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sheetId="1" state="visible" r:id="rId1"/>
    <sheet xmlns:r="http://schemas.openxmlformats.org/officeDocument/2006/relationships" name="Model" sheetId="2" state="visible" r:id="rId2"/>
    <sheet xmlns:r="http://schemas.openxmlformats.org/officeDocument/2006/relationships" name="Assumptions" sheetId="3" state="visible" r:id="rId3"/>
    <sheet xmlns:r="http://schemas.openxmlformats.org/officeDocument/2006/relationships" name="NM Play" sheetId="4" state="visible" r:id="rId4"/>
    <sheet xmlns:r="http://schemas.openxmlformats.org/officeDocument/2006/relationships" name="Sites" sheetId="5" state="visible" r:id="rId5"/>
    <sheet xmlns:r="http://schemas.openxmlformats.org/officeDocument/2006/relationships" name="Costs" sheetId="6" state="visible" r:id="rId6"/>
    <sheet xmlns:r="http://schemas.openxmlformats.org/officeDocument/2006/relationships" name="Capital" sheetId="7" state="visible" r:id="rId7"/>
    <sheet xmlns:r="http://schemas.openxmlformats.org/officeDocument/2006/relationships" name="Funding" sheetId="8" state="visible" r:id="rId8"/>
    <sheet xmlns:r="http://schemas.openxmlformats.org/officeDocument/2006/relationships" name="Cases" sheetId="9" state="visible" r:id="rId9"/>
    <sheet xmlns:r="http://schemas.openxmlformats.org/officeDocument/2006/relationships" name="Monthly forecast" sheetId="10" state="visible" r:id="rId10"/>
    <sheet xmlns:r="http://schemas.openxmlformats.org/officeDocument/2006/relationships" name="Statements" sheetId="11" state="visible" r:id="rId11"/>
    <sheet xmlns:r="http://schemas.openxmlformats.org/officeDocument/2006/relationships" name="QBE" sheetId="12" state="visible" r:id="rId12"/>
    <sheet xmlns:r="http://schemas.openxmlformats.org/officeDocument/2006/relationships" name="Community sales" sheetId="13" state="visible" r:id="rId13"/>
    <sheet xmlns:r="http://schemas.openxmlformats.org/officeDocument/2006/relationships" name="Actuals" sheetId="14" state="visible" r:id="rId14"/>
    <sheet xmlns:r="http://schemas.openxmlformats.org/officeDocument/2006/relationships" name="Evidence and decisions" sheetId="15" state="visible" r:id="rId15"/>
    <sheet xmlns:r="http://schemas.openxmlformats.org/officeDocument/2006/relationships" name="Source map" sheetId="16" state="visible" r:id="rId16"/>
    <sheet xmlns:r="http://schemas.openxmlformats.org/officeDocument/2006/relationships" name="Production schedule" sheetId="17" state="visible" r:id="rId17"/>
    <sheet xmlns:r="http://schemas.openxmlformats.org/officeDocument/2006/relationships" name="Cash schedule" sheetId="18" state="visible" r:id="rId18"/>
    <sheet xmlns:r="http://schemas.openxmlformats.org/officeDocument/2006/relationships" name="Source records" sheetId="19" state="visible" r:id="rId19"/>
    <sheet xmlns:r="http://schemas.openxmlformats.org/officeDocument/2006/relationships" name="FY26" sheetId="20" state="visible" r:id="rId20"/>
    <sheet xmlns:r="http://schemas.openxmlformats.org/officeDocument/2006/relationships" name="FY26 cash" sheetId="21" state="visible" r:id="rId21"/>
    <sheet xmlns:r="http://schemas.openxmlformats.org/officeDocument/2006/relationships" name="FY26 invoices" sheetId="22" state="visible" r:id="rId22"/>
    <sheet xmlns:r="http://schemas.openxmlformats.org/officeDocument/2006/relationships" name="Butterfly FY26" sheetId="23" state="visible" r:id="rId23"/>
    <sheet xmlns:r="http://schemas.openxmlformats.org/officeDocument/2006/relationships" name="Responsibilities" sheetId="24" state="visible" r:id="rId24"/>
    <sheet xmlns:r="http://schemas.openxmlformats.org/officeDocument/2006/relationships" name="Phase and raise" sheetId="25" state="visible" r:id="rId25"/>
    <sheet xmlns:r="http://schemas.openxmlformats.org/officeDocument/2006/relationships" name="Bed calculator" sheetId="26" state="visible" r:id="rId26"/>
    <sheet xmlns:r="http://schemas.openxmlformats.org/officeDocument/2006/relationships" name="Plan to July 2027" sheetId="27" state="visible" r:id="rId27"/>
    <sheet xmlns:r="http://schemas.openxmlformats.org/officeDocument/2006/relationships" name="Alignment" sheetId="28" state="visible" r:id="rId28"/>
  </sheets>
  <definedNames/>
  <calcPr calcId="124519" fullCalcOnLoad="1"/>
</workbook>
</file>

<file path=xl/styles.xml><?xml version="1.0" encoding="utf-8"?>
<styleSheet xmlns="http://schemas.openxmlformats.org/spreadsheetml/2006/main">
  <numFmts count="8">
    <numFmt numFmtId="164" formatCode="#,##0;(#,##0);&quot;–&quot;"/>
    <numFmt numFmtId="165" formatCode="mmm yyyy"/>
    <numFmt numFmtId="166" formatCode="0.0%"/>
    <numFmt numFmtId="167" formatCode="mmm yy"/>
    <numFmt numFmtId="168" formatCode="0.0"/>
    <numFmt numFmtId="169" formatCode="#,##0.0;(#,##0.0);&quot;–&quot;"/>
    <numFmt numFmtId="170" formatCode="dd mmm yyyy"/>
    <numFmt numFmtId="171" formatCode="#,##0;(#,##0);0"/>
  </numFmts>
  <fonts count="19">
    <font>
      <name val="Carlito"/>
      <sz val="11"/>
    </font>
    <font>
      <name val="Arial"/>
      <color rgb="FF25332D"/>
      <sz val="11"/>
    </font>
    <font>
      <name val="Arial"/>
      <b val="1"/>
      <color rgb="FF25332D"/>
      <sz val="20"/>
    </font>
    <font>
      <name val="Arial"/>
      <color rgb="FF526158"/>
      <sz val="11"/>
    </font>
    <font>
      <name val="Arial"/>
      <b val="1"/>
      <color rgb="FF25332D"/>
      <sz val="11"/>
    </font>
    <font>
      <name val="Arial"/>
      <color rgb="FF235E9B"/>
      <sz val="11"/>
    </font>
    <font>
      <name val="Carlito"/>
      <b val="1"/>
      <color rgb="FF25332D"/>
      <sz val="11"/>
    </font>
    <font>
      <name val="Carlito"/>
      <color rgb="FF235E9B"/>
      <sz val="11"/>
    </font>
    <font>
      <name val="Arial"/>
      <sz val="11"/>
    </font>
    <font>
      <name val="Carlito"/>
      <b val="1"/>
      <sz val="11"/>
    </font>
    <font>
      <name val="Arial"/>
      <b val="1"/>
      <color rgb="FF25332D"/>
      <sz val="17"/>
    </font>
    <font>
      <name val="Arial"/>
      <b val="1"/>
      <sz val="11"/>
    </font>
    <font>
      <name val="Arial"/>
      <color rgb="FF25332D"/>
      <sz val="18"/>
    </font>
    <font>
      <b val="1"/>
      <sz val="13"/>
    </font>
    <font>
      <b val="1"/>
    </font>
    <font>
      <name val="82500"/>
    </font>
    <font>
      <name val="66000"/>
    </font>
    <font>
      <b val="1"/>
      <sz val="12"/>
    </font>
    <font/>
  </fonts>
  <fills count="11">
    <fill>
      <patternFill/>
    </fill>
    <fill>
      <patternFill patternType="gray125"/>
    </fill>
    <fill>
      <patternFill patternType="solid">
        <fgColor rgb="FFFFFFFF"/>
      </patternFill>
    </fill>
    <fill>
      <patternFill patternType="solid">
        <fgColor rgb="FFE8EFE9"/>
      </patternFill>
    </fill>
    <fill>
      <patternFill patternType="solid">
        <fgColor rgb="FFEFF5FC"/>
      </patternFill>
    </fill>
    <fill>
      <patternFill patternType="solid">
        <fgColor rgb="FFFFFFFF"/>
      </patternFill>
    </fill>
    <fill>
      <patternFill patternType="solid">
        <fgColor rgb="FFE8EFE9"/>
      </patternFill>
    </fill>
    <fill>
      <patternFill patternType="solid">
        <fgColor rgb="FFEFF5FC"/>
      </patternFill>
    </fill>
    <fill>
      <patternFill patternType="solid">
        <fgColor rgb="FFE8EFE9"/>
      </patternFill>
    </fill>
    <fill>
      <patternFill patternType="solid">
        <fgColor rgb="FFE8EFE9"/>
      </patternFill>
    </fill>
    <fill>
      <patternFill patternType="solid">
        <fgColor rgb="00FFF2CC"/>
      </patternFill>
    </fill>
  </fills>
  <borders count="1">
    <border/>
  </borders>
  <cellStyleXfs count="1">
    <xf numFmtId="0" fontId="0" fillId="0" borderId="0"/>
  </cellStyleXfs>
  <cellXfs count="198">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2" fillId="2" borderId="0" applyAlignment="1" pivotButton="0" quotePrefix="0" xfId="0">
      <alignment vertical="center" wrapText="1"/>
    </xf>
    <xf numFmtId="0" fontId="3" fillId="2" borderId="0" applyAlignment="1" pivotButton="0" quotePrefix="0" xfId="0">
      <alignment vertical="center" wrapText="1"/>
    </xf>
    <xf numFmtId="0" fontId="1" fillId="3" borderId="0" applyAlignment="1" pivotButton="0" quotePrefix="0" xfId="0">
      <alignment vertical="center" wrapText="1"/>
    </xf>
    <xf numFmtId="0" fontId="4" fillId="3" borderId="0" applyAlignment="1" pivotButton="0" quotePrefix="0" xfId="0">
      <alignment vertical="center" wrapText="1"/>
    </xf>
    <xf numFmtId="0" fontId="1" fillId="4" borderId="0" applyAlignment="1" pivotButton="0" quotePrefix="0" xfId="0">
      <alignment vertical="center" wrapText="1"/>
    </xf>
    <xf numFmtId="0" fontId="5" fillId="4" borderId="0" applyAlignment="1" pivotButton="0" quotePrefix="0" xfId="0">
      <alignment vertical="center" wrapText="1"/>
    </xf>
    <xf numFmtId="164" fontId="5" fillId="4" borderId="0" applyAlignment="1" pivotButton="0" quotePrefix="0" xfId="0">
      <alignment vertical="center" wrapText="1"/>
    </xf>
    <xf numFmtId="165" fontId="5" fillId="4" borderId="0" applyAlignment="1" pivotButton="0" quotePrefix="0" xfId="0">
      <alignment vertical="center" wrapText="1"/>
    </xf>
    <xf numFmtId="166" fontId="5" fillId="4" borderId="0" applyAlignment="1" pivotButton="0" quotePrefix="0" xfId="0">
      <alignment vertical="center" wrapText="1"/>
    </xf>
    <xf numFmtId="1" fontId="5" fillId="4" borderId="0" applyAlignment="1" pivotButton="0" quotePrefix="0" xfId="0">
      <alignment vertical="center" wrapText="1"/>
    </xf>
    <xf numFmtId="1" fontId="1" fillId="2" borderId="0" applyAlignment="1" pivotButton="0" quotePrefix="0" xfId="0">
      <alignment vertical="center" wrapText="1"/>
    </xf>
    <xf numFmtId="167" fontId="1" fillId="2" borderId="0" applyAlignment="1" pivotButton="0" quotePrefix="0" xfId="0">
      <alignment vertical="center" wrapText="1"/>
    </xf>
    <xf numFmtId="164" fontId="1" fillId="2" borderId="0" applyAlignment="1" pivotButton="0" quotePrefix="0" xfId="0">
      <alignment vertical="center" wrapText="1"/>
    </xf>
    <xf numFmtId="164" fontId="4" fillId="3" borderId="0" applyAlignment="1" pivotButton="0" quotePrefix="0" xfId="0">
      <alignment vertical="center" wrapText="1"/>
    </xf>
    <xf numFmtId="168" fontId="1" fillId="2" borderId="0" applyAlignment="1" pivotButton="0" quotePrefix="0" xfId="0">
      <alignment vertical="center" wrapText="1"/>
    </xf>
    <xf numFmtId="0" fontId="0" fillId="3" borderId="0" pivotButton="0" quotePrefix="0" xfId="0"/>
    <xf numFmtId="0" fontId="6" fillId="3" borderId="0" pivotButton="0" quotePrefix="0" xfId="0"/>
    <xf numFmtId="0" fontId="0" fillId="4" borderId="0" pivotButton="0" quotePrefix="0" xfId="0"/>
    <xf numFmtId="0" fontId="7" fillId="4" borderId="0" pivotButton="0" quotePrefix="0" xfId="0"/>
    <xf numFmtId="164" fontId="7" fillId="4" borderId="0" pivotButton="0" quotePrefix="0" xfId="0"/>
    <xf numFmtId="164" fontId="0" fillId="0" borderId="0" pivotButton="0" quotePrefix="0" xfId="0"/>
    <xf numFmtId="164" fontId="6" fillId="3" borderId="0" pivotButton="0" quotePrefix="0" xfId="0"/>
    <xf numFmtId="169" fontId="5" fillId="4" borderId="0" applyAlignment="1" pivotButton="0" quotePrefix="0" xfId="0">
      <alignment vertical="center" wrapText="1"/>
    </xf>
    <xf numFmtId="169" fontId="1" fillId="2" borderId="0" applyAlignment="1" pivotButton="0" quotePrefix="0" xfId="0">
      <alignment vertical="center" wrapText="1"/>
    </xf>
    <xf numFmtId="169" fontId="4" fillId="3" borderId="0" applyAlignment="1" pivotButton="0" quotePrefix="0" xfId="0">
      <alignment vertical="center" wrapText="1"/>
    </xf>
    <xf numFmtId="9" fontId="5" fillId="4" borderId="0" applyAlignment="1" pivotButton="0" quotePrefix="0" xfId="0">
      <alignment vertical="center" wrapText="1"/>
    </xf>
    <xf numFmtId="170" fontId="5" fillId="4" borderId="0" applyAlignment="1" pivotButton="0" quotePrefix="0" xfId="0">
      <alignment vertical="center" wrapText="1"/>
    </xf>
    <xf numFmtId="164" fontId="1" fillId="3" borderId="0" applyAlignment="1" pivotButton="0" quotePrefix="0" xfId="0">
      <alignment vertical="center" wrapText="1"/>
    </xf>
    <xf numFmtId="49" fontId="5" fillId="4" borderId="0" applyAlignment="1" pivotButton="0" quotePrefix="0" xfId="0">
      <alignment vertical="center" wrapText="1"/>
    </xf>
    <xf numFmtId="0" fontId="1" fillId="2" borderId="0" applyAlignment="1" pivotButton="0" quotePrefix="0" xfId="0">
      <alignment horizontal="center" vertical="center" wrapText="1"/>
    </xf>
    <xf numFmtId="164" fontId="1" fillId="2" borderId="0" applyAlignment="1" pivotButton="0" quotePrefix="0" xfId="0">
      <alignment horizontal="center" vertical="center" wrapText="1"/>
    </xf>
    <xf numFmtId="1" fontId="1" fillId="2" borderId="0" applyAlignment="1" pivotButton="0" quotePrefix="0" xfId="0">
      <alignment horizontal="center" vertical="center" wrapText="1"/>
    </xf>
    <xf numFmtId="164" fontId="5" fillId="4" borderId="0" applyAlignment="1" pivotButton="0" quotePrefix="0" xfId="0">
      <alignment horizontal="center" vertical="center" wrapText="1"/>
    </xf>
    <xf numFmtId="165" fontId="5" fillId="4" borderId="0" applyAlignment="1" pivotButton="0" quotePrefix="0" xfId="0">
      <alignment horizontal="center" vertical="center" wrapText="1"/>
    </xf>
    <xf numFmtId="1" fontId="5" fillId="4" borderId="0" applyAlignment="1" pivotButton="0" quotePrefix="0" xfId="0">
      <alignment horizontal="center" vertical="center" wrapText="1"/>
    </xf>
    <xf numFmtId="166" fontId="5" fillId="4" borderId="0" applyAlignment="1" pivotButton="0" quotePrefix="0" xfId="0">
      <alignment horizontal="center" vertical="center" wrapText="1"/>
    </xf>
    <xf numFmtId="164" fontId="4" fillId="3" borderId="0" applyAlignment="1" pivotButton="0" quotePrefix="0" xfId="0">
      <alignment horizontal="center" vertical="center" wrapText="1"/>
    </xf>
    <xf numFmtId="0" fontId="8" fillId="0" borderId="0" pivotButton="0" quotePrefix="0" xfId="0"/>
    <xf numFmtId="164" fontId="8" fillId="0" borderId="0" pivotButton="0" quotePrefix="0" xfId="0"/>
    <xf numFmtId="0" fontId="4" fillId="3" borderId="0" pivotButton="0" quotePrefix="0" xfId="0"/>
    <xf numFmtId="164" fontId="4" fillId="3" borderId="0" pivotButton="0" quotePrefix="0" xfId="0"/>
    <xf numFmtId="164" fontId="5" fillId="4" borderId="0" pivotButton="0" quotePrefix="0" xfId="0"/>
    <xf numFmtId="9" fontId="5" fillId="4" borderId="0" applyAlignment="1" pivotButton="0" quotePrefix="0" xfId="0">
      <alignment horizontal="center" vertical="center" wrapText="1"/>
    </xf>
    <xf numFmtId="170" fontId="5" fillId="4" borderId="0" applyAlignment="1" pivotButton="0" quotePrefix="0" xfId="0">
      <alignment horizontal="center" vertical="center" wrapText="1"/>
    </xf>
    <xf numFmtId="4" fontId="1" fillId="2" borderId="0" applyAlignment="1" pivotButton="0" quotePrefix="0" xfId="0">
      <alignment vertical="center" wrapText="1"/>
    </xf>
    <xf numFmtId="169" fontId="1" fillId="2" borderId="0" applyAlignment="1" pivotButton="0" quotePrefix="0" xfId="0">
      <alignment horizontal="center" vertical="center" wrapText="1"/>
    </xf>
    <xf numFmtId="169" fontId="4" fillId="3" borderId="0" applyAlignment="1" pivotButton="0" quotePrefix="0" xfId="0">
      <alignment horizontal="center" vertical="center" wrapText="1"/>
    </xf>
    <xf numFmtId="4" fontId="1" fillId="2" borderId="0" applyAlignment="1" pivotButton="0" quotePrefix="0" xfId="0">
      <alignment horizontal="center" vertical="center" wrapText="1"/>
    </xf>
    <xf numFmtId="170" fontId="0" fillId="0" borderId="0" pivotButton="0" quotePrefix="0" xfId="0"/>
    <xf numFmtId="164" fontId="5" fillId="4" borderId="0" applyAlignment="1" pivotButton="0" quotePrefix="0" xfId="0">
      <alignment horizontal="center" vertical="center" wrapText="1"/>
    </xf>
    <xf numFmtId="165" fontId="5" fillId="4" borderId="0" applyAlignment="1" pivotButton="0" quotePrefix="0" xfId="0">
      <alignment horizontal="center" vertical="center" wrapText="1"/>
    </xf>
    <xf numFmtId="1" fontId="5" fillId="4" borderId="0" applyAlignment="1" pivotButton="0" quotePrefix="0" xfId="0">
      <alignment horizontal="center" vertical="center" wrapText="1"/>
    </xf>
    <xf numFmtId="166" fontId="5" fillId="4" borderId="0" applyAlignment="1" pivotButton="0" quotePrefix="0" xfId="0">
      <alignment horizontal="center" vertical="center" wrapText="1"/>
    </xf>
    <xf numFmtId="164" fontId="5" fillId="4" borderId="0" applyAlignment="1" pivotButton="0" quotePrefix="0" xfId="0">
      <alignment vertical="center" wrapText="1"/>
    </xf>
    <xf numFmtId="164" fontId="5" fillId="4" borderId="0" pivotButton="0" quotePrefix="0" xfId="0"/>
    <xf numFmtId="169" fontId="5" fillId="4" borderId="0" applyAlignment="1" pivotButton="0" quotePrefix="0" xfId="0">
      <alignment vertical="center" wrapText="1"/>
    </xf>
    <xf numFmtId="166" fontId="5" fillId="4" borderId="0" applyAlignment="1" pivotButton="0" quotePrefix="0" xfId="0">
      <alignment vertical="center" wrapText="1"/>
    </xf>
    <xf numFmtId="9" fontId="5" fillId="4" borderId="0" applyAlignment="1" pivotButton="0" quotePrefix="0" xfId="0">
      <alignment horizontal="center" vertical="center" wrapText="1"/>
    </xf>
    <xf numFmtId="170" fontId="5" fillId="4" borderId="0" applyAlignment="1" pivotButton="0" quotePrefix="0" xfId="0">
      <alignment horizontal="center" vertical="center" wrapText="1"/>
    </xf>
    <xf numFmtId="170" fontId="5" fillId="4" borderId="0" applyAlignment="1" pivotButton="0" quotePrefix="0" xfId="0">
      <alignment vertical="center" wrapText="1"/>
    </xf>
    <xf numFmtId="49" fontId="5" fillId="4" borderId="0" applyAlignment="1" pivotButton="0" quotePrefix="0" xfId="0">
      <alignment vertical="center" wrapText="1"/>
    </xf>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vertical="center" wrapText="1"/>
    </xf>
    <xf numFmtId="0" fontId="2" fillId="5" borderId="0" applyAlignment="1" pivotButton="0" quotePrefix="0" xfId="0">
      <alignment vertical="center" wrapText="1"/>
    </xf>
    <xf numFmtId="0" fontId="1" fillId="6" borderId="0" applyAlignment="1" pivotButton="0" quotePrefix="0" xfId="0">
      <alignment vertical="center" wrapText="1"/>
    </xf>
    <xf numFmtId="0" fontId="4" fillId="6" borderId="0" applyAlignment="1" pivotButton="0" quotePrefix="0" xfId="0">
      <alignment vertical="center" wrapText="1"/>
    </xf>
    <xf numFmtId="9" fontId="1" fillId="5" borderId="0" applyAlignment="1" pivotButton="0" quotePrefix="0" xfId="0">
      <alignment vertical="center" wrapText="1"/>
    </xf>
    <xf numFmtId="9" fontId="1" fillId="7" borderId="0" applyAlignment="1" pivotButton="0" quotePrefix="0" xfId="0">
      <alignment vertical="center" wrapText="1"/>
    </xf>
    <xf numFmtId="9" fontId="5" fillId="7" borderId="0" applyAlignment="1" pivotButton="0" quotePrefix="0" xfId="0">
      <alignment vertical="center" wrapText="1"/>
    </xf>
    <xf numFmtId="0" fontId="1" fillId="7" borderId="0" applyAlignment="1" pivotButton="0" quotePrefix="0" xfId="0">
      <alignment vertical="center" wrapText="1"/>
    </xf>
    <xf numFmtId="0" fontId="5" fillId="7" borderId="0" applyAlignment="1" pivotButton="0" quotePrefix="0" xfId="0">
      <alignment vertical="center" wrapText="1"/>
    </xf>
    <xf numFmtId="164" fontId="5" fillId="7" borderId="0" applyAlignment="1" pivotButton="0" quotePrefix="0" xfId="0">
      <alignment vertical="center" wrapText="1"/>
    </xf>
    <xf numFmtId="1" fontId="5" fillId="7" borderId="0" applyAlignment="1" pivotButton="0" quotePrefix="0" xfId="0">
      <alignment vertical="center" wrapText="1"/>
    </xf>
    <xf numFmtId="164" fontId="1" fillId="5" borderId="0" applyAlignment="1" pivotButton="0" quotePrefix="0" xfId="0">
      <alignment vertical="center" wrapText="1"/>
    </xf>
    <xf numFmtId="0" fontId="0" fillId="6" borderId="0" pivotButton="0" quotePrefix="0" xfId="0"/>
    <xf numFmtId="0" fontId="9" fillId="6" borderId="0" pivotButton="0" quotePrefix="0" xfId="0"/>
    <xf numFmtId="0" fontId="9" fillId="6" borderId="0" applyAlignment="1" pivotButton="0" quotePrefix="0" xfId="0">
      <alignment wrapText="1"/>
    </xf>
    <xf numFmtId="0" fontId="10" fillId="5" borderId="0" applyAlignment="1" pivotButton="0" quotePrefix="0" xfId="0">
      <alignment vertical="center" wrapText="1"/>
    </xf>
    <xf numFmtId="2" fontId="1" fillId="5" borderId="0" applyAlignment="1" pivotButton="0" quotePrefix="0" xfId="0">
      <alignment vertical="center" wrapText="1"/>
    </xf>
    <xf numFmtId="1" fontId="1" fillId="5" borderId="0" applyAlignment="1" pivotButton="0" quotePrefix="0" xfId="0">
      <alignment vertical="center" wrapText="1"/>
    </xf>
    <xf numFmtId="164" fontId="1" fillId="7" borderId="0" applyAlignment="1" pivotButton="0" quotePrefix="0" xfId="0">
      <alignment vertical="center" wrapText="1"/>
    </xf>
    <xf numFmtId="2" fontId="1" fillId="2" borderId="0" applyAlignment="1" pivotButton="0" quotePrefix="0" xfId="0">
      <alignment vertical="center" wrapText="1"/>
    </xf>
    <xf numFmtId="0" fontId="11" fillId="3" borderId="0" applyAlignment="1" pivotButton="0" quotePrefix="0" xfId="0">
      <alignment wrapText="1"/>
    </xf>
    <xf numFmtId="164" fontId="8" fillId="0" borderId="0" applyAlignment="1" pivotButton="0" quotePrefix="0" xfId="0">
      <alignment wrapText="1"/>
    </xf>
    <xf numFmtId="0" fontId="11" fillId="3" borderId="0" applyAlignment="1" pivotButton="0" quotePrefix="0" xfId="0">
      <alignment horizontal="center" wrapText="1"/>
    </xf>
    <xf numFmtId="164" fontId="8" fillId="0" borderId="0" applyAlignment="1" pivotButton="0" quotePrefix="0" xfId="0">
      <alignment horizontal="center" wrapText="1"/>
    </xf>
    <xf numFmtId="0" fontId="11" fillId="3" borderId="0" applyAlignment="1" pivotButton="0" quotePrefix="0" xfId="0">
      <alignment horizontal="center" vertical="center" wrapText="1"/>
    </xf>
    <xf numFmtId="164" fontId="8" fillId="0" borderId="0" applyAlignment="1" pivotButton="0" quotePrefix="0" xfId="0">
      <alignment horizontal="center" vertical="center" wrapText="1"/>
    </xf>
    <xf numFmtId="164" fontId="5" fillId="4" borderId="0" applyAlignment="1" pivotButton="0" quotePrefix="0" xfId="0">
      <alignment horizontal="center" vertical="center" wrapText="1"/>
    </xf>
    <xf numFmtId="165" fontId="5" fillId="4" borderId="0" applyAlignment="1" pivotButton="0" quotePrefix="0" xfId="0">
      <alignment horizontal="center" vertical="center" wrapText="1"/>
    </xf>
    <xf numFmtId="1" fontId="5" fillId="4" borderId="0" applyAlignment="1" pivotButton="0" quotePrefix="0" xfId="0">
      <alignment horizontal="center" vertical="center" wrapText="1"/>
    </xf>
    <xf numFmtId="166" fontId="5" fillId="4" borderId="0" applyAlignment="1" pivotButton="0" quotePrefix="0" xfId="0">
      <alignment horizontal="center" vertical="center" wrapText="1"/>
    </xf>
    <xf numFmtId="164" fontId="5" fillId="4" borderId="0" applyAlignment="1" pivotButton="0" quotePrefix="0" xfId="0">
      <alignment vertical="center" wrapText="1"/>
    </xf>
    <xf numFmtId="164" fontId="5" fillId="4" borderId="0" pivotButton="0" quotePrefix="0" xfId="0"/>
    <xf numFmtId="169" fontId="5" fillId="4" borderId="0" applyAlignment="1" pivotButton="0" quotePrefix="0" xfId="0">
      <alignment vertical="center" wrapText="1"/>
    </xf>
    <xf numFmtId="166" fontId="5" fillId="4" borderId="0" applyAlignment="1" pivotButton="0" quotePrefix="0" xfId="0">
      <alignment vertical="center" wrapText="1"/>
    </xf>
    <xf numFmtId="9" fontId="5" fillId="4" borderId="0" applyAlignment="1" pivotButton="0" quotePrefix="0" xfId="0">
      <alignment horizontal="center" vertical="center" wrapText="1"/>
    </xf>
    <xf numFmtId="170" fontId="5" fillId="4" borderId="0" applyAlignment="1" pivotButton="0" quotePrefix="0" xfId="0">
      <alignment horizontal="center" vertical="center" wrapText="1"/>
    </xf>
    <xf numFmtId="164" fontId="5" fillId="7" borderId="0" applyAlignment="1" pivotButton="0" quotePrefix="0" xfId="0">
      <alignment vertical="center" wrapText="1"/>
    </xf>
    <xf numFmtId="170" fontId="5" fillId="4" borderId="0" applyAlignment="1" pivotButton="0" quotePrefix="0" xfId="0">
      <alignment vertical="center" wrapText="1"/>
    </xf>
    <xf numFmtId="49" fontId="5" fillId="4" borderId="0" applyAlignment="1" pivotButton="0" quotePrefix="0" xfId="0">
      <alignment vertical="center" wrapText="1"/>
    </xf>
    <xf numFmtId="9" fontId="5" fillId="7" borderId="0" applyAlignment="1" pivotButton="0" quotePrefix="0" xfId="0">
      <alignment vertical="center" wrapText="1"/>
    </xf>
    <xf numFmtId="0" fontId="1" fillId="5" borderId="0" applyAlignment="1" pivotButton="0" quotePrefix="0" xfId="0">
      <alignment vertical="center" wrapText="1"/>
    </xf>
    <xf numFmtId="9" fontId="1" fillId="5" borderId="0" applyAlignment="1" pivotButton="0" quotePrefix="0" xfId="0">
      <alignment vertical="center" wrapText="1"/>
    </xf>
    <xf numFmtId="1" fontId="5" fillId="7" borderId="0" applyAlignment="1" pivotButton="0" quotePrefix="0" xfId="0">
      <alignment vertical="center" wrapText="1"/>
    </xf>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center" wrapText="1"/>
    </xf>
    <xf numFmtId="0" fontId="1" fillId="8" borderId="0" applyAlignment="1" pivotButton="0" quotePrefix="0" xfId="0">
      <alignment vertical="center" wrapText="1"/>
    </xf>
    <xf numFmtId="4" fontId="1" fillId="0" borderId="0" applyAlignment="1" pivotButton="0" quotePrefix="0" xfId="0">
      <alignment vertical="center" wrapText="1"/>
    </xf>
    <xf numFmtId="1" fontId="1" fillId="0" borderId="0" applyAlignment="1" pivotButton="0" quotePrefix="0" xfId="0">
      <alignment vertical="center" wrapText="1"/>
    </xf>
    <xf numFmtId="0" fontId="4" fillId="0" borderId="0" applyAlignment="1" pivotButton="0" quotePrefix="0" xfId="0">
      <alignment vertical="center" wrapText="1"/>
    </xf>
    <xf numFmtId="4" fontId="4" fillId="0" borderId="0" applyAlignment="1" pivotButton="0" quotePrefix="0" xfId="0">
      <alignment vertical="center" wrapText="1"/>
    </xf>
    <xf numFmtId="171" fontId="1" fillId="0" borderId="0" applyAlignment="1" pivotButton="0" quotePrefix="0" xfId="0">
      <alignment vertical="center" wrapText="1"/>
    </xf>
    <xf numFmtId="0" fontId="12" fillId="0" borderId="0" applyAlignment="1" pivotButton="0" quotePrefix="0" xfId="0">
      <alignment vertical="center" wrapText="1"/>
    </xf>
    <xf numFmtId="171" fontId="12" fillId="0" borderId="0" applyAlignment="1" pivotButton="0" quotePrefix="0" xfId="0">
      <alignment vertical="center" wrapText="1"/>
    </xf>
    <xf numFmtId="0" fontId="1" fillId="9" borderId="0" applyAlignment="1" pivotButton="0" quotePrefix="0" xfId="0">
      <alignment vertical="center" wrapText="1"/>
    </xf>
    <xf numFmtId="171" fontId="1" fillId="9" borderId="0" applyAlignment="1" pivotButton="0" quotePrefix="0" xfId="0">
      <alignment vertical="center" wrapText="1"/>
    </xf>
    <xf numFmtId="0" fontId="4" fillId="9" borderId="0" applyAlignment="1" pivotButton="0" quotePrefix="0" xfId="0">
      <alignment vertical="center" wrapText="1"/>
    </xf>
    <xf numFmtId="171" fontId="4" fillId="9" borderId="0" applyAlignment="1" pivotButton="0" quotePrefix="0" xfId="0">
      <alignment vertical="center" wrapText="1"/>
    </xf>
    <xf numFmtId="1" fontId="1" fillId="2" borderId="0" applyAlignment="1" pivotButton="0" quotePrefix="0" xfId="0">
      <alignment horizontal="center" vertical="center" wrapText="1"/>
    </xf>
    <xf numFmtId="164" fontId="1" fillId="2" borderId="0" applyAlignment="1" pivotButton="0" quotePrefix="0" xfId="0">
      <alignment horizontal="center" vertical="center" wrapText="1"/>
    </xf>
    <xf numFmtId="4" fontId="1" fillId="0" borderId="0" applyAlignment="1" pivotButton="0" quotePrefix="0" xfId="0">
      <alignment vertical="center" wrapText="1"/>
    </xf>
    <xf numFmtId="4" fontId="4" fillId="0" borderId="0" applyAlignment="1" pivotButton="0" quotePrefix="0" xfId="0">
      <alignment vertical="center" wrapText="1"/>
    </xf>
    <xf numFmtId="1" fontId="1" fillId="0" borderId="0" applyAlignment="1" pivotButton="0" quotePrefix="0" xfId="0">
      <alignment vertical="center" wrapText="1"/>
    </xf>
    <xf numFmtId="164" fontId="5" fillId="4" borderId="0" applyAlignment="1" pivotButton="0" quotePrefix="0" xfId="0">
      <alignment horizontal="center" vertical="center" wrapText="1"/>
    </xf>
    <xf numFmtId="165" fontId="5" fillId="4" borderId="0" applyAlignment="1" pivotButton="0" quotePrefix="0" xfId="0">
      <alignment horizontal="center" vertical="center" wrapText="1"/>
    </xf>
    <xf numFmtId="1" fontId="5" fillId="4" borderId="0" applyAlignment="1" pivotButton="0" quotePrefix="0" xfId="0">
      <alignment horizontal="center" vertical="center" wrapText="1"/>
    </xf>
    <xf numFmtId="166" fontId="5" fillId="4" borderId="0" applyAlignment="1" pivotButton="0" quotePrefix="0" xfId="0">
      <alignment horizontal="center" vertical="center" wrapText="1"/>
    </xf>
    <xf numFmtId="167" fontId="1" fillId="2" borderId="0" applyAlignment="1" pivotButton="0" quotePrefix="0" xfId="0">
      <alignment vertical="center" wrapText="1"/>
    </xf>
    <xf numFmtId="164" fontId="1" fillId="2" borderId="0" applyAlignment="1" pivotButton="0" quotePrefix="0" xfId="0">
      <alignment vertical="center" wrapText="1"/>
    </xf>
    <xf numFmtId="168" fontId="1" fillId="2" borderId="0" applyAlignment="1" pivotButton="0" quotePrefix="0" xfId="0">
      <alignment vertical="center" wrapText="1"/>
    </xf>
    <xf numFmtId="164" fontId="5" fillId="4" borderId="0" applyAlignment="1" pivotButton="0" quotePrefix="0" xfId="0">
      <alignment vertical="center" wrapText="1"/>
    </xf>
    <xf numFmtId="164" fontId="4" fillId="3" borderId="0" applyAlignment="1" pivotButton="0" quotePrefix="0" xfId="0">
      <alignment vertical="center" wrapText="1"/>
    </xf>
    <xf numFmtId="164" fontId="8" fillId="0" borderId="0" pivotButton="0" quotePrefix="0" xfId="0"/>
    <xf numFmtId="164" fontId="4" fillId="3" borderId="0" pivotButton="0" quotePrefix="0" xfId="0"/>
    <xf numFmtId="164" fontId="5" fillId="4" borderId="0" pivotButton="0" quotePrefix="0" xfId="0"/>
    <xf numFmtId="169" fontId="5" fillId="4" borderId="0" applyAlignment="1" pivotButton="0" quotePrefix="0" xfId="0">
      <alignment vertical="center" wrapText="1"/>
    </xf>
    <xf numFmtId="166" fontId="5" fillId="4" borderId="0" applyAlignment="1" pivotButton="0" quotePrefix="0" xfId="0">
      <alignment vertical="center" wrapText="1"/>
    </xf>
    <xf numFmtId="169" fontId="1" fillId="2" borderId="0" applyAlignment="1" pivotButton="0" quotePrefix="0" xfId="0">
      <alignment horizontal="center" vertical="center" wrapText="1"/>
    </xf>
    <xf numFmtId="169" fontId="4" fillId="3" borderId="0" applyAlignment="1" pivotButton="0" quotePrefix="0" xfId="0">
      <alignment horizontal="center" vertical="center" wrapText="1"/>
    </xf>
    <xf numFmtId="4" fontId="1" fillId="2" borderId="0" applyAlignment="1" pivotButton="0" quotePrefix="0" xfId="0">
      <alignment horizontal="center" vertical="center" wrapText="1"/>
    </xf>
    <xf numFmtId="9" fontId="5" fillId="4" borderId="0" applyAlignment="1" pivotButton="0" quotePrefix="0" xfId="0">
      <alignment horizontal="center" vertical="center" wrapText="1"/>
    </xf>
    <xf numFmtId="164" fontId="4" fillId="3" borderId="0" applyAlignment="1" pivotButton="0" quotePrefix="0" xfId="0">
      <alignment horizontal="center" vertical="center" wrapText="1"/>
    </xf>
    <xf numFmtId="170" fontId="5" fillId="4" borderId="0" applyAlignment="1" pivotButton="0" quotePrefix="0" xfId="0">
      <alignment horizontal="center" vertical="center" wrapText="1"/>
    </xf>
    <xf numFmtId="164" fontId="8" fillId="0" borderId="0" applyAlignment="1" pivotButton="0" quotePrefix="0" xfId="0">
      <alignment horizontal="center" vertical="center" wrapText="1"/>
    </xf>
    <xf numFmtId="1" fontId="1" fillId="2" borderId="0" applyAlignment="1" pivotButton="0" quotePrefix="0" xfId="0">
      <alignment vertical="center" wrapText="1"/>
    </xf>
    <xf numFmtId="164" fontId="5" fillId="7" borderId="0" applyAlignment="1" pivotButton="0" quotePrefix="0" xfId="0">
      <alignment vertical="center" wrapText="1"/>
    </xf>
    <xf numFmtId="164" fontId="1" fillId="5" borderId="0" applyAlignment="1" pivotButton="0" quotePrefix="0" xfId="0">
      <alignment vertical="center" wrapText="1"/>
    </xf>
    <xf numFmtId="2" fontId="1" fillId="5" borderId="0" applyAlignment="1" pivotButton="0" quotePrefix="0" xfId="0">
      <alignment vertical="center" wrapText="1"/>
    </xf>
    <xf numFmtId="1" fontId="1" fillId="5" borderId="0" applyAlignment="1" pivotButton="0" quotePrefix="0" xfId="0">
      <alignment vertical="center" wrapText="1"/>
    </xf>
    <xf numFmtId="170" fontId="5" fillId="4" borderId="0" applyAlignment="1" pivotButton="0" quotePrefix="0" xfId="0">
      <alignment vertical="center" wrapText="1"/>
    </xf>
    <xf numFmtId="49" fontId="5" fillId="4" borderId="0" applyAlignment="1" pivotButton="0" quotePrefix="0" xfId="0">
      <alignment vertical="center" wrapText="1"/>
    </xf>
    <xf numFmtId="169" fontId="1" fillId="2" borderId="0" applyAlignment="1" pivotButton="0" quotePrefix="0" xfId="0">
      <alignment vertical="center" wrapText="1"/>
    </xf>
    <xf numFmtId="164" fontId="0" fillId="0" borderId="0" pivotButton="0" quotePrefix="0" xfId="0"/>
    <xf numFmtId="170" fontId="0" fillId="0" borderId="0" pivotButton="0" quotePrefix="0" xfId="0"/>
    <xf numFmtId="9" fontId="5" fillId="7" borderId="0" applyAlignment="1" pivotButton="0" quotePrefix="0" xfId="0">
      <alignment vertical="center" wrapText="1"/>
    </xf>
    <xf numFmtId="9" fontId="1" fillId="5" borderId="0" applyAlignment="1" pivotButton="0" quotePrefix="0" xfId="0">
      <alignment vertical="center" wrapText="1"/>
    </xf>
    <xf numFmtId="2" fontId="1" fillId="2" borderId="0" applyAlignment="1" pivotButton="0" quotePrefix="0" xfId="0">
      <alignment vertical="center" wrapText="1"/>
    </xf>
    <xf numFmtId="1" fontId="5" fillId="7" borderId="0" applyAlignment="1" pivotButton="0" quotePrefix="0" xfId="0">
      <alignment vertical="center" wrapText="1"/>
    </xf>
    <xf numFmtId="171" fontId="12" fillId="0" borderId="0" applyAlignment="1" pivotButton="0" quotePrefix="0" xfId="0">
      <alignment vertical="center" wrapText="1"/>
    </xf>
    <xf numFmtId="171" fontId="1" fillId="0" borderId="0" applyAlignment="1" pivotButton="0" quotePrefix="0" xfId="0">
      <alignment vertical="center" wrapText="1"/>
    </xf>
    <xf numFmtId="171" fontId="4" fillId="9" borderId="0" applyAlignment="1" pivotButton="0" quotePrefix="0" xfId="0">
      <alignment vertical="center" wrapText="1"/>
    </xf>
    <xf numFmtId="0" fontId="13" fillId="0" borderId="0" applyAlignment="1" pivotButton="0" quotePrefix="0" xfId="0">
      <alignment vertical="top" wrapText="1"/>
    </xf>
    <xf numFmtId="0" fontId="0" fillId="0" borderId="0" applyAlignment="1" pivotButton="0" quotePrefix="0" xfId="0">
      <alignment vertical="top" wrapText="1"/>
    </xf>
    <xf numFmtId="0" fontId="14" fillId="0" borderId="0" applyAlignment="1" pivotButton="0" quotePrefix="0" xfId="0">
      <alignment vertical="top" wrapText="1"/>
    </xf>
    <xf numFmtId="0" fontId="14" fillId="0" borderId="0" pivotButton="0" quotePrefix="0" xfId="0"/>
    <xf numFmtId="0" fontId="15" fillId="0" borderId="0" applyAlignment="1" pivotButton="0" quotePrefix="0" xfId="0">
      <alignment vertical="top" wrapText="1"/>
    </xf>
    <xf numFmtId="0" fontId="16" fillId="0" borderId="0" applyAlignment="1" pivotButton="0" quotePrefix="0" xfId="0">
      <alignment vertical="top" wrapText="1"/>
    </xf>
    <xf numFmtId="0" fontId="0" fillId="0" borderId="0" applyAlignment="1" pivotButton="0" quotePrefix="0" xfId="0">
      <alignment vertical="top"/>
    </xf>
    <xf numFmtId="0" fontId="17" fillId="0" borderId="0" applyAlignment="1" pivotButton="0" quotePrefix="0" xfId="0">
      <alignment vertical="top" wrapText="1"/>
    </xf>
    <xf numFmtId="171" fontId="14" fillId="0" borderId="0" applyAlignment="1" pivotButton="0" quotePrefix="0" xfId="0">
      <alignment vertical="top" wrapText="1"/>
    </xf>
    <xf numFmtId="0" fontId="1" fillId="0" borderId="0" applyAlignment="1" pivotButton="0" quotePrefix="0" xfId="0">
      <alignment vertical="top" wrapText="1"/>
    </xf>
    <xf numFmtId="171" fontId="1" fillId="0" borderId="0" applyAlignment="1" pivotButton="0" quotePrefix="0" xfId="0">
      <alignment vertical="top" wrapText="1"/>
    </xf>
    <xf numFmtId="0" fontId="4" fillId="9" borderId="0" applyAlignment="1" pivotButton="0" quotePrefix="0" xfId="0">
      <alignment vertical="top" wrapText="1"/>
    </xf>
    <xf numFmtId="171" fontId="4" fillId="9" borderId="0" applyAlignment="1" pivotButton="0" quotePrefix="0" xfId="0">
      <alignment vertical="top" wrapText="1"/>
    </xf>
    <xf numFmtId="0" fontId="18" fillId="0" borderId="0" applyAlignment="1" pivotButton="0" quotePrefix="0" xfId="0">
      <alignment vertical="top" wrapText="1"/>
    </xf>
    <xf numFmtId="0" fontId="13" fillId="0" borderId="0" pivotButton="0" quotePrefix="0" xfId="0"/>
    <xf numFmtId="0" fontId="18" fillId="0" borderId="0" pivotButton="0" quotePrefix="0" xfId="0"/>
    <xf numFmtId="0" fontId="0" fillId="10" borderId="0" pivotButton="0" quotePrefix="0" xfId="0"/>
    <xf numFmtId="3" fontId="0" fillId="0" borderId="0" pivotButton="0" quotePrefix="0" xfId="0"/>
    <xf numFmtId="165" fontId="0" fillId="10" borderId="0" pivotButton="0" quotePrefix="0" xfId="0"/>
    <xf numFmtId="165" fontId="0" fillId="0" borderId="0" pivotButton="0" quotePrefix="0" xfId="0"/>
    <xf numFmtId="165" fontId="14" fillId="0" borderId="0" pivotButton="0" quotePrefix="0" xfId="0"/>
    <xf numFmtId="3" fontId="14" fillId="0" borderId="0" pivotButton="0" quotePrefix="0" xfId="0"/>
    <xf numFmtId="3" fontId="0" fillId="10" borderId="0" pivotButton="0" quotePrefix="0" xfId="0"/>
    <xf numFmtId="4" fontId="0" fillId="0" borderId="0" pivotButton="0" quotePrefix="0" xfId="0"/>
    <xf numFmtId="168" fontId="0" fillId="0" borderId="0" pivotButton="0" quotePrefix="0" xfId="0"/>
    <xf numFmtId="9" fontId="0" fillId="10" borderId="0" pivotButton="0" quotePrefix="0" xfId="0"/>
    <xf numFmtId="9" fontId="0" fillId="0" borderId="0" pivotButton="0" quotePrefix="0" xfId="0"/>
    <xf numFmtId="49"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ables/table1.xml><?xml version="1.0" encoding="utf-8"?>
<table xmlns="http://schemas.openxmlformats.org/spreadsheetml/2006/main" id="1" name="SiteInputs" displayName="SiteInputs" ref="A5:AD8" headerRowCount="1" totalsRowCount="0" totalsRowShown="0">
  <tableColumns count="30">
    <tableColumn id="1" name="Site ID"/>
    <tableColumn id="2" name="Site"/>
    <tableColumn id="3" name="Route"/>
    <tableColumn id="4" name="Staffing cost basis"/>
    <tableColumn id="5" name="Include"/>
    <tableColumn id="6" name="Start month"/>
    <tableColumn id="7" name="End month"/>
    <tableColumn id="8" name="Days/month"/>
    <tableColumn id="9" name="Year 1 target"/>
    <tableColumn id="10" name="Year 2 target"/>
    <tableColumn id="11" name="Year 3 target"/>
    <tableColumn id="12" name="Year 1 Goods sales"/>
    <tableColumn id="13" name="Year 2 Goods sales"/>
    <tableColumn id="14" name="Year 3 Goods sales"/>
    <tableColumn id="15" name="Year 1 youth programmes"/>
    <tableColumn id="16" name="Year 2 youth programmes"/>
    <tableColumn id="17" name="Year 3 youth programmes"/>
    <tableColumn id="18" name="Freight/bed"/>
    <tableColumn id="19" name="Capital share"/>
    <tableColumn id="20" name="Capital basis"/>
    <tableColumn id="21" name="Coordinator/year"/>
    <tableColumn id="22" name="Trainer/year"/>
    <tableColumn id="23" name="Rent/year"/>
    <tableColumn id="24" name="Insurance/year"/>
    <tableColumn id="25" name="Maintenance/year"/>
    <tableColumn id="26" name="Extra assembly share"/>
    <tableColumn id="27" name="Opening ready tabs"/>
    <tableColumn id="28" name="Opening ready legs"/>
    <tableColumn id="29" name="Opening raw kg"/>
    <tableColumn id="30" name="Authority / stock basis"/>
  </tableColumns>
  <tableStyleInfo name="TableStyleMedium2" showFirstColumn="0" showLastColumn="0" showRowStripes="1" showColumnStripes="0"/>
</table>
</file>

<file path=xl/tables/table2.xml><?xml version="1.0" encoding="utf-8"?>
<table xmlns="http://schemas.openxmlformats.org/spreadsheetml/2006/main" id="2" name="AdditionalCosts" displayName="AdditionalCosts" ref="A35:G40" headerRowCount="1" totalsRowCount="0" totalsRowShown="0">
  <tableColumns count="7">
    <tableColumn id="1" name="Cost ID"/>
    <tableColumn id="2" name="Additional cost"/>
    <tableColumn id="3" name="Cost centre"/>
    <tableColumn id="4" name="Site"/>
    <tableColumn id="5" name="Annual amount"/>
    <tableColumn id="6" name="Include 1 / 0"/>
    <tableColumn id="7" name="Source / scope"/>
  </tableColumns>
  <tableStyleInfo name="TableStyleMedium2" showFirstColumn="0" showLastColumn="0" showRowStripes="1" showColumnStripes="0"/>
</table>
</file>

<file path=xl/tables/table3.xml><?xml version="1.0" encoding="utf-8"?>
<table xmlns="http://schemas.openxmlformats.org/spreadsheetml/2006/main" id="3" name="ModuleChoices" displayName="ModuleChoices" ref="A13:K26" headerRowCount="1" totalsRowCount="0" totalsRowShown="0">
  <tableColumns count="11">
    <tableColumn id="1" name="Module ID"/>
    <tableColumn id="2" name="Module / component"/>
    <tableColumn id="3" name="Source low"/>
    <tableColumn id="4" name="Source high"/>
    <tableColumn id="5" name="Selected price"/>
    <tableColumn id="6" name="Witta quantity"/>
    <tableColumn id="7" name="New 1 quantity"/>
    <tableColumn id="8" name="New 2 quantity"/>
    <tableColumn id="9" name="Source / condition"/>
    <tableColumn id="10" name="New 1 amount"/>
    <tableColumn id="11" name="New 2 amount"/>
  </tableColumns>
  <tableStyleInfo name="TableStyleMedium2" showFirstColumn="0" showLastColumn="0" showRowStripes="1" showColumnStripes="0"/>
</table>
</file>

<file path=xl/tables/table4.xml><?xml version="1.0" encoding="utf-8"?>
<table xmlns="http://schemas.openxmlformats.org/spreadsheetml/2006/main" id="4" name="FundingTranches" displayName="FundingTranches" ref="A5:V18" headerRowCount="1" totalsRowCount="0" totalsRowShown="0">
  <tableColumns count="22">
    <tableColumn id="1" name="Tranche ID"/>
    <tableColumn id="2" name="Funder"/>
    <tableColumn id="3" name="Instrument"/>
    <tableColumn id="4" name="Recipient"/>
    <tableColumn id="5" name="Evidence stage"/>
    <tableColumn id="6" name="Amount"/>
    <tableColumn id="7" name="Conditions satisfied?"/>
    <tableColumn id="8" name="Secured receipt date"/>
    <tableColumn id="9" name="Scenario month"/>
    <tableColumn id="10" name="Include scenario"/>
    <tableColumn id="11" name="Whole invitation"/>
    <tableColumn id="12" name="Condition / next evidence"/>
    <tableColumn id="13" name="Source"/>
    <tableColumn id="14" name="Secured amount"/>
    <tableColumn id="15" name="Secured month"/>
    <tableColumn id="16" name="Potential amount"/>
    <tableColumn id="17" name="Invalid / missing input"/>
    <tableColumn id="18" name="Full possible"/>
    <tableColumn id="19" name="Smaller possible"/>
    <tableColumn id="20" name="No QBE possible"/>
    <tableColumn id="21" name="Delayed receipts possible"/>
    <tableColumn id="22" name="Lower sales possible"/>
  </tableColumns>
  <tableStyleInfo name="TableStyleMedium2" showFirstColumn="0" showLastColumn="0" showRowStripes="1" showColumnStripes="0"/>
</table>
</file>

<file path=xl/tables/table5.xml><?xml version="1.0" encoding="utf-8"?>
<table xmlns="http://schemas.openxmlformats.org/spreadsheetml/2006/main" id="5" name="MonthlyActuals" displayName="MonthlyActuals" ref="A5:K41" headerRowCount="1" totalsRowCount="0" totalsRowShown="0">
  <tableColumns count="11">
    <tableColumn id="1" name="Month"/>
    <tableColumn id="2" name="Period"/>
    <tableColumn id="3" name="Actual receipts"/>
    <tableColumn id="4" name="Actual payments"/>
    <tableColumn id="5" name="Actual closing cash"/>
    <tableColumn id="6" name="Entity / source"/>
    <tableColumn id="7" name="Reviewed date"/>
    <tableColumn id="8" name="Forecast receipts"/>
    <tableColumn id="9" name="Forecast payments"/>
    <tableColumn id="10" name="Net cash variance"/>
    <tableColumn id="11" name="Reconciliation note"/>
  </tableColumns>
  <tableStyleInfo name="TableStyleMedium2" showFirstColumn="0" showLastColumn="0" showRowStripes="1" showColumnStripes="0"/>
</table>
</file>

<file path=xl/tables/table6.xml><?xml version="1.0" encoding="utf-8"?>
<table xmlns="http://schemas.openxmlformats.org/spreadsheetml/2006/main" id="6" name="ActualEvidence" displayName="ActualEvidence" ref="A39:F49" headerRowCount="1" totalsRowCount="0" totalsRowShown="0">
  <tableColumns count="6">
    <tableColumn id="1" name="Evidence ID"/>
    <tableColumn id="2" name="Area / metric"/>
    <tableColumn id="3" name="Actual quantity"/>
    <tableColumn id="4" name="Date / period"/>
    <tableColumn id="5" name="Source / consent reference"/>
    <tableColumn id="6" name="Evidence status"/>
  </tableColumns>
  <tableStyleInfo name="TableStyleMedium2" showFirstColumn="0" showLastColumn="0" showRowStripes="1" showColumnStripes="0"/>
</table>
</file>

<file path=xl/tables/table7.xml><?xml version="1.0" encoding="utf-8"?>
<table xmlns="http://schemas.openxmlformats.org/spreadsheetml/2006/main" id="7" name="SourceCoverage" displayName="SourceCoverage" ref="A5:F32" headerRowCount="1" totalsRowCount="0" totalsRowShown="0">
  <tableColumns count="6">
    <tableColumn id="1" name="Original tab"/>
    <tableColumn id="2" name="Preserved records"/>
    <tableColumn id="3" name="Current destination"/>
    <tableColumn id="4" name="Treatment"/>
    <tableColumn id="5" name="Important boundary"/>
    <tableColumn id="6" name="Source record range"/>
  </tableColumns>
  <tableStyleInfo name="TableStyleMedium2" showFirstColumn="0" showLastColumn="0" showRowStripes="1" showColumnStripes="0"/>
</table>
</file>

<file path=xl/tables/table8.xml><?xml version="1.0" encoding="utf-8"?>
<table xmlns="http://schemas.openxmlformats.org/spreadsheetml/2006/main" id="8" name="ProductionSchedule" displayName="ProductionSchedule" ref="A5:AO545" headerRowCount="1" totalsRowCount="0" totalsRowShown="0">
  <tableColumns count="41">
    <tableColumn id="1" name="Case"/>
    <tableColumn id="2" name="Site"/>
    <tableColumn id="3" name="Month"/>
    <tableColumn id="4" name="Year"/>
    <tableColumn id="5" name="Active"/>
    <tableColumn id="6" name="Available days"/>
    <tableColumn id="7" name="Opening tabs"/>
    <tableColumn id="8" name="Opening legs"/>
    <tableColumn id="9" name="Opening raw kg"/>
    <tableColumn id="10" name="Remaining target"/>
    <tableColumn id="11" name="Press capacity"/>
    <tableColumn id="12" name="CNC capacity"/>
    <tableColumn id="13" name="Assembly capacity"/>
    <tableColumn id="14" name="Beds made"/>
    <tableColumn id="15" name="Tab sheets"/>
    <tableColumn id="16" name="Leg sheets"/>
    <tableColumn id="17" name="Press days"/>
    <tableColumn id="18" name="CNC days"/>
    <tableColumn id="19" name="Crew days"/>
    <tableColumn id="20" name="Raw consumed kg"/>
    <tableColumn id="21" name="Raw purchased kg"/>
    <tableColumn id="22" name="Closing tabs"/>
    <tableColumn id="23" name="Closing legs"/>
    <tableColumn id="24" name="Closing raw kg"/>
    <tableColumn id="25" name="Goods deliveries"/>
    <tableColumn id="26" name="Community deliveries"/>
    <tableColumn id="27" name="Raw cash"/>
    <tableColumn id="28" name="Bought parts"/>
    <tableColumn id="29" name="Defy panels"/>
    <tableColumn id="30" name="Power"/>
    <tableColumn id="31" name="Consumables"/>
    <tableColumn id="32" name="Daily crew"/>
    <tableColumn id="33" name="Daily rent"/>
    <tableColumn id="34" name="Extra assembly"/>
    <tableColumn id="35" name="Freight"/>
    <tableColumn id="36" name="Making cash"/>
    <tableColumn id="37" name="Making expense"/>
    <tableColumn id="38" name="Goods invoices"/>
    <tableColumn id="39" name="NM paid hours"/>
    <tableColumn id="40" name="Invalid inputs"/>
    <tableColumn id="41" name="Stock reconciliation"/>
  </tableColumns>
  <tableStyleInfo name="TableStyleMedium2" showFirstColumn="0" showLastColumn="0" showRowStripes="1" showColumnStripes="0"/>
</table>
</file>

<file path=xl/tables/table9.xml><?xml version="1.0" encoding="utf-8"?>
<table xmlns="http://schemas.openxmlformats.org/spreadsheetml/2006/main" id="9" name="CashSchedule" displayName="CashSchedule" ref="A5:BP185" headerRowCount="1" totalsRowCount="0" totalsRowShown="0">
  <tableColumns count="68">
    <tableColumn id="1" name="Case"/>
    <tableColumn id="2" name="Month"/>
    <tableColumn id="3" name="Year"/>
    <tableColumn id="4" name="Beds"/>
    <tableColumn id="5" name="Goods deliveries"/>
    <tableColumn id="6" name="Community deliveries"/>
    <tableColumn id="7" name="Making cash"/>
    <tableColumn id="8" name="Freight"/>
    <tableColumn id="9" name="Network costs"/>
    <tableColumn id="10" name="Site fixed costs"/>
    <tableColumn id="11" name="Youth support"/>
    <tableColumn id="12" name="Extra costs"/>
    <tableColumn id="13" name="Capital paid"/>
    <tableColumn id="14" name="Priced spending"/>
    <tableColumn id="15" name="Secured grants"/>
    <tableColumn id="16" name="Possible grants"/>
    <tableColumn id="17" name="Secured loan"/>
    <tableColumn id="18" name="Possible loan"/>
    <tableColumn id="19" name="Goods cash"/>
    <tableColumn id="20" name="Opening receivables collected"/>
    <tableColumn id="21" name="Other receipts"/>
    <tableColumn id="22" name="Total receipts"/>
    <tableColumn id="23" name="Opening new debt"/>
    <tableColumn id="24" name="New borrowing"/>
    <tableColumn id="25" name="New loan interest"/>
    <tableColumn id="26" name="New loan principal"/>
    <tableColumn id="27" name="Closing new debt"/>
    <tableColumn id="28" name="New loan payment"/>
    <tableColumn id="29" name="Opening debt principal"/>
    <tableColumn id="30" name="Opening debt interest"/>
    <tableColumn id="31" name="Loan fees"/>
    <tableColumn id="32" name="Opening payables paid"/>
    <tableColumn id="33" name="Tax paid"/>
    <tableColumn id="34" name="Other cash cost"/>
    <tableColumn id="35" name="Other liabilities paid"/>
    <tableColumn id="36" name="Net cash movement"/>
    <tableColumn id="37" name="Cumulative movement"/>
    <tableColumn id="38" name="Closing cash"/>
    <tableColumn id="39" name="Secured-only movement"/>
    <tableColumn id="40" name="Secured-only cumulative"/>
    <tableColumn id="41" name="Secured-only closing cash"/>
    <tableColumn id="42" name="Making expense"/>
    <tableColumn id="43" name="Goods invoiced"/>
    <tableColumn id="44" name="Grant income"/>
    <tableColumn id="45" name="Depreciation"/>
    <tableColumn id="46" name="Profit before tax"/>
    <tableColumn id="47" name="Tax expense"/>
    <tableColumn id="48" name="Net profit"/>
    <tableColumn id="49" name="Closing receivables"/>
    <tableColumn id="50" name="Closing inventory"/>
    <tableColumn id="51" name="Closing fixed assets"/>
    <tableColumn id="52" name="Closing payables"/>
    <tableColumn id="53" name="Closing deferred grants"/>
    <tableColumn id="54" name="Closing old debt"/>
    <tableColumn id="55" name="Closing tax payable"/>
    <tableColumn id="56" name="Closing other liabilities"/>
    <tableColumn id="57" name="Closing equity"/>
    <tableColumn id="58" name="Total assets"/>
    <tableColumn id="59" name="Total liabilities"/>
    <tableColumn id="60" name="Balance sheet difference"/>
    <tableColumn id="61" name="Debt difference"/>
    <tableColumn id="62" name="Unpriced lines"/>
    <tableColumn id="63" name="Invalid inputs"/>
    <tableColumn id="64" name="Gross plastic consumed"/>
    <tableColumn id="65" name="Modelled product mass"/>
    <tableColumn id="66" name="NM paid hours"/>
    <tableColumn id="67" name="Cash difference"/>
    <tableColumn id="68" name="Loan payment rate"/>
  </tableColumns>
  <tableStyleInfo name="TableStyleMedium2" showFirstColumn="0" showLastColumn="0" showRowStripes="1" showColumnStripes="0"/>
</table>
</file>

<file path=xl/tables/table10.xml><?xml version="1.0" encoding="utf-8"?>
<table xmlns="http://schemas.openxmlformats.org/spreadsheetml/2006/main" id="10" name="OriginalRecords" displayName="OriginalRecords" ref="A5:F5280" headerRowCount="1" totalsRowCount="0" totalsRowShown="0">
  <tableColumns count="6">
    <tableColumn id="1" name="Record ID"/>
    <tableColumn id="2" name="Original tab"/>
    <tableColumn id="3" name="Cell"/>
    <tableColumn id="4" name="Original input / formula"/>
    <tableColumn id="5" name="Saved result"/>
    <tableColumn id="6" name="Source fi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F62"/>
  <sheetViews>
    <sheetView showGridLines="0" workbookViewId="0">
      <pane ySplit="5" topLeftCell="A6" activePane="bottomLeft" state="frozen"/>
      <selection activeCell="A1" sqref="A1"/>
    </sheetView>
  </sheetViews>
  <sheetFormatPr baseColWidth="8" defaultRowHeight="15"/>
  <cols>
    <col width="38" customWidth="1" min="1" max="1"/>
    <col width="23" customWidth="1" min="2" max="2"/>
    <col width="18" customWidth="1" min="3" max="3"/>
    <col width="18" customWidth="1" min="4" max="4"/>
    <col width="18" customWidth="1" min="5" max="5"/>
    <col width="18" customWidth="1" min="6" max="6"/>
  </cols>
  <sheetData>
    <row r="1" ht="38" customHeight="1">
      <c r="A1" s="5" t="inlineStr">
        <is>
          <t>Goods financial plan</t>
        </is>
      </c>
    </row>
    <row r="2" ht="28" customHeight="1">
      <c r="A2" s="4" t="n"/>
      <c r="B2" s="4" t="n"/>
      <c r="C2" s="4" t="n"/>
      <c r="D2" s="4" t="n"/>
      <c r="E2" s="4" t="n"/>
      <c r="F2" s="4" t="n"/>
    </row>
    <row r="3" ht="54" customHeight="1">
      <c r="A3" s="6" t="inlineStr">
        <is>
          <t>Read Alignment first: who pays for what, every incoming line, buyers and grants to date, outgoings, options, balances and the plan. Phase and raise holds the cost bridge and funding gap. This Start sheet retains the selected detailed forecast and target costing. AUD, ex-GST.</t>
        </is>
      </c>
    </row>
    <row r="4" ht="28" customHeight="1">
      <c r="A4" s="4" t="n"/>
      <c r="B4" s="4" t="n"/>
      <c r="C4" s="4" t="n"/>
      <c r="D4" s="4" t="n"/>
      <c r="E4" s="4" t="n"/>
      <c r="F4" s="4" t="n"/>
    </row>
    <row r="5" ht="54" customHeight="1">
      <c r="A5" s="8" t="inlineStr">
        <is>
          <t>Current view</t>
        </is>
      </c>
      <c r="B5" s="8" t="inlineStr">
        <is>
          <t>Value</t>
        </is>
      </c>
      <c r="C5" s="8" t="inlineStr">
        <is>
          <t>What it means</t>
        </is>
      </c>
      <c r="D5" s="8" t="str"/>
      <c r="E5" s="8" t="str"/>
      <c r="F5" s="8" t="str"/>
    </row>
    <row r="6" ht="46" customHeight="1">
      <c r="A6" s="4" t="inlineStr">
        <is>
          <t>Selected case</t>
        </is>
      </c>
      <c r="B6" s="34">
        <f>'Assumptions'!B6</f>
        <v/>
      </c>
      <c r="C6" s="4" t="inlineStr">
        <is>
          <t>Choose the case on Assumptions. All forecasts follow it.</t>
        </is>
      </c>
    </row>
    <row r="7" ht="46" customHeight="1">
      <c r="A7" s="4" t="inlineStr">
        <is>
          <t>Beds supported by current capacity</t>
        </is>
      </c>
      <c r="B7" s="127">
        <f>INDEX('Cases'!H6:H10,MATCH('Assumptions'!B6,'Cases'!A6:A10,0))</f>
        <v/>
      </c>
      <c r="C7" s="4" t="inlineStr">
        <is>
          <t>Compare with the 400-bed target and capacity gap below. These are not confirmed orders.</t>
        </is>
      </c>
    </row>
    <row r="8" ht="46" customHeight="1">
      <c r="A8" s="4" t="inlineStr">
        <is>
          <t>Goods priced spending in Year 1</t>
        </is>
      </c>
      <c r="B8" s="128">
        <f>INDEX('Cases'!I6:I10,MATCH('Assumptions'!B6,'Cases'!A6:A10,0))</f>
        <v/>
      </c>
      <c r="C8" s="4" t="inlineStr">
        <is>
          <t>Forecast at current capacity, including existing facility, central work and capital. It is not the complete 400-bed programme or incremental raise.</t>
        </is>
      </c>
    </row>
    <row r="9" ht="46" customHeight="1">
      <c r="A9" s="4" t="inlineStr">
        <is>
          <t>Money assumed to come in</t>
        </is>
      </c>
      <c r="B9" s="128">
        <f>INDEX('Cases'!J6:J10,MATCH('Assumptions'!B6,'Cases'!A6:A10,0))</f>
        <v/>
      </c>
      <c r="C9" s="4" t="inlineStr">
        <is>
          <t>A scenario that includes possible grants and borrowing. It is not secured funding.</t>
        </is>
      </c>
    </row>
    <row r="10" ht="46" customHeight="1">
      <c r="A10" s="4" t="inlineStr">
        <is>
          <t>Highest Year 1 cash shortfall</t>
        </is>
      </c>
      <c r="B10" s="128">
        <f>INDEX('Cases'!L6:L10,MATCH('Assumptions'!B6,'Cases'!A6:A10,0))</f>
        <v/>
      </c>
      <c r="C10" s="4" t="inlineStr">
        <is>
          <t>Goods operating cash need under this scenario. It is not the QBE request.</t>
        </is>
      </c>
    </row>
    <row r="11" ht="46" customHeight="1">
      <c r="A11" s="4" t="inlineStr">
        <is>
          <t>Year 1 loan payments</t>
        </is>
      </c>
      <c r="B11" s="128">
        <f>INDEX('Cases'!K6:K10,MATCH('Assumptions'!B6,'Cases'!A6:A10,0))</f>
        <v/>
      </c>
      <c r="C11" s="4" t="inlineStr">
        <is>
          <t>Principal and interest under the proposed borrowing scenario.</t>
        </is>
      </c>
    </row>
    <row r="12" ht="46" customHeight="1">
      <c r="A12" s="4" t="inlineStr">
        <is>
          <t>Cost lines still missing</t>
        </is>
      </c>
      <c r="B12" s="127">
        <f>INDEX('Cases'!N6:N10,MATCH('Assumptions'!B6,'Cases'!A6:A10,0))</f>
        <v/>
      </c>
      <c r="C12" s="4" t="inlineStr">
        <is>
          <t>The plan is not fully priced while this is above zero.</t>
        </is>
      </c>
    </row>
    <row r="13" ht="46" customHeight="1">
      <c r="A13" s="4" t="inlineStr">
        <is>
          <t>Fully priced and feasible Year 1 plan</t>
        </is>
      </c>
      <c r="B13" s="128">
        <f>IF(AND('Assumptions'!B8="Yes",B12=0,B17=0,B46=0),B8,"")</f>
        <v/>
      </c>
      <c r="C13" s="4" t="inlineStr">
        <is>
          <t>Blank until cost scope, required inputs and the production capacity gap are resolved.</t>
        </is>
      </c>
    </row>
    <row r="14" ht="46" customHeight="1">
      <c r="A14" s="4" t="inlineStr">
        <is>
          <t>Funding actually secured</t>
        </is>
      </c>
      <c r="B14" s="128">
        <f>'Funding'!F19</f>
        <v/>
      </c>
      <c r="C14" s="4" t="inlineStr">
        <is>
          <t>Only received funds or signed commitments with satisfied conditions.</t>
        </is>
      </c>
    </row>
    <row r="15" ht="46" customHeight="1">
      <c r="A15" s="4" t="inlineStr">
        <is>
          <t>QBE allocation difference</t>
        </is>
      </c>
      <c r="B15" s="128">
        <f>INDEX('Cases'!O6:O10,MATCH('Assumptions'!B6,'Cases'!A6:A10,0))</f>
        <v/>
      </c>
      <c r="C15" s="4" t="inlineStr">
        <is>
          <t>Zero means the draft allocation adds to the request. It does not mean QBE has approved it.</t>
        </is>
      </c>
    </row>
    <row r="16" ht="46" customHeight="1">
      <c r="A16" s="4" t="inlineStr">
        <is>
          <t>Opening balance inputs completed</t>
        </is>
      </c>
      <c r="B16" s="127">
        <f>'Assumptions'!B47</f>
        <v/>
      </c>
      <c r="C16" s="4" t="inlineStr">
        <is>
          <t>Ten opening figures are required. Enter zero only when zero is verified.</t>
        </is>
      </c>
    </row>
    <row r="17" ht="46" customHeight="1">
      <c r="A17" s="4" t="inlineStr">
        <is>
          <t>Forecast input errors</t>
        </is>
      </c>
      <c r="B17" s="127">
        <f>SUMIFS(CashSchedule[Invalid inputs],CashSchedule[Case],'Assumptions'!B6)</f>
        <v/>
      </c>
      <c r="C17" s="4" t="inlineStr">
        <is>
          <t>Must be zero before relying on forecast outputs.</t>
        </is>
      </c>
    </row>
    <row r="18" ht="46" customHeight="1">
      <c r="A18" s="4" t="inlineStr">
        <is>
          <t>Original source tabs preserved</t>
        </is>
      </c>
      <c r="B18" s="127">
        <f>COUNTA(SourceCoverage[Original tab])</f>
        <v/>
      </c>
      <c r="C18" s="4" t="inlineStr">
        <is>
          <t>All 27 supplied source tabs have a recorded destination and preserved contents.</t>
        </is>
      </c>
    </row>
    <row r="19" ht="28" customHeight="1">
      <c r="A19" s="4" t="n"/>
      <c r="B19" s="4" t="n"/>
      <c r="C19" s="4" t="n"/>
      <c r="D19" s="4" t="n"/>
      <c r="E19" s="4" t="n"/>
      <c r="F19" s="4" t="n"/>
    </row>
    <row r="20" ht="28" customHeight="1">
      <c r="A20" s="4" t="n"/>
      <c r="B20" s="4" t="n"/>
      <c r="C20" s="4" t="n"/>
      <c r="D20" s="4" t="n"/>
      <c r="E20" s="4" t="n"/>
      <c r="F20" s="4" t="n"/>
    </row>
    <row r="21" ht="54" customHeight="1">
      <c r="A21" s="8" t="inlineStr">
        <is>
          <t>Funder and partner view</t>
        </is>
      </c>
      <c r="B21" s="8" t="inlineStr">
        <is>
          <t>Question</t>
        </is>
      </c>
      <c r="C21" s="8" t="inlineStr">
        <is>
          <t>Plain answer</t>
        </is>
      </c>
      <c r="D21" s="8" t="str"/>
      <c r="E21" s="8" t="str"/>
      <c r="F21" s="8" t="str"/>
    </row>
    <row r="22" ht="52" customHeight="1">
      <c r="A22" s="4" t="inlineStr">
        <is>
          <t>QBE</t>
        </is>
      </c>
      <c r="B22" s="4" t="inlineStr">
        <is>
          <t>What would the grant buy?</t>
        </is>
      </c>
      <c r="C22" s="4" t="inlineStr">
        <is>
          <t>Contribution to initial trading stock, agreed support and/or separate infrastructure. Final amount and allocation remain open.</t>
        </is>
      </c>
    </row>
    <row r="23" ht="52" customHeight="1">
      <c r="A23" s="4" t="inlineStr">
        <is>
          <t>Sefa</t>
        </is>
      </c>
      <c r="B23" s="4" t="inlineStr">
        <is>
          <t>What could the loan finance?</t>
        </is>
      </c>
      <c r="C23" s="4" t="inlineStr">
        <is>
          <t>Up to $200,000 of eligible facility capital is proposed. No loan is approved, and grant and loan money must not pay the same item.</t>
        </is>
      </c>
    </row>
    <row r="24" ht="52" customHeight="1">
      <c r="A24" s="4" t="inlineStr">
        <is>
          <t>Sefa</t>
        </is>
      </c>
      <c r="B24" s="4" t="inlineStr">
        <is>
          <t>What would repay the loan?</t>
        </is>
      </c>
      <c r="C24" s="4" t="inlineStr">
        <is>
          <t>Not yet proven. Repayment must come from evidenced Butterfly / Goods cash flow. Community bed-sale proceeds stay with community and are excluded.</t>
        </is>
      </c>
    </row>
    <row r="25" ht="52" customHeight="1">
      <c r="A25" s="4" t="inlineStr">
        <is>
          <t>Community organisations</t>
        </is>
      </c>
      <c r="B25" s="4" t="inlineStr">
        <is>
          <t>Who funds and runs local operations?</t>
        </is>
      </c>
      <c r="C25" s="4" t="inlineStr">
        <is>
          <t>Goods funds initial stock, delivery and agreed initial programme support. Community organisations fund ongoing operations and retain their sales proceeds.</t>
        </is>
      </c>
    </row>
    <row r="26" ht="52" customHeight="1">
      <c r="A26" s="4" t="inlineStr">
        <is>
          <t>Impact</t>
        </is>
      </c>
      <c r="B26" s="4" t="inlineStr">
        <is>
          <t>What change is planned?</t>
        </is>
      </c>
      <c r="C26" s="4" t="inlineStr">
        <is>
          <t>Useful beds, recycled material used in production, paid participation and stronger local operating capability. No automatic bed, job or clinical outcome follows from a grant amount.</t>
        </is>
      </c>
    </row>
    <row r="27" ht="52" customHeight="1">
      <c r="A27" s="4" t="inlineStr">
        <is>
          <t>Evidence</t>
        </is>
      </c>
      <c r="B27" s="4" t="inlineStr">
        <is>
          <t>How will progress be checked?</t>
        </is>
      </c>
      <c r="C27" s="4" t="inlineStr">
        <is>
          <t>Delivery and repair records, weighed production batches, paid-hour and payment records, and agreements showing operator, asset and decision responsibilities.</t>
        </is>
      </c>
    </row>
    <row r="28" ht="52" customHeight="1">
      <c r="A28" s="4" t="inlineStr">
        <is>
          <t>Sustainability</t>
        </is>
      </c>
      <c r="B28" s="4" t="inlineStr">
        <is>
          <t>What keeps the system working?</t>
        </is>
      </c>
      <c r="C28" s="4" t="inlineStr">
        <is>
          <t>Confirmed buyers and orders, funded local operations, affordable finance with a separate repayment source, maintained equipment, quality support and clear community decision rights.</t>
        </is>
      </c>
    </row>
    <row r="29" ht="28" customHeight="1">
      <c r="A29" s="4" t="n"/>
      <c r="B29" s="4" t="n"/>
      <c r="C29" s="4" t="n"/>
      <c r="D29" s="4" t="n"/>
      <c r="E29" s="4" t="n"/>
      <c r="F29" s="4" t="n"/>
    </row>
    <row r="30" ht="28" customHeight="1">
      <c r="A30" s="4" t="n"/>
      <c r="B30" s="4" t="n"/>
      <c r="C30" s="4" t="n"/>
      <c r="D30" s="4" t="n"/>
      <c r="E30" s="4" t="n"/>
      <c r="F30" s="4" t="n"/>
    </row>
    <row r="31" ht="28" customHeight="1">
      <c r="A31" s="4" t="n"/>
      <c r="B31" s="4" t="n"/>
      <c r="C31" s="4" t="n"/>
      <c r="D31" s="4" t="n"/>
      <c r="E31" s="4" t="n"/>
      <c r="F31" s="4" t="n"/>
    </row>
    <row r="32" ht="60" customHeight="1">
      <c r="A32" s="4" t="inlineStr">
        <is>
          <t>One master</t>
        </is>
      </c>
      <c r="B32" s="4" t="n"/>
      <c r="C32" s="4" t="inlineStr">
        <is>
          <t>Maintain this workbook as the detailed source. Attachments are dated snapshots and do not auto-sync.</t>
        </is>
      </c>
    </row>
    <row r="33" ht="60" customHeight="1">
      <c r="A33" s="4" t="n"/>
      <c r="B33" s="4" t="n"/>
      <c r="C33" s="4" t="n"/>
      <c r="D33" s="4" t="n"/>
      <c r="E33" s="4" t="n"/>
      <c r="F33" s="4" t="n"/>
    </row>
    <row r="34" ht="60" customHeight="1">
      <c r="A34" s="4" t="inlineStr">
        <is>
          <t>What to edit</t>
        </is>
      </c>
      <c r="B34" s="4" t="n"/>
      <c r="C34" s="4" t="inlineStr">
        <is>
          <t>Blue cells are inputs. Formulas stay protected. Record a source and status for every material change.</t>
        </is>
      </c>
    </row>
    <row r="35" ht="60" customHeight="1">
      <c r="A35" s="4" t="n"/>
      <c r="B35" s="4" t="n"/>
      <c r="C35" s="4" t="n"/>
      <c r="D35" s="4" t="n"/>
      <c r="E35" s="4" t="n"/>
      <c r="F35" s="4" t="n"/>
    </row>
    <row r="36" ht="60" customHeight="1">
      <c r="A36" s="4" t="inlineStr">
        <is>
          <t>Before sharing</t>
        </is>
      </c>
      <c r="B36" s="4" t="n"/>
      <c r="C36" s="4" t="inlineStr">
        <is>
          <t>Resolve the capacity gap, programme support, quotes, cost overlaps, funding allocation and cash timing before approving a complete budget or final request.</t>
        </is>
      </c>
    </row>
    <row r="37" ht="28" customHeight="1">
      <c r="A37" s="4" t="n"/>
      <c r="B37" s="4" t="n"/>
      <c r="C37" s="4" t="n"/>
      <c r="D37" s="4" t="n"/>
      <c r="E37" s="4" t="n"/>
      <c r="F37" s="4" t="n"/>
    </row>
    <row r="38" ht="28" customHeight="1">
      <c r="A38" s="4" t="n"/>
      <c r="B38" s="4" t="n"/>
      <c r="C38" s="4" t="n"/>
      <c r="D38" s="4" t="n"/>
      <c r="E38" s="4" t="n"/>
      <c r="F38" s="4" t="n"/>
    </row>
    <row r="39" ht="28" customHeight="1">
      <c r="A39" s="4" t="n"/>
      <c r="B39" s="4" t="n"/>
      <c r="C39" s="4" t="n"/>
      <c r="D39" s="4" t="n"/>
      <c r="E39" s="4" t="n"/>
      <c r="F39" s="4" t="n"/>
    </row>
    <row r="40" ht="44" customHeight="1">
      <c r="A40" s="115" t="inlineStr">
        <is>
          <t>First-year target and cost review</t>
        </is>
      </c>
      <c r="B40" s="115" t="n"/>
      <c r="C40" s="115" t="inlineStr">
        <is>
          <t>Agreed direction, 9 September 2026. Costs are planning estimates.</t>
        </is>
      </c>
    </row>
    <row r="41" ht="28" customHeight="1">
      <c r="A41" s="4" t="n"/>
      <c r="B41" s="4" t="n"/>
      <c r="C41" s="4" t="n"/>
      <c r="D41" s="4" t="n"/>
      <c r="E41" s="4" t="n"/>
      <c r="F41" s="4" t="n"/>
    </row>
    <row r="42" ht="62" customHeight="1">
      <c r="A42" s="4" t="inlineStr">
        <is>
          <t>Initial trading-stock target</t>
        </is>
      </c>
      <c r="B42" s="4">
        <f>'Sites'!I6</f>
        <v/>
      </c>
      <c r="C42" s="4" t="inlineStr">
        <is>
          <t>Made at the current production facility at The Harvest.</t>
        </is>
      </c>
    </row>
    <row r="43" ht="62" customHeight="1">
      <c r="A43" s="4" t="inlineStr">
        <is>
          <t>Modelled finished beds per day</t>
        </is>
      </c>
      <c r="B43" s="4">
        <f>IF('Sites'!C6="Own sheets",'NM Play'!B49,'NM Play'!C49)</f>
        <v/>
      </c>
      <c r="C43" s="4" t="inlineStr">
        <is>
          <t>Process assumption, not a measured sustained production rate.</t>
        </is>
      </c>
    </row>
    <row r="44" ht="62" customHeight="1">
      <c r="A44" s="114" t="inlineStr">
        <is>
          <t>Production days currently available</t>
        </is>
      </c>
      <c r="B44" s="114">
        <f>SUM('Assumptions'!D67:O67)</f>
        <v/>
      </c>
      <c r="C44" s="114" t="inlineStr">
        <is>
          <t>Existing monthly roster assumptions retained.</t>
        </is>
      </c>
    </row>
    <row r="45" ht="62" customHeight="1">
      <c r="A45" s="114" t="inlineStr">
        <is>
          <t>Selected Year 1 output</t>
        </is>
      </c>
      <c r="B45" s="114">
        <f>B7</f>
        <v/>
      </c>
      <c r="C45" s="114" t="inlineStr">
        <is>
          <t>Actual output of the linked capacity-constrained schedule.</t>
        </is>
      </c>
    </row>
    <row r="46" ht="62" customHeight="1">
      <c r="A46" s="114" t="inlineStr">
        <is>
          <t>Beds above current capacity</t>
        </is>
      </c>
      <c r="B46" s="114">
        <f>MAX(0,B42-B45)</f>
        <v/>
      </c>
      <c r="C46" s="114" t="inlineStr">
        <is>
          <t>Target less scheduled output. Do not count this as delivered stock.</t>
        </is>
      </c>
    </row>
    <row r="47" ht="62" customHeight="1">
      <c r="A47" s="114" t="inlineStr">
        <is>
          <t>Minimum productive days for target</t>
        </is>
      </c>
      <c r="B47" s="114">
        <f>IF(B43&gt;0,ROUNDUP(B42/B43,0),"")</f>
        <v/>
      </c>
      <c r="C47" s="114" t="inlineStr">
        <is>
          <t>Theoretical minimum, before downtime; with zero opening stock.</t>
        </is>
      </c>
    </row>
    <row r="48" ht="62" customHeight="1">
      <c r="A48" s="114" t="inlineStr">
        <is>
          <t>Making cost per target bed</t>
        </is>
      </c>
      <c r="B48" s="129">
        <f>IF('Sites'!D6="Annual staff",IF('Sites'!C6="Own sheets",'NM Play'!B66,'NM Play'!C66),IF('Sites'!C6="Own sheets",'NM Play'!B65,'NM Play'!C65)-'NM Play'!B64)+'Sites'!Z6*'NM Play'!B32</f>
        <v/>
      </c>
      <c r="C48" s="114" t="inlineStr">
        <is>
          <t>NM inputs before freight, excluding annual crew/rent. The original expert $295.74 included freight under different material assumptions; see Phase and raise.</t>
        </is>
      </c>
    </row>
    <row r="49" ht="62" customHeight="1">
      <c r="A49" s="114" t="inlineStr">
        <is>
          <t>Freight per target bed</t>
        </is>
      </c>
      <c r="B49" s="129">
        <f>'Sites'!R6</f>
        <v/>
      </c>
      <c r="C49" s="114" t="inlineStr">
        <is>
          <t>Inherited estimate; actual community routes need quotes.</t>
        </is>
      </c>
    </row>
    <row r="50" ht="62" customHeight="1">
      <c r="A50" s="114" t="inlineStr">
        <is>
          <t>Making the target stock</t>
        </is>
      </c>
      <c r="B50" s="129">
        <f>B42*B48</f>
        <v/>
      </c>
      <c r="C50" s="114" t="inlineStr">
        <is>
          <t>Target pricing, not the current capacity-constrained cash forecast.</t>
        </is>
      </c>
    </row>
    <row r="51" ht="62" customHeight="1">
      <c r="A51" s="114" t="inlineStr">
        <is>
          <t>Delivering the target stock</t>
        </is>
      </c>
      <c r="B51" s="129">
        <f>B42*B49</f>
        <v/>
      </c>
      <c r="C51" s="114" t="inlineStr">
        <is>
          <t>Target quantity multiplied by the current freight estimate.</t>
        </is>
      </c>
    </row>
    <row r="52" ht="62" customHeight="1">
      <c r="A52" s="114" t="inlineStr">
        <is>
          <t>Two-facility capital allowance</t>
        </is>
      </c>
      <c r="B52" s="129">
        <f>SUM('Capital'!E7:E8)</f>
        <v/>
      </c>
      <c r="C52" s="114" t="inlineStr">
        <is>
          <t>Separate from the initial stock. Equipment/setup scope and quotations remain open.</t>
        </is>
      </c>
    </row>
    <row r="53" ht="62" customHeight="1">
      <c r="A53" s="114" t="inlineStr">
        <is>
          <t>Current facility annual fixed costs</t>
        </is>
      </c>
      <c r="B53" s="129">
        <f>'Responsibilities'!B22</f>
        <v/>
      </c>
      <c r="C53" s="114" t="inlineStr">
        <is>
          <t>Inherited annual operating provision; no additional staffing budget invented.</t>
        </is>
      </c>
    </row>
    <row r="54" ht="62" customHeight="1">
      <c r="A54" s="114" t="inlineStr">
        <is>
          <t>Goods central annual provision</t>
        </is>
      </c>
      <c r="B54" s="129">
        <f>'Responsibilities'!B24</f>
        <v/>
      </c>
      <c r="C54" s="114" t="inlineStr">
        <is>
          <t>Existing provision, including a known cost-overlap question. Attribution to the raise remains open.</t>
        </is>
      </c>
    </row>
    <row r="55" ht="62" customHeight="1">
      <c r="A55" s="118" t="inlineStr">
        <is>
          <t>Priced components for target</t>
        </is>
      </c>
      <c r="B55" s="130">
        <f>SUM(B50:B54)</f>
        <v/>
      </c>
      <c r="C55" s="118" t="inlineStr">
        <is>
          <t>Incomplete full annual scope. Programme cost attribution remains unresolved; this is not the incremental raise. See Phase and raise.</t>
        </is>
      </c>
    </row>
    <row r="56" ht="62" customHeight="1">
      <c r="A56" s="114" t="inlineStr">
        <is>
          <t>Initial programme support</t>
        </is>
      </c>
      <c r="B56" s="129" t="n"/>
      <c r="C56" s="114" t="inlineStr">
        <is>
          <t>Unpriced. Enter agreed additional cost on Responsibilities B35; community count and support scope remain open.</t>
        </is>
      </c>
    </row>
    <row r="57" ht="62" customHeight="1">
      <c r="A57" s="114" t="inlineStr">
        <is>
          <t>Priced additional establishment</t>
        </is>
      </c>
      <c r="B57" s="129">
        <f>'Responsibilities'!B38</f>
        <v/>
      </c>
      <c r="C57" s="114" t="inlineStr">
        <is>
          <t>Entered amounts only. A zero total does not mean no cost.</t>
        </is>
      </c>
    </row>
    <row r="58" ht="62" customHeight="1">
      <c r="A58" s="114" t="inlineStr">
        <is>
          <t>Open establishment lines</t>
        </is>
      </c>
      <c r="B58" s="131">
        <f>'Responsibilities'!B39</f>
        <v/>
      </c>
      <c r="C58" s="114" t="inlineStr">
        <is>
          <t>Includes initial community programmes and enterprise support.</t>
        </is>
      </c>
    </row>
    <row r="60" ht="62" customHeight="1">
      <c r="A60" s="114" t="inlineStr">
        <is>
          <t>Community sales income</t>
        </is>
      </c>
      <c r="B60" s="114" t="n"/>
      <c r="C60" s="114" t="inlineStr">
        <is>
          <t>All proceeds remain with community organisations. No sales quantity or price is agreed.</t>
        </is>
      </c>
    </row>
    <row r="61" ht="62" customHeight="1">
      <c r="A61" s="114" t="inlineStr">
        <is>
          <t>Loan repayment source</t>
        </is>
      </c>
      <c r="B61" s="114" t="n"/>
      <c r="C61" s="114" t="inlineStr">
        <is>
          <t>Not established. Community receipts cannot repay Goods debt.</t>
        </is>
      </c>
    </row>
    <row r="62" ht="62" customHeight="1">
      <c r="A62" s="114" t="inlineStr">
        <is>
          <t>Longer-term direction</t>
        </is>
      </c>
      <c r="B62" s="114" t="n"/>
      <c r="C62" s="114" t="inlineStr">
        <is>
          <t>Five and ten years describe community enterprise and shared capability. Years 2 and 3 in this workbook remain inherited planning scenarios.</t>
        </is>
      </c>
    </row>
  </sheetData>
  <mergeCells count="46">
    <mergeCell ref="C52:F52"/>
    <mergeCell ref="C48:F48"/>
    <mergeCell ref="C61:F61"/>
    <mergeCell ref="C17:F17"/>
    <mergeCell ref="C23:F23"/>
    <mergeCell ref="C8:F8"/>
    <mergeCell ref="C7:F7"/>
    <mergeCell ref="C32:F32"/>
    <mergeCell ref="A3:F3"/>
    <mergeCell ref="C57:F57"/>
    <mergeCell ref="C28:F28"/>
    <mergeCell ref="C13:F13"/>
    <mergeCell ref="C18:F18"/>
    <mergeCell ref="C53:F53"/>
    <mergeCell ref="C49:F49"/>
    <mergeCell ref="C34:F34"/>
    <mergeCell ref="C6:F6"/>
    <mergeCell ref="C62:F62"/>
    <mergeCell ref="C15:F15"/>
    <mergeCell ref="C24:F24"/>
    <mergeCell ref="C42:F42"/>
    <mergeCell ref="C58:F58"/>
    <mergeCell ref="C14:F14"/>
    <mergeCell ref="C45:F45"/>
    <mergeCell ref="C26:F26"/>
    <mergeCell ref="C16:F16"/>
    <mergeCell ref="C54:F54"/>
    <mergeCell ref="C25:F25"/>
    <mergeCell ref="C10:F10"/>
    <mergeCell ref="C47:F47"/>
    <mergeCell ref="C55:F55"/>
    <mergeCell ref="C50:F50"/>
    <mergeCell ref="C44:F44"/>
    <mergeCell ref="C22:F22"/>
    <mergeCell ref="C40:F40"/>
    <mergeCell ref="C9:F9"/>
    <mergeCell ref="C56:F56"/>
    <mergeCell ref="A1:F1"/>
    <mergeCell ref="C12:F12"/>
    <mergeCell ref="C43:F43"/>
    <mergeCell ref="C46:F46"/>
    <mergeCell ref="C11:F11"/>
    <mergeCell ref="C51:F51"/>
    <mergeCell ref="C27:F27"/>
    <mergeCell ref="C60:F60"/>
    <mergeCell ref="C36:F3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64" customWidth="1" min="1" max="1"/>
    <col width="18" customWidth="1" min="2" max="2"/>
    <col width="70" customWidth="1" min="3" max="3"/>
  </cols>
  <sheetData>
    <row r="1">
      <c r="A1" s="184" t="inlineStr">
        <is>
          <t>The model on one sheet (reads the other sheets; change nothing here)</t>
        </is>
      </c>
    </row>
    <row r="3">
      <c r="A3" s="184" t="inlineStr">
        <is>
          <t>1. Mission</t>
        </is>
      </c>
    </row>
    <row r="4">
      <c r="A4" s="185" t="inlineStr">
        <is>
          <t>Manufacturing and economic ownership moved into community. Beds are the first proven product. Success is enterprises operating and revenue kept locally, not beds made. Five layers: community demand; catalytic capital pays Goods $750 a bed for first stock; the community enterprise sells to institutional buyers and keeps the money; manufacturing transfer through plants; shared services and governance through The Butterfly Movement Ltd.</t>
        </is>
      </c>
    </row>
    <row r="6">
      <c r="A6" s="184" t="inlineStr">
        <is>
          <t>2. Impact, per bed and this year</t>
        </is>
      </c>
    </row>
    <row r="7">
      <c r="A7" s="185" t="inlineStr">
        <is>
          <t>Beds funded, tiers 1 and 2</t>
        </is>
      </c>
      <c r="B7" s="187">
        <f>'Phase and raise'!B124</f>
        <v/>
      </c>
    </row>
    <row r="8">
      <c r="A8" s="185" t="inlineStr">
        <is>
          <t>Employment: labour hours (2 a bed)</t>
        </is>
      </c>
      <c r="B8" s="187">
        <f>'Phase and raise'!B124*'Plan to July 2027'!B79/'Plan to July 2027'!B80</f>
        <v/>
      </c>
    </row>
    <row r="9">
      <c r="A9" s="185" t="inlineStr">
        <is>
          <t>Community: enterprises with 100 beds to sell</t>
        </is>
      </c>
      <c r="B9" s="187">
        <f>'Phase and raise'!B126</f>
        <v/>
      </c>
    </row>
    <row r="10">
      <c r="A10" s="185" t="inlineStr">
        <is>
          <t>Economic: $ kept locally when the community sells them</t>
        </is>
      </c>
      <c r="B10" s="187">
        <f>'Phase and raise'!B124*'Bed calculator'!B44</f>
        <v/>
      </c>
    </row>
    <row r="11">
      <c r="A11" s="185" t="inlineStr">
        <is>
          <t>Recycling: kg of HDPE out of landfill</t>
        </is>
      </c>
      <c r="B11" s="187">
        <f>'Phase and raise'!B124*'Phase and raise'!B150</f>
        <v/>
      </c>
    </row>
    <row r="12">
      <c r="A12" s="185" t="inlineStr">
        <is>
          <t>Health: people off the floor (the reason, never a claimed outcome)</t>
        </is>
      </c>
      <c r="B12" s="187">
        <f>'Phase and raise'!B124</f>
        <v/>
      </c>
    </row>
    <row r="14">
      <c r="A14" s="184" t="inlineStr">
        <is>
          <t>3. Last year, the whole ledger (Xero FY26, accrual)</t>
        </is>
      </c>
    </row>
    <row r="15">
      <c r="A15" s="185" t="inlineStr">
        <is>
          <t>Income</t>
        </is>
      </c>
      <c r="B15" s="187" t="n">
        <v>1640724</v>
      </c>
      <c r="C15" s="171" t="inlineStr">
        <is>
          <t>Other revenue $1,371,344; grants $154,558; consulting $78,102; rent $36,720</t>
        </is>
      </c>
    </row>
    <row r="16">
      <c r="A16" s="185" t="inlineStr">
        <is>
          <t>Expenses</t>
        </is>
      </c>
      <c r="B16" s="187" t="n">
        <v>1472755</v>
      </c>
      <c r="C16" s="171" t="inlineStr">
        <is>
          <t>Materials $363K, travel $233K, consulting and accounting $174K, sub-contractors $167K, marketing $142K, the rest $394K</t>
        </is>
      </c>
    </row>
    <row r="17">
      <c r="A17" s="185" t="inlineStr">
        <is>
          <t>Net, before founder wages</t>
        </is>
      </c>
      <c r="B17" s="187" t="n">
        <v>167970</v>
      </c>
      <c r="C17" s="171" t="inlineStr">
        <is>
          <t>Wages $0</t>
        </is>
      </c>
    </row>
    <row r="18">
      <c r="A18" s="185" t="inlineStr">
        <is>
          <t>Goods-tagged receipts</t>
        </is>
      </c>
      <c r="B18" s="187" t="n">
        <v>653246</v>
      </c>
      <c r="C18" s="171" t="inlineStr">
        <is>
          <t>Sheet FY26 invoices</t>
        </is>
      </c>
    </row>
    <row r="19">
      <c r="A19" s="185" t="inlineStr">
        <is>
          <t>Goods-tagged bills</t>
        </is>
      </c>
      <c r="B19" s="187" t="n">
        <v>286507</v>
      </c>
      <c r="C19" s="171" t="inlineStr">
        <is>
          <t>ACT-GD project code</t>
        </is>
      </c>
    </row>
    <row r="21">
      <c r="A21" s="184" t="inlineStr">
        <is>
          <t>4. One bed</t>
        </is>
      </c>
    </row>
    <row r="22">
      <c r="A22" s="185" t="inlineStr">
        <is>
          <t>Price at the factory door</t>
        </is>
      </c>
      <c r="B22" s="187">
        <f>'Phase and raise'!B87</f>
        <v/>
      </c>
    </row>
    <row r="23">
      <c r="A23" s="185" t="inlineStr">
        <is>
          <t>Cost to make it (labour inside)</t>
        </is>
      </c>
      <c r="B23" s="187">
        <f>'Phase and raise'!B88</f>
        <v/>
      </c>
    </row>
    <row r="24">
      <c r="A24" s="185" t="inlineStr">
        <is>
          <t>Stays with Goods</t>
        </is>
      </c>
      <c r="B24" s="187">
        <f>'Phase and raise'!B89</f>
        <v/>
      </c>
    </row>
    <row r="25">
      <c r="A25" s="185" t="inlineStr">
        <is>
          <t>Running the business a year</t>
        </is>
      </c>
      <c r="B25" s="187">
        <f>'Phase and raise'!B92</f>
        <v/>
      </c>
    </row>
    <row r="26">
      <c r="A26" s="185" t="inlineStr">
        <is>
          <t>Beds a year that carry it on beds alone</t>
        </is>
      </c>
      <c r="B26" s="187">
        <f>'Phase and raise'!B93</f>
        <v/>
      </c>
    </row>
    <row r="28">
      <c r="A28" s="184" t="inlineStr">
        <is>
          <t>5. Every way a bed gets paid for</t>
        </is>
      </c>
    </row>
    <row r="29">
      <c r="A29" s="185" t="inlineStr">
        <is>
          <t>Tier 1, invited: beds</t>
        </is>
      </c>
      <c r="B29" s="187">
        <f>'Phase and raise'!B123</f>
        <v/>
      </c>
    </row>
    <row r="30">
      <c r="A30" s="185" t="inlineStr">
        <is>
          <t>Tiers 1 and 2, asks to make: beds</t>
        </is>
      </c>
      <c r="B30" s="187">
        <f>'Phase and raise'!B124</f>
        <v/>
      </c>
    </row>
    <row r="31">
      <c r="A31" s="185" t="inlineStr">
        <is>
          <t>Tiers 1 to 3, with repayable capital: beds</t>
        </is>
      </c>
      <c r="B31" s="187">
        <f>'Phase and raise'!B125</f>
        <v/>
      </c>
    </row>
    <row r="32">
      <c r="A32" s="185" t="inlineStr">
        <is>
          <t>Catalytic capital still to find for the 400, $</t>
        </is>
      </c>
      <c r="B32" s="187">
        <f>'Phase and raise'!B98</f>
        <v/>
      </c>
    </row>
    <row r="33">
      <c r="A33" s="185" t="inlineStr">
        <is>
          <t>Buyers pay the community, never Goods: Centrecorp 130 on quote, NT Health and Miwatj, Shepherdson College, Ceduna Aboriginal Corporation in conversation.</t>
        </is>
      </c>
    </row>
    <row r="35">
      <c r="A35" s="184" t="inlineStr">
        <is>
          <t>6. Making</t>
        </is>
      </c>
    </row>
    <row r="36">
      <c r="A36" s="185" t="inlineStr">
        <is>
          <t>Beds ready to assemble now</t>
        </is>
      </c>
      <c r="B36" s="187">
        <f>'Bed calculator'!B27</f>
        <v/>
      </c>
    </row>
    <row r="37">
      <c r="A37" s="185" t="inlineStr">
        <is>
          <t>Beds possible from everything at Witta</t>
        </is>
      </c>
      <c r="B37" s="187">
        <f>'Bed calculator'!B28</f>
        <v/>
      </c>
    </row>
    <row r="38">
      <c r="A38" s="185" t="inlineStr">
        <is>
          <t>Witta a month, own panels / Defy legs</t>
        </is>
      </c>
      <c r="B38" s="197">
        <f>'Bed calculator'!B111</f>
        <v/>
      </c>
    </row>
    <row r="39">
      <c r="A39" s="185" t="inlineStr">
        <is>
          <t>First month the plan falls short</t>
        </is>
      </c>
      <c r="B39" s="189">
        <f>'Bed calculator'!B69</f>
        <v/>
      </c>
    </row>
    <row r="40">
      <c r="A40" s="185" t="inlineStr">
        <is>
          <t>Bulka bags of shred for the year</t>
        </is>
      </c>
      <c r="B40" s="187">
        <f>'Bed calculator'!B73</f>
        <v/>
      </c>
    </row>
    <row r="42">
      <c r="A42" s="184" t="inlineStr">
        <is>
          <t>7. The year to July 2027</t>
        </is>
      </c>
    </row>
    <row r="43">
      <c r="A43" s="185" t="inlineStr">
        <is>
          <t>Lowest closing cash, $</t>
        </is>
      </c>
      <c r="B43" s="187">
        <f>'Plan to July 2027'!B51</f>
        <v/>
      </c>
    </row>
    <row r="44">
      <c r="A44" s="185" t="inlineStr">
        <is>
          <t>Cash at July 2027, $</t>
        </is>
      </c>
      <c r="B44" s="187">
        <f>'Plan to July 2027'!B53</f>
        <v/>
      </c>
    </row>
    <row r="45">
      <c r="A45" s="185" t="inlineStr">
        <is>
          <t>Beds made, October to July</t>
        </is>
      </c>
      <c r="B45" s="187">
        <f>'Plan to July 2027'!B57</f>
        <v/>
      </c>
    </row>
    <row r="46">
      <c r="A46" s="185" t="inlineStr">
        <is>
          <t>Beds someone pays Goods for</t>
        </is>
      </c>
      <c r="B46" s="187">
        <f>'Plan to July 2027'!B59</f>
        <v/>
      </c>
    </row>
    <row r="47">
      <c r="A47" s="185" t="inlineStr">
        <is>
          <t>Operating result after operating support, $</t>
        </is>
      </c>
      <c r="B47" s="187">
        <f>'Plan to July 2027'!B65</f>
        <v/>
      </c>
    </row>
    <row r="49">
      <c r="A49" s="184" t="inlineStr">
        <is>
          <t>8. Community impact investing</t>
        </is>
      </c>
    </row>
    <row r="50">
      <c r="A50" s="185" t="inlineStr">
        <is>
          <t>Sefa loan, $</t>
        </is>
      </c>
      <c r="B50" s="187">
        <f>'Plan to July 2027'!B69</f>
        <v/>
      </c>
    </row>
    <row r="51">
      <c r="A51" s="185" t="inlineStr">
        <is>
          <t>Paid beds a year needed to service it</t>
        </is>
      </c>
      <c r="B51" s="187">
        <f>'Plan to July 2027'!B73</f>
        <v/>
      </c>
    </row>
    <row r="52">
      <c r="A52" s="185" t="inlineStr">
        <is>
          <t>Verdict</t>
        </is>
      </c>
      <c r="B52" s="197">
        <f>'Plan to July 2027'!B75</f>
        <v/>
      </c>
    </row>
    <row r="54">
      <c r="A54" s="184" t="inlineStr">
        <is>
          <t>9. The asks</t>
        </is>
      </c>
    </row>
    <row r="55">
      <c r="A55" s="185" t="inlineStr">
        <is>
          <t>All asks, $</t>
        </is>
      </c>
      <c r="B55" s="187">
        <f>'Plan to July 2027'!B92</f>
        <v/>
      </c>
    </row>
    <row r="56">
      <c r="A56" s="185" t="inlineStr">
        <is>
          <t>Beds those asks buy</t>
        </is>
      </c>
      <c r="B56" s="187">
        <f>'Plan to July 2027'!D92</f>
        <v/>
      </c>
    </row>
    <row r="57">
      <c r="A57" s="185" t="inlineStr">
        <is>
          <t>Money kept locally when sold, $</t>
        </is>
      </c>
      <c r="B57" s="187">
        <f>'Plan to July 2027'!G92</f>
        <v/>
      </c>
    </row>
    <row r="58">
      <c r="A58" s="185" t="inlineStr">
        <is>
          <t>kg diverted</t>
        </is>
      </c>
      <c r="B58" s="187">
        <f>'Plan to July 2027'!H92</f>
        <v/>
      </c>
    </row>
    <row r="60">
      <c r="A60" s="184" t="inlineStr">
        <is>
          <t>10. Where to play</t>
        </is>
      </c>
    </row>
    <row r="61">
      <c r="A61" s="185" t="inlineStr">
        <is>
          <t>Bed calculator: yellow cells for stock, prices, plant dates. Plan to July 2027: yellow cells for extra wages, extra marketing, freight recovery, every funder's month and include switch, plants, the loan. The money map artifact mirrors these live.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54"/>
  <sheetViews>
    <sheetView showGridLines="0" workbookViewId="0">
      <pane ySplit="5" topLeftCell="A6" activePane="bottomLeft" state="frozen"/>
      <selection activeCell="A1" sqref="A1"/>
    </sheetView>
  </sheetViews>
  <sheetFormatPr baseColWidth="8" defaultRowHeight="15"/>
  <cols>
    <col width="38" customWidth="1" min="1" max="1"/>
    <col width="18" customWidth="1" min="2" max="2"/>
    <col width="17"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s>
  <sheetData>
    <row r="1" ht="38" customHeight="1">
      <c r="A1" s="5" t="inlineStr">
        <is>
          <t>Goods assumptions</t>
        </is>
      </c>
    </row>
    <row r="2" ht="28"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row>
    <row r="3" ht="54" customHeight="1">
      <c r="A3" s="6" t="inlineStr">
        <is>
          <t>AUD. Blue cells are editable, including source-linked defaults. Monthly overrides are optional. Unknown opening balances and accounting policies remain blank.</t>
        </is>
      </c>
    </row>
    <row r="4" ht="28" customHeight="1">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row>
    <row r="5" ht="54" customHeight="1">
      <c r="A5" s="8" t="inlineStr">
        <is>
          <t>Assumption</t>
        </is>
      </c>
      <c r="B5" s="8" t="inlineStr">
        <is>
          <t>Value</t>
        </is>
      </c>
      <c r="C5" s="8" t="inlineStr">
        <is>
          <t>Unit</t>
        </is>
      </c>
      <c r="D5" s="8" t="inlineStr">
        <is>
          <t>Source / basis</t>
        </is>
      </c>
      <c r="H5" s="4" t="inlineStr">
        <is>
          <t>Meaning</t>
        </is>
      </c>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row>
    <row r="6" ht="42" customHeight="1">
      <c r="A6" s="4" t="inlineStr">
        <is>
          <t>Selected case</t>
        </is>
      </c>
      <c r="B6" s="132" t="inlineStr">
        <is>
          <t>Full</t>
        </is>
      </c>
      <c r="C6" s="4" t="inlineStr">
        <is>
          <t>case</t>
        </is>
      </c>
      <c r="D6" s="4" t="inlineStr">
        <is>
          <t>Cases</t>
        </is>
      </c>
      <c r="H6" s="4" t="inlineStr">
        <is>
          <t>One selector for all working outputs.</t>
        </is>
      </c>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row>
    <row r="7" ht="42" customHeight="1">
      <c r="A7" s="4" t="inlineStr">
        <is>
          <t>First forecast month</t>
        </is>
      </c>
      <c r="B7" s="133" t="n">
        <v>46357</v>
      </c>
      <c r="C7" s="4" t="inlineStr">
        <is>
          <t>date</t>
        </is>
      </c>
      <c r="D7" s="4" t="inlineStr">
        <is>
          <t>Ben 9 Sep 2026: December 2026, the first month QBE cash could land after the 13 Nov pre-condition date. Months 1 to 7 fall in FY27 (to 30 Jun 2027).</t>
        </is>
      </c>
      <c r="H7" s="4" t="inlineStr">
        <is>
          <t>Optional calendar anchor. Use the first of a month.</t>
        </is>
      </c>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row>
    <row r="8" ht="42" customHeight="1">
      <c r="A8" s="4" t="inlineStr">
        <is>
          <t>Cost scope reconciled?</t>
        </is>
      </c>
      <c r="B8" s="132" t="inlineStr">
        <is>
          <t>No</t>
        </is>
      </c>
      <c r="C8" s="4" t="inlineStr">
        <is>
          <t>Yes / No</t>
        </is>
      </c>
      <c r="D8" s="4" t="inlineStr">
        <is>
          <t>Open</t>
        </is>
      </c>
      <c r="H8" s="4" t="inlineStr">
        <is>
          <t>Resolve crew, rent, freight, feedstock, youth and other omitted costs.</t>
        </is>
      </c>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row>
    <row r="9" ht="42" customHeight="1">
      <c r="A9" s="4" t="inlineStr">
        <is>
          <t>Accounting basis reconciled?</t>
        </is>
      </c>
      <c r="B9" s="132" t="inlineStr">
        <is>
          <t>No</t>
        </is>
      </c>
      <c r="C9" s="4" t="inlineStr">
        <is>
          <t>Yes / No</t>
        </is>
      </c>
      <c r="D9" s="4" t="inlineStr">
        <is>
          <t>Open</t>
        </is>
      </c>
      <c r="H9" s="4" t="inlineStr">
        <is>
          <t>Opening balances, tax, GST and grant policy require finance review.</t>
        </is>
      </c>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row>
    <row r="10" ht="42" customHeight="1">
      <c r="A10" s="4" t="inlineStr">
        <is>
          <t>Opening cash</t>
        </is>
      </c>
      <c r="B10" s="132" t="n"/>
      <c r="C10" s="4" t="inlineStr">
        <is>
          <t>AUD</t>
        </is>
      </c>
      <c r="D10" s="4" t="inlineStr">
        <is>
          <t>Open</t>
        </is>
      </c>
      <c r="H10" s="4" t="inlineStr">
        <is>
          <t>Available Goods cash in the charity; not the old $50,000 placeholder.</t>
        </is>
      </c>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row>
    <row r="11" ht="42" customHeight="1">
      <c r="A11" s="4" t="inlineStr">
        <is>
          <t>Opening receivables</t>
        </is>
      </c>
      <c r="B11" s="132" t="n"/>
      <c r="C11" s="4" t="inlineStr">
        <is>
          <t>AUD</t>
        </is>
      </c>
      <c r="D11" s="4" t="inlineStr">
        <is>
          <t>Open</t>
        </is>
      </c>
      <c r="H11" s="4" t="inlineStr">
        <is>
          <t>Reconcile invoices; do not carry the old Rotary receivable.</t>
        </is>
      </c>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row>
    <row r="12" ht="42" customHeight="1">
      <c r="A12" s="4" t="inlineStr">
        <is>
          <t>Opening inventory</t>
        </is>
      </c>
      <c r="B12" s="132" t="n"/>
      <c r="C12" s="4" t="inlineStr">
        <is>
          <t>AUD</t>
        </is>
      </c>
      <c r="D12" s="4" t="inlineStr">
        <is>
          <t>Open</t>
        </is>
      </c>
      <c r="H12" s="4" t="inlineStr">
        <is>
          <t>Reconcile value to materials and finished stock.</t>
        </is>
      </c>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row>
    <row r="13" ht="42" customHeight="1">
      <c r="A13" s="4" t="inlineStr">
        <is>
          <t>Opening net fixed assets</t>
        </is>
      </c>
      <c r="B13" s="132" t="n"/>
      <c r="C13" s="4" t="inlineStr">
        <is>
          <t>AUD</t>
        </is>
      </c>
      <c r="D13" s="4" t="inlineStr">
        <is>
          <t>Open</t>
        </is>
      </c>
      <c r="H13" s="4" t="inlineStr">
        <is>
          <t>Recognise actual asset transfers, not the historic sunk-spend figure automatically.</t>
        </is>
      </c>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row>
    <row r="14" ht="42" customHeight="1">
      <c r="A14" s="4" t="inlineStr">
        <is>
          <t>Opening payables</t>
        </is>
      </c>
      <c r="B14" s="132" t="n"/>
      <c r="C14" s="4" t="inlineStr">
        <is>
          <t>AUD</t>
        </is>
      </c>
      <c r="D14" s="4" t="inlineStr">
        <is>
          <t>Open</t>
        </is>
      </c>
      <c r="H14" s="4" t="inlineStr">
        <is>
          <t>Enter explicit zero only after reconciliation.</t>
        </is>
      </c>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row>
    <row r="15" ht="42" customHeight="1">
      <c r="A15" s="4" t="inlineStr">
        <is>
          <t>Opening deferred grants</t>
        </is>
      </c>
      <c r="B15" s="132" t="n"/>
      <c r="C15" s="4" t="inlineStr">
        <is>
          <t>AUD</t>
        </is>
      </c>
      <c r="D15" s="4" t="inlineStr">
        <is>
          <t>Open</t>
        </is>
      </c>
      <c r="H15" s="4" t="inlineStr">
        <is>
          <t>Unspent restricted receipts may be liabilities. Confirm treatment.</t>
        </is>
      </c>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row>
    <row r="16" ht="42" customHeight="1">
      <c r="A16" s="4" t="inlineStr">
        <is>
          <t>Opening debt</t>
        </is>
      </c>
      <c r="B16" s="132" t="n"/>
      <c r="C16" s="4" t="inlineStr">
        <is>
          <t>AUD</t>
        </is>
      </c>
      <c r="D16" s="4" t="inlineStr">
        <is>
          <t>Open</t>
        </is>
      </c>
      <c r="H16" s="4" t="inlineStr">
        <is>
          <t>Separate from the proposed new Sefa draw.</t>
        </is>
      </c>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row>
    <row r="17" ht="42" customHeight="1">
      <c r="A17" s="4" t="inlineStr">
        <is>
          <t>Opening net assets / equity</t>
        </is>
      </c>
      <c r="B17" s="132" t="n"/>
      <c r="C17" s="4" t="inlineStr">
        <is>
          <t>AUD</t>
        </is>
      </c>
      <c r="D17" s="4" t="inlineStr">
        <is>
          <t>Open</t>
        </is>
      </c>
      <c r="H17" s="4" t="inlineStr">
        <is>
          <t>Independent opening balance; never plugged to force the balance sheet.</t>
        </is>
      </c>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row>
    <row r="18" ht="42" customHeight="1">
      <c r="A18" s="4" t="inlineStr">
        <is>
          <t>Depreciation life</t>
        </is>
      </c>
      <c r="B18" s="134" t="n">
        <v>10</v>
      </c>
      <c r="C18" s="4" t="inlineStr">
        <is>
          <t>years</t>
        </is>
      </c>
      <c r="D18" s="4" t="inlineStr">
        <is>
          <t>Inputs (1)!B51</t>
        </is>
      </c>
      <c r="H18" s="4" t="inlineStr">
        <is>
          <t>Illustrative straight-line life. Confirm policy.</t>
        </is>
      </c>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row>
    <row r="19" ht="42" customHeight="1">
      <c r="A19" s="4" t="inlineStr">
        <is>
          <t>Income tax rate</t>
        </is>
      </c>
      <c r="B19" s="135" t="n"/>
      <c r="C19" s="4" t="inlineStr">
        <is>
          <t>rate</t>
        </is>
      </c>
      <c r="D19" s="4" t="inlineStr">
        <is>
          <t>Open</t>
        </is>
      </c>
      <c r="H19" s="4" t="inlineStr">
        <is>
          <t>Blank until the charity’s applicable treatment is confirmed.</t>
        </is>
      </c>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row>
    <row r="20" ht="42" customHeight="1">
      <c r="A20" s="4" t="inlineStr">
        <is>
          <t>Opening other liabilities</t>
        </is>
      </c>
      <c r="B20" s="132" t="n"/>
      <c r="C20" s="4" t="inlineStr">
        <is>
          <t>AUD</t>
        </is>
      </c>
      <c r="D20" s="4" t="inlineStr">
        <is>
          <t>Open</t>
        </is>
      </c>
      <c r="H20" s="4" t="inlineStr">
        <is>
          <t>Includes any reconciled liabilities not separately listed.</t>
        </is>
      </c>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row>
    <row r="21" ht="42" customHeight="1">
      <c r="A21" s="4" t="inlineStr">
        <is>
          <t>Opening income tax payable</t>
        </is>
      </c>
      <c r="B21" s="132" t="n"/>
      <c r="C21" s="4" t="inlineStr">
        <is>
          <t>AUD</t>
        </is>
      </c>
      <c r="D21" s="4" t="inlineStr">
        <is>
          <t>Open</t>
        </is>
      </c>
      <c r="H21" s="4" t="inlineStr">
        <is>
          <t>Required for the forecast balance sheet; explicit zero permitted.</t>
        </is>
      </c>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row>
    <row r="22" ht="42" customHeight="1">
      <c r="A22" s="4" t="n"/>
      <c r="B22" s="3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row>
    <row r="23" ht="42" customHeight="1">
      <c r="A23" s="4" t="inlineStr">
        <is>
          <t>Founder salaries</t>
        </is>
      </c>
      <c r="B23" s="132">
        <f>'Source records'!E2443</f>
        <v/>
      </c>
      <c r="C23" s="4" t="inlineStr">
        <is>
          <t>AUD/year</t>
        </is>
      </c>
      <c r="D23" s="4" t="inlineStr">
        <is>
          <t>Inputs (1)!B13</t>
        </is>
      </c>
      <c r="H23" s="4" t="inlineStr">
        <is>
          <t>Current forward provision. Do not add the older founder-day allowance.</t>
        </is>
      </c>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row>
    <row r="24" ht="42" customHeight="1">
      <c r="A24" s="4" t="inlineStr">
        <is>
          <t>Head office</t>
        </is>
      </c>
      <c r="B24" s="132" t="n">
        <v>0</v>
      </c>
      <c r="C24" s="4" t="inlineStr">
        <is>
          <t>AUD/year</t>
        </is>
      </c>
      <c r="D24" s="4" t="inlineStr">
        <is>
          <t>Ben 9 Sep 2026: not needed. Matt's $53,000 provision (Inputs (1)!B14) retained in Source records.</t>
        </is>
      </c>
      <c r="H24" s="4" t="inlineStr">
        <is>
          <t>Includes insurance, legal, IT, governance and accounting.</t>
        </is>
      </c>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row>
    <row r="25" ht="42" customHeight="1">
      <c r="A25" s="4" t="inlineStr">
        <is>
          <t>Marketing</t>
        </is>
      </c>
      <c r="B25" s="132" t="n">
        <v>10000</v>
      </c>
      <c r="C25" s="4" t="inlineStr">
        <is>
          <t>AUD/year</t>
        </is>
      </c>
      <c r="D25" s="4" t="inlineStr">
        <is>
          <t>Ben 9 Sep 2026: $10,000. Matt's $35,000 provision (Inputs (1)!B15) retained in Source records.</t>
        </is>
      </c>
      <c r="H25" s="4" t="inlineStr">
        <is>
          <t>Source provision.</t>
        </is>
      </c>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row>
    <row r="26" ht="42" customHeight="1">
      <c r="A26" s="4" t="inlineStr">
        <is>
          <t>Field travel</t>
        </is>
      </c>
      <c r="B26" s="132">
        <f>'Source records'!E2458</f>
        <v/>
      </c>
      <c r="C26" s="4" t="inlineStr">
        <is>
          <t>AUD/year</t>
        </is>
      </c>
      <c r="D26" s="4" t="inlineStr">
        <is>
          <t>Inputs (1)!B16</t>
        </is>
      </c>
      <c r="H26" s="4" t="inlineStr">
        <is>
          <t>Shared Goods travel, entered once.</t>
        </is>
      </c>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row>
    <row r="27" ht="42" customHeight="1">
      <c r="A27" s="4" t="inlineStr">
        <is>
          <t>Consulting and accounting</t>
        </is>
      </c>
      <c r="B27" s="132">
        <f>'Source records'!E2474</f>
        <v/>
      </c>
      <c r="C27" s="4" t="inlineStr">
        <is>
          <t>AUD/year</t>
        </is>
      </c>
      <c r="D27" s="4" t="inlineStr">
        <is>
          <t>Inputs (1)!B18</t>
        </is>
      </c>
      <c r="H27" s="4" t="inlineStr">
        <is>
          <t>Possible overlap with head office remains explicit.</t>
        </is>
      </c>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row>
    <row r="28" ht="42" customHeight="1">
      <c r="A28" s="4" t="inlineStr">
        <is>
          <t>Additional staff</t>
        </is>
      </c>
      <c r="B28" s="132" t="n"/>
      <c r="C28" s="4" t="inlineStr">
        <is>
          <t>AUD/year</t>
        </is>
      </c>
      <c r="D28" s="4" t="inlineStr">
        <is>
          <t>Inputs (1)!B12 unresolved</t>
        </is>
      </c>
      <c r="H28" s="4" t="inlineStr">
        <is>
          <t>Unknown; source nil was not confirmation of no cost.</t>
        </is>
      </c>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row>
    <row r="29" ht="42" customHeight="1">
      <c r="A29" s="4" t="inlineStr">
        <is>
          <t>Research and development</t>
        </is>
      </c>
      <c r="B29" s="132" t="n"/>
      <c r="C29" s="4" t="inlineStr">
        <is>
          <t>AUD/year</t>
        </is>
      </c>
      <c r="D29" s="4" t="inlineStr">
        <is>
          <t>Inputs (1)!B17 unresolved</t>
        </is>
      </c>
      <c r="H29" s="4" t="inlineStr">
        <is>
          <t>Washer/prototype and other R&amp;D scope remains to price.</t>
        </is>
      </c>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row>
    <row r="30" ht="42" customHeight="1">
      <c r="A30" s="4" t="inlineStr">
        <is>
          <t>Other annual adjustment</t>
        </is>
      </c>
      <c r="B30" s="132" t="n">
        <v>0</v>
      </c>
      <c r="C30" s="4" t="inlineStr">
        <is>
          <t>AUD/year</t>
        </is>
      </c>
      <c r="D30" s="4" t="inlineStr">
        <is>
          <t>Planning input</t>
        </is>
      </c>
      <c r="H30" s="4" t="inlineStr">
        <is>
          <t>Negative values remove an explicitly agreed duplicate.</t>
        </is>
      </c>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row>
    <row r="31" ht="42" customHeight="1">
      <c r="A31" s="4" t="n"/>
      <c r="B31" s="3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row>
    <row r="32" ht="42" customHeight="1">
      <c r="A32" s="4" t="n"/>
      <c r="B32" s="3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row>
    <row r="33" ht="42" customHeight="1">
      <c r="A33" s="4" t="inlineStr">
        <is>
          <t>Goods sale price</t>
        </is>
      </c>
      <c r="B33" s="132">
        <f>'Source records'!E2412</f>
        <v/>
      </c>
      <c r="C33" s="4" t="inlineStr">
        <is>
          <t>AUD/bed</t>
        </is>
      </c>
      <c r="D33" s="4" t="inlineStr">
        <is>
          <t>Ben 9 Sep 2026: $750 is the price at the factory door. Freight is charged on top, at cost, as its own line per community (Sites, freight per bed). Canon stretch-price.</t>
        </is>
      </c>
      <c r="H33" s="4" t="inlineStr">
        <is>
          <t>Direct Goods sales only; customer and GST terms require confirmation.</t>
        </is>
      </c>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row>
    <row r="34" ht="42" customHeight="1">
      <c r="A34" s="4" t="inlineStr">
        <is>
          <t>Goods collection delay</t>
        </is>
      </c>
      <c r="B34" s="134" t="n">
        <v>1</v>
      </c>
      <c r="C34" s="4" t="inlineStr">
        <is>
          <t>months</t>
        </is>
      </c>
      <c r="D34" s="4" t="inlineStr">
        <is>
          <t>Prior working plan</t>
        </is>
      </c>
      <c r="H34" s="4" t="inlineStr">
        <is>
          <t>A timing scenario, not proof of buyer payment.</t>
        </is>
      </c>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row>
    <row r="35" ht="42" customHeight="1">
      <c r="A35" s="4" t="inlineStr">
        <is>
          <t>Full QBE request</t>
        </is>
      </c>
      <c r="B35" s="132" t="n">
        <v>300000</v>
      </c>
      <c r="C35" s="4" t="inlineStr">
        <is>
          <t>AUD</t>
        </is>
      </c>
      <c r="D35" s="4" t="inlineStr">
        <is>
          <t>Ben 9 Sep 2026: QBE funds the two community plants outside Alice Springs. Request $300,000.</t>
        </is>
      </c>
      <c r="H35" s="4" t="inlineStr">
        <is>
          <t>Candidate only. Reallocate against initial stock, support and separate infrastructure. The earlier capital-only comparison is historical.</t>
        </is>
      </c>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row>
    <row r="36" ht="42" customHeight="1">
      <c r="A36" s="4" t="inlineStr">
        <is>
          <t>Smaller QBE request</t>
        </is>
      </c>
      <c r="B36" s="132" t="n">
        <v>150000</v>
      </c>
      <c r="C36" s="4" t="inlineStr">
        <is>
          <t>AUD</t>
        </is>
      </c>
      <c r="D36" s="4" t="inlineStr">
        <is>
          <t>Ben 9 Sep 2026: smaller request = one plant, $150,000.</t>
        </is>
      </c>
      <c r="H36" s="4" t="inlineStr">
        <is>
          <t>Alternative amount only. Smaller case stages capital but retains the same initial-stock target until a smaller programme is agreed.</t>
        </is>
      </c>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row>
    <row r="37" ht="42" customHeight="1">
      <c r="A37" s="4" t="inlineStr">
        <is>
          <t>Two new facilities allowance</t>
        </is>
      </c>
      <c r="B37" s="132" t="n">
        <v>300000</v>
      </c>
      <c r="C37" s="4" t="inlineStr">
        <is>
          <t>AUD</t>
        </is>
      </c>
      <c r="D37" s="4" t="inlineStr">
        <is>
          <t>Ben, 8 September</t>
        </is>
      </c>
      <c r="H37" s="4" t="inlineStr">
        <is>
          <t>Two community facilities in addition to the current facility at The Harvest; quotes and scope remain open.</t>
        </is>
      </c>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row>
    <row r="38" ht="42" customHeight="1">
      <c r="A38" s="4" t="inlineStr">
        <is>
          <t>Proposed Sefa amount</t>
        </is>
      </c>
      <c r="B38" s="132" t="n">
        <v>200000</v>
      </c>
      <c r="C38" s="4" t="inlineStr">
        <is>
          <t>AUD</t>
        </is>
      </c>
      <c r="D38" s="4" t="inlineStr">
        <is>
          <t>Ben, 8 September</t>
        </is>
      </c>
      <c r="H38" s="4" t="inlineStr">
        <is>
          <t>EOI preparation, not approved lending.</t>
        </is>
      </c>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row>
    <row r="39" ht="42" customHeight="1">
      <c r="A39" s="4" t="inlineStr">
        <is>
          <t>Illustrative loan interest</t>
        </is>
      </c>
      <c r="B39" s="135" t="n">
        <v>0.07000000000000001</v>
      </c>
      <c r="C39" s="4" t="inlineStr">
        <is>
          <t>rate</t>
        </is>
      </c>
      <c r="D39" s="4" t="inlineStr">
        <is>
          <t>Backing the Bold guidelines, June 2026</t>
        </is>
      </c>
      <c r="H39" s="4" t="inlineStr">
        <is>
          <t>Fixed-rate scenario; contractual terms must be entered if agreed.</t>
        </is>
      </c>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row>
    <row r="40" ht="42" customHeight="1">
      <c r="A40" s="4" t="inlineStr">
        <is>
          <t>Illustrative loan term</t>
        </is>
      </c>
      <c r="B40" s="134" t="n">
        <v>5</v>
      </c>
      <c r="C40" s="4" t="inlineStr">
        <is>
          <t>years</t>
        </is>
      </c>
      <c r="D40" s="4" t="inlineStr">
        <is>
          <t>Programme range 3–5 years</t>
        </is>
      </c>
      <c r="H40" s="4" t="inlineStr">
        <is>
          <t>Monthly principal and interest.</t>
        </is>
      </c>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row>
    <row r="41" ht="42" customHeight="1">
      <c r="A41" s="4" t="inlineStr">
        <is>
          <t>Proposed draw month</t>
        </is>
      </c>
      <c r="B41" s="134" t="n">
        <v>1</v>
      </c>
      <c r="C41" s="4" t="inlineStr">
        <is>
          <t>month</t>
        </is>
      </c>
      <c r="D41" s="4" t="inlineStr">
        <is>
          <t>Planning scenario</t>
        </is>
      </c>
      <c r="H41" s="4" t="inlineStr">
        <is>
          <t>First payment in draw month. Change to agreed timing when known.</t>
        </is>
      </c>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row>
    <row r="42" ht="42" customHeight="1">
      <c r="A42" s="4" t="inlineStr">
        <is>
          <t>Loan fees</t>
        </is>
      </c>
      <c r="B42" s="132" t="n"/>
      <c r="C42" s="4" t="inlineStr">
        <is>
          <t>AUD</t>
        </is>
      </c>
      <c r="D42" s="4" t="inlineStr">
        <is>
          <t>Unpriced</t>
        </is>
      </c>
      <c r="H42" s="4" t="inlineStr">
        <is>
          <t>Excluded from priced cash until entered.</t>
        </is>
      </c>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row>
    <row r="43" ht="42" customHeight="1">
      <c r="A43" s="4" t="inlineStr">
        <is>
          <t>Grant recognition basis</t>
        </is>
      </c>
      <c r="B43" s="132" t="inlineStr">
        <is>
          <t>As received</t>
        </is>
      </c>
      <c r="C43" s="4" t="inlineStr">
        <is>
          <t>policy</t>
        </is>
      </c>
      <c r="D43" s="4" t="inlineStr">
        <is>
          <t>Source model assumption</t>
        </is>
      </c>
      <c r="H43" s="4" t="inlineStr">
        <is>
          <t>Monthly recognition overrides below allow a different reviewed schedule.</t>
        </is>
      </c>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row>
    <row r="44" ht="42" customHeight="1">
      <c r="A44" s="4" t="inlineStr">
        <is>
          <t>Youth support per programme</t>
        </is>
      </c>
      <c r="B44" s="132" t="n">
        <v>10000</v>
      </c>
      <c r="C44" s="4" t="inlineStr">
        <is>
          <t>AUD/programme</t>
        </is>
      </c>
      <c r="D44" s="4" t="inlineStr">
        <is>
          <t>Ben 9 Sep 2026: $10,000 per community for Nic and Ben to facilitate the bed programme. Matt's $60,000 Youth Employment Program Support (Inputs (1)!B34) is retained in Source records as the earlier figure. Check overlap with founder salaries and field travel.</t>
        </is>
      </c>
      <c r="H44" s="4" t="inlineStr">
        <is>
          <t>Count separately from facilities; excludes additional brokerage/wages.</t>
        </is>
      </c>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row>
    <row r="45" ht="42" customHeight="1">
      <c r="A45" s="4" t="inlineStr">
        <is>
          <t>Calendar date confirmed?</t>
        </is>
      </c>
      <c r="B45" s="132" t="inlineStr">
        <is>
          <t>Yes</t>
        </is>
      </c>
      <c r="C45" s="4" t="inlineStr">
        <is>
          <t>Yes / No</t>
        </is>
      </c>
      <c r="D45" s="4" t="inlineStr">
        <is>
          <t>Ben 9 Sep 2026: Month 1 = December 2026.</t>
        </is>
      </c>
      <c r="H45" s="4" t="inlineStr">
        <is>
          <t>Dates remain planning labels until agreed.</t>
        </is>
      </c>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row>
    <row r="46" ht="42" customHeight="1">
      <c r="A46" s="4" t="inlineStr">
        <is>
          <t>Cost to make a bed at Witta, before freight (canon)</t>
        </is>
      </c>
      <c r="B46" s="132" t="n">
        <v>276</v>
      </c>
      <c r="C46" s="4" t="inlineStr">
        <is>
          <t>AUD/bed</t>
        </is>
      </c>
      <c r="D46" s="4" t="inlineStr">
        <is>
          <t>canon.ts stateFactory $275.74 (marginal-factory $426 less $150 long-haul freight), engine-locked, Ben: plastic $55, diesel $15, factory labour $80 (one operator at $400 a day, 5 beds a day), steel $27, canvas $93.50, hardware $5. Ben 9 Sep: no coordinator salary (labour is in here) and no freight in the make cost; freight is charged after the bed is made, as its own line. The cash model's making cost still uses Matt's $295.74 materials plus $100 freight on Sites; align when the per-bed input is switched.</t>
        </is>
      </c>
      <c r="H46" s="4" t="inlineStr">
        <is>
          <t>Cash excludes GST until monthly net GST payments are entered.</t>
        </is>
      </c>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row>
    <row r="47" ht="42" customHeight="1">
      <c r="A47" s="4" t="inlineStr">
        <is>
          <t>Opening balances entered</t>
        </is>
      </c>
      <c r="B47" s="127">
        <f>COUNT(B10:B17,B20:B21)</f>
        <v/>
      </c>
      <c r="C47" s="4" t="inlineStr">
        <is>
          <t>count</t>
        </is>
      </c>
      <c r="D47" s="4" t="inlineStr">
        <is>
          <t>Calculated</t>
        </is>
      </c>
      <c r="H47" s="4" t="inlineStr">
        <is>
          <t>Ten numeric opening balance fields are required.</t>
        </is>
      </c>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row>
    <row r="48" ht="42" customHeight="1">
      <c r="A48" s="4" t="inlineStr">
        <is>
          <t>Monthly loan payment</t>
        </is>
      </c>
      <c r="B48" s="34">
        <f>IF(AND(B38&gt;=0,B39&gt;=0,B40&gt;0),-PMT(B39/12,B40*12,B38),"")</f>
        <v/>
      </c>
      <c r="C48" s="4" t="inlineStr">
        <is>
          <t>AUD/month</t>
        </is>
      </c>
      <c r="D48" s="4" t="inlineStr">
        <is>
          <t>Calculated</t>
        </is>
      </c>
      <c r="H48" s="4" t="inlineStr">
        <is>
          <t>Uses current loan amount, rate and term.</t>
        </is>
      </c>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row>
    <row r="49" ht="42" customHeight="1">
      <c r="A49" s="4" t="inlineStr">
        <is>
          <t>Unpriced central lines</t>
        </is>
      </c>
      <c r="B49" s="127">
        <f>COUNTBLANK(B28:B29)</f>
        <v/>
      </c>
      <c r="C49" s="4" t="inlineStr">
        <is>
          <t>count</t>
        </is>
      </c>
      <c r="D49" s="4" t="inlineStr">
        <is>
          <t>Calculated</t>
        </is>
      </c>
      <c r="H49" s="4" t="inlineStr">
        <is>
          <t>Staff and R&amp;D. Zero is valid if explicitly entered.</t>
        </is>
      </c>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row>
    <row r="50" ht="42" customHeight="1">
      <c r="A50" s="4" t="inlineStr">
        <is>
          <t>Invalid assumption inputs</t>
        </is>
      </c>
      <c r="B50" s="127">
        <f>IF(OR(B18&lt;=0,B34&lt;0,MOD(B34,1)&lt;&gt;0,B35&lt;0,B35&gt;400000,B36&lt;0,B36&gt;B35,B37&lt;0,B38&lt;0,B39&lt;0,B40&lt;3,B40&gt;5,B41&lt;1,MOD(B41,1)&lt;&gt;0,B42&lt;0,B44&lt;0,AND(ISNUMBER(B19),OR(B19&lt;0,B19&gt;1))),1,0)</f>
        <v/>
      </c>
      <c r="C50" s="4" t="inlineStr">
        <is>
          <t>count</t>
        </is>
      </c>
      <c r="D50" s="4" t="inlineStr">
        <is>
          <t>Calculated</t>
        </is>
      </c>
      <c r="H50" s="4" t="inlineStr">
        <is>
          <t>Review non-zero count before using outputs.</t>
        </is>
      </c>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row>
    <row r="51" ht="28"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row>
    <row r="52" ht="28" customHeight="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row>
    <row r="53" ht="28" customHeight="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row>
    <row r="54" ht="36" customHeight="1">
      <c r="A54" s="8" t="inlineStr">
        <is>
          <t>Monthly inputs and calendar</t>
        </is>
      </c>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c r="AG54" s="8" t="n"/>
      <c r="AH54" s="8" t="n"/>
      <c r="AI54" s="8" t="n"/>
      <c r="AJ54" s="8" t="n"/>
      <c r="AK54" s="8" t="n"/>
      <c r="AL54" s="8" t="n"/>
      <c r="AM54" s="8" t="n"/>
    </row>
    <row r="55" ht="28" customHeight="1">
      <c r="A55" s="4" t="inlineStr">
        <is>
          <t>Month number</t>
        </is>
      </c>
      <c r="B55" s="4" t="n"/>
      <c r="C55" s="4" t="n"/>
      <c r="D55" s="4" t="n">
        <v>1</v>
      </c>
      <c r="E55" s="4" t="n">
        <v>2</v>
      </c>
      <c r="F55" s="4" t="n">
        <v>3</v>
      </c>
      <c r="G55" s="4" t="n">
        <v>4</v>
      </c>
      <c r="H55" s="4" t="n">
        <v>5</v>
      </c>
      <c r="I55" s="4" t="n">
        <v>6</v>
      </c>
      <c r="J55" s="4" t="n">
        <v>7</v>
      </c>
      <c r="K55" s="4" t="n">
        <v>8</v>
      </c>
      <c r="L55" s="4" t="n">
        <v>9</v>
      </c>
      <c r="M55" s="4" t="n">
        <v>10</v>
      </c>
      <c r="N55" s="4" t="n">
        <v>11</v>
      </c>
      <c r="O55" s="4" t="n">
        <v>12</v>
      </c>
      <c r="P55" s="4" t="n">
        <v>13</v>
      </c>
      <c r="Q55" s="4" t="n">
        <v>14</v>
      </c>
      <c r="R55" s="4" t="n">
        <v>15</v>
      </c>
      <c r="S55" s="4" t="n">
        <v>16</v>
      </c>
      <c r="T55" s="4" t="n">
        <v>17</v>
      </c>
      <c r="U55" s="4" t="n">
        <v>18</v>
      </c>
      <c r="V55" s="4" t="n">
        <v>19</v>
      </c>
      <c r="W55" s="4" t="n">
        <v>20</v>
      </c>
      <c r="X55" s="4" t="n">
        <v>21</v>
      </c>
      <c r="Y55" s="4" t="n">
        <v>22</v>
      </c>
      <c r="Z55" s="4" t="n">
        <v>23</v>
      </c>
      <c r="AA55" s="4" t="n">
        <v>24</v>
      </c>
      <c r="AB55" s="4" t="n">
        <v>25</v>
      </c>
      <c r="AC55" s="4" t="n">
        <v>26</v>
      </c>
      <c r="AD55" s="4" t="n">
        <v>27</v>
      </c>
      <c r="AE55" s="4" t="n">
        <v>28</v>
      </c>
      <c r="AF55" s="4" t="n">
        <v>29</v>
      </c>
      <c r="AG55" s="4" t="n">
        <v>30</v>
      </c>
      <c r="AH55" s="4" t="n">
        <v>31</v>
      </c>
      <c r="AI55" s="4" t="n">
        <v>32</v>
      </c>
      <c r="AJ55" s="4" t="n">
        <v>33</v>
      </c>
      <c r="AK55" s="4" t="n">
        <v>34</v>
      </c>
      <c r="AL55" s="4" t="n">
        <v>35</v>
      </c>
      <c r="AM55" s="4" t="n">
        <v>36</v>
      </c>
    </row>
    <row r="56" ht="28" customHeight="1">
      <c r="A56" s="4" t="inlineStr">
        <is>
          <t>Period</t>
        </is>
      </c>
      <c r="B56" s="4" t="n"/>
      <c r="C56" s="4" t="n"/>
      <c r="D56" s="136">
        <f>IF($B$7="","Month "&amp;D55,EDATE($B$7,D55-1))</f>
        <v/>
      </c>
      <c r="E56" s="136">
        <f>IF($B$7="","Month "&amp;E55,EDATE($B$7,E55-1))</f>
        <v/>
      </c>
      <c r="F56" s="136">
        <f>IF($B$7="","Month "&amp;F55,EDATE($B$7,F55-1))</f>
        <v/>
      </c>
      <c r="G56" s="136">
        <f>IF($B$7="","Month "&amp;G55,EDATE($B$7,G55-1))</f>
        <v/>
      </c>
      <c r="H56" s="136">
        <f>IF($B$7="","Month "&amp;H55,EDATE($B$7,H55-1))</f>
        <v/>
      </c>
      <c r="I56" s="136">
        <f>IF($B$7="","Month "&amp;I55,EDATE($B$7,I55-1))</f>
        <v/>
      </c>
      <c r="J56" s="136">
        <f>IF($B$7="","Month "&amp;J55,EDATE($B$7,J55-1))</f>
        <v/>
      </c>
      <c r="K56" s="136">
        <f>IF($B$7="","Month "&amp;K55,EDATE($B$7,K55-1))</f>
        <v/>
      </c>
      <c r="L56" s="136">
        <f>IF($B$7="","Month "&amp;L55,EDATE($B$7,L55-1))</f>
        <v/>
      </c>
      <c r="M56" s="136">
        <f>IF($B$7="","Month "&amp;M55,EDATE($B$7,M55-1))</f>
        <v/>
      </c>
      <c r="N56" s="136">
        <f>IF($B$7="","Month "&amp;N55,EDATE($B$7,N55-1))</f>
        <v/>
      </c>
      <c r="O56" s="136">
        <f>IF($B$7="","Month "&amp;O55,EDATE($B$7,O55-1))</f>
        <v/>
      </c>
      <c r="P56" s="136">
        <f>IF($B$7="","Month "&amp;P55,EDATE($B$7,P55-1))</f>
        <v/>
      </c>
      <c r="Q56" s="136">
        <f>IF($B$7="","Month "&amp;Q55,EDATE($B$7,Q55-1))</f>
        <v/>
      </c>
      <c r="R56" s="136">
        <f>IF($B$7="","Month "&amp;R55,EDATE($B$7,R55-1))</f>
        <v/>
      </c>
      <c r="S56" s="136">
        <f>IF($B$7="","Month "&amp;S55,EDATE($B$7,S55-1))</f>
        <v/>
      </c>
      <c r="T56" s="136">
        <f>IF($B$7="","Month "&amp;T55,EDATE($B$7,T55-1))</f>
        <v/>
      </c>
      <c r="U56" s="136">
        <f>IF($B$7="","Month "&amp;U55,EDATE($B$7,U55-1))</f>
        <v/>
      </c>
      <c r="V56" s="136">
        <f>IF($B$7="","Month "&amp;V55,EDATE($B$7,V55-1))</f>
        <v/>
      </c>
      <c r="W56" s="136">
        <f>IF($B$7="","Month "&amp;W55,EDATE($B$7,W55-1))</f>
        <v/>
      </c>
      <c r="X56" s="136">
        <f>IF($B$7="","Month "&amp;X55,EDATE($B$7,X55-1))</f>
        <v/>
      </c>
      <c r="Y56" s="136">
        <f>IF($B$7="","Month "&amp;Y55,EDATE($B$7,Y55-1))</f>
        <v/>
      </c>
      <c r="Z56" s="136">
        <f>IF($B$7="","Month "&amp;Z55,EDATE($B$7,Z55-1))</f>
        <v/>
      </c>
      <c r="AA56" s="136">
        <f>IF($B$7="","Month "&amp;AA55,EDATE($B$7,AA55-1))</f>
        <v/>
      </c>
      <c r="AB56" s="136">
        <f>IF($B$7="","Month "&amp;AB55,EDATE($B$7,AB55-1))</f>
        <v/>
      </c>
      <c r="AC56" s="136">
        <f>IF($B$7="","Month "&amp;AC55,EDATE($B$7,AC55-1))</f>
        <v/>
      </c>
      <c r="AD56" s="136">
        <f>IF($B$7="","Month "&amp;AD55,EDATE($B$7,AD55-1))</f>
        <v/>
      </c>
      <c r="AE56" s="136">
        <f>IF($B$7="","Month "&amp;AE55,EDATE($B$7,AE55-1))</f>
        <v/>
      </c>
      <c r="AF56" s="136">
        <f>IF($B$7="","Month "&amp;AF55,EDATE($B$7,AF55-1))</f>
        <v/>
      </c>
      <c r="AG56" s="136">
        <f>IF($B$7="","Month "&amp;AG55,EDATE($B$7,AG55-1))</f>
        <v/>
      </c>
      <c r="AH56" s="136">
        <f>IF($B$7="","Month "&amp;AH55,EDATE($B$7,AH55-1))</f>
        <v/>
      </c>
      <c r="AI56" s="136">
        <f>IF($B$7="","Month "&amp;AI55,EDATE($B$7,AI55-1))</f>
        <v/>
      </c>
      <c r="AJ56" s="136">
        <f>IF($B$7="","Month "&amp;AJ55,EDATE($B$7,AJ55-1))</f>
        <v/>
      </c>
      <c r="AK56" s="136">
        <f>IF($B$7="","Month "&amp;AK55,EDATE($B$7,AK55-1))</f>
        <v/>
      </c>
      <c r="AL56" s="136">
        <f>IF($B$7="","Month "&amp;AL55,EDATE($B$7,AL55-1))</f>
        <v/>
      </c>
      <c r="AM56" s="136">
        <f>IF($B$7="","Month "&amp;AM55,EDATE($B$7,AM55-1))</f>
        <v/>
      </c>
    </row>
    <row r="57" ht="28" customHeight="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row>
    <row r="58" ht="28" customHeight="1">
      <c r="A58" s="4" t="inlineStr">
        <is>
          <t>Founder salaries</t>
        </is>
      </c>
      <c r="B58" s="4" t="n"/>
      <c r="C58" s="4" t="n"/>
      <c r="D58" s="137">
        <f>IF(ISNUMBER(D85),D85,IF(ISNUMBER($B$23),$B$23/12,""))</f>
        <v/>
      </c>
      <c r="E58" s="137">
        <f>IF(ISNUMBER(E85),E85,IF(ISNUMBER($B$23),$B$23/12,""))</f>
        <v/>
      </c>
      <c r="F58" s="137">
        <f>IF(ISNUMBER(F85),F85,IF(ISNUMBER($B$23),$B$23/12,""))</f>
        <v/>
      </c>
      <c r="G58" s="137">
        <f>IF(ISNUMBER(G85),G85,IF(ISNUMBER($B$23),$B$23/12,""))</f>
        <v/>
      </c>
      <c r="H58" s="137">
        <f>IF(ISNUMBER(H85),H85,IF(ISNUMBER($B$23),$B$23/12,""))</f>
        <v/>
      </c>
      <c r="I58" s="137">
        <f>IF(ISNUMBER(I85),I85,IF(ISNUMBER($B$23),$B$23/12,""))</f>
        <v/>
      </c>
      <c r="J58" s="137">
        <f>IF(ISNUMBER(J85),J85,IF(ISNUMBER($B$23),$B$23/12,""))</f>
        <v/>
      </c>
      <c r="K58" s="137">
        <f>IF(ISNUMBER(K85),K85,IF(ISNUMBER($B$23),$B$23/12,""))</f>
        <v/>
      </c>
      <c r="L58" s="137">
        <f>IF(ISNUMBER(L85),L85,IF(ISNUMBER($B$23),$B$23/12,""))</f>
        <v/>
      </c>
      <c r="M58" s="137">
        <f>IF(ISNUMBER(M85),M85,IF(ISNUMBER($B$23),$B$23/12,""))</f>
        <v/>
      </c>
      <c r="N58" s="137">
        <f>IF(ISNUMBER(N85),N85,IF(ISNUMBER($B$23),$B$23/12,""))</f>
        <v/>
      </c>
      <c r="O58" s="137">
        <f>IF(ISNUMBER(O85),O85,IF(ISNUMBER($B$23),$B$23/12,""))</f>
        <v/>
      </c>
      <c r="P58" s="137">
        <f>IF(ISNUMBER(P85),P85,IF(ISNUMBER($B$23),$B$23/12,""))</f>
        <v/>
      </c>
      <c r="Q58" s="137">
        <f>IF(ISNUMBER(Q85),Q85,IF(ISNUMBER($B$23),$B$23/12,""))</f>
        <v/>
      </c>
      <c r="R58" s="137">
        <f>IF(ISNUMBER(R85),R85,IF(ISNUMBER($B$23),$B$23/12,""))</f>
        <v/>
      </c>
      <c r="S58" s="137">
        <f>IF(ISNUMBER(S85),S85,IF(ISNUMBER($B$23),$B$23/12,""))</f>
        <v/>
      </c>
      <c r="T58" s="137">
        <f>IF(ISNUMBER(T85),T85,IF(ISNUMBER($B$23),$B$23/12,""))</f>
        <v/>
      </c>
      <c r="U58" s="137">
        <f>IF(ISNUMBER(U85),U85,IF(ISNUMBER($B$23),$B$23/12,""))</f>
        <v/>
      </c>
      <c r="V58" s="137">
        <f>IF(ISNUMBER(V85),V85,IF(ISNUMBER($B$23),$B$23/12,""))</f>
        <v/>
      </c>
      <c r="W58" s="137">
        <f>IF(ISNUMBER(W85),W85,IF(ISNUMBER($B$23),$B$23/12,""))</f>
        <v/>
      </c>
      <c r="X58" s="137">
        <f>IF(ISNUMBER(X85),X85,IF(ISNUMBER($B$23),$B$23/12,""))</f>
        <v/>
      </c>
      <c r="Y58" s="137">
        <f>IF(ISNUMBER(Y85),Y85,IF(ISNUMBER($B$23),$B$23/12,""))</f>
        <v/>
      </c>
      <c r="Z58" s="137">
        <f>IF(ISNUMBER(Z85),Z85,IF(ISNUMBER($B$23),$B$23/12,""))</f>
        <v/>
      </c>
      <c r="AA58" s="137">
        <f>IF(ISNUMBER(AA85),AA85,IF(ISNUMBER($B$23),$B$23/12,""))</f>
        <v/>
      </c>
      <c r="AB58" s="137">
        <f>IF(ISNUMBER(AB85),AB85,IF(ISNUMBER($B$23),$B$23/12,""))</f>
        <v/>
      </c>
      <c r="AC58" s="137">
        <f>IF(ISNUMBER(AC85),AC85,IF(ISNUMBER($B$23),$B$23/12,""))</f>
        <v/>
      </c>
      <c r="AD58" s="137">
        <f>IF(ISNUMBER(AD85),AD85,IF(ISNUMBER($B$23),$B$23/12,""))</f>
        <v/>
      </c>
      <c r="AE58" s="137">
        <f>IF(ISNUMBER(AE85),AE85,IF(ISNUMBER($B$23),$B$23/12,""))</f>
        <v/>
      </c>
      <c r="AF58" s="137">
        <f>IF(ISNUMBER(AF85),AF85,IF(ISNUMBER($B$23),$B$23/12,""))</f>
        <v/>
      </c>
      <c r="AG58" s="137">
        <f>IF(ISNUMBER(AG85),AG85,IF(ISNUMBER($B$23),$B$23/12,""))</f>
        <v/>
      </c>
      <c r="AH58" s="137">
        <f>IF(ISNUMBER(AH85),AH85,IF(ISNUMBER($B$23),$B$23/12,""))</f>
        <v/>
      </c>
      <c r="AI58" s="137">
        <f>IF(ISNUMBER(AI85),AI85,IF(ISNUMBER($B$23),$B$23/12,""))</f>
        <v/>
      </c>
      <c r="AJ58" s="137">
        <f>IF(ISNUMBER(AJ85),AJ85,IF(ISNUMBER($B$23),$B$23/12,""))</f>
        <v/>
      </c>
      <c r="AK58" s="137">
        <f>IF(ISNUMBER(AK85),AK85,IF(ISNUMBER($B$23),$B$23/12,""))</f>
        <v/>
      </c>
      <c r="AL58" s="137">
        <f>IF(ISNUMBER(AL85),AL85,IF(ISNUMBER($B$23),$B$23/12,""))</f>
        <v/>
      </c>
      <c r="AM58" s="137">
        <f>IF(ISNUMBER(AM85),AM85,IF(ISNUMBER($B$23),$B$23/12,""))</f>
        <v/>
      </c>
    </row>
    <row r="59" ht="28" customHeight="1">
      <c r="A59" s="4" t="inlineStr">
        <is>
          <t>Head office</t>
        </is>
      </c>
      <c r="B59" s="4" t="n"/>
      <c r="C59" s="4" t="n"/>
      <c r="D59" s="137">
        <f>IF(ISNUMBER(D86),D86,IF(ISNUMBER($B$24),$B$24/12,""))</f>
        <v/>
      </c>
      <c r="E59" s="137">
        <f>IF(ISNUMBER(E86),E86,IF(ISNUMBER($B$24),$B$24/12,""))</f>
        <v/>
      </c>
      <c r="F59" s="137">
        <f>IF(ISNUMBER(F86),F86,IF(ISNUMBER($B$24),$B$24/12,""))</f>
        <v/>
      </c>
      <c r="G59" s="137">
        <f>IF(ISNUMBER(G86),G86,IF(ISNUMBER($B$24),$B$24/12,""))</f>
        <v/>
      </c>
      <c r="H59" s="137">
        <f>IF(ISNUMBER(H86),H86,IF(ISNUMBER($B$24),$B$24/12,""))</f>
        <v/>
      </c>
      <c r="I59" s="137">
        <f>IF(ISNUMBER(I86),I86,IF(ISNUMBER($B$24),$B$24/12,""))</f>
        <v/>
      </c>
      <c r="J59" s="137">
        <f>IF(ISNUMBER(J86),J86,IF(ISNUMBER($B$24),$B$24/12,""))</f>
        <v/>
      </c>
      <c r="K59" s="137">
        <f>IF(ISNUMBER(K86),K86,IF(ISNUMBER($B$24),$B$24/12,""))</f>
        <v/>
      </c>
      <c r="L59" s="137">
        <f>IF(ISNUMBER(L86),L86,IF(ISNUMBER($B$24),$B$24/12,""))</f>
        <v/>
      </c>
      <c r="M59" s="137">
        <f>IF(ISNUMBER(M86),M86,IF(ISNUMBER($B$24),$B$24/12,""))</f>
        <v/>
      </c>
      <c r="N59" s="137">
        <f>IF(ISNUMBER(N86),N86,IF(ISNUMBER($B$24),$B$24/12,""))</f>
        <v/>
      </c>
      <c r="O59" s="137">
        <f>IF(ISNUMBER(O86),O86,IF(ISNUMBER($B$24),$B$24/12,""))</f>
        <v/>
      </c>
      <c r="P59" s="137">
        <f>IF(ISNUMBER(P86),P86,IF(ISNUMBER($B$24),$B$24/12,""))</f>
        <v/>
      </c>
      <c r="Q59" s="137">
        <f>IF(ISNUMBER(Q86),Q86,IF(ISNUMBER($B$24),$B$24/12,""))</f>
        <v/>
      </c>
      <c r="R59" s="137">
        <f>IF(ISNUMBER(R86),R86,IF(ISNUMBER($B$24),$B$24/12,""))</f>
        <v/>
      </c>
      <c r="S59" s="137">
        <f>IF(ISNUMBER(S86),S86,IF(ISNUMBER($B$24),$B$24/12,""))</f>
        <v/>
      </c>
      <c r="T59" s="137">
        <f>IF(ISNUMBER(T86),T86,IF(ISNUMBER($B$24),$B$24/12,""))</f>
        <v/>
      </c>
      <c r="U59" s="137">
        <f>IF(ISNUMBER(U86),U86,IF(ISNUMBER($B$24),$B$24/12,""))</f>
        <v/>
      </c>
      <c r="V59" s="137">
        <f>IF(ISNUMBER(V86),V86,IF(ISNUMBER($B$24),$B$24/12,""))</f>
        <v/>
      </c>
      <c r="W59" s="137">
        <f>IF(ISNUMBER(W86),W86,IF(ISNUMBER($B$24),$B$24/12,""))</f>
        <v/>
      </c>
      <c r="X59" s="137">
        <f>IF(ISNUMBER(X86),X86,IF(ISNUMBER($B$24),$B$24/12,""))</f>
        <v/>
      </c>
      <c r="Y59" s="137">
        <f>IF(ISNUMBER(Y86),Y86,IF(ISNUMBER($B$24),$B$24/12,""))</f>
        <v/>
      </c>
      <c r="Z59" s="137">
        <f>IF(ISNUMBER(Z86),Z86,IF(ISNUMBER($B$24),$B$24/12,""))</f>
        <v/>
      </c>
      <c r="AA59" s="137">
        <f>IF(ISNUMBER(AA86),AA86,IF(ISNUMBER($B$24),$B$24/12,""))</f>
        <v/>
      </c>
      <c r="AB59" s="137">
        <f>IF(ISNUMBER(AB86),AB86,IF(ISNUMBER($B$24),$B$24/12,""))</f>
        <v/>
      </c>
      <c r="AC59" s="137">
        <f>IF(ISNUMBER(AC86),AC86,IF(ISNUMBER($B$24),$B$24/12,""))</f>
        <v/>
      </c>
      <c r="AD59" s="137">
        <f>IF(ISNUMBER(AD86),AD86,IF(ISNUMBER($B$24),$B$24/12,""))</f>
        <v/>
      </c>
      <c r="AE59" s="137">
        <f>IF(ISNUMBER(AE86),AE86,IF(ISNUMBER($B$24),$B$24/12,""))</f>
        <v/>
      </c>
      <c r="AF59" s="137">
        <f>IF(ISNUMBER(AF86),AF86,IF(ISNUMBER($B$24),$B$24/12,""))</f>
        <v/>
      </c>
      <c r="AG59" s="137">
        <f>IF(ISNUMBER(AG86),AG86,IF(ISNUMBER($B$24),$B$24/12,""))</f>
        <v/>
      </c>
      <c r="AH59" s="137">
        <f>IF(ISNUMBER(AH86),AH86,IF(ISNUMBER($B$24),$B$24/12,""))</f>
        <v/>
      </c>
      <c r="AI59" s="137">
        <f>IF(ISNUMBER(AI86),AI86,IF(ISNUMBER($B$24),$B$24/12,""))</f>
        <v/>
      </c>
      <c r="AJ59" s="137">
        <f>IF(ISNUMBER(AJ86),AJ86,IF(ISNUMBER($B$24),$B$24/12,""))</f>
        <v/>
      </c>
      <c r="AK59" s="137">
        <f>IF(ISNUMBER(AK86),AK86,IF(ISNUMBER($B$24),$B$24/12,""))</f>
        <v/>
      </c>
      <c r="AL59" s="137">
        <f>IF(ISNUMBER(AL86),AL86,IF(ISNUMBER($B$24),$B$24/12,""))</f>
        <v/>
      </c>
      <c r="AM59" s="137">
        <f>IF(ISNUMBER(AM86),AM86,IF(ISNUMBER($B$24),$B$24/12,""))</f>
        <v/>
      </c>
    </row>
    <row r="60" ht="28" customHeight="1">
      <c r="A60" s="4" t="inlineStr">
        <is>
          <t>Marketing</t>
        </is>
      </c>
      <c r="B60" s="4" t="n"/>
      <c r="C60" s="4" t="n"/>
      <c r="D60" s="137">
        <f>IF(ISNUMBER(D87),D87,IF(ISNUMBER($B$25),$B$25/12,""))</f>
        <v/>
      </c>
      <c r="E60" s="137">
        <f>IF(ISNUMBER(E87),E87,IF(ISNUMBER($B$25),$B$25/12,""))</f>
        <v/>
      </c>
      <c r="F60" s="137">
        <f>IF(ISNUMBER(F87),F87,IF(ISNUMBER($B$25),$B$25/12,""))</f>
        <v/>
      </c>
      <c r="G60" s="137">
        <f>IF(ISNUMBER(G87),G87,IF(ISNUMBER($B$25),$B$25/12,""))</f>
        <v/>
      </c>
      <c r="H60" s="137">
        <f>IF(ISNUMBER(H87),H87,IF(ISNUMBER($B$25),$B$25/12,""))</f>
        <v/>
      </c>
      <c r="I60" s="137">
        <f>IF(ISNUMBER(I87),I87,IF(ISNUMBER($B$25),$B$25/12,""))</f>
        <v/>
      </c>
      <c r="J60" s="137">
        <f>IF(ISNUMBER(J87),J87,IF(ISNUMBER($B$25),$B$25/12,""))</f>
        <v/>
      </c>
      <c r="K60" s="137">
        <f>IF(ISNUMBER(K87),K87,IF(ISNUMBER($B$25),$B$25/12,""))</f>
        <v/>
      </c>
      <c r="L60" s="137">
        <f>IF(ISNUMBER(L87),L87,IF(ISNUMBER($B$25),$B$25/12,""))</f>
        <v/>
      </c>
      <c r="M60" s="137">
        <f>IF(ISNUMBER(M87),M87,IF(ISNUMBER($B$25),$B$25/12,""))</f>
        <v/>
      </c>
      <c r="N60" s="137">
        <f>IF(ISNUMBER(N87),N87,IF(ISNUMBER($B$25),$B$25/12,""))</f>
        <v/>
      </c>
      <c r="O60" s="137">
        <f>IF(ISNUMBER(O87),O87,IF(ISNUMBER($B$25),$B$25/12,""))</f>
        <v/>
      </c>
      <c r="P60" s="137">
        <f>IF(ISNUMBER(P87),P87,IF(ISNUMBER($B$25),$B$25/12,""))</f>
        <v/>
      </c>
      <c r="Q60" s="137">
        <f>IF(ISNUMBER(Q87),Q87,IF(ISNUMBER($B$25),$B$25/12,""))</f>
        <v/>
      </c>
      <c r="R60" s="137">
        <f>IF(ISNUMBER(R87),R87,IF(ISNUMBER($B$25),$B$25/12,""))</f>
        <v/>
      </c>
      <c r="S60" s="137">
        <f>IF(ISNUMBER(S87),S87,IF(ISNUMBER($B$25),$B$25/12,""))</f>
        <v/>
      </c>
      <c r="T60" s="137">
        <f>IF(ISNUMBER(T87),T87,IF(ISNUMBER($B$25),$B$25/12,""))</f>
        <v/>
      </c>
      <c r="U60" s="137">
        <f>IF(ISNUMBER(U87),U87,IF(ISNUMBER($B$25),$B$25/12,""))</f>
        <v/>
      </c>
      <c r="V60" s="137">
        <f>IF(ISNUMBER(V87),V87,IF(ISNUMBER($B$25),$B$25/12,""))</f>
        <v/>
      </c>
      <c r="W60" s="137">
        <f>IF(ISNUMBER(W87),W87,IF(ISNUMBER($B$25),$B$25/12,""))</f>
        <v/>
      </c>
      <c r="X60" s="137">
        <f>IF(ISNUMBER(X87),X87,IF(ISNUMBER($B$25),$B$25/12,""))</f>
        <v/>
      </c>
      <c r="Y60" s="137">
        <f>IF(ISNUMBER(Y87),Y87,IF(ISNUMBER($B$25),$B$25/12,""))</f>
        <v/>
      </c>
      <c r="Z60" s="137">
        <f>IF(ISNUMBER(Z87),Z87,IF(ISNUMBER($B$25),$B$25/12,""))</f>
        <v/>
      </c>
      <c r="AA60" s="137">
        <f>IF(ISNUMBER(AA87),AA87,IF(ISNUMBER($B$25),$B$25/12,""))</f>
        <v/>
      </c>
      <c r="AB60" s="137">
        <f>IF(ISNUMBER(AB87),AB87,IF(ISNUMBER($B$25),$B$25/12,""))</f>
        <v/>
      </c>
      <c r="AC60" s="137">
        <f>IF(ISNUMBER(AC87),AC87,IF(ISNUMBER($B$25),$B$25/12,""))</f>
        <v/>
      </c>
      <c r="AD60" s="137">
        <f>IF(ISNUMBER(AD87),AD87,IF(ISNUMBER($B$25),$B$25/12,""))</f>
        <v/>
      </c>
      <c r="AE60" s="137">
        <f>IF(ISNUMBER(AE87),AE87,IF(ISNUMBER($B$25),$B$25/12,""))</f>
        <v/>
      </c>
      <c r="AF60" s="137">
        <f>IF(ISNUMBER(AF87),AF87,IF(ISNUMBER($B$25),$B$25/12,""))</f>
        <v/>
      </c>
      <c r="AG60" s="137">
        <f>IF(ISNUMBER(AG87),AG87,IF(ISNUMBER($B$25),$B$25/12,""))</f>
        <v/>
      </c>
      <c r="AH60" s="137">
        <f>IF(ISNUMBER(AH87),AH87,IF(ISNUMBER($B$25),$B$25/12,""))</f>
        <v/>
      </c>
      <c r="AI60" s="137">
        <f>IF(ISNUMBER(AI87),AI87,IF(ISNUMBER($B$25),$B$25/12,""))</f>
        <v/>
      </c>
      <c r="AJ60" s="137">
        <f>IF(ISNUMBER(AJ87),AJ87,IF(ISNUMBER($B$25),$B$25/12,""))</f>
        <v/>
      </c>
      <c r="AK60" s="137">
        <f>IF(ISNUMBER(AK87),AK87,IF(ISNUMBER($B$25),$B$25/12,""))</f>
        <v/>
      </c>
      <c r="AL60" s="137">
        <f>IF(ISNUMBER(AL87),AL87,IF(ISNUMBER($B$25),$B$25/12,""))</f>
        <v/>
      </c>
      <c r="AM60" s="137">
        <f>IF(ISNUMBER(AM87),AM87,IF(ISNUMBER($B$25),$B$25/12,""))</f>
        <v/>
      </c>
    </row>
    <row r="61" ht="28" customHeight="1">
      <c r="A61" s="4" t="inlineStr">
        <is>
          <t>Field travel</t>
        </is>
      </c>
      <c r="B61" s="4" t="n"/>
      <c r="C61" s="4" t="n"/>
      <c r="D61" s="137">
        <f>IF(ISNUMBER(D88),D88,IF(ISNUMBER($B$26),$B$26/12,""))</f>
        <v/>
      </c>
      <c r="E61" s="137">
        <f>IF(ISNUMBER(E88),E88,IF(ISNUMBER($B$26),$B$26/12,""))</f>
        <v/>
      </c>
      <c r="F61" s="137">
        <f>IF(ISNUMBER(F88),F88,IF(ISNUMBER($B$26),$B$26/12,""))</f>
        <v/>
      </c>
      <c r="G61" s="137">
        <f>IF(ISNUMBER(G88),G88,IF(ISNUMBER($B$26),$B$26/12,""))</f>
        <v/>
      </c>
      <c r="H61" s="137">
        <f>IF(ISNUMBER(H88),H88,IF(ISNUMBER($B$26),$B$26/12,""))</f>
        <v/>
      </c>
      <c r="I61" s="137">
        <f>IF(ISNUMBER(I88),I88,IF(ISNUMBER($B$26),$B$26/12,""))</f>
        <v/>
      </c>
      <c r="J61" s="137">
        <f>IF(ISNUMBER(J88),J88,IF(ISNUMBER($B$26),$B$26/12,""))</f>
        <v/>
      </c>
      <c r="K61" s="137">
        <f>IF(ISNUMBER(K88),K88,IF(ISNUMBER($B$26),$B$26/12,""))</f>
        <v/>
      </c>
      <c r="L61" s="137">
        <f>IF(ISNUMBER(L88),L88,IF(ISNUMBER($B$26),$B$26/12,""))</f>
        <v/>
      </c>
      <c r="M61" s="137">
        <f>IF(ISNUMBER(M88),M88,IF(ISNUMBER($B$26),$B$26/12,""))</f>
        <v/>
      </c>
      <c r="N61" s="137">
        <f>IF(ISNUMBER(N88),N88,IF(ISNUMBER($B$26),$B$26/12,""))</f>
        <v/>
      </c>
      <c r="O61" s="137">
        <f>IF(ISNUMBER(O88),O88,IF(ISNUMBER($B$26),$B$26/12,""))</f>
        <v/>
      </c>
      <c r="P61" s="137">
        <f>IF(ISNUMBER(P88),P88,IF(ISNUMBER($B$26),$B$26/12,""))</f>
        <v/>
      </c>
      <c r="Q61" s="137">
        <f>IF(ISNUMBER(Q88),Q88,IF(ISNUMBER($B$26),$B$26/12,""))</f>
        <v/>
      </c>
      <c r="R61" s="137">
        <f>IF(ISNUMBER(R88),R88,IF(ISNUMBER($B$26),$B$26/12,""))</f>
        <v/>
      </c>
      <c r="S61" s="137">
        <f>IF(ISNUMBER(S88),S88,IF(ISNUMBER($B$26),$B$26/12,""))</f>
        <v/>
      </c>
      <c r="T61" s="137">
        <f>IF(ISNUMBER(T88),T88,IF(ISNUMBER($B$26),$B$26/12,""))</f>
        <v/>
      </c>
      <c r="U61" s="137">
        <f>IF(ISNUMBER(U88),U88,IF(ISNUMBER($B$26),$B$26/12,""))</f>
        <v/>
      </c>
      <c r="V61" s="137">
        <f>IF(ISNUMBER(V88),V88,IF(ISNUMBER($B$26),$B$26/12,""))</f>
        <v/>
      </c>
      <c r="W61" s="137">
        <f>IF(ISNUMBER(W88),W88,IF(ISNUMBER($B$26),$B$26/12,""))</f>
        <v/>
      </c>
      <c r="X61" s="137">
        <f>IF(ISNUMBER(X88),X88,IF(ISNUMBER($B$26),$B$26/12,""))</f>
        <v/>
      </c>
      <c r="Y61" s="137">
        <f>IF(ISNUMBER(Y88),Y88,IF(ISNUMBER($B$26),$B$26/12,""))</f>
        <v/>
      </c>
      <c r="Z61" s="137">
        <f>IF(ISNUMBER(Z88),Z88,IF(ISNUMBER($B$26),$B$26/12,""))</f>
        <v/>
      </c>
      <c r="AA61" s="137">
        <f>IF(ISNUMBER(AA88),AA88,IF(ISNUMBER($B$26),$B$26/12,""))</f>
        <v/>
      </c>
      <c r="AB61" s="137">
        <f>IF(ISNUMBER(AB88),AB88,IF(ISNUMBER($B$26),$B$26/12,""))</f>
        <v/>
      </c>
      <c r="AC61" s="137">
        <f>IF(ISNUMBER(AC88),AC88,IF(ISNUMBER($B$26),$B$26/12,""))</f>
        <v/>
      </c>
      <c r="AD61" s="137">
        <f>IF(ISNUMBER(AD88),AD88,IF(ISNUMBER($B$26),$B$26/12,""))</f>
        <v/>
      </c>
      <c r="AE61" s="137">
        <f>IF(ISNUMBER(AE88),AE88,IF(ISNUMBER($B$26),$B$26/12,""))</f>
        <v/>
      </c>
      <c r="AF61" s="137">
        <f>IF(ISNUMBER(AF88),AF88,IF(ISNUMBER($B$26),$B$26/12,""))</f>
        <v/>
      </c>
      <c r="AG61" s="137">
        <f>IF(ISNUMBER(AG88),AG88,IF(ISNUMBER($B$26),$B$26/12,""))</f>
        <v/>
      </c>
      <c r="AH61" s="137">
        <f>IF(ISNUMBER(AH88),AH88,IF(ISNUMBER($B$26),$B$26/12,""))</f>
        <v/>
      </c>
      <c r="AI61" s="137">
        <f>IF(ISNUMBER(AI88),AI88,IF(ISNUMBER($B$26),$B$26/12,""))</f>
        <v/>
      </c>
      <c r="AJ61" s="137">
        <f>IF(ISNUMBER(AJ88),AJ88,IF(ISNUMBER($B$26),$B$26/12,""))</f>
        <v/>
      </c>
      <c r="AK61" s="137">
        <f>IF(ISNUMBER(AK88),AK88,IF(ISNUMBER($B$26),$B$26/12,""))</f>
        <v/>
      </c>
      <c r="AL61" s="137">
        <f>IF(ISNUMBER(AL88),AL88,IF(ISNUMBER($B$26),$B$26/12,""))</f>
        <v/>
      </c>
      <c r="AM61" s="137">
        <f>IF(ISNUMBER(AM88),AM88,IF(ISNUMBER($B$26),$B$26/12,""))</f>
        <v/>
      </c>
    </row>
    <row r="62" ht="28" customHeight="1">
      <c r="A62" s="4" t="inlineStr">
        <is>
          <t>Consulting and accounting</t>
        </is>
      </c>
      <c r="B62" s="4" t="n"/>
      <c r="C62" s="4" t="n"/>
      <c r="D62" s="137">
        <f>IF(ISNUMBER(D89),D89,IF(ISNUMBER($B$27),$B$27/12,""))</f>
        <v/>
      </c>
      <c r="E62" s="137">
        <f>IF(ISNUMBER(E89),E89,IF(ISNUMBER($B$27),$B$27/12,""))</f>
        <v/>
      </c>
      <c r="F62" s="137">
        <f>IF(ISNUMBER(F89),F89,IF(ISNUMBER($B$27),$B$27/12,""))</f>
        <v/>
      </c>
      <c r="G62" s="137">
        <f>IF(ISNUMBER(G89),G89,IF(ISNUMBER($B$27),$B$27/12,""))</f>
        <v/>
      </c>
      <c r="H62" s="137">
        <f>IF(ISNUMBER(H89),H89,IF(ISNUMBER($B$27),$B$27/12,""))</f>
        <v/>
      </c>
      <c r="I62" s="137">
        <f>IF(ISNUMBER(I89),I89,IF(ISNUMBER($B$27),$B$27/12,""))</f>
        <v/>
      </c>
      <c r="J62" s="137">
        <f>IF(ISNUMBER(J89),J89,IF(ISNUMBER($B$27),$B$27/12,""))</f>
        <v/>
      </c>
      <c r="K62" s="137">
        <f>IF(ISNUMBER(K89),K89,IF(ISNUMBER($B$27),$B$27/12,""))</f>
        <v/>
      </c>
      <c r="L62" s="137">
        <f>IF(ISNUMBER(L89),L89,IF(ISNUMBER($B$27),$B$27/12,""))</f>
        <v/>
      </c>
      <c r="M62" s="137">
        <f>IF(ISNUMBER(M89),M89,IF(ISNUMBER($B$27),$B$27/12,""))</f>
        <v/>
      </c>
      <c r="N62" s="137">
        <f>IF(ISNUMBER(N89),N89,IF(ISNUMBER($B$27),$B$27/12,""))</f>
        <v/>
      </c>
      <c r="O62" s="137">
        <f>IF(ISNUMBER(O89),O89,IF(ISNUMBER($B$27),$B$27/12,""))</f>
        <v/>
      </c>
      <c r="P62" s="137">
        <f>IF(ISNUMBER(P89),P89,IF(ISNUMBER($B$27),$B$27/12,""))</f>
        <v/>
      </c>
      <c r="Q62" s="137">
        <f>IF(ISNUMBER(Q89),Q89,IF(ISNUMBER($B$27),$B$27/12,""))</f>
        <v/>
      </c>
      <c r="R62" s="137">
        <f>IF(ISNUMBER(R89),R89,IF(ISNUMBER($B$27),$B$27/12,""))</f>
        <v/>
      </c>
      <c r="S62" s="137">
        <f>IF(ISNUMBER(S89),S89,IF(ISNUMBER($B$27),$B$27/12,""))</f>
        <v/>
      </c>
      <c r="T62" s="137">
        <f>IF(ISNUMBER(T89),T89,IF(ISNUMBER($B$27),$B$27/12,""))</f>
        <v/>
      </c>
      <c r="U62" s="137">
        <f>IF(ISNUMBER(U89),U89,IF(ISNUMBER($B$27),$B$27/12,""))</f>
        <v/>
      </c>
      <c r="V62" s="137">
        <f>IF(ISNUMBER(V89),V89,IF(ISNUMBER($B$27),$B$27/12,""))</f>
        <v/>
      </c>
      <c r="W62" s="137">
        <f>IF(ISNUMBER(W89),W89,IF(ISNUMBER($B$27),$B$27/12,""))</f>
        <v/>
      </c>
      <c r="X62" s="137">
        <f>IF(ISNUMBER(X89),X89,IF(ISNUMBER($B$27),$B$27/12,""))</f>
        <v/>
      </c>
      <c r="Y62" s="137">
        <f>IF(ISNUMBER(Y89),Y89,IF(ISNUMBER($B$27),$B$27/12,""))</f>
        <v/>
      </c>
      <c r="Z62" s="137">
        <f>IF(ISNUMBER(Z89),Z89,IF(ISNUMBER($B$27),$B$27/12,""))</f>
        <v/>
      </c>
      <c r="AA62" s="137">
        <f>IF(ISNUMBER(AA89),AA89,IF(ISNUMBER($B$27),$B$27/12,""))</f>
        <v/>
      </c>
      <c r="AB62" s="137">
        <f>IF(ISNUMBER(AB89),AB89,IF(ISNUMBER($B$27),$B$27/12,""))</f>
        <v/>
      </c>
      <c r="AC62" s="137">
        <f>IF(ISNUMBER(AC89),AC89,IF(ISNUMBER($B$27),$B$27/12,""))</f>
        <v/>
      </c>
      <c r="AD62" s="137">
        <f>IF(ISNUMBER(AD89),AD89,IF(ISNUMBER($B$27),$B$27/12,""))</f>
        <v/>
      </c>
      <c r="AE62" s="137">
        <f>IF(ISNUMBER(AE89),AE89,IF(ISNUMBER($B$27),$B$27/12,""))</f>
        <v/>
      </c>
      <c r="AF62" s="137">
        <f>IF(ISNUMBER(AF89),AF89,IF(ISNUMBER($B$27),$B$27/12,""))</f>
        <v/>
      </c>
      <c r="AG62" s="137">
        <f>IF(ISNUMBER(AG89),AG89,IF(ISNUMBER($B$27),$B$27/12,""))</f>
        <v/>
      </c>
      <c r="AH62" s="137">
        <f>IF(ISNUMBER(AH89),AH89,IF(ISNUMBER($B$27),$B$27/12,""))</f>
        <v/>
      </c>
      <c r="AI62" s="137">
        <f>IF(ISNUMBER(AI89),AI89,IF(ISNUMBER($B$27),$B$27/12,""))</f>
        <v/>
      </c>
      <c r="AJ62" s="137">
        <f>IF(ISNUMBER(AJ89),AJ89,IF(ISNUMBER($B$27),$B$27/12,""))</f>
        <v/>
      </c>
      <c r="AK62" s="137">
        <f>IF(ISNUMBER(AK89),AK89,IF(ISNUMBER($B$27),$B$27/12,""))</f>
        <v/>
      </c>
      <c r="AL62" s="137">
        <f>IF(ISNUMBER(AL89),AL89,IF(ISNUMBER($B$27),$B$27/12,""))</f>
        <v/>
      </c>
      <c r="AM62" s="137">
        <f>IF(ISNUMBER(AM89),AM89,IF(ISNUMBER($B$27),$B$27/12,""))</f>
        <v/>
      </c>
    </row>
    <row r="63" ht="28" customHeight="1">
      <c r="A63" s="4" t="inlineStr">
        <is>
          <t>Additional staff</t>
        </is>
      </c>
      <c r="B63" s="4" t="n"/>
      <c r="C63" s="4" t="n"/>
      <c r="D63" s="137">
        <f>IF(ISNUMBER(D90),D90,IF(ISNUMBER($B$28),$B$28/12,""))</f>
        <v/>
      </c>
      <c r="E63" s="137">
        <f>IF(ISNUMBER(E90),E90,IF(ISNUMBER($B$28),$B$28/12,""))</f>
        <v/>
      </c>
      <c r="F63" s="137">
        <f>IF(ISNUMBER(F90),F90,IF(ISNUMBER($B$28),$B$28/12,""))</f>
        <v/>
      </c>
      <c r="G63" s="137">
        <f>IF(ISNUMBER(G90),G90,IF(ISNUMBER($B$28),$B$28/12,""))</f>
        <v/>
      </c>
      <c r="H63" s="137">
        <f>IF(ISNUMBER(H90),H90,IF(ISNUMBER($B$28),$B$28/12,""))</f>
        <v/>
      </c>
      <c r="I63" s="137">
        <f>IF(ISNUMBER(I90),I90,IF(ISNUMBER($B$28),$B$28/12,""))</f>
        <v/>
      </c>
      <c r="J63" s="137">
        <f>IF(ISNUMBER(J90),J90,IF(ISNUMBER($B$28),$B$28/12,""))</f>
        <v/>
      </c>
      <c r="K63" s="137">
        <f>IF(ISNUMBER(K90),K90,IF(ISNUMBER($B$28),$B$28/12,""))</f>
        <v/>
      </c>
      <c r="L63" s="137">
        <f>IF(ISNUMBER(L90),L90,IF(ISNUMBER($B$28),$B$28/12,""))</f>
        <v/>
      </c>
      <c r="M63" s="137">
        <f>IF(ISNUMBER(M90),M90,IF(ISNUMBER($B$28),$B$28/12,""))</f>
        <v/>
      </c>
      <c r="N63" s="137">
        <f>IF(ISNUMBER(N90),N90,IF(ISNUMBER($B$28),$B$28/12,""))</f>
        <v/>
      </c>
      <c r="O63" s="137">
        <f>IF(ISNUMBER(O90),O90,IF(ISNUMBER($B$28),$B$28/12,""))</f>
        <v/>
      </c>
      <c r="P63" s="137">
        <f>IF(ISNUMBER(P90),P90,IF(ISNUMBER($B$28),$B$28/12,""))</f>
        <v/>
      </c>
      <c r="Q63" s="137">
        <f>IF(ISNUMBER(Q90),Q90,IF(ISNUMBER($B$28),$B$28/12,""))</f>
        <v/>
      </c>
      <c r="R63" s="137">
        <f>IF(ISNUMBER(R90),R90,IF(ISNUMBER($B$28),$B$28/12,""))</f>
        <v/>
      </c>
      <c r="S63" s="137">
        <f>IF(ISNUMBER(S90),S90,IF(ISNUMBER($B$28),$B$28/12,""))</f>
        <v/>
      </c>
      <c r="T63" s="137">
        <f>IF(ISNUMBER(T90),T90,IF(ISNUMBER($B$28),$B$28/12,""))</f>
        <v/>
      </c>
      <c r="U63" s="137">
        <f>IF(ISNUMBER(U90),U90,IF(ISNUMBER($B$28),$B$28/12,""))</f>
        <v/>
      </c>
      <c r="V63" s="137">
        <f>IF(ISNUMBER(V90),V90,IF(ISNUMBER($B$28),$B$28/12,""))</f>
        <v/>
      </c>
      <c r="W63" s="137">
        <f>IF(ISNUMBER(W90),W90,IF(ISNUMBER($B$28),$B$28/12,""))</f>
        <v/>
      </c>
      <c r="X63" s="137">
        <f>IF(ISNUMBER(X90),X90,IF(ISNUMBER($B$28),$B$28/12,""))</f>
        <v/>
      </c>
      <c r="Y63" s="137">
        <f>IF(ISNUMBER(Y90),Y90,IF(ISNUMBER($B$28),$B$28/12,""))</f>
        <v/>
      </c>
      <c r="Z63" s="137">
        <f>IF(ISNUMBER(Z90),Z90,IF(ISNUMBER($B$28),$B$28/12,""))</f>
        <v/>
      </c>
      <c r="AA63" s="137">
        <f>IF(ISNUMBER(AA90),AA90,IF(ISNUMBER($B$28),$B$28/12,""))</f>
        <v/>
      </c>
      <c r="AB63" s="137">
        <f>IF(ISNUMBER(AB90),AB90,IF(ISNUMBER($B$28),$B$28/12,""))</f>
        <v/>
      </c>
      <c r="AC63" s="137">
        <f>IF(ISNUMBER(AC90),AC90,IF(ISNUMBER($B$28),$B$28/12,""))</f>
        <v/>
      </c>
      <c r="AD63" s="137">
        <f>IF(ISNUMBER(AD90),AD90,IF(ISNUMBER($B$28),$B$28/12,""))</f>
        <v/>
      </c>
      <c r="AE63" s="137">
        <f>IF(ISNUMBER(AE90),AE90,IF(ISNUMBER($B$28),$B$28/12,""))</f>
        <v/>
      </c>
      <c r="AF63" s="137">
        <f>IF(ISNUMBER(AF90),AF90,IF(ISNUMBER($B$28),$B$28/12,""))</f>
        <v/>
      </c>
      <c r="AG63" s="137">
        <f>IF(ISNUMBER(AG90),AG90,IF(ISNUMBER($B$28),$B$28/12,""))</f>
        <v/>
      </c>
      <c r="AH63" s="137">
        <f>IF(ISNUMBER(AH90),AH90,IF(ISNUMBER($B$28),$B$28/12,""))</f>
        <v/>
      </c>
      <c r="AI63" s="137">
        <f>IF(ISNUMBER(AI90),AI90,IF(ISNUMBER($B$28),$B$28/12,""))</f>
        <v/>
      </c>
      <c r="AJ63" s="137">
        <f>IF(ISNUMBER(AJ90),AJ90,IF(ISNUMBER($B$28),$B$28/12,""))</f>
        <v/>
      </c>
      <c r="AK63" s="137">
        <f>IF(ISNUMBER(AK90),AK90,IF(ISNUMBER($B$28),$B$28/12,""))</f>
        <v/>
      </c>
      <c r="AL63" s="137">
        <f>IF(ISNUMBER(AL90),AL90,IF(ISNUMBER($B$28),$B$28/12,""))</f>
        <v/>
      </c>
      <c r="AM63" s="137">
        <f>IF(ISNUMBER(AM90),AM90,IF(ISNUMBER($B$28),$B$28/12,""))</f>
        <v/>
      </c>
    </row>
    <row r="64" ht="28" customHeight="1">
      <c r="A64" s="4" t="inlineStr">
        <is>
          <t>R&amp;D</t>
        </is>
      </c>
      <c r="B64" s="4" t="n"/>
      <c r="C64" s="4" t="n"/>
      <c r="D64" s="137">
        <f>IF(ISNUMBER(D91),D91,IF(ISNUMBER($B$29),$B$29/12,""))</f>
        <v/>
      </c>
      <c r="E64" s="137">
        <f>IF(ISNUMBER(E91),E91,IF(ISNUMBER($B$29),$B$29/12,""))</f>
        <v/>
      </c>
      <c r="F64" s="137">
        <f>IF(ISNUMBER(F91),F91,IF(ISNUMBER($B$29),$B$29/12,""))</f>
        <v/>
      </c>
      <c r="G64" s="137">
        <f>IF(ISNUMBER(G91),G91,IF(ISNUMBER($B$29),$B$29/12,""))</f>
        <v/>
      </c>
      <c r="H64" s="137">
        <f>IF(ISNUMBER(H91),H91,IF(ISNUMBER($B$29),$B$29/12,""))</f>
        <v/>
      </c>
      <c r="I64" s="137">
        <f>IF(ISNUMBER(I91),I91,IF(ISNUMBER($B$29),$B$29/12,""))</f>
        <v/>
      </c>
      <c r="J64" s="137">
        <f>IF(ISNUMBER(J91),J91,IF(ISNUMBER($B$29),$B$29/12,""))</f>
        <v/>
      </c>
      <c r="K64" s="137">
        <f>IF(ISNUMBER(K91),K91,IF(ISNUMBER($B$29),$B$29/12,""))</f>
        <v/>
      </c>
      <c r="L64" s="137">
        <f>IF(ISNUMBER(L91),L91,IF(ISNUMBER($B$29),$B$29/12,""))</f>
        <v/>
      </c>
      <c r="M64" s="137">
        <f>IF(ISNUMBER(M91),M91,IF(ISNUMBER($B$29),$B$29/12,""))</f>
        <v/>
      </c>
      <c r="N64" s="137">
        <f>IF(ISNUMBER(N91),N91,IF(ISNUMBER($B$29),$B$29/12,""))</f>
        <v/>
      </c>
      <c r="O64" s="137">
        <f>IF(ISNUMBER(O91),O91,IF(ISNUMBER($B$29),$B$29/12,""))</f>
        <v/>
      </c>
      <c r="P64" s="137">
        <f>IF(ISNUMBER(P91),P91,IF(ISNUMBER($B$29),$B$29/12,""))</f>
        <v/>
      </c>
      <c r="Q64" s="137">
        <f>IF(ISNUMBER(Q91),Q91,IF(ISNUMBER($B$29),$B$29/12,""))</f>
        <v/>
      </c>
      <c r="R64" s="137">
        <f>IF(ISNUMBER(R91),R91,IF(ISNUMBER($B$29),$B$29/12,""))</f>
        <v/>
      </c>
      <c r="S64" s="137">
        <f>IF(ISNUMBER(S91),S91,IF(ISNUMBER($B$29),$B$29/12,""))</f>
        <v/>
      </c>
      <c r="T64" s="137">
        <f>IF(ISNUMBER(T91),T91,IF(ISNUMBER($B$29),$B$29/12,""))</f>
        <v/>
      </c>
      <c r="U64" s="137">
        <f>IF(ISNUMBER(U91),U91,IF(ISNUMBER($B$29),$B$29/12,""))</f>
        <v/>
      </c>
      <c r="V64" s="137">
        <f>IF(ISNUMBER(V91),V91,IF(ISNUMBER($B$29),$B$29/12,""))</f>
        <v/>
      </c>
      <c r="W64" s="137">
        <f>IF(ISNUMBER(W91),W91,IF(ISNUMBER($B$29),$B$29/12,""))</f>
        <v/>
      </c>
      <c r="X64" s="137">
        <f>IF(ISNUMBER(X91),X91,IF(ISNUMBER($B$29),$B$29/12,""))</f>
        <v/>
      </c>
      <c r="Y64" s="137">
        <f>IF(ISNUMBER(Y91),Y91,IF(ISNUMBER($B$29),$B$29/12,""))</f>
        <v/>
      </c>
      <c r="Z64" s="137">
        <f>IF(ISNUMBER(Z91),Z91,IF(ISNUMBER($B$29),$B$29/12,""))</f>
        <v/>
      </c>
      <c r="AA64" s="137">
        <f>IF(ISNUMBER(AA91),AA91,IF(ISNUMBER($B$29),$B$29/12,""))</f>
        <v/>
      </c>
      <c r="AB64" s="137">
        <f>IF(ISNUMBER(AB91),AB91,IF(ISNUMBER($B$29),$B$29/12,""))</f>
        <v/>
      </c>
      <c r="AC64" s="137">
        <f>IF(ISNUMBER(AC91),AC91,IF(ISNUMBER($B$29),$B$29/12,""))</f>
        <v/>
      </c>
      <c r="AD64" s="137">
        <f>IF(ISNUMBER(AD91),AD91,IF(ISNUMBER($B$29),$B$29/12,""))</f>
        <v/>
      </c>
      <c r="AE64" s="137">
        <f>IF(ISNUMBER(AE91),AE91,IF(ISNUMBER($B$29),$B$29/12,""))</f>
        <v/>
      </c>
      <c r="AF64" s="137">
        <f>IF(ISNUMBER(AF91),AF91,IF(ISNUMBER($B$29),$B$29/12,""))</f>
        <v/>
      </c>
      <c r="AG64" s="137">
        <f>IF(ISNUMBER(AG91),AG91,IF(ISNUMBER($B$29),$B$29/12,""))</f>
        <v/>
      </c>
      <c r="AH64" s="137">
        <f>IF(ISNUMBER(AH91),AH91,IF(ISNUMBER($B$29),$B$29/12,""))</f>
        <v/>
      </c>
      <c r="AI64" s="137">
        <f>IF(ISNUMBER(AI91),AI91,IF(ISNUMBER($B$29),$B$29/12,""))</f>
        <v/>
      </c>
      <c r="AJ64" s="137">
        <f>IF(ISNUMBER(AJ91),AJ91,IF(ISNUMBER($B$29),$B$29/12,""))</f>
        <v/>
      </c>
      <c r="AK64" s="137">
        <f>IF(ISNUMBER(AK91),AK91,IF(ISNUMBER($B$29),$B$29/12,""))</f>
        <v/>
      </c>
      <c r="AL64" s="137">
        <f>IF(ISNUMBER(AL91),AL91,IF(ISNUMBER($B$29),$B$29/12,""))</f>
        <v/>
      </c>
      <c r="AM64" s="137">
        <f>IF(ISNUMBER(AM91),AM91,IF(ISNUMBER($B$29),$B$29/12,""))</f>
        <v/>
      </c>
    </row>
    <row r="65" ht="28" customHeight="1">
      <c r="A65" s="4" t="inlineStr">
        <is>
          <t>Other annual adjustment</t>
        </is>
      </c>
      <c r="B65" s="4" t="n"/>
      <c r="C65" s="4" t="n"/>
      <c r="D65" s="137">
        <f>IF(ISNUMBER(D92),D92,IF(ISNUMBER($B$30),$B$30/12,""))</f>
        <v/>
      </c>
      <c r="E65" s="137">
        <f>IF(ISNUMBER(E92),E92,IF(ISNUMBER($B$30),$B$30/12,""))</f>
        <v/>
      </c>
      <c r="F65" s="137">
        <f>IF(ISNUMBER(F92),F92,IF(ISNUMBER($B$30),$B$30/12,""))</f>
        <v/>
      </c>
      <c r="G65" s="137">
        <f>IF(ISNUMBER(G92),G92,IF(ISNUMBER($B$30),$B$30/12,""))</f>
        <v/>
      </c>
      <c r="H65" s="137">
        <f>IF(ISNUMBER(H92),H92,IF(ISNUMBER($B$30),$B$30/12,""))</f>
        <v/>
      </c>
      <c r="I65" s="137">
        <f>IF(ISNUMBER(I92),I92,IF(ISNUMBER($B$30),$B$30/12,""))</f>
        <v/>
      </c>
      <c r="J65" s="137">
        <f>IF(ISNUMBER(J92),J92,IF(ISNUMBER($B$30),$B$30/12,""))</f>
        <v/>
      </c>
      <c r="K65" s="137">
        <f>IF(ISNUMBER(K92),K92,IF(ISNUMBER($B$30),$B$30/12,""))</f>
        <v/>
      </c>
      <c r="L65" s="137">
        <f>IF(ISNUMBER(L92),L92,IF(ISNUMBER($B$30),$B$30/12,""))</f>
        <v/>
      </c>
      <c r="M65" s="137">
        <f>IF(ISNUMBER(M92),M92,IF(ISNUMBER($B$30),$B$30/12,""))</f>
        <v/>
      </c>
      <c r="N65" s="137">
        <f>IF(ISNUMBER(N92),N92,IF(ISNUMBER($B$30),$B$30/12,""))</f>
        <v/>
      </c>
      <c r="O65" s="137">
        <f>IF(ISNUMBER(O92),O92,IF(ISNUMBER($B$30),$B$30/12,""))</f>
        <v/>
      </c>
      <c r="P65" s="137">
        <f>IF(ISNUMBER(P92),P92,IF(ISNUMBER($B$30),$B$30/12,""))</f>
        <v/>
      </c>
      <c r="Q65" s="137">
        <f>IF(ISNUMBER(Q92),Q92,IF(ISNUMBER($B$30),$B$30/12,""))</f>
        <v/>
      </c>
      <c r="R65" s="137">
        <f>IF(ISNUMBER(R92),R92,IF(ISNUMBER($B$30),$B$30/12,""))</f>
        <v/>
      </c>
      <c r="S65" s="137">
        <f>IF(ISNUMBER(S92),S92,IF(ISNUMBER($B$30),$B$30/12,""))</f>
        <v/>
      </c>
      <c r="T65" s="137">
        <f>IF(ISNUMBER(T92),T92,IF(ISNUMBER($B$30),$B$30/12,""))</f>
        <v/>
      </c>
      <c r="U65" s="137">
        <f>IF(ISNUMBER(U92),U92,IF(ISNUMBER($B$30),$B$30/12,""))</f>
        <v/>
      </c>
      <c r="V65" s="137">
        <f>IF(ISNUMBER(V92),V92,IF(ISNUMBER($B$30),$B$30/12,""))</f>
        <v/>
      </c>
      <c r="W65" s="137">
        <f>IF(ISNUMBER(W92),W92,IF(ISNUMBER($B$30),$B$30/12,""))</f>
        <v/>
      </c>
      <c r="X65" s="137">
        <f>IF(ISNUMBER(X92),X92,IF(ISNUMBER($B$30),$B$30/12,""))</f>
        <v/>
      </c>
      <c r="Y65" s="137">
        <f>IF(ISNUMBER(Y92),Y92,IF(ISNUMBER($B$30),$B$30/12,""))</f>
        <v/>
      </c>
      <c r="Z65" s="137">
        <f>IF(ISNUMBER(Z92),Z92,IF(ISNUMBER($B$30),$B$30/12,""))</f>
        <v/>
      </c>
      <c r="AA65" s="137">
        <f>IF(ISNUMBER(AA92),AA92,IF(ISNUMBER($B$30),$B$30/12,""))</f>
        <v/>
      </c>
      <c r="AB65" s="137">
        <f>IF(ISNUMBER(AB92),AB92,IF(ISNUMBER($B$30),$B$30/12,""))</f>
        <v/>
      </c>
      <c r="AC65" s="137">
        <f>IF(ISNUMBER(AC92),AC92,IF(ISNUMBER($B$30),$B$30/12,""))</f>
        <v/>
      </c>
      <c r="AD65" s="137">
        <f>IF(ISNUMBER(AD92),AD92,IF(ISNUMBER($B$30),$B$30/12,""))</f>
        <v/>
      </c>
      <c r="AE65" s="137">
        <f>IF(ISNUMBER(AE92),AE92,IF(ISNUMBER($B$30),$B$30/12,""))</f>
        <v/>
      </c>
      <c r="AF65" s="137">
        <f>IF(ISNUMBER(AF92),AF92,IF(ISNUMBER($B$30),$B$30/12,""))</f>
        <v/>
      </c>
      <c r="AG65" s="137">
        <f>IF(ISNUMBER(AG92),AG92,IF(ISNUMBER($B$30),$B$30/12,""))</f>
        <v/>
      </c>
      <c r="AH65" s="137">
        <f>IF(ISNUMBER(AH92),AH92,IF(ISNUMBER($B$30),$B$30/12,""))</f>
        <v/>
      </c>
      <c r="AI65" s="137">
        <f>IF(ISNUMBER(AI92),AI92,IF(ISNUMBER($B$30),$B$30/12,""))</f>
        <v/>
      </c>
      <c r="AJ65" s="137">
        <f>IF(ISNUMBER(AJ92),AJ92,IF(ISNUMBER($B$30),$B$30/12,""))</f>
        <v/>
      </c>
      <c r="AK65" s="137">
        <f>IF(ISNUMBER(AK92),AK92,IF(ISNUMBER($B$30),$B$30/12,""))</f>
        <v/>
      </c>
      <c r="AL65" s="137">
        <f>IF(ISNUMBER(AL92),AL92,IF(ISNUMBER($B$30),$B$30/12,""))</f>
        <v/>
      </c>
      <c r="AM65" s="137">
        <f>IF(ISNUMBER(AM92),AM92,IF(ISNUMBER($B$30),$B$30/12,""))</f>
        <v/>
      </c>
    </row>
    <row r="66" ht="28" customHeight="1">
      <c r="A66" s="4" t="inlineStr">
        <is>
          <t>Goods sale price</t>
        </is>
      </c>
      <c r="B66" s="4" t="n"/>
      <c r="C66" s="4" t="n"/>
      <c r="D66" s="137">
        <f>IF(ISNUMBER(D93),D93,$B$33)</f>
        <v/>
      </c>
      <c r="E66" s="137">
        <f>IF(ISNUMBER(E93),E93,$B$33)</f>
        <v/>
      </c>
      <c r="F66" s="137">
        <f>IF(ISNUMBER(F93),F93,$B$33)</f>
        <v/>
      </c>
      <c r="G66" s="137">
        <f>IF(ISNUMBER(G93),G93,$B$33)</f>
        <v/>
      </c>
      <c r="H66" s="137">
        <f>IF(ISNUMBER(H93),H93,$B$33)</f>
        <v/>
      </c>
      <c r="I66" s="137">
        <f>IF(ISNUMBER(I93),I93,$B$33)</f>
        <v/>
      </c>
      <c r="J66" s="137">
        <f>IF(ISNUMBER(J93),J93,$B$33)</f>
        <v/>
      </c>
      <c r="K66" s="137">
        <f>IF(ISNUMBER(K93),K93,$B$33)</f>
        <v/>
      </c>
      <c r="L66" s="137">
        <f>IF(ISNUMBER(L93),L93,$B$33)</f>
        <v/>
      </c>
      <c r="M66" s="137">
        <f>IF(ISNUMBER(M93),M93,$B$33)</f>
        <v/>
      </c>
      <c r="N66" s="137">
        <f>IF(ISNUMBER(N93),N93,$B$33)</f>
        <v/>
      </c>
      <c r="O66" s="137">
        <f>IF(ISNUMBER(O93),O93,$B$33)</f>
        <v/>
      </c>
      <c r="P66" s="137">
        <f>IF(ISNUMBER(P93),P93,$B$33)</f>
        <v/>
      </c>
      <c r="Q66" s="137">
        <f>IF(ISNUMBER(Q93),Q93,$B$33)</f>
        <v/>
      </c>
      <c r="R66" s="137">
        <f>IF(ISNUMBER(R93),R93,$B$33)</f>
        <v/>
      </c>
      <c r="S66" s="137">
        <f>IF(ISNUMBER(S93),S93,$B$33)</f>
        <v/>
      </c>
      <c r="T66" s="137">
        <f>IF(ISNUMBER(T93),T93,$B$33)</f>
        <v/>
      </c>
      <c r="U66" s="137">
        <f>IF(ISNUMBER(U93),U93,$B$33)</f>
        <v/>
      </c>
      <c r="V66" s="137">
        <f>IF(ISNUMBER(V93),V93,$B$33)</f>
        <v/>
      </c>
      <c r="W66" s="137">
        <f>IF(ISNUMBER(W93),W93,$B$33)</f>
        <v/>
      </c>
      <c r="X66" s="137">
        <f>IF(ISNUMBER(X93),X93,$B$33)</f>
        <v/>
      </c>
      <c r="Y66" s="137">
        <f>IF(ISNUMBER(Y93),Y93,$B$33)</f>
        <v/>
      </c>
      <c r="Z66" s="137">
        <f>IF(ISNUMBER(Z93),Z93,$B$33)</f>
        <v/>
      </c>
      <c r="AA66" s="137">
        <f>IF(ISNUMBER(AA93),AA93,$B$33)</f>
        <v/>
      </c>
      <c r="AB66" s="137">
        <f>IF(ISNUMBER(AB93),AB93,$B$33)</f>
        <v/>
      </c>
      <c r="AC66" s="137">
        <f>IF(ISNUMBER(AC93),AC93,$B$33)</f>
        <v/>
      </c>
      <c r="AD66" s="137">
        <f>IF(ISNUMBER(AD93),AD93,$B$33)</f>
        <v/>
      </c>
      <c r="AE66" s="137">
        <f>IF(ISNUMBER(AE93),AE93,$B$33)</f>
        <v/>
      </c>
      <c r="AF66" s="137">
        <f>IF(ISNUMBER(AF93),AF93,$B$33)</f>
        <v/>
      </c>
      <c r="AG66" s="137">
        <f>IF(ISNUMBER(AG93),AG93,$B$33)</f>
        <v/>
      </c>
      <c r="AH66" s="137">
        <f>IF(ISNUMBER(AH93),AH93,$B$33)</f>
        <v/>
      </c>
      <c r="AI66" s="137">
        <f>IF(ISNUMBER(AI93),AI93,$B$33)</f>
        <v/>
      </c>
      <c r="AJ66" s="137">
        <f>IF(ISNUMBER(AJ93),AJ93,$B$33)</f>
        <v/>
      </c>
      <c r="AK66" s="137">
        <f>IF(ISNUMBER(AK93),AK93,$B$33)</f>
        <v/>
      </c>
      <c r="AL66" s="137">
        <f>IF(ISNUMBER(AL93),AL93,$B$33)</f>
        <v/>
      </c>
      <c r="AM66" s="137">
        <f>IF(ISNUMBER(AM93),AM93,$B$33)</f>
        <v/>
      </c>
    </row>
    <row r="67" ht="28" customHeight="1">
      <c r="A67" s="4" t="inlineStr">
        <is>
          <t>Witta available days</t>
        </is>
      </c>
      <c r="B67" s="4" t="n"/>
      <c r="C67" s="4" t="n"/>
      <c r="D67" s="138">
        <f>IF(ISNUMBER(D94),D94,'Sites'!$H$6)</f>
        <v/>
      </c>
      <c r="E67" s="138">
        <f>IF(ISNUMBER(E94),E94,'Sites'!$H$6)</f>
        <v/>
      </c>
      <c r="F67" s="138">
        <f>IF(ISNUMBER(F94),F94,'Sites'!$H$6)</f>
        <v/>
      </c>
      <c r="G67" s="138">
        <f>IF(ISNUMBER(G94),G94,'Sites'!$H$6)</f>
        <v/>
      </c>
      <c r="H67" s="138">
        <f>IF(ISNUMBER(H94),H94,'Sites'!$H$6)</f>
        <v/>
      </c>
      <c r="I67" s="138">
        <f>IF(ISNUMBER(I94),I94,'Sites'!$H$6)</f>
        <v/>
      </c>
      <c r="J67" s="138">
        <f>IF(ISNUMBER(J94),J94,'Sites'!$H$6)</f>
        <v/>
      </c>
      <c r="K67" s="138">
        <f>IF(ISNUMBER(K94),K94,'Sites'!$H$6)</f>
        <v/>
      </c>
      <c r="L67" s="138">
        <f>IF(ISNUMBER(L94),L94,'Sites'!$H$6)</f>
        <v/>
      </c>
      <c r="M67" s="138">
        <f>IF(ISNUMBER(M94),M94,'Sites'!$H$6)</f>
        <v/>
      </c>
      <c r="N67" s="138">
        <f>IF(ISNUMBER(N94),N94,'Sites'!$H$6)</f>
        <v/>
      </c>
      <c r="O67" s="138">
        <f>IF(ISNUMBER(O94),O94,'Sites'!$H$6)</f>
        <v/>
      </c>
      <c r="P67" s="138">
        <f>IF(ISNUMBER(P94),P94,'Sites'!$H$6)</f>
        <v/>
      </c>
      <c r="Q67" s="138">
        <f>IF(ISNUMBER(Q94),Q94,'Sites'!$H$6)</f>
        <v/>
      </c>
      <c r="R67" s="138">
        <f>IF(ISNUMBER(R94),R94,'Sites'!$H$6)</f>
        <v/>
      </c>
      <c r="S67" s="138">
        <f>IF(ISNUMBER(S94),S94,'Sites'!$H$6)</f>
        <v/>
      </c>
      <c r="T67" s="138">
        <f>IF(ISNUMBER(T94),T94,'Sites'!$H$6)</f>
        <v/>
      </c>
      <c r="U67" s="138">
        <f>IF(ISNUMBER(U94),U94,'Sites'!$H$6)</f>
        <v/>
      </c>
      <c r="V67" s="138">
        <f>IF(ISNUMBER(V94),V94,'Sites'!$H$6)</f>
        <v/>
      </c>
      <c r="W67" s="138">
        <f>IF(ISNUMBER(W94),W94,'Sites'!$H$6)</f>
        <v/>
      </c>
      <c r="X67" s="138">
        <f>IF(ISNUMBER(X94),X94,'Sites'!$H$6)</f>
        <v/>
      </c>
      <c r="Y67" s="138">
        <f>IF(ISNUMBER(Y94),Y94,'Sites'!$H$6)</f>
        <v/>
      </c>
      <c r="Z67" s="138">
        <f>IF(ISNUMBER(Z94),Z94,'Sites'!$H$6)</f>
        <v/>
      </c>
      <c r="AA67" s="138">
        <f>IF(ISNUMBER(AA94),AA94,'Sites'!$H$6)</f>
        <v/>
      </c>
      <c r="AB67" s="138">
        <f>IF(ISNUMBER(AB94),AB94,'Sites'!$H$6)</f>
        <v/>
      </c>
      <c r="AC67" s="138">
        <f>IF(ISNUMBER(AC94),AC94,'Sites'!$H$6)</f>
        <v/>
      </c>
      <c r="AD67" s="138">
        <f>IF(ISNUMBER(AD94),AD94,'Sites'!$H$6)</f>
        <v/>
      </c>
      <c r="AE67" s="138">
        <f>IF(ISNUMBER(AE94),AE94,'Sites'!$H$6)</f>
        <v/>
      </c>
      <c r="AF67" s="138">
        <f>IF(ISNUMBER(AF94),AF94,'Sites'!$H$6)</f>
        <v/>
      </c>
      <c r="AG67" s="138">
        <f>IF(ISNUMBER(AG94),AG94,'Sites'!$H$6)</f>
        <v/>
      </c>
      <c r="AH67" s="138">
        <f>IF(ISNUMBER(AH94),AH94,'Sites'!$H$6)</f>
        <v/>
      </c>
      <c r="AI67" s="138">
        <f>IF(ISNUMBER(AI94),AI94,'Sites'!$H$6)</f>
        <v/>
      </c>
      <c r="AJ67" s="138">
        <f>IF(ISNUMBER(AJ94),AJ94,'Sites'!$H$6)</f>
        <v/>
      </c>
      <c r="AK67" s="138">
        <f>IF(ISNUMBER(AK94),AK94,'Sites'!$H$6)</f>
        <v/>
      </c>
      <c r="AL67" s="138">
        <f>IF(ISNUMBER(AL94),AL94,'Sites'!$H$6)</f>
        <v/>
      </c>
      <c r="AM67" s="138">
        <f>IF(ISNUMBER(AM94),AM94,'Sites'!$H$6)</f>
        <v/>
      </c>
    </row>
    <row r="68" ht="28" customHeight="1">
      <c r="A68" s="4" t="inlineStr">
        <is>
          <t>New facility 1 available days</t>
        </is>
      </c>
      <c r="B68" s="4" t="n"/>
      <c r="C68" s="4" t="n"/>
      <c r="D68" s="138">
        <f>IF(ISNUMBER(D95),D95,'Sites'!$H$7)</f>
        <v/>
      </c>
      <c r="E68" s="138">
        <f>IF(ISNUMBER(E95),E95,'Sites'!$H$7)</f>
        <v/>
      </c>
      <c r="F68" s="138">
        <f>IF(ISNUMBER(F95),F95,'Sites'!$H$7)</f>
        <v/>
      </c>
      <c r="G68" s="138">
        <f>IF(ISNUMBER(G95),G95,'Sites'!$H$7)</f>
        <v/>
      </c>
      <c r="H68" s="138">
        <f>IF(ISNUMBER(H95),H95,'Sites'!$H$7)</f>
        <v/>
      </c>
      <c r="I68" s="138">
        <f>IF(ISNUMBER(I95),I95,'Sites'!$H$7)</f>
        <v/>
      </c>
      <c r="J68" s="138">
        <f>IF(ISNUMBER(J95),J95,'Sites'!$H$7)</f>
        <v/>
      </c>
      <c r="K68" s="138">
        <f>IF(ISNUMBER(K95),K95,'Sites'!$H$7)</f>
        <v/>
      </c>
      <c r="L68" s="138">
        <f>IF(ISNUMBER(L95),L95,'Sites'!$H$7)</f>
        <v/>
      </c>
      <c r="M68" s="138">
        <f>IF(ISNUMBER(M95),M95,'Sites'!$H$7)</f>
        <v/>
      </c>
      <c r="N68" s="138">
        <f>IF(ISNUMBER(N95),N95,'Sites'!$H$7)</f>
        <v/>
      </c>
      <c r="O68" s="138">
        <f>IF(ISNUMBER(O95),O95,'Sites'!$H$7)</f>
        <v/>
      </c>
      <c r="P68" s="138">
        <f>IF(ISNUMBER(P95),P95,'Sites'!$H$7)</f>
        <v/>
      </c>
      <c r="Q68" s="138">
        <f>IF(ISNUMBER(Q95),Q95,'Sites'!$H$7)</f>
        <v/>
      </c>
      <c r="R68" s="138">
        <f>IF(ISNUMBER(R95),R95,'Sites'!$H$7)</f>
        <v/>
      </c>
      <c r="S68" s="138">
        <f>IF(ISNUMBER(S95),S95,'Sites'!$H$7)</f>
        <v/>
      </c>
      <c r="T68" s="138">
        <f>IF(ISNUMBER(T95),T95,'Sites'!$H$7)</f>
        <v/>
      </c>
      <c r="U68" s="138">
        <f>IF(ISNUMBER(U95),U95,'Sites'!$H$7)</f>
        <v/>
      </c>
      <c r="V68" s="138">
        <f>IF(ISNUMBER(V95),V95,'Sites'!$H$7)</f>
        <v/>
      </c>
      <c r="W68" s="138">
        <f>IF(ISNUMBER(W95),W95,'Sites'!$H$7)</f>
        <v/>
      </c>
      <c r="X68" s="138">
        <f>IF(ISNUMBER(X95),X95,'Sites'!$H$7)</f>
        <v/>
      </c>
      <c r="Y68" s="138">
        <f>IF(ISNUMBER(Y95),Y95,'Sites'!$H$7)</f>
        <v/>
      </c>
      <c r="Z68" s="138">
        <f>IF(ISNUMBER(Z95),Z95,'Sites'!$H$7)</f>
        <v/>
      </c>
      <c r="AA68" s="138">
        <f>IF(ISNUMBER(AA95),AA95,'Sites'!$H$7)</f>
        <v/>
      </c>
      <c r="AB68" s="138">
        <f>IF(ISNUMBER(AB95),AB95,'Sites'!$H$7)</f>
        <v/>
      </c>
      <c r="AC68" s="138">
        <f>IF(ISNUMBER(AC95),AC95,'Sites'!$H$7)</f>
        <v/>
      </c>
      <c r="AD68" s="138">
        <f>IF(ISNUMBER(AD95),AD95,'Sites'!$H$7)</f>
        <v/>
      </c>
      <c r="AE68" s="138">
        <f>IF(ISNUMBER(AE95),AE95,'Sites'!$H$7)</f>
        <v/>
      </c>
      <c r="AF68" s="138">
        <f>IF(ISNUMBER(AF95),AF95,'Sites'!$H$7)</f>
        <v/>
      </c>
      <c r="AG68" s="138">
        <f>IF(ISNUMBER(AG95),AG95,'Sites'!$H$7)</f>
        <v/>
      </c>
      <c r="AH68" s="138">
        <f>IF(ISNUMBER(AH95),AH95,'Sites'!$H$7)</f>
        <v/>
      </c>
      <c r="AI68" s="138">
        <f>IF(ISNUMBER(AI95),AI95,'Sites'!$H$7)</f>
        <v/>
      </c>
      <c r="AJ68" s="138">
        <f>IF(ISNUMBER(AJ95),AJ95,'Sites'!$H$7)</f>
        <v/>
      </c>
      <c r="AK68" s="138">
        <f>IF(ISNUMBER(AK95),AK95,'Sites'!$H$7)</f>
        <v/>
      </c>
      <c r="AL68" s="138">
        <f>IF(ISNUMBER(AL95),AL95,'Sites'!$H$7)</f>
        <v/>
      </c>
      <c r="AM68" s="138">
        <f>IF(ISNUMBER(AM95),AM95,'Sites'!$H$7)</f>
        <v/>
      </c>
    </row>
    <row r="69" ht="28" customHeight="1">
      <c r="A69" s="4" t="inlineStr">
        <is>
          <t>New facility 2 available days</t>
        </is>
      </c>
      <c r="B69" s="4" t="n"/>
      <c r="C69" s="4" t="n"/>
      <c r="D69" s="138">
        <f>IF(ISNUMBER(D96),D96,'Sites'!$H$8)</f>
        <v/>
      </c>
      <c r="E69" s="138">
        <f>IF(ISNUMBER(E96),E96,'Sites'!$H$8)</f>
        <v/>
      </c>
      <c r="F69" s="138">
        <f>IF(ISNUMBER(F96),F96,'Sites'!$H$8)</f>
        <v/>
      </c>
      <c r="G69" s="138">
        <f>IF(ISNUMBER(G96),G96,'Sites'!$H$8)</f>
        <v/>
      </c>
      <c r="H69" s="138">
        <f>IF(ISNUMBER(H96),H96,'Sites'!$H$8)</f>
        <v/>
      </c>
      <c r="I69" s="138">
        <f>IF(ISNUMBER(I96),I96,'Sites'!$H$8)</f>
        <v/>
      </c>
      <c r="J69" s="138">
        <f>IF(ISNUMBER(J96),J96,'Sites'!$H$8)</f>
        <v/>
      </c>
      <c r="K69" s="138">
        <f>IF(ISNUMBER(K96),K96,'Sites'!$H$8)</f>
        <v/>
      </c>
      <c r="L69" s="138">
        <f>IF(ISNUMBER(L96),L96,'Sites'!$H$8)</f>
        <v/>
      </c>
      <c r="M69" s="138">
        <f>IF(ISNUMBER(M96),M96,'Sites'!$H$8)</f>
        <v/>
      </c>
      <c r="N69" s="138">
        <f>IF(ISNUMBER(N96),N96,'Sites'!$H$8)</f>
        <v/>
      </c>
      <c r="O69" s="138">
        <f>IF(ISNUMBER(O96),O96,'Sites'!$H$8)</f>
        <v/>
      </c>
      <c r="P69" s="138">
        <f>IF(ISNUMBER(P96),P96,'Sites'!$H$8)</f>
        <v/>
      </c>
      <c r="Q69" s="138">
        <f>IF(ISNUMBER(Q96),Q96,'Sites'!$H$8)</f>
        <v/>
      </c>
      <c r="R69" s="138">
        <f>IF(ISNUMBER(R96),R96,'Sites'!$H$8)</f>
        <v/>
      </c>
      <c r="S69" s="138">
        <f>IF(ISNUMBER(S96),S96,'Sites'!$H$8)</f>
        <v/>
      </c>
      <c r="T69" s="138">
        <f>IF(ISNUMBER(T96),T96,'Sites'!$H$8)</f>
        <v/>
      </c>
      <c r="U69" s="138">
        <f>IF(ISNUMBER(U96),U96,'Sites'!$H$8)</f>
        <v/>
      </c>
      <c r="V69" s="138">
        <f>IF(ISNUMBER(V96),V96,'Sites'!$H$8)</f>
        <v/>
      </c>
      <c r="W69" s="138">
        <f>IF(ISNUMBER(W96),W96,'Sites'!$H$8)</f>
        <v/>
      </c>
      <c r="X69" s="138">
        <f>IF(ISNUMBER(X96),X96,'Sites'!$H$8)</f>
        <v/>
      </c>
      <c r="Y69" s="138">
        <f>IF(ISNUMBER(Y96),Y96,'Sites'!$H$8)</f>
        <v/>
      </c>
      <c r="Z69" s="138">
        <f>IF(ISNUMBER(Z96),Z96,'Sites'!$H$8)</f>
        <v/>
      </c>
      <c r="AA69" s="138">
        <f>IF(ISNUMBER(AA96),AA96,'Sites'!$H$8)</f>
        <v/>
      </c>
      <c r="AB69" s="138">
        <f>IF(ISNUMBER(AB96),AB96,'Sites'!$H$8)</f>
        <v/>
      </c>
      <c r="AC69" s="138">
        <f>IF(ISNUMBER(AC96),AC96,'Sites'!$H$8)</f>
        <v/>
      </c>
      <c r="AD69" s="138">
        <f>IF(ISNUMBER(AD96),AD96,'Sites'!$H$8)</f>
        <v/>
      </c>
      <c r="AE69" s="138">
        <f>IF(ISNUMBER(AE96),AE96,'Sites'!$H$8)</f>
        <v/>
      </c>
      <c r="AF69" s="138">
        <f>IF(ISNUMBER(AF96),AF96,'Sites'!$H$8)</f>
        <v/>
      </c>
      <c r="AG69" s="138">
        <f>IF(ISNUMBER(AG96),AG96,'Sites'!$H$8)</f>
        <v/>
      </c>
      <c r="AH69" s="138">
        <f>IF(ISNUMBER(AH96),AH96,'Sites'!$H$8)</f>
        <v/>
      </c>
      <c r="AI69" s="138">
        <f>IF(ISNUMBER(AI96),AI96,'Sites'!$H$8)</f>
        <v/>
      </c>
      <c r="AJ69" s="138">
        <f>IF(ISNUMBER(AJ96),AJ96,'Sites'!$H$8)</f>
        <v/>
      </c>
      <c r="AK69" s="138">
        <f>IF(ISNUMBER(AK96),AK96,'Sites'!$H$8)</f>
        <v/>
      </c>
      <c r="AL69" s="138">
        <f>IF(ISNUMBER(AL96),AL96,'Sites'!$H$8)</f>
        <v/>
      </c>
      <c r="AM69" s="138">
        <f>IF(ISNUMBER(AM96),AM96,'Sites'!$H$8)</f>
        <v/>
      </c>
    </row>
    <row r="70" ht="28" customHeight="1">
      <c r="A70" s="4" t="inlineStr">
        <is>
          <t>Opening receivables collected</t>
        </is>
      </c>
      <c r="B70" s="4" t="n"/>
      <c r="C70" s="4" t="n"/>
      <c r="D70" s="139" t="n">
        <v>0</v>
      </c>
      <c r="E70" s="139" t="n">
        <v>0</v>
      </c>
      <c r="F70" s="139" t="n">
        <v>0</v>
      </c>
      <c r="G70" s="139" t="n">
        <v>0</v>
      </c>
      <c r="H70" s="139" t="n">
        <v>0</v>
      </c>
      <c r="I70" s="139" t="n">
        <v>0</v>
      </c>
      <c r="J70" s="139" t="n">
        <v>0</v>
      </c>
      <c r="K70" s="139" t="n">
        <v>0</v>
      </c>
      <c r="L70" s="139" t="n">
        <v>0</v>
      </c>
      <c r="M70" s="139" t="n">
        <v>0</v>
      </c>
      <c r="N70" s="139" t="n">
        <v>0</v>
      </c>
      <c r="O70" s="139" t="n">
        <v>0</v>
      </c>
      <c r="P70" s="139" t="n">
        <v>0</v>
      </c>
      <c r="Q70" s="139" t="n">
        <v>0</v>
      </c>
      <c r="R70" s="139" t="n">
        <v>0</v>
      </c>
      <c r="S70" s="139" t="n">
        <v>0</v>
      </c>
      <c r="T70" s="139" t="n">
        <v>0</v>
      </c>
      <c r="U70" s="139" t="n">
        <v>0</v>
      </c>
      <c r="V70" s="139" t="n">
        <v>0</v>
      </c>
      <c r="W70" s="139" t="n">
        <v>0</v>
      </c>
      <c r="X70" s="139" t="n">
        <v>0</v>
      </c>
      <c r="Y70" s="139" t="n">
        <v>0</v>
      </c>
      <c r="Z70" s="139" t="n">
        <v>0</v>
      </c>
      <c r="AA70" s="139" t="n">
        <v>0</v>
      </c>
      <c r="AB70" s="139" t="n">
        <v>0</v>
      </c>
      <c r="AC70" s="139" t="n">
        <v>0</v>
      </c>
      <c r="AD70" s="139" t="n">
        <v>0</v>
      </c>
      <c r="AE70" s="139" t="n">
        <v>0</v>
      </c>
      <c r="AF70" s="139" t="n">
        <v>0</v>
      </c>
      <c r="AG70" s="139" t="n">
        <v>0</v>
      </c>
      <c r="AH70" s="139" t="n">
        <v>0</v>
      </c>
      <c r="AI70" s="139" t="n">
        <v>0</v>
      </c>
      <c r="AJ70" s="139" t="n">
        <v>0</v>
      </c>
      <c r="AK70" s="139" t="n">
        <v>0</v>
      </c>
      <c r="AL70" s="139" t="n">
        <v>0</v>
      </c>
      <c r="AM70" s="139" t="n">
        <v>0</v>
      </c>
    </row>
    <row r="71" ht="28" customHeight="1">
      <c r="A71" s="4" t="inlineStr">
        <is>
          <t>Opening payables paid</t>
        </is>
      </c>
      <c r="B71" s="4" t="n"/>
      <c r="C71" s="4" t="n"/>
      <c r="D71" s="139" t="n">
        <v>0</v>
      </c>
      <c r="E71" s="139" t="n">
        <v>0</v>
      </c>
      <c r="F71" s="139" t="n">
        <v>0</v>
      </c>
      <c r="G71" s="139" t="n">
        <v>0</v>
      </c>
      <c r="H71" s="139" t="n">
        <v>0</v>
      </c>
      <c r="I71" s="139" t="n">
        <v>0</v>
      </c>
      <c r="J71" s="139" t="n">
        <v>0</v>
      </c>
      <c r="K71" s="139" t="n">
        <v>0</v>
      </c>
      <c r="L71" s="139" t="n">
        <v>0</v>
      </c>
      <c r="M71" s="139" t="n">
        <v>0</v>
      </c>
      <c r="N71" s="139" t="n">
        <v>0</v>
      </c>
      <c r="O71" s="139" t="n">
        <v>0</v>
      </c>
      <c r="P71" s="139" t="n">
        <v>0</v>
      </c>
      <c r="Q71" s="139" t="n">
        <v>0</v>
      </c>
      <c r="R71" s="139" t="n">
        <v>0</v>
      </c>
      <c r="S71" s="139" t="n">
        <v>0</v>
      </c>
      <c r="T71" s="139" t="n">
        <v>0</v>
      </c>
      <c r="U71" s="139" t="n">
        <v>0</v>
      </c>
      <c r="V71" s="139" t="n">
        <v>0</v>
      </c>
      <c r="W71" s="139" t="n">
        <v>0</v>
      </c>
      <c r="X71" s="139" t="n">
        <v>0</v>
      </c>
      <c r="Y71" s="139" t="n">
        <v>0</v>
      </c>
      <c r="Z71" s="139" t="n">
        <v>0</v>
      </c>
      <c r="AA71" s="139" t="n">
        <v>0</v>
      </c>
      <c r="AB71" s="139" t="n">
        <v>0</v>
      </c>
      <c r="AC71" s="139" t="n">
        <v>0</v>
      </c>
      <c r="AD71" s="139" t="n">
        <v>0</v>
      </c>
      <c r="AE71" s="139" t="n">
        <v>0</v>
      </c>
      <c r="AF71" s="139" t="n">
        <v>0</v>
      </c>
      <c r="AG71" s="139" t="n">
        <v>0</v>
      </c>
      <c r="AH71" s="139" t="n">
        <v>0</v>
      </c>
      <c r="AI71" s="139" t="n">
        <v>0</v>
      </c>
      <c r="AJ71" s="139" t="n">
        <v>0</v>
      </c>
      <c r="AK71" s="139" t="n">
        <v>0</v>
      </c>
      <c r="AL71" s="139" t="n">
        <v>0</v>
      </c>
      <c r="AM71" s="139" t="n">
        <v>0</v>
      </c>
    </row>
    <row r="72" ht="28" customHeight="1">
      <c r="A72" s="4" t="inlineStr">
        <is>
          <t>Opening debt principal paid</t>
        </is>
      </c>
      <c r="B72" s="4" t="n"/>
      <c r="C72" s="4" t="n"/>
      <c r="D72" s="139" t="n">
        <v>0</v>
      </c>
      <c r="E72" s="139" t="n">
        <v>0</v>
      </c>
      <c r="F72" s="139" t="n">
        <v>0</v>
      </c>
      <c r="G72" s="139" t="n">
        <v>0</v>
      </c>
      <c r="H72" s="139" t="n">
        <v>0</v>
      </c>
      <c r="I72" s="139" t="n">
        <v>0</v>
      </c>
      <c r="J72" s="139" t="n">
        <v>0</v>
      </c>
      <c r="K72" s="139" t="n">
        <v>0</v>
      </c>
      <c r="L72" s="139" t="n">
        <v>0</v>
      </c>
      <c r="M72" s="139" t="n">
        <v>0</v>
      </c>
      <c r="N72" s="139" t="n">
        <v>0</v>
      </c>
      <c r="O72" s="139" t="n">
        <v>0</v>
      </c>
      <c r="P72" s="139" t="n">
        <v>0</v>
      </c>
      <c r="Q72" s="139" t="n">
        <v>0</v>
      </c>
      <c r="R72" s="139" t="n">
        <v>0</v>
      </c>
      <c r="S72" s="139" t="n">
        <v>0</v>
      </c>
      <c r="T72" s="139" t="n">
        <v>0</v>
      </c>
      <c r="U72" s="139" t="n">
        <v>0</v>
      </c>
      <c r="V72" s="139" t="n">
        <v>0</v>
      </c>
      <c r="W72" s="139" t="n">
        <v>0</v>
      </c>
      <c r="X72" s="139" t="n">
        <v>0</v>
      </c>
      <c r="Y72" s="139" t="n">
        <v>0</v>
      </c>
      <c r="Z72" s="139" t="n">
        <v>0</v>
      </c>
      <c r="AA72" s="139" t="n">
        <v>0</v>
      </c>
      <c r="AB72" s="139" t="n">
        <v>0</v>
      </c>
      <c r="AC72" s="139" t="n">
        <v>0</v>
      </c>
      <c r="AD72" s="139" t="n">
        <v>0</v>
      </c>
      <c r="AE72" s="139" t="n">
        <v>0</v>
      </c>
      <c r="AF72" s="139" t="n">
        <v>0</v>
      </c>
      <c r="AG72" s="139" t="n">
        <v>0</v>
      </c>
      <c r="AH72" s="139" t="n">
        <v>0</v>
      </c>
      <c r="AI72" s="139" t="n">
        <v>0</v>
      </c>
      <c r="AJ72" s="139" t="n">
        <v>0</v>
      </c>
      <c r="AK72" s="139" t="n">
        <v>0</v>
      </c>
      <c r="AL72" s="139" t="n">
        <v>0</v>
      </c>
      <c r="AM72" s="139" t="n">
        <v>0</v>
      </c>
    </row>
    <row r="73" ht="28" customHeight="1">
      <c r="A73" s="4" t="inlineStr">
        <is>
          <t>Opening debt interest paid</t>
        </is>
      </c>
      <c r="B73" s="4" t="n"/>
      <c r="C73" s="4" t="n"/>
      <c r="D73" s="139" t="n">
        <v>0</v>
      </c>
      <c r="E73" s="139" t="n">
        <v>0</v>
      </c>
      <c r="F73" s="139" t="n">
        <v>0</v>
      </c>
      <c r="G73" s="139" t="n">
        <v>0</v>
      </c>
      <c r="H73" s="139" t="n">
        <v>0</v>
      </c>
      <c r="I73" s="139" t="n">
        <v>0</v>
      </c>
      <c r="J73" s="139" t="n">
        <v>0</v>
      </c>
      <c r="K73" s="139" t="n">
        <v>0</v>
      </c>
      <c r="L73" s="139" t="n">
        <v>0</v>
      </c>
      <c r="M73" s="139" t="n">
        <v>0</v>
      </c>
      <c r="N73" s="139" t="n">
        <v>0</v>
      </c>
      <c r="O73" s="139" t="n">
        <v>0</v>
      </c>
      <c r="P73" s="139" t="n">
        <v>0</v>
      </c>
      <c r="Q73" s="139" t="n">
        <v>0</v>
      </c>
      <c r="R73" s="139" t="n">
        <v>0</v>
      </c>
      <c r="S73" s="139" t="n">
        <v>0</v>
      </c>
      <c r="T73" s="139" t="n">
        <v>0</v>
      </c>
      <c r="U73" s="139" t="n">
        <v>0</v>
      </c>
      <c r="V73" s="139" t="n">
        <v>0</v>
      </c>
      <c r="W73" s="139" t="n">
        <v>0</v>
      </c>
      <c r="X73" s="139" t="n">
        <v>0</v>
      </c>
      <c r="Y73" s="139" t="n">
        <v>0</v>
      </c>
      <c r="Z73" s="139" t="n">
        <v>0</v>
      </c>
      <c r="AA73" s="139" t="n">
        <v>0</v>
      </c>
      <c r="AB73" s="139" t="n">
        <v>0</v>
      </c>
      <c r="AC73" s="139" t="n">
        <v>0</v>
      </c>
      <c r="AD73" s="139" t="n">
        <v>0</v>
      </c>
      <c r="AE73" s="139" t="n">
        <v>0</v>
      </c>
      <c r="AF73" s="139" t="n">
        <v>0</v>
      </c>
      <c r="AG73" s="139" t="n">
        <v>0</v>
      </c>
      <c r="AH73" s="139" t="n">
        <v>0</v>
      </c>
      <c r="AI73" s="139" t="n">
        <v>0</v>
      </c>
      <c r="AJ73" s="139" t="n">
        <v>0</v>
      </c>
      <c r="AK73" s="139" t="n">
        <v>0</v>
      </c>
      <c r="AL73" s="139" t="n">
        <v>0</v>
      </c>
      <c r="AM73" s="139" t="n">
        <v>0</v>
      </c>
    </row>
    <row r="74" ht="28" customHeight="1">
      <c r="A74" s="4" t="inlineStr">
        <is>
          <t>Income tax paid</t>
        </is>
      </c>
      <c r="B74" s="4" t="n"/>
      <c r="C74" s="4" t="n"/>
      <c r="D74" s="139" t="n">
        <v>0</v>
      </c>
      <c r="E74" s="139" t="n">
        <v>0</v>
      </c>
      <c r="F74" s="139" t="n">
        <v>0</v>
      </c>
      <c r="G74" s="139" t="n">
        <v>0</v>
      </c>
      <c r="H74" s="139" t="n">
        <v>0</v>
      </c>
      <c r="I74" s="139" t="n">
        <v>0</v>
      </c>
      <c r="J74" s="139" t="n">
        <v>0</v>
      </c>
      <c r="K74" s="139" t="n">
        <v>0</v>
      </c>
      <c r="L74" s="139" t="n">
        <v>0</v>
      </c>
      <c r="M74" s="139" t="n">
        <v>0</v>
      </c>
      <c r="N74" s="139" t="n">
        <v>0</v>
      </c>
      <c r="O74" s="139" t="n">
        <v>0</v>
      </c>
      <c r="P74" s="139" t="n">
        <v>0</v>
      </c>
      <c r="Q74" s="139" t="n">
        <v>0</v>
      </c>
      <c r="R74" s="139" t="n">
        <v>0</v>
      </c>
      <c r="S74" s="139" t="n">
        <v>0</v>
      </c>
      <c r="T74" s="139" t="n">
        <v>0</v>
      </c>
      <c r="U74" s="139" t="n">
        <v>0</v>
      </c>
      <c r="V74" s="139" t="n">
        <v>0</v>
      </c>
      <c r="W74" s="139" t="n">
        <v>0</v>
      </c>
      <c r="X74" s="139" t="n">
        <v>0</v>
      </c>
      <c r="Y74" s="139" t="n">
        <v>0</v>
      </c>
      <c r="Z74" s="139" t="n">
        <v>0</v>
      </c>
      <c r="AA74" s="139" t="n">
        <v>0</v>
      </c>
      <c r="AB74" s="139" t="n">
        <v>0</v>
      </c>
      <c r="AC74" s="139" t="n">
        <v>0</v>
      </c>
      <c r="AD74" s="139" t="n">
        <v>0</v>
      </c>
      <c r="AE74" s="139" t="n">
        <v>0</v>
      </c>
      <c r="AF74" s="139" t="n">
        <v>0</v>
      </c>
      <c r="AG74" s="139" t="n">
        <v>0</v>
      </c>
      <c r="AH74" s="139" t="n">
        <v>0</v>
      </c>
      <c r="AI74" s="139" t="n">
        <v>0</v>
      </c>
      <c r="AJ74" s="139" t="n">
        <v>0</v>
      </c>
      <c r="AK74" s="139" t="n">
        <v>0</v>
      </c>
      <c r="AL74" s="139" t="n">
        <v>0</v>
      </c>
      <c r="AM74" s="139" t="n">
        <v>0</v>
      </c>
    </row>
    <row r="75" ht="28" customHeight="1">
      <c r="A75" s="4" t="inlineStr">
        <is>
          <t>Other operating cash costs</t>
        </is>
      </c>
      <c r="B75" s="4" t="n"/>
      <c r="C75" s="4" t="n"/>
      <c r="D75" s="139" t="n">
        <v>0</v>
      </c>
      <c r="E75" s="139" t="n">
        <v>0</v>
      </c>
      <c r="F75" s="139" t="n">
        <v>0</v>
      </c>
      <c r="G75" s="139" t="n">
        <v>0</v>
      </c>
      <c r="H75" s="139" t="n">
        <v>0</v>
      </c>
      <c r="I75" s="139" t="n">
        <v>0</v>
      </c>
      <c r="J75" s="139" t="n">
        <v>0</v>
      </c>
      <c r="K75" s="139" t="n">
        <v>0</v>
      </c>
      <c r="L75" s="139" t="n">
        <v>0</v>
      </c>
      <c r="M75" s="139" t="n">
        <v>0</v>
      </c>
      <c r="N75" s="139" t="n">
        <v>0</v>
      </c>
      <c r="O75" s="139" t="n">
        <v>0</v>
      </c>
      <c r="P75" s="139" t="n">
        <v>0</v>
      </c>
      <c r="Q75" s="139" t="n">
        <v>0</v>
      </c>
      <c r="R75" s="139" t="n">
        <v>0</v>
      </c>
      <c r="S75" s="139" t="n">
        <v>0</v>
      </c>
      <c r="T75" s="139" t="n">
        <v>0</v>
      </c>
      <c r="U75" s="139" t="n">
        <v>0</v>
      </c>
      <c r="V75" s="139" t="n">
        <v>0</v>
      </c>
      <c r="W75" s="139" t="n">
        <v>0</v>
      </c>
      <c r="X75" s="139" t="n">
        <v>0</v>
      </c>
      <c r="Y75" s="139" t="n">
        <v>0</v>
      </c>
      <c r="Z75" s="139" t="n">
        <v>0</v>
      </c>
      <c r="AA75" s="139" t="n">
        <v>0</v>
      </c>
      <c r="AB75" s="139" t="n">
        <v>0</v>
      </c>
      <c r="AC75" s="139" t="n">
        <v>0</v>
      </c>
      <c r="AD75" s="139" t="n">
        <v>0</v>
      </c>
      <c r="AE75" s="139" t="n">
        <v>0</v>
      </c>
      <c r="AF75" s="139" t="n">
        <v>0</v>
      </c>
      <c r="AG75" s="139" t="n">
        <v>0</v>
      </c>
      <c r="AH75" s="139" t="n">
        <v>0</v>
      </c>
      <c r="AI75" s="139" t="n">
        <v>0</v>
      </c>
      <c r="AJ75" s="139" t="n">
        <v>0</v>
      </c>
      <c r="AK75" s="139" t="n">
        <v>0</v>
      </c>
      <c r="AL75" s="139" t="n">
        <v>0</v>
      </c>
      <c r="AM75" s="139" t="n">
        <v>0</v>
      </c>
    </row>
    <row r="76" ht="28" customHeight="1">
      <c r="A76" s="4" t="inlineStr">
        <is>
          <t>Grant income recognition override</t>
        </is>
      </c>
      <c r="B76" s="4" t="n"/>
      <c r="C76" s="4" t="n"/>
      <c r="D76" s="139" t="n"/>
      <c r="E76" s="139" t="n"/>
      <c r="F76" s="139" t="n"/>
      <c r="G76" s="139" t="n"/>
      <c r="H76" s="139" t="n"/>
      <c r="I76" s="139" t="n"/>
      <c r="J76" s="139" t="n"/>
      <c r="K76" s="139" t="n"/>
      <c r="L76" s="139" t="n"/>
      <c r="M76" s="139" t="n"/>
      <c r="N76" s="139" t="n"/>
      <c r="O76" s="139" t="n"/>
      <c r="P76" s="139" t="n"/>
      <c r="Q76" s="139" t="n"/>
      <c r="R76" s="139" t="n"/>
      <c r="S76" s="139" t="n"/>
      <c r="T76" s="139" t="n"/>
      <c r="U76" s="139" t="n"/>
      <c r="V76" s="139" t="n"/>
      <c r="W76" s="139" t="n"/>
      <c r="X76" s="139" t="n"/>
      <c r="Y76" s="139" t="n"/>
      <c r="Z76" s="139" t="n"/>
      <c r="AA76" s="139" t="n"/>
      <c r="AB76" s="139" t="n"/>
      <c r="AC76" s="139" t="n"/>
      <c r="AD76" s="139" t="n"/>
      <c r="AE76" s="139" t="n"/>
      <c r="AF76" s="139" t="n"/>
      <c r="AG76" s="139" t="n"/>
      <c r="AH76" s="139" t="n"/>
      <c r="AI76" s="139" t="n"/>
      <c r="AJ76" s="139" t="n"/>
      <c r="AK76" s="139" t="n"/>
      <c r="AL76" s="139" t="n"/>
      <c r="AM76" s="139" t="n"/>
    </row>
    <row r="77" ht="28" customHeight="1">
      <c r="A77" s="4" t="inlineStr">
        <is>
          <t>Other liabilities paid</t>
        </is>
      </c>
      <c r="B77" s="4" t="n"/>
      <c r="C77" s="4" t="n"/>
      <c r="D77" s="139" t="n">
        <v>0</v>
      </c>
      <c r="E77" s="139" t="n">
        <v>0</v>
      </c>
      <c r="F77" s="139" t="n">
        <v>0</v>
      </c>
      <c r="G77" s="139" t="n">
        <v>0</v>
      </c>
      <c r="H77" s="139" t="n">
        <v>0</v>
      </c>
      <c r="I77" s="139" t="n">
        <v>0</v>
      </c>
      <c r="J77" s="139" t="n">
        <v>0</v>
      </c>
      <c r="K77" s="139" t="n">
        <v>0</v>
      </c>
      <c r="L77" s="139" t="n">
        <v>0</v>
      </c>
      <c r="M77" s="139" t="n">
        <v>0</v>
      </c>
      <c r="N77" s="139" t="n">
        <v>0</v>
      </c>
      <c r="O77" s="139" t="n">
        <v>0</v>
      </c>
      <c r="P77" s="139" t="n">
        <v>0</v>
      </c>
      <c r="Q77" s="139" t="n">
        <v>0</v>
      </c>
      <c r="R77" s="139" t="n">
        <v>0</v>
      </c>
      <c r="S77" s="139" t="n">
        <v>0</v>
      </c>
      <c r="T77" s="139" t="n">
        <v>0</v>
      </c>
      <c r="U77" s="139" t="n">
        <v>0</v>
      </c>
      <c r="V77" s="139" t="n">
        <v>0</v>
      </c>
      <c r="W77" s="139" t="n">
        <v>0</v>
      </c>
      <c r="X77" s="139" t="n">
        <v>0</v>
      </c>
      <c r="Y77" s="139" t="n">
        <v>0</v>
      </c>
      <c r="Z77" s="139" t="n">
        <v>0</v>
      </c>
      <c r="AA77" s="139" t="n">
        <v>0</v>
      </c>
      <c r="AB77" s="139" t="n">
        <v>0</v>
      </c>
      <c r="AC77" s="139" t="n">
        <v>0</v>
      </c>
      <c r="AD77" s="139" t="n">
        <v>0</v>
      </c>
      <c r="AE77" s="139" t="n">
        <v>0</v>
      </c>
      <c r="AF77" s="139" t="n">
        <v>0</v>
      </c>
      <c r="AG77" s="139" t="n">
        <v>0</v>
      </c>
      <c r="AH77" s="139" t="n">
        <v>0</v>
      </c>
      <c r="AI77" s="139" t="n">
        <v>0</v>
      </c>
      <c r="AJ77" s="139" t="n">
        <v>0</v>
      </c>
      <c r="AK77" s="139" t="n">
        <v>0</v>
      </c>
      <c r="AL77" s="139" t="n">
        <v>0</v>
      </c>
      <c r="AM77" s="139" t="n">
        <v>0</v>
      </c>
    </row>
    <row r="78" ht="28" customHeight="1">
      <c r="A78" s="4" t="inlineStr">
        <is>
          <t>Other operating income received</t>
        </is>
      </c>
      <c r="B78" s="4" t="n"/>
      <c r="C78" s="4" t="n"/>
      <c r="D78" s="139" t="n">
        <v>0</v>
      </c>
      <c r="E78" s="139" t="n">
        <v>0</v>
      </c>
      <c r="F78" s="139" t="n">
        <v>0</v>
      </c>
      <c r="G78" s="139" t="n">
        <v>0</v>
      </c>
      <c r="H78" s="139" t="n">
        <v>0</v>
      </c>
      <c r="I78" s="139" t="n">
        <v>0</v>
      </c>
      <c r="J78" s="139" t="n">
        <v>0</v>
      </c>
      <c r="K78" s="139" t="n">
        <v>0</v>
      </c>
      <c r="L78" s="139" t="n">
        <v>0</v>
      </c>
      <c r="M78" s="139" t="n">
        <v>0</v>
      </c>
      <c r="N78" s="139" t="n">
        <v>0</v>
      </c>
      <c r="O78" s="139" t="n">
        <v>0</v>
      </c>
      <c r="P78" s="139" t="n">
        <v>0</v>
      </c>
      <c r="Q78" s="139" t="n">
        <v>0</v>
      </c>
      <c r="R78" s="139" t="n">
        <v>0</v>
      </c>
      <c r="S78" s="139" t="n">
        <v>0</v>
      </c>
      <c r="T78" s="139" t="n">
        <v>0</v>
      </c>
      <c r="U78" s="139" t="n">
        <v>0</v>
      </c>
      <c r="V78" s="139" t="n">
        <v>0</v>
      </c>
      <c r="W78" s="139" t="n">
        <v>0</v>
      </c>
      <c r="X78" s="139" t="n">
        <v>0</v>
      </c>
      <c r="Y78" s="139" t="n">
        <v>0</v>
      </c>
      <c r="Z78" s="139" t="n">
        <v>0</v>
      </c>
      <c r="AA78" s="139" t="n">
        <v>0</v>
      </c>
      <c r="AB78" s="139" t="n">
        <v>0</v>
      </c>
      <c r="AC78" s="139" t="n">
        <v>0</v>
      </c>
      <c r="AD78" s="139" t="n">
        <v>0</v>
      </c>
      <c r="AE78" s="139" t="n">
        <v>0</v>
      </c>
      <c r="AF78" s="139" t="n">
        <v>0</v>
      </c>
      <c r="AG78" s="139" t="n">
        <v>0</v>
      </c>
      <c r="AH78" s="139" t="n">
        <v>0</v>
      </c>
      <c r="AI78" s="139" t="n">
        <v>0</v>
      </c>
      <c r="AJ78" s="139" t="n">
        <v>0</v>
      </c>
      <c r="AK78" s="139" t="n">
        <v>0</v>
      </c>
      <c r="AL78" s="139" t="n">
        <v>0</v>
      </c>
      <c r="AM78" s="139" t="n">
        <v>0</v>
      </c>
    </row>
    <row r="79" ht="28" customHeight="1">
      <c r="A79" s="4" t="n"/>
      <c r="B79" s="4" t="n"/>
      <c r="C79" s="4" t="n"/>
      <c r="D79" s="137" t="n"/>
      <c r="E79" s="137" t="n"/>
      <c r="F79" s="137" t="n"/>
      <c r="G79" s="137" t="n"/>
      <c r="H79" s="137" t="n"/>
      <c r="I79" s="137" t="n"/>
      <c r="J79" s="137" t="n"/>
      <c r="K79" s="137" t="n"/>
      <c r="L79" s="137" t="n"/>
      <c r="M79" s="137" t="n"/>
      <c r="N79" s="137" t="n"/>
      <c r="O79" s="137" t="n"/>
      <c r="P79" s="137" t="n"/>
      <c r="Q79" s="137" t="n"/>
      <c r="R79" s="137" t="n"/>
      <c r="S79" s="137" t="n"/>
      <c r="T79" s="137" t="n"/>
      <c r="U79" s="137" t="n"/>
      <c r="V79" s="137" t="n"/>
      <c r="W79" s="137" t="n"/>
      <c r="X79" s="137" t="n"/>
      <c r="Y79" s="137" t="n"/>
      <c r="Z79" s="137" t="n"/>
      <c r="AA79" s="137" t="n"/>
      <c r="AB79" s="137" t="n"/>
      <c r="AC79" s="137" t="n"/>
      <c r="AD79" s="137" t="n"/>
      <c r="AE79" s="137" t="n"/>
      <c r="AF79" s="137" t="n"/>
      <c r="AG79" s="137" t="n"/>
      <c r="AH79" s="137" t="n"/>
      <c r="AI79" s="137" t="n"/>
      <c r="AJ79" s="137" t="n"/>
      <c r="AK79" s="137" t="n"/>
      <c r="AL79" s="137" t="n"/>
      <c r="AM79" s="137" t="n"/>
    </row>
    <row r="80" ht="28" customHeight="1">
      <c r="A80" s="4" t="n"/>
      <c r="B80" s="4" t="n"/>
      <c r="C80" s="4" t="n"/>
      <c r="D80" s="137" t="n"/>
      <c r="E80" s="137" t="n"/>
      <c r="F80" s="137" t="n"/>
      <c r="G80" s="137" t="n"/>
      <c r="H80" s="137" t="n"/>
      <c r="I80" s="137" t="n"/>
      <c r="J80" s="137" t="n"/>
      <c r="K80" s="137" t="n"/>
      <c r="L80" s="137" t="n"/>
      <c r="M80" s="137" t="n"/>
      <c r="N80" s="137" t="n"/>
      <c r="O80" s="137" t="n"/>
      <c r="P80" s="137" t="n"/>
      <c r="Q80" s="137" t="n"/>
      <c r="R80" s="137" t="n"/>
      <c r="S80" s="137" t="n"/>
      <c r="T80" s="137" t="n"/>
      <c r="U80" s="137" t="n"/>
      <c r="V80" s="137" t="n"/>
      <c r="W80" s="137" t="n"/>
      <c r="X80" s="137" t="n"/>
      <c r="Y80" s="137" t="n"/>
      <c r="Z80" s="137" t="n"/>
      <c r="AA80" s="137" t="n"/>
      <c r="AB80" s="137" t="n"/>
      <c r="AC80" s="137" t="n"/>
      <c r="AD80" s="137" t="n"/>
      <c r="AE80" s="137" t="n"/>
      <c r="AF80" s="137" t="n"/>
      <c r="AG80" s="137" t="n"/>
      <c r="AH80" s="137" t="n"/>
      <c r="AI80" s="137" t="n"/>
      <c r="AJ80" s="137" t="n"/>
      <c r="AK80" s="137" t="n"/>
      <c r="AL80" s="137" t="n"/>
      <c r="AM80" s="137" t="n"/>
    </row>
    <row r="81" ht="28" customHeight="1">
      <c r="A81" s="4" t="n"/>
      <c r="B81" s="4" t="n"/>
      <c r="C81" s="4" t="n"/>
      <c r="D81" s="137" t="n"/>
      <c r="E81" s="137" t="n"/>
      <c r="F81" s="137" t="n"/>
      <c r="G81" s="137" t="n"/>
      <c r="H81" s="137" t="n"/>
      <c r="I81" s="137" t="n"/>
      <c r="J81" s="137" t="n"/>
      <c r="K81" s="137" t="n"/>
      <c r="L81" s="137" t="n"/>
      <c r="M81" s="137" t="n"/>
      <c r="N81" s="137" t="n"/>
      <c r="O81" s="137" t="n"/>
      <c r="P81" s="137" t="n"/>
      <c r="Q81" s="137" t="n"/>
      <c r="R81" s="137" t="n"/>
      <c r="S81" s="137" t="n"/>
      <c r="T81" s="137" t="n"/>
      <c r="U81" s="137" t="n"/>
      <c r="V81" s="137" t="n"/>
      <c r="W81" s="137" t="n"/>
      <c r="X81" s="137" t="n"/>
      <c r="Y81" s="137" t="n"/>
      <c r="Z81" s="137" t="n"/>
      <c r="AA81" s="137" t="n"/>
      <c r="AB81" s="137" t="n"/>
      <c r="AC81" s="137" t="n"/>
      <c r="AD81" s="137" t="n"/>
      <c r="AE81" s="137" t="n"/>
      <c r="AF81" s="137" t="n"/>
      <c r="AG81" s="137" t="n"/>
      <c r="AH81" s="137" t="n"/>
      <c r="AI81" s="137" t="n"/>
      <c r="AJ81" s="137" t="n"/>
      <c r="AK81" s="137" t="n"/>
      <c r="AL81" s="137" t="n"/>
      <c r="AM81" s="137" t="n"/>
    </row>
    <row r="82" ht="36" customHeight="1">
      <c r="A82" s="8" t="inlineStr">
        <is>
          <t>Optional monthly overrides</t>
        </is>
      </c>
      <c r="B82" s="8" t="n"/>
      <c r="C82" s="8" t="n"/>
      <c r="D82" s="140" t="n"/>
      <c r="E82" s="140" t="n"/>
      <c r="F82" s="140"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c r="AA82" s="140" t="n"/>
      <c r="AB82" s="140" t="n"/>
      <c r="AC82" s="140" t="n"/>
      <c r="AD82" s="140" t="n"/>
      <c r="AE82" s="140" t="n"/>
      <c r="AF82" s="140" t="n"/>
      <c r="AG82" s="140" t="n"/>
      <c r="AH82" s="140" t="n"/>
      <c r="AI82" s="140" t="n"/>
      <c r="AJ82" s="140" t="n"/>
      <c r="AK82" s="140" t="n"/>
      <c r="AL82" s="140" t="n"/>
      <c r="AM82" s="140" t="n"/>
    </row>
    <row r="83" ht="28" customHeight="1">
      <c r="A83" s="4" t="inlineStr">
        <is>
          <t>Leave blank to use the shared base value. Override one month without changing earlier periods.</t>
        </is>
      </c>
    </row>
    <row r="84" ht="28" customHeight="1">
      <c r="A84" s="4" t="n"/>
      <c r="B84" s="4" t="n"/>
      <c r="C84" s="4" t="n"/>
      <c r="D84" s="137" t="n"/>
      <c r="E84" s="137" t="n"/>
      <c r="F84" s="137" t="n"/>
      <c r="G84" s="137" t="n"/>
      <c r="H84" s="137" t="n"/>
      <c r="I84" s="137" t="n"/>
      <c r="J84" s="137" t="n"/>
      <c r="K84" s="137" t="n"/>
      <c r="L84" s="137" t="n"/>
      <c r="M84" s="137" t="n"/>
      <c r="N84" s="137" t="n"/>
      <c r="O84" s="137" t="n"/>
      <c r="P84" s="137" t="n"/>
      <c r="Q84" s="137" t="n"/>
      <c r="R84" s="137" t="n"/>
      <c r="S84" s="137" t="n"/>
      <c r="T84" s="137" t="n"/>
      <c r="U84" s="137" t="n"/>
      <c r="V84" s="137" t="n"/>
      <c r="W84" s="137" t="n"/>
      <c r="X84" s="137" t="n"/>
      <c r="Y84" s="137" t="n"/>
      <c r="Z84" s="137" t="n"/>
      <c r="AA84" s="137" t="n"/>
      <c r="AB84" s="137" t="n"/>
      <c r="AC84" s="137" t="n"/>
      <c r="AD84" s="137" t="n"/>
      <c r="AE84" s="137" t="n"/>
      <c r="AF84" s="137" t="n"/>
      <c r="AG84" s="137" t="n"/>
      <c r="AH84" s="137" t="n"/>
      <c r="AI84" s="137" t="n"/>
      <c r="AJ84" s="137" t="n"/>
      <c r="AK84" s="137" t="n"/>
      <c r="AL84" s="137" t="n"/>
      <c r="AM84" s="137" t="n"/>
    </row>
    <row r="85" ht="28" customHeight="1">
      <c r="A85" s="4" t="inlineStr">
        <is>
          <t>Founder salaries override</t>
        </is>
      </c>
      <c r="B85" s="4" t="n"/>
      <c r="C85" s="4" t="n"/>
      <c r="D85" s="139" t="n"/>
      <c r="E85" s="139" t="n"/>
      <c r="F85" s="139" t="n"/>
      <c r="G85" s="139" t="n"/>
      <c r="H85" s="139" t="n"/>
      <c r="I85" s="139" t="n"/>
      <c r="J85" s="139" t="n"/>
      <c r="K85" s="139" t="n"/>
      <c r="L85" s="139" t="n"/>
      <c r="M85" s="139" t="n"/>
      <c r="N85" s="139" t="n"/>
      <c r="O85" s="139" t="n"/>
      <c r="P85" s="139" t="n"/>
      <c r="Q85" s="139" t="n"/>
      <c r="R85" s="139" t="n"/>
      <c r="S85" s="139" t="n"/>
      <c r="T85" s="139" t="n"/>
      <c r="U85" s="139" t="n"/>
      <c r="V85" s="139" t="n"/>
      <c r="W85" s="139" t="n"/>
      <c r="X85" s="139" t="n"/>
      <c r="Y85" s="139" t="n"/>
      <c r="Z85" s="139" t="n"/>
      <c r="AA85" s="139" t="n"/>
      <c r="AB85" s="139" t="n"/>
      <c r="AC85" s="139" t="n"/>
      <c r="AD85" s="139" t="n"/>
      <c r="AE85" s="139" t="n"/>
      <c r="AF85" s="139" t="n"/>
      <c r="AG85" s="139" t="n"/>
      <c r="AH85" s="139" t="n"/>
      <c r="AI85" s="139" t="n"/>
      <c r="AJ85" s="139" t="n"/>
      <c r="AK85" s="139" t="n"/>
      <c r="AL85" s="139" t="n"/>
      <c r="AM85" s="139" t="n"/>
    </row>
    <row r="86" ht="28" customHeight="1">
      <c r="A86" s="4" t="inlineStr">
        <is>
          <t>Head office override</t>
        </is>
      </c>
      <c r="B86" s="4" t="n"/>
      <c r="C86" s="4" t="n"/>
      <c r="D86" s="139" t="n"/>
      <c r="E86" s="139" t="n"/>
      <c r="F86" s="139" t="n"/>
      <c r="G86" s="139" t="n"/>
      <c r="H86" s="139" t="n"/>
      <c r="I86" s="139" t="n"/>
      <c r="J86" s="139" t="n"/>
      <c r="K86" s="139" t="n"/>
      <c r="L86" s="139" t="n"/>
      <c r="M86" s="139" t="n"/>
      <c r="N86" s="139" t="n"/>
      <c r="O86" s="139" t="n"/>
      <c r="P86" s="139" t="n"/>
      <c r="Q86" s="139" t="n"/>
      <c r="R86" s="139" t="n"/>
      <c r="S86" s="139" t="n"/>
      <c r="T86" s="139" t="n"/>
      <c r="U86" s="139" t="n"/>
      <c r="V86" s="139" t="n"/>
      <c r="W86" s="139" t="n"/>
      <c r="X86" s="139" t="n"/>
      <c r="Y86" s="139" t="n"/>
      <c r="Z86" s="139" t="n"/>
      <c r="AA86" s="139" t="n"/>
      <c r="AB86" s="139" t="n"/>
      <c r="AC86" s="139" t="n"/>
      <c r="AD86" s="139" t="n"/>
      <c r="AE86" s="139" t="n"/>
      <c r="AF86" s="139" t="n"/>
      <c r="AG86" s="139" t="n"/>
      <c r="AH86" s="139" t="n"/>
      <c r="AI86" s="139" t="n"/>
      <c r="AJ86" s="139" t="n"/>
      <c r="AK86" s="139" t="n"/>
      <c r="AL86" s="139" t="n"/>
      <c r="AM86" s="139" t="n"/>
    </row>
    <row r="87" ht="28" customHeight="1">
      <c r="A87" s="4" t="inlineStr">
        <is>
          <t>Marketing override</t>
        </is>
      </c>
      <c r="B87" s="4" t="n"/>
      <c r="C87" s="4" t="n"/>
      <c r="D87" s="139" t="n"/>
      <c r="E87" s="139" t="n"/>
      <c r="F87" s="139" t="n"/>
      <c r="G87" s="139" t="n"/>
      <c r="H87" s="139" t="n"/>
      <c r="I87" s="139" t="n"/>
      <c r="J87" s="139" t="n"/>
      <c r="K87" s="139" t="n"/>
      <c r="L87" s="139" t="n"/>
      <c r="M87" s="139" t="n"/>
      <c r="N87" s="139" t="n"/>
      <c r="O87" s="139" t="n"/>
      <c r="P87" s="139" t="n"/>
      <c r="Q87" s="139" t="n"/>
      <c r="R87" s="139" t="n"/>
      <c r="S87" s="139" t="n"/>
      <c r="T87" s="139" t="n"/>
      <c r="U87" s="139" t="n"/>
      <c r="V87" s="139" t="n"/>
      <c r="W87" s="139" t="n"/>
      <c r="X87" s="139" t="n"/>
      <c r="Y87" s="139" t="n"/>
      <c r="Z87" s="139" t="n"/>
      <c r="AA87" s="139" t="n"/>
      <c r="AB87" s="139" t="n"/>
      <c r="AC87" s="139" t="n"/>
      <c r="AD87" s="139" t="n"/>
      <c r="AE87" s="139" t="n"/>
      <c r="AF87" s="139" t="n"/>
      <c r="AG87" s="139" t="n"/>
      <c r="AH87" s="139" t="n"/>
      <c r="AI87" s="139" t="n"/>
      <c r="AJ87" s="139" t="n"/>
      <c r="AK87" s="139" t="n"/>
      <c r="AL87" s="139" t="n"/>
      <c r="AM87" s="139" t="n"/>
    </row>
    <row r="88" ht="28" customHeight="1">
      <c r="A88" s="4" t="inlineStr">
        <is>
          <t>Field travel override</t>
        </is>
      </c>
      <c r="B88" s="4" t="n"/>
      <c r="C88" s="4" t="n"/>
      <c r="D88" s="139" t="n"/>
      <c r="E88" s="139" t="n"/>
      <c r="F88" s="139" t="n"/>
      <c r="G88" s="139" t="n"/>
      <c r="H88" s="139" t="n"/>
      <c r="I88" s="139" t="n"/>
      <c r="J88" s="139" t="n"/>
      <c r="K88" s="139" t="n"/>
      <c r="L88" s="139" t="n"/>
      <c r="M88" s="139" t="n"/>
      <c r="N88" s="139" t="n"/>
      <c r="O88" s="139" t="n"/>
      <c r="P88" s="139" t="n"/>
      <c r="Q88" s="139" t="n"/>
      <c r="R88" s="139" t="n"/>
      <c r="S88" s="139" t="n"/>
      <c r="T88" s="139" t="n"/>
      <c r="U88" s="139" t="n"/>
      <c r="V88" s="139" t="n"/>
      <c r="W88" s="139" t="n"/>
      <c r="X88" s="139" t="n"/>
      <c r="Y88" s="139" t="n"/>
      <c r="Z88" s="139" t="n"/>
      <c r="AA88" s="139" t="n"/>
      <c r="AB88" s="139" t="n"/>
      <c r="AC88" s="139" t="n"/>
      <c r="AD88" s="139" t="n"/>
      <c r="AE88" s="139" t="n"/>
      <c r="AF88" s="139" t="n"/>
      <c r="AG88" s="139" t="n"/>
      <c r="AH88" s="139" t="n"/>
      <c r="AI88" s="139" t="n"/>
      <c r="AJ88" s="139" t="n"/>
      <c r="AK88" s="139" t="n"/>
      <c r="AL88" s="139" t="n"/>
      <c r="AM88" s="139" t="n"/>
    </row>
    <row r="89" ht="28" customHeight="1">
      <c r="A89" s="4" t="inlineStr">
        <is>
          <t>Consulting and accounting override</t>
        </is>
      </c>
      <c r="B89" s="4" t="n"/>
      <c r="C89" s="4" t="n"/>
      <c r="D89" s="139" t="n"/>
      <c r="E89" s="139" t="n"/>
      <c r="F89" s="139" t="n"/>
      <c r="G89" s="139" t="n"/>
      <c r="H89" s="139" t="n"/>
      <c r="I89" s="139" t="n"/>
      <c r="J89" s="139" t="n"/>
      <c r="K89" s="139" t="n"/>
      <c r="L89" s="139" t="n"/>
      <c r="M89" s="139" t="n"/>
      <c r="N89" s="139" t="n"/>
      <c r="O89" s="139" t="n"/>
      <c r="P89" s="139" t="n"/>
      <c r="Q89" s="139" t="n"/>
      <c r="R89" s="139" t="n"/>
      <c r="S89" s="139" t="n"/>
      <c r="T89" s="139" t="n"/>
      <c r="U89" s="139" t="n"/>
      <c r="V89" s="139" t="n"/>
      <c r="W89" s="139" t="n"/>
      <c r="X89" s="139" t="n"/>
      <c r="Y89" s="139" t="n"/>
      <c r="Z89" s="139" t="n"/>
      <c r="AA89" s="139" t="n"/>
      <c r="AB89" s="139" t="n"/>
      <c r="AC89" s="139" t="n"/>
      <c r="AD89" s="139" t="n"/>
      <c r="AE89" s="139" t="n"/>
      <c r="AF89" s="139" t="n"/>
      <c r="AG89" s="139" t="n"/>
      <c r="AH89" s="139" t="n"/>
      <c r="AI89" s="139" t="n"/>
      <c r="AJ89" s="139" t="n"/>
      <c r="AK89" s="139" t="n"/>
      <c r="AL89" s="139" t="n"/>
      <c r="AM89" s="139" t="n"/>
    </row>
    <row r="90" ht="28" customHeight="1">
      <c r="A90" s="4" t="inlineStr">
        <is>
          <t>Additional staff override</t>
        </is>
      </c>
      <c r="B90" s="4" t="n"/>
      <c r="C90" s="4" t="n"/>
      <c r="D90" s="139" t="n"/>
      <c r="E90" s="139" t="n"/>
      <c r="F90" s="139" t="n"/>
      <c r="G90" s="139" t="n"/>
      <c r="H90" s="139" t="n"/>
      <c r="I90" s="139" t="n"/>
      <c r="J90" s="139" t="n"/>
      <c r="K90" s="139" t="n"/>
      <c r="L90" s="139" t="n"/>
      <c r="M90" s="139" t="n"/>
      <c r="N90" s="139" t="n"/>
      <c r="O90" s="139" t="n"/>
      <c r="P90" s="139" t="n"/>
      <c r="Q90" s="139" t="n"/>
      <c r="R90" s="139" t="n"/>
      <c r="S90" s="139" t="n"/>
      <c r="T90" s="139" t="n"/>
      <c r="U90" s="139" t="n"/>
      <c r="V90" s="139" t="n"/>
      <c r="W90" s="139" t="n"/>
      <c r="X90" s="139" t="n"/>
      <c r="Y90" s="139" t="n"/>
      <c r="Z90" s="139" t="n"/>
      <c r="AA90" s="139" t="n"/>
      <c r="AB90" s="139" t="n"/>
      <c r="AC90" s="139" t="n"/>
      <c r="AD90" s="139" t="n"/>
      <c r="AE90" s="139" t="n"/>
      <c r="AF90" s="139" t="n"/>
      <c r="AG90" s="139" t="n"/>
      <c r="AH90" s="139" t="n"/>
      <c r="AI90" s="139" t="n"/>
      <c r="AJ90" s="139" t="n"/>
      <c r="AK90" s="139" t="n"/>
      <c r="AL90" s="139" t="n"/>
      <c r="AM90" s="139" t="n"/>
    </row>
    <row r="91" ht="28" customHeight="1">
      <c r="A91" s="4" t="inlineStr">
        <is>
          <t>R&amp;D override</t>
        </is>
      </c>
      <c r="B91" s="4" t="n"/>
      <c r="C91" s="4" t="n"/>
      <c r="D91" s="139" t="n"/>
      <c r="E91" s="139" t="n"/>
      <c r="F91" s="139" t="n"/>
      <c r="G91" s="139" t="n"/>
      <c r="H91" s="139" t="n"/>
      <c r="I91" s="139" t="n"/>
      <c r="J91" s="139" t="n"/>
      <c r="K91" s="139" t="n"/>
      <c r="L91" s="139" t="n"/>
      <c r="M91" s="139" t="n"/>
      <c r="N91" s="139" t="n"/>
      <c r="O91" s="139" t="n"/>
      <c r="P91" s="139" t="n"/>
      <c r="Q91" s="139" t="n"/>
      <c r="R91" s="139" t="n"/>
      <c r="S91" s="139" t="n"/>
      <c r="T91" s="139" t="n"/>
      <c r="U91" s="139" t="n"/>
      <c r="V91" s="139" t="n"/>
      <c r="W91" s="139" t="n"/>
      <c r="X91" s="139" t="n"/>
      <c r="Y91" s="139" t="n"/>
      <c r="Z91" s="139" t="n"/>
      <c r="AA91" s="139" t="n"/>
      <c r="AB91" s="139" t="n"/>
      <c r="AC91" s="139" t="n"/>
      <c r="AD91" s="139" t="n"/>
      <c r="AE91" s="139" t="n"/>
      <c r="AF91" s="139" t="n"/>
      <c r="AG91" s="139" t="n"/>
      <c r="AH91" s="139" t="n"/>
      <c r="AI91" s="139" t="n"/>
      <c r="AJ91" s="139" t="n"/>
      <c r="AK91" s="139" t="n"/>
      <c r="AL91" s="139" t="n"/>
      <c r="AM91" s="139" t="n"/>
    </row>
    <row r="92" ht="28" customHeight="1">
      <c r="A92" s="4" t="inlineStr">
        <is>
          <t>Other annual adjustment override</t>
        </is>
      </c>
      <c r="B92" s="4" t="n"/>
      <c r="C92" s="4" t="n"/>
      <c r="D92" s="139" t="n"/>
      <c r="E92" s="139" t="n"/>
      <c r="F92" s="139" t="n"/>
      <c r="G92" s="139" t="n"/>
      <c r="H92" s="139" t="n"/>
      <c r="I92" s="139" t="n"/>
      <c r="J92" s="139" t="n"/>
      <c r="K92" s="139" t="n"/>
      <c r="L92" s="139" t="n"/>
      <c r="M92" s="139" t="n"/>
      <c r="N92" s="139" t="n"/>
      <c r="O92" s="139" t="n"/>
      <c r="P92" s="139" t="n"/>
      <c r="Q92" s="139" t="n"/>
      <c r="R92" s="139" t="n"/>
      <c r="S92" s="139" t="n"/>
      <c r="T92" s="139" t="n"/>
      <c r="U92" s="139" t="n"/>
      <c r="V92" s="139" t="n"/>
      <c r="W92" s="139" t="n"/>
      <c r="X92" s="139" t="n"/>
      <c r="Y92" s="139" t="n"/>
      <c r="Z92" s="139" t="n"/>
      <c r="AA92" s="139" t="n"/>
      <c r="AB92" s="139" t="n"/>
      <c r="AC92" s="139" t="n"/>
      <c r="AD92" s="139" t="n"/>
      <c r="AE92" s="139" t="n"/>
      <c r="AF92" s="139" t="n"/>
      <c r="AG92" s="139" t="n"/>
      <c r="AH92" s="139" t="n"/>
      <c r="AI92" s="139" t="n"/>
      <c r="AJ92" s="139" t="n"/>
      <c r="AK92" s="139" t="n"/>
      <c r="AL92" s="139" t="n"/>
      <c r="AM92" s="139" t="n"/>
    </row>
    <row r="93" ht="28" customHeight="1">
      <c r="A93" s="4" t="inlineStr">
        <is>
          <t>Goods sale price override</t>
        </is>
      </c>
      <c r="B93" s="4" t="n"/>
      <c r="C93" s="4" t="n"/>
      <c r="D93" s="139" t="n"/>
      <c r="E93" s="139" t="n"/>
      <c r="F93" s="139" t="n"/>
      <c r="G93" s="139" t="n"/>
      <c r="H93" s="139" t="n"/>
      <c r="I93" s="139" t="n"/>
      <c r="J93" s="139" t="n"/>
      <c r="K93" s="139" t="n"/>
      <c r="L93" s="139" t="n"/>
      <c r="M93" s="139" t="n"/>
      <c r="N93" s="139" t="n"/>
      <c r="O93" s="139" t="n"/>
      <c r="P93" s="139" t="n"/>
      <c r="Q93" s="139" t="n"/>
      <c r="R93" s="139" t="n"/>
      <c r="S93" s="139" t="n"/>
      <c r="T93" s="139" t="n"/>
      <c r="U93" s="139" t="n"/>
      <c r="V93" s="139" t="n"/>
      <c r="W93" s="139" t="n"/>
      <c r="X93" s="139" t="n"/>
      <c r="Y93" s="139" t="n"/>
      <c r="Z93" s="139" t="n"/>
      <c r="AA93" s="139" t="n"/>
      <c r="AB93" s="139" t="n"/>
      <c r="AC93" s="139" t="n"/>
      <c r="AD93" s="139" t="n"/>
      <c r="AE93" s="139" t="n"/>
      <c r="AF93" s="139" t="n"/>
      <c r="AG93" s="139" t="n"/>
      <c r="AH93" s="139" t="n"/>
      <c r="AI93" s="139" t="n"/>
      <c r="AJ93" s="139" t="n"/>
      <c r="AK93" s="139" t="n"/>
      <c r="AL93" s="139" t="n"/>
      <c r="AM93" s="139" t="n"/>
    </row>
    <row r="94" ht="28" customHeight="1">
      <c r="A94" s="4" t="inlineStr">
        <is>
          <t>Witta available days override</t>
        </is>
      </c>
      <c r="B94" s="4" t="n"/>
      <c r="C94" s="4" t="n"/>
      <c r="D94" s="139" t="n"/>
      <c r="E94" s="139" t="n"/>
      <c r="F94" s="139" t="n"/>
      <c r="G94" s="139" t="n"/>
      <c r="H94" s="139" t="n"/>
      <c r="I94" s="139" t="n"/>
      <c r="J94" s="139" t="n"/>
      <c r="K94" s="139" t="n"/>
      <c r="L94" s="139" t="n"/>
      <c r="M94" s="139" t="n"/>
      <c r="N94" s="139" t="n"/>
      <c r="O94" s="139" t="n"/>
      <c r="P94" s="139" t="n"/>
      <c r="Q94" s="139" t="n"/>
      <c r="R94" s="139" t="n"/>
      <c r="S94" s="139" t="n"/>
      <c r="T94" s="139" t="n"/>
      <c r="U94" s="139" t="n"/>
      <c r="V94" s="139" t="n"/>
      <c r="W94" s="139" t="n"/>
      <c r="X94" s="139" t="n"/>
      <c r="Y94" s="139" t="n"/>
      <c r="Z94" s="139" t="n"/>
      <c r="AA94" s="139" t="n"/>
      <c r="AB94" s="139" t="n"/>
      <c r="AC94" s="139" t="n"/>
      <c r="AD94" s="139" t="n"/>
      <c r="AE94" s="139" t="n"/>
      <c r="AF94" s="139" t="n"/>
      <c r="AG94" s="139" t="n"/>
      <c r="AH94" s="139" t="n"/>
      <c r="AI94" s="139" t="n"/>
      <c r="AJ94" s="139" t="n"/>
      <c r="AK94" s="139" t="n"/>
      <c r="AL94" s="139" t="n"/>
      <c r="AM94" s="139" t="n"/>
    </row>
    <row r="95" ht="28" customHeight="1">
      <c r="A95" s="4" t="inlineStr">
        <is>
          <t>New facility 1 available days override</t>
        </is>
      </c>
      <c r="B95" s="4" t="n"/>
      <c r="C95" s="4" t="n"/>
      <c r="D95" s="139" t="n"/>
      <c r="E95" s="139" t="n"/>
      <c r="F95" s="139" t="n"/>
      <c r="G95" s="139" t="n"/>
      <c r="H95" s="139" t="n"/>
      <c r="I95" s="139" t="n"/>
      <c r="J95" s="139" t="n"/>
      <c r="K95" s="139" t="n"/>
      <c r="L95" s="139" t="n"/>
      <c r="M95" s="139" t="n"/>
      <c r="N95" s="139" t="n"/>
      <c r="O95" s="139" t="n"/>
      <c r="P95" s="139" t="n"/>
      <c r="Q95" s="139" t="n"/>
      <c r="R95" s="139" t="n"/>
      <c r="S95" s="139" t="n"/>
      <c r="T95" s="139" t="n"/>
      <c r="U95" s="139" t="n"/>
      <c r="V95" s="139" t="n"/>
      <c r="W95" s="139" t="n"/>
      <c r="X95" s="139" t="n"/>
      <c r="Y95" s="139" t="n"/>
      <c r="Z95" s="139" t="n"/>
      <c r="AA95" s="139" t="n"/>
      <c r="AB95" s="139" t="n"/>
      <c r="AC95" s="139" t="n"/>
      <c r="AD95" s="139" t="n"/>
      <c r="AE95" s="139" t="n"/>
      <c r="AF95" s="139" t="n"/>
      <c r="AG95" s="139" t="n"/>
      <c r="AH95" s="139" t="n"/>
      <c r="AI95" s="139" t="n"/>
      <c r="AJ95" s="139" t="n"/>
      <c r="AK95" s="139" t="n"/>
      <c r="AL95" s="139" t="n"/>
      <c r="AM95" s="139" t="n"/>
    </row>
    <row r="96" ht="28" customHeight="1">
      <c r="A96" s="4" t="inlineStr">
        <is>
          <t>New facility 2 available days override</t>
        </is>
      </c>
      <c r="B96" s="4" t="n"/>
      <c r="C96" s="4" t="n"/>
      <c r="D96" s="139" t="n"/>
      <c r="E96" s="139" t="n"/>
      <c r="F96" s="139" t="n"/>
      <c r="G96" s="139" t="n"/>
      <c r="H96" s="139" t="n"/>
      <c r="I96" s="139" t="n"/>
      <c r="J96" s="139" t="n"/>
      <c r="K96" s="139" t="n"/>
      <c r="L96" s="139" t="n"/>
      <c r="M96" s="139" t="n"/>
      <c r="N96" s="139" t="n"/>
      <c r="O96" s="139" t="n"/>
      <c r="P96" s="139" t="n"/>
      <c r="Q96" s="139" t="n"/>
      <c r="R96" s="139" t="n"/>
      <c r="S96" s="139" t="n"/>
      <c r="T96" s="139" t="n"/>
      <c r="U96" s="139" t="n"/>
      <c r="V96" s="139" t="n"/>
      <c r="W96" s="139" t="n"/>
      <c r="X96" s="139" t="n"/>
      <c r="Y96" s="139" t="n"/>
      <c r="Z96" s="139" t="n"/>
      <c r="AA96" s="139" t="n"/>
      <c r="AB96" s="139" t="n"/>
      <c r="AC96" s="139" t="n"/>
      <c r="AD96" s="139" t="n"/>
      <c r="AE96" s="139" t="n"/>
      <c r="AF96" s="139" t="n"/>
      <c r="AG96" s="139" t="n"/>
      <c r="AH96" s="139" t="n"/>
      <c r="AI96" s="139" t="n"/>
      <c r="AJ96" s="139" t="n"/>
      <c r="AK96" s="139" t="n"/>
      <c r="AL96" s="139" t="n"/>
      <c r="AM96" s="139" t="n"/>
    </row>
    <row r="97" ht="28"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row>
    <row r="98" ht="28"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row>
    <row r="99" ht="28" customHeight="1">
      <c r="A99" s="4" t="inlineStr">
        <is>
          <t>Recurring costs default flat over 36 months. Zero cash adjustments are planning assumptions. Unknown source prices remain blank.</t>
        </is>
      </c>
    </row>
    <row r="100" ht="28"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row>
    <row r="101" ht="28"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n"/>
      <c r="AK101" s="4" t="n"/>
      <c r="AL101" s="4" t="n"/>
      <c r="AM101" s="4" t="n"/>
    </row>
    <row r="102" ht="28"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c r="AE102" s="4" t="n"/>
      <c r="AF102" s="4" t="n"/>
      <c r="AG102" s="4" t="n"/>
      <c r="AH102" s="4" t="n"/>
      <c r="AI102" s="4" t="n"/>
      <c r="AJ102" s="4" t="n"/>
      <c r="AK102" s="4" t="n"/>
      <c r="AL102" s="4" t="n"/>
      <c r="AM102" s="4" t="n"/>
    </row>
    <row r="103" ht="28"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n"/>
      <c r="AK103" s="4" t="n"/>
      <c r="AL103" s="4" t="n"/>
      <c r="AM103" s="4" t="n"/>
    </row>
    <row r="104" ht="28"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c r="AE104" s="4" t="n"/>
      <c r="AF104" s="4" t="n"/>
      <c r="AG104" s="4" t="n"/>
      <c r="AH104" s="4" t="n"/>
      <c r="AI104" s="4" t="n"/>
      <c r="AJ104" s="4" t="n"/>
      <c r="AK104" s="4" t="n"/>
      <c r="AL104" s="4" t="n"/>
      <c r="AM104" s="4" t="n"/>
    </row>
    <row r="105" ht="28"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n"/>
      <c r="AK105" s="4" t="n"/>
      <c r="AL105" s="4" t="n"/>
      <c r="AM105" s="4" t="n"/>
    </row>
    <row r="106" ht="28"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n"/>
      <c r="AK106" s="4" t="n"/>
      <c r="AL106" s="4" t="n"/>
      <c r="AM106" s="4" t="n"/>
    </row>
    <row r="107" ht="30" customHeight="1">
      <c r="A107" s="8" t="inlineStr">
        <is>
          <t>Monthly site cost rates</t>
        </is>
      </c>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c r="AA107" s="8" t="n"/>
      <c r="AB107" s="8" t="n"/>
      <c r="AC107" s="8" t="n"/>
      <c r="AD107" s="8" t="n"/>
      <c r="AE107" s="8" t="n"/>
      <c r="AF107" s="8" t="n"/>
      <c r="AG107" s="8" t="n"/>
      <c r="AH107" s="8" t="n"/>
      <c r="AI107" s="8" t="n"/>
      <c r="AJ107" s="8" t="n"/>
      <c r="AK107" s="8" t="n"/>
      <c r="AL107" s="8" t="n"/>
      <c r="AM107" s="8" t="n"/>
    </row>
    <row r="108" ht="30" customHeight="1">
      <c r="A108" s="4" t="inlineStr">
        <is>
          <t>Default annual site provisions divided by 12. Optional overrides below apply to a single month.</t>
        </is>
      </c>
    </row>
    <row r="109" ht="30"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c r="AH109" s="4" t="n"/>
      <c r="AI109" s="4" t="n"/>
      <c r="AJ109" s="4" t="n"/>
      <c r="AK109" s="4" t="n"/>
      <c r="AL109" s="4" t="n"/>
      <c r="AM109" s="4" t="n"/>
    </row>
    <row r="110" ht="30"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c r="AE110" s="4" t="n"/>
      <c r="AF110" s="4" t="n"/>
      <c r="AG110" s="4" t="n"/>
      <c r="AH110" s="4" t="n"/>
      <c r="AI110" s="4" t="n"/>
      <c r="AJ110" s="4" t="n"/>
      <c r="AK110" s="4" t="n"/>
      <c r="AL110" s="4" t="n"/>
      <c r="AM110" s="4" t="n"/>
    </row>
    <row r="111" ht="30"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c r="AE111" s="4" t="n"/>
      <c r="AF111" s="4" t="n"/>
      <c r="AG111" s="4" t="n"/>
      <c r="AH111" s="4" t="n"/>
      <c r="AI111" s="4" t="n"/>
      <c r="AJ111" s="4" t="n"/>
      <c r="AK111" s="4" t="n"/>
      <c r="AL111" s="4" t="n"/>
      <c r="AM111" s="4" t="n"/>
    </row>
    <row r="112" ht="30" customHeight="1">
      <c r="A112" s="4" t="inlineStr">
        <is>
          <t>Witta coordinator</t>
        </is>
      </c>
      <c r="B112" s="4" t="n"/>
      <c r="C112" s="4" t="n"/>
      <c r="D112" s="137">
        <f>IF(ISNUMBER(D140),D140,IF(ISNUMBER('Sites'!U6),'Sites'!U6/12,""))</f>
        <v/>
      </c>
      <c r="E112" s="137">
        <f>IF(ISNUMBER(E140),E140,IF(ISNUMBER('Sites'!U6),'Sites'!U6/12,""))</f>
        <v/>
      </c>
      <c r="F112" s="137">
        <f>IF(ISNUMBER(F140),F140,IF(ISNUMBER('Sites'!U6),'Sites'!U6/12,""))</f>
        <v/>
      </c>
      <c r="G112" s="137">
        <f>IF(ISNUMBER(G140),G140,IF(ISNUMBER('Sites'!U6),'Sites'!U6/12,""))</f>
        <v/>
      </c>
      <c r="H112" s="137">
        <f>IF(ISNUMBER(H140),H140,IF(ISNUMBER('Sites'!U6),'Sites'!U6/12,""))</f>
        <v/>
      </c>
      <c r="I112" s="137">
        <f>IF(ISNUMBER(I140),I140,IF(ISNUMBER('Sites'!U6),'Sites'!U6/12,""))</f>
        <v/>
      </c>
      <c r="J112" s="137">
        <f>IF(ISNUMBER(J140),J140,IF(ISNUMBER('Sites'!U6),'Sites'!U6/12,""))</f>
        <v/>
      </c>
      <c r="K112" s="137">
        <f>IF(ISNUMBER(K140),K140,IF(ISNUMBER('Sites'!U6),'Sites'!U6/12,""))</f>
        <v/>
      </c>
      <c r="L112" s="137">
        <f>IF(ISNUMBER(L140),L140,IF(ISNUMBER('Sites'!U6),'Sites'!U6/12,""))</f>
        <v/>
      </c>
      <c r="M112" s="137">
        <f>IF(ISNUMBER(M140),M140,IF(ISNUMBER('Sites'!U6),'Sites'!U6/12,""))</f>
        <v/>
      </c>
      <c r="N112" s="137">
        <f>IF(ISNUMBER(N140),N140,IF(ISNUMBER('Sites'!U6),'Sites'!U6/12,""))</f>
        <v/>
      </c>
      <c r="O112" s="137">
        <f>IF(ISNUMBER(O140),O140,IF(ISNUMBER('Sites'!U6),'Sites'!U6/12,""))</f>
        <v/>
      </c>
      <c r="P112" s="137">
        <f>IF(ISNUMBER(P140),P140,IF(ISNUMBER('Sites'!U6),'Sites'!U6/12,""))</f>
        <v/>
      </c>
      <c r="Q112" s="137">
        <f>IF(ISNUMBER(Q140),Q140,IF(ISNUMBER('Sites'!U6),'Sites'!U6/12,""))</f>
        <v/>
      </c>
      <c r="R112" s="137">
        <f>IF(ISNUMBER(R140),R140,IF(ISNUMBER('Sites'!U6),'Sites'!U6/12,""))</f>
        <v/>
      </c>
      <c r="S112" s="137">
        <f>IF(ISNUMBER(S140),S140,IF(ISNUMBER('Sites'!U6),'Sites'!U6/12,""))</f>
        <v/>
      </c>
      <c r="T112" s="137">
        <f>IF(ISNUMBER(T140),T140,IF(ISNUMBER('Sites'!U6),'Sites'!U6/12,""))</f>
        <v/>
      </c>
      <c r="U112" s="137">
        <f>IF(ISNUMBER(U140),U140,IF(ISNUMBER('Sites'!U6),'Sites'!U6/12,""))</f>
        <v/>
      </c>
      <c r="V112" s="137">
        <f>IF(ISNUMBER(V140),V140,IF(ISNUMBER('Sites'!U6),'Sites'!U6/12,""))</f>
        <v/>
      </c>
      <c r="W112" s="137">
        <f>IF(ISNUMBER(W140),W140,IF(ISNUMBER('Sites'!U6),'Sites'!U6/12,""))</f>
        <v/>
      </c>
      <c r="X112" s="137">
        <f>IF(ISNUMBER(X140),X140,IF(ISNUMBER('Sites'!U6),'Sites'!U6/12,""))</f>
        <v/>
      </c>
      <c r="Y112" s="137">
        <f>IF(ISNUMBER(Y140),Y140,IF(ISNUMBER('Sites'!U6),'Sites'!U6/12,""))</f>
        <v/>
      </c>
      <c r="Z112" s="137">
        <f>IF(ISNUMBER(Z140),Z140,IF(ISNUMBER('Sites'!U6),'Sites'!U6/12,""))</f>
        <v/>
      </c>
      <c r="AA112" s="137">
        <f>IF(ISNUMBER(AA140),AA140,IF(ISNUMBER('Sites'!U6),'Sites'!U6/12,""))</f>
        <v/>
      </c>
      <c r="AB112" s="137">
        <f>IF(ISNUMBER(AB140),AB140,IF(ISNUMBER('Sites'!U6),'Sites'!U6/12,""))</f>
        <v/>
      </c>
      <c r="AC112" s="137">
        <f>IF(ISNUMBER(AC140),AC140,IF(ISNUMBER('Sites'!U6),'Sites'!U6/12,""))</f>
        <v/>
      </c>
      <c r="AD112" s="137">
        <f>IF(ISNUMBER(AD140),AD140,IF(ISNUMBER('Sites'!U6),'Sites'!U6/12,""))</f>
        <v/>
      </c>
      <c r="AE112" s="137">
        <f>IF(ISNUMBER(AE140),AE140,IF(ISNUMBER('Sites'!U6),'Sites'!U6/12,""))</f>
        <v/>
      </c>
      <c r="AF112" s="137">
        <f>IF(ISNUMBER(AF140),AF140,IF(ISNUMBER('Sites'!U6),'Sites'!U6/12,""))</f>
        <v/>
      </c>
      <c r="AG112" s="137">
        <f>IF(ISNUMBER(AG140),AG140,IF(ISNUMBER('Sites'!U6),'Sites'!U6/12,""))</f>
        <v/>
      </c>
      <c r="AH112" s="137">
        <f>IF(ISNUMBER(AH140),AH140,IF(ISNUMBER('Sites'!U6),'Sites'!U6/12,""))</f>
        <v/>
      </c>
      <c r="AI112" s="137">
        <f>IF(ISNUMBER(AI140),AI140,IF(ISNUMBER('Sites'!U6),'Sites'!U6/12,""))</f>
        <v/>
      </c>
      <c r="AJ112" s="137">
        <f>IF(ISNUMBER(AJ140),AJ140,IF(ISNUMBER('Sites'!U6),'Sites'!U6/12,""))</f>
        <v/>
      </c>
      <c r="AK112" s="137">
        <f>IF(ISNUMBER(AK140),AK140,IF(ISNUMBER('Sites'!U6),'Sites'!U6/12,""))</f>
        <v/>
      </c>
      <c r="AL112" s="137">
        <f>IF(ISNUMBER(AL140),AL140,IF(ISNUMBER('Sites'!U6),'Sites'!U6/12,""))</f>
        <v/>
      </c>
      <c r="AM112" s="137">
        <f>IF(ISNUMBER(AM140),AM140,IF(ISNUMBER('Sites'!U6),'Sites'!U6/12,""))</f>
        <v/>
      </c>
    </row>
    <row r="113" ht="30" customHeight="1">
      <c r="A113" s="4" t="inlineStr">
        <is>
          <t>Witta trainer</t>
        </is>
      </c>
      <c r="B113" s="4" t="n"/>
      <c r="C113" s="4" t="n"/>
      <c r="D113" s="137">
        <f>IF(ISNUMBER(D141),D141,IF(ISNUMBER('Sites'!V6),'Sites'!V6/12,""))</f>
        <v/>
      </c>
      <c r="E113" s="137">
        <f>IF(ISNUMBER(E141),E141,IF(ISNUMBER('Sites'!V6),'Sites'!V6/12,""))</f>
        <v/>
      </c>
      <c r="F113" s="137">
        <f>IF(ISNUMBER(F141),F141,IF(ISNUMBER('Sites'!V6),'Sites'!V6/12,""))</f>
        <v/>
      </c>
      <c r="G113" s="137">
        <f>IF(ISNUMBER(G141),G141,IF(ISNUMBER('Sites'!V6),'Sites'!V6/12,""))</f>
        <v/>
      </c>
      <c r="H113" s="137">
        <f>IF(ISNUMBER(H141),H141,IF(ISNUMBER('Sites'!V6),'Sites'!V6/12,""))</f>
        <v/>
      </c>
      <c r="I113" s="137">
        <f>IF(ISNUMBER(I141),I141,IF(ISNUMBER('Sites'!V6),'Sites'!V6/12,""))</f>
        <v/>
      </c>
      <c r="J113" s="137">
        <f>IF(ISNUMBER(J141),J141,IF(ISNUMBER('Sites'!V6),'Sites'!V6/12,""))</f>
        <v/>
      </c>
      <c r="K113" s="137">
        <f>IF(ISNUMBER(K141),K141,IF(ISNUMBER('Sites'!V6),'Sites'!V6/12,""))</f>
        <v/>
      </c>
      <c r="L113" s="137">
        <f>IF(ISNUMBER(L141),L141,IF(ISNUMBER('Sites'!V6),'Sites'!V6/12,""))</f>
        <v/>
      </c>
      <c r="M113" s="137">
        <f>IF(ISNUMBER(M141),M141,IF(ISNUMBER('Sites'!V6),'Sites'!V6/12,""))</f>
        <v/>
      </c>
      <c r="N113" s="137">
        <f>IF(ISNUMBER(N141),N141,IF(ISNUMBER('Sites'!V6),'Sites'!V6/12,""))</f>
        <v/>
      </c>
      <c r="O113" s="137">
        <f>IF(ISNUMBER(O141),O141,IF(ISNUMBER('Sites'!V6),'Sites'!V6/12,""))</f>
        <v/>
      </c>
      <c r="P113" s="137">
        <f>IF(ISNUMBER(P141),P141,IF(ISNUMBER('Sites'!V6),'Sites'!V6/12,""))</f>
        <v/>
      </c>
      <c r="Q113" s="137">
        <f>IF(ISNUMBER(Q141),Q141,IF(ISNUMBER('Sites'!V6),'Sites'!V6/12,""))</f>
        <v/>
      </c>
      <c r="R113" s="137">
        <f>IF(ISNUMBER(R141),R141,IF(ISNUMBER('Sites'!V6),'Sites'!V6/12,""))</f>
        <v/>
      </c>
      <c r="S113" s="137">
        <f>IF(ISNUMBER(S141),S141,IF(ISNUMBER('Sites'!V6),'Sites'!V6/12,""))</f>
        <v/>
      </c>
      <c r="T113" s="137">
        <f>IF(ISNUMBER(T141),T141,IF(ISNUMBER('Sites'!V6),'Sites'!V6/12,""))</f>
        <v/>
      </c>
      <c r="U113" s="137">
        <f>IF(ISNUMBER(U141),U141,IF(ISNUMBER('Sites'!V6),'Sites'!V6/12,""))</f>
        <v/>
      </c>
      <c r="V113" s="137">
        <f>IF(ISNUMBER(V141),V141,IF(ISNUMBER('Sites'!V6),'Sites'!V6/12,""))</f>
        <v/>
      </c>
      <c r="W113" s="137">
        <f>IF(ISNUMBER(W141),W141,IF(ISNUMBER('Sites'!V6),'Sites'!V6/12,""))</f>
        <v/>
      </c>
      <c r="X113" s="137">
        <f>IF(ISNUMBER(X141),X141,IF(ISNUMBER('Sites'!V6),'Sites'!V6/12,""))</f>
        <v/>
      </c>
      <c r="Y113" s="137">
        <f>IF(ISNUMBER(Y141),Y141,IF(ISNUMBER('Sites'!V6),'Sites'!V6/12,""))</f>
        <v/>
      </c>
      <c r="Z113" s="137">
        <f>IF(ISNUMBER(Z141),Z141,IF(ISNUMBER('Sites'!V6),'Sites'!V6/12,""))</f>
        <v/>
      </c>
      <c r="AA113" s="137">
        <f>IF(ISNUMBER(AA141),AA141,IF(ISNUMBER('Sites'!V6),'Sites'!V6/12,""))</f>
        <v/>
      </c>
      <c r="AB113" s="137">
        <f>IF(ISNUMBER(AB141),AB141,IF(ISNUMBER('Sites'!V6),'Sites'!V6/12,""))</f>
        <v/>
      </c>
      <c r="AC113" s="137">
        <f>IF(ISNUMBER(AC141),AC141,IF(ISNUMBER('Sites'!V6),'Sites'!V6/12,""))</f>
        <v/>
      </c>
      <c r="AD113" s="137">
        <f>IF(ISNUMBER(AD141),AD141,IF(ISNUMBER('Sites'!V6),'Sites'!V6/12,""))</f>
        <v/>
      </c>
      <c r="AE113" s="137">
        <f>IF(ISNUMBER(AE141),AE141,IF(ISNUMBER('Sites'!V6),'Sites'!V6/12,""))</f>
        <v/>
      </c>
      <c r="AF113" s="137">
        <f>IF(ISNUMBER(AF141),AF141,IF(ISNUMBER('Sites'!V6),'Sites'!V6/12,""))</f>
        <v/>
      </c>
      <c r="AG113" s="137">
        <f>IF(ISNUMBER(AG141),AG141,IF(ISNUMBER('Sites'!V6),'Sites'!V6/12,""))</f>
        <v/>
      </c>
      <c r="AH113" s="137">
        <f>IF(ISNUMBER(AH141),AH141,IF(ISNUMBER('Sites'!V6),'Sites'!V6/12,""))</f>
        <v/>
      </c>
      <c r="AI113" s="137">
        <f>IF(ISNUMBER(AI141),AI141,IF(ISNUMBER('Sites'!V6),'Sites'!V6/12,""))</f>
        <v/>
      </c>
      <c r="AJ113" s="137">
        <f>IF(ISNUMBER(AJ141),AJ141,IF(ISNUMBER('Sites'!V6),'Sites'!V6/12,""))</f>
        <v/>
      </c>
      <c r="AK113" s="137">
        <f>IF(ISNUMBER(AK141),AK141,IF(ISNUMBER('Sites'!V6),'Sites'!V6/12,""))</f>
        <v/>
      </c>
      <c r="AL113" s="137">
        <f>IF(ISNUMBER(AL141),AL141,IF(ISNUMBER('Sites'!V6),'Sites'!V6/12,""))</f>
        <v/>
      </c>
      <c r="AM113" s="137">
        <f>IF(ISNUMBER(AM141),AM141,IF(ISNUMBER('Sites'!V6),'Sites'!V6/12,""))</f>
        <v/>
      </c>
    </row>
    <row r="114" ht="30" customHeight="1">
      <c r="A114" s="4" t="inlineStr">
        <is>
          <t>Witta rent</t>
        </is>
      </c>
      <c r="B114" s="4" t="n"/>
      <c r="C114" s="4" t="n"/>
      <c r="D114" s="137">
        <f>IF(ISNUMBER(D142),D142,IF(ISNUMBER('Sites'!W6),'Sites'!W6/12,""))</f>
        <v/>
      </c>
      <c r="E114" s="137">
        <f>IF(ISNUMBER(E142),E142,IF(ISNUMBER('Sites'!W6),'Sites'!W6/12,""))</f>
        <v/>
      </c>
      <c r="F114" s="137">
        <f>IF(ISNUMBER(F142),F142,IF(ISNUMBER('Sites'!W6),'Sites'!W6/12,""))</f>
        <v/>
      </c>
      <c r="G114" s="137">
        <f>IF(ISNUMBER(G142),G142,IF(ISNUMBER('Sites'!W6),'Sites'!W6/12,""))</f>
        <v/>
      </c>
      <c r="H114" s="137">
        <f>IF(ISNUMBER(H142),H142,IF(ISNUMBER('Sites'!W6),'Sites'!W6/12,""))</f>
        <v/>
      </c>
      <c r="I114" s="137">
        <f>IF(ISNUMBER(I142),I142,IF(ISNUMBER('Sites'!W6),'Sites'!W6/12,""))</f>
        <v/>
      </c>
      <c r="J114" s="137">
        <f>IF(ISNUMBER(J142),J142,IF(ISNUMBER('Sites'!W6),'Sites'!W6/12,""))</f>
        <v/>
      </c>
      <c r="K114" s="137">
        <f>IF(ISNUMBER(K142),K142,IF(ISNUMBER('Sites'!W6),'Sites'!W6/12,""))</f>
        <v/>
      </c>
      <c r="L114" s="137">
        <f>IF(ISNUMBER(L142),L142,IF(ISNUMBER('Sites'!W6),'Sites'!W6/12,""))</f>
        <v/>
      </c>
      <c r="M114" s="137">
        <f>IF(ISNUMBER(M142),M142,IF(ISNUMBER('Sites'!W6),'Sites'!W6/12,""))</f>
        <v/>
      </c>
      <c r="N114" s="137">
        <f>IF(ISNUMBER(N142),N142,IF(ISNUMBER('Sites'!W6),'Sites'!W6/12,""))</f>
        <v/>
      </c>
      <c r="O114" s="137">
        <f>IF(ISNUMBER(O142),O142,IF(ISNUMBER('Sites'!W6),'Sites'!W6/12,""))</f>
        <v/>
      </c>
      <c r="P114" s="137">
        <f>IF(ISNUMBER(P142),P142,IF(ISNUMBER('Sites'!W6),'Sites'!W6/12,""))</f>
        <v/>
      </c>
      <c r="Q114" s="137">
        <f>IF(ISNUMBER(Q142),Q142,IF(ISNUMBER('Sites'!W6),'Sites'!W6/12,""))</f>
        <v/>
      </c>
      <c r="R114" s="137">
        <f>IF(ISNUMBER(R142),R142,IF(ISNUMBER('Sites'!W6),'Sites'!W6/12,""))</f>
        <v/>
      </c>
      <c r="S114" s="137">
        <f>IF(ISNUMBER(S142),S142,IF(ISNUMBER('Sites'!W6),'Sites'!W6/12,""))</f>
        <v/>
      </c>
      <c r="T114" s="137">
        <f>IF(ISNUMBER(T142),T142,IF(ISNUMBER('Sites'!W6),'Sites'!W6/12,""))</f>
        <v/>
      </c>
      <c r="U114" s="137">
        <f>IF(ISNUMBER(U142),U142,IF(ISNUMBER('Sites'!W6),'Sites'!W6/12,""))</f>
        <v/>
      </c>
      <c r="V114" s="137">
        <f>IF(ISNUMBER(V142),V142,IF(ISNUMBER('Sites'!W6),'Sites'!W6/12,""))</f>
        <v/>
      </c>
      <c r="W114" s="137">
        <f>IF(ISNUMBER(W142),W142,IF(ISNUMBER('Sites'!W6),'Sites'!W6/12,""))</f>
        <v/>
      </c>
      <c r="X114" s="137">
        <f>IF(ISNUMBER(X142),X142,IF(ISNUMBER('Sites'!W6),'Sites'!W6/12,""))</f>
        <v/>
      </c>
      <c r="Y114" s="137">
        <f>IF(ISNUMBER(Y142),Y142,IF(ISNUMBER('Sites'!W6),'Sites'!W6/12,""))</f>
        <v/>
      </c>
      <c r="Z114" s="137">
        <f>IF(ISNUMBER(Z142),Z142,IF(ISNUMBER('Sites'!W6),'Sites'!W6/12,""))</f>
        <v/>
      </c>
      <c r="AA114" s="137">
        <f>IF(ISNUMBER(AA142),AA142,IF(ISNUMBER('Sites'!W6),'Sites'!W6/12,""))</f>
        <v/>
      </c>
      <c r="AB114" s="137">
        <f>IF(ISNUMBER(AB142),AB142,IF(ISNUMBER('Sites'!W6),'Sites'!W6/12,""))</f>
        <v/>
      </c>
      <c r="AC114" s="137">
        <f>IF(ISNUMBER(AC142),AC142,IF(ISNUMBER('Sites'!W6),'Sites'!W6/12,""))</f>
        <v/>
      </c>
      <c r="AD114" s="137">
        <f>IF(ISNUMBER(AD142),AD142,IF(ISNUMBER('Sites'!W6),'Sites'!W6/12,""))</f>
        <v/>
      </c>
      <c r="AE114" s="137">
        <f>IF(ISNUMBER(AE142),AE142,IF(ISNUMBER('Sites'!W6),'Sites'!W6/12,""))</f>
        <v/>
      </c>
      <c r="AF114" s="137">
        <f>IF(ISNUMBER(AF142),AF142,IF(ISNUMBER('Sites'!W6),'Sites'!W6/12,""))</f>
        <v/>
      </c>
      <c r="AG114" s="137">
        <f>IF(ISNUMBER(AG142),AG142,IF(ISNUMBER('Sites'!W6),'Sites'!W6/12,""))</f>
        <v/>
      </c>
      <c r="AH114" s="137">
        <f>IF(ISNUMBER(AH142),AH142,IF(ISNUMBER('Sites'!W6),'Sites'!W6/12,""))</f>
        <v/>
      </c>
      <c r="AI114" s="137">
        <f>IF(ISNUMBER(AI142),AI142,IF(ISNUMBER('Sites'!W6),'Sites'!W6/12,""))</f>
        <v/>
      </c>
      <c r="AJ114" s="137">
        <f>IF(ISNUMBER(AJ142),AJ142,IF(ISNUMBER('Sites'!W6),'Sites'!W6/12,""))</f>
        <v/>
      </c>
      <c r="AK114" s="137">
        <f>IF(ISNUMBER(AK142),AK142,IF(ISNUMBER('Sites'!W6),'Sites'!W6/12,""))</f>
        <v/>
      </c>
      <c r="AL114" s="137">
        <f>IF(ISNUMBER(AL142),AL142,IF(ISNUMBER('Sites'!W6),'Sites'!W6/12,""))</f>
        <v/>
      </c>
      <c r="AM114" s="137">
        <f>IF(ISNUMBER(AM142),AM142,IF(ISNUMBER('Sites'!W6),'Sites'!W6/12,""))</f>
        <v/>
      </c>
    </row>
    <row r="115" ht="30" customHeight="1">
      <c r="A115" s="4" t="inlineStr">
        <is>
          <t>Witta insurance</t>
        </is>
      </c>
      <c r="B115" s="4" t="n"/>
      <c r="C115" s="4" t="n"/>
      <c r="D115" s="137">
        <f>IF(ISNUMBER(D143),D143,IF(ISNUMBER('Sites'!X6),'Sites'!X6/12,""))</f>
        <v/>
      </c>
      <c r="E115" s="137">
        <f>IF(ISNUMBER(E143),E143,IF(ISNUMBER('Sites'!X6),'Sites'!X6/12,""))</f>
        <v/>
      </c>
      <c r="F115" s="137">
        <f>IF(ISNUMBER(F143),F143,IF(ISNUMBER('Sites'!X6),'Sites'!X6/12,""))</f>
        <v/>
      </c>
      <c r="G115" s="137">
        <f>IF(ISNUMBER(G143),G143,IF(ISNUMBER('Sites'!X6),'Sites'!X6/12,""))</f>
        <v/>
      </c>
      <c r="H115" s="137">
        <f>IF(ISNUMBER(H143),H143,IF(ISNUMBER('Sites'!X6),'Sites'!X6/12,""))</f>
        <v/>
      </c>
      <c r="I115" s="137">
        <f>IF(ISNUMBER(I143),I143,IF(ISNUMBER('Sites'!X6),'Sites'!X6/12,""))</f>
        <v/>
      </c>
      <c r="J115" s="137">
        <f>IF(ISNUMBER(J143),J143,IF(ISNUMBER('Sites'!X6),'Sites'!X6/12,""))</f>
        <v/>
      </c>
      <c r="K115" s="137">
        <f>IF(ISNUMBER(K143),K143,IF(ISNUMBER('Sites'!X6),'Sites'!X6/12,""))</f>
        <v/>
      </c>
      <c r="L115" s="137">
        <f>IF(ISNUMBER(L143),L143,IF(ISNUMBER('Sites'!X6),'Sites'!X6/12,""))</f>
        <v/>
      </c>
      <c r="M115" s="137">
        <f>IF(ISNUMBER(M143),M143,IF(ISNUMBER('Sites'!X6),'Sites'!X6/12,""))</f>
        <v/>
      </c>
      <c r="N115" s="137">
        <f>IF(ISNUMBER(N143),N143,IF(ISNUMBER('Sites'!X6),'Sites'!X6/12,""))</f>
        <v/>
      </c>
      <c r="O115" s="137">
        <f>IF(ISNUMBER(O143),O143,IF(ISNUMBER('Sites'!X6),'Sites'!X6/12,""))</f>
        <v/>
      </c>
      <c r="P115" s="137">
        <f>IF(ISNUMBER(P143),P143,IF(ISNUMBER('Sites'!X6),'Sites'!X6/12,""))</f>
        <v/>
      </c>
      <c r="Q115" s="137">
        <f>IF(ISNUMBER(Q143),Q143,IF(ISNUMBER('Sites'!X6),'Sites'!X6/12,""))</f>
        <v/>
      </c>
      <c r="R115" s="137">
        <f>IF(ISNUMBER(R143),R143,IF(ISNUMBER('Sites'!X6),'Sites'!X6/12,""))</f>
        <v/>
      </c>
      <c r="S115" s="137">
        <f>IF(ISNUMBER(S143),S143,IF(ISNUMBER('Sites'!X6),'Sites'!X6/12,""))</f>
        <v/>
      </c>
      <c r="T115" s="137">
        <f>IF(ISNUMBER(T143),T143,IF(ISNUMBER('Sites'!X6),'Sites'!X6/12,""))</f>
        <v/>
      </c>
      <c r="U115" s="137">
        <f>IF(ISNUMBER(U143),U143,IF(ISNUMBER('Sites'!X6),'Sites'!X6/12,""))</f>
        <v/>
      </c>
      <c r="V115" s="137">
        <f>IF(ISNUMBER(V143),V143,IF(ISNUMBER('Sites'!X6),'Sites'!X6/12,""))</f>
        <v/>
      </c>
      <c r="W115" s="137">
        <f>IF(ISNUMBER(W143),W143,IF(ISNUMBER('Sites'!X6),'Sites'!X6/12,""))</f>
        <v/>
      </c>
      <c r="X115" s="137">
        <f>IF(ISNUMBER(X143),X143,IF(ISNUMBER('Sites'!X6),'Sites'!X6/12,""))</f>
        <v/>
      </c>
      <c r="Y115" s="137">
        <f>IF(ISNUMBER(Y143),Y143,IF(ISNUMBER('Sites'!X6),'Sites'!X6/12,""))</f>
        <v/>
      </c>
      <c r="Z115" s="137">
        <f>IF(ISNUMBER(Z143),Z143,IF(ISNUMBER('Sites'!X6),'Sites'!X6/12,""))</f>
        <v/>
      </c>
      <c r="AA115" s="137">
        <f>IF(ISNUMBER(AA143),AA143,IF(ISNUMBER('Sites'!X6),'Sites'!X6/12,""))</f>
        <v/>
      </c>
      <c r="AB115" s="137">
        <f>IF(ISNUMBER(AB143),AB143,IF(ISNUMBER('Sites'!X6),'Sites'!X6/12,""))</f>
        <v/>
      </c>
      <c r="AC115" s="137">
        <f>IF(ISNUMBER(AC143),AC143,IF(ISNUMBER('Sites'!X6),'Sites'!X6/12,""))</f>
        <v/>
      </c>
      <c r="AD115" s="137">
        <f>IF(ISNUMBER(AD143),AD143,IF(ISNUMBER('Sites'!X6),'Sites'!X6/12,""))</f>
        <v/>
      </c>
      <c r="AE115" s="137">
        <f>IF(ISNUMBER(AE143),AE143,IF(ISNUMBER('Sites'!X6),'Sites'!X6/12,""))</f>
        <v/>
      </c>
      <c r="AF115" s="137">
        <f>IF(ISNUMBER(AF143),AF143,IF(ISNUMBER('Sites'!X6),'Sites'!X6/12,""))</f>
        <v/>
      </c>
      <c r="AG115" s="137">
        <f>IF(ISNUMBER(AG143),AG143,IF(ISNUMBER('Sites'!X6),'Sites'!X6/12,""))</f>
        <v/>
      </c>
      <c r="AH115" s="137">
        <f>IF(ISNUMBER(AH143),AH143,IF(ISNUMBER('Sites'!X6),'Sites'!X6/12,""))</f>
        <v/>
      </c>
      <c r="AI115" s="137">
        <f>IF(ISNUMBER(AI143),AI143,IF(ISNUMBER('Sites'!X6),'Sites'!X6/12,""))</f>
        <v/>
      </c>
      <c r="AJ115" s="137">
        <f>IF(ISNUMBER(AJ143),AJ143,IF(ISNUMBER('Sites'!X6),'Sites'!X6/12,""))</f>
        <v/>
      </c>
      <c r="AK115" s="137">
        <f>IF(ISNUMBER(AK143),AK143,IF(ISNUMBER('Sites'!X6),'Sites'!X6/12,""))</f>
        <v/>
      </c>
      <c r="AL115" s="137">
        <f>IF(ISNUMBER(AL143),AL143,IF(ISNUMBER('Sites'!X6),'Sites'!X6/12,""))</f>
        <v/>
      </c>
      <c r="AM115" s="137">
        <f>IF(ISNUMBER(AM143),AM143,IF(ISNUMBER('Sites'!X6),'Sites'!X6/12,""))</f>
        <v/>
      </c>
    </row>
    <row r="116" ht="30" customHeight="1">
      <c r="A116" s="4" t="inlineStr">
        <is>
          <t>Witta maintenance</t>
        </is>
      </c>
      <c r="B116" s="4" t="n"/>
      <c r="C116" s="4" t="n"/>
      <c r="D116" s="137">
        <f>IF(ISNUMBER(D144),D144,IF(ISNUMBER('Sites'!Y6),'Sites'!Y6/12,""))</f>
        <v/>
      </c>
      <c r="E116" s="137">
        <f>IF(ISNUMBER(E144),E144,IF(ISNUMBER('Sites'!Y6),'Sites'!Y6/12,""))</f>
        <v/>
      </c>
      <c r="F116" s="137">
        <f>IF(ISNUMBER(F144),F144,IF(ISNUMBER('Sites'!Y6),'Sites'!Y6/12,""))</f>
        <v/>
      </c>
      <c r="G116" s="137">
        <f>IF(ISNUMBER(G144),G144,IF(ISNUMBER('Sites'!Y6),'Sites'!Y6/12,""))</f>
        <v/>
      </c>
      <c r="H116" s="137">
        <f>IF(ISNUMBER(H144),H144,IF(ISNUMBER('Sites'!Y6),'Sites'!Y6/12,""))</f>
        <v/>
      </c>
      <c r="I116" s="137">
        <f>IF(ISNUMBER(I144),I144,IF(ISNUMBER('Sites'!Y6),'Sites'!Y6/12,""))</f>
        <v/>
      </c>
      <c r="J116" s="137">
        <f>IF(ISNUMBER(J144),J144,IF(ISNUMBER('Sites'!Y6),'Sites'!Y6/12,""))</f>
        <v/>
      </c>
      <c r="K116" s="137">
        <f>IF(ISNUMBER(K144),K144,IF(ISNUMBER('Sites'!Y6),'Sites'!Y6/12,""))</f>
        <v/>
      </c>
      <c r="L116" s="137">
        <f>IF(ISNUMBER(L144),L144,IF(ISNUMBER('Sites'!Y6),'Sites'!Y6/12,""))</f>
        <v/>
      </c>
      <c r="M116" s="137">
        <f>IF(ISNUMBER(M144),M144,IF(ISNUMBER('Sites'!Y6),'Sites'!Y6/12,""))</f>
        <v/>
      </c>
      <c r="N116" s="137">
        <f>IF(ISNUMBER(N144),N144,IF(ISNUMBER('Sites'!Y6),'Sites'!Y6/12,""))</f>
        <v/>
      </c>
      <c r="O116" s="137">
        <f>IF(ISNUMBER(O144),O144,IF(ISNUMBER('Sites'!Y6),'Sites'!Y6/12,""))</f>
        <v/>
      </c>
      <c r="P116" s="137">
        <f>IF(ISNUMBER(P144),P144,IF(ISNUMBER('Sites'!Y6),'Sites'!Y6/12,""))</f>
        <v/>
      </c>
      <c r="Q116" s="137">
        <f>IF(ISNUMBER(Q144),Q144,IF(ISNUMBER('Sites'!Y6),'Sites'!Y6/12,""))</f>
        <v/>
      </c>
      <c r="R116" s="137">
        <f>IF(ISNUMBER(R144),R144,IF(ISNUMBER('Sites'!Y6),'Sites'!Y6/12,""))</f>
        <v/>
      </c>
      <c r="S116" s="137">
        <f>IF(ISNUMBER(S144),S144,IF(ISNUMBER('Sites'!Y6),'Sites'!Y6/12,""))</f>
        <v/>
      </c>
      <c r="T116" s="137">
        <f>IF(ISNUMBER(T144),T144,IF(ISNUMBER('Sites'!Y6),'Sites'!Y6/12,""))</f>
        <v/>
      </c>
      <c r="U116" s="137">
        <f>IF(ISNUMBER(U144),U144,IF(ISNUMBER('Sites'!Y6),'Sites'!Y6/12,""))</f>
        <v/>
      </c>
      <c r="V116" s="137">
        <f>IF(ISNUMBER(V144),V144,IF(ISNUMBER('Sites'!Y6),'Sites'!Y6/12,""))</f>
        <v/>
      </c>
      <c r="W116" s="137">
        <f>IF(ISNUMBER(W144),W144,IF(ISNUMBER('Sites'!Y6),'Sites'!Y6/12,""))</f>
        <v/>
      </c>
      <c r="X116" s="137">
        <f>IF(ISNUMBER(X144),X144,IF(ISNUMBER('Sites'!Y6),'Sites'!Y6/12,""))</f>
        <v/>
      </c>
      <c r="Y116" s="137">
        <f>IF(ISNUMBER(Y144),Y144,IF(ISNUMBER('Sites'!Y6),'Sites'!Y6/12,""))</f>
        <v/>
      </c>
      <c r="Z116" s="137">
        <f>IF(ISNUMBER(Z144),Z144,IF(ISNUMBER('Sites'!Y6),'Sites'!Y6/12,""))</f>
        <v/>
      </c>
      <c r="AA116" s="137">
        <f>IF(ISNUMBER(AA144),AA144,IF(ISNUMBER('Sites'!Y6),'Sites'!Y6/12,""))</f>
        <v/>
      </c>
      <c r="AB116" s="137">
        <f>IF(ISNUMBER(AB144),AB144,IF(ISNUMBER('Sites'!Y6),'Sites'!Y6/12,""))</f>
        <v/>
      </c>
      <c r="AC116" s="137">
        <f>IF(ISNUMBER(AC144),AC144,IF(ISNUMBER('Sites'!Y6),'Sites'!Y6/12,""))</f>
        <v/>
      </c>
      <c r="AD116" s="137">
        <f>IF(ISNUMBER(AD144),AD144,IF(ISNUMBER('Sites'!Y6),'Sites'!Y6/12,""))</f>
        <v/>
      </c>
      <c r="AE116" s="137">
        <f>IF(ISNUMBER(AE144),AE144,IF(ISNUMBER('Sites'!Y6),'Sites'!Y6/12,""))</f>
        <v/>
      </c>
      <c r="AF116" s="137">
        <f>IF(ISNUMBER(AF144),AF144,IF(ISNUMBER('Sites'!Y6),'Sites'!Y6/12,""))</f>
        <v/>
      </c>
      <c r="AG116" s="137">
        <f>IF(ISNUMBER(AG144),AG144,IF(ISNUMBER('Sites'!Y6),'Sites'!Y6/12,""))</f>
        <v/>
      </c>
      <c r="AH116" s="137">
        <f>IF(ISNUMBER(AH144),AH144,IF(ISNUMBER('Sites'!Y6),'Sites'!Y6/12,""))</f>
        <v/>
      </c>
      <c r="AI116" s="137">
        <f>IF(ISNUMBER(AI144),AI144,IF(ISNUMBER('Sites'!Y6),'Sites'!Y6/12,""))</f>
        <v/>
      </c>
      <c r="AJ116" s="137">
        <f>IF(ISNUMBER(AJ144),AJ144,IF(ISNUMBER('Sites'!Y6),'Sites'!Y6/12,""))</f>
        <v/>
      </c>
      <c r="AK116" s="137">
        <f>IF(ISNUMBER(AK144),AK144,IF(ISNUMBER('Sites'!Y6),'Sites'!Y6/12,""))</f>
        <v/>
      </c>
      <c r="AL116" s="137">
        <f>IF(ISNUMBER(AL144),AL144,IF(ISNUMBER('Sites'!Y6),'Sites'!Y6/12,""))</f>
        <v/>
      </c>
      <c r="AM116" s="137">
        <f>IF(ISNUMBER(AM144),AM144,IF(ISNUMBER('Sites'!Y6),'Sites'!Y6/12,""))</f>
        <v/>
      </c>
    </row>
    <row r="117" ht="30" customHeight="1">
      <c r="A117" s="4" t="inlineStr">
        <is>
          <t>New 1 coordinator</t>
        </is>
      </c>
      <c r="B117" s="4" t="n"/>
      <c r="C117" s="4" t="n"/>
      <c r="D117" s="137">
        <f>IF(ISNUMBER(D145),D145,IF(ISNUMBER('Sites'!U7),'Sites'!U7/12,""))</f>
        <v/>
      </c>
      <c r="E117" s="137">
        <f>IF(ISNUMBER(E145),E145,IF(ISNUMBER('Sites'!U7),'Sites'!U7/12,""))</f>
        <v/>
      </c>
      <c r="F117" s="137">
        <f>IF(ISNUMBER(F145),F145,IF(ISNUMBER('Sites'!U7),'Sites'!U7/12,""))</f>
        <v/>
      </c>
      <c r="G117" s="137">
        <f>IF(ISNUMBER(G145),G145,IF(ISNUMBER('Sites'!U7),'Sites'!U7/12,""))</f>
        <v/>
      </c>
      <c r="H117" s="137">
        <f>IF(ISNUMBER(H145),H145,IF(ISNUMBER('Sites'!U7),'Sites'!U7/12,""))</f>
        <v/>
      </c>
      <c r="I117" s="137">
        <f>IF(ISNUMBER(I145),I145,IF(ISNUMBER('Sites'!U7),'Sites'!U7/12,""))</f>
        <v/>
      </c>
      <c r="J117" s="137">
        <f>IF(ISNUMBER(J145),J145,IF(ISNUMBER('Sites'!U7),'Sites'!U7/12,""))</f>
        <v/>
      </c>
      <c r="K117" s="137">
        <f>IF(ISNUMBER(K145),K145,IF(ISNUMBER('Sites'!U7),'Sites'!U7/12,""))</f>
        <v/>
      </c>
      <c r="L117" s="137">
        <f>IF(ISNUMBER(L145),L145,IF(ISNUMBER('Sites'!U7),'Sites'!U7/12,""))</f>
        <v/>
      </c>
      <c r="M117" s="137">
        <f>IF(ISNUMBER(M145),M145,IF(ISNUMBER('Sites'!U7),'Sites'!U7/12,""))</f>
        <v/>
      </c>
      <c r="N117" s="137">
        <f>IF(ISNUMBER(N145),N145,IF(ISNUMBER('Sites'!U7),'Sites'!U7/12,""))</f>
        <v/>
      </c>
      <c r="O117" s="137">
        <f>IF(ISNUMBER(O145),O145,IF(ISNUMBER('Sites'!U7),'Sites'!U7/12,""))</f>
        <v/>
      </c>
      <c r="P117" s="137">
        <f>IF(ISNUMBER(P145),P145,IF(ISNUMBER('Sites'!U7),'Sites'!U7/12,""))</f>
        <v/>
      </c>
      <c r="Q117" s="137">
        <f>IF(ISNUMBER(Q145),Q145,IF(ISNUMBER('Sites'!U7),'Sites'!U7/12,""))</f>
        <v/>
      </c>
      <c r="R117" s="137">
        <f>IF(ISNUMBER(R145),R145,IF(ISNUMBER('Sites'!U7),'Sites'!U7/12,""))</f>
        <v/>
      </c>
      <c r="S117" s="137">
        <f>IF(ISNUMBER(S145),S145,IF(ISNUMBER('Sites'!U7),'Sites'!U7/12,""))</f>
        <v/>
      </c>
      <c r="T117" s="137">
        <f>IF(ISNUMBER(T145),T145,IF(ISNUMBER('Sites'!U7),'Sites'!U7/12,""))</f>
        <v/>
      </c>
      <c r="U117" s="137">
        <f>IF(ISNUMBER(U145),U145,IF(ISNUMBER('Sites'!U7),'Sites'!U7/12,""))</f>
        <v/>
      </c>
      <c r="V117" s="137">
        <f>IF(ISNUMBER(V145),V145,IF(ISNUMBER('Sites'!U7),'Sites'!U7/12,""))</f>
        <v/>
      </c>
      <c r="W117" s="137">
        <f>IF(ISNUMBER(W145),W145,IF(ISNUMBER('Sites'!U7),'Sites'!U7/12,""))</f>
        <v/>
      </c>
      <c r="X117" s="137">
        <f>IF(ISNUMBER(X145),X145,IF(ISNUMBER('Sites'!U7),'Sites'!U7/12,""))</f>
        <v/>
      </c>
      <c r="Y117" s="137">
        <f>IF(ISNUMBER(Y145),Y145,IF(ISNUMBER('Sites'!U7),'Sites'!U7/12,""))</f>
        <v/>
      </c>
      <c r="Z117" s="137">
        <f>IF(ISNUMBER(Z145),Z145,IF(ISNUMBER('Sites'!U7),'Sites'!U7/12,""))</f>
        <v/>
      </c>
      <c r="AA117" s="137">
        <f>IF(ISNUMBER(AA145),AA145,IF(ISNUMBER('Sites'!U7),'Sites'!U7/12,""))</f>
        <v/>
      </c>
      <c r="AB117" s="137">
        <f>IF(ISNUMBER(AB145),AB145,IF(ISNUMBER('Sites'!U7),'Sites'!U7/12,""))</f>
        <v/>
      </c>
      <c r="AC117" s="137">
        <f>IF(ISNUMBER(AC145),AC145,IF(ISNUMBER('Sites'!U7),'Sites'!U7/12,""))</f>
        <v/>
      </c>
      <c r="AD117" s="137">
        <f>IF(ISNUMBER(AD145),AD145,IF(ISNUMBER('Sites'!U7),'Sites'!U7/12,""))</f>
        <v/>
      </c>
      <c r="AE117" s="137">
        <f>IF(ISNUMBER(AE145),AE145,IF(ISNUMBER('Sites'!U7),'Sites'!U7/12,""))</f>
        <v/>
      </c>
      <c r="AF117" s="137">
        <f>IF(ISNUMBER(AF145),AF145,IF(ISNUMBER('Sites'!U7),'Sites'!U7/12,""))</f>
        <v/>
      </c>
      <c r="AG117" s="137">
        <f>IF(ISNUMBER(AG145),AG145,IF(ISNUMBER('Sites'!U7),'Sites'!U7/12,""))</f>
        <v/>
      </c>
      <c r="AH117" s="137">
        <f>IF(ISNUMBER(AH145),AH145,IF(ISNUMBER('Sites'!U7),'Sites'!U7/12,""))</f>
        <v/>
      </c>
      <c r="AI117" s="137">
        <f>IF(ISNUMBER(AI145),AI145,IF(ISNUMBER('Sites'!U7),'Sites'!U7/12,""))</f>
        <v/>
      </c>
      <c r="AJ117" s="137">
        <f>IF(ISNUMBER(AJ145),AJ145,IF(ISNUMBER('Sites'!U7),'Sites'!U7/12,""))</f>
        <v/>
      </c>
      <c r="AK117" s="137">
        <f>IF(ISNUMBER(AK145),AK145,IF(ISNUMBER('Sites'!U7),'Sites'!U7/12,""))</f>
        <v/>
      </c>
      <c r="AL117" s="137">
        <f>IF(ISNUMBER(AL145),AL145,IF(ISNUMBER('Sites'!U7),'Sites'!U7/12,""))</f>
        <v/>
      </c>
      <c r="AM117" s="137">
        <f>IF(ISNUMBER(AM145),AM145,IF(ISNUMBER('Sites'!U7),'Sites'!U7/12,""))</f>
        <v/>
      </c>
    </row>
    <row r="118" ht="30" customHeight="1">
      <c r="A118" s="4" t="inlineStr">
        <is>
          <t>New 1 trainer</t>
        </is>
      </c>
      <c r="B118" s="4" t="n"/>
      <c r="C118" s="4" t="n"/>
      <c r="D118" s="137">
        <f>IF(ISNUMBER(D146),D146,IF(ISNUMBER('Sites'!V7),'Sites'!V7/12,""))</f>
        <v/>
      </c>
      <c r="E118" s="137">
        <f>IF(ISNUMBER(E146),E146,IF(ISNUMBER('Sites'!V7),'Sites'!V7/12,""))</f>
        <v/>
      </c>
      <c r="F118" s="137">
        <f>IF(ISNUMBER(F146),F146,IF(ISNUMBER('Sites'!V7),'Sites'!V7/12,""))</f>
        <v/>
      </c>
      <c r="G118" s="137">
        <f>IF(ISNUMBER(G146),G146,IF(ISNUMBER('Sites'!V7),'Sites'!V7/12,""))</f>
        <v/>
      </c>
      <c r="H118" s="137">
        <f>IF(ISNUMBER(H146),H146,IF(ISNUMBER('Sites'!V7),'Sites'!V7/12,""))</f>
        <v/>
      </c>
      <c r="I118" s="137">
        <f>IF(ISNUMBER(I146),I146,IF(ISNUMBER('Sites'!V7),'Sites'!V7/12,""))</f>
        <v/>
      </c>
      <c r="J118" s="137">
        <f>IF(ISNUMBER(J146),J146,IF(ISNUMBER('Sites'!V7),'Sites'!V7/12,""))</f>
        <v/>
      </c>
      <c r="K118" s="137">
        <f>IF(ISNUMBER(K146),K146,IF(ISNUMBER('Sites'!V7),'Sites'!V7/12,""))</f>
        <v/>
      </c>
      <c r="L118" s="137">
        <f>IF(ISNUMBER(L146),L146,IF(ISNUMBER('Sites'!V7),'Sites'!V7/12,""))</f>
        <v/>
      </c>
      <c r="M118" s="137">
        <f>IF(ISNUMBER(M146),M146,IF(ISNUMBER('Sites'!V7),'Sites'!V7/12,""))</f>
        <v/>
      </c>
      <c r="N118" s="137">
        <f>IF(ISNUMBER(N146),N146,IF(ISNUMBER('Sites'!V7),'Sites'!V7/12,""))</f>
        <v/>
      </c>
      <c r="O118" s="137">
        <f>IF(ISNUMBER(O146),O146,IF(ISNUMBER('Sites'!V7),'Sites'!V7/12,""))</f>
        <v/>
      </c>
      <c r="P118" s="137">
        <f>IF(ISNUMBER(P146),P146,IF(ISNUMBER('Sites'!V7),'Sites'!V7/12,""))</f>
        <v/>
      </c>
      <c r="Q118" s="137">
        <f>IF(ISNUMBER(Q146),Q146,IF(ISNUMBER('Sites'!V7),'Sites'!V7/12,""))</f>
        <v/>
      </c>
      <c r="R118" s="137">
        <f>IF(ISNUMBER(R146),R146,IF(ISNUMBER('Sites'!V7),'Sites'!V7/12,""))</f>
        <v/>
      </c>
      <c r="S118" s="137">
        <f>IF(ISNUMBER(S146),S146,IF(ISNUMBER('Sites'!V7),'Sites'!V7/12,""))</f>
        <v/>
      </c>
      <c r="T118" s="137">
        <f>IF(ISNUMBER(T146),T146,IF(ISNUMBER('Sites'!V7),'Sites'!V7/12,""))</f>
        <v/>
      </c>
      <c r="U118" s="137">
        <f>IF(ISNUMBER(U146),U146,IF(ISNUMBER('Sites'!V7),'Sites'!V7/12,""))</f>
        <v/>
      </c>
      <c r="V118" s="137">
        <f>IF(ISNUMBER(V146),V146,IF(ISNUMBER('Sites'!V7),'Sites'!V7/12,""))</f>
        <v/>
      </c>
      <c r="W118" s="137">
        <f>IF(ISNUMBER(W146),W146,IF(ISNUMBER('Sites'!V7),'Sites'!V7/12,""))</f>
        <v/>
      </c>
      <c r="X118" s="137">
        <f>IF(ISNUMBER(X146),X146,IF(ISNUMBER('Sites'!V7),'Sites'!V7/12,""))</f>
        <v/>
      </c>
      <c r="Y118" s="137">
        <f>IF(ISNUMBER(Y146),Y146,IF(ISNUMBER('Sites'!V7),'Sites'!V7/12,""))</f>
        <v/>
      </c>
      <c r="Z118" s="137">
        <f>IF(ISNUMBER(Z146),Z146,IF(ISNUMBER('Sites'!V7),'Sites'!V7/12,""))</f>
        <v/>
      </c>
      <c r="AA118" s="137">
        <f>IF(ISNUMBER(AA146),AA146,IF(ISNUMBER('Sites'!V7),'Sites'!V7/12,""))</f>
        <v/>
      </c>
      <c r="AB118" s="137">
        <f>IF(ISNUMBER(AB146),AB146,IF(ISNUMBER('Sites'!V7),'Sites'!V7/12,""))</f>
        <v/>
      </c>
      <c r="AC118" s="137">
        <f>IF(ISNUMBER(AC146),AC146,IF(ISNUMBER('Sites'!V7),'Sites'!V7/12,""))</f>
        <v/>
      </c>
      <c r="AD118" s="137">
        <f>IF(ISNUMBER(AD146),AD146,IF(ISNUMBER('Sites'!V7),'Sites'!V7/12,""))</f>
        <v/>
      </c>
      <c r="AE118" s="137">
        <f>IF(ISNUMBER(AE146),AE146,IF(ISNUMBER('Sites'!V7),'Sites'!V7/12,""))</f>
        <v/>
      </c>
      <c r="AF118" s="137">
        <f>IF(ISNUMBER(AF146),AF146,IF(ISNUMBER('Sites'!V7),'Sites'!V7/12,""))</f>
        <v/>
      </c>
      <c r="AG118" s="137">
        <f>IF(ISNUMBER(AG146),AG146,IF(ISNUMBER('Sites'!V7),'Sites'!V7/12,""))</f>
        <v/>
      </c>
      <c r="AH118" s="137">
        <f>IF(ISNUMBER(AH146),AH146,IF(ISNUMBER('Sites'!V7),'Sites'!V7/12,""))</f>
        <v/>
      </c>
      <c r="AI118" s="137">
        <f>IF(ISNUMBER(AI146),AI146,IF(ISNUMBER('Sites'!V7),'Sites'!V7/12,""))</f>
        <v/>
      </c>
      <c r="AJ118" s="137">
        <f>IF(ISNUMBER(AJ146),AJ146,IF(ISNUMBER('Sites'!V7),'Sites'!V7/12,""))</f>
        <v/>
      </c>
      <c r="AK118" s="137">
        <f>IF(ISNUMBER(AK146),AK146,IF(ISNUMBER('Sites'!V7),'Sites'!V7/12,""))</f>
        <v/>
      </c>
      <c r="AL118" s="137">
        <f>IF(ISNUMBER(AL146),AL146,IF(ISNUMBER('Sites'!V7),'Sites'!V7/12,""))</f>
        <v/>
      </c>
      <c r="AM118" s="137">
        <f>IF(ISNUMBER(AM146),AM146,IF(ISNUMBER('Sites'!V7),'Sites'!V7/12,""))</f>
        <v/>
      </c>
    </row>
    <row r="119" ht="30" customHeight="1">
      <c r="A119" s="4" t="inlineStr">
        <is>
          <t>New 1 rent</t>
        </is>
      </c>
      <c r="B119" s="4" t="n"/>
      <c r="C119" s="4" t="n"/>
      <c r="D119" s="137">
        <f>IF(ISNUMBER(D147),D147,IF(ISNUMBER('Sites'!W7),'Sites'!W7/12,""))</f>
        <v/>
      </c>
      <c r="E119" s="137">
        <f>IF(ISNUMBER(E147),E147,IF(ISNUMBER('Sites'!W7),'Sites'!W7/12,""))</f>
        <v/>
      </c>
      <c r="F119" s="137">
        <f>IF(ISNUMBER(F147),F147,IF(ISNUMBER('Sites'!W7),'Sites'!W7/12,""))</f>
        <v/>
      </c>
      <c r="G119" s="137">
        <f>IF(ISNUMBER(G147),G147,IF(ISNUMBER('Sites'!W7),'Sites'!W7/12,""))</f>
        <v/>
      </c>
      <c r="H119" s="137">
        <f>IF(ISNUMBER(H147),H147,IF(ISNUMBER('Sites'!W7),'Sites'!W7/12,""))</f>
        <v/>
      </c>
      <c r="I119" s="137">
        <f>IF(ISNUMBER(I147),I147,IF(ISNUMBER('Sites'!W7),'Sites'!W7/12,""))</f>
        <v/>
      </c>
      <c r="J119" s="137">
        <f>IF(ISNUMBER(J147),J147,IF(ISNUMBER('Sites'!W7),'Sites'!W7/12,""))</f>
        <v/>
      </c>
      <c r="K119" s="137">
        <f>IF(ISNUMBER(K147),K147,IF(ISNUMBER('Sites'!W7),'Sites'!W7/12,""))</f>
        <v/>
      </c>
      <c r="L119" s="137">
        <f>IF(ISNUMBER(L147),L147,IF(ISNUMBER('Sites'!W7),'Sites'!W7/12,""))</f>
        <v/>
      </c>
      <c r="M119" s="137">
        <f>IF(ISNUMBER(M147),M147,IF(ISNUMBER('Sites'!W7),'Sites'!W7/12,""))</f>
        <v/>
      </c>
      <c r="N119" s="137">
        <f>IF(ISNUMBER(N147),N147,IF(ISNUMBER('Sites'!W7),'Sites'!W7/12,""))</f>
        <v/>
      </c>
      <c r="O119" s="137">
        <f>IF(ISNUMBER(O147),O147,IF(ISNUMBER('Sites'!W7),'Sites'!W7/12,""))</f>
        <v/>
      </c>
      <c r="P119" s="137">
        <f>IF(ISNUMBER(P147),P147,IF(ISNUMBER('Sites'!W7),'Sites'!W7/12,""))</f>
        <v/>
      </c>
      <c r="Q119" s="137">
        <f>IF(ISNUMBER(Q147),Q147,IF(ISNUMBER('Sites'!W7),'Sites'!W7/12,""))</f>
        <v/>
      </c>
      <c r="R119" s="137">
        <f>IF(ISNUMBER(R147),R147,IF(ISNUMBER('Sites'!W7),'Sites'!W7/12,""))</f>
        <v/>
      </c>
      <c r="S119" s="137">
        <f>IF(ISNUMBER(S147),S147,IF(ISNUMBER('Sites'!W7),'Sites'!W7/12,""))</f>
        <v/>
      </c>
      <c r="T119" s="137">
        <f>IF(ISNUMBER(T147),T147,IF(ISNUMBER('Sites'!W7),'Sites'!W7/12,""))</f>
        <v/>
      </c>
      <c r="U119" s="137">
        <f>IF(ISNUMBER(U147),U147,IF(ISNUMBER('Sites'!W7),'Sites'!W7/12,""))</f>
        <v/>
      </c>
      <c r="V119" s="137">
        <f>IF(ISNUMBER(V147),V147,IF(ISNUMBER('Sites'!W7),'Sites'!W7/12,""))</f>
        <v/>
      </c>
      <c r="W119" s="137">
        <f>IF(ISNUMBER(W147),W147,IF(ISNUMBER('Sites'!W7),'Sites'!W7/12,""))</f>
        <v/>
      </c>
      <c r="X119" s="137">
        <f>IF(ISNUMBER(X147),X147,IF(ISNUMBER('Sites'!W7),'Sites'!W7/12,""))</f>
        <v/>
      </c>
      <c r="Y119" s="137">
        <f>IF(ISNUMBER(Y147),Y147,IF(ISNUMBER('Sites'!W7),'Sites'!W7/12,""))</f>
        <v/>
      </c>
      <c r="Z119" s="137">
        <f>IF(ISNUMBER(Z147),Z147,IF(ISNUMBER('Sites'!W7),'Sites'!W7/12,""))</f>
        <v/>
      </c>
      <c r="AA119" s="137">
        <f>IF(ISNUMBER(AA147),AA147,IF(ISNUMBER('Sites'!W7),'Sites'!W7/12,""))</f>
        <v/>
      </c>
      <c r="AB119" s="137">
        <f>IF(ISNUMBER(AB147),AB147,IF(ISNUMBER('Sites'!W7),'Sites'!W7/12,""))</f>
        <v/>
      </c>
      <c r="AC119" s="137">
        <f>IF(ISNUMBER(AC147),AC147,IF(ISNUMBER('Sites'!W7),'Sites'!W7/12,""))</f>
        <v/>
      </c>
      <c r="AD119" s="137">
        <f>IF(ISNUMBER(AD147),AD147,IF(ISNUMBER('Sites'!W7),'Sites'!W7/12,""))</f>
        <v/>
      </c>
      <c r="AE119" s="137">
        <f>IF(ISNUMBER(AE147),AE147,IF(ISNUMBER('Sites'!W7),'Sites'!W7/12,""))</f>
        <v/>
      </c>
      <c r="AF119" s="137">
        <f>IF(ISNUMBER(AF147),AF147,IF(ISNUMBER('Sites'!W7),'Sites'!W7/12,""))</f>
        <v/>
      </c>
      <c r="AG119" s="137">
        <f>IF(ISNUMBER(AG147),AG147,IF(ISNUMBER('Sites'!W7),'Sites'!W7/12,""))</f>
        <v/>
      </c>
      <c r="AH119" s="137">
        <f>IF(ISNUMBER(AH147),AH147,IF(ISNUMBER('Sites'!W7),'Sites'!W7/12,""))</f>
        <v/>
      </c>
      <c r="AI119" s="137">
        <f>IF(ISNUMBER(AI147),AI147,IF(ISNUMBER('Sites'!W7),'Sites'!W7/12,""))</f>
        <v/>
      </c>
      <c r="AJ119" s="137">
        <f>IF(ISNUMBER(AJ147),AJ147,IF(ISNUMBER('Sites'!W7),'Sites'!W7/12,""))</f>
        <v/>
      </c>
      <c r="AK119" s="137">
        <f>IF(ISNUMBER(AK147),AK147,IF(ISNUMBER('Sites'!W7),'Sites'!W7/12,""))</f>
        <v/>
      </c>
      <c r="AL119" s="137">
        <f>IF(ISNUMBER(AL147),AL147,IF(ISNUMBER('Sites'!W7),'Sites'!W7/12,""))</f>
        <v/>
      </c>
      <c r="AM119" s="137">
        <f>IF(ISNUMBER(AM147),AM147,IF(ISNUMBER('Sites'!W7),'Sites'!W7/12,""))</f>
        <v/>
      </c>
    </row>
    <row r="120" ht="30" customHeight="1">
      <c r="A120" s="4" t="inlineStr">
        <is>
          <t>New 1 insurance</t>
        </is>
      </c>
      <c r="B120" s="4" t="n"/>
      <c r="C120" s="4" t="n"/>
      <c r="D120" s="137">
        <f>IF(ISNUMBER(D148),D148,IF(ISNUMBER('Sites'!X7),'Sites'!X7/12,""))</f>
        <v/>
      </c>
      <c r="E120" s="137">
        <f>IF(ISNUMBER(E148),E148,IF(ISNUMBER('Sites'!X7),'Sites'!X7/12,""))</f>
        <v/>
      </c>
      <c r="F120" s="137">
        <f>IF(ISNUMBER(F148),F148,IF(ISNUMBER('Sites'!X7),'Sites'!X7/12,""))</f>
        <v/>
      </c>
      <c r="G120" s="137">
        <f>IF(ISNUMBER(G148),G148,IF(ISNUMBER('Sites'!X7),'Sites'!X7/12,""))</f>
        <v/>
      </c>
      <c r="H120" s="137">
        <f>IF(ISNUMBER(H148),H148,IF(ISNUMBER('Sites'!X7),'Sites'!X7/12,""))</f>
        <v/>
      </c>
      <c r="I120" s="137">
        <f>IF(ISNUMBER(I148),I148,IF(ISNUMBER('Sites'!X7),'Sites'!X7/12,""))</f>
        <v/>
      </c>
      <c r="J120" s="137">
        <f>IF(ISNUMBER(J148),J148,IF(ISNUMBER('Sites'!X7),'Sites'!X7/12,""))</f>
        <v/>
      </c>
      <c r="K120" s="137">
        <f>IF(ISNUMBER(K148),K148,IF(ISNUMBER('Sites'!X7),'Sites'!X7/12,""))</f>
        <v/>
      </c>
      <c r="L120" s="137">
        <f>IF(ISNUMBER(L148),L148,IF(ISNUMBER('Sites'!X7),'Sites'!X7/12,""))</f>
        <v/>
      </c>
      <c r="M120" s="137">
        <f>IF(ISNUMBER(M148),M148,IF(ISNUMBER('Sites'!X7),'Sites'!X7/12,""))</f>
        <v/>
      </c>
      <c r="N120" s="137">
        <f>IF(ISNUMBER(N148),N148,IF(ISNUMBER('Sites'!X7),'Sites'!X7/12,""))</f>
        <v/>
      </c>
      <c r="O120" s="137">
        <f>IF(ISNUMBER(O148),O148,IF(ISNUMBER('Sites'!X7),'Sites'!X7/12,""))</f>
        <v/>
      </c>
      <c r="P120" s="137">
        <f>IF(ISNUMBER(P148),P148,IF(ISNUMBER('Sites'!X7),'Sites'!X7/12,""))</f>
        <v/>
      </c>
      <c r="Q120" s="137">
        <f>IF(ISNUMBER(Q148),Q148,IF(ISNUMBER('Sites'!X7),'Sites'!X7/12,""))</f>
        <v/>
      </c>
      <c r="R120" s="137">
        <f>IF(ISNUMBER(R148),R148,IF(ISNUMBER('Sites'!X7),'Sites'!X7/12,""))</f>
        <v/>
      </c>
      <c r="S120" s="137">
        <f>IF(ISNUMBER(S148),S148,IF(ISNUMBER('Sites'!X7),'Sites'!X7/12,""))</f>
        <v/>
      </c>
      <c r="T120" s="137">
        <f>IF(ISNUMBER(T148),T148,IF(ISNUMBER('Sites'!X7),'Sites'!X7/12,""))</f>
        <v/>
      </c>
      <c r="U120" s="137">
        <f>IF(ISNUMBER(U148),U148,IF(ISNUMBER('Sites'!X7),'Sites'!X7/12,""))</f>
        <v/>
      </c>
      <c r="V120" s="137">
        <f>IF(ISNUMBER(V148),V148,IF(ISNUMBER('Sites'!X7),'Sites'!X7/12,""))</f>
        <v/>
      </c>
      <c r="W120" s="137">
        <f>IF(ISNUMBER(W148),W148,IF(ISNUMBER('Sites'!X7),'Sites'!X7/12,""))</f>
        <v/>
      </c>
      <c r="X120" s="137">
        <f>IF(ISNUMBER(X148),X148,IF(ISNUMBER('Sites'!X7),'Sites'!X7/12,""))</f>
        <v/>
      </c>
      <c r="Y120" s="137">
        <f>IF(ISNUMBER(Y148),Y148,IF(ISNUMBER('Sites'!X7),'Sites'!X7/12,""))</f>
        <v/>
      </c>
      <c r="Z120" s="137">
        <f>IF(ISNUMBER(Z148),Z148,IF(ISNUMBER('Sites'!X7),'Sites'!X7/12,""))</f>
        <v/>
      </c>
      <c r="AA120" s="137">
        <f>IF(ISNUMBER(AA148),AA148,IF(ISNUMBER('Sites'!X7),'Sites'!X7/12,""))</f>
        <v/>
      </c>
      <c r="AB120" s="137">
        <f>IF(ISNUMBER(AB148),AB148,IF(ISNUMBER('Sites'!X7),'Sites'!X7/12,""))</f>
        <v/>
      </c>
      <c r="AC120" s="137">
        <f>IF(ISNUMBER(AC148),AC148,IF(ISNUMBER('Sites'!X7),'Sites'!X7/12,""))</f>
        <v/>
      </c>
      <c r="AD120" s="137">
        <f>IF(ISNUMBER(AD148),AD148,IF(ISNUMBER('Sites'!X7),'Sites'!X7/12,""))</f>
        <v/>
      </c>
      <c r="AE120" s="137">
        <f>IF(ISNUMBER(AE148),AE148,IF(ISNUMBER('Sites'!X7),'Sites'!X7/12,""))</f>
        <v/>
      </c>
      <c r="AF120" s="137">
        <f>IF(ISNUMBER(AF148),AF148,IF(ISNUMBER('Sites'!X7),'Sites'!X7/12,""))</f>
        <v/>
      </c>
      <c r="AG120" s="137">
        <f>IF(ISNUMBER(AG148),AG148,IF(ISNUMBER('Sites'!X7),'Sites'!X7/12,""))</f>
        <v/>
      </c>
      <c r="AH120" s="137">
        <f>IF(ISNUMBER(AH148),AH148,IF(ISNUMBER('Sites'!X7),'Sites'!X7/12,""))</f>
        <v/>
      </c>
      <c r="AI120" s="137">
        <f>IF(ISNUMBER(AI148),AI148,IF(ISNUMBER('Sites'!X7),'Sites'!X7/12,""))</f>
        <v/>
      </c>
      <c r="AJ120" s="137">
        <f>IF(ISNUMBER(AJ148),AJ148,IF(ISNUMBER('Sites'!X7),'Sites'!X7/12,""))</f>
        <v/>
      </c>
      <c r="AK120" s="137">
        <f>IF(ISNUMBER(AK148),AK148,IF(ISNUMBER('Sites'!X7),'Sites'!X7/12,""))</f>
        <v/>
      </c>
      <c r="AL120" s="137">
        <f>IF(ISNUMBER(AL148),AL148,IF(ISNUMBER('Sites'!X7),'Sites'!X7/12,""))</f>
        <v/>
      </c>
      <c r="AM120" s="137">
        <f>IF(ISNUMBER(AM148),AM148,IF(ISNUMBER('Sites'!X7),'Sites'!X7/12,""))</f>
        <v/>
      </c>
    </row>
    <row r="121" ht="30" customHeight="1">
      <c r="A121" s="4" t="inlineStr">
        <is>
          <t>New 1 maintenance</t>
        </is>
      </c>
      <c r="B121" s="4" t="n"/>
      <c r="C121" s="4" t="n"/>
      <c r="D121" s="137">
        <f>IF(ISNUMBER(D149),D149,IF(ISNUMBER('Sites'!Y7),'Sites'!Y7/12,""))</f>
        <v/>
      </c>
      <c r="E121" s="137">
        <f>IF(ISNUMBER(E149),E149,IF(ISNUMBER('Sites'!Y7),'Sites'!Y7/12,""))</f>
        <v/>
      </c>
      <c r="F121" s="137">
        <f>IF(ISNUMBER(F149),F149,IF(ISNUMBER('Sites'!Y7),'Sites'!Y7/12,""))</f>
        <v/>
      </c>
      <c r="G121" s="137">
        <f>IF(ISNUMBER(G149),G149,IF(ISNUMBER('Sites'!Y7),'Sites'!Y7/12,""))</f>
        <v/>
      </c>
      <c r="H121" s="137">
        <f>IF(ISNUMBER(H149),H149,IF(ISNUMBER('Sites'!Y7),'Sites'!Y7/12,""))</f>
        <v/>
      </c>
      <c r="I121" s="137">
        <f>IF(ISNUMBER(I149),I149,IF(ISNUMBER('Sites'!Y7),'Sites'!Y7/12,""))</f>
        <v/>
      </c>
      <c r="J121" s="137">
        <f>IF(ISNUMBER(J149),J149,IF(ISNUMBER('Sites'!Y7),'Sites'!Y7/12,""))</f>
        <v/>
      </c>
      <c r="K121" s="137">
        <f>IF(ISNUMBER(K149),K149,IF(ISNUMBER('Sites'!Y7),'Sites'!Y7/12,""))</f>
        <v/>
      </c>
      <c r="L121" s="137">
        <f>IF(ISNUMBER(L149),L149,IF(ISNUMBER('Sites'!Y7),'Sites'!Y7/12,""))</f>
        <v/>
      </c>
      <c r="M121" s="137">
        <f>IF(ISNUMBER(M149),M149,IF(ISNUMBER('Sites'!Y7),'Sites'!Y7/12,""))</f>
        <v/>
      </c>
      <c r="N121" s="137">
        <f>IF(ISNUMBER(N149),N149,IF(ISNUMBER('Sites'!Y7),'Sites'!Y7/12,""))</f>
        <v/>
      </c>
      <c r="O121" s="137">
        <f>IF(ISNUMBER(O149),O149,IF(ISNUMBER('Sites'!Y7),'Sites'!Y7/12,""))</f>
        <v/>
      </c>
      <c r="P121" s="137">
        <f>IF(ISNUMBER(P149),P149,IF(ISNUMBER('Sites'!Y7),'Sites'!Y7/12,""))</f>
        <v/>
      </c>
      <c r="Q121" s="137">
        <f>IF(ISNUMBER(Q149),Q149,IF(ISNUMBER('Sites'!Y7),'Sites'!Y7/12,""))</f>
        <v/>
      </c>
      <c r="R121" s="137">
        <f>IF(ISNUMBER(R149),R149,IF(ISNUMBER('Sites'!Y7),'Sites'!Y7/12,""))</f>
        <v/>
      </c>
      <c r="S121" s="137">
        <f>IF(ISNUMBER(S149),S149,IF(ISNUMBER('Sites'!Y7),'Sites'!Y7/12,""))</f>
        <v/>
      </c>
      <c r="T121" s="137">
        <f>IF(ISNUMBER(T149),T149,IF(ISNUMBER('Sites'!Y7),'Sites'!Y7/12,""))</f>
        <v/>
      </c>
      <c r="U121" s="137">
        <f>IF(ISNUMBER(U149),U149,IF(ISNUMBER('Sites'!Y7),'Sites'!Y7/12,""))</f>
        <v/>
      </c>
      <c r="V121" s="137">
        <f>IF(ISNUMBER(V149),V149,IF(ISNUMBER('Sites'!Y7),'Sites'!Y7/12,""))</f>
        <v/>
      </c>
      <c r="W121" s="137">
        <f>IF(ISNUMBER(W149),W149,IF(ISNUMBER('Sites'!Y7),'Sites'!Y7/12,""))</f>
        <v/>
      </c>
      <c r="X121" s="137">
        <f>IF(ISNUMBER(X149),X149,IF(ISNUMBER('Sites'!Y7),'Sites'!Y7/12,""))</f>
        <v/>
      </c>
      <c r="Y121" s="137">
        <f>IF(ISNUMBER(Y149),Y149,IF(ISNUMBER('Sites'!Y7),'Sites'!Y7/12,""))</f>
        <v/>
      </c>
      <c r="Z121" s="137">
        <f>IF(ISNUMBER(Z149),Z149,IF(ISNUMBER('Sites'!Y7),'Sites'!Y7/12,""))</f>
        <v/>
      </c>
      <c r="AA121" s="137">
        <f>IF(ISNUMBER(AA149),AA149,IF(ISNUMBER('Sites'!Y7),'Sites'!Y7/12,""))</f>
        <v/>
      </c>
      <c r="AB121" s="137">
        <f>IF(ISNUMBER(AB149),AB149,IF(ISNUMBER('Sites'!Y7),'Sites'!Y7/12,""))</f>
        <v/>
      </c>
      <c r="AC121" s="137">
        <f>IF(ISNUMBER(AC149),AC149,IF(ISNUMBER('Sites'!Y7),'Sites'!Y7/12,""))</f>
        <v/>
      </c>
      <c r="AD121" s="137">
        <f>IF(ISNUMBER(AD149),AD149,IF(ISNUMBER('Sites'!Y7),'Sites'!Y7/12,""))</f>
        <v/>
      </c>
      <c r="AE121" s="137">
        <f>IF(ISNUMBER(AE149),AE149,IF(ISNUMBER('Sites'!Y7),'Sites'!Y7/12,""))</f>
        <v/>
      </c>
      <c r="AF121" s="137">
        <f>IF(ISNUMBER(AF149),AF149,IF(ISNUMBER('Sites'!Y7),'Sites'!Y7/12,""))</f>
        <v/>
      </c>
      <c r="AG121" s="137">
        <f>IF(ISNUMBER(AG149),AG149,IF(ISNUMBER('Sites'!Y7),'Sites'!Y7/12,""))</f>
        <v/>
      </c>
      <c r="AH121" s="137">
        <f>IF(ISNUMBER(AH149),AH149,IF(ISNUMBER('Sites'!Y7),'Sites'!Y7/12,""))</f>
        <v/>
      </c>
      <c r="AI121" s="137">
        <f>IF(ISNUMBER(AI149),AI149,IF(ISNUMBER('Sites'!Y7),'Sites'!Y7/12,""))</f>
        <v/>
      </c>
      <c r="AJ121" s="137">
        <f>IF(ISNUMBER(AJ149),AJ149,IF(ISNUMBER('Sites'!Y7),'Sites'!Y7/12,""))</f>
        <v/>
      </c>
      <c r="AK121" s="137">
        <f>IF(ISNUMBER(AK149),AK149,IF(ISNUMBER('Sites'!Y7),'Sites'!Y7/12,""))</f>
        <v/>
      </c>
      <c r="AL121" s="137">
        <f>IF(ISNUMBER(AL149),AL149,IF(ISNUMBER('Sites'!Y7),'Sites'!Y7/12,""))</f>
        <v/>
      </c>
      <c r="AM121" s="137">
        <f>IF(ISNUMBER(AM149),AM149,IF(ISNUMBER('Sites'!Y7),'Sites'!Y7/12,""))</f>
        <v/>
      </c>
    </row>
    <row r="122" ht="30" customHeight="1">
      <c r="A122" s="4" t="inlineStr">
        <is>
          <t>New 2 coordinator</t>
        </is>
      </c>
      <c r="B122" s="4" t="n"/>
      <c r="C122" s="4" t="n"/>
      <c r="D122" s="137">
        <f>IF(ISNUMBER(D150),D150,IF(ISNUMBER('Sites'!U8),'Sites'!U8/12,""))</f>
        <v/>
      </c>
      <c r="E122" s="137">
        <f>IF(ISNUMBER(E150),E150,IF(ISNUMBER('Sites'!U8),'Sites'!U8/12,""))</f>
        <v/>
      </c>
      <c r="F122" s="137">
        <f>IF(ISNUMBER(F150),F150,IF(ISNUMBER('Sites'!U8),'Sites'!U8/12,""))</f>
        <v/>
      </c>
      <c r="G122" s="137">
        <f>IF(ISNUMBER(G150),G150,IF(ISNUMBER('Sites'!U8),'Sites'!U8/12,""))</f>
        <v/>
      </c>
      <c r="H122" s="137">
        <f>IF(ISNUMBER(H150),H150,IF(ISNUMBER('Sites'!U8),'Sites'!U8/12,""))</f>
        <v/>
      </c>
      <c r="I122" s="137">
        <f>IF(ISNUMBER(I150),I150,IF(ISNUMBER('Sites'!U8),'Sites'!U8/12,""))</f>
        <v/>
      </c>
      <c r="J122" s="137">
        <f>IF(ISNUMBER(J150),J150,IF(ISNUMBER('Sites'!U8),'Sites'!U8/12,""))</f>
        <v/>
      </c>
      <c r="K122" s="137">
        <f>IF(ISNUMBER(K150),K150,IF(ISNUMBER('Sites'!U8),'Sites'!U8/12,""))</f>
        <v/>
      </c>
      <c r="L122" s="137">
        <f>IF(ISNUMBER(L150),L150,IF(ISNUMBER('Sites'!U8),'Sites'!U8/12,""))</f>
        <v/>
      </c>
      <c r="M122" s="137">
        <f>IF(ISNUMBER(M150),M150,IF(ISNUMBER('Sites'!U8),'Sites'!U8/12,""))</f>
        <v/>
      </c>
      <c r="N122" s="137">
        <f>IF(ISNUMBER(N150),N150,IF(ISNUMBER('Sites'!U8),'Sites'!U8/12,""))</f>
        <v/>
      </c>
      <c r="O122" s="137">
        <f>IF(ISNUMBER(O150),O150,IF(ISNUMBER('Sites'!U8),'Sites'!U8/12,""))</f>
        <v/>
      </c>
      <c r="P122" s="137">
        <f>IF(ISNUMBER(P150),P150,IF(ISNUMBER('Sites'!U8),'Sites'!U8/12,""))</f>
        <v/>
      </c>
      <c r="Q122" s="137">
        <f>IF(ISNUMBER(Q150),Q150,IF(ISNUMBER('Sites'!U8),'Sites'!U8/12,""))</f>
        <v/>
      </c>
      <c r="R122" s="137">
        <f>IF(ISNUMBER(R150),R150,IF(ISNUMBER('Sites'!U8),'Sites'!U8/12,""))</f>
        <v/>
      </c>
      <c r="S122" s="137">
        <f>IF(ISNUMBER(S150),S150,IF(ISNUMBER('Sites'!U8),'Sites'!U8/12,""))</f>
        <v/>
      </c>
      <c r="T122" s="137">
        <f>IF(ISNUMBER(T150),T150,IF(ISNUMBER('Sites'!U8),'Sites'!U8/12,""))</f>
        <v/>
      </c>
      <c r="U122" s="137">
        <f>IF(ISNUMBER(U150),U150,IF(ISNUMBER('Sites'!U8),'Sites'!U8/12,""))</f>
        <v/>
      </c>
      <c r="V122" s="137">
        <f>IF(ISNUMBER(V150),V150,IF(ISNUMBER('Sites'!U8),'Sites'!U8/12,""))</f>
        <v/>
      </c>
      <c r="W122" s="137">
        <f>IF(ISNUMBER(W150),W150,IF(ISNUMBER('Sites'!U8),'Sites'!U8/12,""))</f>
        <v/>
      </c>
      <c r="X122" s="137">
        <f>IF(ISNUMBER(X150),X150,IF(ISNUMBER('Sites'!U8),'Sites'!U8/12,""))</f>
        <v/>
      </c>
      <c r="Y122" s="137">
        <f>IF(ISNUMBER(Y150),Y150,IF(ISNUMBER('Sites'!U8),'Sites'!U8/12,""))</f>
        <v/>
      </c>
      <c r="Z122" s="137">
        <f>IF(ISNUMBER(Z150),Z150,IF(ISNUMBER('Sites'!U8),'Sites'!U8/12,""))</f>
        <v/>
      </c>
      <c r="AA122" s="137">
        <f>IF(ISNUMBER(AA150),AA150,IF(ISNUMBER('Sites'!U8),'Sites'!U8/12,""))</f>
        <v/>
      </c>
      <c r="AB122" s="137">
        <f>IF(ISNUMBER(AB150),AB150,IF(ISNUMBER('Sites'!U8),'Sites'!U8/12,""))</f>
        <v/>
      </c>
      <c r="AC122" s="137">
        <f>IF(ISNUMBER(AC150),AC150,IF(ISNUMBER('Sites'!U8),'Sites'!U8/12,""))</f>
        <v/>
      </c>
      <c r="AD122" s="137">
        <f>IF(ISNUMBER(AD150),AD150,IF(ISNUMBER('Sites'!U8),'Sites'!U8/12,""))</f>
        <v/>
      </c>
      <c r="AE122" s="137">
        <f>IF(ISNUMBER(AE150),AE150,IF(ISNUMBER('Sites'!U8),'Sites'!U8/12,""))</f>
        <v/>
      </c>
      <c r="AF122" s="137">
        <f>IF(ISNUMBER(AF150),AF150,IF(ISNUMBER('Sites'!U8),'Sites'!U8/12,""))</f>
        <v/>
      </c>
      <c r="AG122" s="137">
        <f>IF(ISNUMBER(AG150),AG150,IF(ISNUMBER('Sites'!U8),'Sites'!U8/12,""))</f>
        <v/>
      </c>
      <c r="AH122" s="137">
        <f>IF(ISNUMBER(AH150),AH150,IF(ISNUMBER('Sites'!U8),'Sites'!U8/12,""))</f>
        <v/>
      </c>
      <c r="AI122" s="137">
        <f>IF(ISNUMBER(AI150),AI150,IF(ISNUMBER('Sites'!U8),'Sites'!U8/12,""))</f>
        <v/>
      </c>
      <c r="AJ122" s="137">
        <f>IF(ISNUMBER(AJ150),AJ150,IF(ISNUMBER('Sites'!U8),'Sites'!U8/12,""))</f>
        <v/>
      </c>
      <c r="AK122" s="137">
        <f>IF(ISNUMBER(AK150),AK150,IF(ISNUMBER('Sites'!U8),'Sites'!U8/12,""))</f>
        <v/>
      </c>
      <c r="AL122" s="137">
        <f>IF(ISNUMBER(AL150),AL150,IF(ISNUMBER('Sites'!U8),'Sites'!U8/12,""))</f>
        <v/>
      </c>
      <c r="AM122" s="137">
        <f>IF(ISNUMBER(AM150),AM150,IF(ISNUMBER('Sites'!U8),'Sites'!U8/12,""))</f>
        <v/>
      </c>
    </row>
    <row r="123" ht="30" customHeight="1">
      <c r="A123" s="4" t="inlineStr">
        <is>
          <t>New 2 trainer</t>
        </is>
      </c>
      <c r="B123" s="4" t="n"/>
      <c r="C123" s="4" t="n"/>
      <c r="D123" s="137">
        <f>IF(ISNUMBER(D151),D151,IF(ISNUMBER('Sites'!V8),'Sites'!V8/12,""))</f>
        <v/>
      </c>
      <c r="E123" s="137">
        <f>IF(ISNUMBER(E151),E151,IF(ISNUMBER('Sites'!V8),'Sites'!V8/12,""))</f>
        <v/>
      </c>
      <c r="F123" s="137">
        <f>IF(ISNUMBER(F151),F151,IF(ISNUMBER('Sites'!V8),'Sites'!V8/12,""))</f>
        <v/>
      </c>
      <c r="G123" s="137">
        <f>IF(ISNUMBER(G151),G151,IF(ISNUMBER('Sites'!V8),'Sites'!V8/12,""))</f>
        <v/>
      </c>
      <c r="H123" s="137">
        <f>IF(ISNUMBER(H151),H151,IF(ISNUMBER('Sites'!V8),'Sites'!V8/12,""))</f>
        <v/>
      </c>
      <c r="I123" s="137">
        <f>IF(ISNUMBER(I151),I151,IF(ISNUMBER('Sites'!V8),'Sites'!V8/12,""))</f>
        <v/>
      </c>
      <c r="J123" s="137">
        <f>IF(ISNUMBER(J151),J151,IF(ISNUMBER('Sites'!V8),'Sites'!V8/12,""))</f>
        <v/>
      </c>
      <c r="K123" s="137">
        <f>IF(ISNUMBER(K151),K151,IF(ISNUMBER('Sites'!V8),'Sites'!V8/12,""))</f>
        <v/>
      </c>
      <c r="L123" s="137">
        <f>IF(ISNUMBER(L151),L151,IF(ISNUMBER('Sites'!V8),'Sites'!V8/12,""))</f>
        <v/>
      </c>
      <c r="M123" s="137">
        <f>IF(ISNUMBER(M151),M151,IF(ISNUMBER('Sites'!V8),'Sites'!V8/12,""))</f>
        <v/>
      </c>
      <c r="N123" s="137">
        <f>IF(ISNUMBER(N151),N151,IF(ISNUMBER('Sites'!V8),'Sites'!V8/12,""))</f>
        <v/>
      </c>
      <c r="O123" s="137">
        <f>IF(ISNUMBER(O151),O151,IF(ISNUMBER('Sites'!V8),'Sites'!V8/12,""))</f>
        <v/>
      </c>
      <c r="P123" s="137">
        <f>IF(ISNUMBER(P151),P151,IF(ISNUMBER('Sites'!V8),'Sites'!V8/12,""))</f>
        <v/>
      </c>
      <c r="Q123" s="137">
        <f>IF(ISNUMBER(Q151),Q151,IF(ISNUMBER('Sites'!V8),'Sites'!V8/12,""))</f>
        <v/>
      </c>
      <c r="R123" s="137">
        <f>IF(ISNUMBER(R151),R151,IF(ISNUMBER('Sites'!V8),'Sites'!V8/12,""))</f>
        <v/>
      </c>
      <c r="S123" s="137">
        <f>IF(ISNUMBER(S151),S151,IF(ISNUMBER('Sites'!V8),'Sites'!V8/12,""))</f>
        <v/>
      </c>
      <c r="T123" s="137">
        <f>IF(ISNUMBER(T151),T151,IF(ISNUMBER('Sites'!V8),'Sites'!V8/12,""))</f>
        <v/>
      </c>
      <c r="U123" s="137">
        <f>IF(ISNUMBER(U151),U151,IF(ISNUMBER('Sites'!V8),'Sites'!V8/12,""))</f>
        <v/>
      </c>
      <c r="V123" s="137">
        <f>IF(ISNUMBER(V151),V151,IF(ISNUMBER('Sites'!V8),'Sites'!V8/12,""))</f>
        <v/>
      </c>
      <c r="W123" s="137">
        <f>IF(ISNUMBER(W151),W151,IF(ISNUMBER('Sites'!V8),'Sites'!V8/12,""))</f>
        <v/>
      </c>
      <c r="X123" s="137">
        <f>IF(ISNUMBER(X151),X151,IF(ISNUMBER('Sites'!V8),'Sites'!V8/12,""))</f>
        <v/>
      </c>
      <c r="Y123" s="137">
        <f>IF(ISNUMBER(Y151),Y151,IF(ISNUMBER('Sites'!V8),'Sites'!V8/12,""))</f>
        <v/>
      </c>
      <c r="Z123" s="137">
        <f>IF(ISNUMBER(Z151),Z151,IF(ISNUMBER('Sites'!V8),'Sites'!V8/12,""))</f>
        <v/>
      </c>
      <c r="AA123" s="137">
        <f>IF(ISNUMBER(AA151),AA151,IF(ISNUMBER('Sites'!V8),'Sites'!V8/12,""))</f>
        <v/>
      </c>
      <c r="AB123" s="137">
        <f>IF(ISNUMBER(AB151),AB151,IF(ISNUMBER('Sites'!V8),'Sites'!V8/12,""))</f>
        <v/>
      </c>
      <c r="AC123" s="137">
        <f>IF(ISNUMBER(AC151),AC151,IF(ISNUMBER('Sites'!V8),'Sites'!V8/12,""))</f>
        <v/>
      </c>
      <c r="AD123" s="137">
        <f>IF(ISNUMBER(AD151),AD151,IF(ISNUMBER('Sites'!V8),'Sites'!V8/12,""))</f>
        <v/>
      </c>
      <c r="AE123" s="137">
        <f>IF(ISNUMBER(AE151),AE151,IF(ISNUMBER('Sites'!V8),'Sites'!V8/12,""))</f>
        <v/>
      </c>
      <c r="AF123" s="137">
        <f>IF(ISNUMBER(AF151),AF151,IF(ISNUMBER('Sites'!V8),'Sites'!V8/12,""))</f>
        <v/>
      </c>
      <c r="AG123" s="137">
        <f>IF(ISNUMBER(AG151),AG151,IF(ISNUMBER('Sites'!V8),'Sites'!V8/12,""))</f>
        <v/>
      </c>
      <c r="AH123" s="137">
        <f>IF(ISNUMBER(AH151),AH151,IF(ISNUMBER('Sites'!V8),'Sites'!V8/12,""))</f>
        <v/>
      </c>
      <c r="AI123" s="137">
        <f>IF(ISNUMBER(AI151),AI151,IF(ISNUMBER('Sites'!V8),'Sites'!V8/12,""))</f>
        <v/>
      </c>
      <c r="AJ123" s="137">
        <f>IF(ISNUMBER(AJ151),AJ151,IF(ISNUMBER('Sites'!V8),'Sites'!V8/12,""))</f>
        <v/>
      </c>
      <c r="AK123" s="137">
        <f>IF(ISNUMBER(AK151),AK151,IF(ISNUMBER('Sites'!V8),'Sites'!V8/12,""))</f>
        <v/>
      </c>
      <c r="AL123" s="137">
        <f>IF(ISNUMBER(AL151),AL151,IF(ISNUMBER('Sites'!V8),'Sites'!V8/12,""))</f>
        <v/>
      </c>
      <c r="AM123" s="137">
        <f>IF(ISNUMBER(AM151),AM151,IF(ISNUMBER('Sites'!V8),'Sites'!V8/12,""))</f>
        <v/>
      </c>
    </row>
    <row r="124" ht="30" customHeight="1">
      <c r="A124" s="4" t="inlineStr">
        <is>
          <t>New 2 rent</t>
        </is>
      </c>
      <c r="B124" s="4" t="n"/>
      <c r="C124" s="4" t="n"/>
      <c r="D124" s="137">
        <f>IF(ISNUMBER(D152),D152,IF(ISNUMBER('Sites'!W8),'Sites'!W8/12,""))</f>
        <v/>
      </c>
      <c r="E124" s="137">
        <f>IF(ISNUMBER(E152),E152,IF(ISNUMBER('Sites'!W8),'Sites'!W8/12,""))</f>
        <v/>
      </c>
      <c r="F124" s="137">
        <f>IF(ISNUMBER(F152),F152,IF(ISNUMBER('Sites'!W8),'Sites'!W8/12,""))</f>
        <v/>
      </c>
      <c r="G124" s="137">
        <f>IF(ISNUMBER(G152),G152,IF(ISNUMBER('Sites'!W8),'Sites'!W8/12,""))</f>
        <v/>
      </c>
      <c r="H124" s="137">
        <f>IF(ISNUMBER(H152),H152,IF(ISNUMBER('Sites'!W8),'Sites'!W8/12,""))</f>
        <v/>
      </c>
      <c r="I124" s="137">
        <f>IF(ISNUMBER(I152),I152,IF(ISNUMBER('Sites'!W8),'Sites'!W8/12,""))</f>
        <v/>
      </c>
      <c r="J124" s="137">
        <f>IF(ISNUMBER(J152),J152,IF(ISNUMBER('Sites'!W8),'Sites'!W8/12,""))</f>
        <v/>
      </c>
      <c r="K124" s="137">
        <f>IF(ISNUMBER(K152),K152,IF(ISNUMBER('Sites'!W8),'Sites'!W8/12,""))</f>
        <v/>
      </c>
      <c r="L124" s="137">
        <f>IF(ISNUMBER(L152),L152,IF(ISNUMBER('Sites'!W8),'Sites'!W8/12,""))</f>
        <v/>
      </c>
      <c r="M124" s="137">
        <f>IF(ISNUMBER(M152),M152,IF(ISNUMBER('Sites'!W8),'Sites'!W8/12,""))</f>
        <v/>
      </c>
      <c r="N124" s="137">
        <f>IF(ISNUMBER(N152),N152,IF(ISNUMBER('Sites'!W8),'Sites'!W8/12,""))</f>
        <v/>
      </c>
      <c r="O124" s="137">
        <f>IF(ISNUMBER(O152),O152,IF(ISNUMBER('Sites'!W8),'Sites'!W8/12,""))</f>
        <v/>
      </c>
      <c r="P124" s="137">
        <f>IF(ISNUMBER(P152),P152,IF(ISNUMBER('Sites'!W8),'Sites'!W8/12,""))</f>
        <v/>
      </c>
      <c r="Q124" s="137">
        <f>IF(ISNUMBER(Q152),Q152,IF(ISNUMBER('Sites'!W8),'Sites'!W8/12,""))</f>
        <v/>
      </c>
      <c r="R124" s="137">
        <f>IF(ISNUMBER(R152),R152,IF(ISNUMBER('Sites'!W8),'Sites'!W8/12,""))</f>
        <v/>
      </c>
      <c r="S124" s="137">
        <f>IF(ISNUMBER(S152),S152,IF(ISNUMBER('Sites'!W8),'Sites'!W8/12,""))</f>
        <v/>
      </c>
      <c r="T124" s="137">
        <f>IF(ISNUMBER(T152),T152,IF(ISNUMBER('Sites'!W8),'Sites'!W8/12,""))</f>
        <v/>
      </c>
      <c r="U124" s="137">
        <f>IF(ISNUMBER(U152),U152,IF(ISNUMBER('Sites'!W8),'Sites'!W8/12,""))</f>
        <v/>
      </c>
      <c r="V124" s="137">
        <f>IF(ISNUMBER(V152),V152,IF(ISNUMBER('Sites'!W8),'Sites'!W8/12,""))</f>
        <v/>
      </c>
      <c r="W124" s="137">
        <f>IF(ISNUMBER(W152),W152,IF(ISNUMBER('Sites'!W8),'Sites'!W8/12,""))</f>
        <v/>
      </c>
      <c r="X124" s="137">
        <f>IF(ISNUMBER(X152),X152,IF(ISNUMBER('Sites'!W8),'Sites'!W8/12,""))</f>
        <v/>
      </c>
      <c r="Y124" s="137">
        <f>IF(ISNUMBER(Y152),Y152,IF(ISNUMBER('Sites'!W8),'Sites'!W8/12,""))</f>
        <v/>
      </c>
      <c r="Z124" s="137">
        <f>IF(ISNUMBER(Z152),Z152,IF(ISNUMBER('Sites'!W8),'Sites'!W8/12,""))</f>
        <v/>
      </c>
      <c r="AA124" s="137">
        <f>IF(ISNUMBER(AA152),AA152,IF(ISNUMBER('Sites'!W8),'Sites'!W8/12,""))</f>
        <v/>
      </c>
      <c r="AB124" s="137">
        <f>IF(ISNUMBER(AB152),AB152,IF(ISNUMBER('Sites'!W8),'Sites'!W8/12,""))</f>
        <v/>
      </c>
      <c r="AC124" s="137">
        <f>IF(ISNUMBER(AC152),AC152,IF(ISNUMBER('Sites'!W8),'Sites'!W8/12,""))</f>
        <v/>
      </c>
      <c r="AD124" s="137">
        <f>IF(ISNUMBER(AD152),AD152,IF(ISNUMBER('Sites'!W8),'Sites'!W8/12,""))</f>
        <v/>
      </c>
      <c r="AE124" s="137">
        <f>IF(ISNUMBER(AE152),AE152,IF(ISNUMBER('Sites'!W8),'Sites'!W8/12,""))</f>
        <v/>
      </c>
      <c r="AF124" s="137">
        <f>IF(ISNUMBER(AF152),AF152,IF(ISNUMBER('Sites'!W8),'Sites'!W8/12,""))</f>
        <v/>
      </c>
      <c r="AG124" s="137">
        <f>IF(ISNUMBER(AG152),AG152,IF(ISNUMBER('Sites'!W8),'Sites'!W8/12,""))</f>
        <v/>
      </c>
      <c r="AH124" s="137">
        <f>IF(ISNUMBER(AH152),AH152,IF(ISNUMBER('Sites'!W8),'Sites'!W8/12,""))</f>
        <v/>
      </c>
      <c r="AI124" s="137">
        <f>IF(ISNUMBER(AI152),AI152,IF(ISNUMBER('Sites'!W8),'Sites'!W8/12,""))</f>
        <v/>
      </c>
      <c r="AJ124" s="137">
        <f>IF(ISNUMBER(AJ152),AJ152,IF(ISNUMBER('Sites'!W8),'Sites'!W8/12,""))</f>
        <v/>
      </c>
      <c r="AK124" s="137">
        <f>IF(ISNUMBER(AK152),AK152,IF(ISNUMBER('Sites'!W8),'Sites'!W8/12,""))</f>
        <v/>
      </c>
      <c r="AL124" s="137">
        <f>IF(ISNUMBER(AL152),AL152,IF(ISNUMBER('Sites'!W8),'Sites'!W8/12,""))</f>
        <v/>
      </c>
      <c r="AM124" s="137">
        <f>IF(ISNUMBER(AM152),AM152,IF(ISNUMBER('Sites'!W8),'Sites'!W8/12,""))</f>
        <v/>
      </c>
    </row>
    <row r="125" ht="30" customHeight="1">
      <c r="A125" s="4" t="inlineStr">
        <is>
          <t>New 2 insurance</t>
        </is>
      </c>
      <c r="B125" s="4" t="n"/>
      <c r="C125" s="4" t="n"/>
      <c r="D125" s="137">
        <f>IF(ISNUMBER(D153),D153,IF(ISNUMBER('Sites'!X8),'Sites'!X8/12,""))</f>
        <v/>
      </c>
      <c r="E125" s="137">
        <f>IF(ISNUMBER(E153),E153,IF(ISNUMBER('Sites'!X8),'Sites'!X8/12,""))</f>
        <v/>
      </c>
      <c r="F125" s="137">
        <f>IF(ISNUMBER(F153),F153,IF(ISNUMBER('Sites'!X8),'Sites'!X8/12,""))</f>
        <v/>
      </c>
      <c r="G125" s="137">
        <f>IF(ISNUMBER(G153),G153,IF(ISNUMBER('Sites'!X8),'Sites'!X8/12,""))</f>
        <v/>
      </c>
      <c r="H125" s="137">
        <f>IF(ISNUMBER(H153),H153,IF(ISNUMBER('Sites'!X8),'Sites'!X8/12,""))</f>
        <v/>
      </c>
      <c r="I125" s="137">
        <f>IF(ISNUMBER(I153),I153,IF(ISNUMBER('Sites'!X8),'Sites'!X8/12,""))</f>
        <v/>
      </c>
      <c r="J125" s="137">
        <f>IF(ISNUMBER(J153),J153,IF(ISNUMBER('Sites'!X8),'Sites'!X8/12,""))</f>
        <v/>
      </c>
      <c r="K125" s="137">
        <f>IF(ISNUMBER(K153),K153,IF(ISNUMBER('Sites'!X8),'Sites'!X8/12,""))</f>
        <v/>
      </c>
      <c r="L125" s="137">
        <f>IF(ISNUMBER(L153),L153,IF(ISNUMBER('Sites'!X8),'Sites'!X8/12,""))</f>
        <v/>
      </c>
      <c r="M125" s="137">
        <f>IF(ISNUMBER(M153),M153,IF(ISNUMBER('Sites'!X8),'Sites'!X8/12,""))</f>
        <v/>
      </c>
      <c r="N125" s="137">
        <f>IF(ISNUMBER(N153),N153,IF(ISNUMBER('Sites'!X8),'Sites'!X8/12,""))</f>
        <v/>
      </c>
      <c r="O125" s="137">
        <f>IF(ISNUMBER(O153),O153,IF(ISNUMBER('Sites'!X8),'Sites'!X8/12,""))</f>
        <v/>
      </c>
      <c r="P125" s="137">
        <f>IF(ISNUMBER(P153),P153,IF(ISNUMBER('Sites'!X8),'Sites'!X8/12,""))</f>
        <v/>
      </c>
      <c r="Q125" s="137">
        <f>IF(ISNUMBER(Q153),Q153,IF(ISNUMBER('Sites'!X8),'Sites'!X8/12,""))</f>
        <v/>
      </c>
      <c r="R125" s="137">
        <f>IF(ISNUMBER(R153),R153,IF(ISNUMBER('Sites'!X8),'Sites'!X8/12,""))</f>
        <v/>
      </c>
      <c r="S125" s="137">
        <f>IF(ISNUMBER(S153),S153,IF(ISNUMBER('Sites'!X8),'Sites'!X8/12,""))</f>
        <v/>
      </c>
      <c r="T125" s="137">
        <f>IF(ISNUMBER(T153),T153,IF(ISNUMBER('Sites'!X8),'Sites'!X8/12,""))</f>
        <v/>
      </c>
      <c r="U125" s="137">
        <f>IF(ISNUMBER(U153),U153,IF(ISNUMBER('Sites'!X8),'Sites'!X8/12,""))</f>
        <v/>
      </c>
      <c r="V125" s="137">
        <f>IF(ISNUMBER(V153),V153,IF(ISNUMBER('Sites'!X8),'Sites'!X8/12,""))</f>
        <v/>
      </c>
      <c r="W125" s="137">
        <f>IF(ISNUMBER(W153),W153,IF(ISNUMBER('Sites'!X8),'Sites'!X8/12,""))</f>
        <v/>
      </c>
      <c r="X125" s="137">
        <f>IF(ISNUMBER(X153),X153,IF(ISNUMBER('Sites'!X8),'Sites'!X8/12,""))</f>
        <v/>
      </c>
      <c r="Y125" s="137">
        <f>IF(ISNUMBER(Y153),Y153,IF(ISNUMBER('Sites'!X8),'Sites'!X8/12,""))</f>
        <v/>
      </c>
      <c r="Z125" s="137">
        <f>IF(ISNUMBER(Z153),Z153,IF(ISNUMBER('Sites'!X8),'Sites'!X8/12,""))</f>
        <v/>
      </c>
      <c r="AA125" s="137">
        <f>IF(ISNUMBER(AA153),AA153,IF(ISNUMBER('Sites'!X8),'Sites'!X8/12,""))</f>
        <v/>
      </c>
      <c r="AB125" s="137">
        <f>IF(ISNUMBER(AB153),AB153,IF(ISNUMBER('Sites'!X8),'Sites'!X8/12,""))</f>
        <v/>
      </c>
      <c r="AC125" s="137">
        <f>IF(ISNUMBER(AC153),AC153,IF(ISNUMBER('Sites'!X8),'Sites'!X8/12,""))</f>
        <v/>
      </c>
      <c r="AD125" s="137">
        <f>IF(ISNUMBER(AD153),AD153,IF(ISNUMBER('Sites'!X8),'Sites'!X8/12,""))</f>
        <v/>
      </c>
      <c r="AE125" s="137">
        <f>IF(ISNUMBER(AE153),AE153,IF(ISNUMBER('Sites'!X8),'Sites'!X8/12,""))</f>
        <v/>
      </c>
      <c r="AF125" s="137">
        <f>IF(ISNUMBER(AF153),AF153,IF(ISNUMBER('Sites'!X8),'Sites'!X8/12,""))</f>
        <v/>
      </c>
      <c r="AG125" s="137">
        <f>IF(ISNUMBER(AG153),AG153,IF(ISNUMBER('Sites'!X8),'Sites'!X8/12,""))</f>
        <v/>
      </c>
      <c r="AH125" s="137">
        <f>IF(ISNUMBER(AH153),AH153,IF(ISNUMBER('Sites'!X8),'Sites'!X8/12,""))</f>
        <v/>
      </c>
      <c r="AI125" s="137">
        <f>IF(ISNUMBER(AI153),AI153,IF(ISNUMBER('Sites'!X8),'Sites'!X8/12,""))</f>
        <v/>
      </c>
      <c r="AJ125" s="137">
        <f>IF(ISNUMBER(AJ153),AJ153,IF(ISNUMBER('Sites'!X8),'Sites'!X8/12,""))</f>
        <v/>
      </c>
      <c r="AK125" s="137">
        <f>IF(ISNUMBER(AK153),AK153,IF(ISNUMBER('Sites'!X8),'Sites'!X8/12,""))</f>
        <v/>
      </c>
      <c r="AL125" s="137">
        <f>IF(ISNUMBER(AL153),AL153,IF(ISNUMBER('Sites'!X8),'Sites'!X8/12,""))</f>
        <v/>
      </c>
      <c r="AM125" s="137">
        <f>IF(ISNUMBER(AM153),AM153,IF(ISNUMBER('Sites'!X8),'Sites'!X8/12,""))</f>
        <v/>
      </c>
    </row>
    <row r="126" ht="30" customHeight="1">
      <c r="A126" s="4" t="inlineStr">
        <is>
          <t>New 2 maintenance</t>
        </is>
      </c>
      <c r="B126" s="4" t="n"/>
      <c r="C126" s="4" t="n"/>
      <c r="D126" s="137">
        <f>IF(ISNUMBER(D154),D154,IF(ISNUMBER('Sites'!Y8),'Sites'!Y8/12,""))</f>
        <v/>
      </c>
      <c r="E126" s="137">
        <f>IF(ISNUMBER(E154),E154,IF(ISNUMBER('Sites'!Y8),'Sites'!Y8/12,""))</f>
        <v/>
      </c>
      <c r="F126" s="137">
        <f>IF(ISNUMBER(F154),F154,IF(ISNUMBER('Sites'!Y8),'Sites'!Y8/12,""))</f>
        <v/>
      </c>
      <c r="G126" s="137">
        <f>IF(ISNUMBER(G154),G154,IF(ISNUMBER('Sites'!Y8),'Sites'!Y8/12,""))</f>
        <v/>
      </c>
      <c r="H126" s="137">
        <f>IF(ISNUMBER(H154),H154,IF(ISNUMBER('Sites'!Y8),'Sites'!Y8/12,""))</f>
        <v/>
      </c>
      <c r="I126" s="137">
        <f>IF(ISNUMBER(I154),I154,IF(ISNUMBER('Sites'!Y8),'Sites'!Y8/12,""))</f>
        <v/>
      </c>
      <c r="J126" s="137">
        <f>IF(ISNUMBER(J154),J154,IF(ISNUMBER('Sites'!Y8),'Sites'!Y8/12,""))</f>
        <v/>
      </c>
      <c r="K126" s="137">
        <f>IF(ISNUMBER(K154),K154,IF(ISNUMBER('Sites'!Y8),'Sites'!Y8/12,""))</f>
        <v/>
      </c>
      <c r="L126" s="137">
        <f>IF(ISNUMBER(L154),L154,IF(ISNUMBER('Sites'!Y8),'Sites'!Y8/12,""))</f>
        <v/>
      </c>
      <c r="M126" s="137">
        <f>IF(ISNUMBER(M154),M154,IF(ISNUMBER('Sites'!Y8),'Sites'!Y8/12,""))</f>
        <v/>
      </c>
      <c r="N126" s="137">
        <f>IF(ISNUMBER(N154),N154,IF(ISNUMBER('Sites'!Y8),'Sites'!Y8/12,""))</f>
        <v/>
      </c>
      <c r="O126" s="137">
        <f>IF(ISNUMBER(O154),O154,IF(ISNUMBER('Sites'!Y8),'Sites'!Y8/12,""))</f>
        <v/>
      </c>
      <c r="P126" s="137">
        <f>IF(ISNUMBER(P154),P154,IF(ISNUMBER('Sites'!Y8),'Sites'!Y8/12,""))</f>
        <v/>
      </c>
      <c r="Q126" s="137">
        <f>IF(ISNUMBER(Q154),Q154,IF(ISNUMBER('Sites'!Y8),'Sites'!Y8/12,""))</f>
        <v/>
      </c>
      <c r="R126" s="137">
        <f>IF(ISNUMBER(R154),R154,IF(ISNUMBER('Sites'!Y8),'Sites'!Y8/12,""))</f>
        <v/>
      </c>
      <c r="S126" s="137">
        <f>IF(ISNUMBER(S154),S154,IF(ISNUMBER('Sites'!Y8),'Sites'!Y8/12,""))</f>
        <v/>
      </c>
      <c r="T126" s="137">
        <f>IF(ISNUMBER(T154),T154,IF(ISNUMBER('Sites'!Y8),'Sites'!Y8/12,""))</f>
        <v/>
      </c>
      <c r="U126" s="137">
        <f>IF(ISNUMBER(U154),U154,IF(ISNUMBER('Sites'!Y8),'Sites'!Y8/12,""))</f>
        <v/>
      </c>
      <c r="V126" s="137">
        <f>IF(ISNUMBER(V154),V154,IF(ISNUMBER('Sites'!Y8),'Sites'!Y8/12,""))</f>
        <v/>
      </c>
      <c r="W126" s="137">
        <f>IF(ISNUMBER(W154),W154,IF(ISNUMBER('Sites'!Y8),'Sites'!Y8/12,""))</f>
        <v/>
      </c>
      <c r="X126" s="137">
        <f>IF(ISNUMBER(X154),X154,IF(ISNUMBER('Sites'!Y8),'Sites'!Y8/12,""))</f>
        <v/>
      </c>
      <c r="Y126" s="137">
        <f>IF(ISNUMBER(Y154),Y154,IF(ISNUMBER('Sites'!Y8),'Sites'!Y8/12,""))</f>
        <v/>
      </c>
      <c r="Z126" s="137">
        <f>IF(ISNUMBER(Z154),Z154,IF(ISNUMBER('Sites'!Y8),'Sites'!Y8/12,""))</f>
        <v/>
      </c>
      <c r="AA126" s="137">
        <f>IF(ISNUMBER(AA154),AA154,IF(ISNUMBER('Sites'!Y8),'Sites'!Y8/12,""))</f>
        <v/>
      </c>
      <c r="AB126" s="137">
        <f>IF(ISNUMBER(AB154),AB154,IF(ISNUMBER('Sites'!Y8),'Sites'!Y8/12,""))</f>
        <v/>
      </c>
      <c r="AC126" s="137">
        <f>IF(ISNUMBER(AC154),AC154,IF(ISNUMBER('Sites'!Y8),'Sites'!Y8/12,""))</f>
        <v/>
      </c>
      <c r="AD126" s="137">
        <f>IF(ISNUMBER(AD154),AD154,IF(ISNUMBER('Sites'!Y8),'Sites'!Y8/12,""))</f>
        <v/>
      </c>
      <c r="AE126" s="137">
        <f>IF(ISNUMBER(AE154),AE154,IF(ISNUMBER('Sites'!Y8),'Sites'!Y8/12,""))</f>
        <v/>
      </c>
      <c r="AF126" s="137">
        <f>IF(ISNUMBER(AF154),AF154,IF(ISNUMBER('Sites'!Y8),'Sites'!Y8/12,""))</f>
        <v/>
      </c>
      <c r="AG126" s="137">
        <f>IF(ISNUMBER(AG154),AG154,IF(ISNUMBER('Sites'!Y8),'Sites'!Y8/12,""))</f>
        <v/>
      </c>
      <c r="AH126" s="137">
        <f>IF(ISNUMBER(AH154),AH154,IF(ISNUMBER('Sites'!Y8),'Sites'!Y8/12,""))</f>
        <v/>
      </c>
      <c r="AI126" s="137">
        <f>IF(ISNUMBER(AI154),AI154,IF(ISNUMBER('Sites'!Y8),'Sites'!Y8/12,""))</f>
        <v/>
      </c>
      <c r="AJ126" s="137">
        <f>IF(ISNUMBER(AJ154),AJ154,IF(ISNUMBER('Sites'!Y8),'Sites'!Y8/12,""))</f>
        <v/>
      </c>
      <c r="AK126" s="137">
        <f>IF(ISNUMBER(AK154),AK154,IF(ISNUMBER('Sites'!Y8),'Sites'!Y8/12,""))</f>
        <v/>
      </c>
      <c r="AL126" s="137">
        <f>IF(ISNUMBER(AL154),AL154,IF(ISNUMBER('Sites'!Y8),'Sites'!Y8/12,""))</f>
        <v/>
      </c>
      <c r="AM126" s="137">
        <f>IF(ISNUMBER(AM154),AM154,IF(ISNUMBER('Sites'!Y8),'Sites'!Y8/12,""))</f>
        <v/>
      </c>
    </row>
    <row r="127" ht="30" customHeight="1">
      <c r="A127" s="4" t="n"/>
      <c r="B127" s="4" t="n"/>
      <c r="C127" s="4" t="n"/>
      <c r="D127" s="137" t="n"/>
      <c r="E127" s="137" t="n"/>
      <c r="F127" s="137" t="n"/>
      <c r="G127" s="137" t="n"/>
      <c r="H127" s="137" t="n"/>
      <c r="I127" s="137" t="n"/>
      <c r="J127" s="137" t="n"/>
      <c r="K127" s="137" t="n"/>
      <c r="L127" s="137" t="n"/>
      <c r="M127" s="137" t="n"/>
      <c r="N127" s="137" t="n"/>
      <c r="O127" s="137" t="n"/>
      <c r="P127" s="137" t="n"/>
      <c r="Q127" s="137" t="n"/>
      <c r="R127" s="137" t="n"/>
      <c r="S127" s="137" t="n"/>
      <c r="T127" s="137" t="n"/>
      <c r="U127" s="137" t="n"/>
      <c r="V127" s="137" t="n"/>
      <c r="W127" s="137" t="n"/>
      <c r="X127" s="137" t="n"/>
      <c r="Y127" s="137" t="n"/>
      <c r="Z127" s="137" t="n"/>
      <c r="AA127" s="137" t="n"/>
      <c r="AB127" s="137" t="n"/>
      <c r="AC127" s="137" t="n"/>
      <c r="AD127" s="137" t="n"/>
      <c r="AE127" s="137" t="n"/>
      <c r="AF127" s="137" t="n"/>
      <c r="AG127" s="137" t="n"/>
      <c r="AH127" s="137" t="n"/>
      <c r="AI127" s="137" t="n"/>
      <c r="AJ127" s="137" t="n"/>
      <c r="AK127" s="137" t="n"/>
      <c r="AL127" s="137" t="n"/>
      <c r="AM127" s="137" t="n"/>
    </row>
    <row r="128" ht="30" customHeight="1">
      <c r="A128" s="4" t="n"/>
      <c r="B128" s="4" t="n"/>
      <c r="C128" s="4" t="n"/>
      <c r="D128" s="137" t="n"/>
      <c r="E128" s="137" t="n"/>
      <c r="F128" s="137" t="n"/>
      <c r="G128" s="137" t="n"/>
      <c r="H128" s="137" t="n"/>
      <c r="I128" s="137" t="n"/>
      <c r="J128" s="137" t="n"/>
      <c r="K128" s="137" t="n"/>
      <c r="L128" s="137" t="n"/>
      <c r="M128" s="137" t="n"/>
      <c r="N128" s="137" t="n"/>
      <c r="O128" s="137" t="n"/>
      <c r="P128" s="137" t="n"/>
      <c r="Q128" s="137" t="n"/>
      <c r="R128" s="137" t="n"/>
      <c r="S128" s="137" t="n"/>
      <c r="T128" s="137" t="n"/>
      <c r="U128" s="137" t="n"/>
      <c r="V128" s="137" t="n"/>
      <c r="W128" s="137" t="n"/>
      <c r="X128" s="137" t="n"/>
      <c r="Y128" s="137" t="n"/>
      <c r="Z128" s="137" t="n"/>
      <c r="AA128" s="137" t="n"/>
      <c r="AB128" s="137" t="n"/>
      <c r="AC128" s="137" t="n"/>
      <c r="AD128" s="137" t="n"/>
      <c r="AE128" s="137" t="n"/>
      <c r="AF128" s="137" t="n"/>
      <c r="AG128" s="137" t="n"/>
      <c r="AH128" s="137" t="n"/>
      <c r="AI128" s="137" t="n"/>
      <c r="AJ128" s="137" t="n"/>
      <c r="AK128" s="137" t="n"/>
      <c r="AL128" s="137" t="n"/>
      <c r="AM128" s="137" t="n"/>
    </row>
    <row r="129" ht="30" customHeight="1">
      <c r="A129" s="4" t="n"/>
      <c r="B129" s="4" t="n"/>
      <c r="C129" s="4" t="n"/>
      <c r="D129" s="137" t="n"/>
      <c r="E129" s="137" t="n"/>
      <c r="F129" s="137" t="n"/>
      <c r="G129" s="137" t="n"/>
      <c r="H129" s="137" t="n"/>
      <c r="I129" s="137" t="n"/>
      <c r="J129" s="137" t="n"/>
      <c r="K129" s="137" t="n"/>
      <c r="L129" s="137" t="n"/>
      <c r="M129" s="137" t="n"/>
      <c r="N129" s="137" t="n"/>
      <c r="O129" s="137" t="n"/>
      <c r="P129" s="137" t="n"/>
      <c r="Q129" s="137" t="n"/>
      <c r="R129" s="137" t="n"/>
      <c r="S129" s="137" t="n"/>
      <c r="T129" s="137" t="n"/>
      <c r="U129" s="137" t="n"/>
      <c r="V129" s="137" t="n"/>
      <c r="W129" s="137" t="n"/>
      <c r="X129" s="137" t="n"/>
      <c r="Y129" s="137" t="n"/>
      <c r="Z129" s="137" t="n"/>
      <c r="AA129" s="137" t="n"/>
      <c r="AB129" s="137" t="n"/>
      <c r="AC129" s="137" t="n"/>
      <c r="AD129" s="137" t="n"/>
      <c r="AE129" s="137" t="n"/>
      <c r="AF129" s="137" t="n"/>
      <c r="AG129" s="137" t="n"/>
      <c r="AH129" s="137" t="n"/>
      <c r="AI129" s="137" t="n"/>
      <c r="AJ129" s="137" t="n"/>
      <c r="AK129" s="137" t="n"/>
      <c r="AL129" s="137" t="n"/>
      <c r="AM129" s="137" t="n"/>
    </row>
    <row r="130" ht="30" customHeight="1">
      <c r="A130" s="4" t="n"/>
      <c r="B130" s="4" t="n"/>
      <c r="C130" s="4" t="n"/>
      <c r="D130" s="137" t="n"/>
      <c r="E130" s="137" t="n"/>
      <c r="F130" s="137" t="n"/>
      <c r="G130" s="137" t="n"/>
      <c r="H130" s="137" t="n"/>
      <c r="I130" s="137" t="n"/>
      <c r="J130" s="137" t="n"/>
      <c r="K130" s="137" t="n"/>
      <c r="L130" s="137" t="n"/>
      <c r="M130" s="137" t="n"/>
      <c r="N130" s="137" t="n"/>
      <c r="O130" s="137" t="n"/>
      <c r="P130" s="137" t="n"/>
      <c r="Q130" s="137" t="n"/>
      <c r="R130" s="137" t="n"/>
      <c r="S130" s="137" t="n"/>
      <c r="T130" s="137" t="n"/>
      <c r="U130" s="137" t="n"/>
      <c r="V130" s="137" t="n"/>
      <c r="W130" s="137" t="n"/>
      <c r="X130" s="137" t="n"/>
      <c r="Y130" s="137" t="n"/>
      <c r="Z130" s="137" t="n"/>
      <c r="AA130" s="137" t="n"/>
      <c r="AB130" s="137" t="n"/>
      <c r="AC130" s="137" t="n"/>
      <c r="AD130" s="137" t="n"/>
      <c r="AE130" s="137" t="n"/>
      <c r="AF130" s="137" t="n"/>
      <c r="AG130" s="137" t="n"/>
      <c r="AH130" s="137" t="n"/>
      <c r="AI130" s="137" t="n"/>
      <c r="AJ130" s="137" t="n"/>
      <c r="AK130" s="137" t="n"/>
      <c r="AL130" s="137" t="n"/>
      <c r="AM130" s="137" t="n"/>
    </row>
    <row r="131" ht="30" customHeight="1">
      <c r="A131" s="4" t="n"/>
      <c r="B131" s="4" t="n"/>
      <c r="C131" s="4" t="n"/>
      <c r="D131" s="137" t="n"/>
      <c r="E131" s="137" t="n"/>
      <c r="F131" s="137" t="n"/>
      <c r="G131" s="137" t="n"/>
      <c r="H131" s="137" t="n"/>
      <c r="I131" s="137" t="n"/>
      <c r="J131" s="137" t="n"/>
      <c r="K131" s="137" t="n"/>
      <c r="L131" s="137" t="n"/>
      <c r="M131" s="137" t="n"/>
      <c r="N131" s="137" t="n"/>
      <c r="O131" s="137" t="n"/>
      <c r="P131" s="137" t="n"/>
      <c r="Q131" s="137" t="n"/>
      <c r="R131" s="137" t="n"/>
      <c r="S131" s="137" t="n"/>
      <c r="T131" s="137" t="n"/>
      <c r="U131" s="137" t="n"/>
      <c r="V131" s="137" t="n"/>
      <c r="W131" s="137" t="n"/>
      <c r="X131" s="137" t="n"/>
      <c r="Y131" s="137" t="n"/>
      <c r="Z131" s="137" t="n"/>
      <c r="AA131" s="137" t="n"/>
      <c r="AB131" s="137" t="n"/>
      <c r="AC131" s="137" t="n"/>
      <c r="AD131" s="137" t="n"/>
      <c r="AE131" s="137" t="n"/>
      <c r="AF131" s="137" t="n"/>
      <c r="AG131" s="137" t="n"/>
      <c r="AH131" s="137" t="n"/>
      <c r="AI131" s="137" t="n"/>
      <c r="AJ131" s="137" t="n"/>
      <c r="AK131" s="137" t="n"/>
      <c r="AL131" s="137" t="n"/>
      <c r="AM131" s="137" t="n"/>
    </row>
    <row r="132" ht="30" customHeight="1">
      <c r="A132" s="4" t="n"/>
      <c r="B132" s="4" t="n"/>
      <c r="C132" s="4" t="n"/>
      <c r="D132" s="137" t="n"/>
      <c r="E132" s="137" t="n"/>
      <c r="F132" s="137" t="n"/>
      <c r="G132" s="137" t="n"/>
      <c r="H132" s="137" t="n"/>
      <c r="I132" s="137" t="n"/>
      <c r="J132" s="137" t="n"/>
      <c r="K132" s="137" t="n"/>
      <c r="L132" s="137" t="n"/>
      <c r="M132" s="137" t="n"/>
      <c r="N132" s="137" t="n"/>
      <c r="O132" s="137" t="n"/>
      <c r="P132" s="137" t="n"/>
      <c r="Q132" s="137" t="n"/>
      <c r="R132" s="137" t="n"/>
      <c r="S132" s="137" t="n"/>
      <c r="T132" s="137" t="n"/>
      <c r="U132" s="137" t="n"/>
      <c r="V132" s="137" t="n"/>
      <c r="W132" s="137" t="n"/>
      <c r="X132" s="137" t="n"/>
      <c r="Y132" s="137" t="n"/>
      <c r="Z132" s="137" t="n"/>
      <c r="AA132" s="137" t="n"/>
      <c r="AB132" s="137" t="n"/>
      <c r="AC132" s="137" t="n"/>
      <c r="AD132" s="137" t="n"/>
      <c r="AE132" s="137" t="n"/>
      <c r="AF132" s="137" t="n"/>
      <c r="AG132" s="137" t="n"/>
      <c r="AH132" s="137" t="n"/>
      <c r="AI132" s="137" t="n"/>
      <c r="AJ132" s="137" t="n"/>
      <c r="AK132" s="137" t="n"/>
      <c r="AL132" s="137" t="n"/>
      <c r="AM132" s="137" t="n"/>
    </row>
    <row r="133" ht="30" customHeight="1">
      <c r="A133" s="42" t="n"/>
      <c r="B133" s="42" t="n"/>
      <c r="C133" s="42" t="n"/>
      <c r="D133" s="141" t="n"/>
      <c r="E133" s="141" t="n"/>
      <c r="F133" s="141" t="n"/>
      <c r="G133" s="141" t="n"/>
      <c r="H133" s="141" t="n"/>
      <c r="I133" s="141" t="n"/>
      <c r="J133" s="141" t="n"/>
      <c r="K133" s="141" t="n"/>
      <c r="L133" s="141" t="n"/>
      <c r="M133" s="141" t="n"/>
      <c r="N133" s="141" t="n"/>
      <c r="O133" s="141" t="n"/>
      <c r="P133" s="141" t="n"/>
      <c r="Q133" s="141" t="n"/>
      <c r="R133" s="141" t="n"/>
      <c r="S133" s="141" t="n"/>
      <c r="T133" s="141" t="n"/>
      <c r="U133" s="141" t="n"/>
      <c r="V133" s="141" t="n"/>
      <c r="W133" s="141" t="n"/>
      <c r="X133" s="141" t="n"/>
      <c r="Y133" s="141" t="n"/>
      <c r="Z133" s="141" t="n"/>
      <c r="AA133" s="141" t="n"/>
      <c r="AB133" s="141" t="n"/>
      <c r="AC133" s="141" t="n"/>
      <c r="AD133" s="141" t="n"/>
      <c r="AE133" s="141" t="n"/>
      <c r="AF133" s="141" t="n"/>
      <c r="AG133" s="141" t="n"/>
      <c r="AH133" s="141" t="n"/>
      <c r="AI133" s="141" t="n"/>
      <c r="AJ133" s="141" t="n"/>
      <c r="AK133" s="141" t="n"/>
      <c r="AL133" s="141" t="n"/>
      <c r="AM133" s="141" t="n"/>
    </row>
    <row r="134" ht="30" customHeight="1">
      <c r="A134" s="42" t="n"/>
      <c r="B134" s="42" t="n"/>
      <c r="C134" s="42" t="n"/>
      <c r="D134" s="141" t="n"/>
      <c r="E134" s="141" t="n"/>
      <c r="F134" s="141" t="n"/>
      <c r="G134" s="141" t="n"/>
      <c r="H134" s="141" t="n"/>
      <c r="I134" s="141" t="n"/>
      <c r="J134" s="141" t="n"/>
      <c r="K134" s="141" t="n"/>
      <c r="L134" s="141" t="n"/>
      <c r="M134" s="141" t="n"/>
      <c r="N134" s="141" t="n"/>
      <c r="O134" s="141" t="n"/>
      <c r="P134" s="141" t="n"/>
      <c r="Q134" s="141" t="n"/>
      <c r="R134" s="141" t="n"/>
      <c r="S134" s="141" t="n"/>
      <c r="T134" s="141" t="n"/>
      <c r="U134" s="141" t="n"/>
      <c r="V134" s="141" t="n"/>
      <c r="W134" s="141" t="n"/>
      <c r="X134" s="141" t="n"/>
      <c r="Y134" s="141" t="n"/>
      <c r="Z134" s="141" t="n"/>
      <c r="AA134" s="141" t="n"/>
      <c r="AB134" s="141" t="n"/>
      <c r="AC134" s="141" t="n"/>
      <c r="AD134" s="141" t="n"/>
      <c r="AE134" s="141" t="n"/>
      <c r="AF134" s="141" t="n"/>
      <c r="AG134" s="141" t="n"/>
      <c r="AH134" s="141" t="n"/>
      <c r="AI134" s="141" t="n"/>
      <c r="AJ134" s="141" t="n"/>
      <c r="AK134" s="141" t="n"/>
      <c r="AL134" s="141" t="n"/>
      <c r="AM134" s="141" t="n"/>
    </row>
    <row r="135" ht="30" customHeight="1">
      <c r="A135" s="42" t="n"/>
      <c r="B135" s="42" t="n"/>
      <c r="C135" s="42" t="n"/>
      <c r="D135" s="141" t="n"/>
      <c r="E135" s="141" t="n"/>
      <c r="F135" s="141" t="n"/>
      <c r="G135" s="141" t="n"/>
      <c r="H135" s="141" t="n"/>
      <c r="I135" s="141" t="n"/>
      <c r="J135" s="141" t="n"/>
      <c r="K135" s="141" t="n"/>
      <c r="L135" s="141" t="n"/>
      <c r="M135" s="141" t="n"/>
      <c r="N135" s="141" t="n"/>
      <c r="O135" s="141" t="n"/>
      <c r="P135" s="141" t="n"/>
      <c r="Q135" s="141" t="n"/>
      <c r="R135" s="141" t="n"/>
      <c r="S135" s="141" t="n"/>
      <c r="T135" s="141" t="n"/>
      <c r="U135" s="141" t="n"/>
      <c r="V135" s="141" t="n"/>
      <c r="W135" s="141" t="n"/>
      <c r="X135" s="141" t="n"/>
      <c r="Y135" s="141" t="n"/>
      <c r="Z135" s="141" t="n"/>
      <c r="AA135" s="141" t="n"/>
      <c r="AB135" s="141" t="n"/>
      <c r="AC135" s="141" t="n"/>
      <c r="AD135" s="141" t="n"/>
      <c r="AE135" s="141" t="n"/>
      <c r="AF135" s="141" t="n"/>
      <c r="AG135" s="141" t="n"/>
      <c r="AH135" s="141" t="n"/>
      <c r="AI135" s="141" t="n"/>
      <c r="AJ135" s="141" t="n"/>
      <c r="AK135" s="141" t="n"/>
      <c r="AL135" s="141" t="n"/>
      <c r="AM135" s="141" t="n"/>
    </row>
    <row r="136" ht="30" customHeight="1">
      <c r="A136" s="42" t="n"/>
      <c r="B136" s="42" t="n"/>
      <c r="C136" s="42" t="n"/>
      <c r="D136" s="141" t="n"/>
      <c r="E136" s="141" t="n"/>
      <c r="F136" s="141" t="n"/>
      <c r="G136" s="141" t="n"/>
      <c r="H136" s="141" t="n"/>
      <c r="I136" s="141" t="n"/>
      <c r="J136" s="141" t="n"/>
      <c r="K136" s="141" t="n"/>
      <c r="L136" s="141" t="n"/>
      <c r="M136" s="141" t="n"/>
      <c r="N136" s="141" t="n"/>
      <c r="O136" s="141" t="n"/>
      <c r="P136" s="141" t="n"/>
      <c r="Q136" s="141" t="n"/>
      <c r="R136" s="141" t="n"/>
      <c r="S136" s="141" t="n"/>
      <c r="T136" s="141" t="n"/>
      <c r="U136" s="141" t="n"/>
      <c r="V136" s="141" t="n"/>
      <c r="W136" s="141" t="n"/>
      <c r="X136" s="141" t="n"/>
      <c r="Y136" s="141" t="n"/>
      <c r="Z136" s="141" t="n"/>
      <c r="AA136" s="141" t="n"/>
      <c r="AB136" s="141" t="n"/>
      <c r="AC136" s="141" t="n"/>
      <c r="AD136" s="141" t="n"/>
      <c r="AE136" s="141" t="n"/>
      <c r="AF136" s="141" t="n"/>
      <c r="AG136" s="141" t="n"/>
      <c r="AH136" s="141" t="n"/>
      <c r="AI136" s="141" t="n"/>
      <c r="AJ136" s="141" t="n"/>
      <c r="AK136" s="141" t="n"/>
      <c r="AL136" s="141" t="n"/>
      <c r="AM136" s="141" t="n"/>
    </row>
    <row r="137" ht="30" customHeight="1">
      <c r="A137" s="44" t="inlineStr">
        <is>
          <t>Optional monthly site cost overrides</t>
        </is>
      </c>
      <c r="B137" s="44" t="n"/>
      <c r="C137" s="44" t="n"/>
      <c r="D137" s="142" t="n"/>
      <c r="E137" s="142" t="n"/>
      <c r="F137" s="142" t="n"/>
      <c r="G137" s="142" t="n"/>
      <c r="H137" s="142" t="n"/>
      <c r="I137" s="142" t="n"/>
      <c r="J137" s="142" t="n"/>
      <c r="K137" s="142" t="n"/>
      <c r="L137" s="142" t="n"/>
      <c r="M137" s="142" t="n"/>
      <c r="N137" s="142" t="n"/>
      <c r="O137" s="142" t="n"/>
      <c r="P137" s="142" t="n"/>
      <c r="Q137" s="142" t="n"/>
      <c r="R137" s="142" t="n"/>
      <c r="S137" s="142" t="n"/>
      <c r="T137" s="142" t="n"/>
      <c r="U137" s="142" t="n"/>
      <c r="V137" s="142" t="n"/>
      <c r="W137" s="142" t="n"/>
      <c r="X137" s="142" t="n"/>
      <c r="Y137" s="142" t="n"/>
      <c r="Z137" s="142" t="n"/>
      <c r="AA137" s="142" t="n"/>
      <c r="AB137" s="142" t="n"/>
      <c r="AC137" s="142" t="n"/>
      <c r="AD137" s="142" t="n"/>
      <c r="AE137" s="142" t="n"/>
      <c r="AF137" s="142" t="n"/>
      <c r="AG137" s="142" t="n"/>
      <c r="AH137" s="142" t="n"/>
      <c r="AI137" s="142" t="n"/>
      <c r="AJ137" s="142" t="n"/>
      <c r="AK137" s="142" t="n"/>
      <c r="AL137" s="142" t="n"/>
      <c r="AM137" s="142" t="n"/>
    </row>
    <row r="138" ht="30" customHeight="1">
      <c r="A138" s="42" t="n"/>
      <c r="B138" s="42" t="n"/>
      <c r="C138" s="42" t="n"/>
      <c r="D138" s="141" t="n"/>
      <c r="E138" s="141" t="n"/>
      <c r="F138" s="141" t="n"/>
      <c r="G138" s="141" t="n"/>
      <c r="H138" s="141" t="n"/>
      <c r="I138" s="141" t="n"/>
      <c r="J138" s="141" t="n"/>
      <c r="K138" s="141" t="n"/>
      <c r="L138" s="141" t="n"/>
      <c r="M138" s="141" t="n"/>
      <c r="N138" s="141" t="n"/>
      <c r="O138" s="141" t="n"/>
      <c r="P138" s="141" t="n"/>
      <c r="Q138" s="141" t="n"/>
      <c r="R138" s="141" t="n"/>
      <c r="S138" s="141" t="n"/>
      <c r="T138" s="141" t="n"/>
      <c r="U138" s="141" t="n"/>
      <c r="V138" s="141" t="n"/>
      <c r="W138" s="141" t="n"/>
      <c r="X138" s="141" t="n"/>
      <c r="Y138" s="141" t="n"/>
      <c r="Z138" s="141" t="n"/>
      <c r="AA138" s="141" t="n"/>
      <c r="AB138" s="141" t="n"/>
      <c r="AC138" s="141" t="n"/>
      <c r="AD138" s="141" t="n"/>
      <c r="AE138" s="141" t="n"/>
      <c r="AF138" s="141" t="n"/>
      <c r="AG138" s="141" t="n"/>
      <c r="AH138" s="141" t="n"/>
      <c r="AI138" s="141" t="n"/>
      <c r="AJ138" s="141" t="n"/>
      <c r="AK138" s="141" t="n"/>
      <c r="AL138" s="141" t="n"/>
      <c r="AM138" s="141" t="n"/>
    </row>
    <row r="139" ht="30" customHeight="1">
      <c r="A139" s="42" t="n"/>
      <c r="B139" s="42" t="n"/>
      <c r="C139" s="42" t="n"/>
      <c r="D139" s="141" t="n"/>
      <c r="E139" s="141" t="n"/>
      <c r="F139" s="141" t="n"/>
      <c r="G139" s="141" t="n"/>
      <c r="H139" s="141" t="n"/>
      <c r="I139" s="141" t="n"/>
      <c r="J139" s="141" t="n"/>
      <c r="K139" s="141" t="n"/>
      <c r="L139" s="141" t="n"/>
      <c r="M139" s="141" t="n"/>
      <c r="N139" s="141" t="n"/>
      <c r="O139" s="141" t="n"/>
      <c r="P139" s="141" t="n"/>
      <c r="Q139" s="141" t="n"/>
      <c r="R139" s="141" t="n"/>
      <c r="S139" s="141" t="n"/>
      <c r="T139" s="141" t="n"/>
      <c r="U139" s="141" t="n"/>
      <c r="V139" s="141" t="n"/>
      <c r="W139" s="141" t="n"/>
      <c r="X139" s="141" t="n"/>
      <c r="Y139" s="141" t="n"/>
      <c r="Z139" s="141" t="n"/>
      <c r="AA139" s="141" t="n"/>
      <c r="AB139" s="141" t="n"/>
      <c r="AC139" s="141" t="n"/>
      <c r="AD139" s="141" t="n"/>
      <c r="AE139" s="141" t="n"/>
      <c r="AF139" s="141" t="n"/>
      <c r="AG139" s="141" t="n"/>
      <c r="AH139" s="141" t="n"/>
      <c r="AI139" s="141" t="n"/>
      <c r="AJ139" s="141" t="n"/>
      <c r="AK139" s="141" t="n"/>
      <c r="AL139" s="141" t="n"/>
      <c r="AM139" s="141" t="n"/>
    </row>
    <row r="140" ht="30" customHeight="1">
      <c r="A140" s="42" t="inlineStr">
        <is>
          <t>Witta coordinator override</t>
        </is>
      </c>
      <c r="B140" s="42" t="n"/>
      <c r="C140" s="42" t="n"/>
      <c r="D140" s="143" t="n"/>
      <c r="E140" s="143" t="n"/>
      <c r="F140" s="143" t="n"/>
      <c r="G140" s="143" t="n"/>
      <c r="H140" s="143" t="n"/>
      <c r="I140" s="143" t="n"/>
      <c r="J140" s="143" t="n"/>
      <c r="K140" s="143" t="n"/>
      <c r="L140" s="143" t="n"/>
      <c r="M140" s="143" t="n"/>
      <c r="N140" s="143" t="n"/>
      <c r="O140" s="143" t="n"/>
      <c r="P140" s="143" t="n"/>
      <c r="Q140" s="143" t="n"/>
      <c r="R140" s="143" t="n"/>
      <c r="S140" s="143" t="n"/>
      <c r="T140" s="143" t="n"/>
      <c r="U140" s="143" t="n"/>
      <c r="V140" s="143" t="n"/>
      <c r="W140" s="143" t="n"/>
      <c r="X140" s="143" t="n"/>
      <c r="Y140" s="143" t="n"/>
      <c r="Z140" s="143" t="n"/>
      <c r="AA140" s="143" t="n"/>
      <c r="AB140" s="143" t="n"/>
      <c r="AC140" s="143" t="n"/>
      <c r="AD140" s="143" t="n"/>
      <c r="AE140" s="143" t="n"/>
      <c r="AF140" s="143" t="n"/>
      <c r="AG140" s="143" t="n"/>
      <c r="AH140" s="143" t="n"/>
      <c r="AI140" s="143" t="n"/>
      <c r="AJ140" s="143" t="n"/>
      <c r="AK140" s="143" t="n"/>
      <c r="AL140" s="143" t="n"/>
      <c r="AM140" s="143" t="n"/>
    </row>
    <row r="141" ht="30" customHeight="1">
      <c r="A141" s="42" t="inlineStr">
        <is>
          <t>Witta trainer override</t>
        </is>
      </c>
      <c r="B141" s="42" t="n"/>
      <c r="C141" s="42" t="n"/>
      <c r="D141" s="143" t="n"/>
      <c r="E141" s="143" t="n"/>
      <c r="F141" s="143" t="n"/>
      <c r="G141" s="143" t="n"/>
      <c r="H141" s="143" t="n"/>
      <c r="I141" s="143" t="n"/>
      <c r="J141" s="143" t="n"/>
      <c r="K141" s="143" t="n"/>
      <c r="L141" s="143" t="n"/>
      <c r="M141" s="143" t="n"/>
      <c r="N141" s="143" t="n"/>
      <c r="O141" s="143" t="n"/>
      <c r="P141" s="143" t="n"/>
      <c r="Q141" s="143" t="n"/>
      <c r="R141" s="143" t="n"/>
      <c r="S141" s="143" t="n"/>
      <c r="T141" s="143" t="n"/>
      <c r="U141" s="143" t="n"/>
      <c r="V141" s="143" t="n"/>
      <c r="W141" s="143" t="n"/>
      <c r="X141" s="143" t="n"/>
      <c r="Y141" s="143" t="n"/>
      <c r="Z141" s="143" t="n"/>
      <c r="AA141" s="143" t="n"/>
      <c r="AB141" s="143" t="n"/>
      <c r="AC141" s="143" t="n"/>
      <c r="AD141" s="143" t="n"/>
      <c r="AE141" s="143" t="n"/>
      <c r="AF141" s="143" t="n"/>
      <c r="AG141" s="143" t="n"/>
      <c r="AH141" s="143" t="n"/>
      <c r="AI141" s="143" t="n"/>
      <c r="AJ141" s="143" t="n"/>
      <c r="AK141" s="143" t="n"/>
      <c r="AL141" s="143" t="n"/>
      <c r="AM141" s="143" t="n"/>
    </row>
    <row r="142" ht="30" customHeight="1">
      <c r="A142" s="42" t="inlineStr">
        <is>
          <t>Witta rent override</t>
        </is>
      </c>
      <c r="B142" s="42" t="n"/>
      <c r="C142" s="42" t="n"/>
      <c r="D142" s="143" t="n"/>
      <c r="E142" s="143" t="n"/>
      <c r="F142" s="143" t="n"/>
      <c r="G142" s="143" t="n"/>
      <c r="H142" s="143" t="n"/>
      <c r="I142" s="143" t="n"/>
      <c r="J142" s="143" t="n"/>
      <c r="K142" s="143" t="n"/>
      <c r="L142" s="143" t="n"/>
      <c r="M142" s="143" t="n"/>
      <c r="N142" s="143" t="n"/>
      <c r="O142" s="143" t="n"/>
      <c r="P142" s="143" t="n"/>
      <c r="Q142" s="143" t="n"/>
      <c r="R142" s="143" t="n"/>
      <c r="S142" s="143" t="n"/>
      <c r="T142" s="143" t="n"/>
      <c r="U142" s="143" t="n"/>
      <c r="V142" s="143" t="n"/>
      <c r="W142" s="143" t="n"/>
      <c r="X142" s="143" t="n"/>
      <c r="Y142" s="143" t="n"/>
      <c r="Z142" s="143" t="n"/>
      <c r="AA142" s="143" t="n"/>
      <c r="AB142" s="143" t="n"/>
      <c r="AC142" s="143" t="n"/>
      <c r="AD142" s="143" t="n"/>
      <c r="AE142" s="143" t="n"/>
      <c r="AF142" s="143" t="n"/>
      <c r="AG142" s="143" t="n"/>
      <c r="AH142" s="143" t="n"/>
      <c r="AI142" s="143" t="n"/>
      <c r="AJ142" s="143" t="n"/>
      <c r="AK142" s="143" t="n"/>
      <c r="AL142" s="143" t="n"/>
      <c r="AM142" s="143" t="n"/>
    </row>
    <row r="143" ht="30" customHeight="1">
      <c r="A143" s="42" t="inlineStr">
        <is>
          <t>Witta insurance override</t>
        </is>
      </c>
      <c r="B143" s="42" t="n"/>
      <c r="C143" s="42" t="n"/>
      <c r="D143" s="143" t="n"/>
      <c r="E143" s="143" t="n"/>
      <c r="F143" s="143" t="n"/>
      <c r="G143" s="143" t="n"/>
      <c r="H143" s="143" t="n"/>
      <c r="I143" s="143" t="n"/>
      <c r="J143" s="143" t="n"/>
      <c r="K143" s="143" t="n"/>
      <c r="L143" s="143" t="n"/>
      <c r="M143" s="143" t="n"/>
      <c r="N143" s="143" t="n"/>
      <c r="O143" s="143" t="n"/>
      <c r="P143" s="143" t="n"/>
      <c r="Q143" s="143" t="n"/>
      <c r="R143" s="143" t="n"/>
      <c r="S143" s="143" t="n"/>
      <c r="T143" s="143" t="n"/>
      <c r="U143" s="143" t="n"/>
      <c r="V143" s="143" t="n"/>
      <c r="W143" s="143" t="n"/>
      <c r="X143" s="143" t="n"/>
      <c r="Y143" s="143" t="n"/>
      <c r="Z143" s="143" t="n"/>
      <c r="AA143" s="143" t="n"/>
      <c r="AB143" s="143" t="n"/>
      <c r="AC143" s="143" t="n"/>
      <c r="AD143" s="143" t="n"/>
      <c r="AE143" s="143" t="n"/>
      <c r="AF143" s="143" t="n"/>
      <c r="AG143" s="143" t="n"/>
      <c r="AH143" s="143" t="n"/>
      <c r="AI143" s="143" t="n"/>
      <c r="AJ143" s="143" t="n"/>
      <c r="AK143" s="143" t="n"/>
      <c r="AL143" s="143" t="n"/>
      <c r="AM143" s="143" t="n"/>
    </row>
    <row r="144" ht="30" customHeight="1">
      <c r="A144" s="42" t="inlineStr">
        <is>
          <t>Witta maintenance override</t>
        </is>
      </c>
      <c r="B144" s="42" t="n"/>
      <c r="C144" s="42" t="n"/>
      <c r="D144" s="143" t="n"/>
      <c r="E144" s="143" t="n"/>
      <c r="F144" s="143" t="n"/>
      <c r="G144" s="143" t="n"/>
      <c r="H144" s="143" t="n"/>
      <c r="I144" s="143" t="n"/>
      <c r="J144" s="143" t="n"/>
      <c r="K144" s="143" t="n"/>
      <c r="L144" s="143" t="n"/>
      <c r="M144" s="143" t="n"/>
      <c r="N144" s="143" t="n"/>
      <c r="O144" s="143" t="n"/>
      <c r="P144" s="143" t="n"/>
      <c r="Q144" s="143" t="n"/>
      <c r="R144" s="143" t="n"/>
      <c r="S144" s="143" t="n"/>
      <c r="T144" s="143" t="n"/>
      <c r="U144" s="143" t="n"/>
      <c r="V144" s="143" t="n"/>
      <c r="W144" s="143" t="n"/>
      <c r="X144" s="143" t="n"/>
      <c r="Y144" s="143" t="n"/>
      <c r="Z144" s="143" t="n"/>
      <c r="AA144" s="143" t="n"/>
      <c r="AB144" s="143" t="n"/>
      <c r="AC144" s="143" t="n"/>
      <c r="AD144" s="143" t="n"/>
      <c r="AE144" s="143" t="n"/>
      <c r="AF144" s="143" t="n"/>
      <c r="AG144" s="143" t="n"/>
      <c r="AH144" s="143" t="n"/>
      <c r="AI144" s="143" t="n"/>
      <c r="AJ144" s="143" t="n"/>
      <c r="AK144" s="143" t="n"/>
      <c r="AL144" s="143" t="n"/>
      <c r="AM144" s="143" t="n"/>
    </row>
    <row r="145" ht="30" customHeight="1">
      <c r="A145" s="42" t="inlineStr">
        <is>
          <t>New 1 coordinator override</t>
        </is>
      </c>
      <c r="B145" s="42" t="n"/>
      <c r="C145" s="42" t="n"/>
      <c r="D145" s="143" t="n"/>
      <c r="E145" s="143" t="n"/>
      <c r="F145" s="143" t="n"/>
      <c r="G145" s="143" t="n"/>
      <c r="H145" s="143" t="n"/>
      <c r="I145" s="143" t="n"/>
      <c r="J145" s="143" t="n"/>
      <c r="K145" s="143" t="n"/>
      <c r="L145" s="143" t="n"/>
      <c r="M145" s="143" t="n"/>
      <c r="N145" s="143" t="n"/>
      <c r="O145" s="143" t="n"/>
      <c r="P145" s="143" t="n"/>
      <c r="Q145" s="143" t="n"/>
      <c r="R145" s="143" t="n"/>
      <c r="S145" s="143" t="n"/>
      <c r="T145" s="143" t="n"/>
      <c r="U145" s="143" t="n"/>
      <c r="V145" s="143" t="n"/>
      <c r="W145" s="143" t="n"/>
      <c r="X145" s="143" t="n"/>
      <c r="Y145" s="143" t="n"/>
      <c r="Z145" s="143" t="n"/>
      <c r="AA145" s="143" t="n"/>
      <c r="AB145" s="143" t="n"/>
      <c r="AC145" s="143" t="n"/>
      <c r="AD145" s="143" t="n"/>
      <c r="AE145" s="143" t="n"/>
      <c r="AF145" s="143" t="n"/>
      <c r="AG145" s="143" t="n"/>
      <c r="AH145" s="143" t="n"/>
      <c r="AI145" s="143" t="n"/>
      <c r="AJ145" s="143" t="n"/>
      <c r="AK145" s="143" t="n"/>
      <c r="AL145" s="143" t="n"/>
      <c r="AM145" s="143" t="n"/>
    </row>
    <row r="146" ht="30" customHeight="1">
      <c r="A146" s="42" t="inlineStr">
        <is>
          <t>New 1 trainer override</t>
        </is>
      </c>
      <c r="B146" s="42" t="n"/>
      <c r="C146" s="42" t="n"/>
      <c r="D146" s="143" t="n"/>
      <c r="E146" s="143" t="n"/>
      <c r="F146" s="143" t="n"/>
      <c r="G146" s="143" t="n"/>
      <c r="H146" s="143" t="n"/>
      <c r="I146" s="143" t="n"/>
      <c r="J146" s="143" t="n"/>
      <c r="K146" s="143" t="n"/>
      <c r="L146" s="143" t="n"/>
      <c r="M146" s="143" t="n"/>
      <c r="N146" s="143" t="n"/>
      <c r="O146" s="143" t="n"/>
      <c r="P146" s="143" t="n"/>
      <c r="Q146" s="143" t="n"/>
      <c r="R146" s="143" t="n"/>
      <c r="S146" s="143" t="n"/>
      <c r="T146" s="143" t="n"/>
      <c r="U146" s="143" t="n"/>
      <c r="V146" s="143" t="n"/>
      <c r="W146" s="143" t="n"/>
      <c r="X146" s="143" t="n"/>
      <c r="Y146" s="143" t="n"/>
      <c r="Z146" s="143" t="n"/>
      <c r="AA146" s="143" t="n"/>
      <c r="AB146" s="143" t="n"/>
      <c r="AC146" s="143" t="n"/>
      <c r="AD146" s="143" t="n"/>
      <c r="AE146" s="143" t="n"/>
      <c r="AF146" s="143" t="n"/>
      <c r="AG146" s="143" t="n"/>
      <c r="AH146" s="143" t="n"/>
      <c r="AI146" s="143" t="n"/>
      <c r="AJ146" s="143" t="n"/>
      <c r="AK146" s="143" t="n"/>
      <c r="AL146" s="143" t="n"/>
      <c r="AM146" s="143" t="n"/>
    </row>
    <row r="147" ht="30" customHeight="1">
      <c r="A147" s="42" t="inlineStr">
        <is>
          <t>New 1 rent override</t>
        </is>
      </c>
      <c r="B147" s="42" t="n"/>
      <c r="C147" s="42" t="n"/>
      <c r="D147" s="143" t="n"/>
      <c r="E147" s="143" t="n"/>
      <c r="F147" s="143" t="n"/>
      <c r="G147" s="143" t="n"/>
      <c r="H147" s="143" t="n"/>
      <c r="I147" s="143" t="n"/>
      <c r="J147" s="143" t="n"/>
      <c r="K147" s="143" t="n"/>
      <c r="L147" s="143" t="n"/>
      <c r="M147" s="143" t="n"/>
      <c r="N147" s="143" t="n"/>
      <c r="O147" s="143" t="n"/>
      <c r="P147" s="143" t="n"/>
      <c r="Q147" s="143" t="n"/>
      <c r="R147" s="143" t="n"/>
      <c r="S147" s="143" t="n"/>
      <c r="T147" s="143" t="n"/>
      <c r="U147" s="143" t="n"/>
      <c r="V147" s="143" t="n"/>
      <c r="W147" s="143" t="n"/>
      <c r="X147" s="143" t="n"/>
      <c r="Y147" s="143" t="n"/>
      <c r="Z147" s="143" t="n"/>
      <c r="AA147" s="143" t="n"/>
      <c r="AB147" s="143" t="n"/>
      <c r="AC147" s="143" t="n"/>
      <c r="AD147" s="143" t="n"/>
      <c r="AE147" s="143" t="n"/>
      <c r="AF147" s="143" t="n"/>
      <c r="AG147" s="143" t="n"/>
      <c r="AH147" s="143" t="n"/>
      <c r="AI147" s="143" t="n"/>
      <c r="AJ147" s="143" t="n"/>
      <c r="AK147" s="143" t="n"/>
      <c r="AL147" s="143" t="n"/>
      <c r="AM147" s="143" t="n"/>
    </row>
    <row r="148" ht="30" customHeight="1">
      <c r="A148" s="42" t="inlineStr">
        <is>
          <t>New 1 insurance override</t>
        </is>
      </c>
      <c r="B148" s="42" t="n"/>
      <c r="C148" s="42" t="n"/>
      <c r="D148" s="143" t="n"/>
      <c r="E148" s="143" t="n"/>
      <c r="F148" s="143" t="n"/>
      <c r="G148" s="143" t="n"/>
      <c r="H148" s="143" t="n"/>
      <c r="I148" s="143" t="n"/>
      <c r="J148" s="143" t="n"/>
      <c r="K148" s="143" t="n"/>
      <c r="L148" s="143" t="n"/>
      <c r="M148" s="143" t="n"/>
      <c r="N148" s="143" t="n"/>
      <c r="O148" s="143" t="n"/>
      <c r="P148" s="143" t="n"/>
      <c r="Q148" s="143" t="n"/>
      <c r="R148" s="143" t="n"/>
      <c r="S148" s="143" t="n"/>
      <c r="T148" s="143" t="n"/>
      <c r="U148" s="143" t="n"/>
      <c r="V148" s="143" t="n"/>
      <c r="W148" s="143" t="n"/>
      <c r="X148" s="143" t="n"/>
      <c r="Y148" s="143" t="n"/>
      <c r="Z148" s="143" t="n"/>
      <c r="AA148" s="143" t="n"/>
      <c r="AB148" s="143" t="n"/>
      <c r="AC148" s="143" t="n"/>
      <c r="AD148" s="143" t="n"/>
      <c r="AE148" s="143" t="n"/>
      <c r="AF148" s="143" t="n"/>
      <c r="AG148" s="143" t="n"/>
      <c r="AH148" s="143" t="n"/>
      <c r="AI148" s="143" t="n"/>
      <c r="AJ148" s="143" t="n"/>
      <c r="AK148" s="143" t="n"/>
      <c r="AL148" s="143" t="n"/>
      <c r="AM148" s="143" t="n"/>
    </row>
    <row r="149" ht="30" customHeight="1">
      <c r="A149" s="42" t="inlineStr">
        <is>
          <t>New 1 maintenance override</t>
        </is>
      </c>
      <c r="B149" s="42" t="n"/>
      <c r="C149" s="42" t="n"/>
      <c r="D149" s="143" t="n"/>
      <c r="E149" s="143" t="n"/>
      <c r="F149" s="143" t="n"/>
      <c r="G149" s="143" t="n"/>
      <c r="H149" s="143" t="n"/>
      <c r="I149" s="143" t="n"/>
      <c r="J149" s="143" t="n"/>
      <c r="K149" s="143" t="n"/>
      <c r="L149" s="143" t="n"/>
      <c r="M149" s="143" t="n"/>
      <c r="N149" s="143" t="n"/>
      <c r="O149" s="143" t="n"/>
      <c r="P149" s="143" t="n"/>
      <c r="Q149" s="143" t="n"/>
      <c r="R149" s="143" t="n"/>
      <c r="S149" s="143" t="n"/>
      <c r="T149" s="143" t="n"/>
      <c r="U149" s="143" t="n"/>
      <c r="V149" s="143" t="n"/>
      <c r="W149" s="143" t="n"/>
      <c r="X149" s="143" t="n"/>
      <c r="Y149" s="143" t="n"/>
      <c r="Z149" s="143" t="n"/>
      <c r="AA149" s="143" t="n"/>
      <c r="AB149" s="143" t="n"/>
      <c r="AC149" s="143" t="n"/>
      <c r="AD149" s="143" t="n"/>
      <c r="AE149" s="143" t="n"/>
      <c r="AF149" s="143" t="n"/>
      <c r="AG149" s="143" t="n"/>
      <c r="AH149" s="143" t="n"/>
      <c r="AI149" s="143" t="n"/>
      <c r="AJ149" s="143" t="n"/>
      <c r="AK149" s="143" t="n"/>
      <c r="AL149" s="143" t="n"/>
      <c r="AM149" s="143" t="n"/>
    </row>
    <row r="150" ht="30" customHeight="1">
      <c r="A150" s="42" t="inlineStr">
        <is>
          <t>New 2 coordinator override</t>
        </is>
      </c>
      <c r="B150" s="42" t="n"/>
      <c r="C150" s="42" t="n"/>
      <c r="D150" s="143" t="n"/>
      <c r="E150" s="143" t="n"/>
      <c r="F150" s="143" t="n"/>
      <c r="G150" s="143" t="n"/>
      <c r="H150" s="143" t="n"/>
      <c r="I150" s="143" t="n"/>
      <c r="J150" s="143" t="n"/>
      <c r="K150" s="143" t="n"/>
      <c r="L150" s="143" t="n"/>
      <c r="M150" s="143" t="n"/>
      <c r="N150" s="143" t="n"/>
      <c r="O150" s="143" t="n"/>
      <c r="P150" s="143" t="n"/>
      <c r="Q150" s="143" t="n"/>
      <c r="R150" s="143" t="n"/>
      <c r="S150" s="143" t="n"/>
      <c r="T150" s="143" t="n"/>
      <c r="U150" s="143" t="n"/>
      <c r="V150" s="143" t="n"/>
      <c r="W150" s="143" t="n"/>
      <c r="X150" s="143" t="n"/>
      <c r="Y150" s="143" t="n"/>
      <c r="Z150" s="143" t="n"/>
      <c r="AA150" s="143" t="n"/>
      <c r="AB150" s="143" t="n"/>
      <c r="AC150" s="143" t="n"/>
      <c r="AD150" s="143" t="n"/>
      <c r="AE150" s="143" t="n"/>
      <c r="AF150" s="143" t="n"/>
      <c r="AG150" s="143" t="n"/>
      <c r="AH150" s="143" t="n"/>
      <c r="AI150" s="143" t="n"/>
      <c r="AJ150" s="143" t="n"/>
      <c r="AK150" s="143" t="n"/>
      <c r="AL150" s="143" t="n"/>
      <c r="AM150" s="143" t="n"/>
    </row>
    <row r="151" ht="30" customHeight="1">
      <c r="A151" s="42" t="inlineStr">
        <is>
          <t>New 2 trainer override</t>
        </is>
      </c>
      <c r="B151" s="42" t="n"/>
      <c r="C151" s="42" t="n"/>
      <c r="D151" s="143" t="n"/>
      <c r="E151" s="143" t="n"/>
      <c r="F151" s="143" t="n"/>
      <c r="G151" s="143" t="n"/>
      <c r="H151" s="143" t="n"/>
      <c r="I151" s="143" t="n"/>
      <c r="J151" s="143" t="n"/>
      <c r="K151" s="143" t="n"/>
      <c r="L151" s="143" t="n"/>
      <c r="M151" s="143" t="n"/>
      <c r="N151" s="143" t="n"/>
      <c r="O151" s="143" t="n"/>
      <c r="P151" s="143" t="n"/>
      <c r="Q151" s="143" t="n"/>
      <c r="R151" s="143" t="n"/>
      <c r="S151" s="143" t="n"/>
      <c r="T151" s="143" t="n"/>
      <c r="U151" s="143" t="n"/>
      <c r="V151" s="143" t="n"/>
      <c r="W151" s="143" t="n"/>
      <c r="X151" s="143" t="n"/>
      <c r="Y151" s="143" t="n"/>
      <c r="Z151" s="143" t="n"/>
      <c r="AA151" s="143" t="n"/>
      <c r="AB151" s="143" t="n"/>
      <c r="AC151" s="143" t="n"/>
      <c r="AD151" s="143" t="n"/>
      <c r="AE151" s="143" t="n"/>
      <c r="AF151" s="143" t="n"/>
      <c r="AG151" s="143" t="n"/>
      <c r="AH151" s="143" t="n"/>
      <c r="AI151" s="143" t="n"/>
      <c r="AJ151" s="143" t="n"/>
      <c r="AK151" s="143" t="n"/>
      <c r="AL151" s="143" t="n"/>
      <c r="AM151" s="143" t="n"/>
    </row>
    <row r="152" ht="30" customHeight="1">
      <c r="A152" s="42" t="inlineStr">
        <is>
          <t>New 2 rent override</t>
        </is>
      </c>
      <c r="B152" s="42" t="n"/>
      <c r="C152" s="42" t="n"/>
      <c r="D152" s="143" t="n"/>
      <c r="E152" s="143" t="n"/>
      <c r="F152" s="143" t="n"/>
      <c r="G152" s="143" t="n"/>
      <c r="H152" s="143" t="n"/>
      <c r="I152" s="143" t="n"/>
      <c r="J152" s="143" t="n"/>
      <c r="K152" s="143" t="n"/>
      <c r="L152" s="143" t="n"/>
      <c r="M152" s="143" t="n"/>
      <c r="N152" s="143" t="n"/>
      <c r="O152" s="143" t="n"/>
      <c r="P152" s="143" t="n"/>
      <c r="Q152" s="143" t="n"/>
      <c r="R152" s="143" t="n"/>
      <c r="S152" s="143" t="n"/>
      <c r="T152" s="143" t="n"/>
      <c r="U152" s="143" t="n"/>
      <c r="V152" s="143" t="n"/>
      <c r="W152" s="143" t="n"/>
      <c r="X152" s="143" t="n"/>
      <c r="Y152" s="143" t="n"/>
      <c r="Z152" s="143" t="n"/>
      <c r="AA152" s="143" t="n"/>
      <c r="AB152" s="143" t="n"/>
      <c r="AC152" s="143" t="n"/>
      <c r="AD152" s="143" t="n"/>
      <c r="AE152" s="143" t="n"/>
      <c r="AF152" s="143" t="n"/>
      <c r="AG152" s="143" t="n"/>
      <c r="AH152" s="143" t="n"/>
      <c r="AI152" s="143" t="n"/>
      <c r="AJ152" s="143" t="n"/>
      <c r="AK152" s="143" t="n"/>
      <c r="AL152" s="143" t="n"/>
      <c r="AM152" s="143" t="n"/>
    </row>
    <row r="153" ht="30" customHeight="1">
      <c r="A153" s="42" t="inlineStr">
        <is>
          <t>New 2 insurance override</t>
        </is>
      </c>
      <c r="B153" s="42" t="n"/>
      <c r="C153" s="42" t="n"/>
      <c r="D153" s="143" t="n"/>
      <c r="E153" s="143" t="n"/>
      <c r="F153" s="143" t="n"/>
      <c r="G153" s="143" t="n"/>
      <c r="H153" s="143" t="n"/>
      <c r="I153" s="143" t="n"/>
      <c r="J153" s="143" t="n"/>
      <c r="K153" s="143" t="n"/>
      <c r="L153" s="143" t="n"/>
      <c r="M153" s="143" t="n"/>
      <c r="N153" s="143" t="n"/>
      <c r="O153" s="143" t="n"/>
      <c r="P153" s="143" t="n"/>
      <c r="Q153" s="143" t="n"/>
      <c r="R153" s="143" t="n"/>
      <c r="S153" s="143" t="n"/>
      <c r="T153" s="143" t="n"/>
      <c r="U153" s="143" t="n"/>
      <c r="V153" s="143" t="n"/>
      <c r="W153" s="143" t="n"/>
      <c r="X153" s="143" t="n"/>
      <c r="Y153" s="143" t="n"/>
      <c r="Z153" s="143" t="n"/>
      <c r="AA153" s="143" t="n"/>
      <c r="AB153" s="143" t="n"/>
      <c r="AC153" s="143" t="n"/>
      <c r="AD153" s="143" t="n"/>
      <c r="AE153" s="143" t="n"/>
      <c r="AF153" s="143" t="n"/>
      <c r="AG153" s="143" t="n"/>
      <c r="AH153" s="143" t="n"/>
      <c r="AI153" s="143" t="n"/>
      <c r="AJ153" s="143" t="n"/>
      <c r="AK153" s="143" t="n"/>
      <c r="AL153" s="143" t="n"/>
      <c r="AM153" s="143" t="n"/>
    </row>
    <row r="154" ht="30" customHeight="1">
      <c r="A154" s="42" t="inlineStr">
        <is>
          <t>New 2 maintenance override</t>
        </is>
      </c>
      <c r="B154" s="42" t="n"/>
      <c r="C154" s="42" t="n"/>
      <c r="D154" s="143" t="n"/>
      <c r="E154" s="143" t="n"/>
      <c r="F154" s="143" t="n"/>
      <c r="G154" s="143" t="n"/>
      <c r="H154" s="143" t="n"/>
      <c r="I154" s="143" t="n"/>
      <c r="J154" s="143" t="n"/>
      <c r="K154" s="143" t="n"/>
      <c r="L154" s="143" t="n"/>
      <c r="M154" s="143" t="n"/>
      <c r="N154" s="143" t="n"/>
      <c r="O154" s="143" t="n"/>
      <c r="P154" s="143" t="n"/>
      <c r="Q154" s="143" t="n"/>
      <c r="R154" s="143" t="n"/>
      <c r="S154" s="143" t="n"/>
      <c r="T154" s="143" t="n"/>
      <c r="U154" s="143" t="n"/>
      <c r="V154" s="143" t="n"/>
      <c r="W154" s="143" t="n"/>
      <c r="X154" s="143" t="n"/>
      <c r="Y154" s="143" t="n"/>
      <c r="Z154" s="143" t="n"/>
      <c r="AA154" s="143" t="n"/>
      <c r="AB154" s="143" t="n"/>
      <c r="AC154" s="143" t="n"/>
      <c r="AD154" s="143" t="n"/>
      <c r="AE154" s="143" t="n"/>
      <c r="AF154" s="143" t="n"/>
      <c r="AG154" s="143" t="n"/>
      <c r="AH154" s="143" t="n"/>
      <c r="AI154" s="143" t="n"/>
      <c r="AJ154" s="143" t="n"/>
      <c r="AK154" s="143" t="n"/>
      <c r="AL154" s="143" t="n"/>
      <c r="AM154" s="143" t="n"/>
    </row>
  </sheetData>
  <mergeCells count="91">
    <mergeCell ref="H21:M21"/>
    <mergeCell ref="D18:G18"/>
    <mergeCell ref="D8:G8"/>
    <mergeCell ref="H7:M7"/>
    <mergeCell ref="D20:G20"/>
    <mergeCell ref="H27:M27"/>
    <mergeCell ref="H33:M33"/>
    <mergeCell ref="D45:G45"/>
    <mergeCell ref="H42:M42"/>
    <mergeCell ref="D6:G6"/>
    <mergeCell ref="D21:G21"/>
    <mergeCell ref="D13:G13"/>
    <mergeCell ref="H35:M35"/>
    <mergeCell ref="D48:G48"/>
    <mergeCell ref="D7:G7"/>
    <mergeCell ref="H9:M9"/>
    <mergeCell ref="H39:M39"/>
    <mergeCell ref="A1:AM1"/>
    <mergeCell ref="H46:M46"/>
    <mergeCell ref="D24:G24"/>
    <mergeCell ref="D33:G33"/>
    <mergeCell ref="D42:G42"/>
    <mergeCell ref="H45:M45"/>
    <mergeCell ref="D26:G26"/>
    <mergeCell ref="D35:G35"/>
    <mergeCell ref="D50:G50"/>
    <mergeCell ref="D44:G44"/>
    <mergeCell ref="H13:M13"/>
    <mergeCell ref="D19:G19"/>
    <mergeCell ref="D34:G34"/>
    <mergeCell ref="H47:M47"/>
    <mergeCell ref="H15:M15"/>
    <mergeCell ref="H24:M24"/>
    <mergeCell ref="D36:G36"/>
    <mergeCell ref="H18:M18"/>
    <mergeCell ref="H8:M8"/>
    <mergeCell ref="D11:G11"/>
    <mergeCell ref="H26:M26"/>
    <mergeCell ref="H10:M10"/>
    <mergeCell ref="H41:M41"/>
    <mergeCell ref="H50:M50"/>
    <mergeCell ref="D47:G47"/>
    <mergeCell ref="A83:AM83"/>
    <mergeCell ref="H25:M25"/>
    <mergeCell ref="H34:M34"/>
    <mergeCell ref="D37:G37"/>
    <mergeCell ref="D9:G9"/>
    <mergeCell ref="H49:M49"/>
    <mergeCell ref="D39:G39"/>
    <mergeCell ref="H36:M36"/>
    <mergeCell ref="D15:G15"/>
    <mergeCell ref="H17:M17"/>
    <mergeCell ref="D29:G29"/>
    <mergeCell ref="H11:M11"/>
    <mergeCell ref="D38:G38"/>
    <mergeCell ref="H19:M19"/>
    <mergeCell ref="H28:M28"/>
    <mergeCell ref="A3:AM3"/>
    <mergeCell ref="H37:M37"/>
    <mergeCell ref="D10:G10"/>
    <mergeCell ref="H12:M12"/>
    <mergeCell ref="H48:M48"/>
    <mergeCell ref="H5:M5"/>
    <mergeCell ref="H14:M14"/>
    <mergeCell ref="H23:M23"/>
    <mergeCell ref="D49:G49"/>
    <mergeCell ref="D27:G27"/>
    <mergeCell ref="H38:M38"/>
    <mergeCell ref="H43:M43"/>
    <mergeCell ref="D17:G17"/>
    <mergeCell ref="H40:M40"/>
    <mergeCell ref="D28:G28"/>
    <mergeCell ref="D12:G12"/>
    <mergeCell ref="D25:G25"/>
    <mergeCell ref="D30:G30"/>
    <mergeCell ref="D5:G5"/>
    <mergeCell ref="A99:AM99"/>
    <mergeCell ref="D14:G14"/>
    <mergeCell ref="H16:M16"/>
    <mergeCell ref="A108:AM108"/>
    <mergeCell ref="D23:G23"/>
    <mergeCell ref="D46:G46"/>
    <mergeCell ref="D40:G40"/>
    <mergeCell ref="H30:M30"/>
    <mergeCell ref="H20:M20"/>
    <mergeCell ref="H29:M29"/>
    <mergeCell ref="D41:G41"/>
    <mergeCell ref="D16:G16"/>
    <mergeCell ref="H44:M44"/>
    <mergeCell ref="D43:G43"/>
    <mergeCell ref="H6:M6"/>
  </mergeCells>
  <dataValidations count="4">
    <dataValidation sqref="B6" showDropDown="0" showInputMessage="0" showErrorMessage="0" allowBlank="0" type="list">
      <formula1>"Full,Smaller,No QBE,Delayed receipts,Lower sales"</formula1>
    </dataValidation>
    <dataValidation sqref="B8" showDropDown="0" showInputMessage="0" showErrorMessage="0" allowBlank="0" type="list">
      <formula1>"No,Yes"</formula1>
    </dataValidation>
    <dataValidation sqref="B9" showDropDown="0" showInputMessage="0" showErrorMessage="0" allowBlank="0" type="list">
      <formula1>"No,Yes"</formula1>
    </dataValidation>
    <dataValidation sqref="B45" showDropDown="0" showInputMessage="0" showErrorMessage="0" allowBlank="0" type="list">
      <formula1>"No,Yes"</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90"/>
  <sheetViews>
    <sheetView showGridLines="0" workbookViewId="0">
      <pane ySplit="5" topLeftCell="A6" activePane="bottomLeft" state="frozen"/>
      <selection activeCell="A1" sqref="A1"/>
    </sheetView>
  </sheetViews>
  <sheetFormatPr baseColWidth="8" defaultRowHeight="15"/>
  <cols>
    <col width="38" customWidth="1" min="1" max="1"/>
    <col width="18" customWidth="1" min="2" max="2"/>
    <col width="18" customWidth="1" min="3" max="3"/>
    <col width="29" customWidth="1" min="4" max="4"/>
    <col width="50" customWidth="1" min="5" max="5"/>
    <col width="26" customWidth="1" min="6" max="6"/>
  </cols>
  <sheetData>
    <row r="1" ht="38" customHeight="1">
      <c r="A1" s="5" t="inlineStr">
        <is>
          <t>NM production and costing</t>
        </is>
      </c>
    </row>
    <row r="2" ht="28" customHeight="1">
      <c r="A2" s="4" t="n"/>
      <c r="B2" s="4" t="n"/>
      <c r="C2" s="4" t="n"/>
      <c r="D2" s="4" t="n"/>
      <c r="E2" s="4" t="n"/>
      <c r="F2" s="4" t="n"/>
    </row>
    <row r="3" ht="54" customHeight="1">
      <c r="A3" s="6" t="inlineStr">
        <is>
          <t>Source process assumptions feed every site and scenario. Stock figures below are old snapshots; the forecast uses only stock explicitly entered on Sites.</t>
        </is>
      </c>
    </row>
    <row r="4" ht="28" customHeight="1">
      <c r="A4" s="4" t="n"/>
      <c r="B4" s="4" t="n"/>
      <c r="C4" s="4" t="n"/>
      <c r="D4" s="4" t="n"/>
      <c r="E4" s="4" t="n"/>
      <c r="F4" s="4" t="n"/>
    </row>
    <row r="5" ht="54" customHeight="1">
      <c r="A5" s="8" t="inlineStr">
        <is>
          <t>Process input</t>
        </is>
      </c>
      <c r="B5" s="8" t="inlineStr">
        <is>
          <t>Value</t>
        </is>
      </c>
      <c r="C5" s="8" t="inlineStr">
        <is>
          <t>Unit</t>
        </is>
      </c>
      <c r="D5" s="8" t="inlineStr">
        <is>
          <t>Original source</t>
        </is>
      </c>
      <c r="E5" s="8" t="inlineStr">
        <is>
          <t>Use in the model</t>
        </is>
      </c>
      <c r="F5" s="8" t="inlineStr">
        <is>
          <t>Status</t>
        </is>
      </c>
    </row>
    <row r="6" ht="38" customHeight="1">
      <c r="A6" s="4" t="inlineStr">
        <is>
          <t>Default production route</t>
        </is>
      </c>
      <c r="B6" s="144" t="inlineStr">
        <is>
          <t>Own sheets</t>
        </is>
      </c>
      <c r="C6" s="4" t="inlineStr">
        <is>
          <t>route</t>
        </is>
      </c>
      <c r="D6" s="4" t="inlineStr">
        <is>
          <t>Making plan B6</t>
        </is>
      </c>
      <c r="E6" s="4" t="inlineStr">
        <is>
          <t>Sites link here unless overridden</t>
        </is>
      </c>
      <c r="F6" s="4" t="inlineStr">
        <is>
          <t>Planning</t>
        </is>
      </c>
    </row>
    <row r="7" ht="38" customHeight="1">
      <c r="A7" s="4" t="inlineStr">
        <is>
          <t>Days per week</t>
        </is>
      </c>
      <c r="B7" s="144" t="n">
        <v>5</v>
      </c>
      <c r="C7" s="4" t="inlineStr">
        <is>
          <t>days</t>
        </is>
      </c>
      <c r="D7" s="4" t="inlineStr">
        <is>
          <t>Making plan B7</t>
        </is>
      </c>
      <c r="E7" s="4" t="inlineStr">
        <is>
          <t>Weekly capacity</t>
        </is>
      </c>
      <c r="F7" s="4" t="inlineStr">
        <is>
          <t>Planning</t>
        </is>
      </c>
    </row>
    <row r="8" ht="38" customHeight="1">
      <c r="A8" s="4" t="inlineStr">
        <is>
          <t>Weeks per planning month</t>
        </is>
      </c>
      <c r="B8" s="144" t="n">
        <v>4</v>
      </c>
      <c r="C8" s="4" t="inlineStr">
        <is>
          <t>weeks</t>
        </is>
      </c>
      <c r="D8" s="4" t="inlineStr">
        <is>
          <t>Making plan B8</t>
        </is>
      </c>
      <c r="E8" s="4" t="inlineStr">
        <is>
          <t>Monthly process benchmark</t>
        </is>
      </c>
      <c r="F8" s="4" t="inlineStr">
        <is>
          <t>Planning</t>
        </is>
      </c>
    </row>
    <row r="9" ht="38" customHeight="1">
      <c r="A9" s="4" t="inlineStr">
        <is>
          <t>Productive weeks per year</t>
        </is>
      </c>
      <c r="B9" s="144" t="n">
        <v>48</v>
      </c>
      <c r="C9" s="4" t="inlineStr">
        <is>
          <t>weeks</t>
        </is>
      </c>
      <c r="D9" s="4" t="inlineStr">
        <is>
          <t>Making plan B9</t>
        </is>
      </c>
      <c r="E9" s="4" t="inlineStr">
        <is>
          <t>Annual benchmark; Sites controls scheduled days</t>
        </is>
      </c>
      <c r="F9" s="4" t="inlineStr">
        <is>
          <t>Planning</t>
        </is>
      </c>
    </row>
    <row r="10" ht="38" customHeight="1">
      <c r="A10" s="4" t="inlineStr">
        <is>
          <t>Pressed sheets per day</t>
        </is>
      </c>
      <c r="B10" s="144">
        <f>'Source records'!E1670</f>
        <v/>
      </c>
      <c r="C10" s="4" t="inlineStr">
        <is>
          <t>sheets/day</t>
        </is>
      </c>
      <c r="D10" s="4" t="inlineStr">
        <is>
          <t>NM Play B66</t>
        </is>
      </c>
      <c r="E10" s="4" t="inlineStr">
        <is>
          <t>Press capacity, raw input, power</t>
        </is>
      </c>
      <c r="F10" s="4" t="inlineStr">
        <is>
          <t>Unverified sustained rate</t>
        </is>
      </c>
    </row>
    <row r="11" ht="38" customHeight="1">
      <c r="A11" s="4" t="inlineStr">
        <is>
          <t>Tabs per bed</t>
        </is>
      </c>
      <c r="B11" s="144" t="n">
        <v>8</v>
      </c>
      <c r="C11" s="4" t="inlineStr">
        <is>
          <t>pieces</t>
        </is>
      </c>
      <c r="D11" s="4" t="inlineStr">
        <is>
          <t>Making plan B11</t>
        </is>
      </c>
      <c r="E11" s="4" t="inlineStr">
        <is>
          <t>Material conversion</t>
        </is>
      </c>
      <c r="F11" s="4" t="inlineStr">
        <is>
          <t>Ben, 6 September</t>
        </is>
      </c>
    </row>
    <row r="12" ht="38" customHeight="1">
      <c r="A12" s="4" t="inlineStr">
        <is>
          <t>Leg pieces per bed</t>
        </is>
      </c>
      <c r="B12" s="144" t="n">
        <v>8</v>
      </c>
      <c r="C12" s="4" t="inlineStr">
        <is>
          <t>pieces</t>
        </is>
      </c>
      <c r="D12" s="4" t="inlineStr">
        <is>
          <t>Making plan B12</t>
        </is>
      </c>
      <c r="E12" s="4" t="inlineStr">
        <is>
          <t>Material conversion</t>
        </is>
      </c>
      <c r="F12" s="4" t="inlineStr">
        <is>
          <t>Ben, 6 September</t>
        </is>
      </c>
    </row>
    <row r="13" ht="38" customHeight="1">
      <c r="A13" s="4" t="inlineStr">
        <is>
          <t>Tabs per sheet</t>
        </is>
      </c>
      <c r="B13" s="144" t="n">
        <v>8</v>
      </c>
      <c r="C13" s="4" t="inlineStr">
        <is>
          <t>pieces</t>
        </is>
      </c>
      <c r="D13" s="4" t="inlineStr">
        <is>
          <t>Making plan B13</t>
        </is>
      </c>
      <c r="E13" s="4" t="inlineStr">
        <is>
          <t>Sheet conversion</t>
        </is>
      </c>
      <c r="F13" s="4" t="inlineStr">
        <is>
          <t>Working yield</t>
        </is>
      </c>
    </row>
    <row r="14" ht="38" customHeight="1">
      <c r="A14" s="4" t="inlineStr">
        <is>
          <t>Legs per sheet</t>
        </is>
      </c>
      <c r="B14" s="144" t="n">
        <v>8</v>
      </c>
      <c r="C14" s="4" t="inlineStr">
        <is>
          <t>pieces</t>
        </is>
      </c>
      <c r="D14" s="4" t="inlineStr">
        <is>
          <t>Making plan B14</t>
        </is>
      </c>
      <c r="E14" s="4" t="inlineStr">
        <is>
          <t>Sheet conversion</t>
        </is>
      </c>
      <c r="F14" s="4" t="inlineStr">
        <is>
          <t>Working yield</t>
        </is>
      </c>
    </row>
    <row r="15" ht="38" customHeight="1">
      <c r="A15" s="4" t="inlineStr">
        <is>
          <t>Tab sheets cut per day</t>
        </is>
      </c>
      <c r="B15" s="144" t="n">
        <v>22</v>
      </c>
      <c r="C15" s="4" t="inlineStr">
        <is>
          <t>sheets/day</t>
        </is>
      </c>
      <c r="D15" s="4" t="inlineStr">
        <is>
          <t>Making plan B15</t>
        </is>
      </c>
      <c r="E15" s="4" t="inlineStr">
        <is>
          <t>Shared CNC time</t>
        </is>
      </c>
      <c r="F15" s="4" t="inlineStr">
        <is>
          <t>Buffered source rate</t>
        </is>
      </c>
    </row>
    <row r="16" ht="38" customHeight="1">
      <c r="A16" s="4" t="inlineStr">
        <is>
          <t>Leg sheets cut per day</t>
        </is>
      </c>
      <c r="B16" s="144" t="n">
        <v>14</v>
      </c>
      <c r="C16" s="4" t="inlineStr">
        <is>
          <t>sheets/day</t>
        </is>
      </c>
      <c r="D16" s="4" t="inlineStr">
        <is>
          <t>Making plan B16</t>
        </is>
      </c>
      <c r="E16" s="4" t="inlineStr">
        <is>
          <t>Shared CNC time</t>
        </is>
      </c>
      <c r="F16" s="4" t="inlineStr">
        <is>
          <t>Buffered source rate</t>
        </is>
      </c>
    </row>
    <row r="17" ht="38" customHeight="1">
      <c r="A17" s="4" t="inlineStr">
        <is>
          <t>Working minutes per day</t>
        </is>
      </c>
      <c r="B17" s="144" t="n">
        <v>480</v>
      </c>
      <c r="C17" s="4" t="inlineStr">
        <is>
          <t>minutes</t>
        </is>
      </c>
      <c r="D17" s="4" t="inlineStr">
        <is>
          <t>Making plan B17</t>
        </is>
      </c>
      <c r="E17" s="4" t="inlineStr">
        <is>
          <t>Paid-time benchmark</t>
        </is>
      </c>
      <c r="F17" s="4" t="inlineStr">
        <is>
          <t>Planning</t>
        </is>
      </c>
    </row>
    <row r="18" ht="38" customHeight="1">
      <c r="A18" s="4" t="inlineStr">
        <is>
          <t>Ready tabs snapshot</t>
        </is>
      </c>
      <c r="B18" s="144" t="n">
        <v>660</v>
      </c>
      <c r="C18" s="4" t="inlineStr">
        <is>
          <t>pieces</t>
        </is>
      </c>
      <c r="D18" s="4" t="inlineStr">
        <is>
          <t>Making plan B18</t>
        </is>
      </c>
      <c r="E18" s="4" t="inlineStr">
        <is>
          <t>Batch benchmark only</t>
        </is>
      </c>
      <c r="F18" s="4" t="inlineStr">
        <is>
          <t>Count requires refresh</t>
        </is>
      </c>
    </row>
    <row r="19" ht="38" customHeight="1">
      <c r="A19" s="4" t="inlineStr">
        <is>
          <t>Ready legs snapshot</t>
        </is>
      </c>
      <c r="B19" s="144" t="n">
        <v>464</v>
      </c>
      <c r="C19" s="4" t="inlineStr">
        <is>
          <t>pieces</t>
        </is>
      </c>
      <c r="D19" s="4" t="inlineStr">
        <is>
          <t>Making plan B19</t>
        </is>
      </c>
      <c r="E19" s="4" t="inlineStr">
        <is>
          <t>Batch benchmark only</t>
        </is>
      </c>
      <c r="F19" s="4" t="inlineStr">
        <is>
          <t>Count requires refresh</t>
        </is>
      </c>
    </row>
    <row r="20" ht="38" customHeight="1">
      <c r="A20" s="4" t="inlineStr">
        <is>
          <t>Raw plastic snapshot</t>
        </is>
      </c>
      <c r="B20" s="144" t="n">
        <v>1800</v>
      </c>
      <c r="C20" s="4" t="inlineStr">
        <is>
          <t>kg</t>
        </is>
      </c>
      <c r="D20" s="4" t="inlineStr">
        <is>
          <t>Making plan B20</t>
        </is>
      </c>
      <c r="E20" s="4" t="inlineStr">
        <is>
          <t>Batch purchasing benchmark</t>
        </is>
      </c>
      <c r="F20" s="4" t="inlineStr">
        <is>
          <t>Count requires refresh</t>
        </is>
      </c>
    </row>
    <row r="21" ht="38" customHeight="1">
      <c r="A21" s="4" t="inlineStr">
        <is>
          <t>Plastic per pressed sheet</t>
        </is>
      </c>
      <c r="B21" s="144" t="n">
        <v>10</v>
      </c>
      <c r="C21" s="4" t="inlineStr">
        <is>
          <t>kg</t>
        </is>
      </c>
      <c r="D21" s="4" t="inlineStr">
        <is>
          <t>Ben 9 Sep 2026: a leg sheet takes 21 kg of shred, a tab sheet 15 kg; one of each per bed, so 36 kg of shred is pressed for one bed. The finished bed is 20 kg (two legs at 10 kg; tab mass to weigh). The offcut from the melt edge and the CNC router, about 16 kg, is shredded again for the next beds. Net new shred per bed is therefore about 20 kg, which is what this model charges (10 kg a sheet net). Press throughput still counts two sheets a bed.</t>
        </is>
      </c>
      <c r="E21" s="4" t="inlineStr">
        <is>
          <t>Gross material consumption</t>
        </is>
      </c>
      <c r="F21" s="4" t="inlineStr">
        <is>
          <t>Reconcile against product mass</t>
        </is>
      </c>
    </row>
    <row r="22" ht="38" customHeight="1">
      <c r="A22" s="4" t="inlineStr">
        <is>
          <t>Raw plastic price</t>
        </is>
      </c>
      <c r="B22" s="144" t="n">
        <v>3</v>
      </c>
      <c r="C22" s="4" t="inlineStr">
        <is>
          <t>AUD/kg</t>
        </is>
      </c>
      <c r="D22" s="4" t="inlineStr">
        <is>
          <t>Defy shred: $2.00/kg at 1,200 kg (INV-1731, QU0467), $1.80/kg at 1,800 kg (INV-1940). Coloured: black $3, red and yellow $5 (INV-1955). Model keeps $3 as the conservative all-in rate until freight per kg is settled.</t>
        </is>
      </c>
      <c r="E22" s="4" t="inlineStr">
        <is>
          <t>Material purchases and inventory use</t>
        </is>
      </c>
      <c r="F22" s="4" t="inlineStr">
        <is>
          <t>NM planning price</t>
        </is>
      </c>
    </row>
    <row r="23" ht="38" customHeight="1">
      <c r="A23" s="4" t="inlineStr">
        <is>
          <t>Electricity per press day</t>
        </is>
      </c>
      <c r="B23" s="144">
        <f>'Source records'!E1674</f>
        <v/>
      </c>
      <c r="C23" s="4" t="inlineStr">
        <is>
          <t>AUD/day</t>
        </is>
      </c>
      <c r="D23" s="4" t="inlineStr">
        <is>
          <t>NM Play B67</t>
        </is>
      </c>
      <c r="E23" s="4" t="inlineStr">
        <is>
          <t>Press days × daily rate</t>
        </is>
      </c>
      <c r="F23" s="4" t="inlineStr">
        <is>
          <t>Estimate</t>
        </is>
      </c>
    </row>
    <row r="24" ht="38" customHeight="1">
      <c r="A24" s="4" t="inlineStr">
        <is>
          <t>Joey / production crew</t>
        </is>
      </c>
      <c r="B24" s="144">
        <f>'Source records'!E1718</f>
        <v/>
      </c>
      <c r="C24" s="4" t="inlineStr">
        <is>
          <t>AUD/day</t>
        </is>
      </c>
      <c r="D24" s="4" t="inlineStr">
        <is>
          <t>NM Play B87</t>
        </is>
      </c>
      <c r="E24" s="4" t="inlineStr">
        <is>
          <t>Charged only in NM crew mode</t>
        </is>
      </c>
      <c r="F24" s="4" t="inlineStr">
        <is>
          <t>Scope to reconcile</t>
        </is>
      </c>
    </row>
    <row r="25" ht="38" customHeight="1">
      <c r="A25" s="4" t="inlineStr">
        <is>
          <t>Katrina / additional crew</t>
        </is>
      </c>
      <c r="B25" s="144" t="n"/>
      <c r="C25" s="4" t="inlineStr">
        <is>
          <t>AUD/day</t>
        </is>
      </c>
      <c r="D25" s="4" t="inlineStr">
        <is>
          <t>NM Play B88 blank</t>
        </is>
      </c>
      <c r="E25" s="4" t="inlineStr">
        <is>
          <t>Unknown crew allowance</t>
        </is>
      </c>
      <c r="F25" s="4" t="inlineStr">
        <is>
          <t>Unpriced</t>
        </is>
      </c>
    </row>
    <row r="26" ht="38" customHeight="1">
      <c r="A26" s="4" t="inlineStr">
        <is>
          <t>Consumables</t>
        </is>
      </c>
      <c r="B26" s="144">
        <f>'Source records'!E1723</f>
        <v/>
      </c>
      <c r="C26" s="4" t="inlineStr">
        <is>
          <t>AUD/day</t>
        </is>
      </c>
      <c r="D26" s="4" t="inlineStr">
        <is>
          <t>NM Play B89</t>
        </is>
      </c>
      <c r="E26" s="4" t="inlineStr">
        <is>
          <t>Production days × daily rate</t>
        </is>
      </c>
      <c r="F26" s="4" t="inlineStr">
        <is>
          <t>Overlap to review</t>
        </is>
      </c>
    </row>
    <row r="27" ht="38" customHeight="1">
      <c r="A27" s="4" t="inlineStr">
        <is>
          <t>Rent under NM daily basis</t>
        </is>
      </c>
      <c r="B27" s="144">
        <f>'Source records'!E1726</f>
        <v/>
      </c>
      <c r="C27" s="4" t="inlineStr">
        <is>
          <t>AUD/day</t>
        </is>
      </c>
      <c r="D27" s="4" t="inlineStr">
        <is>
          <t>NM Play B90</t>
        </is>
      </c>
      <c r="E27" s="4" t="inlineStr">
        <is>
          <t>Charged only in NM crew mode</t>
        </is>
      </c>
      <c r="F27" s="4" t="inlineStr">
        <is>
          <t>Annual-rent alternative</t>
        </is>
      </c>
    </row>
    <row r="28" ht="38" customHeight="1">
      <c r="A28" s="4" t="inlineStr">
        <is>
          <t>Defy leg panels</t>
        </is>
      </c>
      <c r="B28" s="144" t="n">
        <v>200</v>
      </c>
      <c r="C28" s="4" t="inlineStr">
        <is>
          <t>AUD/bed</t>
        </is>
      </c>
      <c r="D28" s="4" t="inlineStr">
        <is>
          <t>Making plan B25; NM Play B82. Defy INV-1731 (27 Mar 2026): 1200 x 1200 x 19 mm jungle half sheet $200 ex GST at bulk rate; full 1200 x 2400 panel $446.10 less 10% = $401.49 (INV-1840, INV-1951). One half sheet per bed (INV-1602: 8 full sheets credited as 16 beds). Freight extra: $980 for 20 full panels to Witta. Was 160, unsourced.</t>
        </is>
      </c>
      <c r="E28" s="4" t="inlineStr">
        <is>
          <t>Still require cutting</t>
        </is>
      </c>
      <c r="F28" s="4" t="inlineStr">
        <is>
          <t>Quote/scope to confirm</t>
        </is>
      </c>
    </row>
    <row r="29" ht="38" customHeight="1">
      <c r="A29" s="4" t="inlineStr">
        <is>
          <t>Poles</t>
        </is>
      </c>
      <c r="B29" s="144">
        <f>'Source records'!E1540</f>
        <v/>
      </c>
      <c r="C29" s="4" t="inlineStr">
        <is>
          <t>AUD/bed</t>
        </is>
      </c>
      <c r="D29" s="4" t="inlineStr">
        <is>
          <t>NM Play D7</t>
        </is>
      </c>
      <c r="E29" s="4" t="inlineStr">
        <is>
          <t>Bought parts for every bed</t>
        </is>
      </c>
      <c r="F29" s="4" t="inlineStr">
        <is>
          <t>Source cost</t>
        </is>
      </c>
    </row>
    <row r="30" ht="38" customHeight="1">
      <c r="A30" s="4" t="inlineStr">
        <is>
          <t>Canvas</t>
        </is>
      </c>
      <c r="B30" s="144">
        <f>'Source records'!E1545</f>
        <v/>
      </c>
      <c r="C30" s="4" t="inlineStr">
        <is>
          <t>AUD/bed</t>
        </is>
      </c>
      <c r="D30" s="4" t="inlineStr">
        <is>
          <t>NM Play D8</t>
        </is>
      </c>
      <c r="E30" s="4" t="inlineStr">
        <is>
          <t>Bought parts for every bed</t>
        </is>
      </c>
      <c r="F30" s="4" t="inlineStr">
        <is>
          <t>Source cost</t>
        </is>
      </c>
    </row>
    <row r="31" ht="38" customHeight="1">
      <c r="A31" s="4" t="inlineStr">
        <is>
          <t>Hardware</t>
        </is>
      </c>
      <c r="B31" s="144">
        <f>'Source records'!E1550</f>
        <v/>
      </c>
      <c r="C31" s="4" t="inlineStr">
        <is>
          <t>AUD/bed</t>
        </is>
      </c>
      <c r="D31" s="4" t="inlineStr">
        <is>
          <t>NM Play D9</t>
        </is>
      </c>
      <c r="E31" s="4" t="inlineStr">
        <is>
          <t>Bought parts for every bed</t>
        </is>
      </c>
      <c r="F31" s="4" t="inlineStr">
        <is>
          <t>Mixed evidence</t>
        </is>
      </c>
    </row>
    <row r="32" ht="38" customHeight="1">
      <c r="A32" s="4" t="inlineStr">
        <is>
          <t>Extra assembly allowance</t>
        </is>
      </c>
      <c r="B32" s="144">
        <f>'Source records'!E1554</f>
        <v/>
      </c>
      <c r="C32" s="4" t="inlineStr">
        <is>
          <t>AUD/bed</t>
        </is>
      </c>
      <c r="D32" s="4" t="inlineStr">
        <is>
          <t>NM Play D10</t>
        </is>
      </c>
      <c r="E32" s="4" t="inlineStr">
        <is>
          <t>Only the share selected on Sites is added</t>
        </is>
      </c>
      <c r="F32" s="4" t="inlineStr">
        <is>
          <t>Avoid duplicate crew charge</t>
        </is>
      </c>
    </row>
    <row r="33" ht="38" customHeight="1">
      <c r="A33" s="4" t="inlineStr">
        <is>
          <t>Edging / finishing allowance</t>
        </is>
      </c>
      <c r="B33" s="144" t="n"/>
      <c r="C33" s="4" t="inlineStr">
        <is>
          <t>AUD/day</t>
        </is>
      </c>
      <c r="D33" s="4" t="inlineStr">
        <is>
          <t>NM Play A77 unpriced</t>
        </is>
      </c>
      <c r="E33" s="4" t="inlineStr">
        <is>
          <t>Additional production-day allowance</t>
        </is>
      </c>
      <c r="F33" s="4" t="inlineStr">
        <is>
          <t>Unpriced</t>
        </is>
      </c>
    </row>
    <row r="34" ht="38" customHeight="1">
      <c r="A34" s="4" t="inlineStr">
        <is>
          <t>Shredding allowance</t>
        </is>
      </c>
      <c r="B34" s="144" t="n"/>
      <c r="C34" s="4" t="inlineStr">
        <is>
          <t>AUD/day</t>
        </is>
      </c>
      <c r="D34" s="4" t="inlineStr">
        <is>
          <t>NM Play A78 unpriced</t>
        </is>
      </c>
      <c r="E34" s="4" t="inlineStr">
        <is>
          <t>Additional production-day allowance</t>
        </is>
      </c>
      <c r="F34" s="4" t="inlineStr">
        <is>
          <t>Unpriced</t>
        </is>
      </c>
    </row>
    <row r="35" ht="38" customHeight="1">
      <c r="A35" s="4" t="inlineStr">
        <is>
          <t>Extra raw material allowance</t>
        </is>
      </c>
      <c r="B35" s="145" t="n">
        <v>0</v>
      </c>
      <c r="C35" s="4" t="inlineStr">
        <is>
          <t>rate</t>
        </is>
      </c>
      <c r="D35" s="4" t="inlineStr">
        <is>
          <t>Planning assumption</t>
        </is>
      </c>
      <c r="E35" s="4" t="inlineStr">
        <is>
          <t>Extra raw kg for waste/rework; no recovered scrap credit</t>
        </is>
      </c>
      <c r="F35" s="4" t="inlineStr">
        <is>
          <t>Yield not measured</t>
        </is>
      </c>
    </row>
    <row r="36" ht="38" customHeight="1">
      <c r="A36" s="4" t="inlineStr">
        <is>
          <t>Assembly capacity</t>
        </is>
      </c>
      <c r="B36" s="144" t="n">
        <v>5</v>
      </c>
      <c r="C36" s="4" t="inlineStr">
        <is>
          <t>beds/day</t>
        </is>
      </c>
      <c r="D36" s="4" t="inlineStr">
        <is>
          <t>Earlier unit-model rate</t>
        </is>
      </c>
      <c r="E36" s="4" t="inlineStr">
        <is>
          <t>Independent assembly ceiling; verify staffing</t>
        </is>
      </c>
      <c r="F36" s="4" t="inlineStr">
        <is>
          <t>Planning</t>
        </is>
      </c>
    </row>
    <row r="37" ht="38" customHeight="1">
      <c r="A37" s="4" t="inlineStr">
        <is>
          <t>Crew hours per paid day</t>
        </is>
      </c>
      <c r="B37" s="144" t="n">
        <v>8</v>
      </c>
      <c r="C37" s="4" t="inlineStr">
        <is>
          <t>hours</t>
        </is>
      </c>
      <c r="D37" s="4" t="inlineStr">
        <is>
          <t>480-minute source day</t>
        </is>
      </c>
      <c r="E37" s="4" t="inlineStr">
        <is>
          <t>NM paid-hours scenario only</t>
        </is>
      </c>
      <c r="F37" s="4" t="inlineStr">
        <is>
          <t>Not actual paid work</t>
        </is>
      </c>
    </row>
    <row r="38" ht="38" customHeight="1">
      <c r="A38" s="4" t="inlineStr">
        <is>
          <t>Bed design mass</t>
        </is>
      </c>
      <c r="B38" s="144" t="n">
        <v>20</v>
      </c>
      <c r="C38" s="4" t="inlineStr">
        <is>
          <t>kg/bed</t>
        </is>
      </c>
      <c r="D38" s="4" t="inlineStr">
        <is>
          <t>Current product convention</t>
        </is>
      </c>
      <c r="E38" s="4" t="inlineStr">
        <is>
          <t>Modelled in-product mass, not weighed diversion</t>
        </is>
      </c>
      <c r="F38" s="4" t="inlineStr">
        <is>
          <t>Definition conflict remains</t>
        </is>
      </c>
    </row>
    <row r="39" ht="38" customHeight="1">
      <c r="A39" s="4" t="inlineStr">
        <is>
          <t>Legacy hours-per-bed estimate</t>
        </is>
      </c>
      <c r="B39" s="144" t="n">
        <v>4.8</v>
      </c>
      <c r="C39" s="4" t="inlineStr">
        <is>
          <t>hours/bed</t>
        </is>
      </c>
      <c r="D39" s="4" t="inlineStr">
        <is>
          <t>NM Cashflow row 19</t>
        </is>
      </c>
      <c r="E39" s="4" t="inlineStr">
        <is>
          <t>Comparison only, not used as paid-work evidence</t>
        </is>
      </c>
      <c r="F39" s="4" t="inlineStr">
        <is>
          <t>Not measured</t>
        </is>
      </c>
    </row>
    <row r="40" ht="38" customHeight="1">
      <c r="A40" s="4" t="n"/>
      <c r="B40" s="4" t="n"/>
      <c r="C40" s="4" t="n"/>
      <c r="D40" s="4" t="n"/>
      <c r="E40" s="4" t="n"/>
      <c r="F40" s="4" t="n"/>
    </row>
    <row r="41" ht="38" customHeight="1">
      <c r="A41" s="4" t="n"/>
      <c r="B41" s="4" t="n"/>
      <c r="C41" s="4" t="n"/>
      <c r="D41" s="4" t="n"/>
      <c r="E41" s="4" t="n"/>
      <c r="F41" s="4" t="n"/>
    </row>
    <row r="42" ht="38" customHeight="1">
      <c r="A42" s="8" t="inlineStr">
        <is>
          <t>Process result</t>
        </is>
      </c>
      <c r="B42" s="8" t="inlineStr">
        <is>
          <t>Own sheets</t>
        </is>
      </c>
      <c r="C42" s="8" t="inlineStr">
        <is>
          <t>Defy legs</t>
        </is>
      </c>
      <c r="D42" s="8" t="inlineStr">
        <is>
          <t>Unit</t>
        </is>
      </c>
      <c r="E42" s="8" t="inlineStr">
        <is>
          <t>Interpretation</t>
        </is>
      </c>
      <c r="F42" s="8" t="str"/>
    </row>
    <row r="43" ht="38" customHeight="1">
      <c r="A43" s="4" t="inlineStr">
        <is>
          <t>Tab sheets per bed</t>
        </is>
      </c>
      <c r="B43" s="146">
        <f>$B$11/$B$13</f>
        <v/>
      </c>
      <c r="C43" s="146">
        <f>$B$11/$B$13</f>
        <v/>
      </c>
      <c r="D43" s="4" t="inlineStr">
        <is>
          <t>sheets/bed</t>
        </is>
      </c>
      <c r="E43" s="4" t="n"/>
      <c r="F43" s="4" t="n"/>
    </row>
    <row r="44" ht="38" customHeight="1">
      <c r="A44" s="4" t="inlineStr">
        <is>
          <t>Leg sheets per bed</t>
        </is>
      </c>
      <c r="B44" s="146">
        <f>$B$12/$B$14</f>
        <v/>
      </c>
      <c r="C44" s="146">
        <f>$B$12/$B$14</f>
        <v/>
      </c>
      <c r="D44" s="4" t="inlineStr">
        <is>
          <t>sheets/bed</t>
        </is>
      </c>
      <c r="E44" s="4" t="n"/>
      <c r="F44" s="4" t="n"/>
    </row>
    <row r="45" ht="38" customHeight="1">
      <c r="A45" s="4" t="inlineStr">
        <is>
          <t>Sheets pressed per bed</t>
        </is>
      </c>
      <c r="B45" s="146">
        <f>SUM(B43:B44)</f>
        <v/>
      </c>
      <c r="C45" s="146">
        <f>C43</f>
        <v/>
      </c>
      <c r="D45" s="4" t="inlineStr">
        <is>
          <t>sheets/bed</t>
        </is>
      </c>
      <c r="E45" s="4" t="n"/>
      <c r="F45" s="4" t="n"/>
    </row>
    <row r="46" ht="38" customHeight="1">
      <c r="A46" s="4" t="inlineStr">
        <is>
          <t>Press throughput</t>
        </is>
      </c>
      <c r="B46" s="146">
        <f>$B$10/B45</f>
        <v/>
      </c>
      <c r="C46" s="146">
        <f>$B$10/C45</f>
        <v/>
      </c>
      <c r="D46" s="4" t="inlineStr">
        <is>
          <t>sets/day</t>
        </is>
      </c>
      <c r="E46" s="4" t="n"/>
      <c r="F46" s="4" t="n"/>
    </row>
    <row r="47" ht="38" customHeight="1">
      <c r="A47" s="4" t="inlineStr">
        <is>
          <t>Shared CNC throughput</t>
        </is>
      </c>
      <c r="B47" s="146">
        <f>1/(B43/$B$15+B44/$B$16)</f>
        <v/>
      </c>
      <c r="C47" s="146">
        <f>1/(C43/$B$15+C44/$B$16)</f>
        <v/>
      </c>
      <c r="D47" s="4" t="inlineStr">
        <is>
          <t>sets/day</t>
        </is>
      </c>
      <c r="E47" s="4" t="n"/>
      <c r="F47" s="4" t="n"/>
    </row>
    <row r="48" ht="38" customHeight="1">
      <c r="A48" s="4" t="inlineStr">
        <is>
          <t>HDPE throughput ceiling</t>
        </is>
      </c>
      <c r="B48" s="146">
        <f>MIN(B46:B47)</f>
        <v/>
      </c>
      <c r="C48" s="146">
        <f>MIN(C46:C47)</f>
        <v/>
      </c>
      <c r="D48" s="4" t="inlineStr">
        <is>
          <t>sets/day</t>
        </is>
      </c>
      <c r="E48" s="4" t="n"/>
      <c r="F48" s="4" t="n"/>
    </row>
    <row r="49" ht="38" customHeight="1">
      <c r="A49" s="4" t="inlineStr">
        <is>
          <t>Finished-bed planning ceiling</t>
        </is>
      </c>
      <c r="B49" s="146">
        <f>MIN(B48,$B$36)</f>
        <v/>
      </c>
      <c r="C49" s="146">
        <f>MIN(C48,$B$36)</f>
        <v/>
      </c>
      <c r="D49" s="4" t="inlineStr">
        <is>
          <t>beds/day</t>
        </is>
      </c>
      <c r="E49" s="4" t="n"/>
      <c r="F49" s="4" t="n"/>
    </row>
    <row r="50" ht="38" customHeight="1">
      <c r="A50" s="4" t="inlineStr">
        <is>
          <t>Sets per week</t>
        </is>
      </c>
      <c r="B50" s="146">
        <f>B48*$B$7</f>
        <v/>
      </c>
      <c r="C50" s="146">
        <f>C48*$B$7</f>
        <v/>
      </c>
      <c r="D50" s="4" t="inlineStr">
        <is>
          <t>sets/week</t>
        </is>
      </c>
      <c r="E50" s="4" t="n"/>
      <c r="F50" s="4" t="n"/>
    </row>
    <row r="51" ht="38" customHeight="1">
      <c r="A51" s="4" t="inlineStr">
        <is>
          <t>Sets per planning month</t>
        </is>
      </c>
      <c r="B51" s="146">
        <f>B50*$B$8</f>
        <v/>
      </c>
      <c r="C51" s="146">
        <f>C50*$B$8</f>
        <v/>
      </c>
      <c r="D51" s="4" t="inlineStr">
        <is>
          <t>sets/month</t>
        </is>
      </c>
      <c r="E51" s="4" t="n"/>
      <c r="F51" s="4" t="n"/>
    </row>
    <row r="52" ht="38" customHeight="1">
      <c r="A52" s="4" t="inlineStr">
        <is>
          <t>Sets per productive year</t>
        </is>
      </c>
      <c r="B52" s="146">
        <f>B50*$B$9</f>
        <v/>
      </c>
      <c r="C52" s="146">
        <f>C50*$B$9</f>
        <v/>
      </c>
      <c r="D52" s="4" t="inlineStr">
        <is>
          <t>sets/year</t>
        </is>
      </c>
      <c r="E52" s="4" t="n"/>
      <c r="F52" s="4" t="n"/>
    </row>
    <row r="53" ht="38" customHeight="1">
      <c r="A53" s="4" t="inlineStr">
        <is>
          <t>Balanced ready sets</t>
        </is>
      </c>
      <c r="B53" s="146">
        <f>MIN(ROUNDDOWN($B$18/$B$11,0),ROUNDDOWN($B$19/$B$12,0))</f>
        <v/>
      </c>
      <c r="C53" s="146">
        <f>MIN(ROUNDDOWN($B$18/$B$11,0),ROUNDDOWN($B$19/$B$12,0))</f>
        <v/>
      </c>
      <c r="D53" s="4" t="inlineStr">
        <is>
          <t>sets</t>
        </is>
      </c>
      <c r="E53" s="4" t="n"/>
      <c r="F53" s="4" t="n"/>
    </row>
    <row r="54" ht="38" customHeight="1">
      <c r="A54" s="4" t="inlineStr">
        <is>
          <t>Raw-stock press days</t>
        </is>
      </c>
      <c r="B54" s="146">
        <f>$B$20/($B$10*$B$21)</f>
        <v/>
      </c>
      <c r="C54" s="146">
        <f>$B$20/($B$10*$B$21)</f>
        <v/>
      </c>
      <c r="D54" s="4" t="inlineStr">
        <is>
          <t>days</t>
        </is>
      </c>
      <c r="E54" s="4" t="n"/>
      <c r="F54" s="4" t="n"/>
    </row>
    <row r="55" ht="38" customHeight="1">
      <c r="A55" s="4" t="n"/>
      <c r="B55" s="146" t="n"/>
      <c r="C55" s="146" t="n"/>
      <c r="D55" s="4" t="n"/>
      <c r="E55" s="4" t="n"/>
      <c r="F55" s="4" t="n"/>
    </row>
    <row r="56" ht="38" customHeight="1">
      <c r="A56" s="4" t="n"/>
      <c r="B56" s="146" t="n"/>
      <c r="C56" s="146" t="n"/>
      <c r="D56" s="4" t="n"/>
      <c r="E56" s="4" t="n"/>
      <c r="F56" s="4" t="n"/>
    </row>
    <row r="57" ht="38" customHeight="1">
      <c r="A57" s="8" t="inlineStr">
        <is>
          <t>Unit-cost component</t>
        </is>
      </c>
      <c r="B57" s="147" t="n"/>
      <c r="C57" s="147" t="n"/>
      <c r="D57" s="8" t="n"/>
      <c r="E57" s="8" t="n"/>
      <c r="F57" s="8" t="n"/>
    </row>
    <row r="58" ht="38" customHeight="1">
      <c r="A58" s="4" t="inlineStr">
        <is>
          <t>Raw plastic / panels</t>
        </is>
      </c>
      <c r="B58" s="148">
        <f>B45*$B$21*$B$22*(1+$B$35)</f>
        <v/>
      </c>
      <c r="C58" s="148">
        <f>C45*$B$21*$B$22*(1+$B$35)+$B$28</f>
        <v/>
      </c>
      <c r="D58" s="4" t="inlineStr">
        <is>
          <t>AUD/bed</t>
        </is>
      </c>
      <c r="E58" s="4" t="n"/>
      <c r="F58" s="4" t="n"/>
    </row>
    <row r="59" ht="38" customHeight="1">
      <c r="A59" s="4" t="inlineStr">
        <is>
          <t>Electricity</t>
        </is>
      </c>
      <c r="B59" s="148">
        <f>B45/$B$10*$B$23</f>
        <v/>
      </c>
      <c r="C59" s="148">
        <f>C45/$B$10*$B$23</f>
        <v/>
      </c>
      <c r="D59" s="4" t="inlineStr">
        <is>
          <t>AUD/bed</t>
        </is>
      </c>
      <c r="E59" s="4" t="n"/>
      <c r="F59" s="4" t="n"/>
    </row>
    <row r="60" ht="38" customHeight="1">
      <c r="A60" s="4" t="inlineStr">
        <is>
          <t>Consumables</t>
        </is>
      </c>
      <c r="B60" s="148">
        <f>($B$26+SUM($B$33:$B$34))/B49</f>
        <v/>
      </c>
      <c r="C60" s="148">
        <f>($B$26+SUM($B$33:$B$34))/C49</f>
        <v/>
      </c>
      <c r="D60" s="4" t="inlineStr">
        <is>
          <t>AUD/bed</t>
        </is>
      </c>
      <c r="E60" s="4" t="n"/>
      <c r="F60" s="4" t="n"/>
    </row>
    <row r="61" ht="38" customHeight="1">
      <c r="A61" s="4" t="inlineStr">
        <is>
          <t>Bought parts</t>
        </is>
      </c>
      <c r="B61" s="148">
        <f>SUM($B$29:$B$31)</f>
        <v/>
      </c>
      <c r="C61" s="148">
        <f>SUM($B$29:$B$31)</f>
        <v/>
      </c>
      <c r="D61" s="4" t="inlineStr">
        <is>
          <t>AUD/bed</t>
        </is>
      </c>
      <c r="E61" s="4" t="n"/>
      <c r="F61" s="4" t="n"/>
    </row>
    <row r="62" ht="38" customHeight="1">
      <c r="A62" s="4" t="inlineStr">
        <is>
          <t>NM daily crew</t>
        </is>
      </c>
      <c r="B62" s="148">
        <f>SUM($B$24:$B$25)/B49</f>
        <v/>
      </c>
      <c r="C62" s="148">
        <f>SUM($B$24:$B$25)/C49</f>
        <v/>
      </c>
      <c r="D62" s="4" t="inlineStr">
        <is>
          <t>AUD/bed</t>
        </is>
      </c>
      <c r="E62" s="4" t="n"/>
      <c r="F62" s="4" t="n"/>
    </row>
    <row r="63" ht="38" customHeight="1">
      <c r="A63" s="4" t="inlineStr">
        <is>
          <t>NM daily rent</t>
        </is>
      </c>
      <c r="B63" s="148">
        <f>$B$27/B49</f>
        <v/>
      </c>
      <c r="C63" s="148">
        <f>$B$27/C49</f>
        <v/>
      </c>
      <c r="D63" s="4" t="inlineStr">
        <is>
          <t>AUD/bed</t>
        </is>
      </c>
      <c r="E63" s="4" t="n"/>
      <c r="F63" s="4" t="n"/>
    </row>
    <row r="64" ht="38" customHeight="1">
      <c r="A64" s="4" t="inlineStr">
        <is>
          <t>Assembly allowance</t>
        </is>
      </c>
      <c r="B64" s="148">
        <f>$B$32</f>
        <v/>
      </c>
      <c r="C64" s="148">
        <f>$B$32</f>
        <v/>
      </c>
      <c r="D64" s="4" t="inlineStr">
        <is>
          <t>AUD/bed</t>
        </is>
      </c>
      <c r="E64" s="4" t="n"/>
      <c r="F64" s="4" t="n"/>
    </row>
    <row r="65" ht="38" customHeight="1">
      <c r="A65" s="4" t="inlineStr">
        <is>
          <t>Priced NM cost before freight</t>
        </is>
      </c>
      <c r="B65" s="148">
        <f>SUM(B58:B64)</f>
        <v/>
      </c>
      <c r="C65" s="148">
        <f>SUM(C58:C64)</f>
        <v/>
      </c>
      <c r="D65" s="4" t="inlineStr">
        <is>
          <t>AUD/bed</t>
        </is>
      </c>
      <c r="E65" s="4" t="inlineStr">
        <is>
          <t>Daily crew and rent included; freight excluded. A comparison, not an additional charge to the annual-staff budget.</t>
        </is>
      </c>
      <c r="F65" s="4" t="n"/>
    </row>
    <row r="66" ht="38" customHeight="1">
      <c r="A66" s="4" t="inlineStr">
        <is>
          <t>Annual-staff cost before freight</t>
        </is>
      </c>
      <c r="B66" s="148">
        <f>SUM(B58:B61)</f>
        <v/>
      </c>
      <c r="C66" s="148">
        <f>SUM(C58:C61)</f>
        <v/>
      </c>
      <c r="D66" s="4" t="inlineStr">
        <is>
          <t>AUD/bed</t>
        </is>
      </c>
      <c r="E66" s="4" t="inlineStr">
        <is>
          <t>Excludes crew, rent and extra assembly; annual staffing/rent enter Costs once.</t>
        </is>
      </c>
      <c r="F66" s="4" t="n"/>
    </row>
    <row r="67" ht="38" customHeight="1">
      <c r="A67" s="4" t="inlineStr">
        <is>
          <t>Unpriced process lines</t>
        </is>
      </c>
      <c r="B67" s="146">
        <f>COUNTBLANK($B$25)+COUNTBLANK($B$33:$B$34)</f>
        <v/>
      </c>
      <c r="C67" s="146">
        <f>COUNTBLANK($B$25)+COUNTBLANK($B$33:$B$34)</f>
        <v/>
      </c>
      <c r="D67" s="4" t="inlineStr">
        <is>
          <t>count</t>
        </is>
      </c>
      <c r="E67" s="4" t="n"/>
      <c r="F67" s="4" t="n"/>
    </row>
    <row r="68" ht="38" customHeight="1">
      <c r="A68" s="4" t="n"/>
      <c r="B68" s="146" t="n"/>
      <c r="C68" s="146" t="n"/>
      <c r="D68" s="4" t="n"/>
      <c r="E68" s="4" t="n"/>
      <c r="F68" s="4" t="n"/>
    </row>
    <row r="69" ht="38" customHeight="1">
      <c r="A69" s="4" t="n"/>
      <c r="B69" s="146" t="n"/>
      <c r="C69" s="146" t="n"/>
      <c r="D69" s="4" t="n"/>
      <c r="E69" s="4" t="n"/>
      <c r="F69" s="4" t="n"/>
    </row>
    <row r="70" ht="38" customHeight="1">
      <c r="A70" s="8" t="inlineStr">
        <is>
          <t>Batch benchmark</t>
        </is>
      </c>
      <c r="B70" s="147" t="n"/>
      <c r="C70" s="147" t="n"/>
      <c r="D70" s="8" t="n"/>
      <c r="E70" s="8" t="n"/>
      <c r="F70" s="8" t="n"/>
    </row>
    <row r="71" ht="38" customHeight="1">
      <c r="A71" s="4" t="inlineStr">
        <is>
          <t>Target beds</t>
        </is>
      </c>
      <c r="B71" s="146">
        <f>'Source records'!E207</f>
        <v/>
      </c>
      <c r="C71" s="146">
        <f>'Source records'!E207</f>
        <v/>
      </c>
      <c r="D71" s="4" t="inlineStr">
        <is>
          <t>beds</t>
        </is>
      </c>
      <c r="E71" s="4" t="inlineStr">
        <is>
          <t>523-bed source batch. Separate from the selected funded programme.</t>
        </is>
      </c>
      <c r="F71" s="4" t="n"/>
    </row>
    <row r="72" ht="38" customHeight="1">
      <c r="A72" s="4" t="inlineStr">
        <is>
          <t>New tab sheets</t>
        </is>
      </c>
      <c r="B72" s="146">
        <f>ROUNDUP(MAX(0,B71*$B$11-$B$18)/$B$13,0)</f>
        <v/>
      </c>
      <c r="C72" s="146">
        <f>ROUNDUP(MAX(0,C71*$B$11-$B$18)/$B$13,0)</f>
        <v/>
      </c>
      <c r="D72" s="4" t="inlineStr">
        <is>
          <t>sheets</t>
        </is>
      </c>
      <c r="E72" s="4" t="n"/>
      <c r="F72" s="4" t="n"/>
    </row>
    <row r="73" ht="38" customHeight="1">
      <c r="A73" s="4" t="inlineStr">
        <is>
          <t>New leg sheets</t>
        </is>
      </c>
      <c r="B73" s="146">
        <f>ROUNDUP(MAX(0,B71*$B$12-$B$19)/$B$14,0)</f>
        <v/>
      </c>
      <c r="C73" s="146">
        <f>ROUNDUP(MAX(0,C71*$B$12-$B$19)/$B$14,0)</f>
        <v/>
      </c>
      <c r="D73" s="4" t="inlineStr">
        <is>
          <t>sheets</t>
        </is>
      </c>
      <c r="E73" s="4" t="n"/>
      <c r="F73" s="4" t="n"/>
    </row>
    <row r="74" ht="38" customHeight="1">
      <c r="A74" s="4" t="inlineStr">
        <is>
          <t>Press days</t>
        </is>
      </c>
      <c r="B74" s="146">
        <f>(B72+B73)/$B$10</f>
        <v/>
      </c>
      <c r="C74" s="146">
        <f>(C72)/$B$10</f>
        <v/>
      </c>
      <c r="D74" s="4" t="inlineStr">
        <is>
          <t>days</t>
        </is>
      </c>
      <c r="E74" s="4" t="n"/>
      <c r="F74" s="4" t="n"/>
    </row>
    <row r="75" ht="38" customHeight="1">
      <c r="A75" s="4" t="inlineStr">
        <is>
          <t>Shared CNC days</t>
        </is>
      </c>
      <c r="B75" s="146">
        <f>B72/$B$15+B73/$B$16</f>
        <v/>
      </c>
      <c r="C75" s="146">
        <f>C72/$B$15+C73/$B$16</f>
        <v/>
      </c>
      <c r="D75" s="4" t="inlineStr">
        <is>
          <t>days</t>
        </is>
      </c>
      <c r="E75" s="4" t="n"/>
      <c r="F75" s="4" t="n"/>
    </row>
    <row r="76" ht="38" customHeight="1">
      <c r="A76" s="4" t="inlineStr">
        <is>
          <t>Raw plastic required</t>
        </is>
      </c>
      <c r="B76" s="146">
        <f>B74*$B$10*$B$21*(1+$B$35)</f>
        <v/>
      </c>
      <c r="C76" s="146">
        <f>C74*$B$10*$B$21*(1+$B$35)</f>
        <v/>
      </c>
      <c r="D76" s="4" t="inlineStr">
        <is>
          <t>kg</t>
        </is>
      </c>
      <c r="E76" s="4" t="n"/>
      <c r="F76" s="4" t="n"/>
    </row>
    <row r="77" ht="38" customHeight="1">
      <c r="A77" s="4" t="inlineStr">
        <is>
          <t>Extra raw plastic to purchase</t>
        </is>
      </c>
      <c r="B77" s="146">
        <f>MAX(0,B76-$B$20)</f>
        <v/>
      </c>
      <c r="C77" s="146">
        <f>MAX(0,C76-$B$20)</f>
        <v/>
      </c>
      <c r="D77" s="4" t="inlineStr">
        <is>
          <t>kg</t>
        </is>
      </c>
      <c r="E77" s="4" t="n"/>
      <c r="F77" s="4" t="n"/>
    </row>
    <row r="78" ht="38" customHeight="1">
      <c r="A78" s="4" t="inlineStr">
        <is>
          <t>Raw purchase budget</t>
        </is>
      </c>
      <c r="B78" s="146">
        <f>B77*$B$22</f>
        <v/>
      </c>
      <c r="C78" s="146">
        <f>C77*$B$22</f>
        <v/>
      </c>
      <c r="D78" s="4" t="inlineStr">
        <is>
          <t>AUD</t>
        </is>
      </c>
      <c r="E78" s="4" t="n"/>
      <c r="F78" s="4" t="n"/>
    </row>
    <row r="79" ht="38" customHeight="1">
      <c r="A79" s="4" t="inlineStr">
        <is>
          <t>Regional target alternative</t>
        </is>
      </c>
      <c r="B79" s="146">
        <f>'Source records'!E332</f>
        <v/>
      </c>
      <c r="C79" s="146" t="n"/>
      <c r="D79" s="4" t="inlineStr">
        <is>
          <t>beds</t>
        </is>
      </c>
      <c r="E79" s="4" t="inlineStr">
        <is>
          <t>1,000-bed regional idea. Never added automatically to funded delivery.</t>
        </is>
      </c>
      <c r="F79" s="4" t="n"/>
    </row>
    <row r="80" ht="38" customHeight="1">
      <c r="A80" s="4" t="inlineStr">
        <is>
          <t>Legacy batch alternative</t>
        </is>
      </c>
      <c r="B80" s="146">
        <f>'Source records'!E207</f>
        <v/>
      </c>
      <c r="C80" s="146" t="n"/>
      <c r="D80" s="4" t="inlineStr">
        <is>
          <t>beds</t>
        </is>
      </c>
      <c r="E80" s="4" t="n"/>
      <c r="F80" s="4" t="n"/>
    </row>
    <row r="81" ht="38" customHeight="1">
      <c r="A81" s="4" t="n"/>
      <c r="B81" s="146" t="n"/>
      <c r="C81" s="146" t="n"/>
      <c r="D81" s="4" t="n"/>
      <c r="E81" s="4" t="n"/>
      <c r="F81" s="4" t="n"/>
    </row>
    <row r="82" ht="38" customHeight="1">
      <c r="A82" s="4" t="n"/>
      <c r="B82" s="146" t="n"/>
      <c r="C82" s="146" t="n"/>
      <c r="D82" s="4" t="n"/>
      <c r="E82" s="4" t="n"/>
      <c r="F82" s="4" t="n"/>
    </row>
    <row r="83" ht="38" customHeight="1">
      <c r="A83" s="4" t="inlineStr">
        <is>
          <t>Invalid process inputs</t>
        </is>
      </c>
      <c r="B83" s="146">
        <f>IF(OR(MIN(B10:B16)&lt;=0,B21&lt;=0,B22&lt;0,B23&lt;0,B24&lt;0,B25&lt;0,B26&lt;0,B27&lt;0,B28&lt;0,MIN(B29:B34)&lt;0,B35&lt;0,B36&lt;=0,B37&lt;=0,MIN(B18:B20)&lt;0),1,0)</f>
        <v/>
      </c>
      <c r="C83" s="146" t="n"/>
      <c r="D83" s="4" t="inlineStr">
        <is>
          <t>count</t>
        </is>
      </c>
      <c r="E83" s="4" t="inlineStr">
        <is>
          <t>Non-zero requires correction. Gross sheet use and measured final product mass are different quantities.</t>
        </is>
      </c>
      <c r="F83" s="4" t="n"/>
    </row>
    <row r="84" ht="28" customHeight="1">
      <c r="A84" s="4" t="n"/>
      <c r="B84" s="4" t="n"/>
      <c r="C84" s="4" t="n"/>
      <c r="D84" s="4" t="n"/>
      <c r="E84" s="4" t="n"/>
      <c r="F84" s="4" t="n"/>
    </row>
    <row r="85" ht="28" customHeight="1">
      <c r="A85" s="4" t="n"/>
      <c r="B85" s="4" t="n"/>
      <c r="C85" s="4" t="n"/>
      <c r="D85" s="4" t="n"/>
      <c r="E85" s="4" t="n"/>
      <c r="F85" s="4" t="n"/>
    </row>
    <row r="86" ht="28" customHeight="1">
      <c r="A86" s="4" t="n"/>
      <c r="B86" s="4" t="n"/>
      <c r="C86" s="4" t="n"/>
      <c r="D86" s="4" t="n"/>
      <c r="E86" s="4" t="n"/>
      <c r="F86" s="4" t="n"/>
    </row>
    <row r="87" ht="28" customHeight="1">
      <c r="A87" s="4" t="n"/>
      <c r="B87" s="4" t="n"/>
      <c r="C87" s="4" t="n"/>
      <c r="D87" s="4" t="n"/>
      <c r="E87" s="4" t="n"/>
      <c r="F87" s="4" t="n"/>
    </row>
    <row r="88" ht="28" customHeight="1">
      <c r="A88" s="4" t="n"/>
      <c r="B88" s="4" t="n"/>
      <c r="C88" s="4" t="n"/>
      <c r="D88" s="4" t="n"/>
      <c r="E88" s="4" t="n"/>
      <c r="F88" s="4" t="n"/>
    </row>
    <row r="89" ht="28" customHeight="1">
      <c r="A89" s="4" t="n"/>
      <c r="B89" s="4" t="n"/>
      <c r="C89" s="4" t="n"/>
      <c r="D89" s="4" t="n"/>
      <c r="E89" s="4" t="n"/>
      <c r="F89" s="4" t="n"/>
    </row>
    <row r="90" ht="28" customHeight="1">
      <c r="A90" s="4" t="n"/>
      <c r="B90" s="4" t="n"/>
      <c r="C90" s="4" t="n"/>
      <c r="D90" s="4" t="n"/>
      <c r="E90" s="4" t="n"/>
      <c r="F90" s="4" t="n"/>
    </row>
  </sheetData>
  <mergeCells count="2">
    <mergeCell ref="A3:F3"/>
    <mergeCell ref="A1:F1"/>
  </mergeCells>
  <dataValidations count="1">
    <dataValidation sqref="B6" showDropDown="0" showInputMessage="0" showErrorMessage="0" allowBlank="0" type="list">
      <formula1>"Own sheets,Defy legs"</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16"/>
  <sheetViews>
    <sheetView showGridLines="0" workbookViewId="0">
      <pane ySplit="5" topLeftCell="A6" activePane="bottomLeft" state="frozen"/>
      <selection activeCell="A1" sqref="A1"/>
    </sheetView>
  </sheetViews>
  <sheetFormatPr baseColWidth="8" defaultRowHeight="15"/>
  <cols>
    <col width="13" customWidth="1" min="1" max="1"/>
    <col width="24" customWidth="1" min="2" max="2"/>
    <col width="24" customWidth="1" min="3" max="3"/>
    <col width="24"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52" customWidth="1" min="30" max="30"/>
  </cols>
  <sheetData>
    <row r="1" ht="38" customHeight="1">
      <c r="A1" s="5" t="inlineStr">
        <is>
          <t>Sites and delivery assumptions</t>
        </is>
      </c>
    </row>
    <row r="2" ht="28"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row>
    <row r="3" ht="54" customHeight="1">
      <c r="A3" s="6" t="inlineStr">
        <is>
          <t>Agreed first-year target: 400 initial trading-stock beds made at the current facility at The Harvest. New community facilities are a separate capital investment; no first-year output assigned. Existing days constrain output below target. Years 2 and 3 remain inherited scenarios, not commitments.</t>
        </is>
      </c>
    </row>
    <row r="4" ht="28" customHeight="1">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row>
    <row r="5" ht="54" customHeight="1">
      <c r="A5" s="8" t="inlineStr">
        <is>
          <t>Site ID</t>
        </is>
      </c>
      <c r="B5" s="8" t="inlineStr">
        <is>
          <t>Site</t>
        </is>
      </c>
      <c r="C5" s="8" t="inlineStr">
        <is>
          <t>Route</t>
        </is>
      </c>
      <c r="D5" s="8" t="inlineStr">
        <is>
          <t>Staffing cost basis</t>
        </is>
      </c>
      <c r="E5" s="8" t="inlineStr">
        <is>
          <t>Include</t>
        </is>
      </c>
      <c r="F5" s="8" t="inlineStr">
        <is>
          <t>Start month</t>
        </is>
      </c>
      <c r="G5" s="8" t="inlineStr">
        <is>
          <t>End month</t>
        </is>
      </c>
      <c r="H5" s="8" t="inlineStr">
        <is>
          <t>Days/month</t>
        </is>
      </c>
      <c r="I5" s="8" t="inlineStr">
        <is>
          <t>Year 1 target</t>
        </is>
      </c>
      <c r="J5" s="8" t="inlineStr">
        <is>
          <t>Year 2 target</t>
        </is>
      </c>
      <c r="K5" s="8" t="inlineStr">
        <is>
          <t>Year 3 target</t>
        </is>
      </c>
      <c r="L5" s="8" t="inlineStr">
        <is>
          <t>Year 1 Goods sales</t>
        </is>
      </c>
      <c r="M5" s="8" t="inlineStr">
        <is>
          <t>Year 2 Goods sales</t>
        </is>
      </c>
      <c r="N5" s="8" t="inlineStr">
        <is>
          <t>Year 3 Goods sales</t>
        </is>
      </c>
      <c r="O5" s="8" t="inlineStr">
        <is>
          <t>Year 1 youth programmes</t>
        </is>
      </c>
      <c r="P5" s="8" t="inlineStr">
        <is>
          <t>Year 2 youth programmes</t>
        </is>
      </c>
      <c r="Q5" s="8" t="inlineStr">
        <is>
          <t>Year 3 youth programmes</t>
        </is>
      </c>
      <c r="R5" s="8" t="inlineStr">
        <is>
          <t>Freight/bed</t>
        </is>
      </c>
      <c r="S5" s="8" t="inlineStr">
        <is>
          <t>Capital share</t>
        </is>
      </c>
      <c r="T5" s="8" t="inlineStr">
        <is>
          <t>Capital basis</t>
        </is>
      </c>
      <c r="U5" s="8" t="inlineStr">
        <is>
          <t>Coordinator/year</t>
        </is>
      </c>
      <c r="V5" s="8" t="inlineStr">
        <is>
          <t>Trainer/year</t>
        </is>
      </c>
      <c r="W5" s="8" t="inlineStr">
        <is>
          <t>Rent/year</t>
        </is>
      </c>
      <c r="X5" s="8" t="inlineStr">
        <is>
          <t>Insurance/year</t>
        </is>
      </c>
      <c r="Y5" s="8" t="inlineStr">
        <is>
          <t>Maintenance/year</t>
        </is>
      </c>
      <c r="Z5" s="8" t="inlineStr">
        <is>
          <t>Extra assembly share</t>
        </is>
      </c>
      <c r="AA5" s="8" t="inlineStr">
        <is>
          <t>Opening ready tabs</t>
        </is>
      </c>
      <c r="AB5" s="8" t="inlineStr">
        <is>
          <t>Opening ready legs</t>
        </is>
      </c>
      <c r="AC5" s="8" t="inlineStr">
        <is>
          <t>Opening raw kg</t>
        </is>
      </c>
      <c r="AD5" s="8" t="inlineStr">
        <is>
          <t>Authority / stock basis</t>
        </is>
      </c>
      <c r="AE5" t="inlineStr">
        <is>
          <t>Bed communities note</t>
        </is>
      </c>
    </row>
    <row r="6" ht="80" customHeight="1">
      <c r="A6" s="4" t="inlineStr">
        <is>
          <t>WITTA</t>
        </is>
      </c>
      <c r="B6" s="4" t="inlineStr">
        <is>
          <t>Goods production facility at The Harvest</t>
        </is>
      </c>
      <c r="C6" s="139">
        <f>'NM Play'!B6</f>
        <v/>
      </c>
      <c r="D6" s="139" t="inlineStr">
        <is>
          <t>Annual staff</t>
        </is>
      </c>
      <c r="E6" s="134" t="n">
        <v>1</v>
      </c>
      <c r="F6" s="134" t="n">
        <v>1</v>
      </c>
      <c r="G6" s="134" t="n">
        <v>36</v>
      </c>
      <c r="H6" s="134" t="n">
        <v>20</v>
      </c>
      <c r="I6" s="134" t="n">
        <v>400</v>
      </c>
      <c r="J6" s="134" t="n">
        <v>500</v>
      </c>
      <c r="K6" s="134" t="n">
        <v>500</v>
      </c>
      <c r="L6" s="134" t="n">
        <v>0</v>
      </c>
      <c r="M6" s="134" t="n">
        <v>0</v>
      </c>
      <c r="N6" s="134" t="n">
        <v>0</v>
      </c>
      <c r="O6" s="134" t="n">
        <v>4</v>
      </c>
      <c r="P6" s="134" t="n"/>
      <c r="Q6" s="134" t="n"/>
      <c r="R6" s="132" t="n">
        <v>100</v>
      </c>
      <c r="S6" s="149" t="n">
        <v>0</v>
      </c>
      <c r="T6" s="132" t="inlineStr">
        <is>
          <t>Allowance</t>
        </is>
      </c>
      <c r="U6" s="132" t="n">
        <v>0</v>
      </c>
      <c r="V6" s="132" t="n">
        <v>0</v>
      </c>
      <c r="W6" s="132">
        <f>'Source records'!E2647</f>
        <v/>
      </c>
      <c r="X6" s="132">
        <f>'Source records'!E2655</f>
        <v/>
      </c>
      <c r="Y6" s="132">
        <f>'Source records'!E2633</f>
        <v/>
      </c>
      <c r="Z6" s="149" t="n">
        <v>0</v>
      </c>
      <c r="AA6" s="134" t="n">
        <v>812</v>
      </c>
      <c r="AB6" s="134" t="n">
        <v>650</v>
      </c>
      <c r="AC6" s="134" t="n">
        <v>145</v>
      </c>
      <c r="AD6" s="4" t="inlineStr">
        <is>
          <t>Witta count, Ben 9 Sep 2026 (provisional, two readings to confirm). Tabs 13 x 28 + 16 x 28 = 812 pieces; legs 650 pieces (NM's unit, 8 per bed, as in the earlier 464 = 58 sets); weighed shred 10 x 14.5 kg = 145 kg. Not yet in kg: 27 x 60 L buckets of vacuum shred, 30 sheets of press offcuts, 32 CNC tab-sheet skeletons, 'heaps' of vacuum. Also about 59 uncut tab sheets (Ben: may be miscounted; recount) not in the tab count. Not counted: finished beds, uncut leg sheets, poles, canvas. Replaces the undated NM snapshot (660 / 464 / 1,800).</t>
        </is>
      </c>
      <c r="AE6" t="inlineStr">
        <is>
          <t>Ben 9 Sep 2026: Alice Springs is NOT one of the four bed communities (its programme is Oonchiumpa's under DEWR). The four are likely from: Mount Isa and Lower Gulf, Kununurra, Ceduna / Port Augusta, Tennant Creek, and possibly more beds to the Utopia homelands. Count stays at four at $10,000 facilitation each.</t>
        </is>
      </c>
    </row>
    <row r="7" ht="80" customHeight="1">
      <c r="A7" s="4" t="inlineStr">
        <is>
          <t>NEW1</t>
        </is>
      </c>
      <c r="B7" s="4" t="inlineStr">
        <is>
          <t>Palm Island (working choice, may change)</t>
        </is>
      </c>
      <c r="C7" s="139">
        <f>'NM Play'!B6</f>
        <v/>
      </c>
      <c r="D7" s="139" t="inlineStr">
        <is>
          <t>Annual staff</t>
        </is>
      </c>
      <c r="E7" s="134" t="n">
        <v>1</v>
      </c>
      <c r="F7" s="134" t="n">
        <v>1</v>
      </c>
      <c r="G7" s="134" t="n">
        <v>36</v>
      </c>
      <c r="H7" s="134" t="n">
        <v>10</v>
      </c>
      <c r="I7" s="134" t="n">
        <v>0</v>
      </c>
      <c r="J7" s="134" t="n">
        <v>500</v>
      </c>
      <c r="K7" s="134" t="n">
        <v>500</v>
      </c>
      <c r="L7" s="134" t="n">
        <v>0</v>
      </c>
      <c r="M7" s="134" t="n">
        <v>0</v>
      </c>
      <c r="N7" s="134" t="n">
        <v>0</v>
      </c>
      <c r="O7" s="134" t="n"/>
      <c r="P7" s="134" t="n"/>
      <c r="Q7" s="134" t="n"/>
      <c r="R7" s="132" t="n">
        <v>50</v>
      </c>
      <c r="S7" s="149" t="n">
        <v>0.5</v>
      </c>
      <c r="T7" s="132" t="inlineStr">
        <is>
          <t>Allowance</t>
        </is>
      </c>
      <c r="U7" s="132">
        <f>'Source records'!E2559</f>
        <v/>
      </c>
      <c r="V7" s="132">
        <f>'Source records'!E2568</f>
        <v/>
      </c>
      <c r="W7" s="132">
        <f>'Source records'!E2648</f>
        <v/>
      </c>
      <c r="X7" s="132">
        <f>'Source records'!E2656</f>
        <v/>
      </c>
      <c r="Y7" s="132">
        <f>'Source records'!E2633</f>
        <v/>
      </c>
      <c r="Z7" s="149" t="n">
        <v>0</v>
      </c>
      <c r="AA7" s="134" t="n">
        <v>0</v>
      </c>
      <c r="AB7" s="134" t="n">
        <v>0</v>
      </c>
      <c r="AC7" s="134" t="n">
        <v>0</v>
      </c>
      <c r="AD7" s="4" t="inlineStr">
        <is>
          <t>Separate community facility investment. First-year production quantity not committed; zero excludes it from the initial 400. Local start, operating costs and funding remain to agree.</t>
        </is>
      </c>
    </row>
    <row r="8" ht="80" customHeight="1">
      <c r="A8" s="4" t="inlineStr">
        <is>
          <t>NEW2</t>
        </is>
      </c>
      <c r="B8" s="4" t="inlineStr">
        <is>
          <t>Maningrida (working choice, may change)</t>
        </is>
      </c>
      <c r="C8" s="139">
        <f>'NM Play'!B6</f>
        <v/>
      </c>
      <c r="D8" s="139" t="inlineStr">
        <is>
          <t>Annual staff</t>
        </is>
      </c>
      <c r="E8" s="134" t="n">
        <v>1</v>
      </c>
      <c r="F8" s="134" t="n">
        <v>1</v>
      </c>
      <c r="G8" s="134" t="n">
        <v>36</v>
      </c>
      <c r="H8" s="134" t="n">
        <v>10</v>
      </c>
      <c r="I8" s="134" t="n">
        <v>0</v>
      </c>
      <c r="J8" s="134" t="n">
        <v>500</v>
      </c>
      <c r="K8" s="134" t="n">
        <v>500</v>
      </c>
      <c r="L8" s="134" t="n">
        <v>0</v>
      </c>
      <c r="M8" s="134" t="n">
        <v>0</v>
      </c>
      <c r="N8" s="134" t="n">
        <v>0</v>
      </c>
      <c r="O8" s="134" t="n"/>
      <c r="P8" s="134" t="n"/>
      <c r="Q8" s="134" t="n"/>
      <c r="R8" s="132" t="n">
        <v>50</v>
      </c>
      <c r="S8" s="149" t="n">
        <v>0.5</v>
      </c>
      <c r="T8" s="132" t="inlineStr">
        <is>
          <t>Allowance</t>
        </is>
      </c>
      <c r="U8" s="132">
        <f>'Source records'!E2559</f>
        <v/>
      </c>
      <c r="V8" s="132">
        <f>'Source records'!E2568</f>
        <v/>
      </c>
      <c r="W8" s="132">
        <f>'Source records'!E2648</f>
        <v/>
      </c>
      <c r="X8" s="132">
        <f>'Source records'!E2656</f>
        <v/>
      </c>
      <c r="Y8" s="132">
        <f>'Source records'!E2633</f>
        <v/>
      </c>
      <c r="Z8" s="149" t="n">
        <v>0</v>
      </c>
      <c r="AA8" s="134" t="n">
        <v>0</v>
      </c>
      <c r="AB8" s="134" t="n">
        <v>0</v>
      </c>
      <c r="AC8" s="134" t="n">
        <v>0</v>
      </c>
      <c r="AD8" s="4" t="inlineStr">
        <is>
          <t>Separate community facility investment. First-year production quantity not committed; zero excludes it from the initial 400. Local start, operating costs and funding remain to agree.</t>
        </is>
      </c>
    </row>
    <row r="9" ht="28" customHeight="1">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row>
    <row r="10" ht="28" customHeight="1">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row>
    <row r="11" ht="28" customHeight="1">
      <c r="A11" s="4" t="inlineStr">
        <is>
          <t>Annual staff uses coordinator, trainer and annual rent once. NM crew replaces coordinator and annual rent with NM daily crew and rent. Trainer, insurance and maintenance remain separate.</t>
        </is>
      </c>
    </row>
    <row r="12" ht="28" customHeight="1">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row>
    <row r="13" ht="28" customHeight="1">
      <c r="A13" s="4" t="inlineStr">
        <is>
          <t>Default extra assembly is 0 as a scope assumption, pending review of crew duties. Change its share only for genuinely additional work. Freight and raw input are priced independently.</t>
        </is>
      </c>
    </row>
    <row r="14" ht="28" customHeight="1">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row>
    <row r="15" ht="28" customHeight="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row>
    <row r="16" ht="28" customHeight="1">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row>
  </sheetData>
  <mergeCells count="4">
    <mergeCell ref="A3:AD3"/>
    <mergeCell ref="A11:AD11"/>
    <mergeCell ref="A13:AD13"/>
    <mergeCell ref="A1:AD1"/>
  </mergeCells>
  <dataValidations count="5">
    <dataValidation sqref="C6:C8" showDropDown="0" showInputMessage="0" showErrorMessage="0" allowBlank="0" type="list">
      <formula1>"Own sheets,Defy legs"</formula1>
    </dataValidation>
    <dataValidation sqref="D6:D8" showDropDown="0" showInputMessage="0" showErrorMessage="0" allowBlank="0" type="list">
      <formula1>"Annual staff,NM crew"</formula1>
    </dataValidation>
    <dataValidation sqref="T6:T8" showDropDown="0" showInputMessage="0" showErrorMessage="0" allowBlank="0" type="list">
      <formula1>"Allowance,Modules"</formula1>
    </dataValidation>
    <dataValidation sqref="E6:E8" showDropDown="0" showInputMessage="0" showErrorMessage="0" allowBlank="0" type="whole" operator="between">
      <formula1>0</formula1>
      <formula2>1</formula2>
    </dataValidation>
    <dataValidation sqref="F6:G8" showDropDown="0" showInputMessage="0" showErrorMessage="0" allowBlank="0" type="whole" operator="between">
      <formula1>1</formula1>
      <formula2>36</formula2>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52"/>
  <sheetViews>
    <sheetView showGridLines="0" workbookViewId="0">
      <pane ySplit="5" topLeftCell="A6" activePane="bottomLeft" state="frozen"/>
      <selection activeCell="A1" sqref="A1"/>
    </sheetView>
  </sheetViews>
  <sheetFormatPr baseColWidth="8" defaultRowHeight="15"/>
  <cols>
    <col width="15" customWidth="1" min="1" max="1"/>
    <col width="33" customWidth="1" min="2" max="2"/>
    <col width="18" customWidth="1" min="3" max="3"/>
    <col width="18" customWidth="1" min="4" max="4"/>
    <col width="18" customWidth="1" min="5" max="5"/>
    <col width="18" customWidth="1" min="6" max="6"/>
    <col width="68" customWidth="1" min="7" max="7"/>
  </cols>
  <sheetData>
    <row r="1" ht="38" customHeight="1">
      <c r="A1" s="5" t="inlineStr">
        <is>
          <t>Operating costs</t>
        </is>
      </c>
    </row>
    <row r="2" ht="28" customHeight="1">
      <c r="A2" s="4" t="n"/>
      <c r="B2" s="4" t="n"/>
      <c r="C2" s="4" t="n"/>
      <c r="D2" s="4" t="n"/>
      <c r="E2" s="4" t="n"/>
      <c r="F2" s="4" t="n"/>
      <c r="G2" s="4" t="n"/>
    </row>
    <row r="3" ht="54" customHeight="1">
      <c r="A3" s="6" t="inlineStr">
        <is>
          <t>Source cost rates are preserved. Responsibilities assigns cash costs to Goods or community operators. Local costs remain priced even when excluded from Goods cash.</t>
        </is>
      </c>
    </row>
    <row r="4" ht="28" customHeight="1">
      <c r="A4" s="4" t="n"/>
      <c r="B4" s="4" t="n"/>
      <c r="C4" s="4" t="n"/>
      <c r="D4" s="4" t="n"/>
      <c r="E4" s="4" t="n"/>
      <c r="F4" s="4" t="n"/>
      <c r="G4" s="4" t="n"/>
    </row>
    <row r="5" ht="54" customHeight="1">
      <c r="A5" s="8" t="inlineStr">
        <is>
          <t>Cost ID</t>
        </is>
      </c>
      <c r="B5" s="8" t="inlineStr">
        <is>
          <t>Cost</t>
        </is>
      </c>
      <c r="C5" s="8" t="inlineStr">
        <is>
          <t>Cost centre</t>
        </is>
      </c>
      <c r="D5" s="8" t="inlineStr">
        <is>
          <t>Site</t>
        </is>
      </c>
      <c r="E5" s="8" t="inlineStr">
        <is>
          <t>Annual / unit rate</t>
        </is>
      </c>
      <c r="F5" s="8" t="inlineStr">
        <is>
          <t>Treatment</t>
        </is>
      </c>
      <c r="G5" s="8" t="inlineStr">
        <is>
          <t>Source / scope</t>
        </is>
      </c>
    </row>
    <row r="6" ht="42" customHeight="1">
      <c r="A6" s="4" t="inlineStr">
        <is>
          <t>C01</t>
        </is>
      </c>
      <c r="B6" s="4" t="inlineStr">
        <is>
          <t>Founder salaries</t>
        </is>
      </c>
      <c r="C6" s="4" t="inlineStr">
        <is>
          <t>Goods network</t>
        </is>
      </c>
      <c r="D6" s="4" t="inlineStr">
        <is>
          <t>ALL</t>
        </is>
      </c>
      <c r="E6" s="128">
        <f>IF(ISNUMBER('Assumptions'!B23),'Assumptions'!B23,"")</f>
        <v/>
      </c>
      <c r="F6" s="4" t="inlineStr">
        <is>
          <t>Monthly driver grid</t>
        </is>
      </c>
      <c r="G6" s="4" t="inlineStr">
        <is>
          <t>Assumptions row 23; optional monthly overrides</t>
        </is>
      </c>
    </row>
    <row r="7" ht="42" customHeight="1">
      <c r="A7" s="4" t="inlineStr">
        <is>
          <t>C02</t>
        </is>
      </c>
      <c r="B7" s="4" t="inlineStr">
        <is>
          <t>Head office</t>
        </is>
      </c>
      <c r="C7" s="4" t="inlineStr">
        <is>
          <t>Goods network</t>
        </is>
      </c>
      <c r="D7" s="4" t="inlineStr">
        <is>
          <t>ALL</t>
        </is>
      </c>
      <c r="E7" s="128">
        <f>IF(ISNUMBER('Assumptions'!B24),'Assumptions'!B24,"")</f>
        <v/>
      </c>
      <c r="F7" s="4" t="inlineStr">
        <is>
          <t>Monthly driver grid</t>
        </is>
      </c>
      <c r="G7" s="4" t="inlineStr">
        <is>
          <t>Assumptions row 24; optional monthly overrides</t>
        </is>
      </c>
    </row>
    <row r="8" ht="42" customHeight="1">
      <c r="A8" s="4" t="inlineStr">
        <is>
          <t>C03</t>
        </is>
      </c>
      <c r="B8" s="4" t="inlineStr">
        <is>
          <t>Marketing</t>
        </is>
      </c>
      <c r="C8" s="4" t="inlineStr">
        <is>
          <t>Goods network</t>
        </is>
      </c>
      <c r="D8" s="4" t="inlineStr">
        <is>
          <t>ALL</t>
        </is>
      </c>
      <c r="E8" s="128">
        <f>IF(ISNUMBER('Assumptions'!B25),'Assumptions'!B25,"")</f>
        <v/>
      </c>
      <c r="F8" s="4" t="inlineStr">
        <is>
          <t>Monthly driver grid</t>
        </is>
      </c>
      <c r="G8" s="4" t="inlineStr">
        <is>
          <t>Assumptions row 25; optional monthly overrides</t>
        </is>
      </c>
    </row>
    <row r="9" ht="42" customHeight="1">
      <c r="A9" s="4" t="inlineStr">
        <is>
          <t>C04</t>
        </is>
      </c>
      <c r="B9" s="4" t="inlineStr">
        <is>
          <t>Field travel</t>
        </is>
      </c>
      <c r="C9" s="4" t="inlineStr">
        <is>
          <t>Goods network</t>
        </is>
      </c>
      <c r="D9" s="4" t="inlineStr">
        <is>
          <t>ALL</t>
        </is>
      </c>
      <c r="E9" s="128">
        <f>IF(ISNUMBER('Assumptions'!B26),'Assumptions'!B26,"")</f>
        <v/>
      </c>
      <c r="F9" s="4" t="inlineStr">
        <is>
          <t>Monthly driver grid</t>
        </is>
      </c>
      <c r="G9" s="4" t="inlineStr">
        <is>
          <t>Assumptions row 26; optional monthly overrides</t>
        </is>
      </c>
    </row>
    <row r="10" ht="42" customHeight="1">
      <c r="A10" s="4" t="inlineStr">
        <is>
          <t>C05</t>
        </is>
      </c>
      <c r="B10" s="4" t="inlineStr">
        <is>
          <t>Consulting and accounting</t>
        </is>
      </c>
      <c r="C10" s="4" t="inlineStr">
        <is>
          <t>Goods network</t>
        </is>
      </c>
      <c r="D10" s="4" t="inlineStr">
        <is>
          <t>ALL</t>
        </is>
      </c>
      <c r="E10" s="128">
        <f>IF(ISNUMBER('Assumptions'!B27),'Assumptions'!B27,"")</f>
        <v/>
      </c>
      <c r="F10" s="4" t="inlineStr">
        <is>
          <t>Monthly driver grid</t>
        </is>
      </c>
      <c r="G10" s="4" t="inlineStr">
        <is>
          <t>Assumptions row 27; optional monthly overrides</t>
        </is>
      </c>
    </row>
    <row r="11" ht="42" customHeight="1">
      <c r="A11" s="4" t="inlineStr">
        <is>
          <t>C06</t>
        </is>
      </c>
      <c r="B11" s="4" t="inlineStr">
        <is>
          <t>Additional staff</t>
        </is>
      </c>
      <c r="C11" s="4" t="inlineStr">
        <is>
          <t>Goods network</t>
        </is>
      </c>
      <c r="D11" s="4" t="inlineStr">
        <is>
          <t>ALL</t>
        </is>
      </c>
      <c r="E11" s="128">
        <f>IF(ISNUMBER('Assumptions'!B28),'Assumptions'!B28,"")</f>
        <v/>
      </c>
      <c r="F11" s="4" t="inlineStr">
        <is>
          <t>Monthly driver grid</t>
        </is>
      </c>
      <c r="G11" s="4" t="inlineStr">
        <is>
          <t>Assumptions row 28; optional monthly overrides</t>
        </is>
      </c>
    </row>
    <row r="12" ht="42" customHeight="1">
      <c r="A12" s="4" t="inlineStr">
        <is>
          <t>C07</t>
        </is>
      </c>
      <c r="B12" s="4" t="inlineStr">
        <is>
          <t>R&amp;D</t>
        </is>
      </c>
      <c r="C12" s="4" t="inlineStr">
        <is>
          <t>Goods network</t>
        </is>
      </c>
      <c r="D12" s="4" t="inlineStr">
        <is>
          <t>ALL</t>
        </is>
      </c>
      <c r="E12" s="128">
        <f>IF(ISNUMBER('Assumptions'!B29),'Assumptions'!B29,"")</f>
        <v/>
      </c>
      <c r="F12" s="4" t="inlineStr">
        <is>
          <t>Monthly driver grid</t>
        </is>
      </c>
      <c r="G12" s="4" t="inlineStr">
        <is>
          <t>Assumptions row 29; optional monthly overrides</t>
        </is>
      </c>
    </row>
    <row r="13" ht="42" customHeight="1">
      <c r="A13" s="4" t="inlineStr">
        <is>
          <t>C08</t>
        </is>
      </c>
      <c r="B13" s="4" t="inlineStr">
        <is>
          <t>Other adjustment</t>
        </is>
      </c>
      <c r="C13" s="4" t="inlineStr">
        <is>
          <t>Goods network</t>
        </is>
      </c>
      <c r="D13" s="4" t="inlineStr">
        <is>
          <t>ALL</t>
        </is>
      </c>
      <c r="E13" s="128">
        <f>IF(ISNUMBER('Assumptions'!B30),'Assumptions'!B30,"")</f>
        <v/>
      </c>
      <c r="F13" s="4" t="inlineStr">
        <is>
          <t>Monthly driver grid</t>
        </is>
      </c>
      <c r="G13" s="4" t="inlineStr">
        <is>
          <t>Assumptions row 30; optional monthly overrides</t>
        </is>
      </c>
    </row>
    <row r="14" ht="42" customHeight="1">
      <c r="A14" s="4" t="inlineStr">
        <is>
          <t>S1-1</t>
        </is>
      </c>
      <c r="B14" s="4" t="inlineStr">
        <is>
          <t>Site coordinator</t>
        </is>
      </c>
      <c r="C14" s="4" t="inlineStr">
        <is>
          <t>Product making</t>
        </is>
      </c>
      <c r="D14" s="4" t="inlineStr">
        <is>
          <t>WITTA</t>
        </is>
      </c>
      <c r="E14" s="128">
        <f>'Sites'!U6</f>
        <v/>
      </c>
      <c r="F14" s="4" t="inlineStr">
        <is>
          <t>Annual staff basis only</t>
        </is>
      </c>
      <c r="G14" s="4" t="inlineStr">
        <is>
          <t>Sites row 6, U</t>
        </is>
      </c>
    </row>
    <row r="15" ht="42" customHeight="1">
      <c r="A15" s="4" t="inlineStr">
        <is>
          <t>S1-2</t>
        </is>
      </c>
      <c r="B15" s="4" t="inlineStr">
        <is>
          <t>Trainer / WHS</t>
        </is>
      </c>
      <c r="C15" s="4" t="inlineStr">
        <is>
          <t>Product making</t>
        </is>
      </c>
      <c r="D15" s="4" t="inlineStr">
        <is>
          <t>WITTA</t>
        </is>
      </c>
      <c r="E15" s="128">
        <f>'Sites'!V6</f>
        <v/>
      </c>
      <c r="F15" s="4" t="inlineStr">
        <is>
          <t>All staffing bases</t>
        </is>
      </c>
      <c r="G15" s="4" t="inlineStr">
        <is>
          <t>Sites row 6, V</t>
        </is>
      </c>
    </row>
    <row r="16" ht="42" customHeight="1">
      <c r="A16" s="4" t="inlineStr">
        <is>
          <t>S1-3</t>
        </is>
      </c>
      <c r="B16" s="4" t="inlineStr">
        <is>
          <t>Site rent</t>
        </is>
      </c>
      <c r="C16" s="4" t="inlineStr">
        <is>
          <t>Product making</t>
        </is>
      </c>
      <c r="D16" s="4" t="inlineStr">
        <is>
          <t>WITTA</t>
        </is>
      </c>
      <c r="E16" s="128">
        <f>'Sites'!W6</f>
        <v/>
      </c>
      <c r="F16" s="4" t="inlineStr">
        <is>
          <t>Annual staff basis only</t>
        </is>
      </c>
      <c r="G16" s="4" t="inlineStr">
        <is>
          <t>Sites row 6, W</t>
        </is>
      </c>
    </row>
    <row r="17" ht="42" customHeight="1">
      <c r="A17" s="4" t="inlineStr">
        <is>
          <t>S1-4</t>
        </is>
      </c>
      <c r="B17" s="4" t="inlineStr">
        <is>
          <t>Site insurance</t>
        </is>
      </c>
      <c r="C17" s="4" t="inlineStr">
        <is>
          <t>Product making</t>
        </is>
      </c>
      <c r="D17" s="4" t="inlineStr">
        <is>
          <t>WITTA</t>
        </is>
      </c>
      <c r="E17" s="128">
        <f>'Sites'!X6</f>
        <v/>
      </c>
      <c r="F17" s="4" t="inlineStr">
        <is>
          <t>All staffing bases</t>
        </is>
      </c>
      <c r="G17" s="4" t="inlineStr">
        <is>
          <t>Sites row 6, X</t>
        </is>
      </c>
    </row>
    <row r="18" ht="42" customHeight="1">
      <c r="A18" s="4" t="inlineStr">
        <is>
          <t>S1-5</t>
        </is>
      </c>
      <c r="B18" s="4" t="inlineStr">
        <is>
          <t>Maintenance</t>
        </is>
      </c>
      <c r="C18" s="4" t="inlineStr">
        <is>
          <t>Product making</t>
        </is>
      </c>
      <c r="D18" s="4" t="inlineStr">
        <is>
          <t>WITTA</t>
        </is>
      </c>
      <c r="E18" s="128">
        <f>'Sites'!Y6</f>
        <v/>
      </c>
      <c r="F18" s="4" t="inlineStr">
        <is>
          <t>All staffing bases</t>
        </is>
      </c>
      <c r="G18" s="4" t="inlineStr">
        <is>
          <t>Sites row 6, Y</t>
        </is>
      </c>
    </row>
    <row r="19" ht="42" customHeight="1">
      <c r="A19" s="4" t="inlineStr">
        <is>
          <t>S2-1</t>
        </is>
      </c>
      <c r="B19" s="4" t="inlineStr">
        <is>
          <t>Site coordinator</t>
        </is>
      </c>
      <c r="C19" s="4" t="inlineStr">
        <is>
          <t>Product making</t>
        </is>
      </c>
      <c r="D19" s="4" t="inlineStr">
        <is>
          <t>NEW1</t>
        </is>
      </c>
      <c r="E19" s="128">
        <f>'Sites'!U7</f>
        <v/>
      </c>
      <c r="F19" s="4" t="inlineStr">
        <is>
          <t>Annual staff basis only</t>
        </is>
      </c>
      <c r="G19" s="4" t="inlineStr">
        <is>
          <t>Sites row 7, U</t>
        </is>
      </c>
    </row>
    <row r="20" ht="42" customHeight="1">
      <c r="A20" s="4" t="inlineStr">
        <is>
          <t>S2-2</t>
        </is>
      </c>
      <c r="B20" s="4" t="inlineStr">
        <is>
          <t>Trainer / WHS</t>
        </is>
      </c>
      <c r="C20" s="4" t="inlineStr">
        <is>
          <t>Product making</t>
        </is>
      </c>
      <c r="D20" s="4" t="inlineStr">
        <is>
          <t>NEW1</t>
        </is>
      </c>
      <c r="E20" s="128">
        <f>'Sites'!V7</f>
        <v/>
      </c>
      <c r="F20" s="4" t="inlineStr">
        <is>
          <t>All staffing bases</t>
        </is>
      </c>
      <c r="G20" s="4" t="inlineStr">
        <is>
          <t>Sites row 7, V</t>
        </is>
      </c>
    </row>
    <row r="21" ht="42" customHeight="1">
      <c r="A21" s="4" t="inlineStr">
        <is>
          <t>S2-3</t>
        </is>
      </c>
      <c r="B21" s="4" t="inlineStr">
        <is>
          <t>Site rent</t>
        </is>
      </c>
      <c r="C21" s="4" t="inlineStr">
        <is>
          <t>Product making</t>
        </is>
      </c>
      <c r="D21" s="4" t="inlineStr">
        <is>
          <t>NEW1</t>
        </is>
      </c>
      <c r="E21" s="128">
        <f>'Sites'!W7</f>
        <v/>
      </c>
      <c r="F21" s="4" t="inlineStr">
        <is>
          <t>Annual staff basis only</t>
        </is>
      </c>
      <c r="G21" s="4" t="inlineStr">
        <is>
          <t>Sites row 7, W</t>
        </is>
      </c>
    </row>
    <row r="22" ht="42" customHeight="1">
      <c r="A22" s="4" t="inlineStr">
        <is>
          <t>S2-4</t>
        </is>
      </c>
      <c r="B22" s="4" t="inlineStr">
        <is>
          <t>Site insurance</t>
        </is>
      </c>
      <c r="C22" s="4" t="inlineStr">
        <is>
          <t>Product making</t>
        </is>
      </c>
      <c r="D22" s="4" t="inlineStr">
        <is>
          <t>NEW1</t>
        </is>
      </c>
      <c r="E22" s="128">
        <f>'Sites'!X7</f>
        <v/>
      </c>
      <c r="F22" s="4" t="inlineStr">
        <is>
          <t>All staffing bases</t>
        </is>
      </c>
      <c r="G22" s="4" t="inlineStr">
        <is>
          <t>Sites row 7, X</t>
        </is>
      </c>
    </row>
    <row r="23" ht="42" customHeight="1">
      <c r="A23" s="4" t="inlineStr">
        <is>
          <t>S2-5</t>
        </is>
      </c>
      <c r="B23" s="4" t="inlineStr">
        <is>
          <t>Maintenance</t>
        </is>
      </c>
      <c r="C23" s="4" t="inlineStr">
        <is>
          <t>Product making</t>
        </is>
      </c>
      <c r="D23" s="4" t="inlineStr">
        <is>
          <t>NEW1</t>
        </is>
      </c>
      <c r="E23" s="128">
        <f>'Sites'!Y7</f>
        <v/>
      </c>
      <c r="F23" s="4" t="inlineStr">
        <is>
          <t>All staffing bases</t>
        </is>
      </c>
      <c r="G23" s="4" t="inlineStr">
        <is>
          <t>Sites row 7, Y</t>
        </is>
      </c>
    </row>
    <row r="24" ht="42" customHeight="1">
      <c r="A24" s="4" t="inlineStr">
        <is>
          <t>S3-1</t>
        </is>
      </c>
      <c r="B24" s="4" t="inlineStr">
        <is>
          <t>Site coordinator</t>
        </is>
      </c>
      <c r="C24" s="4" t="inlineStr">
        <is>
          <t>Product making</t>
        </is>
      </c>
      <c r="D24" s="4" t="inlineStr">
        <is>
          <t>NEW2</t>
        </is>
      </c>
      <c r="E24" s="128">
        <f>'Sites'!U8</f>
        <v/>
      </c>
      <c r="F24" s="4" t="inlineStr">
        <is>
          <t>Annual staff basis only</t>
        </is>
      </c>
      <c r="G24" s="4" t="inlineStr">
        <is>
          <t>Sites row 8, U</t>
        </is>
      </c>
    </row>
    <row r="25" ht="42" customHeight="1">
      <c r="A25" s="4" t="inlineStr">
        <is>
          <t>S3-2</t>
        </is>
      </c>
      <c r="B25" s="4" t="inlineStr">
        <is>
          <t>Trainer / WHS</t>
        </is>
      </c>
      <c r="C25" s="4" t="inlineStr">
        <is>
          <t>Product making</t>
        </is>
      </c>
      <c r="D25" s="4" t="inlineStr">
        <is>
          <t>NEW2</t>
        </is>
      </c>
      <c r="E25" s="128">
        <f>'Sites'!V8</f>
        <v/>
      </c>
      <c r="F25" s="4" t="inlineStr">
        <is>
          <t>All staffing bases</t>
        </is>
      </c>
      <c r="G25" s="4" t="inlineStr">
        <is>
          <t>Sites row 8, V</t>
        </is>
      </c>
    </row>
    <row r="26" ht="42" customHeight="1">
      <c r="A26" s="4" t="inlineStr">
        <is>
          <t>S3-3</t>
        </is>
      </c>
      <c r="B26" s="4" t="inlineStr">
        <is>
          <t>Site rent</t>
        </is>
      </c>
      <c r="C26" s="4" t="inlineStr">
        <is>
          <t>Product making</t>
        </is>
      </c>
      <c r="D26" s="4" t="inlineStr">
        <is>
          <t>NEW2</t>
        </is>
      </c>
      <c r="E26" s="128">
        <f>'Sites'!W8</f>
        <v/>
      </c>
      <c r="F26" s="4" t="inlineStr">
        <is>
          <t>Annual staff basis only</t>
        </is>
      </c>
      <c r="G26" s="4" t="inlineStr">
        <is>
          <t>Sites row 8, W</t>
        </is>
      </c>
    </row>
    <row r="27" ht="42" customHeight="1">
      <c r="A27" s="4" t="inlineStr">
        <is>
          <t>S3-4</t>
        </is>
      </c>
      <c r="B27" s="4" t="inlineStr">
        <is>
          <t>Site insurance</t>
        </is>
      </c>
      <c r="C27" s="4" t="inlineStr">
        <is>
          <t>Product making</t>
        </is>
      </c>
      <c r="D27" s="4" t="inlineStr">
        <is>
          <t>NEW2</t>
        </is>
      </c>
      <c r="E27" s="128">
        <f>'Sites'!X8</f>
        <v/>
      </c>
      <c r="F27" s="4" t="inlineStr">
        <is>
          <t>All staffing bases</t>
        </is>
      </c>
      <c r="G27" s="4" t="inlineStr">
        <is>
          <t>Sites row 8, X</t>
        </is>
      </c>
    </row>
    <row r="28" ht="42" customHeight="1">
      <c r="A28" s="4" t="inlineStr">
        <is>
          <t>S3-5</t>
        </is>
      </c>
      <c r="B28" s="4" t="inlineStr">
        <is>
          <t>Maintenance</t>
        </is>
      </c>
      <c r="C28" s="4" t="inlineStr">
        <is>
          <t>Product making</t>
        </is>
      </c>
      <c r="D28" s="4" t="inlineStr">
        <is>
          <t>NEW2</t>
        </is>
      </c>
      <c r="E28" s="128">
        <f>'Sites'!Y8</f>
        <v/>
      </c>
      <c r="F28" s="4" t="inlineStr">
        <is>
          <t>All staffing bases</t>
        </is>
      </c>
      <c r="G28" s="4" t="inlineStr">
        <is>
          <t>Sites row 8, Y</t>
        </is>
      </c>
    </row>
    <row r="29" ht="42" customHeight="1">
      <c r="A29" s="4" t="inlineStr">
        <is>
          <t>Y1</t>
        </is>
      </c>
      <c r="B29" s="4" t="inlineStr">
        <is>
          <t>Youth support programme</t>
        </is>
      </c>
      <c r="C29" s="4" t="inlineStr">
        <is>
          <t>Community support</t>
        </is>
      </c>
      <c r="D29" s="4" t="inlineStr">
        <is>
          <t>WITTA</t>
        </is>
      </c>
      <c r="E29" s="128">
        <f>'Assumptions'!B44</f>
        <v/>
      </c>
      <c r="F29" s="4" t="inlineStr">
        <is>
          <t>Programme count × rate</t>
        </is>
      </c>
      <c r="G29" s="4" t="inlineStr">
        <is>
          <t>Assumptions B44 ($10,000 facilitation per community, Ben 9 Sep; was Matt's $60,000). Counts on Sites. Brokerage and employment wages remain separate.</t>
        </is>
      </c>
    </row>
    <row r="30" ht="42" customHeight="1">
      <c r="A30" s="4" t="inlineStr">
        <is>
          <t>Y2</t>
        </is>
      </c>
      <c r="B30" s="4" t="inlineStr">
        <is>
          <t>Youth support programme</t>
        </is>
      </c>
      <c r="C30" s="4" t="inlineStr">
        <is>
          <t>Community support</t>
        </is>
      </c>
      <c r="D30" s="4" t="inlineStr">
        <is>
          <t>NEW1</t>
        </is>
      </c>
      <c r="E30" s="128">
        <f>'Assumptions'!B44</f>
        <v/>
      </c>
      <c r="F30" s="4" t="inlineStr">
        <is>
          <t>Programme count × rate</t>
        </is>
      </c>
      <c r="G30" s="4" t="inlineStr">
        <is>
          <t>Inputs (1)!B34; counts on Sites. Brokerage and employment wages remain separate.</t>
        </is>
      </c>
    </row>
    <row r="31" ht="42" customHeight="1">
      <c r="A31" s="4" t="inlineStr">
        <is>
          <t>Y3</t>
        </is>
      </c>
      <c r="B31" s="4" t="inlineStr">
        <is>
          <t>Youth support programme</t>
        </is>
      </c>
      <c r="C31" s="4" t="inlineStr">
        <is>
          <t>Community support</t>
        </is>
      </c>
      <c r="D31" s="4" t="inlineStr">
        <is>
          <t>NEW2</t>
        </is>
      </c>
      <c r="E31" s="128">
        <f>'Assumptions'!B44</f>
        <v/>
      </c>
      <c r="F31" s="4" t="inlineStr">
        <is>
          <t>Programme count × rate</t>
        </is>
      </c>
      <c r="G31" s="4" t="inlineStr">
        <is>
          <t>Inputs (1)!B34; counts on Sites. Brokerage and employment wages remain separate.</t>
        </is>
      </c>
    </row>
    <row r="32" ht="42" customHeight="1">
      <c r="A32" s="4" t="n"/>
      <c r="B32" s="4" t="n"/>
      <c r="C32" s="4" t="n"/>
      <c r="D32" s="4" t="n"/>
      <c r="E32" s="128" t="n"/>
      <c r="F32" s="4" t="n"/>
      <c r="G32" s="4" t="n"/>
    </row>
    <row r="33" ht="42" customHeight="1">
      <c r="A33" s="4" t="n"/>
      <c r="B33" s="4" t="n"/>
      <c r="C33" s="4" t="n"/>
      <c r="D33" s="4" t="n"/>
      <c r="E33" s="128" t="n"/>
      <c r="F33" s="4" t="n"/>
      <c r="G33" s="4" t="n"/>
    </row>
    <row r="34" ht="42" customHeight="1">
      <c r="A34" s="4" t="n"/>
      <c r="B34" s="4" t="n"/>
      <c r="C34" s="4" t="n"/>
      <c r="D34" s="4" t="n"/>
      <c r="E34" s="128" t="n"/>
      <c r="F34" s="4" t="n"/>
      <c r="G34" s="4" t="n"/>
    </row>
    <row r="35" ht="42" customHeight="1">
      <c r="A35" s="8" t="inlineStr">
        <is>
          <t>Cost ID</t>
        </is>
      </c>
      <c r="B35" s="8" t="inlineStr">
        <is>
          <t>Additional cost</t>
        </is>
      </c>
      <c r="C35" s="8" t="inlineStr">
        <is>
          <t>Cost centre</t>
        </is>
      </c>
      <c r="D35" s="8" t="inlineStr">
        <is>
          <t>Site</t>
        </is>
      </c>
      <c r="E35" s="150" t="inlineStr">
        <is>
          <t>Annual amount</t>
        </is>
      </c>
      <c r="F35" s="8" t="inlineStr">
        <is>
          <t>Include 1 / 0</t>
        </is>
      </c>
      <c r="G35" s="8" t="inlineStr">
        <is>
          <t>Source / scope</t>
        </is>
      </c>
    </row>
    <row r="36" ht="42" customHeight="1">
      <c r="A36" s="4" t="inlineStr">
        <is>
          <t>X01</t>
        </is>
      </c>
      <c r="B36" s="4" t="inlineStr">
        <is>
          <t>Additional employment brokerage and wages</t>
        </is>
      </c>
      <c r="C36" s="4" t="inlineStr">
        <is>
          <t>Community support</t>
        </is>
      </c>
      <c r="D36" s="4" t="inlineStr">
        <is>
          <t>ALL</t>
        </is>
      </c>
      <c r="E36" s="132" t="n"/>
      <c r="F36" s="139" t="n">
        <v>0</v>
      </c>
      <c r="G36" s="4" t="inlineStr">
        <is>
          <t>Known Other Costs A47: $300,000/site/year is an alternative programme, not silently included.</t>
        </is>
      </c>
    </row>
    <row r="37" ht="42" customHeight="1">
      <c r="A37" s="4" t="inlineStr">
        <is>
          <t>X02</t>
        </is>
      </c>
      <c r="B37" s="4" t="inlineStr">
        <is>
          <t>Extra community administration / IT</t>
        </is>
      </c>
      <c r="C37" s="4" t="inlineStr">
        <is>
          <t>Community support</t>
        </is>
      </c>
      <c r="D37" s="4" t="inlineStr">
        <is>
          <t>ALL</t>
        </is>
      </c>
      <c r="E37" s="132" t="n"/>
      <c r="F37" s="139" t="n">
        <v>0</v>
      </c>
      <c r="G37" s="4" t="inlineStr">
        <is>
          <t>Known Other Costs A41. Resolve overlap with head office.</t>
        </is>
      </c>
    </row>
    <row r="38" ht="42" customHeight="1">
      <c r="A38" s="4" t="inlineStr">
        <is>
          <t>X03</t>
        </is>
      </c>
      <c r="B38" s="4" t="inlineStr">
        <is>
          <t>Measurement and consented follow-up</t>
        </is>
      </c>
      <c r="C38" s="4" t="inlineStr">
        <is>
          <t>Community support</t>
        </is>
      </c>
      <c r="D38" s="4" t="inlineStr">
        <is>
          <t>ALL</t>
        </is>
      </c>
      <c r="E38" s="132" t="n"/>
      <c r="F38" s="139" t="n">
        <v>0</v>
      </c>
      <c r="G38" s="4" t="inlineStr">
        <is>
          <t>Price only work additional to staff, travel and programme provisions.</t>
        </is>
      </c>
    </row>
    <row r="39" ht="42" customHeight="1">
      <c r="A39" s="4" t="inlineStr">
        <is>
          <t>X04</t>
        </is>
      </c>
      <c r="B39" s="4" t="inlineStr">
        <is>
          <t>Repairs and warranty beyond maintenance</t>
        </is>
      </c>
      <c r="C39" s="4" t="inlineStr">
        <is>
          <t>Product making</t>
        </is>
      </c>
      <c r="D39" s="4" t="inlineStr">
        <is>
          <t>ALL</t>
        </is>
      </c>
      <c r="E39" s="132" t="n"/>
      <c r="F39" s="139" t="n">
        <v>0</v>
      </c>
      <c r="G39" s="4" t="inlineStr">
        <is>
          <t>Confirm scope and reserve.</t>
        </is>
      </c>
    </row>
    <row r="40" ht="42" customHeight="1">
      <c r="A40" s="4" t="inlineStr">
        <is>
          <t>X05</t>
        </is>
      </c>
      <c r="B40" s="4" t="inlineStr">
        <is>
          <t>Other operating cost</t>
        </is>
      </c>
      <c r="C40" s="4" t="inlineStr">
        <is>
          <t>Goods network</t>
        </is>
      </c>
      <c r="D40" s="4" t="inlineStr">
        <is>
          <t>ALL</t>
        </is>
      </c>
      <c r="E40" s="132" t="n"/>
      <c r="F40" s="139" t="n">
        <v>0</v>
      </c>
      <c r="G40" s="4" t="inlineStr">
        <is>
          <t>Name and source before including.</t>
        </is>
      </c>
    </row>
    <row r="41" ht="28" customHeight="1">
      <c r="A41" s="4" t="n"/>
      <c r="B41" s="4" t="n"/>
      <c r="C41" s="4" t="n"/>
      <c r="D41" s="4" t="n"/>
      <c r="E41" s="128" t="n"/>
      <c r="F41" s="4" t="n"/>
      <c r="G41" s="4" t="n"/>
    </row>
    <row r="42" ht="28" customHeight="1">
      <c r="A42" s="4" t="n"/>
      <c r="B42" s="4" t="n"/>
      <c r="C42" s="4" t="n"/>
      <c r="D42" s="4" t="n"/>
      <c r="E42" s="128" t="n"/>
      <c r="F42" s="4" t="n"/>
      <c r="G42" s="4" t="n"/>
    </row>
    <row r="43" ht="28" customHeight="1">
      <c r="A43" s="4" t="n"/>
      <c r="B43" s="4" t="n"/>
      <c r="C43" s="4" t="n"/>
      <c r="D43" s="4" t="n"/>
      <c r="E43" s="128" t="n"/>
      <c r="F43" s="4" t="n"/>
      <c r="G43" s="4" t="n"/>
    </row>
    <row r="44" ht="28" customHeight="1">
      <c r="A44" s="4" t="inlineStr">
        <is>
          <t>Unpriced active extras</t>
        </is>
      </c>
      <c r="B44" s="4" t="n"/>
      <c r="C44" s="4" t="n"/>
      <c r="D44" s="4" t="n"/>
      <c r="E44" s="128">
        <f>SUMPRODUCT((F36:F40=1)*(ISNUMBER(E36:E40)=FALSE))</f>
        <v/>
      </c>
      <c r="F44" s="4" t="n"/>
      <c r="G44" s="4" t="n"/>
    </row>
    <row r="45" ht="28" customHeight="1">
      <c r="A45" s="4" t="n"/>
      <c r="B45" s="4" t="n"/>
      <c r="C45" s="4" t="n"/>
      <c r="D45" s="4" t="n"/>
      <c r="E45" s="4" t="n"/>
      <c r="F45" s="4" t="n"/>
      <c r="G45" s="4" t="n"/>
    </row>
    <row r="46" ht="28" customHeight="1">
      <c r="A46" s="4" t="inlineStr">
        <is>
          <t>NM raw material, panels, bought parts, power, consumables, daily crew and freight are calculated from Production schedule. They are not added again as annual lines.</t>
        </is>
      </c>
    </row>
    <row r="47" ht="28" customHeight="1">
      <c r="A47" s="4" t="n"/>
      <c r="B47" s="4" t="n"/>
      <c r="C47" s="4" t="n"/>
      <c r="D47" s="4" t="n"/>
      <c r="E47" s="4" t="n"/>
      <c r="F47" s="4" t="n"/>
      <c r="G47" s="4" t="n"/>
    </row>
    <row r="48" ht="28" customHeight="1">
      <c r="A48" s="4" t="n"/>
      <c r="B48" s="4" t="n"/>
      <c r="C48" s="4" t="n"/>
      <c r="D48" s="4" t="n"/>
      <c r="E48" s="4" t="n"/>
      <c r="F48" s="4" t="n"/>
      <c r="G48" s="4" t="n"/>
    </row>
    <row r="49" ht="28" customHeight="1">
      <c r="A49" s="4" t="n"/>
      <c r="B49" s="4" t="n"/>
      <c r="C49" s="4" t="n"/>
      <c r="D49" s="4" t="n"/>
      <c r="E49" s="4" t="n"/>
      <c r="F49" s="4" t="n"/>
      <c r="G49" s="4" t="n"/>
    </row>
    <row r="50" ht="28" customHeight="1">
      <c r="A50" s="4" t="n"/>
      <c r="B50" s="4" t="n"/>
      <c r="C50" s="4" t="n"/>
      <c r="D50" s="4" t="n"/>
      <c r="E50" s="4" t="n"/>
      <c r="F50" s="4" t="n"/>
      <c r="G50" s="4" t="n"/>
    </row>
    <row r="51" ht="28" customHeight="1">
      <c r="A51" s="4" t="n"/>
      <c r="B51" s="4" t="n"/>
      <c r="C51" s="4" t="n"/>
      <c r="D51" s="4" t="n"/>
      <c r="E51" s="4" t="n"/>
      <c r="F51" s="4" t="n"/>
      <c r="G51" s="4" t="n"/>
    </row>
    <row r="52" ht="28" customHeight="1">
      <c r="A52" s="4" t="n"/>
      <c r="B52" s="4" t="n"/>
      <c r="C52" s="4" t="n"/>
      <c r="D52" s="4" t="n"/>
      <c r="E52" s="4" t="n"/>
      <c r="F52" s="4" t="n"/>
      <c r="G52" s="4" t="n"/>
    </row>
  </sheetData>
  <mergeCells count="3">
    <mergeCell ref="A3:G3"/>
    <mergeCell ref="A1:G1"/>
    <mergeCell ref="A46:G46"/>
  </mergeCells>
  <dataValidations count="2">
    <dataValidation sqref="C36:C40" showDropDown="0" showInputMessage="0" showErrorMessage="0" allowBlank="0" type="list">
      <formula1>"Product making,Goods network,Community support"</formula1>
    </dataValidation>
    <dataValidation sqref="F36:F40" showDropDown="0" showInputMessage="0" showErrorMessage="0" allowBlank="0" type="whole" operator="between">
      <formula1>0</formula1>
      <formula2>1</formula2>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40"/>
  <sheetViews>
    <sheetView showGridLines="0" workbookViewId="0">
      <pane ySplit="5" topLeftCell="A6" activePane="bottomLeft" state="frozen"/>
      <selection activeCell="A1" sqref="A1"/>
    </sheetView>
  </sheetViews>
  <sheetFormatPr baseColWidth="8" defaultRowHeight="15"/>
  <cols>
    <col width="17" customWidth="1" min="1" max="1"/>
    <col width="37" customWidth="1" min="2" max="2"/>
    <col width="18" customWidth="1" min="3" max="3"/>
    <col width="18" customWidth="1" min="4" max="4"/>
    <col width="18" customWidth="1" min="5" max="5"/>
    <col width="18" customWidth="1" min="6" max="6"/>
    <col width="18" customWidth="1" min="7" max="7"/>
    <col width="18" customWidth="1" min="8" max="8"/>
    <col width="58" customWidth="1" min="9" max="9"/>
    <col width="28" customWidth="1" min="10" max="10"/>
    <col width="18" customWidth="1" min="11" max="11"/>
  </cols>
  <sheetData>
    <row r="1" ht="38" customHeight="1">
      <c r="A1" s="5" t="inlineStr">
        <is>
          <t>Facility capital</t>
        </is>
      </c>
    </row>
    <row r="2" ht="28" customHeight="1">
      <c r="A2" s="4" t="n"/>
      <c r="B2" s="4" t="n"/>
      <c r="C2" s="4" t="n"/>
      <c r="D2" s="4" t="n"/>
      <c r="E2" s="4" t="n"/>
      <c r="F2" s="4" t="n"/>
      <c r="G2" s="4" t="n"/>
      <c r="H2" s="4" t="n"/>
      <c r="I2" s="4" t="n"/>
      <c r="J2" s="4" t="n"/>
      <c r="K2" s="4" t="n"/>
    </row>
    <row r="3" ht="54" customHeight="1">
      <c r="A3" s="6" t="inlineStr">
        <is>
          <t>The current allowance is $300,000 for two new facilities. Modules are an alternative calculation, not extra costs on top of the allowance. Quotes and site authority remain to confirm.</t>
        </is>
      </c>
    </row>
    <row r="4" ht="28" customHeight="1">
      <c r="A4" s="4" t="n"/>
      <c r="B4" s="4" t="n"/>
      <c r="C4" s="4" t="n"/>
      <c r="D4" s="4" t="n"/>
      <c r="E4" s="4" t="n"/>
      <c r="F4" s="4" t="n"/>
      <c r="G4" s="4" t="n"/>
      <c r="H4" s="4" t="n"/>
      <c r="I4" s="4" t="n"/>
      <c r="J4" s="4" t="n"/>
      <c r="K4" s="4" t="n"/>
    </row>
    <row r="5" ht="54" customHeight="1">
      <c r="A5" s="8" t="inlineStr">
        <is>
          <t>Site ID</t>
        </is>
      </c>
      <c r="B5" s="8" t="inlineStr">
        <is>
          <t>Basis</t>
        </is>
      </c>
      <c r="C5" s="8" t="inlineStr">
        <is>
          <t>Allowance share</t>
        </is>
      </c>
      <c r="D5" s="8" t="inlineStr">
        <is>
          <t>Selected module cost</t>
        </is>
      </c>
      <c r="E5" s="8" t="inlineStr">
        <is>
          <t>Selected capital</t>
        </is>
      </c>
      <c r="F5" s="8" t="inlineStr">
        <is>
          <t>Deposit share</t>
        </is>
      </c>
      <c r="G5" s="8" t="inlineStr">
        <is>
          <t>Deposit month</t>
        </is>
      </c>
      <c r="H5" s="8" t="inlineStr">
        <is>
          <t>Balance month</t>
        </is>
      </c>
      <c r="I5" s="8" t="inlineStr">
        <is>
          <t>Unpriced selected modules</t>
        </is>
      </c>
      <c r="J5" s="8" t="inlineStr">
        <is>
          <t>Source</t>
        </is>
      </c>
      <c r="K5" s="8" t="str"/>
    </row>
    <row r="6" ht="58" customHeight="1">
      <c r="A6" s="4" t="inlineStr">
        <is>
          <t>WITTA</t>
        </is>
      </c>
      <c r="B6" s="4">
        <f>'Sites'!T6</f>
        <v/>
      </c>
      <c r="C6" s="128">
        <f>'Assumptions'!B37*'Sites'!S6</f>
        <v/>
      </c>
      <c r="D6" s="128">
        <f>SUMPRODUCT(E14:E26,F14:F26)</f>
        <v/>
      </c>
      <c r="E6" s="128">
        <f>IF(B6="Allowance",C6,D6)</f>
        <v/>
      </c>
      <c r="F6" s="149" t="n">
        <v>1</v>
      </c>
      <c r="G6" s="132" t="n">
        <v>1</v>
      </c>
      <c r="H6" s="132">
        <f>'Sites'!F6</f>
        <v/>
      </c>
      <c r="I6" s="34">
        <f>IF(B6="Modules",SUMPRODUCT((F14:F26&gt;0)*(ISNUMBER(E14:E26)=FALSE)),0)</f>
        <v/>
      </c>
      <c r="J6" s="4" t="inlineStr">
        <is>
          <t>Existing Witta capital is not purchased again.</t>
        </is>
      </c>
      <c r="K6" s="4" t="n"/>
    </row>
    <row r="7" ht="58" customHeight="1">
      <c r="A7" s="4" t="inlineStr">
        <is>
          <t>NEW1</t>
        </is>
      </c>
      <c r="B7" s="4">
        <f>'Sites'!T7</f>
        <v/>
      </c>
      <c r="C7" s="128">
        <f>'Assumptions'!B37*'Sites'!S7</f>
        <v/>
      </c>
      <c r="D7" s="128">
        <f>SUMPRODUCT(E14:E26,G14:G26)</f>
        <v/>
      </c>
      <c r="E7" s="128">
        <f>IF(B7="Allowance",C7,D7)</f>
        <v/>
      </c>
      <c r="F7" s="149" t="n">
        <v>1</v>
      </c>
      <c r="G7" s="132" t="n">
        <v>1</v>
      </c>
      <c r="H7" s="132">
        <f>'Sites'!F7</f>
        <v/>
      </c>
      <c r="I7" s="34">
        <f>IF(B7="Modules",SUMPRODUCT((G14:G26&gt;0)*(ISNUMBER(E14:E26)=FALSE)),0)</f>
        <v/>
      </c>
      <c r="J7" s="4" t="inlineStr">
        <is>
          <t>Ben current allowance; original module alternatives below</t>
        </is>
      </c>
      <c r="K7" s="4" t="n"/>
    </row>
    <row r="8" ht="58" customHeight="1">
      <c r="A8" s="4" t="inlineStr">
        <is>
          <t>NEW2</t>
        </is>
      </c>
      <c r="B8" s="4">
        <f>'Sites'!T8</f>
        <v/>
      </c>
      <c r="C8" s="128">
        <f>'Assumptions'!B37*'Sites'!S8</f>
        <v/>
      </c>
      <c r="D8" s="128">
        <f>SUMPRODUCT(E14:E26,H14:H26)</f>
        <v/>
      </c>
      <c r="E8" s="128">
        <f>IF(B8="Allowance",C8,D8)</f>
        <v/>
      </c>
      <c r="F8" s="149" t="n">
        <v>1</v>
      </c>
      <c r="G8" s="132" t="n">
        <v>1</v>
      </c>
      <c r="H8" s="132">
        <f>'Sites'!F8</f>
        <v/>
      </c>
      <c r="I8" s="34">
        <f>IF(B8="Modules",SUMPRODUCT((H14:H26&gt;0)*(ISNUMBER(E14:E26)=FALSE)),0)</f>
        <v/>
      </c>
      <c r="J8" s="4" t="inlineStr">
        <is>
          <t>Ben current allowance; original module alternatives below</t>
        </is>
      </c>
      <c r="K8" s="4" t="n"/>
    </row>
    <row r="9" ht="28" customHeight="1">
      <c r="A9" s="4" t="n"/>
      <c r="B9" s="4" t="n"/>
      <c r="C9" s="4" t="n"/>
      <c r="D9" s="4" t="n"/>
      <c r="E9" s="4" t="n"/>
      <c r="F9" s="4" t="n"/>
      <c r="G9" s="4" t="n"/>
      <c r="H9" s="4" t="n"/>
      <c r="I9" s="4" t="n"/>
      <c r="J9" s="4" t="n"/>
      <c r="K9" s="4" t="n"/>
    </row>
    <row r="10" ht="28" customHeight="1">
      <c r="A10" s="4" t="n"/>
      <c r="B10" s="4" t="n"/>
      <c r="C10" s="4" t="n"/>
      <c r="D10" s="4" t="n"/>
      <c r="E10" s="4" t="n"/>
      <c r="F10" s="4" t="n"/>
      <c r="G10" s="4" t="n"/>
      <c r="H10" s="4" t="n"/>
      <c r="I10" s="4" t="n"/>
      <c r="J10" s="4" t="n"/>
      <c r="K10" s="4" t="n"/>
    </row>
    <row r="11" ht="28" customHeight="1">
      <c r="A11" s="4" t="n"/>
      <c r="B11" s="4" t="n"/>
      <c r="C11" s="4" t="n"/>
      <c r="D11" s="4" t="n"/>
      <c r="E11" s="4" t="n"/>
      <c r="F11" s="4" t="n"/>
      <c r="G11" s="4" t="n"/>
      <c r="H11" s="4" t="n"/>
      <c r="I11" s="4" t="n"/>
      <c r="J11" s="4" t="n"/>
      <c r="K11" s="4" t="n"/>
    </row>
    <row r="12" ht="28" customHeight="1">
      <c r="A12" s="4" t="n"/>
      <c r="B12" s="4" t="n"/>
      <c r="C12" s="4" t="n"/>
      <c r="D12" s="4" t="n"/>
      <c r="E12" s="4" t="n"/>
      <c r="F12" s="4" t="n"/>
      <c r="G12" s="4" t="n"/>
      <c r="H12" s="4" t="n"/>
      <c r="I12" s="4" t="n"/>
      <c r="J12" s="4" t="n"/>
      <c r="K12" s="4" t="n"/>
    </row>
    <row r="13" ht="54" customHeight="1">
      <c r="A13" s="8" t="inlineStr">
        <is>
          <t>Module ID</t>
        </is>
      </c>
      <c r="B13" s="8" t="inlineStr">
        <is>
          <t>Module / component</t>
        </is>
      </c>
      <c r="C13" s="8" t="inlineStr">
        <is>
          <t>Source low</t>
        </is>
      </c>
      <c r="D13" s="8" t="inlineStr">
        <is>
          <t>Source high</t>
        </is>
      </c>
      <c r="E13" s="8" t="inlineStr">
        <is>
          <t>Selected price</t>
        </is>
      </c>
      <c r="F13" s="8" t="inlineStr">
        <is>
          <t>Witta quantity</t>
        </is>
      </c>
      <c r="G13" s="8" t="inlineStr">
        <is>
          <t>New 1 quantity</t>
        </is>
      </c>
      <c r="H13" s="8" t="inlineStr">
        <is>
          <t>New 2 quantity</t>
        </is>
      </c>
      <c r="I13" s="8" t="inlineStr">
        <is>
          <t>Source / condition</t>
        </is>
      </c>
      <c r="J13" s="8" t="inlineStr">
        <is>
          <t>New 1 amount</t>
        </is>
      </c>
      <c r="K13" s="8" t="inlineStr">
        <is>
          <t>New 2 amount</t>
        </is>
      </c>
    </row>
    <row r="14" ht="48" customHeight="1">
      <c r="A14" s="4" t="inlineStr">
        <is>
          <t>M01</t>
        </is>
      </c>
      <c r="B14" s="4" t="inlineStr">
        <is>
          <t>40ft shipping container</t>
        </is>
      </c>
      <c r="C14" s="4">
        <f>'Source records'!E1207</f>
        <v/>
      </c>
      <c r="D14" s="4">
        <f>'Source records'!E1208</f>
        <v/>
      </c>
      <c r="E14" s="139">
        <f>AVERAGE(C14:D14)</f>
        <v/>
      </c>
      <c r="F14" s="139" t="n">
        <v>0</v>
      </c>
      <c r="G14" s="139" t="n">
        <v>0</v>
      </c>
      <c r="H14" s="139" t="n">
        <v>0</v>
      </c>
      <c r="I14" s="4" t="inlineStr">
        <is>
          <t>Facility &amp; Modules row 6. Original range is an estimate or historical proxy, not a current quote.</t>
        </is>
      </c>
      <c r="J14" s="4">
        <f>IF(G14=0,0,IF(ISNUMBER(E14),G14*E14,""))</f>
        <v/>
      </c>
      <c r="K14" s="4">
        <f>IF(H14=0,0,IF(ISNUMBER(E14),H14*E14,""))</f>
        <v/>
      </c>
    </row>
    <row r="15" ht="48" customHeight="1">
      <c r="A15" s="4" t="inlineStr">
        <is>
          <t>M02</t>
        </is>
      </c>
      <c r="B15" s="4" t="inlineStr">
        <is>
          <t>20ft shipping container</t>
        </is>
      </c>
      <c r="C15" s="4">
        <f>'Source records'!E1212</f>
        <v/>
      </c>
      <c r="D15" s="4">
        <f>'Source records'!E1213</f>
        <v/>
      </c>
      <c r="E15" s="139">
        <f>AVERAGE(C15:D15)</f>
        <v/>
      </c>
      <c r="F15" s="139" t="n">
        <v>0</v>
      </c>
      <c r="G15" s="139" t="n">
        <v>0</v>
      </c>
      <c r="H15" s="139" t="n">
        <v>0</v>
      </c>
      <c r="I15" s="4" t="inlineStr">
        <is>
          <t>Facility &amp; Modules row 7. Original range is an estimate or historical proxy, not a current quote.</t>
        </is>
      </c>
      <c r="J15" s="4">
        <f>IF(G15=0,0,IF(ISNUMBER(E15),G15*E15,""))</f>
        <v/>
      </c>
      <c r="K15" s="4">
        <f>IF(H15=0,0,IF(ISNUMBER(E15),H15*E15,""))</f>
        <v/>
      </c>
    </row>
    <row r="16" ht="48" customHeight="1">
      <c r="A16" s="4" t="inlineStr">
        <is>
          <t>M03</t>
        </is>
      </c>
      <c r="B16" s="4" t="inlineStr">
        <is>
          <t>Diesel generator (press-line sized)</t>
        </is>
      </c>
      <c r="C16" s="4">
        <f>'Source records'!E1217</f>
        <v/>
      </c>
      <c r="D16" s="4">
        <f>'Source records'!E1218</f>
        <v/>
      </c>
      <c r="E16" s="139">
        <f>AVERAGE(C16:D16)</f>
        <v/>
      </c>
      <c r="F16" s="139" t="n">
        <v>0</v>
      </c>
      <c r="G16" s="139" t="n">
        <v>0</v>
      </c>
      <c r="H16" s="139" t="n">
        <v>0</v>
      </c>
      <c r="I16" s="4" t="inlineStr">
        <is>
          <t>Facility &amp; Modules row 8. Original range is an estimate or historical proxy, not a current quote.</t>
        </is>
      </c>
      <c r="J16" s="4">
        <f>IF(G16=0,0,IF(ISNUMBER(E16),G16*E16,""))</f>
        <v/>
      </c>
      <c r="K16" s="4">
        <f>IF(H16=0,0,IF(ISNUMBER(E16),H16*E16,""))</f>
        <v/>
      </c>
    </row>
    <row r="17" ht="48" customHeight="1">
      <c r="A17" s="4" t="inlineStr">
        <is>
          <t>M04</t>
        </is>
      </c>
      <c r="B17" s="4" t="inlineStr">
        <is>
          <t>Crane placement + transport</t>
        </is>
      </c>
      <c r="C17" s="4">
        <f>'Source records'!E1222</f>
        <v/>
      </c>
      <c r="D17" s="4">
        <f>'Source records'!E1223</f>
        <v/>
      </c>
      <c r="E17" s="139">
        <f>AVERAGE(C17:D17)</f>
        <v/>
      </c>
      <c r="F17" s="139" t="n">
        <v>0</v>
      </c>
      <c r="G17" s="139" t="n">
        <v>0</v>
      </c>
      <c r="H17" s="139" t="n">
        <v>0</v>
      </c>
      <c r="I17" s="4" t="inlineStr">
        <is>
          <t>Facility &amp; Modules row 9. Original range is an estimate or historical proxy, not a current quote.</t>
        </is>
      </c>
      <c r="J17" s="4">
        <f>IF(G17=0,0,IF(ISNUMBER(E17),G17*E17,""))</f>
        <v/>
      </c>
      <c r="K17" s="4">
        <f>IF(H17=0,0,IF(ISNUMBER(E17),H17*E17,""))</f>
        <v/>
      </c>
    </row>
    <row r="18" ht="48" customHeight="1">
      <c r="A18" s="4" t="inlineStr">
        <is>
          <t>M05</t>
        </is>
      </c>
      <c r="B18" s="4" t="inlineStr">
        <is>
          <t>Electrical fit-out (board, three-phase)</t>
        </is>
      </c>
      <c r="C18" s="4">
        <f>'Source records'!E1227</f>
        <v/>
      </c>
      <c r="D18" s="4">
        <f>'Source records'!E1228</f>
        <v/>
      </c>
      <c r="E18" s="139">
        <f>AVERAGE(C18:D18)</f>
        <v/>
      </c>
      <c r="F18" s="139" t="n">
        <v>0</v>
      </c>
      <c r="G18" s="139" t="n">
        <v>0</v>
      </c>
      <c r="H18" s="139" t="n">
        <v>0</v>
      </c>
      <c r="I18" s="4" t="inlineStr">
        <is>
          <t>Facility &amp; Modules row 10. Original range is an estimate or historical proxy, not a current quote.</t>
        </is>
      </c>
      <c r="J18" s="4">
        <f>IF(G18=0,0,IF(ISNUMBER(E18),G18*E18,""))</f>
        <v/>
      </c>
      <c r="K18" s="4">
        <f>IF(H18=0,0,IF(ISNUMBER(E18),H18*E18,""))</f>
        <v/>
      </c>
    </row>
    <row r="19" ht="48" customHeight="1">
      <c r="A19" s="4" t="inlineStr">
        <is>
          <t>M06</t>
        </is>
      </c>
      <c r="B19" s="4" t="inlineStr">
        <is>
          <t>Ventilation / fume extraction</t>
        </is>
      </c>
      <c r="C19" s="4">
        <f>'Source records'!E1232</f>
        <v/>
      </c>
      <c r="D19" s="4">
        <f>'Source records'!E1233</f>
        <v/>
      </c>
      <c r="E19" s="139">
        <f>AVERAGE(C19:D19)</f>
        <v/>
      </c>
      <c r="F19" s="139" t="n">
        <v>0</v>
      </c>
      <c r="G19" s="139" t="n">
        <v>0</v>
      </c>
      <c r="H19" s="139" t="n">
        <v>0</v>
      </c>
      <c r="I19" s="4" t="inlineStr">
        <is>
          <t>Facility &amp; Modules row 11. Original range is an estimate or historical proxy, not a current quote.</t>
        </is>
      </c>
      <c r="J19" s="4">
        <f>IF(G19=0,0,IF(ISNUMBER(E19),G19*E19,""))</f>
        <v/>
      </c>
      <c r="K19" s="4">
        <f>IF(H19=0,0,IF(ISNUMBER(E19),H19*E19,""))</f>
        <v/>
      </c>
    </row>
    <row r="20" ht="48" customHeight="1">
      <c r="A20" s="4" t="inlineStr">
        <is>
          <t>M07</t>
        </is>
      </c>
      <c r="B20" s="4" t="inlineStr">
        <is>
          <t>Site prep (pad, levelling)</t>
        </is>
      </c>
      <c r="C20" s="4">
        <f>'Source records'!E1237</f>
        <v/>
      </c>
      <c r="D20" s="4">
        <f>'Source records'!E1238</f>
        <v/>
      </c>
      <c r="E20" s="139">
        <f>AVERAGE(C20:D20)</f>
        <v/>
      </c>
      <c r="F20" s="139" t="n">
        <v>0</v>
      </c>
      <c r="G20" s="139" t="n">
        <v>0</v>
      </c>
      <c r="H20" s="139" t="n">
        <v>0</v>
      </c>
      <c r="I20" s="4" t="inlineStr">
        <is>
          <t>Facility &amp; Modules row 12. Original range is an estimate or historical proxy, not a current quote.</t>
        </is>
      </c>
      <c r="J20" s="4">
        <f>IF(G20=0,0,IF(ISNUMBER(E20),G20*E20,""))</f>
        <v/>
      </c>
      <c r="K20" s="4">
        <f>IF(H20=0,0,IF(ISNUMBER(E20),H20*E20,""))</f>
        <v/>
      </c>
    </row>
    <row r="21" ht="48" customHeight="1">
      <c r="A21" s="4" t="inlineStr">
        <is>
          <t>M08</t>
        </is>
      </c>
      <c r="B21" s="4" t="inlineStr">
        <is>
          <t>PPE + startup consumables</t>
        </is>
      </c>
      <c r="C21" s="4">
        <f>'Source records'!E1241</f>
        <v/>
      </c>
      <c r="D21" s="4">
        <f>'Source records'!E1242</f>
        <v/>
      </c>
      <c r="E21" s="139">
        <f>AVERAGE(C21:D21)</f>
        <v/>
      </c>
      <c r="F21" s="139" t="n">
        <v>0</v>
      </c>
      <c r="G21" s="139" t="n">
        <v>0</v>
      </c>
      <c r="H21" s="139" t="n">
        <v>0</v>
      </c>
      <c r="I21" s="4" t="inlineStr">
        <is>
          <t>Facility &amp; Modules row 13. Original range is an estimate or historical proxy, not a current quote.</t>
        </is>
      </c>
      <c r="J21" s="4">
        <f>IF(G21=0,0,IF(ISNUMBER(E21),G21*E21,""))</f>
        <v/>
      </c>
      <c r="K21" s="4">
        <f>IF(H21=0,0,IF(ISNUMBER(E21),H21*E21,""))</f>
        <v/>
      </c>
    </row>
    <row r="22" ht="48" customHeight="1">
      <c r="A22" s="4" t="inlineStr">
        <is>
          <t>M09</t>
        </is>
      </c>
      <c r="B22" s="4" t="inlineStr">
        <is>
          <t>Collection and sorting</t>
        </is>
      </c>
      <c r="C22" s="4">
        <f>'Source records'!E1258</f>
        <v/>
      </c>
      <c r="D22" s="4">
        <f>'Source records'!E1259</f>
        <v/>
      </c>
      <c r="E22" s="139">
        <f>AVERAGE(C22:D22)</f>
        <v/>
      </c>
      <c r="F22" s="139" t="n">
        <v>0</v>
      </c>
      <c r="G22" s="139" t="n">
        <v>0</v>
      </c>
      <c r="H22" s="139" t="n">
        <v>0</v>
      </c>
      <c r="I22" s="4" t="inlineStr">
        <is>
          <t>Facility &amp; Modules row 18. Original range is an estimate or historical proxy, not a current quote.</t>
        </is>
      </c>
      <c r="J22" s="4">
        <f>IF(G22=0,0,IF(ISNUMBER(E22),G22*E22,""))</f>
        <v/>
      </c>
      <c r="K22" s="4">
        <f>IF(H22=0,0,IF(ISNUMBER(E22),H22*E22,""))</f>
        <v/>
      </c>
    </row>
    <row r="23" ht="48" customHeight="1">
      <c r="A23" s="4" t="inlineStr">
        <is>
          <t>M10</t>
        </is>
      </c>
      <c r="B23" s="4" t="inlineStr">
        <is>
          <t>Shredding</t>
        </is>
      </c>
      <c r="C23" s="4">
        <f>'Source records'!E1264</f>
        <v/>
      </c>
      <c r="D23" s="4">
        <f>'Source records'!E1265</f>
        <v/>
      </c>
      <c r="E23" s="139">
        <f>AVERAGE(C23:D23)</f>
        <v/>
      </c>
      <c r="F23" s="139" t="n">
        <v>0</v>
      </c>
      <c r="G23" s="139" t="n">
        <v>0</v>
      </c>
      <c r="H23" s="139" t="n">
        <v>0</v>
      </c>
      <c r="I23" s="4" t="inlineStr">
        <is>
          <t>Facility &amp; Modules row 19. Original range is an estimate or historical proxy, not a current quote.</t>
        </is>
      </c>
      <c r="J23" s="4">
        <f>IF(G23=0,0,IF(ISNUMBER(E23),G23*E23,""))</f>
        <v/>
      </c>
      <c r="K23" s="4">
        <f>IF(H23=0,0,IF(ISNUMBER(E23),H23*E23,""))</f>
        <v/>
      </c>
    </row>
    <row r="24" ht="48" customHeight="1">
      <c r="A24" s="4" t="inlineStr">
        <is>
          <t>M11</t>
        </is>
      </c>
      <c r="B24" s="4" t="inlineStr">
        <is>
          <t>Pressing, CNC and finishing</t>
        </is>
      </c>
      <c r="C24" s="4">
        <f>'Source records'!E1270</f>
        <v/>
      </c>
      <c r="D24" s="4">
        <f>'Source records'!E1271</f>
        <v/>
      </c>
      <c r="E24" s="139">
        <f>AVERAGE(C24:D24)</f>
        <v/>
      </c>
      <c r="F24" s="139" t="n">
        <v>0</v>
      </c>
      <c r="G24" s="139" t="n">
        <v>0</v>
      </c>
      <c r="H24" s="139" t="n">
        <v>0</v>
      </c>
      <c r="I24" s="4" t="inlineStr">
        <is>
          <t>Facility &amp; Modules row 20. Original range is an estimate or historical proxy, not a current quote.</t>
        </is>
      </c>
      <c r="J24" s="4">
        <f>IF(G24=0,0,IF(ISNUMBER(E24),G24*E24,""))</f>
        <v/>
      </c>
      <c r="K24" s="4">
        <f>IF(H24=0,0,IF(ISNUMBER(E24),H24*E24,""))</f>
        <v/>
      </c>
    </row>
    <row r="25" ht="48" customHeight="1">
      <c r="A25" s="4" t="inlineStr">
        <is>
          <t>M12</t>
        </is>
      </c>
      <c r="B25" s="4" t="inlineStr">
        <is>
          <t>Assembly and workshop</t>
        </is>
      </c>
      <c r="C25" s="4">
        <f>'Source records'!E1276</f>
        <v/>
      </c>
      <c r="D25" s="4">
        <f>'Source records'!E1277</f>
        <v/>
      </c>
      <c r="E25" s="139">
        <f>AVERAGE(C25:D25)</f>
        <v/>
      </c>
      <c r="F25" s="139" t="n">
        <v>0</v>
      </c>
      <c r="G25" s="139" t="n">
        <v>0</v>
      </c>
      <c r="H25" s="139" t="n">
        <v>0</v>
      </c>
      <c r="I25" s="4" t="inlineStr">
        <is>
          <t>Facility &amp; Modules row 21. Original range is an estimate or historical proxy, not a current quote.</t>
        </is>
      </c>
      <c r="J25" s="4">
        <f>IF(G25=0,0,IF(ISNUMBER(E25),G25*E25,""))</f>
        <v/>
      </c>
      <c r="K25" s="4">
        <f>IF(H25=0,0,IF(ISNUMBER(E25),H25*E25,""))</f>
        <v/>
      </c>
    </row>
    <row r="26" ht="48" customHeight="1">
      <c r="A26" s="4" t="inlineStr">
        <is>
          <t>M13</t>
        </is>
      </c>
      <c r="B26" s="4" t="inlineStr">
        <is>
          <t>Sales and delivery</t>
        </is>
      </c>
      <c r="C26" s="4">
        <f>'Source records'!E1282</f>
        <v/>
      </c>
      <c r="D26" s="4">
        <f>'Source records'!E1283</f>
        <v/>
      </c>
      <c r="E26" s="139">
        <f>AVERAGE(C26:D26)</f>
        <v/>
      </c>
      <c r="F26" s="139" t="n">
        <v>0</v>
      </c>
      <c r="G26" s="139" t="n">
        <v>0</v>
      </c>
      <c r="H26" s="139" t="n">
        <v>0</v>
      </c>
      <c r="I26" s="4" t="inlineStr">
        <is>
          <t>Facility &amp; Modules row 22. Original range is an estimate or historical proxy, not a current quote.</t>
        </is>
      </c>
      <c r="J26" s="4">
        <f>IF(G26=0,0,IF(ISNUMBER(E26),G26*E26,""))</f>
        <v/>
      </c>
      <c r="K26" s="4">
        <f>IF(H26=0,0,IF(ISNUMBER(E26),H26*E26,""))</f>
        <v/>
      </c>
    </row>
    <row r="27" ht="28" customHeight="1">
      <c r="A27" s="4" t="n"/>
      <c r="B27" s="4" t="n"/>
      <c r="C27" s="4" t="n"/>
      <c r="D27" s="4" t="n"/>
      <c r="E27" s="4" t="n"/>
      <c r="F27" s="4" t="n"/>
      <c r="G27" s="4" t="n"/>
      <c r="H27" s="4" t="n"/>
      <c r="I27" s="4" t="n"/>
      <c r="J27" s="4" t="n"/>
      <c r="K27" s="4" t="n"/>
    </row>
    <row r="28" ht="28" customHeight="1">
      <c r="A28" s="4" t="n"/>
      <c r="B28" s="4" t="n"/>
      <c r="C28" s="4" t="n"/>
      <c r="D28" s="4" t="n"/>
      <c r="E28" s="4" t="n"/>
      <c r="F28" s="4" t="n"/>
      <c r="G28" s="4" t="n"/>
      <c r="H28" s="4" t="n"/>
      <c r="I28" s="4" t="n"/>
      <c r="J28" s="4" t="n"/>
      <c r="K28" s="4" t="n"/>
    </row>
    <row r="29" ht="28" customHeight="1">
      <c r="A29" s="4" t="n"/>
      <c r="B29" s="4" t="n"/>
      <c r="C29" s="4" t="n"/>
      <c r="D29" s="4" t="n"/>
      <c r="E29" s="4" t="n"/>
      <c r="F29" s="4" t="n"/>
      <c r="G29" s="4" t="n"/>
      <c r="H29" s="4" t="n"/>
      <c r="I29" s="4" t="n"/>
      <c r="J29" s="4" t="n"/>
      <c r="K29" s="4" t="n"/>
    </row>
    <row r="30" ht="28" customHeight="1">
      <c r="A30" s="4" t="inlineStr">
        <is>
          <t>Allowance reference</t>
        </is>
      </c>
      <c r="B30" s="4" t="n"/>
      <c r="C30" s="4">
        <f>'Assumptions'!B37</f>
        <v/>
      </c>
      <c r="D30" s="4" t="n"/>
      <c r="E30" s="4" t="n"/>
      <c r="F30" s="4" t="n"/>
      <c r="G30" s="4" t="n"/>
      <c r="H30" s="4" t="n"/>
      <c r="I30" s="4" t="n"/>
      <c r="J30" s="4" t="n"/>
      <c r="K30" s="4" t="n"/>
    </row>
    <row r="31" ht="28" customHeight="1">
      <c r="A31" s="4" t="inlineStr">
        <is>
          <t>Replication + installation / site</t>
        </is>
      </c>
      <c r="B31" s="4" t="n"/>
      <c r="C31" s="4">
        <f>'Source records'!E2594+'Source records'!E2618</f>
        <v/>
      </c>
      <c r="D31" s="4" t="n"/>
      <c r="E31" s="4" t="n"/>
      <c r="F31" s="4" t="n"/>
      <c r="G31" s="4" t="n"/>
      <c r="H31" s="4" t="n"/>
      <c r="I31" s="4" t="n"/>
      <c r="J31" s="4" t="n"/>
      <c r="K31" s="4" t="n"/>
    </row>
    <row r="32" ht="28" customHeight="1">
      <c r="A32" s="4" t="inlineStr">
        <is>
          <t>Turnkey / site</t>
        </is>
      </c>
      <c r="B32" s="4" t="n"/>
      <c r="C32" s="4">
        <f>'Source records'!E2600</f>
        <v/>
      </c>
      <c r="D32" s="4" t="n"/>
      <c r="E32" s="4" t="n"/>
      <c r="F32" s="4" t="n"/>
      <c r="G32" s="4" t="n"/>
      <c r="H32" s="4" t="n"/>
      <c r="I32" s="4" t="n"/>
      <c r="J32" s="4" t="n"/>
      <c r="K32" s="4" t="n"/>
    </row>
    <row r="33" ht="28" customHeight="1">
      <c r="A33" s="4" t="n"/>
      <c r="B33" s="4" t="n"/>
      <c r="C33" s="4" t="n"/>
      <c r="D33" s="4" t="n"/>
      <c r="E33" s="4" t="n"/>
      <c r="F33" s="4" t="n"/>
      <c r="G33" s="4" t="n"/>
      <c r="H33" s="4" t="n"/>
      <c r="I33" s="4" t="n"/>
      <c r="J33" s="4" t="n"/>
      <c r="K33" s="4" t="n"/>
    </row>
    <row r="34" ht="28" customHeight="1">
      <c r="A34" s="4" t="inlineStr">
        <is>
          <t>Select either container size and the modules a partner actually requests. The workbook calculates prices; it does not establish a technically complete facility or partner permission.</t>
        </is>
      </c>
    </row>
    <row r="35" ht="28" customHeight="1">
      <c r="A35" s="4" t="n"/>
      <c r="B35" s="4" t="n"/>
      <c r="C35" s="4" t="n"/>
      <c r="D35" s="4" t="n"/>
      <c r="E35" s="4" t="n"/>
      <c r="F35" s="4" t="n"/>
      <c r="G35" s="4" t="n"/>
      <c r="H35" s="4" t="n"/>
      <c r="I35" s="4" t="n"/>
      <c r="J35" s="4" t="n"/>
      <c r="K35" s="4" t="n"/>
    </row>
    <row r="36" ht="28" customHeight="1">
      <c r="A36" s="4" t="n"/>
      <c r="B36" s="4" t="n"/>
      <c r="C36" s="4" t="n"/>
      <c r="D36" s="4" t="n"/>
      <c r="E36" s="4" t="n"/>
      <c r="F36" s="4" t="n"/>
      <c r="G36" s="4" t="n"/>
      <c r="H36" s="4" t="n"/>
      <c r="I36" s="4" t="n"/>
      <c r="J36" s="4" t="n"/>
      <c r="K36" s="4" t="n"/>
    </row>
    <row r="37" ht="28" customHeight="1">
      <c r="A37" s="4" t="n"/>
      <c r="B37" s="4" t="n"/>
      <c r="C37" s="4" t="n"/>
      <c r="D37" s="4" t="n"/>
      <c r="E37" s="4" t="n"/>
      <c r="F37" s="4" t="n"/>
      <c r="G37" s="4" t="n"/>
      <c r="H37" s="4" t="n"/>
      <c r="I37" s="4" t="n"/>
      <c r="J37" s="4" t="n"/>
      <c r="K37" s="4" t="n"/>
    </row>
    <row r="38" ht="28" customHeight="1">
      <c r="A38" s="4" t="n"/>
      <c r="B38" s="4" t="n"/>
      <c r="C38" s="4" t="n"/>
      <c r="D38" s="4" t="n"/>
      <c r="E38" s="4" t="n"/>
      <c r="F38" s="4" t="n"/>
      <c r="G38" s="4" t="n"/>
      <c r="H38" s="4" t="n"/>
      <c r="I38" s="4" t="n"/>
      <c r="J38" s="4" t="n"/>
      <c r="K38" s="4" t="n"/>
    </row>
    <row r="39" ht="28" customHeight="1">
      <c r="A39" s="4" t="n"/>
      <c r="B39" s="4" t="n"/>
      <c r="C39" s="4" t="n"/>
      <c r="D39" s="4" t="n"/>
      <c r="E39" s="4" t="n"/>
      <c r="F39" s="4" t="n"/>
      <c r="G39" s="4" t="n"/>
      <c r="H39" s="4" t="n"/>
      <c r="I39" s="4" t="n"/>
      <c r="J39" s="4" t="n"/>
      <c r="K39" s="4" t="n"/>
    </row>
    <row r="40" ht="28" customHeight="1">
      <c r="A40" s="4" t="n"/>
      <c r="B40" s="4" t="n"/>
      <c r="C40" s="4" t="n"/>
      <c r="D40" s="4" t="n"/>
      <c r="E40" s="4" t="n"/>
      <c r="F40" s="4" t="n"/>
      <c r="G40" s="4" t="n"/>
      <c r="H40" s="4" t="n"/>
      <c r="I40" s="4" t="n"/>
      <c r="J40" s="4" t="n"/>
      <c r="K40" s="4" t="n"/>
    </row>
  </sheetData>
  <mergeCells count="3">
    <mergeCell ref="A1:K1"/>
    <mergeCell ref="A34:K34"/>
    <mergeCell ref="A3:K3"/>
  </mergeCells>
  <dataValidations count="1">
    <dataValidation sqref="G6:H8" showDropDown="0" showInputMessage="0" showErrorMessage="0" allowBlank="0" type="whole" operator="between">
      <formula1>1</formula1>
      <formula2>36</formula2>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V26"/>
  <sheetViews>
    <sheetView showGridLines="0" workbookViewId="0">
      <pane ySplit="5" topLeftCell="A6" activePane="bottomLeft" state="frozen"/>
      <selection activeCell="A1" sqref="A1"/>
    </sheetView>
  </sheetViews>
  <sheetFormatPr baseColWidth="8" defaultRowHeight="15"/>
  <cols>
    <col width="16" customWidth="1" min="1" max="1"/>
    <col width="33" customWidth="1" min="2" max="2"/>
    <col width="18" customWidth="1" min="3" max="3"/>
    <col width="18" customWidth="1" min="4" max="4"/>
    <col width="23"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55" customWidth="1" min="13" max="13"/>
    <col width="18" customWidth="1" min="14" max="14"/>
    <col width="18" customWidth="1" min="15" max="15"/>
    <col width="18" customWidth="1" min="16" max="16"/>
    <col width="18" customWidth="1" min="17" max="17"/>
  </cols>
  <sheetData>
    <row r="1" ht="38" customHeight="1">
      <c r="A1" s="5" t="inlineStr">
        <is>
          <t>Funding and receipt conditions</t>
        </is>
      </c>
    </row>
    <row r="2" ht="28" customHeight="1">
      <c r="A2" s="4" t="n"/>
      <c r="B2" s="4" t="n"/>
      <c r="C2" s="4" t="n"/>
      <c r="D2" s="4" t="n"/>
      <c r="E2" s="4" t="n"/>
      <c r="F2" s="4" t="n"/>
      <c r="G2" s="4" t="n"/>
      <c r="H2" s="4" t="n"/>
      <c r="I2" s="4" t="n"/>
      <c r="J2" s="4" t="n"/>
      <c r="K2" s="4" t="n"/>
      <c r="L2" s="4" t="n"/>
      <c r="M2" s="4" t="n"/>
      <c r="N2" s="4" t="n"/>
      <c r="O2" s="4" t="n"/>
      <c r="P2" s="4" t="n"/>
      <c r="Q2" s="4" t="n"/>
    </row>
    <row r="3" ht="54" customHeight="1">
      <c r="A3" s="6" t="inlineStr">
        <is>
          <t>Invitations, possible grants and proposed borrowing remain separate from secured receipts. Conditions must be satisfied explicitly. Receipt months are scenario assumptions, not promised payment dates.</t>
        </is>
      </c>
    </row>
    <row r="4" ht="28" customHeight="1">
      <c r="A4" s="4" t="n"/>
      <c r="B4" s="4" t="n"/>
      <c r="C4" s="4" t="n"/>
      <c r="D4" s="4" t="n"/>
      <c r="E4" s="4" t="n"/>
      <c r="F4" s="4" t="n"/>
      <c r="G4" s="4" t="n"/>
      <c r="H4" s="4" t="n"/>
      <c r="I4" s="4" t="n"/>
      <c r="J4" s="4" t="n"/>
      <c r="K4" s="4" t="n"/>
      <c r="L4" s="4" t="n"/>
      <c r="M4" s="4" t="n"/>
      <c r="N4" s="4" t="n"/>
      <c r="O4" s="4" t="n"/>
      <c r="P4" s="4" t="n"/>
      <c r="Q4" s="4" t="n"/>
    </row>
    <row r="5" ht="54" customHeight="1">
      <c r="A5" s="8" t="inlineStr">
        <is>
          <t>Tranche ID</t>
        </is>
      </c>
      <c r="B5" s="8" t="inlineStr">
        <is>
          <t>Funder</t>
        </is>
      </c>
      <c r="C5" s="8" t="inlineStr">
        <is>
          <t>Instrument</t>
        </is>
      </c>
      <c r="D5" s="8" t="inlineStr">
        <is>
          <t>Recipient</t>
        </is>
      </c>
      <c r="E5" s="8" t="inlineStr">
        <is>
          <t>Evidence stage</t>
        </is>
      </c>
      <c r="F5" s="8" t="inlineStr">
        <is>
          <t>Amount</t>
        </is>
      </c>
      <c r="G5" s="8" t="inlineStr">
        <is>
          <t>Conditions satisfied?</t>
        </is>
      </c>
      <c r="H5" s="8" t="inlineStr">
        <is>
          <t>Secured receipt date</t>
        </is>
      </c>
      <c r="I5" s="8" t="inlineStr">
        <is>
          <t>Scenario month</t>
        </is>
      </c>
      <c r="J5" s="8" t="inlineStr">
        <is>
          <t>Include scenario</t>
        </is>
      </c>
      <c r="K5" s="8" t="inlineStr">
        <is>
          <t>Whole invitation</t>
        </is>
      </c>
      <c r="L5" s="8" t="inlineStr">
        <is>
          <t>Condition / next evidence</t>
        </is>
      </c>
      <c r="M5" s="8" t="inlineStr">
        <is>
          <t>Source</t>
        </is>
      </c>
      <c r="N5" s="8" t="inlineStr">
        <is>
          <t>Secured amount</t>
        </is>
      </c>
      <c r="O5" s="8" t="inlineStr">
        <is>
          <t>Secured month</t>
        </is>
      </c>
      <c r="P5" s="8" t="inlineStr">
        <is>
          <t>Potential amount</t>
        </is>
      </c>
      <c r="Q5" s="8" t="inlineStr">
        <is>
          <t>Invalid / missing input</t>
        </is>
      </c>
      <c r="R5" s="21" t="inlineStr">
        <is>
          <t>Full possible</t>
        </is>
      </c>
      <c r="S5" s="21" t="inlineStr">
        <is>
          <t>Smaller possible</t>
        </is>
      </c>
      <c r="T5" s="21" t="inlineStr">
        <is>
          <t>No QBE possible</t>
        </is>
      </c>
      <c r="U5" s="21" t="inlineStr">
        <is>
          <t>Delayed receipts possible</t>
        </is>
      </c>
      <c r="V5" s="21" t="inlineStr">
        <is>
          <t>Lower sales possible</t>
        </is>
      </c>
    </row>
    <row r="6" ht="72" customHeight="1">
      <c r="A6" s="4" t="inlineStr">
        <is>
          <t>F01</t>
        </is>
      </c>
      <c r="B6" s="4" t="inlineStr">
        <is>
          <t>QBE</t>
        </is>
      </c>
      <c r="C6" s="4" t="inlineStr">
        <is>
          <t>Grant</t>
        </is>
      </c>
      <c r="D6" s="139" t="inlineStr">
        <is>
          <t>Butterfly / Goods</t>
        </is>
      </c>
      <c r="E6" s="139" t="inlineStr">
        <is>
          <t>Application</t>
        </is>
      </c>
      <c r="F6" s="132">
        <f>'Assumptions'!B35</f>
        <v/>
      </c>
      <c r="G6" s="132" t="inlineStr">
        <is>
          <t>No</t>
        </is>
      </c>
      <c r="H6" s="151" t="n"/>
      <c r="I6" s="134" t="n">
        <v>1</v>
      </c>
      <c r="J6" s="134" t="n">
        <v>1</v>
      </c>
      <c r="K6" s="132">
        <f>F6</f>
        <v/>
      </c>
      <c r="L6" s="139" t="inlineStr">
        <is>
          <t>Due Fri 25 Sep 2026 12:00pm AEST. Review meeting Wed 7 Oct 9:45am. Conditional outcomes by Fri 23 Oct. Any funding pre-conditions due by Fri 13 Nov.</t>
        </is>
      </c>
      <c r="M6" s="139" t="inlineStr">
        <is>
          <t>SIH email 24 Aug 2026 (Jay Boolkin) and interview invite 28 Aug. Amount remains an unapproved candidate.</t>
        </is>
      </c>
      <c r="N6" s="4">
        <f>IF(AND(ISNUMBER(F6),OR(E6="Received",AND(E6="Signed commitment",G6="Yes"))),F6,0)</f>
        <v/>
      </c>
      <c r="O6" s="4">
        <f>IF(AND(N6&gt;0,ISNUMBER(H6),ISNUMBER('Assumptions'!$B$7)),12*(YEAR(H6)-YEAR('Assumptions'!$B$7))+MONTH(H6)-MONTH('Assumptions'!$B$7)+1,0)</f>
        <v/>
      </c>
      <c r="P6" s="4">
        <f>IF(N6&gt;0,0,IF(AND(J6=1,ISNUMBER(F6)),F6,0))</f>
        <v/>
      </c>
      <c r="Q6" s="4">
        <f>IF(OR(F6&lt;0,AND(J6=1,NOT(ISNUMBER(F6))),AND(P6&gt;0,NOT(ISNUMBER(I6))),AND(N6&gt;0,OR(NOT(ISNUMBER(H6)),NOT(ISNUMBER('Assumptions'!$B$7))))),1,0)+IF(COUNTIF(FundingTranches[Tranche ID],A6)&gt;1,1,0)</f>
        <v/>
      </c>
      <c r="R6">
        <f>IF(N6&gt;0,0,IF(J6&lt;&gt;1,0,IF(E6="Signed commitment",F6,IF(A6="F01",'Cases'!B6,IF(A6="F06",'Cases'!C6,IF(ISNUMBER(F6),F6,0))))))</f>
        <v/>
      </c>
      <c r="S6">
        <f>IF(N6&gt;0,0,IF(J6&lt;&gt;1,0,IF(E6="Signed commitment",F6,IF(A6="F01",'Cases'!B7,IF(A6="F06",'Cases'!C7,IF(ISNUMBER(F6),F6,0))))))</f>
        <v/>
      </c>
      <c r="T6">
        <f>IF(N6&gt;0,0,IF(J6&lt;&gt;1,0,IF(E6="Signed commitment",F6,IF(A6="F01",'Cases'!B8,IF(A6="F06",'Cases'!C8,IF(ISNUMBER(F6),F6,0))))))</f>
        <v/>
      </c>
      <c r="U6">
        <f>IF(N6&gt;0,0,IF(J6&lt;&gt;1,0,IF(E6="Signed commitment",F6,IF(A6="F01",'Cases'!B9,IF(A6="F06",'Cases'!C9,IF(ISNUMBER(F6),F6,0))))))</f>
        <v/>
      </c>
      <c r="V6">
        <f>IF(N6&gt;0,0,IF(J6&lt;&gt;1,0,IF(E6="Signed commitment",F6,IF(A6="F01",'Cases'!B10,IF(A6="F06",'Cases'!C10,IF(ISNUMBER(F6),F6,0))))))</f>
        <v/>
      </c>
    </row>
    <row r="7" ht="72" customHeight="1">
      <c r="A7" s="4" t="inlineStr">
        <is>
          <t>F02-Y1</t>
        </is>
      </c>
      <c r="B7" s="4" t="inlineStr">
        <is>
          <t>Tim Fairfax Family Foundation</t>
        </is>
      </c>
      <c r="C7" s="4" t="inlineStr">
        <is>
          <t>Grant</t>
        </is>
      </c>
      <c r="D7" s="139" t="inlineStr">
        <is>
          <t>Butterfly</t>
        </is>
      </c>
      <c r="E7" s="139" t="inlineStr">
        <is>
          <t>Invitation</t>
        </is>
      </c>
      <c r="F7" s="132" t="n">
        <v>100000</v>
      </c>
      <c r="G7" s="132" t="inlineStr">
        <is>
          <t>No</t>
        </is>
      </c>
      <c r="H7" s="151" t="n"/>
      <c r="I7" s="134" t="n">
        <v>1</v>
      </c>
      <c r="J7" s="134" t="n">
        <v>1</v>
      </c>
      <c r="K7" s="132" t="n">
        <v>300000</v>
      </c>
      <c r="L7" s="139" t="inlineStr">
        <is>
          <t>TFFF Resilience stream = multi-year GENERAL OPERATING SUPPORT, assessed on governance, leadership, strategy and financial health, not a project budget. SmartyGrants form MYGOS FY27 (eligibility, organisation and strategy, governance and leadership, relationships, financials, supporting material, declaration); AI use must be declared. Due Fri 9 Oct 2026 5:00pm AEST; board late November, after the QBE 13 Nov pre-condition date. Three equal annual payments to The Butterfly Movement (ACNC, DGR1). No vehicles, conferences or endowments.</t>
        </is>
      </c>
      <c r="M7" s="139" t="inlineStr">
        <is>
          <t>Katie Norman email 31 Aug 2026; tfff.org.au strategy page and SmartyGrants form preview pasted by Ben 9 Sep 2026.</t>
        </is>
      </c>
      <c r="N7" s="4">
        <f>IF(AND(ISNUMBER(F7),OR(E7="Received",AND(E7="Signed commitment",G7="Yes"))),F7,0)</f>
        <v/>
      </c>
      <c r="O7" s="4">
        <f>IF(AND(N7&gt;0,ISNUMBER(H7),ISNUMBER('Assumptions'!$B$7)),12*(YEAR(H7)-YEAR('Assumptions'!$B$7))+MONTH(H7)-MONTH('Assumptions'!$B$7)+1,0)</f>
        <v/>
      </c>
      <c r="P7" s="4">
        <f>IF(N7&gt;0,0,IF(AND(J7=1,ISNUMBER(F7)),F7,0))</f>
        <v/>
      </c>
      <c r="Q7" s="4">
        <f>IF(OR(F7&lt;0,AND(J7=1,NOT(ISNUMBER(F7))),AND(P7&gt;0,NOT(ISNUMBER(I7))),AND(N7&gt;0,OR(NOT(ISNUMBER(H7)),NOT(ISNUMBER('Assumptions'!$B$7))))),1,0)+IF(COUNTIF(FundingTranches[Tranche ID],A7)&gt;1,1,0)</f>
        <v/>
      </c>
      <c r="R7">
        <f>IF(N7&gt;0,0,IF(J7&lt;&gt;1,0,IF(E7="Signed commitment",F7,IF(A7="F01",'Cases'!B6,IF(A7="F06",'Cases'!C6,IF(ISNUMBER(F7),F7,0))))))</f>
        <v/>
      </c>
      <c r="S7">
        <f>IF(N7&gt;0,0,IF(J7&lt;&gt;1,0,IF(E7="Signed commitment",F7,IF(A7="F01",'Cases'!B7,IF(A7="F06",'Cases'!C7,IF(ISNUMBER(F7),F7,0))))))</f>
        <v/>
      </c>
      <c r="T7">
        <f>IF(N7&gt;0,0,IF(J7&lt;&gt;1,0,IF(E7="Signed commitment",F7,IF(A7="F01",'Cases'!B8,IF(A7="F06",'Cases'!C8,IF(ISNUMBER(F7),F7,0))))))</f>
        <v/>
      </c>
      <c r="U7">
        <f>IF(N7&gt;0,0,IF(J7&lt;&gt;1,0,IF(E7="Signed commitment",F7,IF(A7="F01",'Cases'!B9,IF(A7="F06",'Cases'!C9,IF(ISNUMBER(F7),F7,0))))))</f>
        <v/>
      </c>
      <c r="V7">
        <f>IF(N7&gt;0,0,IF(J7&lt;&gt;1,0,IF(E7="Signed commitment",F7,IF(A7="F01",'Cases'!B10,IF(A7="F06",'Cases'!C10,IF(ISNUMBER(F7),F7,0))))))</f>
        <v/>
      </c>
    </row>
    <row r="8" ht="72" customHeight="1">
      <c r="A8" s="4" t="inlineStr">
        <is>
          <t>F03</t>
        </is>
      </c>
      <c r="B8" s="4" t="inlineStr">
        <is>
          <t>Brian M. Davis Charitable Foundation</t>
        </is>
      </c>
      <c r="C8" s="4" t="inlineStr">
        <is>
          <t>Grant</t>
        </is>
      </c>
      <c r="D8" s="139" t="inlineStr">
        <is>
          <t>Butterfly proposed</t>
        </is>
      </c>
      <c r="E8" s="139" t="inlineStr">
        <is>
          <t>Invitation</t>
        </is>
      </c>
      <c r="F8" s="132" t="n">
        <v>100000</v>
      </c>
      <c r="G8" s="132" t="inlineStr">
        <is>
          <t>No</t>
        </is>
      </c>
      <c r="H8" s="151" t="n"/>
      <c r="I8" s="134" t="n">
        <v>1</v>
      </c>
      <c r="J8" s="134" t="n">
        <v>1</v>
      </c>
      <c r="K8" s="132" t="n">
        <v>100000</v>
      </c>
      <c r="L8" s="139" t="inlineStr">
        <is>
          <t>Application due Fri 25 Sep 2026; Grants Committee October; Board 19 Nov, after the QBE 13 Nov pre-condition date. CONDITION CONFIRMED 9 Sep: the BMDCF budget template instructions (row B16) say BMDCF only pays out a grant once all funding for the project has been confirmed; unconfirmed lines must be flagged No and reported on. The Grant Conditions PDF adds annual review and acquittal within three months. Grant is GST-free; budget ex GST. Define the BMD project so its other income is confirmed.</t>
        </is>
      </c>
      <c r="M8" s="139" t="inlineStr">
        <is>
          <t>Miranda Campbell email 1 Sep 2026; BMDCF Grant Conditions.pdf, Budget template 3yr 2026 and application questions in 'BMD - application forms' (read 9 Sep 2026).</t>
        </is>
      </c>
      <c r="N8" s="4">
        <f>IF(AND(ISNUMBER(F8),OR(E8="Received",AND(E8="Signed commitment",G8="Yes"))),F8,0)</f>
        <v/>
      </c>
      <c r="O8" s="4">
        <f>IF(AND(N8&gt;0,ISNUMBER(H8),ISNUMBER('Assumptions'!$B$7)),12*(YEAR(H8)-YEAR('Assumptions'!$B$7))+MONTH(H8)-MONTH('Assumptions'!$B$7)+1,0)</f>
        <v/>
      </c>
      <c r="P8" s="4">
        <f>IF(N8&gt;0,0,IF(AND(J8=1,ISNUMBER(F8)),F8,0))</f>
        <v/>
      </c>
      <c r="Q8" s="4">
        <f>IF(OR(F8&lt;0,AND(J8=1,NOT(ISNUMBER(F8))),AND(P8&gt;0,NOT(ISNUMBER(I8))),AND(N8&gt;0,OR(NOT(ISNUMBER(H8)),NOT(ISNUMBER('Assumptions'!$B$7))))),1,0)+IF(COUNTIF(FundingTranches[Tranche ID],A8)&gt;1,1,0)</f>
        <v/>
      </c>
      <c r="R8">
        <f>IF(N8&gt;0,0,IF(J8&lt;&gt;1,0,IF(E8="Signed commitment",F8,IF(A8="F01",'Cases'!B6,IF(A8="F06",'Cases'!C6,IF(ISNUMBER(F8),F8,0))))))</f>
        <v/>
      </c>
      <c r="S8">
        <f>IF(N8&gt;0,0,IF(J8&lt;&gt;1,0,IF(E8="Signed commitment",F8,IF(A8="F01",'Cases'!B7,IF(A8="F06",'Cases'!C7,IF(ISNUMBER(F8),F8,0))))))</f>
        <v/>
      </c>
      <c r="T8">
        <f>IF(N8&gt;0,0,IF(J8&lt;&gt;1,0,IF(E8="Signed commitment",F8,IF(A8="F01",'Cases'!B8,IF(A8="F06",'Cases'!C8,IF(ISNUMBER(F8),F8,0))))))</f>
        <v/>
      </c>
      <c r="U8">
        <f>IF(N8&gt;0,0,IF(J8&lt;&gt;1,0,IF(E8="Signed commitment",F8,IF(A8="F01",'Cases'!B9,IF(A8="F06",'Cases'!C9,IF(ISNUMBER(F8),F8,0))))))</f>
        <v/>
      </c>
      <c r="V8">
        <f>IF(N8&gt;0,0,IF(J8&lt;&gt;1,0,IF(E8="Signed commitment",F8,IF(A8="F01",'Cases'!B10,IF(A8="F06",'Cases'!C10,IF(ISNUMBER(F8),F8,0))))))</f>
        <v/>
      </c>
    </row>
    <row r="9" ht="72" customHeight="1">
      <c r="A9" s="4" t="inlineStr">
        <is>
          <t>F04</t>
        </is>
      </c>
      <c r="B9" s="4" t="inlineStr">
        <is>
          <t>Snow Foundation</t>
        </is>
      </c>
      <c r="C9" s="4" t="inlineStr">
        <is>
          <t>Grant</t>
        </is>
      </c>
      <c r="D9" s="139" t="inlineStr">
        <is>
          <t>To confirm</t>
        </is>
      </c>
      <c r="E9" s="139" t="inlineStr">
        <is>
          <t>Discussion</t>
        </is>
      </c>
      <c r="F9" s="132" t="n"/>
      <c r="G9" s="132" t="inlineStr">
        <is>
          <t>No</t>
        </is>
      </c>
      <c r="H9" s="151" t="n"/>
      <c r="I9" s="134" t="n"/>
      <c r="J9" s="134" t="n">
        <v>0</v>
      </c>
      <c r="K9" s="132" t="n"/>
      <c r="L9" s="139" t="inlineStr">
        <is>
          <t>No current ask found in email to 9 Sep 2026; only introductions (Coolamon Community, 22 Jul). Enter an amount only after a new dated ask.</t>
        </is>
      </c>
      <c r="M9" s="139" t="inlineStr">
        <is>
          <t>Gmail search 9 Sep 2026</t>
        </is>
      </c>
      <c r="N9" s="4">
        <f>IF(AND(ISNUMBER(F9),OR(E9="Received",AND(E9="Signed commitment",G9="Yes"))),F9,0)</f>
        <v/>
      </c>
      <c r="O9" s="4">
        <f>IF(AND(N9&gt;0,ISNUMBER(H9),ISNUMBER('Assumptions'!$B$7)),12*(YEAR(H9)-YEAR('Assumptions'!$B$7))+MONTH(H9)-MONTH('Assumptions'!$B$7)+1,0)</f>
        <v/>
      </c>
      <c r="P9" s="4">
        <f>IF(N9&gt;0,0,IF(AND(J9=1,ISNUMBER(F9)),F9,0))</f>
        <v/>
      </c>
      <c r="Q9" s="4">
        <f>IF(OR(F9&lt;0,AND(J9=1,NOT(ISNUMBER(F9))),AND(P9&gt;0,NOT(ISNUMBER(I9))),AND(N9&gt;0,OR(NOT(ISNUMBER(H9)),NOT(ISNUMBER('Assumptions'!$B$7))))),1,0)+IF(COUNTIF(FundingTranches[Tranche ID],A9)&gt;1,1,0)</f>
        <v/>
      </c>
      <c r="R9">
        <f>IF(N9&gt;0,0,IF(J9&lt;&gt;1,0,IF(E9="Signed commitment",F9,IF(A9="F01",'Cases'!B6,IF(A9="F06",'Cases'!C6,IF(ISNUMBER(F9),F9,0))))))</f>
        <v/>
      </c>
      <c r="S9">
        <f>IF(N9&gt;0,0,IF(J9&lt;&gt;1,0,IF(E9="Signed commitment",F9,IF(A9="F01",'Cases'!B7,IF(A9="F06",'Cases'!C7,IF(ISNUMBER(F9),F9,0))))))</f>
        <v/>
      </c>
      <c r="T9">
        <f>IF(N9&gt;0,0,IF(J9&lt;&gt;1,0,IF(E9="Signed commitment",F9,IF(A9="F01",'Cases'!B8,IF(A9="F06",'Cases'!C8,IF(ISNUMBER(F9),F9,0))))))</f>
        <v/>
      </c>
      <c r="U9">
        <f>IF(N9&gt;0,0,IF(J9&lt;&gt;1,0,IF(E9="Signed commitment",F9,IF(A9="F01",'Cases'!B9,IF(A9="F06",'Cases'!C9,IF(ISNUMBER(F9),F9,0))))))</f>
        <v/>
      </c>
      <c r="V9">
        <f>IF(N9&gt;0,0,IF(J9&lt;&gt;1,0,IF(E9="Signed commitment",F9,IF(A9="F01",'Cases'!B10,IF(A9="F06",'Cases'!C10,IF(ISNUMBER(F9),F9,0))))))</f>
        <v/>
      </c>
    </row>
    <row r="10" ht="72" customHeight="1">
      <c r="A10" s="4" t="inlineStr">
        <is>
          <t>F05</t>
        </is>
      </c>
      <c r="B10" s="4" t="inlineStr">
        <is>
          <t>Dusseldorp</t>
        </is>
      </c>
      <c r="C10" s="4" t="inlineStr">
        <is>
          <t>Grant</t>
        </is>
      </c>
      <c r="D10" s="139" t="inlineStr">
        <is>
          <t>To confirm</t>
        </is>
      </c>
      <c r="E10" s="139" t="inlineStr">
        <is>
          <t>Discussion</t>
        </is>
      </c>
      <c r="F10" s="132" t="n"/>
      <c r="G10" s="132" t="inlineStr">
        <is>
          <t>No</t>
        </is>
      </c>
      <c r="H10" s="151" t="n"/>
      <c r="I10" s="134" t="n"/>
      <c r="J10" s="134" t="n">
        <v>0</v>
      </c>
      <c r="K10" s="132" t="n"/>
      <c r="L10" s="139" t="inlineStr">
        <is>
          <t>$15,000 released 25 Jun 2026 for CONTAINED (INV-0338, paid); not a Goods bed line. No Goods ask in email; the 6 Sep thread is Indigenous media and story work.</t>
        </is>
      </c>
      <c r="M10" s="139" t="inlineStr">
        <is>
          <t>Rachel Fyfe emails 25 Jun and 6 Sep 2026</t>
        </is>
      </c>
      <c r="N10" s="4">
        <f>IF(AND(ISNUMBER(F10),OR(E10="Received",AND(E10="Signed commitment",G10="Yes"))),F10,0)</f>
        <v/>
      </c>
      <c r="O10" s="4">
        <f>IF(AND(N10&gt;0,ISNUMBER(H10),ISNUMBER('Assumptions'!$B$7)),12*(YEAR(H10)-YEAR('Assumptions'!$B$7))+MONTH(H10)-MONTH('Assumptions'!$B$7)+1,0)</f>
        <v/>
      </c>
      <c r="P10" s="4">
        <f>IF(N10&gt;0,0,IF(AND(J10=1,ISNUMBER(F10)),F10,0))</f>
        <v/>
      </c>
      <c r="Q10" s="4">
        <f>IF(OR(F10&lt;0,AND(J10=1,NOT(ISNUMBER(F10))),AND(P10&gt;0,NOT(ISNUMBER(I10))),AND(N10&gt;0,OR(NOT(ISNUMBER(H10)),NOT(ISNUMBER('Assumptions'!$B$7))))),1,0)+IF(COUNTIF(FundingTranches[Tranche ID],A10)&gt;1,1,0)</f>
        <v/>
      </c>
      <c r="R10">
        <f>IF(N10&gt;0,0,IF(J10&lt;&gt;1,0,IF(E10="Signed commitment",F10,IF(A10="F01",'Cases'!B6,IF(A10="F06",'Cases'!C6,IF(ISNUMBER(F10),F10,0))))))</f>
        <v/>
      </c>
      <c r="S10">
        <f>IF(N10&gt;0,0,IF(J10&lt;&gt;1,0,IF(E10="Signed commitment",F10,IF(A10="F01",'Cases'!B7,IF(A10="F06",'Cases'!C7,IF(ISNUMBER(F10),F10,0))))))</f>
        <v/>
      </c>
      <c r="T10">
        <f>IF(N10&gt;0,0,IF(J10&lt;&gt;1,0,IF(E10="Signed commitment",F10,IF(A10="F01",'Cases'!B8,IF(A10="F06",'Cases'!C8,IF(ISNUMBER(F10),F10,0))))))</f>
        <v/>
      </c>
      <c r="U10">
        <f>IF(N10&gt;0,0,IF(J10&lt;&gt;1,0,IF(E10="Signed commitment",F10,IF(A10="F01",'Cases'!B9,IF(A10="F06",'Cases'!C9,IF(ISNUMBER(F10),F10,0))))))</f>
        <v/>
      </c>
      <c r="V10">
        <f>IF(N10&gt;0,0,IF(J10&lt;&gt;1,0,IF(E10="Signed commitment",F10,IF(A10="F01",'Cases'!B10,IF(A10="F06",'Cases'!C10,IF(ISNUMBER(F10),F10,0))))))</f>
        <v/>
      </c>
    </row>
    <row r="11" ht="72" customHeight="1">
      <c r="A11" s="4" t="inlineStr">
        <is>
          <t>F06</t>
        </is>
      </c>
      <c r="B11" s="4" t="inlineStr">
        <is>
          <t>Sefa Backing the Bold Queensland</t>
        </is>
      </c>
      <c r="C11" s="4" t="inlineStr">
        <is>
          <t>Loan</t>
        </is>
      </c>
      <c r="D11" s="139" t="inlineStr">
        <is>
          <t>Butterfly / Goods</t>
        </is>
      </c>
      <c r="E11" s="139" t="inlineStr">
        <is>
          <t>Discussion</t>
        </is>
      </c>
      <c r="F11" s="132">
        <f>'Assumptions'!B38</f>
        <v/>
      </c>
      <c r="G11" s="132" t="inlineStr">
        <is>
          <t>No</t>
        </is>
      </c>
      <c r="H11" s="151" t="n"/>
      <c r="I11" s="134">
        <f>'Assumptions'!B41</f>
        <v/>
      </c>
      <c r="J11" s="134" t="n">
        <v>1</v>
      </c>
      <c r="K11" s="132">
        <f>F11</f>
        <v/>
      </c>
      <c r="L11" s="139" t="inlineStr">
        <is>
          <t>No EOI sent. Joel Bird (25 Aug) offered to review an EOI; Tanya Wong (Sefa investment team) offered to review the financials. $200,000 is our number, not Sefa's. Eligibility, affordability and borrower unresolved.</t>
        </is>
      </c>
      <c r="M11" s="139" t="inlineStr">
        <is>
          <t>Joel Bird email 25 Aug 2026; Backing the Bold guidelines. Verified 9 Sep 2026.</t>
        </is>
      </c>
      <c r="N11" s="4">
        <f>IF(AND(ISNUMBER(F11),OR(E11="Received",AND(E11="Signed commitment",G11="Yes"))),F11,0)</f>
        <v/>
      </c>
      <c r="O11" s="4">
        <f>IF(AND(N11&gt;0,ISNUMBER(H11),ISNUMBER('Assumptions'!$B$7)),12*(YEAR(H11)-YEAR('Assumptions'!$B$7))+MONTH(H11)-MONTH('Assumptions'!$B$7)+1,0)</f>
        <v/>
      </c>
      <c r="P11" s="4">
        <f>IF(N11&gt;0,0,IF(AND(J11=1,ISNUMBER(F11)),F11,0))</f>
        <v/>
      </c>
      <c r="Q11" s="4">
        <f>IF(OR(F11&lt;0,AND(J11=1,NOT(ISNUMBER(F11))),AND(P11&gt;0,NOT(ISNUMBER(I11))),AND(N11&gt;0,OR(NOT(ISNUMBER(H11)),NOT(ISNUMBER('Assumptions'!$B$7))))),1,0)+IF(COUNTIF(FundingTranches[Tranche ID],A11)&gt;1,1,0)</f>
        <v/>
      </c>
      <c r="R11">
        <f>IF(N11&gt;0,0,IF(J11&lt;&gt;1,0,IF(E11="Signed commitment",F11,IF(A11="F01",'Cases'!B6,IF(A11="F06",'Cases'!C6,IF(ISNUMBER(F11),F11,0))))))</f>
        <v/>
      </c>
      <c r="S11">
        <f>IF(N11&gt;0,0,IF(J11&lt;&gt;1,0,IF(E11="Signed commitment",F11,IF(A11="F01",'Cases'!B7,IF(A11="F06",'Cases'!C7,IF(ISNUMBER(F11),F11,0))))))</f>
        <v/>
      </c>
      <c r="T11">
        <f>IF(N11&gt;0,0,IF(J11&lt;&gt;1,0,IF(E11="Signed commitment",F11,IF(A11="F01",'Cases'!B8,IF(A11="F06",'Cases'!C8,IF(ISNUMBER(F11),F11,0))))))</f>
        <v/>
      </c>
      <c r="U11">
        <f>IF(N11&gt;0,0,IF(J11&lt;&gt;1,0,IF(E11="Signed commitment",F11,IF(A11="F01",'Cases'!B9,IF(A11="F06",'Cases'!C9,IF(ISNUMBER(F11),F11,0))))))</f>
        <v/>
      </c>
      <c r="V11">
        <f>IF(N11&gt;0,0,IF(J11&lt;&gt;1,0,IF(E11="Signed commitment",F11,IF(A11="F01",'Cases'!B10,IF(A11="F06",'Cases'!C10,IF(ISNUMBER(F11),F11,0))))))</f>
        <v/>
      </c>
    </row>
    <row r="12" ht="72" customHeight="1">
      <c r="A12" s="4" t="inlineStr">
        <is>
          <t>F08</t>
        </is>
      </c>
      <c r="B12" s="4" t="inlineStr">
        <is>
          <t>Minderoo</t>
        </is>
      </c>
      <c r="C12" s="4" t="inlineStr">
        <is>
          <t>Grant</t>
        </is>
      </c>
      <c r="D12" s="139" t="inlineStr">
        <is>
          <t>To confirm</t>
        </is>
      </c>
      <c r="E12" s="139" t="inlineStr">
        <is>
          <t>Discussion</t>
        </is>
      </c>
      <c r="F12" s="132" t="n">
        <v>100000</v>
      </c>
      <c r="G12" s="132" t="inlineStr">
        <is>
          <t>No</t>
        </is>
      </c>
      <c r="H12" s="151" t="n"/>
      <c r="I12" s="134" t="n"/>
      <c r="J12" s="134" t="n">
        <v>0</v>
      </c>
      <c r="K12" s="132" t="n"/>
      <c r="L12" s="139" t="inlineStr">
        <is>
          <t>No live ask in email. Lucy Stronach paused conversations 14 May 2026. Not a current prospect.</t>
        </is>
      </c>
      <c r="M12" s="139" t="inlineStr">
        <is>
          <t>Gmail search 9 Sep 2026</t>
        </is>
      </c>
      <c r="N12" s="4">
        <f>IF(AND(ISNUMBER(F12),OR(E12="Received",AND(E12="Signed commitment",G12="Yes"))),F12,0)</f>
        <v/>
      </c>
      <c r="O12" s="4">
        <f>IF(AND(N12&gt;0,ISNUMBER(H12),ISNUMBER('Assumptions'!$B$7)),12*(YEAR(H12)-YEAR('Assumptions'!$B$7))+MONTH(H12)-MONTH('Assumptions'!$B$7)+1,0)</f>
        <v/>
      </c>
      <c r="P12" s="4">
        <f>IF(N12&gt;0,0,IF(AND(J12=1,ISNUMBER(F12)),F12,0))</f>
        <v/>
      </c>
      <c r="Q12" s="4">
        <f>IF(OR(F12&lt;0,AND(J12=1,NOT(ISNUMBER(F12))),AND(P12&gt;0,NOT(ISNUMBER(I12))),AND(N12&gt;0,OR(NOT(ISNUMBER(H12)),NOT(ISNUMBER('Assumptions'!$B$7))))),1,0)+IF(COUNTIF(FundingTranches[Tranche ID],A12)&gt;1,1,0)</f>
        <v/>
      </c>
      <c r="R12">
        <f>IF(N12&gt;0,0,IF(J12&lt;&gt;1,0,IF(E12="Signed commitment",F12,IF(A12="F01",'Cases'!B6,IF(A12="F06",'Cases'!C6,IF(ISNUMBER(F12),F12,0))))))</f>
        <v/>
      </c>
      <c r="S12">
        <f>IF(N12&gt;0,0,IF(J12&lt;&gt;1,0,IF(E12="Signed commitment",F12,IF(A12="F01",'Cases'!B7,IF(A12="F06",'Cases'!C7,IF(ISNUMBER(F12),F12,0))))))</f>
        <v/>
      </c>
      <c r="T12">
        <f>IF(N12&gt;0,0,IF(J12&lt;&gt;1,0,IF(E12="Signed commitment",F12,IF(A12="F01",'Cases'!B8,IF(A12="F06",'Cases'!C8,IF(ISNUMBER(F12),F12,0))))))</f>
        <v/>
      </c>
      <c r="U12">
        <f>IF(N12&gt;0,0,IF(J12&lt;&gt;1,0,IF(E12="Signed commitment",F12,IF(A12="F01",'Cases'!B9,IF(A12="F06",'Cases'!C9,IF(ISNUMBER(F12),F12,0))))))</f>
        <v/>
      </c>
      <c r="V12">
        <f>IF(N12&gt;0,0,IF(J12&lt;&gt;1,0,IF(E12="Signed commitment",F12,IF(A12="F01",'Cases'!B10,IF(A12="F06",'Cases'!C10,IF(ISNUMBER(F12),F12,0))))))</f>
        <v/>
      </c>
    </row>
    <row r="13" ht="72" customHeight="1">
      <c r="A13" s="4" t="inlineStr">
        <is>
          <t>F02-Y2</t>
        </is>
      </c>
      <c r="B13" s="4" t="inlineStr">
        <is>
          <t>Tim Fairfax Family Foundation</t>
        </is>
      </c>
      <c r="C13" s="4" t="inlineStr">
        <is>
          <t>Grant</t>
        </is>
      </c>
      <c r="D13" s="139" t="inlineStr">
        <is>
          <t>Butterfly</t>
        </is>
      </c>
      <c r="E13" s="139" t="inlineStr">
        <is>
          <t>Invitation</t>
        </is>
      </c>
      <c r="F13" s="132" t="n">
        <v>100000</v>
      </c>
      <c r="G13" s="132" t="inlineStr">
        <is>
          <t>No</t>
        </is>
      </c>
      <c r="H13" s="151" t="n"/>
      <c r="I13" s="134" t="n">
        <v>13</v>
      </c>
      <c r="J13" s="134" t="n">
        <v>1</v>
      </c>
      <c r="K13" s="132" t="n">
        <v>300000</v>
      </c>
      <c r="L13" s="139" t="inlineStr">
        <is>
          <t>Second annual tranche only if awarded.</t>
        </is>
      </c>
      <c r="M13" s="139" t="inlineStr">
        <is>
          <t>Same invitation as F02-Y1; whole invitation is not summed</t>
        </is>
      </c>
      <c r="N13" s="4">
        <f>IF(AND(ISNUMBER(F13),OR(E13="Received",AND(E13="Signed commitment",G13="Yes"))),F13,0)</f>
        <v/>
      </c>
      <c r="O13" s="4">
        <f>IF(AND(N13&gt;0,ISNUMBER(H13),ISNUMBER('Assumptions'!$B$7)),12*(YEAR(H13)-YEAR('Assumptions'!$B$7))+MONTH(H13)-MONTH('Assumptions'!$B$7)+1,0)</f>
        <v/>
      </c>
      <c r="P13" s="4">
        <f>IF(N13&gt;0,0,IF(AND(J13=1,ISNUMBER(F13)),F13,0))</f>
        <v/>
      </c>
      <c r="Q13" s="4">
        <f>IF(OR(F13&lt;0,AND(J13=1,NOT(ISNUMBER(F13))),AND(P13&gt;0,NOT(ISNUMBER(I13))),AND(N13&gt;0,OR(NOT(ISNUMBER(H13)),NOT(ISNUMBER('Assumptions'!$B$7))))),1,0)+IF(COUNTIF(FundingTranches[Tranche ID],A13)&gt;1,1,0)</f>
        <v/>
      </c>
      <c r="R13">
        <f>IF(N13&gt;0,0,IF(J13&lt;&gt;1,0,IF(E13="Signed commitment",F13,IF(A13="F01",'Cases'!B6,IF(A13="F06",'Cases'!C6,IF(ISNUMBER(F13),F13,0))))))</f>
        <v/>
      </c>
      <c r="S13">
        <f>IF(N13&gt;0,0,IF(J13&lt;&gt;1,0,IF(E13="Signed commitment",F13,IF(A13="F01",'Cases'!B7,IF(A13="F06",'Cases'!C7,IF(ISNUMBER(F13),F13,0))))))</f>
        <v/>
      </c>
      <c r="T13">
        <f>IF(N13&gt;0,0,IF(J13&lt;&gt;1,0,IF(E13="Signed commitment",F13,IF(A13="F01",'Cases'!B8,IF(A13="F06",'Cases'!C8,IF(ISNUMBER(F13),F13,0))))))</f>
        <v/>
      </c>
      <c r="U13">
        <f>IF(N13&gt;0,0,IF(J13&lt;&gt;1,0,IF(E13="Signed commitment",F13,IF(A13="F01",'Cases'!B9,IF(A13="F06",'Cases'!C9,IF(ISNUMBER(F13),F13,0))))))</f>
        <v/>
      </c>
      <c r="V13">
        <f>IF(N13&gt;0,0,IF(J13&lt;&gt;1,0,IF(E13="Signed commitment",F13,IF(A13="F01",'Cases'!B10,IF(A13="F06",'Cases'!C10,IF(ISNUMBER(F13),F13,0))))))</f>
        <v/>
      </c>
    </row>
    <row r="14" ht="72" customHeight="1">
      <c r="A14" s="4" t="inlineStr">
        <is>
          <t>F02-Y3</t>
        </is>
      </c>
      <c r="B14" s="4" t="inlineStr">
        <is>
          <t>Tim Fairfax Family Foundation</t>
        </is>
      </c>
      <c r="C14" s="4" t="inlineStr">
        <is>
          <t>Grant</t>
        </is>
      </c>
      <c r="D14" s="139" t="inlineStr">
        <is>
          <t>Butterfly</t>
        </is>
      </c>
      <c r="E14" s="139" t="inlineStr">
        <is>
          <t>Invitation</t>
        </is>
      </c>
      <c r="F14" s="132" t="n">
        <v>100000</v>
      </c>
      <c r="G14" s="132" t="inlineStr">
        <is>
          <t>No</t>
        </is>
      </c>
      <c r="H14" s="151" t="n"/>
      <c r="I14" s="134" t="n">
        <v>25</v>
      </c>
      <c r="J14" s="134" t="n">
        <v>1</v>
      </c>
      <c r="K14" s="132" t="n">
        <v>300000</v>
      </c>
      <c r="L14" s="139" t="inlineStr">
        <is>
          <t>Third annual tranche only if awarded.</t>
        </is>
      </c>
      <c r="M14" s="139" t="inlineStr">
        <is>
          <t>Same invitation as F02-Y1</t>
        </is>
      </c>
      <c r="N14" s="4">
        <f>IF(AND(ISNUMBER(F14),OR(E14="Received",AND(E14="Signed commitment",G14="Yes"))),F14,0)</f>
        <v/>
      </c>
      <c r="O14" s="4">
        <f>IF(AND(N14&gt;0,ISNUMBER(H14),ISNUMBER('Assumptions'!$B$7)),12*(YEAR(H14)-YEAR('Assumptions'!$B$7))+MONTH(H14)-MONTH('Assumptions'!$B$7)+1,0)</f>
        <v/>
      </c>
      <c r="P14" s="4">
        <f>IF(N14&gt;0,0,IF(AND(J14=1,ISNUMBER(F14)),F14,0))</f>
        <v/>
      </c>
      <c r="Q14" s="4">
        <f>IF(OR(F14&lt;0,AND(J14=1,NOT(ISNUMBER(F14))),AND(P14&gt;0,NOT(ISNUMBER(I14))),AND(N14&gt;0,OR(NOT(ISNUMBER(H14)),NOT(ISNUMBER('Assumptions'!$B$7))))),1,0)+IF(COUNTIF(FundingTranches[Tranche ID],A14)&gt;1,1,0)</f>
        <v/>
      </c>
      <c r="R14">
        <f>IF(N14&gt;0,0,IF(J14&lt;&gt;1,0,IF(E14="Signed commitment",F14,IF(A14="F01",'Cases'!B6,IF(A14="F06",'Cases'!C6,IF(ISNUMBER(F14),F14,0))))))</f>
        <v/>
      </c>
      <c r="S14">
        <f>IF(N14&gt;0,0,IF(J14&lt;&gt;1,0,IF(E14="Signed commitment",F14,IF(A14="F01",'Cases'!B7,IF(A14="F06",'Cases'!C7,IF(ISNUMBER(F14),F14,0))))))</f>
        <v/>
      </c>
      <c r="T14">
        <f>IF(N14&gt;0,0,IF(J14&lt;&gt;1,0,IF(E14="Signed commitment",F14,IF(A14="F01",'Cases'!B8,IF(A14="F06",'Cases'!C8,IF(ISNUMBER(F14),F14,0))))))</f>
        <v/>
      </c>
      <c r="U14">
        <f>IF(N14&gt;0,0,IF(J14&lt;&gt;1,0,IF(E14="Signed commitment",F14,IF(A14="F01",'Cases'!B9,IF(A14="F06",'Cases'!C9,IF(ISNUMBER(F14),F14,0))))))</f>
        <v/>
      </c>
      <c r="V14">
        <f>IF(N14&gt;0,0,IF(J14&lt;&gt;1,0,IF(E14="Signed commitment",F14,IF(A14="F01",'Cases'!B10,IF(A14="F06",'Cases'!C10,IF(ISNUMBER(F14),F14,0))))))</f>
        <v/>
      </c>
    </row>
    <row r="15" ht="72" customHeight="1">
      <c r="A15" s="4" t="inlineStr">
        <is>
          <t>F09</t>
        </is>
      </c>
      <c r="B15" s="4" t="inlineStr">
        <is>
          <t>Oonchiumpa (DEWR REAL Innovation Fund) plant set-up</t>
        </is>
      </c>
      <c r="C15" s="4" t="inlineStr">
        <is>
          <t>Grant</t>
        </is>
      </c>
      <c r="D15" s="139" t="inlineStr">
        <is>
          <t>Goods, paid by Oonchiumpa (pass-through)</t>
        </is>
      </c>
      <c r="E15" s="139" t="inlineStr">
        <is>
          <t>Offer letter</t>
        </is>
      </c>
      <c r="F15" s="132" t="n">
        <v>150000</v>
      </c>
      <c r="G15" s="132" t="inlineStr">
        <is>
          <t>No</t>
        </is>
      </c>
      <c r="H15" s="151" t="n"/>
      <c r="I15" s="134" t="n">
        <v>1</v>
      </c>
      <c r="J15" s="134" t="n">
        <v>0</v>
      </c>
      <c r="K15" s="132">
        <f>F15</f>
        <v/>
      </c>
      <c r="L15" s="139" t="inlineStr">
        <is>
          <t>ALICE SPRINGS PLANT ONLY, pass-through. DEWR offer letter 12 Aug 2026: $1,695,000 to Oonchiumpa over FY26-27 to FY29-30, subject to a Grant Agreement; Oonchiumpa intends to accept (25 Aug). Ben 9 Sep: about $150,000 pays Goods to build the Alice Springs plant; Goods spends it on that build, so net zero for Goods. Excluded from scenarios (Include 0). Not one of the two plants in this workbook.</t>
        </is>
      </c>
      <c r="M15" s="139" t="inlineStr">
        <is>
          <t>DEWR outcome letter 12 Aug 2026 (Downloads); Tanya Turner emails 13 and 26 Aug; Ben 9 Sep 2026</t>
        </is>
      </c>
      <c r="N15" s="4">
        <f>IF(AND(ISNUMBER(F15),OR(E15="Received",AND(E15="Signed commitment",G15="Yes"))),F15,0)</f>
        <v/>
      </c>
      <c r="O15" s="4">
        <f>IF(AND(N15&gt;0,ISNUMBER(H15),ISNUMBER('Assumptions'!$B$7)),12*(YEAR(H15)-YEAR('Assumptions'!$B$7))+MONTH(H15)-MONTH('Assumptions'!$B$7)+1,0)</f>
        <v/>
      </c>
      <c r="P15" s="4">
        <f>IF(N15&gt;0,0,IF(AND(J15=1,ISNUMBER(F15)),F15,0))</f>
        <v/>
      </c>
      <c r="Q15" s="4">
        <f>IF(OR(F15&lt;0,AND(J15=1,NOT(ISNUMBER(F15))),AND(P15&gt;0,NOT(ISNUMBER(I15))),AND(N15&gt;0,OR(NOT(ISNUMBER(H15)),NOT(ISNUMBER('Assumptions'!$B$7))))),1,0)+IF(COUNTIF(FundingTranches[Tranche ID],A15)&gt;1,1,0)</f>
        <v/>
      </c>
      <c r="R15">
        <f>IF(N15&gt;0,0,IF(J15&lt;&gt;1,0,IF(E15="Signed commitment",F15,IF(A15="F01",'Cases'!B6,IF(A15="F06",'Cases'!C6,IF(ISNUMBER(F15),F15,0))))))</f>
        <v/>
      </c>
      <c r="S15">
        <f>IF(N15&gt;0,0,IF(J15&lt;&gt;1,0,IF(E15="Signed commitment",F15,IF(A15="F01",'Cases'!B7,IF(A15="F06",'Cases'!C7,IF(ISNUMBER(F15),F15,0))))))</f>
        <v/>
      </c>
      <c r="T15">
        <f>IF(N15&gt;0,0,IF(J15&lt;&gt;1,0,IF(E15="Signed commitment",F15,IF(A15="F01",'Cases'!B8,IF(A15="F06",'Cases'!C8,IF(ISNUMBER(F15),F15,0))))))</f>
        <v/>
      </c>
      <c r="U15">
        <f>IF(N15&gt;0,0,IF(J15&lt;&gt;1,0,IF(E15="Signed commitment",F15,IF(A15="F01",'Cases'!B9,IF(A15="F06",'Cases'!C9,IF(ISNUMBER(F15),F15,0))))))</f>
        <v/>
      </c>
      <c r="V15">
        <f>IF(N15&gt;0,0,IF(J15&lt;&gt;1,0,IF(E15="Signed commitment",F15,IF(A15="F01",'Cases'!B10,IF(A15="F06",'Cases'!C10,IF(ISNUMBER(F15),F15,0))))))</f>
        <v/>
      </c>
    </row>
    <row r="16" ht="28" customHeight="1">
      <c r="A16" s="4" t="inlineStr">
        <is>
          <t>F10</t>
        </is>
      </c>
      <c r="B16" s="4" t="inlineStr">
        <is>
          <t>NIAA Local Investments Funding (via Oonchiumpa)</t>
        </is>
      </c>
      <c r="C16" s="4" t="inlineStr">
        <is>
          <t>Grant</t>
        </is>
      </c>
      <c r="D16" s="139" t="inlineStr">
        <is>
          <t>Goods, paid by Oonchiumpa (pass-through)</t>
        </is>
      </c>
      <c r="E16" s="139" t="inlineStr">
        <is>
          <t>Discussion</t>
        </is>
      </c>
      <c r="F16" s="132" t="n">
        <v>150000</v>
      </c>
      <c r="G16" s="132" t="inlineStr">
        <is>
          <t>No</t>
        </is>
      </c>
      <c r="H16" s="151" t="n"/>
      <c r="I16" s="134" t="n">
        <v>3</v>
      </c>
      <c r="J16" s="134" t="n">
        <v>0</v>
      </c>
      <c r="K16" s="132">
        <f>F16</f>
        <v/>
      </c>
      <c r="L16" s="139" t="inlineStr">
        <is>
          <t>ALICE SPRINGS PLANT ONLY, pass-through. NIAA Local Investments up to $150,000 ex GST, one financial year; invitation in train (Tanya replied to Alex Cadden; NIAA confirmed plant equipment is eligible, Ben 9 Sep). Paid to Goods for the Alice Springs build and spent on it; net zero for Goods. Excluded from scenarios (Include 0).</t>
        </is>
      </c>
      <c r="M16" s="139" t="inlineStr">
        <is>
          <t>Alex Cadden email 7 Aug 2026 (forwarded 13 Aug); deliverables/LIF-150K-play.md; Ben 9 Sep 2026</t>
        </is>
      </c>
      <c r="N16" s="4">
        <f>IF(AND(ISNUMBER(F16),OR(E16="Received",AND(E16="Signed commitment",G16="Yes"))),F16,0)</f>
        <v/>
      </c>
      <c r="O16" s="4">
        <f>IF(AND(N16&gt;0,ISNUMBER(H16),ISNUMBER('Assumptions'!$B$7)),12*(YEAR(H16)-YEAR('Assumptions'!$B$7))+MONTH(H16)-MONTH('Assumptions'!$B$7)+1,0)</f>
        <v/>
      </c>
      <c r="P16" s="4">
        <f>IF(N16&gt;0,0,IF(AND(J16=1,ISNUMBER(F16)),F16,0))</f>
        <v/>
      </c>
      <c r="Q16" s="4">
        <f>IF(OR(F16&lt;0,AND(J16=1,NOT(ISNUMBER(F16))),AND(P16&gt;0,NOT(ISNUMBER(I16))),AND(N16&gt;0,OR(NOT(ISNUMBER(H16)),NOT(ISNUMBER('Assumptions'!$B$7))))),1,0)+IF(COUNTIF(FundingTranches[Tranche ID],A16)&gt;1,1,0)</f>
        <v/>
      </c>
      <c r="R16">
        <f>IF(N16&gt;0,0,IF(J16&lt;&gt;1,0,IF(E16="Signed commitment",F16,IF(A16="F01",'Cases'!B6,IF(A16="F06",'Cases'!C6,IF(ISNUMBER(F16),F16,0))))))</f>
        <v/>
      </c>
      <c r="S16">
        <f>IF(N16&gt;0,0,IF(J16&lt;&gt;1,0,IF(E16="Signed commitment",F16,IF(A16="F01",'Cases'!B7,IF(A16="F06",'Cases'!C7,IF(ISNUMBER(F16),F16,0))))))</f>
        <v/>
      </c>
      <c r="T16">
        <f>IF(N16&gt;0,0,IF(J16&lt;&gt;1,0,IF(E16="Signed commitment",F16,IF(A16="F01",'Cases'!B8,IF(A16="F06",'Cases'!C8,IF(ISNUMBER(F16),F16,0))))))</f>
        <v/>
      </c>
      <c r="U16">
        <f>IF(N16&gt;0,0,IF(J16&lt;&gt;1,0,IF(E16="Signed commitment",F16,IF(A16="F01",'Cases'!B9,IF(A16="F06",'Cases'!C9,IF(ISNUMBER(F16),F16,0))))))</f>
        <v/>
      </c>
      <c r="V16">
        <f>IF(N16&gt;0,0,IF(J16&lt;&gt;1,0,IF(E16="Signed commitment",F16,IF(A16="F01",'Cases'!B10,IF(A16="F06",'Cases'!C10,IF(ISNUMBER(F16),F16,0))))))</f>
        <v/>
      </c>
    </row>
    <row r="17" ht="28" customHeight="1">
      <c r="A17" s="4" t="inlineStr">
        <is>
          <t>F11</t>
        </is>
      </c>
      <c r="B17" s="4" t="inlineStr">
        <is>
          <t>SEDI First Nations Capability Building Grant (Impact Investing Australia)</t>
        </is>
      </c>
      <c r="C17" s="4" t="inlineStr">
        <is>
          <t>Grant</t>
        </is>
      </c>
      <c r="D17" s="139" t="inlineStr">
        <is>
          <t>Butterfly or ACT via general SEDI; Oonchiumpa via SEDI First Nations</t>
        </is>
      </c>
      <c r="E17" s="139" t="inlineStr">
        <is>
          <t>Discussion</t>
        </is>
      </c>
      <c r="F17" s="132" t="n"/>
      <c r="G17" s="132" t="inlineStr">
        <is>
          <t>No</t>
        </is>
      </c>
      <c r="H17" s="151" t="n"/>
      <c r="I17" s="134" t="n"/>
      <c r="J17" s="134" t="n">
        <v>0</v>
      </c>
      <c r="K17" s="132">
        <f>F17</f>
        <v/>
      </c>
      <c r="L17" s="139" t="inlineStr">
        <is>
          <t>$50,000 to $120,000, rolling EOIs to early 2027; one EOI is assessed for both SEDI First Nations and general SEDI, and a non-Indigenous applicant is transferred to general SEDI. Funds capability services only (finance, evaluation, legal, consulting), up to 20% internal costs; cannot buy plant or beds. Applicant must trade beyond start-up with revenue over $50,000 and repeatable trading revenue over $35,000; grant cannot exceed annual revenue. Decide the applicant entity and the capability plan before entering an amount.</t>
        </is>
      </c>
      <c r="M17" s="139" t="inlineStr">
        <is>
          <t>https://impactinvestingaustralia.com/sedi-first-nations-grants/ read 9 Sep 2026; EOI https://sedigrants.grantplatform.com; forwarded by Nic 24 Aug 2026</t>
        </is>
      </c>
      <c r="N17" s="4">
        <f>IF(AND(ISNUMBER(F17),OR(E17="Received",AND(E17="Signed commitment",G17="Yes"))),F17,0)</f>
        <v/>
      </c>
      <c r="O17" s="4">
        <f>IF(AND(N17&gt;0,ISNUMBER(H17),ISNUMBER('Assumptions'!$B$7)),12*(YEAR(H17)-YEAR('Assumptions'!$B$7))+MONTH(H17)-MONTH('Assumptions'!$B$7)+1,0)</f>
        <v/>
      </c>
      <c r="P17" s="4">
        <f>IF(N17&gt;0,0,IF(AND(J17=1,ISNUMBER(F17)),F17,0))</f>
        <v/>
      </c>
      <c r="Q17" s="4">
        <f>IF(OR(F17&lt;0,AND(J17=1,NOT(ISNUMBER(F17))),AND(P17&gt;0,NOT(ISNUMBER(I17))),AND(N17&gt;0,OR(NOT(ISNUMBER(H17)),NOT(ISNUMBER('Assumptions'!$B$7))))),1,0)+IF(COUNTIF(FundingTranches[Tranche ID],A17)&gt;1,1,0)</f>
        <v/>
      </c>
      <c r="R17">
        <f>IF(N17&gt;0,0,IF(J17&lt;&gt;1,0,IF(E17="Signed commitment",F17,IF(A17="F01",'Cases'!B6,IF(A17="F06",'Cases'!C6,IF(ISNUMBER(F17),F17,0))))))</f>
        <v/>
      </c>
      <c r="S17">
        <f>IF(N17&gt;0,0,IF(J17&lt;&gt;1,0,IF(E17="Signed commitment",F17,IF(A17="F01",'Cases'!B7,IF(A17="F06",'Cases'!C7,IF(ISNUMBER(F17),F17,0))))))</f>
        <v/>
      </c>
      <c r="T17">
        <f>IF(N17&gt;0,0,IF(J17&lt;&gt;1,0,IF(E17="Signed commitment",F17,IF(A17="F01",'Cases'!B8,IF(A17="F06",'Cases'!C8,IF(ISNUMBER(F17),F17,0))))))</f>
        <v/>
      </c>
      <c r="U17">
        <f>IF(N17&gt;0,0,IF(J17&lt;&gt;1,0,IF(E17="Signed commitment",F17,IF(A17="F01",'Cases'!B9,IF(A17="F06",'Cases'!C9,IF(ISNUMBER(F17),F17,0))))))</f>
        <v/>
      </c>
      <c r="V17">
        <f>IF(N17&gt;0,0,IF(J17&lt;&gt;1,0,IF(E17="Signed commitment",F17,IF(A17="F01",'Cases'!B10,IF(A17="F06",'Cases'!C10,IF(ISNUMBER(F17),F17,0))))))</f>
        <v/>
      </c>
    </row>
    <row r="18" ht="28" customHeight="1">
      <c r="A18" s="4" t="inlineStr">
        <is>
          <t>F12</t>
        </is>
      </c>
      <c r="B18" s="4" t="inlineStr">
        <is>
          <t>Paul Ramsay Foundation and Atlassian Foundation climate and community impact investing partnership</t>
        </is>
      </c>
      <c r="C18" s="4" t="inlineStr">
        <is>
          <t>Loan</t>
        </is>
      </c>
      <c r="D18" s="139" t="inlineStr">
        <is>
          <t>To confirm (Butterfly or ACT)</t>
        </is>
      </c>
      <c r="E18" s="139" t="inlineStr">
        <is>
          <t>Discussion</t>
        </is>
      </c>
      <c r="F18" s="132" t="n"/>
      <c r="G18" s="132" t="inlineStr">
        <is>
          <t>No</t>
        </is>
      </c>
      <c r="H18" s="151" t="n"/>
      <c r="I18" s="134" t="n"/>
      <c r="J18" s="134" t="n">
        <v>0</v>
      </c>
      <c r="K18" s="132">
        <f>F18</f>
        <v/>
      </c>
      <c r="L18" s="139" t="inlineStr">
        <is>
          <t>Announced 7 Sep 2026: Atlassian Foundation US$1m (about AU$1.5m) matched by PRF from its $60m Impact First Fund; open to other funders. Repayable impact investment, not a grant, for First Nations and community organisations at the intersection of climate and community, where conventional finance will not go. Contact Nico Snellen at PRF. No approach made; amount and terms unknown. Fit: recycled-plastic manufacturing in remote communities, community-owned plants.</t>
        </is>
      </c>
      <c r="M18" s="139" t="inlineStr">
        <is>
          <t>PRF news release 7 Sep 2026, pasted by Ben 9 Sep 2026</t>
        </is>
      </c>
      <c r="N18" s="4">
        <f>IF(AND(ISNUMBER(F18),OR(E18="Received",AND(E18="Signed commitment",G18="Yes"))),F18,0)</f>
        <v/>
      </c>
      <c r="O18" s="4">
        <f>IF(AND(N18&gt;0,ISNUMBER(H18),ISNUMBER('Assumptions'!$B$7)),12*(YEAR(H18)-YEAR('Assumptions'!$B$7))+MONTH(H18)-MONTH('Assumptions'!$B$7)+1,0)</f>
        <v/>
      </c>
      <c r="P18" s="4">
        <f>IF(N18&gt;0,0,IF(AND(J18=1,ISNUMBER(F18)),F18,0))</f>
        <v/>
      </c>
      <c r="Q18" s="4">
        <f>IF(OR(F18&lt;0,AND(J18=1,NOT(ISNUMBER(F18))),AND(P18&gt;0,NOT(ISNUMBER(I18))),AND(N18&gt;0,OR(NOT(ISNUMBER(H18)),NOT(ISNUMBER('Assumptions'!$B$7))))),1,0)+IF(COUNTIF(FundingTranches[Tranche ID],A18)&gt;1,1,0)</f>
        <v/>
      </c>
      <c r="R18">
        <f>IF(N18&gt;0,0,IF(J18&lt;&gt;1,0,IF(E18="Signed commitment",F18,IF(A18="F01",'Cases'!B6,IF(A18="F06",'Cases'!C6,IF(ISNUMBER(F18),F18,0))))))</f>
        <v/>
      </c>
      <c r="S18">
        <f>IF(N18&gt;0,0,IF(J18&lt;&gt;1,0,IF(E18="Signed commitment",F18,IF(A18="F01",'Cases'!B7,IF(A18="F06",'Cases'!C7,IF(ISNUMBER(F18),F18,0))))))</f>
        <v/>
      </c>
      <c r="T18">
        <f>IF(N18&gt;0,0,IF(J18&lt;&gt;1,0,IF(E18="Signed commitment",F18,IF(A18="F01",'Cases'!B8,IF(A18="F06",'Cases'!C8,IF(ISNUMBER(F18),F18,0))))))</f>
        <v/>
      </c>
      <c r="U18">
        <f>IF(N18&gt;0,0,IF(J18&lt;&gt;1,0,IF(E18="Signed commitment",F18,IF(A18="F01",'Cases'!B9,IF(A18="F06",'Cases'!C9,IF(ISNUMBER(F18),F18,0))))))</f>
        <v/>
      </c>
      <c r="V18">
        <f>IF(N18&gt;0,0,IF(J18&lt;&gt;1,0,IF(E18="Signed commitment",F18,IF(A18="F01",'Cases'!B10,IF(A18="F06",'Cases'!C10,IF(ISNUMBER(F18),F18,0))))))</f>
        <v/>
      </c>
    </row>
    <row r="19" ht="28" customHeight="1">
      <c r="A19" s="4" t="inlineStr">
        <is>
          <t>Secured total</t>
        </is>
      </c>
      <c r="B19" s="4" t="n"/>
      <c r="C19" s="4" t="n"/>
      <c r="D19" s="4" t="n"/>
      <c r="E19" s="4" t="n"/>
      <c r="F19" s="4">
        <f>SUM(N6:N18)</f>
        <v/>
      </c>
      <c r="G19" s="4" t="n"/>
      <c r="H19" s="4" t="n"/>
      <c r="I19" s="4" t="n"/>
      <c r="J19" s="4" t="n"/>
      <c r="K19" s="4" t="n"/>
      <c r="L19" s="4" t="n"/>
      <c r="M19" s="4" t="n"/>
      <c r="N19" s="4" t="n"/>
      <c r="O19" s="4" t="n"/>
      <c r="P19" s="4" t="n"/>
      <c r="Q19" s="4" t="n"/>
    </row>
    <row r="20" ht="28" customHeight="1">
      <c r="A20" s="4" t="inlineStr">
        <is>
          <t>Unscheduled / unresolved receipts</t>
        </is>
      </c>
      <c r="B20" s="4" t="n"/>
      <c r="C20" s="4" t="n"/>
      <c r="D20" s="4" t="n"/>
      <c r="E20" s="4" t="n"/>
      <c r="F20" s="4">
        <f>SUM(Q6:Q18)</f>
        <v/>
      </c>
      <c r="G20" s="4" t="n"/>
      <c r="H20" s="4" t="n"/>
      <c r="I20" s="4" t="n"/>
      <c r="J20" s="4" t="n"/>
      <c r="K20" s="4" t="n"/>
      <c r="L20" s="4" t="n"/>
      <c r="M20" s="4" t="n"/>
      <c r="N20" s="4" t="n"/>
      <c r="O20" s="4" t="n"/>
      <c r="P20" s="4" t="n"/>
      <c r="Q20" s="4" t="n"/>
    </row>
    <row r="21" ht="28" customHeight="1">
      <c r="A21" s="4" t="n"/>
      <c r="B21" s="4" t="n"/>
      <c r="C21" s="4" t="n"/>
      <c r="D21" s="4" t="n"/>
      <c r="E21" s="4" t="n"/>
      <c r="F21" s="4" t="n"/>
      <c r="G21" s="4" t="n"/>
      <c r="H21" s="4" t="n"/>
      <c r="I21" s="4" t="n"/>
      <c r="J21" s="4" t="n"/>
      <c r="K21" s="4" t="n"/>
      <c r="L21" s="4" t="n"/>
      <c r="M21" s="4" t="n"/>
      <c r="N21" s="4" t="n"/>
      <c r="O21" s="4" t="n"/>
      <c r="P21" s="4" t="n"/>
      <c r="Q21" s="4" t="n"/>
    </row>
    <row r="22" ht="28" customHeight="1">
      <c r="A22" s="4" t="inlineStr">
        <is>
          <t>A new loan’s agreed rate and term belong on Assumptions. Opening debt principal and interest use the separate monthly inputs. Never count direct Goods sales again as capital.</t>
        </is>
      </c>
    </row>
    <row r="23" ht="28" customHeight="1">
      <c r="A23" s="4" t="n"/>
      <c r="B23" s="4" t="n"/>
      <c r="C23" s="4" t="n"/>
      <c r="D23" s="4" t="n"/>
      <c r="E23" s="4" t="n"/>
      <c r="F23" s="4" t="n"/>
      <c r="G23" s="4" t="n"/>
      <c r="H23" s="4" t="n"/>
      <c r="I23" s="4" t="n"/>
      <c r="J23" s="4" t="n"/>
      <c r="K23" s="4" t="n"/>
      <c r="L23" s="4" t="n"/>
      <c r="M23" s="4" t="n"/>
      <c r="N23" s="4" t="n"/>
      <c r="O23" s="4" t="n"/>
      <c r="P23" s="4" t="n"/>
      <c r="Q23" s="4" t="n"/>
    </row>
    <row r="24" ht="54" customHeight="1">
      <c r="A24" s="4" t="inlineStr">
        <is>
          <t>Working request and illustrative loan amounts come from Assumptions/Cases. A signed commitment uses the actual Amount column even while its conditions remain unmet.</t>
        </is>
      </c>
    </row>
    <row r="25" ht="28" customHeight="1">
      <c r="A25" s="4" t="n"/>
      <c r="B25" s="4" t="n"/>
      <c r="C25" s="4" t="n"/>
      <c r="D25" s="4" t="n"/>
      <c r="E25" s="4" t="n"/>
      <c r="F25" s="4" t="n"/>
      <c r="G25" s="4" t="n"/>
      <c r="H25" s="4" t="n"/>
      <c r="I25" s="4" t="n"/>
      <c r="J25" s="4" t="n"/>
      <c r="K25" s="4" t="n"/>
      <c r="L25" s="4" t="n"/>
      <c r="M25" s="4" t="n"/>
      <c r="N25" s="4" t="n"/>
      <c r="O25" s="4" t="n"/>
      <c r="P25" s="4" t="n"/>
      <c r="Q25" s="4" t="n"/>
    </row>
    <row r="26" ht="28" customHeight="1">
      <c r="A26" s="4" t="n"/>
      <c r="B26" s="4" t="n"/>
      <c r="C26" s="4" t="n"/>
      <c r="D26" s="4" t="n"/>
      <c r="E26" s="4" t="n"/>
      <c r="F26" s="4" t="n"/>
      <c r="G26" s="4" t="n"/>
      <c r="H26" s="4" t="n"/>
      <c r="I26" s="4" t="n"/>
      <c r="J26" s="4" t="n"/>
      <c r="K26" s="4" t="n"/>
      <c r="L26" s="4" t="n"/>
      <c r="M26" s="4" t="n"/>
      <c r="N26" s="4" t="n"/>
      <c r="O26" s="4" t="n"/>
      <c r="P26" s="4" t="n"/>
      <c r="Q26" s="4" t="n"/>
    </row>
  </sheetData>
  <mergeCells count="4">
    <mergeCell ref="A3:Q3"/>
    <mergeCell ref="A22:Q22"/>
    <mergeCell ref="A1:Q1"/>
    <mergeCell ref="A24:Q24"/>
  </mergeCells>
  <dataValidations count="3">
    <dataValidation sqref="E6:E18" showDropDown="0" showInputMessage="0" showErrorMessage="0" allowBlank="0" type="list">
      <formula1>"Discussion,Invitation,Application,EOI preparation,EOI,LOI,Offer letter,Signed commitment,Received"</formula1>
    </dataValidation>
    <dataValidation sqref="G6:G18" showDropDown="0" showInputMessage="0" showErrorMessage="0" allowBlank="0" type="list">
      <formula1>"No,Yes"</formula1>
    </dataValidation>
    <dataValidation sqref="J6:J18" showDropDown="0" showInputMessage="0" showErrorMessage="0" allowBlank="0" type="whole" operator="between">
      <formula1>0</formula1>
      <formula2>1</formula2>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S22"/>
  <sheetViews>
    <sheetView showGridLines="0" workbookViewId="0">
      <pane ySplit="5" topLeftCell="A6" activePane="bottomLeft" state="frozen"/>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50" customWidth="1" min="16" max="16"/>
    <col width="20" customWidth="1" min="17" max="17"/>
    <col width="20" customWidth="1" min="18" max="18"/>
    <col width="20" customWidth="1" min="19" max="19"/>
  </cols>
  <sheetData>
    <row r="1" ht="38" customHeight="1">
      <c r="A1" s="5" t="inlineStr">
        <is>
          <t>Funding and delivery cases</t>
        </is>
      </c>
    </row>
    <row r="2" ht="28" customHeight="1">
      <c r="A2" s="4" t="n"/>
      <c r="B2" s="4" t="n"/>
      <c r="C2" s="4" t="n"/>
      <c r="D2" s="4" t="n"/>
      <c r="E2" s="4" t="n"/>
      <c r="F2" s="4" t="n"/>
      <c r="G2" s="4" t="n"/>
      <c r="H2" s="4" t="n"/>
      <c r="I2" s="4" t="n"/>
      <c r="J2" s="4" t="n"/>
      <c r="K2" s="4" t="n"/>
      <c r="L2" s="4" t="n"/>
      <c r="M2" s="4" t="n"/>
      <c r="N2" s="4" t="n"/>
      <c r="O2" s="4" t="n"/>
      <c r="P2" s="4" t="n"/>
    </row>
    <row r="3" ht="54" customHeight="1">
      <c r="A3" s="6" t="inlineStr">
        <is>
          <t>Initial trading stock is made at the current facility. Results are capacity-constrained and may be below the 400-bed target. Community operations are separate. The smaller case stages capital, not the initial-stock quantity.</t>
        </is>
      </c>
    </row>
    <row r="4" ht="28" customHeight="1">
      <c r="A4" s="4" t="n"/>
      <c r="B4" s="4" t="n"/>
      <c r="C4" s="4" t="n"/>
      <c r="D4" s="4" t="n"/>
      <c r="E4" s="4" t="n"/>
      <c r="F4" s="4" t="n"/>
      <c r="G4" s="4" t="n"/>
      <c r="H4" s="4" t="n"/>
      <c r="I4" s="4" t="n"/>
      <c r="J4" s="4" t="n"/>
      <c r="K4" s="4" t="n"/>
      <c r="L4" s="4" t="n"/>
      <c r="M4" s="4" t="n"/>
      <c r="N4" s="4" t="n"/>
      <c r="O4" s="4" t="n"/>
      <c r="P4" s="4" t="n"/>
    </row>
    <row r="5" ht="60" customHeight="1">
      <c r="A5" s="8" t="inlineStr">
        <is>
          <t>Case</t>
        </is>
      </c>
      <c r="B5" s="8" t="inlineStr">
        <is>
          <t>QBE request</t>
        </is>
      </c>
      <c r="C5" s="8" t="inlineStr">
        <is>
          <t>Potential loan</t>
        </is>
      </c>
      <c r="D5" s="8" t="inlineStr">
        <is>
          <t>Receipt delay</t>
        </is>
      </c>
      <c r="E5" s="8" t="inlineStr">
        <is>
          <t>Goods sales factor</t>
        </is>
      </c>
      <c r="F5" s="8" t="inlineStr">
        <is>
          <t>New facility 2 included</t>
        </is>
      </c>
      <c r="G5" s="8" t="inlineStr">
        <is>
          <t>New-site delay</t>
        </is>
      </c>
      <c r="H5" s="8" t="inlineStr">
        <is>
          <t>Year 1 beds</t>
        </is>
      </c>
      <c r="I5" s="8" t="inlineStr">
        <is>
          <t>Goods Year 1 priced spend</t>
        </is>
      </c>
      <c r="J5" s="8" t="inlineStr">
        <is>
          <t>Year 1 receipts</t>
        </is>
      </c>
      <c r="K5" s="8" t="inlineStr">
        <is>
          <t>Year 1 loan service</t>
        </is>
      </c>
      <c r="L5" s="8" t="inlineStr">
        <is>
          <t>Goods peak cash need</t>
        </is>
      </c>
      <c r="M5" s="8" t="inlineStr">
        <is>
          <t>Closing year 1 debt</t>
        </is>
      </c>
      <c r="N5" s="8" t="inlineStr">
        <is>
          <t>Unpriced cost inputs</t>
        </is>
      </c>
      <c r="O5" s="8" t="inlineStr">
        <is>
          <t>QBE allocation balance</t>
        </is>
      </c>
      <c r="P5" s="8" t="inlineStr">
        <is>
          <t>Interpretation</t>
        </is>
      </c>
      <c r="Q5" s="93" t="inlineStr">
        <is>
          <t>Community Year 1 spend</t>
        </is>
      </c>
      <c r="R5" s="93" t="inlineStr">
        <is>
          <t>Combined Year 1 spend</t>
        </is>
      </c>
      <c r="S5" s="93" t="inlineStr">
        <is>
          <t>Goods infrastructure cash</t>
        </is>
      </c>
    </row>
    <row r="6" ht="80" customHeight="1">
      <c r="A6" s="4" t="inlineStr">
        <is>
          <t>Full</t>
        </is>
      </c>
      <c r="B6" s="128">
        <f>'Assumptions'!B35</f>
        <v/>
      </c>
      <c r="C6" s="132">
        <f>'Assumptions'!B38</f>
        <v/>
      </c>
      <c r="D6" s="134" t="n">
        <v>0</v>
      </c>
      <c r="E6" s="149" t="n">
        <v>1</v>
      </c>
      <c r="F6" s="134" t="n">
        <v>1</v>
      </c>
      <c r="G6" s="134" t="n">
        <v>0</v>
      </c>
      <c r="H6" s="127">
        <f>SUM('Cash schedule'!D6:D17)</f>
        <v/>
      </c>
      <c r="I6" s="128">
        <f>SUM('Cash schedule'!N6:N17)</f>
        <v/>
      </c>
      <c r="J6" s="128">
        <f>SUM('Cash schedule'!V6:V17)</f>
        <v/>
      </c>
      <c r="K6" s="128">
        <f>SUM('Cash schedule'!AB6:AB17)</f>
        <v/>
      </c>
      <c r="L6" s="128">
        <f>IF(SUM('Cash schedule'!BK6:BK17)&gt;0,"",MAX(0,-MIN('Cash schedule'!AK6:AK17)))</f>
        <v/>
      </c>
      <c r="M6" s="128">
        <f>'Cash schedule'!AA17</f>
        <v/>
      </c>
      <c r="N6" s="127">
        <f>MAX('Cash schedule'!BJ6:BJ17)</f>
        <v/>
      </c>
      <c r="O6" s="128">
        <f>'QBE'!D15</f>
        <v/>
      </c>
      <c r="P6" s="4" t="inlineStr">
        <is>
          <t>Capacity-constrained initial stock; 400 target remains open against the roster. Local operating costs retain inherited timing assumptions. Receipts are hypothetical.</t>
        </is>
      </c>
      <c r="Q6" s="152">
        <f>SUM('Cash schedule'!BW6:BW17)</f>
        <v/>
      </c>
      <c r="R6" s="152">
        <f>SUM('Cash schedule'!BX6:BX17)</f>
        <v/>
      </c>
      <c r="S6" s="152">
        <f>SUM('Cash schedule'!M6:M17)</f>
        <v/>
      </c>
    </row>
    <row r="7" ht="80" customHeight="1">
      <c r="A7" s="4" t="inlineStr">
        <is>
          <t>Smaller</t>
        </is>
      </c>
      <c r="B7" s="128">
        <f>'Assumptions'!B36</f>
        <v/>
      </c>
      <c r="C7" s="132">
        <f>MIN('Assumptions'!B38,'Assumptions'!B37/3)</f>
        <v/>
      </c>
      <c r="D7" s="134" t="n">
        <v>0</v>
      </c>
      <c r="E7" s="149" t="n">
        <v>1</v>
      </c>
      <c r="F7" s="134" t="n">
        <v>0</v>
      </c>
      <c r="G7" s="134" t="n">
        <v>0</v>
      </c>
      <c r="H7" s="127">
        <f>SUM('Cash schedule'!D42:D53)</f>
        <v/>
      </c>
      <c r="I7" s="128">
        <f>SUM('Cash schedule'!N42:N53)</f>
        <v/>
      </c>
      <c r="J7" s="128">
        <f>SUM('Cash schedule'!V42:V53)</f>
        <v/>
      </c>
      <c r="K7" s="128">
        <f>SUM('Cash schedule'!AB42:AB53)</f>
        <v/>
      </c>
      <c r="L7" s="128">
        <f>IF(SUM('Cash schedule'!BK42:BK53)&gt;0,"",MAX(0,-MIN('Cash schedule'!AK42:AK53)))</f>
        <v/>
      </c>
      <c r="M7" s="128">
        <f>'Cash schedule'!AA53</f>
        <v/>
      </c>
      <c r="N7" s="127">
        <f>MAX('Cash schedule'!BJ42:BJ53)</f>
        <v/>
      </c>
      <c r="O7" s="128">
        <f>'QBE'!G15</f>
        <v/>
      </c>
      <c r="P7" s="4" t="inlineStr">
        <is>
          <t>Capacity-constrained initial stock; 400 target remains open against the roster. Local operating costs retain inherited timing assumptions. Receipts are hypothetical.</t>
        </is>
      </c>
      <c r="Q7" s="152">
        <f>SUM('Cash schedule'!BW42:BW53)</f>
        <v/>
      </c>
      <c r="R7" s="152">
        <f>SUM('Cash schedule'!BX42:BX53)</f>
        <v/>
      </c>
      <c r="S7" s="152">
        <f>SUM('Cash schedule'!M42:M53)</f>
        <v/>
      </c>
    </row>
    <row r="8" ht="80" customHeight="1">
      <c r="A8" s="4" t="inlineStr">
        <is>
          <t>No QBE</t>
        </is>
      </c>
      <c r="B8" s="128">
        <f>0</f>
        <v/>
      </c>
      <c r="C8" s="132">
        <f>'Assumptions'!B38</f>
        <v/>
      </c>
      <c r="D8" s="134" t="n">
        <v>0</v>
      </c>
      <c r="E8" s="149" t="n">
        <v>1</v>
      </c>
      <c r="F8" s="134" t="n">
        <v>1</v>
      </c>
      <c r="G8" s="134" t="n">
        <v>0</v>
      </c>
      <c r="H8" s="127">
        <f>SUM('Cash schedule'!D78:D89)</f>
        <v/>
      </c>
      <c r="I8" s="128">
        <f>SUM('Cash schedule'!N78:N89)</f>
        <v/>
      </c>
      <c r="J8" s="128">
        <f>SUM('Cash schedule'!V78:V89)</f>
        <v/>
      </c>
      <c r="K8" s="128">
        <f>SUM('Cash schedule'!AB78:AB89)</f>
        <v/>
      </c>
      <c r="L8" s="128">
        <f>IF(SUM('Cash schedule'!BK78:BK89)&gt;0,"",MAX(0,-MIN('Cash schedule'!AK78:AK89)))</f>
        <v/>
      </c>
      <c r="M8" s="128">
        <f>'Cash schedule'!AA89</f>
        <v/>
      </c>
      <c r="N8" s="127">
        <f>MAX('Cash schedule'!BJ78:BJ89)</f>
        <v/>
      </c>
      <c r="O8" s="128">
        <f>0</f>
        <v/>
      </c>
      <c r="P8" s="4" t="inlineStr">
        <is>
          <t>Capacity-constrained initial stock; 400 target remains open against the roster. Local operating costs retain inherited timing assumptions. Receipts are hypothetical.</t>
        </is>
      </c>
      <c r="Q8" s="152">
        <f>SUM('Cash schedule'!BW78:BW89)</f>
        <v/>
      </c>
      <c r="R8" s="152">
        <f>SUM('Cash schedule'!BX78:BX89)</f>
        <v/>
      </c>
      <c r="S8" s="152">
        <f>SUM('Cash schedule'!M78:M89)</f>
        <v/>
      </c>
    </row>
    <row r="9" ht="80" customHeight="1">
      <c r="A9" s="4" t="inlineStr">
        <is>
          <t>Delayed receipts</t>
        </is>
      </c>
      <c r="B9" s="128">
        <f>'Assumptions'!B35</f>
        <v/>
      </c>
      <c r="C9" s="132">
        <f>'Assumptions'!B38</f>
        <v/>
      </c>
      <c r="D9" s="134" t="n">
        <v>3</v>
      </c>
      <c r="E9" s="149" t="n">
        <v>1</v>
      </c>
      <c r="F9" s="134" t="n">
        <v>1</v>
      </c>
      <c r="G9" s="134" t="n">
        <v>0</v>
      </c>
      <c r="H9" s="127">
        <f>SUM('Cash schedule'!D114:D125)</f>
        <v/>
      </c>
      <c r="I9" s="128">
        <f>SUM('Cash schedule'!N114:N125)</f>
        <v/>
      </c>
      <c r="J9" s="128">
        <f>SUM('Cash schedule'!V114:V125)</f>
        <v/>
      </c>
      <c r="K9" s="128">
        <f>SUM('Cash schedule'!AB114:AB125)</f>
        <v/>
      </c>
      <c r="L9" s="128">
        <f>IF(SUM('Cash schedule'!BK114:BK125)&gt;0,"",MAX(0,-MIN('Cash schedule'!AK114:AK125)))</f>
        <v/>
      </c>
      <c r="M9" s="128">
        <f>'Cash schedule'!AA125</f>
        <v/>
      </c>
      <c r="N9" s="127">
        <f>MAX('Cash schedule'!BJ114:BJ125)</f>
        <v/>
      </c>
      <c r="O9" s="128">
        <f>'QBE'!D15</f>
        <v/>
      </c>
      <c r="P9" s="4" t="inlineStr">
        <is>
          <t>Capacity-constrained initial stock; 400 target remains open against the roster. Local operating costs retain inherited timing assumptions. Receipts are hypothetical.</t>
        </is>
      </c>
      <c r="Q9" s="152">
        <f>SUM('Cash schedule'!BW114:BW125)</f>
        <v/>
      </c>
      <c r="R9" s="152">
        <f>SUM('Cash schedule'!BX114:BX125)</f>
        <v/>
      </c>
      <c r="S9" s="152">
        <f>SUM('Cash schedule'!M114:M125)</f>
        <v/>
      </c>
    </row>
    <row r="10" ht="80" customHeight="1">
      <c r="A10" s="4" t="inlineStr">
        <is>
          <t>Lower sales</t>
        </is>
      </c>
      <c r="B10" s="128">
        <f>'Assumptions'!B35</f>
        <v/>
      </c>
      <c r="C10" s="132">
        <f>'Assumptions'!B38</f>
        <v/>
      </c>
      <c r="D10" s="134" t="n">
        <v>0</v>
      </c>
      <c r="E10" s="149" t="n">
        <v>0.5</v>
      </c>
      <c r="F10" s="134" t="n">
        <v>1</v>
      </c>
      <c r="G10" s="134" t="n">
        <v>0</v>
      </c>
      <c r="H10" s="127">
        <f>SUM('Cash schedule'!D150:D161)</f>
        <v/>
      </c>
      <c r="I10" s="128">
        <f>SUM('Cash schedule'!N150:N161)</f>
        <v/>
      </c>
      <c r="J10" s="128">
        <f>SUM('Cash schedule'!V150:V161)</f>
        <v/>
      </c>
      <c r="K10" s="128">
        <f>SUM('Cash schedule'!AB150:AB161)</f>
        <v/>
      </c>
      <c r="L10" s="128">
        <f>IF(SUM('Cash schedule'!BK150:BK161)&gt;0,"",MAX(0,-MIN('Cash schedule'!AK150:AK161)))</f>
        <v/>
      </c>
      <c r="M10" s="128">
        <f>'Cash schedule'!AA161</f>
        <v/>
      </c>
      <c r="N10" s="127">
        <f>MAX('Cash schedule'!BJ150:BJ161)</f>
        <v/>
      </c>
      <c r="O10" s="128">
        <f>'QBE'!D15</f>
        <v/>
      </c>
      <c r="P10" s="4" t="inlineStr">
        <is>
          <t>Capacity-constrained initial stock; 400 target remains open against the roster. Local operating costs retain inherited timing assumptions. Receipts are hypothetical.</t>
        </is>
      </c>
      <c r="Q10" s="152">
        <f>SUM('Cash schedule'!BW150:BW161)</f>
        <v/>
      </c>
      <c r="R10" s="152">
        <f>SUM('Cash schedule'!BX150:BX161)</f>
        <v/>
      </c>
      <c r="S10" s="152">
        <f>SUM('Cash schedule'!M150:M161)</f>
        <v/>
      </c>
    </row>
    <row r="11" ht="28" customHeight="1">
      <c r="A11" s="4" t="n"/>
      <c r="B11" s="4" t="n"/>
      <c r="C11" s="4" t="n"/>
      <c r="D11" s="4" t="n"/>
      <c r="E11" s="4" t="n"/>
      <c r="F11" s="4" t="n"/>
      <c r="G11" s="4" t="n"/>
      <c r="H11" s="4" t="n"/>
      <c r="I11" s="4" t="n"/>
      <c r="J11" s="4" t="n"/>
      <c r="K11" s="4" t="n"/>
      <c r="L11" s="4" t="n"/>
      <c r="M11" s="4" t="n"/>
      <c r="N11" s="4" t="n"/>
      <c r="O11" s="4" t="n"/>
      <c r="P11" s="4" t="n"/>
    </row>
    <row r="12" ht="28" customHeight="1">
      <c r="A12" s="4" t="n"/>
      <c r="B12" s="4" t="n"/>
      <c r="C12" s="4" t="n"/>
      <c r="D12" s="4" t="n"/>
      <c r="E12" s="4" t="n"/>
      <c r="F12" s="4" t="n"/>
      <c r="G12" s="4" t="n"/>
      <c r="H12" s="4" t="n"/>
      <c r="I12" s="4" t="n"/>
      <c r="J12" s="4" t="n"/>
      <c r="K12" s="4" t="n"/>
      <c r="L12" s="4" t="n"/>
      <c r="M12" s="4" t="n"/>
      <c r="N12" s="4" t="n"/>
      <c r="O12" s="4" t="n"/>
      <c r="P12" s="4" t="n"/>
    </row>
    <row r="13" ht="28" customHeight="1">
      <c r="A13" s="4" t="n"/>
      <c r="B13" s="4" t="n"/>
      <c r="C13" s="4" t="n"/>
      <c r="D13" s="4" t="n"/>
      <c r="E13" s="4" t="n"/>
      <c r="F13" s="4" t="n"/>
      <c r="G13" s="4" t="n"/>
      <c r="H13" s="4" t="n"/>
      <c r="I13" s="4" t="n"/>
      <c r="J13" s="4" t="n"/>
      <c r="K13" s="4" t="n"/>
      <c r="L13" s="4" t="n"/>
      <c r="M13" s="4" t="n"/>
      <c r="N13" s="4" t="n"/>
      <c r="O13" s="4" t="n"/>
      <c r="P13" s="4" t="n"/>
    </row>
    <row r="14" ht="28" customHeight="1">
      <c r="A14" s="4" t="inlineStr">
        <is>
          <t>Smaller case removes one facility allowance, but keeps the initial-stock target. It does not yet define an approved smaller programme. No QBE and delayed-receipt cases retain production for stress testing, not permission to spend unfunded money.</t>
        </is>
      </c>
    </row>
    <row r="15" ht="28" customHeight="1">
      <c r="A15" s="4" t="n"/>
      <c r="B15" s="4" t="n"/>
      <c r="C15" s="4" t="n"/>
      <c r="D15" s="4" t="n"/>
      <c r="E15" s="4" t="n"/>
      <c r="F15" s="4" t="n"/>
      <c r="G15" s="4" t="n"/>
      <c r="H15" s="4" t="n"/>
      <c r="I15" s="4" t="n"/>
      <c r="J15" s="4" t="n"/>
      <c r="K15" s="4" t="n"/>
      <c r="L15" s="4" t="n"/>
      <c r="M15" s="4" t="n"/>
      <c r="N15" s="4" t="n"/>
      <c r="O15" s="4" t="n"/>
      <c r="P15" s="4" t="n"/>
    </row>
    <row r="16" ht="28" customHeight="1">
      <c r="A16" s="4" t="n"/>
      <c r="B16" s="4" t="n"/>
      <c r="C16" s="4" t="n"/>
      <c r="D16" s="4" t="n"/>
      <c r="E16" s="4" t="n"/>
      <c r="F16" s="4" t="n"/>
      <c r="G16" s="4" t="n"/>
      <c r="H16" s="4" t="n"/>
      <c r="I16" s="4" t="n"/>
      <c r="J16" s="4" t="n"/>
      <c r="K16" s="4" t="n"/>
      <c r="L16" s="4" t="n"/>
      <c r="M16" s="4" t="n"/>
      <c r="N16" s="4" t="n"/>
      <c r="O16" s="4" t="n"/>
      <c r="P16" s="4" t="n"/>
    </row>
    <row r="17" ht="28" customHeight="1">
      <c r="A17" s="4" t="n"/>
      <c r="B17" s="4" t="n"/>
      <c r="C17" s="4" t="n"/>
      <c r="D17" s="4" t="n"/>
      <c r="E17" s="4" t="n"/>
      <c r="F17" s="4" t="n"/>
      <c r="G17" s="4" t="n"/>
      <c r="H17" s="4" t="n"/>
      <c r="I17" s="4" t="n"/>
      <c r="J17" s="4" t="n"/>
      <c r="K17" s="4" t="n"/>
      <c r="L17" s="4" t="n"/>
      <c r="M17" s="4" t="n"/>
      <c r="N17" s="4" t="n"/>
      <c r="O17" s="4" t="n"/>
      <c r="P17" s="4" t="n"/>
    </row>
    <row r="18" ht="28" customHeight="1">
      <c r="A18" s="4" t="n"/>
      <c r="B18" s="4" t="n"/>
      <c r="C18" s="4" t="n"/>
      <c r="D18" s="4" t="n"/>
      <c r="E18" s="4" t="n"/>
      <c r="F18" s="4" t="n"/>
      <c r="G18" s="4" t="n"/>
      <c r="H18" s="4" t="n"/>
      <c r="I18" s="4" t="n"/>
      <c r="J18" s="4" t="n"/>
      <c r="K18" s="4" t="n"/>
      <c r="L18" s="4" t="n"/>
      <c r="M18" s="4" t="n"/>
      <c r="N18" s="4" t="n"/>
      <c r="O18" s="4" t="n"/>
      <c r="P18" s="4" t="n"/>
    </row>
    <row r="19" ht="28" customHeight="1">
      <c r="A19" s="4" t="n"/>
      <c r="B19" s="4" t="n"/>
      <c r="C19" s="4" t="n"/>
      <c r="D19" s="4" t="n"/>
      <c r="E19" s="4" t="n"/>
      <c r="F19" s="4" t="n"/>
      <c r="G19" s="4" t="n"/>
      <c r="H19" s="4" t="n"/>
      <c r="I19" s="4" t="n"/>
      <c r="J19" s="4" t="n"/>
      <c r="K19" s="4" t="n"/>
      <c r="L19" s="4" t="n"/>
      <c r="M19" s="4" t="n"/>
      <c r="N19" s="4" t="n"/>
      <c r="O19" s="4" t="n"/>
      <c r="P19" s="4" t="n"/>
    </row>
    <row r="20" ht="28" customHeight="1">
      <c r="A20" s="4" t="n"/>
      <c r="B20" s="4" t="n"/>
      <c r="C20" s="4" t="n"/>
      <c r="D20" s="4" t="n"/>
      <c r="E20" s="4" t="n"/>
      <c r="F20" s="4" t="n"/>
      <c r="G20" s="4" t="n"/>
      <c r="H20" s="4" t="n"/>
      <c r="I20" s="4" t="n"/>
      <c r="J20" s="4" t="n"/>
      <c r="K20" s="4" t="n"/>
      <c r="L20" s="4" t="n"/>
      <c r="M20" s="4" t="n"/>
      <c r="N20" s="4" t="n"/>
      <c r="O20" s="4" t="n"/>
      <c r="P20" s="4" t="n"/>
    </row>
    <row r="21" ht="28" customHeight="1">
      <c r="A21" s="4" t="n"/>
      <c r="B21" s="4" t="n"/>
      <c r="C21" s="4" t="n"/>
      <c r="D21" s="4" t="n"/>
      <c r="E21" s="4" t="n"/>
      <c r="F21" s="4" t="n"/>
      <c r="G21" s="4" t="n"/>
      <c r="H21" s="4" t="n"/>
      <c r="I21" s="4" t="n"/>
      <c r="J21" s="4" t="n"/>
      <c r="K21" s="4" t="n"/>
      <c r="L21" s="4" t="n"/>
      <c r="M21" s="4" t="n"/>
      <c r="N21" s="4" t="n"/>
      <c r="O21" s="4" t="n"/>
      <c r="P21" s="4" t="n"/>
    </row>
    <row r="22" ht="28" customHeight="1">
      <c r="A22" s="4" t="n"/>
      <c r="B22" s="4" t="n"/>
      <c r="C22" s="4" t="n"/>
      <c r="D22" s="4" t="n"/>
      <c r="E22" s="4" t="n"/>
      <c r="F22" s="4" t="n"/>
      <c r="G22" s="4" t="n"/>
      <c r="H22" s="4" t="n"/>
      <c r="I22" s="4" t="n"/>
      <c r="J22" s="4" t="n"/>
      <c r="K22" s="4" t="n"/>
      <c r="L22" s="4" t="n"/>
      <c r="M22" s="4" t="n"/>
      <c r="N22" s="4" t="n"/>
      <c r="O22" s="4" t="n"/>
      <c r="P22" s="4" t="n"/>
    </row>
  </sheetData>
  <mergeCells count="3">
    <mergeCell ref="A1:P1"/>
    <mergeCell ref="A3:P3"/>
    <mergeCell ref="A14:P14"/>
  </mergeCells>
  <dataValidations count="3">
    <dataValidation sqref="F6:F10" showDropDown="0" showInputMessage="0" showErrorMessage="0" allowBlank="0" type="whole" operator="between">
      <formula1>0</formula1>
      <formula2>1</formula2>
    </dataValidation>
    <dataValidation sqref="D6:D10" showDropDown="0" showInputMessage="0" showErrorMessage="0" allowBlank="0" type="whole" operator="between">
      <formula1>0</formula1>
      <formula2>36</formula2>
    </dataValidation>
    <dataValidation sqref="G6:G10" showDropDown="0" showInputMessage="0" showErrorMessage="0" allowBlank="0" type="whole" operator="between">
      <formula1>0</formula1>
      <formula2>36</formula2>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M86"/>
  <sheetViews>
    <sheetView showGridLines="0" workbookViewId="0">
      <pane xSplit="3" ySplit="7" topLeftCell="D8" activePane="bottomRight" state="frozen"/>
      <selection activeCell="A1" sqref="A1"/>
    </sheetView>
  </sheetViews>
  <sheetFormatPr baseColWidth="8" defaultRowHeight="15"/>
  <cols>
    <col width="37" customWidth="1" min="1" max="1"/>
    <col width="13" customWidth="1" min="2" max="2"/>
    <col width="13"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s>
  <sheetData>
    <row r="1" ht="38" customHeight="1">
      <c r="A1" s="5" t="inlineStr">
        <is>
          <t>Monthly Goods forecast</t>
        </is>
      </c>
    </row>
    <row r="2" ht="28"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row>
    <row r="3" ht="54" customHeight="1">
      <c r="A3" s="6" t="inlineStr">
        <is>
          <t>36-month planning schedule. Amounts are AUD ex GST. Blank cash and balance-sheet fields mean opening balances or tax are unknown. Community sales remain outside Goods receipts.</t>
        </is>
      </c>
    </row>
    <row r="4" ht="28" customHeight="1">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row>
    <row r="5" ht="28" customHeight="1">
      <c r="A5" s="4" t="inlineStr">
        <is>
          <t>Selected case</t>
        </is>
      </c>
      <c r="B5" s="4">
        <f>'Assumptions'!B6</f>
        <v/>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row>
    <row r="6" ht="28" customHeight="1">
      <c r="A6" s="4" t="inlineStr">
        <is>
          <t>Month</t>
        </is>
      </c>
      <c r="B6" s="4" t="n"/>
      <c r="C6" s="4" t="n"/>
      <c r="D6" s="4">
        <f>'Assumptions'!D55</f>
        <v/>
      </c>
      <c r="E6" s="4">
        <f>'Assumptions'!E55</f>
        <v/>
      </c>
      <c r="F6" s="4">
        <f>'Assumptions'!F55</f>
        <v/>
      </c>
      <c r="G6" s="4">
        <f>'Assumptions'!G55</f>
        <v/>
      </c>
      <c r="H6" s="4">
        <f>'Assumptions'!H55</f>
        <v/>
      </c>
      <c r="I6" s="4">
        <f>'Assumptions'!I55</f>
        <v/>
      </c>
      <c r="J6" s="4">
        <f>'Assumptions'!J55</f>
        <v/>
      </c>
      <c r="K6" s="4">
        <f>'Assumptions'!K55</f>
        <v/>
      </c>
      <c r="L6" s="4">
        <f>'Assumptions'!L55</f>
        <v/>
      </c>
      <c r="M6" s="4">
        <f>'Assumptions'!M55</f>
        <v/>
      </c>
      <c r="N6" s="4">
        <f>'Assumptions'!N55</f>
        <v/>
      </c>
      <c r="O6" s="4">
        <f>'Assumptions'!O55</f>
        <v/>
      </c>
      <c r="P6" s="4">
        <f>'Assumptions'!P55</f>
        <v/>
      </c>
      <c r="Q6" s="4">
        <f>'Assumptions'!Q55</f>
        <v/>
      </c>
      <c r="R6" s="4">
        <f>'Assumptions'!R55</f>
        <v/>
      </c>
      <c r="S6" s="4">
        <f>'Assumptions'!S55</f>
        <v/>
      </c>
      <c r="T6" s="4">
        <f>'Assumptions'!T55</f>
        <v/>
      </c>
      <c r="U6" s="4">
        <f>'Assumptions'!U55</f>
        <v/>
      </c>
      <c r="V6" s="4">
        <f>'Assumptions'!V55</f>
        <v/>
      </c>
      <c r="W6" s="4">
        <f>'Assumptions'!W55</f>
        <v/>
      </c>
      <c r="X6" s="4">
        <f>'Assumptions'!X55</f>
        <v/>
      </c>
      <c r="Y6" s="4">
        <f>'Assumptions'!Y55</f>
        <v/>
      </c>
      <c r="Z6" s="4">
        <f>'Assumptions'!Z55</f>
        <v/>
      </c>
      <c r="AA6" s="4">
        <f>'Assumptions'!AA55</f>
        <v/>
      </c>
      <c r="AB6" s="4">
        <f>'Assumptions'!AB55</f>
        <v/>
      </c>
      <c r="AC6" s="4">
        <f>'Assumptions'!AC55</f>
        <v/>
      </c>
      <c r="AD6" s="4">
        <f>'Assumptions'!AD55</f>
        <v/>
      </c>
      <c r="AE6" s="4">
        <f>'Assumptions'!AE55</f>
        <v/>
      </c>
      <c r="AF6" s="4">
        <f>'Assumptions'!AF55</f>
        <v/>
      </c>
      <c r="AG6" s="4">
        <f>'Assumptions'!AG55</f>
        <v/>
      </c>
      <c r="AH6" s="4">
        <f>'Assumptions'!AH55</f>
        <v/>
      </c>
      <c r="AI6" s="4">
        <f>'Assumptions'!AI55</f>
        <v/>
      </c>
      <c r="AJ6" s="4">
        <f>'Assumptions'!AJ55</f>
        <v/>
      </c>
      <c r="AK6" s="4">
        <f>'Assumptions'!AK55</f>
        <v/>
      </c>
      <c r="AL6" s="4">
        <f>'Assumptions'!AL55</f>
        <v/>
      </c>
      <c r="AM6" s="4">
        <f>'Assumptions'!AM55</f>
        <v/>
      </c>
    </row>
    <row r="7" ht="28" customHeight="1">
      <c r="A7" s="4" t="inlineStr">
        <is>
          <t>Period</t>
        </is>
      </c>
      <c r="B7" s="4" t="n"/>
      <c r="C7" s="4" t="n"/>
      <c r="D7" s="136">
        <f>'Assumptions'!D56</f>
        <v/>
      </c>
      <c r="E7" s="136">
        <f>'Assumptions'!E56</f>
        <v/>
      </c>
      <c r="F7" s="136">
        <f>'Assumptions'!F56</f>
        <v/>
      </c>
      <c r="G7" s="136">
        <f>'Assumptions'!G56</f>
        <v/>
      </c>
      <c r="H7" s="136">
        <f>'Assumptions'!H56</f>
        <v/>
      </c>
      <c r="I7" s="136">
        <f>'Assumptions'!I56</f>
        <v/>
      </c>
      <c r="J7" s="136">
        <f>'Assumptions'!J56</f>
        <v/>
      </c>
      <c r="K7" s="136">
        <f>'Assumptions'!K56</f>
        <v/>
      </c>
      <c r="L7" s="136">
        <f>'Assumptions'!L56</f>
        <v/>
      </c>
      <c r="M7" s="136">
        <f>'Assumptions'!M56</f>
        <v/>
      </c>
      <c r="N7" s="136">
        <f>'Assumptions'!N56</f>
        <v/>
      </c>
      <c r="O7" s="136">
        <f>'Assumptions'!O56</f>
        <v/>
      </c>
      <c r="P7" s="136">
        <f>'Assumptions'!P56</f>
        <v/>
      </c>
      <c r="Q7" s="136">
        <f>'Assumptions'!Q56</f>
        <v/>
      </c>
      <c r="R7" s="136">
        <f>'Assumptions'!R56</f>
        <v/>
      </c>
      <c r="S7" s="136">
        <f>'Assumptions'!S56</f>
        <v/>
      </c>
      <c r="T7" s="136">
        <f>'Assumptions'!T56</f>
        <v/>
      </c>
      <c r="U7" s="136">
        <f>'Assumptions'!U56</f>
        <v/>
      </c>
      <c r="V7" s="136">
        <f>'Assumptions'!V56</f>
        <v/>
      </c>
      <c r="W7" s="136">
        <f>'Assumptions'!W56</f>
        <v/>
      </c>
      <c r="X7" s="136">
        <f>'Assumptions'!X56</f>
        <v/>
      </c>
      <c r="Y7" s="136">
        <f>'Assumptions'!Y56</f>
        <v/>
      </c>
      <c r="Z7" s="136">
        <f>'Assumptions'!Z56</f>
        <v/>
      </c>
      <c r="AA7" s="136">
        <f>'Assumptions'!AA56</f>
        <v/>
      </c>
      <c r="AB7" s="136">
        <f>'Assumptions'!AB56</f>
        <v/>
      </c>
      <c r="AC7" s="136">
        <f>'Assumptions'!AC56</f>
        <v/>
      </c>
      <c r="AD7" s="136">
        <f>'Assumptions'!AD56</f>
        <v/>
      </c>
      <c r="AE7" s="136">
        <f>'Assumptions'!AE56</f>
        <v/>
      </c>
      <c r="AF7" s="136">
        <f>'Assumptions'!AF56</f>
        <v/>
      </c>
      <c r="AG7" s="136">
        <f>'Assumptions'!AG56</f>
        <v/>
      </c>
      <c r="AH7" s="136">
        <f>'Assumptions'!AH56</f>
        <v/>
      </c>
      <c r="AI7" s="136">
        <f>'Assumptions'!AI56</f>
        <v/>
      </c>
      <c r="AJ7" s="136">
        <f>'Assumptions'!AJ56</f>
        <v/>
      </c>
      <c r="AK7" s="136">
        <f>'Assumptions'!AK56</f>
        <v/>
      </c>
      <c r="AL7" s="136">
        <f>'Assumptions'!AL56</f>
        <v/>
      </c>
      <c r="AM7" s="136">
        <f>'Assumptions'!AM56</f>
        <v/>
      </c>
    </row>
    <row r="8" ht="36" customHeight="1">
      <c r="A8" s="8" t="inlineStr">
        <is>
          <t>Production and delivery</t>
        </is>
      </c>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c r="AI8" s="8" t="n"/>
      <c r="AJ8" s="8" t="n"/>
      <c r="AK8" s="8" t="n"/>
      <c r="AL8" s="8" t="n"/>
      <c r="AM8" s="8" t="n"/>
    </row>
    <row r="9" ht="28" customHeight="1">
      <c r="A9" s="4" t="inlineStr">
        <is>
          <t>Beds</t>
        </is>
      </c>
      <c r="B9" s="4" t="n"/>
      <c r="C9" s="4" t="n"/>
      <c r="D9" s="137">
        <f>IF(ISNUMBER(INDEX('Cash schedule'!$D$6:$D$185,(MATCH($B$5,'Cases'!$A$6:$A$10,0)-1)*36+1)),INDEX('Cash schedule'!$D$6:$D$185,(MATCH($B$5,'Cases'!$A$6:$A$10,0)-1)*36+1),"")</f>
        <v/>
      </c>
      <c r="E9" s="137">
        <f>IF(ISNUMBER(INDEX('Cash schedule'!$D$6:$D$185,(MATCH($B$5,'Cases'!$A$6:$A$10,0)-1)*36+2)),INDEX('Cash schedule'!$D$6:$D$185,(MATCH($B$5,'Cases'!$A$6:$A$10,0)-1)*36+2),"")</f>
        <v/>
      </c>
      <c r="F9" s="137">
        <f>IF(ISNUMBER(INDEX('Cash schedule'!$D$6:$D$185,(MATCH($B$5,'Cases'!$A$6:$A$10,0)-1)*36+3)),INDEX('Cash schedule'!$D$6:$D$185,(MATCH($B$5,'Cases'!$A$6:$A$10,0)-1)*36+3),"")</f>
        <v/>
      </c>
      <c r="G9" s="137">
        <f>IF(ISNUMBER(INDEX('Cash schedule'!$D$6:$D$185,(MATCH($B$5,'Cases'!$A$6:$A$10,0)-1)*36+4)),INDEX('Cash schedule'!$D$6:$D$185,(MATCH($B$5,'Cases'!$A$6:$A$10,0)-1)*36+4),"")</f>
        <v/>
      </c>
      <c r="H9" s="137">
        <f>IF(ISNUMBER(INDEX('Cash schedule'!$D$6:$D$185,(MATCH($B$5,'Cases'!$A$6:$A$10,0)-1)*36+5)),INDEX('Cash schedule'!$D$6:$D$185,(MATCH($B$5,'Cases'!$A$6:$A$10,0)-1)*36+5),"")</f>
        <v/>
      </c>
      <c r="I9" s="137">
        <f>IF(ISNUMBER(INDEX('Cash schedule'!$D$6:$D$185,(MATCH($B$5,'Cases'!$A$6:$A$10,0)-1)*36+6)),INDEX('Cash schedule'!$D$6:$D$185,(MATCH($B$5,'Cases'!$A$6:$A$10,0)-1)*36+6),"")</f>
        <v/>
      </c>
      <c r="J9" s="137">
        <f>IF(ISNUMBER(INDEX('Cash schedule'!$D$6:$D$185,(MATCH($B$5,'Cases'!$A$6:$A$10,0)-1)*36+7)),INDEX('Cash schedule'!$D$6:$D$185,(MATCH($B$5,'Cases'!$A$6:$A$10,0)-1)*36+7),"")</f>
        <v/>
      </c>
      <c r="K9" s="137">
        <f>IF(ISNUMBER(INDEX('Cash schedule'!$D$6:$D$185,(MATCH($B$5,'Cases'!$A$6:$A$10,0)-1)*36+8)),INDEX('Cash schedule'!$D$6:$D$185,(MATCH($B$5,'Cases'!$A$6:$A$10,0)-1)*36+8),"")</f>
        <v/>
      </c>
      <c r="L9" s="137">
        <f>IF(ISNUMBER(INDEX('Cash schedule'!$D$6:$D$185,(MATCH($B$5,'Cases'!$A$6:$A$10,0)-1)*36+9)),INDEX('Cash schedule'!$D$6:$D$185,(MATCH($B$5,'Cases'!$A$6:$A$10,0)-1)*36+9),"")</f>
        <v/>
      </c>
      <c r="M9" s="137">
        <f>IF(ISNUMBER(INDEX('Cash schedule'!$D$6:$D$185,(MATCH($B$5,'Cases'!$A$6:$A$10,0)-1)*36+10)),INDEX('Cash schedule'!$D$6:$D$185,(MATCH($B$5,'Cases'!$A$6:$A$10,0)-1)*36+10),"")</f>
        <v/>
      </c>
      <c r="N9" s="137">
        <f>IF(ISNUMBER(INDEX('Cash schedule'!$D$6:$D$185,(MATCH($B$5,'Cases'!$A$6:$A$10,0)-1)*36+11)),INDEX('Cash schedule'!$D$6:$D$185,(MATCH($B$5,'Cases'!$A$6:$A$10,0)-1)*36+11),"")</f>
        <v/>
      </c>
      <c r="O9" s="137">
        <f>IF(ISNUMBER(INDEX('Cash schedule'!$D$6:$D$185,(MATCH($B$5,'Cases'!$A$6:$A$10,0)-1)*36+12)),INDEX('Cash schedule'!$D$6:$D$185,(MATCH($B$5,'Cases'!$A$6:$A$10,0)-1)*36+12),"")</f>
        <v/>
      </c>
      <c r="P9" s="137">
        <f>IF(ISNUMBER(INDEX('Cash schedule'!$D$6:$D$185,(MATCH($B$5,'Cases'!$A$6:$A$10,0)-1)*36+13)),INDEX('Cash schedule'!$D$6:$D$185,(MATCH($B$5,'Cases'!$A$6:$A$10,0)-1)*36+13),"")</f>
        <v/>
      </c>
      <c r="Q9" s="137">
        <f>IF(ISNUMBER(INDEX('Cash schedule'!$D$6:$D$185,(MATCH($B$5,'Cases'!$A$6:$A$10,0)-1)*36+14)),INDEX('Cash schedule'!$D$6:$D$185,(MATCH($B$5,'Cases'!$A$6:$A$10,0)-1)*36+14),"")</f>
        <v/>
      </c>
      <c r="R9" s="137">
        <f>IF(ISNUMBER(INDEX('Cash schedule'!$D$6:$D$185,(MATCH($B$5,'Cases'!$A$6:$A$10,0)-1)*36+15)),INDEX('Cash schedule'!$D$6:$D$185,(MATCH($B$5,'Cases'!$A$6:$A$10,0)-1)*36+15),"")</f>
        <v/>
      </c>
      <c r="S9" s="137">
        <f>IF(ISNUMBER(INDEX('Cash schedule'!$D$6:$D$185,(MATCH($B$5,'Cases'!$A$6:$A$10,0)-1)*36+16)),INDEX('Cash schedule'!$D$6:$D$185,(MATCH($B$5,'Cases'!$A$6:$A$10,0)-1)*36+16),"")</f>
        <v/>
      </c>
      <c r="T9" s="137">
        <f>IF(ISNUMBER(INDEX('Cash schedule'!$D$6:$D$185,(MATCH($B$5,'Cases'!$A$6:$A$10,0)-1)*36+17)),INDEX('Cash schedule'!$D$6:$D$185,(MATCH($B$5,'Cases'!$A$6:$A$10,0)-1)*36+17),"")</f>
        <v/>
      </c>
      <c r="U9" s="137">
        <f>IF(ISNUMBER(INDEX('Cash schedule'!$D$6:$D$185,(MATCH($B$5,'Cases'!$A$6:$A$10,0)-1)*36+18)),INDEX('Cash schedule'!$D$6:$D$185,(MATCH($B$5,'Cases'!$A$6:$A$10,0)-1)*36+18),"")</f>
        <v/>
      </c>
      <c r="V9" s="137">
        <f>IF(ISNUMBER(INDEX('Cash schedule'!$D$6:$D$185,(MATCH($B$5,'Cases'!$A$6:$A$10,0)-1)*36+19)),INDEX('Cash schedule'!$D$6:$D$185,(MATCH($B$5,'Cases'!$A$6:$A$10,0)-1)*36+19),"")</f>
        <v/>
      </c>
      <c r="W9" s="137">
        <f>IF(ISNUMBER(INDEX('Cash schedule'!$D$6:$D$185,(MATCH($B$5,'Cases'!$A$6:$A$10,0)-1)*36+20)),INDEX('Cash schedule'!$D$6:$D$185,(MATCH($B$5,'Cases'!$A$6:$A$10,0)-1)*36+20),"")</f>
        <v/>
      </c>
      <c r="X9" s="137">
        <f>IF(ISNUMBER(INDEX('Cash schedule'!$D$6:$D$185,(MATCH($B$5,'Cases'!$A$6:$A$10,0)-1)*36+21)),INDEX('Cash schedule'!$D$6:$D$185,(MATCH($B$5,'Cases'!$A$6:$A$10,0)-1)*36+21),"")</f>
        <v/>
      </c>
      <c r="Y9" s="137">
        <f>IF(ISNUMBER(INDEX('Cash schedule'!$D$6:$D$185,(MATCH($B$5,'Cases'!$A$6:$A$10,0)-1)*36+22)),INDEX('Cash schedule'!$D$6:$D$185,(MATCH($B$5,'Cases'!$A$6:$A$10,0)-1)*36+22),"")</f>
        <v/>
      </c>
      <c r="Z9" s="137">
        <f>IF(ISNUMBER(INDEX('Cash schedule'!$D$6:$D$185,(MATCH($B$5,'Cases'!$A$6:$A$10,0)-1)*36+23)),INDEX('Cash schedule'!$D$6:$D$185,(MATCH($B$5,'Cases'!$A$6:$A$10,0)-1)*36+23),"")</f>
        <v/>
      </c>
      <c r="AA9" s="137">
        <f>IF(ISNUMBER(INDEX('Cash schedule'!$D$6:$D$185,(MATCH($B$5,'Cases'!$A$6:$A$10,0)-1)*36+24)),INDEX('Cash schedule'!$D$6:$D$185,(MATCH($B$5,'Cases'!$A$6:$A$10,0)-1)*36+24),"")</f>
        <v/>
      </c>
      <c r="AB9" s="137">
        <f>IF(ISNUMBER(INDEX('Cash schedule'!$D$6:$D$185,(MATCH($B$5,'Cases'!$A$6:$A$10,0)-1)*36+25)),INDEX('Cash schedule'!$D$6:$D$185,(MATCH($B$5,'Cases'!$A$6:$A$10,0)-1)*36+25),"")</f>
        <v/>
      </c>
      <c r="AC9" s="137">
        <f>IF(ISNUMBER(INDEX('Cash schedule'!$D$6:$D$185,(MATCH($B$5,'Cases'!$A$6:$A$10,0)-1)*36+26)),INDEX('Cash schedule'!$D$6:$D$185,(MATCH($B$5,'Cases'!$A$6:$A$10,0)-1)*36+26),"")</f>
        <v/>
      </c>
      <c r="AD9" s="137">
        <f>IF(ISNUMBER(INDEX('Cash schedule'!$D$6:$D$185,(MATCH($B$5,'Cases'!$A$6:$A$10,0)-1)*36+27)),INDEX('Cash schedule'!$D$6:$D$185,(MATCH($B$5,'Cases'!$A$6:$A$10,0)-1)*36+27),"")</f>
        <v/>
      </c>
      <c r="AE9" s="137">
        <f>IF(ISNUMBER(INDEX('Cash schedule'!$D$6:$D$185,(MATCH($B$5,'Cases'!$A$6:$A$10,0)-1)*36+28)),INDEX('Cash schedule'!$D$6:$D$185,(MATCH($B$5,'Cases'!$A$6:$A$10,0)-1)*36+28),"")</f>
        <v/>
      </c>
      <c r="AF9" s="137">
        <f>IF(ISNUMBER(INDEX('Cash schedule'!$D$6:$D$185,(MATCH($B$5,'Cases'!$A$6:$A$10,0)-1)*36+29)),INDEX('Cash schedule'!$D$6:$D$185,(MATCH($B$5,'Cases'!$A$6:$A$10,0)-1)*36+29),"")</f>
        <v/>
      </c>
      <c r="AG9" s="137">
        <f>IF(ISNUMBER(INDEX('Cash schedule'!$D$6:$D$185,(MATCH($B$5,'Cases'!$A$6:$A$10,0)-1)*36+30)),INDEX('Cash schedule'!$D$6:$D$185,(MATCH($B$5,'Cases'!$A$6:$A$10,0)-1)*36+30),"")</f>
        <v/>
      </c>
      <c r="AH9" s="137">
        <f>IF(ISNUMBER(INDEX('Cash schedule'!$D$6:$D$185,(MATCH($B$5,'Cases'!$A$6:$A$10,0)-1)*36+31)),INDEX('Cash schedule'!$D$6:$D$185,(MATCH($B$5,'Cases'!$A$6:$A$10,0)-1)*36+31),"")</f>
        <v/>
      </c>
      <c r="AI9" s="137">
        <f>IF(ISNUMBER(INDEX('Cash schedule'!$D$6:$D$185,(MATCH($B$5,'Cases'!$A$6:$A$10,0)-1)*36+32)),INDEX('Cash schedule'!$D$6:$D$185,(MATCH($B$5,'Cases'!$A$6:$A$10,0)-1)*36+32),"")</f>
        <v/>
      </c>
      <c r="AJ9" s="137">
        <f>IF(ISNUMBER(INDEX('Cash schedule'!$D$6:$D$185,(MATCH($B$5,'Cases'!$A$6:$A$10,0)-1)*36+33)),INDEX('Cash schedule'!$D$6:$D$185,(MATCH($B$5,'Cases'!$A$6:$A$10,0)-1)*36+33),"")</f>
        <v/>
      </c>
      <c r="AK9" s="137">
        <f>IF(ISNUMBER(INDEX('Cash schedule'!$D$6:$D$185,(MATCH($B$5,'Cases'!$A$6:$A$10,0)-1)*36+34)),INDEX('Cash schedule'!$D$6:$D$185,(MATCH($B$5,'Cases'!$A$6:$A$10,0)-1)*36+34),"")</f>
        <v/>
      </c>
      <c r="AL9" s="137">
        <f>IF(ISNUMBER(INDEX('Cash schedule'!$D$6:$D$185,(MATCH($B$5,'Cases'!$A$6:$A$10,0)-1)*36+35)),INDEX('Cash schedule'!$D$6:$D$185,(MATCH($B$5,'Cases'!$A$6:$A$10,0)-1)*36+35),"")</f>
        <v/>
      </c>
      <c r="AM9" s="137">
        <f>IF(ISNUMBER(INDEX('Cash schedule'!$D$6:$D$185,(MATCH($B$5,'Cases'!$A$6:$A$10,0)-1)*36+36)),INDEX('Cash schedule'!$D$6:$D$185,(MATCH($B$5,'Cases'!$A$6:$A$10,0)-1)*36+36),"")</f>
        <v/>
      </c>
    </row>
    <row r="10" ht="28" customHeight="1">
      <c r="A10" s="4" t="inlineStr">
        <is>
          <t>Goods deliveries</t>
        </is>
      </c>
      <c r="B10" s="4" t="n"/>
      <c r="C10" s="4" t="n"/>
      <c r="D10" s="137">
        <f>IF(ISNUMBER(INDEX('Cash schedule'!$E$6:$E$185,(MATCH($B$5,'Cases'!$A$6:$A$10,0)-1)*36+1)),INDEX('Cash schedule'!$E$6:$E$185,(MATCH($B$5,'Cases'!$A$6:$A$10,0)-1)*36+1),"")</f>
        <v/>
      </c>
      <c r="E10" s="137">
        <f>IF(ISNUMBER(INDEX('Cash schedule'!$E$6:$E$185,(MATCH($B$5,'Cases'!$A$6:$A$10,0)-1)*36+2)),INDEX('Cash schedule'!$E$6:$E$185,(MATCH($B$5,'Cases'!$A$6:$A$10,0)-1)*36+2),"")</f>
        <v/>
      </c>
      <c r="F10" s="137">
        <f>IF(ISNUMBER(INDEX('Cash schedule'!$E$6:$E$185,(MATCH($B$5,'Cases'!$A$6:$A$10,0)-1)*36+3)),INDEX('Cash schedule'!$E$6:$E$185,(MATCH($B$5,'Cases'!$A$6:$A$10,0)-1)*36+3),"")</f>
        <v/>
      </c>
      <c r="G10" s="137">
        <f>IF(ISNUMBER(INDEX('Cash schedule'!$E$6:$E$185,(MATCH($B$5,'Cases'!$A$6:$A$10,0)-1)*36+4)),INDEX('Cash schedule'!$E$6:$E$185,(MATCH($B$5,'Cases'!$A$6:$A$10,0)-1)*36+4),"")</f>
        <v/>
      </c>
      <c r="H10" s="137">
        <f>IF(ISNUMBER(INDEX('Cash schedule'!$E$6:$E$185,(MATCH($B$5,'Cases'!$A$6:$A$10,0)-1)*36+5)),INDEX('Cash schedule'!$E$6:$E$185,(MATCH($B$5,'Cases'!$A$6:$A$10,0)-1)*36+5),"")</f>
        <v/>
      </c>
      <c r="I10" s="137">
        <f>IF(ISNUMBER(INDEX('Cash schedule'!$E$6:$E$185,(MATCH($B$5,'Cases'!$A$6:$A$10,0)-1)*36+6)),INDEX('Cash schedule'!$E$6:$E$185,(MATCH($B$5,'Cases'!$A$6:$A$10,0)-1)*36+6),"")</f>
        <v/>
      </c>
      <c r="J10" s="137">
        <f>IF(ISNUMBER(INDEX('Cash schedule'!$E$6:$E$185,(MATCH($B$5,'Cases'!$A$6:$A$10,0)-1)*36+7)),INDEX('Cash schedule'!$E$6:$E$185,(MATCH($B$5,'Cases'!$A$6:$A$10,0)-1)*36+7),"")</f>
        <v/>
      </c>
      <c r="K10" s="137">
        <f>IF(ISNUMBER(INDEX('Cash schedule'!$E$6:$E$185,(MATCH($B$5,'Cases'!$A$6:$A$10,0)-1)*36+8)),INDEX('Cash schedule'!$E$6:$E$185,(MATCH($B$5,'Cases'!$A$6:$A$10,0)-1)*36+8),"")</f>
        <v/>
      </c>
      <c r="L10" s="137">
        <f>IF(ISNUMBER(INDEX('Cash schedule'!$E$6:$E$185,(MATCH($B$5,'Cases'!$A$6:$A$10,0)-1)*36+9)),INDEX('Cash schedule'!$E$6:$E$185,(MATCH($B$5,'Cases'!$A$6:$A$10,0)-1)*36+9),"")</f>
        <v/>
      </c>
      <c r="M10" s="137">
        <f>IF(ISNUMBER(INDEX('Cash schedule'!$E$6:$E$185,(MATCH($B$5,'Cases'!$A$6:$A$10,0)-1)*36+10)),INDEX('Cash schedule'!$E$6:$E$185,(MATCH($B$5,'Cases'!$A$6:$A$10,0)-1)*36+10),"")</f>
        <v/>
      </c>
      <c r="N10" s="137">
        <f>IF(ISNUMBER(INDEX('Cash schedule'!$E$6:$E$185,(MATCH($B$5,'Cases'!$A$6:$A$10,0)-1)*36+11)),INDEX('Cash schedule'!$E$6:$E$185,(MATCH($B$5,'Cases'!$A$6:$A$10,0)-1)*36+11),"")</f>
        <v/>
      </c>
      <c r="O10" s="137">
        <f>IF(ISNUMBER(INDEX('Cash schedule'!$E$6:$E$185,(MATCH($B$5,'Cases'!$A$6:$A$10,0)-1)*36+12)),INDEX('Cash schedule'!$E$6:$E$185,(MATCH($B$5,'Cases'!$A$6:$A$10,0)-1)*36+12),"")</f>
        <v/>
      </c>
      <c r="P10" s="137">
        <f>IF(ISNUMBER(INDEX('Cash schedule'!$E$6:$E$185,(MATCH($B$5,'Cases'!$A$6:$A$10,0)-1)*36+13)),INDEX('Cash schedule'!$E$6:$E$185,(MATCH($B$5,'Cases'!$A$6:$A$10,0)-1)*36+13),"")</f>
        <v/>
      </c>
      <c r="Q10" s="137">
        <f>IF(ISNUMBER(INDEX('Cash schedule'!$E$6:$E$185,(MATCH($B$5,'Cases'!$A$6:$A$10,0)-1)*36+14)),INDEX('Cash schedule'!$E$6:$E$185,(MATCH($B$5,'Cases'!$A$6:$A$10,0)-1)*36+14),"")</f>
        <v/>
      </c>
      <c r="R10" s="137">
        <f>IF(ISNUMBER(INDEX('Cash schedule'!$E$6:$E$185,(MATCH($B$5,'Cases'!$A$6:$A$10,0)-1)*36+15)),INDEX('Cash schedule'!$E$6:$E$185,(MATCH($B$5,'Cases'!$A$6:$A$10,0)-1)*36+15),"")</f>
        <v/>
      </c>
      <c r="S10" s="137">
        <f>IF(ISNUMBER(INDEX('Cash schedule'!$E$6:$E$185,(MATCH($B$5,'Cases'!$A$6:$A$10,0)-1)*36+16)),INDEX('Cash schedule'!$E$6:$E$185,(MATCH($B$5,'Cases'!$A$6:$A$10,0)-1)*36+16),"")</f>
        <v/>
      </c>
      <c r="T10" s="137">
        <f>IF(ISNUMBER(INDEX('Cash schedule'!$E$6:$E$185,(MATCH($B$5,'Cases'!$A$6:$A$10,0)-1)*36+17)),INDEX('Cash schedule'!$E$6:$E$185,(MATCH($B$5,'Cases'!$A$6:$A$10,0)-1)*36+17),"")</f>
        <v/>
      </c>
      <c r="U10" s="137">
        <f>IF(ISNUMBER(INDEX('Cash schedule'!$E$6:$E$185,(MATCH($B$5,'Cases'!$A$6:$A$10,0)-1)*36+18)),INDEX('Cash schedule'!$E$6:$E$185,(MATCH($B$5,'Cases'!$A$6:$A$10,0)-1)*36+18),"")</f>
        <v/>
      </c>
      <c r="V10" s="137">
        <f>IF(ISNUMBER(INDEX('Cash schedule'!$E$6:$E$185,(MATCH($B$5,'Cases'!$A$6:$A$10,0)-1)*36+19)),INDEX('Cash schedule'!$E$6:$E$185,(MATCH($B$5,'Cases'!$A$6:$A$10,0)-1)*36+19),"")</f>
        <v/>
      </c>
      <c r="W10" s="137">
        <f>IF(ISNUMBER(INDEX('Cash schedule'!$E$6:$E$185,(MATCH($B$5,'Cases'!$A$6:$A$10,0)-1)*36+20)),INDEX('Cash schedule'!$E$6:$E$185,(MATCH($B$5,'Cases'!$A$6:$A$10,0)-1)*36+20),"")</f>
        <v/>
      </c>
      <c r="X10" s="137">
        <f>IF(ISNUMBER(INDEX('Cash schedule'!$E$6:$E$185,(MATCH($B$5,'Cases'!$A$6:$A$10,0)-1)*36+21)),INDEX('Cash schedule'!$E$6:$E$185,(MATCH($B$5,'Cases'!$A$6:$A$10,0)-1)*36+21),"")</f>
        <v/>
      </c>
      <c r="Y10" s="137">
        <f>IF(ISNUMBER(INDEX('Cash schedule'!$E$6:$E$185,(MATCH($B$5,'Cases'!$A$6:$A$10,0)-1)*36+22)),INDEX('Cash schedule'!$E$6:$E$185,(MATCH($B$5,'Cases'!$A$6:$A$10,0)-1)*36+22),"")</f>
        <v/>
      </c>
      <c r="Z10" s="137">
        <f>IF(ISNUMBER(INDEX('Cash schedule'!$E$6:$E$185,(MATCH($B$5,'Cases'!$A$6:$A$10,0)-1)*36+23)),INDEX('Cash schedule'!$E$6:$E$185,(MATCH($B$5,'Cases'!$A$6:$A$10,0)-1)*36+23),"")</f>
        <v/>
      </c>
      <c r="AA10" s="137">
        <f>IF(ISNUMBER(INDEX('Cash schedule'!$E$6:$E$185,(MATCH($B$5,'Cases'!$A$6:$A$10,0)-1)*36+24)),INDEX('Cash schedule'!$E$6:$E$185,(MATCH($B$5,'Cases'!$A$6:$A$10,0)-1)*36+24),"")</f>
        <v/>
      </c>
      <c r="AB10" s="137">
        <f>IF(ISNUMBER(INDEX('Cash schedule'!$E$6:$E$185,(MATCH($B$5,'Cases'!$A$6:$A$10,0)-1)*36+25)),INDEX('Cash schedule'!$E$6:$E$185,(MATCH($B$5,'Cases'!$A$6:$A$10,0)-1)*36+25),"")</f>
        <v/>
      </c>
      <c r="AC10" s="137">
        <f>IF(ISNUMBER(INDEX('Cash schedule'!$E$6:$E$185,(MATCH($B$5,'Cases'!$A$6:$A$10,0)-1)*36+26)),INDEX('Cash schedule'!$E$6:$E$185,(MATCH($B$5,'Cases'!$A$6:$A$10,0)-1)*36+26),"")</f>
        <v/>
      </c>
      <c r="AD10" s="137">
        <f>IF(ISNUMBER(INDEX('Cash schedule'!$E$6:$E$185,(MATCH($B$5,'Cases'!$A$6:$A$10,0)-1)*36+27)),INDEX('Cash schedule'!$E$6:$E$185,(MATCH($B$5,'Cases'!$A$6:$A$10,0)-1)*36+27),"")</f>
        <v/>
      </c>
      <c r="AE10" s="137">
        <f>IF(ISNUMBER(INDEX('Cash schedule'!$E$6:$E$185,(MATCH($B$5,'Cases'!$A$6:$A$10,0)-1)*36+28)),INDEX('Cash schedule'!$E$6:$E$185,(MATCH($B$5,'Cases'!$A$6:$A$10,0)-1)*36+28),"")</f>
        <v/>
      </c>
      <c r="AF10" s="137">
        <f>IF(ISNUMBER(INDEX('Cash schedule'!$E$6:$E$185,(MATCH($B$5,'Cases'!$A$6:$A$10,0)-1)*36+29)),INDEX('Cash schedule'!$E$6:$E$185,(MATCH($B$5,'Cases'!$A$6:$A$10,0)-1)*36+29),"")</f>
        <v/>
      </c>
      <c r="AG10" s="137">
        <f>IF(ISNUMBER(INDEX('Cash schedule'!$E$6:$E$185,(MATCH($B$5,'Cases'!$A$6:$A$10,0)-1)*36+30)),INDEX('Cash schedule'!$E$6:$E$185,(MATCH($B$5,'Cases'!$A$6:$A$10,0)-1)*36+30),"")</f>
        <v/>
      </c>
      <c r="AH10" s="137">
        <f>IF(ISNUMBER(INDEX('Cash schedule'!$E$6:$E$185,(MATCH($B$5,'Cases'!$A$6:$A$10,0)-1)*36+31)),INDEX('Cash schedule'!$E$6:$E$185,(MATCH($B$5,'Cases'!$A$6:$A$10,0)-1)*36+31),"")</f>
        <v/>
      </c>
      <c r="AI10" s="137">
        <f>IF(ISNUMBER(INDEX('Cash schedule'!$E$6:$E$185,(MATCH($B$5,'Cases'!$A$6:$A$10,0)-1)*36+32)),INDEX('Cash schedule'!$E$6:$E$185,(MATCH($B$5,'Cases'!$A$6:$A$10,0)-1)*36+32),"")</f>
        <v/>
      </c>
      <c r="AJ10" s="137">
        <f>IF(ISNUMBER(INDEX('Cash schedule'!$E$6:$E$185,(MATCH($B$5,'Cases'!$A$6:$A$10,0)-1)*36+33)),INDEX('Cash schedule'!$E$6:$E$185,(MATCH($B$5,'Cases'!$A$6:$A$10,0)-1)*36+33),"")</f>
        <v/>
      </c>
      <c r="AK10" s="137">
        <f>IF(ISNUMBER(INDEX('Cash schedule'!$E$6:$E$185,(MATCH($B$5,'Cases'!$A$6:$A$10,0)-1)*36+34)),INDEX('Cash schedule'!$E$6:$E$185,(MATCH($B$5,'Cases'!$A$6:$A$10,0)-1)*36+34),"")</f>
        <v/>
      </c>
      <c r="AL10" s="137">
        <f>IF(ISNUMBER(INDEX('Cash schedule'!$E$6:$E$185,(MATCH($B$5,'Cases'!$A$6:$A$10,0)-1)*36+35)),INDEX('Cash schedule'!$E$6:$E$185,(MATCH($B$5,'Cases'!$A$6:$A$10,0)-1)*36+35),"")</f>
        <v/>
      </c>
      <c r="AM10" s="137">
        <f>IF(ISNUMBER(INDEX('Cash schedule'!$E$6:$E$185,(MATCH($B$5,'Cases'!$A$6:$A$10,0)-1)*36+36)),INDEX('Cash schedule'!$E$6:$E$185,(MATCH($B$5,'Cases'!$A$6:$A$10,0)-1)*36+36),"")</f>
        <v/>
      </c>
    </row>
    <row r="11" ht="28" customHeight="1">
      <c r="A11" s="4" t="inlineStr">
        <is>
          <t>Community deliveries</t>
        </is>
      </c>
      <c r="B11" s="4" t="n"/>
      <c r="C11" s="4" t="n"/>
      <c r="D11" s="137">
        <f>IF(ISNUMBER(INDEX('Cash schedule'!$F$6:$F$185,(MATCH($B$5,'Cases'!$A$6:$A$10,0)-1)*36+1)),INDEX('Cash schedule'!$F$6:$F$185,(MATCH($B$5,'Cases'!$A$6:$A$10,0)-1)*36+1),"")</f>
        <v/>
      </c>
      <c r="E11" s="137">
        <f>IF(ISNUMBER(INDEX('Cash schedule'!$F$6:$F$185,(MATCH($B$5,'Cases'!$A$6:$A$10,0)-1)*36+2)),INDEX('Cash schedule'!$F$6:$F$185,(MATCH($B$5,'Cases'!$A$6:$A$10,0)-1)*36+2),"")</f>
        <v/>
      </c>
      <c r="F11" s="137">
        <f>IF(ISNUMBER(INDEX('Cash schedule'!$F$6:$F$185,(MATCH($B$5,'Cases'!$A$6:$A$10,0)-1)*36+3)),INDEX('Cash schedule'!$F$6:$F$185,(MATCH($B$5,'Cases'!$A$6:$A$10,0)-1)*36+3),"")</f>
        <v/>
      </c>
      <c r="G11" s="137">
        <f>IF(ISNUMBER(INDEX('Cash schedule'!$F$6:$F$185,(MATCH($B$5,'Cases'!$A$6:$A$10,0)-1)*36+4)),INDEX('Cash schedule'!$F$6:$F$185,(MATCH($B$5,'Cases'!$A$6:$A$10,0)-1)*36+4),"")</f>
        <v/>
      </c>
      <c r="H11" s="137">
        <f>IF(ISNUMBER(INDEX('Cash schedule'!$F$6:$F$185,(MATCH($B$5,'Cases'!$A$6:$A$10,0)-1)*36+5)),INDEX('Cash schedule'!$F$6:$F$185,(MATCH($B$5,'Cases'!$A$6:$A$10,0)-1)*36+5),"")</f>
        <v/>
      </c>
      <c r="I11" s="137">
        <f>IF(ISNUMBER(INDEX('Cash schedule'!$F$6:$F$185,(MATCH($B$5,'Cases'!$A$6:$A$10,0)-1)*36+6)),INDEX('Cash schedule'!$F$6:$F$185,(MATCH($B$5,'Cases'!$A$6:$A$10,0)-1)*36+6),"")</f>
        <v/>
      </c>
      <c r="J11" s="137">
        <f>IF(ISNUMBER(INDEX('Cash schedule'!$F$6:$F$185,(MATCH($B$5,'Cases'!$A$6:$A$10,0)-1)*36+7)),INDEX('Cash schedule'!$F$6:$F$185,(MATCH($B$5,'Cases'!$A$6:$A$10,0)-1)*36+7),"")</f>
        <v/>
      </c>
      <c r="K11" s="137">
        <f>IF(ISNUMBER(INDEX('Cash schedule'!$F$6:$F$185,(MATCH($B$5,'Cases'!$A$6:$A$10,0)-1)*36+8)),INDEX('Cash schedule'!$F$6:$F$185,(MATCH($B$5,'Cases'!$A$6:$A$10,0)-1)*36+8),"")</f>
        <v/>
      </c>
      <c r="L11" s="137">
        <f>IF(ISNUMBER(INDEX('Cash schedule'!$F$6:$F$185,(MATCH($B$5,'Cases'!$A$6:$A$10,0)-1)*36+9)),INDEX('Cash schedule'!$F$6:$F$185,(MATCH($B$5,'Cases'!$A$6:$A$10,0)-1)*36+9),"")</f>
        <v/>
      </c>
      <c r="M11" s="137">
        <f>IF(ISNUMBER(INDEX('Cash schedule'!$F$6:$F$185,(MATCH($B$5,'Cases'!$A$6:$A$10,0)-1)*36+10)),INDEX('Cash schedule'!$F$6:$F$185,(MATCH($B$5,'Cases'!$A$6:$A$10,0)-1)*36+10),"")</f>
        <v/>
      </c>
      <c r="N11" s="137">
        <f>IF(ISNUMBER(INDEX('Cash schedule'!$F$6:$F$185,(MATCH($B$5,'Cases'!$A$6:$A$10,0)-1)*36+11)),INDEX('Cash schedule'!$F$6:$F$185,(MATCH($B$5,'Cases'!$A$6:$A$10,0)-1)*36+11),"")</f>
        <v/>
      </c>
      <c r="O11" s="137">
        <f>IF(ISNUMBER(INDEX('Cash schedule'!$F$6:$F$185,(MATCH($B$5,'Cases'!$A$6:$A$10,0)-1)*36+12)),INDEX('Cash schedule'!$F$6:$F$185,(MATCH($B$5,'Cases'!$A$6:$A$10,0)-1)*36+12),"")</f>
        <v/>
      </c>
      <c r="P11" s="137">
        <f>IF(ISNUMBER(INDEX('Cash schedule'!$F$6:$F$185,(MATCH($B$5,'Cases'!$A$6:$A$10,0)-1)*36+13)),INDEX('Cash schedule'!$F$6:$F$185,(MATCH($B$5,'Cases'!$A$6:$A$10,0)-1)*36+13),"")</f>
        <v/>
      </c>
      <c r="Q11" s="137">
        <f>IF(ISNUMBER(INDEX('Cash schedule'!$F$6:$F$185,(MATCH($B$5,'Cases'!$A$6:$A$10,0)-1)*36+14)),INDEX('Cash schedule'!$F$6:$F$185,(MATCH($B$5,'Cases'!$A$6:$A$10,0)-1)*36+14),"")</f>
        <v/>
      </c>
      <c r="R11" s="137">
        <f>IF(ISNUMBER(INDEX('Cash schedule'!$F$6:$F$185,(MATCH($B$5,'Cases'!$A$6:$A$10,0)-1)*36+15)),INDEX('Cash schedule'!$F$6:$F$185,(MATCH($B$5,'Cases'!$A$6:$A$10,0)-1)*36+15),"")</f>
        <v/>
      </c>
      <c r="S11" s="137">
        <f>IF(ISNUMBER(INDEX('Cash schedule'!$F$6:$F$185,(MATCH($B$5,'Cases'!$A$6:$A$10,0)-1)*36+16)),INDEX('Cash schedule'!$F$6:$F$185,(MATCH($B$5,'Cases'!$A$6:$A$10,0)-1)*36+16),"")</f>
        <v/>
      </c>
      <c r="T11" s="137">
        <f>IF(ISNUMBER(INDEX('Cash schedule'!$F$6:$F$185,(MATCH($B$5,'Cases'!$A$6:$A$10,0)-1)*36+17)),INDEX('Cash schedule'!$F$6:$F$185,(MATCH($B$5,'Cases'!$A$6:$A$10,0)-1)*36+17),"")</f>
        <v/>
      </c>
      <c r="U11" s="137">
        <f>IF(ISNUMBER(INDEX('Cash schedule'!$F$6:$F$185,(MATCH($B$5,'Cases'!$A$6:$A$10,0)-1)*36+18)),INDEX('Cash schedule'!$F$6:$F$185,(MATCH($B$5,'Cases'!$A$6:$A$10,0)-1)*36+18),"")</f>
        <v/>
      </c>
      <c r="V11" s="137">
        <f>IF(ISNUMBER(INDEX('Cash schedule'!$F$6:$F$185,(MATCH($B$5,'Cases'!$A$6:$A$10,0)-1)*36+19)),INDEX('Cash schedule'!$F$6:$F$185,(MATCH($B$5,'Cases'!$A$6:$A$10,0)-1)*36+19),"")</f>
        <v/>
      </c>
      <c r="W11" s="137">
        <f>IF(ISNUMBER(INDEX('Cash schedule'!$F$6:$F$185,(MATCH($B$5,'Cases'!$A$6:$A$10,0)-1)*36+20)),INDEX('Cash schedule'!$F$6:$F$185,(MATCH($B$5,'Cases'!$A$6:$A$10,0)-1)*36+20),"")</f>
        <v/>
      </c>
      <c r="X11" s="137">
        <f>IF(ISNUMBER(INDEX('Cash schedule'!$F$6:$F$185,(MATCH($B$5,'Cases'!$A$6:$A$10,0)-1)*36+21)),INDEX('Cash schedule'!$F$6:$F$185,(MATCH($B$5,'Cases'!$A$6:$A$10,0)-1)*36+21),"")</f>
        <v/>
      </c>
      <c r="Y11" s="137">
        <f>IF(ISNUMBER(INDEX('Cash schedule'!$F$6:$F$185,(MATCH($B$5,'Cases'!$A$6:$A$10,0)-1)*36+22)),INDEX('Cash schedule'!$F$6:$F$185,(MATCH($B$5,'Cases'!$A$6:$A$10,0)-1)*36+22),"")</f>
        <v/>
      </c>
      <c r="Z11" s="137">
        <f>IF(ISNUMBER(INDEX('Cash schedule'!$F$6:$F$185,(MATCH($B$5,'Cases'!$A$6:$A$10,0)-1)*36+23)),INDEX('Cash schedule'!$F$6:$F$185,(MATCH($B$5,'Cases'!$A$6:$A$10,0)-1)*36+23),"")</f>
        <v/>
      </c>
      <c r="AA11" s="137">
        <f>IF(ISNUMBER(INDEX('Cash schedule'!$F$6:$F$185,(MATCH($B$5,'Cases'!$A$6:$A$10,0)-1)*36+24)),INDEX('Cash schedule'!$F$6:$F$185,(MATCH($B$5,'Cases'!$A$6:$A$10,0)-1)*36+24),"")</f>
        <v/>
      </c>
      <c r="AB11" s="137">
        <f>IF(ISNUMBER(INDEX('Cash schedule'!$F$6:$F$185,(MATCH($B$5,'Cases'!$A$6:$A$10,0)-1)*36+25)),INDEX('Cash schedule'!$F$6:$F$185,(MATCH($B$5,'Cases'!$A$6:$A$10,0)-1)*36+25),"")</f>
        <v/>
      </c>
      <c r="AC11" s="137">
        <f>IF(ISNUMBER(INDEX('Cash schedule'!$F$6:$F$185,(MATCH($B$5,'Cases'!$A$6:$A$10,0)-1)*36+26)),INDEX('Cash schedule'!$F$6:$F$185,(MATCH($B$5,'Cases'!$A$6:$A$10,0)-1)*36+26),"")</f>
        <v/>
      </c>
      <c r="AD11" s="137">
        <f>IF(ISNUMBER(INDEX('Cash schedule'!$F$6:$F$185,(MATCH($B$5,'Cases'!$A$6:$A$10,0)-1)*36+27)),INDEX('Cash schedule'!$F$6:$F$185,(MATCH($B$5,'Cases'!$A$6:$A$10,0)-1)*36+27),"")</f>
        <v/>
      </c>
      <c r="AE11" s="137">
        <f>IF(ISNUMBER(INDEX('Cash schedule'!$F$6:$F$185,(MATCH($B$5,'Cases'!$A$6:$A$10,0)-1)*36+28)),INDEX('Cash schedule'!$F$6:$F$185,(MATCH($B$5,'Cases'!$A$6:$A$10,0)-1)*36+28),"")</f>
        <v/>
      </c>
      <c r="AF11" s="137">
        <f>IF(ISNUMBER(INDEX('Cash schedule'!$F$6:$F$185,(MATCH($B$5,'Cases'!$A$6:$A$10,0)-1)*36+29)),INDEX('Cash schedule'!$F$6:$F$185,(MATCH($B$5,'Cases'!$A$6:$A$10,0)-1)*36+29),"")</f>
        <v/>
      </c>
      <c r="AG11" s="137">
        <f>IF(ISNUMBER(INDEX('Cash schedule'!$F$6:$F$185,(MATCH($B$5,'Cases'!$A$6:$A$10,0)-1)*36+30)),INDEX('Cash schedule'!$F$6:$F$185,(MATCH($B$5,'Cases'!$A$6:$A$10,0)-1)*36+30),"")</f>
        <v/>
      </c>
      <c r="AH11" s="137">
        <f>IF(ISNUMBER(INDEX('Cash schedule'!$F$6:$F$185,(MATCH($B$5,'Cases'!$A$6:$A$10,0)-1)*36+31)),INDEX('Cash schedule'!$F$6:$F$185,(MATCH($B$5,'Cases'!$A$6:$A$10,0)-1)*36+31),"")</f>
        <v/>
      </c>
      <c r="AI11" s="137">
        <f>IF(ISNUMBER(INDEX('Cash schedule'!$F$6:$F$185,(MATCH($B$5,'Cases'!$A$6:$A$10,0)-1)*36+32)),INDEX('Cash schedule'!$F$6:$F$185,(MATCH($B$5,'Cases'!$A$6:$A$10,0)-1)*36+32),"")</f>
        <v/>
      </c>
      <c r="AJ11" s="137">
        <f>IF(ISNUMBER(INDEX('Cash schedule'!$F$6:$F$185,(MATCH($B$5,'Cases'!$A$6:$A$10,0)-1)*36+33)),INDEX('Cash schedule'!$F$6:$F$185,(MATCH($B$5,'Cases'!$A$6:$A$10,0)-1)*36+33),"")</f>
        <v/>
      </c>
      <c r="AK11" s="137">
        <f>IF(ISNUMBER(INDEX('Cash schedule'!$F$6:$F$185,(MATCH($B$5,'Cases'!$A$6:$A$10,0)-1)*36+34)),INDEX('Cash schedule'!$F$6:$F$185,(MATCH($B$5,'Cases'!$A$6:$A$10,0)-1)*36+34),"")</f>
        <v/>
      </c>
      <c r="AL11" s="137">
        <f>IF(ISNUMBER(INDEX('Cash schedule'!$F$6:$F$185,(MATCH($B$5,'Cases'!$A$6:$A$10,0)-1)*36+35)),INDEX('Cash schedule'!$F$6:$F$185,(MATCH($B$5,'Cases'!$A$6:$A$10,0)-1)*36+35),"")</f>
        <v/>
      </c>
      <c r="AM11" s="137">
        <f>IF(ISNUMBER(INDEX('Cash schedule'!$F$6:$F$185,(MATCH($B$5,'Cases'!$A$6:$A$10,0)-1)*36+36)),INDEX('Cash schedule'!$F$6:$F$185,(MATCH($B$5,'Cases'!$A$6:$A$10,0)-1)*36+36),"")</f>
        <v/>
      </c>
    </row>
    <row r="12" ht="28" customHeight="1">
      <c r="A12" s="4" t="n"/>
      <c r="B12" s="4" t="n"/>
      <c r="C12" s="4" t="n"/>
      <c r="D12" s="137" t="n"/>
      <c r="E12" s="137" t="n"/>
      <c r="F12" s="137" t="n"/>
      <c r="G12" s="137" t="n"/>
      <c r="H12" s="137" t="n"/>
      <c r="I12" s="137" t="n"/>
      <c r="J12" s="137" t="n"/>
      <c r="K12" s="137" t="n"/>
      <c r="L12" s="137" t="n"/>
      <c r="M12" s="137" t="n"/>
      <c r="N12" s="137" t="n"/>
      <c r="O12" s="137" t="n"/>
      <c r="P12" s="137" t="n"/>
      <c r="Q12" s="137" t="n"/>
      <c r="R12" s="137" t="n"/>
      <c r="S12" s="137" t="n"/>
      <c r="T12" s="137" t="n"/>
      <c r="U12" s="137" t="n"/>
      <c r="V12" s="137" t="n"/>
      <c r="W12" s="137" t="n"/>
      <c r="X12" s="137" t="n"/>
      <c r="Y12" s="137" t="n"/>
      <c r="Z12" s="137" t="n"/>
      <c r="AA12" s="137" t="n"/>
      <c r="AB12" s="137" t="n"/>
      <c r="AC12" s="137" t="n"/>
      <c r="AD12" s="137" t="n"/>
      <c r="AE12" s="137" t="n"/>
      <c r="AF12" s="137" t="n"/>
      <c r="AG12" s="137" t="n"/>
      <c r="AH12" s="137" t="n"/>
      <c r="AI12" s="137" t="n"/>
      <c r="AJ12" s="137" t="n"/>
      <c r="AK12" s="137" t="n"/>
      <c r="AL12" s="137" t="n"/>
      <c r="AM12" s="137" t="n"/>
    </row>
    <row r="13" ht="36" customHeight="1">
      <c r="A13" s="8" t="inlineStr">
        <is>
          <t>Operating and capital costs</t>
        </is>
      </c>
      <c r="B13" s="8" t="n"/>
      <c r="C13" s="8" t="n"/>
      <c r="D13" s="140" t="n"/>
      <c r="E13" s="140" t="n"/>
      <c r="F13" s="140" t="n"/>
      <c r="G13" s="140" t="n"/>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c r="AA13" s="140" t="n"/>
      <c r="AB13" s="140" t="n"/>
      <c r="AC13" s="140" t="n"/>
      <c r="AD13" s="140" t="n"/>
      <c r="AE13" s="140" t="n"/>
      <c r="AF13" s="140" t="n"/>
      <c r="AG13" s="140" t="n"/>
      <c r="AH13" s="140" t="n"/>
      <c r="AI13" s="140" t="n"/>
      <c r="AJ13" s="140" t="n"/>
      <c r="AK13" s="140" t="n"/>
      <c r="AL13" s="140" t="n"/>
      <c r="AM13" s="140" t="n"/>
    </row>
    <row r="14" ht="28" customHeight="1">
      <c r="A14" s="4" t="inlineStr">
        <is>
          <t>Making cash</t>
        </is>
      </c>
      <c r="B14" s="4" t="n"/>
      <c r="C14" s="4" t="n"/>
      <c r="D14" s="137">
        <f>IF(ISNUMBER(INDEX('Cash schedule'!$G$6:$G$185,(MATCH($B$5,'Cases'!$A$6:$A$10,0)-1)*36+1)),INDEX('Cash schedule'!$G$6:$G$185,(MATCH($B$5,'Cases'!$A$6:$A$10,0)-1)*36+1),"")</f>
        <v/>
      </c>
      <c r="E14" s="137">
        <f>IF(ISNUMBER(INDEX('Cash schedule'!$G$6:$G$185,(MATCH($B$5,'Cases'!$A$6:$A$10,0)-1)*36+2)),INDEX('Cash schedule'!$G$6:$G$185,(MATCH($B$5,'Cases'!$A$6:$A$10,0)-1)*36+2),"")</f>
        <v/>
      </c>
      <c r="F14" s="137">
        <f>IF(ISNUMBER(INDEX('Cash schedule'!$G$6:$G$185,(MATCH($B$5,'Cases'!$A$6:$A$10,0)-1)*36+3)),INDEX('Cash schedule'!$G$6:$G$185,(MATCH($B$5,'Cases'!$A$6:$A$10,0)-1)*36+3),"")</f>
        <v/>
      </c>
      <c r="G14" s="137">
        <f>IF(ISNUMBER(INDEX('Cash schedule'!$G$6:$G$185,(MATCH($B$5,'Cases'!$A$6:$A$10,0)-1)*36+4)),INDEX('Cash schedule'!$G$6:$G$185,(MATCH($B$5,'Cases'!$A$6:$A$10,0)-1)*36+4),"")</f>
        <v/>
      </c>
      <c r="H14" s="137">
        <f>IF(ISNUMBER(INDEX('Cash schedule'!$G$6:$G$185,(MATCH($B$5,'Cases'!$A$6:$A$10,0)-1)*36+5)),INDEX('Cash schedule'!$G$6:$G$185,(MATCH($B$5,'Cases'!$A$6:$A$10,0)-1)*36+5),"")</f>
        <v/>
      </c>
      <c r="I14" s="137">
        <f>IF(ISNUMBER(INDEX('Cash schedule'!$G$6:$G$185,(MATCH($B$5,'Cases'!$A$6:$A$10,0)-1)*36+6)),INDEX('Cash schedule'!$G$6:$G$185,(MATCH($B$5,'Cases'!$A$6:$A$10,0)-1)*36+6),"")</f>
        <v/>
      </c>
      <c r="J14" s="137">
        <f>IF(ISNUMBER(INDEX('Cash schedule'!$G$6:$G$185,(MATCH($B$5,'Cases'!$A$6:$A$10,0)-1)*36+7)),INDEX('Cash schedule'!$G$6:$G$185,(MATCH($B$5,'Cases'!$A$6:$A$10,0)-1)*36+7),"")</f>
        <v/>
      </c>
      <c r="K14" s="137">
        <f>IF(ISNUMBER(INDEX('Cash schedule'!$G$6:$G$185,(MATCH($B$5,'Cases'!$A$6:$A$10,0)-1)*36+8)),INDEX('Cash schedule'!$G$6:$G$185,(MATCH($B$5,'Cases'!$A$6:$A$10,0)-1)*36+8),"")</f>
        <v/>
      </c>
      <c r="L14" s="137">
        <f>IF(ISNUMBER(INDEX('Cash schedule'!$G$6:$G$185,(MATCH($B$5,'Cases'!$A$6:$A$10,0)-1)*36+9)),INDEX('Cash schedule'!$G$6:$G$185,(MATCH($B$5,'Cases'!$A$6:$A$10,0)-1)*36+9),"")</f>
        <v/>
      </c>
      <c r="M14" s="137">
        <f>IF(ISNUMBER(INDEX('Cash schedule'!$G$6:$G$185,(MATCH($B$5,'Cases'!$A$6:$A$10,0)-1)*36+10)),INDEX('Cash schedule'!$G$6:$G$185,(MATCH($B$5,'Cases'!$A$6:$A$10,0)-1)*36+10),"")</f>
        <v/>
      </c>
      <c r="N14" s="137">
        <f>IF(ISNUMBER(INDEX('Cash schedule'!$G$6:$G$185,(MATCH($B$5,'Cases'!$A$6:$A$10,0)-1)*36+11)),INDEX('Cash schedule'!$G$6:$G$185,(MATCH($B$5,'Cases'!$A$6:$A$10,0)-1)*36+11),"")</f>
        <v/>
      </c>
      <c r="O14" s="137">
        <f>IF(ISNUMBER(INDEX('Cash schedule'!$G$6:$G$185,(MATCH($B$5,'Cases'!$A$6:$A$10,0)-1)*36+12)),INDEX('Cash schedule'!$G$6:$G$185,(MATCH($B$5,'Cases'!$A$6:$A$10,0)-1)*36+12),"")</f>
        <v/>
      </c>
      <c r="P14" s="137">
        <f>IF(ISNUMBER(INDEX('Cash schedule'!$G$6:$G$185,(MATCH($B$5,'Cases'!$A$6:$A$10,0)-1)*36+13)),INDEX('Cash schedule'!$G$6:$G$185,(MATCH($B$5,'Cases'!$A$6:$A$10,0)-1)*36+13),"")</f>
        <v/>
      </c>
      <c r="Q14" s="137">
        <f>IF(ISNUMBER(INDEX('Cash schedule'!$G$6:$G$185,(MATCH($B$5,'Cases'!$A$6:$A$10,0)-1)*36+14)),INDEX('Cash schedule'!$G$6:$G$185,(MATCH($B$5,'Cases'!$A$6:$A$10,0)-1)*36+14),"")</f>
        <v/>
      </c>
      <c r="R14" s="137">
        <f>IF(ISNUMBER(INDEX('Cash schedule'!$G$6:$G$185,(MATCH($B$5,'Cases'!$A$6:$A$10,0)-1)*36+15)),INDEX('Cash schedule'!$G$6:$G$185,(MATCH($B$5,'Cases'!$A$6:$A$10,0)-1)*36+15),"")</f>
        <v/>
      </c>
      <c r="S14" s="137">
        <f>IF(ISNUMBER(INDEX('Cash schedule'!$G$6:$G$185,(MATCH($B$5,'Cases'!$A$6:$A$10,0)-1)*36+16)),INDEX('Cash schedule'!$G$6:$G$185,(MATCH($B$5,'Cases'!$A$6:$A$10,0)-1)*36+16),"")</f>
        <v/>
      </c>
      <c r="T14" s="137">
        <f>IF(ISNUMBER(INDEX('Cash schedule'!$G$6:$G$185,(MATCH($B$5,'Cases'!$A$6:$A$10,0)-1)*36+17)),INDEX('Cash schedule'!$G$6:$G$185,(MATCH($B$5,'Cases'!$A$6:$A$10,0)-1)*36+17),"")</f>
        <v/>
      </c>
      <c r="U14" s="137">
        <f>IF(ISNUMBER(INDEX('Cash schedule'!$G$6:$G$185,(MATCH($B$5,'Cases'!$A$6:$A$10,0)-1)*36+18)),INDEX('Cash schedule'!$G$6:$G$185,(MATCH($B$5,'Cases'!$A$6:$A$10,0)-1)*36+18),"")</f>
        <v/>
      </c>
      <c r="V14" s="137">
        <f>IF(ISNUMBER(INDEX('Cash schedule'!$G$6:$G$185,(MATCH($B$5,'Cases'!$A$6:$A$10,0)-1)*36+19)),INDEX('Cash schedule'!$G$6:$G$185,(MATCH($B$5,'Cases'!$A$6:$A$10,0)-1)*36+19),"")</f>
        <v/>
      </c>
      <c r="W14" s="137">
        <f>IF(ISNUMBER(INDEX('Cash schedule'!$G$6:$G$185,(MATCH($B$5,'Cases'!$A$6:$A$10,0)-1)*36+20)),INDEX('Cash schedule'!$G$6:$G$185,(MATCH($B$5,'Cases'!$A$6:$A$10,0)-1)*36+20),"")</f>
        <v/>
      </c>
      <c r="X14" s="137">
        <f>IF(ISNUMBER(INDEX('Cash schedule'!$G$6:$G$185,(MATCH($B$5,'Cases'!$A$6:$A$10,0)-1)*36+21)),INDEX('Cash schedule'!$G$6:$G$185,(MATCH($B$5,'Cases'!$A$6:$A$10,0)-1)*36+21),"")</f>
        <v/>
      </c>
      <c r="Y14" s="137">
        <f>IF(ISNUMBER(INDEX('Cash schedule'!$G$6:$G$185,(MATCH($B$5,'Cases'!$A$6:$A$10,0)-1)*36+22)),INDEX('Cash schedule'!$G$6:$G$185,(MATCH($B$5,'Cases'!$A$6:$A$10,0)-1)*36+22),"")</f>
        <v/>
      </c>
      <c r="Z14" s="137">
        <f>IF(ISNUMBER(INDEX('Cash schedule'!$G$6:$G$185,(MATCH($B$5,'Cases'!$A$6:$A$10,0)-1)*36+23)),INDEX('Cash schedule'!$G$6:$G$185,(MATCH($B$5,'Cases'!$A$6:$A$10,0)-1)*36+23),"")</f>
        <v/>
      </c>
      <c r="AA14" s="137">
        <f>IF(ISNUMBER(INDEX('Cash schedule'!$G$6:$G$185,(MATCH($B$5,'Cases'!$A$6:$A$10,0)-1)*36+24)),INDEX('Cash schedule'!$G$6:$G$185,(MATCH($B$5,'Cases'!$A$6:$A$10,0)-1)*36+24),"")</f>
        <v/>
      </c>
      <c r="AB14" s="137">
        <f>IF(ISNUMBER(INDEX('Cash schedule'!$G$6:$G$185,(MATCH($B$5,'Cases'!$A$6:$A$10,0)-1)*36+25)),INDEX('Cash schedule'!$G$6:$G$185,(MATCH($B$5,'Cases'!$A$6:$A$10,0)-1)*36+25),"")</f>
        <v/>
      </c>
      <c r="AC14" s="137">
        <f>IF(ISNUMBER(INDEX('Cash schedule'!$G$6:$G$185,(MATCH($B$5,'Cases'!$A$6:$A$10,0)-1)*36+26)),INDEX('Cash schedule'!$G$6:$G$185,(MATCH($B$5,'Cases'!$A$6:$A$10,0)-1)*36+26),"")</f>
        <v/>
      </c>
      <c r="AD14" s="137">
        <f>IF(ISNUMBER(INDEX('Cash schedule'!$G$6:$G$185,(MATCH($B$5,'Cases'!$A$6:$A$10,0)-1)*36+27)),INDEX('Cash schedule'!$G$6:$G$185,(MATCH($B$5,'Cases'!$A$6:$A$10,0)-1)*36+27),"")</f>
        <v/>
      </c>
      <c r="AE14" s="137">
        <f>IF(ISNUMBER(INDEX('Cash schedule'!$G$6:$G$185,(MATCH($B$5,'Cases'!$A$6:$A$10,0)-1)*36+28)),INDEX('Cash schedule'!$G$6:$G$185,(MATCH($B$5,'Cases'!$A$6:$A$10,0)-1)*36+28),"")</f>
        <v/>
      </c>
      <c r="AF14" s="137">
        <f>IF(ISNUMBER(INDEX('Cash schedule'!$G$6:$G$185,(MATCH($B$5,'Cases'!$A$6:$A$10,0)-1)*36+29)),INDEX('Cash schedule'!$G$6:$G$185,(MATCH($B$5,'Cases'!$A$6:$A$10,0)-1)*36+29),"")</f>
        <v/>
      </c>
      <c r="AG14" s="137">
        <f>IF(ISNUMBER(INDEX('Cash schedule'!$G$6:$G$185,(MATCH($B$5,'Cases'!$A$6:$A$10,0)-1)*36+30)),INDEX('Cash schedule'!$G$6:$G$185,(MATCH($B$5,'Cases'!$A$6:$A$10,0)-1)*36+30),"")</f>
        <v/>
      </c>
      <c r="AH14" s="137">
        <f>IF(ISNUMBER(INDEX('Cash schedule'!$G$6:$G$185,(MATCH($B$5,'Cases'!$A$6:$A$10,0)-1)*36+31)),INDEX('Cash schedule'!$G$6:$G$185,(MATCH($B$5,'Cases'!$A$6:$A$10,0)-1)*36+31),"")</f>
        <v/>
      </c>
      <c r="AI14" s="137">
        <f>IF(ISNUMBER(INDEX('Cash schedule'!$G$6:$G$185,(MATCH($B$5,'Cases'!$A$6:$A$10,0)-1)*36+32)),INDEX('Cash schedule'!$G$6:$G$185,(MATCH($B$5,'Cases'!$A$6:$A$10,0)-1)*36+32),"")</f>
        <v/>
      </c>
      <c r="AJ14" s="137">
        <f>IF(ISNUMBER(INDEX('Cash schedule'!$G$6:$G$185,(MATCH($B$5,'Cases'!$A$6:$A$10,0)-1)*36+33)),INDEX('Cash schedule'!$G$6:$G$185,(MATCH($B$5,'Cases'!$A$6:$A$10,0)-1)*36+33),"")</f>
        <v/>
      </c>
      <c r="AK14" s="137">
        <f>IF(ISNUMBER(INDEX('Cash schedule'!$G$6:$G$185,(MATCH($B$5,'Cases'!$A$6:$A$10,0)-1)*36+34)),INDEX('Cash schedule'!$G$6:$G$185,(MATCH($B$5,'Cases'!$A$6:$A$10,0)-1)*36+34),"")</f>
        <v/>
      </c>
      <c r="AL14" s="137">
        <f>IF(ISNUMBER(INDEX('Cash schedule'!$G$6:$G$185,(MATCH($B$5,'Cases'!$A$6:$A$10,0)-1)*36+35)),INDEX('Cash schedule'!$G$6:$G$185,(MATCH($B$5,'Cases'!$A$6:$A$10,0)-1)*36+35),"")</f>
        <v/>
      </c>
      <c r="AM14" s="137">
        <f>IF(ISNUMBER(INDEX('Cash schedule'!$G$6:$G$185,(MATCH($B$5,'Cases'!$A$6:$A$10,0)-1)*36+36)),INDEX('Cash schedule'!$G$6:$G$185,(MATCH($B$5,'Cases'!$A$6:$A$10,0)-1)*36+36),"")</f>
        <v/>
      </c>
    </row>
    <row r="15" ht="28" customHeight="1">
      <c r="A15" s="4" t="inlineStr">
        <is>
          <t>Freight</t>
        </is>
      </c>
      <c r="B15" s="4" t="n"/>
      <c r="C15" s="4" t="n"/>
      <c r="D15" s="137">
        <f>IF(ISNUMBER(INDEX('Cash schedule'!$H$6:$H$185,(MATCH($B$5,'Cases'!$A$6:$A$10,0)-1)*36+1)),INDEX('Cash schedule'!$H$6:$H$185,(MATCH($B$5,'Cases'!$A$6:$A$10,0)-1)*36+1),"")</f>
        <v/>
      </c>
      <c r="E15" s="137">
        <f>IF(ISNUMBER(INDEX('Cash schedule'!$H$6:$H$185,(MATCH($B$5,'Cases'!$A$6:$A$10,0)-1)*36+2)),INDEX('Cash schedule'!$H$6:$H$185,(MATCH($B$5,'Cases'!$A$6:$A$10,0)-1)*36+2),"")</f>
        <v/>
      </c>
      <c r="F15" s="137">
        <f>IF(ISNUMBER(INDEX('Cash schedule'!$H$6:$H$185,(MATCH($B$5,'Cases'!$A$6:$A$10,0)-1)*36+3)),INDEX('Cash schedule'!$H$6:$H$185,(MATCH($B$5,'Cases'!$A$6:$A$10,0)-1)*36+3),"")</f>
        <v/>
      </c>
      <c r="G15" s="137">
        <f>IF(ISNUMBER(INDEX('Cash schedule'!$H$6:$H$185,(MATCH($B$5,'Cases'!$A$6:$A$10,0)-1)*36+4)),INDEX('Cash schedule'!$H$6:$H$185,(MATCH($B$5,'Cases'!$A$6:$A$10,0)-1)*36+4),"")</f>
        <v/>
      </c>
      <c r="H15" s="137">
        <f>IF(ISNUMBER(INDEX('Cash schedule'!$H$6:$H$185,(MATCH($B$5,'Cases'!$A$6:$A$10,0)-1)*36+5)),INDEX('Cash schedule'!$H$6:$H$185,(MATCH($B$5,'Cases'!$A$6:$A$10,0)-1)*36+5),"")</f>
        <v/>
      </c>
      <c r="I15" s="137">
        <f>IF(ISNUMBER(INDEX('Cash schedule'!$H$6:$H$185,(MATCH($B$5,'Cases'!$A$6:$A$10,0)-1)*36+6)),INDEX('Cash schedule'!$H$6:$H$185,(MATCH($B$5,'Cases'!$A$6:$A$10,0)-1)*36+6),"")</f>
        <v/>
      </c>
      <c r="J15" s="137">
        <f>IF(ISNUMBER(INDEX('Cash schedule'!$H$6:$H$185,(MATCH($B$5,'Cases'!$A$6:$A$10,0)-1)*36+7)),INDEX('Cash schedule'!$H$6:$H$185,(MATCH($B$5,'Cases'!$A$6:$A$10,0)-1)*36+7),"")</f>
        <v/>
      </c>
      <c r="K15" s="137">
        <f>IF(ISNUMBER(INDEX('Cash schedule'!$H$6:$H$185,(MATCH($B$5,'Cases'!$A$6:$A$10,0)-1)*36+8)),INDEX('Cash schedule'!$H$6:$H$185,(MATCH($B$5,'Cases'!$A$6:$A$10,0)-1)*36+8),"")</f>
        <v/>
      </c>
      <c r="L15" s="137">
        <f>IF(ISNUMBER(INDEX('Cash schedule'!$H$6:$H$185,(MATCH($B$5,'Cases'!$A$6:$A$10,0)-1)*36+9)),INDEX('Cash schedule'!$H$6:$H$185,(MATCH($B$5,'Cases'!$A$6:$A$10,0)-1)*36+9),"")</f>
        <v/>
      </c>
      <c r="M15" s="137">
        <f>IF(ISNUMBER(INDEX('Cash schedule'!$H$6:$H$185,(MATCH($B$5,'Cases'!$A$6:$A$10,0)-1)*36+10)),INDEX('Cash schedule'!$H$6:$H$185,(MATCH($B$5,'Cases'!$A$6:$A$10,0)-1)*36+10),"")</f>
        <v/>
      </c>
      <c r="N15" s="137">
        <f>IF(ISNUMBER(INDEX('Cash schedule'!$H$6:$H$185,(MATCH($B$5,'Cases'!$A$6:$A$10,0)-1)*36+11)),INDEX('Cash schedule'!$H$6:$H$185,(MATCH($B$5,'Cases'!$A$6:$A$10,0)-1)*36+11),"")</f>
        <v/>
      </c>
      <c r="O15" s="137">
        <f>IF(ISNUMBER(INDEX('Cash schedule'!$H$6:$H$185,(MATCH($B$5,'Cases'!$A$6:$A$10,0)-1)*36+12)),INDEX('Cash schedule'!$H$6:$H$185,(MATCH($B$5,'Cases'!$A$6:$A$10,0)-1)*36+12),"")</f>
        <v/>
      </c>
      <c r="P15" s="137">
        <f>IF(ISNUMBER(INDEX('Cash schedule'!$H$6:$H$185,(MATCH($B$5,'Cases'!$A$6:$A$10,0)-1)*36+13)),INDEX('Cash schedule'!$H$6:$H$185,(MATCH($B$5,'Cases'!$A$6:$A$10,0)-1)*36+13),"")</f>
        <v/>
      </c>
      <c r="Q15" s="137">
        <f>IF(ISNUMBER(INDEX('Cash schedule'!$H$6:$H$185,(MATCH($B$5,'Cases'!$A$6:$A$10,0)-1)*36+14)),INDEX('Cash schedule'!$H$6:$H$185,(MATCH($B$5,'Cases'!$A$6:$A$10,0)-1)*36+14),"")</f>
        <v/>
      </c>
      <c r="R15" s="137">
        <f>IF(ISNUMBER(INDEX('Cash schedule'!$H$6:$H$185,(MATCH($B$5,'Cases'!$A$6:$A$10,0)-1)*36+15)),INDEX('Cash schedule'!$H$6:$H$185,(MATCH($B$5,'Cases'!$A$6:$A$10,0)-1)*36+15),"")</f>
        <v/>
      </c>
      <c r="S15" s="137">
        <f>IF(ISNUMBER(INDEX('Cash schedule'!$H$6:$H$185,(MATCH($B$5,'Cases'!$A$6:$A$10,0)-1)*36+16)),INDEX('Cash schedule'!$H$6:$H$185,(MATCH($B$5,'Cases'!$A$6:$A$10,0)-1)*36+16),"")</f>
        <v/>
      </c>
      <c r="T15" s="137">
        <f>IF(ISNUMBER(INDEX('Cash schedule'!$H$6:$H$185,(MATCH($B$5,'Cases'!$A$6:$A$10,0)-1)*36+17)),INDEX('Cash schedule'!$H$6:$H$185,(MATCH($B$5,'Cases'!$A$6:$A$10,0)-1)*36+17),"")</f>
        <v/>
      </c>
      <c r="U15" s="137">
        <f>IF(ISNUMBER(INDEX('Cash schedule'!$H$6:$H$185,(MATCH($B$5,'Cases'!$A$6:$A$10,0)-1)*36+18)),INDEX('Cash schedule'!$H$6:$H$185,(MATCH($B$5,'Cases'!$A$6:$A$10,0)-1)*36+18),"")</f>
        <v/>
      </c>
      <c r="V15" s="137">
        <f>IF(ISNUMBER(INDEX('Cash schedule'!$H$6:$H$185,(MATCH($B$5,'Cases'!$A$6:$A$10,0)-1)*36+19)),INDEX('Cash schedule'!$H$6:$H$185,(MATCH($B$5,'Cases'!$A$6:$A$10,0)-1)*36+19),"")</f>
        <v/>
      </c>
      <c r="W15" s="137">
        <f>IF(ISNUMBER(INDEX('Cash schedule'!$H$6:$H$185,(MATCH($B$5,'Cases'!$A$6:$A$10,0)-1)*36+20)),INDEX('Cash schedule'!$H$6:$H$185,(MATCH($B$5,'Cases'!$A$6:$A$10,0)-1)*36+20),"")</f>
        <v/>
      </c>
      <c r="X15" s="137">
        <f>IF(ISNUMBER(INDEX('Cash schedule'!$H$6:$H$185,(MATCH($B$5,'Cases'!$A$6:$A$10,0)-1)*36+21)),INDEX('Cash schedule'!$H$6:$H$185,(MATCH($B$5,'Cases'!$A$6:$A$10,0)-1)*36+21),"")</f>
        <v/>
      </c>
      <c r="Y15" s="137">
        <f>IF(ISNUMBER(INDEX('Cash schedule'!$H$6:$H$185,(MATCH($B$5,'Cases'!$A$6:$A$10,0)-1)*36+22)),INDEX('Cash schedule'!$H$6:$H$185,(MATCH($B$5,'Cases'!$A$6:$A$10,0)-1)*36+22),"")</f>
        <v/>
      </c>
      <c r="Z15" s="137">
        <f>IF(ISNUMBER(INDEX('Cash schedule'!$H$6:$H$185,(MATCH($B$5,'Cases'!$A$6:$A$10,0)-1)*36+23)),INDEX('Cash schedule'!$H$6:$H$185,(MATCH($B$5,'Cases'!$A$6:$A$10,0)-1)*36+23),"")</f>
        <v/>
      </c>
      <c r="AA15" s="137">
        <f>IF(ISNUMBER(INDEX('Cash schedule'!$H$6:$H$185,(MATCH($B$5,'Cases'!$A$6:$A$10,0)-1)*36+24)),INDEX('Cash schedule'!$H$6:$H$185,(MATCH($B$5,'Cases'!$A$6:$A$10,0)-1)*36+24),"")</f>
        <v/>
      </c>
      <c r="AB15" s="137">
        <f>IF(ISNUMBER(INDEX('Cash schedule'!$H$6:$H$185,(MATCH($B$5,'Cases'!$A$6:$A$10,0)-1)*36+25)),INDEX('Cash schedule'!$H$6:$H$185,(MATCH($B$5,'Cases'!$A$6:$A$10,0)-1)*36+25),"")</f>
        <v/>
      </c>
      <c r="AC15" s="137">
        <f>IF(ISNUMBER(INDEX('Cash schedule'!$H$6:$H$185,(MATCH($B$5,'Cases'!$A$6:$A$10,0)-1)*36+26)),INDEX('Cash schedule'!$H$6:$H$185,(MATCH($B$5,'Cases'!$A$6:$A$10,0)-1)*36+26),"")</f>
        <v/>
      </c>
      <c r="AD15" s="137">
        <f>IF(ISNUMBER(INDEX('Cash schedule'!$H$6:$H$185,(MATCH($B$5,'Cases'!$A$6:$A$10,0)-1)*36+27)),INDEX('Cash schedule'!$H$6:$H$185,(MATCH($B$5,'Cases'!$A$6:$A$10,0)-1)*36+27),"")</f>
        <v/>
      </c>
      <c r="AE15" s="137">
        <f>IF(ISNUMBER(INDEX('Cash schedule'!$H$6:$H$185,(MATCH($B$5,'Cases'!$A$6:$A$10,0)-1)*36+28)),INDEX('Cash schedule'!$H$6:$H$185,(MATCH($B$5,'Cases'!$A$6:$A$10,0)-1)*36+28),"")</f>
        <v/>
      </c>
      <c r="AF15" s="137">
        <f>IF(ISNUMBER(INDEX('Cash schedule'!$H$6:$H$185,(MATCH($B$5,'Cases'!$A$6:$A$10,0)-1)*36+29)),INDEX('Cash schedule'!$H$6:$H$185,(MATCH($B$5,'Cases'!$A$6:$A$10,0)-1)*36+29),"")</f>
        <v/>
      </c>
      <c r="AG15" s="137">
        <f>IF(ISNUMBER(INDEX('Cash schedule'!$H$6:$H$185,(MATCH($B$5,'Cases'!$A$6:$A$10,0)-1)*36+30)),INDEX('Cash schedule'!$H$6:$H$185,(MATCH($B$5,'Cases'!$A$6:$A$10,0)-1)*36+30),"")</f>
        <v/>
      </c>
      <c r="AH15" s="137">
        <f>IF(ISNUMBER(INDEX('Cash schedule'!$H$6:$H$185,(MATCH($B$5,'Cases'!$A$6:$A$10,0)-1)*36+31)),INDEX('Cash schedule'!$H$6:$H$185,(MATCH($B$5,'Cases'!$A$6:$A$10,0)-1)*36+31),"")</f>
        <v/>
      </c>
      <c r="AI15" s="137">
        <f>IF(ISNUMBER(INDEX('Cash schedule'!$H$6:$H$185,(MATCH($B$5,'Cases'!$A$6:$A$10,0)-1)*36+32)),INDEX('Cash schedule'!$H$6:$H$185,(MATCH($B$5,'Cases'!$A$6:$A$10,0)-1)*36+32),"")</f>
        <v/>
      </c>
      <c r="AJ15" s="137">
        <f>IF(ISNUMBER(INDEX('Cash schedule'!$H$6:$H$185,(MATCH($B$5,'Cases'!$A$6:$A$10,0)-1)*36+33)),INDEX('Cash schedule'!$H$6:$H$185,(MATCH($B$5,'Cases'!$A$6:$A$10,0)-1)*36+33),"")</f>
        <v/>
      </c>
      <c r="AK15" s="137">
        <f>IF(ISNUMBER(INDEX('Cash schedule'!$H$6:$H$185,(MATCH($B$5,'Cases'!$A$6:$A$10,0)-1)*36+34)),INDEX('Cash schedule'!$H$6:$H$185,(MATCH($B$5,'Cases'!$A$6:$A$10,0)-1)*36+34),"")</f>
        <v/>
      </c>
      <c r="AL15" s="137">
        <f>IF(ISNUMBER(INDEX('Cash schedule'!$H$6:$H$185,(MATCH($B$5,'Cases'!$A$6:$A$10,0)-1)*36+35)),INDEX('Cash schedule'!$H$6:$H$185,(MATCH($B$5,'Cases'!$A$6:$A$10,0)-1)*36+35),"")</f>
        <v/>
      </c>
      <c r="AM15" s="137">
        <f>IF(ISNUMBER(INDEX('Cash schedule'!$H$6:$H$185,(MATCH($B$5,'Cases'!$A$6:$A$10,0)-1)*36+36)),INDEX('Cash schedule'!$H$6:$H$185,(MATCH($B$5,'Cases'!$A$6:$A$10,0)-1)*36+36),"")</f>
        <v/>
      </c>
    </row>
    <row r="16" ht="28" customHeight="1">
      <c r="A16" s="4" t="inlineStr">
        <is>
          <t>Network costs</t>
        </is>
      </c>
      <c r="B16" s="4" t="n"/>
      <c r="C16" s="4" t="n"/>
      <c r="D16" s="137">
        <f>IF(ISNUMBER(INDEX('Cash schedule'!$I$6:$I$185,(MATCH($B$5,'Cases'!$A$6:$A$10,0)-1)*36+1)),INDEX('Cash schedule'!$I$6:$I$185,(MATCH($B$5,'Cases'!$A$6:$A$10,0)-1)*36+1),"")</f>
        <v/>
      </c>
      <c r="E16" s="137">
        <f>IF(ISNUMBER(INDEX('Cash schedule'!$I$6:$I$185,(MATCH($B$5,'Cases'!$A$6:$A$10,0)-1)*36+2)),INDEX('Cash schedule'!$I$6:$I$185,(MATCH($B$5,'Cases'!$A$6:$A$10,0)-1)*36+2),"")</f>
        <v/>
      </c>
      <c r="F16" s="137">
        <f>IF(ISNUMBER(INDEX('Cash schedule'!$I$6:$I$185,(MATCH($B$5,'Cases'!$A$6:$A$10,0)-1)*36+3)),INDEX('Cash schedule'!$I$6:$I$185,(MATCH($B$5,'Cases'!$A$6:$A$10,0)-1)*36+3),"")</f>
        <v/>
      </c>
      <c r="G16" s="137">
        <f>IF(ISNUMBER(INDEX('Cash schedule'!$I$6:$I$185,(MATCH($B$5,'Cases'!$A$6:$A$10,0)-1)*36+4)),INDEX('Cash schedule'!$I$6:$I$185,(MATCH($B$5,'Cases'!$A$6:$A$10,0)-1)*36+4),"")</f>
        <v/>
      </c>
      <c r="H16" s="137">
        <f>IF(ISNUMBER(INDEX('Cash schedule'!$I$6:$I$185,(MATCH($B$5,'Cases'!$A$6:$A$10,0)-1)*36+5)),INDEX('Cash schedule'!$I$6:$I$185,(MATCH($B$5,'Cases'!$A$6:$A$10,0)-1)*36+5),"")</f>
        <v/>
      </c>
      <c r="I16" s="137">
        <f>IF(ISNUMBER(INDEX('Cash schedule'!$I$6:$I$185,(MATCH($B$5,'Cases'!$A$6:$A$10,0)-1)*36+6)),INDEX('Cash schedule'!$I$6:$I$185,(MATCH($B$5,'Cases'!$A$6:$A$10,0)-1)*36+6),"")</f>
        <v/>
      </c>
      <c r="J16" s="137">
        <f>IF(ISNUMBER(INDEX('Cash schedule'!$I$6:$I$185,(MATCH($B$5,'Cases'!$A$6:$A$10,0)-1)*36+7)),INDEX('Cash schedule'!$I$6:$I$185,(MATCH($B$5,'Cases'!$A$6:$A$10,0)-1)*36+7),"")</f>
        <v/>
      </c>
      <c r="K16" s="137">
        <f>IF(ISNUMBER(INDEX('Cash schedule'!$I$6:$I$185,(MATCH($B$5,'Cases'!$A$6:$A$10,0)-1)*36+8)),INDEX('Cash schedule'!$I$6:$I$185,(MATCH($B$5,'Cases'!$A$6:$A$10,0)-1)*36+8),"")</f>
        <v/>
      </c>
      <c r="L16" s="137">
        <f>IF(ISNUMBER(INDEX('Cash schedule'!$I$6:$I$185,(MATCH($B$5,'Cases'!$A$6:$A$10,0)-1)*36+9)),INDEX('Cash schedule'!$I$6:$I$185,(MATCH($B$5,'Cases'!$A$6:$A$10,0)-1)*36+9),"")</f>
        <v/>
      </c>
      <c r="M16" s="137">
        <f>IF(ISNUMBER(INDEX('Cash schedule'!$I$6:$I$185,(MATCH($B$5,'Cases'!$A$6:$A$10,0)-1)*36+10)),INDEX('Cash schedule'!$I$6:$I$185,(MATCH($B$5,'Cases'!$A$6:$A$10,0)-1)*36+10),"")</f>
        <v/>
      </c>
      <c r="N16" s="137">
        <f>IF(ISNUMBER(INDEX('Cash schedule'!$I$6:$I$185,(MATCH($B$5,'Cases'!$A$6:$A$10,0)-1)*36+11)),INDEX('Cash schedule'!$I$6:$I$185,(MATCH($B$5,'Cases'!$A$6:$A$10,0)-1)*36+11),"")</f>
        <v/>
      </c>
      <c r="O16" s="137">
        <f>IF(ISNUMBER(INDEX('Cash schedule'!$I$6:$I$185,(MATCH($B$5,'Cases'!$A$6:$A$10,0)-1)*36+12)),INDEX('Cash schedule'!$I$6:$I$185,(MATCH($B$5,'Cases'!$A$6:$A$10,0)-1)*36+12),"")</f>
        <v/>
      </c>
      <c r="P16" s="137">
        <f>IF(ISNUMBER(INDEX('Cash schedule'!$I$6:$I$185,(MATCH($B$5,'Cases'!$A$6:$A$10,0)-1)*36+13)),INDEX('Cash schedule'!$I$6:$I$185,(MATCH($B$5,'Cases'!$A$6:$A$10,0)-1)*36+13),"")</f>
        <v/>
      </c>
      <c r="Q16" s="137">
        <f>IF(ISNUMBER(INDEX('Cash schedule'!$I$6:$I$185,(MATCH($B$5,'Cases'!$A$6:$A$10,0)-1)*36+14)),INDEX('Cash schedule'!$I$6:$I$185,(MATCH($B$5,'Cases'!$A$6:$A$10,0)-1)*36+14),"")</f>
        <v/>
      </c>
      <c r="R16" s="137">
        <f>IF(ISNUMBER(INDEX('Cash schedule'!$I$6:$I$185,(MATCH($B$5,'Cases'!$A$6:$A$10,0)-1)*36+15)),INDEX('Cash schedule'!$I$6:$I$185,(MATCH($B$5,'Cases'!$A$6:$A$10,0)-1)*36+15),"")</f>
        <v/>
      </c>
      <c r="S16" s="137">
        <f>IF(ISNUMBER(INDEX('Cash schedule'!$I$6:$I$185,(MATCH($B$5,'Cases'!$A$6:$A$10,0)-1)*36+16)),INDEX('Cash schedule'!$I$6:$I$185,(MATCH($B$5,'Cases'!$A$6:$A$10,0)-1)*36+16),"")</f>
        <v/>
      </c>
      <c r="T16" s="137">
        <f>IF(ISNUMBER(INDEX('Cash schedule'!$I$6:$I$185,(MATCH($B$5,'Cases'!$A$6:$A$10,0)-1)*36+17)),INDEX('Cash schedule'!$I$6:$I$185,(MATCH($B$5,'Cases'!$A$6:$A$10,0)-1)*36+17),"")</f>
        <v/>
      </c>
      <c r="U16" s="137">
        <f>IF(ISNUMBER(INDEX('Cash schedule'!$I$6:$I$185,(MATCH($B$5,'Cases'!$A$6:$A$10,0)-1)*36+18)),INDEX('Cash schedule'!$I$6:$I$185,(MATCH($B$5,'Cases'!$A$6:$A$10,0)-1)*36+18),"")</f>
        <v/>
      </c>
      <c r="V16" s="137">
        <f>IF(ISNUMBER(INDEX('Cash schedule'!$I$6:$I$185,(MATCH($B$5,'Cases'!$A$6:$A$10,0)-1)*36+19)),INDEX('Cash schedule'!$I$6:$I$185,(MATCH($B$5,'Cases'!$A$6:$A$10,0)-1)*36+19),"")</f>
        <v/>
      </c>
      <c r="W16" s="137">
        <f>IF(ISNUMBER(INDEX('Cash schedule'!$I$6:$I$185,(MATCH($B$5,'Cases'!$A$6:$A$10,0)-1)*36+20)),INDEX('Cash schedule'!$I$6:$I$185,(MATCH($B$5,'Cases'!$A$6:$A$10,0)-1)*36+20),"")</f>
        <v/>
      </c>
      <c r="X16" s="137">
        <f>IF(ISNUMBER(INDEX('Cash schedule'!$I$6:$I$185,(MATCH($B$5,'Cases'!$A$6:$A$10,0)-1)*36+21)),INDEX('Cash schedule'!$I$6:$I$185,(MATCH($B$5,'Cases'!$A$6:$A$10,0)-1)*36+21),"")</f>
        <v/>
      </c>
      <c r="Y16" s="137">
        <f>IF(ISNUMBER(INDEX('Cash schedule'!$I$6:$I$185,(MATCH($B$5,'Cases'!$A$6:$A$10,0)-1)*36+22)),INDEX('Cash schedule'!$I$6:$I$185,(MATCH($B$5,'Cases'!$A$6:$A$10,0)-1)*36+22),"")</f>
        <v/>
      </c>
      <c r="Z16" s="137">
        <f>IF(ISNUMBER(INDEX('Cash schedule'!$I$6:$I$185,(MATCH($B$5,'Cases'!$A$6:$A$10,0)-1)*36+23)),INDEX('Cash schedule'!$I$6:$I$185,(MATCH($B$5,'Cases'!$A$6:$A$10,0)-1)*36+23),"")</f>
        <v/>
      </c>
      <c r="AA16" s="137">
        <f>IF(ISNUMBER(INDEX('Cash schedule'!$I$6:$I$185,(MATCH($B$5,'Cases'!$A$6:$A$10,0)-1)*36+24)),INDEX('Cash schedule'!$I$6:$I$185,(MATCH($B$5,'Cases'!$A$6:$A$10,0)-1)*36+24),"")</f>
        <v/>
      </c>
      <c r="AB16" s="137">
        <f>IF(ISNUMBER(INDEX('Cash schedule'!$I$6:$I$185,(MATCH($B$5,'Cases'!$A$6:$A$10,0)-1)*36+25)),INDEX('Cash schedule'!$I$6:$I$185,(MATCH($B$5,'Cases'!$A$6:$A$10,0)-1)*36+25),"")</f>
        <v/>
      </c>
      <c r="AC16" s="137">
        <f>IF(ISNUMBER(INDEX('Cash schedule'!$I$6:$I$185,(MATCH($B$5,'Cases'!$A$6:$A$10,0)-1)*36+26)),INDEX('Cash schedule'!$I$6:$I$185,(MATCH($B$5,'Cases'!$A$6:$A$10,0)-1)*36+26),"")</f>
        <v/>
      </c>
      <c r="AD16" s="137">
        <f>IF(ISNUMBER(INDEX('Cash schedule'!$I$6:$I$185,(MATCH($B$5,'Cases'!$A$6:$A$10,0)-1)*36+27)),INDEX('Cash schedule'!$I$6:$I$185,(MATCH($B$5,'Cases'!$A$6:$A$10,0)-1)*36+27),"")</f>
        <v/>
      </c>
      <c r="AE16" s="137">
        <f>IF(ISNUMBER(INDEX('Cash schedule'!$I$6:$I$185,(MATCH($B$5,'Cases'!$A$6:$A$10,0)-1)*36+28)),INDEX('Cash schedule'!$I$6:$I$185,(MATCH($B$5,'Cases'!$A$6:$A$10,0)-1)*36+28),"")</f>
        <v/>
      </c>
      <c r="AF16" s="137">
        <f>IF(ISNUMBER(INDEX('Cash schedule'!$I$6:$I$185,(MATCH($B$5,'Cases'!$A$6:$A$10,0)-1)*36+29)),INDEX('Cash schedule'!$I$6:$I$185,(MATCH($B$5,'Cases'!$A$6:$A$10,0)-1)*36+29),"")</f>
        <v/>
      </c>
      <c r="AG16" s="137">
        <f>IF(ISNUMBER(INDEX('Cash schedule'!$I$6:$I$185,(MATCH($B$5,'Cases'!$A$6:$A$10,0)-1)*36+30)),INDEX('Cash schedule'!$I$6:$I$185,(MATCH($B$5,'Cases'!$A$6:$A$10,0)-1)*36+30),"")</f>
        <v/>
      </c>
      <c r="AH16" s="137">
        <f>IF(ISNUMBER(INDEX('Cash schedule'!$I$6:$I$185,(MATCH($B$5,'Cases'!$A$6:$A$10,0)-1)*36+31)),INDEX('Cash schedule'!$I$6:$I$185,(MATCH($B$5,'Cases'!$A$6:$A$10,0)-1)*36+31),"")</f>
        <v/>
      </c>
      <c r="AI16" s="137">
        <f>IF(ISNUMBER(INDEX('Cash schedule'!$I$6:$I$185,(MATCH($B$5,'Cases'!$A$6:$A$10,0)-1)*36+32)),INDEX('Cash schedule'!$I$6:$I$185,(MATCH($B$5,'Cases'!$A$6:$A$10,0)-1)*36+32),"")</f>
        <v/>
      </c>
      <c r="AJ16" s="137">
        <f>IF(ISNUMBER(INDEX('Cash schedule'!$I$6:$I$185,(MATCH($B$5,'Cases'!$A$6:$A$10,0)-1)*36+33)),INDEX('Cash schedule'!$I$6:$I$185,(MATCH($B$5,'Cases'!$A$6:$A$10,0)-1)*36+33),"")</f>
        <v/>
      </c>
      <c r="AK16" s="137">
        <f>IF(ISNUMBER(INDEX('Cash schedule'!$I$6:$I$185,(MATCH($B$5,'Cases'!$A$6:$A$10,0)-1)*36+34)),INDEX('Cash schedule'!$I$6:$I$185,(MATCH($B$5,'Cases'!$A$6:$A$10,0)-1)*36+34),"")</f>
        <v/>
      </c>
      <c r="AL16" s="137">
        <f>IF(ISNUMBER(INDEX('Cash schedule'!$I$6:$I$185,(MATCH($B$5,'Cases'!$A$6:$A$10,0)-1)*36+35)),INDEX('Cash schedule'!$I$6:$I$185,(MATCH($B$5,'Cases'!$A$6:$A$10,0)-1)*36+35),"")</f>
        <v/>
      </c>
      <c r="AM16" s="137">
        <f>IF(ISNUMBER(INDEX('Cash schedule'!$I$6:$I$185,(MATCH($B$5,'Cases'!$A$6:$A$10,0)-1)*36+36)),INDEX('Cash schedule'!$I$6:$I$185,(MATCH($B$5,'Cases'!$A$6:$A$10,0)-1)*36+36),"")</f>
        <v/>
      </c>
    </row>
    <row r="17" ht="28" customHeight="1">
      <c r="A17" s="4" t="inlineStr">
        <is>
          <t>Goods current facility costs</t>
        </is>
      </c>
      <c r="B17" s="4" t="n"/>
      <c r="C17" s="4" t="n"/>
      <c r="D17" s="137">
        <f>IF(ISNUMBER(INDEX('Cash schedule'!$J$6:$J$185,(MATCH($B$5,'Cases'!$A$6:$A$10,0)-1)*36+1)),INDEX('Cash schedule'!$J$6:$J$185,(MATCH($B$5,'Cases'!$A$6:$A$10,0)-1)*36+1),"")</f>
        <v/>
      </c>
      <c r="E17" s="137">
        <f>IF(ISNUMBER(INDEX('Cash schedule'!$J$6:$J$185,(MATCH($B$5,'Cases'!$A$6:$A$10,0)-1)*36+2)),INDEX('Cash schedule'!$J$6:$J$185,(MATCH($B$5,'Cases'!$A$6:$A$10,0)-1)*36+2),"")</f>
        <v/>
      </c>
      <c r="F17" s="137">
        <f>IF(ISNUMBER(INDEX('Cash schedule'!$J$6:$J$185,(MATCH($B$5,'Cases'!$A$6:$A$10,0)-1)*36+3)),INDEX('Cash schedule'!$J$6:$J$185,(MATCH($B$5,'Cases'!$A$6:$A$10,0)-1)*36+3),"")</f>
        <v/>
      </c>
      <c r="G17" s="137">
        <f>IF(ISNUMBER(INDEX('Cash schedule'!$J$6:$J$185,(MATCH($B$5,'Cases'!$A$6:$A$10,0)-1)*36+4)),INDEX('Cash schedule'!$J$6:$J$185,(MATCH($B$5,'Cases'!$A$6:$A$10,0)-1)*36+4),"")</f>
        <v/>
      </c>
      <c r="H17" s="137">
        <f>IF(ISNUMBER(INDEX('Cash schedule'!$J$6:$J$185,(MATCH($B$5,'Cases'!$A$6:$A$10,0)-1)*36+5)),INDEX('Cash schedule'!$J$6:$J$185,(MATCH($B$5,'Cases'!$A$6:$A$10,0)-1)*36+5),"")</f>
        <v/>
      </c>
      <c r="I17" s="137">
        <f>IF(ISNUMBER(INDEX('Cash schedule'!$J$6:$J$185,(MATCH($B$5,'Cases'!$A$6:$A$10,0)-1)*36+6)),INDEX('Cash schedule'!$J$6:$J$185,(MATCH($B$5,'Cases'!$A$6:$A$10,0)-1)*36+6),"")</f>
        <v/>
      </c>
      <c r="J17" s="137">
        <f>IF(ISNUMBER(INDEX('Cash schedule'!$J$6:$J$185,(MATCH($B$5,'Cases'!$A$6:$A$10,0)-1)*36+7)),INDEX('Cash schedule'!$J$6:$J$185,(MATCH($B$5,'Cases'!$A$6:$A$10,0)-1)*36+7),"")</f>
        <v/>
      </c>
      <c r="K17" s="137">
        <f>IF(ISNUMBER(INDEX('Cash schedule'!$J$6:$J$185,(MATCH($B$5,'Cases'!$A$6:$A$10,0)-1)*36+8)),INDEX('Cash schedule'!$J$6:$J$185,(MATCH($B$5,'Cases'!$A$6:$A$10,0)-1)*36+8),"")</f>
        <v/>
      </c>
      <c r="L17" s="137">
        <f>IF(ISNUMBER(INDEX('Cash schedule'!$J$6:$J$185,(MATCH($B$5,'Cases'!$A$6:$A$10,0)-1)*36+9)),INDEX('Cash schedule'!$J$6:$J$185,(MATCH($B$5,'Cases'!$A$6:$A$10,0)-1)*36+9),"")</f>
        <v/>
      </c>
      <c r="M17" s="137">
        <f>IF(ISNUMBER(INDEX('Cash schedule'!$J$6:$J$185,(MATCH($B$5,'Cases'!$A$6:$A$10,0)-1)*36+10)),INDEX('Cash schedule'!$J$6:$J$185,(MATCH($B$5,'Cases'!$A$6:$A$10,0)-1)*36+10),"")</f>
        <v/>
      </c>
      <c r="N17" s="137">
        <f>IF(ISNUMBER(INDEX('Cash schedule'!$J$6:$J$185,(MATCH($B$5,'Cases'!$A$6:$A$10,0)-1)*36+11)),INDEX('Cash schedule'!$J$6:$J$185,(MATCH($B$5,'Cases'!$A$6:$A$10,0)-1)*36+11),"")</f>
        <v/>
      </c>
      <c r="O17" s="137">
        <f>IF(ISNUMBER(INDEX('Cash schedule'!$J$6:$J$185,(MATCH($B$5,'Cases'!$A$6:$A$10,0)-1)*36+12)),INDEX('Cash schedule'!$J$6:$J$185,(MATCH($B$5,'Cases'!$A$6:$A$10,0)-1)*36+12),"")</f>
        <v/>
      </c>
      <c r="P17" s="137">
        <f>IF(ISNUMBER(INDEX('Cash schedule'!$J$6:$J$185,(MATCH($B$5,'Cases'!$A$6:$A$10,0)-1)*36+13)),INDEX('Cash schedule'!$J$6:$J$185,(MATCH($B$5,'Cases'!$A$6:$A$10,0)-1)*36+13),"")</f>
        <v/>
      </c>
      <c r="Q17" s="137">
        <f>IF(ISNUMBER(INDEX('Cash schedule'!$J$6:$J$185,(MATCH($B$5,'Cases'!$A$6:$A$10,0)-1)*36+14)),INDEX('Cash schedule'!$J$6:$J$185,(MATCH($B$5,'Cases'!$A$6:$A$10,0)-1)*36+14),"")</f>
        <v/>
      </c>
      <c r="R17" s="137">
        <f>IF(ISNUMBER(INDEX('Cash schedule'!$J$6:$J$185,(MATCH($B$5,'Cases'!$A$6:$A$10,0)-1)*36+15)),INDEX('Cash schedule'!$J$6:$J$185,(MATCH($B$5,'Cases'!$A$6:$A$10,0)-1)*36+15),"")</f>
        <v/>
      </c>
      <c r="S17" s="137">
        <f>IF(ISNUMBER(INDEX('Cash schedule'!$J$6:$J$185,(MATCH($B$5,'Cases'!$A$6:$A$10,0)-1)*36+16)),INDEX('Cash schedule'!$J$6:$J$185,(MATCH($B$5,'Cases'!$A$6:$A$10,0)-1)*36+16),"")</f>
        <v/>
      </c>
      <c r="T17" s="137">
        <f>IF(ISNUMBER(INDEX('Cash schedule'!$J$6:$J$185,(MATCH($B$5,'Cases'!$A$6:$A$10,0)-1)*36+17)),INDEX('Cash schedule'!$J$6:$J$185,(MATCH($B$5,'Cases'!$A$6:$A$10,0)-1)*36+17),"")</f>
        <v/>
      </c>
      <c r="U17" s="137">
        <f>IF(ISNUMBER(INDEX('Cash schedule'!$J$6:$J$185,(MATCH($B$5,'Cases'!$A$6:$A$10,0)-1)*36+18)),INDEX('Cash schedule'!$J$6:$J$185,(MATCH($B$5,'Cases'!$A$6:$A$10,0)-1)*36+18),"")</f>
        <v/>
      </c>
      <c r="V17" s="137">
        <f>IF(ISNUMBER(INDEX('Cash schedule'!$J$6:$J$185,(MATCH($B$5,'Cases'!$A$6:$A$10,0)-1)*36+19)),INDEX('Cash schedule'!$J$6:$J$185,(MATCH($B$5,'Cases'!$A$6:$A$10,0)-1)*36+19),"")</f>
        <v/>
      </c>
      <c r="W17" s="137">
        <f>IF(ISNUMBER(INDEX('Cash schedule'!$J$6:$J$185,(MATCH($B$5,'Cases'!$A$6:$A$10,0)-1)*36+20)),INDEX('Cash schedule'!$J$6:$J$185,(MATCH($B$5,'Cases'!$A$6:$A$10,0)-1)*36+20),"")</f>
        <v/>
      </c>
      <c r="X17" s="137">
        <f>IF(ISNUMBER(INDEX('Cash schedule'!$J$6:$J$185,(MATCH($B$5,'Cases'!$A$6:$A$10,0)-1)*36+21)),INDEX('Cash schedule'!$J$6:$J$185,(MATCH($B$5,'Cases'!$A$6:$A$10,0)-1)*36+21),"")</f>
        <v/>
      </c>
      <c r="Y17" s="137">
        <f>IF(ISNUMBER(INDEX('Cash schedule'!$J$6:$J$185,(MATCH($B$5,'Cases'!$A$6:$A$10,0)-1)*36+22)),INDEX('Cash schedule'!$J$6:$J$185,(MATCH($B$5,'Cases'!$A$6:$A$10,0)-1)*36+22),"")</f>
        <v/>
      </c>
      <c r="Z17" s="137">
        <f>IF(ISNUMBER(INDEX('Cash schedule'!$J$6:$J$185,(MATCH($B$5,'Cases'!$A$6:$A$10,0)-1)*36+23)),INDEX('Cash schedule'!$J$6:$J$185,(MATCH($B$5,'Cases'!$A$6:$A$10,0)-1)*36+23),"")</f>
        <v/>
      </c>
      <c r="AA17" s="137">
        <f>IF(ISNUMBER(INDEX('Cash schedule'!$J$6:$J$185,(MATCH($B$5,'Cases'!$A$6:$A$10,0)-1)*36+24)),INDEX('Cash schedule'!$J$6:$J$185,(MATCH($B$5,'Cases'!$A$6:$A$10,0)-1)*36+24),"")</f>
        <v/>
      </c>
      <c r="AB17" s="137">
        <f>IF(ISNUMBER(INDEX('Cash schedule'!$J$6:$J$185,(MATCH($B$5,'Cases'!$A$6:$A$10,0)-1)*36+25)),INDEX('Cash schedule'!$J$6:$J$185,(MATCH($B$5,'Cases'!$A$6:$A$10,0)-1)*36+25),"")</f>
        <v/>
      </c>
      <c r="AC17" s="137">
        <f>IF(ISNUMBER(INDEX('Cash schedule'!$J$6:$J$185,(MATCH($B$5,'Cases'!$A$6:$A$10,0)-1)*36+26)),INDEX('Cash schedule'!$J$6:$J$185,(MATCH($B$5,'Cases'!$A$6:$A$10,0)-1)*36+26),"")</f>
        <v/>
      </c>
      <c r="AD17" s="137">
        <f>IF(ISNUMBER(INDEX('Cash schedule'!$J$6:$J$185,(MATCH($B$5,'Cases'!$A$6:$A$10,0)-1)*36+27)),INDEX('Cash schedule'!$J$6:$J$185,(MATCH($B$5,'Cases'!$A$6:$A$10,0)-1)*36+27),"")</f>
        <v/>
      </c>
      <c r="AE17" s="137">
        <f>IF(ISNUMBER(INDEX('Cash schedule'!$J$6:$J$185,(MATCH($B$5,'Cases'!$A$6:$A$10,0)-1)*36+28)),INDEX('Cash schedule'!$J$6:$J$185,(MATCH($B$5,'Cases'!$A$6:$A$10,0)-1)*36+28),"")</f>
        <v/>
      </c>
      <c r="AF17" s="137">
        <f>IF(ISNUMBER(INDEX('Cash schedule'!$J$6:$J$185,(MATCH($B$5,'Cases'!$A$6:$A$10,0)-1)*36+29)),INDEX('Cash schedule'!$J$6:$J$185,(MATCH($B$5,'Cases'!$A$6:$A$10,0)-1)*36+29),"")</f>
        <v/>
      </c>
      <c r="AG17" s="137">
        <f>IF(ISNUMBER(INDEX('Cash schedule'!$J$6:$J$185,(MATCH($B$5,'Cases'!$A$6:$A$10,0)-1)*36+30)),INDEX('Cash schedule'!$J$6:$J$185,(MATCH($B$5,'Cases'!$A$6:$A$10,0)-1)*36+30),"")</f>
        <v/>
      </c>
      <c r="AH17" s="137">
        <f>IF(ISNUMBER(INDEX('Cash schedule'!$J$6:$J$185,(MATCH($B$5,'Cases'!$A$6:$A$10,0)-1)*36+31)),INDEX('Cash schedule'!$J$6:$J$185,(MATCH($B$5,'Cases'!$A$6:$A$10,0)-1)*36+31),"")</f>
        <v/>
      </c>
      <c r="AI17" s="137">
        <f>IF(ISNUMBER(INDEX('Cash schedule'!$J$6:$J$185,(MATCH($B$5,'Cases'!$A$6:$A$10,0)-1)*36+32)),INDEX('Cash schedule'!$J$6:$J$185,(MATCH($B$5,'Cases'!$A$6:$A$10,0)-1)*36+32),"")</f>
        <v/>
      </c>
      <c r="AJ17" s="137">
        <f>IF(ISNUMBER(INDEX('Cash schedule'!$J$6:$J$185,(MATCH($B$5,'Cases'!$A$6:$A$10,0)-1)*36+33)),INDEX('Cash schedule'!$J$6:$J$185,(MATCH($B$5,'Cases'!$A$6:$A$10,0)-1)*36+33),"")</f>
        <v/>
      </c>
      <c r="AK17" s="137">
        <f>IF(ISNUMBER(INDEX('Cash schedule'!$J$6:$J$185,(MATCH($B$5,'Cases'!$A$6:$A$10,0)-1)*36+34)),INDEX('Cash schedule'!$J$6:$J$185,(MATCH($B$5,'Cases'!$A$6:$A$10,0)-1)*36+34),"")</f>
        <v/>
      </c>
      <c r="AL17" s="137">
        <f>IF(ISNUMBER(INDEX('Cash schedule'!$J$6:$J$185,(MATCH($B$5,'Cases'!$A$6:$A$10,0)-1)*36+35)),INDEX('Cash schedule'!$J$6:$J$185,(MATCH($B$5,'Cases'!$A$6:$A$10,0)-1)*36+35),"")</f>
        <v/>
      </c>
      <c r="AM17" s="137">
        <f>IF(ISNUMBER(INDEX('Cash schedule'!$J$6:$J$185,(MATCH($B$5,'Cases'!$A$6:$A$10,0)-1)*36+36)),INDEX('Cash schedule'!$J$6:$J$185,(MATCH($B$5,'Cases'!$A$6:$A$10,0)-1)*36+36),"")</f>
        <v/>
      </c>
    </row>
    <row r="18" ht="28" customHeight="1">
      <c r="A18" s="4" t="inlineStr">
        <is>
          <t>Youth support</t>
        </is>
      </c>
      <c r="B18" s="4" t="n"/>
      <c r="C18" s="4" t="n"/>
      <c r="D18" s="137">
        <f>IF(ISNUMBER(INDEX('Cash schedule'!$K$6:$K$185,(MATCH($B$5,'Cases'!$A$6:$A$10,0)-1)*36+1)),INDEX('Cash schedule'!$K$6:$K$185,(MATCH($B$5,'Cases'!$A$6:$A$10,0)-1)*36+1),"")</f>
        <v/>
      </c>
      <c r="E18" s="137">
        <f>IF(ISNUMBER(INDEX('Cash schedule'!$K$6:$K$185,(MATCH($B$5,'Cases'!$A$6:$A$10,0)-1)*36+2)),INDEX('Cash schedule'!$K$6:$K$185,(MATCH($B$5,'Cases'!$A$6:$A$10,0)-1)*36+2),"")</f>
        <v/>
      </c>
      <c r="F18" s="137">
        <f>IF(ISNUMBER(INDEX('Cash schedule'!$K$6:$K$185,(MATCH($B$5,'Cases'!$A$6:$A$10,0)-1)*36+3)),INDEX('Cash schedule'!$K$6:$K$185,(MATCH($B$5,'Cases'!$A$6:$A$10,0)-1)*36+3),"")</f>
        <v/>
      </c>
      <c r="G18" s="137">
        <f>IF(ISNUMBER(INDEX('Cash schedule'!$K$6:$K$185,(MATCH($B$5,'Cases'!$A$6:$A$10,0)-1)*36+4)),INDEX('Cash schedule'!$K$6:$K$185,(MATCH($B$5,'Cases'!$A$6:$A$10,0)-1)*36+4),"")</f>
        <v/>
      </c>
      <c r="H18" s="137">
        <f>IF(ISNUMBER(INDEX('Cash schedule'!$K$6:$K$185,(MATCH($B$5,'Cases'!$A$6:$A$10,0)-1)*36+5)),INDEX('Cash schedule'!$K$6:$K$185,(MATCH($B$5,'Cases'!$A$6:$A$10,0)-1)*36+5),"")</f>
        <v/>
      </c>
      <c r="I18" s="137">
        <f>IF(ISNUMBER(INDEX('Cash schedule'!$K$6:$K$185,(MATCH($B$5,'Cases'!$A$6:$A$10,0)-1)*36+6)),INDEX('Cash schedule'!$K$6:$K$185,(MATCH($B$5,'Cases'!$A$6:$A$10,0)-1)*36+6),"")</f>
        <v/>
      </c>
      <c r="J18" s="137">
        <f>IF(ISNUMBER(INDEX('Cash schedule'!$K$6:$K$185,(MATCH($B$5,'Cases'!$A$6:$A$10,0)-1)*36+7)),INDEX('Cash schedule'!$K$6:$K$185,(MATCH($B$5,'Cases'!$A$6:$A$10,0)-1)*36+7),"")</f>
        <v/>
      </c>
      <c r="K18" s="137">
        <f>IF(ISNUMBER(INDEX('Cash schedule'!$K$6:$K$185,(MATCH($B$5,'Cases'!$A$6:$A$10,0)-1)*36+8)),INDEX('Cash schedule'!$K$6:$K$185,(MATCH($B$5,'Cases'!$A$6:$A$10,0)-1)*36+8),"")</f>
        <v/>
      </c>
      <c r="L18" s="137">
        <f>IF(ISNUMBER(INDEX('Cash schedule'!$K$6:$K$185,(MATCH($B$5,'Cases'!$A$6:$A$10,0)-1)*36+9)),INDEX('Cash schedule'!$K$6:$K$185,(MATCH($B$5,'Cases'!$A$6:$A$10,0)-1)*36+9),"")</f>
        <v/>
      </c>
      <c r="M18" s="137">
        <f>IF(ISNUMBER(INDEX('Cash schedule'!$K$6:$K$185,(MATCH($B$5,'Cases'!$A$6:$A$10,0)-1)*36+10)),INDEX('Cash schedule'!$K$6:$K$185,(MATCH($B$5,'Cases'!$A$6:$A$10,0)-1)*36+10),"")</f>
        <v/>
      </c>
      <c r="N18" s="137">
        <f>IF(ISNUMBER(INDEX('Cash schedule'!$K$6:$K$185,(MATCH($B$5,'Cases'!$A$6:$A$10,0)-1)*36+11)),INDEX('Cash schedule'!$K$6:$K$185,(MATCH($B$5,'Cases'!$A$6:$A$10,0)-1)*36+11),"")</f>
        <v/>
      </c>
      <c r="O18" s="137">
        <f>IF(ISNUMBER(INDEX('Cash schedule'!$K$6:$K$185,(MATCH($B$5,'Cases'!$A$6:$A$10,0)-1)*36+12)),INDEX('Cash schedule'!$K$6:$K$185,(MATCH($B$5,'Cases'!$A$6:$A$10,0)-1)*36+12),"")</f>
        <v/>
      </c>
      <c r="P18" s="137">
        <f>IF(ISNUMBER(INDEX('Cash schedule'!$K$6:$K$185,(MATCH($B$5,'Cases'!$A$6:$A$10,0)-1)*36+13)),INDEX('Cash schedule'!$K$6:$K$185,(MATCH($B$5,'Cases'!$A$6:$A$10,0)-1)*36+13),"")</f>
        <v/>
      </c>
      <c r="Q18" s="137">
        <f>IF(ISNUMBER(INDEX('Cash schedule'!$K$6:$K$185,(MATCH($B$5,'Cases'!$A$6:$A$10,0)-1)*36+14)),INDEX('Cash schedule'!$K$6:$K$185,(MATCH($B$5,'Cases'!$A$6:$A$10,0)-1)*36+14),"")</f>
        <v/>
      </c>
      <c r="R18" s="137">
        <f>IF(ISNUMBER(INDEX('Cash schedule'!$K$6:$K$185,(MATCH($B$5,'Cases'!$A$6:$A$10,0)-1)*36+15)),INDEX('Cash schedule'!$K$6:$K$185,(MATCH($B$5,'Cases'!$A$6:$A$10,0)-1)*36+15),"")</f>
        <v/>
      </c>
      <c r="S18" s="137">
        <f>IF(ISNUMBER(INDEX('Cash schedule'!$K$6:$K$185,(MATCH($B$5,'Cases'!$A$6:$A$10,0)-1)*36+16)),INDEX('Cash schedule'!$K$6:$K$185,(MATCH($B$5,'Cases'!$A$6:$A$10,0)-1)*36+16),"")</f>
        <v/>
      </c>
      <c r="T18" s="137">
        <f>IF(ISNUMBER(INDEX('Cash schedule'!$K$6:$K$185,(MATCH($B$5,'Cases'!$A$6:$A$10,0)-1)*36+17)),INDEX('Cash schedule'!$K$6:$K$185,(MATCH($B$5,'Cases'!$A$6:$A$10,0)-1)*36+17),"")</f>
        <v/>
      </c>
      <c r="U18" s="137">
        <f>IF(ISNUMBER(INDEX('Cash schedule'!$K$6:$K$185,(MATCH($B$5,'Cases'!$A$6:$A$10,0)-1)*36+18)),INDEX('Cash schedule'!$K$6:$K$185,(MATCH($B$5,'Cases'!$A$6:$A$10,0)-1)*36+18),"")</f>
        <v/>
      </c>
      <c r="V18" s="137">
        <f>IF(ISNUMBER(INDEX('Cash schedule'!$K$6:$K$185,(MATCH($B$5,'Cases'!$A$6:$A$10,0)-1)*36+19)),INDEX('Cash schedule'!$K$6:$K$185,(MATCH($B$5,'Cases'!$A$6:$A$10,0)-1)*36+19),"")</f>
        <v/>
      </c>
      <c r="W18" s="137">
        <f>IF(ISNUMBER(INDEX('Cash schedule'!$K$6:$K$185,(MATCH($B$5,'Cases'!$A$6:$A$10,0)-1)*36+20)),INDEX('Cash schedule'!$K$6:$K$185,(MATCH($B$5,'Cases'!$A$6:$A$10,0)-1)*36+20),"")</f>
        <v/>
      </c>
      <c r="X18" s="137">
        <f>IF(ISNUMBER(INDEX('Cash schedule'!$K$6:$K$185,(MATCH($B$5,'Cases'!$A$6:$A$10,0)-1)*36+21)),INDEX('Cash schedule'!$K$6:$K$185,(MATCH($B$5,'Cases'!$A$6:$A$10,0)-1)*36+21),"")</f>
        <v/>
      </c>
      <c r="Y18" s="137">
        <f>IF(ISNUMBER(INDEX('Cash schedule'!$K$6:$K$185,(MATCH($B$5,'Cases'!$A$6:$A$10,0)-1)*36+22)),INDEX('Cash schedule'!$K$6:$K$185,(MATCH($B$5,'Cases'!$A$6:$A$10,0)-1)*36+22),"")</f>
        <v/>
      </c>
      <c r="Z18" s="137">
        <f>IF(ISNUMBER(INDEX('Cash schedule'!$K$6:$K$185,(MATCH($B$5,'Cases'!$A$6:$A$10,0)-1)*36+23)),INDEX('Cash schedule'!$K$6:$K$185,(MATCH($B$5,'Cases'!$A$6:$A$10,0)-1)*36+23),"")</f>
        <v/>
      </c>
      <c r="AA18" s="137">
        <f>IF(ISNUMBER(INDEX('Cash schedule'!$K$6:$K$185,(MATCH($B$5,'Cases'!$A$6:$A$10,0)-1)*36+24)),INDEX('Cash schedule'!$K$6:$K$185,(MATCH($B$5,'Cases'!$A$6:$A$10,0)-1)*36+24),"")</f>
        <v/>
      </c>
      <c r="AB18" s="137">
        <f>IF(ISNUMBER(INDEX('Cash schedule'!$K$6:$K$185,(MATCH($B$5,'Cases'!$A$6:$A$10,0)-1)*36+25)),INDEX('Cash schedule'!$K$6:$K$185,(MATCH($B$5,'Cases'!$A$6:$A$10,0)-1)*36+25),"")</f>
        <v/>
      </c>
      <c r="AC18" s="137">
        <f>IF(ISNUMBER(INDEX('Cash schedule'!$K$6:$K$185,(MATCH($B$5,'Cases'!$A$6:$A$10,0)-1)*36+26)),INDEX('Cash schedule'!$K$6:$K$185,(MATCH($B$5,'Cases'!$A$6:$A$10,0)-1)*36+26),"")</f>
        <v/>
      </c>
      <c r="AD18" s="137">
        <f>IF(ISNUMBER(INDEX('Cash schedule'!$K$6:$K$185,(MATCH($B$5,'Cases'!$A$6:$A$10,0)-1)*36+27)),INDEX('Cash schedule'!$K$6:$K$185,(MATCH($B$5,'Cases'!$A$6:$A$10,0)-1)*36+27),"")</f>
        <v/>
      </c>
      <c r="AE18" s="137">
        <f>IF(ISNUMBER(INDEX('Cash schedule'!$K$6:$K$185,(MATCH($B$5,'Cases'!$A$6:$A$10,0)-1)*36+28)),INDEX('Cash schedule'!$K$6:$K$185,(MATCH($B$5,'Cases'!$A$6:$A$10,0)-1)*36+28),"")</f>
        <v/>
      </c>
      <c r="AF18" s="137">
        <f>IF(ISNUMBER(INDEX('Cash schedule'!$K$6:$K$185,(MATCH($B$5,'Cases'!$A$6:$A$10,0)-1)*36+29)),INDEX('Cash schedule'!$K$6:$K$185,(MATCH($B$5,'Cases'!$A$6:$A$10,0)-1)*36+29),"")</f>
        <v/>
      </c>
      <c r="AG18" s="137">
        <f>IF(ISNUMBER(INDEX('Cash schedule'!$K$6:$K$185,(MATCH($B$5,'Cases'!$A$6:$A$10,0)-1)*36+30)),INDEX('Cash schedule'!$K$6:$K$185,(MATCH($B$5,'Cases'!$A$6:$A$10,0)-1)*36+30),"")</f>
        <v/>
      </c>
      <c r="AH18" s="137">
        <f>IF(ISNUMBER(INDEX('Cash schedule'!$K$6:$K$185,(MATCH($B$5,'Cases'!$A$6:$A$10,0)-1)*36+31)),INDEX('Cash schedule'!$K$6:$K$185,(MATCH($B$5,'Cases'!$A$6:$A$10,0)-1)*36+31),"")</f>
        <v/>
      </c>
      <c r="AI18" s="137">
        <f>IF(ISNUMBER(INDEX('Cash schedule'!$K$6:$K$185,(MATCH($B$5,'Cases'!$A$6:$A$10,0)-1)*36+32)),INDEX('Cash schedule'!$K$6:$K$185,(MATCH($B$5,'Cases'!$A$6:$A$10,0)-1)*36+32),"")</f>
        <v/>
      </c>
      <c r="AJ18" s="137">
        <f>IF(ISNUMBER(INDEX('Cash schedule'!$K$6:$K$185,(MATCH($B$5,'Cases'!$A$6:$A$10,0)-1)*36+33)),INDEX('Cash schedule'!$K$6:$K$185,(MATCH($B$5,'Cases'!$A$6:$A$10,0)-1)*36+33),"")</f>
        <v/>
      </c>
      <c r="AK18" s="137">
        <f>IF(ISNUMBER(INDEX('Cash schedule'!$K$6:$K$185,(MATCH($B$5,'Cases'!$A$6:$A$10,0)-1)*36+34)),INDEX('Cash schedule'!$K$6:$K$185,(MATCH($B$5,'Cases'!$A$6:$A$10,0)-1)*36+34),"")</f>
        <v/>
      </c>
      <c r="AL18" s="137">
        <f>IF(ISNUMBER(INDEX('Cash schedule'!$K$6:$K$185,(MATCH($B$5,'Cases'!$A$6:$A$10,0)-1)*36+35)),INDEX('Cash schedule'!$K$6:$K$185,(MATCH($B$5,'Cases'!$A$6:$A$10,0)-1)*36+35),"")</f>
        <v/>
      </c>
      <c r="AM18" s="137">
        <f>IF(ISNUMBER(INDEX('Cash schedule'!$K$6:$K$185,(MATCH($B$5,'Cases'!$A$6:$A$10,0)-1)*36+36)),INDEX('Cash schedule'!$K$6:$K$185,(MATCH($B$5,'Cases'!$A$6:$A$10,0)-1)*36+36),"")</f>
        <v/>
      </c>
    </row>
    <row r="19" ht="28" customHeight="1">
      <c r="A19" s="4" t="inlineStr">
        <is>
          <t>Extra costs</t>
        </is>
      </c>
      <c r="B19" s="4" t="n"/>
      <c r="C19" s="4" t="n"/>
      <c r="D19" s="137">
        <f>IF(ISNUMBER(INDEX('Cash schedule'!$L$6:$L$185,(MATCH($B$5,'Cases'!$A$6:$A$10,0)-1)*36+1)),INDEX('Cash schedule'!$L$6:$L$185,(MATCH($B$5,'Cases'!$A$6:$A$10,0)-1)*36+1),"")</f>
        <v/>
      </c>
      <c r="E19" s="137">
        <f>IF(ISNUMBER(INDEX('Cash schedule'!$L$6:$L$185,(MATCH($B$5,'Cases'!$A$6:$A$10,0)-1)*36+2)),INDEX('Cash schedule'!$L$6:$L$185,(MATCH($B$5,'Cases'!$A$6:$A$10,0)-1)*36+2),"")</f>
        <v/>
      </c>
      <c r="F19" s="137">
        <f>IF(ISNUMBER(INDEX('Cash schedule'!$L$6:$L$185,(MATCH($B$5,'Cases'!$A$6:$A$10,0)-1)*36+3)),INDEX('Cash schedule'!$L$6:$L$185,(MATCH($B$5,'Cases'!$A$6:$A$10,0)-1)*36+3),"")</f>
        <v/>
      </c>
      <c r="G19" s="137">
        <f>IF(ISNUMBER(INDEX('Cash schedule'!$L$6:$L$185,(MATCH($B$5,'Cases'!$A$6:$A$10,0)-1)*36+4)),INDEX('Cash schedule'!$L$6:$L$185,(MATCH($B$5,'Cases'!$A$6:$A$10,0)-1)*36+4),"")</f>
        <v/>
      </c>
      <c r="H19" s="137">
        <f>IF(ISNUMBER(INDEX('Cash schedule'!$L$6:$L$185,(MATCH($B$5,'Cases'!$A$6:$A$10,0)-1)*36+5)),INDEX('Cash schedule'!$L$6:$L$185,(MATCH($B$5,'Cases'!$A$6:$A$10,0)-1)*36+5),"")</f>
        <v/>
      </c>
      <c r="I19" s="137">
        <f>IF(ISNUMBER(INDEX('Cash schedule'!$L$6:$L$185,(MATCH($B$5,'Cases'!$A$6:$A$10,0)-1)*36+6)),INDEX('Cash schedule'!$L$6:$L$185,(MATCH($B$5,'Cases'!$A$6:$A$10,0)-1)*36+6),"")</f>
        <v/>
      </c>
      <c r="J19" s="137">
        <f>IF(ISNUMBER(INDEX('Cash schedule'!$L$6:$L$185,(MATCH($B$5,'Cases'!$A$6:$A$10,0)-1)*36+7)),INDEX('Cash schedule'!$L$6:$L$185,(MATCH($B$5,'Cases'!$A$6:$A$10,0)-1)*36+7),"")</f>
        <v/>
      </c>
      <c r="K19" s="137">
        <f>IF(ISNUMBER(INDEX('Cash schedule'!$L$6:$L$185,(MATCH($B$5,'Cases'!$A$6:$A$10,0)-1)*36+8)),INDEX('Cash schedule'!$L$6:$L$185,(MATCH($B$5,'Cases'!$A$6:$A$10,0)-1)*36+8),"")</f>
        <v/>
      </c>
      <c r="L19" s="137">
        <f>IF(ISNUMBER(INDEX('Cash schedule'!$L$6:$L$185,(MATCH($B$5,'Cases'!$A$6:$A$10,0)-1)*36+9)),INDEX('Cash schedule'!$L$6:$L$185,(MATCH($B$5,'Cases'!$A$6:$A$10,0)-1)*36+9),"")</f>
        <v/>
      </c>
      <c r="M19" s="137">
        <f>IF(ISNUMBER(INDEX('Cash schedule'!$L$6:$L$185,(MATCH($B$5,'Cases'!$A$6:$A$10,0)-1)*36+10)),INDEX('Cash schedule'!$L$6:$L$185,(MATCH($B$5,'Cases'!$A$6:$A$10,0)-1)*36+10),"")</f>
        <v/>
      </c>
      <c r="N19" s="137">
        <f>IF(ISNUMBER(INDEX('Cash schedule'!$L$6:$L$185,(MATCH($B$5,'Cases'!$A$6:$A$10,0)-1)*36+11)),INDEX('Cash schedule'!$L$6:$L$185,(MATCH($B$5,'Cases'!$A$6:$A$10,0)-1)*36+11),"")</f>
        <v/>
      </c>
      <c r="O19" s="137">
        <f>IF(ISNUMBER(INDEX('Cash schedule'!$L$6:$L$185,(MATCH($B$5,'Cases'!$A$6:$A$10,0)-1)*36+12)),INDEX('Cash schedule'!$L$6:$L$185,(MATCH($B$5,'Cases'!$A$6:$A$10,0)-1)*36+12),"")</f>
        <v/>
      </c>
      <c r="P19" s="137">
        <f>IF(ISNUMBER(INDEX('Cash schedule'!$L$6:$L$185,(MATCH($B$5,'Cases'!$A$6:$A$10,0)-1)*36+13)),INDEX('Cash schedule'!$L$6:$L$185,(MATCH($B$5,'Cases'!$A$6:$A$10,0)-1)*36+13),"")</f>
        <v/>
      </c>
      <c r="Q19" s="137">
        <f>IF(ISNUMBER(INDEX('Cash schedule'!$L$6:$L$185,(MATCH($B$5,'Cases'!$A$6:$A$10,0)-1)*36+14)),INDEX('Cash schedule'!$L$6:$L$185,(MATCH($B$5,'Cases'!$A$6:$A$10,0)-1)*36+14),"")</f>
        <v/>
      </c>
      <c r="R19" s="137">
        <f>IF(ISNUMBER(INDEX('Cash schedule'!$L$6:$L$185,(MATCH($B$5,'Cases'!$A$6:$A$10,0)-1)*36+15)),INDEX('Cash schedule'!$L$6:$L$185,(MATCH($B$5,'Cases'!$A$6:$A$10,0)-1)*36+15),"")</f>
        <v/>
      </c>
      <c r="S19" s="137">
        <f>IF(ISNUMBER(INDEX('Cash schedule'!$L$6:$L$185,(MATCH($B$5,'Cases'!$A$6:$A$10,0)-1)*36+16)),INDEX('Cash schedule'!$L$6:$L$185,(MATCH($B$5,'Cases'!$A$6:$A$10,0)-1)*36+16),"")</f>
        <v/>
      </c>
      <c r="T19" s="137">
        <f>IF(ISNUMBER(INDEX('Cash schedule'!$L$6:$L$185,(MATCH($B$5,'Cases'!$A$6:$A$10,0)-1)*36+17)),INDEX('Cash schedule'!$L$6:$L$185,(MATCH($B$5,'Cases'!$A$6:$A$10,0)-1)*36+17),"")</f>
        <v/>
      </c>
      <c r="U19" s="137">
        <f>IF(ISNUMBER(INDEX('Cash schedule'!$L$6:$L$185,(MATCH($B$5,'Cases'!$A$6:$A$10,0)-1)*36+18)),INDEX('Cash schedule'!$L$6:$L$185,(MATCH($B$5,'Cases'!$A$6:$A$10,0)-1)*36+18),"")</f>
        <v/>
      </c>
      <c r="V19" s="137">
        <f>IF(ISNUMBER(INDEX('Cash schedule'!$L$6:$L$185,(MATCH($B$5,'Cases'!$A$6:$A$10,0)-1)*36+19)),INDEX('Cash schedule'!$L$6:$L$185,(MATCH($B$5,'Cases'!$A$6:$A$10,0)-1)*36+19),"")</f>
        <v/>
      </c>
      <c r="W19" s="137">
        <f>IF(ISNUMBER(INDEX('Cash schedule'!$L$6:$L$185,(MATCH($B$5,'Cases'!$A$6:$A$10,0)-1)*36+20)),INDEX('Cash schedule'!$L$6:$L$185,(MATCH($B$5,'Cases'!$A$6:$A$10,0)-1)*36+20),"")</f>
        <v/>
      </c>
      <c r="X19" s="137">
        <f>IF(ISNUMBER(INDEX('Cash schedule'!$L$6:$L$185,(MATCH($B$5,'Cases'!$A$6:$A$10,0)-1)*36+21)),INDEX('Cash schedule'!$L$6:$L$185,(MATCH($B$5,'Cases'!$A$6:$A$10,0)-1)*36+21),"")</f>
        <v/>
      </c>
      <c r="Y19" s="137">
        <f>IF(ISNUMBER(INDEX('Cash schedule'!$L$6:$L$185,(MATCH($B$5,'Cases'!$A$6:$A$10,0)-1)*36+22)),INDEX('Cash schedule'!$L$6:$L$185,(MATCH($B$5,'Cases'!$A$6:$A$10,0)-1)*36+22),"")</f>
        <v/>
      </c>
      <c r="Z19" s="137">
        <f>IF(ISNUMBER(INDEX('Cash schedule'!$L$6:$L$185,(MATCH($B$5,'Cases'!$A$6:$A$10,0)-1)*36+23)),INDEX('Cash schedule'!$L$6:$L$185,(MATCH($B$5,'Cases'!$A$6:$A$10,0)-1)*36+23),"")</f>
        <v/>
      </c>
      <c r="AA19" s="137">
        <f>IF(ISNUMBER(INDEX('Cash schedule'!$L$6:$L$185,(MATCH($B$5,'Cases'!$A$6:$A$10,0)-1)*36+24)),INDEX('Cash schedule'!$L$6:$L$185,(MATCH($B$5,'Cases'!$A$6:$A$10,0)-1)*36+24),"")</f>
        <v/>
      </c>
      <c r="AB19" s="137">
        <f>IF(ISNUMBER(INDEX('Cash schedule'!$L$6:$L$185,(MATCH($B$5,'Cases'!$A$6:$A$10,0)-1)*36+25)),INDEX('Cash schedule'!$L$6:$L$185,(MATCH($B$5,'Cases'!$A$6:$A$10,0)-1)*36+25),"")</f>
        <v/>
      </c>
      <c r="AC19" s="137">
        <f>IF(ISNUMBER(INDEX('Cash schedule'!$L$6:$L$185,(MATCH($B$5,'Cases'!$A$6:$A$10,0)-1)*36+26)),INDEX('Cash schedule'!$L$6:$L$185,(MATCH($B$5,'Cases'!$A$6:$A$10,0)-1)*36+26),"")</f>
        <v/>
      </c>
      <c r="AD19" s="137">
        <f>IF(ISNUMBER(INDEX('Cash schedule'!$L$6:$L$185,(MATCH($B$5,'Cases'!$A$6:$A$10,0)-1)*36+27)),INDEX('Cash schedule'!$L$6:$L$185,(MATCH($B$5,'Cases'!$A$6:$A$10,0)-1)*36+27),"")</f>
        <v/>
      </c>
      <c r="AE19" s="137">
        <f>IF(ISNUMBER(INDEX('Cash schedule'!$L$6:$L$185,(MATCH($B$5,'Cases'!$A$6:$A$10,0)-1)*36+28)),INDEX('Cash schedule'!$L$6:$L$185,(MATCH($B$5,'Cases'!$A$6:$A$10,0)-1)*36+28),"")</f>
        <v/>
      </c>
      <c r="AF19" s="137">
        <f>IF(ISNUMBER(INDEX('Cash schedule'!$L$6:$L$185,(MATCH($B$5,'Cases'!$A$6:$A$10,0)-1)*36+29)),INDEX('Cash schedule'!$L$6:$L$185,(MATCH($B$5,'Cases'!$A$6:$A$10,0)-1)*36+29),"")</f>
        <v/>
      </c>
      <c r="AG19" s="137">
        <f>IF(ISNUMBER(INDEX('Cash schedule'!$L$6:$L$185,(MATCH($B$5,'Cases'!$A$6:$A$10,0)-1)*36+30)),INDEX('Cash schedule'!$L$6:$L$185,(MATCH($B$5,'Cases'!$A$6:$A$10,0)-1)*36+30),"")</f>
        <v/>
      </c>
      <c r="AH19" s="137">
        <f>IF(ISNUMBER(INDEX('Cash schedule'!$L$6:$L$185,(MATCH($B$5,'Cases'!$A$6:$A$10,0)-1)*36+31)),INDEX('Cash schedule'!$L$6:$L$185,(MATCH($B$5,'Cases'!$A$6:$A$10,0)-1)*36+31),"")</f>
        <v/>
      </c>
      <c r="AI19" s="137">
        <f>IF(ISNUMBER(INDEX('Cash schedule'!$L$6:$L$185,(MATCH($B$5,'Cases'!$A$6:$A$10,0)-1)*36+32)),INDEX('Cash schedule'!$L$6:$L$185,(MATCH($B$5,'Cases'!$A$6:$A$10,0)-1)*36+32),"")</f>
        <v/>
      </c>
      <c r="AJ19" s="137">
        <f>IF(ISNUMBER(INDEX('Cash schedule'!$L$6:$L$185,(MATCH($B$5,'Cases'!$A$6:$A$10,0)-1)*36+33)),INDEX('Cash schedule'!$L$6:$L$185,(MATCH($B$5,'Cases'!$A$6:$A$10,0)-1)*36+33),"")</f>
        <v/>
      </c>
      <c r="AK19" s="137">
        <f>IF(ISNUMBER(INDEX('Cash schedule'!$L$6:$L$185,(MATCH($B$5,'Cases'!$A$6:$A$10,0)-1)*36+34)),INDEX('Cash schedule'!$L$6:$L$185,(MATCH($B$5,'Cases'!$A$6:$A$10,0)-1)*36+34),"")</f>
        <v/>
      </c>
      <c r="AL19" s="137">
        <f>IF(ISNUMBER(INDEX('Cash schedule'!$L$6:$L$185,(MATCH($B$5,'Cases'!$A$6:$A$10,0)-1)*36+35)),INDEX('Cash schedule'!$L$6:$L$185,(MATCH($B$5,'Cases'!$A$6:$A$10,0)-1)*36+35),"")</f>
        <v/>
      </c>
      <c r="AM19" s="137">
        <f>IF(ISNUMBER(INDEX('Cash schedule'!$L$6:$L$185,(MATCH($B$5,'Cases'!$A$6:$A$10,0)-1)*36+36)),INDEX('Cash schedule'!$L$6:$L$185,(MATCH($B$5,'Cases'!$A$6:$A$10,0)-1)*36+36),"")</f>
        <v/>
      </c>
    </row>
    <row r="20" ht="28" customHeight="1">
      <c r="A20" s="4" t="inlineStr">
        <is>
          <t>Capital paid</t>
        </is>
      </c>
      <c r="B20" s="4" t="n"/>
      <c r="C20" s="4" t="n"/>
      <c r="D20" s="137">
        <f>IF(ISNUMBER(INDEX('Cash schedule'!$M$6:$M$185,(MATCH($B$5,'Cases'!$A$6:$A$10,0)-1)*36+1)),INDEX('Cash schedule'!$M$6:$M$185,(MATCH($B$5,'Cases'!$A$6:$A$10,0)-1)*36+1),"")</f>
        <v/>
      </c>
      <c r="E20" s="137">
        <f>IF(ISNUMBER(INDEX('Cash schedule'!$M$6:$M$185,(MATCH($B$5,'Cases'!$A$6:$A$10,0)-1)*36+2)),INDEX('Cash schedule'!$M$6:$M$185,(MATCH($B$5,'Cases'!$A$6:$A$10,0)-1)*36+2),"")</f>
        <v/>
      </c>
      <c r="F20" s="137">
        <f>IF(ISNUMBER(INDEX('Cash schedule'!$M$6:$M$185,(MATCH($B$5,'Cases'!$A$6:$A$10,0)-1)*36+3)),INDEX('Cash schedule'!$M$6:$M$185,(MATCH($B$5,'Cases'!$A$6:$A$10,0)-1)*36+3),"")</f>
        <v/>
      </c>
      <c r="G20" s="137">
        <f>IF(ISNUMBER(INDEX('Cash schedule'!$M$6:$M$185,(MATCH($B$5,'Cases'!$A$6:$A$10,0)-1)*36+4)),INDEX('Cash schedule'!$M$6:$M$185,(MATCH($B$5,'Cases'!$A$6:$A$10,0)-1)*36+4),"")</f>
        <v/>
      </c>
      <c r="H20" s="137">
        <f>IF(ISNUMBER(INDEX('Cash schedule'!$M$6:$M$185,(MATCH($B$5,'Cases'!$A$6:$A$10,0)-1)*36+5)),INDEX('Cash schedule'!$M$6:$M$185,(MATCH($B$5,'Cases'!$A$6:$A$10,0)-1)*36+5),"")</f>
        <v/>
      </c>
      <c r="I20" s="137">
        <f>IF(ISNUMBER(INDEX('Cash schedule'!$M$6:$M$185,(MATCH($B$5,'Cases'!$A$6:$A$10,0)-1)*36+6)),INDEX('Cash schedule'!$M$6:$M$185,(MATCH($B$5,'Cases'!$A$6:$A$10,0)-1)*36+6),"")</f>
        <v/>
      </c>
      <c r="J20" s="137">
        <f>IF(ISNUMBER(INDEX('Cash schedule'!$M$6:$M$185,(MATCH($B$5,'Cases'!$A$6:$A$10,0)-1)*36+7)),INDEX('Cash schedule'!$M$6:$M$185,(MATCH($B$5,'Cases'!$A$6:$A$10,0)-1)*36+7),"")</f>
        <v/>
      </c>
      <c r="K20" s="137">
        <f>IF(ISNUMBER(INDEX('Cash schedule'!$M$6:$M$185,(MATCH($B$5,'Cases'!$A$6:$A$10,0)-1)*36+8)),INDEX('Cash schedule'!$M$6:$M$185,(MATCH($B$5,'Cases'!$A$6:$A$10,0)-1)*36+8),"")</f>
        <v/>
      </c>
      <c r="L20" s="137">
        <f>IF(ISNUMBER(INDEX('Cash schedule'!$M$6:$M$185,(MATCH($B$5,'Cases'!$A$6:$A$10,0)-1)*36+9)),INDEX('Cash schedule'!$M$6:$M$185,(MATCH($B$5,'Cases'!$A$6:$A$10,0)-1)*36+9),"")</f>
        <v/>
      </c>
      <c r="M20" s="137">
        <f>IF(ISNUMBER(INDEX('Cash schedule'!$M$6:$M$185,(MATCH($B$5,'Cases'!$A$6:$A$10,0)-1)*36+10)),INDEX('Cash schedule'!$M$6:$M$185,(MATCH($B$5,'Cases'!$A$6:$A$10,0)-1)*36+10),"")</f>
        <v/>
      </c>
      <c r="N20" s="137">
        <f>IF(ISNUMBER(INDEX('Cash schedule'!$M$6:$M$185,(MATCH($B$5,'Cases'!$A$6:$A$10,0)-1)*36+11)),INDEX('Cash schedule'!$M$6:$M$185,(MATCH($B$5,'Cases'!$A$6:$A$10,0)-1)*36+11),"")</f>
        <v/>
      </c>
      <c r="O20" s="137">
        <f>IF(ISNUMBER(INDEX('Cash schedule'!$M$6:$M$185,(MATCH($B$5,'Cases'!$A$6:$A$10,0)-1)*36+12)),INDEX('Cash schedule'!$M$6:$M$185,(MATCH($B$5,'Cases'!$A$6:$A$10,0)-1)*36+12),"")</f>
        <v/>
      </c>
      <c r="P20" s="137">
        <f>IF(ISNUMBER(INDEX('Cash schedule'!$M$6:$M$185,(MATCH($B$5,'Cases'!$A$6:$A$10,0)-1)*36+13)),INDEX('Cash schedule'!$M$6:$M$185,(MATCH($B$5,'Cases'!$A$6:$A$10,0)-1)*36+13),"")</f>
        <v/>
      </c>
      <c r="Q20" s="137">
        <f>IF(ISNUMBER(INDEX('Cash schedule'!$M$6:$M$185,(MATCH($B$5,'Cases'!$A$6:$A$10,0)-1)*36+14)),INDEX('Cash schedule'!$M$6:$M$185,(MATCH($B$5,'Cases'!$A$6:$A$10,0)-1)*36+14),"")</f>
        <v/>
      </c>
      <c r="R20" s="137">
        <f>IF(ISNUMBER(INDEX('Cash schedule'!$M$6:$M$185,(MATCH($B$5,'Cases'!$A$6:$A$10,0)-1)*36+15)),INDEX('Cash schedule'!$M$6:$M$185,(MATCH($B$5,'Cases'!$A$6:$A$10,0)-1)*36+15),"")</f>
        <v/>
      </c>
      <c r="S20" s="137">
        <f>IF(ISNUMBER(INDEX('Cash schedule'!$M$6:$M$185,(MATCH($B$5,'Cases'!$A$6:$A$10,0)-1)*36+16)),INDEX('Cash schedule'!$M$6:$M$185,(MATCH($B$5,'Cases'!$A$6:$A$10,0)-1)*36+16),"")</f>
        <v/>
      </c>
      <c r="T20" s="137">
        <f>IF(ISNUMBER(INDEX('Cash schedule'!$M$6:$M$185,(MATCH($B$5,'Cases'!$A$6:$A$10,0)-1)*36+17)),INDEX('Cash schedule'!$M$6:$M$185,(MATCH($B$5,'Cases'!$A$6:$A$10,0)-1)*36+17),"")</f>
        <v/>
      </c>
      <c r="U20" s="137">
        <f>IF(ISNUMBER(INDEX('Cash schedule'!$M$6:$M$185,(MATCH($B$5,'Cases'!$A$6:$A$10,0)-1)*36+18)),INDEX('Cash schedule'!$M$6:$M$185,(MATCH($B$5,'Cases'!$A$6:$A$10,0)-1)*36+18),"")</f>
        <v/>
      </c>
      <c r="V20" s="137">
        <f>IF(ISNUMBER(INDEX('Cash schedule'!$M$6:$M$185,(MATCH($B$5,'Cases'!$A$6:$A$10,0)-1)*36+19)),INDEX('Cash schedule'!$M$6:$M$185,(MATCH($B$5,'Cases'!$A$6:$A$10,0)-1)*36+19),"")</f>
        <v/>
      </c>
      <c r="W20" s="137">
        <f>IF(ISNUMBER(INDEX('Cash schedule'!$M$6:$M$185,(MATCH($B$5,'Cases'!$A$6:$A$10,0)-1)*36+20)),INDEX('Cash schedule'!$M$6:$M$185,(MATCH($B$5,'Cases'!$A$6:$A$10,0)-1)*36+20),"")</f>
        <v/>
      </c>
      <c r="X20" s="137">
        <f>IF(ISNUMBER(INDEX('Cash schedule'!$M$6:$M$185,(MATCH($B$5,'Cases'!$A$6:$A$10,0)-1)*36+21)),INDEX('Cash schedule'!$M$6:$M$185,(MATCH($B$5,'Cases'!$A$6:$A$10,0)-1)*36+21),"")</f>
        <v/>
      </c>
      <c r="Y20" s="137">
        <f>IF(ISNUMBER(INDEX('Cash schedule'!$M$6:$M$185,(MATCH($B$5,'Cases'!$A$6:$A$10,0)-1)*36+22)),INDEX('Cash schedule'!$M$6:$M$185,(MATCH($B$5,'Cases'!$A$6:$A$10,0)-1)*36+22),"")</f>
        <v/>
      </c>
      <c r="Z20" s="137">
        <f>IF(ISNUMBER(INDEX('Cash schedule'!$M$6:$M$185,(MATCH($B$5,'Cases'!$A$6:$A$10,0)-1)*36+23)),INDEX('Cash schedule'!$M$6:$M$185,(MATCH($B$5,'Cases'!$A$6:$A$10,0)-1)*36+23),"")</f>
        <v/>
      </c>
      <c r="AA20" s="137">
        <f>IF(ISNUMBER(INDEX('Cash schedule'!$M$6:$M$185,(MATCH($B$5,'Cases'!$A$6:$A$10,0)-1)*36+24)),INDEX('Cash schedule'!$M$6:$M$185,(MATCH($B$5,'Cases'!$A$6:$A$10,0)-1)*36+24),"")</f>
        <v/>
      </c>
      <c r="AB20" s="137">
        <f>IF(ISNUMBER(INDEX('Cash schedule'!$M$6:$M$185,(MATCH($B$5,'Cases'!$A$6:$A$10,0)-1)*36+25)),INDEX('Cash schedule'!$M$6:$M$185,(MATCH($B$5,'Cases'!$A$6:$A$10,0)-1)*36+25),"")</f>
        <v/>
      </c>
      <c r="AC20" s="137">
        <f>IF(ISNUMBER(INDEX('Cash schedule'!$M$6:$M$185,(MATCH($B$5,'Cases'!$A$6:$A$10,0)-1)*36+26)),INDEX('Cash schedule'!$M$6:$M$185,(MATCH($B$5,'Cases'!$A$6:$A$10,0)-1)*36+26),"")</f>
        <v/>
      </c>
      <c r="AD20" s="137">
        <f>IF(ISNUMBER(INDEX('Cash schedule'!$M$6:$M$185,(MATCH($B$5,'Cases'!$A$6:$A$10,0)-1)*36+27)),INDEX('Cash schedule'!$M$6:$M$185,(MATCH($B$5,'Cases'!$A$6:$A$10,0)-1)*36+27),"")</f>
        <v/>
      </c>
      <c r="AE20" s="137">
        <f>IF(ISNUMBER(INDEX('Cash schedule'!$M$6:$M$185,(MATCH($B$5,'Cases'!$A$6:$A$10,0)-1)*36+28)),INDEX('Cash schedule'!$M$6:$M$185,(MATCH($B$5,'Cases'!$A$6:$A$10,0)-1)*36+28),"")</f>
        <v/>
      </c>
      <c r="AF20" s="137">
        <f>IF(ISNUMBER(INDEX('Cash schedule'!$M$6:$M$185,(MATCH($B$5,'Cases'!$A$6:$A$10,0)-1)*36+29)),INDEX('Cash schedule'!$M$6:$M$185,(MATCH($B$5,'Cases'!$A$6:$A$10,0)-1)*36+29),"")</f>
        <v/>
      </c>
      <c r="AG20" s="137">
        <f>IF(ISNUMBER(INDEX('Cash schedule'!$M$6:$M$185,(MATCH($B$5,'Cases'!$A$6:$A$10,0)-1)*36+30)),INDEX('Cash schedule'!$M$6:$M$185,(MATCH($B$5,'Cases'!$A$6:$A$10,0)-1)*36+30),"")</f>
        <v/>
      </c>
      <c r="AH20" s="137">
        <f>IF(ISNUMBER(INDEX('Cash schedule'!$M$6:$M$185,(MATCH($B$5,'Cases'!$A$6:$A$10,0)-1)*36+31)),INDEX('Cash schedule'!$M$6:$M$185,(MATCH($B$5,'Cases'!$A$6:$A$10,0)-1)*36+31),"")</f>
        <v/>
      </c>
      <c r="AI20" s="137">
        <f>IF(ISNUMBER(INDEX('Cash schedule'!$M$6:$M$185,(MATCH($B$5,'Cases'!$A$6:$A$10,0)-1)*36+32)),INDEX('Cash schedule'!$M$6:$M$185,(MATCH($B$5,'Cases'!$A$6:$A$10,0)-1)*36+32),"")</f>
        <v/>
      </c>
      <c r="AJ20" s="137">
        <f>IF(ISNUMBER(INDEX('Cash schedule'!$M$6:$M$185,(MATCH($B$5,'Cases'!$A$6:$A$10,0)-1)*36+33)),INDEX('Cash schedule'!$M$6:$M$185,(MATCH($B$5,'Cases'!$A$6:$A$10,0)-1)*36+33),"")</f>
        <v/>
      </c>
      <c r="AK20" s="137">
        <f>IF(ISNUMBER(INDEX('Cash schedule'!$M$6:$M$185,(MATCH($B$5,'Cases'!$A$6:$A$10,0)-1)*36+34)),INDEX('Cash schedule'!$M$6:$M$185,(MATCH($B$5,'Cases'!$A$6:$A$10,0)-1)*36+34),"")</f>
        <v/>
      </c>
      <c r="AL20" s="137">
        <f>IF(ISNUMBER(INDEX('Cash schedule'!$M$6:$M$185,(MATCH($B$5,'Cases'!$A$6:$A$10,0)-1)*36+35)),INDEX('Cash schedule'!$M$6:$M$185,(MATCH($B$5,'Cases'!$A$6:$A$10,0)-1)*36+35),"")</f>
        <v/>
      </c>
      <c r="AM20" s="137">
        <f>IF(ISNUMBER(INDEX('Cash schedule'!$M$6:$M$185,(MATCH($B$5,'Cases'!$A$6:$A$10,0)-1)*36+36)),INDEX('Cash schedule'!$M$6:$M$185,(MATCH($B$5,'Cases'!$A$6:$A$10,0)-1)*36+36),"")</f>
        <v/>
      </c>
    </row>
    <row r="21" ht="28" customHeight="1">
      <c r="A21" s="4" t="inlineStr">
        <is>
          <t>Priced spending</t>
        </is>
      </c>
      <c r="B21" s="4" t="n"/>
      <c r="C21" s="4" t="n"/>
      <c r="D21" s="137">
        <f>IF(ISNUMBER(INDEX('Cash schedule'!$N$6:$N$185,(MATCH($B$5,'Cases'!$A$6:$A$10,0)-1)*36+1)),INDEX('Cash schedule'!$N$6:$N$185,(MATCH($B$5,'Cases'!$A$6:$A$10,0)-1)*36+1),"")</f>
        <v/>
      </c>
      <c r="E21" s="137">
        <f>IF(ISNUMBER(INDEX('Cash schedule'!$N$6:$N$185,(MATCH($B$5,'Cases'!$A$6:$A$10,0)-1)*36+2)),INDEX('Cash schedule'!$N$6:$N$185,(MATCH($B$5,'Cases'!$A$6:$A$10,0)-1)*36+2),"")</f>
        <v/>
      </c>
      <c r="F21" s="137">
        <f>IF(ISNUMBER(INDEX('Cash schedule'!$N$6:$N$185,(MATCH($B$5,'Cases'!$A$6:$A$10,0)-1)*36+3)),INDEX('Cash schedule'!$N$6:$N$185,(MATCH($B$5,'Cases'!$A$6:$A$10,0)-1)*36+3),"")</f>
        <v/>
      </c>
      <c r="G21" s="137">
        <f>IF(ISNUMBER(INDEX('Cash schedule'!$N$6:$N$185,(MATCH($B$5,'Cases'!$A$6:$A$10,0)-1)*36+4)),INDEX('Cash schedule'!$N$6:$N$185,(MATCH($B$5,'Cases'!$A$6:$A$10,0)-1)*36+4),"")</f>
        <v/>
      </c>
      <c r="H21" s="137">
        <f>IF(ISNUMBER(INDEX('Cash schedule'!$N$6:$N$185,(MATCH($B$5,'Cases'!$A$6:$A$10,0)-1)*36+5)),INDEX('Cash schedule'!$N$6:$N$185,(MATCH($B$5,'Cases'!$A$6:$A$10,0)-1)*36+5),"")</f>
        <v/>
      </c>
      <c r="I21" s="137">
        <f>IF(ISNUMBER(INDEX('Cash schedule'!$N$6:$N$185,(MATCH($B$5,'Cases'!$A$6:$A$10,0)-1)*36+6)),INDEX('Cash schedule'!$N$6:$N$185,(MATCH($B$5,'Cases'!$A$6:$A$10,0)-1)*36+6),"")</f>
        <v/>
      </c>
      <c r="J21" s="137">
        <f>IF(ISNUMBER(INDEX('Cash schedule'!$N$6:$N$185,(MATCH($B$5,'Cases'!$A$6:$A$10,0)-1)*36+7)),INDEX('Cash schedule'!$N$6:$N$185,(MATCH($B$5,'Cases'!$A$6:$A$10,0)-1)*36+7),"")</f>
        <v/>
      </c>
      <c r="K21" s="137">
        <f>IF(ISNUMBER(INDEX('Cash schedule'!$N$6:$N$185,(MATCH($B$5,'Cases'!$A$6:$A$10,0)-1)*36+8)),INDEX('Cash schedule'!$N$6:$N$185,(MATCH($B$5,'Cases'!$A$6:$A$10,0)-1)*36+8),"")</f>
        <v/>
      </c>
      <c r="L21" s="137">
        <f>IF(ISNUMBER(INDEX('Cash schedule'!$N$6:$N$185,(MATCH($B$5,'Cases'!$A$6:$A$10,0)-1)*36+9)),INDEX('Cash schedule'!$N$6:$N$185,(MATCH($B$5,'Cases'!$A$6:$A$10,0)-1)*36+9),"")</f>
        <v/>
      </c>
      <c r="M21" s="137">
        <f>IF(ISNUMBER(INDEX('Cash schedule'!$N$6:$N$185,(MATCH($B$5,'Cases'!$A$6:$A$10,0)-1)*36+10)),INDEX('Cash schedule'!$N$6:$N$185,(MATCH($B$5,'Cases'!$A$6:$A$10,0)-1)*36+10),"")</f>
        <v/>
      </c>
      <c r="N21" s="137">
        <f>IF(ISNUMBER(INDEX('Cash schedule'!$N$6:$N$185,(MATCH($B$5,'Cases'!$A$6:$A$10,0)-1)*36+11)),INDEX('Cash schedule'!$N$6:$N$185,(MATCH($B$5,'Cases'!$A$6:$A$10,0)-1)*36+11),"")</f>
        <v/>
      </c>
      <c r="O21" s="137">
        <f>IF(ISNUMBER(INDEX('Cash schedule'!$N$6:$N$185,(MATCH($B$5,'Cases'!$A$6:$A$10,0)-1)*36+12)),INDEX('Cash schedule'!$N$6:$N$185,(MATCH($B$5,'Cases'!$A$6:$A$10,0)-1)*36+12),"")</f>
        <v/>
      </c>
      <c r="P21" s="137">
        <f>IF(ISNUMBER(INDEX('Cash schedule'!$N$6:$N$185,(MATCH($B$5,'Cases'!$A$6:$A$10,0)-1)*36+13)),INDEX('Cash schedule'!$N$6:$N$185,(MATCH($B$5,'Cases'!$A$6:$A$10,0)-1)*36+13),"")</f>
        <v/>
      </c>
      <c r="Q21" s="137">
        <f>IF(ISNUMBER(INDEX('Cash schedule'!$N$6:$N$185,(MATCH($B$5,'Cases'!$A$6:$A$10,0)-1)*36+14)),INDEX('Cash schedule'!$N$6:$N$185,(MATCH($B$5,'Cases'!$A$6:$A$10,0)-1)*36+14),"")</f>
        <v/>
      </c>
      <c r="R21" s="137">
        <f>IF(ISNUMBER(INDEX('Cash schedule'!$N$6:$N$185,(MATCH($B$5,'Cases'!$A$6:$A$10,0)-1)*36+15)),INDEX('Cash schedule'!$N$6:$N$185,(MATCH($B$5,'Cases'!$A$6:$A$10,0)-1)*36+15),"")</f>
        <v/>
      </c>
      <c r="S21" s="137">
        <f>IF(ISNUMBER(INDEX('Cash schedule'!$N$6:$N$185,(MATCH($B$5,'Cases'!$A$6:$A$10,0)-1)*36+16)),INDEX('Cash schedule'!$N$6:$N$185,(MATCH($B$5,'Cases'!$A$6:$A$10,0)-1)*36+16),"")</f>
        <v/>
      </c>
      <c r="T21" s="137">
        <f>IF(ISNUMBER(INDEX('Cash schedule'!$N$6:$N$185,(MATCH($B$5,'Cases'!$A$6:$A$10,0)-1)*36+17)),INDEX('Cash schedule'!$N$6:$N$185,(MATCH($B$5,'Cases'!$A$6:$A$10,0)-1)*36+17),"")</f>
        <v/>
      </c>
      <c r="U21" s="137">
        <f>IF(ISNUMBER(INDEX('Cash schedule'!$N$6:$N$185,(MATCH($B$5,'Cases'!$A$6:$A$10,0)-1)*36+18)),INDEX('Cash schedule'!$N$6:$N$185,(MATCH($B$5,'Cases'!$A$6:$A$10,0)-1)*36+18),"")</f>
        <v/>
      </c>
      <c r="V21" s="137">
        <f>IF(ISNUMBER(INDEX('Cash schedule'!$N$6:$N$185,(MATCH($B$5,'Cases'!$A$6:$A$10,0)-1)*36+19)),INDEX('Cash schedule'!$N$6:$N$185,(MATCH($B$5,'Cases'!$A$6:$A$10,0)-1)*36+19),"")</f>
        <v/>
      </c>
      <c r="W21" s="137">
        <f>IF(ISNUMBER(INDEX('Cash schedule'!$N$6:$N$185,(MATCH($B$5,'Cases'!$A$6:$A$10,0)-1)*36+20)),INDEX('Cash schedule'!$N$6:$N$185,(MATCH($B$5,'Cases'!$A$6:$A$10,0)-1)*36+20),"")</f>
        <v/>
      </c>
      <c r="X21" s="137">
        <f>IF(ISNUMBER(INDEX('Cash schedule'!$N$6:$N$185,(MATCH($B$5,'Cases'!$A$6:$A$10,0)-1)*36+21)),INDEX('Cash schedule'!$N$6:$N$185,(MATCH($B$5,'Cases'!$A$6:$A$10,0)-1)*36+21),"")</f>
        <v/>
      </c>
      <c r="Y21" s="137">
        <f>IF(ISNUMBER(INDEX('Cash schedule'!$N$6:$N$185,(MATCH($B$5,'Cases'!$A$6:$A$10,0)-1)*36+22)),INDEX('Cash schedule'!$N$6:$N$185,(MATCH($B$5,'Cases'!$A$6:$A$10,0)-1)*36+22),"")</f>
        <v/>
      </c>
      <c r="Z21" s="137">
        <f>IF(ISNUMBER(INDEX('Cash schedule'!$N$6:$N$185,(MATCH($B$5,'Cases'!$A$6:$A$10,0)-1)*36+23)),INDEX('Cash schedule'!$N$6:$N$185,(MATCH($B$5,'Cases'!$A$6:$A$10,0)-1)*36+23),"")</f>
        <v/>
      </c>
      <c r="AA21" s="137">
        <f>IF(ISNUMBER(INDEX('Cash schedule'!$N$6:$N$185,(MATCH($B$5,'Cases'!$A$6:$A$10,0)-1)*36+24)),INDEX('Cash schedule'!$N$6:$N$185,(MATCH($B$5,'Cases'!$A$6:$A$10,0)-1)*36+24),"")</f>
        <v/>
      </c>
      <c r="AB21" s="137">
        <f>IF(ISNUMBER(INDEX('Cash schedule'!$N$6:$N$185,(MATCH($B$5,'Cases'!$A$6:$A$10,0)-1)*36+25)),INDEX('Cash schedule'!$N$6:$N$185,(MATCH($B$5,'Cases'!$A$6:$A$10,0)-1)*36+25),"")</f>
        <v/>
      </c>
      <c r="AC21" s="137">
        <f>IF(ISNUMBER(INDEX('Cash schedule'!$N$6:$N$185,(MATCH($B$5,'Cases'!$A$6:$A$10,0)-1)*36+26)),INDEX('Cash schedule'!$N$6:$N$185,(MATCH($B$5,'Cases'!$A$6:$A$10,0)-1)*36+26),"")</f>
        <v/>
      </c>
      <c r="AD21" s="137">
        <f>IF(ISNUMBER(INDEX('Cash schedule'!$N$6:$N$185,(MATCH($B$5,'Cases'!$A$6:$A$10,0)-1)*36+27)),INDEX('Cash schedule'!$N$6:$N$185,(MATCH($B$5,'Cases'!$A$6:$A$10,0)-1)*36+27),"")</f>
        <v/>
      </c>
      <c r="AE21" s="137">
        <f>IF(ISNUMBER(INDEX('Cash schedule'!$N$6:$N$185,(MATCH($B$5,'Cases'!$A$6:$A$10,0)-1)*36+28)),INDEX('Cash schedule'!$N$6:$N$185,(MATCH($B$5,'Cases'!$A$6:$A$10,0)-1)*36+28),"")</f>
        <v/>
      </c>
      <c r="AF21" s="137">
        <f>IF(ISNUMBER(INDEX('Cash schedule'!$N$6:$N$185,(MATCH($B$5,'Cases'!$A$6:$A$10,0)-1)*36+29)),INDEX('Cash schedule'!$N$6:$N$185,(MATCH($B$5,'Cases'!$A$6:$A$10,0)-1)*36+29),"")</f>
        <v/>
      </c>
      <c r="AG21" s="137">
        <f>IF(ISNUMBER(INDEX('Cash schedule'!$N$6:$N$185,(MATCH($B$5,'Cases'!$A$6:$A$10,0)-1)*36+30)),INDEX('Cash schedule'!$N$6:$N$185,(MATCH($B$5,'Cases'!$A$6:$A$10,0)-1)*36+30),"")</f>
        <v/>
      </c>
      <c r="AH21" s="137">
        <f>IF(ISNUMBER(INDEX('Cash schedule'!$N$6:$N$185,(MATCH($B$5,'Cases'!$A$6:$A$10,0)-1)*36+31)),INDEX('Cash schedule'!$N$6:$N$185,(MATCH($B$5,'Cases'!$A$6:$A$10,0)-1)*36+31),"")</f>
        <v/>
      </c>
      <c r="AI21" s="137">
        <f>IF(ISNUMBER(INDEX('Cash schedule'!$N$6:$N$185,(MATCH($B$5,'Cases'!$A$6:$A$10,0)-1)*36+32)),INDEX('Cash schedule'!$N$6:$N$185,(MATCH($B$5,'Cases'!$A$6:$A$10,0)-1)*36+32),"")</f>
        <v/>
      </c>
      <c r="AJ21" s="137">
        <f>IF(ISNUMBER(INDEX('Cash schedule'!$N$6:$N$185,(MATCH($B$5,'Cases'!$A$6:$A$10,0)-1)*36+33)),INDEX('Cash schedule'!$N$6:$N$185,(MATCH($B$5,'Cases'!$A$6:$A$10,0)-1)*36+33),"")</f>
        <v/>
      </c>
      <c r="AK21" s="137">
        <f>IF(ISNUMBER(INDEX('Cash schedule'!$N$6:$N$185,(MATCH($B$5,'Cases'!$A$6:$A$10,0)-1)*36+34)),INDEX('Cash schedule'!$N$6:$N$185,(MATCH($B$5,'Cases'!$A$6:$A$10,0)-1)*36+34),"")</f>
        <v/>
      </c>
      <c r="AL21" s="137">
        <f>IF(ISNUMBER(INDEX('Cash schedule'!$N$6:$N$185,(MATCH($B$5,'Cases'!$A$6:$A$10,0)-1)*36+35)),INDEX('Cash schedule'!$N$6:$N$185,(MATCH($B$5,'Cases'!$A$6:$A$10,0)-1)*36+35),"")</f>
        <v/>
      </c>
      <c r="AM21" s="137">
        <f>IF(ISNUMBER(INDEX('Cash schedule'!$N$6:$N$185,(MATCH($B$5,'Cases'!$A$6:$A$10,0)-1)*36+36)),INDEX('Cash schedule'!$N$6:$N$185,(MATCH($B$5,'Cases'!$A$6:$A$10,0)-1)*36+36),"")</f>
        <v/>
      </c>
    </row>
    <row r="22" ht="28" customHeight="1">
      <c r="A22" s="4" t="n"/>
      <c r="B22" s="4" t="n"/>
      <c r="C22" s="4" t="n"/>
      <c r="D22" s="137" t="n"/>
      <c r="E22" s="137" t="n"/>
      <c r="F22" s="137" t="n"/>
      <c r="G22" s="137" t="n"/>
      <c r="H22" s="137" t="n"/>
      <c r="I22" s="137" t="n"/>
      <c r="J22" s="137" t="n"/>
      <c r="K22" s="137" t="n"/>
      <c r="L22" s="137" t="n"/>
      <c r="M22" s="137" t="n"/>
      <c r="N22" s="137" t="n"/>
      <c r="O22" s="137" t="n"/>
      <c r="P22" s="137" t="n"/>
      <c r="Q22" s="137" t="n"/>
      <c r="R22" s="137" t="n"/>
      <c r="S22" s="137" t="n"/>
      <c r="T22" s="137" t="n"/>
      <c r="U22" s="137" t="n"/>
      <c r="V22" s="137" t="n"/>
      <c r="W22" s="137" t="n"/>
      <c r="X22" s="137" t="n"/>
      <c r="Y22" s="137" t="n"/>
      <c r="Z22" s="137" t="n"/>
      <c r="AA22" s="137" t="n"/>
      <c r="AB22" s="137" t="n"/>
      <c r="AC22" s="137" t="n"/>
      <c r="AD22" s="137" t="n"/>
      <c r="AE22" s="137" t="n"/>
      <c r="AF22" s="137" t="n"/>
      <c r="AG22" s="137" t="n"/>
      <c r="AH22" s="137" t="n"/>
      <c r="AI22" s="137" t="n"/>
      <c r="AJ22" s="137" t="n"/>
      <c r="AK22" s="137" t="n"/>
      <c r="AL22" s="137" t="n"/>
      <c r="AM22" s="137" t="n"/>
    </row>
    <row r="23" ht="36" customHeight="1">
      <c r="A23" s="8" t="inlineStr">
        <is>
          <t>Receipts</t>
        </is>
      </c>
      <c r="B23" s="8" t="n"/>
      <c r="C23" s="8" t="n"/>
      <c r="D23" s="140" t="n"/>
      <c r="E23" s="140" t="n"/>
      <c r="F23" s="140"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c r="AA23" s="140" t="n"/>
      <c r="AB23" s="140" t="n"/>
      <c r="AC23" s="140" t="n"/>
      <c r="AD23" s="140" t="n"/>
      <c r="AE23" s="140" t="n"/>
      <c r="AF23" s="140" t="n"/>
      <c r="AG23" s="140" t="n"/>
      <c r="AH23" s="140" t="n"/>
      <c r="AI23" s="140" t="n"/>
      <c r="AJ23" s="140" t="n"/>
      <c r="AK23" s="140" t="n"/>
      <c r="AL23" s="140" t="n"/>
      <c r="AM23" s="140" t="n"/>
    </row>
    <row r="24" ht="28" customHeight="1">
      <c r="A24" s="4" t="inlineStr">
        <is>
          <t>Secured grants</t>
        </is>
      </c>
      <c r="B24" s="4" t="n"/>
      <c r="C24" s="4" t="n"/>
      <c r="D24" s="137">
        <f>IF(ISNUMBER(INDEX('Cash schedule'!$O$6:$O$185,(MATCH($B$5,'Cases'!$A$6:$A$10,0)-1)*36+1)),INDEX('Cash schedule'!$O$6:$O$185,(MATCH($B$5,'Cases'!$A$6:$A$10,0)-1)*36+1),"")</f>
        <v/>
      </c>
      <c r="E24" s="137">
        <f>IF(ISNUMBER(INDEX('Cash schedule'!$O$6:$O$185,(MATCH($B$5,'Cases'!$A$6:$A$10,0)-1)*36+2)),INDEX('Cash schedule'!$O$6:$O$185,(MATCH($B$5,'Cases'!$A$6:$A$10,0)-1)*36+2),"")</f>
        <v/>
      </c>
      <c r="F24" s="137">
        <f>IF(ISNUMBER(INDEX('Cash schedule'!$O$6:$O$185,(MATCH($B$5,'Cases'!$A$6:$A$10,0)-1)*36+3)),INDEX('Cash schedule'!$O$6:$O$185,(MATCH($B$5,'Cases'!$A$6:$A$10,0)-1)*36+3),"")</f>
        <v/>
      </c>
      <c r="G24" s="137">
        <f>IF(ISNUMBER(INDEX('Cash schedule'!$O$6:$O$185,(MATCH($B$5,'Cases'!$A$6:$A$10,0)-1)*36+4)),INDEX('Cash schedule'!$O$6:$O$185,(MATCH($B$5,'Cases'!$A$6:$A$10,0)-1)*36+4),"")</f>
        <v/>
      </c>
      <c r="H24" s="137">
        <f>IF(ISNUMBER(INDEX('Cash schedule'!$O$6:$O$185,(MATCH($B$5,'Cases'!$A$6:$A$10,0)-1)*36+5)),INDEX('Cash schedule'!$O$6:$O$185,(MATCH($B$5,'Cases'!$A$6:$A$10,0)-1)*36+5),"")</f>
        <v/>
      </c>
      <c r="I24" s="137">
        <f>IF(ISNUMBER(INDEX('Cash schedule'!$O$6:$O$185,(MATCH($B$5,'Cases'!$A$6:$A$10,0)-1)*36+6)),INDEX('Cash schedule'!$O$6:$O$185,(MATCH($B$5,'Cases'!$A$6:$A$10,0)-1)*36+6),"")</f>
        <v/>
      </c>
      <c r="J24" s="137">
        <f>IF(ISNUMBER(INDEX('Cash schedule'!$O$6:$O$185,(MATCH($B$5,'Cases'!$A$6:$A$10,0)-1)*36+7)),INDEX('Cash schedule'!$O$6:$O$185,(MATCH($B$5,'Cases'!$A$6:$A$10,0)-1)*36+7),"")</f>
        <v/>
      </c>
      <c r="K24" s="137">
        <f>IF(ISNUMBER(INDEX('Cash schedule'!$O$6:$O$185,(MATCH($B$5,'Cases'!$A$6:$A$10,0)-1)*36+8)),INDEX('Cash schedule'!$O$6:$O$185,(MATCH($B$5,'Cases'!$A$6:$A$10,0)-1)*36+8),"")</f>
        <v/>
      </c>
      <c r="L24" s="137">
        <f>IF(ISNUMBER(INDEX('Cash schedule'!$O$6:$O$185,(MATCH($B$5,'Cases'!$A$6:$A$10,0)-1)*36+9)),INDEX('Cash schedule'!$O$6:$O$185,(MATCH($B$5,'Cases'!$A$6:$A$10,0)-1)*36+9),"")</f>
        <v/>
      </c>
      <c r="M24" s="137">
        <f>IF(ISNUMBER(INDEX('Cash schedule'!$O$6:$O$185,(MATCH($B$5,'Cases'!$A$6:$A$10,0)-1)*36+10)),INDEX('Cash schedule'!$O$6:$O$185,(MATCH($B$5,'Cases'!$A$6:$A$10,0)-1)*36+10),"")</f>
        <v/>
      </c>
      <c r="N24" s="137">
        <f>IF(ISNUMBER(INDEX('Cash schedule'!$O$6:$O$185,(MATCH($B$5,'Cases'!$A$6:$A$10,0)-1)*36+11)),INDEX('Cash schedule'!$O$6:$O$185,(MATCH($B$5,'Cases'!$A$6:$A$10,0)-1)*36+11),"")</f>
        <v/>
      </c>
      <c r="O24" s="137">
        <f>IF(ISNUMBER(INDEX('Cash schedule'!$O$6:$O$185,(MATCH($B$5,'Cases'!$A$6:$A$10,0)-1)*36+12)),INDEX('Cash schedule'!$O$6:$O$185,(MATCH($B$5,'Cases'!$A$6:$A$10,0)-1)*36+12),"")</f>
        <v/>
      </c>
      <c r="P24" s="137">
        <f>IF(ISNUMBER(INDEX('Cash schedule'!$O$6:$O$185,(MATCH($B$5,'Cases'!$A$6:$A$10,0)-1)*36+13)),INDEX('Cash schedule'!$O$6:$O$185,(MATCH($B$5,'Cases'!$A$6:$A$10,0)-1)*36+13),"")</f>
        <v/>
      </c>
      <c r="Q24" s="137">
        <f>IF(ISNUMBER(INDEX('Cash schedule'!$O$6:$O$185,(MATCH($B$5,'Cases'!$A$6:$A$10,0)-1)*36+14)),INDEX('Cash schedule'!$O$6:$O$185,(MATCH($B$5,'Cases'!$A$6:$A$10,0)-1)*36+14),"")</f>
        <v/>
      </c>
      <c r="R24" s="137">
        <f>IF(ISNUMBER(INDEX('Cash schedule'!$O$6:$O$185,(MATCH($B$5,'Cases'!$A$6:$A$10,0)-1)*36+15)),INDEX('Cash schedule'!$O$6:$O$185,(MATCH($B$5,'Cases'!$A$6:$A$10,0)-1)*36+15),"")</f>
        <v/>
      </c>
      <c r="S24" s="137">
        <f>IF(ISNUMBER(INDEX('Cash schedule'!$O$6:$O$185,(MATCH($B$5,'Cases'!$A$6:$A$10,0)-1)*36+16)),INDEX('Cash schedule'!$O$6:$O$185,(MATCH($B$5,'Cases'!$A$6:$A$10,0)-1)*36+16),"")</f>
        <v/>
      </c>
      <c r="T24" s="137">
        <f>IF(ISNUMBER(INDEX('Cash schedule'!$O$6:$O$185,(MATCH($B$5,'Cases'!$A$6:$A$10,0)-1)*36+17)),INDEX('Cash schedule'!$O$6:$O$185,(MATCH($B$5,'Cases'!$A$6:$A$10,0)-1)*36+17),"")</f>
        <v/>
      </c>
      <c r="U24" s="137">
        <f>IF(ISNUMBER(INDEX('Cash schedule'!$O$6:$O$185,(MATCH($B$5,'Cases'!$A$6:$A$10,0)-1)*36+18)),INDEX('Cash schedule'!$O$6:$O$185,(MATCH($B$5,'Cases'!$A$6:$A$10,0)-1)*36+18),"")</f>
        <v/>
      </c>
      <c r="V24" s="137">
        <f>IF(ISNUMBER(INDEX('Cash schedule'!$O$6:$O$185,(MATCH($B$5,'Cases'!$A$6:$A$10,0)-1)*36+19)),INDEX('Cash schedule'!$O$6:$O$185,(MATCH($B$5,'Cases'!$A$6:$A$10,0)-1)*36+19),"")</f>
        <v/>
      </c>
      <c r="W24" s="137">
        <f>IF(ISNUMBER(INDEX('Cash schedule'!$O$6:$O$185,(MATCH($B$5,'Cases'!$A$6:$A$10,0)-1)*36+20)),INDEX('Cash schedule'!$O$6:$O$185,(MATCH($B$5,'Cases'!$A$6:$A$10,0)-1)*36+20),"")</f>
        <v/>
      </c>
      <c r="X24" s="137">
        <f>IF(ISNUMBER(INDEX('Cash schedule'!$O$6:$O$185,(MATCH($B$5,'Cases'!$A$6:$A$10,0)-1)*36+21)),INDEX('Cash schedule'!$O$6:$O$185,(MATCH($B$5,'Cases'!$A$6:$A$10,0)-1)*36+21),"")</f>
        <v/>
      </c>
      <c r="Y24" s="137">
        <f>IF(ISNUMBER(INDEX('Cash schedule'!$O$6:$O$185,(MATCH($B$5,'Cases'!$A$6:$A$10,0)-1)*36+22)),INDEX('Cash schedule'!$O$6:$O$185,(MATCH($B$5,'Cases'!$A$6:$A$10,0)-1)*36+22),"")</f>
        <v/>
      </c>
      <c r="Z24" s="137">
        <f>IF(ISNUMBER(INDEX('Cash schedule'!$O$6:$O$185,(MATCH($B$5,'Cases'!$A$6:$A$10,0)-1)*36+23)),INDEX('Cash schedule'!$O$6:$O$185,(MATCH($B$5,'Cases'!$A$6:$A$10,0)-1)*36+23),"")</f>
        <v/>
      </c>
      <c r="AA24" s="137">
        <f>IF(ISNUMBER(INDEX('Cash schedule'!$O$6:$O$185,(MATCH($B$5,'Cases'!$A$6:$A$10,0)-1)*36+24)),INDEX('Cash schedule'!$O$6:$O$185,(MATCH($B$5,'Cases'!$A$6:$A$10,0)-1)*36+24),"")</f>
        <v/>
      </c>
      <c r="AB24" s="137">
        <f>IF(ISNUMBER(INDEX('Cash schedule'!$O$6:$O$185,(MATCH($B$5,'Cases'!$A$6:$A$10,0)-1)*36+25)),INDEX('Cash schedule'!$O$6:$O$185,(MATCH($B$5,'Cases'!$A$6:$A$10,0)-1)*36+25),"")</f>
        <v/>
      </c>
      <c r="AC24" s="137">
        <f>IF(ISNUMBER(INDEX('Cash schedule'!$O$6:$O$185,(MATCH($B$5,'Cases'!$A$6:$A$10,0)-1)*36+26)),INDEX('Cash schedule'!$O$6:$O$185,(MATCH($B$5,'Cases'!$A$6:$A$10,0)-1)*36+26),"")</f>
        <v/>
      </c>
      <c r="AD24" s="137">
        <f>IF(ISNUMBER(INDEX('Cash schedule'!$O$6:$O$185,(MATCH($B$5,'Cases'!$A$6:$A$10,0)-1)*36+27)),INDEX('Cash schedule'!$O$6:$O$185,(MATCH($B$5,'Cases'!$A$6:$A$10,0)-1)*36+27),"")</f>
        <v/>
      </c>
      <c r="AE24" s="137">
        <f>IF(ISNUMBER(INDEX('Cash schedule'!$O$6:$O$185,(MATCH($B$5,'Cases'!$A$6:$A$10,0)-1)*36+28)),INDEX('Cash schedule'!$O$6:$O$185,(MATCH($B$5,'Cases'!$A$6:$A$10,0)-1)*36+28),"")</f>
        <v/>
      </c>
      <c r="AF24" s="137">
        <f>IF(ISNUMBER(INDEX('Cash schedule'!$O$6:$O$185,(MATCH($B$5,'Cases'!$A$6:$A$10,0)-1)*36+29)),INDEX('Cash schedule'!$O$6:$O$185,(MATCH($B$5,'Cases'!$A$6:$A$10,0)-1)*36+29),"")</f>
        <v/>
      </c>
      <c r="AG24" s="137">
        <f>IF(ISNUMBER(INDEX('Cash schedule'!$O$6:$O$185,(MATCH($B$5,'Cases'!$A$6:$A$10,0)-1)*36+30)),INDEX('Cash schedule'!$O$6:$O$185,(MATCH($B$5,'Cases'!$A$6:$A$10,0)-1)*36+30),"")</f>
        <v/>
      </c>
      <c r="AH24" s="137">
        <f>IF(ISNUMBER(INDEX('Cash schedule'!$O$6:$O$185,(MATCH($B$5,'Cases'!$A$6:$A$10,0)-1)*36+31)),INDEX('Cash schedule'!$O$6:$O$185,(MATCH($B$5,'Cases'!$A$6:$A$10,0)-1)*36+31),"")</f>
        <v/>
      </c>
      <c r="AI24" s="137">
        <f>IF(ISNUMBER(INDEX('Cash schedule'!$O$6:$O$185,(MATCH($B$5,'Cases'!$A$6:$A$10,0)-1)*36+32)),INDEX('Cash schedule'!$O$6:$O$185,(MATCH($B$5,'Cases'!$A$6:$A$10,0)-1)*36+32),"")</f>
        <v/>
      </c>
      <c r="AJ24" s="137">
        <f>IF(ISNUMBER(INDEX('Cash schedule'!$O$6:$O$185,(MATCH($B$5,'Cases'!$A$6:$A$10,0)-1)*36+33)),INDEX('Cash schedule'!$O$6:$O$185,(MATCH($B$5,'Cases'!$A$6:$A$10,0)-1)*36+33),"")</f>
        <v/>
      </c>
      <c r="AK24" s="137">
        <f>IF(ISNUMBER(INDEX('Cash schedule'!$O$6:$O$185,(MATCH($B$5,'Cases'!$A$6:$A$10,0)-1)*36+34)),INDEX('Cash schedule'!$O$6:$O$185,(MATCH($B$5,'Cases'!$A$6:$A$10,0)-1)*36+34),"")</f>
        <v/>
      </c>
      <c r="AL24" s="137">
        <f>IF(ISNUMBER(INDEX('Cash schedule'!$O$6:$O$185,(MATCH($B$5,'Cases'!$A$6:$A$10,0)-1)*36+35)),INDEX('Cash schedule'!$O$6:$O$185,(MATCH($B$5,'Cases'!$A$6:$A$10,0)-1)*36+35),"")</f>
        <v/>
      </c>
      <c r="AM24" s="137">
        <f>IF(ISNUMBER(INDEX('Cash schedule'!$O$6:$O$185,(MATCH($B$5,'Cases'!$A$6:$A$10,0)-1)*36+36)),INDEX('Cash schedule'!$O$6:$O$185,(MATCH($B$5,'Cases'!$A$6:$A$10,0)-1)*36+36),"")</f>
        <v/>
      </c>
    </row>
    <row r="25" ht="28" customHeight="1">
      <c r="A25" s="4" t="inlineStr">
        <is>
          <t>Possible grants</t>
        </is>
      </c>
      <c r="B25" s="4" t="n"/>
      <c r="C25" s="4" t="n"/>
      <c r="D25" s="137">
        <f>IF(ISNUMBER(INDEX('Cash schedule'!$P$6:$P$185,(MATCH($B$5,'Cases'!$A$6:$A$10,0)-1)*36+1)),INDEX('Cash schedule'!$P$6:$P$185,(MATCH($B$5,'Cases'!$A$6:$A$10,0)-1)*36+1),"")</f>
        <v/>
      </c>
      <c r="E25" s="137">
        <f>IF(ISNUMBER(INDEX('Cash schedule'!$P$6:$P$185,(MATCH($B$5,'Cases'!$A$6:$A$10,0)-1)*36+2)),INDEX('Cash schedule'!$P$6:$P$185,(MATCH($B$5,'Cases'!$A$6:$A$10,0)-1)*36+2),"")</f>
        <v/>
      </c>
      <c r="F25" s="137">
        <f>IF(ISNUMBER(INDEX('Cash schedule'!$P$6:$P$185,(MATCH($B$5,'Cases'!$A$6:$A$10,0)-1)*36+3)),INDEX('Cash schedule'!$P$6:$P$185,(MATCH($B$5,'Cases'!$A$6:$A$10,0)-1)*36+3),"")</f>
        <v/>
      </c>
      <c r="G25" s="137">
        <f>IF(ISNUMBER(INDEX('Cash schedule'!$P$6:$P$185,(MATCH($B$5,'Cases'!$A$6:$A$10,0)-1)*36+4)),INDEX('Cash schedule'!$P$6:$P$185,(MATCH($B$5,'Cases'!$A$6:$A$10,0)-1)*36+4),"")</f>
        <v/>
      </c>
      <c r="H25" s="137">
        <f>IF(ISNUMBER(INDEX('Cash schedule'!$P$6:$P$185,(MATCH($B$5,'Cases'!$A$6:$A$10,0)-1)*36+5)),INDEX('Cash schedule'!$P$6:$P$185,(MATCH($B$5,'Cases'!$A$6:$A$10,0)-1)*36+5),"")</f>
        <v/>
      </c>
      <c r="I25" s="137">
        <f>IF(ISNUMBER(INDEX('Cash schedule'!$P$6:$P$185,(MATCH($B$5,'Cases'!$A$6:$A$10,0)-1)*36+6)),INDEX('Cash schedule'!$P$6:$P$185,(MATCH($B$5,'Cases'!$A$6:$A$10,0)-1)*36+6),"")</f>
        <v/>
      </c>
      <c r="J25" s="137">
        <f>IF(ISNUMBER(INDEX('Cash schedule'!$P$6:$P$185,(MATCH($B$5,'Cases'!$A$6:$A$10,0)-1)*36+7)),INDEX('Cash schedule'!$P$6:$P$185,(MATCH($B$5,'Cases'!$A$6:$A$10,0)-1)*36+7),"")</f>
        <v/>
      </c>
      <c r="K25" s="137">
        <f>IF(ISNUMBER(INDEX('Cash schedule'!$P$6:$P$185,(MATCH($B$5,'Cases'!$A$6:$A$10,0)-1)*36+8)),INDEX('Cash schedule'!$P$6:$P$185,(MATCH($B$5,'Cases'!$A$6:$A$10,0)-1)*36+8),"")</f>
        <v/>
      </c>
      <c r="L25" s="137">
        <f>IF(ISNUMBER(INDEX('Cash schedule'!$P$6:$P$185,(MATCH($B$5,'Cases'!$A$6:$A$10,0)-1)*36+9)),INDEX('Cash schedule'!$P$6:$P$185,(MATCH($B$5,'Cases'!$A$6:$A$10,0)-1)*36+9),"")</f>
        <v/>
      </c>
      <c r="M25" s="137">
        <f>IF(ISNUMBER(INDEX('Cash schedule'!$P$6:$P$185,(MATCH($B$5,'Cases'!$A$6:$A$10,0)-1)*36+10)),INDEX('Cash schedule'!$P$6:$P$185,(MATCH($B$5,'Cases'!$A$6:$A$10,0)-1)*36+10),"")</f>
        <v/>
      </c>
      <c r="N25" s="137">
        <f>IF(ISNUMBER(INDEX('Cash schedule'!$P$6:$P$185,(MATCH($B$5,'Cases'!$A$6:$A$10,0)-1)*36+11)),INDEX('Cash schedule'!$P$6:$P$185,(MATCH($B$5,'Cases'!$A$6:$A$10,0)-1)*36+11),"")</f>
        <v/>
      </c>
      <c r="O25" s="137">
        <f>IF(ISNUMBER(INDEX('Cash schedule'!$P$6:$P$185,(MATCH($B$5,'Cases'!$A$6:$A$10,0)-1)*36+12)),INDEX('Cash schedule'!$P$6:$P$185,(MATCH($B$5,'Cases'!$A$6:$A$10,0)-1)*36+12),"")</f>
        <v/>
      </c>
      <c r="P25" s="137">
        <f>IF(ISNUMBER(INDEX('Cash schedule'!$P$6:$P$185,(MATCH($B$5,'Cases'!$A$6:$A$10,0)-1)*36+13)),INDEX('Cash schedule'!$P$6:$P$185,(MATCH($B$5,'Cases'!$A$6:$A$10,0)-1)*36+13),"")</f>
        <v/>
      </c>
      <c r="Q25" s="137">
        <f>IF(ISNUMBER(INDEX('Cash schedule'!$P$6:$P$185,(MATCH($B$5,'Cases'!$A$6:$A$10,0)-1)*36+14)),INDEX('Cash schedule'!$P$6:$P$185,(MATCH($B$5,'Cases'!$A$6:$A$10,0)-1)*36+14),"")</f>
        <v/>
      </c>
      <c r="R25" s="137">
        <f>IF(ISNUMBER(INDEX('Cash schedule'!$P$6:$P$185,(MATCH($B$5,'Cases'!$A$6:$A$10,0)-1)*36+15)),INDEX('Cash schedule'!$P$6:$P$185,(MATCH($B$5,'Cases'!$A$6:$A$10,0)-1)*36+15),"")</f>
        <v/>
      </c>
      <c r="S25" s="137">
        <f>IF(ISNUMBER(INDEX('Cash schedule'!$P$6:$P$185,(MATCH($B$5,'Cases'!$A$6:$A$10,0)-1)*36+16)),INDEX('Cash schedule'!$P$6:$P$185,(MATCH($B$5,'Cases'!$A$6:$A$10,0)-1)*36+16),"")</f>
        <v/>
      </c>
      <c r="T25" s="137">
        <f>IF(ISNUMBER(INDEX('Cash schedule'!$P$6:$P$185,(MATCH($B$5,'Cases'!$A$6:$A$10,0)-1)*36+17)),INDEX('Cash schedule'!$P$6:$P$185,(MATCH($B$5,'Cases'!$A$6:$A$10,0)-1)*36+17),"")</f>
        <v/>
      </c>
      <c r="U25" s="137">
        <f>IF(ISNUMBER(INDEX('Cash schedule'!$P$6:$P$185,(MATCH($B$5,'Cases'!$A$6:$A$10,0)-1)*36+18)),INDEX('Cash schedule'!$P$6:$P$185,(MATCH($B$5,'Cases'!$A$6:$A$10,0)-1)*36+18),"")</f>
        <v/>
      </c>
      <c r="V25" s="137">
        <f>IF(ISNUMBER(INDEX('Cash schedule'!$P$6:$P$185,(MATCH($B$5,'Cases'!$A$6:$A$10,0)-1)*36+19)),INDEX('Cash schedule'!$P$6:$P$185,(MATCH($B$5,'Cases'!$A$6:$A$10,0)-1)*36+19),"")</f>
        <v/>
      </c>
      <c r="W25" s="137">
        <f>IF(ISNUMBER(INDEX('Cash schedule'!$P$6:$P$185,(MATCH($B$5,'Cases'!$A$6:$A$10,0)-1)*36+20)),INDEX('Cash schedule'!$P$6:$P$185,(MATCH($B$5,'Cases'!$A$6:$A$10,0)-1)*36+20),"")</f>
        <v/>
      </c>
      <c r="X25" s="137">
        <f>IF(ISNUMBER(INDEX('Cash schedule'!$P$6:$P$185,(MATCH($B$5,'Cases'!$A$6:$A$10,0)-1)*36+21)),INDEX('Cash schedule'!$P$6:$P$185,(MATCH($B$5,'Cases'!$A$6:$A$10,0)-1)*36+21),"")</f>
        <v/>
      </c>
      <c r="Y25" s="137">
        <f>IF(ISNUMBER(INDEX('Cash schedule'!$P$6:$P$185,(MATCH($B$5,'Cases'!$A$6:$A$10,0)-1)*36+22)),INDEX('Cash schedule'!$P$6:$P$185,(MATCH($B$5,'Cases'!$A$6:$A$10,0)-1)*36+22),"")</f>
        <v/>
      </c>
      <c r="Z25" s="137">
        <f>IF(ISNUMBER(INDEX('Cash schedule'!$P$6:$P$185,(MATCH($B$5,'Cases'!$A$6:$A$10,0)-1)*36+23)),INDEX('Cash schedule'!$P$6:$P$185,(MATCH($B$5,'Cases'!$A$6:$A$10,0)-1)*36+23),"")</f>
        <v/>
      </c>
      <c r="AA25" s="137">
        <f>IF(ISNUMBER(INDEX('Cash schedule'!$P$6:$P$185,(MATCH($B$5,'Cases'!$A$6:$A$10,0)-1)*36+24)),INDEX('Cash schedule'!$P$6:$P$185,(MATCH($B$5,'Cases'!$A$6:$A$10,0)-1)*36+24),"")</f>
        <v/>
      </c>
      <c r="AB25" s="137">
        <f>IF(ISNUMBER(INDEX('Cash schedule'!$P$6:$P$185,(MATCH($B$5,'Cases'!$A$6:$A$10,0)-1)*36+25)),INDEX('Cash schedule'!$P$6:$P$185,(MATCH($B$5,'Cases'!$A$6:$A$10,0)-1)*36+25),"")</f>
        <v/>
      </c>
      <c r="AC25" s="137">
        <f>IF(ISNUMBER(INDEX('Cash schedule'!$P$6:$P$185,(MATCH($B$5,'Cases'!$A$6:$A$10,0)-1)*36+26)),INDEX('Cash schedule'!$P$6:$P$185,(MATCH($B$5,'Cases'!$A$6:$A$10,0)-1)*36+26),"")</f>
        <v/>
      </c>
      <c r="AD25" s="137">
        <f>IF(ISNUMBER(INDEX('Cash schedule'!$P$6:$P$185,(MATCH($B$5,'Cases'!$A$6:$A$10,0)-1)*36+27)),INDEX('Cash schedule'!$P$6:$P$185,(MATCH($B$5,'Cases'!$A$6:$A$10,0)-1)*36+27),"")</f>
        <v/>
      </c>
      <c r="AE25" s="137">
        <f>IF(ISNUMBER(INDEX('Cash schedule'!$P$6:$P$185,(MATCH($B$5,'Cases'!$A$6:$A$10,0)-1)*36+28)),INDEX('Cash schedule'!$P$6:$P$185,(MATCH($B$5,'Cases'!$A$6:$A$10,0)-1)*36+28),"")</f>
        <v/>
      </c>
      <c r="AF25" s="137">
        <f>IF(ISNUMBER(INDEX('Cash schedule'!$P$6:$P$185,(MATCH($B$5,'Cases'!$A$6:$A$10,0)-1)*36+29)),INDEX('Cash schedule'!$P$6:$P$185,(MATCH($B$5,'Cases'!$A$6:$A$10,0)-1)*36+29),"")</f>
        <v/>
      </c>
      <c r="AG25" s="137">
        <f>IF(ISNUMBER(INDEX('Cash schedule'!$P$6:$P$185,(MATCH($B$5,'Cases'!$A$6:$A$10,0)-1)*36+30)),INDEX('Cash schedule'!$P$6:$P$185,(MATCH($B$5,'Cases'!$A$6:$A$10,0)-1)*36+30),"")</f>
        <v/>
      </c>
      <c r="AH25" s="137">
        <f>IF(ISNUMBER(INDEX('Cash schedule'!$P$6:$P$185,(MATCH($B$5,'Cases'!$A$6:$A$10,0)-1)*36+31)),INDEX('Cash schedule'!$P$6:$P$185,(MATCH($B$5,'Cases'!$A$6:$A$10,0)-1)*36+31),"")</f>
        <v/>
      </c>
      <c r="AI25" s="137">
        <f>IF(ISNUMBER(INDEX('Cash schedule'!$P$6:$P$185,(MATCH($B$5,'Cases'!$A$6:$A$10,0)-1)*36+32)),INDEX('Cash schedule'!$P$6:$P$185,(MATCH($B$5,'Cases'!$A$6:$A$10,0)-1)*36+32),"")</f>
        <v/>
      </c>
      <c r="AJ25" s="137">
        <f>IF(ISNUMBER(INDEX('Cash schedule'!$P$6:$P$185,(MATCH($B$5,'Cases'!$A$6:$A$10,0)-1)*36+33)),INDEX('Cash schedule'!$P$6:$P$185,(MATCH($B$5,'Cases'!$A$6:$A$10,0)-1)*36+33),"")</f>
        <v/>
      </c>
      <c r="AK25" s="137">
        <f>IF(ISNUMBER(INDEX('Cash schedule'!$P$6:$P$185,(MATCH($B$5,'Cases'!$A$6:$A$10,0)-1)*36+34)),INDEX('Cash schedule'!$P$6:$P$185,(MATCH($B$5,'Cases'!$A$6:$A$10,0)-1)*36+34),"")</f>
        <v/>
      </c>
      <c r="AL25" s="137">
        <f>IF(ISNUMBER(INDEX('Cash schedule'!$P$6:$P$185,(MATCH($B$5,'Cases'!$A$6:$A$10,0)-1)*36+35)),INDEX('Cash schedule'!$P$6:$P$185,(MATCH($B$5,'Cases'!$A$6:$A$10,0)-1)*36+35),"")</f>
        <v/>
      </c>
      <c r="AM25" s="137">
        <f>IF(ISNUMBER(INDEX('Cash schedule'!$P$6:$P$185,(MATCH($B$5,'Cases'!$A$6:$A$10,0)-1)*36+36)),INDEX('Cash schedule'!$P$6:$P$185,(MATCH($B$5,'Cases'!$A$6:$A$10,0)-1)*36+36),"")</f>
        <v/>
      </c>
    </row>
    <row r="26" ht="28" customHeight="1">
      <c r="A26" s="4" t="inlineStr">
        <is>
          <t>Secured loan</t>
        </is>
      </c>
      <c r="B26" s="4" t="n"/>
      <c r="C26" s="4" t="n"/>
      <c r="D26" s="137">
        <f>IF(ISNUMBER(INDEX('Cash schedule'!$Q$6:$Q$185,(MATCH($B$5,'Cases'!$A$6:$A$10,0)-1)*36+1)),INDEX('Cash schedule'!$Q$6:$Q$185,(MATCH($B$5,'Cases'!$A$6:$A$10,0)-1)*36+1),"")</f>
        <v/>
      </c>
      <c r="E26" s="137">
        <f>IF(ISNUMBER(INDEX('Cash schedule'!$Q$6:$Q$185,(MATCH($B$5,'Cases'!$A$6:$A$10,0)-1)*36+2)),INDEX('Cash schedule'!$Q$6:$Q$185,(MATCH($B$5,'Cases'!$A$6:$A$10,0)-1)*36+2),"")</f>
        <v/>
      </c>
      <c r="F26" s="137">
        <f>IF(ISNUMBER(INDEX('Cash schedule'!$Q$6:$Q$185,(MATCH($B$5,'Cases'!$A$6:$A$10,0)-1)*36+3)),INDEX('Cash schedule'!$Q$6:$Q$185,(MATCH($B$5,'Cases'!$A$6:$A$10,0)-1)*36+3),"")</f>
        <v/>
      </c>
      <c r="G26" s="137">
        <f>IF(ISNUMBER(INDEX('Cash schedule'!$Q$6:$Q$185,(MATCH($B$5,'Cases'!$A$6:$A$10,0)-1)*36+4)),INDEX('Cash schedule'!$Q$6:$Q$185,(MATCH($B$5,'Cases'!$A$6:$A$10,0)-1)*36+4),"")</f>
        <v/>
      </c>
      <c r="H26" s="137">
        <f>IF(ISNUMBER(INDEX('Cash schedule'!$Q$6:$Q$185,(MATCH($B$5,'Cases'!$A$6:$A$10,0)-1)*36+5)),INDEX('Cash schedule'!$Q$6:$Q$185,(MATCH($B$5,'Cases'!$A$6:$A$10,0)-1)*36+5),"")</f>
        <v/>
      </c>
      <c r="I26" s="137">
        <f>IF(ISNUMBER(INDEX('Cash schedule'!$Q$6:$Q$185,(MATCH($B$5,'Cases'!$A$6:$A$10,0)-1)*36+6)),INDEX('Cash schedule'!$Q$6:$Q$185,(MATCH($B$5,'Cases'!$A$6:$A$10,0)-1)*36+6),"")</f>
        <v/>
      </c>
      <c r="J26" s="137">
        <f>IF(ISNUMBER(INDEX('Cash schedule'!$Q$6:$Q$185,(MATCH($B$5,'Cases'!$A$6:$A$10,0)-1)*36+7)),INDEX('Cash schedule'!$Q$6:$Q$185,(MATCH($B$5,'Cases'!$A$6:$A$10,0)-1)*36+7),"")</f>
        <v/>
      </c>
      <c r="K26" s="137">
        <f>IF(ISNUMBER(INDEX('Cash schedule'!$Q$6:$Q$185,(MATCH($B$5,'Cases'!$A$6:$A$10,0)-1)*36+8)),INDEX('Cash schedule'!$Q$6:$Q$185,(MATCH($B$5,'Cases'!$A$6:$A$10,0)-1)*36+8),"")</f>
        <v/>
      </c>
      <c r="L26" s="137">
        <f>IF(ISNUMBER(INDEX('Cash schedule'!$Q$6:$Q$185,(MATCH($B$5,'Cases'!$A$6:$A$10,0)-1)*36+9)),INDEX('Cash schedule'!$Q$6:$Q$185,(MATCH($B$5,'Cases'!$A$6:$A$10,0)-1)*36+9),"")</f>
        <v/>
      </c>
      <c r="M26" s="137">
        <f>IF(ISNUMBER(INDEX('Cash schedule'!$Q$6:$Q$185,(MATCH($B$5,'Cases'!$A$6:$A$10,0)-1)*36+10)),INDEX('Cash schedule'!$Q$6:$Q$185,(MATCH($B$5,'Cases'!$A$6:$A$10,0)-1)*36+10),"")</f>
        <v/>
      </c>
      <c r="N26" s="137">
        <f>IF(ISNUMBER(INDEX('Cash schedule'!$Q$6:$Q$185,(MATCH($B$5,'Cases'!$A$6:$A$10,0)-1)*36+11)),INDEX('Cash schedule'!$Q$6:$Q$185,(MATCH($B$5,'Cases'!$A$6:$A$10,0)-1)*36+11),"")</f>
        <v/>
      </c>
      <c r="O26" s="137">
        <f>IF(ISNUMBER(INDEX('Cash schedule'!$Q$6:$Q$185,(MATCH($B$5,'Cases'!$A$6:$A$10,0)-1)*36+12)),INDEX('Cash schedule'!$Q$6:$Q$185,(MATCH($B$5,'Cases'!$A$6:$A$10,0)-1)*36+12),"")</f>
        <v/>
      </c>
      <c r="P26" s="137">
        <f>IF(ISNUMBER(INDEX('Cash schedule'!$Q$6:$Q$185,(MATCH($B$5,'Cases'!$A$6:$A$10,0)-1)*36+13)),INDEX('Cash schedule'!$Q$6:$Q$185,(MATCH($B$5,'Cases'!$A$6:$A$10,0)-1)*36+13),"")</f>
        <v/>
      </c>
      <c r="Q26" s="137">
        <f>IF(ISNUMBER(INDEX('Cash schedule'!$Q$6:$Q$185,(MATCH($B$5,'Cases'!$A$6:$A$10,0)-1)*36+14)),INDEX('Cash schedule'!$Q$6:$Q$185,(MATCH($B$5,'Cases'!$A$6:$A$10,0)-1)*36+14),"")</f>
        <v/>
      </c>
      <c r="R26" s="137">
        <f>IF(ISNUMBER(INDEX('Cash schedule'!$Q$6:$Q$185,(MATCH($B$5,'Cases'!$A$6:$A$10,0)-1)*36+15)),INDEX('Cash schedule'!$Q$6:$Q$185,(MATCH($B$5,'Cases'!$A$6:$A$10,0)-1)*36+15),"")</f>
        <v/>
      </c>
      <c r="S26" s="137">
        <f>IF(ISNUMBER(INDEX('Cash schedule'!$Q$6:$Q$185,(MATCH($B$5,'Cases'!$A$6:$A$10,0)-1)*36+16)),INDEX('Cash schedule'!$Q$6:$Q$185,(MATCH($B$5,'Cases'!$A$6:$A$10,0)-1)*36+16),"")</f>
        <v/>
      </c>
      <c r="T26" s="137">
        <f>IF(ISNUMBER(INDEX('Cash schedule'!$Q$6:$Q$185,(MATCH($B$5,'Cases'!$A$6:$A$10,0)-1)*36+17)),INDEX('Cash schedule'!$Q$6:$Q$185,(MATCH($B$5,'Cases'!$A$6:$A$10,0)-1)*36+17),"")</f>
        <v/>
      </c>
      <c r="U26" s="137">
        <f>IF(ISNUMBER(INDEX('Cash schedule'!$Q$6:$Q$185,(MATCH($B$5,'Cases'!$A$6:$A$10,0)-1)*36+18)),INDEX('Cash schedule'!$Q$6:$Q$185,(MATCH($B$5,'Cases'!$A$6:$A$10,0)-1)*36+18),"")</f>
        <v/>
      </c>
      <c r="V26" s="137">
        <f>IF(ISNUMBER(INDEX('Cash schedule'!$Q$6:$Q$185,(MATCH($B$5,'Cases'!$A$6:$A$10,0)-1)*36+19)),INDEX('Cash schedule'!$Q$6:$Q$185,(MATCH($B$5,'Cases'!$A$6:$A$10,0)-1)*36+19),"")</f>
        <v/>
      </c>
      <c r="W26" s="137">
        <f>IF(ISNUMBER(INDEX('Cash schedule'!$Q$6:$Q$185,(MATCH($B$5,'Cases'!$A$6:$A$10,0)-1)*36+20)),INDEX('Cash schedule'!$Q$6:$Q$185,(MATCH($B$5,'Cases'!$A$6:$A$10,0)-1)*36+20),"")</f>
        <v/>
      </c>
      <c r="X26" s="137">
        <f>IF(ISNUMBER(INDEX('Cash schedule'!$Q$6:$Q$185,(MATCH($B$5,'Cases'!$A$6:$A$10,0)-1)*36+21)),INDEX('Cash schedule'!$Q$6:$Q$185,(MATCH($B$5,'Cases'!$A$6:$A$10,0)-1)*36+21),"")</f>
        <v/>
      </c>
      <c r="Y26" s="137">
        <f>IF(ISNUMBER(INDEX('Cash schedule'!$Q$6:$Q$185,(MATCH($B$5,'Cases'!$A$6:$A$10,0)-1)*36+22)),INDEX('Cash schedule'!$Q$6:$Q$185,(MATCH($B$5,'Cases'!$A$6:$A$10,0)-1)*36+22),"")</f>
        <v/>
      </c>
      <c r="Z26" s="137">
        <f>IF(ISNUMBER(INDEX('Cash schedule'!$Q$6:$Q$185,(MATCH($B$5,'Cases'!$A$6:$A$10,0)-1)*36+23)),INDEX('Cash schedule'!$Q$6:$Q$185,(MATCH($B$5,'Cases'!$A$6:$A$10,0)-1)*36+23),"")</f>
        <v/>
      </c>
      <c r="AA26" s="137">
        <f>IF(ISNUMBER(INDEX('Cash schedule'!$Q$6:$Q$185,(MATCH($B$5,'Cases'!$A$6:$A$10,0)-1)*36+24)),INDEX('Cash schedule'!$Q$6:$Q$185,(MATCH($B$5,'Cases'!$A$6:$A$10,0)-1)*36+24),"")</f>
        <v/>
      </c>
      <c r="AB26" s="137">
        <f>IF(ISNUMBER(INDEX('Cash schedule'!$Q$6:$Q$185,(MATCH($B$5,'Cases'!$A$6:$A$10,0)-1)*36+25)),INDEX('Cash schedule'!$Q$6:$Q$185,(MATCH($B$5,'Cases'!$A$6:$A$10,0)-1)*36+25),"")</f>
        <v/>
      </c>
      <c r="AC26" s="137">
        <f>IF(ISNUMBER(INDEX('Cash schedule'!$Q$6:$Q$185,(MATCH($B$5,'Cases'!$A$6:$A$10,0)-1)*36+26)),INDEX('Cash schedule'!$Q$6:$Q$185,(MATCH($B$5,'Cases'!$A$6:$A$10,0)-1)*36+26),"")</f>
        <v/>
      </c>
      <c r="AD26" s="137">
        <f>IF(ISNUMBER(INDEX('Cash schedule'!$Q$6:$Q$185,(MATCH($B$5,'Cases'!$A$6:$A$10,0)-1)*36+27)),INDEX('Cash schedule'!$Q$6:$Q$185,(MATCH($B$5,'Cases'!$A$6:$A$10,0)-1)*36+27),"")</f>
        <v/>
      </c>
      <c r="AE26" s="137">
        <f>IF(ISNUMBER(INDEX('Cash schedule'!$Q$6:$Q$185,(MATCH($B$5,'Cases'!$A$6:$A$10,0)-1)*36+28)),INDEX('Cash schedule'!$Q$6:$Q$185,(MATCH($B$5,'Cases'!$A$6:$A$10,0)-1)*36+28),"")</f>
        <v/>
      </c>
      <c r="AF26" s="137">
        <f>IF(ISNUMBER(INDEX('Cash schedule'!$Q$6:$Q$185,(MATCH($B$5,'Cases'!$A$6:$A$10,0)-1)*36+29)),INDEX('Cash schedule'!$Q$6:$Q$185,(MATCH($B$5,'Cases'!$A$6:$A$10,0)-1)*36+29),"")</f>
        <v/>
      </c>
      <c r="AG26" s="137">
        <f>IF(ISNUMBER(INDEX('Cash schedule'!$Q$6:$Q$185,(MATCH($B$5,'Cases'!$A$6:$A$10,0)-1)*36+30)),INDEX('Cash schedule'!$Q$6:$Q$185,(MATCH($B$5,'Cases'!$A$6:$A$10,0)-1)*36+30),"")</f>
        <v/>
      </c>
      <c r="AH26" s="137">
        <f>IF(ISNUMBER(INDEX('Cash schedule'!$Q$6:$Q$185,(MATCH($B$5,'Cases'!$A$6:$A$10,0)-1)*36+31)),INDEX('Cash schedule'!$Q$6:$Q$185,(MATCH($B$5,'Cases'!$A$6:$A$10,0)-1)*36+31),"")</f>
        <v/>
      </c>
      <c r="AI26" s="137">
        <f>IF(ISNUMBER(INDEX('Cash schedule'!$Q$6:$Q$185,(MATCH($B$5,'Cases'!$A$6:$A$10,0)-1)*36+32)),INDEX('Cash schedule'!$Q$6:$Q$185,(MATCH($B$5,'Cases'!$A$6:$A$10,0)-1)*36+32),"")</f>
        <v/>
      </c>
      <c r="AJ26" s="137">
        <f>IF(ISNUMBER(INDEX('Cash schedule'!$Q$6:$Q$185,(MATCH($B$5,'Cases'!$A$6:$A$10,0)-1)*36+33)),INDEX('Cash schedule'!$Q$6:$Q$185,(MATCH($B$5,'Cases'!$A$6:$A$10,0)-1)*36+33),"")</f>
        <v/>
      </c>
      <c r="AK26" s="137">
        <f>IF(ISNUMBER(INDEX('Cash schedule'!$Q$6:$Q$185,(MATCH($B$5,'Cases'!$A$6:$A$10,0)-1)*36+34)),INDEX('Cash schedule'!$Q$6:$Q$185,(MATCH($B$5,'Cases'!$A$6:$A$10,0)-1)*36+34),"")</f>
        <v/>
      </c>
      <c r="AL26" s="137">
        <f>IF(ISNUMBER(INDEX('Cash schedule'!$Q$6:$Q$185,(MATCH($B$5,'Cases'!$A$6:$A$10,0)-1)*36+35)),INDEX('Cash schedule'!$Q$6:$Q$185,(MATCH($B$5,'Cases'!$A$6:$A$10,0)-1)*36+35),"")</f>
        <v/>
      </c>
      <c r="AM26" s="137">
        <f>IF(ISNUMBER(INDEX('Cash schedule'!$Q$6:$Q$185,(MATCH($B$5,'Cases'!$A$6:$A$10,0)-1)*36+36)),INDEX('Cash schedule'!$Q$6:$Q$185,(MATCH($B$5,'Cases'!$A$6:$A$10,0)-1)*36+36),"")</f>
        <v/>
      </c>
    </row>
    <row r="27" ht="28" customHeight="1">
      <c r="A27" s="4" t="inlineStr">
        <is>
          <t>Possible loan</t>
        </is>
      </c>
      <c r="B27" s="4" t="n"/>
      <c r="C27" s="4" t="n"/>
      <c r="D27" s="137">
        <f>IF(ISNUMBER(INDEX('Cash schedule'!$R$6:$R$185,(MATCH($B$5,'Cases'!$A$6:$A$10,0)-1)*36+1)),INDEX('Cash schedule'!$R$6:$R$185,(MATCH($B$5,'Cases'!$A$6:$A$10,0)-1)*36+1),"")</f>
        <v/>
      </c>
      <c r="E27" s="137">
        <f>IF(ISNUMBER(INDEX('Cash schedule'!$R$6:$R$185,(MATCH($B$5,'Cases'!$A$6:$A$10,0)-1)*36+2)),INDEX('Cash schedule'!$R$6:$R$185,(MATCH($B$5,'Cases'!$A$6:$A$10,0)-1)*36+2),"")</f>
        <v/>
      </c>
      <c r="F27" s="137">
        <f>IF(ISNUMBER(INDEX('Cash schedule'!$R$6:$R$185,(MATCH($B$5,'Cases'!$A$6:$A$10,0)-1)*36+3)),INDEX('Cash schedule'!$R$6:$R$185,(MATCH($B$5,'Cases'!$A$6:$A$10,0)-1)*36+3),"")</f>
        <v/>
      </c>
      <c r="G27" s="137">
        <f>IF(ISNUMBER(INDEX('Cash schedule'!$R$6:$R$185,(MATCH($B$5,'Cases'!$A$6:$A$10,0)-1)*36+4)),INDEX('Cash schedule'!$R$6:$R$185,(MATCH($B$5,'Cases'!$A$6:$A$10,0)-1)*36+4),"")</f>
        <v/>
      </c>
      <c r="H27" s="137">
        <f>IF(ISNUMBER(INDEX('Cash schedule'!$R$6:$R$185,(MATCH($B$5,'Cases'!$A$6:$A$10,0)-1)*36+5)),INDEX('Cash schedule'!$R$6:$R$185,(MATCH($B$5,'Cases'!$A$6:$A$10,0)-1)*36+5),"")</f>
        <v/>
      </c>
      <c r="I27" s="137">
        <f>IF(ISNUMBER(INDEX('Cash schedule'!$R$6:$R$185,(MATCH($B$5,'Cases'!$A$6:$A$10,0)-1)*36+6)),INDEX('Cash schedule'!$R$6:$R$185,(MATCH($B$5,'Cases'!$A$6:$A$10,0)-1)*36+6),"")</f>
        <v/>
      </c>
      <c r="J27" s="137">
        <f>IF(ISNUMBER(INDEX('Cash schedule'!$R$6:$R$185,(MATCH($B$5,'Cases'!$A$6:$A$10,0)-1)*36+7)),INDEX('Cash schedule'!$R$6:$R$185,(MATCH($B$5,'Cases'!$A$6:$A$10,0)-1)*36+7),"")</f>
        <v/>
      </c>
      <c r="K27" s="137">
        <f>IF(ISNUMBER(INDEX('Cash schedule'!$R$6:$R$185,(MATCH($B$5,'Cases'!$A$6:$A$10,0)-1)*36+8)),INDEX('Cash schedule'!$R$6:$R$185,(MATCH($B$5,'Cases'!$A$6:$A$10,0)-1)*36+8),"")</f>
        <v/>
      </c>
      <c r="L27" s="137">
        <f>IF(ISNUMBER(INDEX('Cash schedule'!$R$6:$R$185,(MATCH($B$5,'Cases'!$A$6:$A$10,0)-1)*36+9)),INDEX('Cash schedule'!$R$6:$R$185,(MATCH($B$5,'Cases'!$A$6:$A$10,0)-1)*36+9),"")</f>
        <v/>
      </c>
      <c r="M27" s="137">
        <f>IF(ISNUMBER(INDEX('Cash schedule'!$R$6:$R$185,(MATCH($B$5,'Cases'!$A$6:$A$10,0)-1)*36+10)),INDEX('Cash schedule'!$R$6:$R$185,(MATCH($B$5,'Cases'!$A$6:$A$10,0)-1)*36+10),"")</f>
        <v/>
      </c>
      <c r="N27" s="137">
        <f>IF(ISNUMBER(INDEX('Cash schedule'!$R$6:$R$185,(MATCH($B$5,'Cases'!$A$6:$A$10,0)-1)*36+11)),INDEX('Cash schedule'!$R$6:$R$185,(MATCH($B$5,'Cases'!$A$6:$A$10,0)-1)*36+11),"")</f>
        <v/>
      </c>
      <c r="O27" s="137">
        <f>IF(ISNUMBER(INDEX('Cash schedule'!$R$6:$R$185,(MATCH($B$5,'Cases'!$A$6:$A$10,0)-1)*36+12)),INDEX('Cash schedule'!$R$6:$R$185,(MATCH($B$5,'Cases'!$A$6:$A$10,0)-1)*36+12),"")</f>
        <v/>
      </c>
      <c r="P27" s="137">
        <f>IF(ISNUMBER(INDEX('Cash schedule'!$R$6:$R$185,(MATCH($B$5,'Cases'!$A$6:$A$10,0)-1)*36+13)),INDEX('Cash schedule'!$R$6:$R$185,(MATCH($B$5,'Cases'!$A$6:$A$10,0)-1)*36+13),"")</f>
        <v/>
      </c>
      <c r="Q27" s="137">
        <f>IF(ISNUMBER(INDEX('Cash schedule'!$R$6:$R$185,(MATCH($B$5,'Cases'!$A$6:$A$10,0)-1)*36+14)),INDEX('Cash schedule'!$R$6:$R$185,(MATCH($B$5,'Cases'!$A$6:$A$10,0)-1)*36+14),"")</f>
        <v/>
      </c>
      <c r="R27" s="137">
        <f>IF(ISNUMBER(INDEX('Cash schedule'!$R$6:$R$185,(MATCH($B$5,'Cases'!$A$6:$A$10,0)-1)*36+15)),INDEX('Cash schedule'!$R$6:$R$185,(MATCH($B$5,'Cases'!$A$6:$A$10,0)-1)*36+15),"")</f>
        <v/>
      </c>
      <c r="S27" s="137">
        <f>IF(ISNUMBER(INDEX('Cash schedule'!$R$6:$R$185,(MATCH($B$5,'Cases'!$A$6:$A$10,0)-1)*36+16)),INDEX('Cash schedule'!$R$6:$R$185,(MATCH($B$5,'Cases'!$A$6:$A$10,0)-1)*36+16),"")</f>
        <v/>
      </c>
      <c r="T27" s="137">
        <f>IF(ISNUMBER(INDEX('Cash schedule'!$R$6:$R$185,(MATCH($B$5,'Cases'!$A$6:$A$10,0)-1)*36+17)),INDEX('Cash schedule'!$R$6:$R$185,(MATCH($B$5,'Cases'!$A$6:$A$10,0)-1)*36+17),"")</f>
        <v/>
      </c>
      <c r="U27" s="137">
        <f>IF(ISNUMBER(INDEX('Cash schedule'!$R$6:$R$185,(MATCH($B$5,'Cases'!$A$6:$A$10,0)-1)*36+18)),INDEX('Cash schedule'!$R$6:$R$185,(MATCH($B$5,'Cases'!$A$6:$A$10,0)-1)*36+18),"")</f>
        <v/>
      </c>
      <c r="V27" s="137">
        <f>IF(ISNUMBER(INDEX('Cash schedule'!$R$6:$R$185,(MATCH($B$5,'Cases'!$A$6:$A$10,0)-1)*36+19)),INDEX('Cash schedule'!$R$6:$R$185,(MATCH($B$5,'Cases'!$A$6:$A$10,0)-1)*36+19),"")</f>
        <v/>
      </c>
      <c r="W27" s="137">
        <f>IF(ISNUMBER(INDEX('Cash schedule'!$R$6:$R$185,(MATCH($B$5,'Cases'!$A$6:$A$10,0)-1)*36+20)),INDEX('Cash schedule'!$R$6:$R$185,(MATCH($B$5,'Cases'!$A$6:$A$10,0)-1)*36+20),"")</f>
        <v/>
      </c>
      <c r="X27" s="137">
        <f>IF(ISNUMBER(INDEX('Cash schedule'!$R$6:$R$185,(MATCH($B$5,'Cases'!$A$6:$A$10,0)-1)*36+21)),INDEX('Cash schedule'!$R$6:$R$185,(MATCH($B$5,'Cases'!$A$6:$A$10,0)-1)*36+21),"")</f>
        <v/>
      </c>
      <c r="Y27" s="137">
        <f>IF(ISNUMBER(INDEX('Cash schedule'!$R$6:$R$185,(MATCH($B$5,'Cases'!$A$6:$A$10,0)-1)*36+22)),INDEX('Cash schedule'!$R$6:$R$185,(MATCH($B$5,'Cases'!$A$6:$A$10,0)-1)*36+22),"")</f>
        <v/>
      </c>
      <c r="Z27" s="137">
        <f>IF(ISNUMBER(INDEX('Cash schedule'!$R$6:$R$185,(MATCH($B$5,'Cases'!$A$6:$A$10,0)-1)*36+23)),INDEX('Cash schedule'!$R$6:$R$185,(MATCH($B$5,'Cases'!$A$6:$A$10,0)-1)*36+23),"")</f>
        <v/>
      </c>
      <c r="AA27" s="137">
        <f>IF(ISNUMBER(INDEX('Cash schedule'!$R$6:$R$185,(MATCH($B$5,'Cases'!$A$6:$A$10,0)-1)*36+24)),INDEX('Cash schedule'!$R$6:$R$185,(MATCH($B$5,'Cases'!$A$6:$A$10,0)-1)*36+24),"")</f>
        <v/>
      </c>
      <c r="AB27" s="137">
        <f>IF(ISNUMBER(INDEX('Cash schedule'!$R$6:$R$185,(MATCH($B$5,'Cases'!$A$6:$A$10,0)-1)*36+25)),INDEX('Cash schedule'!$R$6:$R$185,(MATCH($B$5,'Cases'!$A$6:$A$10,0)-1)*36+25),"")</f>
        <v/>
      </c>
      <c r="AC27" s="137">
        <f>IF(ISNUMBER(INDEX('Cash schedule'!$R$6:$R$185,(MATCH($B$5,'Cases'!$A$6:$A$10,0)-1)*36+26)),INDEX('Cash schedule'!$R$6:$R$185,(MATCH($B$5,'Cases'!$A$6:$A$10,0)-1)*36+26),"")</f>
        <v/>
      </c>
      <c r="AD27" s="137">
        <f>IF(ISNUMBER(INDEX('Cash schedule'!$R$6:$R$185,(MATCH($B$5,'Cases'!$A$6:$A$10,0)-1)*36+27)),INDEX('Cash schedule'!$R$6:$R$185,(MATCH($B$5,'Cases'!$A$6:$A$10,0)-1)*36+27),"")</f>
        <v/>
      </c>
      <c r="AE27" s="137">
        <f>IF(ISNUMBER(INDEX('Cash schedule'!$R$6:$R$185,(MATCH($B$5,'Cases'!$A$6:$A$10,0)-1)*36+28)),INDEX('Cash schedule'!$R$6:$R$185,(MATCH($B$5,'Cases'!$A$6:$A$10,0)-1)*36+28),"")</f>
        <v/>
      </c>
      <c r="AF27" s="137">
        <f>IF(ISNUMBER(INDEX('Cash schedule'!$R$6:$R$185,(MATCH($B$5,'Cases'!$A$6:$A$10,0)-1)*36+29)),INDEX('Cash schedule'!$R$6:$R$185,(MATCH($B$5,'Cases'!$A$6:$A$10,0)-1)*36+29),"")</f>
        <v/>
      </c>
      <c r="AG27" s="137">
        <f>IF(ISNUMBER(INDEX('Cash schedule'!$R$6:$R$185,(MATCH($B$5,'Cases'!$A$6:$A$10,0)-1)*36+30)),INDEX('Cash schedule'!$R$6:$R$185,(MATCH($B$5,'Cases'!$A$6:$A$10,0)-1)*36+30),"")</f>
        <v/>
      </c>
      <c r="AH27" s="137">
        <f>IF(ISNUMBER(INDEX('Cash schedule'!$R$6:$R$185,(MATCH($B$5,'Cases'!$A$6:$A$10,0)-1)*36+31)),INDEX('Cash schedule'!$R$6:$R$185,(MATCH($B$5,'Cases'!$A$6:$A$10,0)-1)*36+31),"")</f>
        <v/>
      </c>
      <c r="AI27" s="137">
        <f>IF(ISNUMBER(INDEX('Cash schedule'!$R$6:$R$185,(MATCH($B$5,'Cases'!$A$6:$A$10,0)-1)*36+32)),INDEX('Cash schedule'!$R$6:$R$185,(MATCH($B$5,'Cases'!$A$6:$A$10,0)-1)*36+32),"")</f>
        <v/>
      </c>
      <c r="AJ27" s="137">
        <f>IF(ISNUMBER(INDEX('Cash schedule'!$R$6:$R$185,(MATCH($B$5,'Cases'!$A$6:$A$10,0)-1)*36+33)),INDEX('Cash schedule'!$R$6:$R$185,(MATCH($B$5,'Cases'!$A$6:$A$10,0)-1)*36+33),"")</f>
        <v/>
      </c>
      <c r="AK27" s="137">
        <f>IF(ISNUMBER(INDEX('Cash schedule'!$R$6:$R$185,(MATCH($B$5,'Cases'!$A$6:$A$10,0)-1)*36+34)),INDEX('Cash schedule'!$R$6:$R$185,(MATCH($B$5,'Cases'!$A$6:$A$10,0)-1)*36+34),"")</f>
        <v/>
      </c>
      <c r="AL27" s="137">
        <f>IF(ISNUMBER(INDEX('Cash schedule'!$R$6:$R$185,(MATCH($B$5,'Cases'!$A$6:$A$10,0)-1)*36+35)),INDEX('Cash schedule'!$R$6:$R$185,(MATCH($B$5,'Cases'!$A$6:$A$10,0)-1)*36+35),"")</f>
        <v/>
      </c>
      <c r="AM27" s="137">
        <f>IF(ISNUMBER(INDEX('Cash schedule'!$R$6:$R$185,(MATCH($B$5,'Cases'!$A$6:$A$10,0)-1)*36+36)),INDEX('Cash schedule'!$R$6:$R$185,(MATCH($B$5,'Cases'!$A$6:$A$10,0)-1)*36+36),"")</f>
        <v/>
      </c>
    </row>
    <row r="28" ht="28" customHeight="1">
      <c r="A28" s="4" t="inlineStr">
        <is>
          <t>Goods cash</t>
        </is>
      </c>
      <c r="B28" s="4" t="n"/>
      <c r="C28" s="4" t="n"/>
      <c r="D28" s="137">
        <f>IF(ISNUMBER(INDEX('Cash schedule'!$S$6:$S$185,(MATCH($B$5,'Cases'!$A$6:$A$10,0)-1)*36+1)),INDEX('Cash schedule'!$S$6:$S$185,(MATCH($B$5,'Cases'!$A$6:$A$10,0)-1)*36+1),"")</f>
        <v/>
      </c>
      <c r="E28" s="137">
        <f>IF(ISNUMBER(INDEX('Cash schedule'!$S$6:$S$185,(MATCH($B$5,'Cases'!$A$6:$A$10,0)-1)*36+2)),INDEX('Cash schedule'!$S$6:$S$185,(MATCH($B$5,'Cases'!$A$6:$A$10,0)-1)*36+2),"")</f>
        <v/>
      </c>
      <c r="F28" s="137">
        <f>IF(ISNUMBER(INDEX('Cash schedule'!$S$6:$S$185,(MATCH($B$5,'Cases'!$A$6:$A$10,0)-1)*36+3)),INDEX('Cash schedule'!$S$6:$S$185,(MATCH($B$5,'Cases'!$A$6:$A$10,0)-1)*36+3),"")</f>
        <v/>
      </c>
      <c r="G28" s="137">
        <f>IF(ISNUMBER(INDEX('Cash schedule'!$S$6:$S$185,(MATCH($B$5,'Cases'!$A$6:$A$10,0)-1)*36+4)),INDEX('Cash schedule'!$S$6:$S$185,(MATCH($B$5,'Cases'!$A$6:$A$10,0)-1)*36+4),"")</f>
        <v/>
      </c>
      <c r="H28" s="137">
        <f>IF(ISNUMBER(INDEX('Cash schedule'!$S$6:$S$185,(MATCH($B$5,'Cases'!$A$6:$A$10,0)-1)*36+5)),INDEX('Cash schedule'!$S$6:$S$185,(MATCH($B$5,'Cases'!$A$6:$A$10,0)-1)*36+5),"")</f>
        <v/>
      </c>
      <c r="I28" s="137">
        <f>IF(ISNUMBER(INDEX('Cash schedule'!$S$6:$S$185,(MATCH($B$5,'Cases'!$A$6:$A$10,0)-1)*36+6)),INDEX('Cash schedule'!$S$6:$S$185,(MATCH($B$5,'Cases'!$A$6:$A$10,0)-1)*36+6),"")</f>
        <v/>
      </c>
      <c r="J28" s="137">
        <f>IF(ISNUMBER(INDEX('Cash schedule'!$S$6:$S$185,(MATCH($B$5,'Cases'!$A$6:$A$10,0)-1)*36+7)),INDEX('Cash schedule'!$S$6:$S$185,(MATCH($B$5,'Cases'!$A$6:$A$10,0)-1)*36+7),"")</f>
        <v/>
      </c>
      <c r="K28" s="137">
        <f>IF(ISNUMBER(INDEX('Cash schedule'!$S$6:$S$185,(MATCH($B$5,'Cases'!$A$6:$A$10,0)-1)*36+8)),INDEX('Cash schedule'!$S$6:$S$185,(MATCH($B$5,'Cases'!$A$6:$A$10,0)-1)*36+8),"")</f>
        <v/>
      </c>
      <c r="L28" s="137">
        <f>IF(ISNUMBER(INDEX('Cash schedule'!$S$6:$S$185,(MATCH($B$5,'Cases'!$A$6:$A$10,0)-1)*36+9)),INDEX('Cash schedule'!$S$6:$S$185,(MATCH($B$5,'Cases'!$A$6:$A$10,0)-1)*36+9),"")</f>
        <v/>
      </c>
      <c r="M28" s="137">
        <f>IF(ISNUMBER(INDEX('Cash schedule'!$S$6:$S$185,(MATCH($B$5,'Cases'!$A$6:$A$10,0)-1)*36+10)),INDEX('Cash schedule'!$S$6:$S$185,(MATCH($B$5,'Cases'!$A$6:$A$10,0)-1)*36+10),"")</f>
        <v/>
      </c>
      <c r="N28" s="137">
        <f>IF(ISNUMBER(INDEX('Cash schedule'!$S$6:$S$185,(MATCH($B$5,'Cases'!$A$6:$A$10,0)-1)*36+11)),INDEX('Cash schedule'!$S$6:$S$185,(MATCH($B$5,'Cases'!$A$6:$A$10,0)-1)*36+11),"")</f>
        <v/>
      </c>
      <c r="O28" s="137">
        <f>IF(ISNUMBER(INDEX('Cash schedule'!$S$6:$S$185,(MATCH($B$5,'Cases'!$A$6:$A$10,0)-1)*36+12)),INDEX('Cash schedule'!$S$6:$S$185,(MATCH($B$5,'Cases'!$A$6:$A$10,0)-1)*36+12),"")</f>
        <v/>
      </c>
      <c r="P28" s="137">
        <f>IF(ISNUMBER(INDEX('Cash schedule'!$S$6:$S$185,(MATCH($B$5,'Cases'!$A$6:$A$10,0)-1)*36+13)),INDEX('Cash schedule'!$S$6:$S$185,(MATCH($B$5,'Cases'!$A$6:$A$10,0)-1)*36+13),"")</f>
        <v/>
      </c>
      <c r="Q28" s="137">
        <f>IF(ISNUMBER(INDEX('Cash schedule'!$S$6:$S$185,(MATCH($B$5,'Cases'!$A$6:$A$10,0)-1)*36+14)),INDEX('Cash schedule'!$S$6:$S$185,(MATCH($B$5,'Cases'!$A$6:$A$10,0)-1)*36+14),"")</f>
        <v/>
      </c>
      <c r="R28" s="137">
        <f>IF(ISNUMBER(INDEX('Cash schedule'!$S$6:$S$185,(MATCH($B$5,'Cases'!$A$6:$A$10,0)-1)*36+15)),INDEX('Cash schedule'!$S$6:$S$185,(MATCH($B$5,'Cases'!$A$6:$A$10,0)-1)*36+15),"")</f>
        <v/>
      </c>
      <c r="S28" s="137">
        <f>IF(ISNUMBER(INDEX('Cash schedule'!$S$6:$S$185,(MATCH($B$5,'Cases'!$A$6:$A$10,0)-1)*36+16)),INDEX('Cash schedule'!$S$6:$S$185,(MATCH($B$5,'Cases'!$A$6:$A$10,0)-1)*36+16),"")</f>
        <v/>
      </c>
      <c r="T28" s="137">
        <f>IF(ISNUMBER(INDEX('Cash schedule'!$S$6:$S$185,(MATCH($B$5,'Cases'!$A$6:$A$10,0)-1)*36+17)),INDEX('Cash schedule'!$S$6:$S$185,(MATCH($B$5,'Cases'!$A$6:$A$10,0)-1)*36+17),"")</f>
        <v/>
      </c>
      <c r="U28" s="137">
        <f>IF(ISNUMBER(INDEX('Cash schedule'!$S$6:$S$185,(MATCH($B$5,'Cases'!$A$6:$A$10,0)-1)*36+18)),INDEX('Cash schedule'!$S$6:$S$185,(MATCH($B$5,'Cases'!$A$6:$A$10,0)-1)*36+18),"")</f>
        <v/>
      </c>
      <c r="V28" s="137">
        <f>IF(ISNUMBER(INDEX('Cash schedule'!$S$6:$S$185,(MATCH($B$5,'Cases'!$A$6:$A$10,0)-1)*36+19)),INDEX('Cash schedule'!$S$6:$S$185,(MATCH($B$5,'Cases'!$A$6:$A$10,0)-1)*36+19),"")</f>
        <v/>
      </c>
      <c r="W28" s="137">
        <f>IF(ISNUMBER(INDEX('Cash schedule'!$S$6:$S$185,(MATCH($B$5,'Cases'!$A$6:$A$10,0)-1)*36+20)),INDEX('Cash schedule'!$S$6:$S$185,(MATCH($B$5,'Cases'!$A$6:$A$10,0)-1)*36+20),"")</f>
        <v/>
      </c>
      <c r="X28" s="137">
        <f>IF(ISNUMBER(INDEX('Cash schedule'!$S$6:$S$185,(MATCH($B$5,'Cases'!$A$6:$A$10,0)-1)*36+21)),INDEX('Cash schedule'!$S$6:$S$185,(MATCH($B$5,'Cases'!$A$6:$A$10,0)-1)*36+21),"")</f>
        <v/>
      </c>
      <c r="Y28" s="137">
        <f>IF(ISNUMBER(INDEX('Cash schedule'!$S$6:$S$185,(MATCH($B$5,'Cases'!$A$6:$A$10,0)-1)*36+22)),INDEX('Cash schedule'!$S$6:$S$185,(MATCH($B$5,'Cases'!$A$6:$A$10,0)-1)*36+22),"")</f>
        <v/>
      </c>
      <c r="Z28" s="137">
        <f>IF(ISNUMBER(INDEX('Cash schedule'!$S$6:$S$185,(MATCH($B$5,'Cases'!$A$6:$A$10,0)-1)*36+23)),INDEX('Cash schedule'!$S$6:$S$185,(MATCH($B$5,'Cases'!$A$6:$A$10,0)-1)*36+23),"")</f>
        <v/>
      </c>
      <c r="AA28" s="137">
        <f>IF(ISNUMBER(INDEX('Cash schedule'!$S$6:$S$185,(MATCH($B$5,'Cases'!$A$6:$A$10,0)-1)*36+24)),INDEX('Cash schedule'!$S$6:$S$185,(MATCH($B$5,'Cases'!$A$6:$A$10,0)-1)*36+24),"")</f>
        <v/>
      </c>
      <c r="AB28" s="137">
        <f>IF(ISNUMBER(INDEX('Cash schedule'!$S$6:$S$185,(MATCH($B$5,'Cases'!$A$6:$A$10,0)-1)*36+25)),INDEX('Cash schedule'!$S$6:$S$185,(MATCH($B$5,'Cases'!$A$6:$A$10,0)-1)*36+25),"")</f>
        <v/>
      </c>
      <c r="AC28" s="137">
        <f>IF(ISNUMBER(INDEX('Cash schedule'!$S$6:$S$185,(MATCH($B$5,'Cases'!$A$6:$A$10,0)-1)*36+26)),INDEX('Cash schedule'!$S$6:$S$185,(MATCH($B$5,'Cases'!$A$6:$A$10,0)-1)*36+26),"")</f>
        <v/>
      </c>
      <c r="AD28" s="137">
        <f>IF(ISNUMBER(INDEX('Cash schedule'!$S$6:$S$185,(MATCH($B$5,'Cases'!$A$6:$A$10,0)-1)*36+27)),INDEX('Cash schedule'!$S$6:$S$185,(MATCH($B$5,'Cases'!$A$6:$A$10,0)-1)*36+27),"")</f>
        <v/>
      </c>
      <c r="AE28" s="137">
        <f>IF(ISNUMBER(INDEX('Cash schedule'!$S$6:$S$185,(MATCH($B$5,'Cases'!$A$6:$A$10,0)-1)*36+28)),INDEX('Cash schedule'!$S$6:$S$185,(MATCH($B$5,'Cases'!$A$6:$A$10,0)-1)*36+28),"")</f>
        <v/>
      </c>
      <c r="AF28" s="137">
        <f>IF(ISNUMBER(INDEX('Cash schedule'!$S$6:$S$185,(MATCH($B$5,'Cases'!$A$6:$A$10,0)-1)*36+29)),INDEX('Cash schedule'!$S$6:$S$185,(MATCH($B$5,'Cases'!$A$6:$A$10,0)-1)*36+29),"")</f>
        <v/>
      </c>
      <c r="AG28" s="137">
        <f>IF(ISNUMBER(INDEX('Cash schedule'!$S$6:$S$185,(MATCH($B$5,'Cases'!$A$6:$A$10,0)-1)*36+30)),INDEX('Cash schedule'!$S$6:$S$185,(MATCH($B$5,'Cases'!$A$6:$A$10,0)-1)*36+30),"")</f>
        <v/>
      </c>
      <c r="AH28" s="137">
        <f>IF(ISNUMBER(INDEX('Cash schedule'!$S$6:$S$185,(MATCH($B$5,'Cases'!$A$6:$A$10,0)-1)*36+31)),INDEX('Cash schedule'!$S$6:$S$185,(MATCH($B$5,'Cases'!$A$6:$A$10,0)-1)*36+31),"")</f>
        <v/>
      </c>
      <c r="AI28" s="137">
        <f>IF(ISNUMBER(INDEX('Cash schedule'!$S$6:$S$185,(MATCH($B$5,'Cases'!$A$6:$A$10,0)-1)*36+32)),INDEX('Cash schedule'!$S$6:$S$185,(MATCH($B$5,'Cases'!$A$6:$A$10,0)-1)*36+32),"")</f>
        <v/>
      </c>
      <c r="AJ28" s="137">
        <f>IF(ISNUMBER(INDEX('Cash schedule'!$S$6:$S$185,(MATCH($B$5,'Cases'!$A$6:$A$10,0)-1)*36+33)),INDEX('Cash schedule'!$S$6:$S$185,(MATCH($B$5,'Cases'!$A$6:$A$10,0)-1)*36+33),"")</f>
        <v/>
      </c>
      <c r="AK28" s="137">
        <f>IF(ISNUMBER(INDEX('Cash schedule'!$S$6:$S$185,(MATCH($B$5,'Cases'!$A$6:$A$10,0)-1)*36+34)),INDEX('Cash schedule'!$S$6:$S$185,(MATCH($B$5,'Cases'!$A$6:$A$10,0)-1)*36+34),"")</f>
        <v/>
      </c>
      <c r="AL28" s="137">
        <f>IF(ISNUMBER(INDEX('Cash schedule'!$S$6:$S$185,(MATCH($B$5,'Cases'!$A$6:$A$10,0)-1)*36+35)),INDEX('Cash schedule'!$S$6:$S$185,(MATCH($B$5,'Cases'!$A$6:$A$10,0)-1)*36+35),"")</f>
        <v/>
      </c>
      <c r="AM28" s="137">
        <f>IF(ISNUMBER(INDEX('Cash schedule'!$S$6:$S$185,(MATCH($B$5,'Cases'!$A$6:$A$10,0)-1)*36+36)),INDEX('Cash schedule'!$S$6:$S$185,(MATCH($B$5,'Cases'!$A$6:$A$10,0)-1)*36+36),"")</f>
        <v/>
      </c>
    </row>
    <row r="29" ht="28" customHeight="1">
      <c r="A29" s="4" t="inlineStr">
        <is>
          <t>Opening receivables collected</t>
        </is>
      </c>
      <c r="B29" s="4" t="n"/>
      <c r="C29" s="4" t="n"/>
      <c r="D29" s="137">
        <f>IF(ISNUMBER(INDEX('Cash schedule'!$T$6:$T$185,(MATCH($B$5,'Cases'!$A$6:$A$10,0)-1)*36+1)),INDEX('Cash schedule'!$T$6:$T$185,(MATCH($B$5,'Cases'!$A$6:$A$10,0)-1)*36+1),"")</f>
        <v/>
      </c>
      <c r="E29" s="137">
        <f>IF(ISNUMBER(INDEX('Cash schedule'!$T$6:$T$185,(MATCH($B$5,'Cases'!$A$6:$A$10,0)-1)*36+2)),INDEX('Cash schedule'!$T$6:$T$185,(MATCH($B$5,'Cases'!$A$6:$A$10,0)-1)*36+2),"")</f>
        <v/>
      </c>
      <c r="F29" s="137">
        <f>IF(ISNUMBER(INDEX('Cash schedule'!$T$6:$T$185,(MATCH($B$5,'Cases'!$A$6:$A$10,0)-1)*36+3)),INDEX('Cash schedule'!$T$6:$T$185,(MATCH($B$5,'Cases'!$A$6:$A$10,0)-1)*36+3),"")</f>
        <v/>
      </c>
      <c r="G29" s="137">
        <f>IF(ISNUMBER(INDEX('Cash schedule'!$T$6:$T$185,(MATCH($B$5,'Cases'!$A$6:$A$10,0)-1)*36+4)),INDEX('Cash schedule'!$T$6:$T$185,(MATCH($B$5,'Cases'!$A$6:$A$10,0)-1)*36+4),"")</f>
        <v/>
      </c>
      <c r="H29" s="137">
        <f>IF(ISNUMBER(INDEX('Cash schedule'!$T$6:$T$185,(MATCH($B$5,'Cases'!$A$6:$A$10,0)-1)*36+5)),INDEX('Cash schedule'!$T$6:$T$185,(MATCH($B$5,'Cases'!$A$6:$A$10,0)-1)*36+5),"")</f>
        <v/>
      </c>
      <c r="I29" s="137">
        <f>IF(ISNUMBER(INDEX('Cash schedule'!$T$6:$T$185,(MATCH($B$5,'Cases'!$A$6:$A$10,0)-1)*36+6)),INDEX('Cash schedule'!$T$6:$T$185,(MATCH($B$5,'Cases'!$A$6:$A$10,0)-1)*36+6),"")</f>
        <v/>
      </c>
      <c r="J29" s="137">
        <f>IF(ISNUMBER(INDEX('Cash schedule'!$T$6:$T$185,(MATCH($B$5,'Cases'!$A$6:$A$10,0)-1)*36+7)),INDEX('Cash schedule'!$T$6:$T$185,(MATCH($B$5,'Cases'!$A$6:$A$10,0)-1)*36+7),"")</f>
        <v/>
      </c>
      <c r="K29" s="137">
        <f>IF(ISNUMBER(INDEX('Cash schedule'!$T$6:$T$185,(MATCH($B$5,'Cases'!$A$6:$A$10,0)-1)*36+8)),INDEX('Cash schedule'!$T$6:$T$185,(MATCH($B$5,'Cases'!$A$6:$A$10,0)-1)*36+8),"")</f>
        <v/>
      </c>
      <c r="L29" s="137">
        <f>IF(ISNUMBER(INDEX('Cash schedule'!$T$6:$T$185,(MATCH($B$5,'Cases'!$A$6:$A$10,0)-1)*36+9)),INDEX('Cash schedule'!$T$6:$T$185,(MATCH($B$5,'Cases'!$A$6:$A$10,0)-1)*36+9),"")</f>
        <v/>
      </c>
      <c r="M29" s="137">
        <f>IF(ISNUMBER(INDEX('Cash schedule'!$T$6:$T$185,(MATCH($B$5,'Cases'!$A$6:$A$10,0)-1)*36+10)),INDEX('Cash schedule'!$T$6:$T$185,(MATCH($B$5,'Cases'!$A$6:$A$10,0)-1)*36+10),"")</f>
        <v/>
      </c>
      <c r="N29" s="137">
        <f>IF(ISNUMBER(INDEX('Cash schedule'!$T$6:$T$185,(MATCH($B$5,'Cases'!$A$6:$A$10,0)-1)*36+11)),INDEX('Cash schedule'!$T$6:$T$185,(MATCH($B$5,'Cases'!$A$6:$A$10,0)-1)*36+11),"")</f>
        <v/>
      </c>
      <c r="O29" s="137">
        <f>IF(ISNUMBER(INDEX('Cash schedule'!$T$6:$T$185,(MATCH($B$5,'Cases'!$A$6:$A$10,0)-1)*36+12)),INDEX('Cash schedule'!$T$6:$T$185,(MATCH($B$5,'Cases'!$A$6:$A$10,0)-1)*36+12),"")</f>
        <v/>
      </c>
      <c r="P29" s="137">
        <f>IF(ISNUMBER(INDEX('Cash schedule'!$T$6:$T$185,(MATCH($B$5,'Cases'!$A$6:$A$10,0)-1)*36+13)),INDEX('Cash schedule'!$T$6:$T$185,(MATCH($B$5,'Cases'!$A$6:$A$10,0)-1)*36+13),"")</f>
        <v/>
      </c>
      <c r="Q29" s="137">
        <f>IF(ISNUMBER(INDEX('Cash schedule'!$T$6:$T$185,(MATCH($B$5,'Cases'!$A$6:$A$10,0)-1)*36+14)),INDEX('Cash schedule'!$T$6:$T$185,(MATCH($B$5,'Cases'!$A$6:$A$10,0)-1)*36+14),"")</f>
        <v/>
      </c>
      <c r="R29" s="137">
        <f>IF(ISNUMBER(INDEX('Cash schedule'!$T$6:$T$185,(MATCH($B$5,'Cases'!$A$6:$A$10,0)-1)*36+15)),INDEX('Cash schedule'!$T$6:$T$185,(MATCH($B$5,'Cases'!$A$6:$A$10,0)-1)*36+15),"")</f>
        <v/>
      </c>
      <c r="S29" s="137">
        <f>IF(ISNUMBER(INDEX('Cash schedule'!$T$6:$T$185,(MATCH($B$5,'Cases'!$A$6:$A$10,0)-1)*36+16)),INDEX('Cash schedule'!$T$6:$T$185,(MATCH($B$5,'Cases'!$A$6:$A$10,0)-1)*36+16),"")</f>
        <v/>
      </c>
      <c r="T29" s="137">
        <f>IF(ISNUMBER(INDEX('Cash schedule'!$T$6:$T$185,(MATCH($B$5,'Cases'!$A$6:$A$10,0)-1)*36+17)),INDEX('Cash schedule'!$T$6:$T$185,(MATCH($B$5,'Cases'!$A$6:$A$10,0)-1)*36+17),"")</f>
        <v/>
      </c>
      <c r="U29" s="137">
        <f>IF(ISNUMBER(INDEX('Cash schedule'!$T$6:$T$185,(MATCH($B$5,'Cases'!$A$6:$A$10,0)-1)*36+18)),INDEX('Cash schedule'!$T$6:$T$185,(MATCH($B$5,'Cases'!$A$6:$A$10,0)-1)*36+18),"")</f>
        <v/>
      </c>
      <c r="V29" s="137">
        <f>IF(ISNUMBER(INDEX('Cash schedule'!$T$6:$T$185,(MATCH($B$5,'Cases'!$A$6:$A$10,0)-1)*36+19)),INDEX('Cash schedule'!$T$6:$T$185,(MATCH($B$5,'Cases'!$A$6:$A$10,0)-1)*36+19),"")</f>
        <v/>
      </c>
      <c r="W29" s="137">
        <f>IF(ISNUMBER(INDEX('Cash schedule'!$T$6:$T$185,(MATCH($B$5,'Cases'!$A$6:$A$10,0)-1)*36+20)),INDEX('Cash schedule'!$T$6:$T$185,(MATCH($B$5,'Cases'!$A$6:$A$10,0)-1)*36+20),"")</f>
        <v/>
      </c>
      <c r="X29" s="137">
        <f>IF(ISNUMBER(INDEX('Cash schedule'!$T$6:$T$185,(MATCH($B$5,'Cases'!$A$6:$A$10,0)-1)*36+21)),INDEX('Cash schedule'!$T$6:$T$185,(MATCH($B$5,'Cases'!$A$6:$A$10,0)-1)*36+21),"")</f>
        <v/>
      </c>
      <c r="Y29" s="137">
        <f>IF(ISNUMBER(INDEX('Cash schedule'!$T$6:$T$185,(MATCH($B$5,'Cases'!$A$6:$A$10,0)-1)*36+22)),INDEX('Cash schedule'!$T$6:$T$185,(MATCH($B$5,'Cases'!$A$6:$A$10,0)-1)*36+22),"")</f>
        <v/>
      </c>
      <c r="Z29" s="137">
        <f>IF(ISNUMBER(INDEX('Cash schedule'!$T$6:$T$185,(MATCH($B$5,'Cases'!$A$6:$A$10,0)-1)*36+23)),INDEX('Cash schedule'!$T$6:$T$185,(MATCH($B$5,'Cases'!$A$6:$A$10,0)-1)*36+23),"")</f>
        <v/>
      </c>
      <c r="AA29" s="137">
        <f>IF(ISNUMBER(INDEX('Cash schedule'!$T$6:$T$185,(MATCH($B$5,'Cases'!$A$6:$A$10,0)-1)*36+24)),INDEX('Cash schedule'!$T$6:$T$185,(MATCH($B$5,'Cases'!$A$6:$A$10,0)-1)*36+24),"")</f>
        <v/>
      </c>
      <c r="AB29" s="137">
        <f>IF(ISNUMBER(INDEX('Cash schedule'!$T$6:$T$185,(MATCH($B$5,'Cases'!$A$6:$A$10,0)-1)*36+25)),INDEX('Cash schedule'!$T$6:$T$185,(MATCH($B$5,'Cases'!$A$6:$A$10,0)-1)*36+25),"")</f>
        <v/>
      </c>
      <c r="AC29" s="137">
        <f>IF(ISNUMBER(INDEX('Cash schedule'!$T$6:$T$185,(MATCH($B$5,'Cases'!$A$6:$A$10,0)-1)*36+26)),INDEX('Cash schedule'!$T$6:$T$185,(MATCH($B$5,'Cases'!$A$6:$A$10,0)-1)*36+26),"")</f>
        <v/>
      </c>
      <c r="AD29" s="137">
        <f>IF(ISNUMBER(INDEX('Cash schedule'!$T$6:$T$185,(MATCH($B$5,'Cases'!$A$6:$A$10,0)-1)*36+27)),INDEX('Cash schedule'!$T$6:$T$185,(MATCH($B$5,'Cases'!$A$6:$A$10,0)-1)*36+27),"")</f>
        <v/>
      </c>
      <c r="AE29" s="137">
        <f>IF(ISNUMBER(INDEX('Cash schedule'!$T$6:$T$185,(MATCH($B$5,'Cases'!$A$6:$A$10,0)-1)*36+28)),INDEX('Cash schedule'!$T$6:$T$185,(MATCH($B$5,'Cases'!$A$6:$A$10,0)-1)*36+28),"")</f>
        <v/>
      </c>
      <c r="AF29" s="137">
        <f>IF(ISNUMBER(INDEX('Cash schedule'!$T$6:$T$185,(MATCH($B$5,'Cases'!$A$6:$A$10,0)-1)*36+29)),INDEX('Cash schedule'!$T$6:$T$185,(MATCH($B$5,'Cases'!$A$6:$A$10,0)-1)*36+29),"")</f>
        <v/>
      </c>
      <c r="AG29" s="137">
        <f>IF(ISNUMBER(INDEX('Cash schedule'!$T$6:$T$185,(MATCH($B$5,'Cases'!$A$6:$A$10,0)-1)*36+30)),INDEX('Cash schedule'!$T$6:$T$185,(MATCH($B$5,'Cases'!$A$6:$A$10,0)-1)*36+30),"")</f>
        <v/>
      </c>
      <c r="AH29" s="137">
        <f>IF(ISNUMBER(INDEX('Cash schedule'!$T$6:$T$185,(MATCH($B$5,'Cases'!$A$6:$A$10,0)-1)*36+31)),INDEX('Cash schedule'!$T$6:$T$185,(MATCH($B$5,'Cases'!$A$6:$A$10,0)-1)*36+31),"")</f>
        <v/>
      </c>
      <c r="AI29" s="137">
        <f>IF(ISNUMBER(INDEX('Cash schedule'!$T$6:$T$185,(MATCH($B$5,'Cases'!$A$6:$A$10,0)-1)*36+32)),INDEX('Cash schedule'!$T$6:$T$185,(MATCH($B$5,'Cases'!$A$6:$A$10,0)-1)*36+32),"")</f>
        <v/>
      </c>
      <c r="AJ29" s="137">
        <f>IF(ISNUMBER(INDEX('Cash schedule'!$T$6:$T$185,(MATCH($B$5,'Cases'!$A$6:$A$10,0)-1)*36+33)),INDEX('Cash schedule'!$T$6:$T$185,(MATCH($B$5,'Cases'!$A$6:$A$10,0)-1)*36+33),"")</f>
        <v/>
      </c>
      <c r="AK29" s="137">
        <f>IF(ISNUMBER(INDEX('Cash schedule'!$T$6:$T$185,(MATCH($B$5,'Cases'!$A$6:$A$10,0)-1)*36+34)),INDEX('Cash schedule'!$T$6:$T$185,(MATCH($B$5,'Cases'!$A$6:$A$10,0)-1)*36+34),"")</f>
        <v/>
      </c>
      <c r="AL29" s="137">
        <f>IF(ISNUMBER(INDEX('Cash schedule'!$T$6:$T$185,(MATCH($B$5,'Cases'!$A$6:$A$10,0)-1)*36+35)),INDEX('Cash schedule'!$T$6:$T$185,(MATCH($B$5,'Cases'!$A$6:$A$10,0)-1)*36+35),"")</f>
        <v/>
      </c>
      <c r="AM29" s="137">
        <f>IF(ISNUMBER(INDEX('Cash schedule'!$T$6:$T$185,(MATCH($B$5,'Cases'!$A$6:$A$10,0)-1)*36+36)),INDEX('Cash schedule'!$T$6:$T$185,(MATCH($B$5,'Cases'!$A$6:$A$10,0)-1)*36+36),"")</f>
        <v/>
      </c>
    </row>
    <row r="30" ht="28" customHeight="1">
      <c r="A30" s="4" t="inlineStr">
        <is>
          <t>Other receipts</t>
        </is>
      </c>
      <c r="B30" s="4" t="n"/>
      <c r="C30" s="4" t="n"/>
      <c r="D30" s="137">
        <f>IF(ISNUMBER(INDEX('Cash schedule'!$U$6:$U$185,(MATCH($B$5,'Cases'!$A$6:$A$10,0)-1)*36+1)),INDEX('Cash schedule'!$U$6:$U$185,(MATCH($B$5,'Cases'!$A$6:$A$10,0)-1)*36+1),"")</f>
        <v/>
      </c>
      <c r="E30" s="137">
        <f>IF(ISNUMBER(INDEX('Cash schedule'!$U$6:$U$185,(MATCH($B$5,'Cases'!$A$6:$A$10,0)-1)*36+2)),INDEX('Cash schedule'!$U$6:$U$185,(MATCH($B$5,'Cases'!$A$6:$A$10,0)-1)*36+2),"")</f>
        <v/>
      </c>
      <c r="F30" s="137">
        <f>IF(ISNUMBER(INDEX('Cash schedule'!$U$6:$U$185,(MATCH($B$5,'Cases'!$A$6:$A$10,0)-1)*36+3)),INDEX('Cash schedule'!$U$6:$U$185,(MATCH($B$5,'Cases'!$A$6:$A$10,0)-1)*36+3),"")</f>
        <v/>
      </c>
      <c r="G30" s="137">
        <f>IF(ISNUMBER(INDEX('Cash schedule'!$U$6:$U$185,(MATCH($B$5,'Cases'!$A$6:$A$10,0)-1)*36+4)),INDEX('Cash schedule'!$U$6:$U$185,(MATCH($B$5,'Cases'!$A$6:$A$10,0)-1)*36+4),"")</f>
        <v/>
      </c>
      <c r="H30" s="137">
        <f>IF(ISNUMBER(INDEX('Cash schedule'!$U$6:$U$185,(MATCH($B$5,'Cases'!$A$6:$A$10,0)-1)*36+5)),INDEX('Cash schedule'!$U$6:$U$185,(MATCH($B$5,'Cases'!$A$6:$A$10,0)-1)*36+5),"")</f>
        <v/>
      </c>
      <c r="I30" s="137">
        <f>IF(ISNUMBER(INDEX('Cash schedule'!$U$6:$U$185,(MATCH($B$5,'Cases'!$A$6:$A$10,0)-1)*36+6)),INDEX('Cash schedule'!$U$6:$U$185,(MATCH($B$5,'Cases'!$A$6:$A$10,0)-1)*36+6),"")</f>
        <v/>
      </c>
      <c r="J30" s="137">
        <f>IF(ISNUMBER(INDEX('Cash schedule'!$U$6:$U$185,(MATCH($B$5,'Cases'!$A$6:$A$10,0)-1)*36+7)),INDEX('Cash schedule'!$U$6:$U$185,(MATCH($B$5,'Cases'!$A$6:$A$10,0)-1)*36+7),"")</f>
        <v/>
      </c>
      <c r="K30" s="137">
        <f>IF(ISNUMBER(INDEX('Cash schedule'!$U$6:$U$185,(MATCH($B$5,'Cases'!$A$6:$A$10,0)-1)*36+8)),INDEX('Cash schedule'!$U$6:$U$185,(MATCH($B$5,'Cases'!$A$6:$A$10,0)-1)*36+8),"")</f>
        <v/>
      </c>
      <c r="L30" s="137">
        <f>IF(ISNUMBER(INDEX('Cash schedule'!$U$6:$U$185,(MATCH($B$5,'Cases'!$A$6:$A$10,0)-1)*36+9)),INDEX('Cash schedule'!$U$6:$U$185,(MATCH($B$5,'Cases'!$A$6:$A$10,0)-1)*36+9),"")</f>
        <v/>
      </c>
      <c r="M30" s="137">
        <f>IF(ISNUMBER(INDEX('Cash schedule'!$U$6:$U$185,(MATCH($B$5,'Cases'!$A$6:$A$10,0)-1)*36+10)),INDEX('Cash schedule'!$U$6:$U$185,(MATCH($B$5,'Cases'!$A$6:$A$10,0)-1)*36+10),"")</f>
        <v/>
      </c>
      <c r="N30" s="137">
        <f>IF(ISNUMBER(INDEX('Cash schedule'!$U$6:$U$185,(MATCH($B$5,'Cases'!$A$6:$A$10,0)-1)*36+11)),INDEX('Cash schedule'!$U$6:$U$185,(MATCH($B$5,'Cases'!$A$6:$A$10,0)-1)*36+11),"")</f>
        <v/>
      </c>
      <c r="O30" s="137">
        <f>IF(ISNUMBER(INDEX('Cash schedule'!$U$6:$U$185,(MATCH($B$5,'Cases'!$A$6:$A$10,0)-1)*36+12)),INDEX('Cash schedule'!$U$6:$U$185,(MATCH($B$5,'Cases'!$A$6:$A$10,0)-1)*36+12),"")</f>
        <v/>
      </c>
      <c r="P30" s="137">
        <f>IF(ISNUMBER(INDEX('Cash schedule'!$U$6:$U$185,(MATCH($B$5,'Cases'!$A$6:$A$10,0)-1)*36+13)),INDEX('Cash schedule'!$U$6:$U$185,(MATCH($B$5,'Cases'!$A$6:$A$10,0)-1)*36+13),"")</f>
        <v/>
      </c>
      <c r="Q30" s="137">
        <f>IF(ISNUMBER(INDEX('Cash schedule'!$U$6:$U$185,(MATCH($B$5,'Cases'!$A$6:$A$10,0)-1)*36+14)),INDEX('Cash schedule'!$U$6:$U$185,(MATCH($B$5,'Cases'!$A$6:$A$10,0)-1)*36+14),"")</f>
        <v/>
      </c>
      <c r="R30" s="137">
        <f>IF(ISNUMBER(INDEX('Cash schedule'!$U$6:$U$185,(MATCH($B$5,'Cases'!$A$6:$A$10,0)-1)*36+15)),INDEX('Cash schedule'!$U$6:$U$185,(MATCH($B$5,'Cases'!$A$6:$A$10,0)-1)*36+15),"")</f>
        <v/>
      </c>
      <c r="S30" s="137">
        <f>IF(ISNUMBER(INDEX('Cash schedule'!$U$6:$U$185,(MATCH($B$5,'Cases'!$A$6:$A$10,0)-1)*36+16)),INDEX('Cash schedule'!$U$6:$U$185,(MATCH($B$5,'Cases'!$A$6:$A$10,0)-1)*36+16),"")</f>
        <v/>
      </c>
      <c r="T30" s="137">
        <f>IF(ISNUMBER(INDEX('Cash schedule'!$U$6:$U$185,(MATCH($B$5,'Cases'!$A$6:$A$10,0)-1)*36+17)),INDEX('Cash schedule'!$U$6:$U$185,(MATCH($B$5,'Cases'!$A$6:$A$10,0)-1)*36+17),"")</f>
        <v/>
      </c>
      <c r="U30" s="137">
        <f>IF(ISNUMBER(INDEX('Cash schedule'!$U$6:$U$185,(MATCH($B$5,'Cases'!$A$6:$A$10,0)-1)*36+18)),INDEX('Cash schedule'!$U$6:$U$185,(MATCH($B$5,'Cases'!$A$6:$A$10,0)-1)*36+18),"")</f>
        <v/>
      </c>
      <c r="V30" s="137">
        <f>IF(ISNUMBER(INDEX('Cash schedule'!$U$6:$U$185,(MATCH($B$5,'Cases'!$A$6:$A$10,0)-1)*36+19)),INDEX('Cash schedule'!$U$6:$U$185,(MATCH($B$5,'Cases'!$A$6:$A$10,0)-1)*36+19),"")</f>
        <v/>
      </c>
      <c r="W30" s="137">
        <f>IF(ISNUMBER(INDEX('Cash schedule'!$U$6:$U$185,(MATCH($B$5,'Cases'!$A$6:$A$10,0)-1)*36+20)),INDEX('Cash schedule'!$U$6:$U$185,(MATCH($B$5,'Cases'!$A$6:$A$10,0)-1)*36+20),"")</f>
        <v/>
      </c>
      <c r="X30" s="137">
        <f>IF(ISNUMBER(INDEX('Cash schedule'!$U$6:$U$185,(MATCH($B$5,'Cases'!$A$6:$A$10,0)-1)*36+21)),INDEX('Cash schedule'!$U$6:$U$185,(MATCH($B$5,'Cases'!$A$6:$A$10,0)-1)*36+21),"")</f>
        <v/>
      </c>
      <c r="Y30" s="137">
        <f>IF(ISNUMBER(INDEX('Cash schedule'!$U$6:$U$185,(MATCH($B$5,'Cases'!$A$6:$A$10,0)-1)*36+22)),INDEX('Cash schedule'!$U$6:$U$185,(MATCH($B$5,'Cases'!$A$6:$A$10,0)-1)*36+22),"")</f>
        <v/>
      </c>
      <c r="Z30" s="137">
        <f>IF(ISNUMBER(INDEX('Cash schedule'!$U$6:$U$185,(MATCH($B$5,'Cases'!$A$6:$A$10,0)-1)*36+23)),INDEX('Cash schedule'!$U$6:$U$185,(MATCH($B$5,'Cases'!$A$6:$A$10,0)-1)*36+23),"")</f>
        <v/>
      </c>
      <c r="AA30" s="137">
        <f>IF(ISNUMBER(INDEX('Cash schedule'!$U$6:$U$185,(MATCH($B$5,'Cases'!$A$6:$A$10,0)-1)*36+24)),INDEX('Cash schedule'!$U$6:$U$185,(MATCH($B$5,'Cases'!$A$6:$A$10,0)-1)*36+24),"")</f>
        <v/>
      </c>
      <c r="AB30" s="137">
        <f>IF(ISNUMBER(INDEX('Cash schedule'!$U$6:$U$185,(MATCH($B$5,'Cases'!$A$6:$A$10,0)-1)*36+25)),INDEX('Cash schedule'!$U$6:$U$185,(MATCH($B$5,'Cases'!$A$6:$A$10,0)-1)*36+25),"")</f>
        <v/>
      </c>
      <c r="AC30" s="137">
        <f>IF(ISNUMBER(INDEX('Cash schedule'!$U$6:$U$185,(MATCH($B$5,'Cases'!$A$6:$A$10,0)-1)*36+26)),INDEX('Cash schedule'!$U$6:$U$185,(MATCH($B$5,'Cases'!$A$6:$A$10,0)-1)*36+26),"")</f>
        <v/>
      </c>
      <c r="AD30" s="137">
        <f>IF(ISNUMBER(INDEX('Cash schedule'!$U$6:$U$185,(MATCH($B$5,'Cases'!$A$6:$A$10,0)-1)*36+27)),INDEX('Cash schedule'!$U$6:$U$185,(MATCH($B$5,'Cases'!$A$6:$A$10,0)-1)*36+27),"")</f>
        <v/>
      </c>
      <c r="AE30" s="137">
        <f>IF(ISNUMBER(INDEX('Cash schedule'!$U$6:$U$185,(MATCH($B$5,'Cases'!$A$6:$A$10,0)-1)*36+28)),INDEX('Cash schedule'!$U$6:$U$185,(MATCH($B$5,'Cases'!$A$6:$A$10,0)-1)*36+28),"")</f>
        <v/>
      </c>
      <c r="AF30" s="137">
        <f>IF(ISNUMBER(INDEX('Cash schedule'!$U$6:$U$185,(MATCH($B$5,'Cases'!$A$6:$A$10,0)-1)*36+29)),INDEX('Cash schedule'!$U$6:$U$185,(MATCH($B$5,'Cases'!$A$6:$A$10,0)-1)*36+29),"")</f>
        <v/>
      </c>
      <c r="AG30" s="137">
        <f>IF(ISNUMBER(INDEX('Cash schedule'!$U$6:$U$185,(MATCH($B$5,'Cases'!$A$6:$A$10,0)-1)*36+30)),INDEX('Cash schedule'!$U$6:$U$185,(MATCH($B$5,'Cases'!$A$6:$A$10,0)-1)*36+30),"")</f>
        <v/>
      </c>
      <c r="AH30" s="137">
        <f>IF(ISNUMBER(INDEX('Cash schedule'!$U$6:$U$185,(MATCH($B$5,'Cases'!$A$6:$A$10,0)-1)*36+31)),INDEX('Cash schedule'!$U$6:$U$185,(MATCH($B$5,'Cases'!$A$6:$A$10,0)-1)*36+31),"")</f>
        <v/>
      </c>
      <c r="AI30" s="137">
        <f>IF(ISNUMBER(INDEX('Cash schedule'!$U$6:$U$185,(MATCH($B$5,'Cases'!$A$6:$A$10,0)-1)*36+32)),INDEX('Cash schedule'!$U$6:$U$185,(MATCH($B$5,'Cases'!$A$6:$A$10,0)-1)*36+32),"")</f>
        <v/>
      </c>
      <c r="AJ30" s="137">
        <f>IF(ISNUMBER(INDEX('Cash schedule'!$U$6:$U$185,(MATCH($B$5,'Cases'!$A$6:$A$10,0)-1)*36+33)),INDEX('Cash schedule'!$U$6:$U$185,(MATCH($B$5,'Cases'!$A$6:$A$10,0)-1)*36+33),"")</f>
        <v/>
      </c>
      <c r="AK30" s="137">
        <f>IF(ISNUMBER(INDEX('Cash schedule'!$U$6:$U$185,(MATCH($B$5,'Cases'!$A$6:$A$10,0)-1)*36+34)),INDEX('Cash schedule'!$U$6:$U$185,(MATCH($B$5,'Cases'!$A$6:$A$10,0)-1)*36+34),"")</f>
        <v/>
      </c>
      <c r="AL30" s="137">
        <f>IF(ISNUMBER(INDEX('Cash schedule'!$U$6:$U$185,(MATCH($B$5,'Cases'!$A$6:$A$10,0)-1)*36+35)),INDEX('Cash schedule'!$U$6:$U$185,(MATCH($B$5,'Cases'!$A$6:$A$10,0)-1)*36+35),"")</f>
        <v/>
      </c>
      <c r="AM30" s="137">
        <f>IF(ISNUMBER(INDEX('Cash schedule'!$U$6:$U$185,(MATCH($B$5,'Cases'!$A$6:$A$10,0)-1)*36+36)),INDEX('Cash schedule'!$U$6:$U$185,(MATCH($B$5,'Cases'!$A$6:$A$10,0)-1)*36+36),"")</f>
        <v/>
      </c>
    </row>
    <row r="31" ht="28" customHeight="1">
      <c r="A31" s="4" t="inlineStr">
        <is>
          <t>Total receipts</t>
        </is>
      </c>
      <c r="B31" s="4" t="n"/>
      <c r="C31" s="4" t="n"/>
      <c r="D31" s="137">
        <f>IF(ISNUMBER(INDEX('Cash schedule'!$V$6:$V$185,(MATCH($B$5,'Cases'!$A$6:$A$10,0)-1)*36+1)),INDEX('Cash schedule'!$V$6:$V$185,(MATCH($B$5,'Cases'!$A$6:$A$10,0)-1)*36+1),"")</f>
        <v/>
      </c>
      <c r="E31" s="137">
        <f>IF(ISNUMBER(INDEX('Cash schedule'!$V$6:$V$185,(MATCH($B$5,'Cases'!$A$6:$A$10,0)-1)*36+2)),INDEX('Cash schedule'!$V$6:$V$185,(MATCH($B$5,'Cases'!$A$6:$A$10,0)-1)*36+2),"")</f>
        <v/>
      </c>
      <c r="F31" s="137">
        <f>IF(ISNUMBER(INDEX('Cash schedule'!$V$6:$V$185,(MATCH($B$5,'Cases'!$A$6:$A$10,0)-1)*36+3)),INDEX('Cash schedule'!$V$6:$V$185,(MATCH($B$5,'Cases'!$A$6:$A$10,0)-1)*36+3),"")</f>
        <v/>
      </c>
      <c r="G31" s="137">
        <f>IF(ISNUMBER(INDEX('Cash schedule'!$V$6:$V$185,(MATCH($B$5,'Cases'!$A$6:$A$10,0)-1)*36+4)),INDEX('Cash schedule'!$V$6:$V$185,(MATCH($B$5,'Cases'!$A$6:$A$10,0)-1)*36+4),"")</f>
        <v/>
      </c>
      <c r="H31" s="137">
        <f>IF(ISNUMBER(INDEX('Cash schedule'!$V$6:$V$185,(MATCH($B$5,'Cases'!$A$6:$A$10,0)-1)*36+5)),INDEX('Cash schedule'!$V$6:$V$185,(MATCH($B$5,'Cases'!$A$6:$A$10,0)-1)*36+5),"")</f>
        <v/>
      </c>
      <c r="I31" s="137">
        <f>IF(ISNUMBER(INDEX('Cash schedule'!$V$6:$V$185,(MATCH($B$5,'Cases'!$A$6:$A$10,0)-1)*36+6)),INDEX('Cash schedule'!$V$6:$V$185,(MATCH($B$5,'Cases'!$A$6:$A$10,0)-1)*36+6),"")</f>
        <v/>
      </c>
      <c r="J31" s="137">
        <f>IF(ISNUMBER(INDEX('Cash schedule'!$V$6:$V$185,(MATCH($B$5,'Cases'!$A$6:$A$10,0)-1)*36+7)),INDEX('Cash schedule'!$V$6:$V$185,(MATCH($B$5,'Cases'!$A$6:$A$10,0)-1)*36+7),"")</f>
        <v/>
      </c>
      <c r="K31" s="137">
        <f>IF(ISNUMBER(INDEX('Cash schedule'!$V$6:$V$185,(MATCH($B$5,'Cases'!$A$6:$A$10,0)-1)*36+8)),INDEX('Cash schedule'!$V$6:$V$185,(MATCH($B$5,'Cases'!$A$6:$A$10,0)-1)*36+8),"")</f>
        <v/>
      </c>
      <c r="L31" s="137">
        <f>IF(ISNUMBER(INDEX('Cash schedule'!$V$6:$V$185,(MATCH($B$5,'Cases'!$A$6:$A$10,0)-1)*36+9)),INDEX('Cash schedule'!$V$6:$V$185,(MATCH($B$5,'Cases'!$A$6:$A$10,0)-1)*36+9),"")</f>
        <v/>
      </c>
      <c r="M31" s="137">
        <f>IF(ISNUMBER(INDEX('Cash schedule'!$V$6:$V$185,(MATCH($B$5,'Cases'!$A$6:$A$10,0)-1)*36+10)),INDEX('Cash schedule'!$V$6:$V$185,(MATCH($B$5,'Cases'!$A$6:$A$10,0)-1)*36+10),"")</f>
        <v/>
      </c>
      <c r="N31" s="137">
        <f>IF(ISNUMBER(INDEX('Cash schedule'!$V$6:$V$185,(MATCH($B$5,'Cases'!$A$6:$A$10,0)-1)*36+11)),INDEX('Cash schedule'!$V$6:$V$185,(MATCH($B$5,'Cases'!$A$6:$A$10,0)-1)*36+11),"")</f>
        <v/>
      </c>
      <c r="O31" s="137">
        <f>IF(ISNUMBER(INDEX('Cash schedule'!$V$6:$V$185,(MATCH($B$5,'Cases'!$A$6:$A$10,0)-1)*36+12)),INDEX('Cash schedule'!$V$6:$V$185,(MATCH($B$5,'Cases'!$A$6:$A$10,0)-1)*36+12),"")</f>
        <v/>
      </c>
      <c r="P31" s="137">
        <f>IF(ISNUMBER(INDEX('Cash schedule'!$V$6:$V$185,(MATCH($B$5,'Cases'!$A$6:$A$10,0)-1)*36+13)),INDEX('Cash schedule'!$V$6:$V$185,(MATCH($B$5,'Cases'!$A$6:$A$10,0)-1)*36+13),"")</f>
        <v/>
      </c>
      <c r="Q31" s="137">
        <f>IF(ISNUMBER(INDEX('Cash schedule'!$V$6:$V$185,(MATCH($B$5,'Cases'!$A$6:$A$10,0)-1)*36+14)),INDEX('Cash schedule'!$V$6:$V$185,(MATCH($B$5,'Cases'!$A$6:$A$10,0)-1)*36+14),"")</f>
        <v/>
      </c>
      <c r="R31" s="137">
        <f>IF(ISNUMBER(INDEX('Cash schedule'!$V$6:$V$185,(MATCH($B$5,'Cases'!$A$6:$A$10,0)-1)*36+15)),INDEX('Cash schedule'!$V$6:$V$185,(MATCH($B$5,'Cases'!$A$6:$A$10,0)-1)*36+15),"")</f>
        <v/>
      </c>
      <c r="S31" s="137">
        <f>IF(ISNUMBER(INDEX('Cash schedule'!$V$6:$V$185,(MATCH($B$5,'Cases'!$A$6:$A$10,0)-1)*36+16)),INDEX('Cash schedule'!$V$6:$V$185,(MATCH($B$5,'Cases'!$A$6:$A$10,0)-1)*36+16),"")</f>
        <v/>
      </c>
      <c r="T31" s="137">
        <f>IF(ISNUMBER(INDEX('Cash schedule'!$V$6:$V$185,(MATCH($B$5,'Cases'!$A$6:$A$10,0)-1)*36+17)),INDEX('Cash schedule'!$V$6:$V$185,(MATCH($B$5,'Cases'!$A$6:$A$10,0)-1)*36+17),"")</f>
        <v/>
      </c>
      <c r="U31" s="137">
        <f>IF(ISNUMBER(INDEX('Cash schedule'!$V$6:$V$185,(MATCH($B$5,'Cases'!$A$6:$A$10,0)-1)*36+18)),INDEX('Cash schedule'!$V$6:$V$185,(MATCH($B$5,'Cases'!$A$6:$A$10,0)-1)*36+18),"")</f>
        <v/>
      </c>
      <c r="V31" s="137">
        <f>IF(ISNUMBER(INDEX('Cash schedule'!$V$6:$V$185,(MATCH($B$5,'Cases'!$A$6:$A$10,0)-1)*36+19)),INDEX('Cash schedule'!$V$6:$V$185,(MATCH($B$5,'Cases'!$A$6:$A$10,0)-1)*36+19),"")</f>
        <v/>
      </c>
      <c r="W31" s="137">
        <f>IF(ISNUMBER(INDEX('Cash schedule'!$V$6:$V$185,(MATCH($B$5,'Cases'!$A$6:$A$10,0)-1)*36+20)),INDEX('Cash schedule'!$V$6:$V$185,(MATCH($B$5,'Cases'!$A$6:$A$10,0)-1)*36+20),"")</f>
        <v/>
      </c>
      <c r="X31" s="137">
        <f>IF(ISNUMBER(INDEX('Cash schedule'!$V$6:$V$185,(MATCH($B$5,'Cases'!$A$6:$A$10,0)-1)*36+21)),INDEX('Cash schedule'!$V$6:$V$185,(MATCH($B$5,'Cases'!$A$6:$A$10,0)-1)*36+21),"")</f>
        <v/>
      </c>
      <c r="Y31" s="137">
        <f>IF(ISNUMBER(INDEX('Cash schedule'!$V$6:$V$185,(MATCH($B$5,'Cases'!$A$6:$A$10,0)-1)*36+22)),INDEX('Cash schedule'!$V$6:$V$185,(MATCH($B$5,'Cases'!$A$6:$A$10,0)-1)*36+22),"")</f>
        <v/>
      </c>
      <c r="Z31" s="137">
        <f>IF(ISNUMBER(INDEX('Cash schedule'!$V$6:$V$185,(MATCH($B$5,'Cases'!$A$6:$A$10,0)-1)*36+23)),INDEX('Cash schedule'!$V$6:$V$185,(MATCH($B$5,'Cases'!$A$6:$A$10,0)-1)*36+23),"")</f>
        <v/>
      </c>
      <c r="AA31" s="137">
        <f>IF(ISNUMBER(INDEX('Cash schedule'!$V$6:$V$185,(MATCH($B$5,'Cases'!$A$6:$A$10,0)-1)*36+24)),INDEX('Cash schedule'!$V$6:$V$185,(MATCH($B$5,'Cases'!$A$6:$A$10,0)-1)*36+24),"")</f>
        <v/>
      </c>
      <c r="AB31" s="137">
        <f>IF(ISNUMBER(INDEX('Cash schedule'!$V$6:$V$185,(MATCH($B$5,'Cases'!$A$6:$A$10,0)-1)*36+25)),INDEX('Cash schedule'!$V$6:$V$185,(MATCH($B$5,'Cases'!$A$6:$A$10,0)-1)*36+25),"")</f>
        <v/>
      </c>
      <c r="AC31" s="137">
        <f>IF(ISNUMBER(INDEX('Cash schedule'!$V$6:$V$185,(MATCH($B$5,'Cases'!$A$6:$A$10,0)-1)*36+26)),INDEX('Cash schedule'!$V$6:$V$185,(MATCH($B$5,'Cases'!$A$6:$A$10,0)-1)*36+26),"")</f>
        <v/>
      </c>
      <c r="AD31" s="137">
        <f>IF(ISNUMBER(INDEX('Cash schedule'!$V$6:$V$185,(MATCH($B$5,'Cases'!$A$6:$A$10,0)-1)*36+27)),INDEX('Cash schedule'!$V$6:$V$185,(MATCH($B$5,'Cases'!$A$6:$A$10,0)-1)*36+27),"")</f>
        <v/>
      </c>
      <c r="AE31" s="137">
        <f>IF(ISNUMBER(INDEX('Cash schedule'!$V$6:$V$185,(MATCH($B$5,'Cases'!$A$6:$A$10,0)-1)*36+28)),INDEX('Cash schedule'!$V$6:$V$185,(MATCH($B$5,'Cases'!$A$6:$A$10,0)-1)*36+28),"")</f>
        <v/>
      </c>
      <c r="AF31" s="137">
        <f>IF(ISNUMBER(INDEX('Cash schedule'!$V$6:$V$185,(MATCH($B$5,'Cases'!$A$6:$A$10,0)-1)*36+29)),INDEX('Cash schedule'!$V$6:$V$185,(MATCH($B$5,'Cases'!$A$6:$A$10,0)-1)*36+29),"")</f>
        <v/>
      </c>
      <c r="AG31" s="137">
        <f>IF(ISNUMBER(INDEX('Cash schedule'!$V$6:$V$185,(MATCH($B$5,'Cases'!$A$6:$A$10,0)-1)*36+30)),INDEX('Cash schedule'!$V$6:$V$185,(MATCH($B$5,'Cases'!$A$6:$A$10,0)-1)*36+30),"")</f>
        <v/>
      </c>
      <c r="AH31" s="137">
        <f>IF(ISNUMBER(INDEX('Cash schedule'!$V$6:$V$185,(MATCH($B$5,'Cases'!$A$6:$A$10,0)-1)*36+31)),INDEX('Cash schedule'!$V$6:$V$185,(MATCH($B$5,'Cases'!$A$6:$A$10,0)-1)*36+31),"")</f>
        <v/>
      </c>
      <c r="AI31" s="137">
        <f>IF(ISNUMBER(INDEX('Cash schedule'!$V$6:$V$185,(MATCH($B$5,'Cases'!$A$6:$A$10,0)-1)*36+32)),INDEX('Cash schedule'!$V$6:$V$185,(MATCH($B$5,'Cases'!$A$6:$A$10,0)-1)*36+32),"")</f>
        <v/>
      </c>
      <c r="AJ31" s="137">
        <f>IF(ISNUMBER(INDEX('Cash schedule'!$V$6:$V$185,(MATCH($B$5,'Cases'!$A$6:$A$10,0)-1)*36+33)),INDEX('Cash schedule'!$V$6:$V$185,(MATCH($B$5,'Cases'!$A$6:$A$10,0)-1)*36+33),"")</f>
        <v/>
      </c>
      <c r="AK31" s="137">
        <f>IF(ISNUMBER(INDEX('Cash schedule'!$V$6:$V$185,(MATCH($B$5,'Cases'!$A$6:$A$10,0)-1)*36+34)),INDEX('Cash schedule'!$V$6:$V$185,(MATCH($B$5,'Cases'!$A$6:$A$10,0)-1)*36+34),"")</f>
        <v/>
      </c>
      <c r="AL31" s="137">
        <f>IF(ISNUMBER(INDEX('Cash schedule'!$V$6:$V$185,(MATCH($B$5,'Cases'!$A$6:$A$10,0)-1)*36+35)),INDEX('Cash schedule'!$V$6:$V$185,(MATCH($B$5,'Cases'!$A$6:$A$10,0)-1)*36+35),"")</f>
        <v/>
      </c>
      <c r="AM31" s="137">
        <f>IF(ISNUMBER(INDEX('Cash schedule'!$V$6:$V$185,(MATCH($B$5,'Cases'!$A$6:$A$10,0)-1)*36+36)),INDEX('Cash schedule'!$V$6:$V$185,(MATCH($B$5,'Cases'!$A$6:$A$10,0)-1)*36+36),"")</f>
        <v/>
      </c>
    </row>
    <row r="32" ht="28" customHeight="1">
      <c r="A32" s="4" t="n"/>
      <c r="B32" s="4" t="n"/>
      <c r="C32" s="4" t="n"/>
      <c r="D32" s="137" t="n"/>
      <c r="E32" s="137" t="n"/>
      <c r="F32" s="137" t="n"/>
      <c r="G32" s="137" t="n"/>
      <c r="H32" s="137" t="n"/>
      <c r="I32" s="137" t="n"/>
      <c r="J32" s="137" t="n"/>
      <c r="K32" s="137" t="n"/>
      <c r="L32" s="137" t="n"/>
      <c r="M32" s="137" t="n"/>
      <c r="N32" s="137" t="n"/>
      <c r="O32" s="137" t="n"/>
      <c r="P32" s="137" t="n"/>
      <c r="Q32" s="137" t="n"/>
      <c r="R32" s="137" t="n"/>
      <c r="S32" s="137" t="n"/>
      <c r="T32" s="137" t="n"/>
      <c r="U32" s="137" t="n"/>
      <c r="V32" s="137" t="n"/>
      <c r="W32" s="137" t="n"/>
      <c r="X32" s="137" t="n"/>
      <c r="Y32" s="137" t="n"/>
      <c r="Z32" s="137" t="n"/>
      <c r="AA32" s="137" t="n"/>
      <c r="AB32" s="137" t="n"/>
      <c r="AC32" s="137" t="n"/>
      <c r="AD32" s="137" t="n"/>
      <c r="AE32" s="137" t="n"/>
      <c r="AF32" s="137" t="n"/>
      <c r="AG32" s="137" t="n"/>
      <c r="AH32" s="137" t="n"/>
      <c r="AI32" s="137" t="n"/>
      <c r="AJ32" s="137" t="n"/>
      <c r="AK32" s="137" t="n"/>
      <c r="AL32" s="137" t="n"/>
      <c r="AM32" s="137" t="n"/>
    </row>
    <row r="33" ht="36" customHeight="1">
      <c r="A33" s="8" t="inlineStr">
        <is>
          <t>Debt and other payments</t>
        </is>
      </c>
      <c r="B33" s="8" t="n"/>
      <c r="C33" s="8" t="n"/>
      <c r="D33" s="140" t="n"/>
      <c r="E33" s="140" t="n"/>
      <c r="F33" s="140"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c r="AA33" s="140" t="n"/>
      <c r="AB33" s="140" t="n"/>
      <c r="AC33" s="140" t="n"/>
      <c r="AD33" s="140" t="n"/>
      <c r="AE33" s="140" t="n"/>
      <c r="AF33" s="140" t="n"/>
      <c r="AG33" s="140" t="n"/>
      <c r="AH33" s="140" t="n"/>
      <c r="AI33" s="140" t="n"/>
      <c r="AJ33" s="140" t="n"/>
      <c r="AK33" s="140" t="n"/>
      <c r="AL33" s="140" t="n"/>
      <c r="AM33" s="140" t="n"/>
    </row>
    <row r="34" ht="28" customHeight="1">
      <c r="A34" s="4" t="inlineStr">
        <is>
          <t>New loan interest</t>
        </is>
      </c>
      <c r="B34" s="4" t="n"/>
      <c r="C34" s="4" t="n"/>
      <c r="D34" s="137">
        <f>IF(ISNUMBER(INDEX('Cash schedule'!$Y$6:$Y$185,(MATCH($B$5,'Cases'!$A$6:$A$10,0)-1)*36+1)),INDEX('Cash schedule'!$Y$6:$Y$185,(MATCH($B$5,'Cases'!$A$6:$A$10,0)-1)*36+1),"")</f>
        <v/>
      </c>
      <c r="E34" s="137">
        <f>IF(ISNUMBER(INDEX('Cash schedule'!$Y$6:$Y$185,(MATCH($B$5,'Cases'!$A$6:$A$10,0)-1)*36+2)),INDEX('Cash schedule'!$Y$6:$Y$185,(MATCH($B$5,'Cases'!$A$6:$A$10,0)-1)*36+2),"")</f>
        <v/>
      </c>
      <c r="F34" s="137">
        <f>IF(ISNUMBER(INDEX('Cash schedule'!$Y$6:$Y$185,(MATCH($B$5,'Cases'!$A$6:$A$10,0)-1)*36+3)),INDEX('Cash schedule'!$Y$6:$Y$185,(MATCH($B$5,'Cases'!$A$6:$A$10,0)-1)*36+3),"")</f>
        <v/>
      </c>
      <c r="G34" s="137">
        <f>IF(ISNUMBER(INDEX('Cash schedule'!$Y$6:$Y$185,(MATCH($B$5,'Cases'!$A$6:$A$10,0)-1)*36+4)),INDEX('Cash schedule'!$Y$6:$Y$185,(MATCH($B$5,'Cases'!$A$6:$A$10,0)-1)*36+4),"")</f>
        <v/>
      </c>
      <c r="H34" s="137">
        <f>IF(ISNUMBER(INDEX('Cash schedule'!$Y$6:$Y$185,(MATCH($B$5,'Cases'!$A$6:$A$10,0)-1)*36+5)),INDEX('Cash schedule'!$Y$6:$Y$185,(MATCH($B$5,'Cases'!$A$6:$A$10,0)-1)*36+5),"")</f>
        <v/>
      </c>
      <c r="I34" s="137">
        <f>IF(ISNUMBER(INDEX('Cash schedule'!$Y$6:$Y$185,(MATCH($B$5,'Cases'!$A$6:$A$10,0)-1)*36+6)),INDEX('Cash schedule'!$Y$6:$Y$185,(MATCH($B$5,'Cases'!$A$6:$A$10,0)-1)*36+6),"")</f>
        <v/>
      </c>
      <c r="J34" s="137">
        <f>IF(ISNUMBER(INDEX('Cash schedule'!$Y$6:$Y$185,(MATCH($B$5,'Cases'!$A$6:$A$10,0)-1)*36+7)),INDEX('Cash schedule'!$Y$6:$Y$185,(MATCH($B$5,'Cases'!$A$6:$A$10,0)-1)*36+7),"")</f>
        <v/>
      </c>
      <c r="K34" s="137">
        <f>IF(ISNUMBER(INDEX('Cash schedule'!$Y$6:$Y$185,(MATCH($B$5,'Cases'!$A$6:$A$10,0)-1)*36+8)),INDEX('Cash schedule'!$Y$6:$Y$185,(MATCH($B$5,'Cases'!$A$6:$A$10,0)-1)*36+8),"")</f>
        <v/>
      </c>
      <c r="L34" s="137">
        <f>IF(ISNUMBER(INDEX('Cash schedule'!$Y$6:$Y$185,(MATCH($B$5,'Cases'!$A$6:$A$10,0)-1)*36+9)),INDEX('Cash schedule'!$Y$6:$Y$185,(MATCH($B$5,'Cases'!$A$6:$A$10,0)-1)*36+9),"")</f>
        <v/>
      </c>
      <c r="M34" s="137">
        <f>IF(ISNUMBER(INDEX('Cash schedule'!$Y$6:$Y$185,(MATCH($B$5,'Cases'!$A$6:$A$10,0)-1)*36+10)),INDEX('Cash schedule'!$Y$6:$Y$185,(MATCH($B$5,'Cases'!$A$6:$A$10,0)-1)*36+10),"")</f>
        <v/>
      </c>
      <c r="N34" s="137">
        <f>IF(ISNUMBER(INDEX('Cash schedule'!$Y$6:$Y$185,(MATCH($B$5,'Cases'!$A$6:$A$10,0)-1)*36+11)),INDEX('Cash schedule'!$Y$6:$Y$185,(MATCH($B$5,'Cases'!$A$6:$A$10,0)-1)*36+11),"")</f>
        <v/>
      </c>
      <c r="O34" s="137">
        <f>IF(ISNUMBER(INDEX('Cash schedule'!$Y$6:$Y$185,(MATCH($B$5,'Cases'!$A$6:$A$10,0)-1)*36+12)),INDEX('Cash schedule'!$Y$6:$Y$185,(MATCH($B$5,'Cases'!$A$6:$A$10,0)-1)*36+12),"")</f>
        <v/>
      </c>
      <c r="P34" s="137">
        <f>IF(ISNUMBER(INDEX('Cash schedule'!$Y$6:$Y$185,(MATCH($B$5,'Cases'!$A$6:$A$10,0)-1)*36+13)),INDEX('Cash schedule'!$Y$6:$Y$185,(MATCH($B$5,'Cases'!$A$6:$A$10,0)-1)*36+13),"")</f>
        <v/>
      </c>
      <c r="Q34" s="137">
        <f>IF(ISNUMBER(INDEX('Cash schedule'!$Y$6:$Y$185,(MATCH($B$5,'Cases'!$A$6:$A$10,0)-1)*36+14)),INDEX('Cash schedule'!$Y$6:$Y$185,(MATCH($B$5,'Cases'!$A$6:$A$10,0)-1)*36+14),"")</f>
        <v/>
      </c>
      <c r="R34" s="137">
        <f>IF(ISNUMBER(INDEX('Cash schedule'!$Y$6:$Y$185,(MATCH($B$5,'Cases'!$A$6:$A$10,0)-1)*36+15)),INDEX('Cash schedule'!$Y$6:$Y$185,(MATCH($B$5,'Cases'!$A$6:$A$10,0)-1)*36+15),"")</f>
        <v/>
      </c>
      <c r="S34" s="137">
        <f>IF(ISNUMBER(INDEX('Cash schedule'!$Y$6:$Y$185,(MATCH($B$5,'Cases'!$A$6:$A$10,0)-1)*36+16)),INDEX('Cash schedule'!$Y$6:$Y$185,(MATCH($B$5,'Cases'!$A$6:$A$10,0)-1)*36+16),"")</f>
        <v/>
      </c>
      <c r="T34" s="137">
        <f>IF(ISNUMBER(INDEX('Cash schedule'!$Y$6:$Y$185,(MATCH($B$5,'Cases'!$A$6:$A$10,0)-1)*36+17)),INDEX('Cash schedule'!$Y$6:$Y$185,(MATCH($B$5,'Cases'!$A$6:$A$10,0)-1)*36+17),"")</f>
        <v/>
      </c>
      <c r="U34" s="137">
        <f>IF(ISNUMBER(INDEX('Cash schedule'!$Y$6:$Y$185,(MATCH($B$5,'Cases'!$A$6:$A$10,0)-1)*36+18)),INDEX('Cash schedule'!$Y$6:$Y$185,(MATCH($B$5,'Cases'!$A$6:$A$10,0)-1)*36+18),"")</f>
        <v/>
      </c>
      <c r="V34" s="137">
        <f>IF(ISNUMBER(INDEX('Cash schedule'!$Y$6:$Y$185,(MATCH($B$5,'Cases'!$A$6:$A$10,0)-1)*36+19)),INDEX('Cash schedule'!$Y$6:$Y$185,(MATCH($B$5,'Cases'!$A$6:$A$10,0)-1)*36+19),"")</f>
        <v/>
      </c>
      <c r="W34" s="137">
        <f>IF(ISNUMBER(INDEX('Cash schedule'!$Y$6:$Y$185,(MATCH($B$5,'Cases'!$A$6:$A$10,0)-1)*36+20)),INDEX('Cash schedule'!$Y$6:$Y$185,(MATCH($B$5,'Cases'!$A$6:$A$10,0)-1)*36+20),"")</f>
        <v/>
      </c>
      <c r="X34" s="137">
        <f>IF(ISNUMBER(INDEX('Cash schedule'!$Y$6:$Y$185,(MATCH($B$5,'Cases'!$A$6:$A$10,0)-1)*36+21)),INDEX('Cash schedule'!$Y$6:$Y$185,(MATCH($B$5,'Cases'!$A$6:$A$10,0)-1)*36+21),"")</f>
        <v/>
      </c>
      <c r="Y34" s="137">
        <f>IF(ISNUMBER(INDEX('Cash schedule'!$Y$6:$Y$185,(MATCH($B$5,'Cases'!$A$6:$A$10,0)-1)*36+22)),INDEX('Cash schedule'!$Y$6:$Y$185,(MATCH($B$5,'Cases'!$A$6:$A$10,0)-1)*36+22),"")</f>
        <v/>
      </c>
      <c r="Z34" s="137">
        <f>IF(ISNUMBER(INDEX('Cash schedule'!$Y$6:$Y$185,(MATCH($B$5,'Cases'!$A$6:$A$10,0)-1)*36+23)),INDEX('Cash schedule'!$Y$6:$Y$185,(MATCH($B$5,'Cases'!$A$6:$A$10,0)-1)*36+23),"")</f>
        <v/>
      </c>
      <c r="AA34" s="137">
        <f>IF(ISNUMBER(INDEX('Cash schedule'!$Y$6:$Y$185,(MATCH($B$5,'Cases'!$A$6:$A$10,0)-1)*36+24)),INDEX('Cash schedule'!$Y$6:$Y$185,(MATCH($B$5,'Cases'!$A$6:$A$10,0)-1)*36+24),"")</f>
        <v/>
      </c>
      <c r="AB34" s="137">
        <f>IF(ISNUMBER(INDEX('Cash schedule'!$Y$6:$Y$185,(MATCH($B$5,'Cases'!$A$6:$A$10,0)-1)*36+25)),INDEX('Cash schedule'!$Y$6:$Y$185,(MATCH($B$5,'Cases'!$A$6:$A$10,0)-1)*36+25),"")</f>
        <v/>
      </c>
      <c r="AC34" s="137">
        <f>IF(ISNUMBER(INDEX('Cash schedule'!$Y$6:$Y$185,(MATCH($B$5,'Cases'!$A$6:$A$10,0)-1)*36+26)),INDEX('Cash schedule'!$Y$6:$Y$185,(MATCH($B$5,'Cases'!$A$6:$A$10,0)-1)*36+26),"")</f>
        <v/>
      </c>
      <c r="AD34" s="137">
        <f>IF(ISNUMBER(INDEX('Cash schedule'!$Y$6:$Y$185,(MATCH($B$5,'Cases'!$A$6:$A$10,0)-1)*36+27)),INDEX('Cash schedule'!$Y$6:$Y$185,(MATCH($B$5,'Cases'!$A$6:$A$10,0)-1)*36+27),"")</f>
        <v/>
      </c>
      <c r="AE34" s="137">
        <f>IF(ISNUMBER(INDEX('Cash schedule'!$Y$6:$Y$185,(MATCH($B$5,'Cases'!$A$6:$A$10,0)-1)*36+28)),INDEX('Cash schedule'!$Y$6:$Y$185,(MATCH($B$5,'Cases'!$A$6:$A$10,0)-1)*36+28),"")</f>
        <v/>
      </c>
      <c r="AF34" s="137">
        <f>IF(ISNUMBER(INDEX('Cash schedule'!$Y$6:$Y$185,(MATCH($B$5,'Cases'!$A$6:$A$10,0)-1)*36+29)),INDEX('Cash schedule'!$Y$6:$Y$185,(MATCH($B$5,'Cases'!$A$6:$A$10,0)-1)*36+29),"")</f>
        <v/>
      </c>
      <c r="AG34" s="137">
        <f>IF(ISNUMBER(INDEX('Cash schedule'!$Y$6:$Y$185,(MATCH($B$5,'Cases'!$A$6:$A$10,0)-1)*36+30)),INDEX('Cash schedule'!$Y$6:$Y$185,(MATCH($B$5,'Cases'!$A$6:$A$10,0)-1)*36+30),"")</f>
        <v/>
      </c>
      <c r="AH34" s="137">
        <f>IF(ISNUMBER(INDEX('Cash schedule'!$Y$6:$Y$185,(MATCH($B$5,'Cases'!$A$6:$A$10,0)-1)*36+31)),INDEX('Cash schedule'!$Y$6:$Y$185,(MATCH($B$5,'Cases'!$A$6:$A$10,0)-1)*36+31),"")</f>
        <v/>
      </c>
      <c r="AI34" s="137">
        <f>IF(ISNUMBER(INDEX('Cash schedule'!$Y$6:$Y$185,(MATCH($B$5,'Cases'!$A$6:$A$10,0)-1)*36+32)),INDEX('Cash schedule'!$Y$6:$Y$185,(MATCH($B$5,'Cases'!$A$6:$A$10,0)-1)*36+32),"")</f>
        <v/>
      </c>
      <c r="AJ34" s="137">
        <f>IF(ISNUMBER(INDEX('Cash schedule'!$Y$6:$Y$185,(MATCH($B$5,'Cases'!$A$6:$A$10,0)-1)*36+33)),INDEX('Cash schedule'!$Y$6:$Y$185,(MATCH($B$5,'Cases'!$A$6:$A$10,0)-1)*36+33),"")</f>
        <v/>
      </c>
      <c r="AK34" s="137">
        <f>IF(ISNUMBER(INDEX('Cash schedule'!$Y$6:$Y$185,(MATCH($B$5,'Cases'!$A$6:$A$10,0)-1)*36+34)),INDEX('Cash schedule'!$Y$6:$Y$185,(MATCH($B$5,'Cases'!$A$6:$A$10,0)-1)*36+34),"")</f>
        <v/>
      </c>
      <c r="AL34" s="137">
        <f>IF(ISNUMBER(INDEX('Cash schedule'!$Y$6:$Y$185,(MATCH($B$5,'Cases'!$A$6:$A$10,0)-1)*36+35)),INDEX('Cash schedule'!$Y$6:$Y$185,(MATCH($B$5,'Cases'!$A$6:$A$10,0)-1)*36+35),"")</f>
        <v/>
      </c>
      <c r="AM34" s="137">
        <f>IF(ISNUMBER(INDEX('Cash schedule'!$Y$6:$Y$185,(MATCH($B$5,'Cases'!$A$6:$A$10,0)-1)*36+36)),INDEX('Cash schedule'!$Y$6:$Y$185,(MATCH($B$5,'Cases'!$A$6:$A$10,0)-1)*36+36),"")</f>
        <v/>
      </c>
    </row>
    <row r="35" ht="28" customHeight="1">
      <c r="A35" s="4" t="inlineStr">
        <is>
          <t>New loan principal</t>
        </is>
      </c>
      <c r="B35" s="4" t="n"/>
      <c r="C35" s="4" t="n"/>
      <c r="D35" s="137">
        <f>IF(ISNUMBER(INDEX('Cash schedule'!$Z$6:$Z$185,(MATCH($B$5,'Cases'!$A$6:$A$10,0)-1)*36+1)),INDEX('Cash schedule'!$Z$6:$Z$185,(MATCH($B$5,'Cases'!$A$6:$A$10,0)-1)*36+1),"")</f>
        <v/>
      </c>
      <c r="E35" s="137">
        <f>IF(ISNUMBER(INDEX('Cash schedule'!$Z$6:$Z$185,(MATCH($B$5,'Cases'!$A$6:$A$10,0)-1)*36+2)),INDEX('Cash schedule'!$Z$6:$Z$185,(MATCH($B$5,'Cases'!$A$6:$A$10,0)-1)*36+2),"")</f>
        <v/>
      </c>
      <c r="F35" s="137">
        <f>IF(ISNUMBER(INDEX('Cash schedule'!$Z$6:$Z$185,(MATCH($B$5,'Cases'!$A$6:$A$10,0)-1)*36+3)),INDEX('Cash schedule'!$Z$6:$Z$185,(MATCH($B$5,'Cases'!$A$6:$A$10,0)-1)*36+3),"")</f>
        <v/>
      </c>
      <c r="G35" s="137">
        <f>IF(ISNUMBER(INDEX('Cash schedule'!$Z$6:$Z$185,(MATCH($B$5,'Cases'!$A$6:$A$10,0)-1)*36+4)),INDEX('Cash schedule'!$Z$6:$Z$185,(MATCH($B$5,'Cases'!$A$6:$A$10,0)-1)*36+4),"")</f>
        <v/>
      </c>
      <c r="H35" s="137">
        <f>IF(ISNUMBER(INDEX('Cash schedule'!$Z$6:$Z$185,(MATCH($B$5,'Cases'!$A$6:$A$10,0)-1)*36+5)),INDEX('Cash schedule'!$Z$6:$Z$185,(MATCH($B$5,'Cases'!$A$6:$A$10,0)-1)*36+5),"")</f>
        <v/>
      </c>
      <c r="I35" s="137">
        <f>IF(ISNUMBER(INDEX('Cash schedule'!$Z$6:$Z$185,(MATCH($B$5,'Cases'!$A$6:$A$10,0)-1)*36+6)),INDEX('Cash schedule'!$Z$6:$Z$185,(MATCH($B$5,'Cases'!$A$6:$A$10,0)-1)*36+6),"")</f>
        <v/>
      </c>
      <c r="J35" s="137">
        <f>IF(ISNUMBER(INDEX('Cash schedule'!$Z$6:$Z$185,(MATCH($B$5,'Cases'!$A$6:$A$10,0)-1)*36+7)),INDEX('Cash schedule'!$Z$6:$Z$185,(MATCH($B$5,'Cases'!$A$6:$A$10,0)-1)*36+7),"")</f>
        <v/>
      </c>
      <c r="K35" s="137">
        <f>IF(ISNUMBER(INDEX('Cash schedule'!$Z$6:$Z$185,(MATCH($B$5,'Cases'!$A$6:$A$10,0)-1)*36+8)),INDEX('Cash schedule'!$Z$6:$Z$185,(MATCH($B$5,'Cases'!$A$6:$A$10,0)-1)*36+8),"")</f>
        <v/>
      </c>
      <c r="L35" s="137">
        <f>IF(ISNUMBER(INDEX('Cash schedule'!$Z$6:$Z$185,(MATCH($B$5,'Cases'!$A$6:$A$10,0)-1)*36+9)),INDEX('Cash schedule'!$Z$6:$Z$185,(MATCH($B$5,'Cases'!$A$6:$A$10,0)-1)*36+9),"")</f>
        <v/>
      </c>
      <c r="M35" s="137">
        <f>IF(ISNUMBER(INDEX('Cash schedule'!$Z$6:$Z$185,(MATCH($B$5,'Cases'!$A$6:$A$10,0)-1)*36+10)),INDEX('Cash schedule'!$Z$6:$Z$185,(MATCH($B$5,'Cases'!$A$6:$A$10,0)-1)*36+10),"")</f>
        <v/>
      </c>
      <c r="N35" s="137">
        <f>IF(ISNUMBER(INDEX('Cash schedule'!$Z$6:$Z$185,(MATCH($B$5,'Cases'!$A$6:$A$10,0)-1)*36+11)),INDEX('Cash schedule'!$Z$6:$Z$185,(MATCH($B$5,'Cases'!$A$6:$A$10,0)-1)*36+11),"")</f>
        <v/>
      </c>
      <c r="O35" s="137">
        <f>IF(ISNUMBER(INDEX('Cash schedule'!$Z$6:$Z$185,(MATCH($B$5,'Cases'!$A$6:$A$10,0)-1)*36+12)),INDEX('Cash schedule'!$Z$6:$Z$185,(MATCH($B$5,'Cases'!$A$6:$A$10,0)-1)*36+12),"")</f>
        <v/>
      </c>
      <c r="P35" s="137">
        <f>IF(ISNUMBER(INDEX('Cash schedule'!$Z$6:$Z$185,(MATCH($B$5,'Cases'!$A$6:$A$10,0)-1)*36+13)),INDEX('Cash schedule'!$Z$6:$Z$185,(MATCH($B$5,'Cases'!$A$6:$A$10,0)-1)*36+13),"")</f>
        <v/>
      </c>
      <c r="Q35" s="137">
        <f>IF(ISNUMBER(INDEX('Cash schedule'!$Z$6:$Z$185,(MATCH($B$5,'Cases'!$A$6:$A$10,0)-1)*36+14)),INDEX('Cash schedule'!$Z$6:$Z$185,(MATCH($B$5,'Cases'!$A$6:$A$10,0)-1)*36+14),"")</f>
        <v/>
      </c>
      <c r="R35" s="137">
        <f>IF(ISNUMBER(INDEX('Cash schedule'!$Z$6:$Z$185,(MATCH($B$5,'Cases'!$A$6:$A$10,0)-1)*36+15)),INDEX('Cash schedule'!$Z$6:$Z$185,(MATCH($B$5,'Cases'!$A$6:$A$10,0)-1)*36+15),"")</f>
        <v/>
      </c>
      <c r="S35" s="137">
        <f>IF(ISNUMBER(INDEX('Cash schedule'!$Z$6:$Z$185,(MATCH($B$5,'Cases'!$A$6:$A$10,0)-1)*36+16)),INDEX('Cash schedule'!$Z$6:$Z$185,(MATCH($B$5,'Cases'!$A$6:$A$10,0)-1)*36+16),"")</f>
        <v/>
      </c>
      <c r="T35" s="137">
        <f>IF(ISNUMBER(INDEX('Cash schedule'!$Z$6:$Z$185,(MATCH($B$5,'Cases'!$A$6:$A$10,0)-1)*36+17)),INDEX('Cash schedule'!$Z$6:$Z$185,(MATCH($B$5,'Cases'!$A$6:$A$10,0)-1)*36+17),"")</f>
        <v/>
      </c>
      <c r="U35" s="137">
        <f>IF(ISNUMBER(INDEX('Cash schedule'!$Z$6:$Z$185,(MATCH($B$5,'Cases'!$A$6:$A$10,0)-1)*36+18)),INDEX('Cash schedule'!$Z$6:$Z$185,(MATCH($B$5,'Cases'!$A$6:$A$10,0)-1)*36+18),"")</f>
        <v/>
      </c>
      <c r="V35" s="137">
        <f>IF(ISNUMBER(INDEX('Cash schedule'!$Z$6:$Z$185,(MATCH($B$5,'Cases'!$A$6:$A$10,0)-1)*36+19)),INDEX('Cash schedule'!$Z$6:$Z$185,(MATCH($B$5,'Cases'!$A$6:$A$10,0)-1)*36+19),"")</f>
        <v/>
      </c>
      <c r="W35" s="137">
        <f>IF(ISNUMBER(INDEX('Cash schedule'!$Z$6:$Z$185,(MATCH($B$5,'Cases'!$A$6:$A$10,0)-1)*36+20)),INDEX('Cash schedule'!$Z$6:$Z$185,(MATCH($B$5,'Cases'!$A$6:$A$10,0)-1)*36+20),"")</f>
        <v/>
      </c>
      <c r="X35" s="137">
        <f>IF(ISNUMBER(INDEX('Cash schedule'!$Z$6:$Z$185,(MATCH($B$5,'Cases'!$A$6:$A$10,0)-1)*36+21)),INDEX('Cash schedule'!$Z$6:$Z$185,(MATCH($B$5,'Cases'!$A$6:$A$10,0)-1)*36+21),"")</f>
        <v/>
      </c>
      <c r="Y35" s="137">
        <f>IF(ISNUMBER(INDEX('Cash schedule'!$Z$6:$Z$185,(MATCH($B$5,'Cases'!$A$6:$A$10,0)-1)*36+22)),INDEX('Cash schedule'!$Z$6:$Z$185,(MATCH($B$5,'Cases'!$A$6:$A$10,0)-1)*36+22),"")</f>
        <v/>
      </c>
      <c r="Z35" s="137">
        <f>IF(ISNUMBER(INDEX('Cash schedule'!$Z$6:$Z$185,(MATCH($B$5,'Cases'!$A$6:$A$10,0)-1)*36+23)),INDEX('Cash schedule'!$Z$6:$Z$185,(MATCH($B$5,'Cases'!$A$6:$A$10,0)-1)*36+23),"")</f>
        <v/>
      </c>
      <c r="AA35" s="137">
        <f>IF(ISNUMBER(INDEX('Cash schedule'!$Z$6:$Z$185,(MATCH($B$5,'Cases'!$A$6:$A$10,0)-1)*36+24)),INDEX('Cash schedule'!$Z$6:$Z$185,(MATCH($B$5,'Cases'!$A$6:$A$10,0)-1)*36+24),"")</f>
        <v/>
      </c>
      <c r="AB35" s="137">
        <f>IF(ISNUMBER(INDEX('Cash schedule'!$Z$6:$Z$185,(MATCH($B$5,'Cases'!$A$6:$A$10,0)-1)*36+25)),INDEX('Cash schedule'!$Z$6:$Z$185,(MATCH($B$5,'Cases'!$A$6:$A$10,0)-1)*36+25),"")</f>
        <v/>
      </c>
      <c r="AC35" s="137">
        <f>IF(ISNUMBER(INDEX('Cash schedule'!$Z$6:$Z$185,(MATCH($B$5,'Cases'!$A$6:$A$10,0)-1)*36+26)),INDEX('Cash schedule'!$Z$6:$Z$185,(MATCH($B$5,'Cases'!$A$6:$A$10,0)-1)*36+26),"")</f>
        <v/>
      </c>
      <c r="AD35" s="137">
        <f>IF(ISNUMBER(INDEX('Cash schedule'!$Z$6:$Z$185,(MATCH($B$5,'Cases'!$A$6:$A$10,0)-1)*36+27)),INDEX('Cash schedule'!$Z$6:$Z$185,(MATCH($B$5,'Cases'!$A$6:$A$10,0)-1)*36+27),"")</f>
        <v/>
      </c>
      <c r="AE35" s="137">
        <f>IF(ISNUMBER(INDEX('Cash schedule'!$Z$6:$Z$185,(MATCH($B$5,'Cases'!$A$6:$A$10,0)-1)*36+28)),INDEX('Cash schedule'!$Z$6:$Z$185,(MATCH($B$5,'Cases'!$A$6:$A$10,0)-1)*36+28),"")</f>
        <v/>
      </c>
      <c r="AF35" s="137">
        <f>IF(ISNUMBER(INDEX('Cash schedule'!$Z$6:$Z$185,(MATCH($B$5,'Cases'!$A$6:$A$10,0)-1)*36+29)),INDEX('Cash schedule'!$Z$6:$Z$185,(MATCH($B$5,'Cases'!$A$6:$A$10,0)-1)*36+29),"")</f>
        <v/>
      </c>
      <c r="AG35" s="137">
        <f>IF(ISNUMBER(INDEX('Cash schedule'!$Z$6:$Z$185,(MATCH($B$5,'Cases'!$A$6:$A$10,0)-1)*36+30)),INDEX('Cash schedule'!$Z$6:$Z$185,(MATCH($B$5,'Cases'!$A$6:$A$10,0)-1)*36+30),"")</f>
        <v/>
      </c>
      <c r="AH35" s="137">
        <f>IF(ISNUMBER(INDEX('Cash schedule'!$Z$6:$Z$185,(MATCH($B$5,'Cases'!$A$6:$A$10,0)-1)*36+31)),INDEX('Cash schedule'!$Z$6:$Z$185,(MATCH($B$5,'Cases'!$A$6:$A$10,0)-1)*36+31),"")</f>
        <v/>
      </c>
      <c r="AI35" s="137">
        <f>IF(ISNUMBER(INDEX('Cash schedule'!$Z$6:$Z$185,(MATCH($B$5,'Cases'!$A$6:$A$10,0)-1)*36+32)),INDEX('Cash schedule'!$Z$6:$Z$185,(MATCH($B$5,'Cases'!$A$6:$A$10,0)-1)*36+32),"")</f>
        <v/>
      </c>
      <c r="AJ35" s="137">
        <f>IF(ISNUMBER(INDEX('Cash schedule'!$Z$6:$Z$185,(MATCH($B$5,'Cases'!$A$6:$A$10,0)-1)*36+33)),INDEX('Cash schedule'!$Z$6:$Z$185,(MATCH($B$5,'Cases'!$A$6:$A$10,0)-1)*36+33),"")</f>
        <v/>
      </c>
      <c r="AK35" s="137">
        <f>IF(ISNUMBER(INDEX('Cash schedule'!$Z$6:$Z$185,(MATCH($B$5,'Cases'!$A$6:$A$10,0)-1)*36+34)),INDEX('Cash schedule'!$Z$6:$Z$185,(MATCH($B$5,'Cases'!$A$6:$A$10,0)-1)*36+34),"")</f>
        <v/>
      </c>
      <c r="AL35" s="137">
        <f>IF(ISNUMBER(INDEX('Cash schedule'!$Z$6:$Z$185,(MATCH($B$5,'Cases'!$A$6:$A$10,0)-1)*36+35)),INDEX('Cash schedule'!$Z$6:$Z$185,(MATCH($B$5,'Cases'!$A$6:$A$10,0)-1)*36+35),"")</f>
        <v/>
      </c>
      <c r="AM35" s="137">
        <f>IF(ISNUMBER(INDEX('Cash schedule'!$Z$6:$Z$185,(MATCH($B$5,'Cases'!$A$6:$A$10,0)-1)*36+36)),INDEX('Cash schedule'!$Z$6:$Z$185,(MATCH($B$5,'Cases'!$A$6:$A$10,0)-1)*36+36),"")</f>
        <v/>
      </c>
    </row>
    <row r="36" ht="28" customHeight="1">
      <c r="A36" s="4" t="inlineStr">
        <is>
          <t>Closing new debt</t>
        </is>
      </c>
      <c r="B36" s="4" t="n"/>
      <c r="C36" s="4" t="n"/>
      <c r="D36" s="137">
        <f>IF(ISNUMBER(INDEX('Cash schedule'!$AA$6:$AA$185,(MATCH($B$5,'Cases'!$A$6:$A$10,0)-1)*36+1)),INDEX('Cash schedule'!$AA$6:$AA$185,(MATCH($B$5,'Cases'!$A$6:$A$10,0)-1)*36+1),"")</f>
        <v/>
      </c>
      <c r="E36" s="137">
        <f>IF(ISNUMBER(INDEX('Cash schedule'!$AA$6:$AA$185,(MATCH($B$5,'Cases'!$A$6:$A$10,0)-1)*36+2)),INDEX('Cash schedule'!$AA$6:$AA$185,(MATCH($B$5,'Cases'!$A$6:$A$10,0)-1)*36+2),"")</f>
        <v/>
      </c>
      <c r="F36" s="137">
        <f>IF(ISNUMBER(INDEX('Cash schedule'!$AA$6:$AA$185,(MATCH($B$5,'Cases'!$A$6:$A$10,0)-1)*36+3)),INDEX('Cash schedule'!$AA$6:$AA$185,(MATCH($B$5,'Cases'!$A$6:$A$10,0)-1)*36+3),"")</f>
        <v/>
      </c>
      <c r="G36" s="137">
        <f>IF(ISNUMBER(INDEX('Cash schedule'!$AA$6:$AA$185,(MATCH($B$5,'Cases'!$A$6:$A$10,0)-1)*36+4)),INDEX('Cash schedule'!$AA$6:$AA$185,(MATCH($B$5,'Cases'!$A$6:$A$10,0)-1)*36+4),"")</f>
        <v/>
      </c>
      <c r="H36" s="137">
        <f>IF(ISNUMBER(INDEX('Cash schedule'!$AA$6:$AA$185,(MATCH($B$5,'Cases'!$A$6:$A$10,0)-1)*36+5)),INDEX('Cash schedule'!$AA$6:$AA$185,(MATCH($B$5,'Cases'!$A$6:$A$10,0)-1)*36+5),"")</f>
        <v/>
      </c>
      <c r="I36" s="137">
        <f>IF(ISNUMBER(INDEX('Cash schedule'!$AA$6:$AA$185,(MATCH($B$5,'Cases'!$A$6:$A$10,0)-1)*36+6)),INDEX('Cash schedule'!$AA$6:$AA$185,(MATCH($B$5,'Cases'!$A$6:$A$10,0)-1)*36+6),"")</f>
        <v/>
      </c>
      <c r="J36" s="137">
        <f>IF(ISNUMBER(INDEX('Cash schedule'!$AA$6:$AA$185,(MATCH($B$5,'Cases'!$A$6:$A$10,0)-1)*36+7)),INDEX('Cash schedule'!$AA$6:$AA$185,(MATCH($B$5,'Cases'!$A$6:$A$10,0)-1)*36+7),"")</f>
        <v/>
      </c>
      <c r="K36" s="137">
        <f>IF(ISNUMBER(INDEX('Cash schedule'!$AA$6:$AA$185,(MATCH($B$5,'Cases'!$A$6:$A$10,0)-1)*36+8)),INDEX('Cash schedule'!$AA$6:$AA$185,(MATCH($B$5,'Cases'!$A$6:$A$10,0)-1)*36+8),"")</f>
        <v/>
      </c>
      <c r="L36" s="137">
        <f>IF(ISNUMBER(INDEX('Cash schedule'!$AA$6:$AA$185,(MATCH($B$5,'Cases'!$A$6:$A$10,0)-1)*36+9)),INDEX('Cash schedule'!$AA$6:$AA$185,(MATCH($B$5,'Cases'!$A$6:$A$10,0)-1)*36+9),"")</f>
        <v/>
      </c>
      <c r="M36" s="137">
        <f>IF(ISNUMBER(INDEX('Cash schedule'!$AA$6:$AA$185,(MATCH($B$5,'Cases'!$A$6:$A$10,0)-1)*36+10)),INDEX('Cash schedule'!$AA$6:$AA$185,(MATCH($B$5,'Cases'!$A$6:$A$10,0)-1)*36+10),"")</f>
        <v/>
      </c>
      <c r="N36" s="137">
        <f>IF(ISNUMBER(INDEX('Cash schedule'!$AA$6:$AA$185,(MATCH($B$5,'Cases'!$A$6:$A$10,0)-1)*36+11)),INDEX('Cash schedule'!$AA$6:$AA$185,(MATCH($B$5,'Cases'!$A$6:$A$10,0)-1)*36+11),"")</f>
        <v/>
      </c>
      <c r="O36" s="137">
        <f>IF(ISNUMBER(INDEX('Cash schedule'!$AA$6:$AA$185,(MATCH($B$5,'Cases'!$A$6:$A$10,0)-1)*36+12)),INDEX('Cash schedule'!$AA$6:$AA$185,(MATCH($B$5,'Cases'!$A$6:$A$10,0)-1)*36+12),"")</f>
        <v/>
      </c>
      <c r="P36" s="137">
        <f>IF(ISNUMBER(INDEX('Cash schedule'!$AA$6:$AA$185,(MATCH($B$5,'Cases'!$A$6:$A$10,0)-1)*36+13)),INDEX('Cash schedule'!$AA$6:$AA$185,(MATCH($B$5,'Cases'!$A$6:$A$10,0)-1)*36+13),"")</f>
        <v/>
      </c>
      <c r="Q36" s="137">
        <f>IF(ISNUMBER(INDEX('Cash schedule'!$AA$6:$AA$185,(MATCH($B$5,'Cases'!$A$6:$A$10,0)-1)*36+14)),INDEX('Cash schedule'!$AA$6:$AA$185,(MATCH($B$5,'Cases'!$A$6:$A$10,0)-1)*36+14),"")</f>
        <v/>
      </c>
      <c r="R36" s="137">
        <f>IF(ISNUMBER(INDEX('Cash schedule'!$AA$6:$AA$185,(MATCH($B$5,'Cases'!$A$6:$A$10,0)-1)*36+15)),INDEX('Cash schedule'!$AA$6:$AA$185,(MATCH($B$5,'Cases'!$A$6:$A$10,0)-1)*36+15),"")</f>
        <v/>
      </c>
      <c r="S36" s="137">
        <f>IF(ISNUMBER(INDEX('Cash schedule'!$AA$6:$AA$185,(MATCH($B$5,'Cases'!$A$6:$A$10,0)-1)*36+16)),INDEX('Cash schedule'!$AA$6:$AA$185,(MATCH($B$5,'Cases'!$A$6:$A$10,0)-1)*36+16),"")</f>
        <v/>
      </c>
      <c r="T36" s="137">
        <f>IF(ISNUMBER(INDEX('Cash schedule'!$AA$6:$AA$185,(MATCH($B$5,'Cases'!$A$6:$A$10,0)-1)*36+17)),INDEX('Cash schedule'!$AA$6:$AA$185,(MATCH($B$5,'Cases'!$A$6:$A$10,0)-1)*36+17),"")</f>
        <v/>
      </c>
      <c r="U36" s="137">
        <f>IF(ISNUMBER(INDEX('Cash schedule'!$AA$6:$AA$185,(MATCH($B$5,'Cases'!$A$6:$A$10,0)-1)*36+18)),INDEX('Cash schedule'!$AA$6:$AA$185,(MATCH($B$5,'Cases'!$A$6:$A$10,0)-1)*36+18),"")</f>
        <v/>
      </c>
      <c r="V36" s="137">
        <f>IF(ISNUMBER(INDEX('Cash schedule'!$AA$6:$AA$185,(MATCH($B$5,'Cases'!$A$6:$A$10,0)-1)*36+19)),INDEX('Cash schedule'!$AA$6:$AA$185,(MATCH($B$5,'Cases'!$A$6:$A$10,0)-1)*36+19),"")</f>
        <v/>
      </c>
      <c r="W36" s="137">
        <f>IF(ISNUMBER(INDEX('Cash schedule'!$AA$6:$AA$185,(MATCH($B$5,'Cases'!$A$6:$A$10,0)-1)*36+20)),INDEX('Cash schedule'!$AA$6:$AA$185,(MATCH($B$5,'Cases'!$A$6:$A$10,0)-1)*36+20),"")</f>
        <v/>
      </c>
      <c r="X36" s="137">
        <f>IF(ISNUMBER(INDEX('Cash schedule'!$AA$6:$AA$185,(MATCH($B$5,'Cases'!$A$6:$A$10,0)-1)*36+21)),INDEX('Cash schedule'!$AA$6:$AA$185,(MATCH($B$5,'Cases'!$A$6:$A$10,0)-1)*36+21),"")</f>
        <v/>
      </c>
      <c r="Y36" s="137">
        <f>IF(ISNUMBER(INDEX('Cash schedule'!$AA$6:$AA$185,(MATCH($B$5,'Cases'!$A$6:$A$10,0)-1)*36+22)),INDEX('Cash schedule'!$AA$6:$AA$185,(MATCH($B$5,'Cases'!$A$6:$A$10,0)-1)*36+22),"")</f>
        <v/>
      </c>
      <c r="Z36" s="137">
        <f>IF(ISNUMBER(INDEX('Cash schedule'!$AA$6:$AA$185,(MATCH($B$5,'Cases'!$A$6:$A$10,0)-1)*36+23)),INDEX('Cash schedule'!$AA$6:$AA$185,(MATCH($B$5,'Cases'!$A$6:$A$10,0)-1)*36+23),"")</f>
        <v/>
      </c>
      <c r="AA36" s="137">
        <f>IF(ISNUMBER(INDEX('Cash schedule'!$AA$6:$AA$185,(MATCH($B$5,'Cases'!$A$6:$A$10,0)-1)*36+24)),INDEX('Cash schedule'!$AA$6:$AA$185,(MATCH($B$5,'Cases'!$A$6:$A$10,0)-1)*36+24),"")</f>
        <v/>
      </c>
      <c r="AB36" s="137">
        <f>IF(ISNUMBER(INDEX('Cash schedule'!$AA$6:$AA$185,(MATCH($B$5,'Cases'!$A$6:$A$10,0)-1)*36+25)),INDEX('Cash schedule'!$AA$6:$AA$185,(MATCH($B$5,'Cases'!$A$6:$A$10,0)-1)*36+25),"")</f>
        <v/>
      </c>
      <c r="AC36" s="137">
        <f>IF(ISNUMBER(INDEX('Cash schedule'!$AA$6:$AA$185,(MATCH($B$5,'Cases'!$A$6:$A$10,0)-1)*36+26)),INDEX('Cash schedule'!$AA$6:$AA$185,(MATCH($B$5,'Cases'!$A$6:$A$10,0)-1)*36+26),"")</f>
        <v/>
      </c>
      <c r="AD36" s="137">
        <f>IF(ISNUMBER(INDEX('Cash schedule'!$AA$6:$AA$185,(MATCH($B$5,'Cases'!$A$6:$A$10,0)-1)*36+27)),INDEX('Cash schedule'!$AA$6:$AA$185,(MATCH($B$5,'Cases'!$A$6:$A$10,0)-1)*36+27),"")</f>
        <v/>
      </c>
      <c r="AE36" s="137">
        <f>IF(ISNUMBER(INDEX('Cash schedule'!$AA$6:$AA$185,(MATCH($B$5,'Cases'!$A$6:$A$10,0)-1)*36+28)),INDEX('Cash schedule'!$AA$6:$AA$185,(MATCH($B$5,'Cases'!$A$6:$A$10,0)-1)*36+28),"")</f>
        <v/>
      </c>
      <c r="AF36" s="137">
        <f>IF(ISNUMBER(INDEX('Cash schedule'!$AA$6:$AA$185,(MATCH($B$5,'Cases'!$A$6:$A$10,0)-1)*36+29)),INDEX('Cash schedule'!$AA$6:$AA$185,(MATCH($B$5,'Cases'!$A$6:$A$10,0)-1)*36+29),"")</f>
        <v/>
      </c>
      <c r="AG36" s="137">
        <f>IF(ISNUMBER(INDEX('Cash schedule'!$AA$6:$AA$185,(MATCH($B$5,'Cases'!$A$6:$A$10,0)-1)*36+30)),INDEX('Cash schedule'!$AA$6:$AA$185,(MATCH($B$5,'Cases'!$A$6:$A$10,0)-1)*36+30),"")</f>
        <v/>
      </c>
      <c r="AH36" s="137">
        <f>IF(ISNUMBER(INDEX('Cash schedule'!$AA$6:$AA$185,(MATCH($B$5,'Cases'!$A$6:$A$10,0)-1)*36+31)),INDEX('Cash schedule'!$AA$6:$AA$185,(MATCH($B$5,'Cases'!$A$6:$A$10,0)-1)*36+31),"")</f>
        <v/>
      </c>
      <c r="AI36" s="137">
        <f>IF(ISNUMBER(INDEX('Cash schedule'!$AA$6:$AA$185,(MATCH($B$5,'Cases'!$A$6:$A$10,0)-1)*36+32)),INDEX('Cash schedule'!$AA$6:$AA$185,(MATCH($B$5,'Cases'!$A$6:$A$10,0)-1)*36+32),"")</f>
        <v/>
      </c>
      <c r="AJ36" s="137">
        <f>IF(ISNUMBER(INDEX('Cash schedule'!$AA$6:$AA$185,(MATCH($B$5,'Cases'!$A$6:$A$10,0)-1)*36+33)),INDEX('Cash schedule'!$AA$6:$AA$185,(MATCH($B$5,'Cases'!$A$6:$A$10,0)-1)*36+33),"")</f>
        <v/>
      </c>
      <c r="AK36" s="137">
        <f>IF(ISNUMBER(INDEX('Cash schedule'!$AA$6:$AA$185,(MATCH($B$5,'Cases'!$A$6:$A$10,0)-1)*36+34)),INDEX('Cash schedule'!$AA$6:$AA$185,(MATCH($B$5,'Cases'!$A$6:$A$10,0)-1)*36+34),"")</f>
        <v/>
      </c>
      <c r="AL36" s="137">
        <f>IF(ISNUMBER(INDEX('Cash schedule'!$AA$6:$AA$185,(MATCH($B$5,'Cases'!$A$6:$A$10,0)-1)*36+35)),INDEX('Cash schedule'!$AA$6:$AA$185,(MATCH($B$5,'Cases'!$A$6:$A$10,0)-1)*36+35),"")</f>
        <v/>
      </c>
      <c r="AM36" s="137">
        <f>IF(ISNUMBER(INDEX('Cash schedule'!$AA$6:$AA$185,(MATCH($B$5,'Cases'!$A$6:$A$10,0)-1)*36+36)),INDEX('Cash schedule'!$AA$6:$AA$185,(MATCH($B$5,'Cases'!$A$6:$A$10,0)-1)*36+36),"")</f>
        <v/>
      </c>
    </row>
    <row r="37" ht="28" customHeight="1">
      <c r="A37" s="4" t="inlineStr">
        <is>
          <t>New loan payment</t>
        </is>
      </c>
      <c r="B37" s="4" t="n"/>
      <c r="C37" s="4" t="n"/>
      <c r="D37" s="137">
        <f>IF(ISNUMBER(INDEX('Cash schedule'!$AB$6:$AB$185,(MATCH($B$5,'Cases'!$A$6:$A$10,0)-1)*36+1)),INDEX('Cash schedule'!$AB$6:$AB$185,(MATCH($B$5,'Cases'!$A$6:$A$10,0)-1)*36+1),"")</f>
        <v/>
      </c>
      <c r="E37" s="137">
        <f>IF(ISNUMBER(INDEX('Cash schedule'!$AB$6:$AB$185,(MATCH($B$5,'Cases'!$A$6:$A$10,0)-1)*36+2)),INDEX('Cash schedule'!$AB$6:$AB$185,(MATCH($B$5,'Cases'!$A$6:$A$10,0)-1)*36+2),"")</f>
        <v/>
      </c>
      <c r="F37" s="137">
        <f>IF(ISNUMBER(INDEX('Cash schedule'!$AB$6:$AB$185,(MATCH($B$5,'Cases'!$A$6:$A$10,0)-1)*36+3)),INDEX('Cash schedule'!$AB$6:$AB$185,(MATCH($B$5,'Cases'!$A$6:$A$10,0)-1)*36+3),"")</f>
        <v/>
      </c>
      <c r="G37" s="137">
        <f>IF(ISNUMBER(INDEX('Cash schedule'!$AB$6:$AB$185,(MATCH($B$5,'Cases'!$A$6:$A$10,0)-1)*36+4)),INDEX('Cash schedule'!$AB$6:$AB$185,(MATCH($B$5,'Cases'!$A$6:$A$10,0)-1)*36+4),"")</f>
        <v/>
      </c>
      <c r="H37" s="137">
        <f>IF(ISNUMBER(INDEX('Cash schedule'!$AB$6:$AB$185,(MATCH($B$5,'Cases'!$A$6:$A$10,0)-1)*36+5)),INDEX('Cash schedule'!$AB$6:$AB$185,(MATCH($B$5,'Cases'!$A$6:$A$10,0)-1)*36+5),"")</f>
        <v/>
      </c>
      <c r="I37" s="137">
        <f>IF(ISNUMBER(INDEX('Cash schedule'!$AB$6:$AB$185,(MATCH($B$5,'Cases'!$A$6:$A$10,0)-1)*36+6)),INDEX('Cash schedule'!$AB$6:$AB$185,(MATCH($B$5,'Cases'!$A$6:$A$10,0)-1)*36+6),"")</f>
        <v/>
      </c>
      <c r="J37" s="137">
        <f>IF(ISNUMBER(INDEX('Cash schedule'!$AB$6:$AB$185,(MATCH($B$5,'Cases'!$A$6:$A$10,0)-1)*36+7)),INDEX('Cash schedule'!$AB$6:$AB$185,(MATCH($B$5,'Cases'!$A$6:$A$10,0)-1)*36+7),"")</f>
        <v/>
      </c>
      <c r="K37" s="137">
        <f>IF(ISNUMBER(INDEX('Cash schedule'!$AB$6:$AB$185,(MATCH($B$5,'Cases'!$A$6:$A$10,0)-1)*36+8)),INDEX('Cash schedule'!$AB$6:$AB$185,(MATCH($B$5,'Cases'!$A$6:$A$10,0)-1)*36+8),"")</f>
        <v/>
      </c>
      <c r="L37" s="137">
        <f>IF(ISNUMBER(INDEX('Cash schedule'!$AB$6:$AB$185,(MATCH($B$5,'Cases'!$A$6:$A$10,0)-1)*36+9)),INDEX('Cash schedule'!$AB$6:$AB$185,(MATCH($B$5,'Cases'!$A$6:$A$10,0)-1)*36+9),"")</f>
        <v/>
      </c>
      <c r="M37" s="137">
        <f>IF(ISNUMBER(INDEX('Cash schedule'!$AB$6:$AB$185,(MATCH($B$5,'Cases'!$A$6:$A$10,0)-1)*36+10)),INDEX('Cash schedule'!$AB$6:$AB$185,(MATCH($B$5,'Cases'!$A$6:$A$10,0)-1)*36+10),"")</f>
        <v/>
      </c>
      <c r="N37" s="137">
        <f>IF(ISNUMBER(INDEX('Cash schedule'!$AB$6:$AB$185,(MATCH($B$5,'Cases'!$A$6:$A$10,0)-1)*36+11)),INDEX('Cash schedule'!$AB$6:$AB$185,(MATCH($B$5,'Cases'!$A$6:$A$10,0)-1)*36+11),"")</f>
        <v/>
      </c>
      <c r="O37" s="137">
        <f>IF(ISNUMBER(INDEX('Cash schedule'!$AB$6:$AB$185,(MATCH($B$5,'Cases'!$A$6:$A$10,0)-1)*36+12)),INDEX('Cash schedule'!$AB$6:$AB$185,(MATCH($B$5,'Cases'!$A$6:$A$10,0)-1)*36+12),"")</f>
        <v/>
      </c>
      <c r="P37" s="137">
        <f>IF(ISNUMBER(INDEX('Cash schedule'!$AB$6:$AB$185,(MATCH($B$5,'Cases'!$A$6:$A$10,0)-1)*36+13)),INDEX('Cash schedule'!$AB$6:$AB$185,(MATCH($B$5,'Cases'!$A$6:$A$10,0)-1)*36+13),"")</f>
        <v/>
      </c>
      <c r="Q37" s="137">
        <f>IF(ISNUMBER(INDEX('Cash schedule'!$AB$6:$AB$185,(MATCH($B$5,'Cases'!$A$6:$A$10,0)-1)*36+14)),INDEX('Cash schedule'!$AB$6:$AB$185,(MATCH($B$5,'Cases'!$A$6:$A$10,0)-1)*36+14),"")</f>
        <v/>
      </c>
      <c r="R37" s="137">
        <f>IF(ISNUMBER(INDEX('Cash schedule'!$AB$6:$AB$185,(MATCH($B$5,'Cases'!$A$6:$A$10,0)-1)*36+15)),INDEX('Cash schedule'!$AB$6:$AB$185,(MATCH($B$5,'Cases'!$A$6:$A$10,0)-1)*36+15),"")</f>
        <v/>
      </c>
      <c r="S37" s="137">
        <f>IF(ISNUMBER(INDEX('Cash schedule'!$AB$6:$AB$185,(MATCH($B$5,'Cases'!$A$6:$A$10,0)-1)*36+16)),INDEX('Cash schedule'!$AB$6:$AB$185,(MATCH($B$5,'Cases'!$A$6:$A$10,0)-1)*36+16),"")</f>
        <v/>
      </c>
      <c r="T37" s="137">
        <f>IF(ISNUMBER(INDEX('Cash schedule'!$AB$6:$AB$185,(MATCH($B$5,'Cases'!$A$6:$A$10,0)-1)*36+17)),INDEX('Cash schedule'!$AB$6:$AB$185,(MATCH($B$5,'Cases'!$A$6:$A$10,0)-1)*36+17),"")</f>
        <v/>
      </c>
      <c r="U37" s="137">
        <f>IF(ISNUMBER(INDEX('Cash schedule'!$AB$6:$AB$185,(MATCH($B$5,'Cases'!$A$6:$A$10,0)-1)*36+18)),INDEX('Cash schedule'!$AB$6:$AB$185,(MATCH($B$5,'Cases'!$A$6:$A$10,0)-1)*36+18),"")</f>
        <v/>
      </c>
      <c r="V37" s="137">
        <f>IF(ISNUMBER(INDEX('Cash schedule'!$AB$6:$AB$185,(MATCH($B$5,'Cases'!$A$6:$A$10,0)-1)*36+19)),INDEX('Cash schedule'!$AB$6:$AB$185,(MATCH($B$5,'Cases'!$A$6:$A$10,0)-1)*36+19),"")</f>
        <v/>
      </c>
      <c r="W37" s="137">
        <f>IF(ISNUMBER(INDEX('Cash schedule'!$AB$6:$AB$185,(MATCH($B$5,'Cases'!$A$6:$A$10,0)-1)*36+20)),INDEX('Cash schedule'!$AB$6:$AB$185,(MATCH($B$5,'Cases'!$A$6:$A$10,0)-1)*36+20),"")</f>
        <v/>
      </c>
      <c r="X37" s="137">
        <f>IF(ISNUMBER(INDEX('Cash schedule'!$AB$6:$AB$185,(MATCH($B$5,'Cases'!$A$6:$A$10,0)-1)*36+21)),INDEX('Cash schedule'!$AB$6:$AB$185,(MATCH($B$5,'Cases'!$A$6:$A$10,0)-1)*36+21),"")</f>
        <v/>
      </c>
      <c r="Y37" s="137">
        <f>IF(ISNUMBER(INDEX('Cash schedule'!$AB$6:$AB$185,(MATCH($B$5,'Cases'!$A$6:$A$10,0)-1)*36+22)),INDEX('Cash schedule'!$AB$6:$AB$185,(MATCH($B$5,'Cases'!$A$6:$A$10,0)-1)*36+22),"")</f>
        <v/>
      </c>
      <c r="Z37" s="137">
        <f>IF(ISNUMBER(INDEX('Cash schedule'!$AB$6:$AB$185,(MATCH($B$5,'Cases'!$A$6:$A$10,0)-1)*36+23)),INDEX('Cash schedule'!$AB$6:$AB$185,(MATCH($B$5,'Cases'!$A$6:$A$10,0)-1)*36+23),"")</f>
        <v/>
      </c>
      <c r="AA37" s="137">
        <f>IF(ISNUMBER(INDEX('Cash schedule'!$AB$6:$AB$185,(MATCH($B$5,'Cases'!$A$6:$A$10,0)-1)*36+24)),INDEX('Cash schedule'!$AB$6:$AB$185,(MATCH($B$5,'Cases'!$A$6:$A$10,0)-1)*36+24),"")</f>
        <v/>
      </c>
      <c r="AB37" s="137">
        <f>IF(ISNUMBER(INDEX('Cash schedule'!$AB$6:$AB$185,(MATCH($B$5,'Cases'!$A$6:$A$10,0)-1)*36+25)),INDEX('Cash schedule'!$AB$6:$AB$185,(MATCH($B$5,'Cases'!$A$6:$A$10,0)-1)*36+25),"")</f>
        <v/>
      </c>
      <c r="AC37" s="137">
        <f>IF(ISNUMBER(INDEX('Cash schedule'!$AB$6:$AB$185,(MATCH($B$5,'Cases'!$A$6:$A$10,0)-1)*36+26)),INDEX('Cash schedule'!$AB$6:$AB$185,(MATCH($B$5,'Cases'!$A$6:$A$10,0)-1)*36+26),"")</f>
        <v/>
      </c>
      <c r="AD37" s="137">
        <f>IF(ISNUMBER(INDEX('Cash schedule'!$AB$6:$AB$185,(MATCH($B$5,'Cases'!$A$6:$A$10,0)-1)*36+27)),INDEX('Cash schedule'!$AB$6:$AB$185,(MATCH($B$5,'Cases'!$A$6:$A$10,0)-1)*36+27),"")</f>
        <v/>
      </c>
      <c r="AE37" s="137">
        <f>IF(ISNUMBER(INDEX('Cash schedule'!$AB$6:$AB$185,(MATCH($B$5,'Cases'!$A$6:$A$10,0)-1)*36+28)),INDEX('Cash schedule'!$AB$6:$AB$185,(MATCH($B$5,'Cases'!$A$6:$A$10,0)-1)*36+28),"")</f>
        <v/>
      </c>
      <c r="AF37" s="137">
        <f>IF(ISNUMBER(INDEX('Cash schedule'!$AB$6:$AB$185,(MATCH($B$5,'Cases'!$A$6:$A$10,0)-1)*36+29)),INDEX('Cash schedule'!$AB$6:$AB$185,(MATCH($B$5,'Cases'!$A$6:$A$10,0)-1)*36+29),"")</f>
        <v/>
      </c>
      <c r="AG37" s="137">
        <f>IF(ISNUMBER(INDEX('Cash schedule'!$AB$6:$AB$185,(MATCH($B$5,'Cases'!$A$6:$A$10,0)-1)*36+30)),INDEX('Cash schedule'!$AB$6:$AB$185,(MATCH($B$5,'Cases'!$A$6:$A$10,0)-1)*36+30),"")</f>
        <v/>
      </c>
      <c r="AH37" s="137">
        <f>IF(ISNUMBER(INDEX('Cash schedule'!$AB$6:$AB$185,(MATCH($B$5,'Cases'!$A$6:$A$10,0)-1)*36+31)),INDEX('Cash schedule'!$AB$6:$AB$185,(MATCH($B$5,'Cases'!$A$6:$A$10,0)-1)*36+31),"")</f>
        <v/>
      </c>
      <c r="AI37" s="137">
        <f>IF(ISNUMBER(INDEX('Cash schedule'!$AB$6:$AB$185,(MATCH($B$5,'Cases'!$A$6:$A$10,0)-1)*36+32)),INDEX('Cash schedule'!$AB$6:$AB$185,(MATCH($B$5,'Cases'!$A$6:$A$10,0)-1)*36+32),"")</f>
        <v/>
      </c>
      <c r="AJ37" s="137">
        <f>IF(ISNUMBER(INDEX('Cash schedule'!$AB$6:$AB$185,(MATCH($B$5,'Cases'!$A$6:$A$10,0)-1)*36+33)),INDEX('Cash schedule'!$AB$6:$AB$185,(MATCH($B$5,'Cases'!$A$6:$A$10,0)-1)*36+33),"")</f>
        <v/>
      </c>
      <c r="AK37" s="137">
        <f>IF(ISNUMBER(INDEX('Cash schedule'!$AB$6:$AB$185,(MATCH($B$5,'Cases'!$A$6:$A$10,0)-1)*36+34)),INDEX('Cash schedule'!$AB$6:$AB$185,(MATCH($B$5,'Cases'!$A$6:$A$10,0)-1)*36+34),"")</f>
        <v/>
      </c>
      <c r="AL37" s="137">
        <f>IF(ISNUMBER(INDEX('Cash schedule'!$AB$6:$AB$185,(MATCH($B$5,'Cases'!$A$6:$A$10,0)-1)*36+35)),INDEX('Cash schedule'!$AB$6:$AB$185,(MATCH($B$5,'Cases'!$A$6:$A$10,0)-1)*36+35),"")</f>
        <v/>
      </c>
      <c r="AM37" s="137">
        <f>IF(ISNUMBER(INDEX('Cash schedule'!$AB$6:$AB$185,(MATCH($B$5,'Cases'!$A$6:$A$10,0)-1)*36+36)),INDEX('Cash schedule'!$AB$6:$AB$185,(MATCH($B$5,'Cases'!$A$6:$A$10,0)-1)*36+36),"")</f>
        <v/>
      </c>
    </row>
    <row r="38" ht="28" customHeight="1">
      <c r="A38" s="4" t="inlineStr">
        <is>
          <t>Opening debt principal</t>
        </is>
      </c>
      <c r="B38" s="4" t="n"/>
      <c r="C38" s="4" t="n"/>
      <c r="D38" s="137">
        <f>IF(ISNUMBER(INDEX('Cash schedule'!$AC$6:$AC$185,(MATCH($B$5,'Cases'!$A$6:$A$10,0)-1)*36+1)),INDEX('Cash schedule'!$AC$6:$AC$185,(MATCH($B$5,'Cases'!$A$6:$A$10,0)-1)*36+1),"")</f>
        <v/>
      </c>
      <c r="E38" s="137">
        <f>IF(ISNUMBER(INDEX('Cash schedule'!$AC$6:$AC$185,(MATCH($B$5,'Cases'!$A$6:$A$10,0)-1)*36+2)),INDEX('Cash schedule'!$AC$6:$AC$185,(MATCH($B$5,'Cases'!$A$6:$A$10,0)-1)*36+2),"")</f>
        <v/>
      </c>
      <c r="F38" s="137">
        <f>IF(ISNUMBER(INDEX('Cash schedule'!$AC$6:$AC$185,(MATCH($B$5,'Cases'!$A$6:$A$10,0)-1)*36+3)),INDEX('Cash schedule'!$AC$6:$AC$185,(MATCH($B$5,'Cases'!$A$6:$A$10,0)-1)*36+3),"")</f>
        <v/>
      </c>
      <c r="G38" s="137">
        <f>IF(ISNUMBER(INDEX('Cash schedule'!$AC$6:$AC$185,(MATCH($B$5,'Cases'!$A$6:$A$10,0)-1)*36+4)),INDEX('Cash schedule'!$AC$6:$AC$185,(MATCH($B$5,'Cases'!$A$6:$A$10,0)-1)*36+4),"")</f>
        <v/>
      </c>
      <c r="H38" s="137">
        <f>IF(ISNUMBER(INDEX('Cash schedule'!$AC$6:$AC$185,(MATCH($B$5,'Cases'!$A$6:$A$10,0)-1)*36+5)),INDEX('Cash schedule'!$AC$6:$AC$185,(MATCH($B$5,'Cases'!$A$6:$A$10,0)-1)*36+5),"")</f>
        <v/>
      </c>
      <c r="I38" s="137">
        <f>IF(ISNUMBER(INDEX('Cash schedule'!$AC$6:$AC$185,(MATCH($B$5,'Cases'!$A$6:$A$10,0)-1)*36+6)),INDEX('Cash schedule'!$AC$6:$AC$185,(MATCH($B$5,'Cases'!$A$6:$A$10,0)-1)*36+6),"")</f>
        <v/>
      </c>
      <c r="J38" s="137">
        <f>IF(ISNUMBER(INDEX('Cash schedule'!$AC$6:$AC$185,(MATCH($B$5,'Cases'!$A$6:$A$10,0)-1)*36+7)),INDEX('Cash schedule'!$AC$6:$AC$185,(MATCH($B$5,'Cases'!$A$6:$A$10,0)-1)*36+7),"")</f>
        <v/>
      </c>
      <c r="K38" s="137">
        <f>IF(ISNUMBER(INDEX('Cash schedule'!$AC$6:$AC$185,(MATCH($B$5,'Cases'!$A$6:$A$10,0)-1)*36+8)),INDEX('Cash schedule'!$AC$6:$AC$185,(MATCH($B$5,'Cases'!$A$6:$A$10,0)-1)*36+8),"")</f>
        <v/>
      </c>
      <c r="L38" s="137">
        <f>IF(ISNUMBER(INDEX('Cash schedule'!$AC$6:$AC$185,(MATCH($B$5,'Cases'!$A$6:$A$10,0)-1)*36+9)),INDEX('Cash schedule'!$AC$6:$AC$185,(MATCH($B$5,'Cases'!$A$6:$A$10,0)-1)*36+9),"")</f>
        <v/>
      </c>
      <c r="M38" s="137">
        <f>IF(ISNUMBER(INDEX('Cash schedule'!$AC$6:$AC$185,(MATCH($B$5,'Cases'!$A$6:$A$10,0)-1)*36+10)),INDEX('Cash schedule'!$AC$6:$AC$185,(MATCH($B$5,'Cases'!$A$6:$A$10,0)-1)*36+10),"")</f>
        <v/>
      </c>
      <c r="N38" s="137">
        <f>IF(ISNUMBER(INDEX('Cash schedule'!$AC$6:$AC$185,(MATCH($B$5,'Cases'!$A$6:$A$10,0)-1)*36+11)),INDEX('Cash schedule'!$AC$6:$AC$185,(MATCH($B$5,'Cases'!$A$6:$A$10,0)-1)*36+11),"")</f>
        <v/>
      </c>
      <c r="O38" s="137">
        <f>IF(ISNUMBER(INDEX('Cash schedule'!$AC$6:$AC$185,(MATCH($B$5,'Cases'!$A$6:$A$10,0)-1)*36+12)),INDEX('Cash schedule'!$AC$6:$AC$185,(MATCH($B$5,'Cases'!$A$6:$A$10,0)-1)*36+12),"")</f>
        <v/>
      </c>
      <c r="P38" s="137">
        <f>IF(ISNUMBER(INDEX('Cash schedule'!$AC$6:$AC$185,(MATCH($B$5,'Cases'!$A$6:$A$10,0)-1)*36+13)),INDEX('Cash schedule'!$AC$6:$AC$185,(MATCH($B$5,'Cases'!$A$6:$A$10,0)-1)*36+13),"")</f>
        <v/>
      </c>
      <c r="Q38" s="137">
        <f>IF(ISNUMBER(INDEX('Cash schedule'!$AC$6:$AC$185,(MATCH($B$5,'Cases'!$A$6:$A$10,0)-1)*36+14)),INDEX('Cash schedule'!$AC$6:$AC$185,(MATCH($B$5,'Cases'!$A$6:$A$10,0)-1)*36+14),"")</f>
        <v/>
      </c>
      <c r="R38" s="137">
        <f>IF(ISNUMBER(INDEX('Cash schedule'!$AC$6:$AC$185,(MATCH($B$5,'Cases'!$A$6:$A$10,0)-1)*36+15)),INDEX('Cash schedule'!$AC$6:$AC$185,(MATCH($B$5,'Cases'!$A$6:$A$10,0)-1)*36+15),"")</f>
        <v/>
      </c>
      <c r="S38" s="137">
        <f>IF(ISNUMBER(INDEX('Cash schedule'!$AC$6:$AC$185,(MATCH($B$5,'Cases'!$A$6:$A$10,0)-1)*36+16)),INDEX('Cash schedule'!$AC$6:$AC$185,(MATCH($B$5,'Cases'!$A$6:$A$10,0)-1)*36+16),"")</f>
        <v/>
      </c>
      <c r="T38" s="137">
        <f>IF(ISNUMBER(INDEX('Cash schedule'!$AC$6:$AC$185,(MATCH($B$5,'Cases'!$A$6:$A$10,0)-1)*36+17)),INDEX('Cash schedule'!$AC$6:$AC$185,(MATCH($B$5,'Cases'!$A$6:$A$10,0)-1)*36+17),"")</f>
        <v/>
      </c>
      <c r="U38" s="137">
        <f>IF(ISNUMBER(INDEX('Cash schedule'!$AC$6:$AC$185,(MATCH($B$5,'Cases'!$A$6:$A$10,0)-1)*36+18)),INDEX('Cash schedule'!$AC$6:$AC$185,(MATCH($B$5,'Cases'!$A$6:$A$10,0)-1)*36+18),"")</f>
        <v/>
      </c>
      <c r="V38" s="137">
        <f>IF(ISNUMBER(INDEX('Cash schedule'!$AC$6:$AC$185,(MATCH($B$5,'Cases'!$A$6:$A$10,0)-1)*36+19)),INDEX('Cash schedule'!$AC$6:$AC$185,(MATCH($B$5,'Cases'!$A$6:$A$10,0)-1)*36+19),"")</f>
        <v/>
      </c>
      <c r="W38" s="137">
        <f>IF(ISNUMBER(INDEX('Cash schedule'!$AC$6:$AC$185,(MATCH($B$5,'Cases'!$A$6:$A$10,0)-1)*36+20)),INDEX('Cash schedule'!$AC$6:$AC$185,(MATCH($B$5,'Cases'!$A$6:$A$10,0)-1)*36+20),"")</f>
        <v/>
      </c>
      <c r="X38" s="137">
        <f>IF(ISNUMBER(INDEX('Cash schedule'!$AC$6:$AC$185,(MATCH($B$5,'Cases'!$A$6:$A$10,0)-1)*36+21)),INDEX('Cash schedule'!$AC$6:$AC$185,(MATCH($B$5,'Cases'!$A$6:$A$10,0)-1)*36+21),"")</f>
        <v/>
      </c>
      <c r="Y38" s="137">
        <f>IF(ISNUMBER(INDEX('Cash schedule'!$AC$6:$AC$185,(MATCH($B$5,'Cases'!$A$6:$A$10,0)-1)*36+22)),INDEX('Cash schedule'!$AC$6:$AC$185,(MATCH($B$5,'Cases'!$A$6:$A$10,0)-1)*36+22),"")</f>
        <v/>
      </c>
      <c r="Z38" s="137">
        <f>IF(ISNUMBER(INDEX('Cash schedule'!$AC$6:$AC$185,(MATCH($B$5,'Cases'!$A$6:$A$10,0)-1)*36+23)),INDEX('Cash schedule'!$AC$6:$AC$185,(MATCH($B$5,'Cases'!$A$6:$A$10,0)-1)*36+23),"")</f>
        <v/>
      </c>
      <c r="AA38" s="137">
        <f>IF(ISNUMBER(INDEX('Cash schedule'!$AC$6:$AC$185,(MATCH($B$5,'Cases'!$A$6:$A$10,0)-1)*36+24)),INDEX('Cash schedule'!$AC$6:$AC$185,(MATCH($B$5,'Cases'!$A$6:$A$10,0)-1)*36+24),"")</f>
        <v/>
      </c>
      <c r="AB38" s="137">
        <f>IF(ISNUMBER(INDEX('Cash schedule'!$AC$6:$AC$185,(MATCH($B$5,'Cases'!$A$6:$A$10,0)-1)*36+25)),INDEX('Cash schedule'!$AC$6:$AC$185,(MATCH($B$5,'Cases'!$A$6:$A$10,0)-1)*36+25),"")</f>
        <v/>
      </c>
      <c r="AC38" s="137">
        <f>IF(ISNUMBER(INDEX('Cash schedule'!$AC$6:$AC$185,(MATCH($B$5,'Cases'!$A$6:$A$10,0)-1)*36+26)),INDEX('Cash schedule'!$AC$6:$AC$185,(MATCH($B$5,'Cases'!$A$6:$A$10,0)-1)*36+26),"")</f>
        <v/>
      </c>
      <c r="AD38" s="137">
        <f>IF(ISNUMBER(INDEX('Cash schedule'!$AC$6:$AC$185,(MATCH($B$5,'Cases'!$A$6:$A$10,0)-1)*36+27)),INDEX('Cash schedule'!$AC$6:$AC$185,(MATCH($B$5,'Cases'!$A$6:$A$10,0)-1)*36+27),"")</f>
        <v/>
      </c>
      <c r="AE38" s="137">
        <f>IF(ISNUMBER(INDEX('Cash schedule'!$AC$6:$AC$185,(MATCH($B$5,'Cases'!$A$6:$A$10,0)-1)*36+28)),INDEX('Cash schedule'!$AC$6:$AC$185,(MATCH($B$5,'Cases'!$A$6:$A$10,0)-1)*36+28),"")</f>
        <v/>
      </c>
      <c r="AF38" s="137">
        <f>IF(ISNUMBER(INDEX('Cash schedule'!$AC$6:$AC$185,(MATCH($B$5,'Cases'!$A$6:$A$10,0)-1)*36+29)),INDEX('Cash schedule'!$AC$6:$AC$185,(MATCH($B$5,'Cases'!$A$6:$A$10,0)-1)*36+29),"")</f>
        <v/>
      </c>
      <c r="AG38" s="137">
        <f>IF(ISNUMBER(INDEX('Cash schedule'!$AC$6:$AC$185,(MATCH($B$5,'Cases'!$A$6:$A$10,0)-1)*36+30)),INDEX('Cash schedule'!$AC$6:$AC$185,(MATCH($B$5,'Cases'!$A$6:$A$10,0)-1)*36+30),"")</f>
        <v/>
      </c>
      <c r="AH38" s="137">
        <f>IF(ISNUMBER(INDEX('Cash schedule'!$AC$6:$AC$185,(MATCH($B$5,'Cases'!$A$6:$A$10,0)-1)*36+31)),INDEX('Cash schedule'!$AC$6:$AC$185,(MATCH($B$5,'Cases'!$A$6:$A$10,0)-1)*36+31),"")</f>
        <v/>
      </c>
      <c r="AI38" s="137">
        <f>IF(ISNUMBER(INDEX('Cash schedule'!$AC$6:$AC$185,(MATCH($B$5,'Cases'!$A$6:$A$10,0)-1)*36+32)),INDEX('Cash schedule'!$AC$6:$AC$185,(MATCH($B$5,'Cases'!$A$6:$A$10,0)-1)*36+32),"")</f>
        <v/>
      </c>
      <c r="AJ38" s="137">
        <f>IF(ISNUMBER(INDEX('Cash schedule'!$AC$6:$AC$185,(MATCH($B$5,'Cases'!$A$6:$A$10,0)-1)*36+33)),INDEX('Cash schedule'!$AC$6:$AC$185,(MATCH($B$5,'Cases'!$A$6:$A$10,0)-1)*36+33),"")</f>
        <v/>
      </c>
      <c r="AK38" s="137">
        <f>IF(ISNUMBER(INDEX('Cash schedule'!$AC$6:$AC$185,(MATCH($B$5,'Cases'!$A$6:$A$10,0)-1)*36+34)),INDEX('Cash schedule'!$AC$6:$AC$185,(MATCH($B$5,'Cases'!$A$6:$A$10,0)-1)*36+34),"")</f>
        <v/>
      </c>
      <c r="AL38" s="137">
        <f>IF(ISNUMBER(INDEX('Cash schedule'!$AC$6:$AC$185,(MATCH($B$5,'Cases'!$A$6:$A$10,0)-1)*36+35)),INDEX('Cash schedule'!$AC$6:$AC$185,(MATCH($B$5,'Cases'!$A$6:$A$10,0)-1)*36+35),"")</f>
        <v/>
      </c>
      <c r="AM38" s="137">
        <f>IF(ISNUMBER(INDEX('Cash schedule'!$AC$6:$AC$185,(MATCH($B$5,'Cases'!$A$6:$A$10,0)-1)*36+36)),INDEX('Cash schedule'!$AC$6:$AC$185,(MATCH($B$5,'Cases'!$A$6:$A$10,0)-1)*36+36),"")</f>
        <v/>
      </c>
    </row>
    <row r="39" ht="28" customHeight="1">
      <c r="A39" s="4" t="inlineStr">
        <is>
          <t>Opening debt interest</t>
        </is>
      </c>
      <c r="B39" s="4" t="n"/>
      <c r="C39" s="4" t="n"/>
      <c r="D39" s="137">
        <f>IF(ISNUMBER(INDEX('Cash schedule'!$AD$6:$AD$185,(MATCH($B$5,'Cases'!$A$6:$A$10,0)-1)*36+1)),INDEX('Cash schedule'!$AD$6:$AD$185,(MATCH($B$5,'Cases'!$A$6:$A$10,0)-1)*36+1),"")</f>
        <v/>
      </c>
      <c r="E39" s="137">
        <f>IF(ISNUMBER(INDEX('Cash schedule'!$AD$6:$AD$185,(MATCH($B$5,'Cases'!$A$6:$A$10,0)-1)*36+2)),INDEX('Cash schedule'!$AD$6:$AD$185,(MATCH($B$5,'Cases'!$A$6:$A$10,0)-1)*36+2),"")</f>
        <v/>
      </c>
      <c r="F39" s="137">
        <f>IF(ISNUMBER(INDEX('Cash schedule'!$AD$6:$AD$185,(MATCH($B$5,'Cases'!$A$6:$A$10,0)-1)*36+3)),INDEX('Cash schedule'!$AD$6:$AD$185,(MATCH($B$5,'Cases'!$A$6:$A$10,0)-1)*36+3),"")</f>
        <v/>
      </c>
      <c r="G39" s="137">
        <f>IF(ISNUMBER(INDEX('Cash schedule'!$AD$6:$AD$185,(MATCH($B$5,'Cases'!$A$6:$A$10,0)-1)*36+4)),INDEX('Cash schedule'!$AD$6:$AD$185,(MATCH($B$5,'Cases'!$A$6:$A$10,0)-1)*36+4),"")</f>
        <v/>
      </c>
      <c r="H39" s="137">
        <f>IF(ISNUMBER(INDEX('Cash schedule'!$AD$6:$AD$185,(MATCH($B$5,'Cases'!$A$6:$A$10,0)-1)*36+5)),INDEX('Cash schedule'!$AD$6:$AD$185,(MATCH($B$5,'Cases'!$A$6:$A$10,0)-1)*36+5),"")</f>
        <v/>
      </c>
      <c r="I39" s="137">
        <f>IF(ISNUMBER(INDEX('Cash schedule'!$AD$6:$AD$185,(MATCH($B$5,'Cases'!$A$6:$A$10,0)-1)*36+6)),INDEX('Cash schedule'!$AD$6:$AD$185,(MATCH($B$5,'Cases'!$A$6:$A$10,0)-1)*36+6),"")</f>
        <v/>
      </c>
      <c r="J39" s="137">
        <f>IF(ISNUMBER(INDEX('Cash schedule'!$AD$6:$AD$185,(MATCH($B$5,'Cases'!$A$6:$A$10,0)-1)*36+7)),INDEX('Cash schedule'!$AD$6:$AD$185,(MATCH($B$5,'Cases'!$A$6:$A$10,0)-1)*36+7),"")</f>
        <v/>
      </c>
      <c r="K39" s="137">
        <f>IF(ISNUMBER(INDEX('Cash schedule'!$AD$6:$AD$185,(MATCH($B$5,'Cases'!$A$6:$A$10,0)-1)*36+8)),INDEX('Cash schedule'!$AD$6:$AD$185,(MATCH($B$5,'Cases'!$A$6:$A$10,0)-1)*36+8),"")</f>
        <v/>
      </c>
      <c r="L39" s="137">
        <f>IF(ISNUMBER(INDEX('Cash schedule'!$AD$6:$AD$185,(MATCH($B$5,'Cases'!$A$6:$A$10,0)-1)*36+9)),INDEX('Cash schedule'!$AD$6:$AD$185,(MATCH($B$5,'Cases'!$A$6:$A$10,0)-1)*36+9),"")</f>
        <v/>
      </c>
      <c r="M39" s="137">
        <f>IF(ISNUMBER(INDEX('Cash schedule'!$AD$6:$AD$185,(MATCH($B$5,'Cases'!$A$6:$A$10,0)-1)*36+10)),INDEX('Cash schedule'!$AD$6:$AD$185,(MATCH($B$5,'Cases'!$A$6:$A$10,0)-1)*36+10),"")</f>
        <v/>
      </c>
      <c r="N39" s="137">
        <f>IF(ISNUMBER(INDEX('Cash schedule'!$AD$6:$AD$185,(MATCH($B$5,'Cases'!$A$6:$A$10,0)-1)*36+11)),INDEX('Cash schedule'!$AD$6:$AD$185,(MATCH($B$5,'Cases'!$A$6:$A$10,0)-1)*36+11),"")</f>
        <v/>
      </c>
      <c r="O39" s="137">
        <f>IF(ISNUMBER(INDEX('Cash schedule'!$AD$6:$AD$185,(MATCH($B$5,'Cases'!$A$6:$A$10,0)-1)*36+12)),INDEX('Cash schedule'!$AD$6:$AD$185,(MATCH($B$5,'Cases'!$A$6:$A$10,0)-1)*36+12),"")</f>
        <v/>
      </c>
      <c r="P39" s="137">
        <f>IF(ISNUMBER(INDEX('Cash schedule'!$AD$6:$AD$185,(MATCH($B$5,'Cases'!$A$6:$A$10,0)-1)*36+13)),INDEX('Cash schedule'!$AD$6:$AD$185,(MATCH($B$5,'Cases'!$A$6:$A$10,0)-1)*36+13),"")</f>
        <v/>
      </c>
      <c r="Q39" s="137">
        <f>IF(ISNUMBER(INDEX('Cash schedule'!$AD$6:$AD$185,(MATCH($B$5,'Cases'!$A$6:$A$10,0)-1)*36+14)),INDEX('Cash schedule'!$AD$6:$AD$185,(MATCH($B$5,'Cases'!$A$6:$A$10,0)-1)*36+14),"")</f>
        <v/>
      </c>
      <c r="R39" s="137">
        <f>IF(ISNUMBER(INDEX('Cash schedule'!$AD$6:$AD$185,(MATCH($B$5,'Cases'!$A$6:$A$10,0)-1)*36+15)),INDEX('Cash schedule'!$AD$6:$AD$185,(MATCH($B$5,'Cases'!$A$6:$A$10,0)-1)*36+15),"")</f>
        <v/>
      </c>
      <c r="S39" s="137">
        <f>IF(ISNUMBER(INDEX('Cash schedule'!$AD$6:$AD$185,(MATCH($B$5,'Cases'!$A$6:$A$10,0)-1)*36+16)),INDEX('Cash schedule'!$AD$6:$AD$185,(MATCH($B$5,'Cases'!$A$6:$A$10,0)-1)*36+16),"")</f>
        <v/>
      </c>
      <c r="T39" s="137">
        <f>IF(ISNUMBER(INDEX('Cash schedule'!$AD$6:$AD$185,(MATCH($B$5,'Cases'!$A$6:$A$10,0)-1)*36+17)),INDEX('Cash schedule'!$AD$6:$AD$185,(MATCH($B$5,'Cases'!$A$6:$A$10,0)-1)*36+17),"")</f>
        <v/>
      </c>
      <c r="U39" s="137">
        <f>IF(ISNUMBER(INDEX('Cash schedule'!$AD$6:$AD$185,(MATCH($B$5,'Cases'!$A$6:$A$10,0)-1)*36+18)),INDEX('Cash schedule'!$AD$6:$AD$185,(MATCH($B$5,'Cases'!$A$6:$A$10,0)-1)*36+18),"")</f>
        <v/>
      </c>
      <c r="V39" s="137">
        <f>IF(ISNUMBER(INDEX('Cash schedule'!$AD$6:$AD$185,(MATCH($B$5,'Cases'!$A$6:$A$10,0)-1)*36+19)),INDEX('Cash schedule'!$AD$6:$AD$185,(MATCH($B$5,'Cases'!$A$6:$A$10,0)-1)*36+19),"")</f>
        <v/>
      </c>
      <c r="W39" s="137">
        <f>IF(ISNUMBER(INDEX('Cash schedule'!$AD$6:$AD$185,(MATCH($B$5,'Cases'!$A$6:$A$10,0)-1)*36+20)),INDEX('Cash schedule'!$AD$6:$AD$185,(MATCH($B$5,'Cases'!$A$6:$A$10,0)-1)*36+20),"")</f>
        <v/>
      </c>
      <c r="X39" s="137">
        <f>IF(ISNUMBER(INDEX('Cash schedule'!$AD$6:$AD$185,(MATCH($B$5,'Cases'!$A$6:$A$10,0)-1)*36+21)),INDEX('Cash schedule'!$AD$6:$AD$185,(MATCH($B$5,'Cases'!$A$6:$A$10,0)-1)*36+21),"")</f>
        <v/>
      </c>
      <c r="Y39" s="137">
        <f>IF(ISNUMBER(INDEX('Cash schedule'!$AD$6:$AD$185,(MATCH($B$5,'Cases'!$A$6:$A$10,0)-1)*36+22)),INDEX('Cash schedule'!$AD$6:$AD$185,(MATCH($B$5,'Cases'!$A$6:$A$10,0)-1)*36+22),"")</f>
        <v/>
      </c>
      <c r="Z39" s="137">
        <f>IF(ISNUMBER(INDEX('Cash schedule'!$AD$6:$AD$185,(MATCH($B$5,'Cases'!$A$6:$A$10,0)-1)*36+23)),INDEX('Cash schedule'!$AD$6:$AD$185,(MATCH($B$5,'Cases'!$A$6:$A$10,0)-1)*36+23),"")</f>
        <v/>
      </c>
      <c r="AA39" s="137">
        <f>IF(ISNUMBER(INDEX('Cash schedule'!$AD$6:$AD$185,(MATCH($B$5,'Cases'!$A$6:$A$10,0)-1)*36+24)),INDEX('Cash schedule'!$AD$6:$AD$185,(MATCH($B$5,'Cases'!$A$6:$A$10,0)-1)*36+24),"")</f>
        <v/>
      </c>
      <c r="AB39" s="137">
        <f>IF(ISNUMBER(INDEX('Cash schedule'!$AD$6:$AD$185,(MATCH($B$5,'Cases'!$A$6:$A$10,0)-1)*36+25)),INDEX('Cash schedule'!$AD$6:$AD$185,(MATCH($B$5,'Cases'!$A$6:$A$10,0)-1)*36+25),"")</f>
        <v/>
      </c>
      <c r="AC39" s="137">
        <f>IF(ISNUMBER(INDEX('Cash schedule'!$AD$6:$AD$185,(MATCH($B$5,'Cases'!$A$6:$A$10,0)-1)*36+26)),INDEX('Cash schedule'!$AD$6:$AD$185,(MATCH($B$5,'Cases'!$A$6:$A$10,0)-1)*36+26),"")</f>
        <v/>
      </c>
      <c r="AD39" s="137">
        <f>IF(ISNUMBER(INDEX('Cash schedule'!$AD$6:$AD$185,(MATCH($B$5,'Cases'!$A$6:$A$10,0)-1)*36+27)),INDEX('Cash schedule'!$AD$6:$AD$185,(MATCH($B$5,'Cases'!$A$6:$A$10,0)-1)*36+27),"")</f>
        <v/>
      </c>
      <c r="AE39" s="137">
        <f>IF(ISNUMBER(INDEX('Cash schedule'!$AD$6:$AD$185,(MATCH($B$5,'Cases'!$A$6:$A$10,0)-1)*36+28)),INDEX('Cash schedule'!$AD$6:$AD$185,(MATCH($B$5,'Cases'!$A$6:$A$10,0)-1)*36+28),"")</f>
        <v/>
      </c>
      <c r="AF39" s="137">
        <f>IF(ISNUMBER(INDEX('Cash schedule'!$AD$6:$AD$185,(MATCH($B$5,'Cases'!$A$6:$A$10,0)-1)*36+29)),INDEX('Cash schedule'!$AD$6:$AD$185,(MATCH($B$5,'Cases'!$A$6:$A$10,0)-1)*36+29),"")</f>
        <v/>
      </c>
      <c r="AG39" s="137">
        <f>IF(ISNUMBER(INDEX('Cash schedule'!$AD$6:$AD$185,(MATCH($B$5,'Cases'!$A$6:$A$10,0)-1)*36+30)),INDEX('Cash schedule'!$AD$6:$AD$185,(MATCH($B$5,'Cases'!$A$6:$A$10,0)-1)*36+30),"")</f>
        <v/>
      </c>
      <c r="AH39" s="137">
        <f>IF(ISNUMBER(INDEX('Cash schedule'!$AD$6:$AD$185,(MATCH($B$5,'Cases'!$A$6:$A$10,0)-1)*36+31)),INDEX('Cash schedule'!$AD$6:$AD$185,(MATCH($B$5,'Cases'!$A$6:$A$10,0)-1)*36+31),"")</f>
        <v/>
      </c>
      <c r="AI39" s="137">
        <f>IF(ISNUMBER(INDEX('Cash schedule'!$AD$6:$AD$185,(MATCH($B$5,'Cases'!$A$6:$A$10,0)-1)*36+32)),INDEX('Cash schedule'!$AD$6:$AD$185,(MATCH($B$5,'Cases'!$A$6:$A$10,0)-1)*36+32),"")</f>
        <v/>
      </c>
      <c r="AJ39" s="137">
        <f>IF(ISNUMBER(INDEX('Cash schedule'!$AD$6:$AD$185,(MATCH($B$5,'Cases'!$A$6:$A$10,0)-1)*36+33)),INDEX('Cash schedule'!$AD$6:$AD$185,(MATCH($B$5,'Cases'!$A$6:$A$10,0)-1)*36+33),"")</f>
        <v/>
      </c>
      <c r="AK39" s="137">
        <f>IF(ISNUMBER(INDEX('Cash schedule'!$AD$6:$AD$185,(MATCH($B$5,'Cases'!$A$6:$A$10,0)-1)*36+34)),INDEX('Cash schedule'!$AD$6:$AD$185,(MATCH($B$5,'Cases'!$A$6:$A$10,0)-1)*36+34),"")</f>
        <v/>
      </c>
      <c r="AL39" s="137">
        <f>IF(ISNUMBER(INDEX('Cash schedule'!$AD$6:$AD$185,(MATCH($B$5,'Cases'!$A$6:$A$10,0)-1)*36+35)),INDEX('Cash schedule'!$AD$6:$AD$185,(MATCH($B$5,'Cases'!$A$6:$A$10,0)-1)*36+35),"")</f>
        <v/>
      </c>
      <c r="AM39" s="137">
        <f>IF(ISNUMBER(INDEX('Cash schedule'!$AD$6:$AD$185,(MATCH($B$5,'Cases'!$A$6:$A$10,0)-1)*36+36)),INDEX('Cash schedule'!$AD$6:$AD$185,(MATCH($B$5,'Cases'!$A$6:$A$10,0)-1)*36+36),"")</f>
        <v/>
      </c>
    </row>
    <row r="40" ht="28" customHeight="1">
      <c r="A40" s="4" t="inlineStr">
        <is>
          <t>Loan fees</t>
        </is>
      </c>
      <c r="B40" s="4" t="n"/>
      <c r="C40" s="4" t="n"/>
      <c r="D40" s="137">
        <f>IF(ISNUMBER(INDEX('Cash schedule'!$AE$6:$AE$185,(MATCH($B$5,'Cases'!$A$6:$A$10,0)-1)*36+1)),INDEX('Cash schedule'!$AE$6:$AE$185,(MATCH($B$5,'Cases'!$A$6:$A$10,0)-1)*36+1),"")</f>
        <v/>
      </c>
      <c r="E40" s="137">
        <f>IF(ISNUMBER(INDEX('Cash schedule'!$AE$6:$AE$185,(MATCH($B$5,'Cases'!$A$6:$A$10,0)-1)*36+2)),INDEX('Cash schedule'!$AE$6:$AE$185,(MATCH($B$5,'Cases'!$A$6:$A$10,0)-1)*36+2),"")</f>
        <v/>
      </c>
      <c r="F40" s="137">
        <f>IF(ISNUMBER(INDEX('Cash schedule'!$AE$6:$AE$185,(MATCH($B$5,'Cases'!$A$6:$A$10,0)-1)*36+3)),INDEX('Cash schedule'!$AE$6:$AE$185,(MATCH($B$5,'Cases'!$A$6:$A$10,0)-1)*36+3),"")</f>
        <v/>
      </c>
      <c r="G40" s="137">
        <f>IF(ISNUMBER(INDEX('Cash schedule'!$AE$6:$AE$185,(MATCH($B$5,'Cases'!$A$6:$A$10,0)-1)*36+4)),INDEX('Cash schedule'!$AE$6:$AE$185,(MATCH($B$5,'Cases'!$A$6:$A$10,0)-1)*36+4),"")</f>
        <v/>
      </c>
      <c r="H40" s="137">
        <f>IF(ISNUMBER(INDEX('Cash schedule'!$AE$6:$AE$185,(MATCH($B$5,'Cases'!$A$6:$A$10,0)-1)*36+5)),INDEX('Cash schedule'!$AE$6:$AE$185,(MATCH($B$5,'Cases'!$A$6:$A$10,0)-1)*36+5),"")</f>
        <v/>
      </c>
      <c r="I40" s="137">
        <f>IF(ISNUMBER(INDEX('Cash schedule'!$AE$6:$AE$185,(MATCH($B$5,'Cases'!$A$6:$A$10,0)-1)*36+6)),INDEX('Cash schedule'!$AE$6:$AE$185,(MATCH($B$5,'Cases'!$A$6:$A$10,0)-1)*36+6),"")</f>
        <v/>
      </c>
      <c r="J40" s="137">
        <f>IF(ISNUMBER(INDEX('Cash schedule'!$AE$6:$AE$185,(MATCH($B$5,'Cases'!$A$6:$A$10,0)-1)*36+7)),INDEX('Cash schedule'!$AE$6:$AE$185,(MATCH($B$5,'Cases'!$A$6:$A$10,0)-1)*36+7),"")</f>
        <v/>
      </c>
      <c r="K40" s="137">
        <f>IF(ISNUMBER(INDEX('Cash schedule'!$AE$6:$AE$185,(MATCH($B$5,'Cases'!$A$6:$A$10,0)-1)*36+8)),INDEX('Cash schedule'!$AE$6:$AE$185,(MATCH($B$5,'Cases'!$A$6:$A$10,0)-1)*36+8),"")</f>
        <v/>
      </c>
      <c r="L40" s="137">
        <f>IF(ISNUMBER(INDEX('Cash schedule'!$AE$6:$AE$185,(MATCH($B$5,'Cases'!$A$6:$A$10,0)-1)*36+9)),INDEX('Cash schedule'!$AE$6:$AE$185,(MATCH($B$5,'Cases'!$A$6:$A$10,0)-1)*36+9),"")</f>
        <v/>
      </c>
      <c r="M40" s="137">
        <f>IF(ISNUMBER(INDEX('Cash schedule'!$AE$6:$AE$185,(MATCH($B$5,'Cases'!$A$6:$A$10,0)-1)*36+10)),INDEX('Cash schedule'!$AE$6:$AE$185,(MATCH($B$5,'Cases'!$A$6:$A$10,0)-1)*36+10),"")</f>
        <v/>
      </c>
      <c r="N40" s="137">
        <f>IF(ISNUMBER(INDEX('Cash schedule'!$AE$6:$AE$185,(MATCH($B$5,'Cases'!$A$6:$A$10,0)-1)*36+11)),INDEX('Cash schedule'!$AE$6:$AE$185,(MATCH($B$5,'Cases'!$A$6:$A$10,0)-1)*36+11),"")</f>
        <v/>
      </c>
      <c r="O40" s="137">
        <f>IF(ISNUMBER(INDEX('Cash schedule'!$AE$6:$AE$185,(MATCH($B$5,'Cases'!$A$6:$A$10,0)-1)*36+12)),INDEX('Cash schedule'!$AE$6:$AE$185,(MATCH($B$5,'Cases'!$A$6:$A$10,0)-1)*36+12),"")</f>
        <v/>
      </c>
      <c r="P40" s="137">
        <f>IF(ISNUMBER(INDEX('Cash schedule'!$AE$6:$AE$185,(MATCH($B$5,'Cases'!$A$6:$A$10,0)-1)*36+13)),INDEX('Cash schedule'!$AE$6:$AE$185,(MATCH($B$5,'Cases'!$A$6:$A$10,0)-1)*36+13),"")</f>
        <v/>
      </c>
      <c r="Q40" s="137">
        <f>IF(ISNUMBER(INDEX('Cash schedule'!$AE$6:$AE$185,(MATCH($B$5,'Cases'!$A$6:$A$10,0)-1)*36+14)),INDEX('Cash schedule'!$AE$6:$AE$185,(MATCH($B$5,'Cases'!$A$6:$A$10,0)-1)*36+14),"")</f>
        <v/>
      </c>
      <c r="R40" s="137">
        <f>IF(ISNUMBER(INDEX('Cash schedule'!$AE$6:$AE$185,(MATCH($B$5,'Cases'!$A$6:$A$10,0)-1)*36+15)),INDEX('Cash schedule'!$AE$6:$AE$185,(MATCH($B$5,'Cases'!$A$6:$A$10,0)-1)*36+15),"")</f>
        <v/>
      </c>
      <c r="S40" s="137">
        <f>IF(ISNUMBER(INDEX('Cash schedule'!$AE$6:$AE$185,(MATCH($B$5,'Cases'!$A$6:$A$10,0)-1)*36+16)),INDEX('Cash schedule'!$AE$6:$AE$185,(MATCH($B$5,'Cases'!$A$6:$A$10,0)-1)*36+16),"")</f>
        <v/>
      </c>
      <c r="T40" s="137">
        <f>IF(ISNUMBER(INDEX('Cash schedule'!$AE$6:$AE$185,(MATCH($B$5,'Cases'!$A$6:$A$10,0)-1)*36+17)),INDEX('Cash schedule'!$AE$6:$AE$185,(MATCH($B$5,'Cases'!$A$6:$A$10,0)-1)*36+17),"")</f>
        <v/>
      </c>
      <c r="U40" s="137">
        <f>IF(ISNUMBER(INDEX('Cash schedule'!$AE$6:$AE$185,(MATCH($B$5,'Cases'!$A$6:$A$10,0)-1)*36+18)),INDEX('Cash schedule'!$AE$6:$AE$185,(MATCH($B$5,'Cases'!$A$6:$A$10,0)-1)*36+18),"")</f>
        <v/>
      </c>
      <c r="V40" s="137">
        <f>IF(ISNUMBER(INDEX('Cash schedule'!$AE$6:$AE$185,(MATCH($B$5,'Cases'!$A$6:$A$10,0)-1)*36+19)),INDEX('Cash schedule'!$AE$6:$AE$185,(MATCH($B$5,'Cases'!$A$6:$A$10,0)-1)*36+19),"")</f>
        <v/>
      </c>
      <c r="W40" s="137">
        <f>IF(ISNUMBER(INDEX('Cash schedule'!$AE$6:$AE$185,(MATCH($B$5,'Cases'!$A$6:$A$10,0)-1)*36+20)),INDEX('Cash schedule'!$AE$6:$AE$185,(MATCH($B$5,'Cases'!$A$6:$A$10,0)-1)*36+20),"")</f>
        <v/>
      </c>
      <c r="X40" s="137">
        <f>IF(ISNUMBER(INDEX('Cash schedule'!$AE$6:$AE$185,(MATCH($B$5,'Cases'!$A$6:$A$10,0)-1)*36+21)),INDEX('Cash schedule'!$AE$6:$AE$185,(MATCH($B$5,'Cases'!$A$6:$A$10,0)-1)*36+21),"")</f>
        <v/>
      </c>
      <c r="Y40" s="137">
        <f>IF(ISNUMBER(INDEX('Cash schedule'!$AE$6:$AE$185,(MATCH($B$5,'Cases'!$A$6:$A$10,0)-1)*36+22)),INDEX('Cash schedule'!$AE$6:$AE$185,(MATCH($B$5,'Cases'!$A$6:$A$10,0)-1)*36+22),"")</f>
        <v/>
      </c>
      <c r="Z40" s="137">
        <f>IF(ISNUMBER(INDEX('Cash schedule'!$AE$6:$AE$185,(MATCH($B$5,'Cases'!$A$6:$A$10,0)-1)*36+23)),INDEX('Cash schedule'!$AE$6:$AE$185,(MATCH($B$5,'Cases'!$A$6:$A$10,0)-1)*36+23),"")</f>
        <v/>
      </c>
      <c r="AA40" s="137">
        <f>IF(ISNUMBER(INDEX('Cash schedule'!$AE$6:$AE$185,(MATCH($B$5,'Cases'!$A$6:$A$10,0)-1)*36+24)),INDEX('Cash schedule'!$AE$6:$AE$185,(MATCH($B$5,'Cases'!$A$6:$A$10,0)-1)*36+24),"")</f>
        <v/>
      </c>
      <c r="AB40" s="137">
        <f>IF(ISNUMBER(INDEX('Cash schedule'!$AE$6:$AE$185,(MATCH($B$5,'Cases'!$A$6:$A$10,0)-1)*36+25)),INDEX('Cash schedule'!$AE$6:$AE$185,(MATCH($B$5,'Cases'!$A$6:$A$10,0)-1)*36+25),"")</f>
        <v/>
      </c>
      <c r="AC40" s="137">
        <f>IF(ISNUMBER(INDEX('Cash schedule'!$AE$6:$AE$185,(MATCH($B$5,'Cases'!$A$6:$A$10,0)-1)*36+26)),INDEX('Cash schedule'!$AE$6:$AE$185,(MATCH($B$5,'Cases'!$A$6:$A$10,0)-1)*36+26),"")</f>
        <v/>
      </c>
      <c r="AD40" s="137">
        <f>IF(ISNUMBER(INDEX('Cash schedule'!$AE$6:$AE$185,(MATCH($B$5,'Cases'!$A$6:$A$10,0)-1)*36+27)),INDEX('Cash schedule'!$AE$6:$AE$185,(MATCH($B$5,'Cases'!$A$6:$A$10,0)-1)*36+27),"")</f>
        <v/>
      </c>
      <c r="AE40" s="137">
        <f>IF(ISNUMBER(INDEX('Cash schedule'!$AE$6:$AE$185,(MATCH($B$5,'Cases'!$A$6:$A$10,0)-1)*36+28)),INDEX('Cash schedule'!$AE$6:$AE$185,(MATCH($B$5,'Cases'!$A$6:$A$10,0)-1)*36+28),"")</f>
        <v/>
      </c>
      <c r="AF40" s="137">
        <f>IF(ISNUMBER(INDEX('Cash schedule'!$AE$6:$AE$185,(MATCH($B$5,'Cases'!$A$6:$A$10,0)-1)*36+29)),INDEX('Cash schedule'!$AE$6:$AE$185,(MATCH($B$5,'Cases'!$A$6:$A$10,0)-1)*36+29),"")</f>
        <v/>
      </c>
      <c r="AG40" s="137">
        <f>IF(ISNUMBER(INDEX('Cash schedule'!$AE$6:$AE$185,(MATCH($B$5,'Cases'!$A$6:$A$10,0)-1)*36+30)),INDEX('Cash schedule'!$AE$6:$AE$185,(MATCH($B$5,'Cases'!$A$6:$A$10,0)-1)*36+30),"")</f>
        <v/>
      </c>
      <c r="AH40" s="137">
        <f>IF(ISNUMBER(INDEX('Cash schedule'!$AE$6:$AE$185,(MATCH($B$5,'Cases'!$A$6:$A$10,0)-1)*36+31)),INDEX('Cash schedule'!$AE$6:$AE$185,(MATCH($B$5,'Cases'!$A$6:$A$10,0)-1)*36+31),"")</f>
        <v/>
      </c>
      <c r="AI40" s="137">
        <f>IF(ISNUMBER(INDEX('Cash schedule'!$AE$6:$AE$185,(MATCH($B$5,'Cases'!$A$6:$A$10,0)-1)*36+32)),INDEX('Cash schedule'!$AE$6:$AE$185,(MATCH($B$5,'Cases'!$A$6:$A$10,0)-1)*36+32),"")</f>
        <v/>
      </c>
      <c r="AJ40" s="137">
        <f>IF(ISNUMBER(INDEX('Cash schedule'!$AE$6:$AE$185,(MATCH($B$5,'Cases'!$A$6:$A$10,0)-1)*36+33)),INDEX('Cash schedule'!$AE$6:$AE$185,(MATCH($B$5,'Cases'!$A$6:$A$10,0)-1)*36+33),"")</f>
        <v/>
      </c>
      <c r="AK40" s="137">
        <f>IF(ISNUMBER(INDEX('Cash schedule'!$AE$6:$AE$185,(MATCH($B$5,'Cases'!$A$6:$A$10,0)-1)*36+34)),INDEX('Cash schedule'!$AE$6:$AE$185,(MATCH($B$5,'Cases'!$A$6:$A$10,0)-1)*36+34),"")</f>
        <v/>
      </c>
      <c r="AL40" s="137">
        <f>IF(ISNUMBER(INDEX('Cash schedule'!$AE$6:$AE$185,(MATCH($B$5,'Cases'!$A$6:$A$10,0)-1)*36+35)),INDEX('Cash schedule'!$AE$6:$AE$185,(MATCH($B$5,'Cases'!$A$6:$A$10,0)-1)*36+35),"")</f>
        <v/>
      </c>
      <c r="AM40" s="137">
        <f>IF(ISNUMBER(INDEX('Cash schedule'!$AE$6:$AE$185,(MATCH($B$5,'Cases'!$A$6:$A$10,0)-1)*36+36)),INDEX('Cash schedule'!$AE$6:$AE$185,(MATCH($B$5,'Cases'!$A$6:$A$10,0)-1)*36+36),"")</f>
        <v/>
      </c>
    </row>
    <row r="41" ht="28" customHeight="1">
      <c r="A41" s="4" t="inlineStr">
        <is>
          <t>Opening payables paid</t>
        </is>
      </c>
      <c r="B41" s="4" t="n"/>
      <c r="C41" s="4" t="n"/>
      <c r="D41" s="137">
        <f>IF(ISNUMBER(INDEX('Cash schedule'!$AF$6:$AF$185,(MATCH($B$5,'Cases'!$A$6:$A$10,0)-1)*36+1)),INDEX('Cash schedule'!$AF$6:$AF$185,(MATCH($B$5,'Cases'!$A$6:$A$10,0)-1)*36+1),"")</f>
        <v/>
      </c>
      <c r="E41" s="137">
        <f>IF(ISNUMBER(INDEX('Cash schedule'!$AF$6:$AF$185,(MATCH($B$5,'Cases'!$A$6:$A$10,0)-1)*36+2)),INDEX('Cash schedule'!$AF$6:$AF$185,(MATCH($B$5,'Cases'!$A$6:$A$10,0)-1)*36+2),"")</f>
        <v/>
      </c>
      <c r="F41" s="137">
        <f>IF(ISNUMBER(INDEX('Cash schedule'!$AF$6:$AF$185,(MATCH($B$5,'Cases'!$A$6:$A$10,0)-1)*36+3)),INDEX('Cash schedule'!$AF$6:$AF$185,(MATCH($B$5,'Cases'!$A$6:$A$10,0)-1)*36+3),"")</f>
        <v/>
      </c>
      <c r="G41" s="137">
        <f>IF(ISNUMBER(INDEX('Cash schedule'!$AF$6:$AF$185,(MATCH($B$5,'Cases'!$A$6:$A$10,0)-1)*36+4)),INDEX('Cash schedule'!$AF$6:$AF$185,(MATCH($B$5,'Cases'!$A$6:$A$10,0)-1)*36+4),"")</f>
        <v/>
      </c>
      <c r="H41" s="137">
        <f>IF(ISNUMBER(INDEX('Cash schedule'!$AF$6:$AF$185,(MATCH($B$5,'Cases'!$A$6:$A$10,0)-1)*36+5)),INDEX('Cash schedule'!$AF$6:$AF$185,(MATCH($B$5,'Cases'!$A$6:$A$10,0)-1)*36+5),"")</f>
        <v/>
      </c>
      <c r="I41" s="137">
        <f>IF(ISNUMBER(INDEX('Cash schedule'!$AF$6:$AF$185,(MATCH($B$5,'Cases'!$A$6:$A$10,0)-1)*36+6)),INDEX('Cash schedule'!$AF$6:$AF$185,(MATCH($B$5,'Cases'!$A$6:$A$10,0)-1)*36+6),"")</f>
        <v/>
      </c>
      <c r="J41" s="137">
        <f>IF(ISNUMBER(INDEX('Cash schedule'!$AF$6:$AF$185,(MATCH($B$5,'Cases'!$A$6:$A$10,0)-1)*36+7)),INDEX('Cash schedule'!$AF$6:$AF$185,(MATCH($B$5,'Cases'!$A$6:$A$10,0)-1)*36+7),"")</f>
        <v/>
      </c>
      <c r="K41" s="137">
        <f>IF(ISNUMBER(INDEX('Cash schedule'!$AF$6:$AF$185,(MATCH($B$5,'Cases'!$A$6:$A$10,0)-1)*36+8)),INDEX('Cash schedule'!$AF$6:$AF$185,(MATCH($B$5,'Cases'!$A$6:$A$10,0)-1)*36+8),"")</f>
        <v/>
      </c>
      <c r="L41" s="137">
        <f>IF(ISNUMBER(INDEX('Cash schedule'!$AF$6:$AF$185,(MATCH($B$5,'Cases'!$A$6:$A$10,0)-1)*36+9)),INDEX('Cash schedule'!$AF$6:$AF$185,(MATCH($B$5,'Cases'!$A$6:$A$10,0)-1)*36+9),"")</f>
        <v/>
      </c>
      <c r="M41" s="137">
        <f>IF(ISNUMBER(INDEX('Cash schedule'!$AF$6:$AF$185,(MATCH($B$5,'Cases'!$A$6:$A$10,0)-1)*36+10)),INDEX('Cash schedule'!$AF$6:$AF$185,(MATCH($B$5,'Cases'!$A$6:$A$10,0)-1)*36+10),"")</f>
        <v/>
      </c>
      <c r="N41" s="137">
        <f>IF(ISNUMBER(INDEX('Cash schedule'!$AF$6:$AF$185,(MATCH($B$5,'Cases'!$A$6:$A$10,0)-1)*36+11)),INDEX('Cash schedule'!$AF$6:$AF$185,(MATCH($B$5,'Cases'!$A$6:$A$10,0)-1)*36+11),"")</f>
        <v/>
      </c>
      <c r="O41" s="137">
        <f>IF(ISNUMBER(INDEX('Cash schedule'!$AF$6:$AF$185,(MATCH($B$5,'Cases'!$A$6:$A$10,0)-1)*36+12)),INDEX('Cash schedule'!$AF$6:$AF$185,(MATCH($B$5,'Cases'!$A$6:$A$10,0)-1)*36+12),"")</f>
        <v/>
      </c>
      <c r="P41" s="137">
        <f>IF(ISNUMBER(INDEX('Cash schedule'!$AF$6:$AF$185,(MATCH($B$5,'Cases'!$A$6:$A$10,0)-1)*36+13)),INDEX('Cash schedule'!$AF$6:$AF$185,(MATCH($B$5,'Cases'!$A$6:$A$10,0)-1)*36+13),"")</f>
        <v/>
      </c>
      <c r="Q41" s="137">
        <f>IF(ISNUMBER(INDEX('Cash schedule'!$AF$6:$AF$185,(MATCH($B$5,'Cases'!$A$6:$A$10,0)-1)*36+14)),INDEX('Cash schedule'!$AF$6:$AF$185,(MATCH($B$5,'Cases'!$A$6:$A$10,0)-1)*36+14),"")</f>
        <v/>
      </c>
      <c r="R41" s="137">
        <f>IF(ISNUMBER(INDEX('Cash schedule'!$AF$6:$AF$185,(MATCH($B$5,'Cases'!$A$6:$A$10,0)-1)*36+15)),INDEX('Cash schedule'!$AF$6:$AF$185,(MATCH($B$5,'Cases'!$A$6:$A$10,0)-1)*36+15),"")</f>
        <v/>
      </c>
      <c r="S41" s="137">
        <f>IF(ISNUMBER(INDEX('Cash schedule'!$AF$6:$AF$185,(MATCH($B$5,'Cases'!$A$6:$A$10,0)-1)*36+16)),INDEX('Cash schedule'!$AF$6:$AF$185,(MATCH($B$5,'Cases'!$A$6:$A$10,0)-1)*36+16),"")</f>
        <v/>
      </c>
      <c r="T41" s="137">
        <f>IF(ISNUMBER(INDEX('Cash schedule'!$AF$6:$AF$185,(MATCH($B$5,'Cases'!$A$6:$A$10,0)-1)*36+17)),INDEX('Cash schedule'!$AF$6:$AF$185,(MATCH($B$5,'Cases'!$A$6:$A$10,0)-1)*36+17),"")</f>
        <v/>
      </c>
      <c r="U41" s="137">
        <f>IF(ISNUMBER(INDEX('Cash schedule'!$AF$6:$AF$185,(MATCH($B$5,'Cases'!$A$6:$A$10,0)-1)*36+18)),INDEX('Cash schedule'!$AF$6:$AF$185,(MATCH($B$5,'Cases'!$A$6:$A$10,0)-1)*36+18),"")</f>
        <v/>
      </c>
      <c r="V41" s="137">
        <f>IF(ISNUMBER(INDEX('Cash schedule'!$AF$6:$AF$185,(MATCH($B$5,'Cases'!$A$6:$A$10,0)-1)*36+19)),INDEX('Cash schedule'!$AF$6:$AF$185,(MATCH($B$5,'Cases'!$A$6:$A$10,0)-1)*36+19),"")</f>
        <v/>
      </c>
      <c r="W41" s="137">
        <f>IF(ISNUMBER(INDEX('Cash schedule'!$AF$6:$AF$185,(MATCH($B$5,'Cases'!$A$6:$A$10,0)-1)*36+20)),INDEX('Cash schedule'!$AF$6:$AF$185,(MATCH($B$5,'Cases'!$A$6:$A$10,0)-1)*36+20),"")</f>
        <v/>
      </c>
      <c r="X41" s="137">
        <f>IF(ISNUMBER(INDEX('Cash schedule'!$AF$6:$AF$185,(MATCH($B$5,'Cases'!$A$6:$A$10,0)-1)*36+21)),INDEX('Cash schedule'!$AF$6:$AF$185,(MATCH($B$5,'Cases'!$A$6:$A$10,0)-1)*36+21),"")</f>
        <v/>
      </c>
      <c r="Y41" s="137">
        <f>IF(ISNUMBER(INDEX('Cash schedule'!$AF$6:$AF$185,(MATCH($B$5,'Cases'!$A$6:$A$10,0)-1)*36+22)),INDEX('Cash schedule'!$AF$6:$AF$185,(MATCH($B$5,'Cases'!$A$6:$A$10,0)-1)*36+22),"")</f>
        <v/>
      </c>
      <c r="Z41" s="137">
        <f>IF(ISNUMBER(INDEX('Cash schedule'!$AF$6:$AF$185,(MATCH($B$5,'Cases'!$A$6:$A$10,0)-1)*36+23)),INDEX('Cash schedule'!$AF$6:$AF$185,(MATCH($B$5,'Cases'!$A$6:$A$10,0)-1)*36+23),"")</f>
        <v/>
      </c>
      <c r="AA41" s="137">
        <f>IF(ISNUMBER(INDEX('Cash schedule'!$AF$6:$AF$185,(MATCH($B$5,'Cases'!$A$6:$A$10,0)-1)*36+24)),INDEX('Cash schedule'!$AF$6:$AF$185,(MATCH($B$5,'Cases'!$A$6:$A$10,0)-1)*36+24),"")</f>
        <v/>
      </c>
      <c r="AB41" s="137">
        <f>IF(ISNUMBER(INDEX('Cash schedule'!$AF$6:$AF$185,(MATCH($B$5,'Cases'!$A$6:$A$10,0)-1)*36+25)),INDEX('Cash schedule'!$AF$6:$AF$185,(MATCH($B$5,'Cases'!$A$6:$A$10,0)-1)*36+25),"")</f>
        <v/>
      </c>
      <c r="AC41" s="137">
        <f>IF(ISNUMBER(INDEX('Cash schedule'!$AF$6:$AF$185,(MATCH($B$5,'Cases'!$A$6:$A$10,0)-1)*36+26)),INDEX('Cash schedule'!$AF$6:$AF$185,(MATCH($B$5,'Cases'!$A$6:$A$10,0)-1)*36+26),"")</f>
        <v/>
      </c>
      <c r="AD41" s="137">
        <f>IF(ISNUMBER(INDEX('Cash schedule'!$AF$6:$AF$185,(MATCH($B$5,'Cases'!$A$6:$A$10,0)-1)*36+27)),INDEX('Cash schedule'!$AF$6:$AF$185,(MATCH($B$5,'Cases'!$A$6:$A$10,0)-1)*36+27),"")</f>
        <v/>
      </c>
      <c r="AE41" s="137">
        <f>IF(ISNUMBER(INDEX('Cash schedule'!$AF$6:$AF$185,(MATCH($B$5,'Cases'!$A$6:$A$10,0)-1)*36+28)),INDEX('Cash schedule'!$AF$6:$AF$185,(MATCH($B$5,'Cases'!$A$6:$A$10,0)-1)*36+28),"")</f>
        <v/>
      </c>
      <c r="AF41" s="137">
        <f>IF(ISNUMBER(INDEX('Cash schedule'!$AF$6:$AF$185,(MATCH($B$5,'Cases'!$A$6:$A$10,0)-1)*36+29)),INDEX('Cash schedule'!$AF$6:$AF$185,(MATCH($B$5,'Cases'!$A$6:$A$10,0)-1)*36+29),"")</f>
        <v/>
      </c>
      <c r="AG41" s="137">
        <f>IF(ISNUMBER(INDEX('Cash schedule'!$AF$6:$AF$185,(MATCH($B$5,'Cases'!$A$6:$A$10,0)-1)*36+30)),INDEX('Cash schedule'!$AF$6:$AF$185,(MATCH($B$5,'Cases'!$A$6:$A$10,0)-1)*36+30),"")</f>
        <v/>
      </c>
      <c r="AH41" s="137">
        <f>IF(ISNUMBER(INDEX('Cash schedule'!$AF$6:$AF$185,(MATCH($B$5,'Cases'!$A$6:$A$10,0)-1)*36+31)),INDEX('Cash schedule'!$AF$6:$AF$185,(MATCH($B$5,'Cases'!$A$6:$A$10,0)-1)*36+31),"")</f>
        <v/>
      </c>
      <c r="AI41" s="137">
        <f>IF(ISNUMBER(INDEX('Cash schedule'!$AF$6:$AF$185,(MATCH($B$5,'Cases'!$A$6:$A$10,0)-1)*36+32)),INDEX('Cash schedule'!$AF$6:$AF$185,(MATCH($B$5,'Cases'!$A$6:$A$10,0)-1)*36+32),"")</f>
        <v/>
      </c>
      <c r="AJ41" s="137">
        <f>IF(ISNUMBER(INDEX('Cash schedule'!$AF$6:$AF$185,(MATCH($B$5,'Cases'!$A$6:$A$10,0)-1)*36+33)),INDEX('Cash schedule'!$AF$6:$AF$185,(MATCH($B$5,'Cases'!$A$6:$A$10,0)-1)*36+33),"")</f>
        <v/>
      </c>
      <c r="AK41" s="137">
        <f>IF(ISNUMBER(INDEX('Cash schedule'!$AF$6:$AF$185,(MATCH($B$5,'Cases'!$A$6:$A$10,0)-1)*36+34)),INDEX('Cash schedule'!$AF$6:$AF$185,(MATCH($B$5,'Cases'!$A$6:$A$10,0)-1)*36+34),"")</f>
        <v/>
      </c>
      <c r="AL41" s="137">
        <f>IF(ISNUMBER(INDEX('Cash schedule'!$AF$6:$AF$185,(MATCH($B$5,'Cases'!$A$6:$A$10,0)-1)*36+35)),INDEX('Cash schedule'!$AF$6:$AF$185,(MATCH($B$5,'Cases'!$A$6:$A$10,0)-1)*36+35),"")</f>
        <v/>
      </c>
      <c r="AM41" s="137">
        <f>IF(ISNUMBER(INDEX('Cash schedule'!$AF$6:$AF$185,(MATCH($B$5,'Cases'!$A$6:$A$10,0)-1)*36+36)),INDEX('Cash schedule'!$AF$6:$AF$185,(MATCH($B$5,'Cases'!$A$6:$A$10,0)-1)*36+36),"")</f>
        <v/>
      </c>
    </row>
    <row r="42" ht="28" customHeight="1">
      <c r="A42" s="4" t="inlineStr">
        <is>
          <t>Tax paid</t>
        </is>
      </c>
      <c r="B42" s="4" t="n"/>
      <c r="C42" s="4" t="n"/>
      <c r="D42" s="137">
        <f>IF(ISNUMBER(INDEX('Cash schedule'!$AG$6:$AG$185,(MATCH($B$5,'Cases'!$A$6:$A$10,0)-1)*36+1)),INDEX('Cash schedule'!$AG$6:$AG$185,(MATCH($B$5,'Cases'!$A$6:$A$10,0)-1)*36+1),"")</f>
        <v/>
      </c>
      <c r="E42" s="137">
        <f>IF(ISNUMBER(INDEX('Cash schedule'!$AG$6:$AG$185,(MATCH($B$5,'Cases'!$A$6:$A$10,0)-1)*36+2)),INDEX('Cash schedule'!$AG$6:$AG$185,(MATCH($B$5,'Cases'!$A$6:$A$10,0)-1)*36+2),"")</f>
        <v/>
      </c>
      <c r="F42" s="137">
        <f>IF(ISNUMBER(INDEX('Cash schedule'!$AG$6:$AG$185,(MATCH($B$5,'Cases'!$A$6:$A$10,0)-1)*36+3)),INDEX('Cash schedule'!$AG$6:$AG$185,(MATCH($B$5,'Cases'!$A$6:$A$10,0)-1)*36+3),"")</f>
        <v/>
      </c>
      <c r="G42" s="137">
        <f>IF(ISNUMBER(INDEX('Cash schedule'!$AG$6:$AG$185,(MATCH($B$5,'Cases'!$A$6:$A$10,0)-1)*36+4)),INDEX('Cash schedule'!$AG$6:$AG$185,(MATCH($B$5,'Cases'!$A$6:$A$10,0)-1)*36+4),"")</f>
        <v/>
      </c>
      <c r="H42" s="137">
        <f>IF(ISNUMBER(INDEX('Cash schedule'!$AG$6:$AG$185,(MATCH($B$5,'Cases'!$A$6:$A$10,0)-1)*36+5)),INDEX('Cash schedule'!$AG$6:$AG$185,(MATCH($B$5,'Cases'!$A$6:$A$10,0)-1)*36+5),"")</f>
        <v/>
      </c>
      <c r="I42" s="137">
        <f>IF(ISNUMBER(INDEX('Cash schedule'!$AG$6:$AG$185,(MATCH($B$5,'Cases'!$A$6:$A$10,0)-1)*36+6)),INDEX('Cash schedule'!$AG$6:$AG$185,(MATCH($B$5,'Cases'!$A$6:$A$10,0)-1)*36+6),"")</f>
        <v/>
      </c>
      <c r="J42" s="137">
        <f>IF(ISNUMBER(INDEX('Cash schedule'!$AG$6:$AG$185,(MATCH($B$5,'Cases'!$A$6:$A$10,0)-1)*36+7)),INDEX('Cash schedule'!$AG$6:$AG$185,(MATCH($B$5,'Cases'!$A$6:$A$10,0)-1)*36+7),"")</f>
        <v/>
      </c>
      <c r="K42" s="137">
        <f>IF(ISNUMBER(INDEX('Cash schedule'!$AG$6:$AG$185,(MATCH($B$5,'Cases'!$A$6:$A$10,0)-1)*36+8)),INDEX('Cash schedule'!$AG$6:$AG$185,(MATCH($B$5,'Cases'!$A$6:$A$10,0)-1)*36+8),"")</f>
        <v/>
      </c>
      <c r="L42" s="137">
        <f>IF(ISNUMBER(INDEX('Cash schedule'!$AG$6:$AG$185,(MATCH($B$5,'Cases'!$A$6:$A$10,0)-1)*36+9)),INDEX('Cash schedule'!$AG$6:$AG$185,(MATCH($B$5,'Cases'!$A$6:$A$10,0)-1)*36+9),"")</f>
        <v/>
      </c>
      <c r="M42" s="137">
        <f>IF(ISNUMBER(INDEX('Cash schedule'!$AG$6:$AG$185,(MATCH($B$5,'Cases'!$A$6:$A$10,0)-1)*36+10)),INDEX('Cash schedule'!$AG$6:$AG$185,(MATCH($B$5,'Cases'!$A$6:$A$10,0)-1)*36+10),"")</f>
        <v/>
      </c>
      <c r="N42" s="137">
        <f>IF(ISNUMBER(INDEX('Cash schedule'!$AG$6:$AG$185,(MATCH($B$5,'Cases'!$A$6:$A$10,0)-1)*36+11)),INDEX('Cash schedule'!$AG$6:$AG$185,(MATCH($B$5,'Cases'!$A$6:$A$10,0)-1)*36+11),"")</f>
        <v/>
      </c>
      <c r="O42" s="137">
        <f>IF(ISNUMBER(INDEX('Cash schedule'!$AG$6:$AG$185,(MATCH($B$5,'Cases'!$A$6:$A$10,0)-1)*36+12)),INDEX('Cash schedule'!$AG$6:$AG$185,(MATCH($B$5,'Cases'!$A$6:$A$10,0)-1)*36+12),"")</f>
        <v/>
      </c>
      <c r="P42" s="137">
        <f>IF(ISNUMBER(INDEX('Cash schedule'!$AG$6:$AG$185,(MATCH($B$5,'Cases'!$A$6:$A$10,0)-1)*36+13)),INDEX('Cash schedule'!$AG$6:$AG$185,(MATCH($B$5,'Cases'!$A$6:$A$10,0)-1)*36+13),"")</f>
        <v/>
      </c>
      <c r="Q42" s="137">
        <f>IF(ISNUMBER(INDEX('Cash schedule'!$AG$6:$AG$185,(MATCH($B$5,'Cases'!$A$6:$A$10,0)-1)*36+14)),INDEX('Cash schedule'!$AG$6:$AG$185,(MATCH($B$5,'Cases'!$A$6:$A$10,0)-1)*36+14),"")</f>
        <v/>
      </c>
      <c r="R42" s="137">
        <f>IF(ISNUMBER(INDEX('Cash schedule'!$AG$6:$AG$185,(MATCH($B$5,'Cases'!$A$6:$A$10,0)-1)*36+15)),INDEX('Cash schedule'!$AG$6:$AG$185,(MATCH($B$5,'Cases'!$A$6:$A$10,0)-1)*36+15),"")</f>
        <v/>
      </c>
      <c r="S42" s="137">
        <f>IF(ISNUMBER(INDEX('Cash schedule'!$AG$6:$AG$185,(MATCH($B$5,'Cases'!$A$6:$A$10,0)-1)*36+16)),INDEX('Cash schedule'!$AG$6:$AG$185,(MATCH($B$5,'Cases'!$A$6:$A$10,0)-1)*36+16),"")</f>
        <v/>
      </c>
      <c r="T42" s="137">
        <f>IF(ISNUMBER(INDEX('Cash schedule'!$AG$6:$AG$185,(MATCH($B$5,'Cases'!$A$6:$A$10,0)-1)*36+17)),INDEX('Cash schedule'!$AG$6:$AG$185,(MATCH($B$5,'Cases'!$A$6:$A$10,0)-1)*36+17),"")</f>
        <v/>
      </c>
      <c r="U42" s="137">
        <f>IF(ISNUMBER(INDEX('Cash schedule'!$AG$6:$AG$185,(MATCH($B$5,'Cases'!$A$6:$A$10,0)-1)*36+18)),INDEX('Cash schedule'!$AG$6:$AG$185,(MATCH($B$5,'Cases'!$A$6:$A$10,0)-1)*36+18),"")</f>
        <v/>
      </c>
      <c r="V42" s="137">
        <f>IF(ISNUMBER(INDEX('Cash schedule'!$AG$6:$AG$185,(MATCH($B$5,'Cases'!$A$6:$A$10,0)-1)*36+19)),INDEX('Cash schedule'!$AG$6:$AG$185,(MATCH($B$5,'Cases'!$A$6:$A$10,0)-1)*36+19),"")</f>
        <v/>
      </c>
      <c r="W42" s="137">
        <f>IF(ISNUMBER(INDEX('Cash schedule'!$AG$6:$AG$185,(MATCH($B$5,'Cases'!$A$6:$A$10,0)-1)*36+20)),INDEX('Cash schedule'!$AG$6:$AG$185,(MATCH($B$5,'Cases'!$A$6:$A$10,0)-1)*36+20),"")</f>
        <v/>
      </c>
      <c r="X42" s="137">
        <f>IF(ISNUMBER(INDEX('Cash schedule'!$AG$6:$AG$185,(MATCH($B$5,'Cases'!$A$6:$A$10,0)-1)*36+21)),INDEX('Cash schedule'!$AG$6:$AG$185,(MATCH($B$5,'Cases'!$A$6:$A$10,0)-1)*36+21),"")</f>
        <v/>
      </c>
      <c r="Y42" s="137">
        <f>IF(ISNUMBER(INDEX('Cash schedule'!$AG$6:$AG$185,(MATCH($B$5,'Cases'!$A$6:$A$10,0)-1)*36+22)),INDEX('Cash schedule'!$AG$6:$AG$185,(MATCH($B$5,'Cases'!$A$6:$A$10,0)-1)*36+22),"")</f>
        <v/>
      </c>
      <c r="Z42" s="137">
        <f>IF(ISNUMBER(INDEX('Cash schedule'!$AG$6:$AG$185,(MATCH($B$5,'Cases'!$A$6:$A$10,0)-1)*36+23)),INDEX('Cash schedule'!$AG$6:$AG$185,(MATCH($B$5,'Cases'!$A$6:$A$10,0)-1)*36+23),"")</f>
        <v/>
      </c>
      <c r="AA42" s="137">
        <f>IF(ISNUMBER(INDEX('Cash schedule'!$AG$6:$AG$185,(MATCH($B$5,'Cases'!$A$6:$A$10,0)-1)*36+24)),INDEX('Cash schedule'!$AG$6:$AG$185,(MATCH($B$5,'Cases'!$A$6:$A$10,0)-1)*36+24),"")</f>
        <v/>
      </c>
      <c r="AB42" s="137">
        <f>IF(ISNUMBER(INDEX('Cash schedule'!$AG$6:$AG$185,(MATCH($B$5,'Cases'!$A$6:$A$10,0)-1)*36+25)),INDEX('Cash schedule'!$AG$6:$AG$185,(MATCH($B$5,'Cases'!$A$6:$A$10,0)-1)*36+25),"")</f>
        <v/>
      </c>
      <c r="AC42" s="137">
        <f>IF(ISNUMBER(INDEX('Cash schedule'!$AG$6:$AG$185,(MATCH($B$5,'Cases'!$A$6:$A$10,0)-1)*36+26)),INDEX('Cash schedule'!$AG$6:$AG$185,(MATCH($B$5,'Cases'!$A$6:$A$10,0)-1)*36+26),"")</f>
        <v/>
      </c>
      <c r="AD42" s="137">
        <f>IF(ISNUMBER(INDEX('Cash schedule'!$AG$6:$AG$185,(MATCH($B$5,'Cases'!$A$6:$A$10,0)-1)*36+27)),INDEX('Cash schedule'!$AG$6:$AG$185,(MATCH($B$5,'Cases'!$A$6:$A$10,0)-1)*36+27),"")</f>
        <v/>
      </c>
      <c r="AE42" s="137">
        <f>IF(ISNUMBER(INDEX('Cash schedule'!$AG$6:$AG$185,(MATCH($B$5,'Cases'!$A$6:$A$10,0)-1)*36+28)),INDEX('Cash schedule'!$AG$6:$AG$185,(MATCH($B$5,'Cases'!$A$6:$A$10,0)-1)*36+28),"")</f>
        <v/>
      </c>
      <c r="AF42" s="137">
        <f>IF(ISNUMBER(INDEX('Cash schedule'!$AG$6:$AG$185,(MATCH($B$5,'Cases'!$A$6:$A$10,0)-1)*36+29)),INDEX('Cash schedule'!$AG$6:$AG$185,(MATCH($B$5,'Cases'!$A$6:$A$10,0)-1)*36+29),"")</f>
        <v/>
      </c>
      <c r="AG42" s="137">
        <f>IF(ISNUMBER(INDEX('Cash schedule'!$AG$6:$AG$185,(MATCH($B$5,'Cases'!$A$6:$A$10,0)-1)*36+30)),INDEX('Cash schedule'!$AG$6:$AG$185,(MATCH($B$5,'Cases'!$A$6:$A$10,0)-1)*36+30),"")</f>
        <v/>
      </c>
      <c r="AH42" s="137">
        <f>IF(ISNUMBER(INDEX('Cash schedule'!$AG$6:$AG$185,(MATCH($B$5,'Cases'!$A$6:$A$10,0)-1)*36+31)),INDEX('Cash schedule'!$AG$6:$AG$185,(MATCH($B$5,'Cases'!$A$6:$A$10,0)-1)*36+31),"")</f>
        <v/>
      </c>
      <c r="AI42" s="137">
        <f>IF(ISNUMBER(INDEX('Cash schedule'!$AG$6:$AG$185,(MATCH($B$5,'Cases'!$A$6:$A$10,0)-1)*36+32)),INDEX('Cash schedule'!$AG$6:$AG$185,(MATCH($B$5,'Cases'!$A$6:$A$10,0)-1)*36+32),"")</f>
        <v/>
      </c>
      <c r="AJ42" s="137">
        <f>IF(ISNUMBER(INDEX('Cash schedule'!$AG$6:$AG$185,(MATCH($B$5,'Cases'!$A$6:$A$10,0)-1)*36+33)),INDEX('Cash schedule'!$AG$6:$AG$185,(MATCH($B$5,'Cases'!$A$6:$A$10,0)-1)*36+33),"")</f>
        <v/>
      </c>
      <c r="AK42" s="137">
        <f>IF(ISNUMBER(INDEX('Cash schedule'!$AG$6:$AG$185,(MATCH($B$5,'Cases'!$A$6:$A$10,0)-1)*36+34)),INDEX('Cash schedule'!$AG$6:$AG$185,(MATCH($B$5,'Cases'!$A$6:$A$10,0)-1)*36+34),"")</f>
        <v/>
      </c>
      <c r="AL42" s="137">
        <f>IF(ISNUMBER(INDEX('Cash schedule'!$AG$6:$AG$185,(MATCH($B$5,'Cases'!$A$6:$A$10,0)-1)*36+35)),INDEX('Cash schedule'!$AG$6:$AG$185,(MATCH($B$5,'Cases'!$A$6:$A$10,0)-1)*36+35),"")</f>
        <v/>
      </c>
      <c r="AM42" s="137">
        <f>IF(ISNUMBER(INDEX('Cash schedule'!$AG$6:$AG$185,(MATCH($B$5,'Cases'!$A$6:$A$10,0)-1)*36+36)),INDEX('Cash schedule'!$AG$6:$AG$185,(MATCH($B$5,'Cases'!$A$6:$A$10,0)-1)*36+36),"")</f>
        <v/>
      </c>
    </row>
    <row r="43" ht="28" customHeight="1">
      <c r="A43" s="4" t="inlineStr">
        <is>
          <t>Other cash cost</t>
        </is>
      </c>
      <c r="B43" s="4" t="n"/>
      <c r="C43" s="4" t="n"/>
      <c r="D43" s="137">
        <f>IF(ISNUMBER(INDEX('Cash schedule'!$AH$6:$AH$185,(MATCH($B$5,'Cases'!$A$6:$A$10,0)-1)*36+1)),INDEX('Cash schedule'!$AH$6:$AH$185,(MATCH($B$5,'Cases'!$A$6:$A$10,0)-1)*36+1),"")</f>
        <v/>
      </c>
      <c r="E43" s="137">
        <f>IF(ISNUMBER(INDEX('Cash schedule'!$AH$6:$AH$185,(MATCH($B$5,'Cases'!$A$6:$A$10,0)-1)*36+2)),INDEX('Cash schedule'!$AH$6:$AH$185,(MATCH($B$5,'Cases'!$A$6:$A$10,0)-1)*36+2),"")</f>
        <v/>
      </c>
      <c r="F43" s="137">
        <f>IF(ISNUMBER(INDEX('Cash schedule'!$AH$6:$AH$185,(MATCH($B$5,'Cases'!$A$6:$A$10,0)-1)*36+3)),INDEX('Cash schedule'!$AH$6:$AH$185,(MATCH($B$5,'Cases'!$A$6:$A$10,0)-1)*36+3),"")</f>
        <v/>
      </c>
      <c r="G43" s="137">
        <f>IF(ISNUMBER(INDEX('Cash schedule'!$AH$6:$AH$185,(MATCH($B$5,'Cases'!$A$6:$A$10,0)-1)*36+4)),INDEX('Cash schedule'!$AH$6:$AH$185,(MATCH($B$5,'Cases'!$A$6:$A$10,0)-1)*36+4),"")</f>
        <v/>
      </c>
      <c r="H43" s="137">
        <f>IF(ISNUMBER(INDEX('Cash schedule'!$AH$6:$AH$185,(MATCH($B$5,'Cases'!$A$6:$A$10,0)-1)*36+5)),INDEX('Cash schedule'!$AH$6:$AH$185,(MATCH($B$5,'Cases'!$A$6:$A$10,0)-1)*36+5),"")</f>
        <v/>
      </c>
      <c r="I43" s="137">
        <f>IF(ISNUMBER(INDEX('Cash schedule'!$AH$6:$AH$185,(MATCH($B$5,'Cases'!$A$6:$A$10,0)-1)*36+6)),INDEX('Cash schedule'!$AH$6:$AH$185,(MATCH($B$5,'Cases'!$A$6:$A$10,0)-1)*36+6),"")</f>
        <v/>
      </c>
      <c r="J43" s="137">
        <f>IF(ISNUMBER(INDEX('Cash schedule'!$AH$6:$AH$185,(MATCH($B$5,'Cases'!$A$6:$A$10,0)-1)*36+7)),INDEX('Cash schedule'!$AH$6:$AH$185,(MATCH($B$5,'Cases'!$A$6:$A$10,0)-1)*36+7),"")</f>
        <v/>
      </c>
      <c r="K43" s="137">
        <f>IF(ISNUMBER(INDEX('Cash schedule'!$AH$6:$AH$185,(MATCH($B$5,'Cases'!$A$6:$A$10,0)-1)*36+8)),INDEX('Cash schedule'!$AH$6:$AH$185,(MATCH($B$5,'Cases'!$A$6:$A$10,0)-1)*36+8),"")</f>
        <v/>
      </c>
      <c r="L43" s="137">
        <f>IF(ISNUMBER(INDEX('Cash schedule'!$AH$6:$AH$185,(MATCH($B$5,'Cases'!$A$6:$A$10,0)-1)*36+9)),INDEX('Cash schedule'!$AH$6:$AH$185,(MATCH($B$5,'Cases'!$A$6:$A$10,0)-1)*36+9),"")</f>
        <v/>
      </c>
      <c r="M43" s="137">
        <f>IF(ISNUMBER(INDEX('Cash schedule'!$AH$6:$AH$185,(MATCH($B$5,'Cases'!$A$6:$A$10,0)-1)*36+10)),INDEX('Cash schedule'!$AH$6:$AH$185,(MATCH($B$5,'Cases'!$A$6:$A$10,0)-1)*36+10),"")</f>
        <v/>
      </c>
      <c r="N43" s="137">
        <f>IF(ISNUMBER(INDEX('Cash schedule'!$AH$6:$AH$185,(MATCH($B$5,'Cases'!$A$6:$A$10,0)-1)*36+11)),INDEX('Cash schedule'!$AH$6:$AH$185,(MATCH($B$5,'Cases'!$A$6:$A$10,0)-1)*36+11),"")</f>
        <v/>
      </c>
      <c r="O43" s="137">
        <f>IF(ISNUMBER(INDEX('Cash schedule'!$AH$6:$AH$185,(MATCH($B$5,'Cases'!$A$6:$A$10,0)-1)*36+12)),INDEX('Cash schedule'!$AH$6:$AH$185,(MATCH($B$5,'Cases'!$A$6:$A$10,0)-1)*36+12),"")</f>
        <v/>
      </c>
      <c r="P43" s="137">
        <f>IF(ISNUMBER(INDEX('Cash schedule'!$AH$6:$AH$185,(MATCH($B$5,'Cases'!$A$6:$A$10,0)-1)*36+13)),INDEX('Cash schedule'!$AH$6:$AH$185,(MATCH($B$5,'Cases'!$A$6:$A$10,0)-1)*36+13),"")</f>
        <v/>
      </c>
      <c r="Q43" s="137">
        <f>IF(ISNUMBER(INDEX('Cash schedule'!$AH$6:$AH$185,(MATCH($B$5,'Cases'!$A$6:$A$10,0)-1)*36+14)),INDEX('Cash schedule'!$AH$6:$AH$185,(MATCH($B$5,'Cases'!$A$6:$A$10,0)-1)*36+14),"")</f>
        <v/>
      </c>
      <c r="R43" s="137">
        <f>IF(ISNUMBER(INDEX('Cash schedule'!$AH$6:$AH$185,(MATCH($B$5,'Cases'!$A$6:$A$10,0)-1)*36+15)),INDEX('Cash schedule'!$AH$6:$AH$185,(MATCH($B$5,'Cases'!$A$6:$A$10,0)-1)*36+15),"")</f>
        <v/>
      </c>
      <c r="S43" s="137">
        <f>IF(ISNUMBER(INDEX('Cash schedule'!$AH$6:$AH$185,(MATCH($B$5,'Cases'!$A$6:$A$10,0)-1)*36+16)),INDEX('Cash schedule'!$AH$6:$AH$185,(MATCH($B$5,'Cases'!$A$6:$A$10,0)-1)*36+16),"")</f>
        <v/>
      </c>
      <c r="T43" s="137">
        <f>IF(ISNUMBER(INDEX('Cash schedule'!$AH$6:$AH$185,(MATCH($B$5,'Cases'!$A$6:$A$10,0)-1)*36+17)),INDEX('Cash schedule'!$AH$6:$AH$185,(MATCH($B$5,'Cases'!$A$6:$A$10,0)-1)*36+17),"")</f>
        <v/>
      </c>
      <c r="U43" s="137">
        <f>IF(ISNUMBER(INDEX('Cash schedule'!$AH$6:$AH$185,(MATCH($B$5,'Cases'!$A$6:$A$10,0)-1)*36+18)),INDEX('Cash schedule'!$AH$6:$AH$185,(MATCH($B$5,'Cases'!$A$6:$A$10,0)-1)*36+18),"")</f>
        <v/>
      </c>
      <c r="V43" s="137">
        <f>IF(ISNUMBER(INDEX('Cash schedule'!$AH$6:$AH$185,(MATCH($B$5,'Cases'!$A$6:$A$10,0)-1)*36+19)),INDEX('Cash schedule'!$AH$6:$AH$185,(MATCH($B$5,'Cases'!$A$6:$A$10,0)-1)*36+19),"")</f>
        <v/>
      </c>
      <c r="W43" s="137">
        <f>IF(ISNUMBER(INDEX('Cash schedule'!$AH$6:$AH$185,(MATCH($B$5,'Cases'!$A$6:$A$10,0)-1)*36+20)),INDEX('Cash schedule'!$AH$6:$AH$185,(MATCH($B$5,'Cases'!$A$6:$A$10,0)-1)*36+20),"")</f>
        <v/>
      </c>
      <c r="X43" s="137">
        <f>IF(ISNUMBER(INDEX('Cash schedule'!$AH$6:$AH$185,(MATCH($B$5,'Cases'!$A$6:$A$10,0)-1)*36+21)),INDEX('Cash schedule'!$AH$6:$AH$185,(MATCH($B$5,'Cases'!$A$6:$A$10,0)-1)*36+21),"")</f>
        <v/>
      </c>
      <c r="Y43" s="137">
        <f>IF(ISNUMBER(INDEX('Cash schedule'!$AH$6:$AH$185,(MATCH($B$5,'Cases'!$A$6:$A$10,0)-1)*36+22)),INDEX('Cash schedule'!$AH$6:$AH$185,(MATCH($B$5,'Cases'!$A$6:$A$10,0)-1)*36+22),"")</f>
        <v/>
      </c>
      <c r="Z43" s="137">
        <f>IF(ISNUMBER(INDEX('Cash schedule'!$AH$6:$AH$185,(MATCH($B$5,'Cases'!$A$6:$A$10,0)-1)*36+23)),INDEX('Cash schedule'!$AH$6:$AH$185,(MATCH($B$5,'Cases'!$A$6:$A$10,0)-1)*36+23),"")</f>
        <v/>
      </c>
      <c r="AA43" s="137">
        <f>IF(ISNUMBER(INDEX('Cash schedule'!$AH$6:$AH$185,(MATCH($B$5,'Cases'!$A$6:$A$10,0)-1)*36+24)),INDEX('Cash schedule'!$AH$6:$AH$185,(MATCH($B$5,'Cases'!$A$6:$A$10,0)-1)*36+24),"")</f>
        <v/>
      </c>
      <c r="AB43" s="137">
        <f>IF(ISNUMBER(INDEX('Cash schedule'!$AH$6:$AH$185,(MATCH($B$5,'Cases'!$A$6:$A$10,0)-1)*36+25)),INDEX('Cash schedule'!$AH$6:$AH$185,(MATCH($B$5,'Cases'!$A$6:$A$10,0)-1)*36+25),"")</f>
        <v/>
      </c>
      <c r="AC43" s="137">
        <f>IF(ISNUMBER(INDEX('Cash schedule'!$AH$6:$AH$185,(MATCH($B$5,'Cases'!$A$6:$A$10,0)-1)*36+26)),INDEX('Cash schedule'!$AH$6:$AH$185,(MATCH($B$5,'Cases'!$A$6:$A$10,0)-1)*36+26),"")</f>
        <v/>
      </c>
      <c r="AD43" s="137">
        <f>IF(ISNUMBER(INDEX('Cash schedule'!$AH$6:$AH$185,(MATCH($B$5,'Cases'!$A$6:$A$10,0)-1)*36+27)),INDEX('Cash schedule'!$AH$6:$AH$185,(MATCH($B$5,'Cases'!$A$6:$A$10,0)-1)*36+27),"")</f>
        <v/>
      </c>
      <c r="AE43" s="137">
        <f>IF(ISNUMBER(INDEX('Cash schedule'!$AH$6:$AH$185,(MATCH($B$5,'Cases'!$A$6:$A$10,0)-1)*36+28)),INDEX('Cash schedule'!$AH$6:$AH$185,(MATCH($B$5,'Cases'!$A$6:$A$10,0)-1)*36+28),"")</f>
        <v/>
      </c>
      <c r="AF43" s="137">
        <f>IF(ISNUMBER(INDEX('Cash schedule'!$AH$6:$AH$185,(MATCH($B$5,'Cases'!$A$6:$A$10,0)-1)*36+29)),INDEX('Cash schedule'!$AH$6:$AH$185,(MATCH($B$5,'Cases'!$A$6:$A$10,0)-1)*36+29),"")</f>
        <v/>
      </c>
      <c r="AG43" s="137">
        <f>IF(ISNUMBER(INDEX('Cash schedule'!$AH$6:$AH$185,(MATCH($B$5,'Cases'!$A$6:$A$10,0)-1)*36+30)),INDEX('Cash schedule'!$AH$6:$AH$185,(MATCH($B$5,'Cases'!$A$6:$A$10,0)-1)*36+30),"")</f>
        <v/>
      </c>
      <c r="AH43" s="137">
        <f>IF(ISNUMBER(INDEX('Cash schedule'!$AH$6:$AH$185,(MATCH($B$5,'Cases'!$A$6:$A$10,0)-1)*36+31)),INDEX('Cash schedule'!$AH$6:$AH$185,(MATCH($B$5,'Cases'!$A$6:$A$10,0)-1)*36+31),"")</f>
        <v/>
      </c>
      <c r="AI43" s="137">
        <f>IF(ISNUMBER(INDEX('Cash schedule'!$AH$6:$AH$185,(MATCH($B$5,'Cases'!$A$6:$A$10,0)-1)*36+32)),INDEX('Cash schedule'!$AH$6:$AH$185,(MATCH($B$5,'Cases'!$A$6:$A$10,0)-1)*36+32),"")</f>
        <v/>
      </c>
      <c r="AJ43" s="137">
        <f>IF(ISNUMBER(INDEX('Cash schedule'!$AH$6:$AH$185,(MATCH($B$5,'Cases'!$A$6:$A$10,0)-1)*36+33)),INDEX('Cash schedule'!$AH$6:$AH$185,(MATCH($B$5,'Cases'!$A$6:$A$10,0)-1)*36+33),"")</f>
        <v/>
      </c>
      <c r="AK43" s="137">
        <f>IF(ISNUMBER(INDEX('Cash schedule'!$AH$6:$AH$185,(MATCH($B$5,'Cases'!$A$6:$A$10,0)-1)*36+34)),INDEX('Cash schedule'!$AH$6:$AH$185,(MATCH($B$5,'Cases'!$A$6:$A$10,0)-1)*36+34),"")</f>
        <v/>
      </c>
      <c r="AL43" s="137">
        <f>IF(ISNUMBER(INDEX('Cash schedule'!$AH$6:$AH$185,(MATCH($B$5,'Cases'!$A$6:$A$10,0)-1)*36+35)),INDEX('Cash schedule'!$AH$6:$AH$185,(MATCH($B$5,'Cases'!$A$6:$A$10,0)-1)*36+35),"")</f>
        <v/>
      </c>
      <c r="AM43" s="137">
        <f>IF(ISNUMBER(INDEX('Cash schedule'!$AH$6:$AH$185,(MATCH($B$5,'Cases'!$A$6:$A$10,0)-1)*36+36)),INDEX('Cash schedule'!$AH$6:$AH$185,(MATCH($B$5,'Cases'!$A$6:$A$10,0)-1)*36+36),"")</f>
        <v/>
      </c>
    </row>
    <row r="44" ht="28" customHeight="1">
      <c r="A44" s="4" t="inlineStr">
        <is>
          <t>Other liabilities paid</t>
        </is>
      </c>
      <c r="B44" s="4" t="n"/>
      <c r="C44" s="4" t="n"/>
      <c r="D44" s="137">
        <f>IF(ISNUMBER(INDEX('Cash schedule'!$AI$6:$AI$185,(MATCH($B$5,'Cases'!$A$6:$A$10,0)-1)*36+1)),INDEX('Cash schedule'!$AI$6:$AI$185,(MATCH($B$5,'Cases'!$A$6:$A$10,0)-1)*36+1),"")</f>
        <v/>
      </c>
      <c r="E44" s="137">
        <f>IF(ISNUMBER(INDEX('Cash schedule'!$AI$6:$AI$185,(MATCH($B$5,'Cases'!$A$6:$A$10,0)-1)*36+2)),INDEX('Cash schedule'!$AI$6:$AI$185,(MATCH($B$5,'Cases'!$A$6:$A$10,0)-1)*36+2),"")</f>
        <v/>
      </c>
      <c r="F44" s="137">
        <f>IF(ISNUMBER(INDEX('Cash schedule'!$AI$6:$AI$185,(MATCH($B$5,'Cases'!$A$6:$A$10,0)-1)*36+3)),INDEX('Cash schedule'!$AI$6:$AI$185,(MATCH($B$5,'Cases'!$A$6:$A$10,0)-1)*36+3),"")</f>
        <v/>
      </c>
      <c r="G44" s="137">
        <f>IF(ISNUMBER(INDEX('Cash schedule'!$AI$6:$AI$185,(MATCH($B$5,'Cases'!$A$6:$A$10,0)-1)*36+4)),INDEX('Cash schedule'!$AI$6:$AI$185,(MATCH($B$5,'Cases'!$A$6:$A$10,0)-1)*36+4),"")</f>
        <v/>
      </c>
      <c r="H44" s="137">
        <f>IF(ISNUMBER(INDEX('Cash schedule'!$AI$6:$AI$185,(MATCH($B$5,'Cases'!$A$6:$A$10,0)-1)*36+5)),INDEX('Cash schedule'!$AI$6:$AI$185,(MATCH($B$5,'Cases'!$A$6:$A$10,0)-1)*36+5),"")</f>
        <v/>
      </c>
      <c r="I44" s="137">
        <f>IF(ISNUMBER(INDEX('Cash schedule'!$AI$6:$AI$185,(MATCH($B$5,'Cases'!$A$6:$A$10,0)-1)*36+6)),INDEX('Cash schedule'!$AI$6:$AI$185,(MATCH($B$5,'Cases'!$A$6:$A$10,0)-1)*36+6),"")</f>
        <v/>
      </c>
      <c r="J44" s="137">
        <f>IF(ISNUMBER(INDEX('Cash schedule'!$AI$6:$AI$185,(MATCH($B$5,'Cases'!$A$6:$A$10,0)-1)*36+7)),INDEX('Cash schedule'!$AI$6:$AI$185,(MATCH($B$5,'Cases'!$A$6:$A$10,0)-1)*36+7),"")</f>
        <v/>
      </c>
      <c r="K44" s="137">
        <f>IF(ISNUMBER(INDEX('Cash schedule'!$AI$6:$AI$185,(MATCH($B$5,'Cases'!$A$6:$A$10,0)-1)*36+8)),INDEX('Cash schedule'!$AI$6:$AI$185,(MATCH($B$5,'Cases'!$A$6:$A$10,0)-1)*36+8),"")</f>
        <v/>
      </c>
      <c r="L44" s="137">
        <f>IF(ISNUMBER(INDEX('Cash schedule'!$AI$6:$AI$185,(MATCH($B$5,'Cases'!$A$6:$A$10,0)-1)*36+9)),INDEX('Cash schedule'!$AI$6:$AI$185,(MATCH($B$5,'Cases'!$A$6:$A$10,0)-1)*36+9),"")</f>
        <v/>
      </c>
      <c r="M44" s="137">
        <f>IF(ISNUMBER(INDEX('Cash schedule'!$AI$6:$AI$185,(MATCH($B$5,'Cases'!$A$6:$A$10,0)-1)*36+10)),INDEX('Cash schedule'!$AI$6:$AI$185,(MATCH($B$5,'Cases'!$A$6:$A$10,0)-1)*36+10),"")</f>
        <v/>
      </c>
      <c r="N44" s="137">
        <f>IF(ISNUMBER(INDEX('Cash schedule'!$AI$6:$AI$185,(MATCH($B$5,'Cases'!$A$6:$A$10,0)-1)*36+11)),INDEX('Cash schedule'!$AI$6:$AI$185,(MATCH($B$5,'Cases'!$A$6:$A$10,0)-1)*36+11),"")</f>
        <v/>
      </c>
      <c r="O44" s="137">
        <f>IF(ISNUMBER(INDEX('Cash schedule'!$AI$6:$AI$185,(MATCH($B$5,'Cases'!$A$6:$A$10,0)-1)*36+12)),INDEX('Cash schedule'!$AI$6:$AI$185,(MATCH($B$5,'Cases'!$A$6:$A$10,0)-1)*36+12),"")</f>
        <v/>
      </c>
      <c r="P44" s="137">
        <f>IF(ISNUMBER(INDEX('Cash schedule'!$AI$6:$AI$185,(MATCH($B$5,'Cases'!$A$6:$A$10,0)-1)*36+13)),INDEX('Cash schedule'!$AI$6:$AI$185,(MATCH($B$5,'Cases'!$A$6:$A$10,0)-1)*36+13),"")</f>
        <v/>
      </c>
      <c r="Q44" s="137">
        <f>IF(ISNUMBER(INDEX('Cash schedule'!$AI$6:$AI$185,(MATCH($B$5,'Cases'!$A$6:$A$10,0)-1)*36+14)),INDEX('Cash schedule'!$AI$6:$AI$185,(MATCH($B$5,'Cases'!$A$6:$A$10,0)-1)*36+14),"")</f>
        <v/>
      </c>
      <c r="R44" s="137">
        <f>IF(ISNUMBER(INDEX('Cash schedule'!$AI$6:$AI$185,(MATCH($B$5,'Cases'!$A$6:$A$10,0)-1)*36+15)),INDEX('Cash schedule'!$AI$6:$AI$185,(MATCH($B$5,'Cases'!$A$6:$A$10,0)-1)*36+15),"")</f>
        <v/>
      </c>
      <c r="S44" s="137">
        <f>IF(ISNUMBER(INDEX('Cash schedule'!$AI$6:$AI$185,(MATCH($B$5,'Cases'!$A$6:$A$10,0)-1)*36+16)),INDEX('Cash schedule'!$AI$6:$AI$185,(MATCH($B$5,'Cases'!$A$6:$A$10,0)-1)*36+16),"")</f>
        <v/>
      </c>
      <c r="T44" s="137">
        <f>IF(ISNUMBER(INDEX('Cash schedule'!$AI$6:$AI$185,(MATCH($B$5,'Cases'!$A$6:$A$10,0)-1)*36+17)),INDEX('Cash schedule'!$AI$6:$AI$185,(MATCH($B$5,'Cases'!$A$6:$A$10,0)-1)*36+17),"")</f>
        <v/>
      </c>
      <c r="U44" s="137">
        <f>IF(ISNUMBER(INDEX('Cash schedule'!$AI$6:$AI$185,(MATCH($B$5,'Cases'!$A$6:$A$10,0)-1)*36+18)),INDEX('Cash schedule'!$AI$6:$AI$185,(MATCH($B$5,'Cases'!$A$6:$A$10,0)-1)*36+18),"")</f>
        <v/>
      </c>
      <c r="V44" s="137">
        <f>IF(ISNUMBER(INDEX('Cash schedule'!$AI$6:$AI$185,(MATCH($B$5,'Cases'!$A$6:$A$10,0)-1)*36+19)),INDEX('Cash schedule'!$AI$6:$AI$185,(MATCH($B$5,'Cases'!$A$6:$A$10,0)-1)*36+19),"")</f>
        <v/>
      </c>
      <c r="W44" s="137">
        <f>IF(ISNUMBER(INDEX('Cash schedule'!$AI$6:$AI$185,(MATCH($B$5,'Cases'!$A$6:$A$10,0)-1)*36+20)),INDEX('Cash schedule'!$AI$6:$AI$185,(MATCH($B$5,'Cases'!$A$6:$A$10,0)-1)*36+20),"")</f>
        <v/>
      </c>
      <c r="X44" s="137">
        <f>IF(ISNUMBER(INDEX('Cash schedule'!$AI$6:$AI$185,(MATCH($B$5,'Cases'!$A$6:$A$10,0)-1)*36+21)),INDEX('Cash schedule'!$AI$6:$AI$185,(MATCH($B$5,'Cases'!$A$6:$A$10,0)-1)*36+21),"")</f>
        <v/>
      </c>
      <c r="Y44" s="137">
        <f>IF(ISNUMBER(INDEX('Cash schedule'!$AI$6:$AI$185,(MATCH($B$5,'Cases'!$A$6:$A$10,0)-1)*36+22)),INDEX('Cash schedule'!$AI$6:$AI$185,(MATCH($B$5,'Cases'!$A$6:$A$10,0)-1)*36+22),"")</f>
        <v/>
      </c>
      <c r="Z44" s="137">
        <f>IF(ISNUMBER(INDEX('Cash schedule'!$AI$6:$AI$185,(MATCH($B$5,'Cases'!$A$6:$A$10,0)-1)*36+23)),INDEX('Cash schedule'!$AI$6:$AI$185,(MATCH($B$5,'Cases'!$A$6:$A$10,0)-1)*36+23),"")</f>
        <v/>
      </c>
      <c r="AA44" s="137">
        <f>IF(ISNUMBER(INDEX('Cash schedule'!$AI$6:$AI$185,(MATCH($B$5,'Cases'!$A$6:$A$10,0)-1)*36+24)),INDEX('Cash schedule'!$AI$6:$AI$185,(MATCH($B$5,'Cases'!$A$6:$A$10,0)-1)*36+24),"")</f>
        <v/>
      </c>
      <c r="AB44" s="137">
        <f>IF(ISNUMBER(INDEX('Cash schedule'!$AI$6:$AI$185,(MATCH($B$5,'Cases'!$A$6:$A$10,0)-1)*36+25)),INDEX('Cash schedule'!$AI$6:$AI$185,(MATCH($B$5,'Cases'!$A$6:$A$10,0)-1)*36+25),"")</f>
        <v/>
      </c>
      <c r="AC44" s="137">
        <f>IF(ISNUMBER(INDEX('Cash schedule'!$AI$6:$AI$185,(MATCH($B$5,'Cases'!$A$6:$A$10,0)-1)*36+26)),INDEX('Cash schedule'!$AI$6:$AI$185,(MATCH($B$5,'Cases'!$A$6:$A$10,0)-1)*36+26),"")</f>
        <v/>
      </c>
      <c r="AD44" s="137">
        <f>IF(ISNUMBER(INDEX('Cash schedule'!$AI$6:$AI$185,(MATCH($B$5,'Cases'!$A$6:$A$10,0)-1)*36+27)),INDEX('Cash schedule'!$AI$6:$AI$185,(MATCH($B$5,'Cases'!$A$6:$A$10,0)-1)*36+27),"")</f>
        <v/>
      </c>
      <c r="AE44" s="137">
        <f>IF(ISNUMBER(INDEX('Cash schedule'!$AI$6:$AI$185,(MATCH($B$5,'Cases'!$A$6:$A$10,0)-1)*36+28)),INDEX('Cash schedule'!$AI$6:$AI$185,(MATCH($B$5,'Cases'!$A$6:$A$10,0)-1)*36+28),"")</f>
        <v/>
      </c>
      <c r="AF44" s="137">
        <f>IF(ISNUMBER(INDEX('Cash schedule'!$AI$6:$AI$185,(MATCH($B$5,'Cases'!$A$6:$A$10,0)-1)*36+29)),INDEX('Cash schedule'!$AI$6:$AI$185,(MATCH($B$5,'Cases'!$A$6:$A$10,0)-1)*36+29),"")</f>
        <v/>
      </c>
      <c r="AG44" s="137">
        <f>IF(ISNUMBER(INDEX('Cash schedule'!$AI$6:$AI$185,(MATCH($B$5,'Cases'!$A$6:$A$10,0)-1)*36+30)),INDEX('Cash schedule'!$AI$6:$AI$185,(MATCH($B$5,'Cases'!$A$6:$A$10,0)-1)*36+30),"")</f>
        <v/>
      </c>
      <c r="AH44" s="137">
        <f>IF(ISNUMBER(INDEX('Cash schedule'!$AI$6:$AI$185,(MATCH($B$5,'Cases'!$A$6:$A$10,0)-1)*36+31)),INDEX('Cash schedule'!$AI$6:$AI$185,(MATCH($B$5,'Cases'!$A$6:$A$10,0)-1)*36+31),"")</f>
        <v/>
      </c>
      <c r="AI44" s="137">
        <f>IF(ISNUMBER(INDEX('Cash schedule'!$AI$6:$AI$185,(MATCH($B$5,'Cases'!$A$6:$A$10,0)-1)*36+32)),INDEX('Cash schedule'!$AI$6:$AI$185,(MATCH($B$5,'Cases'!$A$6:$A$10,0)-1)*36+32),"")</f>
        <v/>
      </c>
      <c r="AJ44" s="137">
        <f>IF(ISNUMBER(INDEX('Cash schedule'!$AI$6:$AI$185,(MATCH($B$5,'Cases'!$A$6:$A$10,0)-1)*36+33)),INDEX('Cash schedule'!$AI$6:$AI$185,(MATCH($B$5,'Cases'!$A$6:$A$10,0)-1)*36+33),"")</f>
        <v/>
      </c>
      <c r="AK44" s="137">
        <f>IF(ISNUMBER(INDEX('Cash schedule'!$AI$6:$AI$185,(MATCH($B$5,'Cases'!$A$6:$A$10,0)-1)*36+34)),INDEX('Cash schedule'!$AI$6:$AI$185,(MATCH($B$5,'Cases'!$A$6:$A$10,0)-1)*36+34),"")</f>
        <v/>
      </c>
      <c r="AL44" s="137">
        <f>IF(ISNUMBER(INDEX('Cash schedule'!$AI$6:$AI$185,(MATCH($B$5,'Cases'!$A$6:$A$10,0)-1)*36+35)),INDEX('Cash schedule'!$AI$6:$AI$185,(MATCH($B$5,'Cases'!$A$6:$A$10,0)-1)*36+35),"")</f>
        <v/>
      </c>
      <c r="AM44" s="137">
        <f>IF(ISNUMBER(INDEX('Cash schedule'!$AI$6:$AI$185,(MATCH($B$5,'Cases'!$A$6:$A$10,0)-1)*36+36)),INDEX('Cash schedule'!$AI$6:$AI$185,(MATCH($B$5,'Cases'!$A$6:$A$10,0)-1)*36+36),"")</f>
        <v/>
      </c>
    </row>
    <row r="45" ht="28" customHeight="1">
      <c r="A45" s="4" t="n"/>
      <c r="B45" s="4" t="n"/>
      <c r="C45" s="4" t="n"/>
      <c r="D45" s="137" t="n"/>
      <c r="E45" s="137" t="n"/>
      <c r="F45" s="137" t="n"/>
      <c r="G45" s="137" t="n"/>
      <c r="H45" s="137" t="n"/>
      <c r="I45" s="137" t="n"/>
      <c r="J45" s="137" t="n"/>
      <c r="K45" s="137" t="n"/>
      <c r="L45" s="137" t="n"/>
      <c r="M45" s="137" t="n"/>
      <c r="N45" s="137" t="n"/>
      <c r="O45" s="137" t="n"/>
      <c r="P45" s="137" t="n"/>
      <c r="Q45" s="137" t="n"/>
      <c r="R45" s="137" t="n"/>
      <c r="S45" s="137" t="n"/>
      <c r="T45" s="137" t="n"/>
      <c r="U45" s="137" t="n"/>
      <c r="V45" s="137" t="n"/>
      <c r="W45" s="137" t="n"/>
      <c r="X45" s="137" t="n"/>
      <c r="Y45" s="137" t="n"/>
      <c r="Z45" s="137" t="n"/>
      <c r="AA45" s="137" t="n"/>
      <c r="AB45" s="137" t="n"/>
      <c r="AC45" s="137" t="n"/>
      <c r="AD45" s="137" t="n"/>
      <c r="AE45" s="137" t="n"/>
      <c r="AF45" s="137" t="n"/>
      <c r="AG45" s="137" t="n"/>
      <c r="AH45" s="137" t="n"/>
      <c r="AI45" s="137" t="n"/>
      <c r="AJ45" s="137" t="n"/>
      <c r="AK45" s="137" t="n"/>
      <c r="AL45" s="137" t="n"/>
      <c r="AM45" s="137" t="n"/>
    </row>
    <row r="46" ht="36" customHeight="1">
      <c r="A46" s="8" t="inlineStr">
        <is>
          <t>Cash position</t>
        </is>
      </c>
      <c r="B46" s="8" t="n"/>
      <c r="C46" s="8" t="n"/>
      <c r="D46" s="140" t="n"/>
      <c r="E46" s="140" t="n"/>
      <c r="F46" s="140"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c r="AA46" s="140" t="n"/>
      <c r="AB46" s="140" t="n"/>
      <c r="AC46" s="140" t="n"/>
      <c r="AD46" s="140" t="n"/>
      <c r="AE46" s="140" t="n"/>
      <c r="AF46" s="140" t="n"/>
      <c r="AG46" s="140" t="n"/>
      <c r="AH46" s="140" t="n"/>
      <c r="AI46" s="140" t="n"/>
      <c r="AJ46" s="140" t="n"/>
      <c r="AK46" s="140" t="n"/>
      <c r="AL46" s="140" t="n"/>
      <c r="AM46" s="140" t="n"/>
    </row>
    <row r="47" ht="28" customHeight="1">
      <c r="A47" s="4" t="inlineStr">
        <is>
          <t>Net cash movement</t>
        </is>
      </c>
      <c r="B47" s="4" t="n"/>
      <c r="C47" s="4" t="n"/>
      <c r="D47" s="137">
        <f>IF(ISNUMBER(INDEX('Cash schedule'!$AJ$6:$AJ$185,(MATCH($B$5,'Cases'!$A$6:$A$10,0)-1)*36+1)),INDEX('Cash schedule'!$AJ$6:$AJ$185,(MATCH($B$5,'Cases'!$A$6:$A$10,0)-1)*36+1),"")</f>
        <v/>
      </c>
      <c r="E47" s="137">
        <f>IF(ISNUMBER(INDEX('Cash schedule'!$AJ$6:$AJ$185,(MATCH($B$5,'Cases'!$A$6:$A$10,0)-1)*36+2)),INDEX('Cash schedule'!$AJ$6:$AJ$185,(MATCH($B$5,'Cases'!$A$6:$A$10,0)-1)*36+2),"")</f>
        <v/>
      </c>
      <c r="F47" s="137">
        <f>IF(ISNUMBER(INDEX('Cash schedule'!$AJ$6:$AJ$185,(MATCH($B$5,'Cases'!$A$6:$A$10,0)-1)*36+3)),INDEX('Cash schedule'!$AJ$6:$AJ$185,(MATCH($B$5,'Cases'!$A$6:$A$10,0)-1)*36+3),"")</f>
        <v/>
      </c>
      <c r="G47" s="137">
        <f>IF(ISNUMBER(INDEX('Cash schedule'!$AJ$6:$AJ$185,(MATCH($B$5,'Cases'!$A$6:$A$10,0)-1)*36+4)),INDEX('Cash schedule'!$AJ$6:$AJ$185,(MATCH($B$5,'Cases'!$A$6:$A$10,0)-1)*36+4),"")</f>
        <v/>
      </c>
      <c r="H47" s="137">
        <f>IF(ISNUMBER(INDEX('Cash schedule'!$AJ$6:$AJ$185,(MATCH($B$5,'Cases'!$A$6:$A$10,0)-1)*36+5)),INDEX('Cash schedule'!$AJ$6:$AJ$185,(MATCH($B$5,'Cases'!$A$6:$A$10,0)-1)*36+5),"")</f>
        <v/>
      </c>
      <c r="I47" s="137">
        <f>IF(ISNUMBER(INDEX('Cash schedule'!$AJ$6:$AJ$185,(MATCH($B$5,'Cases'!$A$6:$A$10,0)-1)*36+6)),INDEX('Cash schedule'!$AJ$6:$AJ$185,(MATCH($B$5,'Cases'!$A$6:$A$10,0)-1)*36+6),"")</f>
        <v/>
      </c>
      <c r="J47" s="137">
        <f>IF(ISNUMBER(INDEX('Cash schedule'!$AJ$6:$AJ$185,(MATCH($B$5,'Cases'!$A$6:$A$10,0)-1)*36+7)),INDEX('Cash schedule'!$AJ$6:$AJ$185,(MATCH($B$5,'Cases'!$A$6:$A$10,0)-1)*36+7),"")</f>
        <v/>
      </c>
      <c r="K47" s="137">
        <f>IF(ISNUMBER(INDEX('Cash schedule'!$AJ$6:$AJ$185,(MATCH($B$5,'Cases'!$A$6:$A$10,0)-1)*36+8)),INDEX('Cash schedule'!$AJ$6:$AJ$185,(MATCH($B$5,'Cases'!$A$6:$A$10,0)-1)*36+8),"")</f>
        <v/>
      </c>
      <c r="L47" s="137">
        <f>IF(ISNUMBER(INDEX('Cash schedule'!$AJ$6:$AJ$185,(MATCH($B$5,'Cases'!$A$6:$A$10,0)-1)*36+9)),INDEX('Cash schedule'!$AJ$6:$AJ$185,(MATCH($B$5,'Cases'!$A$6:$A$10,0)-1)*36+9),"")</f>
        <v/>
      </c>
      <c r="M47" s="137">
        <f>IF(ISNUMBER(INDEX('Cash schedule'!$AJ$6:$AJ$185,(MATCH($B$5,'Cases'!$A$6:$A$10,0)-1)*36+10)),INDEX('Cash schedule'!$AJ$6:$AJ$185,(MATCH($B$5,'Cases'!$A$6:$A$10,0)-1)*36+10),"")</f>
        <v/>
      </c>
      <c r="N47" s="137">
        <f>IF(ISNUMBER(INDEX('Cash schedule'!$AJ$6:$AJ$185,(MATCH($B$5,'Cases'!$A$6:$A$10,0)-1)*36+11)),INDEX('Cash schedule'!$AJ$6:$AJ$185,(MATCH($B$5,'Cases'!$A$6:$A$10,0)-1)*36+11),"")</f>
        <v/>
      </c>
      <c r="O47" s="137">
        <f>IF(ISNUMBER(INDEX('Cash schedule'!$AJ$6:$AJ$185,(MATCH($B$5,'Cases'!$A$6:$A$10,0)-1)*36+12)),INDEX('Cash schedule'!$AJ$6:$AJ$185,(MATCH($B$5,'Cases'!$A$6:$A$10,0)-1)*36+12),"")</f>
        <v/>
      </c>
      <c r="P47" s="137">
        <f>IF(ISNUMBER(INDEX('Cash schedule'!$AJ$6:$AJ$185,(MATCH($B$5,'Cases'!$A$6:$A$10,0)-1)*36+13)),INDEX('Cash schedule'!$AJ$6:$AJ$185,(MATCH($B$5,'Cases'!$A$6:$A$10,0)-1)*36+13),"")</f>
        <v/>
      </c>
      <c r="Q47" s="137">
        <f>IF(ISNUMBER(INDEX('Cash schedule'!$AJ$6:$AJ$185,(MATCH($B$5,'Cases'!$A$6:$A$10,0)-1)*36+14)),INDEX('Cash schedule'!$AJ$6:$AJ$185,(MATCH($B$5,'Cases'!$A$6:$A$10,0)-1)*36+14),"")</f>
        <v/>
      </c>
      <c r="R47" s="137">
        <f>IF(ISNUMBER(INDEX('Cash schedule'!$AJ$6:$AJ$185,(MATCH($B$5,'Cases'!$A$6:$A$10,0)-1)*36+15)),INDEX('Cash schedule'!$AJ$6:$AJ$185,(MATCH($B$5,'Cases'!$A$6:$A$10,0)-1)*36+15),"")</f>
        <v/>
      </c>
      <c r="S47" s="137">
        <f>IF(ISNUMBER(INDEX('Cash schedule'!$AJ$6:$AJ$185,(MATCH($B$5,'Cases'!$A$6:$A$10,0)-1)*36+16)),INDEX('Cash schedule'!$AJ$6:$AJ$185,(MATCH($B$5,'Cases'!$A$6:$A$10,0)-1)*36+16),"")</f>
        <v/>
      </c>
      <c r="T47" s="137">
        <f>IF(ISNUMBER(INDEX('Cash schedule'!$AJ$6:$AJ$185,(MATCH($B$5,'Cases'!$A$6:$A$10,0)-1)*36+17)),INDEX('Cash schedule'!$AJ$6:$AJ$185,(MATCH($B$5,'Cases'!$A$6:$A$10,0)-1)*36+17),"")</f>
        <v/>
      </c>
      <c r="U47" s="137">
        <f>IF(ISNUMBER(INDEX('Cash schedule'!$AJ$6:$AJ$185,(MATCH($B$5,'Cases'!$A$6:$A$10,0)-1)*36+18)),INDEX('Cash schedule'!$AJ$6:$AJ$185,(MATCH($B$5,'Cases'!$A$6:$A$10,0)-1)*36+18),"")</f>
        <v/>
      </c>
      <c r="V47" s="137">
        <f>IF(ISNUMBER(INDEX('Cash schedule'!$AJ$6:$AJ$185,(MATCH($B$5,'Cases'!$A$6:$A$10,0)-1)*36+19)),INDEX('Cash schedule'!$AJ$6:$AJ$185,(MATCH($B$5,'Cases'!$A$6:$A$10,0)-1)*36+19),"")</f>
        <v/>
      </c>
      <c r="W47" s="137">
        <f>IF(ISNUMBER(INDEX('Cash schedule'!$AJ$6:$AJ$185,(MATCH($B$5,'Cases'!$A$6:$A$10,0)-1)*36+20)),INDEX('Cash schedule'!$AJ$6:$AJ$185,(MATCH($B$5,'Cases'!$A$6:$A$10,0)-1)*36+20),"")</f>
        <v/>
      </c>
      <c r="X47" s="137">
        <f>IF(ISNUMBER(INDEX('Cash schedule'!$AJ$6:$AJ$185,(MATCH($B$5,'Cases'!$A$6:$A$10,0)-1)*36+21)),INDEX('Cash schedule'!$AJ$6:$AJ$185,(MATCH($B$5,'Cases'!$A$6:$A$10,0)-1)*36+21),"")</f>
        <v/>
      </c>
      <c r="Y47" s="137">
        <f>IF(ISNUMBER(INDEX('Cash schedule'!$AJ$6:$AJ$185,(MATCH($B$5,'Cases'!$A$6:$A$10,0)-1)*36+22)),INDEX('Cash schedule'!$AJ$6:$AJ$185,(MATCH($B$5,'Cases'!$A$6:$A$10,0)-1)*36+22),"")</f>
        <v/>
      </c>
      <c r="Z47" s="137">
        <f>IF(ISNUMBER(INDEX('Cash schedule'!$AJ$6:$AJ$185,(MATCH($B$5,'Cases'!$A$6:$A$10,0)-1)*36+23)),INDEX('Cash schedule'!$AJ$6:$AJ$185,(MATCH($B$5,'Cases'!$A$6:$A$10,0)-1)*36+23),"")</f>
        <v/>
      </c>
      <c r="AA47" s="137">
        <f>IF(ISNUMBER(INDEX('Cash schedule'!$AJ$6:$AJ$185,(MATCH($B$5,'Cases'!$A$6:$A$10,0)-1)*36+24)),INDEX('Cash schedule'!$AJ$6:$AJ$185,(MATCH($B$5,'Cases'!$A$6:$A$10,0)-1)*36+24),"")</f>
        <v/>
      </c>
      <c r="AB47" s="137">
        <f>IF(ISNUMBER(INDEX('Cash schedule'!$AJ$6:$AJ$185,(MATCH($B$5,'Cases'!$A$6:$A$10,0)-1)*36+25)),INDEX('Cash schedule'!$AJ$6:$AJ$185,(MATCH($B$5,'Cases'!$A$6:$A$10,0)-1)*36+25),"")</f>
        <v/>
      </c>
      <c r="AC47" s="137">
        <f>IF(ISNUMBER(INDEX('Cash schedule'!$AJ$6:$AJ$185,(MATCH($B$5,'Cases'!$A$6:$A$10,0)-1)*36+26)),INDEX('Cash schedule'!$AJ$6:$AJ$185,(MATCH($B$5,'Cases'!$A$6:$A$10,0)-1)*36+26),"")</f>
        <v/>
      </c>
      <c r="AD47" s="137">
        <f>IF(ISNUMBER(INDEX('Cash schedule'!$AJ$6:$AJ$185,(MATCH($B$5,'Cases'!$A$6:$A$10,0)-1)*36+27)),INDEX('Cash schedule'!$AJ$6:$AJ$185,(MATCH($B$5,'Cases'!$A$6:$A$10,0)-1)*36+27),"")</f>
        <v/>
      </c>
      <c r="AE47" s="137">
        <f>IF(ISNUMBER(INDEX('Cash schedule'!$AJ$6:$AJ$185,(MATCH($B$5,'Cases'!$A$6:$A$10,0)-1)*36+28)),INDEX('Cash schedule'!$AJ$6:$AJ$185,(MATCH($B$5,'Cases'!$A$6:$A$10,0)-1)*36+28),"")</f>
        <v/>
      </c>
      <c r="AF47" s="137">
        <f>IF(ISNUMBER(INDEX('Cash schedule'!$AJ$6:$AJ$185,(MATCH($B$5,'Cases'!$A$6:$A$10,0)-1)*36+29)),INDEX('Cash schedule'!$AJ$6:$AJ$185,(MATCH($B$5,'Cases'!$A$6:$A$10,0)-1)*36+29),"")</f>
        <v/>
      </c>
      <c r="AG47" s="137">
        <f>IF(ISNUMBER(INDEX('Cash schedule'!$AJ$6:$AJ$185,(MATCH($B$5,'Cases'!$A$6:$A$10,0)-1)*36+30)),INDEX('Cash schedule'!$AJ$6:$AJ$185,(MATCH($B$5,'Cases'!$A$6:$A$10,0)-1)*36+30),"")</f>
        <v/>
      </c>
      <c r="AH47" s="137">
        <f>IF(ISNUMBER(INDEX('Cash schedule'!$AJ$6:$AJ$185,(MATCH($B$5,'Cases'!$A$6:$A$10,0)-1)*36+31)),INDEX('Cash schedule'!$AJ$6:$AJ$185,(MATCH($B$5,'Cases'!$A$6:$A$10,0)-1)*36+31),"")</f>
        <v/>
      </c>
      <c r="AI47" s="137">
        <f>IF(ISNUMBER(INDEX('Cash schedule'!$AJ$6:$AJ$185,(MATCH($B$5,'Cases'!$A$6:$A$10,0)-1)*36+32)),INDEX('Cash schedule'!$AJ$6:$AJ$185,(MATCH($B$5,'Cases'!$A$6:$A$10,0)-1)*36+32),"")</f>
        <v/>
      </c>
      <c r="AJ47" s="137">
        <f>IF(ISNUMBER(INDEX('Cash schedule'!$AJ$6:$AJ$185,(MATCH($B$5,'Cases'!$A$6:$A$10,0)-1)*36+33)),INDEX('Cash schedule'!$AJ$6:$AJ$185,(MATCH($B$5,'Cases'!$A$6:$A$10,0)-1)*36+33),"")</f>
        <v/>
      </c>
      <c r="AK47" s="137">
        <f>IF(ISNUMBER(INDEX('Cash schedule'!$AJ$6:$AJ$185,(MATCH($B$5,'Cases'!$A$6:$A$10,0)-1)*36+34)),INDEX('Cash schedule'!$AJ$6:$AJ$185,(MATCH($B$5,'Cases'!$A$6:$A$10,0)-1)*36+34),"")</f>
        <v/>
      </c>
      <c r="AL47" s="137">
        <f>IF(ISNUMBER(INDEX('Cash schedule'!$AJ$6:$AJ$185,(MATCH($B$5,'Cases'!$A$6:$A$10,0)-1)*36+35)),INDEX('Cash schedule'!$AJ$6:$AJ$185,(MATCH($B$5,'Cases'!$A$6:$A$10,0)-1)*36+35),"")</f>
        <v/>
      </c>
      <c r="AM47" s="137">
        <f>IF(ISNUMBER(INDEX('Cash schedule'!$AJ$6:$AJ$185,(MATCH($B$5,'Cases'!$A$6:$A$10,0)-1)*36+36)),INDEX('Cash schedule'!$AJ$6:$AJ$185,(MATCH($B$5,'Cases'!$A$6:$A$10,0)-1)*36+36),"")</f>
        <v/>
      </c>
    </row>
    <row r="48" ht="28" customHeight="1">
      <c r="A48" s="4" t="inlineStr">
        <is>
          <t>Cumulative movement</t>
        </is>
      </c>
      <c r="B48" s="4" t="n"/>
      <c r="C48" s="4" t="n"/>
      <c r="D48" s="137">
        <f>IF(ISNUMBER(INDEX('Cash schedule'!$AK$6:$AK$185,(MATCH($B$5,'Cases'!$A$6:$A$10,0)-1)*36+1)),INDEX('Cash schedule'!$AK$6:$AK$185,(MATCH($B$5,'Cases'!$A$6:$A$10,0)-1)*36+1),"")</f>
        <v/>
      </c>
      <c r="E48" s="137">
        <f>IF(ISNUMBER(INDEX('Cash schedule'!$AK$6:$AK$185,(MATCH($B$5,'Cases'!$A$6:$A$10,0)-1)*36+2)),INDEX('Cash schedule'!$AK$6:$AK$185,(MATCH($B$5,'Cases'!$A$6:$A$10,0)-1)*36+2),"")</f>
        <v/>
      </c>
      <c r="F48" s="137">
        <f>IF(ISNUMBER(INDEX('Cash schedule'!$AK$6:$AK$185,(MATCH($B$5,'Cases'!$A$6:$A$10,0)-1)*36+3)),INDEX('Cash schedule'!$AK$6:$AK$185,(MATCH($B$5,'Cases'!$A$6:$A$10,0)-1)*36+3),"")</f>
        <v/>
      </c>
      <c r="G48" s="137">
        <f>IF(ISNUMBER(INDEX('Cash schedule'!$AK$6:$AK$185,(MATCH($B$5,'Cases'!$A$6:$A$10,0)-1)*36+4)),INDEX('Cash schedule'!$AK$6:$AK$185,(MATCH($B$5,'Cases'!$A$6:$A$10,0)-1)*36+4),"")</f>
        <v/>
      </c>
      <c r="H48" s="137">
        <f>IF(ISNUMBER(INDEX('Cash schedule'!$AK$6:$AK$185,(MATCH($B$5,'Cases'!$A$6:$A$10,0)-1)*36+5)),INDEX('Cash schedule'!$AK$6:$AK$185,(MATCH($B$5,'Cases'!$A$6:$A$10,0)-1)*36+5),"")</f>
        <v/>
      </c>
      <c r="I48" s="137">
        <f>IF(ISNUMBER(INDEX('Cash schedule'!$AK$6:$AK$185,(MATCH($B$5,'Cases'!$A$6:$A$10,0)-1)*36+6)),INDEX('Cash schedule'!$AK$6:$AK$185,(MATCH($B$5,'Cases'!$A$6:$A$10,0)-1)*36+6),"")</f>
        <v/>
      </c>
      <c r="J48" s="137">
        <f>IF(ISNUMBER(INDEX('Cash schedule'!$AK$6:$AK$185,(MATCH($B$5,'Cases'!$A$6:$A$10,0)-1)*36+7)),INDEX('Cash schedule'!$AK$6:$AK$185,(MATCH($B$5,'Cases'!$A$6:$A$10,0)-1)*36+7),"")</f>
        <v/>
      </c>
      <c r="K48" s="137">
        <f>IF(ISNUMBER(INDEX('Cash schedule'!$AK$6:$AK$185,(MATCH($B$5,'Cases'!$A$6:$A$10,0)-1)*36+8)),INDEX('Cash schedule'!$AK$6:$AK$185,(MATCH($B$5,'Cases'!$A$6:$A$10,0)-1)*36+8),"")</f>
        <v/>
      </c>
      <c r="L48" s="137">
        <f>IF(ISNUMBER(INDEX('Cash schedule'!$AK$6:$AK$185,(MATCH($B$5,'Cases'!$A$6:$A$10,0)-1)*36+9)),INDEX('Cash schedule'!$AK$6:$AK$185,(MATCH($B$5,'Cases'!$A$6:$A$10,0)-1)*36+9),"")</f>
        <v/>
      </c>
      <c r="M48" s="137">
        <f>IF(ISNUMBER(INDEX('Cash schedule'!$AK$6:$AK$185,(MATCH($B$5,'Cases'!$A$6:$A$10,0)-1)*36+10)),INDEX('Cash schedule'!$AK$6:$AK$185,(MATCH($B$5,'Cases'!$A$6:$A$10,0)-1)*36+10),"")</f>
        <v/>
      </c>
      <c r="N48" s="137">
        <f>IF(ISNUMBER(INDEX('Cash schedule'!$AK$6:$AK$185,(MATCH($B$5,'Cases'!$A$6:$A$10,0)-1)*36+11)),INDEX('Cash schedule'!$AK$6:$AK$185,(MATCH($B$5,'Cases'!$A$6:$A$10,0)-1)*36+11),"")</f>
        <v/>
      </c>
      <c r="O48" s="137">
        <f>IF(ISNUMBER(INDEX('Cash schedule'!$AK$6:$AK$185,(MATCH($B$5,'Cases'!$A$6:$A$10,0)-1)*36+12)),INDEX('Cash schedule'!$AK$6:$AK$185,(MATCH($B$5,'Cases'!$A$6:$A$10,0)-1)*36+12),"")</f>
        <v/>
      </c>
      <c r="P48" s="137">
        <f>IF(ISNUMBER(INDEX('Cash schedule'!$AK$6:$AK$185,(MATCH($B$5,'Cases'!$A$6:$A$10,0)-1)*36+13)),INDEX('Cash schedule'!$AK$6:$AK$185,(MATCH($B$5,'Cases'!$A$6:$A$10,0)-1)*36+13),"")</f>
        <v/>
      </c>
      <c r="Q48" s="137">
        <f>IF(ISNUMBER(INDEX('Cash schedule'!$AK$6:$AK$185,(MATCH($B$5,'Cases'!$A$6:$A$10,0)-1)*36+14)),INDEX('Cash schedule'!$AK$6:$AK$185,(MATCH($B$5,'Cases'!$A$6:$A$10,0)-1)*36+14),"")</f>
        <v/>
      </c>
      <c r="R48" s="137">
        <f>IF(ISNUMBER(INDEX('Cash schedule'!$AK$6:$AK$185,(MATCH($B$5,'Cases'!$A$6:$A$10,0)-1)*36+15)),INDEX('Cash schedule'!$AK$6:$AK$185,(MATCH($B$5,'Cases'!$A$6:$A$10,0)-1)*36+15),"")</f>
        <v/>
      </c>
      <c r="S48" s="137">
        <f>IF(ISNUMBER(INDEX('Cash schedule'!$AK$6:$AK$185,(MATCH($B$5,'Cases'!$A$6:$A$10,0)-1)*36+16)),INDEX('Cash schedule'!$AK$6:$AK$185,(MATCH($B$5,'Cases'!$A$6:$A$10,0)-1)*36+16),"")</f>
        <v/>
      </c>
      <c r="T48" s="137">
        <f>IF(ISNUMBER(INDEX('Cash schedule'!$AK$6:$AK$185,(MATCH($B$5,'Cases'!$A$6:$A$10,0)-1)*36+17)),INDEX('Cash schedule'!$AK$6:$AK$185,(MATCH($B$5,'Cases'!$A$6:$A$10,0)-1)*36+17),"")</f>
        <v/>
      </c>
      <c r="U48" s="137">
        <f>IF(ISNUMBER(INDEX('Cash schedule'!$AK$6:$AK$185,(MATCH($B$5,'Cases'!$A$6:$A$10,0)-1)*36+18)),INDEX('Cash schedule'!$AK$6:$AK$185,(MATCH($B$5,'Cases'!$A$6:$A$10,0)-1)*36+18),"")</f>
        <v/>
      </c>
      <c r="V48" s="137">
        <f>IF(ISNUMBER(INDEX('Cash schedule'!$AK$6:$AK$185,(MATCH($B$5,'Cases'!$A$6:$A$10,0)-1)*36+19)),INDEX('Cash schedule'!$AK$6:$AK$185,(MATCH($B$5,'Cases'!$A$6:$A$10,0)-1)*36+19),"")</f>
        <v/>
      </c>
      <c r="W48" s="137">
        <f>IF(ISNUMBER(INDEX('Cash schedule'!$AK$6:$AK$185,(MATCH($B$5,'Cases'!$A$6:$A$10,0)-1)*36+20)),INDEX('Cash schedule'!$AK$6:$AK$185,(MATCH($B$5,'Cases'!$A$6:$A$10,0)-1)*36+20),"")</f>
        <v/>
      </c>
      <c r="X48" s="137">
        <f>IF(ISNUMBER(INDEX('Cash schedule'!$AK$6:$AK$185,(MATCH($B$5,'Cases'!$A$6:$A$10,0)-1)*36+21)),INDEX('Cash schedule'!$AK$6:$AK$185,(MATCH($B$5,'Cases'!$A$6:$A$10,0)-1)*36+21),"")</f>
        <v/>
      </c>
      <c r="Y48" s="137">
        <f>IF(ISNUMBER(INDEX('Cash schedule'!$AK$6:$AK$185,(MATCH($B$5,'Cases'!$A$6:$A$10,0)-1)*36+22)),INDEX('Cash schedule'!$AK$6:$AK$185,(MATCH($B$5,'Cases'!$A$6:$A$10,0)-1)*36+22),"")</f>
        <v/>
      </c>
      <c r="Z48" s="137">
        <f>IF(ISNUMBER(INDEX('Cash schedule'!$AK$6:$AK$185,(MATCH($B$5,'Cases'!$A$6:$A$10,0)-1)*36+23)),INDEX('Cash schedule'!$AK$6:$AK$185,(MATCH($B$5,'Cases'!$A$6:$A$10,0)-1)*36+23),"")</f>
        <v/>
      </c>
      <c r="AA48" s="137">
        <f>IF(ISNUMBER(INDEX('Cash schedule'!$AK$6:$AK$185,(MATCH($B$5,'Cases'!$A$6:$A$10,0)-1)*36+24)),INDEX('Cash schedule'!$AK$6:$AK$185,(MATCH($B$5,'Cases'!$A$6:$A$10,0)-1)*36+24),"")</f>
        <v/>
      </c>
      <c r="AB48" s="137">
        <f>IF(ISNUMBER(INDEX('Cash schedule'!$AK$6:$AK$185,(MATCH($B$5,'Cases'!$A$6:$A$10,0)-1)*36+25)),INDEX('Cash schedule'!$AK$6:$AK$185,(MATCH($B$5,'Cases'!$A$6:$A$10,0)-1)*36+25),"")</f>
        <v/>
      </c>
      <c r="AC48" s="137">
        <f>IF(ISNUMBER(INDEX('Cash schedule'!$AK$6:$AK$185,(MATCH($B$5,'Cases'!$A$6:$A$10,0)-1)*36+26)),INDEX('Cash schedule'!$AK$6:$AK$185,(MATCH($B$5,'Cases'!$A$6:$A$10,0)-1)*36+26),"")</f>
        <v/>
      </c>
      <c r="AD48" s="137">
        <f>IF(ISNUMBER(INDEX('Cash schedule'!$AK$6:$AK$185,(MATCH($B$5,'Cases'!$A$6:$A$10,0)-1)*36+27)),INDEX('Cash schedule'!$AK$6:$AK$185,(MATCH($B$5,'Cases'!$A$6:$A$10,0)-1)*36+27),"")</f>
        <v/>
      </c>
      <c r="AE48" s="137">
        <f>IF(ISNUMBER(INDEX('Cash schedule'!$AK$6:$AK$185,(MATCH($B$5,'Cases'!$A$6:$A$10,0)-1)*36+28)),INDEX('Cash schedule'!$AK$6:$AK$185,(MATCH($B$5,'Cases'!$A$6:$A$10,0)-1)*36+28),"")</f>
        <v/>
      </c>
      <c r="AF48" s="137">
        <f>IF(ISNUMBER(INDEX('Cash schedule'!$AK$6:$AK$185,(MATCH($B$5,'Cases'!$A$6:$A$10,0)-1)*36+29)),INDEX('Cash schedule'!$AK$6:$AK$185,(MATCH($B$5,'Cases'!$A$6:$A$10,0)-1)*36+29),"")</f>
        <v/>
      </c>
      <c r="AG48" s="137">
        <f>IF(ISNUMBER(INDEX('Cash schedule'!$AK$6:$AK$185,(MATCH($B$5,'Cases'!$A$6:$A$10,0)-1)*36+30)),INDEX('Cash schedule'!$AK$6:$AK$185,(MATCH($B$5,'Cases'!$A$6:$A$10,0)-1)*36+30),"")</f>
        <v/>
      </c>
      <c r="AH48" s="137">
        <f>IF(ISNUMBER(INDEX('Cash schedule'!$AK$6:$AK$185,(MATCH($B$5,'Cases'!$A$6:$A$10,0)-1)*36+31)),INDEX('Cash schedule'!$AK$6:$AK$185,(MATCH($B$5,'Cases'!$A$6:$A$10,0)-1)*36+31),"")</f>
        <v/>
      </c>
      <c r="AI48" s="137">
        <f>IF(ISNUMBER(INDEX('Cash schedule'!$AK$6:$AK$185,(MATCH($B$5,'Cases'!$A$6:$A$10,0)-1)*36+32)),INDEX('Cash schedule'!$AK$6:$AK$185,(MATCH($B$5,'Cases'!$A$6:$A$10,0)-1)*36+32),"")</f>
        <v/>
      </c>
      <c r="AJ48" s="137">
        <f>IF(ISNUMBER(INDEX('Cash schedule'!$AK$6:$AK$185,(MATCH($B$5,'Cases'!$A$6:$A$10,0)-1)*36+33)),INDEX('Cash schedule'!$AK$6:$AK$185,(MATCH($B$5,'Cases'!$A$6:$A$10,0)-1)*36+33),"")</f>
        <v/>
      </c>
      <c r="AK48" s="137">
        <f>IF(ISNUMBER(INDEX('Cash schedule'!$AK$6:$AK$185,(MATCH($B$5,'Cases'!$A$6:$A$10,0)-1)*36+34)),INDEX('Cash schedule'!$AK$6:$AK$185,(MATCH($B$5,'Cases'!$A$6:$A$10,0)-1)*36+34),"")</f>
        <v/>
      </c>
      <c r="AL48" s="137">
        <f>IF(ISNUMBER(INDEX('Cash schedule'!$AK$6:$AK$185,(MATCH($B$5,'Cases'!$A$6:$A$10,0)-1)*36+35)),INDEX('Cash schedule'!$AK$6:$AK$185,(MATCH($B$5,'Cases'!$A$6:$A$10,0)-1)*36+35),"")</f>
        <v/>
      </c>
      <c r="AM48" s="137">
        <f>IF(ISNUMBER(INDEX('Cash schedule'!$AK$6:$AK$185,(MATCH($B$5,'Cases'!$A$6:$A$10,0)-1)*36+36)),INDEX('Cash schedule'!$AK$6:$AK$185,(MATCH($B$5,'Cases'!$A$6:$A$10,0)-1)*36+36),"")</f>
        <v/>
      </c>
    </row>
    <row r="49" ht="28" customHeight="1">
      <c r="A49" s="4" t="inlineStr">
        <is>
          <t>Closing cash</t>
        </is>
      </c>
      <c r="B49" s="4" t="n"/>
      <c r="C49" s="4" t="n"/>
      <c r="D49" s="137">
        <f>IF(ISNUMBER(INDEX('Cash schedule'!$AL$6:$AL$185,(MATCH($B$5,'Cases'!$A$6:$A$10,0)-1)*36+1)),INDEX('Cash schedule'!$AL$6:$AL$185,(MATCH($B$5,'Cases'!$A$6:$A$10,0)-1)*36+1),"")</f>
        <v/>
      </c>
      <c r="E49" s="137">
        <f>IF(ISNUMBER(INDEX('Cash schedule'!$AL$6:$AL$185,(MATCH($B$5,'Cases'!$A$6:$A$10,0)-1)*36+2)),INDEX('Cash schedule'!$AL$6:$AL$185,(MATCH($B$5,'Cases'!$A$6:$A$10,0)-1)*36+2),"")</f>
        <v/>
      </c>
      <c r="F49" s="137">
        <f>IF(ISNUMBER(INDEX('Cash schedule'!$AL$6:$AL$185,(MATCH($B$5,'Cases'!$A$6:$A$10,0)-1)*36+3)),INDEX('Cash schedule'!$AL$6:$AL$185,(MATCH($B$5,'Cases'!$A$6:$A$10,0)-1)*36+3),"")</f>
        <v/>
      </c>
      <c r="G49" s="137">
        <f>IF(ISNUMBER(INDEX('Cash schedule'!$AL$6:$AL$185,(MATCH($B$5,'Cases'!$A$6:$A$10,0)-1)*36+4)),INDEX('Cash schedule'!$AL$6:$AL$185,(MATCH($B$5,'Cases'!$A$6:$A$10,0)-1)*36+4),"")</f>
        <v/>
      </c>
      <c r="H49" s="137">
        <f>IF(ISNUMBER(INDEX('Cash schedule'!$AL$6:$AL$185,(MATCH($B$5,'Cases'!$A$6:$A$10,0)-1)*36+5)),INDEX('Cash schedule'!$AL$6:$AL$185,(MATCH($B$5,'Cases'!$A$6:$A$10,0)-1)*36+5),"")</f>
        <v/>
      </c>
      <c r="I49" s="137">
        <f>IF(ISNUMBER(INDEX('Cash schedule'!$AL$6:$AL$185,(MATCH($B$5,'Cases'!$A$6:$A$10,0)-1)*36+6)),INDEX('Cash schedule'!$AL$6:$AL$185,(MATCH($B$5,'Cases'!$A$6:$A$10,0)-1)*36+6),"")</f>
        <v/>
      </c>
      <c r="J49" s="137">
        <f>IF(ISNUMBER(INDEX('Cash schedule'!$AL$6:$AL$185,(MATCH($B$5,'Cases'!$A$6:$A$10,0)-1)*36+7)),INDEX('Cash schedule'!$AL$6:$AL$185,(MATCH($B$5,'Cases'!$A$6:$A$10,0)-1)*36+7),"")</f>
        <v/>
      </c>
      <c r="K49" s="137">
        <f>IF(ISNUMBER(INDEX('Cash schedule'!$AL$6:$AL$185,(MATCH($B$5,'Cases'!$A$6:$A$10,0)-1)*36+8)),INDEX('Cash schedule'!$AL$6:$AL$185,(MATCH($B$5,'Cases'!$A$6:$A$10,0)-1)*36+8),"")</f>
        <v/>
      </c>
      <c r="L49" s="137">
        <f>IF(ISNUMBER(INDEX('Cash schedule'!$AL$6:$AL$185,(MATCH($B$5,'Cases'!$A$6:$A$10,0)-1)*36+9)),INDEX('Cash schedule'!$AL$6:$AL$185,(MATCH($B$5,'Cases'!$A$6:$A$10,0)-1)*36+9),"")</f>
        <v/>
      </c>
      <c r="M49" s="137">
        <f>IF(ISNUMBER(INDEX('Cash schedule'!$AL$6:$AL$185,(MATCH($B$5,'Cases'!$A$6:$A$10,0)-1)*36+10)),INDEX('Cash schedule'!$AL$6:$AL$185,(MATCH($B$5,'Cases'!$A$6:$A$10,0)-1)*36+10),"")</f>
        <v/>
      </c>
      <c r="N49" s="137">
        <f>IF(ISNUMBER(INDEX('Cash schedule'!$AL$6:$AL$185,(MATCH($B$5,'Cases'!$A$6:$A$10,0)-1)*36+11)),INDEX('Cash schedule'!$AL$6:$AL$185,(MATCH($B$5,'Cases'!$A$6:$A$10,0)-1)*36+11),"")</f>
        <v/>
      </c>
      <c r="O49" s="137">
        <f>IF(ISNUMBER(INDEX('Cash schedule'!$AL$6:$AL$185,(MATCH($B$5,'Cases'!$A$6:$A$10,0)-1)*36+12)),INDEX('Cash schedule'!$AL$6:$AL$185,(MATCH($B$5,'Cases'!$A$6:$A$10,0)-1)*36+12),"")</f>
        <v/>
      </c>
      <c r="P49" s="137">
        <f>IF(ISNUMBER(INDEX('Cash schedule'!$AL$6:$AL$185,(MATCH($B$5,'Cases'!$A$6:$A$10,0)-1)*36+13)),INDEX('Cash schedule'!$AL$6:$AL$185,(MATCH($B$5,'Cases'!$A$6:$A$10,0)-1)*36+13),"")</f>
        <v/>
      </c>
      <c r="Q49" s="137">
        <f>IF(ISNUMBER(INDEX('Cash schedule'!$AL$6:$AL$185,(MATCH($B$5,'Cases'!$A$6:$A$10,0)-1)*36+14)),INDEX('Cash schedule'!$AL$6:$AL$185,(MATCH($B$5,'Cases'!$A$6:$A$10,0)-1)*36+14),"")</f>
        <v/>
      </c>
      <c r="R49" s="137">
        <f>IF(ISNUMBER(INDEX('Cash schedule'!$AL$6:$AL$185,(MATCH($B$5,'Cases'!$A$6:$A$10,0)-1)*36+15)),INDEX('Cash schedule'!$AL$6:$AL$185,(MATCH($B$5,'Cases'!$A$6:$A$10,0)-1)*36+15),"")</f>
        <v/>
      </c>
      <c r="S49" s="137">
        <f>IF(ISNUMBER(INDEX('Cash schedule'!$AL$6:$AL$185,(MATCH($B$5,'Cases'!$A$6:$A$10,0)-1)*36+16)),INDEX('Cash schedule'!$AL$6:$AL$185,(MATCH($B$5,'Cases'!$A$6:$A$10,0)-1)*36+16),"")</f>
        <v/>
      </c>
      <c r="T49" s="137">
        <f>IF(ISNUMBER(INDEX('Cash schedule'!$AL$6:$AL$185,(MATCH($B$5,'Cases'!$A$6:$A$10,0)-1)*36+17)),INDEX('Cash schedule'!$AL$6:$AL$185,(MATCH($B$5,'Cases'!$A$6:$A$10,0)-1)*36+17),"")</f>
        <v/>
      </c>
      <c r="U49" s="137">
        <f>IF(ISNUMBER(INDEX('Cash schedule'!$AL$6:$AL$185,(MATCH($B$5,'Cases'!$A$6:$A$10,0)-1)*36+18)),INDEX('Cash schedule'!$AL$6:$AL$185,(MATCH($B$5,'Cases'!$A$6:$A$10,0)-1)*36+18),"")</f>
        <v/>
      </c>
      <c r="V49" s="137">
        <f>IF(ISNUMBER(INDEX('Cash schedule'!$AL$6:$AL$185,(MATCH($B$5,'Cases'!$A$6:$A$10,0)-1)*36+19)),INDEX('Cash schedule'!$AL$6:$AL$185,(MATCH($B$5,'Cases'!$A$6:$A$10,0)-1)*36+19),"")</f>
        <v/>
      </c>
      <c r="W49" s="137">
        <f>IF(ISNUMBER(INDEX('Cash schedule'!$AL$6:$AL$185,(MATCH($B$5,'Cases'!$A$6:$A$10,0)-1)*36+20)),INDEX('Cash schedule'!$AL$6:$AL$185,(MATCH($B$5,'Cases'!$A$6:$A$10,0)-1)*36+20),"")</f>
        <v/>
      </c>
      <c r="X49" s="137">
        <f>IF(ISNUMBER(INDEX('Cash schedule'!$AL$6:$AL$185,(MATCH($B$5,'Cases'!$A$6:$A$10,0)-1)*36+21)),INDEX('Cash schedule'!$AL$6:$AL$185,(MATCH($B$5,'Cases'!$A$6:$A$10,0)-1)*36+21),"")</f>
        <v/>
      </c>
      <c r="Y49" s="137">
        <f>IF(ISNUMBER(INDEX('Cash schedule'!$AL$6:$AL$185,(MATCH($B$5,'Cases'!$A$6:$A$10,0)-1)*36+22)),INDEX('Cash schedule'!$AL$6:$AL$185,(MATCH($B$5,'Cases'!$A$6:$A$10,0)-1)*36+22),"")</f>
        <v/>
      </c>
      <c r="Z49" s="137">
        <f>IF(ISNUMBER(INDEX('Cash schedule'!$AL$6:$AL$185,(MATCH($B$5,'Cases'!$A$6:$A$10,0)-1)*36+23)),INDEX('Cash schedule'!$AL$6:$AL$185,(MATCH($B$5,'Cases'!$A$6:$A$10,0)-1)*36+23),"")</f>
        <v/>
      </c>
      <c r="AA49" s="137">
        <f>IF(ISNUMBER(INDEX('Cash schedule'!$AL$6:$AL$185,(MATCH($B$5,'Cases'!$A$6:$A$10,0)-1)*36+24)),INDEX('Cash schedule'!$AL$6:$AL$185,(MATCH($B$5,'Cases'!$A$6:$A$10,0)-1)*36+24),"")</f>
        <v/>
      </c>
      <c r="AB49" s="137">
        <f>IF(ISNUMBER(INDEX('Cash schedule'!$AL$6:$AL$185,(MATCH($B$5,'Cases'!$A$6:$A$10,0)-1)*36+25)),INDEX('Cash schedule'!$AL$6:$AL$185,(MATCH($B$5,'Cases'!$A$6:$A$10,0)-1)*36+25),"")</f>
        <v/>
      </c>
      <c r="AC49" s="137">
        <f>IF(ISNUMBER(INDEX('Cash schedule'!$AL$6:$AL$185,(MATCH($B$5,'Cases'!$A$6:$A$10,0)-1)*36+26)),INDEX('Cash schedule'!$AL$6:$AL$185,(MATCH($B$5,'Cases'!$A$6:$A$10,0)-1)*36+26),"")</f>
        <v/>
      </c>
      <c r="AD49" s="137">
        <f>IF(ISNUMBER(INDEX('Cash schedule'!$AL$6:$AL$185,(MATCH($B$5,'Cases'!$A$6:$A$10,0)-1)*36+27)),INDEX('Cash schedule'!$AL$6:$AL$185,(MATCH($B$5,'Cases'!$A$6:$A$10,0)-1)*36+27),"")</f>
        <v/>
      </c>
      <c r="AE49" s="137">
        <f>IF(ISNUMBER(INDEX('Cash schedule'!$AL$6:$AL$185,(MATCH($B$5,'Cases'!$A$6:$A$10,0)-1)*36+28)),INDEX('Cash schedule'!$AL$6:$AL$185,(MATCH($B$5,'Cases'!$A$6:$A$10,0)-1)*36+28),"")</f>
        <v/>
      </c>
      <c r="AF49" s="137">
        <f>IF(ISNUMBER(INDEX('Cash schedule'!$AL$6:$AL$185,(MATCH($B$5,'Cases'!$A$6:$A$10,0)-1)*36+29)),INDEX('Cash schedule'!$AL$6:$AL$185,(MATCH($B$5,'Cases'!$A$6:$A$10,0)-1)*36+29),"")</f>
        <v/>
      </c>
      <c r="AG49" s="137">
        <f>IF(ISNUMBER(INDEX('Cash schedule'!$AL$6:$AL$185,(MATCH($B$5,'Cases'!$A$6:$A$10,0)-1)*36+30)),INDEX('Cash schedule'!$AL$6:$AL$185,(MATCH($B$5,'Cases'!$A$6:$A$10,0)-1)*36+30),"")</f>
        <v/>
      </c>
      <c r="AH49" s="137">
        <f>IF(ISNUMBER(INDEX('Cash schedule'!$AL$6:$AL$185,(MATCH($B$5,'Cases'!$A$6:$A$10,0)-1)*36+31)),INDEX('Cash schedule'!$AL$6:$AL$185,(MATCH($B$5,'Cases'!$A$6:$A$10,0)-1)*36+31),"")</f>
        <v/>
      </c>
      <c r="AI49" s="137">
        <f>IF(ISNUMBER(INDEX('Cash schedule'!$AL$6:$AL$185,(MATCH($B$5,'Cases'!$A$6:$A$10,0)-1)*36+32)),INDEX('Cash schedule'!$AL$6:$AL$185,(MATCH($B$5,'Cases'!$A$6:$A$10,0)-1)*36+32),"")</f>
        <v/>
      </c>
      <c r="AJ49" s="137">
        <f>IF(ISNUMBER(INDEX('Cash schedule'!$AL$6:$AL$185,(MATCH($B$5,'Cases'!$A$6:$A$10,0)-1)*36+33)),INDEX('Cash schedule'!$AL$6:$AL$185,(MATCH($B$5,'Cases'!$A$6:$A$10,0)-1)*36+33),"")</f>
        <v/>
      </c>
      <c r="AK49" s="137">
        <f>IF(ISNUMBER(INDEX('Cash schedule'!$AL$6:$AL$185,(MATCH($B$5,'Cases'!$A$6:$A$10,0)-1)*36+34)),INDEX('Cash schedule'!$AL$6:$AL$185,(MATCH($B$5,'Cases'!$A$6:$A$10,0)-1)*36+34),"")</f>
        <v/>
      </c>
      <c r="AL49" s="137">
        <f>IF(ISNUMBER(INDEX('Cash schedule'!$AL$6:$AL$185,(MATCH($B$5,'Cases'!$A$6:$A$10,0)-1)*36+35)),INDEX('Cash schedule'!$AL$6:$AL$185,(MATCH($B$5,'Cases'!$A$6:$A$10,0)-1)*36+35),"")</f>
        <v/>
      </c>
      <c r="AM49" s="137">
        <f>IF(ISNUMBER(INDEX('Cash schedule'!$AL$6:$AL$185,(MATCH($B$5,'Cases'!$A$6:$A$10,0)-1)*36+36)),INDEX('Cash schedule'!$AL$6:$AL$185,(MATCH($B$5,'Cases'!$A$6:$A$10,0)-1)*36+36),"")</f>
        <v/>
      </c>
    </row>
    <row r="50" ht="28" customHeight="1">
      <c r="A50" s="4" t="inlineStr">
        <is>
          <t>Secured-only closing cash</t>
        </is>
      </c>
      <c r="B50" s="4" t="n"/>
      <c r="C50" s="4" t="n"/>
      <c r="D50" s="137">
        <f>IF(ISNUMBER(INDEX('Cash schedule'!$AO$6:$AO$185,(MATCH($B$5,'Cases'!$A$6:$A$10,0)-1)*36+1)),INDEX('Cash schedule'!$AO$6:$AO$185,(MATCH($B$5,'Cases'!$A$6:$A$10,0)-1)*36+1),"")</f>
        <v/>
      </c>
      <c r="E50" s="137">
        <f>IF(ISNUMBER(INDEX('Cash schedule'!$AO$6:$AO$185,(MATCH($B$5,'Cases'!$A$6:$A$10,0)-1)*36+2)),INDEX('Cash schedule'!$AO$6:$AO$185,(MATCH($B$5,'Cases'!$A$6:$A$10,0)-1)*36+2),"")</f>
        <v/>
      </c>
      <c r="F50" s="137">
        <f>IF(ISNUMBER(INDEX('Cash schedule'!$AO$6:$AO$185,(MATCH($B$5,'Cases'!$A$6:$A$10,0)-1)*36+3)),INDEX('Cash schedule'!$AO$6:$AO$185,(MATCH($B$5,'Cases'!$A$6:$A$10,0)-1)*36+3),"")</f>
        <v/>
      </c>
      <c r="G50" s="137">
        <f>IF(ISNUMBER(INDEX('Cash schedule'!$AO$6:$AO$185,(MATCH($B$5,'Cases'!$A$6:$A$10,0)-1)*36+4)),INDEX('Cash schedule'!$AO$6:$AO$185,(MATCH($B$5,'Cases'!$A$6:$A$10,0)-1)*36+4),"")</f>
        <v/>
      </c>
      <c r="H50" s="137">
        <f>IF(ISNUMBER(INDEX('Cash schedule'!$AO$6:$AO$185,(MATCH($B$5,'Cases'!$A$6:$A$10,0)-1)*36+5)),INDEX('Cash schedule'!$AO$6:$AO$185,(MATCH($B$5,'Cases'!$A$6:$A$10,0)-1)*36+5),"")</f>
        <v/>
      </c>
      <c r="I50" s="137">
        <f>IF(ISNUMBER(INDEX('Cash schedule'!$AO$6:$AO$185,(MATCH($B$5,'Cases'!$A$6:$A$10,0)-1)*36+6)),INDEX('Cash schedule'!$AO$6:$AO$185,(MATCH($B$5,'Cases'!$A$6:$A$10,0)-1)*36+6),"")</f>
        <v/>
      </c>
      <c r="J50" s="137">
        <f>IF(ISNUMBER(INDEX('Cash schedule'!$AO$6:$AO$185,(MATCH($B$5,'Cases'!$A$6:$A$10,0)-1)*36+7)),INDEX('Cash schedule'!$AO$6:$AO$185,(MATCH($B$5,'Cases'!$A$6:$A$10,0)-1)*36+7),"")</f>
        <v/>
      </c>
      <c r="K50" s="137">
        <f>IF(ISNUMBER(INDEX('Cash schedule'!$AO$6:$AO$185,(MATCH($B$5,'Cases'!$A$6:$A$10,0)-1)*36+8)),INDEX('Cash schedule'!$AO$6:$AO$185,(MATCH($B$5,'Cases'!$A$6:$A$10,0)-1)*36+8),"")</f>
        <v/>
      </c>
      <c r="L50" s="137">
        <f>IF(ISNUMBER(INDEX('Cash schedule'!$AO$6:$AO$185,(MATCH($B$5,'Cases'!$A$6:$A$10,0)-1)*36+9)),INDEX('Cash schedule'!$AO$6:$AO$185,(MATCH($B$5,'Cases'!$A$6:$A$10,0)-1)*36+9),"")</f>
        <v/>
      </c>
      <c r="M50" s="137">
        <f>IF(ISNUMBER(INDEX('Cash schedule'!$AO$6:$AO$185,(MATCH($B$5,'Cases'!$A$6:$A$10,0)-1)*36+10)),INDEX('Cash schedule'!$AO$6:$AO$185,(MATCH($B$5,'Cases'!$A$6:$A$10,0)-1)*36+10),"")</f>
        <v/>
      </c>
      <c r="N50" s="137">
        <f>IF(ISNUMBER(INDEX('Cash schedule'!$AO$6:$AO$185,(MATCH($B$5,'Cases'!$A$6:$A$10,0)-1)*36+11)),INDEX('Cash schedule'!$AO$6:$AO$185,(MATCH($B$5,'Cases'!$A$6:$A$10,0)-1)*36+11),"")</f>
        <v/>
      </c>
      <c r="O50" s="137">
        <f>IF(ISNUMBER(INDEX('Cash schedule'!$AO$6:$AO$185,(MATCH($B$5,'Cases'!$A$6:$A$10,0)-1)*36+12)),INDEX('Cash schedule'!$AO$6:$AO$185,(MATCH($B$5,'Cases'!$A$6:$A$10,0)-1)*36+12),"")</f>
        <v/>
      </c>
      <c r="P50" s="137">
        <f>IF(ISNUMBER(INDEX('Cash schedule'!$AO$6:$AO$185,(MATCH($B$5,'Cases'!$A$6:$A$10,0)-1)*36+13)),INDEX('Cash schedule'!$AO$6:$AO$185,(MATCH($B$5,'Cases'!$A$6:$A$10,0)-1)*36+13),"")</f>
        <v/>
      </c>
      <c r="Q50" s="137">
        <f>IF(ISNUMBER(INDEX('Cash schedule'!$AO$6:$AO$185,(MATCH($B$5,'Cases'!$A$6:$A$10,0)-1)*36+14)),INDEX('Cash schedule'!$AO$6:$AO$185,(MATCH($B$5,'Cases'!$A$6:$A$10,0)-1)*36+14),"")</f>
        <v/>
      </c>
      <c r="R50" s="137">
        <f>IF(ISNUMBER(INDEX('Cash schedule'!$AO$6:$AO$185,(MATCH($B$5,'Cases'!$A$6:$A$10,0)-1)*36+15)),INDEX('Cash schedule'!$AO$6:$AO$185,(MATCH($B$5,'Cases'!$A$6:$A$10,0)-1)*36+15),"")</f>
        <v/>
      </c>
      <c r="S50" s="137">
        <f>IF(ISNUMBER(INDEX('Cash schedule'!$AO$6:$AO$185,(MATCH($B$5,'Cases'!$A$6:$A$10,0)-1)*36+16)),INDEX('Cash schedule'!$AO$6:$AO$185,(MATCH($B$5,'Cases'!$A$6:$A$10,0)-1)*36+16),"")</f>
        <v/>
      </c>
      <c r="T50" s="137">
        <f>IF(ISNUMBER(INDEX('Cash schedule'!$AO$6:$AO$185,(MATCH($B$5,'Cases'!$A$6:$A$10,0)-1)*36+17)),INDEX('Cash schedule'!$AO$6:$AO$185,(MATCH($B$5,'Cases'!$A$6:$A$10,0)-1)*36+17),"")</f>
        <v/>
      </c>
      <c r="U50" s="137">
        <f>IF(ISNUMBER(INDEX('Cash schedule'!$AO$6:$AO$185,(MATCH($B$5,'Cases'!$A$6:$A$10,0)-1)*36+18)),INDEX('Cash schedule'!$AO$6:$AO$185,(MATCH($B$5,'Cases'!$A$6:$A$10,0)-1)*36+18),"")</f>
        <v/>
      </c>
      <c r="V50" s="137">
        <f>IF(ISNUMBER(INDEX('Cash schedule'!$AO$6:$AO$185,(MATCH($B$5,'Cases'!$A$6:$A$10,0)-1)*36+19)),INDEX('Cash schedule'!$AO$6:$AO$185,(MATCH($B$5,'Cases'!$A$6:$A$10,0)-1)*36+19),"")</f>
        <v/>
      </c>
      <c r="W50" s="137">
        <f>IF(ISNUMBER(INDEX('Cash schedule'!$AO$6:$AO$185,(MATCH($B$5,'Cases'!$A$6:$A$10,0)-1)*36+20)),INDEX('Cash schedule'!$AO$6:$AO$185,(MATCH($B$5,'Cases'!$A$6:$A$10,0)-1)*36+20),"")</f>
        <v/>
      </c>
      <c r="X50" s="137">
        <f>IF(ISNUMBER(INDEX('Cash schedule'!$AO$6:$AO$185,(MATCH($B$5,'Cases'!$A$6:$A$10,0)-1)*36+21)),INDEX('Cash schedule'!$AO$6:$AO$185,(MATCH($B$5,'Cases'!$A$6:$A$10,0)-1)*36+21),"")</f>
        <v/>
      </c>
      <c r="Y50" s="137">
        <f>IF(ISNUMBER(INDEX('Cash schedule'!$AO$6:$AO$185,(MATCH($B$5,'Cases'!$A$6:$A$10,0)-1)*36+22)),INDEX('Cash schedule'!$AO$6:$AO$185,(MATCH($B$5,'Cases'!$A$6:$A$10,0)-1)*36+22),"")</f>
        <v/>
      </c>
      <c r="Z50" s="137">
        <f>IF(ISNUMBER(INDEX('Cash schedule'!$AO$6:$AO$185,(MATCH($B$5,'Cases'!$A$6:$A$10,0)-1)*36+23)),INDEX('Cash schedule'!$AO$6:$AO$185,(MATCH($B$5,'Cases'!$A$6:$A$10,0)-1)*36+23),"")</f>
        <v/>
      </c>
      <c r="AA50" s="137">
        <f>IF(ISNUMBER(INDEX('Cash schedule'!$AO$6:$AO$185,(MATCH($B$5,'Cases'!$A$6:$A$10,0)-1)*36+24)),INDEX('Cash schedule'!$AO$6:$AO$185,(MATCH($B$5,'Cases'!$A$6:$A$10,0)-1)*36+24),"")</f>
        <v/>
      </c>
      <c r="AB50" s="137">
        <f>IF(ISNUMBER(INDEX('Cash schedule'!$AO$6:$AO$185,(MATCH($B$5,'Cases'!$A$6:$A$10,0)-1)*36+25)),INDEX('Cash schedule'!$AO$6:$AO$185,(MATCH($B$5,'Cases'!$A$6:$A$10,0)-1)*36+25),"")</f>
        <v/>
      </c>
      <c r="AC50" s="137">
        <f>IF(ISNUMBER(INDEX('Cash schedule'!$AO$6:$AO$185,(MATCH($B$5,'Cases'!$A$6:$A$10,0)-1)*36+26)),INDEX('Cash schedule'!$AO$6:$AO$185,(MATCH($B$5,'Cases'!$A$6:$A$10,0)-1)*36+26),"")</f>
        <v/>
      </c>
      <c r="AD50" s="137">
        <f>IF(ISNUMBER(INDEX('Cash schedule'!$AO$6:$AO$185,(MATCH($B$5,'Cases'!$A$6:$A$10,0)-1)*36+27)),INDEX('Cash schedule'!$AO$6:$AO$185,(MATCH($B$5,'Cases'!$A$6:$A$10,0)-1)*36+27),"")</f>
        <v/>
      </c>
      <c r="AE50" s="137">
        <f>IF(ISNUMBER(INDEX('Cash schedule'!$AO$6:$AO$185,(MATCH($B$5,'Cases'!$A$6:$A$10,0)-1)*36+28)),INDEX('Cash schedule'!$AO$6:$AO$185,(MATCH($B$5,'Cases'!$A$6:$A$10,0)-1)*36+28),"")</f>
        <v/>
      </c>
      <c r="AF50" s="137">
        <f>IF(ISNUMBER(INDEX('Cash schedule'!$AO$6:$AO$185,(MATCH($B$5,'Cases'!$A$6:$A$10,0)-1)*36+29)),INDEX('Cash schedule'!$AO$6:$AO$185,(MATCH($B$5,'Cases'!$A$6:$A$10,0)-1)*36+29),"")</f>
        <v/>
      </c>
      <c r="AG50" s="137">
        <f>IF(ISNUMBER(INDEX('Cash schedule'!$AO$6:$AO$185,(MATCH($B$5,'Cases'!$A$6:$A$10,0)-1)*36+30)),INDEX('Cash schedule'!$AO$6:$AO$185,(MATCH($B$5,'Cases'!$A$6:$A$10,0)-1)*36+30),"")</f>
        <v/>
      </c>
      <c r="AH50" s="137">
        <f>IF(ISNUMBER(INDEX('Cash schedule'!$AO$6:$AO$185,(MATCH($B$5,'Cases'!$A$6:$A$10,0)-1)*36+31)),INDEX('Cash schedule'!$AO$6:$AO$185,(MATCH($B$5,'Cases'!$A$6:$A$10,0)-1)*36+31),"")</f>
        <v/>
      </c>
      <c r="AI50" s="137">
        <f>IF(ISNUMBER(INDEX('Cash schedule'!$AO$6:$AO$185,(MATCH($B$5,'Cases'!$A$6:$A$10,0)-1)*36+32)),INDEX('Cash schedule'!$AO$6:$AO$185,(MATCH($B$5,'Cases'!$A$6:$A$10,0)-1)*36+32),"")</f>
        <v/>
      </c>
      <c r="AJ50" s="137">
        <f>IF(ISNUMBER(INDEX('Cash schedule'!$AO$6:$AO$185,(MATCH($B$5,'Cases'!$A$6:$A$10,0)-1)*36+33)),INDEX('Cash schedule'!$AO$6:$AO$185,(MATCH($B$5,'Cases'!$A$6:$A$10,0)-1)*36+33),"")</f>
        <v/>
      </c>
      <c r="AK50" s="137">
        <f>IF(ISNUMBER(INDEX('Cash schedule'!$AO$6:$AO$185,(MATCH($B$5,'Cases'!$A$6:$A$10,0)-1)*36+34)),INDEX('Cash schedule'!$AO$6:$AO$185,(MATCH($B$5,'Cases'!$A$6:$A$10,0)-1)*36+34),"")</f>
        <v/>
      </c>
      <c r="AL50" s="137">
        <f>IF(ISNUMBER(INDEX('Cash schedule'!$AO$6:$AO$185,(MATCH($B$5,'Cases'!$A$6:$A$10,0)-1)*36+35)),INDEX('Cash schedule'!$AO$6:$AO$185,(MATCH($B$5,'Cases'!$A$6:$A$10,0)-1)*36+35),"")</f>
        <v/>
      </c>
      <c r="AM50" s="137">
        <f>IF(ISNUMBER(INDEX('Cash schedule'!$AO$6:$AO$185,(MATCH($B$5,'Cases'!$A$6:$A$10,0)-1)*36+36)),INDEX('Cash schedule'!$AO$6:$AO$185,(MATCH($B$5,'Cases'!$A$6:$A$10,0)-1)*36+36),"")</f>
        <v/>
      </c>
    </row>
    <row r="51" ht="28" customHeight="1">
      <c r="A51" s="4" t="n"/>
      <c r="B51" s="4" t="n"/>
      <c r="C51" s="4" t="n"/>
      <c r="D51" s="137" t="n"/>
      <c r="E51" s="137" t="n"/>
      <c r="F51" s="137" t="n"/>
      <c r="G51" s="137" t="n"/>
      <c r="H51" s="137" t="n"/>
      <c r="I51" s="137" t="n"/>
      <c r="J51" s="137" t="n"/>
      <c r="K51" s="137" t="n"/>
      <c r="L51" s="137" t="n"/>
      <c r="M51" s="137" t="n"/>
      <c r="N51" s="137" t="n"/>
      <c r="O51" s="137" t="n"/>
      <c r="P51" s="137" t="n"/>
      <c r="Q51" s="137" t="n"/>
      <c r="R51" s="137" t="n"/>
      <c r="S51" s="137" t="n"/>
      <c r="T51" s="137" t="n"/>
      <c r="U51" s="137" t="n"/>
      <c r="V51" s="137" t="n"/>
      <c r="W51" s="137" t="n"/>
      <c r="X51" s="137" t="n"/>
      <c r="Y51" s="137" t="n"/>
      <c r="Z51" s="137" t="n"/>
      <c r="AA51" s="137" t="n"/>
      <c r="AB51" s="137" t="n"/>
      <c r="AC51" s="137" t="n"/>
      <c r="AD51" s="137" t="n"/>
      <c r="AE51" s="137" t="n"/>
      <c r="AF51" s="137" t="n"/>
      <c r="AG51" s="137" t="n"/>
      <c r="AH51" s="137" t="n"/>
      <c r="AI51" s="137" t="n"/>
      <c r="AJ51" s="137" t="n"/>
      <c r="AK51" s="137" t="n"/>
      <c r="AL51" s="137" t="n"/>
      <c r="AM51" s="137" t="n"/>
    </row>
    <row r="52" ht="36" customHeight="1">
      <c r="A52" s="8" t="inlineStr">
        <is>
          <t>Accrual results</t>
        </is>
      </c>
      <c r="B52" s="8" t="n"/>
      <c r="C52" s="8" t="n"/>
      <c r="D52" s="140" t="n"/>
      <c r="E52" s="140" t="n"/>
      <c r="F52" s="140" t="n"/>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c r="AA52" s="140" t="n"/>
      <c r="AB52" s="140" t="n"/>
      <c r="AC52" s="140" t="n"/>
      <c r="AD52" s="140" t="n"/>
      <c r="AE52" s="140" t="n"/>
      <c r="AF52" s="140" t="n"/>
      <c r="AG52" s="140" t="n"/>
      <c r="AH52" s="140" t="n"/>
      <c r="AI52" s="140" t="n"/>
      <c r="AJ52" s="140" t="n"/>
      <c r="AK52" s="140" t="n"/>
      <c r="AL52" s="140" t="n"/>
      <c r="AM52" s="140" t="n"/>
    </row>
    <row r="53" ht="28" customHeight="1">
      <c r="A53" s="4" t="inlineStr">
        <is>
          <t>Goods invoiced</t>
        </is>
      </c>
      <c r="B53" s="4" t="n"/>
      <c r="C53" s="4" t="n"/>
      <c r="D53" s="137">
        <f>IF(ISNUMBER(INDEX('Cash schedule'!$AQ$6:$AQ$185,(MATCH($B$5,'Cases'!$A$6:$A$10,0)-1)*36+1)),INDEX('Cash schedule'!$AQ$6:$AQ$185,(MATCH($B$5,'Cases'!$A$6:$A$10,0)-1)*36+1),"")</f>
        <v/>
      </c>
      <c r="E53" s="137">
        <f>IF(ISNUMBER(INDEX('Cash schedule'!$AQ$6:$AQ$185,(MATCH($B$5,'Cases'!$A$6:$A$10,0)-1)*36+2)),INDEX('Cash schedule'!$AQ$6:$AQ$185,(MATCH($B$5,'Cases'!$A$6:$A$10,0)-1)*36+2),"")</f>
        <v/>
      </c>
      <c r="F53" s="137">
        <f>IF(ISNUMBER(INDEX('Cash schedule'!$AQ$6:$AQ$185,(MATCH($B$5,'Cases'!$A$6:$A$10,0)-1)*36+3)),INDEX('Cash schedule'!$AQ$6:$AQ$185,(MATCH($B$5,'Cases'!$A$6:$A$10,0)-1)*36+3),"")</f>
        <v/>
      </c>
      <c r="G53" s="137">
        <f>IF(ISNUMBER(INDEX('Cash schedule'!$AQ$6:$AQ$185,(MATCH($B$5,'Cases'!$A$6:$A$10,0)-1)*36+4)),INDEX('Cash schedule'!$AQ$6:$AQ$185,(MATCH($B$5,'Cases'!$A$6:$A$10,0)-1)*36+4),"")</f>
        <v/>
      </c>
      <c r="H53" s="137">
        <f>IF(ISNUMBER(INDEX('Cash schedule'!$AQ$6:$AQ$185,(MATCH($B$5,'Cases'!$A$6:$A$10,0)-1)*36+5)),INDEX('Cash schedule'!$AQ$6:$AQ$185,(MATCH($B$5,'Cases'!$A$6:$A$10,0)-1)*36+5),"")</f>
        <v/>
      </c>
      <c r="I53" s="137">
        <f>IF(ISNUMBER(INDEX('Cash schedule'!$AQ$6:$AQ$185,(MATCH($B$5,'Cases'!$A$6:$A$10,0)-1)*36+6)),INDEX('Cash schedule'!$AQ$6:$AQ$185,(MATCH($B$5,'Cases'!$A$6:$A$10,0)-1)*36+6),"")</f>
        <v/>
      </c>
      <c r="J53" s="137">
        <f>IF(ISNUMBER(INDEX('Cash schedule'!$AQ$6:$AQ$185,(MATCH($B$5,'Cases'!$A$6:$A$10,0)-1)*36+7)),INDEX('Cash schedule'!$AQ$6:$AQ$185,(MATCH($B$5,'Cases'!$A$6:$A$10,0)-1)*36+7),"")</f>
        <v/>
      </c>
      <c r="K53" s="137">
        <f>IF(ISNUMBER(INDEX('Cash schedule'!$AQ$6:$AQ$185,(MATCH($B$5,'Cases'!$A$6:$A$10,0)-1)*36+8)),INDEX('Cash schedule'!$AQ$6:$AQ$185,(MATCH($B$5,'Cases'!$A$6:$A$10,0)-1)*36+8),"")</f>
        <v/>
      </c>
      <c r="L53" s="137">
        <f>IF(ISNUMBER(INDEX('Cash schedule'!$AQ$6:$AQ$185,(MATCH($B$5,'Cases'!$A$6:$A$10,0)-1)*36+9)),INDEX('Cash schedule'!$AQ$6:$AQ$185,(MATCH($B$5,'Cases'!$A$6:$A$10,0)-1)*36+9),"")</f>
        <v/>
      </c>
      <c r="M53" s="137">
        <f>IF(ISNUMBER(INDEX('Cash schedule'!$AQ$6:$AQ$185,(MATCH($B$5,'Cases'!$A$6:$A$10,0)-1)*36+10)),INDEX('Cash schedule'!$AQ$6:$AQ$185,(MATCH($B$5,'Cases'!$A$6:$A$10,0)-1)*36+10),"")</f>
        <v/>
      </c>
      <c r="N53" s="137">
        <f>IF(ISNUMBER(INDEX('Cash schedule'!$AQ$6:$AQ$185,(MATCH($B$5,'Cases'!$A$6:$A$10,0)-1)*36+11)),INDEX('Cash schedule'!$AQ$6:$AQ$185,(MATCH($B$5,'Cases'!$A$6:$A$10,0)-1)*36+11),"")</f>
        <v/>
      </c>
      <c r="O53" s="137">
        <f>IF(ISNUMBER(INDEX('Cash schedule'!$AQ$6:$AQ$185,(MATCH($B$5,'Cases'!$A$6:$A$10,0)-1)*36+12)),INDEX('Cash schedule'!$AQ$6:$AQ$185,(MATCH($B$5,'Cases'!$A$6:$A$10,0)-1)*36+12),"")</f>
        <v/>
      </c>
      <c r="P53" s="137">
        <f>IF(ISNUMBER(INDEX('Cash schedule'!$AQ$6:$AQ$185,(MATCH($B$5,'Cases'!$A$6:$A$10,0)-1)*36+13)),INDEX('Cash schedule'!$AQ$6:$AQ$185,(MATCH($B$5,'Cases'!$A$6:$A$10,0)-1)*36+13),"")</f>
        <v/>
      </c>
      <c r="Q53" s="137">
        <f>IF(ISNUMBER(INDEX('Cash schedule'!$AQ$6:$AQ$185,(MATCH($B$5,'Cases'!$A$6:$A$10,0)-1)*36+14)),INDEX('Cash schedule'!$AQ$6:$AQ$185,(MATCH($B$5,'Cases'!$A$6:$A$10,0)-1)*36+14),"")</f>
        <v/>
      </c>
      <c r="R53" s="137">
        <f>IF(ISNUMBER(INDEX('Cash schedule'!$AQ$6:$AQ$185,(MATCH($B$5,'Cases'!$A$6:$A$10,0)-1)*36+15)),INDEX('Cash schedule'!$AQ$6:$AQ$185,(MATCH($B$5,'Cases'!$A$6:$A$10,0)-1)*36+15),"")</f>
        <v/>
      </c>
      <c r="S53" s="137">
        <f>IF(ISNUMBER(INDEX('Cash schedule'!$AQ$6:$AQ$185,(MATCH($B$5,'Cases'!$A$6:$A$10,0)-1)*36+16)),INDEX('Cash schedule'!$AQ$6:$AQ$185,(MATCH($B$5,'Cases'!$A$6:$A$10,0)-1)*36+16),"")</f>
        <v/>
      </c>
      <c r="T53" s="137">
        <f>IF(ISNUMBER(INDEX('Cash schedule'!$AQ$6:$AQ$185,(MATCH($B$5,'Cases'!$A$6:$A$10,0)-1)*36+17)),INDEX('Cash schedule'!$AQ$6:$AQ$185,(MATCH($B$5,'Cases'!$A$6:$A$10,0)-1)*36+17),"")</f>
        <v/>
      </c>
      <c r="U53" s="137">
        <f>IF(ISNUMBER(INDEX('Cash schedule'!$AQ$6:$AQ$185,(MATCH($B$5,'Cases'!$A$6:$A$10,0)-1)*36+18)),INDEX('Cash schedule'!$AQ$6:$AQ$185,(MATCH($B$5,'Cases'!$A$6:$A$10,0)-1)*36+18),"")</f>
        <v/>
      </c>
      <c r="V53" s="137">
        <f>IF(ISNUMBER(INDEX('Cash schedule'!$AQ$6:$AQ$185,(MATCH($B$5,'Cases'!$A$6:$A$10,0)-1)*36+19)),INDEX('Cash schedule'!$AQ$6:$AQ$185,(MATCH($B$5,'Cases'!$A$6:$A$10,0)-1)*36+19),"")</f>
        <v/>
      </c>
      <c r="W53" s="137">
        <f>IF(ISNUMBER(INDEX('Cash schedule'!$AQ$6:$AQ$185,(MATCH($B$5,'Cases'!$A$6:$A$10,0)-1)*36+20)),INDEX('Cash schedule'!$AQ$6:$AQ$185,(MATCH($B$5,'Cases'!$A$6:$A$10,0)-1)*36+20),"")</f>
        <v/>
      </c>
      <c r="X53" s="137">
        <f>IF(ISNUMBER(INDEX('Cash schedule'!$AQ$6:$AQ$185,(MATCH($B$5,'Cases'!$A$6:$A$10,0)-1)*36+21)),INDEX('Cash schedule'!$AQ$6:$AQ$185,(MATCH($B$5,'Cases'!$A$6:$A$10,0)-1)*36+21),"")</f>
        <v/>
      </c>
      <c r="Y53" s="137">
        <f>IF(ISNUMBER(INDEX('Cash schedule'!$AQ$6:$AQ$185,(MATCH($B$5,'Cases'!$A$6:$A$10,0)-1)*36+22)),INDEX('Cash schedule'!$AQ$6:$AQ$185,(MATCH($B$5,'Cases'!$A$6:$A$10,0)-1)*36+22),"")</f>
        <v/>
      </c>
      <c r="Z53" s="137">
        <f>IF(ISNUMBER(INDEX('Cash schedule'!$AQ$6:$AQ$185,(MATCH($B$5,'Cases'!$A$6:$A$10,0)-1)*36+23)),INDEX('Cash schedule'!$AQ$6:$AQ$185,(MATCH($B$5,'Cases'!$A$6:$A$10,0)-1)*36+23),"")</f>
        <v/>
      </c>
      <c r="AA53" s="137">
        <f>IF(ISNUMBER(INDEX('Cash schedule'!$AQ$6:$AQ$185,(MATCH($B$5,'Cases'!$A$6:$A$10,0)-1)*36+24)),INDEX('Cash schedule'!$AQ$6:$AQ$185,(MATCH($B$5,'Cases'!$A$6:$A$10,0)-1)*36+24),"")</f>
        <v/>
      </c>
      <c r="AB53" s="137">
        <f>IF(ISNUMBER(INDEX('Cash schedule'!$AQ$6:$AQ$185,(MATCH($B$5,'Cases'!$A$6:$A$10,0)-1)*36+25)),INDEX('Cash schedule'!$AQ$6:$AQ$185,(MATCH($B$5,'Cases'!$A$6:$A$10,0)-1)*36+25),"")</f>
        <v/>
      </c>
      <c r="AC53" s="137">
        <f>IF(ISNUMBER(INDEX('Cash schedule'!$AQ$6:$AQ$185,(MATCH($B$5,'Cases'!$A$6:$A$10,0)-1)*36+26)),INDEX('Cash schedule'!$AQ$6:$AQ$185,(MATCH($B$5,'Cases'!$A$6:$A$10,0)-1)*36+26),"")</f>
        <v/>
      </c>
      <c r="AD53" s="137">
        <f>IF(ISNUMBER(INDEX('Cash schedule'!$AQ$6:$AQ$185,(MATCH($B$5,'Cases'!$A$6:$A$10,0)-1)*36+27)),INDEX('Cash schedule'!$AQ$6:$AQ$185,(MATCH($B$5,'Cases'!$A$6:$A$10,0)-1)*36+27),"")</f>
        <v/>
      </c>
      <c r="AE53" s="137">
        <f>IF(ISNUMBER(INDEX('Cash schedule'!$AQ$6:$AQ$185,(MATCH($B$5,'Cases'!$A$6:$A$10,0)-1)*36+28)),INDEX('Cash schedule'!$AQ$6:$AQ$185,(MATCH($B$5,'Cases'!$A$6:$A$10,0)-1)*36+28),"")</f>
        <v/>
      </c>
      <c r="AF53" s="137">
        <f>IF(ISNUMBER(INDEX('Cash schedule'!$AQ$6:$AQ$185,(MATCH($B$5,'Cases'!$A$6:$A$10,0)-1)*36+29)),INDEX('Cash schedule'!$AQ$6:$AQ$185,(MATCH($B$5,'Cases'!$A$6:$A$10,0)-1)*36+29),"")</f>
        <v/>
      </c>
      <c r="AG53" s="137">
        <f>IF(ISNUMBER(INDEX('Cash schedule'!$AQ$6:$AQ$185,(MATCH($B$5,'Cases'!$A$6:$A$10,0)-1)*36+30)),INDEX('Cash schedule'!$AQ$6:$AQ$185,(MATCH($B$5,'Cases'!$A$6:$A$10,0)-1)*36+30),"")</f>
        <v/>
      </c>
      <c r="AH53" s="137">
        <f>IF(ISNUMBER(INDEX('Cash schedule'!$AQ$6:$AQ$185,(MATCH($B$5,'Cases'!$A$6:$A$10,0)-1)*36+31)),INDEX('Cash schedule'!$AQ$6:$AQ$185,(MATCH($B$5,'Cases'!$A$6:$A$10,0)-1)*36+31),"")</f>
        <v/>
      </c>
      <c r="AI53" s="137">
        <f>IF(ISNUMBER(INDEX('Cash schedule'!$AQ$6:$AQ$185,(MATCH($B$5,'Cases'!$A$6:$A$10,0)-1)*36+32)),INDEX('Cash schedule'!$AQ$6:$AQ$185,(MATCH($B$5,'Cases'!$A$6:$A$10,0)-1)*36+32),"")</f>
        <v/>
      </c>
      <c r="AJ53" s="137">
        <f>IF(ISNUMBER(INDEX('Cash schedule'!$AQ$6:$AQ$185,(MATCH($B$5,'Cases'!$A$6:$A$10,0)-1)*36+33)),INDEX('Cash schedule'!$AQ$6:$AQ$185,(MATCH($B$5,'Cases'!$A$6:$A$10,0)-1)*36+33),"")</f>
        <v/>
      </c>
      <c r="AK53" s="137">
        <f>IF(ISNUMBER(INDEX('Cash schedule'!$AQ$6:$AQ$185,(MATCH($B$5,'Cases'!$A$6:$A$10,0)-1)*36+34)),INDEX('Cash schedule'!$AQ$6:$AQ$185,(MATCH($B$5,'Cases'!$A$6:$A$10,0)-1)*36+34),"")</f>
        <v/>
      </c>
      <c r="AL53" s="137">
        <f>IF(ISNUMBER(INDEX('Cash schedule'!$AQ$6:$AQ$185,(MATCH($B$5,'Cases'!$A$6:$A$10,0)-1)*36+35)),INDEX('Cash schedule'!$AQ$6:$AQ$185,(MATCH($B$5,'Cases'!$A$6:$A$10,0)-1)*36+35),"")</f>
        <v/>
      </c>
      <c r="AM53" s="137">
        <f>IF(ISNUMBER(INDEX('Cash schedule'!$AQ$6:$AQ$185,(MATCH($B$5,'Cases'!$A$6:$A$10,0)-1)*36+36)),INDEX('Cash schedule'!$AQ$6:$AQ$185,(MATCH($B$5,'Cases'!$A$6:$A$10,0)-1)*36+36),"")</f>
        <v/>
      </c>
    </row>
    <row r="54" ht="28" customHeight="1">
      <c r="A54" s="4" t="inlineStr">
        <is>
          <t>Grant income</t>
        </is>
      </c>
      <c r="B54" s="4" t="n"/>
      <c r="C54" s="4" t="n"/>
      <c r="D54" s="137">
        <f>IF(ISNUMBER(INDEX('Cash schedule'!$AR$6:$AR$185,(MATCH($B$5,'Cases'!$A$6:$A$10,0)-1)*36+1)),INDEX('Cash schedule'!$AR$6:$AR$185,(MATCH($B$5,'Cases'!$A$6:$A$10,0)-1)*36+1),"")</f>
        <v/>
      </c>
      <c r="E54" s="137">
        <f>IF(ISNUMBER(INDEX('Cash schedule'!$AR$6:$AR$185,(MATCH($B$5,'Cases'!$A$6:$A$10,0)-1)*36+2)),INDEX('Cash schedule'!$AR$6:$AR$185,(MATCH($B$5,'Cases'!$A$6:$A$10,0)-1)*36+2),"")</f>
        <v/>
      </c>
      <c r="F54" s="137">
        <f>IF(ISNUMBER(INDEX('Cash schedule'!$AR$6:$AR$185,(MATCH($B$5,'Cases'!$A$6:$A$10,0)-1)*36+3)),INDEX('Cash schedule'!$AR$6:$AR$185,(MATCH($B$5,'Cases'!$A$6:$A$10,0)-1)*36+3),"")</f>
        <v/>
      </c>
      <c r="G54" s="137">
        <f>IF(ISNUMBER(INDEX('Cash schedule'!$AR$6:$AR$185,(MATCH($B$5,'Cases'!$A$6:$A$10,0)-1)*36+4)),INDEX('Cash schedule'!$AR$6:$AR$185,(MATCH($B$5,'Cases'!$A$6:$A$10,0)-1)*36+4),"")</f>
        <v/>
      </c>
      <c r="H54" s="137">
        <f>IF(ISNUMBER(INDEX('Cash schedule'!$AR$6:$AR$185,(MATCH($B$5,'Cases'!$A$6:$A$10,0)-1)*36+5)),INDEX('Cash schedule'!$AR$6:$AR$185,(MATCH($B$5,'Cases'!$A$6:$A$10,0)-1)*36+5),"")</f>
        <v/>
      </c>
      <c r="I54" s="137">
        <f>IF(ISNUMBER(INDEX('Cash schedule'!$AR$6:$AR$185,(MATCH($B$5,'Cases'!$A$6:$A$10,0)-1)*36+6)),INDEX('Cash schedule'!$AR$6:$AR$185,(MATCH($B$5,'Cases'!$A$6:$A$10,0)-1)*36+6),"")</f>
        <v/>
      </c>
      <c r="J54" s="137">
        <f>IF(ISNUMBER(INDEX('Cash schedule'!$AR$6:$AR$185,(MATCH($B$5,'Cases'!$A$6:$A$10,0)-1)*36+7)),INDEX('Cash schedule'!$AR$6:$AR$185,(MATCH($B$5,'Cases'!$A$6:$A$10,0)-1)*36+7),"")</f>
        <v/>
      </c>
      <c r="K54" s="137">
        <f>IF(ISNUMBER(INDEX('Cash schedule'!$AR$6:$AR$185,(MATCH($B$5,'Cases'!$A$6:$A$10,0)-1)*36+8)),INDEX('Cash schedule'!$AR$6:$AR$185,(MATCH($B$5,'Cases'!$A$6:$A$10,0)-1)*36+8),"")</f>
        <v/>
      </c>
      <c r="L54" s="137">
        <f>IF(ISNUMBER(INDEX('Cash schedule'!$AR$6:$AR$185,(MATCH($B$5,'Cases'!$A$6:$A$10,0)-1)*36+9)),INDEX('Cash schedule'!$AR$6:$AR$185,(MATCH($B$5,'Cases'!$A$6:$A$10,0)-1)*36+9),"")</f>
        <v/>
      </c>
      <c r="M54" s="137">
        <f>IF(ISNUMBER(INDEX('Cash schedule'!$AR$6:$AR$185,(MATCH($B$5,'Cases'!$A$6:$A$10,0)-1)*36+10)),INDEX('Cash schedule'!$AR$6:$AR$185,(MATCH($B$5,'Cases'!$A$6:$A$10,0)-1)*36+10),"")</f>
        <v/>
      </c>
      <c r="N54" s="137">
        <f>IF(ISNUMBER(INDEX('Cash schedule'!$AR$6:$AR$185,(MATCH($B$5,'Cases'!$A$6:$A$10,0)-1)*36+11)),INDEX('Cash schedule'!$AR$6:$AR$185,(MATCH($B$5,'Cases'!$A$6:$A$10,0)-1)*36+11),"")</f>
        <v/>
      </c>
      <c r="O54" s="137">
        <f>IF(ISNUMBER(INDEX('Cash schedule'!$AR$6:$AR$185,(MATCH($B$5,'Cases'!$A$6:$A$10,0)-1)*36+12)),INDEX('Cash schedule'!$AR$6:$AR$185,(MATCH($B$5,'Cases'!$A$6:$A$10,0)-1)*36+12),"")</f>
        <v/>
      </c>
      <c r="P54" s="137">
        <f>IF(ISNUMBER(INDEX('Cash schedule'!$AR$6:$AR$185,(MATCH($B$5,'Cases'!$A$6:$A$10,0)-1)*36+13)),INDEX('Cash schedule'!$AR$6:$AR$185,(MATCH($B$5,'Cases'!$A$6:$A$10,0)-1)*36+13),"")</f>
        <v/>
      </c>
      <c r="Q54" s="137">
        <f>IF(ISNUMBER(INDEX('Cash schedule'!$AR$6:$AR$185,(MATCH($B$5,'Cases'!$A$6:$A$10,0)-1)*36+14)),INDEX('Cash schedule'!$AR$6:$AR$185,(MATCH($B$5,'Cases'!$A$6:$A$10,0)-1)*36+14),"")</f>
        <v/>
      </c>
      <c r="R54" s="137">
        <f>IF(ISNUMBER(INDEX('Cash schedule'!$AR$6:$AR$185,(MATCH($B$5,'Cases'!$A$6:$A$10,0)-1)*36+15)),INDEX('Cash schedule'!$AR$6:$AR$185,(MATCH($B$5,'Cases'!$A$6:$A$10,0)-1)*36+15),"")</f>
        <v/>
      </c>
      <c r="S54" s="137">
        <f>IF(ISNUMBER(INDEX('Cash schedule'!$AR$6:$AR$185,(MATCH($B$5,'Cases'!$A$6:$A$10,0)-1)*36+16)),INDEX('Cash schedule'!$AR$6:$AR$185,(MATCH($B$5,'Cases'!$A$6:$A$10,0)-1)*36+16),"")</f>
        <v/>
      </c>
      <c r="T54" s="137">
        <f>IF(ISNUMBER(INDEX('Cash schedule'!$AR$6:$AR$185,(MATCH($B$5,'Cases'!$A$6:$A$10,0)-1)*36+17)),INDEX('Cash schedule'!$AR$6:$AR$185,(MATCH($B$5,'Cases'!$A$6:$A$10,0)-1)*36+17),"")</f>
        <v/>
      </c>
      <c r="U54" s="137">
        <f>IF(ISNUMBER(INDEX('Cash schedule'!$AR$6:$AR$185,(MATCH($B$5,'Cases'!$A$6:$A$10,0)-1)*36+18)),INDEX('Cash schedule'!$AR$6:$AR$185,(MATCH($B$5,'Cases'!$A$6:$A$10,0)-1)*36+18),"")</f>
        <v/>
      </c>
      <c r="V54" s="137">
        <f>IF(ISNUMBER(INDEX('Cash schedule'!$AR$6:$AR$185,(MATCH($B$5,'Cases'!$A$6:$A$10,0)-1)*36+19)),INDEX('Cash schedule'!$AR$6:$AR$185,(MATCH($B$5,'Cases'!$A$6:$A$10,0)-1)*36+19),"")</f>
        <v/>
      </c>
      <c r="W54" s="137">
        <f>IF(ISNUMBER(INDEX('Cash schedule'!$AR$6:$AR$185,(MATCH($B$5,'Cases'!$A$6:$A$10,0)-1)*36+20)),INDEX('Cash schedule'!$AR$6:$AR$185,(MATCH($B$5,'Cases'!$A$6:$A$10,0)-1)*36+20),"")</f>
        <v/>
      </c>
      <c r="X54" s="137">
        <f>IF(ISNUMBER(INDEX('Cash schedule'!$AR$6:$AR$185,(MATCH($B$5,'Cases'!$A$6:$A$10,0)-1)*36+21)),INDEX('Cash schedule'!$AR$6:$AR$185,(MATCH($B$5,'Cases'!$A$6:$A$10,0)-1)*36+21),"")</f>
        <v/>
      </c>
      <c r="Y54" s="137">
        <f>IF(ISNUMBER(INDEX('Cash schedule'!$AR$6:$AR$185,(MATCH($B$5,'Cases'!$A$6:$A$10,0)-1)*36+22)),INDEX('Cash schedule'!$AR$6:$AR$185,(MATCH($B$5,'Cases'!$A$6:$A$10,0)-1)*36+22),"")</f>
        <v/>
      </c>
      <c r="Z54" s="137">
        <f>IF(ISNUMBER(INDEX('Cash schedule'!$AR$6:$AR$185,(MATCH($B$5,'Cases'!$A$6:$A$10,0)-1)*36+23)),INDEX('Cash schedule'!$AR$6:$AR$185,(MATCH($B$5,'Cases'!$A$6:$A$10,0)-1)*36+23),"")</f>
        <v/>
      </c>
      <c r="AA54" s="137">
        <f>IF(ISNUMBER(INDEX('Cash schedule'!$AR$6:$AR$185,(MATCH($B$5,'Cases'!$A$6:$A$10,0)-1)*36+24)),INDEX('Cash schedule'!$AR$6:$AR$185,(MATCH($B$5,'Cases'!$A$6:$A$10,0)-1)*36+24),"")</f>
        <v/>
      </c>
      <c r="AB54" s="137">
        <f>IF(ISNUMBER(INDEX('Cash schedule'!$AR$6:$AR$185,(MATCH($B$5,'Cases'!$A$6:$A$10,0)-1)*36+25)),INDEX('Cash schedule'!$AR$6:$AR$185,(MATCH($B$5,'Cases'!$A$6:$A$10,0)-1)*36+25),"")</f>
        <v/>
      </c>
      <c r="AC54" s="137">
        <f>IF(ISNUMBER(INDEX('Cash schedule'!$AR$6:$AR$185,(MATCH($B$5,'Cases'!$A$6:$A$10,0)-1)*36+26)),INDEX('Cash schedule'!$AR$6:$AR$185,(MATCH($B$5,'Cases'!$A$6:$A$10,0)-1)*36+26),"")</f>
        <v/>
      </c>
      <c r="AD54" s="137">
        <f>IF(ISNUMBER(INDEX('Cash schedule'!$AR$6:$AR$185,(MATCH($B$5,'Cases'!$A$6:$A$10,0)-1)*36+27)),INDEX('Cash schedule'!$AR$6:$AR$185,(MATCH($B$5,'Cases'!$A$6:$A$10,0)-1)*36+27),"")</f>
        <v/>
      </c>
      <c r="AE54" s="137">
        <f>IF(ISNUMBER(INDEX('Cash schedule'!$AR$6:$AR$185,(MATCH($B$5,'Cases'!$A$6:$A$10,0)-1)*36+28)),INDEX('Cash schedule'!$AR$6:$AR$185,(MATCH($B$5,'Cases'!$A$6:$A$10,0)-1)*36+28),"")</f>
        <v/>
      </c>
      <c r="AF54" s="137">
        <f>IF(ISNUMBER(INDEX('Cash schedule'!$AR$6:$AR$185,(MATCH($B$5,'Cases'!$A$6:$A$10,0)-1)*36+29)),INDEX('Cash schedule'!$AR$6:$AR$185,(MATCH($B$5,'Cases'!$A$6:$A$10,0)-1)*36+29),"")</f>
        <v/>
      </c>
      <c r="AG54" s="137">
        <f>IF(ISNUMBER(INDEX('Cash schedule'!$AR$6:$AR$185,(MATCH($B$5,'Cases'!$A$6:$A$10,0)-1)*36+30)),INDEX('Cash schedule'!$AR$6:$AR$185,(MATCH($B$5,'Cases'!$A$6:$A$10,0)-1)*36+30),"")</f>
        <v/>
      </c>
      <c r="AH54" s="137">
        <f>IF(ISNUMBER(INDEX('Cash schedule'!$AR$6:$AR$185,(MATCH($B$5,'Cases'!$A$6:$A$10,0)-1)*36+31)),INDEX('Cash schedule'!$AR$6:$AR$185,(MATCH($B$5,'Cases'!$A$6:$A$10,0)-1)*36+31),"")</f>
        <v/>
      </c>
      <c r="AI54" s="137">
        <f>IF(ISNUMBER(INDEX('Cash schedule'!$AR$6:$AR$185,(MATCH($B$5,'Cases'!$A$6:$A$10,0)-1)*36+32)),INDEX('Cash schedule'!$AR$6:$AR$185,(MATCH($B$5,'Cases'!$A$6:$A$10,0)-1)*36+32),"")</f>
        <v/>
      </c>
      <c r="AJ54" s="137">
        <f>IF(ISNUMBER(INDEX('Cash schedule'!$AR$6:$AR$185,(MATCH($B$5,'Cases'!$A$6:$A$10,0)-1)*36+33)),INDEX('Cash schedule'!$AR$6:$AR$185,(MATCH($B$5,'Cases'!$A$6:$A$10,0)-1)*36+33),"")</f>
        <v/>
      </c>
      <c r="AK54" s="137">
        <f>IF(ISNUMBER(INDEX('Cash schedule'!$AR$6:$AR$185,(MATCH($B$5,'Cases'!$A$6:$A$10,0)-1)*36+34)),INDEX('Cash schedule'!$AR$6:$AR$185,(MATCH($B$5,'Cases'!$A$6:$A$10,0)-1)*36+34),"")</f>
        <v/>
      </c>
      <c r="AL54" s="137">
        <f>IF(ISNUMBER(INDEX('Cash schedule'!$AR$6:$AR$185,(MATCH($B$5,'Cases'!$A$6:$A$10,0)-1)*36+35)),INDEX('Cash schedule'!$AR$6:$AR$185,(MATCH($B$5,'Cases'!$A$6:$A$10,0)-1)*36+35),"")</f>
        <v/>
      </c>
      <c r="AM54" s="137">
        <f>IF(ISNUMBER(INDEX('Cash schedule'!$AR$6:$AR$185,(MATCH($B$5,'Cases'!$A$6:$A$10,0)-1)*36+36)),INDEX('Cash schedule'!$AR$6:$AR$185,(MATCH($B$5,'Cases'!$A$6:$A$10,0)-1)*36+36),"")</f>
        <v/>
      </c>
    </row>
    <row r="55" ht="28" customHeight="1">
      <c r="A55" s="4" t="inlineStr">
        <is>
          <t>Making expense</t>
        </is>
      </c>
      <c r="B55" s="4" t="n"/>
      <c r="C55" s="4" t="n"/>
      <c r="D55" s="137">
        <f>IF(ISNUMBER(INDEX('Cash schedule'!$AP$6:$AP$185,(MATCH($B$5,'Cases'!$A$6:$A$10,0)-1)*36+1)),INDEX('Cash schedule'!$AP$6:$AP$185,(MATCH($B$5,'Cases'!$A$6:$A$10,0)-1)*36+1),"")</f>
        <v/>
      </c>
      <c r="E55" s="137">
        <f>IF(ISNUMBER(INDEX('Cash schedule'!$AP$6:$AP$185,(MATCH($B$5,'Cases'!$A$6:$A$10,0)-1)*36+2)),INDEX('Cash schedule'!$AP$6:$AP$185,(MATCH($B$5,'Cases'!$A$6:$A$10,0)-1)*36+2),"")</f>
        <v/>
      </c>
      <c r="F55" s="137">
        <f>IF(ISNUMBER(INDEX('Cash schedule'!$AP$6:$AP$185,(MATCH($B$5,'Cases'!$A$6:$A$10,0)-1)*36+3)),INDEX('Cash schedule'!$AP$6:$AP$185,(MATCH($B$5,'Cases'!$A$6:$A$10,0)-1)*36+3),"")</f>
        <v/>
      </c>
      <c r="G55" s="137">
        <f>IF(ISNUMBER(INDEX('Cash schedule'!$AP$6:$AP$185,(MATCH($B$5,'Cases'!$A$6:$A$10,0)-1)*36+4)),INDEX('Cash schedule'!$AP$6:$AP$185,(MATCH($B$5,'Cases'!$A$6:$A$10,0)-1)*36+4),"")</f>
        <v/>
      </c>
      <c r="H55" s="137">
        <f>IF(ISNUMBER(INDEX('Cash schedule'!$AP$6:$AP$185,(MATCH($B$5,'Cases'!$A$6:$A$10,0)-1)*36+5)),INDEX('Cash schedule'!$AP$6:$AP$185,(MATCH($B$5,'Cases'!$A$6:$A$10,0)-1)*36+5),"")</f>
        <v/>
      </c>
      <c r="I55" s="137">
        <f>IF(ISNUMBER(INDEX('Cash schedule'!$AP$6:$AP$185,(MATCH($B$5,'Cases'!$A$6:$A$10,0)-1)*36+6)),INDEX('Cash schedule'!$AP$6:$AP$185,(MATCH($B$5,'Cases'!$A$6:$A$10,0)-1)*36+6),"")</f>
        <v/>
      </c>
      <c r="J55" s="137">
        <f>IF(ISNUMBER(INDEX('Cash schedule'!$AP$6:$AP$185,(MATCH($B$5,'Cases'!$A$6:$A$10,0)-1)*36+7)),INDEX('Cash schedule'!$AP$6:$AP$185,(MATCH($B$5,'Cases'!$A$6:$A$10,0)-1)*36+7),"")</f>
        <v/>
      </c>
      <c r="K55" s="137">
        <f>IF(ISNUMBER(INDEX('Cash schedule'!$AP$6:$AP$185,(MATCH($B$5,'Cases'!$A$6:$A$10,0)-1)*36+8)),INDEX('Cash schedule'!$AP$6:$AP$185,(MATCH($B$5,'Cases'!$A$6:$A$10,0)-1)*36+8),"")</f>
        <v/>
      </c>
      <c r="L55" s="137">
        <f>IF(ISNUMBER(INDEX('Cash schedule'!$AP$6:$AP$185,(MATCH($B$5,'Cases'!$A$6:$A$10,0)-1)*36+9)),INDEX('Cash schedule'!$AP$6:$AP$185,(MATCH($B$5,'Cases'!$A$6:$A$10,0)-1)*36+9),"")</f>
        <v/>
      </c>
      <c r="M55" s="137">
        <f>IF(ISNUMBER(INDEX('Cash schedule'!$AP$6:$AP$185,(MATCH($B$5,'Cases'!$A$6:$A$10,0)-1)*36+10)),INDEX('Cash schedule'!$AP$6:$AP$185,(MATCH($B$5,'Cases'!$A$6:$A$10,0)-1)*36+10),"")</f>
        <v/>
      </c>
      <c r="N55" s="137">
        <f>IF(ISNUMBER(INDEX('Cash schedule'!$AP$6:$AP$185,(MATCH($B$5,'Cases'!$A$6:$A$10,0)-1)*36+11)),INDEX('Cash schedule'!$AP$6:$AP$185,(MATCH($B$5,'Cases'!$A$6:$A$10,0)-1)*36+11),"")</f>
        <v/>
      </c>
      <c r="O55" s="137">
        <f>IF(ISNUMBER(INDEX('Cash schedule'!$AP$6:$AP$185,(MATCH($B$5,'Cases'!$A$6:$A$10,0)-1)*36+12)),INDEX('Cash schedule'!$AP$6:$AP$185,(MATCH($B$5,'Cases'!$A$6:$A$10,0)-1)*36+12),"")</f>
        <v/>
      </c>
      <c r="P55" s="137">
        <f>IF(ISNUMBER(INDEX('Cash schedule'!$AP$6:$AP$185,(MATCH($B$5,'Cases'!$A$6:$A$10,0)-1)*36+13)),INDEX('Cash schedule'!$AP$6:$AP$185,(MATCH($B$5,'Cases'!$A$6:$A$10,0)-1)*36+13),"")</f>
        <v/>
      </c>
      <c r="Q55" s="137">
        <f>IF(ISNUMBER(INDEX('Cash schedule'!$AP$6:$AP$185,(MATCH($B$5,'Cases'!$A$6:$A$10,0)-1)*36+14)),INDEX('Cash schedule'!$AP$6:$AP$185,(MATCH($B$5,'Cases'!$A$6:$A$10,0)-1)*36+14),"")</f>
        <v/>
      </c>
      <c r="R55" s="137">
        <f>IF(ISNUMBER(INDEX('Cash schedule'!$AP$6:$AP$185,(MATCH($B$5,'Cases'!$A$6:$A$10,0)-1)*36+15)),INDEX('Cash schedule'!$AP$6:$AP$185,(MATCH($B$5,'Cases'!$A$6:$A$10,0)-1)*36+15),"")</f>
        <v/>
      </c>
      <c r="S55" s="137">
        <f>IF(ISNUMBER(INDEX('Cash schedule'!$AP$6:$AP$185,(MATCH($B$5,'Cases'!$A$6:$A$10,0)-1)*36+16)),INDEX('Cash schedule'!$AP$6:$AP$185,(MATCH($B$5,'Cases'!$A$6:$A$10,0)-1)*36+16),"")</f>
        <v/>
      </c>
      <c r="T55" s="137">
        <f>IF(ISNUMBER(INDEX('Cash schedule'!$AP$6:$AP$185,(MATCH($B$5,'Cases'!$A$6:$A$10,0)-1)*36+17)),INDEX('Cash schedule'!$AP$6:$AP$185,(MATCH($B$5,'Cases'!$A$6:$A$10,0)-1)*36+17),"")</f>
        <v/>
      </c>
      <c r="U55" s="137">
        <f>IF(ISNUMBER(INDEX('Cash schedule'!$AP$6:$AP$185,(MATCH($B$5,'Cases'!$A$6:$A$10,0)-1)*36+18)),INDEX('Cash schedule'!$AP$6:$AP$185,(MATCH($B$5,'Cases'!$A$6:$A$10,0)-1)*36+18),"")</f>
        <v/>
      </c>
      <c r="V55" s="137">
        <f>IF(ISNUMBER(INDEX('Cash schedule'!$AP$6:$AP$185,(MATCH($B$5,'Cases'!$A$6:$A$10,0)-1)*36+19)),INDEX('Cash schedule'!$AP$6:$AP$185,(MATCH($B$5,'Cases'!$A$6:$A$10,0)-1)*36+19),"")</f>
        <v/>
      </c>
      <c r="W55" s="137">
        <f>IF(ISNUMBER(INDEX('Cash schedule'!$AP$6:$AP$185,(MATCH($B$5,'Cases'!$A$6:$A$10,0)-1)*36+20)),INDEX('Cash schedule'!$AP$6:$AP$185,(MATCH($B$5,'Cases'!$A$6:$A$10,0)-1)*36+20),"")</f>
        <v/>
      </c>
      <c r="X55" s="137">
        <f>IF(ISNUMBER(INDEX('Cash schedule'!$AP$6:$AP$185,(MATCH($B$5,'Cases'!$A$6:$A$10,0)-1)*36+21)),INDEX('Cash schedule'!$AP$6:$AP$185,(MATCH($B$5,'Cases'!$A$6:$A$10,0)-1)*36+21),"")</f>
        <v/>
      </c>
      <c r="Y55" s="137">
        <f>IF(ISNUMBER(INDEX('Cash schedule'!$AP$6:$AP$185,(MATCH($B$5,'Cases'!$A$6:$A$10,0)-1)*36+22)),INDEX('Cash schedule'!$AP$6:$AP$185,(MATCH($B$5,'Cases'!$A$6:$A$10,0)-1)*36+22),"")</f>
        <v/>
      </c>
      <c r="Z55" s="137">
        <f>IF(ISNUMBER(INDEX('Cash schedule'!$AP$6:$AP$185,(MATCH($B$5,'Cases'!$A$6:$A$10,0)-1)*36+23)),INDEX('Cash schedule'!$AP$6:$AP$185,(MATCH($B$5,'Cases'!$A$6:$A$10,0)-1)*36+23),"")</f>
        <v/>
      </c>
      <c r="AA55" s="137">
        <f>IF(ISNUMBER(INDEX('Cash schedule'!$AP$6:$AP$185,(MATCH($B$5,'Cases'!$A$6:$A$10,0)-1)*36+24)),INDEX('Cash schedule'!$AP$6:$AP$185,(MATCH($B$5,'Cases'!$A$6:$A$10,0)-1)*36+24),"")</f>
        <v/>
      </c>
      <c r="AB55" s="137">
        <f>IF(ISNUMBER(INDEX('Cash schedule'!$AP$6:$AP$185,(MATCH($B$5,'Cases'!$A$6:$A$10,0)-1)*36+25)),INDEX('Cash schedule'!$AP$6:$AP$185,(MATCH($B$5,'Cases'!$A$6:$A$10,0)-1)*36+25),"")</f>
        <v/>
      </c>
      <c r="AC55" s="137">
        <f>IF(ISNUMBER(INDEX('Cash schedule'!$AP$6:$AP$185,(MATCH($B$5,'Cases'!$A$6:$A$10,0)-1)*36+26)),INDEX('Cash schedule'!$AP$6:$AP$185,(MATCH($B$5,'Cases'!$A$6:$A$10,0)-1)*36+26),"")</f>
        <v/>
      </c>
      <c r="AD55" s="137">
        <f>IF(ISNUMBER(INDEX('Cash schedule'!$AP$6:$AP$185,(MATCH($B$5,'Cases'!$A$6:$A$10,0)-1)*36+27)),INDEX('Cash schedule'!$AP$6:$AP$185,(MATCH($B$5,'Cases'!$A$6:$A$10,0)-1)*36+27),"")</f>
        <v/>
      </c>
      <c r="AE55" s="137">
        <f>IF(ISNUMBER(INDEX('Cash schedule'!$AP$6:$AP$185,(MATCH($B$5,'Cases'!$A$6:$A$10,0)-1)*36+28)),INDEX('Cash schedule'!$AP$6:$AP$185,(MATCH($B$5,'Cases'!$A$6:$A$10,0)-1)*36+28),"")</f>
        <v/>
      </c>
      <c r="AF55" s="137">
        <f>IF(ISNUMBER(INDEX('Cash schedule'!$AP$6:$AP$185,(MATCH($B$5,'Cases'!$A$6:$A$10,0)-1)*36+29)),INDEX('Cash schedule'!$AP$6:$AP$185,(MATCH($B$5,'Cases'!$A$6:$A$10,0)-1)*36+29),"")</f>
        <v/>
      </c>
      <c r="AG55" s="137">
        <f>IF(ISNUMBER(INDEX('Cash schedule'!$AP$6:$AP$185,(MATCH($B$5,'Cases'!$A$6:$A$10,0)-1)*36+30)),INDEX('Cash schedule'!$AP$6:$AP$185,(MATCH($B$5,'Cases'!$A$6:$A$10,0)-1)*36+30),"")</f>
        <v/>
      </c>
      <c r="AH55" s="137">
        <f>IF(ISNUMBER(INDEX('Cash schedule'!$AP$6:$AP$185,(MATCH($B$5,'Cases'!$A$6:$A$10,0)-1)*36+31)),INDEX('Cash schedule'!$AP$6:$AP$185,(MATCH($B$5,'Cases'!$A$6:$A$10,0)-1)*36+31),"")</f>
        <v/>
      </c>
      <c r="AI55" s="137">
        <f>IF(ISNUMBER(INDEX('Cash schedule'!$AP$6:$AP$185,(MATCH($B$5,'Cases'!$A$6:$A$10,0)-1)*36+32)),INDEX('Cash schedule'!$AP$6:$AP$185,(MATCH($B$5,'Cases'!$A$6:$A$10,0)-1)*36+32),"")</f>
        <v/>
      </c>
      <c r="AJ55" s="137">
        <f>IF(ISNUMBER(INDEX('Cash schedule'!$AP$6:$AP$185,(MATCH($B$5,'Cases'!$A$6:$A$10,0)-1)*36+33)),INDEX('Cash schedule'!$AP$6:$AP$185,(MATCH($B$5,'Cases'!$A$6:$A$10,0)-1)*36+33),"")</f>
        <v/>
      </c>
      <c r="AK55" s="137">
        <f>IF(ISNUMBER(INDEX('Cash schedule'!$AP$6:$AP$185,(MATCH($B$5,'Cases'!$A$6:$A$10,0)-1)*36+34)),INDEX('Cash schedule'!$AP$6:$AP$185,(MATCH($B$5,'Cases'!$A$6:$A$10,0)-1)*36+34),"")</f>
        <v/>
      </c>
      <c r="AL55" s="137">
        <f>IF(ISNUMBER(INDEX('Cash schedule'!$AP$6:$AP$185,(MATCH($B$5,'Cases'!$A$6:$A$10,0)-1)*36+35)),INDEX('Cash schedule'!$AP$6:$AP$185,(MATCH($B$5,'Cases'!$A$6:$A$10,0)-1)*36+35),"")</f>
        <v/>
      </c>
      <c r="AM55" s="137">
        <f>IF(ISNUMBER(INDEX('Cash schedule'!$AP$6:$AP$185,(MATCH($B$5,'Cases'!$A$6:$A$10,0)-1)*36+36)),INDEX('Cash schedule'!$AP$6:$AP$185,(MATCH($B$5,'Cases'!$A$6:$A$10,0)-1)*36+36),"")</f>
        <v/>
      </c>
    </row>
    <row r="56" ht="28" customHeight="1">
      <c r="A56" s="4" t="inlineStr">
        <is>
          <t>Depreciation</t>
        </is>
      </c>
      <c r="B56" s="4" t="n"/>
      <c r="C56" s="4" t="n"/>
      <c r="D56" s="137">
        <f>IF(ISNUMBER(INDEX('Cash schedule'!$AS$6:$AS$185,(MATCH($B$5,'Cases'!$A$6:$A$10,0)-1)*36+1)),INDEX('Cash schedule'!$AS$6:$AS$185,(MATCH($B$5,'Cases'!$A$6:$A$10,0)-1)*36+1),"")</f>
        <v/>
      </c>
      <c r="E56" s="137">
        <f>IF(ISNUMBER(INDEX('Cash schedule'!$AS$6:$AS$185,(MATCH($B$5,'Cases'!$A$6:$A$10,0)-1)*36+2)),INDEX('Cash schedule'!$AS$6:$AS$185,(MATCH($B$5,'Cases'!$A$6:$A$10,0)-1)*36+2),"")</f>
        <v/>
      </c>
      <c r="F56" s="137">
        <f>IF(ISNUMBER(INDEX('Cash schedule'!$AS$6:$AS$185,(MATCH($B$5,'Cases'!$A$6:$A$10,0)-1)*36+3)),INDEX('Cash schedule'!$AS$6:$AS$185,(MATCH($B$5,'Cases'!$A$6:$A$10,0)-1)*36+3),"")</f>
        <v/>
      </c>
      <c r="G56" s="137">
        <f>IF(ISNUMBER(INDEX('Cash schedule'!$AS$6:$AS$185,(MATCH($B$5,'Cases'!$A$6:$A$10,0)-1)*36+4)),INDEX('Cash schedule'!$AS$6:$AS$185,(MATCH($B$5,'Cases'!$A$6:$A$10,0)-1)*36+4),"")</f>
        <v/>
      </c>
      <c r="H56" s="137">
        <f>IF(ISNUMBER(INDEX('Cash schedule'!$AS$6:$AS$185,(MATCH($B$5,'Cases'!$A$6:$A$10,0)-1)*36+5)),INDEX('Cash schedule'!$AS$6:$AS$185,(MATCH($B$5,'Cases'!$A$6:$A$10,0)-1)*36+5),"")</f>
        <v/>
      </c>
      <c r="I56" s="137">
        <f>IF(ISNUMBER(INDEX('Cash schedule'!$AS$6:$AS$185,(MATCH($B$5,'Cases'!$A$6:$A$10,0)-1)*36+6)),INDEX('Cash schedule'!$AS$6:$AS$185,(MATCH($B$5,'Cases'!$A$6:$A$10,0)-1)*36+6),"")</f>
        <v/>
      </c>
      <c r="J56" s="137">
        <f>IF(ISNUMBER(INDEX('Cash schedule'!$AS$6:$AS$185,(MATCH($B$5,'Cases'!$A$6:$A$10,0)-1)*36+7)),INDEX('Cash schedule'!$AS$6:$AS$185,(MATCH($B$5,'Cases'!$A$6:$A$10,0)-1)*36+7),"")</f>
        <v/>
      </c>
      <c r="K56" s="137">
        <f>IF(ISNUMBER(INDEX('Cash schedule'!$AS$6:$AS$185,(MATCH($B$5,'Cases'!$A$6:$A$10,0)-1)*36+8)),INDEX('Cash schedule'!$AS$6:$AS$185,(MATCH($B$5,'Cases'!$A$6:$A$10,0)-1)*36+8),"")</f>
        <v/>
      </c>
      <c r="L56" s="137">
        <f>IF(ISNUMBER(INDEX('Cash schedule'!$AS$6:$AS$185,(MATCH($B$5,'Cases'!$A$6:$A$10,0)-1)*36+9)),INDEX('Cash schedule'!$AS$6:$AS$185,(MATCH($B$5,'Cases'!$A$6:$A$10,0)-1)*36+9),"")</f>
        <v/>
      </c>
      <c r="M56" s="137">
        <f>IF(ISNUMBER(INDEX('Cash schedule'!$AS$6:$AS$185,(MATCH($B$5,'Cases'!$A$6:$A$10,0)-1)*36+10)),INDEX('Cash schedule'!$AS$6:$AS$185,(MATCH($B$5,'Cases'!$A$6:$A$10,0)-1)*36+10),"")</f>
        <v/>
      </c>
      <c r="N56" s="137">
        <f>IF(ISNUMBER(INDEX('Cash schedule'!$AS$6:$AS$185,(MATCH($B$5,'Cases'!$A$6:$A$10,0)-1)*36+11)),INDEX('Cash schedule'!$AS$6:$AS$185,(MATCH($B$5,'Cases'!$A$6:$A$10,0)-1)*36+11),"")</f>
        <v/>
      </c>
      <c r="O56" s="137">
        <f>IF(ISNUMBER(INDEX('Cash schedule'!$AS$6:$AS$185,(MATCH($B$5,'Cases'!$A$6:$A$10,0)-1)*36+12)),INDEX('Cash schedule'!$AS$6:$AS$185,(MATCH($B$5,'Cases'!$A$6:$A$10,0)-1)*36+12),"")</f>
        <v/>
      </c>
      <c r="P56" s="137">
        <f>IF(ISNUMBER(INDEX('Cash schedule'!$AS$6:$AS$185,(MATCH($B$5,'Cases'!$A$6:$A$10,0)-1)*36+13)),INDEX('Cash schedule'!$AS$6:$AS$185,(MATCH($B$5,'Cases'!$A$6:$A$10,0)-1)*36+13),"")</f>
        <v/>
      </c>
      <c r="Q56" s="137">
        <f>IF(ISNUMBER(INDEX('Cash schedule'!$AS$6:$AS$185,(MATCH($B$5,'Cases'!$A$6:$A$10,0)-1)*36+14)),INDEX('Cash schedule'!$AS$6:$AS$185,(MATCH($B$5,'Cases'!$A$6:$A$10,0)-1)*36+14),"")</f>
        <v/>
      </c>
      <c r="R56" s="137">
        <f>IF(ISNUMBER(INDEX('Cash schedule'!$AS$6:$AS$185,(MATCH($B$5,'Cases'!$A$6:$A$10,0)-1)*36+15)),INDEX('Cash schedule'!$AS$6:$AS$185,(MATCH($B$5,'Cases'!$A$6:$A$10,0)-1)*36+15),"")</f>
        <v/>
      </c>
      <c r="S56" s="137">
        <f>IF(ISNUMBER(INDEX('Cash schedule'!$AS$6:$AS$185,(MATCH($B$5,'Cases'!$A$6:$A$10,0)-1)*36+16)),INDEX('Cash schedule'!$AS$6:$AS$185,(MATCH($B$5,'Cases'!$A$6:$A$10,0)-1)*36+16),"")</f>
        <v/>
      </c>
      <c r="T56" s="137">
        <f>IF(ISNUMBER(INDEX('Cash schedule'!$AS$6:$AS$185,(MATCH($B$5,'Cases'!$A$6:$A$10,0)-1)*36+17)),INDEX('Cash schedule'!$AS$6:$AS$185,(MATCH($B$5,'Cases'!$A$6:$A$10,0)-1)*36+17),"")</f>
        <v/>
      </c>
      <c r="U56" s="137">
        <f>IF(ISNUMBER(INDEX('Cash schedule'!$AS$6:$AS$185,(MATCH($B$5,'Cases'!$A$6:$A$10,0)-1)*36+18)),INDEX('Cash schedule'!$AS$6:$AS$185,(MATCH($B$5,'Cases'!$A$6:$A$10,0)-1)*36+18),"")</f>
        <v/>
      </c>
      <c r="V56" s="137">
        <f>IF(ISNUMBER(INDEX('Cash schedule'!$AS$6:$AS$185,(MATCH($B$5,'Cases'!$A$6:$A$10,0)-1)*36+19)),INDEX('Cash schedule'!$AS$6:$AS$185,(MATCH($B$5,'Cases'!$A$6:$A$10,0)-1)*36+19),"")</f>
        <v/>
      </c>
      <c r="W56" s="137">
        <f>IF(ISNUMBER(INDEX('Cash schedule'!$AS$6:$AS$185,(MATCH($B$5,'Cases'!$A$6:$A$10,0)-1)*36+20)),INDEX('Cash schedule'!$AS$6:$AS$185,(MATCH($B$5,'Cases'!$A$6:$A$10,0)-1)*36+20),"")</f>
        <v/>
      </c>
      <c r="X56" s="137">
        <f>IF(ISNUMBER(INDEX('Cash schedule'!$AS$6:$AS$185,(MATCH($B$5,'Cases'!$A$6:$A$10,0)-1)*36+21)),INDEX('Cash schedule'!$AS$6:$AS$185,(MATCH($B$5,'Cases'!$A$6:$A$10,0)-1)*36+21),"")</f>
        <v/>
      </c>
      <c r="Y56" s="137">
        <f>IF(ISNUMBER(INDEX('Cash schedule'!$AS$6:$AS$185,(MATCH($B$5,'Cases'!$A$6:$A$10,0)-1)*36+22)),INDEX('Cash schedule'!$AS$6:$AS$185,(MATCH($B$5,'Cases'!$A$6:$A$10,0)-1)*36+22),"")</f>
        <v/>
      </c>
      <c r="Z56" s="137">
        <f>IF(ISNUMBER(INDEX('Cash schedule'!$AS$6:$AS$185,(MATCH($B$5,'Cases'!$A$6:$A$10,0)-1)*36+23)),INDEX('Cash schedule'!$AS$6:$AS$185,(MATCH($B$5,'Cases'!$A$6:$A$10,0)-1)*36+23),"")</f>
        <v/>
      </c>
      <c r="AA56" s="137">
        <f>IF(ISNUMBER(INDEX('Cash schedule'!$AS$6:$AS$185,(MATCH($B$5,'Cases'!$A$6:$A$10,0)-1)*36+24)),INDEX('Cash schedule'!$AS$6:$AS$185,(MATCH($B$5,'Cases'!$A$6:$A$10,0)-1)*36+24),"")</f>
        <v/>
      </c>
      <c r="AB56" s="137">
        <f>IF(ISNUMBER(INDEX('Cash schedule'!$AS$6:$AS$185,(MATCH($B$5,'Cases'!$A$6:$A$10,0)-1)*36+25)),INDEX('Cash schedule'!$AS$6:$AS$185,(MATCH($B$5,'Cases'!$A$6:$A$10,0)-1)*36+25),"")</f>
        <v/>
      </c>
      <c r="AC56" s="137">
        <f>IF(ISNUMBER(INDEX('Cash schedule'!$AS$6:$AS$185,(MATCH($B$5,'Cases'!$A$6:$A$10,0)-1)*36+26)),INDEX('Cash schedule'!$AS$6:$AS$185,(MATCH($B$5,'Cases'!$A$6:$A$10,0)-1)*36+26),"")</f>
        <v/>
      </c>
      <c r="AD56" s="137">
        <f>IF(ISNUMBER(INDEX('Cash schedule'!$AS$6:$AS$185,(MATCH($B$5,'Cases'!$A$6:$A$10,0)-1)*36+27)),INDEX('Cash schedule'!$AS$6:$AS$185,(MATCH($B$5,'Cases'!$A$6:$A$10,0)-1)*36+27),"")</f>
        <v/>
      </c>
      <c r="AE56" s="137">
        <f>IF(ISNUMBER(INDEX('Cash schedule'!$AS$6:$AS$185,(MATCH($B$5,'Cases'!$A$6:$A$10,0)-1)*36+28)),INDEX('Cash schedule'!$AS$6:$AS$185,(MATCH($B$5,'Cases'!$A$6:$A$10,0)-1)*36+28),"")</f>
        <v/>
      </c>
      <c r="AF56" s="137">
        <f>IF(ISNUMBER(INDEX('Cash schedule'!$AS$6:$AS$185,(MATCH($B$5,'Cases'!$A$6:$A$10,0)-1)*36+29)),INDEX('Cash schedule'!$AS$6:$AS$185,(MATCH($B$5,'Cases'!$A$6:$A$10,0)-1)*36+29),"")</f>
        <v/>
      </c>
      <c r="AG56" s="137">
        <f>IF(ISNUMBER(INDEX('Cash schedule'!$AS$6:$AS$185,(MATCH($B$5,'Cases'!$A$6:$A$10,0)-1)*36+30)),INDEX('Cash schedule'!$AS$6:$AS$185,(MATCH($B$5,'Cases'!$A$6:$A$10,0)-1)*36+30),"")</f>
        <v/>
      </c>
      <c r="AH56" s="137">
        <f>IF(ISNUMBER(INDEX('Cash schedule'!$AS$6:$AS$185,(MATCH($B$5,'Cases'!$A$6:$A$10,0)-1)*36+31)),INDEX('Cash schedule'!$AS$6:$AS$185,(MATCH($B$5,'Cases'!$A$6:$A$10,0)-1)*36+31),"")</f>
        <v/>
      </c>
      <c r="AI56" s="137">
        <f>IF(ISNUMBER(INDEX('Cash schedule'!$AS$6:$AS$185,(MATCH($B$5,'Cases'!$A$6:$A$10,0)-1)*36+32)),INDEX('Cash schedule'!$AS$6:$AS$185,(MATCH($B$5,'Cases'!$A$6:$A$10,0)-1)*36+32),"")</f>
        <v/>
      </c>
      <c r="AJ56" s="137">
        <f>IF(ISNUMBER(INDEX('Cash schedule'!$AS$6:$AS$185,(MATCH($B$5,'Cases'!$A$6:$A$10,0)-1)*36+33)),INDEX('Cash schedule'!$AS$6:$AS$185,(MATCH($B$5,'Cases'!$A$6:$A$10,0)-1)*36+33),"")</f>
        <v/>
      </c>
      <c r="AK56" s="137">
        <f>IF(ISNUMBER(INDEX('Cash schedule'!$AS$6:$AS$185,(MATCH($B$5,'Cases'!$A$6:$A$10,0)-1)*36+34)),INDEX('Cash schedule'!$AS$6:$AS$185,(MATCH($B$5,'Cases'!$A$6:$A$10,0)-1)*36+34),"")</f>
        <v/>
      </c>
      <c r="AL56" s="137">
        <f>IF(ISNUMBER(INDEX('Cash schedule'!$AS$6:$AS$185,(MATCH($B$5,'Cases'!$A$6:$A$10,0)-1)*36+35)),INDEX('Cash schedule'!$AS$6:$AS$185,(MATCH($B$5,'Cases'!$A$6:$A$10,0)-1)*36+35),"")</f>
        <v/>
      </c>
      <c r="AM56" s="137">
        <f>IF(ISNUMBER(INDEX('Cash schedule'!$AS$6:$AS$185,(MATCH($B$5,'Cases'!$A$6:$A$10,0)-1)*36+36)),INDEX('Cash schedule'!$AS$6:$AS$185,(MATCH($B$5,'Cases'!$A$6:$A$10,0)-1)*36+36),"")</f>
        <v/>
      </c>
    </row>
    <row r="57" ht="28" customHeight="1">
      <c r="A57" s="4" t="inlineStr">
        <is>
          <t>Profit before tax</t>
        </is>
      </c>
      <c r="B57" s="4" t="n"/>
      <c r="C57" s="4" t="n"/>
      <c r="D57" s="137">
        <f>IF(ISNUMBER(INDEX('Cash schedule'!$AT$6:$AT$185,(MATCH($B$5,'Cases'!$A$6:$A$10,0)-1)*36+1)),INDEX('Cash schedule'!$AT$6:$AT$185,(MATCH($B$5,'Cases'!$A$6:$A$10,0)-1)*36+1),"")</f>
        <v/>
      </c>
      <c r="E57" s="137">
        <f>IF(ISNUMBER(INDEX('Cash schedule'!$AT$6:$AT$185,(MATCH($B$5,'Cases'!$A$6:$A$10,0)-1)*36+2)),INDEX('Cash schedule'!$AT$6:$AT$185,(MATCH($B$5,'Cases'!$A$6:$A$10,0)-1)*36+2),"")</f>
        <v/>
      </c>
      <c r="F57" s="137">
        <f>IF(ISNUMBER(INDEX('Cash schedule'!$AT$6:$AT$185,(MATCH($B$5,'Cases'!$A$6:$A$10,0)-1)*36+3)),INDEX('Cash schedule'!$AT$6:$AT$185,(MATCH($B$5,'Cases'!$A$6:$A$10,0)-1)*36+3),"")</f>
        <v/>
      </c>
      <c r="G57" s="137">
        <f>IF(ISNUMBER(INDEX('Cash schedule'!$AT$6:$AT$185,(MATCH($B$5,'Cases'!$A$6:$A$10,0)-1)*36+4)),INDEX('Cash schedule'!$AT$6:$AT$185,(MATCH($B$5,'Cases'!$A$6:$A$10,0)-1)*36+4),"")</f>
        <v/>
      </c>
      <c r="H57" s="137">
        <f>IF(ISNUMBER(INDEX('Cash schedule'!$AT$6:$AT$185,(MATCH($B$5,'Cases'!$A$6:$A$10,0)-1)*36+5)),INDEX('Cash schedule'!$AT$6:$AT$185,(MATCH($B$5,'Cases'!$A$6:$A$10,0)-1)*36+5),"")</f>
        <v/>
      </c>
      <c r="I57" s="137">
        <f>IF(ISNUMBER(INDEX('Cash schedule'!$AT$6:$AT$185,(MATCH($B$5,'Cases'!$A$6:$A$10,0)-1)*36+6)),INDEX('Cash schedule'!$AT$6:$AT$185,(MATCH($B$5,'Cases'!$A$6:$A$10,0)-1)*36+6),"")</f>
        <v/>
      </c>
      <c r="J57" s="137">
        <f>IF(ISNUMBER(INDEX('Cash schedule'!$AT$6:$AT$185,(MATCH($B$5,'Cases'!$A$6:$A$10,0)-1)*36+7)),INDEX('Cash schedule'!$AT$6:$AT$185,(MATCH($B$5,'Cases'!$A$6:$A$10,0)-1)*36+7),"")</f>
        <v/>
      </c>
      <c r="K57" s="137">
        <f>IF(ISNUMBER(INDEX('Cash schedule'!$AT$6:$AT$185,(MATCH($B$5,'Cases'!$A$6:$A$10,0)-1)*36+8)),INDEX('Cash schedule'!$AT$6:$AT$185,(MATCH($B$5,'Cases'!$A$6:$A$10,0)-1)*36+8),"")</f>
        <v/>
      </c>
      <c r="L57" s="137">
        <f>IF(ISNUMBER(INDEX('Cash schedule'!$AT$6:$AT$185,(MATCH($B$5,'Cases'!$A$6:$A$10,0)-1)*36+9)),INDEX('Cash schedule'!$AT$6:$AT$185,(MATCH($B$5,'Cases'!$A$6:$A$10,0)-1)*36+9),"")</f>
        <v/>
      </c>
      <c r="M57" s="137">
        <f>IF(ISNUMBER(INDEX('Cash schedule'!$AT$6:$AT$185,(MATCH($B$5,'Cases'!$A$6:$A$10,0)-1)*36+10)),INDEX('Cash schedule'!$AT$6:$AT$185,(MATCH($B$5,'Cases'!$A$6:$A$10,0)-1)*36+10),"")</f>
        <v/>
      </c>
      <c r="N57" s="137">
        <f>IF(ISNUMBER(INDEX('Cash schedule'!$AT$6:$AT$185,(MATCH($B$5,'Cases'!$A$6:$A$10,0)-1)*36+11)),INDEX('Cash schedule'!$AT$6:$AT$185,(MATCH($B$5,'Cases'!$A$6:$A$10,0)-1)*36+11),"")</f>
        <v/>
      </c>
      <c r="O57" s="137">
        <f>IF(ISNUMBER(INDEX('Cash schedule'!$AT$6:$AT$185,(MATCH($B$5,'Cases'!$A$6:$A$10,0)-1)*36+12)),INDEX('Cash schedule'!$AT$6:$AT$185,(MATCH($B$5,'Cases'!$A$6:$A$10,0)-1)*36+12),"")</f>
        <v/>
      </c>
      <c r="P57" s="137">
        <f>IF(ISNUMBER(INDEX('Cash schedule'!$AT$6:$AT$185,(MATCH($B$5,'Cases'!$A$6:$A$10,0)-1)*36+13)),INDEX('Cash schedule'!$AT$6:$AT$185,(MATCH($B$5,'Cases'!$A$6:$A$10,0)-1)*36+13),"")</f>
        <v/>
      </c>
      <c r="Q57" s="137">
        <f>IF(ISNUMBER(INDEX('Cash schedule'!$AT$6:$AT$185,(MATCH($B$5,'Cases'!$A$6:$A$10,0)-1)*36+14)),INDEX('Cash schedule'!$AT$6:$AT$185,(MATCH($B$5,'Cases'!$A$6:$A$10,0)-1)*36+14),"")</f>
        <v/>
      </c>
      <c r="R57" s="137">
        <f>IF(ISNUMBER(INDEX('Cash schedule'!$AT$6:$AT$185,(MATCH($B$5,'Cases'!$A$6:$A$10,0)-1)*36+15)),INDEX('Cash schedule'!$AT$6:$AT$185,(MATCH($B$5,'Cases'!$A$6:$A$10,0)-1)*36+15),"")</f>
        <v/>
      </c>
      <c r="S57" s="137">
        <f>IF(ISNUMBER(INDEX('Cash schedule'!$AT$6:$AT$185,(MATCH($B$5,'Cases'!$A$6:$A$10,0)-1)*36+16)),INDEX('Cash schedule'!$AT$6:$AT$185,(MATCH($B$5,'Cases'!$A$6:$A$10,0)-1)*36+16),"")</f>
        <v/>
      </c>
      <c r="T57" s="137">
        <f>IF(ISNUMBER(INDEX('Cash schedule'!$AT$6:$AT$185,(MATCH($B$5,'Cases'!$A$6:$A$10,0)-1)*36+17)),INDEX('Cash schedule'!$AT$6:$AT$185,(MATCH($B$5,'Cases'!$A$6:$A$10,0)-1)*36+17),"")</f>
        <v/>
      </c>
      <c r="U57" s="137">
        <f>IF(ISNUMBER(INDEX('Cash schedule'!$AT$6:$AT$185,(MATCH($B$5,'Cases'!$A$6:$A$10,0)-1)*36+18)),INDEX('Cash schedule'!$AT$6:$AT$185,(MATCH($B$5,'Cases'!$A$6:$A$10,0)-1)*36+18),"")</f>
        <v/>
      </c>
      <c r="V57" s="137">
        <f>IF(ISNUMBER(INDEX('Cash schedule'!$AT$6:$AT$185,(MATCH($B$5,'Cases'!$A$6:$A$10,0)-1)*36+19)),INDEX('Cash schedule'!$AT$6:$AT$185,(MATCH($B$5,'Cases'!$A$6:$A$10,0)-1)*36+19),"")</f>
        <v/>
      </c>
      <c r="W57" s="137">
        <f>IF(ISNUMBER(INDEX('Cash schedule'!$AT$6:$AT$185,(MATCH($B$5,'Cases'!$A$6:$A$10,0)-1)*36+20)),INDEX('Cash schedule'!$AT$6:$AT$185,(MATCH($B$5,'Cases'!$A$6:$A$10,0)-1)*36+20),"")</f>
        <v/>
      </c>
      <c r="X57" s="137">
        <f>IF(ISNUMBER(INDEX('Cash schedule'!$AT$6:$AT$185,(MATCH($B$5,'Cases'!$A$6:$A$10,0)-1)*36+21)),INDEX('Cash schedule'!$AT$6:$AT$185,(MATCH($B$5,'Cases'!$A$6:$A$10,0)-1)*36+21),"")</f>
        <v/>
      </c>
      <c r="Y57" s="137">
        <f>IF(ISNUMBER(INDEX('Cash schedule'!$AT$6:$AT$185,(MATCH($B$5,'Cases'!$A$6:$A$10,0)-1)*36+22)),INDEX('Cash schedule'!$AT$6:$AT$185,(MATCH($B$5,'Cases'!$A$6:$A$10,0)-1)*36+22),"")</f>
        <v/>
      </c>
      <c r="Z57" s="137">
        <f>IF(ISNUMBER(INDEX('Cash schedule'!$AT$6:$AT$185,(MATCH($B$5,'Cases'!$A$6:$A$10,0)-1)*36+23)),INDEX('Cash schedule'!$AT$6:$AT$185,(MATCH($B$5,'Cases'!$A$6:$A$10,0)-1)*36+23),"")</f>
        <v/>
      </c>
      <c r="AA57" s="137">
        <f>IF(ISNUMBER(INDEX('Cash schedule'!$AT$6:$AT$185,(MATCH($B$5,'Cases'!$A$6:$A$10,0)-1)*36+24)),INDEX('Cash schedule'!$AT$6:$AT$185,(MATCH($B$5,'Cases'!$A$6:$A$10,0)-1)*36+24),"")</f>
        <v/>
      </c>
      <c r="AB57" s="137">
        <f>IF(ISNUMBER(INDEX('Cash schedule'!$AT$6:$AT$185,(MATCH($B$5,'Cases'!$A$6:$A$10,0)-1)*36+25)),INDEX('Cash schedule'!$AT$6:$AT$185,(MATCH($B$5,'Cases'!$A$6:$A$10,0)-1)*36+25),"")</f>
        <v/>
      </c>
      <c r="AC57" s="137">
        <f>IF(ISNUMBER(INDEX('Cash schedule'!$AT$6:$AT$185,(MATCH($B$5,'Cases'!$A$6:$A$10,0)-1)*36+26)),INDEX('Cash schedule'!$AT$6:$AT$185,(MATCH($B$5,'Cases'!$A$6:$A$10,0)-1)*36+26),"")</f>
        <v/>
      </c>
      <c r="AD57" s="137">
        <f>IF(ISNUMBER(INDEX('Cash schedule'!$AT$6:$AT$185,(MATCH($B$5,'Cases'!$A$6:$A$10,0)-1)*36+27)),INDEX('Cash schedule'!$AT$6:$AT$185,(MATCH($B$5,'Cases'!$A$6:$A$10,0)-1)*36+27),"")</f>
        <v/>
      </c>
      <c r="AE57" s="137">
        <f>IF(ISNUMBER(INDEX('Cash schedule'!$AT$6:$AT$185,(MATCH($B$5,'Cases'!$A$6:$A$10,0)-1)*36+28)),INDEX('Cash schedule'!$AT$6:$AT$185,(MATCH($B$5,'Cases'!$A$6:$A$10,0)-1)*36+28),"")</f>
        <v/>
      </c>
      <c r="AF57" s="137">
        <f>IF(ISNUMBER(INDEX('Cash schedule'!$AT$6:$AT$185,(MATCH($B$5,'Cases'!$A$6:$A$10,0)-1)*36+29)),INDEX('Cash schedule'!$AT$6:$AT$185,(MATCH($B$5,'Cases'!$A$6:$A$10,0)-1)*36+29),"")</f>
        <v/>
      </c>
      <c r="AG57" s="137">
        <f>IF(ISNUMBER(INDEX('Cash schedule'!$AT$6:$AT$185,(MATCH($B$5,'Cases'!$A$6:$A$10,0)-1)*36+30)),INDEX('Cash schedule'!$AT$6:$AT$185,(MATCH($B$5,'Cases'!$A$6:$A$10,0)-1)*36+30),"")</f>
        <v/>
      </c>
      <c r="AH57" s="137">
        <f>IF(ISNUMBER(INDEX('Cash schedule'!$AT$6:$AT$185,(MATCH($B$5,'Cases'!$A$6:$A$10,0)-1)*36+31)),INDEX('Cash schedule'!$AT$6:$AT$185,(MATCH($B$5,'Cases'!$A$6:$A$10,0)-1)*36+31),"")</f>
        <v/>
      </c>
      <c r="AI57" s="137">
        <f>IF(ISNUMBER(INDEX('Cash schedule'!$AT$6:$AT$185,(MATCH($B$5,'Cases'!$A$6:$A$10,0)-1)*36+32)),INDEX('Cash schedule'!$AT$6:$AT$185,(MATCH($B$5,'Cases'!$A$6:$A$10,0)-1)*36+32),"")</f>
        <v/>
      </c>
      <c r="AJ57" s="137">
        <f>IF(ISNUMBER(INDEX('Cash schedule'!$AT$6:$AT$185,(MATCH($B$5,'Cases'!$A$6:$A$10,0)-1)*36+33)),INDEX('Cash schedule'!$AT$6:$AT$185,(MATCH($B$5,'Cases'!$A$6:$A$10,0)-1)*36+33),"")</f>
        <v/>
      </c>
      <c r="AK57" s="137">
        <f>IF(ISNUMBER(INDEX('Cash schedule'!$AT$6:$AT$185,(MATCH($B$5,'Cases'!$A$6:$A$10,0)-1)*36+34)),INDEX('Cash schedule'!$AT$6:$AT$185,(MATCH($B$5,'Cases'!$A$6:$A$10,0)-1)*36+34),"")</f>
        <v/>
      </c>
      <c r="AL57" s="137">
        <f>IF(ISNUMBER(INDEX('Cash schedule'!$AT$6:$AT$185,(MATCH($B$5,'Cases'!$A$6:$A$10,0)-1)*36+35)),INDEX('Cash schedule'!$AT$6:$AT$185,(MATCH($B$5,'Cases'!$A$6:$A$10,0)-1)*36+35),"")</f>
        <v/>
      </c>
      <c r="AM57" s="137">
        <f>IF(ISNUMBER(INDEX('Cash schedule'!$AT$6:$AT$185,(MATCH($B$5,'Cases'!$A$6:$A$10,0)-1)*36+36)),INDEX('Cash schedule'!$AT$6:$AT$185,(MATCH($B$5,'Cases'!$A$6:$A$10,0)-1)*36+36),"")</f>
        <v/>
      </c>
    </row>
    <row r="58" ht="28" customHeight="1">
      <c r="A58" s="4" t="inlineStr">
        <is>
          <t>Tax expense</t>
        </is>
      </c>
      <c r="B58" s="4" t="n"/>
      <c r="C58" s="4" t="n"/>
      <c r="D58" s="137">
        <f>IF(ISNUMBER(INDEX('Cash schedule'!$AU$6:$AU$185,(MATCH($B$5,'Cases'!$A$6:$A$10,0)-1)*36+1)),INDEX('Cash schedule'!$AU$6:$AU$185,(MATCH($B$5,'Cases'!$A$6:$A$10,0)-1)*36+1),"")</f>
        <v/>
      </c>
      <c r="E58" s="137">
        <f>IF(ISNUMBER(INDEX('Cash schedule'!$AU$6:$AU$185,(MATCH($B$5,'Cases'!$A$6:$A$10,0)-1)*36+2)),INDEX('Cash schedule'!$AU$6:$AU$185,(MATCH($B$5,'Cases'!$A$6:$A$10,0)-1)*36+2),"")</f>
        <v/>
      </c>
      <c r="F58" s="137">
        <f>IF(ISNUMBER(INDEX('Cash schedule'!$AU$6:$AU$185,(MATCH($B$5,'Cases'!$A$6:$A$10,0)-1)*36+3)),INDEX('Cash schedule'!$AU$6:$AU$185,(MATCH($B$5,'Cases'!$A$6:$A$10,0)-1)*36+3),"")</f>
        <v/>
      </c>
      <c r="G58" s="137">
        <f>IF(ISNUMBER(INDEX('Cash schedule'!$AU$6:$AU$185,(MATCH($B$5,'Cases'!$A$6:$A$10,0)-1)*36+4)),INDEX('Cash schedule'!$AU$6:$AU$185,(MATCH($B$5,'Cases'!$A$6:$A$10,0)-1)*36+4),"")</f>
        <v/>
      </c>
      <c r="H58" s="137">
        <f>IF(ISNUMBER(INDEX('Cash schedule'!$AU$6:$AU$185,(MATCH($B$5,'Cases'!$A$6:$A$10,0)-1)*36+5)),INDEX('Cash schedule'!$AU$6:$AU$185,(MATCH($B$5,'Cases'!$A$6:$A$10,0)-1)*36+5),"")</f>
        <v/>
      </c>
      <c r="I58" s="137">
        <f>IF(ISNUMBER(INDEX('Cash schedule'!$AU$6:$AU$185,(MATCH($B$5,'Cases'!$A$6:$A$10,0)-1)*36+6)),INDEX('Cash schedule'!$AU$6:$AU$185,(MATCH($B$5,'Cases'!$A$6:$A$10,0)-1)*36+6),"")</f>
        <v/>
      </c>
      <c r="J58" s="137">
        <f>IF(ISNUMBER(INDEX('Cash schedule'!$AU$6:$AU$185,(MATCH($B$5,'Cases'!$A$6:$A$10,0)-1)*36+7)),INDEX('Cash schedule'!$AU$6:$AU$185,(MATCH($B$5,'Cases'!$A$6:$A$10,0)-1)*36+7),"")</f>
        <v/>
      </c>
      <c r="K58" s="137">
        <f>IF(ISNUMBER(INDEX('Cash schedule'!$AU$6:$AU$185,(MATCH($B$5,'Cases'!$A$6:$A$10,0)-1)*36+8)),INDEX('Cash schedule'!$AU$6:$AU$185,(MATCH($B$5,'Cases'!$A$6:$A$10,0)-1)*36+8),"")</f>
        <v/>
      </c>
      <c r="L58" s="137">
        <f>IF(ISNUMBER(INDEX('Cash schedule'!$AU$6:$AU$185,(MATCH($B$5,'Cases'!$A$6:$A$10,0)-1)*36+9)),INDEX('Cash schedule'!$AU$6:$AU$185,(MATCH($B$5,'Cases'!$A$6:$A$10,0)-1)*36+9),"")</f>
        <v/>
      </c>
      <c r="M58" s="137">
        <f>IF(ISNUMBER(INDEX('Cash schedule'!$AU$6:$AU$185,(MATCH($B$5,'Cases'!$A$6:$A$10,0)-1)*36+10)),INDEX('Cash schedule'!$AU$6:$AU$185,(MATCH($B$5,'Cases'!$A$6:$A$10,0)-1)*36+10),"")</f>
        <v/>
      </c>
      <c r="N58" s="137">
        <f>IF(ISNUMBER(INDEX('Cash schedule'!$AU$6:$AU$185,(MATCH($B$5,'Cases'!$A$6:$A$10,0)-1)*36+11)),INDEX('Cash schedule'!$AU$6:$AU$185,(MATCH($B$5,'Cases'!$A$6:$A$10,0)-1)*36+11),"")</f>
        <v/>
      </c>
      <c r="O58" s="137">
        <f>IF(ISNUMBER(INDEX('Cash schedule'!$AU$6:$AU$185,(MATCH($B$5,'Cases'!$A$6:$A$10,0)-1)*36+12)),INDEX('Cash schedule'!$AU$6:$AU$185,(MATCH($B$5,'Cases'!$A$6:$A$10,0)-1)*36+12),"")</f>
        <v/>
      </c>
      <c r="P58" s="137">
        <f>IF(ISNUMBER(INDEX('Cash schedule'!$AU$6:$AU$185,(MATCH($B$5,'Cases'!$A$6:$A$10,0)-1)*36+13)),INDEX('Cash schedule'!$AU$6:$AU$185,(MATCH($B$5,'Cases'!$A$6:$A$10,0)-1)*36+13),"")</f>
        <v/>
      </c>
      <c r="Q58" s="137">
        <f>IF(ISNUMBER(INDEX('Cash schedule'!$AU$6:$AU$185,(MATCH($B$5,'Cases'!$A$6:$A$10,0)-1)*36+14)),INDEX('Cash schedule'!$AU$6:$AU$185,(MATCH($B$5,'Cases'!$A$6:$A$10,0)-1)*36+14),"")</f>
        <v/>
      </c>
      <c r="R58" s="137">
        <f>IF(ISNUMBER(INDEX('Cash schedule'!$AU$6:$AU$185,(MATCH($B$5,'Cases'!$A$6:$A$10,0)-1)*36+15)),INDEX('Cash schedule'!$AU$6:$AU$185,(MATCH($B$5,'Cases'!$A$6:$A$10,0)-1)*36+15),"")</f>
        <v/>
      </c>
      <c r="S58" s="137">
        <f>IF(ISNUMBER(INDEX('Cash schedule'!$AU$6:$AU$185,(MATCH($B$5,'Cases'!$A$6:$A$10,0)-1)*36+16)),INDEX('Cash schedule'!$AU$6:$AU$185,(MATCH($B$5,'Cases'!$A$6:$A$10,0)-1)*36+16),"")</f>
        <v/>
      </c>
      <c r="T58" s="137">
        <f>IF(ISNUMBER(INDEX('Cash schedule'!$AU$6:$AU$185,(MATCH($B$5,'Cases'!$A$6:$A$10,0)-1)*36+17)),INDEX('Cash schedule'!$AU$6:$AU$185,(MATCH($B$5,'Cases'!$A$6:$A$10,0)-1)*36+17),"")</f>
        <v/>
      </c>
      <c r="U58" s="137">
        <f>IF(ISNUMBER(INDEX('Cash schedule'!$AU$6:$AU$185,(MATCH($B$5,'Cases'!$A$6:$A$10,0)-1)*36+18)),INDEX('Cash schedule'!$AU$6:$AU$185,(MATCH($B$5,'Cases'!$A$6:$A$10,0)-1)*36+18),"")</f>
        <v/>
      </c>
      <c r="V58" s="137">
        <f>IF(ISNUMBER(INDEX('Cash schedule'!$AU$6:$AU$185,(MATCH($B$5,'Cases'!$A$6:$A$10,0)-1)*36+19)),INDEX('Cash schedule'!$AU$6:$AU$185,(MATCH($B$5,'Cases'!$A$6:$A$10,0)-1)*36+19),"")</f>
        <v/>
      </c>
      <c r="W58" s="137">
        <f>IF(ISNUMBER(INDEX('Cash schedule'!$AU$6:$AU$185,(MATCH($B$5,'Cases'!$A$6:$A$10,0)-1)*36+20)),INDEX('Cash schedule'!$AU$6:$AU$185,(MATCH($B$5,'Cases'!$A$6:$A$10,0)-1)*36+20),"")</f>
        <v/>
      </c>
      <c r="X58" s="137">
        <f>IF(ISNUMBER(INDEX('Cash schedule'!$AU$6:$AU$185,(MATCH($B$5,'Cases'!$A$6:$A$10,0)-1)*36+21)),INDEX('Cash schedule'!$AU$6:$AU$185,(MATCH($B$5,'Cases'!$A$6:$A$10,0)-1)*36+21),"")</f>
        <v/>
      </c>
      <c r="Y58" s="137">
        <f>IF(ISNUMBER(INDEX('Cash schedule'!$AU$6:$AU$185,(MATCH($B$5,'Cases'!$A$6:$A$10,0)-1)*36+22)),INDEX('Cash schedule'!$AU$6:$AU$185,(MATCH($B$5,'Cases'!$A$6:$A$10,0)-1)*36+22),"")</f>
        <v/>
      </c>
      <c r="Z58" s="137">
        <f>IF(ISNUMBER(INDEX('Cash schedule'!$AU$6:$AU$185,(MATCH($B$5,'Cases'!$A$6:$A$10,0)-1)*36+23)),INDEX('Cash schedule'!$AU$6:$AU$185,(MATCH($B$5,'Cases'!$A$6:$A$10,0)-1)*36+23),"")</f>
        <v/>
      </c>
      <c r="AA58" s="137">
        <f>IF(ISNUMBER(INDEX('Cash schedule'!$AU$6:$AU$185,(MATCH($B$5,'Cases'!$A$6:$A$10,0)-1)*36+24)),INDEX('Cash schedule'!$AU$6:$AU$185,(MATCH($B$5,'Cases'!$A$6:$A$10,0)-1)*36+24),"")</f>
        <v/>
      </c>
      <c r="AB58" s="137">
        <f>IF(ISNUMBER(INDEX('Cash schedule'!$AU$6:$AU$185,(MATCH($B$5,'Cases'!$A$6:$A$10,0)-1)*36+25)),INDEX('Cash schedule'!$AU$6:$AU$185,(MATCH($B$5,'Cases'!$A$6:$A$10,0)-1)*36+25),"")</f>
        <v/>
      </c>
      <c r="AC58" s="137">
        <f>IF(ISNUMBER(INDEX('Cash schedule'!$AU$6:$AU$185,(MATCH($B$5,'Cases'!$A$6:$A$10,0)-1)*36+26)),INDEX('Cash schedule'!$AU$6:$AU$185,(MATCH($B$5,'Cases'!$A$6:$A$10,0)-1)*36+26),"")</f>
        <v/>
      </c>
      <c r="AD58" s="137">
        <f>IF(ISNUMBER(INDEX('Cash schedule'!$AU$6:$AU$185,(MATCH($B$5,'Cases'!$A$6:$A$10,0)-1)*36+27)),INDEX('Cash schedule'!$AU$6:$AU$185,(MATCH($B$5,'Cases'!$A$6:$A$10,0)-1)*36+27),"")</f>
        <v/>
      </c>
      <c r="AE58" s="137">
        <f>IF(ISNUMBER(INDEX('Cash schedule'!$AU$6:$AU$185,(MATCH($B$5,'Cases'!$A$6:$A$10,0)-1)*36+28)),INDEX('Cash schedule'!$AU$6:$AU$185,(MATCH($B$5,'Cases'!$A$6:$A$10,0)-1)*36+28),"")</f>
        <v/>
      </c>
      <c r="AF58" s="137">
        <f>IF(ISNUMBER(INDEX('Cash schedule'!$AU$6:$AU$185,(MATCH($B$5,'Cases'!$A$6:$A$10,0)-1)*36+29)),INDEX('Cash schedule'!$AU$6:$AU$185,(MATCH($B$5,'Cases'!$A$6:$A$10,0)-1)*36+29),"")</f>
        <v/>
      </c>
      <c r="AG58" s="137">
        <f>IF(ISNUMBER(INDEX('Cash schedule'!$AU$6:$AU$185,(MATCH($B$5,'Cases'!$A$6:$A$10,0)-1)*36+30)),INDEX('Cash schedule'!$AU$6:$AU$185,(MATCH($B$5,'Cases'!$A$6:$A$10,0)-1)*36+30),"")</f>
        <v/>
      </c>
      <c r="AH58" s="137">
        <f>IF(ISNUMBER(INDEX('Cash schedule'!$AU$6:$AU$185,(MATCH($B$5,'Cases'!$A$6:$A$10,0)-1)*36+31)),INDEX('Cash schedule'!$AU$6:$AU$185,(MATCH($B$5,'Cases'!$A$6:$A$10,0)-1)*36+31),"")</f>
        <v/>
      </c>
      <c r="AI58" s="137">
        <f>IF(ISNUMBER(INDEX('Cash schedule'!$AU$6:$AU$185,(MATCH($B$5,'Cases'!$A$6:$A$10,0)-1)*36+32)),INDEX('Cash schedule'!$AU$6:$AU$185,(MATCH($B$5,'Cases'!$A$6:$A$10,0)-1)*36+32),"")</f>
        <v/>
      </c>
      <c r="AJ58" s="137">
        <f>IF(ISNUMBER(INDEX('Cash schedule'!$AU$6:$AU$185,(MATCH($B$5,'Cases'!$A$6:$A$10,0)-1)*36+33)),INDEX('Cash schedule'!$AU$6:$AU$185,(MATCH($B$5,'Cases'!$A$6:$A$10,0)-1)*36+33),"")</f>
        <v/>
      </c>
      <c r="AK58" s="137">
        <f>IF(ISNUMBER(INDEX('Cash schedule'!$AU$6:$AU$185,(MATCH($B$5,'Cases'!$A$6:$A$10,0)-1)*36+34)),INDEX('Cash schedule'!$AU$6:$AU$185,(MATCH($B$5,'Cases'!$A$6:$A$10,0)-1)*36+34),"")</f>
        <v/>
      </c>
      <c r="AL58" s="137">
        <f>IF(ISNUMBER(INDEX('Cash schedule'!$AU$6:$AU$185,(MATCH($B$5,'Cases'!$A$6:$A$10,0)-1)*36+35)),INDEX('Cash schedule'!$AU$6:$AU$185,(MATCH($B$5,'Cases'!$A$6:$A$10,0)-1)*36+35),"")</f>
        <v/>
      </c>
      <c r="AM58" s="137">
        <f>IF(ISNUMBER(INDEX('Cash schedule'!$AU$6:$AU$185,(MATCH($B$5,'Cases'!$A$6:$A$10,0)-1)*36+36)),INDEX('Cash schedule'!$AU$6:$AU$185,(MATCH($B$5,'Cases'!$A$6:$A$10,0)-1)*36+36),"")</f>
        <v/>
      </c>
    </row>
    <row r="59" ht="28" customHeight="1">
      <c r="A59" s="4" t="inlineStr">
        <is>
          <t>Net profit</t>
        </is>
      </c>
      <c r="B59" s="4" t="n"/>
      <c r="C59" s="4" t="n"/>
      <c r="D59" s="137">
        <f>IF(ISNUMBER(INDEX('Cash schedule'!$AV$6:$AV$185,(MATCH($B$5,'Cases'!$A$6:$A$10,0)-1)*36+1)),INDEX('Cash schedule'!$AV$6:$AV$185,(MATCH($B$5,'Cases'!$A$6:$A$10,0)-1)*36+1),"")</f>
        <v/>
      </c>
      <c r="E59" s="137">
        <f>IF(ISNUMBER(INDEX('Cash schedule'!$AV$6:$AV$185,(MATCH($B$5,'Cases'!$A$6:$A$10,0)-1)*36+2)),INDEX('Cash schedule'!$AV$6:$AV$185,(MATCH($B$5,'Cases'!$A$6:$A$10,0)-1)*36+2),"")</f>
        <v/>
      </c>
      <c r="F59" s="137">
        <f>IF(ISNUMBER(INDEX('Cash schedule'!$AV$6:$AV$185,(MATCH($B$5,'Cases'!$A$6:$A$10,0)-1)*36+3)),INDEX('Cash schedule'!$AV$6:$AV$185,(MATCH($B$5,'Cases'!$A$6:$A$10,0)-1)*36+3),"")</f>
        <v/>
      </c>
      <c r="G59" s="137">
        <f>IF(ISNUMBER(INDEX('Cash schedule'!$AV$6:$AV$185,(MATCH($B$5,'Cases'!$A$6:$A$10,0)-1)*36+4)),INDEX('Cash schedule'!$AV$6:$AV$185,(MATCH($B$5,'Cases'!$A$6:$A$10,0)-1)*36+4),"")</f>
        <v/>
      </c>
      <c r="H59" s="137">
        <f>IF(ISNUMBER(INDEX('Cash schedule'!$AV$6:$AV$185,(MATCH($B$5,'Cases'!$A$6:$A$10,0)-1)*36+5)),INDEX('Cash schedule'!$AV$6:$AV$185,(MATCH($B$5,'Cases'!$A$6:$A$10,0)-1)*36+5),"")</f>
        <v/>
      </c>
      <c r="I59" s="137">
        <f>IF(ISNUMBER(INDEX('Cash schedule'!$AV$6:$AV$185,(MATCH($B$5,'Cases'!$A$6:$A$10,0)-1)*36+6)),INDEX('Cash schedule'!$AV$6:$AV$185,(MATCH($B$5,'Cases'!$A$6:$A$10,0)-1)*36+6),"")</f>
        <v/>
      </c>
      <c r="J59" s="137">
        <f>IF(ISNUMBER(INDEX('Cash schedule'!$AV$6:$AV$185,(MATCH($B$5,'Cases'!$A$6:$A$10,0)-1)*36+7)),INDEX('Cash schedule'!$AV$6:$AV$185,(MATCH($B$5,'Cases'!$A$6:$A$10,0)-1)*36+7),"")</f>
        <v/>
      </c>
      <c r="K59" s="137">
        <f>IF(ISNUMBER(INDEX('Cash schedule'!$AV$6:$AV$185,(MATCH($B$5,'Cases'!$A$6:$A$10,0)-1)*36+8)),INDEX('Cash schedule'!$AV$6:$AV$185,(MATCH($B$5,'Cases'!$A$6:$A$10,0)-1)*36+8),"")</f>
        <v/>
      </c>
      <c r="L59" s="137">
        <f>IF(ISNUMBER(INDEX('Cash schedule'!$AV$6:$AV$185,(MATCH($B$5,'Cases'!$A$6:$A$10,0)-1)*36+9)),INDEX('Cash schedule'!$AV$6:$AV$185,(MATCH($B$5,'Cases'!$A$6:$A$10,0)-1)*36+9),"")</f>
        <v/>
      </c>
      <c r="M59" s="137">
        <f>IF(ISNUMBER(INDEX('Cash schedule'!$AV$6:$AV$185,(MATCH($B$5,'Cases'!$A$6:$A$10,0)-1)*36+10)),INDEX('Cash schedule'!$AV$6:$AV$185,(MATCH($B$5,'Cases'!$A$6:$A$10,0)-1)*36+10),"")</f>
        <v/>
      </c>
      <c r="N59" s="137">
        <f>IF(ISNUMBER(INDEX('Cash schedule'!$AV$6:$AV$185,(MATCH($B$5,'Cases'!$A$6:$A$10,0)-1)*36+11)),INDEX('Cash schedule'!$AV$6:$AV$185,(MATCH($B$5,'Cases'!$A$6:$A$10,0)-1)*36+11),"")</f>
        <v/>
      </c>
      <c r="O59" s="137">
        <f>IF(ISNUMBER(INDEX('Cash schedule'!$AV$6:$AV$185,(MATCH($B$5,'Cases'!$A$6:$A$10,0)-1)*36+12)),INDEX('Cash schedule'!$AV$6:$AV$185,(MATCH($B$5,'Cases'!$A$6:$A$10,0)-1)*36+12),"")</f>
        <v/>
      </c>
      <c r="P59" s="137">
        <f>IF(ISNUMBER(INDEX('Cash schedule'!$AV$6:$AV$185,(MATCH($B$5,'Cases'!$A$6:$A$10,0)-1)*36+13)),INDEX('Cash schedule'!$AV$6:$AV$185,(MATCH($B$5,'Cases'!$A$6:$A$10,0)-1)*36+13),"")</f>
        <v/>
      </c>
      <c r="Q59" s="137">
        <f>IF(ISNUMBER(INDEX('Cash schedule'!$AV$6:$AV$185,(MATCH($B$5,'Cases'!$A$6:$A$10,0)-1)*36+14)),INDEX('Cash schedule'!$AV$6:$AV$185,(MATCH($B$5,'Cases'!$A$6:$A$10,0)-1)*36+14),"")</f>
        <v/>
      </c>
      <c r="R59" s="137">
        <f>IF(ISNUMBER(INDEX('Cash schedule'!$AV$6:$AV$185,(MATCH($B$5,'Cases'!$A$6:$A$10,0)-1)*36+15)),INDEX('Cash schedule'!$AV$6:$AV$185,(MATCH($B$5,'Cases'!$A$6:$A$10,0)-1)*36+15),"")</f>
        <v/>
      </c>
      <c r="S59" s="137">
        <f>IF(ISNUMBER(INDEX('Cash schedule'!$AV$6:$AV$185,(MATCH($B$5,'Cases'!$A$6:$A$10,0)-1)*36+16)),INDEX('Cash schedule'!$AV$6:$AV$185,(MATCH($B$5,'Cases'!$A$6:$A$10,0)-1)*36+16),"")</f>
        <v/>
      </c>
      <c r="T59" s="137">
        <f>IF(ISNUMBER(INDEX('Cash schedule'!$AV$6:$AV$185,(MATCH($B$5,'Cases'!$A$6:$A$10,0)-1)*36+17)),INDEX('Cash schedule'!$AV$6:$AV$185,(MATCH($B$5,'Cases'!$A$6:$A$10,0)-1)*36+17),"")</f>
        <v/>
      </c>
      <c r="U59" s="137">
        <f>IF(ISNUMBER(INDEX('Cash schedule'!$AV$6:$AV$185,(MATCH($B$5,'Cases'!$A$6:$A$10,0)-1)*36+18)),INDEX('Cash schedule'!$AV$6:$AV$185,(MATCH($B$5,'Cases'!$A$6:$A$10,0)-1)*36+18),"")</f>
        <v/>
      </c>
      <c r="V59" s="137">
        <f>IF(ISNUMBER(INDEX('Cash schedule'!$AV$6:$AV$185,(MATCH($B$5,'Cases'!$A$6:$A$10,0)-1)*36+19)),INDEX('Cash schedule'!$AV$6:$AV$185,(MATCH($B$5,'Cases'!$A$6:$A$10,0)-1)*36+19),"")</f>
        <v/>
      </c>
      <c r="W59" s="137">
        <f>IF(ISNUMBER(INDEX('Cash schedule'!$AV$6:$AV$185,(MATCH($B$5,'Cases'!$A$6:$A$10,0)-1)*36+20)),INDEX('Cash schedule'!$AV$6:$AV$185,(MATCH($B$5,'Cases'!$A$6:$A$10,0)-1)*36+20),"")</f>
        <v/>
      </c>
      <c r="X59" s="137">
        <f>IF(ISNUMBER(INDEX('Cash schedule'!$AV$6:$AV$185,(MATCH($B$5,'Cases'!$A$6:$A$10,0)-1)*36+21)),INDEX('Cash schedule'!$AV$6:$AV$185,(MATCH($B$5,'Cases'!$A$6:$A$10,0)-1)*36+21),"")</f>
        <v/>
      </c>
      <c r="Y59" s="137">
        <f>IF(ISNUMBER(INDEX('Cash schedule'!$AV$6:$AV$185,(MATCH($B$5,'Cases'!$A$6:$A$10,0)-1)*36+22)),INDEX('Cash schedule'!$AV$6:$AV$185,(MATCH($B$5,'Cases'!$A$6:$A$10,0)-1)*36+22),"")</f>
        <v/>
      </c>
      <c r="Z59" s="137">
        <f>IF(ISNUMBER(INDEX('Cash schedule'!$AV$6:$AV$185,(MATCH($B$5,'Cases'!$A$6:$A$10,0)-1)*36+23)),INDEX('Cash schedule'!$AV$6:$AV$185,(MATCH($B$5,'Cases'!$A$6:$A$10,0)-1)*36+23),"")</f>
        <v/>
      </c>
      <c r="AA59" s="137">
        <f>IF(ISNUMBER(INDEX('Cash schedule'!$AV$6:$AV$185,(MATCH($B$5,'Cases'!$A$6:$A$10,0)-1)*36+24)),INDEX('Cash schedule'!$AV$6:$AV$185,(MATCH($B$5,'Cases'!$A$6:$A$10,0)-1)*36+24),"")</f>
        <v/>
      </c>
      <c r="AB59" s="137">
        <f>IF(ISNUMBER(INDEX('Cash schedule'!$AV$6:$AV$185,(MATCH($B$5,'Cases'!$A$6:$A$10,0)-1)*36+25)),INDEX('Cash schedule'!$AV$6:$AV$185,(MATCH($B$5,'Cases'!$A$6:$A$10,0)-1)*36+25),"")</f>
        <v/>
      </c>
      <c r="AC59" s="137">
        <f>IF(ISNUMBER(INDEX('Cash schedule'!$AV$6:$AV$185,(MATCH($B$5,'Cases'!$A$6:$A$10,0)-1)*36+26)),INDEX('Cash schedule'!$AV$6:$AV$185,(MATCH($B$5,'Cases'!$A$6:$A$10,0)-1)*36+26),"")</f>
        <v/>
      </c>
      <c r="AD59" s="137">
        <f>IF(ISNUMBER(INDEX('Cash schedule'!$AV$6:$AV$185,(MATCH($B$5,'Cases'!$A$6:$A$10,0)-1)*36+27)),INDEX('Cash schedule'!$AV$6:$AV$185,(MATCH($B$5,'Cases'!$A$6:$A$10,0)-1)*36+27),"")</f>
        <v/>
      </c>
      <c r="AE59" s="137">
        <f>IF(ISNUMBER(INDEX('Cash schedule'!$AV$6:$AV$185,(MATCH($B$5,'Cases'!$A$6:$A$10,0)-1)*36+28)),INDEX('Cash schedule'!$AV$6:$AV$185,(MATCH($B$5,'Cases'!$A$6:$A$10,0)-1)*36+28),"")</f>
        <v/>
      </c>
      <c r="AF59" s="137">
        <f>IF(ISNUMBER(INDEX('Cash schedule'!$AV$6:$AV$185,(MATCH($B$5,'Cases'!$A$6:$A$10,0)-1)*36+29)),INDEX('Cash schedule'!$AV$6:$AV$185,(MATCH($B$5,'Cases'!$A$6:$A$10,0)-1)*36+29),"")</f>
        <v/>
      </c>
      <c r="AG59" s="137">
        <f>IF(ISNUMBER(INDEX('Cash schedule'!$AV$6:$AV$185,(MATCH($B$5,'Cases'!$A$6:$A$10,0)-1)*36+30)),INDEX('Cash schedule'!$AV$6:$AV$185,(MATCH($B$5,'Cases'!$A$6:$A$10,0)-1)*36+30),"")</f>
        <v/>
      </c>
      <c r="AH59" s="137">
        <f>IF(ISNUMBER(INDEX('Cash schedule'!$AV$6:$AV$185,(MATCH($B$5,'Cases'!$A$6:$A$10,0)-1)*36+31)),INDEX('Cash schedule'!$AV$6:$AV$185,(MATCH($B$5,'Cases'!$A$6:$A$10,0)-1)*36+31),"")</f>
        <v/>
      </c>
      <c r="AI59" s="137">
        <f>IF(ISNUMBER(INDEX('Cash schedule'!$AV$6:$AV$185,(MATCH($B$5,'Cases'!$A$6:$A$10,0)-1)*36+32)),INDEX('Cash schedule'!$AV$6:$AV$185,(MATCH($B$5,'Cases'!$A$6:$A$10,0)-1)*36+32),"")</f>
        <v/>
      </c>
      <c r="AJ59" s="137">
        <f>IF(ISNUMBER(INDEX('Cash schedule'!$AV$6:$AV$185,(MATCH($B$5,'Cases'!$A$6:$A$10,0)-1)*36+33)),INDEX('Cash schedule'!$AV$6:$AV$185,(MATCH($B$5,'Cases'!$A$6:$A$10,0)-1)*36+33),"")</f>
        <v/>
      </c>
      <c r="AK59" s="137">
        <f>IF(ISNUMBER(INDEX('Cash schedule'!$AV$6:$AV$185,(MATCH($B$5,'Cases'!$A$6:$A$10,0)-1)*36+34)),INDEX('Cash schedule'!$AV$6:$AV$185,(MATCH($B$5,'Cases'!$A$6:$A$10,0)-1)*36+34),"")</f>
        <v/>
      </c>
      <c r="AL59" s="137">
        <f>IF(ISNUMBER(INDEX('Cash schedule'!$AV$6:$AV$185,(MATCH($B$5,'Cases'!$A$6:$A$10,0)-1)*36+35)),INDEX('Cash schedule'!$AV$6:$AV$185,(MATCH($B$5,'Cases'!$A$6:$A$10,0)-1)*36+35),"")</f>
        <v/>
      </c>
      <c r="AM59" s="137">
        <f>IF(ISNUMBER(INDEX('Cash schedule'!$AV$6:$AV$185,(MATCH($B$5,'Cases'!$A$6:$A$10,0)-1)*36+36)),INDEX('Cash schedule'!$AV$6:$AV$185,(MATCH($B$5,'Cases'!$A$6:$A$10,0)-1)*36+36),"")</f>
        <v/>
      </c>
    </row>
    <row r="60" ht="28" customHeight="1">
      <c r="A60" s="4" t="n"/>
      <c r="B60" s="4" t="n"/>
      <c r="C60" s="4" t="n"/>
      <c r="D60" s="137" t="n"/>
      <c r="E60" s="137" t="n"/>
      <c r="F60" s="137" t="n"/>
      <c r="G60" s="137" t="n"/>
      <c r="H60" s="137" t="n"/>
      <c r="I60" s="137" t="n"/>
      <c r="J60" s="137" t="n"/>
      <c r="K60" s="137" t="n"/>
      <c r="L60" s="137" t="n"/>
      <c r="M60" s="137" t="n"/>
      <c r="N60" s="137" t="n"/>
      <c r="O60" s="137" t="n"/>
      <c r="P60" s="137" t="n"/>
      <c r="Q60" s="137" t="n"/>
      <c r="R60" s="137" t="n"/>
      <c r="S60" s="137" t="n"/>
      <c r="T60" s="137" t="n"/>
      <c r="U60" s="137" t="n"/>
      <c r="V60" s="137" t="n"/>
      <c r="W60" s="137" t="n"/>
      <c r="X60" s="137" t="n"/>
      <c r="Y60" s="137" t="n"/>
      <c r="Z60" s="137" t="n"/>
      <c r="AA60" s="137" t="n"/>
      <c r="AB60" s="137" t="n"/>
      <c r="AC60" s="137" t="n"/>
      <c r="AD60" s="137" t="n"/>
      <c r="AE60" s="137" t="n"/>
      <c r="AF60" s="137" t="n"/>
      <c r="AG60" s="137" t="n"/>
      <c r="AH60" s="137" t="n"/>
      <c r="AI60" s="137" t="n"/>
      <c r="AJ60" s="137" t="n"/>
      <c r="AK60" s="137" t="n"/>
      <c r="AL60" s="137" t="n"/>
      <c r="AM60" s="137" t="n"/>
    </row>
    <row r="61" ht="36" customHeight="1">
      <c r="A61" s="8" t="inlineStr">
        <is>
          <t>Balance-sheet movements</t>
        </is>
      </c>
      <c r="B61" s="8" t="n"/>
      <c r="C61" s="8" t="n"/>
      <c r="D61" s="140" t="n"/>
      <c r="E61" s="140" t="n"/>
      <c r="F61" s="140"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c r="AA61" s="140" t="n"/>
      <c r="AB61" s="140" t="n"/>
      <c r="AC61" s="140" t="n"/>
      <c r="AD61" s="140" t="n"/>
      <c r="AE61" s="140" t="n"/>
      <c r="AF61" s="140" t="n"/>
      <c r="AG61" s="140" t="n"/>
      <c r="AH61" s="140" t="n"/>
      <c r="AI61" s="140" t="n"/>
      <c r="AJ61" s="140" t="n"/>
      <c r="AK61" s="140" t="n"/>
      <c r="AL61" s="140" t="n"/>
      <c r="AM61" s="140" t="n"/>
    </row>
    <row r="62" ht="28" customHeight="1">
      <c r="A62" s="4" t="inlineStr">
        <is>
          <t>Closing receivables</t>
        </is>
      </c>
      <c r="B62" s="4" t="n"/>
      <c r="C62" s="4" t="n"/>
      <c r="D62" s="137">
        <f>IF(ISNUMBER(INDEX('Cash schedule'!$AW$6:$AW$185,(MATCH($B$5,'Cases'!$A$6:$A$10,0)-1)*36+1)),INDEX('Cash schedule'!$AW$6:$AW$185,(MATCH($B$5,'Cases'!$A$6:$A$10,0)-1)*36+1),"")</f>
        <v/>
      </c>
      <c r="E62" s="137">
        <f>IF(ISNUMBER(INDEX('Cash schedule'!$AW$6:$AW$185,(MATCH($B$5,'Cases'!$A$6:$A$10,0)-1)*36+2)),INDEX('Cash schedule'!$AW$6:$AW$185,(MATCH($B$5,'Cases'!$A$6:$A$10,0)-1)*36+2),"")</f>
        <v/>
      </c>
      <c r="F62" s="137">
        <f>IF(ISNUMBER(INDEX('Cash schedule'!$AW$6:$AW$185,(MATCH($B$5,'Cases'!$A$6:$A$10,0)-1)*36+3)),INDEX('Cash schedule'!$AW$6:$AW$185,(MATCH($B$5,'Cases'!$A$6:$A$10,0)-1)*36+3),"")</f>
        <v/>
      </c>
      <c r="G62" s="137">
        <f>IF(ISNUMBER(INDEX('Cash schedule'!$AW$6:$AW$185,(MATCH($B$5,'Cases'!$A$6:$A$10,0)-1)*36+4)),INDEX('Cash schedule'!$AW$6:$AW$185,(MATCH($B$5,'Cases'!$A$6:$A$10,0)-1)*36+4),"")</f>
        <v/>
      </c>
      <c r="H62" s="137">
        <f>IF(ISNUMBER(INDEX('Cash schedule'!$AW$6:$AW$185,(MATCH($B$5,'Cases'!$A$6:$A$10,0)-1)*36+5)),INDEX('Cash schedule'!$AW$6:$AW$185,(MATCH($B$5,'Cases'!$A$6:$A$10,0)-1)*36+5),"")</f>
        <v/>
      </c>
      <c r="I62" s="137">
        <f>IF(ISNUMBER(INDEX('Cash schedule'!$AW$6:$AW$185,(MATCH($B$5,'Cases'!$A$6:$A$10,0)-1)*36+6)),INDEX('Cash schedule'!$AW$6:$AW$185,(MATCH($B$5,'Cases'!$A$6:$A$10,0)-1)*36+6),"")</f>
        <v/>
      </c>
      <c r="J62" s="137">
        <f>IF(ISNUMBER(INDEX('Cash schedule'!$AW$6:$AW$185,(MATCH($B$5,'Cases'!$A$6:$A$10,0)-1)*36+7)),INDEX('Cash schedule'!$AW$6:$AW$185,(MATCH($B$5,'Cases'!$A$6:$A$10,0)-1)*36+7),"")</f>
        <v/>
      </c>
      <c r="K62" s="137">
        <f>IF(ISNUMBER(INDEX('Cash schedule'!$AW$6:$AW$185,(MATCH($B$5,'Cases'!$A$6:$A$10,0)-1)*36+8)),INDEX('Cash schedule'!$AW$6:$AW$185,(MATCH($B$5,'Cases'!$A$6:$A$10,0)-1)*36+8),"")</f>
        <v/>
      </c>
      <c r="L62" s="137">
        <f>IF(ISNUMBER(INDEX('Cash schedule'!$AW$6:$AW$185,(MATCH($B$5,'Cases'!$A$6:$A$10,0)-1)*36+9)),INDEX('Cash schedule'!$AW$6:$AW$185,(MATCH($B$5,'Cases'!$A$6:$A$10,0)-1)*36+9),"")</f>
        <v/>
      </c>
      <c r="M62" s="137">
        <f>IF(ISNUMBER(INDEX('Cash schedule'!$AW$6:$AW$185,(MATCH($B$5,'Cases'!$A$6:$A$10,0)-1)*36+10)),INDEX('Cash schedule'!$AW$6:$AW$185,(MATCH($B$5,'Cases'!$A$6:$A$10,0)-1)*36+10),"")</f>
        <v/>
      </c>
      <c r="N62" s="137">
        <f>IF(ISNUMBER(INDEX('Cash schedule'!$AW$6:$AW$185,(MATCH($B$5,'Cases'!$A$6:$A$10,0)-1)*36+11)),INDEX('Cash schedule'!$AW$6:$AW$185,(MATCH($B$5,'Cases'!$A$6:$A$10,0)-1)*36+11),"")</f>
        <v/>
      </c>
      <c r="O62" s="137">
        <f>IF(ISNUMBER(INDEX('Cash schedule'!$AW$6:$AW$185,(MATCH($B$5,'Cases'!$A$6:$A$10,0)-1)*36+12)),INDEX('Cash schedule'!$AW$6:$AW$185,(MATCH($B$5,'Cases'!$A$6:$A$10,0)-1)*36+12),"")</f>
        <v/>
      </c>
      <c r="P62" s="137">
        <f>IF(ISNUMBER(INDEX('Cash schedule'!$AW$6:$AW$185,(MATCH($B$5,'Cases'!$A$6:$A$10,0)-1)*36+13)),INDEX('Cash schedule'!$AW$6:$AW$185,(MATCH($B$5,'Cases'!$A$6:$A$10,0)-1)*36+13),"")</f>
        <v/>
      </c>
      <c r="Q62" s="137">
        <f>IF(ISNUMBER(INDEX('Cash schedule'!$AW$6:$AW$185,(MATCH($B$5,'Cases'!$A$6:$A$10,0)-1)*36+14)),INDEX('Cash schedule'!$AW$6:$AW$185,(MATCH($B$5,'Cases'!$A$6:$A$10,0)-1)*36+14),"")</f>
        <v/>
      </c>
      <c r="R62" s="137">
        <f>IF(ISNUMBER(INDEX('Cash schedule'!$AW$6:$AW$185,(MATCH($B$5,'Cases'!$A$6:$A$10,0)-1)*36+15)),INDEX('Cash schedule'!$AW$6:$AW$185,(MATCH($B$5,'Cases'!$A$6:$A$10,0)-1)*36+15),"")</f>
        <v/>
      </c>
      <c r="S62" s="137">
        <f>IF(ISNUMBER(INDEX('Cash schedule'!$AW$6:$AW$185,(MATCH($B$5,'Cases'!$A$6:$A$10,0)-1)*36+16)),INDEX('Cash schedule'!$AW$6:$AW$185,(MATCH($B$5,'Cases'!$A$6:$A$10,0)-1)*36+16),"")</f>
        <v/>
      </c>
      <c r="T62" s="137">
        <f>IF(ISNUMBER(INDEX('Cash schedule'!$AW$6:$AW$185,(MATCH($B$5,'Cases'!$A$6:$A$10,0)-1)*36+17)),INDEX('Cash schedule'!$AW$6:$AW$185,(MATCH($B$5,'Cases'!$A$6:$A$10,0)-1)*36+17),"")</f>
        <v/>
      </c>
      <c r="U62" s="137">
        <f>IF(ISNUMBER(INDEX('Cash schedule'!$AW$6:$AW$185,(MATCH($B$5,'Cases'!$A$6:$A$10,0)-1)*36+18)),INDEX('Cash schedule'!$AW$6:$AW$185,(MATCH($B$5,'Cases'!$A$6:$A$10,0)-1)*36+18),"")</f>
        <v/>
      </c>
      <c r="V62" s="137">
        <f>IF(ISNUMBER(INDEX('Cash schedule'!$AW$6:$AW$185,(MATCH($B$5,'Cases'!$A$6:$A$10,0)-1)*36+19)),INDEX('Cash schedule'!$AW$6:$AW$185,(MATCH($B$5,'Cases'!$A$6:$A$10,0)-1)*36+19),"")</f>
        <v/>
      </c>
      <c r="W62" s="137">
        <f>IF(ISNUMBER(INDEX('Cash schedule'!$AW$6:$AW$185,(MATCH($B$5,'Cases'!$A$6:$A$10,0)-1)*36+20)),INDEX('Cash schedule'!$AW$6:$AW$185,(MATCH($B$5,'Cases'!$A$6:$A$10,0)-1)*36+20),"")</f>
        <v/>
      </c>
      <c r="X62" s="137">
        <f>IF(ISNUMBER(INDEX('Cash schedule'!$AW$6:$AW$185,(MATCH($B$5,'Cases'!$A$6:$A$10,0)-1)*36+21)),INDEX('Cash schedule'!$AW$6:$AW$185,(MATCH($B$5,'Cases'!$A$6:$A$10,0)-1)*36+21),"")</f>
        <v/>
      </c>
      <c r="Y62" s="137">
        <f>IF(ISNUMBER(INDEX('Cash schedule'!$AW$6:$AW$185,(MATCH($B$5,'Cases'!$A$6:$A$10,0)-1)*36+22)),INDEX('Cash schedule'!$AW$6:$AW$185,(MATCH($B$5,'Cases'!$A$6:$A$10,0)-1)*36+22),"")</f>
        <v/>
      </c>
      <c r="Z62" s="137">
        <f>IF(ISNUMBER(INDEX('Cash schedule'!$AW$6:$AW$185,(MATCH($B$5,'Cases'!$A$6:$A$10,0)-1)*36+23)),INDEX('Cash schedule'!$AW$6:$AW$185,(MATCH($B$5,'Cases'!$A$6:$A$10,0)-1)*36+23),"")</f>
        <v/>
      </c>
      <c r="AA62" s="137">
        <f>IF(ISNUMBER(INDEX('Cash schedule'!$AW$6:$AW$185,(MATCH($B$5,'Cases'!$A$6:$A$10,0)-1)*36+24)),INDEX('Cash schedule'!$AW$6:$AW$185,(MATCH($B$5,'Cases'!$A$6:$A$10,0)-1)*36+24),"")</f>
        <v/>
      </c>
      <c r="AB62" s="137">
        <f>IF(ISNUMBER(INDEX('Cash schedule'!$AW$6:$AW$185,(MATCH($B$5,'Cases'!$A$6:$A$10,0)-1)*36+25)),INDEX('Cash schedule'!$AW$6:$AW$185,(MATCH($B$5,'Cases'!$A$6:$A$10,0)-1)*36+25),"")</f>
        <v/>
      </c>
      <c r="AC62" s="137">
        <f>IF(ISNUMBER(INDEX('Cash schedule'!$AW$6:$AW$185,(MATCH($B$5,'Cases'!$A$6:$A$10,0)-1)*36+26)),INDEX('Cash schedule'!$AW$6:$AW$185,(MATCH($B$5,'Cases'!$A$6:$A$10,0)-1)*36+26),"")</f>
        <v/>
      </c>
      <c r="AD62" s="137">
        <f>IF(ISNUMBER(INDEX('Cash schedule'!$AW$6:$AW$185,(MATCH($B$5,'Cases'!$A$6:$A$10,0)-1)*36+27)),INDEX('Cash schedule'!$AW$6:$AW$185,(MATCH($B$5,'Cases'!$A$6:$A$10,0)-1)*36+27),"")</f>
        <v/>
      </c>
      <c r="AE62" s="137">
        <f>IF(ISNUMBER(INDEX('Cash schedule'!$AW$6:$AW$185,(MATCH($B$5,'Cases'!$A$6:$A$10,0)-1)*36+28)),INDEX('Cash schedule'!$AW$6:$AW$185,(MATCH($B$5,'Cases'!$A$6:$A$10,0)-1)*36+28),"")</f>
        <v/>
      </c>
      <c r="AF62" s="137">
        <f>IF(ISNUMBER(INDEX('Cash schedule'!$AW$6:$AW$185,(MATCH($B$5,'Cases'!$A$6:$A$10,0)-1)*36+29)),INDEX('Cash schedule'!$AW$6:$AW$185,(MATCH($B$5,'Cases'!$A$6:$A$10,0)-1)*36+29),"")</f>
        <v/>
      </c>
      <c r="AG62" s="137">
        <f>IF(ISNUMBER(INDEX('Cash schedule'!$AW$6:$AW$185,(MATCH($B$5,'Cases'!$A$6:$A$10,0)-1)*36+30)),INDEX('Cash schedule'!$AW$6:$AW$185,(MATCH($B$5,'Cases'!$A$6:$A$10,0)-1)*36+30),"")</f>
        <v/>
      </c>
      <c r="AH62" s="137">
        <f>IF(ISNUMBER(INDEX('Cash schedule'!$AW$6:$AW$185,(MATCH($B$5,'Cases'!$A$6:$A$10,0)-1)*36+31)),INDEX('Cash schedule'!$AW$6:$AW$185,(MATCH($B$5,'Cases'!$A$6:$A$10,0)-1)*36+31),"")</f>
        <v/>
      </c>
      <c r="AI62" s="137">
        <f>IF(ISNUMBER(INDEX('Cash schedule'!$AW$6:$AW$185,(MATCH($B$5,'Cases'!$A$6:$A$10,0)-1)*36+32)),INDEX('Cash schedule'!$AW$6:$AW$185,(MATCH($B$5,'Cases'!$A$6:$A$10,0)-1)*36+32),"")</f>
        <v/>
      </c>
      <c r="AJ62" s="137">
        <f>IF(ISNUMBER(INDEX('Cash schedule'!$AW$6:$AW$185,(MATCH($B$5,'Cases'!$A$6:$A$10,0)-1)*36+33)),INDEX('Cash schedule'!$AW$6:$AW$185,(MATCH($B$5,'Cases'!$A$6:$A$10,0)-1)*36+33),"")</f>
        <v/>
      </c>
      <c r="AK62" s="137">
        <f>IF(ISNUMBER(INDEX('Cash schedule'!$AW$6:$AW$185,(MATCH($B$5,'Cases'!$A$6:$A$10,0)-1)*36+34)),INDEX('Cash schedule'!$AW$6:$AW$185,(MATCH($B$5,'Cases'!$A$6:$A$10,0)-1)*36+34),"")</f>
        <v/>
      </c>
      <c r="AL62" s="137">
        <f>IF(ISNUMBER(INDEX('Cash schedule'!$AW$6:$AW$185,(MATCH($B$5,'Cases'!$A$6:$A$10,0)-1)*36+35)),INDEX('Cash schedule'!$AW$6:$AW$185,(MATCH($B$5,'Cases'!$A$6:$A$10,0)-1)*36+35),"")</f>
        <v/>
      </c>
      <c r="AM62" s="137">
        <f>IF(ISNUMBER(INDEX('Cash schedule'!$AW$6:$AW$185,(MATCH($B$5,'Cases'!$A$6:$A$10,0)-1)*36+36)),INDEX('Cash schedule'!$AW$6:$AW$185,(MATCH($B$5,'Cases'!$A$6:$A$10,0)-1)*36+36),"")</f>
        <v/>
      </c>
    </row>
    <row r="63" ht="28" customHeight="1">
      <c r="A63" s="4" t="inlineStr">
        <is>
          <t>Closing inventory</t>
        </is>
      </c>
      <c r="B63" s="4" t="n"/>
      <c r="C63" s="4" t="n"/>
      <c r="D63" s="137">
        <f>IF(ISNUMBER(INDEX('Cash schedule'!$AX$6:$AX$185,(MATCH($B$5,'Cases'!$A$6:$A$10,0)-1)*36+1)),INDEX('Cash schedule'!$AX$6:$AX$185,(MATCH($B$5,'Cases'!$A$6:$A$10,0)-1)*36+1),"")</f>
        <v/>
      </c>
      <c r="E63" s="137">
        <f>IF(ISNUMBER(INDEX('Cash schedule'!$AX$6:$AX$185,(MATCH($B$5,'Cases'!$A$6:$A$10,0)-1)*36+2)),INDEX('Cash schedule'!$AX$6:$AX$185,(MATCH($B$5,'Cases'!$A$6:$A$10,0)-1)*36+2),"")</f>
        <v/>
      </c>
      <c r="F63" s="137">
        <f>IF(ISNUMBER(INDEX('Cash schedule'!$AX$6:$AX$185,(MATCH($B$5,'Cases'!$A$6:$A$10,0)-1)*36+3)),INDEX('Cash schedule'!$AX$6:$AX$185,(MATCH($B$5,'Cases'!$A$6:$A$10,0)-1)*36+3),"")</f>
        <v/>
      </c>
      <c r="G63" s="137">
        <f>IF(ISNUMBER(INDEX('Cash schedule'!$AX$6:$AX$185,(MATCH($B$5,'Cases'!$A$6:$A$10,0)-1)*36+4)),INDEX('Cash schedule'!$AX$6:$AX$185,(MATCH($B$5,'Cases'!$A$6:$A$10,0)-1)*36+4),"")</f>
        <v/>
      </c>
      <c r="H63" s="137">
        <f>IF(ISNUMBER(INDEX('Cash schedule'!$AX$6:$AX$185,(MATCH($B$5,'Cases'!$A$6:$A$10,0)-1)*36+5)),INDEX('Cash schedule'!$AX$6:$AX$185,(MATCH($B$5,'Cases'!$A$6:$A$10,0)-1)*36+5),"")</f>
        <v/>
      </c>
      <c r="I63" s="137">
        <f>IF(ISNUMBER(INDEX('Cash schedule'!$AX$6:$AX$185,(MATCH($B$5,'Cases'!$A$6:$A$10,0)-1)*36+6)),INDEX('Cash schedule'!$AX$6:$AX$185,(MATCH($B$5,'Cases'!$A$6:$A$10,0)-1)*36+6),"")</f>
        <v/>
      </c>
      <c r="J63" s="137">
        <f>IF(ISNUMBER(INDEX('Cash schedule'!$AX$6:$AX$185,(MATCH($B$5,'Cases'!$A$6:$A$10,0)-1)*36+7)),INDEX('Cash schedule'!$AX$6:$AX$185,(MATCH($B$5,'Cases'!$A$6:$A$10,0)-1)*36+7),"")</f>
        <v/>
      </c>
      <c r="K63" s="137">
        <f>IF(ISNUMBER(INDEX('Cash schedule'!$AX$6:$AX$185,(MATCH($B$5,'Cases'!$A$6:$A$10,0)-1)*36+8)),INDEX('Cash schedule'!$AX$6:$AX$185,(MATCH($B$5,'Cases'!$A$6:$A$10,0)-1)*36+8),"")</f>
        <v/>
      </c>
      <c r="L63" s="137">
        <f>IF(ISNUMBER(INDEX('Cash schedule'!$AX$6:$AX$185,(MATCH($B$5,'Cases'!$A$6:$A$10,0)-1)*36+9)),INDEX('Cash schedule'!$AX$6:$AX$185,(MATCH($B$5,'Cases'!$A$6:$A$10,0)-1)*36+9),"")</f>
        <v/>
      </c>
      <c r="M63" s="137">
        <f>IF(ISNUMBER(INDEX('Cash schedule'!$AX$6:$AX$185,(MATCH($B$5,'Cases'!$A$6:$A$10,0)-1)*36+10)),INDEX('Cash schedule'!$AX$6:$AX$185,(MATCH($B$5,'Cases'!$A$6:$A$10,0)-1)*36+10),"")</f>
        <v/>
      </c>
      <c r="N63" s="137">
        <f>IF(ISNUMBER(INDEX('Cash schedule'!$AX$6:$AX$185,(MATCH($B$5,'Cases'!$A$6:$A$10,0)-1)*36+11)),INDEX('Cash schedule'!$AX$6:$AX$185,(MATCH($B$5,'Cases'!$A$6:$A$10,0)-1)*36+11),"")</f>
        <v/>
      </c>
      <c r="O63" s="137">
        <f>IF(ISNUMBER(INDEX('Cash schedule'!$AX$6:$AX$185,(MATCH($B$5,'Cases'!$A$6:$A$10,0)-1)*36+12)),INDEX('Cash schedule'!$AX$6:$AX$185,(MATCH($B$5,'Cases'!$A$6:$A$10,0)-1)*36+12),"")</f>
        <v/>
      </c>
      <c r="P63" s="137">
        <f>IF(ISNUMBER(INDEX('Cash schedule'!$AX$6:$AX$185,(MATCH($B$5,'Cases'!$A$6:$A$10,0)-1)*36+13)),INDEX('Cash schedule'!$AX$6:$AX$185,(MATCH($B$5,'Cases'!$A$6:$A$10,0)-1)*36+13),"")</f>
        <v/>
      </c>
      <c r="Q63" s="137">
        <f>IF(ISNUMBER(INDEX('Cash schedule'!$AX$6:$AX$185,(MATCH($B$5,'Cases'!$A$6:$A$10,0)-1)*36+14)),INDEX('Cash schedule'!$AX$6:$AX$185,(MATCH($B$5,'Cases'!$A$6:$A$10,0)-1)*36+14),"")</f>
        <v/>
      </c>
      <c r="R63" s="137">
        <f>IF(ISNUMBER(INDEX('Cash schedule'!$AX$6:$AX$185,(MATCH($B$5,'Cases'!$A$6:$A$10,0)-1)*36+15)),INDEX('Cash schedule'!$AX$6:$AX$185,(MATCH($B$5,'Cases'!$A$6:$A$10,0)-1)*36+15),"")</f>
        <v/>
      </c>
      <c r="S63" s="137">
        <f>IF(ISNUMBER(INDEX('Cash schedule'!$AX$6:$AX$185,(MATCH($B$5,'Cases'!$A$6:$A$10,0)-1)*36+16)),INDEX('Cash schedule'!$AX$6:$AX$185,(MATCH($B$5,'Cases'!$A$6:$A$10,0)-1)*36+16),"")</f>
        <v/>
      </c>
      <c r="T63" s="137">
        <f>IF(ISNUMBER(INDEX('Cash schedule'!$AX$6:$AX$185,(MATCH($B$5,'Cases'!$A$6:$A$10,0)-1)*36+17)),INDEX('Cash schedule'!$AX$6:$AX$185,(MATCH($B$5,'Cases'!$A$6:$A$10,0)-1)*36+17),"")</f>
        <v/>
      </c>
      <c r="U63" s="137">
        <f>IF(ISNUMBER(INDEX('Cash schedule'!$AX$6:$AX$185,(MATCH($B$5,'Cases'!$A$6:$A$10,0)-1)*36+18)),INDEX('Cash schedule'!$AX$6:$AX$185,(MATCH($B$5,'Cases'!$A$6:$A$10,0)-1)*36+18),"")</f>
        <v/>
      </c>
      <c r="V63" s="137">
        <f>IF(ISNUMBER(INDEX('Cash schedule'!$AX$6:$AX$185,(MATCH($B$5,'Cases'!$A$6:$A$10,0)-1)*36+19)),INDEX('Cash schedule'!$AX$6:$AX$185,(MATCH($B$5,'Cases'!$A$6:$A$10,0)-1)*36+19),"")</f>
        <v/>
      </c>
      <c r="W63" s="137">
        <f>IF(ISNUMBER(INDEX('Cash schedule'!$AX$6:$AX$185,(MATCH($B$5,'Cases'!$A$6:$A$10,0)-1)*36+20)),INDEX('Cash schedule'!$AX$6:$AX$185,(MATCH($B$5,'Cases'!$A$6:$A$10,0)-1)*36+20),"")</f>
        <v/>
      </c>
      <c r="X63" s="137">
        <f>IF(ISNUMBER(INDEX('Cash schedule'!$AX$6:$AX$185,(MATCH($B$5,'Cases'!$A$6:$A$10,0)-1)*36+21)),INDEX('Cash schedule'!$AX$6:$AX$185,(MATCH($B$5,'Cases'!$A$6:$A$10,0)-1)*36+21),"")</f>
        <v/>
      </c>
      <c r="Y63" s="137">
        <f>IF(ISNUMBER(INDEX('Cash schedule'!$AX$6:$AX$185,(MATCH($B$5,'Cases'!$A$6:$A$10,0)-1)*36+22)),INDEX('Cash schedule'!$AX$6:$AX$185,(MATCH($B$5,'Cases'!$A$6:$A$10,0)-1)*36+22),"")</f>
        <v/>
      </c>
      <c r="Z63" s="137">
        <f>IF(ISNUMBER(INDEX('Cash schedule'!$AX$6:$AX$185,(MATCH($B$5,'Cases'!$A$6:$A$10,0)-1)*36+23)),INDEX('Cash schedule'!$AX$6:$AX$185,(MATCH($B$5,'Cases'!$A$6:$A$10,0)-1)*36+23),"")</f>
        <v/>
      </c>
      <c r="AA63" s="137">
        <f>IF(ISNUMBER(INDEX('Cash schedule'!$AX$6:$AX$185,(MATCH($B$5,'Cases'!$A$6:$A$10,0)-1)*36+24)),INDEX('Cash schedule'!$AX$6:$AX$185,(MATCH($B$5,'Cases'!$A$6:$A$10,0)-1)*36+24),"")</f>
        <v/>
      </c>
      <c r="AB63" s="137">
        <f>IF(ISNUMBER(INDEX('Cash schedule'!$AX$6:$AX$185,(MATCH($B$5,'Cases'!$A$6:$A$10,0)-1)*36+25)),INDEX('Cash schedule'!$AX$6:$AX$185,(MATCH($B$5,'Cases'!$A$6:$A$10,0)-1)*36+25),"")</f>
        <v/>
      </c>
      <c r="AC63" s="137">
        <f>IF(ISNUMBER(INDEX('Cash schedule'!$AX$6:$AX$185,(MATCH($B$5,'Cases'!$A$6:$A$10,0)-1)*36+26)),INDEX('Cash schedule'!$AX$6:$AX$185,(MATCH($B$5,'Cases'!$A$6:$A$10,0)-1)*36+26),"")</f>
        <v/>
      </c>
      <c r="AD63" s="137">
        <f>IF(ISNUMBER(INDEX('Cash schedule'!$AX$6:$AX$185,(MATCH($B$5,'Cases'!$A$6:$A$10,0)-1)*36+27)),INDEX('Cash schedule'!$AX$6:$AX$185,(MATCH($B$5,'Cases'!$A$6:$A$10,0)-1)*36+27),"")</f>
        <v/>
      </c>
      <c r="AE63" s="137">
        <f>IF(ISNUMBER(INDEX('Cash schedule'!$AX$6:$AX$185,(MATCH($B$5,'Cases'!$A$6:$A$10,0)-1)*36+28)),INDEX('Cash schedule'!$AX$6:$AX$185,(MATCH($B$5,'Cases'!$A$6:$A$10,0)-1)*36+28),"")</f>
        <v/>
      </c>
      <c r="AF63" s="137">
        <f>IF(ISNUMBER(INDEX('Cash schedule'!$AX$6:$AX$185,(MATCH($B$5,'Cases'!$A$6:$A$10,0)-1)*36+29)),INDEX('Cash schedule'!$AX$6:$AX$185,(MATCH($B$5,'Cases'!$A$6:$A$10,0)-1)*36+29),"")</f>
        <v/>
      </c>
      <c r="AG63" s="137">
        <f>IF(ISNUMBER(INDEX('Cash schedule'!$AX$6:$AX$185,(MATCH($B$5,'Cases'!$A$6:$A$10,0)-1)*36+30)),INDEX('Cash schedule'!$AX$6:$AX$185,(MATCH($B$5,'Cases'!$A$6:$A$10,0)-1)*36+30),"")</f>
        <v/>
      </c>
      <c r="AH63" s="137">
        <f>IF(ISNUMBER(INDEX('Cash schedule'!$AX$6:$AX$185,(MATCH($B$5,'Cases'!$A$6:$A$10,0)-1)*36+31)),INDEX('Cash schedule'!$AX$6:$AX$185,(MATCH($B$5,'Cases'!$A$6:$A$10,0)-1)*36+31),"")</f>
        <v/>
      </c>
      <c r="AI63" s="137">
        <f>IF(ISNUMBER(INDEX('Cash schedule'!$AX$6:$AX$185,(MATCH($B$5,'Cases'!$A$6:$A$10,0)-1)*36+32)),INDEX('Cash schedule'!$AX$6:$AX$185,(MATCH($B$5,'Cases'!$A$6:$A$10,0)-1)*36+32),"")</f>
        <v/>
      </c>
      <c r="AJ63" s="137">
        <f>IF(ISNUMBER(INDEX('Cash schedule'!$AX$6:$AX$185,(MATCH($B$5,'Cases'!$A$6:$A$10,0)-1)*36+33)),INDEX('Cash schedule'!$AX$6:$AX$185,(MATCH($B$5,'Cases'!$A$6:$A$10,0)-1)*36+33),"")</f>
        <v/>
      </c>
      <c r="AK63" s="137">
        <f>IF(ISNUMBER(INDEX('Cash schedule'!$AX$6:$AX$185,(MATCH($B$5,'Cases'!$A$6:$A$10,0)-1)*36+34)),INDEX('Cash schedule'!$AX$6:$AX$185,(MATCH($B$5,'Cases'!$A$6:$A$10,0)-1)*36+34),"")</f>
        <v/>
      </c>
      <c r="AL63" s="137">
        <f>IF(ISNUMBER(INDEX('Cash schedule'!$AX$6:$AX$185,(MATCH($B$5,'Cases'!$A$6:$A$10,0)-1)*36+35)),INDEX('Cash schedule'!$AX$6:$AX$185,(MATCH($B$5,'Cases'!$A$6:$A$10,0)-1)*36+35),"")</f>
        <v/>
      </c>
      <c r="AM63" s="137">
        <f>IF(ISNUMBER(INDEX('Cash schedule'!$AX$6:$AX$185,(MATCH($B$5,'Cases'!$A$6:$A$10,0)-1)*36+36)),INDEX('Cash schedule'!$AX$6:$AX$185,(MATCH($B$5,'Cases'!$A$6:$A$10,0)-1)*36+36),"")</f>
        <v/>
      </c>
    </row>
    <row r="64" ht="28" customHeight="1">
      <c r="A64" s="4" t="inlineStr">
        <is>
          <t>Closing fixed assets</t>
        </is>
      </c>
      <c r="B64" s="4" t="n"/>
      <c r="C64" s="4" t="n"/>
      <c r="D64" s="137">
        <f>IF(ISNUMBER(INDEX('Cash schedule'!$AY$6:$AY$185,(MATCH($B$5,'Cases'!$A$6:$A$10,0)-1)*36+1)),INDEX('Cash schedule'!$AY$6:$AY$185,(MATCH($B$5,'Cases'!$A$6:$A$10,0)-1)*36+1),"")</f>
        <v/>
      </c>
      <c r="E64" s="137">
        <f>IF(ISNUMBER(INDEX('Cash schedule'!$AY$6:$AY$185,(MATCH($B$5,'Cases'!$A$6:$A$10,0)-1)*36+2)),INDEX('Cash schedule'!$AY$6:$AY$185,(MATCH($B$5,'Cases'!$A$6:$A$10,0)-1)*36+2),"")</f>
        <v/>
      </c>
      <c r="F64" s="137">
        <f>IF(ISNUMBER(INDEX('Cash schedule'!$AY$6:$AY$185,(MATCH($B$5,'Cases'!$A$6:$A$10,0)-1)*36+3)),INDEX('Cash schedule'!$AY$6:$AY$185,(MATCH($B$5,'Cases'!$A$6:$A$10,0)-1)*36+3),"")</f>
        <v/>
      </c>
      <c r="G64" s="137">
        <f>IF(ISNUMBER(INDEX('Cash schedule'!$AY$6:$AY$185,(MATCH($B$5,'Cases'!$A$6:$A$10,0)-1)*36+4)),INDEX('Cash schedule'!$AY$6:$AY$185,(MATCH($B$5,'Cases'!$A$6:$A$10,0)-1)*36+4),"")</f>
        <v/>
      </c>
      <c r="H64" s="137">
        <f>IF(ISNUMBER(INDEX('Cash schedule'!$AY$6:$AY$185,(MATCH($B$5,'Cases'!$A$6:$A$10,0)-1)*36+5)),INDEX('Cash schedule'!$AY$6:$AY$185,(MATCH($B$5,'Cases'!$A$6:$A$10,0)-1)*36+5),"")</f>
        <v/>
      </c>
      <c r="I64" s="137">
        <f>IF(ISNUMBER(INDEX('Cash schedule'!$AY$6:$AY$185,(MATCH($B$5,'Cases'!$A$6:$A$10,0)-1)*36+6)),INDEX('Cash schedule'!$AY$6:$AY$185,(MATCH($B$5,'Cases'!$A$6:$A$10,0)-1)*36+6),"")</f>
        <v/>
      </c>
      <c r="J64" s="137">
        <f>IF(ISNUMBER(INDEX('Cash schedule'!$AY$6:$AY$185,(MATCH($B$5,'Cases'!$A$6:$A$10,0)-1)*36+7)),INDEX('Cash schedule'!$AY$6:$AY$185,(MATCH($B$5,'Cases'!$A$6:$A$10,0)-1)*36+7),"")</f>
        <v/>
      </c>
      <c r="K64" s="137">
        <f>IF(ISNUMBER(INDEX('Cash schedule'!$AY$6:$AY$185,(MATCH($B$5,'Cases'!$A$6:$A$10,0)-1)*36+8)),INDEX('Cash schedule'!$AY$6:$AY$185,(MATCH($B$5,'Cases'!$A$6:$A$10,0)-1)*36+8),"")</f>
        <v/>
      </c>
      <c r="L64" s="137">
        <f>IF(ISNUMBER(INDEX('Cash schedule'!$AY$6:$AY$185,(MATCH($B$5,'Cases'!$A$6:$A$10,0)-1)*36+9)),INDEX('Cash schedule'!$AY$6:$AY$185,(MATCH($B$5,'Cases'!$A$6:$A$10,0)-1)*36+9),"")</f>
        <v/>
      </c>
      <c r="M64" s="137">
        <f>IF(ISNUMBER(INDEX('Cash schedule'!$AY$6:$AY$185,(MATCH($B$5,'Cases'!$A$6:$A$10,0)-1)*36+10)),INDEX('Cash schedule'!$AY$6:$AY$185,(MATCH($B$5,'Cases'!$A$6:$A$10,0)-1)*36+10),"")</f>
        <v/>
      </c>
      <c r="N64" s="137">
        <f>IF(ISNUMBER(INDEX('Cash schedule'!$AY$6:$AY$185,(MATCH($B$5,'Cases'!$A$6:$A$10,0)-1)*36+11)),INDEX('Cash schedule'!$AY$6:$AY$185,(MATCH($B$5,'Cases'!$A$6:$A$10,0)-1)*36+11),"")</f>
        <v/>
      </c>
      <c r="O64" s="137">
        <f>IF(ISNUMBER(INDEX('Cash schedule'!$AY$6:$AY$185,(MATCH($B$5,'Cases'!$A$6:$A$10,0)-1)*36+12)),INDEX('Cash schedule'!$AY$6:$AY$185,(MATCH($B$5,'Cases'!$A$6:$A$10,0)-1)*36+12),"")</f>
        <v/>
      </c>
      <c r="P64" s="137">
        <f>IF(ISNUMBER(INDEX('Cash schedule'!$AY$6:$AY$185,(MATCH($B$5,'Cases'!$A$6:$A$10,0)-1)*36+13)),INDEX('Cash schedule'!$AY$6:$AY$185,(MATCH($B$5,'Cases'!$A$6:$A$10,0)-1)*36+13),"")</f>
        <v/>
      </c>
      <c r="Q64" s="137">
        <f>IF(ISNUMBER(INDEX('Cash schedule'!$AY$6:$AY$185,(MATCH($B$5,'Cases'!$A$6:$A$10,0)-1)*36+14)),INDEX('Cash schedule'!$AY$6:$AY$185,(MATCH($B$5,'Cases'!$A$6:$A$10,0)-1)*36+14),"")</f>
        <v/>
      </c>
      <c r="R64" s="137">
        <f>IF(ISNUMBER(INDEX('Cash schedule'!$AY$6:$AY$185,(MATCH($B$5,'Cases'!$A$6:$A$10,0)-1)*36+15)),INDEX('Cash schedule'!$AY$6:$AY$185,(MATCH($B$5,'Cases'!$A$6:$A$10,0)-1)*36+15),"")</f>
        <v/>
      </c>
      <c r="S64" s="137">
        <f>IF(ISNUMBER(INDEX('Cash schedule'!$AY$6:$AY$185,(MATCH($B$5,'Cases'!$A$6:$A$10,0)-1)*36+16)),INDEX('Cash schedule'!$AY$6:$AY$185,(MATCH($B$5,'Cases'!$A$6:$A$10,0)-1)*36+16),"")</f>
        <v/>
      </c>
      <c r="T64" s="137">
        <f>IF(ISNUMBER(INDEX('Cash schedule'!$AY$6:$AY$185,(MATCH($B$5,'Cases'!$A$6:$A$10,0)-1)*36+17)),INDEX('Cash schedule'!$AY$6:$AY$185,(MATCH($B$5,'Cases'!$A$6:$A$10,0)-1)*36+17),"")</f>
        <v/>
      </c>
      <c r="U64" s="137">
        <f>IF(ISNUMBER(INDEX('Cash schedule'!$AY$6:$AY$185,(MATCH($B$5,'Cases'!$A$6:$A$10,0)-1)*36+18)),INDEX('Cash schedule'!$AY$6:$AY$185,(MATCH($B$5,'Cases'!$A$6:$A$10,0)-1)*36+18),"")</f>
        <v/>
      </c>
      <c r="V64" s="137">
        <f>IF(ISNUMBER(INDEX('Cash schedule'!$AY$6:$AY$185,(MATCH($B$5,'Cases'!$A$6:$A$10,0)-1)*36+19)),INDEX('Cash schedule'!$AY$6:$AY$185,(MATCH($B$5,'Cases'!$A$6:$A$10,0)-1)*36+19),"")</f>
        <v/>
      </c>
      <c r="W64" s="137">
        <f>IF(ISNUMBER(INDEX('Cash schedule'!$AY$6:$AY$185,(MATCH($B$5,'Cases'!$A$6:$A$10,0)-1)*36+20)),INDEX('Cash schedule'!$AY$6:$AY$185,(MATCH($B$5,'Cases'!$A$6:$A$10,0)-1)*36+20),"")</f>
        <v/>
      </c>
      <c r="X64" s="137">
        <f>IF(ISNUMBER(INDEX('Cash schedule'!$AY$6:$AY$185,(MATCH($B$5,'Cases'!$A$6:$A$10,0)-1)*36+21)),INDEX('Cash schedule'!$AY$6:$AY$185,(MATCH($B$5,'Cases'!$A$6:$A$10,0)-1)*36+21),"")</f>
        <v/>
      </c>
      <c r="Y64" s="137">
        <f>IF(ISNUMBER(INDEX('Cash schedule'!$AY$6:$AY$185,(MATCH($B$5,'Cases'!$A$6:$A$10,0)-1)*36+22)),INDEX('Cash schedule'!$AY$6:$AY$185,(MATCH($B$5,'Cases'!$A$6:$A$10,0)-1)*36+22),"")</f>
        <v/>
      </c>
      <c r="Z64" s="137">
        <f>IF(ISNUMBER(INDEX('Cash schedule'!$AY$6:$AY$185,(MATCH($B$5,'Cases'!$A$6:$A$10,0)-1)*36+23)),INDEX('Cash schedule'!$AY$6:$AY$185,(MATCH($B$5,'Cases'!$A$6:$A$10,0)-1)*36+23),"")</f>
        <v/>
      </c>
      <c r="AA64" s="137">
        <f>IF(ISNUMBER(INDEX('Cash schedule'!$AY$6:$AY$185,(MATCH($B$5,'Cases'!$A$6:$A$10,0)-1)*36+24)),INDEX('Cash schedule'!$AY$6:$AY$185,(MATCH($B$5,'Cases'!$A$6:$A$10,0)-1)*36+24),"")</f>
        <v/>
      </c>
      <c r="AB64" s="137">
        <f>IF(ISNUMBER(INDEX('Cash schedule'!$AY$6:$AY$185,(MATCH($B$5,'Cases'!$A$6:$A$10,0)-1)*36+25)),INDEX('Cash schedule'!$AY$6:$AY$185,(MATCH($B$5,'Cases'!$A$6:$A$10,0)-1)*36+25),"")</f>
        <v/>
      </c>
      <c r="AC64" s="137">
        <f>IF(ISNUMBER(INDEX('Cash schedule'!$AY$6:$AY$185,(MATCH($B$5,'Cases'!$A$6:$A$10,0)-1)*36+26)),INDEX('Cash schedule'!$AY$6:$AY$185,(MATCH($B$5,'Cases'!$A$6:$A$10,0)-1)*36+26),"")</f>
        <v/>
      </c>
      <c r="AD64" s="137">
        <f>IF(ISNUMBER(INDEX('Cash schedule'!$AY$6:$AY$185,(MATCH($B$5,'Cases'!$A$6:$A$10,0)-1)*36+27)),INDEX('Cash schedule'!$AY$6:$AY$185,(MATCH($B$5,'Cases'!$A$6:$A$10,0)-1)*36+27),"")</f>
        <v/>
      </c>
      <c r="AE64" s="137">
        <f>IF(ISNUMBER(INDEX('Cash schedule'!$AY$6:$AY$185,(MATCH($B$5,'Cases'!$A$6:$A$10,0)-1)*36+28)),INDEX('Cash schedule'!$AY$6:$AY$185,(MATCH($B$5,'Cases'!$A$6:$A$10,0)-1)*36+28),"")</f>
        <v/>
      </c>
      <c r="AF64" s="137">
        <f>IF(ISNUMBER(INDEX('Cash schedule'!$AY$6:$AY$185,(MATCH($B$5,'Cases'!$A$6:$A$10,0)-1)*36+29)),INDEX('Cash schedule'!$AY$6:$AY$185,(MATCH($B$5,'Cases'!$A$6:$A$10,0)-1)*36+29),"")</f>
        <v/>
      </c>
      <c r="AG64" s="137">
        <f>IF(ISNUMBER(INDEX('Cash schedule'!$AY$6:$AY$185,(MATCH($B$5,'Cases'!$A$6:$A$10,0)-1)*36+30)),INDEX('Cash schedule'!$AY$6:$AY$185,(MATCH($B$5,'Cases'!$A$6:$A$10,0)-1)*36+30),"")</f>
        <v/>
      </c>
      <c r="AH64" s="137">
        <f>IF(ISNUMBER(INDEX('Cash schedule'!$AY$6:$AY$185,(MATCH($B$5,'Cases'!$A$6:$A$10,0)-1)*36+31)),INDEX('Cash schedule'!$AY$6:$AY$185,(MATCH($B$5,'Cases'!$A$6:$A$10,0)-1)*36+31),"")</f>
        <v/>
      </c>
      <c r="AI64" s="137">
        <f>IF(ISNUMBER(INDEX('Cash schedule'!$AY$6:$AY$185,(MATCH($B$5,'Cases'!$A$6:$A$10,0)-1)*36+32)),INDEX('Cash schedule'!$AY$6:$AY$185,(MATCH($B$5,'Cases'!$A$6:$A$10,0)-1)*36+32),"")</f>
        <v/>
      </c>
      <c r="AJ64" s="137">
        <f>IF(ISNUMBER(INDEX('Cash schedule'!$AY$6:$AY$185,(MATCH($B$5,'Cases'!$A$6:$A$10,0)-1)*36+33)),INDEX('Cash schedule'!$AY$6:$AY$185,(MATCH($B$5,'Cases'!$A$6:$A$10,0)-1)*36+33),"")</f>
        <v/>
      </c>
      <c r="AK64" s="137">
        <f>IF(ISNUMBER(INDEX('Cash schedule'!$AY$6:$AY$185,(MATCH($B$5,'Cases'!$A$6:$A$10,0)-1)*36+34)),INDEX('Cash schedule'!$AY$6:$AY$185,(MATCH($B$5,'Cases'!$A$6:$A$10,0)-1)*36+34),"")</f>
        <v/>
      </c>
      <c r="AL64" s="137">
        <f>IF(ISNUMBER(INDEX('Cash schedule'!$AY$6:$AY$185,(MATCH($B$5,'Cases'!$A$6:$A$10,0)-1)*36+35)),INDEX('Cash schedule'!$AY$6:$AY$185,(MATCH($B$5,'Cases'!$A$6:$A$10,0)-1)*36+35),"")</f>
        <v/>
      </c>
      <c r="AM64" s="137">
        <f>IF(ISNUMBER(INDEX('Cash schedule'!$AY$6:$AY$185,(MATCH($B$5,'Cases'!$A$6:$A$10,0)-1)*36+36)),INDEX('Cash schedule'!$AY$6:$AY$185,(MATCH($B$5,'Cases'!$A$6:$A$10,0)-1)*36+36),"")</f>
        <v/>
      </c>
    </row>
    <row r="65" ht="28" customHeight="1">
      <c r="A65" s="4" t="inlineStr">
        <is>
          <t>Closing payables</t>
        </is>
      </c>
      <c r="B65" s="4" t="n"/>
      <c r="C65" s="4" t="n"/>
      <c r="D65" s="137">
        <f>IF(ISNUMBER(INDEX('Cash schedule'!$AZ$6:$AZ$185,(MATCH($B$5,'Cases'!$A$6:$A$10,0)-1)*36+1)),INDEX('Cash schedule'!$AZ$6:$AZ$185,(MATCH($B$5,'Cases'!$A$6:$A$10,0)-1)*36+1),"")</f>
        <v/>
      </c>
      <c r="E65" s="137">
        <f>IF(ISNUMBER(INDEX('Cash schedule'!$AZ$6:$AZ$185,(MATCH($B$5,'Cases'!$A$6:$A$10,0)-1)*36+2)),INDEX('Cash schedule'!$AZ$6:$AZ$185,(MATCH($B$5,'Cases'!$A$6:$A$10,0)-1)*36+2),"")</f>
        <v/>
      </c>
      <c r="F65" s="137">
        <f>IF(ISNUMBER(INDEX('Cash schedule'!$AZ$6:$AZ$185,(MATCH($B$5,'Cases'!$A$6:$A$10,0)-1)*36+3)),INDEX('Cash schedule'!$AZ$6:$AZ$185,(MATCH($B$5,'Cases'!$A$6:$A$10,0)-1)*36+3),"")</f>
        <v/>
      </c>
      <c r="G65" s="137">
        <f>IF(ISNUMBER(INDEX('Cash schedule'!$AZ$6:$AZ$185,(MATCH($B$5,'Cases'!$A$6:$A$10,0)-1)*36+4)),INDEX('Cash schedule'!$AZ$6:$AZ$185,(MATCH($B$5,'Cases'!$A$6:$A$10,0)-1)*36+4),"")</f>
        <v/>
      </c>
      <c r="H65" s="137">
        <f>IF(ISNUMBER(INDEX('Cash schedule'!$AZ$6:$AZ$185,(MATCH($B$5,'Cases'!$A$6:$A$10,0)-1)*36+5)),INDEX('Cash schedule'!$AZ$6:$AZ$185,(MATCH($B$5,'Cases'!$A$6:$A$10,0)-1)*36+5),"")</f>
        <v/>
      </c>
      <c r="I65" s="137">
        <f>IF(ISNUMBER(INDEX('Cash schedule'!$AZ$6:$AZ$185,(MATCH($B$5,'Cases'!$A$6:$A$10,0)-1)*36+6)),INDEX('Cash schedule'!$AZ$6:$AZ$185,(MATCH($B$5,'Cases'!$A$6:$A$10,0)-1)*36+6),"")</f>
        <v/>
      </c>
      <c r="J65" s="137">
        <f>IF(ISNUMBER(INDEX('Cash schedule'!$AZ$6:$AZ$185,(MATCH($B$5,'Cases'!$A$6:$A$10,0)-1)*36+7)),INDEX('Cash schedule'!$AZ$6:$AZ$185,(MATCH($B$5,'Cases'!$A$6:$A$10,0)-1)*36+7),"")</f>
        <v/>
      </c>
      <c r="K65" s="137">
        <f>IF(ISNUMBER(INDEX('Cash schedule'!$AZ$6:$AZ$185,(MATCH($B$5,'Cases'!$A$6:$A$10,0)-1)*36+8)),INDEX('Cash schedule'!$AZ$6:$AZ$185,(MATCH($B$5,'Cases'!$A$6:$A$10,0)-1)*36+8),"")</f>
        <v/>
      </c>
      <c r="L65" s="137">
        <f>IF(ISNUMBER(INDEX('Cash schedule'!$AZ$6:$AZ$185,(MATCH($B$5,'Cases'!$A$6:$A$10,0)-1)*36+9)),INDEX('Cash schedule'!$AZ$6:$AZ$185,(MATCH($B$5,'Cases'!$A$6:$A$10,0)-1)*36+9),"")</f>
        <v/>
      </c>
      <c r="M65" s="137">
        <f>IF(ISNUMBER(INDEX('Cash schedule'!$AZ$6:$AZ$185,(MATCH($B$5,'Cases'!$A$6:$A$10,0)-1)*36+10)),INDEX('Cash schedule'!$AZ$6:$AZ$185,(MATCH($B$5,'Cases'!$A$6:$A$10,0)-1)*36+10),"")</f>
        <v/>
      </c>
      <c r="N65" s="137">
        <f>IF(ISNUMBER(INDEX('Cash schedule'!$AZ$6:$AZ$185,(MATCH($B$5,'Cases'!$A$6:$A$10,0)-1)*36+11)),INDEX('Cash schedule'!$AZ$6:$AZ$185,(MATCH($B$5,'Cases'!$A$6:$A$10,0)-1)*36+11),"")</f>
        <v/>
      </c>
      <c r="O65" s="137">
        <f>IF(ISNUMBER(INDEX('Cash schedule'!$AZ$6:$AZ$185,(MATCH($B$5,'Cases'!$A$6:$A$10,0)-1)*36+12)),INDEX('Cash schedule'!$AZ$6:$AZ$185,(MATCH($B$5,'Cases'!$A$6:$A$10,0)-1)*36+12),"")</f>
        <v/>
      </c>
      <c r="P65" s="137">
        <f>IF(ISNUMBER(INDEX('Cash schedule'!$AZ$6:$AZ$185,(MATCH($B$5,'Cases'!$A$6:$A$10,0)-1)*36+13)),INDEX('Cash schedule'!$AZ$6:$AZ$185,(MATCH($B$5,'Cases'!$A$6:$A$10,0)-1)*36+13),"")</f>
        <v/>
      </c>
      <c r="Q65" s="137">
        <f>IF(ISNUMBER(INDEX('Cash schedule'!$AZ$6:$AZ$185,(MATCH($B$5,'Cases'!$A$6:$A$10,0)-1)*36+14)),INDEX('Cash schedule'!$AZ$6:$AZ$185,(MATCH($B$5,'Cases'!$A$6:$A$10,0)-1)*36+14),"")</f>
        <v/>
      </c>
      <c r="R65" s="137">
        <f>IF(ISNUMBER(INDEX('Cash schedule'!$AZ$6:$AZ$185,(MATCH($B$5,'Cases'!$A$6:$A$10,0)-1)*36+15)),INDEX('Cash schedule'!$AZ$6:$AZ$185,(MATCH($B$5,'Cases'!$A$6:$A$10,0)-1)*36+15),"")</f>
        <v/>
      </c>
      <c r="S65" s="137">
        <f>IF(ISNUMBER(INDEX('Cash schedule'!$AZ$6:$AZ$185,(MATCH($B$5,'Cases'!$A$6:$A$10,0)-1)*36+16)),INDEX('Cash schedule'!$AZ$6:$AZ$185,(MATCH($B$5,'Cases'!$A$6:$A$10,0)-1)*36+16),"")</f>
        <v/>
      </c>
      <c r="T65" s="137">
        <f>IF(ISNUMBER(INDEX('Cash schedule'!$AZ$6:$AZ$185,(MATCH($B$5,'Cases'!$A$6:$A$10,0)-1)*36+17)),INDEX('Cash schedule'!$AZ$6:$AZ$185,(MATCH($B$5,'Cases'!$A$6:$A$10,0)-1)*36+17),"")</f>
        <v/>
      </c>
      <c r="U65" s="137">
        <f>IF(ISNUMBER(INDEX('Cash schedule'!$AZ$6:$AZ$185,(MATCH($B$5,'Cases'!$A$6:$A$10,0)-1)*36+18)),INDEX('Cash schedule'!$AZ$6:$AZ$185,(MATCH($B$5,'Cases'!$A$6:$A$10,0)-1)*36+18),"")</f>
        <v/>
      </c>
      <c r="V65" s="137">
        <f>IF(ISNUMBER(INDEX('Cash schedule'!$AZ$6:$AZ$185,(MATCH($B$5,'Cases'!$A$6:$A$10,0)-1)*36+19)),INDEX('Cash schedule'!$AZ$6:$AZ$185,(MATCH($B$5,'Cases'!$A$6:$A$10,0)-1)*36+19),"")</f>
        <v/>
      </c>
      <c r="W65" s="137">
        <f>IF(ISNUMBER(INDEX('Cash schedule'!$AZ$6:$AZ$185,(MATCH($B$5,'Cases'!$A$6:$A$10,0)-1)*36+20)),INDEX('Cash schedule'!$AZ$6:$AZ$185,(MATCH($B$5,'Cases'!$A$6:$A$10,0)-1)*36+20),"")</f>
        <v/>
      </c>
      <c r="X65" s="137">
        <f>IF(ISNUMBER(INDEX('Cash schedule'!$AZ$6:$AZ$185,(MATCH($B$5,'Cases'!$A$6:$A$10,0)-1)*36+21)),INDEX('Cash schedule'!$AZ$6:$AZ$185,(MATCH($B$5,'Cases'!$A$6:$A$10,0)-1)*36+21),"")</f>
        <v/>
      </c>
      <c r="Y65" s="137">
        <f>IF(ISNUMBER(INDEX('Cash schedule'!$AZ$6:$AZ$185,(MATCH($B$5,'Cases'!$A$6:$A$10,0)-1)*36+22)),INDEX('Cash schedule'!$AZ$6:$AZ$185,(MATCH($B$5,'Cases'!$A$6:$A$10,0)-1)*36+22),"")</f>
        <v/>
      </c>
      <c r="Z65" s="137">
        <f>IF(ISNUMBER(INDEX('Cash schedule'!$AZ$6:$AZ$185,(MATCH($B$5,'Cases'!$A$6:$A$10,0)-1)*36+23)),INDEX('Cash schedule'!$AZ$6:$AZ$185,(MATCH($B$5,'Cases'!$A$6:$A$10,0)-1)*36+23),"")</f>
        <v/>
      </c>
      <c r="AA65" s="137">
        <f>IF(ISNUMBER(INDEX('Cash schedule'!$AZ$6:$AZ$185,(MATCH($B$5,'Cases'!$A$6:$A$10,0)-1)*36+24)),INDEX('Cash schedule'!$AZ$6:$AZ$185,(MATCH($B$5,'Cases'!$A$6:$A$10,0)-1)*36+24),"")</f>
        <v/>
      </c>
      <c r="AB65" s="137">
        <f>IF(ISNUMBER(INDEX('Cash schedule'!$AZ$6:$AZ$185,(MATCH($B$5,'Cases'!$A$6:$A$10,0)-1)*36+25)),INDEX('Cash schedule'!$AZ$6:$AZ$185,(MATCH($B$5,'Cases'!$A$6:$A$10,0)-1)*36+25),"")</f>
        <v/>
      </c>
      <c r="AC65" s="137">
        <f>IF(ISNUMBER(INDEX('Cash schedule'!$AZ$6:$AZ$185,(MATCH($B$5,'Cases'!$A$6:$A$10,0)-1)*36+26)),INDEX('Cash schedule'!$AZ$6:$AZ$185,(MATCH($B$5,'Cases'!$A$6:$A$10,0)-1)*36+26),"")</f>
        <v/>
      </c>
      <c r="AD65" s="137">
        <f>IF(ISNUMBER(INDEX('Cash schedule'!$AZ$6:$AZ$185,(MATCH($B$5,'Cases'!$A$6:$A$10,0)-1)*36+27)),INDEX('Cash schedule'!$AZ$6:$AZ$185,(MATCH($B$5,'Cases'!$A$6:$A$10,0)-1)*36+27),"")</f>
        <v/>
      </c>
      <c r="AE65" s="137">
        <f>IF(ISNUMBER(INDEX('Cash schedule'!$AZ$6:$AZ$185,(MATCH($B$5,'Cases'!$A$6:$A$10,0)-1)*36+28)),INDEX('Cash schedule'!$AZ$6:$AZ$185,(MATCH($B$5,'Cases'!$A$6:$A$10,0)-1)*36+28),"")</f>
        <v/>
      </c>
      <c r="AF65" s="137">
        <f>IF(ISNUMBER(INDEX('Cash schedule'!$AZ$6:$AZ$185,(MATCH($B$5,'Cases'!$A$6:$A$10,0)-1)*36+29)),INDEX('Cash schedule'!$AZ$6:$AZ$185,(MATCH($B$5,'Cases'!$A$6:$A$10,0)-1)*36+29),"")</f>
        <v/>
      </c>
      <c r="AG65" s="137">
        <f>IF(ISNUMBER(INDEX('Cash schedule'!$AZ$6:$AZ$185,(MATCH($B$5,'Cases'!$A$6:$A$10,0)-1)*36+30)),INDEX('Cash schedule'!$AZ$6:$AZ$185,(MATCH($B$5,'Cases'!$A$6:$A$10,0)-1)*36+30),"")</f>
        <v/>
      </c>
      <c r="AH65" s="137">
        <f>IF(ISNUMBER(INDEX('Cash schedule'!$AZ$6:$AZ$185,(MATCH($B$5,'Cases'!$A$6:$A$10,0)-1)*36+31)),INDEX('Cash schedule'!$AZ$6:$AZ$185,(MATCH($B$5,'Cases'!$A$6:$A$10,0)-1)*36+31),"")</f>
        <v/>
      </c>
      <c r="AI65" s="137">
        <f>IF(ISNUMBER(INDEX('Cash schedule'!$AZ$6:$AZ$185,(MATCH($B$5,'Cases'!$A$6:$A$10,0)-1)*36+32)),INDEX('Cash schedule'!$AZ$6:$AZ$185,(MATCH($B$5,'Cases'!$A$6:$A$10,0)-1)*36+32),"")</f>
        <v/>
      </c>
      <c r="AJ65" s="137">
        <f>IF(ISNUMBER(INDEX('Cash schedule'!$AZ$6:$AZ$185,(MATCH($B$5,'Cases'!$A$6:$A$10,0)-1)*36+33)),INDEX('Cash schedule'!$AZ$6:$AZ$185,(MATCH($B$5,'Cases'!$A$6:$A$10,0)-1)*36+33),"")</f>
        <v/>
      </c>
      <c r="AK65" s="137">
        <f>IF(ISNUMBER(INDEX('Cash schedule'!$AZ$6:$AZ$185,(MATCH($B$5,'Cases'!$A$6:$A$10,0)-1)*36+34)),INDEX('Cash schedule'!$AZ$6:$AZ$185,(MATCH($B$5,'Cases'!$A$6:$A$10,0)-1)*36+34),"")</f>
        <v/>
      </c>
      <c r="AL65" s="137">
        <f>IF(ISNUMBER(INDEX('Cash schedule'!$AZ$6:$AZ$185,(MATCH($B$5,'Cases'!$A$6:$A$10,0)-1)*36+35)),INDEX('Cash schedule'!$AZ$6:$AZ$185,(MATCH($B$5,'Cases'!$A$6:$A$10,0)-1)*36+35),"")</f>
        <v/>
      </c>
      <c r="AM65" s="137">
        <f>IF(ISNUMBER(INDEX('Cash schedule'!$AZ$6:$AZ$185,(MATCH($B$5,'Cases'!$A$6:$A$10,0)-1)*36+36)),INDEX('Cash schedule'!$AZ$6:$AZ$185,(MATCH($B$5,'Cases'!$A$6:$A$10,0)-1)*36+36),"")</f>
        <v/>
      </c>
    </row>
    <row r="66" ht="28" customHeight="1">
      <c r="A66" s="4" t="inlineStr">
        <is>
          <t>Closing deferred grants</t>
        </is>
      </c>
      <c r="B66" s="4" t="n"/>
      <c r="C66" s="4" t="n"/>
      <c r="D66" s="137">
        <f>IF(ISNUMBER(INDEX('Cash schedule'!$BA$6:$BA$185,(MATCH($B$5,'Cases'!$A$6:$A$10,0)-1)*36+1)),INDEX('Cash schedule'!$BA$6:$BA$185,(MATCH($B$5,'Cases'!$A$6:$A$10,0)-1)*36+1),"")</f>
        <v/>
      </c>
      <c r="E66" s="137">
        <f>IF(ISNUMBER(INDEX('Cash schedule'!$BA$6:$BA$185,(MATCH($B$5,'Cases'!$A$6:$A$10,0)-1)*36+2)),INDEX('Cash schedule'!$BA$6:$BA$185,(MATCH($B$5,'Cases'!$A$6:$A$10,0)-1)*36+2),"")</f>
        <v/>
      </c>
      <c r="F66" s="137">
        <f>IF(ISNUMBER(INDEX('Cash schedule'!$BA$6:$BA$185,(MATCH($B$5,'Cases'!$A$6:$A$10,0)-1)*36+3)),INDEX('Cash schedule'!$BA$6:$BA$185,(MATCH($B$5,'Cases'!$A$6:$A$10,0)-1)*36+3),"")</f>
        <v/>
      </c>
      <c r="G66" s="137">
        <f>IF(ISNUMBER(INDEX('Cash schedule'!$BA$6:$BA$185,(MATCH($B$5,'Cases'!$A$6:$A$10,0)-1)*36+4)),INDEX('Cash schedule'!$BA$6:$BA$185,(MATCH($B$5,'Cases'!$A$6:$A$10,0)-1)*36+4),"")</f>
        <v/>
      </c>
      <c r="H66" s="137">
        <f>IF(ISNUMBER(INDEX('Cash schedule'!$BA$6:$BA$185,(MATCH($B$5,'Cases'!$A$6:$A$10,0)-1)*36+5)),INDEX('Cash schedule'!$BA$6:$BA$185,(MATCH($B$5,'Cases'!$A$6:$A$10,0)-1)*36+5),"")</f>
        <v/>
      </c>
      <c r="I66" s="137">
        <f>IF(ISNUMBER(INDEX('Cash schedule'!$BA$6:$BA$185,(MATCH($B$5,'Cases'!$A$6:$A$10,0)-1)*36+6)),INDEX('Cash schedule'!$BA$6:$BA$185,(MATCH($B$5,'Cases'!$A$6:$A$10,0)-1)*36+6),"")</f>
        <v/>
      </c>
      <c r="J66" s="137">
        <f>IF(ISNUMBER(INDEX('Cash schedule'!$BA$6:$BA$185,(MATCH($B$5,'Cases'!$A$6:$A$10,0)-1)*36+7)),INDEX('Cash schedule'!$BA$6:$BA$185,(MATCH($B$5,'Cases'!$A$6:$A$10,0)-1)*36+7),"")</f>
        <v/>
      </c>
      <c r="K66" s="137">
        <f>IF(ISNUMBER(INDEX('Cash schedule'!$BA$6:$BA$185,(MATCH($B$5,'Cases'!$A$6:$A$10,0)-1)*36+8)),INDEX('Cash schedule'!$BA$6:$BA$185,(MATCH($B$5,'Cases'!$A$6:$A$10,0)-1)*36+8),"")</f>
        <v/>
      </c>
      <c r="L66" s="137">
        <f>IF(ISNUMBER(INDEX('Cash schedule'!$BA$6:$BA$185,(MATCH($B$5,'Cases'!$A$6:$A$10,0)-1)*36+9)),INDEX('Cash schedule'!$BA$6:$BA$185,(MATCH($B$5,'Cases'!$A$6:$A$10,0)-1)*36+9),"")</f>
        <v/>
      </c>
      <c r="M66" s="137">
        <f>IF(ISNUMBER(INDEX('Cash schedule'!$BA$6:$BA$185,(MATCH($B$5,'Cases'!$A$6:$A$10,0)-1)*36+10)),INDEX('Cash schedule'!$BA$6:$BA$185,(MATCH($B$5,'Cases'!$A$6:$A$10,0)-1)*36+10),"")</f>
        <v/>
      </c>
      <c r="N66" s="137">
        <f>IF(ISNUMBER(INDEX('Cash schedule'!$BA$6:$BA$185,(MATCH($B$5,'Cases'!$A$6:$A$10,0)-1)*36+11)),INDEX('Cash schedule'!$BA$6:$BA$185,(MATCH($B$5,'Cases'!$A$6:$A$10,0)-1)*36+11),"")</f>
        <v/>
      </c>
      <c r="O66" s="137">
        <f>IF(ISNUMBER(INDEX('Cash schedule'!$BA$6:$BA$185,(MATCH($B$5,'Cases'!$A$6:$A$10,0)-1)*36+12)),INDEX('Cash schedule'!$BA$6:$BA$185,(MATCH($B$5,'Cases'!$A$6:$A$10,0)-1)*36+12),"")</f>
        <v/>
      </c>
      <c r="P66" s="137">
        <f>IF(ISNUMBER(INDEX('Cash schedule'!$BA$6:$BA$185,(MATCH($B$5,'Cases'!$A$6:$A$10,0)-1)*36+13)),INDEX('Cash schedule'!$BA$6:$BA$185,(MATCH($B$5,'Cases'!$A$6:$A$10,0)-1)*36+13),"")</f>
        <v/>
      </c>
      <c r="Q66" s="137">
        <f>IF(ISNUMBER(INDEX('Cash schedule'!$BA$6:$BA$185,(MATCH($B$5,'Cases'!$A$6:$A$10,0)-1)*36+14)),INDEX('Cash schedule'!$BA$6:$BA$185,(MATCH($B$5,'Cases'!$A$6:$A$10,0)-1)*36+14),"")</f>
        <v/>
      </c>
      <c r="R66" s="137">
        <f>IF(ISNUMBER(INDEX('Cash schedule'!$BA$6:$BA$185,(MATCH($B$5,'Cases'!$A$6:$A$10,0)-1)*36+15)),INDEX('Cash schedule'!$BA$6:$BA$185,(MATCH($B$5,'Cases'!$A$6:$A$10,0)-1)*36+15),"")</f>
        <v/>
      </c>
      <c r="S66" s="137">
        <f>IF(ISNUMBER(INDEX('Cash schedule'!$BA$6:$BA$185,(MATCH($B$5,'Cases'!$A$6:$A$10,0)-1)*36+16)),INDEX('Cash schedule'!$BA$6:$BA$185,(MATCH($B$5,'Cases'!$A$6:$A$10,0)-1)*36+16),"")</f>
        <v/>
      </c>
      <c r="T66" s="137">
        <f>IF(ISNUMBER(INDEX('Cash schedule'!$BA$6:$BA$185,(MATCH($B$5,'Cases'!$A$6:$A$10,0)-1)*36+17)),INDEX('Cash schedule'!$BA$6:$BA$185,(MATCH($B$5,'Cases'!$A$6:$A$10,0)-1)*36+17),"")</f>
        <v/>
      </c>
      <c r="U66" s="137">
        <f>IF(ISNUMBER(INDEX('Cash schedule'!$BA$6:$BA$185,(MATCH($B$5,'Cases'!$A$6:$A$10,0)-1)*36+18)),INDEX('Cash schedule'!$BA$6:$BA$185,(MATCH($B$5,'Cases'!$A$6:$A$10,0)-1)*36+18),"")</f>
        <v/>
      </c>
      <c r="V66" s="137">
        <f>IF(ISNUMBER(INDEX('Cash schedule'!$BA$6:$BA$185,(MATCH($B$5,'Cases'!$A$6:$A$10,0)-1)*36+19)),INDEX('Cash schedule'!$BA$6:$BA$185,(MATCH($B$5,'Cases'!$A$6:$A$10,0)-1)*36+19),"")</f>
        <v/>
      </c>
      <c r="W66" s="137">
        <f>IF(ISNUMBER(INDEX('Cash schedule'!$BA$6:$BA$185,(MATCH($B$5,'Cases'!$A$6:$A$10,0)-1)*36+20)),INDEX('Cash schedule'!$BA$6:$BA$185,(MATCH($B$5,'Cases'!$A$6:$A$10,0)-1)*36+20),"")</f>
        <v/>
      </c>
      <c r="X66" s="137">
        <f>IF(ISNUMBER(INDEX('Cash schedule'!$BA$6:$BA$185,(MATCH($B$5,'Cases'!$A$6:$A$10,0)-1)*36+21)),INDEX('Cash schedule'!$BA$6:$BA$185,(MATCH($B$5,'Cases'!$A$6:$A$10,0)-1)*36+21),"")</f>
        <v/>
      </c>
      <c r="Y66" s="137">
        <f>IF(ISNUMBER(INDEX('Cash schedule'!$BA$6:$BA$185,(MATCH($B$5,'Cases'!$A$6:$A$10,0)-1)*36+22)),INDEX('Cash schedule'!$BA$6:$BA$185,(MATCH($B$5,'Cases'!$A$6:$A$10,0)-1)*36+22),"")</f>
        <v/>
      </c>
      <c r="Z66" s="137">
        <f>IF(ISNUMBER(INDEX('Cash schedule'!$BA$6:$BA$185,(MATCH($B$5,'Cases'!$A$6:$A$10,0)-1)*36+23)),INDEX('Cash schedule'!$BA$6:$BA$185,(MATCH($B$5,'Cases'!$A$6:$A$10,0)-1)*36+23),"")</f>
        <v/>
      </c>
      <c r="AA66" s="137">
        <f>IF(ISNUMBER(INDEX('Cash schedule'!$BA$6:$BA$185,(MATCH($B$5,'Cases'!$A$6:$A$10,0)-1)*36+24)),INDEX('Cash schedule'!$BA$6:$BA$185,(MATCH($B$5,'Cases'!$A$6:$A$10,0)-1)*36+24),"")</f>
        <v/>
      </c>
      <c r="AB66" s="137">
        <f>IF(ISNUMBER(INDEX('Cash schedule'!$BA$6:$BA$185,(MATCH($B$5,'Cases'!$A$6:$A$10,0)-1)*36+25)),INDEX('Cash schedule'!$BA$6:$BA$185,(MATCH($B$5,'Cases'!$A$6:$A$10,0)-1)*36+25),"")</f>
        <v/>
      </c>
      <c r="AC66" s="137">
        <f>IF(ISNUMBER(INDEX('Cash schedule'!$BA$6:$BA$185,(MATCH($B$5,'Cases'!$A$6:$A$10,0)-1)*36+26)),INDEX('Cash schedule'!$BA$6:$BA$185,(MATCH($B$5,'Cases'!$A$6:$A$10,0)-1)*36+26),"")</f>
        <v/>
      </c>
      <c r="AD66" s="137">
        <f>IF(ISNUMBER(INDEX('Cash schedule'!$BA$6:$BA$185,(MATCH($B$5,'Cases'!$A$6:$A$10,0)-1)*36+27)),INDEX('Cash schedule'!$BA$6:$BA$185,(MATCH($B$5,'Cases'!$A$6:$A$10,0)-1)*36+27),"")</f>
        <v/>
      </c>
      <c r="AE66" s="137">
        <f>IF(ISNUMBER(INDEX('Cash schedule'!$BA$6:$BA$185,(MATCH($B$5,'Cases'!$A$6:$A$10,0)-1)*36+28)),INDEX('Cash schedule'!$BA$6:$BA$185,(MATCH($B$5,'Cases'!$A$6:$A$10,0)-1)*36+28),"")</f>
        <v/>
      </c>
      <c r="AF66" s="137">
        <f>IF(ISNUMBER(INDEX('Cash schedule'!$BA$6:$BA$185,(MATCH($B$5,'Cases'!$A$6:$A$10,0)-1)*36+29)),INDEX('Cash schedule'!$BA$6:$BA$185,(MATCH($B$5,'Cases'!$A$6:$A$10,0)-1)*36+29),"")</f>
        <v/>
      </c>
      <c r="AG66" s="137">
        <f>IF(ISNUMBER(INDEX('Cash schedule'!$BA$6:$BA$185,(MATCH($B$5,'Cases'!$A$6:$A$10,0)-1)*36+30)),INDEX('Cash schedule'!$BA$6:$BA$185,(MATCH($B$5,'Cases'!$A$6:$A$10,0)-1)*36+30),"")</f>
        <v/>
      </c>
      <c r="AH66" s="137">
        <f>IF(ISNUMBER(INDEX('Cash schedule'!$BA$6:$BA$185,(MATCH($B$5,'Cases'!$A$6:$A$10,0)-1)*36+31)),INDEX('Cash schedule'!$BA$6:$BA$185,(MATCH($B$5,'Cases'!$A$6:$A$10,0)-1)*36+31),"")</f>
        <v/>
      </c>
      <c r="AI66" s="137">
        <f>IF(ISNUMBER(INDEX('Cash schedule'!$BA$6:$BA$185,(MATCH($B$5,'Cases'!$A$6:$A$10,0)-1)*36+32)),INDEX('Cash schedule'!$BA$6:$BA$185,(MATCH($B$5,'Cases'!$A$6:$A$10,0)-1)*36+32),"")</f>
        <v/>
      </c>
      <c r="AJ66" s="137">
        <f>IF(ISNUMBER(INDEX('Cash schedule'!$BA$6:$BA$185,(MATCH($B$5,'Cases'!$A$6:$A$10,0)-1)*36+33)),INDEX('Cash schedule'!$BA$6:$BA$185,(MATCH($B$5,'Cases'!$A$6:$A$10,0)-1)*36+33),"")</f>
        <v/>
      </c>
      <c r="AK66" s="137">
        <f>IF(ISNUMBER(INDEX('Cash schedule'!$BA$6:$BA$185,(MATCH($B$5,'Cases'!$A$6:$A$10,0)-1)*36+34)),INDEX('Cash schedule'!$BA$6:$BA$185,(MATCH($B$5,'Cases'!$A$6:$A$10,0)-1)*36+34),"")</f>
        <v/>
      </c>
      <c r="AL66" s="137">
        <f>IF(ISNUMBER(INDEX('Cash schedule'!$BA$6:$BA$185,(MATCH($B$5,'Cases'!$A$6:$A$10,0)-1)*36+35)),INDEX('Cash schedule'!$BA$6:$BA$185,(MATCH($B$5,'Cases'!$A$6:$A$10,0)-1)*36+35),"")</f>
        <v/>
      </c>
      <c r="AM66" s="137">
        <f>IF(ISNUMBER(INDEX('Cash schedule'!$BA$6:$BA$185,(MATCH($B$5,'Cases'!$A$6:$A$10,0)-1)*36+36)),INDEX('Cash schedule'!$BA$6:$BA$185,(MATCH($B$5,'Cases'!$A$6:$A$10,0)-1)*36+36),"")</f>
        <v/>
      </c>
    </row>
    <row r="67" ht="28" customHeight="1">
      <c r="A67" s="4" t="inlineStr">
        <is>
          <t>Closing old debt</t>
        </is>
      </c>
      <c r="B67" s="4" t="n"/>
      <c r="C67" s="4" t="n"/>
      <c r="D67" s="137">
        <f>IF(ISNUMBER(INDEX('Cash schedule'!$BB$6:$BB$185,(MATCH($B$5,'Cases'!$A$6:$A$10,0)-1)*36+1)),INDEX('Cash schedule'!$BB$6:$BB$185,(MATCH($B$5,'Cases'!$A$6:$A$10,0)-1)*36+1),"")</f>
        <v/>
      </c>
      <c r="E67" s="137">
        <f>IF(ISNUMBER(INDEX('Cash schedule'!$BB$6:$BB$185,(MATCH($B$5,'Cases'!$A$6:$A$10,0)-1)*36+2)),INDEX('Cash schedule'!$BB$6:$BB$185,(MATCH($B$5,'Cases'!$A$6:$A$10,0)-1)*36+2),"")</f>
        <v/>
      </c>
      <c r="F67" s="137">
        <f>IF(ISNUMBER(INDEX('Cash schedule'!$BB$6:$BB$185,(MATCH($B$5,'Cases'!$A$6:$A$10,0)-1)*36+3)),INDEX('Cash schedule'!$BB$6:$BB$185,(MATCH($B$5,'Cases'!$A$6:$A$10,0)-1)*36+3),"")</f>
        <v/>
      </c>
      <c r="G67" s="137">
        <f>IF(ISNUMBER(INDEX('Cash schedule'!$BB$6:$BB$185,(MATCH($B$5,'Cases'!$A$6:$A$10,0)-1)*36+4)),INDEX('Cash schedule'!$BB$6:$BB$185,(MATCH($B$5,'Cases'!$A$6:$A$10,0)-1)*36+4),"")</f>
        <v/>
      </c>
      <c r="H67" s="137">
        <f>IF(ISNUMBER(INDEX('Cash schedule'!$BB$6:$BB$185,(MATCH($B$5,'Cases'!$A$6:$A$10,0)-1)*36+5)),INDEX('Cash schedule'!$BB$6:$BB$185,(MATCH($B$5,'Cases'!$A$6:$A$10,0)-1)*36+5),"")</f>
        <v/>
      </c>
      <c r="I67" s="137">
        <f>IF(ISNUMBER(INDEX('Cash schedule'!$BB$6:$BB$185,(MATCH($B$5,'Cases'!$A$6:$A$10,0)-1)*36+6)),INDEX('Cash schedule'!$BB$6:$BB$185,(MATCH($B$5,'Cases'!$A$6:$A$10,0)-1)*36+6),"")</f>
        <v/>
      </c>
      <c r="J67" s="137">
        <f>IF(ISNUMBER(INDEX('Cash schedule'!$BB$6:$BB$185,(MATCH($B$5,'Cases'!$A$6:$A$10,0)-1)*36+7)),INDEX('Cash schedule'!$BB$6:$BB$185,(MATCH($B$5,'Cases'!$A$6:$A$10,0)-1)*36+7),"")</f>
        <v/>
      </c>
      <c r="K67" s="137">
        <f>IF(ISNUMBER(INDEX('Cash schedule'!$BB$6:$BB$185,(MATCH($B$5,'Cases'!$A$6:$A$10,0)-1)*36+8)),INDEX('Cash schedule'!$BB$6:$BB$185,(MATCH($B$5,'Cases'!$A$6:$A$10,0)-1)*36+8),"")</f>
        <v/>
      </c>
      <c r="L67" s="137">
        <f>IF(ISNUMBER(INDEX('Cash schedule'!$BB$6:$BB$185,(MATCH($B$5,'Cases'!$A$6:$A$10,0)-1)*36+9)),INDEX('Cash schedule'!$BB$6:$BB$185,(MATCH($B$5,'Cases'!$A$6:$A$10,0)-1)*36+9),"")</f>
        <v/>
      </c>
      <c r="M67" s="137">
        <f>IF(ISNUMBER(INDEX('Cash schedule'!$BB$6:$BB$185,(MATCH($B$5,'Cases'!$A$6:$A$10,0)-1)*36+10)),INDEX('Cash schedule'!$BB$6:$BB$185,(MATCH($B$5,'Cases'!$A$6:$A$10,0)-1)*36+10),"")</f>
        <v/>
      </c>
      <c r="N67" s="137">
        <f>IF(ISNUMBER(INDEX('Cash schedule'!$BB$6:$BB$185,(MATCH($B$5,'Cases'!$A$6:$A$10,0)-1)*36+11)),INDEX('Cash schedule'!$BB$6:$BB$185,(MATCH($B$5,'Cases'!$A$6:$A$10,0)-1)*36+11),"")</f>
        <v/>
      </c>
      <c r="O67" s="137">
        <f>IF(ISNUMBER(INDEX('Cash schedule'!$BB$6:$BB$185,(MATCH($B$5,'Cases'!$A$6:$A$10,0)-1)*36+12)),INDEX('Cash schedule'!$BB$6:$BB$185,(MATCH($B$5,'Cases'!$A$6:$A$10,0)-1)*36+12),"")</f>
        <v/>
      </c>
      <c r="P67" s="137">
        <f>IF(ISNUMBER(INDEX('Cash schedule'!$BB$6:$BB$185,(MATCH($B$5,'Cases'!$A$6:$A$10,0)-1)*36+13)),INDEX('Cash schedule'!$BB$6:$BB$185,(MATCH($B$5,'Cases'!$A$6:$A$10,0)-1)*36+13),"")</f>
        <v/>
      </c>
      <c r="Q67" s="137">
        <f>IF(ISNUMBER(INDEX('Cash schedule'!$BB$6:$BB$185,(MATCH($B$5,'Cases'!$A$6:$A$10,0)-1)*36+14)),INDEX('Cash schedule'!$BB$6:$BB$185,(MATCH($B$5,'Cases'!$A$6:$A$10,0)-1)*36+14),"")</f>
        <v/>
      </c>
      <c r="R67" s="137">
        <f>IF(ISNUMBER(INDEX('Cash schedule'!$BB$6:$BB$185,(MATCH($B$5,'Cases'!$A$6:$A$10,0)-1)*36+15)),INDEX('Cash schedule'!$BB$6:$BB$185,(MATCH($B$5,'Cases'!$A$6:$A$10,0)-1)*36+15),"")</f>
        <v/>
      </c>
      <c r="S67" s="137">
        <f>IF(ISNUMBER(INDEX('Cash schedule'!$BB$6:$BB$185,(MATCH($B$5,'Cases'!$A$6:$A$10,0)-1)*36+16)),INDEX('Cash schedule'!$BB$6:$BB$185,(MATCH($B$5,'Cases'!$A$6:$A$10,0)-1)*36+16),"")</f>
        <v/>
      </c>
      <c r="T67" s="137">
        <f>IF(ISNUMBER(INDEX('Cash schedule'!$BB$6:$BB$185,(MATCH($B$5,'Cases'!$A$6:$A$10,0)-1)*36+17)),INDEX('Cash schedule'!$BB$6:$BB$185,(MATCH($B$5,'Cases'!$A$6:$A$10,0)-1)*36+17),"")</f>
        <v/>
      </c>
      <c r="U67" s="137">
        <f>IF(ISNUMBER(INDEX('Cash schedule'!$BB$6:$BB$185,(MATCH($B$5,'Cases'!$A$6:$A$10,0)-1)*36+18)),INDEX('Cash schedule'!$BB$6:$BB$185,(MATCH($B$5,'Cases'!$A$6:$A$10,0)-1)*36+18),"")</f>
        <v/>
      </c>
      <c r="V67" s="137">
        <f>IF(ISNUMBER(INDEX('Cash schedule'!$BB$6:$BB$185,(MATCH($B$5,'Cases'!$A$6:$A$10,0)-1)*36+19)),INDEX('Cash schedule'!$BB$6:$BB$185,(MATCH($B$5,'Cases'!$A$6:$A$10,0)-1)*36+19),"")</f>
        <v/>
      </c>
      <c r="W67" s="137">
        <f>IF(ISNUMBER(INDEX('Cash schedule'!$BB$6:$BB$185,(MATCH($B$5,'Cases'!$A$6:$A$10,0)-1)*36+20)),INDEX('Cash schedule'!$BB$6:$BB$185,(MATCH($B$5,'Cases'!$A$6:$A$10,0)-1)*36+20),"")</f>
        <v/>
      </c>
      <c r="X67" s="137">
        <f>IF(ISNUMBER(INDEX('Cash schedule'!$BB$6:$BB$185,(MATCH($B$5,'Cases'!$A$6:$A$10,0)-1)*36+21)),INDEX('Cash schedule'!$BB$6:$BB$185,(MATCH($B$5,'Cases'!$A$6:$A$10,0)-1)*36+21),"")</f>
        <v/>
      </c>
      <c r="Y67" s="137">
        <f>IF(ISNUMBER(INDEX('Cash schedule'!$BB$6:$BB$185,(MATCH($B$5,'Cases'!$A$6:$A$10,0)-1)*36+22)),INDEX('Cash schedule'!$BB$6:$BB$185,(MATCH($B$5,'Cases'!$A$6:$A$10,0)-1)*36+22),"")</f>
        <v/>
      </c>
      <c r="Z67" s="137">
        <f>IF(ISNUMBER(INDEX('Cash schedule'!$BB$6:$BB$185,(MATCH($B$5,'Cases'!$A$6:$A$10,0)-1)*36+23)),INDEX('Cash schedule'!$BB$6:$BB$185,(MATCH($B$5,'Cases'!$A$6:$A$10,0)-1)*36+23),"")</f>
        <v/>
      </c>
      <c r="AA67" s="137">
        <f>IF(ISNUMBER(INDEX('Cash schedule'!$BB$6:$BB$185,(MATCH($B$5,'Cases'!$A$6:$A$10,0)-1)*36+24)),INDEX('Cash schedule'!$BB$6:$BB$185,(MATCH($B$5,'Cases'!$A$6:$A$10,0)-1)*36+24),"")</f>
        <v/>
      </c>
      <c r="AB67" s="137">
        <f>IF(ISNUMBER(INDEX('Cash schedule'!$BB$6:$BB$185,(MATCH($B$5,'Cases'!$A$6:$A$10,0)-1)*36+25)),INDEX('Cash schedule'!$BB$6:$BB$185,(MATCH($B$5,'Cases'!$A$6:$A$10,0)-1)*36+25),"")</f>
        <v/>
      </c>
      <c r="AC67" s="137">
        <f>IF(ISNUMBER(INDEX('Cash schedule'!$BB$6:$BB$185,(MATCH($B$5,'Cases'!$A$6:$A$10,0)-1)*36+26)),INDEX('Cash schedule'!$BB$6:$BB$185,(MATCH($B$5,'Cases'!$A$6:$A$10,0)-1)*36+26),"")</f>
        <v/>
      </c>
      <c r="AD67" s="137">
        <f>IF(ISNUMBER(INDEX('Cash schedule'!$BB$6:$BB$185,(MATCH($B$5,'Cases'!$A$6:$A$10,0)-1)*36+27)),INDEX('Cash schedule'!$BB$6:$BB$185,(MATCH($B$5,'Cases'!$A$6:$A$10,0)-1)*36+27),"")</f>
        <v/>
      </c>
      <c r="AE67" s="137">
        <f>IF(ISNUMBER(INDEX('Cash schedule'!$BB$6:$BB$185,(MATCH($B$5,'Cases'!$A$6:$A$10,0)-1)*36+28)),INDEX('Cash schedule'!$BB$6:$BB$185,(MATCH($B$5,'Cases'!$A$6:$A$10,0)-1)*36+28),"")</f>
        <v/>
      </c>
      <c r="AF67" s="137">
        <f>IF(ISNUMBER(INDEX('Cash schedule'!$BB$6:$BB$185,(MATCH($B$5,'Cases'!$A$6:$A$10,0)-1)*36+29)),INDEX('Cash schedule'!$BB$6:$BB$185,(MATCH($B$5,'Cases'!$A$6:$A$10,0)-1)*36+29),"")</f>
        <v/>
      </c>
      <c r="AG67" s="137">
        <f>IF(ISNUMBER(INDEX('Cash schedule'!$BB$6:$BB$185,(MATCH($B$5,'Cases'!$A$6:$A$10,0)-1)*36+30)),INDEX('Cash schedule'!$BB$6:$BB$185,(MATCH($B$5,'Cases'!$A$6:$A$10,0)-1)*36+30),"")</f>
        <v/>
      </c>
      <c r="AH67" s="137">
        <f>IF(ISNUMBER(INDEX('Cash schedule'!$BB$6:$BB$185,(MATCH($B$5,'Cases'!$A$6:$A$10,0)-1)*36+31)),INDEX('Cash schedule'!$BB$6:$BB$185,(MATCH($B$5,'Cases'!$A$6:$A$10,0)-1)*36+31),"")</f>
        <v/>
      </c>
      <c r="AI67" s="137">
        <f>IF(ISNUMBER(INDEX('Cash schedule'!$BB$6:$BB$185,(MATCH($B$5,'Cases'!$A$6:$A$10,0)-1)*36+32)),INDEX('Cash schedule'!$BB$6:$BB$185,(MATCH($B$5,'Cases'!$A$6:$A$10,0)-1)*36+32),"")</f>
        <v/>
      </c>
      <c r="AJ67" s="137">
        <f>IF(ISNUMBER(INDEX('Cash schedule'!$BB$6:$BB$185,(MATCH($B$5,'Cases'!$A$6:$A$10,0)-1)*36+33)),INDEX('Cash schedule'!$BB$6:$BB$185,(MATCH($B$5,'Cases'!$A$6:$A$10,0)-1)*36+33),"")</f>
        <v/>
      </c>
      <c r="AK67" s="137">
        <f>IF(ISNUMBER(INDEX('Cash schedule'!$BB$6:$BB$185,(MATCH($B$5,'Cases'!$A$6:$A$10,0)-1)*36+34)),INDEX('Cash schedule'!$BB$6:$BB$185,(MATCH($B$5,'Cases'!$A$6:$A$10,0)-1)*36+34),"")</f>
        <v/>
      </c>
      <c r="AL67" s="137">
        <f>IF(ISNUMBER(INDEX('Cash schedule'!$BB$6:$BB$185,(MATCH($B$5,'Cases'!$A$6:$A$10,0)-1)*36+35)),INDEX('Cash schedule'!$BB$6:$BB$185,(MATCH($B$5,'Cases'!$A$6:$A$10,0)-1)*36+35),"")</f>
        <v/>
      </c>
      <c r="AM67" s="137">
        <f>IF(ISNUMBER(INDEX('Cash schedule'!$BB$6:$BB$185,(MATCH($B$5,'Cases'!$A$6:$A$10,0)-1)*36+36)),INDEX('Cash schedule'!$BB$6:$BB$185,(MATCH($B$5,'Cases'!$A$6:$A$10,0)-1)*36+36),"")</f>
        <v/>
      </c>
    </row>
    <row r="68" ht="28" customHeight="1">
      <c r="A68" s="4" t="inlineStr">
        <is>
          <t>Closing tax payable</t>
        </is>
      </c>
      <c r="B68" s="4" t="n"/>
      <c r="C68" s="4" t="n"/>
      <c r="D68" s="137">
        <f>IF(ISNUMBER(INDEX('Cash schedule'!$BC$6:$BC$185,(MATCH($B$5,'Cases'!$A$6:$A$10,0)-1)*36+1)),INDEX('Cash schedule'!$BC$6:$BC$185,(MATCH($B$5,'Cases'!$A$6:$A$10,0)-1)*36+1),"")</f>
        <v/>
      </c>
      <c r="E68" s="137">
        <f>IF(ISNUMBER(INDEX('Cash schedule'!$BC$6:$BC$185,(MATCH($B$5,'Cases'!$A$6:$A$10,0)-1)*36+2)),INDEX('Cash schedule'!$BC$6:$BC$185,(MATCH($B$5,'Cases'!$A$6:$A$10,0)-1)*36+2),"")</f>
        <v/>
      </c>
      <c r="F68" s="137">
        <f>IF(ISNUMBER(INDEX('Cash schedule'!$BC$6:$BC$185,(MATCH($B$5,'Cases'!$A$6:$A$10,0)-1)*36+3)),INDEX('Cash schedule'!$BC$6:$BC$185,(MATCH($B$5,'Cases'!$A$6:$A$10,0)-1)*36+3),"")</f>
        <v/>
      </c>
      <c r="G68" s="137">
        <f>IF(ISNUMBER(INDEX('Cash schedule'!$BC$6:$BC$185,(MATCH($B$5,'Cases'!$A$6:$A$10,0)-1)*36+4)),INDEX('Cash schedule'!$BC$6:$BC$185,(MATCH($B$5,'Cases'!$A$6:$A$10,0)-1)*36+4),"")</f>
        <v/>
      </c>
      <c r="H68" s="137">
        <f>IF(ISNUMBER(INDEX('Cash schedule'!$BC$6:$BC$185,(MATCH($B$5,'Cases'!$A$6:$A$10,0)-1)*36+5)),INDEX('Cash schedule'!$BC$6:$BC$185,(MATCH($B$5,'Cases'!$A$6:$A$10,0)-1)*36+5),"")</f>
        <v/>
      </c>
      <c r="I68" s="137">
        <f>IF(ISNUMBER(INDEX('Cash schedule'!$BC$6:$BC$185,(MATCH($B$5,'Cases'!$A$6:$A$10,0)-1)*36+6)),INDEX('Cash schedule'!$BC$6:$BC$185,(MATCH($B$5,'Cases'!$A$6:$A$10,0)-1)*36+6),"")</f>
        <v/>
      </c>
      <c r="J68" s="137">
        <f>IF(ISNUMBER(INDEX('Cash schedule'!$BC$6:$BC$185,(MATCH($B$5,'Cases'!$A$6:$A$10,0)-1)*36+7)),INDEX('Cash schedule'!$BC$6:$BC$185,(MATCH($B$5,'Cases'!$A$6:$A$10,0)-1)*36+7),"")</f>
        <v/>
      </c>
      <c r="K68" s="137">
        <f>IF(ISNUMBER(INDEX('Cash schedule'!$BC$6:$BC$185,(MATCH($B$5,'Cases'!$A$6:$A$10,0)-1)*36+8)),INDEX('Cash schedule'!$BC$6:$BC$185,(MATCH($B$5,'Cases'!$A$6:$A$10,0)-1)*36+8),"")</f>
        <v/>
      </c>
      <c r="L68" s="137">
        <f>IF(ISNUMBER(INDEX('Cash schedule'!$BC$6:$BC$185,(MATCH($B$5,'Cases'!$A$6:$A$10,0)-1)*36+9)),INDEX('Cash schedule'!$BC$6:$BC$185,(MATCH($B$5,'Cases'!$A$6:$A$10,0)-1)*36+9),"")</f>
        <v/>
      </c>
      <c r="M68" s="137">
        <f>IF(ISNUMBER(INDEX('Cash schedule'!$BC$6:$BC$185,(MATCH($B$5,'Cases'!$A$6:$A$10,0)-1)*36+10)),INDEX('Cash schedule'!$BC$6:$BC$185,(MATCH($B$5,'Cases'!$A$6:$A$10,0)-1)*36+10),"")</f>
        <v/>
      </c>
      <c r="N68" s="137">
        <f>IF(ISNUMBER(INDEX('Cash schedule'!$BC$6:$BC$185,(MATCH($B$5,'Cases'!$A$6:$A$10,0)-1)*36+11)),INDEX('Cash schedule'!$BC$6:$BC$185,(MATCH($B$5,'Cases'!$A$6:$A$10,0)-1)*36+11),"")</f>
        <v/>
      </c>
      <c r="O68" s="137">
        <f>IF(ISNUMBER(INDEX('Cash schedule'!$BC$6:$BC$185,(MATCH($B$5,'Cases'!$A$6:$A$10,0)-1)*36+12)),INDEX('Cash schedule'!$BC$6:$BC$185,(MATCH($B$5,'Cases'!$A$6:$A$10,0)-1)*36+12),"")</f>
        <v/>
      </c>
      <c r="P68" s="137">
        <f>IF(ISNUMBER(INDEX('Cash schedule'!$BC$6:$BC$185,(MATCH($B$5,'Cases'!$A$6:$A$10,0)-1)*36+13)),INDEX('Cash schedule'!$BC$6:$BC$185,(MATCH($B$5,'Cases'!$A$6:$A$10,0)-1)*36+13),"")</f>
        <v/>
      </c>
      <c r="Q68" s="137">
        <f>IF(ISNUMBER(INDEX('Cash schedule'!$BC$6:$BC$185,(MATCH($B$5,'Cases'!$A$6:$A$10,0)-1)*36+14)),INDEX('Cash schedule'!$BC$6:$BC$185,(MATCH($B$5,'Cases'!$A$6:$A$10,0)-1)*36+14),"")</f>
        <v/>
      </c>
      <c r="R68" s="137">
        <f>IF(ISNUMBER(INDEX('Cash schedule'!$BC$6:$BC$185,(MATCH($B$5,'Cases'!$A$6:$A$10,0)-1)*36+15)),INDEX('Cash schedule'!$BC$6:$BC$185,(MATCH($B$5,'Cases'!$A$6:$A$10,0)-1)*36+15),"")</f>
        <v/>
      </c>
      <c r="S68" s="137">
        <f>IF(ISNUMBER(INDEX('Cash schedule'!$BC$6:$BC$185,(MATCH($B$5,'Cases'!$A$6:$A$10,0)-1)*36+16)),INDEX('Cash schedule'!$BC$6:$BC$185,(MATCH($B$5,'Cases'!$A$6:$A$10,0)-1)*36+16),"")</f>
        <v/>
      </c>
      <c r="T68" s="137">
        <f>IF(ISNUMBER(INDEX('Cash schedule'!$BC$6:$BC$185,(MATCH($B$5,'Cases'!$A$6:$A$10,0)-1)*36+17)),INDEX('Cash schedule'!$BC$6:$BC$185,(MATCH($B$5,'Cases'!$A$6:$A$10,0)-1)*36+17),"")</f>
        <v/>
      </c>
      <c r="U68" s="137">
        <f>IF(ISNUMBER(INDEX('Cash schedule'!$BC$6:$BC$185,(MATCH($B$5,'Cases'!$A$6:$A$10,0)-1)*36+18)),INDEX('Cash schedule'!$BC$6:$BC$185,(MATCH($B$5,'Cases'!$A$6:$A$10,0)-1)*36+18),"")</f>
        <v/>
      </c>
      <c r="V68" s="137">
        <f>IF(ISNUMBER(INDEX('Cash schedule'!$BC$6:$BC$185,(MATCH($B$5,'Cases'!$A$6:$A$10,0)-1)*36+19)),INDEX('Cash schedule'!$BC$6:$BC$185,(MATCH($B$5,'Cases'!$A$6:$A$10,0)-1)*36+19),"")</f>
        <v/>
      </c>
      <c r="W68" s="137">
        <f>IF(ISNUMBER(INDEX('Cash schedule'!$BC$6:$BC$185,(MATCH($B$5,'Cases'!$A$6:$A$10,0)-1)*36+20)),INDEX('Cash schedule'!$BC$6:$BC$185,(MATCH($B$5,'Cases'!$A$6:$A$10,0)-1)*36+20),"")</f>
        <v/>
      </c>
      <c r="X68" s="137">
        <f>IF(ISNUMBER(INDEX('Cash schedule'!$BC$6:$BC$185,(MATCH($B$5,'Cases'!$A$6:$A$10,0)-1)*36+21)),INDEX('Cash schedule'!$BC$6:$BC$185,(MATCH($B$5,'Cases'!$A$6:$A$10,0)-1)*36+21),"")</f>
        <v/>
      </c>
      <c r="Y68" s="137">
        <f>IF(ISNUMBER(INDEX('Cash schedule'!$BC$6:$BC$185,(MATCH($B$5,'Cases'!$A$6:$A$10,0)-1)*36+22)),INDEX('Cash schedule'!$BC$6:$BC$185,(MATCH($B$5,'Cases'!$A$6:$A$10,0)-1)*36+22),"")</f>
        <v/>
      </c>
      <c r="Z68" s="137">
        <f>IF(ISNUMBER(INDEX('Cash schedule'!$BC$6:$BC$185,(MATCH($B$5,'Cases'!$A$6:$A$10,0)-1)*36+23)),INDEX('Cash schedule'!$BC$6:$BC$185,(MATCH($B$5,'Cases'!$A$6:$A$10,0)-1)*36+23),"")</f>
        <v/>
      </c>
      <c r="AA68" s="137">
        <f>IF(ISNUMBER(INDEX('Cash schedule'!$BC$6:$BC$185,(MATCH($B$5,'Cases'!$A$6:$A$10,0)-1)*36+24)),INDEX('Cash schedule'!$BC$6:$BC$185,(MATCH($B$5,'Cases'!$A$6:$A$10,0)-1)*36+24),"")</f>
        <v/>
      </c>
      <c r="AB68" s="137">
        <f>IF(ISNUMBER(INDEX('Cash schedule'!$BC$6:$BC$185,(MATCH($B$5,'Cases'!$A$6:$A$10,0)-1)*36+25)),INDEX('Cash schedule'!$BC$6:$BC$185,(MATCH($B$5,'Cases'!$A$6:$A$10,0)-1)*36+25),"")</f>
        <v/>
      </c>
      <c r="AC68" s="137">
        <f>IF(ISNUMBER(INDEX('Cash schedule'!$BC$6:$BC$185,(MATCH($B$5,'Cases'!$A$6:$A$10,0)-1)*36+26)),INDEX('Cash schedule'!$BC$6:$BC$185,(MATCH($B$5,'Cases'!$A$6:$A$10,0)-1)*36+26),"")</f>
        <v/>
      </c>
      <c r="AD68" s="137">
        <f>IF(ISNUMBER(INDEX('Cash schedule'!$BC$6:$BC$185,(MATCH($B$5,'Cases'!$A$6:$A$10,0)-1)*36+27)),INDEX('Cash schedule'!$BC$6:$BC$185,(MATCH($B$5,'Cases'!$A$6:$A$10,0)-1)*36+27),"")</f>
        <v/>
      </c>
      <c r="AE68" s="137">
        <f>IF(ISNUMBER(INDEX('Cash schedule'!$BC$6:$BC$185,(MATCH($B$5,'Cases'!$A$6:$A$10,0)-1)*36+28)),INDEX('Cash schedule'!$BC$6:$BC$185,(MATCH($B$5,'Cases'!$A$6:$A$10,0)-1)*36+28),"")</f>
        <v/>
      </c>
      <c r="AF68" s="137">
        <f>IF(ISNUMBER(INDEX('Cash schedule'!$BC$6:$BC$185,(MATCH($B$5,'Cases'!$A$6:$A$10,0)-1)*36+29)),INDEX('Cash schedule'!$BC$6:$BC$185,(MATCH($B$5,'Cases'!$A$6:$A$10,0)-1)*36+29),"")</f>
        <v/>
      </c>
      <c r="AG68" s="137">
        <f>IF(ISNUMBER(INDEX('Cash schedule'!$BC$6:$BC$185,(MATCH($B$5,'Cases'!$A$6:$A$10,0)-1)*36+30)),INDEX('Cash schedule'!$BC$6:$BC$185,(MATCH($B$5,'Cases'!$A$6:$A$10,0)-1)*36+30),"")</f>
        <v/>
      </c>
      <c r="AH68" s="137">
        <f>IF(ISNUMBER(INDEX('Cash schedule'!$BC$6:$BC$185,(MATCH($B$5,'Cases'!$A$6:$A$10,0)-1)*36+31)),INDEX('Cash schedule'!$BC$6:$BC$185,(MATCH($B$5,'Cases'!$A$6:$A$10,0)-1)*36+31),"")</f>
        <v/>
      </c>
      <c r="AI68" s="137">
        <f>IF(ISNUMBER(INDEX('Cash schedule'!$BC$6:$BC$185,(MATCH($B$5,'Cases'!$A$6:$A$10,0)-1)*36+32)),INDEX('Cash schedule'!$BC$6:$BC$185,(MATCH($B$5,'Cases'!$A$6:$A$10,0)-1)*36+32),"")</f>
        <v/>
      </c>
      <c r="AJ68" s="137">
        <f>IF(ISNUMBER(INDEX('Cash schedule'!$BC$6:$BC$185,(MATCH($B$5,'Cases'!$A$6:$A$10,0)-1)*36+33)),INDEX('Cash schedule'!$BC$6:$BC$185,(MATCH($B$5,'Cases'!$A$6:$A$10,0)-1)*36+33),"")</f>
        <v/>
      </c>
      <c r="AK68" s="137">
        <f>IF(ISNUMBER(INDEX('Cash schedule'!$BC$6:$BC$185,(MATCH($B$5,'Cases'!$A$6:$A$10,0)-1)*36+34)),INDEX('Cash schedule'!$BC$6:$BC$185,(MATCH($B$5,'Cases'!$A$6:$A$10,0)-1)*36+34),"")</f>
        <v/>
      </c>
      <c r="AL68" s="137">
        <f>IF(ISNUMBER(INDEX('Cash schedule'!$BC$6:$BC$185,(MATCH($B$5,'Cases'!$A$6:$A$10,0)-1)*36+35)),INDEX('Cash schedule'!$BC$6:$BC$185,(MATCH($B$5,'Cases'!$A$6:$A$10,0)-1)*36+35),"")</f>
        <v/>
      </c>
      <c r="AM68" s="137">
        <f>IF(ISNUMBER(INDEX('Cash schedule'!$BC$6:$BC$185,(MATCH($B$5,'Cases'!$A$6:$A$10,0)-1)*36+36)),INDEX('Cash schedule'!$BC$6:$BC$185,(MATCH($B$5,'Cases'!$A$6:$A$10,0)-1)*36+36),"")</f>
        <v/>
      </c>
    </row>
    <row r="69" ht="28" customHeight="1">
      <c r="A69" s="4" t="inlineStr">
        <is>
          <t>Closing other liabilities</t>
        </is>
      </c>
      <c r="B69" s="4" t="n"/>
      <c r="C69" s="4" t="n"/>
      <c r="D69" s="137">
        <f>IF(ISNUMBER(INDEX('Cash schedule'!$BD$6:$BD$185,(MATCH($B$5,'Cases'!$A$6:$A$10,0)-1)*36+1)),INDEX('Cash schedule'!$BD$6:$BD$185,(MATCH($B$5,'Cases'!$A$6:$A$10,0)-1)*36+1),"")</f>
        <v/>
      </c>
      <c r="E69" s="137">
        <f>IF(ISNUMBER(INDEX('Cash schedule'!$BD$6:$BD$185,(MATCH($B$5,'Cases'!$A$6:$A$10,0)-1)*36+2)),INDEX('Cash schedule'!$BD$6:$BD$185,(MATCH($B$5,'Cases'!$A$6:$A$10,0)-1)*36+2),"")</f>
        <v/>
      </c>
      <c r="F69" s="137">
        <f>IF(ISNUMBER(INDEX('Cash schedule'!$BD$6:$BD$185,(MATCH($B$5,'Cases'!$A$6:$A$10,0)-1)*36+3)),INDEX('Cash schedule'!$BD$6:$BD$185,(MATCH($B$5,'Cases'!$A$6:$A$10,0)-1)*36+3),"")</f>
        <v/>
      </c>
      <c r="G69" s="137">
        <f>IF(ISNUMBER(INDEX('Cash schedule'!$BD$6:$BD$185,(MATCH($B$5,'Cases'!$A$6:$A$10,0)-1)*36+4)),INDEX('Cash schedule'!$BD$6:$BD$185,(MATCH($B$5,'Cases'!$A$6:$A$10,0)-1)*36+4),"")</f>
        <v/>
      </c>
      <c r="H69" s="137">
        <f>IF(ISNUMBER(INDEX('Cash schedule'!$BD$6:$BD$185,(MATCH($B$5,'Cases'!$A$6:$A$10,0)-1)*36+5)),INDEX('Cash schedule'!$BD$6:$BD$185,(MATCH($B$5,'Cases'!$A$6:$A$10,0)-1)*36+5),"")</f>
        <v/>
      </c>
      <c r="I69" s="137">
        <f>IF(ISNUMBER(INDEX('Cash schedule'!$BD$6:$BD$185,(MATCH($B$5,'Cases'!$A$6:$A$10,0)-1)*36+6)),INDEX('Cash schedule'!$BD$6:$BD$185,(MATCH($B$5,'Cases'!$A$6:$A$10,0)-1)*36+6),"")</f>
        <v/>
      </c>
      <c r="J69" s="137">
        <f>IF(ISNUMBER(INDEX('Cash schedule'!$BD$6:$BD$185,(MATCH($B$5,'Cases'!$A$6:$A$10,0)-1)*36+7)),INDEX('Cash schedule'!$BD$6:$BD$185,(MATCH($B$5,'Cases'!$A$6:$A$10,0)-1)*36+7),"")</f>
        <v/>
      </c>
      <c r="K69" s="137">
        <f>IF(ISNUMBER(INDEX('Cash schedule'!$BD$6:$BD$185,(MATCH($B$5,'Cases'!$A$6:$A$10,0)-1)*36+8)),INDEX('Cash schedule'!$BD$6:$BD$185,(MATCH($B$5,'Cases'!$A$6:$A$10,0)-1)*36+8),"")</f>
        <v/>
      </c>
      <c r="L69" s="137">
        <f>IF(ISNUMBER(INDEX('Cash schedule'!$BD$6:$BD$185,(MATCH($B$5,'Cases'!$A$6:$A$10,0)-1)*36+9)),INDEX('Cash schedule'!$BD$6:$BD$185,(MATCH($B$5,'Cases'!$A$6:$A$10,0)-1)*36+9),"")</f>
        <v/>
      </c>
      <c r="M69" s="137">
        <f>IF(ISNUMBER(INDEX('Cash schedule'!$BD$6:$BD$185,(MATCH($B$5,'Cases'!$A$6:$A$10,0)-1)*36+10)),INDEX('Cash schedule'!$BD$6:$BD$185,(MATCH($B$5,'Cases'!$A$6:$A$10,0)-1)*36+10),"")</f>
        <v/>
      </c>
      <c r="N69" s="137">
        <f>IF(ISNUMBER(INDEX('Cash schedule'!$BD$6:$BD$185,(MATCH($B$5,'Cases'!$A$6:$A$10,0)-1)*36+11)),INDEX('Cash schedule'!$BD$6:$BD$185,(MATCH($B$5,'Cases'!$A$6:$A$10,0)-1)*36+11),"")</f>
        <v/>
      </c>
      <c r="O69" s="137">
        <f>IF(ISNUMBER(INDEX('Cash schedule'!$BD$6:$BD$185,(MATCH($B$5,'Cases'!$A$6:$A$10,0)-1)*36+12)),INDEX('Cash schedule'!$BD$6:$BD$185,(MATCH($B$5,'Cases'!$A$6:$A$10,0)-1)*36+12),"")</f>
        <v/>
      </c>
      <c r="P69" s="137">
        <f>IF(ISNUMBER(INDEX('Cash schedule'!$BD$6:$BD$185,(MATCH($B$5,'Cases'!$A$6:$A$10,0)-1)*36+13)),INDEX('Cash schedule'!$BD$6:$BD$185,(MATCH($B$5,'Cases'!$A$6:$A$10,0)-1)*36+13),"")</f>
        <v/>
      </c>
      <c r="Q69" s="137">
        <f>IF(ISNUMBER(INDEX('Cash schedule'!$BD$6:$BD$185,(MATCH($B$5,'Cases'!$A$6:$A$10,0)-1)*36+14)),INDEX('Cash schedule'!$BD$6:$BD$185,(MATCH($B$5,'Cases'!$A$6:$A$10,0)-1)*36+14),"")</f>
        <v/>
      </c>
      <c r="R69" s="137">
        <f>IF(ISNUMBER(INDEX('Cash schedule'!$BD$6:$BD$185,(MATCH($B$5,'Cases'!$A$6:$A$10,0)-1)*36+15)),INDEX('Cash schedule'!$BD$6:$BD$185,(MATCH($B$5,'Cases'!$A$6:$A$10,0)-1)*36+15),"")</f>
        <v/>
      </c>
      <c r="S69" s="137">
        <f>IF(ISNUMBER(INDEX('Cash schedule'!$BD$6:$BD$185,(MATCH($B$5,'Cases'!$A$6:$A$10,0)-1)*36+16)),INDEX('Cash schedule'!$BD$6:$BD$185,(MATCH($B$5,'Cases'!$A$6:$A$10,0)-1)*36+16),"")</f>
        <v/>
      </c>
      <c r="T69" s="137">
        <f>IF(ISNUMBER(INDEX('Cash schedule'!$BD$6:$BD$185,(MATCH($B$5,'Cases'!$A$6:$A$10,0)-1)*36+17)),INDEX('Cash schedule'!$BD$6:$BD$185,(MATCH($B$5,'Cases'!$A$6:$A$10,0)-1)*36+17),"")</f>
        <v/>
      </c>
      <c r="U69" s="137">
        <f>IF(ISNUMBER(INDEX('Cash schedule'!$BD$6:$BD$185,(MATCH($B$5,'Cases'!$A$6:$A$10,0)-1)*36+18)),INDEX('Cash schedule'!$BD$6:$BD$185,(MATCH($B$5,'Cases'!$A$6:$A$10,0)-1)*36+18),"")</f>
        <v/>
      </c>
      <c r="V69" s="137">
        <f>IF(ISNUMBER(INDEX('Cash schedule'!$BD$6:$BD$185,(MATCH($B$5,'Cases'!$A$6:$A$10,0)-1)*36+19)),INDEX('Cash schedule'!$BD$6:$BD$185,(MATCH($B$5,'Cases'!$A$6:$A$10,0)-1)*36+19),"")</f>
        <v/>
      </c>
      <c r="W69" s="137">
        <f>IF(ISNUMBER(INDEX('Cash schedule'!$BD$6:$BD$185,(MATCH($B$5,'Cases'!$A$6:$A$10,0)-1)*36+20)),INDEX('Cash schedule'!$BD$6:$BD$185,(MATCH($B$5,'Cases'!$A$6:$A$10,0)-1)*36+20),"")</f>
        <v/>
      </c>
      <c r="X69" s="137">
        <f>IF(ISNUMBER(INDEX('Cash schedule'!$BD$6:$BD$185,(MATCH($B$5,'Cases'!$A$6:$A$10,0)-1)*36+21)),INDEX('Cash schedule'!$BD$6:$BD$185,(MATCH($B$5,'Cases'!$A$6:$A$10,0)-1)*36+21),"")</f>
        <v/>
      </c>
      <c r="Y69" s="137">
        <f>IF(ISNUMBER(INDEX('Cash schedule'!$BD$6:$BD$185,(MATCH($B$5,'Cases'!$A$6:$A$10,0)-1)*36+22)),INDEX('Cash schedule'!$BD$6:$BD$185,(MATCH($B$5,'Cases'!$A$6:$A$10,0)-1)*36+22),"")</f>
        <v/>
      </c>
      <c r="Z69" s="137">
        <f>IF(ISNUMBER(INDEX('Cash schedule'!$BD$6:$BD$185,(MATCH($B$5,'Cases'!$A$6:$A$10,0)-1)*36+23)),INDEX('Cash schedule'!$BD$6:$BD$185,(MATCH($B$5,'Cases'!$A$6:$A$10,0)-1)*36+23),"")</f>
        <v/>
      </c>
      <c r="AA69" s="137">
        <f>IF(ISNUMBER(INDEX('Cash schedule'!$BD$6:$BD$185,(MATCH($B$5,'Cases'!$A$6:$A$10,0)-1)*36+24)),INDEX('Cash schedule'!$BD$6:$BD$185,(MATCH($B$5,'Cases'!$A$6:$A$10,0)-1)*36+24),"")</f>
        <v/>
      </c>
      <c r="AB69" s="137">
        <f>IF(ISNUMBER(INDEX('Cash schedule'!$BD$6:$BD$185,(MATCH($B$5,'Cases'!$A$6:$A$10,0)-1)*36+25)),INDEX('Cash schedule'!$BD$6:$BD$185,(MATCH($B$5,'Cases'!$A$6:$A$10,0)-1)*36+25),"")</f>
        <v/>
      </c>
      <c r="AC69" s="137">
        <f>IF(ISNUMBER(INDEX('Cash schedule'!$BD$6:$BD$185,(MATCH($B$5,'Cases'!$A$6:$A$10,0)-1)*36+26)),INDEX('Cash schedule'!$BD$6:$BD$185,(MATCH($B$5,'Cases'!$A$6:$A$10,0)-1)*36+26),"")</f>
        <v/>
      </c>
      <c r="AD69" s="137">
        <f>IF(ISNUMBER(INDEX('Cash schedule'!$BD$6:$BD$185,(MATCH($B$5,'Cases'!$A$6:$A$10,0)-1)*36+27)),INDEX('Cash schedule'!$BD$6:$BD$185,(MATCH($B$5,'Cases'!$A$6:$A$10,0)-1)*36+27),"")</f>
        <v/>
      </c>
      <c r="AE69" s="137">
        <f>IF(ISNUMBER(INDEX('Cash schedule'!$BD$6:$BD$185,(MATCH($B$5,'Cases'!$A$6:$A$10,0)-1)*36+28)),INDEX('Cash schedule'!$BD$6:$BD$185,(MATCH($B$5,'Cases'!$A$6:$A$10,0)-1)*36+28),"")</f>
        <v/>
      </c>
      <c r="AF69" s="137">
        <f>IF(ISNUMBER(INDEX('Cash schedule'!$BD$6:$BD$185,(MATCH($B$5,'Cases'!$A$6:$A$10,0)-1)*36+29)),INDEX('Cash schedule'!$BD$6:$BD$185,(MATCH($B$5,'Cases'!$A$6:$A$10,0)-1)*36+29),"")</f>
        <v/>
      </c>
      <c r="AG69" s="137">
        <f>IF(ISNUMBER(INDEX('Cash schedule'!$BD$6:$BD$185,(MATCH($B$5,'Cases'!$A$6:$A$10,0)-1)*36+30)),INDEX('Cash schedule'!$BD$6:$BD$185,(MATCH($B$5,'Cases'!$A$6:$A$10,0)-1)*36+30),"")</f>
        <v/>
      </c>
      <c r="AH69" s="137">
        <f>IF(ISNUMBER(INDEX('Cash schedule'!$BD$6:$BD$185,(MATCH($B$5,'Cases'!$A$6:$A$10,0)-1)*36+31)),INDEX('Cash schedule'!$BD$6:$BD$185,(MATCH($B$5,'Cases'!$A$6:$A$10,0)-1)*36+31),"")</f>
        <v/>
      </c>
      <c r="AI69" s="137">
        <f>IF(ISNUMBER(INDEX('Cash schedule'!$BD$6:$BD$185,(MATCH($B$5,'Cases'!$A$6:$A$10,0)-1)*36+32)),INDEX('Cash schedule'!$BD$6:$BD$185,(MATCH($B$5,'Cases'!$A$6:$A$10,0)-1)*36+32),"")</f>
        <v/>
      </c>
      <c r="AJ69" s="137">
        <f>IF(ISNUMBER(INDEX('Cash schedule'!$BD$6:$BD$185,(MATCH($B$5,'Cases'!$A$6:$A$10,0)-1)*36+33)),INDEX('Cash schedule'!$BD$6:$BD$185,(MATCH($B$5,'Cases'!$A$6:$A$10,0)-1)*36+33),"")</f>
        <v/>
      </c>
      <c r="AK69" s="137">
        <f>IF(ISNUMBER(INDEX('Cash schedule'!$BD$6:$BD$185,(MATCH($B$5,'Cases'!$A$6:$A$10,0)-1)*36+34)),INDEX('Cash schedule'!$BD$6:$BD$185,(MATCH($B$5,'Cases'!$A$6:$A$10,0)-1)*36+34),"")</f>
        <v/>
      </c>
      <c r="AL69" s="137">
        <f>IF(ISNUMBER(INDEX('Cash schedule'!$BD$6:$BD$185,(MATCH($B$5,'Cases'!$A$6:$A$10,0)-1)*36+35)),INDEX('Cash schedule'!$BD$6:$BD$185,(MATCH($B$5,'Cases'!$A$6:$A$10,0)-1)*36+35),"")</f>
        <v/>
      </c>
      <c r="AM69" s="137">
        <f>IF(ISNUMBER(INDEX('Cash schedule'!$BD$6:$BD$185,(MATCH($B$5,'Cases'!$A$6:$A$10,0)-1)*36+36)),INDEX('Cash schedule'!$BD$6:$BD$185,(MATCH($B$5,'Cases'!$A$6:$A$10,0)-1)*36+36),"")</f>
        <v/>
      </c>
    </row>
    <row r="70" ht="28" customHeight="1">
      <c r="A70" s="4" t="inlineStr">
        <is>
          <t>Closing equity</t>
        </is>
      </c>
      <c r="B70" s="4" t="n"/>
      <c r="C70" s="4" t="n"/>
      <c r="D70" s="137">
        <f>IF(ISNUMBER(INDEX('Cash schedule'!$BE$6:$BE$185,(MATCH($B$5,'Cases'!$A$6:$A$10,0)-1)*36+1)),INDEX('Cash schedule'!$BE$6:$BE$185,(MATCH($B$5,'Cases'!$A$6:$A$10,0)-1)*36+1),"")</f>
        <v/>
      </c>
      <c r="E70" s="137">
        <f>IF(ISNUMBER(INDEX('Cash schedule'!$BE$6:$BE$185,(MATCH($B$5,'Cases'!$A$6:$A$10,0)-1)*36+2)),INDEX('Cash schedule'!$BE$6:$BE$185,(MATCH($B$5,'Cases'!$A$6:$A$10,0)-1)*36+2),"")</f>
        <v/>
      </c>
      <c r="F70" s="137">
        <f>IF(ISNUMBER(INDEX('Cash schedule'!$BE$6:$BE$185,(MATCH($B$5,'Cases'!$A$6:$A$10,0)-1)*36+3)),INDEX('Cash schedule'!$BE$6:$BE$185,(MATCH($B$5,'Cases'!$A$6:$A$10,0)-1)*36+3),"")</f>
        <v/>
      </c>
      <c r="G70" s="137">
        <f>IF(ISNUMBER(INDEX('Cash schedule'!$BE$6:$BE$185,(MATCH($B$5,'Cases'!$A$6:$A$10,0)-1)*36+4)),INDEX('Cash schedule'!$BE$6:$BE$185,(MATCH($B$5,'Cases'!$A$6:$A$10,0)-1)*36+4),"")</f>
        <v/>
      </c>
      <c r="H70" s="137">
        <f>IF(ISNUMBER(INDEX('Cash schedule'!$BE$6:$BE$185,(MATCH($B$5,'Cases'!$A$6:$A$10,0)-1)*36+5)),INDEX('Cash schedule'!$BE$6:$BE$185,(MATCH($B$5,'Cases'!$A$6:$A$10,0)-1)*36+5),"")</f>
        <v/>
      </c>
      <c r="I70" s="137">
        <f>IF(ISNUMBER(INDEX('Cash schedule'!$BE$6:$BE$185,(MATCH($B$5,'Cases'!$A$6:$A$10,0)-1)*36+6)),INDEX('Cash schedule'!$BE$6:$BE$185,(MATCH($B$5,'Cases'!$A$6:$A$10,0)-1)*36+6),"")</f>
        <v/>
      </c>
      <c r="J70" s="137">
        <f>IF(ISNUMBER(INDEX('Cash schedule'!$BE$6:$BE$185,(MATCH($B$5,'Cases'!$A$6:$A$10,0)-1)*36+7)),INDEX('Cash schedule'!$BE$6:$BE$185,(MATCH($B$5,'Cases'!$A$6:$A$10,0)-1)*36+7),"")</f>
        <v/>
      </c>
      <c r="K70" s="137">
        <f>IF(ISNUMBER(INDEX('Cash schedule'!$BE$6:$BE$185,(MATCH($B$5,'Cases'!$A$6:$A$10,0)-1)*36+8)),INDEX('Cash schedule'!$BE$6:$BE$185,(MATCH($B$5,'Cases'!$A$6:$A$10,0)-1)*36+8),"")</f>
        <v/>
      </c>
      <c r="L70" s="137">
        <f>IF(ISNUMBER(INDEX('Cash schedule'!$BE$6:$BE$185,(MATCH($B$5,'Cases'!$A$6:$A$10,0)-1)*36+9)),INDEX('Cash schedule'!$BE$6:$BE$185,(MATCH($B$5,'Cases'!$A$6:$A$10,0)-1)*36+9),"")</f>
        <v/>
      </c>
      <c r="M70" s="137">
        <f>IF(ISNUMBER(INDEX('Cash schedule'!$BE$6:$BE$185,(MATCH($B$5,'Cases'!$A$6:$A$10,0)-1)*36+10)),INDEX('Cash schedule'!$BE$6:$BE$185,(MATCH($B$5,'Cases'!$A$6:$A$10,0)-1)*36+10),"")</f>
        <v/>
      </c>
      <c r="N70" s="137">
        <f>IF(ISNUMBER(INDEX('Cash schedule'!$BE$6:$BE$185,(MATCH($B$5,'Cases'!$A$6:$A$10,0)-1)*36+11)),INDEX('Cash schedule'!$BE$6:$BE$185,(MATCH($B$5,'Cases'!$A$6:$A$10,0)-1)*36+11),"")</f>
        <v/>
      </c>
      <c r="O70" s="137">
        <f>IF(ISNUMBER(INDEX('Cash schedule'!$BE$6:$BE$185,(MATCH($B$5,'Cases'!$A$6:$A$10,0)-1)*36+12)),INDEX('Cash schedule'!$BE$6:$BE$185,(MATCH($B$5,'Cases'!$A$6:$A$10,0)-1)*36+12),"")</f>
        <v/>
      </c>
      <c r="P70" s="137">
        <f>IF(ISNUMBER(INDEX('Cash schedule'!$BE$6:$BE$185,(MATCH($B$5,'Cases'!$A$6:$A$10,0)-1)*36+13)),INDEX('Cash schedule'!$BE$6:$BE$185,(MATCH($B$5,'Cases'!$A$6:$A$10,0)-1)*36+13),"")</f>
        <v/>
      </c>
      <c r="Q70" s="137">
        <f>IF(ISNUMBER(INDEX('Cash schedule'!$BE$6:$BE$185,(MATCH($B$5,'Cases'!$A$6:$A$10,0)-1)*36+14)),INDEX('Cash schedule'!$BE$6:$BE$185,(MATCH($B$5,'Cases'!$A$6:$A$10,0)-1)*36+14),"")</f>
        <v/>
      </c>
      <c r="R70" s="137">
        <f>IF(ISNUMBER(INDEX('Cash schedule'!$BE$6:$BE$185,(MATCH($B$5,'Cases'!$A$6:$A$10,0)-1)*36+15)),INDEX('Cash schedule'!$BE$6:$BE$185,(MATCH($B$5,'Cases'!$A$6:$A$10,0)-1)*36+15),"")</f>
        <v/>
      </c>
      <c r="S70" s="137">
        <f>IF(ISNUMBER(INDEX('Cash schedule'!$BE$6:$BE$185,(MATCH($B$5,'Cases'!$A$6:$A$10,0)-1)*36+16)),INDEX('Cash schedule'!$BE$6:$BE$185,(MATCH($B$5,'Cases'!$A$6:$A$10,0)-1)*36+16),"")</f>
        <v/>
      </c>
      <c r="T70" s="137">
        <f>IF(ISNUMBER(INDEX('Cash schedule'!$BE$6:$BE$185,(MATCH($B$5,'Cases'!$A$6:$A$10,0)-1)*36+17)),INDEX('Cash schedule'!$BE$6:$BE$185,(MATCH($B$5,'Cases'!$A$6:$A$10,0)-1)*36+17),"")</f>
        <v/>
      </c>
      <c r="U70" s="137">
        <f>IF(ISNUMBER(INDEX('Cash schedule'!$BE$6:$BE$185,(MATCH($B$5,'Cases'!$A$6:$A$10,0)-1)*36+18)),INDEX('Cash schedule'!$BE$6:$BE$185,(MATCH($B$5,'Cases'!$A$6:$A$10,0)-1)*36+18),"")</f>
        <v/>
      </c>
      <c r="V70" s="137">
        <f>IF(ISNUMBER(INDEX('Cash schedule'!$BE$6:$BE$185,(MATCH($B$5,'Cases'!$A$6:$A$10,0)-1)*36+19)),INDEX('Cash schedule'!$BE$6:$BE$185,(MATCH($B$5,'Cases'!$A$6:$A$10,0)-1)*36+19),"")</f>
        <v/>
      </c>
      <c r="W70" s="137">
        <f>IF(ISNUMBER(INDEX('Cash schedule'!$BE$6:$BE$185,(MATCH($B$5,'Cases'!$A$6:$A$10,0)-1)*36+20)),INDEX('Cash schedule'!$BE$6:$BE$185,(MATCH($B$5,'Cases'!$A$6:$A$10,0)-1)*36+20),"")</f>
        <v/>
      </c>
      <c r="X70" s="137">
        <f>IF(ISNUMBER(INDEX('Cash schedule'!$BE$6:$BE$185,(MATCH($B$5,'Cases'!$A$6:$A$10,0)-1)*36+21)),INDEX('Cash schedule'!$BE$6:$BE$185,(MATCH($B$5,'Cases'!$A$6:$A$10,0)-1)*36+21),"")</f>
        <v/>
      </c>
      <c r="Y70" s="137">
        <f>IF(ISNUMBER(INDEX('Cash schedule'!$BE$6:$BE$185,(MATCH($B$5,'Cases'!$A$6:$A$10,0)-1)*36+22)),INDEX('Cash schedule'!$BE$6:$BE$185,(MATCH($B$5,'Cases'!$A$6:$A$10,0)-1)*36+22),"")</f>
        <v/>
      </c>
      <c r="Z70" s="137">
        <f>IF(ISNUMBER(INDEX('Cash schedule'!$BE$6:$BE$185,(MATCH($B$5,'Cases'!$A$6:$A$10,0)-1)*36+23)),INDEX('Cash schedule'!$BE$6:$BE$185,(MATCH($B$5,'Cases'!$A$6:$A$10,0)-1)*36+23),"")</f>
        <v/>
      </c>
      <c r="AA70" s="137">
        <f>IF(ISNUMBER(INDEX('Cash schedule'!$BE$6:$BE$185,(MATCH($B$5,'Cases'!$A$6:$A$10,0)-1)*36+24)),INDEX('Cash schedule'!$BE$6:$BE$185,(MATCH($B$5,'Cases'!$A$6:$A$10,0)-1)*36+24),"")</f>
        <v/>
      </c>
      <c r="AB70" s="137">
        <f>IF(ISNUMBER(INDEX('Cash schedule'!$BE$6:$BE$185,(MATCH($B$5,'Cases'!$A$6:$A$10,0)-1)*36+25)),INDEX('Cash schedule'!$BE$6:$BE$185,(MATCH($B$5,'Cases'!$A$6:$A$10,0)-1)*36+25),"")</f>
        <v/>
      </c>
      <c r="AC70" s="137">
        <f>IF(ISNUMBER(INDEX('Cash schedule'!$BE$6:$BE$185,(MATCH($B$5,'Cases'!$A$6:$A$10,0)-1)*36+26)),INDEX('Cash schedule'!$BE$6:$BE$185,(MATCH($B$5,'Cases'!$A$6:$A$10,0)-1)*36+26),"")</f>
        <v/>
      </c>
      <c r="AD70" s="137">
        <f>IF(ISNUMBER(INDEX('Cash schedule'!$BE$6:$BE$185,(MATCH($B$5,'Cases'!$A$6:$A$10,0)-1)*36+27)),INDEX('Cash schedule'!$BE$6:$BE$185,(MATCH($B$5,'Cases'!$A$6:$A$10,0)-1)*36+27),"")</f>
        <v/>
      </c>
      <c r="AE70" s="137">
        <f>IF(ISNUMBER(INDEX('Cash schedule'!$BE$6:$BE$185,(MATCH($B$5,'Cases'!$A$6:$A$10,0)-1)*36+28)),INDEX('Cash schedule'!$BE$6:$BE$185,(MATCH($B$5,'Cases'!$A$6:$A$10,0)-1)*36+28),"")</f>
        <v/>
      </c>
      <c r="AF70" s="137">
        <f>IF(ISNUMBER(INDEX('Cash schedule'!$BE$6:$BE$185,(MATCH($B$5,'Cases'!$A$6:$A$10,0)-1)*36+29)),INDEX('Cash schedule'!$BE$6:$BE$185,(MATCH($B$5,'Cases'!$A$6:$A$10,0)-1)*36+29),"")</f>
        <v/>
      </c>
      <c r="AG70" s="137">
        <f>IF(ISNUMBER(INDEX('Cash schedule'!$BE$6:$BE$185,(MATCH($B$5,'Cases'!$A$6:$A$10,0)-1)*36+30)),INDEX('Cash schedule'!$BE$6:$BE$185,(MATCH($B$5,'Cases'!$A$6:$A$10,0)-1)*36+30),"")</f>
        <v/>
      </c>
      <c r="AH70" s="137">
        <f>IF(ISNUMBER(INDEX('Cash schedule'!$BE$6:$BE$185,(MATCH($B$5,'Cases'!$A$6:$A$10,0)-1)*36+31)),INDEX('Cash schedule'!$BE$6:$BE$185,(MATCH($B$5,'Cases'!$A$6:$A$10,0)-1)*36+31),"")</f>
        <v/>
      </c>
      <c r="AI70" s="137">
        <f>IF(ISNUMBER(INDEX('Cash schedule'!$BE$6:$BE$185,(MATCH($B$5,'Cases'!$A$6:$A$10,0)-1)*36+32)),INDEX('Cash schedule'!$BE$6:$BE$185,(MATCH($B$5,'Cases'!$A$6:$A$10,0)-1)*36+32),"")</f>
        <v/>
      </c>
      <c r="AJ70" s="137">
        <f>IF(ISNUMBER(INDEX('Cash schedule'!$BE$6:$BE$185,(MATCH($B$5,'Cases'!$A$6:$A$10,0)-1)*36+33)),INDEX('Cash schedule'!$BE$6:$BE$185,(MATCH($B$5,'Cases'!$A$6:$A$10,0)-1)*36+33),"")</f>
        <v/>
      </c>
      <c r="AK70" s="137">
        <f>IF(ISNUMBER(INDEX('Cash schedule'!$BE$6:$BE$185,(MATCH($B$5,'Cases'!$A$6:$A$10,0)-1)*36+34)),INDEX('Cash schedule'!$BE$6:$BE$185,(MATCH($B$5,'Cases'!$A$6:$A$10,0)-1)*36+34),"")</f>
        <v/>
      </c>
      <c r="AL70" s="137">
        <f>IF(ISNUMBER(INDEX('Cash schedule'!$BE$6:$BE$185,(MATCH($B$5,'Cases'!$A$6:$A$10,0)-1)*36+35)),INDEX('Cash schedule'!$BE$6:$BE$185,(MATCH($B$5,'Cases'!$A$6:$A$10,0)-1)*36+35),"")</f>
        <v/>
      </c>
      <c r="AM70" s="137">
        <f>IF(ISNUMBER(INDEX('Cash schedule'!$BE$6:$BE$185,(MATCH($B$5,'Cases'!$A$6:$A$10,0)-1)*36+36)),INDEX('Cash schedule'!$BE$6:$BE$185,(MATCH($B$5,'Cases'!$A$6:$A$10,0)-1)*36+36),"")</f>
        <v/>
      </c>
    </row>
    <row r="71" ht="28" customHeight="1">
      <c r="A71" s="4" t="inlineStr">
        <is>
          <t>Balance sheet difference</t>
        </is>
      </c>
      <c r="B71" s="4" t="n"/>
      <c r="C71" s="4" t="n"/>
      <c r="D71" s="137">
        <f>IF(ISNUMBER(INDEX('Cash schedule'!$BH$6:$BH$185,(MATCH($B$5,'Cases'!$A$6:$A$10,0)-1)*36+1)),INDEX('Cash schedule'!$BH$6:$BH$185,(MATCH($B$5,'Cases'!$A$6:$A$10,0)-1)*36+1),"")</f>
        <v/>
      </c>
      <c r="E71" s="137">
        <f>IF(ISNUMBER(INDEX('Cash schedule'!$BH$6:$BH$185,(MATCH($B$5,'Cases'!$A$6:$A$10,0)-1)*36+2)),INDEX('Cash schedule'!$BH$6:$BH$185,(MATCH($B$5,'Cases'!$A$6:$A$10,0)-1)*36+2),"")</f>
        <v/>
      </c>
      <c r="F71" s="137">
        <f>IF(ISNUMBER(INDEX('Cash schedule'!$BH$6:$BH$185,(MATCH($B$5,'Cases'!$A$6:$A$10,0)-1)*36+3)),INDEX('Cash schedule'!$BH$6:$BH$185,(MATCH($B$5,'Cases'!$A$6:$A$10,0)-1)*36+3),"")</f>
        <v/>
      </c>
      <c r="G71" s="137">
        <f>IF(ISNUMBER(INDEX('Cash schedule'!$BH$6:$BH$185,(MATCH($B$5,'Cases'!$A$6:$A$10,0)-1)*36+4)),INDEX('Cash schedule'!$BH$6:$BH$185,(MATCH($B$5,'Cases'!$A$6:$A$10,0)-1)*36+4),"")</f>
        <v/>
      </c>
      <c r="H71" s="137">
        <f>IF(ISNUMBER(INDEX('Cash schedule'!$BH$6:$BH$185,(MATCH($B$5,'Cases'!$A$6:$A$10,0)-1)*36+5)),INDEX('Cash schedule'!$BH$6:$BH$185,(MATCH($B$5,'Cases'!$A$6:$A$10,0)-1)*36+5),"")</f>
        <v/>
      </c>
      <c r="I71" s="137">
        <f>IF(ISNUMBER(INDEX('Cash schedule'!$BH$6:$BH$185,(MATCH($B$5,'Cases'!$A$6:$A$10,0)-1)*36+6)),INDEX('Cash schedule'!$BH$6:$BH$185,(MATCH($B$5,'Cases'!$A$6:$A$10,0)-1)*36+6),"")</f>
        <v/>
      </c>
      <c r="J71" s="137">
        <f>IF(ISNUMBER(INDEX('Cash schedule'!$BH$6:$BH$185,(MATCH($B$5,'Cases'!$A$6:$A$10,0)-1)*36+7)),INDEX('Cash schedule'!$BH$6:$BH$185,(MATCH($B$5,'Cases'!$A$6:$A$10,0)-1)*36+7),"")</f>
        <v/>
      </c>
      <c r="K71" s="137">
        <f>IF(ISNUMBER(INDEX('Cash schedule'!$BH$6:$BH$185,(MATCH($B$5,'Cases'!$A$6:$A$10,0)-1)*36+8)),INDEX('Cash schedule'!$BH$6:$BH$185,(MATCH($B$5,'Cases'!$A$6:$A$10,0)-1)*36+8),"")</f>
        <v/>
      </c>
      <c r="L71" s="137">
        <f>IF(ISNUMBER(INDEX('Cash schedule'!$BH$6:$BH$185,(MATCH($B$5,'Cases'!$A$6:$A$10,0)-1)*36+9)),INDEX('Cash schedule'!$BH$6:$BH$185,(MATCH($B$5,'Cases'!$A$6:$A$10,0)-1)*36+9),"")</f>
        <v/>
      </c>
      <c r="M71" s="137">
        <f>IF(ISNUMBER(INDEX('Cash schedule'!$BH$6:$BH$185,(MATCH($B$5,'Cases'!$A$6:$A$10,0)-1)*36+10)),INDEX('Cash schedule'!$BH$6:$BH$185,(MATCH($B$5,'Cases'!$A$6:$A$10,0)-1)*36+10),"")</f>
        <v/>
      </c>
      <c r="N71" s="137">
        <f>IF(ISNUMBER(INDEX('Cash schedule'!$BH$6:$BH$185,(MATCH($B$5,'Cases'!$A$6:$A$10,0)-1)*36+11)),INDEX('Cash schedule'!$BH$6:$BH$185,(MATCH($B$5,'Cases'!$A$6:$A$10,0)-1)*36+11),"")</f>
        <v/>
      </c>
      <c r="O71" s="137">
        <f>IF(ISNUMBER(INDEX('Cash schedule'!$BH$6:$BH$185,(MATCH($B$5,'Cases'!$A$6:$A$10,0)-1)*36+12)),INDEX('Cash schedule'!$BH$6:$BH$185,(MATCH($B$5,'Cases'!$A$6:$A$10,0)-1)*36+12),"")</f>
        <v/>
      </c>
      <c r="P71" s="137">
        <f>IF(ISNUMBER(INDEX('Cash schedule'!$BH$6:$BH$185,(MATCH($B$5,'Cases'!$A$6:$A$10,0)-1)*36+13)),INDEX('Cash schedule'!$BH$6:$BH$185,(MATCH($B$5,'Cases'!$A$6:$A$10,0)-1)*36+13),"")</f>
        <v/>
      </c>
      <c r="Q71" s="137">
        <f>IF(ISNUMBER(INDEX('Cash schedule'!$BH$6:$BH$185,(MATCH($B$5,'Cases'!$A$6:$A$10,0)-1)*36+14)),INDEX('Cash schedule'!$BH$6:$BH$185,(MATCH($B$5,'Cases'!$A$6:$A$10,0)-1)*36+14),"")</f>
        <v/>
      </c>
      <c r="R71" s="137">
        <f>IF(ISNUMBER(INDEX('Cash schedule'!$BH$6:$BH$185,(MATCH($B$5,'Cases'!$A$6:$A$10,0)-1)*36+15)),INDEX('Cash schedule'!$BH$6:$BH$185,(MATCH($B$5,'Cases'!$A$6:$A$10,0)-1)*36+15),"")</f>
        <v/>
      </c>
      <c r="S71" s="137">
        <f>IF(ISNUMBER(INDEX('Cash schedule'!$BH$6:$BH$185,(MATCH($B$5,'Cases'!$A$6:$A$10,0)-1)*36+16)),INDEX('Cash schedule'!$BH$6:$BH$185,(MATCH($B$5,'Cases'!$A$6:$A$10,0)-1)*36+16),"")</f>
        <v/>
      </c>
      <c r="T71" s="137">
        <f>IF(ISNUMBER(INDEX('Cash schedule'!$BH$6:$BH$185,(MATCH($B$5,'Cases'!$A$6:$A$10,0)-1)*36+17)),INDEX('Cash schedule'!$BH$6:$BH$185,(MATCH($B$5,'Cases'!$A$6:$A$10,0)-1)*36+17),"")</f>
        <v/>
      </c>
      <c r="U71" s="137">
        <f>IF(ISNUMBER(INDEX('Cash schedule'!$BH$6:$BH$185,(MATCH($B$5,'Cases'!$A$6:$A$10,0)-1)*36+18)),INDEX('Cash schedule'!$BH$6:$BH$185,(MATCH($B$5,'Cases'!$A$6:$A$10,0)-1)*36+18),"")</f>
        <v/>
      </c>
      <c r="V71" s="137">
        <f>IF(ISNUMBER(INDEX('Cash schedule'!$BH$6:$BH$185,(MATCH($B$5,'Cases'!$A$6:$A$10,0)-1)*36+19)),INDEX('Cash schedule'!$BH$6:$BH$185,(MATCH($B$5,'Cases'!$A$6:$A$10,0)-1)*36+19),"")</f>
        <v/>
      </c>
      <c r="W71" s="137">
        <f>IF(ISNUMBER(INDEX('Cash schedule'!$BH$6:$BH$185,(MATCH($B$5,'Cases'!$A$6:$A$10,0)-1)*36+20)),INDEX('Cash schedule'!$BH$6:$BH$185,(MATCH($B$5,'Cases'!$A$6:$A$10,0)-1)*36+20),"")</f>
        <v/>
      </c>
      <c r="X71" s="137">
        <f>IF(ISNUMBER(INDEX('Cash schedule'!$BH$6:$BH$185,(MATCH($B$5,'Cases'!$A$6:$A$10,0)-1)*36+21)),INDEX('Cash schedule'!$BH$6:$BH$185,(MATCH($B$5,'Cases'!$A$6:$A$10,0)-1)*36+21),"")</f>
        <v/>
      </c>
      <c r="Y71" s="137">
        <f>IF(ISNUMBER(INDEX('Cash schedule'!$BH$6:$BH$185,(MATCH($B$5,'Cases'!$A$6:$A$10,0)-1)*36+22)),INDEX('Cash schedule'!$BH$6:$BH$185,(MATCH($B$5,'Cases'!$A$6:$A$10,0)-1)*36+22),"")</f>
        <v/>
      </c>
      <c r="Z71" s="137">
        <f>IF(ISNUMBER(INDEX('Cash schedule'!$BH$6:$BH$185,(MATCH($B$5,'Cases'!$A$6:$A$10,0)-1)*36+23)),INDEX('Cash schedule'!$BH$6:$BH$185,(MATCH($B$5,'Cases'!$A$6:$A$10,0)-1)*36+23),"")</f>
        <v/>
      </c>
      <c r="AA71" s="137">
        <f>IF(ISNUMBER(INDEX('Cash schedule'!$BH$6:$BH$185,(MATCH($B$5,'Cases'!$A$6:$A$10,0)-1)*36+24)),INDEX('Cash schedule'!$BH$6:$BH$185,(MATCH($B$5,'Cases'!$A$6:$A$10,0)-1)*36+24),"")</f>
        <v/>
      </c>
      <c r="AB71" s="137">
        <f>IF(ISNUMBER(INDEX('Cash schedule'!$BH$6:$BH$185,(MATCH($B$5,'Cases'!$A$6:$A$10,0)-1)*36+25)),INDEX('Cash schedule'!$BH$6:$BH$185,(MATCH($B$5,'Cases'!$A$6:$A$10,0)-1)*36+25),"")</f>
        <v/>
      </c>
      <c r="AC71" s="137">
        <f>IF(ISNUMBER(INDEX('Cash schedule'!$BH$6:$BH$185,(MATCH($B$5,'Cases'!$A$6:$A$10,0)-1)*36+26)),INDEX('Cash schedule'!$BH$6:$BH$185,(MATCH($B$5,'Cases'!$A$6:$A$10,0)-1)*36+26),"")</f>
        <v/>
      </c>
      <c r="AD71" s="137">
        <f>IF(ISNUMBER(INDEX('Cash schedule'!$BH$6:$BH$185,(MATCH($B$5,'Cases'!$A$6:$A$10,0)-1)*36+27)),INDEX('Cash schedule'!$BH$6:$BH$185,(MATCH($B$5,'Cases'!$A$6:$A$10,0)-1)*36+27),"")</f>
        <v/>
      </c>
      <c r="AE71" s="137">
        <f>IF(ISNUMBER(INDEX('Cash schedule'!$BH$6:$BH$185,(MATCH($B$5,'Cases'!$A$6:$A$10,0)-1)*36+28)),INDEX('Cash schedule'!$BH$6:$BH$185,(MATCH($B$5,'Cases'!$A$6:$A$10,0)-1)*36+28),"")</f>
        <v/>
      </c>
      <c r="AF71" s="137">
        <f>IF(ISNUMBER(INDEX('Cash schedule'!$BH$6:$BH$185,(MATCH($B$5,'Cases'!$A$6:$A$10,0)-1)*36+29)),INDEX('Cash schedule'!$BH$6:$BH$185,(MATCH($B$5,'Cases'!$A$6:$A$10,0)-1)*36+29),"")</f>
        <v/>
      </c>
      <c r="AG71" s="137">
        <f>IF(ISNUMBER(INDEX('Cash schedule'!$BH$6:$BH$185,(MATCH($B$5,'Cases'!$A$6:$A$10,0)-1)*36+30)),INDEX('Cash schedule'!$BH$6:$BH$185,(MATCH($B$5,'Cases'!$A$6:$A$10,0)-1)*36+30),"")</f>
        <v/>
      </c>
      <c r="AH71" s="137">
        <f>IF(ISNUMBER(INDEX('Cash schedule'!$BH$6:$BH$185,(MATCH($B$5,'Cases'!$A$6:$A$10,0)-1)*36+31)),INDEX('Cash schedule'!$BH$6:$BH$185,(MATCH($B$5,'Cases'!$A$6:$A$10,0)-1)*36+31),"")</f>
        <v/>
      </c>
      <c r="AI71" s="137">
        <f>IF(ISNUMBER(INDEX('Cash schedule'!$BH$6:$BH$185,(MATCH($B$5,'Cases'!$A$6:$A$10,0)-1)*36+32)),INDEX('Cash schedule'!$BH$6:$BH$185,(MATCH($B$5,'Cases'!$A$6:$A$10,0)-1)*36+32),"")</f>
        <v/>
      </c>
      <c r="AJ71" s="137">
        <f>IF(ISNUMBER(INDEX('Cash schedule'!$BH$6:$BH$185,(MATCH($B$5,'Cases'!$A$6:$A$10,0)-1)*36+33)),INDEX('Cash schedule'!$BH$6:$BH$185,(MATCH($B$5,'Cases'!$A$6:$A$10,0)-1)*36+33),"")</f>
        <v/>
      </c>
      <c r="AK71" s="137">
        <f>IF(ISNUMBER(INDEX('Cash schedule'!$BH$6:$BH$185,(MATCH($B$5,'Cases'!$A$6:$A$10,0)-1)*36+34)),INDEX('Cash schedule'!$BH$6:$BH$185,(MATCH($B$5,'Cases'!$A$6:$A$10,0)-1)*36+34),"")</f>
        <v/>
      </c>
      <c r="AL71" s="137">
        <f>IF(ISNUMBER(INDEX('Cash schedule'!$BH$6:$BH$185,(MATCH($B$5,'Cases'!$A$6:$A$10,0)-1)*36+35)),INDEX('Cash schedule'!$BH$6:$BH$185,(MATCH($B$5,'Cases'!$A$6:$A$10,0)-1)*36+35),"")</f>
        <v/>
      </c>
      <c r="AM71" s="137">
        <f>IF(ISNUMBER(INDEX('Cash schedule'!$BH$6:$BH$185,(MATCH($B$5,'Cases'!$A$6:$A$10,0)-1)*36+36)),INDEX('Cash schedule'!$BH$6:$BH$185,(MATCH($B$5,'Cases'!$A$6:$A$10,0)-1)*36+36),"")</f>
        <v/>
      </c>
    </row>
    <row r="72" ht="28" customHeight="1">
      <c r="A72" s="4" t="n"/>
      <c r="B72" s="4" t="n"/>
      <c r="C72" s="4" t="n"/>
      <c r="D72" s="137" t="n"/>
      <c r="E72" s="137" t="n"/>
      <c r="F72" s="137" t="n"/>
      <c r="G72" s="137" t="n"/>
      <c r="H72" s="137" t="n"/>
      <c r="I72" s="137" t="n"/>
      <c r="J72" s="137" t="n"/>
      <c r="K72" s="137" t="n"/>
      <c r="L72" s="137" t="n"/>
      <c r="M72" s="137" t="n"/>
      <c r="N72" s="137" t="n"/>
      <c r="O72" s="137" t="n"/>
      <c r="P72" s="137" t="n"/>
      <c r="Q72" s="137" t="n"/>
      <c r="R72" s="137" t="n"/>
      <c r="S72" s="137" t="n"/>
      <c r="T72" s="137" t="n"/>
      <c r="U72" s="137" t="n"/>
      <c r="V72" s="137" t="n"/>
      <c r="W72" s="137" t="n"/>
      <c r="X72" s="137" t="n"/>
      <c r="Y72" s="137" t="n"/>
      <c r="Z72" s="137" t="n"/>
      <c r="AA72" s="137" t="n"/>
      <c r="AB72" s="137" t="n"/>
      <c r="AC72" s="137" t="n"/>
      <c r="AD72" s="137" t="n"/>
      <c r="AE72" s="137" t="n"/>
      <c r="AF72" s="137" t="n"/>
      <c r="AG72" s="137" t="n"/>
      <c r="AH72" s="137" t="n"/>
      <c r="AI72" s="137" t="n"/>
      <c r="AJ72" s="137" t="n"/>
      <c r="AK72" s="137" t="n"/>
      <c r="AL72" s="137" t="n"/>
      <c r="AM72" s="137" t="n"/>
    </row>
    <row r="73" ht="36" customHeight="1">
      <c r="A73" s="8" t="inlineStr">
        <is>
          <t>Planned material and work</t>
        </is>
      </c>
      <c r="B73" s="8" t="n"/>
      <c r="C73" s="8" t="n"/>
      <c r="D73" s="140" t="n"/>
      <c r="E73" s="140" t="n"/>
      <c r="F73" s="140" t="n"/>
      <c r="G73" s="140" t="n"/>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c r="AA73" s="140" t="n"/>
      <c r="AB73" s="140" t="n"/>
      <c r="AC73" s="140" t="n"/>
      <c r="AD73" s="140" t="n"/>
      <c r="AE73" s="140" t="n"/>
      <c r="AF73" s="140" t="n"/>
      <c r="AG73" s="140" t="n"/>
      <c r="AH73" s="140" t="n"/>
      <c r="AI73" s="140" t="n"/>
      <c r="AJ73" s="140" t="n"/>
      <c r="AK73" s="140" t="n"/>
      <c r="AL73" s="140" t="n"/>
      <c r="AM73" s="140" t="n"/>
    </row>
    <row r="74" ht="28" customHeight="1">
      <c r="A74" s="4" t="inlineStr">
        <is>
          <t>Gross plastic consumed</t>
        </is>
      </c>
      <c r="B74" s="4" t="n"/>
      <c r="C74" s="4" t="n"/>
      <c r="D74" s="137">
        <f>IF(ISNUMBER(INDEX('Cash schedule'!$BL$6:$BL$185,(MATCH($B$5,'Cases'!$A$6:$A$10,0)-1)*36+1)),INDEX('Cash schedule'!$BL$6:$BL$185,(MATCH($B$5,'Cases'!$A$6:$A$10,0)-1)*36+1),"")</f>
        <v/>
      </c>
      <c r="E74" s="137">
        <f>IF(ISNUMBER(INDEX('Cash schedule'!$BL$6:$BL$185,(MATCH($B$5,'Cases'!$A$6:$A$10,0)-1)*36+2)),INDEX('Cash schedule'!$BL$6:$BL$185,(MATCH($B$5,'Cases'!$A$6:$A$10,0)-1)*36+2),"")</f>
        <v/>
      </c>
      <c r="F74" s="137">
        <f>IF(ISNUMBER(INDEX('Cash schedule'!$BL$6:$BL$185,(MATCH($B$5,'Cases'!$A$6:$A$10,0)-1)*36+3)),INDEX('Cash schedule'!$BL$6:$BL$185,(MATCH($B$5,'Cases'!$A$6:$A$10,0)-1)*36+3),"")</f>
        <v/>
      </c>
      <c r="G74" s="137">
        <f>IF(ISNUMBER(INDEX('Cash schedule'!$BL$6:$BL$185,(MATCH($B$5,'Cases'!$A$6:$A$10,0)-1)*36+4)),INDEX('Cash schedule'!$BL$6:$BL$185,(MATCH($B$5,'Cases'!$A$6:$A$10,0)-1)*36+4),"")</f>
        <v/>
      </c>
      <c r="H74" s="137">
        <f>IF(ISNUMBER(INDEX('Cash schedule'!$BL$6:$BL$185,(MATCH($B$5,'Cases'!$A$6:$A$10,0)-1)*36+5)),INDEX('Cash schedule'!$BL$6:$BL$185,(MATCH($B$5,'Cases'!$A$6:$A$10,0)-1)*36+5),"")</f>
        <v/>
      </c>
      <c r="I74" s="137">
        <f>IF(ISNUMBER(INDEX('Cash schedule'!$BL$6:$BL$185,(MATCH($B$5,'Cases'!$A$6:$A$10,0)-1)*36+6)),INDEX('Cash schedule'!$BL$6:$BL$185,(MATCH($B$5,'Cases'!$A$6:$A$10,0)-1)*36+6),"")</f>
        <v/>
      </c>
      <c r="J74" s="137">
        <f>IF(ISNUMBER(INDEX('Cash schedule'!$BL$6:$BL$185,(MATCH($B$5,'Cases'!$A$6:$A$10,0)-1)*36+7)),INDEX('Cash schedule'!$BL$6:$BL$185,(MATCH($B$5,'Cases'!$A$6:$A$10,0)-1)*36+7),"")</f>
        <v/>
      </c>
      <c r="K74" s="137">
        <f>IF(ISNUMBER(INDEX('Cash schedule'!$BL$6:$BL$185,(MATCH($B$5,'Cases'!$A$6:$A$10,0)-1)*36+8)),INDEX('Cash schedule'!$BL$6:$BL$185,(MATCH($B$5,'Cases'!$A$6:$A$10,0)-1)*36+8),"")</f>
        <v/>
      </c>
      <c r="L74" s="137">
        <f>IF(ISNUMBER(INDEX('Cash schedule'!$BL$6:$BL$185,(MATCH($B$5,'Cases'!$A$6:$A$10,0)-1)*36+9)),INDEX('Cash schedule'!$BL$6:$BL$185,(MATCH($B$5,'Cases'!$A$6:$A$10,0)-1)*36+9),"")</f>
        <v/>
      </c>
      <c r="M74" s="137">
        <f>IF(ISNUMBER(INDEX('Cash schedule'!$BL$6:$BL$185,(MATCH($B$5,'Cases'!$A$6:$A$10,0)-1)*36+10)),INDEX('Cash schedule'!$BL$6:$BL$185,(MATCH($B$5,'Cases'!$A$6:$A$10,0)-1)*36+10),"")</f>
        <v/>
      </c>
      <c r="N74" s="137">
        <f>IF(ISNUMBER(INDEX('Cash schedule'!$BL$6:$BL$185,(MATCH($B$5,'Cases'!$A$6:$A$10,0)-1)*36+11)),INDEX('Cash schedule'!$BL$6:$BL$185,(MATCH($B$5,'Cases'!$A$6:$A$10,0)-1)*36+11),"")</f>
        <v/>
      </c>
      <c r="O74" s="137">
        <f>IF(ISNUMBER(INDEX('Cash schedule'!$BL$6:$BL$185,(MATCH($B$5,'Cases'!$A$6:$A$10,0)-1)*36+12)),INDEX('Cash schedule'!$BL$6:$BL$185,(MATCH($B$5,'Cases'!$A$6:$A$10,0)-1)*36+12),"")</f>
        <v/>
      </c>
      <c r="P74" s="137">
        <f>IF(ISNUMBER(INDEX('Cash schedule'!$BL$6:$BL$185,(MATCH($B$5,'Cases'!$A$6:$A$10,0)-1)*36+13)),INDEX('Cash schedule'!$BL$6:$BL$185,(MATCH($B$5,'Cases'!$A$6:$A$10,0)-1)*36+13),"")</f>
        <v/>
      </c>
      <c r="Q74" s="137">
        <f>IF(ISNUMBER(INDEX('Cash schedule'!$BL$6:$BL$185,(MATCH($B$5,'Cases'!$A$6:$A$10,0)-1)*36+14)),INDEX('Cash schedule'!$BL$6:$BL$185,(MATCH($B$5,'Cases'!$A$6:$A$10,0)-1)*36+14),"")</f>
        <v/>
      </c>
      <c r="R74" s="137">
        <f>IF(ISNUMBER(INDEX('Cash schedule'!$BL$6:$BL$185,(MATCH($B$5,'Cases'!$A$6:$A$10,0)-1)*36+15)),INDEX('Cash schedule'!$BL$6:$BL$185,(MATCH($B$5,'Cases'!$A$6:$A$10,0)-1)*36+15),"")</f>
        <v/>
      </c>
      <c r="S74" s="137">
        <f>IF(ISNUMBER(INDEX('Cash schedule'!$BL$6:$BL$185,(MATCH($B$5,'Cases'!$A$6:$A$10,0)-1)*36+16)),INDEX('Cash schedule'!$BL$6:$BL$185,(MATCH($B$5,'Cases'!$A$6:$A$10,0)-1)*36+16),"")</f>
        <v/>
      </c>
      <c r="T74" s="137">
        <f>IF(ISNUMBER(INDEX('Cash schedule'!$BL$6:$BL$185,(MATCH($B$5,'Cases'!$A$6:$A$10,0)-1)*36+17)),INDEX('Cash schedule'!$BL$6:$BL$185,(MATCH($B$5,'Cases'!$A$6:$A$10,0)-1)*36+17),"")</f>
        <v/>
      </c>
      <c r="U74" s="137">
        <f>IF(ISNUMBER(INDEX('Cash schedule'!$BL$6:$BL$185,(MATCH($B$5,'Cases'!$A$6:$A$10,0)-1)*36+18)),INDEX('Cash schedule'!$BL$6:$BL$185,(MATCH($B$5,'Cases'!$A$6:$A$10,0)-1)*36+18),"")</f>
        <v/>
      </c>
      <c r="V74" s="137">
        <f>IF(ISNUMBER(INDEX('Cash schedule'!$BL$6:$BL$185,(MATCH($B$5,'Cases'!$A$6:$A$10,0)-1)*36+19)),INDEX('Cash schedule'!$BL$6:$BL$185,(MATCH($B$5,'Cases'!$A$6:$A$10,0)-1)*36+19),"")</f>
        <v/>
      </c>
      <c r="W74" s="137">
        <f>IF(ISNUMBER(INDEX('Cash schedule'!$BL$6:$BL$185,(MATCH($B$5,'Cases'!$A$6:$A$10,0)-1)*36+20)),INDEX('Cash schedule'!$BL$6:$BL$185,(MATCH($B$5,'Cases'!$A$6:$A$10,0)-1)*36+20),"")</f>
        <v/>
      </c>
      <c r="X74" s="137">
        <f>IF(ISNUMBER(INDEX('Cash schedule'!$BL$6:$BL$185,(MATCH($B$5,'Cases'!$A$6:$A$10,0)-1)*36+21)),INDEX('Cash schedule'!$BL$6:$BL$185,(MATCH($B$5,'Cases'!$A$6:$A$10,0)-1)*36+21),"")</f>
        <v/>
      </c>
      <c r="Y74" s="137">
        <f>IF(ISNUMBER(INDEX('Cash schedule'!$BL$6:$BL$185,(MATCH($B$5,'Cases'!$A$6:$A$10,0)-1)*36+22)),INDEX('Cash schedule'!$BL$6:$BL$185,(MATCH($B$5,'Cases'!$A$6:$A$10,0)-1)*36+22),"")</f>
        <v/>
      </c>
      <c r="Z74" s="137">
        <f>IF(ISNUMBER(INDEX('Cash schedule'!$BL$6:$BL$185,(MATCH($B$5,'Cases'!$A$6:$A$10,0)-1)*36+23)),INDEX('Cash schedule'!$BL$6:$BL$185,(MATCH($B$5,'Cases'!$A$6:$A$10,0)-1)*36+23),"")</f>
        <v/>
      </c>
      <c r="AA74" s="137">
        <f>IF(ISNUMBER(INDEX('Cash schedule'!$BL$6:$BL$185,(MATCH($B$5,'Cases'!$A$6:$A$10,0)-1)*36+24)),INDEX('Cash schedule'!$BL$6:$BL$185,(MATCH($B$5,'Cases'!$A$6:$A$10,0)-1)*36+24),"")</f>
        <v/>
      </c>
      <c r="AB74" s="137">
        <f>IF(ISNUMBER(INDEX('Cash schedule'!$BL$6:$BL$185,(MATCH($B$5,'Cases'!$A$6:$A$10,0)-1)*36+25)),INDEX('Cash schedule'!$BL$6:$BL$185,(MATCH($B$5,'Cases'!$A$6:$A$10,0)-1)*36+25),"")</f>
        <v/>
      </c>
      <c r="AC74" s="137">
        <f>IF(ISNUMBER(INDEX('Cash schedule'!$BL$6:$BL$185,(MATCH($B$5,'Cases'!$A$6:$A$10,0)-1)*36+26)),INDEX('Cash schedule'!$BL$6:$BL$185,(MATCH($B$5,'Cases'!$A$6:$A$10,0)-1)*36+26),"")</f>
        <v/>
      </c>
      <c r="AD74" s="137">
        <f>IF(ISNUMBER(INDEX('Cash schedule'!$BL$6:$BL$185,(MATCH($B$5,'Cases'!$A$6:$A$10,0)-1)*36+27)),INDEX('Cash schedule'!$BL$6:$BL$185,(MATCH($B$5,'Cases'!$A$6:$A$10,0)-1)*36+27),"")</f>
        <v/>
      </c>
      <c r="AE74" s="137">
        <f>IF(ISNUMBER(INDEX('Cash schedule'!$BL$6:$BL$185,(MATCH($B$5,'Cases'!$A$6:$A$10,0)-1)*36+28)),INDEX('Cash schedule'!$BL$6:$BL$185,(MATCH($B$5,'Cases'!$A$6:$A$10,0)-1)*36+28),"")</f>
        <v/>
      </c>
      <c r="AF74" s="137">
        <f>IF(ISNUMBER(INDEX('Cash schedule'!$BL$6:$BL$185,(MATCH($B$5,'Cases'!$A$6:$A$10,0)-1)*36+29)),INDEX('Cash schedule'!$BL$6:$BL$185,(MATCH($B$5,'Cases'!$A$6:$A$10,0)-1)*36+29),"")</f>
        <v/>
      </c>
      <c r="AG74" s="137">
        <f>IF(ISNUMBER(INDEX('Cash schedule'!$BL$6:$BL$185,(MATCH($B$5,'Cases'!$A$6:$A$10,0)-1)*36+30)),INDEX('Cash schedule'!$BL$6:$BL$185,(MATCH($B$5,'Cases'!$A$6:$A$10,0)-1)*36+30),"")</f>
        <v/>
      </c>
      <c r="AH74" s="137">
        <f>IF(ISNUMBER(INDEX('Cash schedule'!$BL$6:$BL$185,(MATCH($B$5,'Cases'!$A$6:$A$10,0)-1)*36+31)),INDEX('Cash schedule'!$BL$6:$BL$185,(MATCH($B$5,'Cases'!$A$6:$A$10,0)-1)*36+31),"")</f>
        <v/>
      </c>
      <c r="AI74" s="137">
        <f>IF(ISNUMBER(INDEX('Cash schedule'!$BL$6:$BL$185,(MATCH($B$5,'Cases'!$A$6:$A$10,0)-1)*36+32)),INDEX('Cash schedule'!$BL$6:$BL$185,(MATCH($B$5,'Cases'!$A$6:$A$10,0)-1)*36+32),"")</f>
        <v/>
      </c>
      <c r="AJ74" s="137">
        <f>IF(ISNUMBER(INDEX('Cash schedule'!$BL$6:$BL$185,(MATCH($B$5,'Cases'!$A$6:$A$10,0)-1)*36+33)),INDEX('Cash schedule'!$BL$6:$BL$185,(MATCH($B$5,'Cases'!$A$6:$A$10,0)-1)*36+33),"")</f>
        <v/>
      </c>
      <c r="AK74" s="137">
        <f>IF(ISNUMBER(INDEX('Cash schedule'!$BL$6:$BL$185,(MATCH($B$5,'Cases'!$A$6:$A$10,0)-1)*36+34)),INDEX('Cash schedule'!$BL$6:$BL$185,(MATCH($B$5,'Cases'!$A$6:$A$10,0)-1)*36+34),"")</f>
        <v/>
      </c>
      <c r="AL74" s="137">
        <f>IF(ISNUMBER(INDEX('Cash schedule'!$BL$6:$BL$185,(MATCH($B$5,'Cases'!$A$6:$A$10,0)-1)*36+35)),INDEX('Cash schedule'!$BL$6:$BL$185,(MATCH($B$5,'Cases'!$A$6:$A$10,0)-1)*36+35),"")</f>
        <v/>
      </c>
      <c r="AM74" s="137">
        <f>IF(ISNUMBER(INDEX('Cash schedule'!$BL$6:$BL$185,(MATCH($B$5,'Cases'!$A$6:$A$10,0)-1)*36+36)),INDEX('Cash schedule'!$BL$6:$BL$185,(MATCH($B$5,'Cases'!$A$6:$A$10,0)-1)*36+36),"")</f>
        <v/>
      </c>
    </row>
    <row r="75" ht="28" customHeight="1">
      <c r="A75" s="4" t="inlineStr">
        <is>
          <t>Modelled product mass</t>
        </is>
      </c>
      <c r="B75" s="4" t="n"/>
      <c r="C75" s="4" t="n"/>
      <c r="D75" s="137">
        <f>IF(ISNUMBER(INDEX('Cash schedule'!$BM$6:$BM$185,(MATCH($B$5,'Cases'!$A$6:$A$10,0)-1)*36+1)),INDEX('Cash schedule'!$BM$6:$BM$185,(MATCH($B$5,'Cases'!$A$6:$A$10,0)-1)*36+1),"")</f>
        <v/>
      </c>
      <c r="E75" s="137">
        <f>IF(ISNUMBER(INDEX('Cash schedule'!$BM$6:$BM$185,(MATCH($B$5,'Cases'!$A$6:$A$10,0)-1)*36+2)),INDEX('Cash schedule'!$BM$6:$BM$185,(MATCH($B$5,'Cases'!$A$6:$A$10,0)-1)*36+2),"")</f>
        <v/>
      </c>
      <c r="F75" s="137">
        <f>IF(ISNUMBER(INDEX('Cash schedule'!$BM$6:$BM$185,(MATCH($B$5,'Cases'!$A$6:$A$10,0)-1)*36+3)),INDEX('Cash schedule'!$BM$6:$BM$185,(MATCH($B$5,'Cases'!$A$6:$A$10,0)-1)*36+3),"")</f>
        <v/>
      </c>
      <c r="G75" s="137">
        <f>IF(ISNUMBER(INDEX('Cash schedule'!$BM$6:$BM$185,(MATCH($B$5,'Cases'!$A$6:$A$10,0)-1)*36+4)),INDEX('Cash schedule'!$BM$6:$BM$185,(MATCH($B$5,'Cases'!$A$6:$A$10,0)-1)*36+4),"")</f>
        <v/>
      </c>
      <c r="H75" s="137">
        <f>IF(ISNUMBER(INDEX('Cash schedule'!$BM$6:$BM$185,(MATCH($B$5,'Cases'!$A$6:$A$10,0)-1)*36+5)),INDEX('Cash schedule'!$BM$6:$BM$185,(MATCH($B$5,'Cases'!$A$6:$A$10,0)-1)*36+5),"")</f>
        <v/>
      </c>
      <c r="I75" s="137">
        <f>IF(ISNUMBER(INDEX('Cash schedule'!$BM$6:$BM$185,(MATCH($B$5,'Cases'!$A$6:$A$10,0)-1)*36+6)),INDEX('Cash schedule'!$BM$6:$BM$185,(MATCH($B$5,'Cases'!$A$6:$A$10,0)-1)*36+6),"")</f>
        <v/>
      </c>
      <c r="J75" s="137">
        <f>IF(ISNUMBER(INDEX('Cash schedule'!$BM$6:$BM$185,(MATCH($B$5,'Cases'!$A$6:$A$10,0)-1)*36+7)),INDEX('Cash schedule'!$BM$6:$BM$185,(MATCH($B$5,'Cases'!$A$6:$A$10,0)-1)*36+7),"")</f>
        <v/>
      </c>
      <c r="K75" s="137">
        <f>IF(ISNUMBER(INDEX('Cash schedule'!$BM$6:$BM$185,(MATCH($B$5,'Cases'!$A$6:$A$10,0)-1)*36+8)),INDEX('Cash schedule'!$BM$6:$BM$185,(MATCH($B$5,'Cases'!$A$6:$A$10,0)-1)*36+8),"")</f>
        <v/>
      </c>
      <c r="L75" s="137">
        <f>IF(ISNUMBER(INDEX('Cash schedule'!$BM$6:$BM$185,(MATCH($B$5,'Cases'!$A$6:$A$10,0)-1)*36+9)),INDEX('Cash schedule'!$BM$6:$BM$185,(MATCH($B$5,'Cases'!$A$6:$A$10,0)-1)*36+9),"")</f>
        <v/>
      </c>
      <c r="M75" s="137">
        <f>IF(ISNUMBER(INDEX('Cash schedule'!$BM$6:$BM$185,(MATCH($B$5,'Cases'!$A$6:$A$10,0)-1)*36+10)),INDEX('Cash schedule'!$BM$6:$BM$185,(MATCH($B$5,'Cases'!$A$6:$A$10,0)-1)*36+10),"")</f>
        <v/>
      </c>
      <c r="N75" s="137">
        <f>IF(ISNUMBER(INDEX('Cash schedule'!$BM$6:$BM$185,(MATCH($B$5,'Cases'!$A$6:$A$10,0)-1)*36+11)),INDEX('Cash schedule'!$BM$6:$BM$185,(MATCH($B$5,'Cases'!$A$6:$A$10,0)-1)*36+11),"")</f>
        <v/>
      </c>
      <c r="O75" s="137">
        <f>IF(ISNUMBER(INDEX('Cash schedule'!$BM$6:$BM$185,(MATCH($B$5,'Cases'!$A$6:$A$10,0)-1)*36+12)),INDEX('Cash schedule'!$BM$6:$BM$185,(MATCH($B$5,'Cases'!$A$6:$A$10,0)-1)*36+12),"")</f>
        <v/>
      </c>
      <c r="P75" s="137">
        <f>IF(ISNUMBER(INDEX('Cash schedule'!$BM$6:$BM$185,(MATCH($B$5,'Cases'!$A$6:$A$10,0)-1)*36+13)),INDEX('Cash schedule'!$BM$6:$BM$185,(MATCH($B$5,'Cases'!$A$6:$A$10,0)-1)*36+13),"")</f>
        <v/>
      </c>
      <c r="Q75" s="137">
        <f>IF(ISNUMBER(INDEX('Cash schedule'!$BM$6:$BM$185,(MATCH($B$5,'Cases'!$A$6:$A$10,0)-1)*36+14)),INDEX('Cash schedule'!$BM$6:$BM$185,(MATCH($B$5,'Cases'!$A$6:$A$10,0)-1)*36+14),"")</f>
        <v/>
      </c>
      <c r="R75" s="137">
        <f>IF(ISNUMBER(INDEX('Cash schedule'!$BM$6:$BM$185,(MATCH($B$5,'Cases'!$A$6:$A$10,0)-1)*36+15)),INDEX('Cash schedule'!$BM$6:$BM$185,(MATCH($B$5,'Cases'!$A$6:$A$10,0)-1)*36+15),"")</f>
        <v/>
      </c>
      <c r="S75" s="137">
        <f>IF(ISNUMBER(INDEX('Cash schedule'!$BM$6:$BM$185,(MATCH($B$5,'Cases'!$A$6:$A$10,0)-1)*36+16)),INDEX('Cash schedule'!$BM$6:$BM$185,(MATCH($B$5,'Cases'!$A$6:$A$10,0)-1)*36+16),"")</f>
        <v/>
      </c>
      <c r="T75" s="137">
        <f>IF(ISNUMBER(INDEX('Cash schedule'!$BM$6:$BM$185,(MATCH($B$5,'Cases'!$A$6:$A$10,0)-1)*36+17)),INDEX('Cash schedule'!$BM$6:$BM$185,(MATCH($B$5,'Cases'!$A$6:$A$10,0)-1)*36+17),"")</f>
        <v/>
      </c>
      <c r="U75" s="137">
        <f>IF(ISNUMBER(INDEX('Cash schedule'!$BM$6:$BM$185,(MATCH($B$5,'Cases'!$A$6:$A$10,0)-1)*36+18)),INDEX('Cash schedule'!$BM$6:$BM$185,(MATCH($B$5,'Cases'!$A$6:$A$10,0)-1)*36+18),"")</f>
        <v/>
      </c>
      <c r="V75" s="137">
        <f>IF(ISNUMBER(INDEX('Cash schedule'!$BM$6:$BM$185,(MATCH($B$5,'Cases'!$A$6:$A$10,0)-1)*36+19)),INDEX('Cash schedule'!$BM$6:$BM$185,(MATCH($B$5,'Cases'!$A$6:$A$10,0)-1)*36+19),"")</f>
        <v/>
      </c>
      <c r="W75" s="137">
        <f>IF(ISNUMBER(INDEX('Cash schedule'!$BM$6:$BM$185,(MATCH($B$5,'Cases'!$A$6:$A$10,0)-1)*36+20)),INDEX('Cash schedule'!$BM$6:$BM$185,(MATCH($B$5,'Cases'!$A$6:$A$10,0)-1)*36+20),"")</f>
        <v/>
      </c>
      <c r="X75" s="137">
        <f>IF(ISNUMBER(INDEX('Cash schedule'!$BM$6:$BM$185,(MATCH($B$5,'Cases'!$A$6:$A$10,0)-1)*36+21)),INDEX('Cash schedule'!$BM$6:$BM$185,(MATCH($B$5,'Cases'!$A$6:$A$10,0)-1)*36+21),"")</f>
        <v/>
      </c>
      <c r="Y75" s="137">
        <f>IF(ISNUMBER(INDEX('Cash schedule'!$BM$6:$BM$185,(MATCH($B$5,'Cases'!$A$6:$A$10,0)-1)*36+22)),INDEX('Cash schedule'!$BM$6:$BM$185,(MATCH($B$5,'Cases'!$A$6:$A$10,0)-1)*36+22),"")</f>
        <v/>
      </c>
      <c r="Z75" s="137">
        <f>IF(ISNUMBER(INDEX('Cash schedule'!$BM$6:$BM$185,(MATCH($B$5,'Cases'!$A$6:$A$10,0)-1)*36+23)),INDEX('Cash schedule'!$BM$6:$BM$185,(MATCH($B$5,'Cases'!$A$6:$A$10,0)-1)*36+23),"")</f>
        <v/>
      </c>
      <c r="AA75" s="137">
        <f>IF(ISNUMBER(INDEX('Cash schedule'!$BM$6:$BM$185,(MATCH($B$5,'Cases'!$A$6:$A$10,0)-1)*36+24)),INDEX('Cash schedule'!$BM$6:$BM$185,(MATCH($B$5,'Cases'!$A$6:$A$10,0)-1)*36+24),"")</f>
        <v/>
      </c>
      <c r="AB75" s="137">
        <f>IF(ISNUMBER(INDEX('Cash schedule'!$BM$6:$BM$185,(MATCH($B$5,'Cases'!$A$6:$A$10,0)-1)*36+25)),INDEX('Cash schedule'!$BM$6:$BM$185,(MATCH($B$5,'Cases'!$A$6:$A$10,0)-1)*36+25),"")</f>
        <v/>
      </c>
      <c r="AC75" s="137">
        <f>IF(ISNUMBER(INDEX('Cash schedule'!$BM$6:$BM$185,(MATCH($B$5,'Cases'!$A$6:$A$10,0)-1)*36+26)),INDEX('Cash schedule'!$BM$6:$BM$185,(MATCH($B$5,'Cases'!$A$6:$A$10,0)-1)*36+26),"")</f>
        <v/>
      </c>
      <c r="AD75" s="137">
        <f>IF(ISNUMBER(INDEX('Cash schedule'!$BM$6:$BM$185,(MATCH($B$5,'Cases'!$A$6:$A$10,0)-1)*36+27)),INDEX('Cash schedule'!$BM$6:$BM$185,(MATCH($B$5,'Cases'!$A$6:$A$10,0)-1)*36+27),"")</f>
        <v/>
      </c>
      <c r="AE75" s="137">
        <f>IF(ISNUMBER(INDEX('Cash schedule'!$BM$6:$BM$185,(MATCH($B$5,'Cases'!$A$6:$A$10,0)-1)*36+28)),INDEX('Cash schedule'!$BM$6:$BM$185,(MATCH($B$5,'Cases'!$A$6:$A$10,0)-1)*36+28),"")</f>
        <v/>
      </c>
      <c r="AF75" s="137">
        <f>IF(ISNUMBER(INDEX('Cash schedule'!$BM$6:$BM$185,(MATCH($B$5,'Cases'!$A$6:$A$10,0)-1)*36+29)),INDEX('Cash schedule'!$BM$6:$BM$185,(MATCH($B$5,'Cases'!$A$6:$A$10,0)-1)*36+29),"")</f>
        <v/>
      </c>
      <c r="AG75" s="137">
        <f>IF(ISNUMBER(INDEX('Cash schedule'!$BM$6:$BM$185,(MATCH($B$5,'Cases'!$A$6:$A$10,0)-1)*36+30)),INDEX('Cash schedule'!$BM$6:$BM$185,(MATCH($B$5,'Cases'!$A$6:$A$10,0)-1)*36+30),"")</f>
        <v/>
      </c>
      <c r="AH75" s="137">
        <f>IF(ISNUMBER(INDEX('Cash schedule'!$BM$6:$BM$185,(MATCH($B$5,'Cases'!$A$6:$A$10,0)-1)*36+31)),INDEX('Cash schedule'!$BM$6:$BM$185,(MATCH($B$5,'Cases'!$A$6:$A$10,0)-1)*36+31),"")</f>
        <v/>
      </c>
      <c r="AI75" s="137">
        <f>IF(ISNUMBER(INDEX('Cash schedule'!$BM$6:$BM$185,(MATCH($B$5,'Cases'!$A$6:$A$10,0)-1)*36+32)),INDEX('Cash schedule'!$BM$6:$BM$185,(MATCH($B$5,'Cases'!$A$6:$A$10,0)-1)*36+32),"")</f>
        <v/>
      </c>
      <c r="AJ75" s="137">
        <f>IF(ISNUMBER(INDEX('Cash schedule'!$BM$6:$BM$185,(MATCH($B$5,'Cases'!$A$6:$A$10,0)-1)*36+33)),INDEX('Cash schedule'!$BM$6:$BM$185,(MATCH($B$5,'Cases'!$A$6:$A$10,0)-1)*36+33),"")</f>
        <v/>
      </c>
      <c r="AK75" s="137">
        <f>IF(ISNUMBER(INDEX('Cash schedule'!$BM$6:$BM$185,(MATCH($B$5,'Cases'!$A$6:$A$10,0)-1)*36+34)),INDEX('Cash schedule'!$BM$6:$BM$185,(MATCH($B$5,'Cases'!$A$6:$A$10,0)-1)*36+34),"")</f>
        <v/>
      </c>
      <c r="AL75" s="137">
        <f>IF(ISNUMBER(INDEX('Cash schedule'!$BM$6:$BM$185,(MATCH($B$5,'Cases'!$A$6:$A$10,0)-1)*36+35)),INDEX('Cash schedule'!$BM$6:$BM$185,(MATCH($B$5,'Cases'!$A$6:$A$10,0)-1)*36+35),"")</f>
        <v/>
      </c>
      <c r="AM75" s="137">
        <f>IF(ISNUMBER(INDEX('Cash schedule'!$BM$6:$BM$185,(MATCH($B$5,'Cases'!$A$6:$A$10,0)-1)*36+36)),INDEX('Cash schedule'!$BM$6:$BM$185,(MATCH($B$5,'Cases'!$A$6:$A$10,0)-1)*36+36),"")</f>
        <v/>
      </c>
    </row>
    <row r="76" ht="28" customHeight="1">
      <c r="A76" s="4" t="inlineStr">
        <is>
          <t>NM paid hours</t>
        </is>
      </c>
      <c r="B76" s="4" t="n"/>
      <c r="C76" s="4" t="n"/>
      <c r="D76" s="137">
        <f>IF(ISNUMBER(INDEX('Cash schedule'!$BN$6:$BN$185,(MATCH($B$5,'Cases'!$A$6:$A$10,0)-1)*36+1)),INDEX('Cash schedule'!$BN$6:$BN$185,(MATCH($B$5,'Cases'!$A$6:$A$10,0)-1)*36+1),"")</f>
        <v/>
      </c>
      <c r="E76" s="137">
        <f>IF(ISNUMBER(INDEX('Cash schedule'!$BN$6:$BN$185,(MATCH($B$5,'Cases'!$A$6:$A$10,0)-1)*36+2)),INDEX('Cash schedule'!$BN$6:$BN$185,(MATCH($B$5,'Cases'!$A$6:$A$10,0)-1)*36+2),"")</f>
        <v/>
      </c>
      <c r="F76" s="137">
        <f>IF(ISNUMBER(INDEX('Cash schedule'!$BN$6:$BN$185,(MATCH($B$5,'Cases'!$A$6:$A$10,0)-1)*36+3)),INDEX('Cash schedule'!$BN$6:$BN$185,(MATCH($B$5,'Cases'!$A$6:$A$10,0)-1)*36+3),"")</f>
        <v/>
      </c>
      <c r="G76" s="137">
        <f>IF(ISNUMBER(INDEX('Cash schedule'!$BN$6:$BN$185,(MATCH($B$5,'Cases'!$A$6:$A$10,0)-1)*36+4)),INDEX('Cash schedule'!$BN$6:$BN$185,(MATCH($B$5,'Cases'!$A$6:$A$10,0)-1)*36+4),"")</f>
        <v/>
      </c>
      <c r="H76" s="137">
        <f>IF(ISNUMBER(INDEX('Cash schedule'!$BN$6:$BN$185,(MATCH($B$5,'Cases'!$A$6:$A$10,0)-1)*36+5)),INDEX('Cash schedule'!$BN$6:$BN$185,(MATCH($B$5,'Cases'!$A$6:$A$10,0)-1)*36+5),"")</f>
        <v/>
      </c>
      <c r="I76" s="137">
        <f>IF(ISNUMBER(INDEX('Cash schedule'!$BN$6:$BN$185,(MATCH($B$5,'Cases'!$A$6:$A$10,0)-1)*36+6)),INDEX('Cash schedule'!$BN$6:$BN$185,(MATCH($B$5,'Cases'!$A$6:$A$10,0)-1)*36+6),"")</f>
        <v/>
      </c>
      <c r="J76" s="137">
        <f>IF(ISNUMBER(INDEX('Cash schedule'!$BN$6:$BN$185,(MATCH($B$5,'Cases'!$A$6:$A$10,0)-1)*36+7)),INDEX('Cash schedule'!$BN$6:$BN$185,(MATCH($B$5,'Cases'!$A$6:$A$10,0)-1)*36+7),"")</f>
        <v/>
      </c>
      <c r="K76" s="137">
        <f>IF(ISNUMBER(INDEX('Cash schedule'!$BN$6:$BN$185,(MATCH($B$5,'Cases'!$A$6:$A$10,0)-1)*36+8)),INDEX('Cash schedule'!$BN$6:$BN$185,(MATCH($B$5,'Cases'!$A$6:$A$10,0)-1)*36+8),"")</f>
        <v/>
      </c>
      <c r="L76" s="137">
        <f>IF(ISNUMBER(INDEX('Cash schedule'!$BN$6:$BN$185,(MATCH($B$5,'Cases'!$A$6:$A$10,0)-1)*36+9)),INDEX('Cash schedule'!$BN$6:$BN$185,(MATCH($B$5,'Cases'!$A$6:$A$10,0)-1)*36+9),"")</f>
        <v/>
      </c>
      <c r="M76" s="137">
        <f>IF(ISNUMBER(INDEX('Cash schedule'!$BN$6:$BN$185,(MATCH($B$5,'Cases'!$A$6:$A$10,0)-1)*36+10)),INDEX('Cash schedule'!$BN$6:$BN$185,(MATCH($B$5,'Cases'!$A$6:$A$10,0)-1)*36+10),"")</f>
        <v/>
      </c>
      <c r="N76" s="137">
        <f>IF(ISNUMBER(INDEX('Cash schedule'!$BN$6:$BN$185,(MATCH($B$5,'Cases'!$A$6:$A$10,0)-1)*36+11)),INDEX('Cash schedule'!$BN$6:$BN$185,(MATCH($B$5,'Cases'!$A$6:$A$10,0)-1)*36+11),"")</f>
        <v/>
      </c>
      <c r="O76" s="137">
        <f>IF(ISNUMBER(INDEX('Cash schedule'!$BN$6:$BN$185,(MATCH($B$5,'Cases'!$A$6:$A$10,0)-1)*36+12)),INDEX('Cash schedule'!$BN$6:$BN$185,(MATCH($B$5,'Cases'!$A$6:$A$10,0)-1)*36+12),"")</f>
        <v/>
      </c>
      <c r="P76" s="137">
        <f>IF(ISNUMBER(INDEX('Cash schedule'!$BN$6:$BN$185,(MATCH($B$5,'Cases'!$A$6:$A$10,0)-1)*36+13)),INDEX('Cash schedule'!$BN$6:$BN$185,(MATCH($B$5,'Cases'!$A$6:$A$10,0)-1)*36+13),"")</f>
        <v/>
      </c>
      <c r="Q76" s="137">
        <f>IF(ISNUMBER(INDEX('Cash schedule'!$BN$6:$BN$185,(MATCH($B$5,'Cases'!$A$6:$A$10,0)-1)*36+14)),INDEX('Cash schedule'!$BN$6:$BN$185,(MATCH($B$5,'Cases'!$A$6:$A$10,0)-1)*36+14),"")</f>
        <v/>
      </c>
      <c r="R76" s="137">
        <f>IF(ISNUMBER(INDEX('Cash schedule'!$BN$6:$BN$185,(MATCH($B$5,'Cases'!$A$6:$A$10,0)-1)*36+15)),INDEX('Cash schedule'!$BN$6:$BN$185,(MATCH($B$5,'Cases'!$A$6:$A$10,0)-1)*36+15),"")</f>
        <v/>
      </c>
      <c r="S76" s="137">
        <f>IF(ISNUMBER(INDEX('Cash schedule'!$BN$6:$BN$185,(MATCH($B$5,'Cases'!$A$6:$A$10,0)-1)*36+16)),INDEX('Cash schedule'!$BN$6:$BN$185,(MATCH($B$5,'Cases'!$A$6:$A$10,0)-1)*36+16),"")</f>
        <v/>
      </c>
      <c r="T76" s="137">
        <f>IF(ISNUMBER(INDEX('Cash schedule'!$BN$6:$BN$185,(MATCH($B$5,'Cases'!$A$6:$A$10,0)-1)*36+17)),INDEX('Cash schedule'!$BN$6:$BN$185,(MATCH($B$5,'Cases'!$A$6:$A$10,0)-1)*36+17),"")</f>
        <v/>
      </c>
      <c r="U76" s="137">
        <f>IF(ISNUMBER(INDEX('Cash schedule'!$BN$6:$BN$185,(MATCH($B$5,'Cases'!$A$6:$A$10,0)-1)*36+18)),INDEX('Cash schedule'!$BN$6:$BN$185,(MATCH($B$5,'Cases'!$A$6:$A$10,0)-1)*36+18),"")</f>
        <v/>
      </c>
      <c r="V76" s="137">
        <f>IF(ISNUMBER(INDEX('Cash schedule'!$BN$6:$BN$185,(MATCH($B$5,'Cases'!$A$6:$A$10,0)-1)*36+19)),INDEX('Cash schedule'!$BN$6:$BN$185,(MATCH($B$5,'Cases'!$A$6:$A$10,0)-1)*36+19),"")</f>
        <v/>
      </c>
      <c r="W76" s="137">
        <f>IF(ISNUMBER(INDEX('Cash schedule'!$BN$6:$BN$185,(MATCH($B$5,'Cases'!$A$6:$A$10,0)-1)*36+20)),INDEX('Cash schedule'!$BN$6:$BN$185,(MATCH($B$5,'Cases'!$A$6:$A$10,0)-1)*36+20),"")</f>
        <v/>
      </c>
      <c r="X76" s="137">
        <f>IF(ISNUMBER(INDEX('Cash schedule'!$BN$6:$BN$185,(MATCH($B$5,'Cases'!$A$6:$A$10,0)-1)*36+21)),INDEX('Cash schedule'!$BN$6:$BN$185,(MATCH($B$5,'Cases'!$A$6:$A$10,0)-1)*36+21),"")</f>
        <v/>
      </c>
      <c r="Y76" s="137">
        <f>IF(ISNUMBER(INDEX('Cash schedule'!$BN$6:$BN$185,(MATCH($B$5,'Cases'!$A$6:$A$10,0)-1)*36+22)),INDEX('Cash schedule'!$BN$6:$BN$185,(MATCH($B$5,'Cases'!$A$6:$A$10,0)-1)*36+22),"")</f>
        <v/>
      </c>
      <c r="Z76" s="137">
        <f>IF(ISNUMBER(INDEX('Cash schedule'!$BN$6:$BN$185,(MATCH($B$5,'Cases'!$A$6:$A$10,0)-1)*36+23)),INDEX('Cash schedule'!$BN$6:$BN$185,(MATCH($B$5,'Cases'!$A$6:$A$10,0)-1)*36+23),"")</f>
        <v/>
      </c>
      <c r="AA76" s="137">
        <f>IF(ISNUMBER(INDEX('Cash schedule'!$BN$6:$BN$185,(MATCH($B$5,'Cases'!$A$6:$A$10,0)-1)*36+24)),INDEX('Cash schedule'!$BN$6:$BN$185,(MATCH($B$5,'Cases'!$A$6:$A$10,0)-1)*36+24),"")</f>
        <v/>
      </c>
      <c r="AB76" s="137">
        <f>IF(ISNUMBER(INDEX('Cash schedule'!$BN$6:$BN$185,(MATCH($B$5,'Cases'!$A$6:$A$10,0)-1)*36+25)),INDEX('Cash schedule'!$BN$6:$BN$185,(MATCH($B$5,'Cases'!$A$6:$A$10,0)-1)*36+25),"")</f>
        <v/>
      </c>
      <c r="AC76" s="137">
        <f>IF(ISNUMBER(INDEX('Cash schedule'!$BN$6:$BN$185,(MATCH($B$5,'Cases'!$A$6:$A$10,0)-1)*36+26)),INDEX('Cash schedule'!$BN$6:$BN$185,(MATCH($B$5,'Cases'!$A$6:$A$10,0)-1)*36+26),"")</f>
        <v/>
      </c>
      <c r="AD76" s="137">
        <f>IF(ISNUMBER(INDEX('Cash schedule'!$BN$6:$BN$185,(MATCH($B$5,'Cases'!$A$6:$A$10,0)-1)*36+27)),INDEX('Cash schedule'!$BN$6:$BN$185,(MATCH($B$5,'Cases'!$A$6:$A$10,0)-1)*36+27),"")</f>
        <v/>
      </c>
      <c r="AE76" s="137">
        <f>IF(ISNUMBER(INDEX('Cash schedule'!$BN$6:$BN$185,(MATCH($B$5,'Cases'!$A$6:$A$10,0)-1)*36+28)),INDEX('Cash schedule'!$BN$6:$BN$185,(MATCH($B$5,'Cases'!$A$6:$A$10,0)-1)*36+28),"")</f>
        <v/>
      </c>
      <c r="AF76" s="137">
        <f>IF(ISNUMBER(INDEX('Cash schedule'!$BN$6:$BN$185,(MATCH($B$5,'Cases'!$A$6:$A$10,0)-1)*36+29)),INDEX('Cash schedule'!$BN$6:$BN$185,(MATCH($B$5,'Cases'!$A$6:$A$10,0)-1)*36+29),"")</f>
        <v/>
      </c>
      <c r="AG76" s="137">
        <f>IF(ISNUMBER(INDEX('Cash schedule'!$BN$6:$BN$185,(MATCH($B$5,'Cases'!$A$6:$A$10,0)-1)*36+30)),INDEX('Cash schedule'!$BN$6:$BN$185,(MATCH($B$5,'Cases'!$A$6:$A$10,0)-1)*36+30),"")</f>
        <v/>
      </c>
      <c r="AH76" s="137">
        <f>IF(ISNUMBER(INDEX('Cash schedule'!$BN$6:$BN$185,(MATCH($B$5,'Cases'!$A$6:$A$10,0)-1)*36+31)),INDEX('Cash schedule'!$BN$6:$BN$185,(MATCH($B$5,'Cases'!$A$6:$A$10,0)-1)*36+31),"")</f>
        <v/>
      </c>
      <c r="AI76" s="137">
        <f>IF(ISNUMBER(INDEX('Cash schedule'!$BN$6:$BN$185,(MATCH($B$5,'Cases'!$A$6:$A$10,0)-1)*36+32)),INDEX('Cash schedule'!$BN$6:$BN$185,(MATCH($B$5,'Cases'!$A$6:$A$10,0)-1)*36+32),"")</f>
        <v/>
      </c>
      <c r="AJ76" s="137">
        <f>IF(ISNUMBER(INDEX('Cash schedule'!$BN$6:$BN$185,(MATCH($B$5,'Cases'!$A$6:$A$10,0)-1)*36+33)),INDEX('Cash schedule'!$BN$6:$BN$185,(MATCH($B$5,'Cases'!$A$6:$A$10,0)-1)*36+33),"")</f>
        <v/>
      </c>
      <c r="AK76" s="137">
        <f>IF(ISNUMBER(INDEX('Cash schedule'!$BN$6:$BN$185,(MATCH($B$5,'Cases'!$A$6:$A$10,0)-1)*36+34)),INDEX('Cash schedule'!$BN$6:$BN$185,(MATCH($B$5,'Cases'!$A$6:$A$10,0)-1)*36+34),"")</f>
        <v/>
      </c>
      <c r="AL76" s="137">
        <f>IF(ISNUMBER(INDEX('Cash schedule'!$BN$6:$BN$185,(MATCH($B$5,'Cases'!$A$6:$A$10,0)-1)*36+35)),INDEX('Cash schedule'!$BN$6:$BN$185,(MATCH($B$5,'Cases'!$A$6:$A$10,0)-1)*36+35),"")</f>
        <v/>
      </c>
      <c r="AM76" s="137">
        <f>IF(ISNUMBER(INDEX('Cash schedule'!$BN$6:$BN$185,(MATCH($B$5,'Cases'!$A$6:$A$10,0)-1)*36+36)),INDEX('Cash schedule'!$BN$6:$BN$185,(MATCH($B$5,'Cases'!$A$6:$A$10,0)-1)*36+36),"")</f>
        <v/>
      </c>
    </row>
    <row r="77" ht="28" customHeight="1">
      <c r="A77" s="4" t="n"/>
      <c r="B77" s="4" t="n"/>
      <c r="C77" s="4" t="n"/>
      <c r="D77" s="137" t="n"/>
      <c r="E77" s="137" t="n"/>
      <c r="F77" s="137" t="n"/>
      <c r="G77" s="137" t="n"/>
      <c r="H77" s="137" t="n"/>
      <c r="I77" s="137" t="n"/>
      <c r="J77" s="137" t="n"/>
      <c r="K77" s="137" t="n"/>
      <c r="L77" s="137" t="n"/>
      <c r="M77" s="137" t="n"/>
      <c r="N77" s="137" t="n"/>
      <c r="O77" s="137" t="n"/>
      <c r="P77" s="137" t="n"/>
      <c r="Q77" s="137" t="n"/>
      <c r="R77" s="137" t="n"/>
      <c r="S77" s="137" t="n"/>
      <c r="T77" s="137" t="n"/>
      <c r="U77" s="137" t="n"/>
      <c r="V77" s="137" t="n"/>
      <c r="W77" s="137" t="n"/>
      <c r="X77" s="137" t="n"/>
      <c r="Y77" s="137" t="n"/>
      <c r="Z77" s="137" t="n"/>
      <c r="AA77" s="137" t="n"/>
      <c r="AB77" s="137" t="n"/>
      <c r="AC77" s="137" t="n"/>
      <c r="AD77" s="137" t="n"/>
      <c r="AE77" s="137" t="n"/>
      <c r="AF77" s="137" t="n"/>
      <c r="AG77" s="137" t="n"/>
      <c r="AH77" s="137" t="n"/>
      <c r="AI77" s="137" t="n"/>
      <c r="AJ77" s="137" t="n"/>
      <c r="AK77" s="137" t="n"/>
      <c r="AL77" s="137" t="n"/>
      <c r="AM77" s="137" t="n"/>
    </row>
    <row r="78" ht="36" customHeight="1">
      <c r="A78" s="8" t="inlineStr">
        <is>
          <t>Calculation checks</t>
        </is>
      </c>
      <c r="B78" s="8" t="n"/>
      <c r="C78" s="8" t="n"/>
      <c r="D78" s="140" t="n"/>
      <c r="E78" s="140" t="n"/>
      <c r="F78" s="140"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c r="AA78" s="140" t="n"/>
      <c r="AB78" s="140" t="n"/>
      <c r="AC78" s="140" t="n"/>
      <c r="AD78" s="140" t="n"/>
      <c r="AE78" s="140" t="n"/>
      <c r="AF78" s="140" t="n"/>
      <c r="AG78" s="140" t="n"/>
      <c r="AH78" s="140" t="n"/>
      <c r="AI78" s="140" t="n"/>
      <c r="AJ78" s="140" t="n"/>
      <c r="AK78" s="140" t="n"/>
      <c r="AL78" s="140" t="n"/>
      <c r="AM78" s="140" t="n"/>
    </row>
    <row r="79" ht="28" customHeight="1">
      <c r="A79" s="4" t="inlineStr">
        <is>
          <t>Unpriced lines</t>
        </is>
      </c>
      <c r="B79" s="4" t="n"/>
      <c r="C79" s="4" t="n"/>
      <c r="D79" s="137">
        <f>IF(ISNUMBER(INDEX('Cash schedule'!$BJ$6:$BJ$185,(MATCH($B$5,'Cases'!$A$6:$A$10,0)-1)*36+1)),INDEX('Cash schedule'!$BJ$6:$BJ$185,(MATCH($B$5,'Cases'!$A$6:$A$10,0)-1)*36+1),"")</f>
        <v/>
      </c>
      <c r="E79" s="137">
        <f>IF(ISNUMBER(INDEX('Cash schedule'!$BJ$6:$BJ$185,(MATCH($B$5,'Cases'!$A$6:$A$10,0)-1)*36+2)),INDEX('Cash schedule'!$BJ$6:$BJ$185,(MATCH($B$5,'Cases'!$A$6:$A$10,0)-1)*36+2),"")</f>
        <v/>
      </c>
      <c r="F79" s="137">
        <f>IF(ISNUMBER(INDEX('Cash schedule'!$BJ$6:$BJ$185,(MATCH($B$5,'Cases'!$A$6:$A$10,0)-1)*36+3)),INDEX('Cash schedule'!$BJ$6:$BJ$185,(MATCH($B$5,'Cases'!$A$6:$A$10,0)-1)*36+3),"")</f>
        <v/>
      </c>
      <c r="G79" s="137">
        <f>IF(ISNUMBER(INDEX('Cash schedule'!$BJ$6:$BJ$185,(MATCH($B$5,'Cases'!$A$6:$A$10,0)-1)*36+4)),INDEX('Cash schedule'!$BJ$6:$BJ$185,(MATCH($B$5,'Cases'!$A$6:$A$10,0)-1)*36+4),"")</f>
        <v/>
      </c>
      <c r="H79" s="137">
        <f>IF(ISNUMBER(INDEX('Cash schedule'!$BJ$6:$BJ$185,(MATCH($B$5,'Cases'!$A$6:$A$10,0)-1)*36+5)),INDEX('Cash schedule'!$BJ$6:$BJ$185,(MATCH($B$5,'Cases'!$A$6:$A$10,0)-1)*36+5),"")</f>
        <v/>
      </c>
      <c r="I79" s="137">
        <f>IF(ISNUMBER(INDEX('Cash schedule'!$BJ$6:$BJ$185,(MATCH($B$5,'Cases'!$A$6:$A$10,0)-1)*36+6)),INDEX('Cash schedule'!$BJ$6:$BJ$185,(MATCH($B$5,'Cases'!$A$6:$A$10,0)-1)*36+6),"")</f>
        <v/>
      </c>
      <c r="J79" s="137">
        <f>IF(ISNUMBER(INDEX('Cash schedule'!$BJ$6:$BJ$185,(MATCH($B$5,'Cases'!$A$6:$A$10,0)-1)*36+7)),INDEX('Cash schedule'!$BJ$6:$BJ$185,(MATCH($B$5,'Cases'!$A$6:$A$10,0)-1)*36+7),"")</f>
        <v/>
      </c>
      <c r="K79" s="137">
        <f>IF(ISNUMBER(INDEX('Cash schedule'!$BJ$6:$BJ$185,(MATCH($B$5,'Cases'!$A$6:$A$10,0)-1)*36+8)),INDEX('Cash schedule'!$BJ$6:$BJ$185,(MATCH($B$5,'Cases'!$A$6:$A$10,0)-1)*36+8),"")</f>
        <v/>
      </c>
      <c r="L79" s="137">
        <f>IF(ISNUMBER(INDEX('Cash schedule'!$BJ$6:$BJ$185,(MATCH($B$5,'Cases'!$A$6:$A$10,0)-1)*36+9)),INDEX('Cash schedule'!$BJ$6:$BJ$185,(MATCH($B$5,'Cases'!$A$6:$A$10,0)-1)*36+9),"")</f>
        <v/>
      </c>
      <c r="M79" s="137">
        <f>IF(ISNUMBER(INDEX('Cash schedule'!$BJ$6:$BJ$185,(MATCH($B$5,'Cases'!$A$6:$A$10,0)-1)*36+10)),INDEX('Cash schedule'!$BJ$6:$BJ$185,(MATCH($B$5,'Cases'!$A$6:$A$10,0)-1)*36+10),"")</f>
        <v/>
      </c>
      <c r="N79" s="137">
        <f>IF(ISNUMBER(INDEX('Cash schedule'!$BJ$6:$BJ$185,(MATCH($B$5,'Cases'!$A$6:$A$10,0)-1)*36+11)),INDEX('Cash schedule'!$BJ$6:$BJ$185,(MATCH($B$5,'Cases'!$A$6:$A$10,0)-1)*36+11),"")</f>
        <v/>
      </c>
      <c r="O79" s="137">
        <f>IF(ISNUMBER(INDEX('Cash schedule'!$BJ$6:$BJ$185,(MATCH($B$5,'Cases'!$A$6:$A$10,0)-1)*36+12)),INDEX('Cash schedule'!$BJ$6:$BJ$185,(MATCH($B$5,'Cases'!$A$6:$A$10,0)-1)*36+12),"")</f>
        <v/>
      </c>
      <c r="P79" s="137">
        <f>IF(ISNUMBER(INDEX('Cash schedule'!$BJ$6:$BJ$185,(MATCH($B$5,'Cases'!$A$6:$A$10,0)-1)*36+13)),INDEX('Cash schedule'!$BJ$6:$BJ$185,(MATCH($B$5,'Cases'!$A$6:$A$10,0)-1)*36+13),"")</f>
        <v/>
      </c>
      <c r="Q79" s="137">
        <f>IF(ISNUMBER(INDEX('Cash schedule'!$BJ$6:$BJ$185,(MATCH($B$5,'Cases'!$A$6:$A$10,0)-1)*36+14)),INDEX('Cash schedule'!$BJ$6:$BJ$185,(MATCH($B$5,'Cases'!$A$6:$A$10,0)-1)*36+14),"")</f>
        <v/>
      </c>
      <c r="R79" s="137">
        <f>IF(ISNUMBER(INDEX('Cash schedule'!$BJ$6:$BJ$185,(MATCH($B$5,'Cases'!$A$6:$A$10,0)-1)*36+15)),INDEX('Cash schedule'!$BJ$6:$BJ$185,(MATCH($B$5,'Cases'!$A$6:$A$10,0)-1)*36+15),"")</f>
        <v/>
      </c>
      <c r="S79" s="137">
        <f>IF(ISNUMBER(INDEX('Cash schedule'!$BJ$6:$BJ$185,(MATCH($B$5,'Cases'!$A$6:$A$10,0)-1)*36+16)),INDEX('Cash schedule'!$BJ$6:$BJ$185,(MATCH($B$5,'Cases'!$A$6:$A$10,0)-1)*36+16),"")</f>
        <v/>
      </c>
      <c r="T79" s="137">
        <f>IF(ISNUMBER(INDEX('Cash schedule'!$BJ$6:$BJ$185,(MATCH($B$5,'Cases'!$A$6:$A$10,0)-1)*36+17)),INDEX('Cash schedule'!$BJ$6:$BJ$185,(MATCH($B$5,'Cases'!$A$6:$A$10,0)-1)*36+17),"")</f>
        <v/>
      </c>
      <c r="U79" s="137">
        <f>IF(ISNUMBER(INDEX('Cash schedule'!$BJ$6:$BJ$185,(MATCH($B$5,'Cases'!$A$6:$A$10,0)-1)*36+18)),INDEX('Cash schedule'!$BJ$6:$BJ$185,(MATCH($B$5,'Cases'!$A$6:$A$10,0)-1)*36+18),"")</f>
        <v/>
      </c>
      <c r="V79" s="137">
        <f>IF(ISNUMBER(INDEX('Cash schedule'!$BJ$6:$BJ$185,(MATCH($B$5,'Cases'!$A$6:$A$10,0)-1)*36+19)),INDEX('Cash schedule'!$BJ$6:$BJ$185,(MATCH($B$5,'Cases'!$A$6:$A$10,0)-1)*36+19),"")</f>
        <v/>
      </c>
      <c r="W79" s="137">
        <f>IF(ISNUMBER(INDEX('Cash schedule'!$BJ$6:$BJ$185,(MATCH($B$5,'Cases'!$A$6:$A$10,0)-1)*36+20)),INDEX('Cash schedule'!$BJ$6:$BJ$185,(MATCH($B$5,'Cases'!$A$6:$A$10,0)-1)*36+20),"")</f>
        <v/>
      </c>
      <c r="X79" s="137">
        <f>IF(ISNUMBER(INDEX('Cash schedule'!$BJ$6:$BJ$185,(MATCH($B$5,'Cases'!$A$6:$A$10,0)-1)*36+21)),INDEX('Cash schedule'!$BJ$6:$BJ$185,(MATCH($B$5,'Cases'!$A$6:$A$10,0)-1)*36+21),"")</f>
        <v/>
      </c>
      <c r="Y79" s="137">
        <f>IF(ISNUMBER(INDEX('Cash schedule'!$BJ$6:$BJ$185,(MATCH($B$5,'Cases'!$A$6:$A$10,0)-1)*36+22)),INDEX('Cash schedule'!$BJ$6:$BJ$185,(MATCH($B$5,'Cases'!$A$6:$A$10,0)-1)*36+22),"")</f>
        <v/>
      </c>
      <c r="Z79" s="137">
        <f>IF(ISNUMBER(INDEX('Cash schedule'!$BJ$6:$BJ$185,(MATCH($B$5,'Cases'!$A$6:$A$10,0)-1)*36+23)),INDEX('Cash schedule'!$BJ$6:$BJ$185,(MATCH($B$5,'Cases'!$A$6:$A$10,0)-1)*36+23),"")</f>
        <v/>
      </c>
      <c r="AA79" s="137">
        <f>IF(ISNUMBER(INDEX('Cash schedule'!$BJ$6:$BJ$185,(MATCH($B$5,'Cases'!$A$6:$A$10,0)-1)*36+24)),INDEX('Cash schedule'!$BJ$6:$BJ$185,(MATCH($B$5,'Cases'!$A$6:$A$10,0)-1)*36+24),"")</f>
        <v/>
      </c>
      <c r="AB79" s="137">
        <f>IF(ISNUMBER(INDEX('Cash schedule'!$BJ$6:$BJ$185,(MATCH($B$5,'Cases'!$A$6:$A$10,0)-1)*36+25)),INDEX('Cash schedule'!$BJ$6:$BJ$185,(MATCH($B$5,'Cases'!$A$6:$A$10,0)-1)*36+25),"")</f>
        <v/>
      </c>
      <c r="AC79" s="137">
        <f>IF(ISNUMBER(INDEX('Cash schedule'!$BJ$6:$BJ$185,(MATCH($B$5,'Cases'!$A$6:$A$10,0)-1)*36+26)),INDEX('Cash schedule'!$BJ$6:$BJ$185,(MATCH($B$5,'Cases'!$A$6:$A$10,0)-1)*36+26),"")</f>
        <v/>
      </c>
      <c r="AD79" s="137">
        <f>IF(ISNUMBER(INDEX('Cash schedule'!$BJ$6:$BJ$185,(MATCH($B$5,'Cases'!$A$6:$A$10,0)-1)*36+27)),INDEX('Cash schedule'!$BJ$6:$BJ$185,(MATCH($B$5,'Cases'!$A$6:$A$10,0)-1)*36+27),"")</f>
        <v/>
      </c>
      <c r="AE79" s="137">
        <f>IF(ISNUMBER(INDEX('Cash schedule'!$BJ$6:$BJ$185,(MATCH($B$5,'Cases'!$A$6:$A$10,0)-1)*36+28)),INDEX('Cash schedule'!$BJ$6:$BJ$185,(MATCH($B$5,'Cases'!$A$6:$A$10,0)-1)*36+28),"")</f>
        <v/>
      </c>
      <c r="AF79" s="137">
        <f>IF(ISNUMBER(INDEX('Cash schedule'!$BJ$6:$BJ$185,(MATCH($B$5,'Cases'!$A$6:$A$10,0)-1)*36+29)),INDEX('Cash schedule'!$BJ$6:$BJ$185,(MATCH($B$5,'Cases'!$A$6:$A$10,0)-1)*36+29),"")</f>
        <v/>
      </c>
      <c r="AG79" s="137">
        <f>IF(ISNUMBER(INDEX('Cash schedule'!$BJ$6:$BJ$185,(MATCH($B$5,'Cases'!$A$6:$A$10,0)-1)*36+30)),INDEX('Cash schedule'!$BJ$6:$BJ$185,(MATCH($B$5,'Cases'!$A$6:$A$10,0)-1)*36+30),"")</f>
        <v/>
      </c>
      <c r="AH79" s="137">
        <f>IF(ISNUMBER(INDEX('Cash schedule'!$BJ$6:$BJ$185,(MATCH($B$5,'Cases'!$A$6:$A$10,0)-1)*36+31)),INDEX('Cash schedule'!$BJ$6:$BJ$185,(MATCH($B$5,'Cases'!$A$6:$A$10,0)-1)*36+31),"")</f>
        <v/>
      </c>
      <c r="AI79" s="137">
        <f>IF(ISNUMBER(INDEX('Cash schedule'!$BJ$6:$BJ$185,(MATCH($B$5,'Cases'!$A$6:$A$10,0)-1)*36+32)),INDEX('Cash schedule'!$BJ$6:$BJ$185,(MATCH($B$5,'Cases'!$A$6:$A$10,0)-1)*36+32),"")</f>
        <v/>
      </c>
      <c r="AJ79" s="137">
        <f>IF(ISNUMBER(INDEX('Cash schedule'!$BJ$6:$BJ$185,(MATCH($B$5,'Cases'!$A$6:$A$10,0)-1)*36+33)),INDEX('Cash schedule'!$BJ$6:$BJ$185,(MATCH($B$5,'Cases'!$A$6:$A$10,0)-1)*36+33),"")</f>
        <v/>
      </c>
      <c r="AK79" s="137">
        <f>IF(ISNUMBER(INDEX('Cash schedule'!$BJ$6:$BJ$185,(MATCH($B$5,'Cases'!$A$6:$A$10,0)-1)*36+34)),INDEX('Cash schedule'!$BJ$6:$BJ$185,(MATCH($B$5,'Cases'!$A$6:$A$10,0)-1)*36+34),"")</f>
        <v/>
      </c>
      <c r="AL79" s="137">
        <f>IF(ISNUMBER(INDEX('Cash schedule'!$BJ$6:$BJ$185,(MATCH($B$5,'Cases'!$A$6:$A$10,0)-1)*36+35)),INDEX('Cash schedule'!$BJ$6:$BJ$185,(MATCH($B$5,'Cases'!$A$6:$A$10,0)-1)*36+35),"")</f>
        <v/>
      </c>
      <c r="AM79" s="137">
        <f>IF(ISNUMBER(INDEX('Cash schedule'!$BJ$6:$BJ$185,(MATCH($B$5,'Cases'!$A$6:$A$10,0)-1)*36+36)),INDEX('Cash schedule'!$BJ$6:$BJ$185,(MATCH($B$5,'Cases'!$A$6:$A$10,0)-1)*36+36),"")</f>
        <v/>
      </c>
    </row>
    <row r="80" ht="28" customHeight="1">
      <c r="A80" s="4" t="inlineStr">
        <is>
          <t>Invalid inputs</t>
        </is>
      </c>
      <c r="B80" s="4" t="n"/>
      <c r="C80" s="4" t="n"/>
      <c r="D80" s="137">
        <f>IF(ISNUMBER(INDEX('Cash schedule'!$BK$6:$BK$185,(MATCH($B$5,'Cases'!$A$6:$A$10,0)-1)*36+1)),INDEX('Cash schedule'!$BK$6:$BK$185,(MATCH($B$5,'Cases'!$A$6:$A$10,0)-1)*36+1),"")</f>
        <v/>
      </c>
      <c r="E80" s="137">
        <f>IF(ISNUMBER(INDEX('Cash schedule'!$BK$6:$BK$185,(MATCH($B$5,'Cases'!$A$6:$A$10,0)-1)*36+2)),INDEX('Cash schedule'!$BK$6:$BK$185,(MATCH($B$5,'Cases'!$A$6:$A$10,0)-1)*36+2),"")</f>
        <v/>
      </c>
      <c r="F80" s="137">
        <f>IF(ISNUMBER(INDEX('Cash schedule'!$BK$6:$BK$185,(MATCH($B$5,'Cases'!$A$6:$A$10,0)-1)*36+3)),INDEX('Cash schedule'!$BK$6:$BK$185,(MATCH($B$5,'Cases'!$A$6:$A$10,0)-1)*36+3),"")</f>
        <v/>
      </c>
      <c r="G80" s="137">
        <f>IF(ISNUMBER(INDEX('Cash schedule'!$BK$6:$BK$185,(MATCH($B$5,'Cases'!$A$6:$A$10,0)-1)*36+4)),INDEX('Cash schedule'!$BK$6:$BK$185,(MATCH($B$5,'Cases'!$A$6:$A$10,0)-1)*36+4),"")</f>
        <v/>
      </c>
      <c r="H80" s="137">
        <f>IF(ISNUMBER(INDEX('Cash schedule'!$BK$6:$BK$185,(MATCH($B$5,'Cases'!$A$6:$A$10,0)-1)*36+5)),INDEX('Cash schedule'!$BK$6:$BK$185,(MATCH($B$5,'Cases'!$A$6:$A$10,0)-1)*36+5),"")</f>
        <v/>
      </c>
      <c r="I80" s="137">
        <f>IF(ISNUMBER(INDEX('Cash schedule'!$BK$6:$BK$185,(MATCH($B$5,'Cases'!$A$6:$A$10,0)-1)*36+6)),INDEX('Cash schedule'!$BK$6:$BK$185,(MATCH($B$5,'Cases'!$A$6:$A$10,0)-1)*36+6),"")</f>
        <v/>
      </c>
      <c r="J80" s="137">
        <f>IF(ISNUMBER(INDEX('Cash schedule'!$BK$6:$BK$185,(MATCH($B$5,'Cases'!$A$6:$A$10,0)-1)*36+7)),INDEX('Cash schedule'!$BK$6:$BK$185,(MATCH($B$5,'Cases'!$A$6:$A$10,0)-1)*36+7),"")</f>
        <v/>
      </c>
      <c r="K80" s="137">
        <f>IF(ISNUMBER(INDEX('Cash schedule'!$BK$6:$BK$185,(MATCH($B$5,'Cases'!$A$6:$A$10,0)-1)*36+8)),INDEX('Cash schedule'!$BK$6:$BK$185,(MATCH($B$5,'Cases'!$A$6:$A$10,0)-1)*36+8),"")</f>
        <v/>
      </c>
      <c r="L80" s="137">
        <f>IF(ISNUMBER(INDEX('Cash schedule'!$BK$6:$BK$185,(MATCH($B$5,'Cases'!$A$6:$A$10,0)-1)*36+9)),INDEX('Cash schedule'!$BK$6:$BK$185,(MATCH($B$5,'Cases'!$A$6:$A$10,0)-1)*36+9),"")</f>
        <v/>
      </c>
      <c r="M80" s="137">
        <f>IF(ISNUMBER(INDEX('Cash schedule'!$BK$6:$BK$185,(MATCH($B$5,'Cases'!$A$6:$A$10,0)-1)*36+10)),INDEX('Cash schedule'!$BK$6:$BK$185,(MATCH($B$5,'Cases'!$A$6:$A$10,0)-1)*36+10),"")</f>
        <v/>
      </c>
      <c r="N80" s="137">
        <f>IF(ISNUMBER(INDEX('Cash schedule'!$BK$6:$BK$185,(MATCH($B$5,'Cases'!$A$6:$A$10,0)-1)*36+11)),INDEX('Cash schedule'!$BK$6:$BK$185,(MATCH($B$5,'Cases'!$A$6:$A$10,0)-1)*36+11),"")</f>
        <v/>
      </c>
      <c r="O80" s="137">
        <f>IF(ISNUMBER(INDEX('Cash schedule'!$BK$6:$BK$185,(MATCH($B$5,'Cases'!$A$6:$A$10,0)-1)*36+12)),INDEX('Cash schedule'!$BK$6:$BK$185,(MATCH($B$5,'Cases'!$A$6:$A$10,0)-1)*36+12),"")</f>
        <v/>
      </c>
      <c r="P80" s="137">
        <f>IF(ISNUMBER(INDEX('Cash schedule'!$BK$6:$BK$185,(MATCH($B$5,'Cases'!$A$6:$A$10,0)-1)*36+13)),INDEX('Cash schedule'!$BK$6:$BK$185,(MATCH($B$5,'Cases'!$A$6:$A$10,0)-1)*36+13),"")</f>
        <v/>
      </c>
      <c r="Q80" s="137">
        <f>IF(ISNUMBER(INDEX('Cash schedule'!$BK$6:$BK$185,(MATCH($B$5,'Cases'!$A$6:$A$10,0)-1)*36+14)),INDEX('Cash schedule'!$BK$6:$BK$185,(MATCH($B$5,'Cases'!$A$6:$A$10,0)-1)*36+14),"")</f>
        <v/>
      </c>
      <c r="R80" s="137">
        <f>IF(ISNUMBER(INDEX('Cash schedule'!$BK$6:$BK$185,(MATCH($B$5,'Cases'!$A$6:$A$10,0)-1)*36+15)),INDEX('Cash schedule'!$BK$6:$BK$185,(MATCH($B$5,'Cases'!$A$6:$A$10,0)-1)*36+15),"")</f>
        <v/>
      </c>
      <c r="S80" s="137">
        <f>IF(ISNUMBER(INDEX('Cash schedule'!$BK$6:$BK$185,(MATCH($B$5,'Cases'!$A$6:$A$10,0)-1)*36+16)),INDEX('Cash schedule'!$BK$6:$BK$185,(MATCH($B$5,'Cases'!$A$6:$A$10,0)-1)*36+16),"")</f>
        <v/>
      </c>
      <c r="T80" s="137">
        <f>IF(ISNUMBER(INDEX('Cash schedule'!$BK$6:$BK$185,(MATCH($B$5,'Cases'!$A$6:$A$10,0)-1)*36+17)),INDEX('Cash schedule'!$BK$6:$BK$185,(MATCH($B$5,'Cases'!$A$6:$A$10,0)-1)*36+17),"")</f>
        <v/>
      </c>
      <c r="U80" s="137">
        <f>IF(ISNUMBER(INDEX('Cash schedule'!$BK$6:$BK$185,(MATCH($B$5,'Cases'!$A$6:$A$10,0)-1)*36+18)),INDEX('Cash schedule'!$BK$6:$BK$185,(MATCH($B$5,'Cases'!$A$6:$A$10,0)-1)*36+18),"")</f>
        <v/>
      </c>
      <c r="V80" s="137">
        <f>IF(ISNUMBER(INDEX('Cash schedule'!$BK$6:$BK$185,(MATCH($B$5,'Cases'!$A$6:$A$10,0)-1)*36+19)),INDEX('Cash schedule'!$BK$6:$BK$185,(MATCH($B$5,'Cases'!$A$6:$A$10,0)-1)*36+19),"")</f>
        <v/>
      </c>
      <c r="W80" s="137">
        <f>IF(ISNUMBER(INDEX('Cash schedule'!$BK$6:$BK$185,(MATCH($B$5,'Cases'!$A$6:$A$10,0)-1)*36+20)),INDEX('Cash schedule'!$BK$6:$BK$185,(MATCH($B$5,'Cases'!$A$6:$A$10,0)-1)*36+20),"")</f>
        <v/>
      </c>
      <c r="X80" s="137">
        <f>IF(ISNUMBER(INDEX('Cash schedule'!$BK$6:$BK$185,(MATCH($B$5,'Cases'!$A$6:$A$10,0)-1)*36+21)),INDEX('Cash schedule'!$BK$6:$BK$185,(MATCH($B$5,'Cases'!$A$6:$A$10,0)-1)*36+21),"")</f>
        <v/>
      </c>
      <c r="Y80" s="137">
        <f>IF(ISNUMBER(INDEX('Cash schedule'!$BK$6:$BK$185,(MATCH($B$5,'Cases'!$A$6:$A$10,0)-1)*36+22)),INDEX('Cash schedule'!$BK$6:$BK$185,(MATCH($B$5,'Cases'!$A$6:$A$10,0)-1)*36+22),"")</f>
        <v/>
      </c>
      <c r="Z80" s="137">
        <f>IF(ISNUMBER(INDEX('Cash schedule'!$BK$6:$BK$185,(MATCH($B$5,'Cases'!$A$6:$A$10,0)-1)*36+23)),INDEX('Cash schedule'!$BK$6:$BK$185,(MATCH($B$5,'Cases'!$A$6:$A$10,0)-1)*36+23),"")</f>
        <v/>
      </c>
      <c r="AA80" s="137">
        <f>IF(ISNUMBER(INDEX('Cash schedule'!$BK$6:$BK$185,(MATCH($B$5,'Cases'!$A$6:$A$10,0)-1)*36+24)),INDEX('Cash schedule'!$BK$6:$BK$185,(MATCH($B$5,'Cases'!$A$6:$A$10,0)-1)*36+24),"")</f>
        <v/>
      </c>
      <c r="AB80" s="137">
        <f>IF(ISNUMBER(INDEX('Cash schedule'!$BK$6:$BK$185,(MATCH($B$5,'Cases'!$A$6:$A$10,0)-1)*36+25)),INDEX('Cash schedule'!$BK$6:$BK$185,(MATCH($B$5,'Cases'!$A$6:$A$10,0)-1)*36+25),"")</f>
        <v/>
      </c>
      <c r="AC80" s="137">
        <f>IF(ISNUMBER(INDEX('Cash schedule'!$BK$6:$BK$185,(MATCH($B$5,'Cases'!$A$6:$A$10,0)-1)*36+26)),INDEX('Cash schedule'!$BK$6:$BK$185,(MATCH($B$5,'Cases'!$A$6:$A$10,0)-1)*36+26),"")</f>
        <v/>
      </c>
      <c r="AD80" s="137">
        <f>IF(ISNUMBER(INDEX('Cash schedule'!$BK$6:$BK$185,(MATCH($B$5,'Cases'!$A$6:$A$10,0)-1)*36+27)),INDEX('Cash schedule'!$BK$6:$BK$185,(MATCH($B$5,'Cases'!$A$6:$A$10,0)-1)*36+27),"")</f>
        <v/>
      </c>
      <c r="AE80" s="137">
        <f>IF(ISNUMBER(INDEX('Cash schedule'!$BK$6:$BK$185,(MATCH($B$5,'Cases'!$A$6:$A$10,0)-1)*36+28)),INDEX('Cash schedule'!$BK$6:$BK$185,(MATCH($B$5,'Cases'!$A$6:$A$10,0)-1)*36+28),"")</f>
        <v/>
      </c>
      <c r="AF80" s="137">
        <f>IF(ISNUMBER(INDEX('Cash schedule'!$BK$6:$BK$185,(MATCH($B$5,'Cases'!$A$6:$A$10,0)-1)*36+29)),INDEX('Cash schedule'!$BK$6:$BK$185,(MATCH($B$5,'Cases'!$A$6:$A$10,0)-1)*36+29),"")</f>
        <v/>
      </c>
      <c r="AG80" s="137">
        <f>IF(ISNUMBER(INDEX('Cash schedule'!$BK$6:$BK$185,(MATCH($B$5,'Cases'!$A$6:$A$10,0)-1)*36+30)),INDEX('Cash schedule'!$BK$6:$BK$185,(MATCH($B$5,'Cases'!$A$6:$A$10,0)-1)*36+30),"")</f>
        <v/>
      </c>
      <c r="AH80" s="137">
        <f>IF(ISNUMBER(INDEX('Cash schedule'!$BK$6:$BK$185,(MATCH($B$5,'Cases'!$A$6:$A$10,0)-1)*36+31)),INDEX('Cash schedule'!$BK$6:$BK$185,(MATCH($B$5,'Cases'!$A$6:$A$10,0)-1)*36+31),"")</f>
        <v/>
      </c>
      <c r="AI80" s="137">
        <f>IF(ISNUMBER(INDEX('Cash schedule'!$BK$6:$BK$185,(MATCH($B$5,'Cases'!$A$6:$A$10,0)-1)*36+32)),INDEX('Cash schedule'!$BK$6:$BK$185,(MATCH($B$5,'Cases'!$A$6:$A$10,0)-1)*36+32),"")</f>
        <v/>
      </c>
      <c r="AJ80" s="137">
        <f>IF(ISNUMBER(INDEX('Cash schedule'!$BK$6:$BK$185,(MATCH($B$5,'Cases'!$A$6:$A$10,0)-1)*36+33)),INDEX('Cash schedule'!$BK$6:$BK$185,(MATCH($B$5,'Cases'!$A$6:$A$10,0)-1)*36+33),"")</f>
        <v/>
      </c>
      <c r="AK80" s="137">
        <f>IF(ISNUMBER(INDEX('Cash schedule'!$BK$6:$BK$185,(MATCH($B$5,'Cases'!$A$6:$A$10,0)-1)*36+34)),INDEX('Cash schedule'!$BK$6:$BK$185,(MATCH($B$5,'Cases'!$A$6:$A$10,0)-1)*36+34),"")</f>
        <v/>
      </c>
      <c r="AL80" s="137">
        <f>IF(ISNUMBER(INDEX('Cash schedule'!$BK$6:$BK$185,(MATCH($B$5,'Cases'!$A$6:$A$10,0)-1)*36+35)),INDEX('Cash schedule'!$BK$6:$BK$185,(MATCH($B$5,'Cases'!$A$6:$A$10,0)-1)*36+35),"")</f>
        <v/>
      </c>
      <c r="AM80" s="137">
        <f>IF(ISNUMBER(INDEX('Cash schedule'!$BK$6:$BK$185,(MATCH($B$5,'Cases'!$A$6:$A$10,0)-1)*36+36)),INDEX('Cash schedule'!$BK$6:$BK$185,(MATCH($B$5,'Cases'!$A$6:$A$10,0)-1)*36+36),"")</f>
        <v/>
      </c>
    </row>
    <row r="81" ht="28" customHeight="1">
      <c r="A81" s="4" t="inlineStr">
        <is>
          <t>Cash difference</t>
        </is>
      </c>
      <c r="B81" s="4" t="n"/>
      <c r="C81" s="4" t="n"/>
      <c r="D81" s="137">
        <f>IF(ISNUMBER(INDEX('Cash schedule'!$BO$6:$BO$185,(MATCH($B$5,'Cases'!$A$6:$A$10,0)-1)*36+1)),INDEX('Cash schedule'!$BO$6:$BO$185,(MATCH($B$5,'Cases'!$A$6:$A$10,0)-1)*36+1),"")</f>
        <v/>
      </c>
      <c r="E81" s="137">
        <f>IF(ISNUMBER(INDEX('Cash schedule'!$BO$6:$BO$185,(MATCH($B$5,'Cases'!$A$6:$A$10,0)-1)*36+2)),INDEX('Cash schedule'!$BO$6:$BO$185,(MATCH($B$5,'Cases'!$A$6:$A$10,0)-1)*36+2),"")</f>
        <v/>
      </c>
      <c r="F81" s="137">
        <f>IF(ISNUMBER(INDEX('Cash schedule'!$BO$6:$BO$185,(MATCH($B$5,'Cases'!$A$6:$A$10,0)-1)*36+3)),INDEX('Cash schedule'!$BO$6:$BO$185,(MATCH($B$5,'Cases'!$A$6:$A$10,0)-1)*36+3),"")</f>
        <v/>
      </c>
      <c r="G81" s="137">
        <f>IF(ISNUMBER(INDEX('Cash schedule'!$BO$6:$BO$185,(MATCH($B$5,'Cases'!$A$6:$A$10,0)-1)*36+4)),INDEX('Cash schedule'!$BO$6:$BO$185,(MATCH($B$5,'Cases'!$A$6:$A$10,0)-1)*36+4),"")</f>
        <v/>
      </c>
      <c r="H81" s="137">
        <f>IF(ISNUMBER(INDEX('Cash schedule'!$BO$6:$BO$185,(MATCH($B$5,'Cases'!$A$6:$A$10,0)-1)*36+5)),INDEX('Cash schedule'!$BO$6:$BO$185,(MATCH($B$5,'Cases'!$A$6:$A$10,0)-1)*36+5),"")</f>
        <v/>
      </c>
      <c r="I81" s="137">
        <f>IF(ISNUMBER(INDEX('Cash schedule'!$BO$6:$BO$185,(MATCH($B$5,'Cases'!$A$6:$A$10,0)-1)*36+6)),INDEX('Cash schedule'!$BO$6:$BO$185,(MATCH($B$5,'Cases'!$A$6:$A$10,0)-1)*36+6),"")</f>
        <v/>
      </c>
      <c r="J81" s="137">
        <f>IF(ISNUMBER(INDEX('Cash schedule'!$BO$6:$BO$185,(MATCH($B$5,'Cases'!$A$6:$A$10,0)-1)*36+7)),INDEX('Cash schedule'!$BO$6:$BO$185,(MATCH($B$5,'Cases'!$A$6:$A$10,0)-1)*36+7),"")</f>
        <v/>
      </c>
      <c r="K81" s="137">
        <f>IF(ISNUMBER(INDEX('Cash schedule'!$BO$6:$BO$185,(MATCH($B$5,'Cases'!$A$6:$A$10,0)-1)*36+8)),INDEX('Cash schedule'!$BO$6:$BO$185,(MATCH($B$5,'Cases'!$A$6:$A$10,0)-1)*36+8),"")</f>
        <v/>
      </c>
      <c r="L81" s="137">
        <f>IF(ISNUMBER(INDEX('Cash schedule'!$BO$6:$BO$185,(MATCH($B$5,'Cases'!$A$6:$A$10,0)-1)*36+9)),INDEX('Cash schedule'!$BO$6:$BO$185,(MATCH($B$5,'Cases'!$A$6:$A$10,0)-1)*36+9),"")</f>
        <v/>
      </c>
      <c r="M81" s="137">
        <f>IF(ISNUMBER(INDEX('Cash schedule'!$BO$6:$BO$185,(MATCH($B$5,'Cases'!$A$6:$A$10,0)-1)*36+10)),INDEX('Cash schedule'!$BO$6:$BO$185,(MATCH($B$5,'Cases'!$A$6:$A$10,0)-1)*36+10),"")</f>
        <v/>
      </c>
      <c r="N81" s="137">
        <f>IF(ISNUMBER(INDEX('Cash schedule'!$BO$6:$BO$185,(MATCH($B$5,'Cases'!$A$6:$A$10,0)-1)*36+11)),INDEX('Cash schedule'!$BO$6:$BO$185,(MATCH($B$5,'Cases'!$A$6:$A$10,0)-1)*36+11),"")</f>
        <v/>
      </c>
      <c r="O81" s="137">
        <f>IF(ISNUMBER(INDEX('Cash schedule'!$BO$6:$BO$185,(MATCH($B$5,'Cases'!$A$6:$A$10,0)-1)*36+12)),INDEX('Cash schedule'!$BO$6:$BO$185,(MATCH($B$5,'Cases'!$A$6:$A$10,0)-1)*36+12),"")</f>
        <v/>
      </c>
      <c r="P81" s="137">
        <f>IF(ISNUMBER(INDEX('Cash schedule'!$BO$6:$BO$185,(MATCH($B$5,'Cases'!$A$6:$A$10,0)-1)*36+13)),INDEX('Cash schedule'!$BO$6:$BO$185,(MATCH($B$5,'Cases'!$A$6:$A$10,0)-1)*36+13),"")</f>
        <v/>
      </c>
      <c r="Q81" s="137">
        <f>IF(ISNUMBER(INDEX('Cash schedule'!$BO$6:$BO$185,(MATCH($B$5,'Cases'!$A$6:$A$10,0)-1)*36+14)),INDEX('Cash schedule'!$BO$6:$BO$185,(MATCH($B$5,'Cases'!$A$6:$A$10,0)-1)*36+14),"")</f>
        <v/>
      </c>
      <c r="R81" s="137">
        <f>IF(ISNUMBER(INDEX('Cash schedule'!$BO$6:$BO$185,(MATCH($B$5,'Cases'!$A$6:$A$10,0)-1)*36+15)),INDEX('Cash schedule'!$BO$6:$BO$185,(MATCH($B$5,'Cases'!$A$6:$A$10,0)-1)*36+15),"")</f>
        <v/>
      </c>
      <c r="S81" s="137">
        <f>IF(ISNUMBER(INDEX('Cash schedule'!$BO$6:$BO$185,(MATCH($B$5,'Cases'!$A$6:$A$10,0)-1)*36+16)),INDEX('Cash schedule'!$BO$6:$BO$185,(MATCH($B$5,'Cases'!$A$6:$A$10,0)-1)*36+16),"")</f>
        <v/>
      </c>
      <c r="T81" s="137">
        <f>IF(ISNUMBER(INDEX('Cash schedule'!$BO$6:$BO$185,(MATCH($B$5,'Cases'!$A$6:$A$10,0)-1)*36+17)),INDEX('Cash schedule'!$BO$6:$BO$185,(MATCH($B$5,'Cases'!$A$6:$A$10,0)-1)*36+17),"")</f>
        <v/>
      </c>
      <c r="U81" s="137">
        <f>IF(ISNUMBER(INDEX('Cash schedule'!$BO$6:$BO$185,(MATCH($B$5,'Cases'!$A$6:$A$10,0)-1)*36+18)),INDEX('Cash schedule'!$BO$6:$BO$185,(MATCH($B$5,'Cases'!$A$6:$A$10,0)-1)*36+18),"")</f>
        <v/>
      </c>
      <c r="V81" s="137">
        <f>IF(ISNUMBER(INDEX('Cash schedule'!$BO$6:$BO$185,(MATCH($B$5,'Cases'!$A$6:$A$10,0)-1)*36+19)),INDEX('Cash schedule'!$BO$6:$BO$185,(MATCH($B$5,'Cases'!$A$6:$A$10,0)-1)*36+19),"")</f>
        <v/>
      </c>
      <c r="W81" s="137">
        <f>IF(ISNUMBER(INDEX('Cash schedule'!$BO$6:$BO$185,(MATCH($B$5,'Cases'!$A$6:$A$10,0)-1)*36+20)),INDEX('Cash schedule'!$BO$6:$BO$185,(MATCH($B$5,'Cases'!$A$6:$A$10,0)-1)*36+20),"")</f>
        <v/>
      </c>
      <c r="X81" s="137">
        <f>IF(ISNUMBER(INDEX('Cash schedule'!$BO$6:$BO$185,(MATCH($B$5,'Cases'!$A$6:$A$10,0)-1)*36+21)),INDEX('Cash schedule'!$BO$6:$BO$185,(MATCH($B$5,'Cases'!$A$6:$A$10,0)-1)*36+21),"")</f>
        <v/>
      </c>
      <c r="Y81" s="137">
        <f>IF(ISNUMBER(INDEX('Cash schedule'!$BO$6:$BO$185,(MATCH($B$5,'Cases'!$A$6:$A$10,0)-1)*36+22)),INDEX('Cash schedule'!$BO$6:$BO$185,(MATCH($B$5,'Cases'!$A$6:$A$10,0)-1)*36+22),"")</f>
        <v/>
      </c>
      <c r="Z81" s="137">
        <f>IF(ISNUMBER(INDEX('Cash schedule'!$BO$6:$BO$185,(MATCH($B$5,'Cases'!$A$6:$A$10,0)-1)*36+23)),INDEX('Cash schedule'!$BO$6:$BO$185,(MATCH($B$5,'Cases'!$A$6:$A$10,0)-1)*36+23),"")</f>
        <v/>
      </c>
      <c r="AA81" s="137">
        <f>IF(ISNUMBER(INDEX('Cash schedule'!$BO$6:$BO$185,(MATCH($B$5,'Cases'!$A$6:$A$10,0)-1)*36+24)),INDEX('Cash schedule'!$BO$6:$BO$185,(MATCH($B$5,'Cases'!$A$6:$A$10,0)-1)*36+24),"")</f>
        <v/>
      </c>
      <c r="AB81" s="137">
        <f>IF(ISNUMBER(INDEX('Cash schedule'!$BO$6:$BO$185,(MATCH($B$5,'Cases'!$A$6:$A$10,0)-1)*36+25)),INDEX('Cash schedule'!$BO$6:$BO$185,(MATCH($B$5,'Cases'!$A$6:$A$10,0)-1)*36+25),"")</f>
        <v/>
      </c>
      <c r="AC81" s="137">
        <f>IF(ISNUMBER(INDEX('Cash schedule'!$BO$6:$BO$185,(MATCH($B$5,'Cases'!$A$6:$A$10,0)-1)*36+26)),INDEX('Cash schedule'!$BO$6:$BO$185,(MATCH($B$5,'Cases'!$A$6:$A$10,0)-1)*36+26),"")</f>
        <v/>
      </c>
      <c r="AD81" s="137">
        <f>IF(ISNUMBER(INDEX('Cash schedule'!$BO$6:$BO$185,(MATCH($B$5,'Cases'!$A$6:$A$10,0)-1)*36+27)),INDEX('Cash schedule'!$BO$6:$BO$185,(MATCH($B$5,'Cases'!$A$6:$A$10,0)-1)*36+27),"")</f>
        <v/>
      </c>
      <c r="AE81" s="137">
        <f>IF(ISNUMBER(INDEX('Cash schedule'!$BO$6:$BO$185,(MATCH($B$5,'Cases'!$A$6:$A$10,0)-1)*36+28)),INDEX('Cash schedule'!$BO$6:$BO$185,(MATCH($B$5,'Cases'!$A$6:$A$10,0)-1)*36+28),"")</f>
        <v/>
      </c>
      <c r="AF81" s="137">
        <f>IF(ISNUMBER(INDEX('Cash schedule'!$BO$6:$BO$185,(MATCH($B$5,'Cases'!$A$6:$A$10,0)-1)*36+29)),INDEX('Cash schedule'!$BO$6:$BO$185,(MATCH($B$5,'Cases'!$A$6:$A$10,0)-1)*36+29),"")</f>
        <v/>
      </c>
      <c r="AG81" s="137">
        <f>IF(ISNUMBER(INDEX('Cash schedule'!$BO$6:$BO$185,(MATCH($B$5,'Cases'!$A$6:$A$10,0)-1)*36+30)),INDEX('Cash schedule'!$BO$6:$BO$185,(MATCH($B$5,'Cases'!$A$6:$A$10,0)-1)*36+30),"")</f>
        <v/>
      </c>
      <c r="AH81" s="137">
        <f>IF(ISNUMBER(INDEX('Cash schedule'!$BO$6:$BO$185,(MATCH($B$5,'Cases'!$A$6:$A$10,0)-1)*36+31)),INDEX('Cash schedule'!$BO$6:$BO$185,(MATCH($B$5,'Cases'!$A$6:$A$10,0)-1)*36+31),"")</f>
        <v/>
      </c>
      <c r="AI81" s="137">
        <f>IF(ISNUMBER(INDEX('Cash schedule'!$BO$6:$BO$185,(MATCH($B$5,'Cases'!$A$6:$A$10,0)-1)*36+32)),INDEX('Cash schedule'!$BO$6:$BO$185,(MATCH($B$5,'Cases'!$A$6:$A$10,0)-1)*36+32),"")</f>
        <v/>
      </c>
      <c r="AJ81" s="137">
        <f>IF(ISNUMBER(INDEX('Cash schedule'!$BO$6:$BO$185,(MATCH($B$5,'Cases'!$A$6:$A$10,0)-1)*36+33)),INDEX('Cash schedule'!$BO$6:$BO$185,(MATCH($B$5,'Cases'!$A$6:$A$10,0)-1)*36+33),"")</f>
        <v/>
      </c>
      <c r="AK81" s="137">
        <f>IF(ISNUMBER(INDEX('Cash schedule'!$BO$6:$BO$185,(MATCH($B$5,'Cases'!$A$6:$A$10,0)-1)*36+34)),INDEX('Cash schedule'!$BO$6:$BO$185,(MATCH($B$5,'Cases'!$A$6:$A$10,0)-1)*36+34),"")</f>
        <v/>
      </c>
      <c r="AL81" s="137">
        <f>IF(ISNUMBER(INDEX('Cash schedule'!$BO$6:$BO$185,(MATCH($B$5,'Cases'!$A$6:$A$10,0)-1)*36+35)),INDEX('Cash schedule'!$BO$6:$BO$185,(MATCH($B$5,'Cases'!$A$6:$A$10,0)-1)*36+35),"")</f>
        <v/>
      </c>
      <c r="AM81" s="137">
        <f>IF(ISNUMBER(INDEX('Cash schedule'!$BO$6:$BO$185,(MATCH($B$5,'Cases'!$A$6:$A$10,0)-1)*36+36)),INDEX('Cash schedule'!$BO$6:$BO$185,(MATCH($B$5,'Cases'!$A$6:$A$10,0)-1)*36+36),"")</f>
        <v/>
      </c>
    </row>
    <row r="82" ht="28" customHeight="1">
      <c r="A82" s="4" t="inlineStr">
        <is>
          <t>Debt difference</t>
        </is>
      </c>
      <c r="B82" s="4" t="n"/>
      <c r="C82" s="4" t="n"/>
      <c r="D82" s="137">
        <f>IF(ISNUMBER(INDEX('Cash schedule'!$BI$6:$BI$185,(MATCH($B$5,'Cases'!$A$6:$A$10,0)-1)*36+1)),INDEX('Cash schedule'!$BI$6:$BI$185,(MATCH($B$5,'Cases'!$A$6:$A$10,0)-1)*36+1),"")</f>
        <v/>
      </c>
      <c r="E82" s="137">
        <f>IF(ISNUMBER(INDEX('Cash schedule'!$BI$6:$BI$185,(MATCH($B$5,'Cases'!$A$6:$A$10,0)-1)*36+2)),INDEX('Cash schedule'!$BI$6:$BI$185,(MATCH($B$5,'Cases'!$A$6:$A$10,0)-1)*36+2),"")</f>
        <v/>
      </c>
      <c r="F82" s="137">
        <f>IF(ISNUMBER(INDEX('Cash schedule'!$BI$6:$BI$185,(MATCH($B$5,'Cases'!$A$6:$A$10,0)-1)*36+3)),INDEX('Cash schedule'!$BI$6:$BI$185,(MATCH($B$5,'Cases'!$A$6:$A$10,0)-1)*36+3),"")</f>
        <v/>
      </c>
      <c r="G82" s="137">
        <f>IF(ISNUMBER(INDEX('Cash schedule'!$BI$6:$BI$185,(MATCH($B$5,'Cases'!$A$6:$A$10,0)-1)*36+4)),INDEX('Cash schedule'!$BI$6:$BI$185,(MATCH($B$5,'Cases'!$A$6:$A$10,0)-1)*36+4),"")</f>
        <v/>
      </c>
      <c r="H82" s="137">
        <f>IF(ISNUMBER(INDEX('Cash schedule'!$BI$6:$BI$185,(MATCH($B$5,'Cases'!$A$6:$A$10,0)-1)*36+5)),INDEX('Cash schedule'!$BI$6:$BI$185,(MATCH($B$5,'Cases'!$A$6:$A$10,0)-1)*36+5),"")</f>
        <v/>
      </c>
      <c r="I82" s="137">
        <f>IF(ISNUMBER(INDEX('Cash schedule'!$BI$6:$BI$185,(MATCH($B$5,'Cases'!$A$6:$A$10,0)-1)*36+6)),INDEX('Cash schedule'!$BI$6:$BI$185,(MATCH($B$5,'Cases'!$A$6:$A$10,0)-1)*36+6),"")</f>
        <v/>
      </c>
      <c r="J82" s="137">
        <f>IF(ISNUMBER(INDEX('Cash schedule'!$BI$6:$BI$185,(MATCH($B$5,'Cases'!$A$6:$A$10,0)-1)*36+7)),INDEX('Cash schedule'!$BI$6:$BI$185,(MATCH($B$5,'Cases'!$A$6:$A$10,0)-1)*36+7),"")</f>
        <v/>
      </c>
      <c r="K82" s="137">
        <f>IF(ISNUMBER(INDEX('Cash schedule'!$BI$6:$BI$185,(MATCH($B$5,'Cases'!$A$6:$A$10,0)-1)*36+8)),INDEX('Cash schedule'!$BI$6:$BI$185,(MATCH($B$5,'Cases'!$A$6:$A$10,0)-1)*36+8),"")</f>
        <v/>
      </c>
      <c r="L82" s="137">
        <f>IF(ISNUMBER(INDEX('Cash schedule'!$BI$6:$BI$185,(MATCH($B$5,'Cases'!$A$6:$A$10,0)-1)*36+9)),INDEX('Cash schedule'!$BI$6:$BI$185,(MATCH($B$5,'Cases'!$A$6:$A$10,0)-1)*36+9),"")</f>
        <v/>
      </c>
      <c r="M82" s="137">
        <f>IF(ISNUMBER(INDEX('Cash schedule'!$BI$6:$BI$185,(MATCH($B$5,'Cases'!$A$6:$A$10,0)-1)*36+10)),INDEX('Cash schedule'!$BI$6:$BI$185,(MATCH($B$5,'Cases'!$A$6:$A$10,0)-1)*36+10),"")</f>
        <v/>
      </c>
      <c r="N82" s="137">
        <f>IF(ISNUMBER(INDEX('Cash schedule'!$BI$6:$BI$185,(MATCH($B$5,'Cases'!$A$6:$A$10,0)-1)*36+11)),INDEX('Cash schedule'!$BI$6:$BI$185,(MATCH($B$5,'Cases'!$A$6:$A$10,0)-1)*36+11),"")</f>
        <v/>
      </c>
      <c r="O82" s="137">
        <f>IF(ISNUMBER(INDEX('Cash schedule'!$BI$6:$BI$185,(MATCH($B$5,'Cases'!$A$6:$A$10,0)-1)*36+12)),INDEX('Cash schedule'!$BI$6:$BI$185,(MATCH($B$5,'Cases'!$A$6:$A$10,0)-1)*36+12),"")</f>
        <v/>
      </c>
      <c r="P82" s="137">
        <f>IF(ISNUMBER(INDEX('Cash schedule'!$BI$6:$BI$185,(MATCH($B$5,'Cases'!$A$6:$A$10,0)-1)*36+13)),INDEX('Cash schedule'!$BI$6:$BI$185,(MATCH($B$5,'Cases'!$A$6:$A$10,0)-1)*36+13),"")</f>
        <v/>
      </c>
      <c r="Q82" s="137">
        <f>IF(ISNUMBER(INDEX('Cash schedule'!$BI$6:$BI$185,(MATCH($B$5,'Cases'!$A$6:$A$10,0)-1)*36+14)),INDEX('Cash schedule'!$BI$6:$BI$185,(MATCH($B$5,'Cases'!$A$6:$A$10,0)-1)*36+14),"")</f>
        <v/>
      </c>
      <c r="R82" s="137">
        <f>IF(ISNUMBER(INDEX('Cash schedule'!$BI$6:$BI$185,(MATCH($B$5,'Cases'!$A$6:$A$10,0)-1)*36+15)),INDEX('Cash schedule'!$BI$6:$BI$185,(MATCH($B$5,'Cases'!$A$6:$A$10,0)-1)*36+15),"")</f>
        <v/>
      </c>
      <c r="S82" s="137">
        <f>IF(ISNUMBER(INDEX('Cash schedule'!$BI$6:$BI$185,(MATCH($B$5,'Cases'!$A$6:$A$10,0)-1)*36+16)),INDEX('Cash schedule'!$BI$6:$BI$185,(MATCH($B$5,'Cases'!$A$6:$A$10,0)-1)*36+16),"")</f>
        <v/>
      </c>
      <c r="T82" s="137">
        <f>IF(ISNUMBER(INDEX('Cash schedule'!$BI$6:$BI$185,(MATCH($B$5,'Cases'!$A$6:$A$10,0)-1)*36+17)),INDEX('Cash schedule'!$BI$6:$BI$185,(MATCH($B$5,'Cases'!$A$6:$A$10,0)-1)*36+17),"")</f>
        <v/>
      </c>
      <c r="U82" s="137">
        <f>IF(ISNUMBER(INDEX('Cash schedule'!$BI$6:$BI$185,(MATCH($B$5,'Cases'!$A$6:$A$10,0)-1)*36+18)),INDEX('Cash schedule'!$BI$6:$BI$185,(MATCH($B$5,'Cases'!$A$6:$A$10,0)-1)*36+18),"")</f>
        <v/>
      </c>
      <c r="V82" s="137">
        <f>IF(ISNUMBER(INDEX('Cash schedule'!$BI$6:$BI$185,(MATCH($B$5,'Cases'!$A$6:$A$10,0)-1)*36+19)),INDEX('Cash schedule'!$BI$6:$BI$185,(MATCH($B$5,'Cases'!$A$6:$A$10,0)-1)*36+19),"")</f>
        <v/>
      </c>
      <c r="W82" s="137">
        <f>IF(ISNUMBER(INDEX('Cash schedule'!$BI$6:$BI$185,(MATCH($B$5,'Cases'!$A$6:$A$10,0)-1)*36+20)),INDEX('Cash schedule'!$BI$6:$BI$185,(MATCH($B$5,'Cases'!$A$6:$A$10,0)-1)*36+20),"")</f>
        <v/>
      </c>
      <c r="X82" s="137">
        <f>IF(ISNUMBER(INDEX('Cash schedule'!$BI$6:$BI$185,(MATCH($B$5,'Cases'!$A$6:$A$10,0)-1)*36+21)),INDEX('Cash schedule'!$BI$6:$BI$185,(MATCH($B$5,'Cases'!$A$6:$A$10,0)-1)*36+21),"")</f>
        <v/>
      </c>
      <c r="Y82" s="137">
        <f>IF(ISNUMBER(INDEX('Cash schedule'!$BI$6:$BI$185,(MATCH($B$5,'Cases'!$A$6:$A$10,0)-1)*36+22)),INDEX('Cash schedule'!$BI$6:$BI$185,(MATCH($B$5,'Cases'!$A$6:$A$10,0)-1)*36+22),"")</f>
        <v/>
      </c>
      <c r="Z82" s="137">
        <f>IF(ISNUMBER(INDEX('Cash schedule'!$BI$6:$BI$185,(MATCH($B$5,'Cases'!$A$6:$A$10,0)-1)*36+23)),INDEX('Cash schedule'!$BI$6:$BI$185,(MATCH($B$5,'Cases'!$A$6:$A$10,0)-1)*36+23),"")</f>
        <v/>
      </c>
      <c r="AA82" s="137">
        <f>IF(ISNUMBER(INDEX('Cash schedule'!$BI$6:$BI$185,(MATCH($B$5,'Cases'!$A$6:$A$10,0)-1)*36+24)),INDEX('Cash schedule'!$BI$6:$BI$185,(MATCH($B$5,'Cases'!$A$6:$A$10,0)-1)*36+24),"")</f>
        <v/>
      </c>
      <c r="AB82" s="137">
        <f>IF(ISNUMBER(INDEX('Cash schedule'!$BI$6:$BI$185,(MATCH($B$5,'Cases'!$A$6:$A$10,0)-1)*36+25)),INDEX('Cash schedule'!$BI$6:$BI$185,(MATCH($B$5,'Cases'!$A$6:$A$10,0)-1)*36+25),"")</f>
        <v/>
      </c>
      <c r="AC82" s="137">
        <f>IF(ISNUMBER(INDEX('Cash schedule'!$BI$6:$BI$185,(MATCH($B$5,'Cases'!$A$6:$A$10,0)-1)*36+26)),INDEX('Cash schedule'!$BI$6:$BI$185,(MATCH($B$5,'Cases'!$A$6:$A$10,0)-1)*36+26),"")</f>
        <v/>
      </c>
      <c r="AD82" s="137">
        <f>IF(ISNUMBER(INDEX('Cash schedule'!$BI$6:$BI$185,(MATCH($B$5,'Cases'!$A$6:$A$10,0)-1)*36+27)),INDEX('Cash schedule'!$BI$6:$BI$185,(MATCH($B$5,'Cases'!$A$6:$A$10,0)-1)*36+27),"")</f>
        <v/>
      </c>
      <c r="AE82" s="137">
        <f>IF(ISNUMBER(INDEX('Cash schedule'!$BI$6:$BI$185,(MATCH($B$5,'Cases'!$A$6:$A$10,0)-1)*36+28)),INDEX('Cash schedule'!$BI$6:$BI$185,(MATCH($B$5,'Cases'!$A$6:$A$10,0)-1)*36+28),"")</f>
        <v/>
      </c>
      <c r="AF82" s="137">
        <f>IF(ISNUMBER(INDEX('Cash schedule'!$BI$6:$BI$185,(MATCH($B$5,'Cases'!$A$6:$A$10,0)-1)*36+29)),INDEX('Cash schedule'!$BI$6:$BI$185,(MATCH($B$5,'Cases'!$A$6:$A$10,0)-1)*36+29),"")</f>
        <v/>
      </c>
      <c r="AG82" s="137">
        <f>IF(ISNUMBER(INDEX('Cash schedule'!$BI$6:$BI$185,(MATCH($B$5,'Cases'!$A$6:$A$10,0)-1)*36+30)),INDEX('Cash schedule'!$BI$6:$BI$185,(MATCH($B$5,'Cases'!$A$6:$A$10,0)-1)*36+30),"")</f>
        <v/>
      </c>
      <c r="AH82" s="137">
        <f>IF(ISNUMBER(INDEX('Cash schedule'!$BI$6:$BI$185,(MATCH($B$5,'Cases'!$A$6:$A$10,0)-1)*36+31)),INDEX('Cash schedule'!$BI$6:$BI$185,(MATCH($B$5,'Cases'!$A$6:$A$10,0)-1)*36+31),"")</f>
        <v/>
      </c>
      <c r="AI82" s="137">
        <f>IF(ISNUMBER(INDEX('Cash schedule'!$BI$6:$BI$185,(MATCH($B$5,'Cases'!$A$6:$A$10,0)-1)*36+32)),INDEX('Cash schedule'!$BI$6:$BI$185,(MATCH($B$5,'Cases'!$A$6:$A$10,0)-1)*36+32),"")</f>
        <v/>
      </c>
      <c r="AJ82" s="137">
        <f>IF(ISNUMBER(INDEX('Cash schedule'!$BI$6:$BI$185,(MATCH($B$5,'Cases'!$A$6:$A$10,0)-1)*36+33)),INDEX('Cash schedule'!$BI$6:$BI$185,(MATCH($B$5,'Cases'!$A$6:$A$10,0)-1)*36+33),"")</f>
        <v/>
      </c>
      <c r="AK82" s="137">
        <f>IF(ISNUMBER(INDEX('Cash schedule'!$BI$6:$BI$185,(MATCH($B$5,'Cases'!$A$6:$A$10,0)-1)*36+34)),INDEX('Cash schedule'!$BI$6:$BI$185,(MATCH($B$5,'Cases'!$A$6:$A$10,0)-1)*36+34),"")</f>
        <v/>
      </c>
      <c r="AL82" s="137">
        <f>IF(ISNUMBER(INDEX('Cash schedule'!$BI$6:$BI$185,(MATCH($B$5,'Cases'!$A$6:$A$10,0)-1)*36+35)),INDEX('Cash schedule'!$BI$6:$BI$185,(MATCH($B$5,'Cases'!$A$6:$A$10,0)-1)*36+35),"")</f>
        <v/>
      </c>
      <c r="AM82" s="137">
        <f>IF(ISNUMBER(INDEX('Cash schedule'!$BI$6:$BI$185,(MATCH($B$5,'Cases'!$A$6:$A$10,0)-1)*36+36)),INDEX('Cash schedule'!$BI$6:$BI$185,(MATCH($B$5,'Cases'!$A$6:$A$10,0)-1)*36+36),"")</f>
        <v/>
      </c>
    </row>
    <row r="83" ht="28"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row>
    <row r="84" ht="28"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row>
    <row r="85" ht="28" customHeight="1">
      <c r="A85" s="4" t="inlineStr">
        <is>
          <t>Community spending</t>
        </is>
      </c>
      <c r="B85" s="4" t="n"/>
      <c r="C85" s="4" t="n"/>
      <c r="D85" s="4">
        <f>INDEX('Cash schedule'!$BW$6:$BW$185,(MATCH($B$5,'Cases'!$A$6:$A$10,0)-1)*36+1)</f>
        <v/>
      </c>
      <c r="E85" s="4">
        <f>INDEX('Cash schedule'!$BW$6:$BW$185,(MATCH($B$5,'Cases'!$A$6:$A$10,0)-1)*36+2)</f>
        <v/>
      </c>
      <c r="F85" s="4">
        <f>INDEX('Cash schedule'!$BW$6:$BW$185,(MATCH($B$5,'Cases'!$A$6:$A$10,0)-1)*36+3)</f>
        <v/>
      </c>
      <c r="G85" s="4">
        <f>INDEX('Cash schedule'!$BW$6:$BW$185,(MATCH($B$5,'Cases'!$A$6:$A$10,0)-1)*36+4)</f>
        <v/>
      </c>
      <c r="H85" s="4">
        <f>INDEX('Cash schedule'!$BW$6:$BW$185,(MATCH($B$5,'Cases'!$A$6:$A$10,0)-1)*36+5)</f>
        <v/>
      </c>
      <c r="I85" s="4">
        <f>INDEX('Cash schedule'!$BW$6:$BW$185,(MATCH($B$5,'Cases'!$A$6:$A$10,0)-1)*36+6)</f>
        <v/>
      </c>
      <c r="J85" s="4">
        <f>INDEX('Cash schedule'!$BW$6:$BW$185,(MATCH($B$5,'Cases'!$A$6:$A$10,0)-1)*36+7)</f>
        <v/>
      </c>
      <c r="K85" s="4">
        <f>INDEX('Cash schedule'!$BW$6:$BW$185,(MATCH($B$5,'Cases'!$A$6:$A$10,0)-1)*36+8)</f>
        <v/>
      </c>
      <c r="L85" s="4">
        <f>INDEX('Cash schedule'!$BW$6:$BW$185,(MATCH($B$5,'Cases'!$A$6:$A$10,0)-1)*36+9)</f>
        <v/>
      </c>
      <c r="M85" s="4">
        <f>INDEX('Cash schedule'!$BW$6:$BW$185,(MATCH($B$5,'Cases'!$A$6:$A$10,0)-1)*36+10)</f>
        <v/>
      </c>
      <c r="N85" s="4">
        <f>INDEX('Cash schedule'!$BW$6:$BW$185,(MATCH($B$5,'Cases'!$A$6:$A$10,0)-1)*36+11)</f>
        <v/>
      </c>
      <c r="O85" s="4">
        <f>INDEX('Cash schedule'!$BW$6:$BW$185,(MATCH($B$5,'Cases'!$A$6:$A$10,0)-1)*36+12)</f>
        <v/>
      </c>
      <c r="P85" s="4">
        <f>INDEX('Cash schedule'!$BW$6:$BW$185,(MATCH($B$5,'Cases'!$A$6:$A$10,0)-1)*36+13)</f>
        <v/>
      </c>
      <c r="Q85" s="4">
        <f>INDEX('Cash schedule'!$BW$6:$BW$185,(MATCH($B$5,'Cases'!$A$6:$A$10,0)-1)*36+14)</f>
        <v/>
      </c>
      <c r="R85" s="4">
        <f>INDEX('Cash schedule'!$BW$6:$BW$185,(MATCH($B$5,'Cases'!$A$6:$A$10,0)-1)*36+15)</f>
        <v/>
      </c>
      <c r="S85" s="4">
        <f>INDEX('Cash schedule'!$BW$6:$BW$185,(MATCH($B$5,'Cases'!$A$6:$A$10,0)-1)*36+16)</f>
        <v/>
      </c>
      <c r="T85" s="4">
        <f>INDEX('Cash schedule'!$BW$6:$BW$185,(MATCH($B$5,'Cases'!$A$6:$A$10,0)-1)*36+17)</f>
        <v/>
      </c>
      <c r="U85" s="4">
        <f>INDEX('Cash schedule'!$BW$6:$BW$185,(MATCH($B$5,'Cases'!$A$6:$A$10,0)-1)*36+18)</f>
        <v/>
      </c>
      <c r="V85" s="4">
        <f>INDEX('Cash schedule'!$BW$6:$BW$185,(MATCH($B$5,'Cases'!$A$6:$A$10,0)-1)*36+19)</f>
        <v/>
      </c>
      <c r="W85" s="4">
        <f>INDEX('Cash schedule'!$BW$6:$BW$185,(MATCH($B$5,'Cases'!$A$6:$A$10,0)-1)*36+20)</f>
        <v/>
      </c>
      <c r="X85" s="4">
        <f>INDEX('Cash schedule'!$BW$6:$BW$185,(MATCH($B$5,'Cases'!$A$6:$A$10,0)-1)*36+21)</f>
        <v/>
      </c>
      <c r="Y85" s="4">
        <f>INDEX('Cash schedule'!$BW$6:$BW$185,(MATCH($B$5,'Cases'!$A$6:$A$10,0)-1)*36+22)</f>
        <v/>
      </c>
      <c r="Z85" s="4">
        <f>INDEX('Cash schedule'!$BW$6:$BW$185,(MATCH($B$5,'Cases'!$A$6:$A$10,0)-1)*36+23)</f>
        <v/>
      </c>
      <c r="AA85" s="4">
        <f>INDEX('Cash schedule'!$BW$6:$BW$185,(MATCH($B$5,'Cases'!$A$6:$A$10,0)-1)*36+24)</f>
        <v/>
      </c>
      <c r="AB85" s="4">
        <f>INDEX('Cash schedule'!$BW$6:$BW$185,(MATCH($B$5,'Cases'!$A$6:$A$10,0)-1)*36+25)</f>
        <v/>
      </c>
      <c r="AC85" s="4">
        <f>INDEX('Cash schedule'!$BW$6:$BW$185,(MATCH($B$5,'Cases'!$A$6:$A$10,0)-1)*36+26)</f>
        <v/>
      </c>
      <c r="AD85" s="4">
        <f>INDEX('Cash schedule'!$BW$6:$BW$185,(MATCH($B$5,'Cases'!$A$6:$A$10,0)-1)*36+27)</f>
        <v/>
      </c>
      <c r="AE85" s="4">
        <f>INDEX('Cash schedule'!$BW$6:$BW$185,(MATCH($B$5,'Cases'!$A$6:$A$10,0)-1)*36+28)</f>
        <v/>
      </c>
      <c r="AF85" s="4">
        <f>INDEX('Cash schedule'!$BW$6:$BW$185,(MATCH($B$5,'Cases'!$A$6:$A$10,0)-1)*36+29)</f>
        <v/>
      </c>
      <c r="AG85" s="4">
        <f>INDEX('Cash schedule'!$BW$6:$BW$185,(MATCH($B$5,'Cases'!$A$6:$A$10,0)-1)*36+30)</f>
        <v/>
      </c>
      <c r="AH85" s="4">
        <f>INDEX('Cash schedule'!$BW$6:$BW$185,(MATCH($B$5,'Cases'!$A$6:$A$10,0)-1)*36+31)</f>
        <v/>
      </c>
      <c r="AI85" s="4">
        <f>INDEX('Cash schedule'!$BW$6:$BW$185,(MATCH($B$5,'Cases'!$A$6:$A$10,0)-1)*36+32)</f>
        <v/>
      </c>
      <c r="AJ85" s="4">
        <f>INDEX('Cash schedule'!$BW$6:$BW$185,(MATCH($B$5,'Cases'!$A$6:$A$10,0)-1)*36+33)</f>
        <v/>
      </c>
      <c r="AK85" s="4">
        <f>INDEX('Cash schedule'!$BW$6:$BW$185,(MATCH($B$5,'Cases'!$A$6:$A$10,0)-1)*36+34)</f>
        <v/>
      </c>
      <c r="AL85" s="4">
        <f>INDEX('Cash schedule'!$BW$6:$BW$185,(MATCH($B$5,'Cases'!$A$6:$A$10,0)-1)*36+35)</f>
        <v/>
      </c>
      <c r="AM85" s="4">
        <f>INDEX('Cash schedule'!$BW$6:$BW$185,(MATCH($B$5,'Cases'!$A$6:$A$10,0)-1)*36+36)</f>
        <v/>
      </c>
    </row>
    <row r="86" ht="28" customHeight="1">
      <c r="A86" s="4" t="inlineStr">
        <is>
          <t>Combined spending</t>
        </is>
      </c>
      <c r="B86" s="4" t="n"/>
      <c r="C86" s="4" t="n"/>
      <c r="D86" s="4">
        <f>INDEX('Cash schedule'!$BX$6:$BX$185,(MATCH($B$5,'Cases'!$A$6:$A$10,0)-1)*36+1)</f>
        <v/>
      </c>
      <c r="E86" s="4">
        <f>INDEX('Cash schedule'!$BX$6:$BX$185,(MATCH($B$5,'Cases'!$A$6:$A$10,0)-1)*36+2)</f>
        <v/>
      </c>
      <c r="F86" s="4">
        <f>INDEX('Cash schedule'!$BX$6:$BX$185,(MATCH($B$5,'Cases'!$A$6:$A$10,0)-1)*36+3)</f>
        <v/>
      </c>
      <c r="G86" s="4">
        <f>INDEX('Cash schedule'!$BX$6:$BX$185,(MATCH($B$5,'Cases'!$A$6:$A$10,0)-1)*36+4)</f>
        <v/>
      </c>
      <c r="H86" s="4">
        <f>INDEX('Cash schedule'!$BX$6:$BX$185,(MATCH($B$5,'Cases'!$A$6:$A$10,0)-1)*36+5)</f>
        <v/>
      </c>
      <c r="I86" s="4">
        <f>INDEX('Cash schedule'!$BX$6:$BX$185,(MATCH($B$5,'Cases'!$A$6:$A$10,0)-1)*36+6)</f>
        <v/>
      </c>
      <c r="J86" s="4">
        <f>INDEX('Cash schedule'!$BX$6:$BX$185,(MATCH($B$5,'Cases'!$A$6:$A$10,0)-1)*36+7)</f>
        <v/>
      </c>
      <c r="K86" s="4">
        <f>INDEX('Cash schedule'!$BX$6:$BX$185,(MATCH($B$5,'Cases'!$A$6:$A$10,0)-1)*36+8)</f>
        <v/>
      </c>
      <c r="L86" s="4">
        <f>INDEX('Cash schedule'!$BX$6:$BX$185,(MATCH($B$5,'Cases'!$A$6:$A$10,0)-1)*36+9)</f>
        <v/>
      </c>
      <c r="M86" s="4">
        <f>INDEX('Cash schedule'!$BX$6:$BX$185,(MATCH($B$5,'Cases'!$A$6:$A$10,0)-1)*36+10)</f>
        <v/>
      </c>
      <c r="N86" s="4">
        <f>INDEX('Cash schedule'!$BX$6:$BX$185,(MATCH($B$5,'Cases'!$A$6:$A$10,0)-1)*36+11)</f>
        <v/>
      </c>
      <c r="O86" s="4">
        <f>INDEX('Cash schedule'!$BX$6:$BX$185,(MATCH($B$5,'Cases'!$A$6:$A$10,0)-1)*36+12)</f>
        <v/>
      </c>
      <c r="P86" s="4">
        <f>INDEX('Cash schedule'!$BX$6:$BX$185,(MATCH($B$5,'Cases'!$A$6:$A$10,0)-1)*36+13)</f>
        <v/>
      </c>
      <c r="Q86" s="4">
        <f>INDEX('Cash schedule'!$BX$6:$BX$185,(MATCH($B$5,'Cases'!$A$6:$A$10,0)-1)*36+14)</f>
        <v/>
      </c>
      <c r="R86" s="4">
        <f>INDEX('Cash schedule'!$BX$6:$BX$185,(MATCH($B$5,'Cases'!$A$6:$A$10,0)-1)*36+15)</f>
        <v/>
      </c>
      <c r="S86" s="4">
        <f>INDEX('Cash schedule'!$BX$6:$BX$185,(MATCH($B$5,'Cases'!$A$6:$A$10,0)-1)*36+16)</f>
        <v/>
      </c>
      <c r="T86" s="4">
        <f>INDEX('Cash schedule'!$BX$6:$BX$185,(MATCH($B$5,'Cases'!$A$6:$A$10,0)-1)*36+17)</f>
        <v/>
      </c>
      <c r="U86" s="4">
        <f>INDEX('Cash schedule'!$BX$6:$BX$185,(MATCH($B$5,'Cases'!$A$6:$A$10,0)-1)*36+18)</f>
        <v/>
      </c>
      <c r="V86" s="4">
        <f>INDEX('Cash schedule'!$BX$6:$BX$185,(MATCH($B$5,'Cases'!$A$6:$A$10,0)-1)*36+19)</f>
        <v/>
      </c>
      <c r="W86" s="4">
        <f>INDEX('Cash schedule'!$BX$6:$BX$185,(MATCH($B$5,'Cases'!$A$6:$A$10,0)-1)*36+20)</f>
        <v/>
      </c>
      <c r="X86" s="4">
        <f>INDEX('Cash schedule'!$BX$6:$BX$185,(MATCH($B$5,'Cases'!$A$6:$A$10,0)-1)*36+21)</f>
        <v/>
      </c>
      <c r="Y86" s="4">
        <f>INDEX('Cash schedule'!$BX$6:$BX$185,(MATCH($B$5,'Cases'!$A$6:$A$10,0)-1)*36+22)</f>
        <v/>
      </c>
      <c r="Z86" s="4">
        <f>INDEX('Cash schedule'!$BX$6:$BX$185,(MATCH($B$5,'Cases'!$A$6:$A$10,0)-1)*36+23)</f>
        <v/>
      </c>
      <c r="AA86" s="4">
        <f>INDEX('Cash schedule'!$BX$6:$BX$185,(MATCH($B$5,'Cases'!$A$6:$A$10,0)-1)*36+24)</f>
        <v/>
      </c>
      <c r="AB86" s="4">
        <f>INDEX('Cash schedule'!$BX$6:$BX$185,(MATCH($B$5,'Cases'!$A$6:$A$10,0)-1)*36+25)</f>
        <v/>
      </c>
      <c r="AC86" s="4">
        <f>INDEX('Cash schedule'!$BX$6:$BX$185,(MATCH($B$5,'Cases'!$A$6:$A$10,0)-1)*36+26)</f>
        <v/>
      </c>
      <c r="AD86" s="4">
        <f>INDEX('Cash schedule'!$BX$6:$BX$185,(MATCH($B$5,'Cases'!$A$6:$A$10,0)-1)*36+27)</f>
        <v/>
      </c>
      <c r="AE86" s="4">
        <f>INDEX('Cash schedule'!$BX$6:$BX$185,(MATCH($B$5,'Cases'!$A$6:$A$10,0)-1)*36+28)</f>
        <v/>
      </c>
      <c r="AF86" s="4">
        <f>INDEX('Cash schedule'!$BX$6:$BX$185,(MATCH($B$5,'Cases'!$A$6:$A$10,0)-1)*36+29)</f>
        <v/>
      </c>
      <c r="AG86" s="4">
        <f>INDEX('Cash schedule'!$BX$6:$BX$185,(MATCH($B$5,'Cases'!$A$6:$A$10,0)-1)*36+30)</f>
        <v/>
      </c>
      <c r="AH86" s="4">
        <f>INDEX('Cash schedule'!$BX$6:$BX$185,(MATCH($B$5,'Cases'!$A$6:$A$10,0)-1)*36+31)</f>
        <v/>
      </c>
      <c r="AI86" s="4">
        <f>INDEX('Cash schedule'!$BX$6:$BX$185,(MATCH($B$5,'Cases'!$A$6:$A$10,0)-1)*36+32)</f>
        <v/>
      </c>
      <c r="AJ86" s="4">
        <f>INDEX('Cash schedule'!$BX$6:$BX$185,(MATCH($B$5,'Cases'!$A$6:$A$10,0)-1)*36+33)</f>
        <v/>
      </c>
      <c r="AK86" s="4">
        <f>INDEX('Cash schedule'!$BX$6:$BX$185,(MATCH($B$5,'Cases'!$A$6:$A$10,0)-1)*36+34)</f>
        <v/>
      </c>
      <c r="AL86" s="4">
        <f>INDEX('Cash schedule'!$BX$6:$BX$185,(MATCH($B$5,'Cases'!$A$6:$A$10,0)-1)*36+35)</f>
        <v/>
      </c>
      <c r="AM86" s="4">
        <f>INDEX('Cash schedule'!$BX$6:$BX$185,(MATCH($B$5,'Cases'!$A$6:$A$10,0)-1)*36+36)</f>
        <v/>
      </c>
    </row>
  </sheetData>
  <mergeCells count="2">
    <mergeCell ref="A1:AM1"/>
    <mergeCell ref="A3:AM3"/>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72"/>
  <sheetViews>
    <sheetView showGridLines="0" workbookViewId="0">
      <pane ySplit="5" topLeftCell="A6" activePane="bottomLeft" state="frozen"/>
      <selection activeCell="A1" sqref="A1"/>
    </sheetView>
  </sheetViews>
  <sheetFormatPr baseColWidth="8" defaultRowHeight="15"/>
  <cols>
    <col width="38" customWidth="1" min="1" max="1"/>
    <col width="18" customWidth="1" min="2" max="2"/>
    <col width="18" customWidth="1" min="3" max="3"/>
    <col width="18" customWidth="1" min="4" max="4"/>
    <col width="66" customWidth="1" min="5" max="5"/>
    <col width="18" customWidth="1" min="6" max="6"/>
  </cols>
  <sheetData>
    <row r="1" ht="38" customHeight="1">
      <c r="A1" s="5" t="inlineStr">
        <is>
          <t>Goods forecast statements</t>
        </is>
      </c>
    </row>
    <row r="2" ht="28" customHeight="1">
      <c r="A2" s="4" t="n"/>
      <c r="B2" s="4" t="n"/>
      <c r="C2" s="4" t="n"/>
      <c r="D2" s="4" t="n"/>
      <c r="E2" s="4" t="n"/>
      <c r="F2" s="4" t="n"/>
    </row>
    <row r="3" ht="54" customHeight="1">
      <c r="A3" s="6" t="inlineStr">
        <is>
          <t>Annual roll-up of the selected monthly forecast. This covers Goods activity within Butterfly and is not a replacement for the applicant’s full historical accounts. Blank tax or opening balances withhold affected totals.</t>
        </is>
      </c>
    </row>
    <row r="4" ht="28" customHeight="1">
      <c r="A4" s="4" t="n"/>
      <c r="B4" s="4" t="n"/>
      <c r="C4" s="4" t="n"/>
      <c r="D4" s="4" t="n"/>
      <c r="E4" s="4" t="n"/>
      <c r="F4" s="4" t="n"/>
    </row>
    <row r="5" ht="54" customHeight="1">
      <c r="A5" s="8" t="inlineStr">
        <is>
          <t>Forecast line</t>
        </is>
      </c>
      <c r="B5" s="8" t="inlineStr">
        <is>
          <t>Year 1</t>
        </is>
      </c>
      <c r="C5" s="8" t="inlineStr">
        <is>
          <t>Year 2</t>
        </is>
      </c>
      <c r="D5" s="8" t="inlineStr">
        <is>
          <t>Year 3</t>
        </is>
      </c>
      <c r="E5" s="8" t="inlineStr">
        <is>
          <t>Basis / source</t>
        </is>
      </c>
      <c r="F5" s="8" t="str"/>
    </row>
    <row r="6" ht="34" customHeight="1">
      <c r="A6" s="8" t="inlineStr">
        <is>
          <t>Profit and loss</t>
        </is>
      </c>
      <c r="B6" s="140" t="n"/>
      <c r="C6" s="140" t="n"/>
      <c r="D6" s="140" t="n"/>
      <c r="E6" s="8" t="n"/>
      <c r="F6" s="8" t="n"/>
    </row>
    <row r="7" ht="34" customHeight="1">
      <c r="A7" s="4" t="inlineStr">
        <is>
          <t>Goods invoiced</t>
        </is>
      </c>
      <c r="B7" s="137">
        <f>SUMIFS('Cash schedule'!$AQ$6:$AQ$185,'Cash schedule'!$A$6:$A$185,'Assumptions'!$B$6,'Cash schedule'!$C$6:$C$185,1)</f>
        <v/>
      </c>
      <c r="C7" s="137">
        <f>SUMIFS('Cash schedule'!$AQ$6:$AQ$185,'Cash schedule'!$A$6:$A$185,'Assumptions'!$B$6,'Cash schedule'!$C$6:$C$185,2)</f>
        <v/>
      </c>
      <c r="D7" s="137">
        <f>SUMIFS('Cash schedule'!$AQ$6:$AQ$185,'Cash schedule'!$A$6:$A$185,'Assumptions'!$B$6,'Cash schedule'!$C$6:$C$185,3)</f>
        <v/>
      </c>
      <c r="E7" s="4" t="n"/>
      <c r="F7" s="4" t="n"/>
    </row>
    <row r="8" ht="34" customHeight="1">
      <c r="A8" s="4" t="inlineStr">
        <is>
          <t>Grant income</t>
        </is>
      </c>
      <c r="B8" s="137">
        <f>SUMIFS('Cash schedule'!$AR$6:$AR$185,'Cash schedule'!$A$6:$A$185,'Assumptions'!$B$6,'Cash schedule'!$C$6:$C$185,1)</f>
        <v/>
      </c>
      <c r="C8" s="137">
        <f>SUMIFS('Cash schedule'!$AR$6:$AR$185,'Cash schedule'!$A$6:$A$185,'Assumptions'!$B$6,'Cash schedule'!$C$6:$C$185,2)</f>
        <v/>
      </c>
      <c r="D8" s="137">
        <f>SUMIFS('Cash schedule'!$AR$6:$AR$185,'Cash schedule'!$A$6:$A$185,'Assumptions'!$B$6,'Cash schedule'!$C$6:$C$185,3)</f>
        <v/>
      </c>
      <c r="E8" s="4" t="n"/>
      <c r="F8" s="4" t="n"/>
    </row>
    <row r="9" ht="34" customHeight="1">
      <c r="A9" s="4" t="inlineStr">
        <is>
          <t>Other receipts</t>
        </is>
      </c>
      <c r="B9" s="137">
        <f>SUMIFS('Cash schedule'!$U$6:$U$185,'Cash schedule'!$A$6:$A$185,'Assumptions'!$B$6,'Cash schedule'!$C$6:$C$185,1)</f>
        <v/>
      </c>
      <c r="C9" s="137">
        <f>SUMIFS('Cash schedule'!$U$6:$U$185,'Cash schedule'!$A$6:$A$185,'Assumptions'!$B$6,'Cash schedule'!$C$6:$C$185,2)</f>
        <v/>
      </c>
      <c r="D9" s="137">
        <f>SUMIFS('Cash schedule'!$U$6:$U$185,'Cash schedule'!$A$6:$A$185,'Assumptions'!$B$6,'Cash schedule'!$C$6:$C$185,3)</f>
        <v/>
      </c>
      <c r="E9" s="4" t="n"/>
      <c r="F9" s="4" t="n"/>
    </row>
    <row r="10" ht="34" customHeight="1">
      <c r="A10" s="4" t="inlineStr">
        <is>
          <t>Total income</t>
        </is>
      </c>
      <c r="B10" s="137">
        <f>SUM(B7:B9)</f>
        <v/>
      </c>
      <c r="C10" s="137">
        <f>SUM(C7:C9)</f>
        <v/>
      </c>
      <c r="D10" s="137">
        <f>SUM(D7:D9)</f>
        <v/>
      </c>
      <c r="E10" s="4" t="n"/>
      <c r="F10" s="4" t="n"/>
    </row>
    <row r="11" ht="34" customHeight="1">
      <c r="A11" s="4" t="n"/>
      <c r="B11" s="137" t="n"/>
      <c r="C11" s="137" t="n"/>
      <c r="D11" s="137" t="n"/>
      <c r="E11" s="4" t="n"/>
      <c r="F11" s="4" t="n"/>
    </row>
    <row r="12" ht="34" customHeight="1">
      <c r="A12" s="4" t="inlineStr">
        <is>
          <t>Making expense</t>
        </is>
      </c>
      <c r="B12" s="137">
        <f>SUMIFS('Cash schedule'!$AP$6:$AP$185,'Cash schedule'!$A$6:$A$185,'Assumptions'!$B$6,'Cash schedule'!$C$6:$C$185,1)</f>
        <v/>
      </c>
      <c r="C12" s="137">
        <f>SUMIFS('Cash schedule'!$AP$6:$AP$185,'Cash schedule'!$A$6:$A$185,'Assumptions'!$B$6,'Cash schedule'!$C$6:$C$185,2)</f>
        <v/>
      </c>
      <c r="D12" s="137">
        <f>SUMIFS('Cash schedule'!$AP$6:$AP$185,'Cash schedule'!$A$6:$A$185,'Assumptions'!$B$6,'Cash schedule'!$C$6:$C$185,3)</f>
        <v/>
      </c>
      <c r="E12" s="4" t="n"/>
      <c r="F12" s="4" t="n"/>
    </row>
    <row r="13" ht="34" customHeight="1">
      <c r="A13" s="4" t="inlineStr">
        <is>
          <t>Freight</t>
        </is>
      </c>
      <c r="B13" s="137">
        <f>SUMIFS('Cash schedule'!$H$6:$H$185,'Cash schedule'!$A$6:$A$185,'Assumptions'!$B$6,'Cash schedule'!$C$6:$C$185,1)</f>
        <v/>
      </c>
      <c r="C13" s="137">
        <f>SUMIFS('Cash schedule'!$H$6:$H$185,'Cash schedule'!$A$6:$A$185,'Assumptions'!$B$6,'Cash schedule'!$C$6:$C$185,2)</f>
        <v/>
      </c>
      <c r="D13" s="137">
        <f>SUMIFS('Cash schedule'!$H$6:$H$185,'Cash schedule'!$A$6:$A$185,'Assumptions'!$B$6,'Cash schedule'!$C$6:$C$185,3)</f>
        <v/>
      </c>
      <c r="E13" s="4" t="n"/>
      <c r="F13" s="4" t="n"/>
    </row>
    <row r="14" ht="34" customHeight="1">
      <c r="A14" s="4" t="inlineStr">
        <is>
          <t>Network costs</t>
        </is>
      </c>
      <c r="B14" s="137">
        <f>SUMIFS('Cash schedule'!$I$6:$I$185,'Cash schedule'!$A$6:$A$185,'Assumptions'!$B$6,'Cash schedule'!$C$6:$C$185,1)</f>
        <v/>
      </c>
      <c r="C14" s="137">
        <f>SUMIFS('Cash schedule'!$I$6:$I$185,'Cash schedule'!$A$6:$A$185,'Assumptions'!$B$6,'Cash schedule'!$C$6:$C$185,2)</f>
        <v/>
      </c>
      <c r="D14" s="137">
        <f>SUMIFS('Cash schedule'!$I$6:$I$185,'Cash schedule'!$A$6:$A$185,'Assumptions'!$B$6,'Cash schedule'!$C$6:$C$185,3)</f>
        <v/>
      </c>
      <c r="E14" s="4" t="n"/>
      <c r="F14" s="4" t="n"/>
    </row>
    <row r="15" ht="34" customHeight="1">
      <c r="A15" s="4" t="inlineStr">
        <is>
          <t>Goods current facility costs</t>
        </is>
      </c>
      <c r="B15" s="137">
        <f>SUMIFS('Cash schedule'!$J$6:$J$185,'Cash schedule'!$A$6:$A$185,'Assumptions'!$B$6,'Cash schedule'!$C$6:$C$185,1)</f>
        <v/>
      </c>
      <c r="C15" s="137">
        <f>SUMIFS('Cash schedule'!$J$6:$J$185,'Cash schedule'!$A$6:$A$185,'Assumptions'!$B$6,'Cash schedule'!$C$6:$C$185,2)</f>
        <v/>
      </c>
      <c r="D15" s="137">
        <f>SUMIFS('Cash schedule'!$J$6:$J$185,'Cash schedule'!$A$6:$A$185,'Assumptions'!$B$6,'Cash schedule'!$C$6:$C$185,3)</f>
        <v/>
      </c>
      <c r="E15" s="4" t="n"/>
      <c r="F15" s="4" t="n"/>
    </row>
    <row r="16" ht="34" customHeight="1">
      <c r="A16" s="4" t="inlineStr">
        <is>
          <t>Youth support</t>
        </is>
      </c>
      <c r="B16" s="137">
        <f>SUMIFS('Cash schedule'!$K$6:$K$185,'Cash schedule'!$A$6:$A$185,'Assumptions'!$B$6,'Cash schedule'!$C$6:$C$185,1)</f>
        <v/>
      </c>
      <c r="C16" s="137">
        <f>SUMIFS('Cash schedule'!$K$6:$K$185,'Cash schedule'!$A$6:$A$185,'Assumptions'!$B$6,'Cash schedule'!$C$6:$C$185,2)</f>
        <v/>
      </c>
      <c r="D16" s="137">
        <f>SUMIFS('Cash schedule'!$K$6:$K$185,'Cash schedule'!$A$6:$A$185,'Assumptions'!$B$6,'Cash schedule'!$C$6:$C$185,3)</f>
        <v/>
      </c>
      <c r="E16" s="4" t="n"/>
      <c r="F16" s="4" t="n"/>
    </row>
    <row r="17" ht="34" customHeight="1">
      <c r="A17" s="4" t="inlineStr">
        <is>
          <t>Extra costs</t>
        </is>
      </c>
      <c r="B17" s="137">
        <f>SUMIFS('Cash schedule'!$L$6:$L$185,'Cash schedule'!$A$6:$A$185,'Assumptions'!$B$6,'Cash schedule'!$C$6:$C$185,1)</f>
        <v/>
      </c>
      <c r="C17" s="137">
        <f>SUMIFS('Cash schedule'!$L$6:$L$185,'Cash schedule'!$A$6:$A$185,'Assumptions'!$B$6,'Cash schedule'!$C$6:$C$185,2)</f>
        <v/>
      </c>
      <c r="D17" s="137">
        <f>SUMIFS('Cash schedule'!$L$6:$L$185,'Cash schedule'!$A$6:$A$185,'Assumptions'!$B$6,'Cash schedule'!$C$6:$C$185,3)</f>
        <v/>
      </c>
      <c r="E17" s="4" t="n"/>
      <c r="F17" s="4" t="n"/>
    </row>
    <row r="18" ht="34" customHeight="1">
      <c r="A18" s="4" t="inlineStr">
        <is>
          <t>Depreciation</t>
        </is>
      </c>
      <c r="B18" s="137">
        <f>SUMIFS('Cash schedule'!$AS$6:$AS$185,'Cash schedule'!$A$6:$A$185,'Assumptions'!$B$6,'Cash schedule'!$C$6:$C$185,1)</f>
        <v/>
      </c>
      <c r="C18" s="137">
        <f>SUMIFS('Cash schedule'!$AS$6:$AS$185,'Cash schedule'!$A$6:$A$185,'Assumptions'!$B$6,'Cash schedule'!$C$6:$C$185,2)</f>
        <v/>
      </c>
      <c r="D18" s="137">
        <f>SUMIFS('Cash schedule'!$AS$6:$AS$185,'Cash schedule'!$A$6:$A$185,'Assumptions'!$B$6,'Cash schedule'!$C$6:$C$185,3)</f>
        <v/>
      </c>
      <c r="E18" s="4" t="n"/>
      <c r="F18" s="4" t="n"/>
    </row>
    <row r="19" ht="34" customHeight="1">
      <c r="A19" s="4" t="inlineStr">
        <is>
          <t>New loan interest</t>
        </is>
      </c>
      <c r="B19" s="137">
        <f>SUMIFS('Cash schedule'!$Y$6:$Y$185,'Cash schedule'!$A$6:$A$185,'Assumptions'!$B$6,'Cash schedule'!$C$6:$C$185,1)</f>
        <v/>
      </c>
      <c r="C19" s="137">
        <f>SUMIFS('Cash schedule'!$Y$6:$Y$185,'Cash schedule'!$A$6:$A$185,'Assumptions'!$B$6,'Cash schedule'!$C$6:$C$185,2)</f>
        <v/>
      </c>
      <c r="D19" s="137">
        <f>SUMIFS('Cash schedule'!$Y$6:$Y$185,'Cash schedule'!$A$6:$A$185,'Assumptions'!$B$6,'Cash schedule'!$C$6:$C$185,3)</f>
        <v/>
      </c>
      <c r="E19" s="4" t="n"/>
      <c r="F19" s="4" t="n"/>
    </row>
    <row r="20" ht="34" customHeight="1">
      <c r="A20" s="4" t="inlineStr">
        <is>
          <t>Opening debt interest</t>
        </is>
      </c>
      <c r="B20" s="137">
        <f>SUMIFS('Cash schedule'!$AD$6:$AD$185,'Cash schedule'!$A$6:$A$185,'Assumptions'!$B$6,'Cash schedule'!$C$6:$C$185,1)</f>
        <v/>
      </c>
      <c r="C20" s="137">
        <f>SUMIFS('Cash schedule'!$AD$6:$AD$185,'Cash schedule'!$A$6:$A$185,'Assumptions'!$B$6,'Cash schedule'!$C$6:$C$185,2)</f>
        <v/>
      </c>
      <c r="D20" s="137">
        <f>SUMIFS('Cash schedule'!$AD$6:$AD$185,'Cash schedule'!$A$6:$A$185,'Assumptions'!$B$6,'Cash schedule'!$C$6:$C$185,3)</f>
        <v/>
      </c>
      <c r="E20" s="4" t="n"/>
      <c r="F20" s="4" t="n"/>
    </row>
    <row r="21" ht="34" customHeight="1">
      <c r="A21" s="4" t="inlineStr">
        <is>
          <t>Loan fees</t>
        </is>
      </c>
      <c r="B21" s="137">
        <f>SUMIFS('Cash schedule'!$AE$6:$AE$185,'Cash schedule'!$A$6:$A$185,'Assumptions'!$B$6,'Cash schedule'!$C$6:$C$185,1)</f>
        <v/>
      </c>
      <c r="C21" s="137">
        <f>SUMIFS('Cash schedule'!$AE$6:$AE$185,'Cash schedule'!$A$6:$A$185,'Assumptions'!$B$6,'Cash schedule'!$C$6:$C$185,2)</f>
        <v/>
      </c>
      <c r="D21" s="137">
        <f>SUMIFS('Cash schedule'!$AE$6:$AE$185,'Cash schedule'!$A$6:$A$185,'Assumptions'!$B$6,'Cash schedule'!$C$6:$C$185,3)</f>
        <v/>
      </c>
      <c r="E21" s="4" t="n"/>
      <c r="F21" s="4" t="n"/>
    </row>
    <row r="22" ht="34" customHeight="1">
      <c r="A22" s="4" t="inlineStr">
        <is>
          <t>Other cash cost</t>
        </is>
      </c>
      <c r="B22" s="137">
        <f>SUMIFS('Cash schedule'!$AH$6:$AH$185,'Cash schedule'!$A$6:$A$185,'Assumptions'!$B$6,'Cash schedule'!$C$6:$C$185,1)</f>
        <v/>
      </c>
      <c r="C22" s="137">
        <f>SUMIFS('Cash schedule'!$AH$6:$AH$185,'Cash schedule'!$A$6:$A$185,'Assumptions'!$B$6,'Cash schedule'!$C$6:$C$185,2)</f>
        <v/>
      </c>
      <c r="D22" s="137">
        <f>SUMIFS('Cash schedule'!$AH$6:$AH$185,'Cash schedule'!$A$6:$A$185,'Assumptions'!$B$6,'Cash schedule'!$C$6:$C$185,3)</f>
        <v/>
      </c>
      <c r="E22" s="4" t="n"/>
      <c r="F22" s="4" t="n"/>
    </row>
    <row r="23" ht="34" customHeight="1">
      <c r="A23" s="4" t="inlineStr">
        <is>
          <t>Total expenses before tax</t>
        </is>
      </c>
      <c r="B23" s="137">
        <f>SUM(B12:B22)</f>
        <v/>
      </c>
      <c r="C23" s="137">
        <f>SUM(C12:C22)</f>
        <v/>
      </c>
      <c r="D23" s="137">
        <f>SUM(D12:D22)</f>
        <v/>
      </c>
      <c r="E23" s="4" t="n"/>
      <c r="F23" s="4" t="n"/>
    </row>
    <row r="24" ht="34" customHeight="1">
      <c r="A24" s="4" t="inlineStr">
        <is>
          <t>Profit before tax</t>
        </is>
      </c>
      <c r="B24" s="137">
        <f>SUMIFS('Cash schedule'!$AT$6:$AT$185,'Cash schedule'!$A$6:$A$185,'Assumptions'!$B$6,'Cash schedule'!$C$6:$C$185,1)</f>
        <v/>
      </c>
      <c r="C24" s="137">
        <f>SUMIFS('Cash schedule'!$AT$6:$AT$185,'Cash schedule'!$A$6:$A$185,'Assumptions'!$B$6,'Cash schedule'!$C$6:$C$185,2)</f>
        <v/>
      </c>
      <c r="D24" s="137">
        <f>SUMIFS('Cash schedule'!$AT$6:$AT$185,'Cash schedule'!$A$6:$A$185,'Assumptions'!$B$6,'Cash schedule'!$C$6:$C$185,3)</f>
        <v/>
      </c>
      <c r="E24" s="4" t="inlineStr">
        <is>
          <t>Forecast profit includes possible grant income. It is not recurring trading surplus.</t>
        </is>
      </c>
      <c r="F24" s="4" t="n"/>
    </row>
    <row r="25" ht="34" customHeight="1">
      <c r="A25" s="4" t="inlineStr">
        <is>
          <t>Tax expense</t>
        </is>
      </c>
      <c r="B25" s="137">
        <f>IF(ISNUMBER('Assumptions'!$B$19),SUMIFS('Cash schedule'!$AU$6:$AU$185,'Cash schedule'!$A$6:$A$185,'Assumptions'!$B$6,'Cash schedule'!$C$6:$C$185,1),"")</f>
        <v/>
      </c>
      <c r="C25" s="137">
        <f>IF(ISNUMBER('Assumptions'!$B$19),SUMIFS('Cash schedule'!$AU$6:$AU$185,'Cash schedule'!$A$6:$A$185,'Assumptions'!$B$6,'Cash schedule'!$C$6:$C$185,2),"")</f>
        <v/>
      </c>
      <c r="D25" s="137">
        <f>IF(ISNUMBER('Assumptions'!$B$19),SUMIFS('Cash schedule'!$AU$6:$AU$185,'Cash schedule'!$A$6:$A$185,'Assumptions'!$B$6,'Cash schedule'!$C$6:$C$185,3),"")</f>
        <v/>
      </c>
      <c r="E25" s="4" t="n"/>
      <c r="F25" s="4" t="n"/>
    </row>
    <row r="26" ht="34" customHeight="1">
      <c r="A26" s="4" t="inlineStr">
        <is>
          <t>Net profit</t>
        </is>
      </c>
      <c r="B26" s="137">
        <f>IF(ISNUMBER('Assumptions'!$B$19),SUMIFS('Cash schedule'!$AV$6:$AV$185,'Cash schedule'!$A$6:$A$185,'Assumptions'!$B$6,'Cash schedule'!$C$6:$C$185,1),"")</f>
        <v/>
      </c>
      <c r="C26" s="137">
        <f>IF(ISNUMBER('Assumptions'!$B$19),SUMIFS('Cash schedule'!$AV$6:$AV$185,'Cash schedule'!$A$6:$A$185,'Assumptions'!$B$6,'Cash schedule'!$C$6:$C$185,2),"")</f>
        <v/>
      </c>
      <c r="D26" s="137">
        <f>IF(ISNUMBER('Assumptions'!$B$19),SUMIFS('Cash schedule'!$AV$6:$AV$185,'Cash schedule'!$A$6:$A$185,'Assumptions'!$B$6,'Cash schedule'!$C$6:$C$185,3),"")</f>
        <v/>
      </c>
      <c r="E26" s="4" t="inlineStr">
        <is>
          <t>Blank until tax treatment is explicitly entered. Priced costs remain incomplete until scope is reconciled.</t>
        </is>
      </c>
      <c r="F26" s="4" t="n"/>
    </row>
    <row r="27" ht="34" customHeight="1">
      <c r="A27" s="4" t="n"/>
      <c r="B27" s="137" t="n"/>
      <c r="C27" s="137" t="n"/>
      <c r="D27" s="137" t="n"/>
      <c r="E27" s="4" t="n"/>
      <c r="F27" s="4" t="n"/>
    </row>
    <row r="28" ht="34" customHeight="1">
      <c r="A28" s="4" t="n"/>
      <c r="B28" s="137" t="n"/>
      <c r="C28" s="137" t="n"/>
      <c r="D28" s="137" t="n"/>
      <c r="E28" s="4" t="n"/>
      <c r="F28" s="4" t="n"/>
    </row>
    <row r="29" ht="34" customHeight="1">
      <c r="A29" s="8" t="inlineStr">
        <is>
          <t>Cash flow</t>
        </is>
      </c>
      <c r="B29" s="140" t="n"/>
      <c r="C29" s="140" t="n"/>
      <c r="D29" s="140" t="n"/>
      <c r="E29" s="8" t="n"/>
      <c r="F29" s="8" t="n"/>
    </row>
    <row r="30" ht="34" customHeight="1">
      <c r="A30" s="4" t="inlineStr">
        <is>
          <t>Total receipts</t>
        </is>
      </c>
      <c r="B30" s="137">
        <f>SUMIFS('Cash schedule'!$V$6:$V$185,'Cash schedule'!$A$6:$A$185,'Assumptions'!$B$6,'Cash schedule'!$C$6:$C$185,1)</f>
        <v/>
      </c>
      <c r="C30" s="137">
        <f>SUMIFS('Cash schedule'!$V$6:$V$185,'Cash schedule'!$A$6:$A$185,'Assumptions'!$B$6,'Cash schedule'!$C$6:$C$185,2)</f>
        <v/>
      </c>
      <c r="D30" s="137">
        <f>SUMIFS('Cash schedule'!$V$6:$V$185,'Cash schedule'!$A$6:$A$185,'Assumptions'!$B$6,'Cash schedule'!$C$6:$C$185,3)</f>
        <v/>
      </c>
      <c r="E30" s="4" t="n"/>
      <c r="F30" s="4" t="n"/>
    </row>
    <row r="31" ht="34" customHeight="1">
      <c r="A31" s="4" t="inlineStr">
        <is>
          <t>Priced spending</t>
        </is>
      </c>
      <c r="B31" s="137">
        <f>SUMIFS('Cash schedule'!$N$6:$N$185,'Cash schedule'!$A$6:$A$185,'Assumptions'!$B$6,'Cash schedule'!$C$6:$C$185,1)</f>
        <v/>
      </c>
      <c r="C31" s="137">
        <f>SUMIFS('Cash schedule'!$N$6:$N$185,'Cash schedule'!$A$6:$A$185,'Assumptions'!$B$6,'Cash schedule'!$C$6:$C$185,2)</f>
        <v/>
      </c>
      <c r="D31" s="137">
        <f>SUMIFS('Cash schedule'!$N$6:$N$185,'Cash schedule'!$A$6:$A$185,'Assumptions'!$B$6,'Cash schedule'!$C$6:$C$185,3)</f>
        <v/>
      </c>
      <c r="E31" s="4" t="n"/>
      <c r="F31" s="4" t="n"/>
    </row>
    <row r="32" ht="34" customHeight="1">
      <c r="A32" s="4" t="inlineStr">
        <is>
          <t>New loan payment</t>
        </is>
      </c>
      <c r="B32" s="137">
        <f>SUMIFS('Cash schedule'!$AB$6:$AB$185,'Cash schedule'!$A$6:$A$185,'Assumptions'!$B$6,'Cash schedule'!$C$6:$C$185,1)</f>
        <v/>
      </c>
      <c r="C32" s="137">
        <f>SUMIFS('Cash schedule'!$AB$6:$AB$185,'Cash schedule'!$A$6:$A$185,'Assumptions'!$B$6,'Cash schedule'!$C$6:$C$185,2)</f>
        <v/>
      </c>
      <c r="D32" s="137">
        <f>SUMIFS('Cash schedule'!$AB$6:$AB$185,'Cash schedule'!$A$6:$A$185,'Assumptions'!$B$6,'Cash schedule'!$C$6:$C$185,3)</f>
        <v/>
      </c>
      <c r="E32" s="4" t="n"/>
      <c r="F32" s="4" t="n"/>
    </row>
    <row r="33" ht="34" customHeight="1">
      <c r="A33" s="4" t="inlineStr">
        <is>
          <t>Opening debt principal</t>
        </is>
      </c>
      <c r="B33" s="137">
        <f>SUMIFS('Cash schedule'!$AC$6:$AC$185,'Cash schedule'!$A$6:$A$185,'Assumptions'!$B$6,'Cash schedule'!$C$6:$C$185,1)</f>
        <v/>
      </c>
      <c r="C33" s="137">
        <f>SUMIFS('Cash schedule'!$AC$6:$AC$185,'Cash schedule'!$A$6:$A$185,'Assumptions'!$B$6,'Cash schedule'!$C$6:$C$185,2)</f>
        <v/>
      </c>
      <c r="D33" s="137">
        <f>SUMIFS('Cash schedule'!$AC$6:$AC$185,'Cash schedule'!$A$6:$A$185,'Assumptions'!$B$6,'Cash schedule'!$C$6:$C$185,3)</f>
        <v/>
      </c>
      <c r="E33" s="4" t="n"/>
      <c r="F33" s="4" t="n"/>
    </row>
    <row r="34" ht="34" customHeight="1">
      <c r="A34" s="4" t="inlineStr">
        <is>
          <t>Opening debt interest</t>
        </is>
      </c>
      <c r="B34" s="137">
        <f>SUMIFS('Cash schedule'!$AD$6:$AD$185,'Cash schedule'!$A$6:$A$185,'Assumptions'!$B$6,'Cash schedule'!$C$6:$C$185,1)</f>
        <v/>
      </c>
      <c r="C34" s="137">
        <f>SUMIFS('Cash schedule'!$AD$6:$AD$185,'Cash schedule'!$A$6:$A$185,'Assumptions'!$B$6,'Cash schedule'!$C$6:$C$185,2)</f>
        <v/>
      </c>
      <c r="D34" s="137">
        <f>SUMIFS('Cash schedule'!$AD$6:$AD$185,'Cash schedule'!$A$6:$A$185,'Assumptions'!$B$6,'Cash schedule'!$C$6:$C$185,3)</f>
        <v/>
      </c>
      <c r="E34" s="4" t="n"/>
      <c r="F34" s="4" t="n"/>
    </row>
    <row r="35" ht="34" customHeight="1">
      <c r="A35" s="4" t="inlineStr">
        <is>
          <t>Loan fees</t>
        </is>
      </c>
      <c r="B35" s="137">
        <f>SUMIFS('Cash schedule'!$AE$6:$AE$185,'Cash schedule'!$A$6:$A$185,'Assumptions'!$B$6,'Cash schedule'!$C$6:$C$185,1)</f>
        <v/>
      </c>
      <c r="C35" s="137">
        <f>SUMIFS('Cash schedule'!$AE$6:$AE$185,'Cash schedule'!$A$6:$A$185,'Assumptions'!$B$6,'Cash schedule'!$C$6:$C$185,2)</f>
        <v/>
      </c>
      <c r="D35" s="137">
        <f>SUMIFS('Cash schedule'!$AE$6:$AE$185,'Cash schedule'!$A$6:$A$185,'Assumptions'!$B$6,'Cash schedule'!$C$6:$C$185,3)</f>
        <v/>
      </c>
      <c r="E35" s="4" t="n"/>
      <c r="F35" s="4" t="n"/>
    </row>
    <row r="36" ht="34" customHeight="1">
      <c r="A36" s="4" t="inlineStr">
        <is>
          <t>Opening payables paid</t>
        </is>
      </c>
      <c r="B36" s="137">
        <f>SUMIFS('Cash schedule'!$AF$6:$AF$185,'Cash schedule'!$A$6:$A$185,'Assumptions'!$B$6,'Cash schedule'!$C$6:$C$185,1)</f>
        <v/>
      </c>
      <c r="C36" s="137">
        <f>SUMIFS('Cash schedule'!$AF$6:$AF$185,'Cash schedule'!$A$6:$A$185,'Assumptions'!$B$6,'Cash schedule'!$C$6:$C$185,2)</f>
        <v/>
      </c>
      <c r="D36" s="137">
        <f>SUMIFS('Cash schedule'!$AF$6:$AF$185,'Cash schedule'!$A$6:$A$185,'Assumptions'!$B$6,'Cash schedule'!$C$6:$C$185,3)</f>
        <v/>
      </c>
      <c r="E36" s="4" t="n"/>
      <c r="F36" s="4" t="n"/>
    </row>
    <row r="37" ht="34" customHeight="1">
      <c r="A37" s="4" t="inlineStr">
        <is>
          <t>Tax paid</t>
        </is>
      </c>
      <c r="B37" s="137">
        <f>SUMIFS('Cash schedule'!$AG$6:$AG$185,'Cash schedule'!$A$6:$A$185,'Assumptions'!$B$6,'Cash schedule'!$C$6:$C$185,1)</f>
        <v/>
      </c>
      <c r="C37" s="137">
        <f>SUMIFS('Cash schedule'!$AG$6:$AG$185,'Cash schedule'!$A$6:$A$185,'Assumptions'!$B$6,'Cash schedule'!$C$6:$C$185,2)</f>
        <v/>
      </c>
      <c r="D37" s="137">
        <f>SUMIFS('Cash schedule'!$AG$6:$AG$185,'Cash schedule'!$A$6:$A$185,'Assumptions'!$B$6,'Cash schedule'!$C$6:$C$185,3)</f>
        <v/>
      </c>
      <c r="E37" s="4" t="n"/>
      <c r="F37" s="4" t="n"/>
    </row>
    <row r="38" ht="34" customHeight="1">
      <c r="A38" s="4" t="inlineStr">
        <is>
          <t>Other cash cost</t>
        </is>
      </c>
      <c r="B38" s="137">
        <f>SUMIFS('Cash schedule'!$AH$6:$AH$185,'Cash schedule'!$A$6:$A$185,'Assumptions'!$B$6,'Cash schedule'!$C$6:$C$185,1)</f>
        <v/>
      </c>
      <c r="C38" s="137">
        <f>SUMIFS('Cash schedule'!$AH$6:$AH$185,'Cash schedule'!$A$6:$A$185,'Assumptions'!$B$6,'Cash schedule'!$C$6:$C$185,2)</f>
        <v/>
      </c>
      <c r="D38" s="137">
        <f>SUMIFS('Cash schedule'!$AH$6:$AH$185,'Cash schedule'!$A$6:$A$185,'Assumptions'!$B$6,'Cash schedule'!$C$6:$C$185,3)</f>
        <v/>
      </c>
      <c r="E38" s="4" t="n"/>
      <c r="F38" s="4" t="n"/>
    </row>
    <row r="39" ht="34" customHeight="1">
      <c r="A39" s="4" t="inlineStr">
        <is>
          <t>Other liabilities paid</t>
        </is>
      </c>
      <c r="B39" s="137">
        <f>SUMIFS('Cash schedule'!$AI$6:$AI$185,'Cash schedule'!$A$6:$A$185,'Assumptions'!$B$6,'Cash schedule'!$C$6:$C$185,1)</f>
        <v/>
      </c>
      <c r="C39" s="137">
        <f>SUMIFS('Cash schedule'!$AI$6:$AI$185,'Cash schedule'!$A$6:$A$185,'Assumptions'!$B$6,'Cash schedule'!$C$6:$C$185,2)</f>
        <v/>
      </c>
      <c r="D39" s="137">
        <f>SUMIFS('Cash schedule'!$AI$6:$AI$185,'Cash schedule'!$A$6:$A$185,'Assumptions'!$B$6,'Cash schedule'!$C$6:$C$185,3)</f>
        <v/>
      </c>
      <c r="E39" s="4" t="n"/>
      <c r="F39" s="4" t="n"/>
    </row>
    <row r="40" ht="34" customHeight="1">
      <c r="A40" s="4" t="inlineStr">
        <is>
          <t>Net cash movement</t>
        </is>
      </c>
      <c r="B40" s="137">
        <f>SUMIFS('Cash schedule'!$AJ$6:$AJ$185,'Cash schedule'!$A$6:$A$185,'Assumptions'!$B$6,'Cash schedule'!$C$6:$C$185,1)</f>
        <v/>
      </c>
      <c r="C40" s="137">
        <f>SUMIFS('Cash schedule'!$AJ$6:$AJ$185,'Cash schedule'!$A$6:$A$185,'Assumptions'!$B$6,'Cash schedule'!$C$6:$C$185,2)</f>
        <v/>
      </c>
      <c r="D40" s="137">
        <f>SUMIFS('Cash schedule'!$AJ$6:$AJ$185,'Cash schedule'!$A$6:$A$185,'Assumptions'!$B$6,'Cash schedule'!$C$6:$C$185,3)</f>
        <v/>
      </c>
      <c r="E40" s="4" t="n"/>
      <c r="F40" s="4" t="n"/>
    </row>
    <row r="41" ht="34" customHeight="1">
      <c r="A41" s="4" t="inlineStr">
        <is>
          <t>Closing cash</t>
        </is>
      </c>
      <c r="B41" s="137">
        <f>IF(ISNUMBER(INDEX('Cash schedule'!$AL$6:$AL$185,(MATCH('Assumptions'!$B$6,'Cases'!$A$6:$A$10,0)-1)*36+12)),INDEX('Cash schedule'!$AL$6:$AL$185,(MATCH('Assumptions'!$B$6,'Cases'!$A$6:$A$10,0)-1)*36+12),"")</f>
        <v/>
      </c>
      <c r="C41" s="137">
        <f>IF(ISNUMBER(INDEX('Cash schedule'!$AL$6:$AL$185,(MATCH('Assumptions'!$B$6,'Cases'!$A$6:$A$10,0)-1)*36+24)),INDEX('Cash schedule'!$AL$6:$AL$185,(MATCH('Assumptions'!$B$6,'Cases'!$A$6:$A$10,0)-1)*36+24),"")</f>
        <v/>
      </c>
      <c r="D41" s="137">
        <f>IF(ISNUMBER(INDEX('Cash schedule'!$AL$6:$AL$185,(MATCH('Assumptions'!$B$6,'Cases'!$A$6:$A$10,0)-1)*36+36)),INDEX('Cash schedule'!$AL$6:$AL$185,(MATCH('Assumptions'!$B$6,'Cases'!$A$6:$A$10,0)-1)*36+36),"")</f>
        <v/>
      </c>
      <c r="E41" s="4" t="inlineStr">
        <is>
          <t>Negative forecast cash is an unfunded gap, not an approved overdraft.</t>
        </is>
      </c>
      <c r="F41" s="4" t="n"/>
    </row>
    <row r="42" ht="34" customHeight="1">
      <c r="A42" s="4" t="n"/>
      <c r="B42" s="137" t="n"/>
      <c r="C42" s="137" t="n"/>
      <c r="D42" s="137" t="n"/>
      <c r="E42" s="4" t="n"/>
      <c r="F42" s="4" t="n"/>
    </row>
    <row r="43" ht="34" customHeight="1">
      <c r="A43" s="4" t="n"/>
      <c r="B43" s="137" t="n"/>
      <c r="C43" s="137" t="n"/>
      <c r="D43" s="137" t="n"/>
      <c r="E43" s="4" t="n"/>
      <c r="F43" s="4" t="n"/>
    </row>
    <row r="44" ht="34" customHeight="1">
      <c r="A44" s="8" t="inlineStr">
        <is>
          <t>Balance sheet</t>
        </is>
      </c>
      <c r="B44" s="140" t="n"/>
      <c r="C44" s="140" t="n"/>
      <c r="D44" s="140" t="n"/>
      <c r="E44" s="8" t="n"/>
      <c r="F44" s="8" t="n"/>
    </row>
    <row r="45" ht="34" customHeight="1">
      <c r="A45" s="4" t="inlineStr">
        <is>
          <t>Closing cash</t>
        </is>
      </c>
      <c r="B45" s="137">
        <f>IF(ISNUMBER(INDEX('Cash schedule'!$AL$6:$AL$185,(MATCH('Assumptions'!$B$6,'Cases'!$A$6:$A$10,0)-1)*36+12)),INDEX('Cash schedule'!$AL$6:$AL$185,(MATCH('Assumptions'!$B$6,'Cases'!$A$6:$A$10,0)-1)*36+12),"")</f>
        <v/>
      </c>
      <c r="C45" s="137">
        <f>IF(ISNUMBER(INDEX('Cash schedule'!$AL$6:$AL$185,(MATCH('Assumptions'!$B$6,'Cases'!$A$6:$A$10,0)-1)*36+24)),INDEX('Cash schedule'!$AL$6:$AL$185,(MATCH('Assumptions'!$B$6,'Cases'!$A$6:$A$10,0)-1)*36+24),"")</f>
        <v/>
      </c>
      <c r="D45" s="137">
        <f>IF(ISNUMBER(INDEX('Cash schedule'!$AL$6:$AL$185,(MATCH('Assumptions'!$B$6,'Cases'!$A$6:$A$10,0)-1)*36+36)),INDEX('Cash schedule'!$AL$6:$AL$185,(MATCH('Assumptions'!$B$6,'Cases'!$A$6:$A$10,0)-1)*36+36),"")</f>
        <v/>
      </c>
      <c r="E45" s="4" t="n"/>
      <c r="F45" s="4" t="n"/>
    </row>
    <row r="46" ht="34" customHeight="1">
      <c r="A46" s="4" t="inlineStr">
        <is>
          <t>Closing receivables</t>
        </is>
      </c>
      <c r="B46" s="137">
        <f>IF(ISNUMBER(INDEX('Cash schedule'!$AW$6:$AW$185,(MATCH('Assumptions'!$B$6,'Cases'!$A$6:$A$10,0)-1)*36+12)),INDEX('Cash schedule'!$AW$6:$AW$185,(MATCH('Assumptions'!$B$6,'Cases'!$A$6:$A$10,0)-1)*36+12),"")</f>
        <v/>
      </c>
      <c r="C46" s="137">
        <f>IF(ISNUMBER(INDEX('Cash schedule'!$AW$6:$AW$185,(MATCH('Assumptions'!$B$6,'Cases'!$A$6:$A$10,0)-1)*36+24)),INDEX('Cash schedule'!$AW$6:$AW$185,(MATCH('Assumptions'!$B$6,'Cases'!$A$6:$A$10,0)-1)*36+24),"")</f>
        <v/>
      </c>
      <c r="D46" s="137">
        <f>IF(ISNUMBER(INDEX('Cash schedule'!$AW$6:$AW$185,(MATCH('Assumptions'!$B$6,'Cases'!$A$6:$A$10,0)-1)*36+36)),INDEX('Cash schedule'!$AW$6:$AW$185,(MATCH('Assumptions'!$B$6,'Cases'!$A$6:$A$10,0)-1)*36+36),"")</f>
        <v/>
      </c>
      <c r="E46" s="4" t="n"/>
      <c r="F46" s="4" t="n"/>
    </row>
    <row r="47" ht="34" customHeight="1">
      <c r="A47" s="4" t="inlineStr">
        <is>
          <t>Closing inventory</t>
        </is>
      </c>
      <c r="B47" s="137">
        <f>IF(ISNUMBER(INDEX('Cash schedule'!$AX$6:$AX$185,(MATCH('Assumptions'!$B$6,'Cases'!$A$6:$A$10,0)-1)*36+12)),INDEX('Cash schedule'!$AX$6:$AX$185,(MATCH('Assumptions'!$B$6,'Cases'!$A$6:$A$10,0)-1)*36+12),"")</f>
        <v/>
      </c>
      <c r="C47" s="137">
        <f>IF(ISNUMBER(INDEX('Cash schedule'!$AX$6:$AX$185,(MATCH('Assumptions'!$B$6,'Cases'!$A$6:$A$10,0)-1)*36+24)),INDEX('Cash schedule'!$AX$6:$AX$185,(MATCH('Assumptions'!$B$6,'Cases'!$A$6:$A$10,0)-1)*36+24),"")</f>
        <v/>
      </c>
      <c r="D47" s="137">
        <f>IF(ISNUMBER(INDEX('Cash schedule'!$AX$6:$AX$185,(MATCH('Assumptions'!$B$6,'Cases'!$A$6:$A$10,0)-1)*36+36)),INDEX('Cash schedule'!$AX$6:$AX$185,(MATCH('Assumptions'!$B$6,'Cases'!$A$6:$A$10,0)-1)*36+36),"")</f>
        <v/>
      </c>
      <c r="E47" s="4" t="n"/>
      <c r="F47" s="4" t="n"/>
    </row>
    <row r="48" ht="34" customHeight="1">
      <c r="A48" s="4" t="inlineStr">
        <is>
          <t>Closing fixed assets</t>
        </is>
      </c>
      <c r="B48" s="137">
        <f>IF(ISNUMBER(INDEX('Cash schedule'!$AY$6:$AY$185,(MATCH('Assumptions'!$B$6,'Cases'!$A$6:$A$10,0)-1)*36+12)),INDEX('Cash schedule'!$AY$6:$AY$185,(MATCH('Assumptions'!$B$6,'Cases'!$A$6:$A$10,0)-1)*36+12),"")</f>
        <v/>
      </c>
      <c r="C48" s="137">
        <f>IF(ISNUMBER(INDEX('Cash schedule'!$AY$6:$AY$185,(MATCH('Assumptions'!$B$6,'Cases'!$A$6:$A$10,0)-1)*36+24)),INDEX('Cash schedule'!$AY$6:$AY$185,(MATCH('Assumptions'!$B$6,'Cases'!$A$6:$A$10,0)-1)*36+24),"")</f>
        <v/>
      </c>
      <c r="D48" s="137">
        <f>IF(ISNUMBER(INDEX('Cash schedule'!$AY$6:$AY$185,(MATCH('Assumptions'!$B$6,'Cases'!$A$6:$A$10,0)-1)*36+36)),INDEX('Cash schedule'!$AY$6:$AY$185,(MATCH('Assumptions'!$B$6,'Cases'!$A$6:$A$10,0)-1)*36+36),"")</f>
        <v/>
      </c>
      <c r="E48" s="4" t="n"/>
      <c r="F48" s="4" t="n"/>
    </row>
    <row r="49" ht="34" customHeight="1">
      <c r="A49" s="4" t="inlineStr">
        <is>
          <t>Total assets</t>
        </is>
      </c>
      <c r="B49" s="137">
        <f>IF(ISNUMBER(INDEX('Cash schedule'!$BF$6:$BF$185,(MATCH('Assumptions'!$B$6,'Cases'!$A$6:$A$10,0)-1)*36+12)),INDEX('Cash schedule'!$BF$6:$BF$185,(MATCH('Assumptions'!$B$6,'Cases'!$A$6:$A$10,0)-1)*36+12),"")</f>
        <v/>
      </c>
      <c r="C49" s="137">
        <f>IF(ISNUMBER(INDEX('Cash schedule'!$BF$6:$BF$185,(MATCH('Assumptions'!$B$6,'Cases'!$A$6:$A$10,0)-1)*36+24)),INDEX('Cash schedule'!$BF$6:$BF$185,(MATCH('Assumptions'!$B$6,'Cases'!$A$6:$A$10,0)-1)*36+24),"")</f>
        <v/>
      </c>
      <c r="D49" s="137">
        <f>IF(ISNUMBER(INDEX('Cash schedule'!$BF$6:$BF$185,(MATCH('Assumptions'!$B$6,'Cases'!$A$6:$A$10,0)-1)*36+36)),INDEX('Cash schedule'!$BF$6:$BF$185,(MATCH('Assumptions'!$B$6,'Cases'!$A$6:$A$10,0)-1)*36+36),"")</f>
        <v/>
      </c>
      <c r="E49" s="4" t="n"/>
      <c r="F49" s="4" t="n"/>
    </row>
    <row r="50" ht="34" customHeight="1">
      <c r="A50" s="4" t="n"/>
      <c r="B50" s="137" t="n"/>
      <c r="C50" s="137" t="n"/>
      <c r="D50" s="137" t="n"/>
      <c r="E50" s="4" t="n"/>
      <c r="F50" s="4" t="n"/>
    </row>
    <row r="51" ht="34" customHeight="1">
      <c r="A51" s="4" t="inlineStr">
        <is>
          <t>Closing payables</t>
        </is>
      </c>
      <c r="B51" s="137">
        <f>IF(ISNUMBER(INDEX('Cash schedule'!$AZ$6:$AZ$185,(MATCH('Assumptions'!$B$6,'Cases'!$A$6:$A$10,0)-1)*36+12)),INDEX('Cash schedule'!$AZ$6:$AZ$185,(MATCH('Assumptions'!$B$6,'Cases'!$A$6:$A$10,0)-1)*36+12),"")</f>
        <v/>
      </c>
      <c r="C51" s="137">
        <f>IF(ISNUMBER(INDEX('Cash schedule'!$AZ$6:$AZ$185,(MATCH('Assumptions'!$B$6,'Cases'!$A$6:$A$10,0)-1)*36+24)),INDEX('Cash schedule'!$AZ$6:$AZ$185,(MATCH('Assumptions'!$B$6,'Cases'!$A$6:$A$10,0)-1)*36+24),"")</f>
        <v/>
      </c>
      <c r="D51" s="137">
        <f>IF(ISNUMBER(INDEX('Cash schedule'!$AZ$6:$AZ$185,(MATCH('Assumptions'!$B$6,'Cases'!$A$6:$A$10,0)-1)*36+36)),INDEX('Cash schedule'!$AZ$6:$AZ$185,(MATCH('Assumptions'!$B$6,'Cases'!$A$6:$A$10,0)-1)*36+36),"")</f>
        <v/>
      </c>
      <c r="E51" s="4" t="n"/>
      <c r="F51" s="4" t="n"/>
    </row>
    <row r="52" ht="34" customHeight="1">
      <c r="A52" s="4" t="inlineStr">
        <is>
          <t>Closing deferred grants</t>
        </is>
      </c>
      <c r="B52" s="137">
        <f>IF(ISNUMBER(INDEX('Cash schedule'!$BA$6:$BA$185,(MATCH('Assumptions'!$B$6,'Cases'!$A$6:$A$10,0)-1)*36+12)),INDEX('Cash schedule'!$BA$6:$BA$185,(MATCH('Assumptions'!$B$6,'Cases'!$A$6:$A$10,0)-1)*36+12),"")</f>
        <v/>
      </c>
      <c r="C52" s="137">
        <f>IF(ISNUMBER(INDEX('Cash schedule'!$BA$6:$BA$185,(MATCH('Assumptions'!$B$6,'Cases'!$A$6:$A$10,0)-1)*36+24)),INDEX('Cash schedule'!$BA$6:$BA$185,(MATCH('Assumptions'!$B$6,'Cases'!$A$6:$A$10,0)-1)*36+24),"")</f>
        <v/>
      </c>
      <c r="D52" s="137">
        <f>IF(ISNUMBER(INDEX('Cash schedule'!$BA$6:$BA$185,(MATCH('Assumptions'!$B$6,'Cases'!$A$6:$A$10,0)-1)*36+36)),INDEX('Cash schedule'!$BA$6:$BA$185,(MATCH('Assumptions'!$B$6,'Cases'!$A$6:$A$10,0)-1)*36+36),"")</f>
        <v/>
      </c>
      <c r="E52" s="4" t="n"/>
      <c r="F52" s="4" t="n"/>
    </row>
    <row r="53" ht="34" customHeight="1">
      <c r="A53" s="4" t="inlineStr">
        <is>
          <t>Closing new debt</t>
        </is>
      </c>
      <c r="B53" s="137">
        <f>IF(ISNUMBER(INDEX('Cash schedule'!$AA$6:$AA$185,(MATCH('Assumptions'!$B$6,'Cases'!$A$6:$A$10,0)-1)*36+12)),INDEX('Cash schedule'!$AA$6:$AA$185,(MATCH('Assumptions'!$B$6,'Cases'!$A$6:$A$10,0)-1)*36+12),"")</f>
        <v/>
      </c>
      <c r="C53" s="137">
        <f>IF(ISNUMBER(INDEX('Cash schedule'!$AA$6:$AA$185,(MATCH('Assumptions'!$B$6,'Cases'!$A$6:$A$10,0)-1)*36+24)),INDEX('Cash schedule'!$AA$6:$AA$185,(MATCH('Assumptions'!$B$6,'Cases'!$A$6:$A$10,0)-1)*36+24),"")</f>
        <v/>
      </c>
      <c r="D53" s="137">
        <f>IF(ISNUMBER(INDEX('Cash schedule'!$AA$6:$AA$185,(MATCH('Assumptions'!$B$6,'Cases'!$A$6:$A$10,0)-1)*36+36)),INDEX('Cash schedule'!$AA$6:$AA$185,(MATCH('Assumptions'!$B$6,'Cases'!$A$6:$A$10,0)-1)*36+36),"")</f>
        <v/>
      </c>
      <c r="E53" s="4" t="n"/>
      <c r="F53" s="4" t="n"/>
    </row>
    <row r="54" ht="34" customHeight="1">
      <c r="A54" s="4" t="inlineStr">
        <is>
          <t>Closing old debt</t>
        </is>
      </c>
      <c r="B54" s="137">
        <f>IF(ISNUMBER(INDEX('Cash schedule'!$BB$6:$BB$185,(MATCH('Assumptions'!$B$6,'Cases'!$A$6:$A$10,0)-1)*36+12)),INDEX('Cash schedule'!$BB$6:$BB$185,(MATCH('Assumptions'!$B$6,'Cases'!$A$6:$A$10,0)-1)*36+12),"")</f>
        <v/>
      </c>
      <c r="C54" s="137">
        <f>IF(ISNUMBER(INDEX('Cash schedule'!$BB$6:$BB$185,(MATCH('Assumptions'!$B$6,'Cases'!$A$6:$A$10,0)-1)*36+24)),INDEX('Cash schedule'!$BB$6:$BB$185,(MATCH('Assumptions'!$B$6,'Cases'!$A$6:$A$10,0)-1)*36+24),"")</f>
        <v/>
      </c>
      <c r="D54" s="137">
        <f>IF(ISNUMBER(INDEX('Cash schedule'!$BB$6:$BB$185,(MATCH('Assumptions'!$B$6,'Cases'!$A$6:$A$10,0)-1)*36+36)),INDEX('Cash schedule'!$BB$6:$BB$185,(MATCH('Assumptions'!$B$6,'Cases'!$A$6:$A$10,0)-1)*36+36),"")</f>
        <v/>
      </c>
      <c r="E54" s="4" t="n"/>
      <c r="F54" s="4" t="n"/>
    </row>
    <row r="55" ht="34" customHeight="1">
      <c r="A55" s="4" t="inlineStr">
        <is>
          <t>Closing tax payable</t>
        </is>
      </c>
      <c r="B55" s="137">
        <f>IF(ISNUMBER(INDEX('Cash schedule'!$BC$6:$BC$185,(MATCH('Assumptions'!$B$6,'Cases'!$A$6:$A$10,0)-1)*36+12)),INDEX('Cash schedule'!$BC$6:$BC$185,(MATCH('Assumptions'!$B$6,'Cases'!$A$6:$A$10,0)-1)*36+12),"")</f>
        <v/>
      </c>
      <c r="C55" s="137">
        <f>IF(ISNUMBER(INDEX('Cash schedule'!$BC$6:$BC$185,(MATCH('Assumptions'!$B$6,'Cases'!$A$6:$A$10,0)-1)*36+24)),INDEX('Cash schedule'!$BC$6:$BC$185,(MATCH('Assumptions'!$B$6,'Cases'!$A$6:$A$10,0)-1)*36+24),"")</f>
        <v/>
      </c>
      <c r="D55" s="137">
        <f>IF(ISNUMBER(INDEX('Cash schedule'!$BC$6:$BC$185,(MATCH('Assumptions'!$B$6,'Cases'!$A$6:$A$10,0)-1)*36+36)),INDEX('Cash schedule'!$BC$6:$BC$185,(MATCH('Assumptions'!$B$6,'Cases'!$A$6:$A$10,0)-1)*36+36),"")</f>
        <v/>
      </c>
      <c r="E55" s="4" t="n"/>
      <c r="F55" s="4" t="n"/>
    </row>
    <row r="56" ht="34" customHeight="1">
      <c r="A56" s="4" t="inlineStr">
        <is>
          <t>Closing other liabilities</t>
        </is>
      </c>
      <c r="B56" s="137">
        <f>IF(ISNUMBER(INDEX('Cash schedule'!$BD$6:$BD$185,(MATCH('Assumptions'!$B$6,'Cases'!$A$6:$A$10,0)-1)*36+12)),INDEX('Cash schedule'!$BD$6:$BD$185,(MATCH('Assumptions'!$B$6,'Cases'!$A$6:$A$10,0)-1)*36+12),"")</f>
        <v/>
      </c>
      <c r="C56" s="137">
        <f>IF(ISNUMBER(INDEX('Cash schedule'!$BD$6:$BD$185,(MATCH('Assumptions'!$B$6,'Cases'!$A$6:$A$10,0)-1)*36+24)),INDEX('Cash schedule'!$BD$6:$BD$185,(MATCH('Assumptions'!$B$6,'Cases'!$A$6:$A$10,0)-1)*36+24),"")</f>
        <v/>
      </c>
      <c r="D56" s="137">
        <f>IF(ISNUMBER(INDEX('Cash schedule'!$BD$6:$BD$185,(MATCH('Assumptions'!$B$6,'Cases'!$A$6:$A$10,0)-1)*36+36)),INDEX('Cash schedule'!$BD$6:$BD$185,(MATCH('Assumptions'!$B$6,'Cases'!$A$6:$A$10,0)-1)*36+36),"")</f>
        <v/>
      </c>
      <c r="E56" s="4" t="n"/>
      <c r="F56" s="4" t="n"/>
    </row>
    <row r="57" ht="34" customHeight="1">
      <c r="A57" s="4" t="inlineStr">
        <is>
          <t>Total liabilities</t>
        </is>
      </c>
      <c r="B57" s="137">
        <f>IF(ISNUMBER(INDEX('Cash schedule'!$BG$6:$BG$185,(MATCH('Assumptions'!$B$6,'Cases'!$A$6:$A$10,0)-1)*36+12)),INDEX('Cash schedule'!$BG$6:$BG$185,(MATCH('Assumptions'!$B$6,'Cases'!$A$6:$A$10,0)-1)*36+12),"")</f>
        <v/>
      </c>
      <c r="C57" s="137">
        <f>IF(ISNUMBER(INDEX('Cash schedule'!$BG$6:$BG$185,(MATCH('Assumptions'!$B$6,'Cases'!$A$6:$A$10,0)-1)*36+24)),INDEX('Cash schedule'!$BG$6:$BG$185,(MATCH('Assumptions'!$B$6,'Cases'!$A$6:$A$10,0)-1)*36+24),"")</f>
        <v/>
      </c>
      <c r="D57" s="137">
        <f>IF(ISNUMBER(INDEX('Cash schedule'!$BG$6:$BG$185,(MATCH('Assumptions'!$B$6,'Cases'!$A$6:$A$10,0)-1)*36+36)),INDEX('Cash schedule'!$BG$6:$BG$185,(MATCH('Assumptions'!$B$6,'Cases'!$A$6:$A$10,0)-1)*36+36),"")</f>
        <v/>
      </c>
      <c r="E57" s="4" t="n"/>
      <c r="F57" s="4" t="n"/>
    </row>
    <row r="58" ht="34" customHeight="1">
      <c r="A58" s="4" t="n"/>
      <c r="B58" s="137" t="n"/>
      <c r="C58" s="137" t="n"/>
      <c r="D58" s="137" t="n"/>
      <c r="E58" s="4" t="n"/>
      <c r="F58" s="4" t="n"/>
    </row>
    <row r="59" ht="34" customHeight="1">
      <c r="A59" s="4" t="inlineStr">
        <is>
          <t>Closing equity</t>
        </is>
      </c>
      <c r="B59" s="137">
        <f>IF(ISNUMBER(INDEX('Cash schedule'!$BE$6:$BE$185,(MATCH('Assumptions'!$B$6,'Cases'!$A$6:$A$10,0)-1)*36+12)),INDEX('Cash schedule'!$BE$6:$BE$185,(MATCH('Assumptions'!$B$6,'Cases'!$A$6:$A$10,0)-1)*36+12),"")</f>
        <v/>
      </c>
      <c r="C59" s="137">
        <f>IF(ISNUMBER(INDEX('Cash schedule'!$BE$6:$BE$185,(MATCH('Assumptions'!$B$6,'Cases'!$A$6:$A$10,0)-1)*36+24)),INDEX('Cash schedule'!$BE$6:$BE$185,(MATCH('Assumptions'!$B$6,'Cases'!$A$6:$A$10,0)-1)*36+24),"")</f>
        <v/>
      </c>
      <c r="D59" s="137">
        <f>IF(ISNUMBER(INDEX('Cash schedule'!$BE$6:$BE$185,(MATCH('Assumptions'!$B$6,'Cases'!$A$6:$A$10,0)-1)*36+36)),INDEX('Cash schedule'!$BE$6:$BE$185,(MATCH('Assumptions'!$B$6,'Cases'!$A$6:$A$10,0)-1)*36+36),"")</f>
        <v/>
      </c>
      <c r="E59" s="4" t="n"/>
      <c r="F59" s="4" t="n"/>
    </row>
    <row r="60" ht="34" customHeight="1">
      <c r="A60" s="4" t="inlineStr">
        <is>
          <t>Balance sheet difference</t>
        </is>
      </c>
      <c r="B60" s="137">
        <f>IF(ISNUMBER(INDEX('Cash schedule'!$BH$6:$BH$185,(MATCH('Assumptions'!$B$6,'Cases'!$A$6:$A$10,0)-1)*36+12)),INDEX('Cash schedule'!$BH$6:$BH$185,(MATCH('Assumptions'!$B$6,'Cases'!$A$6:$A$10,0)-1)*36+12),"")</f>
        <v/>
      </c>
      <c r="C60" s="137">
        <f>IF(ISNUMBER(INDEX('Cash schedule'!$BH$6:$BH$185,(MATCH('Assumptions'!$B$6,'Cases'!$A$6:$A$10,0)-1)*36+24)),INDEX('Cash schedule'!$BH$6:$BH$185,(MATCH('Assumptions'!$B$6,'Cases'!$A$6:$A$10,0)-1)*36+24),"")</f>
        <v/>
      </c>
      <c r="D60" s="137">
        <f>IF(ISNUMBER(INDEX('Cash schedule'!$BH$6:$BH$185,(MATCH('Assumptions'!$B$6,'Cases'!$A$6:$A$10,0)-1)*36+36)),INDEX('Cash schedule'!$BH$6:$BH$185,(MATCH('Assumptions'!$B$6,'Cases'!$A$6:$A$10,0)-1)*36+36),"")</f>
        <v/>
      </c>
      <c r="E60" s="4" t="inlineStr">
        <is>
          <t>Independent assets minus liabilities minus equity. No balancing plug. Blank means incomplete inputs.</t>
        </is>
      </c>
      <c r="F60" s="4" t="n"/>
    </row>
    <row r="61" ht="28" customHeight="1">
      <c r="A61" s="4" t="n"/>
      <c r="B61" s="4" t="n"/>
      <c r="C61" s="4" t="n"/>
      <c r="D61" s="4" t="n"/>
      <c r="E61" s="4" t="n"/>
      <c r="F61" s="4" t="n"/>
    </row>
    <row r="62" ht="28" customHeight="1">
      <c r="A62" s="4" t="n"/>
      <c r="B62" s="4" t="n"/>
      <c r="C62" s="4" t="n"/>
      <c r="D62" s="4" t="n"/>
      <c r="E62" s="4" t="n"/>
      <c r="F62" s="4" t="n"/>
    </row>
    <row r="63" ht="28" customHeight="1">
      <c r="A63" s="4" t="n"/>
      <c r="B63" s="4" t="n"/>
      <c r="C63" s="4" t="n"/>
      <c r="D63" s="4" t="n"/>
      <c r="E63" s="4" t="n"/>
      <c r="F63" s="4" t="n"/>
    </row>
    <row r="64" ht="28" customHeight="1">
      <c r="A64" s="4" t="inlineStr">
        <is>
          <t>Historical applicant accounts</t>
        </is>
      </c>
      <c r="B64" s="4" t="inlineStr">
        <is>
          <t>Butterfly FY26</t>
        </is>
      </c>
      <c r="C64" s="4" t="n"/>
      <c r="D64" s="4" t="n"/>
      <c r="E64" s="4" t="inlineStr">
        <is>
          <t>Full preserved P&amp;L, cash and balance totals remain in the original entity. ACT Goods history is separate on FY26.</t>
        </is>
      </c>
      <c r="F64" s="4" t="n"/>
    </row>
    <row r="65" ht="28" customHeight="1">
      <c r="A65" s="4" t="n"/>
      <c r="B65" s="4" t="n"/>
      <c r="C65" s="4" t="n"/>
      <c r="D65" s="4" t="n"/>
      <c r="E65" s="4" t="n"/>
      <c r="F65" s="4" t="n"/>
    </row>
    <row r="66" ht="28" customHeight="1">
      <c r="A66" s="4" t="n"/>
      <c r="B66" s="4" t="n"/>
      <c r="C66" s="4" t="n"/>
      <c r="D66" s="4" t="n"/>
      <c r="E66" s="4" t="n"/>
      <c r="F66" s="4" t="n"/>
    </row>
    <row r="67" ht="28" customHeight="1">
      <c r="A67" s="4" t="inlineStr">
        <is>
          <t>Targets beyond modelled capacity</t>
        </is>
      </c>
      <c r="B67" s="153">
        <f>SUMIFS(ProductionSchedule[Remaining target],ProductionSchedule[Case],'Assumptions'!$B$6,ProductionSchedule[Month],12)-SUMIFS(ProductionSchedule[Beds made],ProductionSchedule[Case],'Assumptions'!$B$6,ProductionSchedule[Month],12)</f>
        <v/>
      </c>
      <c r="C67" s="153">
        <f>SUMIFS(ProductionSchedule[Remaining target],ProductionSchedule[Case],'Assumptions'!$B$6,ProductionSchedule[Month],24)-SUMIFS(ProductionSchedule[Beds made],ProductionSchedule[Case],'Assumptions'!$B$6,ProductionSchedule[Month],24)</f>
        <v/>
      </c>
      <c r="D67" s="153">
        <f>SUMIFS(ProductionSchedule[Remaining target],ProductionSchedule[Case],'Assumptions'!$B$6,ProductionSchedule[Month],36)-SUMIFS(ProductionSchedule[Beds made],ProductionSchedule[Case],'Assumptions'!$B$6,ProductionSchedule[Month],36)</f>
        <v/>
      </c>
      <c r="E67" s="4" t="inlineStr">
        <is>
          <t>Capacity-limited, including any excluded site targets. Site targets are not an output promise.</t>
        </is>
      </c>
      <c r="F67" s="4" t="n"/>
    </row>
    <row r="68" ht="28" customHeight="1">
      <c r="A68" s="4" t="inlineStr">
        <is>
          <t>Planned beds within capacity</t>
        </is>
      </c>
      <c r="B68" s="153">
        <f>SUMIFS(CashSchedule[Beds],CashSchedule[Case],'Assumptions'!$B$6,CashSchedule[Year],1)</f>
        <v/>
      </c>
      <c r="C68" s="153">
        <f>SUMIFS(CashSchedule[Beds],CashSchedule[Case],'Assumptions'!$B$6,CashSchedule[Year],2)</f>
        <v/>
      </c>
      <c r="D68" s="153">
        <f>SUMIFS(CashSchedule[Beds],CashSchedule[Case],'Assumptions'!$B$6,CashSchedule[Year],3)</f>
        <v/>
      </c>
      <c r="E68" s="4" t="n"/>
      <c r="F68" s="4" t="n"/>
    </row>
    <row r="69" ht="28" customHeight="1">
      <c r="A69" s="4" t="n"/>
      <c r="B69" s="4" t="n"/>
      <c r="C69" s="4" t="n"/>
      <c r="D69" s="4" t="n"/>
      <c r="E69" s="4" t="n"/>
      <c r="F69" s="4" t="n"/>
    </row>
    <row r="70" ht="28" customHeight="1">
      <c r="A70" s="4" t="n"/>
      <c r="B70" s="4" t="n"/>
      <c r="C70" s="4" t="n"/>
      <c r="D70" s="4" t="n"/>
      <c r="E70" s="4" t="n"/>
      <c r="F70" s="4" t="n"/>
    </row>
    <row r="71" ht="28" customHeight="1">
      <c r="A71" s="4" t="n"/>
      <c r="B71" s="4" t="n"/>
      <c r="C71" s="4" t="n"/>
      <c r="D71" s="4" t="n"/>
      <c r="E71" s="4" t="n"/>
      <c r="F71" s="4" t="n"/>
    </row>
    <row r="72" ht="28" customHeight="1">
      <c r="A72" s="4" t="n"/>
      <c r="B72" s="4" t="n"/>
      <c r="C72" s="4" t="n"/>
      <c r="D72" s="4" t="n"/>
      <c r="E72" s="4" t="n"/>
      <c r="F72" s="4" t="n"/>
    </row>
  </sheetData>
  <mergeCells count="2">
    <mergeCell ref="A3:F3"/>
    <mergeCell ref="A1:F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62"/>
  <sheetViews>
    <sheetView showGridLines="0" workbookViewId="0">
      <pane ySplit="5" topLeftCell="A6" activePane="bottomLeft" state="frozen"/>
      <selection activeCell="A1" sqref="A1"/>
    </sheetView>
  </sheetViews>
  <sheetFormatPr baseColWidth="8" defaultRowHeight="15"/>
  <cols>
    <col width="29" customWidth="1" min="1" max="1"/>
    <col width="36" customWidth="1" min="2" max="2"/>
    <col width="18" customWidth="1" min="3" max="3"/>
    <col width="18" customWidth="1" min="4" max="4"/>
    <col width="18" customWidth="1" min="5" max="5"/>
    <col width="18" customWidth="1" min="6" max="6"/>
    <col width="18" customWidth="1" min="7" max="7"/>
    <col width="18" customWidth="1" min="8" max="8"/>
    <col width="56" customWidth="1" min="9" max="9"/>
  </cols>
  <sheetData>
    <row r="1" ht="38" customHeight="1">
      <c r="A1" s="5" t="inlineStr">
        <is>
          <t>QBE funding and delivery</t>
        </is>
      </c>
    </row>
    <row r="2" ht="28" customHeight="1">
      <c r="A2" s="4" t="n"/>
      <c r="B2" s="4" t="n"/>
      <c r="C2" s="4" t="n"/>
      <c r="D2" s="4" t="n"/>
      <c r="E2" s="4" t="n"/>
      <c r="F2" s="4" t="n"/>
      <c r="G2" s="4" t="n"/>
      <c r="H2" s="4" t="n"/>
      <c r="I2" s="4" t="n"/>
    </row>
    <row r="3" ht="54" customHeight="1">
      <c r="A3" s="6" t="inlineStr">
        <is>
          <t>Ben 9 Sep 2026: QBE funds the two community plants. All other supporters fund the beds, the facility year and the shared Goods costs, and the bed programme scales with what is raised. Rows 37 onward are historical.</t>
        </is>
      </c>
    </row>
    <row r="4" ht="28" customHeight="1">
      <c r="A4" s="4" t="n"/>
      <c r="B4" s="4" t="n"/>
      <c r="C4" s="4" t="n"/>
      <c r="D4" s="4" t="n"/>
      <c r="E4" s="4" t="n"/>
      <c r="F4" s="4" t="n"/>
      <c r="G4" s="4" t="n"/>
      <c r="H4" s="4" t="n"/>
      <c r="I4" s="4" t="n"/>
    </row>
    <row r="5" ht="54" customHeight="1">
      <c r="A5" s="8" t="inlineStr">
        <is>
          <t>Cost reference</t>
        </is>
      </c>
      <c r="B5" s="8" t="inlineStr">
        <is>
          <t>Activity</t>
        </is>
      </c>
      <c r="C5" s="8" t="inlineStr">
        <is>
          <t>Full cost</t>
        </is>
      </c>
      <c r="D5" s="8" t="inlineStr">
        <is>
          <t>Full QBE</t>
        </is>
      </c>
      <c r="E5" s="8" t="inlineStr">
        <is>
          <t>Other full allocation</t>
        </is>
      </c>
      <c r="F5" s="8" t="inlineStr">
        <is>
          <t>Smaller cost</t>
        </is>
      </c>
      <c r="G5" s="8" t="inlineStr">
        <is>
          <t>Smaller QBE</t>
        </is>
      </c>
      <c r="H5" s="8" t="inlineStr">
        <is>
          <t>Other smaller allocation</t>
        </is>
      </c>
      <c r="I5" s="8" t="inlineStr">
        <is>
          <t>Decision / responsibility</t>
        </is>
      </c>
    </row>
    <row r="6" ht="44" customHeight="1">
      <c r="A6" s="4" t="inlineStr">
        <is>
          <t>CAP</t>
        </is>
      </c>
      <c r="B6" s="4" t="inlineStr">
        <is>
          <t>Build and commission facilities</t>
        </is>
      </c>
      <c r="C6" s="128">
        <f>SUM('Cash schedule'!M6:M17)</f>
        <v/>
      </c>
      <c r="D6" s="132" t="n">
        <v>300000</v>
      </c>
      <c r="E6" s="132" t="n">
        <v>0</v>
      </c>
      <c r="F6" s="128">
        <f>SUM('Cash schedule'!M42:M53)</f>
        <v/>
      </c>
      <c r="G6" s="132" t="n">
        <v>150000</v>
      </c>
      <c r="H6" s="132" t="n">
        <v>0</v>
      </c>
      <c r="I6" s="4" t="inlineStr">
        <is>
          <t>Ben 9 Sep 2026: QBE's grant builds the two community plants outside Alice Springs ($150,000 each). Working choice: Palm Island and Maningrida; Mount Isa, Tennant Creek and Ceduna are also in the mix and the two can change. Smaller case: one plant. Sites, quotes, asset title and local operating funds to name for each.</t>
        </is>
      </c>
    </row>
    <row r="7" ht="44" customHeight="1">
      <c r="A7" s="4" t="inlineStr">
        <is>
          <t>C01–C08</t>
        </is>
      </c>
      <c r="B7" s="4" t="inlineStr">
        <is>
          <t>Goods shared operations (separate funding)</t>
        </is>
      </c>
      <c r="C7" s="128">
        <f>SUM('Cash schedule'!I6:I17)</f>
        <v/>
      </c>
      <c r="D7" s="132" t="n">
        <v>0</v>
      </c>
      <c r="E7" s="132" t="n">
        <v>100000</v>
      </c>
      <c r="F7" s="128">
        <f>SUM('Cash schedule'!I42:I53)</f>
        <v/>
      </c>
      <c r="G7" s="132" t="n">
        <v>0</v>
      </c>
      <c r="H7" s="132" t="n">
        <v>100000</v>
      </c>
      <c r="I7" s="4" t="inlineStr">
        <is>
          <t>Other allocation: TFFF general operating support $100,000 a year (invited, board late Nov). Not charged to the QBE ask.</t>
        </is>
      </c>
    </row>
    <row r="8" ht="44" customHeight="1">
      <c r="A8" s="4" t="inlineStr">
        <is>
          <t>PROD</t>
        </is>
      </c>
      <c r="B8" s="4" t="inlineStr">
        <is>
          <t>Initial stock making and freight</t>
        </is>
      </c>
      <c r="C8" s="128">
        <f>SUM('Cash schedule'!G6:G17)+SUM('Cash schedule'!H6:H17)</f>
        <v/>
      </c>
      <c r="D8" s="132" t="n">
        <v>0</v>
      </c>
      <c r="E8" s="132" t="n">
        <v>60000</v>
      </c>
      <c r="F8" s="128">
        <f>SUM('Cash schedule'!G42:G53)+SUM('Cash schedule'!H42:H53)</f>
        <v/>
      </c>
      <c r="G8" s="132" t="n">
        <v>0</v>
      </c>
      <c r="H8" s="132" t="n">
        <v>60000</v>
      </c>
      <c r="I8" s="4" t="inlineStr">
        <is>
          <t>Capacity-constrained forecast. Other allocation: BMD $60,000 (the part of its $100,000 that does not fit the $40,000 facilitation line). Move if Ben prefers BMD elsewhere.</t>
        </is>
      </c>
    </row>
    <row r="9" ht="44" customHeight="1">
      <c r="A9" s="4" t="inlineStr">
        <is>
          <t>SITE</t>
        </is>
      </c>
      <c r="B9" s="4" t="inlineStr">
        <is>
          <t>Current production facility operations</t>
        </is>
      </c>
      <c r="C9" s="128">
        <f>SUM('Cash schedule'!J6:J17)</f>
        <v/>
      </c>
      <c r="D9" s="132" t="n">
        <v>0</v>
      </c>
      <c r="E9" s="132" t="n">
        <v>0</v>
      </c>
      <c r="F9" s="128">
        <f>SUM('Cash schedule'!J42:J53)</f>
        <v/>
      </c>
      <c r="G9" s="132" t="n">
        <v>0</v>
      </c>
      <c r="H9" s="132" t="n">
        <v>0</v>
      </c>
      <c r="I9" s="4" t="inlineStr">
        <is>
          <t>Community facility wages, rent, maintenance and recurring training are in the community operating plan.</t>
        </is>
      </c>
    </row>
    <row r="10" ht="44" customHeight="1">
      <c r="A10" s="4" t="inlineStr">
        <is>
          <t>Y1–Y3</t>
        </is>
      </c>
      <c r="B10" s="4" t="inlineStr">
        <is>
          <t>Youth support programmes</t>
        </is>
      </c>
      <c r="C10" s="128">
        <f>SUM('Cash schedule'!K6:K17)</f>
        <v/>
      </c>
      <c r="D10" s="132" t="n">
        <v>0</v>
      </c>
      <c r="E10" s="132" t="n">
        <v>40000</v>
      </c>
      <c r="F10" s="128">
        <f>SUM('Cash schedule'!K42:K53)</f>
        <v/>
      </c>
      <c r="G10" s="132" t="n">
        <v>0</v>
      </c>
      <c r="H10" s="132" t="n">
        <v>40000</v>
      </c>
      <c r="I10" s="4" t="inlineStr">
        <is>
          <t>Ben 9 Sep: beds go to at least four communities, 100 each, none of them Alice Springs; likely Mount Isa and Lower Gulf, Kununurra, Ceduna / Port Augusta, Tennant Creek, possibly more to Utopia homelands. Nic and Ben facilitate each at about $10,000 (Sites O6 = 4, Assumptions B44). Other allocation: BMD $40,000 here, $60,000 against initial stock (row 8).</t>
        </is>
      </c>
    </row>
    <row r="11" ht="44" customHeight="1">
      <c r="A11" s="4" t="inlineStr">
        <is>
          <t>X01–X05</t>
        </is>
      </c>
      <c r="B11" s="4" t="inlineStr">
        <is>
          <t>Additional selected operating scope</t>
        </is>
      </c>
      <c r="C11" s="128">
        <f>SUM('Cash schedule'!L6:L17)</f>
        <v/>
      </c>
      <c r="D11" s="132" t="n">
        <v>0</v>
      </c>
      <c r="E11" s="132" t="n">
        <v>0</v>
      </c>
      <c r="F11" s="128">
        <f>SUM('Cash schedule'!L42:L53)</f>
        <v/>
      </c>
      <c r="G11" s="132" t="n">
        <v>0</v>
      </c>
      <c r="H11" s="132" t="n">
        <v>0</v>
      </c>
      <c r="I11" s="4" t="inlineStr">
        <is>
          <t>Only explicitly selected and priced additional work.</t>
        </is>
      </c>
    </row>
    <row r="12" ht="44" customHeight="1">
      <c r="A12" s="8" t="inlineStr">
        <is>
          <t>Total</t>
        </is>
      </c>
      <c r="B12" s="8" t="n"/>
      <c r="C12" s="150">
        <f>SUM(C6:C11)</f>
        <v/>
      </c>
      <c r="D12" s="150">
        <f>SUM(D6:D11)</f>
        <v/>
      </c>
      <c r="E12" s="150">
        <f>SUM(E6:E11)</f>
        <v/>
      </c>
      <c r="F12" s="150">
        <f>SUM(F6:F11)</f>
        <v/>
      </c>
      <c r="G12" s="150">
        <f>SUM(G6:G11)</f>
        <v/>
      </c>
      <c r="H12" s="150">
        <f>SUM(H6:H11)</f>
        <v/>
      </c>
      <c r="I12" s="8" t="n"/>
    </row>
    <row r="13" ht="44" customHeight="1">
      <c r="A13" s="4" t="n"/>
      <c r="B13" s="4" t="n"/>
      <c r="C13" s="128" t="n"/>
      <c r="D13" s="128" t="n"/>
      <c r="E13" s="128" t="n"/>
      <c r="F13" s="128" t="n"/>
      <c r="G13" s="128" t="n"/>
      <c r="H13" s="128" t="n"/>
      <c r="I13" s="4" t="n"/>
    </row>
    <row r="14" ht="44" customHeight="1">
      <c r="A14" s="4" t="inlineStr">
        <is>
          <t>Q5 / Q7 request</t>
        </is>
      </c>
      <c r="B14" s="4" t="n"/>
      <c r="C14" s="128" t="n"/>
      <c r="D14" s="128">
        <f>'Assumptions'!B35</f>
        <v/>
      </c>
      <c r="E14" s="128" t="n"/>
      <c r="F14" s="128" t="n"/>
      <c r="G14" s="128">
        <f>'Assumptions'!B36</f>
        <v/>
      </c>
      <c r="H14" s="128" t="n"/>
      <c r="I14" s="4" t="n"/>
    </row>
    <row r="15" ht="44" customHeight="1">
      <c r="A15" s="4" t="inlineStr">
        <is>
          <t>Request not allocated</t>
        </is>
      </c>
      <c r="B15" s="4" t="n"/>
      <c r="C15" s="128" t="n"/>
      <c r="D15" s="128">
        <f>D14-D12</f>
        <v/>
      </c>
      <c r="E15" s="128" t="n"/>
      <c r="F15" s="128" t="n"/>
      <c r="G15" s="128">
        <f>G14-G12</f>
        <v/>
      </c>
      <c r="H15" s="128" t="n"/>
      <c r="I15" s="4" t="n"/>
    </row>
    <row r="16" ht="44" customHeight="1">
      <c r="A16" s="4" t="inlineStr">
        <is>
          <t>Overallocated cost rows</t>
        </is>
      </c>
      <c r="B16" s="4" t="n"/>
      <c r="C16" s="128" t="n"/>
      <c r="D16" s="128">
        <f>SUMPRODUCT((D6:D11+E6:E11&gt;C6:C11+0.01)*1)</f>
        <v/>
      </c>
      <c r="E16" s="128" t="n"/>
      <c r="F16" s="128" t="n"/>
      <c r="G16" s="128">
        <f>SUMPRODUCT((G6:G11+H6:H11&gt;F6:F11+0.01)*1)</f>
        <v/>
      </c>
      <c r="H16" s="128" t="n"/>
      <c r="I16" s="4" t="n"/>
    </row>
    <row r="17" ht="44" customHeight="1">
      <c r="A17" s="4" t="n"/>
      <c r="B17" s="4" t="n"/>
      <c r="C17" s="128" t="n"/>
      <c r="D17" s="128" t="n"/>
      <c r="E17" s="128" t="n"/>
      <c r="F17" s="128" t="n"/>
      <c r="G17" s="128" t="n"/>
      <c r="H17" s="128" t="n"/>
      <c r="I17" s="4" t="n"/>
    </row>
    <row r="18" ht="44" customHeight="1">
      <c r="A18" s="4" t="inlineStr">
        <is>
          <t>Capacity-constrained Year 1 beds</t>
        </is>
      </c>
      <c r="B18" s="4" t="n"/>
      <c r="C18" s="128" t="n"/>
      <c r="D18" s="128">
        <f>'Cases'!H6</f>
        <v/>
      </c>
      <c r="E18" s="128" t="n"/>
      <c r="F18" s="128" t="n"/>
      <c r="G18" s="128">
        <f>'Cases'!H7</f>
        <v/>
      </c>
      <c r="H18" s="128" t="n"/>
      <c r="I18" s="4" t="n"/>
    </row>
    <row r="19" ht="44" customHeight="1">
      <c r="A19" s="4" t="inlineStr">
        <is>
          <t>Year 1 priced cash need</t>
        </is>
      </c>
      <c r="B19" s="4" t="n"/>
      <c r="C19" s="128" t="n"/>
      <c r="D19" s="128">
        <f>'Cases'!L6</f>
        <v/>
      </c>
      <c r="E19" s="128" t="n"/>
      <c r="F19" s="128" t="n"/>
      <c r="G19" s="128">
        <f>'Cases'!L7</f>
        <v/>
      </c>
      <c r="H19" s="128" t="n"/>
      <c r="I19" s="4" t="n"/>
    </row>
    <row r="20" ht="44" customHeight="1">
      <c r="A20" s="4" t="inlineStr">
        <is>
          <t>Unpriced inputs</t>
        </is>
      </c>
      <c r="B20" s="4" t="n"/>
      <c r="C20" s="128" t="n"/>
      <c r="D20" s="128">
        <f>'Cases'!N6</f>
        <v/>
      </c>
      <c r="E20" s="128" t="n"/>
      <c r="F20" s="128" t="n"/>
      <c r="G20" s="128">
        <f>'Cases'!N7</f>
        <v/>
      </c>
      <c r="H20" s="128" t="n"/>
      <c r="I20" s="4" t="n"/>
    </row>
    <row r="21" ht="28" customHeight="1">
      <c r="A21" s="4" t="n"/>
      <c r="B21" s="4" t="n"/>
      <c r="C21" s="4" t="n"/>
      <c r="D21" s="4" t="n"/>
      <c r="E21" s="4" t="n"/>
      <c r="F21" s="4" t="n"/>
      <c r="G21" s="4" t="n"/>
      <c r="H21" s="4" t="n"/>
      <c r="I21" s="4" t="n"/>
    </row>
    <row r="22" ht="64" customHeight="1">
      <c r="A22" s="4" t="inlineStr">
        <is>
          <t>Q7 delivery change</t>
        </is>
      </c>
      <c r="B22" s="4" t="inlineStr">
        <is>
          <t>A smaller grant changes the infrastructure contribution or establishment sequence. It does not buy an annual local wage programme or guarantee 300 beds.</t>
        </is>
      </c>
    </row>
    <row r="23" ht="28" customHeight="1">
      <c r="A23" s="4" t="n"/>
      <c r="B23" s="4" t="n"/>
      <c r="C23" s="4" t="n"/>
      <c r="D23" s="4" t="n"/>
      <c r="E23" s="4" t="n"/>
      <c r="F23" s="4" t="n"/>
      <c r="G23" s="4" t="n"/>
      <c r="H23" s="4" t="n"/>
      <c r="I23" s="4" t="n"/>
    </row>
    <row r="24" ht="28" customHeight="1">
      <c r="A24" s="4" t="n"/>
      <c r="B24" s="4" t="n"/>
      <c r="C24" s="4" t="n"/>
      <c r="D24" s="4" t="n"/>
      <c r="E24" s="4" t="n"/>
      <c r="F24" s="4" t="n"/>
      <c r="G24" s="4" t="n"/>
      <c r="H24" s="4" t="n"/>
      <c r="I24" s="4" t="n"/>
    </row>
    <row r="25" ht="54" customHeight="1">
      <c r="A25" s="8" t="inlineStr">
        <is>
          <t>Form area</t>
        </is>
      </c>
      <c r="B25" s="8" t="inlineStr">
        <is>
          <t>What this workbook supplies</t>
        </is>
      </c>
      <c r="C25" s="8" t="inlineStr">
        <is>
          <t>Source / next action</t>
        </is>
      </c>
    </row>
    <row r="26" ht="84" customHeight="1">
      <c r="A26" s="4" t="inlineStr">
        <is>
          <t>Q1–4 and Q8</t>
        </is>
      </c>
      <c r="B26" s="4" t="inlineStr">
        <is>
          <t>Applicant, related entities and funded delivery roles</t>
        </is>
      </c>
      <c r="C26" s="4" t="inlineStr">
        <is>
          <t>Butterfly / Goods is the operating home. Confirm actual transfer dates, contracts, directors and entity identifiers in the governance documents.</t>
        </is>
      </c>
    </row>
    <row r="27" ht="84" customHeight="1">
      <c r="A27" s="4" t="inlineStr">
        <is>
          <t>Q5–7</t>
        </is>
      </c>
      <c r="B27" s="4" t="inlineStr">
        <is>
          <t>Candidate amounts; programme allocation remains open</t>
        </is>
      </c>
      <c r="C27" s="4" t="inlineStr">
        <is>
          <t>See Phase and raise for cost responsibility, source alignment and the funding bridge. No allocation is approved yet.</t>
        </is>
      </c>
    </row>
    <row r="28" ht="84" customHeight="1">
      <c r="A28" s="4" t="inlineStr">
        <is>
          <t>Q9–11</t>
        </is>
      </c>
      <c r="B28" s="4" t="inlineStr">
        <is>
          <t>Forecast delivery, material use and work; evidence plan</t>
        </is>
      </c>
      <c r="C28" s="4" t="inlineStr">
        <is>
          <t>Monthly forecast and Evidence and decisions. Historical measured results remain separate.</t>
        </is>
      </c>
    </row>
    <row r="29" ht="84" customHeight="1">
      <c r="A29" s="4" t="inlineStr">
        <is>
          <t>Q12–13</t>
        </is>
      </c>
      <c r="B29" s="4" t="inlineStr">
        <is>
          <t>Document gaps and legal declaration</t>
        </is>
      </c>
      <c r="C29" s="4" t="inlineStr">
        <is>
          <t>Human declaration and governance documents required. No automatic Yes/No answer.</t>
        </is>
      </c>
    </row>
    <row r="30" ht="84" customHeight="1">
      <c r="A30" s="4" t="inlineStr">
        <is>
          <t>Q14–18</t>
        </is>
      </c>
      <c r="B30" s="4" t="inlineStr">
        <is>
          <t>Funding amount, recipient, stage, conditions and timing</t>
        </is>
      </c>
      <c r="C30" s="4" t="inlineStr">
        <is>
          <t>Funding and Cases. Confirm any claimed causal link between QBE and other finance with the funder.</t>
        </is>
      </c>
    </row>
    <row r="31" ht="84" customHeight="1">
      <c r="A31" s="4" t="inlineStr">
        <is>
          <t>Q19</t>
        </is>
      </c>
      <c r="B31" s="4" t="inlineStr">
        <is>
          <t>Production constraints, staff scope, costs and cash</t>
        </is>
      </c>
      <c r="C31" s="4" t="inlineStr">
        <is>
          <t>NM Play, Sites, Costs and Monthly forecast. Capacity assumptions need measured rates and accountable operators.</t>
        </is>
      </c>
    </row>
    <row r="32" ht="84" customHeight="1">
      <c r="A32" s="4" t="inlineStr">
        <is>
          <t>Q20–21</t>
        </is>
      </c>
      <c r="B32" s="4" t="inlineStr">
        <is>
          <t>Preserved applicant accounts and separate Goods history</t>
        </is>
      </c>
      <c r="C32" s="4" t="inlineStr">
        <is>
          <t>Butterfly FY26 carries applicant historical figures. FY26 is ACT Goods history. Forecast statements are supplementary; source financial documents still need the submission attachment.</t>
        </is>
      </c>
    </row>
    <row r="33" ht="84" customHeight="1">
      <c r="A33" s="4" t="inlineStr">
        <is>
          <t>Q22–23</t>
        </is>
      </c>
      <c r="B33" s="4" t="inlineStr">
        <is>
          <t>Governance and model attachments</t>
        </is>
      </c>
      <c r="C33" s="4" t="inlineStr">
        <is>
          <t>Use the canonical application documents. Export a dated approved model view without unnecessary private transaction details.</t>
        </is>
      </c>
    </row>
    <row r="34" ht="84" customHeight="1">
      <c r="A34" s="4" t="inlineStr">
        <is>
          <t>Q24–25</t>
        </is>
      </c>
      <c r="B34" s="4" t="inlineStr">
        <is>
          <t>Solvency and accuracy declaration</t>
        </is>
      </c>
      <c r="C34" s="4" t="inlineStr">
        <is>
          <t>Requires human review of actual accounts and obligations. A positive scenario is not proof of solvency.</t>
        </is>
      </c>
    </row>
    <row r="35" ht="28" customHeight="1">
      <c r="A35" s="4" t="n"/>
      <c r="B35" s="4" t="n"/>
      <c r="C35" s="4" t="n"/>
      <c r="D35" s="4" t="n"/>
      <c r="E35" s="4" t="n"/>
      <c r="F35" s="4" t="n"/>
      <c r="G35" s="4" t="n"/>
      <c r="H35" s="4" t="n"/>
      <c r="I35" s="4" t="n"/>
    </row>
    <row r="36" ht="28" customHeight="1">
      <c r="A36" s="4" t="n"/>
      <c r="B36" s="4" t="n"/>
      <c r="C36" s="4" t="n"/>
      <c r="D36" s="4" t="n"/>
      <c r="E36" s="4" t="n"/>
      <c r="F36" s="4" t="n"/>
      <c r="G36" s="4" t="n"/>
      <c r="H36" s="4" t="n"/>
      <c r="I36" s="4" t="n"/>
    </row>
    <row r="37" ht="38" customHeight="1">
      <c r="A37" s="84" t="inlineStr">
        <is>
          <t>Historical capital-only comparison</t>
        </is>
      </c>
    </row>
    <row r="38" ht="52" customHeight="1">
      <c r="A38" s="72" t="inlineStr">
        <is>
          <t>Cost / contribution</t>
        </is>
      </c>
      <c r="B38" s="72" t="inlineStr">
        <is>
          <t>150,000 option</t>
        </is>
      </c>
      <c r="C38" s="72" t="inlineStr">
        <is>
          <t>250,000 option</t>
        </is>
      </c>
      <c r="D38" s="72" t="inlineStr">
        <is>
          <t>350,000 option</t>
        </is>
      </c>
      <c r="E38" s="72" t="inlineStr">
        <is>
          <t>Basis</t>
        </is>
      </c>
      <c r="F38" s="72" t="n"/>
      <c r="G38" s="72" t="n"/>
      <c r="H38" s="72" t="n"/>
      <c r="I38" s="72" t="n"/>
    </row>
    <row r="39" ht="48" customHeight="1">
      <c r="A39" s="109" t="inlineStr">
        <is>
          <t>QBE ask</t>
        </is>
      </c>
      <c r="B39" s="154" t="n">
        <v>150000</v>
      </c>
      <c r="C39" s="154" t="n">
        <v>250000</v>
      </c>
      <c r="D39" s="154" t="n">
        <v>350000</v>
      </c>
      <c r="E39" s="109" t="inlineStr">
        <is>
          <t>Options, not approved requests.</t>
        </is>
      </c>
    </row>
    <row r="40" ht="48" customHeight="1">
      <c r="A40" s="109" t="inlineStr">
        <is>
          <t>Two-facility infrastructure allowance</t>
        </is>
      </c>
      <c r="B40" s="155">
        <f>SUM('Capital'!E7:E8)</f>
        <v/>
      </c>
      <c r="C40" s="155">
        <f>SUM('Capital'!E7:E8)</f>
        <v/>
      </c>
      <c r="D40" s="155">
        <f>SUM('Capital'!E7:E8)</f>
        <v/>
      </c>
      <c r="E40" s="109" t="inlineStr">
        <is>
          <t>Existing combined allowance includes equipment/setup; obtain quotes and avoid double-counting.</t>
        </is>
      </c>
    </row>
    <row r="41" ht="48" customHeight="1">
      <c r="A41" s="109" t="inlineStr">
        <is>
          <t>QBE contribution to infrastructure</t>
        </is>
      </c>
      <c r="B41" s="155">
        <f>MIN(B39,B40)</f>
        <v/>
      </c>
      <c r="C41" s="155">
        <f>MIN(C39,C40)</f>
        <v/>
      </c>
      <c r="D41" s="155">
        <f>MIN(D39,D40)</f>
        <v/>
      </c>
      <c r="E41" s="109" t="inlineStr">
        <is>
          <t>Capital-first comparison only. Does not commit the eventual grant allocation.</t>
        </is>
      </c>
    </row>
    <row r="42" ht="48" customHeight="1">
      <c r="A42" s="109" t="inlineStr">
        <is>
          <t>Other capital still needed</t>
        </is>
      </c>
      <c r="B42" s="155">
        <f>MAX(0,B40-B41)</f>
        <v/>
      </c>
      <c r="C42" s="155">
        <f>MAX(0,C40-C41)</f>
        <v/>
      </c>
      <c r="D42" s="155">
        <f>MAX(0,D40-D41)</f>
        <v/>
      </c>
      <c r="E42" s="109" t="inlineStr">
        <is>
          <t>Could be philanthropy or suitable finance; no loan is assumed or approved here.</t>
        </is>
      </c>
    </row>
    <row r="43" ht="48" customHeight="1">
      <c r="A43" s="109" t="inlineStr">
        <is>
          <t>QBE balance for establishment</t>
        </is>
      </c>
      <c r="B43" s="155">
        <f>MAX(0,B39-B41)</f>
        <v/>
      </c>
      <c r="C43" s="155">
        <f>MAX(0,C39-C41)</f>
        <v/>
      </c>
      <c r="D43" s="155">
        <f>MAX(0,D39-D41)</f>
        <v/>
      </c>
      <c r="E43" s="109" t="inlineStr">
        <is>
          <t>Available for a separately priced establishment package; not recurring local operations.</t>
        </is>
      </c>
    </row>
    <row r="44" ht="48" customHeight="1">
      <c r="A44" s="109" t="inlineStr">
        <is>
          <t>Priced additional establishment</t>
        </is>
      </c>
      <c r="B44" s="155">
        <f>'Responsibilities'!B38</f>
        <v/>
      </c>
      <c r="C44" s="155">
        <f>'Responsibilities'!B38</f>
        <v/>
      </c>
      <c r="D44" s="155">
        <f>'Responsibilities'!B38</f>
        <v/>
      </c>
      <c r="E44" s="109" t="inlineStr">
        <is>
          <t>Only additional items explicitly priced and confirmed outside the allowance.</t>
        </is>
      </c>
    </row>
    <row r="45" ht="48" customHeight="1">
      <c r="A45" s="109" t="inlineStr">
        <is>
          <t>Unallocated QBE balance</t>
        </is>
      </c>
      <c r="B45" s="155">
        <f>MAX(0,B43-B44)</f>
        <v/>
      </c>
      <c r="C45" s="155">
        <f>MAX(0,C43-C44)</f>
        <v/>
      </c>
      <c r="D45" s="155">
        <f>MAX(0,D43-D44)</f>
        <v/>
      </c>
      <c r="E45" s="109" t="inlineStr">
        <is>
          <t>Not yet justified by priced additional work. Do not describe this as a costed package.</t>
        </is>
      </c>
    </row>
    <row r="46" ht="48" customHeight="1">
      <c r="A46" s="109" t="inlineStr">
        <is>
          <t>Priced establishment left to fund</t>
        </is>
      </c>
      <c r="B46" s="155">
        <f>MAX(0,B44-B43)</f>
        <v/>
      </c>
      <c r="C46" s="155">
        <f>MAX(0,C44-C43)</f>
        <v/>
      </c>
      <c r="D46" s="155">
        <f>MAX(0,D44-D43)</f>
        <v/>
      </c>
      <c r="E46" s="109" t="inlineStr">
        <is>
          <t>Additional priced establishment exceeds the QBE remainder.</t>
        </is>
      </c>
    </row>
    <row r="47" ht="48" customHeight="1">
      <c r="A47" s="109" t="inlineStr">
        <is>
          <t>Allowance per facility</t>
        </is>
      </c>
      <c r="B47" s="155">
        <f>SUM('Capital'!E7:E8)/2</f>
        <v/>
      </c>
      <c r="C47" s="155">
        <f>SUM('Capital'!E7:E8)/2</f>
        <v/>
      </c>
      <c r="D47" s="155">
        <f>SUM('Capital'!E7:E8)/2</f>
        <v/>
      </c>
      <c r="E47" s="109" t="inlineStr">
        <is>
          <t>Average allocation only; actual installed cost may differ by location.</t>
        </is>
      </c>
    </row>
    <row r="48" ht="48" customHeight="1">
      <c r="A48" s="109" t="inlineStr">
        <is>
          <t>Allowance equivalents covered</t>
        </is>
      </c>
      <c r="B48" s="156">
        <f>IF(B47&gt;0,B41/B47,"")</f>
        <v/>
      </c>
      <c r="C48" s="156">
        <f>IF(C47&gt;0,C41/C47,"")</f>
        <v/>
      </c>
      <c r="D48" s="156">
        <f>IF(D47&gt;0,D41/D47,"")</f>
        <v/>
      </c>
      <c r="E48" s="109" t="inlineStr">
        <is>
          <t>Funding equivalent, not a count of installed or operational sites.</t>
        </is>
      </c>
    </row>
    <row r="49" ht="48" customHeight="1">
      <c r="A49" s="109" t="inlineStr">
        <is>
          <t>Unresolved establishment lines</t>
        </is>
      </c>
      <c r="B49" s="157">
        <f>'Responsibilities'!B39</f>
        <v/>
      </c>
      <c r="C49" s="157">
        <f>'Responsibilities'!B39</f>
        <v/>
      </c>
      <c r="D49" s="157">
        <f>'Responsibilities'!B39</f>
        <v/>
      </c>
      <c r="E49" s="109" t="inlineStr">
        <is>
          <t>Open amounts and inclusion boundaries remain visible.</t>
        </is>
      </c>
    </row>
    <row r="50" ht="48" customHeight="1">
      <c r="A50" s="109" t="inlineStr">
        <is>
          <t>Allocation difference</t>
        </is>
      </c>
      <c r="B50" s="157">
        <f>B39-B41-MIN(B43,B44)-B45</f>
        <v/>
      </c>
      <c r="C50" s="157">
        <f>C39-C41-MIN(C43,C44)-C45</f>
        <v/>
      </c>
      <c r="D50" s="157">
        <f>D39-D41-MIN(D43,D44)-D45</f>
        <v/>
      </c>
      <c r="E50" s="109" t="inlineStr">
        <is>
          <t>Ask = infrastructure + priced establishment covered + unallocated balance.</t>
        </is>
      </c>
    </row>
    <row r="51" ht="42" customHeight="1">
      <c r="A51" s="109" t="n"/>
      <c r="B51" s="109" t="n"/>
      <c r="C51" s="109" t="n"/>
      <c r="D51" s="109" t="n"/>
      <c r="E51" s="109" t="n"/>
      <c r="F51" s="109" t="n"/>
      <c r="G51" s="109" t="n"/>
      <c r="H51" s="109" t="n"/>
      <c r="I51" s="109" t="n"/>
    </row>
    <row r="52" ht="90" customHeight="1">
      <c r="A52" s="109" t="inlineStr">
        <is>
          <t>Historical comparison against the infrastructure allowance only. It excludes initial stock, delivery and community programme support. Do not use it as the new programme allocation.</t>
        </is>
      </c>
    </row>
    <row r="53" ht="42" customHeight="1">
      <c r="A53" s="109" t="n"/>
      <c r="B53" s="109" t="n"/>
      <c r="C53" s="109" t="n"/>
      <c r="D53" s="109" t="n"/>
      <c r="E53" s="109" t="n"/>
      <c r="F53" s="109" t="n"/>
      <c r="G53" s="109" t="n"/>
      <c r="H53" s="109" t="n"/>
      <c r="I53" s="109" t="n"/>
    </row>
    <row r="54" ht="86" customHeight="1">
      <c r="A54" s="109" t="inlineStr">
        <is>
          <t>Current decision (9 Sep 2026): QBE $300,000 = two plants; $150,000 = one plant. TFFF on shared operations, BMD on facilitation and beds. Everything else (beds beyond BMD, The Harvest year, shared costs beyond TFFF) is raised from other supporters and scales.</t>
        </is>
      </c>
    </row>
    <row r="55" ht="42" customHeight="1">
      <c r="A55" s="109" t="n"/>
      <c r="B55" s="109" t="n"/>
      <c r="C55" s="109" t="n"/>
      <c r="D55" s="109" t="n"/>
      <c r="E55" s="109" t="n"/>
      <c r="F55" s="109" t="n"/>
      <c r="G55" s="109" t="n"/>
      <c r="H55" s="109" t="n"/>
      <c r="I55" s="109" t="n"/>
    </row>
    <row r="56" ht="42" customHeight="1">
      <c r="A56" s="109" t="n"/>
      <c r="B56" s="109" t="n"/>
      <c r="C56" s="109" t="n"/>
      <c r="D56" s="109" t="n"/>
      <c r="E56" s="109" t="n"/>
      <c r="F56" s="109" t="n"/>
      <c r="G56" s="109" t="n"/>
      <c r="H56" s="109" t="n"/>
      <c r="I56" s="109" t="n"/>
    </row>
    <row r="57" ht="28" customHeight="1">
      <c r="A57" s="4" t="n"/>
      <c r="B57" s="4" t="n"/>
      <c r="C57" s="4" t="n"/>
      <c r="D57" s="4" t="n"/>
      <c r="E57" s="4" t="n"/>
      <c r="F57" s="4" t="n"/>
      <c r="G57" s="4" t="n"/>
      <c r="H57" s="4" t="n"/>
      <c r="I57" s="4" t="n"/>
    </row>
    <row r="58" ht="28" customHeight="1">
      <c r="A58" s="4" t="n"/>
      <c r="B58" s="4" t="n"/>
      <c r="C58" s="4" t="n"/>
      <c r="D58" s="4" t="n"/>
      <c r="E58" s="4" t="n"/>
      <c r="F58" s="4" t="n"/>
      <c r="G58" s="4" t="n"/>
      <c r="H58" s="4" t="n"/>
      <c r="I58" s="4" t="n"/>
    </row>
    <row r="59" ht="28" customHeight="1">
      <c r="A59" s="4" t="n"/>
      <c r="B59" s="4" t="n"/>
      <c r="C59" s="4" t="n"/>
      <c r="D59" s="4" t="n"/>
      <c r="E59" s="4" t="n"/>
      <c r="F59" s="4" t="n"/>
      <c r="G59" s="4" t="n"/>
      <c r="H59" s="4" t="n"/>
      <c r="I59" s="4" t="n"/>
    </row>
    <row r="60" ht="28" customHeight="1">
      <c r="A60" s="4" t="n"/>
      <c r="B60" s="4" t="n"/>
      <c r="C60" s="4" t="n"/>
      <c r="D60" s="4" t="n"/>
      <c r="E60" s="4" t="n"/>
      <c r="F60" s="4" t="n"/>
      <c r="G60" s="4" t="n"/>
      <c r="H60" s="4" t="n"/>
      <c r="I60" s="4" t="n"/>
    </row>
    <row r="61" ht="28" customHeight="1">
      <c r="A61" s="4" t="n"/>
      <c r="B61" s="4" t="n"/>
      <c r="C61" s="4" t="n"/>
      <c r="D61" s="4" t="n"/>
      <c r="E61" s="4" t="n"/>
      <c r="F61" s="4" t="n"/>
      <c r="G61" s="4" t="n"/>
      <c r="H61" s="4" t="n"/>
      <c r="I61" s="4" t="n"/>
    </row>
    <row r="62" ht="28" customHeight="1">
      <c r="A62" s="4" t="n"/>
      <c r="B62" s="4" t="n"/>
      <c r="C62" s="4" t="n"/>
      <c r="D62" s="4" t="n"/>
      <c r="E62" s="4" t="n"/>
      <c r="F62" s="4" t="n"/>
      <c r="G62" s="4" t="n"/>
      <c r="H62" s="4" t="n"/>
      <c r="I62" s="4" t="n"/>
    </row>
  </sheetData>
  <mergeCells count="28">
    <mergeCell ref="E43:I43"/>
    <mergeCell ref="E50:I50"/>
    <mergeCell ref="A37:I37"/>
    <mergeCell ref="E42:I42"/>
    <mergeCell ref="B22:I22"/>
    <mergeCell ref="C32:I32"/>
    <mergeCell ref="A3:I3"/>
    <mergeCell ref="E39:I39"/>
    <mergeCell ref="E48:I48"/>
    <mergeCell ref="C28:I28"/>
    <mergeCell ref="E44:I44"/>
    <mergeCell ref="C34:I34"/>
    <mergeCell ref="C30:I30"/>
    <mergeCell ref="C33:I33"/>
    <mergeCell ref="E40:I40"/>
    <mergeCell ref="A52:I52"/>
    <mergeCell ref="C26:I26"/>
    <mergeCell ref="E46:I46"/>
    <mergeCell ref="E49:I49"/>
    <mergeCell ref="C29:I29"/>
    <mergeCell ref="E45:I45"/>
    <mergeCell ref="C25:I25"/>
    <mergeCell ref="C31:I31"/>
    <mergeCell ref="A1:I1"/>
    <mergeCell ref="E41:I41"/>
    <mergeCell ref="E47:I47"/>
    <mergeCell ref="C27:I27"/>
    <mergeCell ref="A54:I54"/>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6"/>
  <sheetViews>
    <sheetView showGridLines="0" workbookViewId="0">
      <pane ySplit="5" topLeftCell="A6" activePane="bottomLeft" state="frozen"/>
      <selection activeCell="A1" sqref="A1"/>
    </sheetView>
  </sheetViews>
  <sheetFormatPr baseColWidth="8" defaultRowHeight="15"/>
  <cols>
    <col width="38" customWidth="1" min="1" max="1"/>
    <col width="18" customWidth="1" min="2" max="2"/>
    <col width="18" customWidth="1" min="3" max="3"/>
    <col width="18" customWidth="1" min="4" max="4"/>
    <col width="65" customWidth="1" min="5" max="5"/>
    <col width="18" customWidth="1" min="6" max="6"/>
    <col width="18" customWidth="1" min="7" max="7"/>
    <col width="18" customWidth="1" min="8" max="8"/>
    <col width="18" customWidth="1" min="9" max="9"/>
  </cols>
  <sheetData>
    <row r="1" ht="38" customHeight="1">
      <c r="A1" s="5" t="inlineStr">
        <is>
          <t>Community stock and proceeds</t>
        </is>
      </c>
    </row>
    <row r="2" ht="28" customHeight="1">
      <c r="A2" s="4" t="n"/>
      <c r="B2" s="4" t="n"/>
      <c r="C2" s="4" t="n"/>
      <c r="D2" s="4" t="n"/>
      <c r="E2" s="4" t="n"/>
      <c r="F2" s="4" t="n"/>
      <c r="G2" s="4" t="n"/>
      <c r="H2" s="4" t="n"/>
      <c r="I2" s="4" t="n"/>
    </row>
    <row r="3" ht="54" customHeight="1">
      <c r="A3" s="6" t="inlineStr">
        <is>
          <t>Community organisations sell initial stock to institutional or other buyers and retain all proceeds. Quantities and prices remain local decisions. Receipts do not enter Goods revenue or loan repayment. Zero entered sales are unconfirmed placeholders, not a forecast of demand.</t>
        </is>
      </c>
    </row>
    <row r="4" ht="28" customHeight="1">
      <c r="A4" s="4" t="n"/>
      <c r="B4" s="4" t="n"/>
      <c r="C4" s="4" t="n"/>
      <c r="D4" s="4" t="n"/>
      <c r="E4" s="4" t="n"/>
      <c r="F4" s="4" t="n"/>
      <c r="G4" s="4" t="n"/>
      <c r="H4" s="4" t="n"/>
      <c r="I4" s="4" t="n"/>
    </row>
    <row r="5" ht="54" customHeight="1">
      <c r="A5" s="8" t="inlineStr">
        <is>
          <t>Planning measure</t>
        </is>
      </c>
      <c r="B5" s="8" t="inlineStr">
        <is>
          <t>Year 1</t>
        </is>
      </c>
      <c r="C5" s="8" t="inlineStr">
        <is>
          <t>Year 2</t>
        </is>
      </c>
      <c r="D5" s="8" t="inlineStr">
        <is>
          <t>Year 3</t>
        </is>
      </c>
      <c r="E5" s="8" t="inlineStr">
        <is>
          <t>Basis / meaning</t>
        </is>
      </c>
      <c r="F5" s="8" t="str"/>
      <c r="G5" s="8" t="str"/>
      <c r="H5" s="8" t="str"/>
      <c r="I5" s="8" t="str"/>
    </row>
    <row r="6" ht="42" customHeight="1">
      <c r="A6" s="4" t="inlineStr">
        <is>
          <t>Opening community stock</t>
        </is>
      </c>
      <c r="B6" s="139" t="n">
        <v>0</v>
      </c>
      <c r="C6" s="4">
        <f>B11</f>
        <v/>
      </c>
      <c r="D6" s="4">
        <f>C11</f>
        <v/>
      </c>
      <c r="E6" s="4" t="n"/>
      <c r="F6" s="4" t="n"/>
      <c r="G6" s="4" t="n"/>
      <c r="H6" s="4" t="n"/>
      <c r="I6" s="4" t="n"/>
    </row>
    <row r="7" ht="42" customHeight="1">
      <c r="A7" s="4" t="inlineStr">
        <is>
          <t>Beds supplied from selected plan</t>
        </is>
      </c>
      <c r="B7" s="4">
        <f>SUMIFS(CashSchedule[Community deliveries],CashSchedule[Case],'Assumptions'!$B$6,CashSchedule[Year],1)</f>
        <v/>
      </c>
      <c r="C7" s="4">
        <f>SUMIFS(CashSchedule[Community deliveries],CashSchedule[Case],'Assumptions'!$B$6,CashSchedule[Year],2)</f>
        <v/>
      </c>
      <c r="D7" s="4">
        <f>SUMIFS(CashSchedule[Community deliveries],CashSchedule[Case],'Assumptions'!$B$6,CashSchedule[Year],3)</f>
        <v/>
      </c>
      <c r="E7" s="4" t="inlineStr">
        <is>
          <t>Capacity-constrained stock from the selected forecast, not the full target or a confirmed allocation.</t>
        </is>
      </c>
      <c r="F7" s="4" t="n"/>
      <c r="G7" s="4" t="n"/>
      <c r="H7" s="4" t="n"/>
      <c r="I7" s="4" t="n"/>
    </row>
    <row r="8" ht="42" customHeight="1">
      <c r="A8" s="4" t="inlineStr">
        <is>
          <t>Community units sold</t>
        </is>
      </c>
      <c r="B8" s="139" t="n">
        <v>0</v>
      </c>
      <c r="C8" s="139" t="n">
        <v>0</v>
      </c>
      <c r="D8" s="139" t="n">
        <v>0</v>
      </c>
      <c r="E8" s="4" t="n"/>
      <c r="F8" s="4" t="n"/>
      <c r="G8" s="4" t="n"/>
      <c r="H8" s="4" t="n"/>
      <c r="I8" s="4" t="n"/>
    </row>
    <row r="9" ht="42" customHeight="1">
      <c r="A9" s="4" t="inlineStr">
        <is>
          <t>Community units given</t>
        </is>
      </c>
      <c r="B9" s="139" t="n">
        <v>0</v>
      </c>
      <c r="C9" s="139" t="n">
        <v>0</v>
      </c>
      <c r="D9" s="139" t="n">
        <v>0</v>
      </c>
      <c r="E9" s="4" t="n"/>
      <c r="F9" s="4" t="n"/>
      <c r="G9" s="4" t="n"/>
      <c r="H9" s="4" t="n"/>
      <c r="I9" s="4" t="n"/>
    </row>
    <row r="10" ht="42" customHeight="1">
      <c r="A10" s="4" t="inlineStr">
        <is>
          <t>Community sale price</t>
        </is>
      </c>
      <c r="B10" s="139" t="n">
        <v>500</v>
      </c>
      <c r="C10" s="139" t="n">
        <v>500</v>
      </c>
      <c r="D10" s="139" t="n">
        <v>500</v>
      </c>
      <c r="E10" s="4" t="inlineStr">
        <is>
          <t>$500 is the original grant-seeded illustration, not a community offer or agreed price.</t>
        </is>
      </c>
      <c r="F10" s="4" t="n"/>
      <c r="G10" s="4" t="n"/>
      <c r="H10" s="4" t="n"/>
      <c r="I10" s="4" t="n"/>
    </row>
    <row r="11" ht="42" customHeight="1">
      <c r="A11" s="4" t="inlineStr">
        <is>
          <t>Closing stock</t>
        </is>
      </c>
      <c r="B11" s="4">
        <f>SUM(B6:B7)-SUM(B8:B9)</f>
        <v/>
      </c>
      <c r="C11" s="4">
        <f>SUM(C6:C7)-SUM(C8:C9)</f>
        <v/>
      </c>
      <c r="D11" s="4">
        <f>SUM(D6:D7)-SUM(D8:D9)</f>
        <v/>
      </c>
      <c r="E11" s="4" t="n"/>
      <c r="F11" s="4" t="n"/>
      <c r="G11" s="4" t="n"/>
      <c r="H11" s="4" t="n"/>
      <c r="I11" s="4" t="n"/>
    </row>
    <row r="12" ht="42" customHeight="1">
      <c r="A12" s="4" t="inlineStr">
        <is>
          <t>Gross community proceeds</t>
        </is>
      </c>
      <c r="B12" s="4">
        <f>B8*B10</f>
        <v/>
      </c>
      <c r="C12" s="4">
        <f>C8*C10</f>
        <v/>
      </c>
      <c r="D12" s="4">
        <f>D8*D10</f>
        <v/>
      </c>
      <c r="E12" s="4" t="n"/>
      <c r="F12" s="4" t="n"/>
      <c r="G12" s="4" t="n"/>
      <c r="H12" s="4" t="n"/>
      <c r="I12" s="4" t="n"/>
    </row>
    <row r="13" ht="42" customHeight="1">
      <c r="A13" s="4" t="n"/>
      <c r="B13" s="4" t="n"/>
      <c r="C13" s="4" t="n"/>
      <c r="D13" s="4" t="n"/>
      <c r="E13" s="4" t="n"/>
      <c r="F13" s="4" t="n"/>
      <c r="G13" s="4" t="n"/>
      <c r="H13" s="4" t="n"/>
      <c r="I13" s="4" t="n"/>
    </row>
    <row r="14" ht="42" customHeight="1">
      <c r="A14" s="4" t="inlineStr">
        <is>
          <t>Optional local costs entered</t>
        </is>
      </c>
      <c r="B14" s="139" t="n"/>
      <c r="C14" s="139" t="n"/>
      <c r="D14" s="139" t="n"/>
      <c r="E14" s="4" t="inlineStr">
        <is>
          <t>Optional planning costs, not a condition on community control of proceeds. Blank means unpriced.</t>
        </is>
      </c>
      <c r="F14" s="4" t="n"/>
      <c r="G14" s="4" t="n"/>
      <c r="H14" s="4" t="n"/>
      <c r="I14" s="4" t="n"/>
    </row>
    <row r="15" ht="42" customHeight="1">
      <c r="A15" s="4" t="inlineStr">
        <is>
          <t>After entered costs</t>
        </is>
      </c>
      <c r="B15" s="4">
        <f>IF(ISNUMBER(B14),B12-B14,"")</f>
        <v/>
      </c>
      <c r="C15" s="4">
        <f>IF(ISNUMBER(C14),C12-C14,"")</f>
        <v/>
      </c>
      <c r="D15" s="4">
        <f>IF(ISNUMBER(D14),D12-D14,"")</f>
        <v/>
      </c>
      <c r="E15" s="4" t="n"/>
      <c r="F15" s="4" t="n"/>
      <c r="G15" s="4" t="n"/>
      <c r="H15" s="4" t="n"/>
      <c r="I15" s="4" t="n"/>
    </row>
    <row r="16" ht="42" customHeight="1">
      <c r="A16" s="4" t="n"/>
      <c r="B16" s="4" t="n"/>
      <c r="C16" s="4" t="n"/>
      <c r="D16" s="4" t="n"/>
      <c r="E16" s="4" t="n"/>
      <c r="F16" s="4" t="n"/>
      <c r="G16" s="4" t="n"/>
      <c r="H16" s="4" t="n"/>
      <c r="I16" s="4" t="n"/>
    </row>
    <row r="17" ht="42" customHeight="1">
      <c r="A17" s="4" t="inlineStr">
        <is>
          <t>Goods revenue from these resales</t>
        </is>
      </c>
      <c r="B17" s="4" t="n">
        <v>0</v>
      </c>
      <c r="C17" s="4" t="n">
        <v>0</v>
      </c>
      <c r="D17" s="4" t="n">
        <v>0</v>
      </c>
      <c r="E17" s="4" t="inlineStr">
        <is>
          <t>A later voluntary purchase from Goods would be a separate Goods order.</t>
        </is>
      </c>
      <c r="F17" s="4" t="n"/>
      <c r="G17" s="4" t="n"/>
      <c r="H17" s="4" t="n"/>
      <c r="I17" s="4" t="n"/>
    </row>
    <row r="18" ht="42" customHeight="1">
      <c r="A18" s="4" t="n"/>
      <c r="B18" s="4" t="n"/>
      <c r="C18" s="4" t="n"/>
      <c r="D18" s="4" t="n"/>
      <c r="E18" s="4" t="n"/>
      <c r="F18" s="4" t="n"/>
      <c r="G18" s="4" t="n"/>
      <c r="H18" s="4" t="n"/>
      <c r="I18" s="4" t="n"/>
    </row>
    <row r="19" ht="42" customHeight="1">
      <c r="A19" s="4" t="inlineStr">
        <is>
          <t>Invalid stock entries</t>
        </is>
      </c>
      <c r="B19" s="4">
        <f>IF(OR(B11&lt;0,MIN(B8:B10)&lt;0),1,0)</f>
        <v/>
      </c>
      <c r="C19" s="4">
        <f>IF(OR(C11&lt;0,MIN(C8:C10)&lt;0),1,0)</f>
        <v/>
      </c>
      <c r="D19" s="4">
        <f>IF(OR(D11&lt;0,MIN(D8:D10)&lt;0),1,0)</f>
        <v/>
      </c>
      <c r="E19" s="4" t="n"/>
      <c r="F19" s="4" t="n"/>
      <c r="G19" s="4" t="n"/>
      <c r="H19" s="4" t="n"/>
      <c r="I19" s="4" t="n"/>
    </row>
    <row r="20" ht="28" customHeight="1">
      <c r="A20" s="4" t="n"/>
      <c r="B20" s="4" t="n"/>
      <c r="C20" s="4" t="n"/>
      <c r="D20" s="4" t="n"/>
      <c r="E20" s="4" t="n"/>
      <c r="F20" s="4" t="n"/>
      <c r="G20" s="4" t="n"/>
      <c r="H20" s="4" t="n"/>
      <c r="I20" s="4" t="n"/>
    </row>
    <row r="21" ht="28" customHeight="1">
      <c r="A21" s="4" t="n"/>
      <c r="B21" s="4" t="n"/>
      <c r="C21" s="4" t="n"/>
      <c r="D21" s="4" t="n"/>
      <c r="E21" s="4" t="n"/>
      <c r="F21" s="4" t="n"/>
      <c r="G21" s="4" t="n"/>
      <c r="H21" s="4" t="n"/>
      <c r="I21" s="4" t="n"/>
    </row>
    <row r="22" ht="28" customHeight="1">
      <c r="A22" s="4" t="n"/>
      <c r="B22" s="4" t="n"/>
      <c r="C22" s="4" t="n"/>
      <c r="D22" s="4" t="n"/>
      <c r="E22" s="4" t="n"/>
      <c r="F22" s="4" t="n"/>
      <c r="G22" s="4" t="n"/>
      <c r="H22" s="4" t="n"/>
      <c r="I22" s="4" t="n"/>
    </row>
    <row r="23" ht="28" customHeight="1">
      <c r="A23" s="4" t="n"/>
      <c r="B23" s="4" t="n"/>
      <c r="C23" s="4" t="n"/>
      <c r="D23" s="4" t="n"/>
      <c r="E23" s="4" t="n"/>
      <c r="F23" s="4" t="n"/>
      <c r="G23" s="4" t="n"/>
      <c r="H23" s="4" t="n"/>
      <c r="I23" s="4" t="n"/>
    </row>
    <row r="24" ht="28" customHeight="1">
      <c r="A24" s="4" t="n"/>
      <c r="B24" s="4" t="n"/>
      <c r="C24" s="4" t="n"/>
      <c r="D24" s="4" t="n"/>
      <c r="E24" s="4" t="n"/>
      <c r="F24" s="4" t="n"/>
      <c r="G24" s="4" t="n"/>
      <c r="H24" s="4" t="n"/>
      <c r="I24" s="4" t="n"/>
    </row>
    <row r="25" ht="28" customHeight="1">
      <c r="A25" s="4" t="n"/>
      <c r="B25" s="4" t="n"/>
      <c r="C25" s="4" t="n"/>
      <c r="D25" s="4" t="n"/>
      <c r="E25" s="4" t="n"/>
      <c r="F25" s="4" t="n"/>
      <c r="G25" s="4" t="n"/>
      <c r="H25" s="4" t="n"/>
      <c r="I25" s="4" t="n"/>
    </row>
    <row r="26" ht="28" customHeight="1">
      <c r="A26" s="4" t="n"/>
      <c r="B26" s="4" t="n"/>
      <c r="C26" s="4" t="n"/>
      <c r="D26" s="4" t="n"/>
      <c r="E26" s="4" t="n"/>
      <c r="F26" s="4" t="n"/>
      <c r="G26" s="4" t="n"/>
      <c r="H26" s="4" t="n"/>
      <c r="I26" s="4" t="n"/>
    </row>
  </sheetData>
  <mergeCells count="2">
    <mergeCell ref="A1:I1"/>
    <mergeCell ref="A3:I3"/>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6"/>
  <sheetViews>
    <sheetView showGridLines="0" workbookViewId="0">
      <pane ySplit="5" topLeftCell="A6" activePane="bottomLeft" state="frozen"/>
      <selection activeCell="A1" sqref="A1"/>
    </sheetView>
  </sheetViews>
  <sheetFormatPr baseColWidth="8" defaultRowHeight="15"/>
  <cols>
    <col width="10" customWidth="1" min="1" max="1"/>
    <col width="18" customWidth="1" min="2" max="2"/>
    <col width="18" customWidth="1" min="3" max="3"/>
    <col width="18" customWidth="1" min="4" max="4"/>
    <col width="18" customWidth="1" min="5" max="5"/>
    <col width="45" customWidth="1" min="6" max="6"/>
    <col width="18" customWidth="1" min="7" max="7"/>
    <col width="18" customWidth="1" min="8" max="8"/>
    <col width="18" customWidth="1" min="9" max="9"/>
    <col width="18" customWidth="1" min="10" max="10"/>
    <col width="48" customWidth="1" min="11" max="11"/>
  </cols>
  <sheetData>
    <row r="1" ht="38" customHeight="1">
      <c r="A1" s="5" t="inlineStr">
        <is>
          <t>Monthly actuals and current forecast</t>
        </is>
      </c>
    </row>
    <row r="2" ht="28" customHeight="1">
      <c r="A2" s="4" t="n"/>
      <c r="B2" s="4" t="n"/>
      <c r="C2" s="4" t="n"/>
      <c r="D2" s="4" t="n"/>
      <c r="E2" s="4" t="n"/>
      <c r="F2" s="4" t="n"/>
      <c r="G2" s="4" t="n"/>
      <c r="H2" s="4" t="n"/>
      <c r="I2" s="4" t="n"/>
      <c r="J2" s="4" t="n"/>
      <c r="K2" s="4" t="n"/>
    </row>
    <row r="3" ht="54" customHeight="1">
      <c r="A3" s="6" t="inlineStr">
        <is>
          <t>Enter reconciled monthly Goods actuals with an entity and source. Blank actuals remain unknown. Comparison is against the current selected forecast, not a frozen approved budget. Historical applicant accounts remain on Butterfly FY26.</t>
        </is>
      </c>
    </row>
    <row r="4" ht="28" customHeight="1">
      <c r="A4" s="4" t="n"/>
      <c r="B4" s="4" t="n"/>
      <c r="C4" s="4" t="n"/>
      <c r="D4" s="4" t="n"/>
      <c r="E4" s="4" t="n"/>
      <c r="F4" s="4" t="n"/>
      <c r="G4" s="4" t="n"/>
      <c r="H4" s="4" t="n"/>
      <c r="I4" s="4" t="n"/>
      <c r="J4" s="4" t="n"/>
      <c r="K4" s="4" t="n"/>
    </row>
    <row r="5" ht="54" customHeight="1">
      <c r="A5" s="8" t="inlineStr">
        <is>
          <t>Month</t>
        </is>
      </c>
      <c r="B5" s="8" t="inlineStr">
        <is>
          <t>Period</t>
        </is>
      </c>
      <c r="C5" s="8" t="inlineStr">
        <is>
          <t>Actual receipts</t>
        </is>
      </c>
      <c r="D5" s="8" t="inlineStr">
        <is>
          <t>Actual payments</t>
        </is>
      </c>
      <c r="E5" s="8" t="inlineStr">
        <is>
          <t>Actual closing cash</t>
        </is>
      </c>
      <c r="F5" s="8" t="inlineStr">
        <is>
          <t>Entity / source</t>
        </is>
      </c>
      <c r="G5" s="8" t="inlineStr">
        <is>
          <t>Reviewed date</t>
        </is>
      </c>
      <c r="H5" s="8" t="inlineStr">
        <is>
          <t>Forecast receipts</t>
        </is>
      </c>
      <c r="I5" s="8" t="inlineStr">
        <is>
          <t>Forecast payments</t>
        </is>
      </c>
      <c r="J5" s="8" t="inlineStr">
        <is>
          <t>Net cash variance</t>
        </is>
      </c>
      <c r="K5" s="8" t="inlineStr">
        <is>
          <t>Reconciliation note</t>
        </is>
      </c>
    </row>
    <row r="6" ht="28" customHeight="1">
      <c r="A6" s="4" t="n">
        <v>1</v>
      </c>
      <c r="B6" s="136">
        <f>'Assumptions'!D56</f>
        <v/>
      </c>
      <c r="C6" s="139" t="n"/>
      <c r="D6" s="139" t="n"/>
      <c r="E6" s="139" t="n"/>
      <c r="F6" s="139" t="n"/>
      <c r="G6" s="158" t="n"/>
      <c r="H6" s="137">
        <f>'Monthly forecast'!D31</f>
        <v/>
      </c>
      <c r="I6" s="137">
        <f>'Monthly forecast'!D31-'Monthly forecast'!D47</f>
        <v/>
      </c>
      <c r="J6" s="137">
        <f>IF(COUNT(C6:D6)=2,C6-D6-(H6-I6),"")</f>
        <v/>
      </c>
      <c r="K6" s="159" t="n"/>
    </row>
    <row r="7" ht="28" customHeight="1">
      <c r="A7" s="4" t="n">
        <v>2</v>
      </c>
      <c r="B7" s="136">
        <f>'Assumptions'!E56</f>
        <v/>
      </c>
      <c r="C7" s="139" t="n"/>
      <c r="D7" s="139" t="n"/>
      <c r="E7" s="139" t="n"/>
      <c r="F7" s="139" t="n"/>
      <c r="G7" s="158" t="n"/>
      <c r="H7" s="137">
        <f>'Monthly forecast'!E31</f>
        <v/>
      </c>
      <c r="I7" s="137">
        <f>'Monthly forecast'!E31-'Monthly forecast'!E47</f>
        <v/>
      </c>
      <c r="J7" s="137">
        <f>IF(COUNT(C7:D7)=2,C7-D7-(H7-I7),"")</f>
        <v/>
      </c>
      <c r="K7" s="159" t="n"/>
    </row>
    <row r="8" ht="28" customHeight="1">
      <c r="A8" s="4" t="n">
        <v>3</v>
      </c>
      <c r="B8" s="136">
        <f>'Assumptions'!F56</f>
        <v/>
      </c>
      <c r="C8" s="139" t="n"/>
      <c r="D8" s="139" t="n"/>
      <c r="E8" s="139" t="n"/>
      <c r="F8" s="139" t="n"/>
      <c r="G8" s="158" t="n"/>
      <c r="H8" s="137">
        <f>'Monthly forecast'!F31</f>
        <v/>
      </c>
      <c r="I8" s="137">
        <f>'Monthly forecast'!F31-'Monthly forecast'!F47</f>
        <v/>
      </c>
      <c r="J8" s="137">
        <f>IF(COUNT(C8:D8)=2,C8-D8-(H8-I8),"")</f>
        <v/>
      </c>
      <c r="K8" s="159" t="n"/>
    </row>
    <row r="9" ht="28" customHeight="1">
      <c r="A9" s="4" t="n">
        <v>4</v>
      </c>
      <c r="B9" s="136">
        <f>'Assumptions'!G56</f>
        <v/>
      </c>
      <c r="C9" s="139" t="n"/>
      <c r="D9" s="139" t="n"/>
      <c r="E9" s="139" t="n"/>
      <c r="F9" s="139" t="n"/>
      <c r="G9" s="158" t="n"/>
      <c r="H9" s="137">
        <f>'Monthly forecast'!G31</f>
        <v/>
      </c>
      <c r="I9" s="137">
        <f>'Monthly forecast'!G31-'Monthly forecast'!G47</f>
        <v/>
      </c>
      <c r="J9" s="137">
        <f>IF(COUNT(C9:D9)=2,C9-D9-(H9-I9),"")</f>
        <v/>
      </c>
      <c r="K9" s="159" t="n"/>
    </row>
    <row r="10" ht="28" customHeight="1">
      <c r="A10" s="4" t="n">
        <v>5</v>
      </c>
      <c r="B10" s="136">
        <f>'Assumptions'!H56</f>
        <v/>
      </c>
      <c r="C10" s="139" t="n"/>
      <c r="D10" s="139" t="n"/>
      <c r="E10" s="139" t="n"/>
      <c r="F10" s="139" t="n"/>
      <c r="G10" s="158" t="n"/>
      <c r="H10" s="137">
        <f>'Monthly forecast'!H31</f>
        <v/>
      </c>
      <c r="I10" s="137">
        <f>'Monthly forecast'!H31-'Monthly forecast'!H47</f>
        <v/>
      </c>
      <c r="J10" s="137">
        <f>IF(COUNT(C10:D10)=2,C10-D10-(H10-I10),"")</f>
        <v/>
      </c>
      <c r="K10" s="159" t="n"/>
    </row>
    <row r="11" ht="28" customHeight="1">
      <c r="A11" s="4" t="n">
        <v>6</v>
      </c>
      <c r="B11" s="136">
        <f>'Assumptions'!I56</f>
        <v/>
      </c>
      <c r="C11" s="139" t="n"/>
      <c r="D11" s="139" t="n"/>
      <c r="E11" s="139" t="n"/>
      <c r="F11" s="139" t="n"/>
      <c r="G11" s="158" t="n"/>
      <c r="H11" s="137">
        <f>'Monthly forecast'!I31</f>
        <v/>
      </c>
      <c r="I11" s="137">
        <f>'Monthly forecast'!I31-'Monthly forecast'!I47</f>
        <v/>
      </c>
      <c r="J11" s="137">
        <f>IF(COUNT(C11:D11)=2,C11-D11-(H11-I11),"")</f>
        <v/>
      </c>
      <c r="K11" s="159" t="n"/>
    </row>
    <row r="12" ht="28" customHeight="1">
      <c r="A12" s="4" t="n">
        <v>7</v>
      </c>
      <c r="B12" s="136">
        <f>'Assumptions'!J56</f>
        <v/>
      </c>
      <c r="C12" s="139" t="n"/>
      <c r="D12" s="139" t="n"/>
      <c r="E12" s="139" t="n"/>
      <c r="F12" s="139" t="n"/>
      <c r="G12" s="158" t="n"/>
      <c r="H12" s="137">
        <f>'Monthly forecast'!J31</f>
        <v/>
      </c>
      <c r="I12" s="137">
        <f>'Monthly forecast'!J31-'Monthly forecast'!J47</f>
        <v/>
      </c>
      <c r="J12" s="137">
        <f>IF(COUNT(C12:D12)=2,C12-D12-(H12-I12),"")</f>
        <v/>
      </c>
      <c r="K12" s="159" t="n"/>
    </row>
    <row r="13" ht="28" customHeight="1">
      <c r="A13" s="4" t="n">
        <v>8</v>
      </c>
      <c r="B13" s="136">
        <f>'Assumptions'!K56</f>
        <v/>
      </c>
      <c r="C13" s="139" t="n"/>
      <c r="D13" s="139" t="n"/>
      <c r="E13" s="139" t="n"/>
      <c r="F13" s="139" t="n"/>
      <c r="G13" s="158" t="n"/>
      <c r="H13" s="137">
        <f>'Monthly forecast'!K31</f>
        <v/>
      </c>
      <c r="I13" s="137">
        <f>'Monthly forecast'!K31-'Monthly forecast'!K47</f>
        <v/>
      </c>
      <c r="J13" s="137">
        <f>IF(COUNT(C13:D13)=2,C13-D13-(H13-I13),"")</f>
        <v/>
      </c>
      <c r="K13" s="159" t="n"/>
    </row>
    <row r="14" ht="28" customHeight="1">
      <c r="A14" s="4" t="n">
        <v>9</v>
      </c>
      <c r="B14" s="136">
        <f>'Assumptions'!L56</f>
        <v/>
      </c>
      <c r="C14" s="139" t="n"/>
      <c r="D14" s="139" t="n"/>
      <c r="E14" s="139" t="n"/>
      <c r="F14" s="139" t="n"/>
      <c r="G14" s="158" t="n"/>
      <c r="H14" s="137">
        <f>'Monthly forecast'!L31</f>
        <v/>
      </c>
      <c r="I14" s="137">
        <f>'Monthly forecast'!L31-'Monthly forecast'!L47</f>
        <v/>
      </c>
      <c r="J14" s="137">
        <f>IF(COUNT(C14:D14)=2,C14-D14-(H14-I14),"")</f>
        <v/>
      </c>
      <c r="K14" s="159" t="n"/>
    </row>
    <row r="15" ht="28" customHeight="1">
      <c r="A15" s="4" t="n">
        <v>10</v>
      </c>
      <c r="B15" s="136">
        <f>'Assumptions'!M56</f>
        <v/>
      </c>
      <c r="C15" s="139" t="n"/>
      <c r="D15" s="139" t="n"/>
      <c r="E15" s="139" t="n"/>
      <c r="F15" s="139" t="n"/>
      <c r="G15" s="158" t="n"/>
      <c r="H15" s="137">
        <f>'Monthly forecast'!M31</f>
        <v/>
      </c>
      <c r="I15" s="137">
        <f>'Monthly forecast'!M31-'Monthly forecast'!M47</f>
        <v/>
      </c>
      <c r="J15" s="137">
        <f>IF(COUNT(C15:D15)=2,C15-D15-(H15-I15),"")</f>
        <v/>
      </c>
      <c r="K15" s="159" t="n"/>
    </row>
    <row r="16" ht="28" customHeight="1">
      <c r="A16" s="4" t="n">
        <v>11</v>
      </c>
      <c r="B16" s="136">
        <f>'Assumptions'!N56</f>
        <v/>
      </c>
      <c r="C16" s="139" t="n"/>
      <c r="D16" s="139" t="n"/>
      <c r="E16" s="139" t="n"/>
      <c r="F16" s="139" t="n"/>
      <c r="G16" s="158" t="n"/>
      <c r="H16" s="137">
        <f>'Monthly forecast'!N31</f>
        <v/>
      </c>
      <c r="I16" s="137">
        <f>'Monthly forecast'!N31-'Monthly forecast'!N47</f>
        <v/>
      </c>
      <c r="J16" s="137">
        <f>IF(COUNT(C16:D16)=2,C16-D16-(H16-I16),"")</f>
        <v/>
      </c>
      <c r="K16" s="159" t="n"/>
    </row>
    <row r="17" ht="28" customHeight="1">
      <c r="A17" s="4" t="n">
        <v>12</v>
      </c>
      <c r="B17" s="136">
        <f>'Assumptions'!O56</f>
        <v/>
      </c>
      <c r="C17" s="139" t="n"/>
      <c r="D17" s="139" t="n"/>
      <c r="E17" s="139" t="n"/>
      <c r="F17" s="139" t="n"/>
      <c r="G17" s="158" t="n"/>
      <c r="H17" s="137">
        <f>'Monthly forecast'!O31</f>
        <v/>
      </c>
      <c r="I17" s="137">
        <f>'Monthly forecast'!O31-'Monthly forecast'!O47</f>
        <v/>
      </c>
      <c r="J17" s="137">
        <f>IF(COUNT(C17:D17)=2,C17-D17-(H17-I17),"")</f>
        <v/>
      </c>
      <c r="K17" s="159" t="n"/>
    </row>
    <row r="18" ht="28" customHeight="1">
      <c r="A18" s="4" t="n">
        <v>13</v>
      </c>
      <c r="B18" s="136">
        <f>'Assumptions'!P56</f>
        <v/>
      </c>
      <c r="C18" s="139" t="n"/>
      <c r="D18" s="139" t="n"/>
      <c r="E18" s="139" t="n"/>
      <c r="F18" s="139" t="n"/>
      <c r="G18" s="158" t="n"/>
      <c r="H18" s="137">
        <f>'Monthly forecast'!P31</f>
        <v/>
      </c>
      <c r="I18" s="137">
        <f>'Monthly forecast'!P31-'Monthly forecast'!P47</f>
        <v/>
      </c>
      <c r="J18" s="137">
        <f>IF(COUNT(C18:D18)=2,C18-D18-(H18-I18),"")</f>
        <v/>
      </c>
      <c r="K18" s="159" t="n"/>
    </row>
    <row r="19" ht="28" customHeight="1">
      <c r="A19" s="4" t="n">
        <v>14</v>
      </c>
      <c r="B19" s="136">
        <f>'Assumptions'!Q56</f>
        <v/>
      </c>
      <c r="C19" s="139" t="n"/>
      <c r="D19" s="139" t="n"/>
      <c r="E19" s="139" t="n"/>
      <c r="F19" s="139" t="n"/>
      <c r="G19" s="158" t="n"/>
      <c r="H19" s="137">
        <f>'Monthly forecast'!Q31</f>
        <v/>
      </c>
      <c r="I19" s="137">
        <f>'Monthly forecast'!Q31-'Monthly forecast'!Q47</f>
        <v/>
      </c>
      <c r="J19" s="137">
        <f>IF(COUNT(C19:D19)=2,C19-D19-(H19-I19),"")</f>
        <v/>
      </c>
      <c r="K19" s="159" t="n"/>
    </row>
    <row r="20" ht="28" customHeight="1">
      <c r="A20" s="4" t="n">
        <v>15</v>
      </c>
      <c r="B20" s="136">
        <f>'Assumptions'!R56</f>
        <v/>
      </c>
      <c r="C20" s="139" t="n"/>
      <c r="D20" s="139" t="n"/>
      <c r="E20" s="139" t="n"/>
      <c r="F20" s="139" t="n"/>
      <c r="G20" s="158" t="n"/>
      <c r="H20" s="137">
        <f>'Monthly forecast'!R31</f>
        <v/>
      </c>
      <c r="I20" s="137">
        <f>'Monthly forecast'!R31-'Monthly forecast'!R47</f>
        <v/>
      </c>
      <c r="J20" s="137">
        <f>IF(COUNT(C20:D20)=2,C20-D20-(H20-I20),"")</f>
        <v/>
      </c>
      <c r="K20" s="159" t="n"/>
    </row>
    <row r="21" ht="28" customHeight="1">
      <c r="A21" s="4" t="n">
        <v>16</v>
      </c>
      <c r="B21" s="136">
        <f>'Assumptions'!S56</f>
        <v/>
      </c>
      <c r="C21" s="139" t="n"/>
      <c r="D21" s="139" t="n"/>
      <c r="E21" s="139" t="n"/>
      <c r="F21" s="139" t="n"/>
      <c r="G21" s="158" t="n"/>
      <c r="H21" s="137">
        <f>'Monthly forecast'!S31</f>
        <v/>
      </c>
      <c r="I21" s="137">
        <f>'Monthly forecast'!S31-'Monthly forecast'!S47</f>
        <v/>
      </c>
      <c r="J21" s="137">
        <f>IF(COUNT(C21:D21)=2,C21-D21-(H21-I21),"")</f>
        <v/>
      </c>
      <c r="K21" s="159" t="n"/>
    </row>
    <row r="22" ht="28" customHeight="1">
      <c r="A22" s="4" t="n">
        <v>17</v>
      </c>
      <c r="B22" s="136">
        <f>'Assumptions'!T56</f>
        <v/>
      </c>
      <c r="C22" s="139" t="n"/>
      <c r="D22" s="139" t="n"/>
      <c r="E22" s="139" t="n"/>
      <c r="F22" s="139" t="n"/>
      <c r="G22" s="158" t="n"/>
      <c r="H22" s="137">
        <f>'Monthly forecast'!T31</f>
        <v/>
      </c>
      <c r="I22" s="137">
        <f>'Monthly forecast'!T31-'Monthly forecast'!T47</f>
        <v/>
      </c>
      <c r="J22" s="137">
        <f>IF(COUNT(C22:D22)=2,C22-D22-(H22-I22),"")</f>
        <v/>
      </c>
      <c r="K22" s="159" t="n"/>
    </row>
    <row r="23" ht="28" customHeight="1">
      <c r="A23" s="4" t="n">
        <v>18</v>
      </c>
      <c r="B23" s="136">
        <f>'Assumptions'!U56</f>
        <v/>
      </c>
      <c r="C23" s="139" t="n"/>
      <c r="D23" s="139" t="n"/>
      <c r="E23" s="139" t="n"/>
      <c r="F23" s="139" t="n"/>
      <c r="G23" s="158" t="n"/>
      <c r="H23" s="137">
        <f>'Monthly forecast'!U31</f>
        <v/>
      </c>
      <c r="I23" s="137">
        <f>'Monthly forecast'!U31-'Monthly forecast'!U47</f>
        <v/>
      </c>
      <c r="J23" s="137">
        <f>IF(COUNT(C23:D23)=2,C23-D23-(H23-I23),"")</f>
        <v/>
      </c>
      <c r="K23" s="159" t="n"/>
    </row>
    <row r="24" ht="28" customHeight="1">
      <c r="A24" s="4" t="n">
        <v>19</v>
      </c>
      <c r="B24" s="136">
        <f>'Assumptions'!V56</f>
        <v/>
      </c>
      <c r="C24" s="139" t="n"/>
      <c r="D24" s="139" t="n"/>
      <c r="E24" s="139" t="n"/>
      <c r="F24" s="139" t="n"/>
      <c r="G24" s="158" t="n"/>
      <c r="H24" s="137">
        <f>'Monthly forecast'!V31</f>
        <v/>
      </c>
      <c r="I24" s="137">
        <f>'Monthly forecast'!V31-'Monthly forecast'!V47</f>
        <v/>
      </c>
      <c r="J24" s="137">
        <f>IF(COUNT(C24:D24)=2,C24-D24-(H24-I24),"")</f>
        <v/>
      </c>
      <c r="K24" s="159" t="n"/>
    </row>
    <row r="25" ht="28" customHeight="1">
      <c r="A25" s="4" t="n">
        <v>20</v>
      </c>
      <c r="B25" s="136">
        <f>'Assumptions'!W56</f>
        <v/>
      </c>
      <c r="C25" s="139" t="n"/>
      <c r="D25" s="139" t="n"/>
      <c r="E25" s="139" t="n"/>
      <c r="F25" s="139" t="n"/>
      <c r="G25" s="158" t="n"/>
      <c r="H25" s="137">
        <f>'Monthly forecast'!W31</f>
        <v/>
      </c>
      <c r="I25" s="137">
        <f>'Monthly forecast'!W31-'Monthly forecast'!W47</f>
        <v/>
      </c>
      <c r="J25" s="137">
        <f>IF(COUNT(C25:D25)=2,C25-D25-(H25-I25),"")</f>
        <v/>
      </c>
      <c r="K25" s="159" t="n"/>
    </row>
    <row r="26" ht="28" customHeight="1">
      <c r="A26" s="4" t="n">
        <v>21</v>
      </c>
      <c r="B26" s="136">
        <f>'Assumptions'!X56</f>
        <v/>
      </c>
      <c r="C26" s="139" t="n"/>
      <c r="D26" s="139" t="n"/>
      <c r="E26" s="139" t="n"/>
      <c r="F26" s="139" t="n"/>
      <c r="G26" s="158" t="n"/>
      <c r="H26" s="137">
        <f>'Monthly forecast'!X31</f>
        <v/>
      </c>
      <c r="I26" s="137">
        <f>'Monthly forecast'!X31-'Monthly forecast'!X47</f>
        <v/>
      </c>
      <c r="J26" s="137">
        <f>IF(COUNT(C26:D26)=2,C26-D26-(H26-I26),"")</f>
        <v/>
      </c>
      <c r="K26" s="159" t="n"/>
    </row>
    <row r="27" ht="28" customHeight="1">
      <c r="A27" s="4" t="n">
        <v>22</v>
      </c>
      <c r="B27" s="136">
        <f>'Assumptions'!Y56</f>
        <v/>
      </c>
      <c r="C27" s="139" t="n"/>
      <c r="D27" s="139" t="n"/>
      <c r="E27" s="139" t="n"/>
      <c r="F27" s="139" t="n"/>
      <c r="G27" s="158" t="n"/>
      <c r="H27" s="137">
        <f>'Monthly forecast'!Y31</f>
        <v/>
      </c>
      <c r="I27" s="137">
        <f>'Monthly forecast'!Y31-'Monthly forecast'!Y47</f>
        <v/>
      </c>
      <c r="J27" s="137">
        <f>IF(COUNT(C27:D27)=2,C27-D27-(H27-I27),"")</f>
        <v/>
      </c>
      <c r="K27" s="159" t="n"/>
    </row>
    <row r="28" ht="28" customHeight="1">
      <c r="A28" s="4" t="n">
        <v>23</v>
      </c>
      <c r="B28" s="136">
        <f>'Assumptions'!Z56</f>
        <v/>
      </c>
      <c r="C28" s="139" t="n"/>
      <c r="D28" s="139" t="n"/>
      <c r="E28" s="139" t="n"/>
      <c r="F28" s="139" t="n"/>
      <c r="G28" s="158" t="n"/>
      <c r="H28" s="137">
        <f>'Monthly forecast'!Z31</f>
        <v/>
      </c>
      <c r="I28" s="137">
        <f>'Monthly forecast'!Z31-'Monthly forecast'!Z47</f>
        <v/>
      </c>
      <c r="J28" s="137">
        <f>IF(COUNT(C28:D28)=2,C28-D28-(H28-I28),"")</f>
        <v/>
      </c>
      <c r="K28" s="159" t="n"/>
    </row>
    <row r="29" ht="28" customHeight="1">
      <c r="A29" s="4" t="n">
        <v>24</v>
      </c>
      <c r="B29" s="136">
        <f>'Assumptions'!AA56</f>
        <v/>
      </c>
      <c r="C29" s="139" t="n"/>
      <c r="D29" s="139" t="n"/>
      <c r="E29" s="139" t="n"/>
      <c r="F29" s="139" t="n"/>
      <c r="G29" s="158" t="n"/>
      <c r="H29" s="137">
        <f>'Monthly forecast'!AA31</f>
        <v/>
      </c>
      <c r="I29" s="137">
        <f>'Monthly forecast'!AA31-'Monthly forecast'!AA47</f>
        <v/>
      </c>
      <c r="J29" s="137">
        <f>IF(COUNT(C29:D29)=2,C29-D29-(H29-I29),"")</f>
        <v/>
      </c>
      <c r="K29" s="159" t="n"/>
    </row>
    <row r="30" ht="28" customHeight="1">
      <c r="A30" s="4" t="n">
        <v>25</v>
      </c>
      <c r="B30" s="136">
        <f>'Assumptions'!AB56</f>
        <v/>
      </c>
      <c r="C30" s="139" t="n"/>
      <c r="D30" s="139" t="n"/>
      <c r="E30" s="139" t="n"/>
      <c r="F30" s="139" t="n"/>
      <c r="G30" s="158" t="n"/>
      <c r="H30" s="137">
        <f>'Monthly forecast'!AB31</f>
        <v/>
      </c>
      <c r="I30" s="137">
        <f>'Monthly forecast'!AB31-'Monthly forecast'!AB47</f>
        <v/>
      </c>
      <c r="J30" s="137">
        <f>IF(COUNT(C30:D30)=2,C30-D30-(H30-I30),"")</f>
        <v/>
      </c>
      <c r="K30" s="159" t="n"/>
    </row>
    <row r="31" ht="28" customHeight="1">
      <c r="A31" s="4" t="n">
        <v>26</v>
      </c>
      <c r="B31" s="136">
        <f>'Assumptions'!AC56</f>
        <v/>
      </c>
      <c r="C31" s="139" t="n"/>
      <c r="D31" s="139" t="n"/>
      <c r="E31" s="139" t="n"/>
      <c r="F31" s="139" t="n"/>
      <c r="G31" s="158" t="n"/>
      <c r="H31" s="137">
        <f>'Monthly forecast'!AC31</f>
        <v/>
      </c>
      <c r="I31" s="137">
        <f>'Monthly forecast'!AC31-'Monthly forecast'!AC47</f>
        <v/>
      </c>
      <c r="J31" s="137">
        <f>IF(COUNT(C31:D31)=2,C31-D31-(H31-I31),"")</f>
        <v/>
      </c>
      <c r="K31" s="159" t="n"/>
    </row>
    <row r="32" ht="28" customHeight="1">
      <c r="A32" s="4" t="n">
        <v>27</v>
      </c>
      <c r="B32" s="136">
        <f>'Assumptions'!AD56</f>
        <v/>
      </c>
      <c r="C32" s="139" t="n"/>
      <c r="D32" s="139" t="n"/>
      <c r="E32" s="139" t="n"/>
      <c r="F32" s="139" t="n"/>
      <c r="G32" s="158" t="n"/>
      <c r="H32" s="137">
        <f>'Monthly forecast'!AD31</f>
        <v/>
      </c>
      <c r="I32" s="137">
        <f>'Monthly forecast'!AD31-'Monthly forecast'!AD47</f>
        <v/>
      </c>
      <c r="J32" s="137">
        <f>IF(COUNT(C32:D32)=2,C32-D32-(H32-I32),"")</f>
        <v/>
      </c>
      <c r="K32" s="159" t="n"/>
    </row>
    <row r="33" ht="28" customHeight="1">
      <c r="A33" s="4" t="n">
        <v>28</v>
      </c>
      <c r="B33" s="136">
        <f>'Assumptions'!AE56</f>
        <v/>
      </c>
      <c r="C33" s="139" t="n"/>
      <c r="D33" s="139" t="n"/>
      <c r="E33" s="139" t="n"/>
      <c r="F33" s="139" t="n"/>
      <c r="G33" s="158" t="n"/>
      <c r="H33" s="137">
        <f>'Monthly forecast'!AE31</f>
        <v/>
      </c>
      <c r="I33" s="137">
        <f>'Monthly forecast'!AE31-'Monthly forecast'!AE47</f>
        <v/>
      </c>
      <c r="J33" s="137">
        <f>IF(COUNT(C33:D33)=2,C33-D33-(H33-I33),"")</f>
        <v/>
      </c>
      <c r="K33" s="159" t="n"/>
    </row>
    <row r="34" ht="28" customHeight="1">
      <c r="A34" s="4" t="n">
        <v>29</v>
      </c>
      <c r="B34" s="136">
        <f>'Assumptions'!AF56</f>
        <v/>
      </c>
      <c r="C34" s="139" t="n"/>
      <c r="D34" s="139" t="n"/>
      <c r="E34" s="139" t="n"/>
      <c r="F34" s="139" t="n"/>
      <c r="G34" s="158" t="n"/>
      <c r="H34" s="137">
        <f>'Monthly forecast'!AF31</f>
        <v/>
      </c>
      <c r="I34" s="137">
        <f>'Monthly forecast'!AF31-'Monthly forecast'!AF47</f>
        <v/>
      </c>
      <c r="J34" s="137">
        <f>IF(COUNT(C34:D34)=2,C34-D34-(H34-I34),"")</f>
        <v/>
      </c>
      <c r="K34" s="159" t="n"/>
    </row>
    <row r="35" ht="28" customHeight="1">
      <c r="A35" s="4" t="n">
        <v>30</v>
      </c>
      <c r="B35" s="136">
        <f>'Assumptions'!AG56</f>
        <v/>
      </c>
      <c r="C35" s="139" t="n"/>
      <c r="D35" s="139" t="n"/>
      <c r="E35" s="139" t="n"/>
      <c r="F35" s="139" t="n"/>
      <c r="G35" s="158" t="n"/>
      <c r="H35" s="137">
        <f>'Monthly forecast'!AG31</f>
        <v/>
      </c>
      <c r="I35" s="137">
        <f>'Monthly forecast'!AG31-'Monthly forecast'!AG47</f>
        <v/>
      </c>
      <c r="J35" s="137">
        <f>IF(COUNT(C35:D35)=2,C35-D35-(H35-I35),"")</f>
        <v/>
      </c>
      <c r="K35" s="159" t="n"/>
    </row>
    <row r="36" ht="28" customHeight="1">
      <c r="A36" s="4" t="n">
        <v>31</v>
      </c>
      <c r="B36" s="136">
        <f>'Assumptions'!AH56</f>
        <v/>
      </c>
      <c r="C36" s="139" t="n"/>
      <c r="D36" s="139" t="n"/>
      <c r="E36" s="139" t="n"/>
      <c r="F36" s="139" t="n"/>
      <c r="G36" s="158" t="n"/>
      <c r="H36" s="137">
        <f>'Monthly forecast'!AH31</f>
        <v/>
      </c>
      <c r="I36" s="137">
        <f>'Monthly forecast'!AH31-'Monthly forecast'!AH47</f>
        <v/>
      </c>
      <c r="J36" s="137">
        <f>IF(COUNT(C36:D36)=2,C36-D36-(H36-I36),"")</f>
        <v/>
      </c>
      <c r="K36" s="159" t="n"/>
    </row>
    <row r="37" ht="28" customHeight="1">
      <c r="A37" s="4" t="n">
        <v>32</v>
      </c>
      <c r="B37" s="136">
        <f>'Assumptions'!AI56</f>
        <v/>
      </c>
      <c r="C37" s="139" t="n"/>
      <c r="D37" s="139" t="n"/>
      <c r="E37" s="139" t="n"/>
      <c r="F37" s="139" t="n"/>
      <c r="G37" s="158" t="n"/>
      <c r="H37" s="137">
        <f>'Monthly forecast'!AI31</f>
        <v/>
      </c>
      <c r="I37" s="137">
        <f>'Monthly forecast'!AI31-'Monthly forecast'!AI47</f>
        <v/>
      </c>
      <c r="J37" s="137">
        <f>IF(COUNT(C37:D37)=2,C37-D37-(H37-I37),"")</f>
        <v/>
      </c>
      <c r="K37" s="159" t="n"/>
    </row>
    <row r="38" ht="28" customHeight="1">
      <c r="A38" s="4" t="n">
        <v>33</v>
      </c>
      <c r="B38" s="136">
        <f>'Assumptions'!AJ56</f>
        <v/>
      </c>
      <c r="C38" s="139" t="n"/>
      <c r="D38" s="139" t="n"/>
      <c r="E38" s="139" t="n"/>
      <c r="F38" s="139" t="n"/>
      <c r="G38" s="158" t="n"/>
      <c r="H38" s="137">
        <f>'Monthly forecast'!AJ31</f>
        <v/>
      </c>
      <c r="I38" s="137">
        <f>'Monthly forecast'!AJ31-'Monthly forecast'!AJ47</f>
        <v/>
      </c>
      <c r="J38" s="137">
        <f>IF(COUNT(C38:D38)=2,C38-D38-(H38-I38),"")</f>
        <v/>
      </c>
      <c r="K38" s="159" t="n"/>
    </row>
    <row r="39" ht="28" customHeight="1">
      <c r="A39" s="4" t="n">
        <v>34</v>
      </c>
      <c r="B39" s="136">
        <f>'Assumptions'!AK56</f>
        <v/>
      </c>
      <c r="C39" s="139" t="n"/>
      <c r="D39" s="139" t="n"/>
      <c r="E39" s="139" t="n"/>
      <c r="F39" s="139" t="n"/>
      <c r="G39" s="158" t="n"/>
      <c r="H39" s="137">
        <f>'Monthly forecast'!AK31</f>
        <v/>
      </c>
      <c r="I39" s="137">
        <f>'Monthly forecast'!AK31-'Monthly forecast'!AK47</f>
        <v/>
      </c>
      <c r="J39" s="137">
        <f>IF(COUNT(C39:D39)=2,C39-D39-(H39-I39),"")</f>
        <v/>
      </c>
      <c r="K39" s="159" t="n"/>
    </row>
    <row r="40" ht="28" customHeight="1">
      <c r="A40" s="4" t="n">
        <v>35</v>
      </c>
      <c r="B40" s="136">
        <f>'Assumptions'!AL56</f>
        <v/>
      </c>
      <c r="C40" s="139" t="n"/>
      <c r="D40" s="139" t="n"/>
      <c r="E40" s="139" t="n"/>
      <c r="F40" s="139" t="n"/>
      <c r="G40" s="158" t="n"/>
      <c r="H40" s="137">
        <f>'Monthly forecast'!AL31</f>
        <v/>
      </c>
      <c r="I40" s="137">
        <f>'Monthly forecast'!AL31-'Monthly forecast'!AL47</f>
        <v/>
      </c>
      <c r="J40" s="137">
        <f>IF(COUNT(C40:D40)=2,C40-D40-(H40-I40),"")</f>
        <v/>
      </c>
      <c r="K40" s="159" t="n"/>
    </row>
    <row r="41" ht="28" customHeight="1">
      <c r="A41" s="4" t="n">
        <v>36</v>
      </c>
      <c r="B41" s="136">
        <f>'Assumptions'!AM56</f>
        <v/>
      </c>
      <c r="C41" s="139" t="n"/>
      <c r="D41" s="139" t="n"/>
      <c r="E41" s="139" t="n"/>
      <c r="F41" s="139" t="n"/>
      <c r="G41" s="158" t="n"/>
      <c r="H41" s="137">
        <f>'Monthly forecast'!AM31</f>
        <v/>
      </c>
      <c r="I41" s="137">
        <f>'Monthly forecast'!AM31-'Monthly forecast'!AM47</f>
        <v/>
      </c>
      <c r="J41" s="137">
        <f>IF(COUNT(C41:D41)=2,C41-D41-(H41-I41),"")</f>
        <v/>
      </c>
      <c r="K41" s="159" t="n"/>
    </row>
    <row r="42" ht="28" customHeight="1">
      <c r="A42" s="4" t="n"/>
      <c r="B42" s="4" t="n"/>
      <c r="C42" s="4" t="n"/>
      <c r="D42" s="4" t="n"/>
      <c r="E42" s="4" t="n"/>
      <c r="F42" s="4" t="n"/>
      <c r="G42" s="4" t="n"/>
      <c r="H42" s="4" t="n"/>
      <c r="I42" s="4" t="n"/>
      <c r="J42" s="4" t="n"/>
      <c r="K42" s="4" t="n"/>
    </row>
    <row r="43" ht="28" customHeight="1">
      <c r="A43" s="4" t="n"/>
      <c r="B43" s="4" t="n"/>
      <c r="C43" s="4" t="n"/>
      <c r="D43" s="4" t="n"/>
      <c r="E43" s="4" t="n"/>
      <c r="F43" s="4" t="n"/>
      <c r="G43" s="4" t="n"/>
      <c r="H43" s="4" t="n"/>
      <c r="I43" s="4" t="n"/>
      <c r="J43" s="4" t="n"/>
      <c r="K43" s="4" t="n"/>
    </row>
    <row r="44" ht="28" customHeight="1">
      <c r="A44" s="4" t="n"/>
      <c r="B44" s="4" t="n"/>
      <c r="C44" s="4" t="n"/>
      <c r="D44" s="4" t="n"/>
      <c r="E44" s="4" t="n"/>
      <c r="F44" s="4" t="n"/>
      <c r="G44" s="4" t="n"/>
      <c r="H44" s="4" t="n"/>
      <c r="I44" s="4" t="n"/>
      <c r="J44" s="4" t="n"/>
      <c r="K44" s="4" t="n"/>
    </row>
    <row r="45" ht="28" customHeight="1">
      <c r="A45" s="4" t="n"/>
      <c r="B45" s="4" t="n"/>
      <c r="C45" s="4" t="n"/>
      <c r="D45" s="4" t="n"/>
      <c r="E45" s="4" t="n"/>
      <c r="F45" s="4" t="n"/>
      <c r="G45" s="4" t="n"/>
      <c r="H45" s="4" t="n"/>
      <c r="I45" s="4" t="n"/>
      <c r="J45" s="4" t="n"/>
      <c r="K45" s="4" t="n"/>
    </row>
    <row r="46" ht="28" customHeight="1">
      <c r="A46" s="4" t="n"/>
      <c r="B46" s="4" t="n"/>
      <c r="C46" s="4" t="n"/>
      <c r="D46" s="4" t="n"/>
      <c r="E46" s="4" t="n"/>
      <c r="F46" s="4" t="n"/>
      <c r="G46" s="4" t="n"/>
      <c r="H46" s="4" t="n"/>
      <c r="I46" s="4" t="n"/>
      <c r="J46" s="4" t="n"/>
      <c r="K46" s="4" t="n"/>
    </row>
  </sheetData>
  <mergeCells count="2">
    <mergeCell ref="A1:K1"/>
    <mergeCell ref="A3:K3"/>
  </mergeCell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78"/>
  <sheetViews>
    <sheetView showGridLines="0" workbookViewId="0">
      <pane ySplit="5" topLeftCell="A6" activePane="bottomLeft" state="frozen"/>
      <selection activeCell="A1" sqref="A1"/>
    </sheetView>
  </sheetViews>
  <sheetFormatPr baseColWidth="8" defaultRowHeight="15"/>
  <cols>
    <col width="12" customWidth="1" min="1" max="1"/>
    <col width="28" customWidth="1" min="2" max="2"/>
    <col width="58" customWidth="1" min="3" max="3"/>
    <col width="58" customWidth="1" min="4" max="4"/>
    <col width="29" customWidth="1" min="5" max="5"/>
    <col width="29" customWidth="1" min="6" max="6"/>
  </cols>
  <sheetData>
    <row r="1" ht="38" customHeight="1">
      <c r="A1" s="5" t="inlineStr">
        <is>
          <t>Evidence and decisions</t>
        </is>
      </c>
    </row>
    <row r="2" ht="28" customHeight="1">
      <c r="A2" s="4" t="n"/>
      <c r="B2" s="4" t="n"/>
      <c r="C2" s="4" t="n"/>
      <c r="D2" s="4" t="n"/>
      <c r="E2" s="4" t="n"/>
      <c r="F2" s="4" t="n"/>
    </row>
    <row r="3" ht="54" customHeight="1">
      <c r="A3" s="6" t="inlineStr">
        <is>
          <t>Existing decisions are carried forward. Forecasts do not establish delivered beds, clinical results, paid hours, measured diversion or completed transfers. Use source IDs and purpose-specific consent for actual evidence.</t>
        </is>
      </c>
    </row>
    <row r="4" ht="28" customHeight="1">
      <c r="A4" s="4" t="n"/>
      <c r="B4" s="4" t="n"/>
      <c r="C4" s="4" t="n"/>
      <c r="D4" s="4" t="n"/>
      <c r="E4" s="4" t="n"/>
      <c r="F4" s="4" t="n"/>
    </row>
    <row r="5" ht="54" customHeight="1">
      <c r="A5" s="8" t="inlineStr">
        <is>
          <t>ID</t>
        </is>
      </c>
      <c r="B5" s="8" t="inlineStr">
        <is>
          <t>Item</t>
        </is>
      </c>
      <c r="C5" s="8" t="inlineStr">
        <is>
          <t>Current treatment</t>
        </is>
      </c>
      <c r="D5" s="8" t="inlineStr">
        <is>
          <t>Next evidence / decision</t>
        </is>
      </c>
      <c r="E5" s="8" t="inlineStr">
        <is>
          <t>Owner</t>
        </is>
      </c>
      <c r="F5" s="8" t="inlineStr">
        <is>
          <t>Model location</t>
        </is>
      </c>
    </row>
    <row r="6" ht="78" customHeight="1">
      <c r="A6" s="4" t="inlineStr">
        <is>
          <t>D01</t>
        </is>
      </c>
      <c r="B6" s="4" t="inlineStr">
        <is>
          <t>Operating home</t>
        </is>
      </c>
      <c r="C6" s="4" t="inlineStr">
        <is>
          <t>Settled direction: Butterfly / Goods</t>
        </is>
      </c>
      <c r="D6" s="4" t="inlineStr">
        <is>
          <t>Record actual asset, contract, cash and obligation transfers with effective dates.</t>
        </is>
      </c>
      <c r="E6" s="4" t="inlineStr">
        <is>
          <t>Ben / finance</t>
        </is>
      </c>
      <c r="F6" s="4" t="inlineStr">
        <is>
          <t>Assumptions opening balances</t>
        </is>
      </c>
    </row>
    <row r="7" ht="78" customHeight="1">
      <c r="A7" s="4" t="inlineStr">
        <is>
          <t>D02</t>
        </is>
      </c>
      <c r="B7" s="4" t="inlineStr">
        <is>
          <t>Founder salaries</t>
        </is>
      </c>
      <c r="C7" s="4" t="inlineStr">
        <is>
          <t>151,200 per year retained</t>
        </is>
      </c>
      <c r="D7" s="4" t="inlineStr">
        <is>
          <t>Check scope/on-costs without reopening the supplied provision.</t>
        </is>
      </c>
      <c r="E7" s="4" t="inlineStr">
        <is>
          <t>Ben / finance</t>
        </is>
      </c>
      <c r="F7" s="4" t="inlineStr">
        <is>
          <t>Assumptions B23</t>
        </is>
      </c>
    </row>
    <row r="8" ht="78" customHeight="1">
      <c r="A8" s="4" t="inlineStr">
        <is>
          <t>D03</t>
        </is>
      </c>
      <c r="B8" s="4" t="inlineStr">
        <is>
          <t>Two new facilities</t>
        </is>
      </c>
      <c r="C8" s="4" t="inlineStr">
        <is>
          <t>300,000 allowance retained</t>
        </is>
      </c>
      <c r="D8" s="4" t="inlineStr">
        <is>
          <t>Confirm modules, quotations, locations and payment schedule.</t>
        </is>
      </c>
      <c r="E8" s="4" t="inlineStr">
        <is>
          <t>Operations / partners</t>
        </is>
      </c>
      <c r="F8" s="4" t="inlineStr">
        <is>
          <t>Capital</t>
        </is>
      </c>
    </row>
    <row r="9" ht="78" customHeight="1">
      <c r="A9" s="4" t="inlineStr">
        <is>
          <t>D04</t>
        </is>
      </c>
      <c r="B9" s="4" t="inlineStr">
        <is>
          <t>Community sales</t>
        </is>
      </c>
      <c r="C9" s="4" t="inlineStr">
        <is>
          <t>Full proceeds remain with community organisations</t>
        </is>
      </c>
      <c r="D9" s="4" t="inlineStr">
        <is>
          <t>Agree stock and delivery arrangements. Future Goods purchases are separate.</t>
        </is>
      </c>
      <c r="E9" s="4" t="inlineStr">
        <is>
          <t>Community authority</t>
        </is>
      </c>
      <c r="F9" s="4" t="inlineStr">
        <is>
          <t>Community sales</t>
        </is>
      </c>
    </row>
    <row r="10" ht="78" customHeight="1">
      <c r="A10" s="4" t="inlineStr">
        <is>
          <t>D05</t>
        </is>
      </c>
      <c r="B10" s="4" t="inlineStr">
        <is>
          <t>NM crew and annual roles</t>
        </is>
      </c>
      <c r="C10" s="4" t="inlineStr">
        <is>
          <t>Alternative staffing bases prevent duplicate cost entry</t>
        </is>
      </c>
      <c r="D10" s="4" t="inlineStr">
        <is>
          <t>Confirm paid duties, idle time, Katrina and assembly overlap.</t>
        </is>
      </c>
      <c r="E10" s="4" t="inlineStr">
        <is>
          <t>Operations / finance</t>
        </is>
      </c>
      <c r="F10" s="4" t="inlineStr">
        <is>
          <t>NM Play and Sites</t>
        </is>
      </c>
    </row>
    <row r="11" ht="78" customHeight="1">
      <c r="A11" s="4" t="inlineStr">
        <is>
          <t>D06</t>
        </is>
      </c>
      <c r="B11" s="4" t="inlineStr">
        <is>
          <t>Plastic and yield</t>
        </is>
      </c>
      <c r="C11" s="4" t="inlineStr">
        <is>
          <t>40 kg gross sheets per own-sheet bed at the current settings; 20 kg design mass kept distinct</t>
        </is>
      </c>
      <c r="D11" s="4" t="inlineStr">
        <is>
          <t>Weigh input, accepted parts, offcuts and scrap. Reconcile usable yield.</t>
        </is>
      </c>
      <c r="E11" s="4" t="inlineStr">
        <is>
          <t>Production lead</t>
        </is>
      </c>
      <c r="F11" s="4" t="inlineStr">
        <is>
          <t>NM Play; Production schedule</t>
        </is>
      </c>
    </row>
    <row r="12" ht="78" customHeight="1">
      <c r="A12" s="4" t="inlineStr">
        <is>
          <t>D07</t>
        </is>
      </c>
      <c r="B12" s="4" t="inlineStr">
        <is>
          <t>Freight</t>
        </is>
      </c>
      <c r="C12" s="4" t="inlineStr">
        <is>
          <t>Source site rates remain estimates</t>
        </is>
      </c>
      <c r="D12" s="4" t="inlineStr">
        <is>
          <t>Quote actual routes and customer recovery; confirm GST.</t>
        </is>
      </c>
      <c r="E12" s="4" t="inlineStr">
        <is>
          <t>Operations</t>
        </is>
      </c>
      <c r="F12" s="4" t="inlineStr">
        <is>
          <t>Sites R6:R8</t>
        </is>
      </c>
    </row>
    <row r="13" ht="78" customHeight="1">
      <c r="A13" s="4" t="inlineStr">
        <is>
          <t>D08</t>
        </is>
      </c>
      <c r="B13" s="4" t="inlineStr">
        <is>
          <t>Accounting overlap</t>
        </is>
      </c>
      <c r="C13" s="4" t="inlineStr">
        <is>
          <t>Head office and consulting both retained</t>
        </is>
      </c>
      <c r="D13" s="4" t="inlineStr">
        <is>
          <t>Resolve the possible 15,000 overlap, then enter an explicit adjustment.</t>
        </is>
      </c>
      <c r="E13" s="4" t="inlineStr">
        <is>
          <t>Finance</t>
        </is>
      </c>
      <c r="F13" s="4" t="inlineStr">
        <is>
          <t>Assumptions B27:B30</t>
        </is>
      </c>
    </row>
    <row r="14" ht="78" customHeight="1">
      <c r="A14" s="4" t="inlineStr">
        <is>
          <t>D09</t>
        </is>
      </c>
      <c r="B14" s="4" t="inlineStr">
        <is>
          <t>Youth support</t>
        </is>
      </c>
      <c r="C14" s="4" t="inlineStr">
        <is>
          <t>Four bed communities at $10,000 facilitation each (Ben 9 Sep); Alice Springs excluded</t>
        </is>
      </c>
      <c r="D14" s="4" t="inlineStr">
        <is>
          <t>Name the four from the shortlist (Mount Isa and Lower Gulf, Kununurra, Ceduna / Port Augusta, Tennant Creek, Utopia homelands) and record each community's own invitation and decision before a price is shown to them.</t>
        </is>
      </c>
      <c r="E14" s="4" t="inlineStr">
        <is>
          <t>Partners / programme lead</t>
        </is>
      </c>
      <c r="F14" s="4" t="inlineStr">
        <is>
          <t>Sites O6:Q8</t>
        </is>
      </c>
    </row>
    <row r="15" ht="78" customHeight="1">
      <c r="A15" s="4" t="inlineStr">
        <is>
          <t>D10</t>
        </is>
      </c>
      <c r="B15" s="4" t="inlineStr">
        <is>
          <t>Opening cash and balances</t>
        </is>
      </c>
      <c r="C15" s="4" t="inlineStr">
        <is>
          <t>Unknown, not zero</t>
        </is>
      </c>
      <c r="D15" s="4" t="inlineStr">
        <is>
          <t>Reconcile available/restricted cash, assets, liabilities and opening equity.</t>
        </is>
      </c>
      <c r="E15" s="4" t="inlineStr">
        <is>
          <t>Finance</t>
        </is>
      </c>
      <c r="F15" s="4" t="inlineStr">
        <is>
          <t>Assumptions B10:B21</t>
        </is>
      </c>
    </row>
    <row r="16" ht="78" customHeight="1">
      <c r="A16" s="4" t="inlineStr">
        <is>
          <t>D11</t>
        </is>
      </c>
      <c r="B16" s="4" t="inlineStr">
        <is>
          <t>Forecast accounting</t>
        </is>
      </c>
      <c r="C16" s="4" t="inlineStr">
        <is>
          <t>Ex-GST working illustration</t>
        </is>
      </c>
      <c r="D16" s="4" t="inlineStr">
        <is>
          <t>Confirm grant recognition, tax, depreciation, inventory valuation and other charity activity. No loss carry-forward tax model is assumed.</t>
        </is>
      </c>
      <c r="E16" s="4" t="inlineStr">
        <is>
          <t>Finance</t>
        </is>
      </c>
      <c r="F16" s="4" t="inlineStr">
        <is>
          <t>Assumptions; Statements</t>
        </is>
      </c>
    </row>
    <row r="17" ht="78" customHeight="1">
      <c r="A17" s="4" t="inlineStr">
        <is>
          <t>D12</t>
        </is>
      </c>
      <c r="B17" s="4" t="inlineStr">
        <is>
          <t>QBE requests</t>
        </is>
      </c>
      <c r="C17" s="4" t="inlineStr">
        <is>
          <t>250,000 / 150,000 are unapproved candidates, not recommendations</t>
        </is>
      </c>
      <c r="D17" s="4" t="inlineStr">
        <is>
          <t>Approve scope, eligibility and allocation. The smaller case still has an unfunded gap.</t>
        </is>
      </c>
      <c r="E17" s="4" t="inlineStr">
        <is>
          <t>Applicant / board</t>
        </is>
      </c>
      <c r="F17" s="4" t="inlineStr">
        <is>
          <t>QBE</t>
        </is>
      </c>
    </row>
    <row r="18" ht="78" customHeight="1">
      <c r="A18" s="4" t="inlineStr">
        <is>
          <t>D13</t>
        </is>
      </c>
      <c r="B18" s="4" t="inlineStr">
        <is>
          <t>Funding evidence</t>
        </is>
      </c>
      <c r="C18" s="4" t="inlineStr">
        <is>
          <t>Invitations/discussions remain uncommitted</t>
        </is>
      </c>
      <c r="D18" s="4" t="inlineStr">
        <is>
          <t>Reconcile documents described as LOIs; record actual conditions and dates.</t>
        </is>
      </c>
      <c r="E18" s="4" t="inlineStr">
        <is>
          <t>Fundraising lead</t>
        </is>
      </c>
      <c r="F18" s="4" t="inlineStr">
        <is>
          <t>Funding</t>
        </is>
      </c>
    </row>
    <row r="19" ht="78" customHeight="1">
      <c r="A19" s="4" t="inlineStr">
        <is>
          <t>D14</t>
        </is>
      </c>
      <c r="B19" s="4" t="inlineStr">
        <is>
          <t>BMD condition</t>
        </is>
      </c>
      <c r="C19" s="4" t="inlineStr">
        <is>
          <t>Confirmed: BMDCF pays only once all project funding is confirmed (budget template instructions B16)</t>
        </is>
      </c>
      <c r="D19" s="4" t="inlineStr">
        <is>
          <t>Scope the BMD project budget so its other income lines are confirmed (DEWR agreement, paid buyer orders) or flagged No with a plan. Report results of pending applications to BMDCF as they land.</t>
        </is>
      </c>
      <c r="E19" s="4" t="inlineStr">
        <is>
          <t>Fundraising lead</t>
        </is>
      </c>
      <c r="F19" s="4" t="inlineStr">
        <is>
          <t>Funding F03</t>
        </is>
      </c>
    </row>
    <row r="20" ht="78" customHeight="1">
      <c r="A20" s="4" t="inlineStr">
        <is>
          <t>D15</t>
        </is>
      </c>
      <c r="B20" s="4" t="inlineStr">
        <is>
          <t>Sefa loan</t>
        </is>
      </c>
      <c r="C20" s="4" t="inlineStr">
        <is>
          <t>200,000 proposed; 7%/5-year illustration</t>
        </is>
      </c>
      <c r="D20" s="4" t="inlineStr">
        <is>
          <t>Confirm eligibility, affordability, term, fees and payment schedule.</t>
        </is>
      </c>
      <c r="E20" s="4" t="inlineStr">
        <is>
          <t>Ben / finance</t>
        </is>
      </c>
      <c r="F20" s="4" t="inlineStr">
        <is>
          <t>Funding F06; Assumptions</t>
        </is>
      </c>
    </row>
    <row r="21" ht="78" customHeight="1">
      <c r="A21" s="4" t="inlineStr">
        <is>
          <t>D16</t>
        </is>
      </c>
      <c r="B21" s="4" t="inlineStr">
        <is>
          <t>Historical accounts</t>
        </is>
      </c>
      <c r="C21" s="4" t="inlineStr">
        <is>
          <t>Butterfly accounts and ACT Goods trading remain separate</t>
        </is>
      </c>
      <c r="D21" s="4" t="inlineStr">
        <is>
          <t>Attach the applicant’s full historical reports; refresh allocations and payroll separately.</t>
        </is>
      </c>
      <c r="E21" s="4" t="inlineStr">
        <is>
          <t>Finance</t>
        </is>
      </c>
      <c r="F21" s="4" t="inlineStr">
        <is>
          <t>Butterfly FY26; FY26</t>
        </is>
      </c>
    </row>
    <row r="22" ht="78" customHeight="1">
      <c r="A22" s="4" t="inlineStr">
        <is>
          <t>D17</t>
        </is>
      </c>
      <c r="B22" s="4" t="inlineStr">
        <is>
          <t>Capacity and targets</t>
        </is>
      </c>
      <c r="C22" s="4" t="inlineStr">
        <is>
          <t>400 initial stock beds targeted from the current facility; current capacity is 360</t>
        </is>
      </c>
      <c r="D22" s="4" t="inlineStr">
        <is>
          <t>Agree productive days and support costs. Two community facilities are a separate capital decision. Do not increase the roster without agreement.</t>
        </is>
      </c>
      <c r="E22" s="4" t="inlineStr">
        <is>
          <t>Operations / partners</t>
        </is>
      </c>
      <c r="F22" s="4" t="inlineStr">
        <is>
          <t>NM Play; Sites</t>
        </is>
      </c>
    </row>
    <row r="23" ht="78" customHeight="1">
      <c r="A23" s="4" t="inlineStr">
        <is>
          <t>D18</t>
        </is>
      </c>
      <c r="B23" s="4" t="inlineStr">
        <is>
          <t>Washer and other R&amp;D</t>
        </is>
      </c>
      <c r="C23" s="4" t="inlineStr">
        <is>
          <t>No sale or impact output silently assumed</t>
        </is>
      </c>
      <c r="D23" s="4" t="inlineStr">
        <is>
          <t>Price R&amp;D and any additional module explicitly if included in the funded scope.</t>
        </is>
      </c>
      <c r="E23" s="4" t="inlineStr">
        <is>
          <t>Programme lead</t>
        </is>
      </c>
      <c r="F23" s="4" t="inlineStr">
        <is>
          <t>Assumptions B29; Source records</t>
        </is>
      </c>
    </row>
    <row r="24" ht="78" customHeight="1">
      <c r="A24" s="4" t="inlineStr">
        <is>
          <t>D19</t>
        </is>
      </c>
      <c r="B24" s="4" t="inlineStr">
        <is>
          <t>Unknown process costs</t>
        </is>
      </c>
      <c r="C24" s="4" t="inlineStr">
        <is>
          <t>Edging and shredding remain unpriced</t>
        </is>
      </c>
      <c r="D24" s="4" t="inlineStr">
        <is>
          <t>Confirm whether existing roles/consumables cover them, or enter extra daily rates.</t>
        </is>
      </c>
      <c r="E24" s="4" t="inlineStr">
        <is>
          <t>Production lead</t>
        </is>
      </c>
      <c r="F24" s="4" t="inlineStr">
        <is>
          <t>NM Play B33:B34</t>
        </is>
      </c>
    </row>
    <row r="25" ht="78" customHeight="1">
      <c r="A25" s="4" t="inlineStr">
        <is>
          <t>D20</t>
        </is>
      </c>
      <c r="B25" s="4" t="inlineStr">
        <is>
          <t>Opening stock</t>
        </is>
      </c>
      <c r="C25" s="4" t="inlineStr">
        <is>
          <t>No automatic credit for old snapshot</t>
        </is>
      </c>
      <c r="D25" s="4" t="inlineStr">
        <is>
          <t>Refresh counts on Sites. Forecast expense uses replacement-cost stock consumption, pending actual valuation.</t>
        </is>
      </c>
      <c r="E25" s="4" t="inlineStr">
        <is>
          <t>Production / finance</t>
        </is>
      </c>
      <c r="F25" s="4" t="inlineStr">
        <is>
          <t>Sites AA6:AC8</t>
        </is>
      </c>
    </row>
    <row r="26" ht="78" customHeight="1">
      <c r="A26" s="4" t="inlineStr">
        <is>
          <t>D21</t>
        </is>
      </c>
      <c r="B26" s="4" t="inlineStr">
        <is>
          <t>New supplier payment timing</t>
        </is>
      </c>
      <c r="C26" s="4" t="inlineStr">
        <is>
          <t>New operating costs are paid as incurred; only opening payables have a separate settlement schedule</t>
        </is>
      </c>
      <c r="D26" s="4" t="inlineStr">
        <is>
          <t>If supplier credit is agreed, add its dated liability/settlement schedule before accounting approval.</t>
        </is>
      </c>
      <c r="E26" s="4" t="inlineStr">
        <is>
          <t>Finance</t>
        </is>
      </c>
      <c r="F26" s="4" t="inlineStr">
        <is>
          <t>Cash schedule</t>
        </is>
      </c>
    </row>
    <row r="27" ht="78" customHeight="1">
      <c r="A27" s="4" t="inlineStr">
        <is>
          <t>D22</t>
        </is>
      </c>
      <c r="B27" s="4" t="inlineStr">
        <is>
          <t>Loan and payment scope</t>
        </is>
      </c>
      <c r="C27" s="4" t="inlineStr">
        <is>
          <t>New Sefa loan only; existing debt uses explicit monthly payment inputs</t>
        </is>
      </c>
      <c r="D27" s="4" t="inlineStr">
        <is>
          <t>Additional borrowing needs its own amortisation schedule, not another undifferentiated funding row.</t>
        </is>
      </c>
      <c r="E27" s="4" t="inlineStr">
        <is>
          <t>Finance</t>
        </is>
      </c>
      <c r="F27" s="4" t="inlineStr">
        <is>
          <t>Funding; monthly inputs</t>
        </is>
      </c>
    </row>
    <row r="28" ht="78" customHeight="1">
      <c r="A28" s="4" t="n"/>
      <c r="B28" s="4" t="n"/>
      <c r="C28" s="4" t="n"/>
      <c r="D28" s="4" t="n"/>
      <c r="E28" s="4" t="n"/>
      <c r="F28" s="4" t="n"/>
    </row>
    <row r="29" ht="78" customHeight="1">
      <c r="A29" s="4" t="n"/>
      <c r="B29" s="4" t="n"/>
      <c r="C29" s="4" t="n"/>
      <c r="D29" s="4" t="n"/>
      <c r="E29" s="4" t="n"/>
      <c r="F29" s="4" t="n"/>
    </row>
    <row r="30" ht="78" customHeight="1">
      <c r="A30" s="4" t="n"/>
      <c r="B30" s="4" t="n"/>
      <c r="C30" s="4" t="n"/>
      <c r="D30" s="4" t="n"/>
      <c r="E30" s="4" t="n"/>
      <c r="F30" s="4" t="n"/>
    </row>
    <row r="31" ht="78" customHeight="1">
      <c r="A31" s="8" t="inlineStr">
        <is>
          <t>Area</t>
        </is>
      </c>
      <c r="B31" s="8" t="inlineStr">
        <is>
          <t>Forecast output</t>
        </is>
      </c>
      <c r="C31" s="8" t="inlineStr">
        <is>
          <t>Actual record</t>
        </is>
      </c>
      <c r="D31" s="8" t="inlineStr">
        <is>
          <t>Follow-up / denominator</t>
        </is>
      </c>
      <c r="E31" s="8" t="inlineStr">
        <is>
          <t>Owner</t>
        </is>
      </c>
      <c r="F31" s="8" t="inlineStr">
        <is>
          <t>Status</t>
        </is>
      </c>
    </row>
    <row r="32" ht="78" customHeight="1">
      <c r="A32" s="4" t="inlineStr">
        <is>
          <t>Health and rest</t>
        </is>
      </c>
      <c r="B32" s="4" t="inlineStr">
        <is>
          <t>Planned delivered beds</t>
        </is>
      </c>
      <c r="C32" s="4" t="inlineStr">
        <is>
          <t>Asset ID, delivery date, consented follow-up, faults and repairs</t>
        </is>
      </c>
      <c r="D32" s="4" t="inlineStr">
        <is>
          <t>Contacted / eligible and in-use responses; do not infer clinical effects</t>
        </is>
      </c>
      <c r="E32" s="4" t="inlineStr">
        <is>
          <t>Community-nominated contact</t>
        </is>
      </c>
      <c r="F32" s="4" t="inlineStr">
        <is>
          <t>Actual evaluation not entered</t>
        </is>
      </c>
    </row>
    <row r="33" ht="78" customHeight="1">
      <c r="A33" s="4" t="inlineStr">
        <is>
          <t>Recycling</t>
        </is>
      </c>
      <c r="B33" s="4" t="inlineStr">
        <is>
          <t>Gross raw consumption and design mass, separately</t>
        </is>
      </c>
      <c r="C33" s="4" t="inlineStr">
        <is>
          <t>Batch ID, weighed feedstock, accepted material, reusable offcuts and waste</t>
        </is>
      </c>
      <c r="D33" s="4" t="inlineStr">
        <is>
          <t>Mass balance; distinguish collection from verified diversion</t>
        </is>
      </c>
      <c r="E33" s="4" t="inlineStr">
        <is>
          <t>Production lead</t>
        </is>
      </c>
      <c r="F33" s="4" t="inlineStr">
        <is>
          <t>Measured records not entered</t>
        </is>
      </c>
    </row>
    <row r="34" ht="78" customHeight="1">
      <c r="A34" s="4" t="inlineStr">
        <is>
          <t>Employment</t>
        </is>
      </c>
      <c r="B34" s="4" t="inlineStr">
        <is>
          <t>NM-mode paid-hour estimate where that staffing mode is used</t>
        </is>
      </c>
      <c r="C34" s="4" t="inlineStr">
        <is>
          <t>Shift ID, worker reference, paid hours and payment reference</t>
        </is>
      </c>
      <c r="D34" s="4" t="inlineStr">
        <is>
          <t>Actual hours and paid amount; annual-staff hours need roster evidence</t>
        </is>
      </c>
      <c r="E34" s="4" t="inlineStr">
        <is>
          <t>Site lead / finance</t>
        </is>
      </c>
      <c r="F34" s="4" t="inlineStr">
        <is>
          <t>Forecast is not actual paid work</t>
        </is>
      </c>
    </row>
    <row r="35" ht="78" customHeight="1">
      <c r="A35" s="4" t="inlineStr">
        <is>
          <t>Enterprise</t>
        </is>
      </c>
      <c r="B35" s="4" t="inlineStr">
        <is>
          <t>Planned facilities and community proceeds</t>
        </is>
      </c>
      <c r="C35" s="4" t="inlineStr">
        <is>
          <t>Operator, assets, contracts, invoices, authority and decision rights</t>
        </is>
      </c>
      <c r="D35" s="4" t="inlineStr">
        <is>
          <t>Who controls which decision and whether a transfer is complete</t>
        </is>
      </c>
      <c r="E35" s="4" t="inlineStr">
        <is>
          <t>Partner and Goods</t>
        </is>
      </c>
      <c r="F35" s="4" t="inlineStr">
        <is>
          <t>Ownership pathway, not completed claim</t>
        </is>
      </c>
    </row>
    <row r="36" ht="28" customHeight="1">
      <c r="A36" s="4" t="n"/>
      <c r="B36" s="4" t="n"/>
      <c r="C36" s="4" t="n"/>
      <c r="D36" s="4" t="n"/>
      <c r="E36" s="4" t="n"/>
      <c r="F36" s="4" t="n"/>
    </row>
    <row r="37" ht="28" customHeight="1">
      <c r="A37" s="4" t="n"/>
      <c r="B37" s="4" t="n"/>
      <c r="C37" s="4" t="n"/>
      <c r="D37" s="4" t="n"/>
      <c r="E37" s="4" t="n"/>
      <c r="F37" s="4" t="n"/>
    </row>
    <row r="38" ht="28" customHeight="1">
      <c r="A38" s="4" t="n"/>
      <c r="B38" s="4" t="n"/>
      <c r="C38" s="4" t="n"/>
      <c r="D38" s="4" t="n"/>
      <c r="E38" s="4" t="n"/>
      <c r="F38" s="4" t="n"/>
    </row>
    <row r="39" ht="54" customHeight="1">
      <c r="A39" s="8" t="inlineStr">
        <is>
          <t>Evidence ID</t>
        </is>
      </c>
      <c r="B39" s="8" t="inlineStr">
        <is>
          <t>Area / metric</t>
        </is>
      </c>
      <c r="C39" s="8" t="inlineStr">
        <is>
          <t>Actual quantity</t>
        </is>
      </c>
      <c r="D39" s="8" t="inlineStr">
        <is>
          <t>Date / period</t>
        </is>
      </c>
      <c r="E39" s="8" t="inlineStr">
        <is>
          <t>Source / consent reference</t>
        </is>
      </c>
      <c r="F39" s="8" t="inlineStr">
        <is>
          <t>Evidence status</t>
        </is>
      </c>
    </row>
    <row r="40" ht="28" customHeight="1">
      <c r="A40" s="139" t="n"/>
      <c r="B40" s="139" t="n"/>
      <c r="C40" s="139" t="n"/>
      <c r="D40" s="139" t="n"/>
      <c r="E40" s="139" t="n"/>
      <c r="F40" s="139" t="inlineStr">
        <is>
          <t>Not entered</t>
        </is>
      </c>
    </row>
    <row r="41" ht="28" customHeight="1">
      <c r="A41" s="139" t="n"/>
      <c r="B41" s="139" t="n"/>
      <c r="C41" s="139" t="n"/>
      <c r="D41" s="139" t="n"/>
      <c r="E41" s="139" t="n"/>
      <c r="F41" s="139" t="inlineStr">
        <is>
          <t>Not entered</t>
        </is>
      </c>
    </row>
    <row r="42" ht="28" customHeight="1">
      <c r="A42" s="139" t="n"/>
      <c r="B42" s="139" t="n"/>
      <c r="C42" s="139" t="n"/>
      <c r="D42" s="139" t="n"/>
      <c r="E42" s="139" t="n"/>
      <c r="F42" s="139" t="inlineStr">
        <is>
          <t>Not entered</t>
        </is>
      </c>
    </row>
    <row r="43" ht="28" customHeight="1">
      <c r="A43" s="139" t="n"/>
      <c r="B43" s="139" t="n"/>
      <c r="C43" s="139" t="n"/>
      <c r="D43" s="139" t="n"/>
      <c r="E43" s="139" t="n"/>
      <c r="F43" s="139" t="inlineStr">
        <is>
          <t>Not entered</t>
        </is>
      </c>
    </row>
    <row r="44" ht="28" customHeight="1">
      <c r="A44" s="139" t="n"/>
      <c r="B44" s="139" t="n"/>
      <c r="C44" s="139" t="n"/>
      <c r="D44" s="139" t="n"/>
      <c r="E44" s="139" t="n"/>
      <c r="F44" s="139" t="inlineStr">
        <is>
          <t>Not entered</t>
        </is>
      </c>
    </row>
    <row r="45" ht="28" customHeight="1">
      <c r="A45" s="139" t="n"/>
      <c r="B45" s="139" t="n"/>
      <c r="C45" s="139" t="n"/>
      <c r="D45" s="139" t="n"/>
      <c r="E45" s="139" t="n"/>
      <c r="F45" s="139" t="inlineStr">
        <is>
          <t>Not entered</t>
        </is>
      </c>
    </row>
    <row r="46" ht="28" customHeight="1">
      <c r="A46" s="139" t="n"/>
      <c r="B46" s="139" t="n"/>
      <c r="C46" s="139" t="n"/>
      <c r="D46" s="139" t="n"/>
      <c r="E46" s="139" t="n"/>
      <c r="F46" s="139" t="inlineStr">
        <is>
          <t>Not entered</t>
        </is>
      </c>
    </row>
    <row r="47" ht="28" customHeight="1">
      <c r="A47" s="139" t="n"/>
      <c r="B47" s="139" t="n"/>
      <c r="C47" s="139" t="n"/>
      <c r="D47" s="139" t="n"/>
      <c r="E47" s="139" t="n"/>
      <c r="F47" s="139" t="inlineStr">
        <is>
          <t>Not entered</t>
        </is>
      </c>
    </row>
    <row r="48" ht="28" customHeight="1">
      <c r="A48" s="139" t="n"/>
      <c r="B48" s="139" t="n"/>
      <c r="C48" s="139" t="n"/>
      <c r="D48" s="139" t="n"/>
      <c r="E48" s="139" t="n"/>
      <c r="F48" s="139" t="inlineStr">
        <is>
          <t>Not entered</t>
        </is>
      </c>
    </row>
    <row r="49" ht="28" customHeight="1">
      <c r="A49" s="139" t="n"/>
      <c r="B49" s="139" t="n"/>
      <c r="C49" s="139" t="n"/>
      <c r="D49" s="139" t="n"/>
      <c r="E49" s="139" t="n"/>
      <c r="F49" s="139" t="inlineStr">
        <is>
          <t>Not entered</t>
        </is>
      </c>
    </row>
    <row r="50" ht="28" customHeight="1">
      <c r="A50" s="4" t="n"/>
      <c r="B50" s="4" t="n"/>
      <c r="C50" s="4" t="n"/>
      <c r="D50" s="4" t="n"/>
      <c r="E50" s="4" t="n"/>
      <c r="F50" s="4" t="n"/>
    </row>
    <row r="51" ht="28" customHeight="1">
      <c r="A51" s="4" t="n"/>
      <c r="B51" s="4" t="n"/>
      <c r="C51" s="4" t="n"/>
      <c r="D51" s="4" t="n"/>
      <c r="E51" s="4" t="n"/>
      <c r="F51" s="4" t="n"/>
    </row>
    <row r="52" ht="28" customHeight="1">
      <c r="A52" s="4" t="n"/>
      <c r="B52" s="4" t="n"/>
      <c r="C52" s="4" t="n"/>
      <c r="D52" s="4" t="n"/>
      <c r="E52" s="4" t="n"/>
      <c r="F52" s="4" t="n"/>
    </row>
    <row r="53" ht="60" customHeight="1">
      <c r="A53" s="4" t="inlineStr">
        <is>
          <t>No prior actual delivery/work rows were populated in the maintained record templates. Their schemas and original formulas remain in Source records. Populate actual evidence from the underlying register, not from forecast totals.</t>
        </is>
      </c>
    </row>
    <row r="54" ht="28" customHeight="1">
      <c r="A54" s="4" t="n"/>
      <c r="B54" s="4" t="n"/>
      <c r="C54" s="4" t="n"/>
      <c r="D54" s="4" t="n"/>
      <c r="E54" s="4" t="n"/>
      <c r="F54" s="4" t="n"/>
    </row>
    <row r="55" ht="28" customHeight="1">
      <c r="A55" s="4" t="n"/>
      <c r="B55" s="4" t="n"/>
      <c r="C55" s="4" t="n"/>
      <c r="D55" s="4" t="n"/>
      <c r="E55" s="4" t="n"/>
      <c r="F55" s="4" t="n"/>
    </row>
    <row r="56" ht="28" customHeight="1">
      <c r="A56" s="4" t="n"/>
      <c r="B56" s="4" t="n"/>
      <c r="C56" s="4" t="n"/>
      <c r="D56" s="4" t="n"/>
      <c r="E56" s="4" t="n"/>
      <c r="F56" s="4" t="n"/>
    </row>
    <row r="57" ht="28" customHeight="1">
      <c r="A57" s="4" t="n"/>
      <c r="B57" s="4" t="n"/>
      <c r="C57" s="4" t="n"/>
      <c r="D57" s="4" t="n"/>
      <c r="E57" s="4" t="n"/>
      <c r="F57" s="4" t="n"/>
    </row>
    <row r="58" ht="28" customHeight="1">
      <c r="A58" s="4" t="n"/>
      <c r="B58" s="4" t="n"/>
      <c r="C58" s="4" t="n"/>
      <c r="D58" s="4" t="n"/>
      <c r="E58" s="4" t="n"/>
      <c r="F58" s="4" t="n"/>
    </row>
    <row r="59" ht="28" customHeight="1">
      <c r="A59" s="4" t="n"/>
      <c r="B59" s="4" t="n"/>
      <c r="C59" s="4" t="n"/>
      <c r="D59" s="4" t="n"/>
      <c r="E59" s="4" t="n"/>
      <c r="F59" s="4" t="n"/>
    </row>
    <row r="60" ht="28" customHeight="1">
      <c r="A60" s="4" t="n"/>
      <c r="B60" s="4" t="n"/>
      <c r="C60" s="4" t="n"/>
      <c r="D60" s="4" t="n"/>
      <c r="E60" s="4" t="n"/>
      <c r="F60" s="4" t="n"/>
    </row>
    <row r="61" ht="28" customHeight="1">
      <c r="A61" s="4" t="n"/>
      <c r="B61" s="4" t="n"/>
      <c r="C61" s="4" t="n"/>
      <c r="D61" s="4" t="n"/>
      <c r="E61" s="4" t="n"/>
      <c r="F61" s="4" t="n"/>
    </row>
    <row r="62" ht="28" customHeight="1">
      <c r="A62" s="4" t="n"/>
      <c r="B62" s="4" t="n"/>
      <c r="C62" s="4" t="n"/>
      <c r="D62" s="4" t="n"/>
      <c r="E62" s="4" t="n"/>
      <c r="F62" s="4" t="n"/>
    </row>
    <row r="63" ht="28" customHeight="1">
      <c r="A63" s="4" t="n"/>
      <c r="B63" s="4" t="n"/>
      <c r="C63" s="4" t="n"/>
      <c r="D63" s="4" t="n"/>
      <c r="E63" s="4" t="n"/>
      <c r="F63" s="4" t="n"/>
    </row>
    <row r="64" ht="28" customHeight="1">
      <c r="A64" s="4" t="n"/>
      <c r="B64" s="4" t="n"/>
      <c r="C64" s="4" t="n"/>
      <c r="D64" s="4" t="n"/>
      <c r="E64" s="4" t="n"/>
      <c r="F64" s="4" t="n"/>
    </row>
    <row r="65" ht="28" customHeight="1">
      <c r="A65" s="4" t="n"/>
      <c r="B65" s="4" t="n"/>
      <c r="C65" s="4" t="n"/>
      <c r="D65" s="4" t="n"/>
      <c r="E65" s="4" t="n"/>
      <c r="F65" s="4" t="n"/>
    </row>
    <row r="66" ht="28" customHeight="1">
      <c r="A66" s="4" t="n"/>
      <c r="B66" s="4" t="n"/>
      <c r="C66" s="4" t="n"/>
      <c r="D66" s="4" t="n"/>
      <c r="E66" s="4" t="n"/>
      <c r="F66" s="4" t="n"/>
    </row>
    <row r="67" ht="28" customHeight="1">
      <c r="A67" s="4" t="n"/>
      <c r="B67" s="4" t="n"/>
      <c r="C67" s="4" t="n"/>
      <c r="D67" s="4" t="n"/>
      <c r="E67" s="4" t="n"/>
      <c r="F67" s="4" t="n"/>
    </row>
    <row r="68" ht="28" customHeight="1">
      <c r="A68" s="4" t="n"/>
      <c r="B68" s="4" t="n"/>
      <c r="C68" s="4" t="n"/>
      <c r="D68" s="4" t="n"/>
      <c r="E68" s="4" t="n"/>
      <c r="F68" s="4" t="n"/>
    </row>
    <row r="69" ht="28" customHeight="1">
      <c r="A69" s="4" t="n"/>
      <c r="B69" s="4" t="n"/>
      <c r="C69" s="4" t="n"/>
      <c r="D69" s="4" t="n"/>
      <c r="E69" s="4" t="n"/>
      <c r="F69" s="4" t="n"/>
    </row>
    <row r="70" ht="28" customHeight="1">
      <c r="A70" s="4" t="n"/>
      <c r="B70" s="4" t="n"/>
      <c r="C70" s="4" t="n"/>
      <c r="D70" s="4" t="n"/>
      <c r="E70" s="4" t="n"/>
      <c r="F70" s="4" t="n"/>
    </row>
    <row r="71" ht="28" customHeight="1">
      <c r="A71" s="4" t="n"/>
      <c r="B71" s="4" t="n"/>
      <c r="C71" s="4" t="n"/>
      <c r="D71" s="4" t="n"/>
      <c r="E71" s="4" t="n"/>
      <c r="F71" s="4" t="n"/>
    </row>
    <row r="72" ht="28" customHeight="1">
      <c r="A72" s="4" t="n"/>
      <c r="B72" s="4" t="n"/>
      <c r="C72" s="4" t="n"/>
      <c r="D72" s="4" t="n"/>
      <c r="E72" s="4" t="n"/>
      <c r="F72" s="4" t="n"/>
    </row>
    <row r="73" ht="28" customHeight="1">
      <c r="A73" s="4" t="n"/>
      <c r="B73" s="4" t="n"/>
      <c r="C73" s="4" t="n"/>
      <c r="D73" s="4" t="n"/>
      <c r="E73" s="4" t="n"/>
      <c r="F73" s="4" t="n"/>
    </row>
    <row r="74" ht="28" customHeight="1">
      <c r="A74" s="4" t="n"/>
      <c r="B74" s="4" t="n"/>
      <c r="C74" s="4" t="n"/>
      <c r="D74" s="4" t="n"/>
      <c r="E74" s="4" t="n"/>
      <c r="F74" s="4" t="n"/>
    </row>
    <row r="75" ht="28" customHeight="1">
      <c r="A75" s="4" t="n"/>
      <c r="B75" s="4" t="n"/>
      <c r="C75" s="4" t="n"/>
      <c r="D75" s="4" t="n"/>
      <c r="E75" s="4" t="n"/>
      <c r="F75" s="4" t="n"/>
    </row>
    <row r="76" ht="28" customHeight="1">
      <c r="A76" s="4" t="n"/>
      <c r="B76" s="4" t="n"/>
      <c r="C76" s="4" t="n"/>
      <c r="D76" s="4" t="n"/>
      <c r="E76" s="4" t="n"/>
      <c r="F76" s="4" t="n"/>
    </row>
    <row r="77" ht="28" customHeight="1">
      <c r="A77" s="4" t="n"/>
      <c r="B77" s="4" t="n"/>
      <c r="C77" s="4" t="n"/>
      <c r="D77" s="4" t="n"/>
      <c r="E77" s="4" t="n"/>
      <c r="F77" s="4" t="n"/>
    </row>
    <row r="78" ht="28" customHeight="1">
      <c r="A78" s="4" t="n"/>
      <c r="B78" s="4" t="n"/>
      <c r="C78" s="4" t="n"/>
      <c r="D78" s="4" t="n"/>
      <c r="E78" s="4" t="n"/>
      <c r="F78" s="4" t="n"/>
    </row>
  </sheetData>
  <mergeCells count="3">
    <mergeCell ref="A3:F3"/>
    <mergeCell ref="A53:F53"/>
    <mergeCell ref="A1:F1"/>
  </mergeCells>
  <dataValidations count="1">
    <dataValidation sqref="F40:F49" showDropDown="0" showInputMessage="0" showErrorMessage="0" allowBlank="0" type="list">
      <formula1>"Not entered,Verified,Reported,Modelled,Unknown"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F61"/>
  <sheetViews>
    <sheetView showGridLines="0" workbookViewId="0">
      <pane ySplit="5" topLeftCell="A6" activePane="bottomLeft" state="frozen"/>
      <selection activeCell="A1" sqref="A1"/>
    </sheetView>
  </sheetViews>
  <sheetFormatPr baseColWidth="8" defaultRowHeight="15"/>
  <cols>
    <col width="27" customWidth="1" min="1" max="1"/>
    <col width="18" customWidth="1" min="2" max="2"/>
    <col width="34" customWidth="1" min="3" max="3"/>
    <col width="34" customWidth="1" min="4" max="4"/>
    <col width="61" customWidth="1" min="5" max="5"/>
    <col width="29" customWidth="1" min="6" max="6"/>
  </cols>
  <sheetData>
    <row r="1" ht="38" customHeight="1">
      <c r="A1" s="5" t="inlineStr">
        <is>
          <t>Source coverage and cost bridge</t>
        </is>
      </c>
    </row>
    <row r="2" ht="28" customHeight="1">
      <c r="A2" s="4" t="n"/>
      <c r="B2" s="4" t="n"/>
      <c r="C2" s="4" t="n"/>
      <c r="D2" s="4" t="n"/>
      <c r="E2" s="4" t="n"/>
      <c r="F2" s="4" t="n"/>
    </row>
    <row r="3" ht="54" customHeight="1">
      <c r="A3" s="6" t="inlineStr">
        <is>
          <t>All 27 original tabs are accounted for below. Original inputs/formulas and saved values remain searchable in Source records. Only the consolidated working calculations drive the new outputs.</t>
        </is>
      </c>
    </row>
    <row r="4" ht="28" customHeight="1">
      <c r="A4" s="4" t="n"/>
      <c r="B4" s="4" t="n"/>
      <c r="C4" s="4" t="n"/>
      <c r="D4" s="4" t="n"/>
      <c r="E4" s="4" t="n"/>
      <c r="F4" s="4" t="n"/>
    </row>
    <row r="5" ht="54" customHeight="1">
      <c r="A5" s="8" t="inlineStr">
        <is>
          <t>Original tab</t>
        </is>
      </c>
      <c r="B5" s="8" t="inlineStr">
        <is>
          <t>Preserved records</t>
        </is>
      </c>
      <c r="C5" s="8" t="inlineStr">
        <is>
          <t>Current destination</t>
        </is>
      </c>
      <c r="D5" s="8" t="inlineStr">
        <is>
          <t>Treatment</t>
        </is>
      </c>
      <c r="E5" s="8" t="inlineStr">
        <is>
          <t>Important boundary</t>
        </is>
      </c>
      <c r="F5" s="8" t="inlineStr">
        <is>
          <t>Source record range</t>
        </is>
      </c>
    </row>
    <row r="6" ht="66" customHeight="1">
      <c r="A6" s="4" t="inlineStr">
        <is>
          <t>Start here</t>
        </is>
      </c>
      <c r="B6" s="4" t="n">
        <v>102</v>
      </c>
      <c r="C6" s="4" t="inlineStr">
        <is>
          <t>Start</t>
        </is>
      </c>
      <c r="D6" s="4" t="inlineStr">
        <is>
          <t>Replaced navigation</t>
        </is>
      </c>
      <c r="E6" s="4" t="inlineStr">
        <is>
          <t>Current model has one case selector.</t>
        </is>
      </c>
      <c r="F6" s="4" t="inlineStr">
        <is>
          <t>Source records 6–107</t>
        </is>
      </c>
    </row>
    <row r="7" ht="66" customHeight="1">
      <c r="A7" s="4" t="inlineStr">
        <is>
          <t>Making plan</t>
        </is>
      </c>
      <c r="B7" s="4" t="n">
        <v>190</v>
      </c>
      <c r="C7" s="4" t="inlineStr">
        <is>
          <t>NM Play; Production schedule</t>
        </is>
      </c>
      <c r="D7" s="4" t="inlineStr">
        <is>
          <t>Connected process calculation</t>
        </is>
      </c>
      <c r="E7" s="4" t="inlineStr">
        <is>
          <t>Sheet, parts and shared CNC conversions feed costs and capacity.</t>
        </is>
      </c>
      <c r="F7" s="4" t="inlineStr">
        <is>
          <t>Source records 108–297</t>
        </is>
      </c>
    </row>
    <row r="8" ht="66" customHeight="1">
      <c r="A8" s="4" t="inlineStr">
        <is>
          <t>Community targets</t>
        </is>
      </c>
      <c r="B8" s="4" t="n">
        <v>110</v>
      </c>
      <c r="C8" s="4" t="inlineStr">
        <is>
          <t>Sites; Community sales; Source records</t>
        </is>
      </c>
      <c r="D8" s="4" t="inlineStr">
        <is>
          <t>Regional/locality alternatives retained</t>
        </is>
      </c>
      <c r="E8" s="4" t="inlineStr">
        <is>
          <t>1,000 regional targets are not added to the 400-bed programme or treated as orders.</t>
        </is>
      </c>
      <c r="F8" s="4" t="inlineStr">
        <is>
          <t>Source records 298–407</t>
        </is>
      </c>
    </row>
    <row r="9" ht="66" customHeight="1">
      <c r="A9" s="4" t="inlineStr">
        <is>
          <t>Facility targets</t>
        </is>
      </c>
      <c r="B9" s="4" t="n">
        <v>76</v>
      </c>
      <c r="C9" s="4" t="inlineStr">
        <is>
          <t>Production schedule; Sites</t>
        </is>
      </c>
      <c r="D9" s="4" t="inlineStr">
        <is>
          <t>Connected by site and period</t>
        </is>
      </c>
      <c r="E9" s="4" t="inlineStr">
        <is>
          <t>Forecast capacity uses the same process assumptions as NM costs.</t>
        </is>
      </c>
      <c r="F9" s="4" t="inlineStr">
        <is>
          <t>Source records 408–483</t>
        </is>
      </c>
    </row>
    <row r="10" ht="66" customHeight="1">
      <c r="A10" s="4" t="inlineStr">
        <is>
          <t>Inputs</t>
        </is>
      </c>
      <c r="B10" s="4" t="n">
        <v>152</v>
      </c>
      <c r="C10" s="4" t="inlineStr">
        <is>
          <t>NM Play; Source records; cost bridge</t>
        </is>
      </c>
      <c r="D10" s="4" t="inlineStr">
        <is>
          <t>Earlier marginal-cost definitions retained</t>
        </is>
      </c>
      <c r="E10" s="4" t="inlineStr">
        <is>
          <t>Old automatic matching and self-funded expansion do not enter the active model.</t>
        </is>
      </c>
      <c r="F10" s="4" t="inlineStr">
        <is>
          <t>Source records 484–635</t>
        </is>
      </c>
    </row>
    <row r="11" ht="66" customHeight="1">
      <c r="A11" s="4" t="inlineStr">
        <is>
          <t>Capex Estimates</t>
        </is>
      </c>
      <c r="B11" s="4" t="n">
        <v>81</v>
      </c>
      <c r="C11" s="4" t="inlineStr">
        <is>
          <t>Capital; Source records</t>
        </is>
      </c>
      <c r="D11" s="4" t="inlineStr">
        <is>
          <t>Detailed source retained; current allowance selected</t>
        </is>
      </c>
      <c r="E11" s="4" t="inlineStr">
        <is>
          <t>Freight/installation must not be added twice to a turnkey quote.</t>
        </is>
      </c>
      <c r="F11" s="4" t="inlineStr">
        <is>
          <t>Source records 636–716</t>
        </is>
      </c>
    </row>
    <row r="12" ht="66" customHeight="1">
      <c r="A12" s="4" t="inlineStr">
        <is>
          <t>Projection</t>
        </is>
      </c>
      <c r="B12" s="4" t="n">
        <v>200</v>
      </c>
      <c r="C12" s="4" t="inlineStr">
        <is>
          <t>Statements; Cases; Source records</t>
        </is>
      </c>
      <c r="D12" s="4" t="inlineStr">
        <is>
          <t>Replaced by explicit 36-month forecast</t>
        </is>
      </c>
      <c r="E12" s="4" t="inlineStr">
        <is>
          <t>No automatic facility builds from an assumed surplus.</t>
        </is>
      </c>
      <c r="F12" s="4" t="inlineStr">
        <is>
          <t>Source records 717–916</t>
        </is>
      </c>
    </row>
    <row r="13" ht="66" customHeight="1">
      <c r="A13" s="4" t="inlineStr">
        <is>
          <t>Known Other Costs</t>
        </is>
      </c>
      <c r="B13" s="4" t="n">
        <v>281</v>
      </c>
      <c r="C13" s="4" t="inlineStr">
        <is>
          <t>Costs; Capital; Evidence and decisions</t>
        </is>
      </c>
      <c r="D13" s="4" t="inlineStr">
        <is>
          <t>All historical and alternative cost lines retained</t>
        </is>
      </c>
      <c r="E13" s="4" t="inlineStr">
        <is>
          <t>Do not sum historical spend, subtotals and alternative archetypes together.</t>
        </is>
      </c>
      <c r="F13" s="4" t="inlineStr">
        <is>
          <t>Source records 917–1197</t>
        </is>
      </c>
    </row>
    <row r="14" ht="66" customHeight="1">
      <c r="A14" s="4" t="inlineStr">
        <is>
          <t>Facility &amp; Modules</t>
        </is>
      </c>
      <c r="B14" s="4" t="n">
        <v>162</v>
      </c>
      <c r="C14" s="4" t="inlineStr">
        <is>
          <t>Capital</t>
        </is>
      </c>
      <c r="D14" s="4" t="inlineStr">
        <is>
          <t>Selectable module prices and quantities</t>
        </is>
      </c>
      <c r="E14" s="4" t="inlineStr">
        <is>
          <t>Modules replace the allowance if selected; they are not additional to it.</t>
        </is>
      </c>
      <c r="F14" s="4" t="inlineStr">
        <is>
          <t>Source records 1198–1359</t>
        </is>
      </c>
    </row>
    <row r="15" ht="66" customHeight="1">
      <c r="A15" s="4" t="inlineStr">
        <is>
          <t>Community Economics</t>
        </is>
      </c>
      <c r="B15" s="4" t="n">
        <v>123</v>
      </c>
      <c r="C15" s="4" t="inlineStr">
        <is>
          <t>Community sales; Source records</t>
        </is>
      </c>
      <c r="D15" s="4" t="inlineStr">
        <is>
          <t>Local proceeds calculation</t>
        </is>
      </c>
      <c r="E15" s="4" t="inlineStr">
        <is>
          <t>Community receipts are outside Goods cash.</t>
        </is>
      </c>
      <c r="F15" s="4" t="inlineStr">
        <is>
          <t>Source records 1360–1482</t>
        </is>
      </c>
    </row>
    <row r="16" ht="66" customHeight="1">
      <c r="A16" s="4" t="inlineStr">
        <is>
          <t>Notes</t>
        </is>
      </c>
      <c r="B16" s="4" t="n">
        <v>41</v>
      </c>
      <c r="C16" s="4" t="inlineStr">
        <is>
          <t>Evidence and decisions; Source records</t>
        </is>
      </c>
      <c r="D16" s="4" t="inlineStr">
        <is>
          <t>Original narrative retained as source</t>
        </is>
      </c>
      <c r="E16" s="4" t="inlineStr">
        <is>
          <t>Current dated decisions override old entity and ownership language.</t>
        </is>
      </c>
      <c r="F16" s="4" t="inlineStr">
        <is>
          <t>Source records 1483–1523</t>
        </is>
      </c>
    </row>
    <row r="17" ht="66" customHeight="1">
      <c r="A17" s="4" t="inlineStr">
        <is>
          <t>NM Play</t>
        </is>
      </c>
      <c r="B17" s="4" t="n">
        <v>371</v>
      </c>
      <c r="C17" s="4" t="inlineStr">
        <is>
          <t>NM Play; Production schedule; Cash schedule</t>
        </is>
      </c>
      <c r="D17" s="4" t="inlineStr">
        <is>
          <t>Process, costs, stock and batch calculations connected</t>
        </is>
      </c>
      <c r="E17" s="4" t="inlineStr">
        <is>
          <t>Old daily/weekly unit error is not reused; unknown crew and finishing costs stay visible.</t>
        </is>
      </c>
      <c r="F17" s="4" t="inlineStr">
        <is>
          <t>Source records 1524–1894</t>
        </is>
      </c>
    </row>
    <row r="18" ht="66" customHeight="1">
      <c r="A18" s="4" t="inlineStr">
        <is>
          <t>NM Cashflow</t>
        </is>
      </c>
      <c r="B18" s="4" t="n">
        <v>439</v>
      </c>
      <c r="C18" s="4" t="inlineStr">
        <is>
          <t>Monthly forecast; Statements; Evidence and decisions</t>
        </is>
      </c>
      <c r="D18" s="4" t="inlineStr">
        <is>
          <t>Production and cost forecast rebuilt from drivers</t>
        </is>
      </c>
      <c r="E18" s="4" t="inlineStr">
        <is>
          <t>No automatic all-bed revenue, $200 profit, clinical impact or actual 4.8 hours/bed claim.</t>
        </is>
      </c>
      <c r="F18" s="4" t="inlineStr">
        <is>
          <t>Source records 1895–2333</t>
        </is>
      </c>
    </row>
    <row r="19" ht="66" customHeight="1">
      <c r="A19" s="4" t="inlineStr">
        <is>
          <t>README</t>
        </is>
      </c>
      <c r="B19" s="4" t="n">
        <v>59</v>
      </c>
      <c r="C19" s="4" t="inlineStr">
        <is>
          <t>Start; Source records</t>
        </is>
      </c>
      <c r="D19" s="4" t="inlineStr">
        <is>
          <t>Replaced operating instructions</t>
        </is>
      </c>
      <c r="E19" s="4" t="inlineStr">
        <is>
          <t>One maintained file; previous master archived.</t>
        </is>
      </c>
      <c r="F19" s="4" t="inlineStr">
        <is>
          <t>Source records 2334–2392</t>
        </is>
      </c>
    </row>
    <row r="20" ht="66" customHeight="1">
      <c r="A20" s="4" t="inlineStr">
        <is>
          <t>Inputs (1)</t>
        </is>
      </c>
      <c r="B20" s="4" t="n">
        <v>293</v>
      </c>
      <c r="C20" s="4" t="inlineStr">
        <is>
          <t>Assumptions; Sites; Costs</t>
        </is>
      </c>
      <c r="D20" s="4" t="inlineStr">
        <is>
          <t>Current supported provisions carried forward</t>
        </is>
      </c>
      <c r="E20" s="4" t="inlineStr">
        <is>
          <t>Blank balances and tax replace unsupported financial placeholders.</t>
        </is>
      </c>
      <c r="F20" s="4" t="inlineStr">
        <is>
          <t>Source records 2393–2685</t>
        </is>
      </c>
    </row>
    <row r="21" ht="66" customHeight="1">
      <c r="A21" s="4" t="inlineStr">
        <is>
          <t>Workings</t>
        </is>
      </c>
      <c r="B21" s="4" t="n">
        <v>338</v>
      </c>
      <c r="C21" s="4" t="inlineStr">
        <is>
          <t>Cash schedule</t>
        </is>
      </c>
      <c r="D21" s="4" t="inlineStr">
        <is>
          <t>Shared financial calculation</t>
        </is>
      </c>
      <c r="E21" s="4" t="inlineStr">
        <is>
          <t>Interest, principal, depreciation and grant timing stay separate.</t>
        </is>
      </c>
      <c r="F21" s="4" t="inlineStr">
        <is>
          <t>Source records 2686–3023</t>
        </is>
      </c>
    </row>
    <row r="22" ht="66" customHeight="1">
      <c r="A22" s="4" t="inlineStr">
        <is>
          <t>Statements</t>
        </is>
      </c>
      <c r="B22" s="4" t="n">
        <v>241</v>
      </c>
      <c r="C22" s="4" t="inlineStr">
        <is>
          <t>Statements; Butterfly FY26</t>
        </is>
      </c>
      <c r="D22" s="4" t="inlineStr">
        <is>
          <t>Forecast and actual accounts separated</t>
        </is>
      </c>
      <c r="E22" s="4" t="inlineStr">
        <is>
          <t>Forecasts do not replace Q20 actual financials.</t>
        </is>
      </c>
      <c r="F22" s="4" t="inlineStr">
        <is>
          <t>Source records 3024–3264</t>
        </is>
      </c>
    </row>
    <row r="23" ht="66" customHeight="1">
      <c r="A23" s="4" t="inlineStr">
        <is>
          <t>Open Items</t>
        </is>
      </c>
      <c r="B23" s="4" t="n">
        <v>176</v>
      </c>
      <c r="C23" s="4" t="inlineStr">
        <is>
          <t>Evidence and decisions</t>
        </is>
      </c>
      <c r="D23" s="4" t="inlineStr">
        <is>
          <t>Current decisions and remaining evidence separated</t>
        </is>
      </c>
      <c r="E23" s="4" t="inlineStr">
        <is>
          <t>Founder amount, applicant and $300,000 allowance are not reopened.</t>
        </is>
      </c>
      <c r="F23" s="4" t="inlineStr">
        <is>
          <t>Source records 3265–3440</t>
        </is>
      </c>
    </row>
    <row r="24" ht="66" customHeight="1">
      <c r="A24" s="4" t="inlineStr">
        <is>
          <t>Overview</t>
        </is>
      </c>
      <c r="B24" s="4" t="n">
        <v>98</v>
      </c>
      <c r="C24" s="4" t="inlineStr">
        <is>
          <t>Start; Cases; QBE</t>
        </is>
      </c>
      <c r="D24" s="4" t="inlineStr">
        <is>
          <t>Current summary and case comparison</t>
        </is>
      </c>
      <c r="E24" s="4" t="inlineStr">
        <is>
          <t>Smaller case changes physical scope, not just receipts.</t>
        </is>
      </c>
      <c r="F24" s="4" t="inlineStr">
        <is>
          <t>Source records 3441–3538</t>
        </is>
      </c>
    </row>
    <row r="25" ht="66" customHeight="1">
      <c r="A25" s="4" t="inlineStr">
        <is>
          <t>Cost plan</t>
        </is>
      </c>
      <c r="B25" s="4" t="n">
        <v>409</v>
      </c>
      <c r="C25" s="4" t="inlineStr">
        <is>
          <t>Costs; Production schedule; Capital</t>
        </is>
      </c>
      <c r="D25" s="4" t="inlineStr">
        <is>
          <t>Unified cost boundaries</t>
        </is>
      </c>
      <c r="E25" s="4" t="inlineStr">
        <is>
          <t>Every production and shared cost is charged through one route.</t>
        </is>
      </c>
      <c r="F25" s="4" t="inlineStr">
        <is>
          <t>Source records 3539–3947</t>
        </is>
      </c>
    </row>
    <row r="26" ht="66" customHeight="1">
      <c r="A26" s="4" t="inlineStr">
        <is>
          <t>Production</t>
        </is>
      </c>
      <c r="B26" s="4" t="n">
        <v>522</v>
      </c>
      <c r="C26" s="4" t="inlineStr">
        <is>
          <t>Production schedule</t>
        </is>
      </c>
      <c r="D26" s="4" t="inlineStr">
        <is>
          <t>Case/site/month stock and delivery calculations</t>
        </is>
      </c>
      <c r="E26" s="4" t="inlineStr">
        <is>
          <t>Production is distinct from Goods sales and community delivery.</t>
        </is>
      </c>
      <c r="F26" s="4" t="inlineStr">
        <is>
          <t>Source records 3948–4469</t>
        </is>
      </c>
    </row>
    <row r="27" ht="66" customHeight="1">
      <c r="A27" s="4" t="inlineStr">
        <is>
          <t>Cash flow</t>
        </is>
      </c>
      <c r="B27" s="4" t="n">
        <v>213</v>
      </c>
      <c r="C27" s="4" t="inlineStr">
        <is>
          <t>Cash schedule; Monthly forecast</t>
        </is>
      </c>
      <c r="D27" s="4" t="inlineStr">
        <is>
          <t>Status-aware receipts and debt service</t>
        </is>
      </c>
      <c r="E27" s="4" t="inlineStr">
        <is>
          <t>Only dated secured receipts enter the secured-only view.</t>
        </is>
      </c>
      <c r="F27" s="4" t="inlineStr">
        <is>
          <t>Source records 4470–4682</t>
        </is>
      </c>
    </row>
    <row r="28" ht="66" customHeight="1">
      <c r="A28" s="4" t="inlineStr">
        <is>
          <t>Funding</t>
        </is>
      </c>
      <c r="B28" s="4" t="n">
        <v>61</v>
      </c>
      <c r="C28" s="4" t="inlineStr">
        <is>
          <t>Funding</t>
        </is>
      </c>
      <c r="D28" s="4" t="inlineStr">
        <is>
          <t>Current records and separate tranches</t>
        </is>
      </c>
      <c r="E28" s="4" t="inlineStr">
        <is>
          <t>Whole multi-year invitation is not counted in Year 1.</t>
        </is>
      </c>
      <c r="F28" s="4" t="inlineStr">
        <is>
          <t>Source records 4683–4743</t>
        </is>
      </c>
    </row>
    <row r="29" ht="66" customHeight="1">
      <c r="A29" s="4" t="inlineStr">
        <is>
          <t>Warm foundations</t>
        </is>
      </c>
      <c r="B29" s="4" t="n">
        <v>49</v>
      </c>
      <c r="C29" s="4" t="inlineStr">
        <is>
          <t>Funding; Source records</t>
        </is>
      </c>
      <c r="D29" s="4" t="inlineStr">
        <is>
          <t>Optional prospects, excluded until selected</t>
        </is>
      </c>
      <c r="E29" s="4" t="inlineStr">
        <is>
          <t>Current Snow/Dusseldorp amounts remain unknown rather than reverting to old asks.</t>
        </is>
      </c>
      <c r="F29" s="4" t="inlineStr">
        <is>
          <t>Source records 4744–4792</t>
        </is>
      </c>
    </row>
    <row r="30" ht="66" customHeight="1">
      <c r="A30" s="4" t="inlineStr">
        <is>
          <t>Sites</t>
        </is>
      </c>
      <c r="B30" s="4" t="n">
        <v>60</v>
      </c>
      <c r="C30" s="4" t="inlineStr">
        <is>
          <t>Sites; Capital</t>
        </is>
      </c>
      <c r="D30" s="4" t="inlineStr">
        <is>
          <t>Current three-site assumptions</t>
        </is>
      </c>
      <c r="E30" s="4" t="inlineStr">
        <is>
          <t>Witta is existing; two new facilities are additional.</t>
        </is>
      </c>
      <c r="F30" s="4" t="inlineStr">
        <is>
          <t>Source records 4793–4852</t>
        </is>
      </c>
    </row>
    <row r="31" ht="66" customHeight="1">
      <c r="A31" s="4" t="inlineStr">
        <is>
          <t>Unit costs</t>
        </is>
      </c>
      <c r="B31" s="4" t="n">
        <v>73</v>
      </c>
      <c r="C31" s="4" t="inlineStr">
        <is>
          <t>NM Play; Production schedule; cost bridge</t>
        </is>
      </c>
      <c r="D31" s="4" t="inlineStr">
        <is>
          <t>Component costing</t>
        </is>
      </c>
      <c r="E31" s="4" t="inlineStr">
        <is>
          <t>Cost comparisons retain labour, rent, freight and stock boundaries.</t>
        </is>
      </c>
      <c r="F31" s="4" t="inlineStr">
        <is>
          <t>Source records 4853–4925</t>
        </is>
      </c>
    </row>
    <row r="32" ht="66" customHeight="1">
      <c r="A32" s="4" t="inlineStr">
        <is>
          <t>Community sales</t>
        </is>
      </c>
      <c r="B32" s="4" t="n">
        <v>57</v>
      </c>
      <c r="C32" s="4" t="inlineStr">
        <is>
          <t>Community sales</t>
        </is>
      </c>
      <c r="D32" s="4" t="inlineStr">
        <is>
          <t>Connected stock and local proceeds</t>
        </is>
      </c>
      <c r="E32" s="4" t="inlineStr">
        <is>
          <t>No resale receipt is counted a second time as Goods revenue.</t>
        </is>
      </c>
      <c r="F32" s="4" t="inlineStr">
        <is>
          <t>Source records 4926–4982</t>
        </is>
      </c>
    </row>
    <row r="33" ht="28" customHeight="1">
      <c r="A33" s="4" t="n"/>
      <c r="B33" s="4" t="n"/>
      <c r="C33" s="4" t="n"/>
      <c r="D33" s="4" t="n"/>
      <c r="E33" s="4" t="n"/>
      <c r="F33" s="4" t="n"/>
    </row>
    <row r="34" ht="28" customHeight="1">
      <c r="A34" s="4" t="n"/>
      <c r="B34" s="4" t="n"/>
      <c r="C34" s="4" t="n"/>
      <c r="D34" s="4" t="n"/>
      <c r="E34" s="4" t="n"/>
      <c r="F34" s="4" t="n"/>
    </row>
    <row r="35" ht="28" customHeight="1">
      <c r="A35" s="4" t="n"/>
      <c r="B35" s="4" t="n"/>
      <c r="C35" s="4" t="n"/>
      <c r="D35" s="4" t="n"/>
      <c r="E35" s="4" t="n"/>
      <c r="F35" s="4" t="n"/>
    </row>
    <row r="36" ht="54" customHeight="1">
      <c r="A36" s="8" t="inlineStr">
        <is>
          <t>Cost comparison</t>
        </is>
      </c>
      <c r="B36" s="8" t="inlineStr">
        <is>
          <t>Earlier annual reference</t>
        </is>
      </c>
      <c r="C36" s="8" t="inlineStr">
        <is>
          <t>Current full case</t>
        </is>
      </c>
      <c r="D36" s="8" t="inlineStr">
        <is>
          <t>Difference</t>
        </is>
      </c>
      <c r="E36" s="8" t="inlineStr">
        <is>
          <t>Explanation</t>
        </is>
      </c>
      <c r="F36" s="8" t="str"/>
    </row>
    <row r="37" ht="44" customHeight="1">
      <c r="A37" s="4" t="inlineStr">
        <is>
          <t>Central costs</t>
        </is>
      </c>
      <c r="B37" s="137" t="n">
        <v>340200</v>
      </c>
      <c r="C37" s="137">
        <f>SUM('Cash schedule'!I6:I17)</f>
        <v/>
      </c>
      <c r="D37" s="137">
        <f>C37-B37</f>
        <v/>
      </c>
      <c r="E37" s="4" t="inlineStr">
        <is>
          <t>Source founder/head-office/travel provisions remain; monthly overrides flow through.</t>
        </is>
      </c>
      <c r="F37" s="4" t="n"/>
    </row>
    <row r="38" ht="44" customHeight="1">
      <c r="A38" s="4" t="inlineStr">
        <is>
          <t>Annual site costs</t>
        </is>
      </c>
      <c r="B38" s="137" t="n">
        <v>586050</v>
      </c>
      <c r="C38" s="137">
        <f>SUM('Cash schedule'!J6:J17)</f>
        <v/>
      </c>
      <c r="D38" s="137">
        <f>C38-B38</f>
        <v/>
      </c>
      <c r="E38" s="4" t="inlineStr">
        <is>
          <t>Original combined site costs preserved; Goods cash now excludes community facility operations. See Responsibilities for the reconciliation.</t>
        </is>
      </c>
      <c r="F38" s="4" t="n"/>
    </row>
    <row r="39" ht="44" customHeight="1">
      <c r="A39" s="4" t="inlineStr">
        <is>
          <t>Bed making and freight</t>
        </is>
      </c>
      <c r="B39" s="137" t="n">
        <v>97296</v>
      </c>
      <c r="C39" s="137">
        <f>SUM('Cash schedule'!G6:G17)+SUM('Cash schedule'!H6:H17)</f>
        <v/>
      </c>
      <c r="D39" s="137">
        <f>C39-B39</f>
        <v/>
      </c>
      <c r="E39" s="4" t="inlineStr">
        <is>
          <t>NM now prices gross sheet input, press-day power and consumables. Freight remains site-specific.</t>
        </is>
      </c>
      <c r="F39" s="4" t="n"/>
    </row>
    <row r="40" ht="44" customHeight="1">
      <c r="A40" s="4" t="inlineStr">
        <is>
          <t>New facilities</t>
        </is>
      </c>
      <c r="B40" s="137" t="n">
        <v>300000</v>
      </c>
      <c r="C40" s="137">
        <f>SUM('Cash schedule'!M6:M17)</f>
        <v/>
      </c>
      <c r="D40" s="137">
        <f>C40-B40</f>
        <v/>
      </c>
      <c r="E40" s="4" t="inlineStr">
        <is>
          <t>Current combined allowance, not the older two × replication estimate.</t>
        </is>
      </c>
      <c r="F40" s="4" t="n"/>
    </row>
    <row r="41" ht="44" customHeight="1">
      <c r="A41" s="4" t="inlineStr">
        <is>
          <t>Priced youth support</t>
        </is>
      </c>
      <c r="B41" s="137" t="n">
        <v>0</v>
      </c>
      <c r="C41" s="137">
        <f>SUM('Cash schedule'!K6:K17)</f>
        <v/>
      </c>
      <c r="D41" s="137">
        <f>C41-B41</f>
        <v/>
      </c>
      <c r="E41" s="4" t="inlineStr">
        <is>
          <t>Unknown programme counts are excluded from this priced subtotal.</t>
        </is>
      </c>
      <c r="F41" s="4" t="n"/>
    </row>
    <row r="42" ht="44" customHeight="1">
      <c r="A42" s="4" t="inlineStr">
        <is>
          <t>Extra selected operating costs</t>
        </is>
      </c>
      <c r="B42" s="137" t="n">
        <v>0</v>
      </c>
      <c r="C42" s="137">
        <f>SUM('Cash schedule'!L6:L17)</f>
        <v/>
      </c>
      <c r="D42" s="137">
        <f>C42-B42</f>
        <v/>
      </c>
      <c r="E42" s="4" t="n"/>
      <c r="F42" s="4" t="n"/>
    </row>
    <row r="43" ht="44" customHeight="1">
      <c r="A43" s="8" t="inlineStr">
        <is>
          <t>Priced cost subtotal</t>
        </is>
      </c>
      <c r="B43" s="140">
        <f>SUM(B37:B42)</f>
        <v/>
      </c>
      <c r="C43" s="140">
        <f>SUM(C37:C42)</f>
        <v/>
      </c>
      <c r="D43" s="140">
        <f>SUM(D37:D42)</f>
        <v/>
      </c>
      <c r="E43" s="8" t="n"/>
      <c r="F43" s="8" t="n"/>
    </row>
    <row r="44" ht="28" customHeight="1">
      <c r="A44" s="4" t="n"/>
      <c r="B44" s="4" t="n"/>
      <c r="C44" s="4" t="n"/>
      <c r="D44" s="4" t="n"/>
      <c r="E44" s="4" t="n"/>
      <c r="F44" s="4" t="n"/>
    </row>
    <row r="45" ht="28" customHeight="1">
      <c r="A45" s="4" t="n"/>
      <c r="B45" s="4" t="n"/>
      <c r="C45" s="4" t="n"/>
      <c r="D45" s="4" t="n"/>
      <c r="E45" s="4" t="n"/>
      <c r="F45" s="4" t="n"/>
    </row>
    <row r="46" ht="28" customHeight="1">
      <c r="A46" s="4" t="inlineStr">
        <is>
          <t>Research basis</t>
        </is>
      </c>
      <c r="B46" s="4" t="inlineStr">
        <is>
          <t>https://www.icaew.com/technical/technology/excel-community/20-principles-for-good-spreadsheet-practice-2024-edition</t>
        </is>
      </c>
    </row>
    <row r="47" ht="28" customHeight="1">
      <c r="A47" s="4" t="n"/>
      <c r="B47" s="4" t="inlineStr">
        <is>
          <t>https://support.microsoft.com/en-us/excel/using-structured-references-with-excel-tables</t>
        </is>
      </c>
    </row>
    <row r="48" ht="28" customHeight="1">
      <c r="A48" s="4" t="n"/>
      <c r="B48" s="4" t="inlineStr">
        <is>
          <t>https://support.microsoft.com/en-us/excel/get-started/collaborate-on-excel-workbooks-at-the-same-time-with-co-authoring</t>
        </is>
      </c>
    </row>
    <row r="49" ht="28" customHeight="1">
      <c r="A49" s="4" t="n"/>
      <c r="B49" s="4" t="n"/>
      <c r="C49" s="4" t="n"/>
      <c r="D49" s="4" t="n"/>
      <c r="E49" s="4" t="n"/>
      <c r="F49" s="4" t="n"/>
    </row>
    <row r="50" ht="28" customHeight="1">
      <c r="A50" s="4" t="n"/>
      <c r="B50" s="4" t="n"/>
      <c r="C50" s="4" t="n"/>
      <c r="D50" s="4" t="n"/>
      <c r="E50" s="4" t="n"/>
      <c r="F50" s="4" t="n"/>
    </row>
    <row r="51" ht="28" customHeight="1">
      <c r="A51" s="4" t="inlineStr">
        <is>
          <t>Historical sources</t>
        </is>
      </c>
      <c r="B51" s="4" t="inlineStr">
        <is>
          <t>FY26, FY26 cash, FY26 invoices and Butterfly FY26 were preserved from the prior master. Supporting evidence templates and source notes are archived in Source records.</t>
        </is>
      </c>
    </row>
    <row r="52" ht="28" customHeight="1">
      <c r="A52" s="4" t="n"/>
      <c r="B52" s="4" t="n"/>
      <c r="C52" s="4" t="n"/>
      <c r="D52" s="4" t="n"/>
      <c r="E52" s="4" t="n"/>
      <c r="F52" s="4" t="n"/>
    </row>
    <row r="53" ht="28" customHeight="1">
      <c r="A53" s="4" t="n"/>
      <c r="B53" s="4" t="n"/>
      <c r="C53" s="4" t="n"/>
      <c r="D53" s="4" t="n"/>
      <c r="E53" s="4" t="n"/>
      <c r="F53" s="4" t="n"/>
    </row>
    <row r="54" ht="28" customHeight="1">
      <c r="A54" s="4" t="n"/>
      <c r="B54" s="4" t="n"/>
      <c r="C54" s="4" t="n"/>
      <c r="D54" s="4" t="n"/>
      <c r="E54" s="4" t="n"/>
      <c r="F54" s="4" t="n"/>
    </row>
    <row r="55" ht="28" customHeight="1">
      <c r="A55" s="4" t="n"/>
      <c r="B55" s="4" t="n"/>
      <c r="C55" s="4" t="n"/>
      <c r="D55" s="4" t="n"/>
      <c r="E55" s="4" t="n"/>
      <c r="F55" s="4" t="n"/>
    </row>
    <row r="56" ht="28" customHeight="1">
      <c r="A56" s="4" t="n"/>
      <c r="B56" s="4" t="n"/>
      <c r="C56" s="4" t="n"/>
      <c r="D56" s="4" t="n"/>
      <c r="E56" s="4" t="n"/>
      <c r="F56" s="4" t="n"/>
    </row>
    <row r="57" ht="28" customHeight="1">
      <c r="A57" s="4" t="n"/>
      <c r="B57" s="4" t="n"/>
      <c r="C57" s="4" t="n"/>
      <c r="D57" s="4" t="n"/>
      <c r="E57" s="4" t="n"/>
      <c r="F57" s="4" t="n"/>
    </row>
    <row r="58" ht="28" customHeight="1">
      <c r="A58" s="4" t="n"/>
      <c r="B58" s="4" t="n"/>
      <c r="C58" s="4" t="n"/>
      <c r="D58" s="4" t="n"/>
      <c r="E58" s="4" t="n"/>
      <c r="F58" s="4" t="n"/>
    </row>
    <row r="59" ht="28" customHeight="1">
      <c r="A59" s="4" t="n"/>
      <c r="B59" s="4" t="n"/>
      <c r="C59" s="4" t="n"/>
      <c r="D59" s="4" t="n"/>
      <c r="E59" s="4" t="n"/>
      <c r="F59" s="4" t="n"/>
    </row>
    <row r="60" ht="28" customHeight="1">
      <c r="A60" s="4" t="n"/>
      <c r="B60" s="4" t="n"/>
      <c r="C60" s="4" t="n"/>
      <c r="D60" s="4" t="n"/>
      <c r="E60" s="4" t="n"/>
      <c r="F60" s="4" t="n"/>
    </row>
    <row r="61" ht="28" customHeight="1">
      <c r="A61" s="4" t="n"/>
      <c r="B61" s="4" t="n"/>
      <c r="C61" s="4" t="n"/>
      <c r="D61" s="4" t="n"/>
      <c r="E61" s="4" t="n"/>
      <c r="F61" s="4" t="n"/>
    </row>
  </sheetData>
  <mergeCells count="6">
    <mergeCell ref="B47:F47"/>
    <mergeCell ref="B48:F48"/>
    <mergeCell ref="A1:F1"/>
    <mergeCell ref="B51:F51"/>
    <mergeCell ref="B46:F46"/>
    <mergeCell ref="A3:F3"/>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AO550"/>
  <sheetViews>
    <sheetView showGridLines="0" workbookViewId="0">
      <pane ySplit="5" topLeftCell="A6" activePane="bottomLeft" state="frozen"/>
      <selection activeCell="A1" sqref="A1"/>
    </sheetView>
  </sheetViews>
  <sheetFormatPr baseColWidth="8" defaultRowHeight="15"/>
  <cols>
    <col width="24" customWidth="1" min="1" max="1"/>
    <col width="1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s>
  <sheetData>
    <row r="1" ht="38" customHeight="1">
      <c r="A1" s="5" t="inlineStr">
        <is>
          <t>Production schedule</t>
        </is>
      </c>
    </row>
    <row r="2" ht="28"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row>
    <row r="3" ht="54" customHeight="1">
      <c r="A3" s="6" t="inlineStr">
        <is>
          <t>Supporting calculation for every case, site and month. Filter by case/site. All produced beds are assumed delivered in the month; buyer and community channels remain distinct. Planned delivery is not an order.</t>
        </is>
      </c>
    </row>
    <row r="4" ht="28" customHeight="1">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row>
    <row r="5" ht="54" customHeight="1">
      <c r="A5" s="8" t="inlineStr">
        <is>
          <t>Case</t>
        </is>
      </c>
      <c r="B5" s="8" t="inlineStr">
        <is>
          <t>Site</t>
        </is>
      </c>
      <c r="C5" s="8" t="inlineStr">
        <is>
          <t>Month</t>
        </is>
      </c>
      <c r="D5" s="8" t="inlineStr">
        <is>
          <t>Year</t>
        </is>
      </c>
      <c r="E5" s="8" t="inlineStr">
        <is>
          <t>Active</t>
        </is>
      </c>
      <c r="F5" s="8" t="inlineStr">
        <is>
          <t>Available days</t>
        </is>
      </c>
      <c r="G5" s="8" t="inlineStr">
        <is>
          <t>Opening tabs</t>
        </is>
      </c>
      <c r="H5" s="8" t="inlineStr">
        <is>
          <t>Opening legs</t>
        </is>
      </c>
      <c r="I5" s="8" t="inlineStr">
        <is>
          <t>Opening raw kg</t>
        </is>
      </c>
      <c r="J5" s="8" t="inlineStr">
        <is>
          <t>Remaining target</t>
        </is>
      </c>
      <c r="K5" s="8" t="inlineStr">
        <is>
          <t>Press capacity</t>
        </is>
      </c>
      <c r="L5" s="8" t="inlineStr">
        <is>
          <t>CNC capacity</t>
        </is>
      </c>
      <c r="M5" s="8" t="inlineStr">
        <is>
          <t>Assembly capacity</t>
        </is>
      </c>
      <c r="N5" s="8" t="inlineStr">
        <is>
          <t>Beds made</t>
        </is>
      </c>
      <c r="O5" s="8" t="inlineStr">
        <is>
          <t>Tab sheets</t>
        </is>
      </c>
      <c r="P5" s="8" t="inlineStr">
        <is>
          <t>Leg sheets</t>
        </is>
      </c>
      <c r="Q5" s="8" t="inlineStr">
        <is>
          <t>Press days</t>
        </is>
      </c>
      <c r="R5" s="8" t="inlineStr">
        <is>
          <t>CNC days</t>
        </is>
      </c>
      <c r="S5" s="8" t="inlineStr">
        <is>
          <t>Crew days</t>
        </is>
      </c>
      <c r="T5" s="8" t="inlineStr">
        <is>
          <t>Raw consumed kg</t>
        </is>
      </c>
      <c r="U5" s="8" t="inlineStr">
        <is>
          <t>Raw purchased kg</t>
        </is>
      </c>
      <c r="V5" s="8" t="inlineStr">
        <is>
          <t>Closing tabs</t>
        </is>
      </c>
      <c r="W5" s="8" t="inlineStr">
        <is>
          <t>Closing legs</t>
        </is>
      </c>
      <c r="X5" s="8" t="inlineStr">
        <is>
          <t>Closing raw kg</t>
        </is>
      </c>
      <c r="Y5" s="8" t="inlineStr">
        <is>
          <t>Goods deliveries</t>
        </is>
      </c>
      <c r="Z5" s="8" t="inlineStr">
        <is>
          <t>Community deliveries</t>
        </is>
      </c>
      <c r="AA5" s="8" t="inlineStr">
        <is>
          <t>Raw cash</t>
        </is>
      </c>
      <c r="AB5" s="8" t="inlineStr">
        <is>
          <t>Bought parts</t>
        </is>
      </c>
      <c r="AC5" s="8" t="inlineStr">
        <is>
          <t>Defy panels</t>
        </is>
      </c>
      <c r="AD5" s="8" t="inlineStr">
        <is>
          <t>Power</t>
        </is>
      </c>
      <c r="AE5" s="8" t="inlineStr">
        <is>
          <t>Consumables</t>
        </is>
      </c>
      <c r="AF5" s="8" t="inlineStr">
        <is>
          <t>Daily crew</t>
        </is>
      </c>
      <c r="AG5" s="8" t="inlineStr">
        <is>
          <t>Daily rent</t>
        </is>
      </c>
      <c r="AH5" s="8" t="inlineStr">
        <is>
          <t>Extra assembly</t>
        </is>
      </c>
      <c r="AI5" s="8" t="inlineStr">
        <is>
          <t>Freight</t>
        </is>
      </c>
      <c r="AJ5" s="8" t="inlineStr">
        <is>
          <t>Making cash</t>
        </is>
      </c>
      <c r="AK5" s="8" t="inlineStr">
        <is>
          <t>Making expense</t>
        </is>
      </c>
      <c r="AL5" s="8" t="inlineStr">
        <is>
          <t>Goods invoices</t>
        </is>
      </c>
      <c r="AM5" s="8" t="inlineStr">
        <is>
          <t>NM paid hours</t>
        </is>
      </c>
      <c r="AN5" s="8" t="inlineStr">
        <is>
          <t>Invalid inputs</t>
        </is>
      </c>
      <c r="AO5" s="8" t="inlineStr">
        <is>
          <t>Stock reconciliation</t>
        </is>
      </c>
    </row>
    <row r="6" ht="28" customHeight="1">
      <c r="A6" s="4" t="inlineStr">
        <is>
          <t>Full</t>
        </is>
      </c>
      <c r="B6" s="4" t="inlineStr">
        <is>
          <t>WITTA</t>
        </is>
      </c>
      <c r="C6" s="160" t="n">
        <v>1</v>
      </c>
      <c r="D6" s="160">
        <f>ROUNDUP(C6/12,0)</f>
        <v/>
      </c>
      <c r="E6" s="160">
        <f>IF(AND('Sites'!$E$6=1,C6&gt;='Sites'!$F$6,C6&lt;='Sites'!$G$6),1,0)</f>
        <v/>
      </c>
      <c r="F6" s="160">
        <f>E6*'Assumptions'!D67</f>
        <v/>
      </c>
      <c r="G6" s="160">
        <f>'Sites'!$AA$6</f>
        <v/>
      </c>
      <c r="H6" s="160">
        <f>'Sites'!$AB$6</f>
        <v/>
      </c>
      <c r="I6" s="160">
        <f>'Sites'!$AC$6</f>
        <v/>
      </c>
      <c r="J6" s="160">
        <f>MAX(0,'Sites'!$I$6-0)</f>
        <v/>
      </c>
      <c r="K6" s="160">
        <f>IF('Sites'!$C$6="Own sheets",MIN(ROUNDDOWN(G6/'NM Play'!$B$11,0)+F6*'NM Play'!$B$10/'NM Play'!$B$43,ROUNDDOWN(H6/'NM Play'!$B$12,0)+F6*'NM Play'!$B$10/'NM Play'!$B$44,(F6*'NM Play'!$B$10+ROUNDDOWN(G6/'NM Play'!$B$11,0)*'NM Play'!$B$43+ROUNDDOWN(H6/'NM Play'!$B$12,0)*'NM Play'!$B$44)/('NM Play'!$B$43+'NM Play'!$B$44)),ROUNDDOWN(G6/'NM Play'!$B$11,0)+F6*'NM Play'!$B$10/'NM Play'!$B$43)</f>
        <v/>
      </c>
      <c r="L6" s="160">
        <f>MIN(ROUNDDOWN(G6/'NM Play'!$B$11,0)+F6/('NM Play'!$B$43/'NM Play'!$B$15),ROUNDDOWN(H6/'NM Play'!$B$12,0)+F6/('NM Play'!$B$44/'NM Play'!$B$16),(F6+ROUNDDOWN(G6/'NM Play'!$B$11,0)*'NM Play'!$B$43/'NM Play'!$B$15+ROUNDDOWN(H6/'NM Play'!$B$12,0)*'NM Play'!$B$44/'NM Play'!$B$16)/('NM Play'!$B$43/'NM Play'!$B$15+'NM Play'!$B$44/'NM Play'!$B$16))</f>
        <v/>
      </c>
      <c r="M6" s="160">
        <f>F6*'NM Play'!$B$36</f>
        <v/>
      </c>
      <c r="N6" s="160">
        <f>ROUNDDOWN(MAX(0,MIN(J6,K6:M6)),0)</f>
        <v/>
      </c>
      <c r="O6" s="160">
        <f>ROUNDUP(MAX(0,N6*'NM Play'!$B$11-G6)/'NM Play'!$B$13,0)</f>
        <v/>
      </c>
      <c r="P6" s="160">
        <f>ROUNDUP(MAX(0,N6*'NM Play'!$B$12-H6)/'NM Play'!$B$14,0)</f>
        <v/>
      </c>
      <c r="Q6" s="160">
        <f>(O6+IF('Sites'!$C$6="Own sheets",P6,0))/'NM Play'!$B$10</f>
        <v/>
      </c>
      <c r="R6" s="160">
        <f>O6/'NM Play'!$B$15+P6/'NM Play'!$B$16</f>
        <v/>
      </c>
      <c r="S6" s="160">
        <f>MAX(Q6,R6,N6/'NM Play'!$B$36)</f>
        <v/>
      </c>
      <c r="T6" s="160">
        <f>Q6*'NM Play'!$B$10*'NM Play'!$B$21*(1+'NM Play'!$B$35)</f>
        <v/>
      </c>
      <c r="U6" s="160">
        <f>MAX(0,T6-I6)</f>
        <v/>
      </c>
      <c r="V6" s="160">
        <f>G6+O6*'NM Play'!$B$13-N6*'NM Play'!$B$11</f>
        <v/>
      </c>
      <c r="W6" s="160">
        <f>H6+P6*'NM Play'!$B$14-N6*'NM Play'!$B$12</f>
        <v/>
      </c>
      <c r="X6" s="160">
        <f>I6+U6-T6</f>
        <v/>
      </c>
      <c r="Y6" s="160">
        <f>MIN(N6,MAX(0,ROUNDDOWN('Sites'!$L$6*'Cases'!$E$6,0)-0))</f>
        <v/>
      </c>
      <c r="Z6" s="160">
        <f>N6-Y6</f>
        <v/>
      </c>
      <c r="AA6" s="160">
        <f>U6*'NM Play'!$B$22</f>
        <v/>
      </c>
      <c r="AB6" s="160">
        <f>N6*SUM('NM Play'!$B$29:$B$31)</f>
        <v/>
      </c>
      <c r="AC6" s="160">
        <f>IF('Sites'!$C$6="Defy legs",P6*'NM Play'!$B$14/'NM Play'!$B$12*'NM Play'!$B$28,0)</f>
        <v/>
      </c>
      <c r="AD6" s="160">
        <f>Q6*'NM Play'!$B$23</f>
        <v/>
      </c>
      <c r="AE6" s="160">
        <f>S6*SUM('NM Play'!$B$26,'NM Play'!$B$33:$B$34)</f>
        <v/>
      </c>
      <c r="AF6" s="160">
        <f>IF('Sites'!$D$6="NM crew",S6*SUM('NM Play'!$B$24:$B$25),0)</f>
        <v/>
      </c>
      <c r="AG6" s="160">
        <f>IF('Sites'!$D$6="NM crew",S6*'NM Play'!$B$27,0)</f>
        <v/>
      </c>
      <c r="AH6" s="160">
        <f>N6*'Sites'!$Z$6*'NM Play'!$B$32</f>
        <v/>
      </c>
      <c r="AI6" s="160">
        <f>SUM(Y6:Z6)*'Sites'!$R$6</f>
        <v/>
      </c>
      <c r="AJ6" s="160">
        <f>SUM(AA6:AH6)</f>
        <v/>
      </c>
      <c r="AK6" s="160">
        <f>AJ6+(T6-U6)*'NM Play'!$B$22+MIN(G6,N6*'NM Play'!$B$11)/'NM Play'!$B$13*'NM Play'!$B$21*'NM Play'!$B$22+MIN(H6,N6*'NM Play'!$B$12)/'NM Play'!$B$14*IF('Sites'!$C$6="Own sheets",'NM Play'!$B$21*'NM Play'!$B$22,'NM Play'!$B$28*'NM Play'!$B$14/'NM Play'!$B$12)</f>
        <v/>
      </c>
      <c r="AL6" s="160">
        <f>Y6*'Assumptions'!D66</f>
        <v/>
      </c>
      <c r="AM6" s="160">
        <f>IF('Sites'!$D$6="NM crew",S6*'NM Play'!$B$37*(1+IF(AND(ISNUMBER('NM Play'!$B$25),'NM Play'!$B$25&gt;0),1,0)),"")</f>
        <v/>
      </c>
      <c r="AN6" s="160">
        <f>IF(OR('Sites'!$E$6&lt;0,'Sites'!$E$6&gt;1,'Sites'!$F$6&lt;1,'Sites'!$G$6&lt;'Sites'!$F$6,F6&lt;0,MIN('Sites'!$I$6:'Sites'!$R$6)&lt;0,'Sites'!$L$6&gt;'Sites'!$I$6,'Sites'!$M$6&gt;'Sites'!$J$6,'Sites'!$N$6&gt;'Sites'!$K$6,'Sites'!$Z$6&lt;0,'Sites'!$Z$6&gt;1,MIN('Sites'!$AA$6:'Sites'!$AC$6)&lt;0,S6&gt;F6+0.001),1,0)</f>
        <v/>
      </c>
      <c r="AO6" s="160">
        <f>I6+U6-T6-X6</f>
        <v/>
      </c>
    </row>
    <row r="7" ht="28" customHeight="1">
      <c r="A7" s="4" t="inlineStr">
        <is>
          <t>Full</t>
        </is>
      </c>
      <c r="B7" s="4" t="inlineStr">
        <is>
          <t>WITTA</t>
        </is>
      </c>
      <c r="C7" s="160" t="n">
        <v>2</v>
      </c>
      <c r="D7" s="160">
        <f>ROUNDUP(C7/12,0)</f>
        <v/>
      </c>
      <c r="E7" s="160">
        <f>IF(AND('Sites'!$E$6=1,C7&gt;='Sites'!$F$6,C7&lt;='Sites'!$G$6),1,0)</f>
        <v/>
      </c>
      <c r="F7" s="160">
        <f>E7*'Assumptions'!E67</f>
        <v/>
      </c>
      <c r="G7" s="160">
        <f>V6</f>
        <v/>
      </c>
      <c r="H7" s="160">
        <f>W6</f>
        <v/>
      </c>
      <c r="I7" s="160">
        <f>X6</f>
        <v/>
      </c>
      <c r="J7" s="160">
        <f>MAX(0,'Sites'!$I$6-SUM(N6:N6))</f>
        <v/>
      </c>
      <c r="K7" s="160">
        <f>IF('Sites'!$C$6="Own sheets",MIN(ROUNDDOWN(G7/'NM Play'!$B$11,0)+F7*'NM Play'!$B$10/'NM Play'!$B$43,ROUNDDOWN(H7/'NM Play'!$B$12,0)+F7*'NM Play'!$B$10/'NM Play'!$B$44,(F7*'NM Play'!$B$10+ROUNDDOWN(G7/'NM Play'!$B$11,0)*'NM Play'!$B$43+ROUNDDOWN(H7/'NM Play'!$B$12,0)*'NM Play'!$B$44)/('NM Play'!$B$43+'NM Play'!$B$44)),ROUNDDOWN(G7/'NM Play'!$B$11,0)+F7*'NM Play'!$B$10/'NM Play'!$B$43)</f>
        <v/>
      </c>
      <c r="L7" s="160">
        <f>MIN(ROUNDDOWN(G7/'NM Play'!$B$11,0)+F7/('NM Play'!$B$43/'NM Play'!$B$15),ROUNDDOWN(H7/'NM Play'!$B$12,0)+F7/('NM Play'!$B$44/'NM Play'!$B$16),(F7+ROUNDDOWN(G7/'NM Play'!$B$11,0)*'NM Play'!$B$43/'NM Play'!$B$15+ROUNDDOWN(H7/'NM Play'!$B$12,0)*'NM Play'!$B$44/'NM Play'!$B$16)/('NM Play'!$B$43/'NM Play'!$B$15+'NM Play'!$B$44/'NM Play'!$B$16))</f>
        <v/>
      </c>
      <c r="M7" s="160">
        <f>F7*'NM Play'!$B$36</f>
        <v/>
      </c>
      <c r="N7" s="160">
        <f>ROUNDDOWN(MAX(0,MIN(J7,K7:M7)),0)</f>
        <v/>
      </c>
      <c r="O7" s="160">
        <f>ROUNDUP(MAX(0,N7*'NM Play'!$B$11-G7)/'NM Play'!$B$13,0)</f>
        <v/>
      </c>
      <c r="P7" s="160">
        <f>ROUNDUP(MAX(0,N7*'NM Play'!$B$12-H7)/'NM Play'!$B$14,0)</f>
        <v/>
      </c>
      <c r="Q7" s="160">
        <f>(O7+IF('Sites'!$C$6="Own sheets",P7,0))/'NM Play'!$B$10</f>
        <v/>
      </c>
      <c r="R7" s="160">
        <f>O7/'NM Play'!$B$15+P7/'NM Play'!$B$16</f>
        <v/>
      </c>
      <c r="S7" s="160">
        <f>MAX(Q7,R7,N7/'NM Play'!$B$36)</f>
        <v/>
      </c>
      <c r="T7" s="160">
        <f>Q7*'NM Play'!$B$10*'NM Play'!$B$21*(1+'NM Play'!$B$35)</f>
        <v/>
      </c>
      <c r="U7" s="160">
        <f>MAX(0,T7-I7)</f>
        <v/>
      </c>
      <c r="V7" s="160">
        <f>G7+O7*'NM Play'!$B$13-N7*'NM Play'!$B$11</f>
        <v/>
      </c>
      <c r="W7" s="160">
        <f>H7+P7*'NM Play'!$B$14-N7*'NM Play'!$B$12</f>
        <v/>
      </c>
      <c r="X7" s="160">
        <f>I7+U7-T7</f>
        <v/>
      </c>
      <c r="Y7" s="160">
        <f>MIN(N7,MAX(0,ROUNDDOWN('Sites'!$L$6*'Cases'!$E$6,0)-SUM(Y6:Y6)))</f>
        <v/>
      </c>
      <c r="Z7" s="160">
        <f>N7-Y7</f>
        <v/>
      </c>
      <c r="AA7" s="160">
        <f>U7*'NM Play'!$B$22</f>
        <v/>
      </c>
      <c r="AB7" s="160">
        <f>N7*SUM('NM Play'!$B$29:$B$31)</f>
        <v/>
      </c>
      <c r="AC7" s="160">
        <f>IF('Sites'!$C$6="Defy legs",P7*'NM Play'!$B$14/'NM Play'!$B$12*'NM Play'!$B$28,0)</f>
        <v/>
      </c>
      <c r="AD7" s="160">
        <f>Q7*'NM Play'!$B$23</f>
        <v/>
      </c>
      <c r="AE7" s="160">
        <f>S7*SUM('NM Play'!$B$26,'NM Play'!$B$33:$B$34)</f>
        <v/>
      </c>
      <c r="AF7" s="160">
        <f>IF('Sites'!$D$6="NM crew",S7*SUM('NM Play'!$B$24:$B$25),0)</f>
        <v/>
      </c>
      <c r="AG7" s="160">
        <f>IF('Sites'!$D$6="NM crew",S7*'NM Play'!$B$27,0)</f>
        <v/>
      </c>
      <c r="AH7" s="160">
        <f>N7*'Sites'!$Z$6*'NM Play'!$B$32</f>
        <v/>
      </c>
      <c r="AI7" s="160">
        <f>SUM(Y7:Z7)*'Sites'!$R$6</f>
        <v/>
      </c>
      <c r="AJ7" s="160">
        <f>SUM(AA7:AH7)</f>
        <v/>
      </c>
      <c r="AK7" s="160">
        <f>AJ7+(T7-U7)*'NM Play'!$B$22+MIN(G7,N7*'NM Play'!$B$11)/'NM Play'!$B$13*'NM Play'!$B$21*'NM Play'!$B$22+MIN(H7,N7*'NM Play'!$B$12)/'NM Play'!$B$14*IF('Sites'!$C$6="Own sheets",'NM Play'!$B$21*'NM Play'!$B$22,'NM Play'!$B$28*'NM Play'!$B$14/'NM Play'!$B$12)</f>
        <v/>
      </c>
      <c r="AL7" s="160">
        <f>Y7*'Assumptions'!E66</f>
        <v/>
      </c>
      <c r="AM7" s="160">
        <f>IF('Sites'!$D$6="NM crew",S7*'NM Play'!$B$37*(1+IF(AND(ISNUMBER('NM Play'!$B$25),'NM Play'!$B$25&gt;0),1,0)),"")</f>
        <v/>
      </c>
      <c r="AN7" s="160">
        <f>IF(OR('Sites'!$E$6&lt;0,'Sites'!$E$6&gt;1,'Sites'!$F$6&lt;1,'Sites'!$G$6&lt;'Sites'!$F$6,F7&lt;0,MIN('Sites'!$I$6:'Sites'!$R$6)&lt;0,'Sites'!$L$6&gt;'Sites'!$I$6,'Sites'!$M$6&gt;'Sites'!$J$6,'Sites'!$N$6&gt;'Sites'!$K$6,'Sites'!$Z$6&lt;0,'Sites'!$Z$6&gt;1,MIN('Sites'!$AA$6:'Sites'!$AC$6)&lt;0,S7&gt;F7+0.001),1,0)</f>
        <v/>
      </c>
      <c r="AO7" s="160">
        <f>I7+U7-T7-X7</f>
        <v/>
      </c>
    </row>
    <row r="8" ht="28" customHeight="1">
      <c r="A8" s="4" t="inlineStr">
        <is>
          <t>Full</t>
        </is>
      </c>
      <c r="B8" s="4" t="inlineStr">
        <is>
          <t>WITTA</t>
        </is>
      </c>
      <c r="C8" s="160" t="n">
        <v>3</v>
      </c>
      <c r="D8" s="160">
        <f>ROUNDUP(C8/12,0)</f>
        <v/>
      </c>
      <c r="E8" s="160">
        <f>IF(AND('Sites'!$E$6=1,C8&gt;='Sites'!$F$6,C8&lt;='Sites'!$G$6),1,0)</f>
        <v/>
      </c>
      <c r="F8" s="160">
        <f>E8*'Assumptions'!F67</f>
        <v/>
      </c>
      <c r="G8" s="160">
        <f>V7</f>
        <v/>
      </c>
      <c r="H8" s="160">
        <f>W7</f>
        <v/>
      </c>
      <c r="I8" s="160">
        <f>X7</f>
        <v/>
      </c>
      <c r="J8" s="160">
        <f>MAX(0,'Sites'!$I$6-SUM(N6:N7))</f>
        <v/>
      </c>
      <c r="K8" s="160">
        <f>IF('Sites'!$C$6="Own sheets",MIN(ROUNDDOWN(G8/'NM Play'!$B$11,0)+F8*'NM Play'!$B$10/'NM Play'!$B$43,ROUNDDOWN(H8/'NM Play'!$B$12,0)+F8*'NM Play'!$B$10/'NM Play'!$B$44,(F8*'NM Play'!$B$10+ROUNDDOWN(G8/'NM Play'!$B$11,0)*'NM Play'!$B$43+ROUNDDOWN(H8/'NM Play'!$B$12,0)*'NM Play'!$B$44)/('NM Play'!$B$43+'NM Play'!$B$44)),ROUNDDOWN(G8/'NM Play'!$B$11,0)+F8*'NM Play'!$B$10/'NM Play'!$B$43)</f>
        <v/>
      </c>
      <c r="L8" s="160">
        <f>MIN(ROUNDDOWN(G8/'NM Play'!$B$11,0)+F8/('NM Play'!$B$43/'NM Play'!$B$15),ROUNDDOWN(H8/'NM Play'!$B$12,0)+F8/('NM Play'!$B$44/'NM Play'!$B$16),(F8+ROUNDDOWN(G8/'NM Play'!$B$11,0)*'NM Play'!$B$43/'NM Play'!$B$15+ROUNDDOWN(H8/'NM Play'!$B$12,0)*'NM Play'!$B$44/'NM Play'!$B$16)/('NM Play'!$B$43/'NM Play'!$B$15+'NM Play'!$B$44/'NM Play'!$B$16))</f>
        <v/>
      </c>
      <c r="M8" s="160">
        <f>F8*'NM Play'!$B$36</f>
        <v/>
      </c>
      <c r="N8" s="160">
        <f>ROUNDDOWN(MAX(0,MIN(J8,K8:M8)),0)</f>
        <v/>
      </c>
      <c r="O8" s="160">
        <f>ROUNDUP(MAX(0,N8*'NM Play'!$B$11-G8)/'NM Play'!$B$13,0)</f>
        <v/>
      </c>
      <c r="P8" s="160">
        <f>ROUNDUP(MAX(0,N8*'NM Play'!$B$12-H8)/'NM Play'!$B$14,0)</f>
        <v/>
      </c>
      <c r="Q8" s="160">
        <f>(O8+IF('Sites'!$C$6="Own sheets",P8,0))/'NM Play'!$B$10</f>
        <v/>
      </c>
      <c r="R8" s="160">
        <f>O8/'NM Play'!$B$15+P8/'NM Play'!$B$16</f>
        <v/>
      </c>
      <c r="S8" s="160">
        <f>MAX(Q8,R8,N8/'NM Play'!$B$36)</f>
        <v/>
      </c>
      <c r="T8" s="160">
        <f>Q8*'NM Play'!$B$10*'NM Play'!$B$21*(1+'NM Play'!$B$35)</f>
        <v/>
      </c>
      <c r="U8" s="160">
        <f>MAX(0,T8-I8)</f>
        <v/>
      </c>
      <c r="V8" s="160">
        <f>G8+O8*'NM Play'!$B$13-N8*'NM Play'!$B$11</f>
        <v/>
      </c>
      <c r="W8" s="160">
        <f>H8+P8*'NM Play'!$B$14-N8*'NM Play'!$B$12</f>
        <v/>
      </c>
      <c r="X8" s="160">
        <f>I8+U8-T8</f>
        <v/>
      </c>
      <c r="Y8" s="160">
        <f>MIN(N8,MAX(0,ROUNDDOWN('Sites'!$L$6*'Cases'!$E$6,0)-SUM(Y6:Y7)))</f>
        <v/>
      </c>
      <c r="Z8" s="160">
        <f>N8-Y8</f>
        <v/>
      </c>
      <c r="AA8" s="160">
        <f>U8*'NM Play'!$B$22</f>
        <v/>
      </c>
      <c r="AB8" s="160">
        <f>N8*SUM('NM Play'!$B$29:$B$31)</f>
        <v/>
      </c>
      <c r="AC8" s="160">
        <f>IF('Sites'!$C$6="Defy legs",P8*'NM Play'!$B$14/'NM Play'!$B$12*'NM Play'!$B$28,0)</f>
        <v/>
      </c>
      <c r="AD8" s="160">
        <f>Q8*'NM Play'!$B$23</f>
        <v/>
      </c>
      <c r="AE8" s="160">
        <f>S8*SUM('NM Play'!$B$26,'NM Play'!$B$33:$B$34)</f>
        <v/>
      </c>
      <c r="AF8" s="160">
        <f>IF('Sites'!$D$6="NM crew",S8*SUM('NM Play'!$B$24:$B$25),0)</f>
        <v/>
      </c>
      <c r="AG8" s="160">
        <f>IF('Sites'!$D$6="NM crew",S8*'NM Play'!$B$27,0)</f>
        <v/>
      </c>
      <c r="AH8" s="160">
        <f>N8*'Sites'!$Z$6*'NM Play'!$B$32</f>
        <v/>
      </c>
      <c r="AI8" s="160">
        <f>SUM(Y8:Z8)*'Sites'!$R$6</f>
        <v/>
      </c>
      <c r="AJ8" s="160">
        <f>SUM(AA8:AH8)</f>
        <v/>
      </c>
      <c r="AK8" s="160">
        <f>AJ8+(T8-U8)*'NM Play'!$B$22+MIN(G8,N8*'NM Play'!$B$11)/'NM Play'!$B$13*'NM Play'!$B$21*'NM Play'!$B$22+MIN(H8,N8*'NM Play'!$B$12)/'NM Play'!$B$14*IF('Sites'!$C$6="Own sheets",'NM Play'!$B$21*'NM Play'!$B$22,'NM Play'!$B$28*'NM Play'!$B$14/'NM Play'!$B$12)</f>
        <v/>
      </c>
      <c r="AL8" s="160">
        <f>Y8*'Assumptions'!F66</f>
        <v/>
      </c>
      <c r="AM8" s="160">
        <f>IF('Sites'!$D$6="NM crew",S8*'NM Play'!$B$37*(1+IF(AND(ISNUMBER('NM Play'!$B$25),'NM Play'!$B$25&gt;0),1,0)),"")</f>
        <v/>
      </c>
      <c r="AN8" s="160">
        <f>IF(OR('Sites'!$E$6&lt;0,'Sites'!$E$6&gt;1,'Sites'!$F$6&lt;1,'Sites'!$G$6&lt;'Sites'!$F$6,F8&lt;0,MIN('Sites'!$I$6:'Sites'!$R$6)&lt;0,'Sites'!$L$6&gt;'Sites'!$I$6,'Sites'!$M$6&gt;'Sites'!$J$6,'Sites'!$N$6&gt;'Sites'!$K$6,'Sites'!$Z$6&lt;0,'Sites'!$Z$6&gt;1,MIN('Sites'!$AA$6:'Sites'!$AC$6)&lt;0,S8&gt;F8+0.001),1,0)</f>
        <v/>
      </c>
      <c r="AO8" s="160">
        <f>I8+U8-T8-X8</f>
        <v/>
      </c>
    </row>
    <row r="9" ht="28" customHeight="1">
      <c r="A9" s="4" t="inlineStr">
        <is>
          <t>Full</t>
        </is>
      </c>
      <c r="B9" s="4" t="inlineStr">
        <is>
          <t>WITTA</t>
        </is>
      </c>
      <c r="C9" s="160" t="n">
        <v>4</v>
      </c>
      <c r="D9" s="160">
        <f>ROUNDUP(C9/12,0)</f>
        <v/>
      </c>
      <c r="E9" s="160">
        <f>IF(AND('Sites'!$E$6=1,C9&gt;='Sites'!$F$6,C9&lt;='Sites'!$G$6),1,0)</f>
        <v/>
      </c>
      <c r="F9" s="160">
        <f>E9*'Assumptions'!G67</f>
        <v/>
      </c>
      <c r="G9" s="160">
        <f>V8</f>
        <v/>
      </c>
      <c r="H9" s="160">
        <f>W8</f>
        <v/>
      </c>
      <c r="I9" s="160">
        <f>X8</f>
        <v/>
      </c>
      <c r="J9" s="160">
        <f>MAX(0,'Sites'!$I$6-SUM(N6:N8))</f>
        <v/>
      </c>
      <c r="K9" s="160">
        <f>IF('Sites'!$C$6="Own sheets",MIN(ROUNDDOWN(G9/'NM Play'!$B$11,0)+F9*'NM Play'!$B$10/'NM Play'!$B$43,ROUNDDOWN(H9/'NM Play'!$B$12,0)+F9*'NM Play'!$B$10/'NM Play'!$B$44,(F9*'NM Play'!$B$10+ROUNDDOWN(G9/'NM Play'!$B$11,0)*'NM Play'!$B$43+ROUNDDOWN(H9/'NM Play'!$B$12,0)*'NM Play'!$B$44)/('NM Play'!$B$43+'NM Play'!$B$44)),ROUNDDOWN(G9/'NM Play'!$B$11,0)+F9*'NM Play'!$B$10/'NM Play'!$B$43)</f>
        <v/>
      </c>
      <c r="L9" s="160">
        <f>MIN(ROUNDDOWN(G9/'NM Play'!$B$11,0)+F9/('NM Play'!$B$43/'NM Play'!$B$15),ROUNDDOWN(H9/'NM Play'!$B$12,0)+F9/('NM Play'!$B$44/'NM Play'!$B$16),(F9+ROUNDDOWN(G9/'NM Play'!$B$11,0)*'NM Play'!$B$43/'NM Play'!$B$15+ROUNDDOWN(H9/'NM Play'!$B$12,0)*'NM Play'!$B$44/'NM Play'!$B$16)/('NM Play'!$B$43/'NM Play'!$B$15+'NM Play'!$B$44/'NM Play'!$B$16))</f>
        <v/>
      </c>
      <c r="M9" s="160">
        <f>F9*'NM Play'!$B$36</f>
        <v/>
      </c>
      <c r="N9" s="160">
        <f>ROUNDDOWN(MAX(0,MIN(J9,K9:M9)),0)</f>
        <v/>
      </c>
      <c r="O9" s="160">
        <f>ROUNDUP(MAX(0,N9*'NM Play'!$B$11-G9)/'NM Play'!$B$13,0)</f>
        <v/>
      </c>
      <c r="P9" s="160">
        <f>ROUNDUP(MAX(0,N9*'NM Play'!$B$12-H9)/'NM Play'!$B$14,0)</f>
        <v/>
      </c>
      <c r="Q9" s="160">
        <f>(O9+IF('Sites'!$C$6="Own sheets",P9,0))/'NM Play'!$B$10</f>
        <v/>
      </c>
      <c r="R9" s="160">
        <f>O9/'NM Play'!$B$15+P9/'NM Play'!$B$16</f>
        <v/>
      </c>
      <c r="S9" s="160">
        <f>MAX(Q9,R9,N9/'NM Play'!$B$36)</f>
        <v/>
      </c>
      <c r="T9" s="160">
        <f>Q9*'NM Play'!$B$10*'NM Play'!$B$21*(1+'NM Play'!$B$35)</f>
        <v/>
      </c>
      <c r="U9" s="160">
        <f>MAX(0,T9-I9)</f>
        <v/>
      </c>
      <c r="V9" s="160">
        <f>G9+O9*'NM Play'!$B$13-N9*'NM Play'!$B$11</f>
        <v/>
      </c>
      <c r="W9" s="160">
        <f>H9+P9*'NM Play'!$B$14-N9*'NM Play'!$B$12</f>
        <v/>
      </c>
      <c r="X9" s="160">
        <f>I9+U9-T9</f>
        <v/>
      </c>
      <c r="Y9" s="160">
        <f>MIN(N9,MAX(0,ROUNDDOWN('Sites'!$L$6*'Cases'!$E$6,0)-SUM(Y6:Y8)))</f>
        <v/>
      </c>
      <c r="Z9" s="160">
        <f>N9-Y9</f>
        <v/>
      </c>
      <c r="AA9" s="160">
        <f>U9*'NM Play'!$B$22</f>
        <v/>
      </c>
      <c r="AB9" s="160">
        <f>N9*SUM('NM Play'!$B$29:$B$31)</f>
        <v/>
      </c>
      <c r="AC9" s="160">
        <f>IF('Sites'!$C$6="Defy legs",P9*'NM Play'!$B$14/'NM Play'!$B$12*'NM Play'!$B$28,0)</f>
        <v/>
      </c>
      <c r="AD9" s="160">
        <f>Q9*'NM Play'!$B$23</f>
        <v/>
      </c>
      <c r="AE9" s="160">
        <f>S9*SUM('NM Play'!$B$26,'NM Play'!$B$33:$B$34)</f>
        <v/>
      </c>
      <c r="AF9" s="160">
        <f>IF('Sites'!$D$6="NM crew",S9*SUM('NM Play'!$B$24:$B$25),0)</f>
        <v/>
      </c>
      <c r="AG9" s="160">
        <f>IF('Sites'!$D$6="NM crew",S9*'NM Play'!$B$27,0)</f>
        <v/>
      </c>
      <c r="AH9" s="160">
        <f>N9*'Sites'!$Z$6*'NM Play'!$B$32</f>
        <v/>
      </c>
      <c r="AI9" s="160">
        <f>SUM(Y9:Z9)*'Sites'!$R$6</f>
        <v/>
      </c>
      <c r="AJ9" s="160">
        <f>SUM(AA9:AH9)</f>
        <v/>
      </c>
      <c r="AK9" s="160">
        <f>AJ9+(T9-U9)*'NM Play'!$B$22+MIN(G9,N9*'NM Play'!$B$11)/'NM Play'!$B$13*'NM Play'!$B$21*'NM Play'!$B$22+MIN(H9,N9*'NM Play'!$B$12)/'NM Play'!$B$14*IF('Sites'!$C$6="Own sheets",'NM Play'!$B$21*'NM Play'!$B$22,'NM Play'!$B$28*'NM Play'!$B$14/'NM Play'!$B$12)</f>
        <v/>
      </c>
      <c r="AL9" s="160">
        <f>Y9*'Assumptions'!G66</f>
        <v/>
      </c>
      <c r="AM9" s="160">
        <f>IF('Sites'!$D$6="NM crew",S9*'NM Play'!$B$37*(1+IF(AND(ISNUMBER('NM Play'!$B$25),'NM Play'!$B$25&gt;0),1,0)),"")</f>
        <v/>
      </c>
      <c r="AN9" s="160">
        <f>IF(OR('Sites'!$E$6&lt;0,'Sites'!$E$6&gt;1,'Sites'!$F$6&lt;1,'Sites'!$G$6&lt;'Sites'!$F$6,F9&lt;0,MIN('Sites'!$I$6:'Sites'!$R$6)&lt;0,'Sites'!$L$6&gt;'Sites'!$I$6,'Sites'!$M$6&gt;'Sites'!$J$6,'Sites'!$N$6&gt;'Sites'!$K$6,'Sites'!$Z$6&lt;0,'Sites'!$Z$6&gt;1,MIN('Sites'!$AA$6:'Sites'!$AC$6)&lt;0,S9&gt;F9+0.001),1,0)</f>
        <v/>
      </c>
      <c r="AO9" s="160">
        <f>I9+U9-T9-X9</f>
        <v/>
      </c>
    </row>
    <row r="10" ht="28" customHeight="1">
      <c r="A10" s="4" t="inlineStr">
        <is>
          <t>Full</t>
        </is>
      </c>
      <c r="B10" s="4" t="inlineStr">
        <is>
          <t>WITTA</t>
        </is>
      </c>
      <c r="C10" s="160" t="n">
        <v>5</v>
      </c>
      <c r="D10" s="160">
        <f>ROUNDUP(C10/12,0)</f>
        <v/>
      </c>
      <c r="E10" s="160">
        <f>IF(AND('Sites'!$E$6=1,C10&gt;='Sites'!$F$6,C10&lt;='Sites'!$G$6),1,0)</f>
        <v/>
      </c>
      <c r="F10" s="160">
        <f>E10*'Assumptions'!H67</f>
        <v/>
      </c>
      <c r="G10" s="160">
        <f>V9</f>
        <v/>
      </c>
      <c r="H10" s="160">
        <f>W9</f>
        <v/>
      </c>
      <c r="I10" s="160">
        <f>X9</f>
        <v/>
      </c>
      <c r="J10" s="160">
        <f>MAX(0,'Sites'!$I$6-SUM(N6:N9))</f>
        <v/>
      </c>
      <c r="K10" s="160">
        <f>IF('Sites'!$C$6="Own sheets",MIN(ROUNDDOWN(G10/'NM Play'!$B$11,0)+F10*'NM Play'!$B$10/'NM Play'!$B$43,ROUNDDOWN(H10/'NM Play'!$B$12,0)+F10*'NM Play'!$B$10/'NM Play'!$B$44,(F10*'NM Play'!$B$10+ROUNDDOWN(G10/'NM Play'!$B$11,0)*'NM Play'!$B$43+ROUNDDOWN(H10/'NM Play'!$B$12,0)*'NM Play'!$B$44)/('NM Play'!$B$43+'NM Play'!$B$44)),ROUNDDOWN(G10/'NM Play'!$B$11,0)+F10*'NM Play'!$B$10/'NM Play'!$B$43)</f>
        <v/>
      </c>
      <c r="L10" s="160">
        <f>MIN(ROUNDDOWN(G10/'NM Play'!$B$11,0)+F10/('NM Play'!$B$43/'NM Play'!$B$15),ROUNDDOWN(H10/'NM Play'!$B$12,0)+F10/('NM Play'!$B$44/'NM Play'!$B$16),(F10+ROUNDDOWN(G10/'NM Play'!$B$11,0)*'NM Play'!$B$43/'NM Play'!$B$15+ROUNDDOWN(H10/'NM Play'!$B$12,0)*'NM Play'!$B$44/'NM Play'!$B$16)/('NM Play'!$B$43/'NM Play'!$B$15+'NM Play'!$B$44/'NM Play'!$B$16))</f>
        <v/>
      </c>
      <c r="M10" s="160">
        <f>F10*'NM Play'!$B$36</f>
        <v/>
      </c>
      <c r="N10" s="160">
        <f>ROUNDDOWN(MAX(0,MIN(J10,K10:M10)),0)</f>
        <v/>
      </c>
      <c r="O10" s="160">
        <f>ROUNDUP(MAX(0,N10*'NM Play'!$B$11-G10)/'NM Play'!$B$13,0)</f>
        <v/>
      </c>
      <c r="P10" s="160">
        <f>ROUNDUP(MAX(0,N10*'NM Play'!$B$12-H10)/'NM Play'!$B$14,0)</f>
        <v/>
      </c>
      <c r="Q10" s="160">
        <f>(O10+IF('Sites'!$C$6="Own sheets",P10,0))/'NM Play'!$B$10</f>
        <v/>
      </c>
      <c r="R10" s="160">
        <f>O10/'NM Play'!$B$15+P10/'NM Play'!$B$16</f>
        <v/>
      </c>
      <c r="S10" s="160">
        <f>MAX(Q10,R10,N10/'NM Play'!$B$36)</f>
        <v/>
      </c>
      <c r="T10" s="160">
        <f>Q10*'NM Play'!$B$10*'NM Play'!$B$21*(1+'NM Play'!$B$35)</f>
        <v/>
      </c>
      <c r="U10" s="160">
        <f>MAX(0,T10-I10)</f>
        <v/>
      </c>
      <c r="V10" s="160">
        <f>G10+O10*'NM Play'!$B$13-N10*'NM Play'!$B$11</f>
        <v/>
      </c>
      <c r="W10" s="160">
        <f>H10+P10*'NM Play'!$B$14-N10*'NM Play'!$B$12</f>
        <v/>
      </c>
      <c r="X10" s="160">
        <f>I10+U10-T10</f>
        <v/>
      </c>
      <c r="Y10" s="160">
        <f>MIN(N10,MAX(0,ROUNDDOWN('Sites'!$L$6*'Cases'!$E$6,0)-SUM(Y6:Y9)))</f>
        <v/>
      </c>
      <c r="Z10" s="160">
        <f>N10-Y10</f>
        <v/>
      </c>
      <c r="AA10" s="160">
        <f>U10*'NM Play'!$B$22</f>
        <v/>
      </c>
      <c r="AB10" s="160">
        <f>N10*SUM('NM Play'!$B$29:$B$31)</f>
        <v/>
      </c>
      <c r="AC10" s="160">
        <f>IF('Sites'!$C$6="Defy legs",P10*'NM Play'!$B$14/'NM Play'!$B$12*'NM Play'!$B$28,0)</f>
        <v/>
      </c>
      <c r="AD10" s="160">
        <f>Q10*'NM Play'!$B$23</f>
        <v/>
      </c>
      <c r="AE10" s="160">
        <f>S10*SUM('NM Play'!$B$26,'NM Play'!$B$33:$B$34)</f>
        <v/>
      </c>
      <c r="AF10" s="160">
        <f>IF('Sites'!$D$6="NM crew",S10*SUM('NM Play'!$B$24:$B$25),0)</f>
        <v/>
      </c>
      <c r="AG10" s="160">
        <f>IF('Sites'!$D$6="NM crew",S10*'NM Play'!$B$27,0)</f>
        <v/>
      </c>
      <c r="AH10" s="160">
        <f>N10*'Sites'!$Z$6*'NM Play'!$B$32</f>
        <v/>
      </c>
      <c r="AI10" s="160">
        <f>SUM(Y10:Z10)*'Sites'!$R$6</f>
        <v/>
      </c>
      <c r="AJ10" s="160">
        <f>SUM(AA10:AH10)</f>
        <v/>
      </c>
      <c r="AK10" s="160">
        <f>AJ10+(T10-U10)*'NM Play'!$B$22+MIN(G10,N10*'NM Play'!$B$11)/'NM Play'!$B$13*'NM Play'!$B$21*'NM Play'!$B$22+MIN(H10,N10*'NM Play'!$B$12)/'NM Play'!$B$14*IF('Sites'!$C$6="Own sheets",'NM Play'!$B$21*'NM Play'!$B$22,'NM Play'!$B$28*'NM Play'!$B$14/'NM Play'!$B$12)</f>
        <v/>
      </c>
      <c r="AL10" s="160">
        <f>Y10*'Assumptions'!H66</f>
        <v/>
      </c>
      <c r="AM10" s="160">
        <f>IF('Sites'!$D$6="NM crew",S10*'NM Play'!$B$37*(1+IF(AND(ISNUMBER('NM Play'!$B$25),'NM Play'!$B$25&gt;0),1,0)),"")</f>
        <v/>
      </c>
      <c r="AN10" s="160">
        <f>IF(OR('Sites'!$E$6&lt;0,'Sites'!$E$6&gt;1,'Sites'!$F$6&lt;1,'Sites'!$G$6&lt;'Sites'!$F$6,F10&lt;0,MIN('Sites'!$I$6:'Sites'!$R$6)&lt;0,'Sites'!$L$6&gt;'Sites'!$I$6,'Sites'!$M$6&gt;'Sites'!$J$6,'Sites'!$N$6&gt;'Sites'!$K$6,'Sites'!$Z$6&lt;0,'Sites'!$Z$6&gt;1,MIN('Sites'!$AA$6:'Sites'!$AC$6)&lt;0,S10&gt;F10+0.001),1,0)</f>
        <v/>
      </c>
      <c r="AO10" s="160">
        <f>I10+U10-T10-X10</f>
        <v/>
      </c>
    </row>
    <row r="11" ht="28" customHeight="1">
      <c r="A11" s="4" t="inlineStr">
        <is>
          <t>Full</t>
        </is>
      </c>
      <c r="B11" s="4" t="inlineStr">
        <is>
          <t>WITTA</t>
        </is>
      </c>
      <c r="C11" s="160" t="n">
        <v>6</v>
      </c>
      <c r="D11" s="160">
        <f>ROUNDUP(C11/12,0)</f>
        <v/>
      </c>
      <c r="E11" s="160">
        <f>IF(AND('Sites'!$E$6=1,C11&gt;='Sites'!$F$6,C11&lt;='Sites'!$G$6),1,0)</f>
        <v/>
      </c>
      <c r="F11" s="160">
        <f>E11*'Assumptions'!I67</f>
        <v/>
      </c>
      <c r="G11" s="160">
        <f>V10</f>
        <v/>
      </c>
      <c r="H11" s="160">
        <f>W10</f>
        <v/>
      </c>
      <c r="I11" s="160">
        <f>X10</f>
        <v/>
      </c>
      <c r="J11" s="160">
        <f>MAX(0,'Sites'!$I$6-SUM(N6:N10))</f>
        <v/>
      </c>
      <c r="K11" s="160">
        <f>IF('Sites'!$C$6="Own sheets",MIN(ROUNDDOWN(G11/'NM Play'!$B$11,0)+F11*'NM Play'!$B$10/'NM Play'!$B$43,ROUNDDOWN(H11/'NM Play'!$B$12,0)+F11*'NM Play'!$B$10/'NM Play'!$B$44,(F11*'NM Play'!$B$10+ROUNDDOWN(G11/'NM Play'!$B$11,0)*'NM Play'!$B$43+ROUNDDOWN(H11/'NM Play'!$B$12,0)*'NM Play'!$B$44)/('NM Play'!$B$43+'NM Play'!$B$44)),ROUNDDOWN(G11/'NM Play'!$B$11,0)+F11*'NM Play'!$B$10/'NM Play'!$B$43)</f>
        <v/>
      </c>
      <c r="L11" s="160">
        <f>MIN(ROUNDDOWN(G11/'NM Play'!$B$11,0)+F11/('NM Play'!$B$43/'NM Play'!$B$15),ROUNDDOWN(H11/'NM Play'!$B$12,0)+F11/('NM Play'!$B$44/'NM Play'!$B$16),(F11+ROUNDDOWN(G11/'NM Play'!$B$11,0)*'NM Play'!$B$43/'NM Play'!$B$15+ROUNDDOWN(H11/'NM Play'!$B$12,0)*'NM Play'!$B$44/'NM Play'!$B$16)/('NM Play'!$B$43/'NM Play'!$B$15+'NM Play'!$B$44/'NM Play'!$B$16))</f>
        <v/>
      </c>
      <c r="M11" s="160">
        <f>F11*'NM Play'!$B$36</f>
        <v/>
      </c>
      <c r="N11" s="160">
        <f>ROUNDDOWN(MAX(0,MIN(J11,K11:M11)),0)</f>
        <v/>
      </c>
      <c r="O11" s="160">
        <f>ROUNDUP(MAX(0,N11*'NM Play'!$B$11-G11)/'NM Play'!$B$13,0)</f>
        <v/>
      </c>
      <c r="P11" s="160">
        <f>ROUNDUP(MAX(0,N11*'NM Play'!$B$12-H11)/'NM Play'!$B$14,0)</f>
        <v/>
      </c>
      <c r="Q11" s="160">
        <f>(O11+IF('Sites'!$C$6="Own sheets",P11,0))/'NM Play'!$B$10</f>
        <v/>
      </c>
      <c r="R11" s="160">
        <f>O11/'NM Play'!$B$15+P11/'NM Play'!$B$16</f>
        <v/>
      </c>
      <c r="S11" s="160">
        <f>MAX(Q11,R11,N11/'NM Play'!$B$36)</f>
        <v/>
      </c>
      <c r="T11" s="160">
        <f>Q11*'NM Play'!$B$10*'NM Play'!$B$21*(1+'NM Play'!$B$35)</f>
        <v/>
      </c>
      <c r="U11" s="160">
        <f>MAX(0,T11-I11)</f>
        <v/>
      </c>
      <c r="V11" s="160">
        <f>G11+O11*'NM Play'!$B$13-N11*'NM Play'!$B$11</f>
        <v/>
      </c>
      <c r="W11" s="160">
        <f>H11+P11*'NM Play'!$B$14-N11*'NM Play'!$B$12</f>
        <v/>
      </c>
      <c r="X11" s="160">
        <f>I11+U11-T11</f>
        <v/>
      </c>
      <c r="Y11" s="160">
        <f>MIN(N11,MAX(0,ROUNDDOWN('Sites'!$L$6*'Cases'!$E$6,0)-SUM(Y6:Y10)))</f>
        <v/>
      </c>
      <c r="Z11" s="160">
        <f>N11-Y11</f>
        <v/>
      </c>
      <c r="AA11" s="160">
        <f>U11*'NM Play'!$B$22</f>
        <v/>
      </c>
      <c r="AB11" s="160">
        <f>N11*SUM('NM Play'!$B$29:$B$31)</f>
        <v/>
      </c>
      <c r="AC11" s="160">
        <f>IF('Sites'!$C$6="Defy legs",P11*'NM Play'!$B$14/'NM Play'!$B$12*'NM Play'!$B$28,0)</f>
        <v/>
      </c>
      <c r="AD11" s="160">
        <f>Q11*'NM Play'!$B$23</f>
        <v/>
      </c>
      <c r="AE11" s="160">
        <f>S11*SUM('NM Play'!$B$26,'NM Play'!$B$33:$B$34)</f>
        <v/>
      </c>
      <c r="AF11" s="160">
        <f>IF('Sites'!$D$6="NM crew",S11*SUM('NM Play'!$B$24:$B$25),0)</f>
        <v/>
      </c>
      <c r="AG11" s="160">
        <f>IF('Sites'!$D$6="NM crew",S11*'NM Play'!$B$27,0)</f>
        <v/>
      </c>
      <c r="AH11" s="160">
        <f>N11*'Sites'!$Z$6*'NM Play'!$B$32</f>
        <v/>
      </c>
      <c r="AI11" s="160">
        <f>SUM(Y11:Z11)*'Sites'!$R$6</f>
        <v/>
      </c>
      <c r="AJ11" s="160">
        <f>SUM(AA11:AH11)</f>
        <v/>
      </c>
      <c r="AK11" s="160">
        <f>AJ11+(T11-U11)*'NM Play'!$B$22+MIN(G11,N11*'NM Play'!$B$11)/'NM Play'!$B$13*'NM Play'!$B$21*'NM Play'!$B$22+MIN(H11,N11*'NM Play'!$B$12)/'NM Play'!$B$14*IF('Sites'!$C$6="Own sheets",'NM Play'!$B$21*'NM Play'!$B$22,'NM Play'!$B$28*'NM Play'!$B$14/'NM Play'!$B$12)</f>
        <v/>
      </c>
      <c r="AL11" s="160">
        <f>Y11*'Assumptions'!I66</f>
        <v/>
      </c>
      <c r="AM11" s="160">
        <f>IF('Sites'!$D$6="NM crew",S11*'NM Play'!$B$37*(1+IF(AND(ISNUMBER('NM Play'!$B$25),'NM Play'!$B$25&gt;0),1,0)),"")</f>
        <v/>
      </c>
      <c r="AN11" s="160">
        <f>IF(OR('Sites'!$E$6&lt;0,'Sites'!$E$6&gt;1,'Sites'!$F$6&lt;1,'Sites'!$G$6&lt;'Sites'!$F$6,F11&lt;0,MIN('Sites'!$I$6:'Sites'!$R$6)&lt;0,'Sites'!$L$6&gt;'Sites'!$I$6,'Sites'!$M$6&gt;'Sites'!$J$6,'Sites'!$N$6&gt;'Sites'!$K$6,'Sites'!$Z$6&lt;0,'Sites'!$Z$6&gt;1,MIN('Sites'!$AA$6:'Sites'!$AC$6)&lt;0,S11&gt;F11+0.001),1,0)</f>
        <v/>
      </c>
      <c r="AO11" s="160">
        <f>I11+U11-T11-X11</f>
        <v/>
      </c>
    </row>
    <row r="12" ht="28" customHeight="1">
      <c r="A12" s="4" t="inlineStr">
        <is>
          <t>Full</t>
        </is>
      </c>
      <c r="B12" s="4" t="inlineStr">
        <is>
          <t>WITTA</t>
        </is>
      </c>
      <c r="C12" s="160" t="n">
        <v>7</v>
      </c>
      <c r="D12" s="160">
        <f>ROUNDUP(C12/12,0)</f>
        <v/>
      </c>
      <c r="E12" s="160">
        <f>IF(AND('Sites'!$E$6=1,C12&gt;='Sites'!$F$6,C12&lt;='Sites'!$G$6),1,0)</f>
        <v/>
      </c>
      <c r="F12" s="160">
        <f>E12*'Assumptions'!J67</f>
        <v/>
      </c>
      <c r="G12" s="160">
        <f>V11</f>
        <v/>
      </c>
      <c r="H12" s="160">
        <f>W11</f>
        <v/>
      </c>
      <c r="I12" s="160">
        <f>X11</f>
        <v/>
      </c>
      <c r="J12" s="160">
        <f>MAX(0,'Sites'!$I$6-SUM(N6:N11))</f>
        <v/>
      </c>
      <c r="K12" s="160">
        <f>IF('Sites'!$C$6="Own sheets",MIN(ROUNDDOWN(G12/'NM Play'!$B$11,0)+F12*'NM Play'!$B$10/'NM Play'!$B$43,ROUNDDOWN(H12/'NM Play'!$B$12,0)+F12*'NM Play'!$B$10/'NM Play'!$B$44,(F12*'NM Play'!$B$10+ROUNDDOWN(G12/'NM Play'!$B$11,0)*'NM Play'!$B$43+ROUNDDOWN(H12/'NM Play'!$B$12,0)*'NM Play'!$B$44)/('NM Play'!$B$43+'NM Play'!$B$44)),ROUNDDOWN(G12/'NM Play'!$B$11,0)+F12*'NM Play'!$B$10/'NM Play'!$B$43)</f>
        <v/>
      </c>
      <c r="L12" s="160">
        <f>MIN(ROUNDDOWN(G12/'NM Play'!$B$11,0)+F12/('NM Play'!$B$43/'NM Play'!$B$15),ROUNDDOWN(H12/'NM Play'!$B$12,0)+F12/('NM Play'!$B$44/'NM Play'!$B$16),(F12+ROUNDDOWN(G12/'NM Play'!$B$11,0)*'NM Play'!$B$43/'NM Play'!$B$15+ROUNDDOWN(H12/'NM Play'!$B$12,0)*'NM Play'!$B$44/'NM Play'!$B$16)/('NM Play'!$B$43/'NM Play'!$B$15+'NM Play'!$B$44/'NM Play'!$B$16))</f>
        <v/>
      </c>
      <c r="M12" s="160">
        <f>F12*'NM Play'!$B$36</f>
        <v/>
      </c>
      <c r="N12" s="160">
        <f>ROUNDDOWN(MAX(0,MIN(J12,K12:M12)),0)</f>
        <v/>
      </c>
      <c r="O12" s="160">
        <f>ROUNDUP(MAX(0,N12*'NM Play'!$B$11-G12)/'NM Play'!$B$13,0)</f>
        <v/>
      </c>
      <c r="P12" s="160">
        <f>ROUNDUP(MAX(0,N12*'NM Play'!$B$12-H12)/'NM Play'!$B$14,0)</f>
        <v/>
      </c>
      <c r="Q12" s="160">
        <f>(O12+IF('Sites'!$C$6="Own sheets",P12,0))/'NM Play'!$B$10</f>
        <v/>
      </c>
      <c r="R12" s="160">
        <f>O12/'NM Play'!$B$15+P12/'NM Play'!$B$16</f>
        <v/>
      </c>
      <c r="S12" s="160">
        <f>MAX(Q12,R12,N12/'NM Play'!$B$36)</f>
        <v/>
      </c>
      <c r="T12" s="160">
        <f>Q12*'NM Play'!$B$10*'NM Play'!$B$21*(1+'NM Play'!$B$35)</f>
        <v/>
      </c>
      <c r="U12" s="160">
        <f>MAX(0,T12-I12)</f>
        <v/>
      </c>
      <c r="V12" s="160">
        <f>G12+O12*'NM Play'!$B$13-N12*'NM Play'!$B$11</f>
        <v/>
      </c>
      <c r="W12" s="160">
        <f>H12+P12*'NM Play'!$B$14-N12*'NM Play'!$B$12</f>
        <v/>
      </c>
      <c r="X12" s="160">
        <f>I12+U12-T12</f>
        <v/>
      </c>
      <c r="Y12" s="160">
        <f>MIN(N12,MAX(0,ROUNDDOWN('Sites'!$L$6*'Cases'!$E$6,0)-SUM(Y6:Y11)))</f>
        <v/>
      </c>
      <c r="Z12" s="160">
        <f>N12-Y12</f>
        <v/>
      </c>
      <c r="AA12" s="160">
        <f>U12*'NM Play'!$B$22</f>
        <v/>
      </c>
      <c r="AB12" s="160">
        <f>N12*SUM('NM Play'!$B$29:$B$31)</f>
        <v/>
      </c>
      <c r="AC12" s="160">
        <f>IF('Sites'!$C$6="Defy legs",P12*'NM Play'!$B$14/'NM Play'!$B$12*'NM Play'!$B$28,0)</f>
        <v/>
      </c>
      <c r="AD12" s="160">
        <f>Q12*'NM Play'!$B$23</f>
        <v/>
      </c>
      <c r="AE12" s="160">
        <f>S12*SUM('NM Play'!$B$26,'NM Play'!$B$33:$B$34)</f>
        <v/>
      </c>
      <c r="AF12" s="160">
        <f>IF('Sites'!$D$6="NM crew",S12*SUM('NM Play'!$B$24:$B$25),0)</f>
        <v/>
      </c>
      <c r="AG12" s="160">
        <f>IF('Sites'!$D$6="NM crew",S12*'NM Play'!$B$27,0)</f>
        <v/>
      </c>
      <c r="AH12" s="160">
        <f>N12*'Sites'!$Z$6*'NM Play'!$B$32</f>
        <v/>
      </c>
      <c r="AI12" s="160">
        <f>SUM(Y12:Z12)*'Sites'!$R$6</f>
        <v/>
      </c>
      <c r="AJ12" s="160">
        <f>SUM(AA12:AH12)</f>
        <v/>
      </c>
      <c r="AK12" s="160">
        <f>AJ12+(T12-U12)*'NM Play'!$B$22+MIN(G12,N12*'NM Play'!$B$11)/'NM Play'!$B$13*'NM Play'!$B$21*'NM Play'!$B$22+MIN(H12,N12*'NM Play'!$B$12)/'NM Play'!$B$14*IF('Sites'!$C$6="Own sheets",'NM Play'!$B$21*'NM Play'!$B$22,'NM Play'!$B$28*'NM Play'!$B$14/'NM Play'!$B$12)</f>
        <v/>
      </c>
      <c r="AL12" s="160">
        <f>Y12*'Assumptions'!J66</f>
        <v/>
      </c>
      <c r="AM12" s="160">
        <f>IF('Sites'!$D$6="NM crew",S12*'NM Play'!$B$37*(1+IF(AND(ISNUMBER('NM Play'!$B$25),'NM Play'!$B$25&gt;0),1,0)),"")</f>
        <v/>
      </c>
      <c r="AN12" s="160">
        <f>IF(OR('Sites'!$E$6&lt;0,'Sites'!$E$6&gt;1,'Sites'!$F$6&lt;1,'Sites'!$G$6&lt;'Sites'!$F$6,F12&lt;0,MIN('Sites'!$I$6:'Sites'!$R$6)&lt;0,'Sites'!$L$6&gt;'Sites'!$I$6,'Sites'!$M$6&gt;'Sites'!$J$6,'Sites'!$N$6&gt;'Sites'!$K$6,'Sites'!$Z$6&lt;0,'Sites'!$Z$6&gt;1,MIN('Sites'!$AA$6:'Sites'!$AC$6)&lt;0,S12&gt;F12+0.001),1,0)</f>
        <v/>
      </c>
      <c r="AO12" s="160">
        <f>I12+U12-T12-X12</f>
        <v/>
      </c>
    </row>
    <row r="13" ht="28" customHeight="1">
      <c r="A13" s="4" t="inlineStr">
        <is>
          <t>Full</t>
        </is>
      </c>
      <c r="B13" s="4" t="inlineStr">
        <is>
          <t>WITTA</t>
        </is>
      </c>
      <c r="C13" s="160" t="n">
        <v>8</v>
      </c>
      <c r="D13" s="160">
        <f>ROUNDUP(C13/12,0)</f>
        <v/>
      </c>
      <c r="E13" s="160">
        <f>IF(AND('Sites'!$E$6=1,C13&gt;='Sites'!$F$6,C13&lt;='Sites'!$G$6),1,0)</f>
        <v/>
      </c>
      <c r="F13" s="160">
        <f>E13*'Assumptions'!K67</f>
        <v/>
      </c>
      <c r="G13" s="160">
        <f>V12</f>
        <v/>
      </c>
      <c r="H13" s="160">
        <f>W12</f>
        <v/>
      </c>
      <c r="I13" s="160">
        <f>X12</f>
        <v/>
      </c>
      <c r="J13" s="160">
        <f>MAX(0,'Sites'!$I$6-SUM(N6:N12))</f>
        <v/>
      </c>
      <c r="K13" s="160">
        <f>IF('Sites'!$C$6="Own sheets",MIN(ROUNDDOWN(G13/'NM Play'!$B$11,0)+F13*'NM Play'!$B$10/'NM Play'!$B$43,ROUNDDOWN(H13/'NM Play'!$B$12,0)+F13*'NM Play'!$B$10/'NM Play'!$B$44,(F13*'NM Play'!$B$10+ROUNDDOWN(G13/'NM Play'!$B$11,0)*'NM Play'!$B$43+ROUNDDOWN(H13/'NM Play'!$B$12,0)*'NM Play'!$B$44)/('NM Play'!$B$43+'NM Play'!$B$44)),ROUNDDOWN(G13/'NM Play'!$B$11,0)+F13*'NM Play'!$B$10/'NM Play'!$B$43)</f>
        <v/>
      </c>
      <c r="L13" s="160">
        <f>MIN(ROUNDDOWN(G13/'NM Play'!$B$11,0)+F13/('NM Play'!$B$43/'NM Play'!$B$15),ROUNDDOWN(H13/'NM Play'!$B$12,0)+F13/('NM Play'!$B$44/'NM Play'!$B$16),(F13+ROUNDDOWN(G13/'NM Play'!$B$11,0)*'NM Play'!$B$43/'NM Play'!$B$15+ROUNDDOWN(H13/'NM Play'!$B$12,0)*'NM Play'!$B$44/'NM Play'!$B$16)/('NM Play'!$B$43/'NM Play'!$B$15+'NM Play'!$B$44/'NM Play'!$B$16))</f>
        <v/>
      </c>
      <c r="M13" s="160">
        <f>F13*'NM Play'!$B$36</f>
        <v/>
      </c>
      <c r="N13" s="160">
        <f>ROUNDDOWN(MAX(0,MIN(J13,K13:M13)),0)</f>
        <v/>
      </c>
      <c r="O13" s="160">
        <f>ROUNDUP(MAX(0,N13*'NM Play'!$B$11-G13)/'NM Play'!$B$13,0)</f>
        <v/>
      </c>
      <c r="P13" s="160">
        <f>ROUNDUP(MAX(0,N13*'NM Play'!$B$12-H13)/'NM Play'!$B$14,0)</f>
        <v/>
      </c>
      <c r="Q13" s="160">
        <f>(O13+IF('Sites'!$C$6="Own sheets",P13,0))/'NM Play'!$B$10</f>
        <v/>
      </c>
      <c r="R13" s="160">
        <f>O13/'NM Play'!$B$15+P13/'NM Play'!$B$16</f>
        <v/>
      </c>
      <c r="S13" s="160">
        <f>MAX(Q13,R13,N13/'NM Play'!$B$36)</f>
        <v/>
      </c>
      <c r="T13" s="160">
        <f>Q13*'NM Play'!$B$10*'NM Play'!$B$21*(1+'NM Play'!$B$35)</f>
        <v/>
      </c>
      <c r="U13" s="160">
        <f>MAX(0,T13-I13)</f>
        <v/>
      </c>
      <c r="V13" s="160">
        <f>G13+O13*'NM Play'!$B$13-N13*'NM Play'!$B$11</f>
        <v/>
      </c>
      <c r="W13" s="160">
        <f>H13+P13*'NM Play'!$B$14-N13*'NM Play'!$B$12</f>
        <v/>
      </c>
      <c r="X13" s="160">
        <f>I13+U13-T13</f>
        <v/>
      </c>
      <c r="Y13" s="160">
        <f>MIN(N13,MAX(0,ROUNDDOWN('Sites'!$L$6*'Cases'!$E$6,0)-SUM(Y6:Y12)))</f>
        <v/>
      </c>
      <c r="Z13" s="160">
        <f>N13-Y13</f>
        <v/>
      </c>
      <c r="AA13" s="160">
        <f>U13*'NM Play'!$B$22</f>
        <v/>
      </c>
      <c r="AB13" s="160">
        <f>N13*SUM('NM Play'!$B$29:$B$31)</f>
        <v/>
      </c>
      <c r="AC13" s="160">
        <f>IF('Sites'!$C$6="Defy legs",P13*'NM Play'!$B$14/'NM Play'!$B$12*'NM Play'!$B$28,0)</f>
        <v/>
      </c>
      <c r="AD13" s="160">
        <f>Q13*'NM Play'!$B$23</f>
        <v/>
      </c>
      <c r="AE13" s="160">
        <f>S13*SUM('NM Play'!$B$26,'NM Play'!$B$33:$B$34)</f>
        <v/>
      </c>
      <c r="AF13" s="160">
        <f>IF('Sites'!$D$6="NM crew",S13*SUM('NM Play'!$B$24:$B$25),0)</f>
        <v/>
      </c>
      <c r="AG13" s="160">
        <f>IF('Sites'!$D$6="NM crew",S13*'NM Play'!$B$27,0)</f>
        <v/>
      </c>
      <c r="AH13" s="160">
        <f>N13*'Sites'!$Z$6*'NM Play'!$B$32</f>
        <v/>
      </c>
      <c r="AI13" s="160">
        <f>SUM(Y13:Z13)*'Sites'!$R$6</f>
        <v/>
      </c>
      <c r="AJ13" s="160">
        <f>SUM(AA13:AH13)</f>
        <v/>
      </c>
      <c r="AK13" s="160">
        <f>AJ13+(T13-U13)*'NM Play'!$B$22+MIN(G13,N13*'NM Play'!$B$11)/'NM Play'!$B$13*'NM Play'!$B$21*'NM Play'!$B$22+MIN(H13,N13*'NM Play'!$B$12)/'NM Play'!$B$14*IF('Sites'!$C$6="Own sheets",'NM Play'!$B$21*'NM Play'!$B$22,'NM Play'!$B$28*'NM Play'!$B$14/'NM Play'!$B$12)</f>
        <v/>
      </c>
      <c r="AL13" s="160">
        <f>Y13*'Assumptions'!K66</f>
        <v/>
      </c>
      <c r="AM13" s="160">
        <f>IF('Sites'!$D$6="NM crew",S13*'NM Play'!$B$37*(1+IF(AND(ISNUMBER('NM Play'!$B$25),'NM Play'!$B$25&gt;0),1,0)),"")</f>
        <v/>
      </c>
      <c r="AN13" s="160">
        <f>IF(OR('Sites'!$E$6&lt;0,'Sites'!$E$6&gt;1,'Sites'!$F$6&lt;1,'Sites'!$G$6&lt;'Sites'!$F$6,F13&lt;0,MIN('Sites'!$I$6:'Sites'!$R$6)&lt;0,'Sites'!$L$6&gt;'Sites'!$I$6,'Sites'!$M$6&gt;'Sites'!$J$6,'Sites'!$N$6&gt;'Sites'!$K$6,'Sites'!$Z$6&lt;0,'Sites'!$Z$6&gt;1,MIN('Sites'!$AA$6:'Sites'!$AC$6)&lt;0,S13&gt;F13+0.001),1,0)</f>
        <v/>
      </c>
      <c r="AO13" s="160">
        <f>I13+U13-T13-X13</f>
        <v/>
      </c>
    </row>
    <row r="14" ht="28" customHeight="1">
      <c r="A14" s="4" t="inlineStr">
        <is>
          <t>Full</t>
        </is>
      </c>
      <c r="B14" s="4" t="inlineStr">
        <is>
          <t>WITTA</t>
        </is>
      </c>
      <c r="C14" s="160" t="n">
        <v>9</v>
      </c>
      <c r="D14" s="160">
        <f>ROUNDUP(C14/12,0)</f>
        <v/>
      </c>
      <c r="E14" s="160">
        <f>IF(AND('Sites'!$E$6=1,C14&gt;='Sites'!$F$6,C14&lt;='Sites'!$G$6),1,0)</f>
        <v/>
      </c>
      <c r="F14" s="160">
        <f>E14*'Assumptions'!L67</f>
        <v/>
      </c>
      <c r="G14" s="160">
        <f>V13</f>
        <v/>
      </c>
      <c r="H14" s="160">
        <f>W13</f>
        <v/>
      </c>
      <c r="I14" s="160">
        <f>X13</f>
        <v/>
      </c>
      <c r="J14" s="160">
        <f>MAX(0,'Sites'!$I$6-SUM(N6:N13))</f>
        <v/>
      </c>
      <c r="K14" s="160">
        <f>IF('Sites'!$C$6="Own sheets",MIN(ROUNDDOWN(G14/'NM Play'!$B$11,0)+F14*'NM Play'!$B$10/'NM Play'!$B$43,ROUNDDOWN(H14/'NM Play'!$B$12,0)+F14*'NM Play'!$B$10/'NM Play'!$B$44,(F14*'NM Play'!$B$10+ROUNDDOWN(G14/'NM Play'!$B$11,0)*'NM Play'!$B$43+ROUNDDOWN(H14/'NM Play'!$B$12,0)*'NM Play'!$B$44)/('NM Play'!$B$43+'NM Play'!$B$44)),ROUNDDOWN(G14/'NM Play'!$B$11,0)+F14*'NM Play'!$B$10/'NM Play'!$B$43)</f>
        <v/>
      </c>
      <c r="L14" s="160">
        <f>MIN(ROUNDDOWN(G14/'NM Play'!$B$11,0)+F14/('NM Play'!$B$43/'NM Play'!$B$15),ROUNDDOWN(H14/'NM Play'!$B$12,0)+F14/('NM Play'!$B$44/'NM Play'!$B$16),(F14+ROUNDDOWN(G14/'NM Play'!$B$11,0)*'NM Play'!$B$43/'NM Play'!$B$15+ROUNDDOWN(H14/'NM Play'!$B$12,0)*'NM Play'!$B$44/'NM Play'!$B$16)/('NM Play'!$B$43/'NM Play'!$B$15+'NM Play'!$B$44/'NM Play'!$B$16))</f>
        <v/>
      </c>
      <c r="M14" s="160">
        <f>F14*'NM Play'!$B$36</f>
        <v/>
      </c>
      <c r="N14" s="160">
        <f>ROUNDDOWN(MAX(0,MIN(J14,K14:M14)),0)</f>
        <v/>
      </c>
      <c r="O14" s="160">
        <f>ROUNDUP(MAX(0,N14*'NM Play'!$B$11-G14)/'NM Play'!$B$13,0)</f>
        <v/>
      </c>
      <c r="P14" s="160">
        <f>ROUNDUP(MAX(0,N14*'NM Play'!$B$12-H14)/'NM Play'!$B$14,0)</f>
        <v/>
      </c>
      <c r="Q14" s="160">
        <f>(O14+IF('Sites'!$C$6="Own sheets",P14,0))/'NM Play'!$B$10</f>
        <v/>
      </c>
      <c r="R14" s="160">
        <f>O14/'NM Play'!$B$15+P14/'NM Play'!$B$16</f>
        <v/>
      </c>
      <c r="S14" s="160">
        <f>MAX(Q14,R14,N14/'NM Play'!$B$36)</f>
        <v/>
      </c>
      <c r="T14" s="160">
        <f>Q14*'NM Play'!$B$10*'NM Play'!$B$21*(1+'NM Play'!$B$35)</f>
        <v/>
      </c>
      <c r="U14" s="160">
        <f>MAX(0,T14-I14)</f>
        <v/>
      </c>
      <c r="V14" s="160">
        <f>G14+O14*'NM Play'!$B$13-N14*'NM Play'!$B$11</f>
        <v/>
      </c>
      <c r="W14" s="160">
        <f>H14+P14*'NM Play'!$B$14-N14*'NM Play'!$B$12</f>
        <v/>
      </c>
      <c r="X14" s="160">
        <f>I14+U14-T14</f>
        <v/>
      </c>
      <c r="Y14" s="160">
        <f>MIN(N14,MAX(0,ROUNDDOWN('Sites'!$L$6*'Cases'!$E$6,0)-SUM(Y6:Y13)))</f>
        <v/>
      </c>
      <c r="Z14" s="160">
        <f>N14-Y14</f>
        <v/>
      </c>
      <c r="AA14" s="160">
        <f>U14*'NM Play'!$B$22</f>
        <v/>
      </c>
      <c r="AB14" s="160">
        <f>N14*SUM('NM Play'!$B$29:$B$31)</f>
        <v/>
      </c>
      <c r="AC14" s="160">
        <f>IF('Sites'!$C$6="Defy legs",P14*'NM Play'!$B$14/'NM Play'!$B$12*'NM Play'!$B$28,0)</f>
        <v/>
      </c>
      <c r="AD14" s="160">
        <f>Q14*'NM Play'!$B$23</f>
        <v/>
      </c>
      <c r="AE14" s="160">
        <f>S14*SUM('NM Play'!$B$26,'NM Play'!$B$33:$B$34)</f>
        <v/>
      </c>
      <c r="AF14" s="160">
        <f>IF('Sites'!$D$6="NM crew",S14*SUM('NM Play'!$B$24:$B$25),0)</f>
        <v/>
      </c>
      <c r="AG14" s="160">
        <f>IF('Sites'!$D$6="NM crew",S14*'NM Play'!$B$27,0)</f>
        <v/>
      </c>
      <c r="AH14" s="160">
        <f>N14*'Sites'!$Z$6*'NM Play'!$B$32</f>
        <v/>
      </c>
      <c r="AI14" s="160">
        <f>SUM(Y14:Z14)*'Sites'!$R$6</f>
        <v/>
      </c>
      <c r="AJ14" s="160">
        <f>SUM(AA14:AH14)</f>
        <v/>
      </c>
      <c r="AK14" s="160">
        <f>AJ14+(T14-U14)*'NM Play'!$B$22+MIN(G14,N14*'NM Play'!$B$11)/'NM Play'!$B$13*'NM Play'!$B$21*'NM Play'!$B$22+MIN(H14,N14*'NM Play'!$B$12)/'NM Play'!$B$14*IF('Sites'!$C$6="Own sheets",'NM Play'!$B$21*'NM Play'!$B$22,'NM Play'!$B$28*'NM Play'!$B$14/'NM Play'!$B$12)</f>
        <v/>
      </c>
      <c r="AL14" s="160">
        <f>Y14*'Assumptions'!L66</f>
        <v/>
      </c>
      <c r="AM14" s="160">
        <f>IF('Sites'!$D$6="NM crew",S14*'NM Play'!$B$37*(1+IF(AND(ISNUMBER('NM Play'!$B$25),'NM Play'!$B$25&gt;0),1,0)),"")</f>
        <v/>
      </c>
      <c r="AN14" s="160">
        <f>IF(OR('Sites'!$E$6&lt;0,'Sites'!$E$6&gt;1,'Sites'!$F$6&lt;1,'Sites'!$G$6&lt;'Sites'!$F$6,F14&lt;0,MIN('Sites'!$I$6:'Sites'!$R$6)&lt;0,'Sites'!$L$6&gt;'Sites'!$I$6,'Sites'!$M$6&gt;'Sites'!$J$6,'Sites'!$N$6&gt;'Sites'!$K$6,'Sites'!$Z$6&lt;0,'Sites'!$Z$6&gt;1,MIN('Sites'!$AA$6:'Sites'!$AC$6)&lt;0,S14&gt;F14+0.001),1,0)</f>
        <v/>
      </c>
      <c r="AO14" s="160">
        <f>I14+U14-T14-X14</f>
        <v/>
      </c>
    </row>
    <row r="15" ht="28" customHeight="1">
      <c r="A15" s="4" t="inlineStr">
        <is>
          <t>Full</t>
        </is>
      </c>
      <c r="B15" s="4" t="inlineStr">
        <is>
          <t>WITTA</t>
        </is>
      </c>
      <c r="C15" s="160" t="n">
        <v>10</v>
      </c>
      <c r="D15" s="160">
        <f>ROUNDUP(C15/12,0)</f>
        <v/>
      </c>
      <c r="E15" s="160">
        <f>IF(AND('Sites'!$E$6=1,C15&gt;='Sites'!$F$6,C15&lt;='Sites'!$G$6),1,0)</f>
        <v/>
      </c>
      <c r="F15" s="160">
        <f>E15*'Assumptions'!M67</f>
        <v/>
      </c>
      <c r="G15" s="160">
        <f>V14</f>
        <v/>
      </c>
      <c r="H15" s="160">
        <f>W14</f>
        <v/>
      </c>
      <c r="I15" s="160">
        <f>X14</f>
        <v/>
      </c>
      <c r="J15" s="160">
        <f>MAX(0,'Sites'!$I$6-SUM(N6:N14))</f>
        <v/>
      </c>
      <c r="K15" s="160">
        <f>IF('Sites'!$C$6="Own sheets",MIN(ROUNDDOWN(G15/'NM Play'!$B$11,0)+F15*'NM Play'!$B$10/'NM Play'!$B$43,ROUNDDOWN(H15/'NM Play'!$B$12,0)+F15*'NM Play'!$B$10/'NM Play'!$B$44,(F15*'NM Play'!$B$10+ROUNDDOWN(G15/'NM Play'!$B$11,0)*'NM Play'!$B$43+ROUNDDOWN(H15/'NM Play'!$B$12,0)*'NM Play'!$B$44)/('NM Play'!$B$43+'NM Play'!$B$44)),ROUNDDOWN(G15/'NM Play'!$B$11,0)+F15*'NM Play'!$B$10/'NM Play'!$B$43)</f>
        <v/>
      </c>
      <c r="L15" s="160">
        <f>MIN(ROUNDDOWN(G15/'NM Play'!$B$11,0)+F15/('NM Play'!$B$43/'NM Play'!$B$15),ROUNDDOWN(H15/'NM Play'!$B$12,0)+F15/('NM Play'!$B$44/'NM Play'!$B$16),(F15+ROUNDDOWN(G15/'NM Play'!$B$11,0)*'NM Play'!$B$43/'NM Play'!$B$15+ROUNDDOWN(H15/'NM Play'!$B$12,0)*'NM Play'!$B$44/'NM Play'!$B$16)/('NM Play'!$B$43/'NM Play'!$B$15+'NM Play'!$B$44/'NM Play'!$B$16))</f>
        <v/>
      </c>
      <c r="M15" s="160">
        <f>F15*'NM Play'!$B$36</f>
        <v/>
      </c>
      <c r="N15" s="160">
        <f>ROUNDDOWN(MAX(0,MIN(J15,K15:M15)),0)</f>
        <v/>
      </c>
      <c r="O15" s="160">
        <f>ROUNDUP(MAX(0,N15*'NM Play'!$B$11-G15)/'NM Play'!$B$13,0)</f>
        <v/>
      </c>
      <c r="P15" s="160">
        <f>ROUNDUP(MAX(0,N15*'NM Play'!$B$12-H15)/'NM Play'!$B$14,0)</f>
        <v/>
      </c>
      <c r="Q15" s="160">
        <f>(O15+IF('Sites'!$C$6="Own sheets",P15,0))/'NM Play'!$B$10</f>
        <v/>
      </c>
      <c r="R15" s="160">
        <f>O15/'NM Play'!$B$15+P15/'NM Play'!$B$16</f>
        <v/>
      </c>
      <c r="S15" s="160">
        <f>MAX(Q15,R15,N15/'NM Play'!$B$36)</f>
        <v/>
      </c>
      <c r="T15" s="160">
        <f>Q15*'NM Play'!$B$10*'NM Play'!$B$21*(1+'NM Play'!$B$35)</f>
        <v/>
      </c>
      <c r="U15" s="160">
        <f>MAX(0,T15-I15)</f>
        <v/>
      </c>
      <c r="V15" s="160">
        <f>G15+O15*'NM Play'!$B$13-N15*'NM Play'!$B$11</f>
        <v/>
      </c>
      <c r="W15" s="160">
        <f>H15+P15*'NM Play'!$B$14-N15*'NM Play'!$B$12</f>
        <v/>
      </c>
      <c r="X15" s="160">
        <f>I15+U15-T15</f>
        <v/>
      </c>
      <c r="Y15" s="160">
        <f>MIN(N15,MAX(0,ROUNDDOWN('Sites'!$L$6*'Cases'!$E$6,0)-SUM(Y6:Y14)))</f>
        <v/>
      </c>
      <c r="Z15" s="160">
        <f>N15-Y15</f>
        <v/>
      </c>
      <c r="AA15" s="160">
        <f>U15*'NM Play'!$B$22</f>
        <v/>
      </c>
      <c r="AB15" s="160">
        <f>N15*SUM('NM Play'!$B$29:$B$31)</f>
        <v/>
      </c>
      <c r="AC15" s="160">
        <f>IF('Sites'!$C$6="Defy legs",P15*'NM Play'!$B$14/'NM Play'!$B$12*'NM Play'!$B$28,0)</f>
        <v/>
      </c>
      <c r="AD15" s="160">
        <f>Q15*'NM Play'!$B$23</f>
        <v/>
      </c>
      <c r="AE15" s="160">
        <f>S15*SUM('NM Play'!$B$26,'NM Play'!$B$33:$B$34)</f>
        <v/>
      </c>
      <c r="AF15" s="160">
        <f>IF('Sites'!$D$6="NM crew",S15*SUM('NM Play'!$B$24:$B$25),0)</f>
        <v/>
      </c>
      <c r="AG15" s="160">
        <f>IF('Sites'!$D$6="NM crew",S15*'NM Play'!$B$27,0)</f>
        <v/>
      </c>
      <c r="AH15" s="160">
        <f>N15*'Sites'!$Z$6*'NM Play'!$B$32</f>
        <v/>
      </c>
      <c r="AI15" s="160">
        <f>SUM(Y15:Z15)*'Sites'!$R$6</f>
        <v/>
      </c>
      <c r="AJ15" s="160">
        <f>SUM(AA15:AH15)</f>
        <v/>
      </c>
      <c r="AK15" s="160">
        <f>AJ15+(T15-U15)*'NM Play'!$B$22+MIN(G15,N15*'NM Play'!$B$11)/'NM Play'!$B$13*'NM Play'!$B$21*'NM Play'!$B$22+MIN(H15,N15*'NM Play'!$B$12)/'NM Play'!$B$14*IF('Sites'!$C$6="Own sheets",'NM Play'!$B$21*'NM Play'!$B$22,'NM Play'!$B$28*'NM Play'!$B$14/'NM Play'!$B$12)</f>
        <v/>
      </c>
      <c r="AL15" s="160">
        <f>Y15*'Assumptions'!M66</f>
        <v/>
      </c>
      <c r="AM15" s="160">
        <f>IF('Sites'!$D$6="NM crew",S15*'NM Play'!$B$37*(1+IF(AND(ISNUMBER('NM Play'!$B$25),'NM Play'!$B$25&gt;0),1,0)),"")</f>
        <v/>
      </c>
      <c r="AN15" s="160">
        <f>IF(OR('Sites'!$E$6&lt;0,'Sites'!$E$6&gt;1,'Sites'!$F$6&lt;1,'Sites'!$G$6&lt;'Sites'!$F$6,F15&lt;0,MIN('Sites'!$I$6:'Sites'!$R$6)&lt;0,'Sites'!$L$6&gt;'Sites'!$I$6,'Sites'!$M$6&gt;'Sites'!$J$6,'Sites'!$N$6&gt;'Sites'!$K$6,'Sites'!$Z$6&lt;0,'Sites'!$Z$6&gt;1,MIN('Sites'!$AA$6:'Sites'!$AC$6)&lt;0,S15&gt;F15+0.001),1,0)</f>
        <v/>
      </c>
      <c r="AO15" s="160">
        <f>I15+U15-T15-X15</f>
        <v/>
      </c>
    </row>
    <row r="16" ht="28" customHeight="1">
      <c r="A16" s="4" t="inlineStr">
        <is>
          <t>Full</t>
        </is>
      </c>
      <c r="B16" s="4" t="inlineStr">
        <is>
          <t>WITTA</t>
        </is>
      </c>
      <c r="C16" s="160" t="n">
        <v>11</v>
      </c>
      <c r="D16" s="160">
        <f>ROUNDUP(C16/12,0)</f>
        <v/>
      </c>
      <c r="E16" s="160">
        <f>IF(AND('Sites'!$E$6=1,C16&gt;='Sites'!$F$6,C16&lt;='Sites'!$G$6),1,0)</f>
        <v/>
      </c>
      <c r="F16" s="160">
        <f>E16*'Assumptions'!N67</f>
        <v/>
      </c>
      <c r="G16" s="160">
        <f>V15</f>
        <v/>
      </c>
      <c r="H16" s="160">
        <f>W15</f>
        <v/>
      </c>
      <c r="I16" s="160">
        <f>X15</f>
        <v/>
      </c>
      <c r="J16" s="160">
        <f>MAX(0,'Sites'!$I$6-SUM(N6:N15))</f>
        <v/>
      </c>
      <c r="K16" s="160">
        <f>IF('Sites'!$C$6="Own sheets",MIN(ROUNDDOWN(G16/'NM Play'!$B$11,0)+F16*'NM Play'!$B$10/'NM Play'!$B$43,ROUNDDOWN(H16/'NM Play'!$B$12,0)+F16*'NM Play'!$B$10/'NM Play'!$B$44,(F16*'NM Play'!$B$10+ROUNDDOWN(G16/'NM Play'!$B$11,0)*'NM Play'!$B$43+ROUNDDOWN(H16/'NM Play'!$B$12,0)*'NM Play'!$B$44)/('NM Play'!$B$43+'NM Play'!$B$44)),ROUNDDOWN(G16/'NM Play'!$B$11,0)+F16*'NM Play'!$B$10/'NM Play'!$B$43)</f>
        <v/>
      </c>
      <c r="L16" s="160">
        <f>MIN(ROUNDDOWN(G16/'NM Play'!$B$11,0)+F16/('NM Play'!$B$43/'NM Play'!$B$15),ROUNDDOWN(H16/'NM Play'!$B$12,0)+F16/('NM Play'!$B$44/'NM Play'!$B$16),(F16+ROUNDDOWN(G16/'NM Play'!$B$11,0)*'NM Play'!$B$43/'NM Play'!$B$15+ROUNDDOWN(H16/'NM Play'!$B$12,0)*'NM Play'!$B$44/'NM Play'!$B$16)/('NM Play'!$B$43/'NM Play'!$B$15+'NM Play'!$B$44/'NM Play'!$B$16))</f>
        <v/>
      </c>
      <c r="M16" s="160">
        <f>F16*'NM Play'!$B$36</f>
        <v/>
      </c>
      <c r="N16" s="160">
        <f>ROUNDDOWN(MAX(0,MIN(J16,K16:M16)),0)</f>
        <v/>
      </c>
      <c r="O16" s="160">
        <f>ROUNDUP(MAX(0,N16*'NM Play'!$B$11-G16)/'NM Play'!$B$13,0)</f>
        <v/>
      </c>
      <c r="P16" s="160">
        <f>ROUNDUP(MAX(0,N16*'NM Play'!$B$12-H16)/'NM Play'!$B$14,0)</f>
        <v/>
      </c>
      <c r="Q16" s="160">
        <f>(O16+IF('Sites'!$C$6="Own sheets",P16,0))/'NM Play'!$B$10</f>
        <v/>
      </c>
      <c r="R16" s="160">
        <f>O16/'NM Play'!$B$15+P16/'NM Play'!$B$16</f>
        <v/>
      </c>
      <c r="S16" s="160">
        <f>MAX(Q16,R16,N16/'NM Play'!$B$36)</f>
        <v/>
      </c>
      <c r="T16" s="160">
        <f>Q16*'NM Play'!$B$10*'NM Play'!$B$21*(1+'NM Play'!$B$35)</f>
        <v/>
      </c>
      <c r="U16" s="160">
        <f>MAX(0,T16-I16)</f>
        <v/>
      </c>
      <c r="V16" s="160">
        <f>G16+O16*'NM Play'!$B$13-N16*'NM Play'!$B$11</f>
        <v/>
      </c>
      <c r="W16" s="160">
        <f>H16+P16*'NM Play'!$B$14-N16*'NM Play'!$B$12</f>
        <v/>
      </c>
      <c r="X16" s="160">
        <f>I16+U16-T16</f>
        <v/>
      </c>
      <c r="Y16" s="160">
        <f>MIN(N16,MAX(0,ROUNDDOWN('Sites'!$L$6*'Cases'!$E$6,0)-SUM(Y6:Y15)))</f>
        <v/>
      </c>
      <c r="Z16" s="160">
        <f>N16-Y16</f>
        <v/>
      </c>
      <c r="AA16" s="160">
        <f>U16*'NM Play'!$B$22</f>
        <v/>
      </c>
      <c r="AB16" s="160">
        <f>N16*SUM('NM Play'!$B$29:$B$31)</f>
        <v/>
      </c>
      <c r="AC16" s="160">
        <f>IF('Sites'!$C$6="Defy legs",P16*'NM Play'!$B$14/'NM Play'!$B$12*'NM Play'!$B$28,0)</f>
        <v/>
      </c>
      <c r="AD16" s="160">
        <f>Q16*'NM Play'!$B$23</f>
        <v/>
      </c>
      <c r="AE16" s="160">
        <f>S16*SUM('NM Play'!$B$26,'NM Play'!$B$33:$B$34)</f>
        <v/>
      </c>
      <c r="AF16" s="160">
        <f>IF('Sites'!$D$6="NM crew",S16*SUM('NM Play'!$B$24:$B$25),0)</f>
        <v/>
      </c>
      <c r="AG16" s="160">
        <f>IF('Sites'!$D$6="NM crew",S16*'NM Play'!$B$27,0)</f>
        <v/>
      </c>
      <c r="AH16" s="160">
        <f>N16*'Sites'!$Z$6*'NM Play'!$B$32</f>
        <v/>
      </c>
      <c r="AI16" s="160">
        <f>SUM(Y16:Z16)*'Sites'!$R$6</f>
        <v/>
      </c>
      <c r="AJ16" s="160">
        <f>SUM(AA16:AH16)</f>
        <v/>
      </c>
      <c r="AK16" s="160">
        <f>AJ16+(T16-U16)*'NM Play'!$B$22+MIN(G16,N16*'NM Play'!$B$11)/'NM Play'!$B$13*'NM Play'!$B$21*'NM Play'!$B$22+MIN(H16,N16*'NM Play'!$B$12)/'NM Play'!$B$14*IF('Sites'!$C$6="Own sheets",'NM Play'!$B$21*'NM Play'!$B$22,'NM Play'!$B$28*'NM Play'!$B$14/'NM Play'!$B$12)</f>
        <v/>
      </c>
      <c r="AL16" s="160">
        <f>Y16*'Assumptions'!N66</f>
        <v/>
      </c>
      <c r="AM16" s="160">
        <f>IF('Sites'!$D$6="NM crew",S16*'NM Play'!$B$37*(1+IF(AND(ISNUMBER('NM Play'!$B$25),'NM Play'!$B$25&gt;0),1,0)),"")</f>
        <v/>
      </c>
      <c r="AN16" s="160">
        <f>IF(OR('Sites'!$E$6&lt;0,'Sites'!$E$6&gt;1,'Sites'!$F$6&lt;1,'Sites'!$G$6&lt;'Sites'!$F$6,F16&lt;0,MIN('Sites'!$I$6:'Sites'!$R$6)&lt;0,'Sites'!$L$6&gt;'Sites'!$I$6,'Sites'!$M$6&gt;'Sites'!$J$6,'Sites'!$N$6&gt;'Sites'!$K$6,'Sites'!$Z$6&lt;0,'Sites'!$Z$6&gt;1,MIN('Sites'!$AA$6:'Sites'!$AC$6)&lt;0,S16&gt;F16+0.001),1,0)</f>
        <v/>
      </c>
      <c r="AO16" s="160">
        <f>I16+U16-T16-X16</f>
        <v/>
      </c>
    </row>
    <row r="17" ht="28" customHeight="1">
      <c r="A17" s="4" t="inlineStr">
        <is>
          <t>Full</t>
        </is>
      </c>
      <c r="B17" s="4" t="inlineStr">
        <is>
          <t>WITTA</t>
        </is>
      </c>
      <c r="C17" s="160" t="n">
        <v>12</v>
      </c>
      <c r="D17" s="160">
        <f>ROUNDUP(C17/12,0)</f>
        <v/>
      </c>
      <c r="E17" s="160">
        <f>IF(AND('Sites'!$E$6=1,C17&gt;='Sites'!$F$6,C17&lt;='Sites'!$G$6),1,0)</f>
        <v/>
      </c>
      <c r="F17" s="160">
        <f>E17*'Assumptions'!O67</f>
        <v/>
      </c>
      <c r="G17" s="160">
        <f>V16</f>
        <v/>
      </c>
      <c r="H17" s="160">
        <f>W16</f>
        <v/>
      </c>
      <c r="I17" s="160">
        <f>X16</f>
        <v/>
      </c>
      <c r="J17" s="160">
        <f>MAX(0,'Sites'!$I$6-SUM(N6:N16))</f>
        <v/>
      </c>
      <c r="K17" s="160">
        <f>IF('Sites'!$C$6="Own sheets",MIN(ROUNDDOWN(G17/'NM Play'!$B$11,0)+F17*'NM Play'!$B$10/'NM Play'!$B$43,ROUNDDOWN(H17/'NM Play'!$B$12,0)+F17*'NM Play'!$B$10/'NM Play'!$B$44,(F17*'NM Play'!$B$10+ROUNDDOWN(G17/'NM Play'!$B$11,0)*'NM Play'!$B$43+ROUNDDOWN(H17/'NM Play'!$B$12,0)*'NM Play'!$B$44)/('NM Play'!$B$43+'NM Play'!$B$44)),ROUNDDOWN(G17/'NM Play'!$B$11,0)+F17*'NM Play'!$B$10/'NM Play'!$B$43)</f>
        <v/>
      </c>
      <c r="L17" s="160">
        <f>MIN(ROUNDDOWN(G17/'NM Play'!$B$11,0)+F17/('NM Play'!$B$43/'NM Play'!$B$15),ROUNDDOWN(H17/'NM Play'!$B$12,0)+F17/('NM Play'!$B$44/'NM Play'!$B$16),(F17+ROUNDDOWN(G17/'NM Play'!$B$11,0)*'NM Play'!$B$43/'NM Play'!$B$15+ROUNDDOWN(H17/'NM Play'!$B$12,0)*'NM Play'!$B$44/'NM Play'!$B$16)/('NM Play'!$B$43/'NM Play'!$B$15+'NM Play'!$B$44/'NM Play'!$B$16))</f>
        <v/>
      </c>
      <c r="M17" s="160">
        <f>F17*'NM Play'!$B$36</f>
        <v/>
      </c>
      <c r="N17" s="160">
        <f>ROUNDDOWN(MAX(0,MIN(J17,K17:M17)),0)</f>
        <v/>
      </c>
      <c r="O17" s="160">
        <f>ROUNDUP(MAX(0,N17*'NM Play'!$B$11-G17)/'NM Play'!$B$13,0)</f>
        <v/>
      </c>
      <c r="P17" s="160">
        <f>ROUNDUP(MAX(0,N17*'NM Play'!$B$12-H17)/'NM Play'!$B$14,0)</f>
        <v/>
      </c>
      <c r="Q17" s="160">
        <f>(O17+IF('Sites'!$C$6="Own sheets",P17,0))/'NM Play'!$B$10</f>
        <v/>
      </c>
      <c r="R17" s="160">
        <f>O17/'NM Play'!$B$15+P17/'NM Play'!$B$16</f>
        <v/>
      </c>
      <c r="S17" s="160">
        <f>MAX(Q17,R17,N17/'NM Play'!$B$36)</f>
        <v/>
      </c>
      <c r="T17" s="160">
        <f>Q17*'NM Play'!$B$10*'NM Play'!$B$21*(1+'NM Play'!$B$35)</f>
        <v/>
      </c>
      <c r="U17" s="160">
        <f>MAX(0,T17-I17)</f>
        <v/>
      </c>
      <c r="V17" s="160">
        <f>G17+O17*'NM Play'!$B$13-N17*'NM Play'!$B$11</f>
        <v/>
      </c>
      <c r="W17" s="160">
        <f>H17+P17*'NM Play'!$B$14-N17*'NM Play'!$B$12</f>
        <v/>
      </c>
      <c r="X17" s="160">
        <f>I17+U17-T17</f>
        <v/>
      </c>
      <c r="Y17" s="160">
        <f>MIN(N17,MAX(0,ROUNDDOWN('Sites'!$L$6*'Cases'!$E$6,0)-SUM(Y6:Y16)))</f>
        <v/>
      </c>
      <c r="Z17" s="160">
        <f>N17-Y17</f>
        <v/>
      </c>
      <c r="AA17" s="160">
        <f>U17*'NM Play'!$B$22</f>
        <v/>
      </c>
      <c r="AB17" s="160">
        <f>N17*SUM('NM Play'!$B$29:$B$31)</f>
        <v/>
      </c>
      <c r="AC17" s="160">
        <f>IF('Sites'!$C$6="Defy legs",P17*'NM Play'!$B$14/'NM Play'!$B$12*'NM Play'!$B$28,0)</f>
        <v/>
      </c>
      <c r="AD17" s="160">
        <f>Q17*'NM Play'!$B$23</f>
        <v/>
      </c>
      <c r="AE17" s="160">
        <f>S17*SUM('NM Play'!$B$26,'NM Play'!$B$33:$B$34)</f>
        <v/>
      </c>
      <c r="AF17" s="160">
        <f>IF('Sites'!$D$6="NM crew",S17*SUM('NM Play'!$B$24:$B$25),0)</f>
        <v/>
      </c>
      <c r="AG17" s="160">
        <f>IF('Sites'!$D$6="NM crew",S17*'NM Play'!$B$27,0)</f>
        <v/>
      </c>
      <c r="AH17" s="160">
        <f>N17*'Sites'!$Z$6*'NM Play'!$B$32</f>
        <v/>
      </c>
      <c r="AI17" s="160">
        <f>SUM(Y17:Z17)*'Sites'!$R$6</f>
        <v/>
      </c>
      <c r="AJ17" s="160">
        <f>SUM(AA17:AH17)</f>
        <v/>
      </c>
      <c r="AK17" s="160">
        <f>AJ17+(T17-U17)*'NM Play'!$B$22+MIN(G17,N17*'NM Play'!$B$11)/'NM Play'!$B$13*'NM Play'!$B$21*'NM Play'!$B$22+MIN(H17,N17*'NM Play'!$B$12)/'NM Play'!$B$14*IF('Sites'!$C$6="Own sheets",'NM Play'!$B$21*'NM Play'!$B$22,'NM Play'!$B$28*'NM Play'!$B$14/'NM Play'!$B$12)</f>
        <v/>
      </c>
      <c r="AL17" s="160">
        <f>Y17*'Assumptions'!O66</f>
        <v/>
      </c>
      <c r="AM17" s="160">
        <f>IF('Sites'!$D$6="NM crew",S17*'NM Play'!$B$37*(1+IF(AND(ISNUMBER('NM Play'!$B$25),'NM Play'!$B$25&gt;0),1,0)),"")</f>
        <v/>
      </c>
      <c r="AN17" s="160">
        <f>IF(OR('Sites'!$E$6&lt;0,'Sites'!$E$6&gt;1,'Sites'!$F$6&lt;1,'Sites'!$G$6&lt;'Sites'!$F$6,F17&lt;0,MIN('Sites'!$I$6:'Sites'!$R$6)&lt;0,'Sites'!$L$6&gt;'Sites'!$I$6,'Sites'!$M$6&gt;'Sites'!$J$6,'Sites'!$N$6&gt;'Sites'!$K$6,'Sites'!$Z$6&lt;0,'Sites'!$Z$6&gt;1,MIN('Sites'!$AA$6:'Sites'!$AC$6)&lt;0,S17&gt;F17+0.001),1,0)</f>
        <v/>
      </c>
      <c r="AO17" s="160">
        <f>I17+U17-T17-X17</f>
        <v/>
      </c>
    </row>
    <row r="18" ht="28" customHeight="1">
      <c r="A18" s="4" t="inlineStr">
        <is>
          <t>Full</t>
        </is>
      </c>
      <c r="B18" s="4" t="inlineStr">
        <is>
          <t>WITTA</t>
        </is>
      </c>
      <c r="C18" s="160" t="n">
        <v>13</v>
      </c>
      <c r="D18" s="160">
        <f>ROUNDUP(C18/12,0)</f>
        <v/>
      </c>
      <c r="E18" s="160">
        <f>IF(AND('Sites'!$E$6=1,C18&gt;='Sites'!$F$6,C18&lt;='Sites'!$G$6),1,0)</f>
        <v/>
      </c>
      <c r="F18" s="160">
        <f>E18*'Assumptions'!P67</f>
        <v/>
      </c>
      <c r="G18" s="160">
        <f>V17</f>
        <v/>
      </c>
      <c r="H18" s="160">
        <f>W17</f>
        <v/>
      </c>
      <c r="I18" s="160">
        <f>X17</f>
        <v/>
      </c>
      <c r="J18" s="160">
        <f>MAX(0,'Sites'!$J$6-0)</f>
        <v/>
      </c>
      <c r="K18" s="160">
        <f>IF('Sites'!$C$6="Own sheets",MIN(ROUNDDOWN(G18/'NM Play'!$B$11,0)+F18*'NM Play'!$B$10/'NM Play'!$B$43,ROUNDDOWN(H18/'NM Play'!$B$12,0)+F18*'NM Play'!$B$10/'NM Play'!$B$44,(F18*'NM Play'!$B$10+ROUNDDOWN(G18/'NM Play'!$B$11,0)*'NM Play'!$B$43+ROUNDDOWN(H18/'NM Play'!$B$12,0)*'NM Play'!$B$44)/('NM Play'!$B$43+'NM Play'!$B$44)),ROUNDDOWN(G18/'NM Play'!$B$11,0)+F18*'NM Play'!$B$10/'NM Play'!$B$43)</f>
        <v/>
      </c>
      <c r="L18" s="160">
        <f>MIN(ROUNDDOWN(G18/'NM Play'!$B$11,0)+F18/('NM Play'!$B$43/'NM Play'!$B$15),ROUNDDOWN(H18/'NM Play'!$B$12,0)+F18/('NM Play'!$B$44/'NM Play'!$B$16),(F18+ROUNDDOWN(G18/'NM Play'!$B$11,0)*'NM Play'!$B$43/'NM Play'!$B$15+ROUNDDOWN(H18/'NM Play'!$B$12,0)*'NM Play'!$B$44/'NM Play'!$B$16)/('NM Play'!$B$43/'NM Play'!$B$15+'NM Play'!$B$44/'NM Play'!$B$16))</f>
        <v/>
      </c>
      <c r="M18" s="160">
        <f>F18*'NM Play'!$B$36</f>
        <v/>
      </c>
      <c r="N18" s="160">
        <f>ROUNDDOWN(MAX(0,MIN(J18,K18:M18)),0)</f>
        <v/>
      </c>
      <c r="O18" s="160">
        <f>ROUNDUP(MAX(0,N18*'NM Play'!$B$11-G18)/'NM Play'!$B$13,0)</f>
        <v/>
      </c>
      <c r="P18" s="160">
        <f>ROUNDUP(MAX(0,N18*'NM Play'!$B$12-H18)/'NM Play'!$B$14,0)</f>
        <v/>
      </c>
      <c r="Q18" s="160">
        <f>(O18+IF('Sites'!$C$6="Own sheets",P18,0))/'NM Play'!$B$10</f>
        <v/>
      </c>
      <c r="R18" s="160">
        <f>O18/'NM Play'!$B$15+P18/'NM Play'!$B$16</f>
        <v/>
      </c>
      <c r="S18" s="160">
        <f>MAX(Q18,R18,N18/'NM Play'!$B$36)</f>
        <v/>
      </c>
      <c r="T18" s="160">
        <f>Q18*'NM Play'!$B$10*'NM Play'!$B$21*(1+'NM Play'!$B$35)</f>
        <v/>
      </c>
      <c r="U18" s="160">
        <f>MAX(0,T18-I18)</f>
        <v/>
      </c>
      <c r="V18" s="160">
        <f>G18+O18*'NM Play'!$B$13-N18*'NM Play'!$B$11</f>
        <v/>
      </c>
      <c r="W18" s="160">
        <f>H18+P18*'NM Play'!$B$14-N18*'NM Play'!$B$12</f>
        <v/>
      </c>
      <c r="X18" s="160">
        <f>I18+U18-T18</f>
        <v/>
      </c>
      <c r="Y18" s="160">
        <f>MIN(N18,MAX(0,ROUNDDOWN('Sites'!$M$6*'Cases'!$E$6,0)-0))</f>
        <v/>
      </c>
      <c r="Z18" s="160">
        <f>N18-Y18</f>
        <v/>
      </c>
      <c r="AA18" s="160">
        <f>U18*'NM Play'!$B$22</f>
        <v/>
      </c>
      <c r="AB18" s="160">
        <f>N18*SUM('NM Play'!$B$29:$B$31)</f>
        <v/>
      </c>
      <c r="AC18" s="160">
        <f>IF('Sites'!$C$6="Defy legs",P18*'NM Play'!$B$14/'NM Play'!$B$12*'NM Play'!$B$28,0)</f>
        <v/>
      </c>
      <c r="AD18" s="160">
        <f>Q18*'NM Play'!$B$23</f>
        <v/>
      </c>
      <c r="AE18" s="160">
        <f>S18*SUM('NM Play'!$B$26,'NM Play'!$B$33:$B$34)</f>
        <v/>
      </c>
      <c r="AF18" s="160">
        <f>IF('Sites'!$D$6="NM crew",S18*SUM('NM Play'!$B$24:$B$25),0)</f>
        <v/>
      </c>
      <c r="AG18" s="160">
        <f>IF('Sites'!$D$6="NM crew",S18*'NM Play'!$B$27,0)</f>
        <v/>
      </c>
      <c r="AH18" s="160">
        <f>N18*'Sites'!$Z$6*'NM Play'!$B$32</f>
        <v/>
      </c>
      <c r="AI18" s="160">
        <f>SUM(Y18:Z18)*'Sites'!$R$6</f>
        <v/>
      </c>
      <c r="AJ18" s="160">
        <f>SUM(AA18:AH18)</f>
        <v/>
      </c>
      <c r="AK18" s="160">
        <f>AJ18+(T18-U18)*'NM Play'!$B$22+MIN(G18,N18*'NM Play'!$B$11)/'NM Play'!$B$13*'NM Play'!$B$21*'NM Play'!$B$22+MIN(H18,N18*'NM Play'!$B$12)/'NM Play'!$B$14*IF('Sites'!$C$6="Own sheets",'NM Play'!$B$21*'NM Play'!$B$22,'NM Play'!$B$28*'NM Play'!$B$14/'NM Play'!$B$12)</f>
        <v/>
      </c>
      <c r="AL18" s="160">
        <f>Y18*'Assumptions'!P66</f>
        <v/>
      </c>
      <c r="AM18" s="160">
        <f>IF('Sites'!$D$6="NM crew",S18*'NM Play'!$B$37*(1+IF(AND(ISNUMBER('NM Play'!$B$25),'NM Play'!$B$25&gt;0),1,0)),"")</f>
        <v/>
      </c>
      <c r="AN18" s="160">
        <f>IF(OR('Sites'!$E$6&lt;0,'Sites'!$E$6&gt;1,'Sites'!$F$6&lt;1,'Sites'!$G$6&lt;'Sites'!$F$6,F18&lt;0,MIN('Sites'!$I$6:'Sites'!$R$6)&lt;0,'Sites'!$L$6&gt;'Sites'!$I$6,'Sites'!$M$6&gt;'Sites'!$J$6,'Sites'!$N$6&gt;'Sites'!$K$6,'Sites'!$Z$6&lt;0,'Sites'!$Z$6&gt;1,MIN('Sites'!$AA$6:'Sites'!$AC$6)&lt;0,S18&gt;F18+0.001),1,0)</f>
        <v/>
      </c>
      <c r="AO18" s="160">
        <f>I18+U18-T18-X18</f>
        <v/>
      </c>
    </row>
    <row r="19" ht="28" customHeight="1">
      <c r="A19" s="4" t="inlineStr">
        <is>
          <t>Full</t>
        </is>
      </c>
      <c r="B19" s="4" t="inlineStr">
        <is>
          <t>WITTA</t>
        </is>
      </c>
      <c r="C19" s="160" t="n">
        <v>14</v>
      </c>
      <c r="D19" s="160">
        <f>ROUNDUP(C19/12,0)</f>
        <v/>
      </c>
      <c r="E19" s="160">
        <f>IF(AND('Sites'!$E$6=1,C19&gt;='Sites'!$F$6,C19&lt;='Sites'!$G$6),1,0)</f>
        <v/>
      </c>
      <c r="F19" s="160">
        <f>E19*'Assumptions'!Q67</f>
        <v/>
      </c>
      <c r="G19" s="160">
        <f>V18</f>
        <v/>
      </c>
      <c r="H19" s="160">
        <f>W18</f>
        <v/>
      </c>
      <c r="I19" s="160">
        <f>X18</f>
        <v/>
      </c>
      <c r="J19" s="160">
        <f>MAX(0,'Sites'!$J$6-SUM(N18:N18))</f>
        <v/>
      </c>
      <c r="K19" s="160">
        <f>IF('Sites'!$C$6="Own sheets",MIN(ROUNDDOWN(G19/'NM Play'!$B$11,0)+F19*'NM Play'!$B$10/'NM Play'!$B$43,ROUNDDOWN(H19/'NM Play'!$B$12,0)+F19*'NM Play'!$B$10/'NM Play'!$B$44,(F19*'NM Play'!$B$10+ROUNDDOWN(G19/'NM Play'!$B$11,0)*'NM Play'!$B$43+ROUNDDOWN(H19/'NM Play'!$B$12,0)*'NM Play'!$B$44)/('NM Play'!$B$43+'NM Play'!$B$44)),ROUNDDOWN(G19/'NM Play'!$B$11,0)+F19*'NM Play'!$B$10/'NM Play'!$B$43)</f>
        <v/>
      </c>
      <c r="L19" s="160">
        <f>MIN(ROUNDDOWN(G19/'NM Play'!$B$11,0)+F19/('NM Play'!$B$43/'NM Play'!$B$15),ROUNDDOWN(H19/'NM Play'!$B$12,0)+F19/('NM Play'!$B$44/'NM Play'!$B$16),(F19+ROUNDDOWN(G19/'NM Play'!$B$11,0)*'NM Play'!$B$43/'NM Play'!$B$15+ROUNDDOWN(H19/'NM Play'!$B$12,0)*'NM Play'!$B$44/'NM Play'!$B$16)/('NM Play'!$B$43/'NM Play'!$B$15+'NM Play'!$B$44/'NM Play'!$B$16))</f>
        <v/>
      </c>
      <c r="M19" s="160">
        <f>F19*'NM Play'!$B$36</f>
        <v/>
      </c>
      <c r="N19" s="160">
        <f>ROUNDDOWN(MAX(0,MIN(J19,K19:M19)),0)</f>
        <v/>
      </c>
      <c r="O19" s="160">
        <f>ROUNDUP(MAX(0,N19*'NM Play'!$B$11-G19)/'NM Play'!$B$13,0)</f>
        <v/>
      </c>
      <c r="P19" s="160">
        <f>ROUNDUP(MAX(0,N19*'NM Play'!$B$12-H19)/'NM Play'!$B$14,0)</f>
        <v/>
      </c>
      <c r="Q19" s="160">
        <f>(O19+IF('Sites'!$C$6="Own sheets",P19,0))/'NM Play'!$B$10</f>
        <v/>
      </c>
      <c r="R19" s="160">
        <f>O19/'NM Play'!$B$15+P19/'NM Play'!$B$16</f>
        <v/>
      </c>
      <c r="S19" s="160">
        <f>MAX(Q19,R19,N19/'NM Play'!$B$36)</f>
        <v/>
      </c>
      <c r="T19" s="160">
        <f>Q19*'NM Play'!$B$10*'NM Play'!$B$21*(1+'NM Play'!$B$35)</f>
        <v/>
      </c>
      <c r="U19" s="160">
        <f>MAX(0,T19-I19)</f>
        <v/>
      </c>
      <c r="V19" s="160">
        <f>G19+O19*'NM Play'!$B$13-N19*'NM Play'!$B$11</f>
        <v/>
      </c>
      <c r="W19" s="160">
        <f>H19+P19*'NM Play'!$B$14-N19*'NM Play'!$B$12</f>
        <v/>
      </c>
      <c r="X19" s="160">
        <f>I19+U19-T19</f>
        <v/>
      </c>
      <c r="Y19" s="160">
        <f>MIN(N19,MAX(0,ROUNDDOWN('Sites'!$M$6*'Cases'!$E$6,0)-SUM(Y18:Y18)))</f>
        <v/>
      </c>
      <c r="Z19" s="160">
        <f>N19-Y19</f>
        <v/>
      </c>
      <c r="AA19" s="160">
        <f>U19*'NM Play'!$B$22</f>
        <v/>
      </c>
      <c r="AB19" s="160">
        <f>N19*SUM('NM Play'!$B$29:$B$31)</f>
        <v/>
      </c>
      <c r="AC19" s="160">
        <f>IF('Sites'!$C$6="Defy legs",P19*'NM Play'!$B$14/'NM Play'!$B$12*'NM Play'!$B$28,0)</f>
        <v/>
      </c>
      <c r="AD19" s="160">
        <f>Q19*'NM Play'!$B$23</f>
        <v/>
      </c>
      <c r="AE19" s="160">
        <f>S19*SUM('NM Play'!$B$26,'NM Play'!$B$33:$B$34)</f>
        <v/>
      </c>
      <c r="AF19" s="160">
        <f>IF('Sites'!$D$6="NM crew",S19*SUM('NM Play'!$B$24:$B$25),0)</f>
        <v/>
      </c>
      <c r="AG19" s="160">
        <f>IF('Sites'!$D$6="NM crew",S19*'NM Play'!$B$27,0)</f>
        <v/>
      </c>
      <c r="AH19" s="160">
        <f>N19*'Sites'!$Z$6*'NM Play'!$B$32</f>
        <v/>
      </c>
      <c r="AI19" s="160">
        <f>SUM(Y19:Z19)*'Sites'!$R$6</f>
        <v/>
      </c>
      <c r="AJ19" s="160">
        <f>SUM(AA19:AH19)</f>
        <v/>
      </c>
      <c r="AK19" s="160">
        <f>AJ19+(T19-U19)*'NM Play'!$B$22+MIN(G19,N19*'NM Play'!$B$11)/'NM Play'!$B$13*'NM Play'!$B$21*'NM Play'!$B$22+MIN(H19,N19*'NM Play'!$B$12)/'NM Play'!$B$14*IF('Sites'!$C$6="Own sheets",'NM Play'!$B$21*'NM Play'!$B$22,'NM Play'!$B$28*'NM Play'!$B$14/'NM Play'!$B$12)</f>
        <v/>
      </c>
      <c r="AL19" s="160">
        <f>Y19*'Assumptions'!Q66</f>
        <v/>
      </c>
      <c r="AM19" s="160">
        <f>IF('Sites'!$D$6="NM crew",S19*'NM Play'!$B$37*(1+IF(AND(ISNUMBER('NM Play'!$B$25),'NM Play'!$B$25&gt;0),1,0)),"")</f>
        <v/>
      </c>
      <c r="AN19" s="160">
        <f>IF(OR('Sites'!$E$6&lt;0,'Sites'!$E$6&gt;1,'Sites'!$F$6&lt;1,'Sites'!$G$6&lt;'Sites'!$F$6,F19&lt;0,MIN('Sites'!$I$6:'Sites'!$R$6)&lt;0,'Sites'!$L$6&gt;'Sites'!$I$6,'Sites'!$M$6&gt;'Sites'!$J$6,'Sites'!$N$6&gt;'Sites'!$K$6,'Sites'!$Z$6&lt;0,'Sites'!$Z$6&gt;1,MIN('Sites'!$AA$6:'Sites'!$AC$6)&lt;0,S19&gt;F19+0.001),1,0)</f>
        <v/>
      </c>
      <c r="AO19" s="160">
        <f>I19+U19-T19-X19</f>
        <v/>
      </c>
    </row>
    <row r="20" ht="28" customHeight="1">
      <c r="A20" s="4" t="inlineStr">
        <is>
          <t>Full</t>
        </is>
      </c>
      <c r="B20" s="4" t="inlineStr">
        <is>
          <t>WITTA</t>
        </is>
      </c>
      <c r="C20" s="160" t="n">
        <v>15</v>
      </c>
      <c r="D20" s="160">
        <f>ROUNDUP(C20/12,0)</f>
        <v/>
      </c>
      <c r="E20" s="160">
        <f>IF(AND('Sites'!$E$6=1,C20&gt;='Sites'!$F$6,C20&lt;='Sites'!$G$6),1,0)</f>
        <v/>
      </c>
      <c r="F20" s="160">
        <f>E20*'Assumptions'!R67</f>
        <v/>
      </c>
      <c r="G20" s="160">
        <f>V19</f>
        <v/>
      </c>
      <c r="H20" s="160">
        <f>W19</f>
        <v/>
      </c>
      <c r="I20" s="160">
        <f>X19</f>
        <v/>
      </c>
      <c r="J20" s="160">
        <f>MAX(0,'Sites'!$J$6-SUM(N18:N19))</f>
        <v/>
      </c>
      <c r="K20" s="160">
        <f>IF('Sites'!$C$6="Own sheets",MIN(ROUNDDOWN(G20/'NM Play'!$B$11,0)+F20*'NM Play'!$B$10/'NM Play'!$B$43,ROUNDDOWN(H20/'NM Play'!$B$12,0)+F20*'NM Play'!$B$10/'NM Play'!$B$44,(F20*'NM Play'!$B$10+ROUNDDOWN(G20/'NM Play'!$B$11,0)*'NM Play'!$B$43+ROUNDDOWN(H20/'NM Play'!$B$12,0)*'NM Play'!$B$44)/('NM Play'!$B$43+'NM Play'!$B$44)),ROUNDDOWN(G20/'NM Play'!$B$11,0)+F20*'NM Play'!$B$10/'NM Play'!$B$43)</f>
        <v/>
      </c>
      <c r="L20" s="160">
        <f>MIN(ROUNDDOWN(G20/'NM Play'!$B$11,0)+F20/('NM Play'!$B$43/'NM Play'!$B$15),ROUNDDOWN(H20/'NM Play'!$B$12,0)+F20/('NM Play'!$B$44/'NM Play'!$B$16),(F20+ROUNDDOWN(G20/'NM Play'!$B$11,0)*'NM Play'!$B$43/'NM Play'!$B$15+ROUNDDOWN(H20/'NM Play'!$B$12,0)*'NM Play'!$B$44/'NM Play'!$B$16)/('NM Play'!$B$43/'NM Play'!$B$15+'NM Play'!$B$44/'NM Play'!$B$16))</f>
        <v/>
      </c>
      <c r="M20" s="160">
        <f>F20*'NM Play'!$B$36</f>
        <v/>
      </c>
      <c r="N20" s="160">
        <f>ROUNDDOWN(MAX(0,MIN(J20,K20:M20)),0)</f>
        <v/>
      </c>
      <c r="O20" s="160">
        <f>ROUNDUP(MAX(0,N20*'NM Play'!$B$11-G20)/'NM Play'!$B$13,0)</f>
        <v/>
      </c>
      <c r="P20" s="160">
        <f>ROUNDUP(MAX(0,N20*'NM Play'!$B$12-H20)/'NM Play'!$B$14,0)</f>
        <v/>
      </c>
      <c r="Q20" s="160">
        <f>(O20+IF('Sites'!$C$6="Own sheets",P20,0))/'NM Play'!$B$10</f>
        <v/>
      </c>
      <c r="R20" s="160">
        <f>O20/'NM Play'!$B$15+P20/'NM Play'!$B$16</f>
        <v/>
      </c>
      <c r="S20" s="160">
        <f>MAX(Q20,R20,N20/'NM Play'!$B$36)</f>
        <v/>
      </c>
      <c r="T20" s="160">
        <f>Q20*'NM Play'!$B$10*'NM Play'!$B$21*(1+'NM Play'!$B$35)</f>
        <v/>
      </c>
      <c r="U20" s="160">
        <f>MAX(0,T20-I20)</f>
        <v/>
      </c>
      <c r="V20" s="160">
        <f>G20+O20*'NM Play'!$B$13-N20*'NM Play'!$B$11</f>
        <v/>
      </c>
      <c r="W20" s="160">
        <f>H20+P20*'NM Play'!$B$14-N20*'NM Play'!$B$12</f>
        <v/>
      </c>
      <c r="X20" s="160">
        <f>I20+U20-T20</f>
        <v/>
      </c>
      <c r="Y20" s="160">
        <f>MIN(N20,MAX(0,ROUNDDOWN('Sites'!$M$6*'Cases'!$E$6,0)-SUM(Y18:Y19)))</f>
        <v/>
      </c>
      <c r="Z20" s="160">
        <f>N20-Y20</f>
        <v/>
      </c>
      <c r="AA20" s="160">
        <f>U20*'NM Play'!$B$22</f>
        <v/>
      </c>
      <c r="AB20" s="160">
        <f>N20*SUM('NM Play'!$B$29:$B$31)</f>
        <v/>
      </c>
      <c r="AC20" s="160">
        <f>IF('Sites'!$C$6="Defy legs",P20*'NM Play'!$B$14/'NM Play'!$B$12*'NM Play'!$B$28,0)</f>
        <v/>
      </c>
      <c r="AD20" s="160">
        <f>Q20*'NM Play'!$B$23</f>
        <v/>
      </c>
      <c r="AE20" s="160">
        <f>S20*SUM('NM Play'!$B$26,'NM Play'!$B$33:$B$34)</f>
        <v/>
      </c>
      <c r="AF20" s="160">
        <f>IF('Sites'!$D$6="NM crew",S20*SUM('NM Play'!$B$24:$B$25),0)</f>
        <v/>
      </c>
      <c r="AG20" s="160">
        <f>IF('Sites'!$D$6="NM crew",S20*'NM Play'!$B$27,0)</f>
        <v/>
      </c>
      <c r="AH20" s="160">
        <f>N20*'Sites'!$Z$6*'NM Play'!$B$32</f>
        <v/>
      </c>
      <c r="AI20" s="160">
        <f>SUM(Y20:Z20)*'Sites'!$R$6</f>
        <v/>
      </c>
      <c r="AJ20" s="160">
        <f>SUM(AA20:AH20)</f>
        <v/>
      </c>
      <c r="AK20" s="160">
        <f>AJ20+(T20-U20)*'NM Play'!$B$22+MIN(G20,N20*'NM Play'!$B$11)/'NM Play'!$B$13*'NM Play'!$B$21*'NM Play'!$B$22+MIN(H20,N20*'NM Play'!$B$12)/'NM Play'!$B$14*IF('Sites'!$C$6="Own sheets",'NM Play'!$B$21*'NM Play'!$B$22,'NM Play'!$B$28*'NM Play'!$B$14/'NM Play'!$B$12)</f>
        <v/>
      </c>
      <c r="AL20" s="160">
        <f>Y20*'Assumptions'!R66</f>
        <v/>
      </c>
      <c r="AM20" s="160">
        <f>IF('Sites'!$D$6="NM crew",S20*'NM Play'!$B$37*(1+IF(AND(ISNUMBER('NM Play'!$B$25),'NM Play'!$B$25&gt;0),1,0)),"")</f>
        <v/>
      </c>
      <c r="AN20" s="160">
        <f>IF(OR('Sites'!$E$6&lt;0,'Sites'!$E$6&gt;1,'Sites'!$F$6&lt;1,'Sites'!$G$6&lt;'Sites'!$F$6,F20&lt;0,MIN('Sites'!$I$6:'Sites'!$R$6)&lt;0,'Sites'!$L$6&gt;'Sites'!$I$6,'Sites'!$M$6&gt;'Sites'!$J$6,'Sites'!$N$6&gt;'Sites'!$K$6,'Sites'!$Z$6&lt;0,'Sites'!$Z$6&gt;1,MIN('Sites'!$AA$6:'Sites'!$AC$6)&lt;0,S20&gt;F20+0.001),1,0)</f>
        <v/>
      </c>
      <c r="AO20" s="160">
        <f>I20+U20-T20-X20</f>
        <v/>
      </c>
    </row>
    <row r="21" ht="28" customHeight="1">
      <c r="A21" s="4" t="inlineStr">
        <is>
          <t>Full</t>
        </is>
      </c>
      <c r="B21" s="4" t="inlineStr">
        <is>
          <t>WITTA</t>
        </is>
      </c>
      <c r="C21" s="160" t="n">
        <v>16</v>
      </c>
      <c r="D21" s="160">
        <f>ROUNDUP(C21/12,0)</f>
        <v/>
      </c>
      <c r="E21" s="160">
        <f>IF(AND('Sites'!$E$6=1,C21&gt;='Sites'!$F$6,C21&lt;='Sites'!$G$6),1,0)</f>
        <v/>
      </c>
      <c r="F21" s="160">
        <f>E21*'Assumptions'!S67</f>
        <v/>
      </c>
      <c r="G21" s="160">
        <f>V20</f>
        <v/>
      </c>
      <c r="H21" s="160">
        <f>W20</f>
        <v/>
      </c>
      <c r="I21" s="160">
        <f>X20</f>
        <v/>
      </c>
      <c r="J21" s="160">
        <f>MAX(0,'Sites'!$J$6-SUM(N18:N20))</f>
        <v/>
      </c>
      <c r="K21" s="160">
        <f>IF('Sites'!$C$6="Own sheets",MIN(ROUNDDOWN(G21/'NM Play'!$B$11,0)+F21*'NM Play'!$B$10/'NM Play'!$B$43,ROUNDDOWN(H21/'NM Play'!$B$12,0)+F21*'NM Play'!$B$10/'NM Play'!$B$44,(F21*'NM Play'!$B$10+ROUNDDOWN(G21/'NM Play'!$B$11,0)*'NM Play'!$B$43+ROUNDDOWN(H21/'NM Play'!$B$12,0)*'NM Play'!$B$44)/('NM Play'!$B$43+'NM Play'!$B$44)),ROUNDDOWN(G21/'NM Play'!$B$11,0)+F21*'NM Play'!$B$10/'NM Play'!$B$43)</f>
        <v/>
      </c>
      <c r="L21" s="160">
        <f>MIN(ROUNDDOWN(G21/'NM Play'!$B$11,0)+F21/('NM Play'!$B$43/'NM Play'!$B$15),ROUNDDOWN(H21/'NM Play'!$B$12,0)+F21/('NM Play'!$B$44/'NM Play'!$B$16),(F21+ROUNDDOWN(G21/'NM Play'!$B$11,0)*'NM Play'!$B$43/'NM Play'!$B$15+ROUNDDOWN(H21/'NM Play'!$B$12,0)*'NM Play'!$B$44/'NM Play'!$B$16)/('NM Play'!$B$43/'NM Play'!$B$15+'NM Play'!$B$44/'NM Play'!$B$16))</f>
        <v/>
      </c>
      <c r="M21" s="160">
        <f>F21*'NM Play'!$B$36</f>
        <v/>
      </c>
      <c r="N21" s="160">
        <f>ROUNDDOWN(MAX(0,MIN(J21,K21:M21)),0)</f>
        <v/>
      </c>
      <c r="O21" s="160">
        <f>ROUNDUP(MAX(0,N21*'NM Play'!$B$11-G21)/'NM Play'!$B$13,0)</f>
        <v/>
      </c>
      <c r="P21" s="160">
        <f>ROUNDUP(MAX(0,N21*'NM Play'!$B$12-H21)/'NM Play'!$B$14,0)</f>
        <v/>
      </c>
      <c r="Q21" s="160">
        <f>(O21+IF('Sites'!$C$6="Own sheets",P21,0))/'NM Play'!$B$10</f>
        <v/>
      </c>
      <c r="R21" s="160">
        <f>O21/'NM Play'!$B$15+P21/'NM Play'!$B$16</f>
        <v/>
      </c>
      <c r="S21" s="160">
        <f>MAX(Q21,R21,N21/'NM Play'!$B$36)</f>
        <v/>
      </c>
      <c r="T21" s="160">
        <f>Q21*'NM Play'!$B$10*'NM Play'!$B$21*(1+'NM Play'!$B$35)</f>
        <v/>
      </c>
      <c r="U21" s="160">
        <f>MAX(0,T21-I21)</f>
        <v/>
      </c>
      <c r="V21" s="160">
        <f>G21+O21*'NM Play'!$B$13-N21*'NM Play'!$B$11</f>
        <v/>
      </c>
      <c r="W21" s="160">
        <f>H21+P21*'NM Play'!$B$14-N21*'NM Play'!$B$12</f>
        <v/>
      </c>
      <c r="X21" s="160">
        <f>I21+U21-T21</f>
        <v/>
      </c>
      <c r="Y21" s="160">
        <f>MIN(N21,MAX(0,ROUNDDOWN('Sites'!$M$6*'Cases'!$E$6,0)-SUM(Y18:Y20)))</f>
        <v/>
      </c>
      <c r="Z21" s="160">
        <f>N21-Y21</f>
        <v/>
      </c>
      <c r="AA21" s="160">
        <f>U21*'NM Play'!$B$22</f>
        <v/>
      </c>
      <c r="AB21" s="160">
        <f>N21*SUM('NM Play'!$B$29:$B$31)</f>
        <v/>
      </c>
      <c r="AC21" s="160">
        <f>IF('Sites'!$C$6="Defy legs",P21*'NM Play'!$B$14/'NM Play'!$B$12*'NM Play'!$B$28,0)</f>
        <v/>
      </c>
      <c r="AD21" s="160">
        <f>Q21*'NM Play'!$B$23</f>
        <v/>
      </c>
      <c r="AE21" s="160">
        <f>S21*SUM('NM Play'!$B$26,'NM Play'!$B$33:$B$34)</f>
        <v/>
      </c>
      <c r="AF21" s="160">
        <f>IF('Sites'!$D$6="NM crew",S21*SUM('NM Play'!$B$24:$B$25),0)</f>
        <v/>
      </c>
      <c r="AG21" s="160">
        <f>IF('Sites'!$D$6="NM crew",S21*'NM Play'!$B$27,0)</f>
        <v/>
      </c>
      <c r="AH21" s="160">
        <f>N21*'Sites'!$Z$6*'NM Play'!$B$32</f>
        <v/>
      </c>
      <c r="AI21" s="160">
        <f>SUM(Y21:Z21)*'Sites'!$R$6</f>
        <v/>
      </c>
      <c r="AJ21" s="160">
        <f>SUM(AA21:AH21)</f>
        <v/>
      </c>
      <c r="AK21" s="160">
        <f>AJ21+(T21-U21)*'NM Play'!$B$22+MIN(G21,N21*'NM Play'!$B$11)/'NM Play'!$B$13*'NM Play'!$B$21*'NM Play'!$B$22+MIN(H21,N21*'NM Play'!$B$12)/'NM Play'!$B$14*IF('Sites'!$C$6="Own sheets",'NM Play'!$B$21*'NM Play'!$B$22,'NM Play'!$B$28*'NM Play'!$B$14/'NM Play'!$B$12)</f>
        <v/>
      </c>
      <c r="AL21" s="160">
        <f>Y21*'Assumptions'!S66</f>
        <v/>
      </c>
      <c r="AM21" s="160">
        <f>IF('Sites'!$D$6="NM crew",S21*'NM Play'!$B$37*(1+IF(AND(ISNUMBER('NM Play'!$B$25),'NM Play'!$B$25&gt;0),1,0)),"")</f>
        <v/>
      </c>
      <c r="AN21" s="160">
        <f>IF(OR('Sites'!$E$6&lt;0,'Sites'!$E$6&gt;1,'Sites'!$F$6&lt;1,'Sites'!$G$6&lt;'Sites'!$F$6,F21&lt;0,MIN('Sites'!$I$6:'Sites'!$R$6)&lt;0,'Sites'!$L$6&gt;'Sites'!$I$6,'Sites'!$M$6&gt;'Sites'!$J$6,'Sites'!$N$6&gt;'Sites'!$K$6,'Sites'!$Z$6&lt;0,'Sites'!$Z$6&gt;1,MIN('Sites'!$AA$6:'Sites'!$AC$6)&lt;0,S21&gt;F21+0.001),1,0)</f>
        <v/>
      </c>
      <c r="AO21" s="160">
        <f>I21+U21-T21-X21</f>
        <v/>
      </c>
    </row>
    <row r="22" ht="28" customHeight="1">
      <c r="A22" s="4" t="inlineStr">
        <is>
          <t>Full</t>
        </is>
      </c>
      <c r="B22" s="4" t="inlineStr">
        <is>
          <t>WITTA</t>
        </is>
      </c>
      <c r="C22" s="160" t="n">
        <v>17</v>
      </c>
      <c r="D22" s="160">
        <f>ROUNDUP(C22/12,0)</f>
        <v/>
      </c>
      <c r="E22" s="160">
        <f>IF(AND('Sites'!$E$6=1,C22&gt;='Sites'!$F$6,C22&lt;='Sites'!$G$6),1,0)</f>
        <v/>
      </c>
      <c r="F22" s="160">
        <f>E22*'Assumptions'!T67</f>
        <v/>
      </c>
      <c r="G22" s="160">
        <f>V21</f>
        <v/>
      </c>
      <c r="H22" s="160">
        <f>W21</f>
        <v/>
      </c>
      <c r="I22" s="160">
        <f>X21</f>
        <v/>
      </c>
      <c r="J22" s="160">
        <f>MAX(0,'Sites'!$J$6-SUM(N18:N21))</f>
        <v/>
      </c>
      <c r="K22" s="160">
        <f>IF('Sites'!$C$6="Own sheets",MIN(ROUNDDOWN(G22/'NM Play'!$B$11,0)+F22*'NM Play'!$B$10/'NM Play'!$B$43,ROUNDDOWN(H22/'NM Play'!$B$12,0)+F22*'NM Play'!$B$10/'NM Play'!$B$44,(F22*'NM Play'!$B$10+ROUNDDOWN(G22/'NM Play'!$B$11,0)*'NM Play'!$B$43+ROUNDDOWN(H22/'NM Play'!$B$12,0)*'NM Play'!$B$44)/('NM Play'!$B$43+'NM Play'!$B$44)),ROUNDDOWN(G22/'NM Play'!$B$11,0)+F22*'NM Play'!$B$10/'NM Play'!$B$43)</f>
        <v/>
      </c>
      <c r="L22" s="160">
        <f>MIN(ROUNDDOWN(G22/'NM Play'!$B$11,0)+F22/('NM Play'!$B$43/'NM Play'!$B$15),ROUNDDOWN(H22/'NM Play'!$B$12,0)+F22/('NM Play'!$B$44/'NM Play'!$B$16),(F22+ROUNDDOWN(G22/'NM Play'!$B$11,0)*'NM Play'!$B$43/'NM Play'!$B$15+ROUNDDOWN(H22/'NM Play'!$B$12,0)*'NM Play'!$B$44/'NM Play'!$B$16)/('NM Play'!$B$43/'NM Play'!$B$15+'NM Play'!$B$44/'NM Play'!$B$16))</f>
        <v/>
      </c>
      <c r="M22" s="160">
        <f>F22*'NM Play'!$B$36</f>
        <v/>
      </c>
      <c r="N22" s="160">
        <f>ROUNDDOWN(MAX(0,MIN(J22,K22:M22)),0)</f>
        <v/>
      </c>
      <c r="O22" s="160">
        <f>ROUNDUP(MAX(0,N22*'NM Play'!$B$11-G22)/'NM Play'!$B$13,0)</f>
        <v/>
      </c>
      <c r="P22" s="160">
        <f>ROUNDUP(MAX(0,N22*'NM Play'!$B$12-H22)/'NM Play'!$B$14,0)</f>
        <v/>
      </c>
      <c r="Q22" s="160">
        <f>(O22+IF('Sites'!$C$6="Own sheets",P22,0))/'NM Play'!$B$10</f>
        <v/>
      </c>
      <c r="R22" s="160">
        <f>O22/'NM Play'!$B$15+P22/'NM Play'!$B$16</f>
        <v/>
      </c>
      <c r="S22" s="160">
        <f>MAX(Q22,R22,N22/'NM Play'!$B$36)</f>
        <v/>
      </c>
      <c r="T22" s="160">
        <f>Q22*'NM Play'!$B$10*'NM Play'!$B$21*(1+'NM Play'!$B$35)</f>
        <v/>
      </c>
      <c r="U22" s="160">
        <f>MAX(0,T22-I22)</f>
        <v/>
      </c>
      <c r="V22" s="160">
        <f>G22+O22*'NM Play'!$B$13-N22*'NM Play'!$B$11</f>
        <v/>
      </c>
      <c r="W22" s="160">
        <f>H22+P22*'NM Play'!$B$14-N22*'NM Play'!$B$12</f>
        <v/>
      </c>
      <c r="X22" s="160">
        <f>I22+U22-T22</f>
        <v/>
      </c>
      <c r="Y22" s="160">
        <f>MIN(N22,MAX(0,ROUNDDOWN('Sites'!$M$6*'Cases'!$E$6,0)-SUM(Y18:Y21)))</f>
        <v/>
      </c>
      <c r="Z22" s="160">
        <f>N22-Y22</f>
        <v/>
      </c>
      <c r="AA22" s="160">
        <f>U22*'NM Play'!$B$22</f>
        <v/>
      </c>
      <c r="AB22" s="160">
        <f>N22*SUM('NM Play'!$B$29:$B$31)</f>
        <v/>
      </c>
      <c r="AC22" s="160">
        <f>IF('Sites'!$C$6="Defy legs",P22*'NM Play'!$B$14/'NM Play'!$B$12*'NM Play'!$B$28,0)</f>
        <v/>
      </c>
      <c r="AD22" s="160">
        <f>Q22*'NM Play'!$B$23</f>
        <v/>
      </c>
      <c r="AE22" s="160">
        <f>S22*SUM('NM Play'!$B$26,'NM Play'!$B$33:$B$34)</f>
        <v/>
      </c>
      <c r="AF22" s="160">
        <f>IF('Sites'!$D$6="NM crew",S22*SUM('NM Play'!$B$24:$B$25),0)</f>
        <v/>
      </c>
      <c r="AG22" s="160">
        <f>IF('Sites'!$D$6="NM crew",S22*'NM Play'!$B$27,0)</f>
        <v/>
      </c>
      <c r="AH22" s="160">
        <f>N22*'Sites'!$Z$6*'NM Play'!$B$32</f>
        <v/>
      </c>
      <c r="AI22" s="160">
        <f>SUM(Y22:Z22)*'Sites'!$R$6</f>
        <v/>
      </c>
      <c r="AJ22" s="160">
        <f>SUM(AA22:AH22)</f>
        <v/>
      </c>
      <c r="AK22" s="160">
        <f>AJ22+(T22-U22)*'NM Play'!$B$22+MIN(G22,N22*'NM Play'!$B$11)/'NM Play'!$B$13*'NM Play'!$B$21*'NM Play'!$B$22+MIN(H22,N22*'NM Play'!$B$12)/'NM Play'!$B$14*IF('Sites'!$C$6="Own sheets",'NM Play'!$B$21*'NM Play'!$B$22,'NM Play'!$B$28*'NM Play'!$B$14/'NM Play'!$B$12)</f>
        <v/>
      </c>
      <c r="AL22" s="160">
        <f>Y22*'Assumptions'!T66</f>
        <v/>
      </c>
      <c r="AM22" s="160">
        <f>IF('Sites'!$D$6="NM crew",S22*'NM Play'!$B$37*(1+IF(AND(ISNUMBER('NM Play'!$B$25),'NM Play'!$B$25&gt;0),1,0)),"")</f>
        <v/>
      </c>
      <c r="AN22" s="160">
        <f>IF(OR('Sites'!$E$6&lt;0,'Sites'!$E$6&gt;1,'Sites'!$F$6&lt;1,'Sites'!$G$6&lt;'Sites'!$F$6,F22&lt;0,MIN('Sites'!$I$6:'Sites'!$R$6)&lt;0,'Sites'!$L$6&gt;'Sites'!$I$6,'Sites'!$M$6&gt;'Sites'!$J$6,'Sites'!$N$6&gt;'Sites'!$K$6,'Sites'!$Z$6&lt;0,'Sites'!$Z$6&gt;1,MIN('Sites'!$AA$6:'Sites'!$AC$6)&lt;0,S22&gt;F22+0.001),1,0)</f>
        <v/>
      </c>
      <c r="AO22" s="160">
        <f>I22+U22-T22-X22</f>
        <v/>
      </c>
    </row>
    <row r="23" ht="28" customHeight="1">
      <c r="A23" s="4" t="inlineStr">
        <is>
          <t>Full</t>
        </is>
      </c>
      <c r="B23" s="4" t="inlineStr">
        <is>
          <t>WITTA</t>
        </is>
      </c>
      <c r="C23" s="160" t="n">
        <v>18</v>
      </c>
      <c r="D23" s="160">
        <f>ROUNDUP(C23/12,0)</f>
        <v/>
      </c>
      <c r="E23" s="160">
        <f>IF(AND('Sites'!$E$6=1,C23&gt;='Sites'!$F$6,C23&lt;='Sites'!$G$6),1,0)</f>
        <v/>
      </c>
      <c r="F23" s="160">
        <f>E23*'Assumptions'!U67</f>
        <v/>
      </c>
      <c r="G23" s="160">
        <f>V22</f>
        <v/>
      </c>
      <c r="H23" s="160">
        <f>W22</f>
        <v/>
      </c>
      <c r="I23" s="160">
        <f>X22</f>
        <v/>
      </c>
      <c r="J23" s="160">
        <f>MAX(0,'Sites'!$J$6-SUM(N18:N22))</f>
        <v/>
      </c>
      <c r="K23" s="160">
        <f>IF('Sites'!$C$6="Own sheets",MIN(ROUNDDOWN(G23/'NM Play'!$B$11,0)+F23*'NM Play'!$B$10/'NM Play'!$B$43,ROUNDDOWN(H23/'NM Play'!$B$12,0)+F23*'NM Play'!$B$10/'NM Play'!$B$44,(F23*'NM Play'!$B$10+ROUNDDOWN(G23/'NM Play'!$B$11,0)*'NM Play'!$B$43+ROUNDDOWN(H23/'NM Play'!$B$12,0)*'NM Play'!$B$44)/('NM Play'!$B$43+'NM Play'!$B$44)),ROUNDDOWN(G23/'NM Play'!$B$11,0)+F23*'NM Play'!$B$10/'NM Play'!$B$43)</f>
        <v/>
      </c>
      <c r="L23" s="160">
        <f>MIN(ROUNDDOWN(G23/'NM Play'!$B$11,0)+F23/('NM Play'!$B$43/'NM Play'!$B$15),ROUNDDOWN(H23/'NM Play'!$B$12,0)+F23/('NM Play'!$B$44/'NM Play'!$B$16),(F23+ROUNDDOWN(G23/'NM Play'!$B$11,0)*'NM Play'!$B$43/'NM Play'!$B$15+ROUNDDOWN(H23/'NM Play'!$B$12,0)*'NM Play'!$B$44/'NM Play'!$B$16)/('NM Play'!$B$43/'NM Play'!$B$15+'NM Play'!$B$44/'NM Play'!$B$16))</f>
        <v/>
      </c>
      <c r="M23" s="160">
        <f>F23*'NM Play'!$B$36</f>
        <v/>
      </c>
      <c r="N23" s="160">
        <f>ROUNDDOWN(MAX(0,MIN(J23,K23:M23)),0)</f>
        <v/>
      </c>
      <c r="O23" s="160">
        <f>ROUNDUP(MAX(0,N23*'NM Play'!$B$11-G23)/'NM Play'!$B$13,0)</f>
        <v/>
      </c>
      <c r="P23" s="160">
        <f>ROUNDUP(MAX(0,N23*'NM Play'!$B$12-H23)/'NM Play'!$B$14,0)</f>
        <v/>
      </c>
      <c r="Q23" s="160">
        <f>(O23+IF('Sites'!$C$6="Own sheets",P23,0))/'NM Play'!$B$10</f>
        <v/>
      </c>
      <c r="R23" s="160">
        <f>O23/'NM Play'!$B$15+P23/'NM Play'!$B$16</f>
        <v/>
      </c>
      <c r="S23" s="160">
        <f>MAX(Q23,R23,N23/'NM Play'!$B$36)</f>
        <v/>
      </c>
      <c r="T23" s="160">
        <f>Q23*'NM Play'!$B$10*'NM Play'!$B$21*(1+'NM Play'!$B$35)</f>
        <v/>
      </c>
      <c r="U23" s="160">
        <f>MAX(0,T23-I23)</f>
        <v/>
      </c>
      <c r="V23" s="160">
        <f>G23+O23*'NM Play'!$B$13-N23*'NM Play'!$B$11</f>
        <v/>
      </c>
      <c r="W23" s="160">
        <f>H23+P23*'NM Play'!$B$14-N23*'NM Play'!$B$12</f>
        <v/>
      </c>
      <c r="X23" s="160">
        <f>I23+U23-T23</f>
        <v/>
      </c>
      <c r="Y23" s="160">
        <f>MIN(N23,MAX(0,ROUNDDOWN('Sites'!$M$6*'Cases'!$E$6,0)-SUM(Y18:Y22)))</f>
        <v/>
      </c>
      <c r="Z23" s="160">
        <f>N23-Y23</f>
        <v/>
      </c>
      <c r="AA23" s="160">
        <f>U23*'NM Play'!$B$22</f>
        <v/>
      </c>
      <c r="AB23" s="160">
        <f>N23*SUM('NM Play'!$B$29:$B$31)</f>
        <v/>
      </c>
      <c r="AC23" s="160">
        <f>IF('Sites'!$C$6="Defy legs",P23*'NM Play'!$B$14/'NM Play'!$B$12*'NM Play'!$B$28,0)</f>
        <v/>
      </c>
      <c r="AD23" s="160">
        <f>Q23*'NM Play'!$B$23</f>
        <v/>
      </c>
      <c r="AE23" s="160">
        <f>S23*SUM('NM Play'!$B$26,'NM Play'!$B$33:$B$34)</f>
        <v/>
      </c>
      <c r="AF23" s="160">
        <f>IF('Sites'!$D$6="NM crew",S23*SUM('NM Play'!$B$24:$B$25),0)</f>
        <v/>
      </c>
      <c r="AG23" s="160">
        <f>IF('Sites'!$D$6="NM crew",S23*'NM Play'!$B$27,0)</f>
        <v/>
      </c>
      <c r="AH23" s="160">
        <f>N23*'Sites'!$Z$6*'NM Play'!$B$32</f>
        <v/>
      </c>
      <c r="AI23" s="160">
        <f>SUM(Y23:Z23)*'Sites'!$R$6</f>
        <v/>
      </c>
      <c r="AJ23" s="160">
        <f>SUM(AA23:AH23)</f>
        <v/>
      </c>
      <c r="AK23" s="160">
        <f>AJ23+(T23-U23)*'NM Play'!$B$22+MIN(G23,N23*'NM Play'!$B$11)/'NM Play'!$B$13*'NM Play'!$B$21*'NM Play'!$B$22+MIN(H23,N23*'NM Play'!$B$12)/'NM Play'!$B$14*IF('Sites'!$C$6="Own sheets",'NM Play'!$B$21*'NM Play'!$B$22,'NM Play'!$B$28*'NM Play'!$B$14/'NM Play'!$B$12)</f>
        <v/>
      </c>
      <c r="AL23" s="160">
        <f>Y23*'Assumptions'!U66</f>
        <v/>
      </c>
      <c r="AM23" s="160">
        <f>IF('Sites'!$D$6="NM crew",S23*'NM Play'!$B$37*(1+IF(AND(ISNUMBER('NM Play'!$B$25),'NM Play'!$B$25&gt;0),1,0)),"")</f>
        <v/>
      </c>
      <c r="AN23" s="160">
        <f>IF(OR('Sites'!$E$6&lt;0,'Sites'!$E$6&gt;1,'Sites'!$F$6&lt;1,'Sites'!$G$6&lt;'Sites'!$F$6,F23&lt;0,MIN('Sites'!$I$6:'Sites'!$R$6)&lt;0,'Sites'!$L$6&gt;'Sites'!$I$6,'Sites'!$M$6&gt;'Sites'!$J$6,'Sites'!$N$6&gt;'Sites'!$K$6,'Sites'!$Z$6&lt;0,'Sites'!$Z$6&gt;1,MIN('Sites'!$AA$6:'Sites'!$AC$6)&lt;0,S23&gt;F23+0.001),1,0)</f>
        <v/>
      </c>
      <c r="AO23" s="160">
        <f>I23+U23-T23-X23</f>
        <v/>
      </c>
    </row>
    <row r="24" ht="28" customHeight="1">
      <c r="A24" s="4" t="inlineStr">
        <is>
          <t>Full</t>
        </is>
      </c>
      <c r="B24" s="4" t="inlineStr">
        <is>
          <t>WITTA</t>
        </is>
      </c>
      <c r="C24" s="160" t="n">
        <v>19</v>
      </c>
      <c r="D24" s="160">
        <f>ROUNDUP(C24/12,0)</f>
        <v/>
      </c>
      <c r="E24" s="160">
        <f>IF(AND('Sites'!$E$6=1,C24&gt;='Sites'!$F$6,C24&lt;='Sites'!$G$6),1,0)</f>
        <v/>
      </c>
      <c r="F24" s="160">
        <f>E24*'Assumptions'!V67</f>
        <v/>
      </c>
      <c r="G24" s="160">
        <f>V23</f>
        <v/>
      </c>
      <c r="H24" s="160">
        <f>W23</f>
        <v/>
      </c>
      <c r="I24" s="160">
        <f>X23</f>
        <v/>
      </c>
      <c r="J24" s="160">
        <f>MAX(0,'Sites'!$J$6-SUM(N18:N23))</f>
        <v/>
      </c>
      <c r="K24" s="160">
        <f>IF('Sites'!$C$6="Own sheets",MIN(ROUNDDOWN(G24/'NM Play'!$B$11,0)+F24*'NM Play'!$B$10/'NM Play'!$B$43,ROUNDDOWN(H24/'NM Play'!$B$12,0)+F24*'NM Play'!$B$10/'NM Play'!$B$44,(F24*'NM Play'!$B$10+ROUNDDOWN(G24/'NM Play'!$B$11,0)*'NM Play'!$B$43+ROUNDDOWN(H24/'NM Play'!$B$12,0)*'NM Play'!$B$44)/('NM Play'!$B$43+'NM Play'!$B$44)),ROUNDDOWN(G24/'NM Play'!$B$11,0)+F24*'NM Play'!$B$10/'NM Play'!$B$43)</f>
        <v/>
      </c>
      <c r="L24" s="160">
        <f>MIN(ROUNDDOWN(G24/'NM Play'!$B$11,0)+F24/('NM Play'!$B$43/'NM Play'!$B$15),ROUNDDOWN(H24/'NM Play'!$B$12,0)+F24/('NM Play'!$B$44/'NM Play'!$B$16),(F24+ROUNDDOWN(G24/'NM Play'!$B$11,0)*'NM Play'!$B$43/'NM Play'!$B$15+ROUNDDOWN(H24/'NM Play'!$B$12,0)*'NM Play'!$B$44/'NM Play'!$B$16)/('NM Play'!$B$43/'NM Play'!$B$15+'NM Play'!$B$44/'NM Play'!$B$16))</f>
        <v/>
      </c>
      <c r="M24" s="160">
        <f>F24*'NM Play'!$B$36</f>
        <v/>
      </c>
      <c r="N24" s="160">
        <f>ROUNDDOWN(MAX(0,MIN(J24,K24:M24)),0)</f>
        <v/>
      </c>
      <c r="O24" s="160">
        <f>ROUNDUP(MAX(0,N24*'NM Play'!$B$11-G24)/'NM Play'!$B$13,0)</f>
        <v/>
      </c>
      <c r="P24" s="160">
        <f>ROUNDUP(MAX(0,N24*'NM Play'!$B$12-H24)/'NM Play'!$B$14,0)</f>
        <v/>
      </c>
      <c r="Q24" s="160">
        <f>(O24+IF('Sites'!$C$6="Own sheets",P24,0))/'NM Play'!$B$10</f>
        <v/>
      </c>
      <c r="R24" s="160">
        <f>O24/'NM Play'!$B$15+P24/'NM Play'!$B$16</f>
        <v/>
      </c>
      <c r="S24" s="160">
        <f>MAX(Q24,R24,N24/'NM Play'!$B$36)</f>
        <v/>
      </c>
      <c r="T24" s="160">
        <f>Q24*'NM Play'!$B$10*'NM Play'!$B$21*(1+'NM Play'!$B$35)</f>
        <v/>
      </c>
      <c r="U24" s="160">
        <f>MAX(0,T24-I24)</f>
        <v/>
      </c>
      <c r="V24" s="160">
        <f>G24+O24*'NM Play'!$B$13-N24*'NM Play'!$B$11</f>
        <v/>
      </c>
      <c r="W24" s="160">
        <f>H24+P24*'NM Play'!$B$14-N24*'NM Play'!$B$12</f>
        <v/>
      </c>
      <c r="X24" s="160">
        <f>I24+U24-T24</f>
        <v/>
      </c>
      <c r="Y24" s="160">
        <f>MIN(N24,MAX(0,ROUNDDOWN('Sites'!$M$6*'Cases'!$E$6,0)-SUM(Y18:Y23)))</f>
        <v/>
      </c>
      <c r="Z24" s="160">
        <f>N24-Y24</f>
        <v/>
      </c>
      <c r="AA24" s="160">
        <f>U24*'NM Play'!$B$22</f>
        <v/>
      </c>
      <c r="AB24" s="160">
        <f>N24*SUM('NM Play'!$B$29:$B$31)</f>
        <v/>
      </c>
      <c r="AC24" s="160">
        <f>IF('Sites'!$C$6="Defy legs",P24*'NM Play'!$B$14/'NM Play'!$B$12*'NM Play'!$B$28,0)</f>
        <v/>
      </c>
      <c r="AD24" s="160">
        <f>Q24*'NM Play'!$B$23</f>
        <v/>
      </c>
      <c r="AE24" s="160">
        <f>S24*SUM('NM Play'!$B$26,'NM Play'!$B$33:$B$34)</f>
        <v/>
      </c>
      <c r="AF24" s="160">
        <f>IF('Sites'!$D$6="NM crew",S24*SUM('NM Play'!$B$24:$B$25),0)</f>
        <v/>
      </c>
      <c r="AG24" s="160">
        <f>IF('Sites'!$D$6="NM crew",S24*'NM Play'!$B$27,0)</f>
        <v/>
      </c>
      <c r="AH24" s="160">
        <f>N24*'Sites'!$Z$6*'NM Play'!$B$32</f>
        <v/>
      </c>
      <c r="AI24" s="160">
        <f>SUM(Y24:Z24)*'Sites'!$R$6</f>
        <v/>
      </c>
      <c r="AJ24" s="160">
        <f>SUM(AA24:AH24)</f>
        <v/>
      </c>
      <c r="AK24" s="160">
        <f>AJ24+(T24-U24)*'NM Play'!$B$22+MIN(G24,N24*'NM Play'!$B$11)/'NM Play'!$B$13*'NM Play'!$B$21*'NM Play'!$B$22+MIN(H24,N24*'NM Play'!$B$12)/'NM Play'!$B$14*IF('Sites'!$C$6="Own sheets",'NM Play'!$B$21*'NM Play'!$B$22,'NM Play'!$B$28*'NM Play'!$B$14/'NM Play'!$B$12)</f>
        <v/>
      </c>
      <c r="AL24" s="160">
        <f>Y24*'Assumptions'!V66</f>
        <v/>
      </c>
      <c r="AM24" s="160">
        <f>IF('Sites'!$D$6="NM crew",S24*'NM Play'!$B$37*(1+IF(AND(ISNUMBER('NM Play'!$B$25),'NM Play'!$B$25&gt;0),1,0)),"")</f>
        <v/>
      </c>
      <c r="AN24" s="160">
        <f>IF(OR('Sites'!$E$6&lt;0,'Sites'!$E$6&gt;1,'Sites'!$F$6&lt;1,'Sites'!$G$6&lt;'Sites'!$F$6,F24&lt;0,MIN('Sites'!$I$6:'Sites'!$R$6)&lt;0,'Sites'!$L$6&gt;'Sites'!$I$6,'Sites'!$M$6&gt;'Sites'!$J$6,'Sites'!$N$6&gt;'Sites'!$K$6,'Sites'!$Z$6&lt;0,'Sites'!$Z$6&gt;1,MIN('Sites'!$AA$6:'Sites'!$AC$6)&lt;0,S24&gt;F24+0.001),1,0)</f>
        <v/>
      </c>
      <c r="AO24" s="160">
        <f>I24+U24-T24-X24</f>
        <v/>
      </c>
    </row>
    <row r="25" ht="28" customHeight="1">
      <c r="A25" s="4" t="inlineStr">
        <is>
          <t>Full</t>
        </is>
      </c>
      <c r="B25" s="4" t="inlineStr">
        <is>
          <t>WITTA</t>
        </is>
      </c>
      <c r="C25" s="160" t="n">
        <v>20</v>
      </c>
      <c r="D25" s="160">
        <f>ROUNDUP(C25/12,0)</f>
        <v/>
      </c>
      <c r="E25" s="160">
        <f>IF(AND('Sites'!$E$6=1,C25&gt;='Sites'!$F$6,C25&lt;='Sites'!$G$6),1,0)</f>
        <v/>
      </c>
      <c r="F25" s="160">
        <f>E25*'Assumptions'!W67</f>
        <v/>
      </c>
      <c r="G25" s="160">
        <f>V24</f>
        <v/>
      </c>
      <c r="H25" s="160">
        <f>W24</f>
        <v/>
      </c>
      <c r="I25" s="160">
        <f>X24</f>
        <v/>
      </c>
      <c r="J25" s="160">
        <f>MAX(0,'Sites'!$J$6-SUM(N18:N24))</f>
        <v/>
      </c>
      <c r="K25" s="160">
        <f>IF('Sites'!$C$6="Own sheets",MIN(ROUNDDOWN(G25/'NM Play'!$B$11,0)+F25*'NM Play'!$B$10/'NM Play'!$B$43,ROUNDDOWN(H25/'NM Play'!$B$12,0)+F25*'NM Play'!$B$10/'NM Play'!$B$44,(F25*'NM Play'!$B$10+ROUNDDOWN(G25/'NM Play'!$B$11,0)*'NM Play'!$B$43+ROUNDDOWN(H25/'NM Play'!$B$12,0)*'NM Play'!$B$44)/('NM Play'!$B$43+'NM Play'!$B$44)),ROUNDDOWN(G25/'NM Play'!$B$11,0)+F25*'NM Play'!$B$10/'NM Play'!$B$43)</f>
        <v/>
      </c>
      <c r="L25" s="160">
        <f>MIN(ROUNDDOWN(G25/'NM Play'!$B$11,0)+F25/('NM Play'!$B$43/'NM Play'!$B$15),ROUNDDOWN(H25/'NM Play'!$B$12,0)+F25/('NM Play'!$B$44/'NM Play'!$B$16),(F25+ROUNDDOWN(G25/'NM Play'!$B$11,0)*'NM Play'!$B$43/'NM Play'!$B$15+ROUNDDOWN(H25/'NM Play'!$B$12,0)*'NM Play'!$B$44/'NM Play'!$B$16)/('NM Play'!$B$43/'NM Play'!$B$15+'NM Play'!$B$44/'NM Play'!$B$16))</f>
        <v/>
      </c>
      <c r="M25" s="160">
        <f>F25*'NM Play'!$B$36</f>
        <v/>
      </c>
      <c r="N25" s="160">
        <f>ROUNDDOWN(MAX(0,MIN(J25,K25:M25)),0)</f>
        <v/>
      </c>
      <c r="O25" s="160">
        <f>ROUNDUP(MAX(0,N25*'NM Play'!$B$11-G25)/'NM Play'!$B$13,0)</f>
        <v/>
      </c>
      <c r="P25" s="160">
        <f>ROUNDUP(MAX(0,N25*'NM Play'!$B$12-H25)/'NM Play'!$B$14,0)</f>
        <v/>
      </c>
      <c r="Q25" s="160">
        <f>(O25+IF('Sites'!$C$6="Own sheets",P25,0))/'NM Play'!$B$10</f>
        <v/>
      </c>
      <c r="R25" s="160">
        <f>O25/'NM Play'!$B$15+P25/'NM Play'!$B$16</f>
        <v/>
      </c>
      <c r="S25" s="160">
        <f>MAX(Q25,R25,N25/'NM Play'!$B$36)</f>
        <v/>
      </c>
      <c r="T25" s="160">
        <f>Q25*'NM Play'!$B$10*'NM Play'!$B$21*(1+'NM Play'!$B$35)</f>
        <v/>
      </c>
      <c r="U25" s="160">
        <f>MAX(0,T25-I25)</f>
        <v/>
      </c>
      <c r="V25" s="160">
        <f>G25+O25*'NM Play'!$B$13-N25*'NM Play'!$B$11</f>
        <v/>
      </c>
      <c r="W25" s="160">
        <f>H25+P25*'NM Play'!$B$14-N25*'NM Play'!$B$12</f>
        <v/>
      </c>
      <c r="X25" s="160">
        <f>I25+U25-T25</f>
        <v/>
      </c>
      <c r="Y25" s="160">
        <f>MIN(N25,MAX(0,ROUNDDOWN('Sites'!$M$6*'Cases'!$E$6,0)-SUM(Y18:Y24)))</f>
        <v/>
      </c>
      <c r="Z25" s="160">
        <f>N25-Y25</f>
        <v/>
      </c>
      <c r="AA25" s="160">
        <f>U25*'NM Play'!$B$22</f>
        <v/>
      </c>
      <c r="AB25" s="160">
        <f>N25*SUM('NM Play'!$B$29:$B$31)</f>
        <v/>
      </c>
      <c r="AC25" s="160">
        <f>IF('Sites'!$C$6="Defy legs",P25*'NM Play'!$B$14/'NM Play'!$B$12*'NM Play'!$B$28,0)</f>
        <v/>
      </c>
      <c r="AD25" s="160">
        <f>Q25*'NM Play'!$B$23</f>
        <v/>
      </c>
      <c r="AE25" s="160">
        <f>S25*SUM('NM Play'!$B$26,'NM Play'!$B$33:$B$34)</f>
        <v/>
      </c>
      <c r="AF25" s="160">
        <f>IF('Sites'!$D$6="NM crew",S25*SUM('NM Play'!$B$24:$B$25),0)</f>
        <v/>
      </c>
      <c r="AG25" s="160">
        <f>IF('Sites'!$D$6="NM crew",S25*'NM Play'!$B$27,0)</f>
        <v/>
      </c>
      <c r="AH25" s="160">
        <f>N25*'Sites'!$Z$6*'NM Play'!$B$32</f>
        <v/>
      </c>
      <c r="AI25" s="160">
        <f>SUM(Y25:Z25)*'Sites'!$R$6</f>
        <v/>
      </c>
      <c r="AJ25" s="160">
        <f>SUM(AA25:AH25)</f>
        <v/>
      </c>
      <c r="AK25" s="160">
        <f>AJ25+(T25-U25)*'NM Play'!$B$22+MIN(G25,N25*'NM Play'!$B$11)/'NM Play'!$B$13*'NM Play'!$B$21*'NM Play'!$B$22+MIN(H25,N25*'NM Play'!$B$12)/'NM Play'!$B$14*IF('Sites'!$C$6="Own sheets",'NM Play'!$B$21*'NM Play'!$B$22,'NM Play'!$B$28*'NM Play'!$B$14/'NM Play'!$B$12)</f>
        <v/>
      </c>
      <c r="AL25" s="160">
        <f>Y25*'Assumptions'!W66</f>
        <v/>
      </c>
      <c r="AM25" s="160">
        <f>IF('Sites'!$D$6="NM crew",S25*'NM Play'!$B$37*(1+IF(AND(ISNUMBER('NM Play'!$B$25),'NM Play'!$B$25&gt;0),1,0)),"")</f>
        <v/>
      </c>
      <c r="AN25" s="160">
        <f>IF(OR('Sites'!$E$6&lt;0,'Sites'!$E$6&gt;1,'Sites'!$F$6&lt;1,'Sites'!$G$6&lt;'Sites'!$F$6,F25&lt;0,MIN('Sites'!$I$6:'Sites'!$R$6)&lt;0,'Sites'!$L$6&gt;'Sites'!$I$6,'Sites'!$M$6&gt;'Sites'!$J$6,'Sites'!$N$6&gt;'Sites'!$K$6,'Sites'!$Z$6&lt;0,'Sites'!$Z$6&gt;1,MIN('Sites'!$AA$6:'Sites'!$AC$6)&lt;0,S25&gt;F25+0.001),1,0)</f>
        <v/>
      </c>
      <c r="AO25" s="160">
        <f>I25+U25-T25-X25</f>
        <v/>
      </c>
    </row>
    <row r="26" ht="28" customHeight="1">
      <c r="A26" s="4" t="inlineStr">
        <is>
          <t>Full</t>
        </is>
      </c>
      <c r="B26" s="4" t="inlineStr">
        <is>
          <t>WITTA</t>
        </is>
      </c>
      <c r="C26" s="160" t="n">
        <v>21</v>
      </c>
      <c r="D26" s="160">
        <f>ROUNDUP(C26/12,0)</f>
        <v/>
      </c>
      <c r="E26" s="160">
        <f>IF(AND('Sites'!$E$6=1,C26&gt;='Sites'!$F$6,C26&lt;='Sites'!$G$6),1,0)</f>
        <v/>
      </c>
      <c r="F26" s="160">
        <f>E26*'Assumptions'!X67</f>
        <v/>
      </c>
      <c r="G26" s="160">
        <f>V25</f>
        <v/>
      </c>
      <c r="H26" s="160">
        <f>W25</f>
        <v/>
      </c>
      <c r="I26" s="160">
        <f>X25</f>
        <v/>
      </c>
      <c r="J26" s="160">
        <f>MAX(0,'Sites'!$J$6-SUM(N18:N25))</f>
        <v/>
      </c>
      <c r="K26" s="160">
        <f>IF('Sites'!$C$6="Own sheets",MIN(ROUNDDOWN(G26/'NM Play'!$B$11,0)+F26*'NM Play'!$B$10/'NM Play'!$B$43,ROUNDDOWN(H26/'NM Play'!$B$12,0)+F26*'NM Play'!$B$10/'NM Play'!$B$44,(F26*'NM Play'!$B$10+ROUNDDOWN(G26/'NM Play'!$B$11,0)*'NM Play'!$B$43+ROUNDDOWN(H26/'NM Play'!$B$12,0)*'NM Play'!$B$44)/('NM Play'!$B$43+'NM Play'!$B$44)),ROUNDDOWN(G26/'NM Play'!$B$11,0)+F26*'NM Play'!$B$10/'NM Play'!$B$43)</f>
        <v/>
      </c>
      <c r="L26" s="160">
        <f>MIN(ROUNDDOWN(G26/'NM Play'!$B$11,0)+F26/('NM Play'!$B$43/'NM Play'!$B$15),ROUNDDOWN(H26/'NM Play'!$B$12,0)+F26/('NM Play'!$B$44/'NM Play'!$B$16),(F26+ROUNDDOWN(G26/'NM Play'!$B$11,0)*'NM Play'!$B$43/'NM Play'!$B$15+ROUNDDOWN(H26/'NM Play'!$B$12,0)*'NM Play'!$B$44/'NM Play'!$B$16)/('NM Play'!$B$43/'NM Play'!$B$15+'NM Play'!$B$44/'NM Play'!$B$16))</f>
        <v/>
      </c>
      <c r="M26" s="160">
        <f>F26*'NM Play'!$B$36</f>
        <v/>
      </c>
      <c r="N26" s="160">
        <f>ROUNDDOWN(MAX(0,MIN(J26,K26:M26)),0)</f>
        <v/>
      </c>
      <c r="O26" s="160">
        <f>ROUNDUP(MAX(0,N26*'NM Play'!$B$11-G26)/'NM Play'!$B$13,0)</f>
        <v/>
      </c>
      <c r="P26" s="160">
        <f>ROUNDUP(MAX(0,N26*'NM Play'!$B$12-H26)/'NM Play'!$B$14,0)</f>
        <v/>
      </c>
      <c r="Q26" s="160">
        <f>(O26+IF('Sites'!$C$6="Own sheets",P26,0))/'NM Play'!$B$10</f>
        <v/>
      </c>
      <c r="R26" s="160">
        <f>O26/'NM Play'!$B$15+P26/'NM Play'!$B$16</f>
        <v/>
      </c>
      <c r="S26" s="160">
        <f>MAX(Q26,R26,N26/'NM Play'!$B$36)</f>
        <v/>
      </c>
      <c r="T26" s="160">
        <f>Q26*'NM Play'!$B$10*'NM Play'!$B$21*(1+'NM Play'!$B$35)</f>
        <v/>
      </c>
      <c r="U26" s="160">
        <f>MAX(0,T26-I26)</f>
        <v/>
      </c>
      <c r="V26" s="160">
        <f>G26+O26*'NM Play'!$B$13-N26*'NM Play'!$B$11</f>
        <v/>
      </c>
      <c r="W26" s="160">
        <f>H26+P26*'NM Play'!$B$14-N26*'NM Play'!$B$12</f>
        <v/>
      </c>
      <c r="X26" s="160">
        <f>I26+U26-T26</f>
        <v/>
      </c>
      <c r="Y26" s="160">
        <f>MIN(N26,MAX(0,ROUNDDOWN('Sites'!$M$6*'Cases'!$E$6,0)-SUM(Y18:Y25)))</f>
        <v/>
      </c>
      <c r="Z26" s="160">
        <f>N26-Y26</f>
        <v/>
      </c>
      <c r="AA26" s="160">
        <f>U26*'NM Play'!$B$22</f>
        <v/>
      </c>
      <c r="AB26" s="160">
        <f>N26*SUM('NM Play'!$B$29:$B$31)</f>
        <v/>
      </c>
      <c r="AC26" s="160">
        <f>IF('Sites'!$C$6="Defy legs",P26*'NM Play'!$B$14/'NM Play'!$B$12*'NM Play'!$B$28,0)</f>
        <v/>
      </c>
      <c r="AD26" s="160">
        <f>Q26*'NM Play'!$B$23</f>
        <v/>
      </c>
      <c r="AE26" s="160">
        <f>S26*SUM('NM Play'!$B$26,'NM Play'!$B$33:$B$34)</f>
        <v/>
      </c>
      <c r="AF26" s="160">
        <f>IF('Sites'!$D$6="NM crew",S26*SUM('NM Play'!$B$24:$B$25),0)</f>
        <v/>
      </c>
      <c r="AG26" s="160">
        <f>IF('Sites'!$D$6="NM crew",S26*'NM Play'!$B$27,0)</f>
        <v/>
      </c>
      <c r="AH26" s="160">
        <f>N26*'Sites'!$Z$6*'NM Play'!$B$32</f>
        <v/>
      </c>
      <c r="AI26" s="160">
        <f>SUM(Y26:Z26)*'Sites'!$R$6</f>
        <v/>
      </c>
      <c r="AJ26" s="160">
        <f>SUM(AA26:AH26)</f>
        <v/>
      </c>
      <c r="AK26" s="160">
        <f>AJ26+(T26-U26)*'NM Play'!$B$22+MIN(G26,N26*'NM Play'!$B$11)/'NM Play'!$B$13*'NM Play'!$B$21*'NM Play'!$B$22+MIN(H26,N26*'NM Play'!$B$12)/'NM Play'!$B$14*IF('Sites'!$C$6="Own sheets",'NM Play'!$B$21*'NM Play'!$B$22,'NM Play'!$B$28*'NM Play'!$B$14/'NM Play'!$B$12)</f>
        <v/>
      </c>
      <c r="AL26" s="160">
        <f>Y26*'Assumptions'!X66</f>
        <v/>
      </c>
      <c r="AM26" s="160">
        <f>IF('Sites'!$D$6="NM crew",S26*'NM Play'!$B$37*(1+IF(AND(ISNUMBER('NM Play'!$B$25),'NM Play'!$B$25&gt;0),1,0)),"")</f>
        <v/>
      </c>
      <c r="AN26" s="160">
        <f>IF(OR('Sites'!$E$6&lt;0,'Sites'!$E$6&gt;1,'Sites'!$F$6&lt;1,'Sites'!$G$6&lt;'Sites'!$F$6,F26&lt;0,MIN('Sites'!$I$6:'Sites'!$R$6)&lt;0,'Sites'!$L$6&gt;'Sites'!$I$6,'Sites'!$M$6&gt;'Sites'!$J$6,'Sites'!$N$6&gt;'Sites'!$K$6,'Sites'!$Z$6&lt;0,'Sites'!$Z$6&gt;1,MIN('Sites'!$AA$6:'Sites'!$AC$6)&lt;0,S26&gt;F26+0.001),1,0)</f>
        <v/>
      </c>
      <c r="AO26" s="160">
        <f>I26+U26-T26-X26</f>
        <v/>
      </c>
    </row>
    <row r="27" ht="28" customHeight="1">
      <c r="A27" s="4" t="inlineStr">
        <is>
          <t>Full</t>
        </is>
      </c>
      <c r="B27" s="4" t="inlineStr">
        <is>
          <t>WITTA</t>
        </is>
      </c>
      <c r="C27" s="160" t="n">
        <v>22</v>
      </c>
      <c r="D27" s="160">
        <f>ROUNDUP(C27/12,0)</f>
        <v/>
      </c>
      <c r="E27" s="160">
        <f>IF(AND('Sites'!$E$6=1,C27&gt;='Sites'!$F$6,C27&lt;='Sites'!$G$6),1,0)</f>
        <v/>
      </c>
      <c r="F27" s="160">
        <f>E27*'Assumptions'!Y67</f>
        <v/>
      </c>
      <c r="G27" s="160">
        <f>V26</f>
        <v/>
      </c>
      <c r="H27" s="160">
        <f>W26</f>
        <v/>
      </c>
      <c r="I27" s="160">
        <f>X26</f>
        <v/>
      </c>
      <c r="J27" s="160">
        <f>MAX(0,'Sites'!$J$6-SUM(N18:N26))</f>
        <v/>
      </c>
      <c r="K27" s="160">
        <f>IF('Sites'!$C$6="Own sheets",MIN(ROUNDDOWN(G27/'NM Play'!$B$11,0)+F27*'NM Play'!$B$10/'NM Play'!$B$43,ROUNDDOWN(H27/'NM Play'!$B$12,0)+F27*'NM Play'!$B$10/'NM Play'!$B$44,(F27*'NM Play'!$B$10+ROUNDDOWN(G27/'NM Play'!$B$11,0)*'NM Play'!$B$43+ROUNDDOWN(H27/'NM Play'!$B$12,0)*'NM Play'!$B$44)/('NM Play'!$B$43+'NM Play'!$B$44)),ROUNDDOWN(G27/'NM Play'!$B$11,0)+F27*'NM Play'!$B$10/'NM Play'!$B$43)</f>
        <v/>
      </c>
      <c r="L27" s="160">
        <f>MIN(ROUNDDOWN(G27/'NM Play'!$B$11,0)+F27/('NM Play'!$B$43/'NM Play'!$B$15),ROUNDDOWN(H27/'NM Play'!$B$12,0)+F27/('NM Play'!$B$44/'NM Play'!$B$16),(F27+ROUNDDOWN(G27/'NM Play'!$B$11,0)*'NM Play'!$B$43/'NM Play'!$B$15+ROUNDDOWN(H27/'NM Play'!$B$12,0)*'NM Play'!$B$44/'NM Play'!$B$16)/('NM Play'!$B$43/'NM Play'!$B$15+'NM Play'!$B$44/'NM Play'!$B$16))</f>
        <v/>
      </c>
      <c r="M27" s="160">
        <f>F27*'NM Play'!$B$36</f>
        <v/>
      </c>
      <c r="N27" s="160">
        <f>ROUNDDOWN(MAX(0,MIN(J27,K27:M27)),0)</f>
        <v/>
      </c>
      <c r="O27" s="160">
        <f>ROUNDUP(MAX(0,N27*'NM Play'!$B$11-G27)/'NM Play'!$B$13,0)</f>
        <v/>
      </c>
      <c r="P27" s="160">
        <f>ROUNDUP(MAX(0,N27*'NM Play'!$B$12-H27)/'NM Play'!$B$14,0)</f>
        <v/>
      </c>
      <c r="Q27" s="160">
        <f>(O27+IF('Sites'!$C$6="Own sheets",P27,0))/'NM Play'!$B$10</f>
        <v/>
      </c>
      <c r="R27" s="160">
        <f>O27/'NM Play'!$B$15+P27/'NM Play'!$B$16</f>
        <v/>
      </c>
      <c r="S27" s="160">
        <f>MAX(Q27,R27,N27/'NM Play'!$B$36)</f>
        <v/>
      </c>
      <c r="T27" s="160">
        <f>Q27*'NM Play'!$B$10*'NM Play'!$B$21*(1+'NM Play'!$B$35)</f>
        <v/>
      </c>
      <c r="U27" s="160">
        <f>MAX(0,T27-I27)</f>
        <v/>
      </c>
      <c r="V27" s="160">
        <f>G27+O27*'NM Play'!$B$13-N27*'NM Play'!$B$11</f>
        <v/>
      </c>
      <c r="W27" s="160">
        <f>H27+P27*'NM Play'!$B$14-N27*'NM Play'!$B$12</f>
        <v/>
      </c>
      <c r="X27" s="160">
        <f>I27+U27-T27</f>
        <v/>
      </c>
      <c r="Y27" s="160">
        <f>MIN(N27,MAX(0,ROUNDDOWN('Sites'!$M$6*'Cases'!$E$6,0)-SUM(Y18:Y26)))</f>
        <v/>
      </c>
      <c r="Z27" s="160">
        <f>N27-Y27</f>
        <v/>
      </c>
      <c r="AA27" s="160">
        <f>U27*'NM Play'!$B$22</f>
        <v/>
      </c>
      <c r="AB27" s="160">
        <f>N27*SUM('NM Play'!$B$29:$B$31)</f>
        <v/>
      </c>
      <c r="AC27" s="160">
        <f>IF('Sites'!$C$6="Defy legs",P27*'NM Play'!$B$14/'NM Play'!$B$12*'NM Play'!$B$28,0)</f>
        <v/>
      </c>
      <c r="AD27" s="160">
        <f>Q27*'NM Play'!$B$23</f>
        <v/>
      </c>
      <c r="AE27" s="160">
        <f>S27*SUM('NM Play'!$B$26,'NM Play'!$B$33:$B$34)</f>
        <v/>
      </c>
      <c r="AF27" s="160">
        <f>IF('Sites'!$D$6="NM crew",S27*SUM('NM Play'!$B$24:$B$25),0)</f>
        <v/>
      </c>
      <c r="AG27" s="160">
        <f>IF('Sites'!$D$6="NM crew",S27*'NM Play'!$B$27,0)</f>
        <v/>
      </c>
      <c r="AH27" s="160">
        <f>N27*'Sites'!$Z$6*'NM Play'!$B$32</f>
        <v/>
      </c>
      <c r="AI27" s="160">
        <f>SUM(Y27:Z27)*'Sites'!$R$6</f>
        <v/>
      </c>
      <c r="AJ27" s="160">
        <f>SUM(AA27:AH27)</f>
        <v/>
      </c>
      <c r="AK27" s="160">
        <f>AJ27+(T27-U27)*'NM Play'!$B$22+MIN(G27,N27*'NM Play'!$B$11)/'NM Play'!$B$13*'NM Play'!$B$21*'NM Play'!$B$22+MIN(H27,N27*'NM Play'!$B$12)/'NM Play'!$B$14*IF('Sites'!$C$6="Own sheets",'NM Play'!$B$21*'NM Play'!$B$22,'NM Play'!$B$28*'NM Play'!$B$14/'NM Play'!$B$12)</f>
        <v/>
      </c>
      <c r="AL27" s="160">
        <f>Y27*'Assumptions'!Y66</f>
        <v/>
      </c>
      <c r="AM27" s="160">
        <f>IF('Sites'!$D$6="NM crew",S27*'NM Play'!$B$37*(1+IF(AND(ISNUMBER('NM Play'!$B$25),'NM Play'!$B$25&gt;0),1,0)),"")</f>
        <v/>
      </c>
      <c r="AN27" s="160">
        <f>IF(OR('Sites'!$E$6&lt;0,'Sites'!$E$6&gt;1,'Sites'!$F$6&lt;1,'Sites'!$G$6&lt;'Sites'!$F$6,F27&lt;0,MIN('Sites'!$I$6:'Sites'!$R$6)&lt;0,'Sites'!$L$6&gt;'Sites'!$I$6,'Sites'!$M$6&gt;'Sites'!$J$6,'Sites'!$N$6&gt;'Sites'!$K$6,'Sites'!$Z$6&lt;0,'Sites'!$Z$6&gt;1,MIN('Sites'!$AA$6:'Sites'!$AC$6)&lt;0,S27&gt;F27+0.001),1,0)</f>
        <v/>
      </c>
      <c r="AO27" s="160">
        <f>I27+U27-T27-X27</f>
        <v/>
      </c>
    </row>
    <row r="28" ht="28" customHeight="1">
      <c r="A28" s="4" t="inlineStr">
        <is>
          <t>Full</t>
        </is>
      </c>
      <c r="B28" s="4" t="inlineStr">
        <is>
          <t>WITTA</t>
        </is>
      </c>
      <c r="C28" s="160" t="n">
        <v>23</v>
      </c>
      <c r="D28" s="160">
        <f>ROUNDUP(C28/12,0)</f>
        <v/>
      </c>
      <c r="E28" s="160">
        <f>IF(AND('Sites'!$E$6=1,C28&gt;='Sites'!$F$6,C28&lt;='Sites'!$G$6),1,0)</f>
        <v/>
      </c>
      <c r="F28" s="160">
        <f>E28*'Assumptions'!Z67</f>
        <v/>
      </c>
      <c r="G28" s="160">
        <f>V27</f>
        <v/>
      </c>
      <c r="H28" s="160">
        <f>W27</f>
        <v/>
      </c>
      <c r="I28" s="160">
        <f>X27</f>
        <v/>
      </c>
      <c r="J28" s="160">
        <f>MAX(0,'Sites'!$J$6-SUM(N18:N27))</f>
        <v/>
      </c>
      <c r="K28" s="160">
        <f>IF('Sites'!$C$6="Own sheets",MIN(ROUNDDOWN(G28/'NM Play'!$B$11,0)+F28*'NM Play'!$B$10/'NM Play'!$B$43,ROUNDDOWN(H28/'NM Play'!$B$12,0)+F28*'NM Play'!$B$10/'NM Play'!$B$44,(F28*'NM Play'!$B$10+ROUNDDOWN(G28/'NM Play'!$B$11,0)*'NM Play'!$B$43+ROUNDDOWN(H28/'NM Play'!$B$12,0)*'NM Play'!$B$44)/('NM Play'!$B$43+'NM Play'!$B$44)),ROUNDDOWN(G28/'NM Play'!$B$11,0)+F28*'NM Play'!$B$10/'NM Play'!$B$43)</f>
        <v/>
      </c>
      <c r="L28" s="160">
        <f>MIN(ROUNDDOWN(G28/'NM Play'!$B$11,0)+F28/('NM Play'!$B$43/'NM Play'!$B$15),ROUNDDOWN(H28/'NM Play'!$B$12,0)+F28/('NM Play'!$B$44/'NM Play'!$B$16),(F28+ROUNDDOWN(G28/'NM Play'!$B$11,0)*'NM Play'!$B$43/'NM Play'!$B$15+ROUNDDOWN(H28/'NM Play'!$B$12,0)*'NM Play'!$B$44/'NM Play'!$B$16)/('NM Play'!$B$43/'NM Play'!$B$15+'NM Play'!$B$44/'NM Play'!$B$16))</f>
        <v/>
      </c>
      <c r="M28" s="160">
        <f>F28*'NM Play'!$B$36</f>
        <v/>
      </c>
      <c r="N28" s="160">
        <f>ROUNDDOWN(MAX(0,MIN(J28,K28:M28)),0)</f>
        <v/>
      </c>
      <c r="O28" s="160">
        <f>ROUNDUP(MAX(0,N28*'NM Play'!$B$11-G28)/'NM Play'!$B$13,0)</f>
        <v/>
      </c>
      <c r="P28" s="160">
        <f>ROUNDUP(MAX(0,N28*'NM Play'!$B$12-H28)/'NM Play'!$B$14,0)</f>
        <v/>
      </c>
      <c r="Q28" s="160">
        <f>(O28+IF('Sites'!$C$6="Own sheets",P28,0))/'NM Play'!$B$10</f>
        <v/>
      </c>
      <c r="R28" s="160">
        <f>O28/'NM Play'!$B$15+P28/'NM Play'!$B$16</f>
        <v/>
      </c>
      <c r="S28" s="160">
        <f>MAX(Q28,R28,N28/'NM Play'!$B$36)</f>
        <v/>
      </c>
      <c r="T28" s="160">
        <f>Q28*'NM Play'!$B$10*'NM Play'!$B$21*(1+'NM Play'!$B$35)</f>
        <v/>
      </c>
      <c r="U28" s="160">
        <f>MAX(0,T28-I28)</f>
        <v/>
      </c>
      <c r="V28" s="160">
        <f>G28+O28*'NM Play'!$B$13-N28*'NM Play'!$B$11</f>
        <v/>
      </c>
      <c r="W28" s="160">
        <f>H28+P28*'NM Play'!$B$14-N28*'NM Play'!$B$12</f>
        <v/>
      </c>
      <c r="X28" s="160">
        <f>I28+U28-T28</f>
        <v/>
      </c>
      <c r="Y28" s="160">
        <f>MIN(N28,MAX(0,ROUNDDOWN('Sites'!$M$6*'Cases'!$E$6,0)-SUM(Y18:Y27)))</f>
        <v/>
      </c>
      <c r="Z28" s="160">
        <f>N28-Y28</f>
        <v/>
      </c>
      <c r="AA28" s="160">
        <f>U28*'NM Play'!$B$22</f>
        <v/>
      </c>
      <c r="AB28" s="160">
        <f>N28*SUM('NM Play'!$B$29:$B$31)</f>
        <v/>
      </c>
      <c r="AC28" s="160">
        <f>IF('Sites'!$C$6="Defy legs",P28*'NM Play'!$B$14/'NM Play'!$B$12*'NM Play'!$B$28,0)</f>
        <v/>
      </c>
      <c r="AD28" s="160">
        <f>Q28*'NM Play'!$B$23</f>
        <v/>
      </c>
      <c r="AE28" s="160">
        <f>S28*SUM('NM Play'!$B$26,'NM Play'!$B$33:$B$34)</f>
        <v/>
      </c>
      <c r="AF28" s="160">
        <f>IF('Sites'!$D$6="NM crew",S28*SUM('NM Play'!$B$24:$B$25),0)</f>
        <v/>
      </c>
      <c r="AG28" s="160">
        <f>IF('Sites'!$D$6="NM crew",S28*'NM Play'!$B$27,0)</f>
        <v/>
      </c>
      <c r="AH28" s="160">
        <f>N28*'Sites'!$Z$6*'NM Play'!$B$32</f>
        <v/>
      </c>
      <c r="AI28" s="160">
        <f>SUM(Y28:Z28)*'Sites'!$R$6</f>
        <v/>
      </c>
      <c r="AJ28" s="160">
        <f>SUM(AA28:AH28)</f>
        <v/>
      </c>
      <c r="AK28" s="160">
        <f>AJ28+(T28-U28)*'NM Play'!$B$22+MIN(G28,N28*'NM Play'!$B$11)/'NM Play'!$B$13*'NM Play'!$B$21*'NM Play'!$B$22+MIN(H28,N28*'NM Play'!$B$12)/'NM Play'!$B$14*IF('Sites'!$C$6="Own sheets",'NM Play'!$B$21*'NM Play'!$B$22,'NM Play'!$B$28*'NM Play'!$B$14/'NM Play'!$B$12)</f>
        <v/>
      </c>
      <c r="AL28" s="160">
        <f>Y28*'Assumptions'!Z66</f>
        <v/>
      </c>
      <c r="AM28" s="160">
        <f>IF('Sites'!$D$6="NM crew",S28*'NM Play'!$B$37*(1+IF(AND(ISNUMBER('NM Play'!$B$25),'NM Play'!$B$25&gt;0),1,0)),"")</f>
        <v/>
      </c>
      <c r="AN28" s="160">
        <f>IF(OR('Sites'!$E$6&lt;0,'Sites'!$E$6&gt;1,'Sites'!$F$6&lt;1,'Sites'!$G$6&lt;'Sites'!$F$6,F28&lt;0,MIN('Sites'!$I$6:'Sites'!$R$6)&lt;0,'Sites'!$L$6&gt;'Sites'!$I$6,'Sites'!$M$6&gt;'Sites'!$J$6,'Sites'!$N$6&gt;'Sites'!$K$6,'Sites'!$Z$6&lt;0,'Sites'!$Z$6&gt;1,MIN('Sites'!$AA$6:'Sites'!$AC$6)&lt;0,S28&gt;F28+0.001),1,0)</f>
        <v/>
      </c>
      <c r="AO28" s="160">
        <f>I28+U28-T28-X28</f>
        <v/>
      </c>
    </row>
    <row r="29" ht="28" customHeight="1">
      <c r="A29" s="4" t="inlineStr">
        <is>
          <t>Full</t>
        </is>
      </c>
      <c r="B29" s="4" t="inlineStr">
        <is>
          <t>WITTA</t>
        </is>
      </c>
      <c r="C29" s="160" t="n">
        <v>24</v>
      </c>
      <c r="D29" s="160">
        <f>ROUNDUP(C29/12,0)</f>
        <v/>
      </c>
      <c r="E29" s="160">
        <f>IF(AND('Sites'!$E$6=1,C29&gt;='Sites'!$F$6,C29&lt;='Sites'!$G$6),1,0)</f>
        <v/>
      </c>
      <c r="F29" s="160">
        <f>E29*'Assumptions'!AA67</f>
        <v/>
      </c>
      <c r="G29" s="160">
        <f>V28</f>
        <v/>
      </c>
      <c r="H29" s="160">
        <f>W28</f>
        <v/>
      </c>
      <c r="I29" s="160">
        <f>X28</f>
        <v/>
      </c>
      <c r="J29" s="160">
        <f>MAX(0,'Sites'!$J$6-SUM(N18:N28))</f>
        <v/>
      </c>
      <c r="K29" s="160">
        <f>IF('Sites'!$C$6="Own sheets",MIN(ROUNDDOWN(G29/'NM Play'!$B$11,0)+F29*'NM Play'!$B$10/'NM Play'!$B$43,ROUNDDOWN(H29/'NM Play'!$B$12,0)+F29*'NM Play'!$B$10/'NM Play'!$B$44,(F29*'NM Play'!$B$10+ROUNDDOWN(G29/'NM Play'!$B$11,0)*'NM Play'!$B$43+ROUNDDOWN(H29/'NM Play'!$B$12,0)*'NM Play'!$B$44)/('NM Play'!$B$43+'NM Play'!$B$44)),ROUNDDOWN(G29/'NM Play'!$B$11,0)+F29*'NM Play'!$B$10/'NM Play'!$B$43)</f>
        <v/>
      </c>
      <c r="L29" s="160">
        <f>MIN(ROUNDDOWN(G29/'NM Play'!$B$11,0)+F29/('NM Play'!$B$43/'NM Play'!$B$15),ROUNDDOWN(H29/'NM Play'!$B$12,0)+F29/('NM Play'!$B$44/'NM Play'!$B$16),(F29+ROUNDDOWN(G29/'NM Play'!$B$11,0)*'NM Play'!$B$43/'NM Play'!$B$15+ROUNDDOWN(H29/'NM Play'!$B$12,0)*'NM Play'!$B$44/'NM Play'!$B$16)/('NM Play'!$B$43/'NM Play'!$B$15+'NM Play'!$B$44/'NM Play'!$B$16))</f>
        <v/>
      </c>
      <c r="M29" s="160">
        <f>F29*'NM Play'!$B$36</f>
        <v/>
      </c>
      <c r="N29" s="160">
        <f>ROUNDDOWN(MAX(0,MIN(J29,K29:M29)),0)</f>
        <v/>
      </c>
      <c r="O29" s="160">
        <f>ROUNDUP(MAX(0,N29*'NM Play'!$B$11-G29)/'NM Play'!$B$13,0)</f>
        <v/>
      </c>
      <c r="P29" s="160">
        <f>ROUNDUP(MAX(0,N29*'NM Play'!$B$12-H29)/'NM Play'!$B$14,0)</f>
        <v/>
      </c>
      <c r="Q29" s="160">
        <f>(O29+IF('Sites'!$C$6="Own sheets",P29,0))/'NM Play'!$B$10</f>
        <v/>
      </c>
      <c r="R29" s="160">
        <f>O29/'NM Play'!$B$15+P29/'NM Play'!$B$16</f>
        <v/>
      </c>
      <c r="S29" s="160">
        <f>MAX(Q29,R29,N29/'NM Play'!$B$36)</f>
        <v/>
      </c>
      <c r="T29" s="160">
        <f>Q29*'NM Play'!$B$10*'NM Play'!$B$21*(1+'NM Play'!$B$35)</f>
        <v/>
      </c>
      <c r="U29" s="160">
        <f>MAX(0,T29-I29)</f>
        <v/>
      </c>
      <c r="V29" s="160">
        <f>G29+O29*'NM Play'!$B$13-N29*'NM Play'!$B$11</f>
        <v/>
      </c>
      <c r="W29" s="160">
        <f>H29+P29*'NM Play'!$B$14-N29*'NM Play'!$B$12</f>
        <v/>
      </c>
      <c r="X29" s="160">
        <f>I29+U29-T29</f>
        <v/>
      </c>
      <c r="Y29" s="160">
        <f>MIN(N29,MAX(0,ROUNDDOWN('Sites'!$M$6*'Cases'!$E$6,0)-SUM(Y18:Y28)))</f>
        <v/>
      </c>
      <c r="Z29" s="160">
        <f>N29-Y29</f>
        <v/>
      </c>
      <c r="AA29" s="160">
        <f>U29*'NM Play'!$B$22</f>
        <v/>
      </c>
      <c r="AB29" s="160">
        <f>N29*SUM('NM Play'!$B$29:$B$31)</f>
        <v/>
      </c>
      <c r="AC29" s="160">
        <f>IF('Sites'!$C$6="Defy legs",P29*'NM Play'!$B$14/'NM Play'!$B$12*'NM Play'!$B$28,0)</f>
        <v/>
      </c>
      <c r="AD29" s="160">
        <f>Q29*'NM Play'!$B$23</f>
        <v/>
      </c>
      <c r="AE29" s="160">
        <f>S29*SUM('NM Play'!$B$26,'NM Play'!$B$33:$B$34)</f>
        <v/>
      </c>
      <c r="AF29" s="160">
        <f>IF('Sites'!$D$6="NM crew",S29*SUM('NM Play'!$B$24:$B$25),0)</f>
        <v/>
      </c>
      <c r="AG29" s="160">
        <f>IF('Sites'!$D$6="NM crew",S29*'NM Play'!$B$27,0)</f>
        <v/>
      </c>
      <c r="AH29" s="160">
        <f>N29*'Sites'!$Z$6*'NM Play'!$B$32</f>
        <v/>
      </c>
      <c r="AI29" s="160">
        <f>SUM(Y29:Z29)*'Sites'!$R$6</f>
        <v/>
      </c>
      <c r="AJ29" s="160">
        <f>SUM(AA29:AH29)</f>
        <v/>
      </c>
      <c r="AK29" s="160">
        <f>AJ29+(T29-U29)*'NM Play'!$B$22+MIN(G29,N29*'NM Play'!$B$11)/'NM Play'!$B$13*'NM Play'!$B$21*'NM Play'!$B$22+MIN(H29,N29*'NM Play'!$B$12)/'NM Play'!$B$14*IF('Sites'!$C$6="Own sheets",'NM Play'!$B$21*'NM Play'!$B$22,'NM Play'!$B$28*'NM Play'!$B$14/'NM Play'!$B$12)</f>
        <v/>
      </c>
      <c r="AL29" s="160">
        <f>Y29*'Assumptions'!AA66</f>
        <v/>
      </c>
      <c r="AM29" s="160">
        <f>IF('Sites'!$D$6="NM crew",S29*'NM Play'!$B$37*(1+IF(AND(ISNUMBER('NM Play'!$B$25),'NM Play'!$B$25&gt;0),1,0)),"")</f>
        <v/>
      </c>
      <c r="AN29" s="160">
        <f>IF(OR('Sites'!$E$6&lt;0,'Sites'!$E$6&gt;1,'Sites'!$F$6&lt;1,'Sites'!$G$6&lt;'Sites'!$F$6,F29&lt;0,MIN('Sites'!$I$6:'Sites'!$R$6)&lt;0,'Sites'!$L$6&gt;'Sites'!$I$6,'Sites'!$M$6&gt;'Sites'!$J$6,'Sites'!$N$6&gt;'Sites'!$K$6,'Sites'!$Z$6&lt;0,'Sites'!$Z$6&gt;1,MIN('Sites'!$AA$6:'Sites'!$AC$6)&lt;0,S29&gt;F29+0.001),1,0)</f>
        <v/>
      </c>
      <c r="AO29" s="160">
        <f>I29+U29-T29-X29</f>
        <v/>
      </c>
    </row>
    <row r="30" ht="28" customHeight="1">
      <c r="A30" s="4" t="inlineStr">
        <is>
          <t>Full</t>
        </is>
      </c>
      <c r="B30" s="4" t="inlineStr">
        <is>
          <t>WITTA</t>
        </is>
      </c>
      <c r="C30" s="160" t="n">
        <v>25</v>
      </c>
      <c r="D30" s="160">
        <f>ROUNDUP(C30/12,0)</f>
        <v/>
      </c>
      <c r="E30" s="160">
        <f>IF(AND('Sites'!$E$6=1,C30&gt;='Sites'!$F$6,C30&lt;='Sites'!$G$6),1,0)</f>
        <v/>
      </c>
      <c r="F30" s="160">
        <f>E30*'Assumptions'!AB67</f>
        <v/>
      </c>
      <c r="G30" s="160">
        <f>V29</f>
        <v/>
      </c>
      <c r="H30" s="160">
        <f>W29</f>
        <v/>
      </c>
      <c r="I30" s="160">
        <f>X29</f>
        <v/>
      </c>
      <c r="J30" s="160">
        <f>MAX(0,'Sites'!$K$6-0)</f>
        <v/>
      </c>
      <c r="K30" s="160">
        <f>IF('Sites'!$C$6="Own sheets",MIN(ROUNDDOWN(G30/'NM Play'!$B$11,0)+F30*'NM Play'!$B$10/'NM Play'!$B$43,ROUNDDOWN(H30/'NM Play'!$B$12,0)+F30*'NM Play'!$B$10/'NM Play'!$B$44,(F30*'NM Play'!$B$10+ROUNDDOWN(G30/'NM Play'!$B$11,0)*'NM Play'!$B$43+ROUNDDOWN(H30/'NM Play'!$B$12,0)*'NM Play'!$B$44)/('NM Play'!$B$43+'NM Play'!$B$44)),ROUNDDOWN(G30/'NM Play'!$B$11,0)+F30*'NM Play'!$B$10/'NM Play'!$B$43)</f>
        <v/>
      </c>
      <c r="L30" s="160">
        <f>MIN(ROUNDDOWN(G30/'NM Play'!$B$11,0)+F30/('NM Play'!$B$43/'NM Play'!$B$15),ROUNDDOWN(H30/'NM Play'!$B$12,0)+F30/('NM Play'!$B$44/'NM Play'!$B$16),(F30+ROUNDDOWN(G30/'NM Play'!$B$11,0)*'NM Play'!$B$43/'NM Play'!$B$15+ROUNDDOWN(H30/'NM Play'!$B$12,0)*'NM Play'!$B$44/'NM Play'!$B$16)/('NM Play'!$B$43/'NM Play'!$B$15+'NM Play'!$B$44/'NM Play'!$B$16))</f>
        <v/>
      </c>
      <c r="M30" s="160">
        <f>F30*'NM Play'!$B$36</f>
        <v/>
      </c>
      <c r="N30" s="160">
        <f>ROUNDDOWN(MAX(0,MIN(J30,K30:M30)),0)</f>
        <v/>
      </c>
      <c r="O30" s="160">
        <f>ROUNDUP(MAX(0,N30*'NM Play'!$B$11-G30)/'NM Play'!$B$13,0)</f>
        <v/>
      </c>
      <c r="P30" s="160">
        <f>ROUNDUP(MAX(0,N30*'NM Play'!$B$12-H30)/'NM Play'!$B$14,0)</f>
        <v/>
      </c>
      <c r="Q30" s="160">
        <f>(O30+IF('Sites'!$C$6="Own sheets",P30,0))/'NM Play'!$B$10</f>
        <v/>
      </c>
      <c r="R30" s="160">
        <f>O30/'NM Play'!$B$15+P30/'NM Play'!$B$16</f>
        <v/>
      </c>
      <c r="S30" s="160">
        <f>MAX(Q30,R30,N30/'NM Play'!$B$36)</f>
        <v/>
      </c>
      <c r="T30" s="160">
        <f>Q30*'NM Play'!$B$10*'NM Play'!$B$21*(1+'NM Play'!$B$35)</f>
        <v/>
      </c>
      <c r="U30" s="160">
        <f>MAX(0,T30-I30)</f>
        <v/>
      </c>
      <c r="V30" s="160">
        <f>G30+O30*'NM Play'!$B$13-N30*'NM Play'!$B$11</f>
        <v/>
      </c>
      <c r="W30" s="160">
        <f>H30+P30*'NM Play'!$B$14-N30*'NM Play'!$B$12</f>
        <v/>
      </c>
      <c r="X30" s="160">
        <f>I30+U30-T30</f>
        <v/>
      </c>
      <c r="Y30" s="160">
        <f>MIN(N30,MAX(0,ROUNDDOWN('Sites'!$N$6*'Cases'!$E$6,0)-0))</f>
        <v/>
      </c>
      <c r="Z30" s="160">
        <f>N30-Y30</f>
        <v/>
      </c>
      <c r="AA30" s="160">
        <f>U30*'NM Play'!$B$22</f>
        <v/>
      </c>
      <c r="AB30" s="160">
        <f>N30*SUM('NM Play'!$B$29:$B$31)</f>
        <v/>
      </c>
      <c r="AC30" s="160">
        <f>IF('Sites'!$C$6="Defy legs",P30*'NM Play'!$B$14/'NM Play'!$B$12*'NM Play'!$B$28,0)</f>
        <v/>
      </c>
      <c r="AD30" s="160">
        <f>Q30*'NM Play'!$B$23</f>
        <v/>
      </c>
      <c r="AE30" s="160">
        <f>S30*SUM('NM Play'!$B$26,'NM Play'!$B$33:$B$34)</f>
        <v/>
      </c>
      <c r="AF30" s="160">
        <f>IF('Sites'!$D$6="NM crew",S30*SUM('NM Play'!$B$24:$B$25),0)</f>
        <v/>
      </c>
      <c r="AG30" s="160">
        <f>IF('Sites'!$D$6="NM crew",S30*'NM Play'!$B$27,0)</f>
        <v/>
      </c>
      <c r="AH30" s="160">
        <f>N30*'Sites'!$Z$6*'NM Play'!$B$32</f>
        <v/>
      </c>
      <c r="AI30" s="160">
        <f>SUM(Y30:Z30)*'Sites'!$R$6</f>
        <v/>
      </c>
      <c r="AJ30" s="160">
        <f>SUM(AA30:AH30)</f>
        <v/>
      </c>
      <c r="AK30" s="160">
        <f>AJ30+(T30-U30)*'NM Play'!$B$22+MIN(G30,N30*'NM Play'!$B$11)/'NM Play'!$B$13*'NM Play'!$B$21*'NM Play'!$B$22+MIN(H30,N30*'NM Play'!$B$12)/'NM Play'!$B$14*IF('Sites'!$C$6="Own sheets",'NM Play'!$B$21*'NM Play'!$B$22,'NM Play'!$B$28*'NM Play'!$B$14/'NM Play'!$B$12)</f>
        <v/>
      </c>
      <c r="AL30" s="160">
        <f>Y30*'Assumptions'!AB66</f>
        <v/>
      </c>
      <c r="AM30" s="160">
        <f>IF('Sites'!$D$6="NM crew",S30*'NM Play'!$B$37*(1+IF(AND(ISNUMBER('NM Play'!$B$25),'NM Play'!$B$25&gt;0),1,0)),"")</f>
        <v/>
      </c>
      <c r="AN30" s="160">
        <f>IF(OR('Sites'!$E$6&lt;0,'Sites'!$E$6&gt;1,'Sites'!$F$6&lt;1,'Sites'!$G$6&lt;'Sites'!$F$6,F30&lt;0,MIN('Sites'!$I$6:'Sites'!$R$6)&lt;0,'Sites'!$L$6&gt;'Sites'!$I$6,'Sites'!$M$6&gt;'Sites'!$J$6,'Sites'!$N$6&gt;'Sites'!$K$6,'Sites'!$Z$6&lt;0,'Sites'!$Z$6&gt;1,MIN('Sites'!$AA$6:'Sites'!$AC$6)&lt;0,S30&gt;F30+0.001),1,0)</f>
        <v/>
      </c>
      <c r="AO30" s="160">
        <f>I30+U30-T30-X30</f>
        <v/>
      </c>
    </row>
    <row r="31" ht="28" customHeight="1">
      <c r="A31" s="4" t="inlineStr">
        <is>
          <t>Full</t>
        </is>
      </c>
      <c r="B31" s="4" t="inlineStr">
        <is>
          <t>WITTA</t>
        </is>
      </c>
      <c r="C31" s="160" t="n">
        <v>26</v>
      </c>
      <c r="D31" s="160">
        <f>ROUNDUP(C31/12,0)</f>
        <v/>
      </c>
      <c r="E31" s="160">
        <f>IF(AND('Sites'!$E$6=1,C31&gt;='Sites'!$F$6,C31&lt;='Sites'!$G$6),1,0)</f>
        <v/>
      </c>
      <c r="F31" s="160">
        <f>E31*'Assumptions'!AC67</f>
        <v/>
      </c>
      <c r="G31" s="160">
        <f>V30</f>
        <v/>
      </c>
      <c r="H31" s="160">
        <f>W30</f>
        <v/>
      </c>
      <c r="I31" s="160">
        <f>X30</f>
        <v/>
      </c>
      <c r="J31" s="160">
        <f>MAX(0,'Sites'!$K$6-SUM(N30:N30))</f>
        <v/>
      </c>
      <c r="K31" s="160">
        <f>IF('Sites'!$C$6="Own sheets",MIN(ROUNDDOWN(G31/'NM Play'!$B$11,0)+F31*'NM Play'!$B$10/'NM Play'!$B$43,ROUNDDOWN(H31/'NM Play'!$B$12,0)+F31*'NM Play'!$B$10/'NM Play'!$B$44,(F31*'NM Play'!$B$10+ROUNDDOWN(G31/'NM Play'!$B$11,0)*'NM Play'!$B$43+ROUNDDOWN(H31/'NM Play'!$B$12,0)*'NM Play'!$B$44)/('NM Play'!$B$43+'NM Play'!$B$44)),ROUNDDOWN(G31/'NM Play'!$B$11,0)+F31*'NM Play'!$B$10/'NM Play'!$B$43)</f>
        <v/>
      </c>
      <c r="L31" s="160">
        <f>MIN(ROUNDDOWN(G31/'NM Play'!$B$11,0)+F31/('NM Play'!$B$43/'NM Play'!$B$15),ROUNDDOWN(H31/'NM Play'!$B$12,0)+F31/('NM Play'!$B$44/'NM Play'!$B$16),(F31+ROUNDDOWN(G31/'NM Play'!$B$11,0)*'NM Play'!$B$43/'NM Play'!$B$15+ROUNDDOWN(H31/'NM Play'!$B$12,0)*'NM Play'!$B$44/'NM Play'!$B$16)/('NM Play'!$B$43/'NM Play'!$B$15+'NM Play'!$B$44/'NM Play'!$B$16))</f>
        <v/>
      </c>
      <c r="M31" s="160">
        <f>F31*'NM Play'!$B$36</f>
        <v/>
      </c>
      <c r="N31" s="160">
        <f>ROUNDDOWN(MAX(0,MIN(J31,K31:M31)),0)</f>
        <v/>
      </c>
      <c r="O31" s="160">
        <f>ROUNDUP(MAX(0,N31*'NM Play'!$B$11-G31)/'NM Play'!$B$13,0)</f>
        <v/>
      </c>
      <c r="P31" s="160">
        <f>ROUNDUP(MAX(0,N31*'NM Play'!$B$12-H31)/'NM Play'!$B$14,0)</f>
        <v/>
      </c>
      <c r="Q31" s="160">
        <f>(O31+IF('Sites'!$C$6="Own sheets",P31,0))/'NM Play'!$B$10</f>
        <v/>
      </c>
      <c r="R31" s="160">
        <f>O31/'NM Play'!$B$15+P31/'NM Play'!$B$16</f>
        <v/>
      </c>
      <c r="S31" s="160">
        <f>MAX(Q31,R31,N31/'NM Play'!$B$36)</f>
        <v/>
      </c>
      <c r="T31" s="160">
        <f>Q31*'NM Play'!$B$10*'NM Play'!$B$21*(1+'NM Play'!$B$35)</f>
        <v/>
      </c>
      <c r="U31" s="160">
        <f>MAX(0,T31-I31)</f>
        <v/>
      </c>
      <c r="V31" s="160">
        <f>G31+O31*'NM Play'!$B$13-N31*'NM Play'!$B$11</f>
        <v/>
      </c>
      <c r="W31" s="160">
        <f>H31+P31*'NM Play'!$B$14-N31*'NM Play'!$B$12</f>
        <v/>
      </c>
      <c r="X31" s="160">
        <f>I31+U31-T31</f>
        <v/>
      </c>
      <c r="Y31" s="160">
        <f>MIN(N31,MAX(0,ROUNDDOWN('Sites'!$N$6*'Cases'!$E$6,0)-SUM(Y30:Y30)))</f>
        <v/>
      </c>
      <c r="Z31" s="160">
        <f>N31-Y31</f>
        <v/>
      </c>
      <c r="AA31" s="160">
        <f>U31*'NM Play'!$B$22</f>
        <v/>
      </c>
      <c r="AB31" s="160">
        <f>N31*SUM('NM Play'!$B$29:$B$31)</f>
        <v/>
      </c>
      <c r="AC31" s="160">
        <f>IF('Sites'!$C$6="Defy legs",P31*'NM Play'!$B$14/'NM Play'!$B$12*'NM Play'!$B$28,0)</f>
        <v/>
      </c>
      <c r="AD31" s="160">
        <f>Q31*'NM Play'!$B$23</f>
        <v/>
      </c>
      <c r="AE31" s="160">
        <f>S31*SUM('NM Play'!$B$26,'NM Play'!$B$33:$B$34)</f>
        <v/>
      </c>
      <c r="AF31" s="160">
        <f>IF('Sites'!$D$6="NM crew",S31*SUM('NM Play'!$B$24:$B$25),0)</f>
        <v/>
      </c>
      <c r="AG31" s="160">
        <f>IF('Sites'!$D$6="NM crew",S31*'NM Play'!$B$27,0)</f>
        <v/>
      </c>
      <c r="AH31" s="160">
        <f>N31*'Sites'!$Z$6*'NM Play'!$B$32</f>
        <v/>
      </c>
      <c r="AI31" s="160">
        <f>SUM(Y31:Z31)*'Sites'!$R$6</f>
        <v/>
      </c>
      <c r="AJ31" s="160">
        <f>SUM(AA31:AH31)</f>
        <v/>
      </c>
      <c r="AK31" s="160">
        <f>AJ31+(T31-U31)*'NM Play'!$B$22+MIN(G31,N31*'NM Play'!$B$11)/'NM Play'!$B$13*'NM Play'!$B$21*'NM Play'!$B$22+MIN(H31,N31*'NM Play'!$B$12)/'NM Play'!$B$14*IF('Sites'!$C$6="Own sheets",'NM Play'!$B$21*'NM Play'!$B$22,'NM Play'!$B$28*'NM Play'!$B$14/'NM Play'!$B$12)</f>
        <v/>
      </c>
      <c r="AL31" s="160">
        <f>Y31*'Assumptions'!AC66</f>
        <v/>
      </c>
      <c r="AM31" s="160">
        <f>IF('Sites'!$D$6="NM crew",S31*'NM Play'!$B$37*(1+IF(AND(ISNUMBER('NM Play'!$B$25),'NM Play'!$B$25&gt;0),1,0)),"")</f>
        <v/>
      </c>
      <c r="AN31" s="160">
        <f>IF(OR('Sites'!$E$6&lt;0,'Sites'!$E$6&gt;1,'Sites'!$F$6&lt;1,'Sites'!$G$6&lt;'Sites'!$F$6,F31&lt;0,MIN('Sites'!$I$6:'Sites'!$R$6)&lt;0,'Sites'!$L$6&gt;'Sites'!$I$6,'Sites'!$M$6&gt;'Sites'!$J$6,'Sites'!$N$6&gt;'Sites'!$K$6,'Sites'!$Z$6&lt;0,'Sites'!$Z$6&gt;1,MIN('Sites'!$AA$6:'Sites'!$AC$6)&lt;0,S31&gt;F31+0.001),1,0)</f>
        <v/>
      </c>
      <c r="AO31" s="160">
        <f>I31+U31-T31-X31</f>
        <v/>
      </c>
    </row>
    <row r="32" ht="28" customHeight="1">
      <c r="A32" s="4" t="inlineStr">
        <is>
          <t>Full</t>
        </is>
      </c>
      <c r="B32" s="4" t="inlineStr">
        <is>
          <t>WITTA</t>
        </is>
      </c>
      <c r="C32" s="160" t="n">
        <v>27</v>
      </c>
      <c r="D32" s="160">
        <f>ROUNDUP(C32/12,0)</f>
        <v/>
      </c>
      <c r="E32" s="160">
        <f>IF(AND('Sites'!$E$6=1,C32&gt;='Sites'!$F$6,C32&lt;='Sites'!$G$6),1,0)</f>
        <v/>
      </c>
      <c r="F32" s="160">
        <f>E32*'Assumptions'!AD67</f>
        <v/>
      </c>
      <c r="G32" s="160">
        <f>V31</f>
        <v/>
      </c>
      <c r="H32" s="160">
        <f>W31</f>
        <v/>
      </c>
      <c r="I32" s="160">
        <f>X31</f>
        <v/>
      </c>
      <c r="J32" s="160">
        <f>MAX(0,'Sites'!$K$6-SUM(N30:N31))</f>
        <v/>
      </c>
      <c r="K32" s="160">
        <f>IF('Sites'!$C$6="Own sheets",MIN(ROUNDDOWN(G32/'NM Play'!$B$11,0)+F32*'NM Play'!$B$10/'NM Play'!$B$43,ROUNDDOWN(H32/'NM Play'!$B$12,0)+F32*'NM Play'!$B$10/'NM Play'!$B$44,(F32*'NM Play'!$B$10+ROUNDDOWN(G32/'NM Play'!$B$11,0)*'NM Play'!$B$43+ROUNDDOWN(H32/'NM Play'!$B$12,0)*'NM Play'!$B$44)/('NM Play'!$B$43+'NM Play'!$B$44)),ROUNDDOWN(G32/'NM Play'!$B$11,0)+F32*'NM Play'!$B$10/'NM Play'!$B$43)</f>
        <v/>
      </c>
      <c r="L32" s="160">
        <f>MIN(ROUNDDOWN(G32/'NM Play'!$B$11,0)+F32/('NM Play'!$B$43/'NM Play'!$B$15),ROUNDDOWN(H32/'NM Play'!$B$12,0)+F32/('NM Play'!$B$44/'NM Play'!$B$16),(F32+ROUNDDOWN(G32/'NM Play'!$B$11,0)*'NM Play'!$B$43/'NM Play'!$B$15+ROUNDDOWN(H32/'NM Play'!$B$12,0)*'NM Play'!$B$44/'NM Play'!$B$16)/('NM Play'!$B$43/'NM Play'!$B$15+'NM Play'!$B$44/'NM Play'!$B$16))</f>
        <v/>
      </c>
      <c r="M32" s="160">
        <f>F32*'NM Play'!$B$36</f>
        <v/>
      </c>
      <c r="N32" s="160">
        <f>ROUNDDOWN(MAX(0,MIN(J32,K32:M32)),0)</f>
        <v/>
      </c>
      <c r="O32" s="160">
        <f>ROUNDUP(MAX(0,N32*'NM Play'!$B$11-G32)/'NM Play'!$B$13,0)</f>
        <v/>
      </c>
      <c r="P32" s="160">
        <f>ROUNDUP(MAX(0,N32*'NM Play'!$B$12-H32)/'NM Play'!$B$14,0)</f>
        <v/>
      </c>
      <c r="Q32" s="160">
        <f>(O32+IF('Sites'!$C$6="Own sheets",P32,0))/'NM Play'!$B$10</f>
        <v/>
      </c>
      <c r="R32" s="160">
        <f>O32/'NM Play'!$B$15+P32/'NM Play'!$B$16</f>
        <v/>
      </c>
      <c r="S32" s="160">
        <f>MAX(Q32,R32,N32/'NM Play'!$B$36)</f>
        <v/>
      </c>
      <c r="T32" s="160">
        <f>Q32*'NM Play'!$B$10*'NM Play'!$B$21*(1+'NM Play'!$B$35)</f>
        <v/>
      </c>
      <c r="U32" s="160">
        <f>MAX(0,T32-I32)</f>
        <v/>
      </c>
      <c r="V32" s="160">
        <f>G32+O32*'NM Play'!$B$13-N32*'NM Play'!$B$11</f>
        <v/>
      </c>
      <c r="W32" s="160">
        <f>H32+P32*'NM Play'!$B$14-N32*'NM Play'!$B$12</f>
        <v/>
      </c>
      <c r="X32" s="160">
        <f>I32+U32-T32</f>
        <v/>
      </c>
      <c r="Y32" s="160">
        <f>MIN(N32,MAX(0,ROUNDDOWN('Sites'!$N$6*'Cases'!$E$6,0)-SUM(Y30:Y31)))</f>
        <v/>
      </c>
      <c r="Z32" s="160">
        <f>N32-Y32</f>
        <v/>
      </c>
      <c r="AA32" s="160">
        <f>U32*'NM Play'!$B$22</f>
        <v/>
      </c>
      <c r="AB32" s="160">
        <f>N32*SUM('NM Play'!$B$29:$B$31)</f>
        <v/>
      </c>
      <c r="AC32" s="160">
        <f>IF('Sites'!$C$6="Defy legs",P32*'NM Play'!$B$14/'NM Play'!$B$12*'NM Play'!$B$28,0)</f>
        <v/>
      </c>
      <c r="AD32" s="160">
        <f>Q32*'NM Play'!$B$23</f>
        <v/>
      </c>
      <c r="AE32" s="160">
        <f>S32*SUM('NM Play'!$B$26,'NM Play'!$B$33:$B$34)</f>
        <v/>
      </c>
      <c r="AF32" s="160">
        <f>IF('Sites'!$D$6="NM crew",S32*SUM('NM Play'!$B$24:$B$25),0)</f>
        <v/>
      </c>
      <c r="AG32" s="160">
        <f>IF('Sites'!$D$6="NM crew",S32*'NM Play'!$B$27,0)</f>
        <v/>
      </c>
      <c r="AH32" s="160">
        <f>N32*'Sites'!$Z$6*'NM Play'!$B$32</f>
        <v/>
      </c>
      <c r="AI32" s="160">
        <f>SUM(Y32:Z32)*'Sites'!$R$6</f>
        <v/>
      </c>
      <c r="AJ32" s="160">
        <f>SUM(AA32:AH32)</f>
        <v/>
      </c>
      <c r="AK32" s="160">
        <f>AJ32+(T32-U32)*'NM Play'!$B$22+MIN(G32,N32*'NM Play'!$B$11)/'NM Play'!$B$13*'NM Play'!$B$21*'NM Play'!$B$22+MIN(H32,N32*'NM Play'!$B$12)/'NM Play'!$B$14*IF('Sites'!$C$6="Own sheets",'NM Play'!$B$21*'NM Play'!$B$22,'NM Play'!$B$28*'NM Play'!$B$14/'NM Play'!$B$12)</f>
        <v/>
      </c>
      <c r="AL32" s="160">
        <f>Y32*'Assumptions'!AD66</f>
        <v/>
      </c>
      <c r="AM32" s="160">
        <f>IF('Sites'!$D$6="NM crew",S32*'NM Play'!$B$37*(1+IF(AND(ISNUMBER('NM Play'!$B$25),'NM Play'!$B$25&gt;0),1,0)),"")</f>
        <v/>
      </c>
      <c r="AN32" s="160">
        <f>IF(OR('Sites'!$E$6&lt;0,'Sites'!$E$6&gt;1,'Sites'!$F$6&lt;1,'Sites'!$G$6&lt;'Sites'!$F$6,F32&lt;0,MIN('Sites'!$I$6:'Sites'!$R$6)&lt;0,'Sites'!$L$6&gt;'Sites'!$I$6,'Sites'!$M$6&gt;'Sites'!$J$6,'Sites'!$N$6&gt;'Sites'!$K$6,'Sites'!$Z$6&lt;0,'Sites'!$Z$6&gt;1,MIN('Sites'!$AA$6:'Sites'!$AC$6)&lt;0,S32&gt;F32+0.001),1,0)</f>
        <v/>
      </c>
      <c r="AO32" s="160">
        <f>I32+U32-T32-X32</f>
        <v/>
      </c>
    </row>
    <row r="33" ht="28" customHeight="1">
      <c r="A33" s="4" t="inlineStr">
        <is>
          <t>Full</t>
        </is>
      </c>
      <c r="B33" s="4" t="inlineStr">
        <is>
          <t>WITTA</t>
        </is>
      </c>
      <c r="C33" s="160" t="n">
        <v>28</v>
      </c>
      <c r="D33" s="160">
        <f>ROUNDUP(C33/12,0)</f>
        <v/>
      </c>
      <c r="E33" s="160">
        <f>IF(AND('Sites'!$E$6=1,C33&gt;='Sites'!$F$6,C33&lt;='Sites'!$G$6),1,0)</f>
        <v/>
      </c>
      <c r="F33" s="160">
        <f>E33*'Assumptions'!AE67</f>
        <v/>
      </c>
      <c r="G33" s="160">
        <f>V32</f>
        <v/>
      </c>
      <c r="H33" s="160">
        <f>W32</f>
        <v/>
      </c>
      <c r="I33" s="160">
        <f>X32</f>
        <v/>
      </c>
      <c r="J33" s="160">
        <f>MAX(0,'Sites'!$K$6-SUM(N30:N32))</f>
        <v/>
      </c>
      <c r="K33" s="160">
        <f>IF('Sites'!$C$6="Own sheets",MIN(ROUNDDOWN(G33/'NM Play'!$B$11,0)+F33*'NM Play'!$B$10/'NM Play'!$B$43,ROUNDDOWN(H33/'NM Play'!$B$12,0)+F33*'NM Play'!$B$10/'NM Play'!$B$44,(F33*'NM Play'!$B$10+ROUNDDOWN(G33/'NM Play'!$B$11,0)*'NM Play'!$B$43+ROUNDDOWN(H33/'NM Play'!$B$12,0)*'NM Play'!$B$44)/('NM Play'!$B$43+'NM Play'!$B$44)),ROUNDDOWN(G33/'NM Play'!$B$11,0)+F33*'NM Play'!$B$10/'NM Play'!$B$43)</f>
        <v/>
      </c>
      <c r="L33" s="160">
        <f>MIN(ROUNDDOWN(G33/'NM Play'!$B$11,0)+F33/('NM Play'!$B$43/'NM Play'!$B$15),ROUNDDOWN(H33/'NM Play'!$B$12,0)+F33/('NM Play'!$B$44/'NM Play'!$B$16),(F33+ROUNDDOWN(G33/'NM Play'!$B$11,0)*'NM Play'!$B$43/'NM Play'!$B$15+ROUNDDOWN(H33/'NM Play'!$B$12,0)*'NM Play'!$B$44/'NM Play'!$B$16)/('NM Play'!$B$43/'NM Play'!$B$15+'NM Play'!$B$44/'NM Play'!$B$16))</f>
        <v/>
      </c>
      <c r="M33" s="160">
        <f>F33*'NM Play'!$B$36</f>
        <v/>
      </c>
      <c r="N33" s="160">
        <f>ROUNDDOWN(MAX(0,MIN(J33,K33:M33)),0)</f>
        <v/>
      </c>
      <c r="O33" s="160">
        <f>ROUNDUP(MAX(0,N33*'NM Play'!$B$11-G33)/'NM Play'!$B$13,0)</f>
        <v/>
      </c>
      <c r="P33" s="160">
        <f>ROUNDUP(MAX(0,N33*'NM Play'!$B$12-H33)/'NM Play'!$B$14,0)</f>
        <v/>
      </c>
      <c r="Q33" s="160">
        <f>(O33+IF('Sites'!$C$6="Own sheets",P33,0))/'NM Play'!$B$10</f>
        <v/>
      </c>
      <c r="R33" s="160">
        <f>O33/'NM Play'!$B$15+P33/'NM Play'!$B$16</f>
        <v/>
      </c>
      <c r="S33" s="160">
        <f>MAX(Q33,R33,N33/'NM Play'!$B$36)</f>
        <v/>
      </c>
      <c r="T33" s="160">
        <f>Q33*'NM Play'!$B$10*'NM Play'!$B$21*(1+'NM Play'!$B$35)</f>
        <v/>
      </c>
      <c r="U33" s="160">
        <f>MAX(0,T33-I33)</f>
        <v/>
      </c>
      <c r="V33" s="160">
        <f>G33+O33*'NM Play'!$B$13-N33*'NM Play'!$B$11</f>
        <v/>
      </c>
      <c r="W33" s="160">
        <f>H33+P33*'NM Play'!$B$14-N33*'NM Play'!$B$12</f>
        <v/>
      </c>
      <c r="X33" s="160">
        <f>I33+U33-T33</f>
        <v/>
      </c>
      <c r="Y33" s="160">
        <f>MIN(N33,MAX(0,ROUNDDOWN('Sites'!$N$6*'Cases'!$E$6,0)-SUM(Y30:Y32)))</f>
        <v/>
      </c>
      <c r="Z33" s="160">
        <f>N33-Y33</f>
        <v/>
      </c>
      <c r="AA33" s="160">
        <f>U33*'NM Play'!$B$22</f>
        <v/>
      </c>
      <c r="AB33" s="160">
        <f>N33*SUM('NM Play'!$B$29:$B$31)</f>
        <v/>
      </c>
      <c r="AC33" s="160">
        <f>IF('Sites'!$C$6="Defy legs",P33*'NM Play'!$B$14/'NM Play'!$B$12*'NM Play'!$B$28,0)</f>
        <v/>
      </c>
      <c r="AD33" s="160">
        <f>Q33*'NM Play'!$B$23</f>
        <v/>
      </c>
      <c r="AE33" s="160">
        <f>S33*SUM('NM Play'!$B$26,'NM Play'!$B$33:$B$34)</f>
        <v/>
      </c>
      <c r="AF33" s="160">
        <f>IF('Sites'!$D$6="NM crew",S33*SUM('NM Play'!$B$24:$B$25),0)</f>
        <v/>
      </c>
      <c r="AG33" s="160">
        <f>IF('Sites'!$D$6="NM crew",S33*'NM Play'!$B$27,0)</f>
        <v/>
      </c>
      <c r="AH33" s="160">
        <f>N33*'Sites'!$Z$6*'NM Play'!$B$32</f>
        <v/>
      </c>
      <c r="AI33" s="160">
        <f>SUM(Y33:Z33)*'Sites'!$R$6</f>
        <v/>
      </c>
      <c r="AJ33" s="160">
        <f>SUM(AA33:AH33)</f>
        <v/>
      </c>
      <c r="AK33" s="160">
        <f>AJ33+(T33-U33)*'NM Play'!$B$22+MIN(G33,N33*'NM Play'!$B$11)/'NM Play'!$B$13*'NM Play'!$B$21*'NM Play'!$B$22+MIN(H33,N33*'NM Play'!$B$12)/'NM Play'!$B$14*IF('Sites'!$C$6="Own sheets",'NM Play'!$B$21*'NM Play'!$B$22,'NM Play'!$B$28*'NM Play'!$B$14/'NM Play'!$B$12)</f>
        <v/>
      </c>
      <c r="AL33" s="160">
        <f>Y33*'Assumptions'!AE66</f>
        <v/>
      </c>
      <c r="AM33" s="160">
        <f>IF('Sites'!$D$6="NM crew",S33*'NM Play'!$B$37*(1+IF(AND(ISNUMBER('NM Play'!$B$25),'NM Play'!$B$25&gt;0),1,0)),"")</f>
        <v/>
      </c>
      <c r="AN33" s="160">
        <f>IF(OR('Sites'!$E$6&lt;0,'Sites'!$E$6&gt;1,'Sites'!$F$6&lt;1,'Sites'!$G$6&lt;'Sites'!$F$6,F33&lt;0,MIN('Sites'!$I$6:'Sites'!$R$6)&lt;0,'Sites'!$L$6&gt;'Sites'!$I$6,'Sites'!$M$6&gt;'Sites'!$J$6,'Sites'!$N$6&gt;'Sites'!$K$6,'Sites'!$Z$6&lt;0,'Sites'!$Z$6&gt;1,MIN('Sites'!$AA$6:'Sites'!$AC$6)&lt;0,S33&gt;F33+0.001),1,0)</f>
        <v/>
      </c>
      <c r="AO33" s="160">
        <f>I33+U33-T33-X33</f>
        <v/>
      </c>
    </row>
    <row r="34" ht="28" customHeight="1">
      <c r="A34" s="4" t="inlineStr">
        <is>
          <t>Full</t>
        </is>
      </c>
      <c r="B34" s="4" t="inlineStr">
        <is>
          <t>WITTA</t>
        </is>
      </c>
      <c r="C34" s="160" t="n">
        <v>29</v>
      </c>
      <c r="D34" s="160">
        <f>ROUNDUP(C34/12,0)</f>
        <v/>
      </c>
      <c r="E34" s="160">
        <f>IF(AND('Sites'!$E$6=1,C34&gt;='Sites'!$F$6,C34&lt;='Sites'!$G$6),1,0)</f>
        <v/>
      </c>
      <c r="F34" s="160">
        <f>E34*'Assumptions'!AF67</f>
        <v/>
      </c>
      <c r="G34" s="160">
        <f>V33</f>
        <v/>
      </c>
      <c r="H34" s="160">
        <f>W33</f>
        <v/>
      </c>
      <c r="I34" s="160">
        <f>X33</f>
        <v/>
      </c>
      <c r="J34" s="160">
        <f>MAX(0,'Sites'!$K$6-SUM(N30:N33))</f>
        <v/>
      </c>
      <c r="K34" s="160">
        <f>IF('Sites'!$C$6="Own sheets",MIN(ROUNDDOWN(G34/'NM Play'!$B$11,0)+F34*'NM Play'!$B$10/'NM Play'!$B$43,ROUNDDOWN(H34/'NM Play'!$B$12,0)+F34*'NM Play'!$B$10/'NM Play'!$B$44,(F34*'NM Play'!$B$10+ROUNDDOWN(G34/'NM Play'!$B$11,0)*'NM Play'!$B$43+ROUNDDOWN(H34/'NM Play'!$B$12,0)*'NM Play'!$B$44)/('NM Play'!$B$43+'NM Play'!$B$44)),ROUNDDOWN(G34/'NM Play'!$B$11,0)+F34*'NM Play'!$B$10/'NM Play'!$B$43)</f>
        <v/>
      </c>
      <c r="L34" s="160">
        <f>MIN(ROUNDDOWN(G34/'NM Play'!$B$11,0)+F34/('NM Play'!$B$43/'NM Play'!$B$15),ROUNDDOWN(H34/'NM Play'!$B$12,0)+F34/('NM Play'!$B$44/'NM Play'!$B$16),(F34+ROUNDDOWN(G34/'NM Play'!$B$11,0)*'NM Play'!$B$43/'NM Play'!$B$15+ROUNDDOWN(H34/'NM Play'!$B$12,0)*'NM Play'!$B$44/'NM Play'!$B$16)/('NM Play'!$B$43/'NM Play'!$B$15+'NM Play'!$B$44/'NM Play'!$B$16))</f>
        <v/>
      </c>
      <c r="M34" s="160">
        <f>F34*'NM Play'!$B$36</f>
        <v/>
      </c>
      <c r="N34" s="160">
        <f>ROUNDDOWN(MAX(0,MIN(J34,K34:M34)),0)</f>
        <v/>
      </c>
      <c r="O34" s="160">
        <f>ROUNDUP(MAX(0,N34*'NM Play'!$B$11-G34)/'NM Play'!$B$13,0)</f>
        <v/>
      </c>
      <c r="P34" s="160">
        <f>ROUNDUP(MAX(0,N34*'NM Play'!$B$12-H34)/'NM Play'!$B$14,0)</f>
        <v/>
      </c>
      <c r="Q34" s="160">
        <f>(O34+IF('Sites'!$C$6="Own sheets",P34,0))/'NM Play'!$B$10</f>
        <v/>
      </c>
      <c r="R34" s="160">
        <f>O34/'NM Play'!$B$15+P34/'NM Play'!$B$16</f>
        <v/>
      </c>
      <c r="S34" s="160">
        <f>MAX(Q34,R34,N34/'NM Play'!$B$36)</f>
        <v/>
      </c>
      <c r="T34" s="160">
        <f>Q34*'NM Play'!$B$10*'NM Play'!$B$21*(1+'NM Play'!$B$35)</f>
        <v/>
      </c>
      <c r="U34" s="160">
        <f>MAX(0,T34-I34)</f>
        <v/>
      </c>
      <c r="V34" s="160">
        <f>G34+O34*'NM Play'!$B$13-N34*'NM Play'!$B$11</f>
        <v/>
      </c>
      <c r="W34" s="160">
        <f>H34+P34*'NM Play'!$B$14-N34*'NM Play'!$B$12</f>
        <v/>
      </c>
      <c r="X34" s="160">
        <f>I34+U34-T34</f>
        <v/>
      </c>
      <c r="Y34" s="160">
        <f>MIN(N34,MAX(0,ROUNDDOWN('Sites'!$N$6*'Cases'!$E$6,0)-SUM(Y30:Y33)))</f>
        <v/>
      </c>
      <c r="Z34" s="160">
        <f>N34-Y34</f>
        <v/>
      </c>
      <c r="AA34" s="160">
        <f>U34*'NM Play'!$B$22</f>
        <v/>
      </c>
      <c r="AB34" s="160">
        <f>N34*SUM('NM Play'!$B$29:$B$31)</f>
        <v/>
      </c>
      <c r="AC34" s="160">
        <f>IF('Sites'!$C$6="Defy legs",P34*'NM Play'!$B$14/'NM Play'!$B$12*'NM Play'!$B$28,0)</f>
        <v/>
      </c>
      <c r="AD34" s="160">
        <f>Q34*'NM Play'!$B$23</f>
        <v/>
      </c>
      <c r="AE34" s="160">
        <f>S34*SUM('NM Play'!$B$26,'NM Play'!$B$33:$B$34)</f>
        <v/>
      </c>
      <c r="AF34" s="160">
        <f>IF('Sites'!$D$6="NM crew",S34*SUM('NM Play'!$B$24:$B$25),0)</f>
        <v/>
      </c>
      <c r="AG34" s="160">
        <f>IF('Sites'!$D$6="NM crew",S34*'NM Play'!$B$27,0)</f>
        <v/>
      </c>
      <c r="AH34" s="160">
        <f>N34*'Sites'!$Z$6*'NM Play'!$B$32</f>
        <v/>
      </c>
      <c r="AI34" s="160">
        <f>SUM(Y34:Z34)*'Sites'!$R$6</f>
        <v/>
      </c>
      <c r="AJ34" s="160">
        <f>SUM(AA34:AH34)</f>
        <v/>
      </c>
      <c r="AK34" s="160">
        <f>AJ34+(T34-U34)*'NM Play'!$B$22+MIN(G34,N34*'NM Play'!$B$11)/'NM Play'!$B$13*'NM Play'!$B$21*'NM Play'!$B$22+MIN(H34,N34*'NM Play'!$B$12)/'NM Play'!$B$14*IF('Sites'!$C$6="Own sheets",'NM Play'!$B$21*'NM Play'!$B$22,'NM Play'!$B$28*'NM Play'!$B$14/'NM Play'!$B$12)</f>
        <v/>
      </c>
      <c r="AL34" s="160">
        <f>Y34*'Assumptions'!AF66</f>
        <v/>
      </c>
      <c r="AM34" s="160">
        <f>IF('Sites'!$D$6="NM crew",S34*'NM Play'!$B$37*(1+IF(AND(ISNUMBER('NM Play'!$B$25),'NM Play'!$B$25&gt;0),1,0)),"")</f>
        <v/>
      </c>
      <c r="AN34" s="160">
        <f>IF(OR('Sites'!$E$6&lt;0,'Sites'!$E$6&gt;1,'Sites'!$F$6&lt;1,'Sites'!$G$6&lt;'Sites'!$F$6,F34&lt;0,MIN('Sites'!$I$6:'Sites'!$R$6)&lt;0,'Sites'!$L$6&gt;'Sites'!$I$6,'Sites'!$M$6&gt;'Sites'!$J$6,'Sites'!$N$6&gt;'Sites'!$K$6,'Sites'!$Z$6&lt;0,'Sites'!$Z$6&gt;1,MIN('Sites'!$AA$6:'Sites'!$AC$6)&lt;0,S34&gt;F34+0.001),1,0)</f>
        <v/>
      </c>
      <c r="AO34" s="160">
        <f>I34+U34-T34-X34</f>
        <v/>
      </c>
    </row>
    <row r="35" ht="28" customHeight="1">
      <c r="A35" s="4" t="inlineStr">
        <is>
          <t>Full</t>
        </is>
      </c>
      <c r="B35" s="4" t="inlineStr">
        <is>
          <t>WITTA</t>
        </is>
      </c>
      <c r="C35" s="160" t="n">
        <v>30</v>
      </c>
      <c r="D35" s="160">
        <f>ROUNDUP(C35/12,0)</f>
        <v/>
      </c>
      <c r="E35" s="160">
        <f>IF(AND('Sites'!$E$6=1,C35&gt;='Sites'!$F$6,C35&lt;='Sites'!$G$6),1,0)</f>
        <v/>
      </c>
      <c r="F35" s="160">
        <f>E35*'Assumptions'!AG67</f>
        <v/>
      </c>
      <c r="G35" s="160">
        <f>V34</f>
        <v/>
      </c>
      <c r="H35" s="160">
        <f>W34</f>
        <v/>
      </c>
      <c r="I35" s="160">
        <f>X34</f>
        <v/>
      </c>
      <c r="J35" s="160">
        <f>MAX(0,'Sites'!$K$6-SUM(N30:N34))</f>
        <v/>
      </c>
      <c r="K35" s="160">
        <f>IF('Sites'!$C$6="Own sheets",MIN(ROUNDDOWN(G35/'NM Play'!$B$11,0)+F35*'NM Play'!$B$10/'NM Play'!$B$43,ROUNDDOWN(H35/'NM Play'!$B$12,0)+F35*'NM Play'!$B$10/'NM Play'!$B$44,(F35*'NM Play'!$B$10+ROUNDDOWN(G35/'NM Play'!$B$11,0)*'NM Play'!$B$43+ROUNDDOWN(H35/'NM Play'!$B$12,0)*'NM Play'!$B$44)/('NM Play'!$B$43+'NM Play'!$B$44)),ROUNDDOWN(G35/'NM Play'!$B$11,0)+F35*'NM Play'!$B$10/'NM Play'!$B$43)</f>
        <v/>
      </c>
      <c r="L35" s="160">
        <f>MIN(ROUNDDOWN(G35/'NM Play'!$B$11,0)+F35/('NM Play'!$B$43/'NM Play'!$B$15),ROUNDDOWN(H35/'NM Play'!$B$12,0)+F35/('NM Play'!$B$44/'NM Play'!$B$16),(F35+ROUNDDOWN(G35/'NM Play'!$B$11,0)*'NM Play'!$B$43/'NM Play'!$B$15+ROUNDDOWN(H35/'NM Play'!$B$12,0)*'NM Play'!$B$44/'NM Play'!$B$16)/('NM Play'!$B$43/'NM Play'!$B$15+'NM Play'!$B$44/'NM Play'!$B$16))</f>
        <v/>
      </c>
      <c r="M35" s="160">
        <f>F35*'NM Play'!$B$36</f>
        <v/>
      </c>
      <c r="N35" s="160">
        <f>ROUNDDOWN(MAX(0,MIN(J35,K35:M35)),0)</f>
        <v/>
      </c>
      <c r="O35" s="160">
        <f>ROUNDUP(MAX(0,N35*'NM Play'!$B$11-G35)/'NM Play'!$B$13,0)</f>
        <v/>
      </c>
      <c r="P35" s="160">
        <f>ROUNDUP(MAX(0,N35*'NM Play'!$B$12-H35)/'NM Play'!$B$14,0)</f>
        <v/>
      </c>
      <c r="Q35" s="160">
        <f>(O35+IF('Sites'!$C$6="Own sheets",P35,0))/'NM Play'!$B$10</f>
        <v/>
      </c>
      <c r="R35" s="160">
        <f>O35/'NM Play'!$B$15+P35/'NM Play'!$B$16</f>
        <v/>
      </c>
      <c r="S35" s="160">
        <f>MAX(Q35,R35,N35/'NM Play'!$B$36)</f>
        <v/>
      </c>
      <c r="T35" s="160">
        <f>Q35*'NM Play'!$B$10*'NM Play'!$B$21*(1+'NM Play'!$B$35)</f>
        <v/>
      </c>
      <c r="U35" s="160">
        <f>MAX(0,T35-I35)</f>
        <v/>
      </c>
      <c r="V35" s="160">
        <f>G35+O35*'NM Play'!$B$13-N35*'NM Play'!$B$11</f>
        <v/>
      </c>
      <c r="W35" s="160">
        <f>H35+P35*'NM Play'!$B$14-N35*'NM Play'!$B$12</f>
        <v/>
      </c>
      <c r="X35" s="160">
        <f>I35+U35-T35</f>
        <v/>
      </c>
      <c r="Y35" s="160">
        <f>MIN(N35,MAX(0,ROUNDDOWN('Sites'!$N$6*'Cases'!$E$6,0)-SUM(Y30:Y34)))</f>
        <v/>
      </c>
      <c r="Z35" s="160">
        <f>N35-Y35</f>
        <v/>
      </c>
      <c r="AA35" s="160">
        <f>U35*'NM Play'!$B$22</f>
        <v/>
      </c>
      <c r="AB35" s="160">
        <f>N35*SUM('NM Play'!$B$29:$B$31)</f>
        <v/>
      </c>
      <c r="AC35" s="160">
        <f>IF('Sites'!$C$6="Defy legs",P35*'NM Play'!$B$14/'NM Play'!$B$12*'NM Play'!$B$28,0)</f>
        <v/>
      </c>
      <c r="AD35" s="160">
        <f>Q35*'NM Play'!$B$23</f>
        <v/>
      </c>
      <c r="AE35" s="160">
        <f>S35*SUM('NM Play'!$B$26,'NM Play'!$B$33:$B$34)</f>
        <v/>
      </c>
      <c r="AF35" s="160">
        <f>IF('Sites'!$D$6="NM crew",S35*SUM('NM Play'!$B$24:$B$25),0)</f>
        <v/>
      </c>
      <c r="AG35" s="160">
        <f>IF('Sites'!$D$6="NM crew",S35*'NM Play'!$B$27,0)</f>
        <v/>
      </c>
      <c r="AH35" s="160">
        <f>N35*'Sites'!$Z$6*'NM Play'!$B$32</f>
        <v/>
      </c>
      <c r="AI35" s="160">
        <f>SUM(Y35:Z35)*'Sites'!$R$6</f>
        <v/>
      </c>
      <c r="AJ35" s="160">
        <f>SUM(AA35:AH35)</f>
        <v/>
      </c>
      <c r="AK35" s="160">
        <f>AJ35+(T35-U35)*'NM Play'!$B$22+MIN(G35,N35*'NM Play'!$B$11)/'NM Play'!$B$13*'NM Play'!$B$21*'NM Play'!$B$22+MIN(H35,N35*'NM Play'!$B$12)/'NM Play'!$B$14*IF('Sites'!$C$6="Own sheets",'NM Play'!$B$21*'NM Play'!$B$22,'NM Play'!$B$28*'NM Play'!$B$14/'NM Play'!$B$12)</f>
        <v/>
      </c>
      <c r="AL35" s="160">
        <f>Y35*'Assumptions'!AG66</f>
        <v/>
      </c>
      <c r="AM35" s="160">
        <f>IF('Sites'!$D$6="NM crew",S35*'NM Play'!$B$37*(1+IF(AND(ISNUMBER('NM Play'!$B$25),'NM Play'!$B$25&gt;0),1,0)),"")</f>
        <v/>
      </c>
      <c r="AN35" s="160">
        <f>IF(OR('Sites'!$E$6&lt;0,'Sites'!$E$6&gt;1,'Sites'!$F$6&lt;1,'Sites'!$G$6&lt;'Sites'!$F$6,F35&lt;0,MIN('Sites'!$I$6:'Sites'!$R$6)&lt;0,'Sites'!$L$6&gt;'Sites'!$I$6,'Sites'!$M$6&gt;'Sites'!$J$6,'Sites'!$N$6&gt;'Sites'!$K$6,'Sites'!$Z$6&lt;0,'Sites'!$Z$6&gt;1,MIN('Sites'!$AA$6:'Sites'!$AC$6)&lt;0,S35&gt;F35+0.001),1,0)</f>
        <v/>
      </c>
      <c r="AO35" s="160">
        <f>I35+U35-T35-X35</f>
        <v/>
      </c>
    </row>
    <row r="36" ht="28" customHeight="1">
      <c r="A36" s="4" t="inlineStr">
        <is>
          <t>Full</t>
        </is>
      </c>
      <c r="B36" s="4" t="inlineStr">
        <is>
          <t>WITTA</t>
        </is>
      </c>
      <c r="C36" s="160" t="n">
        <v>31</v>
      </c>
      <c r="D36" s="160">
        <f>ROUNDUP(C36/12,0)</f>
        <v/>
      </c>
      <c r="E36" s="160">
        <f>IF(AND('Sites'!$E$6=1,C36&gt;='Sites'!$F$6,C36&lt;='Sites'!$G$6),1,0)</f>
        <v/>
      </c>
      <c r="F36" s="160">
        <f>E36*'Assumptions'!AH67</f>
        <v/>
      </c>
      <c r="G36" s="160">
        <f>V35</f>
        <v/>
      </c>
      <c r="H36" s="160">
        <f>W35</f>
        <v/>
      </c>
      <c r="I36" s="160">
        <f>X35</f>
        <v/>
      </c>
      <c r="J36" s="160">
        <f>MAX(0,'Sites'!$K$6-SUM(N30:N35))</f>
        <v/>
      </c>
      <c r="K36" s="160">
        <f>IF('Sites'!$C$6="Own sheets",MIN(ROUNDDOWN(G36/'NM Play'!$B$11,0)+F36*'NM Play'!$B$10/'NM Play'!$B$43,ROUNDDOWN(H36/'NM Play'!$B$12,0)+F36*'NM Play'!$B$10/'NM Play'!$B$44,(F36*'NM Play'!$B$10+ROUNDDOWN(G36/'NM Play'!$B$11,0)*'NM Play'!$B$43+ROUNDDOWN(H36/'NM Play'!$B$12,0)*'NM Play'!$B$44)/('NM Play'!$B$43+'NM Play'!$B$44)),ROUNDDOWN(G36/'NM Play'!$B$11,0)+F36*'NM Play'!$B$10/'NM Play'!$B$43)</f>
        <v/>
      </c>
      <c r="L36" s="160">
        <f>MIN(ROUNDDOWN(G36/'NM Play'!$B$11,0)+F36/('NM Play'!$B$43/'NM Play'!$B$15),ROUNDDOWN(H36/'NM Play'!$B$12,0)+F36/('NM Play'!$B$44/'NM Play'!$B$16),(F36+ROUNDDOWN(G36/'NM Play'!$B$11,0)*'NM Play'!$B$43/'NM Play'!$B$15+ROUNDDOWN(H36/'NM Play'!$B$12,0)*'NM Play'!$B$44/'NM Play'!$B$16)/('NM Play'!$B$43/'NM Play'!$B$15+'NM Play'!$B$44/'NM Play'!$B$16))</f>
        <v/>
      </c>
      <c r="M36" s="160">
        <f>F36*'NM Play'!$B$36</f>
        <v/>
      </c>
      <c r="N36" s="160">
        <f>ROUNDDOWN(MAX(0,MIN(J36,K36:M36)),0)</f>
        <v/>
      </c>
      <c r="O36" s="160">
        <f>ROUNDUP(MAX(0,N36*'NM Play'!$B$11-G36)/'NM Play'!$B$13,0)</f>
        <v/>
      </c>
      <c r="P36" s="160">
        <f>ROUNDUP(MAX(0,N36*'NM Play'!$B$12-H36)/'NM Play'!$B$14,0)</f>
        <v/>
      </c>
      <c r="Q36" s="160">
        <f>(O36+IF('Sites'!$C$6="Own sheets",P36,0))/'NM Play'!$B$10</f>
        <v/>
      </c>
      <c r="R36" s="160">
        <f>O36/'NM Play'!$B$15+P36/'NM Play'!$B$16</f>
        <v/>
      </c>
      <c r="S36" s="160">
        <f>MAX(Q36,R36,N36/'NM Play'!$B$36)</f>
        <v/>
      </c>
      <c r="T36" s="160">
        <f>Q36*'NM Play'!$B$10*'NM Play'!$B$21*(1+'NM Play'!$B$35)</f>
        <v/>
      </c>
      <c r="U36" s="160">
        <f>MAX(0,T36-I36)</f>
        <v/>
      </c>
      <c r="V36" s="160">
        <f>G36+O36*'NM Play'!$B$13-N36*'NM Play'!$B$11</f>
        <v/>
      </c>
      <c r="W36" s="160">
        <f>H36+P36*'NM Play'!$B$14-N36*'NM Play'!$B$12</f>
        <v/>
      </c>
      <c r="X36" s="160">
        <f>I36+U36-T36</f>
        <v/>
      </c>
      <c r="Y36" s="160">
        <f>MIN(N36,MAX(0,ROUNDDOWN('Sites'!$N$6*'Cases'!$E$6,0)-SUM(Y30:Y35)))</f>
        <v/>
      </c>
      <c r="Z36" s="160">
        <f>N36-Y36</f>
        <v/>
      </c>
      <c r="AA36" s="160">
        <f>U36*'NM Play'!$B$22</f>
        <v/>
      </c>
      <c r="AB36" s="160">
        <f>N36*SUM('NM Play'!$B$29:$B$31)</f>
        <v/>
      </c>
      <c r="AC36" s="160">
        <f>IF('Sites'!$C$6="Defy legs",P36*'NM Play'!$B$14/'NM Play'!$B$12*'NM Play'!$B$28,0)</f>
        <v/>
      </c>
      <c r="AD36" s="160">
        <f>Q36*'NM Play'!$B$23</f>
        <v/>
      </c>
      <c r="AE36" s="160">
        <f>S36*SUM('NM Play'!$B$26,'NM Play'!$B$33:$B$34)</f>
        <v/>
      </c>
      <c r="AF36" s="160">
        <f>IF('Sites'!$D$6="NM crew",S36*SUM('NM Play'!$B$24:$B$25),0)</f>
        <v/>
      </c>
      <c r="AG36" s="160">
        <f>IF('Sites'!$D$6="NM crew",S36*'NM Play'!$B$27,0)</f>
        <v/>
      </c>
      <c r="AH36" s="160">
        <f>N36*'Sites'!$Z$6*'NM Play'!$B$32</f>
        <v/>
      </c>
      <c r="AI36" s="160">
        <f>SUM(Y36:Z36)*'Sites'!$R$6</f>
        <v/>
      </c>
      <c r="AJ36" s="160">
        <f>SUM(AA36:AH36)</f>
        <v/>
      </c>
      <c r="AK36" s="160">
        <f>AJ36+(T36-U36)*'NM Play'!$B$22+MIN(G36,N36*'NM Play'!$B$11)/'NM Play'!$B$13*'NM Play'!$B$21*'NM Play'!$B$22+MIN(H36,N36*'NM Play'!$B$12)/'NM Play'!$B$14*IF('Sites'!$C$6="Own sheets",'NM Play'!$B$21*'NM Play'!$B$22,'NM Play'!$B$28*'NM Play'!$B$14/'NM Play'!$B$12)</f>
        <v/>
      </c>
      <c r="AL36" s="160">
        <f>Y36*'Assumptions'!AH66</f>
        <v/>
      </c>
      <c r="AM36" s="160">
        <f>IF('Sites'!$D$6="NM crew",S36*'NM Play'!$B$37*(1+IF(AND(ISNUMBER('NM Play'!$B$25),'NM Play'!$B$25&gt;0),1,0)),"")</f>
        <v/>
      </c>
      <c r="AN36" s="160">
        <f>IF(OR('Sites'!$E$6&lt;0,'Sites'!$E$6&gt;1,'Sites'!$F$6&lt;1,'Sites'!$G$6&lt;'Sites'!$F$6,F36&lt;0,MIN('Sites'!$I$6:'Sites'!$R$6)&lt;0,'Sites'!$L$6&gt;'Sites'!$I$6,'Sites'!$M$6&gt;'Sites'!$J$6,'Sites'!$N$6&gt;'Sites'!$K$6,'Sites'!$Z$6&lt;0,'Sites'!$Z$6&gt;1,MIN('Sites'!$AA$6:'Sites'!$AC$6)&lt;0,S36&gt;F36+0.001),1,0)</f>
        <v/>
      </c>
      <c r="AO36" s="160">
        <f>I36+U36-T36-X36</f>
        <v/>
      </c>
    </row>
    <row r="37" ht="28" customHeight="1">
      <c r="A37" s="4" t="inlineStr">
        <is>
          <t>Full</t>
        </is>
      </c>
      <c r="B37" s="4" t="inlineStr">
        <is>
          <t>WITTA</t>
        </is>
      </c>
      <c r="C37" s="160" t="n">
        <v>32</v>
      </c>
      <c r="D37" s="160">
        <f>ROUNDUP(C37/12,0)</f>
        <v/>
      </c>
      <c r="E37" s="160">
        <f>IF(AND('Sites'!$E$6=1,C37&gt;='Sites'!$F$6,C37&lt;='Sites'!$G$6),1,0)</f>
        <v/>
      </c>
      <c r="F37" s="160">
        <f>E37*'Assumptions'!AI67</f>
        <v/>
      </c>
      <c r="G37" s="160">
        <f>V36</f>
        <v/>
      </c>
      <c r="H37" s="160">
        <f>W36</f>
        <v/>
      </c>
      <c r="I37" s="160">
        <f>X36</f>
        <v/>
      </c>
      <c r="J37" s="160">
        <f>MAX(0,'Sites'!$K$6-SUM(N30:N36))</f>
        <v/>
      </c>
      <c r="K37" s="160">
        <f>IF('Sites'!$C$6="Own sheets",MIN(ROUNDDOWN(G37/'NM Play'!$B$11,0)+F37*'NM Play'!$B$10/'NM Play'!$B$43,ROUNDDOWN(H37/'NM Play'!$B$12,0)+F37*'NM Play'!$B$10/'NM Play'!$B$44,(F37*'NM Play'!$B$10+ROUNDDOWN(G37/'NM Play'!$B$11,0)*'NM Play'!$B$43+ROUNDDOWN(H37/'NM Play'!$B$12,0)*'NM Play'!$B$44)/('NM Play'!$B$43+'NM Play'!$B$44)),ROUNDDOWN(G37/'NM Play'!$B$11,0)+F37*'NM Play'!$B$10/'NM Play'!$B$43)</f>
        <v/>
      </c>
      <c r="L37" s="160">
        <f>MIN(ROUNDDOWN(G37/'NM Play'!$B$11,0)+F37/('NM Play'!$B$43/'NM Play'!$B$15),ROUNDDOWN(H37/'NM Play'!$B$12,0)+F37/('NM Play'!$B$44/'NM Play'!$B$16),(F37+ROUNDDOWN(G37/'NM Play'!$B$11,0)*'NM Play'!$B$43/'NM Play'!$B$15+ROUNDDOWN(H37/'NM Play'!$B$12,0)*'NM Play'!$B$44/'NM Play'!$B$16)/('NM Play'!$B$43/'NM Play'!$B$15+'NM Play'!$B$44/'NM Play'!$B$16))</f>
        <v/>
      </c>
      <c r="M37" s="160">
        <f>F37*'NM Play'!$B$36</f>
        <v/>
      </c>
      <c r="N37" s="160">
        <f>ROUNDDOWN(MAX(0,MIN(J37,K37:M37)),0)</f>
        <v/>
      </c>
      <c r="O37" s="160">
        <f>ROUNDUP(MAX(0,N37*'NM Play'!$B$11-G37)/'NM Play'!$B$13,0)</f>
        <v/>
      </c>
      <c r="P37" s="160">
        <f>ROUNDUP(MAX(0,N37*'NM Play'!$B$12-H37)/'NM Play'!$B$14,0)</f>
        <v/>
      </c>
      <c r="Q37" s="160">
        <f>(O37+IF('Sites'!$C$6="Own sheets",P37,0))/'NM Play'!$B$10</f>
        <v/>
      </c>
      <c r="R37" s="160">
        <f>O37/'NM Play'!$B$15+P37/'NM Play'!$B$16</f>
        <v/>
      </c>
      <c r="S37" s="160">
        <f>MAX(Q37,R37,N37/'NM Play'!$B$36)</f>
        <v/>
      </c>
      <c r="T37" s="160">
        <f>Q37*'NM Play'!$B$10*'NM Play'!$B$21*(1+'NM Play'!$B$35)</f>
        <v/>
      </c>
      <c r="U37" s="160">
        <f>MAX(0,T37-I37)</f>
        <v/>
      </c>
      <c r="V37" s="160">
        <f>G37+O37*'NM Play'!$B$13-N37*'NM Play'!$B$11</f>
        <v/>
      </c>
      <c r="W37" s="160">
        <f>H37+P37*'NM Play'!$B$14-N37*'NM Play'!$B$12</f>
        <v/>
      </c>
      <c r="X37" s="160">
        <f>I37+U37-T37</f>
        <v/>
      </c>
      <c r="Y37" s="160">
        <f>MIN(N37,MAX(0,ROUNDDOWN('Sites'!$N$6*'Cases'!$E$6,0)-SUM(Y30:Y36)))</f>
        <v/>
      </c>
      <c r="Z37" s="160">
        <f>N37-Y37</f>
        <v/>
      </c>
      <c r="AA37" s="160">
        <f>U37*'NM Play'!$B$22</f>
        <v/>
      </c>
      <c r="AB37" s="160">
        <f>N37*SUM('NM Play'!$B$29:$B$31)</f>
        <v/>
      </c>
      <c r="AC37" s="160">
        <f>IF('Sites'!$C$6="Defy legs",P37*'NM Play'!$B$14/'NM Play'!$B$12*'NM Play'!$B$28,0)</f>
        <v/>
      </c>
      <c r="AD37" s="160">
        <f>Q37*'NM Play'!$B$23</f>
        <v/>
      </c>
      <c r="AE37" s="160">
        <f>S37*SUM('NM Play'!$B$26,'NM Play'!$B$33:$B$34)</f>
        <v/>
      </c>
      <c r="AF37" s="160">
        <f>IF('Sites'!$D$6="NM crew",S37*SUM('NM Play'!$B$24:$B$25),0)</f>
        <v/>
      </c>
      <c r="AG37" s="160">
        <f>IF('Sites'!$D$6="NM crew",S37*'NM Play'!$B$27,0)</f>
        <v/>
      </c>
      <c r="AH37" s="160">
        <f>N37*'Sites'!$Z$6*'NM Play'!$B$32</f>
        <v/>
      </c>
      <c r="AI37" s="160">
        <f>SUM(Y37:Z37)*'Sites'!$R$6</f>
        <v/>
      </c>
      <c r="AJ37" s="160">
        <f>SUM(AA37:AH37)</f>
        <v/>
      </c>
      <c r="AK37" s="160">
        <f>AJ37+(T37-U37)*'NM Play'!$B$22+MIN(G37,N37*'NM Play'!$B$11)/'NM Play'!$B$13*'NM Play'!$B$21*'NM Play'!$B$22+MIN(H37,N37*'NM Play'!$B$12)/'NM Play'!$B$14*IF('Sites'!$C$6="Own sheets",'NM Play'!$B$21*'NM Play'!$B$22,'NM Play'!$B$28*'NM Play'!$B$14/'NM Play'!$B$12)</f>
        <v/>
      </c>
      <c r="AL37" s="160">
        <f>Y37*'Assumptions'!AI66</f>
        <v/>
      </c>
      <c r="AM37" s="160">
        <f>IF('Sites'!$D$6="NM crew",S37*'NM Play'!$B$37*(1+IF(AND(ISNUMBER('NM Play'!$B$25),'NM Play'!$B$25&gt;0),1,0)),"")</f>
        <v/>
      </c>
      <c r="AN37" s="160">
        <f>IF(OR('Sites'!$E$6&lt;0,'Sites'!$E$6&gt;1,'Sites'!$F$6&lt;1,'Sites'!$G$6&lt;'Sites'!$F$6,F37&lt;0,MIN('Sites'!$I$6:'Sites'!$R$6)&lt;0,'Sites'!$L$6&gt;'Sites'!$I$6,'Sites'!$M$6&gt;'Sites'!$J$6,'Sites'!$N$6&gt;'Sites'!$K$6,'Sites'!$Z$6&lt;0,'Sites'!$Z$6&gt;1,MIN('Sites'!$AA$6:'Sites'!$AC$6)&lt;0,S37&gt;F37+0.001),1,0)</f>
        <v/>
      </c>
      <c r="AO37" s="160">
        <f>I37+U37-T37-X37</f>
        <v/>
      </c>
    </row>
    <row r="38" ht="28" customHeight="1">
      <c r="A38" s="4" t="inlineStr">
        <is>
          <t>Full</t>
        </is>
      </c>
      <c r="B38" s="4" t="inlineStr">
        <is>
          <t>WITTA</t>
        </is>
      </c>
      <c r="C38" s="160" t="n">
        <v>33</v>
      </c>
      <c r="D38" s="160">
        <f>ROUNDUP(C38/12,0)</f>
        <v/>
      </c>
      <c r="E38" s="160">
        <f>IF(AND('Sites'!$E$6=1,C38&gt;='Sites'!$F$6,C38&lt;='Sites'!$G$6),1,0)</f>
        <v/>
      </c>
      <c r="F38" s="160">
        <f>E38*'Assumptions'!AJ67</f>
        <v/>
      </c>
      <c r="G38" s="160">
        <f>V37</f>
        <v/>
      </c>
      <c r="H38" s="160">
        <f>W37</f>
        <v/>
      </c>
      <c r="I38" s="160">
        <f>X37</f>
        <v/>
      </c>
      <c r="J38" s="160">
        <f>MAX(0,'Sites'!$K$6-SUM(N30:N37))</f>
        <v/>
      </c>
      <c r="K38" s="160">
        <f>IF('Sites'!$C$6="Own sheets",MIN(ROUNDDOWN(G38/'NM Play'!$B$11,0)+F38*'NM Play'!$B$10/'NM Play'!$B$43,ROUNDDOWN(H38/'NM Play'!$B$12,0)+F38*'NM Play'!$B$10/'NM Play'!$B$44,(F38*'NM Play'!$B$10+ROUNDDOWN(G38/'NM Play'!$B$11,0)*'NM Play'!$B$43+ROUNDDOWN(H38/'NM Play'!$B$12,0)*'NM Play'!$B$44)/('NM Play'!$B$43+'NM Play'!$B$44)),ROUNDDOWN(G38/'NM Play'!$B$11,0)+F38*'NM Play'!$B$10/'NM Play'!$B$43)</f>
        <v/>
      </c>
      <c r="L38" s="160">
        <f>MIN(ROUNDDOWN(G38/'NM Play'!$B$11,0)+F38/('NM Play'!$B$43/'NM Play'!$B$15),ROUNDDOWN(H38/'NM Play'!$B$12,0)+F38/('NM Play'!$B$44/'NM Play'!$B$16),(F38+ROUNDDOWN(G38/'NM Play'!$B$11,0)*'NM Play'!$B$43/'NM Play'!$B$15+ROUNDDOWN(H38/'NM Play'!$B$12,0)*'NM Play'!$B$44/'NM Play'!$B$16)/('NM Play'!$B$43/'NM Play'!$B$15+'NM Play'!$B$44/'NM Play'!$B$16))</f>
        <v/>
      </c>
      <c r="M38" s="160">
        <f>F38*'NM Play'!$B$36</f>
        <v/>
      </c>
      <c r="N38" s="160">
        <f>ROUNDDOWN(MAX(0,MIN(J38,K38:M38)),0)</f>
        <v/>
      </c>
      <c r="O38" s="160">
        <f>ROUNDUP(MAX(0,N38*'NM Play'!$B$11-G38)/'NM Play'!$B$13,0)</f>
        <v/>
      </c>
      <c r="P38" s="160">
        <f>ROUNDUP(MAX(0,N38*'NM Play'!$B$12-H38)/'NM Play'!$B$14,0)</f>
        <v/>
      </c>
      <c r="Q38" s="160">
        <f>(O38+IF('Sites'!$C$6="Own sheets",P38,0))/'NM Play'!$B$10</f>
        <v/>
      </c>
      <c r="R38" s="160">
        <f>O38/'NM Play'!$B$15+P38/'NM Play'!$B$16</f>
        <v/>
      </c>
      <c r="S38" s="160">
        <f>MAX(Q38,R38,N38/'NM Play'!$B$36)</f>
        <v/>
      </c>
      <c r="T38" s="160">
        <f>Q38*'NM Play'!$B$10*'NM Play'!$B$21*(1+'NM Play'!$B$35)</f>
        <v/>
      </c>
      <c r="U38" s="160">
        <f>MAX(0,T38-I38)</f>
        <v/>
      </c>
      <c r="V38" s="160">
        <f>G38+O38*'NM Play'!$B$13-N38*'NM Play'!$B$11</f>
        <v/>
      </c>
      <c r="W38" s="160">
        <f>H38+P38*'NM Play'!$B$14-N38*'NM Play'!$B$12</f>
        <v/>
      </c>
      <c r="X38" s="160">
        <f>I38+U38-T38</f>
        <v/>
      </c>
      <c r="Y38" s="160">
        <f>MIN(N38,MAX(0,ROUNDDOWN('Sites'!$N$6*'Cases'!$E$6,0)-SUM(Y30:Y37)))</f>
        <v/>
      </c>
      <c r="Z38" s="160">
        <f>N38-Y38</f>
        <v/>
      </c>
      <c r="AA38" s="160">
        <f>U38*'NM Play'!$B$22</f>
        <v/>
      </c>
      <c r="AB38" s="160">
        <f>N38*SUM('NM Play'!$B$29:$B$31)</f>
        <v/>
      </c>
      <c r="AC38" s="160">
        <f>IF('Sites'!$C$6="Defy legs",P38*'NM Play'!$B$14/'NM Play'!$B$12*'NM Play'!$B$28,0)</f>
        <v/>
      </c>
      <c r="AD38" s="160">
        <f>Q38*'NM Play'!$B$23</f>
        <v/>
      </c>
      <c r="AE38" s="160">
        <f>S38*SUM('NM Play'!$B$26,'NM Play'!$B$33:$B$34)</f>
        <v/>
      </c>
      <c r="AF38" s="160">
        <f>IF('Sites'!$D$6="NM crew",S38*SUM('NM Play'!$B$24:$B$25),0)</f>
        <v/>
      </c>
      <c r="AG38" s="160">
        <f>IF('Sites'!$D$6="NM crew",S38*'NM Play'!$B$27,0)</f>
        <v/>
      </c>
      <c r="AH38" s="160">
        <f>N38*'Sites'!$Z$6*'NM Play'!$B$32</f>
        <v/>
      </c>
      <c r="AI38" s="160">
        <f>SUM(Y38:Z38)*'Sites'!$R$6</f>
        <v/>
      </c>
      <c r="AJ38" s="160">
        <f>SUM(AA38:AH38)</f>
        <v/>
      </c>
      <c r="AK38" s="160">
        <f>AJ38+(T38-U38)*'NM Play'!$B$22+MIN(G38,N38*'NM Play'!$B$11)/'NM Play'!$B$13*'NM Play'!$B$21*'NM Play'!$B$22+MIN(H38,N38*'NM Play'!$B$12)/'NM Play'!$B$14*IF('Sites'!$C$6="Own sheets",'NM Play'!$B$21*'NM Play'!$B$22,'NM Play'!$B$28*'NM Play'!$B$14/'NM Play'!$B$12)</f>
        <v/>
      </c>
      <c r="AL38" s="160">
        <f>Y38*'Assumptions'!AJ66</f>
        <v/>
      </c>
      <c r="AM38" s="160">
        <f>IF('Sites'!$D$6="NM crew",S38*'NM Play'!$B$37*(1+IF(AND(ISNUMBER('NM Play'!$B$25),'NM Play'!$B$25&gt;0),1,0)),"")</f>
        <v/>
      </c>
      <c r="AN38" s="160">
        <f>IF(OR('Sites'!$E$6&lt;0,'Sites'!$E$6&gt;1,'Sites'!$F$6&lt;1,'Sites'!$G$6&lt;'Sites'!$F$6,F38&lt;0,MIN('Sites'!$I$6:'Sites'!$R$6)&lt;0,'Sites'!$L$6&gt;'Sites'!$I$6,'Sites'!$M$6&gt;'Sites'!$J$6,'Sites'!$N$6&gt;'Sites'!$K$6,'Sites'!$Z$6&lt;0,'Sites'!$Z$6&gt;1,MIN('Sites'!$AA$6:'Sites'!$AC$6)&lt;0,S38&gt;F38+0.001),1,0)</f>
        <v/>
      </c>
      <c r="AO38" s="160">
        <f>I38+U38-T38-X38</f>
        <v/>
      </c>
    </row>
    <row r="39" ht="28" customHeight="1">
      <c r="A39" s="4" t="inlineStr">
        <is>
          <t>Full</t>
        </is>
      </c>
      <c r="B39" s="4" t="inlineStr">
        <is>
          <t>WITTA</t>
        </is>
      </c>
      <c r="C39" s="160" t="n">
        <v>34</v>
      </c>
      <c r="D39" s="160">
        <f>ROUNDUP(C39/12,0)</f>
        <v/>
      </c>
      <c r="E39" s="160">
        <f>IF(AND('Sites'!$E$6=1,C39&gt;='Sites'!$F$6,C39&lt;='Sites'!$G$6),1,0)</f>
        <v/>
      </c>
      <c r="F39" s="160">
        <f>E39*'Assumptions'!AK67</f>
        <v/>
      </c>
      <c r="G39" s="160">
        <f>V38</f>
        <v/>
      </c>
      <c r="H39" s="160">
        <f>W38</f>
        <v/>
      </c>
      <c r="I39" s="160">
        <f>X38</f>
        <v/>
      </c>
      <c r="J39" s="160">
        <f>MAX(0,'Sites'!$K$6-SUM(N30:N38))</f>
        <v/>
      </c>
      <c r="K39" s="160">
        <f>IF('Sites'!$C$6="Own sheets",MIN(ROUNDDOWN(G39/'NM Play'!$B$11,0)+F39*'NM Play'!$B$10/'NM Play'!$B$43,ROUNDDOWN(H39/'NM Play'!$B$12,0)+F39*'NM Play'!$B$10/'NM Play'!$B$44,(F39*'NM Play'!$B$10+ROUNDDOWN(G39/'NM Play'!$B$11,0)*'NM Play'!$B$43+ROUNDDOWN(H39/'NM Play'!$B$12,0)*'NM Play'!$B$44)/('NM Play'!$B$43+'NM Play'!$B$44)),ROUNDDOWN(G39/'NM Play'!$B$11,0)+F39*'NM Play'!$B$10/'NM Play'!$B$43)</f>
        <v/>
      </c>
      <c r="L39" s="160">
        <f>MIN(ROUNDDOWN(G39/'NM Play'!$B$11,0)+F39/('NM Play'!$B$43/'NM Play'!$B$15),ROUNDDOWN(H39/'NM Play'!$B$12,0)+F39/('NM Play'!$B$44/'NM Play'!$B$16),(F39+ROUNDDOWN(G39/'NM Play'!$B$11,0)*'NM Play'!$B$43/'NM Play'!$B$15+ROUNDDOWN(H39/'NM Play'!$B$12,0)*'NM Play'!$B$44/'NM Play'!$B$16)/('NM Play'!$B$43/'NM Play'!$B$15+'NM Play'!$B$44/'NM Play'!$B$16))</f>
        <v/>
      </c>
      <c r="M39" s="160">
        <f>F39*'NM Play'!$B$36</f>
        <v/>
      </c>
      <c r="N39" s="160">
        <f>ROUNDDOWN(MAX(0,MIN(J39,K39:M39)),0)</f>
        <v/>
      </c>
      <c r="O39" s="160">
        <f>ROUNDUP(MAX(0,N39*'NM Play'!$B$11-G39)/'NM Play'!$B$13,0)</f>
        <v/>
      </c>
      <c r="P39" s="160">
        <f>ROUNDUP(MAX(0,N39*'NM Play'!$B$12-H39)/'NM Play'!$B$14,0)</f>
        <v/>
      </c>
      <c r="Q39" s="160">
        <f>(O39+IF('Sites'!$C$6="Own sheets",P39,0))/'NM Play'!$B$10</f>
        <v/>
      </c>
      <c r="R39" s="160">
        <f>O39/'NM Play'!$B$15+P39/'NM Play'!$B$16</f>
        <v/>
      </c>
      <c r="S39" s="160">
        <f>MAX(Q39,R39,N39/'NM Play'!$B$36)</f>
        <v/>
      </c>
      <c r="T39" s="160">
        <f>Q39*'NM Play'!$B$10*'NM Play'!$B$21*(1+'NM Play'!$B$35)</f>
        <v/>
      </c>
      <c r="U39" s="160">
        <f>MAX(0,T39-I39)</f>
        <v/>
      </c>
      <c r="V39" s="160">
        <f>G39+O39*'NM Play'!$B$13-N39*'NM Play'!$B$11</f>
        <v/>
      </c>
      <c r="W39" s="160">
        <f>H39+P39*'NM Play'!$B$14-N39*'NM Play'!$B$12</f>
        <v/>
      </c>
      <c r="X39" s="160">
        <f>I39+U39-T39</f>
        <v/>
      </c>
      <c r="Y39" s="160">
        <f>MIN(N39,MAX(0,ROUNDDOWN('Sites'!$N$6*'Cases'!$E$6,0)-SUM(Y30:Y38)))</f>
        <v/>
      </c>
      <c r="Z39" s="160">
        <f>N39-Y39</f>
        <v/>
      </c>
      <c r="AA39" s="160">
        <f>U39*'NM Play'!$B$22</f>
        <v/>
      </c>
      <c r="AB39" s="160">
        <f>N39*SUM('NM Play'!$B$29:$B$31)</f>
        <v/>
      </c>
      <c r="AC39" s="160">
        <f>IF('Sites'!$C$6="Defy legs",P39*'NM Play'!$B$14/'NM Play'!$B$12*'NM Play'!$B$28,0)</f>
        <v/>
      </c>
      <c r="AD39" s="160">
        <f>Q39*'NM Play'!$B$23</f>
        <v/>
      </c>
      <c r="AE39" s="160">
        <f>S39*SUM('NM Play'!$B$26,'NM Play'!$B$33:$B$34)</f>
        <v/>
      </c>
      <c r="AF39" s="160">
        <f>IF('Sites'!$D$6="NM crew",S39*SUM('NM Play'!$B$24:$B$25),0)</f>
        <v/>
      </c>
      <c r="AG39" s="160">
        <f>IF('Sites'!$D$6="NM crew",S39*'NM Play'!$B$27,0)</f>
        <v/>
      </c>
      <c r="AH39" s="160">
        <f>N39*'Sites'!$Z$6*'NM Play'!$B$32</f>
        <v/>
      </c>
      <c r="AI39" s="160">
        <f>SUM(Y39:Z39)*'Sites'!$R$6</f>
        <v/>
      </c>
      <c r="AJ39" s="160">
        <f>SUM(AA39:AH39)</f>
        <v/>
      </c>
      <c r="AK39" s="160">
        <f>AJ39+(T39-U39)*'NM Play'!$B$22+MIN(G39,N39*'NM Play'!$B$11)/'NM Play'!$B$13*'NM Play'!$B$21*'NM Play'!$B$22+MIN(H39,N39*'NM Play'!$B$12)/'NM Play'!$B$14*IF('Sites'!$C$6="Own sheets",'NM Play'!$B$21*'NM Play'!$B$22,'NM Play'!$B$28*'NM Play'!$B$14/'NM Play'!$B$12)</f>
        <v/>
      </c>
      <c r="AL39" s="160">
        <f>Y39*'Assumptions'!AK66</f>
        <v/>
      </c>
      <c r="AM39" s="160">
        <f>IF('Sites'!$D$6="NM crew",S39*'NM Play'!$B$37*(1+IF(AND(ISNUMBER('NM Play'!$B$25),'NM Play'!$B$25&gt;0),1,0)),"")</f>
        <v/>
      </c>
      <c r="AN39" s="160">
        <f>IF(OR('Sites'!$E$6&lt;0,'Sites'!$E$6&gt;1,'Sites'!$F$6&lt;1,'Sites'!$G$6&lt;'Sites'!$F$6,F39&lt;0,MIN('Sites'!$I$6:'Sites'!$R$6)&lt;0,'Sites'!$L$6&gt;'Sites'!$I$6,'Sites'!$M$6&gt;'Sites'!$J$6,'Sites'!$N$6&gt;'Sites'!$K$6,'Sites'!$Z$6&lt;0,'Sites'!$Z$6&gt;1,MIN('Sites'!$AA$6:'Sites'!$AC$6)&lt;0,S39&gt;F39+0.001),1,0)</f>
        <v/>
      </c>
      <c r="AO39" s="160">
        <f>I39+U39-T39-X39</f>
        <v/>
      </c>
    </row>
    <row r="40" ht="28" customHeight="1">
      <c r="A40" s="4" t="inlineStr">
        <is>
          <t>Full</t>
        </is>
      </c>
      <c r="B40" s="4" t="inlineStr">
        <is>
          <t>WITTA</t>
        </is>
      </c>
      <c r="C40" s="160" t="n">
        <v>35</v>
      </c>
      <c r="D40" s="160">
        <f>ROUNDUP(C40/12,0)</f>
        <v/>
      </c>
      <c r="E40" s="160">
        <f>IF(AND('Sites'!$E$6=1,C40&gt;='Sites'!$F$6,C40&lt;='Sites'!$G$6),1,0)</f>
        <v/>
      </c>
      <c r="F40" s="160">
        <f>E40*'Assumptions'!AL67</f>
        <v/>
      </c>
      <c r="G40" s="160">
        <f>V39</f>
        <v/>
      </c>
      <c r="H40" s="160">
        <f>W39</f>
        <v/>
      </c>
      <c r="I40" s="160">
        <f>X39</f>
        <v/>
      </c>
      <c r="J40" s="160">
        <f>MAX(0,'Sites'!$K$6-SUM(N30:N39))</f>
        <v/>
      </c>
      <c r="K40" s="160">
        <f>IF('Sites'!$C$6="Own sheets",MIN(ROUNDDOWN(G40/'NM Play'!$B$11,0)+F40*'NM Play'!$B$10/'NM Play'!$B$43,ROUNDDOWN(H40/'NM Play'!$B$12,0)+F40*'NM Play'!$B$10/'NM Play'!$B$44,(F40*'NM Play'!$B$10+ROUNDDOWN(G40/'NM Play'!$B$11,0)*'NM Play'!$B$43+ROUNDDOWN(H40/'NM Play'!$B$12,0)*'NM Play'!$B$44)/('NM Play'!$B$43+'NM Play'!$B$44)),ROUNDDOWN(G40/'NM Play'!$B$11,0)+F40*'NM Play'!$B$10/'NM Play'!$B$43)</f>
        <v/>
      </c>
      <c r="L40" s="160">
        <f>MIN(ROUNDDOWN(G40/'NM Play'!$B$11,0)+F40/('NM Play'!$B$43/'NM Play'!$B$15),ROUNDDOWN(H40/'NM Play'!$B$12,0)+F40/('NM Play'!$B$44/'NM Play'!$B$16),(F40+ROUNDDOWN(G40/'NM Play'!$B$11,0)*'NM Play'!$B$43/'NM Play'!$B$15+ROUNDDOWN(H40/'NM Play'!$B$12,0)*'NM Play'!$B$44/'NM Play'!$B$16)/('NM Play'!$B$43/'NM Play'!$B$15+'NM Play'!$B$44/'NM Play'!$B$16))</f>
        <v/>
      </c>
      <c r="M40" s="160">
        <f>F40*'NM Play'!$B$36</f>
        <v/>
      </c>
      <c r="N40" s="160">
        <f>ROUNDDOWN(MAX(0,MIN(J40,K40:M40)),0)</f>
        <v/>
      </c>
      <c r="O40" s="160">
        <f>ROUNDUP(MAX(0,N40*'NM Play'!$B$11-G40)/'NM Play'!$B$13,0)</f>
        <v/>
      </c>
      <c r="P40" s="160">
        <f>ROUNDUP(MAX(0,N40*'NM Play'!$B$12-H40)/'NM Play'!$B$14,0)</f>
        <v/>
      </c>
      <c r="Q40" s="160">
        <f>(O40+IF('Sites'!$C$6="Own sheets",P40,0))/'NM Play'!$B$10</f>
        <v/>
      </c>
      <c r="R40" s="160">
        <f>O40/'NM Play'!$B$15+P40/'NM Play'!$B$16</f>
        <v/>
      </c>
      <c r="S40" s="160">
        <f>MAX(Q40,R40,N40/'NM Play'!$B$36)</f>
        <v/>
      </c>
      <c r="T40" s="160">
        <f>Q40*'NM Play'!$B$10*'NM Play'!$B$21*(1+'NM Play'!$B$35)</f>
        <v/>
      </c>
      <c r="U40" s="160">
        <f>MAX(0,T40-I40)</f>
        <v/>
      </c>
      <c r="V40" s="160">
        <f>G40+O40*'NM Play'!$B$13-N40*'NM Play'!$B$11</f>
        <v/>
      </c>
      <c r="W40" s="160">
        <f>H40+P40*'NM Play'!$B$14-N40*'NM Play'!$B$12</f>
        <v/>
      </c>
      <c r="X40" s="160">
        <f>I40+U40-T40</f>
        <v/>
      </c>
      <c r="Y40" s="160">
        <f>MIN(N40,MAX(0,ROUNDDOWN('Sites'!$N$6*'Cases'!$E$6,0)-SUM(Y30:Y39)))</f>
        <v/>
      </c>
      <c r="Z40" s="160">
        <f>N40-Y40</f>
        <v/>
      </c>
      <c r="AA40" s="160">
        <f>U40*'NM Play'!$B$22</f>
        <v/>
      </c>
      <c r="AB40" s="160">
        <f>N40*SUM('NM Play'!$B$29:$B$31)</f>
        <v/>
      </c>
      <c r="AC40" s="160">
        <f>IF('Sites'!$C$6="Defy legs",P40*'NM Play'!$B$14/'NM Play'!$B$12*'NM Play'!$B$28,0)</f>
        <v/>
      </c>
      <c r="AD40" s="160">
        <f>Q40*'NM Play'!$B$23</f>
        <v/>
      </c>
      <c r="AE40" s="160">
        <f>S40*SUM('NM Play'!$B$26,'NM Play'!$B$33:$B$34)</f>
        <v/>
      </c>
      <c r="AF40" s="160">
        <f>IF('Sites'!$D$6="NM crew",S40*SUM('NM Play'!$B$24:$B$25),0)</f>
        <v/>
      </c>
      <c r="AG40" s="160">
        <f>IF('Sites'!$D$6="NM crew",S40*'NM Play'!$B$27,0)</f>
        <v/>
      </c>
      <c r="AH40" s="160">
        <f>N40*'Sites'!$Z$6*'NM Play'!$B$32</f>
        <v/>
      </c>
      <c r="AI40" s="160">
        <f>SUM(Y40:Z40)*'Sites'!$R$6</f>
        <v/>
      </c>
      <c r="AJ40" s="160">
        <f>SUM(AA40:AH40)</f>
        <v/>
      </c>
      <c r="AK40" s="160">
        <f>AJ40+(T40-U40)*'NM Play'!$B$22+MIN(G40,N40*'NM Play'!$B$11)/'NM Play'!$B$13*'NM Play'!$B$21*'NM Play'!$B$22+MIN(H40,N40*'NM Play'!$B$12)/'NM Play'!$B$14*IF('Sites'!$C$6="Own sheets",'NM Play'!$B$21*'NM Play'!$B$22,'NM Play'!$B$28*'NM Play'!$B$14/'NM Play'!$B$12)</f>
        <v/>
      </c>
      <c r="AL40" s="160">
        <f>Y40*'Assumptions'!AL66</f>
        <v/>
      </c>
      <c r="AM40" s="160">
        <f>IF('Sites'!$D$6="NM crew",S40*'NM Play'!$B$37*(1+IF(AND(ISNUMBER('NM Play'!$B$25),'NM Play'!$B$25&gt;0),1,0)),"")</f>
        <v/>
      </c>
      <c r="AN40" s="160">
        <f>IF(OR('Sites'!$E$6&lt;0,'Sites'!$E$6&gt;1,'Sites'!$F$6&lt;1,'Sites'!$G$6&lt;'Sites'!$F$6,F40&lt;0,MIN('Sites'!$I$6:'Sites'!$R$6)&lt;0,'Sites'!$L$6&gt;'Sites'!$I$6,'Sites'!$M$6&gt;'Sites'!$J$6,'Sites'!$N$6&gt;'Sites'!$K$6,'Sites'!$Z$6&lt;0,'Sites'!$Z$6&gt;1,MIN('Sites'!$AA$6:'Sites'!$AC$6)&lt;0,S40&gt;F40+0.001),1,0)</f>
        <v/>
      </c>
      <c r="AO40" s="160">
        <f>I40+U40-T40-X40</f>
        <v/>
      </c>
    </row>
    <row r="41" ht="28" customHeight="1">
      <c r="A41" s="4" t="inlineStr">
        <is>
          <t>Full</t>
        </is>
      </c>
      <c r="B41" s="4" t="inlineStr">
        <is>
          <t>WITTA</t>
        </is>
      </c>
      <c r="C41" s="160" t="n">
        <v>36</v>
      </c>
      <c r="D41" s="160">
        <f>ROUNDUP(C41/12,0)</f>
        <v/>
      </c>
      <c r="E41" s="160">
        <f>IF(AND('Sites'!$E$6=1,C41&gt;='Sites'!$F$6,C41&lt;='Sites'!$G$6),1,0)</f>
        <v/>
      </c>
      <c r="F41" s="160">
        <f>E41*'Assumptions'!AM67</f>
        <v/>
      </c>
      <c r="G41" s="160">
        <f>V40</f>
        <v/>
      </c>
      <c r="H41" s="160">
        <f>W40</f>
        <v/>
      </c>
      <c r="I41" s="160">
        <f>X40</f>
        <v/>
      </c>
      <c r="J41" s="160">
        <f>MAX(0,'Sites'!$K$6-SUM(N30:N40))</f>
        <v/>
      </c>
      <c r="K41" s="160">
        <f>IF('Sites'!$C$6="Own sheets",MIN(ROUNDDOWN(G41/'NM Play'!$B$11,0)+F41*'NM Play'!$B$10/'NM Play'!$B$43,ROUNDDOWN(H41/'NM Play'!$B$12,0)+F41*'NM Play'!$B$10/'NM Play'!$B$44,(F41*'NM Play'!$B$10+ROUNDDOWN(G41/'NM Play'!$B$11,0)*'NM Play'!$B$43+ROUNDDOWN(H41/'NM Play'!$B$12,0)*'NM Play'!$B$44)/('NM Play'!$B$43+'NM Play'!$B$44)),ROUNDDOWN(G41/'NM Play'!$B$11,0)+F41*'NM Play'!$B$10/'NM Play'!$B$43)</f>
        <v/>
      </c>
      <c r="L41" s="160">
        <f>MIN(ROUNDDOWN(G41/'NM Play'!$B$11,0)+F41/('NM Play'!$B$43/'NM Play'!$B$15),ROUNDDOWN(H41/'NM Play'!$B$12,0)+F41/('NM Play'!$B$44/'NM Play'!$B$16),(F41+ROUNDDOWN(G41/'NM Play'!$B$11,0)*'NM Play'!$B$43/'NM Play'!$B$15+ROUNDDOWN(H41/'NM Play'!$B$12,0)*'NM Play'!$B$44/'NM Play'!$B$16)/('NM Play'!$B$43/'NM Play'!$B$15+'NM Play'!$B$44/'NM Play'!$B$16))</f>
        <v/>
      </c>
      <c r="M41" s="160">
        <f>F41*'NM Play'!$B$36</f>
        <v/>
      </c>
      <c r="N41" s="160">
        <f>ROUNDDOWN(MAX(0,MIN(J41,K41:M41)),0)</f>
        <v/>
      </c>
      <c r="O41" s="160">
        <f>ROUNDUP(MAX(0,N41*'NM Play'!$B$11-G41)/'NM Play'!$B$13,0)</f>
        <v/>
      </c>
      <c r="P41" s="160">
        <f>ROUNDUP(MAX(0,N41*'NM Play'!$B$12-H41)/'NM Play'!$B$14,0)</f>
        <v/>
      </c>
      <c r="Q41" s="160">
        <f>(O41+IF('Sites'!$C$6="Own sheets",P41,0))/'NM Play'!$B$10</f>
        <v/>
      </c>
      <c r="R41" s="160">
        <f>O41/'NM Play'!$B$15+P41/'NM Play'!$B$16</f>
        <v/>
      </c>
      <c r="S41" s="160">
        <f>MAX(Q41,R41,N41/'NM Play'!$B$36)</f>
        <v/>
      </c>
      <c r="T41" s="160">
        <f>Q41*'NM Play'!$B$10*'NM Play'!$B$21*(1+'NM Play'!$B$35)</f>
        <v/>
      </c>
      <c r="U41" s="160">
        <f>MAX(0,T41-I41)</f>
        <v/>
      </c>
      <c r="V41" s="160">
        <f>G41+O41*'NM Play'!$B$13-N41*'NM Play'!$B$11</f>
        <v/>
      </c>
      <c r="W41" s="160">
        <f>H41+P41*'NM Play'!$B$14-N41*'NM Play'!$B$12</f>
        <v/>
      </c>
      <c r="X41" s="160">
        <f>I41+U41-T41</f>
        <v/>
      </c>
      <c r="Y41" s="160">
        <f>MIN(N41,MAX(0,ROUNDDOWN('Sites'!$N$6*'Cases'!$E$6,0)-SUM(Y30:Y40)))</f>
        <v/>
      </c>
      <c r="Z41" s="160">
        <f>N41-Y41</f>
        <v/>
      </c>
      <c r="AA41" s="160">
        <f>U41*'NM Play'!$B$22</f>
        <v/>
      </c>
      <c r="AB41" s="160">
        <f>N41*SUM('NM Play'!$B$29:$B$31)</f>
        <v/>
      </c>
      <c r="AC41" s="160">
        <f>IF('Sites'!$C$6="Defy legs",P41*'NM Play'!$B$14/'NM Play'!$B$12*'NM Play'!$B$28,0)</f>
        <v/>
      </c>
      <c r="AD41" s="160">
        <f>Q41*'NM Play'!$B$23</f>
        <v/>
      </c>
      <c r="AE41" s="160">
        <f>S41*SUM('NM Play'!$B$26,'NM Play'!$B$33:$B$34)</f>
        <v/>
      </c>
      <c r="AF41" s="160">
        <f>IF('Sites'!$D$6="NM crew",S41*SUM('NM Play'!$B$24:$B$25),0)</f>
        <v/>
      </c>
      <c r="AG41" s="160">
        <f>IF('Sites'!$D$6="NM crew",S41*'NM Play'!$B$27,0)</f>
        <v/>
      </c>
      <c r="AH41" s="160">
        <f>N41*'Sites'!$Z$6*'NM Play'!$B$32</f>
        <v/>
      </c>
      <c r="AI41" s="160">
        <f>SUM(Y41:Z41)*'Sites'!$R$6</f>
        <v/>
      </c>
      <c r="AJ41" s="160">
        <f>SUM(AA41:AH41)</f>
        <v/>
      </c>
      <c r="AK41" s="160">
        <f>AJ41+(T41-U41)*'NM Play'!$B$22+MIN(G41,N41*'NM Play'!$B$11)/'NM Play'!$B$13*'NM Play'!$B$21*'NM Play'!$B$22+MIN(H41,N41*'NM Play'!$B$12)/'NM Play'!$B$14*IF('Sites'!$C$6="Own sheets",'NM Play'!$B$21*'NM Play'!$B$22,'NM Play'!$B$28*'NM Play'!$B$14/'NM Play'!$B$12)</f>
        <v/>
      </c>
      <c r="AL41" s="160">
        <f>Y41*'Assumptions'!AM66</f>
        <v/>
      </c>
      <c r="AM41" s="160">
        <f>IF('Sites'!$D$6="NM crew",S41*'NM Play'!$B$37*(1+IF(AND(ISNUMBER('NM Play'!$B$25),'NM Play'!$B$25&gt;0),1,0)),"")</f>
        <v/>
      </c>
      <c r="AN41" s="160">
        <f>IF(OR('Sites'!$E$6&lt;0,'Sites'!$E$6&gt;1,'Sites'!$F$6&lt;1,'Sites'!$G$6&lt;'Sites'!$F$6,F41&lt;0,MIN('Sites'!$I$6:'Sites'!$R$6)&lt;0,'Sites'!$L$6&gt;'Sites'!$I$6,'Sites'!$M$6&gt;'Sites'!$J$6,'Sites'!$N$6&gt;'Sites'!$K$6,'Sites'!$Z$6&lt;0,'Sites'!$Z$6&gt;1,MIN('Sites'!$AA$6:'Sites'!$AC$6)&lt;0,S41&gt;F41+0.001),1,0)</f>
        <v/>
      </c>
      <c r="AO41" s="160">
        <f>I41+U41-T41-X41</f>
        <v/>
      </c>
    </row>
    <row r="42" ht="28" customHeight="1">
      <c r="A42" s="4" t="inlineStr">
        <is>
          <t>Full</t>
        </is>
      </c>
      <c r="B42" s="4" t="inlineStr">
        <is>
          <t>NEW1</t>
        </is>
      </c>
      <c r="C42" s="160" t="n">
        <v>1</v>
      </c>
      <c r="D42" s="160">
        <f>ROUNDUP(C42/12,0)</f>
        <v/>
      </c>
      <c r="E42" s="160">
        <f>IF(AND('Sites'!$E$7=1,C42&gt;='Sites'!$F$7+'Cases'!$G$6,C42&lt;='Sites'!$G$7),1,0)</f>
        <v/>
      </c>
      <c r="F42" s="160">
        <f>E42*'Assumptions'!D68</f>
        <v/>
      </c>
      <c r="G42" s="160">
        <f>'Sites'!$AA$7</f>
        <v/>
      </c>
      <c r="H42" s="160">
        <f>'Sites'!$AB$7</f>
        <v/>
      </c>
      <c r="I42" s="160">
        <f>'Sites'!$AC$7</f>
        <v/>
      </c>
      <c r="J42" s="160">
        <f>MAX(0,'Sites'!$I$7-0)</f>
        <v/>
      </c>
      <c r="K42" s="160">
        <f>IF('Sites'!$C$7="Own sheets",MIN(ROUNDDOWN(G42/'NM Play'!$B$11,0)+F42*'NM Play'!$B$10/'NM Play'!$B$43,ROUNDDOWN(H42/'NM Play'!$B$12,0)+F42*'NM Play'!$B$10/'NM Play'!$B$44,(F42*'NM Play'!$B$10+ROUNDDOWN(G42/'NM Play'!$B$11,0)*'NM Play'!$B$43+ROUNDDOWN(H42/'NM Play'!$B$12,0)*'NM Play'!$B$44)/('NM Play'!$B$43+'NM Play'!$B$44)),ROUNDDOWN(G42/'NM Play'!$B$11,0)+F42*'NM Play'!$B$10/'NM Play'!$B$43)</f>
        <v/>
      </c>
      <c r="L42" s="160">
        <f>MIN(ROUNDDOWN(G42/'NM Play'!$B$11,0)+F42/('NM Play'!$B$43/'NM Play'!$B$15),ROUNDDOWN(H42/'NM Play'!$B$12,0)+F42/('NM Play'!$B$44/'NM Play'!$B$16),(F42+ROUNDDOWN(G42/'NM Play'!$B$11,0)*'NM Play'!$B$43/'NM Play'!$B$15+ROUNDDOWN(H42/'NM Play'!$B$12,0)*'NM Play'!$B$44/'NM Play'!$B$16)/('NM Play'!$B$43/'NM Play'!$B$15+'NM Play'!$B$44/'NM Play'!$B$16))</f>
        <v/>
      </c>
      <c r="M42" s="160">
        <f>F42*'NM Play'!$B$36</f>
        <v/>
      </c>
      <c r="N42" s="160">
        <f>ROUNDDOWN(MAX(0,MIN(J42,K42:M42)),0)</f>
        <v/>
      </c>
      <c r="O42" s="160">
        <f>ROUNDUP(MAX(0,N42*'NM Play'!$B$11-G42)/'NM Play'!$B$13,0)</f>
        <v/>
      </c>
      <c r="P42" s="160">
        <f>ROUNDUP(MAX(0,N42*'NM Play'!$B$12-H42)/'NM Play'!$B$14,0)</f>
        <v/>
      </c>
      <c r="Q42" s="160">
        <f>(O42+IF('Sites'!$C$7="Own sheets",P42,0))/'NM Play'!$B$10</f>
        <v/>
      </c>
      <c r="R42" s="160">
        <f>O42/'NM Play'!$B$15+P42/'NM Play'!$B$16</f>
        <v/>
      </c>
      <c r="S42" s="160">
        <f>MAX(Q42,R42,N42/'NM Play'!$B$36)</f>
        <v/>
      </c>
      <c r="T42" s="160">
        <f>Q42*'NM Play'!$B$10*'NM Play'!$B$21*(1+'NM Play'!$B$35)</f>
        <v/>
      </c>
      <c r="U42" s="160">
        <f>MAX(0,T42-I42)</f>
        <v/>
      </c>
      <c r="V42" s="160">
        <f>G42+O42*'NM Play'!$B$13-N42*'NM Play'!$B$11</f>
        <v/>
      </c>
      <c r="W42" s="160">
        <f>H42+P42*'NM Play'!$B$14-N42*'NM Play'!$B$12</f>
        <v/>
      </c>
      <c r="X42" s="160">
        <f>I42+U42-T42</f>
        <v/>
      </c>
      <c r="Y42" s="160">
        <f>MIN(N42,MAX(0,ROUNDDOWN('Sites'!$L$7*'Cases'!$E$6,0)-0))</f>
        <v/>
      </c>
      <c r="Z42" s="160">
        <f>N42-Y42</f>
        <v/>
      </c>
      <c r="AA42" s="160">
        <f>U42*'NM Play'!$B$22</f>
        <v/>
      </c>
      <c r="AB42" s="160">
        <f>N42*SUM('NM Play'!$B$29:$B$31)</f>
        <v/>
      </c>
      <c r="AC42" s="160">
        <f>IF('Sites'!$C$7="Defy legs",P42*'NM Play'!$B$14/'NM Play'!$B$12*'NM Play'!$B$28,0)</f>
        <v/>
      </c>
      <c r="AD42" s="160">
        <f>Q42*'NM Play'!$B$23</f>
        <v/>
      </c>
      <c r="AE42" s="160">
        <f>S42*SUM('NM Play'!$B$26,'NM Play'!$B$33:$B$34)</f>
        <v/>
      </c>
      <c r="AF42" s="160">
        <f>IF('Sites'!$D$7="NM crew",S42*SUM('NM Play'!$B$24:$B$25),0)</f>
        <v/>
      </c>
      <c r="AG42" s="160">
        <f>IF('Sites'!$D$7="NM crew",S42*'NM Play'!$B$27,0)</f>
        <v/>
      </c>
      <c r="AH42" s="160">
        <f>N42*'Sites'!$Z$7*'NM Play'!$B$32</f>
        <v/>
      </c>
      <c r="AI42" s="160">
        <f>SUM(Y42:Z42)*'Sites'!$R$7</f>
        <v/>
      </c>
      <c r="AJ42" s="160">
        <f>SUM(AA42:AH42)</f>
        <v/>
      </c>
      <c r="AK42" s="160">
        <f>AJ42+(T42-U42)*'NM Play'!$B$22+MIN(G42,N42*'NM Play'!$B$11)/'NM Play'!$B$13*'NM Play'!$B$21*'NM Play'!$B$22+MIN(H42,N42*'NM Play'!$B$12)/'NM Play'!$B$14*IF('Sites'!$C$7="Own sheets",'NM Play'!$B$21*'NM Play'!$B$22,'NM Play'!$B$28*'NM Play'!$B$14/'NM Play'!$B$12)</f>
        <v/>
      </c>
      <c r="AL42" s="160">
        <f>Y42*'Assumptions'!D66</f>
        <v/>
      </c>
      <c r="AM42" s="160">
        <f>IF('Sites'!$D$7="NM crew",S42*'NM Play'!$B$37*(1+IF(AND(ISNUMBER('NM Play'!$B$25),'NM Play'!$B$25&gt;0),1,0)),"")</f>
        <v/>
      </c>
      <c r="AN42" s="160">
        <f>IF(OR('Sites'!$E$7&lt;0,'Sites'!$E$7&gt;1,'Sites'!$F$7&lt;1,'Sites'!$G$7&lt;'Sites'!$F$7,F42&lt;0,MIN('Sites'!$I$7:'Sites'!$R$7)&lt;0,'Sites'!$L$7&gt;'Sites'!$I$7,'Sites'!$M$7&gt;'Sites'!$J$7,'Sites'!$N$7&gt;'Sites'!$K$7,'Sites'!$Z$7&lt;0,'Sites'!$Z$7&gt;1,MIN('Sites'!$AA$7:'Sites'!$AC$7)&lt;0,S42&gt;F42+0.001),1,0)</f>
        <v/>
      </c>
      <c r="AO42" s="160">
        <f>I42+U42-T42-X42</f>
        <v/>
      </c>
    </row>
    <row r="43" ht="28" customHeight="1">
      <c r="A43" s="4" t="inlineStr">
        <is>
          <t>Full</t>
        </is>
      </c>
      <c r="B43" s="4" t="inlineStr">
        <is>
          <t>NEW1</t>
        </is>
      </c>
      <c r="C43" s="160" t="n">
        <v>2</v>
      </c>
      <c r="D43" s="160">
        <f>ROUNDUP(C43/12,0)</f>
        <v/>
      </c>
      <c r="E43" s="160">
        <f>IF(AND('Sites'!$E$7=1,C43&gt;='Sites'!$F$7+'Cases'!$G$6,C43&lt;='Sites'!$G$7),1,0)</f>
        <v/>
      </c>
      <c r="F43" s="160">
        <f>E43*'Assumptions'!E68</f>
        <v/>
      </c>
      <c r="G43" s="160">
        <f>V42</f>
        <v/>
      </c>
      <c r="H43" s="160">
        <f>W42</f>
        <v/>
      </c>
      <c r="I43" s="160">
        <f>X42</f>
        <v/>
      </c>
      <c r="J43" s="160">
        <f>MAX(0,'Sites'!$I$7-SUM(N42:N42))</f>
        <v/>
      </c>
      <c r="K43" s="160">
        <f>IF('Sites'!$C$7="Own sheets",MIN(ROUNDDOWN(G43/'NM Play'!$B$11,0)+F43*'NM Play'!$B$10/'NM Play'!$B$43,ROUNDDOWN(H43/'NM Play'!$B$12,0)+F43*'NM Play'!$B$10/'NM Play'!$B$44,(F43*'NM Play'!$B$10+ROUNDDOWN(G43/'NM Play'!$B$11,0)*'NM Play'!$B$43+ROUNDDOWN(H43/'NM Play'!$B$12,0)*'NM Play'!$B$44)/('NM Play'!$B$43+'NM Play'!$B$44)),ROUNDDOWN(G43/'NM Play'!$B$11,0)+F43*'NM Play'!$B$10/'NM Play'!$B$43)</f>
        <v/>
      </c>
      <c r="L43" s="160">
        <f>MIN(ROUNDDOWN(G43/'NM Play'!$B$11,0)+F43/('NM Play'!$B$43/'NM Play'!$B$15),ROUNDDOWN(H43/'NM Play'!$B$12,0)+F43/('NM Play'!$B$44/'NM Play'!$B$16),(F43+ROUNDDOWN(G43/'NM Play'!$B$11,0)*'NM Play'!$B$43/'NM Play'!$B$15+ROUNDDOWN(H43/'NM Play'!$B$12,0)*'NM Play'!$B$44/'NM Play'!$B$16)/('NM Play'!$B$43/'NM Play'!$B$15+'NM Play'!$B$44/'NM Play'!$B$16))</f>
        <v/>
      </c>
      <c r="M43" s="160">
        <f>F43*'NM Play'!$B$36</f>
        <v/>
      </c>
      <c r="N43" s="160">
        <f>ROUNDDOWN(MAX(0,MIN(J43,K43:M43)),0)</f>
        <v/>
      </c>
      <c r="O43" s="160">
        <f>ROUNDUP(MAX(0,N43*'NM Play'!$B$11-G43)/'NM Play'!$B$13,0)</f>
        <v/>
      </c>
      <c r="P43" s="160">
        <f>ROUNDUP(MAX(0,N43*'NM Play'!$B$12-H43)/'NM Play'!$B$14,0)</f>
        <v/>
      </c>
      <c r="Q43" s="160">
        <f>(O43+IF('Sites'!$C$7="Own sheets",P43,0))/'NM Play'!$B$10</f>
        <v/>
      </c>
      <c r="R43" s="160">
        <f>O43/'NM Play'!$B$15+P43/'NM Play'!$B$16</f>
        <v/>
      </c>
      <c r="S43" s="160">
        <f>MAX(Q43,R43,N43/'NM Play'!$B$36)</f>
        <v/>
      </c>
      <c r="T43" s="160">
        <f>Q43*'NM Play'!$B$10*'NM Play'!$B$21*(1+'NM Play'!$B$35)</f>
        <v/>
      </c>
      <c r="U43" s="160">
        <f>MAX(0,T43-I43)</f>
        <v/>
      </c>
      <c r="V43" s="160">
        <f>G43+O43*'NM Play'!$B$13-N43*'NM Play'!$B$11</f>
        <v/>
      </c>
      <c r="W43" s="160">
        <f>H43+P43*'NM Play'!$B$14-N43*'NM Play'!$B$12</f>
        <v/>
      </c>
      <c r="X43" s="160">
        <f>I43+U43-T43</f>
        <v/>
      </c>
      <c r="Y43" s="160">
        <f>MIN(N43,MAX(0,ROUNDDOWN('Sites'!$L$7*'Cases'!$E$6,0)-SUM(Y42:Y42)))</f>
        <v/>
      </c>
      <c r="Z43" s="160">
        <f>N43-Y43</f>
        <v/>
      </c>
      <c r="AA43" s="160">
        <f>U43*'NM Play'!$B$22</f>
        <v/>
      </c>
      <c r="AB43" s="160">
        <f>N43*SUM('NM Play'!$B$29:$B$31)</f>
        <v/>
      </c>
      <c r="AC43" s="160">
        <f>IF('Sites'!$C$7="Defy legs",P43*'NM Play'!$B$14/'NM Play'!$B$12*'NM Play'!$B$28,0)</f>
        <v/>
      </c>
      <c r="AD43" s="160">
        <f>Q43*'NM Play'!$B$23</f>
        <v/>
      </c>
      <c r="AE43" s="160">
        <f>S43*SUM('NM Play'!$B$26,'NM Play'!$B$33:$B$34)</f>
        <v/>
      </c>
      <c r="AF43" s="160">
        <f>IF('Sites'!$D$7="NM crew",S43*SUM('NM Play'!$B$24:$B$25),0)</f>
        <v/>
      </c>
      <c r="AG43" s="160">
        <f>IF('Sites'!$D$7="NM crew",S43*'NM Play'!$B$27,0)</f>
        <v/>
      </c>
      <c r="AH43" s="160">
        <f>N43*'Sites'!$Z$7*'NM Play'!$B$32</f>
        <v/>
      </c>
      <c r="AI43" s="160">
        <f>SUM(Y43:Z43)*'Sites'!$R$7</f>
        <v/>
      </c>
      <c r="AJ43" s="160">
        <f>SUM(AA43:AH43)</f>
        <v/>
      </c>
      <c r="AK43" s="160">
        <f>AJ43+(T43-U43)*'NM Play'!$B$22+MIN(G43,N43*'NM Play'!$B$11)/'NM Play'!$B$13*'NM Play'!$B$21*'NM Play'!$B$22+MIN(H43,N43*'NM Play'!$B$12)/'NM Play'!$B$14*IF('Sites'!$C$7="Own sheets",'NM Play'!$B$21*'NM Play'!$B$22,'NM Play'!$B$28*'NM Play'!$B$14/'NM Play'!$B$12)</f>
        <v/>
      </c>
      <c r="AL43" s="160">
        <f>Y43*'Assumptions'!E66</f>
        <v/>
      </c>
      <c r="AM43" s="160">
        <f>IF('Sites'!$D$7="NM crew",S43*'NM Play'!$B$37*(1+IF(AND(ISNUMBER('NM Play'!$B$25),'NM Play'!$B$25&gt;0),1,0)),"")</f>
        <v/>
      </c>
      <c r="AN43" s="160">
        <f>IF(OR('Sites'!$E$7&lt;0,'Sites'!$E$7&gt;1,'Sites'!$F$7&lt;1,'Sites'!$G$7&lt;'Sites'!$F$7,F43&lt;0,MIN('Sites'!$I$7:'Sites'!$R$7)&lt;0,'Sites'!$L$7&gt;'Sites'!$I$7,'Sites'!$M$7&gt;'Sites'!$J$7,'Sites'!$N$7&gt;'Sites'!$K$7,'Sites'!$Z$7&lt;0,'Sites'!$Z$7&gt;1,MIN('Sites'!$AA$7:'Sites'!$AC$7)&lt;0,S43&gt;F43+0.001),1,0)</f>
        <v/>
      </c>
      <c r="AO43" s="160">
        <f>I43+U43-T43-X43</f>
        <v/>
      </c>
    </row>
    <row r="44" ht="28" customHeight="1">
      <c r="A44" s="4" t="inlineStr">
        <is>
          <t>Full</t>
        </is>
      </c>
      <c r="B44" s="4" t="inlineStr">
        <is>
          <t>NEW1</t>
        </is>
      </c>
      <c r="C44" s="160" t="n">
        <v>3</v>
      </c>
      <c r="D44" s="160">
        <f>ROUNDUP(C44/12,0)</f>
        <v/>
      </c>
      <c r="E44" s="160">
        <f>IF(AND('Sites'!$E$7=1,C44&gt;='Sites'!$F$7+'Cases'!$G$6,C44&lt;='Sites'!$G$7),1,0)</f>
        <v/>
      </c>
      <c r="F44" s="160">
        <f>E44*'Assumptions'!F68</f>
        <v/>
      </c>
      <c r="G44" s="160">
        <f>V43</f>
        <v/>
      </c>
      <c r="H44" s="160">
        <f>W43</f>
        <v/>
      </c>
      <c r="I44" s="160">
        <f>X43</f>
        <v/>
      </c>
      <c r="J44" s="160">
        <f>MAX(0,'Sites'!$I$7-SUM(N42:N43))</f>
        <v/>
      </c>
      <c r="K44" s="160">
        <f>IF('Sites'!$C$7="Own sheets",MIN(ROUNDDOWN(G44/'NM Play'!$B$11,0)+F44*'NM Play'!$B$10/'NM Play'!$B$43,ROUNDDOWN(H44/'NM Play'!$B$12,0)+F44*'NM Play'!$B$10/'NM Play'!$B$44,(F44*'NM Play'!$B$10+ROUNDDOWN(G44/'NM Play'!$B$11,0)*'NM Play'!$B$43+ROUNDDOWN(H44/'NM Play'!$B$12,0)*'NM Play'!$B$44)/('NM Play'!$B$43+'NM Play'!$B$44)),ROUNDDOWN(G44/'NM Play'!$B$11,0)+F44*'NM Play'!$B$10/'NM Play'!$B$43)</f>
        <v/>
      </c>
      <c r="L44" s="160">
        <f>MIN(ROUNDDOWN(G44/'NM Play'!$B$11,0)+F44/('NM Play'!$B$43/'NM Play'!$B$15),ROUNDDOWN(H44/'NM Play'!$B$12,0)+F44/('NM Play'!$B$44/'NM Play'!$B$16),(F44+ROUNDDOWN(G44/'NM Play'!$B$11,0)*'NM Play'!$B$43/'NM Play'!$B$15+ROUNDDOWN(H44/'NM Play'!$B$12,0)*'NM Play'!$B$44/'NM Play'!$B$16)/('NM Play'!$B$43/'NM Play'!$B$15+'NM Play'!$B$44/'NM Play'!$B$16))</f>
        <v/>
      </c>
      <c r="M44" s="160">
        <f>F44*'NM Play'!$B$36</f>
        <v/>
      </c>
      <c r="N44" s="160">
        <f>ROUNDDOWN(MAX(0,MIN(J44,K44:M44)),0)</f>
        <v/>
      </c>
      <c r="O44" s="160">
        <f>ROUNDUP(MAX(0,N44*'NM Play'!$B$11-G44)/'NM Play'!$B$13,0)</f>
        <v/>
      </c>
      <c r="P44" s="160">
        <f>ROUNDUP(MAX(0,N44*'NM Play'!$B$12-H44)/'NM Play'!$B$14,0)</f>
        <v/>
      </c>
      <c r="Q44" s="160">
        <f>(O44+IF('Sites'!$C$7="Own sheets",P44,0))/'NM Play'!$B$10</f>
        <v/>
      </c>
      <c r="R44" s="160">
        <f>O44/'NM Play'!$B$15+P44/'NM Play'!$B$16</f>
        <v/>
      </c>
      <c r="S44" s="160">
        <f>MAX(Q44,R44,N44/'NM Play'!$B$36)</f>
        <v/>
      </c>
      <c r="T44" s="160">
        <f>Q44*'NM Play'!$B$10*'NM Play'!$B$21*(1+'NM Play'!$B$35)</f>
        <v/>
      </c>
      <c r="U44" s="160">
        <f>MAX(0,T44-I44)</f>
        <v/>
      </c>
      <c r="V44" s="160">
        <f>G44+O44*'NM Play'!$B$13-N44*'NM Play'!$B$11</f>
        <v/>
      </c>
      <c r="W44" s="160">
        <f>H44+P44*'NM Play'!$B$14-N44*'NM Play'!$B$12</f>
        <v/>
      </c>
      <c r="X44" s="160">
        <f>I44+U44-T44</f>
        <v/>
      </c>
      <c r="Y44" s="160">
        <f>MIN(N44,MAX(0,ROUNDDOWN('Sites'!$L$7*'Cases'!$E$6,0)-SUM(Y42:Y43)))</f>
        <v/>
      </c>
      <c r="Z44" s="160">
        <f>N44-Y44</f>
        <v/>
      </c>
      <c r="AA44" s="160">
        <f>U44*'NM Play'!$B$22</f>
        <v/>
      </c>
      <c r="AB44" s="160">
        <f>N44*SUM('NM Play'!$B$29:$B$31)</f>
        <v/>
      </c>
      <c r="AC44" s="160">
        <f>IF('Sites'!$C$7="Defy legs",P44*'NM Play'!$B$14/'NM Play'!$B$12*'NM Play'!$B$28,0)</f>
        <v/>
      </c>
      <c r="AD44" s="160">
        <f>Q44*'NM Play'!$B$23</f>
        <v/>
      </c>
      <c r="AE44" s="160">
        <f>S44*SUM('NM Play'!$B$26,'NM Play'!$B$33:$B$34)</f>
        <v/>
      </c>
      <c r="AF44" s="160">
        <f>IF('Sites'!$D$7="NM crew",S44*SUM('NM Play'!$B$24:$B$25),0)</f>
        <v/>
      </c>
      <c r="AG44" s="160">
        <f>IF('Sites'!$D$7="NM crew",S44*'NM Play'!$B$27,0)</f>
        <v/>
      </c>
      <c r="AH44" s="160">
        <f>N44*'Sites'!$Z$7*'NM Play'!$B$32</f>
        <v/>
      </c>
      <c r="AI44" s="160">
        <f>SUM(Y44:Z44)*'Sites'!$R$7</f>
        <v/>
      </c>
      <c r="AJ44" s="160">
        <f>SUM(AA44:AH44)</f>
        <v/>
      </c>
      <c r="AK44" s="160">
        <f>AJ44+(T44-U44)*'NM Play'!$B$22+MIN(G44,N44*'NM Play'!$B$11)/'NM Play'!$B$13*'NM Play'!$B$21*'NM Play'!$B$22+MIN(H44,N44*'NM Play'!$B$12)/'NM Play'!$B$14*IF('Sites'!$C$7="Own sheets",'NM Play'!$B$21*'NM Play'!$B$22,'NM Play'!$B$28*'NM Play'!$B$14/'NM Play'!$B$12)</f>
        <v/>
      </c>
      <c r="AL44" s="160">
        <f>Y44*'Assumptions'!F66</f>
        <v/>
      </c>
      <c r="AM44" s="160">
        <f>IF('Sites'!$D$7="NM crew",S44*'NM Play'!$B$37*(1+IF(AND(ISNUMBER('NM Play'!$B$25),'NM Play'!$B$25&gt;0),1,0)),"")</f>
        <v/>
      </c>
      <c r="AN44" s="160">
        <f>IF(OR('Sites'!$E$7&lt;0,'Sites'!$E$7&gt;1,'Sites'!$F$7&lt;1,'Sites'!$G$7&lt;'Sites'!$F$7,F44&lt;0,MIN('Sites'!$I$7:'Sites'!$R$7)&lt;0,'Sites'!$L$7&gt;'Sites'!$I$7,'Sites'!$M$7&gt;'Sites'!$J$7,'Sites'!$N$7&gt;'Sites'!$K$7,'Sites'!$Z$7&lt;0,'Sites'!$Z$7&gt;1,MIN('Sites'!$AA$7:'Sites'!$AC$7)&lt;0,S44&gt;F44+0.001),1,0)</f>
        <v/>
      </c>
      <c r="AO44" s="160">
        <f>I44+U44-T44-X44</f>
        <v/>
      </c>
    </row>
    <row r="45" ht="28" customHeight="1">
      <c r="A45" s="4" t="inlineStr">
        <is>
          <t>Full</t>
        </is>
      </c>
      <c r="B45" s="4" t="inlineStr">
        <is>
          <t>NEW1</t>
        </is>
      </c>
      <c r="C45" s="160" t="n">
        <v>4</v>
      </c>
      <c r="D45" s="160">
        <f>ROUNDUP(C45/12,0)</f>
        <v/>
      </c>
      <c r="E45" s="160">
        <f>IF(AND('Sites'!$E$7=1,C45&gt;='Sites'!$F$7+'Cases'!$G$6,C45&lt;='Sites'!$G$7),1,0)</f>
        <v/>
      </c>
      <c r="F45" s="160">
        <f>E45*'Assumptions'!G68</f>
        <v/>
      </c>
      <c r="G45" s="160">
        <f>V44</f>
        <v/>
      </c>
      <c r="H45" s="160">
        <f>W44</f>
        <v/>
      </c>
      <c r="I45" s="160">
        <f>X44</f>
        <v/>
      </c>
      <c r="J45" s="160">
        <f>MAX(0,'Sites'!$I$7-SUM(N42:N44))</f>
        <v/>
      </c>
      <c r="K45" s="160">
        <f>IF('Sites'!$C$7="Own sheets",MIN(ROUNDDOWN(G45/'NM Play'!$B$11,0)+F45*'NM Play'!$B$10/'NM Play'!$B$43,ROUNDDOWN(H45/'NM Play'!$B$12,0)+F45*'NM Play'!$B$10/'NM Play'!$B$44,(F45*'NM Play'!$B$10+ROUNDDOWN(G45/'NM Play'!$B$11,0)*'NM Play'!$B$43+ROUNDDOWN(H45/'NM Play'!$B$12,0)*'NM Play'!$B$44)/('NM Play'!$B$43+'NM Play'!$B$44)),ROUNDDOWN(G45/'NM Play'!$B$11,0)+F45*'NM Play'!$B$10/'NM Play'!$B$43)</f>
        <v/>
      </c>
      <c r="L45" s="160">
        <f>MIN(ROUNDDOWN(G45/'NM Play'!$B$11,0)+F45/('NM Play'!$B$43/'NM Play'!$B$15),ROUNDDOWN(H45/'NM Play'!$B$12,0)+F45/('NM Play'!$B$44/'NM Play'!$B$16),(F45+ROUNDDOWN(G45/'NM Play'!$B$11,0)*'NM Play'!$B$43/'NM Play'!$B$15+ROUNDDOWN(H45/'NM Play'!$B$12,0)*'NM Play'!$B$44/'NM Play'!$B$16)/('NM Play'!$B$43/'NM Play'!$B$15+'NM Play'!$B$44/'NM Play'!$B$16))</f>
        <v/>
      </c>
      <c r="M45" s="160">
        <f>F45*'NM Play'!$B$36</f>
        <v/>
      </c>
      <c r="N45" s="160">
        <f>ROUNDDOWN(MAX(0,MIN(J45,K45:M45)),0)</f>
        <v/>
      </c>
      <c r="O45" s="160">
        <f>ROUNDUP(MAX(0,N45*'NM Play'!$B$11-G45)/'NM Play'!$B$13,0)</f>
        <v/>
      </c>
      <c r="P45" s="160">
        <f>ROUNDUP(MAX(0,N45*'NM Play'!$B$12-H45)/'NM Play'!$B$14,0)</f>
        <v/>
      </c>
      <c r="Q45" s="160">
        <f>(O45+IF('Sites'!$C$7="Own sheets",P45,0))/'NM Play'!$B$10</f>
        <v/>
      </c>
      <c r="R45" s="160">
        <f>O45/'NM Play'!$B$15+P45/'NM Play'!$B$16</f>
        <v/>
      </c>
      <c r="S45" s="160">
        <f>MAX(Q45,R45,N45/'NM Play'!$B$36)</f>
        <v/>
      </c>
      <c r="T45" s="160">
        <f>Q45*'NM Play'!$B$10*'NM Play'!$B$21*(1+'NM Play'!$B$35)</f>
        <v/>
      </c>
      <c r="U45" s="160">
        <f>MAX(0,T45-I45)</f>
        <v/>
      </c>
      <c r="V45" s="160">
        <f>G45+O45*'NM Play'!$B$13-N45*'NM Play'!$B$11</f>
        <v/>
      </c>
      <c r="W45" s="160">
        <f>H45+P45*'NM Play'!$B$14-N45*'NM Play'!$B$12</f>
        <v/>
      </c>
      <c r="X45" s="160">
        <f>I45+U45-T45</f>
        <v/>
      </c>
      <c r="Y45" s="160">
        <f>MIN(N45,MAX(0,ROUNDDOWN('Sites'!$L$7*'Cases'!$E$6,0)-SUM(Y42:Y44)))</f>
        <v/>
      </c>
      <c r="Z45" s="160">
        <f>N45-Y45</f>
        <v/>
      </c>
      <c r="AA45" s="160">
        <f>U45*'NM Play'!$B$22</f>
        <v/>
      </c>
      <c r="AB45" s="160">
        <f>N45*SUM('NM Play'!$B$29:$B$31)</f>
        <v/>
      </c>
      <c r="AC45" s="160">
        <f>IF('Sites'!$C$7="Defy legs",P45*'NM Play'!$B$14/'NM Play'!$B$12*'NM Play'!$B$28,0)</f>
        <v/>
      </c>
      <c r="AD45" s="160">
        <f>Q45*'NM Play'!$B$23</f>
        <v/>
      </c>
      <c r="AE45" s="160">
        <f>S45*SUM('NM Play'!$B$26,'NM Play'!$B$33:$B$34)</f>
        <v/>
      </c>
      <c r="AF45" s="160">
        <f>IF('Sites'!$D$7="NM crew",S45*SUM('NM Play'!$B$24:$B$25),0)</f>
        <v/>
      </c>
      <c r="AG45" s="160">
        <f>IF('Sites'!$D$7="NM crew",S45*'NM Play'!$B$27,0)</f>
        <v/>
      </c>
      <c r="AH45" s="160">
        <f>N45*'Sites'!$Z$7*'NM Play'!$B$32</f>
        <v/>
      </c>
      <c r="AI45" s="160">
        <f>SUM(Y45:Z45)*'Sites'!$R$7</f>
        <v/>
      </c>
      <c r="AJ45" s="160">
        <f>SUM(AA45:AH45)</f>
        <v/>
      </c>
      <c r="AK45" s="160">
        <f>AJ45+(T45-U45)*'NM Play'!$B$22+MIN(G45,N45*'NM Play'!$B$11)/'NM Play'!$B$13*'NM Play'!$B$21*'NM Play'!$B$22+MIN(H45,N45*'NM Play'!$B$12)/'NM Play'!$B$14*IF('Sites'!$C$7="Own sheets",'NM Play'!$B$21*'NM Play'!$B$22,'NM Play'!$B$28*'NM Play'!$B$14/'NM Play'!$B$12)</f>
        <v/>
      </c>
      <c r="AL45" s="160">
        <f>Y45*'Assumptions'!G66</f>
        <v/>
      </c>
      <c r="AM45" s="160">
        <f>IF('Sites'!$D$7="NM crew",S45*'NM Play'!$B$37*(1+IF(AND(ISNUMBER('NM Play'!$B$25),'NM Play'!$B$25&gt;0),1,0)),"")</f>
        <v/>
      </c>
      <c r="AN45" s="160">
        <f>IF(OR('Sites'!$E$7&lt;0,'Sites'!$E$7&gt;1,'Sites'!$F$7&lt;1,'Sites'!$G$7&lt;'Sites'!$F$7,F45&lt;0,MIN('Sites'!$I$7:'Sites'!$R$7)&lt;0,'Sites'!$L$7&gt;'Sites'!$I$7,'Sites'!$M$7&gt;'Sites'!$J$7,'Sites'!$N$7&gt;'Sites'!$K$7,'Sites'!$Z$7&lt;0,'Sites'!$Z$7&gt;1,MIN('Sites'!$AA$7:'Sites'!$AC$7)&lt;0,S45&gt;F45+0.001),1,0)</f>
        <v/>
      </c>
      <c r="AO45" s="160">
        <f>I45+U45-T45-X45</f>
        <v/>
      </c>
    </row>
    <row r="46" ht="28" customHeight="1">
      <c r="A46" s="4" t="inlineStr">
        <is>
          <t>Full</t>
        </is>
      </c>
      <c r="B46" s="4" t="inlineStr">
        <is>
          <t>NEW1</t>
        </is>
      </c>
      <c r="C46" s="160" t="n">
        <v>5</v>
      </c>
      <c r="D46" s="160">
        <f>ROUNDUP(C46/12,0)</f>
        <v/>
      </c>
      <c r="E46" s="160">
        <f>IF(AND('Sites'!$E$7=1,C46&gt;='Sites'!$F$7+'Cases'!$G$6,C46&lt;='Sites'!$G$7),1,0)</f>
        <v/>
      </c>
      <c r="F46" s="160">
        <f>E46*'Assumptions'!H68</f>
        <v/>
      </c>
      <c r="G46" s="160">
        <f>V45</f>
        <v/>
      </c>
      <c r="H46" s="160">
        <f>W45</f>
        <v/>
      </c>
      <c r="I46" s="160">
        <f>X45</f>
        <v/>
      </c>
      <c r="J46" s="160">
        <f>MAX(0,'Sites'!$I$7-SUM(N42:N45))</f>
        <v/>
      </c>
      <c r="K46" s="160">
        <f>IF('Sites'!$C$7="Own sheets",MIN(ROUNDDOWN(G46/'NM Play'!$B$11,0)+F46*'NM Play'!$B$10/'NM Play'!$B$43,ROUNDDOWN(H46/'NM Play'!$B$12,0)+F46*'NM Play'!$B$10/'NM Play'!$B$44,(F46*'NM Play'!$B$10+ROUNDDOWN(G46/'NM Play'!$B$11,0)*'NM Play'!$B$43+ROUNDDOWN(H46/'NM Play'!$B$12,0)*'NM Play'!$B$44)/('NM Play'!$B$43+'NM Play'!$B$44)),ROUNDDOWN(G46/'NM Play'!$B$11,0)+F46*'NM Play'!$B$10/'NM Play'!$B$43)</f>
        <v/>
      </c>
      <c r="L46" s="160">
        <f>MIN(ROUNDDOWN(G46/'NM Play'!$B$11,0)+F46/('NM Play'!$B$43/'NM Play'!$B$15),ROUNDDOWN(H46/'NM Play'!$B$12,0)+F46/('NM Play'!$B$44/'NM Play'!$B$16),(F46+ROUNDDOWN(G46/'NM Play'!$B$11,0)*'NM Play'!$B$43/'NM Play'!$B$15+ROUNDDOWN(H46/'NM Play'!$B$12,0)*'NM Play'!$B$44/'NM Play'!$B$16)/('NM Play'!$B$43/'NM Play'!$B$15+'NM Play'!$B$44/'NM Play'!$B$16))</f>
        <v/>
      </c>
      <c r="M46" s="160">
        <f>F46*'NM Play'!$B$36</f>
        <v/>
      </c>
      <c r="N46" s="160">
        <f>ROUNDDOWN(MAX(0,MIN(J46,K46:M46)),0)</f>
        <v/>
      </c>
      <c r="O46" s="160">
        <f>ROUNDUP(MAX(0,N46*'NM Play'!$B$11-G46)/'NM Play'!$B$13,0)</f>
        <v/>
      </c>
      <c r="P46" s="160">
        <f>ROUNDUP(MAX(0,N46*'NM Play'!$B$12-H46)/'NM Play'!$B$14,0)</f>
        <v/>
      </c>
      <c r="Q46" s="160">
        <f>(O46+IF('Sites'!$C$7="Own sheets",P46,0))/'NM Play'!$B$10</f>
        <v/>
      </c>
      <c r="R46" s="160">
        <f>O46/'NM Play'!$B$15+P46/'NM Play'!$B$16</f>
        <v/>
      </c>
      <c r="S46" s="160">
        <f>MAX(Q46,R46,N46/'NM Play'!$B$36)</f>
        <v/>
      </c>
      <c r="T46" s="160">
        <f>Q46*'NM Play'!$B$10*'NM Play'!$B$21*(1+'NM Play'!$B$35)</f>
        <v/>
      </c>
      <c r="U46" s="160">
        <f>MAX(0,T46-I46)</f>
        <v/>
      </c>
      <c r="V46" s="160">
        <f>G46+O46*'NM Play'!$B$13-N46*'NM Play'!$B$11</f>
        <v/>
      </c>
      <c r="W46" s="160">
        <f>H46+P46*'NM Play'!$B$14-N46*'NM Play'!$B$12</f>
        <v/>
      </c>
      <c r="X46" s="160">
        <f>I46+U46-T46</f>
        <v/>
      </c>
      <c r="Y46" s="160">
        <f>MIN(N46,MAX(0,ROUNDDOWN('Sites'!$L$7*'Cases'!$E$6,0)-SUM(Y42:Y45)))</f>
        <v/>
      </c>
      <c r="Z46" s="160">
        <f>N46-Y46</f>
        <v/>
      </c>
      <c r="AA46" s="160">
        <f>U46*'NM Play'!$B$22</f>
        <v/>
      </c>
      <c r="AB46" s="160">
        <f>N46*SUM('NM Play'!$B$29:$B$31)</f>
        <v/>
      </c>
      <c r="AC46" s="160">
        <f>IF('Sites'!$C$7="Defy legs",P46*'NM Play'!$B$14/'NM Play'!$B$12*'NM Play'!$B$28,0)</f>
        <v/>
      </c>
      <c r="AD46" s="160">
        <f>Q46*'NM Play'!$B$23</f>
        <v/>
      </c>
      <c r="AE46" s="160">
        <f>S46*SUM('NM Play'!$B$26,'NM Play'!$B$33:$B$34)</f>
        <v/>
      </c>
      <c r="AF46" s="160">
        <f>IF('Sites'!$D$7="NM crew",S46*SUM('NM Play'!$B$24:$B$25),0)</f>
        <v/>
      </c>
      <c r="AG46" s="160">
        <f>IF('Sites'!$D$7="NM crew",S46*'NM Play'!$B$27,0)</f>
        <v/>
      </c>
      <c r="AH46" s="160">
        <f>N46*'Sites'!$Z$7*'NM Play'!$B$32</f>
        <v/>
      </c>
      <c r="AI46" s="160">
        <f>SUM(Y46:Z46)*'Sites'!$R$7</f>
        <v/>
      </c>
      <c r="AJ46" s="160">
        <f>SUM(AA46:AH46)</f>
        <v/>
      </c>
      <c r="AK46" s="160">
        <f>AJ46+(T46-U46)*'NM Play'!$B$22+MIN(G46,N46*'NM Play'!$B$11)/'NM Play'!$B$13*'NM Play'!$B$21*'NM Play'!$B$22+MIN(H46,N46*'NM Play'!$B$12)/'NM Play'!$B$14*IF('Sites'!$C$7="Own sheets",'NM Play'!$B$21*'NM Play'!$B$22,'NM Play'!$B$28*'NM Play'!$B$14/'NM Play'!$B$12)</f>
        <v/>
      </c>
      <c r="AL46" s="160">
        <f>Y46*'Assumptions'!H66</f>
        <v/>
      </c>
      <c r="AM46" s="160">
        <f>IF('Sites'!$D$7="NM crew",S46*'NM Play'!$B$37*(1+IF(AND(ISNUMBER('NM Play'!$B$25),'NM Play'!$B$25&gt;0),1,0)),"")</f>
        <v/>
      </c>
      <c r="AN46" s="160">
        <f>IF(OR('Sites'!$E$7&lt;0,'Sites'!$E$7&gt;1,'Sites'!$F$7&lt;1,'Sites'!$G$7&lt;'Sites'!$F$7,F46&lt;0,MIN('Sites'!$I$7:'Sites'!$R$7)&lt;0,'Sites'!$L$7&gt;'Sites'!$I$7,'Sites'!$M$7&gt;'Sites'!$J$7,'Sites'!$N$7&gt;'Sites'!$K$7,'Sites'!$Z$7&lt;0,'Sites'!$Z$7&gt;1,MIN('Sites'!$AA$7:'Sites'!$AC$7)&lt;0,S46&gt;F46+0.001),1,0)</f>
        <v/>
      </c>
      <c r="AO46" s="160">
        <f>I46+U46-T46-X46</f>
        <v/>
      </c>
    </row>
    <row r="47" ht="28" customHeight="1">
      <c r="A47" s="4" t="inlineStr">
        <is>
          <t>Full</t>
        </is>
      </c>
      <c r="B47" s="4" t="inlineStr">
        <is>
          <t>NEW1</t>
        </is>
      </c>
      <c r="C47" s="160" t="n">
        <v>6</v>
      </c>
      <c r="D47" s="160">
        <f>ROUNDUP(C47/12,0)</f>
        <v/>
      </c>
      <c r="E47" s="160">
        <f>IF(AND('Sites'!$E$7=1,C47&gt;='Sites'!$F$7+'Cases'!$G$6,C47&lt;='Sites'!$G$7),1,0)</f>
        <v/>
      </c>
      <c r="F47" s="160">
        <f>E47*'Assumptions'!I68</f>
        <v/>
      </c>
      <c r="G47" s="160">
        <f>V46</f>
        <v/>
      </c>
      <c r="H47" s="160">
        <f>W46</f>
        <v/>
      </c>
      <c r="I47" s="160">
        <f>X46</f>
        <v/>
      </c>
      <c r="J47" s="160">
        <f>MAX(0,'Sites'!$I$7-SUM(N42:N46))</f>
        <v/>
      </c>
      <c r="K47" s="160">
        <f>IF('Sites'!$C$7="Own sheets",MIN(ROUNDDOWN(G47/'NM Play'!$B$11,0)+F47*'NM Play'!$B$10/'NM Play'!$B$43,ROUNDDOWN(H47/'NM Play'!$B$12,0)+F47*'NM Play'!$B$10/'NM Play'!$B$44,(F47*'NM Play'!$B$10+ROUNDDOWN(G47/'NM Play'!$B$11,0)*'NM Play'!$B$43+ROUNDDOWN(H47/'NM Play'!$B$12,0)*'NM Play'!$B$44)/('NM Play'!$B$43+'NM Play'!$B$44)),ROUNDDOWN(G47/'NM Play'!$B$11,0)+F47*'NM Play'!$B$10/'NM Play'!$B$43)</f>
        <v/>
      </c>
      <c r="L47" s="160">
        <f>MIN(ROUNDDOWN(G47/'NM Play'!$B$11,0)+F47/('NM Play'!$B$43/'NM Play'!$B$15),ROUNDDOWN(H47/'NM Play'!$B$12,0)+F47/('NM Play'!$B$44/'NM Play'!$B$16),(F47+ROUNDDOWN(G47/'NM Play'!$B$11,0)*'NM Play'!$B$43/'NM Play'!$B$15+ROUNDDOWN(H47/'NM Play'!$B$12,0)*'NM Play'!$B$44/'NM Play'!$B$16)/('NM Play'!$B$43/'NM Play'!$B$15+'NM Play'!$B$44/'NM Play'!$B$16))</f>
        <v/>
      </c>
      <c r="M47" s="160">
        <f>F47*'NM Play'!$B$36</f>
        <v/>
      </c>
      <c r="N47" s="160">
        <f>ROUNDDOWN(MAX(0,MIN(J47,K47:M47)),0)</f>
        <v/>
      </c>
      <c r="O47" s="160">
        <f>ROUNDUP(MAX(0,N47*'NM Play'!$B$11-G47)/'NM Play'!$B$13,0)</f>
        <v/>
      </c>
      <c r="P47" s="160">
        <f>ROUNDUP(MAX(0,N47*'NM Play'!$B$12-H47)/'NM Play'!$B$14,0)</f>
        <v/>
      </c>
      <c r="Q47" s="160">
        <f>(O47+IF('Sites'!$C$7="Own sheets",P47,0))/'NM Play'!$B$10</f>
        <v/>
      </c>
      <c r="R47" s="160">
        <f>O47/'NM Play'!$B$15+P47/'NM Play'!$B$16</f>
        <v/>
      </c>
      <c r="S47" s="160">
        <f>MAX(Q47,R47,N47/'NM Play'!$B$36)</f>
        <v/>
      </c>
      <c r="T47" s="160">
        <f>Q47*'NM Play'!$B$10*'NM Play'!$B$21*(1+'NM Play'!$B$35)</f>
        <v/>
      </c>
      <c r="U47" s="160">
        <f>MAX(0,T47-I47)</f>
        <v/>
      </c>
      <c r="V47" s="160">
        <f>G47+O47*'NM Play'!$B$13-N47*'NM Play'!$B$11</f>
        <v/>
      </c>
      <c r="W47" s="160">
        <f>H47+P47*'NM Play'!$B$14-N47*'NM Play'!$B$12</f>
        <v/>
      </c>
      <c r="X47" s="160">
        <f>I47+U47-T47</f>
        <v/>
      </c>
      <c r="Y47" s="160">
        <f>MIN(N47,MAX(0,ROUNDDOWN('Sites'!$L$7*'Cases'!$E$6,0)-SUM(Y42:Y46)))</f>
        <v/>
      </c>
      <c r="Z47" s="160">
        <f>N47-Y47</f>
        <v/>
      </c>
      <c r="AA47" s="160">
        <f>U47*'NM Play'!$B$22</f>
        <v/>
      </c>
      <c r="AB47" s="160">
        <f>N47*SUM('NM Play'!$B$29:$B$31)</f>
        <v/>
      </c>
      <c r="AC47" s="160">
        <f>IF('Sites'!$C$7="Defy legs",P47*'NM Play'!$B$14/'NM Play'!$B$12*'NM Play'!$B$28,0)</f>
        <v/>
      </c>
      <c r="AD47" s="160">
        <f>Q47*'NM Play'!$B$23</f>
        <v/>
      </c>
      <c r="AE47" s="160">
        <f>S47*SUM('NM Play'!$B$26,'NM Play'!$B$33:$B$34)</f>
        <v/>
      </c>
      <c r="AF47" s="160">
        <f>IF('Sites'!$D$7="NM crew",S47*SUM('NM Play'!$B$24:$B$25),0)</f>
        <v/>
      </c>
      <c r="AG47" s="160">
        <f>IF('Sites'!$D$7="NM crew",S47*'NM Play'!$B$27,0)</f>
        <v/>
      </c>
      <c r="AH47" s="160">
        <f>N47*'Sites'!$Z$7*'NM Play'!$B$32</f>
        <v/>
      </c>
      <c r="AI47" s="160">
        <f>SUM(Y47:Z47)*'Sites'!$R$7</f>
        <v/>
      </c>
      <c r="AJ47" s="160">
        <f>SUM(AA47:AH47)</f>
        <v/>
      </c>
      <c r="AK47" s="160">
        <f>AJ47+(T47-U47)*'NM Play'!$B$22+MIN(G47,N47*'NM Play'!$B$11)/'NM Play'!$B$13*'NM Play'!$B$21*'NM Play'!$B$22+MIN(H47,N47*'NM Play'!$B$12)/'NM Play'!$B$14*IF('Sites'!$C$7="Own sheets",'NM Play'!$B$21*'NM Play'!$B$22,'NM Play'!$B$28*'NM Play'!$B$14/'NM Play'!$B$12)</f>
        <v/>
      </c>
      <c r="AL47" s="160">
        <f>Y47*'Assumptions'!I66</f>
        <v/>
      </c>
      <c r="AM47" s="160">
        <f>IF('Sites'!$D$7="NM crew",S47*'NM Play'!$B$37*(1+IF(AND(ISNUMBER('NM Play'!$B$25),'NM Play'!$B$25&gt;0),1,0)),"")</f>
        <v/>
      </c>
      <c r="AN47" s="160">
        <f>IF(OR('Sites'!$E$7&lt;0,'Sites'!$E$7&gt;1,'Sites'!$F$7&lt;1,'Sites'!$G$7&lt;'Sites'!$F$7,F47&lt;0,MIN('Sites'!$I$7:'Sites'!$R$7)&lt;0,'Sites'!$L$7&gt;'Sites'!$I$7,'Sites'!$M$7&gt;'Sites'!$J$7,'Sites'!$N$7&gt;'Sites'!$K$7,'Sites'!$Z$7&lt;0,'Sites'!$Z$7&gt;1,MIN('Sites'!$AA$7:'Sites'!$AC$7)&lt;0,S47&gt;F47+0.001),1,0)</f>
        <v/>
      </c>
      <c r="AO47" s="160">
        <f>I47+U47-T47-X47</f>
        <v/>
      </c>
    </row>
    <row r="48" ht="28" customHeight="1">
      <c r="A48" s="4" t="inlineStr">
        <is>
          <t>Full</t>
        </is>
      </c>
      <c r="B48" s="4" t="inlineStr">
        <is>
          <t>NEW1</t>
        </is>
      </c>
      <c r="C48" s="160" t="n">
        <v>7</v>
      </c>
      <c r="D48" s="160">
        <f>ROUNDUP(C48/12,0)</f>
        <v/>
      </c>
      <c r="E48" s="160">
        <f>IF(AND('Sites'!$E$7=1,C48&gt;='Sites'!$F$7+'Cases'!$G$6,C48&lt;='Sites'!$G$7),1,0)</f>
        <v/>
      </c>
      <c r="F48" s="160">
        <f>E48*'Assumptions'!J68</f>
        <v/>
      </c>
      <c r="G48" s="160">
        <f>V47</f>
        <v/>
      </c>
      <c r="H48" s="160">
        <f>W47</f>
        <v/>
      </c>
      <c r="I48" s="160">
        <f>X47</f>
        <v/>
      </c>
      <c r="J48" s="160">
        <f>MAX(0,'Sites'!$I$7-SUM(N42:N47))</f>
        <v/>
      </c>
      <c r="K48" s="160">
        <f>IF('Sites'!$C$7="Own sheets",MIN(ROUNDDOWN(G48/'NM Play'!$B$11,0)+F48*'NM Play'!$B$10/'NM Play'!$B$43,ROUNDDOWN(H48/'NM Play'!$B$12,0)+F48*'NM Play'!$B$10/'NM Play'!$B$44,(F48*'NM Play'!$B$10+ROUNDDOWN(G48/'NM Play'!$B$11,0)*'NM Play'!$B$43+ROUNDDOWN(H48/'NM Play'!$B$12,0)*'NM Play'!$B$44)/('NM Play'!$B$43+'NM Play'!$B$44)),ROUNDDOWN(G48/'NM Play'!$B$11,0)+F48*'NM Play'!$B$10/'NM Play'!$B$43)</f>
        <v/>
      </c>
      <c r="L48" s="160">
        <f>MIN(ROUNDDOWN(G48/'NM Play'!$B$11,0)+F48/('NM Play'!$B$43/'NM Play'!$B$15),ROUNDDOWN(H48/'NM Play'!$B$12,0)+F48/('NM Play'!$B$44/'NM Play'!$B$16),(F48+ROUNDDOWN(G48/'NM Play'!$B$11,0)*'NM Play'!$B$43/'NM Play'!$B$15+ROUNDDOWN(H48/'NM Play'!$B$12,0)*'NM Play'!$B$44/'NM Play'!$B$16)/('NM Play'!$B$43/'NM Play'!$B$15+'NM Play'!$B$44/'NM Play'!$B$16))</f>
        <v/>
      </c>
      <c r="M48" s="160">
        <f>F48*'NM Play'!$B$36</f>
        <v/>
      </c>
      <c r="N48" s="160">
        <f>ROUNDDOWN(MAX(0,MIN(J48,K48:M48)),0)</f>
        <v/>
      </c>
      <c r="O48" s="160">
        <f>ROUNDUP(MAX(0,N48*'NM Play'!$B$11-G48)/'NM Play'!$B$13,0)</f>
        <v/>
      </c>
      <c r="P48" s="160">
        <f>ROUNDUP(MAX(0,N48*'NM Play'!$B$12-H48)/'NM Play'!$B$14,0)</f>
        <v/>
      </c>
      <c r="Q48" s="160">
        <f>(O48+IF('Sites'!$C$7="Own sheets",P48,0))/'NM Play'!$B$10</f>
        <v/>
      </c>
      <c r="R48" s="160">
        <f>O48/'NM Play'!$B$15+P48/'NM Play'!$B$16</f>
        <v/>
      </c>
      <c r="S48" s="160">
        <f>MAX(Q48,R48,N48/'NM Play'!$B$36)</f>
        <v/>
      </c>
      <c r="T48" s="160">
        <f>Q48*'NM Play'!$B$10*'NM Play'!$B$21*(1+'NM Play'!$B$35)</f>
        <v/>
      </c>
      <c r="U48" s="160">
        <f>MAX(0,T48-I48)</f>
        <v/>
      </c>
      <c r="V48" s="160">
        <f>G48+O48*'NM Play'!$B$13-N48*'NM Play'!$B$11</f>
        <v/>
      </c>
      <c r="W48" s="160">
        <f>H48+P48*'NM Play'!$B$14-N48*'NM Play'!$B$12</f>
        <v/>
      </c>
      <c r="X48" s="160">
        <f>I48+U48-T48</f>
        <v/>
      </c>
      <c r="Y48" s="160">
        <f>MIN(N48,MAX(0,ROUNDDOWN('Sites'!$L$7*'Cases'!$E$6,0)-SUM(Y42:Y47)))</f>
        <v/>
      </c>
      <c r="Z48" s="160">
        <f>N48-Y48</f>
        <v/>
      </c>
      <c r="AA48" s="160">
        <f>U48*'NM Play'!$B$22</f>
        <v/>
      </c>
      <c r="AB48" s="160">
        <f>N48*SUM('NM Play'!$B$29:$B$31)</f>
        <v/>
      </c>
      <c r="AC48" s="160">
        <f>IF('Sites'!$C$7="Defy legs",P48*'NM Play'!$B$14/'NM Play'!$B$12*'NM Play'!$B$28,0)</f>
        <v/>
      </c>
      <c r="AD48" s="160">
        <f>Q48*'NM Play'!$B$23</f>
        <v/>
      </c>
      <c r="AE48" s="160">
        <f>S48*SUM('NM Play'!$B$26,'NM Play'!$B$33:$B$34)</f>
        <v/>
      </c>
      <c r="AF48" s="160">
        <f>IF('Sites'!$D$7="NM crew",S48*SUM('NM Play'!$B$24:$B$25),0)</f>
        <v/>
      </c>
      <c r="AG48" s="160">
        <f>IF('Sites'!$D$7="NM crew",S48*'NM Play'!$B$27,0)</f>
        <v/>
      </c>
      <c r="AH48" s="160">
        <f>N48*'Sites'!$Z$7*'NM Play'!$B$32</f>
        <v/>
      </c>
      <c r="AI48" s="160">
        <f>SUM(Y48:Z48)*'Sites'!$R$7</f>
        <v/>
      </c>
      <c r="AJ48" s="160">
        <f>SUM(AA48:AH48)</f>
        <v/>
      </c>
      <c r="AK48" s="160">
        <f>AJ48+(T48-U48)*'NM Play'!$B$22+MIN(G48,N48*'NM Play'!$B$11)/'NM Play'!$B$13*'NM Play'!$B$21*'NM Play'!$B$22+MIN(H48,N48*'NM Play'!$B$12)/'NM Play'!$B$14*IF('Sites'!$C$7="Own sheets",'NM Play'!$B$21*'NM Play'!$B$22,'NM Play'!$B$28*'NM Play'!$B$14/'NM Play'!$B$12)</f>
        <v/>
      </c>
      <c r="AL48" s="160">
        <f>Y48*'Assumptions'!J66</f>
        <v/>
      </c>
      <c r="AM48" s="160">
        <f>IF('Sites'!$D$7="NM crew",S48*'NM Play'!$B$37*(1+IF(AND(ISNUMBER('NM Play'!$B$25),'NM Play'!$B$25&gt;0),1,0)),"")</f>
        <v/>
      </c>
      <c r="AN48" s="160">
        <f>IF(OR('Sites'!$E$7&lt;0,'Sites'!$E$7&gt;1,'Sites'!$F$7&lt;1,'Sites'!$G$7&lt;'Sites'!$F$7,F48&lt;0,MIN('Sites'!$I$7:'Sites'!$R$7)&lt;0,'Sites'!$L$7&gt;'Sites'!$I$7,'Sites'!$M$7&gt;'Sites'!$J$7,'Sites'!$N$7&gt;'Sites'!$K$7,'Sites'!$Z$7&lt;0,'Sites'!$Z$7&gt;1,MIN('Sites'!$AA$7:'Sites'!$AC$7)&lt;0,S48&gt;F48+0.001),1,0)</f>
        <v/>
      </c>
      <c r="AO48" s="160">
        <f>I48+U48-T48-X48</f>
        <v/>
      </c>
    </row>
    <row r="49" ht="28" customHeight="1">
      <c r="A49" s="4" t="inlineStr">
        <is>
          <t>Full</t>
        </is>
      </c>
      <c r="B49" s="4" t="inlineStr">
        <is>
          <t>NEW1</t>
        </is>
      </c>
      <c r="C49" s="160" t="n">
        <v>8</v>
      </c>
      <c r="D49" s="160">
        <f>ROUNDUP(C49/12,0)</f>
        <v/>
      </c>
      <c r="E49" s="160">
        <f>IF(AND('Sites'!$E$7=1,C49&gt;='Sites'!$F$7+'Cases'!$G$6,C49&lt;='Sites'!$G$7),1,0)</f>
        <v/>
      </c>
      <c r="F49" s="160">
        <f>E49*'Assumptions'!K68</f>
        <v/>
      </c>
      <c r="G49" s="160">
        <f>V48</f>
        <v/>
      </c>
      <c r="H49" s="160">
        <f>W48</f>
        <v/>
      </c>
      <c r="I49" s="160">
        <f>X48</f>
        <v/>
      </c>
      <c r="J49" s="160">
        <f>MAX(0,'Sites'!$I$7-SUM(N42:N48))</f>
        <v/>
      </c>
      <c r="K49" s="160">
        <f>IF('Sites'!$C$7="Own sheets",MIN(ROUNDDOWN(G49/'NM Play'!$B$11,0)+F49*'NM Play'!$B$10/'NM Play'!$B$43,ROUNDDOWN(H49/'NM Play'!$B$12,0)+F49*'NM Play'!$B$10/'NM Play'!$B$44,(F49*'NM Play'!$B$10+ROUNDDOWN(G49/'NM Play'!$B$11,0)*'NM Play'!$B$43+ROUNDDOWN(H49/'NM Play'!$B$12,0)*'NM Play'!$B$44)/('NM Play'!$B$43+'NM Play'!$B$44)),ROUNDDOWN(G49/'NM Play'!$B$11,0)+F49*'NM Play'!$B$10/'NM Play'!$B$43)</f>
        <v/>
      </c>
      <c r="L49" s="160">
        <f>MIN(ROUNDDOWN(G49/'NM Play'!$B$11,0)+F49/('NM Play'!$B$43/'NM Play'!$B$15),ROUNDDOWN(H49/'NM Play'!$B$12,0)+F49/('NM Play'!$B$44/'NM Play'!$B$16),(F49+ROUNDDOWN(G49/'NM Play'!$B$11,0)*'NM Play'!$B$43/'NM Play'!$B$15+ROUNDDOWN(H49/'NM Play'!$B$12,0)*'NM Play'!$B$44/'NM Play'!$B$16)/('NM Play'!$B$43/'NM Play'!$B$15+'NM Play'!$B$44/'NM Play'!$B$16))</f>
        <v/>
      </c>
      <c r="M49" s="160">
        <f>F49*'NM Play'!$B$36</f>
        <v/>
      </c>
      <c r="N49" s="160">
        <f>ROUNDDOWN(MAX(0,MIN(J49,K49:M49)),0)</f>
        <v/>
      </c>
      <c r="O49" s="160">
        <f>ROUNDUP(MAX(0,N49*'NM Play'!$B$11-G49)/'NM Play'!$B$13,0)</f>
        <v/>
      </c>
      <c r="P49" s="160">
        <f>ROUNDUP(MAX(0,N49*'NM Play'!$B$12-H49)/'NM Play'!$B$14,0)</f>
        <v/>
      </c>
      <c r="Q49" s="160">
        <f>(O49+IF('Sites'!$C$7="Own sheets",P49,0))/'NM Play'!$B$10</f>
        <v/>
      </c>
      <c r="R49" s="160">
        <f>O49/'NM Play'!$B$15+P49/'NM Play'!$B$16</f>
        <v/>
      </c>
      <c r="S49" s="160">
        <f>MAX(Q49,R49,N49/'NM Play'!$B$36)</f>
        <v/>
      </c>
      <c r="T49" s="160">
        <f>Q49*'NM Play'!$B$10*'NM Play'!$B$21*(1+'NM Play'!$B$35)</f>
        <v/>
      </c>
      <c r="U49" s="160">
        <f>MAX(0,T49-I49)</f>
        <v/>
      </c>
      <c r="V49" s="160">
        <f>G49+O49*'NM Play'!$B$13-N49*'NM Play'!$B$11</f>
        <v/>
      </c>
      <c r="W49" s="160">
        <f>H49+P49*'NM Play'!$B$14-N49*'NM Play'!$B$12</f>
        <v/>
      </c>
      <c r="X49" s="160">
        <f>I49+U49-T49</f>
        <v/>
      </c>
      <c r="Y49" s="160">
        <f>MIN(N49,MAX(0,ROUNDDOWN('Sites'!$L$7*'Cases'!$E$6,0)-SUM(Y42:Y48)))</f>
        <v/>
      </c>
      <c r="Z49" s="160">
        <f>N49-Y49</f>
        <v/>
      </c>
      <c r="AA49" s="160">
        <f>U49*'NM Play'!$B$22</f>
        <v/>
      </c>
      <c r="AB49" s="160">
        <f>N49*SUM('NM Play'!$B$29:$B$31)</f>
        <v/>
      </c>
      <c r="AC49" s="160">
        <f>IF('Sites'!$C$7="Defy legs",P49*'NM Play'!$B$14/'NM Play'!$B$12*'NM Play'!$B$28,0)</f>
        <v/>
      </c>
      <c r="AD49" s="160">
        <f>Q49*'NM Play'!$B$23</f>
        <v/>
      </c>
      <c r="AE49" s="160">
        <f>S49*SUM('NM Play'!$B$26,'NM Play'!$B$33:$B$34)</f>
        <v/>
      </c>
      <c r="AF49" s="160">
        <f>IF('Sites'!$D$7="NM crew",S49*SUM('NM Play'!$B$24:$B$25),0)</f>
        <v/>
      </c>
      <c r="AG49" s="160">
        <f>IF('Sites'!$D$7="NM crew",S49*'NM Play'!$B$27,0)</f>
        <v/>
      </c>
      <c r="AH49" s="160">
        <f>N49*'Sites'!$Z$7*'NM Play'!$B$32</f>
        <v/>
      </c>
      <c r="AI49" s="160">
        <f>SUM(Y49:Z49)*'Sites'!$R$7</f>
        <v/>
      </c>
      <c r="AJ49" s="160">
        <f>SUM(AA49:AH49)</f>
        <v/>
      </c>
      <c r="AK49" s="160">
        <f>AJ49+(T49-U49)*'NM Play'!$B$22+MIN(G49,N49*'NM Play'!$B$11)/'NM Play'!$B$13*'NM Play'!$B$21*'NM Play'!$B$22+MIN(H49,N49*'NM Play'!$B$12)/'NM Play'!$B$14*IF('Sites'!$C$7="Own sheets",'NM Play'!$B$21*'NM Play'!$B$22,'NM Play'!$B$28*'NM Play'!$B$14/'NM Play'!$B$12)</f>
        <v/>
      </c>
      <c r="AL49" s="160">
        <f>Y49*'Assumptions'!K66</f>
        <v/>
      </c>
      <c r="AM49" s="160">
        <f>IF('Sites'!$D$7="NM crew",S49*'NM Play'!$B$37*(1+IF(AND(ISNUMBER('NM Play'!$B$25),'NM Play'!$B$25&gt;0),1,0)),"")</f>
        <v/>
      </c>
      <c r="AN49" s="160">
        <f>IF(OR('Sites'!$E$7&lt;0,'Sites'!$E$7&gt;1,'Sites'!$F$7&lt;1,'Sites'!$G$7&lt;'Sites'!$F$7,F49&lt;0,MIN('Sites'!$I$7:'Sites'!$R$7)&lt;0,'Sites'!$L$7&gt;'Sites'!$I$7,'Sites'!$M$7&gt;'Sites'!$J$7,'Sites'!$N$7&gt;'Sites'!$K$7,'Sites'!$Z$7&lt;0,'Sites'!$Z$7&gt;1,MIN('Sites'!$AA$7:'Sites'!$AC$7)&lt;0,S49&gt;F49+0.001),1,0)</f>
        <v/>
      </c>
      <c r="AO49" s="160">
        <f>I49+U49-T49-X49</f>
        <v/>
      </c>
    </row>
    <row r="50" ht="28" customHeight="1">
      <c r="A50" s="4" t="inlineStr">
        <is>
          <t>Full</t>
        </is>
      </c>
      <c r="B50" s="4" t="inlineStr">
        <is>
          <t>NEW1</t>
        </is>
      </c>
      <c r="C50" s="160" t="n">
        <v>9</v>
      </c>
      <c r="D50" s="160">
        <f>ROUNDUP(C50/12,0)</f>
        <v/>
      </c>
      <c r="E50" s="160">
        <f>IF(AND('Sites'!$E$7=1,C50&gt;='Sites'!$F$7+'Cases'!$G$6,C50&lt;='Sites'!$G$7),1,0)</f>
        <v/>
      </c>
      <c r="F50" s="160">
        <f>E50*'Assumptions'!L68</f>
        <v/>
      </c>
      <c r="G50" s="160">
        <f>V49</f>
        <v/>
      </c>
      <c r="H50" s="160">
        <f>W49</f>
        <v/>
      </c>
      <c r="I50" s="160">
        <f>X49</f>
        <v/>
      </c>
      <c r="J50" s="160">
        <f>MAX(0,'Sites'!$I$7-SUM(N42:N49))</f>
        <v/>
      </c>
      <c r="K50" s="160">
        <f>IF('Sites'!$C$7="Own sheets",MIN(ROUNDDOWN(G50/'NM Play'!$B$11,0)+F50*'NM Play'!$B$10/'NM Play'!$B$43,ROUNDDOWN(H50/'NM Play'!$B$12,0)+F50*'NM Play'!$B$10/'NM Play'!$B$44,(F50*'NM Play'!$B$10+ROUNDDOWN(G50/'NM Play'!$B$11,0)*'NM Play'!$B$43+ROUNDDOWN(H50/'NM Play'!$B$12,0)*'NM Play'!$B$44)/('NM Play'!$B$43+'NM Play'!$B$44)),ROUNDDOWN(G50/'NM Play'!$B$11,0)+F50*'NM Play'!$B$10/'NM Play'!$B$43)</f>
        <v/>
      </c>
      <c r="L50" s="160">
        <f>MIN(ROUNDDOWN(G50/'NM Play'!$B$11,0)+F50/('NM Play'!$B$43/'NM Play'!$B$15),ROUNDDOWN(H50/'NM Play'!$B$12,0)+F50/('NM Play'!$B$44/'NM Play'!$B$16),(F50+ROUNDDOWN(G50/'NM Play'!$B$11,0)*'NM Play'!$B$43/'NM Play'!$B$15+ROUNDDOWN(H50/'NM Play'!$B$12,0)*'NM Play'!$B$44/'NM Play'!$B$16)/('NM Play'!$B$43/'NM Play'!$B$15+'NM Play'!$B$44/'NM Play'!$B$16))</f>
        <v/>
      </c>
      <c r="M50" s="160">
        <f>F50*'NM Play'!$B$36</f>
        <v/>
      </c>
      <c r="N50" s="160">
        <f>ROUNDDOWN(MAX(0,MIN(J50,K50:M50)),0)</f>
        <v/>
      </c>
      <c r="O50" s="160">
        <f>ROUNDUP(MAX(0,N50*'NM Play'!$B$11-G50)/'NM Play'!$B$13,0)</f>
        <v/>
      </c>
      <c r="P50" s="160">
        <f>ROUNDUP(MAX(0,N50*'NM Play'!$B$12-H50)/'NM Play'!$B$14,0)</f>
        <v/>
      </c>
      <c r="Q50" s="160">
        <f>(O50+IF('Sites'!$C$7="Own sheets",P50,0))/'NM Play'!$B$10</f>
        <v/>
      </c>
      <c r="R50" s="160">
        <f>O50/'NM Play'!$B$15+P50/'NM Play'!$B$16</f>
        <v/>
      </c>
      <c r="S50" s="160">
        <f>MAX(Q50,R50,N50/'NM Play'!$B$36)</f>
        <v/>
      </c>
      <c r="T50" s="160">
        <f>Q50*'NM Play'!$B$10*'NM Play'!$B$21*(1+'NM Play'!$B$35)</f>
        <v/>
      </c>
      <c r="U50" s="160">
        <f>MAX(0,T50-I50)</f>
        <v/>
      </c>
      <c r="V50" s="160">
        <f>G50+O50*'NM Play'!$B$13-N50*'NM Play'!$B$11</f>
        <v/>
      </c>
      <c r="W50" s="160">
        <f>H50+P50*'NM Play'!$B$14-N50*'NM Play'!$B$12</f>
        <v/>
      </c>
      <c r="X50" s="160">
        <f>I50+U50-T50</f>
        <v/>
      </c>
      <c r="Y50" s="160">
        <f>MIN(N50,MAX(0,ROUNDDOWN('Sites'!$L$7*'Cases'!$E$6,0)-SUM(Y42:Y49)))</f>
        <v/>
      </c>
      <c r="Z50" s="160">
        <f>N50-Y50</f>
        <v/>
      </c>
      <c r="AA50" s="160">
        <f>U50*'NM Play'!$B$22</f>
        <v/>
      </c>
      <c r="AB50" s="160">
        <f>N50*SUM('NM Play'!$B$29:$B$31)</f>
        <v/>
      </c>
      <c r="AC50" s="160">
        <f>IF('Sites'!$C$7="Defy legs",P50*'NM Play'!$B$14/'NM Play'!$B$12*'NM Play'!$B$28,0)</f>
        <v/>
      </c>
      <c r="AD50" s="160">
        <f>Q50*'NM Play'!$B$23</f>
        <v/>
      </c>
      <c r="AE50" s="160">
        <f>S50*SUM('NM Play'!$B$26,'NM Play'!$B$33:$B$34)</f>
        <v/>
      </c>
      <c r="AF50" s="160">
        <f>IF('Sites'!$D$7="NM crew",S50*SUM('NM Play'!$B$24:$B$25),0)</f>
        <v/>
      </c>
      <c r="AG50" s="160">
        <f>IF('Sites'!$D$7="NM crew",S50*'NM Play'!$B$27,0)</f>
        <v/>
      </c>
      <c r="AH50" s="160">
        <f>N50*'Sites'!$Z$7*'NM Play'!$B$32</f>
        <v/>
      </c>
      <c r="AI50" s="160">
        <f>SUM(Y50:Z50)*'Sites'!$R$7</f>
        <v/>
      </c>
      <c r="AJ50" s="160">
        <f>SUM(AA50:AH50)</f>
        <v/>
      </c>
      <c r="AK50" s="160">
        <f>AJ50+(T50-U50)*'NM Play'!$B$22+MIN(G50,N50*'NM Play'!$B$11)/'NM Play'!$B$13*'NM Play'!$B$21*'NM Play'!$B$22+MIN(H50,N50*'NM Play'!$B$12)/'NM Play'!$B$14*IF('Sites'!$C$7="Own sheets",'NM Play'!$B$21*'NM Play'!$B$22,'NM Play'!$B$28*'NM Play'!$B$14/'NM Play'!$B$12)</f>
        <v/>
      </c>
      <c r="AL50" s="160">
        <f>Y50*'Assumptions'!L66</f>
        <v/>
      </c>
      <c r="AM50" s="160">
        <f>IF('Sites'!$D$7="NM crew",S50*'NM Play'!$B$37*(1+IF(AND(ISNUMBER('NM Play'!$B$25),'NM Play'!$B$25&gt;0),1,0)),"")</f>
        <v/>
      </c>
      <c r="AN50" s="160">
        <f>IF(OR('Sites'!$E$7&lt;0,'Sites'!$E$7&gt;1,'Sites'!$F$7&lt;1,'Sites'!$G$7&lt;'Sites'!$F$7,F50&lt;0,MIN('Sites'!$I$7:'Sites'!$R$7)&lt;0,'Sites'!$L$7&gt;'Sites'!$I$7,'Sites'!$M$7&gt;'Sites'!$J$7,'Sites'!$N$7&gt;'Sites'!$K$7,'Sites'!$Z$7&lt;0,'Sites'!$Z$7&gt;1,MIN('Sites'!$AA$7:'Sites'!$AC$7)&lt;0,S50&gt;F50+0.001),1,0)</f>
        <v/>
      </c>
      <c r="AO50" s="160">
        <f>I50+U50-T50-X50</f>
        <v/>
      </c>
    </row>
    <row r="51" ht="28" customHeight="1">
      <c r="A51" s="4" t="inlineStr">
        <is>
          <t>Full</t>
        </is>
      </c>
      <c r="B51" s="4" t="inlineStr">
        <is>
          <t>NEW1</t>
        </is>
      </c>
      <c r="C51" s="160" t="n">
        <v>10</v>
      </c>
      <c r="D51" s="160">
        <f>ROUNDUP(C51/12,0)</f>
        <v/>
      </c>
      <c r="E51" s="160">
        <f>IF(AND('Sites'!$E$7=1,C51&gt;='Sites'!$F$7+'Cases'!$G$6,C51&lt;='Sites'!$G$7),1,0)</f>
        <v/>
      </c>
      <c r="F51" s="160">
        <f>E51*'Assumptions'!M68</f>
        <v/>
      </c>
      <c r="G51" s="160">
        <f>V50</f>
        <v/>
      </c>
      <c r="H51" s="160">
        <f>W50</f>
        <v/>
      </c>
      <c r="I51" s="160">
        <f>X50</f>
        <v/>
      </c>
      <c r="J51" s="160">
        <f>MAX(0,'Sites'!$I$7-SUM(N42:N50))</f>
        <v/>
      </c>
      <c r="K51" s="160">
        <f>IF('Sites'!$C$7="Own sheets",MIN(ROUNDDOWN(G51/'NM Play'!$B$11,0)+F51*'NM Play'!$B$10/'NM Play'!$B$43,ROUNDDOWN(H51/'NM Play'!$B$12,0)+F51*'NM Play'!$B$10/'NM Play'!$B$44,(F51*'NM Play'!$B$10+ROUNDDOWN(G51/'NM Play'!$B$11,0)*'NM Play'!$B$43+ROUNDDOWN(H51/'NM Play'!$B$12,0)*'NM Play'!$B$44)/('NM Play'!$B$43+'NM Play'!$B$44)),ROUNDDOWN(G51/'NM Play'!$B$11,0)+F51*'NM Play'!$B$10/'NM Play'!$B$43)</f>
        <v/>
      </c>
      <c r="L51" s="160">
        <f>MIN(ROUNDDOWN(G51/'NM Play'!$B$11,0)+F51/('NM Play'!$B$43/'NM Play'!$B$15),ROUNDDOWN(H51/'NM Play'!$B$12,0)+F51/('NM Play'!$B$44/'NM Play'!$B$16),(F51+ROUNDDOWN(G51/'NM Play'!$B$11,0)*'NM Play'!$B$43/'NM Play'!$B$15+ROUNDDOWN(H51/'NM Play'!$B$12,0)*'NM Play'!$B$44/'NM Play'!$B$16)/('NM Play'!$B$43/'NM Play'!$B$15+'NM Play'!$B$44/'NM Play'!$B$16))</f>
        <v/>
      </c>
      <c r="M51" s="160">
        <f>F51*'NM Play'!$B$36</f>
        <v/>
      </c>
      <c r="N51" s="160">
        <f>ROUNDDOWN(MAX(0,MIN(J51,K51:M51)),0)</f>
        <v/>
      </c>
      <c r="O51" s="160">
        <f>ROUNDUP(MAX(0,N51*'NM Play'!$B$11-G51)/'NM Play'!$B$13,0)</f>
        <v/>
      </c>
      <c r="P51" s="160">
        <f>ROUNDUP(MAX(0,N51*'NM Play'!$B$12-H51)/'NM Play'!$B$14,0)</f>
        <v/>
      </c>
      <c r="Q51" s="160">
        <f>(O51+IF('Sites'!$C$7="Own sheets",P51,0))/'NM Play'!$B$10</f>
        <v/>
      </c>
      <c r="R51" s="160">
        <f>O51/'NM Play'!$B$15+P51/'NM Play'!$B$16</f>
        <v/>
      </c>
      <c r="S51" s="160">
        <f>MAX(Q51,R51,N51/'NM Play'!$B$36)</f>
        <v/>
      </c>
      <c r="T51" s="160">
        <f>Q51*'NM Play'!$B$10*'NM Play'!$B$21*(1+'NM Play'!$B$35)</f>
        <v/>
      </c>
      <c r="U51" s="160">
        <f>MAX(0,T51-I51)</f>
        <v/>
      </c>
      <c r="V51" s="160">
        <f>G51+O51*'NM Play'!$B$13-N51*'NM Play'!$B$11</f>
        <v/>
      </c>
      <c r="W51" s="160">
        <f>H51+P51*'NM Play'!$B$14-N51*'NM Play'!$B$12</f>
        <v/>
      </c>
      <c r="X51" s="160">
        <f>I51+U51-T51</f>
        <v/>
      </c>
      <c r="Y51" s="160">
        <f>MIN(N51,MAX(0,ROUNDDOWN('Sites'!$L$7*'Cases'!$E$6,0)-SUM(Y42:Y50)))</f>
        <v/>
      </c>
      <c r="Z51" s="160">
        <f>N51-Y51</f>
        <v/>
      </c>
      <c r="AA51" s="160">
        <f>U51*'NM Play'!$B$22</f>
        <v/>
      </c>
      <c r="AB51" s="160">
        <f>N51*SUM('NM Play'!$B$29:$B$31)</f>
        <v/>
      </c>
      <c r="AC51" s="160">
        <f>IF('Sites'!$C$7="Defy legs",P51*'NM Play'!$B$14/'NM Play'!$B$12*'NM Play'!$B$28,0)</f>
        <v/>
      </c>
      <c r="AD51" s="160">
        <f>Q51*'NM Play'!$B$23</f>
        <v/>
      </c>
      <c r="AE51" s="160">
        <f>S51*SUM('NM Play'!$B$26,'NM Play'!$B$33:$B$34)</f>
        <v/>
      </c>
      <c r="AF51" s="160">
        <f>IF('Sites'!$D$7="NM crew",S51*SUM('NM Play'!$B$24:$B$25),0)</f>
        <v/>
      </c>
      <c r="AG51" s="160">
        <f>IF('Sites'!$D$7="NM crew",S51*'NM Play'!$B$27,0)</f>
        <v/>
      </c>
      <c r="AH51" s="160">
        <f>N51*'Sites'!$Z$7*'NM Play'!$B$32</f>
        <v/>
      </c>
      <c r="AI51" s="160">
        <f>SUM(Y51:Z51)*'Sites'!$R$7</f>
        <v/>
      </c>
      <c r="AJ51" s="160">
        <f>SUM(AA51:AH51)</f>
        <v/>
      </c>
      <c r="AK51" s="160">
        <f>AJ51+(T51-U51)*'NM Play'!$B$22+MIN(G51,N51*'NM Play'!$B$11)/'NM Play'!$B$13*'NM Play'!$B$21*'NM Play'!$B$22+MIN(H51,N51*'NM Play'!$B$12)/'NM Play'!$B$14*IF('Sites'!$C$7="Own sheets",'NM Play'!$B$21*'NM Play'!$B$22,'NM Play'!$B$28*'NM Play'!$B$14/'NM Play'!$B$12)</f>
        <v/>
      </c>
      <c r="AL51" s="160">
        <f>Y51*'Assumptions'!M66</f>
        <v/>
      </c>
      <c r="AM51" s="160">
        <f>IF('Sites'!$D$7="NM crew",S51*'NM Play'!$B$37*(1+IF(AND(ISNUMBER('NM Play'!$B$25),'NM Play'!$B$25&gt;0),1,0)),"")</f>
        <v/>
      </c>
      <c r="AN51" s="160">
        <f>IF(OR('Sites'!$E$7&lt;0,'Sites'!$E$7&gt;1,'Sites'!$F$7&lt;1,'Sites'!$G$7&lt;'Sites'!$F$7,F51&lt;0,MIN('Sites'!$I$7:'Sites'!$R$7)&lt;0,'Sites'!$L$7&gt;'Sites'!$I$7,'Sites'!$M$7&gt;'Sites'!$J$7,'Sites'!$N$7&gt;'Sites'!$K$7,'Sites'!$Z$7&lt;0,'Sites'!$Z$7&gt;1,MIN('Sites'!$AA$7:'Sites'!$AC$7)&lt;0,S51&gt;F51+0.001),1,0)</f>
        <v/>
      </c>
      <c r="AO51" s="160">
        <f>I51+U51-T51-X51</f>
        <v/>
      </c>
    </row>
    <row r="52" ht="28" customHeight="1">
      <c r="A52" s="4" t="inlineStr">
        <is>
          <t>Full</t>
        </is>
      </c>
      <c r="B52" s="4" t="inlineStr">
        <is>
          <t>NEW1</t>
        </is>
      </c>
      <c r="C52" s="160" t="n">
        <v>11</v>
      </c>
      <c r="D52" s="160">
        <f>ROUNDUP(C52/12,0)</f>
        <v/>
      </c>
      <c r="E52" s="160">
        <f>IF(AND('Sites'!$E$7=1,C52&gt;='Sites'!$F$7+'Cases'!$G$6,C52&lt;='Sites'!$G$7),1,0)</f>
        <v/>
      </c>
      <c r="F52" s="160">
        <f>E52*'Assumptions'!N68</f>
        <v/>
      </c>
      <c r="G52" s="160">
        <f>V51</f>
        <v/>
      </c>
      <c r="H52" s="160">
        <f>W51</f>
        <v/>
      </c>
      <c r="I52" s="160">
        <f>X51</f>
        <v/>
      </c>
      <c r="J52" s="160">
        <f>MAX(0,'Sites'!$I$7-SUM(N42:N51))</f>
        <v/>
      </c>
      <c r="K52" s="160">
        <f>IF('Sites'!$C$7="Own sheets",MIN(ROUNDDOWN(G52/'NM Play'!$B$11,0)+F52*'NM Play'!$B$10/'NM Play'!$B$43,ROUNDDOWN(H52/'NM Play'!$B$12,0)+F52*'NM Play'!$B$10/'NM Play'!$B$44,(F52*'NM Play'!$B$10+ROUNDDOWN(G52/'NM Play'!$B$11,0)*'NM Play'!$B$43+ROUNDDOWN(H52/'NM Play'!$B$12,0)*'NM Play'!$B$44)/('NM Play'!$B$43+'NM Play'!$B$44)),ROUNDDOWN(G52/'NM Play'!$B$11,0)+F52*'NM Play'!$B$10/'NM Play'!$B$43)</f>
        <v/>
      </c>
      <c r="L52" s="160">
        <f>MIN(ROUNDDOWN(G52/'NM Play'!$B$11,0)+F52/('NM Play'!$B$43/'NM Play'!$B$15),ROUNDDOWN(H52/'NM Play'!$B$12,0)+F52/('NM Play'!$B$44/'NM Play'!$B$16),(F52+ROUNDDOWN(G52/'NM Play'!$B$11,0)*'NM Play'!$B$43/'NM Play'!$B$15+ROUNDDOWN(H52/'NM Play'!$B$12,0)*'NM Play'!$B$44/'NM Play'!$B$16)/('NM Play'!$B$43/'NM Play'!$B$15+'NM Play'!$B$44/'NM Play'!$B$16))</f>
        <v/>
      </c>
      <c r="M52" s="160">
        <f>F52*'NM Play'!$B$36</f>
        <v/>
      </c>
      <c r="N52" s="160">
        <f>ROUNDDOWN(MAX(0,MIN(J52,K52:M52)),0)</f>
        <v/>
      </c>
      <c r="O52" s="160">
        <f>ROUNDUP(MAX(0,N52*'NM Play'!$B$11-G52)/'NM Play'!$B$13,0)</f>
        <v/>
      </c>
      <c r="P52" s="160">
        <f>ROUNDUP(MAX(0,N52*'NM Play'!$B$12-H52)/'NM Play'!$B$14,0)</f>
        <v/>
      </c>
      <c r="Q52" s="160">
        <f>(O52+IF('Sites'!$C$7="Own sheets",P52,0))/'NM Play'!$B$10</f>
        <v/>
      </c>
      <c r="R52" s="160">
        <f>O52/'NM Play'!$B$15+P52/'NM Play'!$B$16</f>
        <v/>
      </c>
      <c r="S52" s="160">
        <f>MAX(Q52,R52,N52/'NM Play'!$B$36)</f>
        <v/>
      </c>
      <c r="T52" s="160">
        <f>Q52*'NM Play'!$B$10*'NM Play'!$B$21*(1+'NM Play'!$B$35)</f>
        <v/>
      </c>
      <c r="U52" s="160">
        <f>MAX(0,T52-I52)</f>
        <v/>
      </c>
      <c r="V52" s="160">
        <f>G52+O52*'NM Play'!$B$13-N52*'NM Play'!$B$11</f>
        <v/>
      </c>
      <c r="W52" s="160">
        <f>H52+P52*'NM Play'!$B$14-N52*'NM Play'!$B$12</f>
        <v/>
      </c>
      <c r="X52" s="160">
        <f>I52+U52-T52</f>
        <v/>
      </c>
      <c r="Y52" s="160">
        <f>MIN(N52,MAX(0,ROUNDDOWN('Sites'!$L$7*'Cases'!$E$6,0)-SUM(Y42:Y51)))</f>
        <v/>
      </c>
      <c r="Z52" s="160">
        <f>N52-Y52</f>
        <v/>
      </c>
      <c r="AA52" s="160">
        <f>U52*'NM Play'!$B$22</f>
        <v/>
      </c>
      <c r="AB52" s="160">
        <f>N52*SUM('NM Play'!$B$29:$B$31)</f>
        <v/>
      </c>
      <c r="AC52" s="160">
        <f>IF('Sites'!$C$7="Defy legs",P52*'NM Play'!$B$14/'NM Play'!$B$12*'NM Play'!$B$28,0)</f>
        <v/>
      </c>
      <c r="AD52" s="160">
        <f>Q52*'NM Play'!$B$23</f>
        <v/>
      </c>
      <c r="AE52" s="160">
        <f>S52*SUM('NM Play'!$B$26,'NM Play'!$B$33:$B$34)</f>
        <v/>
      </c>
      <c r="AF52" s="160">
        <f>IF('Sites'!$D$7="NM crew",S52*SUM('NM Play'!$B$24:$B$25),0)</f>
        <v/>
      </c>
      <c r="AG52" s="160">
        <f>IF('Sites'!$D$7="NM crew",S52*'NM Play'!$B$27,0)</f>
        <v/>
      </c>
      <c r="AH52" s="160">
        <f>N52*'Sites'!$Z$7*'NM Play'!$B$32</f>
        <v/>
      </c>
      <c r="AI52" s="160">
        <f>SUM(Y52:Z52)*'Sites'!$R$7</f>
        <v/>
      </c>
      <c r="AJ52" s="160">
        <f>SUM(AA52:AH52)</f>
        <v/>
      </c>
      <c r="AK52" s="160">
        <f>AJ52+(T52-U52)*'NM Play'!$B$22+MIN(G52,N52*'NM Play'!$B$11)/'NM Play'!$B$13*'NM Play'!$B$21*'NM Play'!$B$22+MIN(H52,N52*'NM Play'!$B$12)/'NM Play'!$B$14*IF('Sites'!$C$7="Own sheets",'NM Play'!$B$21*'NM Play'!$B$22,'NM Play'!$B$28*'NM Play'!$B$14/'NM Play'!$B$12)</f>
        <v/>
      </c>
      <c r="AL52" s="160">
        <f>Y52*'Assumptions'!N66</f>
        <v/>
      </c>
      <c r="AM52" s="160">
        <f>IF('Sites'!$D$7="NM crew",S52*'NM Play'!$B$37*(1+IF(AND(ISNUMBER('NM Play'!$B$25),'NM Play'!$B$25&gt;0),1,0)),"")</f>
        <v/>
      </c>
      <c r="AN52" s="160">
        <f>IF(OR('Sites'!$E$7&lt;0,'Sites'!$E$7&gt;1,'Sites'!$F$7&lt;1,'Sites'!$G$7&lt;'Sites'!$F$7,F52&lt;0,MIN('Sites'!$I$7:'Sites'!$R$7)&lt;0,'Sites'!$L$7&gt;'Sites'!$I$7,'Sites'!$M$7&gt;'Sites'!$J$7,'Sites'!$N$7&gt;'Sites'!$K$7,'Sites'!$Z$7&lt;0,'Sites'!$Z$7&gt;1,MIN('Sites'!$AA$7:'Sites'!$AC$7)&lt;0,S52&gt;F52+0.001),1,0)</f>
        <v/>
      </c>
      <c r="AO52" s="160">
        <f>I52+U52-T52-X52</f>
        <v/>
      </c>
    </row>
    <row r="53" ht="28" customHeight="1">
      <c r="A53" s="4" t="inlineStr">
        <is>
          <t>Full</t>
        </is>
      </c>
      <c r="B53" s="4" t="inlineStr">
        <is>
          <t>NEW1</t>
        </is>
      </c>
      <c r="C53" s="160" t="n">
        <v>12</v>
      </c>
      <c r="D53" s="160">
        <f>ROUNDUP(C53/12,0)</f>
        <v/>
      </c>
      <c r="E53" s="160">
        <f>IF(AND('Sites'!$E$7=1,C53&gt;='Sites'!$F$7+'Cases'!$G$6,C53&lt;='Sites'!$G$7),1,0)</f>
        <v/>
      </c>
      <c r="F53" s="160">
        <f>E53*'Assumptions'!O68</f>
        <v/>
      </c>
      <c r="G53" s="160">
        <f>V52</f>
        <v/>
      </c>
      <c r="H53" s="160">
        <f>W52</f>
        <v/>
      </c>
      <c r="I53" s="160">
        <f>X52</f>
        <v/>
      </c>
      <c r="J53" s="160">
        <f>MAX(0,'Sites'!$I$7-SUM(N42:N52))</f>
        <v/>
      </c>
      <c r="K53" s="160">
        <f>IF('Sites'!$C$7="Own sheets",MIN(ROUNDDOWN(G53/'NM Play'!$B$11,0)+F53*'NM Play'!$B$10/'NM Play'!$B$43,ROUNDDOWN(H53/'NM Play'!$B$12,0)+F53*'NM Play'!$B$10/'NM Play'!$B$44,(F53*'NM Play'!$B$10+ROUNDDOWN(G53/'NM Play'!$B$11,0)*'NM Play'!$B$43+ROUNDDOWN(H53/'NM Play'!$B$12,0)*'NM Play'!$B$44)/('NM Play'!$B$43+'NM Play'!$B$44)),ROUNDDOWN(G53/'NM Play'!$B$11,0)+F53*'NM Play'!$B$10/'NM Play'!$B$43)</f>
        <v/>
      </c>
      <c r="L53" s="160">
        <f>MIN(ROUNDDOWN(G53/'NM Play'!$B$11,0)+F53/('NM Play'!$B$43/'NM Play'!$B$15),ROUNDDOWN(H53/'NM Play'!$B$12,0)+F53/('NM Play'!$B$44/'NM Play'!$B$16),(F53+ROUNDDOWN(G53/'NM Play'!$B$11,0)*'NM Play'!$B$43/'NM Play'!$B$15+ROUNDDOWN(H53/'NM Play'!$B$12,0)*'NM Play'!$B$44/'NM Play'!$B$16)/('NM Play'!$B$43/'NM Play'!$B$15+'NM Play'!$B$44/'NM Play'!$B$16))</f>
        <v/>
      </c>
      <c r="M53" s="160">
        <f>F53*'NM Play'!$B$36</f>
        <v/>
      </c>
      <c r="N53" s="160">
        <f>ROUNDDOWN(MAX(0,MIN(J53,K53:M53)),0)</f>
        <v/>
      </c>
      <c r="O53" s="160">
        <f>ROUNDUP(MAX(0,N53*'NM Play'!$B$11-G53)/'NM Play'!$B$13,0)</f>
        <v/>
      </c>
      <c r="P53" s="160">
        <f>ROUNDUP(MAX(0,N53*'NM Play'!$B$12-H53)/'NM Play'!$B$14,0)</f>
        <v/>
      </c>
      <c r="Q53" s="160">
        <f>(O53+IF('Sites'!$C$7="Own sheets",P53,0))/'NM Play'!$B$10</f>
        <v/>
      </c>
      <c r="R53" s="160">
        <f>O53/'NM Play'!$B$15+P53/'NM Play'!$B$16</f>
        <v/>
      </c>
      <c r="S53" s="160">
        <f>MAX(Q53,R53,N53/'NM Play'!$B$36)</f>
        <v/>
      </c>
      <c r="T53" s="160">
        <f>Q53*'NM Play'!$B$10*'NM Play'!$B$21*(1+'NM Play'!$B$35)</f>
        <v/>
      </c>
      <c r="U53" s="160">
        <f>MAX(0,T53-I53)</f>
        <v/>
      </c>
      <c r="V53" s="160">
        <f>G53+O53*'NM Play'!$B$13-N53*'NM Play'!$B$11</f>
        <v/>
      </c>
      <c r="W53" s="160">
        <f>H53+P53*'NM Play'!$B$14-N53*'NM Play'!$B$12</f>
        <v/>
      </c>
      <c r="X53" s="160">
        <f>I53+U53-T53</f>
        <v/>
      </c>
      <c r="Y53" s="160">
        <f>MIN(N53,MAX(0,ROUNDDOWN('Sites'!$L$7*'Cases'!$E$6,0)-SUM(Y42:Y52)))</f>
        <v/>
      </c>
      <c r="Z53" s="160">
        <f>N53-Y53</f>
        <v/>
      </c>
      <c r="AA53" s="160">
        <f>U53*'NM Play'!$B$22</f>
        <v/>
      </c>
      <c r="AB53" s="160">
        <f>N53*SUM('NM Play'!$B$29:$B$31)</f>
        <v/>
      </c>
      <c r="AC53" s="160">
        <f>IF('Sites'!$C$7="Defy legs",P53*'NM Play'!$B$14/'NM Play'!$B$12*'NM Play'!$B$28,0)</f>
        <v/>
      </c>
      <c r="AD53" s="160">
        <f>Q53*'NM Play'!$B$23</f>
        <v/>
      </c>
      <c r="AE53" s="160">
        <f>S53*SUM('NM Play'!$B$26,'NM Play'!$B$33:$B$34)</f>
        <v/>
      </c>
      <c r="AF53" s="160">
        <f>IF('Sites'!$D$7="NM crew",S53*SUM('NM Play'!$B$24:$B$25),0)</f>
        <v/>
      </c>
      <c r="AG53" s="160">
        <f>IF('Sites'!$D$7="NM crew",S53*'NM Play'!$B$27,0)</f>
        <v/>
      </c>
      <c r="AH53" s="160">
        <f>N53*'Sites'!$Z$7*'NM Play'!$B$32</f>
        <v/>
      </c>
      <c r="AI53" s="160">
        <f>SUM(Y53:Z53)*'Sites'!$R$7</f>
        <v/>
      </c>
      <c r="AJ53" s="160">
        <f>SUM(AA53:AH53)</f>
        <v/>
      </c>
      <c r="AK53" s="160">
        <f>AJ53+(T53-U53)*'NM Play'!$B$22+MIN(G53,N53*'NM Play'!$B$11)/'NM Play'!$B$13*'NM Play'!$B$21*'NM Play'!$B$22+MIN(H53,N53*'NM Play'!$B$12)/'NM Play'!$B$14*IF('Sites'!$C$7="Own sheets",'NM Play'!$B$21*'NM Play'!$B$22,'NM Play'!$B$28*'NM Play'!$B$14/'NM Play'!$B$12)</f>
        <v/>
      </c>
      <c r="AL53" s="160">
        <f>Y53*'Assumptions'!O66</f>
        <v/>
      </c>
      <c r="AM53" s="160">
        <f>IF('Sites'!$D$7="NM crew",S53*'NM Play'!$B$37*(1+IF(AND(ISNUMBER('NM Play'!$B$25),'NM Play'!$B$25&gt;0),1,0)),"")</f>
        <v/>
      </c>
      <c r="AN53" s="160">
        <f>IF(OR('Sites'!$E$7&lt;0,'Sites'!$E$7&gt;1,'Sites'!$F$7&lt;1,'Sites'!$G$7&lt;'Sites'!$F$7,F53&lt;0,MIN('Sites'!$I$7:'Sites'!$R$7)&lt;0,'Sites'!$L$7&gt;'Sites'!$I$7,'Sites'!$M$7&gt;'Sites'!$J$7,'Sites'!$N$7&gt;'Sites'!$K$7,'Sites'!$Z$7&lt;0,'Sites'!$Z$7&gt;1,MIN('Sites'!$AA$7:'Sites'!$AC$7)&lt;0,S53&gt;F53+0.001),1,0)</f>
        <v/>
      </c>
      <c r="AO53" s="160">
        <f>I53+U53-T53-X53</f>
        <v/>
      </c>
    </row>
    <row r="54" ht="28" customHeight="1">
      <c r="A54" s="4" t="inlineStr">
        <is>
          <t>Full</t>
        </is>
      </c>
      <c r="B54" s="4" t="inlineStr">
        <is>
          <t>NEW1</t>
        </is>
      </c>
      <c r="C54" s="160" t="n">
        <v>13</v>
      </c>
      <c r="D54" s="160">
        <f>ROUNDUP(C54/12,0)</f>
        <v/>
      </c>
      <c r="E54" s="160">
        <f>IF(AND('Sites'!$E$7=1,C54&gt;='Sites'!$F$7+'Cases'!$G$6,C54&lt;='Sites'!$G$7),1,0)</f>
        <v/>
      </c>
      <c r="F54" s="160">
        <f>E54*'Assumptions'!P68</f>
        <v/>
      </c>
      <c r="G54" s="160">
        <f>V53</f>
        <v/>
      </c>
      <c r="H54" s="160">
        <f>W53</f>
        <v/>
      </c>
      <c r="I54" s="160">
        <f>X53</f>
        <v/>
      </c>
      <c r="J54" s="160">
        <f>MAX(0,'Sites'!$J$7-0)</f>
        <v/>
      </c>
      <c r="K54" s="160">
        <f>IF('Sites'!$C$7="Own sheets",MIN(ROUNDDOWN(G54/'NM Play'!$B$11,0)+F54*'NM Play'!$B$10/'NM Play'!$B$43,ROUNDDOWN(H54/'NM Play'!$B$12,0)+F54*'NM Play'!$B$10/'NM Play'!$B$44,(F54*'NM Play'!$B$10+ROUNDDOWN(G54/'NM Play'!$B$11,0)*'NM Play'!$B$43+ROUNDDOWN(H54/'NM Play'!$B$12,0)*'NM Play'!$B$44)/('NM Play'!$B$43+'NM Play'!$B$44)),ROUNDDOWN(G54/'NM Play'!$B$11,0)+F54*'NM Play'!$B$10/'NM Play'!$B$43)</f>
        <v/>
      </c>
      <c r="L54" s="160">
        <f>MIN(ROUNDDOWN(G54/'NM Play'!$B$11,0)+F54/('NM Play'!$B$43/'NM Play'!$B$15),ROUNDDOWN(H54/'NM Play'!$B$12,0)+F54/('NM Play'!$B$44/'NM Play'!$B$16),(F54+ROUNDDOWN(G54/'NM Play'!$B$11,0)*'NM Play'!$B$43/'NM Play'!$B$15+ROUNDDOWN(H54/'NM Play'!$B$12,0)*'NM Play'!$B$44/'NM Play'!$B$16)/('NM Play'!$B$43/'NM Play'!$B$15+'NM Play'!$B$44/'NM Play'!$B$16))</f>
        <v/>
      </c>
      <c r="M54" s="160">
        <f>F54*'NM Play'!$B$36</f>
        <v/>
      </c>
      <c r="N54" s="160">
        <f>ROUNDDOWN(MAX(0,MIN(J54,K54:M54)),0)</f>
        <v/>
      </c>
      <c r="O54" s="160">
        <f>ROUNDUP(MAX(0,N54*'NM Play'!$B$11-G54)/'NM Play'!$B$13,0)</f>
        <v/>
      </c>
      <c r="P54" s="160">
        <f>ROUNDUP(MAX(0,N54*'NM Play'!$B$12-H54)/'NM Play'!$B$14,0)</f>
        <v/>
      </c>
      <c r="Q54" s="160">
        <f>(O54+IF('Sites'!$C$7="Own sheets",P54,0))/'NM Play'!$B$10</f>
        <v/>
      </c>
      <c r="R54" s="160">
        <f>O54/'NM Play'!$B$15+P54/'NM Play'!$B$16</f>
        <v/>
      </c>
      <c r="S54" s="160">
        <f>MAX(Q54,R54,N54/'NM Play'!$B$36)</f>
        <v/>
      </c>
      <c r="T54" s="160">
        <f>Q54*'NM Play'!$B$10*'NM Play'!$B$21*(1+'NM Play'!$B$35)</f>
        <v/>
      </c>
      <c r="U54" s="160">
        <f>MAX(0,T54-I54)</f>
        <v/>
      </c>
      <c r="V54" s="160">
        <f>G54+O54*'NM Play'!$B$13-N54*'NM Play'!$B$11</f>
        <v/>
      </c>
      <c r="W54" s="160">
        <f>H54+P54*'NM Play'!$B$14-N54*'NM Play'!$B$12</f>
        <v/>
      </c>
      <c r="X54" s="160">
        <f>I54+U54-T54</f>
        <v/>
      </c>
      <c r="Y54" s="160">
        <f>MIN(N54,MAX(0,ROUNDDOWN('Sites'!$M$7*'Cases'!$E$6,0)-0))</f>
        <v/>
      </c>
      <c r="Z54" s="160">
        <f>N54-Y54</f>
        <v/>
      </c>
      <c r="AA54" s="160">
        <f>U54*'NM Play'!$B$22</f>
        <v/>
      </c>
      <c r="AB54" s="160">
        <f>N54*SUM('NM Play'!$B$29:$B$31)</f>
        <v/>
      </c>
      <c r="AC54" s="160">
        <f>IF('Sites'!$C$7="Defy legs",P54*'NM Play'!$B$14/'NM Play'!$B$12*'NM Play'!$B$28,0)</f>
        <v/>
      </c>
      <c r="AD54" s="160">
        <f>Q54*'NM Play'!$B$23</f>
        <v/>
      </c>
      <c r="AE54" s="160">
        <f>S54*SUM('NM Play'!$B$26,'NM Play'!$B$33:$B$34)</f>
        <v/>
      </c>
      <c r="AF54" s="160">
        <f>IF('Sites'!$D$7="NM crew",S54*SUM('NM Play'!$B$24:$B$25),0)</f>
        <v/>
      </c>
      <c r="AG54" s="160">
        <f>IF('Sites'!$D$7="NM crew",S54*'NM Play'!$B$27,0)</f>
        <v/>
      </c>
      <c r="AH54" s="160">
        <f>N54*'Sites'!$Z$7*'NM Play'!$B$32</f>
        <v/>
      </c>
      <c r="AI54" s="160">
        <f>SUM(Y54:Z54)*'Sites'!$R$7</f>
        <v/>
      </c>
      <c r="AJ54" s="160">
        <f>SUM(AA54:AH54)</f>
        <v/>
      </c>
      <c r="AK54" s="160">
        <f>AJ54+(T54-U54)*'NM Play'!$B$22+MIN(G54,N54*'NM Play'!$B$11)/'NM Play'!$B$13*'NM Play'!$B$21*'NM Play'!$B$22+MIN(H54,N54*'NM Play'!$B$12)/'NM Play'!$B$14*IF('Sites'!$C$7="Own sheets",'NM Play'!$B$21*'NM Play'!$B$22,'NM Play'!$B$28*'NM Play'!$B$14/'NM Play'!$B$12)</f>
        <v/>
      </c>
      <c r="AL54" s="160">
        <f>Y54*'Assumptions'!P66</f>
        <v/>
      </c>
      <c r="AM54" s="160">
        <f>IF('Sites'!$D$7="NM crew",S54*'NM Play'!$B$37*(1+IF(AND(ISNUMBER('NM Play'!$B$25),'NM Play'!$B$25&gt;0),1,0)),"")</f>
        <v/>
      </c>
      <c r="AN54" s="160">
        <f>IF(OR('Sites'!$E$7&lt;0,'Sites'!$E$7&gt;1,'Sites'!$F$7&lt;1,'Sites'!$G$7&lt;'Sites'!$F$7,F54&lt;0,MIN('Sites'!$I$7:'Sites'!$R$7)&lt;0,'Sites'!$L$7&gt;'Sites'!$I$7,'Sites'!$M$7&gt;'Sites'!$J$7,'Sites'!$N$7&gt;'Sites'!$K$7,'Sites'!$Z$7&lt;0,'Sites'!$Z$7&gt;1,MIN('Sites'!$AA$7:'Sites'!$AC$7)&lt;0,S54&gt;F54+0.001),1,0)</f>
        <v/>
      </c>
      <c r="AO54" s="160">
        <f>I54+U54-T54-X54</f>
        <v/>
      </c>
    </row>
    <row r="55" ht="28" customHeight="1">
      <c r="A55" s="4" t="inlineStr">
        <is>
          <t>Full</t>
        </is>
      </c>
      <c r="B55" s="4" t="inlineStr">
        <is>
          <t>NEW1</t>
        </is>
      </c>
      <c r="C55" s="160" t="n">
        <v>14</v>
      </c>
      <c r="D55" s="160">
        <f>ROUNDUP(C55/12,0)</f>
        <v/>
      </c>
      <c r="E55" s="160">
        <f>IF(AND('Sites'!$E$7=1,C55&gt;='Sites'!$F$7+'Cases'!$G$6,C55&lt;='Sites'!$G$7),1,0)</f>
        <v/>
      </c>
      <c r="F55" s="160">
        <f>E55*'Assumptions'!Q68</f>
        <v/>
      </c>
      <c r="G55" s="160">
        <f>V54</f>
        <v/>
      </c>
      <c r="H55" s="160">
        <f>W54</f>
        <v/>
      </c>
      <c r="I55" s="160">
        <f>X54</f>
        <v/>
      </c>
      <c r="J55" s="160">
        <f>MAX(0,'Sites'!$J$7-SUM(N54:N54))</f>
        <v/>
      </c>
      <c r="K55" s="160">
        <f>IF('Sites'!$C$7="Own sheets",MIN(ROUNDDOWN(G55/'NM Play'!$B$11,0)+F55*'NM Play'!$B$10/'NM Play'!$B$43,ROUNDDOWN(H55/'NM Play'!$B$12,0)+F55*'NM Play'!$B$10/'NM Play'!$B$44,(F55*'NM Play'!$B$10+ROUNDDOWN(G55/'NM Play'!$B$11,0)*'NM Play'!$B$43+ROUNDDOWN(H55/'NM Play'!$B$12,0)*'NM Play'!$B$44)/('NM Play'!$B$43+'NM Play'!$B$44)),ROUNDDOWN(G55/'NM Play'!$B$11,0)+F55*'NM Play'!$B$10/'NM Play'!$B$43)</f>
        <v/>
      </c>
      <c r="L55" s="160">
        <f>MIN(ROUNDDOWN(G55/'NM Play'!$B$11,0)+F55/('NM Play'!$B$43/'NM Play'!$B$15),ROUNDDOWN(H55/'NM Play'!$B$12,0)+F55/('NM Play'!$B$44/'NM Play'!$B$16),(F55+ROUNDDOWN(G55/'NM Play'!$B$11,0)*'NM Play'!$B$43/'NM Play'!$B$15+ROUNDDOWN(H55/'NM Play'!$B$12,0)*'NM Play'!$B$44/'NM Play'!$B$16)/('NM Play'!$B$43/'NM Play'!$B$15+'NM Play'!$B$44/'NM Play'!$B$16))</f>
        <v/>
      </c>
      <c r="M55" s="160">
        <f>F55*'NM Play'!$B$36</f>
        <v/>
      </c>
      <c r="N55" s="160">
        <f>ROUNDDOWN(MAX(0,MIN(J55,K55:M55)),0)</f>
        <v/>
      </c>
      <c r="O55" s="160">
        <f>ROUNDUP(MAX(0,N55*'NM Play'!$B$11-G55)/'NM Play'!$B$13,0)</f>
        <v/>
      </c>
      <c r="P55" s="160">
        <f>ROUNDUP(MAX(0,N55*'NM Play'!$B$12-H55)/'NM Play'!$B$14,0)</f>
        <v/>
      </c>
      <c r="Q55" s="160">
        <f>(O55+IF('Sites'!$C$7="Own sheets",P55,0))/'NM Play'!$B$10</f>
        <v/>
      </c>
      <c r="R55" s="160">
        <f>O55/'NM Play'!$B$15+P55/'NM Play'!$B$16</f>
        <v/>
      </c>
      <c r="S55" s="160">
        <f>MAX(Q55,R55,N55/'NM Play'!$B$36)</f>
        <v/>
      </c>
      <c r="T55" s="160">
        <f>Q55*'NM Play'!$B$10*'NM Play'!$B$21*(1+'NM Play'!$B$35)</f>
        <v/>
      </c>
      <c r="U55" s="160">
        <f>MAX(0,T55-I55)</f>
        <v/>
      </c>
      <c r="V55" s="160">
        <f>G55+O55*'NM Play'!$B$13-N55*'NM Play'!$B$11</f>
        <v/>
      </c>
      <c r="W55" s="160">
        <f>H55+P55*'NM Play'!$B$14-N55*'NM Play'!$B$12</f>
        <v/>
      </c>
      <c r="X55" s="160">
        <f>I55+U55-T55</f>
        <v/>
      </c>
      <c r="Y55" s="160">
        <f>MIN(N55,MAX(0,ROUNDDOWN('Sites'!$M$7*'Cases'!$E$6,0)-SUM(Y54:Y54)))</f>
        <v/>
      </c>
      <c r="Z55" s="160">
        <f>N55-Y55</f>
        <v/>
      </c>
      <c r="AA55" s="160">
        <f>U55*'NM Play'!$B$22</f>
        <v/>
      </c>
      <c r="AB55" s="160">
        <f>N55*SUM('NM Play'!$B$29:$B$31)</f>
        <v/>
      </c>
      <c r="AC55" s="160">
        <f>IF('Sites'!$C$7="Defy legs",P55*'NM Play'!$B$14/'NM Play'!$B$12*'NM Play'!$B$28,0)</f>
        <v/>
      </c>
      <c r="AD55" s="160">
        <f>Q55*'NM Play'!$B$23</f>
        <v/>
      </c>
      <c r="AE55" s="160">
        <f>S55*SUM('NM Play'!$B$26,'NM Play'!$B$33:$B$34)</f>
        <v/>
      </c>
      <c r="AF55" s="160">
        <f>IF('Sites'!$D$7="NM crew",S55*SUM('NM Play'!$B$24:$B$25),0)</f>
        <v/>
      </c>
      <c r="AG55" s="160">
        <f>IF('Sites'!$D$7="NM crew",S55*'NM Play'!$B$27,0)</f>
        <v/>
      </c>
      <c r="AH55" s="160">
        <f>N55*'Sites'!$Z$7*'NM Play'!$B$32</f>
        <v/>
      </c>
      <c r="AI55" s="160">
        <f>SUM(Y55:Z55)*'Sites'!$R$7</f>
        <v/>
      </c>
      <c r="AJ55" s="160">
        <f>SUM(AA55:AH55)</f>
        <v/>
      </c>
      <c r="AK55" s="160">
        <f>AJ55+(T55-U55)*'NM Play'!$B$22+MIN(G55,N55*'NM Play'!$B$11)/'NM Play'!$B$13*'NM Play'!$B$21*'NM Play'!$B$22+MIN(H55,N55*'NM Play'!$B$12)/'NM Play'!$B$14*IF('Sites'!$C$7="Own sheets",'NM Play'!$B$21*'NM Play'!$B$22,'NM Play'!$B$28*'NM Play'!$B$14/'NM Play'!$B$12)</f>
        <v/>
      </c>
      <c r="AL55" s="160">
        <f>Y55*'Assumptions'!Q66</f>
        <v/>
      </c>
      <c r="AM55" s="160">
        <f>IF('Sites'!$D$7="NM crew",S55*'NM Play'!$B$37*(1+IF(AND(ISNUMBER('NM Play'!$B$25),'NM Play'!$B$25&gt;0),1,0)),"")</f>
        <v/>
      </c>
      <c r="AN55" s="160">
        <f>IF(OR('Sites'!$E$7&lt;0,'Sites'!$E$7&gt;1,'Sites'!$F$7&lt;1,'Sites'!$G$7&lt;'Sites'!$F$7,F55&lt;0,MIN('Sites'!$I$7:'Sites'!$R$7)&lt;0,'Sites'!$L$7&gt;'Sites'!$I$7,'Sites'!$M$7&gt;'Sites'!$J$7,'Sites'!$N$7&gt;'Sites'!$K$7,'Sites'!$Z$7&lt;0,'Sites'!$Z$7&gt;1,MIN('Sites'!$AA$7:'Sites'!$AC$7)&lt;0,S55&gt;F55+0.001),1,0)</f>
        <v/>
      </c>
      <c r="AO55" s="160">
        <f>I55+U55-T55-X55</f>
        <v/>
      </c>
    </row>
    <row r="56" ht="28" customHeight="1">
      <c r="A56" s="4" t="inlineStr">
        <is>
          <t>Full</t>
        </is>
      </c>
      <c r="B56" s="4" t="inlineStr">
        <is>
          <t>NEW1</t>
        </is>
      </c>
      <c r="C56" s="160" t="n">
        <v>15</v>
      </c>
      <c r="D56" s="160">
        <f>ROUNDUP(C56/12,0)</f>
        <v/>
      </c>
      <c r="E56" s="160">
        <f>IF(AND('Sites'!$E$7=1,C56&gt;='Sites'!$F$7+'Cases'!$G$6,C56&lt;='Sites'!$G$7),1,0)</f>
        <v/>
      </c>
      <c r="F56" s="160">
        <f>E56*'Assumptions'!R68</f>
        <v/>
      </c>
      <c r="G56" s="160">
        <f>V55</f>
        <v/>
      </c>
      <c r="H56" s="160">
        <f>W55</f>
        <v/>
      </c>
      <c r="I56" s="160">
        <f>X55</f>
        <v/>
      </c>
      <c r="J56" s="160">
        <f>MAX(0,'Sites'!$J$7-SUM(N54:N55))</f>
        <v/>
      </c>
      <c r="K56" s="160">
        <f>IF('Sites'!$C$7="Own sheets",MIN(ROUNDDOWN(G56/'NM Play'!$B$11,0)+F56*'NM Play'!$B$10/'NM Play'!$B$43,ROUNDDOWN(H56/'NM Play'!$B$12,0)+F56*'NM Play'!$B$10/'NM Play'!$B$44,(F56*'NM Play'!$B$10+ROUNDDOWN(G56/'NM Play'!$B$11,0)*'NM Play'!$B$43+ROUNDDOWN(H56/'NM Play'!$B$12,0)*'NM Play'!$B$44)/('NM Play'!$B$43+'NM Play'!$B$44)),ROUNDDOWN(G56/'NM Play'!$B$11,0)+F56*'NM Play'!$B$10/'NM Play'!$B$43)</f>
        <v/>
      </c>
      <c r="L56" s="160">
        <f>MIN(ROUNDDOWN(G56/'NM Play'!$B$11,0)+F56/('NM Play'!$B$43/'NM Play'!$B$15),ROUNDDOWN(H56/'NM Play'!$B$12,0)+F56/('NM Play'!$B$44/'NM Play'!$B$16),(F56+ROUNDDOWN(G56/'NM Play'!$B$11,0)*'NM Play'!$B$43/'NM Play'!$B$15+ROUNDDOWN(H56/'NM Play'!$B$12,0)*'NM Play'!$B$44/'NM Play'!$B$16)/('NM Play'!$B$43/'NM Play'!$B$15+'NM Play'!$B$44/'NM Play'!$B$16))</f>
        <v/>
      </c>
      <c r="M56" s="160">
        <f>F56*'NM Play'!$B$36</f>
        <v/>
      </c>
      <c r="N56" s="160">
        <f>ROUNDDOWN(MAX(0,MIN(J56,K56:M56)),0)</f>
        <v/>
      </c>
      <c r="O56" s="160">
        <f>ROUNDUP(MAX(0,N56*'NM Play'!$B$11-G56)/'NM Play'!$B$13,0)</f>
        <v/>
      </c>
      <c r="P56" s="160">
        <f>ROUNDUP(MAX(0,N56*'NM Play'!$B$12-H56)/'NM Play'!$B$14,0)</f>
        <v/>
      </c>
      <c r="Q56" s="160">
        <f>(O56+IF('Sites'!$C$7="Own sheets",P56,0))/'NM Play'!$B$10</f>
        <v/>
      </c>
      <c r="R56" s="160">
        <f>O56/'NM Play'!$B$15+P56/'NM Play'!$B$16</f>
        <v/>
      </c>
      <c r="S56" s="160">
        <f>MAX(Q56,R56,N56/'NM Play'!$B$36)</f>
        <v/>
      </c>
      <c r="T56" s="160">
        <f>Q56*'NM Play'!$B$10*'NM Play'!$B$21*(1+'NM Play'!$B$35)</f>
        <v/>
      </c>
      <c r="U56" s="160">
        <f>MAX(0,T56-I56)</f>
        <v/>
      </c>
      <c r="V56" s="160">
        <f>G56+O56*'NM Play'!$B$13-N56*'NM Play'!$B$11</f>
        <v/>
      </c>
      <c r="W56" s="160">
        <f>H56+P56*'NM Play'!$B$14-N56*'NM Play'!$B$12</f>
        <v/>
      </c>
      <c r="X56" s="160">
        <f>I56+U56-T56</f>
        <v/>
      </c>
      <c r="Y56" s="160">
        <f>MIN(N56,MAX(0,ROUNDDOWN('Sites'!$M$7*'Cases'!$E$6,0)-SUM(Y54:Y55)))</f>
        <v/>
      </c>
      <c r="Z56" s="160">
        <f>N56-Y56</f>
        <v/>
      </c>
      <c r="AA56" s="160">
        <f>U56*'NM Play'!$B$22</f>
        <v/>
      </c>
      <c r="AB56" s="160">
        <f>N56*SUM('NM Play'!$B$29:$B$31)</f>
        <v/>
      </c>
      <c r="AC56" s="160">
        <f>IF('Sites'!$C$7="Defy legs",P56*'NM Play'!$B$14/'NM Play'!$B$12*'NM Play'!$B$28,0)</f>
        <v/>
      </c>
      <c r="AD56" s="160">
        <f>Q56*'NM Play'!$B$23</f>
        <v/>
      </c>
      <c r="AE56" s="160">
        <f>S56*SUM('NM Play'!$B$26,'NM Play'!$B$33:$B$34)</f>
        <v/>
      </c>
      <c r="AF56" s="160">
        <f>IF('Sites'!$D$7="NM crew",S56*SUM('NM Play'!$B$24:$B$25),0)</f>
        <v/>
      </c>
      <c r="AG56" s="160">
        <f>IF('Sites'!$D$7="NM crew",S56*'NM Play'!$B$27,0)</f>
        <v/>
      </c>
      <c r="AH56" s="160">
        <f>N56*'Sites'!$Z$7*'NM Play'!$B$32</f>
        <v/>
      </c>
      <c r="AI56" s="160">
        <f>SUM(Y56:Z56)*'Sites'!$R$7</f>
        <v/>
      </c>
      <c r="AJ56" s="160">
        <f>SUM(AA56:AH56)</f>
        <v/>
      </c>
      <c r="AK56" s="160">
        <f>AJ56+(T56-U56)*'NM Play'!$B$22+MIN(G56,N56*'NM Play'!$B$11)/'NM Play'!$B$13*'NM Play'!$B$21*'NM Play'!$B$22+MIN(H56,N56*'NM Play'!$B$12)/'NM Play'!$B$14*IF('Sites'!$C$7="Own sheets",'NM Play'!$B$21*'NM Play'!$B$22,'NM Play'!$B$28*'NM Play'!$B$14/'NM Play'!$B$12)</f>
        <v/>
      </c>
      <c r="AL56" s="160">
        <f>Y56*'Assumptions'!R66</f>
        <v/>
      </c>
      <c r="AM56" s="160">
        <f>IF('Sites'!$D$7="NM crew",S56*'NM Play'!$B$37*(1+IF(AND(ISNUMBER('NM Play'!$B$25),'NM Play'!$B$25&gt;0),1,0)),"")</f>
        <v/>
      </c>
      <c r="AN56" s="160">
        <f>IF(OR('Sites'!$E$7&lt;0,'Sites'!$E$7&gt;1,'Sites'!$F$7&lt;1,'Sites'!$G$7&lt;'Sites'!$F$7,F56&lt;0,MIN('Sites'!$I$7:'Sites'!$R$7)&lt;0,'Sites'!$L$7&gt;'Sites'!$I$7,'Sites'!$M$7&gt;'Sites'!$J$7,'Sites'!$N$7&gt;'Sites'!$K$7,'Sites'!$Z$7&lt;0,'Sites'!$Z$7&gt;1,MIN('Sites'!$AA$7:'Sites'!$AC$7)&lt;0,S56&gt;F56+0.001),1,0)</f>
        <v/>
      </c>
      <c r="AO56" s="160">
        <f>I56+U56-T56-X56</f>
        <v/>
      </c>
    </row>
    <row r="57" ht="28" customHeight="1">
      <c r="A57" s="4" t="inlineStr">
        <is>
          <t>Full</t>
        </is>
      </c>
      <c r="B57" s="4" t="inlineStr">
        <is>
          <t>NEW1</t>
        </is>
      </c>
      <c r="C57" s="160" t="n">
        <v>16</v>
      </c>
      <c r="D57" s="160">
        <f>ROUNDUP(C57/12,0)</f>
        <v/>
      </c>
      <c r="E57" s="160">
        <f>IF(AND('Sites'!$E$7=1,C57&gt;='Sites'!$F$7+'Cases'!$G$6,C57&lt;='Sites'!$G$7),1,0)</f>
        <v/>
      </c>
      <c r="F57" s="160">
        <f>E57*'Assumptions'!S68</f>
        <v/>
      </c>
      <c r="G57" s="160">
        <f>V56</f>
        <v/>
      </c>
      <c r="H57" s="160">
        <f>W56</f>
        <v/>
      </c>
      <c r="I57" s="160">
        <f>X56</f>
        <v/>
      </c>
      <c r="J57" s="160">
        <f>MAX(0,'Sites'!$J$7-SUM(N54:N56))</f>
        <v/>
      </c>
      <c r="K57" s="160">
        <f>IF('Sites'!$C$7="Own sheets",MIN(ROUNDDOWN(G57/'NM Play'!$B$11,0)+F57*'NM Play'!$B$10/'NM Play'!$B$43,ROUNDDOWN(H57/'NM Play'!$B$12,0)+F57*'NM Play'!$B$10/'NM Play'!$B$44,(F57*'NM Play'!$B$10+ROUNDDOWN(G57/'NM Play'!$B$11,0)*'NM Play'!$B$43+ROUNDDOWN(H57/'NM Play'!$B$12,0)*'NM Play'!$B$44)/('NM Play'!$B$43+'NM Play'!$B$44)),ROUNDDOWN(G57/'NM Play'!$B$11,0)+F57*'NM Play'!$B$10/'NM Play'!$B$43)</f>
        <v/>
      </c>
      <c r="L57" s="160">
        <f>MIN(ROUNDDOWN(G57/'NM Play'!$B$11,0)+F57/('NM Play'!$B$43/'NM Play'!$B$15),ROUNDDOWN(H57/'NM Play'!$B$12,0)+F57/('NM Play'!$B$44/'NM Play'!$B$16),(F57+ROUNDDOWN(G57/'NM Play'!$B$11,0)*'NM Play'!$B$43/'NM Play'!$B$15+ROUNDDOWN(H57/'NM Play'!$B$12,0)*'NM Play'!$B$44/'NM Play'!$B$16)/('NM Play'!$B$43/'NM Play'!$B$15+'NM Play'!$B$44/'NM Play'!$B$16))</f>
        <v/>
      </c>
      <c r="M57" s="160">
        <f>F57*'NM Play'!$B$36</f>
        <v/>
      </c>
      <c r="N57" s="160">
        <f>ROUNDDOWN(MAX(0,MIN(J57,K57:M57)),0)</f>
        <v/>
      </c>
      <c r="O57" s="160">
        <f>ROUNDUP(MAX(0,N57*'NM Play'!$B$11-G57)/'NM Play'!$B$13,0)</f>
        <v/>
      </c>
      <c r="P57" s="160">
        <f>ROUNDUP(MAX(0,N57*'NM Play'!$B$12-H57)/'NM Play'!$B$14,0)</f>
        <v/>
      </c>
      <c r="Q57" s="160">
        <f>(O57+IF('Sites'!$C$7="Own sheets",P57,0))/'NM Play'!$B$10</f>
        <v/>
      </c>
      <c r="R57" s="160">
        <f>O57/'NM Play'!$B$15+P57/'NM Play'!$B$16</f>
        <v/>
      </c>
      <c r="S57" s="160">
        <f>MAX(Q57,R57,N57/'NM Play'!$B$36)</f>
        <v/>
      </c>
      <c r="T57" s="160">
        <f>Q57*'NM Play'!$B$10*'NM Play'!$B$21*(1+'NM Play'!$B$35)</f>
        <v/>
      </c>
      <c r="U57" s="160">
        <f>MAX(0,T57-I57)</f>
        <v/>
      </c>
      <c r="V57" s="160">
        <f>G57+O57*'NM Play'!$B$13-N57*'NM Play'!$B$11</f>
        <v/>
      </c>
      <c r="W57" s="160">
        <f>H57+P57*'NM Play'!$B$14-N57*'NM Play'!$B$12</f>
        <v/>
      </c>
      <c r="X57" s="160">
        <f>I57+U57-T57</f>
        <v/>
      </c>
      <c r="Y57" s="160">
        <f>MIN(N57,MAX(0,ROUNDDOWN('Sites'!$M$7*'Cases'!$E$6,0)-SUM(Y54:Y56)))</f>
        <v/>
      </c>
      <c r="Z57" s="160">
        <f>N57-Y57</f>
        <v/>
      </c>
      <c r="AA57" s="160">
        <f>U57*'NM Play'!$B$22</f>
        <v/>
      </c>
      <c r="AB57" s="160">
        <f>N57*SUM('NM Play'!$B$29:$B$31)</f>
        <v/>
      </c>
      <c r="AC57" s="160">
        <f>IF('Sites'!$C$7="Defy legs",P57*'NM Play'!$B$14/'NM Play'!$B$12*'NM Play'!$B$28,0)</f>
        <v/>
      </c>
      <c r="AD57" s="160">
        <f>Q57*'NM Play'!$B$23</f>
        <v/>
      </c>
      <c r="AE57" s="160">
        <f>S57*SUM('NM Play'!$B$26,'NM Play'!$B$33:$B$34)</f>
        <v/>
      </c>
      <c r="AF57" s="160">
        <f>IF('Sites'!$D$7="NM crew",S57*SUM('NM Play'!$B$24:$B$25),0)</f>
        <v/>
      </c>
      <c r="AG57" s="160">
        <f>IF('Sites'!$D$7="NM crew",S57*'NM Play'!$B$27,0)</f>
        <v/>
      </c>
      <c r="AH57" s="160">
        <f>N57*'Sites'!$Z$7*'NM Play'!$B$32</f>
        <v/>
      </c>
      <c r="AI57" s="160">
        <f>SUM(Y57:Z57)*'Sites'!$R$7</f>
        <v/>
      </c>
      <c r="AJ57" s="160">
        <f>SUM(AA57:AH57)</f>
        <v/>
      </c>
      <c r="AK57" s="160">
        <f>AJ57+(T57-U57)*'NM Play'!$B$22+MIN(G57,N57*'NM Play'!$B$11)/'NM Play'!$B$13*'NM Play'!$B$21*'NM Play'!$B$22+MIN(H57,N57*'NM Play'!$B$12)/'NM Play'!$B$14*IF('Sites'!$C$7="Own sheets",'NM Play'!$B$21*'NM Play'!$B$22,'NM Play'!$B$28*'NM Play'!$B$14/'NM Play'!$B$12)</f>
        <v/>
      </c>
      <c r="AL57" s="160">
        <f>Y57*'Assumptions'!S66</f>
        <v/>
      </c>
      <c r="AM57" s="160">
        <f>IF('Sites'!$D$7="NM crew",S57*'NM Play'!$B$37*(1+IF(AND(ISNUMBER('NM Play'!$B$25),'NM Play'!$B$25&gt;0),1,0)),"")</f>
        <v/>
      </c>
      <c r="AN57" s="160">
        <f>IF(OR('Sites'!$E$7&lt;0,'Sites'!$E$7&gt;1,'Sites'!$F$7&lt;1,'Sites'!$G$7&lt;'Sites'!$F$7,F57&lt;0,MIN('Sites'!$I$7:'Sites'!$R$7)&lt;0,'Sites'!$L$7&gt;'Sites'!$I$7,'Sites'!$M$7&gt;'Sites'!$J$7,'Sites'!$N$7&gt;'Sites'!$K$7,'Sites'!$Z$7&lt;0,'Sites'!$Z$7&gt;1,MIN('Sites'!$AA$7:'Sites'!$AC$7)&lt;0,S57&gt;F57+0.001),1,0)</f>
        <v/>
      </c>
      <c r="AO57" s="160">
        <f>I57+U57-T57-X57</f>
        <v/>
      </c>
    </row>
    <row r="58" ht="28" customHeight="1">
      <c r="A58" s="4" t="inlineStr">
        <is>
          <t>Full</t>
        </is>
      </c>
      <c r="B58" s="4" t="inlineStr">
        <is>
          <t>NEW1</t>
        </is>
      </c>
      <c r="C58" s="160" t="n">
        <v>17</v>
      </c>
      <c r="D58" s="160">
        <f>ROUNDUP(C58/12,0)</f>
        <v/>
      </c>
      <c r="E58" s="160">
        <f>IF(AND('Sites'!$E$7=1,C58&gt;='Sites'!$F$7+'Cases'!$G$6,C58&lt;='Sites'!$G$7),1,0)</f>
        <v/>
      </c>
      <c r="F58" s="160">
        <f>E58*'Assumptions'!T68</f>
        <v/>
      </c>
      <c r="G58" s="160">
        <f>V57</f>
        <v/>
      </c>
      <c r="H58" s="160">
        <f>W57</f>
        <v/>
      </c>
      <c r="I58" s="160">
        <f>X57</f>
        <v/>
      </c>
      <c r="J58" s="160">
        <f>MAX(0,'Sites'!$J$7-SUM(N54:N57))</f>
        <v/>
      </c>
      <c r="K58" s="160">
        <f>IF('Sites'!$C$7="Own sheets",MIN(ROUNDDOWN(G58/'NM Play'!$B$11,0)+F58*'NM Play'!$B$10/'NM Play'!$B$43,ROUNDDOWN(H58/'NM Play'!$B$12,0)+F58*'NM Play'!$B$10/'NM Play'!$B$44,(F58*'NM Play'!$B$10+ROUNDDOWN(G58/'NM Play'!$B$11,0)*'NM Play'!$B$43+ROUNDDOWN(H58/'NM Play'!$B$12,0)*'NM Play'!$B$44)/('NM Play'!$B$43+'NM Play'!$B$44)),ROUNDDOWN(G58/'NM Play'!$B$11,0)+F58*'NM Play'!$B$10/'NM Play'!$B$43)</f>
        <v/>
      </c>
      <c r="L58" s="160">
        <f>MIN(ROUNDDOWN(G58/'NM Play'!$B$11,0)+F58/('NM Play'!$B$43/'NM Play'!$B$15),ROUNDDOWN(H58/'NM Play'!$B$12,0)+F58/('NM Play'!$B$44/'NM Play'!$B$16),(F58+ROUNDDOWN(G58/'NM Play'!$B$11,0)*'NM Play'!$B$43/'NM Play'!$B$15+ROUNDDOWN(H58/'NM Play'!$B$12,0)*'NM Play'!$B$44/'NM Play'!$B$16)/('NM Play'!$B$43/'NM Play'!$B$15+'NM Play'!$B$44/'NM Play'!$B$16))</f>
        <v/>
      </c>
      <c r="M58" s="160">
        <f>F58*'NM Play'!$B$36</f>
        <v/>
      </c>
      <c r="N58" s="160">
        <f>ROUNDDOWN(MAX(0,MIN(J58,K58:M58)),0)</f>
        <v/>
      </c>
      <c r="O58" s="160">
        <f>ROUNDUP(MAX(0,N58*'NM Play'!$B$11-G58)/'NM Play'!$B$13,0)</f>
        <v/>
      </c>
      <c r="P58" s="160">
        <f>ROUNDUP(MAX(0,N58*'NM Play'!$B$12-H58)/'NM Play'!$B$14,0)</f>
        <v/>
      </c>
      <c r="Q58" s="160">
        <f>(O58+IF('Sites'!$C$7="Own sheets",P58,0))/'NM Play'!$B$10</f>
        <v/>
      </c>
      <c r="R58" s="160">
        <f>O58/'NM Play'!$B$15+P58/'NM Play'!$B$16</f>
        <v/>
      </c>
      <c r="S58" s="160">
        <f>MAX(Q58,R58,N58/'NM Play'!$B$36)</f>
        <v/>
      </c>
      <c r="T58" s="160">
        <f>Q58*'NM Play'!$B$10*'NM Play'!$B$21*(1+'NM Play'!$B$35)</f>
        <v/>
      </c>
      <c r="U58" s="160">
        <f>MAX(0,T58-I58)</f>
        <v/>
      </c>
      <c r="V58" s="160">
        <f>G58+O58*'NM Play'!$B$13-N58*'NM Play'!$B$11</f>
        <v/>
      </c>
      <c r="W58" s="160">
        <f>H58+P58*'NM Play'!$B$14-N58*'NM Play'!$B$12</f>
        <v/>
      </c>
      <c r="X58" s="160">
        <f>I58+U58-T58</f>
        <v/>
      </c>
      <c r="Y58" s="160">
        <f>MIN(N58,MAX(0,ROUNDDOWN('Sites'!$M$7*'Cases'!$E$6,0)-SUM(Y54:Y57)))</f>
        <v/>
      </c>
      <c r="Z58" s="160">
        <f>N58-Y58</f>
        <v/>
      </c>
      <c r="AA58" s="160">
        <f>U58*'NM Play'!$B$22</f>
        <v/>
      </c>
      <c r="AB58" s="160">
        <f>N58*SUM('NM Play'!$B$29:$B$31)</f>
        <v/>
      </c>
      <c r="AC58" s="160">
        <f>IF('Sites'!$C$7="Defy legs",P58*'NM Play'!$B$14/'NM Play'!$B$12*'NM Play'!$B$28,0)</f>
        <v/>
      </c>
      <c r="AD58" s="160">
        <f>Q58*'NM Play'!$B$23</f>
        <v/>
      </c>
      <c r="AE58" s="160">
        <f>S58*SUM('NM Play'!$B$26,'NM Play'!$B$33:$B$34)</f>
        <v/>
      </c>
      <c r="AF58" s="160">
        <f>IF('Sites'!$D$7="NM crew",S58*SUM('NM Play'!$B$24:$B$25),0)</f>
        <v/>
      </c>
      <c r="AG58" s="160">
        <f>IF('Sites'!$D$7="NM crew",S58*'NM Play'!$B$27,0)</f>
        <v/>
      </c>
      <c r="AH58" s="160">
        <f>N58*'Sites'!$Z$7*'NM Play'!$B$32</f>
        <v/>
      </c>
      <c r="AI58" s="160">
        <f>SUM(Y58:Z58)*'Sites'!$R$7</f>
        <v/>
      </c>
      <c r="AJ58" s="160">
        <f>SUM(AA58:AH58)</f>
        <v/>
      </c>
      <c r="AK58" s="160">
        <f>AJ58+(T58-U58)*'NM Play'!$B$22+MIN(G58,N58*'NM Play'!$B$11)/'NM Play'!$B$13*'NM Play'!$B$21*'NM Play'!$B$22+MIN(H58,N58*'NM Play'!$B$12)/'NM Play'!$B$14*IF('Sites'!$C$7="Own sheets",'NM Play'!$B$21*'NM Play'!$B$22,'NM Play'!$B$28*'NM Play'!$B$14/'NM Play'!$B$12)</f>
        <v/>
      </c>
      <c r="AL58" s="160">
        <f>Y58*'Assumptions'!T66</f>
        <v/>
      </c>
      <c r="AM58" s="160">
        <f>IF('Sites'!$D$7="NM crew",S58*'NM Play'!$B$37*(1+IF(AND(ISNUMBER('NM Play'!$B$25),'NM Play'!$B$25&gt;0),1,0)),"")</f>
        <v/>
      </c>
      <c r="AN58" s="160">
        <f>IF(OR('Sites'!$E$7&lt;0,'Sites'!$E$7&gt;1,'Sites'!$F$7&lt;1,'Sites'!$G$7&lt;'Sites'!$F$7,F58&lt;0,MIN('Sites'!$I$7:'Sites'!$R$7)&lt;0,'Sites'!$L$7&gt;'Sites'!$I$7,'Sites'!$M$7&gt;'Sites'!$J$7,'Sites'!$N$7&gt;'Sites'!$K$7,'Sites'!$Z$7&lt;0,'Sites'!$Z$7&gt;1,MIN('Sites'!$AA$7:'Sites'!$AC$7)&lt;0,S58&gt;F58+0.001),1,0)</f>
        <v/>
      </c>
      <c r="AO58" s="160">
        <f>I58+U58-T58-X58</f>
        <v/>
      </c>
    </row>
    <row r="59" ht="28" customHeight="1">
      <c r="A59" s="4" t="inlineStr">
        <is>
          <t>Full</t>
        </is>
      </c>
      <c r="B59" s="4" t="inlineStr">
        <is>
          <t>NEW1</t>
        </is>
      </c>
      <c r="C59" s="160" t="n">
        <v>18</v>
      </c>
      <c r="D59" s="160">
        <f>ROUNDUP(C59/12,0)</f>
        <v/>
      </c>
      <c r="E59" s="160">
        <f>IF(AND('Sites'!$E$7=1,C59&gt;='Sites'!$F$7+'Cases'!$G$6,C59&lt;='Sites'!$G$7),1,0)</f>
        <v/>
      </c>
      <c r="F59" s="160">
        <f>E59*'Assumptions'!U68</f>
        <v/>
      </c>
      <c r="G59" s="160">
        <f>V58</f>
        <v/>
      </c>
      <c r="H59" s="160">
        <f>W58</f>
        <v/>
      </c>
      <c r="I59" s="160">
        <f>X58</f>
        <v/>
      </c>
      <c r="J59" s="160">
        <f>MAX(0,'Sites'!$J$7-SUM(N54:N58))</f>
        <v/>
      </c>
      <c r="K59" s="160">
        <f>IF('Sites'!$C$7="Own sheets",MIN(ROUNDDOWN(G59/'NM Play'!$B$11,0)+F59*'NM Play'!$B$10/'NM Play'!$B$43,ROUNDDOWN(H59/'NM Play'!$B$12,0)+F59*'NM Play'!$B$10/'NM Play'!$B$44,(F59*'NM Play'!$B$10+ROUNDDOWN(G59/'NM Play'!$B$11,0)*'NM Play'!$B$43+ROUNDDOWN(H59/'NM Play'!$B$12,0)*'NM Play'!$B$44)/('NM Play'!$B$43+'NM Play'!$B$44)),ROUNDDOWN(G59/'NM Play'!$B$11,0)+F59*'NM Play'!$B$10/'NM Play'!$B$43)</f>
        <v/>
      </c>
      <c r="L59" s="160">
        <f>MIN(ROUNDDOWN(G59/'NM Play'!$B$11,0)+F59/('NM Play'!$B$43/'NM Play'!$B$15),ROUNDDOWN(H59/'NM Play'!$B$12,0)+F59/('NM Play'!$B$44/'NM Play'!$B$16),(F59+ROUNDDOWN(G59/'NM Play'!$B$11,0)*'NM Play'!$B$43/'NM Play'!$B$15+ROUNDDOWN(H59/'NM Play'!$B$12,0)*'NM Play'!$B$44/'NM Play'!$B$16)/('NM Play'!$B$43/'NM Play'!$B$15+'NM Play'!$B$44/'NM Play'!$B$16))</f>
        <v/>
      </c>
      <c r="M59" s="160">
        <f>F59*'NM Play'!$B$36</f>
        <v/>
      </c>
      <c r="N59" s="160">
        <f>ROUNDDOWN(MAX(0,MIN(J59,K59:M59)),0)</f>
        <v/>
      </c>
      <c r="O59" s="160">
        <f>ROUNDUP(MAX(0,N59*'NM Play'!$B$11-G59)/'NM Play'!$B$13,0)</f>
        <v/>
      </c>
      <c r="P59" s="160">
        <f>ROUNDUP(MAX(0,N59*'NM Play'!$B$12-H59)/'NM Play'!$B$14,0)</f>
        <v/>
      </c>
      <c r="Q59" s="160">
        <f>(O59+IF('Sites'!$C$7="Own sheets",P59,0))/'NM Play'!$B$10</f>
        <v/>
      </c>
      <c r="R59" s="160">
        <f>O59/'NM Play'!$B$15+P59/'NM Play'!$B$16</f>
        <v/>
      </c>
      <c r="S59" s="160">
        <f>MAX(Q59,R59,N59/'NM Play'!$B$36)</f>
        <v/>
      </c>
      <c r="T59" s="160">
        <f>Q59*'NM Play'!$B$10*'NM Play'!$B$21*(1+'NM Play'!$B$35)</f>
        <v/>
      </c>
      <c r="U59" s="160">
        <f>MAX(0,T59-I59)</f>
        <v/>
      </c>
      <c r="V59" s="160">
        <f>G59+O59*'NM Play'!$B$13-N59*'NM Play'!$B$11</f>
        <v/>
      </c>
      <c r="W59" s="160">
        <f>H59+P59*'NM Play'!$B$14-N59*'NM Play'!$B$12</f>
        <v/>
      </c>
      <c r="X59" s="160">
        <f>I59+U59-T59</f>
        <v/>
      </c>
      <c r="Y59" s="160">
        <f>MIN(N59,MAX(0,ROUNDDOWN('Sites'!$M$7*'Cases'!$E$6,0)-SUM(Y54:Y58)))</f>
        <v/>
      </c>
      <c r="Z59" s="160">
        <f>N59-Y59</f>
        <v/>
      </c>
      <c r="AA59" s="160">
        <f>U59*'NM Play'!$B$22</f>
        <v/>
      </c>
      <c r="AB59" s="160">
        <f>N59*SUM('NM Play'!$B$29:$B$31)</f>
        <v/>
      </c>
      <c r="AC59" s="160">
        <f>IF('Sites'!$C$7="Defy legs",P59*'NM Play'!$B$14/'NM Play'!$B$12*'NM Play'!$B$28,0)</f>
        <v/>
      </c>
      <c r="AD59" s="160">
        <f>Q59*'NM Play'!$B$23</f>
        <v/>
      </c>
      <c r="AE59" s="160">
        <f>S59*SUM('NM Play'!$B$26,'NM Play'!$B$33:$B$34)</f>
        <v/>
      </c>
      <c r="AF59" s="160">
        <f>IF('Sites'!$D$7="NM crew",S59*SUM('NM Play'!$B$24:$B$25),0)</f>
        <v/>
      </c>
      <c r="AG59" s="160">
        <f>IF('Sites'!$D$7="NM crew",S59*'NM Play'!$B$27,0)</f>
        <v/>
      </c>
      <c r="AH59" s="160">
        <f>N59*'Sites'!$Z$7*'NM Play'!$B$32</f>
        <v/>
      </c>
      <c r="AI59" s="160">
        <f>SUM(Y59:Z59)*'Sites'!$R$7</f>
        <v/>
      </c>
      <c r="AJ59" s="160">
        <f>SUM(AA59:AH59)</f>
        <v/>
      </c>
      <c r="AK59" s="160">
        <f>AJ59+(T59-U59)*'NM Play'!$B$22+MIN(G59,N59*'NM Play'!$B$11)/'NM Play'!$B$13*'NM Play'!$B$21*'NM Play'!$B$22+MIN(H59,N59*'NM Play'!$B$12)/'NM Play'!$B$14*IF('Sites'!$C$7="Own sheets",'NM Play'!$B$21*'NM Play'!$B$22,'NM Play'!$B$28*'NM Play'!$B$14/'NM Play'!$B$12)</f>
        <v/>
      </c>
      <c r="AL59" s="160">
        <f>Y59*'Assumptions'!U66</f>
        <v/>
      </c>
      <c r="AM59" s="160">
        <f>IF('Sites'!$D$7="NM crew",S59*'NM Play'!$B$37*(1+IF(AND(ISNUMBER('NM Play'!$B$25),'NM Play'!$B$25&gt;0),1,0)),"")</f>
        <v/>
      </c>
      <c r="AN59" s="160">
        <f>IF(OR('Sites'!$E$7&lt;0,'Sites'!$E$7&gt;1,'Sites'!$F$7&lt;1,'Sites'!$G$7&lt;'Sites'!$F$7,F59&lt;0,MIN('Sites'!$I$7:'Sites'!$R$7)&lt;0,'Sites'!$L$7&gt;'Sites'!$I$7,'Sites'!$M$7&gt;'Sites'!$J$7,'Sites'!$N$7&gt;'Sites'!$K$7,'Sites'!$Z$7&lt;0,'Sites'!$Z$7&gt;1,MIN('Sites'!$AA$7:'Sites'!$AC$7)&lt;0,S59&gt;F59+0.001),1,0)</f>
        <v/>
      </c>
      <c r="AO59" s="160">
        <f>I59+U59-T59-X59</f>
        <v/>
      </c>
    </row>
    <row r="60" ht="28" customHeight="1">
      <c r="A60" s="4" t="inlineStr">
        <is>
          <t>Full</t>
        </is>
      </c>
      <c r="B60" s="4" t="inlineStr">
        <is>
          <t>NEW1</t>
        </is>
      </c>
      <c r="C60" s="160" t="n">
        <v>19</v>
      </c>
      <c r="D60" s="160">
        <f>ROUNDUP(C60/12,0)</f>
        <v/>
      </c>
      <c r="E60" s="160">
        <f>IF(AND('Sites'!$E$7=1,C60&gt;='Sites'!$F$7+'Cases'!$G$6,C60&lt;='Sites'!$G$7),1,0)</f>
        <v/>
      </c>
      <c r="F60" s="160">
        <f>E60*'Assumptions'!V68</f>
        <v/>
      </c>
      <c r="G60" s="160">
        <f>V59</f>
        <v/>
      </c>
      <c r="H60" s="160">
        <f>W59</f>
        <v/>
      </c>
      <c r="I60" s="160">
        <f>X59</f>
        <v/>
      </c>
      <c r="J60" s="160">
        <f>MAX(0,'Sites'!$J$7-SUM(N54:N59))</f>
        <v/>
      </c>
      <c r="K60" s="160">
        <f>IF('Sites'!$C$7="Own sheets",MIN(ROUNDDOWN(G60/'NM Play'!$B$11,0)+F60*'NM Play'!$B$10/'NM Play'!$B$43,ROUNDDOWN(H60/'NM Play'!$B$12,0)+F60*'NM Play'!$B$10/'NM Play'!$B$44,(F60*'NM Play'!$B$10+ROUNDDOWN(G60/'NM Play'!$B$11,0)*'NM Play'!$B$43+ROUNDDOWN(H60/'NM Play'!$B$12,0)*'NM Play'!$B$44)/('NM Play'!$B$43+'NM Play'!$B$44)),ROUNDDOWN(G60/'NM Play'!$B$11,0)+F60*'NM Play'!$B$10/'NM Play'!$B$43)</f>
        <v/>
      </c>
      <c r="L60" s="160">
        <f>MIN(ROUNDDOWN(G60/'NM Play'!$B$11,0)+F60/('NM Play'!$B$43/'NM Play'!$B$15),ROUNDDOWN(H60/'NM Play'!$B$12,0)+F60/('NM Play'!$B$44/'NM Play'!$B$16),(F60+ROUNDDOWN(G60/'NM Play'!$B$11,0)*'NM Play'!$B$43/'NM Play'!$B$15+ROUNDDOWN(H60/'NM Play'!$B$12,0)*'NM Play'!$B$44/'NM Play'!$B$16)/('NM Play'!$B$43/'NM Play'!$B$15+'NM Play'!$B$44/'NM Play'!$B$16))</f>
        <v/>
      </c>
      <c r="M60" s="160">
        <f>F60*'NM Play'!$B$36</f>
        <v/>
      </c>
      <c r="N60" s="160">
        <f>ROUNDDOWN(MAX(0,MIN(J60,K60:M60)),0)</f>
        <v/>
      </c>
      <c r="O60" s="160">
        <f>ROUNDUP(MAX(0,N60*'NM Play'!$B$11-G60)/'NM Play'!$B$13,0)</f>
        <v/>
      </c>
      <c r="P60" s="160">
        <f>ROUNDUP(MAX(0,N60*'NM Play'!$B$12-H60)/'NM Play'!$B$14,0)</f>
        <v/>
      </c>
      <c r="Q60" s="160">
        <f>(O60+IF('Sites'!$C$7="Own sheets",P60,0))/'NM Play'!$B$10</f>
        <v/>
      </c>
      <c r="R60" s="160">
        <f>O60/'NM Play'!$B$15+P60/'NM Play'!$B$16</f>
        <v/>
      </c>
      <c r="S60" s="160">
        <f>MAX(Q60,R60,N60/'NM Play'!$B$36)</f>
        <v/>
      </c>
      <c r="T60" s="160">
        <f>Q60*'NM Play'!$B$10*'NM Play'!$B$21*(1+'NM Play'!$B$35)</f>
        <v/>
      </c>
      <c r="U60" s="160">
        <f>MAX(0,T60-I60)</f>
        <v/>
      </c>
      <c r="V60" s="160">
        <f>G60+O60*'NM Play'!$B$13-N60*'NM Play'!$B$11</f>
        <v/>
      </c>
      <c r="W60" s="160">
        <f>H60+P60*'NM Play'!$B$14-N60*'NM Play'!$B$12</f>
        <v/>
      </c>
      <c r="X60" s="160">
        <f>I60+U60-T60</f>
        <v/>
      </c>
      <c r="Y60" s="160">
        <f>MIN(N60,MAX(0,ROUNDDOWN('Sites'!$M$7*'Cases'!$E$6,0)-SUM(Y54:Y59)))</f>
        <v/>
      </c>
      <c r="Z60" s="160">
        <f>N60-Y60</f>
        <v/>
      </c>
      <c r="AA60" s="160">
        <f>U60*'NM Play'!$B$22</f>
        <v/>
      </c>
      <c r="AB60" s="160">
        <f>N60*SUM('NM Play'!$B$29:$B$31)</f>
        <v/>
      </c>
      <c r="AC60" s="160">
        <f>IF('Sites'!$C$7="Defy legs",P60*'NM Play'!$B$14/'NM Play'!$B$12*'NM Play'!$B$28,0)</f>
        <v/>
      </c>
      <c r="AD60" s="160">
        <f>Q60*'NM Play'!$B$23</f>
        <v/>
      </c>
      <c r="AE60" s="160">
        <f>S60*SUM('NM Play'!$B$26,'NM Play'!$B$33:$B$34)</f>
        <v/>
      </c>
      <c r="AF60" s="160">
        <f>IF('Sites'!$D$7="NM crew",S60*SUM('NM Play'!$B$24:$B$25),0)</f>
        <v/>
      </c>
      <c r="AG60" s="160">
        <f>IF('Sites'!$D$7="NM crew",S60*'NM Play'!$B$27,0)</f>
        <v/>
      </c>
      <c r="AH60" s="160">
        <f>N60*'Sites'!$Z$7*'NM Play'!$B$32</f>
        <v/>
      </c>
      <c r="AI60" s="160">
        <f>SUM(Y60:Z60)*'Sites'!$R$7</f>
        <v/>
      </c>
      <c r="AJ60" s="160">
        <f>SUM(AA60:AH60)</f>
        <v/>
      </c>
      <c r="AK60" s="160">
        <f>AJ60+(T60-U60)*'NM Play'!$B$22+MIN(G60,N60*'NM Play'!$B$11)/'NM Play'!$B$13*'NM Play'!$B$21*'NM Play'!$B$22+MIN(H60,N60*'NM Play'!$B$12)/'NM Play'!$B$14*IF('Sites'!$C$7="Own sheets",'NM Play'!$B$21*'NM Play'!$B$22,'NM Play'!$B$28*'NM Play'!$B$14/'NM Play'!$B$12)</f>
        <v/>
      </c>
      <c r="AL60" s="160">
        <f>Y60*'Assumptions'!V66</f>
        <v/>
      </c>
      <c r="AM60" s="160">
        <f>IF('Sites'!$D$7="NM crew",S60*'NM Play'!$B$37*(1+IF(AND(ISNUMBER('NM Play'!$B$25),'NM Play'!$B$25&gt;0),1,0)),"")</f>
        <v/>
      </c>
      <c r="AN60" s="160">
        <f>IF(OR('Sites'!$E$7&lt;0,'Sites'!$E$7&gt;1,'Sites'!$F$7&lt;1,'Sites'!$G$7&lt;'Sites'!$F$7,F60&lt;0,MIN('Sites'!$I$7:'Sites'!$R$7)&lt;0,'Sites'!$L$7&gt;'Sites'!$I$7,'Sites'!$M$7&gt;'Sites'!$J$7,'Sites'!$N$7&gt;'Sites'!$K$7,'Sites'!$Z$7&lt;0,'Sites'!$Z$7&gt;1,MIN('Sites'!$AA$7:'Sites'!$AC$7)&lt;0,S60&gt;F60+0.001),1,0)</f>
        <v/>
      </c>
      <c r="AO60" s="160">
        <f>I60+U60-T60-X60</f>
        <v/>
      </c>
    </row>
    <row r="61" ht="28" customHeight="1">
      <c r="A61" s="4" t="inlineStr">
        <is>
          <t>Full</t>
        </is>
      </c>
      <c r="B61" s="4" t="inlineStr">
        <is>
          <t>NEW1</t>
        </is>
      </c>
      <c r="C61" s="160" t="n">
        <v>20</v>
      </c>
      <c r="D61" s="160">
        <f>ROUNDUP(C61/12,0)</f>
        <v/>
      </c>
      <c r="E61" s="160">
        <f>IF(AND('Sites'!$E$7=1,C61&gt;='Sites'!$F$7+'Cases'!$G$6,C61&lt;='Sites'!$G$7),1,0)</f>
        <v/>
      </c>
      <c r="F61" s="160">
        <f>E61*'Assumptions'!W68</f>
        <v/>
      </c>
      <c r="G61" s="160">
        <f>V60</f>
        <v/>
      </c>
      <c r="H61" s="160">
        <f>W60</f>
        <v/>
      </c>
      <c r="I61" s="160">
        <f>X60</f>
        <v/>
      </c>
      <c r="J61" s="160">
        <f>MAX(0,'Sites'!$J$7-SUM(N54:N60))</f>
        <v/>
      </c>
      <c r="K61" s="160">
        <f>IF('Sites'!$C$7="Own sheets",MIN(ROUNDDOWN(G61/'NM Play'!$B$11,0)+F61*'NM Play'!$B$10/'NM Play'!$B$43,ROUNDDOWN(H61/'NM Play'!$B$12,0)+F61*'NM Play'!$B$10/'NM Play'!$B$44,(F61*'NM Play'!$B$10+ROUNDDOWN(G61/'NM Play'!$B$11,0)*'NM Play'!$B$43+ROUNDDOWN(H61/'NM Play'!$B$12,0)*'NM Play'!$B$44)/('NM Play'!$B$43+'NM Play'!$B$44)),ROUNDDOWN(G61/'NM Play'!$B$11,0)+F61*'NM Play'!$B$10/'NM Play'!$B$43)</f>
        <v/>
      </c>
      <c r="L61" s="160">
        <f>MIN(ROUNDDOWN(G61/'NM Play'!$B$11,0)+F61/('NM Play'!$B$43/'NM Play'!$B$15),ROUNDDOWN(H61/'NM Play'!$B$12,0)+F61/('NM Play'!$B$44/'NM Play'!$B$16),(F61+ROUNDDOWN(G61/'NM Play'!$B$11,0)*'NM Play'!$B$43/'NM Play'!$B$15+ROUNDDOWN(H61/'NM Play'!$B$12,0)*'NM Play'!$B$44/'NM Play'!$B$16)/('NM Play'!$B$43/'NM Play'!$B$15+'NM Play'!$B$44/'NM Play'!$B$16))</f>
        <v/>
      </c>
      <c r="M61" s="160">
        <f>F61*'NM Play'!$B$36</f>
        <v/>
      </c>
      <c r="N61" s="160">
        <f>ROUNDDOWN(MAX(0,MIN(J61,K61:M61)),0)</f>
        <v/>
      </c>
      <c r="O61" s="160">
        <f>ROUNDUP(MAX(0,N61*'NM Play'!$B$11-G61)/'NM Play'!$B$13,0)</f>
        <v/>
      </c>
      <c r="P61" s="160">
        <f>ROUNDUP(MAX(0,N61*'NM Play'!$B$12-H61)/'NM Play'!$B$14,0)</f>
        <v/>
      </c>
      <c r="Q61" s="160">
        <f>(O61+IF('Sites'!$C$7="Own sheets",P61,0))/'NM Play'!$B$10</f>
        <v/>
      </c>
      <c r="R61" s="160">
        <f>O61/'NM Play'!$B$15+P61/'NM Play'!$B$16</f>
        <v/>
      </c>
      <c r="S61" s="160">
        <f>MAX(Q61,R61,N61/'NM Play'!$B$36)</f>
        <v/>
      </c>
      <c r="T61" s="160">
        <f>Q61*'NM Play'!$B$10*'NM Play'!$B$21*(1+'NM Play'!$B$35)</f>
        <v/>
      </c>
      <c r="U61" s="160">
        <f>MAX(0,T61-I61)</f>
        <v/>
      </c>
      <c r="V61" s="160">
        <f>G61+O61*'NM Play'!$B$13-N61*'NM Play'!$B$11</f>
        <v/>
      </c>
      <c r="W61" s="160">
        <f>H61+P61*'NM Play'!$B$14-N61*'NM Play'!$B$12</f>
        <v/>
      </c>
      <c r="X61" s="160">
        <f>I61+U61-T61</f>
        <v/>
      </c>
      <c r="Y61" s="160">
        <f>MIN(N61,MAX(0,ROUNDDOWN('Sites'!$M$7*'Cases'!$E$6,0)-SUM(Y54:Y60)))</f>
        <v/>
      </c>
      <c r="Z61" s="160">
        <f>N61-Y61</f>
        <v/>
      </c>
      <c r="AA61" s="160">
        <f>U61*'NM Play'!$B$22</f>
        <v/>
      </c>
      <c r="AB61" s="160">
        <f>N61*SUM('NM Play'!$B$29:$B$31)</f>
        <v/>
      </c>
      <c r="AC61" s="160">
        <f>IF('Sites'!$C$7="Defy legs",P61*'NM Play'!$B$14/'NM Play'!$B$12*'NM Play'!$B$28,0)</f>
        <v/>
      </c>
      <c r="AD61" s="160">
        <f>Q61*'NM Play'!$B$23</f>
        <v/>
      </c>
      <c r="AE61" s="160">
        <f>S61*SUM('NM Play'!$B$26,'NM Play'!$B$33:$B$34)</f>
        <v/>
      </c>
      <c r="AF61" s="160">
        <f>IF('Sites'!$D$7="NM crew",S61*SUM('NM Play'!$B$24:$B$25),0)</f>
        <v/>
      </c>
      <c r="AG61" s="160">
        <f>IF('Sites'!$D$7="NM crew",S61*'NM Play'!$B$27,0)</f>
        <v/>
      </c>
      <c r="AH61" s="160">
        <f>N61*'Sites'!$Z$7*'NM Play'!$B$32</f>
        <v/>
      </c>
      <c r="AI61" s="160">
        <f>SUM(Y61:Z61)*'Sites'!$R$7</f>
        <v/>
      </c>
      <c r="AJ61" s="160">
        <f>SUM(AA61:AH61)</f>
        <v/>
      </c>
      <c r="AK61" s="160">
        <f>AJ61+(T61-U61)*'NM Play'!$B$22+MIN(G61,N61*'NM Play'!$B$11)/'NM Play'!$B$13*'NM Play'!$B$21*'NM Play'!$B$22+MIN(H61,N61*'NM Play'!$B$12)/'NM Play'!$B$14*IF('Sites'!$C$7="Own sheets",'NM Play'!$B$21*'NM Play'!$B$22,'NM Play'!$B$28*'NM Play'!$B$14/'NM Play'!$B$12)</f>
        <v/>
      </c>
      <c r="AL61" s="160">
        <f>Y61*'Assumptions'!W66</f>
        <v/>
      </c>
      <c r="AM61" s="160">
        <f>IF('Sites'!$D$7="NM crew",S61*'NM Play'!$B$37*(1+IF(AND(ISNUMBER('NM Play'!$B$25),'NM Play'!$B$25&gt;0),1,0)),"")</f>
        <v/>
      </c>
      <c r="AN61" s="160">
        <f>IF(OR('Sites'!$E$7&lt;0,'Sites'!$E$7&gt;1,'Sites'!$F$7&lt;1,'Sites'!$G$7&lt;'Sites'!$F$7,F61&lt;0,MIN('Sites'!$I$7:'Sites'!$R$7)&lt;0,'Sites'!$L$7&gt;'Sites'!$I$7,'Sites'!$M$7&gt;'Sites'!$J$7,'Sites'!$N$7&gt;'Sites'!$K$7,'Sites'!$Z$7&lt;0,'Sites'!$Z$7&gt;1,MIN('Sites'!$AA$7:'Sites'!$AC$7)&lt;0,S61&gt;F61+0.001),1,0)</f>
        <v/>
      </c>
      <c r="AO61" s="160">
        <f>I61+U61-T61-X61</f>
        <v/>
      </c>
    </row>
    <row r="62" ht="28" customHeight="1">
      <c r="A62" s="4" t="inlineStr">
        <is>
          <t>Full</t>
        </is>
      </c>
      <c r="B62" s="4" t="inlineStr">
        <is>
          <t>NEW1</t>
        </is>
      </c>
      <c r="C62" s="160" t="n">
        <v>21</v>
      </c>
      <c r="D62" s="160">
        <f>ROUNDUP(C62/12,0)</f>
        <v/>
      </c>
      <c r="E62" s="160">
        <f>IF(AND('Sites'!$E$7=1,C62&gt;='Sites'!$F$7+'Cases'!$G$6,C62&lt;='Sites'!$G$7),1,0)</f>
        <v/>
      </c>
      <c r="F62" s="160">
        <f>E62*'Assumptions'!X68</f>
        <v/>
      </c>
      <c r="G62" s="160">
        <f>V61</f>
        <v/>
      </c>
      <c r="H62" s="160">
        <f>W61</f>
        <v/>
      </c>
      <c r="I62" s="160">
        <f>X61</f>
        <v/>
      </c>
      <c r="J62" s="160">
        <f>MAX(0,'Sites'!$J$7-SUM(N54:N61))</f>
        <v/>
      </c>
      <c r="K62" s="160">
        <f>IF('Sites'!$C$7="Own sheets",MIN(ROUNDDOWN(G62/'NM Play'!$B$11,0)+F62*'NM Play'!$B$10/'NM Play'!$B$43,ROUNDDOWN(H62/'NM Play'!$B$12,0)+F62*'NM Play'!$B$10/'NM Play'!$B$44,(F62*'NM Play'!$B$10+ROUNDDOWN(G62/'NM Play'!$B$11,0)*'NM Play'!$B$43+ROUNDDOWN(H62/'NM Play'!$B$12,0)*'NM Play'!$B$44)/('NM Play'!$B$43+'NM Play'!$B$44)),ROUNDDOWN(G62/'NM Play'!$B$11,0)+F62*'NM Play'!$B$10/'NM Play'!$B$43)</f>
        <v/>
      </c>
      <c r="L62" s="160">
        <f>MIN(ROUNDDOWN(G62/'NM Play'!$B$11,0)+F62/('NM Play'!$B$43/'NM Play'!$B$15),ROUNDDOWN(H62/'NM Play'!$B$12,0)+F62/('NM Play'!$B$44/'NM Play'!$B$16),(F62+ROUNDDOWN(G62/'NM Play'!$B$11,0)*'NM Play'!$B$43/'NM Play'!$B$15+ROUNDDOWN(H62/'NM Play'!$B$12,0)*'NM Play'!$B$44/'NM Play'!$B$16)/('NM Play'!$B$43/'NM Play'!$B$15+'NM Play'!$B$44/'NM Play'!$B$16))</f>
        <v/>
      </c>
      <c r="M62" s="160">
        <f>F62*'NM Play'!$B$36</f>
        <v/>
      </c>
      <c r="N62" s="160">
        <f>ROUNDDOWN(MAX(0,MIN(J62,K62:M62)),0)</f>
        <v/>
      </c>
      <c r="O62" s="160">
        <f>ROUNDUP(MAX(0,N62*'NM Play'!$B$11-G62)/'NM Play'!$B$13,0)</f>
        <v/>
      </c>
      <c r="P62" s="160">
        <f>ROUNDUP(MAX(0,N62*'NM Play'!$B$12-H62)/'NM Play'!$B$14,0)</f>
        <v/>
      </c>
      <c r="Q62" s="160">
        <f>(O62+IF('Sites'!$C$7="Own sheets",P62,0))/'NM Play'!$B$10</f>
        <v/>
      </c>
      <c r="R62" s="160">
        <f>O62/'NM Play'!$B$15+P62/'NM Play'!$B$16</f>
        <v/>
      </c>
      <c r="S62" s="160">
        <f>MAX(Q62,R62,N62/'NM Play'!$B$36)</f>
        <v/>
      </c>
      <c r="T62" s="160">
        <f>Q62*'NM Play'!$B$10*'NM Play'!$B$21*(1+'NM Play'!$B$35)</f>
        <v/>
      </c>
      <c r="U62" s="160">
        <f>MAX(0,T62-I62)</f>
        <v/>
      </c>
      <c r="V62" s="160">
        <f>G62+O62*'NM Play'!$B$13-N62*'NM Play'!$B$11</f>
        <v/>
      </c>
      <c r="W62" s="160">
        <f>H62+P62*'NM Play'!$B$14-N62*'NM Play'!$B$12</f>
        <v/>
      </c>
      <c r="X62" s="160">
        <f>I62+U62-T62</f>
        <v/>
      </c>
      <c r="Y62" s="160">
        <f>MIN(N62,MAX(0,ROUNDDOWN('Sites'!$M$7*'Cases'!$E$6,0)-SUM(Y54:Y61)))</f>
        <v/>
      </c>
      <c r="Z62" s="160">
        <f>N62-Y62</f>
        <v/>
      </c>
      <c r="AA62" s="160">
        <f>U62*'NM Play'!$B$22</f>
        <v/>
      </c>
      <c r="AB62" s="160">
        <f>N62*SUM('NM Play'!$B$29:$B$31)</f>
        <v/>
      </c>
      <c r="AC62" s="160">
        <f>IF('Sites'!$C$7="Defy legs",P62*'NM Play'!$B$14/'NM Play'!$B$12*'NM Play'!$B$28,0)</f>
        <v/>
      </c>
      <c r="AD62" s="160">
        <f>Q62*'NM Play'!$B$23</f>
        <v/>
      </c>
      <c r="AE62" s="160">
        <f>S62*SUM('NM Play'!$B$26,'NM Play'!$B$33:$B$34)</f>
        <v/>
      </c>
      <c r="AF62" s="160">
        <f>IF('Sites'!$D$7="NM crew",S62*SUM('NM Play'!$B$24:$B$25),0)</f>
        <v/>
      </c>
      <c r="AG62" s="160">
        <f>IF('Sites'!$D$7="NM crew",S62*'NM Play'!$B$27,0)</f>
        <v/>
      </c>
      <c r="AH62" s="160">
        <f>N62*'Sites'!$Z$7*'NM Play'!$B$32</f>
        <v/>
      </c>
      <c r="AI62" s="160">
        <f>SUM(Y62:Z62)*'Sites'!$R$7</f>
        <v/>
      </c>
      <c r="AJ62" s="160">
        <f>SUM(AA62:AH62)</f>
        <v/>
      </c>
      <c r="AK62" s="160">
        <f>AJ62+(T62-U62)*'NM Play'!$B$22+MIN(G62,N62*'NM Play'!$B$11)/'NM Play'!$B$13*'NM Play'!$B$21*'NM Play'!$B$22+MIN(H62,N62*'NM Play'!$B$12)/'NM Play'!$B$14*IF('Sites'!$C$7="Own sheets",'NM Play'!$B$21*'NM Play'!$B$22,'NM Play'!$B$28*'NM Play'!$B$14/'NM Play'!$B$12)</f>
        <v/>
      </c>
      <c r="AL62" s="160">
        <f>Y62*'Assumptions'!X66</f>
        <v/>
      </c>
      <c r="AM62" s="160">
        <f>IF('Sites'!$D$7="NM crew",S62*'NM Play'!$B$37*(1+IF(AND(ISNUMBER('NM Play'!$B$25),'NM Play'!$B$25&gt;0),1,0)),"")</f>
        <v/>
      </c>
      <c r="AN62" s="160">
        <f>IF(OR('Sites'!$E$7&lt;0,'Sites'!$E$7&gt;1,'Sites'!$F$7&lt;1,'Sites'!$G$7&lt;'Sites'!$F$7,F62&lt;0,MIN('Sites'!$I$7:'Sites'!$R$7)&lt;0,'Sites'!$L$7&gt;'Sites'!$I$7,'Sites'!$M$7&gt;'Sites'!$J$7,'Sites'!$N$7&gt;'Sites'!$K$7,'Sites'!$Z$7&lt;0,'Sites'!$Z$7&gt;1,MIN('Sites'!$AA$7:'Sites'!$AC$7)&lt;0,S62&gt;F62+0.001),1,0)</f>
        <v/>
      </c>
      <c r="AO62" s="160">
        <f>I62+U62-T62-X62</f>
        <v/>
      </c>
    </row>
    <row r="63" ht="28" customHeight="1">
      <c r="A63" s="4" t="inlineStr">
        <is>
          <t>Full</t>
        </is>
      </c>
      <c r="B63" s="4" t="inlineStr">
        <is>
          <t>NEW1</t>
        </is>
      </c>
      <c r="C63" s="160" t="n">
        <v>22</v>
      </c>
      <c r="D63" s="160">
        <f>ROUNDUP(C63/12,0)</f>
        <v/>
      </c>
      <c r="E63" s="160">
        <f>IF(AND('Sites'!$E$7=1,C63&gt;='Sites'!$F$7+'Cases'!$G$6,C63&lt;='Sites'!$G$7),1,0)</f>
        <v/>
      </c>
      <c r="F63" s="160">
        <f>E63*'Assumptions'!Y68</f>
        <v/>
      </c>
      <c r="G63" s="160">
        <f>V62</f>
        <v/>
      </c>
      <c r="H63" s="160">
        <f>W62</f>
        <v/>
      </c>
      <c r="I63" s="160">
        <f>X62</f>
        <v/>
      </c>
      <c r="J63" s="160">
        <f>MAX(0,'Sites'!$J$7-SUM(N54:N62))</f>
        <v/>
      </c>
      <c r="K63" s="160">
        <f>IF('Sites'!$C$7="Own sheets",MIN(ROUNDDOWN(G63/'NM Play'!$B$11,0)+F63*'NM Play'!$B$10/'NM Play'!$B$43,ROUNDDOWN(H63/'NM Play'!$B$12,0)+F63*'NM Play'!$B$10/'NM Play'!$B$44,(F63*'NM Play'!$B$10+ROUNDDOWN(G63/'NM Play'!$B$11,0)*'NM Play'!$B$43+ROUNDDOWN(H63/'NM Play'!$B$12,0)*'NM Play'!$B$44)/('NM Play'!$B$43+'NM Play'!$B$44)),ROUNDDOWN(G63/'NM Play'!$B$11,0)+F63*'NM Play'!$B$10/'NM Play'!$B$43)</f>
        <v/>
      </c>
      <c r="L63" s="160">
        <f>MIN(ROUNDDOWN(G63/'NM Play'!$B$11,0)+F63/('NM Play'!$B$43/'NM Play'!$B$15),ROUNDDOWN(H63/'NM Play'!$B$12,0)+F63/('NM Play'!$B$44/'NM Play'!$B$16),(F63+ROUNDDOWN(G63/'NM Play'!$B$11,0)*'NM Play'!$B$43/'NM Play'!$B$15+ROUNDDOWN(H63/'NM Play'!$B$12,0)*'NM Play'!$B$44/'NM Play'!$B$16)/('NM Play'!$B$43/'NM Play'!$B$15+'NM Play'!$B$44/'NM Play'!$B$16))</f>
        <v/>
      </c>
      <c r="M63" s="160">
        <f>F63*'NM Play'!$B$36</f>
        <v/>
      </c>
      <c r="N63" s="160">
        <f>ROUNDDOWN(MAX(0,MIN(J63,K63:M63)),0)</f>
        <v/>
      </c>
      <c r="O63" s="160">
        <f>ROUNDUP(MAX(0,N63*'NM Play'!$B$11-G63)/'NM Play'!$B$13,0)</f>
        <v/>
      </c>
      <c r="P63" s="160">
        <f>ROUNDUP(MAX(0,N63*'NM Play'!$B$12-H63)/'NM Play'!$B$14,0)</f>
        <v/>
      </c>
      <c r="Q63" s="160">
        <f>(O63+IF('Sites'!$C$7="Own sheets",P63,0))/'NM Play'!$B$10</f>
        <v/>
      </c>
      <c r="R63" s="160">
        <f>O63/'NM Play'!$B$15+P63/'NM Play'!$B$16</f>
        <v/>
      </c>
      <c r="S63" s="160">
        <f>MAX(Q63,R63,N63/'NM Play'!$B$36)</f>
        <v/>
      </c>
      <c r="T63" s="160">
        <f>Q63*'NM Play'!$B$10*'NM Play'!$B$21*(1+'NM Play'!$B$35)</f>
        <v/>
      </c>
      <c r="U63" s="160">
        <f>MAX(0,T63-I63)</f>
        <v/>
      </c>
      <c r="V63" s="160">
        <f>G63+O63*'NM Play'!$B$13-N63*'NM Play'!$B$11</f>
        <v/>
      </c>
      <c r="W63" s="160">
        <f>H63+P63*'NM Play'!$B$14-N63*'NM Play'!$B$12</f>
        <v/>
      </c>
      <c r="X63" s="160">
        <f>I63+U63-T63</f>
        <v/>
      </c>
      <c r="Y63" s="160">
        <f>MIN(N63,MAX(0,ROUNDDOWN('Sites'!$M$7*'Cases'!$E$6,0)-SUM(Y54:Y62)))</f>
        <v/>
      </c>
      <c r="Z63" s="160">
        <f>N63-Y63</f>
        <v/>
      </c>
      <c r="AA63" s="160">
        <f>U63*'NM Play'!$B$22</f>
        <v/>
      </c>
      <c r="AB63" s="160">
        <f>N63*SUM('NM Play'!$B$29:$B$31)</f>
        <v/>
      </c>
      <c r="AC63" s="160">
        <f>IF('Sites'!$C$7="Defy legs",P63*'NM Play'!$B$14/'NM Play'!$B$12*'NM Play'!$B$28,0)</f>
        <v/>
      </c>
      <c r="AD63" s="160">
        <f>Q63*'NM Play'!$B$23</f>
        <v/>
      </c>
      <c r="AE63" s="160">
        <f>S63*SUM('NM Play'!$B$26,'NM Play'!$B$33:$B$34)</f>
        <v/>
      </c>
      <c r="AF63" s="160">
        <f>IF('Sites'!$D$7="NM crew",S63*SUM('NM Play'!$B$24:$B$25),0)</f>
        <v/>
      </c>
      <c r="AG63" s="160">
        <f>IF('Sites'!$D$7="NM crew",S63*'NM Play'!$B$27,0)</f>
        <v/>
      </c>
      <c r="AH63" s="160">
        <f>N63*'Sites'!$Z$7*'NM Play'!$B$32</f>
        <v/>
      </c>
      <c r="AI63" s="160">
        <f>SUM(Y63:Z63)*'Sites'!$R$7</f>
        <v/>
      </c>
      <c r="AJ63" s="160">
        <f>SUM(AA63:AH63)</f>
        <v/>
      </c>
      <c r="AK63" s="160">
        <f>AJ63+(T63-U63)*'NM Play'!$B$22+MIN(G63,N63*'NM Play'!$B$11)/'NM Play'!$B$13*'NM Play'!$B$21*'NM Play'!$B$22+MIN(H63,N63*'NM Play'!$B$12)/'NM Play'!$B$14*IF('Sites'!$C$7="Own sheets",'NM Play'!$B$21*'NM Play'!$B$22,'NM Play'!$B$28*'NM Play'!$B$14/'NM Play'!$B$12)</f>
        <v/>
      </c>
      <c r="AL63" s="160">
        <f>Y63*'Assumptions'!Y66</f>
        <v/>
      </c>
      <c r="AM63" s="160">
        <f>IF('Sites'!$D$7="NM crew",S63*'NM Play'!$B$37*(1+IF(AND(ISNUMBER('NM Play'!$B$25),'NM Play'!$B$25&gt;0),1,0)),"")</f>
        <v/>
      </c>
      <c r="AN63" s="160">
        <f>IF(OR('Sites'!$E$7&lt;0,'Sites'!$E$7&gt;1,'Sites'!$F$7&lt;1,'Sites'!$G$7&lt;'Sites'!$F$7,F63&lt;0,MIN('Sites'!$I$7:'Sites'!$R$7)&lt;0,'Sites'!$L$7&gt;'Sites'!$I$7,'Sites'!$M$7&gt;'Sites'!$J$7,'Sites'!$N$7&gt;'Sites'!$K$7,'Sites'!$Z$7&lt;0,'Sites'!$Z$7&gt;1,MIN('Sites'!$AA$7:'Sites'!$AC$7)&lt;0,S63&gt;F63+0.001),1,0)</f>
        <v/>
      </c>
      <c r="AO63" s="160">
        <f>I63+U63-T63-X63</f>
        <v/>
      </c>
    </row>
    <row r="64" ht="28" customHeight="1">
      <c r="A64" s="4" t="inlineStr">
        <is>
          <t>Full</t>
        </is>
      </c>
      <c r="B64" s="4" t="inlineStr">
        <is>
          <t>NEW1</t>
        </is>
      </c>
      <c r="C64" s="160" t="n">
        <v>23</v>
      </c>
      <c r="D64" s="160">
        <f>ROUNDUP(C64/12,0)</f>
        <v/>
      </c>
      <c r="E64" s="160">
        <f>IF(AND('Sites'!$E$7=1,C64&gt;='Sites'!$F$7+'Cases'!$G$6,C64&lt;='Sites'!$G$7),1,0)</f>
        <v/>
      </c>
      <c r="F64" s="160">
        <f>E64*'Assumptions'!Z68</f>
        <v/>
      </c>
      <c r="G64" s="160">
        <f>V63</f>
        <v/>
      </c>
      <c r="H64" s="160">
        <f>W63</f>
        <v/>
      </c>
      <c r="I64" s="160">
        <f>X63</f>
        <v/>
      </c>
      <c r="J64" s="160">
        <f>MAX(0,'Sites'!$J$7-SUM(N54:N63))</f>
        <v/>
      </c>
      <c r="K64" s="160">
        <f>IF('Sites'!$C$7="Own sheets",MIN(ROUNDDOWN(G64/'NM Play'!$B$11,0)+F64*'NM Play'!$B$10/'NM Play'!$B$43,ROUNDDOWN(H64/'NM Play'!$B$12,0)+F64*'NM Play'!$B$10/'NM Play'!$B$44,(F64*'NM Play'!$B$10+ROUNDDOWN(G64/'NM Play'!$B$11,0)*'NM Play'!$B$43+ROUNDDOWN(H64/'NM Play'!$B$12,0)*'NM Play'!$B$44)/('NM Play'!$B$43+'NM Play'!$B$44)),ROUNDDOWN(G64/'NM Play'!$B$11,0)+F64*'NM Play'!$B$10/'NM Play'!$B$43)</f>
        <v/>
      </c>
      <c r="L64" s="160">
        <f>MIN(ROUNDDOWN(G64/'NM Play'!$B$11,0)+F64/('NM Play'!$B$43/'NM Play'!$B$15),ROUNDDOWN(H64/'NM Play'!$B$12,0)+F64/('NM Play'!$B$44/'NM Play'!$B$16),(F64+ROUNDDOWN(G64/'NM Play'!$B$11,0)*'NM Play'!$B$43/'NM Play'!$B$15+ROUNDDOWN(H64/'NM Play'!$B$12,0)*'NM Play'!$B$44/'NM Play'!$B$16)/('NM Play'!$B$43/'NM Play'!$B$15+'NM Play'!$B$44/'NM Play'!$B$16))</f>
        <v/>
      </c>
      <c r="M64" s="160">
        <f>F64*'NM Play'!$B$36</f>
        <v/>
      </c>
      <c r="N64" s="160">
        <f>ROUNDDOWN(MAX(0,MIN(J64,K64:M64)),0)</f>
        <v/>
      </c>
      <c r="O64" s="160">
        <f>ROUNDUP(MAX(0,N64*'NM Play'!$B$11-G64)/'NM Play'!$B$13,0)</f>
        <v/>
      </c>
      <c r="P64" s="160">
        <f>ROUNDUP(MAX(0,N64*'NM Play'!$B$12-H64)/'NM Play'!$B$14,0)</f>
        <v/>
      </c>
      <c r="Q64" s="160">
        <f>(O64+IF('Sites'!$C$7="Own sheets",P64,0))/'NM Play'!$B$10</f>
        <v/>
      </c>
      <c r="R64" s="160">
        <f>O64/'NM Play'!$B$15+P64/'NM Play'!$B$16</f>
        <v/>
      </c>
      <c r="S64" s="160">
        <f>MAX(Q64,R64,N64/'NM Play'!$B$36)</f>
        <v/>
      </c>
      <c r="T64" s="160">
        <f>Q64*'NM Play'!$B$10*'NM Play'!$B$21*(1+'NM Play'!$B$35)</f>
        <v/>
      </c>
      <c r="U64" s="160">
        <f>MAX(0,T64-I64)</f>
        <v/>
      </c>
      <c r="V64" s="160">
        <f>G64+O64*'NM Play'!$B$13-N64*'NM Play'!$B$11</f>
        <v/>
      </c>
      <c r="W64" s="160">
        <f>H64+P64*'NM Play'!$B$14-N64*'NM Play'!$B$12</f>
        <v/>
      </c>
      <c r="X64" s="160">
        <f>I64+U64-T64</f>
        <v/>
      </c>
      <c r="Y64" s="160">
        <f>MIN(N64,MAX(0,ROUNDDOWN('Sites'!$M$7*'Cases'!$E$6,0)-SUM(Y54:Y63)))</f>
        <v/>
      </c>
      <c r="Z64" s="160">
        <f>N64-Y64</f>
        <v/>
      </c>
      <c r="AA64" s="160">
        <f>U64*'NM Play'!$B$22</f>
        <v/>
      </c>
      <c r="AB64" s="160">
        <f>N64*SUM('NM Play'!$B$29:$B$31)</f>
        <v/>
      </c>
      <c r="AC64" s="160">
        <f>IF('Sites'!$C$7="Defy legs",P64*'NM Play'!$B$14/'NM Play'!$B$12*'NM Play'!$B$28,0)</f>
        <v/>
      </c>
      <c r="AD64" s="160">
        <f>Q64*'NM Play'!$B$23</f>
        <v/>
      </c>
      <c r="AE64" s="160">
        <f>S64*SUM('NM Play'!$B$26,'NM Play'!$B$33:$B$34)</f>
        <v/>
      </c>
      <c r="AF64" s="160">
        <f>IF('Sites'!$D$7="NM crew",S64*SUM('NM Play'!$B$24:$B$25),0)</f>
        <v/>
      </c>
      <c r="AG64" s="160">
        <f>IF('Sites'!$D$7="NM crew",S64*'NM Play'!$B$27,0)</f>
        <v/>
      </c>
      <c r="AH64" s="160">
        <f>N64*'Sites'!$Z$7*'NM Play'!$B$32</f>
        <v/>
      </c>
      <c r="AI64" s="160">
        <f>SUM(Y64:Z64)*'Sites'!$R$7</f>
        <v/>
      </c>
      <c r="AJ64" s="160">
        <f>SUM(AA64:AH64)</f>
        <v/>
      </c>
      <c r="AK64" s="160">
        <f>AJ64+(T64-U64)*'NM Play'!$B$22+MIN(G64,N64*'NM Play'!$B$11)/'NM Play'!$B$13*'NM Play'!$B$21*'NM Play'!$B$22+MIN(H64,N64*'NM Play'!$B$12)/'NM Play'!$B$14*IF('Sites'!$C$7="Own sheets",'NM Play'!$B$21*'NM Play'!$B$22,'NM Play'!$B$28*'NM Play'!$B$14/'NM Play'!$B$12)</f>
        <v/>
      </c>
      <c r="AL64" s="160">
        <f>Y64*'Assumptions'!Z66</f>
        <v/>
      </c>
      <c r="AM64" s="160">
        <f>IF('Sites'!$D$7="NM crew",S64*'NM Play'!$B$37*(1+IF(AND(ISNUMBER('NM Play'!$B$25),'NM Play'!$B$25&gt;0),1,0)),"")</f>
        <v/>
      </c>
      <c r="AN64" s="160">
        <f>IF(OR('Sites'!$E$7&lt;0,'Sites'!$E$7&gt;1,'Sites'!$F$7&lt;1,'Sites'!$G$7&lt;'Sites'!$F$7,F64&lt;0,MIN('Sites'!$I$7:'Sites'!$R$7)&lt;0,'Sites'!$L$7&gt;'Sites'!$I$7,'Sites'!$M$7&gt;'Sites'!$J$7,'Sites'!$N$7&gt;'Sites'!$K$7,'Sites'!$Z$7&lt;0,'Sites'!$Z$7&gt;1,MIN('Sites'!$AA$7:'Sites'!$AC$7)&lt;0,S64&gt;F64+0.001),1,0)</f>
        <v/>
      </c>
      <c r="AO64" s="160">
        <f>I64+U64-T64-X64</f>
        <v/>
      </c>
    </row>
    <row r="65" ht="28" customHeight="1">
      <c r="A65" s="4" t="inlineStr">
        <is>
          <t>Full</t>
        </is>
      </c>
      <c r="B65" s="4" t="inlineStr">
        <is>
          <t>NEW1</t>
        </is>
      </c>
      <c r="C65" s="160" t="n">
        <v>24</v>
      </c>
      <c r="D65" s="160">
        <f>ROUNDUP(C65/12,0)</f>
        <v/>
      </c>
      <c r="E65" s="160">
        <f>IF(AND('Sites'!$E$7=1,C65&gt;='Sites'!$F$7+'Cases'!$G$6,C65&lt;='Sites'!$G$7),1,0)</f>
        <v/>
      </c>
      <c r="F65" s="160">
        <f>E65*'Assumptions'!AA68</f>
        <v/>
      </c>
      <c r="G65" s="160">
        <f>V64</f>
        <v/>
      </c>
      <c r="H65" s="160">
        <f>W64</f>
        <v/>
      </c>
      <c r="I65" s="160">
        <f>X64</f>
        <v/>
      </c>
      <c r="J65" s="160">
        <f>MAX(0,'Sites'!$J$7-SUM(N54:N64))</f>
        <v/>
      </c>
      <c r="K65" s="160">
        <f>IF('Sites'!$C$7="Own sheets",MIN(ROUNDDOWN(G65/'NM Play'!$B$11,0)+F65*'NM Play'!$B$10/'NM Play'!$B$43,ROUNDDOWN(H65/'NM Play'!$B$12,0)+F65*'NM Play'!$B$10/'NM Play'!$B$44,(F65*'NM Play'!$B$10+ROUNDDOWN(G65/'NM Play'!$B$11,0)*'NM Play'!$B$43+ROUNDDOWN(H65/'NM Play'!$B$12,0)*'NM Play'!$B$44)/('NM Play'!$B$43+'NM Play'!$B$44)),ROUNDDOWN(G65/'NM Play'!$B$11,0)+F65*'NM Play'!$B$10/'NM Play'!$B$43)</f>
        <v/>
      </c>
      <c r="L65" s="160">
        <f>MIN(ROUNDDOWN(G65/'NM Play'!$B$11,0)+F65/('NM Play'!$B$43/'NM Play'!$B$15),ROUNDDOWN(H65/'NM Play'!$B$12,0)+F65/('NM Play'!$B$44/'NM Play'!$B$16),(F65+ROUNDDOWN(G65/'NM Play'!$B$11,0)*'NM Play'!$B$43/'NM Play'!$B$15+ROUNDDOWN(H65/'NM Play'!$B$12,0)*'NM Play'!$B$44/'NM Play'!$B$16)/('NM Play'!$B$43/'NM Play'!$B$15+'NM Play'!$B$44/'NM Play'!$B$16))</f>
        <v/>
      </c>
      <c r="M65" s="160">
        <f>F65*'NM Play'!$B$36</f>
        <v/>
      </c>
      <c r="N65" s="160">
        <f>ROUNDDOWN(MAX(0,MIN(J65,K65:M65)),0)</f>
        <v/>
      </c>
      <c r="O65" s="160">
        <f>ROUNDUP(MAX(0,N65*'NM Play'!$B$11-G65)/'NM Play'!$B$13,0)</f>
        <v/>
      </c>
      <c r="P65" s="160">
        <f>ROUNDUP(MAX(0,N65*'NM Play'!$B$12-H65)/'NM Play'!$B$14,0)</f>
        <v/>
      </c>
      <c r="Q65" s="160">
        <f>(O65+IF('Sites'!$C$7="Own sheets",P65,0))/'NM Play'!$B$10</f>
        <v/>
      </c>
      <c r="R65" s="160">
        <f>O65/'NM Play'!$B$15+P65/'NM Play'!$B$16</f>
        <v/>
      </c>
      <c r="S65" s="160">
        <f>MAX(Q65,R65,N65/'NM Play'!$B$36)</f>
        <v/>
      </c>
      <c r="T65" s="160">
        <f>Q65*'NM Play'!$B$10*'NM Play'!$B$21*(1+'NM Play'!$B$35)</f>
        <v/>
      </c>
      <c r="U65" s="160">
        <f>MAX(0,T65-I65)</f>
        <v/>
      </c>
      <c r="V65" s="160">
        <f>G65+O65*'NM Play'!$B$13-N65*'NM Play'!$B$11</f>
        <v/>
      </c>
      <c r="W65" s="160">
        <f>H65+P65*'NM Play'!$B$14-N65*'NM Play'!$B$12</f>
        <v/>
      </c>
      <c r="X65" s="160">
        <f>I65+U65-T65</f>
        <v/>
      </c>
      <c r="Y65" s="160">
        <f>MIN(N65,MAX(0,ROUNDDOWN('Sites'!$M$7*'Cases'!$E$6,0)-SUM(Y54:Y64)))</f>
        <v/>
      </c>
      <c r="Z65" s="160">
        <f>N65-Y65</f>
        <v/>
      </c>
      <c r="AA65" s="160">
        <f>U65*'NM Play'!$B$22</f>
        <v/>
      </c>
      <c r="AB65" s="160">
        <f>N65*SUM('NM Play'!$B$29:$B$31)</f>
        <v/>
      </c>
      <c r="AC65" s="160">
        <f>IF('Sites'!$C$7="Defy legs",P65*'NM Play'!$B$14/'NM Play'!$B$12*'NM Play'!$B$28,0)</f>
        <v/>
      </c>
      <c r="AD65" s="160">
        <f>Q65*'NM Play'!$B$23</f>
        <v/>
      </c>
      <c r="AE65" s="160">
        <f>S65*SUM('NM Play'!$B$26,'NM Play'!$B$33:$B$34)</f>
        <v/>
      </c>
      <c r="AF65" s="160">
        <f>IF('Sites'!$D$7="NM crew",S65*SUM('NM Play'!$B$24:$B$25),0)</f>
        <v/>
      </c>
      <c r="AG65" s="160">
        <f>IF('Sites'!$D$7="NM crew",S65*'NM Play'!$B$27,0)</f>
        <v/>
      </c>
      <c r="AH65" s="160">
        <f>N65*'Sites'!$Z$7*'NM Play'!$B$32</f>
        <v/>
      </c>
      <c r="AI65" s="160">
        <f>SUM(Y65:Z65)*'Sites'!$R$7</f>
        <v/>
      </c>
      <c r="AJ65" s="160">
        <f>SUM(AA65:AH65)</f>
        <v/>
      </c>
      <c r="AK65" s="160">
        <f>AJ65+(T65-U65)*'NM Play'!$B$22+MIN(G65,N65*'NM Play'!$B$11)/'NM Play'!$B$13*'NM Play'!$B$21*'NM Play'!$B$22+MIN(H65,N65*'NM Play'!$B$12)/'NM Play'!$B$14*IF('Sites'!$C$7="Own sheets",'NM Play'!$B$21*'NM Play'!$B$22,'NM Play'!$B$28*'NM Play'!$B$14/'NM Play'!$B$12)</f>
        <v/>
      </c>
      <c r="AL65" s="160">
        <f>Y65*'Assumptions'!AA66</f>
        <v/>
      </c>
      <c r="AM65" s="160">
        <f>IF('Sites'!$D$7="NM crew",S65*'NM Play'!$B$37*(1+IF(AND(ISNUMBER('NM Play'!$B$25),'NM Play'!$B$25&gt;0),1,0)),"")</f>
        <v/>
      </c>
      <c r="AN65" s="160">
        <f>IF(OR('Sites'!$E$7&lt;0,'Sites'!$E$7&gt;1,'Sites'!$F$7&lt;1,'Sites'!$G$7&lt;'Sites'!$F$7,F65&lt;0,MIN('Sites'!$I$7:'Sites'!$R$7)&lt;0,'Sites'!$L$7&gt;'Sites'!$I$7,'Sites'!$M$7&gt;'Sites'!$J$7,'Sites'!$N$7&gt;'Sites'!$K$7,'Sites'!$Z$7&lt;0,'Sites'!$Z$7&gt;1,MIN('Sites'!$AA$7:'Sites'!$AC$7)&lt;0,S65&gt;F65+0.001),1,0)</f>
        <v/>
      </c>
      <c r="AO65" s="160">
        <f>I65+U65-T65-X65</f>
        <v/>
      </c>
    </row>
    <row r="66" ht="28" customHeight="1">
      <c r="A66" s="4" t="inlineStr">
        <is>
          <t>Full</t>
        </is>
      </c>
      <c r="B66" s="4" t="inlineStr">
        <is>
          <t>NEW1</t>
        </is>
      </c>
      <c r="C66" s="160" t="n">
        <v>25</v>
      </c>
      <c r="D66" s="160">
        <f>ROUNDUP(C66/12,0)</f>
        <v/>
      </c>
      <c r="E66" s="160">
        <f>IF(AND('Sites'!$E$7=1,C66&gt;='Sites'!$F$7+'Cases'!$G$6,C66&lt;='Sites'!$G$7),1,0)</f>
        <v/>
      </c>
      <c r="F66" s="160">
        <f>E66*'Assumptions'!AB68</f>
        <v/>
      </c>
      <c r="G66" s="160">
        <f>V65</f>
        <v/>
      </c>
      <c r="H66" s="160">
        <f>W65</f>
        <v/>
      </c>
      <c r="I66" s="160">
        <f>X65</f>
        <v/>
      </c>
      <c r="J66" s="160">
        <f>MAX(0,'Sites'!$K$7-0)</f>
        <v/>
      </c>
      <c r="K66" s="160">
        <f>IF('Sites'!$C$7="Own sheets",MIN(ROUNDDOWN(G66/'NM Play'!$B$11,0)+F66*'NM Play'!$B$10/'NM Play'!$B$43,ROUNDDOWN(H66/'NM Play'!$B$12,0)+F66*'NM Play'!$B$10/'NM Play'!$B$44,(F66*'NM Play'!$B$10+ROUNDDOWN(G66/'NM Play'!$B$11,0)*'NM Play'!$B$43+ROUNDDOWN(H66/'NM Play'!$B$12,0)*'NM Play'!$B$44)/('NM Play'!$B$43+'NM Play'!$B$44)),ROUNDDOWN(G66/'NM Play'!$B$11,0)+F66*'NM Play'!$B$10/'NM Play'!$B$43)</f>
        <v/>
      </c>
      <c r="L66" s="160">
        <f>MIN(ROUNDDOWN(G66/'NM Play'!$B$11,0)+F66/('NM Play'!$B$43/'NM Play'!$B$15),ROUNDDOWN(H66/'NM Play'!$B$12,0)+F66/('NM Play'!$B$44/'NM Play'!$B$16),(F66+ROUNDDOWN(G66/'NM Play'!$B$11,0)*'NM Play'!$B$43/'NM Play'!$B$15+ROUNDDOWN(H66/'NM Play'!$B$12,0)*'NM Play'!$B$44/'NM Play'!$B$16)/('NM Play'!$B$43/'NM Play'!$B$15+'NM Play'!$B$44/'NM Play'!$B$16))</f>
        <v/>
      </c>
      <c r="M66" s="160">
        <f>F66*'NM Play'!$B$36</f>
        <v/>
      </c>
      <c r="N66" s="160">
        <f>ROUNDDOWN(MAX(0,MIN(J66,K66:M66)),0)</f>
        <v/>
      </c>
      <c r="O66" s="160">
        <f>ROUNDUP(MAX(0,N66*'NM Play'!$B$11-G66)/'NM Play'!$B$13,0)</f>
        <v/>
      </c>
      <c r="P66" s="160">
        <f>ROUNDUP(MAX(0,N66*'NM Play'!$B$12-H66)/'NM Play'!$B$14,0)</f>
        <v/>
      </c>
      <c r="Q66" s="160">
        <f>(O66+IF('Sites'!$C$7="Own sheets",P66,0))/'NM Play'!$B$10</f>
        <v/>
      </c>
      <c r="R66" s="160">
        <f>O66/'NM Play'!$B$15+P66/'NM Play'!$B$16</f>
        <v/>
      </c>
      <c r="S66" s="160">
        <f>MAX(Q66,R66,N66/'NM Play'!$B$36)</f>
        <v/>
      </c>
      <c r="T66" s="160">
        <f>Q66*'NM Play'!$B$10*'NM Play'!$B$21*(1+'NM Play'!$B$35)</f>
        <v/>
      </c>
      <c r="U66" s="160">
        <f>MAX(0,T66-I66)</f>
        <v/>
      </c>
      <c r="V66" s="160">
        <f>G66+O66*'NM Play'!$B$13-N66*'NM Play'!$B$11</f>
        <v/>
      </c>
      <c r="W66" s="160">
        <f>H66+P66*'NM Play'!$B$14-N66*'NM Play'!$B$12</f>
        <v/>
      </c>
      <c r="X66" s="160">
        <f>I66+U66-T66</f>
        <v/>
      </c>
      <c r="Y66" s="160">
        <f>MIN(N66,MAX(0,ROUNDDOWN('Sites'!$N$7*'Cases'!$E$6,0)-0))</f>
        <v/>
      </c>
      <c r="Z66" s="160">
        <f>N66-Y66</f>
        <v/>
      </c>
      <c r="AA66" s="160">
        <f>U66*'NM Play'!$B$22</f>
        <v/>
      </c>
      <c r="AB66" s="160">
        <f>N66*SUM('NM Play'!$B$29:$B$31)</f>
        <v/>
      </c>
      <c r="AC66" s="160">
        <f>IF('Sites'!$C$7="Defy legs",P66*'NM Play'!$B$14/'NM Play'!$B$12*'NM Play'!$B$28,0)</f>
        <v/>
      </c>
      <c r="AD66" s="160">
        <f>Q66*'NM Play'!$B$23</f>
        <v/>
      </c>
      <c r="AE66" s="160">
        <f>S66*SUM('NM Play'!$B$26,'NM Play'!$B$33:$B$34)</f>
        <v/>
      </c>
      <c r="AF66" s="160">
        <f>IF('Sites'!$D$7="NM crew",S66*SUM('NM Play'!$B$24:$B$25),0)</f>
        <v/>
      </c>
      <c r="AG66" s="160">
        <f>IF('Sites'!$D$7="NM crew",S66*'NM Play'!$B$27,0)</f>
        <v/>
      </c>
      <c r="AH66" s="160">
        <f>N66*'Sites'!$Z$7*'NM Play'!$B$32</f>
        <v/>
      </c>
      <c r="AI66" s="160">
        <f>SUM(Y66:Z66)*'Sites'!$R$7</f>
        <v/>
      </c>
      <c r="AJ66" s="160">
        <f>SUM(AA66:AH66)</f>
        <v/>
      </c>
      <c r="AK66" s="160">
        <f>AJ66+(T66-U66)*'NM Play'!$B$22+MIN(G66,N66*'NM Play'!$B$11)/'NM Play'!$B$13*'NM Play'!$B$21*'NM Play'!$B$22+MIN(H66,N66*'NM Play'!$B$12)/'NM Play'!$B$14*IF('Sites'!$C$7="Own sheets",'NM Play'!$B$21*'NM Play'!$B$22,'NM Play'!$B$28*'NM Play'!$B$14/'NM Play'!$B$12)</f>
        <v/>
      </c>
      <c r="AL66" s="160">
        <f>Y66*'Assumptions'!AB66</f>
        <v/>
      </c>
      <c r="AM66" s="160">
        <f>IF('Sites'!$D$7="NM crew",S66*'NM Play'!$B$37*(1+IF(AND(ISNUMBER('NM Play'!$B$25),'NM Play'!$B$25&gt;0),1,0)),"")</f>
        <v/>
      </c>
      <c r="AN66" s="160">
        <f>IF(OR('Sites'!$E$7&lt;0,'Sites'!$E$7&gt;1,'Sites'!$F$7&lt;1,'Sites'!$G$7&lt;'Sites'!$F$7,F66&lt;0,MIN('Sites'!$I$7:'Sites'!$R$7)&lt;0,'Sites'!$L$7&gt;'Sites'!$I$7,'Sites'!$M$7&gt;'Sites'!$J$7,'Sites'!$N$7&gt;'Sites'!$K$7,'Sites'!$Z$7&lt;0,'Sites'!$Z$7&gt;1,MIN('Sites'!$AA$7:'Sites'!$AC$7)&lt;0,S66&gt;F66+0.001),1,0)</f>
        <v/>
      </c>
      <c r="AO66" s="160">
        <f>I66+U66-T66-X66</f>
        <v/>
      </c>
    </row>
    <row r="67" ht="28" customHeight="1">
      <c r="A67" s="4" t="inlineStr">
        <is>
          <t>Full</t>
        </is>
      </c>
      <c r="B67" s="4" t="inlineStr">
        <is>
          <t>NEW1</t>
        </is>
      </c>
      <c r="C67" s="160" t="n">
        <v>26</v>
      </c>
      <c r="D67" s="160">
        <f>ROUNDUP(C67/12,0)</f>
        <v/>
      </c>
      <c r="E67" s="160">
        <f>IF(AND('Sites'!$E$7=1,C67&gt;='Sites'!$F$7+'Cases'!$G$6,C67&lt;='Sites'!$G$7),1,0)</f>
        <v/>
      </c>
      <c r="F67" s="160">
        <f>E67*'Assumptions'!AC68</f>
        <v/>
      </c>
      <c r="G67" s="160">
        <f>V66</f>
        <v/>
      </c>
      <c r="H67" s="160">
        <f>W66</f>
        <v/>
      </c>
      <c r="I67" s="160">
        <f>X66</f>
        <v/>
      </c>
      <c r="J67" s="160">
        <f>MAX(0,'Sites'!$K$7-SUM(N66:N66))</f>
        <v/>
      </c>
      <c r="K67" s="160">
        <f>IF('Sites'!$C$7="Own sheets",MIN(ROUNDDOWN(G67/'NM Play'!$B$11,0)+F67*'NM Play'!$B$10/'NM Play'!$B$43,ROUNDDOWN(H67/'NM Play'!$B$12,0)+F67*'NM Play'!$B$10/'NM Play'!$B$44,(F67*'NM Play'!$B$10+ROUNDDOWN(G67/'NM Play'!$B$11,0)*'NM Play'!$B$43+ROUNDDOWN(H67/'NM Play'!$B$12,0)*'NM Play'!$B$44)/('NM Play'!$B$43+'NM Play'!$B$44)),ROUNDDOWN(G67/'NM Play'!$B$11,0)+F67*'NM Play'!$B$10/'NM Play'!$B$43)</f>
        <v/>
      </c>
      <c r="L67" s="160">
        <f>MIN(ROUNDDOWN(G67/'NM Play'!$B$11,0)+F67/('NM Play'!$B$43/'NM Play'!$B$15),ROUNDDOWN(H67/'NM Play'!$B$12,0)+F67/('NM Play'!$B$44/'NM Play'!$B$16),(F67+ROUNDDOWN(G67/'NM Play'!$B$11,0)*'NM Play'!$B$43/'NM Play'!$B$15+ROUNDDOWN(H67/'NM Play'!$B$12,0)*'NM Play'!$B$44/'NM Play'!$B$16)/('NM Play'!$B$43/'NM Play'!$B$15+'NM Play'!$B$44/'NM Play'!$B$16))</f>
        <v/>
      </c>
      <c r="M67" s="160">
        <f>F67*'NM Play'!$B$36</f>
        <v/>
      </c>
      <c r="N67" s="160">
        <f>ROUNDDOWN(MAX(0,MIN(J67,K67:M67)),0)</f>
        <v/>
      </c>
      <c r="O67" s="160">
        <f>ROUNDUP(MAX(0,N67*'NM Play'!$B$11-G67)/'NM Play'!$B$13,0)</f>
        <v/>
      </c>
      <c r="P67" s="160">
        <f>ROUNDUP(MAX(0,N67*'NM Play'!$B$12-H67)/'NM Play'!$B$14,0)</f>
        <v/>
      </c>
      <c r="Q67" s="160">
        <f>(O67+IF('Sites'!$C$7="Own sheets",P67,0))/'NM Play'!$B$10</f>
        <v/>
      </c>
      <c r="R67" s="160">
        <f>O67/'NM Play'!$B$15+P67/'NM Play'!$B$16</f>
        <v/>
      </c>
      <c r="S67" s="160">
        <f>MAX(Q67,R67,N67/'NM Play'!$B$36)</f>
        <v/>
      </c>
      <c r="T67" s="160">
        <f>Q67*'NM Play'!$B$10*'NM Play'!$B$21*(1+'NM Play'!$B$35)</f>
        <v/>
      </c>
      <c r="U67" s="160">
        <f>MAX(0,T67-I67)</f>
        <v/>
      </c>
      <c r="V67" s="160">
        <f>G67+O67*'NM Play'!$B$13-N67*'NM Play'!$B$11</f>
        <v/>
      </c>
      <c r="W67" s="160">
        <f>H67+P67*'NM Play'!$B$14-N67*'NM Play'!$B$12</f>
        <v/>
      </c>
      <c r="X67" s="160">
        <f>I67+U67-T67</f>
        <v/>
      </c>
      <c r="Y67" s="160">
        <f>MIN(N67,MAX(0,ROUNDDOWN('Sites'!$N$7*'Cases'!$E$6,0)-SUM(Y66:Y66)))</f>
        <v/>
      </c>
      <c r="Z67" s="160">
        <f>N67-Y67</f>
        <v/>
      </c>
      <c r="AA67" s="160">
        <f>U67*'NM Play'!$B$22</f>
        <v/>
      </c>
      <c r="AB67" s="160">
        <f>N67*SUM('NM Play'!$B$29:$B$31)</f>
        <v/>
      </c>
      <c r="AC67" s="160">
        <f>IF('Sites'!$C$7="Defy legs",P67*'NM Play'!$B$14/'NM Play'!$B$12*'NM Play'!$B$28,0)</f>
        <v/>
      </c>
      <c r="AD67" s="160">
        <f>Q67*'NM Play'!$B$23</f>
        <v/>
      </c>
      <c r="AE67" s="160">
        <f>S67*SUM('NM Play'!$B$26,'NM Play'!$B$33:$B$34)</f>
        <v/>
      </c>
      <c r="AF67" s="160">
        <f>IF('Sites'!$D$7="NM crew",S67*SUM('NM Play'!$B$24:$B$25),0)</f>
        <v/>
      </c>
      <c r="AG67" s="160">
        <f>IF('Sites'!$D$7="NM crew",S67*'NM Play'!$B$27,0)</f>
        <v/>
      </c>
      <c r="AH67" s="160">
        <f>N67*'Sites'!$Z$7*'NM Play'!$B$32</f>
        <v/>
      </c>
      <c r="AI67" s="160">
        <f>SUM(Y67:Z67)*'Sites'!$R$7</f>
        <v/>
      </c>
      <c r="AJ67" s="160">
        <f>SUM(AA67:AH67)</f>
        <v/>
      </c>
      <c r="AK67" s="160">
        <f>AJ67+(T67-U67)*'NM Play'!$B$22+MIN(G67,N67*'NM Play'!$B$11)/'NM Play'!$B$13*'NM Play'!$B$21*'NM Play'!$B$22+MIN(H67,N67*'NM Play'!$B$12)/'NM Play'!$B$14*IF('Sites'!$C$7="Own sheets",'NM Play'!$B$21*'NM Play'!$B$22,'NM Play'!$B$28*'NM Play'!$B$14/'NM Play'!$B$12)</f>
        <v/>
      </c>
      <c r="AL67" s="160">
        <f>Y67*'Assumptions'!AC66</f>
        <v/>
      </c>
      <c r="AM67" s="160">
        <f>IF('Sites'!$D$7="NM crew",S67*'NM Play'!$B$37*(1+IF(AND(ISNUMBER('NM Play'!$B$25),'NM Play'!$B$25&gt;0),1,0)),"")</f>
        <v/>
      </c>
      <c r="AN67" s="160">
        <f>IF(OR('Sites'!$E$7&lt;0,'Sites'!$E$7&gt;1,'Sites'!$F$7&lt;1,'Sites'!$G$7&lt;'Sites'!$F$7,F67&lt;0,MIN('Sites'!$I$7:'Sites'!$R$7)&lt;0,'Sites'!$L$7&gt;'Sites'!$I$7,'Sites'!$M$7&gt;'Sites'!$J$7,'Sites'!$N$7&gt;'Sites'!$K$7,'Sites'!$Z$7&lt;0,'Sites'!$Z$7&gt;1,MIN('Sites'!$AA$7:'Sites'!$AC$7)&lt;0,S67&gt;F67+0.001),1,0)</f>
        <v/>
      </c>
      <c r="AO67" s="160">
        <f>I67+U67-T67-X67</f>
        <v/>
      </c>
    </row>
    <row r="68" ht="28" customHeight="1">
      <c r="A68" s="4" t="inlineStr">
        <is>
          <t>Full</t>
        </is>
      </c>
      <c r="B68" s="4" t="inlineStr">
        <is>
          <t>NEW1</t>
        </is>
      </c>
      <c r="C68" s="160" t="n">
        <v>27</v>
      </c>
      <c r="D68" s="160">
        <f>ROUNDUP(C68/12,0)</f>
        <v/>
      </c>
      <c r="E68" s="160">
        <f>IF(AND('Sites'!$E$7=1,C68&gt;='Sites'!$F$7+'Cases'!$G$6,C68&lt;='Sites'!$G$7),1,0)</f>
        <v/>
      </c>
      <c r="F68" s="160">
        <f>E68*'Assumptions'!AD68</f>
        <v/>
      </c>
      <c r="G68" s="160">
        <f>V67</f>
        <v/>
      </c>
      <c r="H68" s="160">
        <f>W67</f>
        <v/>
      </c>
      <c r="I68" s="160">
        <f>X67</f>
        <v/>
      </c>
      <c r="J68" s="160">
        <f>MAX(0,'Sites'!$K$7-SUM(N66:N67))</f>
        <v/>
      </c>
      <c r="K68" s="160">
        <f>IF('Sites'!$C$7="Own sheets",MIN(ROUNDDOWN(G68/'NM Play'!$B$11,0)+F68*'NM Play'!$B$10/'NM Play'!$B$43,ROUNDDOWN(H68/'NM Play'!$B$12,0)+F68*'NM Play'!$B$10/'NM Play'!$B$44,(F68*'NM Play'!$B$10+ROUNDDOWN(G68/'NM Play'!$B$11,0)*'NM Play'!$B$43+ROUNDDOWN(H68/'NM Play'!$B$12,0)*'NM Play'!$B$44)/('NM Play'!$B$43+'NM Play'!$B$44)),ROUNDDOWN(G68/'NM Play'!$B$11,0)+F68*'NM Play'!$B$10/'NM Play'!$B$43)</f>
        <v/>
      </c>
      <c r="L68" s="160">
        <f>MIN(ROUNDDOWN(G68/'NM Play'!$B$11,0)+F68/('NM Play'!$B$43/'NM Play'!$B$15),ROUNDDOWN(H68/'NM Play'!$B$12,0)+F68/('NM Play'!$B$44/'NM Play'!$B$16),(F68+ROUNDDOWN(G68/'NM Play'!$B$11,0)*'NM Play'!$B$43/'NM Play'!$B$15+ROUNDDOWN(H68/'NM Play'!$B$12,0)*'NM Play'!$B$44/'NM Play'!$B$16)/('NM Play'!$B$43/'NM Play'!$B$15+'NM Play'!$B$44/'NM Play'!$B$16))</f>
        <v/>
      </c>
      <c r="M68" s="160">
        <f>F68*'NM Play'!$B$36</f>
        <v/>
      </c>
      <c r="N68" s="160">
        <f>ROUNDDOWN(MAX(0,MIN(J68,K68:M68)),0)</f>
        <v/>
      </c>
      <c r="O68" s="160">
        <f>ROUNDUP(MAX(0,N68*'NM Play'!$B$11-G68)/'NM Play'!$B$13,0)</f>
        <v/>
      </c>
      <c r="P68" s="160">
        <f>ROUNDUP(MAX(0,N68*'NM Play'!$B$12-H68)/'NM Play'!$B$14,0)</f>
        <v/>
      </c>
      <c r="Q68" s="160">
        <f>(O68+IF('Sites'!$C$7="Own sheets",P68,0))/'NM Play'!$B$10</f>
        <v/>
      </c>
      <c r="R68" s="160">
        <f>O68/'NM Play'!$B$15+P68/'NM Play'!$B$16</f>
        <v/>
      </c>
      <c r="S68" s="160">
        <f>MAX(Q68,R68,N68/'NM Play'!$B$36)</f>
        <v/>
      </c>
      <c r="T68" s="160">
        <f>Q68*'NM Play'!$B$10*'NM Play'!$B$21*(1+'NM Play'!$B$35)</f>
        <v/>
      </c>
      <c r="U68" s="160">
        <f>MAX(0,T68-I68)</f>
        <v/>
      </c>
      <c r="V68" s="160">
        <f>G68+O68*'NM Play'!$B$13-N68*'NM Play'!$B$11</f>
        <v/>
      </c>
      <c r="W68" s="160">
        <f>H68+P68*'NM Play'!$B$14-N68*'NM Play'!$B$12</f>
        <v/>
      </c>
      <c r="X68" s="160">
        <f>I68+U68-T68</f>
        <v/>
      </c>
      <c r="Y68" s="160">
        <f>MIN(N68,MAX(0,ROUNDDOWN('Sites'!$N$7*'Cases'!$E$6,0)-SUM(Y66:Y67)))</f>
        <v/>
      </c>
      <c r="Z68" s="160">
        <f>N68-Y68</f>
        <v/>
      </c>
      <c r="AA68" s="160">
        <f>U68*'NM Play'!$B$22</f>
        <v/>
      </c>
      <c r="AB68" s="160">
        <f>N68*SUM('NM Play'!$B$29:$B$31)</f>
        <v/>
      </c>
      <c r="AC68" s="160">
        <f>IF('Sites'!$C$7="Defy legs",P68*'NM Play'!$B$14/'NM Play'!$B$12*'NM Play'!$B$28,0)</f>
        <v/>
      </c>
      <c r="AD68" s="160">
        <f>Q68*'NM Play'!$B$23</f>
        <v/>
      </c>
      <c r="AE68" s="160">
        <f>S68*SUM('NM Play'!$B$26,'NM Play'!$B$33:$B$34)</f>
        <v/>
      </c>
      <c r="AF68" s="160">
        <f>IF('Sites'!$D$7="NM crew",S68*SUM('NM Play'!$B$24:$B$25),0)</f>
        <v/>
      </c>
      <c r="AG68" s="160">
        <f>IF('Sites'!$D$7="NM crew",S68*'NM Play'!$B$27,0)</f>
        <v/>
      </c>
      <c r="AH68" s="160">
        <f>N68*'Sites'!$Z$7*'NM Play'!$B$32</f>
        <v/>
      </c>
      <c r="AI68" s="160">
        <f>SUM(Y68:Z68)*'Sites'!$R$7</f>
        <v/>
      </c>
      <c r="AJ68" s="160">
        <f>SUM(AA68:AH68)</f>
        <v/>
      </c>
      <c r="AK68" s="160">
        <f>AJ68+(T68-U68)*'NM Play'!$B$22+MIN(G68,N68*'NM Play'!$B$11)/'NM Play'!$B$13*'NM Play'!$B$21*'NM Play'!$B$22+MIN(H68,N68*'NM Play'!$B$12)/'NM Play'!$B$14*IF('Sites'!$C$7="Own sheets",'NM Play'!$B$21*'NM Play'!$B$22,'NM Play'!$B$28*'NM Play'!$B$14/'NM Play'!$B$12)</f>
        <v/>
      </c>
      <c r="AL68" s="160">
        <f>Y68*'Assumptions'!AD66</f>
        <v/>
      </c>
      <c r="AM68" s="160">
        <f>IF('Sites'!$D$7="NM crew",S68*'NM Play'!$B$37*(1+IF(AND(ISNUMBER('NM Play'!$B$25),'NM Play'!$B$25&gt;0),1,0)),"")</f>
        <v/>
      </c>
      <c r="AN68" s="160">
        <f>IF(OR('Sites'!$E$7&lt;0,'Sites'!$E$7&gt;1,'Sites'!$F$7&lt;1,'Sites'!$G$7&lt;'Sites'!$F$7,F68&lt;0,MIN('Sites'!$I$7:'Sites'!$R$7)&lt;0,'Sites'!$L$7&gt;'Sites'!$I$7,'Sites'!$M$7&gt;'Sites'!$J$7,'Sites'!$N$7&gt;'Sites'!$K$7,'Sites'!$Z$7&lt;0,'Sites'!$Z$7&gt;1,MIN('Sites'!$AA$7:'Sites'!$AC$7)&lt;0,S68&gt;F68+0.001),1,0)</f>
        <v/>
      </c>
      <c r="AO68" s="160">
        <f>I68+U68-T68-X68</f>
        <v/>
      </c>
    </row>
    <row r="69" ht="28" customHeight="1">
      <c r="A69" s="4" t="inlineStr">
        <is>
          <t>Full</t>
        </is>
      </c>
      <c r="B69" s="4" t="inlineStr">
        <is>
          <t>NEW1</t>
        </is>
      </c>
      <c r="C69" s="160" t="n">
        <v>28</v>
      </c>
      <c r="D69" s="160">
        <f>ROUNDUP(C69/12,0)</f>
        <v/>
      </c>
      <c r="E69" s="160">
        <f>IF(AND('Sites'!$E$7=1,C69&gt;='Sites'!$F$7+'Cases'!$G$6,C69&lt;='Sites'!$G$7),1,0)</f>
        <v/>
      </c>
      <c r="F69" s="160">
        <f>E69*'Assumptions'!AE68</f>
        <v/>
      </c>
      <c r="G69" s="160">
        <f>V68</f>
        <v/>
      </c>
      <c r="H69" s="160">
        <f>W68</f>
        <v/>
      </c>
      <c r="I69" s="160">
        <f>X68</f>
        <v/>
      </c>
      <c r="J69" s="160">
        <f>MAX(0,'Sites'!$K$7-SUM(N66:N68))</f>
        <v/>
      </c>
      <c r="K69" s="160">
        <f>IF('Sites'!$C$7="Own sheets",MIN(ROUNDDOWN(G69/'NM Play'!$B$11,0)+F69*'NM Play'!$B$10/'NM Play'!$B$43,ROUNDDOWN(H69/'NM Play'!$B$12,0)+F69*'NM Play'!$B$10/'NM Play'!$B$44,(F69*'NM Play'!$B$10+ROUNDDOWN(G69/'NM Play'!$B$11,0)*'NM Play'!$B$43+ROUNDDOWN(H69/'NM Play'!$B$12,0)*'NM Play'!$B$44)/('NM Play'!$B$43+'NM Play'!$B$44)),ROUNDDOWN(G69/'NM Play'!$B$11,0)+F69*'NM Play'!$B$10/'NM Play'!$B$43)</f>
        <v/>
      </c>
      <c r="L69" s="160">
        <f>MIN(ROUNDDOWN(G69/'NM Play'!$B$11,0)+F69/('NM Play'!$B$43/'NM Play'!$B$15),ROUNDDOWN(H69/'NM Play'!$B$12,0)+F69/('NM Play'!$B$44/'NM Play'!$B$16),(F69+ROUNDDOWN(G69/'NM Play'!$B$11,0)*'NM Play'!$B$43/'NM Play'!$B$15+ROUNDDOWN(H69/'NM Play'!$B$12,0)*'NM Play'!$B$44/'NM Play'!$B$16)/('NM Play'!$B$43/'NM Play'!$B$15+'NM Play'!$B$44/'NM Play'!$B$16))</f>
        <v/>
      </c>
      <c r="M69" s="160">
        <f>F69*'NM Play'!$B$36</f>
        <v/>
      </c>
      <c r="N69" s="160">
        <f>ROUNDDOWN(MAX(0,MIN(J69,K69:M69)),0)</f>
        <v/>
      </c>
      <c r="O69" s="160">
        <f>ROUNDUP(MAX(0,N69*'NM Play'!$B$11-G69)/'NM Play'!$B$13,0)</f>
        <v/>
      </c>
      <c r="P69" s="160">
        <f>ROUNDUP(MAX(0,N69*'NM Play'!$B$12-H69)/'NM Play'!$B$14,0)</f>
        <v/>
      </c>
      <c r="Q69" s="160">
        <f>(O69+IF('Sites'!$C$7="Own sheets",P69,0))/'NM Play'!$B$10</f>
        <v/>
      </c>
      <c r="R69" s="160">
        <f>O69/'NM Play'!$B$15+P69/'NM Play'!$B$16</f>
        <v/>
      </c>
      <c r="S69" s="160">
        <f>MAX(Q69,R69,N69/'NM Play'!$B$36)</f>
        <v/>
      </c>
      <c r="T69" s="160">
        <f>Q69*'NM Play'!$B$10*'NM Play'!$B$21*(1+'NM Play'!$B$35)</f>
        <v/>
      </c>
      <c r="U69" s="160">
        <f>MAX(0,T69-I69)</f>
        <v/>
      </c>
      <c r="V69" s="160">
        <f>G69+O69*'NM Play'!$B$13-N69*'NM Play'!$B$11</f>
        <v/>
      </c>
      <c r="W69" s="160">
        <f>H69+P69*'NM Play'!$B$14-N69*'NM Play'!$B$12</f>
        <v/>
      </c>
      <c r="X69" s="160">
        <f>I69+U69-T69</f>
        <v/>
      </c>
      <c r="Y69" s="160">
        <f>MIN(N69,MAX(0,ROUNDDOWN('Sites'!$N$7*'Cases'!$E$6,0)-SUM(Y66:Y68)))</f>
        <v/>
      </c>
      <c r="Z69" s="160">
        <f>N69-Y69</f>
        <v/>
      </c>
      <c r="AA69" s="160">
        <f>U69*'NM Play'!$B$22</f>
        <v/>
      </c>
      <c r="AB69" s="160">
        <f>N69*SUM('NM Play'!$B$29:$B$31)</f>
        <v/>
      </c>
      <c r="AC69" s="160">
        <f>IF('Sites'!$C$7="Defy legs",P69*'NM Play'!$B$14/'NM Play'!$B$12*'NM Play'!$B$28,0)</f>
        <v/>
      </c>
      <c r="AD69" s="160">
        <f>Q69*'NM Play'!$B$23</f>
        <v/>
      </c>
      <c r="AE69" s="160">
        <f>S69*SUM('NM Play'!$B$26,'NM Play'!$B$33:$B$34)</f>
        <v/>
      </c>
      <c r="AF69" s="160">
        <f>IF('Sites'!$D$7="NM crew",S69*SUM('NM Play'!$B$24:$B$25),0)</f>
        <v/>
      </c>
      <c r="AG69" s="160">
        <f>IF('Sites'!$D$7="NM crew",S69*'NM Play'!$B$27,0)</f>
        <v/>
      </c>
      <c r="AH69" s="160">
        <f>N69*'Sites'!$Z$7*'NM Play'!$B$32</f>
        <v/>
      </c>
      <c r="AI69" s="160">
        <f>SUM(Y69:Z69)*'Sites'!$R$7</f>
        <v/>
      </c>
      <c r="AJ69" s="160">
        <f>SUM(AA69:AH69)</f>
        <v/>
      </c>
      <c r="AK69" s="160">
        <f>AJ69+(T69-U69)*'NM Play'!$B$22+MIN(G69,N69*'NM Play'!$B$11)/'NM Play'!$B$13*'NM Play'!$B$21*'NM Play'!$B$22+MIN(H69,N69*'NM Play'!$B$12)/'NM Play'!$B$14*IF('Sites'!$C$7="Own sheets",'NM Play'!$B$21*'NM Play'!$B$22,'NM Play'!$B$28*'NM Play'!$B$14/'NM Play'!$B$12)</f>
        <v/>
      </c>
      <c r="AL69" s="160">
        <f>Y69*'Assumptions'!AE66</f>
        <v/>
      </c>
      <c r="AM69" s="160">
        <f>IF('Sites'!$D$7="NM crew",S69*'NM Play'!$B$37*(1+IF(AND(ISNUMBER('NM Play'!$B$25),'NM Play'!$B$25&gt;0),1,0)),"")</f>
        <v/>
      </c>
      <c r="AN69" s="160">
        <f>IF(OR('Sites'!$E$7&lt;0,'Sites'!$E$7&gt;1,'Sites'!$F$7&lt;1,'Sites'!$G$7&lt;'Sites'!$F$7,F69&lt;0,MIN('Sites'!$I$7:'Sites'!$R$7)&lt;0,'Sites'!$L$7&gt;'Sites'!$I$7,'Sites'!$M$7&gt;'Sites'!$J$7,'Sites'!$N$7&gt;'Sites'!$K$7,'Sites'!$Z$7&lt;0,'Sites'!$Z$7&gt;1,MIN('Sites'!$AA$7:'Sites'!$AC$7)&lt;0,S69&gt;F69+0.001),1,0)</f>
        <v/>
      </c>
      <c r="AO69" s="160">
        <f>I69+U69-T69-X69</f>
        <v/>
      </c>
    </row>
    <row r="70" ht="28" customHeight="1">
      <c r="A70" s="4" t="inlineStr">
        <is>
          <t>Full</t>
        </is>
      </c>
      <c r="B70" s="4" t="inlineStr">
        <is>
          <t>NEW1</t>
        </is>
      </c>
      <c r="C70" s="160" t="n">
        <v>29</v>
      </c>
      <c r="D70" s="160">
        <f>ROUNDUP(C70/12,0)</f>
        <v/>
      </c>
      <c r="E70" s="160">
        <f>IF(AND('Sites'!$E$7=1,C70&gt;='Sites'!$F$7+'Cases'!$G$6,C70&lt;='Sites'!$G$7),1,0)</f>
        <v/>
      </c>
      <c r="F70" s="160">
        <f>E70*'Assumptions'!AF68</f>
        <v/>
      </c>
      <c r="G70" s="160">
        <f>V69</f>
        <v/>
      </c>
      <c r="H70" s="160">
        <f>W69</f>
        <v/>
      </c>
      <c r="I70" s="160">
        <f>X69</f>
        <v/>
      </c>
      <c r="J70" s="160">
        <f>MAX(0,'Sites'!$K$7-SUM(N66:N69))</f>
        <v/>
      </c>
      <c r="K70" s="160">
        <f>IF('Sites'!$C$7="Own sheets",MIN(ROUNDDOWN(G70/'NM Play'!$B$11,0)+F70*'NM Play'!$B$10/'NM Play'!$B$43,ROUNDDOWN(H70/'NM Play'!$B$12,0)+F70*'NM Play'!$B$10/'NM Play'!$B$44,(F70*'NM Play'!$B$10+ROUNDDOWN(G70/'NM Play'!$B$11,0)*'NM Play'!$B$43+ROUNDDOWN(H70/'NM Play'!$B$12,0)*'NM Play'!$B$44)/('NM Play'!$B$43+'NM Play'!$B$44)),ROUNDDOWN(G70/'NM Play'!$B$11,0)+F70*'NM Play'!$B$10/'NM Play'!$B$43)</f>
        <v/>
      </c>
      <c r="L70" s="160">
        <f>MIN(ROUNDDOWN(G70/'NM Play'!$B$11,0)+F70/('NM Play'!$B$43/'NM Play'!$B$15),ROUNDDOWN(H70/'NM Play'!$B$12,0)+F70/('NM Play'!$B$44/'NM Play'!$B$16),(F70+ROUNDDOWN(G70/'NM Play'!$B$11,0)*'NM Play'!$B$43/'NM Play'!$B$15+ROUNDDOWN(H70/'NM Play'!$B$12,0)*'NM Play'!$B$44/'NM Play'!$B$16)/('NM Play'!$B$43/'NM Play'!$B$15+'NM Play'!$B$44/'NM Play'!$B$16))</f>
        <v/>
      </c>
      <c r="M70" s="160">
        <f>F70*'NM Play'!$B$36</f>
        <v/>
      </c>
      <c r="N70" s="160">
        <f>ROUNDDOWN(MAX(0,MIN(J70,K70:M70)),0)</f>
        <v/>
      </c>
      <c r="O70" s="160">
        <f>ROUNDUP(MAX(0,N70*'NM Play'!$B$11-G70)/'NM Play'!$B$13,0)</f>
        <v/>
      </c>
      <c r="P70" s="160">
        <f>ROUNDUP(MAX(0,N70*'NM Play'!$B$12-H70)/'NM Play'!$B$14,0)</f>
        <v/>
      </c>
      <c r="Q70" s="160">
        <f>(O70+IF('Sites'!$C$7="Own sheets",P70,0))/'NM Play'!$B$10</f>
        <v/>
      </c>
      <c r="R70" s="160">
        <f>O70/'NM Play'!$B$15+P70/'NM Play'!$B$16</f>
        <v/>
      </c>
      <c r="S70" s="160">
        <f>MAX(Q70,R70,N70/'NM Play'!$B$36)</f>
        <v/>
      </c>
      <c r="T70" s="160">
        <f>Q70*'NM Play'!$B$10*'NM Play'!$B$21*(1+'NM Play'!$B$35)</f>
        <v/>
      </c>
      <c r="U70" s="160">
        <f>MAX(0,T70-I70)</f>
        <v/>
      </c>
      <c r="V70" s="160">
        <f>G70+O70*'NM Play'!$B$13-N70*'NM Play'!$B$11</f>
        <v/>
      </c>
      <c r="W70" s="160">
        <f>H70+P70*'NM Play'!$B$14-N70*'NM Play'!$B$12</f>
        <v/>
      </c>
      <c r="X70" s="160">
        <f>I70+U70-T70</f>
        <v/>
      </c>
      <c r="Y70" s="160">
        <f>MIN(N70,MAX(0,ROUNDDOWN('Sites'!$N$7*'Cases'!$E$6,0)-SUM(Y66:Y69)))</f>
        <v/>
      </c>
      <c r="Z70" s="160">
        <f>N70-Y70</f>
        <v/>
      </c>
      <c r="AA70" s="160">
        <f>U70*'NM Play'!$B$22</f>
        <v/>
      </c>
      <c r="AB70" s="160">
        <f>N70*SUM('NM Play'!$B$29:$B$31)</f>
        <v/>
      </c>
      <c r="AC70" s="160">
        <f>IF('Sites'!$C$7="Defy legs",P70*'NM Play'!$B$14/'NM Play'!$B$12*'NM Play'!$B$28,0)</f>
        <v/>
      </c>
      <c r="AD70" s="160">
        <f>Q70*'NM Play'!$B$23</f>
        <v/>
      </c>
      <c r="AE70" s="160">
        <f>S70*SUM('NM Play'!$B$26,'NM Play'!$B$33:$B$34)</f>
        <v/>
      </c>
      <c r="AF70" s="160">
        <f>IF('Sites'!$D$7="NM crew",S70*SUM('NM Play'!$B$24:$B$25),0)</f>
        <v/>
      </c>
      <c r="AG70" s="160">
        <f>IF('Sites'!$D$7="NM crew",S70*'NM Play'!$B$27,0)</f>
        <v/>
      </c>
      <c r="AH70" s="160">
        <f>N70*'Sites'!$Z$7*'NM Play'!$B$32</f>
        <v/>
      </c>
      <c r="AI70" s="160">
        <f>SUM(Y70:Z70)*'Sites'!$R$7</f>
        <v/>
      </c>
      <c r="AJ70" s="160">
        <f>SUM(AA70:AH70)</f>
        <v/>
      </c>
      <c r="AK70" s="160">
        <f>AJ70+(T70-U70)*'NM Play'!$B$22+MIN(G70,N70*'NM Play'!$B$11)/'NM Play'!$B$13*'NM Play'!$B$21*'NM Play'!$B$22+MIN(H70,N70*'NM Play'!$B$12)/'NM Play'!$B$14*IF('Sites'!$C$7="Own sheets",'NM Play'!$B$21*'NM Play'!$B$22,'NM Play'!$B$28*'NM Play'!$B$14/'NM Play'!$B$12)</f>
        <v/>
      </c>
      <c r="AL70" s="160">
        <f>Y70*'Assumptions'!AF66</f>
        <v/>
      </c>
      <c r="AM70" s="160">
        <f>IF('Sites'!$D$7="NM crew",S70*'NM Play'!$B$37*(1+IF(AND(ISNUMBER('NM Play'!$B$25),'NM Play'!$B$25&gt;0),1,0)),"")</f>
        <v/>
      </c>
      <c r="AN70" s="160">
        <f>IF(OR('Sites'!$E$7&lt;0,'Sites'!$E$7&gt;1,'Sites'!$F$7&lt;1,'Sites'!$G$7&lt;'Sites'!$F$7,F70&lt;0,MIN('Sites'!$I$7:'Sites'!$R$7)&lt;0,'Sites'!$L$7&gt;'Sites'!$I$7,'Sites'!$M$7&gt;'Sites'!$J$7,'Sites'!$N$7&gt;'Sites'!$K$7,'Sites'!$Z$7&lt;0,'Sites'!$Z$7&gt;1,MIN('Sites'!$AA$7:'Sites'!$AC$7)&lt;0,S70&gt;F70+0.001),1,0)</f>
        <v/>
      </c>
      <c r="AO70" s="160">
        <f>I70+U70-T70-X70</f>
        <v/>
      </c>
    </row>
    <row r="71" ht="28" customHeight="1">
      <c r="A71" s="4" t="inlineStr">
        <is>
          <t>Full</t>
        </is>
      </c>
      <c r="B71" s="4" t="inlineStr">
        <is>
          <t>NEW1</t>
        </is>
      </c>
      <c r="C71" s="160" t="n">
        <v>30</v>
      </c>
      <c r="D71" s="160">
        <f>ROUNDUP(C71/12,0)</f>
        <v/>
      </c>
      <c r="E71" s="160">
        <f>IF(AND('Sites'!$E$7=1,C71&gt;='Sites'!$F$7+'Cases'!$G$6,C71&lt;='Sites'!$G$7),1,0)</f>
        <v/>
      </c>
      <c r="F71" s="160">
        <f>E71*'Assumptions'!AG68</f>
        <v/>
      </c>
      <c r="G71" s="160">
        <f>V70</f>
        <v/>
      </c>
      <c r="H71" s="160">
        <f>W70</f>
        <v/>
      </c>
      <c r="I71" s="160">
        <f>X70</f>
        <v/>
      </c>
      <c r="J71" s="160">
        <f>MAX(0,'Sites'!$K$7-SUM(N66:N70))</f>
        <v/>
      </c>
      <c r="K71" s="160">
        <f>IF('Sites'!$C$7="Own sheets",MIN(ROUNDDOWN(G71/'NM Play'!$B$11,0)+F71*'NM Play'!$B$10/'NM Play'!$B$43,ROUNDDOWN(H71/'NM Play'!$B$12,0)+F71*'NM Play'!$B$10/'NM Play'!$B$44,(F71*'NM Play'!$B$10+ROUNDDOWN(G71/'NM Play'!$B$11,0)*'NM Play'!$B$43+ROUNDDOWN(H71/'NM Play'!$B$12,0)*'NM Play'!$B$44)/('NM Play'!$B$43+'NM Play'!$B$44)),ROUNDDOWN(G71/'NM Play'!$B$11,0)+F71*'NM Play'!$B$10/'NM Play'!$B$43)</f>
        <v/>
      </c>
      <c r="L71" s="160">
        <f>MIN(ROUNDDOWN(G71/'NM Play'!$B$11,0)+F71/('NM Play'!$B$43/'NM Play'!$B$15),ROUNDDOWN(H71/'NM Play'!$B$12,0)+F71/('NM Play'!$B$44/'NM Play'!$B$16),(F71+ROUNDDOWN(G71/'NM Play'!$B$11,0)*'NM Play'!$B$43/'NM Play'!$B$15+ROUNDDOWN(H71/'NM Play'!$B$12,0)*'NM Play'!$B$44/'NM Play'!$B$16)/('NM Play'!$B$43/'NM Play'!$B$15+'NM Play'!$B$44/'NM Play'!$B$16))</f>
        <v/>
      </c>
      <c r="M71" s="160">
        <f>F71*'NM Play'!$B$36</f>
        <v/>
      </c>
      <c r="N71" s="160">
        <f>ROUNDDOWN(MAX(0,MIN(J71,K71:M71)),0)</f>
        <v/>
      </c>
      <c r="O71" s="160">
        <f>ROUNDUP(MAX(0,N71*'NM Play'!$B$11-G71)/'NM Play'!$B$13,0)</f>
        <v/>
      </c>
      <c r="P71" s="160">
        <f>ROUNDUP(MAX(0,N71*'NM Play'!$B$12-H71)/'NM Play'!$B$14,0)</f>
        <v/>
      </c>
      <c r="Q71" s="160">
        <f>(O71+IF('Sites'!$C$7="Own sheets",P71,0))/'NM Play'!$B$10</f>
        <v/>
      </c>
      <c r="R71" s="160">
        <f>O71/'NM Play'!$B$15+P71/'NM Play'!$B$16</f>
        <v/>
      </c>
      <c r="S71" s="160">
        <f>MAX(Q71,R71,N71/'NM Play'!$B$36)</f>
        <v/>
      </c>
      <c r="T71" s="160">
        <f>Q71*'NM Play'!$B$10*'NM Play'!$B$21*(1+'NM Play'!$B$35)</f>
        <v/>
      </c>
      <c r="U71" s="160">
        <f>MAX(0,T71-I71)</f>
        <v/>
      </c>
      <c r="V71" s="160">
        <f>G71+O71*'NM Play'!$B$13-N71*'NM Play'!$B$11</f>
        <v/>
      </c>
      <c r="W71" s="160">
        <f>H71+P71*'NM Play'!$B$14-N71*'NM Play'!$B$12</f>
        <v/>
      </c>
      <c r="X71" s="160">
        <f>I71+U71-T71</f>
        <v/>
      </c>
      <c r="Y71" s="160">
        <f>MIN(N71,MAX(0,ROUNDDOWN('Sites'!$N$7*'Cases'!$E$6,0)-SUM(Y66:Y70)))</f>
        <v/>
      </c>
      <c r="Z71" s="160">
        <f>N71-Y71</f>
        <v/>
      </c>
      <c r="AA71" s="160">
        <f>U71*'NM Play'!$B$22</f>
        <v/>
      </c>
      <c r="AB71" s="160">
        <f>N71*SUM('NM Play'!$B$29:$B$31)</f>
        <v/>
      </c>
      <c r="AC71" s="160">
        <f>IF('Sites'!$C$7="Defy legs",P71*'NM Play'!$B$14/'NM Play'!$B$12*'NM Play'!$B$28,0)</f>
        <v/>
      </c>
      <c r="AD71" s="160">
        <f>Q71*'NM Play'!$B$23</f>
        <v/>
      </c>
      <c r="AE71" s="160">
        <f>S71*SUM('NM Play'!$B$26,'NM Play'!$B$33:$B$34)</f>
        <v/>
      </c>
      <c r="AF71" s="160">
        <f>IF('Sites'!$D$7="NM crew",S71*SUM('NM Play'!$B$24:$B$25),0)</f>
        <v/>
      </c>
      <c r="AG71" s="160">
        <f>IF('Sites'!$D$7="NM crew",S71*'NM Play'!$B$27,0)</f>
        <v/>
      </c>
      <c r="AH71" s="160">
        <f>N71*'Sites'!$Z$7*'NM Play'!$B$32</f>
        <v/>
      </c>
      <c r="AI71" s="160">
        <f>SUM(Y71:Z71)*'Sites'!$R$7</f>
        <v/>
      </c>
      <c r="AJ71" s="160">
        <f>SUM(AA71:AH71)</f>
        <v/>
      </c>
      <c r="AK71" s="160">
        <f>AJ71+(T71-U71)*'NM Play'!$B$22+MIN(G71,N71*'NM Play'!$B$11)/'NM Play'!$B$13*'NM Play'!$B$21*'NM Play'!$B$22+MIN(H71,N71*'NM Play'!$B$12)/'NM Play'!$B$14*IF('Sites'!$C$7="Own sheets",'NM Play'!$B$21*'NM Play'!$B$22,'NM Play'!$B$28*'NM Play'!$B$14/'NM Play'!$B$12)</f>
        <v/>
      </c>
      <c r="AL71" s="160">
        <f>Y71*'Assumptions'!AG66</f>
        <v/>
      </c>
      <c r="AM71" s="160">
        <f>IF('Sites'!$D$7="NM crew",S71*'NM Play'!$B$37*(1+IF(AND(ISNUMBER('NM Play'!$B$25),'NM Play'!$B$25&gt;0),1,0)),"")</f>
        <v/>
      </c>
      <c r="AN71" s="160">
        <f>IF(OR('Sites'!$E$7&lt;0,'Sites'!$E$7&gt;1,'Sites'!$F$7&lt;1,'Sites'!$G$7&lt;'Sites'!$F$7,F71&lt;0,MIN('Sites'!$I$7:'Sites'!$R$7)&lt;0,'Sites'!$L$7&gt;'Sites'!$I$7,'Sites'!$M$7&gt;'Sites'!$J$7,'Sites'!$N$7&gt;'Sites'!$K$7,'Sites'!$Z$7&lt;0,'Sites'!$Z$7&gt;1,MIN('Sites'!$AA$7:'Sites'!$AC$7)&lt;0,S71&gt;F71+0.001),1,0)</f>
        <v/>
      </c>
      <c r="AO71" s="160">
        <f>I71+U71-T71-X71</f>
        <v/>
      </c>
    </row>
    <row r="72" ht="28" customHeight="1">
      <c r="A72" s="4" t="inlineStr">
        <is>
          <t>Full</t>
        </is>
      </c>
      <c r="B72" s="4" t="inlineStr">
        <is>
          <t>NEW1</t>
        </is>
      </c>
      <c r="C72" s="160" t="n">
        <v>31</v>
      </c>
      <c r="D72" s="160">
        <f>ROUNDUP(C72/12,0)</f>
        <v/>
      </c>
      <c r="E72" s="160">
        <f>IF(AND('Sites'!$E$7=1,C72&gt;='Sites'!$F$7+'Cases'!$G$6,C72&lt;='Sites'!$G$7),1,0)</f>
        <v/>
      </c>
      <c r="F72" s="160">
        <f>E72*'Assumptions'!AH68</f>
        <v/>
      </c>
      <c r="G72" s="160">
        <f>V71</f>
        <v/>
      </c>
      <c r="H72" s="160">
        <f>W71</f>
        <v/>
      </c>
      <c r="I72" s="160">
        <f>X71</f>
        <v/>
      </c>
      <c r="J72" s="160">
        <f>MAX(0,'Sites'!$K$7-SUM(N66:N71))</f>
        <v/>
      </c>
      <c r="K72" s="160">
        <f>IF('Sites'!$C$7="Own sheets",MIN(ROUNDDOWN(G72/'NM Play'!$B$11,0)+F72*'NM Play'!$B$10/'NM Play'!$B$43,ROUNDDOWN(H72/'NM Play'!$B$12,0)+F72*'NM Play'!$B$10/'NM Play'!$B$44,(F72*'NM Play'!$B$10+ROUNDDOWN(G72/'NM Play'!$B$11,0)*'NM Play'!$B$43+ROUNDDOWN(H72/'NM Play'!$B$12,0)*'NM Play'!$B$44)/('NM Play'!$B$43+'NM Play'!$B$44)),ROUNDDOWN(G72/'NM Play'!$B$11,0)+F72*'NM Play'!$B$10/'NM Play'!$B$43)</f>
        <v/>
      </c>
      <c r="L72" s="160">
        <f>MIN(ROUNDDOWN(G72/'NM Play'!$B$11,0)+F72/('NM Play'!$B$43/'NM Play'!$B$15),ROUNDDOWN(H72/'NM Play'!$B$12,0)+F72/('NM Play'!$B$44/'NM Play'!$B$16),(F72+ROUNDDOWN(G72/'NM Play'!$B$11,0)*'NM Play'!$B$43/'NM Play'!$B$15+ROUNDDOWN(H72/'NM Play'!$B$12,0)*'NM Play'!$B$44/'NM Play'!$B$16)/('NM Play'!$B$43/'NM Play'!$B$15+'NM Play'!$B$44/'NM Play'!$B$16))</f>
        <v/>
      </c>
      <c r="M72" s="160">
        <f>F72*'NM Play'!$B$36</f>
        <v/>
      </c>
      <c r="N72" s="160">
        <f>ROUNDDOWN(MAX(0,MIN(J72,K72:M72)),0)</f>
        <v/>
      </c>
      <c r="O72" s="160">
        <f>ROUNDUP(MAX(0,N72*'NM Play'!$B$11-G72)/'NM Play'!$B$13,0)</f>
        <v/>
      </c>
      <c r="P72" s="160">
        <f>ROUNDUP(MAX(0,N72*'NM Play'!$B$12-H72)/'NM Play'!$B$14,0)</f>
        <v/>
      </c>
      <c r="Q72" s="160">
        <f>(O72+IF('Sites'!$C$7="Own sheets",P72,0))/'NM Play'!$B$10</f>
        <v/>
      </c>
      <c r="R72" s="160">
        <f>O72/'NM Play'!$B$15+P72/'NM Play'!$B$16</f>
        <v/>
      </c>
      <c r="S72" s="160">
        <f>MAX(Q72,R72,N72/'NM Play'!$B$36)</f>
        <v/>
      </c>
      <c r="T72" s="160">
        <f>Q72*'NM Play'!$B$10*'NM Play'!$B$21*(1+'NM Play'!$B$35)</f>
        <v/>
      </c>
      <c r="U72" s="160">
        <f>MAX(0,T72-I72)</f>
        <v/>
      </c>
      <c r="V72" s="160">
        <f>G72+O72*'NM Play'!$B$13-N72*'NM Play'!$B$11</f>
        <v/>
      </c>
      <c r="W72" s="160">
        <f>H72+P72*'NM Play'!$B$14-N72*'NM Play'!$B$12</f>
        <v/>
      </c>
      <c r="X72" s="160">
        <f>I72+U72-T72</f>
        <v/>
      </c>
      <c r="Y72" s="160">
        <f>MIN(N72,MAX(0,ROUNDDOWN('Sites'!$N$7*'Cases'!$E$6,0)-SUM(Y66:Y71)))</f>
        <v/>
      </c>
      <c r="Z72" s="160">
        <f>N72-Y72</f>
        <v/>
      </c>
      <c r="AA72" s="160">
        <f>U72*'NM Play'!$B$22</f>
        <v/>
      </c>
      <c r="AB72" s="160">
        <f>N72*SUM('NM Play'!$B$29:$B$31)</f>
        <v/>
      </c>
      <c r="AC72" s="160">
        <f>IF('Sites'!$C$7="Defy legs",P72*'NM Play'!$B$14/'NM Play'!$B$12*'NM Play'!$B$28,0)</f>
        <v/>
      </c>
      <c r="AD72" s="160">
        <f>Q72*'NM Play'!$B$23</f>
        <v/>
      </c>
      <c r="AE72" s="160">
        <f>S72*SUM('NM Play'!$B$26,'NM Play'!$B$33:$B$34)</f>
        <v/>
      </c>
      <c r="AF72" s="160">
        <f>IF('Sites'!$D$7="NM crew",S72*SUM('NM Play'!$B$24:$B$25),0)</f>
        <v/>
      </c>
      <c r="AG72" s="160">
        <f>IF('Sites'!$D$7="NM crew",S72*'NM Play'!$B$27,0)</f>
        <v/>
      </c>
      <c r="AH72" s="160">
        <f>N72*'Sites'!$Z$7*'NM Play'!$B$32</f>
        <v/>
      </c>
      <c r="AI72" s="160">
        <f>SUM(Y72:Z72)*'Sites'!$R$7</f>
        <v/>
      </c>
      <c r="AJ72" s="160">
        <f>SUM(AA72:AH72)</f>
        <v/>
      </c>
      <c r="AK72" s="160">
        <f>AJ72+(T72-U72)*'NM Play'!$B$22+MIN(G72,N72*'NM Play'!$B$11)/'NM Play'!$B$13*'NM Play'!$B$21*'NM Play'!$B$22+MIN(H72,N72*'NM Play'!$B$12)/'NM Play'!$B$14*IF('Sites'!$C$7="Own sheets",'NM Play'!$B$21*'NM Play'!$B$22,'NM Play'!$B$28*'NM Play'!$B$14/'NM Play'!$B$12)</f>
        <v/>
      </c>
      <c r="AL72" s="160">
        <f>Y72*'Assumptions'!AH66</f>
        <v/>
      </c>
      <c r="AM72" s="160">
        <f>IF('Sites'!$D$7="NM crew",S72*'NM Play'!$B$37*(1+IF(AND(ISNUMBER('NM Play'!$B$25),'NM Play'!$B$25&gt;0),1,0)),"")</f>
        <v/>
      </c>
      <c r="AN72" s="160">
        <f>IF(OR('Sites'!$E$7&lt;0,'Sites'!$E$7&gt;1,'Sites'!$F$7&lt;1,'Sites'!$G$7&lt;'Sites'!$F$7,F72&lt;0,MIN('Sites'!$I$7:'Sites'!$R$7)&lt;0,'Sites'!$L$7&gt;'Sites'!$I$7,'Sites'!$M$7&gt;'Sites'!$J$7,'Sites'!$N$7&gt;'Sites'!$K$7,'Sites'!$Z$7&lt;0,'Sites'!$Z$7&gt;1,MIN('Sites'!$AA$7:'Sites'!$AC$7)&lt;0,S72&gt;F72+0.001),1,0)</f>
        <v/>
      </c>
      <c r="AO72" s="160">
        <f>I72+U72-T72-X72</f>
        <v/>
      </c>
    </row>
    <row r="73" ht="28" customHeight="1">
      <c r="A73" s="4" t="inlineStr">
        <is>
          <t>Full</t>
        </is>
      </c>
      <c r="B73" s="4" t="inlineStr">
        <is>
          <t>NEW1</t>
        </is>
      </c>
      <c r="C73" s="160" t="n">
        <v>32</v>
      </c>
      <c r="D73" s="160">
        <f>ROUNDUP(C73/12,0)</f>
        <v/>
      </c>
      <c r="E73" s="160">
        <f>IF(AND('Sites'!$E$7=1,C73&gt;='Sites'!$F$7+'Cases'!$G$6,C73&lt;='Sites'!$G$7),1,0)</f>
        <v/>
      </c>
      <c r="F73" s="160">
        <f>E73*'Assumptions'!AI68</f>
        <v/>
      </c>
      <c r="G73" s="160">
        <f>V72</f>
        <v/>
      </c>
      <c r="H73" s="160">
        <f>W72</f>
        <v/>
      </c>
      <c r="I73" s="160">
        <f>X72</f>
        <v/>
      </c>
      <c r="J73" s="160">
        <f>MAX(0,'Sites'!$K$7-SUM(N66:N72))</f>
        <v/>
      </c>
      <c r="K73" s="160">
        <f>IF('Sites'!$C$7="Own sheets",MIN(ROUNDDOWN(G73/'NM Play'!$B$11,0)+F73*'NM Play'!$B$10/'NM Play'!$B$43,ROUNDDOWN(H73/'NM Play'!$B$12,0)+F73*'NM Play'!$B$10/'NM Play'!$B$44,(F73*'NM Play'!$B$10+ROUNDDOWN(G73/'NM Play'!$B$11,0)*'NM Play'!$B$43+ROUNDDOWN(H73/'NM Play'!$B$12,0)*'NM Play'!$B$44)/('NM Play'!$B$43+'NM Play'!$B$44)),ROUNDDOWN(G73/'NM Play'!$B$11,0)+F73*'NM Play'!$B$10/'NM Play'!$B$43)</f>
        <v/>
      </c>
      <c r="L73" s="160">
        <f>MIN(ROUNDDOWN(G73/'NM Play'!$B$11,0)+F73/('NM Play'!$B$43/'NM Play'!$B$15),ROUNDDOWN(H73/'NM Play'!$B$12,0)+F73/('NM Play'!$B$44/'NM Play'!$B$16),(F73+ROUNDDOWN(G73/'NM Play'!$B$11,0)*'NM Play'!$B$43/'NM Play'!$B$15+ROUNDDOWN(H73/'NM Play'!$B$12,0)*'NM Play'!$B$44/'NM Play'!$B$16)/('NM Play'!$B$43/'NM Play'!$B$15+'NM Play'!$B$44/'NM Play'!$B$16))</f>
        <v/>
      </c>
      <c r="M73" s="160">
        <f>F73*'NM Play'!$B$36</f>
        <v/>
      </c>
      <c r="N73" s="160">
        <f>ROUNDDOWN(MAX(0,MIN(J73,K73:M73)),0)</f>
        <v/>
      </c>
      <c r="O73" s="160">
        <f>ROUNDUP(MAX(0,N73*'NM Play'!$B$11-G73)/'NM Play'!$B$13,0)</f>
        <v/>
      </c>
      <c r="P73" s="160">
        <f>ROUNDUP(MAX(0,N73*'NM Play'!$B$12-H73)/'NM Play'!$B$14,0)</f>
        <v/>
      </c>
      <c r="Q73" s="160">
        <f>(O73+IF('Sites'!$C$7="Own sheets",P73,0))/'NM Play'!$B$10</f>
        <v/>
      </c>
      <c r="R73" s="160">
        <f>O73/'NM Play'!$B$15+P73/'NM Play'!$B$16</f>
        <v/>
      </c>
      <c r="S73" s="160">
        <f>MAX(Q73,R73,N73/'NM Play'!$B$36)</f>
        <v/>
      </c>
      <c r="T73" s="160">
        <f>Q73*'NM Play'!$B$10*'NM Play'!$B$21*(1+'NM Play'!$B$35)</f>
        <v/>
      </c>
      <c r="U73" s="160">
        <f>MAX(0,T73-I73)</f>
        <v/>
      </c>
      <c r="V73" s="160">
        <f>G73+O73*'NM Play'!$B$13-N73*'NM Play'!$B$11</f>
        <v/>
      </c>
      <c r="W73" s="160">
        <f>H73+P73*'NM Play'!$B$14-N73*'NM Play'!$B$12</f>
        <v/>
      </c>
      <c r="X73" s="160">
        <f>I73+U73-T73</f>
        <v/>
      </c>
      <c r="Y73" s="160">
        <f>MIN(N73,MAX(0,ROUNDDOWN('Sites'!$N$7*'Cases'!$E$6,0)-SUM(Y66:Y72)))</f>
        <v/>
      </c>
      <c r="Z73" s="160">
        <f>N73-Y73</f>
        <v/>
      </c>
      <c r="AA73" s="160">
        <f>U73*'NM Play'!$B$22</f>
        <v/>
      </c>
      <c r="AB73" s="160">
        <f>N73*SUM('NM Play'!$B$29:$B$31)</f>
        <v/>
      </c>
      <c r="AC73" s="160">
        <f>IF('Sites'!$C$7="Defy legs",P73*'NM Play'!$B$14/'NM Play'!$B$12*'NM Play'!$B$28,0)</f>
        <v/>
      </c>
      <c r="AD73" s="160">
        <f>Q73*'NM Play'!$B$23</f>
        <v/>
      </c>
      <c r="AE73" s="160">
        <f>S73*SUM('NM Play'!$B$26,'NM Play'!$B$33:$B$34)</f>
        <v/>
      </c>
      <c r="AF73" s="160">
        <f>IF('Sites'!$D$7="NM crew",S73*SUM('NM Play'!$B$24:$B$25),0)</f>
        <v/>
      </c>
      <c r="AG73" s="160">
        <f>IF('Sites'!$D$7="NM crew",S73*'NM Play'!$B$27,0)</f>
        <v/>
      </c>
      <c r="AH73" s="160">
        <f>N73*'Sites'!$Z$7*'NM Play'!$B$32</f>
        <v/>
      </c>
      <c r="AI73" s="160">
        <f>SUM(Y73:Z73)*'Sites'!$R$7</f>
        <v/>
      </c>
      <c r="AJ73" s="160">
        <f>SUM(AA73:AH73)</f>
        <v/>
      </c>
      <c r="AK73" s="160">
        <f>AJ73+(T73-U73)*'NM Play'!$B$22+MIN(G73,N73*'NM Play'!$B$11)/'NM Play'!$B$13*'NM Play'!$B$21*'NM Play'!$B$22+MIN(H73,N73*'NM Play'!$B$12)/'NM Play'!$B$14*IF('Sites'!$C$7="Own sheets",'NM Play'!$B$21*'NM Play'!$B$22,'NM Play'!$B$28*'NM Play'!$B$14/'NM Play'!$B$12)</f>
        <v/>
      </c>
      <c r="AL73" s="160">
        <f>Y73*'Assumptions'!AI66</f>
        <v/>
      </c>
      <c r="AM73" s="160">
        <f>IF('Sites'!$D$7="NM crew",S73*'NM Play'!$B$37*(1+IF(AND(ISNUMBER('NM Play'!$B$25),'NM Play'!$B$25&gt;0),1,0)),"")</f>
        <v/>
      </c>
      <c r="AN73" s="160">
        <f>IF(OR('Sites'!$E$7&lt;0,'Sites'!$E$7&gt;1,'Sites'!$F$7&lt;1,'Sites'!$G$7&lt;'Sites'!$F$7,F73&lt;0,MIN('Sites'!$I$7:'Sites'!$R$7)&lt;0,'Sites'!$L$7&gt;'Sites'!$I$7,'Sites'!$M$7&gt;'Sites'!$J$7,'Sites'!$N$7&gt;'Sites'!$K$7,'Sites'!$Z$7&lt;0,'Sites'!$Z$7&gt;1,MIN('Sites'!$AA$7:'Sites'!$AC$7)&lt;0,S73&gt;F73+0.001),1,0)</f>
        <v/>
      </c>
      <c r="AO73" s="160">
        <f>I73+U73-T73-X73</f>
        <v/>
      </c>
    </row>
    <row r="74" ht="28" customHeight="1">
      <c r="A74" s="4" t="inlineStr">
        <is>
          <t>Full</t>
        </is>
      </c>
      <c r="B74" s="4" t="inlineStr">
        <is>
          <t>NEW1</t>
        </is>
      </c>
      <c r="C74" s="160" t="n">
        <v>33</v>
      </c>
      <c r="D74" s="160">
        <f>ROUNDUP(C74/12,0)</f>
        <v/>
      </c>
      <c r="E74" s="160">
        <f>IF(AND('Sites'!$E$7=1,C74&gt;='Sites'!$F$7+'Cases'!$G$6,C74&lt;='Sites'!$G$7),1,0)</f>
        <v/>
      </c>
      <c r="F74" s="160">
        <f>E74*'Assumptions'!AJ68</f>
        <v/>
      </c>
      <c r="G74" s="160">
        <f>V73</f>
        <v/>
      </c>
      <c r="H74" s="160">
        <f>W73</f>
        <v/>
      </c>
      <c r="I74" s="160">
        <f>X73</f>
        <v/>
      </c>
      <c r="J74" s="160">
        <f>MAX(0,'Sites'!$K$7-SUM(N66:N73))</f>
        <v/>
      </c>
      <c r="K74" s="160">
        <f>IF('Sites'!$C$7="Own sheets",MIN(ROUNDDOWN(G74/'NM Play'!$B$11,0)+F74*'NM Play'!$B$10/'NM Play'!$B$43,ROUNDDOWN(H74/'NM Play'!$B$12,0)+F74*'NM Play'!$B$10/'NM Play'!$B$44,(F74*'NM Play'!$B$10+ROUNDDOWN(G74/'NM Play'!$B$11,0)*'NM Play'!$B$43+ROUNDDOWN(H74/'NM Play'!$B$12,0)*'NM Play'!$B$44)/('NM Play'!$B$43+'NM Play'!$B$44)),ROUNDDOWN(G74/'NM Play'!$B$11,0)+F74*'NM Play'!$B$10/'NM Play'!$B$43)</f>
        <v/>
      </c>
      <c r="L74" s="160">
        <f>MIN(ROUNDDOWN(G74/'NM Play'!$B$11,0)+F74/('NM Play'!$B$43/'NM Play'!$B$15),ROUNDDOWN(H74/'NM Play'!$B$12,0)+F74/('NM Play'!$B$44/'NM Play'!$B$16),(F74+ROUNDDOWN(G74/'NM Play'!$B$11,0)*'NM Play'!$B$43/'NM Play'!$B$15+ROUNDDOWN(H74/'NM Play'!$B$12,0)*'NM Play'!$B$44/'NM Play'!$B$16)/('NM Play'!$B$43/'NM Play'!$B$15+'NM Play'!$B$44/'NM Play'!$B$16))</f>
        <v/>
      </c>
      <c r="M74" s="160">
        <f>F74*'NM Play'!$B$36</f>
        <v/>
      </c>
      <c r="N74" s="160">
        <f>ROUNDDOWN(MAX(0,MIN(J74,K74:M74)),0)</f>
        <v/>
      </c>
      <c r="O74" s="160">
        <f>ROUNDUP(MAX(0,N74*'NM Play'!$B$11-G74)/'NM Play'!$B$13,0)</f>
        <v/>
      </c>
      <c r="P74" s="160">
        <f>ROUNDUP(MAX(0,N74*'NM Play'!$B$12-H74)/'NM Play'!$B$14,0)</f>
        <v/>
      </c>
      <c r="Q74" s="160">
        <f>(O74+IF('Sites'!$C$7="Own sheets",P74,0))/'NM Play'!$B$10</f>
        <v/>
      </c>
      <c r="R74" s="160">
        <f>O74/'NM Play'!$B$15+P74/'NM Play'!$B$16</f>
        <v/>
      </c>
      <c r="S74" s="160">
        <f>MAX(Q74,R74,N74/'NM Play'!$B$36)</f>
        <v/>
      </c>
      <c r="T74" s="160">
        <f>Q74*'NM Play'!$B$10*'NM Play'!$B$21*(1+'NM Play'!$B$35)</f>
        <v/>
      </c>
      <c r="U74" s="160">
        <f>MAX(0,T74-I74)</f>
        <v/>
      </c>
      <c r="V74" s="160">
        <f>G74+O74*'NM Play'!$B$13-N74*'NM Play'!$B$11</f>
        <v/>
      </c>
      <c r="W74" s="160">
        <f>H74+P74*'NM Play'!$B$14-N74*'NM Play'!$B$12</f>
        <v/>
      </c>
      <c r="X74" s="160">
        <f>I74+U74-T74</f>
        <v/>
      </c>
      <c r="Y74" s="160">
        <f>MIN(N74,MAX(0,ROUNDDOWN('Sites'!$N$7*'Cases'!$E$6,0)-SUM(Y66:Y73)))</f>
        <v/>
      </c>
      <c r="Z74" s="160">
        <f>N74-Y74</f>
        <v/>
      </c>
      <c r="AA74" s="160">
        <f>U74*'NM Play'!$B$22</f>
        <v/>
      </c>
      <c r="AB74" s="160">
        <f>N74*SUM('NM Play'!$B$29:$B$31)</f>
        <v/>
      </c>
      <c r="AC74" s="160">
        <f>IF('Sites'!$C$7="Defy legs",P74*'NM Play'!$B$14/'NM Play'!$B$12*'NM Play'!$B$28,0)</f>
        <v/>
      </c>
      <c r="AD74" s="160">
        <f>Q74*'NM Play'!$B$23</f>
        <v/>
      </c>
      <c r="AE74" s="160">
        <f>S74*SUM('NM Play'!$B$26,'NM Play'!$B$33:$B$34)</f>
        <v/>
      </c>
      <c r="AF74" s="160">
        <f>IF('Sites'!$D$7="NM crew",S74*SUM('NM Play'!$B$24:$B$25),0)</f>
        <v/>
      </c>
      <c r="AG74" s="160">
        <f>IF('Sites'!$D$7="NM crew",S74*'NM Play'!$B$27,0)</f>
        <v/>
      </c>
      <c r="AH74" s="160">
        <f>N74*'Sites'!$Z$7*'NM Play'!$B$32</f>
        <v/>
      </c>
      <c r="AI74" s="160">
        <f>SUM(Y74:Z74)*'Sites'!$R$7</f>
        <v/>
      </c>
      <c r="AJ74" s="160">
        <f>SUM(AA74:AH74)</f>
        <v/>
      </c>
      <c r="AK74" s="160">
        <f>AJ74+(T74-U74)*'NM Play'!$B$22+MIN(G74,N74*'NM Play'!$B$11)/'NM Play'!$B$13*'NM Play'!$B$21*'NM Play'!$B$22+MIN(H74,N74*'NM Play'!$B$12)/'NM Play'!$B$14*IF('Sites'!$C$7="Own sheets",'NM Play'!$B$21*'NM Play'!$B$22,'NM Play'!$B$28*'NM Play'!$B$14/'NM Play'!$B$12)</f>
        <v/>
      </c>
      <c r="AL74" s="160">
        <f>Y74*'Assumptions'!AJ66</f>
        <v/>
      </c>
      <c r="AM74" s="160">
        <f>IF('Sites'!$D$7="NM crew",S74*'NM Play'!$B$37*(1+IF(AND(ISNUMBER('NM Play'!$B$25),'NM Play'!$B$25&gt;0),1,0)),"")</f>
        <v/>
      </c>
      <c r="AN74" s="160">
        <f>IF(OR('Sites'!$E$7&lt;0,'Sites'!$E$7&gt;1,'Sites'!$F$7&lt;1,'Sites'!$G$7&lt;'Sites'!$F$7,F74&lt;0,MIN('Sites'!$I$7:'Sites'!$R$7)&lt;0,'Sites'!$L$7&gt;'Sites'!$I$7,'Sites'!$M$7&gt;'Sites'!$J$7,'Sites'!$N$7&gt;'Sites'!$K$7,'Sites'!$Z$7&lt;0,'Sites'!$Z$7&gt;1,MIN('Sites'!$AA$7:'Sites'!$AC$7)&lt;0,S74&gt;F74+0.001),1,0)</f>
        <v/>
      </c>
      <c r="AO74" s="160">
        <f>I74+U74-T74-X74</f>
        <v/>
      </c>
    </row>
    <row r="75" ht="28" customHeight="1">
      <c r="A75" s="4" t="inlineStr">
        <is>
          <t>Full</t>
        </is>
      </c>
      <c r="B75" s="4" t="inlineStr">
        <is>
          <t>NEW1</t>
        </is>
      </c>
      <c r="C75" s="160" t="n">
        <v>34</v>
      </c>
      <c r="D75" s="160">
        <f>ROUNDUP(C75/12,0)</f>
        <v/>
      </c>
      <c r="E75" s="160">
        <f>IF(AND('Sites'!$E$7=1,C75&gt;='Sites'!$F$7+'Cases'!$G$6,C75&lt;='Sites'!$G$7),1,0)</f>
        <v/>
      </c>
      <c r="F75" s="160">
        <f>E75*'Assumptions'!AK68</f>
        <v/>
      </c>
      <c r="G75" s="160">
        <f>V74</f>
        <v/>
      </c>
      <c r="H75" s="160">
        <f>W74</f>
        <v/>
      </c>
      <c r="I75" s="160">
        <f>X74</f>
        <v/>
      </c>
      <c r="J75" s="160">
        <f>MAX(0,'Sites'!$K$7-SUM(N66:N74))</f>
        <v/>
      </c>
      <c r="K75" s="160">
        <f>IF('Sites'!$C$7="Own sheets",MIN(ROUNDDOWN(G75/'NM Play'!$B$11,0)+F75*'NM Play'!$B$10/'NM Play'!$B$43,ROUNDDOWN(H75/'NM Play'!$B$12,0)+F75*'NM Play'!$B$10/'NM Play'!$B$44,(F75*'NM Play'!$B$10+ROUNDDOWN(G75/'NM Play'!$B$11,0)*'NM Play'!$B$43+ROUNDDOWN(H75/'NM Play'!$B$12,0)*'NM Play'!$B$44)/('NM Play'!$B$43+'NM Play'!$B$44)),ROUNDDOWN(G75/'NM Play'!$B$11,0)+F75*'NM Play'!$B$10/'NM Play'!$B$43)</f>
        <v/>
      </c>
      <c r="L75" s="160">
        <f>MIN(ROUNDDOWN(G75/'NM Play'!$B$11,0)+F75/('NM Play'!$B$43/'NM Play'!$B$15),ROUNDDOWN(H75/'NM Play'!$B$12,0)+F75/('NM Play'!$B$44/'NM Play'!$B$16),(F75+ROUNDDOWN(G75/'NM Play'!$B$11,0)*'NM Play'!$B$43/'NM Play'!$B$15+ROUNDDOWN(H75/'NM Play'!$B$12,0)*'NM Play'!$B$44/'NM Play'!$B$16)/('NM Play'!$B$43/'NM Play'!$B$15+'NM Play'!$B$44/'NM Play'!$B$16))</f>
        <v/>
      </c>
      <c r="M75" s="160">
        <f>F75*'NM Play'!$B$36</f>
        <v/>
      </c>
      <c r="N75" s="160">
        <f>ROUNDDOWN(MAX(0,MIN(J75,K75:M75)),0)</f>
        <v/>
      </c>
      <c r="O75" s="160">
        <f>ROUNDUP(MAX(0,N75*'NM Play'!$B$11-G75)/'NM Play'!$B$13,0)</f>
        <v/>
      </c>
      <c r="P75" s="160">
        <f>ROUNDUP(MAX(0,N75*'NM Play'!$B$12-H75)/'NM Play'!$B$14,0)</f>
        <v/>
      </c>
      <c r="Q75" s="160">
        <f>(O75+IF('Sites'!$C$7="Own sheets",P75,0))/'NM Play'!$B$10</f>
        <v/>
      </c>
      <c r="R75" s="160">
        <f>O75/'NM Play'!$B$15+P75/'NM Play'!$B$16</f>
        <v/>
      </c>
      <c r="S75" s="160">
        <f>MAX(Q75,R75,N75/'NM Play'!$B$36)</f>
        <v/>
      </c>
      <c r="T75" s="160">
        <f>Q75*'NM Play'!$B$10*'NM Play'!$B$21*(1+'NM Play'!$B$35)</f>
        <v/>
      </c>
      <c r="U75" s="160">
        <f>MAX(0,T75-I75)</f>
        <v/>
      </c>
      <c r="V75" s="160">
        <f>G75+O75*'NM Play'!$B$13-N75*'NM Play'!$B$11</f>
        <v/>
      </c>
      <c r="W75" s="160">
        <f>H75+P75*'NM Play'!$B$14-N75*'NM Play'!$B$12</f>
        <v/>
      </c>
      <c r="X75" s="160">
        <f>I75+U75-T75</f>
        <v/>
      </c>
      <c r="Y75" s="160">
        <f>MIN(N75,MAX(0,ROUNDDOWN('Sites'!$N$7*'Cases'!$E$6,0)-SUM(Y66:Y74)))</f>
        <v/>
      </c>
      <c r="Z75" s="160">
        <f>N75-Y75</f>
        <v/>
      </c>
      <c r="AA75" s="160">
        <f>U75*'NM Play'!$B$22</f>
        <v/>
      </c>
      <c r="AB75" s="160">
        <f>N75*SUM('NM Play'!$B$29:$B$31)</f>
        <v/>
      </c>
      <c r="AC75" s="160">
        <f>IF('Sites'!$C$7="Defy legs",P75*'NM Play'!$B$14/'NM Play'!$B$12*'NM Play'!$B$28,0)</f>
        <v/>
      </c>
      <c r="AD75" s="160">
        <f>Q75*'NM Play'!$B$23</f>
        <v/>
      </c>
      <c r="AE75" s="160">
        <f>S75*SUM('NM Play'!$B$26,'NM Play'!$B$33:$B$34)</f>
        <v/>
      </c>
      <c r="AF75" s="160">
        <f>IF('Sites'!$D$7="NM crew",S75*SUM('NM Play'!$B$24:$B$25),0)</f>
        <v/>
      </c>
      <c r="AG75" s="160">
        <f>IF('Sites'!$D$7="NM crew",S75*'NM Play'!$B$27,0)</f>
        <v/>
      </c>
      <c r="AH75" s="160">
        <f>N75*'Sites'!$Z$7*'NM Play'!$B$32</f>
        <v/>
      </c>
      <c r="AI75" s="160">
        <f>SUM(Y75:Z75)*'Sites'!$R$7</f>
        <v/>
      </c>
      <c r="AJ75" s="160">
        <f>SUM(AA75:AH75)</f>
        <v/>
      </c>
      <c r="AK75" s="160">
        <f>AJ75+(T75-U75)*'NM Play'!$B$22+MIN(G75,N75*'NM Play'!$B$11)/'NM Play'!$B$13*'NM Play'!$B$21*'NM Play'!$B$22+MIN(H75,N75*'NM Play'!$B$12)/'NM Play'!$B$14*IF('Sites'!$C$7="Own sheets",'NM Play'!$B$21*'NM Play'!$B$22,'NM Play'!$B$28*'NM Play'!$B$14/'NM Play'!$B$12)</f>
        <v/>
      </c>
      <c r="AL75" s="160">
        <f>Y75*'Assumptions'!AK66</f>
        <v/>
      </c>
      <c r="AM75" s="160">
        <f>IF('Sites'!$D$7="NM crew",S75*'NM Play'!$B$37*(1+IF(AND(ISNUMBER('NM Play'!$B$25),'NM Play'!$B$25&gt;0),1,0)),"")</f>
        <v/>
      </c>
      <c r="AN75" s="160">
        <f>IF(OR('Sites'!$E$7&lt;0,'Sites'!$E$7&gt;1,'Sites'!$F$7&lt;1,'Sites'!$G$7&lt;'Sites'!$F$7,F75&lt;0,MIN('Sites'!$I$7:'Sites'!$R$7)&lt;0,'Sites'!$L$7&gt;'Sites'!$I$7,'Sites'!$M$7&gt;'Sites'!$J$7,'Sites'!$N$7&gt;'Sites'!$K$7,'Sites'!$Z$7&lt;0,'Sites'!$Z$7&gt;1,MIN('Sites'!$AA$7:'Sites'!$AC$7)&lt;0,S75&gt;F75+0.001),1,0)</f>
        <v/>
      </c>
      <c r="AO75" s="160">
        <f>I75+U75-T75-X75</f>
        <v/>
      </c>
    </row>
    <row r="76" ht="28" customHeight="1">
      <c r="A76" s="4" t="inlineStr">
        <is>
          <t>Full</t>
        </is>
      </c>
      <c r="B76" s="4" t="inlineStr">
        <is>
          <t>NEW1</t>
        </is>
      </c>
      <c r="C76" s="160" t="n">
        <v>35</v>
      </c>
      <c r="D76" s="160">
        <f>ROUNDUP(C76/12,0)</f>
        <v/>
      </c>
      <c r="E76" s="160">
        <f>IF(AND('Sites'!$E$7=1,C76&gt;='Sites'!$F$7+'Cases'!$G$6,C76&lt;='Sites'!$G$7),1,0)</f>
        <v/>
      </c>
      <c r="F76" s="160">
        <f>E76*'Assumptions'!AL68</f>
        <v/>
      </c>
      <c r="G76" s="160">
        <f>V75</f>
        <v/>
      </c>
      <c r="H76" s="160">
        <f>W75</f>
        <v/>
      </c>
      <c r="I76" s="160">
        <f>X75</f>
        <v/>
      </c>
      <c r="J76" s="160">
        <f>MAX(0,'Sites'!$K$7-SUM(N66:N75))</f>
        <v/>
      </c>
      <c r="K76" s="160">
        <f>IF('Sites'!$C$7="Own sheets",MIN(ROUNDDOWN(G76/'NM Play'!$B$11,0)+F76*'NM Play'!$B$10/'NM Play'!$B$43,ROUNDDOWN(H76/'NM Play'!$B$12,0)+F76*'NM Play'!$B$10/'NM Play'!$B$44,(F76*'NM Play'!$B$10+ROUNDDOWN(G76/'NM Play'!$B$11,0)*'NM Play'!$B$43+ROUNDDOWN(H76/'NM Play'!$B$12,0)*'NM Play'!$B$44)/('NM Play'!$B$43+'NM Play'!$B$44)),ROUNDDOWN(G76/'NM Play'!$B$11,0)+F76*'NM Play'!$B$10/'NM Play'!$B$43)</f>
        <v/>
      </c>
      <c r="L76" s="160">
        <f>MIN(ROUNDDOWN(G76/'NM Play'!$B$11,0)+F76/('NM Play'!$B$43/'NM Play'!$B$15),ROUNDDOWN(H76/'NM Play'!$B$12,0)+F76/('NM Play'!$B$44/'NM Play'!$B$16),(F76+ROUNDDOWN(G76/'NM Play'!$B$11,0)*'NM Play'!$B$43/'NM Play'!$B$15+ROUNDDOWN(H76/'NM Play'!$B$12,0)*'NM Play'!$B$44/'NM Play'!$B$16)/('NM Play'!$B$43/'NM Play'!$B$15+'NM Play'!$B$44/'NM Play'!$B$16))</f>
        <v/>
      </c>
      <c r="M76" s="160">
        <f>F76*'NM Play'!$B$36</f>
        <v/>
      </c>
      <c r="N76" s="160">
        <f>ROUNDDOWN(MAX(0,MIN(J76,K76:M76)),0)</f>
        <v/>
      </c>
      <c r="O76" s="160">
        <f>ROUNDUP(MAX(0,N76*'NM Play'!$B$11-G76)/'NM Play'!$B$13,0)</f>
        <v/>
      </c>
      <c r="P76" s="160">
        <f>ROUNDUP(MAX(0,N76*'NM Play'!$B$12-H76)/'NM Play'!$B$14,0)</f>
        <v/>
      </c>
      <c r="Q76" s="160">
        <f>(O76+IF('Sites'!$C$7="Own sheets",P76,0))/'NM Play'!$B$10</f>
        <v/>
      </c>
      <c r="R76" s="160">
        <f>O76/'NM Play'!$B$15+P76/'NM Play'!$B$16</f>
        <v/>
      </c>
      <c r="S76" s="160">
        <f>MAX(Q76,R76,N76/'NM Play'!$B$36)</f>
        <v/>
      </c>
      <c r="T76" s="160">
        <f>Q76*'NM Play'!$B$10*'NM Play'!$B$21*(1+'NM Play'!$B$35)</f>
        <v/>
      </c>
      <c r="U76" s="160">
        <f>MAX(0,T76-I76)</f>
        <v/>
      </c>
      <c r="V76" s="160">
        <f>G76+O76*'NM Play'!$B$13-N76*'NM Play'!$B$11</f>
        <v/>
      </c>
      <c r="W76" s="160">
        <f>H76+P76*'NM Play'!$B$14-N76*'NM Play'!$B$12</f>
        <v/>
      </c>
      <c r="X76" s="160">
        <f>I76+U76-T76</f>
        <v/>
      </c>
      <c r="Y76" s="160">
        <f>MIN(N76,MAX(0,ROUNDDOWN('Sites'!$N$7*'Cases'!$E$6,0)-SUM(Y66:Y75)))</f>
        <v/>
      </c>
      <c r="Z76" s="160">
        <f>N76-Y76</f>
        <v/>
      </c>
      <c r="AA76" s="160">
        <f>U76*'NM Play'!$B$22</f>
        <v/>
      </c>
      <c r="AB76" s="160">
        <f>N76*SUM('NM Play'!$B$29:$B$31)</f>
        <v/>
      </c>
      <c r="AC76" s="160">
        <f>IF('Sites'!$C$7="Defy legs",P76*'NM Play'!$B$14/'NM Play'!$B$12*'NM Play'!$B$28,0)</f>
        <v/>
      </c>
      <c r="AD76" s="160">
        <f>Q76*'NM Play'!$B$23</f>
        <v/>
      </c>
      <c r="AE76" s="160">
        <f>S76*SUM('NM Play'!$B$26,'NM Play'!$B$33:$B$34)</f>
        <v/>
      </c>
      <c r="AF76" s="160">
        <f>IF('Sites'!$D$7="NM crew",S76*SUM('NM Play'!$B$24:$B$25),0)</f>
        <v/>
      </c>
      <c r="AG76" s="160">
        <f>IF('Sites'!$D$7="NM crew",S76*'NM Play'!$B$27,0)</f>
        <v/>
      </c>
      <c r="AH76" s="160">
        <f>N76*'Sites'!$Z$7*'NM Play'!$B$32</f>
        <v/>
      </c>
      <c r="AI76" s="160">
        <f>SUM(Y76:Z76)*'Sites'!$R$7</f>
        <v/>
      </c>
      <c r="AJ76" s="160">
        <f>SUM(AA76:AH76)</f>
        <v/>
      </c>
      <c r="AK76" s="160">
        <f>AJ76+(T76-U76)*'NM Play'!$B$22+MIN(G76,N76*'NM Play'!$B$11)/'NM Play'!$B$13*'NM Play'!$B$21*'NM Play'!$B$22+MIN(H76,N76*'NM Play'!$B$12)/'NM Play'!$B$14*IF('Sites'!$C$7="Own sheets",'NM Play'!$B$21*'NM Play'!$B$22,'NM Play'!$B$28*'NM Play'!$B$14/'NM Play'!$B$12)</f>
        <v/>
      </c>
      <c r="AL76" s="160">
        <f>Y76*'Assumptions'!AL66</f>
        <v/>
      </c>
      <c r="AM76" s="160">
        <f>IF('Sites'!$D$7="NM crew",S76*'NM Play'!$B$37*(1+IF(AND(ISNUMBER('NM Play'!$B$25),'NM Play'!$B$25&gt;0),1,0)),"")</f>
        <v/>
      </c>
      <c r="AN76" s="160">
        <f>IF(OR('Sites'!$E$7&lt;0,'Sites'!$E$7&gt;1,'Sites'!$F$7&lt;1,'Sites'!$G$7&lt;'Sites'!$F$7,F76&lt;0,MIN('Sites'!$I$7:'Sites'!$R$7)&lt;0,'Sites'!$L$7&gt;'Sites'!$I$7,'Sites'!$M$7&gt;'Sites'!$J$7,'Sites'!$N$7&gt;'Sites'!$K$7,'Sites'!$Z$7&lt;0,'Sites'!$Z$7&gt;1,MIN('Sites'!$AA$7:'Sites'!$AC$7)&lt;0,S76&gt;F76+0.001),1,0)</f>
        <v/>
      </c>
      <c r="AO76" s="160">
        <f>I76+U76-T76-X76</f>
        <v/>
      </c>
    </row>
    <row r="77" ht="28" customHeight="1">
      <c r="A77" s="4" t="inlineStr">
        <is>
          <t>Full</t>
        </is>
      </c>
      <c r="B77" s="4" t="inlineStr">
        <is>
          <t>NEW1</t>
        </is>
      </c>
      <c r="C77" s="160" t="n">
        <v>36</v>
      </c>
      <c r="D77" s="160">
        <f>ROUNDUP(C77/12,0)</f>
        <v/>
      </c>
      <c r="E77" s="160">
        <f>IF(AND('Sites'!$E$7=1,C77&gt;='Sites'!$F$7+'Cases'!$G$6,C77&lt;='Sites'!$G$7),1,0)</f>
        <v/>
      </c>
      <c r="F77" s="160">
        <f>E77*'Assumptions'!AM68</f>
        <v/>
      </c>
      <c r="G77" s="160">
        <f>V76</f>
        <v/>
      </c>
      <c r="H77" s="160">
        <f>W76</f>
        <v/>
      </c>
      <c r="I77" s="160">
        <f>X76</f>
        <v/>
      </c>
      <c r="J77" s="160">
        <f>MAX(0,'Sites'!$K$7-SUM(N66:N76))</f>
        <v/>
      </c>
      <c r="K77" s="160">
        <f>IF('Sites'!$C$7="Own sheets",MIN(ROUNDDOWN(G77/'NM Play'!$B$11,0)+F77*'NM Play'!$B$10/'NM Play'!$B$43,ROUNDDOWN(H77/'NM Play'!$B$12,0)+F77*'NM Play'!$B$10/'NM Play'!$B$44,(F77*'NM Play'!$B$10+ROUNDDOWN(G77/'NM Play'!$B$11,0)*'NM Play'!$B$43+ROUNDDOWN(H77/'NM Play'!$B$12,0)*'NM Play'!$B$44)/('NM Play'!$B$43+'NM Play'!$B$44)),ROUNDDOWN(G77/'NM Play'!$B$11,0)+F77*'NM Play'!$B$10/'NM Play'!$B$43)</f>
        <v/>
      </c>
      <c r="L77" s="160">
        <f>MIN(ROUNDDOWN(G77/'NM Play'!$B$11,0)+F77/('NM Play'!$B$43/'NM Play'!$B$15),ROUNDDOWN(H77/'NM Play'!$B$12,0)+F77/('NM Play'!$B$44/'NM Play'!$B$16),(F77+ROUNDDOWN(G77/'NM Play'!$B$11,0)*'NM Play'!$B$43/'NM Play'!$B$15+ROUNDDOWN(H77/'NM Play'!$B$12,0)*'NM Play'!$B$44/'NM Play'!$B$16)/('NM Play'!$B$43/'NM Play'!$B$15+'NM Play'!$B$44/'NM Play'!$B$16))</f>
        <v/>
      </c>
      <c r="M77" s="160">
        <f>F77*'NM Play'!$B$36</f>
        <v/>
      </c>
      <c r="N77" s="160">
        <f>ROUNDDOWN(MAX(0,MIN(J77,K77:M77)),0)</f>
        <v/>
      </c>
      <c r="O77" s="160">
        <f>ROUNDUP(MAX(0,N77*'NM Play'!$B$11-G77)/'NM Play'!$B$13,0)</f>
        <v/>
      </c>
      <c r="P77" s="160">
        <f>ROUNDUP(MAX(0,N77*'NM Play'!$B$12-H77)/'NM Play'!$B$14,0)</f>
        <v/>
      </c>
      <c r="Q77" s="160">
        <f>(O77+IF('Sites'!$C$7="Own sheets",P77,0))/'NM Play'!$B$10</f>
        <v/>
      </c>
      <c r="R77" s="160">
        <f>O77/'NM Play'!$B$15+P77/'NM Play'!$B$16</f>
        <v/>
      </c>
      <c r="S77" s="160">
        <f>MAX(Q77,R77,N77/'NM Play'!$B$36)</f>
        <v/>
      </c>
      <c r="T77" s="160">
        <f>Q77*'NM Play'!$B$10*'NM Play'!$B$21*(1+'NM Play'!$B$35)</f>
        <v/>
      </c>
      <c r="U77" s="160">
        <f>MAX(0,T77-I77)</f>
        <v/>
      </c>
      <c r="V77" s="160">
        <f>G77+O77*'NM Play'!$B$13-N77*'NM Play'!$B$11</f>
        <v/>
      </c>
      <c r="W77" s="160">
        <f>H77+P77*'NM Play'!$B$14-N77*'NM Play'!$B$12</f>
        <v/>
      </c>
      <c r="X77" s="160">
        <f>I77+U77-T77</f>
        <v/>
      </c>
      <c r="Y77" s="160">
        <f>MIN(N77,MAX(0,ROUNDDOWN('Sites'!$N$7*'Cases'!$E$6,0)-SUM(Y66:Y76)))</f>
        <v/>
      </c>
      <c r="Z77" s="160">
        <f>N77-Y77</f>
        <v/>
      </c>
      <c r="AA77" s="160">
        <f>U77*'NM Play'!$B$22</f>
        <v/>
      </c>
      <c r="AB77" s="160">
        <f>N77*SUM('NM Play'!$B$29:$B$31)</f>
        <v/>
      </c>
      <c r="AC77" s="160">
        <f>IF('Sites'!$C$7="Defy legs",P77*'NM Play'!$B$14/'NM Play'!$B$12*'NM Play'!$B$28,0)</f>
        <v/>
      </c>
      <c r="AD77" s="160">
        <f>Q77*'NM Play'!$B$23</f>
        <v/>
      </c>
      <c r="AE77" s="160">
        <f>S77*SUM('NM Play'!$B$26,'NM Play'!$B$33:$B$34)</f>
        <v/>
      </c>
      <c r="AF77" s="160">
        <f>IF('Sites'!$D$7="NM crew",S77*SUM('NM Play'!$B$24:$B$25),0)</f>
        <v/>
      </c>
      <c r="AG77" s="160">
        <f>IF('Sites'!$D$7="NM crew",S77*'NM Play'!$B$27,0)</f>
        <v/>
      </c>
      <c r="AH77" s="160">
        <f>N77*'Sites'!$Z$7*'NM Play'!$B$32</f>
        <v/>
      </c>
      <c r="AI77" s="160">
        <f>SUM(Y77:Z77)*'Sites'!$R$7</f>
        <v/>
      </c>
      <c r="AJ77" s="160">
        <f>SUM(AA77:AH77)</f>
        <v/>
      </c>
      <c r="AK77" s="160">
        <f>AJ77+(T77-U77)*'NM Play'!$B$22+MIN(G77,N77*'NM Play'!$B$11)/'NM Play'!$B$13*'NM Play'!$B$21*'NM Play'!$B$22+MIN(H77,N77*'NM Play'!$B$12)/'NM Play'!$B$14*IF('Sites'!$C$7="Own sheets",'NM Play'!$B$21*'NM Play'!$B$22,'NM Play'!$B$28*'NM Play'!$B$14/'NM Play'!$B$12)</f>
        <v/>
      </c>
      <c r="AL77" s="160">
        <f>Y77*'Assumptions'!AM66</f>
        <v/>
      </c>
      <c r="AM77" s="160">
        <f>IF('Sites'!$D$7="NM crew",S77*'NM Play'!$B$37*(1+IF(AND(ISNUMBER('NM Play'!$B$25),'NM Play'!$B$25&gt;0),1,0)),"")</f>
        <v/>
      </c>
      <c r="AN77" s="160">
        <f>IF(OR('Sites'!$E$7&lt;0,'Sites'!$E$7&gt;1,'Sites'!$F$7&lt;1,'Sites'!$G$7&lt;'Sites'!$F$7,F77&lt;0,MIN('Sites'!$I$7:'Sites'!$R$7)&lt;0,'Sites'!$L$7&gt;'Sites'!$I$7,'Sites'!$M$7&gt;'Sites'!$J$7,'Sites'!$N$7&gt;'Sites'!$K$7,'Sites'!$Z$7&lt;0,'Sites'!$Z$7&gt;1,MIN('Sites'!$AA$7:'Sites'!$AC$7)&lt;0,S77&gt;F77+0.001),1,0)</f>
        <v/>
      </c>
      <c r="AO77" s="160">
        <f>I77+U77-T77-X77</f>
        <v/>
      </c>
    </row>
    <row r="78" ht="28" customHeight="1">
      <c r="A78" s="4" t="inlineStr">
        <is>
          <t>Full</t>
        </is>
      </c>
      <c r="B78" s="4" t="inlineStr">
        <is>
          <t>NEW2</t>
        </is>
      </c>
      <c r="C78" s="160" t="n">
        <v>1</v>
      </c>
      <c r="D78" s="160">
        <f>ROUNDUP(C78/12,0)</f>
        <v/>
      </c>
      <c r="E78" s="160">
        <f>IF(AND('Sites'!$E$8*'Cases'!$F$6=1,C78&gt;='Sites'!$F$8+'Cases'!$G$6,C78&lt;='Sites'!$G$8),1,0)</f>
        <v/>
      </c>
      <c r="F78" s="160">
        <f>E78*'Assumptions'!D69</f>
        <v/>
      </c>
      <c r="G78" s="160">
        <f>'Sites'!$AA$8</f>
        <v/>
      </c>
      <c r="H78" s="160">
        <f>'Sites'!$AB$8</f>
        <v/>
      </c>
      <c r="I78" s="160">
        <f>'Sites'!$AC$8</f>
        <v/>
      </c>
      <c r="J78" s="160">
        <f>MAX(0,'Sites'!$I$8-0)</f>
        <v/>
      </c>
      <c r="K78" s="160">
        <f>IF('Sites'!$C$8="Own sheets",MIN(ROUNDDOWN(G78/'NM Play'!$B$11,0)+F78*'NM Play'!$B$10/'NM Play'!$B$43,ROUNDDOWN(H78/'NM Play'!$B$12,0)+F78*'NM Play'!$B$10/'NM Play'!$B$44,(F78*'NM Play'!$B$10+ROUNDDOWN(G78/'NM Play'!$B$11,0)*'NM Play'!$B$43+ROUNDDOWN(H78/'NM Play'!$B$12,0)*'NM Play'!$B$44)/('NM Play'!$B$43+'NM Play'!$B$44)),ROUNDDOWN(G78/'NM Play'!$B$11,0)+F78*'NM Play'!$B$10/'NM Play'!$B$43)</f>
        <v/>
      </c>
      <c r="L78" s="160">
        <f>MIN(ROUNDDOWN(G78/'NM Play'!$B$11,0)+F78/('NM Play'!$B$43/'NM Play'!$B$15),ROUNDDOWN(H78/'NM Play'!$B$12,0)+F78/('NM Play'!$B$44/'NM Play'!$B$16),(F78+ROUNDDOWN(G78/'NM Play'!$B$11,0)*'NM Play'!$B$43/'NM Play'!$B$15+ROUNDDOWN(H78/'NM Play'!$B$12,0)*'NM Play'!$B$44/'NM Play'!$B$16)/('NM Play'!$B$43/'NM Play'!$B$15+'NM Play'!$B$44/'NM Play'!$B$16))</f>
        <v/>
      </c>
      <c r="M78" s="160">
        <f>F78*'NM Play'!$B$36</f>
        <v/>
      </c>
      <c r="N78" s="160">
        <f>ROUNDDOWN(MAX(0,MIN(J78,K78:M78)),0)</f>
        <v/>
      </c>
      <c r="O78" s="160">
        <f>ROUNDUP(MAX(0,N78*'NM Play'!$B$11-G78)/'NM Play'!$B$13,0)</f>
        <v/>
      </c>
      <c r="P78" s="160">
        <f>ROUNDUP(MAX(0,N78*'NM Play'!$B$12-H78)/'NM Play'!$B$14,0)</f>
        <v/>
      </c>
      <c r="Q78" s="160">
        <f>(O78+IF('Sites'!$C$8="Own sheets",P78,0))/'NM Play'!$B$10</f>
        <v/>
      </c>
      <c r="R78" s="160">
        <f>O78/'NM Play'!$B$15+P78/'NM Play'!$B$16</f>
        <v/>
      </c>
      <c r="S78" s="160">
        <f>MAX(Q78,R78,N78/'NM Play'!$B$36)</f>
        <v/>
      </c>
      <c r="T78" s="160">
        <f>Q78*'NM Play'!$B$10*'NM Play'!$B$21*(1+'NM Play'!$B$35)</f>
        <v/>
      </c>
      <c r="U78" s="160">
        <f>MAX(0,T78-I78)</f>
        <v/>
      </c>
      <c r="V78" s="160">
        <f>G78+O78*'NM Play'!$B$13-N78*'NM Play'!$B$11</f>
        <v/>
      </c>
      <c r="W78" s="160">
        <f>H78+P78*'NM Play'!$B$14-N78*'NM Play'!$B$12</f>
        <v/>
      </c>
      <c r="X78" s="160">
        <f>I78+U78-T78</f>
        <v/>
      </c>
      <c r="Y78" s="160">
        <f>MIN(N78,MAX(0,ROUNDDOWN('Sites'!$L$8*'Cases'!$E$6,0)-0))</f>
        <v/>
      </c>
      <c r="Z78" s="160">
        <f>N78-Y78</f>
        <v/>
      </c>
      <c r="AA78" s="160">
        <f>U78*'NM Play'!$B$22</f>
        <v/>
      </c>
      <c r="AB78" s="160">
        <f>N78*SUM('NM Play'!$B$29:$B$31)</f>
        <v/>
      </c>
      <c r="AC78" s="160">
        <f>IF('Sites'!$C$8="Defy legs",P78*'NM Play'!$B$14/'NM Play'!$B$12*'NM Play'!$B$28,0)</f>
        <v/>
      </c>
      <c r="AD78" s="160">
        <f>Q78*'NM Play'!$B$23</f>
        <v/>
      </c>
      <c r="AE78" s="160">
        <f>S78*SUM('NM Play'!$B$26,'NM Play'!$B$33:$B$34)</f>
        <v/>
      </c>
      <c r="AF78" s="160">
        <f>IF('Sites'!$D$8="NM crew",S78*SUM('NM Play'!$B$24:$B$25),0)</f>
        <v/>
      </c>
      <c r="AG78" s="160">
        <f>IF('Sites'!$D$8="NM crew",S78*'NM Play'!$B$27,0)</f>
        <v/>
      </c>
      <c r="AH78" s="160">
        <f>N78*'Sites'!$Z$8*'NM Play'!$B$32</f>
        <v/>
      </c>
      <c r="AI78" s="160">
        <f>SUM(Y78:Z78)*'Sites'!$R$8</f>
        <v/>
      </c>
      <c r="AJ78" s="160">
        <f>SUM(AA78:AH78)</f>
        <v/>
      </c>
      <c r="AK78" s="160">
        <f>AJ78+(T78-U78)*'NM Play'!$B$22+MIN(G78,N78*'NM Play'!$B$11)/'NM Play'!$B$13*'NM Play'!$B$21*'NM Play'!$B$22+MIN(H78,N78*'NM Play'!$B$12)/'NM Play'!$B$14*IF('Sites'!$C$8="Own sheets",'NM Play'!$B$21*'NM Play'!$B$22,'NM Play'!$B$28*'NM Play'!$B$14/'NM Play'!$B$12)</f>
        <v/>
      </c>
      <c r="AL78" s="160">
        <f>Y78*'Assumptions'!D66</f>
        <v/>
      </c>
      <c r="AM78" s="160">
        <f>IF('Sites'!$D$8="NM crew",S78*'NM Play'!$B$37*(1+IF(AND(ISNUMBER('NM Play'!$B$25),'NM Play'!$B$25&gt;0),1,0)),"")</f>
        <v/>
      </c>
      <c r="AN78" s="160">
        <f>IF(OR('Sites'!$E$8&lt;0,'Sites'!$E$8&gt;1,'Sites'!$F$8&lt;1,'Sites'!$G$8&lt;'Sites'!$F$8,F78&lt;0,MIN('Sites'!$I$8:'Sites'!$R$8)&lt;0,'Sites'!$L$8&gt;'Sites'!$I$8,'Sites'!$M$8&gt;'Sites'!$J$8,'Sites'!$N$8&gt;'Sites'!$K$8,'Sites'!$Z$8&lt;0,'Sites'!$Z$8&gt;1,MIN('Sites'!$AA$8:'Sites'!$AC$8)&lt;0,S78&gt;F78+0.001),1,0)</f>
        <v/>
      </c>
      <c r="AO78" s="160">
        <f>I78+U78-T78-X78</f>
        <v/>
      </c>
    </row>
    <row r="79" ht="28" customHeight="1">
      <c r="A79" s="4" t="inlineStr">
        <is>
          <t>Full</t>
        </is>
      </c>
      <c r="B79" s="4" t="inlineStr">
        <is>
          <t>NEW2</t>
        </is>
      </c>
      <c r="C79" s="160" t="n">
        <v>2</v>
      </c>
      <c r="D79" s="160">
        <f>ROUNDUP(C79/12,0)</f>
        <v/>
      </c>
      <c r="E79" s="160">
        <f>IF(AND('Sites'!$E$8*'Cases'!$F$6=1,C79&gt;='Sites'!$F$8+'Cases'!$G$6,C79&lt;='Sites'!$G$8),1,0)</f>
        <v/>
      </c>
      <c r="F79" s="160">
        <f>E79*'Assumptions'!E69</f>
        <v/>
      </c>
      <c r="G79" s="160">
        <f>V78</f>
        <v/>
      </c>
      <c r="H79" s="160">
        <f>W78</f>
        <v/>
      </c>
      <c r="I79" s="160">
        <f>X78</f>
        <v/>
      </c>
      <c r="J79" s="160">
        <f>MAX(0,'Sites'!$I$8-SUM(N78:N78))</f>
        <v/>
      </c>
      <c r="K79" s="160">
        <f>IF('Sites'!$C$8="Own sheets",MIN(ROUNDDOWN(G79/'NM Play'!$B$11,0)+F79*'NM Play'!$B$10/'NM Play'!$B$43,ROUNDDOWN(H79/'NM Play'!$B$12,0)+F79*'NM Play'!$B$10/'NM Play'!$B$44,(F79*'NM Play'!$B$10+ROUNDDOWN(G79/'NM Play'!$B$11,0)*'NM Play'!$B$43+ROUNDDOWN(H79/'NM Play'!$B$12,0)*'NM Play'!$B$44)/('NM Play'!$B$43+'NM Play'!$B$44)),ROUNDDOWN(G79/'NM Play'!$B$11,0)+F79*'NM Play'!$B$10/'NM Play'!$B$43)</f>
        <v/>
      </c>
      <c r="L79" s="160">
        <f>MIN(ROUNDDOWN(G79/'NM Play'!$B$11,0)+F79/('NM Play'!$B$43/'NM Play'!$B$15),ROUNDDOWN(H79/'NM Play'!$B$12,0)+F79/('NM Play'!$B$44/'NM Play'!$B$16),(F79+ROUNDDOWN(G79/'NM Play'!$B$11,0)*'NM Play'!$B$43/'NM Play'!$B$15+ROUNDDOWN(H79/'NM Play'!$B$12,0)*'NM Play'!$B$44/'NM Play'!$B$16)/('NM Play'!$B$43/'NM Play'!$B$15+'NM Play'!$B$44/'NM Play'!$B$16))</f>
        <v/>
      </c>
      <c r="M79" s="160">
        <f>F79*'NM Play'!$B$36</f>
        <v/>
      </c>
      <c r="N79" s="160">
        <f>ROUNDDOWN(MAX(0,MIN(J79,K79:M79)),0)</f>
        <v/>
      </c>
      <c r="O79" s="160">
        <f>ROUNDUP(MAX(0,N79*'NM Play'!$B$11-G79)/'NM Play'!$B$13,0)</f>
        <v/>
      </c>
      <c r="P79" s="160">
        <f>ROUNDUP(MAX(0,N79*'NM Play'!$B$12-H79)/'NM Play'!$B$14,0)</f>
        <v/>
      </c>
      <c r="Q79" s="160">
        <f>(O79+IF('Sites'!$C$8="Own sheets",P79,0))/'NM Play'!$B$10</f>
        <v/>
      </c>
      <c r="R79" s="160">
        <f>O79/'NM Play'!$B$15+P79/'NM Play'!$B$16</f>
        <v/>
      </c>
      <c r="S79" s="160">
        <f>MAX(Q79,R79,N79/'NM Play'!$B$36)</f>
        <v/>
      </c>
      <c r="T79" s="160">
        <f>Q79*'NM Play'!$B$10*'NM Play'!$B$21*(1+'NM Play'!$B$35)</f>
        <v/>
      </c>
      <c r="U79" s="160">
        <f>MAX(0,T79-I79)</f>
        <v/>
      </c>
      <c r="V79" s="160">
        <f>G79+O79*'NM Play'!$B$13-N79*'NM Play'!$B$11</f>
        <v/>
      </c>
      <c r="W79" s="160">
        <f>H79+P79*'NM Play'!$B$14-N79*'NM Play'!$B$12</f>
        <v/>
      </c>
      <c r="X79" s="160">
        <f>I79+U79-T79</f>
        <v/>
      </c>
      <c r="Y79" s="160">
        <f>MIN(N79,MAX(0,ROUNDDOWN('Sites'!$L$8*'Cases'!$E$6,0)-SUM(Y78:Y78)))</f>
        <v/>
      </c>
      <c r="Z79" s="160">
        <f>N79-Y79</f>
        <v/>
      </c>
      <c r="AA79" s="160">
        <f>U79*'NM Play'!$B$22</f>
        <v/>
      </c>
      <c r="AB79" s="160">
        <f>N79*SUM('NM Play'!$B$29:$B$31)</f>
        <v/>
      </c>
      <c r="AC79" s="160">
        <f>IF('Sites'!$C$8="Defy legs",P79*'NM Play'!$B$14/'NM Play'!$B$12*'NM Play'!$B$28,0)</f>
        <v/>
      </c>
      <c r="AD79" s="160">
        <f>Q79*'NM Play'!$B$23</f>
        <v/>
      </c>
      <c r="AE79" s="160">
        <f>S79*SUM('NM Play'!$B$26,'NM Play'!$B$33:$B$34)</f>
        <v/>
      </c>
      <c r="AF79" s="160">
        <f>IF('Sites'!$D$8="NM crew",S79*SUM('NM Play'!$B$24:$B$25),0)</f>
        <v/>
      </c>
      <c r="AG79" s="160">
        <f>IF('Sites'!$D$8="NM crew",S79*'NM Play'!$B$27,0)</f>
        <v/>
      </c>
      <c r="AH79" s="160">
        <f>N79*'Sites'!$Z$8*'NM Play'!$B$32</f>
        <v/>
      </c>
      <c r="AI79" s="160">
        <f>SUM(Y79:Z79)*'Sites'!$R$8</f>
        <v/>
      </c>
      <c r="AJ79" s="160">
        <f>SUM(AA79:AH79)</f>
        <v/>
      </c>
      <c r="AK79" s="160">
        <f>AJ79+(T79-U79)*'NM Play'!$B$22+MIN(G79,N79*'NM Play'!$B$11)/'NM Play'!$B$13*'NM Play'!$B$21*'NM Play'!$B$22+MIN(H79,N79*'NM Play'!$B$12)/'NM Play'!$B$14*IF('Sites'!$C$8="Own sheets",'NM Play'!$B$21*'NM Play'!$B$22,'NM Play'!$B$28*'NM Play'!$B$14/'NM Play'!$B$12)</f>
        <v/>
      </c>
      <c r="AL79" s="160">
        <f>Y79*'Assumptions'!E66</f>
        <v/>
      </c>
      <c r="AM79" s="160">
        <f>IF('Sites'!$D$8="NM crew",S79*'NM Play'!$B$37*(1+IF(AND(ISNUMBER('NM Play'!$B$25),'NM Play'!$B$25&gt;0),1,0)),"")</f>
        <v/>
      </c>
      <c r="AN79" s="160">
        <f>IF(OR('Sites'!$E$8&lt;0,'Sites'!$E$8&gt;1,'Sites'!$F$8&lt;1,'Sites'!$G$8&lt;'Sites'!$F$8,F79&lt;0,MIN('Sites'!$I$8:'Sites'!$R$8)&lt;0,'Sites'!$L$8&gt;'Sites'!$I$8,'Sites'!$M$8&gt;'Sites'!$J$8,'Sites'!$N$8&gt;'Sites'!$K$8,'Sites'!$Z$8&lt;0,'Sites'!$Z$8&gt;1,MIN('Sites'!$AA$8:'Sites'!$AC$8)&lt;0,S79&gt;F79+0.001),1,0)</f>
        <v/>
      </c>
      <c r="AO79" s="160">
        <f>I79+U79-T79-X79</f>
        <v/>
      </c>
    </row>
    <row r="80" ht="28" customHeight="1">
      <c r="A80" s="4" t="inlineStr">
        <is>
          <t>Full</t>
        </is>
      </c>
      <c r="B80" s="4" t="inlineStr">
        <is>
          <t>NEW2</t>
        </is>
      </c>
      <c r="C80" s="160" t="n">
        <v>3</v>
      </c>
      <c r="D80" s="160">
        <f>ROUNDUP(C80/12,0)</f>
        <v/>
      </c>
      <c r="E80" s="160">
        <f>IF(AND('Sites'!$E$8*'Cases'!$F$6=1,C80&gt;='Sites'!$F$8+'Cases'!$G$6,C80&lt;='Sites'!$G$8),1,0)</f>
        <v/>
      </c>
      <c r="F80" s="160">
        <f>E80*'Assumptions'!F69</f>
        <v/>
      </c>
      <c r="G80" s="160">
        <f>V79</f>
        <v/>
      </c>
      <c r="H80" s="160">
        <f>W79</f>
        <v/>
      </c>
      <c r="I80" s="160">
        <f>X79</f>
        <v/>
      </c>
      <c r="J80" s="160">
        <f>MAX(0,'Sites'!$I$8-SUM(N78:N79))</f>
        <v/>
      </c>
      <c r="K80" s="160">
        <f>IF('Sites'!$C$8="Own sheets",MIN(ROUNDDOWN(G80/'NM Play'!$B$11,0)+F80*'NM Play'!$B$10/'NM Play'!$B$43,ROUNDDOWN(H80/'NM Play'!$B$12,0)+F80*'NM Play'!$B$10/'NM Play'!$B$44,(F80*'NM Play'!$B$10+ROUNDDOWN(G80/'NM Play'!$B$11,0)*'NM Play'!$B$43+ROUNDDOWN(H80/'NM Play'!$B$12,0)*'NM Play'!$B$44)/('NM Play'!$B$43+'NM Play'!$B$44)),ROUNDDOWN(G80/'NM Play'!$B$11,0)+F80*'NM Play'!$B$10/'NM Play'!$B$43)</f>
        <v/>
      </c>
      <c r="L80" s="160">
        <f>MIN(ROUNDDOWN(G80/'NM Play'!$B$11,0)+F80/('NM Play'!$B$43/'NM Play'!$B$15),ROUNDDOWN(H80/'NM Play'!$B$12,0)+F80/('NM Play'!$B$44/'NM Play'!$B$16),(F80+ROUNDDOWN(G80/'NM Play'!$B$11,0)*'NM Play'!$B$43/'NM Play'!$B$15+ROUNDDOWN(H80/'NM Play'!$B$12,0)*'NM Play'!$B$44/'NM Play'!$B$16)/('NM Play'!$B$43/'NM Play'!$B$15+'NM Play'!$B$44/'NM Play'!$B$16))</f>
        <v/>
      </c>
      <c r="M80" s="160">
        <f>F80*'NM Play'!$B$36</f>
        <v/>
      </c>
      <c r="N80" s="160">
        <f>ROUNDDOWN(MAX(0,MIN(J80,K80:M80)),0)</f>
        <v/>
      </c>
      <c r="O80" s="160">
        <f>ROUNDUP(MAX(0,N80*'NM Play'!$B$11-G80)/'NM Play'!$B$13,0)</f>
        <v/>
      </c>
      <c r="P80" s="160">
        <f>ROUNDUP(MAX(0,N80*'NM Play'!$B$12-H80)/'NM Play'!$B$14,0)</f>
        <v/>
      </c>
      <c r="Q80" s="160">
        <f>(O80+IF('Sites'!$C$8="Own sheets",P80,0))/'NM Play'!$B$10</f>
        <v/>
      </c>
      <c r="R80" s="160">
        <f>O80/'NM Play'!$B$15+P80/'NM Play'!$B$16</f>
        <v/>
      </c>
      <c r="S80" s="160">
        <f>MAX(Q80,R80,N80/'NM Play'!$B$36)</f>
        <v/>
      </c>
      <c r="T80" s="160">
        <f>Q80*'NM Play'!$B$10*'NM Play'!$B$21*(1+'NM Play'!$B$35)</f>
        <v/>
      </c>
      <c r="U80" s="160">
        <f>MAX(0,T80-I80)</f>
        <v/>
      </c>
      <c r="V80" s="160">
        <f>G80+O80*'NM Play'!$B$13-N80*'NM Play'!$B$11</f>
        <v/>
      </c>
      <c r="W80" s="160">
        <f>H80+P80*'NM Play'!$B$14-N80*'NM Play'!$B$12</f>
        <v/>
      </c>
      <c r="X80" s="160">
        <f>I80+U80-T80</f>
        <v/>
      </c>
      <c r="Y80" s="160">
        <f>MIN(N80,MAX(0,ROUNDDOWN('Sites'!$L$8*'Cases'!$E$6,0)-SUM(Y78:Y79)))</f>
        <v/>
      </c>
      <c r="Z80" s="160">
        <f>N80-Y80</f>
        <v/>
      </c>
      <c r="AA80" s="160">
        <f>U80*'NM Play'!$B$22</f>
        <v/>
      </c>
      <c r="AB80" s="160">
        <f>N80*SUM('NM Play'!$B$29:$B$31)</f>
        <v/>
      </c>
      <c r="AC80" s="160">
        <f>IF('Sites'!$C$8="Defy legs",P80*'NM Play'!$B$14/'NM Play'!$B$12*'NM Play'!$B$28,0)</f>
        <v/>
      </c>
      <c r="AD80" s="160">
        <f>Q80*'NM Play'!$B$23</f>
        <v/>
      </c>
      <c r="AE80" s="160">
        <f>S80*SUM('NM Play'!$B$26,'NM Play'!$B$33:$B$34)</f>
        <v/>
      </c>
      <c r="AF80" s="160">
        <f>IF('Sites'!$D$8="NM crew",S80*SUM('NM Play'!$B$24:$B$25),0)</f>
        <v/>
      </c>
      <c r="AG80" s="160">
        <f>IF('Sites'!$D$8="NM crew",S80*'NM Play'!$B$27,0)</f>
        <v/>
      </c>
      <c r="AH80" s="160">
        <f>N80*'Sites'!$Z$8*'NM Play'!$B$32</f>
        <v/>
      </c>
      <c r="AI80" s="160">
        <f>SUM(Y80:Z80)*'Sites'!$R$8</f>
        <v/>
      </c>
      <c r="AJ80" s="160">
        <f>SUM(AA80:AH80)</f>
        <v/>
      </c>
      <c r="AK80" s="160">
        <f>AJ80+(T80-U80)*'NM Play'!$B$22+MIN(G80,N80*'NM Play'!$B$11)/'NM Play'!$B$13*'NM Play'!$B$21*'NM Play'!$B$22+MIN(H80,N80*'NM Play'!$B$12)/'NM Play'!$B$14*IF('Sites'!$C$8="Own sheets",'NM Play'!$B$21*'NM Play'!$B$22,'NM Play'!$B$28*'NM Play'!$B$14/'NM Play'!$B$12)</f>
        <v/>
      </c>
      <c r="AL80" s="160">
        <f>Y80*'Assumptions'!F66</f>
        <v/>
      </c>
      <c r="AM80" s="160">
        <f>IF('Sites'!$D$8="NM crew",S80*'NM Play'!$B$37*(1+IF(AND(ISNUMBER('NM Play'!$B$25),'NM Play'!$B$25&gt;0),1,0)),"")</f>
        <v/>
      </c>
      <c r="AN80" s="160">
        <f>IF(OR('Sites'!$E$8&lt;0,'Sites'!$E$8&gt;1,'Sites'!$F$8&lt;1,'Sites'!$G$8&lt;'Sites'!$F$8,F80&lt;0,MIN('Sites'!$I$8:'Sites'!$R$8)&lt;0,'Sites'!$L$8&gt;'Sites'!$I$8,'Sites'!$M$8&gt;'Sites'!$J$8,'Sites'!$N$8&gt;'Sites'!$K$8,'Sites'!$Z$8&lt;0,'Sites'!$Z$8&gt;1,MIN('Sites'!$AA$8:'Sites'!$AC$8)&lt;0,S80&gt;F80+0.001),1,0)</f>
        <v/>
      </c>
      <c r="AO80" s="160">
        <f>I80+U80-T80-X80</f>
        <v/>
      </c>
    </row>
    <row r="81" ht="28" customHeight="1">
      <c r="A81" s="4" t="inlineStr">
        <is>
          <t>Full</t>
        </is>
      </c>
      <c r="B81" s="4" t="inlineStr">
        <is>
          <t>NEW2</t>
        </is>
      </c>
      <c r="C81" s="160" t="n">
        <v>4</v>
      </c>
      <c r="D81" s="160">
        <f>ROUNDUP(C81/12,0)</f>
        <v/>
      </c>
      <c r="E81" s="160">
        <f>IF(AND('Sites'!$E$8*'Cases'!$F$6=1,C81&gt;='Sites'!$F$8+'Cases'!$G$6,C81&lt;='Sites'!$G$8),1,0)</f>
        <v/>
      </c>
      <c r="F81" s="160">
        <f>E81*'Assumptions'!G69</f>
        <v/>
      </c>
      <c r="G81" s="160">
        <f>V80</f>
        <v/>
      </c>
      <c r="H81" s="160">
        <f>W80</f>
        <v/>
      </c>
      <c r="I81" s="160">
        <f>X80</f>
        <v/>
      </c>
      <c r="J81" s="160">
        <f>MAX(0,'Sites'!$I$8-SUM(N78:N80))</f>
        <v/>
      </c>
      <c r="K81" s="160">
        <f>IF('Sites'!$C$8="Own sheets",MIN(ROUNDDOWN(G81/'NM Play'!$B$11,0)+F81*'NM Play'!$B$10/'NM Play'!$B$43,ROUNDDOWN(H81/'NM Play'!$B$12,0)+F81*'NM Play'!$B$10/'NM Play'!$B$44,(F81*'NM Play'!$B$10+ROUNDDOWN(G81/'NM Play'!$B$11,0)*'NM Play'!$B$43+ROUNDDOWN(H81/'NM Play'!$B$12,0)*'NM Play'!$B$44)/('NM Play'!$B$43+'NM Play'!$B$44)),ROUNDDOWN(G81/'NM Play'!$B$11,0)+F81*'NM Play'!$B$10/'NM Play'!$B$43)</f>
        <v/>
      </c>
      <c r="L81" s="160">
        <f>MIN(ROUNDDOWN(G81/'NM Play'!$B$11,0)+F81/('NM Play'!$B$43/'NM Play'!$B$15),ROUNDDOWN(H81/'NM Play'!$B$12,0)+F81/('NM Play'!$B$44/'NM Play'!$B$16),(F81+ROUNDDOWN(G81/'NM Play'!$B$11,0)*'NM Play'!$B$43/'NM Play'!$B$15+ROUNDDOWN(H81/'NM Play'!$B$12,0)*'NM Play'!$B$44/'NM Play'!$B$16)/('NM Play'!$B$43/'NM Play'!$B$15+'NM Play'!$B$44/'NM Play'!$B$16))</f>
        <v/>
      </c>
      <c r="M81" s="160">
        <f>F81*'NM Play'!$B$36</f>
        <v/>
      </c>
      <c r="N81" s="160">
        <f>ROUNDDOWN(MAX(0,MIN(J81,K81:M81)),0)</f>
        <v/>
      </c>
      <c r="O81" s="160">
        <f>ROUNDUP(MAX(0,N81*'NM Play'!$B$11-G81)/'NM Play'!$B$13,0)</f>
        <v/>
      </c>
      <c r="P81" s="160">
        <f>ROUNDUP(MAX(0,N81*'NM Play'!$B$12-H81)/'NM Play'!$B$14,0)</f>
        <v/>
      </c>
      <c r="Q81" s="160">
        <f>(O81+IF('Sites'!$C$8="Own sheets",P81,0))/'NM Play'!$B$10</f>
        <v/>
      </c>
      <c r="R81" s="160">
        <f>O81/'NM Play'!$B$15+P81/'NM Play'!$B$16</f>
        <v/>
      </c>
      <c r="S81" s="160">
        <f>MAX(Q81,R81,N81/'NM Play'!$B$36)</f>
        <v/>
      </c>
      <c r="T81" s="160">
        <f>Q81*'NM Play'!$B$10*'NM Play'!$B$21*(1+'NM Play'!$B$35)</f>
        <v/>
      </c>
      <c r="U81" s="160">
        <f>MAX(0,T81-I81)</f>
        <v/>
      </c>
      <c r="V81" s="160">
        <f>G81+O81*'NM Play'!$B$13-N81*'NM Play'!$B$11</f>
        <v/>
      </c>
      <c r="W81" s="160">
        <f>H81+P81*'NM Play'!$B$14-N81*'NM Play'!$B$12</f>
        <v/>
      </c>
      <c r="X81" s="160">
        <f>I81+U81-T81</f>
        <v/>
      </c>
      <c r="Y81" s="160">
        <f>MIN(N81,MAX(0,ROUNDDOWN('Sites'!$L$8*'Cases'!$E$6,0)-SUM(Y78:Y80)))</f>
        <v/>
      </c>
      <c r="Z81" s="160">
        <f>N81-Y81</f>
        <v/>
      </c>
      <c r="AA81" s="160">
        <f>U81*'NM Play'!$B$22</f>
        <v/>
      </c>
      <c r="AB81" s="160">
        <f>N81*SUM('NM Play'!$B$29:$B$31)</f>
        <v/>
      </c>
      <c r="AC81" s="160">
        <f>IF('Sites'!$C$8="Defy legs",P81*'NM Play'!$B$14/'NM Play'!$B$12*'NM Play'!$B$28,0)</f>
        <v/>
      </c>
      <c r="AD81" s="160">
        <f>Q81*'NM Play'!$B$23</f>
        <v/>
      </c>
      <c r="AE81" s="160">
        <f>S81*SUM('NM Play'!$B$26,'NM Play'!$B$33:$B$34)</f>
        <v/>
      </c>
      <c r="AF81" s="160">
        <f>IF('Sites'!$D$8="NM crew",S81*SUM('NM Play'!$B$24:$B$25),0)</f>
        <v/>
      </c>
      <c r="AG81" s="160">
        <f>IF('Sites'!$D$8="NM crew",S81*'NM Play'!$B$27,0)</f>
        <v/>
      </c>
      <c r="AH81" s="160">
        <f>N81*'Sites'!$Z$8*'NM Play'!$B$32</f>
        <v/>
      </c>
      <c r="AI81" s="160">
        <f>SUM(Y81:Z81)*'Sites'!$R$8</f>
        <v/>
      </c>
      <c r="AJ81" s="160">
        <f>SUM(AA81:AH81)</f>
        <v/>
      </c>
      <c r="AK81" s="160">
        <f>AJ81+(T81-U81)*'NM Play'!$B$22+MIN(G81,N81*'NM Play'!$B$11)/'NM Play'!$B$13*'NM Play'!$B$21*'NM Play'!$B$22+MIN(H81,N81*'NM Play'!$B$12)/'NM Play'!$B$14*IF('Sites'!$C$8="Own sheets",'NM Play'!$B$21*'NM Play'!$B$22,'NM Play'!$B$28*'NM Play'!$B$14/'NM Play'!$B$12)</f>
        <v/>
      </c>
      <c r="AL81" s="160">
        <f>Y81*'Assumptions'!G66</f>
        <v/>
      </c>
      <c r="AM81" s="160">
        <f>IF('Sites'!$D$8="NM crew",S81*'NM Play'!$B$37*(1+IF(AND(ISNUMBER('NM Play'!$B$25),'NM Play'!$B$25&gt;0),1,0)),"")</f>
        <v/>
      </c>
      <c r="AN81" s="160">
        <f>IF(OR('Sites'!$E$8&lt;0,'Sites'!$E$8&gt;1,'Sites'!$F$8&lt;1,'Sites'!$G$8&lt;'Sites'!$F$8,F81&lt;0,MIN('Sites'!$I$8:'Sites'!$R$8)&lt;0,'Sites'!$L$8&gt;'Sites'!$I$8,'Sites'!$M$8&gt;'Sites'!$J$8,'Sites'!$N$8&gt;'Sites'!$K$8,'Sites'!$Z$8&lt;0,'Sites'!$Z$8&gt;1,MIN('Sites'!$AA$8:'Sites'!$AC$8)&lt;0,S81&gt;F81+0.001),1,0)</f>
        <v/>
      </c>
      <c r="AO81" s="160">
        <f>I81+U81-T81-X81</f>
        <v/>
      </c>
    </row>
    <row r="82" ht="28" customHeight="1">
      <c r="A82" s="4" t="inlineStr">
        <is>
          <t>Full</t>
        </is>
      </c>
      <c r="B82" s="4" t="inlineStr">
        <is>
          <t>NEW2</t>
        </is>
      </c>
      <c r="C82" s="160" t="n">
        <v>5</v>
      </c>
      <c r="D82" s="160">
        <f>ROUNDUP(C82/12,0)</f>
        <v/>
      </c>
      <c r="E82" s="160">
        <f>IF(AND('Sites'!$E$8*'Cases'!$F$6=1,C82&gt;='Sites'!$F$8+'Cases'!$G$6,C82&lt;='Sites'!$G$8),1,0)</f>
        <v/>
      </c>
      <c r="F82" s="160">
        <f>E82*'Assumptions'!H69</f>
        <v/>
      </c>
      <c r="G82" s="160">
        <f>V81</f>
        <v/>
      </c>
      <c r="H82" s="160">
        <f>W81</f>
        <v/>
      </c>
      <c r="I82" s="160">
        <f>X81</f>
        <v/>
      </c>
      <c r="J82" s="160">
        <f>MAX(0,'Sites'!$I$8-SUM(N78:N81))</f>
        <v/>
      </c>
      <c r="K82" s="160">
        <f>IF('Sites'!$C$8="Own sheets",MIN(ROUNDDOWN(G82/'NM Play'!$B$11,0)+F82*'NM Play'!$B$10/'NM Play'!$B$43,ROUNDDOWN(H82/'NM Play'!$B$12,0)+F82*'NM Play'!$B$10/'NM Play'!$B$44,(F82*'NM Play'!$B$10+ROUNDDOWN(G82/'NM Play'!$B$11,0)*'NM Play'!$B$43+ROUNDDOWN(H82/'NM Play'!$B$12,0)*'NM Play'!$B$44)/('NM Play'!$B$43+'NM Play'!$B$44)),ROUNDDOWN(G82/'NM Play'!$B$11,0)+F82*'NM Play'!$B$10/'NM Play'!$B$43)</f>
        <v/>
      </c>
      <c r="L82" s="160">
        <f>MIN(ROUNDDOWN(G82/'NM Play'!$B$11,0)+F82/('NM Play'!$B$43/'NM Play'!$B$15),ROUNDDOWN(H82/'NM Play'!$B$12,0)+F82/('NM Play'!$B$44/'NM Play'!$B$16),(F82+ROUNDDOWN(G82/'NM Play'!$B$11,0)*'NM Play'!$B$43/'NM Play'!$B$15+ROUNDDOWN(H82/'NM Play'!$B$12,0)*'NM Play'!$B$44/'NM Play'!$B$16)/('NM Play'!$B$43/'NM Play'!$B$15+'NM Play'!$B$44/'NM Play'!$B$16))</f>
        <v/>
      </c>
      <c r="M82" s="160">
        <f>F82*'NM Play'!$B$36</f>
        <v/>
      </c>
      <c r="N82" s="160">
        <f>ROUNDDOWN(MAX(0,MIN(J82,K82:M82)),0)</f>
        <v/>
      </c>
      <c r="O82" s="160">
        <f>ROUNDUP(MAX(0,N82*'NM Play'!$B$11-G82)/'NM Play'!$B$13,0)</f>
        <v/>
      </c>
      <c r="P82" s="160">
        <f>ROUNDUP(MAX(0,N82*'NM Play'!$B$12-H82)/'NM Play'!$B$14,0)</f>
        <v/>
      </c>
      <c r="Q82" s="160">
        <f>(O82+IF('Sites'!$C$8="Own sheets",P82,0))/'NM Play'!$B$10</f>
        <v/>
      </c>
      <c r="R82" s="160">
        <f>O82/'NM Play'!$B$15+P82/'NM Play'!$B$16</f>
        <v/>
      </c>
      <c r="S82" s="160">
        <f>MAX(Q82,R82,N82/'NM Play'!$B$36)</f>
        <v/>
      </c>
      <c r="T82" s="160">
        <f>Q82*'NM Play'!$B$10*'NM Play'!$B$21*(1+'NM Play'!$B$35)</f>
        <v/>
      </c>
      <c r="U82" s="160">
        <f>MAX(0,T82-I82)</f>
        <v/>
      </c>
      <c r="V82" s="160">
        <f>G82+O82*'NM Play'!$B$13-N82*'NM Play'!$B$11</f>
        <v/>
      </c>
      <c r="W82" s="160">
        <f>H82+P82*'NM Play'!$B$14-N82*'NM Play'!$B$12</f>
        <v/>
      </c>
      <c r="X82" s="160">
        <f>I82+U82-T82</f>
        <v/>
      </c>
      <c r="Y82" s="160">
        <f>MIN(N82,MAX(0,ROUNDDOWN('Sites'!$L$8*'Cases'!$E$6,0)-SUM(Y78:Y81)))</f>
        <v/>
      </c>
      <c r="Z82" s="160">
        <f>N82-Y82</f>
        <v/>
      </c>
      <c r="AA82" s="160">
        <f>U82*'NM Play'!$B$22</f>
        <v/>
      </c>
      <c r="AB82" s="160">
        <f>N82*SUM('NM Play'!$B$29:$B$31)</f>
        <v/>
      </c>
      <c r="AC82" s="160">
        <f>IF('Sites'!$C$8="Defy legs",P82*'NM Play'!$B$14/'NM Play'!$B$12*'NM Play'!$B$28,0)</f>
        <v/>
      </c>
      <c r="AD82" s="160">
        <f>Q82*'NM Play'!$B$23</f>
        <v/>
      </c>
      <c r="AE82" s="160">
        <f>S82*SUM('NM Play'!$B$26,'NM Play'!$B$33:$B$34)</f>
        <v/>
      </c>
      <c r="AF82" s="160">
        <f>IF('Sites'!$D$8="NM crew",S82*SUM('NM Play'!$B$24:$B$25),0)</f>
        <v/>
      </c>
      <c r="AG82" s="160">
        <f>IF('Sites'!$D$8="NM crew",S82*'NM Play'!$B$27,0)</f>
        <v/>
      </c>
      <c r="AH82" s="160">
        <f>N82*'Sites'!$Z$8*'NM Play'!$B$32</f>
        <v/>
      </c>
      <c r="AI82" s="160">
        <f>SUM(Y82:Z82)*'Sites'!$R$8</f>
        <v/>
      </c>
      <c r="AJ82" s="160">
        <f>SUM(AA82:AH82)</f>
        <v/>
      </c>
      <c r="AK82" s="160">
        <f>AJ82+(T82-U82)*'NM Play'!$B$22+MIN(G82,N82*'NM Play'!$B$11)/'NM Play'!$B$13*'NM Play'!$B$21*'NM Play'!$B$22+MIN(H82,N82*'NM Play'!$B$12)/'NM Play'!$B$14*IF('Sites'!$C$8="Own sheets",'NM Play'!$B$21*'NM Play'!$B$22,'NM Play'!$B$28*'NM Play'!$B$14/'NM Play'!$B$12)</f>
        <v/>
      </c>
      <c r="AL82" s="160">
        <f>Y82*'Assumptions'!H66</f>
        <v/>
      </c>
      <c r="AM82" s="160">
        <f>IF('Sites'!$D$8="NM crew",S82*'NM Play'!$B$37*(1+IF(AND(ISNUMBER('NM Play'!$B$25),'NM Play'!$B$25&gt;0),1,0)),"")</f>
        <v/>
      </c>
      <c r="AN82" s="160">
        <f>IF(OR('Sites'!$E$8&lt;0,'Sites'!$E$8&gt;1,'Sites'!$F$8&lt;1,'Sites'!$G$8&lt;'Sites'!$F$8,F82&lt;0,MIN('Sites'!$I$8:'Sites'!$R$8)&lt;0,'Sites'!$L$8&gt;'Sites'!$I$8,'Sites'!$M$8&gt;'Sites'!$J$8,'Sites'!$N$8&gt;'Sites'!$K$8,'Sites'!$Z$8&lt;0,'Sites'!$Z$8&gt;1,MIN('Sites'!$AA$8:'Sites'!$AC$8)&lt;0,S82&gt;F82+0.001),1,0)</f>
        <v/>
      </c>
      <c r="AO82" s="160">
        <f>I82+U82-T82-X82</f>
        <v/>
      </c>
    </row>
    <row r="83" ht="28" customHeight="1">
      <c r="A83" s="4" t="inlineStr">
        <is>
          <t>Full</t>
        </is>
      </c>
      <c r="B83" s="4" t="inlineStr">
        <is>
          <t>NEW2</t>
        </is>
      </c>
      <c r="C83" s="160" t="n">
        <v>6</v>
      </c>
      <c r="D83" s="160">
        <f>ROUNDUP(C83/12,0)</f>
        <v/>
      </c>
      <c r="E83" s="160">
        <f>IF(AND('Sites'!$E$8*'Cases'!$F$6=1,C83&gt;='Sites'!$F$8+'Cases'!$G$6,C83&lt;='Sites'!$G$8),1,0)</f>
        <v/>
      </c>
      <c r="F83" s="160">
        <f>E83*'Assumptions'!I69</f>
        <v/>
      </c>
      <c r="G83" s="160">
        <f>V82</f>
        <v/>
      </c>
      <c r="H83" s="160">
        <f>W82</f>
        <v/>
      </c>
      <c r="I83" s="160">
        <f>X82</f>
        <v/>
      </c>
      <c r="J83" s="160">
        <f>MAX(0,'Sites'!$I$8-SUM(N78:N82))</f>
        <v/>
      </c>
      <c r="K83" s="160">
        <f>IF('Sites'!$C$8="Own sheets",MIN(ROUNDDOWN(G83/'NM Play'!$B$11,0)+F83*'NM Play'!$B$10/'NM Play'!$B$43,ROUNDDOWN(H83/'NM Play'!$B$12,0)+F83*'NM Play'!$B$10/'NM Play'!$B$44,(F83*'NM Play'!$B$10+ROUNDDOWN(G83/'NM Play'!$B$11,0)*'NM Play'!$B$43+ROUNDDOWN(H83/'NM Play'!$B$12,0)*'NM Play'!$B$44)/('NM Play'!$B$43+'NM Play'!$B$44)),ROUNDDOWN(G83/'NM Play'!$B$11,0)+F83*'NM Play'!$B$10/'NM Play'!$B$43)</f>
        <v/>
      </c>
      <c r="L83" s="160">
        <f>MIN(ROUNDDOWN(G83/'NM Play'!$B$11,0)+F83/('NM Play'!$B$43/'NM Play'!$B$15),ROUNDDOWN(H83/'NM Play'!$B$12,0)+F83/('NM Play'!$B$44/'NM Play'!$B$16),(F83+ROUNDDOWN(G83/'NM Play'!$B$11,0)*'NM Play'!$B$43/'NM Play'!$B$15+ROUNDDOWN(H83/'NM Play'!$B$12,0)*'NM Play'!$B$44/'NM Play'!$B$16)/('NM Play'!$B$43/'NM Play'!$B$15+'NM Play'!$B$44/'NM Play'!$B$16))</f>
        <v/>
      </c>
      <c r="M83" s="160">
        <f>F83*'NM Play'!$B$36</f>
        <v/>
      </c>
      <c r="N83" s="160">
        <f>ROUNDDOWN(MAX(0,MIN(J83,K83:M83)),0)</f>
        <v/>
      </c>
      <c r="O83" s="160">
        <f>ROUNDUP(MAX(0,N83*'NM Play'!$B$11-G83)/'NM Play'!$B$13,0)</f>
        <v/>
      </c>
      <c r="P83" s="160">
        <f>ROUNDUP(MAX(0,N83*'NM Play'!$B$12-H83)/'NM Play'!$B$14,0)</f>
        <v/>
      </c>
      <c r="Q83" s="160">
        <f>(O83+IF('Sites'!$C$8="Own sheets",P83,0))/'NM Play'!$B$10</f>
        <v/>
      </c>
      <c r="R83" s="160">
        <f>O83/'NM Play'!$B$15+P83/'NM Play'!$B$16</f>
        <v/>
      </c>
      <c r="S83" s="160">
        <f>MAX(Q83,R83,N83/'NM Play'!$B$36)</f>
        <v/>
      </c>
      <c r="T83" s="160">
        <f>Q83*'NM Play'!$B$10*'NM Play'!$B$21*(1+'NM Play'!$B$35)</f>
        <v/>
      </c>
      <c r="U83" s="160">
        <f>MAX(0,T83-I83)</f>
        <v/>
      </c>
      <c r="V83" s="160">
        <f>G83+O83*'NM Play'!$B$13-N83*'NM Play'!$B$11</f>
        <v/>
      </c>
      <c r="W83" s="160">
        <f>H83+P83*'NM Play'!$B$14-N83*'NM Play'!$B$12</f>
        <v/>
      </c>
      <c r="X83" s="160">
        <f>I83+U83-T83</f>
        <v/>
      </c>
      <c r="Y83" s="160">
        <f>MIN(N83,MAX(0,ROUNDDOWN('Sites'!$L$8*'Cases'!$E$6,0)-SUM(Y78:Y82)))</f>
        <v/>
      </c>
      <c r="Z83" s="160">
        <f>N83-Y83</f>
        <v/>
      </c>
      <c r="AA83" s="160">
        <f>U83*'NM Play'!$B$22</f>
        <v/>
      </c>
      <c r="AB83" s="160">
        <f>N83*SUM('NM Play'!$B$29:$B$31)</f>
        <v/>
      </c>
      <c r="AC83" s="160">
        <f>IF('Sites'!$C$8="Defy legs",P83*'NM Play'!$B$14/'NM Play'!$B$12*'NM Play'!$B$28,0)</f>
        <v/>
      </c>
      <c r="AD83" s="160">
        <f>Q83*'NM Play'!$B$23</f>
        <v/>
      </c>
      <c r="AE83" s="160">
        <f>S83*SUM('NM Play'!$B$26,'NM Play'!$B$33:$B$34)</f>
        <v/>
      </c>
      <c r="AF83" s="160">
        <f>IF('Sites'!$D$8="NM crew",S83*SUM('NM Play'!$B$24:$B$25),0)</f>
        <v/>
      </c>
      <c r="AG83" s="160">
        <f>IF('Sites'!$D$8="NM crew",S83*'NM Play'!$B$27,0)</f>
        <v/>
      </c>
      <c r="AH83" s="160">
        <f>N83*'Sites'!$Z$8*'NM Play'!$B$32</f>
        <v/>
      </c>
      <c r="AI83" s="160">
        <f>SUM(Y83:Z83)*'Sites'!$R$8</f>
        <v/>
      </c>
      <c r="AJ83" s="160">
        <f>SUM(AA83:AH83)</f>
        <v/>
      </c>
      <c r="AK83" s="160">
        <f>AJ83+(T83-U83)*'NM Play'!$B$22+MIN(G83,N83*'NM Play'!$B$11)/'NM Play'!$B$13*'NM Play'!$B$21*'NM Play'!$B$22+MIN(H83,N83*'NM Play'!$B$12)/'NM Play'!$B$14*IF('Sites'!$C$8="Own sheets",'NM Play'!$B$21*'NM Play'!$B$22,'NM Play'!$B$28*'NM Play'!$B$14/'NM Play'!$B$12)</f>
        <v/>
      </c>
      <c r="AL83" s="160">
        <f>Y83*'Assumptions'!I66</f>
        <v/>
      </c>
      <c r="AM83" s="160">
        <f>IF('Sites'!$D$8="NM crew",S83*'NM Play'!$B$37*(1+IF(AND(ISNUMBER('NM Play'!$B$25),'NM Play'!$B$25&gt;0),1,0)),"")</f>
        <v/>
      </c>
      <c r="AN83" s="160">
        <f>IF(OR('Sites'!$E$8&lt;0,'Sites'!$E$8&gt;1,'Sites'!$F$8&lt;1,'Sites'!$G$8&lt;'Sites'!$F$8,F83&lt;0,MIN('Sites'!$I$8:'Sites'!$R$8)&lt;0,'Sites'!$L$8&gt;'Sites'!$I$8,'Sites'!$M$8&gt;'Sites'!$J$8,'Sites'!$N$8&gt;'Sites'!$K$8,'Sites'!$Z$8&lt;0,'Sites'!$Z$8&gt;1,MIN('Sites'!$AA$8:'Sites'!$AC$8)&lt;0,S83&gt;F83+0.001),1,0)</f>
        <v/>
      </c>
      <c r="AO83" s="160">
        <f>I83+U83-T83-X83</f>
        <v/>
      </c>
    </row>
    <row r="84" ht="28" customHeight="1">
      <c r="A84" s="4" t="inlineStr">
        <is>
          <t>Full</t>
        </is>
      </c>
      <c r="B84" s="4" t="inlineStr">
        <is>
          <t>NEW2</t>
        </is>
      </c>
      <c r="C84" s="160" t="n">
        <v>7</v>
      </c>
      <c r="D84" s="160">
        <f>ROUNDUP(C84/12,0)</f>
        <v/>
      </c>
      <c r="E84" s="160">
        <f>IF(AND('Sites'!$E$8*'Cases'!$F$6=1,C84&gt;='Sites'!$F$8+'Cases'!$G$6,C84&lt;='Sites'!$G$8),1,0)</f>
        <v/>
      </c>
      <c r="F84" s="160">
        <f>E84*'Assumptions'!J69</f>
        <v/>
      </c>
      <c r="G84" s="160">
        <f>V83</f>
        <v/>
      </c>
      <c r="H84" s="160">
        <f>W83</f>
        <v/>
      </c>
      <c r="I84" s="160">
        <f>X83</f>
        <v/>
      </c>
      <c r="J84" s="160">
        <f>MAX(0,'Sites'!$I$8-SUM(N78:N83))</f>
        <v/>
      </c>
      <c r="K84" s="160">
        <f>IF('Sites'!$C$8="Own sheets",MIN(ROUNDDOWN(G84/'NM Play'!$B$11,0)+F84*'NM Play'!$B$10/'NM Play'!$B$43,ROUNDDOWN(H84/'NM Play'!$B$12,0)+F84*'NM Play'!$B$10/'NM Play'!$B$44,(F84*'NM Play'!$B$10+ROUNDDOWN(G84/'NM Play'!$B$11,0)*'NM Play'!$B$43+ROUNDDOWN(H84/'NM Play'!$B$12,0)*'NM Play'!$B$44)/('NM Play'!$B$43+'NM Play'!$B$44)),ROUNDDOWN(G84/'NM Play'!$B$11,0)+F84*'NM Play'!$B$10/'NM Play'!$B$43)</f>
        <v/>
      </c>
      <c r="L84" s="160">
        <f>MIN(ROUNDDOWN(G84/'NM Play'!$B$11,0)+F84/('NM Play'!$B$43/'NM Play'!$B$15),ROUNDDOWN(H84/'NM Play'!$B$12,0)+F84/('NM Play'!$B$44/'NM Play'!$B$16),(F84+ROUNDDOWN(G84/'NM Play'!$B$11,0)*'NM Play'!$B$43/'NM Play'!$B$15+ROUNDDOWN(H84/'NM Play'!$B$12,0)*'NM Play'!$B$44/'NM Play'!$B$16)/('NM Play'!$B$43/'NM Play'!$B$15+'NM Play'!$B$44/'NM Play'!$B$16))</f>
        <v/>
      </c>
      <c r="M84" s="160">
        <f>F84*'NM Play'!$B$36</f>
        <v/>
      </c>
      <c r="N84" s="160">
        <f>ROUNDDOWN(MAX(0,MIN(J84,K84:M84)),0)</f>
        <v/>
      </c>
      <c r="O84" s="160">
        <f>ROUNDUP(MAX(0,N84*'NM Play'!$B$11-G84)/'NM Play'!$B$13,0)</f>
        <v/>
      </c>
      <c r="P84" s="160">
        <f>ROUNDUP(MAX(0,N84*'NM Play'!$B$12-H84)/'NM Play'!$B$14,0)</f>
        <v/>
      </c>
      <c r="Q84" s="160">
        <f>(O84+IF('Sites'!$C$8="Own sheets",P84,0))/'NM Play'!$B$10</f>
        <v/>
      </c>
      <c r="R84" s="160">
        <f>O84/'NM Play'!$B$15+P84/'NM Play'!$B$16</f>
        <v/>
      </c>
      <c r="S84" s="160">
        <f>MAX(Q84,R84,N84/'NM Play'!$B$36)</f>
        <v/>
      </c>
      <c r="T84" s="160">
        <f>Q84*'NM Play'!$B$10*'NM Play'!$B$21*(1+'NM Play'!$B$35)</f>
        <v/>
      </c>
      <c r="U84" s="160">
        <f>MAX(0,T84-I84)</f>
        <v/>
      </c>
      <c r="V84" s="160">
        <f>G84+O84*'NM Play'!$B$13-N84*'NM Play'!$B$11</f>
        <v/>
      </c>
      <c r="W84" s="160">
        <f>H84+P84*'NM Play'!$B$14-N84*'NM Play'!$B$12</f>
        <v/>
      </c>
      <c r="X84" s="160">
        <f>I84+U84-T84</f>
        <v/>
      </c>
      <c r="Y84" s="160">
        <f>MIN(N84,MAX(0,ROUNDDOWN('Sites'!$L$8*'Cases'!$E$6,0)-SUM(Y78:Y83)))</f>
        <v/>
      </c>
      <c r="Z84" s="160">
        <f>N84-Y84</f>
        <v/>
      </c>
      <c r="AA84" s="160">
        <f>U84*'NM Play'!$B$22</f>
        <v/>
      </c>
      <c r="AB84" s="160">
        <f>N84*SUM('NM Play'!$B$29:$B$31)</f>
        <v/>
      </c>
      <c r="AC84" s="160">
        <f>IF('Sites'!$C$8="Defy legs",P84*'NM Play'!$B$14/'NM Play'!$B$12*'NM Play'!$B$28,0)</f>
        <v/>
      </c>
      <c r="AD84" s="160">
        <f>Q84*'NM Play'!$B$23</f>
        <v/>
      </c>
      <c r="AE84" s="160">
        <f>S84*SUM('NM Play'!$B$26,'NM Play'!$B$33:$B$34)</f>
        <v/>
      </c>
      <c r="AF84" s="160">
        <f>IF('Sites'!$D$8="NM crew",S84*SUM('NM Play'!$B$24:$B$25),0)</f>
        <v/>
      </c>
      <c r="AG84" s="160">
        <f>IF('Sites'!$D$8="NM crew",S84*'NM Play'!$B$27,0)</f>
        <v/>
      </c>
      <c r="AH84" s="160">
        <f>N84*'Sites'!$Z$8*'NM Play'!$B$32</f>
        <v/>
      </c>
      <c r="AI84" s="160">
        <f>SUM(Y84:Z84)*'Sites'!$R$8</f>
        <v/>
      </c>
      <c r="AJ84" s="160">
        <f>SUM(AA84:AH84)</f>
        <v/>
      </c>
      <c r="AK84" s="160">
        <f>AJ84+(T84-U84)*'NM Play'!$B$22+MIN(G84,N84*'NM Play'!$B$11)/'NM Play'!$B$13*'NM Play'!$B$21*'NM Play'!$B$22+MIN(H84,N84*'NM Play'!$B$12)/'NM Play'!$B$14*IF('Sites'!$C$8="Own sheets",'NM Play'!$B$21*'NM Play'!$B$22,'NM Play'!$B$28*'NM Play'!$B$14/'NM Play'!$B$12)</f>
        <v/>
      </c>
      <c r="AL84" s="160">
        <f>Y84*'Assumptions'!J66</f>
        <v/>
      </c>
      <c r="AM84" s="160">
        <f>IF('Sites'!$D$8="NM crew",S84*'NM Play'!$B$37*(1+IF(AND(ISNUMBER('NM Play'!$B$25),'NM Play'!$B$25&gt;0),1,0)),"")</f>
        <v/>
      </c>
      <c r="AN84" s="160">
        <f>IF(OR('Sites'!$E$8&lt;0,'Sites'!$E$8&gt;1,'Sites'!$F$8&lt;1,'Sites'!$G$8&lt;'Sites'!$F$8,F84&lt;0,MIN('Sites'!$I$8:'Sites'!$R$8)&lt;0,'Sites'!$L$8&gt;'Sites'!$I$8,'Sites'!$M$8&gt;'Sites'!$J$8,'Sites'!$N$8&gt;'Sites'!$K$8,'Sites'!$Z$8&lt;0,'Sites'!$Z$8&gt;1,MIN('Sites'!$AA$8:'Sites'!$AC$8)&lt;0,S84&gt;F84+0.001),1,0)</f>
        <v/>
      </c>
      <c r="AO84" s="160">
        <f>I84+U84-T84-X84</f>
        <v/>
      </c>
    </row>
    <row r="85" ht="28" customHeight="1">
      <c r="A85" s="4" t="inlineStr">
        <is>
          <t>Full</t>
        </is>
      </c>
      <c r="B85" s="4" t="inlineStr">
        <is>
          <t>NEW2</t>
        </is>
      </c>
      <c r="C85" s="160" t="n">
        <v>8</v>
      </c>
      <c r="D85" s="160">
        <f>ROUNDUP(C85/12,0)</f>
        <v/>
      </c>
      <c r="E85" s="160">
        <f>IF(AND('Sites'!$E$8*'Cases'!$F$6=1,C85&gt;='Sites'!$F$8+'Cases'!$G$6,C85&lt;='Sites'!$G$8),1,0)</f>
        <v/>
      </c>
      <c r="F85" s="160">
        <f>E85*'Assumptions'!K69</f>
        <v/>
      </c>
      <c r="G85" s="160">
        <f>V84</f>
        <v/>
      </c>
      <c r="H85" s="160">
        <f>W84</f>
        <v/>
      </c>
      <c r="I85" s="160">
        <f>X84</f>
        <v/>
      </c>
      <c r="J85" s="160">
        <f>MAX(0,'Sites'!$I$8-SUM(N78:N84))</f>
        <v/>
      </c>
      <c r="K85" s="160">
        <f>IF('Sites'!$C$8="Own sheets",MIN(ROUNDDOWN(G85/'NM Play'!$B$11,0)+F85*'NM Play'!$B$10/'NM Play'!$B$43,ROUNDDOWN(H85/'NM Play'!$B$12,0)+F85*'NM Play'!$B$10/'NM Play'!$B$44,(F85*'NM Play'!$B$10+ROUNDDOWN(G85/'NM Play'!$B$11,0)*'NM Play'!$B$43+ROUNDDOWN(H85/'NM Play'!$B$12,0)*'NM Play'!$B$44)/('NM Play'!$B$43+'NM Play'!$B$44)),ROUNDDOWN(G85/'NM Play'!$B$11,0)+F85*'NM Play'!$B$10/'NM Play'!$B$43)</f>
        <v/>
      </c>
      <c r="L85" s="160">
        <f>MIN(ROUNDDOWN(G85/'NM Play'!$B$11,0)+F85/('NM Play'!$B$43/'NM Play'!$B$15),ROUNDDOWN(H85/'NM Play'!$B$12,0)+F85/('NM Play'!$B$44/'NM Play'!$B$16),(F85+ROUNDDOWN(G85/'NM Play'!$B$11,0)*'NM Play'!$B$43/'NM Play'!$B$15+ROUNDDOWN(H85/'NM Play'!$B$12,0)*'NM Play'!$B$44/'NM Play'!$B$16)/('NM Play'!$B$43/'NM Play'!$B$15+'NM Play'!$B$44/'NM Play'!$B$16))</f>
        <v/>
      </c>
      <c r="M85" s="160">
        <f>F85*'NM Play'!$B$36</f>
        <v/>
      </c>
      <c r="N85" s="160">
        <f>ROUNDDOWN(MAX(0,MIN(J85,K85:M85)),0)</f>
        <v/>
      </c>
      <c r="O85" s="160">
        <f>ROUNDUP(MAX(0,N85*'NM Play'!$B$11-G85)/'NM Play'!$B$13,0)</f>
        <v/>
      </c>
      <c r="P85" s="160">
        <f>ROUNDUP(MAX(0,N85*'NM Play'!$B$12-H85)/'NM Play'!$B$14,0)</f>
        <v/>
      </c>
      <c r="Q85" s="160">
        <f>(O85+IF('Sites'!$C$8="Own sheets",P85,0))/'NM Play'!$B$10</f>
        <v/>
      </c>
      <c r="R85" s="160">
        <f>O85/'NM Play'!$B$15+P85/'NM Play'!$B$16</f>
        <v/>
      </c>
      <c r="S85" s="160">
        <f>MAX(Q85,R85,N85/'NM Play'!$B$36)</f>
        <v/>
      </c>
      <c r="T85" s="160">
        <f>Q85*'NM Play'!$B$10*'NM Play'!$B$21*(1+'NM Play'!$B$35)</f>
        <v/>
      </c>
      <c r="U85" s="160">
        <f>MAX(0,T85-I85)</f>
        <v/>
      </c>
      <c r="V85" s="160">
        <f>G85+O85*'NM Play'!$B$13-N85*'NM Play'!$B$11</f>
        <v/>
      </c>
      <c r="W85" s="160">
        <f>H85+P85*'NM Play'!$B$14-N85*'NM Play'!$B$12</f>
        <v/>
      </c>
      <c r="X85" s="160">
        <f>I85+U85-T85</f>
        <v/>
      </c>
      <c r="Y85" s="160">
        <f>MIN(N85,MAX(0,ROUNDDOWN('Sites'!$L$8*'Cases'!$E$6,0)-SUM(Y78:Y84)))</f>
        <v/>
      </c>
      <c r="Z85" s="160">
        <f>N85-Y85</f>
        <v/>
      </c>
      <c r="AA85" s="160">
        <f>U85*'NM Play'!$B$22</f>
        <v/>
      </c>
      <c r="AB85" s="160">
        <f>N85*SUM('NM Play'!$B$29:$B$31)</f>
        <v/>
      </c>
      <c r="AC85" s="160">
        <f>IF('Sites'!$C$8="Defy legs",P85*'NM Play'!$B$14/'NM Play'!$B$12*'NM Play'!$B$28,0)</f>
        <v/>
      </c>
      <c r="AD85" s="160">
        <f>Q85*'NM Play'!$B$23</f>
        <v/>
      </c>
      <c r="AE85" s="160">
        <f>S85*SUM('NM Play'!$B$26,'NM Play'!$B$33:$B$34)</f>
        <v/>
      </c>
      <c r="AF85" s="160">
        <f>IF('Sites'!$D$8="NM crew",S85*SUM('NM Play'!$B$24:$B$25),0)</f>
        <v/>
      </c>
      <c r="AG85" s="160">
        <f>IF('Sites'!$D$8="NM crew",S85*'NM Play'!$B$27,0)</f>
        <v/>
      </c>
      <c r="AH85" s="160">
        <f>N85*'Sites'!$Z$8*'NM Play'!$B$32</f>
        <v/>
      </c>
      <c r="AI85" s="160">
        <f>SUM(Y85:Z85)*'Sites'!$R$8</f>
        <v/>
      </c>
      <c r="AJ85" s="160">
        <f>SUM(AA85:AH85)</f>
        <v/>
      </c>
      <c r="AK85" s="160">
        <f>AJ85+(T85-U85)*'NM Play'!$B$22+MIN(G85,N85*'NM Play'!$B$11)/'NM Play'!$B$13*'NM Play'!$B$21*'NM Play'!$B$22+MIN(H85,N85*'NM Play'!$B$12)/'NM Play'!$B$14*IF('Sites'!$C$8="Own sheets",'NM Play'!$B$21*'NM Play'!$B$22,'NM Play'!$B$28*'NM Play'!$B$14/'NM Play'!$B$12)</f>
        <v/>
      </c>
      <c r="AL85" s="160">
        <f>Y85*'Assumptions'!K66</f>
        <v/>
      </c>
      <c r="AM85" s="160">
        <f>IF('Sites'!$D$8="NM crew",S85*'NM Play'!$B$37*(1+IF(AND(ISNUMBER('NM Play'!$B$25),'NM Play'!$B$25&gt;0),1,0)),"")</f>
        <v/>
      </c>
      <c r="AN85" s="160">
        <f>IF(OR('Sites'!$E$8&lt;0,'Sites'!$E$8&gt;1,'Sites'!$F$8&lt;1,'Sites'!$G$8&lt;'Sites'!$F$8,F85&lt;0,MIN('Sites'!$I$8:'Sites'!$R$8)&lt;0,'Sites'!$L$8&gt;'Sites'!$I$8,'Sites'!$M$8&gt;'Sites'!$J$8,'Sites'!$N$8&gt;'Sites'!$K$8,'Sites'!$Z$8&lt;0,'Sites'!$Z$8&gt;1,MIN('Sites'!$AA$8:'Sites'!$AC$8)&lt;0,S85&gt;F85+0.001),1,0)</f>
        <v/>
      </c>
      <c r="AO85" s="160">
        <f>I85+U85-T85-X85</f>
        <v/>
      </c>
    </row>
    <row r="86" ht="28" customHeight="1">
      <c r="A86" s="4" t="inlineStr">
        <is>
          <t>Full</t>
        </is>
      </c>
      <c r="B86" s="4" t="inlineStr">
        <is>
          <t>NEW2</t>
        </is>
      </c>
      <c r="C86" s="160" t="n">
        <v>9</v>
      </c>
      <c r="D86" s="160">
        <f>ROUNDUP(C86/12,0)</f>
        <v/>
      </c>
      <c r="E86" s="160">
        <f>IF(AND('Sites'!$E$8*'Cases'!$F$6=1,C86&gt;='Sites'!$F$8+'Cases'!$G$6,C86&lt;='Sites'!$G$8),1,0)</f>
        <v/>
      </c>
      <c r="F86" s="160">
        <f>E86*'Assumptions'!L69</f>
        <v/>
      </c>
      <c r="G86" s="160">
        <f>V85</f>
        <v/>
      </c>
      <c r="H86" s="160">
        <f>W85</f>
        <v/>
      </c>
      <c r="I86" s="160">
        <f>X85</f>
        <v/>
      </c>
      <c r="J86" s="160">
        <f>MAX(0,'Sites'!$I$8-SUM(N78:N85))</f>
        <v/>
      </c>
      <c r="K86" s="160">
        <f>IF('Sites'!$C$8="Own sheets",MIN(ROUNDDOWN(G86/'NM Play'!$B$11,0)+F86*'NM Play'!$B$10/'NM Play'!$B$43,ROUNDDOWN(H86/'NM Play'!$B$12,0)+F86*'NM Play'!$B$10/'NM Play'!$B$44,(F86*'NM Play'!$B$10+ROUNDDOWN(G86/'NM Play'!$B$11,0)*'NM Play'!$B$43+ROUNDDOWN(H86/'NM Play'!$B$12,0)*'NM Play'!$B$44)/('NM Play'!$B$43+'NM Play'!$B$44)),ROUNDDOWN(G86/'NM Play'!$B$11,0)+F86*'NM Play'!$B$10/'NM Play'!$B$43)</f>
        <v/>
      </c>
      <c r="L86" s="160">
        <f>MIN(ROUNDDOWN(G86/'NM Play'!$B$11,0)+F86/('NM Play'!$B$43/'NM Play'!$B$15),ROUNDDOWN(H86/'NM Play'!$B$12,0)+F86/('NM Play'!$B$44/'NM Play'!$B$16),(F86+ROUNDDOWN(G86/'NM Play'!$B$11,0)*'NM Play'!$B$43/'NM Play'!$B$15+ROUNDDOWN(H86/'NM Play'!$B$12,0)*'NM Play'!$B$44/'NM Play'!$B$16)/('NM Play'!$B$43/'NM Play'!$B$15+'NM Play'!$B$44/'NM Play'!$B$16))</f>
        <v/>
      </c>
      <c r="M86" s="160">
        <f>F86*'NM Play'!$B$36</f>
        <v/>
      </c>
      <c r="N86" s="160">
        <f>ROUNDDOWN(MAX(0,MIN(J86,K86:M86)),0)</f>
        <v/>
      </c>
      <c r="O86" s="160">
        <f>ROUNDUP(MAX(0,N86*'NM Play'!$B$11-G86)/'NM Play'!$B$13,0)</f>
        <v/>
      </c>
      <c r="P86" s="160">
        <f>ROUNDUP(MAX(0,N86*'NM Play'!$B$12-H86)/'NM Play'!$B$14,0)</f>
        <v/>
      </c>
      <c r="Q86" s="160">
        <f>(O86+IF('Sites'!$C$8="Own sheets",P86,0))/'NM Play'!$B$10</f>
        <v/>
      </c>
      <c r="R86" s="160">
        <f>O86/'NM Play'!$B$15+P86/'NM Play'!$B$16</f>
        <v/>
      </c>
      <c r="S86" s="160">
        <f>MAX(Q86,R86,N86/'NM Play'!$B$36)</f>
        <v/>
      </c>
      <c r="T86" s="160">
        <f>Q86*'NM Play'!$B$10*'NM Play'!$B$21*(1+'NM Play'!$B$35)</f>
        <v/>
      </c>
      <c r="U86" s="160">
        <f>MAX(0,T86-I86)</f>
        <v/>
      </c>
      <c r="V86" s="160">
        <f>G86+O86*'NM Play'!$B$13-N86*'NM Play'!$B$11</f>
        <v/>
      </c>
      <c r="W86" s="160">
        <f>H86+P86*'NM Play'!$B$14-N86*'NM Play'!$B$12</f>
        <v/>
      </c>
      <c r="X86" s="160">
        <f>I86+U86-T86</f>
        <v/>
      </c>
      <c r="Y86" s="160">
        <f>MIN(N86,MAX(0,ROUNDDOWN('Sites'!$L$8*'Cases'!$E$6,0)-SUM(Y78:Y85)))</f>
        <v/>
      </c>
      <c r="Z86" s="160">
        <f>N86-Y86</f>
        <v/>
      </c>
      <c r="AA86" s="160">
        <f>U86*'NM Play'!$B$22</f>
        <v/>
      </c>
      <c r="AB86" s="160">
        <f>N86*SUM('NM Play'!$B$29:$B$31)</f>
        <v/>
      </c>
      <c r="AC86" s="160">
        <f>IF('Sites'!$C$8="Defy legs",P86*'NM Play'!$B$14/'NM Play'!$B$12*'NM Play'!$B$28,0)</f>
        <v/>
      </c>
      <c r="AD86" s="160">
        <f>Q86*'NM Play'!$B$23</f>
        <v/>
      </c>
      <c r="AE86" s="160">
        <f>S86*SUM('NM Play'!$B$26,'NM Play'!$B$33:$B$34)</f>
        <v/>
      </c>
      <c r="AF86" s="160">
        <f>IF('Sites'!$D$8="NM crew",S86*SUM('NM Play'!$B$24:$B$25),0)</f>
        <v/>
      </c>
      <c r="AG86" s="160">
        <f>IF('Sites'!$D$8="NM crew",S86*'NM Play'!$B$27,0)</f>
        <v/>
      </c>
      <c r="AH86" s="160">
        <f>N86*'Sites'!$Z$8*'NM Play'!$B$32</f>
        <v/>
      </c>
      <c r="AI86" s="160">
        <f>SUM(Y86:Z86)*'Sites'!$R$8</f>
        <v/>
      </c>
      <c r="AJ86" s="160">
        <f>SUM(AA86:AH86)</f>
        <v/>
      </c>
      <c r="AK86" s="160">
        <f>AJ86+(T86-U86)*'NM Play'!$B$22+MIN(G86,N86*'NM Play'!$B$11)/'NM Play'!$B$13*'NM Play'!$B$21*'NM Play'!$B$22+MIN(H86,N86*'NM Play'!$B$12)/'NM Play'!$B$14*IF('Sites'!$C$8="Own sheets",'NM Play'!$B$21*'NM Play'!$B$22,'NM Play'!$B$28*'NM Play'!$B$14/'NM Play'!$B$12)</f>
        <v/>
      </c>
      <c r="AL86" s="160">
        <f>Y86*'Assumptions'!L66</f>
        <v/>
      </c>
      <c r="AM86" s="160">
        <f>IF('Sites'!$D$8="NM crew",S86*'NM Play'!$B$37*(1+IF(AND(ISNUMBER('NM Play'!$B$25),'NM Play'!$B$25&gt;0),1,0)),"")</f>
        <v/>
      </c>
      <c r="AN86" s="160">
        <f>IF(OR('Sites'!$E$8&lt;0,'Sites'!$E$8&gt;1,'Sites'!$F$8&lt;1,'Sites'!$G$8&lt;'Sites'!$F$8,F86&lt;0,MIN('Sites'!$I$8:'Sites'!$R$8)&lt;0,'Sites'!$L$8&gt;'Sites'!$I$8,'Sites'!$M$8&gt;'Sites'!$J$8,'Sites'!$N$8&gt;'Sites'!$K$8,'Sites'!$Z$8&lt;0,'Sites'!$Z$8&gt;1,MIN('Sites'!$AA$8:'Sites'!$AC$8)&lt;0,S86&gt;F86+0.001),1,0)</f>
        <v/>
      </c>
      <c r="AO86" s="160">
        <f>I86+U86-T86-X86</f>
        <v/>
      </c>
    </row>
    <row r="87" ht="28" customHeight="1">
      <c r="A87" s="4" t="inlineStr">
        <is>
          <t>Full</t>
        </is>
      </c>
      <c r="B87" s="4" t="inlineStr">
        <is>
          <t>NEW2</t>
        </is>
      </c>
      <c r="C87" s="160" t="n">
        <v>10</v>
      </c>
      <c r="D87" s="160">
        <f>ROUNDUP(C87/12,0)</f>
        <v/>
      </c>
      <c r="E87" s="160">
        <f>IF(AND('Sites'!$E$8*'Cases'!$F$6=1,C87&gt;='Sites'!$F$8+'Cases'!$G$6,C87&lt;='Sites'!$G$8),1,0)</f>
        <v/>
      </c>
      <c r="F87" s="160">
        <f>E87*'Assumptions'!M69</f>
        <v/>
      </c>
      <c r="G87" s="160">
        <f>V86</f>
        <v/>
      </c>
      <c r="H87" s="160">
        <f>W86</f>
        <v/>
      </c>
      <c r="I87" s="160">
        <f>X86</f>
        <v/>
      </c>
      <c r="J87" s="160">
        <f>MAX(0,'Sites'!$I$8-SUM(N78:N86))</f>
        <v/>
      </c>
      <c r="K87" s="160">
        <f>IF('Sites'!$C$8="Own sheets",MIN(ROUNDDOWN(G87/'NM Play'!$B$11,0)+F87*'NM Play'!$B$10/'NM Play'!$B$43,ROUNDDOWN(H87/'NM Play'!$B$12,0)+F87*'NM Play'!$B$10/'NM Play'!$B$44,(F87*'NM Play'!$B$10+ROUNDDOWN(G87/'NM Play'!$B$11,0)*'NM Play'!$B$43+ROUNDDOWN(H87/'NM Play'!$B$12,0)*'NM Play'!$B$44)/('NM Play'!$B$43+'NM Play'!$B$44)),ROUNDDOWN(G87/'NM Play'!$B$11,0)+F87*'NM Play'!$B$10/'NM Play'!$B$43)</f>
        <v/>
      </c>
      <c r="L87" s="160">
        <f>MIN(ROUNDDOWN(G87/'NM Play'!$B$11,0)+F87/('NM Play'!$B$43/'NM Play'!$B$15),ROUNDDOWN(H87/'NM Play'!$B$12,0)+F87/('NM Play'!$B$44/'NM Play'!$B$16),(F87+ROUNDDOWN(G87/'NM Play'!$B$11,0)*'NM Play'!$B$43/'NM Play'!$B$15+ROUNDDOWN(H87/'NM Play'!$B$12,0)*'NM Play'!$B$44/'NM Play'!$B$16)/('NM Play'!$B$43/'NM Play'!$B$15+'NM Play'!$B$44/'NM Play'!$B$16))</f>
        <v/>
      </c>
      <c r="M87" s="160">
        <f>F87*'NM Play'!$B$36</f>
        <v/>
      </c>
      <c r="N87" s="160">
        <f>ROUNDDOWN(MAX(0,MIN(J87,K87:M87)),0)</f>
        <v/>
      </c>
      <c r="O87" s="160">
        <f>ROUNDUP(MAX(0,N87*'NM Play'!$B$11-G87)/'NM Play'!$B$13,0)</f>
        <v/>
      </c>
      <c r="P87" s="160">
        <f>ROUNDUP(MAX(0,N87*'NM Play'!$B$12-H87)/'NM Play'!$B$14,0)</f>
        <v/>
      </c>
      <c r="Q87" s="160">
        <f>(O87+IF('Sites'!$C$8="Own sheets",P87,0))/'NM Play'!$B$10</f>
        <v/>
      </c>
      <c r="R87" s="160">
        <f>O87/'NM Play'!$B$15+P87/'NM Play'!$B$16</f>
        <v/>
      </c>
      <c r="S87" s="160">
        <f>MAX(Q87,R87,N87/'NM Play'!$B$36)</f>
        <v/>
      </c>
      <c r="T87" s="160">
        <f>Q87*'NM Play'!$B$10*'NM Play'!$B$21*(1+'NM Play'!$B$35)</f>
        <v/>
      </c>
      <c r="U87" s="160">
        <f>MAX(0,T87-I87)</f>
        <v/>
      </c>
      <c r="V87" s="160">
        <f>G87+O87*'NM Play'!$B$13-N87*'NM Play'!$B$11</f>
        <v/>
      </c>
      <c r="W87" s="160">
        <f>H87+P87*'NM Play'!$B$14-N87*'NM Play'!$B$12</f>
        <v/>
      </c>
      <c r="X87" s="160">
        <f>I87+U87-T87</f>
        <v/>
      </c>
      <c r="Y87" s="160">
        <f>MIN(N87,MAX(0,ROUNDDOWN('Sites'!$L$8*'Cases'!$E$6,0)-SUM(Y78:Y86)))</f>
        <v/>
      </c>
      <c r="Z87" s="160">
        <f>N87-Y87</f>
        <v/>
      </c>
      <c r="AA87" s="160">
        <f>U87*'NM Play'!$B$22</f>
        <v/>
      </c>
      <c r="AB87" s="160">
        <f>N87*SUM('NM Play'!$B$29:$B$31)</f>
        <v/>
      </c>
      <c r="AC87" s="160">
        <f>IF('Sites'!$C$8="Defy legs",P87*'NM Play'!$B$14/'NM Play'!$B$12*'NM Play'!$B$28,0)</f>
        <v/>
      </c>
      <c r="AD87" s="160">
        <f>Q87*'NM Play'!$B$23</f>
        <v/>
      </c>
      <c r="AE87" s="160">
        <f>S87*SUM('NM Play'!$B$26,'NM Play'!$B$33:$B$34)</f>
        <v/>
      </c>
      <c r="AF87" s="160">
        <f>IF('Sites'!$D$8="NM crew",S87*SUM('NM Play'!$B$24:$B$25),0)</f>
        <v/>
      </c>
      <c r="AG87" s="160">
        <f>IF('Sites'!$D$8="NM crew",S87*'NM Play'!$B$27,0)</f>
        <v/>
      </c>
      <c r="AH87" s="160">
        <f>N87*'Sites'!$Z$8*'NM Play'!$B$32</f>
        <v/>
      </c>
      <c r="AI87" s="160">
        <f>SUM(Y87:Z87)*'Sites'!$R$8</f>
        <v/>
      </c>
      <c r="AJ87" s="160">
        <f>SUM(AA87:AH87)</f>
        <v/>
      </c>
      <c r="AK87" s="160">
        <f>AJ87+(T87-U87)*'NM Play'!$B$22+MIN(G87,N87*'NM Play'!$B$11)/'NM Play'!$B$13*'NM Play'!$B$21*'NM Play'!$B$22+MIN(H87,N87*'NM Play'!$B$12)/'NM Play'!$B$14*IF('Sites'!$C$8="Own sheets",'NM Play'!$B$21*'NM Play'!$B$22,'NM Play'!$B$28*'NM Play'!$B$14/'NM Play'!$B$12)</f>
        <v/>
      </c>
      <c r="AL87" s="160">
        <f>Y87*'Assumptions'!M66</f>
        <v/>
      </c>
      <c r="AM87" s="160">
        <f>IF('Sites'!$D$8="NM crew",S87*'NM Play'!$B$37*(1+IF(AND(ISNUMBER('NM Play'!$B$25),'NM Play'!$B$25&gt;0),1,0)),"")</f>
        <v/>
      </c>
      <c r="AN87" s="160">
        <f>IF(OR('Sites'!$E$8&lt;0,'Sites'!$E$8&gt;1,'Sites'!$F$8&lt;1,'Sites'!$G$8&lt;'Sites'!$F$8,F87&lt;0,MIN('Sites'!$I$8:'Sites'!$R$8)&lt;0,'Sites'!$L$8&gt;'Sites'!$I$8,'Sites'!$M$8&gt;'Sites'!$J$8,'Sites'!$N$8&gt;'Sites'!$K$8,'Sites'!$Z$8&lt;0,'Sites'!$Z$8&gt;1,MIN('Sites'!$AA$8:'Sites'!$AC$8)&lt;0,S87&gt;F87+0.001),1,0)</f>
        <v/>
      </c>
      <c r="AO87" s="160">
        <f>I87+U87-T87-X87</f>
        <v/>
      </c>
    </row>
    <row r="88" ht="28" customHeight="1">
      <c r="A88" s="4" t="inlineStr">
        <is>
          <t>Full</t>
        </is>
      </c>
      <c r="B88" s="4" t="inlineStr">
        <is>
          <t>NEW2</t>
        </is>
      </c>
      <c r="C88" s="160" t="n">
        <v>11</v>
      </c>
      <c r="D88" s="160">
        <f>ROUNDUP(C88/12,0)</f>
        <v/>
      </c>
      <c r="E88" s="160">
        <f>IF(AND('Sites'!$E$8*'Cases'!$F$6=1,C88&gt;='Sites'!$F$8+'Cases'!$G$6,C88&lt;='Sites'!$G$8),1,0)</f>
        <v/>
      </c>
      <c r="F88" s="160">
        <f>E88*'Assumptions'!N69</f>
        <v/>
      </c>
      <c r="G88" s="160">
        <f>V87</f>
        <v/>
      </c>
      <c r="H88" s="160">
        <f>W87</f>
        <v/>
      </c>
      <c r="I88" s="160">
        <f>X87</f>
        <v/>
      </c>
      <c r="J88" s="160">
        <f>MAX(0,'Sites'!$I$8-SUM(N78:N87))</f>
        <v/>
      </c>
      <c r="K88" s="160">
        <f>IF('Sites'!$C$8="Own sheets",MIN(ROUNDDOWN(G88/'NM Play'!$B$11,0)+F88*'NM Play'!$B$10/'NM Play'!$B$43,ROUNDDOWN(H88/'NM Play'!$B$12,0)+F88*'NM Play'!$B$10/'NM Play'!$B$44,(F88*'NM Play'!$B$10+ROUNDDOWN(G88/'NM Play'!$B$11,0)*'NM Play'!$B$43+ROUNDDOWN(H88/'NM Play'!$B$12,0)*'NM Play'!$B$44)/('NM Play'!$B$43+'NM Play'!$B$44)),ROUNDDOWN(G88/'NM Play'!$B$11,0)+F88*'NM Play'!$B$10/'NM Play'!$B$43)</f>
        <v/>
      </c>
      <c r="L88" s="160">
        <f>MIN(ROUNDDOWN(G88/'NM Play'!$B$11,0)+F88/('NM Play'!$B$43/'NM Play'!$B$15),ROUNDDOWN(H88/'NM Play'!$B$12,0)+F88/('NM Play'!$B$44/'NM Play'!$B$16),(F88+ROUNDDOWN(G88/'NM Play'!$B$11,0)*'NM Play'!$B$43/'NM Play'!$B$15+ROUNDDOWN(H88/'NM Play'!$B$12,0)*'NM Play'!$B$44/'NM Play'!$B$16)/('NM Play'!$B$43/'NM Play'!$B$15+'NM Play'!$B$44/'NM Play'!$B$16))</f>
        <v/>
      </c>
      <c r="M88" s="160">
        <f>F88*'NM Play'!$B$36</f>
        <v/>
      </c>
      <c r="N88" s="160">
        <f>ROUNDDOWN(MAX(0,MIN(J88,K88:M88)),0)</f>
        <v/>
      </c>
      <c r="O88" s="160">
        <f>ROUNDUP(MAX(0,N88*'NM Play'!$B$11-G88)/'NM Play'!$B$13,0)</f>
        <v/>
      </c>
      <c r="P88" s="160">
        <f>ROUNDUP(MAX(0,N88*'NM Play'!$B$12-H88)/'NM Play'!$B$14,0)</f>
        <v/>
      </c>
      <c r="Q88" s="160">
        <f>(O88+IF('Sites'!$C$8="Own sheets",P88,0))/'NM Play'!$B$10</f>
        <v/>
      </c>
      <c r="R88" s="160">
        <f>O88/'NM Play'!$B$15+P88/'NM Play'!$B$16</f>
        <v/>
      </c>
      <c r="S88" s="160">
        <f>MAX(Q88,R88,N88/'NM Play'!$B$36)</f>
        <v/>
      </c>
      <c r="T88" s="160">
        <f>Q88*'NM Play'!$B$10*'NM Play'!$B$21*(1+'NM Play'!$B$35)</f>
        <v/>
      </c>
      <c r="U88" s="160">
        <f>MAX(0,T88-I88)</f>
        <v/>
      </c>
      <c r="V88" s="160">
        <f>G88+O88*'NM Play'!$B$13-N88*'NM Play'!$B$11</f>
        <v/>
      </c>
      <c r="W88" s="160">
        <f>H88+P88*'NM Play'!$B$14-N88*'NM Play'!$B$12</f>
        <v/>
      </c>
      <c r="X88" s="160">
        <f>I88+U88-T88</f>
        <v/>
      </c>
      <c r="Y88" s="160">
        <f>MIN(N88,MAX(0,ROUNDDOWN('Sites'!$L$8*'Cases'!$E$6,0)-SUM(Y78:Y87)))</f>
        <v/>
      </c>
      <c r="Z88" s="160">
        <f>N88-Y88</f>
        <v/>
      </c>
      <c r="AA88" s="160">
        <f>U88*'NM Play'!$B$22</f>
        <v/>
      </c>
      <c r="AB88" s="160">
        <f>N88*SUM('NM Play'!$B$29:$B$31)</f>
        <v/>
      </c>
      <c r="AC88" s="160">
        <f>IF('Sites'!$C$8="Defy legs",P88*'NM Play'!$B$14/'NM Play'!$B$12*'NM Play'!$B$28,0)</f>
        <v/>
      </c>
      <c r="AD88" s="160">
        <f>Q88*'NM Play'!$B$23</f>
        <v/>
      </c>
      <c r="AE88" s="160">
        <f>S88*SUM('NM Play'!$B$26,'NM Play'!$B$33:$B$34)</f>
        <v/>
      </c>
      <c r="AF88" s="160">
        <f>IF('Sites'!$D$8="NM crew",S88*SUM('NM Play'!$B$24:$B$25),0)</f>
        <v/>
      </c>
      <c r="AG88" s="160">
        <f>IF('Sites'!$D$8="NM crew",S88*'NM Play'!$B$27,0)</f>
        <v/>
      </c>
      <c r="AH88" s="160">
        <f>N88*'Sites'!$Z$8*'NM Play'!$B$32</f>
        <v/>
      </c>
      <c r="AI88" s="160">
        <f>SUM(Y88:Z88)*'Sites'!$R$8</f>
        <v/>
      </c>
      <c r="AJ88" s="160">
        <f>SUM(AA88:AH88)</f>
        <v/>
      </c>
      <c r="AK88" s="160">
        <f>AJ88+(T88-U88)*'NM Play'!$B$22+MIN(G88,N88*'NM Play'!$B$11)/'NM Play'!$B$13*'NM Play'!$B$21*'NM Play'!$B$22+MIN(H88,N88*'NM Play'!$B$12)/'NM Play'!$B$14*IF('Sites'!$C$8="Own sheets",'NM Play'!$B$21*'NM Play'!$B$22,'NM Play'!$B$28*'NM Play'!$B$14/'NM Play'!$B$12)</f>
        <v/>
      </c>
      <c r="AL88" s="160">
        <f>Y88*'Assumptions'!N66</f>
        <v/>
      </c>
      <c r="AM88" s="160">
        <f>IF('Sites'!$D$8="NM crew",S88*'NM Play'!$B$37*(1+IF(AND(ISNUMBER('NM Play'!$B$25),'NM Play'!$B$25&gt;0),1,0)),"")</f>
        <v/>
      </c>
      <c r="AN88" s="160">
        <f>IF(OR('Sites'!$E$8&lt;0,'Sites'!$E$8&gt;1,'Sites'!$F$8&lt;1,'Sites'!$G$8&lt;'Sites'!$F$8,F88&lt;0,MIN('Sites'!$I$8:'Sites'!$R$8)&lt;0,'Sites'!$L$8&gt;'Sites'!$I$8,'Sites'!$M$8&gt;'Sites'!$J$8,'Sites'!$N$8&gt;'Sites'!$K$8,'Sites'!$Z$8&lt;0,'Sites'!$Z$8&gt;1,MIN('Sites'!$AA$8:'Sites'!$AC$8)&lt;0,S88&gt;F88+0.001),1,0)</f>
        <v/>
      </c>
      <c r="AO88" s="160">
        <f>I88+U88-T88-X88</f>
        <v/>
      </c>
    </row>
    <row r="89" ht="28" customHeight="1">
      <c r="A89" s="4" t="inlineStr">
        <is>
          <t>Full</t>
        </is>
      </c>
      <c r="B89" s="4" t="inlineStr">
        <is>
          <t>NEW2</t>
        </is>
      </c>
      <c r="C89" s="160" t="n">
        <v>12</v>
      </c>
      <c r="D89" s="160">
        <f>ROUNDUP(C89/12,0)</f>
        <v/>
      </c>
      <c r="E89" s="160">
        <f>IF(AND('Sites'!$E$8*'Cases'!$F$6=1,C89&gt;='Sites'!$F$8+'Cases'!$G$6,C89&lt;='Sites'!$G$8),1,0)</f>
        <v/>
      </c>
      <c r="F89" s="160">
        <f>E89*'Assumptions'!O69</f>
        <v/>
      </c>
      <c r="G89" s="160">
        <f>V88</f>
        <v/>
      </c>
      <c r="H89" s="160">
        <f>W88</f>
        <v/>
      </c>
      <c r="I89" s="160">
        <f>X88</f>
        <v/>
      </c>
      <c r="J89" s="160">
        <f>MAX(0,'Sites'!$I$8-SUM(N78:N88))</f>
        <v/>
      </c>
      <c r="K89" s="160">
        <f>IF('Sites'!$C$8="Own sheets",MIN(ROUNDDOWN(G89/'NM Play'!$B$11,0)+F89*'NM Play'!$B$10/'NM Play'!$B$43,ROUNDDOWN(H89/'NM Play'!$B$12,0)+F89*'NM Play'!$B$10/'NM Play'!$B$44,(F89*'NM Play'!$B$10+ROUNDDOWN(G89/'NM Play'!$B$11,0)*'NM Play'!$B$43+ROUNDDOWN(H89/'NM Play'!$B$12,0)*'NM Play'!$B$44)/('NM Play'!$B$43+'NM Play'!$B$44)),ROUNDDOWN(G89/'NM Play'!$B$11,0)+F89*'NM Play'!$B$10/'NM Play'!$B$43)</f>
        <v/>
      </c>
      <c r="L89" s="160">
        <f>MIN(ROUNDDOWN(G89/'NM Play'!$B$11,0)+F89/('NM Play'!$B$43/'NM Play'!$B$15),ROUNDDOWN(H89/'NM Play'!$B$12,0)+F89/('NM Play'!$B$44/'NM Play'!$B$16),(F89+ROUNDDOWN(G89/'NM Play'!$B$11,0)*'NM Play'!$B$43/'NM Play'!$B$15+ROUNDDOWN(H89/'NM Play'!$B$12,0)*'NM Play'!$B$44/'NM Play'!$B$16)/('NM Play'!$B$43/'NM Play'!$B$15+'NM Play'!$B$44/'NM Play'!$B$16))</f>
        <v/>
      </c>
      <c r="M89" s="160">
        <f>F89*'NM Play'!$B$36</f>
        <v/>
      </c>
      <c r="N89" s="160">
        <f>ROUNDDOWN(MAX(0,MIN(J89,K89:M89)),0)</f>
        <v/>
      </c>
      <c r="O89" s="160">
        <f>ROUNDUP(MAX(0,N89*'NM Play'!$B$11-G89)/'NM Play'!$B$13,0)</f>
        <v/>
      </c>
      <c r="P89" s="160">
        <f>ROUNDUP(MAX(0,N89*'NM Play'!$B$12-H89)/'NM Play'!$B$14,0)</f>
        <v/>
      </c>
      <c r="Q89" s="160">
        <f>(O89+IF('Sites'!$C$8="Own sheets",P89,0))/'NM Play'!$B$10</f>
        <v/>
      </c>
      <c r="R89" s="160">
        <f>O89/'NM Play'!$B$15+P89/'NM Play'!$B$16</f>
        <v/>
      </c>
      <c r="S89" s="160">
        <f>MAX(Q89,R89,N89/'NM Play'!$B$36)</f>
        <v/>
      </c>
      <c r="T89" s="160">
        <f>Q89*'NM Play'!$B$10*'NM Play'!$B$21*(1+'NM Play'!$B$35)</f>
        <v/>
      </c>
      <c r="U89" s="160">
        <f>MAX(0,T89-I89)</f>
        <v/>
      </c>
      <c r="V89" s="160">
        <f>G89+O89*'NM Play'!$B$13-N89*'NM Play'!$B$11</f>
        <v/>
      </c>
      <c r="W89" s="160">
        <f>H89+P89*'NM Play'!$B$14-N89*'NM Play'!$B$12</f>
        <v/>
      </c>
      <c r="X89" s="160">
        <f>I89+U89-T89</f>
        <v/>
      </c>
      <c r="Y89" s="160">
        <f>MIN(N89,MAX(0,ROUNDDOWN('Sites'!$L$8*'Cases'!$E$6,0)-SUM(Y78:Y88)))</f>
        <v/>
      </c>
      <c r="Z89" s="160">
        <f>N89-Y89</f>
        <v/>
      </c>
      <c r="AA89" s="160">
        <f>U89*'NM Play'!$B$22</f>
        <v/>
      </c>
      <c r="AB89" s="160">
        <f>N89*SUM('NM Play'!$B$29:$B$31)</f>
        <v/>
      </c>
      <c r="AC89" s="160">
        <f>IF('Sites'!$C$8="Defy legs",P89*'NM Play'!$B$14/'NM Play'!$B$12*'NM Play'!$B$28,0)</f>
        <v/>
      </c>
      <c r="AD89" s="160">
        <f>Q89*'NM Play'!$B$23</f>
        <v/>
      </c>
      <c r="AE89" s="160">
        <f>S89*SUM('NM Play'!$B$26,'NM Play'!$B$33:$B$34)</f>
        <v/>
      </c>
      <c r="AF89" s="160">
        <f>IF('Sites'!$D$8="NM crew",S89*SUM('NM Play'!$B$24:$B$25),0)</f>
        <v/>
      </c>
      <c r="AG89" s="160">
        <f>IF('Sites'!$D$8="NM crew",S89*'NM Play'!$B$27,0)</f>
        <v/>
      </c>
      <c r="AH89" s="160">
        <f>N89*'Sites'!$Z$8*'NM Play'!$B$32</f>
        <v/>
      </c>
      <c r="AI89" s="160">
        <f>SUM(Y89:Z89)*'Sites'!$R$8</f>
        <v/>
      </c>
      <c r="AJ89" s="160">
        <f>SUM(AA89:AH89)</f>
        <v/>
      </c>
      <c r="AK89" s="160">
        <f>AJ89+(T89-U89)*'NM Play'!$B$22+MIN(G89,N89*'NM Play'!$B$11)/'NM Play'!$B$13*'NM Play'!$B$21*'NM Play'!$B$22+MIN(H89,N89*'NM Play'!$B$12)/'NM Play'!$B$14*IF('Sites'!$C$8="Own sheets",'NM Play'!$B$21*'NM Play'!$B$22,'NM Play'!$B$28*'NM Play'!$B$14/'NM Play'!$B$12)</f>
        <v/>
      </c>
      <c r="AL89" s="160">
        <f>Y89*'Assumptions'!O66</f>
        <v/>
      </c>
      <c r="AM89" s="160">
        <f>IF('Sites'!$D$8="NM crew",S89*'NM Play'!$B$37*(1+IF(AND(ISNUMBER('NM Play'!$B$25),'NM Play'!$B$25&gt;0),1,0)),"")</f>
        <v/>
      </c>
      <c r="AN89" s="160">
        <f>IF(OR('Sites'!$E$8&lt;0,'Sites'!$E$8&gt;1,'Sites'!$F$8&lt;1,'Sites'!$G$8&lt;'Sites'!$F$8,F89&lt;0,MIN('Sites'!$I$8:'Sites'!$R$8)&lt;0,'Sites'!$L$8&gt;'Sites'!$I$8,'Sites'!$M$8&gt;'Sites'!$J$8,'Sites'!$N$8&gt;'Sites'!$K$8,'Sites'!$Z$8&lt;0,'Sites'!$Z$8&gt;1,MIN('Sites'!$AA$8:'Sites'!$AC$8)&lt;0,S89&gt;F89+0.001),1,0)</f>
        <v/>
      </c>
      <c r="AO89" s="160">
        <f>I89+U89-T89-X89</f>
        <v/>
      </c>
    </row>
    <row r="90" ht="28" customHeight="1">
      <c r="A90" s="4" t="inlineStr">
        <is>
          <t>Full</t>
        </is>
      </c>
      <c r="B90" s="4" t="inlineStr">
        <is>
          <t>NEW2</t>
        </is>
      </c>
      <c r="C90" s="160" t="n">
        <v>13</v>
      </c>
      <c r="D90" s="160">
        <f>ROUNDUP(C90/12,0)</f>
        <v/>
      </c>
      <c r="E90" s="160">
        <f>IF(AND('Sites'!$E$8*'Cases'!$F$6=1,C90&gt;='Sites'!$F$8+'Cases'!$G$6,C90&lt;='Sites'!$G$8),1,0)</f>
        <v/>
      </c>
      <c r="F90" s="160">
        <f>E90*'Assumptions'!P69</f>
        <v/>
      </c>
      <c r="G90" s="160">
        <f>V89</f>
        <v/>
      </c>
      <c r="H90" s="160">
        <f>W89</f>
        <v/>
      </c>
      <c r="I90" s="160">
        <f>X89</f>
        <v/>
      </c>
      <c r="J90" s="160">
        <f>MAX(0,'Sites'!$J$8-0)</f>
        <v/>
      </c>
      <c r="K90" s="160">
        <f>IF('Sites'!$C$8="Own sheets",MIN(ROUNDDOWN(G90/'NM Play'!$B$11,0)+F90*'NM Play'!$B$10/'NM Play'!$B$43,ROUNDDOWN(H90/'NM Play'!$B$12,0)+F90*'NM Play'!$B$10/'NM Play'!$B$44,(F90*'NM Play'!$B$10+ROUNDDOWN(G90/'NM Play'!$B$11,0)*'NM Play'!$B$43+ROUNDDOWN(H90/'NM Play'!$B$12,0)*'NM Play'!$B$44)/('NM Play'!$B$43+'NM Play'!$B$44)),ROUNDDOWN(G90/'NM Play'!$B$11,0)+F90*'NM Play'!$B$10/'NM Play'!$B$43)</f>
        <v/>
      </c>
      <c r="L90" s="160">
        <f>MIN(ROUNDDOWN(G90/'NM Play'!$B$11,0)+F90/('NM Play'!$B$43/'NM Play'!$B$15),ROUNDDOWN(H90/'NM Play'!$B$12,0)+F90/('NM Play'!$B$44/'NM Play'!$B$16),(F90+ROUNDDOWN(G90/'NM Play'!$B$11,0)*'NM Play'!$B$43/'NM Play'!$B$15+ROUNDDOWN(H90/'NM Play'!$B$12,0)*'NM Play'!$B$44/'NM Play'!$B$16)/('NM Play'!$B$43/'NM Play'!$B$15+'NM Play'!$B$44/'NM Play'!$B$16))</f>
        <v/>
      </c>
      <c r="M90" s="160">
        <f>F90*'NM Play'!$B$36</f>
        <v/>
      </c>
      <c r="N90" s="160">
        <f>ROUNDDOWN(MAX(0,MIN(J90,K90:M90)),0)</f>
        <v/>
      </c>
      <c r="O90" s="160">
        <f>ROUNDUP(MAX(0,N90*'NM Play'!$B$11-G90)/'NM Play'!$B$13,0)</f>
        <v/>
      </c>
      <c r="P90" s="160">
        <f>ROUNDUP(MAX(0,N90*'NM Play'!$B$12-H90)/'NM Play'!$B$14,0)</f>
        <v/>
      </c>
      <c r="Q90" s="160">
        <f>(O90+IF('Sites'!$C$8="Own sheets",P90,0))/'NM Play'!$B$10</f>
        <v/>
      </c>
      <c r="R90" s="160">
        <f>O90/'NM Play'!$B$15+P90/'NM Play'!$B$16</f>
        <v/>
      </c>
      <c r="S90" s="160">
        <f>MAX(Q90,R90,N90/'NM Play'!$B$36)</f>
        <v/>
      </c>
      <c r="T90" s="160">
        <f>Q90*'NM Play'!$B$10*'NM Play'!$B$21*(1+'NM Play'!$B$35)</f>
        <v/>
      </c>
      <c r="U90" s="160">
        <f>MAX(0,T90-I90)</f>
        <v/>
      </c>
      <c r="V90" s="160">
        <f>G90+O90*'NM Play'!$B$13-N90*'NM Play'!$B$11</f>
        <v/>
      </c>
      <c r="W90" s="160">
        <f>H90+P90*'NM Play'!$B$14-N90*'NM Play'!$B$12</f>
        <v/>
      </c>
      <c r="X90" s="160">
        <f>I90+U90-T90</f>
        <v/>
      </c>
      <c r="Y90" s="160">
        <f>MIN(N90,MAX(0,ROUNDDOWN('Sites'!$M$8*'Cases'!$E$6,0)-0))</f>
        <v/>
      </c>
      <c r="Z90" s="160">
        <f>N90-Y90</f>
        <v/>
      </c>
      <c r="AA90" s="160">
        <f>U90*'NM Play'!$B$22</f>
        <v/>
      </c>
      <c r="AB90" s="160">
        <f>N90*SUM('NM Play'!$B$29:$B$31)</f>
        <v/>
      </c>
      <c r="AC90" s="160">
        <f>IF('Sites'!$C$8="Defy legs",P90*'NM Play'!$B$14/'NM Play'!$B$12*'NM Play'!$B$28,0)</f>
        <v/>
      </c>
      <c r="AD90" s="160">
        <f>Q90*'NM Play'!$B$23</f>
        <v/>
      </c>
      <c r="AE90" s="160">
        <f>S90*SUM('NM Play'!$B$26,'NM Play'!$B$33:$B$34)</f>
        <v/>
      </c>
      <c r="AF90" s="160">
        <f>IF('Sites'!$D$8="NM crew",S90*SUM('NM Play'!$B$24:$B$25),0)</f>
        <v/>
      </c>
      <c r="AG90" s="160">
        <f>IF('Sites'!$D$8="NM crew",S90*'NM Play'!$B$27,0)</f>
        <v/>
      </c>
      <c r="AH90" s="160">
        <f>N90*'Sites'!$Z$8*'NM Play'!$B$32</f>
        <v/>
      </c>
      <c r="AI90" s="160">
        <f>SUM(Y90:Z90)*'Sites'!$R$8</f>
        <v/>
      </c>
      <c r="AJ90" s="160">
        <f>SUM(AA90:AH90)</f>
        <v/>
      </c>
      <c r="AK90" s="160">
        <f>AJ90+(T90-U90)*'NM Play'!$B$22+MIN(G90,N90*'NM Play'!$B$11)/'NM Play'!$B$13*'NM Play'!$B$21*'NM Play'!$B$22+MIN(H90,N90*'NM Play'!$B$12)/'NM Play'!$B$14*IF('Sites'!$C$8="Own sheets",'NM Play'!$B$21*'NM Play'!$B$22,'NM Play'!$B$28*'NM Play'!$B$14/'NM Play'!$B$12)</f>
        <v/>
      </c>
      <c r="AL90" s="160">
        <f>Y90*'Assumptions'!P66</f>
        <v/>
      </c>
      <c r="AM90" s="160">
        <f>IF('Sites'!$D$8="NM crew",S90*'NM Play'!$B$37*(1+IF(AND(ISNUMBER('NM Play'!$B$25),'NM Play'!$B$25&gt;0),1,0)),"")</f>
        <v/>
      </c>
      <c r="AN90" s="160">
        <f>IF(OR('Sites'!$E$8&lt;0,'Sites'!$E$8&gt;1,'Sites'!$F$8&lt;1,'Sites'!$G$8&lt;'Sites'!$F$8,F90&lt;0,MIN('Sites'!$I$8:'Sites'!$R$8)&lt;0,'Sites'!$L$8&gt;'Sites'!$I$8,'Sites'!$M$8&gt;'Sites'!$J$8,'Sites'!$N$8&gt;'Sites'!$K$8,'Sites'!$Z$8&lt;0,'Sites'!$Z$8&gt;1,MIN('Sites'!$AA$8:'Sites'!$AC$8)&lt;0,S90&gt;F90+0.001),1,0)</f>
        <v/>
      </c>
      <c r="AO90" s="160">
        <f>I90+U90-T90-X90</f>
        <v/>
      </c>
    </row>
    <row r="91" ht="28" customHeight="1">
      <c r="A91" s="4" t="inlineStr">
        <is>
          <t>Full</t>
        </is>
      </c>
      <c r="B91" s="4" t="inlineStr">
        <is>
          <t>NEW2</t>
        </is>
      </c>
      <c r="C91" s="160" t="n">
        <v>14</v>
      </c>
      <c r="D91" s="160">
        <f>ROUNDUP(C91/12,0)</f>
        <v/>
      </c>
      <c r="E91" s="160">
        <f>IF(AND('Sites'!$E$8*'Cases'!$F$6=1,C91&gt;='Sites'!$F$8+'Cases'!$G$6,C91&lt;='Sites'!$G$8),1,0)</f>
        <v/>
      </c>
      <c r="F91" s="160">
        <f>E91*'Assumptions'!Q69</f>
        <v/>
      </c>
      <c r="G91" s="160">
        <f>V90</f>
        <v/>
      </c>
      <c r="H91" s="160">
        <f>W90</f>
        <v/>
      </c>
      <c r="I91" s="160">
        <f>X90</f>
        <v/>
      </c>
      <c r="J91" s="160">
        <f>MAX(0,'Sites'!$J$8-SUM(N90:N90))</f>
        <v/>
      </c>
      <c r="K91" s="160">
        <f>IF('Sites'!$C$8="Own sheets",MIN(ROUNDDOWN(G91/'NM Play'!$B$11,0)+F91*'NM Play'!$B$10/'NM Play'!$B$43,ROUNDDOWN(H91/'NM Play'!$B$12,0)+F91*'NM Play'!$B$10/'NM Play'!$B$44,(F91*'NM Play'!$B$10+ROUNDDOWN(G91/'NM Play'!$B$11,0)*'NM Play'!$B$43+ROUNDDOWN(H91/'NM Play'!$B$12,0)*'NM Play'!$B$44)/('NM Play'!$B$43+'NM Play'!$B$44)),ROUNDDOWN(G91/'NM Play'!$B$11,0)+F91*'NM Play'!$B$10/'NM Play'!$B$43)</f>
        <v/>
      </c>
      <c r="L91" s="160">
        <f>MIN(ROUNDDOWN(G91/'NM Play'!$B$11,0)+F91/('NM Play'!$B$43/'NM Play'!$B$15),ROUNDDOWN(H91/'NM Play'!$B$12,0)+F91/('NM Play'!$B$44/'NM Play'!$B$16),(F91+ROUNDDOWN(G91/'NM Play'!$B$11,0)*'NM Play'!$B$43/'NM Play'!$B$15+ROUNDDOWN(H91/'NM Play'!$B$12,0)*'NM Play'!$B$44/'NM Play'!$B$16)/('NM Play'!$B$43/'NM Play'!$B$15+'NM Play'!$B$44/'NM Play'!$B$16))</f>
        <v/>
      </c>
      <c r="M91" s="160">
        <f>F91*'NM Play'!$B$36</f>
        <v/>
      </c>
      <c r="N91" s="160">
        <f>ROUNDDOWN(MAX(0,MIN(J91,K91:M91)),0)</f>
        <v/>
      </c>
      <c r="O91" s="160">
        <f>ROUNDUP(MAX(0,N91*'NM Play'!$B$11-G91)/'NM Play'!$B$13,0)</f>
        <v/>
      </c>
      <c r="P91" s="160">
        <f>ROUNDUP(MAX(0,N91*'NM Play'!$B$12-H91)/'NM Play'!$B$14,0)</f>
        <v/>
      </c>
      <c r="Q91" s="160">
        <f>(O91+IF('Sites'!$C$8="Own sheets",P91,0))/'NM Play'!$B$10</f>
        <v/>
      </c>
      <c r="R91" s="160">
        <f>O91/'NM Play'!$B$15+P91/'NM Play'!$B$16</f>
        <v/>
      </c>
      <c r="S91" s="160">
        <f>MAX(Q91,R91,N91/'NM Play'!$B$36)</f>
        <v/>
      </c>
      <c r="T91" s="160">
        <f>Q91*'NM Play'!$B$10*'NM Play'!$B$21*(1+'NM Play'!$B$35)</f>
        <v/>
      </c>
      <c r="U91" s="160">
        <f>MAX(0,T91-I91)</f>
        <v/>
      </c>
      <c r="V91" s="160">
        <f>G91+O91*'NM Play'!$B$13-N91*'NM Play'!$B$11</f>
        <v/>
      </c>
      <c r="W91" s="160">
        <f>H91+P91*'NM Play'!$B$14-N91*'NM Play'!$B$12</f>
        <v/>
      </c>
      <c r="X91" s="160">
        <f>I91+U91-T91</f>
        <v/>
      </c>
      <c r="Y91" s="160">
        <f>MIN(N91,MAX(0,ROUNDDOWN('Sites'!$M$8*'Cases'!$E$6,0)-SUM(Y90:Y90)))</f>
        <v/>
      </c>
      <c r="Z91" s="160">
        <f>N91-Y91</f>
        <v/>
      </c>
      <c r="AA91" s="160">
        <f>U91*'NM Play'!$B$22</f>
        <v/>
      </c>
      <c r="AB91" s="160">
        <f>N91*SUM('NM Play'!$B$29:$B$31)</f>
        <v/>
      </c>
      <c r="AC91" s="160">
        <f>IF('Sites'!$C$8="Defy legs",P91*'NM Play'!$B$14/'NM Play'!$B$12*'NM Play'!$B$28,0)</f>
        <v/>
      </c>
      <c r="AD91" s="160">
        <f>Q91*'NM Play'!$B$23</f>
        <v/>
      </c>
      <c r="AE91" s="160">
        <f>S91*SUM('NM Play'!$B$26,'NM Play'!$B$33:$B$34)</f>
        <v/>
      </c>
      <c r="AF91" s="160">
        <f>IF('Sites'!$D$8="NM crew",S91*SUM('NM Play'!$B$24:$B$25),0)</f>
        <v/>
      </c>
      <c r="AG91" s="160">
        <f>IF('Sites'!$D$8="NM crew",S91*'NM Play'!$B$27,0)</f>
        <v/>
      </c>
      <c r="AH91" s="160">
        <f>N91*'Sites'!$Z$8*'NM Play'!$B$32</f>
        <v/>
      </c>
      <c r="AI91" s="160">
        <f>SUM(Y91:Z91)*'Sites'!$R$8</f>
        <v/>
      </c>
      <c r="AJ91" s="160">
        <f>SUM(AA91:AH91)</f>
        <v/>
      </c>
      <c r="AK91" s="160">
        <f>AJ91+(T91-U91)*'NM Play'!$B$22+MIN(G91,N91*'NM Play'!$B$11)/'NM Play'!$B$13*'NM Play'!$B$21*'NM Play'!$B$22+MIN(H91,N91*'NM Play'!$B$12)/'NM Play'!$B$14*IF('Sites'!$C$8="Own sheets",'NM Play'!$B$21*'NM Play'!$B$22,'NM Play'!$B$28*'NM Play'!$B$14/'NM Play'!$B$12)</f>
        <v/>
      </c>
      <c r="AL91" s="160">
        <f>Y91*'Assumptions'!Q66</f>
        <v/>
      </c>
      <c r="AM91" s="160">
        <f>IF('Sites'!$D$8="NM crew",S91*'NM Play'!$B$37*(1+IF(AND(ISNUMBER('NM Play'!$B$25),'NM Play'!$B$25&gt;0),1,0)),"")</f>
        <v/>
      </c>
      <c r="AN91" s="160">
        <f>IF(OR('Sites'!$E$8&lt;0,'Sites'!$E$8&gt;1,'Sites'!$F$8&lt;1,'Sites'!$G$8&lt;'Sites'!$F$8,F91&lt;0,MIN('Sites'!$I$8:'Sites'!$R$8)&lt;0,'Sites'!$L$8&gt;'Sites'!$I$8,'Sites'!$M$8&gt;'Sites'!$J$8,'Sites'!$N$8&gt;'Sites'!$K$8,'Sites'!$Z$8&lt;0,'Sites'!$Z$8&gt;1,MIN('Sites'!$AA$8:'Sites'!$AC$8)&lt;0,S91&gt;F91+0.001),1,0)</f>
        <v/>
      </c>
      <c r="AO91" s="160">
        <f>I91+U91-T91-X91</f>
        <v/>
      </c>
    </row>
    <row r="92" ht="28" customHeight="1">
      <c r="A92" s="4" t="inlineStr">
        <is>
          <t>Full</t>
        </is>
      </c>
      <c r="B92" s="4" t="inlineStr">
        <is>
          <t>NEW2</t>
        </is>
      </c>
      <c r="C92" s="160" t="n">
        <v>15</v>
      </c>
      <c r="D92" s="160">
        <f>ROUNDUP(C92/12,0)</f>
        <v/>
      </c>
      <c r="E92" s="160">
        <f>IF(AND('Sites'!$E$8*'Cases'!$F$6=1,C92&gt;='Sites'!$F$8+'Cases'!$G$6,C92&lt;='Sites'!$G$8),1,0)</f>
        <v/>
      </c>
      <c r="F92" s="160">
        <f>E92*'Assumptions'!R69</f>
        <v/>
      </c>
      <c r="G92" s="160">
        <f>V91</f>
        <v/>
      </c>
      <c r="H92" s="160">
        <f>W91</f>
        <v/>
      </c>
      <c r="I92" s="160">
        <f>X91</f>
        <v/>
      </c>
      <c r="J92" s="160">
        <f>MAX(0,'Sites'!$J$8-SUM(N90:N91))</f>
        <v/>
      </c>
      <c r="K92" s="160">
        <f>IF('Sites'!$C$8="Own sheets",MIN(ROUNDDOWN(G92/'NM Play'!$B$11,0)+F92*'NM Play'!$B$10/'NM Play'!$B$43,ROUNDDOWN(H92/'NM Play'!$B$12,0)+F92*'NM Play'!$B$10/'NM Play'!$B$44,(F92*'NM Play'!$B$10+ROUNDDOWN(G92/'NM Play'!$B$11,0)*'NM Play'!$B$43+ROUNDDOWN(H92/'NM Play'!$B$12,0)*'NM Play'!$B$44)/('NM Play'!$B$43+'NM Play'!$B$44)),ROUNDDOWN(G92/'NM Play'!$B$11,0)+F92*'NM Play'!$B$10/'NM Play'!$B$43)</f>
        <v/>
      </c>
      <c r="L92" s="160">
        <f>MIN(ROUNDDOWN(G92/'NM Play'!$B$11,0)+F92/('NM Play'!$B$43/'NM Play'!$B$15),ROUNDDOWN(H92/'NM Play'!$B$12,0)+F92/('NM Play'!$B$44/'NM Play'!$B$16),(F92+ROUNDDOWN(G92/'NM Play'!$B$11,0)*'NM Play'!$B$43/'NM Play'!$B$15+ROUNDDOWN(H92/'NM Play'!$B$12,0)*'NM Play'!$B$44/'NM Play'!$B$16)/('NM Play'!$B$43/'NM Play'!$B$15+'NM Play'!$B$44/'NM Play'!$B$16))</f>
        <v/>
      </c>
      <c r="M92" s="160">
        <f>F92*'NM Play'!$B$36</f>
        <v/>
      </c>
      <c r="N92" s="160">
        <f>ROUNDDOWN(MAX(0,MIN(J92,K92:M92)),0)</f>
        <v/>
      </c>
      <c r="O92" s="160">
        <f>ROUNDUP(MAX(0,N92*'NM Play'!$B$11-G92)/'NM Play'!$B$13,0)</f>
        <v/>
      </c>
      <c r="P92" s="160">
        <f>ROUNDUP(MAX(0,N92*'NM Play'!$B$12-H92)/'NM Play'!$B$14,0)</f>
        <v/>
      </c>
      <c r="Q92" s="160">
        <f>(O92+IF('Sites'!$C$8="Own sheets",P92,0))/'NM Play'!$B$10</f>
        <v/>
      </c>
      <c r="R92" s="160">
        <f>O92/'NM Play'!$B$15+P92/'NM Play'!$B$16</f>
        <v/>
      </c>
      <c r="S92" s="160">
        <f>MAX(Q92,R92,N92/'NM Play'!$B$36)</f>
        <v/>
      </c>
      <c r="T92" s="160">
        <f>Q92*'NM Play'!$B$10*'NM Play'!$B$21*(1+'NM Play'!$B$35)</f>
        <v/>
      </c>
      <c r="U92" s="160">
        <f>MAX(0,T92-I92)</f>
        <v/>
      </c>
      <c r="V92" s="160">
        <f>G92+O92*'NM Play'!$B$13-N92*'NM Play'!$B$11</f>
        <v/>
      </c>
      <c r="W92" s="160">
        <f>H92+P92*'NM Play'!$B$14-N92*'NM Play'!$B$12</f>
        <v/>
      </c>
      <c r="X92" s="160">
        <f>I92+U92-T92</f>
        <v/>
      </c>
      <c r="Y92" s="160">
        <f>MIN(N92,MAX(0,ROUNDDOWN('Sites'!$M$8*'Cases'!$E$6,0)-SUM(Y90:Y91)))</f>
        <v/>
      </c>
      <c r="Z92" s="160">
        <f>N92-Y92</f>
        <v/>
      </c>
      <c r="AA92" s="160">
        <f>U92*'NM Play'!$B$22</f>
        <v/>
      </c>
      <c r="AB92" s="160">
        <f>N92*SUM('NM Play'!$B$29:$B$31)</f>
        <v/>
      </c>
      <c r="AC92" s="160">
        <f>IF('Sites'!$C$8="Defy legs",P92*'NM Play'!$B$14/'NM Play'!$B$12*'NM Play'!$B$28,0)</f>
        <v/>
      </c>
      <c r="AD92" s="160">
        <f>Q92*'NM Play'!$B$23</f>
        <v/>
      </c>
      <c r="AE92" s="160">
        <f>S92*SUM('NM Play'!$B$26,'NM Play'!$B$33:$B$34)</f>
        <v/>
      </c>
      <c r="AF92" s="160">
        <f>IF('Sites'!$D$8="NM crew",S92*SUM('NM Play'!$B$24:$B$25),0)</f>
        <v/>
      </c>
      <c r="AG92" s="160">
        <f>IF('Sites'!$D$8="NM crew",S92*'NM Play'!$B$27,0)</f>
        <v/>
      </c>
      <c r="AH92" s="160">
        <f>N92*'Sites'!$Z$8*'NM Play'!$B$32</f>
        <v/>
      </c>
      <c r="AI92" s="160">
        <f>SUM(Y92:Z92)*'Sites'!$R$8</f>
        <v/>
      </c>
      <c r="AJ92" s="160">
        <f>SUM(AA92:AH92)</f>
        <v/>
      </c>
      <c r="AK92" s="160">
        <f>AJ92+(T92-U92)*'NM Play'!$B$22+MIN(G92,N92*'NM Play'!$B$11)/'NM Play'!$B$13*'NM Play'!$B$21*'NM Play'!$B$22+MIN(H92,N92*'NM Play'!$B$12)/'NM Play'!$B$14*IF('Sites'!$C$8="Own sheets",'NM Play'!$B$21*'NM Play'!$B$22,'NM Play'!$B$28*'NM Play'!$B$14/'NM Play'!$B$12)</f>
        <v/>
      </c>
      <c r="AL92" s="160">
        <f>Y92*'Assumptions'!R66</f>
        <v/>
      </c>
      <c r="AM92" s="160">
        <f>IF('Sites'!$D$8="NM crew",S92*'NM Play'!$B$37*(1+IF(AND(ISNUMBER('NM Play'!$B$25),'NM Play'!$B$25&gt;0),1,0)),"")</f>
        <v/>
      </c>
      <c r="AN92" s="160">
        <f>IF(OR('Sites'!$E$8&lt;0,'Sites'!$E$8&gt;1,'Sites'!$F$8&lt;1,'Sites'!$G$8&lt;'Sites'!$F$8,F92&lt;0,MIN('Sites'!$I$8:'Sites'!$R$8)&lt;0,'Sites'!$L$8&gt;'Sites'!$I$8,'Sites'!$M$8&gt;'Sites'!$J$8,'Sites'!$N$8&gt;'Sites'!$K$8,'Sites'!$Z$8&lt;0,'Sites'!$Z$8&gt;1,MIN('Sites'!$AA$8:'Sites'!$AC$8)&lt;0,S92&gt;F92+0.001),1,0)</f>
        <v/>
      </c>
      <c r="AO92" s="160">
        <f>I92+U92-T92-X92</f>
        <v/>
      </c>
    </row>
    <row r="93" ht="28" customHeight="1">
      <c r="A93" s="4" t="inlineStr">
        <is>
          <t>Full</t>
        </is>
      </c>
      <c r="B93" s="4" t="inlineStr">
        <is>
          <t>NEW2</t>
        </is>
      </c>
      <c r="C93" s="160" t="n">
        <v>16</v>
      </c>
      <c r="D93" s="160">
        <f>ROUNDUP(C93/12,0)</f>
        <v/>
      </c>
      <c r="E93" s="160">
        <f>IF(AND('Sites'!$E$8*'Cases'!$F$6=1,C93&gt;='Sites'!$F$8+'Cases'!$G$6,C93&lt;='Sites'!$G$8),1,0)</f>
        <v/>
      </c>
      <c r="F93" s="160">
        <f>E93*'Assumptions'!S69</f>
        <v/>
      </c>
      <c r="G93" s="160">
        <f>V92</f>
        <v/>
      </c>
      <c r="H93" s="160">
        <f>W92</f>
        <v/>
      </c>
      <c r="I93" s="160">
        <f>X92</f>
        <v/>
      </c>
      <c r="J93" s="160">
        <f>MAX(0,'Sites'!$J$8-SUM(N90:N92))</f>
        <v/>
      </c>
      <c r="K93" s="160">
        <f>IF('Sites'!$C$8="Own sheets",MIN(ROUNDDOWN(G93/'NM Play'!$B$11,0)+F93*'NM Play'!$B$10/'NM Play'!$B$43,ROUNDDOWN(H93/'NM Play'!$B$12,0)+F93*'NM Play'!$B$10/'NM Play'!$B$44,(F93*'NM Play'!$B$10+ROUNDDOWN(G93/'NM Play'!$B$11,0)*'NM Play'!$B$43+ROUNDDOWN(H93/'NM Play'!$B$12,0)*'NM Play'!$B$44)/('NM Play'!$B$43+'NM Play'!$B$44)),ROUNDDOWN(G93/'NM Play'!$B$11,0)+F93*'NM Play'!$B$10/'NM Play'!$B$43)</f>
        <v/>
      </c>
      <c r="L93" s="160">
        <f>MIN(ROUNDDOWN(G93/'NM Play'!$B$11,0)+F93/('NM Play'!$B$43/'NM Play'!$B$15),ROUNDDOWN(H93/'NM Play'!$B$12,0)+F93/('NM Play'!$B$44/'NM Play'!$B$16),(F93+ROUNDDOWN(G93/'NM Play'!$B$11,0)*'NM Play'!$B$43/'NM Play'!$B$15+ROUNDDOWN(H93/'NM Play'!$B$12,0)*'NM Play'!$B$44/'NM Play'!$B$16)/('NM Play'!$B$43/'NM Play'!$B$15+'NM Play'!$B$44/'NM Play'!$B$16))</f>
        <v/>
      </c>
      <c r="M93" s="160">
        <f>F93*'NM Play'!$B$36</f>
        <v/>
      </c>
      <c r="N93" s="160">
        <f>ROUNDDOWN(MAX(0,MIN(J93,K93:M93)),0)</f>
        <v/>
      </c>
      <c r="O93" s="160">
        <f>ROUNDUP(MAX(0,N93*'NM Play'!$B$11-G93)/'NM Play'!$B$13,0)</f>
        <v/>
      </c>
      <c r="P93" s="160">
        <f>ROUNDUP(MAX(0,N93*'NM Play'!$B$12-H93)/'NM Play'!$B$14,0)</f>
        <v/>
      </c>
      <c r="Q93" s="160">
        <f>(O93+IF('Sites'!$C$8="Own sheets",P93,0))/'NM Play'!$B$10</f>
        <v/>
      </c>
      <c r="R93" s="160">
        <f>O93/'NM Play'!$B$15+P93/'NM Play'!$B$16</f>
        <v/>
      </c>
      <c r="S93" s="160">
        <f>MAX(Q93,R93,N93/'NM Play'!$B$36)</f>
        <v/>
      </c>
      <c r="T93" s="160">
        <f>Q93*'NM Play'!$B$10*'NM Play'!$B$21*(1+'NM Play'!$B$35)</f>
        <v/>
      </c>
      <c r="U93" s="160">
        <f>MAX(0,T93-I93)</f>
        <v/>
      </c>
      <c r="V93" s="160">
        <f>G93+O93*'NM Play'!$B$13-N93*'NM Play'!$B$11</f>
        <v/>
      </c>
      <c r="W93" s="160">
        <f>H93+P93*'NM Play'!$B$14-N93*'NM Play'!$B$12</f>
        <v/>
      </c>
      <c r="X93" s="160">
        <f>I93+U93-T93</f>
        <v/>
      </c>
      <c r="Y93" s="160">
        <f>MIN(N93,MAX(0,ROUNDDOWN('Sites'!$M$8*'Cases'!$E$6,0)-SUM(Y90:Y92)))</f>
        <v/>
      </c>
      <c r="Z93" s="160">
        <f>N93-Y93</f>
        <v/>
      </c>
      <c r="AA93" s="160">
        <f>U93*'NM Play'!$B$22</f>
        <v/>
      </c>
      <c r="AB93" s="160">
        <f>N93*SUM('NM Play'!$B$29:$B$31)</f>
        <v/>
      </c>
      <c r="AC93" s="160">
        <f>IF('Sites'!$C$8="Defy legs",P93*'NM Play'!$B$14/'NM Play'!$B$12*'NM Play'!$B$28,0)</f>
        <v/>
      </c>
      <c r="AD93" s="160">
        <f>Q93*'NM Play'!$B$23</f>
        <v/>
      </c>
      <c r="AE93" s="160">
        <f>S93*SUM('NM Play'!$B$26,'NM Play'!$B$33:$B$34)</f>
        <v/>
      </c>
      <c r="AF93" s="160">
        <f>IF('Sites'!$D$8="NM crew",S93*SUM('NM Play'!$B$24:$B$25),0)</f>
        <v/>
      </c>
      <c r="AG93" s="160">
        <f>IF('Sites'!$D$8="NM crew",S93*'NM Play'!$B$27,0)</f>
        <v/>
      </c>
      <c r="AH93" s="160">
        <f>N93*'Sites'!$Z$8*'NM Play'!$B$32</f>
        <v/>
      </c>
      <c r="AI93" s="160">
        <f>SUM(Y93:Z93)*'Sites'!$R$8</f>
        <v/>
      </c>
      <c r="AJ93" s="160">
        <f>SUM(AA93:AH93)</f>
        <v/>
      </c>
      <c r="AK93" s="160">
        <f>AJ93+(T93-U93)*'NM Play'!$B$22+MIN(G93,N93*'NM Play'!$B$11)/'NM Play'!$B$13*'NM Play'!$B$21*'NM Play'!$B$22+MIN(H93,N93*'NM Play'!$B$12)/'NM Play'!$B$14*IF('Sites'!$C$8="Own sheets",'NM Play'!$B$21*'NM Play'!$B$22,'NM Play'!$B$28*'NM Play'!$B$14/'NM Play'!$B$12)</f>
        <v/>
      </c>
      <c r="AL93" s="160">
        <f>Y93*'Assumptions'!S66</f>
        <v/>
      </c>
      <c r="AM93" s="160">
        <f>IF('Sites'!$D$8="NM crew",S93*'NM Play'!$B$37*(1+IF(AND(ISNUMBER('NM Play'!$B$25),'NM Play'!$B$25&gt;0),1,0)),"")</f>
        <v/>
      </c>
      <c r="AN93" s="160">
        <f>IF(OR('Sites'!$E$8&lt;0,'Sites'!$E$8&gt;1,'Sites'!$F$8&lt;1,'Sites'!$G$8&lt;'Sites'!$F$8,F93&lt;0,MIN('Sites'!$I$8:'Sites'!$R$8)&lt;0,'Sites'!$L$8&gt;'Sites'!$I$8,'Sites'!$M$8&gt;'Sites'!$J$8,'Sites'!$N$8&gt;'Sites'!$K$8,'Sites'!$Z$8&lt;0,'Sites'!$Z$8&gt;1,MIN('Sites'!$AA$8:'Sites'!$AC$8)&lt;0,S93&gt;F93+0.001),1,0)</f>
        <v/>
      </c>
      <c r="AO93" s="160">
        <f>I93+U93-T93-X93</f>
        <v/>
      </c>
    </row>
    <row r="94" ht="28" customHeight="1">
      <c r="A94" s="4" t="inlineStr">
        <is>
          <t>Full</t>
        </is>
      </c>
      <c r="B94" s="4" t="inlineStr">
        <is>
          <t>NEW2</t>
        </is>
      </c>
      <c r="C94" s="160" t="n">
        <v>17</v>
      </c>
      <c r="D94" s="160">
        <f>ROUNDUP(C94/12,0)</f>
        <v/>
      </c>
      <c r="E94" s="160">
        <f>IF(AND('Sites'!$E$8*'Cases'!$F$6=1,C94&gt;='Sites'!$F$8+'Cases'!$G$6,C94&lt;='Sites'!$G$8),1,0)</f>
        <v/>
      </c>
      <c r="F94" s="160">
        <f>E94*'Assumptions'!T69</f>
        <v/>
      </c>
      <c r="G94" s="160">
        <f>V93</f>
        <v/>
      </c>
      <c r="H94" s="160">
        <f>W93</f>
        <v/>
      </c>
      <c r="I94" s="160">
        <f>X93</f>
        <v/>
      </c>
      <c r="J94" s="160">
        <f>MAX(0,'Sites'!$J$8-SUM(N90:N93))</f>
        <v/>
      </c>
      <c r="K94" s="160">
        <f>IF('Sites'!$C$8="Own sheets",MIN(ROUNDDOWN(G94/'NM Play'!$B$11,0)+F94*'NM Play'!$B$10/'NM Play'!$B$43,ROUNDDOWN(H94/'NM Play'!$B$12,0)+F94*'NM Play'!$B$10/'NM Play'!$B$44,(F94*'NM Play'!$B$10+ROUNDDOWN(G94/'NM Play'!$B$11,0)*'NM Play'!$B$43+ROUNDDOWN(H94/'NM Play'!$B$12,0)*'NM Play'!$B$44)/('NM Play'!$B$43+'NM Play'!$B$44)),ROUNDDOWN(G94/'NM Play'!$B$11,0)+F94*'NM Play'!$B$10/'NM Play'!$B$43)</f>
        <v/>
      </c>
      <c r="L94" s="160">
        <f>MIN(ROUNDDOWN(G94/'NM Play'!$B$11,0)+F94/('NM Play'!$B$43/'NM Play'!$B$15),ROUNDDOWN(H94/'NM Play'!$B$12,0)+F94/('NM Play'!$B$44/'NM Play'!$B$16),(F94+ROUNDDOWN(G94/'NM Play'!$B$11,0)*'NM Play'!$B$43/'NM Play'!$B$15+ROUNDDOWN(H94/'NM Play'!$B$12,0)*'NM Play'!$B$44/'NM Play'!$B$16)/('NM Play'!$B$43/'NM Play'!$B$15+'NM Play'!$B$44/'NM Play'!$B$16))</f>
        <v/>
      </c>
      <c r="M94" s="160">
        <f>F94*'NM Play'!$B$36</f>
        <v/>
      </c>
      <c r="N94" s="160">
        <f>ROUNDDOWN(MAX(0,MIN(J94,K94:M94)),0)</f>
        <v/>
      </c>
      <c r="O94" s="160">
        <f>ROUNDUP(MAX(0,N94*'NM Play'!$B$11-G94)/'NM Play'!$B$13,0)</f>
        <v/>
      </c>
      <c r="P94" s="160">
        <f>ROUNDUP(MAX(0,N94*'NM Play'!$B$12-H94)/'NM Play'!$B$14,0)</f>
        <v/>
      </c>
      <c r="Q94" s="160">
        <f>(O94+IF('Sites'!$C$8="Own sheets",P94,0))/'NM Play'!$B$10</f>
        <v/>
      </c>
      <c r="R94" s="160">
        <f>O94/'NM Play'!$B$15+P94/'NM Play'!$B$16</f>
        <v/>
      </c>
      <c r="S94" s="160">
        <f>MAX(Q94,R94,N94/'NM Play'!$B$36)</f>
        <v/>
      </c>
      <c r="T94" s="160">
        <f>Q94*'NM Play'!$B$10*'NM Play'!$B$21*(1+'NM Play'!$B$35)</f>
        <v/>
      </c>
      <c r="U94" s="160">
        <f>MAX(0,T94-I94)</f>
        <v/>
      </c>
      <c r="V94" s="160">
        <f>G94+O94*'NM Play'!$B$13-N94*'NM Play'!$B$11</f>
        <v/>
      </c>
      <c r="W94" s="160">
        <f>H94+P94*'NM Play'!$B$14-N94*'NM Play'!$B$12</f>
        <v/>
      </c>
      <c r="X94" s="160">
        <f>I94+U94-T94</f>
        <v/>
      </c>
      <c r="Y94" s="160">
        <f>MIN(N94,MAX(0,ROUNDDOWN('Sites'!$M$8*'Cases'!$E$6,0)-SUM(Y90:Y93)))</f>
        <v/>
      </c>
      <c r="Z94" s="160">
        <f>N94-Y94</f>
        <v/>
      </c>
      <c r="AA94" s="160">
        <f>U94*'NM Play'!$B$22</f>
        <v/>
      </c>
      <c r="AB94" s="160">
        <f>N94*SUM('NM Play'!$B$29:$B$31)</f>
        <v/>
      </c>
      <c r="AC94" s="160">
        <f>IF('Sites'!$C$8="Defy legs",P94*'NM Play'!$B$14/'NM Play'!$B$12*'NM Play'!$B$28,0)</f>
        <v/>
      </c>
      <c r="AD94" s="160">
        <f>Q94*'NM Play'!$B$23</f>
        <v/>
      </c>
      <c r="AE94" s="160">
        <f>S94*SUM('NM Play'!$B$26,'NM Play'!$B$33:$B$34)</f>
        <v/>
      </c>
      <c r="AF94" s="160">
        <f>IF('Sites'!$D$8="NM crew",S94*SUM('NM Play'!$B$24:$B$25),0)</f>
        <v/>
      </c>
      <c r="AG94" s="160">
        <f>IF('Sites'!$D$8="NM crew",S94*'NM Play'!$B$27,0)</f>
        <v/>
      </c>
      <c r="AH94" s="160">
        <f>N94*'Sites'!$Z$8*'NM Play'!$B$32</f>
        <v/>
      </c>
      <c r="AI94" s="160">
        <f>SUM(Y94:Z94)*'Sites'!$R$8</f>
        <v/>
      </c>
      <c r="AJ94" s="160">
        <f>SUM(AA94:AH94)</f>
        <v/>
      </c>
      <c r="AK94" s="160">
        <f>AJ94+(T94-U94)*'NM Play'!$B$22+MIN(G94,N94*'NM Play'!$B$11)/'NM Play'!$B$13*'NM Play'!$B$21*'NM Play'!$B$22+MIN(H94,N94*'NM Play'!$B$12)/'NM Play'!$B$14*IF('Sites'!$C$8="Own sheets",'NM Play'!$B$21*'NM Play'!$B$22,'NM Play'!$B$28*'NM Play'!$B$14/'NM Play'!$B$12)</f>
        <v/>
      </c>
      <c r="AL94" s="160">
        <f>Y94*'Assumptions'!T66</f>
        <v/>
      </c>
      <c r="AM94" s="160">
        <f>IF('Sites'!$D$8="NM crew",S94*'NM Play'!$B$37*(1+IF(AND(ISNUMBER('NM Play'!$B$25),'NM Play'!$B$25&gt;0),1,0)),"")</f>
        <v/>
      </c>
      <c r="AN94" s="160">
        <f>IF(OR('Sites'!$E$8&lt;0,'Sites'!$E$8&gt;1,'Sites'!$F$8&lt;1,'Sites'!$G$8&lt;'Sites'!$F$8,F94&lt;0,MIN('Sites'!$I$8:'Sites'!$R$8)&lt;0,'Sites'!$L$8&gt;'Sites'!$I$8,'Sites'!$M$8&gt;'Sites'!$J$8,'Sites'!$N$8&gt;'Sites'!$K$8,'Sites'!$Z$8&lt;0,'Sites'!$Z$8&gt;1,MIN('Sites'!$AA$8:'Sites'!$AC$8)&lt;0,S94&gt;F94+0.001),1,0)</f>
        <v/>
      </c>
      <c r="AO94" s="160">
        <f>I94+U94-T94-X94</f>
        <v/>
      </c>
    </row>
    <row r="95" ht="28" customHeight="1">
      <c r="A95" s="4" t="inlineStr">
        <is>
          <t>Full</t>
        </is>
      </c>
      <c r="B95" s="4" t="inlineStr">
        <is>
          <t>NEW2</t>
        </is>
      </c>
      <c r="C95" s="160" t="n">
        <v>18</v>
      </c>
      <c r="D95" s="160">
        <f>ROUNDUP(C95/12,0)</f>
        <v/>
      </c>
      <c r="E95" s="160">
        <f>IF(AND('Sites'!$E$8*'Cases'!$F$6=1,C95&gt;='Sites'!$F$8+'Cases'!$G$6,C95&lt;='Sites'!$G$8),1,0)</f>
        <v/>
      </c>
      <c r="F95" s="160">
        <f>E95*'Assumptions'!U69</f>
        <v/>
      </c>
      <c r="G95" s="160">
        <f>V94</f>
        <v/>
      </c>
      <c r="H95" s="160">
        <f>W94</f>
        <v/>
      </c>
      <c r="I95" s="160">
        <f>X94</f>
        <v/>
      </c>
      <c r="J95" s="160">
        <f>MAX(0,'Sites'!$J$8-SUM(N90:N94))</f>
        <v/>
      </c>
      <c r="K95" s="160">
        <f>IF('Sites'!$C$8="Own sheets",MIN(ROUNDDOWN(G95/'NM Play'!$B$11,0)+F95*'NM Play'!$B$10/'NM Play'!$B$43,ROUNDDOWN(H95/'NM Play'!$B$12,0)+F95*'NM Play'!$B$10/'NM Play'!$B$44,(F95*'NM Play'!$B$10+ROUNDDOWN(G95/'NM Play'!$B$11,0)*'NM Play'!$B$43+ROUNDDOWN(H95/'NM Play'!$B$12,0)*'NM Play'!$B$44)/('NM Play'!$B$43+'NM Play'!$B$44)),ROUNDDOWN(G95/'NM Play'!$B$11,0)+F95*'NM Play'!$B$10/'NM Play'!$B$43)</f>
        <v/>
      </c>
      <c r="L95" s="160">
        <f>MIN(ROUNDDOWN(G95/'NM Play'!$B$11,0)+F95/('NM Play'!$B$43/'NM Play'!$B$15),ROUNDDOWN(H95/'NM Play'!$B$12,0)+F95/('NM Play'!$B$44/'NM Play'!$B$16),(F95+ROUNDDOWN(G95/'NM Play'!$B$11,0)*'NM Play'!$B$43/'NM Play'!$B$15+ROUNDDOWN(H95/'NM Play'!$B$12,0)*'NM Play'!$B$44/'NM Play'!$B$16)/('NM Play'!$B$43/'NM Play'!$B$15+'NM Play'!$B$44/'NM Play'!$B$16))</f>
        <v/>
      </c>
      <c r="M95" s="160">
        <f>F95*'NM Play'!$B$36</f>
        <v/>
      </c>
      <c r="N95" s="160">
        <f>ROUNDDOWN(MAX(0,MIN(J95,K95:M95)),0)</f>
        <v/>
      </c>
      <c r="O95" s="160">
        <f>ROUNDUP(MAX(0,N95*'NM Play'!$B$11-G95)/'NM Play'!$B$13,0)</f>
        <v/>
      </c>
      <c r="P95" s="160">
        <f>ROUNDUP(MAX(0,N95*'NM Play'!$B$12-H95)/'NM Play'!$B$14,0)</f>
        <v/>
      </c>
      <c r="Q95" s="160">
        <f>(O95+IF('Sites'!$C$8="Own sheets",P95,0))/'NM Play'!$B$10</f>
        <v/>
      </c>
      <c r="R95" s="160">
        <f>O95/'NM Play'!$B$15+P95/'NM Play'!$B$16</f>
        <v/>
      </c>
      <c r="S95" s="160">
        <f>MAX(Q95,R95,N95/'NM Play'!$B$36)</f>
        <v/>
      </c>
      <c r="T95" s="160">
        <f>Q95*'NM Play'!$B$10*'NM Play'!$B$21*(1+'NM Play'!$B$35)</f>
        <v/>
      </c>
      <c r="U95" s="160">
        <f>MAX(0,T95-I95)</f>
        <v/>
      </c>
      <c r="V95" s="160">
        <f>G95+O95*'NM Play'!$B$13-N95*'NM Play'!$B$11</f>
        <v/>
      </c>
      <c r="W95" s="160">
        <f>H95+P95*'NM Play'!$B$14-N95*'NM Play'!$B$12</f>
        <v/>
      </c>
      <c r="X95" s="160">
        <f>I95+U95-T95</f>
        <v/>
      </c>
      <c r="Y95" s="160">
        <f>MIN(N95,MAX(0,ROUNDDOWN('Sites'!$M$8*'Cases'!$E$6,0)-SUM(Y90:Y94)))</f>
        <v/>
      </c>
      <c r="Z95" s="160">
        <f>N95-Y95</f>
        <v/>
      </c>
      <c r="AA95" s="160">
        <f>U95*'NM Play'!$B$22</f>
        <v/>
      </c>
      <c r="AB95" s="160">
        <f>N95*SUM('NM Play'!$B$29:$B$31)</f>
        <v/>
      </c>
      <c r="AC95" s="160">
        <f>IF('Sites'!$C$8="Defy legs",P95*'NM Play'!$B$14/'NM Play'!$B$12*'NM Play'!$B$28,0)</f>
        <v/>
      </c>
      <c r="AD95" s="160">
        <f>Q95*'NM Play'!$B$23</f>
        <v/>
      </c>
      <c r="AE95" s="160">
        <f>S95*SUM('NM Play'!$B$26,'NM Play'!$B$33:$B$34)</f>
        <v/>
      </c>
      <c r="AF95" s="160">
        <f>IF('Sites'!$D$8="NM crew",S95*SUM('NM Play'!$B$24:$B$25),0)</f>
        <v/>
      </c>
      <c r="AG95" s="160">
        <f>IF('Sites'!$D$8="NM crew",S95*'NM Play'!$B$27,0)</f>
        <v/>
      </c>
      <c r="AH95" s="160">
        <f>N95*'Sites'!$Z$8*'NM Play'!$B$32</f>
        <v/>
      </c>
      <c r="AI95" s="160">
        <f>SUM(Y95:Z95)*'Sites'!$R$8</f>
        <v/>
      </c>
      <c r="AJ95" s="160">
        <f>SUM(AA95:AH95)</f>
        <v/>
      </c>
      <c r="AK95" s="160">
        <f>AJ95+(T95-U95)*'NM Play'!$B$22+MIN(G95,N95*'NM Play'!$B$11)/'NM Play'!$B$13*'NM Play'!$B$21*'NM Play'!$B$22+MIN(H95,N95*'NM Play'!$B$12)/'NM Play'!$B$14*IF('Sites'!$C$8="Own sheets",'NM Play'!$B$21*'NM Play'!$B$22,'NM Play'!$B$28*'NM Play'!$B$14/'NM Play'!$B$12)</f>
        <v/>
      </c>
      <c r="AL95" s="160">
        <f>Y95*'Assumptions'!U66</f>
        <v/>
      </c>
      <c r="AM95" s="160">
        <f>IF('Sites'!$D$8="NM crew",S95*'NM Play'!$B$37*(1+IF(AND(ISNUMBER('NM Play'!$B$25),'NM Play'!$B$25&gt;0),1,0)),"")</f>
        <v/>
      </c>
      <c r="AN95" s="160">
        <f>IF(OR('Sites'!$E$8&lt;0,'Sites'!$E$8&gt;1,'Sites'!$F$8&lt;1,'Sites'!$G$8&lt;'Sites'!$F$8,F95&lt;0,MIN('Sites'!$I$8:'Sites'!$R$8)&lt;0,'Sites'!$L$8&gt;'Sites'!$I$8,'Sites'!$M$8&gt;'Sites'!$J$8,'Sites'!$N$8&gt;'Sites'!$K$8,'Sites'!$Z$8&lt;0,'Sites'!$Z$8&gt;1,MIN('Sites'!$AA$8:'Sites'!$AC$8)&lt;0,S95&gt;F95+0.001),1,0)</f>
        <v/>
      </c>
      <c r="AO95" s="160">
        <f>I95+U95-T95-X95</f>
        <v/>
      </c>
    </row>
    <row r="96" ht="28" customHeight="1">
      <c r="A96" s="4" t="inlineStr">
        <is>
          <t>Full</t>
        </is>
      </c>
      <c r="B96" s="4" t="inlineStr">
        <is>
          <t>NEW2</t>
        </is>
      </c>
      <c r="C96" s="160" t="n">
        <v>19</v>
      </c>
      <c r="D96" s="160">
        <f>ROUNDUP(C96/12,0)</f>
        <v/>
      </c>
      <c r="E96" s="160">
        <f>IF(AND('Sites'!$E$8*'Cases'!$F$6=1,C96&gt;='Sites'!$F$8+'Cases'!$G$6,C96&lt;='Sites'!$G$8),1,0)</f>
        <v/>
      </c>
      <c r="F96" s="160">
        <f>E96*'Assumptions'!V69</f>
        <v/>
      </c>
      <c r="G96" s="160">
        <f>V95</f>
        <v/>
      </c>
      <c r="H96" s="160">
        <f>W95</f>
        <v/>
      </c>
      <c r="I96" s="160">
        <f>X95</f>
        <v/>
      </c>
      <c r="J96" s="160">
        <f>MAX(0,'Sites'!$J$8-SUM(N90:N95))</f>
        <v/>
      </c>
      <c r="K96" s="160">
        <f>IF('Sites'!$C$8="Own sheets",MIN(ROUNDDOWN(G96/'NM Play'!$B$11,0)+F96*'NM Play'!$B$10/'NM Play'!$B$43,ROUNDDOWN(H96/'NM Play'!$B$12,0)+F96*'NM Play'!$B$10/'NM Play'!$B$44,(F96*'NM Play'!$B$10+ROUNDDOWN(G96/'NM Play'!$B$11,0)*'NM Play'!$B$43+ROUNDDOWN(H96/'NM Play'!$B$12,0)*'NM Play'!$B$44)/('NM Play'!$B$43+'NM Play'!$B$44)),ROUNDDOWN(G96/'NM Play'!$B$11,0)+F96*'NM Play'!$B$10/'NM Play'!$B$43)</f>
        <v/>
      </c>
      <c r="L96" s="160">
        <f>MIN(ROUNDDOWN(G96/'NM Play'!$B$11,0)+F96/('NM Play'!$B$43/'NM Play'!$B$15),ROUNDDOWN(H96/'NM Play'!$B$12,0)+F96/('NM Play'!$B$44/'NM Play'!$B$16),(F96+ROUNDDOWN(G96/'NM Play'!$B$11,0)*'NM Play'!$B$43/'NM Play'!$B$15+ROUNDDOWN(H96/'NM Play'!$B$12,0)*'NM Play'!$B$44/'NM Play'!$B$16)/('NM Play'!$B$43/'NM Play'!$B$15+'NM Play'!$B$44/'NM Play'!$B$16))</f>
        <v/>
      </c>
      <c r="M96" s="160">
        <f>F96*'NM Play'!$B$36</f>
        <v/>
      </c>
      <c r="N96" s="160">
        <f>ROUNDDOWN(MAX(0,MIN(J96,K96:M96)),0)</f>
        <v/>
      </c>
      <c r="O96" s="160">
        <f>ROUNDUP(MAX(0,N96*'NM Play'!$B$11-G96)/'NM Play'!$B$13,0)</f>
        <v/>
      </c>
      <c r="P96" s="160">
        <f>ROUNDUP(MAX(0,N96*'NM Play'!$B$12-H96)/'NM Play'!$B$14,0)</f>
        <v/>
      </c>
      <c r="Q96" s="160">
        <f>(O96+IF('Sites'!$C$8="Own sheets",P96,0))/'NM Play'!$B$10</f>
        <v/>
      </c>
      <c r="R96" s="160">
        <f>O96/'NM Play'!$B$15+P96/'NM Play'!$B$16</f>
        <v/>
      </c>
      <c r="S96" s="160">
        <f>MAX(Q96,R96,N96/'NM Play'!$B$36)</f>
        <v/>
      </c>
      <c r="T96" s="160">
        <f>Q96*'NM Play'!$B$10*'NM Play'!$B$21*(1+'NM Play'!$B$35)</f>
        <v/>
      </c>
      <c r="U96" s="160">
        <f>MAX(0,T96-I96)</f>
        <v/>
      </c>
      <c r="V96" s="160">
        <f>G96+O96*'NM Play'!$B$13-N96*'NM Play'!$B$11</f>
        <v/>
      </c>
      <c r="W96" s="160">
        <f>H96+P96*'NM Play'!$B$14-N96*'NM Play'!$B$12</f>
        <v/>
      </c>
      <c r="X96" s="160">
        <f>I96+U96-T96</f>
        <v/>
      </c>
      <c r="Y96" s="160">
        <f>MIN(N96,MAX(0,ROUNDDOWN('Sites'!$M$8*'Cases'!$E$6,0)-SUM(Y90:Y95)))</f>
        <v/>
      </c>
      <c r="Z96" s="160">
        <f>N96-Y96</f>
        <v/>
      </c>
      <c r="AA96" s="160">
        <f>U96*'NM Play'!$B$22</f>
        <v/>
      </c>
      <c r="AB96" s="160">
        <f>N96*SUM('NM Play'!$B$29:$B$31)</f>
        <v/>
      </c>
      <c r="AC96" s="160">
        <f>IF('Sites'!$C$8="Defy legs",P96*'NM Play'!$B$14/'NM Play'!$B$12*'NM Play'!$B$28,0)</f>
        <v/>
      </c>
      <c r="AD96" s="160">
        <f>Q96*'NM Play'!$B$23</f>
        <v/>
      </c>
      <c r="AE96" s="160">
        <f>S96*SUM('NM Play'!$B$26,'NM Play'!$B$33:$B$34)</f>
        <v/>
      </c>
      <c r="AF96" s="160">
        <f>IF('Sites'!$D$8="NM crew",S96*SUM('NM Play'!$B$24:$B$25),0)</f>
        <v/>
      </c>
      <c r="AG96" s="160">
        <f>IF('Sites'!$D$8="NM crew",S96*'NM Play'!$B$27,0)</f>
        <v/>
      </c>
      <c r="AH96" s="160">
        <f>N96*'Sites'!$Z$8*'NM Play'!$B$32</f>
        <v/>
      </c>
      <c r="AI96" s="160">
        <f>SUM(Y96:Z96)*'Sites'!$R$8</f>
        <v/>
      </c>
      <c r="AJ96" s="160">
        <f>SUM(AA96:AH96)</f>
        <v/>
      </c>
      <c r="AK96" s="160">
        <f>AJ96+(T96-U96)*'NM Play'!$B$22+MIN(G96,N96*'NM Play'!$B$11)/'NM Play'!$B$13*'NM Play'!$B$21*'NM Play'!$B$22+MIN(H96,N96*'NM Play'!$B$12)/'NM Play'!$B$14*IF('Sites'!$C$8="Own sheets",'NM Play'!$B$21*'NM Play'!$B$22,'NM Play'!$B$28*'NM Play'!$B$14/'NM Play'!$B$12)</f>
        <v/>
      </c>
      <c r="AL96" s="160">
        <f>Y96*'Assumptions'!V66</f>
        <v/>
      </c>
      <c r="AM96" s="160">
        <f>IF('Sites'!$D$8="NM crew",S96*'NM Play'!$B$37*(1+IF(AND(ISNUMBER('NM Play'!$B$25),'NM Play'!$B$25&gt;0),1,0)),"")</f>
        <v/>
      </c>
      <c r="AN96" s="160">
        <f>IF(OR('Sites'!$E$8&lt;0,'Sites'!$E$8&gt;1,'Sites'!$F$8&lt;1,'Sites'!$G$8&lt;'Sites'!$F$8,F96&lt;0,MIN('Sites'!$I$8:'Sites'!$R$8)&lt;0,'Sites'!$L$8&gt;'Sites'!$I$8,'Sites'!$M$8&gt;'Sites'!$J$8,'Sites'!$N$8&gt;'Sites'!$K$8,'Sites'!$Z$8&lt;0,'Sites'!$Z$8&gt;1,MIN('Sites'!$AA$8:'Sites'!$AC$8)&lt;0,S96&gt;F96+0.001),1,0)</f>
        <v/>
      </c>
      <c r="AO96" s="160">
        <f>I96+U96-T96-X96</f>
        <v/>
      </c>
    </row>
    <row r="97" ht="28" customHeight="1">
      <c r="A97" s="4" t="inlineStr">
        <is>
          <t>Full</t>
        </is>
      </c>
      <c r="B97" s="4" t="inlineStr">
        <is>
          <t>NEW2</t>
        </is>
      </c>
      <c r="C97" s="160" t="n">
        <v>20</v>
      </c>
      <c r="D97" s="160">
        <f>ROUNDUP(C97/12,0)</f>
        <v/>
      </c>
      <c r="E97" s="160">
        <f>IF(AND('Sites'!$E$8*'Cases'!$F$6=1,C97&gt;='Sites'!$F$8+'Cases'!$G$6,C97&lt;='Sites'!$G$8),1,0)</f>
        <v/>
      </c>
      <c r="F97" s="160">
        <f>E97*'Assumptions'!W69</f>
        <v/>
      </c>
      <c r="G97" s="160">
        <f>V96</f>
        <v/>
      </c>
      <c r="H97" s="160">
        <f>W96</f>
        <v/>
      </c>
      <c r="I97" s="160">
        <f>X96</f>
        <v/>
      </c>
      <c r="J97" s="160">
        <f>MAX(0,'Sites'!$J$8-SUM(N90:N96))</f>
        <v/>
      </c>
      <c r="K97" s="160">
        <f>IF('Sites'!$C$8="Own sheets",MIN(ROUNDDOWN(G97/'NM Play'!$B$11,0)+F97*'NM Play'!$B$10/'NM Play'!$B$43,ROUNDDOWN(H97/'NM Play'!$B$12,0)+F97*'NM Play'!$B$10/'NM Play'!$B$44,(F97*'NM Play'!$B$10+ROUNDDOWN(G97/'NM Play'!$B$11,0)*'NM Play'!$B$43+ROUNDDOWN(H97/'NM Play'!$B$12,0)*'NM Play'!$B$44)/('NM Play'!$B$43+'NM Play'!$B$44)),ROUNDDOWN(G97/'NM Play'!$B$11,0)+F97*'NM Play'!$B$10/'NM Play'!$B$43)</f>
        <v/>
      </c>
      <c r="L97" s="160">
        <f>MIN(ROUNDDOWN(G97/'NM Play'!$B$11,0)+F97/('NM Play'!$B$43/'NM Play'!$B$15),ROUNDDOWN(H97/'NM Play'!$B$12,0)+F97/('NM Play'!$B$44/'NM Play'!$B$16),(F97+ROUNDDOWN(G97/'NM Play'!$B$11,0)*'NM Play'!$B$43/'NM Play'!$B$15+ROUNDDOWN(H97/'NM Play'!$B$12,0)*'NM Play'!$B$44/'NM Play'!$B$16)/('NM Play'!$B$43/'NM Play'!$B$15+'NM Play'!$B$44/'NM Play'!$B$16))</f>
        <v/>
      </c>
      <c r="M97" s="160">
        <f>F97*'NM Play'!$B$36</f>
        <v/>
      </c>
      <c r="N97" s="160">
        <f>ROUNDDOWN(MAX(0,MIN(J97,K97:M97)),0)</f>
        <v/>
      </c>
      <c r="O97" s="160">
        <f>ROUNDUP(MAX(0,N97*'NM Play'!$B$11-G97)/'NM Play'!$B$13,0)</f>
        <v/>
      </c>
      <c r="P97" s="160">
        <f>ROUNDUP(MAX(0,N97*'NM Play'!$B$12-H97)/'NM Play'!$B$14,0)</f>
        <v/>
      </c>
      <c r="Q97" s="160">
        <f>(O97+IF('Sites'!$C$8="Own sheets",P97,0))/'NM Play'!$B$10</f>
        <v/>
      </c>
      <c r="R97" s="160">
        <f>O97/'NM Play'!$B$15+P97/'NM Play'!$B$16</f>
        <v/>
      </c>
      <c r="S97" s="160">
        <f>MAX(Q97,R97,N97/'NM Play'!$B$36)</f>
        <v/>
      </c>
      <c r="T97" s="160">
        <f>Q97*'NM Play'!$B$10*'NM Play'!$B$21*(1+'NM Play'!$B$35)</f>
        <v/>
      </c>
      <c r="U97" s="160">
        <f>MAX(0,T97-I97)</f>
        <v/>
      </c>
      <c r="V97" s="160">
        <f>G97+O97*'NM Play'!$B$13-N97*'NM Play'!$B$11</f>
        <v/>
      </c>
      <c r="W97" s="160">
        <f>H97+P97*'NM Play'!$B$14-N97*'NM Play'!$B$12</f>
        <v/>
      </c>
      <c r="X97" s="160">
        <f>I97+U97-T97</f>
        <v/>
      </c>
      <c r="Y97" s="160">
        <f>MIN(N97,MAX(0,ROUNDDOWN('Sites'!$M$8*'Cases'!$E$6,0)-SUM(Y90:Y96)))</f>
        <v/>
      </c>
      <c r="Z97" s="160">
        <f>N97-Y97</f>
        <v/>
      </c>
      <c r="AA97" s="160">
        <f>U97*'NM Play'!$B$22</f>
        <v/>
      </c>
      <c r="AB97" s="160">
        <f>N97*SUM('NM Play'!$B$29:$B$31)</f>
        <v/>
      </c>
      <c r="AC97" s="160">
        <f>IF('Sites'!$C$8="Defy legs",P97*'NM Play'!$B$14/'NM Play'!$B$12*'NM Play'!$B$28,0)</f>
        <v/>
      </c>
      <c r="AD97" s="160">
        <f>Q97*'NM Play'!$B$23</f>
        <v/>
      </c>
      <c r="AE97" s="160">
        <f>S97*SUM('NM Play'!$B$26,'NM Play'!$B$33:$B$34)</f>
        <v/>
      </c>
      <c r="AF97" s="160">
        <f>IF('Sites'!$D$8="NM crew",S97*SUM('NM Play'!$B$24:$B$25),0)</f>
        <v/>
      </c>
      <c r="AG97" s="160">
        <f>IF('Sites'!$D$8="NM crew",S97*'NM Play'!$B$27,0)</f>
        <v/>
      </c>
      <c r="AH97" s="160">
        <f>N97*'Sites'!$Z$8*'NM Play'!$B$32</f>
        <v/>
      </c>
      <c r="AI97" s="160">
        <f>SUM(Y97:Z97)*'Sites'!$R$8</f>
        <v/>
      </c>
      <c r="AJ97" s="160">
        <f>SUM(AA97:AH97)</f>
        <v/>
      </c>
      <c r="AK97" s="160">
        <f>AJ97+(T97-U97)*'NM Play'!$B$22+MIN(G97,N97*'NM Play'!$B$11)/'NM Play'!$B$13*'NM Play'!$B$21*'NM Play'!$B$22+MIN(H97,N97*'NM Play'!$B$12)/'NM Play'!$B$14*IF('Sites'!$C$8="Own sheets",'NM Play'!$B$21*'NM Play'!$B$22,'NM Play'!$B$28*'NM Play'!$B$14/'NM Play'!$B$12)</f>
        <v/>
      </c>
      <c r="AL97" s="160">
        <f>Y97*'Assumptions'!W66</f>
        <v/>
      </c>
      <c r="AM97" s="160">
        <f>IF('Sites'!$D$8="NM crew",S97*'NM Play'!$B$37*(1+IF(AND(ISNUMBER('NM Play'!$B$25),'NM Play'!$B$25&gt;0),1,0)),"")</f>
        <v/>
      </c>
      <c r="AN97" s="160">
        <f>IF(OR('Sites'!$E$8&lt;0,'Sites'!$E$8&gt;1,'Sites'!$F$8&lt;1,'Sites'!$G$8&lt;'Sites'!$F$8,F97&lt;0,MIN('Sites'!$I$8:'Sites'!$R$8)&lt;0,'Sites'!$L$8&gt;'Sites'!$I$8,'Sites'!$M$8&gt;'Sites'!$J$8,'Sites'!$N$8&gt;'Sites'!$K$8,'Sites'!$Z$8&lt;0,'Sites'!$Z$8&gt;1,MIN('Sites'!$AA$8:'Sites'!$AC$8)&lt;0,S97&gt;F97+0.001),1,0)</f>
        <v/>
      </c>
      <c r="AO97" s="160">
        <f>I97+U97-T97-X97</f>
        <v/>
      </c>
    </row>
    <row r="98" ht="28" customHeight="1">
      <c r="A98" s="4" t="inlineStr">
        <is>
          <t>Full</t>
        </is>
      </c>
      <c r="B98" s="4" t="inlineStr">
        <is>
          <t>NEW2</t>
        </is>
      </c>
      <c r="C98" s="160" t="n">
        <v>21</v>
      </c>
      <c r="D98" s="160">
        <f>ROUNDUP(C98/12,0)</f>
        <v/>
      </c>
      <c r="E98" s="160">
        <f>IF(AND('Sites'!$E$8*'Cases'!$F$6=1,C98&gt;='Sites'!$F$8+'Cases'!$G$6,C98&lt;='Sites'!$G$8),1,0)</f>
        <v/>
      </c>
      <c r="F98" s="160">
        <f>E98*'Assumptions'!X69</f>
        <v/>
      </c>
      <c r="G98" s="160">
        <f>V97</f>
        <v/>
      </c>
      <c r="H98" s="160">
        <f>W97</f>
        <v/>
      </c>
      <c r="I98" s="160">
        <f>X97</f>
        <v/>
      </c>
      <c r="J98" s="160">
        <f>MAX(0,'Sites'!$J$8-SUM(N90:N97))</f>
        <v/>
      </c>
      <c r="K98" s="160">
        <f>IF('Sites'!$C$8="Own sheets",MIN(ROUNDDOWN(G98/'NM Play'!$B$11,0)+F98*'NM Play'!$B$10/'NM Play'!$B$43,ROUNDDOWN(H98/'NM Play'!$B$12,0)+F98*'NM Play'!$B$10/'NM Play'!$B$44,(F98*'NM Play'!$B$10+ROUNDDOWN(G98/'NM Play'!$B$11,0)*'NM Play'!$B$43+ROUNDDOWN(H98/'NM Play'!$B$12,0)*'NM Play'!$B$44)/('NM Play'!$B$43+'NM Play'!$B$44)),ROUNDDOWN(G98/'NM Play'!$B$11,0)+F98*'NM Play'!$B$10/'NM Play'!$B$43)</f>
        <v/>
      </c>
      <c r="L98" s="160">
        <f>MIN(ROUNDDOWN(G98/'NM Play'!$B$11,0)+F98/('NM Play'!$B$43/'NM Play'!$B$15),ROUNDDOWN(H98/'NM Play'!$B$12,0)+F98/('NM Play'!$B$44/'NM Play'!$B$16),(F98+ROUNDDOWN(G98/'NM Play'!$B$11,0)*'NM Play'!$B$43/'NM Play'!$B$15+ROUNDDOWN(H98/'NM Play'!$B$12,0)*'NM Play'!$B$44/'NM Play'!$B$16)/('NM Play'!$B$43/'NM Play'!$B$15+'NM Play'!$B$44/'NM Play'!$B$16))</f>
        <v/>
      </c>
      <c r="M98" s="160">
        <f>F98*'NM Play'!$B$36</f>
        <v/>
      </c>
      <c r="N98" s="160">
        <f>ROUNDDOWN(MAX(0,MIN(J98,K98:M98)),0)</f>
        <v/>
      </c>
      <c r="O98" s="160">
        <f>ROUNDUP(MAX(0,N98*'NM Play'!$B$11-G98)/'NM Play'!$B$13,0)</f>
        <v/>
      </c>
      <c r="P98" s="160">
        <f>ROUNDUP(MAX(0,N98*'NM Play'!$B$12-H98)/'NM Play'!$B$14,0)</f>
        <v/>
      </c>
      <c r="Q98" s="160">
        <f>(O98+IF('Sites'!$C$8="Own sheets",P98,0))/'NM Play'!$B$10</f>
        <v/>
      </c>
      <c r="R98" s="160">
        <f>O98/'NM Play'!$B$15+P98/'NM Play'!$B$16</f>
        <v/>
      </c>
      <c r="S98" s="160">
        <f>MAX(Q98,R98,N98/'NM Play'!$B$36)</f>
        <v/>
      </c>
      <c r="T98" s="160">
        <f>Q98*'NM Play'!$B$10*'NM Play'!$B$21*(1+'NM Play'!$B$35)</f>
        <v/>
      </c>
      <c r="U98" s="160">
        <f>MAX(0,T98-I98)</f>
        <v/>
      </c>
      <c r="V98" s="160">
        <f>G98+O98*'NM Play'!$B$13-N98*'NM Play'!$B$11</f>
        <v/>
      </c>
      <c r="W98" s="160">
        <f>H98+P98*'NM Play'!$B$14-N98*'NM Play'!$B$12</f>
        <v/>
      </c>
      <c r="X98" s="160">
        <f>I98+U98-T98</f>
        <v/>
      </c>
      <c r="Y98" s="160">
        <f>MIN(N98,MAX(0,ROUNDDOWN('Sites'!$M$8*'Cases'!$E$6,0)-SUM(Y90:Y97)))</f>
        <v/>
      </c>
      <c r="Z98" s="160">
        <f>N98-Y98</f>
        <v/>
      </c>
      <c r="AA98" s="160">
        <f>U98*'NM Play'!$B$22</f>
        <v/>
      </c>
      <c r="AB98" s="160">
        <f>N98*SUM('NM Play'!$B$29:$B$31)</f>
        <v/>
      </c>
      <c r="AC98" s="160">
        <f>IF('Sites'!$C$8="Defy legs",P98*'NM Play'!$B$14/'NM Play'!$B$12*'NM Play'!$B$28,0)</f>
        <v/>
      </c>
      <c r="AD98" s="160">
        <f>Q98*'NM Play'!$B$23</f>
        <v/>
      </c>
      <c r="AE98" s="160">
        <f>S98*SUM('NM Play'!$B$26,'NM Play'!$B$33:$B$34)</f>
        <v/>
      </c>
      <c r="AF98" s="160">
        <f>IF('Sites'!$D$8="NM crew",S98*SUM('NM Play'!$B$24:$B$25),0)</f>
        <v/>
      </c>
      <c r="AG98" s="160">
        <f>IF('Sites'!$D$8="NM crew",S98*'NM Play'!$B$27,0)</f>
        <v/>
      </c>
      <c r="AH98" s="160">
        <f>N98*'Sites'!$Z$8*'NM Play'!$B$32</f>
        <v/>
      </c>
      <c r="AI98" s="160">
        <f>SUM(Y98:Z98)*'Sites'!$R$8</f>
        <v/>
      </c>
      <c r="AJ98" s="160">
        <f>SUM(AA98:AH98)</f>
        <v/>
      </c>
      <c r="AK98" s="160">
        <f>AJ98+(T98-U98)*'NM Play'!$B$22+MIN(G98,N98*'NM Play'!$B$11)/'NM Play'!$B$13*'NM Play'!$B$21*'NM Play'!$B$22+MIN(H98,N98*'NM Play'!$B$12)/'NM Play'!$B$14*IF('Sites'!$C$8="Own sheets",'NM Play'!$B$21*'NM Play'!$B$22,'NM Play'!$B$28*'NM Play'!$B$14/'NM Play'!$B$12)</f>
        <v/>
      </c>
      <c r="AL98" s="160">
        <f>Y98*'Assumptions'!X66</f>
        <v/>
      </c>
      <c r="AM98" s="160">
        <f>IF('Sites'!$D$8="NM crew",S98*'NM Play'!$B$37*(1+IF(AND(ISNUMBER('NM Play'!$B$25),'NM Play'!$B$25&gt;0),1,0)),"")</f>
        <v/>
      </c>
      <c r="AN98" s="160">
        <f>IF(OR('Sites'!$E$8&lt;0,'Sites'!$E$8&gt;1,'Sites'!$F$8&lt;1,'Sites'!$G$8&lt;'Sites'!$F$8,F98&lt;0,MIN('Sites'!$I$8:'Sites'!$R$8)&lt;0,'Sites'!$L$8&gt;'Sites'!$I$8,'Sites'!$M$8&gt;'Sites'!$J$8,'Sites'!$N$8&gt;'Sites'!$K$8,'Sites'!$Z$8&lt;0,'Sites'!$Z$8&gt;1,MIN('Sites'!$AA$8:'Sites'!$AC$8)&lt;0,S98&gt;F98+0.001),1,0)</f>
        <v/>
      </c>
      <c r="AO98" s="160">
        <f>I98+U98-T98-X98</f>
        <v/>
      </c>
    </row>
    <row r="99" ht="28" customHeight="1">
      <c r="A99" s="4" t="inlineStr">
        <is>
          <t>Full</t>
        </is>
      </c>
      <c r="B99" s="4" t="inlineStr">
        <is>
          <t>NEW2</t>
        </is>
      </c>
      <c r="C99" s="160" t="n">
        <v>22</v>
      </c>
      <c r="D99" s="160">
        <f>ROUNDUP(C99/12,0)</f>
        <v/>
      </c>
      <c r="E99" s="160">
        <f>IF(AND('Sites'!$E$8*'Cases'!$F$6=1,C99&gt;='Sites'!$F$8+'Cases'!$G$6,C99&lt;='Sites'!$G$8),1,0)</f>
        <v/>
      </c>
      <c r="F99" s="160">
        <f>E99*'Assumptions'!Y69</f>
        <v/>
      </c>
      <c r="G99" s="160">
        <f>V98</f>
        <v/>
      </c>
      <c r="H99" s="160">
        <f>W98</f>
        <v/>
      </c>
      <c r="I99" s="160">
        <f>X98</f>
        <v/>
      </c>
      <c r="J99" s="160">
        <f>MAX(0,'Sites'!$J$8-SUM(N90:N98))</f>
        <v/>
      </c>
      <c r="K99" s="160">
        <f>IF('Sites'!$C$8="Own sheets",MIN(ROUNDDOWN(G99/'NM Play'!$B$11,0)+F99*'NM Play'!$B$10/'NM Play'!$B$43,ROUNDDOWN(H99/'NM Play'!$B$12,0)+F99*'NM Play'!$B$10/'NM Play'!$B$44,(F99*'NM Play'!$B$10+ROUNDDOWN(G99/'NM Play'!$B$11,0)*'NM Play'!$B$43+ROUNDDOWN(H99/'NM Play'!$B$12,0)*'NM Play'!$B$44)/('NM Play'!$B$43+'NM Play'!$B$44)),ROUNDDOWN(G99/'NM Play'!$B$11,0)+F99*'NM Play'!$B$10/'NM Play'!$B$43)</f>
        <v/>
      </c>
      <c r="L99" s="160">
        <f>MIN(ROUNDDOWN(G99/'NM Play'!$B$11,0)+F99/('NM Play'!$B$43/'NM Play'!$B$15),ROUNDDOWN(H99/'NM Play'!$B$12,0)+F99/('NM Play'!$B$44/'NM Play'!$B$16),(F99+ROUNDDOWN(G99/'NM Play'!$B$11,0)*'NM Play'!$B$43/'NM Play'!$B$15+ROUNDDOWN(H99/'NM Play'!$B$12,0)*'NM Play'!$B$44/'NM Play'!$B$16)/('NM Play'!$B$43/'NM Play'!$B$15+'NM Play'!$B$44/'NM Play'!$B$16))</f>
        <v/>
      </c>
      <c r="M99" s="160">
        <f>F99*'NM Play'!$B$36</f>
        <v/>
      </c>
      <c r="N99" s="160">
        <f>ROUNDDOWN(MAX(0,MIN(J99,K99:M99)),0)</f>
        <v/>
      </c>
      <c r="O99" s="160">
        <f>ROUNDUP(MAX(0,N99*'NM Play'!$B$11-G99)/'NM Play'!$B$13,0)</f>
        <v/>
      </c>
      <c r="P99" s="160">
        <f>ROUNDUP(MAX(0,N99*'NM Play'!$B$12-H99)/'NM Play'!$B$14,0)</f>
        <v/>
      </c>
      <c r="Q99" s="160">
        <f>(O99+IF('Sites'!$C$8="Own sheets",P99,0))/'NM Play'!$B$10</f>
        <v/>
      </c>
      <c r="R99" s="160">
        <f>O99/'NM Play'!$B$15+P99/'NM Play'!$B$16</f>
        <v/>
      </c>
      <c r="S99" s="160">
        <f>MAX(Q99,R99,N99/'NM Play'!$B$36)</f>
        <v/>
      </c>
      <c r="T99" s="160">
        <f>Q99*'NM Play'!$B$10*'NM Play'!$B$21*(1+'NM Play'!$B$35)</f>
        <v/>
      </c>
      <c r="U99" s="160">
        <f>MAX(0,T99-I99)</f>
        <v/>
      </c>
      <c r="V99" s="160">
        <f>G99+O99*'NM Play'!$B$13-N99*'NM Play'!$B$11</f>
        <v/>
      </c>
      <c r="W99" s="160">
        <f>H99+P99*'NM Play'!$B$14-N99*'NM Play'!$B$12</f>
        <v/>
      </c>
      <c r="X99" s="160">
        <f>I99+U99-T99</f>
        <v/>
      </c>
      <c r="Y99" s="160">
        <f>MIN(N99,MAX(0,ROUNDDOWN('Sites'!$M$8*'Cases'!$E$6,0)-SUM(Y90:Y98)))</f>
        <v/>
      </c>
      <c r="Z99" s="160">
        <f>N99-Y99</f>
        <v/>
      </c>
      <c r="AA99" s="160">
        <f>U99*'NM Play'!$B$22</f>
        <v/>
      </c>
      <c r="AB99" s="160">
        <f>N99*SUM('NM Play'!$B$29:$B$31)</f>
        <v/>
      </c>
      <c r="AC99" s="160">
        <f>IF('Sites'!$C$8="Defy legs",P99*'NM Play'!$B$14/'NM Play'!$B$12*'NM Play'!$B$28,0)</f>
        <v/>
      </c>
      <c r="AD99" s="160">
        <f>Q99*'NM Play'!$B$23</f>
        <v/>
      </c>
      <c r="AE99" s="160">
        <f>S99*SUM('NM Play'!$B$26,'NM Play'!$B$33:$B$34)</f>
        <v/>
      </c>
      <c r="AF99" s="160">
        <f>IF('Sites'!$D$8="NM crew",S99*SUM('NM Play'!$B$24:$B$25),0)</f>
        <v/>
      </c>
      <c r="AG99" s="160">
        <f>IF('Sites'!$D$8="NM crew",S99*'NM Play'!$B$27,0)</f>
        <v/>
      </c>
      <c r="AH99" s="160">
        <f>N99*'Sites'!$Z$8*'NM Play'!$B$32</f>
        <v/>
      </c>
      <c r="AI99" s="160">
        <f>SUM(Y99:Z99)*'Sites'!$R$8</f>
        <v/>
      </c>
      <c r="AJ99" s="160">
        <f>SUM(AA99:AH99)</f>
        <v/>
      </c>
      <c r="AK99" s="160">
        <f>AJ99+(T99-U99)*'NM Play'!$B$22+MIN(G99,N99*'NM Play'!$B$11)/'NM Play'!$B$13*'NM Play'!$B$21*'NM Play'!$B$22+MIN(H99,N99*'NM Play'!$B$12)/'NM Play'!$B$14*IF('Sites'!$C$8="Own sheets",'NM Play'!$B$21*'NM Play'!$B$22,'NM Play'!$B$28*'NM Play'!$B$14/'NM Play'!$B$12)</f>
        <v/>
      </c>
      <c r="AL99" s="160">
        <f>Y99*'Assumptions'!Y66</f>
        <v/>
      </c>
      <c r="AM99" s="160">
        <f>IF('Sites'!$D$8="NM crew",S99*'NM Play'!$B$37*(1+IF(AND(ISNUMBER('NM Play'!$B$25),'NM Play'!$B$25&gt;0),1,0)),"")</f>
        <v/>
      </c>
      <c r="AN99" s="160">
        <f>IF(OR('Sites'!$E$8&lt;0,'Sites'!$E$8&gt;1,'Sites'!$F$8&lt;1,'Sites'!$G$8&lt;'Sites'!$F$8,F99&lt;0,MIN('Sites'!$I$8:'Sites'!$R$8)&lt;0,'Sites'!$L$8&gt;'Sites'!$I$8,'Sites'!$M$8&gt;'Sites'!$J$8,'Sites'!$N$8&gt;'Sites'!$K$8,'Sites'!$Z$8&lt;0,'Sites'!$Z$8&gt;1,MIN('Sites'!$AA$8:'Sites'!$AC$8)&lt;0,S99&gt;F99+0.001),1,0)</f>
        <v/>
      </c>
      <c r="AO99" s="160">
        <f>I99+U99-T99-X99</f>
        <v/>
      </c>
    </row>
    <row r="100" ht="28" customHeight="1">
      <c r="A100" s="4" t="inlineStr">
        <is>
          <t>Full</t>
        </is>
      </c>
      <c r="B100" s="4" t="inlineStr">
        <is>
          <t>NEW2</t>
        </is>
      </c>
      <c r="C100" s="160" t="n">
        <v>23</v>
      </c>
      <c r="D100" s="160">
        <f>ROUNDUP(C100/12,0)</f>
        <v/>
      </c>
      <c r="E100" s="160">
        <f>IF(AND('Sites'!$E$8*'Cases'!$F$6=1,C100&gt;='Sites'!$F$8+'Cases'!$G$6,C100&lt;='Sites'!$G$8),1,0)</f>
        <v/>
      </c>
      <c r="F100" s="160">
        <f>E100*'Assumptions'!Z69</f>
        <v/>
      </c>
      <c r="G100" s="160">
        <f>V99</f>
        <v/>
      </c>
      <c r="H100" s="160">
        <f>W99</f>
        <v/>
      </c>
      <c r="I100" s="160">
        <f>X99</f>
        <v/>
      </c>
      <c r="J100" s="160">
        <f>MAX(0,'Sites'!$J$8-SUM(N90:N99))</f>
        <v/>
      </c>
      <c r="K100" s="160">
        <f>IF('Sites'!$C$8="Own sheets",MIN(ROUNDDOWN(G100/'NM Play'!$B$11,0)+F100*'NM Play'!$B$10/'NM Play'!$B$43,ROUNDDOWN(H100/'NM Play'!$B$12,0)+F100*'NM Play'!$B$10/'NM Play'!$B$44,(F100*'NM Play'!$B$10+ROUNDDOWN(G100/'NM Play'!$B$11,0)*'NM Play'!$B$43+ROUNDDOWN(H100/'NM Play'!$B$12,0)*'NM Play'!$B$44)/('NM Play'!$B$43+'NM Play'!$B$44)),ROUNDDOWN(G100/'NM Play'!$B$11,0)+F100*'NM Play'!$B$10/'NM Play'!$B$43)</f>
        <v/>
      </c>
      <c r="L100" s="160">
        <f>MIN(ROUNDDOWN(G100/'NM Play'!$B$11,0)+F100/('NM Play'!$B$43/'NM Play'!$B$15),ROUNDDOWN(H100/'NM Play'!$B$12,0)+F100/('NM Play'!$B$44/'NM Play'!$B$16),(F100+ROUNDDOWN(G100/'NM Play'!$B$11,0)*'NM Play'!$B$43/'NM Play'!$B$15+ROUNDDOWN(H100/'NM Play'!$B$12,0)*'NM Play'!$B$44/'NM Play'!$B$16)/('NM Play'!$B$43/'NM Play'!$B$15+'NM Play'!$B$44/'NM Play'!$B$16))</f>
        <v/>
      </c>
      <c r="M100" s="160">
        <f>F100*'NM Play'!$B$36</f>
        <v/>
      </c>
      <c r="N100" s="160">
        <f>ROUNDDOWN(MAX(0,MIN(J100,K100:M100)),0)</f>
        <v/>
      </c>
      <c r="O100" s="160">
        <f>ROUNDUP(MAX(0,N100*'NM Play'!$B$11-G100)/'NM Play'!$B$13,0)</f>
        <v/>
      </c>
      <c r="P100" s="160">
        <f>ROUNDUP(MAX(0,N100*'NM Play'!$B$12-H100)/'NM Play'!$B$14,0)</f>
        <v/>
      </c>
      <c r="Q100" s="160">
        <f>(O100+IF('Sites'!$C$8="Own sheets",P100,0))/'NM Play'!$B$10</f>
        <v/>
      </c>
      <c r="R100" s="160">
        <f>O100/'NM Play'!$B$15+P100/'NM Play'!$B$16</f>
        <v/>
      </c>
      <c r="S100" s="160">
        <f>MAX(Q100,R100,N100/'NM Play'!$B$36)</f>
        <v/>
      </c>
      <c r="T100" s="160">
        <f>Q100*'NM Play'!$B$10*'NM Play'!$B$21*(1+'NM Play'!$B$35)</f>
        <v/>
      </c>
      <c r="U100" s="160">
        <f>MAX(0,T100-I100)</f>
        <v/>
      </c>
      <c r="V100" s="160">
        <f>G100+O100*'NM Play'!$B$13-N100*'NM Play'!$B$11</f>
        <v/>
      </c>
      <c r="W100" s="160">
        <f>H100+P100*'NM Play'!$B$14-N100*'NM Play'!$B$12</f>
        <v/>
      </c>
      <c r="X100" s="160">
        <f>I100+U100-T100</f>
        <v/>
      </c>
      <c r="Y100" s="160">
        <f>MIN(N100,MAX(0,ROUNDDOWN('Sites'!$M$8*'Cases'!$E$6,0)-SUM(Y90:Y99)))</f>
        <v/>
      </c>
      <c r="Z100" s="160">
        <f>N100-Y100</f>
        <v/>
      </c>
      <c r="AA100" s="160">
        <f>U100*'NM Play'!$B$22</f>
        <v/>
      </c>
      <c r="AB100" s="160">
        <f>N100*SUM('NM Play'!$B$29:$B$31)</f>
        <v/>
      </c>
      <c r="AC100" s="160">
        <f>IF('Sites'!$C$8="Defy legs",P100*'NM Play'!$B$14/'NM Play'!$B$12*'NM Play'!$B$28,0)</f>
        <v/>
      </c>
      <c r="AD100" s="160">
        <f>Q100*'NM Play'!$B$23</f>
        <v/>
      </c>
      <c r="AE100" s="160">
        <f>S100*SUM('NM Play'!$B$26,'NM Play'!$B$33:$B$34)</f>
        <v/>
      </c>
      <c r="AF100" s="160">
        <f>IF('Sites'!$D$8="NM crew",S100*SUM('NM Play'!$B$24:$B$25),0)</f>
        <v/>
      </c>
      <c r="AG100" s="160">
        <f>IF('Sites'!$D$8="NM crew",S100*'NM Play'!$B$27,0)</f>
        <v/>
      </c>
      <c r="AH100" s="160">
        <f>N100*'Sites'!$Z$8*'NM Play'!$B$32</f>
        <v/>
      </c>
      <c r="AI100" s="160">
        <f>SUM(Y100:Z100)*'Sites'!$R$8</f>
        <v/>
      </c>
      <c r="AJ100" s="160">
        <f>SUM(AA100:AH100)</f>
        <v/>
      </c>
      <c r="AK100" s="160">
        <f>AJ100+(T100-U100)*'NM Play'!$B$22+MIN(G100,N100*'NM Play'!$B$11)/'NM Play'!$B$13*'NM Play'!$B$21*'NM Play'!$B$22+MIN(H100,N100*'NM Play'!$B$12)/'NM Play'!$B$14*IF('Sites'!$C$8="Own sheets",'NM Play'!$B$21*'NM Play'!$B$22,'NM Play'!$B$28*'NM Play'!$B$14/'NM Play'!$B$12)</f>
        <v/>
      </c>
      <c r="AL100" s="160">
        <f>Y100*'Assumptions'!Z66</f>
        <v/>
      </c>
      <c r="AM100" s="160">
        <f>IF('Sites'!$D$8="NM crew",S100*'NM Play'!$B$37*(1+IF(AND(ISNUMBER('NM Play'!$B$25),'NM Play'!$B$25&gt;0),1,0)),"")</f>
        <v/>
      </c>
      <c r="AN100" s="160">
        <f>IF(OR('Sites'!$E$8&lt;0,'Sites'!$E$8&gt;1,'Sites'!$F$8&lt;1,'Sites'!$G$8&lt;'Sites'!$F$8,F100&lt;0,MIN('Sites'!$I$8:'Sites'!$R$8)&lt;0,'Sites'!$L$8&gt;'Sites'!$I$8,'Sites'!$M$8&gt;'Sites'!$J$8,'Sites'!$N$8&gt;'Sites'!$K$8,'Sites'!$Z$8&lt;0,'Sites'!$Z$8&gt;1,MIN('Sites'!$AA$8:'Sites'!$AC$8)&lt;0,S100&gt;F100+0.001),1,0)</f>
        <v/>
      </c>
      <c r="AO100" s="160">
        <f>I100+U100-T100-X100</f>
        <v/>
      </c>
    </row>
    <row r="101" ht="28" customHeight="1">
      <c r="A101" s="4" t="inlineStr">
        <is>
          <t>Full</t>
        </is>
      </c>
      <c r="B101" s="4" t="inlineStr">
        <is>
          <t>NEW2</t>
        </is>
      </c>
      <c r="C101" s="160" t="n">
        <v>24</v>
      </c>
      <c r="D101" s="160">
        <f>ROUNDUP(C101/12,0)</f>
        <v/>
      </c>
      <c r="E101" s="160">
        <f>IF(AND('Sites'!$E$8*'Cases'!$F$6=1,C101&gt;='Sites'!$F$8+'Cases'!$G$6,C101&lt;='Sites'!$G$8),1,0)</f>
        <v/>
      </c>
      <c r="F101" s="160">
        <f>E101*'Assumptions'!AA69</f>
        <v/>
      </c>
      <c r="G101" s="160">
        <f>V100</f>
        <v/>
      </c>
      <c r="H101" s="160">
        <f>W100</f>
        <v/>
      </c>
      <c r="I101" s="160">
        <f>X100</f>
        <v/>
      </c>
      <c r="J101" s="160">
        <f>MAX(0,'Sites'!$J$8-SUM(N90:N100))</f>
        <v/>
      </c>
      <c r="K101" s="160">
        <f>IF('Sites'!$C$8="Own sheets",MIN(ROUNDDOWN(G101/'NM Play'!$B$11,0)+F101*'NM Play'!$B$10/'NM Play'!$B$43,ROUNDDOWN(H101/'NM Play'!$B$12,0)+F101*'NM Play'!$B$10/'NM Play'!$B$44,(F101*'NM Play'!$B$10+ROUNDDOWN(G101/'NM Play'!$B$11,0)*'NM Play'!$B$43+ROUNDDOWN(H101/'NM Play'!$B$12,0)*'NM Play'!$B$44)/('NM Play'!$B$43+'NM Play'!$B$44)),ROUNDDOWN(G101/'NM Play'!$B$11,0)+F101*'NM Play'!$B$10/'NM Play'!$B$43)</f>
        <v/>
      </c>
      <c r="L101" s="160">
        <f>MIN(ROUNDDOWN(G101/'NM Play'!$B$11,0)+F101/('NM Play'!$B$43/'NM Play'!$B$15),ROUNDDOWN(H101/'NM Play'!$B$12,0)+F101/('NM Play'!$B$44/'NM Play'!$B$16),(F101+ROUNDDOWN(G101/'NM Play'!$B$11,0)*'NM Play'!$B$43/'NM Play'!$B$15+ROUNDDOWN(H101/'NM Play'!$B$12,0)*'NM Play'!$B$44/'NM Play'!$B$16)/('NM Play'!$B$43/'NM Play'!$B$15+'NM Play'!$B$44/'NM Play'!$B$16))</f>
        <v/>
      </c>
      <c r="M101" s="160">
        <f>F101*'NM Play'!$B$36</f>
        <v/>
      </c>
      <c r="N101" s="160">
        <f>ROUNDDOWN(MAX(0,MIN(J101,K101:M101)),0)</f>
        <v/>
      </c>
      <c r="O101" s="160">
        <f>ROUNDUP(MAX(0,N101*'NM Play'!$B$11-G101)/'NM Play'!$B$13,0)</f>
        <v/>
      </c>
      <c r="P101" s="160">
        <f>ROUNDUP(MAX(0,N101*'NM Play'!$B$12-H101)/'NM Play'!$B$14,0)</f>
        <v/>
      </c>
      <c r="Q101" s="160">
        <f>(O101+IF('Sites'!$C$8="Own sheets",P101,0))/'NM Play'!$B$10</f>
        <v/>
      </c>
      <c r="R101" s="160">
        <f>O101/'NM Play'!$B$15+P101/'NM Play'!$B$16</f>
        <v/>
      </c>
      <c r="S101" s="160">
        <f>MAX(Q101,R101,N101/'NM Play'!$B$36)</f>
        <v/>
      </c>
      <c r="T101" s="160">
        <f>Q101*'NM Play'!$B$10*'NM Play'!$B$21*(1+'NM Play'!$B$35)</f>
        <v/>
      </c>
      <c r="U101" s="160">
        <f>MAX(0,T101-I101)</f>
        <v/>
      </c>
      <c r="V101" s="160">
        <f>G101+O101*'NM Play'!$B$13-N101*'NM Play'!$B$11</f>
        <v/>
      </c>
      <c r="W101" s="160">
        <f>H101+P101*'NM Play'!$B$14-N101*'NM Play'!$B$12</f>
        <v/>
      </c>
      <c r="X101" s="160">
        <f>I101+U101-T101</f>
        <v/>
      </c>
      <c r="Y101" s="160">
        <f>MIN(N101,MAX(0,ROUNDDOWN('Sites'!$M$8*'Cases'!$E$6,0)-SUM(Y90:Y100)))</f>
        <v/>
      </c>
      <c r="Z101" s="160">
        <f>N101-Y101</f>
        <v/>
      </c>
      <c r="AA101" s="160">
        <f>U101*'NM Play'!$B$22</f>
        <v/>
      </c>
      <c r="AB101" s="160">
        <f>N101*SUM('NM Play'!$B$29:$B$31)</f>
        <v/>
      </c>
      <c r="AC101" s="160">
        <f>IF('Sites'!$C$8="Defy legs",P101*'NM Play'!$B$14/'NM Play'!$B$12*'NM Play'!$B$28,0)</f>
        <v/>
      </c>
      <c r="AD101" s="160">
        <f>Q101*'NM Play'!$B$23</f>
        <v/>
      </c>
      <c r="AE101" s="160">
        <f>S101*SUM('NM Play'!$B$26,'NM Play'!$B$33:$B$34)</f>
        <v/>
      </c>
      <c r="AF101" s="160">
        <f>IF('Sites'!$D$8="NM crew",S101*SUM('NM Play'!$B$24:$B$25),0)</f>
        <v/>
      </c>
      <c r="AG101" s="160">
        <f>IF('Sites'!$D$8="NM crew",S101*'NM Play'!$B$27,0)</f>
        <v/>
      </c>
      <c r="AH101" s="160">
        <f>N101*'Sites'!$Z$8*'NM Play'!$B$32</f>
        <v/>
      </c>
      <c r="AI101" s="160">
        <f>SUM(Y101:Z101)*'Sites'!$R$8</f>
        <v/>
      </c>
      <c r="AJ101" s="160">
        <f>SUM(AA101:AH101)</f>
        <v/>
      </c>
      <c r="AK101" s="160">
        <f>AJ101+(T101-U101)*'NM Play'!$B$22+MIN(G101,N101*'NM Play'!$B$11)/'NM Play'!$B$13*'NM Play'!$B$21*'NM Play'!$B$22+MIN(H101,N101*'NM Play'!$B$12)/'NM Play'!$B$14*IF('Sites'!$C$8="Own sheets",'NM Play'!$B$21*'NM Play'!$B$22,'NM Play'!$B$28*'NM Play'!$B$14/'NM Play'!$B$12)</f>
        <v/>
      </c>
      <c r="AL101" s="160">
        <f>Y101*'Assumptions'!AA66</f>
        <v/>
      </c>
      <c r="AM101" s="160">
        <f>IF('Sites'!$D$8="NM crew",S101*'NM Play'!$B$37*(1+IF(AND(ISNUMBER('NM Play'!$B$25),'NM Play'!$B$25&gt;0),1,0)),"")</f>
        <v/>
      </c>
      <c r="AN101" s="160">
        <f>IF(OR('Sites'!$E$8&lt;0,'Sites'!$E$8&gt;1,'Sites'!$F$8&lt;1,'Sites'!$G$8&lt;'Sites'!$F$8,F101&lt;0,MIN('Sites'!$I$8:'Sites'!$R$8)&lt;0,'Sites'!$L$8&gt;'Sites'!$I$8,'Sites'!$M$8&gt;'Sites'!$J$8,'Sites'!$N$8&gt;'Sites'!$K$8,'Sites'!$Z$8&lt;0,'Sites'!$Z$8&gt;1,MIN('Sites'!$AA$8:'Sites'!$AC$8)&lt;0,S101&gt;F101+0.001),1,0)</f>
        <v/>
      </c>
      <c r="AO101" s="160">
        <f>I101+U101-T101-X101</f>
        <v/>
      </c>
    </row>
    <row r="102" ht="28" customHeight="1">
      <c r="A102" s="4" t="inlineStr">
        <is>
          <t>Full</t>
        </is>
      </c>
      <c r="B102" s="4" t="inlineStr">
        <is>
          <t>NEW2</t>
        </is>
      </c>
      <c r="C102" s="160" t="n">
        <v>25</v>
      </c>
      <c r="D102" s="160">
        <f>ROUNDUP(C102/12,0)</f>
        <v/>
      </c>
      <c r="E102" s="160">
        <f>IF(AND('Sites'!$E$8*'Cases'!$F$6=1,C102&gt;='Sites'!$F$8+'Cases'!$G$6,C102&lt;='Sites'!$G$8),1,0)</f>
        <v/>
      </c>
      <c r="F102" s="160">
        <f>E102*'Assumptions'!AB69</f>
        <v/>
      </c>
      <c r="G102" s="160">
        <f>V101</f>
        <v/>
      </c>
      <c r="H102" s="160">
        <f>W101</f>
        <v/>
      </c>
      <c r="I102" s="160">
        <f>X101</f>
        <v/>
      </c>
      <c r="J102" s="160">
        <f>MAX(0,'Sites'!$K$8-0)</f>
        <v/>
      </c>
      <c r="K102" s="160">
        <f>IF('Sites'!$C$8="Own sheets",MIN(ROUNDDOWN(G102/'NM Play'!$B$11,0)+F102*'NM Play'!$B$10/'NM Play'!$B$43,ROUNDDOWN(H102/'NM Play'!$B$12,0)+F102*'NM Play'!$B$10/'NM Play'!$B$44,(F102*'NM Play'!$B$10+ROUNDDOWN(G102/'NM Play'!$B$11,0)*'NM Play'!$B$43+ROUNDDOWN(H102/'NM Play'!$B$12,0)*'NM Play'!$B$44)/('NM Play'!$B$43+'NM Play'!$B$44)),ROUNDDOWN(G102/'NM Play'!$B$11,0)+F102*'NM Play'!$B$10/'NM Play'!$B$43)</f>
        <v/>
      </c>
      <c r="L102" s="160">
        <f>MIN(ROUNDDOWN(G102/'NM Play'!$B$11,0)+F102/('NM Play'!$B$43/'NM Play'!$B$15),ROUNDDOWN(H102/'NM Play'!$B$12,0)+F102/('NM Play'!$B$44/'NM Play'!$B$16),(F102+ROUNDDOWN(G102/'NM Play'!$B$11,0)*'NM Play'!$B$43/'NM Play'!$B$15+ROUNDDOWN(H102/'NM Play'!$B$12,0)*'NM Play'!$B$44/'NM Play'!$B$16)/('NM Play'!$B$43/'NM Play'!$B$15+'NM Play'!$B$44/'NM Play'!$B$16))</f>
        <v/>
      </c>
      <c r="M102" s="160">
        <f>F102*'NM Play'!$B$36</f>
        <v/>
      </c>
      <c r="N102" s="160">
        <f>ROUNDDOWN(MAX(0,MIN(J102,K102:M102)),0)</f>
        <v/>
      </c>
      <c r="O102" s="160">
        <f>ROUNDUP(MAX(0,N102*'NM Play'!$B$11-G102)/'NM Play'!$B$13,0)</f>
        <v/>
      </c>
      <c r="P102" s="160">
        <f>ROUNDUP(MAX(0,N102*'NM Play'!$B$12-H102)/'NM Play'!$B$14,0)</f>
        <v/>
      </c>
      <c r="Q102" s="160">
        <f>(O102+IF('Sites'!$C$8="Own sheets",P102,0))/'NM Play'!$B$10</f>
        <v/>
      </c>
      <c r="R102" s="160">
        <f>O102/'NM Play'!$B$15+P102/'NM Play'!$B$16</f>
        <v/>
      </c>
      <c r="S102" s="160">
        <f>MAX(Q102,R102,N102/'NM Play'!$B$36)</f>
        <v/>
      </c>
      <c r="T102" s="160">
        <f>Q102*'NM Play'!$B$10*'NM Play'!$B$21*(1+'NM Play'!$B$35)</f>
        <v/>
      </c>
      <c r="U102" s="160">
        <f>MAX(0,T102-I102)</f>
        <v/>
      </c>
      <c r="V102" s="160">
        <f>G102+O102*'NM Play'!$B$13-N102*'NM Play'!$B$11</f>
        <v/>
      </c>
      <c r="W102" s="160">
        <f>H102+P102*'NM Play'!$B$14-N102*'NM Play'!$B$12</f>
        <v/>
      </c>
      <c r="X102" s="160">
        <f>I102+U102-T102</f>
        <v/>
      </c>
      <c r="Y102" s="160">
        <f>MIN(N102,MAX(0,ROUNDDOWN('Sites'!$N$8*'Cases'!$E$6,0)-0))</f>
        <v/>
      </c>
      <c r="Z102" s="160">
        <f>N102-Y102</f>
        <v/>
      </c>
      <c r="AA102" s="160">
        <f>U102*'NM Play'!$B$22</f>
        <v/>
      </c>
      <c r="AB102" s="160">
        <f>N102*SUM('NM Play'!$B$29:$B$31)</f>
        <v/>
      </c>
      <c r="AC102" s="160">
        <f>IF('Sites'!$C$8="Defy legs",P102*'NM Play'!$B$14/'NM Play'!$B$12*'NM Play'!$B$28,0)</f>
        <v/>
      </c>
      <c r="AD102" s="160">
        <f>Q102*'NM Play'!$B$23</f>
        <v/>
      </c>
      <c r="AE102" s="160">
        <f>S102*SUM('NM Play'!$B$26,'NM Play'!$B$33:$B$34)</f>
        <v/>
      </c>
      <c r="AF102" s="160">
        <f>IF('Sites'!$D$8="NM crew",S102*SUM('NM Play'!$B$24:$B$25),0)</f>
        <v/>
      </c>
      <c r="AG102" s="160">
        <f>IF('Sites'!$D$8="NM crew",S102*'NM Play'!$B$27,0)</f>
        <v/>
      </c>
      <c r="AH102" s="160">
        <f>N102*'Sites'!$Z$8*'NM Play'!$B$32</f>
        <v/>
      </c>
      <c r="AI102" s="160">
        <f>SUM(Y102:Z102)*'Sites'!$R$8</f>
        <v/>
      </c>
      <c r="AJ102" s="160">
        <f>SUM(AA102:AH102)</f>
        <v/>
      </c>
      <c r="AK102" s="160">
        <f>AJ102+(T102-U102)*'NM Play'!$B$22+MIN(G102,N102*'NM Play'!$B$11)/'NM Play'!$B$13*'NM Play'!$B$21*'NM Play'!$B$22+MIN(H102,N102*'NM Play'!$B$12)/'NM Play'!$B$14*IF('Sites'!$C$8="Own sheets",'NM Play'!$B$21*'NM Play'!$B$22,'NM Play'!$B$28*'NM Play'!$B$14/'NM Play'!$B$12)</f>
        <v/>
      </c>
      <c r="AL102" s="160">
        <f>Y102*'Assumptions'!AB66</f>
        <v/>
      </c>
      <c r="AM102" s="160">
        <f>IF('Sites'!$D$8="NM crew",S102*'NM Play'!$B$37*(1+IF(AND(ISNUMBER('NM Play'!$B$25),'NM Play'!$B$25&gt;0),1,0)),"")</f>
        <v/>
      </c>
      <c r="AN102" s="160">
        <f>IF(OR('Sites'!$E$8&lt;0,'Sites'!$E$8&gt;1,'Sites'!$F$8&lt;1,'Sites'!$G$8&lt;'Sites'!$F$8,F102&lt;0,MIN('Sites'!$I$8:'Sites'!$R$8)&lt;0,'Sites'!$L$8&gt;'Sites'!$I$8,'Sites'!$M$8&gt;'Sites'!$J$8,'Sites'!$N$8&gt;'Sites'!$K$8,'Sites'!$Z$8&lt;0,'Sites'!$Z$8&gt;1,MIN('Sites'!$AA$8:'Sites'!$AC$8)&lt;0,S102&gt;F102+0.001),1,0)</f>
        <v/>
      </c>
      <c r="AO102" s="160">
        <f>I102+U102-T102-X102</f>
        <v/>
      </c>
    </row>
    <row r="103" ht="28" customHeight="1">
      <c r="A103" s="4" t="inlineStr">
        <is>
          <t>Full</t>
        </is>
      </c>
      <c r="B103" s="4" t="inlineStr">
        <is>
          <t>NEW2</t>
        </is>
      </c>
      <c r="C103" s="160" t="n">
        <v>26</v>
      </c>
      <c r="D103" s="160">
        <f>ROUNDUP(C103/12,0)</f>
        <v/>
      </c>
      <c r="E103" s="160">
        <f>IF(AND('Sites'!$E$8*'Cases'!$F$6=1,C103&gt;='Sites'!$F$8+'Cases'!$G$6,C103&lt;='Sites'!$G$8),1,0)</f>
        <v/>
      </c>
      <c r="F103" s="160">
        <f>E103*'Assumptions'!AC69</f>
        <v/>
      </c>
      <c r="G103" s="160">
        <f>V102</f>
        <v/>
      </c>
      <c r="H103" s="160">
        <f>W102</f>
        <v/>
      </c>
      <c r="I103" s="160">
        <f>X102</f>
        <v/>
      </c>
      <c r="J103" s="160">
        <f>MAX(0,'Sites'!$K$8-SUM(N102:N102))</f>
        <v/>
      </c>
      <c r="K103" s="160">
        <f>IF('Sites'!$C$8="Own sheets",MIN(ROUNDDOWN(G103/'NM Play'!$B$11,0)+F103*'NM Play'!$B$10/'NM Play'!$B$43,ROUNDDOWN(H103/'NM Play'!$B$12,0)+F103*'NM Play'!$B$10/'NM Play'!$B$44,(F103*'NM Play'!$B$10+ROUNDDOWN(G103/'NM Play'!$B$11,0)*'NM Play'!$B$43+ROUNDDOWN(H103/'NM Play'!$B$12,0)*'NM Play'!$B$44)/('NM Play'!$B$43+'NM Play'!$B$44)),ROUNDDOWN(G103/'NM Play'!$B$11,0)+F103*'NM Play'!$B$10/'NM Play'!$B$43)</f>
        <v/>
      </c>
      <c r="L103" s="160">
        <f>MIN(ROUNDDOWN(G103/'NM Play'!$B$11,0)+F103/('NM Play'!$B$43/'NM Play'!$B$15),ROUNDDOWN(H103/'NM Play'!$B$12,0)+F103/('NM Play'!$B$44/'NM Play'!$B$16),(F103+ROUNDDOWN(G103/'NM Play'!$B$11,0)*'NM Play'!$B$43/'NM Play'!$B$15+ROUNDDOWN(H103/'NM Play'!$B$12,0)*'NM Play'!$B$44/'NM Play'!$B$16)/('NM Play'!$B$43/'NM Play'!$B$15+'NM Play'!$B$44/'NM Play'!$B$16))</f>
        <v/>
      </c>
      <c r="M103" s="160">
        <f>F103*'NM Play'!$B$36</f>
        <v/>
      </c>
      <c r="N103" s="160">
        <f>ROUNDDOWN(MAX(0,MIN(J103,K103:M103)),0)</f>
        <v/>
      </c>
      <c r="O103" s="160">
        <f>ROUNDUP(MAX(0,N103*'NM Play'!$B$11-G103)/'NM Play'!$B$13,0)</f>
        <v/>
      </c>
      <c r="P103" s="160">
        <f>ROUNDUP(MAX(0,N103*'NM Play'!$B$12-H103)/'NM Play'!$B$14,0)</f>
        <v/>
      </c>
      <c r="Q103" s="160">
        <f>(O103+IF('Sites'!$C$8="Own sheets",P103,0))/'NM Play'!$B$10</f>
        <v/>
      </c>
      <c r="R103" s="160">
        <f>O103/'NM Play'!$B$15+P103/'NM Play'!$B$16</f>
        <v/>
      </c>
      <c r="S103" s="160">
        <f>MAX(Q103,R103,N103/'NM Play'!$B$36)</f>
        <v/>
      </c>
      <c r="T103" s="160">
        <f>Q103*'NM Play'!$B$10*'NM Play'!$B$21*(1+'NM Play'!$B$35)</f>
        <v/>
      </c>
      <c r="U103" s="160">
        <f>MAX(0,T103-I103)</f>
        <v/>
      </c>
      <c r="V103" s="160">
        <f>G103+O103*'NM Play'!$B$13-N103*'NM Play'!$B$11</f>
        <v/>
      </c>
      <c r="W103" s="160">
        <f>H103+P103*'NM Play'!$B$14-N103*'NM Play'!$B$12</f>
        <v/>
      </c>
      <c r="X103" s="160">
        <f>I103+U103-T103</f>
        <v/>
      </c>
      <c r="Y103" s="160">
        <f>MIN(N103,MAX(0,ROUNDDOWN('Sites'!$N$8*'Cases'!$E$6,0)-SUM(Y102:Y102)))</f>
        <v/>
      </c>
      <c r="Z103" s="160">
        <f>N103-Y103</f>
        <v/>
      </c>
      <c r="AA103" s="160">
        <f>U103*'NM Play'!$B$22</f>
        <v/>
      </c>
      <c r="AB103" s="160">
        <f>N103*SUM('NM Play'!$B$29:$B$31)</f>
        <v/>
      </c>
      <c r="AC103" s="160">
        <f>IF('Sites'!$C$8="Defy legs",P103*'NM Play'!$B$14/'NM Play'!$B$12*'NM Play'!$B$28,0)</f>
        <v/>
      </c>
      <c r="AD103" s="160">
        <f>Q103*'NM Play'!$B$23</f>
        <v/>
      </c>
      <c r="AE103" s="160">
        <f>S103*SUM('NM Play'!$B$26,'NM Play'!$B$33:$B$34)</f>
        <v/>
      </c>
      <c r="AF103" s="160">
        <f>IF('Sites'!$D$8="NM crew",S103*SUM('NM Play'!$B$24:$B$25),0)</f>
        <v/>
      </c>
      <c r="AG103" s="160">
        <f>IF('Sites'!$D$8="NM crew",S103*'NM Play'!$B$27,0)</f>
        <v/>
      </c>
      <c r="AH103" s="160">
        <f>N103*'Sites'!$Z$8*'NM Play'!$B$32</f>
        <v/>
      </c>
      <c r="AI103" s="160">
        <f>SUM(Y103:Z103)*'Sites'!$R$8</f>
        <v/>
      </c>
      <c r="AJ103" s="160">
        <f>SUM(AA103:AH103)</f>
        <v/>
      </c>
      <c r="AK103" s="160">
        <f>AJ103+(T103-U103)*'NM Play'!$B$22+MIN(G103,N103*'NM Play'!$B$11)/'NM Play'!$B$13*'NM Play'!$B$21*'NM Play'!$B$22+MIN(H103,N103*'NM Play'!$B$12)/'NM Play'!$B$14*IF('Sites'!$C$8="Own sheets",'NM Play'!$B$21*'NM Play'!$B$22,'NM Play'!$B$28*'NM Play'!$B$14/'NM Play'!$B$12)</f>
        <v/>
      </c>
      <c r="AL103" s="160">
        <f>Y103*'Assumptions'!AC66</f>
        <v/>
      </c>
      <c r="AM103" s="160">
        <f>IF('Sites'!$D$8="NM crew",S103*'NM Play'!$B$37*(1+IF(AND(ISNUMBER('NM Play'!$B$25),'NM Play'!$B$25&gt;0),1,0)),"")</f>
        <v/>
      </c>
      <c r="AN103" s="160">
        <f>IF(OR('Sites'!$E$8&lt;0,'Sites'!$E$8&gt;1,'Sites'!$F$8&lt;1,'Sites'!$G$8&lt;'Sites'!$F$8,F103&lt;0,MIN('Sites'!$I$8:'Sites'!$R$8)&lt;0,'Sites'!$L$8&gt;'Sites'!$I$8,'Sites'!$M$8&gt;'Sites'!$J$8,'Sites'!$N$8&gt;'Sites'!$K$8,'Sites'!$Z$8&lt;0,'Sites'!$Z$8&gt;1,MIN('Sites'!$AA$8:'Sites'!$AC$8)&lt;0,S103&gt;F103+0.001),1,0)</f>
        <v/>
      </c>
      <c r="AO103" s="160">
        <f>I103+U103-T103-X103</f>
        <v/>
      </c>
    </row>
    <row r="104" ht="28" customHeight="1">
      <c r="A104" s="4" t="inlineStr">
        <is>
          <t>Full</t>
        </is>
      </c>
      <c r="B104" s="4" t="inlineStr">
        <is>
          <t>NEW2</t>
        </is>
      </c>
      <c r="C104" s="160" t="n">
        <v>27</v>
      </c>
      <c r="D104" s="160">
        <f>ROUNDUP(C104/12,0)</f>
        <v/>
      </c>
      <c r="E104" s="160">
        <f>IF(AND('Sites'!$E$8*'Cases'!$F$6=1,C104&gt;='Sites'!$F$8+'Cases'!$G$6,C104&lt;='Sites'!$G$8),1,0)</f>
        <v/>
      </c>
      <c r="F104" s="160">
        <f>E104*'Assumptions'!AD69</f>
        <v/>
      </c>
      <c r="G104" s="160">
        <f>V103</f>
        <v/>
      </c>
      <c r="H104" s="160">
        <f>W103</f>
        <v/>
      </c>
      <c r="I104" s="160">
        <f>X103</f>
        <v/>
      </c>
      <c r="J104" s="160">
        <f>MAX(0,'Sites'!$K$8-SUM(N102:N103))</f>
        <v/>
      </c>
      <c r="K104" s="160">
        <f>IF('Sites'!$C$8="Own sheets",MIN(ROUNDDOWN(G104/'NM Play'!$B$11,0)+F104*'NM Play'!$B$10/'NM Play'!$B$43,ROUNDDOWN(H104/'NM Play'!$B$12,0)+F104*'NM Play'!$B$10/'NM Play'!$B$44,(F104*'NM Play'!$B$10+ROUNDDOWN(G104/'NM Play'!$B$11,0)*'NM Play'!$B$43+ROUNDDOWN(H104/'NM Play'!$B$12,0)*'NM Play'!$B$44)/('NM Play'!$B$43+'NM Play'!$B$44)),ROUNDDOWN(G104/'NM Play'!$B$11,0)+F104*'NM Play'!$B$10/'NM Play'!$B$43)</f>
        <v/>
      </c>
      <c r="L104" s="160">
        <f>MIN(ROUNDDOWN(G104/'NM Play'!$B$11,0)+F104/('NM Play'!$B$43/'NM Play'!$B$15),ROUNDDOWN(H104/'NM Play'!$B$12,0)+F104/('NM Play'!$B$44/'NM Play'!$B$16),(F104+ROUNDDOWN(G104/'NM Play'!$B$11,0)*'NM Play'!$B$43/'NM Play'!$B$15+ROUNDDOWN(H104/'NM Play'!$B$12,0)*'NM Play'!$B$44/'NM Play'!$B$16)/('NM Play'!$B$43/'NM Play'!$B$15+'NM Play'!$B$44/'NM Play'!$B$16))</f>
        <v/>
      </c>
      <c r="M104" s="160">
        <f>F104*'NM Play'!$B$36</f>
        <v/>
      </c>
      <c r="N104" s="160">
        <f>ROUNDDOWN(MAX(0,MIN(J104,K104:M104)),0)</f>
        <v/>
      </c>
      <c r="O104" s="160">
        <f>ROUNDUP(MAX(0,N104*'NM Play'!$B$11-G104)/'NM Play'!$B$13,0)</f>
        <v/>
      </c>
      <c r="P104" s="160">
        <f>ROUNDUP(MAX(0,N104*'NM Play'!$B$12-H104)/'NM Play'!$B$14,0)</f>
        <v/>
      </c>
      <c r="Q104" s="160">
        <f>(O104+IF('Sites'!$C$8="Own sheets",P104,0))/'NM Play'!$B$10</f>
        <v/>
      </c>
      <c r="R104" s="160">
        <f>O104/'NM Play'!$B$15+P104/'NM Play'!$B$16</f>
        <v/>
      </c>
      <c r="S104" s="160">
        <f>MAX(Q104,R104,N104/'NM Play'!$B$36)</f>
        <v/>
      </c>
      <c r="T104" s="160">
        <f>Q104*'NM Play'!$B$10*'NM Play'!$B$21*(1+'NM Play'!$B$35)</f>
        <v/>
      </c>
      <c r="U104" s="160">
        <f>MAX(0,T104-I104)</f>
        <v/>
      </c>
      <c r="V104" s="160">
        <f>G104+O104*'NM Play'!$B$13-N104*'NM Play'!$B$11</f>
        <v/>
      </c>
      <c r="W104" s="160">
        <f>H104+P104*'NM Play'!$B$14-N104*'NM Play'!$B$12</f>
        <v/>
      </c>
      <c r="X104" s="160">
        <f>I104+U104-T104</f>
        <v/>
      </c>
      <c r="Y104" s="160">
        <f>MIN(N104,MAX(0,ROUNDDOWN('Sites'!$N$8*'Cases'!$E$6,0)-SUM(Y102:Y103)))</f>
        <v/>
      </c>
      <c r="Z104" s="160">
        <f>N104-Y104</f>
        <v/>
      </c>
      <c r="AA104" s="160">
        <f>U104*'NM Play'!$B$22</f>
        <v/>
      </c>
      <c r="AB104" s="160">
        <f>N104*SUM('NM Play'!$B$29:$B$31)</f>
        <v/>
      </c>
      <c r="AC104" s="160">
        <f>IF('Sites'!$C$8="Defy legs",P104*'NM Play'!$B$14/'NM Play'!$B$12*'NM Play'!$B$28,0)</f>
        <v/>
      </c>
      <c r="AD104" s="160">
        <f>Q104*'NM Play'!$B$23</f>
        <v/>
      </c>
      <c r="AE104" s="160">
        <f>S104*SUM('NM Play'!$B$26,'NM Play'!$B$33:$B$34)</f>
        <v/>
      </c>
      <c r="AF104" s="160">
        <f>IF('Sites'!$D$8="NM crew",S104*SUM('NM Play'!$B$24:$B$25),0)</f>
        <v/>
      </c>
      <c r="AG104" s="160">
        <f>IF('Sites'!$D$8="NM crew",S104*'NM Play'!$B$27,0)</f>
        <v/>
      </c>
      <c r="AH104" s="160">
        <f>N104*'Sites'!$Z$8*'NM Play'!$B$32</f>
        <v/>
      </c>
      <c r="AI104" s="160">
        <f>SUM(Y104:Z104)*'Sites'!$R$8</f>
        <v/>
      </c>
      <c r="AJ104" s="160">
        <f>SUM(AA104:AH104)</f>
        <v/>
      </c>
      <c r="AK104" s="160">
        <f>AJ104+(T104-U104)*'NM Play'!$B$22+MIN(G104,N104*'NM Play'!$B$11)/'NM Play'!$B$13*'NM Play'!$B$21*'NM Play'!$B$22+MIN(H104,N104*'NM Play'!$B$12)/'NM Play'!$B$14*IF('Sites'!$C$8="Own sheets",'NM Play'!$B$21*'NM Play'!$B$22,'NM Play'!$B$28*'NM Play'!$B$14/'NM Play'!$B$12)</f>
        <v/>
      </c>
      <c r="AL104" s="160">
        <f>Y104*'Assumptions'!AD66</f>
        <v/>
      </c>
      <c r="AM104" s="160">
        <f>IF('Sites'!$D$8="NM crew",S104*'NM Play'!$B$37*(1+IF(AND(ISNUMBER('NM Play'!$B$25),'NM Play'!$B$25&gt;0),1,0)),"")</f>
        <v/>
      </c>
      <c r="AN104" s="160">
        <f>IF(OR('Sites'!$E$8&lt;0,'Sites'!$E$8&gt;1,'Sites'!$F$8&lt;1,'Sites'!$G$8&lt;'Sites'!$F$8,F104&lt;0,MIN('Sites'!$I$8:'Sites'!$R$8)&lt;0,'Sites'!$L$8&gt;'Sites'!$I$8,'Sites'!$M$8&gt;'Sites'!$J$8,'Sites'!$N$8&gt;'Sites'!$K$8,'Sites'!$Z$8&lt;0,'Sites'!$Z$8&gt;1,MIN('Sites'!$AA$8:'Sites'!$AC$8)&lt;0,S104&gt;F104+0.001),1,0)</f>
        <v/>
      </c>
      <c r="AO104" s="160">
        <f>I104+U104-T104-X104</f>
        <v/>
      </c>
    </row>
    <row r="105" ht="28" customHeight="1">
      <c r="A105" s="4" t="inlineStr">
        <is>
          <t>Full</t>
        </is>
      </c>
      <c r="B105" s="4" t="inlineStr">
        <is>
          <t>NEW2</t>
        </is>
      </c>
      <c r="C105" s="160" t="n">
        <v>28</v>
      </c>
      <c r="D105" s="160">
        <f>ROUNDUP(C105/12,0)</f>
        <v/>
      </c>
      <c r="E105" s="160">
        <f>IF(AND('Sites'!$E$8*'Cases'!$F$6=1,C105&gt;='Sites'!$F$8+'Cases'!$G$6,C105&lt;='Sites'!$G$8),1,0)</f>
        <v/>
      </c>
      <c r="F105" s="160">
        <f>E105*'Assumptions'!AE69</f>
        <v/>
      </c>
      <c r="G105" s="160">
        <f>V104</f>
        <v/>
      </c>
      <c r="H105" s="160">
        <f>W104</f>
        <v/>
      </c>
      <c r="I105" s="160">
        <f>X104</f>
        <v/>
      </c>
      <c r="J105" s="160">
        <f>MAX(0,'Sites'!$K$8-SUM(N102:N104))</f>
        <v/>
      </c>
      <c r="K105" s="160">
        <f>IF('Sites'!$C$8="Own sheets",MIN(ROUNDDOWN(G105/'NM Play'!$B$11,0)+F105*'NM Play'!$B$10/'NM Play'!$B$43,ROUNDDOWN(H105/'NM Play'!$B$12,0)+F105*'NM Play'!$B$10/'NM Play'!$B$44,(F105*'NM Play'!$B$10+ROUNDDOWN(G105/'NM Play'!$B$11,0)*'NM Play'!$B$43+ROUNDDOWN(H105/'NM Play'!$B$12,0)*'NM Play'!$B$44)/('NM Play'!$B$43+'NM Play'!$B$44)),ROUNDDOWN(G105/'NM Play'!$B$11,0)+F105*'NM Play'!$B$10/'NM Play'!$B$43)</f>
        <v/>
      </c>
      <c r="L105" s="160">
        <f>MIN(ROUNDDOWN(G105/'NM Play'!$B$11,0)+F105/('NM Play'!$B$43/'NM Play'!$B$15),ROUNDDOWN(H105/'NM Play'!$B$12,0)+F105/('NM Play'!$B$44/'NM Play'!$B$16),(F105+ROUNDDOWN(G105/'NM Play'!$B$11,0)*'NM Play'!$B$43/'NM Play'!$B$15+ROUNDDOWN(H105/'NM Play'!$B$12,0)*'NM Play'!$B$44/'NM Play'!$B$16)/('NM Play'!$B$43/'NM Play'!$B$15+'NM Play'!$B$44/'NM Play'!$B$16))</f>
        <v/>
      </c>
      <c r="M105" s="160">
        <f>F105*'NM Play'!$B$36</f>
        <v/>
      </c>
      <c r="N105" s="160">
        <f>ROUNDDOWN(MAX(0,MIN(J105,K105:M105)),0)</f>
        <v/>
      </c>
      <c r="O105" s="160">
        <f>ROUNDUP(MAX(0,N105*'NM Play'!$B$11-G105)/'NM Play'!$B$13,0)</f>
        <v/>
      </c>
      <c r="P105" s="160">
        <f>ROUNDUP(MAX(0,N105*'NM Play'!$B$12-H105)/'NM Play'!$B$14,0)</f>
        <v/>
      </c>
      <c r="Q105" s="160">
        <f>(O105+IF('Sites'!$C$8="Own sheets",P105,0))/'NM Play'!$B$10</f>
        <v/>
      </c>
      <c r="R105" s="160">
        <f>O105/'NM Play'!$B$15+P105/'NM Play'!$B$16</f>
        <v/>
      </c>
      <c r="S105" s="160">
        <f>MAX(Q105,R105,N105/'NM Play'!$B$36)</f>
        <v/>
      </c>
      <c r="T105" s="160">
        <f>Q105*'NM Play'!$B$10*'NM Play'!$B$21*(1+'NM Play'!$B$35)</f>
        <v/>
      </c>
      <c r="U105" s="160">
        <f>MAX(0,T105-I105)</f>
        <v/>
      </c>
      <c r="V105" s="160">
        <f>G105+O105*'NM Play'!$B$13-N105*'NM Play'!$B$11</f>
        <v/>
      </c>
      <c r="W105" s="160">
        <f>H105+P105*'NM Play'!$B$14-N105*'NM Play'!$B$12</f>
        <v/>
      </c>
      <c r="X105" s="160">
        <f>I105+U105-T105</f>
        <v/>
      </c>
      <c r="Y105" s="160">
        <f>MIN(N105,MAX(0,ROUNDDOWN('Sites'!$N$8*'Cases'!$E$6,0)-SUM(Y102:Y104)))</f>
        <v/>
      </c>
      <c r="Z105" s="160">
        <f>N105-Y105</f>
        <v/>
      </c>
      <c r="AA105" s="160">
        <f>U105*'NM Play'!$B$22</f>
        <v/>
      </c>
      <c r="AB105" s="160">
        <f>N105*SUM('NM Play'!$B$29:$B$31)</f>
        <v/>
      </c>
      <c r="AC105" s="160">
        <f>IF('Sites'!$C$8="Defy legs",P105*'NM Play'!$B$14/'NM Play'!$B$12*'NM Play'!$B$28,0)</f>
        <v/>
      </c>
      <c r="AD105" s="160">
        <f>Q105*'NM Play'!$B$23</f>
        <v/>
      </c>
      <c r="AE105" s="160">
        <f>S105*SUM('NM Play'!$B$26,'NM Play'!$B$33:$B$34)</f>
        <v/>
      </c>
      <c r="AF105" s="160">
        <f>IF('Sites'!$D$8="NM crew",S105*SUM('NM Play'!$B$24:$B$25),0)</f>
        <v/>
      </c>
      <c r="AG105" s="160">
        <f>IF('Sites'!$D$8="NM crew",S105*'NM Play'!$B$27,0)</f>
        <v/>
      </c>
      <c r="AH105" s="160">
        <f>N105*'Sites'!$Z$8*'NM Play'!$B$32</f>
        <v/>
      </c>
      <c r="AI105" s="160">
        <f>SUM(Y105:Z105)*'Sites'!$R$8</f>
        <v/>
      </c>
      <c r="AJ105" s="160">
        <f>SUM(AA105:AH105)</f>
        <v/>
      </c>
      <c r="AK105" s="160">
        <f>AJ105+(T105-U105)*'NM Play'!$B$22+MIN(G105,N105*'NM Play'!$B$11)/'NM Play'!$B$13*'NM Play'!$B$21*'NM Play'!$B$22+MIN(H105,N105*'NM Play'!$B$12)/'NM Play'!$B$14*IF('Sites'!$C$8="Own sheets",'NM Play'!$B$21*'NM Play'!$B$22,'NM Play'!$B$28*'NM Play'!$B$14/'NM Play'!$B$12)</f>
        <v/>
      </c>
      <c r="AL105" s="160">
        <f>Y105*'Assumptions'!AE66</f>
        <v/>
      </c>
      <c r="AM105" s="160">
        <f>IF('Sites'!$D$8="NM crew",S105*'NM Play'!$B$37*(1+IF(AND(ISNUMBER('NM Play'!$B$25),'NM Play'!$B$25&gt;0),1,0)),"")</f>
        <v/>
      </c>
      <c r="AN105" s="160">
        <f>IF(OR('Sites'!$E$8&lt;0,'Sites'!$E$8&gt;1,'Sites'!$F$8&lt;1,'Sites'!$G$8&lt;'Sites'!$F$8,F105&lt;0,MIN('Sites'!$I$8:'Sites'!$R$8)&lt;0,'Sites'!$L$8&gt;'Sites'!$I$8,'Sites'!$M$8&gt;'Sites'!$J$8,'Sites'!$N$8&gt;'Sites'!$K$8,'Sites'!$Z$8&lt;0,'Sites'!$Z$8&gt;1,MIN('Sites'!$AA$8:'Sites'!$AC$8)&lt;0,S105&gt;F105+0.001),1,0)</f>
        <v/>
      </c>
      <c r="AO105" s="160">
        <f>I105+U105-T105-X105</f>
        <v/>
      </c>
    </row>
    <row r="106" ht="28" customHeight="1">
      <c r="A106" s="4" t="inlineStr">
        <is>
          <t>Full</t>
        </is>
      </c>
      <c r="B106" s="4" t="inlineStr">
        <is>
          <t>NEW2</t>
        </is>
      </c>
      <c r="C106" s="160" t="n">
        <v>29</v>
      </c>
      <c r="D106" s="160">
        <f>ROUNDUP(C106/12,0)</f>
        <v/>
      </c>
      <c r="E106" s="160">
        <f>IF(AND('Sites'!$E$8*'Cases'!$F$6=1,C106&gt;='Sites'!$F$8+'Cases'!$G$6,C106&lt;='Sites'!$G$8),1,0)</f>
        <v/>
      </c>
      <c r="F106" s="160">
        <f>E106*'Assumptions'!AF69</f>
        <v/>
      </c>
      <c r="G106" s="160">
        <f>V105</f>
        <v/>
      </c>
      <c r="H106" s="160">
        <f>W105</f>
        <v/>
      </c>
      <c r="I106" s="160">
        <f>X105</f>
        <v/>
      </c>
      <c r="J106" s="160">
        <f>MAX(0,'Sites'!$K$8-SUM(N102:N105))</f>
        <v/>
      </c>
      <c r="K106" s="160">
        <f>IF('Sites'!$C$8="Own sheets",MIN(ROUNDDOWN(G106/'NM Play'!$B$11,0)+F106*'NM Play'!$B$10/'NM Play'!$B$43,ROUNDDOWN(H106/'NM Play'!$B$12,0)+F106*'NM Play'!$B$10/'NM Play'!$B$44,(F106*'NM Play'!$B$10+ROUNDDOWN(G106/'NM Play'!$B$11,0)*'NM Play'!$B$43+ROUNDDOWN(H106/'NM Play'!$B$12,0)*'NM Play'!$B$44)/('NM Play'!$B$43+'NM Play'!$B$44)),ROUNDDOWN(G106/'NM Play'!$B$11,0)+F106*'NM Play'!$B$10/'NM Play'!$B$43)</f>
        <v/>
      </c>
      <c r="L106" s="160">
        <f>MIN(ROUNDDOWN(G106/'NM Play'!$B$11,0)+F106/('NM Play'!$B$43/'NM Play'!$B$15),ROUNDDOWN(H106/'NM Play'!$B$12,0)+F106/('NM Play'!$B$44/'NM Play'!$B$16),(F106+ROUNDDOWN(G106/'NM Play'!$B$11,0)*'NM Play'!$B$43/'NM Play'!$B$15+ROUNDDOWN(H106/'NM Play'!$B$12,0)*'NM Play'!$B$44/'NM Play'!$B$16)/('NM Play'!$B$43/'NM Play'!$B$15+'NM Play'!$B$44/'NM Play'!$B$16))</f>
        <v/>
      </c>
      <c r="M106" s="160">
        <f>F106*'NM Play'!$B$36</f>
        <v/>
      </c>
      <c r="N106" s="160">
        <f>ROUNDDOWN(MAX(0,MIN(J106,K106:M106)),0)</f>
        <v/>
      </c>
      <c r="O106" s="160">
        <f>ROUNDUP(MAX(0,N106*'NM Play'!$B$11-G106)/'NM Play'!$B$13,0)</f>
        <v/>
      </c>
      <c r="P106" s="160">
        <f>ROUNDUP(MAX(0,N106*'NM Play'!$B$12-H106)/'NM Play'!$B$14,0)</f>
        <v/>
      </c>
      <c r="Q106" s="160">
        <f>(O106+IF('Sites'!$C$8="Own sheets",P106,0))/'NM Play'!$B$10</f>
        <v/>
      </c>
      <c r="R106" s="160">
        <f>O106/'NM Play'!$B$15+P106/'NM Play'!$B$16</f>
        <v/>
      </c>
      <c r="S106" s="160">
        <f>MAX(Q106,R106,N106/'NM Play'!$B$36)</f>
        <v/>
      </c>
      <c r="T106" s="160">
        <f>Q106*'NM Play'!$B$10*'NM Play'!$B$21*(1+'NM Play'!$B$35)</f>
        <v/>
      </c>
      <c r="U106" s="160">
        <f>MAX(0,T106-I106)</f>
        <v/>
      </c>
      <c r="V106" s="160">
        <f>G106+O106*'NM Play'!$B$13-N106*'NM Play'!$B$11</f>
        <v/>
      </c>
      <c r="W106" s="160">
        <f>H106+P106*'NM Play'!$B$14-N106*'NM Play'!$B$12</f>
        <v/>
      </c>
      <c r="X106" s="160">
        <f>I106+U106-T106</f>
        <v/>
      </c>
      <c r="Y106" s="160">
        <f>MIN(N106,MAX(0,ROUNDDOWN('Sites'!$N$8*'Cases'!$E$6,0)-SUM(Y102:Y105)))</f>
        <v/>
      </c>
      <c r="Z106" s="160">
        <f>N106-Y106</f>
        <v/>
      </c>
      <c r="AA106" s="160">
        <f>U106*'NM Play'!$B$22</f>
        <v/>
      </c>
      <c r="AB106" s="160">
        <f>N106*SUM('NM Play'!$B$29:$B$31)</f>
        <v/>
      </c>
      <c r="AC106" s="160">
        <f>IF('Sites'!$C$8="Defy legs",P106*'NM Play'!$B$14/'NM Play'!$B$12*'NM Play'!$B$28,0)</f>
        <v/>
      </c>
      <c r="AD106" s="160">
        <f>Q106*'NM Play'!$B$23</f>
        <v/>
      </c>
      <c r="AE106" s="160">
        <f>S106*SUM('NM Play'!$B$26,'NM Play'!$B$33:$B$34)</f>
        <v/>
      </c>
      <c r="AF106" s="160">
        <f>IF('Sites'!$D$8="NM crew",S106*SUM('NM Play'!$B$24:$B$25),0)</f>
        <v/>
      </c>
      <c r="AG106" s="160">
        <f>IF('Sites'!$D$8="NM crew",S106*'NM Play'!$B$27,0)</f>
        <v/>
      </c>
      <c r="AH106" s="160">
        <f>N106*'Sites'!$Z$8*'NM Play'!$B$32</f>
        <v/>
      </c>
      <c r="AI106" s="160">
        <f>SUM(Y106:Z106)*'Sites'!$R$8</f>
        <v/>
      </c>
      <c r="AJ106" s="160">
        <f>SUM(AA106:AH106)</f>
        <v/>
      </c>
      <c r="AK106" s="160">
        <f>AJ106+(T106-U106)*'NM Play'!$B$22+MIN(G106,N106*'NM Play'!$B$11)/'NM Play'!$B$13*'NM Play'!$B$21*'NM Play'!$B$22+MIN(H106,N106*'NM Play'!$B$12)/'NM Play'!$B$14*IF('Sites'!$C$8="Own sheets",'NM Play'!$B$21*'NM Play'!$B$22,'NM Play'!$B$28*'NM Play'!$B$14/'NM Play'!$B$12)</f>
        <v/>
      </c>
      <c r="AL106" s="160">
        <f>Y106*'Assumptions'!AF66</f>
        <v/>
      </c>
      <c r="AM106" s="160">
        <f>IF('Sites'!$D$8="NM crew",S106*'NM Play'!$B$37*(1+IF(AND(ISNUMBER('NM Play'!$B$25),'NM Play'!$B$25&gt;0),1,0)),"")</f>
        <v/>
      </c>
      <c r="AN106" s="160">
        <f>IF(OR('Sites'!$E$8&lt;0,'Sites'!$E$8&gt;1,'Sites'!$F$8&lt;1,'Sites'!$G$8&lt;'Sites'!$F$8,F106&lt;0,MIN('Sites'!$I$8:'Sites'!$R$8)&lt;0,'Sites'!$L$8&gt;'Sites'!$I$8,'Sites'!$M$8&gt;'Sites'!$J$8,'Sites'!$N$8&gt;'Sites'!$K$8,'Sites'!$Z$8&lt;0,'Sites'!$Z$8&gt;1,MIN('Sites'!$AA$8:'Sites'!$AC$8)&lt;0,S106&gt;F106+0.001),1,0)</f>
        <v/>
      </c>
      <c r="AO106" s="160">
        <f>I106+U106-T106-X106</f>
        <v/>
      </c>
    </row>
    <row r="107" ht="28" customHeight="1">
      <c r="A107" s="4" t="inlineStr">
        <is>
          <t>Full</t>
        </is>
      </c>
      <c r="B107" s="4" t="inlineStr">
        <is>
          <t>NEW2</t>
        </is>
      </c>
      <c r="C107" s="160" t="n">
        <v>30</v>
      </c>
      <c r="D107" s="160">
        <f>ROUNDUP(C107/12,0)</f>
        <v/>
      </c>
      <c r="E107" s="160">
        <f>IF(AND('Sites'!$E$8*'Cases'!$F$6=1,C107&gt;='Sites'!$F$8+'Cases'!$G$6,C107&lt;='Sites'!$G$8),1,0)</f>
        <v/>
      </c>
      <c r="F107" s="160">
        <f>E107*'Assumptions'!AG69</f>
        <v/>
      </c>
      <c r="G107" s="160">
        <f>V106</f>
        <v/>
      </c>
      <c r="H107" s="160">
        <f>W106</f>
        <v/>
      </c>
      <c r="I107" s="160">
        <f>X106</f>
        <v/>
      </c>
      <c r="J107" s="160">
        <f>MAX(0,'Sites'!$K$8-SUM(N102:N106))</f>
        <v/>
      </c>
      <c r="K107" s="160">
        <f>IF('Sites'!$C$8="Own sheets",MIN(ROUNDDOWN(G107/'NM Play'!$B$11,0)+F107*'NM Play'!$B$10/'NM Play'!$B$43,ROUNDDOWN(H107/'NM Play'!$B$12,0)+F107*'NM Play'!$B$10/'NM Play'!$B$44,(F107*'NM Play'!$B$10+ROUNDDOWN(G107/'NM Play'!$B$11,0)*'NM Play'!$B$43+ROUNDDOWN(H107/'NM Play'!$B$12,0)*'NM Play'!$B$44)/('NM Play'!$B$43+'NM Play'!$B$44)),ROUNDDOWN(G107/'NM Play'!$B$11,0)+F107*'NM Play'!$B$10/'NM Play'!$B$43)</f>
        <v/>
      </c>
      <c r="L107" s="160">
        <f>MIN(ROUNDDOWN(G107/'NM Play'!$B$11,0)+F107/('NM Play'!$B$43/'NM Play'!$B$15),ROUNDDOWN(H107/'NM Play'!$B$12,0)+F107/('NM Play'!$B$44/'NM Play'!$B$16),(F107+ROUNDDOWN(G107/'NM Play'!$B$11,0)*'NM Play'!$B$43/'NM Play'!$B$15+ROUNDDOWN(H107/'NM Play'!$B$12,0)*'NM Play'!$B$44/'NM Play'!$B$16)/('NM Play'!$B$43/'NM Play'!$B$15+'NM Play'!$B$44/'NM Play'!$B$16))</f>
        <v/>
      </c>
      <c r="M107" s="160">
        <f>F107*'NM Play'!$B$36</f>
        <v/>
      </c>
      <c r="N107" s="160">
        <f>ROUNDDOWN(MAX(0,MIN(J107,K107:M107)),0)</f>
        <v/>
      </c>
      <c r="O107" s="160">
        <f>ROUNDUP(MAX(0,N107*'NM Play'!$B$11-G107)/'NM Play'!$B$13,0)</f>
        <v/>
      </c>
      <c r="P107" s="160">
        <f>ROUNDUP(MAX(0,N107*'NM Play'!$B$12-H107)/'NM Play'!$B$14,0)</f>
        <v/>
      </c>
      <c r="Q107" s="160">
        <f>(O107+IF('Sites'!$C$8="Own sheets",P107,0))/'NM Play'!$B$10</f>
        <v/>
      </c>
      <c r="R107" s="160">
        <f>O107/'NM Play'!$B$15+P107/'NM Play'!$B$16</f>
        <v/>
      </c>
      <c r="S107" s="160">
        <f>MAX(Q107,R107,N107/'NM Play'!$B$36)</f>
        <v/>
      </c>
      <c r="T107" s="160">
        <f>Q107*'NM Play'!$B$10*'NM Play'!$B$21*(1+'NM Play'!$B$35)</f>
        <v/>
      </c>
      <c r="U107" s="160">
        <f>MAX(0,T107-I107)</f>
        <v/>
      </c>
      <c r="V107" s="160">
        <f>G107+O107*'NM Play'!$B$13-N107*'NM Play'!$B$11</f>
        <v/>
      </c>
      <c r="W107" s="160">
        <f>H107+P107*'NM Play'!$B$14-N107*'NM Play'!$B$12</f>
        <v/>
      </c>
      <c r="X107" s="160">
        <f>I107+U107-T107</f>
        <v/>
      </c>
      <c r="Y107" s="160">
        <f>MIN(N107,MAX(0,ROUNDDOWN('Sites'!$N$8*'Cases'!$E$6,0)-SUM(Y102:Y106)))</f>
        <v/>
      </c>
      <c r="Z107" s="160">
        <f>N107-Y107</f>
        <v/>
      </c>
      <c r="AA107" s="160">
        <f>U107*'NM Play'!$B$22</f>
        <v/>
      </c>
      <c r="AB107" s="160">
        <f>N107*SUM('NM Play'!$B$29:$B$31)</f>
        <v/>
      </c>
      <c r="AC107" s="160">
        <f>IF('Sites'!$C$8="Defy legs",P107*'NM Play'!$B$14/'NM Play'!$B$12*'NM Play'!$B$28,0)</f>
        <v/>
      </c>
      <c r="AD107" s="160">
        <f>Q107*'NM Play'!$B$23</f>
        <v/>
      </c>
      <c r="AE107" s="160">
        <f>S107*SUM('NM Play'!$B$26,'NM Play'!$B$33:$B$34)</f>
        <v/>
      </c>
      <c r="AF107" s="160">
        <f>IF('Sites'!$D$8="NM crew",S107*SUM('NM Play'!$B$24:$B$25),0)</f>
        <v/>
      </c>
      <c r="AG107" s="160">
        <f>IF('Sites'!$D$8="NM crew",S107*'NM Play'!$B$27,0)</f>
        <v/>
      </c>
      <c r="AH107" s="160">
        <f>N107*'Sites'!$Z$8*'NM Play'!$B$32</f>
        <v/>
      </c>
      <c r="AI107" s="160">
        <f>SUM(Y107:Z107)*'Sites'!$R$8</f>
        <v/>
      </c>
      <c r="AJ107" s="160">
        <f>SUM(AA107:AH107)</f>
        <v/>
      </c>
      <c r="AK107" s="160">
        <f>AJ107+(T107-U107)*'NM Play'!$B$22+MIN(G107,N107*'NM Play'!$B$11)/'NM Play'!$B$13*'NM Play'!$B$21*'NM Play'!$B$22+MIN(H107,N107*'NM Play'!$B$12)/'NM Play'!$B$14*IF('Sites'!$C$8="Own sheets",'NM Play'!$B$21*'NM Play'!$B$22,'NM Play'!$B$28*'NM Play'!$B$14/'NM Play'!$B$12)</f>
        <v/>
      </c>
      <c r="AL107" s="160">
        <f>Y107*'Assumptions'!AG66</f>
        <v/>
      </c>
      <c r="AM107" s="160">
        <f>IF('Sites'!$D$8="NM crew",S107*'NM Play'!$B$37*(1+IF(AND(ISNUMBER('NM Play'!$B$25),'NM Play'!$B$25&gt;0),1,0)),"")</f>
        <v/>
      </c>
      <c r="AN107" s="160">
        <f>IF(OR('Sites'!$E$8&lt;0,'Sites'!$E$8&gt;1,'Sites'!$F$8&lt;1,'Sites'!$G$8&lt;'Sites'!$F$8,F107&lt;0,MIN('Sites'!$I$8:'Sites'!$R$8)&lt;0,'Sites'!$L$8&gt;'Sites'!$I$8,'Sites'!$M$8&gt;'Sites'!$J$8,'Sites'!$N$8&gt;'Sites'!$K$8,'Sites'!$Z$8&lt;0,'Sites'!$Z$8&gt;1,MIN('Sites'!$AA$8:'Sites'!$AC$8)&lt;0,S107&gt;F107+0.001),1,0)</f>
        <v/>
      </c>
      <c r="AO107" s="160">
        <f>I107+U107-T107-X107</f>
        <v/>
      </c>
    </row>
    <row r="108" ht="28" customHeight="1">
      <c r="A108" s="4" t="inlineStr">
        <is>
          <t>Full</t>
        </is>
      </c>
      <c r="B108" s="4" t="inlineStr">
        <is>
          <t>NEW2</t>
        </is>
      </c>
      <c r="C108" s="160" t="n">
        <v>31</v>
      </c>
      <c r="D108" s="160">
        <f>ROUNDUP(C108/12,0)</f>
        <v/>
      </c>
      <c r="E108" s="160">
        <f>IF(AND('Sites'!$E$8*'Cases'!$F$6=1,C108&gt;='Sites'!$F$8+'Cases'!$G$6,C108&lt;='Sites'!$G$8),1,0)</f>
        <v/>
      </c>
      <c r="F108" s="160">
        <f>E108*'Assumptions'!AH69</f>
        <v/>
      </c>
      <c r="G108" s="160">
        <f>V107</f>
        <v/>
      </c>
      <c r="H108" s="160">
        <f>W107</f>
        <v/>
      </c>
      <c r="I108" s="160">
        <f>X107</f>
        <v/>
      </c>
      <c r="J108" s="160">
        <f>MAX(0,'Sites'!$K$8-SUM(N102:N107))</f>
        <v/>
      </c>
      <c r="K108" s="160">
        <f>IF('Sites'!$C$8="Own sheets",MIN(ROUNDDOWN(G108/'NM Play'!$B$11,0)+F108*'NM Play'!$B$10/'NM Play'!$B$43,ROUNDDOWN(H108/'NM Play'!$B$12,0)+F108*'NM Play'!$B$10/'NM Play'!$B$44,(F108*'NM Play'!$B$10+ROUNDDOWN(G108/'NM Play'!$B$11,0)*'NM Play'!$B$43+ROUNDDOWN(H108/'NM Play'!$B$12,0)*'NM Play'!$B$44)/('NM Play'!$B$43+'NM Play'!$B$44)),ROUNDDOWN(G108/'NM Play'!$B$11,0)+F108*'NM Play'!$B$10/'NM Play'!$B$43)</f>
        <v/>
      </c>
      <c r="L108" s="160">
        <f>MIN(ROUNDDOWN(G108/'NM Play'!$B$11,0)+F108/('NM Play'!$B$43/'NM Play'!$B$15),ROUNDDOWN(H108/'NM Play'!$B$12,0)+F108/('NM Play'!$B$44/'NM Play'!$B$16),(F108+ROUNDDOWN(G108/'NM Play'!$B$11,0)*'NM Play'!$B$43/'NM Play'!$B$15+ROUNDDOWN(H108/'NM Play'!$B$12,0)*'NM Play'!$B$44/'NM Play'!$B$16)/('NM Play'!$B$43/'NM Play'!$B$15+'NM Play'!$B$44/'NM Play'!$B$16))</f>
        <v/>
      </c>
      <c r="M108" s="160">
        <f>F108*'NM Play'!$B$36</f>
        <v/>
      </c>
      <c r="N108" s="160">
        <f>ROUNDDOWN(MAX(0,MIN(J108,K108:M108)),0)</f>
        <v/>
      </c>
      <c r="O108" s="160">
        <f>ROUNDUP(MAX(0,N108*'NM Play'!$B$11-G108)/'NM Play'!$B$13,0)</f>
        <v/>
      </c>
      <c r="P108" s="160">
        <f>ROUNDUP(MAX(0,N108*'NM Play'!$B$12-H108)/'NM Play'!$B$14,0)</f>
        <v/>
      </c>
      <c r="Q108" s="160">
        <f>(O108+IF('Sites'!$C$8="Own sheets",P108,0))/'NM Play'!$B$10</f>
        <v/>
      </c>
      <c r="R108" s="160">
        <f>O108/'NM Play'!$B$15+P108/'NM Play'!$B$16</f>
        <v/>
      </c>
      <c r="S108" s="160">
        <f>MAX(Q108,R108,N108/'NM Play'!$B$36)</f>
        <v/>
      </c>
      <c r="T108" s="160">
        <f>Q108*'NM Play'!$B$10*'NM Play'!$B$21*(1+'NM Play'!$B$35)</f>
        <v/>
      </c>
      <c r="U108" s="160">
        <f>MAX(0,T108-I108)</f>
        <v/>
      </c>
      <c r="V108" s="160">
        <f>G108+O108*'NM Play'!$B$13-N108*'NM Play'!$B$11</f>
        <v/>
      </c>
      <c r="W108" s="160">
        <f>H108+P108*'NM Play'!$B$14-N108*'NM Play'!$B$12</f>
        <v/>
      </c>
      <c r="X108" s="160">
        <f>I108+U108-T108</f>
        <v/>
      </c>
      <c r="Y108" s="160">
        <f>MIN(N108,MAX(0,ROUNDDOWN('Sites'!$N$8*'Cases'!$E$6,0)-SUM(Y102:Y107)))</f>
        <v/>
      </c>
      <c r="Z108" s="160">
        <f>N108-Y108</f>
        <v/>
      </c>
      <c r="AA108" s="160">
        <f>U108*'NM Play'!$B$22</f>
        <v/>
      </c>
      <c r="AB108" s="160">
        <f>N108*SUM('NM Play'!$B$29:$B$31)</f>
        <v/>
      </c>
      <c r="AC108" s="160">
        <f>IF('Sites'!$C$8="Defy legs",P108*'NM Play'!$B$14/'NM Play'!$B$12*'NM Play'!$B$28,0)</f>
        <v/>
      </c>
      <c r="AD108" s="160">
        <f>Q108*'NM Play'!$B$23</f>
        <v/>
      </c>
      <c r="AE108" s="160">
        <f>S108*SUM('NM Play'!$B$26,'NM Play'!$B$33:$B$34)</f>
        <v/>
      </c>
      <c r="AF108" s="160">
        <f>IF('Sites'!$D$8="NM crew",S108*SUM('NM Play'!$B$24:$B$25),0)</f>
        <v/>
      </c>
      <c r="AG108" s="160">
        <f>IF('Sites'!$D$8="NM crew",S108*'NM Play'!$B$27,0)</f>
        <v/>
      </c>
      <c r="AH108" s="160">
        <f>N108*'Sites'!$Z$8*'NM Play'!$B$32</f>
        <v/>
      </c>
      <c r="AI108" s="160">
        <f>SUM(Y108:Z108)*'Sites'!$R$8</f>
        <v/>
      </c>
      <c r="AJ108" s="160">
        <f>SUM(AA108:AH108)</f>
        <v/>
      </c>
      <c r="AK108" s="160">
        <f>AJ108+(T108-U108)*'NM Play'!$B$22+MIN(G108,N108*'NM Play'!$B$11)/'NM Play'!$B$13*'NM Play'!$B$21*'NM Play'!$B$22+MIN(H108,N108*'NM Play'!$B$12)/'NM Play'!$B$14*IF('Sites'!$C$8="Own sheets",'NM Play'!$B$21*'NM Play'!$B$22,'NM Play'!$B$28*'NM Play'!$B$14/'NM Play'!$B$12)</f>
        <v/>
      </c>
      <c r="AL108" s="160">
        <f>Y108*'Assumptions'!AH66</f>
        <v/>
      </c>
      <c r="AM108" s="160">
        <f>IF('Sites'!$D$8="NM crew",S108*'NM Play'!$B$37*(1+IF(AND(ISNUMBER('NM Play'!$B$25),'NM Play'!$B$25&gt;0),1,0)),"")</f>
        <v/>
      </c>
      <c r="AN108" s="160">
        <f>IF(OR('Sites'!$E$8&lt;0,'Sites'!$E$8&gt;1,'Sites'!$F$8&lt;1,'Sites'!$G$8&lt;'Sites'!$F$8,F108&lt;0,MIN('Sites'!$I$8:'Sites'!$R$8)&lt;0,'Sites'!$L$8&gt;'Sites'!$I$8,'Sites'!$M$8&gt;'Sites'!$J$8,'Sites'!$N$8&gt;'Sites'!$K$8,'Sites'!$Z$8&lt;0,'Sites'!$Z$8&gt;1,MIN('Sites'!$AA$8:'Sites'!$AC$8)&lt;0,S108&gt;F108+0.001),1,0)</f>
        <v/>
      </c>
      <c r="AO108" s="160">
        <f>I108+U108-T108-X108</f>
        <v/>
      </c>
    </row>
    <row r="109" ht="28" customHeight="1">
      <c r="A109" s="4" t="inlineStr">
        <is>
          <t>Full</t>
        </is>
      </c>
      <c r="B109" s="4" t="inlineStr">
        <is>
          <t>NEW2</t>
        </is>
      </c>
      <c r="C109" s="160" t="n">
        <v>32</v>
      </c>
      <c r="D109" s="160">
        <f>ROUNDUP(C109/12,0)</f>
        <v/>
      </c>
      <c r="E109" s="160">
        <f>IF(AND('Sites'!$E$8*'Cases'!$F$6=1,C109&gt;='Sites'!$F$8+'Cases'!$G$6,C109&lt;='Sites'!$G$8),1,0)</f>
        <v/>
      </c>
      <c r="F109" s="160">
        <f>E109*'Assumptions'!AI69</f>
        <v/>
      </c>
      <c r="G109" s="160">
        <f>V108</f>
        <v/>
      </c>
      <c r="H109" s="160">
        <f>W108</f>
        <v/>
      </c>
      <c r="I109" s="160">
        <f>X108</f>
        <v/>
      </c>
      <c r="J109" s="160">
        <f>MAX(0,'Sites'!$K$8-SUM(N102:N108))</f>
        <v/>
      </c>
      <c r="K109" s="160">
        <f>IF('Sites'!$C$8="Own sheets",MIN(ROUNDDOWN(G109/'NM Play'!$B$11,0)+F109*'NM Play'!$B$10/'NM Play'!$B$43,ROUNDDOWN(H109/'NM Play'!$B$12,0)+F109*'NM Play'!$B$10/'NM Play'!$B$44,(F109*'NM Play'!$B$10+ROUNDDOWN(G109/'NM Play'!$B$11,0)*'NM Play'!$B$43+ROUNDDOWN(H109/'NM Play'!$B$12,0)*'NM Play'!$B$44)/('NM Play'!$B$43+'NM Play'!$B$44)),ROUNDDOWN(G109/'NM Play'!$B$11,0)+F109*'NM Play'!$B$10/'NM Play'!$B$43)</f>
        <v/>
      </c>
      <c r="L109" s="160">
        <f>MIN(ROUNDDOWN(G109/'NM Play'!$B$11,0)+F109/('NM Play'!$B$43/'NM Play'!$B$15),ROUNDDOWN(H109/'NM Play'!$B$12,0)+F109/('NM Play'!$B$44/'NM Play'!$B$16),(F109+ROUNDDOWN(G109/'NM Play'!$B$11,0)*'NM Play'!$B$43/'NM Play'!$B$15+ROUNDDOWN(H109/'NM Play'!$B$12,0)*'NM Play'!$B$44/'NM Play'!$B$16)/('NM Play'!$B$43/'NM Play'!$B$15+'NM Play'!$B$44/'NM Play'!$B$16))</f>
        <v/>
      </c>
      <c r="M109" s="160">
        <f>F109*'NM Play'!$B$36</f>
        <v/>
      </c>
      <c r="N109" s="160">
        <f>ROUNDDOWN(MAX(0,MIN(J109,K109:M109)),0)</f>
        <v/>
      </c>
      <c r="O109" s="160">
        <f>ROUNDUP(MAX(0,N109*'NM Play'!$B$11-G109)/'NM Play'!$B$13,0)</f>
        <v/>
      </c>
      <c r="P109" s="160">
        <f>ROUNDUP(MAX(0,N109*'NM Play'!$B$12-H109)/'NM Play'!$B$14,0)</f>
        <v/>
      </c>
      <c r="Q109" s="160">
        <f>(O109+IF('Sites'!$C$8="Own sheets",P109,0))/'NM Play'!$B$10</f>
        <v/>
      </c>
      <c r="R109" s="160">
        <f>O109/'NM Play'!$B$15+P109/'NM Play'!$B$16</f>
        <v/>
      </c>
      <c r="S109" s="160">
        <f>MAX(Q109,R109,N109/'NM Play'!$B$36)</f>
        <v/>
      </c>
      <c r="T109" s="160">
        <f>Q109*'NM Play'!$B$10*'NM Play'!$B$21*(1+'NM Play'!$B$35)</f>
        <v/>
      </c>
      <c r="U109" s="160">
        <f>MAX(0,T109-I109)</f>
        <v/>
      </c>
      <c r="V109" s="160">
        <f>G109+O109*'NM Play'!$B$13-N109*'NM Play'!$B$11</f>
        <v/>
      </c>
      <c r="W109" s="160">
        <f>H109+P109*'NM Play'!$B$14-N109*'NM Play'!$B$12</f>
        <v/>
      </c>
      <c r="X109" s="160">
        <f>I109+U109-T109</f>
        <v/>
      </c>
      <c r="Y109" s="160">
        <f>MIN(N109,MAX(0,ROUNDDOWN('Sites'!$N$8*'Cases'!$E$6,0)-SUM(Y102:Y108)))</f>
        <v/>
      </c>
      <c r="Z109" s="160">
        <f>N109-Y109</f>
        <v/>
      </c>
      <c r="AA109" s="160">
        <f>U109*'NM Play'!$B$22</f>
        <v/>
      </c>
      <c r="AB109" s="160">
        <f>N109*SUM('NM Play'!$B$29:$B$31)</f>
        <v/>
      </c>
      <c r="AC109" s="160">
        <f>IF('Sites'!$C$8="Defy legs",P109*'NM Play'!$B$14/'NM Play'!$B$12*'NM Play'!$B$28,0)</f>
        <v/>
      </c>
      <c r="AD109" s="160">
        <f>Q109*'NM Play'!$B$23</f>
        <v/>
      </c>
      <c r="AE109" s="160">
        <f>S109*SUM('NM Play'!$B$26,'NM Play'!$B$33:$B$34)</f>
        <v/>
      </c>
      <c r="AF109" s="160">
        <f>IF('Sites'!$D$8="NM crew",S109*SUM('NM Play'!$B$24:$B$25),0)</f>
        <v/>
      </c>
      <c r="AG109" s="160">
        <f>IF('Sites'!$D$8="NM crew",S109*'NM Play'!$B$27,0)</f>
        <v/>
      </c>
      <c r="AH109" s="160">
        <f>N109*'Sites'!$Z$8*'NM Play'!$B$32</f>
        <v/>
      </c>
      <c r="AI109" s="160">
        <f>SUM(Y109:Z109)*'Sites'!$R$8</f>
        <v/>
      </c>
      <c r="AJ109" s="160">
        <f>SUM(AA109:AH109)</f>
        <v/>
      </c>
      <c r="AK109" s="160">
        <f>AJ109+(T109-U109)*'NM Play'!$B$22+MIN(G109,N109*'NM Play'!$B$11)/'NM Play'!$B$13*'NM Play'!$B$21*'NM Play'!$B$22+MIN(H109,N109*'NM Play'!$B$12)/'NM Play'!$B$14*IF('Sites'!$C$8="Own sheets",'NM Play'!$B$21*'NM Play'!$B$22,'NM Play'!$B$28*'NM Play'!$B$14/'NM Play'!$B$12)</f>
        <v/>
      </c>
      <c r="AL109" s="160">
        <f>Y109*'Assumptions'!AI66</f>
        <v/>
      </c>
      <c r="AM109" s="160">
        <f>IF('Sites'!$D$8="NM crew",S109*'NM Play'!$B$37*(1+IF(AND(ISNUMBER('NM Play'!$B$25),'NM Play'!$B$25&gt;0),1,0)),"")</f>
        <v/>
      </c>
      <c r="AN109" s="160">
        <f>IF(OR('Sites'!$E$8&lt;0,'Sites'!$E$8&gt;1,'Sites'!$F$8&lt;1,'Sites'!$G$8&lt;'Sites'!$F$8,F109&lt;0,MIN('Sites'!$I$8:'Sites'!$R$8)&lt;0,'Sites'!$L$8&gt;'Sites'!$I$8,'Sites'!$M$8&gt;'Sites'!$J$8,'Sites'!$N$8&gt;'Sites'!$K$8,'Sites'!$Z$8&lt;0,'Sites'!$Z$8&gt;1,MIN('Sites'!$AA$8:'Sites'!$AC$8)&lt;0,S109&gt;F109+0.001),1,0)</f>
        <v/>
      </c>
      <c r="AO109" s="160">
        <f>I109+U109-T109-X109</f>
        <v/>
      </c>
    </row>
    <row r="110" ht="28" customHeight="1">
      <c r="A110" s="4" t="inlineStr">
        <is>
          <t>Full</t>
        </is>
      </c>
      <c r="B110" s="4" t="inlineStr">
        <is>
          <t>NEW2</t>
        </is>
      </c>
      <c r="C110" s="160" t="n">
        <v>33</v>
      </c>
      <c r="D110" s="160">
        <f>ROUNDUP(C110/12,0)</f>
        <v/>
      </c>
      <c r="E110" s="160">
        <f>IF(AND('Sites'!$E$8*'Cases'!$F$6=1,C110&gt;='Sites'!$F$8+'Cases'!$G$6,C110&lt;='Sites'!$G$8),1,0)</f>
        <v/>
      </c>
      <c r="F110" s="160">
        <f>E110*'Assumptions'!AJ69</f>
        <v/>
      </c>
      <c r="G110" s="160">
        <f>V109</f>
        <v/>
      </c>
      <c r="H110" s="160">
        <f>W109</f>
        <v/>
      </c>
      <c r="I110" s="160">
        <f>X109</f>
        <v/>
      </c>
      <c r="J110" s="160">
        <f>MAX(0,'Sites'!$K$8-SUM(N102:N109))</f>
        <v/>
      </c>
      <c r="K110" s="160">
        <f>IF('Sites'!$C$8="Own sheets",MIN(ROUNDDOWN(G110/'NM Play'!$B$11,0)+F110*'NM Play'!$B$10/'NM Play'!$B$43,ROUNDDOWN(H110/'NM Play'!$B$12,0)+F110*'NM Play'!$B$10/'NM Play'!$B$44,(F110*'NM Play'!$B$10+ROUNDDOWN(G110/'NM Play'!$B$11,0)*'NM Play'!$B$43+ROUNDDOWN(H110/'NM Play'!$B$12,0)*'NM Play'!$B$44)/('NM Play'!$B$43+'NM Play'!$B$44)),ROUNDDOWN(G110/'NM Play'!$B$11,0)+F110*'NM Play'!$B$10/'NM Play'!$B$43)</f>
        <v/>
      </c>
      <c r="L110" s="160">
        <f>MIN(ROUNDDOWN(G110/'NM Play'!$B$11,0)+F110/('NM Play'!$B$43/'NM Play'!$B$15),ROUNDDOWN(H110/'NM Play'!$B$12,0)+F110/('NM Play'!$B$44/'NM Play'!$B$16),(F110+ROUNDDOWN(G110/'NM Play'!$B$11,0)*'NM Play'!$B$43/'NM Play'!$B$15+ROUNDDOWN(H110/'NM Play'!$B$12,0)*'NM Play'!$B$44/'NM Play'!$B$16)/('NM Play'!$B$43/'NM Play'!$B$15+'NM Play'!$B$44/'NM Play'!$B$16))</f>
        <v/>
      </c>
      <c r="M110" s="160">
        <f>F110*'NM Play'!$B$36</f>
        <v/>
      </c>
      <c r="N110" s="160">
        <f>ROUNDDOWN(MAX(0,MIN(J110,K110:M110)),0)</f>
        <v/>
      </c>
      <c r="O110" s="160">
        <f>ROUNDUP(MAX(0,N110*'NM Play'!$B$11-G110)/'NM Play'!$B$13,0)</f>
        <v/>
      </c>
      <c r="P110" s="160">
        <f>ROUNDUP(MAX(0,N110*'NM Play'!$B$12-H110)/'NM Play'!$B$14,0)</f>
        <v/>
      </c>
      <c r="Q110" s="160">
        <f>(O110+IF('Sites'!$C$8="Own sheets",P110,0))/'NM Play'!$B$10</f>
        <v/>
      </c>
      <c r="R110" s="160">
        <f>O110/'NM Play'!$B$15+P110/'NM Play'!$B$16</f>
        <v/>
      </c>
      <c r="S110" s="160">
        <f>MAX(Q110,R110,N110/'NM Play'!$B$36)</f>
        <v/>
      </c>
      <c r="T110" s="160">
        <f>Q110*'NM Play'!$B$10*'NM Play'!$B$21*(1+'NM Play'!$B$35)</f>
        <v/>
      </c>
      <c r="U110" s="160">
        <f>MAX(0,T110-I110)</f>
        <v/>
      </c>
      <c r="V110" s="160">
        <f>G110+O110*'NM Play'!$B$13-N110*'NM Play'!$B$11</f>
        <v/>
      </c>
      <c r="W110" s="160">
        <f>H110+P110*'NM Play'!$B$14-N110*'NM Play'!$B$12</f>
        <v/>
      </c>
      <c r="X110" s="160">
        <f>I110+U110-T110</f>
        <v/>
      </c>
      <c r="Y110" s="160">
        <f>MIN(N110,MAX(0,ROUNDDOWN('Sites'!$N$8*'Cases'!$E$6,0)-SUM(Y102:Y109)))</f>
        <v/>
      </c>
      <c r="Z110" s="160">
        <f>N110-Y110</f>
        <v/>
      </c>
      <c r="AA110" s="160">
        <f>U110*'NM Play'!$B$22</f>
        <v/>
      </c>
      <c r="AB110" s="160">
        <f>N110*SUM('NM Play'!$B$29:$B$31)</f>
        <v/>
      </c>
      <c r="AC110" s="160">
        <f>IF('Sites'!$C$8="Defy legs",P110*'NM Play'!$B$14/'NM Play'!$B$12*'NM Play'!$B$28,0)</f>
        <v/>
      </c>
      <c r="AD110" s="160">
        <f>Q110*'NM Play'!$B$23</f>
        <v/>
      </c>
      <c r="AE110" s="160">
        <f>S110*SUM('NM Play'!$B$26,'NM Play'!$B$33:$B$34)</f>
        <v/>
      </c>
      <c r="AF110" s="160">
        <f>IF('Sites'!$D$8="NM crew",S110*SUM('NM Play'!$B$24:$B$25),0)</f>
        <v/>
      </c>
      <c r="AG110" s="160">
        <f>IF('Sites'!$D$8="NM crew",S110*'NM Play'!$B$27,0)</f>
        <v/>
      </c>
      <c r="AH110" s="160">
        <f>N110*'Sites'!$Z$8*'NM Play'!$B$32</f>
        <v/>
      </c>
      <c r="AI110" s="160">
        <f>SUM(Y110:Z110)*'Sites'!$R$8</f>
        <v/>
      </c>
      <c r="AJ110" s="160">
        <f>SUM(AA110:AH110)</f>
        <v/>
      </c>
      <c r="AK110" s="160">
        <f>AJ110+(T110-U110)*'NM Play'!$B$22+MIN(G110,N110*'NM Play'!$B$11)/'NM Play'!$B$13*'NM Play'!$B$21*'NM Play'!$B$22+MIN(H110,N110*'NM Play'!$B$12)/'NM Play'!$B$14*IF('Sites'!$C$8="Own sheets",'NM Play'!$B$21*'NM Play'!$B$22,'NM Play'!$B$28*'NM Play'!$B$14/'NM Play'!$B$12)</f>
        <v/>
      </c>
      <c r="AL110" s="160">
        <f>Y110*'Assumptions'!AJ66</f>
        <v/>
      </c>
      <c r="AM110" s="160">
        <f>IF('Sites'!$D$8="NM crew",S110*'NM Play'!$B$37*(1+IF(AND(ISNUMBER('NM Play'!$B$25),'NM Play'!$B$25&gt;0),1,0)),"")</f>
        <v/>
      </c>
      <c r="AN110" s="160">
        <f>IF(OR('Sites'!$E$8&lt;0,'Sites'!$E$8&gt;1,'Sites'!$F$8&lt;1,'Sites'!$G$8&lt;'Sites'!$F$8,F110&lt;0,MIN('Sites'!$I$8:'Sites'!$R$8)&lt;0,'Sites'!$L$8&gt;'Sites'!$I$8,'Sites'!$M$8&gt;'Sites'!$J$8,'Sites'!$N$8&gt;'Sites'!$K$8,'Sites'!$Z$8&lt;0,'Sites'!$Z$8&gt;1,MIN('Sites'!$AA$8:'Sites'!$AC$8)&lt;0,S110&gt;F110+0.001),1,0)</f>
        <v/>
      </c>
      <c r="AO110" s="160">
        <f>I110+U110-T110-X110</f>
        <v/>
      </c>
    </row>
    <row r="111" ht="28" customHeight="1">
      <c r="A111" s="4" t="inlineStr">
        <is>
          <t>Full</t>
        </is>
      </c>
      <c r="B111" s="4" t="inlineStr">
        <is>
          <t>NEW2</t>
        </is>
      </c>
      <c r="C111" s="160" t="n">
        <v>34</v>
      </c>
      <c r="D111" s="160">
        <f>ROUNDUP(C111/12,0)</f>
        <v/>
      </c>
      <c r="E111" s="160">
        <f>IF(AND('Sites'!$E$8*'Cases'!$F$6=1,C111&gt;='Sites'!$F$8+'Cases'!$G$6,C111&lt;='Sites'!$G$8),1,0)</f>
        <v/>
      </c>
      <c r="F111" s="160">
        <f>E111*'Assumptions'!AK69</f>
        <v/>
      </c>
      <c r="G111" s="160">
        <f>V110</f>
        <v/>
      </c>
      <c r="H111" s="160">
        <f>W110</f>
        <v/>
      </c>
      <c r="I111" s="160">
        <f>X110</f>
        <v/>
      </c>
      <c r="J111" s="160">
        <f>MAX(0,'Sites'!$K$8-SUM(N102:N110))</f>
        <v/>
      </c>
      <c r="K111" s="160">
        <f>IF('Sites'!$C$8="Own sheets",MIN(ROUNDDOWN(G111/'NM Play'!$B$11,0)+F111*'NM Play'!$B$10/'NM Play'!$B$43,ROUNDDOWN(H111/'NM Play'!$B$12,0)+F111*'NM Play'!$B$10/'NM Play'!$B$44,(F111*'NM Play'!$B$10+ROUNDDOWN(G111/'NM Play'!$B$11,0)*'NM Play'!$B$43+ROUNDDOWN(H111/'NM Play'!$B$12,0)*'NM Play'!$B$44)/('NM Play'!$B$43+'NM Play'!$B$44)),ROUNDDOWN(G111/'NM Play'!$B$11,0)+F111*'NM Play'!$B$10/'NM Play'!$B$43)</f>
        <v/>
      </c>
      <c r="L111" s="160">
        <f>MIN(ROUNDDOWN(G111/'NM Play'!$B$11,0)+F111/('NM Play'!$B$43/'NM Play'!$B$15),ROUNDDOWN(H111/'NM Play'!$B$12,0)+F111/('NM Play'!$B$44/'NM Play'!$B$16),(F111+ROUNDDOWN(G111/'NM Play'!$B$11,0)*'NM Play'!$B$43/'NM Play'!$B$15+ROUNDDOWN(H111/'NM Play'!$B$12,0)*'NM Play'!$B$44/'NM Play'!$B$16)/('NM Play'!$B$43/'NM Play'!$B$15+'NM Play'!$B$44/'NM Play'!$B$16))</f>
        <v/>
      </c>
      <c r="M111" s="160">
        <f>F111*'NM Play'!$B$36</f>
        <v/>
      </c>
      <c r="N111" s="160">
        <f>ROUNDDOWN(MAX(0,MIN(J111,K111:M111)),0)</f>
        <v/>
      </c>
      <c r="O111" s="160">
        <f>ROUNDUP(MAX(0,N111*'NM Play'!$B$11-G111)/'NM Play'!$B$13,0)</f>
        <v/>
      </c>
      <c r="P111" s="160">
        <f>ROUNDUP(MAX(0,N111*'NM Play'!$B$12-H111)/'NM Play'!$B$14,0)</f>
        <v/>
      </c>
      <c r="Q111" s="160">
        <f>(O111+IF('Sites'!$C$8="Own sheets",P111,0))/'NM Play'!$B$10</f>
        <v/>
      </c>
      <c r="R111" s="160">
        <f>O111/'NM Play'!$B$15+P111/'NM Play'!$B$16</f>
        <v/>
      </c>
      <c r="S111" s="160">
        <f>MAX(Q111,R111,N111/'NM Play'!$B$36)</f>
        <v/>
      </c>
      <c r="T111" s="160">
        <f>Q111*'NM Play'!$B$10*'NM Play'!$B$21*(1+'NM Play'!$B$35)</f>
        <v/>
      </c>
      <c r="U111" s="160">
        <f>MAX(0,T111-I111)</f>
        <v/>
      </c>
      <c r="V111" s="160">
        <f>G111+O111*'NM Play'!$B$13-N111*'NM Play'!$B$11</f>
        <v/>
      </c>
      <c r="W111" s="160">
        <f>H111+P111*'NM Play'!$B$14-N111*'NM Play'!$B$12</f>
        <v/>
      </c>
      <c r="X111" s="160">
        <f>I111+U111-T111</f>
        <v/>
      </c>
      <c r="Y111" s="160">
        <f>MIN(N111,MAX(0,ROUNDDOWN('Sites'!$N$8*'Cases'!$E$6,0)-SUM(Y102:Y110)))</f>
        <v/>
      </c>
      <c r="Z111" s="160">
        <f>N111-Y111</f>
        <v/>
      </c>
      <c r="AA111" s="160">
        <f>U111*'NM Play'!$B$22</f>
        <v/>
      </c>
      <c r="AB111" s="160">
        <f>N111*SUM('NM Play'!$B$29:$B$31)</f>
        <v/>
      </c>
      <c r="AC111" s="160">
        <f>IF('Sites'!$C$8="Defy legs",P111*'NM Play'!$B$14/'NM Play'!$B$12*'NM Play'!$B$28,0)</f>
        <v/>
      </c>
      <c r="AD111" s="160">
        <f>Q111*'NM Play'!$B$23</f>
        <v/>
      </c>
      <c r="AE111" s="160">
        <f>S111*SUM('NM Play'!$B$26,'NM Play'!$B$33:$B$34)</f>
        <v/>
      </c>
      <c r="AF111" s="160">
        <f>IF('Sites'!$D$8="NM crew",S111*SUM('NM Play'!$B$24:$B$25),0)</f>
        <v/>
      </c>
      <c r="AG111" s="160">
        <f>IF('Sites'!$D$8="NM crew",S111*'NM Play'!$B$27,0)</f>
        <v/>
      </c>
      <c r="AH111" s="160">
        <f>N111*'Sites'!$Z$8*'NM Play'!$B$32</f>
        <v/>
      </c>
      <c r="AI111" s="160">
        <f>SUM(Y111:Z111)*'Sites'!$R$8</f>
        <v/>
      </c>
      <c r="AJ111" s="160">
        <f>SUM(AA111:AH111)</f>
        <v/>
      </c>
      <c r="AK111" s="160">
        <f>AJ111+(T111-U111)*'NM Play'!$B$22+MIN(G111,N111*'NM Play'!$B$11)/'NM Play'!$B$13*'NM Play'!$B$21*'NM Play'!$B$22+MIN(H111,N111*'NM Play'!$B$12)/'NM Play'!$B$14*IF('Sites'!$C$8="Own sheets",'NM Play'!$B$21*'NM Play'!$B$22,'NM Play'!$B$28*'NM Play'!$B$14/'NM Play'!$B$12)</f>
        <v/>
      </c>
      <c r="AL111" s="160">
        <f>Y111*'Assumptions'!AK66</f>
        <v/>
      </c>
      <c r="AM111" s="160">
        <f>IF('Sites'!$D$8="NM crew",S111*'NM Play'!$B$37*(1+IF(AND(ISNUMBER('NM Play'!$B$25),'NM Play'!$B$25&gt;0),1,0)),"")</f>
        <v/>
      </c>
      <c r="AN111" s="160">
        <f>IF(OR('Sites'!$E$8&lt;0,'Sites'!$E$8&gt;1,'Sites'!$F$8&lt;1,'Sites'!$G$8&lt;'Sites'!$F$8,F111&lt;0,MIN('Sites'!$I$8:'Sites'!$R$8)&lt;0,'Sites'!$L$8&gt;'Sites'!$I$8,'Sites'!$M$8&gt;'Sites'!$J$8,'Sites'!$N$8&gt;'Sites'!$K$8,'Sites'!$Z$8&lt;0,'Sites'!$Z$8&gt;1,MIN('Sites'!$AA$8:'Sites'!$AC$8)&lt;0,S111&gt;F111+0.001),1,0)</f>
        <v/>
      </c>
      <c r="AO111" s="160">
        <f>I111+U111-T111-X111</f>
        <v/>
      </c>
    </row>
    <row r="112" ht="28" customHeight="1">
      <c r="A112" s="4" t="inlineStr">
        <is>
          <t>Full</t>
        </is>
      </c>
      <c r="B112" s="4" t="inlineStr">
        <is>
          <t>NEW2</t>
        </is>
      </c>
      <c r="C112" s="160" t="n">
        <v>35</v>
      </c>
      <c r="D112" s="160">
        <f>ROUNDUP(C112/12,0)</f>
        <v/>
      </c>
      <c r="E112" s="160">
        <f>IF(AND('Sites'!$E$8*'Cases'!$F$6=1,C112&gt;='Sites'!$F$8+'Cases'!$G$6,C112&lt;='Sites'!$G$8),1,0)</f>
        <v/>
      </c>
      <c r="F112" s="160">
        <f>E112*'Assumptions'!AL69</f>
        <v/>
      </c>
      <c r="G112" s="160">
        <f>V111</f>
        <v/>
      </c>
      <c r="H112" s="160">
        <f>W111</f>
        <v/>
      </c>
      <c r="I112" s="160">
        <f>X111</f>
        <v/>
      </c>
      <c r="J112" s="160">
        <f>MAX(0,'Sites'!$K$8-SUM(N102:N111))</f>
        <v/>
      </c>
      <c r="K112" s="160">
        <f>IF('Sites'!$C$8="Own sheets",MIN(ROUNDDOWN(G112/'NM Play'!$B$11,0)+F112*'NM Play'!$B$10/'NM Play'!$B$43,ROUNDDOWN(H112/'NM Play'!$B$12,0)+F112*'NM Play'!$B$10/'NM Play'!$B$44,(F112*'NM Play'!$B$10+ROUNDDOWN(G112/'NM Play'!$B$11,0)*'NM Play'!$B$43+ROUNDDOWN(H112/'NM Play'!$B$12,0)*'NM Play'!$B$44)/('NM Play'!$B$43+'NM Play'!$B$44)),ROUNDDOWN(G112/'NM Play'!$B$11,0)+F112*'NM Play'!$B$10/'NM Play'!$B$43)</f>
        <v/>
      </c>
      <c r="L112" s="160">
        <f>MIN(ROUNDDOWN(G112/'NM Play'!$B$11,0)+F112/('NM Play'!$B$43/'NM Play'!$B$15),ROUNDDOWN(H112/'NM Play'!$B$12,0)+F112/('NM Play'!$B$44/'NM Play'!$B$16),(F112+ROUNDDOWN(G112/'NM Play'!$B$11,0)*'NM Play'!$B$43/'NM Play'!$B$15+ROUNDDOWN(H112/'NM Play'!$B$12,0)*'NM Play'!$B$44/'NM Play'!$B$16)/('NM Play'!$B$43/'NM Play'!$B$15+'NM Play'!$B$44/'NM Play'!$B$16))</f>
        <v/>
      </c>
      <c r="M112" s="160">
        <f>F112*'NM Play'!$B$36</f>
        <v/>
      </c>
      <c r="N112" s="160">
        <f>ROUNDDOWN(MAX(0,MIN(J112,K112:M112)),0)</f>
        <v/>
      </c>
      <c r="O112" s="160">
        <f>ROUNDUP(MAX(0,N112*'NM Play'!$B$11-G112)/'NM Play'!$B$13,0)</f>
        <v/>
      </c>
      <c r="P112" s="160">
        <f>ROUNDUP(MAX(0,N112*'NM Play'!$B$12-H112)/'NM Play'!$B$14,0)</f>
        <v/>
      </c>
      <c r="Q112" s="160">
        <f>(O112+IF('Sites'!$C$8="Own sheets",P112,0))/'NM Play'!$B$10</f>
        <v/>
      </c>
      <c r="R112" s="160">
        <f>O112/'NM Play'!$B$15+P112/'NM Play'!$B$16</f>
        <v/>
      </c>
      <c r="S112" s="160">
        <f>MAX(Q112,R112,N112/'NM Play'!$B$36)</f>
        <v/>
      </c>
      <c r="T112" s="160">
        <f>Q112*'NM Play'!$B$10*'NM Play'!$B$21*(1+'NM Play'!$B$35)</f>
        <v/>
      </c>
      <c r="U112" s="160">
        <f>MAX(0,T112-I112)</f>
        <v/>
      </c>
      <c r="V112" s="160">
        <f>G112+O112*'NM Play'!$B$13-N112*'NM Play'!$B$11</f>
        <v/>
      </c>
      <c r="W112" s="160">
        <f>H112+P112*'NM Play'!$B$14-N112*'NM Play'!$B$12</f>
        <v/>
      </c>
      <c r="X112" s="160">
        <f>I112+U112-T112</f>
        <v/>
      </c>
      <c r="Y112" s="160">
        <f>MIN(N112,MAX(0,ROUNDDOWN('Sites'!$N$8*'Cases'!$E$6,0)-SUM(Y102:Y111)))</f>
        <v/>
      </c>
      <c r="Z112" s="160">
        <f>N112-Y112</f>
        <v/>
      </c>
      <c r="AA112" s="160">
        <f>U112*'NM Play'!$B$22</f>
        <v/>
      </c>
      <c r="AB112" s="160">
        <f>N112*SUM('NM Play'!$B$29:$B$31)</f>
        <v/>
      </c>
      <c r="AC112" s="160">
        <f>IF('Sites'!$C$8="Defy legs",P112*'NM Play'!$B$14/'NM Play'!$B$12*'NM Play'!$B$28,0)</f>
        <v/>
      </c>
      <c r="AD112" s="160">
        <f>Q112*'NM Play'!$B$23</f>
        <v/>
      </c>
      <c r="AE112" s="160">
        <f>S112*SUM('NM Play'!$B$26,'NM Play'!$B$33:$B$34)</f>
        <v/>
      </c>
      <c r="AF112" s="160">
        <f>IF('Sites'!$D$8="NM crew",S112*SUM('NM Play'!$B$24:$B$25),0)</f>
        <v/>
      </c>
      <c r="AG112" s="160">
        <f>IF('Sites'!$D$8="NM crew",S112*'NM Play'!$B$27,0)</f>
        <v/>
      </c>
      <c r="AH112" s="160">
        <f>N112*'Sites'!$Z$8*'NM Play'!$B$32</f>
        <v/>
      </c>
      <c r="AI112" s="160">
        <f>SUM(Y112:Z112)*'Sites'!$R$8</f>
        <v/>
      </c>
      <c r="AJ112" s="160">
        <f>SUM(AA112:AH112)</f>
        <v/>
      </c>
      <c r="AK112" s="160">
        <f>AJ112+(T112-U112)*'NM Play'!$B$22+MIN(G112,N112*'NM Play'!$B$11)/'NM Play'!$B$13*'NM Play'!$B$21*'NM Play'!$B$22+MIN(H112,N112*'NM Play'!$B$12)/'NM Play'!$B$14*IF('Sites'!$C$8="Own sheets",'NM Play'!$B$21*'NM Play'!$B$22,'NM Play'!$B$28*'NM Play'!$B$14/'NM Play'!$B$12)</f>
        <v/>
      </c>
      <c r="AL112" s="160">
        <f>Y112*'Assumptions'!AL66</f>
        <v/>
      </c>
      <c r="AM112" s="160">
        <f>IF('Sites'!$D$8="NM crew",S112*'NM Play'!$B$37*(1+IF(AND(ISNUMBER('NM Play'!$B$25),'NM Play'!$B$25&gt;0),1,0)),"")</f>
        <v/>
      </c>
      <c r="AN112" s="160">
        <f>IF(OR('Sites'!$E$8&lt;0,'Sites'!$E$8&gt;1,'Sites'!$F$8&lt;1,'Sites'!$G$8&lt;'Sites'!$F$8,F112&lt;0,MIN('Sites'!$I$8:'Sites'!$R$8)&lt;0,'Sites'!$L$8&gt;'Sites'!$I$8,'Sites'!$M$8&gt;'Sites'!$J$8,'Sites'!$N$8&gt;'Sites'!$K$8,'Sites'!$Z$8&lt;0,'Sites'!$Z$8&gt;1,MIN('Sites'!$AA$8:'Sites'!$AC$8)&lt;0,S112&gt;F112+0.001),1,0)</f>
        <v/>
      </c>
      <c r="AO112" s="160">
        <f>I112+U112-T112-X112</f>
        <v/>
      </c>
    </row>
    <row r="113" ht="28" customHeight="1">
      <c r="A113" s="4" t="inlineStr">
        <is>
          <t>Full</t>
        </is>
      </c>
      <c r="B113" s="4" t="inlineStr">
        <is>
          <t>NEW2</t>
        </is>
      </c>
      <c r="C113" s="160" t="n">
        <v>36</v>
      </c>
      <c r="D113" s="160">
        <f>ROUNDUP(C113/12,0)</f>
        <v/>
      </c>
      <c r="E113" s="160">
        <f>IF(AND('Sites'!$E$8*'Cases'!$F$6=1,C113&gt;='Sites'!$F$8+'Cases'!$G$6,C113&lt;='Sites'!$G$8),1,0)</f>
        <v/>
      </c>
      <c r="F113" s="160">
        <f>E113*'Assumptions'!AM69</f>
        <v/>
      </c>
      <c r="G113" s="160">
        <f>V112</f>
        <v/>
      </c>
      <c r="H113" s="160">
        <f>W112</f>
        <v/>
      </c>
      <c r="I113" s="160">
        <f>X112</f>
        <v/>
      </c>
      <c r="J113" s="160">
        <f>MAX(0,'Sites'!$K$8-SUM(N102:N112))</f>
        <v/>
      </c>
      <c r="K113" s="160">
        <f>IF('Sites'!$C$8="Own sheets",MIN(ROUNDDOWN(G113/'NM Play'!$B$11,0)+F113*'NM Play'!$B$10/'NM Play'!$B$43,ROUNDDOWN(H113/'NM Play'!$B$12,0)+F113*'NM Play'!$B$10/'NM Play'!$B$44,(F113*'NM Play'!$B$10+ROUNDDOWN(G113/'NM Play'!$B$11,0)*'NM Play'!$B$43+ROUNDDOWN(H113/'NM Play'!$B$12,0)*'NM Play'!$B$44)/('NM Play'!$B$43+'NM Play'!$B$44)),ROUNDDOWN(G113/'NM Play'!$B$11,0)+F113*'NM Play'!$B$10/'NM Play'!$B$43)</f>
        <v/>
      </c>
      <c r="L113" s="160">
        <f>MIN(ROUNDDOWN(G113/'NM Play'!$B$11,0)+F113/('NM Play'!$B$43/'NM Play'!$B$15),ROUNDDOWN(H113/'NM Play'!$B$12,0)+F113/('NM Play'!$B$44/'NM Play'!$B$16),(F113+ROUNDDOWN(G113/'NM Play'!$B$11,0)*'NM Play'!$B$43/'NM Play'!$B$15+ROUNDDOWN(H113/'NM Play'!$B$12,0)*'NM Play'!$B$44/'NM Play'!$B$16)/('NM Play'!$B$43/'NM Play'!$B$15+'NM Play'!$B$44/'NM Play'!$B$16))</f>
        <v/>
      </c>
      <c r="M113" s="160">
        <f>F113*'NM Play'!$B$36</f>
        <v/>
      </c>
      <c r="N113" s="160">
        <f>ROUNDDOWN(MAX(0,MIN(J113,K113:M113)),0)</f>
        <v/>
      </c>
      <c r="O113" s="160">
        <f>ROUNDUP(MAX(0,N113*'NM Play'!$B$11-G113)/'NM Play'!$B$13,0)</f>
        <v/>
      </c>
      <c r="P113" s="160">
        <f>ROUNDUP(MAX(0,N113*'NM Play'!$B$12-H113)/'NM Play'!$B$14,0)</f>
        <v/>
      </c>
      <c r="Q113" s="160">
        <f>(O113+IF('Sites'!$C$8="Own sheets",P113,0))/'NM Play'!$B$10</f>
        <v/>
      </c>
      <c r="R113" s="160">
        <f>O113/'NM Play'!$B$15+P113/'NM Play'!$B$16</f>
        <v/>
      </c>
      <c r="S113" s="160">
        <f>MAX(Q113,R113,N113/'NM Play'!$B$36)</f>
        <v/>
      </c>
      <c r="T113" s="160">
        <f>Q113*'NM Play'!$B$10*'NM Play'!$B$21*(1+'NM Play'!$B$35)</f>
        <v/>
      </c>
      <c r="U113" s="160">
        <f>MAX(0,T113-I113)</f>
        <v/>
      </c>
      <c r="V113" s="160">
        <f>G113+O113*'NM Play'!$B$13-N113*'NM Play'!$B$11</f>
        <v/>
      </c>
      <c r="W113" s="160">
        <f>H113+P113*'NM Play'!$B$14-N113*'NM Play'!$B$12</f>
        <v/>
      </c>
      <c r="X113" s="160">
        <f>I113+U113-T113</f>
        <v/>
      </c>
      <c r="Y113" s="160">
        <f>MIN(N113,MAX(0,ROUNDDOWN('Sites'!$N$8*'Cases'!$E$6,0)-SUM(Y102:Y112)))</f>
        <v/>
      </c>
      <c r="Z113" s="160">
        <f>N113-Y113</f>
        <v/>
      </c>
      <c r="AA113" s="160">
        <f>U113*'NM Play'!$B$22</f>
        <v/>
      </c>
      <c r="AB113" s="160">
        <f>N113*SUM('NM Play'!$B$29:$B$31)</f>
        <v/>
      </c>
      <c r="AC113" s="160">
        <f>IF('Sites'!$C$8="Defy legs",P113*'NM Play'!$B$14/'NM Play'!$B$12*'NM Play'!$B$28,0)</f>
        <v/>
      </c>
      <c r="AD113" s="160">
        <f>Q113*'NM Play'!$B$23</f>
        <v/>
      </c>
      <c r="AE113" s="160">
        <f>S113*SUM('NM Play'!$B$26,'NM Play'!$B$33:$B$34)</f>
        <v/>
      </c>
      <c r="AF113" s="160">
        <f>IF('Sites'!$D$8="NM crew",S113*SUM('NM Play'!$B$24:$B$25),0)</f>
        <v/>
      </c>
      <c r="AG113" s="160">
        <f>IF('Sites'!$D$8="NM crew",S113*'NM Play'!$B$27,0)</f>
        <v/>
      </c>
      <c r="AH113" s="160">
        <f>N113*'Sites'!$Z$8*'NM Play'!$B$32</f>
        <v/>
      </c>
      <c r="AI113" s="160">
        <f>SUM(Y113:Z113)*'Sites'!$R$8</f>
        <v/>
      </c>
      <c r="AJ113" s="160">
        <f>SUM(AA113:AH113)</f>
        <v/>
      </c>
      <c r="AK113" s="160">
        <f>AJ113+(T113-U113)*'NM Play'!$B$22+MIN(G113,N113*'NM Play'!$B$11)/'NM Play'!$B$13*'NM Play'!$B$21*'NM Play'!$B$22+MIN(H113,N113*'NM Play'!$B$12)/'NM Play'!$B$14*IF('Sites'!$C$8="Own sheets",'NM Play'!$B$21*'NM Play'!$B$22,'NM Play'!$B$28*'NM Play'!$B$14/'NM Play'!$B$12)</f>
        <v/>
      </c>
      <c r="AL113" s="160">
        <f>Y113*'Assumptions'!AM66</f>
        <v/>
      </c>
      <c r="AM113" s="160">
        <f>IF('Sites'!$D$8="NM crew",S113*'NM Play'!$B$37*(1+IF(AND(ISNUMBER('NM Play'!$B$25),'NM Play'!$B$25&gt;0),1,0)),"")</f>
        <v/>
      </c>
      <c r="AN113" s="160">
        <f>IF(OR('Sites'!$E$8&lt;0,'Sites'!$E$8&gt;1,'Sites'!$F$8&lt;1,'Sites'!$G$8&lt;'Sites'!$F$8,F113&lt;0,MIN('Sites'!$I$8:'Sites'!$R$8)&lt;0,'Sites'!$L$8&gt;'Sites'!$I$8,'Sites'!$M$8&gt;'Sites'!$J$8,'Sites'!$N$8&gt;'Sites'!$K$8,'Sites'!$Z$8&lt;0,'Sites'!$Z$8&gt;1,MIN('Sites'!$AA$8:'Sites'!$AC$8)&lt;0,S113&gt;F113+0.001),1,0)</f>
        <v/>
      </c>
      <c r="AO113" s="160">
        <f>I113+U113-T113-X113</f>
        <v/>
      </c>
    </row>
    <row r="114" ht="28" customHeight="1">
      <c r="A114" s="4" t="inlineStr">
        <is>
          <t>Smaller</t>
        </is>
      </c>
      <c r="B114" s="4" t="inlineStr">
        <is>
          <t>WITTA</t>
        </is>
      </c>
      <c r="C114" s="160" t="n">
        <v>1</v>
      </c>
      <c r="D114" s="160">
        <f>ROUNDUP(C114/12,0)</f>
        <v/>
      </c>
      <c r="E114" s="160">
        <f>IF(AND('Sites'!$E$6=1,C114&gt;='Sites'!$F$6,C114&lt;='Sites'!$G$6),1,0)</f>
        <v/>
      </c>
      <c r="F114" s="160">
        <f>E114*'Assumptions'!D67</f>
        <v/>
      </c>
      <c r="G114" s="160">
        <f>'Sites'!$AA$6</f>
        <v/>
      </c>
      <c r="H114" s="160">
        <f>'Sites'!$AB$6</f>
        <v/>
      </c>
      <c r="I114" s="160">
        <f>'Sites'!$AC$6</f>
        <v/>
      </c>
      <c r="J114" s="160">
        <f>MAX(0,'Sites'!$I$6-0)</f>
        <v/>
      </c>
      <c r="K114" s="160">
        <f>IF('Sites'!$C$6="Own sheets",MIN(ROUNDDOWN(G114/'NM Play'!$B$11,0)+F114*'NM Play'!$B$10/'NM Play'!$B$43,ROUNDDOWN(H114/'NM Play'!$B$12,0)+F114*'NM Play'!$B$10/'NM Play'!$B$44,(F114*'NM Play'!$B$10+ROUNDDOWN(G114/'NM Play'!$B$11,0)*'NM Play'!$B$43+ROUNDDOWN(H114/'NM Play'!$B$12,0)*'NM Play'!$B$44)/('NM Play'!$B$43+'NM Play'!$B$44)),ROUNDDOWN(G114/'NM Play'!$B$11,0)+F114*'NM Play'!$B$10/'NM Play'!$B$43)</f>
        <v/>
      </c>
      <c r="L114" s="160">
        <f>MIN(ROUNDDOWN(G114/'NM Play'!$B$11,0)+F114/('NM Play'!$B$43/'NM Play'!$B$15),ROUNDDOWN(H114/'NM Play'!$B$12,0)+F114/('NM Play'!$B$44/'NM Play'!$B$16),(F114+ROUNDDOWN(G114/'NM Play'!$B$11,0)*'NM Play'!$B$43/'NM Play'!$B$15+ROUNDDOWN(H114/'NM Play'!$B$12,0)*'NM Play'!$B$44/'NM Play'!$B$16)/('NM Play'!$B$43/'NM Play'!$B$15+'NM Play'!$B$44/'NM Play'!$B$16))</f>
        <v/>
      </c>
      <c r="M114" s="160">
        <f>F114*'NM Play'!$B$36</f>
        <v/>
      </c>
      <c r="N114" s="160">
        <f>ROUNDDOWN(MAX(0,MIN(J114,K114:M114)),0)</f>
        <v/>
      </c>
      <c r="O114" s="160">
        <f>ROUNDUP(MAX(0,N114*'NM Play'!$B$11-G114)/'NM Play'!$B$13,0)</f>
        <v/>
      </c>
      <c r="P114" s="160">
        <f>ROUNDUP(MAX(0,N114*'NM Play'!$B$12-H114)/'NM Play'!$B$14,0)</f>
        <v/>
      </c>
      <c r="Q114" s="160">
        <f>(O114+IF('Sites'!$C$6="Own sheets",P114,0))/'NM Play'!$B$10</f>
        <v/>
      </c>
      <c r="R114" s="160">
        <f>O114/'NM Play'!$B$15+P114/'NM Play'!$B$16</f>
        <v/>
      </c>
      <c r="S114" s="160">
        <f>MAX(Q114,R114,N114/'NM Play'!$B$36)</f>
        <v/>
      </c>
      <c r="T114" s="160">
        <f>Q114*'NM Play'!$B$10*'NM Play'!$B$21*(1+'NM Play'!$B$35)</f>
        <v/>
      </c>
      <c r="U114" s="160">
        <f>MAX(0,T114-I114)</f>
        <v/>
      </c>
      <c r="V114" s="160">
        <f>G114+O114*'NM Play'!$B$13-N114*'NM Play'!$B$11</f>
        <v/>
      </c>
      <c r="W114" s="160">
        <f>H114+P114*'NM Play'!$B$14-N114*'NM Play'!$B$12</f>
        <v/>
      </c>
      <c r="X114" s="160">
        <f>I114+U114-T114</f>
        <v/>
      </c>
      <c r="Y114" s="160">
        <f>MIN(N114,MAX(0,ROUNDDOWN('Sites'!$L$6*'Cases'!$E$7,0)-0))</f>
        <v/>
      </c>
      <c r="Z114" s="160">
        <f>N114-Y114</f>
        <v/>
      </c>
      <c r="AA114" s="160">
        <f>U114*'NM Play'!$B$22</f>
        <v/>
      </c>
      <c r="AB114" s="160">
        <f>N114*SUM('NM Play'!$B$29:$B$31)</f>
        <v/>
      </c>
      <c r="AC114" s="160">
        <f>IF('Sites'!$C$6="Defy legs",P114*'NM Play'!$B$14/'NM Play'!$B$12*'NM Play'!$B$28,0)</f>
        <v/>
      </c>
      <c r="AD114" s="160">
        <f>Q114*'NM Play'!$B$23</f>
        <v/>
      </c>
      <c r="AE114" s="160">
        <f>S114*SUM('NM Play'!$B$26,'NM Play'!$B$33:$B$34)</f>
        <v/>
      </c>
      <c r="AF114" s="160">
        <f>IF('Sites'!$D$6="NM crew",S114*SUM('NM Play'!$B$24:$B$25),0)</f>
        <v/>
      </c>
      <c r="AG114" s="160">
        <f>IF('Sites'!$D$6="NM crew",S114*'NM Play'!$B$27,0)</f>
        <v/>
      </c>
      <c r="AH114" s="160">
        <f>N114*'Sites'!$Z$6*'NM Play'!$B$32</f>
        <v/>
      </c>
      <c r="AI114" s="160">
        <f>SUM(Y114:Z114)*'Sites'!$R$6</f>
        <v/>
      </c>
      <c r="AJ114" s="160">
        <f>SUM(AA114:AH114)</f>
        <v/>
      </c>
      <c r="AK114" s="160">
        <f>AJ114+(T114-U114)*'NM Play'!$B$22+MIN(G114,N114*'NM Play'!$B$11)/'NM Play'!$B$13*'NM Play'!$B$21*'NM Play'!$B$22+MIN(H114,N114*'NM Play'!$B$12)/'NM Play'!$B$14*IF('Sites'!$C$6="Own sheets",'NM Play'!$B$21*'NM Play'!$B$22,'NM Play'!$B$28*'NM Play'!$B$14/'NM Play'!$B$12)</f>
        <v/>
      </c>
      <c r="AL114" s="160">
        <f>Y114*'Assumptions'!D66</f>
        <v/>
      </c>
      <c r="AM114" s="160">
        <f>IF('Sites'!$D$6="NM crew",S114*'NM Play'!$B$37*(1+IF(AND(ISNUMBER('NM Play'!$B$25),'NM Play'!$B$25&gt;0),1,0)),"")</f>
        <v/>
      </c>
      <c r="AN114" s="160">
        <f>IF(OR('Sites'!$E$6&lt;0,'Sites'!$E$6&gt;1,'Sites'!$F$6&lt;1,'Sites'!$G$6&lt;'Sites'!$F$6,F114&lt;0,MIN('Sites'!$I$6:'Sites'!$R$6)&lt;0,'Sites'!$L$6&gt;'Sites'!$I$6,'Sites'!$M$6&gt;'Sites'!$J$6,'Sites'!$N$6&gt;'Sites'!$K$6,'Sites'!$Z$6&lt;0,'Sites'!$Z$6&gt;1,MIN('Sites'!$AA$6:'Sites'!$AC$6)&lt;0,S114&gt;F114+0.001),1,0)</f>
        <v/>
      </c>
      <c r="AO114" s="160">
        <f>I114+U114-T114-X114</f>
        <v/>
      </c>
    </row>
    <row r="115" ht="28" customHeight="1">
      <c r="A115" s="4" t="inlineStr">
        <is>
          <t>Smaller</t>
        </is>
      </c>
      <c r="B115" s="4" t="inlineStr">
        <is>
          <t>WITTA</t>
        </is>
      </c>
      <c r="C115" s="160" t="n">
        <v>2</v>
      </c>
      <c r="D115" s="160">
        <f>ROUNDUP(C115/12,0)</f>
        <v/>
      </c>
      <c r="E115" s="160">
        <f>IF(AND('Sites'!$E$6=1,C115&gt;='Sites'!$F$6,C115&lt;='Sites'!$G$6),1,0)</f>
        <v/>
      </c>
      <c r="F115" s="160">
        <f>E115*'Assumptions'!E67</f>
        <v/>
      </c>
      <c r="G115" s="160">
        <f>V114</f>
        <v/>
      </c>
      <c r="H115" s="160">
        <f>W114</f>
        <v/>
      </c>
      <c r="I115" s="160">
        <f>X114</f>
        <v/>
      </c>
      <c r="J115" s="160">
        <f>MAX(0,'Sites'!$I$6-SUM(N114:N114))</f>
        <v/>
      </c>
      <c r="K115" s="160">
        <f>IF('Sites'!$C$6="Own sheets",MIN(ROUNDDOWN(G115/'NM Play'!$B$11,0)+F115*'NM Play'!$B$10/'NM Play'!$B$43,ROUNDDOWN(H115/'NM Play'!$B$12,0)+F115*'NM Play'!$B$10/'NM Play'!$B$44,(F115*'NM Play'!$B$10+ROUNDDOWN(G115/'NM Play'!$B$11,0)*'NM Play'!$B$43+ROUNDDOWN(H115/'NM Play'!$B$12,0)*'NM Play'!$B$44)/('NM Play'!$B$43+'NM Play'!$B$44)),ROUNDDOWN(G115/'NM Play'!$B$11,0)+F115*'NM Play'!$B$10/'NM Play'!$B$43)</f>
        <v/>
      </c>
      <c r="L115" s="160">
        <f>MIN(ROUNDDOWN(G115/'NM Play'!$B$11,0)+F115/('NM Play'!$B$43/'NM Play'!$B$15),ROUNDDOWN(H115/'NM Play'!$B$12,0)+F115/('NM Play'!$B$44/'NM Play'!$B$16),(F115+ROUNDDOWN(G115/'NM Play'!$B$11,0)*'NM Play'!$B$43/'NM Play'!$B$15+ROUNDDOWN(H115/'NM Play'!$B$12,0)*'NM Play'!$B$44/'NM Play'!$B$16)/('NM Play'!$B$43/'NM Play'!$B$15+'NM Play'!$B$44/'NM Play'!$B$16))</f>
        <v/>
      </c>
      <c r="M115" s="160">
        <f>F115*'NM Play'!$B$36</f>
        <v/>
      </c>
      <c r="N115" s="160">
        <f>ROUNDDOWN(MAX(0,MIN(J115,K115:M115)),0)</f>
        <v/>
      </c>
      <c r="O115" s="160">
        <f>ROUNDUP(MAX(0,N115*'NM Play'!$B$11-G115)/'NM Play'!$B$13,0)</f>
        <v/>
      </c>
      <c r="P115" s="160">
        <f>ROUNDUP(MAX(0,N115*'NM Play'!$B$12-H115)/'NM Play'!$B$14,0)</f>
        <v/>
      </c>
      <c r="Q115" s="160">
        <f>(O115+IF('Sites'!$C$6="Own sheets",P115,0))/'NM Play'!$B$10</f>
        <v/>
      </c>
      <c r="R115" s="160">
        <f>O115/'NM Play'!$B$15+P115/'NM Play'!$B$16</f>
        <v/>
      </c>
      <c r="S115" s="160">
        <f>MAX(Q115,R115,N115/'NM Play'!$B$36)</f>
        <v/>
      </c>
      <c r="T115" s="160">
        <f>Q115*'NM Play'!$B$10*'NM Play'!$B$21*(1+'NM Play'!$B$35)</f>
        <v/>
      </c>
      <c r="U115" s="160">
        <f>MAX(0,T115-I115)</f>
        <v/>
      </c>
      <c r="V115" s="160">
        <f>G115+O115*'NM Play'!$B$13-N115*'NM Play'!$B$11</f>
        <v/>
      </c>
      <c r="W115" s="160">
        <f>H115+P115*'NM Play'!$B$14-N115*'NM Play'!$B$12</f>
        <v/>
      </c>
      <c r="X115" s="160">
        <f>I115+U115-T115</f>
        <v/>
      </c>
      <c r="Y115" s="160">
        <f>MIN(N115,MAX(0,ROUNDDOWN('Sites'!$L$6*'Cases'!$E$7,0)-SUM(Y114:Y114)))</f>
        <v/>
      </c>
      <c r="Z115" s="160">
        <f>N115-Y115</f>
        <v/>
      </c>
      <c r="AA115" s="160">
        <f>U115*'NM Play'!$B$22</f>
        <v/>
      </c>
      <c r="AB115" s="160">
        <f>N115*SUM('NM Play'!$B$29:$B$31)</f>
        <v/>
      </c>
      <c r="AC115" s="160">
        <f>IF('Sites'!$C$6="Defy legs",P115*'NM Play'!$B$14/'NM Play'!$B$12*'NM Play'!$B$28,0)</f>
        <v/>
      </c>
      <c r="AD115" s="160">
        <f>Q115*'NM Play'!$B$23</f>
        <v/>
      </c>
      <c r="AE115" s="160">
        <f>S115*SUM('NM Play'!$B$26,'NM Play'!$B$33:$B$34)</f>
        <v/>
      </c>
      <c r="AF115" s="160">
        <f>IF('Sites'!$D$6="NM crew",S115*SUM('NM Play'!$B$24:$B$25),0)</f>
        <v/>
      </c>
      <c r="AG115" s="160">
        <f>IF('Sites'!$D$6="NM crew",S115*'NM Play'!$B$27,0)</f>
        <v/>
      </c>
      <c r="AH115" s="160">
        <f>N115*'Sites'!$Z$6*'NM Play'!$B$32</f>
        <v/>
      </c>
      <c r="AI115" s="160">
        <f>SUM(Y115:Z115)*'Sites'!$R$6</f>
        <v/>
      </c>
      <c r="AJ115" s="160">
        <f>SUM(AA115:AH115)</f>
        <v/>
      </c>
      <c r="AK115" s="160">
        <f>AJ115+(T115-U115)*'NM Play'!$B$22+MIN(G115,N115*'NM Play'!$B$11)/'NM Play'!$B$13*'NM Play'!$B$21*'NM Play'!$B$22+MIN(H115,N115*'NM Play'!$B$12)/'NM Play'!$B$14*IF('Sites'!$C$6="Own sheets",'NM Play'!$B$21*'NM Play'!$B$22,'NM Play'!$B$28*'NM Play'!$B$14/'NM Play'!$B$12)</f>
        <v/>
      </c>
      <c r="AL115" s="160">
        <f>Y115*'Assumptions'!E66</f>
        <v/>
      </c>
      <c r="AM115" s="160">
        <f>IF('Sites'!$D$6="NM crew",S115*'NM Play'!$B$37*(1+IF(AND(ISNUMBER('NM Play'!$B$25),'NM Play'!$B$25&gt;0),1,0)),"")</f>
        <v/>
      </c>
      <c r="AN115" s="160">
        <f>IF(OR('Sites'!$E$6&lt;0,'Sites'!$E$6&gt;1,'Sites'!$F$6&lt;1,'Sites'!$G$6&lt;'Sites'!$F$6,F115&lt;0,MIN('Sites'!$I$6:'Sites'!$R$6)&lt;0,'Sites'!$L$6&gt;'Sites'!$I$6,'Sites'!$M$6&gt;'Sites'!$J$6,'Sites'!$N$6&gt;'Sites'!$K$6,'Sites'!$Z$6&lt;0,'Sites'!$Z$6&gt;1,MIN('Sites'!$AA$6:'Sites'!$AC$6)&lt;0,S115&gt;F115+0.001),1,0)</f>
        <v/>
      </c>
      <c r="AO115" s="160">
        <f>I115+U115-T115-X115</f>
        <v/>
      </c>
    </row>
    <row r="116" ht="28" customHeight="1">
      <c r="A116" s="4" t="inlineStr">
        <is>
          <t>Smaller</t>
        </is>
      </c>
      <c r="B116" s="4" t="inlineStr">
        <is>
          <t>WITTA</t>
        </is>
      </c>
      <c r="C116" s="160" t="n">
        <v>3</v>
      </c>
      <c r="D116" s="160">
        <f>ROUNDUP(C116/12,0)</f>
        <v/>
      </c>
      <c r="E116" s="160">
        <f>IF(AND('Sites'!$E$6=1,C116&gt;='Sites'!$F$6,C116&lt;='Sites'!$G$6),1,0)</f>
        <v/>
      </c>
      <c r="F116" s="160">
        <f>E116*'Assumptions'!F67</f>
        <v/>
      </c>
      <c r="G116" s="160">
        <f>V115</f>
        <v/>
      </c>
      <c r="H116" s="160">
        <f>W115</f>
        <v/>
      </c>
      <c r="I116" s="160">
        <f>X115</f>
        <v/>
      </c>
      <c r="J116" s="160">
        <f>MAX(0,'Sites'!$I$6-SUM(N114:N115))</f>
        <v/>
      </c>
      <c r="K116" s="160">
        <f>IF('Sites'!$C$6="Own sheets",MIN(ROUNDDOWN(G116/'NM Play'!$B$11,0)+F116*'NM Play'!$B$10/'NM Play'!$B$43,ROUNDDOWN(H116/'NM Play'!$B$12,0)+F116*'NM Play'!$B$10/'NM Play'!$B$44,(F116*'NM Play'!$B$10+ROUNDDOWN(G116/'NM Play'!$B$11,0)*'NM Play'!$B$43+ROUNDDOWN(H116/'NM Play'!$B$12,0)*'NM Play'!$B$44)/('NM Play'!$B$43+'NM Play'!$B$44)),ROUNDDOWN(G116/'NM Play'!$B$11,0)+F116*'NM Play'!$B$10/'NM Play'!$B$43)</f>
        <v/>
      </c>
      <c r="L116" s="160">
        <f>MIN(ROUNDDOWN(G116/'NM Play'!$B$11,0)+F116/('NM Play'!$B$43/'NM Play'!$B$15),ROUNDDOWN(H116/'NM Play'!$B$12,0)+F116/('NM Play'!$B$44/'NM Play'!$B$16),(F116+ROUNDDOWN(G116/'NM Play'!$B$11,0)*'NM Play'!$B$43/'NM Play'!$B$15+ROUNDDOWN(H116/'NM Play'!$B$12,0)*'NM Play'!$B$44/'NM Play'!$B$16)/('NM Play'!$B$43/'NM Play'!$B$15+'NM Play'!$B$44/'NM Play'!$B$16))</f>
        <v/>
      </c>
      <c r="M116" s="160">
        <f>F116*'NM Play'!$B$36</f>
        <v/>
      </c>
      <c r="N116" s="160">
        <f>ROUNDDOWN(MAX(0,MIN(J116,K116:M116)),0)</f>
        <v/>
      </c>
      <c r="O116" s="160">
        <f>ROUNDUP(MAX(0,N116*'NM Play'!$B$11-G116)/'NM Play'!$B$13,0)</f>
        <v/>
      </c>
      <c r="P116" s="160">
        <f>ROUNDUP(MAX(0,N116*'NM Play'!$B$12-H116)/'NM Play'!$B$14,0)</f>
        <v/>
      </c>
      <c r="Q116" s="160">
        <f>(O116+IF('Sites'!$C$6="Own sheets",P116,0))/'NM Play'!$B$10</f>
        <v/>
      </c>
      <c r="R116" s="160">
        <f>O116/'NM Play'!$B$15+P116/'NM Play'!$B$16</f>
        <v/>
      </c>
      <c r="S116" s="160">
        <f>MAX(Q116,R116,N116/'NM Play'!$B$36)</f>
        <v/>
      </c>
      <c r="T116" s="160">
        <f>Q116*'NM Play'!$B$10*'NM Play'!$B$21*(1+'NM Play'!$B$35)</f>
        <v/>
      </c>
      <c r="U116" s="160">
        <f>MAX(0,T116-I116)</f>
        <v/>
      </c>
      <c r="V116" s="160">
        <f>G116+O116*'NM Play'!$B$13-N116*'NM Play'!$B$11</f>
        <v/>
      </c>
      <c r="W116" s="160">
        <f>H116+P116*'NM Play'!$B$14-N116*'NM Play'!$B$12</f>
        <v/>
      </c>
      <c r="X116" s="160">
        <f>I116+U116-T116</f>
        <v/>
      </c>
      <c r="Y116" s="160">
        <f>MIN(N116,MAX(0,ROUNDDOWN('Sites'!$L$6*'Cases'!$E$7,0)-SUM(Y114:Y115)))</f>
        <v/>
      </c>
      <c r="Z116" s="160">
        <f>N116-Y116</f>
        <v/>
      </c>
      <c r="AA116" s="160">
        <f>U116*'NM Play'!$B$22</f>
        <v/>
      </c>
      <c r="AB116" s="160">
        <f>N116*SUM('NM Play'!$B$29:$B$31)</f>
        <v/>
      </c>
      <c r="AC116" s="160">
        <f>IF('Sites'!$C$6="Defy legs",P116*'NM Play'!$B$14/'NM Play'!$B$12*'NM Play'!$B$28,0)</f>
        <v/>
      </c>
      <c r="AD116" s="160">
        <f>Q116*'NM Play'!$B$23</f>
        <v/>
      </c>
      <c r="AE116" s="160">
        <f>S116*SUM('NM Play'!$B$26,'NM Play'!$B$33:$B$34)</f>
        <v/>
      </c>
      <c r="AF116" s="160">
        <f>IF('Sites'!$D$6="NM crew",S116*SUM('NM Play'!$B$24:$B$25),0)</f>
        <v/>
      </c>
      <c r="AG116" s="160">
        <f>IF('Sites'!$D$6="NM crew",S116*'NM Play'!$B$27,0)</f>
        <v/>
      </c>
      <c r="AH116" s="160">
        <f>N116*'Sites'!$Z$6*'NM Play'!$B$32</f>
        <v/>
      </c>
      <c r="AI116" s="160">
        <f>SUM(Y116:Z116)*'Sites'!$R$6</f>
        <v/>
      </c>
      <c r="AJ116" s="160">
        <f>SUM(AA116:AH116)</f>
        <v/>
      </c>
      <c r="AK116" s="160">
        <f>AJ116+(T116-U116)*'NM Play'!$B$22+MIN(G116,N116*'NM Play'!$B$11)/'NM Play'!$B$13*'NM Play'!$B$21*'NM Play'!$B$22+MIN(H116,N116*'NM Play'!$B$12)/'NM Play'!$B$14*IF('Sites'!$C$6="Own sheets",'NM Play'!$B$21*'NM Play'!$B$22,'NM Play'!$B$28*'NM Play'!$B$14/'NM Play'!$B$12)</f>
        <v/>
      </c>
      <c r="AL116" s="160">
        <f>Y116*'Assumptions'!F66</f>
        <v/>
      </c>
      <c r="AM116" s="160">
        <f>IF('Sites'!$D$6="NM crew",S116*'NM Play'!$B$37*(1+IF(AND(ISNUMBER('NM Play'!$B$25),'NM Play'!$B$25&gt;0),1,0)),"")</f>
        <v/>
      </c>
      <c r="AN116" s="160">
        <f>IF(OR('Sites'!$E$6&lt;0,'Sites'!$E$6&gt;1,'Sites'!$F$6&lt;1,'Sites'!$G$6&lt;'Sites'!$F$6,F116&lt;0,MIN('Sites'!$I$6:'Sites'!$R$6)&lt;0,'Sites'!$L$6&gt;'Sites'!$I$6,'Sites'!$M$6&gt;'Sites'!$J$6,'Sites'!$N$6&gt;'Sites'!$K$6,'Sites'!$Z$6&lt;0,'Sites'!$Z$6&gt;1,MIN('Sites'!$AA$6:'Sites'!$AC$6)&lt;0,S116&gt;F116+0.001),1,0)</f>
        <v/>
      </c>
      <c r="AO116" s="160">
        <f>I116+U116-T116-X116</f>
        <v/>
      </c>
    </row>
    <row r="117" ht="28" customHeight="1">
      <c r="A117" s="4" t="inlineStr">
        <is>
          <t>Smaller</t>
        </is>
      </c>
      <c r="B117" s="4" t="inlineStr">
        <is>
          <t>WITTA</t>
        </is>
      </c>
      <c r="C117" s="160" t="n">
        <v>4</v>
      </c>
      <c r="D117" s="160">
        <f>ROUNDUP(C117/12,0)</f>
        <v/>
      </c>
      <c r="E117" s="160">
        <f>IF(AND('Sites'!$E$6=1,C117&gt;='Sites'!$F$6,C117&lt;='Sites'!$G$6),1,0)</f>
        <v/>
      </c>
      <c r="F117" s="160">
        <f>E117*'Assumptions'!G67</f>
        <v/>
      </c>
      <c r="G117" s="160">
        <f>V116</f>
        <v/>
      </c>
      <c r="H117" s="160">
        <f>W116</f>
        <v/>
      </c>
      <c r="I117" s="160">
        <f>X116</f>
        <v/>
      </c>
      <c r="J117" s="160">
        <f>MAX(0,'Sites'!$I$6-SUM(N114:N116))</f>
        <v/>
      </c>
      <c r="K117" s="160">
        <f>IF('Sites'!$C$6="Own sheets",MIN(ROUNDDOWN(G117/'NM Play'!$B$11,0)+F117*'NM Play'!$B$10/'NM Play'!$B$43,ROUNDDOWN(H117/'NM Play'!$B$12,0)+F117*'NM Play'!$B$10/'NM Play'!$B$44,(F117*'NM Play'!$B$10+ROUNDDOWN(G117/'NM Play'!$B$11,0)*'NM Play'!$B$43+ROUNDDOWN(H117/'NM Play'!$B$12,0)*'NM Play'!$B$44)/('NM Play'!$B$43+'NM Play'!$B$44)),ROUNDDOWN(G117/'NM Play'!$B$11,0)+F117*'NM Play'!$B$10/'NM Play'!$B$43)</f>
        <v/>
      </c>
      <c r="L117" s="160">
        <f>MIN(ROUNDDOWN(G117/'NM Play'!$B$11,0)+F117/('NM Play'!$B$43/'NM Play'!$B$15),ROUNDDOWN(H117/'NM Play'!$B$12,0)+F117/('NM Play'!$B$44/'NM Play'!$B$16),(F117+ROUNDDOWN(G117/'NM Play'!$B$11,0)*'NM Play'!$B$43/'NM Play'!$B$15+ROUNDDOWN(H117/'NM Play'!$B$12,0)*'NM Play'!$B$44/'NM Play'!$B$16)/('NM Play'!$B$43/'NM Play'!$B$15+'NM Play'!$B$44/'NM Play'!$B$16))</f>
        <v/>
      </c>
      <c r="M117" s="160">
        <f>F117*'NM Play'!$B$36</f>
        <v/>
      </c>
      <c r="N117" s="160">
        <f>ROUNDDOWN(MAX(0,MIN(J117,K117:M117)),0)</f>
        <v/>
      </c>
      <c r="O117" s="160">
        <f>ROUNDUP(MAX(0,N117*'NM Play'!$B$11-G117)/'NM Play'!$B$13,0)</f>
        <v/>
      </c>
      <c r="P117" s="160">
        <f>ROUNDUP(MAX(0,N117*'NM Play'!$B$12-H117)/'NM Play'!$B$14,0)</f>
        <v/>
      </c>
      <c r="Q117" s="160">
        <f>(O117+IF('Sites'!$C$6="Own sheets",P117,0))/'NM Play'!$B$10</f>
        <v/>
      </c>
      <c r="R117" s="160">
        <f>O117/'NM Play'!$B$15+P117/'NM Play'!$B$16</f>
        <v/>
      </c>
      <c r="S117" s="160">
        <f>MAX(Q117,R117,N117/'NM Play'!$B$36)</f>
        <v/>
      </c>
      <c r="T117" s="160">
        <f>Q117*'NM Play'!$B$10*'NM Play'!$B$21*(1+'NM Play'!$B$35)</f>
        <v/>
      </c>
      <c r="U117" s="160">
        <f>MAX(0,T117-I117)</f>
        <v/>
      </c>
      <c r="V117" s="160">
        <f>G117+O117*'NM Play'!$B$13-N117*'NM Play'!$B$11</f>
        <v/>
      </c>
      <c r="W117" s="160">
        <f>H117+P117*'NM Play'!$B$14-N117*'NM Play'!$B$12</f>
        <v/>
      </c>
      <c r="X117" s="160">
        <f>I117+U117-T117</f>
        <v/>
      </c>
      <c r="Y117" s="160">
        <f>MIN(N117,MAX(0,ROUNDDOWN('Sites'!$L$6*'Cases'!$E$7,0)-SUM(Y114:Y116)))</f>
        <v/>
      </c>
      <c r="Z117" s="160">
        <f>N117-Y117</f>
        <v/>
      </c>
      <c r="AA117" s="160">
        <f>U117*'NM Play'!$B$22</f>
        <v/>
      </c>
      <c r="AB117" s="160">
        <f>N117*SUM('NM Play'!$B$29:$B$31)</f>
        <v/>
      </c>
      <c r="AC117" s="160">
        <f>IF('Sites'!$C$6="Defy legs",P117*'NM Play'!$B$14/'NM Play'!$B$12*'NM Play'!$B$28,0)</f>
        <v/>
      </c>
      <c r="AD117" s="160">
        <f>Q117*'NM Play'!$B$23</f>
        <v/>
      </c>
      <c r="AE117" s="160">
        <f>S117*SUM('NM Play'!$B$26,'NM Play'!$B$33:$B$34)</f>
        <v/>
      </c>
      <c r="AF117" s="160">
        <f>IF('Sites'!$D$6="NM crew",S117*SUM('NM Play'!$B$24:$B$25),0)</f>
        <v/>
      </c>
      <c r="AG117" s="160">
        <f>IF('Sites'!$D$6="NM crew",S117*'NM Play'!$B$27,0)</f>
        <v/>
      </c>
      <c r="AH117" s="160">
        <f>N117*'Sites'!$Z$6*'NM Play'!$B$32</f>
        <v/>
      </c>
      <c r="AI117" s="160">
        <f>SUM(Y117:Z117)*'Sites'!$R$6</f>
        <v/>
      </c>
      <c r="AJ117" s="160">
        <f>SUM(AA117:AH117)</f>
        <v/>
      </c>
      <c r="AK117" s="160">
        <f>AJ117+(T117-U117)*'NM Play'!$B$22+MIN(G117,N117*'NM Play'!$B$11)/'NM Play'!$B$13*'NM Play'!$B$21*'NM Play'!$B$22+MIN(H117,N117*'NM Play'!$B$12)/'NM Play'!$B$14*IF('Sites'!$C$6="Own sheets",'NM Play'!$B$21*'NM Play'!$B$22,'NM Play'!$B$28*'NM Play'!$B$14/'NM Play'!$B$12)</f>
        <v/>
      </c>
      <c r="AL117" s="160">
        <f>Y117*'Assumptions'!G66</f>
        <v/>
      </c>
      <c r="AM117" s="160">
        <f>IF('Sites'!$D$6="NM crew",S117*'NM Play'!$B$37*(1+IF(AND(ISNUMBER('NM Play'!$B$25),'NM Play'!$B$25&gt;0),1,0)),"")</f>
        <v/>
      </c>
      <c r="AN117" s="160">
        <f>IF(OR('Sites'!$E$6&lt;0,'Sites'!$E$6&gt;1,'Sites'!$F$6&lt;1,'Sites'!$G$6&lt;'Sites'!$F$6,F117&lt;0,MIN('Sites'!$I$6:'Sites'!$R$6)&lt;0,'Sites'!$L$6&gt;'Sites'!$I$6,'Sites'!$M$6&gt;'Sites'!$J$6,'Sites'!$N$6&gt;'Sites'!$K$6,'Sites'!$Z$6&lt;0,'Sites'!$Z$6&gt;1,MIN('Sites'!$AA$6:'Sites'!$AC$6)&lt;0,S117&gt;F117+0.001),1,0)</f>
        <v/>
      </c>
      <c r="AO117" s="160">
        <f>I117+U117-T117-X117</f>
        <v/>
      </c>
    </row>
    <row r="118" ht="28" customHeight="1">
      <c r="A118" s="4" t="inlineStr">
        <is>
          <t>Smaller</t>
        </is>
      </c>
      <c r="B118" s="4" t="inlineStr">
        <is>
          <t>WITTA</t>
        </is>
      </c>
      <c r="C118" s="160" t="n">
        <v>5</v>
      </c>
      <c r="D118" s="160">
        <f>ROUNDUP(C118/12,0)</f>
        <v/>
      </c>
      <c r="E118" s="160">
        <f>IF(AND('Sites'!$E$6=1,C118&gt;='Sites'!$F$6,C118&lt;='Sites'!$G$6),1,0)</f>
        <v/>
      </c>
      <c r="F118" s="160">
        <f>E118*'Assumptions'!H67</f>
        <v/>
      </c>
      <c r="G118" s="160">
        <f>V117</f>
        <v/>
      </c>
      <c r="H118" s="160">
        <f>W117</f>
        <v/>
      </c>
      <c r="I118" s="160">
        <f>X117</f>
        <v/>
      </c>
      <c r="J118" s="160">
        <f>MAX(0,'Sites'!$I$6-SUM(N114:N117))</f>
        <v/>
      </c>
      <c r="K118" s="160">
        <f>IF('Sites'!$C$6="Own sheets",MIN(ROUNDDOWN(G118/'NM Play'!$B$11,0)+F118*'NM Play'!$B$10/'NM Play'!$B$43,ROUNDDOWN(H118/'NM Play'!$B$12,0)+F118*'NM Play'!$B$10/'NM Play'!$B$44,(F118*'NM Play'!$B$10+ROUNDDOWN(G118/'NM Play'!$B$11,0)*'NM Play'!$B$43+ROUNDDOWN(H118/'NM Play'!$B$12,0)*'NM Play'!$B$44)/('NM Play'!$B$43+'NM Play'!$B$44)),ROUNDDOWN(G118/'NM Play'!$B$11,0)+F118*'NM Play'!$B$10/'NM Play'!$B$43)</f>
        <v/>
      </c>
      <c r="L118" s="160">
        <f>MIN(ROUNDDOWN(G118/'NM Play'!$B$11,0)+F118/('NM Play'!$B$43/'NM Play'!$B$15),ROUNDDOWN(H118/'NM Play'!$B$12,0)+F118/('NM Play'!$B$44/'NM Play'!$B$16),(F118+ROUNDDOWN(G118/'NM Play'!$B$11,0)*'NM Play'!$B$43/'NM Play'!$B$15+ROUNDDOWN(H118/'NM Play'!$B$12,0)*'NM Play'!$B$44/'NM Play'!$B$16)/('NM Play'!$B$43/'NM Play'!$B$15+'NM Play'!$B$44/'NM Play'!$B$16))</f>
        <v/>
      </c>
      <c r="M118" s="160">
        <f>F118*'NM Play'!$B$36</f>
        <v/>
      </c>
      <c r="N118" s="160">
        <f>ROUNDDOWN(MAX(0,MIN(J118,K118:M118)),0)</f>
        <v/>
      </c>
      <c r="O118" s="160">
        <f>ROUNDUP(MAX(0,N118*'NM Play'!$B$11-G118)/'NM Play'!$B$13,0)</f>
        <v/>
      </c>
      <c r="P118" s="160">
        <f>ROUNDUP(MAX(0,N118*'NM Play'!$B$12-H118)/'NM Play'!$B$14,0)</f>
        <v/>
      </c>
      <c r="Q118" s="160">
        <f>(O118+IF('Sites'!$C$6="Own sheets",P118,0))/'NM Play'!$B$10</f>
        <v/>
      </c>
      <c r="R118" s="160">
        <f>O118/'NM Play'!$B$15+P118/'NM Play'!$B$16</f>
        <v/>
      </c>
      <c r="S118" s="160">
        <f>MAX(Q118,R118,N118/'NM Play'!$B$36)</f>
        <v/>
      </c>
      <c r="T118" s="160">
        <f>Q118*'NM Play'!$B$10*'NM Play'!$B$21*(1+'NM Play'!$B$35)</f>
        <v/>
      </c>
      <c r="U118" s="160">
        <f>MAX(0,T118-I118)</f>
        <v/>
      </c>
      <c r="V118" s="160">
        <f>G118+O118*'NM Play'!$B$13-N118*'NM Play'!$B$11</f>
        <v/>
      </c>
      <c r="W118" s="160">
        <f>H118+P118*'NM Play'!$B$14-N118*'NM Play'!$B$12</f>
        <v/>
      </c>
      <c r="X118" s="160">
        <f>I118+U118-T118</f>
        <v/>
      </c>
      <c r="Y118" s="160">
        <f>MIN(N118,MAX(0,ROUNDDOWN('Sites'!$L$6*'Cases'!$E$7,0)-SUM(Y114:Y117)))</f>
        <v/>
      </c>
      <c r="Z118" s="160">
        <f>N118-Y118</f>
        <v/>
      </c>
      <c r="AA118" s="160">
        <f>U118*'NM Play'!$B$22</f>
        <v/>
      </c>
      <c r="AB118" s="160">
        <f>N118*SUM('NM Play'!$B$29:$B$31)</f>
        <v/>
      </c>
      <c r="AC118" s="160">
        <f>IF('Sites'!$C$6="Defy legs",P118*'NM Play'!$B$14/'NM Play'!$B$12*'NM Play'!$B$28,0)</f>
        <v/>
      </c>
      <c r="AD118" s="160">
        <f>Q118*'NM Play'!$B$23</f>
        <v/>
      </c>
      <c r="AE118" s="160">
        <f>S118*SUM('NM Play'!$B$26,'NM Play'!$B$33:$B$34)</f>
        <v/>
      </c>
      <c r="AF118" s="160">
        <f>IF('Sites'!$D$6="NM crew",S118*SUM('NM Play'!$B$24:$B$25),0)</f>
        <v/>
      </c>
      <c r="AG118" s="160">
        <f>IF('Sites'!$D$6="NM crew",S118*'NM Play'!$B$27,0)</f>
        <v/>
      </c>
      <c r="AH118" s="160">
        <f>N118*'Sites'!$Z$6*'NM Play'!$B$32</f>
        <v/>
      </c>
      <c r="AI118" s="160">
        <f>SUM(Y118:Z118)*'Sites'!$R$6</f>
        <v/>
      </c>
      <c r="AJ118" s="160">
        <f>SUM(AA118:AH118)</f>
        <v/>
      </c>
      <c r="AK118" s="160">
        <f>AJ118+(T118-U118)*'NM Play'!$B$22+MIN(G118,N118*'NM Play'!$B$11)/'NM Play'!$B$13*'NM Play'!$B$21*'NM Play'!$B$22+MIN(H118,N118*'NM Play'!$B$12)/'NM Play'!$B$14*IF('Sites'!$C$6="Own sheets",'NM Play'!$B$21*'NM Play'!$B$22,'NM Play'!$B$28*'NM Play'!$B$14/'NM Play'!$B$12)</f>
        <v/>
      </c>
      <c r="AL118" s="160">
        <f>Y118*'Assumptions'!H66</f>
        <v/>
      </c>
      <c r="AM118" s="160">
        <f>IF('Sites'!$D$6="NM crew",S118*'NM Play'!$B$37*(1+IF(AND(ISNUMBER('NM Play'!$B$25),'NM Play'!$B$25&gt;0),1,0)),"")</f>
        <v/>
      </c>
      <c r="AN118" s="160">
        <f>IF(OR('Sites'!$E$6&lt;0,'Sites'!$E$6&gt;1,'Sites'!$F$6&lt;1,'Sites'!$G$6&lt;'Sites'!$F$6,F118&lt;0,MIN('Sites'!$I$6:'Sites'!$R$6)&lt;0,'Sites'!$L$6&gt;'Sites'!$I$6,'Sites'!$M$6&gt;'Sites'!$J$6,'Sites'!$N$6&gt;'Sites'!$K$6,'Sites'!$Z$6&lt;0,'Sites'!$Z$6&gt;1,MIN('Sites'!$AA$6:'Sites'!$AC$6)&lt;0,S118&gt;F118+0.001),1,0)</f>
        <v/>
      </c>
      <c r="AO118" s="160">
        <f>I118+U118-T118-X118</f>
        <v/>
      </c>
    </row>
    <row r="119" ht="28" customHeight="1">
      <c r="A119" s="4" t="inlineStr">
        <is>
          <t>Smaller</t>
        </is>
      </c>
      <c r="B119" s="4" t="inlineStr">
        <is>
          <t>WITTA</t>
        </is>
      </c>
      <c r="C119" s="160" t="n">
        <v>6</v>
      </c>
      <c r="D119" s="160">
        <f>ROUNDUP(C119/12,0)</f>
        <v/>
      </c>
      <c r="E119" s="160">
        <f>IF(AND('Sites'!$E$6=1,C119&gt;='Sites'!$F$6,C119&lt;='Sites'!$G$6),1,0)</f>
        <v/>
      </c>
      <c r="F119" s="160">
        <f>E119*'Assumptions'!I67</f>
        <v/>
      </c>
      <c r="G119" s="160">
        <f>V118</f>
        <v/>
      </c>
      <c r="H119" s="160">
        <f>W118</f>
        <v/>
      </c>
      <c r="I119" s="160">
        <f>X118</f>
        <v/>
      </c>
      <c r="J119" s="160">
        <f>MAX(0,'Sites'!$I$6-SUM(N114:N118))</f>
        <v/>
      </c>
      <c r="K119" s="160">
        <f>IF('Sites'!$C$6="Own sheets",MIN(ROUNDDOWN(G119/'NM Play'!$B$11,0)+F119*'NM Play'!$B$10/'NM Play'!$B$43,ROUNDDOWN(H119/'NM Play'!$B$12,0)+F119*'NM Play'!$B$10/'NM Play'!$B$44,(F119*'NM Play'!$B$10+ROUNDDOWN(G119/'NM Play'!$B$11,0)*'NM Play'!$B$43+ROUNDDOWN(H119/'NM Play'!$B$12,0)*'NM Play'!$B$44)/('NM Play'!$B$43+'NM Play'!$B$44)),ROUNDDOWN(G119/'NM Play'!$B$11,0)+F119*'NM Play'!$B$10/'NM Play'!$B$43)</f>
        <v/>
      </c>
      <c r="L119" s="160">
        <f>MIN(ROUNDDOWN(G119/'NM Play'!$B$11,0)+F119/('NM Play'!$B$43/'NM Play'!$B$15),ROUNDDOWN(H119/'NM Play'!$B$12,0)+F119/('NM Play'!$B$44/'NM Play'!$B$16),(F119+ROUNDDOWN(G119/'NM Play'!$B$11,0)*'NM Play'!$B$43/'NM Play'!$B$15+ROUNDDOWN(H119/'NM Play'!$B$12,0)*'NM Play'!$B$44/'NM Play'!$B$16)/('NM Play'!$B$43/'NM Play'!$B$15+'NM Play'!$B$44/'NM Play'!$B$16))</f>
        <v/>
      </c>
      <c r="M119" s="160">
        <f>F119*'NM Play'!$B$36</f>
        <v/>
      </c>
      <c r="N119" s="160">
        <f>ROUNDDOWN(MAX(0,MIN(J119,K119:M119)),0)</f>
        <v/>
      </c>
      <c r="O119" s="160">
        <f>ROUNDUP(MAX(0,N119*'NM Play'!$B$11-G119)/'NM Play'!$B$13,0)</f>
        <v/>
      </c>
      <c r="P119" s="160">
        <f>ROUNDUP(MAX(0,N119*'NM Play'!$B$12-H119)/'NM Play'!$B$14,0)</f>
        <v/>
      </c>
      <c r="Q119" s="160">
        <f>(O119+IF('Sites'!$C$6="Own sheets",P119,0))/'NM Play'!$B$10</f>
        <v/>
      </c>
      <c r="R119" s="160">
        <f>O119/'NM Play'!$B$15+P119/'NM Play'!$B$16</f>
        <v/>
      </c>
      <c r="S119" s="160">
        <f>MAX(Q119,R119,N119/'NM Play'!$B$36)</f>
        <v/>
      </c>
      <c r="T119" s="160">
        <f>Q119*'NM Play'!$B$10*'NM Play'!$B$21*(1+'NM Play'!$B$35)</f>
        <v/>
      </c>
      <c r="U119" s="160">
        <f>MAX(0,T119-I119)</f>
        <v/>
      </c>
      <c r="V119" s="160">
        <f>G119+O119*'NM Play'!$B$13-N119*'NM Play'!$B$11</f>
        <v/>
      </c>
      <c r="W119" s="160">
        <f>H119+P119*'NM Play'!$B$14-N119*'NM Play'!$B$12</f>
        <v/>
      </c>
      <c r="X119" s="160">
        <f>I119+U119-T119</f>
        <v/>
      </c>
      <c r="Y119" s="160">
        <f>MIN(N119,MAX(0,ROUNDDOWN('Sites'!$L$6*'Cases'!$E$7,0)-SUM(Y114:Y118)))</f>
        <v/>
      </c>
      <c r="Z119" s="160">
        <f>N119-Y119</f>
        <v/>
      </c>
      <c r="AA119" s="160">
        <f>U119*'NM Play'!$B$22</f>
        <v/>
      </c>
      <c r="AB119" s="160">
        <f>N119*SUM('NM Play'!$B$29:$B$31)</f>
        <v/>
      </c>
      <c r="AC119" s="160">
        <f>IF('Sites'!$C$6="Defy legs",P119*'NM Play'!$B$14/'NM Play'!$B$12*'NM Play'!$B$28,0)</f>
        <v/>
      </c>
      <c r="AD119" s="160">
        <f>Q119*'NM Play'!$B$23</f>
        <v/>
      </c>
      <c r="AE119" s="160">
        <f>S119*SUM('NM Play'!$B$26,'NM Play'!$B$33:$B$34)</f>
        <v/>
      </c>
      <c r="AF119" s="160">
        <f>IF('Sites'!$D$6="NM crew",S119*SUM('NM Play'!$B$24:$B$25),0)</f>
        <v/>
      </c>
      <c r="AG119" s="160">
        <f>IF('Sites'!$D$6="NM crew",S119*'NM Play'!$B$27,0)</f>
        <v/>
      </c>
      <c r="AH119" s="160">
        <f>N119*'Sites'!$Z$6*'NM Play'!$B$32</f>
        <v/>
      </c>
      <c r="AI119" s="160">
        <f>SUM(Y119:Z119)*'Sites'!$R$6</f>
        <v/>
      </c>
      <c r="AJ119" s="160">
        <f>SUM(AA119:AH119)</f>
        <v/>
      </c>
      <c r="AK119" s="160">
        <f>AJ119+(T119-U119)*'NM Play'!$B$22+MIN(G119,N119*'NM Play'!$B$11)/'NM Play'!$B$13*'NM Play'!$B$21*'NM Play'!$B$22+MIN(H119,N119*'NM Play'!$B$12)/'NM Play'!$B$14*IF('Sites'!$C$6="Own sheets",'NM Play'!$B$21*'NM Play'!$B$22,'NM Play'!$B$28*'NM Play'!$B$14/'NM Play'!$B$12)</f>
        <v/>
      </c>
      <c r="AL119" s="160">
        <f>Y119*'Assumptions'!I66</f>
        <v/>
      </c>
      <c r="AM119" s="160">
        <f>IF('Sites'!$D$6="NM crew",S119*'NM Play'!$B$37*(1+IF(AND(ISNUMBER('NM Play'!$B$25),'NM Play'!$B$25&gt;0),1,0)),"")</f>
        <v/>
      </c>
      <c r="AN119" s="160">
        <f>IF(OR('Sites'!$E$6&lt;0,'Sites'!$E$6&gt;1,'Sites'!$F$6&lt;1,'Sites'!$G$6&lt;'Sites'!$F$6,F119&lt;0,MIN('Sites'!$I$6:'Sites'!$R$6)&lt;0,'Sites'!$L$6&gt;'Sites'!$I$6,'Sites'!$M$6&gt;'Sites'!$J$6,'Sites'!$N$6&gt;'Sites'!$K$6,'Sites'!$Z$6&lt;0,'Sites'!$Z$6&gt;1,MIN('Sites'!$AA$6:'Sites'!$AC$6)&lt;0,S119&gt;F119+0.001),1,0)</f>
        <v/>
      </c>
      <c r="AO119" s="160">
        <f>I119+U119-T119-X119</f>
        <v/>
      </c>
    </row>
    <row r="120" ht="28" customHeight="1">
      <c r="A120" s="4" t="inlineStr">
        <is>
          <t>Smaller</t>
        </is>
      </c>
      <c r="B120" s="4" t="inlineStr">
        <is>
          <t>WITTA</t>
        </is>
      </c>
      <c r="C120" s="160" t="n">
        <v>7</v>
      </c>
      <c r="D120" s="160">
        <f>ROUNDUP(C120/12,0)</f>
        <v/>
      </c>
      <c r="E120" s="160">
        <f>IF(AND('Sites'!$E$6=1,C120&gt;='Sites'!$F$6,C120&lt;='Sites'!$G$6),1,0)</f>
        <v/>
      </c>
      <c r="F120" s="160">
        <f>E120*'Assumptions'!J67</f>
        <v/>
      </c>
      <c r="G120" s="160">
        <f>V119</f>
        <v/>
      </c>
      <c r="H120" s="160">
        <f>W119</f>
        <v/>
      </c>
      <c r="I120" s="160">
        <f>X119</f>
        <v/>
      </c>
      <c r="J120" s="160">
        <f>MAX(0,'Sites'!$I$6-SUM(N114:N119))</f>
        <v/>
      </c>
      <c r="K120" s="160">
        <f>IF('Sites'!$C$6="Own sheets",MIN(ROUNDDOWN(G120/'NM Play'!$B$11,0)+F120*'NM Play'!$B$10/'NM Play'!$B$43,ROUNDDOWN(H120/'NM Play'!$B$12,0)+F120*'NM Play'!$B$10/'NM Play'!$B$44,(F120*'NM Play'!$B$10+ROUNDDOWN(G120/'NM Play'!$B$11,0)*'NM Play'!$B$43+ROUNDDOWN(H120/'NM Play'!$B$12,0)*'NM Play'!$B$44)/('NM Play'!$B$43+'NM Play'!$B$44)),ROUNDDOWN(G120/'NM Play'!$B$11,0)+F120*'NM Play'!$B$10/'NM Play'!$B$43)</f>
        <v/>
      </c>
      <c r="L120" s="160">
        <f>MIN(ROUNDDOWN(G120/'NM Play'!$B$11,0)+F120/('NM Play'!$B$43/'NM Play'!$B$15),ROUNDDOWN(H120/'NM Play'!$B$12,0)+F120/('NM Play'!$B$44/'NM Play'!$B$16),(F120+ROUNDDOWN(G120/'NM Play'!$B$11,0)*'NM Play'!$B$43/'NM Play'!$B$15+ROUNDDOWN(H120/'NM Play'!$B$12,0)*'NM Play'!$B$44/'NM Play'!$B$16)/('NM Play'!$B$43/'NM Play'!$B$15+'NM Play'!$B$44/'NM Play'!$B$16))</f>
        <v/>
      </c>
      <c r="M120" s="160">
        <f>F120*'NM Play'!$B$36</f>
        <v/>
      </c>
      <c r="N120" s="160">
        <f>ROUNDDOWN(MAX(0,MIN(J120,K120:M120)),0)</f>
        <v/>
      </c>
      <c r="O120" s="160">
        <f>ROUNDUP(MAX(0,N120*'NM Play'!$B$11-G120)/'NM Play'!$B$13,0)</f>
        <v/>
      </c>
      <c r="P120" s="160">
        <f>ROUNDUP(MAX(0,N120*'NM Play'!$B$12-H120)/'NM Play'!$B$14,0)</f>
        <v/>
      </c>
      <c r="Q120" s="160">
        <f>(O120+IF('Sites'!$C$6="Own sheets",P120,0))/'NM Play'!$B$10</f>
        <v/>
      </c>
      <c r="R120" s="160">
        <f>O120/'NM Play'!$B$15+P120/'NM Play'!$B$16</f>
        <v/>
      </c>
      <c r="S120" s="160">
        <f>MAX(Q120,R120,N120/'NM Play'!$B$36)</f>
        <v/>
      </c>
      <c r="T120" s="160">
        <f>Q120*'NM Play'!$B$10*'NM Play'!$B$21*(1+'NM Play'!$B$35)</f>
        <v/>
      </c>
      <c r="U120" s="160">
        <f>MAX(0,T120-I120)</f>
        <v/>
      </c>
      <c r="V120" s="160">
        <f>G120+O120*'NM Play'!$B$13-N120*'NM Play'!$B$11</f>
        <v/>
      </c>
      <c r="W120" s="160">
        <f>H120+P120*'NM Play'!$B$14-N120*'NM Play'!$B$12</f>
        <v/>
      </c>
      <c r="X120" s="160">
        <f>I120+U120-T120</f>
        <v/>
      </c>
      <c r="Y120" s="160">
        <f>MIN(N120,MAX(0,ROUNDDOWN('Sites'!$L$6*'Cases'!$E$7,0)-SUM(Y114:Y119)))</f>
        <v/>
      </c>
      <c r="Z120" s="160">
        <f>N120-Y120</f>
        <v/>
      </c>
      <c r="AA120" s="160">
        <f>U120*'NM Play'!$B$22</f>
        <v/>
      </c>
      <c r="AB120" s="160">
        <f>N120*SUM('NM Play'!$B$29:$B$31)</f>
        <v/>
      </c>
      <c r="AC120" s="160">
        <f>IF('Sites'!$C$6="Defy legs",P120*'NM Play'!$B$14/'NM Play'!$B$12*'NM Play'!$B$28,0)</f>
        <v/>
      </c>
      <c r="AD120" s="160">
        <f>Q120*'NM Play'!$B$23</f>
        <v/>
      </c>
      <c r="AE120" s="160">
        <f>S120*SUM('NM Play'!$B$26,'NM Play'!$B$33:$B$34)</f>
        <v/>
      </c>
      <c r="AF120" s="160">
        <f>IF('Sites'!$D$6="NM crew",S120*SUM('NM Play'!$B$24:$B$25),0)</f>
        <v/>
      </c>
      <c r="AG120" s="160">
        <f>IF('Sites'!$D$6="NM crew",S120*'NM Play'!$B$27,0)</f>
        <v/>
      </c>
      <c r="AH120" s="160">
        <f>N120*'Sites'!$Z$6*'NM Play'!$B$32</f>
        <v/>
      </c>
      <c r="AI120" s="160">
        <f>SUM(Y120:Z120)*'Sites'!$R$6</f>
        <v/>
      </c>
      <c r="AJ120" s="160">
        <f>SUM(AA120:AH120)</f>
        <v/>
      </c>
      <c r="AK120" s="160">
        <f>AJ120+(T120-U120)*'NM Play'!$B$22+MIN(G120,N120*'NM Play'!$B$11)/'NM Play'!$B$13*'NM Play'!$B$21*'NM Play'!$B$22+MIN(H120,N120*'NM Play'!$B$12)/'NM Play'!$B$14*IF('Sites'!$C$6="Own sheets",'NM Play'!$B$21*'NM Play'!$B$22,'NM Play'!$B$28*'NM Play'!$B$14/'NM Play'!$B$12)</f>
        <v/>
      </c>
      <c r="AL120" s="160">
        <f>Y120*'Assumptions'!J66</f>
        <v/>
      </c>
      <c r="AM120" s="160">
        <f>IF('Sites'!$D$6="NM crew",S120*'NM Play'!$B$37*(1+IF(AND(ISNUMBER('NM Play'!$B$25),'NM Play'!$B$25&gt;0),1,0)),"")</f>
        <v/>
      </c>
      <c r="AN120" s="160">
        <f>IF(OR('Sites'!$E$6&lt;0,'Sites'!$E$6&gt;1,'Sites'!$F$6&lt;1,'Sites'!$G$6&lt;'Sites'!$F$6,F120&lt;0,MIN('Sites'!$I$6:'Sites'!$R$6)&lt;0,'Sites'!$L$6&gt;'Sites'!$I$6,'Sites'!$M$6&gt;'Sites'!$J$6,'Sites'!$N$6&gt;'Sites'!$K$6,'Sites'!$Z$6&lt;0,'Sites'!$Z$6&gt;1,MIN('Sites'!$AA$6:'Sites'!$AC$6)&lt;0,S120&gt;F120+0.001),1,0)</f>
        <v/>
      </c>
      <c r="AO120" s="160">
        <f>I120+U120-T120-X120</f>
        <v/>
      </c>
    </row>
    <row r="121" ht="28" customHeight="1">
      <c r="A121" s="4" t="inlineStr">
        <is>
          <t>Smaller</t>
        </is>
      </c>
      <c r="B121" s="4" t="inlineStr">
        <is>
          <t>WITTA</t>
        </is>
      </c>
      <c r="C121" s="160" t="n">
        <v>8</v>
      </c>
      <c r="D121" s="160">
        <f>ROUNDUP(C121/12,0)</f>
        <v/>
      </c>
      <c r="E121" s="160">
        <f>IF(AND('Sites'!$E$6=1,C121&gt;='Sites'!$F$6,C121&lt;='Sites'!$G$6),1,0)</f>
        <v/>
      </c>
      <c r="F121" s="160">
        <f>E121*'Assumptions'!K67</f>
        <v/>
      </c>
      <c r="G121" s="160">
        <f>V120</f>
        <v/>
      </c>
      <c r="H121" s="160">
        <f>W120</f>
        <v/>
      </c>
      <c r="I121" s="160">
        <f>X120</f>
        <v/>
      </c>
      <c r="J121" s="160">
        <f>MAX(0,'Sites'!$I$6-SUM(N114:N120))</f>
        <v/>
      </c>
      <c r="K121" s="160">
        <f>IF('Sites'!$C$6="Own sheets",MIN(ROUNDDOWN(G121/'NM Play'!$B$11,0)+F121*'NM Play'!$B$10/'NM Play'!$B$43,ROUNDDOWN(H121/'NM Play'!$B$12,0)+F121*'NM Play'!$B$10/'NM Play'!$B$44,(F121*'NM Play'!$B$10+ROUNDDOWN(G121/'NM Play'!$B$11,0)*'NM Play'!$B$43+ROUNDDOWN(H121/'NM Play'!$B$12,0)*'NM Play'!$B$44)/('NM Play'!$B$43+'NM Play'!$B$44)),ROUNDDOWN(G121/'NM Play'!$B$11,0)+F121*'NM Play'!$B$10/'NM Play'!$B$43)</f>
        <v/>
      </c>
      <c r="L121" s="160">
        <f>MIN(ROUNDDOWN(G121/'NM Play'!$B$11,0)+F121/('NM Play'!$B$43/'NM Play'!$B$15),ROUNDDOWN(H121/'NM Play'!$B$12,0)+F121/('NM Play'!$B$44/'NM Play'!$B$16),(F121+ROUNDDOWN(G121/'NM Play'!$B$11,0)*'NM Play'!$B$43/'NM Play'!$B$15+ROUNDDOWN(H121/'NM Play'!$B$12,0)*'NM Play'!$B$44/'NM Play'!$B$16)/('NM Play'!$B$43/'NM Play'!$B$15+'NM Play'!$B$44/'NM Play'!$B$16))</f>
        <v/>
      </c>
      <c r="M121" s="160">
        <f>F121*'NM Play'!$B$36</f>
        <v/>
      </c>
      <c r="N121" s="160">
        <f>ROUNDDOWN(MAX(0,MIN(J121,K121:M121)),0)</f>
        <v/>
      </c>
      <c r="O121" s="160">
        <f>ROUNDUP(MAX(0,N121*'NM Play'!$B$11-G121)/'NM Play'!$B$13,0)</f>
        <v/>
      </c>
      <c r="P121" s="160">
        <f>ROUNDUP(MAX(0,N121*'NM Play'!$B$12-H121)/'NM Play'!$B$14,0)</f>
        <v/>
      </c>
      <c r="Q121" s="160">
        <f>(O121+IF('Sites'!$C$6="Own sheets",P121,0))/'NM Play'!$B$10</f>
        <v/>
      </c>
      <c r="R121" s="160">
        <f>O121/'NM Play'!$B$15+P121/'NM Play'!$B$16</f>
        <v/>
      </c>
      <c r="S121" s="160">
        <f>MAX(Q121,R121,N121/'NM Play'!$B$36)</f>
        <v/>
      </c>
      <c r="T121" s="160">
        <f>Q121*'NM Play'!$B$10*'NM Play'!$B$21*(1+'NM Play'!$B$35)</f>
        <v/>
      </c>
      <c r="U121" s="160">
        <f>MAX(0,T121-I121)</f>
        <v/>
      </c>
      <c r="V121" s="160">
        <f>G121+O121*'NM Play'!$B$13-N121*'NM Play'!$B$11</f>
        <v/>
      </c>
      <c r="W121" s="160">
        <f>H121+P121*'NM Play'!$B$14-N121*'NM Play'!$B$12</f>
        <v/>
      </c>
      <c r="X121" s="160">
        <f>I121+U121-T121</f>
        <v/>
      </c>
      <c r="Y121" s="160">
        <f>MIN(N121,MAX(0,ROUNDDOWN('Sites'!$L$6*'Cases'!$E$7,0)-SUM(Y114:Y120)))</f>
        <v/>
      </c>
      <c r="Z121" s="160">
        <f>N121-Y121</f>
        <v/>
      </c>
      <c r="AA121" s="160">
        <f>U121*'NM Play'!$B$22</f>
        <v/>
      </c>
      <c r="AB121" s="160">
        <f>N121*SUM('NM Play'!$B$29:$B$31)</f>
        <v/>
      </c>
      <c r="AC121" s="160">
        <f>IF('Sites'!$C$6="Defy legs",P121*'NM Play'!$B$14/'NM Play'!$B$12*'NM Play'!$B$28,0)</f>
        <v/>
      </c>
      <c r="AD121" s="160">
        <f>Q121*'NM Play'!$B$23</f>
        <v/>
      </c>
      <c r="AE121" s="160">
        <f>S121*SUM('NM Play'!$B$26,'NM Play'!$B$33:$B$34)</f>
        <v/>
      </c>
      <c r="AF121" s="160">
        <f>IF('Sites'!$D$6="NM crew",S121*SUM('NM Play'!$B$24:$B$25),0)</f>
        <v/>
      </c>
      <c r="AG121" s="160">
        <f>IF('Sites'!$D$6="NM crew",S121*'NM Play'!$B$27,0)</f>
        <v/>
      </c>
      <c r="AH121" s="160">
        <f>N121*'Sites'!$Z$6*'NM Play'!$B$32</f>
        <v/>
      </c>
      <c r="AI121" s="160">
        <f>SUM(Y121:Z121)*'Sites'!$R$6</f>
        <v/>
      </c>
      <c r="AJ121" s="160">
        <f>SUM(AA121:AH121)</f>
        <v/>
      </c>
      <c r="AK121" s="160">
        <f>AJ121+(T121-U121)*'NM Play'!$B$22+MIN(G121,N121*'NM Play'!$B$11)/'NM Play'!$B$13*'NM Play'!$B$21*'NM Play'!$B$22+MIN(H121,N121*'NM Play'!$B$12)/'NM Play'!$B$14*IF('Sites'!$C$6="Own sheets",'NM Play'!$B$21*'NM Play'!$B$22,'NM Play'!$B$28*'NM Play'!$B$14/'NM Play'!$B$12)</f>
        <v/>
      </c>
      <c r="AL121" s="160">
        <f>Y121*'Assumptions'!K66</f>
        <v/>
      </c>
      <c r="AM121" s="160">
        <f>IF('Sites'!$D$6="NM crew",S121*'NM Play'!$B$37*(1+IF(AND(ISNUMBER('NM Play'!$B$25),'NM Play'!$B$25&gt;0),1,0)),"")</f>
        <v/>
      </c>
      <c r="AN121" s="160">
        <f>IF(OR('Sites'!$E$6&lt;0,'Sites'!$E$6&gt;1,'Sites'!$F$6&lt;1,'Sites'!$G$6&lt;'Sites'!$F$6,F121&lt;0,MIN('Sites'!$I$6:'Sites'!$R$6)&lt;0,'Sites'!$L$6&gt;'Sites'!$I$6,'Sites'!$M$6&gt;'Sites'!$J$6,'Sites'!$N$6&gt;'Sites'!$K$6,'Sites'!$Z$6&lt;0,'Sites'!$Z$6&gt;1,MIN('Sites'!$AA$6:'Sites'!$AC$6)&lt;0,S121&gt;F121+0.001),1,0)</f>
        <v/>
      </c>
      <c r="AO121" s="160">
        <f>I121+U121-T121-X121</f>
        <v/>
      </c>
    </row>
    <row r="122" ht="28" customHeight="1">
      <c r="A122" s="4" t="inlineStr">
        <is>
          <t>Smaller</t>
        </is>
      </c>
      <c r="B122" s="4" t="inlineStr">
        <is>
          <t>WITTA</t>
        </is>
      </c>
      <c r="C122" s="160" t="n">
        <v>9</v>
      </c>
      <c r="D122" s="160">
        <f>ROUNDUP(C122/12,0)</f>
        <v/>
      </c>
      <c r="E122" s="160">
        <f>IF(AND('Sites'!$E$6=1,C122&gt;='Sites'!$F$6,C122&lt;='Sites'!$G$6),1,0)</f>
        <v/>
      </c>
      <c r="F122" s="160">
        <f>E122*'Assumptions'!L67</f>
        <v/>
      </c>
      <c r="G122" s="160">
        <f>V121</f>
        <v/>
      </c>
      <c r="H122" s="160">
        <f>W121</f>
        <v/>
      </c>
      <c r="I122" s="160">
        <f>X121</f>
        <v/>
      </c>
      <c r="J122" s="160">
        <f>MAX(0,'Sites'!$I$6-SUM(N114:N121))</f>
        <v/>
      </c>
      <c r="K122" s="160">
        <f>IF('Sites'!$C$6="Own sheets",MIN(ROUNDDOWN(G122/'NM Play'!$B$11,0)+F122*'NM Play'!$B$10/'NM Play'!$B$43,ROUNDDOWN(H122/'NM Play'!$B$12,0)+F122*'NM Play'!$B$10/'NM Play'!$B$44,(F122*'NM Play'!$B$10+ROUNDDOWN(G122/'NM Play'!$B$11,0)*'NM Play'!$B$43+ROUNDDOWN(H122/'NM Play'!$B$12,0)*'NM Play'!$B$44)/('NM Play'!$B$43+'NM Play'!$B$44)),ROUNDDOWN(G122/'NM Play'!$B$11,0)+F122*'NM Play'!$B$10/'NM Play'!$B$43)</f>
        <v/>
      </c>
      <c r="L122" s="160">
        <f>MIN(ROUNDDOWN(G122/'NM Play'!$B$11,0)+F122/('NM Play'!$B$43/'NM Play'!$B$15),ROUNDDOWN(H122/'NM Play'!$B$12,0)+F122/('NM Play'!$B$44/'NM Play'!$B$16),(F122+ROUNDDOWN(G122/'NM Play'!$B$11,0)*'NM Play'!$B$43/'NM Play'!$B$15+ROUNDDOWN(H122/'NM Play'!$B$12,0)*'NM Play'!$B$44/'NM Play'!$B$16)/('NM Play'!$B$43/'NM Play'!$B$15+'NM Play'!$B$44/'NM Play'!$B$16))</f>
        <v/>
      </c>
      <c r="M122" s="160">
        <f>F122*'NM Play'!$B$36</f>
        <v/>
      </c>
      <c r="N122" s="160">
        <f>ROUNDDOWN(MAX(0,MIN(J122,K122:M122)),0)</f>
        <v/>
      </c>
      <c r="O122" s="160">
        <f>ROUNDUP(MAX(0,N122*'NM Play'!$B$11-G122)/'NM Play'!$B$13,0)</f>
        <v/>
      </c>
      <c r="P122" s="160">
        <f>ROUNDUP(MAX(0,N122*'NM Play'!$B$12-H122)/'NM Play'!$B$14,0)</f>
        <v/>
      </c>
      <c r="Q122" s="160">
        <f>(O122+IF('Sites'!$C$6="Own sheets",P122,0))/'NM Play'!$B$10</f>
        <v/>
      </c>
      <c r="R122" s="160">
        <f>O122/'NM Play'!$B$15+P122/'NM Play'!$B$16</f>
        <v/>
      </c>
      <c r="S122" s="160">
        <f>MAX(Q122,R122,N122/'NM Play'!$B$36)</f>
        <v/>
      </c>
      <c r="T122" s="160">
        <f>Q122*'NM Play'!$B$10*'NM Play'!$B$21*(1+'NM Play'!$B$35)</f>
        <v/>
      </c>
      <c r="U122" s="160">
        <f>MAX(0,T122-I122)</f>
        <v/>
      </c>
      <c r="V122" s="160">
        <f>G122+O122*'NM Play'!$B$13-N122*'NM Play'!$B$11</f>
        <v/>
      </c>
      <c r="W122" s="160">
        <f>H122+P122*'NM Play'!$B$14-N122*'NM Play'!$B$12</f>
        <v/>
      </c>
      <c r="X122" s="160">
        <f>I122+U122-T122</f>
        <v/>
      </c>
      <c r="Y122" s="160">
        <f>MIN(N122,MAX(0,ROUNDDOWN('Sites'!$L$6*'Cases'!$E$7,0)-SUM(Y114:Y121)))</f>
        <v/>
      </c>
      <c r="Z122" s="160">
        <f>N122-Y122</f>
        <v/>
      </c>
      <c r="AA122" s="160">
        <f>U122*'NM Play'!$B$22</f>
        <v/>
      </c>
      <c r="AB122" s="160">
        <f>N122*SUM('NM Play'!$B$29:$B$31)</f>
        <v/>
      </c>
      <c r="AC122" s="160">
        <f>IF('Sites'!$C$6="Defy legs",P122*'NM Play'!$B$14/'NM Play'!$B$12*'NM Play'!$B$28,0)</f>
        <v/>
      </c>
      <c r="AD122" s="160">
        <f>Q122*'NM Play'!$B$23</f>
        <v/>
      </c>
      <c r="AE122" s="160">
        <f>S122*SUM('NM Play'!$B$26,'NM Play'!$B$33:$B$34)</f>
        <v/>
      </c>
      <c r="AF122" s="160">
        <f>IF('Sites'!$D$6="NM crew",S122*SUM('NM Play'!$B$24:$B$25),0)</f>
        <v/>
      </c>
      <c r="AG122" s="160">
        <f>IF('Sites'!$D$6="NM crew",S122*'NM Play'!$B$27,0)</f>
        <v/>
      </c>
      <c r="AH122" s="160">
        <f>N122*'Sites'!$Z$6*'NM Play'!$B$32</f>
        <v/>
      </c>
      <c r="AI122" s="160">
        <f>SUM(Y122:Z122)*'Sites'!$R$6</f>
        <v/>
      </c>
      <c r="AJ122" s="160">
        <f>SUM(AA122:AH122)</f>
        <v/>
      </c>
      <c r="AK122" s="160">
        <f>AJ122+(T122-U122)*'NM Play'!$B$22+MIN(G122,N122*'NM Play'!$B$11)/'NM Play'!$B$13*'NM Play'!$B$21*'NM Play'!$B$22+MIN(H122,N122*'NM Play'!$B$12)/'NM Play'!$B$14*IF('Sites'!$C$6="Own sheets",'NM Play'!$B$21*'NM Play'!$B$22,'NM Play'!$B$28*'NM Play'!$B$14/'NM Play'!$B$12)</f>
        <v/>
      </c>
      <c r="AL122" s="160">
        <f>Y122*'Assumptions'!L66</f>
        <v/>
      </c>
      <c r="AM122" s="160">
        <f>IF('Sites'!$D$6="NM crew",S122*'NM Play'!$B$37*(1+IF(AND(ISNUMBER('NM Play'!$B$25),'NM Play'!$B$25&gt;0),1,0)),"")</f>
        <v/>
      </c>
      <c r="AN122" s="160">
        <f>IF(OR('Sites'!$E$6&lt;0,'Sites'!$E$6&gt;1,'Sites'!$F$6&lt;1,'Sites'!$G$6&lt;'Sites'!$F$6,F122&lt;0,MIN('Sites'!$I$6:'Sites'!$R$6)&lt;0,'Sites'!$L$6&gt;'Sites'!$I$6,'Sites'!$M$6&gt;'Sites'!$J$6,'Sites'!$N$6&gt;'Sites'!$K$6,'Sites'!$Z$6&lt;0,'Sites'!$Z$6&gt;1,MIN('Sites'!$AA$6:'Sites'!$AC$6)&lt;0,S122&gt;F122+0.001),1,0)</f>
        <v/>
      </c>
      <c r="AO122" s="160">
        <f>I122+U122-T122-X122</f>
        <v/>
      </c>
    </row>
    <row r="123" ht="28" customHeight="1">
      <c r="A123" s="4" t="inlineStr">
        <is>
          <t>Smaller</t>
        </is>
      </c>
      <c r="B123" s="4" t="inlineStr">
        <is>
          <t>WITTA</t>
        </is>
      </c>
      <c r="C123" s="160" t="n">
        <v>10</v>
      </c>
      <c r="D123" s="160">
        <f>ROUNDUP(C123/12,0)</f>
        <v/>
      </c>
      <c r="E123" s="160">
        <f>IF(AND('Sites'!$E$6=1,C123&gt;='Sites'!$F$6,C123&lt;='Sites'!$G$6),1,0)</f>
        <v/>
      </c>
      <c r="F123" s="160">
        <f>E123*'Assumptions'!M67</f>
        <v/>
      </c>
      <c r="G123" s="160">
        <f>V122</f>
        <v/>
      </c>
      <c r="H123" s="160">
        <f>W122</f>
        <v/>
      </c>
      <c r="I123" s="160">
        <f>X122</f>
        <v/>
      </c>
      <c r="J123" s="160">
        <f>MAX(0,'Sites'!$I$6-SUM(N114:N122))</f>
        <v/>
      </c>
      <c r="K123" s="160">
        <f>IF('Sites'!$C$6="Own sheets",MIN(ROUNDDOWN(G123/'NM Play'!$B$11,0)+F123*'NM Play'!$B$10/'NM Play'!$B$43,ROUNDDOWN(H123/'NM Play'!$B$12,0)+F123*'NM Play'!$B$10/'NM Play'!$B$44,(F123*'NM Play'!$B$10+ROUNDDOWN(G123/'NM Play'!$B$11,0)*'NM Play'!$B$43+ROUNDDOWN(H123/'NM Play'!$B$12,0)*'NM Play'!$B$44)/('NM Play'!$B$43+'NM Play'!$B$44)),ROUNDDOWN(G123/'NM Play'!$B$11,0)+F123*'NM Play'!$B$10/'NM Play'!$B$43)</f>
        <v/>
      </c>
      <c r="L123" s="160">
        <f>MIN(ROUNDDOWN(G123/'NM Play'!$B$11,0)+F123/('NM Play'!$B$43/'NM Play'!$B$15),ROUNDDOWN(H123/'NM Play'!$B$12,0)+F123/('NM Play'!$B$44/'NM Play'!$B$16),(F123+ROUNDDOWN(G123/'NM Play'!$B$11,0)*'NM Play'!$B$43/'NM Play'!$B$15+ROUNDDOWN(H123/'NM Play'!$B$12,0)*'NM Play'!$B$44/'NM Play'!$B$16)/('NM Play'!$B$43/'NM Play'!$B$15+'NM Play'!$B$44/'NM Play'!$B$16))</f>
        <v/>
      </c>
      <c r="M123" s="160">
        <f>F123*'NM Play'!$B$36</f>
        <v/>
      </c>
      <c r="N123" s="160">
        <f>ROUNDDOWN(MAX(0,MIN(J123,K123:M123)),0)</f>
        <v/>
      </c>
      <c r="O123" s="160">
        <f>ROUNDUP(MAX(0,N123*'NM Play'!$B$11-G123)/'NM Play'!$B$13,0)</f>
        <v/>
      </c>
      <c r="P123" s="160">
        <f>ROUNDUP(MAX(0,N123*'NM Play'!$B$12-H123)/'NM Play'!$B$14,0)</f>
        <v/>
      </c>
      <c r="Q123" s="160">
        <f>(O123+IF('Sites'!$C$6="Own sheets",P123,0))/'NM Play'!$B$10</f>
        <v/>
      </c>
      <c r="R123" s="160">
        <f>O123/'NM Play'!$B$15+P123/'NM Play'!$B$16</f>
        <v/>
      </c>
      <c r="S123" s="160">
        <f>MAX(Q123,R123,N123/'NM Play'!$B$36)</f>
        <v/>
      </c>
      <c r="T123" s="160">
        <f>Q123*'NM Play'!$B$10*'NM Play'!$B$21*(1+'NM Play'!$B$35)</f>
        <v/>
      </c>
      <c r="U123" s="160">
        <f>MAX(0,T123-I123)</f>
        <v/>
      </c>
      <c r="V123" s="160">
        <f>G123+O123*'NM Play'!$B$13-N123*'NM Play'!$B$11</f>
        <v/>
      </c>
      <c r="W123" s="160">
        <f>H123+P123*'NM Play'!$B$14-N123*'NM Play'!$B$12</f>
        <v/>
      </c>
      <c r="X123" s="160">
        <f>I123+U123-T123</f>
        <v/>
      </c>
      <c r="Y123" s="160">
        <f>MIN(N123,MAX(0,ROUNDDOWN('Sites'!$L$6*'Cases'!$E$7,0)-SUM(Y114:Y122)))</f>
        <v/>
      </c>
      <c r="Z123" s="160">
        <f>N123-Y123</f>
        <v/>
      </c>
      <c r="AA123" s="160">
        <f>U123*'NM Play'!$B$22</f>
        <v/>
      </c>
      <c r="AB123" s="160">
        <f>N123*SUM('NM Play'!$B$29:$B$31)</f>
        <v/>
      </c>
      <c r="AC123" s="160">
        <f>IF('Sites'!$C$6="Defy legs",P123*'NM Play'!$B$14/'NM Play'!$B$12*'NM Play'!$B$28,0)</f>
        <v/>
      </c>
      <c r="AD123" s="160">
        <f>Q123*'NM Play'!$B$23</f>
        <v/>
      </c>
      <c r="AE123" s="160">
        <f>S123*SUM('NM Play'!$B$26,'NM Play'!$B$33:$B$34)</f>
        <v/>
      </c>
      <c r="AF123" s="160">
        <f>IF('Sites'!$D$6="NM crew",S123*SUM('NM Play'!$B$24:$B$25),0)</f>
        <v/>
      </c>
      <c r="AG123" s="160">
        <f>IF('Sites'!$D$6="NM crew",S123*'NM Play'!$B$27,0)</f>
        <v/>
      </c>
      <c r="AH123" s="160">
        <f>N123*'Sites'!$Z$6*'NM Play'!$B$32</f>
        <v/>
      </c>
      <c r="AI123" s="160">
        <f>SUM(Y123:Z123)*'Sites'!$R$6</f>
        <v/>
      </c>
      <c r="AJ123" s="160">
        <f>SUM(AA123:AH123)</f>
        <v/>
      </c>
      <c r="AK123" s="160">
        <f>AJ123+(T123-U123)*'NM Play'!$B$22+MIN(G123,N123*'NM Play'!$B$11)/'NM Play'!$B$13*'NM Play'!$B$21*'NM Play'!$B$22+MIN(H123,N123*'NM Play'!$B$12)/'NM Play'!$B$14*IF('Sites'!$C$6="Own sheets",'NM Play'!$B$21*'NM Play'!$B$22,'NM Play'!$B$28*'NM Play'!$B$14/'NM Play'!$B$12)</f>
        <v/>
      </c>
      <c r="AL123" s="160">
        <f>Y123*'Assumptions'!M66</f>
        <v/>
      </c>
      <c r="AM123" s="160">
        <f>IF('Sites'!$D$6="NM crew",S123*'NM Play'!$B$37*(1+IF(AND(ISNUMBER('NM Play'!$B$25),'NM Play'!$B$25&gt;0),1,0)),"")</f>
        <v/>
      </c>
      <c r="AN123" s="160">
        <f>IF(OR('Sites'!$E$6&lt;0,'Sites'!$E$6&gt;1,'Sites'!$F$6&lt;1,'Sites'!$G$6&lt;'Sites'!$F$6,F123&lt;0,MIN('Sites'!$I$6:'Sites'!$R$6)&lt;0,'Sites'!$L$6&gt;'Sites'!$I$6,'Sites'!$M$6&gt;'Sites'!$J$6,'Sites'!$N$6&gt;'Sites'!$K$6,'Sites'!$Z$6&lt;0,'Sites'!$Z$6&gt;1,MIN('Sites'!$AA$6:'Sites'!$AC$6)&lt;0,S123&gt;F123+0.001),1,0)</f>
        <v/>
      </c>
      <c r="AO123" s="160">
        <f>I123+U123-T123-X123</f>
        <v/>
      </c>
    </row>
    <row r="124" ht="28" customHeight="1">
      <c r="A124" s="4" t="inlineStr">
        <is>
          <t>Smaller</t>
        </is>
      </c>
      <c r="B124" s="4" t="inlineStr">
        <is>
          <t>WITTA</t>
        </is>
      </c>
      <c r="C124" s="160" t="n">
        <v>11</v>
      </c>
      <c r="D124" s="160">
        <f>ROUNDUP(C124/12,0)</f>
        <v/>
      </c>
      <c r="E124" s="160">
        <f>IF(AND('Sites'!$E$6=1,C124&gt;='Sites'!$F$6,C124&lt;='Sites'!$G$6),1,0)</f>
        <v/>
      </c>
      <c r="F124" s="160">
        <f>E124*'Assumptions'!N67</f>
        <v/>
      </c>
      <c r="G124" s="160">
        <f>V123</f>
        <v/>
      </c>
      <c r="H124" s="160">
        <f>W123</f>
        <v/>
      </c>
      <c r="I124" s="160">
        <f>X123</f>
        <v/>
      </c>
      <c r="J124" s="160">
        <f>MAX(0,'Sites'!$I$6-SUM(N114:N123))</f>
        <v/>
      </c>
      <c r="K124" s="160">
        <f>IF('Sites'!$C$6="Own sheets",MIN(ROUNDDOWN(G124/'NM Play'!$B$11,0)+F124*'NM Play'!$B$10/'NM Play'!$B$43,ROUNDDOWN(H124/'NM Play'!$B$12,0)+F124*'NM Play'!$B$10/'NM Play'!$B$44,(F124*'NM Play'!$B$10+ROUNDDOWN(G124/'NM Play'!$B$11,0)*'NM Play'!$B$43+ROUNDDOWN(H124/'NM Play'!$B$12,0)*'NM Play'!$B$44)/('NM Play'!$B$43+'NM Play'!$B$44)),ROUNDDOWN(G124/'NM Play'!$B$11,0)+F124*'NM Play'!$B$10/'NM Play'!$B$43)</f>
        <v/>
      </c>
      <c r="L124" s="160">
        <f>MIN(ROUNDDOWN(G124/'NM Play'!$B$11,0)+F124/('NM Play'!$B$43/'NM Play'!$B$15),ROUNDDOWN(H124/'NM Play'!$B$12,0)+F124/('NM Play'!$B$44/'NM Play'!$B$16),(F124+ROUNDDOWN(G124/'NM Play'!$B$11,0)*'NM Play'!$B$43/'NM Play'!$B$15+ROUNDDOWN(H124/'NM Play'!$B$12,0)*'NM Play'!$B$44/'NM Play'!$B$16)/('NM Play'!$B$43/'NM Play'!$B$15+'NM Play'!$B$44/'NM Play'!$B$16))</f>
        <v/>
      </c>
      <c r="M124" s="160">
        <f>F124*'NM Play'!$B$36</f>
        <v/>
      </c>
      <c r="N124" s="160">
        <f>ROUNDDOWN(MAX(0,MIN(J124,K124:M124)),0)</f>
        <v/>
      </c>
      <c r="O124" s="160">
        <f>ROUNDUP(MAX(0,N124*'NM Play'!$B$11-G124)/'NM Play'!$B$13,0)</f>
        <v/>
      </c>
      <c r="P124" s="160">
        <f>ROUNDUP(MAX(0,N124*'NM Play'!$B$12-H124)/'NM Play'!$B$14,0)</f>
        <v/>
      </c>
      <c r="Q124" s="160">
        <f>(O124+IF('Sites'!$C$6="Own sheets",P124,0))/'NM Play'!$B$10</f>
        <v/>
      </c>
      <c r="R124" s="160">
        <f>O124/'NM Play'!$B$15+P124/'NM Play'!$B$16</f>
        <v/>
      </c>
      <c r="S124" s="160">
        <f>MAX(Q124,R124,N124/'NM Play'!$B$36)</f>
        <v/>
      </c>
      <c r="T124" s="160">
        <f>Q124*'NM Play'!$B$10*'NM Play'!$B$21*(1+'NM Play'!$B$35)</f>
        <v/>
      </c>
      <c r="U124" s="160">
        <f>MAX(0,T124-I124)</f>
        <v/>
      </c>
      <c r="V124" s="160">
        <f>G124+O124*'NM Play'!$B$13-N124*'NM Play'!$B$11</f>
        <v/>
      </c>
      <c r="W124" s="160">
        <f>H124+P124*'NM Play'!$B$14-N124*'NM Play'!$B$12</f>
        <v/>
      </c>
      <c r="X124" s="160">
        <f>I124+U124-T124</f>
        <v/>
      </c>
      <c r="Y124" s="160">
        <f>MIN(N124,MAX(0,ROUNDDOWN('Sites'!$L$6*'Cases'!$E$7,0)-SUM(Y114:Y123)))</f>
        <v/>
      </c>
      <c r="Z124" s="160">
        <f>N124-Y124</f>
        <v/>
      </c>
      <c r="AA124" s="160">
        <f>U124*'NM Play'!$B$22</f>
        <v/>
      </c>
      <c r="AB124" s="160">
        <f>N124*SUM('NM Play'!$B$29:$B$31)</f>
        <v/>
      </c>
      <c r="AC124" s="160">
        <f>IF('Sites'!$C$6="Defy legs",P124*'NM Play'!$B$14/'NM Play'!$B$12*'NM Play'!$B$28,0)</f>
        <v/>
      </c>
      <c r="AD124" s="160">
        <f>Q124*'NM Play'!$B$23</f>
        <v/>
      </c>
      <c r="AE124" s="160">
        <f>S124*SUM('NM Play'!$B$26,'NM Play'!$B$33:$B$34)</f>
        <v/>
      </c>
      <c r="AF124" s="160">
        <f>IF('Sites'!$D$6="NM crew",S124*SUM('NM Play'!$B$24:$B$25),0)</f>
        <v/>
      </c>
      <c r="AG124" s="160">
        <f>IF('Sites'!$D$6="NM crew",S124*'NM Play'!$B$27,0)</f>
        <v/>
      </c>
      <c r="AH124" s="160">
        <f>N124*'Sites'!$Z$6*'NM Play'!$B$32</f>
        <v/>
      </c>
      <c r="AI124" s="160">
        <f>SUM(Y124:Z124)*'Sites'!$R$6</f>
        <v/>
      </c>
      <c r="AJ124" s="160">
        <f>SUM(AA124:AH124)</f>
        <v/>
      </c>
      <c r="AK124" s="160">
        <f>AJ124+(T124-U124)*'NM Play'!$B$22+MIN(G124,N124*'NM Play'!$B$11)/'NM Play'!$B$13*'NM Play'!$B$21*'NM Play'!$B$22+MIN(H124,N124*'NM Play'!$B$12)/'NM Play'!$B$14*IF('Sites'!$C$6="Own sheets",'NM Play'!$B$21*'NM Play'!$B$22,'NM Play'!$B$28*'NM Play'!$B$14/'NM Play'!$B$12)</f>
        <v/>
      </c>
      <c r="AL124" s="160">
        <f>Y124*'Assumptions'!N66</f>
        <v/>
      </c>
      <c r="AM124" s="160">
        <f>IF('Sites'!$D$6="NM crew",S124*'NM Play'!$B$37*(1+IF(AND(ISNUMBER('NM Play'!$B$25),'NM Play'!$B$25&gt;0),1,0)),"")</f>
        <v/>
      </c>
      <c r="AN124" s="160">
        <f>IF(OR('Sites'!$E$6&lt;0,'Sites'!$E$6&gt;1,'Sites'!$F$6&lt;1,'Sites'!$G$6&lt;'Sites'!$F$6,F124&lt;0,MIN('Sites'!$I$6:'Sites'!$R$6)&lt;0,'Sites'!$L$6&gt;'Sites'!$I$6,'Sites'!$M$6&gt;'Sites'!$J$6,'Sites'!$N$6&gt;'Sites'!$K$6,'Sites'!$Z$6&lt;0,'Sites'!$Z$6&gt;1,MIN('Sites'!$AA$6:'Sites'!$AC$6)&lt;0,S124&gt;F124+0.001),1,0)</f>
        <v/>
      </c>
      <c r="AO124" s="160">
        <f>I124+U124-T124-X124</f>
        <v/>
      </c>
    </row>
    <row r="125" ht="28" customHeight="1">
      <c r="A125" s="4" t="inlineStr">
        <is>
          <t>Smaller</t>
        </is>
      </c>
      <c r="B125" s="4" t="inlineStr">
        <is>
          <t>WITTA</t>
        </is>
      </c>
      <c r="C125" s="160" t="n">
        <v>12</v>
      </c>
      <c r="D125" s="160">
        <f>ROUNDUP(C125/12,0)</f>
        <v/>
      </c>
      <c r="E125" s="160">
        <f>IF(AND('Sites'!$E$6=1,C125&gt;='Sites'!$F$6,C125&lt;='Sites'!$G$6),1,0)</f>
        <v/>
      </c>
      <c r="F125" s="160">
        <f>E125*'Assumptions'!O67</f>
        <v/>
      </c>
      <c r="G125" s="160">
        <f>V124</f>
        <v/>
      </c>
      <c r="H125" s="160">
        <f>W124</f>
        <v/>
      </c>
      <c r="I125" s="160">
        <f>X124</f>
        <v/>
      </c>
      <c r="J125" s="160">
        <f>MAX(0,'Sites'!$I$6-SUM(N114:N124))</f>
        <v/>
      </c>
      <c r="K125" s="160">
        <f>IF('Sites'!$C$6="Own sheets",MIN(ROUNDDOWN(G125/'NM Play'!$B$11,0)+F125*'NM Play'!$B$10/'NM Play'!$B$43,ROUNDDOWN(H125/'NM Play'!$B$12,0)+F125*'NM Play'!$B$10/'NM Play'!$B$44,(F125*'NM Play'!$B$10+ROUNDDOWN(G125/'NM Play'!$B$11,0)*'NM Play'!$B$43+ROUNDDOWN(H125/'NM Play'!$B$12,0)*'NM Play'!$B$44)/('NM Play'!$B$43+'NM Play'!$B$44)),ROUNDDOWN(G125/'NM Play'!$B$11,0)+F125*'NM Play'!$B$10/'NM Play'!$B$43)</f>
        <v/>
      </c>
      <c r="L125" s="160">
        <f>MIN(ROUNDDOWN(G125/'NM Play'!$B$11,0)+F125/('NM Play'!$B$43/'NM Play'!$B$15),ROUNDDOWN(H125/'NM Play'!$B$12,0)+F125/('NM Play'!$B$44/'NM Play'!$B$16),(F125+ROUNDDOWN(G125/'NM Play'!$B$11,0)*'NM Play'!$B$43/'NM Play'!$B$15+ROUNDDOWN(H125/'NM Play'!$B$12,0)*'NM Play'!$B$44/'NM Play'!$B$16)/('NM Play'!$B$43/'NM Play'!$B$15+'NM Play'!$B$44/'NM Play'!$B$16))</f>
        <v/>
      </c>
      <c r="M125" s="160">
        <f>F125*'NM Play'!$B$36</f>
        <v/>
      </c>
      <c r="N125" s="160">
        <f>ROUNDDOWN(MAX(0,MIN(J125,K125:M125)),0)</f>
        <v/>
      </c>
      <c r="O125" s="160">
        <f>ROUNDUP(MAX(0,N125*'NM Play'!$B$11-G125)/'NM Play'!$B$13,0)</f>
        <v/>
      </c>
      <c r="P125" s="160">
        <f>ROUNDUP(MAX(0,N125*'NM Play'!$B$12-H125)/'NM Play'!$B$14,0)</f>
        <v/>
      </c>
      <c r="Q125" s="160">
        <f>(O125+IF('Sites'!$C$6="Own sheets",P125,0))/'NM Play'!$B$10</f>
        <v/>
      </c>
      <c r="R125" s="160">
        <f>O125/'NM Play'!$B$15+P125/'NM Play'!$B$16</f>
        <v/>
      </c>
      <c r="S125" s="160">
        <f>MAX(Q125,R125,N125/'NM Play'!$B$36)</f>
        <v/>
      </c>
      <c r="T125" s="160">
        <f>Q125*'NM Play'!$B$10*'NM Play'!$B$21*(1+'NM Play'!$B$35)</f>
        <v/>
      </c>
      <c r="U125" s="160">
        <f>MAX(0,T125-I125)</f>
        <v/>
      </c>
      <c r="V125" s="160">
        <f>G125+O125*'NM Play'!$B$13-N125*'NM Play'!$B$11</f>
        <v/>
      </c>
      <c r="W125" s="160">
        <f>H125+P125*'NM Play'!$B$14-N125*'NM Play'!$B$12</f>
        <v/>
      </c>
      <c r="X125" s="160">
        <f>I125+U125-T125</f>
        <v/>
      </c>
      <c r="Y125" s="160">
        <f>MIN(N125,MAX(0,ROUNDDOWN('Sites'!$L$6*'Cases'!$E$7,0)-SUM(Y114:Y124)))</f>
        <v/>
      </c>
      <c r="Z125" s="160">
        <f>N125-Y125</f>
        <v/>
      </c>
      <c r="AA125" s="160">
        <f>U125*'NM Play'!$B$22</f>
        <v/>
      </c>
      <c r="AB125" s="160">
        <f>N125*SUM('NM Play'!$B$29:$B$31)</f>
        <v/>
      </c>
      <c r="AC125" s="160">
        <f>IF('Sites'!$C$6="Defy legs",P125*'NM Play'!$B$14/'NM Play'!$B$12*'NM Play'!$B$28,0)</f>
        <v/>
      </c>
      <c r="AD125" s="160">
        <f>Q125*'NM Play'!$B$23</f>
        <v/>
      </c>
      <c r="AE125" s="160">
        <f>S125*SUM('NM Play'!$B$26,'NM Play'!$B$33:$B$34)</f>
        <v/>
      </c>
      <c r="AF125" s="160">
        <f>IF('Sites'!$D$6="NM crew",S125*SUM('NM Play'!$B$24:$B$25),0)</f>
        <v/>
      </c>
      <c r="AG125" s="160">
        <f>IF('Sites'!$D$6="NM crew",S125*'NM Play'!$B$27,0)</f>
        <v/>
      </c>
      <c r="AH125" s="160">
        <f>N125*'Sites'!$Z$6*'NM Play'!$B$32</f>
        <v/>
      </c>
      <c r="AI125" s="160">
        <f>SUM(Y125:Z125)*'Sites'!$R$6</f>
        <v/>
      </c>
      <c r="AJ125" s="160">
        <f>SUM(AA125:AH125)</f>
        <v/>
      </c>
      <c r="AK125" s="160">
        <f>AJ125+(T125-U125)*'NM Play'!$B$22+MIN(G125,N125*'NM Play'!$B$11)/'NM Play'!$B$13*'NM Play'!$B$21*'NM Play'!$B$22+MIN(H125,N125*'NM Play'!$B$12)/'NM Play'!$B$14*IF('Sites'!$C$6="Own sheets",'NM Play'!$B$21*'NM Play'!$B$22,'NM Play'!$B$28*'NM Play'!$B$14/'NM Play'!$B$12)</f>
        <v/>
      </c>
      <c r="AL125" s="160">
        <f>Y125*'Assumptions'!O66</f>
        <v/>
      </c>
      <c r="AM125" s="160">
        <f>IF('Sites'!$D$6="NM crew",S125*'NM Play'!$B$37*(1+IF(AND(ISNUMBER('NM Play'!$B$25),'NM Play'!$B$25&gt;0),1,0)),"")</f>
        <v/>
      </c>
      <c r="AN125" s="160">
        <f>IF(OR('Sites'!$E$6&lt;0,'Sites'!$E$6&gt;1,'Sites'!$F$6&lt;1,'Sites'!$G$6&lt;'Sites'!$F$6,F125&lt;0,MIN('Sites'!$I$6:'Sites'!$R$6)&lt;0,'Sites'!$L$6&gt;'Sites'!$I$6,'Sites'!$M$6&gt;'Sites'!$J$6,'Sites'!$N$6&gt;'Sites'!$K$6,'Sites'!$Z$6&lt;0,'Sites'!$Z$6&gt;1,MIN('Sites'!$AA$6:'Sites'!$AC$6)&lt;0,S125&gt;F125+0.001),1,0)</f>
        <v/>
      </c>
      <c r="AO125" s="160">
        <f>I125+U125-T125-X125</f>
        <v/>
      </c>
    </row>
    <row r="126" ht="28" customHeight="1">
      <c r="A126" s="4" t="inlineStr">
        <is>
          <t>Smaller</t>
        </is>
      </c>
      <c r="B126" s="4" t="inlineStr">
        <is>
          <t>WITTA</t>
        </is>
      </c>
      <c r="C126" s="160" t="n">
        <v>13</v>
      </c>
      <c r="D126" s="160">
        <f>ROUNDUP(C126/12,0)</f>
        <v/>
      </c>
      <c r="E126" s="160">
        <f>IF(AND('Sites'!$E$6=1,C126&gt;='Sites'!$F$6,C126&lt;='Sites'!$G$6),1,0)</f>
        <v/>
      </c>
      <c r="F126" s="160">
        <f>E126*'Assumptions'!P67</f>
        <v/>
      </c>
      <c r="G126" s="160">
        <f>V125</f>
        <v/>
      </c>
      <c r="H126" s="160">
        <f>W125</f>
        <v/>
      </c>
      <c r="I126" s="160">
        <f>X125</f>
        <v/>
      </c>
      <c r="J126" s="160">
        <f>MAX(0,'Sites'!$J$6-0)</f>
        <v/>
      </c>
      <c r="K126" s="160">
        <f>IF('Sites'!$C$6="Own sheets",MIN(ROUNDDOWN(G126/'NM Play'!$B$11,0)+F126*'NM Play'!$B$10/'NM Play'!$B$43,ROUNDDOWN(H126/'NM Play'!$B$12,0)+F126*'NM Play'!$B$10/'NM Play'!$B$44,(F126*'NM Play'!$B$10+ROUNDDOWN(G126/'NM Play'!$B$11,0)*'NM Play'!$B$43+ROUNDDOWN(H126/'NM Play'!$B$12,0)*'NM Play'!$B$44)/('NM Play'!$B$43+'NM Play'!$B$44)),ROUNDDOWN(G126/'NM Play'!$B$11,0)+F126*'NM Play'!$B$10/'NM Play'!$B$43)</f>
        <v/>
      </c>
      <c r="L126" s="160">
        <f>MIN(ROUNDDOWN(G126/'NM Play'!$B$11,0)+F126/('NM Play'!$B$43/'NM Play'!$B$15),ROUNDDOWN(H126/'NM Play'!$B$12,0)+F126/('NM Play'!$B$44/'NM Play'!$B$16),(F126+ROUNDDOWN(G126/'NM Play'!$B$11,0)*'NM Play'!$B$43/'NM Play'!$B$15+ROUNDDOWN(H126/'NM Play'!$B$12,0)*'NM Play'!$B$44/'NM Play'!$B$16)/('NM Play'!$B$43/'NM Play'!$B$15+'NM Play'!$B$44/'NM Play'!$B$16))</f>
        <v/>
      </c>
      <c r="M126" s="160">
        <f>F126*'NM Play'!$B$36</f>
        <v/>
      </c>
      <c r="N126" s="160">
        <f>ROUNDDOWN(MAX(0,MIN(J126,K126:M126)),0)</f>
        <v/>
      </c>
      <c r="O126" s="160">
        <f>ROUNDUP(MAX(0,N126*'NM Play'!$B$11-G126)/'NM Play'!$B$13,0)</f>
        <v/>
      </c>
      <c r="P126" s="160">
        <f>ROUNDUP(MAX(0,N126*'NM Play'!$B$12-H126)/'NM Play'!$B$14,0)</f>
        <v/>
      </c>
      <c r="Q126" s="160">
        <f>(O126+IF('Sites'!$C$6="Own sheets",P126,0))/'NM Play'!$B$10</f>
        <v/>
      </c>
      <c r="R126" s="160">
        <f>O126/'NM Play'!$B$15+P126/'NM Play'!$B$16</f>
        <v/>
      </c>
      <c r="S126" s="160">
        <f>MAX(Q126,R126,N126/'NM Play'!$B$36)</f>
        <v/>
      </c>
      <c r="T126" s="160">
        <f>Q126*'NM Play'!$B$10*'NM Play'!$B$21*(1+'NM Play'!$B$35)</f>
        <v/>
      </c>
      <c r="U126" s="160">
        <f>MAX(0,T126-I126)</f>
        <v/>
      </c>
      <c r="V126" s="160">
        <f>G126+O126*'NM Play'!$B$13-N126*'NM Play'!$B$11</f>
        <v/>
      </c>
      <c r="W126" s="160">
        <f>H126+P126*'NM Play'!$B$14-N126*'NM Play'!$B$12</f>
        <v/>
      </c>
      <c r="X126" s="160">
        <f>I126+U126-T126</f>
        <v/>
      </c>
      <c r="Y126" s="160">
        <f>MIN(N126,MAX(0,ROUNDDOWN('Sites'!$M$6*'Cases'!$E$7,0)-0))</f>
        <v/>
      </c>
      <c r="Z126" s="160">
        <f>N126-Y126</f>
        <v/>
      </c>
      <c r="AA126" s="160">
        <f>U126*'NM Play'!$B$22</f>
        <v/>
      </c>
      <c r="AB126" s="160">
        <f>N126*SUM('NM Play'!$B$29:$B$31)</f>
        <v/>
      </c>
      <c r="AC126" s="160">
        <f>IF('Sites'!$C$6="Defy legs",P126*'NM Play'!$B$14/'NM Play'!$B$12*'NM Play'!$B$28,0)</f>
        <v/>
      </c>
      <c r="AD126" s="160">
        <f>Q126*'NM Play'!$B$23</f>
        <v/>
      </c>
      <c r="AE126" s="160">
        <f>S126*SUM('NM Play'!$B$26,'NM Play'!$B$33:$B$34)</f>
        <v/>
      </c>
      <c r="AF126" s="160">
        <f>IF('Sites'!$D$6="NM crew",S126*SUM('NM Play'!$B$24:$B$25),0)</f>
        <v/>
      </c>
      <c r="AG126" s="160">
        <f>IF('Sites'!$D$6="NM crew",S126*'NM Play'!$B$27,0)</f>
        <v/>
      </c>
      <c r="AH126" s="160">
        <f>N126*'Sites'!$Z$6*'NM Play'!$B$32</f>
        <v/>
      </c>
      <c r="AI126" s="160">
        <f>SUM(Y126:Z126)*'Sites'!$R$6</f>
        <v/>
      </c>
      <c r="AJ126" s="160">
        <f>SUM(AA126:AH126)</f>
        <v/>
      </c>
      <c r="AK126" s="160">
        <f>AJ126+(T126-U126)*'NM Play'!$B$22+MIN(G126,N126*'NM Play'!$B$11)/'NM Play'!$B$13*'NM Play'!$B$21*'NM Play'!$B$22+MIN(H126,N126*'NM Play'!$B$12)/'NM Play'!$B$14*IF('Sites'!$C$6="Own sheets",'NM Play'!$B$21*'NM Play'!$B$22,'NM Play'!$B$28*'NM Play'!$B$14/'NM Play'!$B$12)</f>
        <v/>
      </c>
      <c r="AL126" s="160">
        <f>Y126*'Assumptions'!P66</f>
        <v/>
      </c>
      <c r="AM126" s="160">
        <f>IF('Sites'!$D$6="NM crew",S126*'NM Play'!$B$37*(1+IF(AND(ISNUMBER('NM Play'!$B$25),'NM Play'!$B$25&gt;0),1,0)),"")</f>
        <v/>
      </c>
      <c r="AN126" s="160">
        <f>IF(OR('Sites'!$E$6&lt;0,'Sites'!$E$6&gt;1,'Sites'!$F$6&lt;1,'Sites'!$G$6&lt;'Sites'!$F$6,F126&lt;0,MIN('Sites'!$I$6:'Sites'!$R$6)&lt;0,'Sites'!$L$6&gt;'Sites'!$I$6,'Sites'!$M$6&gt;'Sites'!$J$6,'Sites'!$N$6&gt;'Sites'!$K$6,'Sites'!$Z$6&lt;0,'Sites'!$Z$6&gt;1,MIN('Sites'!$AA$6:'Sites'!$AC$6)&lt;0,S126&gt;F126+0.001),1,0)</f>
        <v/>
      </c>
      <c r="AO126" s="160">
        <f>I126+U126-T126-X126</f>
        <v/>
      </c>
    </row>
    <row r="127" ht="28" customHeight="1">
      <c r="A127" s="4" t="inlineStr">
        <is>
          <t>Smaller</t>
        </is>
      </c>
      <c r="B127" s="4" t="inlineStr">
        <is>
          <t>WITTA</t>
        </is>
      </c>
      <c r="C127" s="160" t="n">
        <v>14</v>
      </c>
      <c r="D127" s="160">
        <f>ROUNDUP(C127/12,0)</f>
        <v/>
      </c>
      <c r="E127" s="160">
        <f>IF(AND('Sites'!$E$6=1,C127&gt;='Sites'!$F$6,C127&lt;='Sites'!$G$6),1,0)</f>
        <v/>
      </c>
      <c r="F127" s="160">
        <f>E127*'Assumptions'!Q67</f>
        <v/>
      </c>
      <c r="G127" s="160">
        <f>V126</f>
        <v/>
      </c>
      <c r="H127" s="160">
        <f>W126</f>
        <v/>
      </c>
      <c r="I127" s="160">
        <f>X126</f>
        <v/>
      </c>
      <c r="J127" s="160">
        <f>MAX(0,'Sites'!$J$6-SUM(N126:N126))</f>
        <v/>
      </c>
      <c r="K127" s="160">
        <f>IF('Sites'!$C$6="Own sheets",MIN(ROUNDDOWN(G127/'NM Play'!$B$11,0)+F127*'NM Play'!$B$10/'NM Play'!$B$43,ROUNDDOWN(H127/'NM Play'!$B$12,0)+F127*'NM Play'!$B$10/'NM Play'!$B$44,(F127*'NM Play'!$B$10+ROUNDDOWN(G127/'NM Play'!$B$11,0)*'NM Play'!$B$43+ROUNDDOWN(H127/'NM Play'!$B$12,0)*'NM Play'!$B$44)/('NM Play'!$B$43+'NM Play'!$B$44)),ROUNDDOWN(G127/'NM Play'!$B$11,0)+F127*'NM Play'!$B$10/'NM Play'!$B$43)</f>
        <v/>
      </c>
      <c r="L127" s="160">
        <f>MIN(ROUNDDOWN(G127/'NM Play'!$B$11,0)+F127/('NM Play'!$B$43/'NM Play'!$B$15),ROUNDDOWN(H127/'NM Play'!$B$12,0)+F127/('NM Play'!$B$44/'NM Play'!$B$16),(F127+ROUNDDOWN(G127/'NM Play'!$B$11,0)*'NM Play'!$B$43/'NM Play'!$B$15+ROUNDDOWN(H127/'NM Play'!$B$12,0)*'NM Play'!$B$44/'NM Play'!$B$16)/('NM Play'!$B$43/'NM Play'!$B$15+'NM Play'!$B$44/'NM Play'!$B$16))</f>
        <v/>
      </c>
      <c r="M127" s="160">
        <f>F127*'NM Play'!$B$36</f>
        <v/>
      </c>
      <c r="N127" s="160">
        <f>ROUNDDOWN(MAX(0,MIN(J127,K127:M127)),0)</f>
        <v/>
      </c>
      <c r="O127" s="160">
        <f>ROUNDUP(MAX(0,N127*'NM Play'!$B$11-G127)/'NM Play'!$B$13,0)</f>
        <v/>
      </c>
      <c r="P127" s="160">
        <f>ROUNDUP(MAX(0,N127*'NM Play'!$B$12-H127)/'NM Play'!$B$14,0)</f>
        <v/>
      </c>
      <c r="Q127" s="160">
        <f>(O127+IF('Sites'!$C$6="Own sheets",P127,0))/'NM Play'!$B$10</f>
        <v/>
      </c>
      <c r="R127" s="160">
        <f>O127/'NM Play'!$B$15+P127/'NM Play'!$B$16</f>
        <v/>
      </c>
      <c r="S127" s="160">
        <f>MAX(Q127,R127,N127/'NM Play'!$B$36)</f>
        <v/>
      </c>
      <c r="T127" s="160">
        <f>Q127*'NM Play'!$B$10*'NM Play'!$B$21*(1+'NM Play'!$B$35)</f>
        <v/>
      </c>
      <c r="U127" s="160">
        <f>MAX(0,T127-I127)</f>
        <v/>
      </c>
      <c r="V127" s="160">
        <f>G127+O127*'NM Play'!$B$13-N127*'NM Play'!$B$11</f>
        <v/>
      </c>
      <c r="W127" s="160">
        <f>H127+P127*'NM Play'!$B$14-N127*'NM Play'!$B$12</f>
        <v/>
      </c>
      <c r="X127" s="160">
        <f>I127+U127-T127</f>
        <v/>
      </c>
      <c r="Y127" s="160">
        <f>MIN(N127,MAX(0,ROUNDDOWN('Sites'!$M$6*'Cases'!$E$7,0)-SUM(Y126:Y126)))</f>
        <v/>
      </c>
      <c r="Z127" s="160">
        <f>N127-Y127</f>
        <v/>
      </c>
      <c r="AA127" s="160">
        <f>U127*'NM Play'!$B$22</f>
        <v/>
      </c>
      <c r="AB127" s="160">
        <f>N127*SUM('NM Play'!$B$29:$B$31)</f>
        <v/>
      </c>
      <c r="AC127" s="160">
        <f>IF('Sites'!$C$6="Defy legs",P127*'NM Play'!$B$14/'NM Play'!$B$12*'NM Play'!$B$28,0)</f>
        <v/>
      </c>
      <c r="AD127" s="160">
        <f>Q127*'NM Play'!$B$23</f>
        <v/>
      </c>
      <c r="AE127" s="160">
        <f>S127*SUM('NM Play'!$B$26,'NM Play'!$B$33:$B$34)</f>
        <v/>
      </c>
      <c r="AF127" s="160">
        <f>IF('Sites'!$D$6="NM crew",S127*SUM('NM Play'!$B$24:$B$25),0)</f>
        <v/>
      </c>
      <c r="AG127" s="160">
        <f>IF('Sites'!$D$6="NM crew",S127*'NM Play'!$B$27,0)</f>
        <v/>
      </c>
      <c r="AH127" s="160">
        <f>N127*'Sites'!$Z$6*'NM Play'!$B$32</f>
        <v/>
      </c>
      <c r="AI127" s="160">
        <f>SUM(Y127:Z127)*'Sites'!$R$6</f>
        <v/>
      </c>
      <c r="AJ127" s="160">
        <f>SUM(AA127:AH127)</f>
        <v/>
      </c>
      <c r="AK127" s="160">
        <f>AJ127+(T127-U127)*'NM Play'!$B$22+MIN(G127,N127*'NM Play'!$B$11)/'NM Play'!$B$13*'NM Play'!$B$21*'NM Play'!$B$22+MIN(H127,N127*'NM Play'!$B$12)/'NM Play'!$B$14*IF('Sites'!$C$6="Own sheets",'NM Play'!$B$21*'NM Play'!$B$22,'NM Play'!$B$28*'NM Play'!$B$14/'NM Play'!$B$12)</f>
        <v/>
      </c>
      <c r="AL127" s="160">
        <f>Y127*'Assumptions'!Q66</f>
        <v/>
      </c>
      <c r="AM127" s="160">
        <f>IF('Sites'!$D$6="NM crew",S127*'NM Play'!$B$37*(1+IF(AND(ISNUMBER('NM Play'!$B$25),'NM Play'!$B$25&gt;0),1,0)),"")</f>
        <v/>
      </c>
      <c r="AN127" s="160">
        <f>IF(OR('Sites'!$E$6&lt;0,'Sites'!$E$6&gt;1,'Sites'!$F$6&lt;1,'Sites'!$G$6&lt;'Sites'!$F$6,F127&lt;0,MIN('Sites'!$I$6:'Sites'!$R$6)&lt;0,'Sites'!$L$6&gt;'Sites'!$I$6,'Sites'!$M$6&gt;'Sites'!$J$6,'Sites'!$N$6&gt;'Sites'!$K$6,'Sites'!$Z$6&lt;0,'Sites'!$Z$6&gt;1,MIN('Sites'!$AA$6:'Sites'!$AC$6)&lt;0,S127&gt;F127+0.001),1,0)</f>
        <v/>
      </c>
      <c r="AO127" s="160">
        <f>I127+U127-T127-X127</f>
        <v/>
      </c>
    </row>
    <row r="128" ht="28" customHeight="1">
      <c r="A128" s="4" t="inlineStr">
        <is>
          <t>Smaller</t>
        </is>
      </c>
      <c r="B128" s="4" t="inlineStr">
        <is>
          <t>WITTA</t>
        </is>
      </c>
      <c r="C128" s="160" t="n">
        <v>15</v>
      </c>
      <c r="D128" s="160">
        <f>ROUNDUP(C128/12,0)</f>
        <v/>
      </c>
      <c r="E128" s="160">
        <f>IF(AND('Sites'!$E$6=1,C128&gt;='Sites'!$F$6,C128&lt;='Sites'!$G$6),1,0)</f>
        <v/>
      </c>
      <c r="F128" s="160">
        <f>E128*'Assumptions'!R67</f>
        <v/>
      </c>
      <c r="G128" s="160">
        <f>V127</f>
        <v/>
      </c>
      <c r="H128" s="160">
        <f>W127</f>
        <v/>
      </c>
      <c r="I128" s="160">
        <f>X127</f>
        <v/>
      </c>
      <c r="J128" s="160">
        <f>MAX(0,'Sites'!$J$6-SUM(N126:N127))</f>
        <v/>
      </c>
      <c r="K128" s="160">
        <f>IF('Sites'!$C$6="Own sheets",MIN(ROUNDDOWN(G128/'NM Play'!$B$11,0)+F128*'NM Play'!$B$10/'NM Play'!$B$43,ROUNDDOWN(H128/'NM Play'!$B$12,0)+F128*'NM Play'!$B$10/'NM Play'!$B$44,(F128*'NM Play'!$B$10+ROUNDDOWN(G128/'NM Play'!$B$11,0)*'NM Play'!$B$43+ROUNDDOWN(H128/'NM Play'!$B$12,0)*'NM Play'!$B$44)/('NM Play'!$B$43+'NM Play'!$B$44)),ROUNDDOWN(G128/'NM Play'!$B$11,0)+F128*'NM Play'!$B$10/'NM Play'!$B$43)</f>
        <v/>
      </c>
      <c r="L128" s="160">
        <f>MIN(ROUNDDOWN(G128/'NM Play'!$B$11,0)+F128/('NM Play'!$B$43/'NM Play'!$B$15),ROUNDDOWN(H128/'NM Play'!$B$12,0)+F128/('NM Play'!$B$44/'NM Play'!$B$16),(F128+ROUNDDOWN(G128/'NM Play'!$B$11,0)*'NM Play'!$B$43/'NM Play'!$B$15+ROUNDDOWN(H128/'NM Play'!$B$12,0)*'NM Play'!$B$44/'NM Play'!$B$16)/('NM Play'!$B$43/'NM Play'!$B$15+'NM Play'!$B$44/'NM Play'!$B$16))</f>
        <v/>
      </c>
      <c r="M128" s="160">
        <f>F128*'NM Play'!$B$36</f>
        <v/>
      </c>
      <c r="N128" s="160">
        <f>ROUNDDOWN(MAX(0,MIN(J128,K128:M128)),0)</f>
        <v/>
      </c>
      <c r="O128" s="160">
        <f>ROUNDUP(MAX(0,N128*'NM Play'!$B$11-G128)/'NM Play'!$B$13,0)</f>
        <v/>
      </c>
      <c r="P128" s="160">
        <f>ROUNDUP(MAX(0,N128*'NM Play'!$B$12-H128)/'NM Play'!$B$14,0)</f>
        <v/>
      </c>
      <c r="Q128" s="160">
        <f>(O128+IF('Sites'!$C$6="Own sheets",P128,0))/'NM Play'!$B$10</f>
        <v/>
      </c>
      <c r="R128" s="160">
        <f>O128/'NM Play'!$B$15+P128/'NM Play'!$B$16</f>
        <v/>
      </c>
      <c r="S128" s="160">
        <f>MAX(Q128,R128,N128/'NM Play'!$B$36)</f>
        <v/>
      </c>
      <c r="T128" s="160">
        <f>Q128*'NM Play'!$B$10*'NM Play'!$B$21*(1+'NM Play'!$B$35)</f>
        <v/>
      </c>
      <c r="U128" s="160">
        <f>MAX(0,T128-I128)</f>
        <v/>
      </c>
      <c r="V128" s="160">
        <f>G128+O128*'NM Play'!$B$13-N128*'NM Play'!$B$11</f>
        <v/>
      </c>
      <c r="W128" s="160">
        <f>H128+P128*'NM Play'!$B$14-N128*'NM Play'!$B$12</f>
        <v/>
      </c>
      <c r="X128" s="160">
        <f>I128+U128-T128</f>
        <v/>
      </c>
      <c r="Y128" s="160">
        <f>MIN(N128,MAX(0,ROUNDDOWN('Sites'!$M$6*'Cases'!$E$7,0)-SUM(Y126:Y127)))</f>
        <v/>
      </c>
      <c r="Z128" s="160">
        <f>N128-Y128</f>
        <v/>
      </c>
      <c r="AA128" s="160">
        <f>U128*'NM Play'!$B$22</f>
        <v/>
      </c>
      <c r="AB128" s="160">
        <f>N128*SUM('NM Play'!$B$29:$B$31)</f>
        <v/>
      </c>
      <c r="AC128" s="160">
        <f>IF('Sites'!$C$6="Defy legs",P128*'NM Play'!$B$14/'NM Play'!$B$12*'NM Play'!$B$28,0)</f>
        <v/>
      </c>
      <c r="AD128" s="160">
        <f>Q128*'NM Play'!$B$23</f>
        <v/>
      </c>
      <c r="AE128" s="160">
        <f>S128*SUM('NM Play'!$B$26,'NM Play'!$B$33:$B$34)</f>
        <v/>
      </c>
      <c r="AF128" s="160">
        <f>IF('Sites'!$D$6="NM crew",S128*SUM('NM Play'!$B$24:$B$25),0)</f>
        <v/>
      </c>
      <c r="AG128" s="160">
        <f>IF('Sites'!$D$6="NM crew",S128*'NM Play'!$B$27,0)</f>
        <v/>
      </c>
      <c r="AH128" s="160">
        <f>N128*'Sites'!$Z$6*'NM Play'!$B$32</f>
        <v/>
      </c>
      <c r="AI128" s="160">
        <f>SUM(Y128:Z128)*'Sites'!$R$6</f>
        <v/>
      </c>
      <c r="AJ128" s="160">
        <f>SUM(AA128:AH128)</f>
        <v/>
      </c>
      <c r="AK128" s="160">
        <f>AJ128+(T128-U128)*'NM Play'!$B$22+MIN(G128,N128*'NM Play'!$B$11)/'NM Play'!$B$13*'NM Play'!$B$21*'NM Play'!$B$22+MIN(H128,N128*'NM Play'!$B$12)/'NM Play'!$B$14*IF('Sites'!$C$6="Own sheets",'NM Play'!$B$21*'NM Play'!$B$22,'NM Play'!$B$28*'NM Play'!$B$14/'NM Play'!$B$12)</f>
        <v/>
      </c>
      <c r="AL128" s="160">
        <f>Y128*'Assumptions'!R66</f>
        <v/>
      </c>
      <c r="AM128" s="160">
        <f>IF('Sites'!$D$6="NM crew",S128*'NM Play'!$B$37*(1+IF(AND(ISNUMBER('NM Play'!$B$25),'NM Play'!$B$25&gt;0),1,0)),"")</f>
        <v/>
      </c>
      <c r="AN128" s="160">
        <f>IF(OR('Sites'!$E$6&lt;0,'Sites'!$E$6&gt;1,'Sites'!$F$6&lt;1,'Sites'!$G$6&lt;'Sites'!$F$6,F128&lt;0,MIN('Sites'!$I$6:'Sites'!$R$6)&lt;0,'Sites'!$L$6&gt;'Sites'!$I$6,'Sites'!$M$6&gt;'Sites'!$J$6,'Sites'!$N$6&gt;'Sites'!$K$6,'Sites'!$Z$6&lt;0,'Sites'!$Z$6&gt;1,MIN('Sites'!$AA$6:'Sites'!$AC$6)&lt;0,S128&gt;F128+0.001),1,0)</f>
        <v/>
      </c>
      <c r="AO128" s="160">
        <f>I128+U128-T128-X128</f>
        <v/>
      </c>
    </row>
    <row r="129" ht="28" customHeight="1">
      <c r="A129" s="4" t="inlineStr">
        <is>
          <t>Smaller</t>
        </is>
      </c>
      <c r="B129" s="4" t="inlineStr">
        <is>
          <t>WITTA</t>
        </is>
      </c>
      <c r="C129" s="160" t="n">
        <v>16</v>
      </c>
      <c r="D129" s="160">
        <f>ROUNDUP(C129/12,0)</f>
        <v/>
      </c>
      <c r="E129" s="160">
        <f>IF(AND('Sites'!$E$6=1,C129&gt;='Sites'!$F$6,C129&lt;='Sites'!$G$6),1,0)</f>
        <v/>
      </c>
      <c r="F129" s="160">
        <f>E129*'Assumptions'!S67</f>
        <v/>
      </c>
      <c r="G129" s="160">
        <f>V128</f>
        <v/>
      </c>
      <c r="H129" s="160">
        <f>W128</f>
        <v/>
      </c>
      <c r="I129" s="160">
        <f>X128</f>
        <v/>
      </c>
      <c r="J129" s="160">
        <f>MAX(0,'Sites'!$J$6-SUM(N126:N128))</f>
        <v/>
      </c>
      <c r="K129" s="160">
        <f>IF('Sites'!$C$6="Own sheets",MIN(ROUNDDOWN(G129/'NM Play'!$B$11,0)+F129*'NM Play'!$B$10/'NM Play'!$B$43,ROUNDDOWN(H129/'NM Play'!$B$12,0)+F129*'NM Play'!$B$10/'NM Play'!$B$44,(F129*'NM Play'!$B$10+ROUNDDOWN(G129/'NM Play'!$B$11,0)*'NM Play'!$B$43+ROUNDDOWN(H129/'NM Play'!$B$12,0)*'NM Play'!$B$44)/('NM Play'!$B$43+'NM Play'!$B$44)),ROUNDDOWN(G129/'NM Play'!$B$11,0)+F129*'NM Play'!$B$10/'NM Play'!$B$43)</f>
        <v/>
      </c>
      <c r="L129" s="160">
        <f>MIN(ROUNDDOWN(G129/'NM Play'!$B$11,0)+F129/('NM Play'!$B$43/'NM Play'!$B$15),ROUNDDOWN(H129/'NM Play'!$B$12,0)+F129/('NM Play'!$B$44/'NM Play'!$B$16),(F129+ROUNDDOWN(G129/'NM Play'!$B$11,0)*'NM Play'!$B$43/'NM Play'!$B$15+ROUNDDOWN(H129/'NM Play'!$B$12,0)*'NM Play'!$B$44/'NM Play'!$B$16)/('NM Play'!$B$43/'NM Play'!$B$15+'NM Play'!$B$44/'NM Play'!$B$16))</f>
        <v/>
      </c>
      <c r="M129" s="160">
        <f>F129*'NM Play'!$B$36</f>
        <v/>
      </c>
      <c r="N129" s="160">
        <f>ROUNDDOWN(MAX(0,MIN(J129,K129:M129)),0)</f>
        <v/>
      </c>
      <c r="O129" s="160">
        <f>ROUNDUP(MAX(0,N129*'NM Play'!$B$11-G129)/'NM Play'!$B$13,0)</f>
        <v/>
      </c>
      <c r="P129" s="160">
        <f>ROUNDUP(MAX(0,N129*'NM Play'!$B$12-H129)/'NM Play'!$B$14,0)</f>
        <v/>
      </c>
      <c r="Q129" s="160">
        <f>(O129+IF('Sites'!$C$6="Own sheets",P129,0))/'NM Play'!$B$10</f>
        <v/>
      </c>
      <c r="R129" s="160">
        <f>O129/'NM Play'!$B$15+P129/'NM Play'!$B$16</f>
        <v/>
      </c>
      <c r="S129" s="160">
        <f>MAX(Q129,R129,N129/'NM Play'!$B$36)</f>
        <v/>
      </c>
      <c r="T129" s="160">
        <f>Q129*'NM Play'!$B$10*'NM Play'!$B$21*(1+'NM Play'!$B$35)</f>
        <v/>
      </c>
      <c r="U129" s="160">
        <f>MAX(0,T129-I129)</f>
        <v/>
      </c>
      <c r="V129" s="160">
        <f>G129+O129*'NM Play'!$B$13-N129*'NM Play'!$B$11</f>
        <v/>
      </c>
      <c r="W129" s="160">
        <f>H129+P129*'NM Play'!$B$14-N129*'NM Play'!$B$12</f>
        <v/>
      </c>
      <c r="X129" s="160">
        <f>I129+U129-T129</f>
        <v/>
      </c>
      <c r="Y129" s="160">
        <f>MIN(N129,MAX(0,ROUNDDOWN('Sites'!$M$6*'Cases'!$E$7,0)-SUM(Y126:Y128)))</f>
        <v/>
      </c>
      <c r="Z129" s="160">
        <f>N129-Y129</f>
        <v/>
      </c>
      <c r="AA129" s="160">
        <f>U129*'NM Play'!$B$22</f>
        <v/>
      </c>
      <c r="AB129" s="160">
        <f>N129*SUM('NM Play'!$B$29:$B$31)</f>
        <v/>
      </c>
      <c r="AC129" s="160">
        <f>IF('Sites'!$C$6="Defy legs",P129*'NM Play'!$B$14/'NM Play'!$B$12*'NM Play'!$B$28,0)</f>
        <v/>
      </c>
      <c r="AD129" s="160">
        <f>Q129*'NM Play'!$B$23</f>
        <v/>
      </c>
      <c r="AE129" s="160">
        <f>S129*SUM('NM Play'!$B$26,'NM Play'!$B$33:$B$34)</f>
        <v/>
      </c>
      <c r="AF129" s="160">
        <f>IF('Sites'!$D$6="NM crew",S129*SUM('NM Play'!$B$24:$B$25),0)</f>
        <v/>
      </c>
      <c r="AG129" s="160">
        <f>IF('Sites'!$D$6="NM crew",S129*'NM Play'!$B$27,0)</f>
        <v/>
      </c>
      <c r="AH129" s="160">
        <f>N129*'Sites'!$Z$6*'NM Play'!$B$32</f>
        <v/>
      </c>
      <c r="AI129" s="160">
        <f>SUM(Y129:Z129)*'Sites'!$R$6</f>
        <v/>
      </c>
      <c r="AJ129" s="160">
        <f>SUM(AA129:AH129)</f>
        <v/>
      </c>
      <c r="AK129" s="160">
        <f>AJ129+(T129-U129)*'NM Play'!$B$22+MIN(G129,N129*'NM Play'!$B$11)/'NM Play'!$B$13*'NM Play'!$B$21*'NM Play'!$B$22+MIN(H129,N129*'NM Play'!$B$12)/'NM Play'!$B$14*IF('Sites'!$C$6="Own sheets",'NM Play'!$B$21*'NM Play'!$B$22,'NM Play'!$B$28*'NM Play'!$B$14/'NM Play'!$B$12)</f>
        <v/>
      </c>
      <c r="AL129" s="160">
        <f>Y129*'Assumptions'!S66</f>
        <v/>
      </c>
      <c r="AM129" s="160">
        <f>IF('Sites'!$D$6="NM crew",S129*'NM Play'!$B$37*(1+IF(AND(ISNUMBER('NM Play'!$B$25),'NM Play'!$B$25&gt;0),1,0)),"")</f>
        <v/>
      </c>
      <c r="AN129" s="160">
        <f>IF(OR('Sites'!$E$6&lt;0,'Sites'!$E$6&gt;1,'Sites'!$F$6&lt;1,'Sites'!$G$6&lt;'Sites'!$F$6,F129&lt;0,MIN('Sites'!$I$6:'Sites'!$R$6)&lt;0,'Sites'!$L$6&gt;'Sites'!$I$6,'Sites'!$M$6&gt;'Sites'!$J$6,'Sites'!$N$6&gt;'Sites'!$K$6,'Sites'!$Z$6&lt;0,'Sites'!$Z$6&gt;1,MIN('Sites'!$AA$6:'Sites'!$AC$6)&lt;0,S129&gt;F129+0.001),1,0)</f>
        <v/>
      </c>
      <c r="AO129" s="160">
        <f>I129+U129-T129-X129</f>
        <v/>
      </c>
    </row>
    <row r="130" ht="28" customHeight="1">
      <c r="A130" s="4" t="inlineStr">
        <is>
          <t>Smaller</t>
        </is>
      </c>
      <c r="B130" s="4" t="inlineStr">
        <is>
          <t>WITTA</t>
        </is>
      </c>
      <c r="C130" s="160" t="n">
        <v>17</v>
      </c>
      <c r="D130" s="160">
        <f>ROUNDUP(C130/12,0)</f>
        <v/>
      </c>
      <c r="E130" s="160">
        <f>IF(AND('Sites'!$E$6=1,C130&gt;='Sites'!$F$6,C130&lt;='Sites'!$G$6),1,0)</f>
        <v/>
      </c>
      <c r="F130" s="160">
        <f>E130*'Assumptions'!T67</f>
        <v/>
      </c>
      <c r="G130" s="160">
        <f>V129</f>
        <v/>
      </c>
      <c r="H130" s="160">
        <f>W129</f>
        <v/>
      </c>
      <c r="I130" s="160">
        <f>X129</f>
        <v/>
      </c>
      <c r="J130" s="160">
        <f>MAX(0,'Sites'!$J$6-SUM(N126:N129))</f>
        <v/>
      </c>
      <c r="K130" s="160">
        <f>IF('Sites'!$C$6="Own sheets",MIN(ROUNDDOWN(G130/'NM Play'!$B$11,0)+F130*'NM Play'!$B$10/'NM Play'!$B$43,ROUNDDOWN(H130/'NM Play'!$B$12,0)+F130*'NM Play'!$B$10/'NM Play'!$B$44,(F130*'NM Play'!$B$10+ROUNDDOWN(G130/'NM Play'!$B$11,0)*'NM Play'!$B$43+ROUNDDOWN(H130/'NM Play'!$B$12,0)*'NM Play'!$B$44)/('NM Play'!$B$43+'NM Play'!$B$44)),ROUNDDOWN(G130/'NM Play'!$B$11,0)+F130*'NM Play'!$B$10/'NM Play'!$B$43)</f>
        <v/>
      </c>
      <c r="L130" s="160">
        <f>MIN(ROUNDDOWN(G130/'NM Play'!$B$11,0)+F130/('NM Play'!$B$43/'NM Play'!$B$15),ROUNDDOWN(H130/'NM Play'!$B$12,0)+F130/('NM Play'!$B$44/'NM Play'!$B$16),(F130+ROUNDDOWN(G130/'NM Play'!$B$11,0)*'NM Play'!$B$43/'NM Play'!$B$15+ROUNDDOWN(H130/'NM Play'!$B$12,0)*'NM Play'!$B$44/'NM Play'!$B$16)/('NM Play'!$B$43/'NM Play'!$B$15+'NM Play'!$B$44/'NM Play'!$B$16))</f>
        <v/>
      </c>
      <c r="M130" s="160">
        <f>F130*'NM Play'!$B$36</f>
        <v/>
      </c>
      <c r="N130" s="160">
        <f>ROUNDDOWN(MAX(0,MIN(J130,K130:M130)),0)</f>
        <v/>
      </c>
      <c r="O130" s="160">
        <f>ROUNDUP(MAX(0,N130*'NM Play'!$B$11-G130)/'NM Play'!$B$13,0)</f>
        <v/>
      </c>
      <c r="P130" s="160">
        <f>ROUNDUP(MAX(0,N130*'NM Play'!$B$12-H130)/'NM Play'!$B$14,0)</f>
        <v/>
      </c>
      <c r="Q130" s="160">
        <f>(O130+IF('Sites'!$C$6="Own sheets",P130,0))/'NM Play'!$B$10</f>
        <v/>
      </c>
      <c r="R130" s="160">
        <f>O130/'NM Play'!$B$15+P130/'NM Play'!$B$16</f>
        <v/>
      </c>
      <c r="S130" s="160">
        <f>MAX(Q130,R130,N130/'NM Play'!$B$36)</f>
        <v/>
      </c>
      <c r="T130" s="160">
        <f>Q130*'NM Play'!$B$10*'NM Play'!$B$21*(1+'NM Play'!$B$35)</f>
        <v/>
      </c>
      <c r="U130" s="160">
        <f>MAX(0,T130-I130)</f>
        <v/>
      </c>
      <c r="V130" s="160">
        <f>G130+O130*'NM Play'!$B$13-N130*'NM Play'!$B$11</f>
        <v/>
      </c>
      <c r="W130" s="160">
        <f>H130+P130*'NM Play'!$B$14-N130*'NM Play'!$B$12</f>
        <v/>
      </c>
      <c r="X130" s="160">
        <f>I130+U130-T130</f>
        <v/>
      </c>
      <c r="Y130" s="160">
        <f>MIN(N130,MAX(0,ROUNDDOWN('Sites'!$M$6*'Cases'!$E$7,0)-SUM(Y126:Y129)))</f>
        <v/>
      </c>
      <c r="Z130" s="160">
        <f>N130-Y130</f>
        <v/>
      </c>
      <c r="AA130" s="160">
        <f>U130*'NM Play'!$B$22</f>
        <v/>
      </c>
      <c r="AB130" s="160">
        <f>N130*SUM('NM Play'!$B$29:$B$31)</f>
        <v/>
      </c>
      <c r="AC130" s="160">
        <f>IF('Sites'!$C$6="Defy legs",P130*'NM Play'!$B$14/'NM Play'!$B$12*'NM Play'!$B$28,0)</f>
        <v/>
      </c>
      <c r="AD130" s="160">
        <f>Q130*'NM Play'!$B$23</f>
        <v/>
      </c>
      <c r="AE130" s="160">
        <f>S130*SUM('NM Play'!$B$26,'NM Play'!$B$33:$B$34)</f>
        <v/>
      </c>
      <c r="AF130" s="160">
        <f>IF('Sites'!$D$6="NM crew",S130*SUM('NM Play'!$B$24:$B$25),0)</f>
        <v/>
      </c>
      <c r="AG130" s="160">
        <f>IF('Sites'!$D$6="NM crew",S130*'NM Play'!$B$27,0)</f>
        <v/>
      </c>
      <c r="AH130" s="160">
        <f>N130*'Sites'!$Z$6*'NM Play'!$B$32</f>
        <v/>
      </c>
      <c r="AI130" s="160">
        <f>SUM(Y130:Z130)*'Sites'!$R$6</f>
        <v/>
      </c>
      <c r="AJ130" s="160">
        <f>SUM(AA130:AH130)</f>
        <v/>
      </c>
      <c r="AK130" s="160">
        <f>AJ130+(T130-U130)*'NM Play'!$B$22+MIN(G130,N130*'NM Play'!$B$11)/'NM Play'!$B$13*'NM Play'!$B$21*'NM Play'!$B$22+MIN(H130,N130*'NM Play'!$B$12)/'NM Play'!$B$14*IF('Sites'!$C$6="Own sheets",'NM Play'!$B$21*'NM Play'!$B$22,'NM Play'!$B$28*'NM Play'!$B$14/'NM Play'!$B$12)</f>
        <v/>
      </c>
      <c r="AL130" s="160">
        <f>Y130*'Assumptions'!T66</f>
        <v/>
      </c>
      <c r="AM130" s="160">
        <f>IF('Sites'!$D$6="NM crew",S130*'NM Play'!$B$37*(1+IF(AND(ISNUMBER('NM Play'!$B$25),'NM Play'!$B$25&gt;0),1,0)),"")</f>
        <v/>
      </c>
      <c r="AN130" s="160">
        <f>IF(OR('Sites'!$E$6&lt;0,'Sites'!$E$6&gt;1,'Sites'!$F$6&lt;1,'Sites'!$G$6&lt;'Sites'!$F$6,F130&lt;0,MIN('Sites'!$I$6:'Sites'!$R$6)&lt;0,'Sites'!$L$6&gt;'Sites'!$I$6,'Sites'!$M$6&gt;'Sites'!$J$6,'Sites'!$N$6&gt;'Sites'!$K$6,'Sites'!$Z$6&lt;0,'Sites'!$Z$6&gt;1,MIN('Sites'!$AA$6:'Sites'!$AC$6)&lt;0,S130&gt;F130+0.001),1,0)</f>
        <v/>
      </c>
      <c r="AO130" s="160">
        <f>I130+U130-T130-X130</f>
        <v/>
      </c>
    </row>
    <row r="131" ht="28" customHeight="1">
      <c r="A131" s="4" t="inlineStr">
        <is>
          <t>Smaller</t>
        </is>
      </c>
      <c r="B131" s="4" t="inlineStr">
        <is>
          <t>WITTA</t>
        </is>
      </c>
      <c r="C131" s="160" t="n">
        <v>18</v>
      </c>
      <c r="D131" s="160">
        <f>ROUNDUP(C131/12,0)</f>
        <v/>
      </c>
      <c r="E131" s="160">
        <f>IF(AND('Sites'!$E$6=1,C131&gt;='Sites'!$F$6,C131&lt;='Sites'!$G$6),1,0)</f>
        <v/>
      </c>
      <c r="F131" s="160">
        <f>E131*'Assumptions'!U67</f>
        <v/>
      </c>
      <c r="G131" s="160">
        <f>V130</f>
        <v/>
      </c>
      <c r="H131" s="160">
        <f>W130</f>
        <v/>
      </c>
      <c r="I131" s="160">
        <f>X130</f>
        <v/>
      </c>
      <c r="J131" s="160">
        <f>MAX(0,'Sites'!$J$6-SUM(N126:N130))</f>
        <v/>
      </c>
      <c r="K131" s="160">
        <f>IF('Sites'!$C$6="Own sheets",MIN(ROUNDDOWN(G131/'NM Play'!$B$11,0)+F131*'NM Play'!$B$10/'NM Play'!$B$43,ROUNDDOWN(H131/'NM Play'!$B$12,0)+F131*'NM Play'!$B$10/'NM Play'!$B$44,(F131*'NM Play'!$B$10+ROUNDDOWN(G131/'NM Play'!$B$11,0)*'NM Play'!$B$43+ROUNDDOWN(H131/'NM Play'!$B$12,0)*'NM Play'!$B$44)/('NM Play'!$B$43+'NM Play'!$B$44)),ROUNDDOWN(G131/'NM Play'!$B$11,0)+F131*'NM Play'!$B$10/'NM Play'!$B$43)</f>
        <v/>
      </c>
      <c r="L131" s="160">
        <f>MIN(ROUNDDOWN(G131/'NM Play'!$B$11,0)+F131/('NM Play'!$B$43/'NM Play'!$B$15),ROUNDDOWN(H131/'NM Play'!$B$12,0)+F131/('NM Play'!$B$44/'NM Play'!$B$16),(F131+ROUNDDOWN(G131/'NM Play'!$B$11,0)*'NM Play'!$B$43/'NM Play'!$B$15+ROUNDDOWN(H131/'NM Play'!$B$12,0)*'NM Play'!$B$44/'NM Play'!$B$16)/('NM Play'!$B$43/'NM Play'!$B$15+'NM Play'!$B$44/'NM Play'!$B$16))</f>
        <v/>
      </c>
      <c r="M131" s="160">
        <f>F131*'NM Play'!$B$36</f>
        <v/>
      </c>
      <c r="N131" s="160">
        <f>ROUNDDOWN(MAX(0,MIN(J131,K131:M131)),0)</f>
        <v/>
      </c>
      <c r="O131" s="160">
        <f>ROUNDUP(MAX(0,N131*'NM Play'!$B$11-G131)/'NM Play'!$B$13,0)</f>
        <v/>
      </c>
      <c r="P131" s="160">
        <f>ROUNDUP(MAX(0,N131*'NM Play'!$B$12-H131)/'NM Play'!$B$14,0)</f>
        <v/>
      </c>
      <c r="Q131" s="160">
        <f>(O131+IF('Sites'!$C$6="Own sheets",P131,0))/'NM Play'!$B$10</f>
        <v/>
      </c>
      <c r="R131" s="160">
        <f>O131/'NM Play'!$B$15+P131/'NM Play'!$B$16</f>
        <v/>
      </c>
      <c r="S131" s="160">
        <f>MAX(Q131,R131,N131/'NM Play'!$B$36)</f>
        <v/>
      </c>
      <c r="T131" s="160">
        <f>Q131*'NM Play'!$B$10*'NM Play'!$B$21*(1+'NM Play'!$B$35)</f>
        <v/>
      </c>
      <c r="U131" s="160">
        <f>MAX(0,T131-I131)</f>
        <v/>
      </c>
      <c r="V131" s="160">
        <f>G131+O131*'NM Play'!$B$13-N131*'NM Play'!$B$11</f>
        <v/>
      </c>
      <c r="W131" s="160">
        <f>H131+P131*'NM Play'!$B$14-N131*'NM Play'!$B$12</f>
        <v/>
      </c>
      <c r="X131" s="160">
        <f>I131+U131-T131</f>
        <v/>
      </c>
      <c r="Y131" s="160">
        <f>MIN(N131,MAX(0,ROUNDDOWN('Sites'!$M$6*'Cases'!$E$7,0)-SUM(Y126:Y130)))</f>
        <v/>
      </c>
      <c r="Z131" s="160">
        <f>N131-Y131</f>
        <v/>
      </c>
      <c r="AA131" s="160">
        <f>U131*'NM Play'!$B$22</f>
        <v/>
      </c>
      <c r="AB131" s="160">
        <f>N131*SUM('NM Play'!$B$29:$B$31)</f>
        <v/>
      </c>
      <c r="AC131" s="160">
        <f>IF('Sites'!$C$6="Defy legs",P131*'NM Play'!$B$14/'NM Play'!$B$12*'NM Play'!$B$28,0)</f>
        <v/>
      </c>
      <c r="AD131" s="160">
        <f>Q131*'NM Play'!$B$23</f>
        <v/>
      </c>
      <c r="AE131" s="160">
        <f>S131*SUM('NM Play'!$B$26,'NM Play'!$B$33:$B$34)</f>
        <v/>
      </c>
      <c r="AF131" s="160">
        <f>IF('Sites'!$D$6="NM crew",S131*SUM('NM Play'!$B$24:$B$25),0)</f>
        <v/>
      </c>
      <c r="AG131" s="160">
        <f>IF('Sites'!$D$6="NM crew",S131*'NM Play'!$B$27,0)</f>
        <v/>
      </c>
      <c r="AH131" s="160">
        <f>N131*'Sites'!$Z$6*'NM Play'!$B$32</f>
        <v/>
      </c>
      <c r="AI131" s="160">
        <f>SUM(Y131:Z131)*'Sites'!$R$6</f>
        <v/>
      </c>
      <c r="AJ131" s="160">
        <f>SUM(AA131:AH131)</f>
        <v/>
      </c>
      <c r="AK131" s="160">
        <f>AJ131+(T131-U131)*'NM Play'!$B$22+MIN(G131,N131*'NM Play'!$B$11)/'NM Play'!$B$13*'NM Play'!$B$21*'NM Play'!$B$22+MIN(H131,N131*'NM Play'!$B$12)/'NM Play'!$B$14*IF('Sites'!$C$6="Own sheets",'NM Play'!$B$21*'NM Play'!$B$22,'NM Play'!$B$28*'NM Play'!$B$14/'NM Play'!$B$12)</f>
        <v/>
      </c>
      <c r="AL131" s="160">
        <f>Y131*'Assumptions'!U66</f>
        <v/>
      </c>
      <c r="AM131" s="160">
        <f>IF('Sites'!$D$6="NM crew",S131*'NM Play'!$B$37*(1+IF(AND(ISNUMBER('NM Play'!$B$25),'NM Play'!$B$25&gt;0),1,0)),"")</f>
        <v/>
      </c>
      <c r="AN131" s="160">
        <f>IF(OR('Sites'!$E$6&lt;0,'Sites'!$E$6&gt;1,'Sites'!$F$6&lt;1,'Sites'!$G$6&lt;'Sites'!$F$6,F131&lt;0,MIN('Sites'!$I$6:'Sites'!$R$6)&lt;0,'Sites'!$L$6&gt;'Sites'!$I$6,'Sites'!$M$6&gt;'Sites'!$J$6,'Sites'!$N$6&gt;'Sites'!$K$6,'Sites'!$Z$6&lt;0,'Sites'!$Z$6&gt;1,MIN('Sites'!$AA$6:'Sites'!$AC$6)&lt;0,S131&gt;F131+0.001),1,0)</f>
        <v/>
      </c>
      <c r="AO131" s="160">
        <f>I131+U131-T131-X131</f>
        <v/>
      </c>
    </row>
    <row r="132" ht="28" customHeight="1">
      <c r="A132" s="4" t="inlineStr">
        <is>
          <t>Smaller</t>
        </is>
      </c>
      <c r="B132" s="4" t="inlineStr">
        <is>
          <t>WITTA</t>
        </is>
      </c>
      <c r="C132" s="160" t="n">
        <v>19</v>
      </c>
      <c r="D132" s="160">
        <f>ROUNDUP(C132/12,0)</f>
        <v/>
      </c>
      <c r="E132" s="160">
        <f>IF(AND('Sites'!$E$6=1,C132&gt;='Sites'!$F$6,C132&lt;='Sites'!$G$6),1,0)</f>
        <v/>
      </c>
      <c r="F132" s="160">
        <f>E132*'Assumptions'!V67</f>
        <v/>
      </c>
      <c r="G132" s="160">
        <f>V131</f>
        <v/>
      </c>
      <c r="H132" s="160">
        <f>W131</f>
        <v/>
      </c>
      <c r="I132" s="160">
        <f>X131</f>
        <v/>
      </c>
      <c r="J132" s="160">
        <f>MAX(0,'Sites'!$J$6-SUM(N126:N131))</f>
        <v/>
      </c>
      <c r="K132" s="160">
        <f>IF('Sites'!$C$6="Own sheets",MIN(ROUNDDOWN(G132/'NM Play'!$B$11,0)+F132*'NM Play'!$B$10/'NM Play'!$B$43,ROUNDDOWN(H132/'NM Play'!$B$12,0)+F132*'NM Play'!$B$10/'NM Play'!$B$44,(F132*'NM Play'!$B$10+ROUNDDOWN(G132/'NM Play'!$B$11,0)*'NM Play'!$B$43+ROUNDDOWN(H132/'NM Play'!$B$12,0)*'NM Play'!$B$44)/('NM Play'!$B$43+'NM Play'!$B$44)),ROUNDDOWN(G132/'NM Play'!$B$11,0)+F132*'NM Play'!$B$10/'NM Play'!$B$43)</f>
        <v/>
      </c>
      <c r="L132" s="160">
        <f>MIN(ROUNDDOWN(G132/'NM Play'!$B$11,0)+F132/('NM Play'!$B$43/'NM Play'!$B$15),ROUNDDOWN(H132/'NM Play'!$B$12,0)+F132/('NM Play'!$B$44/'NM Play'!$B$16),(F132+ROUNDDOWN(G132/'NM Play'!$B$11,0)*'NM Play'!$B$43/'NM Play'!$B$15+ROUNDDOWN(H132/'NM Play'!$B$12,0)*'NM Play'!$B$44/'NM Play'!$B$16)/('NM Play'!$B$43/'NM Play'!$B$15+'NM Play'!$B$44/'NM Play'!$B$16))</f>
        <v/>
      </c>
      <c r="M132" s="160">
        <f>F132*'NM Play'!$B$36</f>
        <v/>
      </c>
      <c r="N132" s="160">
        <f>ROUNDDOWN(MAX(0,MIN(J132,K132:M132)),0)</f>
        <v/>
      </c>
      <c r="O132" s="160">
        <f>ROUNDUP(MAX(0,N132*'NM Play'!$B$11-G132)/'NM Play'!$B$13,0)</f>
        <v/>
      </c>
      <c r="P132" s="160">
        <f>ROUNDUP(MAX(0,N132*'NM Play'!$B$12-H132)/'NM Play'!$B$14,0)</f>
        <v/>
      </c>
      <c r="Q132" s="160">
        <f>(O132+IF('Sites'!$C$6="Own sheets",P132,0))/'NM Play'!$B$10</f>
        <v/>
      </c>
      <c r="R132" s="160">
        <f>O132/'NM Play'!$B$15+P132/'NM Play'!$B$16</f>
        <v/>
      </c>
      <c r="S132" s="160">
        <f>MAX(Q132,R132,N132/'NM Play'!$B$36)</f>
        <v/>
      </c>
      <c r="T132" s="160">
        <f>Q132*'NM Play'!$B$10*'NM Play'!$B$21*(1+'NM Play'!$B$35)</f>
        <v/>
      </c>
      <c r="U132" s="160">
        <f>MAX(0,T132-I132)</f>
        <v/>
      </c>
      <c r="V132" s="160">
        <f>G132+O132*'NM Play'!$B$13-N132*'NM Play'!$B$11</f>
        <v/>
      </c>
      <c r="W132" s="160">
        <f>H132+P132*'NM Play'!$B$14-N132*'NM Play'!$B$12</f>
        <v/>
      </c>
      <c r="X132" s="160">
        <f>I132+U132-T132</f>
        <v/>
      </c>
      <c r="Y132" s="160">
        <f>MIN(N132,MAX(0,ROUNDDOWN('Sites'!$M$6*'Cases'!$E$7,0)-SUM(Y126:Y131)))</f>
        <v/>
      </c>
      <c r="Z132" s="160">
        <f>N132-Y132</f>
        <v/>
      </c>
      <c r="AA132" s="160">
        <f>U132*'NM Play'!$B$22</f>
        <v/>
      </c>
      <c r="AB132" s="160">
        <f>N132*SUM('NM Play'!$B$29:$B$31)</f>
        <v/>
      </c>
      <c r="AC132" s="160">
        <f>IF('Sites'!$C$6="Defy legs",P132*'NM Play'!$B$14/'NM Play'!$B$12*'NM Play'!$B$28,0)</f>
        <v/>
      </c>
      <c r="AD132" s="160">
        <f>Q132*'NM Play'!$B$23</f>
        <v/>
      </c>
      <c r="AE132" s="160">
        <f>S132*SUM('NM Play'!$B$26,'NM Play'!$B$33:$B$34)</f>
        <v/>
      </c>
      <c r="AF132" s="160">
        <f>IF('Sites'!$D$6="NM crew",S132*SUM('NM Play'!$B$24:$B$25),0)</f>
        <v/>
      </c>
      <c r="AG132" s="160">
        <f>IF('Sites'!$D$6="NM crew",S132*'NM Play'!$B$27,0)</f>
        <v/>
      </c>
      <c r="AH132" s="160">
        <f>N132*'Sites'!$Z$6*'NM Play'!$B$32</f>
        <v/>
      </c>
      <c r="AI132" s="160">
        <f>SUM(Y132:Z132)*'Sites'!$R$6</f>
        <v/>
      </c>
      <c r="AJ132" s="160">
        <f>SUM(AA132:AH132)</f>
        <v/>
      </c>
      <c r="AK132" s="160">
        <f>AJ132+(T132-U132)*'NM Play'!$B$22+MIN(G132,N132*'NM Play'!$B$11)/'NM Play'!$B$13*'NM Play'!$B$21*'NM Play'!$B$22+MIN(H132,N132*'NM Play'!$B$12)/'NM Play'!$B$14*IF('Sites'!$C$6="Own sheets",'NM Play'!$B$21*'NM Play'!$B$22,'NM Play'!$B$28*'NM Play'!$B$14/'NM Play'!$B$12)</f>
        <v/>
      </c>
      <c r="AL132" s="160">
        <f>Y132*'Assumptions'!V66</f>
        <v/>
      </c>
      <c r="AM132" s="160">
        <f>IF('Sites'!$D$6="NM crew",S132*'NM Play'!$B$37*(1+IF(AND(ISNUMBER('NM Play'!$B$25),'NM Play'!$B$25&gt;0),1,0)),"")</f>
        <v/>
      </c>
      <c r="AN132" s="160">
        <f>IF(OR('Sites'!$E$6&lt;0,'Sites'!$E$6&gt;1,'Sites'!$F$6&lt;1,'Sites'!$G$6&lt;'Sites'!$F$6,F132&lt;0,MIN('Sites'!$I$6:'Sites'!$R$6)&lt;0,'Sites'!$L$6&gt;'Sites'!$I$6,'Sites'!$M$6&gt;'Sites'!$J$6,'Sites'!$N$6&gt;'Sites'!$K$6,'Sites'!$Z$6&lt;0,'Sites'!$Z$6&gt;1,MIN('Sites'!$AA$6:'Sites'!$AC$6)&lt;0,S132&gt;F132+0.001),1,0)</f>
        <v/>
      </c>
      <c r="AO132" s="160">
        <f>I132+U132-T132-X132</f>
        <v/>
      </c>
    </row>
    <row r="133" ht="28" customHeight="1">
      <c r="A133" s="4" t="inlineStr">
        <is>
          <t>Smaller</t>
        </is>
      </c>
      <c r="B133" s="4" t="inlineStr">
        <is>
          <t>WITTA</t>
        </is>
      </c>
      <c r="C133" s="160" t="n">
        <v>20</v>
      </c>
      <c r="D133" s="160">
        <f>ROUNDUP(C133/12,0)</f>
        <v/>
      </c>
      <c r="E133" s="160">
        <f>IF(AND('Sites'!$E$6=1,C133&gt;='Sites'!$F$6,C133&lt;='Sites'!$G$6),1,0)</f>
        <v/>
      </c>
      <c r="F133" s="160">
        <f>E133*'Assumptions'!W67</f>
        <v/>
      </c>
      <c r="G133" s="160">
        <f>V132</f>
        <v/>
      </c>
      <c r="H133" s="160">
        <f>W132</f>
        <v/>
      </c>
      <c r="I133" s="160">
        <f>X132</f>
        <v/>
      </c>
      <c r="J133" s="160">
        <f>MAX(0,'Sites'!$J$6-SUM(N126:N132))</f>
        <v/>
      </c>
      <c r="K133" s="160">
        <f>IF('Sites'!$C$6="Own sheets",MIN(ROUNDDOWN(G133/'NM Play'!$B$11,0)+F133*'NM Play'!$B$10/'NM Play'!$B$43,ROUNDDOWN(H133/'NM Play'!$B$12,0)+F133*'NM Play'!$B$10/'NM Play'!$B$44,(F133*'NM Play'!$B$10+ROUNDDOWN(G133/'NM Play'!$B$11,0)*'NM Play'!$B$43+ROUNDDOWN(H133/'NM Play'!$B$12,0)*'NM Play'!$B$44)/('NM Play'!$B$43+'NM Play'!$B$44)),ROUNDDOWN(G133/'NM Play'!$B$11,0)+F133*'NM Play'!$B$10/'NM Play'!$B$43)</f>
        <v/>
      </c>
      <c r="L133" s="160">
        <f>MIN(ROUNDDOWN(G133/'NM Play'!$B$11,0)+F133/('NM Play'!$B$43/'NM Play'!$B$15),ROUNDDOWN(H133/'NM Play'!$B$12,0)+F133/('NM Play'!$B$44/'NM Play'!$B$16),(F133+ROUNDDOWN(G133/'NM Play'!$B$11,0)*'NM Play'!$B$43/'NM Play'!$B$15+ROUNDDOWN(H133/'NM Play'!$B$12,0)*'NM Play'!$B$44/'NM Play'!$B$16)/('NM Play'!$B$43/'NM Play'!$B$15+'NM Play'!$B$44/'NM Play'!$B$16))</f>
        <v/>
      </c>
      <c r="M133" s="160">
        <f>F133*'NM Play'!$B$36</f>
        <v/>
      </c>
      <c r="N133" s="160">
        <f>ROUNDDOWN(MAX(0,MIN(J133,K133:M133)),0)</f>
        <v/>
      </c>
      <c r="O133" s="160">
        <f>ROUNDUP(MAX(0,N133*'NM Play'!$B$11-G133)/'NM Play'!$B$13,0)</f>
        <v/>
      </c>
      <c r="P133" s="160">
        <f>ROUNDUP(MAX(0,N133*'NM Play'!$B$12-H133)/'NM Play'!$B$14,0)</f>
        <v/>
      </c>
      <c r="Q133" s="160">
        <f>(O133+IF('Sites'!$C$6="Own sheets",P133,0))/'NM Play'!$B$10</f>
        <v/>
      </c>
      <c r="R133" s="160">
        <f>O133/'NM Play'!$B$15+P133/'NM Play'!$B$16</f>
        <v/>
      </c>
      <c r="S133" s="160">
        <f>MAX(Q133,R133,N133/'NM Play'!$B$36)</f>
        <v/>
      </c>
      <c r="T133" s="160">
        <f>Q133*'NM Play'!$B$10*'NM Play'!$B$21*(1+'NM Play'!$B$35)</f>
        <v/>
      </c>
      <c r="U133" s="160">
        <f>MAX(0,T133-I133)</f>
        <v/>
      </c>
      <c r="V133" s="160">
        <f>G133+O133*'NM Play'!$B$13-N133*'NM Play'!$B$11</f>
        <v/>
      </c>
      <c r="W133" s="160">
        <f>H133+P133*'NM Play'!$B$14-N133*'NM Play'!$B$12</f>
        <v/>
      </c>
      <c r="X133" s="160">
        <f>I133+U133-T133</f>
        <v/>
      </c>
      <c r="Y133" s="160">
        <f>MIN(N133,MAX(0,ROUNDDOWN('Sites'!$M$6*'Cases'!$E$7,0)-SUM(Y126:Y132)))</f>
        <v/>
      </c>
      <c r="Z133" s="160">
        <f>N133-Y133</f>
        <v/>
      </c>
      <c r="AA133" s="160">
        <f>U133*'NM Play'!$B$22</f>
        <v/>
      </c>
      <c r="AB133" s="160">
        <f>N133*SUM('NM Play'!$B$29:$B$31)</f>
        <v/>
      </c>
      <c r="AC133" s="160">
        <f>IF('Sites'!$C$6="Defy legs",P133*'NM Play'!$B$14/'NM Play'!$B$12*'NM Play'!$B$28,0)</f>
        <v/>
      </c>
      <c r="AD133" s="160">
        <f>Q133*'NM Play'!$B$23</f>
        <v/>
      </c>
      <c r="AE133" s="160">
        <f>S133*SUM('NM Play'!$B$26,'NM Play'!$B$33:$B$34)</f>
        <v/>
      </c>
      <c r="AF133" s="160">
        <f>IF('Sites'!$D$6="NM crew",S133*SUM('NM Play'!$B$24:$B$25),0)</f>
        <v/>
      </c>
      <c r="AG133" s="160">
        <f>IF('Sites'!$D$6="NM crew",S133*'NM Play'!$B$27,0)</f>
        <v/>
      </c>
      <c r="AH133" s="160">
        <f>N133*'Sites'!$Z$6*'NM Play'!$B$32</f>
        <v/>
      </c>
      <c r="AI133" s="160">
        <f>SUM(Y133:Z133)*'Sites'!$R$6</f>
        <v/>
      </c>
      <c r="AJ133" s="160">
        <f>SUM(AA133:AH133)</f>
        <v/>
      </c>
      <c r="AK133" s="160">
        <f>AJ133+(T133-U133)*'NM Play'!$B$22+MIN(G133,N133*'NM Play'!$B$11)/'NM Play'!$B$13*'NM Play'!$B$21*'NM Play'!$B$22+MIN(H133,N133*'NM Play'!$B$12)/'NM Play'!$B$14*IF('Sites'!$C$6="Own sheets",'NM Play'!$B$21*'NM Play'!$B$22,'NM Play'!$B$28*'NM Play'!$B$14/'NM Play'!$B$12)</f>
        <v/>
      </c>
      <c r="AL133" s="160">
        <f>Y133*'Assumptions'!W66</f>
        <v/>
      </c>
      <c r="AM133" s="160">
        <f>IF('Sites'!$D$6="NM crew",S133*'NM Play'!$B$37*(1+IF(AND(ISNUMBER('NM Play'!$B$25),'NM Play'!$B$25&gt;0),1,0)),"")</f>
        <v/>
      </c>
      <c r="AN133" s="160">
        <f>IF(OR('Sites'!$E$6&lt;0,'Sites'!$E$6&gt;1,'Sites'!$F$6&lt;1,'Sites'!$G$6&lt;'Sites'!$F$6,F133&lt;0,MIN('Sites'!$I$6:'Sites'!$R$6)&lt;0,'Sites'!$L$6&gt;'Sites'!$I$6,'Sites'!$M$6&gt;'Sites'!$J$6,'Sites'!$N$6&gt;'Sites'!$K$6,'Sites'!$Z$6&lt;0,'Sites'!$Z$6&gt;1,MIN('Sites'!$AA$6:'Sites'!$AC$6)&lt;0,S133&gt;F133+0.001),1,0)</f>
        <v/>
      </c>
      <c r="AO133" s="160">
        <f>I133+U133-T133-X133</f>
        <v/>
      </c>
    </row>
    <row r="134" ht="28" customHeight="1">
      <c r="A134" s="4" t="inlineStr">
        <is>
          <t>Smaller</t>
        </is>
      </c>
      <c r="B134" s="4" t="inlineStr">
        <is>
          <t>WITTA</t>
        </is>
      </c>
      <c r="C134" s="160" t="n">
        <v>21</v>
      </c>
      <c r="D134" s="160">
        <f>ROUNDUP(C134/12,0)</f>
        <v/>
      </c>
      <c r="E134" s="160">
        <f>IF(AND('Sites'!$E$6=1,C134&gt;='Sites'!$F$6,C134&lt;='Sites'!$G$6),1,0)</f>
        <v/>
      </c>
      <c r="F134" s="160">
        <f>E134*'Assumptions'!X67</f>
        <v/>
      </c>
      <c r="G134" s="160">
        <f>V133</f>
        <v/>
      </c>
      <c r="H134" s="160">
        <f>W133</f>
        <v/>
      </c>
      <c r="I134" s="160">
        <f>X133</f>
        <v/>
      </c>
      <c r="J134" s="160">
        <f>MAX(0,'Sites'!$J$6-SUM(N126:N133))</f>
        <v/>
      </c>
      <c r="K134" s="160">
        <f>IF('Sites'!$C$6="Own sheets",MIN(ROUNDDOWN(G134/'NM Play'!$B$11,0)+F134*'NM Play'!$B$10/'NM Play'!$B$43,ROUNDDOWN(H134/'NM Play'!$B$12,0)+F134*'NM Play'!$B$10/'NM Play'!$B$44,(F134*'NM Play'!$B$10+ROUNDDOWN(G134/'NM Play'!$B$11,0)*'NM Play'!$B$43+ROUNDDOWN(H134/'NM Play'!$B$12,0)*'NM Play'!$B$44)/('NM Play'!$B$43+'NM Play'!$B$44)),ROUNDDOWN(G134/'NM Play'!$B$11,0)+F134*'NM Play'!$B$10/'NM Play'!$B$43)</f>
        <v/>
      </c>
      <c r="L134" s="160">
        <f>MIN(ROUNDDOWN(G134/'NM Play'!$B$11,0)+F134/('NM Play'!$B$43/'NM Play'!$B$15),ROUNDDOWN(H134/'NM Play'!$B$12,0)+F134/('NM Play'!$B$44/'NM Play'!$B$16),(F134+ROUNDDOWN(G134/'NM Play'!$B$11,0)*'NM Play'!$B$43/'NM Play'!$B$15+ROUNDDOWN(H134/'NM Play'!$B$12,0)*'NM Play'!$B$44/'NM Play'!$B$16)/('NM Play'!$B$43/'NM Play'!$B$15+'NM Play'!$B$44/'NM Play'!$B$16))</f>
        <v/>
      </c>
      <c r="M134" s="160">
        <f>F134*'NM Play'!$B$36</f>
        <v/>
      </c>
      <c r="N134" s="160">
        <f>ROUNDDOWN(MAX(0,MIN(J134,K134:M134)),0)</f>
        <v/>
      </c>
      <c r="O134" s="160">
        <f>ROUNDUP(MAX(0,N134*'NM Play'!$B$11-G134)/'NM Play'!$B$13,0)</f>
        <v/>
      </c>
      <c r="P134" s="160">
        <f>ROUNDUP(MAX(0,N134*'NM Play'!$B$12-H134)/'NM Play'!$B$14,0)</f>
        <v/>
      </c>
      <c r="Q134" s="160">
        <f>(O134+IF('Sites'!$C$6="Own sheets",P134,0))/'NM Play'!$B$10</f>
        <v/>
      </c>
      <c r="R134" s="160">
        <f>O134/'NM Play'!$B$15+P134/'NM Play'!$B$16</f>
        <v/>
      </c>
      <c r="S134" s="160">
        <f>MAX(Q134,R134,N134/'NM Play'!$B$36)</f>
        <v/>
      </c>
      <c r="T134" s="160">
        <f>Q134*'NM Play'!$B$10*'NM Play'!$B$21*(1+'NM Play'!$B$35)</f>
        <v/>
      </c>
      <c r="U134" s="160">
        <f>MAX(0,T134-I134)</f>
        <v/>
      </c>
      <c r="V134" s="160">
        <f>G134+O134*'NM Play'!$B$13-N134*'NM Play'!$B$11</f>
        <v/>
      </c>
      <c r="W134" s="160">
        <f>H134+P134*'NM Play'!$B$14-N134*'NM Play'!$B$12</f>
        <v/>
      </c>
      <c r="X134" s="160">
        <f>I134+U134-T134</f>
        <v/>
      </c>
      <c r="Y134" s="160">
        <f>MIN(N134,MAX(0,ROUNDDOWN('Sites'!$M$6*'Cases'!$E$7,0)-SUM(Y126:Y133)))</f>
        <v/>
      </c>
      <c r="Z134" s="160">
        <f>N134-Y134</f>
        <v/>
      </c>
      <c r="AA134" s="160">
        <f>U134*'NM Play'!$B$22</f>
        <v/>
      </c>
      <c r="AB134" s="160">
        <f>N134*SUM('NM Play'!$B$29:$B$31)</f>
        <v/>
      </c>
      <c r="AC134" s="160">
        <f>IF('Sites'!$C$6="Defy legs",P134*'NM Play'!$B$14/'NM Play'!$B$12*'NM Play'!$B$28,0)</f>
        <v/>
      </c>
      <c r="AD134" s="160">
        <f>Q134*'NM Play'!$B$23</f>
        <v/>
      </c>
      <c r="AE134" s="160">
        <f>S134*SUM('NM Play'!$B$26,'NM Play'!$B$33:$B$34)</f>
        <v/>
      </c>
      <c r="AF134" s="160">
        <f>IF('Sites'!$D$6="NM crew",S134*SUM('NM Play'!$B$24:$B$25),0)</f>
        <v/>
      </c>
      <c r="AG134" s="160">
        <f>IF('Sites'!$D$6="NM crew",S134*'NM Play'!$B$27,0)</f>
        <v/>
      </c>
      <c r="AH134" s="160">
        <f>N134*'Sites'!$Z$6*'NM Play'!$B$32</f>
        <v/>
      </c>
      <c r="AI134" s="160">
        <f>SUM(Y134:Z134)*'Sites'!$R$6</f>
        <v/>
      </c>
      <c r="AJ134" s="160">
        <f>SUM(AA134:AH134)</f>
        <v/>
      </c>
      <c r="AK134" s="160">
        <f>AJ134+(T134-U134)*'NM Play'!$B$22+MIN(G134,N134*'NM Play'!$B$11)/'NM Play'!$B$13*'NM Play'!$B$21*'NM Play'!$B$22+MIN(H134,N134*'NM Play'!$B$12)/'NM Play'!$B$14*IF('Sites'!$C$6="Own sheets",'NM Play'!$B$21*'NM Play'!$B$22,'NM Play'!$B$28*'NM Play'!$B$14/'NM Play'!$B$12)</f>
        <v/>
      </c>
      <c r="AL134" s="160">
        <f>Y134*'Assumptions'!X66</f>
        <v/>
      </c>
      <c r="AM134" s="160">
        <f>IF('Sites'!$D$6="NM crew",S134*'NM Play'!$B$37*(1+IF(AND(ISNUMBER('NM Play'!$B$25),'NM Play'!$B$25&gt;0),1,0)),"")</f>
        <v/>
      </c>
      <c r="AN134" s="160">
        <f>IF(OR('Sites'!$E$6&lt;0,'Sites'!$E$6&gt;1,'Sites'!$F$6&lt;1,'Sites'!$G$6&lt;'Sites'!$F$6,F134&lt;0,MIN('Sites'!$I$6:'Sites'!$R$6)&lt;0,'Sites'!$L$6&gt;'Sites'!$I$6,'Sites'!$M$6&gt;'Sites'!$J$6,'Sites'!$N$6&gt;'Sites'!$K$6,'Sites'!$Z$6&lt;0,'Sites'!$Z$6&gt;1,MIN('Sites'!$AA$6:'Sites'!$AC$6)&lt;0,S134&gt;F134+0.001),1,0)</f>
        <v/>
      </c>
      <c r="AO134" s="160">
        <f>I134+U134-T134-X134</f>
        <v/>
      </c>
    </row>
    <row r="135" ht="28" customHeight="1">
      <c r="A135" s="4" t="inlineStr">
        <is>
          <t>Smaller</t>
        </is>
      </c>
      <c r="B135" s="4" t="inlineStr">
        <is>
          <t>WITTA</t>
        </is>
      </c>
      <c r="C135" s="160" t="n">
        <v>22</v>
      </c>
      <c r="D135" s="160">
        <f>ROUNDUP(C135/12,0)</f>
        <v/>
      </c>
      <c r="E135" s="160">
        <f>IF(AND('Sites'!$E$6=1,C135&gt;='Sites'!$F$6,C135&lt;='Sites'!$G$6),1,0)</f>
        <v/>
      </c>
      <c r="F135" s="160">
        <f>E135*'Assumptions'!Y67</f>
        <v/>
      </c>
      <c r="G135" s="160">
        <f>V134</f>
        <v/>
      </c>
      <c r="H135" s="160">
        <f>W134</f>
        <v/>
      </c>
      <c r="I135" s="160">
        <f>X134</f>
        <v/>
      </c>
      <c r="J135" s="160">
        <f>MAX(0,'Sites'!$J$6-SUM(N126:N134))</f>
        <v/>
      </c>
      <c r="K135" s="160">
        <f>IF('Sites'!$C$6="Own sheets",MIN(ROUNDDOWN(G135/'NM Play'!$B$11,0)+F135*'NM Play'!$B$10/'NM Play'!$B$43,ROUNDDOWN(H135/'NM Play'!$B$12,0)+F135*'NM Play'!$B$10/'NM Play'!$B$44,(F135*'NM Play'!$B$10+ROUNDDOWN(G135/'NM Play'!$B$11,0)*'NM Play'!$B$43+ROUNDDOWN(H135/'NM Play'!$B$12,0)*'NM Play'!$B$44)/('NM Play'!$B$43+'NM Play'!$B$44)),ROUNDDOWN(G135/'NM Play'!$B$11,0)+F135*'NM Play'!$B$10/'NM Play'!$B$43)</f>
        <v/>
      </c>
      <c r="L135" s="160">
        <f>MIN(ROUNDDOWN(G135/'NM Play'!$B$11,0)+F135/('NM Play'!$B$43/'NM Play'!$B$15),ROUNDDOWN(H135/'NM Play'!$B$12,0)+F135/('NM Play'!$B$44/'NM Play'!$B$16),(F135+ROUNDDOWN(G135/'NM Play'!$B$11,0)*'NM Play'!$B$43/'NM Play'!$B$15+ROUNDDOWN(H135/'NM Play'!$B$12,0)*'NM Play'!$B$44/'NM Play'!$B$16)/('NM Play'!$B$43/'NM Play'!$B$15+'NM Play'!$B$44/'NM Play'!$B$16))</f>
        <v/>
      </c>
      <c r="M135" s="160">
        <f>F135*'NM Play'!$B$36</f>
        <v/>
      </c>
      <c r="N135" s="160">
        <f>ROUNDDOWN(MAX(0,MIN(J135,K135:M135)),0)</f>
        <v/>
      </c>
      <c r="O135" s="160">
        <f>ROUNDUP(MAX(0,N135*'NM Play'!$B$11-G135)/'NM Play'!$B$13,0)</f>
        <v/>
      </c>
      <c r="P135" s="160">
        <f>ROUNDUP(MAX(0,N135*'NM Play'!$B$12-H135)/'NM Play'!$B$14,0)</f>
        <v/>
      </c>
      <c r="Q135" s="160">
        <f>(O135+IF('Sites'!$C$6="Own sheets",P135,0))/'NM Play'!$B$10</f>
        <v/>
      </c>
      <c r="R135" s="160">
        <f>O135/'NM Play'!$B$15+P135/'NM Play'!$B$16</f>
        <v/>
      </c>
      <c r="S135" s="160">
        <f>MAX(Q135,R135,N135/'NM Play'!$B$36)</f>
        <v/>
      </c>
      <c r="T135" s="160">
        <f>Q135*'NM Play'!$B$10*'NM Play'!$B$21*(1+'NM Play'!$B$35)</f>
        <v/>
      </c>
      <c r="U135" s="160">
        <f>MAX(0,T135-I135)</f>
        <v/>
      </c>
      <c r="V135" s="160">
        <f>G135+O135*'NM Play'!$B$13-N135*'NM Play'!$B$11</f>
        <v/>
      </c>
      <c r="W135" s="160">
        <f>H135+P135*'NM Play'!$B$14-N135*'NM Play'!$B$12</f>
        <v/>
      </c>
      <c r="X135" s="160">
        <f>I135+U135-T135</f>
        <v/>
      </c>
      <c r="Y135" s="160">
        <f>MIN(N135,MAX(0,ROUNDDOWN('Sites'!$M$6*'Cases'!$E$7,0)-SUM(Y126:Y134)))</f>
        <v/>
      </c>
      <c r="Z135" s="160">
        <f>N135-Y135</f>
        <v/>
      </c>
      <c r="AA135" s="160">
        <f>U135*'NM Play'!$B$22</f>
        <v/>
      </c>
      <c r="AB135" s="160">
        <f>N135*SUM('NM Play'!$B$29:$B$31)</f>
        <v/>
      </c>
      <c r="AC135" s="160">
        <f>IF('Sites'!$C$6="Defy legs",P135*'NM Play'!$B$14/'NM Play'!$B$12*'NM Play'!$B$28,0)</f>
        <v/>
      </c>
      <c r="AD135" s="160">
        <f>Q135*'NM Play'!$B$23</f>
        <v/>
      </c>
      <c r="AE135" s="160">
        <f>S135*SUM('NM Play'!$B$26,'NM Play'!$B$33:$B$34)</f>
        <v/>
      </c>
      <c r="AF135" s="160">
        <f>IF('Sites'!$D$6="NM crew",S135*SUM('NM Play'!$B$24:$B$25),0)</f>
        <v/>
      </c>
      <c r="AG135" s="160">
        <f>IF('Sites'!$D$6="NM crew",S135*'NM Play'!$B$27,0)</f>
        <v/>
      </c>
      <c r="AH135" s="160">
        <f>N135*'Sites'!$Z$6*'NM Play'!$B$32</f>
        <v/>
      </c>
      <c r="AI135" s="160">
        <f>SUM(Y135:Z135)*'Sites'!$R$6</f>
        <v/>
      </c>
      <c r="AJ135" s="160">
        <f>SUM(AA135:AH135)</f>
        <v/>
      </c>
      <c r="AK135" s="160">
        <f>AJ135+(T135-U135)*'NM Play'!$B$22+MIN(G135,N135*'NM Play'!$B$11)/'NM Play'!$B$13*'NM Play'!$B$21*'NM Play'!$B$22+MIN(H135,N135*'NM Play'!$B$12)/'NM Play'!$B$14*IF('Sites'!$C$6="Own sheets",'NM Play'!$B$21*'NM Play'!$B$22,'NM Play'!$B$28*'NM Play'!$B$14/'NM Play'!$B$12)</f>
        <v/>
      </c>
      <c r="AL135" s="160">
        <f>Y135*'Assumptions'!Y66</f>
        <v/>
      </c>
      <c r="AM135" s="160">
        <f>IF('Sites'!$D$6="NM crew",S135*'NM Play'!$B$37*(1+IF(AND(ISNUMBER('NM Play'!$B$25),'NM Play'!$B$25&gt;0),1,0)),"")</f>
        <v/>
      </c>
      <c r="AN135" s="160">
        <f>IF(OR('Sites'!$E$6&lt;0,'Sites'!$E$6&gt;1,'Sites'!$F$6&lt;1,'Sites'!$G$6&lt;'Sites'!$F$6,F135&lt;0,MIN('Sites'!$I$6:'Sites'!$R$6)&lt;0,'Sites'!$L$6&gt;'Sites'!$I$6,'Sites'!$M$6&gt;'Sites'!$J$6,'Sites'!$N$6&gt;'Sites'!$K$6,'Sites'!$Z$6&lt;0,'Sites'!$Z$6&gt;1,MIN('Sites'!$AA$6:'Sites'!$AC$6)&lt;0,S135&gt;F135+0.001),1,0)</f>
        <v/>
      </c>
      <c r="AO135" s="160">
        <f>I135+U135-T135-X135</f>
        <v/>
      </c>
    </row>
    <row r="136" ht="28" customHeight="1">
      <c r="A136" s="4" t="inlineStr">
        <is>
          <t>Smaller</t>
        </is>
      </c>
      <c r="B136" s="4" t="inlineStr">
        <is>
          <t>WITTA</t>
        </is>
      </c>
      <c r="C136" s="160" t="n">
        <v>23</v>
      </c>
      <c r="D136" s="160">
        <f>ROUNDUP(C136/12,0)</f>
        <v/>
      </c>
      <c r="E136" s="160">
        <f>IF(AND('Sites'!$E$6=1,C136&gt;='Sites'!$F$6,C136&lt;='Sites'!$G$6),1,0)</f>
        <v/>
      </c>
      <c r="F136" s="160">
        <f>E136*'Assumptions'!Z67</f>
        <v/>
      </c>
      <c r="G136" s="160">
        <f>V135</f>
        <v/>
      </c>
      <c r="H136" s="160">
        <f>W135</f>
        <v/>
      </c>
      <c r="I136" s="160">
        <f>X135</f>
        <v/>
      </c>
      <c r="J136" s="160">
        <f>MAX(0,'Sites'!$J$6-SUM(N126:N135))</f>
        <v/>
      </c>
      <c r="K136" s="160">
        <f>IF('Sites'!$C$6="Own sheets",MIN(ROUNDDOWN(G136/'NM Play'!$B$11,0)+F136*'NM Play'!$B$10/'NM Play'!$B$43,ROUNDDOWN(H136/'NM Play'!$B$12,0)+F136*'NM Play'!$B$10/'NM Play'!$B$44,(F136*'NM Play'!$B$10+ROUNDDOWN(G136/'NM Play'!$B$11,0)*'NM Play'!$B$43+ROUNDDOWN(H136/'NM Play'!$B$12,0)*'NM Play'!$B$44)/('NM Play'!$B$43+'NM Play'!$B$44)),ROUNDDOWN(G136/'NM Play'!$B$11,0)+F136*'NM Play'!$B$10/'NM Play'!$B$43)</f>
        <v/>
      </c>
      <c r="L136" s="160">
        <f>MIN(ROUNDDOWN(G136/'NM Play'!$B$11,0)+F136/('NM Play'!$B$43/'NM Play'!$B$15),ROUNDDOWN(H136/'NM Play'!$B$12,0)+F136/('NM Play'!$B$44/'NM Play'!$B$16),(F136+ROUNDDOWN(G136/'NM Play'!$B$11,0)*'NM Play'!$B$43/'NM Play'!$B$15+ROUNDDOWN(H136/'NM Play'!$B$12,0)*'NM Play'!$B$44/'NM Play'!$B$16)/('NM Play'!$B$43/'NM Play'!$B$15+'NM Play'!$B$44/'NM Play'!$B$16))</f>
        <v/>
      </c>
      <c r="M136" s="160">
        <f>F136*'NM Play'!$B$36</f>
        <v/>
      </c>
      <c r="N136" s="160">
        <f>ROUNDDOWN(MAX(0,MIN(J136,K136:M136)),0)</f>
        <v/>
      </c>
      <c r="O136" s="160">
        <f>ROUNDUP(MAX(0,N136*'NM Play'!$B$11-G136)/'NM Play'!$B$13,0)</f>
        <v/>
      </c>
      <c r="P136" s="160">
        <f>ROUNDUP(MAX(0,N136*'NM Play'!$B$12-H136)/'NM Play'!$B$14,0)</f>
        <v/>
      </c>
      <c r="Q136" s="160">
        <f>(O136+IF('Sites'!$C$6="Own sheets",P136,0))/'NM Play'!$B$10</f>
        <v/>
      </c>
      <c r="R136" s="160">
        <f>O136/'NM Play'!$B$15+P136/'NM Play'!$B$16</f>
        <v/>
      </c>
      <c r="S136" s="160">
        <f>MAX(Q136,R136,N136/'NM Play'!$B$36)</f>
        <v/>
      </c>
      <c r="T136" s="160">
        <f>Q136*'NM Play'!$B$10*'NM Play'!$B$21*(1+'NM Play'!$B$35)</f>
        <v/>
      </c>
      <c r="U136" s="160">
        <f>MAX(0,T136-I136)</f>
        <v/>
      </c>
      <c r="V136" s="160">
        <f>G136+O136*'NM Play'!$B$13-N136*'NM Play'!$B$11</f>
        <v/>
      </c>
      <c r="W136" s="160">
        <f>H136+P136*'NM Play'!$B$14-N136*'NM Play'!$B$12</f>
        <v/>
      </c>
      <c r="X136" s="160">
        <f>I136+U136-T136</f>
        <v/>
      </c>
      <c r="Y136" s="160">
        <f>MIN(N136,MAX(0,ROUNDDOWN('Sites'!$M$6*'Cases'!$E$7,0)-SUM(Y126:Y135)))</f>
        <v/>
      </c>
      <c r="Z136" s="160">
        <f>N136-Y136</f>
        <v/>
      </c>
      <c r="AA136" s="160">
        <f>U136*'NM Play'!$B$22</f>
        <v/>
      </c>
      <c r="AB136" s="160">
        <f>N136*SUM('NM Play'!$B$29:$B$31)</f>
        <v/>
      </c>
      <c r="AC136" s="160">
        <f>IF('Sites'!$C$6="Defy legs",P136*'NM Play'!$B$14/'NM Play'!$B$12*'NM Play'!$B$28,0)</f>
        <v/>
      </c>
      <c r="AD136" s="160">
        <f>Q136*'NM Play'!$B$23</f>
        <v/>
      </c>
      <c r="AE136" s="160">
        <f>S136*SUM('NM Play'!$B$26,'NM Play'!$B$33:$B$34)</f>
        <v/>
      </c>
      <c r="AF136" s="160">
        <f>IF('Sites'!$D$6="NM crew",S136*SUM('NM Play'!$B$24:$B$25),0)</f>
        <v/>
      </c>
      <c r="AG136" s="160">
        <f>IF('Sites'!$D$6="NM crew",S136*'NM Play'!$B$27,0)</f>
        <v/>
      </c>
      <c r="AH136" s="160">
        <f>N136*'Sites'!$Z$6*'NM Play'!$B$32</f>
        <v/>
      </c>
      <c r="AI136" s="160">
        <f>SUM(Y136:Z136)*'Sites'!$R$6</f>
        <v/>
      </c>
      <c r="AJ136" s="160">
        <f>SUM(AA136:AH136)</f>
        <v/>
      </c>
      <c r="AK136" s="160">
        <f>AJ136+(T136-U136)*'NM Play'!$B$22+MIN(G136,N136*'NM Play'!$B$11)/'NM Play'!$B$13*'NM Play'!$B$21*'NM Play'!$B$22+MIN(H136,N136*'NM Play'!$B$12)/'NM Play'!$B$14*IF('Sites'!$C$6="Own sheets",'NM Play'!$B$21*'NM Play'!$B$22,'NM Play'!$B$28*'NM Play'!$B$14/'NM Play'!$B$12)</f>
        <v/>
      </c>
      <c r="AL136" s="160">
        <f>Y136*'Assumptions'!Z66</f>
        <v/>
      </c>
      <c r="AM136" s="160">
        <f>IF('Sites'!$D$6="NM crew",S136*'NM Play'!$B$37*(1+IF(AND(ISNUMBER('NM Play'!$B$25),'NM Play'!$B$25&gt;0),1,0)),"")</f>
        <v/>
      </c>
      <c r="AN136" s="160">
        <f>IF(OR('Sites'!$E$6&lt;0,'Sites'!$E$6&gt;1,'Sites'!$F$6&lt;1,'Sites'!$G$6&lt;'Sites'!$F$6,F136&lt;0,MIN('Sites'!$I$6:'Sites'!$R$6)&lt;0,'Sites'!$L$6&gt;'Sites'!$I$6,'Sites'!$M$6&gt;'Sites'!$J$6,'Sites'!$N$6&gt;'Sites'!$K$6,'Sites'!$Z$6&lt;0,'Sites'!$Z$6&gt;1,MIN('Sites'!$AA$6:'Sites'!$AC$6)&lt;0,S136&gt;F136+0.001),1,0)</f>
        <v/>
      </c>
      <c r="AO136" s="160">
        <f>I136+U136-T136-X136</f>
        <v/>
      </c>
    </row>
    <row r="137" ht="28" customHeight="1">
      <c r="A137" s="4" t="inlineStr">
        <is>
          <t>Smaller</t>
        </is>
      </c>
      <c r="B137" s="4" t="inlineStr">
        <is>
          <t>WITTA</t>
        </is>
      </c>
      <c r="C137" s="160" t="n">
        <v>24</v>
      </c>
      <c r="D137" s="160">
        <f>ROUNDUP(C137/12,0)</f>
        <v/>
      </c>
      <c r="E137" s="160">
        <f>IF(AND('Sites'!$E$6=1,C137&gt;='Sites'!$F$6,C137&lt;='Sites'!$G$6),1,0)</f>
        <v/>
      </c>
      <c r="F137" s="160">
        <f>E137*'Assumptions'!AA67</f>
        <v/>
      </c>
      <c r="G137" s="160">
        <f>V136</f>
        <v/>
      </c>
      <c r="H137" s="160">
        <f>W136</f>
        <v/>
      </c>
      <c r="I137" s="160">
        <f>X136</f>
        <v/>
      </c>
      <c r="J137" s="160">
        <f>MAX(0,'Sites'!$J$6-SUM(N126:N136))</f>
        <v/>
      </c>
      <c r="K137" s="160">
        <f>IF('Sites'!$C$6="Own sheets",MIN(ROUNDDOWN(G137/'NM Play'!$B$11,0)+F137*'NM Play'!$B$10/'NM Play'!$B$43,ROUNDDOWN(H137/'NM Play'!$B$12,0)+F137*'NM Play'!$B$10/'NM Play'!$B$44,(F137*'NM Play'!$B$10+ROUNDDOWN(G137/'NM Play'!$B$11,0)*'NM Play'!$B$43+ROUNDDOWN(H137/'NM Play'!$B$12,0)*'NM Play'!$B$44)/('NM Play'!$B$43+'NM Play'!$B$44)),ROUNDDOWN(G137/'NM Play'!$B$11,0)+F137*'NM Play'!$B$10/'NM Play'!$B$43)</f>
        <v/>
      </c>
      <c r="L137" s="160">
        <f>MIN(ROUNDDOWN(G137/'NM Play'!$B$11,0)+F137/('NM Play'!$B$43/'NM Play'!$B$15),ROUNDDOWN(H137/'NM Play'!$B$12,0)+F137/('NM Play'!$B$44/'NM Play'!$B$16),(F137+ROUNDDOWN(G137/'NM Play'!$B$11,0)*'NM Play'!$B$43/'NM Play'!$B$15+ROUNDDOWN(H137/'NM Play'!$B$12,0)*'NM Play'!$B$44/'NM Play'!$B$16)/('NM Play'!$B$43/'NM Play'!$B$15+'NM Play'!$B$44/'NM Play'!$B$16))</f>
        <v/>
      </c>
      <c r="M137" s="160">
        <f>F137*'NM Play'!$B$36</f>
        <v/>
      </c>
      <c r="N137" s="160">
        <f>ROUNDDOWN(MAX(0,MIN(J137,K137:M137)),0)</f>
        <v/>
      </c>
      <c r="O137" s="160">
        <f>ROUNDUP(MAX(0,N137*'NM Play'!$B$11-G137)/'NM Play'!$B$13,0)</f>
        <v/>
      </c>
      <c r="P137" s="160">
        <f>ROUNDUP(MAX(0,N137*'NM Play'!$B$12-H137)/'NM Play'!$B$14,0)</f>
        <v/>
      </c>
      <c r="Q137" s="160">
        <f>(O137+IF('Sites'!$C$6="Own sheets",P137,0))/'NM Play'!$B$10</f>
        <v/>
      </c>
      <c r="R137" s="160">
        <f>O137/'NM Play'!$B$15+P137/'NM Play'!$B$16</f>
        <v/>
      </c>
      <c r="S137" s="160">
        <f>MAX(Q137,R137,N137/'NM Play'!$B$36)</f>
        <v/>
      </c>
      <c r="T137" s="160">
        <f>Q137*'NM Play'!$B$10*'NM Play'!$B$21*(1+'NM Play'!$B$35)</f>
        <v/>
      </c>
      <c r="U137" s="160">
        <f>MAX(0,T137-I137)</f>
        <v/>
      </c>
      <c r="V137" s="160">
        <f>G137+O137*'NM Play'!$B$13-N137*'NM Play'!$B$11</f>
        <v/>
      </c>
      <c r="W137" s="160">
        <f>H137+P137*'NM Play'!$B$14-N137*'NM Play'!$B$12</f>
        <v/>
      </c>
      <c r="X137" s="160">
        <f>I137+U137-T137</f>
        <v/>
      </c>
      <c r="Y137" s="160">
        <f>MIN(N137,MAX(0,ROUNDDOWN('Sites'!$M$6*'Cases'!$E$7,0)-SUM(Y126:Y136)))</f>
        <v/>
      </c>
      <c r="Z137" s="160">
        <f>N137-Y137</f>
        <v/>
      </c>
      <c r="AA137" s="160">
        <f>U137*'NM Play'!$B$22</f>
        <v/>
      </c>
      <c r="AB137" s="160">
        <f>N137*SUM('NM Play'!$B$29:$B$31)</f>
        <v/>
      </c>
      <c r="AC137" s="160">
        <f>IF('Sites'!$C$6="Defy legs",P137*'NM Play'!$B$14/'NM Play'!$B$12*'NM Play'!$B$28,0)</f>
        <v/>
      </c>
      <c r="AD137" s="160">
        <f>Q137*'NM Play'!$B$23</f>
        <v/>
      </c>
      <c r="AE137" s="160">
        <f>S137*SUM('NM Play'!$B$26,'NM Play'!$B$33:$B$34)</f>
        <v/>
      </c>
      <c r="AF137" s="160">
        <f>IF('Sites'!$D$6="NM crew",S137*SUM('NM Play'!$B$24:$B$25),0)</f>
        <v/>
      </c>
      <c r="AG137" s="160">
        <f>IF('Sites'!$D$6="NM crew",S137*'NM Play'!$B$27,0)</f>
        <v/>
      </c>
      <c r="AH137" s="160">
        <f>N137*'Sites'!$Z$6*'NM Play'!$B$32</f>
        <v/>
      </c>
      <c r="AI137" s="160">
        <f>SUM(Y137:Z137)*'Sites'!$R$6</f>
        <v/>
      </c>
      <c r="AJ137" s="160">
        <f>SUM(AA137:AH137)</f>
        <v/>
      </c>
      <c r="AK137" s="160">
        <f>AJ137+(T137-U137)*'NM Play'!$B$22+MIN(G137,N137*'NM Play'!$B$11)/'NM Play'!$B$13*'NM Play'!$B$21*'NM Play'!$B$22+MIN(H137,N137*'NM Play'!$B$12)/'NM Play'!$B$14*IF('Sites'!$C$6="Own sheets",'NM Play'!$B$21*'NM Play'!$B$22,'NM Play'!$B$28*'NM Play'!$B$14/'NM Play'!$B$12)</f>
        <v/>
      </c>
      <c r="AL137" s="160">
        <f>Y137*'Assumptions'!AA66</f>
        <v/>
      </c>
      <c r="AM137" s="160">
        <f>IF('Sites'!$D$6="NM crew",S137*'NM Play'!$B$37*(1+IF(AND(ISNUMBER('NM Play'!$B$25),'NM Play'!$B$25&gt;0),1,0)),"")</f>
        <v/>
      </c>
      <c r="AN137" s="160">
        <f>IF(OR('Sites'!$E$6&lt;0,'Sites'!$E$6&gt;1,'Sites'!$F$6&lt;1,'Sites'!$G$6&lt;'Sites'!$F$6,F137&lt;0,MIN('Sites'!$I$6:'Sites'!$R$6)&lt;0,'Sites'!$L$6&gt;'Sites'!$I$6,'Sites'!$M$6&gt;'Sites'!$J$6,'Sites'!$N$6&gt;'Sites'!$K$6,'Sites'!$Z$6&lt;0,'Sites'!$Z$6&gt;1,MIN('Sites'!$AA$6:'Sites'!$AC$6)&lt;0,S137&gt;F137+0.001),1,0)</f>
        <v/>
      </c>
      <c r="AO137" s="160">
        <f>I137+U137-T137-X137</f>
        <v/>
      </c>
    </row>
    <row r="138" ht="28" customHeight="1">
      <c r="A138" s="4" t="inlineStr">
        <is>
          <t>Smaller</t>
        </is>
      </c>
      <c r="B138" s="4" t="inlineStr">
        <is>
          <t>WITTA</t>
        </is>
      </c>
      <c r="C138" s="160" t="n">
        <v>25</v>
      </c>
      <c r="D138" s="160">
        <f>ROUNDUP(C138/12,0)</f>
        <v/>
      </c>
      <c r="E138" s="160">
        <f>IF(AND('Sites'!$E$6=1,C138&gt;='Sites'!$F$6,C138&lt;='Sites'!$G$6),1,0)</f>
        <v/>
      </c>
      <c r="F138" s="160">
        <f>E138*'Assumptions'!AB67</f>
        <v/>
      </c>
      <c r="G138" s="160">
        <f>V137</f>
        <v/>
      </c>
      <c r="H138" s="160">
        <f>W137</f>
        <v/>
      </c>
      <c r="I138" s="160">
        <f>X137</f>
        <v/>
      </c>
      <c r="J138" s="160">
        <f>MAX(0,'Sites'!$K$6-0)</f>
        <v/>
      </c>
      <c r="K138" s="160">
        <f>IF('Sites'!$C$6="Own sheets",MIN(ROUNDDOWN(G138/'NM Play'!$B$11,0)+F138*'NM Play'!$B$10/'NM Play'!$B$43,ROUNDDOWN(H138/'NM Play'!$B$12,0)+F138*'NM Play'!$B$10/'NM Play'!$B$44,(F138*'NM Play'!$B$10+ROUNDDOWN(G138/'NM Play'!$B$11,0)*'NM Play'!$B$43+ROUNDDOWN(H138/'NM Play'!$B$12,0)*'NM Play'!$B$44)/('NM Play'!$B$43+'NM Play'!$B$44)),ROUNDDOWN(G138/'NM Play'!$B$11,0)+F138*'NM Play'!$B$10/'NM Play'!$B$43)</f>
        <v/>
      </c>
      <c r="L138" s="160">
        <f>MIN(ROUNDDOWN(G138/'NM Play'!$B$11,0)+F138/('NM Play'!$B$43/'NM Play'!$B$15),ROUNDDOWN(H138/'NM Play'!$B$12,0)+F138/('NM Play'!$B$44/'NM Play'!$B$16),(F138+ROUNDDOWN(G138/'NM Play'!$B$11,0)*'NM Play'!$B$43/'NM Play'!$B$15+ROUNDDOWN(H138/'NM Play'!$B$12,0)*'NM Play'!$B$44/'NM Play'!$B$16)/('NM Play'!$B$43/'NM Play'!$B$15+'NM Play'!$B$44/'NM Play'!$B$16))</f>
        <v/>
      </c>
      <c r="M138" s="160">
        <f>F138*'NM Play'!$B$36</f>
        <v/>
      </c>
      <c r="N138" s="160">
        <f>ROUNDDOWN(MAX(0,MIN(J138,K138:M138)),0)</f>
        <v/>
      </c>
      <c r="O138" s="160">
        <f>ROUNDUP(MAX(0,N138*'NM Play'!$B$11-G138)/'NM Play'!$B$13,0)</f>
        <v/>
      </c>
      <c r="P138" s="160">
        <f>ROUNDUP(MAX(0,N138*'NM Play'!$B$12-H138)/'NM Play'!$B$14,0)</f>
        <v/>
      </c>
      <c r="Q138" s="160">
        <f>(O138+IF('Sites'!$C$6="Own sheets",P138,0))/'NM Play'!$B$10</f>
        <v/>
      </c>
      <c r="R138" s="160">
        <f>O138/'NM Play'!$B$15+P138/'NM Play'!$B$16</f>
        <v/>
      </c>
      <c r="S138" s="160">
        <f>MAX(Q138,R138,N138/'NM Play'!$B$36)</f>
        <v/>
      </c>
      <c r="T138" s="160">
        <f>Q138*'NM Play'!$B$10*'NM Play'!$B$21*(1+'NM Play'!$B$35)</f>
        <v/>
      </c>
      <c r="U138" s="160">
        <f>MAX(0,T138-I138)</f>
        <v/>
      </c>
      <c r="V138" s="160">
        <f>G138+O138*'NM Play'!$B$13-N138*'NM Play'!$B$11</f>
        <v/>
      </c>
      <c r="W138" s="160">
        <f>H138+P138*'NM Play'!$B$14-N138*'NM Play'!$B$12</f>
        <v/>
      </c>
      <c r="X138" s="160">
        <f>I138+U138-T138</f>
        <v/>
      </c>
      <c r="Y138" s="160">
        <f>MIN(N138,MAX(0,ROUNDDOWN('Sites'!$N$6*'Cases'!$E$7,0)-0))</f>
        <v/>
      </c>
      <c r="Z138" s="160">
        <f>N138-Y138</f>
        <v/>
      </c>
      <c r="AA138" s="160">
        <f>U138*'NM Play'!$B$22</f>
        <v/>
      </c>
      <c r="AB138" s="160">
        <f>N138*SUM('NM Play'!$B$29:$B$31)</f>
        <v/>
      </c>
      <c r="AC138" s="160">
        <f>IF('Sites'!$C$6="Defy legs",P138*'NM Play'!$B$14/'NM Play'!$B$12*'NM Play'!$B$28,0)</f>
        <v/>
      </c>
      <c r="AD138" s="160">
        <f>Q138*'NM Play'!$B$23</f>
        <v/>
      </c>
      <c r="AE138" s="160">
        <f>S138*SUM('NM Play'!$B$26,'NM Play'!$B$33:$B$34)</f>
        <v/>
      </c>
      <c r="AF138" s="160">
        <f>IF('Sites'!$D$6="NM crew",S138*SUM('NM Play'!$B$24:$B$25),0)</f>
        <v/>
      </c>
      <c r="AG138" s="160">
        <f>IF('Sites'!$D$6="NM crew",S138*'NM Play'!$B$27,0)</f>
        <v/>
      </c>
      <c r="AH138" s="160">
        <f>N138*'Sites'!$Z$6*'NM Play'!$B$32</f>
        <v/>
      </c>
      <c r="AI138" s="160">
        <f>SUM(Y138:Z138)*'Sites'!$R$6</f>
        <v/>
      </c>
      <c r="AJ138" s="160">
        <f>SUM(AA138:AH138)</f>
        <v/>
      </c>
      <c r="AK138" s="160">
        <f>AJ138+(T138-U138)*'NM Play'!$B$22+MIN(G138,N138*'NM Play'!$B$11)/'NM Play'!$B$13*'NM Play'!$B$21*'NM Play'!$B$22+MIN(H138,N138*'NM Play'!$B$12)/'NM Play'!$B$14*IF('Sites'!$C$6="Own sheets",'NM Play'!$B$21*'NM Play'!$B$22,'NM Play'!$B$28*'NM Play'!$B$14/'NM Play'!$B$12)</f>
        <v/>
      </c>
      <c r="AL138" s="160">
        <f>Y138*'Assumptions'!AB66</f>
        <v/>
      </c>
      <c r="AM138" s="160">
        <f>IF('Sites'!$D$6="NM crew",S138*'NM Play'!$B$37*(1+IF(AND(ISNUMBER('NM Play'!$B$25),'NM Play'!$B$25&gt;0),1,0)),"")</f>
        <v/>
      </c>
      <c r="AN138" s="160">
        <f>IF(OR('Sites'!$E$6&lt;0,'Sites'!$E$6&gt;1,'Sites'!$F$6&lt;1,'Sites'!$G$6&lt;'Sites'!$F$6,F138&lt;0,MIN('Sites'!$I$6:'Sites'!$R$6)&lt;0,'Sites'!$L$6&gt;'Sites'!$I$6,'Sites'!$M$6&gt;'Sites'!$J$6,'Sites'!$N$6&gt;'Sites'!$K$6,'Sites'!$Z$6&lt;0,'Sites'!$Z$6&gt;1,MIN('Sites'!$AA$6:'Sites'!$AC$6)&lt;0,S138&gt;F138+0.001),1,0)</f>
        <v/>
      </c>
      <c r="AO138" s="160">
        <f>I138+U138-T138-X138</f>
        <v/>
      </c>
    </row>
    <row r="139" ht="28" customHeight="1">
      <c r="A139" s="4" t="inlineStr">
        <is>
          <t>Smaller</t>
        </is>
      </c>
      <c r="B139" s="4" t="inlineStr">
        <is>
          <t>WITTA</t>
        </is>
      </c>
      <c r="C139" s="160" t="n">
        <v>26</v>
      </c>
      <c r="D139" s="160">
        <f>ROUNDUP(C139/12,0)</f>
        <v/>
      </c>
      <c r="E139" s="160">
        <f>IF(AND('Sites'!$E$6=1,C139&gt;='Sites'!$F$6,C139&lt;='Sites'!$G$6),1,0)</f>
        <v/>
      </c>
      <c r="F139" s="160">
        <f>E139*'Assumptions'!AC67</f>
        <v/>
      </c>
      <c r="G139" s="160">
        <f>V138</f>
        <v/>
      </c>
      <c r="H139" s="160">
        <f>W138</f>
        <v/>
      </c>
      <c r="I139" s="160">
        <f>X138</f>
        <v/>
      </c>
      <c r="J139" s="160">
        <f>MAX(0,'Sites'!$K$6-SUM(N138:N138))</f>
        <v/>
      </c>
      <c r="K139" s="160">
        <f>IF('Sites'!$C$6="Own sheets",MIN(ROUNDDOWN(G139/'NM Play'!$B$11,0)+F139*'NM Play'!$B$10/'NM Play'!$B$43,ROUNDDOWN(H139/'NM Play'!$B$12,0)+F139*'NM Play'!$B$10/'NM Play'!$B$44,(F139*'NM Play'!$B$10+ROUNDDOWN(G139/'NM Play'!$B$11,0)*'NM Play'!$B$43+ROUNDDOWN(H139/'NM Play'!$B$12,0)*'NM Play'!$B$44)/('NM Play'!$B$43+'NM Play'!$B$44)),ROUNDDOWN(G139/'NM Play'!$B$11,0)+F139*'NM Play'!$B$10/'NM Play'!$B$43)</f>
        <v/>
      </c>
      <c r="L139" s="160">
        <f>MIN(ROUNDDOWN(G139/'NM Play'!$B$11,0)+F139/('NM Play'!$B$43/'NM Play'!$B$15),ROUNDDOWN(H139/'NM Play'!$B$12,0)+F139/('NM Play'!$B$44/'NM Play'!$B$16),(F139+ROUNDDOWN(G139/'NM Play'!$B$11,0)*'NM Play'!$B$43/'NM Play'!$B$15+ROUNDDOWN(H139/'NM Play'!$B$12,0)*'NM Play'!$B$44/'NM Play'!$B$16)/('NM Play'!$B$43/'NM Play'!$B$15+'NM Play'!$B$44/'NM Play'!$B$16))</f>
        <v/>
      </c>
      <c r="M139" s="160">
        <f>F139*'NM Play'!$B$36</f>
        <v/>
      </c>
      <c r="N139" s="160">
        <f>ROUNDDOWN(MAX(0,MIN(J139,K139:M139)),0)</f>
        <v/>
      </c>
      <c r="O139" s="160">
        <f>ROUNDUP(MAX(0,N139*'NM Play'!$B$11-G139)/'NM Play'!$B$13,0)</f>
        <v/>
      </c>
      <c r="P139" s="160">
        <f>ROUNDUP(MAX(0,N139*'NM Play'!$B$12-H139)/'NM Play'!$B$14,0)</f>
        <v/>
      </c>
      <c r="Q139" s="160">
        <f>(O139+IF('Sites'!$C$6="Own sheets",P139,0))/'NM Play'!$B$10</f>
        <v/>
      </c>
      <c r="R139" s="160">
        <f>O139/'NM Play'!$B$15+P139/'NM Play'!$B$16</f>
        <v/>
      </c>
      <c r="S139" s="160">
        <f>MAX(Q139,R139,N139/'NM Play'!$B$36)</f>
        <v/>
      </c>
      <c r="T139" s="160">
        <f>Q139*'NM Play'!$B$10*'NM Play'!$B$21*(1+'NM Play'!$B$35)</f>
        <v/>
      </c>
      <c r="U139" s="160">
        <f>MAX(0,T139-I139)</f>
        <v/>
      </c>
      <c r="V139" s="160">
        <f>G139+O139*'NM Play'!$B$13-N139*'NM Play'!$B$11</f>
        <v/>
      </c>
      <c r="W139" s="160">
        <f>H139+P139*'NM Play'!$B$14-N139*'NM Play'!$B$12</f>
        <v/>
      </c>
      <c r="X139" s="160">
        <f>I139+U139-T139</f>
        <v/>
      </c>
      <c r="Y139" s="160">
        <f>MIN(N139,MAX(0,ROUNDDOWN('Sites'!$N$6*'Cases'!$E$7,0)-SUM(Y138:Y138)))</f>
        <v/>
      </c>
      <c r="Z139" s="160">
        <f>N139-Y139</f>
        <v/>
      </c>
      <c r="AA139" s="160">
        <f>U139*'NM Play'!$B$22</f>
        <v/>
      </c>
      <c r="AB139" s="160">
        <f>N139*SUM('NM Play'!$B$29:$B$31)</f>
        <v/>
      </c>
      <c r="AC139" s="160">
        <f>IF('Sites'!$C$6="Defy legs",P139*'NM Play'!$B$14/'NM Play'!$B$12*'NM Play'!$B$28,0)</f>
        <v/>
      </c>
      <c r="AD139" s="160">
        <f>Q139*'NM Play'!$B$23</f>
        <v/>
      </c>
      <c r="AE139" s="160">
        <f>S139*SUM('NM Play'!$B$26,'NM Play'!$B$33:$B$34)</f>
        <v/>
      </c>
      <c r="AF139" s="160">
        <f>IF('Sites'!$D$6="NM crew",S139*SUM('NM Play'!$B$24:$B$25),0)</f>
        <v/>
      </c>
      <c r="AG139" s="160">
        <f>IF('Sites'!$D$6="NM crew",S139*'NM Play'!$B$27,0)</f>
        <v/>
      </c>
      <c r="AH139" s="160">
        <f>N139*'Sites'!$Z$6*'NM Play'!$B$32</f>
        <v/>
      </c>
      <c r="AI139" s="160">
        <f>SUM(Y139:Z139)*'Sites'!$R$6</f>
        <v/>
      </c>
      <c r="AJ139" s="160">
        <f>SUM(AA139:AH139)</f>
        <v/>
      </c>
      <c r="AK139" s="160">
        <f>AJ139+(T139-U139)*'NM Play'!$B$22+MIN(G139,N139*'NM Play'!$B$11)/'NM Play'!$B$13*'NM Play'!$B$21*'NM Play'!$B$22+MIN(H139,N139*'NM Play'!$B$12)/'NM Play'!$B$14*IF('Sites'!$C$6="Own sheets",'NM Play'!$B$21*'NM Play'!$B$22,'NM Play'!$B$28*'NM Play'!$B$14/'NM Play'!$B$12)</f>
        <v/>
      </c>
      <c r="AL139" s="160">
        <f>Y139*'Assumptions'!AC66</f>
        <v/>
      </c>
      <c r="AM139" s="160">
        <f>IF('Sites'!$D$6="NM crew",S139*'NM Play'!$B$37*(1+IF(AND(ISNUMBER('NM Play'!$B$25),'NM Play'!$B$25&gt;0),1,0)),"")</f>
        <v/>
      </c>
      <c r="AN139" s="160">
        <f>IF(OR('Sites'!$E$6&lt;0,'Sites'!$E$6&gt;1,'Sites'!$F$6&lt;1,'Sites'!$G$6&lt;'Sites'!$F$6,F139&lt;0,MIN('Sites'!$I$6:'Sites'!$R$6)&lt;0,'Sites'!$L$6&gt;'Sites'!$I$6,'Sites'!$M$6&gt;'Sites'!$J$6,'Sites'!$N$6&gt;'Sites'!$K$6,'Sites'!$Z$6&lt;0,'Sites'!$Z$6&gt;1,MIN('Sites'!$AA$6:'Sites'!$AC$6)&lt;0,S139&gt;F139+0.001),1,0)</f>
        <v/>
      </c>
      <c r="AO139" s="160">
        <f>I139+U139-T139-X139</f>
        <v/>
      </c>
    </row>
    <row r="140" ht="28" customHeight="1">
      <c r="A140" s="4" t="inlineStr">
        <is>
          <t>Smaller</t>
        </is>
      </c>
      <c r="B140" s="4" t="inlineStr">
        <is>
          <t>WITTA</t>
        </is>
      </c>
      <c r="C140" s="160" t="n">
        <v>27</v>
      </c>
      <c r="D140" s="160">
        <f>ROUNDUP(C140/12,0)</f>
        <v/>
      </c>
      <c r="E140" s="160">
        <f>IF(AND('Sites'!$E$6=1,C140&gt;='Sites'!$F$6,C140&lt;='Sites'!$G$6),1,0)</f>
        <v/>
      </c>
      <c r="F140" s="160">
        <f>E140*'Assumptions'!AD67</f>
        <v/>
      </c>
      <c r="G140" s="160">
        <f>V139</f>
        <v/>
      </c>
      <c r="H140" s="160">
        <f>W139</f>
        <v/>
      </c>
      <c r="I140" s="160">
        <f>X139</f>
        <v/>
      </c>
      <c r="J140" s="160">
        <f>MAX(0,'Sites'!$K$6-SUM(N138:N139))</f>
        <v/>
      </c>
      <c r="K140" s="160">
        <f>IF('Sites'!$C$6="Own sheets",MIN(ROUNDDOWN(G140/'NM Play'!$B$11,0)+F140*'NM Play'!$B$10/'NM Play'!$B$43,ROUNDDOWN(H140/'NM Play'!$B$12,0)+F140*'NM Play'!$B$10/'NM Play'!$B$44,(F140*'NM Play'!$B$10+ROUNDDOWN(G140/'NM Play'!$B$11,0)*'NM Play'!$B$43+ROUNDDOWN(H140/'NM Play'!$B$12,0)*'NM Play'!$B$44)/('NM Play'!$B$43+'NM Play'!$B$44)),ROUNDDOWN(G140/'NM Play'!$B$11,0)+F140*'NM Play'!$B$10/'NM Play'!$B$43)</f>
        <v/>
      </c>
      <c r="L140" s="160">
        <f>MIN(ROUNDDOWN(G140/'NM Play'!$B$11,0)+F140/('NM Play'!$B$43/'NM Play'!$B$15),ROUNDDOWN(H140/'NM Play'!$B$12,0)+F140/('NM Play'!$B$44/'NM Play'!$B$16),(F140+ROUNDDOWN(G140/'NM Play'!$B$11,0)*'NM Play'!$B$43/'NM Play'!$B$15+ROUNDDOWN(H140/'NM Play'!$B$12,0)*'NM Play'!$B$44/'NM Play'!$B$16)/('NM Play'!$B$43/'NM Play'!$B$15+'NM Play'!$B$44/'NM Play'!$B$16))</f>
        <v/>
      </c>
      <c r="M140" s="160">
        <f>F140*'NM Play'!$B$36</f>
        <v/>
      </c>
      <c r="N140" s="160">
        <f>ROUNDDOWN(MAX(0,MIN(J140,K140:M140)),0)</f>
        <v/>
      </c>
      <c r="O140" s="160">
        <f>ROUNDUP(MAX(0,N140*'NM Play'!$B$11-G140)/'NM Play'!$B$13,0)</f>
        <v/>
      </c>
      <c r="P140" s="160">
        <f>ROUNDUP(MAX(0,N140*'NM Play'!$B$12-H140)/'NM Play'!$B$14,0)</f>
        <v/>
      </c>
      <c r="Q140" s="160">
        <f>(O140+IF('Sites'!$C$6="Own sheets",P140,0))/'NM Play'!$B$10</f>
        <v/>
      </c>
      <c r="R140" s="160">
        <f>O140/'NM Play'!$B$15+P140/'NM Play'!$B$16</f>
        <v/>
      </c>
      <c r="S140" s="160">
        <f>MAX(Q140,R140,N140/'NM Play'!$B$36)</f>
        <v/>
      </c>
      <c r="T140" s="160">
        <f>Q140*'NM Play'!$B$10*'NM Play'!$B$21*(1+'NM Play'!$B$35)</f>
        <v/>
      </c>
      <c r="U140" s="160">
        <f>MAX(0,T140-I140)</f>
        <v/>
      </c>
      <c r="V140" s="160">
        <f>G140+O140*'NM Play'!$B$13-N140*'NM Play'!$B$11</f>
        <v/>
      </c>
      <c r="W140" s="160">
        <f>H140+P140*'NM Play'!$B$14-N140*'NM Play'!$B$12</f>
        <v/>
      </c>
      <c r="X140" s="160">
        <f>I140+U140-T140</f>
        <v/>
      </c>
      <c r="Y140" s="160">
        <f>MIN(N140,MAX(0,ROUNDDOWN('Sites'!$N$6*'Cases'!$E$7,0)-SUM(Y138:Y139)))</f>
        <v/>
      </c>
      <c r="Z140" s="160">
        <f>N140-Y140</f>
        <v/>
      </c>
      <c r="AA140" s="160">
        <f>U140*'NM Play'!$B$22</f>
        <v/>
      </c>
      <c r="AB140" s="160">
        <f>N140*SUM('NM Play'!$B$29:$B$31)</f>
        <v/>
      </c>
      <c r="AC140" s="160">
        <f>IF('Sites'!$C$6="Defy legs",P140*'NM Play'!$B$14/'NM Play'!$B$12*'NM Play'!$B$28,0)</f>
        <v/>
      </c>
      <c r="AD140" s="160">
        <f>Q140*'NM Play'!$B$23</f>
        <v/>
      </c>
      <c r="AE140" s="160">
        <f>S140*SUM('NM Play'!$B$26,'NM Play'!$B$33:$B$34)</f>
        <v/>
      </c>
      <c r="AF140" s="160">
        <f>IF('Sites'!$D$6="NM crew",S140*SUM('NM Play'!$B$24:$B$25),0)</f>
        <v/>
      </c>
      <c r="AG140" s="160">
        <f>IF('Sites'!$D$6="NM crew",S140*'NM Play'!$B$27,0)</f>
        <v/>
      </c>
      <c r="AH140" s="160">
        <f>N140*'Sites'!$Z$6*'NM Play'!$B$32</f>
        <v/>
      </c>
      <c r="AI140" s="160">
        <f>SUM(Y140:Z140)*'Sites'!$R$6</f>
        <v/>
      </c>
      <c r="AJ140" s="160">
        <f>SUM(AA140:AH140)</f>
        <v/>
      </c>
      <c r="AK140" s="160">
        <f>AJ140+(T140-U140)*'NM Play'!$B$22+MIN(G140,N140*'NM Play'!$B$11)/'NM Play'!$B$13*'NM Play'!$B$21*'NM Play'!$B$22+MIN(H140,N140*'NM Play'!$B$12)/'NM Play'!$B$14*IF('Sites'!$C$6="Own sheets",'NM Play'!$B$21*'NM Play'!$B$22,'NM Play'!$B$28*'NM Play'!$B$14/'NM Play'!$B$12)</f>
        <v/>
      </c>
      <c r="AL140" s="160">
        <f>Y140*'Assumptions'!AD66</f>
        <v/>
      </c>
      <c r="AM140" s="160">
        <f>IF('Sites'!$D$6="NM crew",S140*'NM Play'!$B$37*(1+IF(AND(ISNUMBER('NM Play'!$B$25),'NM Play'!$B$25&gt;0),1,0)),"")</f>
        <v/>
      </c>
      <c r="AN140" s="160">
        <f>IF(OR('Sites'!$E$6&lt;0,'Sites'!$E$6&gt;1,'Sites'!$F$6&lt;1,'Sites'!$G$6&lt;'Sites'!$F$6,F140&lt;0,MIN('Sites'!$I$6:'Sites'!$R$6)&lt;0,'Sites'!$L$6&gt;'Sites'!$I$6,'Sites'!$M$6&gt;'Sites'!$J$6,'Sites'!$N$6&gt;'Sites'!$K$6,'Sites'!$Z$6&lt;0,'Sites'!$Z$6&gt;1,MIN('Sites'!$AA$6:'Sites'!$AC$6)&lt;0,S140&gt;F140+0.001),1,0)</f>
        <v/>
      </c>
      <c r="AO140" s="160">
        <f>I140+U140-T140-X140</f>
        <v/>
      </c>
    </row>
    <row r="141" ht="28" customHeight="1">
      <c r="A141" s="4" t="inlineStr">
        <is>
          <t>Smaller</t>
        </is>
      </c>
      <c r="B141" s="4" t="inlineStr">
        <is>
          <t>WITTA</t>
        </is>
      </c>
      <c r="C141" s="160" t="n">
        <v>28</v>
      </c>
      <c r="D141" s="160">
        <f>ROUNDUP(C141/12,0)</f>
        <v/>
      </c>
      <c r="E141" s="160">
        <f>IF(AND('Sites'!$E$6=1,C141&gt;='Sites'!$F$6,C141&lt;='Sites'!$G$6),1,0)</f>
        <v/>
      </c>
      <c r="F141" s="160">
        <f>E141*'Assumptions'!AE67</f>
        <v/>
      </c>
      <c r="G141" s="160">
        <f>V140</f>
        <v/>
      </c>
      <c r="H141" s="160">
        <f>W140</f>
        <v/>
      </c>
      <c r="I141" s="160">
        <f>X140</f>
        <v/>
      </c>
      <c r="J141" s="160">
        <f>MAX(0,'Sites'!$K$6-SUM(N138:N140))</f>
        <v/>
      </c>
      <c r="K141" s="160">
        <f>IF('Sites'!$C$6="Own sheets",MIN(ROUNDDOWN(G141/'NM Play'!$B$11,0)+F141*'NM Play'!$B$10/'NM Play'!$B$43,ROUNDDOWN(H141/'NM Play'!$B$12,0)+F141*'NM Play'!$B$10/'NM Play'!$B$44,(F141*'NM Play'!$B$10+ROUNDDOWN(G141/'NM Play'!$B$11,0)*'NM Play'!$B$43+ROUNDDOWN(H141/'NM Play'!$B$12,0)*'NM Play'!$B$44)/('NM Play'!$B$43+'NM Play'!$B$44)),ROUNDDOWN(G141/'NM Play'!$B$11,0)+F141*'NM Play'!$B$10/'NM Play'!$B$43)</f>
        <v/>
      </c>
      <c r="L141" s="160">
        <f>MIN(ROUNDDOWN(G141/'NM Play'!$B$11,0)+F141/('NM Play'!$B$43/'NM Play'!$B$15),ROUNDDOWN(H141/'NM Play'!$B$12,0)+F141/('NM Play'!$B$44/'NM Play'!$B$16),(F141+ROUNDDOWN(G141/'NM Play'!$B$11,0)*'NM Play'!$B$43/'NM Play'!$B$15+ROUNDDOWN(H141/'NM Play'!$B$12,0)*'NM Play'!$B$44/'NM Play'!$B$16)/('NM Play'!$B$43/'NM Play'!$B$15+'NM Play'!$B$44/'NM Play'!$B$16))</f>
        <v/>
      </c>
      <c r="M141" s="160">
        <f>F141*'NM Play'!$B$36</f>
        <v/>
      </c>
      <c r="N141" s="160">
        <f>ROUNDDOWN(MAX(0,MIN(J141,K141:M141)),0)</f>
        <v/>
      </c>
      <c r="O141" s="160">
        <f>ROUNDUP(MAX(0,N141*'NM Play'!$B$11-G141)/'NM Play'!$B$13,0)</f>
        <v/>
      </c>
      <c r="P141" s="160">
        <f>ROUNDUP(MAX(0,N141*'NM Play'!$B$12-H141)/'NM Play'!$B$14,0)</f>
        <v/>
      </c>
      <c r="Q141" s="160">
        <f>(O141+IF('Sites'!$C$6="Own sheets",P141,0))/'NM Play'!$B$10</f>
        <v/>
      </c>
      <c r="R141" s="160">
        <f>O141/'NM Play'!$B$15+P141/'NM Play'!$B$16</f>
        <v/>
      </c>
      <c r="S141" s="160">
        <f>MAX(Q141,R141,N141/'NM Play'!$B$36)</f>
        <v/>
      </c>
      <c r="T141" s="160">
        <f>Q141*'NM Play'!$B$10*'NM Play'!$B$21*(1+'NM Play'!$B$35)</f>
        <v/>
      </c>
      <c r="U141" s="160">
        <f>MAX(0,T141-I141)</f>
        <v/>
      </c>
      <c r="V141" s="160">
        <f>G141+O141*'NM Play'!$B$13-N141*'NM Play'!$B$11</f>
        <v/>
      </c>
      <c r="W141" s="160">
        <f>H141+P141*'NM Play'!$B$14-N141*'NM Play'!$B$12</f>
        <v/>
      </c>
      <c r="X141" s="160">
        <f>I141+U141-T141</f>
        <v/>
      </c>
      <c r="Y141" s="160">
        <f>MIN(N141,MAX(0,ROUNDDOWN('Sites'!$N$6*'Cases'!$E$7,0)-SUM(Y138:Y140)))</f>
        <v/>
      </c>
      <c r="Z141" s="160">
        <f>N141-Y141</f>
        <v/>
      </c>
      <c r="AA141" s="160">
        <f>U141*'NM Play'!$B$22</f>
        <v/>
      </c>
      <c r="AB141" s="160">
        <f>N141*SUM('NM Play'!$B$29:$B$31)</f>
        <v/>
      </c>
      <c r="AC141" s="160">
        <f>IF('Sites'!$C$6="Defy legs",P141*'NM Play'!$B$14/'NM Play'!$B$12*'NM Play'!$B$28,0)</f>
        <v/>
      </c>
      <c r="AD141" s="160">
        <f>Q141*'NM Play'!$B$23</f>
        <v/>
      </c>
      <c r="AE141" s="160">
        <f>S141*SUM('NM Play'!$B$26,'NM Play'!$B$33:$B$34)</f>
        <v/>
      </c>
      <c r="AF141" s="160">
        <f>IF('Sites'!$D$6="NM crew",S141*SUM('NM Play'!$B$24:$B$25),0)</f>
        <v/>
      </c>
      <c r="AG141" s="160">
        <f>IF('Sites'!$D$6="NM crew",S141*'NM Play'!$B$27,0)</f>
        <v/>
      </c>
      <c r="AH141" s="160">
        <f>N141*'Sites'!$Z$6*'NM Play'!$B$32</f>
        <v/>
      </c>
      <c r="AI141" s="160">
        <f>SUM(Y141:Z141)*'Sites'!$R$6</f>
        <v/>
      </c>
      <c r="AJ141" s="160">
        <f>SUM(AA141:AH141)</f>
        <v/>
      </c>
      <c r="AK141" s="160">
        <f>AJ141+(T141-U141)*'NM Play'!$B$22+MIN(G141,N141*'NM Play'!$B$11)/'NM Play'!$B$13*'NM Play'!$B$21*'NM Play'!$B$22+MIN(H141,N141*'NM Play'!$B$12)/'NM Play'!$B$14*IF('Sites'!$C$6="Own sheets",'NM Play'!$B$21*'NM Play'!$B$22,'NM Play'!$B$28*'NM Play'!$B$14/'NM Play'!$B$12)</f>
        <v/>
      </c>
      <c r="AL141" s="160">
        <f>Y141*'Assumptions'!AE66</f>
        <v/>
      </c>
      <c r="AM141" s="160">
        <f>IF('Sites'!$D$6="NM crew",S141*'NM Play'!$B$37*(1+IF(AND(ISNUMBER('NM Play'!$B$25),'NM Play'!$B$25&gt;0),1,0)),"")</f>
        <v/>
      </c>
      <c r="AN141" s="160">
        <f>IF(OR('Sites'!$E$6&lt;0,'Sites'!$E$6&gt;1,'Sites'!$F$6&lt;1,'Sites'!$G$6&lt;'Sites'!$F$6,F141&lt;0,MIN('Sites'!$I$6:'Sites'!$R$6)&lt;0,'Sites'!$L$6&gt;'Sites'!$I$6,'Sites'!$M$6&gt;'Sites'!$J$6,'Sites'!$N$6&gt;'Sites'!$K$6,'Sites'!$Z$6&lt;0,'Sites'!$Z$6&gt;1,MIN('Sites'!$AA$6:'Sites'!$AC$6)&lt;0,S141&gt;F141+0.001),1,0)</f>
        <v/>
      </c>
      <c r="AO141" s="160">
        <f>I141+U141-T141-X141</f>
        <v/>
      </c>
    </row>
    <row r="142" ht="28" customHeight="1">
      <c r="A142" s="4" t="inlineStr">
        <is>
          <t>Smaller</t>
        </is>
      </c>
      <c r="B142" s="4" t="inlineStr">
        <is>
          <t>WITTA</t>
        </is>
      </c>
      <c r="C142" s="160" t="n">
        <v>29</v>
      </c>
      <c r="D142" s="160">
        <f>ROUNDUP(C142/12,0)</f>
        <v/>
      </c>
      <c r="E142" s="160">
        <f>IF(AND('Sites'!$E$6=1,C142&gt;='Sites'!$F$6,C142&lt;='Sites'!$G$6),1,0)</f>
        <v/>
      </c>
      <c r="F142" s="160">
        <f>E142*'Assumptions'!AF67</f>
        <v/>
      </c>
      <c r="G142" s="160">
        <f>V141</f>
        <v/>
      </c>
      <c r="H142" s="160">
        <f>W141</f>
        <v/>
      </c>
      <c r="I142" s="160">
        <f>X141</f>
        <v/>
      </c>
      <c r="J142" s="160">
        <f>MAX(0,'Sites'!$K$6-SUM(N138:N141))</f>
        <v/>
      </c>
      <c r="K142" s="160">
        <f>IF('Sites'!$C$6="Own sheets",MIN(ROUNDDOWN(G142/'NM Play'!$B$11,0)+F142*'NM Play'!$B$10/'NM Play'!$B$43,ROUNDDOWN(H142/'NM Play'!$B$12,0)+F142*'NM Play'!$B$10/'NM Play'!$B$44,(F142*'NM Play'!$B$10+ROUNDDOWN(G142/'NM Play'!$B$11,0)*'NM Play'!$B$43+ROUNDDOWN(H142/'NM Play'!$B$12,0)*'NM Play'!$B$44)/('NM Play'!$B$43+'NM Play'!$B$44)),ROUNDDOWN(G142/'NM Play'!$B$11,0)+F142*'NM Play'!$B$10/'NM Play'!$B$43)</f>
        <v/>
      </c>
      <c r="L142" s="160">
        <f>MIN(ROUNDDOWN(G142/'NM Play'!$B$11,0)+F142/('NM Play'!$B$43/'NM Play'!$B$15),ROUNDDOWN(H142/'NM Play'!$B$12,0)+F142/('NM Play'!$B$44/'NM Play'!$B$16),(F142+ROUNDDOWN(G142/'NM Play'!$B$11,0)*'NM Play'!$B$43/'NM Play'!$B$15+ROUNDDOWN(H142/'NM Play'!$B$12,0)*'NM Play'!$B$44/'NM Play'!$B$16)/('NM Play'!$B$43/'NM Play'!$B$15+'NM Play'!$B$44/'NM Play'!$B$16))</f>
        <v/>
      </c>
      <c r="M142" s="160">
        <f>F142*'NM Play'!$B$36</f>
        <v/>
      </c>
      <c r="N142" s="160">
        <f>ROUNDDOWN(MAX(0,MIN(J142,K142:M142)),0)</f>
        <v/>
      </c>
      <c r="O142" s="160">
        <f>ROUNDUP(MAX(0,N142*'NM Play'!$B$11-G142)/'NM Play'!$B$13,0)</f>
        <v/>
      </c>
      <c r="P142" s="160">
        <f>ROUNDUP(MAX(0,N142*'NM Play'!$B$12-H142)/'NM Play'!$B$14,0)</f>
        <v/>
      </c>
      <c r="Q142" s="160">
        <f>(O142+IF('Sites'!$C$6="Own sheets",P142,0))/'NM Play'!$B$10</f>
        <v/>
      </c>
      <c r="R142" s="160">
        <f>O142/'NM Play'!$B$15+P142/'NM Play'!$B$16</f>
        <v/>
      </c>
      <c r="S142" s="160">
        <f>MAX(Q142,R142,N142/'NM Play'!$B$36)</f>
        <v/>
      </c>
      <c r="T142" s="160">
        <f>Q142*'NM Play'!$B$10*'NM Play'!$B$21*(1+'NM Play'!$B$35)</f>
        <v/>
      </c>
      <c r="U142" s="160">
        <f>MAX(0,T142-I142)</f>
        <v/>
      </c>
      <c r="V142" s="160">
        <f>G142+O142*'NM Play'!$B$13-N142*'NM Play'!$B$11</f>
        <v/>
      </c>
      <c r="W142" s="160">
        <f>H142+P142*'NM Play'!$B$14-N142*'NM Play'!$B$12</f>
        <v/>
      </c>
      <c r="X142" s="160">
        <f>I142+U142-T142</f>
        <v/>
      </c>
      <c r="Y142" s="160">
        <f>MIN(N142,MAX(0,ROUNDDOWN('Sites'!$N$6*'Cases'!$E$7,0)-SUM(Y138:Y141)))</f>
        <v/>
      </c>
      <c r="Z142" s="160">
        <f>N142-Y142</f>
        <v/>
      </c>
      <c r="AA142" s="160">
        <f>U142*'NM Play'!$B$22</f>
        <v/>
      </c>
      <c r="AB142" s="160">
        <f>N142*SUM('NM Play'!$B$29:$B$31)</f>
        <v/>
      </c>
      <c r="AC142" s="160">
        <f>IF('Sites'!$C$6="Defy legs",P142*'NM Play'!$B$14/'NM Play'!$B$12*'NM Play'!$B$28,0)</f>
        <v/>
      </c>
      <c r="AD142" s="160">
        <f>Q142*'NM Play'!$B$23</f>
        <v/>
      </c>
      <c r="AE142" s="160">
        <f>S142*SUM('NM Play'!$B$26,'NM Play'!$B$33:$B$34)</f>
        <v/>
      </c>
      <c r="AF142" s="160">
        <f>IF('Sites'!$D$6="NM crew",S142*SUM('NM Play'!$B$24:$B$25),0)</f>
        <v/>
      </c>
      <c r="AG142" s="160">
        <f>IF('Sites'!$D$6="NM crew",S142*'NM Play'!$B$27,0)</f>
        <v/>
      </c>
      <c r="AH142" s="160">
        <f>N142*'Sites'!$Z$6*'NM Play'!$B$32</f>
        <v/>
      </c>
      <c r="AI142" s="160">
        <f>SUM(Y142:Z142)*'Sites'!$R$6</f>
        <v/>
      </c>
      <c r="AJ142" s="160">
        <f>SUM(AA142:AH142)</f>
        <v/>
      </c>
      <c r="AK142" s="160">
        <f>AJ142+(T142-U142)*'NM Play'!$B$22+MIN(G142,N142*'NM Play'!$B$11)/'NM Play'!$B$13*'NM Play'!$B$21*'NM Play'!$B$22+MIN(H142,N142*'NM Play'!$B$12)/'NM Play'!$B$14*IF('Sites'!$C$6="Own sheets",'NM Play'!$B$21*'NM Play'!$B$22,'NM Play'!$B$28*'NM Play'!$B$14/'NM Play'!$B$12)</f>
        <v/>
      </c>
      <c r="AL142" s="160">
        <f>Y142*'Assumptions'!AF66</f>
        <v/>
      </c>
      <c r="AM142" s="160">
        <f>IF('Sites'!$D$6="NM crew",S142*'NM Play'!$B$37*(1+IF(AND(ISNUMBER('NM Play'!$B$25),'NM Play'!$B$25&gt;0),1,0)),"")</f>
        <v/>
      </c>
      <c r="AN142" s="160">
        <f>IF(OR('Sites'!$E$6&lt;0,'Sites'!$E$6&gt;1,'Sites'!$F$6&lt;1,'Sites'!$G$6&lt;'Sites'!$F$6,F142&lt;0,MIN('Sites'!$I$6:'Sites'!$R$6)&lt;0,'Sites'!$L$6&gt;'Sites'!$I$6,'Sites'!$M$6&gt;'Sites'!$J$6,'Sites'!$N$6&gt;'Sites'!$K$6,'Sites'!$Z$6&lt;0,'Sites'!$Z$6&gt;1,MIN('Sites'!$AA$6:'Sites'!$AC$6)&lt;0,S142&gt;F142+0.001),1,0)</f>
        <v/>
      </c>
      <c r="AO142" s="160">
        <f>I142+U142-T142-X142</f>
        <v/>
      </c>
    </row>
    <row r="143" ht="28" customHeight="1">
      <c r="A143" s="4" t="inlineStr">
        <is>
          <t>Smaller</t>
        </is>
      </c>
      <c r="B143" s="4" t="inlineStr">
        <is>
          <t>WITTA</t>
        </is>
      </c>
      <c r="C143" s="160" t="n">
        <v>30</v>
      </c>
      <c r="D143" s="160">
        <f>ROUNDUP(C143/12,0)</f>
        <v/>
      </c>
      <c r="E143" s="160">
        <f>IF(AND('Sites'!$E$6=1,C143&gt;='Sites'!$F$6,C143&lt;='Sites'!$G$6),1,0)</f>
        <v/>
      </c>
      <c r="F143" s="160">
        <f>E143*'Assumptions'!AG67</f>
        <v/>
      </c>
      <c r="G143" s="160">
        <f>V142</f>
        <v/>
      </c>
      <c r="H143" s="160">
        <f>W142</f>
        <v/>
      </c>
      <c r="I143" s="160">
        <f>X142</f>
        <v/>
      </c>
      <c r="J143" s="160">
        <f>MAX(0,'Sites'!$K$6-SUM(N138:N142))</f>
        <v/>
      </c>
      <c r="K143" s="160">
        <f>IF('Sites'!$C$6="Own sheets",MIN(ROUNDDOWN(G143/'NM Play'!$B$11,0)+F143*'NM Play'!$B$10/'NM Play'!$B$43,ROUNDDOWN(H143/'NM Play'!$B$12,0)+F143*'NM Play'!$B$10/'NM Play'!$B$44,(F143*'NM Play'!$B$10+ROUNDDOWN(G143/'NM Play'!$B$11,0)*'NM Play'!$B$43+ROUNDDOWN(H143/'NM Play'!$B$12,0)*'NM Play'!$B$44)/('NM Play'!$B$43+'NM Play'!$B$44)),ROUNDDOWN(G143/'NM Play'!$B$11,0)+F143*'NM Play'!$B$10/'NM Play'!$B$43)</f>
        <v/>
      </c>
      <c r="L143" s="160">
        <f>MIN(ROUNDDOWN(G143/'NM Play'!$B$11,0)+F143/('NM Play'!$B$43/'NM Play'!$B$15),ROUNDDOWN(H143/'NM Play'!$B$12,0)+F143/('NM Play'!$B$44/'NM Play'!$B$16),(F143+ROUNDDOWN(G143/'NM Play'!$B$11,0)*'NM Play'!$B$43/'NM Play'!$B$15+ROUNDDOWN(H143/'NM Play'!$B$12,0)*'NM Play'!$B$44/'NM Play'!$B$16)/('NM Play'!$B$43/'NM Play'!$B$15+'NM Play'!$B$44/'NM Play'!$B$16))</f>
        <v/>
      </c>
      <c r="M143" s="160">
        <f>F143*'NM Play'!$B$36</f>
        <v/>
      </c>
      <c r="N143" s="160">
        <f>ROUNDDOWN(MAX(0,MIN(J143,K143:M143)),0)</f>
        <v/>
      </c>
      <c r="O143" s="160">
        <f>ROUNDUP(MAX(0,N143*'NM Play'!$B$11-G143)/'NM Play'!$B$13,0)</f>
        <v/>
      </c>
      <c r="P143" s="160">
        <f>ROUNDUP(MAX(0,N143*'NM Play'!$B$12-H143)/'NM Play'!$B$14,0)</f>
        <v/>
      </c>
      <c r="Q143" s="160">
        <f>(O143+IF('Sites'!$C$6="Own sheets",P143,0))/'NM Play'!$B$10</f>
        <v/>
      </c>
      <c r="R143" s="160">
        <f>O143/'NM Play'!$B$15+P143/'NM Play'!$B$16</f>
        <v/>
      </c>
      <c r="S143" s="160">
        <f>MAX(Q143,R143,N143/'NM Play'!$B$36)</f>
        <v/>
      </c>
      <c r="T143" s="160">
        <f>Q143*'NM Play'!$B$10*'NM Play'!$B$21*(1+'NM Play'!$B$35)</f>
        <v/>
      </c>
      <c r="U143" s="160">
        <f>MAX(0,T143-I143)</f>
        <v/>
      </c>
      <c r="V143" s="160">
        <f>G143+O143*'NM Play'!$B$13-N143*'NM Play'!$B$11</f>
        <v/>
      </c>
      <c r="W143" s="160">
        <f>H143+P143*'NM Play'!$B$14-N143*'NM Play'!$B$12</f>
        <v/>
      </c>
      <c r="X143" s="160">
        <f>I143+U143-T143</f>
        <v/>
      </c>
      <c r="Y143" s="160">
        <f>MIN(N143,MAX(0,ROUNDDOWN('Sites'!$N$6*'Cases'!$E$7,0)-SUM(Y138:Y142)))</f>
        <v/>
      </c>
      <c r="Z143" s="160">
        <f>N143-Y143</f>
        <v/>
      </c>
      <c r="AA143" s="160">
        <f>U143*'NM Play'!$B$22</f>
        <v/>
      </c>
      <c r="AB143" s="160">
        <f>N143*SUM('NM Play'!$B$29:$B$31)</f>
        <v/>
      </c>
      <c r="AC143" s="160">
        <f>IF('Sites'!$C$6="Defy legs",P143*'NM Play'!$B$14/'NM Play'!$B$12*'NM Play'!$B$28,0)</f>
        <v/>
      </c>
      <c r="AD143" s="160">
        <f>Q143*'NM Play'!$B$23</f>
        <v/>
      </c>
      <c r="AE143" s="160">
        <f>S143*SUM('NM Play'!$B$26,'NM Play'!$B$33:$B$34)</f>
        <v/>
      </c>
      <c r="AF143" s="160">
        <f>IF('Sites'!$D$6="NM crew",S143*SUM('NM Play'!$B$24:$B$25),0)</f>
        <v/>
      </c>
      <c r="AG143" s="160">
        <f>IF('Sites'!$D$6="NM crew",S143*'NM Play'!$B$27,0)</f>
        <v/>
      </c>
      <c r="AH143" s="160">
        <f>N143*'Sites'!$Z$6*'NM Play'!$B$32</f>
        <v/>
      </c>
      <c r="AI143" s="160">
        <f>SUM(Y143:Z143)*'Sites'!$R$6</f>
        <v/>
      </c>
      <c r="AJ143" s="160">
        <f>SUM(AA143:AH143)</f>
        <v/>
      </c>
      <c r="AK143" s="160">
        <f>AJ143+(T143-U143)*'NM Play'!$B$22+MIN(G143,N143*'NM Play'!$B$11)/'NM Play'!$B$13*'NM Play'!$B$21*'NM Play'!$B$22+MIN(H143,N143*'NM Play'!$B$12)/'NM Play'!$B$14*IF('Sites'!$C$6="Own sheets",'NM Play'!$B$21*'NM Play'!$B$22,'NM Play'!$B$28*'NM Play'!$B$14/'NM Play'!$B$12)</f>
        <v/>
      </c>
      <c r="AL143" s="160">
        <f>Y143*'Assumptions'!AG66</f>
        <v/>
      </c>
      <c r="AM143" s="160">
        <f>IF('Sites'!$D$6="NM crew",S143*'NM Play'!$B$37*(1+IF(AND(ISNUMBER('NM Play'!$B$25),'NM Play'!$B$25&gt;0),1,0)),"")</f>
        <v/>
      </c>
      <c r="AN143" s="160">
        <f>IF(OR('Sites'!$E$6&lt;0,'Sites'!$E$6&gt;1,'Sites'!$F$6&lt;1,'Sites'!$G$6&lt;'Sites'!$F$6,F143&lt;0,MIN('Sites'!$I$6:'Sites'!$R$6)&lt;0,'Sites'!$L$6&gt;'Sites'!$I$6,'Sites'!$M$6&gt;'Sites'!$J$6,'Sites'!$N$6&gt;'Sites'!$K$6,'Sites'!$Z$6&lt;0,'Sites'!$Z$6&gt;1,MIN('Sites'!$AA$6:'Sites'!$AC$6)&lt;0,S143&gt;F143+0.001),1,0)</f>
        <v/>
      </c>
      <c r="AO143" s="160">
        <f>I143+U143-T143-X143</f>
        <v/>
      </c>
    </row>
    <row r="144" ht="28" customHeight="1">
      <c r="A144" s="4" t="inlineStr">
        <is>
          <t>Smaller</t>
        </is>
      </c>
      <c r="B144" s="4" t="inlineStr">
        <is>
          <t>WITTA</t>
        </is>
      </c>
      <c r="C144" s="160" t="n">
        <v>31</v>
      </c>
      <c r="D144" s="160">
        <f>ROUNDUP(C144/12,0)</f>
        <v/>
      </c>
      <c r="E144" s="160">
        <f>IF(AND('Sites'!$E$6=1,C144&gt;='Sites'!$F$6,C144&lt;='Sites'!$G$6),1,0)</f>
        <v/>
      </c>
      <c r="F144" s="160">
        <f>E144*'Assumptions'!AH67</f>
        <v/>
      </c>
      <c r="G144" s="160">
        <f>V143</f>
        <v/>
      </c>
      <c r="H144" s="160">
        <f>W143</f>
        <v/>
      </c>
      <c r="I144" s="160">
        <f>X143</f>
        <v/>
      </c>
      <c r="J144" s="160">
        <f>MAX(0,'Sites'!$K$6-SUM(N138:N143))</f>
        <v/>
      </c>
      <c r="K144" s="160">
        <f>IF('Sites'!$C$6="Own sheets",MIN(ROUNDDOWN(G144/'NM Play'!$B$11,0)+F144*'NM Play'!$B$10/'NM Play'!$B$43,ROUNDDOWN(H144/'NM Play'!$B$12,0)+F144*'NM Play'!$B$10/'NM Play'!$B$44,(F144*'NM Play'!$B$10+ROUNDDOWN(G144/'NM Play'!$B$11,0)*'NM Play'!$B$43+ROUNDDOWN(H144/'NM Play'!$B$12,0)*'NM Play'!$B$44)/('NM Play'!$B$43+'NM Play'!$B$44)),ROUNDDOWN(G144/'NM Play'!$B$11,0)+F144*'NM Play'!$B$10/'NM Play'!$B$43)</f>
        <v/>
      </c>
      <c r="L144" s="160">
        <f>MIN(ROUNDDOWN(G144/'NM Play'!$B$11,0)+F144/('NM Play'!$B$43/'NM Play'!$B$15),ROUNDDOWN(H144/'NM Play'!$B$12,0)+F144/('NM Play'!$B$44/'NM Play'!$B$16),(F144+ROUNDDOWN(G144/'NM Play'!$B$11,0)*'NM Play'!$B$43/'NM Play'!$B$15+ROUNDDOWN(H144/'NM Play'!$B$12,0)*'NM Play'!$B$44/'NM Play'!$B$16)/('NM Play'!$B$43/'NM Play'!$B$15+'NM Play'!$B$44/'NM Play'!$B$16))</f>
        <v/>
      </c>
      <c r="M144" s="160">
        <f>F144*'NM Play'!$B$36</f>
        <v/>
      </c>
      <c r="N144" s="160">
        <f>ROUNDDOWN(MAX(0,MIN(J144,K144:M144)),0)</f>
        <v/>
      </c>
      <c r="O144" s="160">
        <f>ROUNDUP(MAX(0,N144*'NM Play'!$B$11-G144)/'NM Play'!$B$13,0)</f>
        <v/>
      </c>
      <c r="P144" s="160">
        <f>ROUNDUP(MAX(0,N144*'NM Play'!$B$12-H144)/'NM Play'!$B$14,0)</f>
        <v/>
      </c>
      <c r="Q144" s="160">
        <f>(O144+IF('Sites'!$C$6="Own sheets",P144,0))/'NM Play'!$B$10</f>
        <v/>
      </c>
      <c r="R144" s="160">
        <f>O144/'NM Play'!$B$15+P144/'NM Play'!$B$16</f>
        <v/>
      </c>
      <c r="S144" s="160">
        <f>MAX(Q144,R144,N144/'NM Play'!$B$36)</f>
        <v/>
      </c>
      <c r="T144" s="160">
        <f>Q144*'NM Play'!$B$10*'NM Play'!$B$21*(1+'NM Play'!$B$35)</f>
        <v/>
      </c>
      <c r="U144" s="160">
        <f>MAX(0,T144-I144)</f>
        <v/>
      </c>
      <c r="V144" s="160">
        <f>G144+O144*'NM Play'!$B$13-N144*'NM Play'!$B$11</f>
        <v/>
      </c>
      <c r="W144" s="160">
        <f>H144+P144*'NM Play'!$B$14-N144*'NM Play'!$B$12</f>
        <v/>
      </c>
      <c r="X144" s="160">
        <f>I144+U144-T144</f>
        <v/>
      </c>
      <c r="Y144" s="160">
        <f>MIN(N144,MAX(0,ROUNDDOWN('Sites'!$N$6*'Cases'!$E$7,0)-SUM(Y138:Y143)))</f>
        <v/>
      </c>
      <c r="Z144" s="160">
        <f>N144-Y144</f>
        <v/>
      </c>
      <c r="AA144" s="160">
        <f>U144*'NM Play'!$B$22</f>
        <v/>
      </c>
      <c r="AB144" s="160">
        <f>N144*SUM('NM Play'!$B$29:$B$31)</f>
        <v/>
      </c>
      <c r="AC144" s="160">
        <f>IF('Sites'!$C$6="Defy legs",P144*'NM Play'!$B$14/'NM Play'!$B$12*'NM Play'!$B$28,0)</f>
        <v/>
      </c>
      <c r="AD144" s="160">
        <f>Q144*'NM Play'!$B$23</f>
        <v/>
      </c>
      <c r="AE144" s="160">
        <f>S144*SUM('NM Play'!$B$26,'NM Play'!$B$33:$B$34)</f>
        <v/>
      </c>
      <c r="AF144" s="160">
        <f>IF('Sites'!$D$6="NM crew",S144*SUM('NM Play'!$B$24:$B$25),0)</f>
        <v/>
      </c>
      <c r="AG144" s="160">
        <f>IF('Sites'!$D$6="NM crew",S144*'NM Play'!$B$27,0)</f>
        <v/>
      </c>
      <c r="AH144" s="160">
        <f>N144*'Sites'!$Z$6*'NM Play'!$B$32</f>
        <v/>
      </c>
      <c r="AI144" s="160">
        <f>SUM(Y144:Z144)*'Sites'!$R$6</f>
        <v/>
      </c>
      <c r="AJ144" s="160">
        <f>SUM(AA144:AH144)</f>
        <v/>
      </c>
      <c r="AK144" s="160">
        <f>AJ144+(T144-U144)*'NM Play'!$B$22+MIN(G144,N144*'NM Play'!$B$11)/'NM Play'!$B$13*'NM Play'!$B$21*'NM Play'!$B$22+MIN(H144,N144*'NM Play'!$B$12)/'NM Play'!$B$14*IF('Sites'!$C$6="Own sheets",'NM Play'!$B$21*'NM Play'!$B$22,'NM Play'!$B$28*'NM Play'!$B$14/'NM Play'!$B$12)</f>
        <v/>
      </c>
      <c r="AL144" s="160">
        <f>Y144*'Assumptions'!AH66</f>
        <v/>
      </c>
      <c r="AM144" s="160">
        <f>IF('Sites'!$D$6="NM crew",S144*'NM Play'!$B$37*(1+IF(AND(ISNUMBER('NM Play'!$B$25),'NM Play'!$B$25&gt;0),1,0)),"")</f>
        <v/>
      </c>
      <c r="AN144" s="160">
        <f>IF(OR('Sites'!$E$6&lt;0,'Sites'!$E$6&gt;1,'Sites'!$F$6&lt;1,'Sites'!$G$6&lt;'Sites'!$F$6,F144&lt;0,MIN('Sites'!$I$6:'Sites'!$R$6)&lt;0,'Sites'!$L$6&gt;'Sites'!$I$6,'Sites'!$M$6&gt;'Sites'!$J$6,'Sites'!$N$6&gt;'Sites'!$K$6,'Sites'!$Z$6&lt;0,'Sites'!$Z$6&gt;1,MIN('Sites'!$AA$6:'Sites'!$AC$6)&lt;0,S144&gt;F144+0.001),1,0)</f>
        <v/>
      </c>
      <c r="AO144" s="160">
        <f>I144+U144-T144-X144</f>
        <v/>
      </c>
    </row>
    <row r="145" ht="28" customHeight="1">
      <c r="A145" s="4" t="inlineStr">
        <is>
          <t>Smaller</t>
        </is>
      </c>
      <c r="B145" s="4" t="inlineStr">
        <is>
          <t>WITTA</t>
        </is>
      </c>
      <c r="C145" s="160" t="n">
        <v>32</v>
      </c>
      <c r="D145" s="160">
        <f>ROUNDUP(C145/12,0)</f>
        <v/>
      </c>
      <c r="E145" s="160">
        <f>IF(AND('Sites'!$E$6=1,C145&gt;='Sites'!$F$6,C145&lt;='Sites'!$G$6),1,0)</f>
        <v/>
      </c>
      <c r="F145" s="160">
        <f>E145*'Assumptions'!AI67</f>
        <v/>
      </c>
      <c r="G145" s="160">
        <f>V144</f>
        <v/>
      </c>
      <c r="H145" s="160">
        <f>W144</f>
        <v/>
      </c>
      <c r="I145" s="160">
        <f>X144</f>
        <v/>
      </c>
      <c r="J145" s="160">
        <f>MAX(0,'Sites'!$K$6-SUM(N138:N144))</f>
        <v/>
      </c>
      <c r="K145" s="160">
        <f>IF('Sites'!$C$6="Own sheets",MIN(ROUNDDOWN(G145/'NM Play'!$B$11,0)+F145*'NM Play'!$B$10/'NM Play'!$B$43,ROUNDDOWN(H145/'NM Play'!$B$12,0)+F145*'NM Play'!$B$10/'NM Play'!$B$44,(F145*'NM Play'!$B$10+ROUNDDOWN(G145/'NM Play'!$B$11,0)*'NM Play'!$B$43+ROUNDDOWN(H145/'NM Play'!$B$12,0)*'NM Play'!$B$44)/('NM Play'!$B$43+'NM Play'!$B$44)),ROUNDDOWN(G145/'NM Play'!$B$11,0)+F145*'NM Play'!$B$10/'NM Play'!$B$43)</f>
        <v/>
      </c>
      <c r="L145" s="160">
        <f>MIN(ROUNDDOWN(G145/'NM Play'!$B$11,0)+F145/('NM Play'!$B$43/'NM Play'!$B$15),ROUNDDOWN(H145/'NM Play'!$B$12,0)+F145/('NM Play'!$B$44/'NM Play'!$B$16),(F145+ROUNDDOWN(G145/'NM Play'!$B$11,0)*'NM Play'!$B$43/'NM Play'!$B$15+ROUNDDOWN(H145/'NM Play'!$B$12,0)*'NM Play'!$B$44/'NM Play'!$B$16)/('NM Play'!$B$43/'NM Play'!$B$15+'NM Play'!$B$44/'NM Play'!$B$16))</f>
        <v/>
      </c>
      <c r="M145" s="160">
        <f>F145*'NM Play'!$B$36</f>
        <v/>
      </c>
      <c r="N145" s="160">
        <f>ROUNDDOWN(MAX(0,MIN(J145,K145:M145)),0)</f>
        <v/>
      </c>
      <c r="O145" s="160">
        <f>ROUNDUP(MAX(0,N145*'NM Play'!$B$11-G145)/'NM Play'!$B$13,0)</f>
        <v/>
      </c>
      <c r="P145" s="160">
        <f>ROUNDUP(MAX(0,N145*'NM Play'!$B$12-H145)/'NM Play'!$B$14,0)</f>
        <v/>
      </c>
      <c r="Q145" s="160">
        <f>(O145+IF('Sites'!$C$6="Own sheets",P145,0))/'NM Play'!$B$10</f>
        <v/>
      </c>
      <c r="R145" s="160">
        <f>O145/'NM Play'!$B$15+P145/'NM Play'!$B$16</f>
        <v/>
      </c>
      <c r="S145" s="160">
        <f>MAX(Q145,R145,N145/'NM Play'!$B$36)</f>
        <v/>
      </c>
      <c r="T145" s="160">
        <f>Q145*'NM Play'!$B$10*'NM Play'!$B$21*(1+'NM Play'!$B$35)</f>
        <v/>
      </c>
      <c r="U145" s="160">
        <f>MAX(0,T145-I145)</f>
        <v/>
      </c>
      <c r="V145" s="160">
        <f>G145+O145*'NM Play'!$B$13-N145*'NM Play'!$B$11</f>
        <v/>
      </c>
      <c r="W145" s="160">
        <f>H145+P145*'NM Play'!$B$14-N145*'NM Play'!$B$12</f>
        <v/>
      </c>
      <c r="X145" s="160">
        <f>I145+U145-T145</f>
        <v/>
      </c>
      <c r="Y145" s="160">
        <f>MIN(N145,MAX(0,ROUNDDOWN('Sites'!$N$6*'Cases'!$E$7,0)-SUM(Y138:Y144)))</f>
        <v/>
      </c>
      <c r="Z145" s="160">
        <f>N145-Y145</f>
        <v/>
      </c>
      <c r="AA145" s="160">
        <f>U145*'NM Play'!$B$22</f>
        <v/>
      </c>
      <c r="AB145" s="160">
        <f>N145*SUM('NM Play'!$B$29:$B$31)</f>
        <v/>
      </c>
      <c r="AC145" s="160">
        <f>IF('Sites'!$C$6="Defy legs",P145*'NM Play'!$B$14/'NM Play'!$B$12*'NM Play'!$B$28,0)</f>
        <v/>
      </c>
      <c r="AD145" s="160">
        <f>Q145*'NM Play'!$B$23</f>
        <v/>
      </c>
      <c r="AE145" s="160">
        <f>S145*SUM('NM Play'!$B$26,'NM Play'!$B$33:$B$34)</f>
        <v/>
      </c>
      <c r="AF145" s="160">
        <f>IF('Sites'!$D$6="NM crew",S145*SUM('NM Play'!$B$24:$B$25),0)</f>
        <v/>
      </c>
      <c r="AG145" s="160">
        <f>IF('Sites'!$D$6="NM crew",S145*'NM Play'!$B$27,0)</f>
        <v/>
      </c>
      <c r="AH145" s="160">
        <f>N145*'Sites'!$Z$6*'NM Play'!$B$32</f>
        <v/>
      </c>
      <c r="AI145" s="160">
        <f>SUM(Y145:Z145)*'Sites'!$R$6</f>
        <v/>
      </c>
      <c r="AJ145" s="160">
        <f>SUM(AA145:AH145)</f>
        <v/>
      </c>
      <c r="AK145" s="160">
        <f>AJ145+(T145-U145)*'NM Play'!$B$22+MIN(G145,N145*'NM Play'!$B$11)/'NM Play'!$B$13*'NM Play'!$B$21*'NM Play'!$B$22+MIN(H145,N145*'NM Play'!$B$12)/'NM Play'!$B$14*IF('Sites'!$C$6="Own sheets",'NM Play'!$B$21*'NM Play'!$B$22,'NM Play'!$B$28*'NM Play'!$B$14/'NM Play'!$B$12)</f>
        <v/>
      </c>
      <c r="AL145" s="160">
        <f>Y145*'Assumptions'!AI66</f>
        <v/>
      </c>
      <c r="AM145" s="160">
        <f>IF('Sites'!$D$6="NM crew",S145*'NM Play'!$B$37*(1+IF(AND(ISNUMBER('NM Play'!$B$25),'NM Play'!$B$25&gt;0),1,0)),"")</f>
        <v/>
      </c>
      <c r="AN145" s="160">
        <f>IF(OR('Sites'!$E$6&lt;0,'Sites'!$E$6&gt;1,'Sites'!$F$6&lt;1,'Sites'!$G$6&lt;'Sites'!$F$6,F145&lt;0,MIN('Sites'!$I$6:'Sites'!$R$6)&lt;0,'Sites'!$L$6&gt;'Sites'!$I$6,'Sites'!$M$6&gt;'Sites'!$J$6,'Sites'!$N$6&gt;'Sites'!$K$6,'Sites'!$Z$6&lt;0,'Sites'!$Z$6&gt;1,MIN('Sites'!$AA$6:'Sites'!$AC$6)&lt;0,S145&gt;F145+0.001),1,0)</f>
        <v/>
      </c>
      <c r="AO145" s="160">
        <f>I145+U145-T145-X145</f>
        <v/>
      </c>
    </row>
    <row r="146" ht="28" customHeight="1">
      <c r="A146" s="4" t="inlineStr">
        <is>
          <t>Smaller</t>
        </is>
      </c>
      <c r="B146" s="4" t="inlineStr">
        <is>
          <t>WITTA</t>
        </is>
      </c>
      <c r="C146" s="160" t="n">
        <v>33</v>
      </c>
      <c r="D146" s="160">
        <f>ROUNDUP(C146/12,0)</f>
        <v/>
      </c>
      <c r="E146" s="160">
        <f>IF(AND('Sites'!$E$6=1,C146&gt;='Sites'!$F$6,C146&lt;='Sites'!$G$6),1,0)</f>
        <v/>
      </c>
      <c r="F146" s="160">
        <f>E146*'Assumptions'!AJ67</f>
        <v/>
      </c>
      <c r="G146" s="160">
        <f>V145</f>
        <v/>
      </c>
      <c r="H146" s="160">
        <f>W145</f>
        <v/>
      </c>
      <c r="I146" s="160">
        <f>X145</f>
        <v/>
      </c>
      <c r="J146" s="160">
        <f>MAX(0,'Sites'!$K$6-SUM(N138:N145))</f>
        <v/>
      </c>
      <c r="K146" s="160">
        <f>IF('Sites'!$C$6="Own sheets",MIN(ROUNDDOWN(G146/'NM Play'!$B$11,0)+F146*'NM Play'!$B$10/'NM Play'!$B$43,ROUNDDOWN(H146/'NM Play'!$B$12,0)+F146*'NM Play'!$B$10/'NM Play'!$B$44,(F146*'NM Play'!$B$10+ROUNDDOWN(G146/'NM Play'!$B$11,0)*'NM Play'!$B$43+ROUNDDOWN(H146/'NM Play'!$B$12,0)*'NM Play'!$B$44)/('NM Play'!$B$43+'NM Play'!$B$44)),ROUNDDOWN(G146/'NM Play'!$B$11,0)+F146*'NM Play'!$B$10/'NM Play'!$B$43)</f>
        <v/>
      </c>
      <c r="L146" s="160">
        <f>MIN(ROUNDDOWN(G146/'NM Play'!$B$11,0)+F146/('NM Play'!$B$43/'NM Play'!$B$15),ROUNDDOWN(H146/'NM Play'!$B$12,0)+F146/('NM Play'!$B$44/'NM Play'!$B$16),(F146+ROUNDDOWN(G146/'NM Play'!$B$11,0)*'NM Play'!$B$43/'NM Play'!$B$15+ROUNDDOWN(H146/'NM Play'!$B$12,0)*'NM Play'!$B$44/'NM Play'!$B$16)/('NM Play'!$B$43/'NM Play'!$B$15+'NM Play'!$B$44/'NM Play'!$B$16))</f>
        <v/>
      </c>
      <c r="M146" s="160">
        <f>F146*'NM Play'!$B$36</f>
        <v/>
      </c>
      <c r="N146" s="160">
        <f>ROUNDDOWN(MAX(0,MIN(J146,K146:M146)),0)</f>
        <v/>
      </c>
      <c r="O146" s="160">
        <f>ROUNDUP(MAX(0,N146*'NM Play'!$B$11-G146)/'NM Play'!$B$13,0)</f>
        <v/>
      </c>
      <c r="P146" s="160">
        <f>ROUNDUP(MAX(0,N146*'NM Play'!$B$12-H146)/'NM Play'!$B$14,0)</f>
        <v/>
      </c>
      <c r="Q146" s="160">
        <f>(O146+IF('Sites'!$C$6="Own sheets",P146,0))/'NM Play'!$B$10</f>
        <v/>
      </c>
      <c r="R146" s="160">
        <f>O146/'NM Play'!$B$15+P146/'NM Play'!$B$16</f>
        <v/>
      </c>
      <c r="S146" s="160">
        <f>MAX(Q146,R146,N146/'NM Play'!$B$36)</f>
        <v/>
      </c>
      <c r="T146" s="160">
        <f>Q146*'NM Play'!$B$10*'NM Play'!$B$21*(1+'NM Play'!$B$35)</f>
        <v/>
      </c>
      <c r="U146" s="160">
        <f>MAX(0,T146-I146)</f>
        <v/>
      </c>
      <c r="V146" s="160">
        <f>G146+O146*'NM Play'!$B$13-N146*'NM Play'!$B$11</f>
        <v/>
      </c>
      <c r="W146" s="160">
        <f>H146+P146*'NM Play'!$B$14-N146*'NM Play'!$B$12</f>
        <v/>
      </c>
      <c r="X146" s="160">
        <f>I146+U146-T146</f>
        <v/>
      </c>
      <c r="Y146" s="160">
        <f>MIN(N146,MAX(0,ROUNDDOWN('Sites'!$N$6*'Cases'!$E$7,0)-SUM(Y138:Y145)))</f>
        <v/>
      </c>
      <c r="Z146" s="160">
        <f>N146-Y146</f>
        <v/>
      </c>
      <c r="AA146" s="160">
        <f>U146*'NM Play'!$B$22</f>
        <v/>
      </c>
      <c r="AB146" s="160">
        <f>N146*SUM('NM Play'!$B$29:$B$31)</f>
        <v/>
      </c>
      <c r="AC146" s="160">
        <f>IF('Sites'!$C$6="Defy legs",P146*'NM Play'!$B$14/'NM Play'!$B$12*'NM Play'!$B$28,0)</f>
        <v/>
      </c>
      <c r="AD146" s="160">
        <f>Q146*'NM Play'!$B$23</f>
        <v/>
      </c>
      <c r="AE146" s="160">
        <f>S146*SUM('NM Play'!$B$26,'NM Play'!$B$33:$B$34)</f>
        <v/>
      </c>
      <c r="AF146" s="160">
        <f>IF('Sites'!$D$6="NM crew",S146*SUM('NM Play'!$B$24:$B$25),0)</f>
        <v/>
      </c>
      <c r="AG146" s="160">
        <f>IF('Sites'!$D$6="NM crew",S146*'NM Play'!$B$27,0)</f>
        <v/>
      </c>
      <c r="AH146" s="160">
        <f>N146*'Sites'!$Z$6*'NM Play'!$B$32</f>
        <v/>
      </c>
      <c r="AI146" s="160">
        <f>SUM(Y146:Z146)*'Sites'!$R$6</f>
        <v/>
      </c>
      <c r="AJ146" s="160">
        <f>SUM(AA146:AH146)</f>
        <v/>
      </c>
      <c r="AK146" s="160">
        <f>AJ146+(T146-U146)*'NM Play'!$B$22+MIN(G146,N146*'NM Play'!$B$11)/'NM Play'!$B$13*'NM Play'!$B$21*'NM Play'!$B$22+MIN(H146,N146*'NM Play'!$B$12)/'NM Play'!$B$14*IF('Sites'!$C$6="Own sheets",'NM Play'!$B$21*'NM Play'!$B$22,'NM Play'!$B$28*'NM Play'!$B$14/'NM Play'!$B$12)</f>
        <v/>
      </c>
      <c r="AL146" s="160">
        <f>Y146*'Assumptions'!AJ66</f>
        <v/>
      </c>
      <c r="AM146" s="160">
        <f>IF('Sites'!$D$6="NM crew",S146*'NM Play'!$B$37*(1+IF(AND(ISNUMBER('NM Play'!$B$25),'NM Play'!$B$25&gt;0),1,0)),"")</f>
        <v/>
      </c>
      <c r="AN146" s="160">
        <f>IF(OR('Sites'!$E$6&lt;0,'Sites'!$E$6&gt;1,'Sites'!$F$6&lt;1,'Sites'!$G$6&lt;'Sites'!$F$6,F146&lt;0,MIN('Sites'!$I$6:'Sites'!$R$6)&lt;0,'Sites'!$L$6&gt;'Sites'!$I$6,'Sites'!$M$6&gt;'Sites'!$J$6,'Sites'!$N$6&gt;'Sites'!$K$6,'Sites'!$Z$6&lt;0,'Sites'!$Z$6&gt;1,MIN('Sites'!$AA$6:'Sites'!$AC$6)&lt;0,S146&gt;F146+0.001),1,0)</f>
        <v/>
      </c>
      <c r="AO146" s="160">
        <f>I146+U146-T146-X146</f>
        <v/>
      </c>
    </row>
    <row r="147" ht="28" customHeight="1">
      <c r="A147" s="4" t="inlineStr">
        <is>
          <t>Smaller</t>
        </is>
      </c>
      <c r="B147" s="4" t="inlineStr">
        <is>
          <t>WITTA</t>
        </is>
      </c>
      <c r="C147" s="160" t="n">
        <v>34</v>
      </c>
      <c r="D147" s="160">
        <f>ROUNDUP(C147/12,0)</f>
        <v/>
      </c>
      <c r="E147" s="160">
        <f>IF(AND('Sites'!$E$6=1,C147&gt;='Sites'!$F$6,C147&lt;='Sites'!$G$6),1,0)</f>
        <v/>
      </c>
      <c r="F147" s="160">
        <f>E147*'Assumptions'!AK67</f>
        <v/>
      </c>
      <c r="G147" s="160">
        <f>V146</f>
        <v/>
      </c>
      <c r="H147" s="160">
        <f>W146</f>
        <v/>
      </c>
      <c r="I147" s="160">
        <f>X146</f>
        <v/>
      </c>
      <c r="J147" s="160">
        <f>MAX(0,'Sites'!$K$6-SUM(N138:N146))</f>
        <v/>
      </c>
      <c r="K147" s="160">
        <f>IF('Sites'!$C$6="Own sheets",MIN(ROUNDDOWN(G147/'NM Play'!$B$11,0)+F147*'NM Play'!$B$10/'NM Play'!$B$43,ROUNDDOWN(H147/'NM Play'!$B$12,0)+F147*'NM Play'!$B$10/'NM Play'!$B$44,(F147*'NM Play'!$B$10+ROUNDDOWN(G147/'NM Play'!$B$11,0)*'NM Play'!$B$43+ROUNDDOWN(H147/'NM Play'!$B$12,0)*'NM Play'!$B$44)/('NM Play'!$B$43+'NM Play'!$B$44)),ROUNDDOWN(G147/'NM Play'!$B$11,0)+F147*'NM Play'!$B$10/'NM Play'!$B$43)</f>
        <v/>
      </c>
      <c r="L147" s="160">
        <f>MIN(ROUNDDOWN(G147/'NM Play'!$B$11,0)+F147/('NM Play'!$B$43/'NM Play'!$B$15),ROUNDDOWN(H147/'NM Play'!$B$12,0)+F147/('NM Play'!$B$44/'NM Play'!$B$16),(F147+ROUNDDOWN(G147/'NM Play'!$B$11,0)*'NM Play'!$B$43/'NM Play'!$B$15+ROUNDDOWN(H147/'NM Play'!$B$12,0)*'NM Play'!$B$44/'NM Play'!$B$16)/('NM Play'!$B$43/'NM Play'!$B$15+'NM Play'!$B$44/'NM Play'!$B$16))</f>
        <v/>
      </c>
      <c r="M147" s="160">
        <f>F147*'NM Play'!$B$36</f>
        <v/>
      </c>
      <c r="N147" s="160">
        <f>ROUNDDOWN(MAX(0,MIN(J147,K147:M147)),0)</f>
        <v/>
      </c>
      <c r="O147" s="160">
        <f>ROUNDUP(MAX(0,N147*'NM Play'!$B$11-G147)/'NM Play'!$B$13,0)</f>
        <v/>
      </c>
      <c r="P147" s="160">
        <f>ROUNDUP(MAX(0,N147*'NM Play'!$B$12-H147)/'NM Play'!$B$14,0)</f>
        <v/>
      </c>
      <c r="Q147" s="160">
        <f>(O147+IF('Sites'!$C$6="Own sheets",P147,0))/'NM Play'!$B$10</f>
        <v/>
      </c>
      <c r="R147" s="160">
        <f>O147/'NM Play'!$B$15+P147/'NM Play'!$B$16</f>
        <v/>
      </c>
      <c r="S147" s="160">
        <f>MAX(Q147,R147,N147/'NM Play'!$B$36)</f>
        <v/>
      </c>
      <c r="T147" s="160">
        <f>Q147*'NM Play'!$B$10*'NM Play'!$B$21*(1+'NM Play'!$B$35)</f>
        <v/>
      </c>
      <c r="U147" s="160">
        <f>MAX(0,T147-I147)</f>
        <v/>
      </c>
      <c r="V147" s="160">
        <f>G147+O147*'NM Play'!$B$13-N147*'NM Play'!$B$11</f>
        <v/>
      </c>
      <c r="W147" s="160">
        <f>H147+P147*'NM Play'!$B$14-N147*'NM Play'!$B$12</f>
        <v/>
      </c>
      <c r="X147" s="160">
        <f>I147+U147-T147</f>
        <v/>
      </c>
      <c r="Y147" s="160">
        <f>MIN(N147,MAX(0,ROUNDDOWN('Sites'!$N$6*'Cases'!$E$7,0)-SUM(Y138:Y146)))</f>
        <v/>
      </c>
      <c r="Z147" s="160">
        <f>N147-Y147</f>
        <v/>
      </c>
      <c r="AA147" s="160">
        <f>U147*'NM Play'!$B$22</f>
        <v/>
      </c>
      <c r="AB147" s="160">
        <f>N147*SUM('NM Play'!$B$29:$B$31)</f>
        <v/>
      </c>
      <c r="AC147" s="160">
        <f>IF('Sites'!$C$6="Defy legs",P147*'NM Play'!$B$14/'NM Play'!$B$12*'NM Play'!$B$28,0)</f>
        <v/>
      </c>
      <c r="AD147" s="160">
        <f>Q147*'NM Play'!$B$23</f>
        <v/>
      </c>
      <c r="AE147" s="160">
        <f>S147*SUM('NM Play'!$B$26,'NM Play'!$B$33:$B$34)</f>
        <v/>
      </c>
      <c r="AF147" s="160">
        <f>IF('Sites'!$D$6="NM crew",S147*SUM('NM Play'!$B$24:$B$25),0)</f>
        <v/>
      </c>
      <c r="AG147" s="160">
        <f>IF('Sites'!$D$6="NM crew",S147*'NM Play'!$B$27,0)</f>
        <v/>
      </c>
      <c r="AH147" s="160">
        <f>N147*'Sites'!$Z$6*'NM Play'!$B$32</f>
        <v/>
      </c>
      <c r="AI147" s="160">
        <f>SUM(Y147:Z147)*'Sites'!$R$6</f>
        <v/>
      </c>
      <c r="AJ147" s="160">
        <f>SUM(AA147:AH147)</f>
        <v/>
      </c>
      <c r="AK147" s="160">
        <f>AJ147+(T147-U147)*'NM Play'!$B$22+MIN(G147,N147*'NM Play'!$B$11)/'NM Play'!$B$13*'NM Play'!$B$21*'NM Play'!$B$22+MIN(H147,N147*'NM Play'!$B$12)/'NM Play'!$B$14*IF('Sites'!$C$6="Own sheets",'NM Play'!$B$21*'NM Play'!$B$22,'NM Play'!$B$28*'NM Play'!$B$14/'NM Play'!$B$12)</f>
        <v/>
      </c>
      <c r="AL147" s="160">
        <f>Y147*'Assumptions'!AK66</f>
        <v/>
      </c>
      <c r="AM147" s="160">
        <f>IF('Sites'!$D$6="NM crew",S147*'NM Play'!$B$37*(1+IF(AND(ISNUMBER('NM Play'!$B$25),'NM Play'!$B$25&gt;0),1,0)),"")</f>
        <v/>
      </c>
      <c r="AN147" s="160">
        <f>IF(OR('Sites'!$E$6&lt;0,'Sites'!$E$6&gt;1,'Sites'!$F$6&lt;1,'Sites'!$G$6&lt;'Sites'!$F$6,F147&lt;0,MIN('Sites'!$I$6:'Sites'!$R$6)&lt;0,'Sites'!$L$6&gt;'Sites'!$I$6,'Sites'!$M$6&gt;'Sites'!$J$6,'Sites'!$N$6&gt;'Sites'!$K$6,'Sites'!$Z$6&lt;0,'Sites'!$Z$6&gt;1,MIN('Sites'!$AA$6:'Sites'!$AC$6)&lt;0,S147&gt;F147+0.001),1,0)</f>
        <v/>
      </c>
      <c r="AO147" s="160">
        <f>I147+U147-T147-X147</f>
        <v/>
      </c>
    </row>
    <row r="148" ht="28" customHeight="1">
      <c r="A148" s="4" t="inlineStr">
        <is>
          <t>Smaller</t>
        </is>
      </c>
      <c r="B148" s="4" t="inlineStr">
        <is>
          <t>WITTA</t>
        </is>
      </c>
      <c r="C148" s="160" t="n">
        <v>35</v>
      </c>
      <c r="D148" s="160">
        <f>ROUNDUP(C148/12,0)</f>
        <v/>
      </c>
      <c r="E148" s="160">
        <f>IF(AND('Sites'!$E$6=1,C148&gt;='Sites'!$F$6,C148&lt;='Sites'!$G$6),1,0)</f>
        <v/>
      </c>
      <c r="F148" s="160">
        <f>E148*'Assumptions'!AL67</f>
        <v/>
      </c>
      <c r="G148" s="160">
        <f>V147</f>
        <v/>
      </c>
      <c r="H148" s="160">
        <f>W147</f>
        <v/>
      </c>
      <c r="I148" s="160">
        <f>X147</f>
        <v/>
      </c>
      <c r="J148" s="160">
        <f>MAX(0,'Sites'!$K$6-SUM(N138:N147))</f>
        <v/>
      </c>
      <c r="K148" s="160">
        <f>IF('Sites'!$C$6="Own sheets",MIN(ROUNDDOWN(G148/'NM Play'!$B$11,0)+F148*'NM Play'!$B$10/'NM Play'!$B$43,ROUNDDOWN(H148/'NM Play'!$B$12,0)+F148*'NM Play'!$B$10/'NM Play'!$B$44,(F148*'NM Play'!$B$10+ROUNDDOWN(G148/'NM Play'!$B$11,0)*'NM Play'!$B$43+ROUNDDOWN(H148/'NM Play'!$B$12,0)*'NM Play'!$B$44)/('NM Play'!$B$43+'NM Play'!$B$44)),ROUNDDOWN(G148/'NM Play'!$B$11,0)+F148*'NM Play'!$B$10/'NM Play'!$B$43)</f>
        <v/>
      </c>
      <c r="L148" s="160">
        <f>MIN(ROUNDDOWN(G148/'NM Play'!$B$11,0)+F148/('NM Play'!$B$43/'NM Play'!$B$15),ROUNDDOWN(H148/'NM Play'!$B$12,0)+F148/('NM Play'!$B$44/'NM Play'!$B$16),(F148+ROUNDDOWN(G148/'NM Play'!$B$11,0)*'NM Play'!$B$43/'NM Play'!$B$15+ROUNDDOWN(H148/'NM Play'!$B$12,0)*'NM Play'!$B$44/'NM Play'!$B$16)/('NM Play'!$B$43/'NM Play'!$B$15+'NM Play'!$B$44/'NM Play'!$B$16))</f>
        <v/>
      </c>
      <c r="M148" s="160">
        <f>F148*'NM Play'!$B$36</f>
        <v/>
      </c>
      <c r="N148" s="160">
        <f>ROUNDDOWN(MAX(0,MIN(J148,K148:M148)),0)</f>
        <v/>
      </c>
      <c r="O148" s="160">
        <f>ROUNDUP(MAX(0,N148*'NM Play'!$B$11-G148)/'NM Play'!$B$13,0)</f>
        <v/>
      </c>
      <c r="P148" s="160">
        <f>ROUNDUP(MAX(0,N148*'NM Play'!$B$12-H148)/'NM Play'!$B$14,0)</f>
        <v/>
      </c>
      <c r="Q148" s="160">
        <f>(O148+IF('Sites'!$C$6="Own sheets",P148,0))/'NM Play'!$B$10</f>
        <v/>
      </c>
      <c r="R148" s="160">
        <f>O148/'NM Play'!$B$15+P148/'NM Play'!$B$16</f>
        <v/>
      </c>
      <c r="S148" s="160">
        <f>MAX(Q148,R148,N148/'NM Play'!$B$36)</f>
        <v/>
      </c>
      <c r="T148" s="160">
        <f>Q148*'NM Play'!$B$10*'NM Play'!$B$21*(1+'NM Play'!$B$35)</f>
        <v/>
      </c>
      <c r="U148" s="160">
        <f>MAX(0,T148-I148)</f>
        <v/>
      </c>
      <c r="V148" s="160">
        <f>G148+O148*'NM Play'!$B$13-N148*'NM Play'!$B$11</f>
        <v/>
      </c>
      <c r="W148" s="160">
        <f>H148+P148*'NM Play'!$B$14-N148*'NM Play'!$B$12</f>
        <v/>
      </c>
      <c r="X148" s="160">
        <f>I148+U148-T148</f>
        <v/>
      </c>
      <c r="Y148" s="160">
        <f>MIN(N148,MAX(0,ROUNDDOWN('Sites'!$N$6*'Cases'!$E$7,0)-SUM(Y138:Y147)))</f>
        <v/>
      </c>
      <c r="Z148" s="160">
        <f>N148-Y148</f>
        <v/>
      </c>
      <c r="AA148" s="160">
        <f>U148*'NM Play'!$B$22</f>
        <v/>
      </c>
      <c r="AB148" s="160">
        <f>N148*SUM('NM Play'!$B$29:$B$31)</f>
        <v/>
      </c>
      <c r="AC148" s="160">
        <f>IF('Sites'!$C$6="Defy legs",P148*'NM Play'!$B$14/'NM Play'!$B$12*'NM Play'!$B$28,0)</f>
        <v/>
      </c>
      <c r="AD148" s="160">
        <f>Q148*'NM Play'!$B$23</f>
        <v/>
      </c>
      <c r="AE148" s="160">
        <f>S148*SUM('NM Play'!$B$26,'NM Play'!$B$33:$B$34)</f>
        <v/>
      </c>
      <c r="AF148" s="160">
        <f>IF('Sites'!$D$6="NM crew",S148*SUM('NM Play'!$B$24:$B$25),0)</f>
        <v/>
      </c>
      <c r="AG148" s="160">
        <f>IF('Sites'!$D$6="NM crew",S148*'NM Play'!$B$27,0)</f>
        <v/>
      </c>
      <c r="AH148" s="160">
        <f>N148*'Sites'!$Z$6*'NM Play'!$B$32</f>
        <v/>
      </c>
      <c r="AI148" s="160">
        <f>SUM(Y148:Z148)*'Sites'!$R$6</f>
        <v/>
      </c>
      <c r="AJ148" s="160">
        <f>SUM(AA148:AH148)</f>
        <v/>
      </c>
      <c r="AK148" s="160">
        <f>AJ148+(T148-U148)*'NM Play'!$B$22+MIN(G148,N148*'NM Play'!$B$11)/'NM Play'!$B$13*'NM Play'!$B$21*'NM Play'!$B$22+MIN(H148,N148*'NM Play'!$B$12)/'NM Play'!$B$14*IF('Sites'!$C$6="Own sheets",'NM Play'!$B$21*'NM Play'!$B$22,'NM Play'!$B$28*'NM Play'!$B$14/'NM Play'!$B$12)</f>
        <v/>
      </c>
      <c r="AL148" s="160">
        <f>Y148*'Assumptions'!AL66</f>
        <v/>
      </c>
      <c r="AM148" s="160">
        <f>IF('Sites'!$D$6="NM crew",S148*'NM Play'!$B$37*(1+IF(AND(ISNUMBER('NM Play'!$B$25),'NM Play'!$B$25&gt;0),1,0)),"")</f>
        <v/>
      </c>
      <c r="AN148" s="160">
        <f>IF(OR('Sites'!$E$6&lt;0,'Sites'!$E$6&gt;1,'Sites'!$F$6&lt;1,'Sites'!$G$6&lt;'Sites'!$F$6,F148&lt;0,MIN('Sites'!$I$6:'Sites'!$R$6)&lt;0,'Sites'!$L$6&gt;'Sites'!$I$6,'Sites'!$M$6&gt;'Sites'!$J$6,'Sites'!$N$6&gt;'Sites'!$K$6,'Sites'!$Z$6&lt;0,'Sites'!$Z$6&gt;1,MIN('Sites'!$AA$6:'Sites'!$AC$6)&lt;0,S148&gt;F148+0.001),1,0)</f>
        <v/>
      </c>
      <c r="AO148" s="160">
        <f>I148+U148-T148-X148</f>
        <v/>
      </c>
    </row>
    <row r="149" ht="28" customHeight="1">
      <c r="A149" s="4" t="inlineStr">
        <is>
          <t>Smaller</t>
        </is>
      </c>
      <c r="B149" s="4" t="inlineStr">
        <is>
          <t>WITTA</t>
        </is>
      </c>
      <c r="C149" s="160" t="n">
        <v>36</v>
      </c>
      <c r="D149" s="160">
        <f>ROUNDUP(C149/12,0)</f>
        <v/>
      </c>
      <c r="E149" s="160">
        <f>IF(AND('Sites'!$E$6=1,C149&gt;='Sites'!$F$6,C149&lt;='Sites'!$G$6),1,0)</f>
        <v/>
      </c>
      <c r="F149" s="160">
        <f>E149*'Assumptions'!AM67</f>
        <v/>
      </c>
      <c r="G149" s="160">
        <f>V148</f>
        <v/>
      </c>
      <c r="H149" s="160">
        <f>W148</f>
        <v/>
      </c>
      <c r="I149" s="160">
        <f>X148</f>
        <v/>
      </c>
      <c r="J149" s="160">
        <f>MAX(0,'Sites'!$K$6-SUM(N138:N148))</f>
        <v/>
      </c>
      <c r="K149" s="160">
        <f>IF('Sites'!$C$6="Own sheets",MIN(ROUNDDOWN(G149/'NM Play'!$B$11,0)+F149*'NM Play'!$B$10/'NM Play'!$B$43,ROUNDDOWN(H149/'NM Play'!$B$12,0)+F149*'NM Play'!$B$10/'NM Play'!$B$44,(F149*'NM Play'!$B$10+ROUNDDOWN(G149/'NM Play'!$B$11,0)*'NM Play'!$B$43+ROUNDDOWN(H149/'NM Play'!$B$12,0)*'NM Play'!$B$44)/('NM Play'!$B$43+'NM Play'!$B$44)),ROUNDDOWN(G149/'NM Play'!$B$11,0)+F149*'NM Play'!$B$10/'NM Play'!$B$43)</f>
        <v/>
      </c>
      <c r="L149" s="160">
        <f>MIN(ROUNDDOWN(G149/'NM Play'!$B$11,0)+F149/('NM Play'!$B$43/'NM Play'!$B$15),ROUNDDOWN(H149/'NM Play'!$B$12,0)+F149/('NM Play'!$B$44/'NM Play'!$B$16),(F149+ROUNDDOWN(G149/'NM Play'!$B$11,0)*'NM Play'!$B$43/'NM Play'!$B$15+ROUNDDOWN(H149/'NM Play'!$B$12,0)*'NM Play'!$B$44/'NM Play'!$B$16)/('NM Play'!$B$43/'NM Play'!$B$15+'NM Play'!$B$44/'NM Play'!$B$16))</f>
        <v/>
      </c>
      <c r="M149" s="160">
        <f>F149*'NM Play'!$B$36</f>
        <v/>
      </c>
      <c r="N149" s="160">
        <f>ROUNDDOWN(MAX(0,MIN(J149,K149:M149)),0)</f>
        <v/>
      </c>
      <c r="O149" s="160">
        <f>ROUNDUP(MAX(0,N149*'NM Play'!$B$11-G149)/'NM Play'!$B$13,0)</f>
        <v/>
      </c>
      <c r="P149" s="160">
        <f>ROUNDUP(MAX(0,N149*'NM Play'!$B$12-H149)/'NM Play'!$B$14,0)</f>
        <v/>
      </c>
      <c r="Q149" s="160">
        <f>(O149+IF('Sites'!$C$6="Own sheets",P149,0))/'NM Play'!$B$10</f>
        <v/>
      </c>
      <c r="R149" s="160">
        <f>O149/'NM Play'!$B$15+P149/'NM Play'!$B$16</f>
        <v/>
      </c>
      <c r="S149" s="160">
        <f>MAX(Q149,R149,N149/'NM Play'!$B$36)</f>
        <v/>
      </c>
      <c r="T149" s="160">
        <f>Q149*'NM Play'!$B$10*'NM Play'!$B$21*(1+'NM Play'!$B$35)</f>
        <v/>
      </c>
      <c r="U149" s="160">
        <f>MAX(0,T149-I149)</f>
        <v/>
      </c>
      <c r="V149" s="160">
        <f>G149+O149*'NM Play'!$B$13-N149*'NM Play'!$B$11</f>
        <v/>
      </c>
      <c r="W149" s="160">
        <f>H149+P149*'NM Play'!$B$14-N149*'NM Play'!$B$12</f>
        <v/>
      </c>
      <c r="X149" s="160">
        <f>I149+U149-T149</f>
        <v/>
      </c>
      <c r="Y149" s="160">
        <f>MIN(N149,MAX(0,ROUNDDOWN('Sites'!$N$6*'Cases'!$E$7,0)-SUM(Y138:Y148)))</f>
        <v/>
      </c>
      <c r="Z149" s="160">
        <f>N149-Y149</f>
        <v/>
      </c>
      <c r="AA149" s="160">
        <f>U149*'NM Play'!$B$22</f>
        <v/>
      </c>
      <c r="AB149" s="160">
        <f>N149*SUM('NM Play'!$B$29:$B$31)</f>
        <v/>
      </c>
      <c r="AC149" s="160">
        <f>IF('Sites'!$C$6="Defy legs",P149*'NM Play'!$B$14/'NM Play'!$B$12*'NM Play'!$B$28,0)</f>
        <v/>
      </c>
      <c r="AD149" s="160">
        <f>Q149*'NM Play'!$B$23</f>
        <v/>
      </c>
      <c r="AE149" s="160">
        <f>S149*SUM('NM Play'!$B$26,'NM Play'!$B$33:$B$34)</f>
        <v/>
      </c>
      <c r="AF149" s="160">
        <f>IF('Sites'!$D$6="NM crew",S149*SUM('NM Play'!$B$24:$B$25),0)</f>
        <v/>
      </c>
      <c r="AG149" s="160">
        <f>IF('Sites'!$D$6="NM crew",S149*'NM Play'!$B$27,0)</f>
        <v/>
      </c>
      <c r="AH149" s="160">
        <f>N149*'Sites'!$Z$6*'NM Play'!$B$32</f>
        <v/>
      </c>
      <c r="AI149" s="160">
        <f>SUM(Y149:Z149)*'Sites'!$R$6</f>
        <v/>
      </c>
      <c r="AJ149" s="160">
        <f>SUM(AA149:AH149)</f>
        <v/>
      </c>
      <c r="AK149" s="160">
        <f>AJ149+(T149-U149)*'NM Play'!$B$22+MIN(G149,N149*'NM Play'!$B$11)/'NM Play'!$B$13*'NM Play'!$B$21*'NM Play'!$B$22+MIN(H149,N149*'NM Play'!$B$12)/'NM Play'!$B$14*IF('Sites'!$C$6="Own sheets",'NM Play'!$B$21*'NM Play'!$B$22,'NM Play'!$B$28*'NM Play'!$B$14/'NM Play'!$B$12)</f>
        <v/>
      </c>
      <c r="AL149" s="160">
        <f>Y149*'Assumptions'!AM66</f>
        <v/>
      </c>
      <c r="AM149" s="160">
        <f>IF('Sites'!$D$6="NM crew",S149*'NM Play'!$B$37*(1+IF(AND(ISNUMBER('NM Play'!$B$25),'NM Play'!$B$25&gt;0),1,0)),"")</f>
        <v/>
      </c>
      <c r="AN149" s="160">
        <f>IF(OR('Sites'!$E$6&lt;0,'Sites'!$E$6&gt;1,'Sites'!$F$6&lt;1,'Sites'!$G$6&lt;'Sites'!$F$6,F149&lt;0,MIN('Sites'!$I$6:'Sites'!$R$6)&lt;0,'Sites'!$L$6&gt;'Sites'!$I$6,'Sites'!$M$6&gt;'Sites'!$J$6,'Sites'!$N$6&gt;'Sites'!$K$6,'Sites'!$Z$6&lt;0,'Sites'!$Z$6&gt;1,MIN('Sites'!$AA$6:'Sites'!$AC$6)&lt;0,S149&gt;F149+0.001),1,0)</f>
        <v/>
      </c>
      <c r="AO149" s="160">
        <f>I149+U149-T149-X149</f>
        <v/>
      </c>
    </row>
    <row r="150" ht="28" customHeight="1">
      <c r="A150" s="4" t="inlineStr">
        <is>
          <t>Smaller</t>
        </is>
      </c>
      <c r="B150" s="4" t="inlineStr">
        <is>
          <t>NEW1</t>
        </is>
      </c>
      <c r="C150" s="160" t="n">
        <v>1</v>
      </c>
      <c r="D150" s="160">
        <f>ROUNDUP(C150/12,0)</f>
        <v/>
      </c>
      <c r="E150" s="160">
        <f>IF(AND('Sites'!$E$7=1,C150&gt;='Sites'!$F$7+'Cases'!$G$7,C150&lt;='Sites'!$G$7),1,0)</f>
        <v/>
      </c>
      <c r="F150" s="160">
        <f>E150*'Assumptions'!D68</f>
        <v/>
      </c>
      <c r="G150" s="160">
        <f>'Sites'!$AA$7</f>
        <v/>
      </c>
      <c r="H150" s="160">
        <f>'Sites'!$AB$7</f>
        <v/>
      </c>
      <c r="I150" s="160">
        <f>'Sites'!$AC$7</f>
        <v/>
      </c>
      <c r="J150" s="160">
        <f>MAX(0,'Sites'!$I$7-0)</f>
        <v/>
      </c>
      <c r="K150" s="160">
        <f>IF('Sites'!$C$7="Own sheets",MIN(ROUNDDOWN(G150/'NM Play'!$B$11,0)+F150*'NM Play'!$B$10/'NM Play'!$B$43,ROUNDDOWN(H150/'NM Play'!$B$12,0)+F150*'NM Play'!$B$10/'NM Play'!$B$44,(F150*'NM Play'!$B$10+ROUNDDOWN(G150/'NM Play'!$B$11,0)*'NM Play'!$B$43+ROUNDDOWN(H150/'NM Play'!$B$12,0)*'NM Play'!$B$44)/('NM Play'!$B$43+'NM Play'!$B$44)),ROUNDDOWN(G150/'NM Play'!$B$11,0)+F150*'NM Play'!$B$10/'NM Play'!$B$43)</f>
        <v/>
      </c>
      <c r="L150" s="160">
        <f>MIN(ROUNDDOWN(G150/'NM Play'!$B$11,0)+F150/('NM Play'!$B$43/'NM Play'!$B$15),ROUNDDOWN(H150/'NM Play'!$B$12,0)+F150/('NM Play'!$B$44/'NM Play'!$B$16),(F150+ROUNDDOWN(G150/'NM Play'!$B$11,0)*'NM Play'!$B$43/'NM Play'!$B$15+ROUNDDOWN(H150/'NM Play'!$B$12,0)*'NM Play'!$B$44/'NM Play'!$B$16)/('NM Play'!$B$43/'NM Play'!$B$15+'NM Play'!$B$44/'NM Play'!$B$16))</f>
        <v/>
      </c>
      <c r="M150" s="160">
        <f>F150*'NM Play'!$B$36</f>
        <v/>
      </c>
      <c r="N150" s="160">
        <f>ROUNDDOWN(MAX(0,MIN(J150,K150:M150)),0)</f>
        <v/>
      </c>
      <c r="O150" s="160">
        <f>ROUNDUP(MAX(0,N150*'NM Play'!$B$11-G150)/'NM Play'!$B$13,0)</f>
        <v/>
      </c>
      <c r="P150" s="160">
        <f>ROUNDUP(MAX(0,N150*'NM Play'!$B$12-H150)/'NM Play'!$B$14,0)</f>
        <v/>
      </c>
      <c r="Q150" s="160">
        <f>(O150+IF('Sites'!$C$7="Own sheets",P150,0))/'NM Play'!$B$10</f>
        <v/>
      </c>
      <c r="R150" s="160">
        <f>O150/'NM Play'!$B$15+P150/'NM Play'!$B$16</f>
        <v/>
      </c>
      <c r="S150" s="160">
        <f>MAX(Q150,R150,N150/'NM Play'!$B$36)</f>
        <v/>
      </c>
      <c r="T150" s="160">
        <f>Q150*'NM Play'!$B$10*'NM Play'!$B$21*(1+'NM Play'!$B$35)</f>
        <v/>
      </c>
      <c r="U150" s="160">
        <f>MAX(0,T150-I150)</f>
        <v/>
      </c>
      <c r="V150" s="160">
        <f>G150+O150*'NM Play'!$B$13-N150*'NM Play'!$B$11</f>
        <v/>
      </c>
      <c r="W150" s="160">
        <f>H150+P150*'NM Play'!$B$14-N150*'NM Play'!$B$12</f>
        <v/>
      </c>
      <c r="X150" s="160">
        <f>I150+U150-T150</f>
        <v/>
      </c>
      <c r="Y150" s="160">
        <f>MIN(N150,MAX(0,ROUNDDOWN('Sites'!$L$7*'Cases'!$E$7,0)-0))</f>
        <v/>
      </c>
      <c r="Z150" s="160">
        <f>N150-Y150</f>
        <v/>
      </c>
      <c r="AA150" s="160">
        <f>U150*'NM Play'!$B$22</f>
        <v/>
      </c>
      <c r="AB150" s="160">
        <f>N150*SUM('NM Play'!$B$29:$B$31)</f>
        <v/>
      </c>
      <c r="AC150" s="160">
        <f>IF('Sites'!$C$7="Defy legs",P150*'NM Play'!$B$14/'NM Play'!$B$12*'NM Play'!$B$28,0)</f>
        <v/>
      </c>
      <c r="AD150" s="160">
        <f>Q150*'NM Play'!$B$23</f>
        <v/>
      </c>
      <c r="AE150" s="160">
        <f>S150*SUM('NM Play'!$B$26,'NM Play'!$B$33:$B$34)</f>
        <v/>
      </c>
      <c r="AF150" s="160">
        <f>IF('Sites'!$D$7="NM crew",S150*SUM('NM Play'!$B$24:$B$25),0)</f>
        <v/>
      </c>
      <c r="AG150" s="160">
        <f>IF('Sites'!$D$7="NM crew",S150*'NM Play'!$B$27,0)</f>
        <v/>
      </c>
      <c r="AH150" s="160">
        <f>N150*'Sites'!$Z$7*'NM Play'!$B$32</f>
        <v/>
      </c>
      <c r="AI150" s="160">
        <f>SUM(Y150:Z150)*'Sites'!$R$7</f>
        <v/>
      </c>
      <c r="AJ150" s="160">
        <f>SUM(AA150:AH150)</f>
        <v/>
      </c>
      <c r="AK150" s="160">
        <f>AJ150+(T150-U150)*'NM Play'!$B$22+MIN(G150,N150*'NM Play'!$B$11)/'NM Play'!$B$13*'NM Play'!$B$21*'NM Play'!$B$22+MIN(H150,N150*'NM Play'!$B$12)/'NM Play'!$B$14*IF('Sites'!$C$7="Own sheets",'NM Play'!$B$21*'NM Play'!$B$22,'NM Play'!$B$28*'NM Play'!$B$14/'NM Play'!$B$12)</f>
        <v/>
      </c>
      <c r="AL150" s="160">
        <f>Y150*'Assumptions'!D66</f>
        <v/>
      </c>
      <c r="AM150" s="160">
        <f>IF('Sites'!$D$7="NM crew",S150*'NM Play'!$B$37*(1+IF(AND(ISNUMBER('NM Play'!$B$25),'NM Play'!$B$25&gt;0),1,0)),"")</f>
        <v/>
      </c>
      <c r="AN150" s="160">
        <f>IF(OR('Sites'!$E$7&lt;0,'Sites'!$E$7&gt;1,'Sites'!$F$7&lt;1,'Sites'!$G$7&lt;'Sites'!$F$7,F150&lt;0,MIN('Sites'!$I$7:'Sites'!$R$7)&lt;0,'Sites'!$L$7&gt;'Sites'!$I$7,'Sites'!$M$7&gt;'Sites'!$J$7,'Sites'!$N$7&gt;'Sites'!$K$7,'Sites'!$Z$7&lt;0,'Sites'!$Z$7&gt;1,MIN('Sites'!$AA$7:'Sites'!$AC$7)&lt;0,S150&gt;F150+0.001),1,0)</f>
        <v/>
      </c>
      <c r="AO150" s="160">
        <f>I150+U150-T150-X150</f>
        <v/>
      </c>
    </row>
    <row r="151" ht="28" customHeight="1">
      <c r="A151" s="4" t="inlineStr">
        <is>
          <t>Smaller</t>
        </is>
      </c>
      <c r="B151" s="4" t="inlineStr">
        <is>
          <t>NEW1</t>
        </is>
      </c>
      <c r="C151" s="160" t="n">
        <v>2</v>
      </c>
      <c r="D151" s="160">
        <f>ROUNDUP(C151/12,0)</f>
        <v/>
      </c>
      <c r="E151" s="160">
        <f>IF(AND('Sites'!$E$7=1,C151&gt;='Sites'!$F$7+'Cases'!$G$7,C151&lt;='Sites'!$G$7),1,0)</f>
        <v/>
      </c>
      <c r="F151" s="160">
        <f>E151*'Assumptions'!E68</f>
        <v/>
      </c>
      <c r="G151" s="160">
        <f>V150</f>
        <v/>
      </c>
      <c r="H151" s="160">
        <f>W150</f>
        <v/>
      </c>
      <c r="I151" s="160">
        <f>X150</f>
        <v/>
      </c>
      <c r="J151" s="160">
        <f>MAX(0,'Sites'!$I$7-SUM(N150:N150))</f>
        <v/>
      </c>
      <c r="K151" s="160">
        <f>IF('Sites'!$C$7="Own sheets",MIN(ROUNDDOWN(G151/'NM Play'!$B$11,0)+F151*'NM Play'!$B$10/'NM Play'!$B$43,ROUNDDOWN(H151/'NM Play'!$B$12,0)+F151*'NM Play'!$B$10/'NM Play'!$B$44,(F151*'NM Play'!$B$10+ROUNDDOWN(G151/'NM Play'!$B$11,0)*'NM Play'!$B$43+ROUNDDOWN(H151/'NM Play'!$B$12,0)*'NM Play'!$B$44)/('NM Play'!$B$43+'NM Play'!$B$44)),ROUNDDOWN(G151/'NM Play'!$B$11,0)+F151*'NM Play'!$B$10/'NM Play'!$B$43)</f>
        <v/>
      </c>
      <c r="L151" s="160">
        <f>MIN(ROUNDDOWN(G151/'NM Play'!$B$11,0)+F151/('NM Play'!$B$43/'NM Play'!$B$15),ROUNDDOWN(H151/'NM Play'!$B$12,0)+F151/('NM Play'!$B$44/'NM Play'!$B$16),(F151+ROUNDDOWN(G151/'NM Play'!$B$11,0)*'NM Play'!$B$43/'NM Play'!$B$15+ROUNDDOWN(H151/'NM Play'!$B$12,0)*'NM Play'!$B$44/'NM Play'!$B$16)/('NM Play'!$B$43/'NM Play'!$B$15+'NM Play'!$B$44/'NM Play'!$B$16))</f>
        <v/>
      </c>
      <c r="M151" s="160">
        <f>F151*'NM Play'!$B$36</f>
        <v/>
      </c>
      <c r="N151" s="160">
        <f>ROUNDDOWN(MAX(0,MIN(J151,K151:M151)),0)</f>
        <v/>
      </c>
      <c r="O151" s="160">
        <f>ROUNDUP(MAX(0,N151*'NM Play'!$B$11-G151)/'NM Play'!$B$13,0)</f>
        <v/>
      </c>
      <c r="P151" s="160">
        <f>ROUNDUP(MAX(0,N151*'NM Play'!$B$12-H151)/'NM Play'!$B$14,0)</f>
        <v/>
      </c>
      <c r="Q151" s="160">
        <f>(O151+IF('Sites'!$C$7="Own sheets",P151,0))/'NM Play'!$B$10</f>
        <v/>
      </c>
      <c r="R151" s="160">
        <f>O151/'NM Play'!$B$15+P151/'NM Play'!$B$16</f>
        <v/>
      </c>
      <c r="S151" s="160">
        <f>MAX(Q151,R151,N151/'NM Play'!$B$36)</f>
        <v/>
      </c>
      <c r="T151" s="160">
        <f>Q151*'NM Play'!$B$10*'NM Play'!$B$21*(1+'NM Play'!$B$35)</f>
        <v/>
      </c>
      <c r="U151" s="160">
        <f>MAX(0,T151-I151)</f>
        <v/>
      </c>
      <c r="V151" s="160">
        <f>G151+O151*'NM Play'!$B$13-N151*'NM Play'!$B$11</f>
        <v/>
      </c>
      <c r="W151" s="160">
        <f>H151+P151*'NM Play'!$B$14-N151*'NM Play'!$B$12</f>
        <v/>
      </c>
      <c r="X151" s="160">
        <f>I151+U151-T151</f>
        <v/>
      </c>
      <c r="Y151" s="160">
        <f>MIN(N151,MAX(0,ROUNDDOWN('Sites'!$L$7*'Cases'!$E$7,0)-SUM(Y150:Y150)))</f>
        <v/>
      </c>
      <c r="Z151" s="160">
        <f>N151-Y151</f>
        <v/>
      </c>
      <c r="AA151" s="160">
        <f>U151*'NM Play'!$B$22</f>
        <v/>
      </c>
      <c r="AB151" s="160">
        <f>N151*SUM('NM Play'!$B$29:$B$31)</f>
        <v/>
      </c>
      <c r="AC151" s="160">
        <f>IF('Sites'!$C$7="Defy legs",P151*'NM Play'!$B$14/'NM Play'!$B$12*'NM Play'!$B$28,0)</f>
        <v/>
      </c>
      <c r="AD151" s="160">
        <f>Q151*'NM Play'!$B$23</f>
        <v/>
      </c>
      <c r="AE151" s="160">
        <f>S151*SUM('NM Play'!$B$26,'NM Play'!$B$33:$B$34)</f>
        <v/>
      </c>
      <c r="AF151" s="160">
        <f>IF('Sites'!$D$7="NM crew",S151*SUM('NM Play'!$B$24:$B$25),0)</f>
        <v/>
      </c>
      <c r="AG151" s="160">
        <f>IF('Sites'!$D$7="NM crew",S151*'NM Play'!$B$27,0)</f>
        <v/>
      </c>
      <c r="AH151" s="160">
        <f>N151*'Sites'!$Z$7*'NM Play'!$B$32</f>
        <v/>
      </c>
      <c r="AI151" s="160">
        <f>SUM(Y151:Z151)*'Sites'!$R$7</f>
        <v/>
      </c>
      <c r="AJ151" s="160">
        <f>SUM(AA151:AH151)</f>
        <v/>
      </c>
      <c r="AK151" s="160">
        <f>AJ151+(T151-U151)*'NM Play'!$B$22+MIN(G151,N151*'NM Play'!$B$11)/'NM Play'!$B$13*'NM Play'!$B$21*'NM Play'!$B$22+MIN(H151,N151*'NM Play'!$B$12)/'NM Play'!$B$14*IF('Sites'!$C$7="Own sheets",'NM Play'!$B$21*'NM Play'!$B$22,'NM Play'!$B$28*'NM Play'!$B$14/'NM Play'!$B$12)</f>
        <v/>
      </c>
      <c r="AL151" s="160">
        <f>Y151*'Assumptions'!E66</f>
        <v/>
      </c>
      <c r="AM151" s="160">
        <f>IF('Sites'!$D$7="NM crew",S151*'NM Play'!$B$37*(1+IF(AND(ISNUMBER('NM Play'!$B$25),'NM Play'!$B$25&gt;0),1,0)),"")</f>
        <v/>
      </c>
      <c r="AN151" s="160">
        <f>IF(OR('Sites'!$E$7&lt;0,'Sites'!$E$7&gt;1,'Sites'!$F$7&lt;1,'Sites'!$G$7&lt;'Sites'!$F$7,F151&lt;0,MIN('Sites'!$I$7:'Sites'!$R$7)&lt;0,'Sites'!$L$7&gt;'Sites'!$I$7,'Sites'!$M$7&gt;'Sites'!$J$7,'Sites'!$N$7&gt;'Sites'!$K$7,'Sites'!$Z$7&lt;0,'Sites'!$Z$7&gt;1,MIN('Sites'!$AA$7:'Sites'!$AC$7)&lt;0,S151&gt;F151+0.001),1,0)</f>
        <v/>
      </c>
      <c r="AO151" s="160">
        <f>I151+U151-T151-X151</f>
        <v/>
      </c>
    </row>
    <row r="152" ht="28" customHeight="1">
      <c r="A152" s="4" t="inlineStr">
        <is>
          <t>Smaller</t>
        </is>
      </c>
      <c r="B152" s="4" t="inlineStr">
        <is>
          <t>NEW1</t>
        </is>
      </c>
      <c r="C152" s="160" t="n">
        <v>3</v>
      </c>
      <c r="D152" s="160">
        <f>ROUNDUP(C152/12,0)</f>
        <v/>
      </c>
      <c r="E152" s="160">
        <f>IF(AND('Sites'!$E$7=1,C152&gt;='Sites'!$F$7+'Cases'!$G$7,C152&lt;='Sites'!$G$7),1,0)</f>
        <v/>
      </c>
      <c r="F152" s="160">
        <f>E152*'Assumptions'!F68</f>
        <v/>
      </c>
      <c r="G152" s="160">
        <f>V151</f>
        <v/>
      </c>
      <c r="H152" s="160">
        <f>W151</f>
        <v/>
      </c>
      <c r="I152" s="160">
        <f>X151</f>
        <v/>
      </c>
      <c r="J152" s="160">
        <f>MAX(0,'Sites'!$I$7-SUM(N150:N151))</f>
        <v/>
      </c>
      <c r="K152" s="160">
        <f>IF('Sites'!$C$7="Own sheets",MIN(ROUNDDOWN(G152/'NM Play'!$B$11,0)+F152*'NM Play'!$B$10/'NM Play'!$B$43,ROUNDDOWN(H152/'NM Play'!$B$12,0)+F152*'NM Play'!$B$10/'NM Play'!$B$44,(F152*'NM Play'!$B$10+ROUNDDOWN(G152/'NM Play'!$B$11,0)*'NM Play'!$B$43+ROUNDDOWN(H152/'NM Play'!$B$12,0)*'NM Play'!$B$44)/('NM Play'!$B$43+'NM Play'!$B$44)),ROUNDDOWN(G152/'NM Play'!$B$11,0)+F152*'NM Play'!$B$10/'NM Play'!$B$43)</f>
        <v/>
      </c>
      <c r="L152" s="160">
        <f>MIN(ROUNDDOWN(G152/'NM Play'!$B$11,0)+F152/('NM Play'!$B$43/'NM Play'!$B$15),ROUNDDOWN(H152/'NM Play'!$B$12,0)+F152/('NM Play'!$B$44/'NM Play'!$B$16),(F152+ROUNDDOWN(G152/'NM Play'!$B$11,0)*'NM Play'!$B$43/'NM Play'!$B$15+ROUNDDOWN(H152/'NM Play'!$B$12,0)*'NM Play'!$B$44/'NM Play'!$B$16)/('NM Play'!$B$43/'NM Play'!$B$15+'NM Play'!$B$44/'NM Play'!$B$16))</f>
        <v/>
      </c>
      <c r="M152" s="160">
        <f>F152*'NM Play'!$B$36</f>
        <v/>
      </c>
      <c r="N152" s="160">
        <f>ROUNDDOWN(MAX(0,MIN(J152,K152:M152)),0)</f>
        <v/>
      </c>
      <c r="O152" s="160">
        <f>ROUNDUP(MAX(0,N152*'NM Play'!$B$11-G152)/'NM Play'!$B$13,0)</f>
        <v/>
      </c>
      <c r="P152" s="160">
        <f>ROUNDUP(MAX(0,N152*'NM Play'!$B$12-H152)/'NM Play'!$B$14,0)</f>
        <v/>
      </c>
      <c r="Q152" s="160">
        <f>(O152+IF('Sites'!$C$7="Own sheets",P152,0))/'NM Play'!$B$10</f>
        <v/>
      </c>
      <c r="R152" s="160">
        <f>O152/'NM Play'!$B$15+P152/'NM Play'!$B$16</f>
        <v/>
      </c>
      <c r="S152" s="160">
        <f>MAX(Q152,R152,N152/'NM Play'!$B$36)</f>
        <v/>
      </c>
      <c r="T152" s="160">
        <f>Q152*'NM Play'!$B$10*'NM Play'!$B$21*(1+'NM Play'!$B$35)</f>
        <v/>
      </c>
      <c r="U152" s="160">
        <f>MAX(0,T152-I152)</f>
        <v/>
      </c>
      <c r="V152" s="160">
        <f>G152+O152*'NM Play'!$B$13-N152*'NM Play'!$B$11</f>
        <v/>
      </c>
      <c r="W152" s="160">
        <f>H152+P152*'NM Play'!$B$14-N152*'NM Play'!$B$12</f>
        <v/>
      </c>
      <c r="X152" s="160">
        <f>I152+U152-T152</f>
        <v/>
      </c>
      <c r="Y152" s="160">
        <f>MIN(N152,MAX(0,ROUNDDOWN('Sites'!$L$7*'Cases'!$E$7,0)-SUM(Y150:Y151)))</f>
        <v/>
      </c>
      <c r="Z152" s="160">
        <f>N152-Y152</f>
        <v/>
      </c>
      <c r="AA152" s="160">
        <f>U152*'NM Play'!$B$22</f>
        <v/>
      </c>
      <c r="AB152" s="160">
        <f>N152*SUM('NM Play'!$B$29:$B$31)</f>
        <v/>
      </c>
      <c r="AC152" s="160">
        <f>IF('Sites'!$C$7="Defy legs",P152*'NM Play'!$B$14/'NM Play'!$B$12*'NM Play'!$B$28,0)</f>
        <v/>
      </c>
      <c r="AD152" s="160">
        <f>Q152*'NM Play'!$B$23</f>
        <v/>
      </c>
      <c r="AE152" s="160">
        <f>S152*SUM('NM Play'!$B$26,'NM Play'!$B$33:$B$34)</f>
        <v/>
      </c>
      <c r="AF152" s="160">
        <f>IF('Sites'!$D$7="NM crew",S152*SUM('NM Play'!$B$24:$B$25),0)</f>
        <v/>
      </c>
      <c r="AG152" s="160">
        <f>IF('Sites'!$D$7="NM crew",S152*'NM Play'!$B$27,0)</f>
        <v/>
      </c>
      <c r="AH152" s="160">
        <f>N152*'Sites'!$Z$7*'NM Play'!$B$32</f>
        <v/>
      </c>
      <c r="AI152" s="160">
        <f>SUM(Y152:Z152)*'Sites'!$R$7</f>
        <v/>
      </c>
      <c r="AJ152" s="160">
        <f>SUM(AA152:AH152)</f>
        <v/>
      </c>
      <c r="AK152" s="160">
        <f>AJ152+(T152-U152)*'NM Play'!$B$22+MIN(G152,N152*'NM Play'!$B$11)/'NM Play'!$B$13*'NM Play'!$B$21*'NM Play'!$B$22+MIN(H152,N152*'NM Play'!$B$12)/'NM Play'!$B$14*IF('Sites'!$C$7="Own sheets",'NM Play'!$B$21*'NM Play'!$B$22,'NM Play'!$B$28*'NM Play'!$B$14/'NM Play'!$B$12)</f>
        <v/>
      </c>
      <c r="AL152" s="160">
        <f>Y152*'Assumptions'!F66</f>
        <v/>
      </c>
      <c r="AM152" s="160">
        <f>IF('Sites'!$D$7="NM crew",S152*'NM Play'!$B$37*(1+IF(AND(ISNUMBER('NM Play'!$B$25),'NM Play'!$B$25&gt;0),1,0)),"")</f>
        <v/>
      </c>
      <c r="AN152" s="160">
        <f>IF(OR('Sites'!$E$7&lt;0,'Sites'!$E$7&gt;1,'Sites'!$F$7&lt;1,'Sites'!$G$7&lt;'Sites'!$F$7,F152&lt;0,MIN('Sites'!$I$7:'Sites'!$R$7)&lt;0,'Sites'!$L$7&gt;'Sites'!$I$7,'Sites'!$M$7&gt;'Sites'!$J$7,'Sites'!$N$7&gt;'Sites'!$K$7,'Sites'!$Z$7&lt;0,'Sites'!$Z$7&gt;1,MIN('Sites'!$AA$7:'Sites'!$AC$7)&lt;0,S152&gt;F152+0.001),1,0)</f>
        <v/>
      </c>
      <c r="AO152" s="160">
        <f>I152+U152-T152-X152</f>
        <v/>
      </c>
    </row>
    <row r="153" ht="28" customHeight="1">
      <c r="A153" s="4" t="inlineStr">
        <is>
          <t>Smaller</t>
        </is>
      </c>
      <c r="B153" s="4" t="inlineStr">
        <is>
          <t>NEW1</t>
        </is>
      </c>
      <c r="C153" s="160" t="n">
        <v>4</v>
      </c>
      <c r="D153" s="160">
        <f>ROUNDUP(C153/12,0)</f>
        <v/>
      </c>
      <c r="E153" s="160">
        <f>IF(AND('Sites'!$E$7=1,C153&gt;='Sites'!$F$7+'Cases'!$G$7,C153&lt;='Sites'!$G$7),1,0)</f>
        <v/>
      </c>
      <c r="F153" s="160">
        <f>E153*'Assumptions'!G68</f>
        <v/>
      </c>
      <c r="G153" s="160">
        <f>V152</f>
        <v/>
      </c>
      <c r="H153" s="160">
        <f>W152</f>
        <v/>
      </c>
      <c r="I153" s="160">
        <f>X152</f>
        <v/>
      </c>
      <c r="J153" s="160">
        <f>MAX(0,'Sites'!$I$7-SUM(N150:N152))</f>
        <v/>
      </c>
      <c r="K153" s="160">
        <f>IF('Sites'!$C$7="Own sheets",MIN(ROUNDDOWN(G153/'NM Play'!$B$11,0)+F153*'NM Play'!$B$10/'NM Play'!$B$43,ROUNDDOWN(H153/'NM Play'!$B$12,0)+F153*'NM Play'!$B$10/'NM Play'!$B$44,(F153*'NM Play'!$B$10+ROUNDDOWN(G153/'NM Play'!$B$11,0)*'NM Play'!$B$43+ROUNDDOWN(H153/'NM Play'!$B$12,0)*'NM Play'!$B$44)/('NM Play'!$B$43+'NM Play'!$B$44)),ROUNDDOWN(G153/'NM Play'!$B$11,0)+F153*'NM Play'!$B$10/'NM Play'!$B$43)</f>
        <v/>
      </c>
      <c r="L153" s="160">
        <f>MIN(ROUNDDOWN(G153/'NM Play'!$B$11,0)+F153/('NM Play'!$B$43/'NM Play'!$B$15),ROUNDDOWN(H153/'NM Play'!$B$12,0)+F153/('NM Play'!$B$44/'NM Play'!$B$16),(F153+ROUNDDOWN(G153/'NM Play'!$B$11,0)*'NM Play'!$B$43/'NM Play'!$B$15+ROUNDDOWN(H153/'NM Play'!$B$12,0)*'NM Play'!$B$44/'NM Play'!$B$16)/('NM Play'!$B$43/'NM Play'!$B$15+'NM Play'!$B$44/'NM Play'!$B$16))</f>
        <v/>
      </c>
      <c r="M153" s="160">
        <f>F153*'NM Play'!$B$36</f>
        <v/>
      </c>
      <c r="N153" s="160">
        <f>ROUNDDOWN(MAX(0,MIN(J153,K153:M153)),0)</f>
        <v/>
      </c>
      <c r="O153" s="160">
        <f>ROUNDUP(MAX(0,N153*'NM Play'!$B$11-G153)/'NM Play'!$B$13,0)</f>
        <v/>
      </c>
      <c r="P153" s="160">
        <f>ROUNDUP(MAX(0,N153*'NM Play'!$B$12-H153)/'NM Play'!$B$14,0)</f>
        <v/>
      </c>
      <c r="Q153" s="160">
        <f>(O153+IF('Sites'!$C$7="Own sheets",P153,0))/'NM Play'!$B$10</f>
        <v/>
      </c>
      <c r="R153" s="160">
        <f>O153/'NM Play'!$B$15+P153/'NM Play'!$B$16</f>
        <v/>
      </c>
      <c r="S153" s="160">
        <f>MAX(Q153,R153,N153/'NM Play'!$B$36)</f>
        <v/>
      </c>
      <c r="T153" s="160">
        <f>Q153*'NM Play'!$B$10*'NM Play'!$B$21*(1+'NM Play'!$B$35)</f>
        <v/>
      </c>
      <c r="U153" s="160">
        <f>MAX(0,T153-I153)</f>
        <v/>
      </c>
      <c r="V153" s="160">
        <f>G153+O153*'NM Play'!$B$13-N153*'NM Play'!$B$11</f>
        <v/>
      </c>
      <c r="W153" s="160">
        <f>H153+P153*'NM Play'!$B$14-N153*'NM Play'!$B$12</f>
        <v/>
      </c>
      <c r="X153" s="160">
        <f>I153+U153-T153</f>
        <v/>
      </c>
      <c r="Y153" s="160">
        <f>MIN(N153,MAX(0,ROUNDDOWN('Sites'!$L$7*'Cases'!$E$7,0)-SUM(Y150:Y152)))</f>
        <v/>
      </c>
      <c r="Z153" s="160">
        <f>N153-Y153</f>
        <v/>
      </c>
      <c r="AA153" s="160">
        <f>U153*'NM Play'!$B$22</f>
        <v/>
      </c>
      <c r="AB153" s="160">
        <f>N153*SUM('NM Play'!$B$29:$B$31)</f>
        <v/>
      </c>
      <c r="AC153" s="160">
        <f>IF('Sites'!$C$7="Defy legs",P153*'NM Play'!$B$14/'NM Play'!$B$12*'NM Play'!$B$28,0)</f>
        <v/>
      </c>
      <c r="AD153" s="160">
        <f>Q153*'NM Play'!$B$23</f>
        <v/>
      </c>
      <c r="AE153" s="160">
        <f>S153*SUM('NM Play'!$B$26,'NM Play'!$B$33:$B$34)</f>
        <v/>
      </c>
      <c r="AF153" s="160">
        <f>IF('Sites'!$D$7="NM crew",S153*SUM('NM Play'!$B$24:$B$25),0)</f>
        <v/>
      </c>
      <c r="AG153" s="160">
        <f>IF('Sites'!$D$7="NM crew",S153*'NM Play'!$B$27,0)</f>
        <v/>
      </c>
      <c r="AH153" s="160">
        <f>N153*'Sites'!$Z$7*'NM Play'!$B$32</f>
        <v/>
      </c>
      <c r="AI153" s="160">
        <f>SUM(Y153:Z153)*'Sites'!$R$7</f>
        <v/>
      </c>
      <c r="AJ153" s="160">
        <f>SUM(AA153:AH153)</f>
        <v/>
      </c>
      <c r="AK153" s="160">
        <f>AJ153+(T153-U153)*'NM Play'!$B$22+MIN(G153,N153*'NM Play'!$B$11)/'NM Play'!$B$13*'NM Play'!$B$21*'NM Play'!$B$22+MIN(H153,N153*'NM Play'!$B$12)/'NM Play'!$B$14*IF('Sites'!$C$7="Own sheets",'NM Play'!$B$21*'NM Play'!$B$22,'NM Play'!$B$28*'NM Play'!$B$14/'NM Play'!$B$12)</f>
        <v/>
      </c>
      <c r="AL153" s="160">
        <f>Y153*'Assumptions'!G66</f>
        <v/>
      </c>
      <c r="AM153" s="160">
        <f>IF('Sites'!$D$7="NM crew",S153*'NM Play'!$B$37*(1+IF(AND(ISNUMBER('NM Play'!$B$25),'NM Play'!$B$25&gt;0),1,0)),"")</f>
        <v/>
      </c>
      <c r="AN153" s="160">
        <f>IF(OR('Sites'!$E$7&lt;0,'Sites'!$E$7&gt;1,'Sites'!$F$7&lt;1,'Sites'!$G$7&lt;'Sites'!$F$7,F153&lt;0,MIN('Sites'!$I$7:'Sites'!$R$7)&lt;0,'Sites'!$L$7&gt;'Sites'!$I$7,'Sites'!$M$7&gt;'Sites'!$J$7,'Sites'!$N$7&gt;'Sites'!$K$7,'Sites'!$Z$7&lt;0,'Sites'!$Z$7&gt;1,MIN('Sites'!$AA$7:'Sites'!$AC$7)&lt;0,S153&gt;F153+0.001),1,0)</f>
        <v/>
      </c>
      <c r="AO153" s="160">
        <f>I153+U153-T153-X153</f>
        <v/>
      </c>
    </row>
    <row r="154" ht="28" customHeight="1">
      <c r="A154" s="4" t="inlineStr">
        <is>
          <t>Smaller</t>
        </is>
      </c>
      <c r="B154" s="4" t="inlineStr">
        <is>
          <t>NEW1</t>
        </is>
      </c>
      <c r="C154" s="160" t="n">
        <v>5</v>
      </c>
      <c r="D154" s="160">
        <f>ROUNDUP(C154/12,0)</f>
        <v/>
      </c>
      <c r="E154" s="160">
        <f>IF(AND('Sites'!$E$7=1,C154&gt;='Sites'!$F$7+'Cases'!$G$7,C154&lt;='Sites'!$G$7),1,0)</f>
        <v/>
      </c>
      <c r="F154" s="160">
        <f>E154*'Assumptions'!H68</f>
        <v/>
      </c>
      <c r="G154" s="160">
        <f>V153</f>
        <v/>
      </c>
      <c r="H154" s="160">
        <f>W153</f>
        <v/>
      </c>
      <c r="I154" s="160">
        <f>X153</f>
        <v/>
      </c>
      <c r="J154" s="160">
        <f>MAX(0,'Sites'!$I$7-SUM(N150:N153))</f>
        <v/>
      </c>
      <c r="K154" s="160">
        <f>IF('Sites'!$C$7="Own sheets",MIN(ROUNDDOWN(G154/'NM Play'!$B$11,0)+F154*'NM Play'!$B$10/'NM Play'!$B$43,ROUNDDOWN(H154/'NM Play'!$B$12,0)+F154*'NM Play'!$B$10/'NM Play'!$B$44,(F154*'NM Play'!$B$10+ROUNDDOWN(G154/'NM Play'!$B$11,0)*'NM Play'!$B$43+ROUNDDOWN(H154/'NM Play'!$B$12,0)*'NM Play'!$B$44)/('NM Play'!$B$43+'NM Play'!$B$44)),ROUNDDOWN(G154/'NM Play'!$B$11,0)+F154*'NM Play'!$B$10/'NM Play'!$B$43)</f>
        <v/>
      </c>
      <c r="L154" s="160">
        <f>MIN(ROUNDDOWN(G154/'NM Play'!$B$11,0)+F154/('NM Play'!$B$43/'NM Play'!$B$15),ROUNDDOWN(H154/'NM Play'!$B$12,0)+F154/('NM Play'!$B$44/'NM Play'!$B$16),(F154+ROUNDDOWN(G154/'NM Play'!$B$11,0)*'NM Play'!$B$43/'NM Play'!$B$15+ROUNDDOWN(H154/'NM Play'!$B$12,0)*'NM Play'!$B$44/'NM Play'!$B$16)/('NM Play'!$B$43/'NM Play'!$B$15+'NM Play'!$B$44/'NM Play'!$B$16))</f>
        <v/>
      </c>
      <c r="M154" s="160">
        <f>F154*'NM Play'!$B$36</f>
        <v/>
      </c>
      <c r="N154" s="160">
        <f>ROUNDDOWN(MAX(0,MIN(J154,K154:M154)),0)</f>
        <v/>
      </c>
      <c r="O154" s="160">
        <f>ROUNDUP(MAX(0,N154*'NM Play'!$B$11-G154)/'NM Play'!$B$13,0)</f>
        <v/>
      </c>
      <c r="P154" s="160">
        <f>ROUNDUP(MAX(0,N154*'NM Play'!$B$12-H154)/'NM Play'!$B$14,0)</f>
        <v/>
      </c>
      <c r="Q154" s="160">
        <f>(O154+IF('Sites'!$C$7="Own sheets",P154,0))/'NM Play'!$B$10</f>
        <v/>
      </c>
      <c r="R154" s="160">
        <f>O154/'NM Play'!$B$15+P154/'NM Play'!$B$16</f>
        <v/>
      </c>
      <c r="S154" s="160">
        <f>MAX(Q154,R154,N154/'NM Play'!$B$36)</f>
        <v/>
      </c>
      <c r="T154" s="160">
        <f>Q154*'NM Play'!$B$10*'NM Play'!$B$21*(1+'NM Play'!$B$35)</f>
        <v/>
      </c>
      <c r="U154" s="160">
        <f>MAX(0,T154-I154)</f>
        <v/>
      </c>
      <c r="V154" s="160">
        <f>G154+O154*'NM Play'!$B$13-N154*'NM Play'!$B$11</f>
        <v/>
      </c>
      <c r="W154" s="160">
        <f>H154+P154*'NM Play'!$B$14-N154*'NM Play'!$B$12</f>
        <v/>
      </c>
      <c r="X154" s="160">
        <f>I154+U154-T154</f>
        <v/>
      </c>
      <c r="Y154" s="160">
        <f>MIN(N154,MAX(0,ROUNDDOWN('Sites'!$L$7*'Cases'!$E$7,0)-SUM(Y150:Y153)))</f>
        <v/>
      </c>
      <c r="Z154" s="160">
        <f>N154-Y154</f>
        <v/>
      </c>
      <c r="AA154" s="160">
        <f>U154*'NM Play'!$B$22</f>
        <v/>
      </c>
      <c r="AB154" s="160">
        <f>N154*SUM('NM Play'!$B$29:$B$31)</f>
        <v/>
      </c>
      <c r="AC154" s="160">
        <f>IF('Sites'!$C$7="Defy legs",P154*'NM Play'!$B$14/'NM Play'!$B$12*'NM Play'!$B$28,0)</f>
        <v/>
      </c>
      <c r="AD154" s="160">
        <f>Q154*'NM Play'!$B$23</f>
        <v/>
      </c>
      <c r="AE154" s="160">
        <f>S154*SUM('NM Play'!$B$26,'NM Play'!$B$33:$B$34)</f>
        <v/>
      </c>
      <c r="AF154" s="160">
        <f>IF('Sites'!$D$7="NM crew",S154*SUM('NM Play'!$B$24:$B$25),0)</f>
        <v/>
      </c>
      <c r="AG154" s="160">
        <f>IF('Sites'!$D$7="NM crew",S154*'NM Play'!$B$27,0)</f>
        <v/>
      </c>
      <c r="AH154" s="160">
        <f>N154*'Sites'!$Z$7*'NM Play'!$B$32</f>
        <v/>
      </c>
      <c r="AI154" s="160">
        <f>SUM(Y154:Z154)*'Sites'!$R$7</f>
        <v/>
      </c>
      <c r="AJ154" s="160">
        <f>SUM(AA154:AH154)</f>
        <v/>
      </c>
      <c r="AK154" s="160">
        <f>AJ154+(T154-U154)*'NM Play'!$B$22+MIN(G154,N154*'NM Play'!$B$11)/'NM Play'!$B$13*'NM Play'!$B$21*'NM Play'!$B$22+MIN(H154,N154*'NM Play'!$B$12)/'NM Play'!$B$14*IF('Sites'!$C$7="Own sheets",'NM Play'!$B$21*'NM Play'!$B$22,'NM Play'!$B$28*'NM Play'!$B$14/'NM Play'!$B$12)</f>
        <v/>
      </c>
      <c r="AL154" s="160">
        <f>Y154*'Assumptions'!H66</f>
        <v/>
      </c>
      <c r="AM154" s="160">
        <f>IF('Sites'!$D$7="NM crew",S154*'NM Play'!$B$37*(1+IF(AND(ISNUMBER('NM Play'!$B$25),'NM Play'!$B$25&gt;0),1,0)),"")</f>
        <v/>
      </c>
      <c r="AN154" s="160">
        <f>IF(OR('Sites'!$E$7&lt;0,'Sites'!$E$7&gt;1,'Sites'!$F$7&lt;1,'Sites'!$G$7&lt;'Sites'!$F$7,F154&lt;0,MIN('Sites'!$I$7:'Sites'!$R$7)&lt;0,'Sites'!$L$7&gt;'Sites'!$I$7,'Sites'!$M$7&gt;'Sites'!$J$7,'Sites'!$N$7&gt;'Sites'!$K$7,'Sites'!$Z$7&lt;0,'Sites'!$Z$7&gt;1,MIN('Sites'!$AA$7:'Sites'!$AC$7)&lt;0,S154&gt;F154+0.001),1,0)</f>
        <v/>
      </c>
      <c r="AO154" s="160">
        <f>I154+U154-T154-X154</f>
        <v/>
      </c>
    </row>
    <row r="155" ht="28" customHeight="1">
      <c r="A155" s="4" t="inlineStr">
        <is>
          <t>Smaller</t>
        </is>
      </c>
      <c r="B155" s="4" t="inlineStr">
        <is>
          <t>NEW1</t>
        </is>
      </c>
      <c r="C155" s="160" t="n">
        <v>6</v>
      </c>
      <c r="D155" s="160">
        <f>ROUNDUP(C155/12,0)</f>
        <v/>
      </c>
      <c r="E155" s="160">
        <f>IF(AND('Sites'!$E$7=1,C155&gt;='Sites'!$F$7+'Cases'!$G$7,C155&lt;='Sites'!$G$7),1,0)</f>
        <v/>
      </c>
      <c r="F155" s="160">
        <f>E155*'Assumptions'!I68</f>
        <v/>
      </c>
      <c r="G155" s="160">
        <f>V154</f>
        <v/>
      </c>
      <c r="H155" s="160">
        <f>W154</f>
        <v/>
      </c>
      <c r="I155" s="160">
        <f>X154</f>
        <v/>
      </c>
      <c r="J155" s="160">
        <f>MAX(0,'Sites'!$I$7-SUM(N150:N154))</f>
        <v/>
      </c>
      <c r="K155" s="160">
        <f>IF('Sites'!$C$7="Own sheets",MIN(ROUNDDOWN(G155/'NM Play'!$B$11,0)+F155*'NM Play'!$B$10/'NM Play'!$B$43,ROUNDDOWN(H155/'NM Play'!$B$12,0)+F155*'NM Play'!$B$10/'NM Play'!$B$44,(F155*'NM Play'!$B$10+ROUNDDOWN(G155/'NM Play'!$B$11,0)*'NM Play'!$B$43+ROUNDDOWN(H155/'NM Play'!$B$12,0)*'NM Play'!$B$44)/('NM Play'!$B$43+'NM Play'!$B$44)),ROUNDDOWN(G155/'NM Play'!$B$11,0)+F155*'NM Play'!$B$10/'NM Play'!$B$43)</f>
        <v/>
      </c>
      <c r="L155" s="160">
        <f>MIN(ROUNDDOWN(G155/'NM Play'!$B$11,0)+F155/('NM Play'!$B$43/'NM Play'!$B$15),ROUNDDOWN(H155/'NM Play'!$B$12,0)+F155/('NM Play'!$B$44/'NM Play'!$B$16),(F155+ROUNDDOWN(G155/'NM Play'!$B$11,0)*'NM Play'!$B$43/'NM Play'!$B$15+ROUNDDOWN(H155/'NM Play'!$B$12,0)*'NM Play'!$B$44/'NM Play'!$B$16)/('NM Play'!$B$43/'NM Play'!$B$15+'NM Play'!$B$44/'NM Play'!$B$16))</f>
        <v/>
      </c>
      <c r="M155" s="160">
        <f>F155*'NM Play'!$B$36</f>
        <v/>
      </c>
      <c r="N155" s="160">
        <f>ROUNDDOWN(MAX(0,MIN(J155,K155:M155)),0)</f>
        <v/>
      </c>
      <c r="O155" s="160">
        <f>ROUNDUP(MAX(0,N155*'NM Play'!$B$11-G155)/'NM Play'!$B$13,0)</f>
        <v/>
      </c>
      <c r="P155" s="160">
        <f>ROUNDUP(MAX(0,N155*'NM Play'!$B$12-H155)/'NM Play'!$B$14,0)</f>
        <v/>
      </c>
      <c r="Q155" s="160">
        <f>(O155+IF('Sites'!$C$7="Own sheets",P155,0))/'NM Play'!$B$10</f>
        <v/>
      </c>
      <c r="R155" s="160">
        <f>O155/'NM Play'!$B$15+P155/'NM Play'!$B$16</f>
        <v/>
      </c>
      <c r="S155" s="160">
        <f>MAX(Q155,R155,N155/'NM Play'!$B$36)</f>
        <v/>
      </c>
      <c r="T155" s="160">
        <f>Q155*'NM Play'!$B$10*'NM Play'!$B$21*(1+'NM Play'!$B$35)</f>
        <v/>
      </c>
      <c r="U155" s="160">
        <f>MAX(0,T155-I155)</f>
        <v/>
      </c>
      <c r="V155" s="160">
        <f>G155+O155*'NM Play'!$B$13-N155*'NM Play'!$B$11</f>
        <v/>
      </c>
      <c r="W155" s="160">
        <f>H155+P155*'NM Play'!$B$14-N155*'NM Play'!$B$12</f>
        <v/>
      </c>
      <c r="X155" s="160">
        <f>I155+U155-T155</f>
        <v/>
      </c>
      <c r="Y155" s="160">
        <f>MIN(N155,MAX(0,ROUNDDOWN('Sites'!$L$7*'Cases'!$E$7,0)-SUM(Y150:Y154)))</f>
        <v/>
      </c>
      <c r="Z155" s="160">
        <f>N155-Y155</f>
        <v/>
      </c>
      <c r="AA155" s="160">
        <f>U155*'NM Play'!$B$22</f>
        <v/>
      </c>
      <c r="AB155" s="160">
        <f>N155*SUM('NM Play'!$B$29:$B$31)</f>
        <v/>
      </c>
      <c r="AC155" s="160">
        <f>IF('Sites'!$C$7="Defy legs",P155*'NM Play'!$B$14/'NM Play'!$B$12*'NM Play'!$B$28,0)</f>
        <v/>
      </c>
      <c r="AD155" s="160">
        <f>Q155*'NM Play'!$B$23</f>
        <v/>
      </c>
      <c r="AE155" s="160">
        <f>S155*SUM('NM Play'!$B$26,'NM Play'!$B$33:$B$34)</f>
        <v/>
      </c>
      <c r="AF155" s="160">
        <f>IF('Sites'!$D$7="NM crew",S155*SUM('NM Play'!$B$24:$B$25),0)</f>
        <v/>
      </c>
      <c r="AG155" s="160">
        <f>IF('Sites'!$D$7="NM crew",S155*'NM Play'!$B$27,0)</f>
        <v/>
      </c>
      <c r="AH155" s="160">
        <f>N155*'Sites'!$Z$7*'NM Play'!$B$32</f>
        <v/>
      </c>
      <c r="AI155" s="160">
        <f>SUM(Y155:Z155)*'Sites'!$R$7</f>
        <v/>
      </c>
      <c r="AJ155" s="160">
        <f>SUM(AA155:AH155)</f>
        <v/>
      </c>
      <c r="AK155" s="160">
        <f>AJ155+(T155-U155)*'NM Play'!$B$22+MIN(G155,N155*'NM Play'!$B$11)/'NM Play'!$B$13*'NM Play'!$B$21*'NM Play'!$B$22+MIN(H155,N155*'NM Play'!$B$12)/'NM Play'!$B$14*IF('Sites'!$C$7="Own sheets",'NM Play'!$B$21*'NM Play'!$B$22,'NM Play'!$B$28*'NM Play'!$B$14/'NM Play'!$B$12)</f>
        <v/>
      </c>
      <c r="AL155" s="160">
        <f>Y155*'Assumptions'!I66</f>
        <v/>
      </c>
      <c r="AM155" s="160">
        <f>IF('Sites'!$D$7="NM crew",S155*'NM Play'!$B$37*(1+IF(AND(ISNUMBER('NM Play'!$B$25),'NM Play'!$B$25&gt;0),1,0)),"")</f>
        <v/>
      </c>
      <c r="AN155" s="160">
        <f>IF(OR('Sites'!$E$7&lt;0,'Sites'!$E$7&gt;1,'Sites'!$F$7&lt;1,'Sites'!$G$7&lt;'Sites'!$F$7,F155&lt;0,MIN('Sites'!$I$7:'Sites'!$R$7)&lt;0,'Sites'!$L$7&gt;'Sites'!$I$7,'Sites'!$M$7&gt;'Sites'!$J$7,'Sites'!$N$7&gt;'Sites'!$K$7,'Sites'!$Z$7&lt;0,'Sites'!$Z$7&gt;1,MIN('Sites'!$AA$7:'Sites'!$AC$7)&lt;0,S155&gt;F155+0.001),1,0)</f>
        <v/>
      </c>
      <c r="AO155" s="160">
        <f>I155+U155-T155-X155</f>
        <v/>
      </c>
    </row>
    <row r="156" ht="28" customHeight="1">
      <c r="A156" s="4" t="inlineStr">
        <is>
          <t>Smaller</t>
        </is>
      </c>
      <c r="B156" s="4" t="inlineStr">
        <is>
          <t>NEW1</t>
        </is>
      </c>
      <c r="C156" s="160" t="n">
        <v>7</v>
      </c>
      <c r="D156" s="160">
        <f>ROUNDUP(C156/12,0)</f>
        <v/>
      </c>
      <c r="E156" s="160">
        <f>IF(AND('Sites'!$E$7=1,C156&gt;='Sites'!$F$7+'Cases'!$G$7,C156&lt;='Sites'!$G$7),1,0)</f>
        <v/>
      </c>
      <c r="F156" s="160">
        <f>E156*'Assumptions'!J68</f>
        <v/>
      </c>
      <c r="G156" s="160">
        <f>V155</f>
        <v/>
      </c>
      <c r="H156" s="160">
        <f>W155</f>
        <v/>
      </c>
      <c r="I156" s="160">
        <f>X155</f>
        <v/>
      </c>
      <c r="J156" s="160">
        <f>MAX(0,'Sites'!$I$7-SUM(N150:N155))</f>
        <v/>
      </c>
      <c r="K156" s="160">
        <f>IF('Sites'!$C$7="Own sheets",MIN(ROUNDDOWN(G156/'NM Play'!$B$11,0)+F156*'NM Play'!$B$10/'NM Play'!$B$43,ROUNDDOWN(H156/'NM Play'!$B$12,0)+F156*'NM Play'!$B$10/'NM Play'!$B$44,(F156*'NM Play'!$B$10+ROUNDDOWN(G156/'NM Play'!$B$11,0)*'NM Play'!$B$43+ROUNDDOWN(H156/'NM Play'!$B$12,0)*'NM Play'!$B$44)/('NM Play'!$B$43+'NM Play'!$B$44)),ROUNDDOWN(G156/'NM Play'!$B$11,0)+F156*'NM Play'!$B$10/'NM Play'!$B$43)</f>
        <v/>
      </c>
      <c r="L156" s="160">
        <f>MIN(ROUNDDOWN(G156/'NM Play'!$B$11,0)+F156/('NM Play'!$B$43/'NM Play'!$B$15),ROUNDDOWN(H156/'NM Play'!$B$12,0)+F156/('NM Play'!$B$44/'NM Play'!$B$16),(F156+ROUNDDOWN(G156/'NM Play'!$B$11,0)*'NM Play'!$B$43/'NM Play'!$B$15+ROUNDDOWN(H156/'NM Play'!$B$12,0)*'NM Play'!$B$44/'NM Play'!$B$16)/('NM Play'!$B$43/'NM Play'!$B$15+'NM Play'!$B$44/'NM Play'!$B$16))</f>
        <v/>
      </c>
      <c r="M156" s="160">
        <f>F156*'NM Play'!$B$36</f>
        <v/>
      </c>
      <c r="N156" s="160">
        <f>ROUNDDOWN(MAX(0,MIN(J156,K156:M156)),0)</f>
        <v/>
      </c>
      <c r="O156" s="160">
        <f>ROUNDUP(MAX(0,N156*'NM Play'!$B$11-G156)/'NM Play'!$B$13,0)</f>
        <v/>
      </c>
      <c r="P156" s="160">
        <f>ROUNDUP(MAX(0,N156*'NM Play'!$B$12-H156)/'NM Play'!$B$14,0)</f>
        <v/>
      </c>
      <c r="Q156" s="160">
        <f>(O156+IF('Sites'!$C$7="Own sheets",P156,0))/'NM Play'!$B$10</f>
        <v/>
      </c>
      <c r="R156" s="160">
        <f>O156/'NM Play'!$B$15+P156/'NM Play'!$B$16</f>
        <v/>
      </c>
      <c r="S156" s="160">
        <f>MAX(Q156,R156,N156/'NM Play'!$B$36)</f>
        <v/>
      </c>
      <c r="T156" s="160">
        <f>Q156*'NM Play'!$B$10*'NM Play'!$B$21*(1+'NM Play'!$B$35)</f>
        <v/>
      </c>
      <c r="U156" s="160">
        <f>MAX(0,T156-I156)</f>
        <v/>
      </c>
      <c r="V156" s="160">
        <f>G156+O156*'NM Play'!$B$13-N156*'NM Play'!$B$11</f>
        <v/>
      </c>
      <c r="W156" s="160">
        <f>H156+P156*'NM Play'!$B$14-N156*'NM Play'!$B$12</f>
        <v/>
      </c>
      <c r="X156" s="160">
        <f>I156+U156-T156</f>
        <v/>
      </c>
      <c r="Y156" s="160">
        <f>MIN(N156,MAX(0,ROUNDDOWN('Sites'!$L$7*'Cases'!$E$7,0)-SUM(Y150:Y155)))</f>
        <v/>
      </c>
      <c r="Z156" s="160">
        <f>N156-Y156</f>
        <v/>
      </c>
      <c r="AA156" s="160">
        <f>U156*'NM Play'!$B$22</f>
        <v/>
      </c>
      <c r="AB156" s="160">
        <f>N156*SUM('NM Play'!$B$29:$B$31)</f>
        <v/>
      </c>
      <c r="AC156" s="160">
        <f>IF('Sites'!$C$7="Defy legs",P156*'NM Play'!$B$14/'NM Play'!$B$12*'NM Play'!$B$28,0)</f>
        <v/>
      </c>
      <c r="AD156" s="160">
        <f>Q156*'NM Play'!$B$23</f>
        <v/>
      </c>
      <c r="AE156" s="160">
        <f>S156*SUM('NM Play'!$B$26,'NM Play'!$B$33:$B$34)</f>
        <v/>
      </c>
      <c r="AF156" s="160">
        <f>IF('Sites'!$D$7="NM crew",S156*SUM('NM Play'!$B$24:$B$25),0)</f>
        <v/>
      </c>
      <c r="AG156" s="160">
        <f>IF('Sites'!$D$7="NM crew",S156*'NM Play'!$B$27,0)</f>
        <v/>
      </c>
      <c r="AH156" s="160">
        <f>N156*'Sites'!$Z$7*'NM Play'!$B$32</f>
        <v/>
      </c>
      <c r="AI156" s="160">
        <f>SUM(Y156:Z156)*'Sites'!$R$7</f>
        <v/>
      </c>
      <c r="AJ156" s="160">
        <f>SUM(AA156:AH156)</f>
        <v/>
      </c>
      <c r="AK156" s="160">
        <f>AJ156+(T156-U156)*'NM Play'!$B$22+MIN(G156,N156*'NM Play'!$B$11)/'NM Play'!$B$13*'NM Play'!$B$21*'NM Play'!$B$22+MIN(H156,N156*'NM Play'!$B$12)/'NM Play'!$B$14*IF('Sites'!$C$7="Own sheets",'NM Play'!$B$21*'NM Play'!$B$22,'NM Play'!$B$28*'NM Play'!$B$14/'NM Play'!$B$12)</f>
        <v/>
      </c>
      <c r="AL156" s="160">
        <f>Y156*'Assumptions'!J66</f>
        <v/>
      </c>
      <c r="AM156" s="160">
        <f>IF('Sites'!$D$7="NM crew",S156*'NM Play'!$B$37*(1+IF(AND(ISNUMBER('NM Play'!$B$25),'NM Play'!$B$25&gt;0),1,0)),"")</f>
        <v/>
      </c>
      <c r="AN156" s="160">
        <f>IF(OR('Sites'!$E$7&lt;0,'Sites'!$E$7&gt;1,'Sites'!$F$7&lt;1,'Sites'!$G$7&lt;'Sites'!$F$7,F156&lt;0,MIN('Sites'!$I$7:'Sites'!$R$7)&lt;0,'Sites'!$L$7&gt;'Sites'!$I$7,'Sites'!$M$7&gt;'Sites'!$J$7,'Sites'!$N$7&gt;'Sites'!$K$7,'Sites'!$Z$7&lt;0,'Sites'!$Z$7&gt;1,MIN('Sites'!$AA$7:'Sites'!$AC$7)&lt;0,S156&gt;F156+0.001),1,0)</f>
        <v/>
      </c>
      <c r="AO156" s="160">
        <f>I156+U156-T156-X156</f>
        <v/>
      </c>
    </row>
    <row r="157" ht="28" customHeight="1">
      <c r="A157" s="4" t="inlineStr">
        <is>
          <t>Smaller</t>
        </is>
      </c>
      <c r="B157" s="4" t="inlineStr">
        <is>
          <t>NEW1</t>
        </is>
      </c>
      <c r="C157" s="160" t="n">
        <v>8</v>
      </c>
      <c r="D157" s="160">
        <f>ROUNDUP(C157/12,0)</f>
        <v/>
      </c>
      <c r="E157" s="160">
        <f>IF(AND('Sites'!$E$7=1,C157&gt;='Sites'!$F$7+'Cases'!$G$7,C157&lt;='Sites'!$G$7),1,0)</f>
        <v/>
      </c>
      <c r="F157" s="160">
        <f>E157*'Assumptions'!K68</f>
        <v/>
      </c>
      <c r="G157" s="160">
        <f>V156</f>
        <v/>
      </c>
      <c r="H157" s="160">
        <f>W156</f>
        <v/>
      </c>
      <c r="I157" s="160">
        <f>X156</f>
        <v/>
      </c>
      <c r="J157" s="160">
        <f>MAX(0,'Sites'!$I$7-SUM(N150:N156))</f>
        <v/>
      </c>
      <c r="K157" s="160">
        <f>IF('Sites'!$C$7="Own sheets",MIN(ROUNDDOWN(G157/'NM Play'!$B$11,0)+F157*'NM Play'!$B$10/'NM Play'!$B$43,ROUNDDOWN(H157/'NM Play'!$B$12,0)+F157*'NM Play'!$B$10/'NM Play'!$B$44,(F157*'NM Play'!$B$10+ROUNDDOWN(G157/'NM Play'!$B$11,0)*'NM Play'!$B$43+ROUNDDOWN(H157/'NM Play'!$B$12,0)*'NM Play'!$B$44)/('NM Play'!$B$43+'NM Play'!$B$44)),ROUNDDOWN(G157/'NM Play'!$B$11,0)+F157*'NM Play'!$B$10/'NM Play'!$B$43)</f>
        <v/>
      </c>
      <c r="L157" s="160">
        <f>MIN(ROUNDDOWN(G157/'NM Play'!$B$11,0)+F157/('NM Play'!$B$43/'NM Play'!$B$15),ROUNDDOWN(H157/'NM Play'!$B$12,0)+F157/('NM Play'!$B$44/'NM Play'!$B$16),(F157+ROUNDDOWN(G157/'NM Play'!$B$11,0)*'NM Play'!$B$43/'NM Play'!$B$15+ROUNDDOWN(H157/'NM Play'!$B$12,0)*'NM Play'!$B$44/'NM Play'!$B$16)/('NM Play'!$B$43/'NM Play'!$B$15+'NM Play'!$B$44/'NM Play'!$B$16))</f>
        <v/>
      </c>
      <c r="M157" s="160">
        <f>F157*'NM Play'!$B$36</f>
        <v/>
      </c>
      <c r="N157" s="160">
        <f>ROUNDDOWN(MAX(0,MIN(J157,K157:M157)),0)</f>
        <v/>
      </c>
      <c r="O157" s="160">
        <f>ROUNDUP(MAX(0,N157*'NM Play'!$B$11-G157)/'NM Play'!$B$13,0)</f>
        <v/>
      </c>
      <c r="P157" s="160">
        <f>ROUNDUP(MAX(0,N157*'NM Play'!$B$12-H157)/'NM Play'!$B$14,0)</f>
        <v/>
      </c>
      <c r="Q157" s="160">
        <f>(O157+IF('Sites'!$C$7="Own sheets",P157,0))/'NM Play'!$B$10</f>
        <v/>
      </c>
      <c r="R157" s="160">
        <f>O157/'NM Play'!$B$15+P157/'NM Play'!$B$16</f>
        <v/>
      </c>
      <c r="S157" s="160">
        <f>MAX(Q157,R157,N157/'NM Play'!$B$36)</f>
        <v/>
      </c>
      <c r="T157" s="160">
        <f>Q157*'NM Play'!$B$10*'NM Play'!$B$21*(1+'NM Play'!$B$35)</f>
        <v/>
      </c>
      <c r="U157" s="160">
        <f>MAX(0,T157-I157)</f>
        <v/>
      </c>
      <c r="V157" s="160">
        <f>G157+O157*'NM Play'!$B$13-N157*'NM Play'!$B$11</f>
        <v/>
      </c>
      <c r="W157" s="160">
        <f>H157+P157*'NM Play'!$B$14-N157*'NM Play'!$B$12</f>
        <v/>
      </c>
      <c r="X157" s="160">
        <f>I157+U157-T157</f>
        <v/>
      </c>
      <c r="Y157" s="160">
        <f>MIN(N157,MAX(0,ROUNDDOWN('Sites'!$L$7*'Cases'!$E$7,0)-SUM(Y150:Y156)))</f>
        <v/>
      </c>
      <c r="Z157" s="160">
        <f>N157-Y157</f>
        <v/>
      </c>
      <c r="AA157" s="160">
        <f>U157*'NM Play'!$B$22</f>
        <v/>
      </c>
      <c r="AB157" s="160">
        <f>N157*SUM('NM Play'!$B$29:$B$31)</f>
        <v/>
      </c>
      <c r="AC157" s="160">
        <f>IF('Sites'!$C$7="Defy legs",P157*'NM Play'!$B$14/'NM Play'!$B$12*'NM Play'!$B$28,0)</f>
        <v/>
      </c>
      <c r="AD157" s="160">
        <f>Q157*'NM Play'!$B$23</f>
        <v/>
      </c>
      <c r="AE157" s="160">
        <f>S157*SUM('NM Play'!$B$26,'NM Play'!$B$33:$B$34)</f>
        <v/>
      </c>
      <c r="AF157" s="160">
        <f>IF('Sites'!$D$7="NM crew",S157*SUM('NM Play'!$B$24:$B$25),0)</f>
        <v/>
      </c>
      <c r="AG157" s="160">
        <f>IF('Sites'!$D$7="NM crew",S157*'NM Play'!$B$27,0)</f>
        <v/>
      </c>
      <c r="AH157" s="160">
        <f>N157*'Sites'!$Z$7*'NM Play'!$B$32</f>
        <v/>
      </c>
      <c r="AI157" s="160">
        <f>SUM(Y157:Z157)*'Sites'!$R$7</f>
        <v/>
      </c>
      <c r="AJ157" s="160">
        <f>SUM(AA157:AH157)</f>
        <v/>
      </c>
      <c r="AK157" s="160">
        <f>AJ157+(T157-U157)*'NM Play'!$B$22+MIN(G157,N157*'NM Play'!$B$11)/'NM Play'!$B$13*'NM Play'!$B$21*'NM Play'!$B$22+MIN(H157,N157*'NM Play'!$B$12)/'NM Play'!$B$14*IF('Sites'!$C$7="Own sheets",'NM Play'!$B$21*'NM Play'!$B$22,'NM Play'!$B$28*'NM Play'!$B$14/'NM Play'!$B$12)</f>
        <v/>
      </c>
      <c r="AL157" s="160">
        <f>Y157*'Assumptions'!K66</f>
        <v/>
      </c>
      <c r="AM157" s="160">
        <f>IF('Sites'!$D$7="NM crew",S157*'NM Play'!$B$37*(1+IF(AND(ISNUMBER('NM Play'!$B$25),'NM Play'!$B$25&gt;0),1,0)),"")</f>
        <v/>
      </c>
      <c r="AN157" s="160">
        <f>IF(OR('Sites'!$E$7&lt;0,'Sites'!$E$7&gt;1,'Sites'!$F$7&lt;1,'Sites'!$G$7&lt;'Sites'!$F$7,F157&lt;0,MIN('Sites'!$I$7:'Sites'!$R$7)&lt;0,'Sites'!$L$7&gt;'Sites'!$I$7,'Sites'!$M$7&gt;'Sites'!$J$7,'Sites'!$N$7&gt;'Sites'!$K$7,'Sites'!$Z$7&lt;0,'Sites'!$Z$7&gt;1,MIN('Sites'!$AA$7:'Sites'!$AC$7)&lt;0,S157&gt;F157+0.001),1,0)</f>
        <v/>
      </c>
      <c r="AO157" s="160">
        <f>I157+U157-T157-X157</f>
        <v/>
      </c>
    </row>
    <row r="158" ht="28" customHeight="1">
      <c r="A158" s="4" t="inlineStr">
        <is>
          <t>Smaller</t>
        </is>
      </c>
      <c r="B158" s="4" t="inlineStr">
        <is>
          <t>NEW1</t>
        </is>
      </c>
      <c r="C158" s="160" t="n">
        <v>9</v>
      </c>
      <c r="D158" s="160">
        <f>ROUNDUP(C158/12,0)</f>
        <v/>
      </c>
      <c r="E158" s="160">
        <f>IF(AND('Sites'!$E$7=1,C158&gt;='Sites'!$F$7+'Cases'!$G$7,C158&lt;='Sites'!$G$7),1,0)</f>
        <v/>
      </c>
      <c r="F158" s="160">
        <f>E158*'Assumptions'!L68</f>
        <v/>
      </c>
      <c r="G158" s="160">
        <f>V157</f>
        <v/>
      </c>
      <c r="H158" s="160">
        <f>W157</f>
        <v/>
      </c>
      <c r="I158" s="160">
        <f>X157</f>
        <v/>
      </c>
      <c r="J158" s="160">
        <f>MAX(0,'Sites'!$I$7-SUM(N150:N157))</f>
        <v/>
      </c>
      <c r="K158" s="160">
        <f>IF('Sites'!$C$7="Own sheets",MIN(ROUNDDOWN(G158/'NM Play'!$B$11,0)+F158*'NM Play'!$B$10/'NM Play'!$B$43,ROUNDDOWN(H158/'NM Play'!$B$12,0)+F158*'NM Play'!$B$10/'NM Play'!$B$44,(F158*'NM Play'!$B$10+ROUNDDOWN(G158/'NM Play'!$B$11,0)*'NM Play'!$B$43+ROUNDDOWN(H158/'NM Play'!$B$12,0)*'NM Play'!$B$44)/('NM Play'!$B$43+'NM Play'!$B$44)),ROUNDDOWN(G158/'NM Play'!$B$11,0)+F158*'NM Play'!$B$10/'NM Play'!$B$43)</f>
        <v/>
      </c>
      <c r="L158" s="160">
        <f>MIN(ROUNDDOWN(G158/'NM Play'!$B$11,0)+F158/('NM Play'!$B$43/'NM Play'!$B$15),ROUNDDOWN(H158/'NM Play'!$B$12,0)+F158/('NM Play'!$B$44/'NM Play'!$B$16),(F158+ROUNDDOWN(G158/'NM Play'!$B$11,0)*'NM Play'!$B$43/'NM Play'!$B$15+ROUNDDOWN(H158/'NM Play'!$B$12,0)*'NM Play'!$B$44/'NM Play'!$B$16)/('NM Play'!$B$43/'NM Play'!$B$15+'NM Play'!$B$44/'NM Play'!$B$16))</f>
        <v/>
      </c>
      <c r="M158" s="160">
        <f>F158*'NM Play'!$B$36</f>
        <v/>
      </c>
      <c r="N158" s="160">
        <f>ROUNDDOWN(MAX(0,MIN(J158,K158:M158)),0)</f>
        <v/>
      </c>
      <c r="O158" s="160">
        <f>ROUNDUP(MAX(0,N158*'NM Play'!$B$11-G158)/'NM Play'!$B$13,0)</f>
        <v/>
      </c>
      <c r="P158" s="160">
        <f>ROUNDUP(MAX(0,N158*'NM Play'!$B$12-H158)/'NM Play'!$B$14,0)</f>
        <v/>
      </c>
      <c r="Q158" s="160">
        <f>(O158+IF('Sites'!$C$7="Own sheets",P158,0))/'NM Play'!$B$10</f>
        <v/>
      </c>
      <c r="R158" s="160">
        <f>O158/'NM Play'!$B$15+P158/'NM Play'!$B$16</f>
        <v/>
      </c>
      <c r="S158" s="160">
        <f>MAX(Q158,R158,N158/'NM Play'!$B$36)</f>
        <v/>
      </c>
      <c r="T158" s="160">
        <f>Q158*'NM Play'!$B$10*'NM Play'!$B$21*(1+'NM Play'!$B$35)</f>
        <v/>
      </c>
      <c r="U158" s="160">
        <f>MAX(0,T158-I158)</f>
        <v/>
      </c>
      <c r="V158" s="160">
        <f>G158+O158*'NM Play'!$B$13-N158*'NM Play'!$B$11</f>
        <v/>
      </c>
      <c r="W158" s="160">
        <f>H158+P158*'NM Play'!$B$14-N158*'NM Play'!$B$12</f>
        <v/>
      </c>
      <c r="X158" s="160">
        <f>I158+U158-T158</f>
        <v/>
      </c>
      <c r="Y158" s="160">
        <f>MIN(N158,MAX(0,ROUNDDOWN('Sites'!$L$7*'Cases'!$E$7,0)-SUM(Y150:Y157)))</f>
        <v/>
      </c>
      <c r="Z158" s="160">
        <f>N158-Y158</f>
        <v/>
      </c>
      <c r="AA158" s="160">
        <f>U158*'NM Play'!$B$22</f>
        <v/>
      </c>
      <c r="AB158" s="160">
        <f>N158*SUM('NM Play'!$B$29:$B$31)</f>
        <v/>
      </c>
      <c r="AC158" s="160">
        <f>IF('Sites'!$C$7="Defy legs",P158*'NM Play'!$B$14/'NM Play'!$B$12*'NM Play'!$B$28,0)</f>
        <v/>
      </c>
      <c r="AD158" s="160">
        <f>Q158*'NM Play'!$B$23</f>
        <v/>
      </c>
      <c r="AE158" s="160">
        <f>S158*SUM('NM Play'!$B$26,'NM Play'!$B$33:$B$34)</f>
        <v/>
      </c>
      <c r="AF158" s="160">
        <f>IF('Sites'!$D$7="NM crew",S158*SUM('NM Play'!$B$24:$B$25),0)</f>
        <v/>
      </c>
      <c r="AG158" s="160">
        <f>IF('Sites'!$D$7="NM crew",S158*'NM Play'!$B$27,0)</f>
        <v/>
      </c>
      <c r="AH158" s="160">
        <f>N158*'Sites'!$Z$7*'NM Play'!$B$32</f>
        <v/>
      </c>
      <c r="AI158" s="160">
        <f>SUM(Y158:Z158)*'Sites'!$R$7</f>
        <v/>
      </c>
      <c r="AJ158" s="160">
        <f>SUM(AA158:AH158)</f>
        <v/>
      </c>
      <c r="AK158" s="160">
        <f>AJ158+(T158-U158)*'NM Play'!$B$22+MIN(G158,N158*'NM Play'!$B$11)/'NM Play'!$B$13*'NM Play'!$B$21*'NM Play'!$B$22+MIN(H158,N158*'NM Play'!$B$12)/'NM Play'!$B$14*IF('Sites'!$C$7="Own sheets",'NM Play'!$B$21*'NM Play'!$B$22,'NM Play'!$B$28*'NM Play'!$B$14/'NM Play'!$B$12)</f>
        <v/>
      </c>
      <c r="AL158" s="160">
        <f>Y158*'Assumptions'!L66</f>
        <v/>
      </c>
      <c r="AM158" s="160">
        <f>IF('Sites'!$D$7="NM crew",S158*'NM Play'!$B$37*(1+IF(AND(ISNUMBER('NM Play'!$B$25),'NM Play'!$B$25&gt;0),1,0)),"")</f>
        <v/>
      </c>
      <c r="AN158" s="160">
        <f>IF(OR('Sites'!$E$7&lt;0,'Sites'!$E$7&gt;1,'Sites'!$F$7&lt;1,'Sites'!$G$7&lt;'Sites'!$F$7,F158&lt;0,MIN('Sites'!$I$7:'Sites'!$R$7)&lt;0,'Sites'!$L$7&gt;'Sites'!$I$7,'Sites'!$M$7&gt;'Sites'!$J$7,'Sites'!$N$7&gt;'Sites'!$K$7,'Sites'!$Z$7&lt;0,'Sites'!$Z$7&gt;1,MIN('Sites'!$AA$7:'Sites'!$AC$7)&lt;0,S158&gt;F158+0.001),1,0)</f>
        <v/>
      </c>
      <c r="AO158" s="160">
        <f>I158+U158-T158-X158</f>
        <v/>
      </c>
    </row>
    <row r="159" ht="28" customHeight="1">
      <c r="A159" s="4" t="inlineStr">
        <is>
          <t>Smaller</t>
        </is>
      </c>
      <c r="B159" s="4" t="inlineStr">
        <is>
          <t>NEW1</t>
        </is>
      </c>
      <c r="C159" s="160" t="n">
        <v>10</v>
      </c>
      <c r="D159" s="160">
        <f>ROUNDUP(C159/12,0)</f>
        <v/>
      </c>
      <c r="E159" s="160">
        <f>IF(AND('Sites'!$E$7=1,C159&gt;='Sites'!$F$7+'Cases'!$G$7,C159&lt;='Sites'!$G$7),1,0)</f>
        <v/>
      </c>
      <c r="F159" s="160">
        <f>E159*'Assumptions'!M68</f>
        <v/>
      </c>
      <c r="G159" s="160">
        <f>V158</f>
        <v/>
      </c>
      <c r="H159" s="160">
        <f>W158</f>
        <v/>
      </c>
      <c r="I159" s="160">
        <f>X158</f>
        <v/>
      </c>
      <c r="J159" s="160">
        <f>MAX(0,'Sites'!$I$7-SUM(N150:N158))</f>
        <v/>
      </c>
      <c r="K159" s="160">
        <f>IF('Sites'!$C$7="Own sheets",MIN(ROUNDDOWN(G159/'NM Play'!$B$11,0)+F159*'NM Play'!$B$10/'NM Play'!$B$43,ROUNDDOWN(H159/'NM Play'!$B$12,0)+F159*'NM Play'!$B$10/'NM Play'!$B$44,(F159*'NM Play'!$B$10+ROUNDDOWN(G159/'NM Play'!$B$11,0)*'NM Play'!$B$43+ROUNDDOWN(H159/'NM Play'!$B$12,0)*'NM Play'!$B$44)/('NM Play'!$B$43+'NM Play'!$B$44)),ROUNDDOWN(G159/'NM Play'!$B$11,0)+F159*'NM Play'!$B$10/'NM Play'!$B$43)</f>
        <v/>
      </c>
      <c r="L159" s="160">
        <f>MIN(ROUNDDOWN(G159/'NM Play'!$B$11,0)+F159/('NM Play'!$B$43/'NM Play'!$B$15),ROUNDDOWN(H159/'NM Play'!$B$12,0)+F159/('NM Play'!$B$44/'NM Play'!$B$16),(F159+ROUNDDOWN(G159/'NM Play'!$B$11,0)*'NM Play'!$B$43/'NM Play'!$B$15+ROUNDDOWN(H159/'NM Play'!$B$12,0)*'NM Play'!$B$44/'NM Play'!$B$16)/('NM Play'!$B$43/'NM Play'!$B$15+'NM Play'!$B$44/'NM Play'!$B$16))</f>
        <v/>
      </c>
      <c r="M159" s="160">
        <f>F159*'NM Play'!$B$36</f>
        <v/>
      </c>
      <c r="N159" s="160">
        <f>ROUNDDOWN(MAX(0,MIN(J159,K159:M159)),0)</f>
        <v/>
      </c>
      <c r="O159" s="160">
        <f>ROUNDUP(MAX(0,N159*'NM Play'!$B$11-G159)/'NM Play'!$B$13,0)</f>
        <v/>
      </c>
      <c r="P159" s="160">
        <f>ROUNDUP(MAX(0,N159*'NM Play'!$B$12-H159)/'NM Play'!$B$14,0)</f>
        <v/>
      </c>
      <c r="Q159" s="160">
        <f>(O159+IF('Sites'!$C$7="Own sheets",P159,0))/'NM Play'!$B$10</f>
        <v/>
      </c>
      <c r="R159" s="160">
        <f>O159/'NM Play'!$B$15+P159/'NM Play'!$B$16</f>
        <v/>
      </c>
      <c r="S159" s="160">
        <f>MAX(Q159,R159,N159/'NM Play'!$B$36)</f>
        <v/>
      </c>
      <c r="T159" s="160">
        <f>Q159*'NM Play'!$B$10*'NM Play'!$B$21*(1+'NM Play'!$B$35)</f>
        <v/>
      </c>
      <c r="U159" s="160">
        <f>MAX(0,T159-I159)</f>
        <v/>
      </c>
      <c r="V159" s="160">
        <f>G159+O159*'NM Play'!$B$13-N159*'NM Play'!$B$11</f>
        <v/>
      </c>
      <c r="W159" s="160">
        <f>H159+P159*'NM Play'!$B$14-N159*'NM Play'!$B$12</f>
        <v/>
      </c>
      <c r="X159" s="160">
        <f>I159+U159-T159</f>
        <v/>
      </c>
      <c r="Y159" s="160">
        <f>MIN(N159,MAX(0,ROUNDDOWN('Sites'!$L$7*'Cases'!$E$7,0)-SUM(Y150:Y158)))</f>
        <v/>
      </c>
      <c r="Z159" s="160">
        <f>N159-Y159</f>
        <v/>
      </c>
      <c r="AA159" s="160">
        <f>U159*'NM Play'!$B$22</f>
        <v/>
      </c>
      <c r="AB159" s="160">
        <f>N159*SUM('NM Play'!$B$29:$B$31)</f>
        <v/>
      </c>
      <c r="AC159" s="160">
        <f>IF('Sites'!$C$7="Defy legs",P159*'NM Play'!$B$14/'NM Play'!$B$12*'NM Play'!$B$28,0)</f>
        <v/>
      </c>
      <c r="AD159" s="160">
        <f>Q159*'NM Play'!$B$23</f>
        <v/>
      </c>
      <c r="AE159" s="160">
        <f>S159*SUM('NM Play'!$B$26,'NM Play'!$B$33:$B$34)</f>
        <v/>
      </c>
      <c r="AF159" s="160">
        <f>IF('Sites'!$D$7="NM crew",S159*SUM('NM Play'!$B$24:$B$25),0)</f>
        <v/>
      </c>
      <c r="AG159" s="160">
        <f>IF('Sites'!$D$7="NM crew",S159*'NM Play'!$B$27,0)</f>
        <v/>
      </c>
      <c r="AH159" s="160">
        <f>N159*'Sites'!$Z$7*'NM Play'!$B$32</f>
        <v/>
      </c>
      <c r="AI159" s="160">
        <f>SUM(Y159:Z159)*'Sites'!$R$7</f>
        <v/>
      </c>
      <c r="AJ159" s="160">
        <f>SUM(AA159:AH159)</f>
        <v/>
      </c>
      <c r="AK159" s="160">
        <f>AJ159+(T159-U159)*'NM Play'!$B$22+MIN(G159,N159*'NM Play'!$B$11)/'NM Play'!$B$13*'NM Play'!$B$21*'NM Play'!$B$22+MIN(H159,N159*'NM Play'!$B$12)/'NM Play'!$B$14*IF('Sites'!$C$7="Own sheets",'NM Play'!$B$21*'NM Play'!$B$22,'NM Play'!$B$28*'NM Play'!$B$14/'NM Play'!$B$12)</f>
        <v/>
      </c>
      <c r="AL159" s="160">
        <f>Y159*'Assumptions'!M66</f>
        <v/>
      </c>
      <c r="AM159" s="160">
        <f>IF('Sites'!$D$7="NM crew",S159*'NM Play'!$B$37*(1+IF(AND(ISNUMBER('NM Play'!$B$25),'NM Play'!$B$25&gt;0),1,0)),"")</f>
        <v/>
      </c>
      <c r="AN159" s="160">
        <f>IF(OR('Sites'!$E$7&lt;0,'Sites'!$E$7&gt;1,'Sites'!$F$7&lt;1,'Sites'!$G$7&lt;'Sites'!$F$7,F159&lt;0,MIN('Sites'!$I$7:'Sites'!$R$7)&lt;0,'Sites'!$L$7&gt;'Sites'!$I$7,'Sites'!$M$7&gt;'Sites'!$J$7,'Sites'!$N$7&gt;'Sites'!$K$7,'Sites'!$Z$7&lt;0,'Sites'!$Z$7&gt;1,MIN('Sites'!$AA$7:'Sites'!$AC$7)&lt;0,S159&gt;F159+0.001),1,0)</f>
        <v/>
      </c>
      <c r="AO159" s="160">
        <f>I159+U159-T159-X159</f>
        <v/>
      </c>
    </row>
    <row r="160" ht="28" customHeight="1">
      <c r="A160" s="4" t="inlineStr">
        <is>
          <t>Smaller</t>
        </is>
      </c>
      <c r="B160" s="4" t="inlineStr">
        <is>
          <t>NEW1</t>
        </is>
      </c>
      <c r="C160" s="160" t="n">
        <v>11</v>
      </c>
      <c r="D160" s="160">
        <f>ROUNDUP(C160/12,0)</f>
        <v/>
      </c>
      <c r="E160" s="160">
        <f>IF(AND('Sites'!$E$7=1,C160&gt;='Sites'!$F$7+'Cases'!$G$7,C160&lt;='Sites'!$G$7),1,0)</f>
        <v/>
      </c>
      <c r="F160" s="160">
        <f>E160*'Assumptions'!N68</f>
        <v/>
      </c>
      <c r="G160" s="160">
        <f>V159</f>
        <v/>
      </c>
      <c r="H160" s="160">
        <f>W159</f>
        <v/>
      </c>
      <c r="I160" s="160">
        <f>X159</f>
        <v/>
      </c>
      <c r="J160" s="160">
        <f>MAX(0,'Sites'!$I$7-SUM(N150:N159))</f>
        <v/>
      </c>
      <c r="K160" s="160">
        <f>IF('Sites'!$C$7="Own sheets",MIN(ROUNDDOWN(G160/'NM Play'!$B$11,0)+F160*'NM Play'!$B$10/'NM Play'!$B$43,ROUNDDOWN(H160/'NM Play'!$B$12,0)+F160*'NM Play'!$B$10/'NM Play'!$B$44,(F160*'NM Play'!$B$10+ROUNDDOWN(G160/'NM Play'!$B$11,0)*'NM Play'!$B$43+ROUNDDOWN(H160/'NM Play'!$B$12,0)*'NM Play'!$B$44)/('NM Play'!$B$43+'NM Play'!$B$44)),ROUNDDOWN(G160/'NM Play'!$B$11,0)+F160*'NM Play'!$B$10/'NM Play'!$B$43)</f>
        <v/>
      </c>
      <c r="L160" s="160">
        <f>MIN(ROUNDDOWN(G160/'NM Play'!$B$11,0)+F160/('NM Play'!$B$43/'NM Play'!$B$15),ROUNDDOWN(H160/'NM Play'!$B$12,0)+F160/('NM Play'!$B$44/'NM Play'!$B$16),(F160+ROUNDDOWN(G160/'NM Play'!$B$11,0)*'NM Play'!$B$43/'NM Play'!$B$15+ROUNDDOWN(H160/'NM Play'!$B$12,0)*'NM Play'!$B$44/'NM Play'!$B$16)/('NM Play'!$B$43/'NM Play'!$B$15+'NM Play'!$B$44/'NM Play'!$B$16))</f>
        <v/>
      </c>
      <c r="M160" s="160">
        <f>F160*'NM Play'!$B$36</f>
        <v/>
      </c>
      <c r="N160" s="160">
        <f>ROUNDDOWN(MAX(0,MIN(J160,K160:M160)),0)</f>
        <v/>
      </c>
      <c r="O160" s="160">
        <f>ROUNDUP(MAX(0,N160*'NM Play'!$B$11-G160)/'NM Play'!$B$13,0)</f>
        <v/>
      </c>
      <c r="P160" s="160">
        <f>ROUNDUP(MAX(0,N160*'NM Play'!$B$12-H160)/'NM Play'!$B$14,0)</f>
        <v/>
      </c>
      <c r="Q160" s="160">
        <f>(O160+IF('Sites'!$C$7="Own sheets",P160,0))/'NM Play'!$B$10</f>
        <v/>
      </c>
      <c r="R160" s="160">
        <f>O160/'NM Play'!$B$15+P160/'NM Play'!$B$16</f>
        <v/>
      </c>
      <c r="S160" s="160">
        <f>MAX(Q160,R160,N160/'NM Play'!$B$36)</f>
        <v/>
      </c>
      <c r="T160" s="160">
        <f>Q160*'NM Play'!$B$10*'NM Play'!$B$21*(1+'NM Play'!$B$35)</f>
        <v/>
      </c>
      <c r="U160" s="160">
        <f>MAX(0,T160-I160)</f>
        <v/>
      </c>
      <c r="V160" s="160">
        <f>G160+O160*'NM Play'!$B$13-N160*'NM Play'!$B$11</f>
        <v/>
      </c>
      <c r="W160" s="160">
        <f>H160+P160*'NM Play'!$B$14-N160*'NM Play'!$B$12</f>
        <v/>
      </c>
      <c r="X160" s="160">
        <f>I160+U160-T160</f>
        <v/>
      </c>
      <c r="Y160" s="160">
        <f>MIN(N160,MAX(0,ROUNDDOWN('Sites'!$L$7*'Cases'!$E$7,0)-SUM(Y150:Y159)))</f>
        <v/>
      </c>
      <c r="Z160" s="160">
        <f>N160-Y160</f>
        <v/>
      </c>
      <c r="AA160" s="160">
        <f>U160*'NM Play'!$B$22</f>
        <v/>
      </c>
      <c r="AB160" s="160">
        <f>N160*SUM('NM Play'!$B$29:$B$31)</f>
        <v/>
      </c>
      <c r="AC160" s="160">
        <f>IF('Sites'!$C$7="Defy legs",P160*'NM Play'!$B$14/'NM Play'!$B$12*'NM Play'!$B$28,0)</f>
        <v/>
      </c>
      <c r="AD160" s="160">
        <f>Q160*'NM Play'!$B$23</f>
        <v/>
      </c>
      <c r="AE160" s="160">
        <f>S160*SUM('NM Play'!$B$26,'NM Play'!$B$33:$B$34)</f>
        <v/>
      </c>
      <c r="AF160" s="160">
        <f>IF('Sites'!$D$7="NM crew",S160*SUM('NM Play'!$B$24:$B$25),0)</f>
        <v/>
      </c>
      <c r="AG160" s="160">
        <f>IF('Sites'!$D$7="NM crew",S160*'NM Play'!$B$27,0)</f>
        <v/>
      </c>
      <c r="AH160" s="160">
        <f>N160*'Sites'!$Z$7*'NM Play'!$B$32</f>
        <v/>
      </c>
      <c r="AI160" s="160">
        <f>SUM(Y160:Z160)*'Sites'!$R$7</f>
        <v/>
      </c>
      <c r="AJ160" s="160">
        <f>SUM(AA160:AH160)</f>
        <v/>
      </c>
      <c r="AK160" s="160">
        <f>AJ160+(T160-U160)*'NM Play'!$B$22+MIN(G160,N160*'NM Play'!$B$11)/'NM Play'!$B$13*'NM Play'!$B$21*'NM Play'!$B$22+MIN(H160,N160*'NM Play'!$B$12)/'NM Play'!$B$14*IF('Sites'!$C$7="Own sheets",'NM Play'!$B$21*'NM Play'!$B$22,'NM Play'!$B$28*'NM Play'!$B$14/'NM Play'!$B$12)</f>
        <v/>
      </c>
      <c r="AL160" s="160">
        <f>Y160*'Assumptions'!N66</f>
        <v/>
      </c>
      <c r="AM160" s="160">
        <f>IF('Sites'!$D$7="NM crew",S160*'NM Play'!$B$37*(1+IF(AND(ISNUMBER('NM Play'!$B$25),'NM Play'!$B$25&gt;0),1,0)),"")</f>
        <v/>
      </c>
      <c r="AN160" s="160">
        <f>IF(OR('Sites'!$E$7&lt;0,'Sites'!$E$7&gt;1,'Sites'!$F$7&lt;1,'Sites'!$G$7&lt;'Sites'!$F$7,F160&lt;0,MIN('Sites'!$I$7:'Sites'!$R$7)&lt;0,'Sites'!$L$7&gt;'Sites'!$I$7,'Sites'!$M$7&gt;'Sites'!$J$7,'Sites'!$N$7&gt;'Sites'!$K$7,'Sites'!$Z$7&lt;0,'Sites'!$Z$7&gt;1,MIN('Sites'!$AA$7:'Sites'!$AC$7)&lt;0,S160&gt;F160+0.001),1,0)</f>
        <v/>
      </c>
      <c r="AO160" s="160">
        <f>I160+U160-T160-X160</f>
        <v/>
      </c>
    </row>
    <row r="161" ht="28" customHeight="1">
      <c r="A161" s="4" t="inlineStr">
        <is>
          <t>Smaller</t>
        </is>
      </c>
      <c r="B161" s="4" t="inlineStr">
        <is>
          <t>NEW1</t>
        </is>
      </c>
      <c r="C161" s="160" t="n">
        <v>12</v>
      </c>
      <c r="D161" s="160">
        <f>ROUNDUP(C161/12,0)</f>
        <v/>
      </c>
      <c r="E161" s="160">
        <f>IF(AND('Sites'!$E$7=1,C161&gt;='Sites'!$F$7+'Cases'!$G$7,C161&lt;='Sites'!$G$7),1,0)</f>
        <v/>
      </c>
      <c r="F161" s="160">
        <f>E161*'Assumptions'!O68</f>
        <v/>
      </c>
      <c r="G161" s="160">
        <f>V160</f>
        <v/>
      </c>
      <c r="H161" s="160">
        <f>W160</f>
        <v/>
      </c>
      <c r="I161" s="160">
        <f>X160</f>
        <v/>
      </c>
      <c r="J161" s="160">
        <f>MAX(0,'Sites'!$I$7-SUM(N150:N160))</f>
        <v/>
      </c>
      <c r="K161" s="160">
        <f>IF('Sites'!$C$7="Own sheets",MIN(ROUNDDOWN(G161/'NM Play'!$B$11,0)+F161*'NM Play'!$B$10/'NM Play'!$B$43,ROUNDDOWN(H161/'NM Play'!$B$12,0)+F161*'NM Play'!$B$10/'NM Play'!$B$44,(F161*'NM Play'!$B$10+ROUNDDOWN(G161/'NM Play'!$B$11,0)*'NM Play'!$B$43+ROUNDDOWN(H161/'NM Play'!$B$12,0)*'NM Play'!$B$44)/('NM Play'!$B$43+'NM Play'!$B$44)),ROUNDDOWN(G161/'NM Play'!$B$11,0)+F161*'NM Play'!$B$10/'NM Play'!$B$43)</f>
        <v/>
      </c>
      <c r="L161" s="160">
        <f>MIN(ROUNDDOWN(G161/'NM Play'!$B$11,0)+F161/('NM Play'!$B$43/'NM Play'!$B$15),ROUNDDOWN(H161/'NM Play'!$B$12,0)+F161/('NM Play'!$B$44/'NM Play'!$B$16),(F161+ROUNDDOWN(G161/'NM Play'!$B$11,0)*'NM Play'!$B$43/'NM Play'!$B$15+ROUNDDOWN(H161/'NM Play'!$B$12,0)*'NM Play'!$B$44/'NM Play'!$B$16)/('NM Play'!$B$43/'NM Play'!$B$15+'NM Play'!$B$44/'NM Play'!$B$16))</f>
        <v/>
      </c>
      <c r="M161" s="160">
        <f>F161*'NM Play'!$B$36</f>
        <v/>
      </c>
      <c r="N161" s="160">
        <f>ROUNDDOWN(MAX(0,MIN(J161,K161:M161)),0)</f>
        <v/>
      </c>
      <c r="O161" s="160">
        <f>ROUNDUP(MAX(0,N161*'NM Play'!$B$11-G161)/'NM Play'!$B$13,0)</f>
        <v/>
      </c>
      <c r="P161" s="160">
        <f>ROUNDUP(MAX(0,N161*'NM Play'!$B$12-H161)/'NM Play'!$B$14,0)</f>
        <v/>
      </c>
      <c r="Q161" s="160">
        <f>(O161+IF('Sites'!$C$7="Own sheets",P161,0))/'NM Play'!$B$10</f>
        <v/>
      </c>
      <c r="R161" s="160">
        <f>O161/'NM Play'!$B$15+P161/'NM Play'!$B$16</f>
        <v/>
      </c>
      <c r="S161" s="160">
        <f>MAX(Q161,R161,N161/'NM Play'!$B$36)</f>
        <v/>
      </c>
      <c r="T161" s="160">
        <f>Q161*'NM Play'!$B$10*'NM Play'!$B$21*(1+'NM Play'!$B$35)</f>
        <v/>
      </c>
      <c r="U161" s="160">
        <f>MAX(0,T161-I161)</f>
        <v/>
      </c>
      <c r="V161" s="160">
        <f>G161+O161*'NM Play'!$B$13-N161*'NM Play'!$B$11</f>
        <v/>
      </c>
      <c r="W161" s="160">
        <f>H161+P161*'NM Play'!$B$14-N161*'NM Play'!$B$12</f>
        <v/>
      </c>
      <c r="X161" s="160">
        <f>I161+U161-T161</f>
        <v/>
      </c>
      <c r="Y161" s="160">
        <f>MIN(N161,MAX(0,ROUNDDOWN('Sites'!$L$7*'Cases'!$E$7,0)-SUM(Y150:Y160)))</f>
        <v/>
      </c>
      <c r="Z161" s="160">
        <f>N161-Y161</f>
        <v/>
      </c>
      <c r="AA161" s="160">
        <f>U161*'NM Play'!$B$22</f>
        <v/>
      </c>
      <c r="AB161" s="160">
        <f>N161*SUM('NM Play'!$B$29:$B$31)</f>
        <v/>
      </c>
      <c r="AC161" s="160">
        <f>IF('Sites'!$C$7="Defy legs",P161*'NM Play'!$B$14/'NM Play'!$B$12*'NM Play'!$B$28,0)</f>
        <v/>
      </c>
      <c r="AD161" s="160">
        <f>Q161*'NM Play'!$B$23</f>
        <v/>
      </c>
      <c r="AE161" s="160">
        <f>S161*SUM('NM Play'!$B$26,'NM Play'!$B$33:$B$34)</f>
        <v/>
      </c>
      <c r="AF161" s="160">
        <f>IF('Sites'!$D$7="NM crew",S161*SUM('NM Play'!$B$24:$B$25),0)</f>
        <v/>
      </c>
      <c r="AG161" s="160">
        <f>IF('Sites'!$D$7="NM crew",S161*'NM Play'!$B$27,0)</f>
        <v/>
      </c>
      <c r="AH161" s="160">
        <f>N161*'Sites'!$Z$7*'NM Play'!$B$32</f>
        <v/>
      </c>
      <c r="AI161" s="160">
        <f>SUM(Y161:Z161)*'Sites'!$R$7</f>
        <v/>
      </c>
      <c r="AJ161" s="160">
        <f>SUM(AA161:AH161)</f>
        <v/>
      </c>
      <c r="AK161" s="160">
        <f>AJ161+(T161-U161)*'NM Play'!$B$22+MIN(G161,N161*'NM Play'!$B$11)/'NM Play'!$B$13*'NM Play'!$B$21*'NM Play'!$B$22+MIN(H161,N161*'NM Play'!$B$12)/'NM Play'!$B$14*IF('Sites'!$C$7="Own sheets",'NM Play'!$B$21*'NM Play'!$B$22,'NM Play'!$B$28*'NM Play'!$B$14/'NM Play'!$B$12)</f>
        <v/>
      </c>
      <c r="AL161" s="160">
        <f>Y161*'Assumptions'!O66</f>
        <v/>
      </c>
      <c r="AM161" s="160">
        <f>IF('Sites'!$D$7="NM crew",S161*'NM Play'!$B$37*(1+IF(AND(ISNUMBER('NM Play'!$B$25),'NM Play'!$B$25&gt;0),1,0)),"")</f>
        <v/>
      </c>
      <c r="AN161" s="160">
        <f>IF(OR('Sites'!$E$7&lt;0,'Sites'!$E$7&gt;1,'Sites'!$F$7&lt;1,'Sites'!$G$7&lt;'Sites'!$F$7,F161&lt;0,MIN('Sites'!$I$7:'Sites'!$R$7)&lt;0,'Sites'!$L$7&gt;'Sites'!$I$7,'Sites'!$M$7&gt;'Sites'!$J$7,'Sites'!$N$7&gt;'Sites'!$K$7,'Sites'!$Z$7&lt;0,'Sites'!$Z$7&gt;1,MIN('Sites'!$AA$7:'Sites'!$AC$7)&lt;0,S161&gt;F161+0.001),1,0)</f>
        <v/>
      </c>
      <c r="AO161" s="160">
        <f>I161+U161-T161-X161</f>
        <v/>
      </c>
    </row>
    <row r="162" ht="28" customHeight="1">
      <c r="A162" s="4" t="inlineStr">
        <is>
          <t>Smaller</t>
        </is>
      </c>
      <c r="B162" s="4" t="inlineStr">
        <is>
          <t>NEW1</t>
        </is>
      </c>
      <c r="C162" s="160" t="n">
        <v>13</v>
      </c>
      <c r="D162" s="160">
        <f>ROUNDUP(C162/12,0)</f>
        <v/>
      </c>
      <c r="E162" s="160">
        <f>IF(AND('Sites'!$E$7=1,C162&gt;='Sites'!$F$7+'Cases'!$G$7,C162&lt;='Sites'!$G$7),1,0)</f>
        <v/>
      </c>
      <c r="F162" s="160">
        <f>E162*'Assumptions'!P68</f>
        <v/>
      </c>
      <c r="G162" s="160">
        <f>V161</f>
        <v/>
      </c>
      <c r="H162" s="160">
        <f>W161</f>
        <v/>
      </c>
      <c r="I162" s="160">
        <f>X161</f>
        <v/>
      </c>
      <c r="J162" s="160">
        <f>MAX(0,'Sites'!$J$7-0)</f>
        <v/>
      </c>
      <c r="K162" s="160">
        <f>IF('Sites'!$C$7="Own sheets",MIN(ROUNDDOWN(G162/'NM Play'!$B$11,0)+F162*'NM Play'!$B$10/'NM Play'!$B$43,ROUNDDOWN(H162/'NM Play'!$B$12,0)+F162*'NM Play'!$B$10/'NM Play'!$B$44,(F162*'NM Play'!$B$10+ROUNDDOWN(G162/'NM Play'!$B$11,0)*'NM Play'!$B$43+ROUNDDOWN(H162/'NM Play'!$B$12,0)*'NM Play'!$B$44)/('NM Play'!$B$43+'NM Play'!$B$44)),ROUNDDOWN(G162/'NM Play'!$B$11,0)+F162*'NM Play'!$B$10/'NM Play'!$B$43)</f>
        <v/>
      </c>
      <c r="L162" s="160">
        <f>MIN(ROUNDDOWN(G162/'NM Play'!$B$11,0)+F162/('NM Play'!$B$43/'NM Play'!$B$15),ROUNDDOWN(H162/'NM Play'!$B$12,0)+F162/('NM Play'!$B$44/'NM Play'!$B$16),(F162+ROUNDDOWN(G162/'NM Play'!$B$11,0)*'NM Play'!$B$43/'NM Play'!$B$15+ROUNDDOWN(H162/'NM Play'!$B$12,0)*'NM Play'!$B$44/'NM Play'!$B$16)/('NM Play'!$B$43/'NM Play'!$B$15+'NM Play'!$B$44/'NM Play'!$B$16))</f>
        <v/>
      </c>
      <c r="M162" s="160">
        <f>F162*'NM Play'!$B$36</f>
        <v/>
      </c>
      <c r="N162" s="160">
        <f>ROUNDDOWN(MAX(0,MIN(J162,K162:M162)),0)</f>
        <v/>
      </c>
      <c r="O162" s="160">
        <f>ROUNDUP(MAX(0,N162*'NM Play'!$B$11-G162)/'NM Play'!$B$13,0)</f>
        <v/>
      </c>
      <c r="P162" s="160">
        <f>ROUNDUP(MAX(0,N162*'NM Play'!$B$12-H162)/'NM Play'!$B$14,0)</f>
        <v/>
      </c>
      <c r="Q162" s="160">
        <f>(O162+IF('Sites'!$C$7="Own sheets",P162,0))/'NM Play'!$B$10</f>
        <v/>
      </c>
      <c r="R162" s="160">
        <f>O162/'NM Play'!$B$15+P162/'NM Play'!$B$16</f>
        <v/>
      </c>
      <c r="S162" s="160">
        <f>MAX(Q162,R162,N162/'NM Play'!$B$36)</f>
        <v/>
      </c>
      <c r="T162" s="160">
        <f>Q162*'NM Play'!$B$10*'NM Play'!$B$21*(1+'NM Play'!$B$35)</f>
        <v/>
      </c>
      <c r="U162" s="160">
        <f>MAX(0,T162-I162)</f>
        <v/>
      </c>
      <c r="V162" s="160">
        <f>G162+O162*'NM Play'!$B$13-N162*'NM Play'!$B$11</f>
        <v/>
      </c>
      <c r="W162" s="160">
        <f>H162+P162*'NM Play'!$B$14-N162*'NM Play'!$B$12</f>
        <v/>
      </c>
      <c r="X162" s="160">
        <f>I162+U162-T162</f>
        <v/>
      </c>
      <c r="Y162" s="160">
        <f>MIN(N162,MAX(0,ROUNDDOWN('Sites'!$M$7*'Cases'!$E$7,0)-0))</f>
        <v/>
      </c>
      <c r="Z162" s="160">
        <f>N162-Y162</f>
        <v/>
      </c>
      <c r="AA162" s="160">
        <f>U162*'NM Play'!$B$22</f>
        <v/>
      </c>
      <c r="AB162" s="160">
        <f>N162*SUM('NM Play'!$B$29:$B$31)</f>
        <v/>
      </c>
      <c r="AC162" s="160">
        <f>IF('Sites'!$C$7="Defy legs",P162*'NM Play'!$B$14/'NM Play'!$B$12*'NM Play'!$B$28,0)</f>
        <v/>
      </c>
      <c r="AD162" s="160">
        <f>Q162*'NM Play'!$B$23</f>
        <v/>
      </c>
      <c r="AE162" s="160">
        <f>S162*SUM('NM Play'!$B$26,'NM Play'!$B$33:$B$34)</f>
        <v/>
      </c>
      <c r="AF162" s="160">
        <f>IF('Sites'!$D$7="NM crew",S162*SUM('NM Play'!$B$24:$B$25),0)</f>
        <v/>
      </c>
      <c r="AG162" s="160">
        <f>IF('Sites'!$D$7="NM crew",S162*'NM Play'!$B$27,0)</f>
        <v/>
      </c>
      <c r="AH162" s="160">
        <f>N162*'Sites'!$Z$7*'NM Play'!$B$32</f>
        <v/>
      </c>
      <c r="AI162" s="160">
        <f>SUM(Y162:Z162)*'Sites'!$R$7</f>
        <v/>
      </c>
      <c r="AJ162" s="160">
        <f>SUM(AA162:AH162)</f>
        <v/>
      </c>
      <c r="AK162" s="160">
        <f>AJ162+(T162-U162)*'NM Play'!$B$22+MIN(G162,N162*'NM Play'!$B$11)/'NM Play'!$B$13*'NM Play'!$B$21*'NM Play'!$B$22+MIN(H162,N162*'NM Play'!$B$12)/'NM Play'!$B$14*IF('Sites'!$C$7="Own sheets",'NM Play'!$B$21*'NM Play'!$B$22,'NM Play'!$B$28*'NM Play'!$B$14/'NM Play'!$B$12)</f>
        <v/>
      </c>
      <c r="AL162" s="160">
        <f>Y162*'Assumptions'!P66</f>
        <v/>
      </c>
      <c r="AM162" s="160">
        <f>IF('Sites'!$D$7="NM crew",S162*'NM Play'!$B$37*(1+IF(AND(ISNUMBER('NM Play'!$B$25),'NM Play'!$B$25&gt;0),1,0)),"")</f>
        <v/>
      </c>
      <c r="AN162" s="160">
        <f>IF(OR('Sites'!$E$7&lt;0,'Sites'!$E$7&gt;1,'Sites'!$F$7&lt;1,'Sites'!$G$7&lt;'Sites'!$F$7,F162&lt;0,MIN('Sites'!$I$7:'Sites'!$R$7)&lt;0,'Sites'!$L$7&gt;'Sites'!$I$7,'Sites'!$M$7&gt;'Sites'!$J$7,'Sites'!$N$7&gt;'Sites'!$K$7,'Sites'!$Z$7&lt;0,'Sites'!$Z$7&gt;1,MIN('Sites'!$AA$7:'Sites'!$AC$7)&lt;0,S162&gt;F162+0.001),1,0)</f>
        <v/>
      </c>
      <c r="AO162" s="160">
        <f>I162+U162-T162-X162</f>
        <v/>
      </c>
    </row>
    <row r="163" ht="28" customHeight="1">
      <c r="A163" s="4" t="inlineStr">
        <is>
          <t>Smaller</t>
        </is>
      </c>
      <c r="B163" s="4" t="inlineStr">
        <is>
          <t>NEW1</t>
        </is>
      </c>
      <c r="C163" s="160" t="n">
        <v>14</v>
      </c>
      <c r="D163" s="160">
        <f>ROUNDUP(C163/12,0)</f>
        <v/>
      </c>
      <c r="E163" s="160">
        <f>IF(AND('Sites'!$E$7=1,C163&gt;='Sites'!$F$7+'Cases'!$G$7,C163&lt;='Sites'!$G$7),1,0)</f>
        <v/>
      </c>
      <c r="F163" s="160">
        <f>E163*'Assumptions'!Q68</f>
        <v/>
      </c>
      <c r="G163" s="160">
        <f>V162</f>
        <v/>
      </c>
      <c r="H163" s="160">
        <f>W162</f>
        <v/>
      </c>
      <c r="I163" s="160">
        <f>X162</f>
        <v/>
      </c>
      <c r="J163" s="160">
        <f>MAX(0,'Sites'!$J$7-SUM(N162:N162))</f>
        <v/>
      </c>
      <c r="K163" s="160">
        <f>IF('Sites'!$C$7="Own sheets",MIN(ROUNDDOWN(G163/'NM Play'!$B$11,0)+F163*'NM Play'!$B$10/'NM Play'!$B$43,ROUNDDOWN(H163/'NM Play'!$B$12,0)+F163*'NM Play'!$B$10/'NM Play'!$B$44,(F163*'NM Play'!$B$10+ROUNDDOWN(G163/'NM Play'!$B$11,0)*'NM Play'!$B$43+ROUNDDOWN(H163/'NM Play'!$B$12,0)*'NM Play'!$B$44)/('NM Play'!$B$43+'NM Play'!$B$44)),ROUNDDOWN(G163/'NM Play'!$B$11,0)+F163*'NM Play'!$B$10/'NM Play'!$B$43)</f>
        <v/>
      </c>
      <c r="L163" s="160">
        <f>MIN(ROUNDDOWN(G163/'NM Play'!$B$11,0)+F163/('NM Play'!$B$43/'NM Play'!$B$15),ROUNDDOWN(H163/'NM Play'!$B$12,0)+F163/('NM Play'!$B$44/'NM Play'!$B$16),(F163+ROUNDDOWN(G163/'NM Play'!$B$11,0)*'NM Play'!$B$43/'NM Play'!$B$15+ROUNDDOWN(H163/'NM Play'!$B$12,0)*'NM Play'!$B$44/'NM Play'!$B$16)/('NM Play'!$B$43/'NM Play'!$B$15+'NM Play'!$B$44/'NM Play'!$B$16))</f>
        <v/>
      </c>
      <c r="M163" s="160">
        <f>F163*'NM Play'!$B$36</f>
        <v/>
      </c>
      <c r="N163" s="160">
        <f>ROUNDDOWN(MAX(0,MIN(J163,K163:M163)),0)</f>
        <v/>
      </c>
      <c r="O163" s="160">
        <f>ROUNDUP(MAX(0,N163*'NM Play'!$B$11-G163)/'NM Play'!$B$13,0)</f>
        <v/>
      </c>
      <c r="P163" s="160">
        <f>ROUNDUP(MAX(0,N163*'NM Play'!$B$12-H163)/'NM Play'!$B$14,0)</f>
        <v/>
      </c>
      <c r="Q163" s="160">
        <f>(O163+IF('Sites'!$C$7="Own sheets",P163,0))/'NM Play'!$B$10</f>
        <v/>
      </c>
      <c r="R163" s="160">
        <f>O163/'NM Play'!$B$15+P163/'NM Play'!$B$16</f>
        <v/>
      </c>
      <c r="S163" s="160">
        <f>MAX(Q163,R163,N163/'NM Play'!$B$36)</f>
        <v/>
      </c>
      <c r="T163" s="160">
        <f>Q163*'NM Play'!$B$10*'NM Play'!$B$21*(1+'NM Play'!$B$35)</f>
        <v/>
      </c>
      <c r="U163" s="160">
        <f>MAX(0,T163-I163)</f>
        <v/>
      </c>
      <c r="V163" s="160">
        <f>G163+O163*'NM Play'!$B$13-N163*'NM Play'!$B$11</f>
        <v/>
      </c>
      <c r="W163" s="160">
        <f>H163+P163*'NM Play'!$B$14-N163*'NM Play'!$B$12</f>
        <v/>
      </c>
      <c r="X163" s="160">
        <f>I163+U163-T163</f>
        <v/>
      </c>
      <c r="Y163" s="160">
        <f>MIN(N163,MAX(0,ROUNDDOWN('Sites'!$M$7*'Cases'!$E$7,0)-SUM(Y162:Y162)))</f>
        <v/>
      </c>
      <c r="Z163" s="160">
        <f>N163-Y163</f>
        <v/>
      </c>
      <c r="AA163" s="160">
        <f>U163*'NM Play'!$B$22</f>
        <v/>
      </c>
      <c r="AB163" s="160">
        <f>N163*SUM('NM Play'!$B$29:$B$31)</f>
        <v/>
      </c>
      <c r="AC163" s="160">
        <f>IF('Sites'!$C$7="Defy legs",P163*'NM Play'!$B$14/'NM Play'!$B$12*'NM Play'!$B$28,0)</f>
        <v/>
      </c>
      <c r="AD163" s="160">
        <f>Q163*'NM Play'!$B$23</f>
        <v/>
      </c>
      <c r="AE163" s="160">
        <f>S163*SUM('NM Play'!$B$26,'NM Play'!$B$33:$B$34)</f>
        <v/>
      </c>
      <c r="AF163" s="160">
        <f>IF('Sites'!$D$7="NM crew",S163*SUM('NM Play'!$B$24:$B$25),0)</f>
        <v/>
      </c>
      <c r="AG163" s="160">
        <f>IF('Sites'!$D$7="NM crew",S163*'NM Play'!$B$27,0)</f>
        <v/>
      </c>
      <c r="AH163" s="160">
        <f>N163*'Sites'!$Z$7*'NM Play'!$B$32</f>
        <v/>
      </c>
      <c r="AI163" s="160">
        <f>SUM(Y163:Z163)*'Sites'!$R$7</f>
        <v/>
      </c>
      <c r="AJ163" s="160">
        <f>SUM(AA163:AH163)</f>
        <v/>
      </c>
      <c r="AK163" s="160">
        <f>AJ163+(T163-U163)*'NM Play'!$B$22+MIN(G163,N163*'NM Play'!$B$11)/'NM Play'!$B$13*'NM Play'!$B$21*'NM Play'!$B$22+MIN(H163,N163*'NM Play'!$B$12)/'NM Play'!$B$14*IF('Sites'!$C$7="Own sheets",'NM Play'!$B$21*'NM Play'!$B$22,'NM Play'!$B$28*'NM Play'!$B$14/'NM Play'!$B$12)</f>
        <v/>
      </c>
      <c r="AL163" s="160">
        <f>Y163*'Assumptions'!Q66</f>
        <v/>
      </c>
      <c r="AM163" s="160">
        <f>IF('Sites'!$D$7="NM crew",S163*'NM Play'!$B$37*(1+IF(AND(ISNUMBER('NM Play'!$B$25),'NM Play'!$B$25&gt;0),1,0)),"")</f>
        <v/>
      </c>
      <c r="AN163" s="160">
        <f>IF(OR('Sites'!$E$7&lt;0,'Sites'!$E$7&gt;1,'Sites'!$F$7&lt;1,'Sites'!$G$7&lt;'Sites'!$F$7,F163&lt;0,MIN('Sites'!$I$7:'Sites'!$R$7)&lt;0,'Sites'!$L$7&gt;'Sites'!$I$7,'Sites'!$M$7&gt;'Sites'!$J$7,'Sites'!$N$7&gt;'Sites'!$K$7,'Sites'!$Z$7&lt;0,'Sites'!$Z$7&gt;1,MIN('Sites'!$AA$7:'Sites'!$AC$7)&lt;0,S163&gt;F163+0.001),1,0)</f>
        <v/>
      </c>
      <c r="AO163" s="160">
        <f>I163+U163-T163-X163</f>
        <v/>
      </c>
    </row>
    <row r="164" ht="28" customHeight="1">
      <c r="A164" s="4" t="inlineStr">
        <is>
          <t>Smaller</t>
        </is>
      </c>
      <c r="B164" s="4" t="inlineStr">
        <is>
          <t>NEW1</t>
        </is>
      </c>
      <c r="C164" s="160" t="n">
        <v>15</v>
      </c>
      <c r="D164" s="160">
        <f>ROUNDUP(C164/12,0)</f>
        <v/>
      </c>
      <c r="E164" s="160">
        <f>IF(AND('Sites'!$E$7=1,C164&gt;='Sites'!$F$7+'Cases'!$G$7,C164&lt;='Sites'!$G$7),1,0)</f>
        <v/>
      </c>
      <c r="F164" s="160">
        <f>E164*'Assumptions'!R68</f>
        <v/>
      </c>
      <c r="G164" s="160">
        <f>V163</f>
        <v/>
      </c>
      <c r="H164" s="160">
        <f>W163</f>
        <v/>
      </c>
      <c r="I164" s="160">
        <f>X163</f>
        <v/>
      </c>
      <c r="J164" s="160">
        <f>MAX(0,'Sites'!$J$7-SUM(N162:N163))</f>
        <v/>
      </c>
      <c r="K164" s="160">
        <f>IF('Sites'!$C$7="Own sheets",MIN(ROUNDDOWN(G164/'NM Play'!$B$11,0)+F164*'NM Play'!$B$10/'NM Play'!$B$43,ROUNDDOWN(H164/'NM Play'!$B$12,0)+F164*'NM Play'!$B$10/'NM Play'!$B$44,(F164*'NM Play'!$B$10+ROUNDDOWN(G164/'NM Play'!$B$11,0)*'NM Play'!$B$43+ROUNDDOWN(H164/'NM Play'!$B$12,0)*'NM Play'!$B$44)/('NM Play'!$B$43+'NM Play'!$B$44)),ROUNDDOWN(G164/'NM Play'!$B$11,0)+F164*'NM Play'!$B$10/'NM Play'!$B$43)</f>
        <v/>
      </c>
      <c r="L164" s="160">
        <f>MIN(ROUNDDOWN(G164/'NM Play'!$B$11,0)+F164/('NM Play'!$B$43/'NM Play'!$B$15),ROUNDDOWN(H164/'NM Play'!$B$12,0)+F164/('NM Play'!$B$44/'NM Play'!$B$16),(F164+ROUNDDOWN(G164/'NM Play'!$B$11,0)*'NM Play'!$B$43/'NM Play'!$B$15+ROUNDDOWN(H164/'NM Play'!$B$12,0)*'NM Play'!$B$44/'NM Play'!$B$16)/('NM Play'!$B$43/'NM Play'!$B$15+'NM Play'!$B$44/'NM Play'!$B$16))</f>
        <v/>
      </c>
      <c r="M164" s="160">
        <f>F164*'NM Play'!$B$36</f>
        <v/>
      </c>
      <c r="N164" s="160">
        <f>ROUNDDOWN(MAX(0,MIN(J164,K164:M164)),0)</f>
        <v/>
      </c>
      <c r="O164" s="160">
        <f>ROUNDUP(MAX(0,N164*'NM Play'!$B$11-G164)/'NM Play'!$B$13,0)</f>
        <v/>
      </c>
      <c r="P164" s="160">
        <f>ROUNDUP(MAX(0,N164*'NM Play'!$B$12-H164)/'NM Play'!$B$14,0)</f>
        <v/>
      </c>
      <c r="Q164" s="160">
        <f>(O164+IF('Sites'!$C$7="Own sheets",P164,0))/'NM Play'!$B$10</f>
        <v/>
      </c>
      <c r="R164" s="160">
        <f>O164/'NM Play'!$B$15+P164/'NM Play'!$B$16</f>
        <v/>
      </c>
      <c r="S164" s="160">
        <f>MAX(Q164,R164,N164/'NM Play'!$B$36)</f>
        <v/>
      </c>
      <c r="T164" s="160">
        <f>Q164*'NM Play'!$B$10*'NM Play'!$B$21*(1+'NM Play'!$B$35)</f>
        <v/>
      </c>
      <c r="U164" s="160">
        <f>MAX(0,T164-I164)</f>
        <v/>
      </c>
      <c r="V164" s="160">
        <f>G164+O164*'NM Play'!$B$13-N164*'NM Play'!$B$11</f>
        <v/>
      </c>
      <c r="W164" s="160">
        <f>H164+P164*'NM Play'!$B$14-N164*'NM Play'!$B$12</f>
        <v/>
      </c>
      <c r="X164" s="160">
        <f>I164+U164-T164</f>
        <v/>
      </c>
      <c r="Y164" s="160">
        <f>MIN(N164,MAX(0,ROUNDDOWN('Sites'!$M$7*'Cases'!$E$7,0)-SUM(Y162:Y163)))</f>
        <v/>
      </c>
      <c r="Z164" s="160">
        <f>N164-Y164</f>
        <v/>
      </c>
      <c r="AA164" s="160">
        <f>U164*'NM Play'!$B$22</f>
        <v/>
      </c>
      <c r="AB164" s="160">
        <f>N164*SUM('NM Play'!$B$29:$B$31)</f>
        <v/>
      </c>
      <c r="AC164" s="160">
        <f>IF('Sites'!$C$7="Defy legs",P164*'NM Play'!$B$14/'NM Play'!$B$12*'NM Play'!$B$28,0)</f>
        <v/>
      </c>
      <c r="AD164" s="160">
        <f>Q164*'NM Play'!$B$23</f>
        <v/>
      </c>
      <c r="AE164" s="160">
        <f>S164*SUM('NM Play'!$B$26,'NM Play'!$B$33:$B$34)</f>
        <v/>
      </c>
      <c r="AF164" s="160">
        <f>IF('Sites'!$D$7="NM crew",S164*SUM('NM Play'!$B$24:$B$25),0)</f>
        <v/>
      </c>
      <c r="AG164" s="160">
        <f>IF('Sites'!$D$7="NM crew",S164*'NM Play'!$B$27,0)</f>
        <v/>
      </c>
      <c r="AH164" s="160">
        <f>N164*'Sites'!$Z$7*'NM Play'!$B$32</f>
        <v/>
      </c>
      <c r="AI164" s="160">
        <f>SUM(Y164:Z164)*'Sites'!$R$7</f>
        <v/>
      </c>
      <c r="AJ164" s="160">
        <f>SUM(AA164:AH164)</f>
        <v/>
      </c>
      <c r="AK164" s="160">
        <f>AJ164+(T164-U164)*'NM Play'!$B$22+MIN(G164,N164*'NM Play'!$B$11)/'NM Play'!$B$13*'NM Play'!$B$21*'NM Play'!$B$22+MIN(H164,N164*'NM Play'!$B$12)/'NM Play'!$B$14*IF('Sites'!$C$7="Own sheets",'NM Play'!$B$21*'NM Play'!$B$22,'NM Play'!$B$28*'NM Play'!$B$14/'NM Play'!$B$12)</f>
        <v/>
      </c>
      <c r="AL164" s="160">
        <f>Y164*'Assumptions'!R66</f>
        <v/>
      </c>
      <c r="AM164" s="160">
        <f>IF('Sites'!$D$7="NM crew",S164*'NM Play'!$B$37*(1+IF(AND(ISNUMBER('NM Play'!$B$25),'NM Play'!$B$25&gt;0),1,0)),"")</f>
        <v/>
      </c>
      <c r="AN164" s="160">
        <f>IF(OR('Sites'!$E$7&lt;0,'Sites'!$E$7&gt;1,'Sites'!$F$7&lt;1,'Sites'!$G$7&lt;'Sites'!$F$7,F164&lt;0,MIN('Sites'!$I$7:'Sites'!$R$7)&lt;0,'Sites'!$L$7&gt;'Sites'!$I$7,'Sites'!$M$7&gt;'Sites'!$J$7,'Sites'!$N$7&gt;'Sites'!$K$7,'Sites'!$Z$7&lt;0,'Sites'!$Z$7&gt;1,MIN('Sites'!$AA$7:'Sites'!$AC$7)&lt;0,S164&gt;F164+0.001),1,0)</f>
        <v/>
      </c>
      <c r="AO164" s="160">
        <f>I164+U164-T164-X164</f>
        <v/>
      </c>
    </row>
    <row r="165" ht="28" customHeight="1">
      <c r="A165" s="4" t="inlineStr">
        <is>
          <t>Smaller</t>
        </is>
      </c>
      <c r="B165" s="4" t="inlineStr">
        <is>
          <t>NEW1</t>
        </is>
      </c>
      <c r="C165" s="160" t="n">
        <v>16</v>
      </c>
      <c r="D165" s="160">
        <f>ROUNDUP(C165/12,0)</f>
        <v/>
      </c>
      <c r="E165" s="160">
        <f>IF(AND('Sites'!$E$7=1,C165&gt;='Sites'!$F$7+'Cases'!$G$7,C165&lt;='Sites'!$G$7),1,0)</f>
        <v/>
      </c>
      <c r="F165" s="160">
        <f>E165*'Assumptions'!S68</f>
        <v/>
      </c>
      <c r="G165" s="160">
        <f>V164</f>
        <v/>
      </c>
      <c r="H165" s="160">
        <f>W164</f>
        <v/>
      </c>
      <c r="I165" s="160">
        <f>X164</f>
        <v/>
      </c>
      <c r="J165" s="160">
        <f>MAX(0,'Sites'!$J$7-SUM(N162:N164))</f>
        <v/>
      </c>
      <c r="K165" s="160">
        <f>IF('Sites'!$C$7="Own sheets",MIN(ROUNDDOWN(G165/'NM Play'!$B$11,0)+F165*'NM Play'!$B$10/'NM Play'!$B$43,ROUNDDOWN(H165/'NM Play'!$B$12,0)+F165*'NM Play'!$B$10/'NM Play'!$B$44,(F165*'NM Play'!$B$10+ROUNDDOWN(G165/'NM Play'!$B$11,0)*'NM Play'!$B$43+ROUNDDOWN(H165/'NM Play'!$B$12,0)*'NM Play'!$B$44)/('NM Play'!$B$43+'NM Play'!$B$44)),ROUNDDOWN(G165/'NM Play'!$B$11,0)+F165*'NM Play'!$B$10/'NM Play'!$B$43)</f>
        <v/>
      </c>
      <c r="L165" s="160">
        <f>MIN(ROUNDDOWN(G165/'NM Play'!$B$11,0)+F165/('NM Play'!$B$43/'NM Play'!$B$15),ROUNDDOWN(H165/'NM Play'!$B$12,0)+F165/('NM Play'!$B$44/'NM Play'!$B$16),(F165+ROUNDDOWN(G165/'NM Play'!$B$11,0)*'NM Play'!$B$43/'NM Play'!$B$15+ROUNDDOWN(H165/'NM Play'!$B$12,0)*'NM Play'!$B$44/'NM Play'!$B$16)/('NM Play'!$B$43/'NM Play'!$B$15+'NM Play'!$B$44/'NM Play'!$B$16))</f>
        <v/>
      </c>
      <c r="M165" s="160">
        <f>F165*'NM Play'!$B$36</f>
        <v/>
      </c>
      <c r="N165" s="160">
        <f>ROUNDDOWN(MAX(0,MIN(J165,K165:M165)),0)</f>
        <v/>
      </c>
      <c r="O165" s="160">
        <f>ROUNDUP(MAX(0,N165*'NM Play'!$B$11-G165)/'NM Play'!$B$13,0)</f>
        <v/>
      </c>
      <c r="P165" s="160">
        <f>ROUNDUP(MAX(0,N165*'NM Play'!$B$12-H165)/'NM Play'!$B$14,0)</f>
        <v/>
      </c>
      <c r="Q165" s="160">
        <f>(O165+IF('Sites'!$C$7="Own sheets",P165,0))/'NM Play'!$B$10</f>
        <v/>
      </c>
      <c r="R165" s="160">
        <f>O165/'NM Play'!$B$15+P165/'NM Play'!$B$16</f>
        <v/>
      </c>
      <c r="S165" s="160">
        <f>MAX(Q165,R165,N165/'NM Play'!$B$36)</f>
        <v/>
      </c>
      <c r="T165" s="160">
        <f>Q165*'NM Play'!$B$10*'NM Play'!$B$21*(1+'NM Play'!$B$35)</f>
        <v/>
      </c>
      <c r="U165" s="160">
        <f>MAX(0,T165-I165)</f>
        <v/>
      </c>
      <c r="V165" s="160">
        <f>G165+O165*'NM Play'!$B$13-N165*'NM Play'!$B$11</f>
        <v/>
      </c>
      <c r="W165" s="160">
        <f>H165+P165*'NM Play'!$B$14-N165*'NM Play'!$B$12</f>
        <v/>
      </c>
      <c r="X165" s="160">
        <f>I165+U165-T165</f>
        <v/>
      </c>
      <c r="Y165" s="160">
        <f>MIN(N165,MAX(0,ROUNDDOWN('Sites'!$M$7*'Cases'!$E$7,0)-SUM(Y162:Y164)))</f>
        <v/>
      </c>
      <c r="Z165" s="160">
        <f>N165-Y165</f>
        <v/>
      </c>
      <c r="AA165" s="160">
        <f>U165*'NM Play'!$B$22</f>
        <v/>
      </c>
      <c r="AB165" s="160">
        <f>N165*SUM('NM Play'!$B$29:$B$31)</f>
        <v/>
      </c>
      <c r="AC165" s="160">
        <f>IF('Sites'!$C$7="Defy legs",P165*'NM Play'!$B$14/'NM Play'!$B$12*'NM Play'!$B$28,0)</f>
        <v/>
      </c>
      <c r="AD165" s="160">
        <f>Q165*'NM Play'!$B$23</f>
        <v/>
      </c>
      <c r="AE165" s="160">
        <f>S165*SUM('NM Play'!$B$26,'NM Play'!$B$33:$B$34)</f>
        <v/>
      </c>
      <c r="AF165" s="160">
        <f>IF('Sites'!$D$7="NM crew",S165*SUM('NM Play'!$B$24:$B$25),0)</f>
        <v/>
      </c>
      <c r="AG165" s="160">
        <f>IF('Sites'!$D$7="NM crew",S165*'NM Play'!$B$27,0)</f>
        <v/>
      </c>
      <c r="AH165" s="160">
        <f>N165*'Sites'!$Z$7*'NM Play'!$B$32</f>
        <v/>
      </c>
      <c r="AI165" s="160">
        <f>SUM(Y165:Z165)*'Sites'!$R$7</f>
        <v/>
      </c>
      <c r="AJ165" s="160">
        <f>SUM(AA165:AH165)</f>
        <v/>
      </c>
      <c r="AK165" s="160">
        <f>AJ165+(T165-U165)*'NM Play'!$B$22+MIN(G165,N165*'NM Play'!$B$11)/'NM Play'!$B$13*'NM Play'!$B$21*'NM Play'!$B$22+MIN(H165,N165*'NM Play'!$B$12)/'NM Play'!$B$14*IF('Sites'!$C$7="Own sheets",'NM Play'!$B$21*'NM Play'!$B$22,'NM Play'!$B$28*'NM Play'!$B$14/'NM Play'!$B$12)</f>
        <v/>
      </c>
      <c r="AL165" s="160">
        <f>Y165*'Assumptions'!S66</f>
        <v/>
      </c>
      <c r="AM165" s="160">
        <f>IF('Sites'!$D$7="NM crew",S165*'NM Play'!$B$37*(1+IF(AND(ISNUMBER('NM Play'!$B$25),'NM Play'!$B$25&gt;0),1,0)),"")</f>
        <v/>
      </c>
      <c r="AN165" s="160">
        <f>IF(OR('Sites'!$E$7&lt;0,'Sites'!$E$7&gt;1,'Sites'!$F$7&lt;1,'Sites'!$G$7&lt;'Sites'!$F$7,F165&lt;0,MIN('Sites'!$I$7:'Sites'!$R$7)&lt;0,'Sites'!$L$7&gt;'Sites'!$I$7,'Sites'!$M$7&gt;'Sites'!$J$7,'Sites'!$N$7&gt;'Sites'!$K$7,'Sites'!$Z$7&lt;0,'Sites'!$Z$7&gt;1,MIN('Sites'!$AA$7:'Sites'!$AC$7)&lt;0,S165&gt;F165+0.001),1,0)</f>
        <v/>
      </c>
      <c r="AO165" s="160">
        <f>I165+U165-T165-X165</f>
        <v/>
      </c>
    </row>
    <row r="166" ht="28" customHeight="1">
      <c r="A166" s="4" t="inlineStr">
        <is>
          <t>Smaller</t>
        </is>
      </c>
      <c r="B166" s="4" t="inlineStr">
        <is>
          <t>NEW1</t>
        </is>
      </c>
      <c r="C166" s="160" t="n">
        <v>17</v>
      </c>
      <c r="D166" s="160">
        <f>ROUNDUP(C166/12,0)</f>
        <v/>
      </c>
      <c r="E166" s="160">
        <f>IF(AND('Sites'!$E$7=1,C166&gt;='Sites'!$F$7+'Cases'!$G$7,C166&lt;='Sites'!$G$7),1,0)</f>
        <v/>
      </c>
      <c r="F166" s="160">
        <f>E166*'Assumptions'!T68</f>
        <v/>
      </c>
      <c r="G166" s="160">
        <f>V165</f>
        <v/>
      </c>
      <c r="H166" s="160">
        <f>W165</f>
        <v/>
      </c>
      <c r="I166" s="160">
        <f>X165</f>
        <v/>
      </c>
      <c r="J166" s="160">
        <f>MAX(0,'Sites'!$J$7-SUM(N162:N165))</f>
        <v/>
      </c>
      <c r="K166" s="160">
        <f>IF('Sites'!$C$7="Own sheets",MIN(ROUNDDOWN(G166/'NM Play'!$B$11,0)+F166*'NM Play'!$B$10/'NM Play'!$B$43,ROUNDDOWN(H166/'NM Play'!$B$12,0)+F166*'NM Play'!$B$10/'NM Play'!$B$44,(F166*'NM Play'!$B$10+ROUNDDOWN(G166/'NM Play'!$B$11,0)*'NM Play'!$B$43+ROUNDDOWN(H166/'NM Play'!$B$12,0)*'NM Play'!$B$44)/('NM Play'!$B$43+'NM Play'!$B$44)),ROUNDDOWN(G166/'NM Play'!$B$11,0)+F166*'NM Play'!$B$10/'NM Play'!$B$43)</f>
        <v/>
      </c>
      <c r="L166" s="160">
        <f>MIN(ROUNDDOWN(G166/'NM Play'!$B$11,0)+F166/('NM Play'!$B$43/'NM Play'!$B$15),ROUNDDOWN(H166/'NM Play'!$B$12,0)+F166/('NM Play'!$B$44/'NM Play'!$B$16),(F166+ROUNDDOWN(G166/'NM Play'!$B$11,0)*'NM Play'!$B$43/'NM Play'!$B$15+ROUNDDOWN(H166/'NM Play'!$B$12,0)*'NM Play'!$B$44/'NM Play'!$B$16)/('NM Play'!$B$43/'NM Play'!$B$15+'NM Play'!$B$44/'NM Play'!$B$16))</f>
        <v/>
      </c>
      <c r="M166" s="160">
        <f>F166*'NM Play'!$B$36</f>
        <v/>
      </c>
      <c r="N166" s="160">
        <f>ROUNDDOWN(MAX(0,MIN(J166,K166:M166)),0)</f>
        <v/>
      </c>
      <c r="O166" s="160">
        <f>ROUNDUP(MAX(0,N166*'NM Play'!$B$11-G166)/'NM Play'!$B$13,0)</f>
        <v/>
      </c>
      <c r="P166" s="160">
        <f>ROUNDUP(MAX(0,N166*'NM Play'!$B$12-H166)/'NM Play'!$B$14,0)</f>
        <v/>
      </c>
      <c r="Q166" s="160">
        <f>(O166+IF('Sites'!$C$7="Own sheets",P166,0))/'NM Play'!$B$10</f>
        <v/>
      </c>
      <c r="R166" s="160">
        <f>O166/'NM Play'!$B$15+P166/'NM Play'!$B$16</f>
        <v/>
      </c>
      <c r="S166" s="160">
        <f>MAX(Q166,R166,N166/'NM Play'!$B$36)</f>
        <v/>
      </c>
      <c r="T166" s="160">
        <f>Q166*'NM Play'!$B$10*'NM Play'!$B$21*(1+'NM Play'!$B$35)</f>
        <v/>
      </c>
      <c r="U166" s="160">
        <f>MAX(0,T166-I166)</f>
        <v/>
      </c>
      <c r="V166" s="160">
        <f>G166+O166*'NM Play'!$B$13-N166*'NM Play'!$B$11</f>
        <v/>
      </c>
      <c r="W166" s="160">
        <f>H166+P166*'NM Play'!$B$14-N166*'NM Play'!$B$12</f>
        <v/>
      </c>
      <c r="X166" s="160">
        <f>I166+U166-T166</f>
        <v/>
      </c>
      <c r="Y166" s="160">
        <f>MIN(N166,MAX(0,ROUNDDOWN('Sites'!$M$7*'Cases'!$E$7,0)-SUM(Y162:Y165)))</f>
        <v/>
      </c>
      <c r="Z166" s="160">
        <f>N166-Y166</f>
        <v/>
      </c>
      <c r="AA166" s="160">
        <f>U166*'NM Play'!$B$22</f>
        <v/>
      </c>
      <c r="AB166" s="160">
        <f>N166*SUM('NM Play'!$B$29:$B$31)</f>
        <v/>
      </c>
      <c r="AC166" s="160">
        <f>IF('Sites'!$C$7="Defy legs",P166*'NM Play'!$B$14/'NM Play'!$B$12*'NM Play'!$B$28,0)</f>
        <v/>
      </c>
      <c r="AD166" s="160">
        <f>Q166*'NM Play'!$B$23</f>
        <v/>
      </c>
      <c r="AE166" s="160">
        <f>S166*SUM('NM Play'!$B$26,'NM Play'!$B$33:$B$34)</f>
        <v/>
      </c>
      <c r="AF166" s="160">
        <f>IF('Sites'!$D$7="NM crew",S166*SUM('NM Play'!$B$24:$B$25),0)</f>
        <v/>
      </c>
      <c r="AG166" s="160">
        <f>IF('Sites'!$D$7="NM crew",S166*'NM Play'!$B$27,0)</f>
        <v/>
      </c>
      <c r="AH166" s="160">
        <f>N166*'Sites'!$Z$7*'NM Play'!$B$32</f>
        <v/>
      </c>
      <c r="AI166" s="160">
        <f>SUM(Y166:Z166)*'Sites'!$R$7</f>
        <v/>
      </c>
      <c r="AJ166" s="160">
        <f>SUM(AA166:AH166)</f>
        <v/>
      </c>
      <c r="AK166" s="160">
        <f>AJ166+(T166-U166)*'NM Play'!$B$22+MIN(G166,N166*'NM Play'!$B$11)/'NM Play'!$B$13*'NM Play'!$B$21*'NM Play'!$B$22+MIN(H166,N166*'NM Play'!$B$12)/'NM Play'!$B$14*IF('Sites'!$C$7="Own sheets",'NM Play'!$B$21*'NM Play'!$B$22,'NM Play'!$B$28*'NM Play'!$B$14/'NM Play'!$B$12)</f>
        <v/>
      </c>
      <c r="AL166" s="160">
        <f>Y166*'Assumptions'!T66</f>
        <v/>
      </c>
      <c r="AM166" s="160">
        <f>IF('Sites'!$D$7="NM crew",S166*'NM Play'!$B$37*(1+IF(AND(ISNUMBER('NM Play'!$B$25),'NM Play'!$B$25&gt;0),1,0)),"")</f>
        <v/>
      </c>
      <c r="AN166" s="160">
        <f>IF(OR('Sites'!$E$7&lt;0,'Sites'!$E$7&gt;1,'Sites'!$F$7&lt;1,'Sites'!$G$7&lt;'Sites'!$F$7,F166&lt;0,MIN('Sites'!$I$7:'Sites'!$R$7)&lt;0,'Sites'!$L$7&gt;'Sites'!$I$7,'Sites'!$M$7&gt;'Sites'!$J$7,'Sites'!$N$7&gt;'Sites'!$K$7,'Sites'!$Z$7&lt;0,'Sites'!$Z$7&gt;1,MIN('Sites'!$AA$7:'Sites'!$AC$7)&lt;0,S166&gt;F166+0.001),1,0)</f>
        <v/>
      </c>
      <c r="AO166" s="160">
        <f>I166+U166-T166-X166</f>
        <v/>
      </c>
    </row>
    <row r="167" ht="28" customHeight="1">
      <c r="A167" s="4" t="inlineStr">
        <is>
          <t>Smaller</t>
        </is>
      </c>
      <c r="B167" s="4" t="inlineStr">
        <is>
          <t>NEW1</t>
        </is>
      </c>
      <c r="C167" s="160" t="n">
        <v>18</v>
      </c>
      <c r="D167" s="160">
        <f>ROUNDUP(C167/12,0)</f>
        <v/>
      </c>
      <c r="E167" s="160">
        <f>IF(AND('Sites'!$E$7=1,C167&gt;='Sites'!$F$7+'Cases'!$G$7,C167&lt;='Sites'!$G$7),1,0)</f>
        <v/>
      </c>
      <c r="F167" s="160">
        <f>E167*'Assumptions'!U68</f>
        <v/>
      </c>
      <c r="G167" s="160">
        <f>V166</f>
        <v/>
      </c>
      <c r="H167" s="160">
        <f>W166</f>
        <v/>
      </c>
      <c r="I167" s="160">
        <f>X166</f>
        <v/>
      </c>
      <c r="J167" s="160">
        <f>MAX(0,'Sites'!$J$7-SUM(N162:N166))</f>
        <v/>
      </c>
      <c r="K167" s="160">
        <f>IF('Sites'!$C$7="Own sheets",MIN(ROUNDDOWN(G167/'NM Play'!$B$11,0)+F167*'NM Play'!$B$10/'NM Play'!$B$43,ROUNDDOWN(H167/'NM Play'!$B$12,0)+F167*'NM Play'!$B$10/'NM Play'!$B$44,(F167*'NM Play'!$B$10+ROUNDDOWN(G167/'NM Play'!$B$11,0)*'NM Play'!$B$43+ROUNDDOWN(H167/'NM Play'!$B$12,0)*'NM Play'!$B$44)/('NM Play'!$B$43+'NM Play'!$B$44)),ROUNDDOWN(G167/'NM Play'!$B$11,0)+F167*'NM Play'!$B$10/'NM Play'!$B$43)</f>
        <v/>
      </c>
      <c r="L167" s="160">
        <f>MIN(ROUNDDOWN(G167/'NM Play'!$B$11,0)+F167/('NM Play'!$B$43/'NM Play'!$B$15),ROUNDDOWN(H167/'NM Play'!$B$12,0)+F167/('NM Play'!$B$44/'NM Play'!$B$16),(F167+ROUNDDOWN(G167/'NM Play'!$B$11,0)*'NM Play'!$B$43/'NM Play'!$B$15+ROUNDDOWN(H167/'NM Play'!$B$12,0)*'NM Play'!$B$44/'NM Play'!$B$16)/('NM Play'!$B$43/'NM Play'!$B$15+'NM Play'!$B$44/'NM Play'!$B$16))</f>
        <v/>
      </c>
      <c r="M167" s="160">
        <f>F167*'NM Play'!$B$36</f>
        <v/>
      </c>
      <c r="N167" s="160">
        <f>ROUNDDOWN(MAX(0,MIN(J167,K167:M167)),0)</f>
        <v/>
      </c>
      <c r="O167" s="160">
        <f>ROUNDUP(MAX(0,N167*'NM Play'!$B$11-G167)/'NM Play'!$B$13,0)</f>
        <v/>
      </c>
      <c r="P167" s="160">
        <f>ROUNDUP(MAX(0,N167*'NM Play'!$B$12-H167)/'NM Play'!$B$14,0)</f>
        <v/>
      </c>
      <c r="Q167" s="160">
        <f>(O167+IF('Sites'!$C$7="Own sheets",P167,0))/'NM Play'!$B$10</f>
        <v/>
      </c>
      <c r="R167" s="160">
        <f>O167/'NM Play'!$B$15+P167/'NM Play'!$B$16</f>
        <v/>
      </c>
      <c r="S167" s="160">
        <f>MAX(Q167,R167,N167/'NM Play'!$B$36)</f>
        <v/>
      </c>
      <c r="T167" s="160">
        <f>Q167*'NM Play'!$B$10*'NM Play'!$B$21*(1+'NM Play'!$B$35)</f>
        <v/>
      </c>
      <c r="U167" s="160">
        <f>MAX(0,T167-I167)</f>
        <v/>
      </c>
      <c r="V167" s="160">
        <f>G167+O167*'NM Play'!$B$13-N167*'NM Play'!$B$11</f>
        <v/>
      </c>
      <c r="W167" s="160">
        <f>H167+P167*'NM Play'!$B$14-N167*'NM Play'!$B$12</f>
        <v/>
      </c>
      <c r="X167" s="160">
        <f>I167+U167-T167</f>
        <v/>
      </c>
      <c r="Y167" s="160">
        <f>MIN(N167,MAX(0,ROUNDDOWN('Sites'!$M$7*'Cases'!$E$7,0)-SUM(Y162:Y166)))</f>
        <v/>
      </c>
      <c r="Z167" s="160">
        <f>N167-Y167</f>
        <v/>
      </c>
      <c r="AA167" s="160">
        <f>U167*'NM Play'!$B$22</f>
        <v/>
      </c>
      <c r="AB167" s="160">
        <f>N167*SUM('NM Play'!$B$29:$B$31)</f>
        <v/>
      </c>
      <c r="AC167" s="160">
        <f>IF('Sites'!$C$7="Defy legs",P167*'NM Play'!$B$14/'NM Play'!$B$12*'NM Play'!$B$28,0)</f>
        <v/>
      </c>
      <c r="AD167" s="160">
        <f>Q167*'NM Play'!$B$23</f>
        <v/>
      </c>
      <c r="AE167" s="160">
        <f>S167*SUM('NM Play'!$B$26,'NM Play'!$B$33:$B$34)</f>
        <v/>
      </c>
      <c r="AF167" s="160">
        <f>IF('Sites'!$D$7="NM crew",S167*SUM('NM Play'!$B$24:$B$25),0)</f>
        <v/>
      </c>
      <c r="AG167" s="160">
        <f>IF('Sites'!$D$7="NM crew",S167*'NM Play'!$B$27,0)</f>
        <v/>
      </c>
      <c r="AH167" s="160">
        <f>N167*'Sites'!$Z$7*'NM Play'!$B$32</f>
        <v/>
      </c>
      <c r="AI167" s="160">
        <f>SUM(Y167:Z167)*'Sites'!$R$7</f>
        <v/>
      </c>
      <c r="AJ167" s="160">
        <f>SUM(AA167:AH167)</f>
        <v/>
      </c>
      <c r="AK167" s="160">
        <f>AJ167+(T167-U167)*'NM Play'!$B$22+MIN(G167,N167*'NM Play'!$B$11)/'NM Play'!$B$13*'NM Play'!$B$21*'NM Play'!$B$22+MIN(H167,N167*'NM Play'!$B$12)/'NM Play'!$B$14*IF('Sites'!$C$7="Own sheets",'NM Play'!$B$21*'NM Play'!$B$22,'NM Play'!$B$28*'NM Play'!$B$14/'NM Play'!$B$12)</f>
        <v/>
      </c>
      <c r="AL167" s="160">
        <f>Y167*'Assumptions'!U66</f>
        <v/>
      </c>
      <c r="AM167" s="160">
        <f>IF('Sites'!$D$7="NM crew",S167*'NM Play'!$B$37*(1+IF(AND(ISNUMBER('NM Play'!$B$25),'NM Play'!$B$25&gt;0),1,0)),"")</f>
        <v/>
      </c>
      <c r="AN167" s="160">
        <f>IF(OR('Sites'!$E$7&lt;0,'Sites'!$E$7&gt;1,'Sites'!$F$7&lt;1,'Sites'!$G$7&lt;'Sites'!$F$7,F167&lt;0,MIN('Sites'!$I$7:'Sites'!$R$7)&lt;0,'Sites'!$L$7&gt;'Sites'!$I$7,'Sites'!$M$7&gt;'Sites'!$J$7,'Sites'!$N$7&gt;'Sites'!$K$7,'Sites'!$Z$7&lt;0,'Sites'!$Z$7&gt;1,MIN('Sites'!$AA$7:'Sites'!$AC$7)&lt;0,S167&gt;F167+0.001),1,0)</f>
        <v/>
      </c>
      <c r="AO167" s="160">
        <f>I167+U167-T167-X167</f>
        <v/>
      </c>
    </row>
    <row r="168" ht="28" customHeight="1">
      <c r="A168" s="4" t="inlineStr">
        <is>
          <t>Smaller</t>
        </is>
      </c>
      <c r="B168" s="4" t="inlineStr">
        <is>
          <t>NEW1</t>
        </is>
      </c>
      <c r="C168" s="160" t="n">
        <v>19</v>
      </c>
      <c r="D168" s="160">
        <f>ROUNDUP(C168/12,0)</f>
        <v/>
      </c>
      <c r="E168" s="160">
        <f>IF(AND('Sites'!$E$7=1,C168&gt;='Sites'!$F$7+'Cases'!$G$7,C168&lt;='Sites'!$G$7),1,0)</f>
        <v/>
      </c>
      <c r="F168" s="160">
        <f>E168*'Assumptions'!V68</f>
        <v/>
      </c>
      <c r="G168" s="160">
        <f>V167</f>
        <v/>
      </c>
      <c r="H168" s="160">
        <f>W167</f>
        <v/>
      </c>
      <c r="I168" s="160">
        <f>X167</f>
        <v/>
      </c>
      <c r="J168" s="160">
        <f>MAX(0,'Sites'!$J$7-SUM(N162:N167))</f>
        <v/>
      </c>
      <c r="K168" s="160">
        <f>IF('Sites'!$C$7="Own sheets",MIN(ROUNDDOWN(G168/'NM Play'!$B$11,0)+F168*'NM Play'!$B$10/'NM Play'!$B$43,ROUNDDOWN(H168/'NM Play'!$B$12,0)+F168*'NM Play'!$B$10/'NM Play'!$B$44,(F168*'NM Play'!$B$10+ROUNDDOWN(G168/'NM Play'!$B$11,0)*'NM Play'!$B$43+ROUNDDOWN(H168/'NM Play'!$B$12,0)*'NM Play'!$B$44)/('NM Play'!$B$43+'NM Play'!$B$44)),ROUNDDOWN(G168/'NM Play'!$B$11,0)+F168*'NM Play'!$B$10/'NM Play'!$B$43)</f>
        <v/>
      </c>
      <c r="L168" s="160">
        <f>MIN(ROUNDDOWN(G168/'NM Play'!$B$11,0)+F168/('NM Play'!$B$43/'NM Play'!$B$15),ROUNDDOWN(H168/'NM Play'!$B$12,0)+F168/('NM Play'!$B$44/'NM Play'!$B$16),(F168+ROUNDDOWN(G168/'NM Play'!$B$11,0)*'NM Play'!$B$43/'NM Play'!$B$15+ROUNDDOWN(H168/'NM Play'!$B$12,0)*'NM Play'!$B$44/'NM Play'!$B$16)/('NM Play'!$B$43/'NM Play'!$B$15+'NM Play'!$B$44/'NM Play'!$B$16))</f>
        <v/>
      </c>
      <c r="M168" s="160">
        <f>F168*'NM Play'!$B$36</f>
        <v/>
      </c>
      <c r="N168" s="160">
        <f>ROUNDDOWN(MAX(0,MIN(J168,K168:M168)),0)</f>
        <v/>
      </c>
      <c r="O168" s="160">
        <f>ROUNDUP(MAX(0,N168*'NM Play'!$B$11-G168)/'NM Play'!$B$13,0)</f>
        <v/>
      </c>
      <c r="P168" s="160">
        <f>ROUNDUP(MAX(0,N168*'NM Play'!$B$12-H168)/'NM Play'!$B$14,0)</f>
        <v/>
      </c>
      <c r="Q168" s="160">
        <f>(O168+IF('Sites'!$C$7="Own sheets",P168,0))/'NM Play'!$B$10</f>
        <v/>
      </c>
      <c r="R168" s="160">
        <f>O168/'NM Play'!$B$15+P168/'NM Play'!$B$16</f>
        <v/>
      </c>
      <c r="S168" s="160">
        <f>MAX(Q168,R168,N168/'NM Play'!$B$36)</f>
        <v/>
      </c>
      <c r="T168" s="160">
        <f>Q168*'NM Play'!$B$10*'NM Play'!$B$21*(1+'NM Play'!$B$35)</f>
        <v/>
      </c>
      <c r="U168" s="160">
        <f>MAX(0,T168-I168)</f>
        <v/>
      </c>
      <c r="V168" s="160">
        <f>G168+O168*'NM Play'!$B$13-N168*'NM Play'!$B$11</f>
        <v/>
      </c>
      <c r="W168" s="160">
        <f>H168+P168*'NM Play'!$B$14-N168*'NM Play'!$B$12</f>
        <v/>
      </c>
      <c r="X168" s="160">
        <f>I168+U168-T168</f>
        <v/>
      </c>
      <c r="Y168" s="160">
        <f>MIN(N168,MAX(0,ROUNDDOWN('Sites'!$M$7*'Cases'!$E$7,0)-SUM(Y162:Y167)))</f>
        <v/>
      </c>
      <c r="Z168" s="160">
        <f>N168-Y168</f>
        <v/>
      </c>
      <c r="AA168" s="160">
        <f>U168*'NM Play'!$B$22</f>
        <v/>
      </c>
      <c r="AB168" s="160">
        <f>N168*SUM('NM Play'!$B$29:$B$31)</f>
        <v/>
      </c>
      <c r="AC168" s="160">
        <f>IF('Sites'!$C$7="Defy legs",P168*'NM Play'!$B$14/'NM Play'!$B$12*'NM Play'!$B$28,0)</f>
        <v/>
      </c>
      <c r="AD168" s="160">
        <f>Q168*'NM Play'!$B$23</f>
        <v/>
      </c>
      <c r="AE168" s="160">
        <f>S168*SUM('NM Play'!$B$26,'NM Play'!$B$33:$B$34)</f>
        <v/>
      </c>
      <c r="AF168" s="160">
        <f>IF('Sites'!$D$7="NM crew",S168*SUM('NM Play'!$B$24:$B$25),0)</f>
        <v/>
      </c>
      <c r="AG168" s="160">
        <f>IF('Sites'!$D$7="NM crew",S168*'NM Play'!$B$27,0)</f>
        <v/>
      </c>
      <c r="AH168" s="160">
        <f>N168*'Sites'!$Z$7*'NM Play'!$B$32</f>
        <v/>
      </c>
      <c r="AI168" s="160">
        <f>SUM(Y168:Z168)*'Sites'!$R$7</f>
        <v/>
      </c>
      <c r="AJ168" s="160">
        <f>SUM(AA168:AH168)</f>
        <v/>
      </c>
      <c r="AK168" s="160">
        <f>AJ168+(T168-U168)*'NM Play'!$B$22+MIN(G168,N168*'NM Play'!$B$11)/'NM Play'!$B$13*'NM Play'!$B$21*'NM Play'!$B$22+MIN(H168,N168*'NM Play'!$B$12)/'NM Play'!$B$14*IF('Sites'!$C$7="Own sheets",'NM Play'!$B$21*'NM Play'!$B$22,'NM Play'!$B$28*'NM Play'!$B$14/'NM Play'!$B$12)</f>
        <v/>
      </c>
      <c r="AL168" s="160">
        <f>Y168*'Assumptions'!V66</f>
        <v/>
      </c>
      <c r="AM168" s="160">
        <f>IF('Sites'!$D$7="NM crew",S168*'NM Play'!$B$37*(1+IF(AND(ISNUMBER('NM Play'!$B$25),'NM Play'!$B$25&gt;0),1,0)),"")</f>
        <v/>
      </c>
      <c r="AN168" s="160">
        <f>IF(OR('Sites'!$E$7&lt;0,'Sites'!$E$7&gt;1,'Sites'!$F$7&lt;1,'Sites'!$G$7&lt;'Sites'!$F$7,F168&lt;0,MIN('Sites'!$I$7:'Sites'!$R$7)&lt;0,'Sites'!$L$7&gt;'Sites'!$I$7,'Sites'!$M$7&gt;'Sites'!$J$7,'Sites'!$N$7&gt;'Sites'!$K$7,'Sites'!$Z$7&lt;0,'Sites'!$Z$7&gt;1,MIN('Sites'!$AA$7:'Sites'!$AC$7)&lt;0,S168&gt;F168+0.001),1,0)</f>
        <v/>
      </c>
      <c r="AO168" s="160">
        <f>I168+U168-T168-X168</f>
        <v/>
      </c>
    </row>
    <row r="169" ht="28" customHeight="1">
      <c r="A169" s="4" t="inlineStr">
        <is>
          <t>Smaller</t>
        </is>
      </c>
      <c r="B169" s="4" t="inlineStr">
        <is>
          <t>NEW1</t>
        </is>
      </c>
      <c r="C169" s="160" t="n">
        <v>20</v>
      </c>
      <c r="D169" s="160">
        <f>ROUNDUP(C169/12,0)</f>
        <v/>
      </c>
      <c r="E169" s="160">
        <f>IF(AND('Sites'!$E$7=1,C169&gt;='Sites'!$F$7+'Cases'!$G$7,C169&lt;='Sites'!$G$7),1,0)</f>
        <v/>
      </c>
      <c r="F169" s="160">
        <f>E169*'Assumptions'!W68</f>
        <v/>
      </c>
      <c r="G169" s="160">
        <f>V168</f>
        <v/>
      </c>
      <c r="H169" s="160">
        <f>W168</f>
        <v/>
      </c>
      <c r="I169" s="160">
        <f>X168</f>
        <v/>
      </c>
      <c r="J169" s="160">
        <f>MAX(0,'Sites'!$J$7-SUM(N162:N168))</f>
        <v/>
      </c>
      <c r="K169" s="160">
        <f>IF('Sites'!$C$7="Own sheets",MIN(ROUNDDOWN(G169/'NM Play'!$B$11,0)+F169*'NM Play'!$B$10/'NM Play'!$B$43,ROUNDDOWN(H169/'NM Play'!$B$12,0)+F169*'NM Play'!$B$10/'NM Play'!$B$44,(F169*'NM Play'!$B$10+ROUNDDOWN(G169/'NM Play'!$B$11,0)*'NM Play'!$B$43+ROUNDDOWN(H169/'NM Play'!$B$12,0)*'NM Play'!$B$44)/('NM Play'!$B$43+'NM Play'!$B$44)),ROUNDDOWN(G169/'NM Play'!$B$11,0)+F169*'NM Play'!$B$10/'NM Play'!$B$43)</f>
        <v/>
      </c>
      <c r="L169" s="160">
        <f>MIN(ROUNDDOWN(G169/'NM Play'!$B$11,0)+F169/('NM Play'!$B$43/'NM Play'!$B$15),ROUNDDOWN(H169/'NM Play'!$B$12,0)+F169/('NM Play'!$B$44/'NM Play'!$B$16),(F169+ROUNDDOWN(G169/'NM Play'!$B$11,0)*'NM Play'!$B$43/'NM Play'!$B$15+ROUNDDOWN(H169/'NM Play'!$B$12,0)*'NM Play'!$B$44/'NM Play'!$B$16)/('NM Play'!$B$43/'NM Play'!$B$15+'NM Play'!$B$44/'NM Play'!$B$16))</f>
        <v/>
      </c>
      <c r="M169" s="160">
        <f>F169*'NM Play'!$B$36</f>
        <v/>
      </c>
      <c r="N169" s="160">
        <f>ROUNDDOWN(MAX(0,MIN(J169,K169:M169)),0)</f>
        <v/>
      </c>
      <c r="O169" s="160">
        <f>ROUNDUP(MAX(0,N169*'NM Play'!$B$11-G169)/'NM Play'!$B$13,0)</f>
        <v/>
      </c>
      <c r="P169" s="160">
        <f>ROUNDUP(MAX(0,N169*'NM Play'!$B$12-H169)/'NM Play'!$B$14,0)</f>
        <v/>
      </c>
      <c r="Q169" s="160">
        <f>(O169+IF('Sites'!$C$7="Own sheets",P169,0))/'NM Play'!$B$10</f>
        <v/>
      </c>
      <c r="R169" s="160">
        <f>O169/'NM Play'!$B$15+P169/'NM Play'!$B$16</f>
        <v/>
      </c>
      <c r="S169" s="160">
        <f>MAX(Q169,R169,N169/'NM Play'!$B$36)</f>
        <v/>
      </c>
      <c r="T169" s="160">
        <f>Q169*'NM Play'!$B$10*'NM Play'!$B$21*(1+'NM Play'!$B$35)</f>
        <v/>
      </c>
      <c r="U169" s="160">
        <f>MAX(0,T169-I169)</f>
        <v/>
      </c>
      <c r="V169" s="160">
        <f>G169+O169*'NM Play'!$B$13-N169*'NM Play'!$B$11</f>
        <v/>
      </c>
      <c r="W169" s="160">
        <f>H169+P169*'NM Play'!$B$14-N169*'NM Play'!$B$12</f>
        <v/>
      </c>
      <c r="X169" s="160">
        <f>I169+U169-T169</f>
        <v/>
      </c>
      <c r="Y169" s="160">
        <f>MIN(N169,MAX(0,ROUNDDOWN('Sites'!$M$7*'Cases'!$E$7,0)-SUM(Y162:Y168)))</f>
        <v/>
      </c>
      <c r="Z169" s="160">
        <f>N169-Y169</f>
        <v/>
      </c>
      <c r="AA169" s="160">
        <f>U169*'NM Play'!$B$22</f>
        <v/>
      </c>
      <c r="AB169" s="160">
        <f>N169*SUM('NM Play'!$B$29:$B$31)</f>
        <v/>
      </c>
      <c r="AC169" s="160">
        <f>IF('Sites'!$C$7="Defy legs",P169*'NM Play'!$B$14/'NM Play'!$B$12*'NM Play'!$B$28,0)</f>
        <v/>
      </c>
      <c r="AD169" s="160">
        <f>Q169*'NM Play'!$B$23</f>
        <v/>
      </c>
      <c r="AE169" s="160">
        <f>S169*SUM('NM Play'!$B$26,'NM Play'!$B$33:$B$34)</f>
        <v/>
      </c>
      <c r="AF169" s="160">
        <f>IF('Sites'!$D$7="NM crew",S169*SUM('NM Play'!$B$24:$B$25),0)</f>
        <v/>
      </c>
      <c r="AG169" s="160">
        <f>IF('Sites'!$D$7="NM crew",S169*'NM Play'!$B$27,0)</f>
        <v/>
      </c>
      <c r="AH169" s="160">
        <f>N169*'Sites'!$Z$7*'NM Play'!$B$32</f>
        <v/>
      </c>
      <c r="AI169" s="160">
        <f>SUM(Y169:Z169)*'Sites'!$R$7</f>
        <v/>
      </c>
      <c r="AJ169" s="160">
        <f>SUM(AA169:AH169)</f>
        <v/>
      </c>
      <c r="AK169" s="160">
        <f>AJ169+(T169-U169)*'NM Play'!$B$22+MIN(G169,N169*'NM Play'!$B$11)/'NM Play'!$B$13*'NM Play'!$B$21*'NM Play'!$B$22+MIN(H169,N169*'NM Play'!$B$12)/'NM Play'!$B$14*IF('Sites'!$C$7="Own sheets",'NM Play'!$B$21*'NM Play'!$B$22,'NM Play'!$B$28*'NM Play'!$B$14/'NM Play'!$B$12)</f>
        <v/>
      </c>
      <c r="AL169" s="160">
        <f>Y169*'Assumptions'!W66</f>
        <v/>
      </c>
      <c r="AM169" s="160">
        <f>IF('Sites'!$D$7="NM crew",S169*'NM Play'!$B$37*(1+IF(AND(ISNUMBER('NM Play'!$B$25),'NM Play'!$B$25&gt;0),1,0)),"")</f>
        <v/>
      </c>
      <c r="AN169" s="160">
        <f>IF(OR('Sites'!$E$7&lt;0,'Sites'!$E$7&gt;1,'Sites'!$F$7&lt;1,'Sites'!$G$7&lt;'Sites'!$F$7,F169&lt;0,MIN('Sites'!$I$7:'Sites'!$R$7)&lt;0,'Sites'!$L$7&gt;'Sites'!$I$7,'Sites'!$M$7&gt;'Sites'!$J$7,'Sites'!$N$7&gt;'Sites'!$K$7,'Sites'!$Z$7&lt;0,'Sites'!$Z$7&gt;1,MIN('Sites'!$AA$7:'Sites'!$AC$7)&lt;0,S169&gt;F169+0.001),1,0)</f>
        <v/>
      </c>
      <c r="AO169" s="160">
        <f>I169+U169-T169-X169</f>
        <v/>
      </c>
    </row>
    <row r="170" ht="28" customHeight="1">
      <c r="A170" s="4" t="inlineStr">
        <is>
          <t>Smaller</t>
        </is>
      </c>
      <c r="B170" s="4" t="inlineStr">
        <is>
          <t>NEW1</t>
        </is>
      </c>
      <c r="C170" s="160" t="n">
        <v>21</v>
      </c>
      <c r="D170" s="160">
        <f>ROUNDUP(C170/12,0)</f>
        <v/>
      </c>
      <c r="E170" s="160">
        <f>IF(AND('Sites'!$E$7=1,C170&gt;='Sites'!$F$7+'Cases'!$G$7,C170&lt;='Sites'!$G$7),1,0)</f>
        <v/>
      </c>
      <c r="F170" s="160">
        <f>E170*'Assumptions'!X68</f>
        <v/>
      </c>
      <c r="G170" s="160">
        <f>V169</f>
        <v/>
      </c>
      <c r="H170" s="160">
        <f>W169</f>
        <v/>
      </c>
      <c r="I170" s="160">
        <f>X169</f>
        <v/>
      </c>
      <c r="J170" s="160">
        <f>MAX(0,'Sites'!$J$7-SUM(N162:N169))</f>
        <v/>
      </c>
      <c r="K170" s="160">
        <f>IF('Sites'!$C$7="Own sheets",MIN(ROUNDDOWN(G170/'NM Play'!$B$11,0)+F170*'NM Play'!$B$10/'NM Play'!$B$43,ROUNDDOWN(H170/'NM Play'!$B$12,0)+F170*'NM Play'!$B$10/'NM Play'!$B$44,(F170*'NM Play'!$B$10+ROUNDDOWN(G170/'NM Play'!$B$11,0)*'NM Play'!$B$43+ROUNDDOWN(H170/'NM Play'!$B$12,0)*'NM Play'!$B$44)/('NM Play'!$B$43+'NM Play'!$B$44)),ROUNDDOWN(G170/'NM Play'!$B$11,0)+F170*'NM Play'!$B$10/'NM Play'!$B$43)</f>
        <v/>
      </c>
      <c r="L170" s="160">
        <f>MIN(ROUNDDOWN(G170/'NM Play'!$B$11,0)+F170/('NM Play'!$B$43/'NM Play'!$B$15),ROUNDDOWN(H170/'NM Play'!$B$12,0)+F170/('NM Play'!$B$44/'NM Play'!$B$16),(F170+ROUNDDOWN(G170/'NM Play'!$B$11,0)*'NM Play'!$B$43/'NM Play'!$B$15+ROUNDDOWN(H170/'NM Play'!$B$12,0)*'NM Play'!$B$44/'NM Play'!$B$16)/('NM Play'!$B$43/'NM Play'!$B$15+'NM Play'!$B$44/'NM Play'!$B$16))</f>
        <v/>
      </c>
      <c r="M170" s="160">
        <f>F170*'NM Play'!$B$36</f>
        <v/>
      </c>
      <c r="N170" s="160">
        <f>ROUNDDOWN(MAX(0,MIN(J170,K170:M170)),0)</f>
        <v/>
      </c>
      <c r="O170" s="160">
        <f>ROUNDUP(MAX(0,N170*'NM Play'!$B$11-G170)/'NM Play'!$B$13,0)</f>
        <v/>
      </c>
      <c r="P170" s="160">
        <f>ROUNDUP(MAX(0,N170*'NM Play'!$B$12-H170)/'NM Play'!$B$14,0)</f>
        <v/>
      </c>
      <c r="Q170" s="160">
        <f>(O170+IF('Sites'!$C$7="Own sheets",P170,0))/'NM Play'!$B$10</f>
        <v/>
      </c>
      <c r="R170" s="160">
        <f>O170/'NM Play'!$B$15+P170/'NM Play'!$B$16</f>
        <v/>
      </c>
      <c r="S170" s="160">
        <f>MAX(Q170,R170,N170/'NM Play'!$B$36)</f>
        <v/>
      </c>
      <c r="T170" s="160">
        <f>Q170*'NM Play'!$B$10*'NM Play'!$B$21*(1+'NM Play'!$B$35)</f>
        <v/>
      </c>
      <c r="U170" s="160">
        <f>MAX(0,T170-I170)</f>
        <v/>
      </c>
      <c r="V170" s="160">
        <f>G170+O170*'NM Play'!$B$13-N170*'NM Play'!$B$11</f>
        <v/>
      </c>
      <c r="W170" s="160">
        <f>H170+P170*'NM Play'!$B$14-N170*'NM Play'!$B$12</f>
        <v/>
      </c>
      <c r="X170" s="160">
        <f>I170+U170-T170</f>
        <v/>
      </c>
      <c r="Y170" s="160">
        <f>MIN(N170,MAX(0,ROUNDDOWN('Sites'!$M$7*'Cases'!$E$7,0)-SUM(Y162:Y169)))</f>
        <v/>
      </c>
      <c r="Z170" s="160">
        <f>N170-Y170</f>
        <v/>
      </c>
      <c r="AA170" s="160">
        <f>U170*'NM Play'!$B$22</f>
        <v/>
      </c>
      <c r="AB170" s="160">
        <f>N170*SUM('NM Play'!$B$29:$B$31)</f>
        <v/>
      </c>
      <c r="AC170" s="160">
        <f>IF('Sites'!$C$7="Defy legs",P170*'NM Play'!$B$14/'NM Play'!$B$12*'NM Play'!$B$28,0)</f>
        <v/>
      </c>
      <c r="AD170" s="160">
        <f>Q170*'NM Play'!$B$23</f>
        <v/>
      </c>
      <c r="AE170" s="160">
        <f>S170*SUM('NM Play'!$B$26,'NM Play'!$B$33:$B$34)</f>
        <v/>
      </c>
      <c r="AF170" s="160">
        <f>IF('Sites'!$D$7="NM crew",S170*SUM('NM Play'!$B$24:$B$25),0)</f>
        <v/>
      </c>
      <c r="AG170" s="160">
        <f>IF('Sites'!$D$7="NM crew",S170*'NM Play'!$B$27,0)</f>
        <v/>
      </c>
      <c r="AH170" s="160">
        <f>N170*'Sites'!$Z$7*'NM Play'!$B$32</f>
        <v/>
      </c>
      <c r="AI170" s="160">
        <f>SUM(Y170:Z170)*'Sites'!$R$7</f>
        <v/>
      </c>
      <c r="AJ170" s="160">
        <f>SUM(AA170:AH170)</f>
        <v/>
      </c>
      <c r="AK170" s="160">
        <f>AJ170+(T170-U170)*'NM Play'!$B$22+MIN(G170,N170*'NM Play'!$B$11)/'NM Play'!$B$13*'NM Play'!$B$21*'NM Play'!$B$22+MIN(H170,N170*'NM Play'!$B$12)/'NM Play'!$B$14*IF('Sites'!$C$7="Own sheets",'NM Play'!$B$21*'NM Play'!$B$22,'NM Play'!$B$28*'NM Play'!$B$14/'NM Play'!$B$12)</f>
        <v/>
      </c>
      <c r="AL170" s="160">
        <f>Y170*'Assumptions'!X66</f>
        <v/>
      </c>
      <c r="AM170" s="160">
        <f>IF('Sites'!$D$7="NM crew",S170*'NM Play'!$B$37*(1+IF(AND(ISNUMBER('NM Play'!$B$25),'NM Play'!$B$25&gt;0),1,0)),"")</f>
        <v/>
      </c>
      <c r="AN170" s="160">
        <f>IF(OR('Sites'!$E$7&lt;0,'Sites'!$E$7&gt;1,'Sites'!$F$7&lt;1,'Sites'!$G$7&lt;'Sites'!$F$7,F170&lt;0,MIN('Sites'!$I$7:'Sites'!$R$7)&lt;0,'Sites'!$L$7&gt;'Sites'!$I$7,'Sites'!$M$7&gt;'Sites'!$J$7,'Sites'!$N$7&gt;'Sites'!$K$7,'Sites'!$Z$7&lt;0,'Sites'!$Z$7&gt;1,MIN('Sites'!$AA$7:'Sites'!$AC$7)&lt;0,S170&gt;F170+0.001),1,0)</f>
        <v/>
      </c>
      <c r="AO170" s="160">
        <f>I170+U170-T170-X170</f>
        <v/>
      </c>
    </row>
    <row r="171" ht="28" customHeight="1">
      <c r="A171" s="4" t="inlineStr">
        <is>
          <t>Smaller</t>
        </is>
      </c>
      <c r="B171" s="4" t="inlineStr">
        <is>
          <t>NEW1</t>
        </is>
      </c>
      <c r="C171" s="160" t="n">
        <v>22</v>
      </c>
      <c r="D171" s="160">
        <f>ROUNDUP(C171/12,0)</f>
        <v/>
      </c>
      <c r="E171" s="160">
        <f>IF(AND('Sites'!$E$7=1,C171&gt;='Sites'!$F$7+'Cases'!$G$7,C171&lt;='Sites'!$G$7),1,0)</f>
        <v/>
      </c>
      <c r="F171" s="160">
        <f>E171*'Assumptions'!Y68</f>
        <v/>
      </c>
      <c r="G171" s="160">
        <f>V170</f>
        <v/>
      </c>
      <c r="H171" s="160">
        <f>W170</f>
        <v/>
      </c>
      <c r="I171" s="160">
        <f>X170</f>
        <v/>
      </c>
      <c r="J171" s="160">
        <f>MAX(0,'Sites'!$J$7-SUM(N162:N170))</f>
        <v/>
      </c>
      <c r="K171" s="160">
        <f>IF('Sites'!$C$7="Own sheets",MIN(ROUNDDOWN(G171/'NM Play'!$B$11,0)+F171*'NM Play'!$B$10/'NM Play'!$B$43,ROUNDDOWN(H171/'NM Play'!$B$12,0)+F171*'NM Play'!$B$10/'NM Play'!$B$44,(F171*'NM Play'!$B$10+ROUNDDOWN(G171/'NM Play'!$B$11,0)*'NM Play'!$B$43+ROUNDDOWN(H171/'NM Play'!$B$12,0)*'NM Play'!$B$44)/('NM Play'!$B$43+'NM Play'!$B$44)),ROUNDDOWN(G171/'NM Play'!$B$11,0)+F171*'NM Play'!$B$10/'NM Play'!$B$43)</f>
        <v/>
      </c>
      <c r="L171" s="160">
        <f>MIN(ROUNDDOWN(G171/'NM Play'!$B$11,0)+F171/('NM Play'!$B$43/'NM Play'!$B$15),ROUNDDOWN(H171/'NM Play'!$B$12,0)+F171/('NM Play'!$B$44/'NM Play'!$B$16),(F171+ROUNDDOWN(G171/'NM Play'!$B$11,0)*'NM Play'!$B$43/'NM Play'!$B$15+ROUNDDOWN(H171/'NM Play'!$B$12,0)*'NM Play'!$B$44/'NM Play'!$B$16)/('NM Play'!$B$43/'NM Play'!$B$15+'NM Play'!$B$44/'NM Play'!$B$16))</f>
        <v/>
      </c>
      <c r="M171" s="160">
        <f>F171*'NM Play'!$B$36</f>
        <v/>
      </c>
      <c r="N171" s="160">
        <f>ROUNDDOWN(MAX(0,MIN(J171,K171:M171)),0)</f>
        <v/>
      </c>
      <c r="O171" s="160">
        <f>ROUNDUP(MAX(0,N171*'NM Play'!$B$11-G171)/'NM Play'!$B$13,0)</f>
        <v/>
      </c>
      <c r="P171" s="160">
        <f>ROUNDUP(MAX(0,N171*'NM Play'!$B$12-H171)/'NM Play'!$B$14,0)</f>
        <v/>
      </c>
      <c r="Q171" s="160">
        <f>(O171+IF('Sites'!$C$7="Own sheets",P171,0))/'NM Play'!$B$10</f>
        <v/>
      </c>
      <c r="R171" s="160">
        <f>O171/'NM Play'!$B$15+P171/'NM Play'!$B$16</f>
        <v/>
      </c>
      <c r="S171" s="160">
        <f>MAX(Q171,R171,N171/'NM Play'!$B$36)</f>
        <v/>
      </c>
      <c r="T171" s="160">
        <f>Q171*'NM Play'!$B$10*'NM Play'!$B$21*(1+'NM Play'!$B$35)</f>
        <v/>
      </c>
      <c r="U171" s="160">
        <f>MAX(0,T171-I171)</f>
        <v/>
      </c>
      <c r="V171" s="160">
        <f>G171+O171*'NM Play'!$B$13-N171*'NM Play'!$B$11</f>
        <v/>
      </c>
      <c r="W171" s="160">
        <f>H171+P171*'NM Play'!$B$14-N171*'NM Play'!$B$12</f>
        <v/>
      </c>
      <c r="X171" s="160">
        <f>I171+U171-T171</f>
        <v/>
      </c>
      <c r="Y171" s="160">
        <f>MIN(N171,MAX(0,ROUNDDOWN('Sites'!$M$7*'Cases'!$E$7,0)-SUM(Y162:Y170)))</f>
        <v/>
      </c>
      <c r="Z171" s="160">
        <f>N171-Y171</f>
        <v/>
      </c>
      <c r="AA171" s="160">
        <f>U171*'NM Play'!$B$22</f>
        <v/>
      </c>
      <c r="AB171" s="160">
        <f>N171*SUM('NM Play'!$B$29:$B$31)</f>
        <v/>
      </c>
      <c r="AC171" s="160">
        <f>IF('Sites'!$C$7="Defy legs",P171*'NM Play'!$B$14/'NM Play'!$B$12*'NM Play'!$B$28,0)</f>
        <v/>
      </c>
      <c r="AD171" s="160">
        <f>Q171*'NM Play'!$B$23</f>
        <v/>
      </c>
      <c r="AE171" s="160">
        <f>S171*SUM('NM Play'!$B$26,'NM Play'!$B$33:$B$34)</f>
        <v/>
      </c>
      <c r="AF171" s="160">
        <f>IF('Sites'!$D$7="NM crew",S171*SUM('NM Play'!$B$24:$B$25),0)</f>
        <v/>
      </c>
      <c r="AG171" s="160">
        <f>IF('Sites'!$D$7="NM crew",S171*'NM Play'!$B$27,0)</f>
        <v/>
      </c>
      <c r="AH171" s="160">
        <f>N171*'Sites'!$Z$7*'NM Play'!$B$32</f>
        <v/>
      </c>
      <c r="AI171" s="160">
        <f>SUM(Y171:Z171)*'Sites'!$R$7</f>
        <v/>
      </c>
      <c r="AJ171" s="160">
        <f>SUM(AA171:AH171)</f>
        <v/>
      </c>
      <c r="AK171" s="160">
        <f>AJ171+(T171-U171)*'NM Play'!$B$22+MIN(G171,N171*'NM Play'!$B$11)/'NM Play'!$B$13*'NM Play'!$B$21*'NM Play'!$B$22+MIN(H171,N171*'NM Play'!$B$12)/'NM Play'!$B$14*IF('Sites'!$C$7="Own sheets",'NM Play'!$B$21*'NM Play'!$B$22,'NM Play'!$B$28*'NM Play'!$B$14/'NM Play'!$B$12)</f>
        <v/>
      </c>
      <c r="AL171" s="160">
        <f>Y171*'Assumptions'!Y66</f>
        <v/>
      </c>
      <c r="AM171" s="160">
        <f>IF('Sites'!$D$7="NM crew",S171*'NM Play'!$B$37*(1+IF(AND(ISNUMBER('NM Play'!$B$25),'NM Play'!$B$25&gt;0),1,0)),"")</f>
        <v/>
      </c>
      <c r="AN171" s="160">
        <f>IF(OR('Sites'!$E$7&lt;0,'Sites'!$E$7&gt;1,'Sites'!$F$7&lt;1,'Sites'!$G$7&lt;'Sites'!$F$7,F171&lt;0,MIN('Sites'!$I$7:'Sites'!$R$7)&lt;0,'Sites'!$L$7&gt;'Sites'!$I$7,'Sites'!$M$7&gt;'Sites'!$J$7,'Sites'!$N$7&gt;'Sites'!$K$7,'Sites'!$Z$7&lt;0,'Sites'!$Z$7&gt;1,MIN('Sites'!$AA$7:'Sites'!$AC$7)&lt;0,S171&gt;F171+0.001),1,0)</f>
        <v/>
      </c>
      <c r="AO171" s="160">
        <f>I171+U171-T171-X171</f>
        <v/>
      </c>
    </row>
    <row r="172" ht="28" customHeight="1">
      <c r="A172" s="4" t="inlineStr">
        <is>
          <t>Smaller</t>
        </is>
      </c>
      <c r="B172" s="4" t="inlineStr">
        <is>
          <t>NEW1</t>
        </is>
      </c>
      <c r="C172" s="160" t="n">
        <v>23</v>
      </c>
      <c r="D172" s="160">
        <f>ROUNDUP(C172/12,0)</f>
        <v/>
      </c>
      <c r="E172" s="160">
        <f>IF(AND('Sites'!$E$7=1,C172&gt;='Sites'!$F$7+'Cases'!$G$7,C172&lt;='Sites'!$G$7),1,0)</f>
        <v/>
      </c>
      <c r="F172" s="160">
        <f>E172*'Assumptions'!Z68</f>
        <v/>
      </c>
      <c r="G172" s="160">
        <f>V171</f>
        <v/>
      </c>
      <c r="H172" s="160">
        <f>W171</f>
        <v/>
      </c>
      <c r="I172" s="160">
        <f>X171</f>
        <v/>
      </c>
      <c r="J172" s="160">
        <f>MAX(0,'Sites'!$J$7-SUM(N162:N171))</f>
        <v/>
      </c>
      <c r="K172" s="160">
        <f>IF('Sites'!$C$7="Own sheets",MIN(ROUNDDOWN(G172/'NM Play'!$B$11,0)+F172*'NM Play'!$B$10/'NM Play'!$B$43,ROUNDDOWN(H172/'NM Play'!$B$12,0)+F172*'NM Play'!$B$10/'NM Play'!$B$44,(F172*'NM Play'!$B$10+ROUNDDOWN(G172/'NM Play'!$B$11,0)*'NM Play'!$B$43+ROUNDDOWN(H172/'NM Play'!$B$12,0)*'NM Play'!$B$44)/('NM Play'!$B$43+'NM Play'!$B$44)),ROUNDDOWN(G172/'NM Play'!$B$11,0)+F172*'NM Play'!$B$10/'NM Play'!$B$43)</f>
        <v/>
      </c>
      <c r="L172" s="160">
        <f>MIN(ROUNDDOWN(G172/'NM Play'!$B$11,0)+F172/('NM Play'!$B$43/'NM Play'!$B$15),ROUNDDOWN(H172/'NM Play'!$B$12,0)+F172/('NM Play'!$B$44/'NM Play'!$B$16),(F172+ROUNDDOWN(G172/'NM Play'!$B$11,0)*'NM Play'!$B$43/'NM Play'!$B$15+ROUNDDOWN(H172/'NM Play'!$B$12,0)*'NM Play'!$B$44/'NM Play'!$B$16)/('NM Play'!$B$43/'NM Play'!$B$15+'NM Play'!$B$44/'NM Play'!$B$16))</f>
        <v/>
      </c>
      <c r="M172" s="160">
        <f>F172*'NM Play'!$B$36</f>
        <v/>
      </c>
      <c r="N172" s="160">
        <f>ROUNDDOWN(MAX(0,MIN(J172,K172:M172)),0)</f>
        <v/>
      </c>
      <c r="O172" s="160">
        <f>ROUNDUP(MAX(0,N172*'NM Play'!$B$11-G172)/'NM Play'!$B$13,0)</f>
        <v/>
      </c>
      <c r="P172" s="160">
        <f>ROUNDUP(MAX(0,N172*'NM Play'!$B$12-H172)/'NM Play'!$B$14,0)</f>
        <v/>
      </c>
      <c r="Q172" s="160">
        <f>(O172+IF('Sites'!$C$7="Own sheets",P172,0))/'NM Play'!$B$10</f>
        <v/>
      </c>
      <c r="R172" s="160">
        <f>O172/'NM Play'!$B$15+P172/'NM Play'!$B$16</f>
        <v/>
      </c>
      <c r="S172" s="160">
        <f>MAX(Q172,R172,N172/'NM Play'!$B$36)</f>
        <v/>
      </c>
      <c r="T172" s="160">
        <f>Q172*'NM Play'!$B$10*'NM Play'!$B$21*(1+'NM Play'!$B$35)</f>
        <v/>
      </c>
      <c r="U172" s="160">
        <f>MAX(0,T172-I172)</f>
        <v/>
      </c>
      <c r="V172" s="160">
        <f>G172+O172*'NM Play'!$B$13-N172*'NM Play'!$B$11</f>
        <v/>
      </c>
      <c r="W172" s="160">
        <f>H172+P172*'NM Play'!$B$14-N172*'NM Play'!$B$12</f>
        <v/>
      </c>
      <c r="X172" s="160">
        <f>I172+U172-T172</f>
        <v/>
      </c>
      <c r="Y172" s="160">
        <f>MIN(N172,MAX(0,ROUNDDOWN('Sites'!$M$7*'Cases'!$E$7,0)-SUM(Y162:Y171)))</f>
        <v/>
      </c>
      <c r="Z172" s="160">
        <f>N172-Y172</f>
        <v/>
      </c>
      <c r="AA172" s="160">
        <f>U172*'NM Play'!$B$22</f>
        <v/>
      </c>
      <c r="AB172" s="160">
        <f>N172*SUM('NM Play'!$B$29:$B$31)</f>
        <v/>
      </c>
      <c r="AC172" s="160">
        <f>IF('Sites'!$C$7="Defy legs",P172*'NM Play'!$B$14/'NM Play'!$B$12*'NM Play'!$B$28,0)</f>
        <v/>
      </c>
      <c r="AD172" s="160">
        <f>Q172*'NM Play'!$B$23</f>
        <v/>
      </c>
      <c r="AE172" s="160">
        <f>S172*SUM('NM Play'!$B$26,'NM Play'!$B$33:$B$34)</f>
        <v/>
      </c>
      <c r="AF172" s="160">
        <f>IF('Sites'!$D$7="NM crew",S172*SUM('NM Play'!$B$24:$B$25),0)</f>
        <v/>
      </c>
      <c r="AG172" s="160">
        <f>IF('Sites'!$D$7="NM crew",S172*'NM Play'!$B$27,0)</f>
        <v/>
      </c>
      <c r="AH172" s="160">
        <f>N172*'Sites'!$Z$7*'NM Play'!$B$32</f>
        <v/>
      </c>
      <c r="AI172" s="160">
        <f>SUM(Y172:Z172)*'Sites'!$R$7</f>
        <v/>
      </c>
      <c r="AJ172" s="160">
        <f>SUM(AA172:AH172)</f>
        <v/>
      </c>
      <c r="AK172" s="160">
        <f>AJ172+(T172-U172)*'NM Play'!$B$22+MIN(G172,N172*'NM Play'!$B$11)/'NM Play'!$B$13*'NM Play'!$B$21*'NM Play'!$B$22+MIN(H172,N172*'NM Play'!$B$12)/'NM Play'!$B$14*IF('Sites'!$C$7="Own sheets",'NM Play'!$B$21*'NM Play'!$B$22,'NM Play'!$B$28*'NM Play'!$B$14/'NM Play'!$B$12)</f>
        <v/>
      </c>
      <c r="AL172" s="160">
        <f>Y172*'Assumptions'!Z66</f>
        <v/>
      </c>
      <c r="AM172" s="160">
        <f>IF('Sites'!$D$7="NM crew",S172*'NM Play'!$B$37*(1+IF(AND(ISNUMBER('NM Play'!$B$25),'NM Play'!$B$25&gt;0),1,0)),"")</f>
        <v/>
      </c>
      <c r="AN172" s="160">
        <f>IF(OR('Sites'!$E$7&lt;0,'Sites'!$E$7&gt;1,'Sites'!$F$7&lt;1,'Sites'!$G$7&lt;'Sites'!$F$7,F172&lt;0,MIN('Sites'!$I$7:'Sites'!$R$7)&lt;0,'Sites'!$L$7&gt;'Sites'!$I$7,'Sites'!$M$7&gt;'Sites'!$J$7,'Sites'!$N$7&gt;'Sites'!$K$7,'Sites'!$Z$7&lt;0,'Sites'!$Z$7&gt;1,MIN('Sites'!$AA$7:'Sites'!$AC$7)&lt;0,S172&gt;F172+0.001),1,0)</f>
        <v/>
      </c>
      <c r="AO172" s="160">
        <f>I172+U172-T172-X172</f>
        <v/>
      </c>
    </row>
    <row r="173" ht="28" customHeight="1">
      <c r="A173" s="4" t="inlineStr">
        <is>
          <t>Smaller</t>
        </is>
      </c>
      <c r="B173" s="4" t="inlineStr">
        <is>
          <t>NEW1</t>
        </is>
      </c>
      <c r="C173" s="160" t="n">
        <v>24</v>
      </c>
      <c r="D173" s="160">
        <f>ROUNDUP(C173/12,0)</f>
        <v/>
      </c>
      <c r="E173" s="160">
        <f>IF(AND('Sites'!$E$7=1,C173&gt;='Sites'!$F$7+'Cases'!$G$7,C173&lt;='Sites'!$G$7),1,0)</f>
        <v/>
      </c>
      <c r="F173" s="160">
        <f>E173*'Assumptions'!AA68</f>
        <v/>
      </c>
      <c r="G173" s="160">
        <f>V172</f>
        <v/>
      </c>
      <c r="H173" s="160">
        <f>W172</f>
        <v/>
      </c>
      <c r="I173" s="160">
        <f>X172</f>
        <v/>
      </c>
      <c r="J173" s="160">
        <f>MAX(0,'Sites'!$J$7-SUM(N162:N172))</f>
        <v/>
      </c>
      <c r="K173" s="160">
        <f>IF('Sites'!$C$7="Own sheets",MIN(ROUNDDOWN(G173/'NM Play'!$B$11,0)+F173*'NM Play'!$B$10/'NM Play'!$B$43,ROUNDDOWN(H173/'NM Play'!$B$12,0)+F173*'NM Play'!$B$10/'NM Play'!$B$44,(F173*'NM Play'!$B$10+ROUNDDOWN(G173/'NM Play'!$B$11,0)*'NM Play'!$B$43+ROUNDDOWN(H173/'NM Play'!$B$12,0)*'NM Play'!$B$44)/('NM Play'!$B$43+'NM Play'!$B$44)),ROUNDDOWN(G173/'NM Play'!$B$11,0)+F173*'NM Play'!$B$10/'NM Play'!$B$43)</f>
        <v/>
      </c>
      <c r="L173" s="160">
        <f>MIN(ROUNDDOWN(G173/'NM Play'!$B$11,0)+F173/('NM Play'!$B$43/'NM Play'!$B$15),ROUNDDOWN(H173/'NM Play'!$B$12,0)+F173/('NM Play'!$B$44/'NM Play'!$B$16),(F173+ROUNDDOWN(G173/'NM Play'!$B$11,0)*'NM Play'!$B$43/'NM Play'!$B$15+ROUNDDOWN(H173/'NM Play'!$B$12,0)*'NM Play'!$B$44/'NM Play'!$B$16)/('NM Play'!$B$43/'NM Play'!$B$15+'NM Play'!$B$44/'NM Play'!$B$16))</f>
        <v/>
      </c>
      <c r="M173" s="160">
        <f>F173*'NM Play'!$B$36</f>
        <v/>
      </c>
      <c r="N173" s="160">
        <f>ROUNDDOWN(MAX(0,MIN(J173,K173:M173)),0)</f>
        <v/>
      </c>
      <c r="O173" s="160">
        <f>ROUNDUP(MAX(0,N173*'NM Play'!$B$11-G173)/'NM Play'!$B$13,0)</f>
        <v/>
      </c>
      <c r="P173" s="160">
        <f>ROUNDUP(MAX(0,N173*'NM Play'!$B$12-H173)/'NM Play'!$B$14,0)</f>
        <v/>
      </c>
      <c r="Q173" s="160">
        <f>(O173+IF('Sites'!$C$7="Own sheets",P173,0))/'NM Play'!$B$10</f>
        <v/>
      </c>
      <c r="R173" s="160">
        <f>O173/'NM Play'!$B$15+P173/'NM Play'!$B$16</f>
        <v/>
      </c>
      <c r="S173" s="160">
        <f>MAX(Q173,R173,N173/'NM Play'!$B$36)</f>
        <v/>
      </c>
      <c r="T173" s="160">
        <f>Q173*'NM Play'!$B$10*'NM Play'!$B$21*(1+'NM Play'!$B$35)</f>
        <v/>
      </c>
      <c r="U173" s="160">
        <f>MAX(0,T173-I173)</f>
        <v/>
      </c>
      <c r="V173" s="160">
        <f>G173+O173*'NM Play'!$B$13-N173*'NM Play'!$B$11</f>
        <v/>
      </c>
      <c r="W173" s="160">
        <f>H173+P173*'NM Play'!$B$14-N173*'NM Play'!$B$12</f>
        <v/>
      </c>
      <c r="X173" s="160">
        <f>I173+U173-T173</f>
        <v/>
      </c>
      <c r="Y173" s="160">
        <f>MIN(N173,MAX(0,ROUNDDOWN('Sites'!$M$7*'Cases'!$E$7,0)-SUM(Y162:Y172)))</f>
        <v/>
      </c>
      <c r="Z173" s="160">
        <f>N173-Y173</f>
        <v/>
      </c>
      <c r="AA173" s="160">
        <f>U173*'NM Play'!$B$22</f>
        <v/>
      </c>
      <c r="AB173" s="160">
        <f>N173*SUM('NM Play'!$B$29:$B$31)</f>
        <v/>
      </c>
      <c r="AC173" s="160">
        <f>IF('Sites'!$C$7="Defy legs",P173*'NM Play'!$B$14/'NM Play'!$B$12*'NM Play'!$B$28,0)</f>
        <v/>
      </c>
      <c r="AD173" s="160">
        <f>Q173*'NM Play'!$B$23</f>
        <v/>
      </c>
      <c r="AE173" s="160">
        <f>S173*SUM('NM Play'!$B$26,'NM Play'!$B$33:$B$34)</f>
        <v/>
      </c>
      <c r="AF173" s="160">
        <f>IF('Sites'!$D$7="NM crew",S173*SUM('NM Play'!$B$24:$B$25),0)</f>
        <v/>
      </c>
      <c r="AG173" s="160">
        <f>IF('Sites'!$D$7="NM crew",S173*'NM Play'!$B$27,0)</f>
        <v/>
      </c>
      <c r="AH173" s="160">
        <f>N173*'Sites'!$Z$7*'NM Play'!$B$32</f>
        <v/>
      </c>
      <c r="AI173" s="160">
        <f>SUM(Y173:Z173)*'Sites'!$R$7</f>
        <v/>
      </c>
      <c r="AJ173" s="160">
        <f>SUM(AA173:AH173)</f>
        <v/>
      </c>
      <c r="AK173" s="160">
        <f>AJ173+(T173-U173)*'NM Play'!$B$22+MIN(G173,N173*'NM Play'!$B$11)/'NM Play'!$B$13*'NM Play'!$B$21*'NM Play'!$B$22+MIN(H173,N173*'NM Play'!$B$12)/'NM Play'!$B$14*IF('Sites'!$C$7="Own sheets",'NM Play'!$B$21*'NM Play'!$B$22,'NM Play'!$B$28*'NM Play'!$B$14/'NM Play'!$B$12)</f>
        <v/>
      </c>
      <c r="AL173" s="160">
        <f>Y173*'Assumptions'!AA66</f>
        <v/>
      </c>
      <c r="AM173" s="160">
        <f>IF('Sites'!$D$7="NM crew",S173*'NM Play'!$B$37*(1+IF(AND(ISNUMBER('NM Play'!$B$25),'NM Play'!$B$25&gt;0),1,0)),"")</f>
        <v/>
      </c>
      <c r="AN173" s="160">
        <f>IF(OR('Sites'!$E$7&lt;0,'Sites'!$E$7&gt;1,'Sites'!$F$7&lt;1,'Sites'!$G$7&lt;'Sites'!$F$7,F173&lt;0,MIN('Sites'!$I$7:'Sites'!$R$7)&lt;0,'Sites'!$L$7&gt;'Sites'!$I$7,'Sites'!$M$7&gt;'Sites'!$J$7,'Sites'!$N$7&gt;'Sites'!$K$7,'Sites'!$Z$7&lt;0,'Sites'!$Z$7&gt;1,MIN('Sites'!$AA$7:'Sites'!$AC$7)&lt;0,S173&gt;F173+0.001),1,0)</f>
        <v/>
      </c>
      <c r="AO173" s="160">
        <f>I173+U173-T173-X173</f>
        <v/>
      </c>
    </row>
    <row r="174" ht="28" customHeight="1">
      <c r="A174" s="4" t="inlineStr">
        <is>
          <t>Smaller</t>
        </is>
      </c>
      <c r="B174" s="4" t="inlineStr">
        <is>
          <t>NEW1</t>
        </is>
      </c>
      <c r="C174" s="160" t="n">
        <v>25</v>
      </c>
      <c r="D174" s="160">
        <f>ROUNDUP(C174/12,0)</f>
        <v/>
      </c>
      <c r="E174" s="160">
        <f>IF(AND('Sites'!$E$7=1,C174&gt;='Sites'!$F$7+'Cases'!$G$7,C174&lt;='Sites'!$G$7),1,0)</f>
        <v/>
      </c>
      <c r="F174" s="160">
        <f>E174*'Assumptions'!AB68</f>
        <v/>
      </c>
      <c r="G174" s="160">
        <f>V173</f>
        <v/>
      </c>
      <c r="H174" s="160">
        <f>W173</f>
        <v/>
      </c>
      <c r="I174" s="160">
        <f>X173</f>
        <v/>
      </c>
      <c r="J174" s="160">
        <f>MAX(0,'Sites'!$K$7-0)</f>
        <v/>
      </c>
      <c r="K174" s="160">
        <f>IF('Sites'!$C$7="Own sheets",MIN(ROUNDDOWN(G174/'NM Play'!$B$11,0)+F174*'NM Play'!$B$10/'NM Play'!$B$43,ROUNDDOWN(H174/'NM Play'!$B$12,0)+F174*'NM Play'!$B$10/'NM Play'!$B$44,(F174*'NM Play'!$B$10+ROUNDDOWN(G174/'NM Play'!$B$11,0)*'NM Play'!$B$43+ROUNDDOWN(H174/'NM Play'!$B$12,0)*'NM Play'!$B$44)/('NM Play'!$B$43+'NM Play'!$B$44)),ROUNDDOWN(G174/'NM Play'!$B$11,0)+F174*'NM Play'!$B$10/'NM Play'!$B$43)</f>
        <v/>
      </c>
      <c r="L174" s="160">
        <f>MIN(ROUNDDOWN(G174/'NM Play'!$B$11,0)+F174/('NM Play'!$B$43/'NM Play'!$B$15),ROUNDDOWN(H174/'NM Play'!$B$12,0)+F174/('NM Play'!$B$44/'NM Play'!$B$16),(F174+ROUNDDOWN(G174/'NM Play'!$B$11,0)*'NM Play'!$B$43/'NM Play'!$B$15+ROUNDDOWN(H174/'NM Play'!$B$12,0)*'NM Play'!$B$44/'NM Play'!$B$16)/('NM Play'!$B$43/'NM Play'!$B$15+'NM Play'!$B$44/'NM Play'!$B$16))</f>
        <v/>
      </c>
      <c r="M174" s="160">
        <f>F174*'NM Play'!$B$36</f>
        <v/>
      </c>
      <c r="N174" s="160">
        <f>ROUNDDOWN(MAX(0,MIN(J174,K174:M174)),0)</f>
        <v/>
      </c>
      <c r="O174" s="160">
        <f>ROUNDUP(MAX(0,N174*'NM Play'!$B$11-G174)/'NM Play'!$B$13,0)</f>
        <v/>
      </c>
      <c r="P174" s="160">
        <f>ROUNDUP(MAX(0,N174*'NM Play'!$B$12-H174)/'NM Play'!$B$14,0)</f>
        <v/>
      </c>
      <c r="Q174" s="160">
        <f>(O174+IF('Sites'!$C$7="Own sheets",P174,0))/'NM Play'!$B$10</f>
        <v/>
      </c>
      <c r="R174" s="160">
        <f>O174/'NM Play'!$B$15+P174/'NM Play'!$B$16</f>
        <v/>
      </c>
      <c r="S174" s="160">
        <f>MAX(Q174,R174,N174/'NM Play'!$B$36)</f>
        <v/>
      </c>
      <c r="T174" s="160">
        <f>Q174*'NM Play'!$B$10*'NM Play'!$B$21*(1+'NM Play'!$B$35)</f>
        <v/>
      </c>
      <c r="U174" s="160">
        <f>MAX(0,T174-I174)</f>
        <v/>
      </c>
      <c r="V174" s="160">
        <f>G174+O174*'NM Play'!$B$13-N174*'NM Play'!$B$11</f>
        <v/>
      </c>
      <c r="W174" s="160">
        <f>H174+P174*'NM Play'!$B$14-N174*'NM Play'!$B$12</f>
        <v/>
      </c>
      <c r="X174" s="160">
        <f>I174+U174-T174</f>
        <v/>
      </c>
      <c r="Y174" s="160">
        <f>MIN(N174,MAX(0,ROUNDDOWN('Sites'!$N$7*'Cases'!$E$7,0)-0))</f>
        <v/>
      </c>
      <c r="Z174" s="160">
        <f>N174-Y174</f>
        <v/>
      </c>
      <c r="AA174" s="160">
        <f>U174*'NM Play'!$B$22</f>
        <v/>
      </c>
      <c r="AB174" s="160">
        <f>N174*SUM('NM Play'!$B$29:$B$31)</f>
        <v/>
      </c>
      <c r="AC174" s="160">
        <f>IF('Sites'!$C$7="Defy legs",P174*'NM Play'!$B$14/'NM Play'!$B$12*'NM Play'!$B$28,0)</f>
        <v/>
      </c>
      <c r="AD174" s="160">
        <f>Q174*'NM Play'!$B$23</f>
        <v/>
      </c>
      <c r="AE174" s="160">
        <f>S174*SUM('NM Play'!$B$26,'NM Play'!$B$33:$B$34)</f>
        <v/>
      </c>
      <c r="AF174" s="160">
        <f>IF('Sites'!$D$7="NM crew",S174*SUM('NM Play'!$B$24:$B$25),0)</f>
        <v/>
      </c>
      <c r="AG174" s="160">
        <f>IF('Sites'!$D$7="NM crew",S174*'NM Play'!$B$27,0)</f>
        <v/>
      </c>
      <c r="AH174" s="160">
        <f>N174*'Sites'!$Z$7*'NM Play'!$B$32</f>
        <v/>
      </c>
      <c r="AI174" s="160">
        <f>SUM(Y174:Z174)*'Sites'!$R$7</f>
        <v/>
      </c>
      <c r="AJ174" s="160">
        <f>SUM(AA174:AH174)</f>
        <v/>
      </c>
      <c r="AK174" s="160">
        <f>AJ174+(T174-U174)*'NM Play'!$B$22+MIN(G174,N174*'NM Play'!$B$11)/'NM Play'!$B$13*'NM Play'!$B$21*'NM Play'!$B$22+MIN(H174,N174*'NM Play'!$B$12)/'NM Play'!$B$14*IF('Sites'!$C$7="Own sheets",'NM Play'!$B$21*'NM Play'!$B$22,'NM Play'!$B$28*'NM Play'!$B$14/'NM Play'!$B$12)</f>
        <v/>
      </c>
      <c r="AL174" s="160">
        <f>Y174*'Assumptions'!AB66</f>
        <v/>
      </c>
      <c r="AM174" s="160">
        <f>IF('Sites'!$D$7="NM crew",S174*'NM Play'!$B$37*(1+IF(AND(ISNUMBER('NM Play'!$B$25),'NM Play'!$B$25&gt;0),1,0)),"")</f>
        <v/>
      </c>
      <c r="AN174" s="160">
        <f>IF(OR('Sites'!$E$7&lt;0,'Sites'!$E$7&gt;1,'Sites'!$F$7&lt;1,'Sites'!$G$7&lt;'Sites'!$F$7,F174&lt;0,MIN('Sites'!$I$7:'Sites'!$R$7)&lt;0,'Sites'!$L$7&gt;'Sites'!$I$7,'Sites'!$M$7&gt;'Sites'!$J$7,'Sites'!$N$7&gt;'Sites'!$K$7,'Sites'!$Z$7&lt;0,'Sites'!$Z$7&gt;1,MIN('Sites'!$AA$7:'Sites'!$AC$7)&lt;0,S174&gt;F174+0.001),1,0)</f>
        <v/>
      </c>
      <c r="AO174" s="160">
        <f>I174+U174-T174-X174</f>
        <v/>
      </c>
    </row>
    <row r="175" ht="28" customHeight="1">
      <c r="A175" s="4" t="inlineStr">
        <is>
          <t>Smaller</t>
        </is>
      </c>
      <c r="B175" s="4" t="inlineStr">
        <is>
          <t>NEW1</t>
        </is>
      </c>
      <c r="C175" s="160" t="n">
        <v>26</v>
      </c>
      <c r="D175" s="160">
        <f>ROUNDUP(C175/12,0)</f>
        <v/>
      </c>
      <c r="E175" s="160">
        <f>IF(AND('Sites'!$E$7=1,C175&gt;='Sites'!$F$7+'Cases'!$G$7,C175&lt;='Sites'!$G$7),1,0)</f>
        <v/>
      </c>
      <c r="F175" s="160">
        <f>E175*'Assumptions'!AC68</f>
        <v/>
      </c>
      <c r="G175" s="160">
        <f>V174</f>
        <v/>
      </c>
      <c r="H175" s="160">
        <f>W174</f>
        <v/>
      </c>
      <c r="I175" s="160">
        <f>X174</f>
        <v/>
      </c>
      <c r="J175" s="160">
        <f>MAX(0,'Sites'!$K$7-SUM(N174:N174))</f>
        <v/>
      </c>
      <c r="K175" s="160">
        <f>IF('Sites'!$C$7="Own sheets",MIN(ROUNDDOWN(G175/'NM Play'!$B$11,0)+F175*'NM Play'!$B$10/'NM Play'!$B$43,ROUNDDOWN(H175/'NM Play'!$B$12,0)+F175*'NM Play'!$B$10/'NM Play'!$B$44,(F175*'NM Play'!$B$10+ROUNDDOWN(G175/'NM Play'!$B$11,0)*'NM Play'!$B$43+ROUNDDOWN(H175/'NM Play'!$B$12,0)*'NM Play'!$B$44)/('NM Play'!$B$43+'NM Play'!$B$44)),ROUNDDOWN(G175/'NM Play'!$B$11,0)+F175*'NM Play'!$B$10/'NM Play'!$B$43)</f>
        <v/>
      </c>
      <c r="L175" s="160">
        <f>MIN(ROUNDDOWN(G175/'NM Play'!$B$11,0)+F175/('NM Play'!$B$43/'NM Play'!$B$15),ROUNDDOWN(H175/'NM Play'!$B$12,0)+F175/('NM Play'!$B$44/'NM Play'!$B$16),(F175+ROUNDDOWN(G175/'NM Play'!$B$11,0)*'NM Play'!$B$43/'NM Play'!$B$15+ROUNDDOWN(H175/'NM Play'!$B$12,0)*'NM Play'!$B$44/'NM Play'!$B$16)/('NM Play'!$B$43/'NM Play'!$B$15+'NM Play'!$B$44/'NM Play'!$B$16))</f>
        <v/>
      </c>
      <c r="M175" s="160">
        <f>F175*'NM Play'!$B$36</f>
        <v/>
      </c>
      <c r="N175" s="160">
        <f>ROUNDDOWN(MAX(0,MIN(J175,K175:M175)),0)</f>
        <v/>
      </c>
      <c r="O175" s="160">
        <f>ROUNDUP(MAX(0,N175*'NM Play'!$B$11-G175)/'NM Play'!$B$13,0)</f>
        <v/>
      </c>
      <c r="P175" s="160">
        <f>ROUNDUP(MAX(0,N175*'NM Play'!$B$12-H175)/'NM Play'!$B$14,0)</f>
        <v/>
      </c>
      <c r="Q175" s="160">
        <f>(O175+IF('Sites'!$C$7="Own sheets",P175,0))/'NM Play'!$B$10</f>
        <v/>
      </c>
      <c r="R175" s="160">
        <f>O175/'NM Play'!$B$15+P175/'NM Play'!$B$16</f>
        <v/>
      </c>
      <c r="S175" s="160">
        <f>MAX(Q175,R175,N175/'NM Play'!$B$36)</f>
        <v/>
      </c>
      <c r="T175" s="160">
        <f>Q175*'NM Play'!$B$10*'NM Play'!$B$21*(1+'NM Play'!$B$35)</f>
        <v/>
      </c>
      <c r="U175" s="160">
        <f>MAX(0,T175-I175)</f>
        <v/>
      </c>
      <c r="V175" s="160">
        <f>G175+O175*'NM Play'!$B$13-N175*'NM Play'!$B$11</f>
        <v/>
      </c>
      <c r="W175" s="160">
        <f>H175+P175*'NM Play'!$B$14-N175*'NM Play'!$B$12</f>
        <v/>
      </c>
      <c r="X175" s="160">
        <f>I175+U175-T175</f>
        <v/>
      </c>
      <c r="Y175" s="160">
        <f>MIN(N175,MAX(0,ROUNDDOWN('Sites'!$N$7*'Cases'!$E$7,0)-SUM(Y174:Y174)))</f>
        <v/>
      </c>
      <c r="Z175" s="160">
        <f>N175-Y175</f>
        <v/>
      </c>
      <c r="AA175" s="160">
        <f>U175*'NM Play'!$B$22</f>
        <v/>
      </c>
      <c r="AB175" s="160">
        <f>N175*SUM('NM Play'!$B$29:$B$31)</f>
        <v/>
      </c>
      <c r="AC175" s="160">
        <f>IF('Sites'!$C$7="Defy legs",P175*'NM Play'!$B$14/'NM Play'!$B$12*'NM Play'!$B$28,0)</f>
        <v/>
      </c>
      <c r="AD175" s="160">
        <f>Q175*'NM Play'!$B$23</f>
        <v/>
      </c>
      <c r="AE175" s="160">
        <f>S175*SUM('NM Play'!$B$26,'NM Play'!$B$33:$B$34)</f>
        <v/>
      </c>
      <c r="AF175" s="160">
        <f>IF('Sites'!$D$7="NM crew",S175*SUM('NM Play'!$B$24:$B$25),0)</f>
        <v/>
      </c>
      <c r="AG175" s="160">
        <f>IF('Sites'!$D$7="NM crew",S175*'NM Play'!$B$27,0)</f>
        <v/>
      </c>
      <c r="AH175" s="160">
        <f>N175*'Sites'!$Z$7*'NM Play'!$B$32</f>
        <v/>
      </c>
      <c r="AI175" s="160">
        <f>SUM(Y175:Z175)*'Sites'!$R$7</f>
        <v/>
      </c>
      <c r="AJ175" s="160">
        <f>SUM(AA175:AH175)</f>
        <v/>
      </c>
      <c r="AK175" s="160">
        <f>AJ175+(T175-U175)*'NM Play'!$B$22+MIN(G175,N175*'NM Play'!$B$11)/'NM Play'!$B$13*'NM Play'!$B$21*'NM Play'!$B$22+MIN(H175,N175*'NM Play'!$B$12)/'NM Play'!$B$14*IF('Sites'!$C$7="Own sheets",'NM Play'!$B$21*'NM Play'!$B$22,'NM Play'!$B$28*'NM Play'!$B$14/'NM Play'!$B$12)</f>
        <v/>
      </c>
      <c r="AL175" s="160">
        <f>Y175*'Assumptions'!AC66</f>
        <v/>
      </c>
      <c r="AM175" s="160">
        <f>IF('Sites'!$D$7="NM crew",S175*'NM Play'!$B$37*(1+IF(AND(ISNUMBER('NM Play'!$B$25),'NM Play'!$B$25&gt;0),1,0)),"")</f>
        <v/>
      </c>
      <c r="AN175" s="160">
        <f>IF(OR('Sites'!$E$7&lt;0,'Sites'!$E$7&gt;1,'Sites'!$F$7&lt;1,'Sites'!$G$7&lt;'Sites'!$F$7,F175&lt;0,MIN('Sites'!$I$7:'Sites'!$R$7)&lt;0,'Sites'!$L$7&gt;'Sites'!$I$7,'Sites'!$M$7&gt;'Sites'!$J$7,'Sites'!$N$7&gt;'Sites'!$K$7,'Sites'!$Z$7&lt;0,'Sites'!$Z$7&gt;1,MIN('Sites'!$AA$7:'Sites'!$AC$7)&lt;0,S175&gt;F175+0.001),1,0)</f>
        <v/>
      </c>
      <c r="AO175" s="160">
        <f>I175+U175-T175-X175</f>
        <v/>
      </c>
    </row>
    <row r="176" ht="28" customHeight="1">
      <c r="A176" s="4" t="inlineStr">
        <is>
          <t>Smaller</t>
        </is>
      </c>
      <c r="B176" s="4" t="inlineStr">
        <is>
          <t>NEW1</t>
        </is>
      </c>
      <c r="C176" s="160" t="n">
        <v>27</v>
      </c>
      <c r="D176" s="160">
        <f>ROUNDUP(C176/12,0)</f>
        <v/>
      </c>
      <c r="E176" s="160">
        <f>IF(AND('Sites'!$E$7=1,C176&gt;='Sites'!$F$7+'Cases'!$G$7,C176&lt;='Sites'!$G$7),1,0)</f>
        <v/>
      </c>
      <c r="F176" s="160">
        <f>E176*'Assumptions'!AD68</f>
        <v/>
      </c>
      <c r="G176" s="160">
        <f>V175</f>
        <v/>
      </c>
      <c r="H176" s="160">
        <f>W175</f>
        <v/>
      </c>
      <c r="I176" s="160">
        <f>X175</f>
        <v/>
      </c>
      <c r="J176" s="160">
        <f>MAX(0,'Sites'!$K$7-SUM(N174:N175))</f>
        <v/>
      </c>
      <c r="K176" s="160">
        <f>IF('Sites'!$C$7="Own sheets",MIN(ROUNDDOWN(G176/'NM Play'!$B$11,0)+F176*'NM Play'!$B$10/'NM Play'!$B$43,ROUNDDOWN(H176/'NM Play'!$B$12,0)+F176*'NM Play'!$B$10/'NM Play'!$B$44,(F176*'NM Play'!$B$10+ROUNDDOWN(G176/'NM Play'!$B$11,0)*'NM Play'!$B$43+ROUNDDOWN(H176/'NM Play'!$B$12,0)*'NM Play'!$B$44)/('NM Play'!$B$43+'NM Play'!$B$44)),ROUNDDOWN(G176/'NM Play'!$B$11,0)+F176*'NM Play'!$B$10/'NM Play'!$B$43)</f>
        <v/>
      </c>
      <c r="L176" s="160">
        <f>MIN(ROUNDDOWN(G176/'NM Play'!$B$11,0)+F176/('NM Play'!$B$43/'NM Play'!$B$15),ROUNDDOWN(H176/'NM Play'!$B$12,0)+F176/('NM Play'!$B$44/'NM Play'!$B$16),(F176+ROUNDDOWN(G176/'NM Play'!$B$11,0)*'NM Play'!$B$43/'NM Play'!$B$15+ROUNDDOWN(H176/'NM Play'!$B$12,0)*'NM Play'!$B$44/'NM Play'!$B$16)/('NM Play'!$B$43/'NM Play'!$B$15+'NM Play'!$B$44/'NM Play'!$B$16))</f>
        <v/>
      </c>
      <c r="M176" s="160">
        <f>F176*'NM Play'!$B$36</f>
        <v/>
      </c>
      <c r="N176" s="160">
        <f>ROUNDDOWN(MAX(0,MIN(J176,K176:M176)),0)</f>
        <v/>
      </c>
      <c r="O176" s="160">
        <f>ROUNDUP(MAX(0,N176*'NM Play'!$B$11-G176)/'NM Play'!$B$13,0)</f>
        <v/>
      </c>
      <c r="P176" s="160">
        <f>ROUNDUP(MAX(0,N176*'NM Play'!$B$12-H176)/'NM Play'!$B$14,0)</f>
        <v/>
      </c>
      <c r="Q176" s="160">
        <f>(O176+IF('Sites'!$C$7="Own sheets",P176,0))/'NM Play'!$B$10</f>
        <v/>
      </c>
      <c r="R176" s="160">
        <f>O176/'NM Play'!$B$15+P176/'NM Play'!$B$16</f>
        <v/>
      </c>
      <c r="S176" s="160">
        <f>MAX(Q176,R176,N176/'NM Play'!$B$36)</f>
        <v/>
      </c>
      <c r="T176" s="160">
        <f>Q176*'NM Play'!$B$10*'NM Play'!$B$21*(1+'NM Play'!$B$35)</f>
        <v/>
      </c>
      <c r="U176" s="160">
        <f>MAX(0,T176-I176)</f>
        <v/>
      </c>
      <c r="V176" s="160">
        <f>G176+O176*'NM Play'!$B$13-N176*'NM Play'!$B$11</f>
        <v/>
      </c>
      <c r="W176" s="160">
        <f>H176+P176*'NM Play'!$B$14-N176*'NM Play'!$B$12</f>
        <v/>
      </c>
      <c r="X176" s="160">
        <f>I176+U176-T176</f>
        <v/>
      </c>
      <c r="Y176" s="160">
        <f>MIN(N176,MAX(0,ROUNDDOWN('Sites'!$N$7*'Cases'!$E$7,0)-SUM(Y174:Y175)))</f>
        <v/>
      </c>
      <c r="Z176" s="160">
        <f>N176-Y176</f>
        <v/>
      </c>
      <c r="AA176" s="160">
        <f>U176*'NM Play'!$B$22</f>
        <v/>
      </c>
      <c r="AB176" s="160">
        <f>N176*SUM('NM Play'!$B$29:$B$31)</f>
        <v/>
      </c>
      <c r="AC176" s="160">
        <f>IF('Sites'!$C$7="Defy legs",P176*'NM Play'!$B$14/'NM Play'!$B$12*'NM Play'!$B$28,0)</f>
        <v/>
      </c>
      <c r="AD176" s="160">
        <f>Q176*'NM Play'!$B$23</f>
        <v/>
      </c>
      <c r="AE176" s="160">
        <f>S176*SUM('NM Play'!$B$26,'NM Play'!$B$33:$B$34)</f>
        <v/>
      </c>
      <c r="AF176" s="160">
        <f>IF('Sites'!$D$7="NM crew",S176*SUM('NM Play'!$B$24:$B$25),0)</f>
        <v/>
      </c>
      <c r="AG176" s="160">
        <f>IF('Sites'!$D$7="NM crew",S176*'NM Play'!$B$27,0)</f>
        <v/>
      </c>
      <c r="AH176" s="160">
        <f>N176*'Sites'!$Z$7*'NM Play'!$B$32</f>
        <v/>
      </c>
      <c r="AI176" s="160">
        <f>SUM(Y176:Z176)*'Sites'!$R$7</f>
        <v/>
      </c>
      <c r="AJ176" s="160">
        <f>SUM(AA176:AH176)</f>
        <v/>
      </c>
      <c r="AK176" s="160">
        <f>AJ176+(T176-U176)*'NM Play'!$B$22+MIN(G176,N176*'NM Play'!$B$11)/'NM Play'!$B$13*'NM Play'!$B$21*'NM Play'!$B$22+MIN(H176,N176*'NM Play'!$B$12)/'NM Play'!$B$14*IF('Sites'!$C$7="Own sheets",'NM Play'!$B$21*'NM Play'!$B$22,'NM Play'!$B$28*'NM Play'!$B$14/'NM Play'!$B$12)</f>
        <v/>
      </c>
      <c r="AL176" s="160">
        <f>Y176*'Assumptions'!AD66</f>
        <v/>
      </c>
      <c r="AM176" s="160">
        <f>IF('Sites'!$D$7="NM crew",S176*'NM Play'!$B$37*(1+IF(AND(ISNUMBER('NM Play'!$B$25),'NM Play'!$B$25&gt;0),1,0)),"")</f>
        <v/>
      </c>
      <c r="AN176" s="160">
        <f>IF(OR('Sites'!$E$7&lt;0,'Sites'!$E$7&gt;1,'Sites'!$F$7&lt;1,'Sites'!$G$7&lt;'Sites'!$F$7,F176&lt;0,MIN('Sites'!$I$7:'Sites'!$R$7)&lt;0,'Sites'!$L$7&gt;'Sites'!$I$7,'Sites'!$M$7&gt;'Sites'!$J$7,'Sites'!$N$7&gt;'Sites'!$K$7,'Sites'!$Z$7&lt;0,'Sites'!$Z$7&gt;1,MIN('Sites'!$AA$7:'Sites'!$AC$7)&lt;0,S176&gt;F176+0.001),1,0)</f>
        <v/>
      </c>
      <c r="AO176" s="160">
        <f>I176+U176-T176-X176</f>
        <v/>
      </c>
    </row>
    <row r="177" ht="28" customHeight="1">
      <c r="A177" s="4" t="inlineStr">
        <is>
          <t>Smaller</t>
        </is>
      </c>
      <c r="B177" s="4" t="inlineStr">
        <is>
          <t>NEW1</t>
        </is>
      </c>
      <c r="C177" s="160" t="n">
        <v>28</v>
      </c>
      <c r="D177" s="160">
        <f>ROUNDUP(C177/12,0)</f>
        <v/>
      </c>
      <c r="E177" s="160">
        <f>IF(AND('Sites'!$E$7=1,C177&gt;='Sites'!$F$7+'Cases'!$G$7,C177&lt;='Sites'!$G$7),1,0)</f>
        <v/>
      </c>
      <c r="F177" s="160">
        <f>E177*'Assumptions'!AE68</f>
        <v/>
      </c>
      <c r="G177" s="160">
        <f>V176</f>
        <v/>
      </c>
      <c r="H177" s="160">
        <f>W176</f>
        <v/>
      </c>
      <c r="I177" s="160">
        <f>X176</f>
        <v/>
      </c>
      <c r="J177" s="160">
        <f>MAX(0,'Sites'!$K$7-SUM(N174:N176))</f>
        <v/>
      </c>
      <c r="K177" s="160">
        <f>IF('Sites'!$C$7="Own sheets",MIN(ROUNDDOWN(G177/'NM Play'!$B$11,0)+F177*'NM Play'!$B$10/'NM Play'!$B$43,ROUNDDOWN(H177/'NM Play'!$B$12,0)+F177*'NM Play'!$B$10/'NM Play'!$B$44,(F177*'NM Play'!$B$10+ROUNDDOWN(G177/'NM Play'!$B$11,0)*'NM Play'!$B$43+ROUNDDOWN(H177/'NM Play'!$B$12,0)*'NM Play'!$B$44)/('NM Play'!$B$43+'NM Play'!$B$44)),ROUNDDOWN(G177/'NM Play'!$B$11,0)+F177*'NM Play'!$B$10/'NM Play'!$B$43)</f>
        <v/>
      </c>
      <c r="L177" s="160">
        <f>MIN(ROUNDDOWN(G177/'NM Play'!$B$11,0)+F177/('NM Play'!$B$43/'NM Play'!$B$15),ROUNDDOWN(H177/'NM Play'!$B$12,0)+F177/('NM Play'!$B$44/'NM Play'!$B$16),(F177+ROUNDDOWN(G177/'NM Play'!$B$11,0)*'NM Play'!$B$43/'NM Play'!$B$15+ROUNDDOWN(H177/'NM Play'!$B$12,0)*'NM Play'!$B$44/'NM Play'!$B$16)/('NM Play'!$B$43/'NM Play'!$B$15+'NM Play'!$B$44/'NM Play'!$B$16))</f>
        <v/>
      </c>
      <c r="M177" s="160">
        <f>F177*'NM Play'!$B$36</f>
        <v/>
      </c>
      <c r="N177" s="160">
        <f>ROUNDDOWN(MAX(0,MIN(J177,K177:M177)),0)</f>
        <v/>
      </c>
      <c r="O177" s="160">
        <f>ROUNDUP(MAX(0,N177*'NM Play'!$B$11-G177)/'NM Play'!$B$13,0)</f>
        <v/>
      </c>
      <c r="P177" s="160">
        <f>ROUNDUP(MAX(0,N177*'NM Play'!$B$12-H177)/'NM Play'!$B$14,0)</f>
        <v/>
      </c>
      <c r="Q177" s="160">
        <f>(O177+IF('Sites'!$C$7="Own sheets",P177,0))/'NM Play'!$B$10</f>
        <v/>
      </c>
      <c r="R177" s="160">
        <f>O177/'NM Play'!$B$15+P177/'NM Play'!$B$16</f>
        <v/>
      </c>
      <c r="S177" s="160">
        <f>MAX(Q177,R177,N177/'NM Play'!$B$36)</f>
        <v/>
      </c>
      <c r="T177" s="160">
        <f>Q177*'NM Play'!$B$10*'NM Play'!$B$21*(1+'NM Play'!$B$35)</f>
        <v/>
      </c>
      <c r="U177" s="160">
        <f>MAX(0,T177-I177)</f>
        <v/>
      </c>
      <c r="V177" s="160">
        <f>G177+O177*'NM Play'!$B$13-N177*'NM Play'!$B$11</f>
        <v/>
      </c>
      <c r="W177" s="160">
        <f>H177+P177*'NM Play'!$B$14-N177*'NM Play'!$B$12</f>
        <v/>
      </c>
      <c r="X177" s="160">
        <f>I177+U177-T177</f>
        <v/>
      </c>
      <c r="Y177" s="160">
        <f>MIN(N177,MAX(0,ROUNDDOWN('Sites'!$N$7*'Cases'!$E$7,0)-SUM(Y174:Y176)))</f>
        <v/>
      </c>
      <c r="Z177" s="160">
        <f>N177-Y177</f>
        <v/>
      </c>
      <c r="AA177" s="160">
        <f>U177*'NM Play'!$B$22</f>
        <v/>
      </c>
      <c r="AB177" s="160">
        <f>N177*SUM('NM Play'!$B$29:$B$31)</f>
        <v/>
      </c>
      <c r="AC177" s="160">
        <f>IF('Sites'!$C$7="Defy legs",P177*'NM Play'!$B$14/'NM Play'!$B$12*'NM Play'!$B$28,0)</f>
        <v/>
      </c>
      <c r="AD177" s="160">
        <f>Q177*'NM Play'!$B$23</f>
        <v/>
      </c>
      <c r="AE177" s="160">
        <f>S177*SUM('NM Play'!$B$26,'NM Play'!$B$33:$B$34)</f>
        <v/>
      </c>
      <c r="AF177" s="160">
        <f>IF('Sites'!$D$7="NM crew",S177*SUM('NM Play'!$B$24:$B$25),0)</f>
        <v/>
      </c>
      <c r="AG177" s="160">
        <f>IF('Sites'!$D$7="NM crew",S177*'NM Play'!$B$27,0)</f>
        <v/>
      </c>
      <c r="AH177" s="160">
        <f>N177*'Sites'!$Z$7*'NM Play'!$B$32</f>
        <v/>
      </c>
      <c r="AI177" s="160">
        <f>SUM(Y177:Z177)*'Sites'!$R$7</f>
        <v/>
      </c>
      <c r="AJ177" s="160">
        <f>SUM(AA177:AH177)</f>
        <v/>
      </c>
      <c r="AK177" s="160">
        <f>AJ177+(T177-U177)*'NM Play'!$B$22+MIN(G177,N177*'NM Play'!$B$11)/'NM Play'!$B$13*'NM Play'!$B$21*'NM Play'!$B$22+MIN(H177,N177*'NM Play'!$B$12)/'NM Play'!$B$14*IF('Sites'!$C$7="Own sheets",'NM Play'!$B$21*'NM Play'!$B$22,'NM Play'!$B$28*'NM Play'!$B$14/'NM Play'!$B$12)</f>
        <v/>
      </c>
      <c r="AL177" s="160">
        <f>Y177*'Assumptions'!AE66</f>
        <v/>
      </c>
      <c r="AM177" s="160">
        <f>IF('Sites'!$D$7="NM crew",S177*'NM Play'!$B$37*(1+IF(AND(ISNUMBER('NM Play'!$B$25),'NM Play'!$B$25&gt;0),1,0)),"")</f>
        <v/>
      </c>
      <c r="AN177" s="160">
        <f>IF(OR('Sites'!$E$7&lt;0,'Sites'!$E$7&gt;1,'Sites'!$F$7&lt;1,'Sites'!$G$7&lt;'Sites'!$F$7,F177&lt;0,MIN('Sites'!$I$7:'Sites'!$R$7)&lt;0,'Sites'!$L$7&gt;'Sites'!$I$7,'Sites'!$M$7&gt;'Sites'!$J$7,'Sites'!$N$7&gt;'Sites'!$K$7,'Sites'!$Z$7&lt;0,'Sites'!$Z$7&gt;1,MIN('Sites'!$AA$7:'Sites'!$AC$7)&lt;0,S177&gt;F177+0.001),1,0)</f>
        <v/>
      </c>
      <c r="AO177" s="160">
        <f>I177+U177-T177-X177</f>
        <v/>
      </c>
    </row>
    <row r="178" ht="28" customHeight="1">
      <c r="A178" s="4" t="inlineStr">
        <is>
          <t>Smaller</t>
        </is>
      </c>
      <c r="B178" s="4" t="inlineStr">
        <is>
          <t>NEW1</t>
        </is>
      </c>
      <c r="C178" s="160" t="n">
        <v>29</v>
      </c>
      <c r="D178" s="160">
        <f>ROUNDUP(C178/12,0)</f>
        <v/>
      </c>
      <c r="E178" s="160">
        <f>IF(AND('Sites'!$E$7=1,C178&gt;='Sites'!$F$7+'Cases'!$G$7,C178&lt;='Sites'!$G$7),1,0)</f>
        <v/>
      </c>
      <c r="F178" s="160">
        <f>E178*'Assumptions'!AF68</f>
        <v/>
      </c>
      <c r="G178" s="160">
        <f>V177</f>
        <v/>
      </c>
      <c r="H178" s="160">
        <f>W177</f>
        <v/>
      </c>
      <c r="I178" s="160">
        <f>X177</f>
        <v/>
      </c>
      <c r="J178" s="160">
        <f>MAX(0,'Sites'!$K$7-SUM(N174:N177))</f>
        <v/>
      </c>
      <c r="K178" s="160">
        <f>IF('Sites'!$C$7="Own sheets",MIN(ROUNDDOWN(G178/'NM Play'!$B$11,0)+F178*'NM Play'!$B$10/'NM Play'!$B$43,ROUNDDOWN(H178/'NM Play'!$B$12,0)+F178*'NM Play'!$B$10/'NM Play'!$B$44,(F178*'NM Play'!$B$10+ROUNDDOWN(G178/'NM Play'!$B$11,0)*'NM Play'!$B$43+ROUNDDOWN(H178/'NM Play'!$B$12,0)*'NM Play'!$B$44)/('NM Play'!$B$43+'NM Play'!$B$44)),ROUNDDOWN(G178/'NM Play'!$B$11,0)+F178*'NM Play'!$B$10/'NM Play'!$B$43)</f>
        <v/>
      </c>
      <c r="L178" s="160">
        <f>MIN(ROUNDDOWN(G178/'NM Play'!$B$11,0)+F178/('NM Play'!$B$43/'NM Play'!$B$15),ROUNDDOWN(H178/'NM Play'!$B$12,0)+F178/('NM Play'!$B$44/'NM Play'!$B$16),(F178+ROUNDDOWN(G178/'NM Play'!$B$11,0)*'NM Play'!$B$43/'NM Play'!$B$15+ROUNDDOWN(H178/'NM Play'!$B$12,0)*'NM Play'!$B$44/'NM Play'!$B$16)/('NM Play'!$B$43/'NM Play'!$B$15+'NM Play'!$B$44/'NM Play'!$B$16))</f>
        <v/>
      </c>
      <c r="M178" s="160">
        <f>F178*'NM Play'!$B$36</f>
        <v/>
      </c>
      <c r="N178" s="160">
        <f>ROUNDDOWN(MAX(0,MIN(J178,K178:M178)),0)</f>
        <v/>
      </c>
      <c r="O178" s="160">
        <f>ROUNDUP(MAX(0,N178*'NM Play'!$B$11-G178)/'NM Play'!$B$13,0)</f>
        <v/>
      </c>
      <c r="P178" s="160">
        <f>ROUNDUP(MAX(0,N178*'NM Play'!$B$12-H178)/'NM Play'!$B$14,0)</f>
        <v/>
      </c>
      <c r="Q178" s="160">
        <f>(O178+IF('Sites'!$C$7="Own sheets",P178,0))/'NM Play'!$B$10</f>
        <v/>
      </c>
      <c r="R178" s="160">
        <f>O178/'NM Play'!$B$15+P178/'NM Play'!$B$16</f>
        <v/>
      </c>
      <c r="S178" s="160">
        <f>MAX(Q178,R178,N178/'NM Play'!$B$36)</f>
        <v/>
      </c>
      <c r="T178" s="160">
        <f>Q178*'NM Play'!$B$10*'NM Play'!$B$21*(1+'NM Play'!$B$35)</f>
        <v/>
      </c>
      <c r="U178" s="160">
        <f>MAX(0,T178-I178)</f>
        <v/>
      </c>
      <c r="V178" s="160">
        <f>G178+O178*'NM Play'!$B$13-N178*'NM Play'!$B$11</f>
        <v/>
      </c>
      <c r="W178" s="160">
        <f>H178+P178*'NM Play'!$B$14-N178*'NM Play'!$B$12</f>
        <v/>
      </c>
      <c r="X178" s="160">
        <f>I178+U178-T178</f>
        <v/>
      </c>
      <c r="Y178" s="160">
        <f>MIN(N178,MAX(0,ROUNDDOWN('Sites'!$N$7*'Cases'!$E$7,0)-SUM(Y174:Y177)))</f>
        <v/>
      </c>
      <c r="Z178" s="160">
        <f>N178-Y178</f>
        <v/>
      </c>
      <c r="AA178" s="160">
        <f>U178*'NM Play'!$B$22</f>
        <v/>
      </c>
      <c r="AB178" s="160">
        <f>N178*SUM('NM Play'!$B$29:$B$31)</f>
        <v/>
      </c>
      <c r="AC178" s="160">
        <f>IF('Sites'!$C$7="Defy legs",P178*'NM Play'!$B$14/'NM Play'!$B$12*'NM Play'!$B$28,0)</f>
        <v/>
      </c>
      <c r="AD178" s="160">
        <f>Q178*'NM Play'!$B$23</f>
        <v/>
      </c>
      <c r="AE178" s="160">
        <f>S178*SUM('NM Play'!$B$26,'NM Play'!$B$33:$B$34)</f>
        <v/>
      </c>
      <c r="AF178" s="160">
        <f>IF('Sites'!$D$7="NM crew",S178*SUM('NM Play'!$B$24:$B$25),0)</f>
        <v/>
      </c>
      <c r="AG178" s="160">
        <f>IF('Sites'!$D$7="NM crew",S178*'NM Play'!$B$27,0)</f>
        <v/>
      </c>
      <c r="AH178" s="160">
        <f>N178*'Sites'!$Z$7*'NM Play'!$B$32</f>
        <v/>
      </c>
      <c r="AI178" s="160">
        <f>SUM(Y178:Z178)*'Sites'!$R$7</f>
        <v/>
      </c>
      <c r="AJ178" s="160">
        <f>SUM(AA178:AH178)</f>
        <v/>
      </c>
      <c r="AK178" s="160">
        <f>AJ178+(T178-U178)*'NM Play'!$B$22+MIN(G178,N178*'NM Play'!$B$11)/'NM Play'!$B$13*'NM Play'!$B$21*'NM Play'!$B$22+MIN(H178,N178*'NM Play'!$B$12)/'NM Play'!$B$14*IF('Sites'!$C$7="Own sheets",'NM Play'!$B$21*'NM Play'!$B$22,'NM Play'!$B$28*'NM Play'!$B$14/'NM Play'!$B$12)</f>
        <v/>
      </c>
      <c r="AL178" s="160">
        <f>Y178*'Assumptions'!AF66</f>
        <v/>
      </c>
      <c r="AM178" s="160">
        <f>IF('Sites'!$D$7="NM crew",S178*'NM Play'!$B$37*(1+IF(AND(ISNUMBER('NM Play'!$B$25),'NM Play'!$B$25&gt;0),1,0)),"")</f>
        <v/>
      </c>
      <c r="AN178" s="160">
        <f>IF(OR('Sites'!$E$7&lt;0,'Sites'!$E$7&gt;1,'Sites'!$F$7&lt;1,'Sites'!$G$7&lt;'Sites'!$F$7,F178&lt;0,MIN('Sites'!$I$7:'Sites'!$R$7)&lt;0,'Sites'!$L$7&gt;'Sites'!$I$7,'Sites'!$M$7&gt;'Sites'!$J$7,'Sites'!$N$7&gt;'Sites'!$K$7,'Sites'!$Z$7&lt;0,'Sites'!$Z$7&gt;1,MIN('Sites'!$AA$7:'Sites'!$AC$7)&lt;0,S178&gt;F178+0.001),1,0)</f>
        <v/>
      </c>
      <c r="AO178" s="160">
        <f>I178+U178-T178-X178</f>
        <v/>
      </c>
    </row>
    <row r="179" ht="28" customHeight="1">
      <c r="A179" s="4" t="inlineStr">
        <is>
          <t>Smaller</t>
        </is>
      </c>
      <c r="B179" s="4" t="inlineStr">
        <is>
          <t>NEW1</t>
        </is>
      </c>
      <c r="C179" s="160" t="n">
        <v>30</v>
      </c>
      <c r="D179" s="160">
        <f>ROUNDUP(C179/12,0)</f>
        <v/>
      </c>
      <c r="E179" s="160">
        <f>IF(AND('Sites'!$E$7=1,C179&gt;='Sites'!$F$7+'Cases'!$G$7,C179&lt;='Sites'!$G$7),1,0)</f>
        <v/>
      </c>
      <c r="F179" s="160">
        <f>E179*'Assumptions'!AG68</f>
        <v/>
      </c>
      <c r="G179" s="160">
        <f>V178</f>
        <v/>
      </c>
      <c r="H179" s="160">
        <f>W178</f>
        <v/>
      </c>
      <c r="I179" s="160">
        <f>X178</f>
        <v/>
      </c>
      <c r="J179" s="160">
        <f>MAX(0,'Sites'!$K$7-SUM(N174:N178))</f>
        <v/>
      </c>
      <c r="K179" s="160">
        <f>IF('Sites'!$C$7="Own sheets",MIN(ROUNDDOWN(G179/'NM Play'!$B$11,0)+F179*'NM Play'!$B$10/'NM Play'!$B$43,ROUNDDOWN(H179/'NM Play'!$B$12,0)+F179*'NM Play'!$B$10/'NM Play'!$B$44,(F179*'NM Play'!$B$10+ROUNDDOWN(G179/'NM Play'!$B$11,0)*'NM Play'!$B$43+ROUNDDOWN(H179/'NM Play'!$B$12,0)*'NM Play'!$B$44)/('NM Play'!$B$43+'NM Play'!$B$44)),ROUNDDOWN(G179/'NM Play'!$B$11,0)+F179*'NM Play'!$B$10/'NM Play'!$B$43)</f>
        <v/>
      </c>
      <c r="L179" s="160">
        <f>MIN(ROUNDDOWN(G179/'NM Play'!$B$11,0)+F179/('NM Play'!$B$43/'NM Play'!$B$15),ROUNDDOWN(H179/'NM Play'!$B$12,0)+F179/('NM Play'!$B$44/'NM Play'!$B$16),(F179+ROUNDDOWN(G179/'NM Play'!$B$11,0)*'NM Play'!$B$43/'NM Play'!$B$15+ROUNDDOWN(H179/'NM Play'!$B$12,0)*'NM Play'!$B$44/'NM Play'!$B$16)/('NM Play'!$B$43/'NM Play'!$B$15+'NM Play'!$B$44/'NM Play'!$B$16))</f>
        <v/>
      </c>
      <c r="M179" s="160">
        <f>F179*'NM Play'!$B$36</f>
        <v/>
      </c>
      <c r="N179" s="160">
        <f>ROUNDDOWN(MAX(0,MIN(J179,K179:M179)),0)</f>
        <v/>
      </c>
      <c r="O179" s="160">
        <f>ROUNDUP(MAX(0,N179*'NM Play'!$B$11-G179)/'NM Play'!$B$13,0)</f>
        <v/>
      </c>
      <c r="P179" s="160">
        <f>ROUNDUP(MAX(0,N179*'NM Play'!$B$12-H179)/'NM Play'!$B$14,0)</f>
        <v/>
      </c>
      <c r="Q179" s="160">
        <f>(O179+IF('Sites'!$C$7="Own sheets",P179,0))/'NM Play'!$B$10</f>
        <v/>
      </c>
      <c r="R179" s="160">
        <f>O179/'NM Play'!$B$15+P179/'NM Play'!$B$16</f>
        <v/>
      </c>
      <c r="S179" s="160">
        <f>MAX(Q179,R179,N179/'NM Play'!$B$36)</f>
        <v/>
      </c>
      <c r="T179" s="160">
        <f>Q179*'NM Play'!$B$10*'NM Play'!$B$21*(1+'NM Play'!$B$35)</f>
        <v/>
      </c>
      <c r="U179" s="160">
        <f>MAX(0,T179-I179)</f>
        <v/>
      </c>
      <c r="V179" s="160">
        <f>G179+O179*'NM Play'!$B$13-N179*'NM Play'!$B$11</f>
        <v/>
      </c>
      <c r="W179" s="160">
        <f>H179+P179*'NM Play'!$B$14-N179*'NM Play'!$B$12</f>
        <v/>
      </c>
      <c r="X179" s="160">
        <f>I179+U179-T179</f>
        <v/>
      </c>
      <c r="Y179" s="160">
        <f>MIN(N179,MAX(0,ROUNDDOWN('Sites'!$N$7*'Cases'!$E$7,0)-SUM(Y174:Y178)))</f>
        <v/>
      </c>
      <c r="Z179" s="160">
        <f>N179-Y179</f>
        <v/>
      </c>
      <c r="AA179" s="160">
        <f>U179*'NM Play'!$B$22</f>
        <v/>
      </c>
      <c r="AB179" s="160">
        <f>N179*SUM('NM Play'!$B$29:$B$31)</f>
        <v/>
      </c>
      <c r="AC179" s="160">
        <f>IF('Sites'!$C$7="Defy legs",P179*'NM Play'!$B$14/'NM Play'!$B$12*'NM Play'!$B$28,0)</f>
        <v/>
      </c>
      <c r="AD179" s="160">
        <f>Q179*'NM Play'!$B$23</f>
        <v/>
      </c>
      <c r="AE179" s="160">
        <f>S179*SUM('NM Play'!$B$26,'NM Play'!$B$33:$B$34)</f>
        <v/>
      </c>
      <c r="AF179" s="160">
        <f>IF('Sites'!$D$7="NM crew",S179*SUM('NM Play'!$B$24:$B$25),0)</f>
        <v/>
      </c>
      <c r="AG179" s="160">
        <f>IF('Sites'!$D$7="NM crew",S179*'NM Play'!$B$27,0)</f>
        <v/>
      </c>
      <c r="AH179" s="160">
        <f>N179*'Sites'!$Z$7*'NM Play'!$B$32</f>
        <v/>
      </c>
      <c r="AI179" s="160">
        <f>SUM(Y179:Z179)*'Sites'!$R$7</f>
        <v/>
      </c>
      <c r="AJ179" s="160">
        <f>SUM(AA179:AH179)</f>
        <v/>
      </c>
      <c r="AK179" s="160">
        <f>AJ179+(T179-U179)*'NM Play'!$B$22+MIN(G179,N179*'NM Play'!$B$11)/'NM Play'!$B$13*'NM Play'!$B$21*'NM Play'!$B$22+MIN(H179,N179*'NM Play'!$B$12)/'NM Play'!$B$14*IF('Sites'!$C$7="Own sheets",'NM Play'!$B$21*'NM Play'!$B$22,'NM Play'!$B$28*'NM Play'!$B$14/'NM Play'!$B$12)</f>
        <v/>
      </c>
      <c r="AL179" s="160">
        <f>Y179*'Assumptions'!AG66</f>
        <v/>
      </c>
      <c r="AM179" s="160">
        <f>IF('Sites'!$D$7="NM crew",S179*'NM Play'!$B$37*(1+IF(AND(ISNUMBER('NM Play'!$B$25),'NM Play'!$B$25&gt;0),1,0)),"")</f>
        <v/>
      </c>
      <c r="AN179" s="160">
        <f>IF(OR('Sites'!$E$7&lt;0,'Sites'!$E$7&gt;1,'Sites'!$F$7&lt;1,'Sites'!$G$7&lt;'Sites'!$F$7,F179&lt;0,MIN('Sites'!$I$7:'Sites'!$R$7)&lt;0,'Sites'!$L$7&gt;'Sites'!$I$7,'Sites'!$M$7&gt;'Sites'!$J$7,'Sites'!$N$7&gt;'Sites'!$K$7,'Sites'!$Z$7&lt;0,'Sites'!$Z$7&gt;1,MIN('Sites'!$AA$7:'Sites'!$AC$7)&lt;0,S179&gt;F179+0.001),1,0)</f>
        <v/>
      </c>
      <c r="AO179" s="160">
        <f>I179+U179-T179-X179</f>
        <v/>
      </c>
    </row>
    <row r="180" ht="28" customHeight="1">
      <c r="A180" s="4" t="inlineStr">
        <is>
          <t>Smaller</t>
        </is>
      </c>
      <c r="B180" s="4" t="inlineStr">
        <is>
          <t>NEW1</t>
        </is>
      </c>
      <c r="C180" s="160" t="n">
        <v>31</v>
      </c>
      <c r="D180" s="160">
        <f>ROUNDUP(C180/12,0)</f>
        <v/>
      </c>
      <c r="E180" s="160">
        <f>IF(AND('Sites'!$E$7=1,C180&gt;='Sites'!$F$7+'Cases'!$G$7,C180&lt;='Sites'!$G$7),1,0)</f>
        <v/>
      </c>
      <c r="F180" s="160">
        <f>E180*'Assumptions'!AH68</f>
        <v/>
      </c>
      <c r="G180" s="160">
        <f>V179</f>
        <v/>
      </c>
      <c r="H180" s="160">
        <f>W179</f>
        <v/>
      </c>
      <c r="I180" s="160">
        <f>X179</f>
        <v/>
      </c>
      <c r="J180" s="160">
        <f>MAX(0,'Sites'!$K$7-SUM(N174:N179))</f>
        <v/>
      </c>
      <c r="K180" s="160">
        <f>IF('Sites'!$C$7="Own sheets",MIN(ROUNDDOWN(G180/'NM Play'!$B$11,0)+F180*'NM Play'!$B$10/'NM Play'!$B$43,ROUNDDOWN(H180/'NM Play'!$B$12,0)+F180*'NM Play'!$B$10/'NM Play'!$B$44,(F180*'NM Play'!$B$10+ROUNDDOWN(G180/'NM Play'!$B$11,0)*'NM Play'!$B$43+ROUNDDOWN(H180/'NM Play'!$B$12,0)*'NM Play'!$B$44)/('NM Play'!$B$43+'NM Play'!$B$44)),ROUNDDOWN(G180/'NM Play'!$B$11,0)+F180*'NM Play'!$B$10/'NM Play'!$B$43)</f>
        <v/>
      </c>
      <c r="L180" s="160">
        <f>MIN(ROUNDDOWN(G180/'NM Play'!$B$11,0)+F180/('NM Play'!$B$43/'NM Play'!$B$15),ROUNDDOWN(H180/'NM Play'!$B$12,0)+F180/('NM Play'!$B$44/'NM Play'!$B$16),(F180+ROUNDDOWN(G180/'NM Play'!$B$11,0)*'NM Play'!$B$43/'NM Play'!$B$15+ROUNDDOWN(H180/'NM Play'!$B$12,0)*'NM Play'!$B$44/'NM Play'!$B$16)/('NM Play'!$B$43/'NM Play'!$B$15+'NM Play'!$B$44/'NM Play'!$B$16))</f>
        <v/>
      </c>
      <c r="M180" s="160">
        <f>F180*'NM Play'!$B$36</f>
        <v/>
      </c>
      <c r="N180" s="160">
        <f>ROUNDDOWN(MAX(0,MIN(J180,K180:M180)),0)</f>
        <v/>
      </c>
      <c r="O180" s="160">
        <f>ROUNDUP(MAX(0,N180*'NM Play'!$B$11-G180)/'NM Play'!$B$13,0)</f>
        <v/>
      </c>
      <c r="P180" s="160">
        <f>ROUNDUP(MAX(0,N180*'NM Play'!$B$12-H180)/'NM Play'!$B$14,0)</f>
        <v/>
      </c>
      <c r="Q180" s="160">
        <f>(O180+IF('Sites'!$C$7="Own sheets",P180,0))/'NM Play'!$B$10</f>
        <v/>
      </c>
      <c r="R180" s="160">
        <f>O180/'NM Play'!$B$15+P180/'NM Play'!$B$16</f>
        <v/>
      </c>
      <c r="S180" s="160">
        <f>MAX(Q180,R180,N180/'NM Play'!$B$36)</f>
        <v/>
      </c>
      <c r="T180" s="160">
        <f>Q180*'NM Play'!$B$10*'NM Play'!$B$21*(1+'NM Play'!$B$35)</f>
        <v/>
      </c>
      <c r="U180" s="160">
        <f>MAX(0,T180-I180)</f>
        <v/>
      </c>
      <c r="V180" s="160">
        <f>G180+O180*'NM Play'!$B$13-N180*'NM Play'!$B$11</f>
        <v/>
      </c>
      <c r="W180" s="160">
        <f>H180+P180*'NM Play'!$B$14-N180*'NM Play'!$B$12</f>
        <v/>
      </c>
      <c r="X180" s="160">
        <f>I180+U180-T180</f>
        <v/>
      </c>
      <c r="Y180" s="160">
        <f>MIN(N180,MAX(0,ROUNDDOWN('Sites'!$N$7*'Cases'!$E$7,0)-SUM(Y174:Y179)))</f>
        <v/>
      </c>
      <c r="Z180" s="160">
        <f>N180-Y180</f>
        <v/>
      </c>
      <c r="AA180" s="160">
        <f>U180*'NM Play'!$B$22</f>
        <v/>
      </c>
      <c r="AB180" s="160">
        <f>N180*SUM('NM Play'!$B$29:$B$31)</f>
        <v/>
      </c>
      <c r="AC180" s="160">
        <f>IF('Sites'!$C$7="Defy legs",P180*'NM Play'!$B$14/'NM Play'!$B$12*'NM Play'!$B$28,0)</f>
        <v/>
      </c>
      <c r="AD180" s="160">
        <f>Q180*'NM Play'!$B$23</f>
        <v/>
      </c>
      <c r="AE180" s="160">
        <f>S180*SUM('NM Play'!$B$26,'NM Play'!$B$33:$B$34)</f>
        <v/>
      </c>
      <c r="AF180" s="160">
        <f>IF('Sites'!$D$7="NM crew",S180*SUM('NM Play'!$B$24:$B$25),0)</f>
        <v/>
      </c>
      <c r="AG180" s="160">
        <f>IF('Sites'!$D$7="NM crew",S180*'NM Play'!$B$27,0)</f>
        <v/>
      </c>
      <c r="AH180" s="160">
        <f>N180*'Sites'!$Z$7*'NM Play'!$B$32</f>
        <v/>
      </c>
      <c r="AI180" s="160">
        <f>SUM(Y180:Z180)*'Sites'!$R$7</f>
        <v/>
      </c>
      <c r="AJ180" s="160">
        <f>SUM(AA180:AH180)</f>
        <v/>
      </c>
      <c r="AK180" s="160">
        <f>AJ180+(T180-U180)*'NM Play'!$B$22+MIN(G180,N180*'NM Play'!$B$11)/'NM Play'!$B$13*'NM Play'!$B$21*'NM Play'!$B$22+MIN(H180,N180*'NM Play'!$B$12)/'NM Play'!$B$14*IF('Sites'!$C$7="Own sheets",'NM Play'!$B$21*'NM Play'!$B$22,'NM Play'!$B$28*'NM Play'!$B$14/'NM Play'!$B$12)</f>
        <v/>
      </c>
      <c r="AL180" s="160">
        <f>Y180*'Assumptions'!AH66</f>
        <v/>
      </c>
      <c r="AM180" s="160">
        <f>IF('Sites'!$D$7="NM crew",S180*'NM Play'!$B$37*(1+IF(AND(ISNUMBER('NM Play'!$B$25),'NM Play'!$B$25&gt;0),1,0)),"")</f>
        <v/>
      </c>
      <c r="AN180" s="160">
        <f>IF(OR('Sites'!$E$7&lt;0,'Sites'!$E$7&gt;1,'Sites'!$F$7&lt;1,'Sites'!$G$7&lt;'Sites'!$F$7,F180&lt;0,MIN('Sites'!$I$7:'Sites'!$R$7)&lt;0,'Sites'!$L$7&gt;'Sites'!$I$7,'Sites'!$M$7&gt;'Sites'!$J$7,'Sites'!$N$7&gt;'Sites'!$K$7,'Sites'!$Z$7&lt;0,'Sites'!$Z$7&gt;1,MIN('Sites'!$AA$7:'Sites'!$AC$7)&lt;0,S180&gt;F180+0.001),1,0)</f>
        <v/>
      </c>
      <c r="AO180" s="160">
        <f>I180+U180-T180-X180</f>
        <v/>
      </c>
    </row>
    <row r="181" ht="28" customHeight="1">
      <c r="A181" s="4" t="inlineStr">
        <is>
          <t>Smaller</t>
        </is>
      </c>
      <c r="B181" s="4" t="inlineStr">
        <is>
          <t>NEW1</t>
        </is>
      </c>
      <c r="C181" s="160" t="n">
        <v>32</v>
      </c>
      <c r="D181" s="160">
        <f>ROUNDUP(C181/12,0)</f>
        <v/>
      </c>
      <c r="E181" s="160">
        <f>IF(AND('Sites'!$E$7=1,C181&gt;='Sites'!$F$7+'Cases'!$G$7,C181&lt;='Sites'!$G$7),1,0)</f>
        <v/>
      </c>
      <c r="F181" s="160">
        <f>E181*'Assumptions'!AI68</f>
        <v/>
      </c>
      <c r="G181" s="160">
        <f>V180</f>
        <v/>
      </c>
      <c r="H181" s="160">
        <f>W180</f>
        <v/>
      </c>
      <c r="I181" s="160">
        <f>X180</f>
        <v/>
      </c>
      <c r="J181" s="160">
        <f>MAX(0,'Sites'!$K$7-SUM(N174:N180))</f>
        <v/>
      </c>
      <c r="K181" s="160">
        <f>IF('Sites'!$C$7="Own sheets",MIN(ROUNDDOWN(G181/'NM Play'!$B$11,0)+F181*'NM Play'!$B$10/'NM Play'!$B$43,ROUNDDOWN(H181/'NM Play'!$B$12,0)+F181*'NM Play'!$B$10/'NM Play'!$B$44,(F181*'NM Play'!$B$10+ROUNDDOWN(G181/'NM Play'!$B$11,0)*'NM Play'!$B$43+ROUNDDOWN(H181/'NM Play'!$B$12,0)*'NM Play'!$B$44)/('NM Play'!$B$43+'NM Play'!$B$44)),ROUNDDOWN(G181/'NM Play'!$B$11,0)+F181*'NM Play'!$B$10/'NM Play'!$B$43)</f>
        <v/>
      </c>
      <c r="L181" s="160">
        <f>MIN(ROUNDDOWN(G181/'NM Play'!$B$11,0)+F181/('NM Play'!$B$43/'NM Play'!$B$15),ROUNDDOWN(H181/'NM Play'!$B$12,0)+F181/('NM Play'!$B$44/'NM Play'!$B$16),(F181+ROUNDDOWN(G181/'NM Play'!$B$11,0)*'NM Play'!$B$43/'NM Play'!$B$15+ROUNDDOWN(H181/'NM Play'!$B$12,0)*'NM Play'!$B$44/'NM Play'!$B$16)/('NM Play'!$B$43/'NM Play'!$B$15+'NM Play'!$B$44/'NM Play'!$B$16))</f>
        <v/>
      </c>
      <c r="M181" s="160">
        <f>F181*'NM Play'!$B$36</f>
        <v/>
      </c>
      <c r="N181" s="160">
        <f>ROUNDDOWN(MAX(0,MIN(J181,K181:M181)),0)</f>
        <v/>
      </c>
      <c r="O181" s="160">
        <f>ROUNDUP(MAX(0,N181*'NM Play'!$B$11-G181)/'NM Play'!$B$13,0)</f>
        <v/>
      </c>
      <c r="P181" s="160">
        <f>ROUNDUP(MAX(0,N181*'NM Play'!$B$12-H181)/'NM Play'!$B$14,0)</f>
        <v/>
      </c>
      <c r="Q181" s="160">
        <f>(O181+IF('Sites'!$C$7="Own sheets",P181,0))/'NM Play'!$B$10</f>
        <v/>
      </c>
      <c r="R181" s="160">
        <f>O181/'NM Play'!$B$15+P181/'NM Play'!$B$16</f>
        <v/>
      </c>
      <c r="S181" s="160">
        <f>MAX(Q181,R181,N181/'NM Play'!$B$36)</f>
        <v/>
      </c>
      <c r="T181" s="160">
        <f>Q181*'NM Play'!$B$10*'NM Play'!$B$21*(1+'NM Play'!$B$35)</f>
        <v/>
      </c>
      <c r="U181" s="160">
        <f>MAX(0,T181-I181)</f>
        <v/>
      </c>
      <c r="V181" s="160">
        <f>G181+O181*'NM Play'!$B$13-N181*'NM Play'!$B$11</f>
        <v/>
      </c>
      <c r="W181" s="160">
        <f>H181+P181*'NM Play'!$B$14-N181*'NM Play'!$B$12</f>
        <v/>
      </c>
      <c r="X181" s="160">
        <f>I181+U181-T181</f>
        <v/>
      </c>
      <c r="Y181" s="160">
        <f>MIN(N181,MAX(0,ROUNDDOWN('Sites'!$N$7*'Cases'!$E$7,0)-SUM(Y174:Y180)))</f>
        <v/>
      </c>
      <c r="Z181" s="160">
        <f>N181-Y181</f>
        <v/>
      </c>
      <c r="AA181" s="160">
        <f>U181*'NM Play'!$B$22</f>
        <v/>
      </c>
      <c r="AB181" s="160">
        <f>N181*SUM('NM Play'!$B$29:$B$31)</f>
        <v/>
      </c>
      <c r="AC181" s="160">
        <f>IF('Sites'!$C$7="Defy legs",P181*'NM Play'!$B$14/'NM Play'!$B$12*'NM Play'!$B$28,0)</f>
        <v/>
      </c>
      <c r="AD181" s="160">
        <f>Q181*'NM Play'!$B$23</f>
        <v/>
      </c>
      <c r="AE181" s="160">
        <f>S181*SUM('NM Play'!$B$26,'NM Play'!$B$33:$B$34)</f>
        <v/>
      </c>
      <c r="AF181" s="160">
        <f>IF('Sites'!$D$7="NM crew",S181*SUM('NM Play'!$B$24:$B$25),0)</f>
        <v/>
      </c>
      <c r="AG181" s="160">
        <f>IF('Sites'!$D$7="NM crew",S181*'NM Play'!$B$27,0)</f>
        <v/>
      </c>
      <c r="AH181" s="160">
        <f>N181*'Sites'!$Z$7*'NM Play'!$B$32</f>
        <v/>
      </c>
      <c r="AI181" s="160">
        <f>SUM(Y181:Z181)*'Sites'!$R$7</f>
        <v/>
      </c>
      <c r="AJ181" s="160">
        <f>SUM(AA181:AH181)</f>
        <v/>
      </c>
      <c r="AK181" s="160">
        <f>AJ181+(T181-U181)*'NM Play'!$B$22+MIN(G181,N181*'NM Play'!$B$11)/'NM Play'!$B$13*'NM Play'!$B$21*'NM Play'!$B$22+MIN(H181,N181*'NM Play'!$B$12)/'NM Play'!$B$14*IF('Sites'!$C$7="Own sheets",'NM Play'!$B$21*'NM Play'!$B$22,'NM Play'!$B$28*'NM Play'!$B$14/'NM Play'!$B$12)</f>
        <v/>
      </c>
      <c r="AL181" s="160">
        <f>Y181*'Assumptions'!AI66</f>
        <v/>
      </c>
      <c r="AM181" s="160">
        <f>IF('Sites'!$D$7="NM crew",S181*'NM Play'!$B$37*(1+IF(AND(ISNUMBER('NM Play'!$B$25),'NM Play'!$B$25&gt;0),1,0)),"")</f>
        <v/>
      </c>
      <c r="AN181" s="160">
        <f>IF(OR('Sites'!$E$7&lt;0,'Sites'!$E$7&gt;1,'Sites'!$F$7&lt;1,'Sites'!$G$7&lt;'Sites'!$F$7,F181&lt;0,MIN('Sites'!$I$7:'Sites'!$R$7)&lt;0,'Sites'!$L$7&gt;'Sites'!$I$7,'Sites'!$M$7&gt;'Sites'!$J$7,'Sites'!$N$7&gt;'Sites'!$K$7,'Sites'!$Z$7&lt;0,'Sites'!$Z$7&gt;1,MIN('Sites'!$AA$7:'Sites'!$AC$7)&lt;0,S181&gt;F181+0.001),1,0)</f>
        <v/>
      </c>
      <c r="AO181" s="160">
        <f>I181+U181-T181-X181</f>
        <v/>
      </c>
    </row>
    <row r="182" ht="28" customHeight="1">
      <c r="A182" s="4" t="inlineStr">
        <is>
          <t>Smaller</t>
        </is>
      </c>
      <c r="B182" s="4" t="inlineStr">
        <is>
          <t>NEW1</t>
        </is>
      </c>
      <c r="C182" s="160" t="n">
        <v>33</v>
      </c>
      <c r="D182" s="160">
        <f>ROUNDUP(C182/12,0)</f>
        <v/>
      </c>
      <c r="E182" s="160">
        <f>IF(AND('Sites'!$E$7=1,C182&gt;='Sites'!$F$7+'Cases'!$G$7,C182&lt;='Sites'!$G$7),1,0)</f>
        <v/>
      </c>
      <c r="F182" s="160">
        <f>E182*'Assumptions'!AJ68</f>
        <v/>
      </c>
      <c r="G182" s="160">
        <f>V181</f>
        <v/>
      </c>
      <c r="H182" s="160">
        <f>W181</f>
        <v/>
      </c>
      <c r="I182" s="160">
        <f>X181</f>
        <v/>
      </c>
      <c r="J182" s="160">
        <f>MAX(0,'Sites'!$K$7-SUM(N174:N181))</f>
        <v/>
      </c>
      <c r="K182" s="160">
        <f>IF('Sites'!$C$7="Own sheets",MIN(ROUNDDOWN(G182/'NM Play'!$B$11,0)+F182*'NM Play'!$B$10/'NM Play'!$B$43,ROUNDDOWN(H182/'NM Play'!$B$12,0)+F182*'NM Play'!$B$10/'NM Play'!$B$44,(F182*'NM Play'!$B$10+ROUNDDOWN(G182/'NM Play'!$B$11,0)*'NM Play'!$B$43+ROUNDDOWN(H182/'NM Play'!$B$12,0)*'NM Play'!$B$44)/('NM Play'!$B$43+'NM Play'!$B$44)),ROUNDDOWN(G182/'NM Play'!$B$11,0)+F182*'NM Play'!$B$10/'NM Play'!$B$43)</f>
        <v/>
      </c>
      <c r="L182" s="160">
        <f>MIN(ROUNDDOWN(G182/'NM Play'!$B$11,0)+F182/('NM Play'!$B$43/'NM Play'!$B$15),ROUNDDOWN(H182/'NM Play'!$B$12,0)+F182/('NM Play'!$B$44/'NM Play'!$B$16),(F182+ROUNDDOWN(G182/'NM Play'!$B$11,0)*'NM Play'!$B$43/'NM Play'!$B$15+ROUNDDOWN(H182/'NM Play'!$B$12,0)*'NM Play'!$B$44/'NM Play'!$B$16)/('NM Play'!$B$43/'NM Play'!$B$15+'NM Play'!$B$44/'NM Play'!$B$16))</f>
        <v/>
      </c>
      <c r="M182" s="160">
        <f>F182*'NM Play'!$B$36</f>
        <v/>
      </c>
      <c r="N182" s="160">
        <f>ROUNDDOWN(MAX(0,MIN(J182,K182:M182)),0)</f>
        <v/>
      </c>
      <c r="O182" s="160">
        <f>ROUNDUP(MAX(0,N182*'NM Play'!$B$11-G182)/'NM Play'!$B$13,0)</f>
        <v/>
      </c>
      <c r="P182" s="160">
        <f>ROUNDUP(MAX(0,N182*'NM Play'!$B$12-H182)/'NM Play'!$B$14,0)</f>
        <v/>
      </c>
      <c r="Q182" s="160">
        <f>(O182+IF('Sites'!$C$7="Own sheets",P182,0))/'NM Play'!$B$10</f>
        <v/>
      </c>
      <c r="R182" s="160">
        <f>O182/'NM Play'!$B$15+P182/'NM Play'!$B$16</f>
        <v/>
      </c>
      <c r="S182" s="160">
        <f>MAX(Q182,R182,N182/'NM Play'!$B$36)</f>
        <v/>
      </c>
      <c r="T182" s="160">
        <f>Q182*'NM Play'!$B$10*'NM Play'!$B$21*(1+'NM Play'!$B$35)</f>
        <v/>
      </c>
      <c r="U182" s="160">
        <f>MAX(0,T182-I182)</f>
        <v/>
      </c>
      <c r="V182" s="160">
        <f>G182+O182*'NM Play'!$B$13-N182*'NM Play'!$B$11</f>
        <v/>
      </c>
      <c r="W182" s="160">
        <f>H182+P182*'NM Play'!$B$14-N182*'NM Play'!$B$12</f>
        <v/>
      </c>
      <c r="X182" s="160">
        <f>I182+U182-T182</f>
        <v/>
      </c>
      <c r="Y182" s="160">
        <f>MIN(N182,MAX(0,ROUNDDOWN('Sites'!$N$7*'Cases'!$E$7,0)-SUM(Y174:Y181)))</f>
        <v/>
      </c>
      <c r="Z182" s="160">
        <f>N182-Y182</f>
        <v/>
      </c>
      <c r="AA182" s="160">
        <f>U182*'NM Play'!$B$22</f>
        <v/>
      </c>
      <c r="AB182" s="160">
        <f>N182*SUM('NM Play'!$B$29:$B$31)</f>
        <v/>
      </c>
      <c r="AC182" s="160">
        <f>IF('Sites'!$C$7="Defy legs",P182*'NM Play'!$B$14/'NM Play'!$B$12*'NM Play'!$B$28,0)</f>
        <v/>
      </c>
      <c r="AD182" s="160">
        <f>Q182*'NM Play'!$B$23</f>
        <v/>
      </c>
      <c r="AE182" s="160">
        <f>S182*SUM('NM Play'!$B$26,'NM Play'!$B$33:$B$34)</f>
        <v/>
      </c>
      <c r="AF182" s="160">
        <f>IF('Sites'!$D$7="NM crew",S182*SUM('NM Play'!$B$24:$B$25),0)</f>
        <v/>
      </c>
      <c r="AG182" s="160">
        <f>IF('Sites'!$D$7="NM crew",S182*'NM Play'!$B$27,0)</f>
        <v/>
      </c>
      <c r="AH182" s="160">
        <f>N182*'Sites'!$Z$7*'NM Play'!$B$32</f>
        <v/>
      </c>
      <c r="AI182" s="160">
        <f>SUM(Y182:Z182)*'Sites'!$R$7</f>
        <v/>
      </c>
      <c r="AJ182" s="160">
        <f>SUM(AA182:AH182)</f>
        <v/>
      </c>
      <c r="AK182" s="160">
        <f>AJ182+(T182-U182)*'NM Play'!$B$22+MIN(G182,N182*'NM Play'!$B$11)/'NM Play'!$B$13*'NM Play'!$B$21*'NM Play'!$B$22+MIN(H182,N182*'NM Play'!$B$12)/'NM Play'!$B$14*IF('Sites'!$C$7="Own sheets",'NM Play'!$B$21*'NM Play'!$B$22,'NM Play'!$B$28*'NM Play'!$B$14/'NM Play'!$B$12)</f>
        <v/>
      </c>
      <c r="AL182" s="160">
        <f>Y182*'Assumptions'!AJ66</f>
        <v/>
      </c>
      <c r="AM182" s="160">
        <f>IF('Sites'!$D$7="NM crew",S182*'NM Play'!$B$37*(1+IF(AND(ISNUMBER('NM Play'!$B$25),'NM Play'!$B$25&gt;0),1,0)),"")</f>
        <v/>
      </c>
      <c r="AN182" s="160">
        <f>IF(OR('Sites'!$E$7&lt;0,'Sites'!$E$7&gt;1,'Sites'!$F$7&lt;1,'Sites'!$G$7&lt;'Sites'!$F$7,F182&lt;0,MIN('Sites'!$I$7:'Sites'!$R$7)&lt;0,'Sites'!$L$7&gt;'Sites'!$I$7,'Sites'!$M$7&gt;'Sites'!$J$7,'Sites'!$N$7&gt;'Sites'!$K$7,'Sites'!$Z$7&lt;0,'Sites'!$Z$7&gt;1,MIN('Sites'!$AA$7:'Sites'!$AC$7)&lt;0,S182&gt;F182+0.001),1,0)</f>
        <v/>
      </c>
      <c r="AO182" s="160">
        <f>I182+U182-T182-X182</f>
        <v/>
      </c>
    </row>
    <row r="183" ht="28" customHeight="1">
      <c r="A183" s="4" t="inlineStr">
        <is>
          <t>Smaller</t>
        </is>
      </c>
      <c r="B183" s="4" t="inlineStr">
        <is>
          <t>NEW1</t>
        </is>
      </c>
      <c r="C183" s="160" t="n">
        <v>34</v>
      </c>
      <c r="D183" s="160">
        <f>ROUNDUP(C183/12,0)</f>
        <v/>
      </c>
      <c r="E183" s="160">
        <f>IF(AND('Sites'!$E$7=1,C183&gt;='Sites'!$F$7+'Cases'!$G$7,C183&lt;='Sites'!$G$7),1,0)</f>
        <v/>
      </c>
      <c r="F183" s="160">
        <f>E183*'Assumptions'!AK68</f>
        <v/>
      </c>
      <c r="G183" s="160">
        <f>V182</f>
        <v/>
      </c>
      <c r="H183" s="160">
        <f>W182</f>
        <v/>
      </c>
      <c r="I183" s="160">
        <f>X182</f>
        <v/>
      </c>
      <c r="J183" s="160">
        <f>MAX(0,'Sites'!$K$7-SUM(N174:N182))</f>
        <v/>
      </c>
      <c r="K183" s="160">
        <f>IF('Sites'!$C$7="Own sheets",MIN(ROUNDDOWN(G183/'NM Play'!$B$11,0)+F183*'NM Play'!$B$10/'NM Play'!$B$43,ROUNDDOWN(H183/'NM Play'!$B$12,0)+F183*'NM Play'!$B$10/'NM Play'!$B$44,(F183*'NM Play'!$B$10+ROUNDDOWN(G183/'NM Play'!$B$11,0)*'NM Play'!$B$43+ROUNDDOWN(H183/'NM Play'!$B$12,0)*'NM Play'!$B$44)/('NM Play'!$B$43+'NM Play'!$B$44)),ROUNDDOWN(G183/'NM Play'!$B$11,0)+F183*'NM Play'!$B$10/'NM Play'!$B$43)</f>
        <v/>
      </c>
      <c r="L183" s="160">
        <f>MIN(ROUNDDOWN(G183/'NM Play'!$B$11,0)+F183/('NM Play'!$B$43/'NM Play'!$B$15),ROUNDDOWN(H183/'NM Play'!$B$12,0)+F183/('NM Play'!$B$44/'NM Play'!$B$16),(F183+ROUNDDOWN(G183/'NM Play'!$B$11,0)*'NM Play'!$B$43/'NM Play'!$B$15+ROUNDDOWN(H183/'NM Play'!$B$12,0)*'NM Play'!$B$44/'NM Play'!$B$16)/('NM Play'!$B$43/'NM Play'!$B$15+'NM Play'!$B$44/'NM Play'!$B$16))</f>
        <v/>
      </c>
      <c r="M183" s="160">
        <f>F183*'NM Play'!$B$36</f>
        <v/>
      </c>
      <c r="N183" s="160">
        <f>ROUNDDOWN(MAX(0,MIN(J183,K183:M183)),0)</f>
        <v/>
      </c>
      <c r="O183" s="160">
        <f>ROUNDUP(MAX(0,N183*'NM Play'!$B$11-G183)/'NM Play'!$B$13,0)</f>
        <v/>
      </c>
      <c r="P183" s="160">
        <f>ROUNDUP(MAX(0,N183*'NM Play'!$B$12-H183)/'NM Play'!$B$14,0)</f>
        <v/>
      </c>
      <c r="Q183" s="160">
        <f>(O183+IF('Sites'!$C$7="Own sheets",P183,0))/'NM Play'!$B$10</f>
        <v/>
      </c>
      <c r="R183" s="160">
        <f>O183/'NM Play'!$B$15+P183/'NM Play'!$B$16</f>
        <v/>
      </c>
      <c r="S183" s="160">
        <f>MAX(Q183,R183,N183/'NM Play'!$B$36)</f>
        <v/>
      </c>
      <c r="T183" s="160">
        <f>Q183*'NM Play'!$B$10*'NM Play'!$B$21*(1+'NM Play'!$B$35)</f>
        <v/>
      </c>
      <c r="U183" s="160">
        <f>MAX(0,T183-I183)</f>
        <v/>
      </c>
      <c r="V183" s="160">
        <f>G183+O183*'NM Play'!$B$13-N183*'NM Play'!$B$11</f>
        <v/>
      </c>
      <c r="W183" s="160">
        <f>H183+P183*'NM Play'!$B$14-N183*'NM Play'!$B$12</f>
        <v/>
      </c>
      <c r="X183" s="160">
        <f>I183+U183-T183</f>
        <v/>
      </c>
      <c r="Y183" s="160">
        <f>MIN(N183,MAX(0,ROUNDDOWN('Sites'!$N$7*'Cases'!$E$7,0)-SUM(Y174:Y182)))</f>
        <v/>
      </c>
      <c r="Z183" s="160">
        <f>N183-Y183</f>
        <v/>
      </c>
      <c r="AA183" s="160">
        <f>U183*'NM Play'!$B$22</f>
        <v/>
      </c>
      <c r="AB183" s="160">
        <f>N183*SUM('NM Play'!$B$29:$B$31)</f>
        <v/>
      </c>
      <c r="AC183" s="160">
        <f>IF('Sites'!$C$7="Defy legs",P183*'NM Play'!$B$14/'NM Play'!$B$12*'NM Play'!$B$28,0)</f>
        <v/>
      </c>
      <c r="AD183" s="160">
        <f>Q183*'NM Play'!$B$23</f>
        <v/>
      </c>
      <c r="AE183" s="160">
        <f>S183*SUM('NM Play'!$B$26,'NM Play'!$B$33:$B$34)</f>
        <v/>
      </c>
      <c r="AF183" s="160">
        <f>IF('Sites'!$D$7="NM crew",S183*SUM('NM Play'!$B$24:$B$25),0)</f>
        <v/>
      </c>
      <c r="AG183" s="160">
        <f>IF('Sites'!$D$7="NM crew",S183*'NM Play'!$B$27,0)</f>
        <v/>
      </c>
      <c r="AH183" s="160">
        <f>N183*'Sites'!$Z$7*'NM Play'!$B$32</f>
        <v/>
      </c>
      <c r="AI183" s="160">
        <f>SUM(Y183:Z183)*'Sites'!$R$7</f>
        <v/>
      </c>
      <c r="AJ183" s="160">
        <f>SUM(AA183:AH183)</f>
        <v/>
      </c>
      <c r="AK183" s="160">
        <f>AJ183+(T183-U183)*'NM Play'!$B$22+MIN(G183,N183*'NM Play'!$B$11)/'NM Play'!$B$13*'NM Play'!$B$21*'NM Play'!$B$22+MIN(H183,N183*'NM Play'!$B$12)/'NM Play'!$B$14*IF('Sites'!$C$7="Own sheets",'NM Play'!$B$21*'NM Play'!$B$22,'NM Play'!$B$28*'NM Play'!$B$14/'NM Play'!$B$12)</f>
        <v/>
      </c>
      <c r="AL183" s="160">
        <f>Y183*'Assumptions'!AK66</f>
        <v/>
      </c>
      <c r="AM183" s="160">
        <f>IF('Sites'!$D$7="NM crew",S183*'NM Play'!$B$37*(1+IF(AND(ISNUMBER('NM Play'!$B$25),'NM Play'!$B$25&gt;0),1,0)),"")</f>
        <v/>
      </c>
      <c r="AN183" s="160">
        <f>IF(OR('Sites'!$E$7&lt;0,'Sites'!$E$7&gt;1,'Sites'!$F$7&lt;1,'Sites'!$G$7&lt;'Sites'!$F$7,F183&lt;0,MIN('Sites'!$I$7:'Sites'!$R$7)&lt;0,'Sites'!$L$7&gt;'Sites'!$I$7,'Sites'!$M$7&gt;'Sites'!$J$7,'Sites'!$N$7&gt;'Sites'!$K$7,'Sites'!$Z$7&lt;0,'Sites'!$Z$7&gt;1,MIN('Sites'!$AA$7:'Sites'!$AC$7)&lt;0,S183&gt;F183+0.001),1,0)</f>
        <v/>
      </c>
      <c r="AO183" s="160">
        <f>I183+U183-T183-X183</f>
        <v/>
      </c>
    </row>
    <row r="184" ht="28" customHeight="1">
      <c r="A184" s="4" t="inlineStr">
        <is>
          <t>Smaller</t>
        </is>
      </c>
      <c r="B184" s="4" t="inlineStr">
        <is>
          <t>NEW1</t>
        </is>
      </c>
      <c r="C184" s="160" t="n">
        <v>35</v>
      </c>
      <c r="D184" s="160">
        <f>ROUNDUP(C184/12,0)</f>
        <v/>
      </c>
      <c r="E184" s="160">
        <f>IF(AND('Sites'!$E$7=1,C184&gt;='Sites'!$F$7+'Cases'!$G$7,C184&lt;='Sites'!$G$7),1,0)</f>
        <v/>
      </c>
      <c r="F184" s="160">
        <f>E184*'Assumptions'!AL68</f>
        <v/>
      </c>
      <c r="G184" s="160">
        <f>V183</f>
        <v/>
      </c>
      <c r="H184" s="160">
        <f>W183</f>
        <v/>
      </c>
      <c r="I184" s="160">
        <f>X183</f>
        <v/>
      </c>
      <c r="J184" s="160">
        <f>MAX(0,'Sites'!$K$7-SUM(N174:N183))</f>
        <v/>
      </c>
      <c r="K184" s="160">
        <f>IF('Sites'!$C$7="Own sheets",MIN(ROUNDDOWN(G184/'NM Play'!$B$11,0)+F184*'NM Play'!$B$10/'NM Play'!$B$43,ROUNDDOWN(H184/'NM Play'!$B$12,0)+F184*'NM Play'!$B$10/'NM Play'!$B$44,(F184*'NM Play'!$B$10+ROUNDDOWN(G184/'NM Play'!$B$11,0)*'NM Play'!$B$43+ROUNDDOWN(H184/'NM Play'!$B$12,0)*'NM Play'!$B$44)/('NM Play'!$B$43+'NM Play'!$B$44)),ROUNDDOWN(G184/'NM Play'!$B$11,0)+F184*'NM Play'!$B$10/'NM Play'!$B$43)</f>
        <v/>
      </c>
      <c r="L184" s="160">
        <f>MIN(ROUNDDOWN(G184/'NM Play'!$B$11,0)+F184/('NM Play'!$B$43/'NM Play'!$B$15),ROUNDDOWN(H184/'NM Play'!$B$12,0)+F184/('NM Play'!$B$44/'NM Play'!$B$16),(F184+ROUNDDOWN(G184/'NM Play'!$B$11,0)*'NM Play'!$B$43/'NM Play'!$B$15+ROUNDDOWN(H184/'NM Play'!$B$12,0)*'NM Play'!$B$44/'NM Play'!$B$16)/('NM Play'!$B$43/'NM Play'!$B$15+'NM Play'!$B$44/'NM Play'!$B$16))</f>
        <v/>
      </c>
      <c r="M184" s="160">
        <f>F184*'NM Play'!$B$36</f>
        <v/>
      </c>
      <c r="N184" s="160">
        <f>ROUNDDOWN(MAX(0,MIN(J184,K184:M184)),0)</f>
        <v/>
      </c>
      <c r="O184" s="160">
        <f>ROUNDUP(MAX(0,N184*'NM Play'!$B$11-G184)/'NM Play'!$B$13,0)</f>
        <v/>
      </c>
      <c r="P184" s="160">
        <f>ROUNDUP(MAX(0,N184*'NM Play'!$B$12-H184)/'NM Play'!$B$14,0)</f>
        <v/>
      </c>
      <c r="Q184" s="160">
        <f>(O184+IF('Sites'!$C$7="Own sheets",P184,0))/'NM Play'!$B$10</f>
        <v/>
      </c>
      <c r="R184" s="160">
        <f>O184/'NM Play'!$B$15+P184/'NM Play'!$B$16</f>
        <v/>
      </c>
      <c r="S184" s="160">
        <f>MAX(Q184,R184,N184/'NM Play'!$B$36)</f>
        <v/>
      </c>
      <c r="T184" s="160">
        <f>Q184*'NM Play'!$B$10*'NM Play'!$B$21*(1+'NM Play'!$B$35)</f>
        <v/>
      </c>
      <c r="U184" s="160">
        <f>MAX(0,T184-I184)</f>
        <v/>
      </c>
      <c r="V184" s="160">
        <f>G184+O184*'NM Play'!$B$13-N184*'NM Play'!$B$11</f>
        <v/>
      </c>
      <c r="W184" s="160">
        <f>H184+P184*'NM Play'!$B$14-N184*'NM Play'!$B$12</f>
        <v/>
      </c>
      <c r="X184" s="160">
        <f>I184+U184-T184</f>
        <v/>
      </c>
      <c r="Y184" s="160">
        <f>MIN(N184,MAX(0,ROUNDDOWN('Sites'!$N$7*'Cases'!$E$7,0)-SUM(Y174:Y183)))</f>
        <v/>
      </c>
      <c r="Z184" s="160">
        <f>N184-Y184</f>
        <v/>
      </c>
      <c r="AA184" s="160">
        <f>U184*'NM Play'!$B$22</f>
        <v/>
      </c>
      <c r="AB184" s="160">
        <f>N184*SUM('NM Play'!$B$29:$B$31)</f>
        <v/>
      </c>
      <c r="AC184" s="160">
        <f>IF('Sites'!$C$7="Defy legs",P184*'NM Play'!$B$14/'NM Play'!$B$12*'NM Play'!$B$28,0)</f>
        <v/>
      </c>
      <c r="AD184" s="160">
        <f>Q184*'NM Play'!$B$23</f>
        <v/>
      </c>
      <c r="AE184" s="160">
        <f>S184*SUM('NM Play'!$B$26,'NM Play'!$B$33:$B$34)</f>
        <v/>
      </c>
      <c r="AF184" s="160">
        <f>IF('Sites'!$D$7="NM crew",S184*SUM('NM Play'!$B$24:$B$25),0)</f>
        <v/>
      </c>
      <c r="AG184" s="160">
        <f>IF('Sites'!$D$7="NM crew",S184*'NM Play'!$B$27,0)</f>
        <v/>
      </c>
      <c r="AH184" s="160">
        <f>N184*'Sites'!$Z$7*'NM Play'!$B$32</f>
        <v/>
      </c>
      <c r="AI184" s="160">
        <f>SUM(Y184:Z184)*'Sites'!$R$7</f>
        <v/>
      </c>
      <c r="AJ184" s="160">
        <f>SUM(AA184:AH184)</f>
        <v/>
      </c>
      <c r="AK184" s="160">
        <f>AJ184+(T184-U184)*'NM Play'!$B$22+MIN(G184,N184*'NM Play'!$B$11)/'NM Play'!$B$13*'NM Play'!$B$21*'NM Play'!$B$22+MIN(H184,N184*'NM Play'!$B$12)/'NM Play'!$B$14*IF('Sites'!$C$7="Own sheets",'NM Play'!$B$21*'NM Play'!$B$22,'NM Play'!$B$28*'NM Play'!$B$14/'NM Play'!$B$12)</f>
        <v/>
      </c>
      <c r="AL184" s="160">
        <f>Y184*'Assumptions'!AL66</f>
        <v/>
      </c>
      <c r="AM184" s="160">
        <f>IF('Sites'!$D$7="NM crew",S184*'NM Play'!$B$37*(1+IF(AND(ISNUMBER('NM Play'!$B$25),'NM Play'!$B$25&gt;0),1,0)),"")</f>
        <v/>
      </c>
      <c r="AN184" s="160">
        <f>IF(OR('Sites'!$E$7&lt;0,'Sites'!$E$7&gt;1,'Sites'!$F$7&lt;1,'Sites'!$G$7&lt;'Sites'!$F$7,F184&lt;0,MIN('Sites'!$I$7:'Sites'!$R$7)&lt;0,'Sites'!$L$7&gt;'Sites'!$I$7,'Sites'!$M$7&gt;'Sites'!$J$7,'Sites'!$N$7&gt;'Sites'!$K$7,'Sites'!$Z$7&lt;0,'Sites'!$Z$7&gt;1,MIN('Sites'!$AA$7:'Sites'!$AC$7)&lt;0,S184&gt;F184+0.001),1,0)</f>
        <v/>
      </c>
      <c r="AO184" s="160">
        <f>I184+U184-T184-X184</f>
        <v/>
      </c>
    </row>
    <row r="185" ht="28" customHeight="1">
      <c r="A185" s="4" t="inlineStr">
        <is>
          <t>Smaller</t>
        </is>
      </c>
      <c r="B185" s="4" t="inlineStr">
        <is>
          <t>NEW1</t>
        </is>
      </c>
      <c r="C185" s="160" t="n">
        <v>36</v>
      </c>
      <c r="D185" s="160">
        <f>ROUNDUP(C185/12,0)</f>
        <v/>
      </c>
      <c r="E185" s="160">
        <f>IF(AND('Sites'!$E$7=1,C185&gt;='Sites'!$F$7+'Cases'!$G$7,C185&lt;='Sites'!$G$7),1,0)</f>
        <v/>
      </c>
      <c r="F185" s="160">
        <f>E185*'Assumptions'!AM68</f>
        <v/>
      </c>
      <c r="G185" s="160">
        <f>V184</f>
        <v/>
      </c>
      <c r="H185" s="160">
        <f>W184</f>
        <v/>
      </c>
      <c r="I185" s="160">
        <f>X184</f>
        <v/>
      </c>
      <c r="J185" s="160">
        <f>MAX(0,'Sites'!$K$7-SUM(N174:N184))</f>
        <v/>
      </c>
      <c r="K185" s="160">
        <f>IF('Sites'!$C$7="Own sheets",MIN(ROUNDDOWN(G185/'NM Play'!$B$11,0)+F185*'NM Play'!$B$10/'NM Play'!$B$43,ROUNDDOWN(H185/'NM Play'!$B$12,0)+F185*'NM Play'!$B$10/'NM Play'!$B$44,(F185*'NM Play'!$B$10+ROUNDDOWN(G185/'NM Play'!$B$11,0)*'NM Play'!$B$43+ROUNDDOWN(H185/'NM Play'!$B$12,0)*'NM Play'!$B$44)/('NM Play'!$B$43+'NM Play'!$B$44)),ROUNDDOWN(G185/'NM Play'!$B$11,0)+F185*'NM Play'!$B$10/'NM Play'!$B$43)</f>
        <v/>
      </c>
      <c r="L185" s="160">
        <f>MIN(ROUNDDOWN(G185/'NM Play'!$B$11,0)+F185/('NM Play'!$B$43/'NM Play'!$B$15),ROUNDDOWN(H185/'NM Play'!$B$12,0)+F185/('NM Play'!$B$44/'NM Play'!$B$16),(F185+ROUNDDOWN(G185/'NM Play'!$B$11,0)*'NM Play'!$B$43/'NM Play'!$B$15+ROUNDDOWN(H185/'NM Play'!$B$12,0)*'NM Play'!$B$44/'NM Play'!$B$16)/('NM Play'!$B$43/'NM Play'!$B$15+'NM Play'!$B$44/'NM Play'!$B$16))</f>
        <v/>
      </c>
      <c r="M185" s="160">
        <f>F185*'NM Play'!$B$36</f>
        <v/>
      </c>
      <c r="N185" s="160">
        <f>ROUNDDOWN(MAX(0,MIN(J185,K185:M185)),0)</f>
        <v/>
      </c>
      <c r="O185" s="160">
        <f>ROUNDUP(MAX(0,N185*'NM Play'!$B$11-G185)/'NM Play'!$B$13,0)</f>
        <v/>
      </c>
      <c r="P185" s="160">
        <f>ROUNDUP(MAX(0,N185*'NM Play'!$B$12-H185)/'NM Play'!$B$14,0)</f>
        <v/>
      </c>
      <c r="Q185" s="160">
        <f>(O185+IF('Sites'!$C$7="Own sheets",P185,0))/'NM Play'!$B$10</f>
        <v/>
      </c>
      <c r="R185" s="160">
        <f>O185/'NM Play'!$B$15+P185/'NM Play'!$B$16</f>
        <v/>
      </c>
      <c r="S185" s="160">
        <f>MAX(Q185,R185,N185/'NM Play'!$B$36)</f>
        <v/>
      </c>
      <c r="T185" s="160">
        <f>Q185*'NM Play'!$B$10*'NM Play'!$B$21*(1+'NM Play'!$B$35)</f>
        <v/>
      </c>
      <c r="U185" s="160">
        <f>MAX(0,T185-I185)</f>
        <v/>
      </c>
      <c r="V185" s="160">
        <f>G185+O185*'NM Play'!$B$13-N185*'NM Play'!$B$11</f>
        <v/>
      </c>
      <c r="W185" s="160">
        <f>H185+P185*'NM Play'!$B$14-N185*'NM Play'!$B$12</f>
        <v/>
      </c>
      <c r="X185" s="160">
        <f>I185+U185-T185</f>
        <v/>
      </c>
      <c r="Y185" s="160">
        <f>MIN(N185,MAX(0,ROUNDDOWN('Sites'!$N$7*'Cases'!$E$7,0)-SUM(Y174:Y184)))</f>
        <v/>
      </c>
      <c r="Z185" s="160">
        <f>N185-Y185</f>
        <v/>
      </c>
      <c r="AA185" s="160">
        <f>U185*'NM Play'!$B$22</f>
        <v/>
      </c>
      <c r="AB185" s="160">
        <f>N185*SUM('NM Play'!$B$29:$B$31)</f>
        <v/>
      </c>
      <c r="AC185" s="160">
        <f>IF('Sites'!$C$7="Defy legs",P185*'NM Play'!$B$14/'NM Play'!$B$12*'NM Play'!$B$28,0)</f>
        <v/>
      </c>
      <c r="AD185" s="160">
        <f>Q185*'NM Play'!$B$23</f>
        <v/>
      </c>
      <c r="AE185" s="160">
        <f>S185*SUM('NM Play'!$B$26,'NM Play'!$B$33:$B$34)</f>
        <v/>
      </c>
      <c r="AF185" s="160">
        <f>IF('Sites'!$D$7="NM crew",S185*SUM('NM Play'!$B$24:$B$25),0)</f>
        <v/>
      </c>
      <c r="AG185" s="160">
        <f>IF('Sites'!$D$7="NM crew",S185*'NM Play'!$B$27,0)</f>
        <v/>
      </c>
      <c r="AH185" s="160">
        <f>N185*'Sites'!$Z$7*'NM Play'!$B$32</f>
        <v/>
      </c>
      <c r="AI185" s="160">
        <f>SUM(Y185:Z185)*'Sites'!$R$7</f>
        <v/>
      </c>
      <c r="AJ185" s="160">
        <f>SUM(AA185:AH185)</f>
        <v/>
      </c>
      <c r="AK185" s="160">
        <f>AJ185+(T185-U185)*'NM Play'!$B$22+MIN(G185,N185*'NM Play'!$B$11)/'NM Play'!$B$13*'NM Play'!$B$21*'NM Play'!$B$22+MIN(H185,N185*'NM Play'!$B$12)/'NM Play'!$B$14*IF('Sites'!$C$7="Own sheets",'NM Play'!$B$21*'NM Play'!$B$22,'NM Play'!$B$28*'NM Play'!$B$14/'NM Play'!$B$12)</f>
        <v/>
      </c>
      <c r="AL185" s="160">
        <f>Y185*'Assumptions'!AM66</f>
        <v/>
      </c>
      <c r="AM185" s="160">
        <f>IF('Sites'!$D$7="NM crew",S185*'NM Play'!$B$37*(1+IF(AND(ISNUMBER('NM Play'!$B$25),'NM Play'!$B$25&gt;0),1,0)),"")</f>
        <v/>
      </c>
      <c r="AN185" s="160">
        <f>IF(OR('Sites'!$E$7&lt;0,'Sites'!$E$7&gt;1,'Sites'!$F$7&lt;1,'Sites'!$G$7&lt;'Sites'!$F$7,F185&lt;0,MIN('Sites'!$I$7:'Sites'!$R$7)&lt;0,'Sites'!$L$7&gt;'Sites'!$I$7,'Sites'!$M$7&gt;'Sites'!$J$7,'Sites'!$N$7&gt;'Sites'!$K$7,'Sites'!$Z$7&lt;0,'Sites'!$Z$7&gt;1,MIN('Sites'!$AA$7:'Sites'!$AC$7)&lt;0,S185&gt;F185+0.001),1,0)</f>
        <v/>
      </c>
      <c r="AO185" s="160">
        <f>I185+U185-T185-X185</f>
        <v/>
      </c>
    </row>
    <row r="186" ht="28" customHeight="1">
      <c r="A186" s="4" t="inlineStr">
        <is>
          <t>Smaller</t>
        </is>
      </c>
      <c r="B186" s="4" t="inlineStr">
        <is>
          <t>NEW2</t>
        </is>
      </c>
      <c r="C186" s="160" t="n">
        <v>1</v>
      </c>
      <c r="D186" s="160">
        <f>ROUNDUP(C186/12,0)</f>
        <v/>
      </c>
      <c r="E186" s="160">
        <f>IF(AND('Sites'!$E$8*'Cases'!$F$7=1,C186&gt;='Sites'!$F$8+'Cases'!$G$7,C186&lt;='Sites'!$G$8),1,0)</f>
        <v/>
      </c>
      <c r="F186" s="160">
        <f>E186*'Assumptions'!D69</f>
        <v/>
      </c>
      <c r="G186" s="160">
        <f>'Sites'!$AA$8</f>
        <v/>
      </c>
      <c r="H186" s="160">
        <f>'Sites'!$AB$8</f>
        <v/>
      </c>
      <c r="I186" s="160">
        <f>'Sites'!$AC$8</f>
        <v/>
      </c>
      <c r="J186" s="160">
        <f>MAX(0,'Sites'!$I$8-0)</f>
        <v/>
      </c>
      <c r="K186" s="160">
        <f>IF('Sites'!$C$8="Own sheets",MIN(ROUNDDOWN(G186/'NM Play'!$B$11,0)+F186*'NM Play'!$B$10/'NM Play'!$B$43,ROUNDDOWN(H186/'NM Play'!$B$12,0)+F186*'NM Play'!$B$10/'NM Play'!$B$44,(F186*'NM Play'!$B$10+ROUNDDOWN(G186/'NM Play'!$B$11,0)*'NM Play'!$B$43+ROUNDDOWN(H186/'NM Play'!$B$12,0)*'NM Play'!$B$44)/('NM Play'!$B$43+'NM Play'!$B$44)),ROUNDDOWN(G186/'NM Play'!$B$11,0)+F186*'NM Play'!$B$10/'NM Play'!$B$43)</f>
        <v/>
      </c>
      <c r="L186" s="160">
        <f>MIN(ROUNDDOWN(G186/'NM Play'!$B$11,0)+F186/('NM Play'!$B$43/'NM Play'!$B$15),ROUNDDOWN(H186/'NM Play'!$B$12,0)+F186/('NM Play'!$B$44/'NM Play'!$B$16),(F186+ROUNDDOWN(G186/'NM Play'!$B$11,0)*'NM Play'!$B$43/'NM Play'!$B$15+ROUNDDOWN(H186/'NM Play'!$B$12,0)*'NM Play'!$B$44/'NM Play'!$B$16)/('NM Play'!$B$43/'NM Play'!$B$15+'NM Play'!$B$44/'NM Play'!$B$16))</f>
        <v/>
      </c>
      <c r="M186" s="160">
        <f>F186*'NM Play'!$B$36</f>
        <v/>
      </c>
      <c r="N186" s="160">
        <f>ROUNDDOWN(MAX(0,MIN(J186,K186:M186)),0)</f>
        <v/>
      </c>
      <c r="O186" s="160">
        <f>ROUNDUP(MAX(0,N186*'NM Play'!$B$11-G186)/'NM Play'!$B$13,0)</f>
        <v/>
      </c>
      <c r="P186" s="160">
        <f>ROUNDUP(MAX(0,N186*'NM Play'!$B$12-H186)/'NM Play'!$B$14,0)</f>
        <v/>
      </c>
      <c r="Q186" s="160">
        <f>(O186+IF('Sites'!$C$8="Own sheets",P186,0))/'NM Play'!$B$10</f>
        <v/>
      </c>
      <c r="R186" s="160">
        <f>O186/'NM Play'!$B$15+P186/'NM Play'!$B$16</f>
        <v/>
      </c>
      <c r="S186" s="160">
        <f>MAX(Q186,R186,N186/'NM Play'!$B$36)</f>
        <v/>
      </c>
      <c r="T186" s="160">
        <f>Q186*'NM Play'!$B$10*'NM Play'!$B$21*(1+'NM Play'!$B$35)</f>
        <v/>
      </c>
      <c r="U186" s="160">
        <f>MAX(0,T186-I186)</f>
        <v/>
      </c>
      <c r="V186" s="160">
        <f>G186+O186*'NM Play'!$B$13-N186*'NM Play'!$B$11</f>
        <v/>
      </c>
      <c r="W186" s="160">
        <f>H186+P186*'NM Play'!$B$14-N186*'NM Play'!$B$12</f>
        <v/>
      </c>
      <c r="X186" s="160">
        <f>I186+U186-T186</f>
        <v/>
      </c>
      <c r="Y186" s="160">
        <f>MIN(N186,MAX(0,ROUNDDOWN('Sites'!$L$8*'Cases'!$E$7,0)-0))</f>
        <v/>
      </c>
      <c r="Z186" s="160">
        <f>N186-Y186</f>
        <v/>
      </c>
      <c r="AA186" s="160">
        <f>U186*'NM Play'!$B$22</f>
        <v/>
      </c>
      <c r="AB186" s="160">
        <f>N186*SUM('NM Play'!$B$29:$B$31)</f>
        <v/>
      </c>
      <c r="AC186" s="160">
        <f>IF('Sites'!$C$8="Defy legs",P186*'NM Play'!$B$14/'NM Play'!$B$12*'NM Play'!$B$28,0)</f>
        <v/>
      </c>
      <c r="AD186" s="160">
        <f>Q186*'NM Play'!$B$23</f>
        <v/>
      </c>
      <c r="AE186" s="160">
        <f>S186*SUM('NM Play'!$B$26,'NM Play'!$B$33:$B$34)</f>
        <v/>
      </c>
      <c r="AF186" s="160">
        <f>IF('Sites'!$D$8="NM crew",S186*SUM('NM Play'!$B$24:$B$25),0)</f>
        <v/>
      </c>
      <c r="AG186" s="160">
        <f>IF('Sites'!$D$8="NM crew",S186*'NM Play'!$B$27,0)</f>
        <v/>
      </c>
      <c r="AH186" s="160">
        <f>N186*'Sites'!$Z$8*'NM Play'!$B$32</f>
        <v/>
      </c>
      <c r="AI186" s="160">
        <f>SUM(Y186:Z186)*'Sites'!$R$8</f>
        <v/>
      </c>
      <c r="AJ186" s="160">
        <f>SUM(AA186:AH186)</f>
        <v/>
      </c>
      <c r="AK186" s="160">
        <f>AJ186+(T186-U186)*'NM Play'!$B$22+MIN(G186,N186*'NM Play'!$B$11)/'NM Play'!$B$13*'NM Play'!$B$21*'NM Play'!$B$22+MIN(H186,N186*'NM Play'!$B$12)/'NM Play'!$B$14*IF('Sites'!$C$8="Own sheets",'NM Play'!$B$21*'NM Play'!$B$22,'NM Play'!$B$28*'NM Play'!$B$14/'NM Play'!$B$12)</f>
        <v/>
      </c>
      <c r="AL186" s="160">
        <f>Y186*'Assumptions'!D66</f>
        <v/>
      </c>
      <c r="AM186" s="160">
        <f>IF('Sites'!$D$8="NM crew",S186*'NM Play'!$B$37*(1+IF(AND(ISNUMBER('NM Play'!$B$25),'NM Play'!$B$25&gt;0),1,0)),"")</f>
        <v/>
      </c>
      <c r="AN186" s="160">
        <f>IF(OR('Sites'!$E$8&lt;0,'Sites'!$E$8&gt;1,'Sites'!$F$8&lt;1,'Sites'!$G$8&lt;'Sites'!$F$8,F186&lt;0,MIN('Sites'!$I$8:'Sites'!$R$8)&lt;0,'Sites'!$L$8&gt;'Sites'!$I$8,'Sites'!$M$8&gt;'Sites'!$J$8,'Sites'!$N$8&gt;'Sites'!$K$8,'Sites'!$Z$8&lt;0,'Sites'!$Z$8&gt;1,MIN('Sites'!$AA$8:'Sites'!$AC$8)&lt;0,S186&gt;F186+0.001),1,0)</f>
        <v/>
      </c>
      <c r="AO186" s="160">
        <f>I186+U186-T186-X186</f>
        <v/>
      </c>
    </row>
    <row r="187" ht="28" customHeight="1">
      <c r="A187" s="4" t="inlineStr">
        <is>
          <t>Smaller</t>
        </is>
      </c>
      <c r="B187" s="4" t="inlineStr">
        <is>
          <t>NEW2</t>
        </is>
      </c>
      <c r="C187" s="160" t="n">
        <v>2</v>
      </c>
      <c r="D187" s="160">
        <f>ROUNDUP(C187/12,0)</f>
        <v/>
      </c>
      <c r="E187" s="160">
        <f>IF(AND('Sites'!$E$8*'Cases'!$F$7=1,C187&gt;='Sites'!$F$8+'Cases'!$G$7,C187&lt;='Sites'!$G$8),1,0)</f>
        <v/>
      </c>
      <c r="F187" s="160">
        <f>E187*'Assumptions'!E69</f>
        <v/>
      </c>
      <c r="G187" s="160">
        <f>V186</f>
        <v/>
      </c>
      <c r="H187" s="160">
        <f>W186</f>
        <v/>
      </c>
      <c r="I187" s="160">
        <f>X186</f>
        <v/>
      </c>
      <c r="J187" s="160">
        <f>MAX(0,'Sites'!$I$8-SUM(N186:N186))</f>
        <v/>
      </c>
      <c r="K187" s="160">
        <f>IF('Sites'!$C$8="Own sheets",MIN(ROUNDDOWN(G187/'NM Play'!$B$11,0)+F187*'NM Play'!$B$10/'NM Play'!$B$43,ROUNDDOWN(H187/'NM Play'!$B$12,0)+F187*'NM Play'!$B$10/'NM Play'!$B$44,(F187*'NM Play'!$B$10+ROUNDDOWN(G187/'NM Play'!$B$11,0)*'NM Play'!$B$43+ROUNDDOWN(H187/'NM Play'!$B$12,0)*'NM Play'!$B$44)/('NM Play'!$B$43+'NM Play'!$B$44)),ROUNDDOWN(G187/'NM Play'!$B$11,0)+F187*'NM Play'!$B$10/'NM Play'!$B$43)</f>
        <v/>
      </c>
      <c r="L187" s="160">
        <f>MIN(ROUNDDOWN(G187/'NM Play'!$B$11,0)+F187/('NM Play'!$B$43/'NM Play'!$B$15),ROUNDDOWN(H187/'NM Play'!$B$12,0)+F187/('NM Play'!$B$44/'NM Play'!$B$16),(F187+ROUNDDOWN(G187/'NM Play'!$B$11,0)*'NM Play'!$B$43/'NM Play'!$B$15+ROUNDDOWN(H187/'NM Play'!$B$12,0)*'NM Play'!$B$44/'NM Play'!$B$16)/('NM Play'!$B$43/'NM Play'!$B$15+'NM Play'!$B$44/'NM Play'!$B$16))</f>
        <v/>
      </c>
      <c r="M187" s="160">
        <f>F187*'NM Play'!$B$36</f>
        <v/>
      </c>
      <c r="N187" s="160">
        <f>ROUNDDOWN(MAX(0,MIN(J187,K187:M187)),0)</f>
        <v/>
      </c>
      <c r="O187" s="160">
        <f>ROUNDUP(MAX(0,N187*'NM Play'!$B$11-G187)/'NM Play'!$B$13,0)</f>
        <v/>
      </c>
      <c r="P187" s="160">
        <f>ROUNDUP(MAX(0,N187*'NM Play'!$B$12-H187)/'NM Play'!$B$14,0)</f>
        <v/>
      </c>
      <c r="Q187" s="160">
        <f>(O187+IF('Sites'!$C$8="Own sheets",P187,0))/'NM Play'!$B$10</f>
        <v/>
      </c>
      <c r="R187" s="160">
        <f>O187/'NM Play'!$B$15+P187/'NM Play'!$B$16</f>
        <v/>
      </c>
      <c r="S187" s="160">
        <f>MAX(Q187,R187,N187/'NM Play'!$B$36)</f>
        <v/>
      </c>
      <c r="T187" s="160">
        <f>Q187*'NM Play'!$B$10*'NM Play'!$B$21*(1+'NM Play'!$B$35)</f>
        <v/>
      </c>
      <c r="U187" s="160">
        <f>MAX(0,T187-I187)</f>
        <v/>
      </c>
      <c r="V187" s="160">
        <f>G187+O187*'NM Play'!$B$13-N187*'NM Play'!$B$11</f>
        <v/>
      </c>
      <c r="W187" s="160">
        <f>H187+P187*'NM Play'!$B$14-N187*'NM Play'!$B$12</f>
        <v/>
      </c>
      <c r="X187" s="160">
        <f>I187+U187-T187</f>
        <v/>
      </c>
      <c r="Y187" s="160">
        <f>MIN(N187,MAX(0,ROUNDDOWN('Sites'!$L$8*'Cases'!$E$7,0)-SUM(Y186:Y186)))</f>
        <v/>
      </c>
      <c r="Z187" s="160">
        <f>N187-Y187</f>
        <v/>
      </c>
      <c r="AA187" s="160">
        <f>U187*'NM Play'!$B$22</f>
        <v/>
      </c>
      <c r="AB187" s="160">
        <f>N187*SUM('NM Play'!$B$29:$B$31)</f>
        <v/>
      </c>
      <c r="AC187" s="160">
        <f>IF('Sites'!$C$8="Defy legs",P187*'NM Play'!$B$14/'NM Play'!$B$12*'NM Play'!$B$28,0)</f>
        <v/>
      </c>
      <c r="AD187" s="160">
        <f>Q187*'NM Play'!$B$23</f>
        <v/>
      </c>
      <c r="AE187" s="160">
        <f>S187*SUM('NM Play'!$B$26,'NM Play'!$B$33:$B$34)</f>
        <v/>
      </c>
      <c r="AF187" s="160">
        <f>IF('Sites'!$D$8="NM crew",S187*SUM('NM Play'!$B$24:$B$25),0)</f>
        <v/>
      </c>
      <c r="AG187" s="160">
        <f>IF('Sites'!$D$8="NM crew",S187*'NM Play'!$B$27,0)</f>
        <v/>
      </c>
      <c r="AH187" s="160">
        <f>N187*'Sites'!$Z$8*'NM Play'!$B$32</f>
        <v/>
      </c>
      <c r="AI187" s="160">
        <f>SUM(Y187:Z187)*'Sites'!$R$8</f>
        <v/>
      </c>
      <c r="AJ187" s="160">
        <f>SUM(AA187:AH187)</f>
        <v/>
      </c>
      <c r="AK187" s="160">
        <f>AJ187+(T187-U187)*'NM Play'!$B$22+MIN(G187,N187*'NM Play'!$B$11)/'NM Play'!$B$13*'NM Play'!$B$21*'NM Play'!$B$22+MIN(H187,N187*'NM Play'!$B$12)/'NM Play'!$B$14*IF('Sites'!$C$8="Own sheets",'NM Play'!$B$21*'NM Play'!$B$22,'NM Play'!$B$28*'NM Play'!$B$14/'NM Play'!$B$12)</f>
        <v/>
      </c>
      <c r="AL187" s="160">
        <f>Y187*'Assumptions'!E66</f>
        <v/>
      </c>
      <c r="AM187" s="160">
        <f>IF('Sites'!$D$8="NM crew",S187*'NM Play'!$B$37*(1+IF(AND(ISNUMBER('NM Play'!$B$25),'NM Play'!$B$25&gt;0),1,0)),"")</f>
        <v/>
      </c>
      <c r="AN187" s="160">
        <f>IF(OR('Sites'!$E$8&lt;0,'Sites'!$E$8&gt;1,'Sites'!$F$8&lt;1,'Sites'!$G$8&lt;'Sites'!$F$8,F187&lt;0,MIN('Sites'!$I$8:'Sites'!$R$8)&lt;0,'Sites'!$L$8&gt;'Sites'!$I$8,'Sites'!$M$8&gt;'Sites'!$J$8,'Sites'!$N$8&gt;'Sites'!$K$8,'Sites'!$Z$8&lt;0,'Sites'!$Z$8&gt;1,MIN('Sites'!$AA$8:'Sites'!$AC$8)&lt;0,S187&gt;F187+0.001),1,0)</f>
        <v/>
      </c>
      <c r="AO187" s="160">
        <f>I187+U187-T187-X187</f>
        <v/>
      </c>
    </row>
    <row r="188" ht="28" customHeight="1">
      <c r="A188" s="4" t="inlineStr">
        <is>
          <t>Smaller</t>
        </is>
      </c>
      <c r="B188" s="4" t="inlineStr">
        <is>
          <t>NEW2</t>
        </is>
      </c>
      <c r="C188" s="160" t="n">
        <v>3</v>
      </c>
      <c r="D188" s="160">
        <f>ROUNDUP(C188/12,0)</f>
        <v/>
      </c>
      <c r="E188" s="160">
        <f>IF(AND('Sites'!$E$8*'Cases'!$F$7=1,C188&gt;='Sites'!$F$8+'Cases'!$G$7,C188&lt;='Sites'!$G$8),1,0)</f>
        <v/>
      </c>
      <c r="F188" s="160">
        <f>E188*'Assumptions'!F69</f>
        <v/>
      </c>
      <c r="G188" s="160">
        <f>V187</f>
        <v/>
      </c>
      <c r="H188" s="160">
        <f>W187</f>
        <v/>
      </c>
      <c r="I188" s="160">
        <f>X187</f>
        <v/>
      </c>
      <c r="J188" s="160">
        <f>MAX(0,'Sites'!$I$8-SUM(N186:N187))</f>
        <v/>
      </c>
      <c r="K188" s="160">
        <f>IF('Sites'!$C$8="Own sheets",MIN(ROUNDDOWN(G188/'NM Play'!$B$11,0)+F188*'NM Play'!$B$10/'NM Play'!$B$43,ROUNDDOWN(H188/'NM Play'!$B$12,0)+F188*'NM Play'!$B$10/'NM Play'!$B$44,(F188*'NM Play'!$B$10+ROUNDDOWN(G188/'NM Play'!$B$11,0)*'NM Play'!$B$43+ROUNDDOWN(H188/'NM Play'!$B$12,0)*'NM Play'!$B$44)/('NM Play'!$B$43+'NM Play'!$B$44)),ROUNDDOWN(G188/'NM Play'!$B$11,0)+F188*'NM Play'!$B$10/'NM Play'!$B$43)</f>
        <v/>
      </c>
      <c r="L188" s="160">
        <f>MIN(ROUNDDOWN(G188/'NM Play'!$B$11,0)+F188/('NM Play'!$B$43/'NM Play'!$B$15),ROUNDDOWN(H188/'NM Play'!$B$12,0)+F188/('NM Play'!$B$44/'NM Play'!$B$16),(F188+ROUNDDOWN(G188/'NM Play'!$B$11,0)*'NM Play'!$B$43/'NM Play'!$B$15+ROUNDDOWN(H188/'NM Play'!$B$12,0)*'NM Play'!$B$44/'NM Play'!$B$16)/('NM Play'!$B$43/'NM Play'!$B$15+'NM Play'!$B$44/'NM Play'!$B$16))</f>
        <v/>
      </c>
      <c r="M188" s="160">
        <f>F188*'NM Play'!$B$36</f>
        <v/>
      </c>
      <c r="N188" s="160">
        <f>ROUNDDOWN(MAX(0,MIN(J188,K188:M188)),0)</f>
        <v/>
      </c>
      <c r="O188" s="160">
        <f>ROUNDUP(MAX(0,N188*'NM Play'!$B$11-G188)/'NM Play'!$B$13,0)</f>
        <v/>
      </c>
      <c r="P188" s="160">
        <f>ROUNDUP(MAX(0,N188*'NM Play'!$B$12-H188)/'NM Play'!$B$14,0)</f>
        <v/>
      </c>
      <c r="Q188" s="160">
        <f>(O188+IF('Sites'!$C$8="Own sheets",P188,0))/'NM Play'!$B$10</f>
        <v/>
      </c>
      <c r="R188" s="160">
        <f>O188/'NM Play'!$B$15+P188/'NM Play'!$B$16</f>
        <v/>
      </c>
      <c r="S188" s="160">
        <f>MAX(Q188,R188,N188/'NM Play'!$B$36)</f>
        <v/>
      </c>
      <c r="T188" s="160">
        <f>Q188*'NM Play'!$B$10*'NM Play'!$B$21*(1+'NM Play'!$B$35)</f>
        <v/>
      </c>
      <c r="U188" s="160">
        <f>MAX(0,T188-I188)</f>
        <v/>
      </c>
      <c r="V188" s="160">
        <f>G188+O188*'NM Play'!$B$13-N188*'NM Play'!$B$11</f>
        <v/>
      </c>
      <c r="W188" s="160">
        <f>H188+P188*'NM Play'!$B$14-N188*'NM Play'!$B$12</f>
        <v/>
      </c>
      <c r="X188" s="160">
        <f>I188+U188-T188</f>
        <v/>
      </c>
      <c r="Y188" s="160">
        <f>MIN(N188,MAX(0,ROUNDDOWN('Sites'!$L$8*'Cases'!$E$7,0)-SUM(Y186:Y187)))</f>
        <v/>
      </c>
      <c r="Z188" s="160">
        <f>N188-Y188</f>
        <v/>
      </c>
      <c r="AA188" s="160">
        <f>U188*'NM Play'!$B$22</f>
        <v/>
      </c>
      <c r="AB188" s="160">
        <f>N188*SUM('NM Play'!$B$29:$B$31)</f>
        <v/>
      </c>
      <c r="AC188" s="160">
        <f>IF('Sites'!$C$8="Defy legs",P188*'NM Play'!$B$14/'NM Play'!$B$12*'NM Play'!$B$28,0)</f>
        <v/>
      </c>
      <c r="AD188" s="160">
        <f>Q188*'NM Play'!$B$23</f>
        <v/>
      </c>
      <c r="AE188" s="160">
        <f>S188*SUM('NM Play'!$B$26,'NM Play'!$B$33:$B$34)</f>
        <v/>
      </c>
      <c r="AF188" s="160">
        <f>IF('Sites'!$D$8="NM crew",S188*SUM('NM Play'!$B$24:$B$25),0)</f>
        <v/>
      </c>
      <c r="AG188" s="160">
        <f>IF('Sites'!$D$8="NM crew",S188*'NM Play'!$B$27,0)</f>
        <v/>
      </c>
      <c r="AH188" s="160">
        <f>N188*'Sites'!$Z$8*'NM Play'!$B$32</f>
        <v/>
      </c>
      <c r="AI188" s="160">
        <f>SUM(Y188:Z188)*'Sites'!$R$8</f>
        <v/>
      </c>
      <c r="AJ188" s="160">
        <f>SUM(AA188:AH188)</f>
        <v/>
      </c>
      <c r="AK188" s="160">
        <f>AJ188+(T188-U188)*'NM Play'!$B$22+MIN(G188,N188*'NM Play'!$B$11)/'NM Play'!$B$13*'NM Play'!$B$21*'NM Play'!$B$22+MIN(H188,N188*'NM Play'!$B$12)/'NM Play'!$B$14*IF('Sites'!$C$8="Own sheets",'NM Play'!$B$21*'NM Play'!$B$22,'NM Play'!$B$28*'NM Play'!$B$14/'NM Play'!$B$12)</f>
        <v/>
      </c>
      <c r="AL188" s="160">
        <f>Y188*'Assumptions'!F66</f>
        <v/>
      </c>
      <c r="AM188" s="160">
        <f>IF('Sites'!$D$8="NM crew",S188*'NM Play'!$B$37*(1+IF(AND(ISNUMBER('NM Play'!$B$25),'NM Play'!$B$25&gt;0),1,0)),"")</f>
        <v/>
      </c>
      <c r="AN188" s="160">
        <f>IF(OR('Sites'!$E$8&lt;0,'Sites'!$E$8&gt;1,'Sites'!$F$8&lt;1,'Sites'!$G$8&lt;'Sites'!$F$8,F188&lt;0,MIN('Sites'!$I$8:'Sites'!$R$8)&lt;0,'Sites'!$L$8&gt;'Sites'!$I$8,'Sites'!$M$8&gt;'Sites'!$J$8,'Sites'!$N$8&gt;'Sites'!$K$8,'Sites'!$Z$8&lt;0,'Sites'!$Z$8&gt;1,MIN('Sites'!$AA$8:'Sites'!$AC$8)&lt;0,S188&gt;F188+0.001),1,0)</f>
        <v/>
      </c>
      <c r="AO188" s="160">
        <f>I188+U188-T188-X188</f>
        <v/>
      </c>
    </row>
    <row r="189" ht="28" customHeight="1">
      <c r="A189" s="4" t="inlineStr">
        <is>
          <t>Smaller</t>
        </is>
      </c>
      <c r="B189" s="4" t="inlineStr">
        <is>
          <t>NEW2</t>
        </is>
      </c>
      <c r="C189" s="160" t="n">
        <v>4</v>
      </c>
      <c r="D189" s="160">
        <f>ROUNDUP(C189/12,0)</f>
        <v/>
      </c>
      <c r="E189" s="160">
        <f>IF(AND('Sites'!$E$8*'Cases'!$F$7=1,C189&gt;='Sites'!$F$8+'Cases'!$G$7,C189&lt;='Sites'!$G$8),1,0)</f>
        <v/>
      </c>
      <c r="F189" s="160">
        <f>E189*'Assumptions'!G69</f>
        <v/>
      </c>
      <c r="G189" s="160">
        <f>V188</f>
        <v/>
      </c>
      <c r="H189" s="160">
        <f>W188</f>
        <v/>
      </c>
      <c r="I189" s="160">
        <f>X188</f>
        <v/>
      </c>
      <c r="J189" s="160">
        <f>MAX(0,'Sites'!$I$8-SUM(N186:N188))</f>
        <v/>
      </c>
      <c r="K189" s="160">
        <f>IF('Sites'!$C$8="Own sheets",MIN(ROUNDDOWN(G189/'NM Play'!$B$11,0)+F189*'NM Play'!$B$10/'NM Play'!$B$43,ROUNDDOWN(H189/'NM Play'!$B$12,0)+F189*'NM Play'!$B$10/'NM Play'!$B$44,(F189*'NM Play'!$B$10+ROUNDDOWN(G189/'NM Play'!$B$11,0)*'NM Play'!$B$43+ROUNDDOWN(H189/'NM Play'!$B$12,0)*'NM Play'!$B$44)/('NM Play'!$B$43+'NM Play'!$B$44)),ROUNDDOWN(G189/'NM Play'!$B$11,0)+F189*'NM Play'!$B$10/'NM Play'!$B$43)</f>
        <v/>
      </c>
      <c r="L189" s="160">
        <f>MIN(ROUNDDOWN(G189/'NM Play'!$B$11,0)+F189/('NM Play'!$B$43/'NM Play'!$B$15),ROUNDDOWN(H189/'NM Play'!$B$12,0)+F189/('NM Play'!$B$44/'NM Play'!$B$16),(F189+ROUNDDOWN(G189/'NM Play'!$B$11,0)*'NM Play'!$B$43/'NM Play'!$B$15+ROUNDDOWN(H189/'NM Play'!$B$12,0)*'NM Play'!$B$44/'NM Play'!$B$16)/('NM Play'!$B$43/'NM Play'!$B$15+'NM Play'!$B$44/'NM Play'!$B$16))</f>
        <v/>
      </c>
      <c r="M189" s="160">
        <f>F189*'NM Play'!$B$36</f>
        <v/>
      </c>
      <c r="N189" s="160">
        <f>ROUNDDOWN(MAX(0,MIN(J189,K189:M189)),0)</f>
        <v/>
      </c>
      <c r="O189" s="160">
        <f>ROUNDUP(MAX(0,N189*'NM Play'!$B$11-G189)/'NM Play'!$B$13,0)</f>
        <v/>
      </c>
      <c r="P189" s="160">
        <f>ROUNDUP(MAX(0,N189*'NM Play'!$B$12-H189)/'NM Play'!$B$14,0)</f>
        <v/>
      </c>
      <c r="Q189" s="160">
        <f>(O189+IF('Sites'!$C$8="Own sheets",P189,0))/'NM Play'!$B$10</f>
        <v/>
      </c>
      <c r="R189" s="160">
        <f>O189/'NM Play'!$B$15+P189/'NM Play'!$B$16</f>
        <v/>
      </c>
      <c r="S189" s="160">
        <f>MAX(Q189,R189,N189/'NM Play'!$B$36)</f>
        <v/>
      </c>
      <c r="T189" s="160">
        <f>Q189*'NM Play'!$B$10*'NM Play'!$B$21*(1+'NM Play'!$B$35)</f>
        <v/>
      </c>
      <c r="U189" s="160">
        <f>MAX(0,T189-I189)</f>
        <v/>
      </c>
      <c r="V189" s="160">
        <f>G189+O189*'NM Play'!$B$13-N189*'NM Play'!$B$11</f>
        <v/>
      </c>
      <c r="W189" s="160">
        <f>H189+P189*'NM Play'!$B$14-N189*'NM Play'!$B$12</f>
        <v/>
      </c>
      <c r="X189" s="160">
        <f>I189+U189-T189</f>
        <v/>
      </c>
      <c r="Y189" s="160">
        <f>MIN(N189,MAX(0,ROUNDDOWN('Sites'!$L$8*'Cases'!$E$7,0)-SUM(Y186:Y188)))</f>
        <v/>
      </c>
      <c r="Z189" s="160">
        <f>N189-Y189</f>
        <v/>
      </c>
      <c r="AA189" s="160">
        <f>U189*'NM Play'!$B$22</f>
        <v/>
      </c>
      <c r="AB189" s="160">
        <f>N189*SUM('NM Play'!$B$29:$B$31)</f>
        <v/>
      </c>
      <c r="AC189" s="160">
        <f>IF('Sites'!$C$8="Defy legs",P189*'NM Play'!$B$14/'NM Play'!$B$12*'NM Play'!$B$28,0)</f>
        <v/>
      </c>
      <c r="AD189" s="160">
        <f>Q189*'NM Play'!$B$23</f>
        <v/>
      </c>
      <c r="AE189" s="160">
        <f>S189*SUM('NM Play'!$B$26,'NM Play'!$B$33:$B$34)</f>
        <v/>
      </c>
      <c r="AF189" s="160">
        <f>IF('Sites'!$D$8="NM crew",S189*SUM('NM Play'!$B$24:$B$25),0)</f>
        <v/>
      </c>
      <c r="AG189" s="160">
        <f>IF('Sites'!$D$8="NM crew",S189*'NM Play'!$B$27,0)</f>
        <v/>
      </c>
      <c r="AH189" s="160">
        <f>N189*'Sites'!$Z$8*'NM Play'!$B$32</f>
        <v/>
      </c>
      <c r="AI189" s="160">
        <f>SUM(Y189:Z189)*'Sites'!$R$8</f>
        <v/>
      </c>
      <c r="AJ189" s="160">
        <f>SUM(AA189:AH189)</f>
        <v/>
      </c>
      <c r="AK189" s="160">
        <f>AJ189+(T189-U189)*'NM Play'!$B$22+MIN(G189,N189*'NM Play'!$B$11)/'NM Play'!$B$13*'NM Play'!$B$21*'NM Play'!$B$22+MIN(H189,N189*'NM Play'!$B$12)/'NM Play'!$B$14*IF('Sites'!$C$8="Own sheets",'NM Play'!$B$21*'NM Play'!$B$22,'NM Play'!$B$28*'NM Play'!$B$14/'NM Play'!$B$12)</f>
        <v/>
      </c>
      <c r="AL189" s="160">
        <f>Y189*'Assumptions'!G66</f>
        <v/>
      </c>
      <c r="AM189" s="160">
        <f>IF('Sites'!$D$8="NM crew",S189*'NM Play'!$B$37*(1+IF(AND(ISNUMBER('NM Play'!$B$25),'NM Play'!$B$25&gt;0),1,0)),"")</f>
        <v/>
      </c>
      <c r="AN189" s="160">
        <f>IF(OR('Sites'!$E$8&lt;0,'Sites'!$E$8&gt;1,'Sites'!$F$8&lt;1,'Sites'!$G$8&lt;'Sites'!$F$8,F189&lt;0,MIN('Sites'!$I$8:'Sites'!$R$8)&lt;0,'Sites'!$L$8&gt;'Sites'!$I$8,'Sites'!$M$8&gt;'Sites'!$J$8,'Sites'!$N$8&gt;'Sites'!$K$8,'Sites'!$Z$8&lt;0,'Sites'!$Z$8&gt;1,MIN('Sites'!$AA$8:'Sites'!$AC$8)&lt;0,S189&gt;F189+0.001),1,0)</f>
        <v/>
      </c>
      <c r="AO189" s="160">
        <f>I189+U189-T189-X189</f>
        <v/>
      </c>
    </row>
    <row r="190" ht="28" customHeight="1">
      <c r="A190" s="4" t="inlineStr">
        <is>
          <t>Smaller</t>
        </is>
      </c>
      <c r="B190" s="4" t="inlineStr">
        <is>
          <t>NEW2</t>
        </is>
      </c>
      <c r="C190" s="160" t="n">
        <v>5</v>
      </c>
      <c r="D190" s="160">
        <f>ROUNDUP(C190/12,0)</f>
        <v/>
      </c>
      <c r="E190" s="160">
        <f>IF(AND('Sites'!$E$8*'Cases'!$F$7=1,C190&gt;='Sites'!$F$8+'Cases'!$G$7,C190&lt;='Sites'!$G$8),1,0)</f>
        <v/>
      </c>
      <c r="F190" s="160">
        <f>E190*'Assumptions'!H69</f>
        <v/>
      </c>
      <c r="G190" s="160">
        <f>V189</f>
        <v/>
      </c>
      <c r="H190" s="160">
        <f>W189</f>
        <v/>
      </c>
      <c r="I190" s="160">
        <f>X189</f>
        <v/>
      </c>
      <c r="J190" s="160">
        <f>MAX(0,'Sites'!$I$8-SUM(N186:N189))</f>
        <v/>
      </c>
      <c r="K190" s="160">
        <f>IF('Sites'!$C$8="Own sheets",MIN(ROUNDDOWN(G190/'NM Play'!$B$11,0)+F190*'NM Play'!$B$10/'NM Play'!$B$43,ROUNDDOWN(H190/'NM Play'!$B$12,0)+F190*'NM Play'!$B$10/'NM Play'!$B$44,(F190*'NM Play'!$B$10+ROUNDDOWN(G190/'NM Play'!$B$11,0)*'NM Play'!$B$43+ROUNDDOWN(H190/'NM Play'!$B$12,0)*'NM Play'!$B$44)/('NM Play'!$B$43+'NM Play'!$B$44)),ROUNDDOWN(G190/'NM Play'!$B$11,0)+F190*'NM Play'!$B$10/'NM Play'!$B$43)</f>
        <v/>
      </c>
      <c r="L190" s="160">
        <f>MIN(ROUNDDOWN(G190/'NM Play'!$B$11,0)+F190/('NM Play'!$B$43/'NM Play'!$B$15),ROUNDDOWN(H190/'NM Play'!$B$12,0)+F190/('NM Play'!$B$44/'NM Play'!$B$16),(F190+ROUNDDOWN(G190/'NM Play'!$B$11,0)*'NM Play'!$B$43/'NM Play'!$B$15+ROUNDDOWN(H190/'NM Play'!$B$12,0)*'NM Play'!$B$44/'NM Play'!$B$16)/('NM Play'!$B$43/'NM Play'!$B$15+'NM Play'!$B$44/'NM Play'!$B$16))</f>
        <v/>
      </c>
      <c r="M190" s="160">
        <f>F190*'NM Play'!$B$36</f>
        <v/>
      </c>
      <c r="N190" s="160">
        <f>ROUNDDOWN(MAX(0,MIN(J190,K190:M190)),0)</f>
        <v/>
      </c>
      <c r="O190" s="160">
        <f>ROUNDUP(MAX(0,N190*'NM Play'!$B$11-G190)/'NM Play'!$B$13,0)</f>
        <v/>
      </c>
      <c r="P190" s="160">
        <f>ROUNDUP(MAX(0,N190*'NM Play'!$B$12-H190)/'NM Play'!$B$14,0)</f>
        <v/>
      </c>
      <c r="Q190" s="160">
        <f>(O190+IF('Sites'!$C$8="Own sheets",P190,0))/'NM Play'!$B$10</f>
        <v/>
      </c>
      <c r="R190" s="160">
        <f>O190/'NM Play'!$B$15+P190/'NM Play'!$B$16</f>
        <v/>
      </c>
      <c r="S190" s="160">
        <f>MAX(Q190,R190,N190/'NM Play'!$B$36)</f>
        <v/>
      </c>
      <c r="T190" s="160">
        <f>Q190*'NM Play'!$B$10*'NM Play'!$B$21*(1+'NM Play'!$B$35)</f>
        <v/>
      </c>
      <c r="U190" s="160">
        <f>MAX(0,T190-I190)</f>
        <v/>
      </c>
      <c r="V190" s="160">
        <f>G190+O190*'NM Play'!$B$13-N190*'NM Play'!$B$11</f>
        <v/>
      </c>
      <c r="W190" s="160">
        <f>H190+P190*'NM Play'!$B$14-N190*'NM Play'!$B$12</f>
        <v/>
      </c>
      <c r="X190" s="160">
        <f>I190+U190-T190</f>
        <v/>
      </c>
      <c r="Y190" s="160">
        <f>MIN(N190,MAX(0,ROUNDDOWN('Sites'!$L$8*'Cases'!$E$7,0)-SUM(Y186:Y189)))</f>
        <v/>
      </c>
      <c r="Z190" s="160">
        <f>N190-Y190</f>
        <v/>
      </c>
      <c r="AA190" s="160">
        <f>U190*'NM Play'!$B$22</f>
        <v/>
      </c>
      <c r="AB190" s="160">
        <f>N190*SUM('NM Play'!$B$29:$B$31)</f>
        <v/>
      </c>
      <c r="AC190" s="160">
        <f>IF('Sites'!$C$8="Defy legs",P190*'NM Play'!$B$14/'NM Play'!$B$12*'NM Play'!$B$28,0)</f>
        <v/>
      </c>
      <c r="AD190" s="160">
        <f>Q190*'NM Play'!$B$23</f>
        <v/>
      </c>
      <c r="AE190" s="160">
        <f>S190*SUM('NM Play'!$B$26,'NM Play'!$B$33:$B$34)</f>
        <v/>
      </c>
      <c r="AF190" s="160">
        <f>IF('Sites'!$D$8="NM crew",S190*SUM('NM Play'!$B$24:$B$25),0)</f>
        <v/>
      </c>
      <c r="AG190" s="160">
        <f>IF('Sites'!$D$8="NM crew",S190*'NM Play'!$B$27,0)</f>
        <v/>
      </c>
      <c r="AH190" s="160">
        <f>N190*'Sites'!$Z$8*'NM Play'!$B$32</f>
        <v/>
      </c>
      <c r="AI190" s="160">
        <f>SUM(Y190:Z190)*'Sites'!$R$8</f>
        <v/>
      </c>
      <c r="AJ190" s="160">
        <f>SUM(AA190:AH190)</f>
        <v/>
      </c>
      <c r="AK190" s="160">
        <f>AJ190+(T190-U190)*'NM Play'!$B$22+MIN(G190,N190*'NM Play'!$B$11)/'NM Play'!$B$13*'NM Play'!$B$21*'NM Play'!$B$22+MIN(H190,N190*'NM Play'!$B$12)/'NM Play'!$B$14*IF('Sites'!$C$8="Own sheets",'NM Play'!$B$21*'NM Play'!$B$22,'NM Play'!$B$28*'NM Play'!$B$14/'NM Play'!$B$12)</f>
        <v/>
      </c>
      <c r="AL190" s="160">
        <f>Y190*'Assumptions'!H66</f>
        <v/>
      </c>
      <c r="AM190" s="160">
        <f>IF('Sites'!$D$8="NM crew",S190*'NM Play'!$B$37*(1+IF(AND(ISNUMBER('NM Play'!$B$25),'NM Play'!$B$25&gt;0),1,0)),"")</f>
        <v/>
      </c>
      <c r="AN190" s="160">
        <f>IF(OR('Sites'!$E$8&lt;0,'Sites'!$E$8&gt;1,'Sites'!$F$8&lt;1,'Sites'!$G$8&lt;'Sites'!$F$8,F190&lt;0,MIN('Sites'!$I$8:'Sites'!$R$8)&lt;0,'Sites'!$L$8&gt;'Sites'!$I$8,'Sites'!$M$8&gt;'Sites'!$J$8,'Sites'!$N$8&gt;'Sites'!$K$8,'Sites'!$Z$8&lt;0,'Sites'!$Z$8&gt;1,MIN('Sites'!$AA$8:'Sites'!$AC$8)&lt;0,S190&gt;F190+0.001),1,0)</f>
        <v/>
      </c>
      <c r="AO190" s="160">
        <f>I190+U190-T190-X190</f>
        <v/>
      </c>
    </row>
    <row r="191" ht="28" customHeight="1">
      <c r="A191" s="4" t="inlineStr">
        <is>
          <t>Smaller</t>
        </is>
      </c>
      <c r="B191" s="4" t="inlineStr">
        <is>
          <t>NEW2</t>
        </is>
      </c>
      <c r="C191" s="160" t="n">
        <v>6</v>
      </c>
      <c r="D191" s="160">
        <f>ROUNDUP(C191/12,0)</f>
        <v/>
      </c>
      <c r="E191" s="160">
        <f>IF(AND('Sites'!$E$8*'Cases'!$F$7=1,C191&gt;='Sites'!$F$8+'Cases'!$G$7,C191&lt;='Sites'!$G$8),1,0)</f>
        <v/>
      </c>
      <c r="F191" s="160">
        <f>E191*'Assumptions'!I69</f>
        <v/>
      </c>
      <c r="G191" s="160">
        <f>V190</f>
        <v/>
      </c>
      <c r="H191" s="160">
        <f>W190</f>
        <v/>
      </c>
      <c r="I191" s="160">
        <f>X190</f>
        <v/>
      </c>
      <c r="J191" s="160">
        <f>MAX(0,'Sites'!$I$8-SUM(N186:N190))</f>
        <v/>
      </c>
      <c r="K191" s="160">
        <f>IF('Sites'!$C$8="Own sheets",MIN(ROUNDDOWN(G191/'NM Play'!$B$11,0)+F191*'NM Play'!$B$10/'NM Play'!$B$43,ROUNDDOWN(H191/'NM Play'!$B$12,0)+F191*'NM Play'!$B$10/'NM Play'!$B$44,(F191*'NM Play'!$B$10+ROUNDDOWN(G191/'NM Play'!$B$11,0)*'NM Play'!$B$43+ROUNDDOWN(H191/'NM Play'!$B$12,0)*'NM Play'!$B$44)/('NM Play'!$B$43+'NM Play'!$B$44)),ROUNDDOWN(G191/'NM Play'!$B$11,0)+F191*'NM Play'!$B$10/'NM Play'!$B$43)</f>
        <v/>
      </c>
      <c r="L191" s="160">
        <f>MIN(ROUNDDOWN(G191/'NM Play'!$B$11,0)+F191/('NM Play'!$B$43/'NM Play'!$B$15),ROUNDDOWN(H191/'NM Play'!$B$12,0)+F191/('NM Play'!$B$44/'NM Play'!$B$16),(F191+ROUNDDOWN(G191/'NM Play'!$B$11,0)*'NM Play'!$B$43/'NM Play'!$B$15+ROUNDDOWN(H191/'NM Play'!$B$12,0)*'NM Play'!$B$44/'NM Play'!$B$16)/('NM Play'!$B$43/'NM Play'!$B$15+'NM Play'!$B$44/'NM Play'!$B$16))</f>
        <v/>
      </c>
      <c r="M191" s="160">
        <f>F191*'NM Play'!$B$36</f>
        <v/>
      </c>
      <c r="N191" s="160">
        <f>ROUNDDOWN(MAX(0,MIN(J191,K191:M191)),0)</f>
        <v/>
      </c>
      <c r="O191" s="160">
        <f>ROUNDUP(MAX(0,N191*'NM Play'!$B$11-G191)/'NM Play'!$B$13,0)</f>
        <v/>
      </c>
      <c r="P191" s="160">
        <f>ROUNDUP(MAX(0,N191*'NM Play'!$B$12-H191)/'NM Play'!$B$14,0)</f>
        <v/>
      </c>
      <c r="Q191" s="160">
        <f>(O191+IF('Sites'!$C$8="Own sheets",P191,0))/'NM Play'!$B$10</f>
        <v/>
      </c>
      <c r="R191" s="160">
        <f>O191/'NM Play'!$B$15+P191/'NM Play'!$B$16</f>
        <v/>
      </c>
      <c r="S191" s="160">
        <f>MAX(Q191,R191,N191/'NM Play'!$B$36)</f>
        <v/>
      </c>
      <c r="T191" s="160">
        <f>Q191*'NM Play'!$B$10*'NM Play'!$B$21*(1+'NM Play'!$B$35)</f>
        <v/>
      </c>
      <c r="U191" s="160">
        <f>MAX(0,T191-I191)</f>
        <v/>
      </c>
      <c r="V191" s="160">
        <f>G191+O191*'NM Play'!$B$13-N191*'NM Play'!$B$11</f>
        <v/>
      </c>
      <c r="W191" s="160">
        <f>H191+P191*'NM Play'!$B$14-N191*'NM Play'!$B$12</f>
        <v/>
      </c>
      <c r="X191" s="160">
        <f>I191+U191-T191</f>
        <v/>
      </c>
      <c r="Y191" s="160">
        <f>MIN(N191,MAX(0,ROUNDDOWN('Sites'!$L$8*'Cases'!$E$7,0)-SUM(Y186:Y190)))</f>
        <v/>
      </c>
      <c r="Z191" s="160">
        <f>N191-Y191</f>
        <v/>
      </c>
      <c r="AA191" s="160">
        <f>U191*'NM Play'!$B$22</f>
        <v/>
      </c>
      <c r="AB191" s="160">
        <f>N191*SUM('NM Play'!$B$29:$B$31)</f>
        <v/>
      </c>
      <c r="AC191" s="160">
        <f>IF('Sites'!$C$8="Defy legs",P191*'NM Play'!$B$14/'NM Play'!$B$12*'NM Play'!$B$28,0)</f>
        <v/>
      </c>
      <c r="AD191" s="160">
        <f>Q191*'NM Play'!$B$23</f>
        <v/>
      </c>
      <c r="AE191" s="160">
        <f>S191*SUM('NM Play'!$B$26,'NM Play'!$B$33:$B$34)</f>
        <v/>
      </c>
      <c r="AF191" s="160">
        <f>IF('Sites'!$D$8="NM crew",S191*SUM('NM Play'!$B$24:$B$25),0)</f>
        <v/>
      </c>
      <c r="AG191" s="160">
        <f>IF('Sites'!$D$8="NM crew",S191*'NM Play'!$B$27,0)</f>
        <v/>
      </c>
      <c r="AH191" s="160">
        <f>N191*'Sites'!$Z$8*'NM Play'!$B$32</f>
        <v/>
      </c>
      <c r="AI191" s="160">
        <f>SUM(Y191:Z191)*'Sites'!$R$8</f>
        <v/>
      </c>
      <c r="AJ191" s="160">
        <f>SUM(AA191:AH191)</f>
        <v/>
      </c>
      <c r="AK191" s="160">
        <f>AJ191+(T191-U191)*'NM Play'!$B$22+MIN(G191,N191*'NM Play'!$B$11)/'NM Play'!$B$13*'NM Play'!$B$21*'NM Play'!$B$22+MIN(H191,N191*'NM Play'!$B$12)/'NM Play'!$B$14*IF('Sites'!$C$8="Own sheets",'NM Play'!$B$21*'NM Play'!$B$22,'NM Play'!$B$28*'NM Play'!$B$14/'NM Play'!$B$12)</f>
        <v/>
      </c>
      <c r="AL191" s="160">
        <f>Y191*'Assumptions'!I66</f>
        <v/>
      </c>
      <c r="AM191" s="160">
        <f>IF('Sites'!$D$8="NM crew",S191*'NM Play'!$B$37*(1+IF(AND(ISNUMBER('NM Play'!$B$25),'NM Play'!$B$25&gt;0),1,0)),"")</f>
        <v/>
      </c>
      <c r="AN191" s="160">
        <f>IF(OR('Sites'!$E$8&lt;0,'Sites'!$E$8&gt;1,'Sites'!$F$8&lt;1,'Sites'!$G$8&lt;'Sites'!$F$8,F191&lt;0,MIN('Sites'!$I$8:'Sites'!$R$8)&lt;0,'Sites'!$L$8&gt;'Sites'!$I$8,'Sites'!$M$8&gt;'Sites'!$J$8,'Sites'!$N$8&gt;'Sites'!$K$8,'Sites'!$Z$8&lt;0,'Sites'!$Z$8&gt;1,MIN('Sites'!$AA$8:'Sites'!$AC$8)&lt;0,S191&gt;F191+0.001),1,0)</f>
        <v/>
      </c>
      <c r="AO191" s="160">
        <f>I191+U191-T191-X191</f>
        <v/>
      </c>
    </row>
    <row r="192" ht="28" customHeight="1">
      <c r="A192" s="4" t="inlineStr">
        <is>
          <t>Smaller</t>
        </is>
      </c>
      <c r="B192" s="4" t="inlineStr">
        <is>
          <t>NEW2</t>
        </is>
      </c>
      <c r="C192" s="160" t="n">
        <v>7</v>
      </c>
      <c r="D192" s="160">
        <f>ROUNDUP(C192/12,0)</f>
        <v/>
      </c>
      <c r="E192" s="160">
        <f>IF(AND('Sites'!$E$8*'Cases'!$F$7=1,C192&gt;='Sites'!$F$8+'Cases'!$G$7,C192&lt;='Sites'!$G$8),1,0)</f>
        <v/>
      </c>
      <c r="F192" s="160">
        <f>E192*'Assumptions'!J69</f>
        <v/>
      </c>
      <c r="G192" s="160">
        <f>V191</f>
        <v/>
      </c>
      <c r="H192" s="160">
        <f>W191</f>
        <v/>
      </c>
      <c r="I192" s="160">
        <f>X191</f>
        <v/>
      </c>
      <c r="J192" s="160">
        <f>MAX(0,'Sites'!$I$8-SUM(N186:N191))</f>
        <v/>
      </c>
      <c r="K192" s="160">
        <f>IF('Sites'!$C$8="Own sheets",MIN(ROUNDDOWN(G192/'NM Play'!$B$11,0)+F192*'NM Play'!$B$10/'NM Play'!$B$43,ROUNDDOWN(H192/'NM Play'!$B$12,0)+F192*'NM Play'!$B$10/'NM Play'!$B$44,(F192*'NM Play'!$B$10+ROUNDDOWN(G192/'NM Play'!$B$11,0)*'NM Play'!$B$43+ROUNDDOWN(H192/'NM Play'!$B$12,0)*'NM Play'!$B$44)/('NM Play'!$B$43+'NM Play'!$B$44)),ROUNDDOWN(G192/'NM Play'!$B$11,0)+F192*'NM Play'!$B$10/'NM Play'!$B$43)</f>
        <v/>
      </c>
      <c r="L192" s="160">
        <f>MIN(ROUNDDOWN(G192/'NM Play'!$B$11,0)+F192/('NM Play'!$B$43/'NM Play'!$B$15),ROUNDDOWN(H192/'NM Play'!$B$12,0)+F192/('NM Play'!$B$44/'NM Play'!$B$16),(F192+ROUNDDOWN(G192/'NM Play'!$B$11,0)*'NM Play'!$B$43/'NM Play'!$B$15+ROUNDDOWN(H192/'NM Play'!$B$12,0)*'NM Play'!$B$44/'NM Play'!$B$16)/('NM Play'!$B$43/'NM Play'!$B$15+'NM Play'!$B$44/'NM Play'!$B$16))</f>
        <v/>
      </c>
      <c r="M192" s="160">
        <f>F192*'NM Play'!$B$36</f>
        <v/>
      </c>
      <c r="N192" s="160">
        <f>ROUNDDOWN(MAX(0,MIN(J192,K192:M192)),0)</f>
        <v/>
      </c>
      <c r="O192" s="160">
        <f>ROUNDUP(MAX(0,N192*'NM Play'!$B$11-G192)/'NM Play'!$B$13,0)</f>
        <v/>
      </c>
      <c r="P192" s="160">
        <f>ROUNDUP(MAX(0,N192*'NM Play'!$B$12-H192)/'NM Play'!$B$14,0)</f>
        <v/>
      </c>
      <c r="Q192" s="160">
        <f>(O192+IF('Sites'!$C$8="Own sheets",P192,0))/'NM Play'!$B$10</f>
        <v/>
      </c>
      <c r="R192" s="160">
        <f>O192/'NM Play'!$B$15+P192/'NM Play'!$B$16</f>
        <v/>
      </c>
      <c r="S192" s="160">
        <f>MAX(Q192,R192,N192/'NM Play'!$B$36)</f>
        <v/>
      </c>
      <c r="T192" s="160">
        <f>Q192*'NM Play'!$B$10*'NM Play'!$B$21*(1+'NM Play'!$B$35)</f>
        <v/>
      </c>
      <c r="U192" s="160">
        <f>MAX(0,T192-I192)</f>
        <v/>
      </c>
      <c r="V192" s="160">
        <f>G192+O192*'NM Play'!$B$13-N192*'NM Play'!$B$11</f>
        <v/>
      </c>
      <c r="W192" s="160">
        <f>H192+P192*'NM Play'!$B$14-N192*'NM Play'!$B$12</f>
        <v/>
      </c>
      <c r="X192" s="160">
        <f>I192+U192-T192</f>
        <v/>
      </c>
      <c r="Y192" s="160">
        <f>MIN(N192,MAX(0,ROUNDDOWN('Sites'!$L$8*'Cases'!$E$7,0)-SUM(Y186:Y191)))</f>
        <v/>
      </c>
      <c r="Z192" s="160">
        <f>N192-Y192</f>
        <v/>
      </c>
      <c r="AA192" s="160">
        <f>U192*'NM Play'!$B$22</f>
        <v/>
      </c>
      <c r="AB192" s="160">
        <f>N192*SUM('NM Play'!$B$29:$B$31)</f>
        <v/>
      </c>
      <c r="AC192" s="160">
        <f>IF('Sites'!$C$8="Defy legs",P192*'NM Play'!$B$14/'NM Play'!$B$12*'NM Play'!$B$28,0)</f>
        <v/>
      </c>
      <c r="AD192" s="160">
        <f>Q192*'NM Play'!$B$23</f>
        <v/>
      </c>
      <c r="AE192" s="160">
        <f>S192*SUM('NM Play'!$B$26,'NM Play'!$B$33:$B$34)</f>
        <v/>
      </c>
      <c r="AF192" s="160">
        <f>IF('Sites'!$D$8="NM crew",S192*SUM('NM Play'!$B$24:$B$25),0)</f>
        <v/>
      </c>
      <c r="AG192" s="160">
        <f>IF('Sites'!$D$8="NM crew",S192*'NM Play'!$B$27,0)</f>
        <v/>
      </c>
      <c r="AH192" s="160">
        <f>N192*'Sites'!$Z$8*'NM Play'!$B$32</f>
        <v/>
      </c>
      <c r="AI192" s="160">
        <f>SUM(Y192:Z192)*'Sites'!$R$8</f>
        <v/>
      </c>
      <c r="AJ192" s="160">
        <f>SUM(AA192:AH192)</f>
        <v/>
      </c>
      <c r="AK192" s="160">
        <f>AJ192+(T192-U192)*'NM Play'!$B$22+MIN(G192,N192*'NM Play'!$B$11)/'NM Play'!$B$13*'NM Play'!$B$21*'NM Play'!$B$22+MIN(H192,N192*'NM Play'!$B$12)/'NM Play'!$B$14*IF('Sites'!$C$8="Own sheets",'NM Play'!$B$21*'NM Play'!$B$22,'NM Play'!$B$28*'NM Play'!$B$14/'NM Play'!$B$12)</f>
        <v/>
      </c>
      <c r="AL192" s="160">
        <f>Y192*'Assumptions'!J66</f>
        <v/>
      </c>
      <c r="AM192" s="160">
        <f>IF('Sites'!$D$8="NM crew",S192*'NM Play'!$B$37*(1+IF(AND(ISNUMBER('NM Play'!$B$25),'NM Play'!$B$25&gt;0),1,0)),"")</f>
        <v/>
      </c>
      <c r="AN192" s="160">
        <f>IF(OR('Sites'!$E$8&lt;0,'Sites'!$E$8&gt;1,'Sites'!$F$8&lt;1,'Sites'!$G$8&lt;'Sites'!$F$8,F192&lt;0,MIN('Sites'!$I$8:'Sites'!$R$8)&lt;0,'Sites'!$L$8&gt;'Sites'!$I$8,'Sites'!$M$8&gt;'Sites'!$J$8,'Sites'!$N$8&gt;'Sites'!$K$8,'Sites'!$Z$8&lt;0,'Sites'!$Z$8&gt;1,MIN('Sites'!$AA$8:'Sites'!$AC$8)&lt;0,S192&gt;F192+0.001),1,0)</f>
        <v/>
      </c>
      <c r="AO192" s="160">
        <f>I192+U192-T192-X192</f>
        <v/>
      </c>
    </row>
    <row r="193" ht="28" customHeight="1">
      <c r="A193" s="4" t="inlineStr">
        <is>
          <t>Smaller</t>
        </is>
      </c>
      <c r="B193" s="4" t="inlineStr">
        <is>
          <t>NEW2</t>
        </is>
      </c>
      <c r="C193" s="160" t="n">
        <v>8</v>
      </c>
      <c r="D193" s="160">
        <f>ROUNDUP(C193/12,0)</f>
        <v/>
      </c>
      <c r="E193" s="160">
        <f>IF(AND('Sites'!$E$8*'Cases'!$F$7=1,C193&gt;='Sites'!$F$8+'Cases'!$G$7,C193&lt;='Sites'!$G$8),1,0)</f>
        <v/>
      </c>
      <c r="F193" s="160">
        <f>E193*'Assumptions'!K69</f>
        <v/>
      </c>
      <c r="G193" s="160">
        <f>V192</f>
        <v/>
      </c>
      <c r="H193" s="160">
        <f>W192</f>
        <v/>
      </c>
      <c r="I193" s="160">
        <f>X192</f>
        <v/>
      </c>
      <c r="J193" s="160">
        <f>MAX(0,'Sites'!$I$8-SUM(N186:N192))</f>
        <v/>
      </c>
      <c r="K193" s="160">
        <f>IF('Sites'!$C$8="Own sheets",MIN(ROUNDDOWN(G193/'NM Play'!$B$11,0)+F193*'NM Play'!$B$10/'NM Play'!$B$43,ROUNDDOWN(H193/'NM Play'!$B$12,0)+F193*'NM Play'!$B$10/'NM Play'!$B$44,(F193*'NM Play'!$B$10+ROUNDDOWN(G193/'NM Play'!$B$11,0)*'NM Play'!$B$43+ROUNDDOWN(H193/'NM Play'!$B$12,0)*'NM Play'!$B$44)/('NM Play'!$B$43+'NM Play'!$B$44)),ROUNDDOWN(G193/'NM Play'!$B$11,0)+F193*'NM Play'!$B$10/'NM Play'!$B$43)</f>
        <v/>
      </c>
      <c r="L193" s="160">
        <f>MIN(ROUNDDOWN(G193/'NM Play'!$B$11,0)+F193/('NM Play'!$B$43/'NM Play'!$B$15),ROUNDDOWN(H193/'NM Play'!$B$12,0)+F193/('NM Play'!$B$44/'NM Play'!$B$16),(F193+ROUNDDOWN(G193/'NM Play'!$B$11,0)*'NM Play'!$B$43/'NM Play'!$B$15+ROUNDDOWN(H193/'NM Play'!$B$12,0)*'NM Play'!$B$44/'NM Play'!$B$16)/('NM Play'!$B$43/'NM Play'!$B$15+'NM Play'!$B$44/'NM Play'!$B$16))</f>
        <v/>
      </c>
      <c r="M193" s="160">
        <f>F193*'NM Play'!$B$36</f>
        <v/>
      </c>
      <c r="N193" s="160">
        <f>ROUNDDOWN(MAX(0,MIN(J193,K193:M193)),0)</f>
        <v/>
      </c>
      <c r="O193" s="160">
        <f>ROUNDUP(MAX(0,N193*'NM Play'!$B$11-G193)/'NM Play'!$B$13,0)</f>
        <v/>
      </c>
      <c r="P193" s="160">
        <f>ROUNDUP(MAX(0,N193*'NM Play'!$B$12-H193)/'NM Play'!$B$14,0)</f>
        <v/>
      </c>
      <c r="Q193" s="160">
        <f>(O193+IF('Sites'!$C$8="Own sheets",P193,0))/'NM Play'!$B$10</f>
        <v/>
      </c>
      <c r="R193" s="160">
        <f>O193/'NM Play'!$B$15+P193/'NM Play'!$B$16</f>
        <v/>
      </c>
      <c r="S193" s="160">
        <f>MAX(Q193,R193,N193/'NM Play'!$B$36)</f>
        <v/>
      </c>
      <c r="T193" s="160">
        <f>Q193*'NM Play'!$B$10*'NM Play'!$B$21*(1+'NM Play'!$B$35)</f>
        <v/>
      </c>
      <c r="U193" s="160">
        <f>MAX(0,T193-I193)</f>
        <v/>
      </c>
      <c r="V193" s="160">
        <f>G193+O193*'NM Play'!$B$13-N193*'NM Play'!$B$11</f>
        <v/>
      </c>
      <c r="W193" s="160">
        <f>H193+P193*'NM Play'!$B$14-N193*'NM Play'!$B$12</f>
        <v/>
      </c>
      <c r="X193" s="160">
        <f>I193+U193-T193</f>
        <v/>
      </c>
      <c r="Y193" s="160">
        <f>MIN(N193,MAX(0,ROUNDDOWN('Sites'!$L$8*'Cases'!$E$7,0)-SUM(Y186:Y192)))</f>
        <v/>
      </c>
      <c r="Z193" s="160">
        <f>N193-Y193</f>
        <v/>
      </c>
      <c r="AA193" s="160">
        <f>U193*'NM Play'!$B$22</f>
        <v/>
      </c>
      <c r="AB193" s="160">
        <f>N193*SUM('NM Play'!$B$29:$B$31)</f>
        <v/>
      </c>
      <c r="AC193" s="160">
        <f>IF('Sites'!$C$8="Defy legs",P193*'NM Play'!$B$14/'NM Play'!$B$12*'NM Play'!$B$28,0)</f>
        <v/>
      </c>
      <c r="AD193" s="160">
        <f>Q193*'NM Play'!$B$23</f>
        <v/>
      </c>
      <c r="AE193" s="160">
        <f>S193*SUM('NM Play'!$B$26,'NM Play'!$B$33:$B$34)</f>
        <v/>
      </c>
      <c r="AF193" s="160">
        <f>IF('Sites'!$D$8="NM crew",S193*SUM('NM Play'!$B$24:$B$25),0)</f>
        <v/>
      </c>
      <c r="AG193" s="160">
        <f>IF('Sites'!$D$8="NM crew",S193*'NM Play'!$B$27,0)</f>
        <v/>
      </c>
      <c r="AH193" s="160">
        <f>N193*'Sites'!$Z$8*'NM Play'!$B$32</f>
        <v/>
      </c>
      <c r="AI193" s="160">
        <f>SUM(Y193:Z193)*'Sites'!$R$8</f>
        <v/>
      </c>
      <c r="AJ193" s="160">
        <f>SUM(AA193:AH193)</f>
        <v/>
      </c>
      <c r="AK193" s="160">
        <f>AJ193+(T193-U193)*'NM Play'!$B$22+MIN(G193,N193*'NM Play'!$B$11)/'NM Play'!$B$13*'NM Play'!$B$21*'NM Play'!$B$22+MIN(H193,N193*'NM Play'!$B$12)/'NM Play'!$B$14*IF('Sites'!$C$8="Own sheets",'NM Play'!$B$21*'NM Play'!$B$22,'NM Play'!$B$28*'NM Play'!$B$14/'NM Play'!$B$12)</f>
        <v/>
      </c>
      <c r="AL193" s="160">
        <f>Y193*'Assumptions'!K66</f>
        <v/>
      </c>
      <c r="AM193" s="160">
        <f>IF('Sites'!$D$8="NM crew",S193*'NM Play'!$B$37*(1+IF(AND(ISNUMBER('NM Play'!$B$25),'NM Play'!$B$25&gt;0),1,0)),"")</f>
        <v/>
      </c>
      <c r="AN193" s="160">
        <f>IF(OR('Sites'!$E$8&lt;0,'Sites'!$E$8&gt;1,'Sites'!$F$8&lt;1,'Sites'!$G$8&lt;'Sites'!$F$8,F193&lt;0,MIN('Sites'!$I$8:'Sites'!$R$8)&lt;0,'Sites'!$L$8&gt;'Sites'!$I$8,'Sites'!$M$8&gt;'Sites'!$J$8,'Sites'!$N$8&gt;'Sites'!$K$8,'Sites'!$Z$8&lt;0,'Sites'!$Z$8&gt;1,MIN('Sites'!$AA$8:'Sites'!$AC$8)&lt;0,S193&gt;F193+0.001),1,0)</f>
        <v/>
      </c>
      <c r="AO193" s="160">
        <f>I193+U193-T193-X193</f>
        <v/>
      </c>
    </row>
    <row r="194" ht="28" customHeight="1">
      <c r="A194" s="4" t="inlineStr">
        <is>
          <t>Smaller</t>
        </is>
      </c>
      <c r="B194" s="4" t="inlineStr">
        <is>
          <t>NEW2</t>
        </is>
      </c>
      <c r="C194" s="160" t="n">
        <v>9</v>
      </c>
      <c r="D194" s="160">
        <f>ROUNDUP(C194/12,0)</f>
        <v/>
      </c>
      <c r="E194" s="160">
        <f>IF(AND('Sites'!$E$8*'Cases'!$F$7=1,C194&gt;='Sites'!$F$8+'Cases'!$G$7,C194&lt;='Sites'!$G$8),1,0)</f>
        <v/>
      </c>
      <c r="F194" s="160">
        <f>E194*'Assumptions'!L69</f>
        <v/>
      </c>
      <c r="G194" s="160">
        <f>V193</f>
        <v/>
      </c>
      <c r="H194" s="160">
        <f>W193</f>
        <v/>
      </c>
      <c r="I194" s="160">
        <f>X193</f>
        <v/>
      </c>
      <c r="J194" s="160">
        <f>MAX(0,'Sites'!$I$8-SUM(N186:N193))</f>
        <v/>
      </c>
      <c r="K194" s="160">
        <f>IF('Sites'!$C$8="Own sheets",MIN(ROUNDDOWN(G194/'NM Play'!$B$11,0)+F194*'NM Play'!$B$10/'NM Play'!$B$43,ROUNDDOWN(H194/'NM Play'!$B$12,0)+F194*'NM Play'!$B$10/'NM Play'!$B$44,(F194*'NM Play'!$B$10+ROUNDDOWN(G194/'NM Play'!$B$11,0)*'NM Play'!$B$43+ROUNDDOWN(H194/'NM Play'!$B$12,0)*'NM Play'!$B$44)/('NM Play'!$B$43+'NM Play'!$B$44)),ROUNDDOWN(G194/'NM Play'!$B$11,0)+F194*'NM Play'!$B$10/'NM Play'!$B$43)</f>
        <v/>
      </c>
      <c r="L194" s="160">
        <f>MIN(ROUNDDOWN(G194/'NM Play'!$B$11,0)+F194/('NM Play'!$B$43/'NM Play'!$B$15),ROUNDDOWN(H194/'NM Play'!$B$12,0)+F194/('NM Play'!$B$44/'NM Play'!$B$16),(F194+ROUNDDOWN(G194/'NM Play'!$B$11,0)*'NM Play'!$B$43/'NM Play'!$B$15+ROUNDDOWN(H194/'NM Play'!$B$12,0)*'NM Play'!$B$44/'NM Play'!$B$16)/('NM Play'!$B$43/'NM Play'!$B$15+'NM Play'!$B$44/'NM Play'!$B$16))</f>
        <v/>
      </c>
      <c r="M194" s="160">
        <f>F194*'NM Play'!$B$36</f>
        <v/>
      </c>
      <c r="N194" s="160">
        <f>ROUNDDOWN(MAX(0,MIN(J194,K194:M194)),0)</f>
        <v/>
      </c>
      <c r="O194" s="160">
        <f>ROUNDUP(MAX(0,N194*'NM Play'!$B$11-G194)/'NM Play'!$B$13,0)</f>
        <v/>
      </c>
      <c r="P194" s="160">
        <f>ROUNDUP(MAX(0,N194*'NM Play'!$B$12-H194)/'NM Play'!$B$14,0)</f>
        <v/>
      </c>
      <c r="Q194" s="160">
        <f>(O194+IF('Sites'!$C$8="Own sheets",P194,0))/'NM Play'!$B$10</f>
        <v/>
      </c>
      <c r="R194" s="160">
        <f>O194/'NM Play'!$B$15+P194/'NM Play'!$B$16</f>
        <v/>
      </c>
      <c r="S194" s="160">
        <f>MAX(Q194,R194,N194/'NM Play'!$B$36)</f>
        <v/>
      </c>
      <c r="T194" s="160">
        <f>Q194*'NM Play'!$B$10*'NM Play'!$B$21*(1+'NM Play'!$B$35)</f>
        <v/>
      </c>
      <c r="U194" s="160">
        <f>MAX(0,T194-I194)</f>
        <v/>
      </c>
      <c r="V194" s="160">
        <f>G194+O194*'NM Play'!$B$13-N194*'NM Play'!$B$11</f>
        <v/>
      </c>
      <c r="W194" s="160">
        <f>H194+P194*'NM Play'!$B$14-N194*'NM Play'!$B$12</f>
        <v/>
      </c>
      <c r="X194" s="160">
        <f>I194+U194-T194</f>
        <v/>
      </c>
      <c r="Y194" s="160">
        <f>MIN(N194,MAX(0,ROUNDDOWN('Sites'!$L$8*'Cases'!$E$7,0)-SUM(Y186:Y193)))</f>
        <v/>
      </c>
      <c r="Z194" s="160">
        <f>N194-Y194</f>
        <v/>
      </c>
      <c r="AA194" s="160">
        <f>U194*'NM Play'!$B$22</f>
        <v/>
      </c>
      <c r="AB194" s="160">
        <f>N194*SUM('NM Play'!$B$29:$B$31)</f>
        <v/>
      </c>
      <c r="AC194" s="160">
        <f>IF('Sites'!$C$8="Defy legs",P194*'NM Play'!$B$14/'NM Play'!$B$12*'NM Play'!$B$28,0)</f>
        <v/>
      </c>
      <c r="AD194" s="160">
        <f>Q194*'NM Play'!$B$23</f>
        <v/>
      </c>
      <c r="AE194" s="160">
        <f>S194*SUM('NM Play'!$B$26,'NM Play'!$B$33:$B$34)</f>
        <v/>
      </c>
      <c r="AF194" s="160">
        <f>IF('Sites'!$D$8="NM crew",S194*SUM('NM Play'!$B$24:$B$25),0)</f>
        <v/>
      </c>
      <c r="AG194" s="160">
        <f>IF('Sites'!$D$8="NM crew",S194*'NM Play'!$B$27,0)</f>
        <v/>
      </c>
      <c r="AH194" s="160">
        <f>N194*'Sites'!$Z$8*'NM Play'!$B$32</f>
        <v/>
      </c>
      <c r="AI194" s="160">
        <f>SUM(Y194:Z194)*'Sites'!$R$8</f>
        <v/>
      </c>
      <c r="AJ194" s="160">
        <f>SUM(AA194:AH194)</f>
        <v/>
      </c>
      <c r="AK194" s="160">
        <f>AJ194+(T194-U194)*'NM Play'!$B$22+MIN(G194,N194*'NM Play'!$B$11)/'NM Play'!$B$13*'NM Play'!$B$21*'NM Play'!$B$22+MIN(H194,N194*'NM Play'!$B$12)/'NM Play'!$B$14*IF('Sites'!$C$8="Own sheets",'NM Play'!$B$21*'NM Play'!$B$22,'NM Play'!$B$28*'NM Play'!$B$14/'NM Play'!$B$12)</f>
        <v/>
      </c>
      <c r="AL194" s="160">
        <f>Y194*'Assumptions'!L66</f>
        <v/>
      </c>
      <c r="AM194" s="160">
        <f>IF('Sites'!$D$8="NM crew",S194*'NM Play'!$B$37*(1+IF(AND(ISNUMBER('NM Play'!$B$25),'NM Play'!$B$25&gt;0),1,0)),"")</f>
        <v/>
      </c>
      <c r="AN194" s="160">
        <f>IF(OR('Sites'!$E$8&lt;0,'Sites'!$E$8&gt;1,'Sites'!$F$8&lt;1,'Sites'!$G$8&lt;'Sites'!$F$8,F194&lt;0,MIN('Sites'!$I$8:'Sites'!$R$8)&lt;0,'Sites'!$L$8&gt;'Sites'!$I$8,'Sites'!$M$8&gt;'Sites'!$J$8,'Sites'!$N$8&gt;'Sites'!$K$8,'Sites'!$Z$8&lt;0,'Sites'!$Z$8&gt;1,MIN('Sites'!$AA$8:'Sites'!$AC$8)&lt;0,S194&gt;F194+0.001),1,0)</f>
        <v/>
      </c>
      <c r="AO194" s="160">
        <f>I194+U194-T194-X194</f>
        <v/>
      </c>
    </row>
    <row r="195" ht="28" customHeight="1">
      <c r="A195" s="4" t="inlineStr">
        <is>
          <t>Smaller</t>
        </is>
      </c>
      <c r="B195" s="4" t="inlineStr">
        <is>
          <t>NEW2</t>
        </is>
      </c>
      <c r="C195" s="160" t="n">
        <v>10</v>
      </c>
      <c r="D195" s="160">
        <f>ROUNDUP(C195/12,0)</f>
        <v/>
      </c>
      <c r="E195" s="160">
        <f>IF(AND('Sites'!$E$8*'Cases'!$F$7=1,C195&gt;='Sites'!$F$8+'Cases'!$G$7,C195&lt;='Sites'!$G$8),1,0)</f>
        <v/>
      </c>
      <c r="F195" s="160">
        <f>E195*'Assumptions'!M69</f>
        <v/>
      </c>
      <c r="G195" s="160">
        <f>V194</f>
        <v/>
      </c>
      <c r="H195" s="160">
        <f>W194</f>
        <v/>
      </c>
      <c r="I195" s="160">
        <f>X194</f>
        <v/>
      </c>
      <c r="J195" s="160">
        <f>MAX(0,'Sites'!$I$8-SUM(N186:N194))</f>
        <v/>
      </c>
      <c r="K195" s="160">
        <f>IF('Sites'!$C$8="Own sheets",MIN(ROUNDDOWN(G195/'NM Play'!$B$11,0)+F195*'NM Play'!$B$10/'NM Play'!$B$43,ROUNDDOWN(H195/'NM Play'!$B$12,0)+F195*'NM Play'!$B$10/'NM Play'!$B$44,(F195*'NM Play'!$B$10+ROUNDDOWN(G195/'NM Play'!$B$11,0)*'NM Play'!$B$43+ROUNDDOWN(H195/'NM Play'!$B$12,0)*'NM Play'!$B$44)/('NM Play'!$B$43+'NM Play'!$B$44)),ROUNDDOWN(G195/'NM Play'!$B$11,0)+F195*'NM Play'!$B$10/'NM Play'!$B$43)</f>
        <v/>
      </c>
      <c r="L195" s="160">
        <f>MIN(ROUNDDOWN(G195/'NM Play'!$B$11,0)+F195/('NM Play'!$B$43/'NM Play'!$B$15),ROUNDDOWN(H195/'NM Play'!$B$12,0)+F195/('NM Play'!$B$44/'NM Play'!$B$16),(F195+ROUNDDOWN(G195/'NM Play'!$B$11,0)*'NM Play'!$B$43/'NM Play'!$B$15+ROUNDDOWN(H195/'NM Play'!$B$12,0)*'NM Play'!$B$44/'NM Play'!$B$16)/('NM Play'!$B$43/'NM Play'!$B$15+'NM Play'!$B$44/'NM Play'!$B$16))</f>
        <v/>
      </c>
      <c r="M195" s="160">
        <f>F195*'NM Play'!$B$36</f>
        <v/>
      </c>
      <c r="N195" s="160">
        <f>ROUNDDOWN(MAX(0,MIN(J195,K195:M195)),0)</f>
        <v/>
      </c>
      <c r="O195" s="160">
        <f>ROUNDUP(MAX(0,N195*'NM Play'!$B$11-G195)/'NM Play'!$B$13,0)</f>
        <v/>
      </c>
      <c r="P195" s="160">
        <f>ROUNDUP(MAX(0,N195*'NM Play'!$B$12-H195)/'NM Play'!$B$14,0)</f>
        <v/>
      </c>
      <c r="Q195" s="160">
        <f>(O195+IF('Sites'!$C$8="Own sheets",P195,0))/'NM Play'!$B$10</f>
        <v/>
      </c>
      <c r="R195" s="160">
        <f>O195/'NM Play'!$B$15+P195/'NM Play'!$B$16</f>
        <v/>
      </c>
      <c r="S195" s="160">
        <f>MAX(Q195,R195,N195/'NM Play'!$B$36)</f>
        <v/>
      </c>
      <c r="T195" s="160">
        <f>Q195*'NM Play'!$B$10*'NM Play'!$B$21*(1+'NM Play'!$B$35)</f>
        <v/>
      </c>
      <c r="U195" s="160">
        <f>MAX(0,T195-I195)</f>
        <v/>
      </c>
      <c r="V195" s="160">
        <f>G195+O195*'NM Play'!$B$13-N195*'NM Play'!$B$11</f>
        <v/>
      </c>
      <c r="W195" s="160">
        <f>H195+P195*'NM Play'!$B$14-N195*'NM Play'!$B$12</f>
        <v/>
      </c>
      <c r="X195" s="160">
        <f>I195+U195-T195</f>
        <v/>
      </c>
      <c r="Y195" s="160">
        <f>MIN(N195,MAX(0,ROUNDDOWN('Sites'!$L$8*'Cases'!$E$7,0)-SUM(Y186:Y194)))</f>
        <v/>
      </c>
      <c r="Z195" s="160">
        <f>N195-Y195</f>
        <v/>
      </c>
      <c r="AA195" s="160">
        <f>U195*'NM Play'!$B$22</f>
        <v/>
      </c>
      <c r="AB195" s="160">
        <f>N195*SUM('NM Play'!$B$29:$B$31)</f>
        <v/>
      </c>
      <c r="AC195" s="160">
        <f>IF('Sites'!$C$8="Defy legs",P195*'NM Play'!$B$14/'NM Play'!$B$12*'NM Play'!$B$28,0)</f>
        <v/>
      </c>
      <c r="AD195" s="160">
        <f>Q195*'NM Play'!$B$23</f>
        <v/>
      </c>
      <c r="AE195" s="160">
        <f>S195*SUM('NM Play'!$B$26,'NM Play'!$B$33:$B$34)</f>
        <v/>
      </c>
      <c r="AF195" s="160">
        <f>IF('Sites'!$D$8="NM crew",S195*SUM('NM Play'!$B$24:$B$25),0)</f>
        <v/>
      </c>
      <c r="AG195" s="160">
        <f>IF('Sites'!$D$8="NM crew",S195*'NM Play'!$B$27,0)</f>
        <v/>
      </c>
      <c r="AH195" s="160">
        <f>N195*'Sites'!$Z$8*'NM Play'!$B$32</f>
        <v/>
      </c>
      <c r="AI195" s="160">
        <f>SUM(Y195:Z195)*'Sites'!$R$8</f>
        <v/>
      </c>
      <c r="AJ195" s="160">
        <f>SUM(AA195:AH195)</f>
        <v/>
      </c>
      <c r="AK195" s="160">
        <f>AJ195+(T195-U195)*'NM Play'!$B$22+MIN(G195,N195*'NM Play'!$B$11)/'NM Play'!$B$13*'NM Play'!$B$21*'NM Play'!$B$22+MIN(H195,N195*'NM Play'!$B$12)/'NM Play'!$B$14*IF('Sites'!$C$8="Own sheets",'NM Play'!$B$21*'NM Play'!$B$22,'NM Play'!$B$28*'NM Play'!$B$14/'NM Play'!$B$12)</f>
        <v/>
      </c>
      <c r="AL195" s="160">
        <f>Y195*'Assumptions'!M66</f>
        <v/>
      </c>
      <c r="AM195" s="160">
        <f>IF('Sites'!$D$8="NM crew",S195*'NM Play'!$B$37*(1+IF(AND(ISNUMBER('NM Play'!$B$25),'NM Play'!$B$25&gt;0),1,0)),"")</f>
        <v/>
      </c>
      <c r="AN195" s="160">
        <f>IF(OR('Sites'!$E$8&lt;0,'Sites'!$E$8&gt;1,'Sites'!$F$8&lt;1,'Sites'!$G$8&lt;'Sites'!$F$8,F195&lt;0,MIN('Sites'!$I$8:'Sites'!$R$8)&lt;0,'Sites'!$L$8&gt;'Sites'!$I$8,'Sites'!$M$8&gt;'Sites'!$J$8,'Sites'!$N$8&gt;'Sites'!$K$8,'Sites'!$Z$8&lt;0,'Sites'!$Z$8&gt;1,MIN('Sites'!$AA$8:'Sites'!$AC$8)&lt;0,S195&gt;F195+0.001),1,0)</f>
        <v/>
      </c>
      <c r="AO195" s="160">
        <f>I195+U195-T195-X195</f>
        <v/>
      </c>
    </row>
    <row r="196" ht="28" customHeight="1">
      <c r="A196" s="4" t="inlineStr">
        <is>
          <t>Smaller</t>
        </is>
      </c>
      <c r="B196" s="4" t="inlineStr">
        <is>
          <t>NEW2</t>
        </is>
      </c>
      <c r="C196" s="160" t="n">
        <v>11</v>
      </c>
      <c r="D196" s="160">
        <f>ROUNDUP(C196/12,0)</f>
        <v/>
      </c>
      <c r="E196" s="160">
        <f>IF(AND('Sites'!$E$8*'Cases'!$F$7=1,C196&gt;='Sites'!$F$8+'Cases'!$G$7,C196&lt;='Sites'!$G$8),1,0)</f>
        <v/>
      </c>
      <c r="F196" s="160">
        <f>E196*'Assumptions'!N69</f>
        <v/>
      </c>
      <c r="G196" s="160">
        <f>V195</f>
        <v/>
      </c>
      <c r="H196" s="160">
        <f>W195</f>
        <v/>
      </c>
      <c r="I196" s="160">
        <f>X195</f>
        <v/>
      </c>
      <c r="J196" s="160">
        <f>MAX(0,'Sites'!$I$8-SUM(N186:N195))</f>
        <v/>
      </c>
      <c r="K196" s="160">
        <f>IF('Sites'!$C$8="Own sheets",MIN(ROUNDDOWN(G196/'NM Play'!$B$11,0)+F196*'NM Play'!$B$10/'NM Play'!$B$43,ROUNDDOWN(H196/'NM Play'!$B$12,0)+F196*'NM Play'!$B$10/'NM Play'!$B$44,(F196*'NM Play'!$B$10+ROUNDDOWN(G196/'NM Play'!$B$11,0)*'NM Play'!$B$43+ROUNDDOWN(H196/'NM Play'!$B$12,0)*'NM Play'!$B$44)/('NM Play'!$B$43+'NM Play'!$B$44)),ROUNDDOWN(G196/'NM Play'!$B$11,0)+F196*'NM Play'!$B$10/'NM Play'!$B$43)</f>
        <v/>
      </c>
      <c r="L196" s="160">
        <f>MIN(ROUNDDOWN(G196/'NM Play'!$B$11,0)+F196/('NM Play'!$B$43/'NM Play'!$B$15),ROUNDDOWN(H196/'NM Play'!$B$12,0)+F196/('NM Play'!$B$44/'NM Play'!$B$16),(F196+ROUNDDOWN(G196/'NM Play'!$B$11,0)*'NM Play'!$B$43/'NM Play'!$B$15+ROUNDDOWN(H196/'NM Play'!$B$12,0)*'NM Play'!$B$44/'NM Play'!$B$16)/('NM Play'!$B$43/'NM Play'!$B$15+'NM Play'!$B$44/'NM Play'!$B$16))</f>
        <v/>
      </c>
      <c r="M196" s="160">
        <f>F196*'NM Play'!$B$36</f>
        <v/>
      </c>
      <c r="N196" s="160">
        <f>ROUNDDOWN(MAX(0,MIN(J196,K196:M196)),0)</f>
        <v/>
      </c>
      <c r="O196" s="160">
        <f>ROUNDUP(MAX(0,N196*'NM Play'!$B$11-G196)/'NM Play'!$B$13,0)</f>
        <v/>
      </c>
      <c r="P196" s="160">
        <f>ROUNDUP(MAX(0,N196*'NM Play'!$B$12-H196)/'NM Play'!$B$14,0)</f>
        <v/>
      </c>
      <c r="Q196" s="160">
        <f>(O196+IF('Sites'!$C$8="Own sheets",P196,0))/'NM Play'!$B$10</f>
        <v/>
      </c>
      <c r="R196" s="160">
        <f>O196/'NM Play'!$B$15+P196/'NM Play'!$B$16</f>
        <v/>
      </c>
      <c r="S196" s="160">
        <f>MAX(Q196,R196,N196/'NM Play'!$B$36)</f>
        <v/>
      </c>
      <c r="T196" s="160">
        <f>Q196*'NM Play'!$B$10*'NM Play'!$B$21*(1+'NM Play'!$B$35)</f>
        <v/>
      </c>
      <c r="U196" s="160">
        <f>MAX(0,T196-I196)</f>
        <v/>
      </c>
      <c r="V196" s="160">
        <f>G196+O196*'NM Play'!$B$13-N196*'NM Play'!$B$11</f>
        <v/>
      </c>
      <c r="W196" s="160">
        <f>H196+P196*'NM Play'!$B$14-N196*'NM Play'!$B$12</f>
        <v/>
      </c>
      <c r="X196" s="160">
        <f>I196+U196-T196</f>
        <v/>
      </c>
      <c r="Y196" s="160">
        <f>MIN(N196,MAX(0,ROUNDDOWN('Sites'!$L$8*'Cases'!$E$7,0)-SUM(Y186:Y195)))</f>
        <v/>
      </c>
      <c r="Z196" s="160">
        <f>N196-Y196</f>
        <v/>
      </c>
      <c r="AA196" s="160">
        <f>U196*'NM Play'!$B$22</f>
        <v/>
      </c>
      <c r="AB196" s="160">
        <f>N196*SUM('NM Play'!$B$29:$B$31)</f>
        <v/>
      </c>
      <c r="AC196" s="160">
        <f>IF('Sites'!$C$8="Defy legs",P196*'NM Play'!$B$14/'NM Play'!$B$12*'NM Play'!$B$28,0)</f>
        <v/>
      </c>
      <c r="AD196" s="160">
        <f>Q196*'NM Play'!$B$23</f>
        <v/>
      </c>
      <c r="AE196" s="160">
        <f>S196*SUM('NM Play'!$B$26,'NM Play'!$B$33:$B$34)</f>
        <v/>
      </c>
      <c r="AF196" s="160">
        <f>IF('Sites'!$D$8="NM crew",S196*SUM('NM Play'!$B$24:$B$25),0)</f>
        <v/>
      </c>
      <c r="AG196" s="160">
        <f>IF('Sites'!$D$8="NM crew",S196*'NM Play'!$B$27,0)</f>
        <v/>
      </c>
      <c r="AH196" s="160">
        <f>N196*'Sites'!$Z$8*'NM Play'!$B$32</f>
        <v/>
      </c>
      <c r="AI196" s="160">
        <f>SUM(Y196:Z196)*'Sites'!$R$8</f>
        <v/>
      </c>
      <c r="AJ196" s="160">
        <f>SUM(AA196:AH196)</f>
        <v/>
      </c>
      <c r="AK196" s="160">
        <f>AJ196+(T196-U196)*'NM Play'!$B$22+MIN(G196,N196*'NM Play'!$B$11)/'NM Play'!$B$13*'NM Play'!$B$21*'NM Play'!$B$22+MIN(H196,N196*'NM Play'!$B$12)/'NM Play'!$B$14*IF('Sites'!$C$8="Own sheets",'NM Play'!$B$21*'NM Play'!$B$22,'NM Play'!$B$28*'NM Play'!$B$14/'NM Play'!$B$12)</f>
        <v/>
      </c>
      <c r="AL196" s="160">
        <f>Y196*'Assumptions'!N66</f>
        <v/>
      </c>
      <c r="AM196" s="160">
        <f>IF('Sites'!$D$8="NM crew",S196*'NM Play'!$B$37*(1+IF(AND(ISNUMBER('NM Play'!$B$25),'NM Play'!$B$25&gt;0),1,0)),"")</f>
        <v/>
      </c>
      <c r="AN196" s="160">
        <f>IF(OR('Sites'!$E$8&lt;0,'Sites'!$E$8&gt;1,'Sites'!$F$8&lt;1,'Sites'!$G$8&lt;'Sites'!$F$8,F196&lt;0,MIN('Sites'!$I$8:'Sites'!$R$8)&lt;0,'Sites'!$L$8&gt;'Sites'!$I$8,'Sites'!$M$8&gt;'Sites'!$J$8,'Sites'!$N$8&gt;'Sites'!$K$8,'Sites'!$Z$8&lt;0,'Sites'!$Z$8&gt;1,MIN('Sites'!$AA$8:'Sites'!$AC$8)&lt;0,S196&gt;F196+0.001),1,0)</f>
        <v/>
      </c>
      <c r="AO196" s="160">
        <f>I196+U196-T196-X196</f>
        <v/>
      </c>
    </row>
    <row r="197" ht="28" customHeight="1">
      <c r="A197" s="4" t="inlineStr">
        <is>
          <t>Smaller</t>
        </is>
      </c>
      <c r="B197" s="4" t="inlineStr">
        <is>
          <t>NEW2</t>
        </is>
      </c>
      <c r="C197" s="160" t="n">
        <v>12</v>
      </c>
      <c r="D197" s="160">
        <f>ROUNDUP(C197/12,0)</f>
        <v/>
      </c>
      <c r="E197" s="160">
        <f>IF(AND('Sites'!$E$8*'Cases'!$F$7=1,C197&gt;='Sites'!$F$8+'Cases'!$G$7,C197&lt;='Sites'!$G$8),1,0)</f>
        <v/>
      </c>
      <c r="F197" s="160">
        <f>E197*'Assumptions'!O69</f>
        <v/>
      </c>
      <c r="G197" s="160">
        <f>V196</f>
        <v/>
      </c>
      <c r="H197" s="160">
        <f>W196</f>
        <v/>
      </c>
      <c r="I197" s="160">
        <f>X196</f>
        <v/>
      </c>
      <c r="J197" s="160">
        <f>MAX(0,'Sites'!$I$8-SUM(N186:N196))</f>
        <v/>
      </c>
      <c r="K197" s="160">
        <f>IF('Sites'!$C$8="Own sheets",MIN(ROUNDDOWN(G197/'NM Play'!$B$11,0)+F197*'NM Play'!$B$10/'NM Play'!$B$43,ROUNDDOWN(H197/'NM Play'!$B$12,0)+F197*'NM Play'!$B$10/'NM Play'!$B$44,(F197*'NM Play'!$B$10+ROUNDDOWN(G197/'NM Play'!$B$11,0)*'NM Play'!$B$43+ROUNDDOWN(H197/'NM Play'!$B$12,0)*'NM Play'!$B$44)/('NM Play'!$B$43+'NM Play'!$B$44)),ROUNDDOWN(G197/'NM Play'!$B$11,0)+F197*'NM Play'!$B$10/'NM Play'!$B$43)</f>
        <v/>
      </c>
      <c r="L197" s="160">
        <f>MIN(ROUNDDOWN(G197/'NM Play'!$B$11,0)+F197/('NM Play'!$B$43/'NM Play'!$B$15),ROUNDDOWN(H197/'NM Play'!$B$12,0)+F197/('NM Play'!$B$44/'NM Play'!$B$16),(F197+ROUNDDOWN(G197/'NM Play'!$B$11,0)*'NM Play'!$B$43/'NM Play'!$B$15+ROUNDDOWN(H197/'NM Play'!$B$12,0)*'NM Play'!$B$44/'NM Play'!$B$16)/('NM Play'!$B$43/'NM Play'!$B$15+'NM Play'!$B$44/'NM Play'!$B$16))</f>
        <v/>
      </c>
      <c r="M197" s="160">
        <f>F197*'NM Play'!$B$36</f>
        <v/>
      </c>
      <c r="N197" s="160">
        <f>ROUNDDOWN(MAX(0,MIN(J197,K197:M197)),0)</f>
        <v/>
      </c>
      <c r="O197" s="160">
        <f>ROUNDUP(MAX(0,N197*'NM Play'!$B$11-G197)/'NM Play'!$B$13,0)</f>
        <v/>
      </c>
      <c r="P197" s="160">
        <f>ROUNDUP(MAX(0,N197*'NM Play'!$B$12-H197)/'NM Play'!$B$14,0)</f>
        <v/>
      </c>
      <c r="Q197" s="160">
        <f>(O197+IF('Sites'!$C$8="Own sheets",P197,0))/'NM Play'!$B$10</f>
        <v/>
      </c>
      <c r="R197" s="160">
        <f>O197/'NM Play'!$B$15+P197/'NM Play'!$B$16</f>
        <v/>
      </c>
      <c r="S197" s="160">
        <f>MAX(Q197,R197,N197/'NM Play'!$B$36)</f>
        <v/>
      </c>
      <c r="T197" s="160">
        <f>Q197*'NM Play'!$B$10*'NM Play'!$B$21*(1+'NM Play'!$B$35)</f>
        <v/>
      </c>
      <c r="U197" s="160">
        <f>MAX(0,T197-I197)</f>
        <v/>
      </c>
      <c r="V197" s="160">
        <f>G197+O197*'NM Play'!$B$13-N197*'NM Play'!$B$11</f>
        <v/>
      </c>
      <c r="W197" s="160">
        <f>H197+P197*'NM Play'!$B$14-N197*'NM Play'!$B$12</f>
        <v/>
      </c>
      <c r="X197" s="160">
        <f>I197+U197-T197</f>
        <v/>
      </c>
      <c r="Y197" s="160">
        <f>MIN(N197,MAX(0,ROUNDDOWN('Sites'!$L$8*'Cases'!$E$7,0)-SUM(Y186:Y196)))</f>
        <v/>
      </c>
      <c r="Z197" s="160">
        <f>N197-Y197</f>
        <v/>
      </c>
      <c r="AA197" s="160">
        <f>U197*'NM Play'!$B$22</f>
        <v/>
      </c>
      <c r="AB197" s="160">
        <f>N197*SUM('NM Play'!$B$29:$B$31)</f>
        <v/>
      </c>
      <c r="AC197" s="160">
        <f>IF('Sites'!$C$8="Defy legs",P197*'NM Play'!$B$14/'NM Play'!$B$12*'NM Play'!$B$28,0)</f>
        <v/>
      </c>
      <c r="AD197" s="160">
        <f>Q197*'NM Play'!$B$23</f>
        <v/>
      </c>
      <c r="AE197" s="160">
        <f>S197*SUM('NM Play'!$B$26,'NM Play'!$B$33:$B$34)</f>
        <v/>
      </c>
      <c r="AF197" s="160">
        <f>IF('Sites'!$D$8="NM crew",S197*SUM('NM Play'!$B$24:$B$25),0)</f>
        <v/>
      </c>
      <c r="AG197" s="160">
        <f>IF('Sites'!$D$8="NM crew",S197*'NM Play'!$B$27,0)</f>
        <v/>
      </c>
      <c r="AH197" s="160">
        <f>N197*'Sites'!$Z$8*'NM Play'!$B$32</f>
        <v/>
      </c>
      <c r="AI197" s="160">
        <f>SUM(Y197:Z197)*'Sites'!$R$8</f>
        <v/>
      </c>
      <c r="AJ197" s="160">
        <f>SUM(AA197:AH197)</f>
        <v/>
      </c>
      <c r="AK197" s="160">
        <f>AJ197+(T197-U197)*'NM Play'!$B$22+MIN(G197,N197*'NM Play'!$B$11)/'NM Play'!$B$13*'NM Play'!$B$21*'NM Play'!$B$22+MIN(H197,N197*'NM Play'!$B$12)/'NM Play'!$B$14*IF('Sites'!$C$8="Own sheets",'NM Play'!$B$21*'NM Play'!$B$22,'NM Play'!$B$28*'NM Play'!$B$14/'NM Play'!$B$12)</f>
        <v/>
      </c>
      <c r="AL197" s="160">
        <f>Y197*'Assumptions'!O66</f>
        <v/>
      </c>
      <c r="AM197" s="160">
        <f>IF('Sites'!$D$8="NM crew",S197*'NM Play'!$B$37*(1+IF(AND(ISNUMBER('NM Play'!$B$25),'NM Play'!$B$25&gt;0),1,0)),"")</f>
        <v/>
      </c>
      <c r="AN197" s="160">
        <f>IF(OR('Sites'!$E$8&lt;0,'Sites'!$E$8&gt;1,'Sites'!$F$8&lt;1,'Sites'!$G$8&lt;'Sites'!$F$8,F197&lt;0,MIN('Sites'!$I$8:'Sites'!$R$8)&lt;0,'Sites'!$L$8&gt;'Sites'!$I$8,'Sites'!$M$8&gt;'Sites'!$J$8,'Sites'!$N$8&gt;'Sites'!$K$8,'Sites'!$Z$8&lt;0,'Sites'!$Z$8&gt;1,MIN('Sites'!$AA$8:'Sites'!$AC$8)&lt;0,S197&gt;F197+0.001),1,0)</f>
        <v/>
      </c>
      <c r="AO197" s="160">
        <f>I197+U197-T197-X197</f>
        <v/>
      </c>
    </row>
    <row r="198" ht="28" customHeight="1">
      <c r="A198" s="4" t="inlineStr">
        <is>
          <t>Smaller</t>
        </is>
      </c>
      <c r="B198" s="4" t="inlineStr">
        <is>
          <t>NEW2</t>
        </is>
      </c>
      <c r="C198" s="160" t="n">
        <v>13</v>
      </c>
      <c r="D198" s="160">
        <f>ROUNDUP(C198/12,0)</f>
        <v/>
      </c>
      <c r="E198" s="160">
        <f>IF(AND('Sites'!$E$8*'Cases'!$F$7=1,C198&gt;='Sites'!$F$8+'Cases'!$G$7,C198&lt;='Sites'!$G$8),1,0)</f>
        <v/>
      </c>
      <c r="F198" s="160">
        <f>E198*'Assumptions'!P69</f>
        <v/>
      </c>
      <c r="G198" s="160">
        <f>V197</f>
        <v/>
      </c>
      <c r="H198" s="160">
        <f>W197</f>
        <v/>
      </c>
      <c r="I198" s="160">
        <f>X197</f>
        <v/>
      </c>
      <c r="J198" s="160">
        <f>MAX(0,'Sites'!$J$8-0)</f>
        <v/>
      </c>
      <c r="K198" s="160">
        <f>IF('Sites'!$C$8="Own sheets",MIN(ROUNDDOWN(G198/'NM Play'!$B$11,0)+F198*'NM Play'!$B$10/'NM Play'!$B$43,ROUNDDOWN(H198/'NM Play'!$B$12,0)+F198*'NM Play'!$B$10/'NM Play'!$B$44,(F198*'NM Play'!$B$10+ROUNDDOWN(G198/'NM Play'!$B$11,0)*'NM Play'!$B$43+ROUNDDOWN(H198/'NM Play'!$B$12,0)*'NM Play'!$B$44)/('NM Play'!$B$43+'NM Play'!$B$44)),ROUNDDOWN(G198/'NM Play'!$B$11,0)+F198*'NM Play'!$B$10/'NM Play'!$B$43)</f>
        <v/>
      </c>
      <c r="L198" s="160">
        <f>MIN(ROUNDDOWN(G198/'NM Play'!$B$11,0)+F198/('NM Play'!$B$43/'NM Play'!$B$15),ROUNDDOWN(H198/'NM Play'!$B$12,0)+F198/('NM Play'!$B$44/'NM Play'!$B$16),(F198+ROUNDDOWN(G198/'NM Play'!$B$11,0)*'NM Play'!$B$43/'NM Play'!$B$15+ROUNDDOWN(H198/'NM Play'!$B$12,0)*'NM Play'!$B$44/'NM Play'!$B$16)/('NM Play'!$B$43/'NM Play'!$B$15+'NM Play'!$B$44/'NM Play'!$B$16))</f>
        <v/>
      </c>
      <c r="M198" s="160">
        <f>F198*'NM Play'!$B$36</f>
        <v/>
      </c>
      <c r="N198" s="160">
        <f>ROUNDDOWN(MAX(0,MIN(J198,K198:M198)),0)</f>
        <v/>
      </c>
      <c r="O198" s="160">
        <f>ROUNDUP(MAX(0,N198*'NM Play'!$B$11-G198)/'NM Play'!$B$13,0)</f>
        <v/>
      </c>
      <c r="P198" s="160">
        <f>ROUNDUP(MAX(0,N198*'NM Play'!$B$12-H198)/'NM Play'!$B$14,0)</f>
        <v/>
      </c>
      <c r="Q198" s="160">
        <f>(O198+IF('Sites'!$C$8="Own sheets",P198,0))/'NM Play'!$B$10</f>
        <v/>
      </c>
      <c r="R198" s="160">
        <f>O198/'NM Play'!$B$15+P198/'NM Play'!$B$16</f>
        <v/>
      </c>
      <c r="S198" s="160">
        <f>MAX(Q198,R198,N198/'NM Play'!$B$36)</f>
        <v/>
      </c>
      <c r="T198" s="160">
        <f>Q198*'NM Play'!$B$10*'NM Play'!$B$21*(1+'NM Play'!$B$35)</f>
        <v/>
      </c>
      <c r="U198" s="160">
        <f>MAX(0,T198-I198)</f>
        <v/>
      </c>
      <c r="V198" s="160">
        <f>G198+O198*'NM Play'!$B$13-N198*'NM Play'!$B$11</f>
        <v/>
      </c>
      <c r="W198" s="160">
        <f>H198+P198*'NM Play'!$B$14-N198*'NM Play'!$B$12</f>
        <v/>
      </c>
      <c r="X198" s="160">
        <f>I198+U198-T198</f>
        <v/>
      </c>
      <c r="Y198" s="160">
        <f>MIN(N198,MAX(0,ROUNDDOWN('Sites'!$M$8*'Cases'!$E$7,0)-0))</f>
        <v/>
      </c>
      <c r="Z198" s="160">
        <f>N198-Y198</f>
        <v/>
      </c>
      <c r="AA198" s="160">
        <f>U198*'NM Play'!$B$22</f>
        <v/>
      </c>
      <c r="AB198" s="160">
        <f>N198*SUM('NM Play'!$B$29:$B$31)</f>
        <v/>
      </c>
      <c r="AC198" s="160">
        <f>IF('Sites'!$C$8="Defy legs",P198*'NM Play'!$B$14/'NM Play'!$B$12*'NM Play'!$B$28,0)</f>
        <v/>
      </c>
      <c r="AD198" s="160">
        <f>Q198*'NM Play'!$B$23</f>
        <v/>
      </c>
      <c r="AE198" s="160">
        <f>S198*SUM('NM Play'!$B$26,'NM Play'!$B$33:$B$34)</f>
        <v/>
      </c>
      <c r="AF198" s="160">
        <f>IF('Sites'!$D$8="NM crew",S198*SUM('NM Play'!$B$24:$B$25),0)</f>
        <v/>
      </c>
      <c r="AG198" s="160">
        <f>IF('Sites'!$D$8="NM crew",S198*'NM Play'!$B$27,0)</f>
        <v/>
      </c>
      <c r="AH198" s="160">
        <f>N198*'Sites'!$Z$8*'NM Play'!$B$32</f>
        <v/>
      </c>
      <c r="AI198" s="160">
        <f>SUM(Y198:Z198)*'Sites'!$R$8</f>
        <v/>
      </c>
      <c r="AJ198" s="160">
        <f>SUM(AA198:AH198)</f>
        <v/>
      </c>
      <c r="AK198" s="160">
        <f>AJ198+(T198-U198)*'NM Play'!$B$22+MIN(G198,N198*'NM Play'!$B$11)/'NM Play'!$B$13*'NM Play'!$B$21*'NM Play'!$B$22+MIN(H198,N198*'NM Play'!$B$12)/'NM Play'!$B$14*IF('Sites'!$C$8="Own sheets",'NM Play'!$B$21*'NM Play'!$B$22,'NM Play'!$B$28*'NM Play'!$B$14/'NM Play'!$B$12)</f>
        <v/>
      </c>
      <c r="AL198" s="160">
        <f>Y198*'Assumptions'!P66</f>
        <v/>
      </c>
      <c r="AM198" s="160">
        <f>IF('Sites'!$D$8="NM crew",S198*'NM Play'!$B$37*(1+IF(AND(ISNUMBER('NM Play'!$B$25),'NM Play'!$B$25&gt;0),1,0)),"")</f>
        <v/>
      </c>
      <c r="AN198" s="160">
        <f>IF(OR('Sites'!$E$8&lt;0,'Sites'!$E$8&gt;1,'Sites'!$F$8&lt;1,'Sites'!$G$8&lt;'Sites'!$F$8,F198&lt;0,MIN('Sites'!$I$8:'Sites'!$R$8)&lt;0,'Sites'!$L$8&gt;'Sites'!$I$8,'Sites'!$M$8&gt;'Sites'!$J$8,'Sites'!$N$8&gt;'Sites'!$K$8,'Sites'!$Z$8&lt;0,'Sites'!$Z$8&gt;1,MIN('Sites'!$AA$8:'Sites'!$AC$8)&lt;0,S198&gt;F198+0.001),1,0)</f>
        <v/>
      </c>
      <c r="AO198" s="160">
        <f>I198+U198-T198-X198</f>
        <v/>
      </c>
    </row>
    <row r="199" ht="28" customHeight="1">
      <c r="A199" s="4" t="inlineStr">
        <is>
          <t>Smaller</t>
        </is>
      </c>
      <c r="B199" s="4" t="inlineStr">
        <is>
          <t>NEW2</t>
        </is>
      </c>
      <c r="C199" s="160" t="n">
        <v>14</v>
      </c>
      <c r="D199" s="160">
        <f>ROUNDUP(C199/12,0)</f>
        <v/>
      </c>
      <c r="E199" s="160">
        <f>IF(AND('Sites'!$E$8*'Cases'!$F$7=1,C199&gt;='Sites'!$F$8+'Cases'!$G$7,C199&lt;='Sites'!$G$8),1,0)</f>
        <v/>
      </c>
      <c r="F199" s="160">
        <f>E199*'Assumptions'!Q69</f>
        <v/>
      </c>
      <c r="G199" s="160">
        <f>V198</f>
        <v/>
      </c>
      <c r="H199" s="160">
        <f>W198</f>
        <v/>
      </c>
      <c r="I199" s="160">
        <f>X198</f>
        <v/>
      </c>
      <c r="J199" s="160">
        <f>MAX(0,'Sites'!$J$8-SUM(N198:N198))</f>
        <v/>
      </c>
      <c r="K199" s="160">
        <f>IF('Sites'!$C$8="Own sheets",MIN(ROUNDDOWN(G199/'NM Play'!$B$11,0)+F199*'NM Play'!$B$10/'NM Play'!$B$43,ROUNDDOWN(H199/'NM Play'!$B$12,0)+F199*'NM Play'!$B$10/'NM Play'!$B$44,(F199*'NM Play'!$B$10+ROUNDDOWN(G199/'NM Play'!$B$11,0)*'NM Play'!$B$43+ROUNDDOWN(H199/'NM Play'!$B$12,0)*'NM Play'!$B$44)/('NM Play'!$B$43+'NM Play'!$B$44)),ROUNDDOWN(G199/'NM Play'!$B$11,0)+F199*'NM Play'!$B$10/'NM Play'!$B$43)</f>
        <v/>
      </c>
      <c r="L199" s="160">
        <f>MIN(ROUNDDOWN(G199/'NM Play'!$B$11,0)+F199/('NM Play'!$B$43/'NM Play'!$B$15),ROUNDDOWN(H199/'NM Play'!$B$12,0)+F199/('NM Play'!$B$44/'NM Play'!$B$16),(F199+ROUNDDOWN(G199/'NM Play'!$B$11,0)*'NM Play'!$B$43/'NM Play'!$B$15+ROUNDDOWN(H199/'NM Play'!$B$12,0)*'NM Play'!$B$44/'NM Play'!$B$16)/('NM Play'!$B$43/'NM Play'!$B$15+'NM Play'!$B$44/'NM Play'!$B$16))</f>
        <v/>
      </c>
      <c r="M199" s="160">
        <f>F199*'NM Play'!$B$36</f>
        <v/>
      </c>
      <c r="N199" s="160">
        <f>ROUNDDOWN(MAX(0,MIN(J199,K199:M199)),0)</f>
        <v/>
      </c>
      <c r="O199" s="160">
        <f>ROUNDUP(MAX(0,N199*'NM Play'!$B$11-G199)/'NM Play'!$B$13,0)</f>
        <v/>
      </c>
      <c r="P199" s="160">
        <f>ROUNDUP(MAX(0,N199*'NM Play'!$B$12-H199)/'NM Play'!$B$14,0)</f>
        <v/>
      </c>
      <c r="Q199" s="160">
        <f>(O199+IF('Sites'!$C$8="Own sheets",P199,0))/'NM Play'!$B$10</f>
        <v/>
      </c>
      <c r="R199" s="160">
        <f>O199/'NM Play'!$B$15+P199/'NM Play'!$B$16</f>
        <v/>
      </c>
      <c r="S199" s="160">
        <f>MAX(Q199,R199,N199/'NM Play'!$B$36)</f>
        <v/>
      </c>
      <c r="T199" s="160">
        <f>Q199*'NM Play'!$B$10*'NM Play'!$B$21*(1+'NM Play'!$B$35)</f>
        <v/>
      </c>
      <c r="U199" s="160">
        <f>MAX(0,T199-I199)</f>
        <v/>
      </c>
      <c r="V199" s="160">
        <f>G199+O199*'NM Play'!$B$13-N199*'NM Play'!$B$11</f>
        <v/>
      </c>
      <c r="W199" s="160">
        <f>H199+P199*'NM Play'!$B$14-N199*'NM Play'!$B$12</f>
        <v/>
      </c>
      <c r="X199" s="160">
        <f>I199+U199-T199</f>
        <v/>
      </c>
      <c r="Y199" s="160">
        <f>MIN(N199,MAX(0,ROUNDDOWN('Sites'!$M$8*'Cases'!$E$7,0)-SUM(Y198:Y198)))</f>
        <v/>
      </c>
      <c r="Z199" s="160">
        <f>N199-Y199</f>
        <v/>
      </c>
      <c r="AA199" s="160">
        <f>U199*'NM Play'!$B$22</f>
        <v/>
      </c>
      <c r="AB199" s="160">
        <f>N199*SUM('NM Play'!$B$29:$B$31)</f>
        <v/>
      </c>
      <c r="AC199" s="160">
        <f>IF('Sites'!$C$8="Defy legs",P199*'NM Play'!$B$14/'NM Play'!$B$12*'NM Play'!$B$28,0)</f>
        <v/>
      </c>
      <c r="AD199" s="160">
        <f>Q199*'NM Play'!$B$23</f>
        <v/>
      </c>
      <c r="AE199" s="160">
        <f>S199*SUM('NM Play'!$B$26,'NM Play'!$B$33:$B$34)</f>
        <v/>
      </c>
      <c r="AF199" s="160">
        <f>IF('Sites'!$D$8="NM crew",S199*SUM('NM Play'!$B$24:$B$25),0)</f>
        <v/>
      </c>
      <c r="AG199" s="160">
        <f>IF('Sites'!$D$8="NM crew",S199*'NM Play'!$B$27,0)</f>
        <v/>
      </c>
      <c r="AH199" s="160">
        <f>N199*'Sites'!$Z$8*'NM Play'!$B$32</f>
        <v/>
      </c>
      <c r="AI199" s="160">
        <f>SUM(Y199:Z199)*'Sites'!$R$8</f>
        <v/>
      </c>
      <c r="AJ199" s="160">
        <f>SUM(AA199:AH199)</f>
        <v/>
      </c>
      <c r="AK199" s="160">
        <f>AJ199+(T199-U199)*'NM Play'!$B$22+MIN(G199,N199*'NM Play'!$B$11)/'NM Play'!$B$13*'NM Play'!$B$21*'NM Play'!$B$22+MIN(H199,N199*'NM Play'!$B$12)/'NM Play'!$B$14*IF('Sites'!$C$8="Own sheets",'NM Play'!$B$21*'NM Play'!$B$22,'NM Play'!$B$28*'NM Play'!$B$14/'NM Play'!$B$12)</f>
        <v/>
      </c>
      <c r="AL199" s="160">
        <f>Y199*'Assumptions'!Q66</f>
        <v/>
      </c>
      <c r="AM199" s="160">
        <f>IF('Sites'!$D$8="NM crew",S199*'NM Play'!$B$37*(1+IF(AND(ISNUMBER('NM Play'!$B$25),'NM Play'!$B$25&gt;0),1,0)),"")</f>
        <v/>
      </c>
      <c r="AN199" s="160">
        <f>IF(OR('Sites'!$E$8&lt;0,'Sites'!$E$8&gt;1,'Sites'!$F$8&lt;1,'Sites'!$G$8&lt;'Sites'!$F$8,F199&lt;0,MIN('Sites'!$I$8:'Sites'!$R$8)&lt;0,'Sites'!$L$8&gt;'Sites'!$I$8,'Sites'!$M$8&gt;'Sites'!$J$8,'Sites'!$N$8&gt;'Sites'!$K$8,'Sites'!$Z$8&lt;0,'Sites'!$Z$8&gt;1,MIN('Sites'!$AA$8:'Sites'!$AC$8)&lt;0,S199&gt;F199+0.001),1,0)</f>
        <v/>
      </c>
      <c r="AO199" s="160">
        <f>I199+U199-T199-X199</f>
        <v/>
      </c>
    </row>
    <row r="200" ht="28" customHeight="1">
      <c r="A200" s="4" t="inlineStr">
        <is>
          <t>Smaller</t>
        </is>
      </c>
      <c r="B200" s="4" t="inlineStr">
        <is>
          <t>NEW2</t>
        </is>
      </c>
      <c r="C200" s="160" t="n">
        <v>15</v>
      </c>
      <c r="D200" s="160">
        <f>ROUNDUP(C200/12,0)</f>
        <v/>
      </c>
      <c r="E200" s="160">
        <f>IF(AND('Sites'!$E$8*'Cases'!$F$7=1,C200&gt;='Sites'!$F$8+'Cases'!$G$7,C200&lt;='Sites'!$G$8),1,0)</f>
        <v/>
      </c>
      <c r="F200" s="160">
        <f>E200*'Assumptions'!R69</f>
        <v/>
      </c>
      <c r="G200" s="160">
        <f>V199</f>
        <v/>
      </c>
      <c r="H200" s="160">
        <f>W199</f>
        <v/>
      </c>
      <c r="I200" s="160">
        <f>X199</f>
        <v/>
      </c>
      <c r="J200" s="160">
        <f>MAX(0,'Sites'!$J$8-SUM(N198:N199))</f>
        <v/>
      </c>
      <c r="K200" s="160">
        <f>IF('Sites'!$C$8="Own sheets",MIN(ROUNDDOWN(G200/'NM Play'!$B$11,0)+F200*'NM Play'!$B$10/'NM Play'!$B$43,ROUNDDOWN(H200/'NM Play'!$B$12,0)+F200*'NM Play'!$B$10/'NM Play'!$B$44,(F200*'NM Play'!$B$10+ROUNDDOWN(G200/'NM Play'!$B$11,0)*'NM Play'!$B$43+ROUNDDOWN(H200/'NM Play'!$B$12,0)*'NM Play'!$B$44)/('NM Play'!$B$43+'NM Play'!$B$44)),ROUNDDOWN(G200/'NM Play'!$B$11,0)+F200*'NM Play'!$B$10/'NM Play'!$B$43)</f>
        <v/>
      </c>
      <c r="L200" s="160">
        <f>MIN(ROUNDDOWN(G200/'NM Play'!$B$11,0)+F200/('NM Play'!$B$43/'NM Play'!$B$15),ROUNDDOWN(H200/'NM Play'!$B$12,0)+F200/('NM Play'!$B$44/'NM Play'!$B$16),(F200+ROUNDDOWN(G200/'NM Play'!$B$11,0)*'NM Play'!$B$43/'NM Play'!$B$15+ROUNDDOWN(H200/'NM Play'!$B$12,0)*'NM Play'!$B$44/'NM Play'!$B$16)/('NM Play'!$B$43/'NM Play'!$B$15+'NM Play'!$B$44/'NM Play'!$B$16))</f>
        <v/>
      </c>
      <c r="M200" s="160">
        <f>F200*'NM Play'!$B$36</f>
        <v/>
      </c>
      <c r="N200" s="160">
        <f>ROUNDDOWN(MAX(0,MIN(J200,K200:M200)),0)</f>
        <v/>
      </c>
      <c r="O200" s="160">
        <f>ROUNDUP(MAX(0,N200*'NM Play'!$B$11-G200)/'NM Play'!$B$13,0)</f>
        <v/>
      </c>
      <c r="P200" s="160">
        <f>ROUNDUP(MAX(0,N200*'NM Play'!$B$12-H200)/'NM Play'!$B$14,0)</f>
        <v/>
      </c>
      <c r="Q200" s="160">
        <f>(O200+IF('Sites'!$C$8="Own sheets",P200,0))/'NM Play'!$B$10</f>
        <v/>
      </c>
      <c r="R200" s="160">
        <f>O200/'NM Play'!$B$15+P200/'NM Play'!$B$16</f>
        <v/>
      </c>
      <c r="S200" s="160">
        <f>MAX(Q200,R200,N200/'NM Play'!$B$36)</f>
        <v/>
      </c>
      <c r="T200" s="160">
        <f>Q200*'NM Play'!$B$10*'NM Play'!$B$21*(1+'NM Play'!$B$35)</f>
        <v/>
      </c>
      <c r="U200" s="160">
        <f>MAX(0,T200-I200)</f>
        <v/>
      </c>
      <c r="V200" s="160">
        <f>G200+O200*'NM Play'!$B$13-N200*'NM Play'!$B$11</f>
        <v/>
      </c>
      <c r="W200" s="160">
        <f>H200+P200*'NM Play'!$B$14-N200*'NM Play'!$B$12</f>
        <v/>
      </c>
      <c r="X200" s="160">
        <f>I200+U200-T200</f>
        <v/>
      </c>
      <c r="Y200" s="160">
        <f>MIN(N200,MAX(0,ROUNDDOWN('Sites'!$M$8*'Cases'!$E$7,0)-SUM(Y198:Y199)))</f>
        <v/>
      </c>
      <c r="Z200" s="160">
        <f>N200-Y200</f>
        <v/>
      </c>
      <c r="AA200" s="160">
        <f>U200*'NM Play'!$B$22</f>
        <v/>
      </c>
      <c r="AB200" s="160">
        <f>N200*SUM('NM Play'!$B$29:$B$31)</f>
        <v/>
      </c>
      <c r="AC200" s="160">
        <f>IF('Sites'!$C$8="Defy legs",P200*'NM Play'!$B$14/'NM Play'!$B$12*'NM Play'!$B$28,0)</f>
        <v/>
      </c>
      <c r="AD200" s="160">
        <f>Q200*'NM Play'!$B$23</f>
        <v/>
      </c>
      <c r="AE200" s="160">
        <f>S200*SUM('NM Play'!$B$26,'NM Play'!$B$33:$B$34)</f>
        <v/>
      </c>
      <c r="AF200" s="160">
        <f>IF('Sites'!$D$8="NM crew",S200*SUM('NM Play'!$B$24:$B$25),0)</f>
        <v/>
      </c>
      <c r="AG200" s="160">
        <f>IF('Sites'!$D$8="NM crew",S200*'NM Play'!$B$27,0)</f>
        <v/>
      </c>
      <c r="AH200" s="160">
        <f>N200*'Sites'!$Z$8*'NM Play'!$B$32</f>
        <v/>
      </c>
      <c r="AI200" s="160">
        <f>SUM(Y200:Z200)*'Sites'!$R$8</f>
        <v/>
      </c>
      <c r="AJ200" s="160">
        <f>SUM(AA200:AH200)</f>
        <v/>
      </c>
      <c r="AK200" s="160">
        <f>AJ200+(T200-U200)*'NM Play'!$B$22+MIN(G200,N200*'NM Play'!$B$11)/'NM Play'!$B$13*'NM Play'!$B$21*'NM Play'!$B$22+MIN(H200,N200*'NM Play'!$B$12)/'NM Play'!$B$14*IF('Sites'!$C$8="Own sheets",'NM Play'!$B$21*'NM Play'!$B$22,'NM Play'!$B$28*'NM Play'!$B$14/'NM Play'!$B$12)</f>
        <v/>
      </c>
      <c r="AL200" s="160">
        <f>Y200*'Assumptions'!R66</f>
        <v/>
      </c>
      <c r="AM200" s="160">
        <f>IF('Sites'!$D$8="NM crew",S200*'NM Play'!$B$37*(1+IF(AND(ISNUMBER('NM Play'!$B$25),'NM Play'!$B$25&gt;0),1,0)),"")</f>
        <v/>
      </c>
      <c r="AN200" s="160">
        <f>IF(OR('Sites'!$E$8&lt;0,'Sites'!$E$8&gt;1,'Sites'!$F$8&lt;1,'Sites'!$G$8&lt;'Sites'!$F$8,F200&lt;0,MIN('Sites'!$I$8:'Sites'!$R$8)&lt;0,'Sites'!$L$8&gt;'Sites'!$I$8,'Sites'!$M$8&gt;'Sites'!$J$8,'Sites'!$N$8&gt;'Sites'!$K$8,'Sites'!$Z$8&lt;0,'Sites'!$Z$8&gt;1,MIN('Sites'!$AA$8:'Sites'!$AC$8)&lt;0,S200&gt;F200+0.001),1,0)</f>
        <v/>
      </c>
      <c r="AO200" s="160">
        <f>I200+U200-T200-X200</f>
        <v/>
      </c>
    </row>
    <row r="201" ht="28" customHeight="1">
      <c r="A201" s="4" t="inlineStr">
        <is>
          <t>Smaller</t>
        </is>
      </c>
      <c r="B201" s="4" t="inlineStr">
        <is>
          <t>NEW2</t>
        </is>
      </c>
      <c r="C201" s="160" t="n">
        <v>16</v>
      </c>
      <c r="D201" s="160">
        <f>ROUNDUP(C201/12,0)</f>
        <v/>
      </c>
      <c r="E201" s="160">
        <f>IF(AND('Sites'!$E$8*'Cases'!$F$7=1,C201&gt;='Sites'!$F$8+'Cases'!$G$7,C201&lt;='Sites'!$G$8),1,0)</f>
        <v/>
      </c>
      <c r="F201" s="160">
        <f>E201*'Assumptions'!S69</f>
        <v/>
      </c>
      <c r="G201" s="160">
        <f>V200</f>
        <v/>
      </c>
      <c r="H201" s="160">
        <f>W200</f>
        <v/>
      </c>
      <c r="I201" s="160">
        <f>X200</f>
        <v/>
      </c>
      <c r="J201" s="160">
        <f>MAX(0,'Sites'!$J$8-SUM(N198:N200))</f>
        <v/>
      </c>
      <c r="K201" s="160">
        <f>IF('Sites'!$C$8="Own sheets",MIN(ROUNDDOWN(G201/'NM Play'!$B$11,0)+F201*'NM Play'!$B$10/'NM Play'!$B$43,ROUNDDOWN(H201/'NM Play'!$B$12,0)+F201*'NM Play'!$B$10/'NM Play'!$B$44,(F201*'NM Play'!$B$10+ROUNDDOWN(G201/'NM Play'!$B$11,0)*'NM Play'!$B$43+ROUNDDOWN(H201/'NM Play'!$B$12,0)*'NM Play'!$B$44)/('NM Play'!$B$43+'NM Play'!$B$44)),ROUNDDOWN(G201/'NM Play'!$B$11,0)+F201*'NM Play'!$B$10/'NM Play'!$B$43)</f>
        <v/>
      </c>
      <c r="L201" s="160">
        <f>MIN(ROUNDDOWN(G201/'NM Play'!$B$11,0)+F201/('NM Play'!$B$43/'NM Play'!$B$15),ROUNDDOWN(H201/'NM Play'!$B$12,0)+F201/('NM Play'!$B$44/'NM Play'!$B$16),(F201+ROUNDDOWN(G201/'NM Play'!$B$11,0)*'NM Play'!$B$43/'NM Play'!$B$15+ROUNDDOWN(H201/'NM Play'!$B$12,0)*'NM Play'!$B$44/'NM Play'!$B$16)/('NM Play'!$B$43/'NM Play'!$B$15+'NM Play'!$B$44/'NM Play'!$B$16))</f>
        <v/>
      </c>
      <c r="M201" s="160">
        <f>F201*'NM Play'!$B$36</f>
        <v/>
      </c>
      <c r="N201" s="160">
        <f>ROUNDDOWN(MAX(0,MIN(J201,K201:M201)),0)</f>
        <v/>
      </c>
      <c r="O201" s="160">
        <f>ROUNDUP(MAX(0,N201*'NM Play'!$B$11-G201)/'NM Play'!$B$13,0)</f>
        <v/>
      </c>
      <c r="P201" s="160">
        <f>ROUNDUP(MAX(0,N201*'NM Play'!$B$12-H201)/'NM Play'!$B$14,0)</f>
        <v/>
      </c>
      <c r="Q201" s="160">
        <f>(O201+IF('Sites'!$C$8="Own sheets",P201,0))/'NM Play'!$B$10</f>
        <v/>
      </c>
      <c r="R201" s="160">
        <f>O201/'NM Play'!$B$15+P201/'NM Play'!$B$16</f>
        <v/>
      </c>
      <c r="S201" s="160">
        <f>MAX(Q201,R201,N201/'NM Play'!$B$36)</f>
        <v/>
      </c>
      <c r="T201" s="160">
        <f>Q201*'NM Play'!$B$10*'NM Play'!$B$21*(1+'NM Play'!$B$35)</f>
        <v/>
      </c>
      <c r="U201" s="160">
        <f>MAX(0,T201-I201)</f>
        <v/>
      </c>
      <c r="V201" s="160">
        <f>G201+O201*'NM Play'!$B$13-N201*'NM Play'!$B$11</f>
        <v/>
      </c>
      <c r="W201" s="160">
        <f>H201+P201*'NM Play'!$B$14-N201*'NM Play'!$B$12</f>
        <v/>
      </c>
      <c r="X201" s="160">
        <f>I201+U201-T201</f>
        <v/>
      </c>
      <c r="Y201" s="160">
        <f>MIN(N201,MAX(0,ROUNDDOWN('Sites'!$M$8*'Cases'!$E$7,0)-SUM(Y198:Y200)))</f>
        <v/>
      </c>
      <c r="Z201" s="160">
        <f>N201-Y201</f>
        <v/>
      </c>
      <c r="AA201" s="160">
        <f>U201*'NM Play'!$B$22</f>
        <v/>
      </c>
      <c r="AB201" s="160">
        <f>N201*SUM('NM Play'!$B$29:$B$31)</f>
        <v/>
      </c>
      <c r="AC201" s="160">
        <f>IF('Sites'!$C$8="Defy legs",P201*'NM Play'!$B$14/'NM Play'!$B$12*'NM Play'!$B$28,0)</f>
        <v/>
      </c>
      <c r="AD201" s="160">
        <f>Q201*'NM Play'!$B$23</f>
        <v/>
      </c>
      <c r="AE201" s="160">
        <f>S201*SUM('NM Play'!$B$26,'NM Play'!$B$33:$B$34)</f>
        <v/>
      </c>
      <c r="AF201" s="160">
        <f>IF('Sites'!$D$8="NM crew",S201*SUM('NM Play'!$B$24:$B$25),0)</f>
        <v/>
      </c>
      <c r="AG201" s="160">
        <f>IF('Sites'!$D$8="NM crew",S201*'NM Play'!$B$27,0)</f>
        <v/>
      </c>
      <c r="AH201" s="160">
        <f>N201*'Sites'!$Z$8*'NM Play'!$B$32</f>
        <v/>
      </c>
      <c r="AI201" s="160">
        <f>SUM(Y201:Z201)*'Sites'!$R$8</f>
        <v/>
      </c>
      <c r="AJ201" s="160">
        <f>SUM(AA201:AH201)</f>
        <v/>
      </c>
      <c r="AK201" s="160">
        <f>AJ201+(T201-U201)*'NM Play'!$B$22+MIN(G201,N201*'NM Play'!$B$11)/'NM Play'!$B$13*'NM Play'!$B$21*'NM Play'!$B$22+MIN(H201,N201*'NM Play'!$B$12)/'NM Play'!$B$14*IF('Sites'!$C$8="Own sheets",'NM Play'!$B$21*'NM Play'!$B$22,'NM Play'!$B$28*'NM Play'!$B$14/'NM Play'!$B$12)</f>
        <v/>
      </c>
      <c r="AL201" s="160">
        <f>Y201*'Assumptions'!S66</f>
        <v/>
      </c>
      <c r="AM201" s="160">
        <f>IF('Sites'!$D$8="NM crew",S201*'NM Play'!$B$37*(1+IF(AND(ISNUMBER('NM Play'!$B$25),'NM Play'!$B$25&gt;0),1,0)),"")</f>
        <v/>
      </c>
      <c r="AN201" s="160">
        <f>IF(OR('Sites'!$E$8&lt;0,'Sites'!$E$8&gt;1,'Sites'!$F$8&lt;1,'Sites'!$G$8&lt;'Sites'!$F$8,F201&lt;0,MIN('Sites'!$I$8:'Sites'!$R$8)&lt;0,'Sites'!$L$8&gt;'Sites'!$I$8,'Sites'!$M$8&gt;'Sites'!$J$8,'Sites'!$N$8&gt;'Sites'!$K$8,'Sites'!$Z$8&lt;0,'Sites'!$Z$8&gt;1,MIN('Sites'!$AA$8:'Sites'!$AC$8)&lt;0,S201&gt;F201+0.001),1,0)</f>
        <v/>
      </c>
      <c r="AO201" s="160">
        <f>I201+U201-T201-X201</f>
        <v/>
      </c>
    </row>
    <row r="202" ht="28" customHeight="1">
      <c r="A202" s="4" t="inlineStr">
        <is>
          <t>Smaller</t>
        </is>
      </c>
      <c r="B202" s="4" t="inlineStr">
        <is>
          <t>NEW2</t>
        </is>
      </c>
      <c r="C202" s="160" t="n">
        <v>17</v>
      </c>
      <c r="D202" s="160">
        <f>ROUNDUP(C202/12,0)</f>
        <v/>
      </c>
      <c r="E202" s="160">
        <f>IF(AND('Sites'!$E$8*'Cases'!$F$7=1,C202&gt;='Sites'!$F$8+'Cases'!$G$7,C202&lt;='Sites'!$G$8),1,0)</f>
        <v/>
      </c>
      <c r="F202" s="160">
        <f>E202*'Assumptions'!T69</f>
        <v/>
      </c>
      <c r="G202" s="160">
        <f>V201</f>
        <v/>
      </c>
      <c r="H202" s="160">
        <f>W201</f>
        <v/>
      </c>
      <c r="I202" s="160">
        <f>X201</f>
        <v/>
      </c>
      <c r="J202" s="160">
        <f>MAX(0,'Sites'!$J$8-SUM(N198:N201))</f>
        <v/>
      </c>
      <c r="K202" s="160">
        <f>IF('Sites'!$C$8="Own sheets",MIN(ROUNDDOWN(G202/'NM Play'!$B$11,0)+F202*'NM Play'!$B$10/'NM Play'!$B$43,ROUNDDOWN(H202/'NM Play'!$B$12,0)+F202*'NM Play'!$B$10/'NM Play'!$B$44,(F202*'NM Play'!$B$10+ROUNDDOWN(G202/'NM Play'!$B$11,0)*'NM Play'!$B$43+ROUNDDOWN(H202/'NM Play'!$B$12,0)*'NM Play'!$B$44)/('NM Play'!$B$43+'NM Play'!$B$44)),ROUNDDOWN(G202/'NM Play'!$B$11,0)+F202*'NM Play'!$B$10/'NM Play'!$B$43)</f>
        <v/>
      </c>
      <c r="L202" s="160">
        <f>MIN(ROUNDDOWN(G202/'NM Play'!$B$11,0)+F202/('NM Play'!$B$43/'NM Play'!$B$15),ROUNDDOWN(H202/'NM Play'!$B$12,0)+F202/('NM Play'!$B$44/'NM Play'!$B$16),(F202+ROUNDDOWN(G202/'NM Play'!$B$11,0)*'NM Play'!$B$43/'NM Play'!$B$15+ROUNDDOWN(H202/'NM Play'!$B$12,0)*'NM Play'!$B$44/'NM Play'!$B$16)/('NM Play'!$B$43/'NM Play'!$B$15+'NM Play'!$B$44/'NM Play'!$B$16))</f>
        <v/>
      </c>
      <c r="M202" s="160">
        <f>F202*'NM Play'!$B$36</f>
        <v/>
      </c>
      <c r="N202" s="160">
        <f>ROUNDDOWN(MAX(0,MIN(J202,K202:M202)),0)</f>
        <v/>
      </c>
      <c r="O202" s="160">
        <f>ROUNDUP(MAX(0,N202*'NM Play'!$B$11-G202)/'NM Play'!$B$13,0)</f>
        <v/>
      </c>
      <c r="P202" s="160">
        <f>ROUNDUP(MAX(0,N202*'NM Play'!$B$12-H202)/'NM Play'!$B$14,0)</f>
        <v/>
      </c>
      <c r="Q202" s="160">
        <f>(O202+IF('Sites'!$C$8="Own sheets",P202,0))/'NM Play'!$B$10</f>
        <v/>
      </c>
      <c r="R202" s="160">
        <f>O202/'NM Play'!$B$15+P202/'NM Play'!$B$16</f>
        <v/>
      </c>
      <c r="S202" s="160">
        <f>MAX(Q202,R202,N202/'NM Play'!$B$36)</f>
        <v/>
      </c>
      <c r="T202" s="160">
        <f>Q202*'NM Play'!$B$10*'NM Play'!$B$21*(1+'NM Play'!$B$35)</f>
        <v/>
      </c>
      <c r="U202" s="160">
        <f>MAX(0,T202-I202)</f>
        <v/>
      </c>
      <c r="V202" s="160">
        <f>G202+O202*'NM Play'!$B$13-N202*'NM Play'!$B$11</f>
        <v/>
      </c>
      <c r="W202" s="160">
        <f>H202+P202*'NM Play'!$B$14-N202*'NM Play'!$B$12</f>
        <v/>
      </c>
      <c r="X202" s="160">
        <f>I202+U202-T202</f>
        <v/>
      </c>
      <c r="Y202" s="160">
        <f>MIN(N202,MAX(0,ROUNDDOWN('Sites'!$M$8*'Cases'!$E$7,0)-SUM(Y198:Y201)))</f>
        <v/>
      </c>
      <c r="Z202" s="160">
        <f>N202-Y202</f>
        <v/>
      </c>
      <c r="AA202" s="160">
        <f>U202*'NM Play'!$B$22</f>
        <v/>
      </c>
      <c r="AB202" s="160">
        <f>N202*SUM('NM Play'!$B$29:$B$31)</f>
        <v/>
      </c>
      <c r="AC202" s="160">
        <f>IF('Sites'!$C$8="Defy legs",P202*'NM Play'!$B$14/'NM Play'!$B$12*'NM Play'!$B$28,0)</f>
        <v/>
      </c>
      <c r="AD202" s="160">
        <f>Q202*'NM Play'!$B$23</f>
        <v/>
      </c>
      <c r="AE202" s="160">
        <f>S202*SUM('NM Play'!$B$26,'NM Play'!$B$33:$B$34)</f>
        <v/>
      </c>
      <c r="AF202" s="160">
        <f>IF('Sites'!$D$8="NM crew",S202*SUM('NM Play'!$B$24:$B$25),0)</f>
        <v/>
      </c>
      <c r="AG202" s="160">
        <f>IF('Sites'!$D$8="NM crew",S202*'NM Play'!$B$27,0)</f>
        <v/>
      </c>
      <c r="AH202" s="160">
        <f>N202*'Sites'!$Z$8*'NM Play'!$B$32</f>
        <v/>
      </c>
      <c r="AI202" s="160">
        <f>SUM(Y202:Z202)*'Sites'!$R$8</f>
        <v/>
      </c>
      <c r="AJ202" s="160">
        <f>SUM(AA202:AH202)</f>
        <v/>
      </c>
      <c r="AK202" s="160">
        <f>AJ202+(T202-U202)*'NM Play'!$B$22+MIN(G202,N202*'NM Play'!$B$11)/'NM Play'!$B$13*'NM Play'!$B$21*'NM Play'!$B$22+MIN(H202,N202*'NM Play'!$B$12)/'NM Play'!$B$14*IF('Sites'!$C$8="Own sheets",'NM Play'!$B$21*'NM Play'!$B$22,'NM Play'!$B$28*'NM Play'!$B$14/'NM Play'!$B$12)</f>
        <v/>
      </c>
      <c r="AL202" s="160">
        <f>Y202*'Assumptions'!T66</f>
        <v/>
      </c>
      <c r="AM202" s="160">
        <f>IF('Sites'!$D$8="NM crew",S202*'NM Play'!$B$37*(1+IF(AND(ISNUMBER('NM Play'!$B$25),'NM Play'!$B$25&gt;0),1,0)),"")</f>
        <v/>
      </c>
      <c r="AN202" s="160">
        <f>IF(OR('Sites'!$E$8&lt;0,'Sites'!$E$8&gt;1,'Sites'!$F$8&lt;1,'Sites'!$G$8&lt;'Sites'!$F$8,F202&lt;0,MIN('Sites'!$I$8:'Sites'!$R$8)&lt;0,'Sites'!$L$8&gt;'Sites'!$I$8,'Sites'!$M$8&gt;'Sites'!$J$8,'Sites'!$N$8&gt;'Sites'!$K$8,'Sites'!$Z$8&lt;0,'Sites'!$Z$8&gt;1,MIN('Sites'!$AA$8:'Sites'!$AC$8)&lt;0,S202&gt;F202+0.001),1,0)</f>
        <v/>
      </c>
      <c r="AO202" s="160">
        <f>I202+U202-T202-X202</f>
        <v/>
      </c>
    </row>
    <row r="203" ht="28" customHeight="1">
      <c r="A203" s="4" t="inlineStr">
        <is>
          <t>Smaller</t>
        </is>
      </c>
      <c r="B203" s="4" t="inlineStr">
        <is>
          <t>NEW2</t>
        </is>
      </c>
      <c r="C203" s="160" t="n">
        <v>18</v>
      </c>
      <c r="D203" s="160">
        <f>ROUNDUP(C203/12,0)</f>
        <v/>
      </c>
      <c r="E203" s="160">
        <f>IF(AND('Sites'!$E$8*'Cases'!$F$7=1,C203&gt;='Sites'!$F$8+'Cases'!$G$7,C203&lt;='Sites'!$G$8),1,0)</f>
        <v/>
      </c>
      <c r="F203" s="160">
        <f>E203*'Assumptions'!U69</f>
        <v/>
      </c>
      <c r="G203" s="160">
        <f>V202</f>
        <v/>
      </c>
      <c r="H203" s="160">
        <f>W202</f>
        <v/>
      </c>
      <c r="I203" s="160">
        <f>X202</f>
        <v/>
      </c>
      <c r="J203" s="160">
        <f>MAX(0,'Sites'!$J$8-SUM(N198:N202))</f>
        <v/>
      </c>
      <c r="K203" s="160">
        <f>IF('Sites'!$C$8="Own sheets",MIN(ROUNDDOWN(G203/'NM Play'!$B$11,0)+F203*'NM Play'!$B$10/'NM Play'!$B$43,ROUNDDOWN(H203/'NM Play'!$B$12,0)+F203*'NM Play'!$B$10/'NM Play'!$B$44,(F203*'NM Play'!$B$10+ROUNDDOWN(G203/'NM Play'!$B$11,0)*'NM Play'!$B$43+ROUNDDOWN(H203/'NM Play'!$B$12,0)*'NM Play'!$B$44)/('NM Play'!$B$43+'NM Play'!$B$44)),ROUNDDOWN(G203/'NM Play'!$B$11,0)+F203*'NM Play'!$B$10/'NM Play'!$B$43)</f>
        <v/>
      </c>
      <c r="L203" s="160">
        <f>MIN(ROUNDDOWN(G203/'NM Play'!$B$11,0)+F203/('NM Play'!$B$43/'NM Play'!$B$15),ROUNDDOWN(H203/'NM Play'!$B$12,0)+F203/('NM Play'!$B$44/'NM Play'!$B$16),(F203+ROUNDDOWN(G203/'NM Play'!$B$11,0)*'NM Play'!$B$43/'NM Play'!$B$15+ROUNDDOWN(H203/'NM Play'!$B$12,0)*'NM Play'!$B$44/'NM Play'!$B$16)/('NM Play'!$B$43/'NM Play'!$B$15+'NM Play'!$B$44/'NM Play'!$B$16))</f>
        <v/>
      </c>
      <c r="M203" s="160">
        <f>F203*'NM Play'!$B$36</f>
        <v/>
      </c>
      <c r="N203" s="160">
        <f>ROUNDDOWN(MAX(0,MIN(J203,K203:M203)),0)</f>
        <v/>
      </c>
      <c r="O203" s="160">
        <f>ROUNDUP(MAX(0,N203*'NM Play'!$B$11-G203)/'NM Play'!$B$13,0)</f>
        <v/>
      </c>
      <c r="P203" s="160">
        <f>ROUNDUP(MAX(0,N203*'NM Play'!$B$12-H203)/'NM Play'!$B$14,0)</f>
        <v/>
      </c>
      <c r="Q203" s="160">
        <f>(O203+IF('Sites'!$C$8="Own sheets",P203,0))/'NM Play'!$B$10</f>
        <v/>
      </c>
      <c r="R203" s="160">
        <f>O203/'NM Play'!$B$15+P203/'NM Play'!$B$16</f>
        <v/>
      </c>
      <c r="S203" s="160">
        <f>MAX(Q203,R203,N203/'NM Play'!$B$36)</f>
        <v/>
      </c>
      <c r="T203" s="160">
        <f>Q203*'NM Play'!$B$10*'NM Play'!$B$21*(1+'NM Play'!$B$35)</f>
        <v/>
      </c>
      <c r="U203" s="160">
        <f>MAX(0,T203-I203)</f>
        <v/>
      </c>
      <c r="V203" s="160">
        <f>G203+O203*'NM Play'!$B$13-N203*'NM Play'!$B$11</f>
        <v/>
      </c>
      <c r="W203" s="160">
        <f>H203+P203*'NM Play'!$B$14-N203*'NM Play'!$B$12</f>
        <v/>
      </c>
      <c r="X203" s="160">
        <f>I203+U203-T203</f>
        <v/>
      </c>
      <c r="Y203" s="160">
        <f>MIN(N203,MAX(0,ROUNDDOWN('Sites'!$M$8*'Cases'!$E$7,0)-SUM(Y198:Y202)))</f>
        <v/>
      </c>
      <c r="Z203" s="160">
        <f>N203-Y203</f>
        <v/>
      </c>
      <c r="AA203" s="160">
        <f>U203*'NM Play'!$B$22</f>
        <v/>
      </c>
      <c r="AB203" s="160">
        <f>N203*SUM('NM Play'!$B$29:$B$31)</f>
        <v/>
      </c>
      <c r="AC203" s="160">
        <f>IF('Sites'!$C$8="Defy legs",P203*'NM Play'!$B$14/'NM Play'!$B$12*'NM Play'!$B$28,0)</f>
        <v/>
      </c>
      <c r="AD203" s="160">
        <f>Q203*'NM Play'!$B$23</f>
        <v/>
      </c>
      <c r="AE203" s="160">
        <f>S203*SUM('NM Play'!$B$26,'NM Play'!$B$33:$B$34)</f>
        <v/>
      </c>
      <c r="AF203" s="160">
        <f>IF('Sites'!$D$8="NM crew",S203*SUM('NM Play'!$B$24:$B$25),0)</f>
        <v/>
      </c>
      <c r="AG203" s="160">
        <f>IF('Sites'!$D$8="NM crew",S203*'NM Play'!$B$27,0)</f>
        <v/>
      </c>
      <c r="AH203" s="160">
        <f>N203*'Sites'!$Z$8*'NM Play'!$B$32</f>
        <v/>
      </c>
      <c r="AI203" s="160">
        <f>SUM(Y203:Z203)*'Sites'!$R$8</f>
        <v/>
      </c>
      <c r="AJ203" s="160">
        <f>SUM(AA203:AH203)</f>
        <v/>
      </c>
      <c r="AK203" s="160">
        <f>AJ203+(T203-U203)*'NM Play'!$B$22+MIN(G203,N203*'NM Play'!$B$11)/'NM Play'!$B$13*'NM Play'!$B$21*'NM Play'!$B$22+MIN(H203,N203*'NM Play'!$B$12)/'NM Play'!$B$14*IF('Sites'!$C$8="Own sheets",'NM Play'!$B$21*'NM Play'!$B$22,'NM Play'!$B$28*'NM Play'!$B$14/'NM Play'!$B$12)</f>
        <v/>
      </c>
      <c r="AL203" s="160">
        <f>Y203*'Assumptions'!U66</f>
        <v/>
      </c>
      <c r="AM203" s="160">
        <f>IF('Sites'!$D$8="NM crew",S203*'NM Play'!$B$37*(1+IF(AND(ISNUMBER('NM Play'!$B$25),'NM Play'!$B$25&gt;0),1,0)),"")</f>
        <v/>
      </c>
      <c r="AN203" s="160">
        <f>IF(OR('Sites'!$E$8&lt;0,'Sites'!$E$8&gt;1,'Sites'!$F$8&lt;1,'Sites'!$G$8&lt;'Sites'!$F$8,F203&lt;0,MIN('Sites'!$I$8:'Sites'!$R$8)&lt;0,'Sites'!$L$8&gt;'Sites'!$I$8,'Sites'!$M$8&gt;'Sites'!$J$8,'Sites'!$N$8&gt;'Sites'!$K$8,'Sites'!$Z$8&lt;0,'Sites'!$Z$8&gt;1,MIN('Sites'!$AA$8:'Sites'!$AC$8)&lt;0,S203&gt;F203+0.001),1,0)</f>
        <v/>
      </c>
      <c r="AO203" s="160">
        <f>I203+U203-T203-X203</f>
        <v/>
      </c>
    </row>
    <row r="204" ht="28" customHeight="1">
      <c r="A204" s="4" t="inlineStr">
        <is>
          <t>Smaller</t>
        </is>
      </c>
      <c r="B204" s="4" t="inlineStr">
        <is>
          <t>NEW2</t>
        </is>
      </c>
      <c r="C204" s="160" t="n">
        <v>19</v>
      </c>
      <c r="D204" s="160">
        <f>ROUNDUP(C204/12,0)</f>
        <v/>
      </c>
      <c r="E204" s="160">
        <f>IF(AND('Sites'!$E$8*'Cases'!$F$7=1,C204&gt;='Sites'!$F$8+'Cases'!$G$7,C204&lt;='Sites'!$G$8),1,0)</f>
        <v/>
      </c>
      <c r="F204" s="160">
        <f>E204*'Assumptions'!V69</f>
        <v/>
      </c>
      <c r="G204" s="160">
        <f>V203</f>
        <v/>
      </c>
      <c r="H204" s="160">
        <f>W203</f>
        <v/>
      </c>
      <c r="I204" s="160">
        <f>X203</f>
        <v/>
      </c>
      <c r="J204" s="160">
        <f>MAX(0,'Sites'!$J$8-SUM(N198:N203))</f>
        <v/>
      </c>
      <c r="K204" s="160">
        <f>IF('Sites'!$C$8="Own sheets",MIN(ROUNDDOWN(G204/'NM Play'!$B$11,0)+F204*'NM Play'!$B$10/'NM Play'!$B$43,ROUNDDOWN(H204/'NM Play'!$B$12,0)+F204*'NM Play'!$B$10/'NM Play'!$B$44,(F204*'NM Play'!$B$10+ROUNDDOWN(G204/'NM Play'!$B$11,0)*'NM Play'!$B$43+ROUNDDOWN(H204/'NM Play'!$B$12,0)*'NM Play'!$B$44)/('NM Play'!$B$43+'NM Play'!$B$44)),ROUNDDOWN(G204/'NM Play'!$B$11,0)+F204*'NM Play'!$B$10/'NM Play'!$B$43)</f>
        <v/>
      </c>
      <c r="L204" s="160">
        <f>MIN(ROUNDDOWN(G204/'NM Play'!$B$11,0)+F204/('NM Play'!$B$43/'NM Play'!$B$15),ROUNDDOWN(H204/'NM Play'!$B$12,0)+F204/('NM Play'!$B$44/'NM Play'!$B$16),(F204+ROUNDDOWN(G204/'NM Play'!$B$11,0)*'NM Play'!$B$43/'NM Play'!$B$15+ROUNDDOWN(H204/'NM Play'!$B$12,0)*'NM Play'!$B$44/'NM Play'!$B$16)/('NM Play'!$B$43/'NM Play'!$B$15+'NM Play'!$B$44/'NM Play'!$B$16))</f>
        <v/>
      </c>
      <c r="M204" s="160">
        <f>F204*'NM Play'!$B$36</f>
        <v/>
      </c>
      <c r="N204" s="160">
        <f>ROUNDDOWN(MAX(0,MIN(J204,K204:M204)),0)</f>
        <v/>
      </c>
      <c r="O204" s="160">
        <f>ROUNDUP(MAX(0,N204*'NM Play'!$B$11-G204)/'NM Play'!$B$13,0)</f>
        <v/>
      </c>
      <c r="P204" s="160">
        <f>ROUNDUP(MAX(0,N204*'NM Play'!$B$12-H204)/'NM Play'!$B$14,0)</f>
        <v/>
      </c>
      <c r="Q204" s="160">
        <f>(O204+IF('Sites'!$C$8="Own sheets",P204,0))/'NM Play'!$B$10</f>
        <v/>
      </c>
      <c r="R204" s="160">
        <f>O204/'NM Play'!$B$15+P204/'NM Play'!$B$16</f>
        <v/>
      </c>
      <c r="S204" s="160">
        <f>MAX(Q204,R204,N204/'NM Play'!$B$36)</f>
        <v/>
      </c>
      <c r="T204" s="160">
        <f>Q204*'NM Play'!$B$10*'NM Play'!$B$21*(1+'NM Play'!$B$35)</f>
        <v/>
      </c>
      <c r="U204" s="160">
        <f>MAX(0,T204-I204)</f>
        <v/>
      </c>
      <c r="V204" s="160">
        <f>G204+O204*'NM Play'!$B$13-N204*'NM Play'!$B$11</f>
        <v/>
      </c>
      <c r="W204" s="160">
        <f>H204+P204*'NM Play'!$B$14-N204*'NM Play'!$B$12</f>
        <v/>
      </c>
      <c r="X204" s="160">
        <f>I204+U204-T204</f>
        <v/>
      </c>
      <c r="Y204" s="160">
        <f>MIN(N204,MAX(0,ROUNDDOWN('Sites'!$M$8*'Cases'!$E$7,0)-SUM(Y198:Y203)))</f>
        <v/>
      </c>
      <c r="Z204" s="160">
        <f>N204-Y204</f>
        <v/>
      </c>
      <c r="AA204" s="160">
        <f>U204*'NM Play'!$B$22</f>
        <v/>
      </c>
      <c r="AB204" s="160">
        <f>N204*SUM('NM Play'!$B$29:$B$31)</f>
        <v/>
      </c>
      <c r="AC204" s="160">
        <f>IF('Sites'!$C$8="Defy legs",P204*'NM Play'!$B$14/'NM Play'!$B$12*'NM Play'!$B$28,0)</f>
        <v/>
      </c>
      <c r="AD204" s="160">
        <f>Q204*'NM Play'!$B$23</f>
        <v/>
      </c>
      <c r="AE204" s="160">
        <f>S204*SUM('NM Play'!$B$26,'NM Play'!$B$33:$B$34)</f>
        <v/>
      </c>
      <c r="AF204" s="160">
        <f>IF('Sites'!$D$8="NM crew",S204*SUM('NM Play'!$B$24:$B$25),0)</f>
        <v/>
      </c>
      <c r="AG204" s="160">
        <f>IF('Sites'!$D$8="NM crew",S204*'NM Play'!$B$27,0)</f>
        <v/>
      </c>
      <c r="AH204" s="160">
        <f>N204*'Sites'!$Z$8*'NM Play'!$B$32</f>
        <v/>
      </c>
      <c r="AI204" s="160">
        <f>SUM(Y204:Z204)*'Sites'!$R$8</f>
        <v/>
      </c>
      <c r="AJ204" s="160">
        <f>SUM(AA204:AH204)</f>
        <v/>
      </c>
      <c r="AK204" s="160">
        <f>AJ204+(T204-U204)*'NM Play'!$B$22+MIN(G204,N204*'NM Play'!$B$11)/'NM Play'!$B$13*'NM Play'!$B$21*'NM Play'!$B$22+MIN(H204,N204*'NM Play'!$B$12)/'NM Play'!$B$14*IF('Sites'!$C$8="Own sheets",'NM Play'!$B$21*'NM Play'!$B$22,'NM Play'!$B$28*'NM Play'!$B$14/'NM Play'!$B$12)</f>
        <v/>
      </c>
      <c r="AL204" s="160">
        <f>Y204*'Assumptions'!V66</f>
        <v/>
      </c>
      <c r="AM204" s="160">
        <f>IF('Sites'!$D$8="NM crew",S204*'NM Play'!$B$37*(1+IF(AND(ISNUMBER('NM Play'!$B$25),'NM Play'!$B$25&gt;0),1,0)),"")</f>
        <v/>
      </c>
      <c r="AN204" s="160">
        <f>IF(OR('Sites'!$E$8&lt;0,'Sites'!$E$8&gt;1,'Sites'!$F$8&lt;1,'Sites'!$G$8&lt;'Sites'!$F$8,F204&lt;0,MIN('Sites'!$I$8:'Sites'!$R$8)&lt;0,'Sites'!$L$8&gt;'Sites'!$I$8,'Sites'!$M$8&gt;'Sites'!$J$8,'Sites'!$N$8&gt;'Sites'!$K$8,'Sites'!$Z$8&lt;0,'Sites'!$Z$8&gt;1,MIN('Sites'!$AA$8:'Sites'!$AC$8)&lt;0,S204&gt;F204+0.001),1,0)</f>
        <v/>
      </c>
      <c r="AO204" s="160">
        <f>I204+U204-T204-X204</f>
        <v/>
      </c>
    </row>
    <row r="205" ht="28" customHeight="1">
      <c r="A205" s="4" t="inlineStr">
        <is>
          <t>Smaller</t>
        </is>
      </c>
      <c r="B205" s="4" t="inlineStr">
        <is>
          <t>NEW2</t>
        </is>
      </c>
      <c r="C205" s="160" t="n">
        <v>20</v>
      </c>
      <c r="D205" s="160">
        <f>ROUNDUP(C205/12,0)</f>
        <v/>
      </c>
      <c r="E205" s="160">
        <f>IF(AND('Sites'!$E$8*'Cases'!$F$7=1,C205&gt;='Sites'!$F$8+'Cases'!$G$7,C205&lt;='Sites'!$G$8),1,0)</f>
        <v/>
      </c>
      <c r="F205" s="160">
        <f>E205*'Assumptions'!W69</f>
        <v/>
      </c>
      <c r="G205" s="160">
        <f>V204</f>
        <v/>
      </c>
      <c r="H205" s="160">
        <f>W204</f>
        <v/>
      </c>
      <c r="I205" s="160">
        <f>X204</f>
        <v/>
      </c>
      <c r="J205" s="160">
        <f>MAX(0,'Sites'!$J$8-SUM(N198:N204))</f>
        <v/>
      </c>
      <c r="K205" s="160">
        <f>IF('Sites'!$C$8="Own sheets",MIN(ROUNDDOWN(G205/'NM Play'!$B$11,0)+F205*'NM Play'!$B$10/'NM Play'!$B$43,ROUNDDOWN(H205/'NM Play'!$B$12,0)+F205*'NM Play'!$B$10/'NM Play'!$B$44,(F205*'NM Play'!$B$10+ROUNDDOWN(G205/'NM Play'!$B$11,0)*'NM Play'!$B$43+ROUNDDOWN(H205/'NM Play'!$B$12,0)*'NM Play'!$B$44)/('NM Play'!$B$43+'NM Play'!$B$44)),ROUNDDOWN(G205/'NM Play'!$B$11,0)+F205*'NM Play'!$B$10/'NM Play'!$B$43)</f>
        <v/>
      </c>
      <c r="L205" s="160">
        <f>MIN(ROUNDDOWN(G205/'NM Play'!$B$11,0)+F205/('NM Play'!$B$43/'NM Play'!$B$15),ROUNDDOWN(H205/'NM Play'!$B$12,0)+F205/('NM Play'!$B$44/'NM Play'!$B$16),(F205+ROUNDDOWN(G205/'NM Play'!$B$11,0)*'NM Play'!$B$43/'NM Play'!$B$15+ROUNDDOWN(H205/'NM Play'!$B$12,0)*'NM Play'!$B$44/'NM Play'!$B$16)/('NM Play'!$B$43/'NM Play'!$B$15+'NM Play'!$B$44/'NM Play'!$B$16))</f>
        <v/>
      </c>
      <c r="M205" s="160">
        <f>F205*'NM Play'!$B$36</f>
        <v/>
      </c>
      <c r="N205" s="160">
        <f>ROUNDDOWN(MAX(0,MIN(J205,K205:M205)),0)</f>
        <v/>
      </c>
      <c r="O205" s="160">
        <f>ROUNDUP(MAX(0,N205*'NM Play'!$B$11-G205)/'NM Play'!$B$13,0)</f>
        <v/>
      </c>
      <c r="P205" s="160">
        <f>ROUNDUP(MAX(0,N205*'NM Play'!$B$12-H205)/'NM Play'!$B$14,0)</f>
        <v/>
      </c>
      <c r="Q205" s="160">
        <f>(O205+IF('Sites'!$C$8="Own sheets",P205,0))/'NM Play'!$B$10</f>
        <v/>
      </c>
      <c r="R205" s="160">
        <f>O205/'NM Play'!$B$15+P205/'NM Play'!$B$16</f>
        <v/>
      </c>
      <c r="S205" s="160">
        <f>MAX(Q205,R205,N205/'NM Play'!$B$36)</f>
        <v/>
      </c>
      <c r="T205" s="160">
        <f>Q205*'NM Play'!$B$10*'NM Play'!$B$21*(1+'NM Play'!$B$35)</f>
        <v/>
      </c>
      <c r="U205" s="160">
        <f>MAX(0,T205-I205)</f>
        <v/>
      </c>
      <c r="V205" s="160">
        <f>G205+O205*'NM Play'!$B$13-N205*'NM Play'!$B$11</f>
        <v/>
      </c>
      <c r="W205" s="160">
        <f>H205+P205*'NM Play'!$B$14-N205*'NM Play'!$B$12</f>
        <v/>
      </c>
      <c r="X205" s="160">
        <f>I205+U205-T205</f>
        <v/>
      </c>
      <c r="Y205" s="160">
        <f>MIN(N205,MAX(0,ROUNDDOWN('Sites'!$M$8*'Cases'!$E$7,0)-SUM(Y198:Y204)))</f>
        <v/>
      </c>
      <c r="Z205" s="160">
        <f>N205-Y205</f>
        <v/>
      </c>
      <c r="AA205" s="160">
        <f>U205*'NM Play'!$B$22</f>
        <v/>
      </c>
      <c r="AB205" s="160">
        <f>N205*SUM('NM Play'!$B$29:$B$31)</f>
        <v/>
      </c>
      <c r="AC205" s="160">
        <f>IF('Sites'!$C$8="Defy legs",P205*'NM Play'!$B$14/'NM Play'!$B$12*'NM Play'!$B$28,0)</f>
        <v/>
      </c>
      <c r="AD205" s="160">
        <f>Q205*'NM Play'!$B$23</f>
        <v/>
      </c>
      <c r="AE205" s="160">
        <f>S205*SUM('NM Play'!$B$26,'NM Play'!$B$33:$B$34)</f>
        <v/>
      </c>
      <c r="AF205" s="160">
        <f>IF('Sites'!$D$8="NM crew",S205*SUM('NM Play'!$B$24:$B$25),0)</f>
        <v/>
      </c>
      <c r="AG205" s="160">
        <f>IF('Sites'!$D$8="NM crew",S205*'NM Play'!$B$27,0)</f>
        <v/>
      </c>
      <c r="AH205" s="160">
        <f>N205*'Sites'!$Z$8*'NM Play'!$B$32</f>
        <v/>
      </c>
      <c r="AI205" s="160">
        <f>SUM(Y205:Z205)*'Sites'!$R$8</f>
        <v/>
      </c>
      <c r="AJ205" s="160">
        <f>SUM(AA205:AH205)</f>
        <v/>
      </c>
      <c r="AK205" s="160">
        <f>AJ205+(T205-U205)*'NM Play'!$B$22+MIN(G205,N205*'NM Play'!$B$11)/'NM Play'!$B$13*'NM Play'!$B$21*'NM Play'!$B$22+MIN(H205,N205*'NM Play'!$B$12)/'NM Play'!$B$14*IF('Sites'!$C$8="Own sheets",'NM Play'!$B$21*'NM Play'!$B$22,'NM Play'!$B$28*'NM Play'!$B$14/'NM Play'!$B$12)</f>
        <v/>
      </c>
      <c r="AL205" s="160">
        <f>Y205*'Assumptions'!W66</f>
        <v/>
      </c>
      <c r="AM205" s="160">
        <f>IF('Sites'!$D$8="NM crew",S205*'NM Play'!$B$37*(1+IF(AND(ISNUMBER('NM Play'!$B$25),'NM Play'!$B$25&gt;0),1,0)),"")</f>
        <v/>
      </c>
      <c r="AN205" s="160">
        <f>IF(OR('Sites'!$E$8&lt;0,'Sites'!$E$8&gt;1,'Sites'!$F$8&lt;1,'Sites'!$G$8&lt;'Sites'!$F$8,F205&lt;0,MIN('Sites'!$I$8:'Sites'!$R$8)&lt;0,'Sites'!$L$8&gt;'Sites'!$I$8,'Sites'!$M$8&gt;'Sites'!$J$8,'Sites'!$N$8&gt;'Sites'!$K$8,'Sites'!$Z$8&lt;0,'Sites'!$Z$8&gt;1,MIN('Sites'!$AA$8:'Sites'!$AC$8)&lt;0,S205&gt;F205+0.001),1,0)</f>
        <v/>
      </c>
      <c r="AO205" s="160">
        <f>I205+U205-T205-X205</f>
        <v/>
      </c>
    </row>
    <row r="206" ht="28" customHeight="1">
      <c r="A206" s="4" t="inlineStr">
        <is>
          <t>Smaller</t>
        </is>
      </c>
      <c r="B206" s="4" t="inlineStr">
        <is>
          <t>NEW2</t>
        </is>
      </c>
      <c r="C206" s="160" t="n">
        <v>21</v>
      </c>
      <c r="D206" s="160">
        <f>ROUNDUP(C206/12,0)</f>
        <v/>
      </c>
      <c r="E206" s="160">
        <f>IF(AND('Sites'!$E$8*'Cases'!$F$7=1,C206&gt;='Sites'!$F$8+'Cases'!$G$7,C206&lt;='Sites'!$G$8),1,0)</f>
        <v/>
      </c>
      <c r="F206" s="160">
        <f>E206*'Assumptions'!X69</f>
        <v/>
      </c>
      <c r="G206" s="160">
        <f>V205</f>
        <v/>
      </c>
      <c r="H206" s="160">
        <f>W205</f>
        <v/>
      </c>
      <c r="I206" s="160">
        <f>X205</f>
        <v/>
      </c>
      <c r="J206" s="160">
        <f>MAX(0,'Sites'!$J$8-SUM(N198:N205))</f>
        <v/>
      </c>
      <c r="K206" s="160">
        <f>IF('Sites'!$C$8="Own sheets",MIN(ROUNDDOWN(G206/'NM Play'!$B$11,0)+F206*'NM Play'!$B$10/'NM Play'!$B$43,ROUNDDOWN(H206/'NM Play'!$B$12,0)+F206*'NM Play'!$B$10/'NM Play'!$B$44,(F206*'NM Play'!$B$10+ROUNDDOWN(G206/'NM Play'!$B$11,0)*'NM Play'!$B$43+ROUNDDOWN(H206/'NM Play'!$B$12,0)*'NM Play'!$B$44)/('NM Play'!$B$43+'NM Play'!$B$44)),ROUNDDOWN(G206/'NM Play'!$B$11,0)+F206*'NM Play'!$B$10/'NM Play'!$B$43)</f>
        <v/>
      </c>
      <c r="L206" s="160">
        <f>MIN(ROUNDDOWN(G206/'NM Play'!$B$11,0)+F206/('NM Play'!$B$43/'NM Play'!$B$15),ROUNDDOWN(H206/'NM Play'!$B$12,0)+F206/('NM Play'!$B$44/'NM Play'!$B$16),(F206+ROUNDDOWN(G206/'NM Play'!$B$11,0)*'NM Play'!$B$43/'NM Play'!$B$15+ROUNDDOWN(H206/'NM Play'!$B$12,0)*'NM Play'!$B$44/'NM Play'!$B$16)/('NM Play'!$B$43/'NM Play'!$B$15+'NM Play'!$B$44/'NM Play'!$B$16))</f>
        <v/>
      </c>
      <c r="M206" s="160">
        <f>F206*'NM Play'!$B$36</f>
        <v/>
      </c>
      <c r="N206" s="160">
        <f>ROUNDDOWN(MAX(0,MIN(J206,K206:M206)),0)</f>
        <v/>
      </c>
      <c r="O206" s="160">
        <f>ROUNDUP(MAX(0,N206*'NM Play'!$B$11-G206)/'NM Play'!$B$13,0)</f>
        <v/>
      </c>
      <c r="P206" s="160">
        <f>ROUNDUP(MAX(0,N206*'NM Play'!$B$12-H206)/'NM Play'!$B$14,0)</f>
        <v/>
      </c>
      <c r="Q206" s="160">
        <f>(O206+IF('Sites'!$C$8="Own sheets",P206,0))/'NM Play'!$B$10</f>
        <v/>
      </c>
      <c r="R206" s="160">
        <f>O206/'NM Play'!$B$15+P206/'NM Play'!$B$16</f>
        <v/>
      </c>
      <c r="S206" s="160">
        <f>MAX(Q206,R206,N206/'NM Play'!$B$36)</f>
        <v/>
      </c>
      <c r="T206" s="160">
        <f>Q206*'NM Play'!$B$10*'NM Play'!$B$21*(1+'NM Play'!$B$35)</f>
        <v/>
      </c>
      <c r="U206" s="160">
        <f>MAX(0,T206-I206)</f>
        <v/>
      </c>
      <c r="V206" s="160">
        <f>G206+O206*'NM Play'!$B$13-N206*'NM Play'!$B$11</f>
        <v/>
      </c>
      <c r="W206" s="160">
        <f>H206+P206*'NM Play'!$B$14-N206*'NM Play'!$B$12</f>
        <v/>
      </c>
      <c r="X206" s="160">
        <f>I206+U206-T206</f>
        <v/>
      </c>
      <c r="Y206" s="160">
        <f>MIN(N206,MAX(0,ROUNDDOWN('Sites'!$M$8*'Cases'!$E$7,0)-SUM(Y198:Y205)))</f>
        <v/>
      </c>
      <c r="Z206" s="160">
        <f>N206-Y206</f>
        <v/>
      </c>
      <c r="AA206" s="160">
        <f>U206*'NM Play'!$B$22</f>
        <v/>
      </c>
      <c r="AB206" s="160">
        <f>N206*SUM('NM Play'!$B$29:$B$31)</f>
        <v/>
      </c>
      <c r="AC206" s="160">
        <f>IF('Sites'!$C$8="Defy legs",P206*'NM Play'!$B$14/'NM Play'!$B$12*'NM Play'!$B$28,0)</f>
        <v/>
      </c>
      <c r="AD206" s="160">
        <f>Q206*'NM Play'!$B$23</f>
        <v/>
      </c>
      <c r="AE206" s="160">
        <f>S206*SUM('NM Play'!$B$26,'NM Play'!$B$33:$B$34)</f>
        <v/>
      </c>
      <c r="AF206" s="160">
        <f>IF('Sites'!$D$8="NM crew",S206*SUM('NM Play'!$B$24:$B$25),0)</f>
        <v/>
      </c>
      <c r="AG206" s="160">
        <f>IF('Sites'!$D$8="NM crew",S206*'NM Play'!$B$27,0)</f>
        <v/>
      </c>
      <c r="AH206" s="160">
        <f>N206*'Sites'!$Z$8*'NM Play'!$B$32</f>
        <v/>
      </c>
      <c r="AI206" s="160">
        <f>SUM(Y206:Z206)*'Sites'!$R$8</f>
        <v/>
      </c>
      <c r="AJ206" s="160">
        <f>SUM(AA206:AH206)</f>
        <v/>
      </c>
      <c r="AK206" s="160">
        <f>AJ206+(T206-U206)*'NM Play'!$B$22+MIN(G206,N206*'NM Play'!$B$11)/'NM Play'!$B$13*'NM Play'!$B$21*'NM Play'!$B$22+MIN(H206,N206*'NM Play'!$B$12)/'NM Play'!$B$14*IF('Sites'!$C$8="Own sheets",'NM Play'!$B$21*'NM Play'!$B$22,'NM Play'!$B$28*'NM Play'!$B$14/'NM Play'!$B$12)</f>
        <v/>
      </c>
      <c r="AL206" s="160">
        <f>Y206*'Assumptions'!X66</f>
        <v/>
      </c>
      <c r="AM206" s="160">
        <f>IF('Sites'!$D$8="NM crew",S206*'NM Play'!$B$37*(1+IF(AND(ISNUMBER('NM Play'!$B$25),'NM Play'!$B$25&gt;0),1,0)),"")</f>
        <v/>
      </c>
      <c r="AN206" s="160">
        <f>IF(OR('Sites'!$E$8&lt;0,'Sites'!$E$8&gt;1,'Sites'!$F$8&lt;1,'Sites'!$G$8&lt;'Sites'!$F$8,F206&lt;0,MIN('Sites'!$I$8:'Sites'!$R$8)&lt;0,'Sites'!$L$8&gt;'Sites'!$I$8,'Sites'!$M$8&gt;'Sites'!$J$8,'Sites'!$N$8&gt;'Sites'!$K$8,'Sites'!$Z$8&lt;0,'Sites'!$Z$8&gt;1,MIN('Sites'!$AA$8:'Sites'!$AC$8)&lt;0,S206&gt;F206+0.001),1,0)</f>
        <v/>
      </c>
      <c r="AO206" s="160">
        <f>I206+U206-T206-X206</f>
        <v/>
      </c>
    </row>
    <row r="207" ht="28" customHeight="1">
      <c r="A207" s="4" t="inlineStr">
        <is>
          <t>Smaller</t>
        </is>
      </c>
      <c r="B207" s="4" t="inlineStr">
        <is>
          <t>NEW2</t>
        </is>
      </c>
      <c r="C207" s="160" t="n">
        <v>22</v>
      </c>
      <c r="D207" s="160">
        <f>ROUNDUP(C207/12,0)</f>
        <v/>
      </c>
      <c r="E207" s="160">
        <f>IF(AND('Sites'!$E$8*'Cases'!$F$7=1,C207&gt;='Sites'!$F$8+'Cases'!$G$7,C207&lt;='Sites'!$G$8),1,0)</f>
        <v/>
      </c>
      <c r="F207" s="160">
        <f>E207*'Assumptions'!Y69</f>
        <v/>
      </c>
      <c r="G207" s="160">
        <f>V206</f>
        <v/>
      </c>
      <c r="H207" s="160">
        <f>W206</f>
        <v/>
      </c>
      <c r="I207" s="160">
        <f>X206</f>
        <v/>
      </c>
      <c r="J207" s="160">
        <f>MAX(0,'Sites'!$J$8-SUM(N198:N206))</f>
        <v/>
      </c>
      <c r="K207" s="160">
        <f>IF('Sites'!$C$8="Own sheets",MIN(ROUNDDOWN(G207/'NM Play'!$B$11,0)+F207*'NM Play'!$B$10/'NM Play'!$B$43,ROUNDDOWN(H207/'NM Play'!$B$12,0)+F207*'NM Play'!$B$10/'NM Play'!$B$44,(F207*'NM Play'!$B$10+ROUNDDOWN(G207/'NM Play'!$B$11,0)*'NM Play'!$B$43+ROUNDDOWN(H207/'NM Play'!$B$12,0)*'NM Play'!$B$44)/('NM Play'!$B$43+'NM Play'!$B$44)),ROUNDDOWN(G207/'NM Play'!$B$11,0)+F207*'NM Play'!$B$10/'NM Play'!$B$43)</f>
        <v/>
      </c>
      <c r="L207" s="160">
        <f>MIN(ROUNDDOWN(G207/'NM Play'!$B$11,0)+F207/('NM Play'!$B$43/'NM Play'!$B$15),ROUNDDOWN(H207/'NM Play'!$B$12,0)+F207/('NM Play'!$B$44/'NM Play'!$B$16),(F207+ROUNDDOWN(G207/'NM Play'!$B$11,0)*'NM Play'!$B$43/'NM Play'!$B$15+ROUNDDOWN(H207/'NM Play'!$B$12,0)*'NM Play'!$B$44/'NM Play'!$B$16)/('NM Play'!$B$43/'NM Play'!$B$15+'NM Play'!$B$44/'NM Play'!$B$16))</f>
        <v/>
      </c>
      <c r="M207" s="160">
        <f>F207*'NM Play'!$B$36</f>
        <v/>
      </c>
      <c r="N207" s="160">
        <f>ROUNDDOWN(MAX(0,MIN(J207,K207:M207)),0)</f>
        <v/>
      </c>
      <c r="O207" s="160">
        <f>ROUNDUP(MAX(0,N207*'NM Play'!$B$11-G207)/'NM Play'!$B$13,0)</f>
        <v/>
      </c>
      <c r="P207" s="160">
        <f>ROUNDUP(MAX(0,N207*'NM Play'!$B$12-H207)/'NM Play'!$B$14,0)</f>
        <v/>
      </c>
      <c r="Q207" s="160">
        <f>(O207+IF('Sites'!$C$8="Own sheets",P207,0))/'NM Play'!$B$10</f>
        <v/>
      </c>
      <c r="R207" s="160">
        <f>O207/'NM Play'!$B$15+P207/'NM Play'!$B$16</f>
        <v/>
      </c>
      <c r="S207" s="160">
        <f>MAX(Q207,R207,N207/'NM Play'!$B$36)</f>
        <v/>
      </c>
      <c r="T207" s="160">
        <f>Q207*'NM Play'!$B$10*'NM Play'!$B$21*(1+'NM Play'!$B$35)</f>
        <v/>
      </c>
      <c r="U207" s="160">
        <f>MAX(0,T207-I207)</f>
        <v/>
      </c>
      <c r="V207" s="160">
        <f>G207+O207*'NM Play'!$B$13-N207*'NM Play'!$B$11</f>
        <v/>
      </c>
      <c r="W207" s="160">
        <f>H207+P207*'NM Play'!$B$14-N207*'NM Play'!$B$12</f>
        <v/>
      </c>
      <c r="X207" s="160">
        <f>I207+U207-T207</f>
        <v/>
      </c>
      <c r="Y207" s="160">
        <f>MIN(N207,MAX(0,ROUNDDOWN('Sites'!$M$8*'Cases'!$E$7,0)-SUM(Y198:Y206)))</f>
        <v/>
      </c>
      <c r="Z207" s="160">
        <f>N207-Y207</f>
        <v/>
      </c>
      <c r="AA207" s="160">
        <f>U207*'NM Play'!$B$22</f>
        <v/>
      </c>
      <c r="AB207" s="160">
        <f>N207*SUM('NM Play'!$B$29:$B$31)</f>
        <v/>
      </c>
      <c r="AC207" s="160">
        <f>IF('Sites'!$C$8="Defy legs",P207*'NM Play'!$B$14/'NM Play'!$B$12*'NM Play'!$B$28,0)</f>
        <v/>
      </c>
      <c r="AD207" s="160">
        <f>Q207*'NM Play'!$B$23</f>
        <v/>
      </c>
      <c r="AE207" s="160">
        <f>S207*SUM('NM Play'!$B$26,'NM Play'!$B$33:$B$34)</f>
        <v/>
      </c>
      <c r="AF207" s="160">
        <f>IF('Sites'!$D$8="NM crew",S207*SUM('NM Play'!$B$24:$B$25),0)</f>
        <v/>
      </c>
      <c r="AG207" s="160">
        <f>IF('Sites'!$D$8="NM crew",S207*'NM Play'!$B$27,0)</f>
        <v/>
      </c>
      <c r="AH207" s="160">
        <f>N207*'Sites'!$Z$8*'NM Play'!$B$32</f>
        <v/>
      </c>
      <c r="AI207" s="160">
        <f>SUM(Y207:Z207)*'Sites'!$R$8</f>
        <v/>
      </c>
      <c r="AJ207" s="160">
        <f>SUM(AA207:AH207)</f>
        <v/>
      </c>
      <c r="AK207" s="160">
        <f>AJ207+(T207-U207)*'NM Play'!$B$22+MIN(G207,N207*'NM Play'!$B$11)/'NM Play'!$B$13*'NM Play'!$B$21*'NM Play'!$B$22+MIN(H207,N207*'NM Play'!$B$12)/'NM Play'!$B$14*IF('Sites'!$C$8="Own sheets",'NM Play'!$B$21*'NM Play'!$B$22,'NM Play'!$B$28*'NM Play'!$B$14/'NM Play'!$B$12)</f>
        <v/>
      </c>
      <c r="AL207" s="160">
        <f>Y207*'Assumptions'!Y66</f>
        <v/>
      </c>
      <c r="AM207" s="160">
        <f>IF('Sites'!$D$8="NM crew",S207*'NM Play'!$B$37*(1+IF(AND(ISNUMBER('NM Play'!$B$25),'NM Play'!$B$25&gt;0),1,0)),"")</f>
        <v/>
      </c>
      <c r="AN207" s="160">
        <f>IF(OR('Sites'!$E$8&lt;0,'Sites'!$E$8&gt;1,'Sites'!$F$8&lt;1,'Sites'!$G$8&lt;'Sites'!$F$8,F207&lt;0,MIN('Sites'!$I$8:'Sites'!$R$8)&lt;0,'Sites'!$L$8&gt;'Sites'!$I$8,'Sites'!$M$8&gt;'Sites'!$J$8,'Sites'!$N$8&gt;'Sites'!$K$8,'Sites'!$Z$8&lt;0,'Sites'!$Z$8&gt;1,MIN('Sites'!$AA$8:'Sites'!$AC$8)&lt;0,S207&gt;F207+0.001),1,0)</f>
        <v/>
      </c>
      <c r="AO207" s="160">
        <f>I207+U207-T207-X207</f>
        <v/>
      </c>
    </row>
    <row r="208" ht="28" customHeight="1">
      <c r="A208" s="4" t="inlineStr">
        <is>
          <t>Smaller</t>
        </is>
      </c>
      <c r="B208" s="4" t="inlineStr">
        <is>
          <t>NEW2</t>
        </is>
      </c>
      <c r="C208" s="160" t="n">
        <v>23</v>
      </c>
      <c r="D208" s="160">
        <f>ROUNDUP(C208/12,0)</f>
        <v/>
      </c>
      <c r="E208" s="160">
        <f>IF(AND('Sites'!$E$8*'Cases'!$F$7=1,C208&gt;='Sites'!$F$8+'Cases'!$G$7,C208&lt;='Sites'!$G$8),1,0)</f>
        <v/>
      </c>
      <c r="F208" s="160">
        <f>E208*'Assumptions'!Z69</f>
        <v/>
      </c>
      <c r="G208" s="160">
        <f>V207</f>
        <v/>
      </c>
      <c r="H208" s="160">
        <f>W207</f>
        <v/>
      </c>
      <c r="I208" s="160">
        <f>X207</f>
        <v/>
      </c>
      <c r="J208" s="160">
        <f>MAX(0,'Sites'!$J$8-SUM(N198:N207))</f>
        <v/>
      </c>
      <c r="K208" s="160">
        <f>IF('Sites'!$C$8="Own sheets",MIN(ROUNDDOWN(G208/'NM Play'!$B$11,0)+F208*'NM Play'!$B$10/'NM Play'!$B$43,ROUNDDOWN(H208/'NM Play'!$B$12,0)+F208*'NM Play'!$B$10/'NM Play'!$B$44,(F208*'NM Play'!$B$10+ROUNDDOWN(G208/'NM Play'!$B$11,0)*'NM Play'!$B$43+ROUNDDOWN(H208/'NM Play'!$B$12,0)*'NM Play'!$B$44)/('NM Play'!$B$43+'NM Play'!$B$44)),ROUNDDOWN(G208/'NM Play'!$B$11,0)+F208*'NM Play'!$B$10/'NM Play'!$B$43)</f>
        <v/>
      </c>
      <c r="L208" s="160">
        <f>MIN(ROUNDDOWN(G208/'NM Play'!$B$11,0)+F208/('NM Play'!$B$43/'NM Play'!$B$15),ROUNDDOWN(H208/'NM Play'!$B$12,0)+F208/('NM Play'!$B$44/'NM Play'!$B$16),(F208+ROUNDDOWN(G208/'NM Play'!$B$11,0)*'NM Play'!$B$43/'NM Play'!$B$15+ROUNDDOWN(H208/'NM Play'!$B$12,0)*'NM Play'!$B$44/'NM Play'!$B$16)/('NM Play'!$B$43/'NM Play'!$B$15+'NM Play'!$B$44/'NM Play'!$B$16))</f>
        <v/>
      </c>
      <c r="M208" s="160">
        <f>F208*'NM Play'!$B$36</f>
        <v/>
      </c>
      <c r="N208" s="160">
        <f>ROUNDDOWN(MAX(0,MIN(J208,K208:M208)),0)</f>
        <v/>
      </c>
      <c r="O208" s="160">
        <f>ROUNDUP(MAX(0,N208*'NM Play'!$B$11-G208)/'NM Play'!$B$13,0)</f>
        <v/>
      </c>
      <c r="P208" s="160">
        <f>ROUNDUP(MAX(0,N208*'NM Play'!$B$12-H208)/'NM Play'!$B$14,0)</f>
        <v/>
      </c>
      <c r="Q208" s="160">
        <f>(O208+IF('Sites'!$C$8="Own sheets",P208,0))/'NM Play'!$B$10</f>
        <v/>
      </c>
      <c r="R208" s="160">
        <f>O208/'NM Play'!$B$15+P208/'NM Play'!$B$16</f>
        <v/>
      </c>
      <c r="S208" s="160">
        <f>MAX(Q208,R208,N208/'NM Play'!$B$36)</f>
        <v/>
      </c>
      <c r="T208" s="160">
        <f>Q208*'NM Play'!$B$10*'NM Play'!$B$21*(1+'NM Play'!$B$35)</f>
        <v/>
      </c>
      <c r="U208" s="160">
        <f>MAX(0,T208-I208)</f>
        <v/>
      </c>
      <c r="V208" s="160">
        <f>G208+O208*'NM Play'!$B$13-N208*'NM Play'!$B$11</f>
        <v/>
      </c>
      <c r="W208" s="160">
        <f>H208+P208*'NM Play'!$B$14-N208*'NM Play'!$B$12</f>
        <v/>
      </c>
      <c r="X208" s="160">
        <f>I208+U208-T208</f>
        <v/>
      </c>
      <c r="Y208" s="160">
        <f>MIN(N208,MAX(0,ROUNDDOWN('Sites'!$M$8*'Cases'!$E$7,0)-SUM(Y198:Y207)))</f>
        <v/>
      </c>
      <c r="Z208" s="160">
        <f>N208-Y208</f>
        <v/>
      </c>
      <c r="AA208" s="160">
        <f>U208*'NM Play'!$B$22</f>
        <v/>
      </c>
      <c r="AB208" s="160">
        <f>N208*SUM('NM Play'!$B$29:$B$31)</f>
        <v/>
      </c>
      <c r="AC208" s="160">
        <f>IF('Sites'!$C$8="Defy legs",P208*'NM Play'!$B$14/'NM Play'!$B$12*'NM Play'!$B$28,0)</f>
        <v/>
      </c>
      <c r="AD208" s="160">
        <f>Q208*'NM Play'!$B$23</f>
        <v/>
      </c>
      <c r="AE208" s="160">
        <f>S208*SUM('NM Play'!$B$26,'NM Play'!$B$33:$B$34)</f>
        <v/>
      </c>
      <c r="AF208" s="160">
        <f>IF('Sites'!$D$8="NM crew",S208*SUM('NM Play'!$B$24:$B$25),0)</f>
        <v/>
      </c>
      <c r="AG208" s="160">
        <f>IF('Sites'!$D$8="NM crew",S208*'NM Play'!$B$27,0)</f>
        <v/>
      </c>
      <c r="AH208" s="160">
        <f>N208*'Sites'!$Z$8*'NM Play'!$B$32</f>
        <v/>
      </c>
      <c r="AI208" s="160">
        <f>SUM(Y208:Z208)*'Sites'!$R$8</f>
        <v/>
      </c>
      <c r="AJ208" s="160">
        <f>SUM(AA208:AH208)</f>
        <v/>
      </c>
      <c r="AK208" s="160">
        <f>AJ208+(T208-U208)*'NM Play'!$B$22+MIN(G208,N208*'NM Play'!$B$11)/'NM Play'!$B$13*'NM Play'!$B$21*'NM Play'!$B$22+MIN(H208,N208*'NM Play'!$B$12)/'NM Play'!$B$14*IF('Sites'!$C$8="Own sheets",'NM Play'!$B$21*'NM Play'!$B$22,'NM Play'!$B$28*'NM Play'!$B$14/'NM Play'!$B$12)</f>
        <v/>
      </c>
      <c r="AL208" s="160">
        <f>Y208*'Assumptions'!Z66</f>
        <v/>
      </c>
      <c r="AM208" s="160">
        <f>IF('Sites'!$D$8="NM crew",S208*'NM Play'!$B$37*(1+IF(AND(ISNUMBER('NM Play'!$B$25),'NM Play'!$B$25&gt;0),1,0)),"")</f>
        <v/>
      </c>
      <c r="AN208" s="160">
        <f>IF(OR('Sites'!$E$8&lt;0,'Sites'!$E$8&gt;1,'Sites'!$F$8&lt;1,'Sites'!$G$8&lt;'Sites'!$F$8,F208&lt;0,MIN('Sites'!$I$8:'Sites'!$R$8)&lt;0,'Sites'!$L$8&gt;'Sites'!$I$8,'Sites'!$M$8&gt;'Sites'!$J$8,'Sites'!$N$8&gt;'Sites'!$K$8,'Sites'!$Z$8&lt;0,'Sites'!$Z$8&gt;1,MIN('Sites'!$AA$8:'Sites'!$AC$8)&lt;0,S208&gt;F208+0.001),1,0)</f>
        <v/>
      </c>
      <c r="AO208" s="160">
        <f>I208+U208-T208-X208</f>
        <v/>
      </c>
    </row>
    <row r="209" ht="28" customHeight="1">
      <c r="A209" s="4" t="inlineStr">
        <is>
          <t>Smaller</t>
        </is>
      </c>
      <c r="B209" s="4" t="inlineStr">
        <is>
          <t>NEW2</t>
        </is>
      </c>
      <c r="C209" s="160" t="n">
        <v>24</v>
      </c>
      <c r="D209" s="160">
        <f>ROUNDUP(C209/12,0)</f>
        <v/>
      </c>
      <c r="E209" s="160">
        <f>IF(AND('Sites'!$E$8*'Cases'!$F$7=1,C209&gt;='Sites'!$F$8+'Cases'!$G$7,C209&lt;='Sites'!$G$8),1,0)</f>
        <v/>
      </c>
      <c r="F209" s="160">
        <f>E209*'Assumptions'!AA69</f>
        <v/>
      </c>
      <c r="G209" s="160">
        <f>V208</f>
        <v/>
      </c>
      <c r="H209" s="160">
        <f>W208</f>
        <v/>
      </c>
      <c r="I209" s="160">
        <f>X208</f>
        <v/>
      </c>
      <c r="J209" s="160">
        <f>MAX(0,'Sites'!$J$8-SUM(N198:N208))</f>
        <v/>
      </c>
      <c r="K209" s="160">
        <f>IF('Sites'!$C$8="Own sheets",MIN(ROUNDDOWN(G209/'NM Play'!$B$11,0)+F209*'NM Play'!$B$10/'NM Play'!$B$43,ROUNDDOWN(H209/'NM Play'!$B$12,0)+F209*'NM Play'!$B$10/'NM Play'!$B$44,(F209*'NM Play'!$B$10+ROUNDDOWN(G209/'NM Play'!$B$11,0)*'NM Play'!$B$43+ROUNDDOWN(H209/'NM Play'!$B$12,0)*'NM Play'!$B$44)/('NM Play'!$B$43+'NM Play'!$B$44)),ROUNDDOWN(G209/'NM Play'!$B$11,0)+F209*'NM Play'!$B$10/'NM Play'!$B$43)</f>
        <v/>
      </c>
      <c r="L209" s="160">
        <f>MIN(ROUNDDOWN(G209/'NM Play'!$B$11,0)+F209/('NM Play'!$B$43/'NM Play'!$B$15),ROUNDDOWN(H209/'NM Play'!$B$12,0)+F209/('NM Play'!$B$44/'NM Play'!$B$16),(F209+ROUNDDOWN(G209/'NM Play'!$B$11,0)*'NM Play'!$B$43/'NM Play'!$B$15+ROUNDDOWN(H209/'NM Play'!$B$12,0)*'NM Play'!$B$44/'NM Play'!$B$16)/('NM Play'!$B$43/'NM Play'!$B$15+'NM Play'!$B$44/'NM Play'!$B$16))</f>
        <v/>
      </c>
      <c r="M209" s="160">
        <f>F209*'NM Play'!$B$36</f>
        <v/>
      </c>
      <c r="N209" s="160">
        <f>ROUNDDOWN(MAX(0,MIN(J209,K209:M209)),0)</f>
        <v/>
      </c>
      <c r="O209" s="160">
        <f>ROUNDUP(MAX(0,N209*'NM Play'!$B$11-G209)/'NM Play'!$B$13,0)</f>
        <v/>
      </c>
      <c r="P209" s="160">
        <f>ROUNDUP(MAX(0,N209*'NM Play'!$B$12-H209)/'NM Play'!$B$14,0)</f>
        <v/>
      </c>
      <c r="Q209" s="160">
        <f>(O209+IF('Sites'!$C$8="Own sheets",P209,0))/'NM Play'!$B$10</f>
        <v/>
      </c>
      <c r="R209" s="160">
        <f>O209/'NM Play'!$B$15+P209/'NM Play'!$B$16</f>
        <v/>
      </c>
      <c r="S209" s="160">
        <f>MAX(Q209,R209,N209/'NM Play'!$B$36)</f>
        <v/>
      </c>
      <c r="T209" s="160">
        <f>Q209*'NM Play'!$B$10*'NM Play'!$B$21*(1+'NM Play'!$B$35)</f>
        <v/>
      </c>
      <c r="U209" s="160">
        <f>MAX(0,T209-I209)</f>
        <v/>
      </c>
      <c r="V209" s="160">
        <f>G209+O209*'NM Play'!$B$13-N209*'NM Play'!$B$11</f>
        <v/>
      </c>
      <c r="W209" s="160">
        <f>H209+P209*'NM Play'!$B$14-N209*'NM Play'!$B$12</f>
        <v/>
      </c>
      <c r="X209" s="160">
        <f>I209+U209-T209</f>
        <v/>
      </c>
      <c r="Y209" s="160">
        <f>MIN(N209,MAX(0,ROUNDDOWN('Sites'!$M$8*'Cases'!$E$7,0)-SUM(Y198:Y208)))</f>
        <v/>
      </c>
      <c r="Z209" s="160">
        <f>N209-Y209</f>
        <v/>
      </c>
      <c r="AA209" s="160">
        <f>U209*'NM Play'!$B$22</f>
        <v/>
      </c>
      <c r="AB209" s="160">
        <f>N209*SUM('NM Play'!$B$29:$B$31)</f>
        <v/>
      </c>
      <c r="AC209" s="160">
        <f>IF('Sites'!$C$8="Defy legs",P209*'NM Play'!$B$14/'NM Play'!$B$12*'NM Play'!$B$28,0)</f>
        <v/>
      </c>
      <c r="AD209" s="160">
        <f>Q209*'NM Play'!$B$23</f>
        <v/>
      </c>
      <c r="AE209" s="160">
        <f>S209*SUM('NM Play'!$B$26,'NM Play'!$B$33:$B$34)</f>
        <v/>
      </c>
      <c r="AF209" s="160">
        <f>IF('Sites'!$D$8="NM crew",S209*SUM('NM Play'!$B$24:$B$25),0)</f>
        <v/>
      </c>
      <c r="AG209" s="160">
        <f>IF('Sites'!$D$8="NM crew",S209*'NM Play'!$B$27,0)</f>
        <v/>
      </c>
      <c r="AH209" s="160">
        <f>N209*'Sites'!$Z$8*'NM Play'!$B$32</f>
        <v/>
      </c>
      <c r="AI209" s="160">
        <f>SUM(Y209:Z209)*'Sites'!$R$8</f>
        <v/>
      </c>
      <c r="AJ209" s="160">
        <f>SUM(AA209:AH209)</f>
        <v/>
      </c>
      <c r="AK209" s="160">
        <f>AJ209+(T209-U209)*'NM Play'!$B$22+MIN(G209,N209*'NM Play'!$B$11)/'NM Play'!$B$13*'NM Play'!$B$21*'NM Play'!$B$22+MIN(H209,N209*'NM Play'!$B$12)/'NM Play'!$B$14*IF('Sites'!$C$8="Own sheets",'NM Play'!$B$21*'NM Play'!$B$22,'NM Play'!$B$28*'NM Play'!$B$14/'NM Play'!$B$12)</f>
        <v/>
      </c>
      <c r="AL209" s="160">
        <f>Y209*'Assumptions'!AA66</f>
        <v/>
      </c>
      <c r="AM209" s="160">
        <f>IF('Sites'!$D$8="NM crew",S209*'NM Play'!$B$37*(1+IF(AND(ISNUMBER('NM Play'!$B$25),'NM Play'!$B$25&gt;0),1,0)),"")</f>
        <v/>
      </c>
      <c r="AN209" s="160">
        <f>IF(OR('Sites'!$E$8&lt;0,'Sites'!$E$8&gt;1,'Sites'!$F$8&lt;1,'Sites'!$G$8&lt;'Sites'!$F$8,F209&lt;0,MIN('Sites'!$I$8:'Sites'!$R$8)&lt;0,'Sites'!$L$8&gt;'Sites'!$I$8,'Sites'!$M$8&gt;'Sites'!$J$8,'Sites'!$N$8&gt;'Sites'!$K$8,'Sites'!$Z$8&lt;0,'Sites'!$Z$8&gt;1,MIN('Sites'!$AA$8:'Sites'!$AC$8)&lt;0,S209&gt;F209+0.001),1,0)</f>
        <v/>
      </c>
      <c r="AO209" s="160">
        <f>I209+U209-T209-X209</f>
        <v/>
      </c>
    </row>
    <row r="210" ht="28" customHeight="1">
      <c r="A210" s="4" t="inlineStr">
        <is>
          <t>Smaller</t>
        </is>
      </c>
      <c r="B210" s="4" t="inlineStr">
        <is>
          <t>NEW2</t>
        </is>
      </c>
      <c r="C210" s="160" t="n">
        <v>25</v>
      </c>
      <c r="D210" s="160">
        <f>ROUNDUP(C210/12,0)</f>
        <v/>
      </c>
      <c r="E210" s="160">
        <f>IF(AND('Sites'!$E$8*'Cases'!$F$7=1,C210&gt;='Sites'!$F$8+'Cases'!$G$7,C210&lt;='Sites'!$G$8),1,0)</f>
        <v/>
      </c>
      <c r="F210" s="160">
        <f>E210*'Assumptions'!AB69</f>
        <v/>
      </c>
      <c r="G210" s="160">
        <f>V209</f>
        <v/>
      </c>
      <c r="H210" s="160">
        <f>W209</f>
        <v/>
      </c>
      <c r="I210" s="160">
        <f>X209</f>
        <v/>
      </c>
      <c r="J210" s="160">
        <f>MAX(0,'Sites'!$K$8-0)</f>
        <v/>
      </c>
      <c r="K210" s="160">
        <f>IF('Sites'!$C$8="Own sheets",MIN(ROUNDDOWN(G210/'NM Play'!$B$11,0)+F210*'NM Play'!$B$10/'NM Play'!$B$43,ROUNDDOWN(H210/'NM Play'!$B$12,0)+F210*'NM Play'!$B$10/'NM Play'!$B$44,(F210*'NM Play'!$B$10+ROUNDDOWN(G210/'NM Play'!$B$11,0)*'NM Play'!$B$43+ROUNDDOWN(H210/'NM Play'!$B$12,0)*'NM Play'!$B$44)/('NM Play'!$B$43+'NM Play'!$B$44)),ROUNDDOWN(G210/'NM Play'!$B$11,0)+F210*'NM Play'!$B$10/'NM Play'!$B$43)</f>
        <v/>
      </c>
      <c r="L210" s="160">
        <f>MIN(ROUNDDOWN(G210/'NM Play'!$B$11,0)+F210/('NM Play'!$B$43/'NM Play'!$B$15),ROUNDDOWN(H210/'NM Play'!$B$12,0)+F210/('NM Play'!$B$44/'NM Play'!$B$16),(F210+ROUNDDOWN(G210/'NM Play'!$B$11,0)*'NM Play'!$B$43/'NM Play'!$B$15+ROUNDDOWN(H210/'NM Play'!$B$12,0)*'NM Play'!$B$44/'NM Play'!$B$16)/('NM Play'!$B$43/'NM Play'!$B$15+'NM Play'!$B$44/'NM Play'!$B$16))</f>
        <v/>
      </c>
      <c r="M210" s="160">
        <f>F210*'NM Play'!$B$36</f>
        <v/>
      </c>
      <c r="N210" s="160">
        <f>ROUNDDOWN(MAX(0,MIN(J210,K210:M210)),0)</f>
        <v/>
      </c>
      <c r="O210" s="160">
        <f>ROUNDUP(MAX(0,N210*'NM Play'!$B$11-G210)/'NM Play'!$B$13,0)</f>
        <v/>
      </c>
      <c r="P210" s="160">
        <f>ROUNDUP(MAX(0,N210*'NM Play'!$B$12-H210)/'NM Play'!$B$14,0)</f>
        <v/>
      </c>
      <c r="Q210" s="160">
        <f>(O210+IF('Sites'!$C$8="Own sheets",P210,0))/'NM Play'!$B$10</f>
        <v/>
      </c>
      <c r="R210" s="160">
        <f>O210/'NM Play'!$B$15+P210/'NM Play'!$B$16</f>
        <v/>
      </c>
      <c r="S210" s="160">
        <f>MAX(Q210,R210,N210/'NM Play'!$B$36)</f>
        <v/>
      </c>
      <c r="T210" s="160">
        <f>Q210*'NM Play'!$B$10*'NM Play'!$B$21*(1+'NM Play'!$B$35)</f>
        <v/>
      </c>
      <c r="U210" s="160">
        <f>MAX(0,T210-I210)</f>
        <v/>
      </c>
      <c r="V210" s="160">
        <f>G210+O210*'NM Play'!$B$13-N210*'NM Play'!$B$11</f>
        <v/>
      </c>
      <c r="W210" s="160">
        <f>H210+P210*'NM Play'!$B$14-N210*'NM Play'!$B$12</f>
        <v/>
      </c>
      <c r="X210" s="160">
        <f>I210+U210-T210</f>
        <v/>
      </c>
      <c r="Y210" s="160">
        <f>MIN(N210,MAX(0,ROUNDDOWN('Sites'!$N$8*'Cases'!$E$7,0)-0))</f>
        <v/>
      </c>
      <c r="Z210" s="160">
        <f>N210-Y210</f>
        <v/>
      </c>
      <c r="AA210" s="160">
        <f>U210*'NM Play'!$B$22</f>
        <v/>
      </c>
      <c r="AB210" s="160">
        <f>N210*SUM('NM Play'!$B$29:$B$31)</f>
        <v/>
      </c>
      <c r="AC210" s="160">
        <f>IF('Sites'!$C$8="Defy legs",P210*'NM Play'!$B$14/'NM Play'!$B$12*'NM Play'!$B$28,0)</f>
        <v/>
      </c>
      <c r="AD210" s="160">
        <f>Q210*'NM Play'!$B$23</f>
        <v/>
      </c>
      <c r="AE210" s="160">
        <f>S210*SUM('NM Play'!$B$26,'NM Play'!$B$33:$B$34)</f>
        <v/>
      </c>
      <c r="AF210" s="160">
        <f>IF('Sites'!$D$8="NM crew",S210*SUM('NM Play'!$B$24:$B$25),0)</f>
        <v/>
      </c>
      <c r="AG210" s="160">
        <f>IF('Sites'!$D$8="NM crew",S210*'NM Play'!$B$27,0)</f>
        <v/>
      </c>
      <c r="AH210" s="160">
        <f>N210*'Sites'!$Z$8*'NM Play'!$B$32</f>
        <v/>
      </c>
      <c r="AI210" s="160">
        <f>SUM(Y210:Z210)*'Sites'!$R$8</f>
        <v/>
      </c>
      <c r="AJ210" s="160">
        <f>SUM(AA210:AH210)</f>
        <v/>
      </c>
      <c r="AK210" s="160">
        <f>AJ210+(T210-U210)*'NM Play'!$B$22+MIN(G210,N210*'NM Play'!$B$11)/'NM Play'!$B$13*'NM Play'!$B$21*'NM Play'!$B$22+MIN(H210,N210*'NM Play'!$B$12)/'NM Play'!$B$14*IF('Sites'!$C$8="Own sheets",'NM Play'!$B$21*'NM Play'!$B$22,'NM Play'!$B$28*'NM Play'!$B$14/'NM Play'!$B$12)</f>
        <v/>
      </c>
      <c r="AL210" s="160">
        <f>Y210*'Assumptions'!AB66</f>
        <v/>
      </c>
      <c r="AM210" s="160">
        <f>IF('Sites'!$D$8="NM crew",S210*'NM Play'!$B$37*(1+IF(AND(ISNUMBER('NM Play'!$B$25),'NM Play'!$B$25&gt;0),1,0)),"")</f>
        <v/>
      </c>
      <c r="AN210" s="160">
        <f>IF(OR('Sites'!$E$8&lt;0,'Sites'!$E$8&gt;1,'Sites'!$F$8&lt;1,'Sites'!$G$8&lt;'Sites'!$F$8,F210&lt;0,MIN('Sites'!$I$8:'Sites'!$R$8)&lt;0,'Sites'!$L$8&gt;'Sites'!$I$8,'Sites'!$M$8&gt;'Sites'!$J$8,'Sites'!$N$8&gt;'Sites'!$K$8,'Sites'!$Z$8&lt;0,'Sites'!$Z$8&gt;1,MIN('Sites'!$AA$8:'Sites'!$AC$8)&lt;0,S210&gt;F210+0.001),1,0)</f>
        <v/>
      </c>
      <c r="AO210" s="160">
        <f>I210+U210-T210-X210</f>
        <v/>
      </c>
    </row>
    <row r="211" ht="28" customHeight="1">
      <c r="A211" s="4" t="inlineStr">
        <is>
          <t>Smaller</t>
        </is>
      </c>
      <c r="B211" s="4" t="inlineStr">
        <is>
          <t>NEW2</t>
        </is>
      </c>
      <c r="C211" s="160" t="n">
        <v>26</v>
      </c>
      <c r="D211" s="160">
        <f>ROUNDUP(C211/12,0)</f>
        <v/>
      </c>
      <c r="E211" s="160">
        <f>IF(AND('Sites'!$E$8*'Cases'!$F$7=1,C211&gt;='Sites'!$F$8+'Cases'!$G$7,C211&lt;='Sites'!$G$8),1,0)</f>
        <v/>
      </c>
      <c r="F211" s="160">
        <f>E211*'Assumptions'!AC69</f>
        <v/>
      </c>
      <c r="G211" s="160">
        <f>V210</f>
        <v/>
      </c>
      <c r="H211" s="160">
        <f>W210</f>
        <v/>
      </c>
      <c r="I211" s="160">
        <f>X210</f>
        <v/>
      </c>
      <c r="J211" s="160">
        <f>MAX(0,'Sites'!$K$8-SUM(N210:N210))</f>
        <v/>
      </c>
      <c r="K211" s="160">
        <f>IF('Sites'!$C$8="Own sheets",MIN(ROUNDDOWN(G211/'NM Play'!$B$11,0)+F211*'NM Play'!$B$10/'NM Play'!$B$43,ROUNDDOWN(H211/'NM Play'!$B$12,0)+F211*'NM Play'!$B$10/'NM Play'!$B$44,(F211*'NM Play'!$B$10+ROUNDDOWN(G211/'NM Play'!$B$11,0)*'NM Play'!$B$43+ROUNDDOWN(H211/'NM Play'!$B$12,0)*'NM Play'!$B$44)/('NM Play'!$B$43+'NM Play'!$B$44)),ROUNDDOWN(G211/'NM Play'!$B$11,0)+F211*'NM Play'!$B$10/'NM Play'!$B$43)</f>
        <v/>
      </c>
      <c r="L211" s="160">
        <f>MIN(ROUNDDOWN(G211/'NM Play'!$B$11,0)+F211/('NM Play'!$B$43/'NM Play'!$B$15),ROUNDDOWN(H211/'NM Play'!$B$12,0)+F211/('NM Play'!$B$44/'NM Play'!$B$16),(F211+ROUNDDOWN(G211/'NM Play'!$B$11,0)*'NM Play'!$B$43/'NM Play'!$B$15+ROUNDDOWN(H211/'NM Play'!$B$12,0)*'NM Play'!$B$44/'NM Play'!$B$16)/('NM Play'!$B$43/'NM Play'!$B$15+'NM Play'!$B$44/'NM Play'!$B$16))</f>
        <v/>
      </c>
      <c r="M211" s="160">
        <f>F211*'NM Play'!$B$36</f>
        <v/>
      </c>
      <c r="N211" s="160">
        <f>ROUNDDOWN(MAX(0,MIN(J211,K211:M211)),0)</f>
        <v/>
      </c>
      <c r="O211" s="160">
        <f>ROUNDUP(MAX(0,N211*'NM Play'!$B$11-G211)/'NM Play'!$B$13,0)</f>
        <v/>
      </c>
      <c r="P211" s="160">
        <f>ROUNDUP(MAX(0,N211*'NM Play'!$B$12-H211)/'NM Play'!$B$14,0)</f>
        <v/>
      </c>
      <c r="Q211" s="160">
        <f>(O211+IF('Sites'!$C$8="Own sheets",P211,0))/'NM Play'!$B$10</f>
        <v/>
      </c>
      <c r="R211" s="160">
        <f>O211/'NM Play'!$B$15+P211/'NM Play'!$B$16</f>
        <v/>
      </c>
      <c r="S211" s="160">
        <f>MAX(Q211,R211,N211/'NM Play'!$B$36)</f>
        <v/>
      </c>
      <c r="T211" s="160">
        <f>Q211*'NM Play'!$B$10*'NM Play'!$B$21*(1+'NM Play'!$B$35)</f>
        <v/>
      </c>
      <c r="U211" s="160">
        <f>MAX(0,T211-I211)</f>
        <v/>
      </c>
      <c r="V211" s="160">
        <f>G211+O211*'NM Play'!$B$13-N211*'NM Play'!$B$11</f>
        <v/>
      </c>
      <c r="W211" s="160">
        <f>H211+P211*'NM Play'!$B$14-N211*'NM Play'!$B$12</f>
        <v/>
      </c>
      <c r="X211" s="160">
        <f>I211+U211-T211</f>
        <v/>
      </c>
      <c r="Y211" s="160">
        <f>MIN(N211,MAX(0,ROUNDDOWN('Sites'!$N$8*'Cases'!$E$7,0)-SUM(Y210:Y210)))</f>
        <v/>
      </c>
      <c r="Z211" s="160">
        <f>N211-Y211</f>
        <v/>
      </c>
      <c r="AA211" s="160">
        <f>U211*'NM Play'!$B$22</f>
        <v/>
      </c>
      <c r="AB211" s="160">
        <f>N211*SUM('NM Play'!$B$29:$B$31)</f>
        <v/>
      </c>
      <c r="AC211" s="160">
        <f>IF('Sites'!$C$8="Defy legs",P211*'NM Play'!$B$14/'NM Play'!$B$12*'NM Play'!$B$28,0)</f>
        <v/>
      </c>
      <c r="AD211" s="160">
        <f>Q211*'NM Play'!$B$23</f>
        <v/>
      </c>
      <c r="AE211" s="160">
        <f>S211*SUM('NM Play'!$B$26,'NM Play'!$B$33:$B$34)</f>
        <v/>
      </c>
      <c r="AF211" s="160">
        <f>IF('Sites'!$D$8="NM crew",S211*SUM('NM Play'!$B$24:$B$25),0)</f>
        <v/>
      </c>
      <c r="AG211" s="160">
        <f>IF('Sites'!$D$8="NM crew",S211*'NM Play'!$B$27,0)</f>
        <v/>
      </c>
      <c r="AH211" s="160">
        <f>N211*'Sites'!$Z$8*'NM Play'!$B$32</f>
        <v/>
      </c>
      <c r="AI211" s="160">
        <f>SUM(Y211:Z211)*'Sites'!$R$8</f>
        <v/>
      </c>
      <c r="AJ211" s="160">
        <f>SUM(AA211:AH211)</f>
        <v/>
      </c>
      <c r="AK211" s="160">
        <f>AJ211+(T211-U211)*'NM Play'!$B$22+MIN(G211,N211*'NM Play'!$B$11)/'NM Play'!$B$13*'NM Play'!$B$21*'NM Play'!$B$22+MIN(H211,N211*'NM Play'!$B$12)/'NM Play'!$B$14*IF('Sites'!$C$8="Own sheets",'NM Play'!$B$21*'NM Play'!$B$22,'NM Play'!$B$28*'NM Play'!$B$14/'NM Play'!$B$12)</f>
        <v/>
      </c>
      <c r="AL211" s="160">
        <f>Y211*'Assumptions'!AC66</f>
        <v/>
      </c>
      <c r="AM211" s="160">
        <f>IF('Sites'!$D$8="NM crew",S211*'NM Play'!$B$37*(1+IF(AND(ISNUMBER('NM Play'!$B$25),'NM Play'!$B$25&gt;0),1,0)),"")</f>
        <v/>
      </c>
      <c r="AN211" s="160">
        <f>IF(OR('Sites'!$E$8&lt;0,'Sites'!$E$8&gt;1,'Sites'!$F$8&lt;1,'Sites'!$G$8&lt;'Sites'!$F$8,F211&lt;0,MIN('Sites'!$I$8:'Sites'!$R$8)&lt;0,'Sites'!$L$8&gt;'Sites'!$I$8,'Sites'!$M$8&gt;'Sites'!$J$8,'Sites'!$N$8&gt;'Sites'!$K$8,'Sites'!$Z$8&lt;0,'Sites'!$Z$8&gt;1,MIN('Sites'!$AA$8:'Sites'!$AC$8)&lt;0,S211&gt;F211+0.001),1,0)</f>
        <v/>
      </c>
      <c r="AO211" s="160">
        <f>I211+U211-T211-X211</f>
        <v/>
      </c>
    </row>
    <row r="212" ht="28" customHeight="1">
      <c r="A212" s="4" t="inlineStr">
        <is>
          <t>Smaller</t>
        </is>
      </c>
      <c r="B212" s="4" t="inlineStr">
        <is>
          <t>NEW2</t>
        </is>
      </c>
      <c r="C212" s="160" t="n">
        <v>27</v>
      </c>
      <c r="D212" s="160">
        <f>ROUNDUP(C212/12,0)</f>
        <v/>
      </c>
      <c r="E212" s="160">
        <f>IF(AND('Sites'!$E$8*'Cases'!$F$7=1,C212&gt;='Sites'!$F$8+'Cases'!$G$7,C212&lt;='Sites'!$G$8),1,0)</f>
        <v/>
      </c>
      <c r="F212" s="160">
        <f>E212*'Assumptions'!AD69</f>
        <v/>
      </c>
      <c r="G212" s="160">
        <f>V211</f>
        <v/>
      </c>
      <c r="H212" s="160">
        <f>W211</f>
        <v/>
      </c>
      <c r="I212" s="160">
        <f>X211</f>
        <v/>
      </c>
      <c r="J212" s="160">
        <f>MAX(0,'Sites'!$K$8-SUM(N210:N211))</f>
        <v/>
      </c>
      <c r="K212" s="160">
        <f>IF('Sites'!$C$8="Own sheets",MIN(ROUNDDOWN(G212/'NM Play'!$B$11,0)+F212*'NM Play'!$B$10/'NM Play'!$B$43,ROUNDDOWN(H212/'NM Play'!$B$12,0)+F212*'NM Play'!$B$10/'NM Play'!$B$44,(F212*'NM Play'!$B$10+ROUNDDOWN(G212/'NM Play'!$B$11,0)*'NM Play'!$B$43+ROUNDDOWN(H212/'NM Play'!$B$12,0)*'NM Play'!$B$44)/('NM Play'!$B$43+'NM Play'!$B$44)),ROUNDDOWN(G212/'NM Play'!$B$11,0)+F212*'NM Play'!$B$10/'NM Play'!$B$43)</f>
        <v/>
      </c>
      <c r="L212" s="160">
        <f>MIN(ROUNDDOWN(G212/'NM Play'!$B$11,0)+F212/('NM Play'!$B$43/'NM Play'!$B$15),ROUNDDOWN(H212/'NM Play'!$B$12,0)+F212/('NM Play'!$B$44/'NM Play'!$B$16),(F212+ROUNDDOWN(G212/'NM Play'!$B$11,0)*'NM Play'!$B$43/'NM Play'!$B$15+ROUNDDOWN(H212/'NM Play'!$B$12,0)*'NM Play'!$B$44/'NM Play'!$B$16)/('NM Play'!$B$43/'NM Play'!$B$15+'NM Play'!$B$44/'NM Play'!$B$16))</f>
        <v/>
      </c>
      <c r="M212" s="160">
        <f>F212*'NM Play'!$B$36</f>
        <v/>
      </c>
      <c r="N212" s="160">
        <f>ROUNDDOWN(MAX(0,MIN(J212,K212:M212)),0)</f>
        <v/>
      </c>
      <c r="O212" s="160">
        <f>ROUNDUP(MAX(0,N212*'NM Play'!$B$11-G212)/'NM Play'!$B$13,0)</f>
        <v/>
      </c>
      <c r="P212" s="160">
        <f>ROUNDUP(MAX(0,N212*'NM Play'!$B$12-H212)/'NM Play'!$B$14,0)</f>
        <v/>
      </c>
      <c r="Q212" s="160">
        <f>(O212+IF('Sites'!$C$8="Own sheets",P212,0))/'NM Play'!$B$10</f>
        <v/>
      </c>
      <c r="R212" s="160">
        <f>O212/'NM Play'!$B$15+P212/'NM Play'!$B$16</f>
        <v/>
      </c>
      <c r="S212" s="160">
        <f>MAX(Q212,R212,N212/'NM Play'!$B$36)</f>
        <v/>
      </c>
      <c r="T212" s="160">
        <f>Q212*'NM Play'!$B$10*'NM Play'!$B$21*(1+'NM Play'!$B$35)</f>
        <v/>
      </c>
      <c r="U212" s="160">
        <f>MAX(0,T212-I212)</f>
        <v/>
      </c>
      <c r="V212" s="160">
        <f>G212+O212*'NM Play'!$B$13-N212*'NM Play'!$B$11</f>
        <v/>
      </c>
      <c r="W212" s="160">
        <f>H212+P212*'NM Play'!$B$14-N212*'NM Play'!$B$12</f>
        <v/>
      </c>
      <c r="X212" s="160">
        <f>I212+U212-T212</f>
        <v/>
      </c>
      <c r="Y212" s="160">
        <f>MIN(N212,MAX(0,ROUNDDOWN('Sites'!$N$8*'Cases'!$E$7,0)-SUM(Y210:Y211)))</f>
        <v/>
      </c>
      <c r="Z212" s="160">
        <f>N212-Y212</f>
        <v/>
      </c>
      <c r="AA212" s="160">
        <f>U212*'NM Play'!$B$22</f>
        <v/>
      </c>
      <c r="AB212" s="160">
        <f>N212*SUM('NM Play'!$B$29:$B$31)</f>
        <v/>
      </c>
      <c r="AC212" s="160">
        <f>IF('Sites'!$C$8="Defy legs",P212*'NM Play'!$B$14/'NM Play'!$B$12*'NM Play'!$B$28,0)</f>
        <v/>
      </c>
      <c r="AD212" s="160">
        <f>Q212*'NM Play'!$B$23</f>
        <v/>
      </c>
      <c r="AE212" s="160">
        <f>S212*SUM('NM Play'!$B$26,'NM Play'!$B$33:$B$34)</f>
        <v/>
      </c>
      <c r="AF212" s="160">
        <f>IF('Sites'!$D$8="NM crew",S212*SUM('NM Play'!$B$24:$B$25),0)</f>
        <v/>
      </c>
      <c r="AG212" s="160">
        <f>IF('Sites'!$D$8="NM crew",S212*'NM Play'!$B$27,0)</f>
        <v/>
      </c>
      <c r="AH212" s="160">
        <f>N212*'Sites'!$Z$8*'NM Play'!$B$32</f>
        <v/>
      </c>
      <c r="AI212" s="160">
        <f>SUM(Y212:Z212)*'Sites'!$R$8</f>
        <v/>
      </c>
      <c r="AJ212" s="160">
        <f>SUM(AA212:AH212)</f>
        <v/>
      </c>
      <c r="AK212" s="160">
        <f>AJ212+(T212-U212)*'NM Play'!$B$22+MIN(G212,N212*'NM Play'!$B$11)/'NM Play'!$B$13*'NM Play'!$B$21*'NM Play'!$B$22+MIN(H212,N212*'NM Play'!$B$12)/'NM Play'!$B$14*IF('Sites'!$C$8="Own sheets",'NM Play'!$B$21*'NM Play'!$B$22,'NM Play'!$B$28*'NM Play'!$B$14/'NM Play'!$B$12)</f>
        <v/>
      </c>
      <c r="AL212" s="160">
        <f>Y212*'Assumptions'!AD66</f>
        <v/>
      </c>
      <c r="AM212" s="160">
        <f>IF('Sites'!$D$8="NM crew",S212*'NM Play'!$B$37*(1+IF(AND(ISNUMBER('NM Play'!$B$25),'NM Play'!$B$25&gt;0),1,0)),"")</f>
        <v/>
      </c>
      <c r="AN212" s="160">
        <f>IF(OR('Sites'!$E$8&lt;0,'Sites'!$E$8&gt;1,'Sites'!$F$8&lt;1,'Sites'!$G$8&lt;'Sites'!$F$8,F212&lt;0,MIN('Sites'!$I$8:'Sites'!$R$8)&lt;0,'Sites'!$L$8&gt;'Sites'!$I$8,'Sites'!$M$8&gt;'Sites'!$J$8,'Sites'!$N$8&gt;'Sites'!$K$8,'Sites'!$Z$8&lt;0,'Sites'!$Z$8&gt;1,MIN('Sites'!$AA$8:'Sites'!$AC$8)&lt;0,S212&gt;F212+0.001),1,0)</f>
        <v/>
      </c>
      <c r="AO212" s="160">
        <f>I212+U212-T212-X212</f>
        <v/>
      </c>
    </row>
    <row r="213" ht="28" customHeight="1">
      <c r="A213" s="4" t="inlineStr">
        <is>
          <t>Smaller</t>
        </is>
      </c>
      <c r="B213" s="4" t="inlineStr">
        <is>
          <t>NEW2</t>
        </is>
      </c>
      <c r="C213" s="160" t="n">
        <v>28</v>
      </c>
      <c r="D213" s="160">
        <f>ROUNDUP(C213/12,0)</f>
        <v/>
      </c>
      <c r="E213" s="160">
        <f>IF(AND('Sites'!$E$8*'Cases'!$F$7=1,C213&gt;='Sites'!$F$8+'Cases'!$G$7,C213&lt;='Sites'!$G$8),1,0)</f>
        <v/>
      </c>
      <c r="F213" s="160">
        <f>E213*'Assumptions'!AE69</f>
        <v/>
      </c>
      <c r="G213" s="160">
        <f>V212</f>
        <v/>
      </c>
      <c r="H213" s="160">
        <f>W212</f>
        <v/>
      </c>
      <c r="I213" s="160">
        <f>X212</f>
        <v/>
      </c>
      <c r="J213" s="160">
        <f>MAX(0,'Sites'!$K$8-SUM(N210:N212))</f>
        <v/>
      </c>
      <c r="K213" s="160">
        <f>IF('Sites'!$C$8="Own sheets",MIN(ROUNDDOWN(G213/'NM Play'!$B$11,0)+F213*'NM Play'!$B$10/'NM Play'!$B$43,ROUNDDOWN(H213/'NM Play'!$B$12,0)+F213*'NM Play'!$B$10/'NM Play'!$B$44,(F213*'NM Play'!$B$10+ROUNDDOWN(G213/'NM Play'!$B$11,0)*'NM Play'!$B$43+ROUNDDOWN(H213/'NM Play'!$B$12,0)*'NM Play'!$B$44)/('NM Play'!$B$43+'NM Play'!$B$44)),ROUNDDOWN(G213/'NM Play'!$B$11,0)+F213*'NM Play'!$B$10/'NM Play'!$B$43)</f>
        <v/>
      </c>
      <c r="L213" s="160">
        <f>MIN(ROUNDDOWN(G213/'NM Play'!$B$11,0)+F213/('NM Play'!$B$43/'NM Play'!$B$15),ROUNDDOWN(H213/'NM Play'!$B$12,0)+F213/('NM Play'!$B$44/'NM Play'!$B$16),(F213+ROUNDDOWN(G213/'NM Play'!$B$11,0)*'NM Play'!$B$43/'NM Play'!$B$15+ROUNDDOWN(H213/'NM Play'!$B$12,0)*'NM Play'!$B$44/'NM Play'!$B$16)/('NM Play'!$B$43/'NM Play'!$B$15+'NM Play'!$B$44/'NM Play'!$B$16))</f>
        <v/>
      </c>
      <c r="M213" s="160">
        <f>F213*'NM Play'!$B$36</f>
        <v/>
      </c>
      <c r="N213" s="160">
        <f>ROUNDDOWN(MAX(0,MIN(J213,K213:M213)),0)</f>
        <v/>
      </c>
      <c r="O213" s="160">
        <f>ROUNDUP(MAX(0,N213*'NM Play'!$B$11-G213)/'NM Play'!$B$13,0)</f>
        <v/>
      </c>
      <c r="P213" s="160">
        <f>ROUNDUP(MAX(0,N213*'NM Play'!$B$12-H213)/'NM Play'!$B$14,0)</f>
        <v/>
      </c>
      <c r="Q213" s="160">
        <f>(O213+IF('Sites'!$C$8="Own sheets",P213,0))/'NM Play'!$B$10</f>
        <v/>
      </c>
      <c r="R213" s="160">
        <f>O213/'NM Play'!$B$15+P213/'NM Play'!$B$16</f>
        <v/>
      </c>
      <c r="S213" s="160">
        <f>MAX(Q213,R213,N213/'NM Play'!$B$36)</f>
        <v/>
      </c>
      <c r="T213" s="160">
        <f>Q213*'NM Play'!$B$10*'NM Play'!$B$21*(1+'NM Play'!$B$35)</f>
        <v/>
      </c>
      <c r="U213" s="160">
        <f>MAX(0,T213-I213)</f>
        <v/>
      </c>
      <c r="V213" s="160">
        <f>G213+O213*'NM Play'!$B$13-N213*'NM Play'!$B$11</f>
        <v/>
      </c>
      <c r="W213" s="160">
        <f>H213+P213*'NM Play'!$B$14-N213*'NM Play'!$B$12</f>
        <v/>
      </c>
      <c r="X213" s="160">
        <f>I213+U213-T213</f>
        <v/>
      </c>
      <c r="Y213" s="160">
        <f>MIN(N213,MAX(0,ROUNDDOWN('Sites'!$N$8*'Cases'!$E$7,0)-SUM(Y210:Y212)))</f>
        <v/>
      </c>
      <c r="Z213" s="160">
        <f>N213-Y213</f>
        <v/>
      </c>
      <c r="AA213" s="160">
        <f>U213*'NM Play'!$B$22</f>
        <v/>
      </c>
      <c r="AB213" s="160">
        <f>N213*SUM('NM Play'!$B$29:$B$31)</f>
        <v/>
      </c>
      <c r="AC213" s="160">
        <f>IF('Sites'!$C$8="Defy legs",P213*'NM Play'!$B$14/'NM Play'!$B$12*'NM Play'!$B$28,0)</f>
        <v/>
      </c>
      <c r="AD213" s="160">
        <f>Q213*'NM Play'!$B$23</f>
        <v/>
      </c>
      <c r="AE213" s="160">
        <f>S213*SUM('NM Play'!$B$26,'NM Play'!$B$33:$B$34)</f>
        <v/>
      </c>
      <c r="AF213" s="160">
        <f>IF('Sites'!$D$8="NM crew",S213*SUM('NM Play'!$B$24:$B$25),0)</f>
        <v/>
      </c>
      <c r="AG213" s="160">
        <f>IF('Sites'!$D$8="NM crew",S213*'NM Play'!$B$27,0)</f>
        <v/>
      </c>
      <c r="AH213" s="160">
        <f>N213*'Sites'!$Z$8*'NM Play'!$B$32</f>
        <v/>
      </c>
      <c r="AI213" s="160">
        <f>SUM(Y213:Z213)*'Sites'!$R$8</f>
        <v/>
      </c>
      <c r="AJ213" s="160">
        <f>SUM(AA213:AH213)</f>
        <v/>
      </c>
      <c r="AK213" s="160">
        <f>AJ213+(T213-U213)*'NM Play'!$B$22+MIN(G213,N213*'NM Play'!$B$11)/'NM Play'!$B$13*'NM Play'!$B$21*'NM Play'!$B$22+MIN(H213,N213*'NM Play'!$B$12)/'NM Play'!$B$14*IF('Sites'!$C$8="Own sheets",'NM Play'!$B$21*'NM Play'!$B$22,'NM Play'!$B$28*'NM Play'!$B$14/'NM Play'!$B$12)</f>
        <v/>
      </c>
      <c r="AL213" s="160">
        <f>Y213*'Assumptions'!AE66</f>
        <v/>
      </c>
      <c r="AM213" s="160">
        <f>IF('Sites'!$D$8="NM crew",S213*'NM Play'!$B$37*(1+IF(AND(ISNUMBER('NM Play'!$B$25),'NM Play'!$B$25&gt;0),1,0)),"")</f>
        <v/>
      </c>
      <c r="AN213" s="160">
        <f>IF(OR('Sites'!$E$8&lt;0,'Sites'!$E$8&gt;1,'Sites'!$F$8&lt;1,'Sites'!$G$8&lt;'Sites'!$F$8,F213&lt;0,MIN('Sites'!$I$8:'Sites'!$R$8)&lt;0,'Sites'!$L$8&gt;'Sites'!$I$8,'Sites'!$M$8&gt;'Sites'!$J$8,'Sites'!$N$8&gt;'Sites'!$K$8,'Sites'!$Z$8&lt;0,'Sites'!$Z$8&gt;1,MIN('Sites'!$AA$8:'Sites'!$AC$8)&lt;0,S213&gt;F213+0.001),1,0)</f>
        <v/>
      </c>
      <c r="AO213" s="160">
        <f>I213+U213-T213-X213</f>
        <v/>
      </c>
    </row>
    <row r="214" ht="28" customHeight="1">
      <c r="A214" s="4" t="inlineStr">
        <is>
          <t>Smaller</t>
        </is>
      </c>
      <c r="B214" s="4" t="inlineStr">
        <is>
          <t>NEW2</t>
        </is>
      </c>
      <c r="C214" s="160" t="n">
        <v>29</v>
      </c>
      <c r="D214" s="160">
        <f>ROUNDUP(C214/12,0)</f>
        <v/>
      </c>
      <c r="E214" s="160">
        <f>IF(AND('Sites'!$E$8*'Cases'!$F$7=1,C214&gt;='Sites'!$F$8+'Cases'!$G$7,C214&lt;='Sites'!$G$8),1,0)</f>
        <v/>
      </c>
      <c r="F214" s="160">
        <f>E214*'Assumptions'!AF69</f>
        <v/>
      </c>
      <c r="G214" s="160">
        <f>V213</f>
        <v/>
      </c>
      <c r="H214" s="160">
        <f>W213</f>
        <v/>
      </c>
      <c r="I214" s="160">
        <f>X213</f>
        <v/>
      </c>
      <c r="J214" s="160">
        <f>MAX(0,'Sites'!$K$8-SUM(N210:N213))</f>
        <v/>
      </c>
      <c r="K214" s="160">
        <f>IF('Sites'!$C$8="Own sheets",MIN(ROUNDDOWN(G214/'NM Play'!$B$11,0)+F214*'NM Play'!$B$10/'NM Play'!$B$43,ROUNDDOWN(H214/'NM Play'!$B$12,0)+F214*'NM Play'!$B$10/'NM Play'!$B$44,(F214*'NM Play'!$B$10+ROUNDDOWN(G214/'NM Play'!$B$11,0)*'NM Play'!$B$43+ROUNDDOWN(H214/'NM Play'!$B$12,0)*'NM Play'!$B$44)/('NM Play'!$B$43+'NM Play'!$B$44)),ROUNDDOWN(G214/'NM Play'!$B$11,0)+F214*'NM Play'!$B$10/'NM Play'!$B$43)</f>
        <v/>
      </c>
      <c r="L214" s="160">
        <f>MIN(ROUNDDOWN(G214/'NM Play'!$B$11,0)+F214/('NM Play'!$B$43/'NM Play'!$B$15),ROUNDDOWN(H214/'NM Play'!$B$12,0)+F214/('NM Play'!$B$44/'NM Play'!$B$16),(F214+ROUNDDOWN(G214/'NM Play'!$B$11,0)*'NM Play'!$B$43/'NM Play'!$B$15+ROUNDDOWN(H214/'NM Play'!$B$12,0)*'NM Play'!$B$44/'NM Play'!$B$16)/('NM Play'!$B$43/'NM Play'!$B$15+'NM Play'!$B$44/'NM Play'!$B$16))</f>
        <v/>
      </c>
      <c r="M214" s="160">
        <f>F214*'NM Play'!$B$36</f>
        <v/>
      </c>
      <c r="N214" s="160">
        <f>ROUNDDOWN(MAX(0,MIN(J214,K214:M214)),0)</f>
        <v/>
      </c>
      <c r="O214" s="160">
        <f>ROUNDUP(MAX(0,N214*'NM Play'!$B$11-G214)/'NM Play'!$B$13,0)</f>
        <v/>
      </c>
      <c r="P214" s="160">
        <f>ROUNDUP(MAX(0,N214*'NM Play'!$B$12-H214)/'NM Play'!$B$14,0)</f>
        <v/>
      </c>
      <c r="Q214" s="160">
        <f>(O214+IF('Sites'!$C$8="Own sheets",P214,0))/'NM Play'!$B$10</f>
        <v/>
      </c>
      <c r="R214" s="160">
        <f>O214/'NM Play'!$B$15+P214/'NM Play'!$B$16</f>
        <v/>
      </c>
      <c r="S214" s="160">
        <f>MAX(Q214,R214,N214/'NM Play'!$B$36)</f>
        <v/>
      </c>
      <c r="T214" s="160">
        <f>Q214*'NM Play'!$B$10*'NM Play'!$B$21*(1+'NM Play'!$B$35)</f>
        <v/>
      </c>
      <c r="U214" s="160">
        <f>MAX(0,T214-I214)</f>
        <v/>
      </c>
      <c r="V214" s="160">
        <f>G214+O214*'NM Play'!$B$13-N214*'NM Play'!$B$11</f>
        <v/>
      </c>
      <c r="W214" s="160">
        <f>H214+P214*'NM Play'!$B$14-N214*'NM Play'!$B$12</f>
        <v/>
      </c>
      <c r="X214" s="160">
        <f>I214+U214-T214</f>
        <v/>
      </c>
      <c r="Y214" s="160">
        <f>MIN(N214,MAX(0,ROUNDDOWN('Sites'!$N$8*'Cases'!$E$7,0)-SUM(Y210:Y213)))</f>
        <v/>
      </c>
      <c r="Z214" s="160">
        <f>N214-Y214</f>
        <v/>
      </c>
      <c r="AA214" s="160">
        <f>U214*'NM Play'!$B$22</f>
        <v/>
      </c>
      <c r="AB214" s="160">
        <f>N214*SUM('NM Play'!$B$29:$B$31)</f>
        <v/>
      </c>
      <c r="AC214" s="160">
        <f>IF('Sites'!$C$8="Defy legs",P214*'NM Play'!$B$14/'NM Play'!$B$12*'NM Play'!$B$28,0)</f>
        <v/>
      </c>
      <c r="AD214" s="160">
        <f>Q214*'NM Play'!$B$23</f>
        <v/>
      </c>
      <c r="AE214" s="160">
        <f>S214*SUM('NM Play'!$B$26,'NM Play'!$B$33:$B$34)</f>
        <v/>
      </c>
      <c r="AF214" s="160">
        <f>IF('Sites'!$D$8="NM crew",S214*SUM('NM Play'!$B$24:$B$25),0)</f>
        <v/>
      </c>
      <c r="AG214" s="160">
        <f>IF('Sites'!$D$8="NM crew",S214*'NM Play'!$B$27,0)</f>
        <v/>
      </c>
      <c r="AH214" s="160">
        <f>N214*'Sites'!$Z$8*'NM Play'!$B$32</f>
        <v/>
      </c>
      <c r="AI214" s="160">
        <f>SUM(Y214:Z214)*'Sites'!$R$8</f>
        <v/>
      </c>
      <c r="AJ214" s="160">
        <f>SUM(AA214:AH214)</f>
        <v/>
      </c>
      <c r="AK214" s="160">
        <f>AJ214+(T214-U214)*'NM Play'!$B$22+MIN(G214,N214*'NM Play'!$B$11)/'NM Play'!$B$13*'NM Play'!$B$21*'NM Play'!$B$22+MIN(H214,N214*'NM Play'!$B$12)/'NM Play'!$B$14*IF('Sites'!$C$8="Own sheets",'NM Play'!$B$21*'NM Play'!$B$22,'NM Play'!$B$28*'NM Play'!$B$14/'NM Play'!$B$12)</f>
        <v/>
      </c>
      <c r="AL214" s="160">
        <f>Y214*'Assumptions'!AF66</f>
        <v/>
      </c>
      <c r="AM214" s="160">
        <f>IF('Sites'!$D$8="NM crew",S214*'NM Play'!$B$37*(1+IF(AND(ISNUMBER('NM Play'!$B$25),'NM Play'!$B$25&gt;0),1,0)),"")</f>
        <v/>
      </c>
      <c r="AN214" s="160">
        <f>IF(OR('Sites'!$E$8&lt;0,'Sites'!$E$8&gt;1,'Sites'!$F$8&lt;1,'Sites'!$G$8&lt;'Sites'!$F$8,F214&lt;0,MIN('Sites'!$I$8:'Sites'!$R$8)&lt;0,'Sites'!$L$8&gt;'Sites'!$I$8,'Sites'!$M$8&gt;'Sites'!$J$8,'Sites'!$N$8&gt;'Sites'!$K$8,'Sites'!$Z$8&lt;0,'Sites'!$Z$8&gt;1,MIN('Sites'!$AA$8:'Sites'!$AC$8)&lt;0,S214&gt;F214+0.001),1,0)</f>
        <v/>
      </c>
      <c r="AO214" s="160">
        <f>I214+U214-T214-X214</f>
        <v/>
      </c>
    </row>
    <row r="215" ht="28" customHeight="1">
      <c r="A215" s="4" t="inlineStr">
        <is>
          <t>Smaller</t>
        </is>
      </c>
      <c r="B215" s="4" t="inlineStr">
        <is>
          <t>NEW2</t>
        </is>
      </c>
      <c r="C215" s="160" t="n">
        <v>30</v>
      </c>
      <c r="D215" s="160">
        <f>ROUNDUP(C215/12,0)</f>
        <v/>
      </c>
      <c r="E215" s="160">
        <f>IF(AND('Sites'!$E$8*'Cases'!$F$7=1,C215&gt;='Sites'!$F$8+'Cases'!$G$7,C215&lt;='Sites'!$G$8),1,0)</f>
        <v/>
      </c>
      <c r="F215" s="160">
        <f>E215*'Assumptions'!AG69</f>
        <v/>
      </c>
      <c r="G215" s="160">
        <f>V214</f>
        <v/>
      </c>
      <c r="H215" s="160">
        <f>W214</f>
        <v/>
      </c>
      <c r="I215" s="160">
        <f>X214</f>
        <v/>
      </c>
      <c r="J215" s="160">
        <f>MAX(0,'Sites'!$K$8-SUM(N210:N214))</f>
        <v/>
      </c>
      <c r="K215" s="160">
        <f>IF('Sites'!$C$8="Own sheets",MIN(ROUNDDOWN(G215/'NM Play'!$B$11,0)+F215*'NM Play'!$B$10/'NM Play'!$B$43,ROUNDDOWN(H215/'NM Play'!$B$12,0)+F215*'NM Play'!$B$10/'NM Play'!$B$44,(F215*'NM Play'!$B$10+ROUNDDOWN(G215/'NM Play'!$B$11,0)*'NM Play'!$B$43+ROUNDDOWN(H215/'NM Play'!$B$12,0)*'NM Play'!$B$44)/('NM Play'!$B$43+'NM Play'!$B$44)),ROUNDDOWN(G215/'NM Play'!$B$11,0)+F215*'NM Play'!$B$10/'NM Play'!$B$43)</f>
        <v/>
      </c>
      <c r="L215" s="160">
        <f>MIN(ROUNDDOWN(G215/'NM Play'!$B$11,0)+F215/('NM Play'!$B$43/'NM Play'!$B$15),ROUNDDOWN(H215/'NM Play'!$B$12,0)+F215/('NM Play'!$B$44/'NM Play'!$B$16),(F215+ROUNDDOWN(G215/'NM Play'!$B$11,0)*'NM Play'!$B$43/'NM Play'!$B$15+ROUNDDOWN(H215/'NM Play'!$B$12,0)*'NM Play'!$B$44/'NM Play'!$B$16)/('NM Play'!$B$43/'NM Play'!$B$15+'NM Play'!$B$44/'NM Play'!$B$16))</f>
        <v/>
      </c>
      <c r="M215" s="160">
        <f>F215*'NM Play'!$B$36</f>
        <v/>
      </c>
      <c r="N215" s="160">
        <f>ROUNDDOWN(MAX(0,MIN(J215,K215:M215)),0)</f>
        <v/>
      </c>
      <c r="O215" s="160">
        <f>ROUNDUP(MAX(0,N215*'NM Play'!$B$11-G215)/'NM Play'!$B$13,0)</f>
        <v/>
      </c>
      <c r="P215" s="160">
        <f>ROUNDUP(MAX(0,N215*'NM Play'!$B$12-H215)/'NM Play'!$B$14,0)</f>
        <v/>
      </c>
      <c r="Q215" s="160">
        <f>(O215+IF('Sites'!$C$8="Own sheets",P215,0))/'NM Play'!$B$10</f>
        <v/>
      </c>
      <c r="R215" s="160">
        <f>O215/'NM Play'!$B$15+P215/'NM Play'!$B$16</f>
        <v/>
      </c>
      <c r="S215" s="160">
        <f>MAX(Q215,R215,N215/'NM Play'!$B$36)</f>
        <v/>
      </c>
      <c r="T215" s="160">
        <f>Q215*'NM Play'!$B$10*'NM Play'!$B$21*(1+'NM Play'!$B$35)</f>
        <v/>
      </c>
      <c r="U215" s="160">
        <f>MAX(0,T215-I215)</f>
        <v/>
      </c>
      <c r="V215" s="160">
        <f>G215+O215*'NM Play'!$B$13-N215*'NM Play'!$B$11</f>
        <v/>
      </c>
      <c r="W215" s="160">
        <f>H215+P215*'NM Play'!$B$14-N215*'NM Play'!$B$12</f>
        <v/>
      </c>
      <c r="X215" s="160">
        <f>I215+U215-T215</f>
        <v/>
      </c>
      <c r="Y215" s="160">
        <f>MIN(N215,MAX(0,ROUNDDOWN('Sites'!$N$8*'Cases'!$E$7,0)-SUM(Y210:Y214)))</f>
        <v/>
      </c>
      <c r="Z215" s="160">
        <f>N215-Y215</f>
        <v/>
      </c>
      <c r="AA215" s="160">
        <f>U215*'NM Play'!$B$22</f>
        <v/>
      </c>
      <c r="AB215" s="160">
        <f>N215*SUM('NM Play'!$B$29:$B$31)</f>
        <v/>
      </c>
      <c r="AC215" s="160">
        <f>IF('Sites'!$C$8="Defy legs",P215*'NM Play'!$B$14/'NM Play'!$B$12*'NM Play'!$B$28,0)</f>
        <v/>
      </c>
      <c r="AD215" s="160">
        <f>Q215*'NM Play'!$B$23</f>
        <v/>
      </c>
      <c r="AE215" s="160">
        <f>S215*SUM('NM Play'!$B$26,'NM Play'!$B$33:$B$34)</f>
        <v/>
      </c>
      <c r="AF215" s="160">
        <f>IF('Sites'!$D$8="NM crew",S215*SUM('NM Play'!$B$24:$B$25),0)</f>
        <v/>
      </c>
      <c r="AG215" s="160">
        <f>IF('Sites'!$D$8="NM crew",S215*'NM Play'!$B$27,0)</f>
        <v/>
      </c>
      <c r="AH215" s="160">
        <f>N215*'Sites'!$Z$8*'NM Play'!$B$32</f>
        <v/>
      </c>
      <c r="AI215" s="160">
        <f>SUM(Y215:Z215)*'Sites'!$R$8</f>
        <v/>
      </c>
      <c r="AJ215" s="160">
        <f>SUM(AA215:AH215)</f>
        <v/>
      </c>
      <c r="AK215" s="160">
        <f>AJ215+(T215-U215)*'NM Play'!$B$22+MIN(G215,N215*'NM Play'!$B$11)/'NM Play'!$B$13*'NM Play'!$B$21*'NM Play'!$B$22+MIN(H215,N215*'NM Play'!$B$12)/'NM Play'!$B$14*IF('Sites'!$C$8="Own sheets",'NM Play'!$B$21*'NM Play'!$B$22,'NM Play'!$B$28*'NM Play'!$B$14/'NM Play'!$B$12)</f>
        <v/>
      </c>
      <c r="AL215" s="160">
        <f>Y215*'Assumptions'!AG66</f>
        <v/>
      </c>
      <c r="AM215" s="160">
        <f>IF('Sites'!$D$8="NM crew",S215*'NM Play'!$B$37*(1+IF(AND(ISNUMBER('NM Play'!$B$25),'NM Play'!$B$25&gt;0),1,0)),"")</f>
        <v/>
      </c>
      <c r="AN215" s="160">
        <f>IF(OR('Sites'!$E$8&lt;0,'Sites'!$E$8&gt;1,'Sites'!$F$8&lt;1,'Sites'!$G$8&lt;'Sites'!$F$8,F215&lt;0,MIN('Sites'!$I$8:'Sites'!$R$8)&lt;0,'Sites'!$L$8&gt;'Sites'!$I$8,'Sites'!$M$8&gt;'Sites'!$J$8,'Sites'!$N$8&gt;'Sites'!$K$8,'Sites'!$Z$8&lt;0,'Sites'!$Z$8&gt;1,MIN('Sites'!$AA$8:'Sites'!$AC$8)&lt;0,S215&gt;F215+0.001),1,0)</f>
        <v/>
      </c>
      <c r="AO215" s="160">
        <f>I215+U215-T215-X215</f>
        <v/>
      </c>
    </row>
    <row r="216" ht="28" customHeight="1">
      <c r="A216" s="4" t="inlineStr">
        <is>
          <t>Smaller</t>
        </is>
      </c>
      <c r="B216" s="4" t="inlineStr">
        <is>
          <t>NEW2</t>
        </is>
      </c>
      <c r="C216" s="160" t="n">
        <v>31</v>
      </c>
      <c r="D216" s="160">
        <f>ROUNDUP(C216/12,0)</f>
        <v/>
      </c>
      <c r="E216" s="160">
        <f>IF(AND('Sites'!$E$8*'Cases'!$F$7=1,C216&gt;='Sites'!$F$8+'Cases'!$G$7,C216&lt;='Sites'!$G$8),1,0)</f>
        <v/>
      </c>
      <c r="F216" s="160">
        <f>E216*'Assumptions'!AH69</f>
        <v/>
      </c>
      <c r="G216" s="160">
        <f>V215</f>
        <v/>
      </c>
      <c r="H216" s="160">
        <f>W215</f>
        <v/>
      </c>
      <c r="I216" s="160">
        <f>X215</f>
        <v/>
      </c>
      <c r="J216" s="160">
        <f>MAX(0,'Sites'!$K$8-SUM(N210:N215))</f>
        <v/>
      </c>
      <c r="K216" s="160">
        <f>IF('Sites'!$C$8="Own sheets",MIN(ROUNDDOWN(G216/'NM Play'!$B$11,0)+F216*'NM Play'!$B$10/'NM Play'!$B$43,ROUNDDOWN(H216/'NM Play'!$B$12,0)+F216*'NM Play'!$B$10/'NM Play'!$B$44,(F216*'NM Play'!$B$10+ROUNDDOWN(G216/'NM Play'!$B$11,0)*'NM Play'!$B$43+ROUNDDOWN(H216/'NM Play'!$B$12,0)*'NM Play'!$B$44)/('NM Play'!$B$43+'NM Play'!$B$44)),ROUNDDOWN(G216/'NM Play'!$B$11,0)+F216*'NM Play'!$B$10/'NM Play'!$B$43)</f>
        <v/>
      </c>
      <c r="L216" s="160">
        <f>MIN(ROUNDDOWN(G216/'NM Play'!$B$11,0)+F216/('NM Play'!$B$43/'NM Play'!$B$15),ROUNDDOWN(H216/'NM Play'!$B$12,0)+F216/('NM Play'!$B$44/'NM Play'!$B$16),(F216+ROUNDDOWN(G216/'NM Play'!$B$11,0)*'NM Play'!$B$43/'NM Play'!$B$15+ROUNDDOWN(H216/'NM Play'!$B$12,0)*'NM Play'!$B$44/'NM Play'!$B$16)/('NM Play'!$B$43/'NM Play'!$B$15+'NM Play'!$B$44/'NM Play'!$B$16))</f>
        <v/>
      </c>
      <c r="M216" s="160">
        <f>F216*'NM Play'!$B$36</f>
        <v/>
      </c>
      <c r="N216" s="160">
        <f>ROUNDDOWN(MAX(0,MIN(J216,K216:M216)),0)</f>
        <v/>
      </c>
      <c r="O216" s="160">
        <f>ROUNDUP(MAX(0,N216*'NM Play'!$B$11-G216)/'NM Play'!$B$13,0)</f>
        <v/>
      </c>
      <c r="P216" s="160">
        <f>ROUNDUP(MAX(0,N216*'NM Play'!$B$12-H216)/'NM Play'!$B$14,0)</f>
        <v/>
      </c>
      <c r="Q216" s="160">
        <f>(O216+IF('Sites'!$C$8="Own sheets",P216,0))/'NM Play'!$B$10</f>
        <v/>
      </c>
      <c r="R216" s="160">
        <f>O216/'NM Play'!$B$15+P216/'NM Play'!$B$16</f>
        <v/>
      </c>
      <c r="S216" s="160">
        <f>MAX(Q216,R216,N216/'NM Play'!$B$36)</f>
        <v/>
      </c>
      <c r="T216" s="160">
        <f>Q216*'NM Play'!$B$10*'NM Play'!$B$21*(1+'NM Play'!$B$35)</f>
        <v/>
      </c>
      <c r="U216" s="160">
        <f>MAX(0,T216-I216)</f>
        <v/>
      </c>
      <c r="V216" s="160">
        <f>G216+O216*'NM Play'!$B$13-N216*'NM Play'!$B$11</f>
        <v/>
      </c>
      <c r="W216" s="160">
        <f>H216+P216*'NM Play'!$B$14-N216*'NM Play'!$B$12</f>
        <v/>
      </c>
      <c r="X216" s="160">
        <f>I216+U216-T216</f>
        <v/>
      </c>
      <c r="Y216" s="160">
        <f>MIN(N216,MAX(0,ROUNDDOWN('Sites'!$N$8*'Cases'!$E$7,0)-SUM(Y210:Y215)))</f>
        <v/>
      </c>
      <c r="Z216" s="160">
        <f>N216-Y216</f>
        <v/>
      </c>
      <c r="AA216" s="160">
        <f>U216*'NM Play'!$B$22</f>
        <v/>
      </c>
      <c r="AB216" s="160">
        <f>N216*SUM('NM Play'!$B$29:$B$31)</f>
        <v/>
      </c>
      <c r="AC216" s="160">
        <f>IF('Sites'!$C$8="Defy legs",P216*'NM Play'!$B$14/'NM Play'!$B$12*'NM Play'!$B$28,0)</f>
        <v/>
      </c>
      <c r="AD216" s="160">
        <f>Q216*'NM Play'!$B$23</f>
        <v/>
      </c>
      <c r="AE216" s="160">
        <f>S216*SUM('NM Play'!$B$26,'NM Play'!$B$33:$B$34)</f>
        <v/>
      </c>
      <c r="AF216" s="160">
        <f>IF('Sites'!$D$8="NM crew",S216*SUM('NM Play'!$B$24:$B$25),0)</f>
        <v/>
      </c>
      <c r="AG216" s="160">
        <f>IF('Sites'!$D$8="NM crew",S216*'NM Play'!$B$27,0)</f>
        <v/>
      </c>
      <c r="AH216" s="160">
        <f>N216*'Sites'!$Z$8*'NM Play'!$B$32</f>
        <v/>
      </c>
      <c r="AI216" s="160">
        <f>SUM(Y216:Z216)*'Sites'!$R$8</f>
        <v/>
      </c>
      <c r="AJ216" s="160">
        <f>SUM(AA216:AH216)</f>
        <v/>
      </c>
      <c r="AK216" s="160">
        <f>AJ216+(T216-U216)*'NM Play'!$B$22+MIN(G216,N216*'NM Play'!$B$11)/'NM Play'!$B$13*'NM Play'!$B$21*'NM Play'!$B$22+MIN(H216,N216*'NM Play'!$B$12)/'NM Play'!$B$14*IF('Sites'!$C$8="Own sheets",'NM Play'!$B$21*'NM Play'!$B$22,'NM Play'!$B$28*'NM Play'!$B$14/'NM Play'!$B$12)</f>
        <v/>
      </c>
      <c r="AL216" s="160">
        <f>Y216*'Assumptions'!AH66</f>
        <v/>
      </c>
      <c r="AM216" s="160">
        <f>IF('Sites'!$D$8="NM crew",S216*'NM Play'!$B$37*(1+IF(AND(ISNUMBER('NM Play'!$B$25),'NM Play'!$B$25&gt;0),1,0)),"")</f>
        <v/>
      </c>
      <c r="AN216" s="160">
        <f>IF(OR('Sites'!$E$8&lt;0,'Sites'!$E$8&gt;1,'Sites'!$F$8&lt;1,'Sites'!$G$8&lt;'Sites'!$F$8,F216&lt;0,MIN('Sites'!$I$8:'Sites'!$R$8)&lt;0,'Sites'!$L$8&gt;'Sites'!$I$8,'Sites'!$M$8&gt;'Sites'!$J$8,'Sites'!$N$8&gt;'Sites'!$K$8,'Sites'!$Z$8&lt;0,'Sites'!$Z$8&gt;1,MIN('Sites'!$AA$8:'Sites'!$AC$8)&lt;0,S216&gt;F216+0.001),1,0)</f>
        <v/>
      </c>
      <c r="AO216" s="160">
        <f>I216+U216-T216-X216</f>
        <v/>
      </c>
    </row>
    <row r="217" ht="28" customHeight="1">
      <c r="A217" s="4" t="inlineStr">
        <is>
          <t>Smaller</t>
        </is>
      </c>
      <c r="B217" s="4" t="inlineStr">
        <is>
          <t>NEW2</t>
        </is>
      </c>
      <c r="C217" s="160" t="n">
        <v>32</v>
      </c>
      <c r="D217" s="160">
        <f>ROUNDUP(C217/12,0)</f>
        <v/>
      </c>
      <c r="E217" s="160">
        <f>IF(AND('Sites'!$E$8*'Cases'!$F$7=1,C217&gt;='Sites'!$F$8+'Cases'!$G$7,C217&lt;='Sites'!$G$8),1,0)</f>
        <v/>
      </c>
      <c r="F217" s="160">
        <f>E217*'Assumptions'!AI69</f>
        <v/>
      </c>
      <c r="G217" s="160">
        <f>V216</f>
        <v/>
      </c>
      <c r="H217" s="160">
        <f>W216</f>
        <v/>
      </c>
      <c r="I217" s="160">
        <f>X216</f>
        <v/>
      </c>
      <c r="J217" s="160">
        <f>MAX(0,'Sites'!$K$8-SUM(N210:N216))</f>
        <v/>
      </c>
      <c r="K217" s="160">
        <f>IF('Sites'!$C$8="Own sheets",MIN(ROUNDDOWN(G217/'NM Play'!$B$11,0)+F217*'NM Play'!$B$10/'NM Play'!$B$43,ROUNDDOWN(H217/'NM Play'!$B$12,0)+F217*'NM Play'!$B$10/'NM Play'!$B$44,(F217*'NM Play'!$B$10+ROUNDDOWN(G217/'NM Play'!$B$11,0)*'NM Play'!$B$43+ROUNDDOWN(H217/'NM Play'!$B$12,0)*'NM Play'!$B$44)/('NM Play'!$B$43+'NM Play'!$B$44)),ROUNDDOWN(G217/'NM Play'!$B$11,0)+F217*'NM Play'!$B$10/'NM Play'!$B$43)</f>
        <v/>
      </c>
      <c r="L217" s="160">
        <f>MIN(ROUNDDOWN(G217/'NM Play'!$B$11,0)+F217/('NM Play'!$B$43/'NM Play'!$B$15),ROUNDDOWN(H217/'NM Play'!$B$12,0)+F217/('NM Play'!$B$44/'NM Play'!$B$16),(F217+ROUNDDOWN(G217/'NM Play'!$B$11,0)*'NM Play'!$B$43/'NM Play'!$B$15+ROUNDDOWN(H217/'NM Play'!$B$12,0)*'NM Play'!$B$44/'NM Play'!$B$16)/('NM Play'!$B$43/'NM Play'!$B$15+'NM Play'!$B$44/'NM Play'!$B$16))</f>
        <v/>
      </c>
      <c r="M217" s="160">
        <f>F217*'NM Play'!$B$36</f>
        <v/>
      </c>
      <c r="N217" s="160">
        <f>ROUNDDOWN(MAX(0,MIN(J217,K217:M217)),0)</f>
        <v/>
      </c>
      <c r="O217" s="160">
        <f>ROUNDUP(MAX(0,N217*'NM Play'!$B$11-G217)/'NM Play'!$B$13,0)</f>
        <v/>
      </c>
      <c r="P217" s="160">
        <f>ROUNDUP(MAX(0,N217*'NM Play'!$B$12-H217)/'NM Play'!$B$14,0)</f>
        <v/>
      </c>
      <c r="Q217" s="160">
        <f>(O217+IF('Sites'!$C$8="Own sheets",P217,0))/'NM Play'!$B$10</f>
        <v/>
      </c>
      <c r="R217" s="160">
        <f>O217/'NM Play'!$B$15+P217/'NM Play'!$B$16</f>
        <v/>
      </c>
      <c r="S217" s="160">
        <f>MAX(Q217,R217,N217/'NM Play'!$B$36)</f>
        <v/>
      </c>
      <c r="T217" s="160">
        <f>Q217*'NM Play'!$B$10*'NM Play'!$B$21*(1+'NM Play'!$B$35)</f>
        <v/>
      </c>
      <c r="U217" s="160">
        <f>MAX(0,T217-I217)</f>
        <v/>
      </c>
      <c r="V217" s="160">
        <f>G217+O217*'NM Play'!$B$13-N217*'NM Play'!$B$11</f>
        <v/>
      </c>
      <c r="W217" s="160">
        <f>H217+P217*'NM Play'!$B$14-N217*'NM Play'!$B$12</f>
        <v/>
      </c>
      <c r="X217" s="160">
        <f>I217+U217-T217</f>
        <v/>
      </c>
      <c r="Y217" s="160">
        <f>MIN(N217,MAX(0,ROUNDDOWN('Sites'!$N$8*'Cases'!$E$7,0)-SUM(Y210:Y216)))</f>
        <v/>
      </c>
      <c r="Z217" s="160">
        <f>N217-Y217</f>
        <v/>
      </c>
      <c r="AA217" s="160">
        <f>U217*'NM Play'!$B$22</f>
        <v/>
      </c>
      <c r="AB217" s="160">
        <f>N217*SUM('NM Play'!$B$29:$B$31)</f>
        <v/>
      </c>
      <c r="AC217" s="160">
        <f>IF('Sites'!$C$8="Defy legs",P217*'NM Play'!$B$14/'NM Play'!$B$12*'NM Play'!$B$28,0)</f>
        <v/>
      </c>
      <c r="AD217" s="160">
        <f>Q217*'NM Play'!$B$23</f>
        <v/>
      </c>
      <c r="AE217" s="160">
        <f>S217*SUM('NM Play'!$B$26,'NM Play'!$B$33:$B$34)</f>
        <v/>
      </c>
      <c r="AF217" s="160">
        <f>IF('Sites'!$D$8="NM crew",S217*SUM('NM Play'!$B$24:$B$25),0)</f>
        <v/>
      </c>
      <c r="AG217" s="160">
        <f>IF('Sites'!$D$8="NM crew",S217*'NM Play'!$B$27,0)</f>
        <v/>
      </c>
      <c r="AH217" s="160">
        <f>N217*'Sites'!$Z$8*'NM Play'!$B$32</f>
        <v/>
      </c>
      <c r="AI217" s="160">
        <f>SUM(Y217:Z217)*'Sites'!$R$8</f>
        <v/>
      </c>
      <c r="AJ217" s="160">
        <f>SUM(AA217:AH217)</f>
        <v/>
      </c>
      <c r="AK217" s="160">
        <f>AJ217+(T217-U217)*'NM Play'!$B$22+MIN(G217,N217*'NM Play'!$B$11)/'NM Play'!$B$13*'NM Play'!$B$21*'NM Play'!$B$22+MIN(H217,N217*'NM Play'!$B$12)/'NM Play'!$B$14*IF('Sites'!$C$8="Own sheets",'NM Play'!$B$21*'NM Play'!$B$22,'NM Play'!$B$28*'NM Play'!$B$14/'NM Play'!$B$12)</f>
        <v/>
      </c>
      <c r="AL217" s="160">
        <f>Y217*'Assumptions'!AI66</f>
        <v/>
      </c>
      <c r="AM217" s="160">
        <f>IF('Sites'!$D$8="NM crew",S217*'NM Play'!$B$37*(1+IF(AND(ISNUMBER('NM Play'!$B$25),'NM Play'!$B$25&gt;0),1,0)),"")</f>
        <v/>
      </c>
      <c r="AN217" s="160">
        <f>IF(OR('Sites'!$E$8&lt;0,'Sites'!$E$8&gt;1,'Sites'!$F$8&lt;1,'Sites'!$G$8&lt;'Sites'!$F$8,F217&lt;0,MIN('Sites'!$I$8:'Sites'!$R$8)&lt;0,'Sites'!$L$8&gt;'Sites'!$I$8,'Sites'!$M$8&gt;'Sites'!$J$8,'Sites'!$N$8&gt;'Sites'!$K$8,'Sites'!$Z$8&lt;0,'Sites'!$Z$8&gt;1,MIN('Sites'!$AA$8:'Sites'!$AC$8)&lt;0,S217&gt;F217+0.001),1,0)</f>
        <v/>
      </c>
      <c r="AO217" s="160">
        <f>I217+U217-T217-X217</f>
        <v/>
      </c>
    </row>
    <row r="218" ht="28" customHeight="1">
      <c r="A218" s="4" t="inlineStr">
        <is>
          <t>Smaller</t>
        </is>
      </c>
      <c r="B218" s="4" t="inlineStr">
        <is>
          <t>NEW2</t>
        </is>
      </c>
      <c r="C218" s="160" t="n">
        <v>33</v>
      </c>
      <c r="D218" s="160">
        <f>ROUNDUP(C218/12,0)</f>
        <v/>
      </c>
      <c r="E218" s="160">
        <f>IF(AND('Sites'!$E$8*'Cases'!$F$7=1,C218&gt;='Sites'!$F$8+'Cases'!$G$7,C218&lt;='Sites'!$G$8),1,0)</f>
        <v/>
      </c>
      <c r="F218" s="160">
        <f>E218*'Assumptions'!AJ69</f>
        <v/>
      </c>
      <c r="G218" s="160">
        <f>V217</f>
        <v/>
      </c>
      <c r="H218" s="160">
        <f>W217</f>
        <v/>
      </c>
      <c r="I218" s="160">
        <f>X217</f>
        <v/>
      </c>
      <c r="J218" s="160">
        <f>MAX(0,'Sites'!$K$8-SUM(N210:N217))</f>
        <v/>
      </c>
      <c r="K218" s="160">
        <f>IF('Sites'!$C$8="Own sheets",MIN(ROUNDDOWN(G218/'NM Play'!$B$11,0)+F218*'NM Play'!$B$10/'NM Play'!$B$43,ROUNDDOWN(H218/'NM Play'!$B$12,0)+F218*'NM Play'!$B$10/'NM Play'!$B$44,(F218*'NM Play'!$B$10+ROUNDDOWN(G218/'NM Play'!$B$11,0)*'NM Play'!$B$43+ROUNDDOWN(H218/'NM Play'!$B$12,0)*'NM Play'!$B$44)/('NM Play'!$B$43+'NM Play'!$B$44)),ROUNDDOWN(G218/'NM Play'!$B$11,0)+F218*'NM Play'!$B$10/'NM Play'!$B$43)</f>
        <v/>
      </c>
      <c r="L218" s="160">
        <f>MIN(ROUNDDOWN(G218/'NM Play'!$B$11,0)+F218/('NM Play'!$B$43/'NM Play'!$B$15),ROUNDDOWN(H218/'NM Play'!$B$12,0)+F218/('NM Play'!$B$44/'NM Play'!$B$16),(F218+ROUNDDOWN(G218/'NM Play'!$B$11,0)*'NM Play'!$B$43/'NM Play'!$B$15+ROUNDDOWN(H218/'NM Play'!$B$12,0)*'NM Play'!$B$44/'NM Play'!$B$16)/('NM Play'!$B$43/'NM Play'!$B$15+'NM Play'!$B$44/'NM Play'!$B$16))</f>
        <v/>
      </c>
      <c r="M218" s="160">
        <f>F218*'NM Play'!$B$36</f>
        <v/>
      </c>
      <c r="N218" s="160">
        <f>ROUNDDOWN(MAX(0,MIN(J218,K218:M218)),0)</f>
        <v/>
      </c>
      <c r="O218" s="160">
        <f>ROUNDUP(MAX(0,N218*'NM Play'!$B$11-G218)/'NM Play'!$B$13,0)</f>
        <v/>
      </c>
      <c r="P218" s="160">
        <f>ROUNDUP(MAX(0,N218*'NM Play'!$B$12-H218)/'NM Play'!$B$14,0)</f>
        <v/>
      </c>
      <c r="Q218" s="160">
        <f>(O218+IF('Sites'!$C$8="Own sheets",P218,0))/'NM Play'!$B$10</f>
        <v/>
      </c>
      <c r="R218" s="160">
        <f>O218/'NM Play'!$B$15+P218/'NM Play'!$B$16</f>
        <v/>
      </c>
      <c r="S218" s="160">
        <f>MAX(Q218,R218,N218/'NM Play'!$B$36)</f>
        <v/>
      </c>
      <c r="T218" s="160">
        <f>Q218*'NM Play'!$B$10*'NM Play'!$B$21*(1+'NM Play'!$B$35)</f>
        <v/>
      </c>
      <c r="U218" s="160">
        <f>MAX(0,T218-I218)</f>
        <v/>
      </c>
      <c r="V218" s="160">
        <f>G218+O218*'NM Play'!$B$13-N218*'NM Play'!$B$11</f>
        <v/>
      </c>
      <c r="W218" s="160">
        <f>H218+P218*'NM Play'!$B$14-N218*'NM Play'!$B$12</f>
        <v/>
      </c>
      <c r="X218" s="160">
        <f>I218+U218-T218</f>
        <v/>
      </c>
      <c r="Y218" s="160">
        <f>MIN(N218,MAX(0,ROUNDDOWN('Sites'!$N$8*'Cases'!$E$7,0)-SUM(Y210:Y217)))</f>
        <v/>
      </c>
      <c r="Z218" s="160">
        <f>N218-Y218</f>
        <v/>
      </c>
      <c r="AA218" s="160">
        <f>U218*'NM Play'!$B$22</f>
        <v/>
      </c>
      <c r="AB218" s="160">
        <f>N218*SUM('NM Play'!$B$29:$B$31)</f>
        <v/>
      </c>
      <c r="AC218" s="160">
        <f>IF('Sites'!$C$8="Defy legs",P218*'NM Play'!$B$14/'NM Play'!$B$12*'NM Play'!$B$28,0)</f>
        <v/>
      </c>
      <c r="AD218" s="160">
        <f>Q218*'NM Play'!$B$23</f>
        <v/>
      </c>
      <c r="AE218" s="160">
        <f>S218*SUM('NM Play'!$B$26,'NM Play'!$B$33:$B$34)</f>
        <v/>
      </c>
      <c r="AF218" s="160">
        <f>IF('Sites'!$D$8="NM crew",S218*SUM('NM Play'!$B$24:$B$25),0)</f>
        <v/>
      </c>
      <c r="AG218" s="160">
        <f>IF('Sites'!$D$8="NM crew",S218*'NM Play'!$B$27,0)</f>
        <v/>
      </c>
      <c r="AH218" s="160">
        <f>N218*'Sites'!$Z$8*'NM Play'!$B$32</f>
        <v/>
      </c>
      <c r="AI218" s="160">
        <f>SUM(Y218:Z218)*'Sites'!$R$8</f>
        <v/>
      </c>
      <c r="AJ218" s="160">
        <f>SUM(AA218:AH218)</f>
        <v/>
      </c>
      <c r="AK218" s="160">
        <f>AJ218+(T218-U218)*'NM Play'!$B$22+MIN(G218,N218*'NM Play'!$B$11)/'NM Play'!$B$13*'NM Play'!$B$21*'NM Play'!$B$22+MIN(H218,N218*'NM Play'!$B$12)/'NM Play'!$B$14*IF('Sites'!$C$8="Own sheets",'NM Play'!$B$21*'NM Play'!$B$22,'NM Play'!$B$28*'NM Play'!$B$14/'NM Play'!$B$12)</f>
        <v/>
      </c>
      <c r="AL218" s="160">
        <f>Y218*'Assumptions'!AJ66</f>
        <v/>
      </c>
      <c r="AM218" s="160">
        <f>IF('Sites'!$D$8="NM crew",S218*'NM Play'!$B$37*(1+IF(AND(ISNUMBER('NM Play'!$B$25),'NM Play'!$B$25&gt;0),1,0)),"")</f>
        <v/>
      </c>
      <c r="AN218" s="160">
        <f>IF(OR('Sites'!$E$8&lt;0,'Sites'!$E$8&gt;1,'Sites'!$F$8&lt;1,'Sites'!$G$8&lt;'Sites'!$F$8,F218&lt;0,MIN('Sites'!$I$8:'Sites'!$R$8)&lt;0,'Sites'!$L$8&gt;'Sites'!$I$8,'Sites'!$M$8&gt;'Sites'!$J$8,'Sites'!$N$8&gt;'Sites'!$K$8,'Sites'!$Z$8&lt;0,'Sites'!$Z$8&gt;1,MIN('Sites'!$AA$8:'Sites'!$AC$8)&lt;0,S218&gt;F218+0.001),1,0)</f>
        <v/>
      </c>
      <c r="AO218" s="160">
        <f>I218+U218-T218-X218</f>
        <v/>
      </c>
    </row>
    <row r="219" ht="28" customHeight="1">
      <c r="A219" s="4" t="inlineStr">
        <is>
          <t>Smaller</t>
        </is>
      </c>
      <c r="B219" s="4" t="inlineStr">
        <is>
          <t>NEW2</t>
        </is>
      </c>
      <c r="C219" s="160" t="n">
        <v>34</v>
      </c>
      <c r="D219" s="160">
        <f>ROUNDUP(C219/12,0)</f>
        <v/>
      </c>
      <c r="E219" s="160">
        <f>IF(AND('Sites'!$E$8*'Cases'!$F$7=1,C219&gt;='Sites'!$F$8+'Cases'!$G$7,C219&lt;='Sites'!$G$8),1,0)</f>
        <v/>
      </c>
      <c r="F219" s="160">
        <f>E219*'Assumptions'!AK69</f>
        <v/>
      </c>
      <c r="G219" s="160">
        <f>V218</f>
        <v/>
      </c>
      <c r="H219" s="160">
        <f>W218</f>
        <v/>
      </c>
      <c r="I219" s="160">
        <f>X218</f>
        <v/>
      </c>
      <c r="J219" s="160">
        <f>MAX(0,'Sites'!$K$8-SUM(N210:N218))</f>
        <v/>
      </c>
      <c r="K219" s="160">
        <f>IF('Sites'!$C$8="Own sheets",MIN(ROUNDDOWN(G219/'NM Play'!$B$11,0)+F219*'NM Play'!$B$10/'NM Play'!$B$43,ROUNDDOWN(H219/'NM Play'!$B$12,0)+F219*'NM Play'!$B$10/'NM Play'!$B$44,(F219*'NM Play'!$B$10+ROUNDDOWN(G219/'NM Play'!$B$11,0)*'NM Play'!$B$43+ROUNDDOWN(H219/'NM Play'!$B$12,0)*'NM Play'!$B$44)/('NM Play'!$B$43+'NM Play'!$B$44)),ROUNDDOWN(G219/'NM Play'!$B$11,0)+F219*'NM Play'!$B$10/'NM Play'!$B$43)</f>
        <v/>
      </c>
      <c r="L219" s="160">
        <f>MIN(ROUNDDOWN(G219/'NM Play'!$B$11,0)+F219/('NM Play'!$B$43/'NM Play'!$B$15),ROUNDDOWN(H219/'NM Play'!$B$12,0)+F219/('NM Play'!$B$44/'NM Play'!$B$16),(F219+ROUNDDOWN(G219/'NM Play'!$B$11,0)*'NM Play'!$B$43/'NM Play'!$B$15+ROUNDDOWN(H219/'NM Play'!$B$12,0)*'NM Play'!$B$44/'NM Play'!$B$16)/('NM Play'!$B$43/'NM Play'!$B$15+'NM Play'!$B$44/'NM Play'!$B$16))</f>
        <v/>
      </c>
      <c r="M219" s="160">
        <f>F219*'NM Play'!$B$36</f>
        <v/>
      </c>
      <c r="N219" s="160">
        <f>ROUNDDOWN(MAX(0,MIN(J219,K219:M219)),0)</f>
        <v/>
      </c>
      <c r="O219" s="160">
        <f>ROUNDUP(MAX(0,N219*'NM Play'!$B$11-G219)/'NM Play'!$B$13,0)</f>
        <v/>
      </c>
      <c r="P219" s="160">
        <f>ROUNDUP(MAX(0,N219*'NM Play'!$B$12-H219)/'NM Play'!$B$14,0)</f>
        <v/>
      </c>
      <c r="Q219" s="160">
        <f>(O219+IF('Sites'!$C$8="Own sheets",P219,0))/'NM Play'!$B$10</f>
        <v/>
      </c>
      <c r="R219" s="160">
        <f>O219/'NM Play'!$B$15+P219/'NM Play'!$B$16</f>
        <v/>
      </c>
      <c r="S219" s="160">
        <f>MAX(Q219,R219,N219/'NM Play'!$B$36)</f>
        <v/>
      </c>
      <c r="T219" s="160">
        <f>Q219*'NM Play'!$B$10*'NM Play'!$B$21*(1+'NM Play'!$B$35)</f>
        <v/>
      </c>
      <c r="U219" s="160">
        <f>MAX(0,T219-I219)</f>
        <v/>
      </c>
      <c r="V219" s="160">
        <f>G219+O219*'NM Play'!$B$13-N219*'NM Play'!$B$11</f>
        <v/>
      </c>
      <c r="W219" s="160">
        <f>H219+P219*'NM Play'!$B$14-N219*'NM Play'!$B$12</f>
        <v/>
      </c>
      <c r="X219" s="160">
        <f>I219+U219-T219</f>
        <v/>
      </c>
      <c r="Y219" s="160">
        <f>MIN(N219,MAX(0,ROUNDDOWN('Sites'!$N$8*'Cases'!$E$7,0)-SUM(Y210:Y218)))</f>
        <v/>
      </c>
      <c r="Z219" s="160">
        <f>N219-Y219</f>
        <v/>
      </c>
      <c r="AA219" s="160">
        <f>U219*'NM Play'!$B$22</f>
        <v/>
      </c>
      <c r="AB219" s="160">
        <f>N219*SUM('NM Play'!$B$29:$B$31)</f>
        <v/>
      </c>
      <c r="AC219" s="160">
        <f>IF('Sites'!$C$8="Defy legs",P219*'NM Play'!$B$14/'NM Play'!$B$12*'NM Play'!$B$28,0)</f>
        <v/>
      </c>
      <c r="AD219" s="160">
        <f>Q219*'NM Play'!$B$23</f>
        <v/>
      </c>
      <c r="AE219" s="160">
        <f>S219*SUM('NM Play'!$B$26,'NM Play'!$B$33:$B$34)</f>
        <v/>
      </c>
      <c r="AF219" s="160">
        <f>IF('Sites'!$D$8="NM crew",S219*SUM('NM Play'!$B$24:$B$25),0)</f>
        <v/>
      </c>
      <c r="AG219" s="160">
        <f>IF('Sites'!$D$8="NM crew",S219*'NM Play'!$B$27,0)</f>
        <v/>
      </c>
      <c r="AH219" s="160">
        <f>N219*'Sites'!$Z$8*'NM Play'!$B$32</f>
        <v/>
      </c>
      <c r="AI219" s="160">
        <f>SUM(Y219:Z219)*'Sites'!$R$8</f>
        <v/>
      </c>
      <c r="AJ219" s="160">
        <f>SUM(AA219:AH219)</f>
        <v/>
      </c>
      <c r="AK219" s="160">
        <f>AJ219+(T219-U219)*'NM Play'!$B$22+MIN(G219,N219*'NM Play'!$B$11)/'NM Play'!$B$13*'NM Play'!$B$21*'NM Play'!$B$22+MIN(H219,N219*'NM Play'!$B$12)/'NM Play'!$B$14*IF('Sites'!$C$8="Own sheets",'NM Play'!$B$21*'NM Play'!$B$22,'NM Play'!$B$28*'NM Play'!$B$14/'NM Play'!$B$12)</f>
        <v/>
      </c>
      <c r="AL219" s="160">
        <f>Y219*'Assumptions'!AK66</f>
        <v/>
      </c>
      <c r="AM219" s="160">
        <f>IF('Sites'!$D$8="NM crew",S219*'NM Play'!$B$37*(1+IF(AND(ISNUMBER('NM Play'!$B$25),'NM Play'!$B$25&gt;0),1,0)),"")</f>
        <v/>
      </c>
      <c r="AN219" s="160">
        <f>IF(OR('Sites'!$E$8&lt;0,'Sites'!$E$8&gt;1,'Sites'!$F$8&lt;1,'Sites'!$G$8&lt;'Sites'!$F$8,F219&lt;0,MIN('Sites'!$I$8:'Sites'!$R$8)&lt;0,'Sites'!$L$8&gt;'Sites'!$I$8,'Sites'!$M$8&gt;'Sites'!$J$8,'Sites'!$N$8&gt;'Sites'!$K$8,'Sites'!$Z$8&lt;0,'Sites'!$Z$8&gt;1,MIN('Sites'!$AA$8:'Sites'!$AC$8)&lt;0,S219&gt;F219+0.001),1,0)</f>
        <v/>
      </c>
      <c r="AO219" s="160">
        <f>I219+U219-T219-X219</f>
        <v/>
      </c>
    </row>
    <row r="220" ht="28" customHeight="1">
      <c r="A220" s="4" t="inlineStr">
        <is>
          <t>Smaller</t>
        </is>
      </c>
      <c r="B220" s="4" t="inlineStr">
        <is>
          <t>NEW2</t>
        </is>
      </c>
      <c r="C220" s="160" t="n">
        <v>35</v>
      </c>
      <c r="D220" s="160">
        <f>ROUNDUP(C220/12,0)</f>
        <v/>
      </c>
      <c r="E220" s="160">
        <f>IF(AND('Sites'!$E$8*'Cases'!$F$7=1,C220&gt;='Sites'!$F$8+'Cases'!$G$7,C220&lt;='Sites'!$G$8),1,0)</f>
        <v/>
      </c>
      <c r="F220" s="160">
        <f>E220*'Assumptions'!AL69</f>
        <v/>
      </c>
      <c r="G220" s="160">
        <f>V219</f>
        <v/>
      </c>
      <c r="H220" s="160">
        <f>W219</f>
        <v/>
      </c>
      <c r="I220" s="160">
        <f>X219</f>
        <v/>
      </c>
      <c r="J220" s="160">
        <f>MAX(0,'Sites'!$K$8-SUM(N210:N219))</f>
        <v/>
      </c>
      <c r="K220" s="160">
        <f>IF('Sites'!$C$8="Own sheets",MIN(ROUNDDOWN(G220/'NM Play'!$B$11,0)+F220*'NM Play'!$B$10/'NM Play'!$B$43,ROUNDDOWN(H220/'NM Play'!$B$12,0)+F220*'NM Play'!$B$10/'NM Play'!$B$44,(F220*'NM Play'!$B$10+ROUNDDOWN(G220/'NM Play'!$B$11,0)*'NM Play'!$B$43+ROUNDDOWN(H220/'NM Play'!$B$12,0)*'NM Play'!$B$44)/('NM Play'!$B$43+'NM Play'!$B$44)),ROUNDDOWN(G220/'NM Play'!$B$11,0)+F220*'NM Play'!$B$10/'NM Play'!$B$43)</f>
        <v/>
      </c>
      <c r="L220" s="160">
        <f>MIN(ROUNDDOWN(G220/'NM Play'!$B$11,0)+F220/('NM Play'!$B$43/'NM Play'!$B$15),ROUNDDOWN(H220/'NM Play'!$B$12,0)+F220/('NM Play'!$B$44/'NM Play'!$B$16),(F220+ROUNDDOWN(G220/'NM Play'!$B$11,0)*'NM Play'!$B$43/'NM Play'!$B$15+ROUNDDOWN(H220/'NM Play'!$B$12,0)*'NM Play'!$B$44/'NM Play'!$B$16)/('NM Play'!$B$43/'NM Play'!$B$15+'NM Play'!$B$44/'NM Play'!$B$16))</f>
        <v/>
      </c>
      <c r="M220" s="160">
        <f>F220*'NM Play'!$B$36</f>
        <v/>
      </c>
      <c r="N220" s="160">
        <f>ROUNDDOWN(MAX(0,MIN(J220,K220:M220)),0)</f>
        <v/>
      </c>
      <c r="O220" s="160">
        <f>ROUNDUP(MAX(0,N220*'NM Play'!$B$11-G220)/'NM Play'!$B$13,0)</f>
        <v/>
      </c>
      <c r="P220" s="160">
        <f>ROUNDUP(MAX(0,N220*'NM Play'!$B$12-H220)/'NM Play'!$B$14,0)</f>
        <v/>
      </c>
      <c r="Q220" s="160">
        <f>(O220+IF('Sites'!$C$8="Own sheets",P220,0))/'NM Play'!$B$10</f>
        <v/>
      </c>
      <c r="R220" s="160">
        <f>O220/'NM Play'!$B$15+P220/'NM Play'!$B$16</f>
        <v/>
      </c>
      <c r="S220" s="160">
        <f>MAX(Q220,R220,N220/'NM Play'!$B$36)</f>
        <v/>
      </c>
      <c r="T220" s="160">
        <f>Q220*'NM Play'!$B$10*'NM Play'!$B$21*(1+'NM Play'!$B$35)</f>
        <v/>
      </c>
      <c r="U220" s="160">
        <f>MAX(0,T220-I220)</f>
        <v/>
      </c>
      <c r="V220" s="160">
        <f>G220+O220*'NM Play'!$B$13-N220*'NM Play'!$B$11</f>
        <v/>
      </c>
      <c r="W220" s="160">
        <f>H220+P220*'NM Play'!$B$14-N220*'NM Play'!$B$12</f>
        <v/>
      </c>
      <c r="X220" s="160">
        <f>I220+U220-T220</f>
        <v/>
      </c>
      <c r="Y220" s="160">
        <f>MIN(N220,MAX(0,ROUNDDOWN('Sites'!$N$8*'Cases'!$E$7,0)-SUM(Y210:Y219)))</f>
        <v/>
      </c>
      <c r="Z220" s="160">
        <f>N220-Y220</f>
        <v/>
      </c>
      <c r="AA220" s="160">
        <f>U220*'NM Play'!$B$22</f>
        <v/>
      </c>
      <c r="AB220" s="160">
        <f>N220*SUM('NM Play'!$B$29:$B$31)</f>
        <v/>
      </c>
      <c r="AC220" s="160">
        <f>IF('Sites'!$C$8="Defy legs",P220*'NM Play'!$B$14/'NM Play'!$B$12*'NM Play'!$B$28,0)</f>
        <v/>
      </c>
      <c r="AD220" s="160">
        <f>Q220*'NM Play'!$B$23</f>
        <v/>
      </c>
      <c r="AE220" s="160">
        <f>S220*SUM('NM Play'!$B$26,'NM Play'!$B$33:$B$34)</f>
        <v/>
      </c>
      <c r="AF220" s="160">
        <f>IF('Sites'!$D$8="NM crew",S220*SUM('NM Play'!$B$24:$B$25),0)</f>
        <v/>
      </c>
      <c r="AG220" s="160">
        <f>IF('Sites'!$D$8="NM crew",S220*'NM Play'!$B$27,0)</f>
        <v/>
      </c>
      <c r="AH220" s="160">
        <f>N220*'Sites'!$Z$8*'NM Play'!$B$32</f>
        <v/>
      </c>
      <c r="AI220" s="160">
        <f>SUM(Y220:Z220)*'Sites'!$R$8</f>
        <v/>
      </c>
      <c r="AJ220" s="160">
        <f>SUM(AA220:AH220)</f>
        <v/>
      </c>
      <c r="AK220" s="160">
        <f>AJ220+(T220-U220)*'NM Play'!$B$22+MIN(G220,N220*'NM Play'!$B$11)/'NM Play'!$B$13*'NM Play'!$B$21*'NM Play'!$B$22+MIN(H220,N220*'NM Play'!$B$12)/'NM Play'!$B$14*IF('Sites'!$C$8="Own sheets",'NM Play'!$B$21*'NM Play'!$B$22,'NM Play'!$B$28*'NM Play'!$B$14/'NM Play'!$B$12)</f>
        <v/>
      </c>
      <c r="AL220" s="160">
        <f>Y220*'Assumptions'!AL66</f>
        <v/>
      </c>
      <c r="AM220" s="160">
        <f>IF('Sites'!$D$8="NM crew",S220*'NM Play'!$B$37*(1+IF(AND(ISNUMBER('NM Play'!$B$25),'NM Play'!$B$25&gt;0),1,0)),"")</f>
        <v/>
      </c>
      <c r="AN220" s="160">
        <f>IF(OR('Sites'!$E$8&lt;0,'Sites'!$E$8&gt;1,'Sites'!$F$8&lt;1,'Sites'!$G$8&lt;'Sites'!$F$8,F220&lt;0,MIN('Sites'!$I$8:'Sites'!$R$8)&lt;0,'Sites'!$L$8&gt;'Sites'!$I$8,'Sites'!$M$8&gt;'Sites'!$J$8,'Sites'!$N$8&gt;'Sites'!$K$8,'Sites'!$Z$8&lt;0,'Sites'!$Z$8&gt;1,MIN('Sites'!$AA$8:'Sites'!$AC$8)&lt;0,S220&gt;F220+0.001),1,0)</f>
        <v/>
      </c>
      <c r="AO220" s="160">
        <f>I220+U220-T220-X220</f>
        <v/>
      </c>
    </row>
    <row r="221" ht="28" customHeight="1">
      <c r="A221" s="4" t="inlineStr">
        <is>
          <t>Smaller</t>
        </is>
      </c>
      <c r="B221" s="4" t="inlineStr">
        <is>
          <t>NEW2</t>
        </is>
      </c>
      <c r="C221" s="160" t="n">
        <v>36</v>
      </c>
      <c r="D221" s="160">
        <f>ROUNDUP(C221/12,0)</f>
        <v/>
      </c>
      <c r="E221" s="160">
        <f>IF(AND('Sites'!$E$8*'Cases'!$F$7=1,C221&gt;='Sites'!$F$8+'Cases'!$G$7,C221&lt;='Sites'!$G$8),1,0)</f>
        <v/>
      </c>
      <c r="F221" s="160">
        <f>E221*'Assumptions'!AM69</f>
        <v/>
      </c>
      <c r="G221" s="160">
        <f>V220</f>
        <v/>
      </c>
      <c r="H221" s="160">
        <f>W220</f>
        <v/>
      </c>
      <c r="I221" s="160">
        <f>X220</f>
        <v/>
      </c>
      <c r="J221" s="160">
        <f>MAX(0,'Sites'!$K$8-SUM(N210:N220))</f>
        <v/>
      </c>
      <c r="K221" s="160">
        <f>IF('Sites'!$C$8="Own sheets",MIN(ROUNDDOWN(G221/'NM Play'!$B$11,0)+F221*'NM Play'!$B$10/'NM Play'!$B$43,ROUNDDOWN(H221/'NM Play'!$B$12,0)+F221*'NM Play'!$B$10/'NM Play'!$B$44,(F221*'NM Play'!$B$10+ROUNDDOWN(G221/'NM Play'!$B$11,0)*'NM Play'!$B$43+ROUNDDOWN(H221/'NM Play'!$B$12,0)*'NM Play'!$B$44)/('NM Play'!$B$43+'NM Play'!$B$44)),ROUNDDOWN(G221/'NM Play'!$B$11,0)+F221*'NM Play'!$B$10/'NM Play'!$B$43)</f>
        <v/>
      </c>
      <c r="L221" s="160">
        <f>MIN(ROUNDDOWN(G221/'NM Play'!$B$11,0)+F221/('NM Play'!$B$43/'NM Play'!$B$15),ROUNDDOWN(H221/'NM Play'!$B$12,0)+F221/('NM Play'!$B$44/'NM Play'!$B$16),(F221+ROUNDDOWN(G221/'NM Play'!$B$11,0)*'NM Play'!$B$43/'NM Play'!$B$15+ROUNDDOWN(H221/'NM Play'!$B$12,0)*'NM Play'!$B$44/'NM Play'!$B$16)/('NM Play'!$B$43/'NM Play'!$B$15+'NM Play'!$B$44/'NM Play'!$B$16))</f>
        <v/>
      </c>
      <c r="M221" s="160">
        <f>F221*'NM Play'!$B$36</f>
        <v/>
      </c>
      <c r="N221" s="160">
        <f>ROUNDDOWN(MAX(0,MIN(J221,K221:M221)),0)</f>
        <v/>
      </c>
      <c r="O221" s="160">
        <f>ROUNDUP(MAX(0,N221*'NM Play'!$B$11-G221)/'NM Play'!$B$13,0)</f>
        <v/>
      </c>
      <c r="P221" s="160">
        <f>ROUNDUP(MAX(0,N221*'NM Play'!$B$12-H221)/'NM Play'!$B$14,0)</f>
        <v/>
      </c>
      <c r="Q221" s="160">
        <f>(O221+IF('Sites'!$C$8="Own sheets",P221,0))/'NM Play'!$B$10</f>
        <v/>
      </c>
      <c r="R221" s="160">
        <f>O221/'NM Play'!$B$15+P221/'NM Play'!$B$16</f>
        <v/>
      </c>
      <c r="S221" s="160">
        <f>MAX(Q221,R221,N221/'NM Play'!$B$36)</f>
        <v/>
      </c>
      <c r="T221" s="160">
        <f>Q221*'NM Play'!$B$10*'NM Play'!$B$21*(1+'NM Play'!$B$35)</f>
        <v/>
      </c>
      <c r="U221" s="160">
        <f>MAX(0,T221-I221)</f>
        <v/>
      </c>
      <c r="V221" s="160">
        <f>G221+O221*'NM Play'!$B$13-N221*'NM Play'!$B$11</f>
        <v/>
      </c>
      <c r="W221" s="160">
        <f>H221+P221*'NM Play'!$B$14-N221*'NM Play'!$B$12</f>
        <v/>
      </c>
      <c r="X221" s="160">
        <f>I221+U221-T221</f>
        <v/>
      </c>
      <c r="Y221" s="160">
        <f>MIN(N221,MAX(0,ROUNDDOWN('Sites'!$N$8*'Cases'!$E$7,0)-SUM(Y210:Y220)))</f>
        <v/>
      </c>
      <c r="Z221" s="160">
        <f>N221-Y221</f>
        <v/>
      </c>
      <c r="AA221" s="160">
        <f>U221*'NM Play'!$B$22</f>
        <v/>
      </c>
      <c r="AB221" s="160">
        <f>N221*SUM('NM Play'!$B$29:$B$31)</f>
        <v/>
      </c>
      <c r="AC221" s="160">
        <f>IF('Sites'!$C$8="Defy legs",P221*'NM Play'!$B$14/'NM Play'!$B$12*'NM Play'!$B$28,0)</f>
        <v/>
      </c>
      <c r="AD221" s="160">
        <f>Q221*'NM Play'!$B$23</f>
        <v/>
      </c>
      <c r="AE221" s="160">
        <f>S221*SUM('NM Play'!$B$26,'NM Play'!$B$33:$B$34)</f>
        <v/>
      </c>
      <c r="AF221" s="160">
        <f>IF('Sites'!$D$8="NM crew",S221*SUM('NM Play'!$B$24:$B$25),0)</f>
        <v/>
      </c>
      <c r="AG221" s="160">
        <f>IF('Sites'!$D$8="NM crew",S221*'NM Play'!$B$27,0)</f>
        <v/>
      </c>
      <c r="AH221" s="160">
        <f>N221*'Sites'!$Z$8*'NM Play'!$B$32</f>
        <v/>
      </c>
      <c r="AI221" s="160">
        <f>SUM(Y221:Z221)*'Sites'!$R$8</f>
        <v/>
      </c>
      <c r="AJ221" s="160">
        <f>SUM(AA221:AH221)</f>
        <v/>
      </c>
      <c r="AK221" s="160">
        <f>AJ221+(T221-U221)*'NM Play'!$B$22+MIN(G221,N221*'NM Play'!$B$11)/'NM Play'!$B$13*'NM Play'!$B$21*'NM Play'!$B$22+MIN(H221,N221*'NM Play'!$B$12)/'NM Play'!$B$14*IF('Sites'!$C$8="Own sheets",'NM Play'!$B$21*'NM Play'!$B$22,'NM Play'!$B$28*'NM Play'!$B$14/'NM Play'!$B$12)</f>
        <v/>
      </c>
      <c r="AL221" s="160">
        <f>Y221*'Assumptions'!AM66</f>
        <v/>
      </c>
      <c r="AM221" s="160">
        <f>IF('Sites'!$D$8="NM crew",S221*'NM Play'!$B$37*(1+IF(AND(ISNUMBER('NM Play'!$B$25),'NM Play'!$B$25&gt;0),1,0)),"")</f>
        <v/>
      </c>
      <c r="AN221" s="160">
        <f>IF(OR('Sites'!$E$8&lt;0,'Sites'!$E$8&gt;1,'Sites'!$F$8&lt;1,'Sites'!$G$8&lt;'Sites'!$F$8,F221&lt;0,MIN('Sites'!$I$8:'Sites'!$R$8)&lt;0,'Sites'!$L$8&gt;'Sites'!$I$8,'Sites'!$M$8&gt;'Sites'!$J$8,'Sites'!$N$8&gt;'Sites'!$K$8,'Sites'!$Z$8&lt;0,'Sites'!$Z$8&gt;1,MIN('Sites'!$AA$8:'Sites'!$AC$8)&lt;0,S221&gt;F221+0.001),1,0)</f>
        <v/>
      </c>
      <c r="AO221" s="160">
        <f>I221+U221-T221-X221</f>
        <v/>
      </c>
    </row>
    <row r="222" ht="28" customHeight="1">
      <c r="A222" s="4" t="inlineStr">
        <is>
          <t>No QBE</t>
        </is>
      </c>
      <c r="B222" s="4" t="inlineStr">
        <is>
          <t>WITTA</t>
        </is>
      </c>
      <c r="C222" s="160" t="n">
        <v>1</v>
      </c>
      <c r="D222" s="160">
        <f>ROUNDUP(C222/12,0)</f>
        <v/>
      </c>
      <c r="E222" s="160">
        <f>IF(AND('Sites'!$E$6=1,C222&gt;='Sites'!$F$6,C222&lt;='Sites'!$G$6),1,0)</f>
        <v/>
      </c>
      <c r="F222" s="160">
        <f>E222*'Assumptions'!D67</f>
        <v/>
      </c>
      <c r="G222" s="160">
        <f>'Sites'!$AA$6</f>
        <v/>
      </c>
      <c r="H222" s="160">
        <f>'Sites'!$AB$6</f>
        <v/>
      </c>
      <c r="I222" s="160">
        <f>'Sites'!$AC$6</f>
        <v/>
      </c>
      <c r="J222" s="160">
        <f>MAX(0,'Sites'!$I$6-0)</f>
        <v/>
      </c>
      <c r="K222" s="160">
        <f>IF('Sites'!$C$6="Own sheets",MIN(ROUNDDOWN(G222/'NM Play'!$B$11,0)+F222*'NM Play'!$B$10/'NM Play'!$B$43,ROUNDDOWN(H222/'NM Play'!$B$12,0)+F222*'NM Play'!$B$10/'NM Play'!$B$44,(F222*'NM Play'!$B$10+ROUNDDOWN(G222/'NM Play'!$B$11,0)*'NM Play'!$B$43+ROUNDDOWN(H222/'NM Play'!$B$12,0)*'NM Play'!$B$44)/('NM Play'!$B$43+'NM Play'!$B$44)),ROUNDDOWN(G222/'NM Play'!$B$11,0)+F222*'NM Play'!$B$10/'NM Play'!$B$43)</f>
        <v/>
      </c>
      <c r="L222" s="160">
        <f>MIN(ROUNDDOWN(G222/'NM Play'!$B$11,0)+F222/('NM Play'!$B$43/'NM Play'!$B$15),ROUNDDOWN(H222/'NM Play'!$B$12,0)+F222/('NM Play'!$B$44/'NM Play'!$B$16),(F222+ROUNDDOWN(G222/'NM Play'!$B$11,0)*'NM Play'!$B$43/'NM Play'!$B$15+ROUNDDOWN(H222/'NM Play'!$B$12,0)*'NM Play'!$B$44/'NM Play'!$B$16)/('NM Play'!$B$43/'NM Play'!$B$15+'NM Play'!$B$44/'NM Play'!$B$16))</f>
        <v/>
      </c>
      <c r="M222" s="160">
        <f>F222*'NM Play'!$B$36</f>
        <v/>
      </c>
      <c r="N222" s="160">
        <f>ROUNDDOWN(MAX(0,MIN(J222,K222:M222)),0)</f>
        <v/>
      </c>
      <c r="O222" s="160">
        <f>ROUNDUP(MAX(0,N222*'NM Play'!$B$11-G222)/'NM Play'!$B$13,0)</f>
        <v/>
      </c>
      <c r="P222" s="160">
        <f>ROUNDUP(MAX(0,N222*'NM Play'!$B$12-H222)/'NM Play'!$B$14,0)</f>
        <v/>
      </c>
      <c r="Q222" s="160">
        <f>(O222+IF('Sites'!$C$6="Own sheets",P222,0))/'NM Play'!$B$10</f>
        <v/>
      </c>
      <c r="R222" s="160">
        <f>O222/'NM Play'!$B$15+P222/'NM Play'!$B$16</f>
        <v/>
      </c>
      <c r="S222" s="160">
        <f>MAX(Q222,R222,N222/'NM Play'!$B$36)</f>
        <v/>
      </c>
      <c r="T222" s="160">
        <f>Q222*'NM Play'!$B$10*'NM Play'!$B$21*(1+'NM Play'!$B$35)</f>
        <v/>
      </c>
      <c r="U222" s="160">
        <f>MAX(0,T222-I222)</f>
        <v/>
      </c>
      <c r="V222" s="160">
        <f>G222+O222*'NM Play'!$B$13-N222*'NM Play'!$B$11</f>
        <v/>
      </c>
      <c r="W222" s="160">
        <f>H222+P222*'NM Play'!$B$14-N222*'NM Play'!$B$12</f>
        <v/>
      </c>
      <c r="X222" s="160">
        <f>I222+U222-T222</f>
        <v/>
      </c>
      <c r="Y222" s="160">
        <f>MIN(N222,MAX(0,ROUNDDOWN('Sites'!$L$6*'Cases'!$E$8,0)-0))</f>
        <v/>
      </c>
      <c r="Z222" s="160">
        <f>N222-Y222</f>
        <v/>
      </c>
      <c r="AA222" s="160">
        <f>U222*'NM Play'!$B$22</f>
        <v/>
      </c>
      <c r="AB222" s="160">
        <f>N222*SUM('NM Play'!$B$29:$B$31)</f>
        <v/>
      </c>
      <c r="AC222" s="160">
        <f>IF('Sites'!$C$6="Defy legs",P222*'NM Play'!$B$14/'NM Play'!$B$12*'NM Play'!$B$28,0)</f>
        <v/>
      </c>
      <c r="AD222" s="160">
        <f>Q222*'NM Play'!$B$23</f>
        <v/>
      </c>
      <c r="AE222" s="160">
        <f>S222*SUM('NM Play'!$B$26,'NM Play'!$B$33:$B$34)</f>
        <v/>
      </c>
      <c r="AF222" s="160">
        <f>IF('Sites'!$D$6="NM crew",S222*SUM('NM Play'!$B$24:$B$25),0)</f>
        <v/>
      </c>
      <c r="AG222" s="160">
        <f>IF('Sites'!$D$6="NM crew",S222*'NM Play'!$B$27,0)</f>
        <v/>
      </c>
      <c r="AH222" s="160">
        <f>N222*'Sites'!$Z$6*'NM Play'!$B$32</f>
        <v/>
      </c>
      <c r="AI222" s="160">
        <f>SUM(Y222:Z222)*'Sites'!$R$6</f>
        <v/>
      </c>
      <c r="AJ222" s="160">
        <f>SUM(AA222:AH222)</f>
        <v/>
      </c>
      <c r="AK222" s="160">
        <f>AJ222+(T222-U222)*'NM Play'!$B$22+MIN(G222,N222*'NM Play'!$B$11)/'NM Play'!$B$13*'NM Play'!$B$21*'NM Play'!$B$22+MIN(H222,N222*'NM Play'!$B$12)/'NM Play'!$B$14*IF('Sites'!$C$6="Own sheets",'NM Play'!$B$21*'NM Play'!$B$22,'NM Play'!$B$28*'NM Play'!$B$14/'NM Play'!$B$12)</f>
        <v/>
      </c>
      <c r="AL222" s="160">
        <f>Y222*'Assumptions'!D66</f>
        <v/>
      </c>
      <c r="AM222" s="160">
        <f>IF('Sites'!$D$6="NM crew",S222*'NM Play'!$B$37*(1+IF(AND(ISNUMBER('NM Play'!$B$25),'NM Play'!$B$25&gt;0),1,0)),"")</f>
        <v/>
      </c>
      <c r="AN222" s="160">
        <f>IF(OR('Sites'!$E$6&lt;0,'Sites'!$E$6&gt;1,'Sites'!$F$6&lt;1,'Sites'!$G$6&lt;'Sites'!$F$6,F222&lt;0,MIN('Sites'!$I$6:'Sites'!$R$6)&lt;0,'Sites'!$L$6&gt;'Sites'!$I$6,'Sites'!$M$6&gt;'Sites'!$J$6,'Sites'!$N$6&gt;'Sites'!$K$6,'Sites'!$Z$6&lt;0,'Sites'!$Z$6&gt;1,MIN('Sites'!$AA$6:'Sites'!$AC$6)&lt;0,S222&gt;F222+0.001),1,0)</f>
        <v/>
      </c>
      <c r="AO222" s="160">
        <f>I222+U222-T222-X222</f>
        <v/>
      </c>
    </row>
    <row r="223" ht="28" customHeight="1">
      <c r="A223" s="4" t="inlineStr">
        <is>
          <t>No QBE</t>
        </is>
      </c>
      <c r="B223" s="4" t="inlineStr">
        <is>
          <t>WITTA</t>
        </is>
      </c>
      <c r="C223" s="160" t="n">
        <v>2</v>
      </c>
      <c r="D223" s="160">
        <f>ROUNDUP(C223/12,0)</f>
        <v/>
      </c>
      <c r="E223" s="160">
        <f>IF(AND('Sites'!$E$6=1,C223&gt;='Sites'!$F$6,C223&lt;='Sites'!$G$6),1,0)</f>
        <v/>
      </c>
      <c r="F223" s="160">
        <f>E223*'Assumptions'!E67</f>
        <v/>
      </c>
      <c r="G223" s="160">
        <f>V222</f>
        <v/>
      </c>
      <c r="H223" s="160">
        <f>W222</f>
        <v/>
      </c>
      <c r="I223" s="160">
        <f>X222</f>
        <v/>
      </c>
      <c r="J223" s="160">
        <f>MAX(0,'Sites'!$I$6-SUM(N222:N222))</f>
        <v/>
      </c>
      <c r="K223" s="160">
        <f>IF('Sites'!$C$6="Own sheets",MIN(ROUNDDOWN(G223/'NM Play'!$B$11,0)+F223*'NM Play'!$B$10/'NM Play'!$B$43,ROUNDDOWN(H223/'NM Play'!$B$12,0)+F223*'NM Play'!$B$10/'NM Play'!$B$44,(F223*'NM Play'!$B$10+ROUNDDOWN(G223/'NM Play'!$B$11,0)*'NM Play'!$B$43+ROUNDDOWN(H223/'NM Play'!$B$12,0)*'NM Play'!$B$44)/('NM Play'!$B$43+'NM Play'!$B$44)),ROUNDDOWN(G223/'NM Play'!$B$11,0)+F223*'NM Play'!$B$10/'NM Play'!$B$43)</f>
        <v/>
      </c>
      <c r="L223" s="160">
        <f>MIN(ROUNDDOWN(G223/'NM Play'!$B$11,0)+F223/('NM Play'!$B$43/'NM Play'!$B$15),ROUNDDOWN(H223/'NM Play'!$B$12,0)+F223/('NM Play'!$B$44/'NM Play'!$B$16),(F223+ROUNDDOWN(G223/'NM Play'!$B$11,0)*'NM Play'!$B$43/'NM Play'!$B$15+ROUNDDOWN(H223/'NM Play'!$B$12,0)*'NM Play'!$B$44/'NM Play'!$B$16)/('NM Play'!$B$43/'NM Play'!$B$15+'NM Play'!$B$44/'NM Play'!$B$16))</f>
        <v/>
      </c>
      <c r="M223" s="160">
        <f>F223*'NM Play'!$B$36</f>
        <v/>
      </c>
      <c r="N223" s="160">
        <f>ROUNDDOWN(MAX(0,MIN(J223,K223:M223)),0)</f>
        <v/>
      </c>
      <c r="O223" s="160">
        <f>ROUNDUP(MAX(0,N223*'NM Play'!$B$11-G223)/'NM Play'!$B$13,0)</f>
        <v/>
      </c>
      <c r="P223" s="160">
        <f>ROUNDUP(MAX(0,N223*'NM Play'!$B$12-H223)/'NM Play'!$B$14,0)</f>
        <v/>
      </c>
      <c r="Q223" s="160">
        <f>(O223+IF('Sites'!$C$6="Own sheets",P223,0))/'NM Play'!$B$10</f>
        <v/>
      </c>
      <c r="R223" s="160">
        <f>O223/'NM Play'!$B$15+P223/'NM Play'!$B$16</f>
        <v/>
      </c>
      <c r="S223" s="160">
        <f>MAX(Q223,R223,N223/'NM Play'!$B$36)</f>
        <v/>
      </c>
      <c r="T223" s="160">
        <f>Q223*'NM Play'!$B$10*'NM Play'!$B$21*(1+'NM Play'!$B$35)</f>
        <v/>
      </c>
      <c r="U223" s="160">
        <f>MAX(0,T223-I223)</f>
        <v/>
      </c>
      <c r="V223" s="160">
        <f>G223+O223*'NM Play'!$B$13-N223*'NM Play'!$B$11</f>
        <v/>
      </c>
      <c r="W223" s="160">
        <f>H223+P223*'NM Play'!$B$14-N223*'NM Play'!$B$12</f>
        <v/>
      </c>
      <c r="X223" s="160">
        <f>I223+U223-T223</f>
        <v/>
      </c>
      <c r="Y223" s="160">
        <f>MIN(N223,MAX(0,ROUNDDOWN('Sites'!$L$6*'Cases'!$E$8,0)-SUM(Y222:Y222)))</f>
        <v/>
      </c>
      <c r="Z223" s="160">
        <f>N223-Y223</f>
        <v/>
      </c>
      <c r="AA223" s="160">
        <f>U223*'NM Play'!$B$22</f>
        <v/>
      </c>
      <c r="AB223" s="160">
        <f>N223*SUM('NM Play'!$B$29:$B$31)</f>
        <v/>
      </c>
      <c r="AC223" s="160">
        <f>IF('Sites'!$C$6="Defy legs",P223*'NM Play'!$B$14/'NM Play'!$B$12*'NM Play'!$B$28,0)</f>
        <v/>
      </c>
      <c r="AD223" s="160">
        <f>Q223*'NM Play'!$B$23</f>
        <v/>
      </c>
      <c r="AE223" s="160">
        <f>S223*SUM('NM Play'!$B$26,'NM Play'!$B$33:$B$34)</f>
        <v/>
      </c>
      <c r="AF223" s="160">
        <f>IF('Sites'!$D$6="NM crew",S223*SUM('NM Play'!$B$24:$B$25),0)</f>
        <v/>
      </c>
      <c r="AG223" s="160">
        <f>IF('Sites'!$D$6="NM crew",S223*'NM Play'!$B$27,0)</f>
        <v/>
      </c>
      <c r="AH223" s="160">
        <f>N223*'Sites'!$Z$6*'NM Play'!$B$32</f>
        <v/>
      </c>
      <c r="AI223" s="160">
        <f>SUM(Y223:Z223)*'Sites'!$R$6</f>
        <v/>
      </c>
      <c r="AJ223" s="160">
        <f>SUM(AA223:AH223)</f>
        <v/>
      </c>
      <c r="AK223" s="160">
        <f>AJ223+(T223-U223)*'NM Play'!$B$22+MIN(G223,N223*'NM Play'!$B$11)/'NM Play'!$B$13*'NM Play'!$B$21*'NM Play'!$B$22+MIN(H223,N223*'NM Play'!$B$12)/'NM Play'!$B$14*IF('Sites'!$C$6="Own sheets",'NM Play'!$B$21*'NM Play'!$B$22,'NM Play'!$B$28*'NM Play'!$B$14/'NM Play'!$B$12)</f>
        <v/>
      </c>
      <c r="AL223" s="160">
        <f>Y223*'Assumptions'!E66</f>
        <v/>
      </c>
      <c r="AM223" s="160">
        <f>IF('Sites'!$D$6="NM crew",S223*'NM Play'!$B$37*(1+IF(AND(ISNUMBER('NM Play'!$B$25),'NM Play'!$B$25&gt;0),1,0)),"")</f>
        <v/>
      </c>
      <c r="AN223" s="160">
        <f>IF(OR('Sites'!$E$6&lt;0,'Sites'!$E$6&gt;1,'Sites'!$F$6&lt;1,'Sites'!$G$6&lt;'Sites'!$F$6,F223&lt;0,MIN('Sites'!$I$6:'Sites'!$R$6)&lt;0,'Sites'!$L$6&gt;'Sites'!$I$6,'Sites'!$M$6&gt;'Sites'!$J$6,'Sites'!$N$6&gt;'Sites'!$K$6,'Sites'!$Z$6&lt;0,'Sites'!$Z$6&gt;1,MIN('Sites'!$AA$6:'Sites'!$AC$6)&lt;0,S223&gt;F223+0.001),1,0)</f>
        <v/>
      </c>
      <c r="AO223" s="160">
        <f>I223+U223-T223-X223</f>
        <v/>
      </c>
    </row>
    <row r="224" ht="28" customHeight="1">
      <c r="A224" s="4" t="inlineStr">
        <is>
          <t>No QBE</t>
        </is>
      </c>
      <c r="B224" s="4" t="inlineStr">
        <is>
          <t>WITTA</t>
        </is>
      </c>
      <c r="C224" s="160" t="n">
        <v>3</v>
      </c>
      <c r="D224" s="160">
        <f>ROUNDUP(C224/12,0)</f>
        <v/>
      </c>
      <c r="E224" s="160">
        <f>IF(AND('Sites'!$E$6=1,C224&gt;='Sites'!$F$6,C224&lt;='Sites'!$G$6),1,0)</f>
        <v/>
      </c>
      <c r="F224" s="160">
        <f>E224*'Assumptions'!F67</f>
        <v/>
      </c>
      <c r="G224" s="160">
        <f>V223</f>
        <v/>
      </c>
      <c r="H224" s="160">
        <f>W223</f>
        <v/>
      </c>
      <c r="I224" s="160">
        <f>X223</f>
        <v/>
      </c>
      <c r="J224" s="160">
        <f>MAX(0,'Sites'!$I$6-SUM(N222:N223))</f>
        <v/>
      </c>
      <c r="K224" s="160">
        <f>IF('Sites'!$C$6="Own sheets",MIN(ROUNDDOWN(G224/'NM Play'!$B$11,0)+F224*'NM Play'!$B$10/'NM Play'!$B$43,ROUNDDOWN(H224/'NM Play'!$B$12,0)+F224*'NM Play'!$B$10/'NM Play'!$B$44,(F224*'NM Play'!$B$10+ROUNDDOWN(G224/'NM Play'!$B$11,0)*'NM Play'!$B$43+ROUNDDOWN(H224/'NM Play'!$B$12,0)*'NM Play'!$B$44)/('NM Play'!$B$43+'NM Play'!$B$44)),ROUNDDOWN(G224/'NM Play'!$B$11,0)+F224*'NM Play'!$B$10/'NM Play'!$B$43)</f>
        <v/>
      </c>
      <c r="L224" s="160">
        <f>MIN(ROUNDDOWN(G224/'NM Play'!$B$11,0)+F224/('NM Play'!$B$43/'NM Play'!$B$15),ROUNDDOWN(H224/'NM Play'!$B$12,0)+F224/('NM Play'!$B$44/'NM Play'!$B$16),(F224+ROUNDDOWN(G224/'NM Play'!$B$11,0)*'NM Play'!$B$43/'NM Play'!$B$15+ROUNDDOWN(H224/'NM Play'!$B$12,0)*'NM Play'!$B$44/'NM Play'!$B$16)/('NM Play'!$B$43/'NM Play'!$B$15+'NM Play'!$B$44/'NM Play'!$B$16))</f>
        <v/>
      </c>
      <c r="M224" s="160">
        <f>F224*'NM Play'!$B$36</f>
        <v/>
      </c>
      <c r="N224" s="160">
        <f>ROUNDDOWN(MAX(0,MIN(J224,K224:M224)),0)</f>
        <v/>
      </c>
      <c r="O224" s="160">
        <f>ROUNDUP(MAX(0,N224*'NM Play'!$B$11-G224)/'NM Play'!$B$13,0)</f>
        <v/>
      </c>
      <c r="P224" s="160">
        <f>ROUNDUP(MAX(0,N224*'NM Play'!$B$12-H224)/'NM Play'!$B$14,0)</f>
        <v/>
      </c>
      <c r="Q224" s="160">
        <f>(O224+IF('Sites'!$C$6="Own sheets",P224,0))/'NM Play'!$B$10</f>
        <v/>
      </c>
      <c r="R224" s="160">
        <f>O224/'NM Play'!$B$15+P224/'NM Play'!$B$16</f>
        <v/>
      </c>
      <c r="S224" s="160">
        <f>MAX(Q224,R224,N224/'NM Play'!$B$36)</f>
        <v/>
      </c>
      <c r="T224" s="160">
        <f>Q224*'NM Play'!$B$10*'NM Play'!$B$21*(1+'NM Play'!$B$35)</f>
        <v/>
      </c>
      <c r="U224" s="160">
        <f>MAX(0,T224-I224)</f>
        <v/>
      </c>
      <c r="V224" s="160">
        <f>G224+O224*'NM Play'!$B$13-N224*'NM Play'!$B$11</f>
        <v/>
      </c>
      <c r="W224" s="160">
        <f>H224+P224*'NM Play'!$B$14-N224*'NM Play'!$B$12</f>
        <v/>
      </c>
      <c r="X224" s="160">
        <f>I224+U224-T224</f>
        <v/>
      </c>
      <c r="Y224" s="160">
        <f>MIN(N224,MAX(0,ROUNDDOWN('Sites'!$L$6*'Cases'!$E$8,0)-SUM(Y222:Y223)))</f>
        <v/>
      </c>
      <c r="Z224" s="160">
        <f>N224-Y224</f>
        <v/>
      </c>
      <c r="AA224" s="160">
        <f>U224*'NM Play'!$B$22</f>
        <v/>
      </c>
      <c r="AB224" s="160">
        <f>N224*SUM('NM Play'!$B$29:$B$31)</f>
        <v/>
      </c>
      <c r="AC224" s="160">
        <f>IF('Sites'!$C$6="Defy legs",P224*'NM Play'!$B$14/'NM Play'!$B$12*'NM Play'!$B$28,0)</f>
        <v/>
      </c>
      <c r="AD224" s="160">
        <f>Q224*'NM Play'!$B$23</f>
        <v/>
      </c>
      <c r="AE224" s="160">
        <f>S224*SUM('NM Play'!$B$26,'NM Play'!$B$33:$B$34)</f>
        <v/>
      </c>
      <c r="AF224" s="160">
        <f>IF('Sites'!$D$6="NM crew",S224*SUM('NM Play'!$B$24:$B$25),0)</f>
        <v/>
      </c>
      <c r="AG224" s="160">
        <f>IF('Sites'!$D$6="NM crew",S224*'NM Play'!$B$27,0)</f>
        <v/>
      </c>
      <c r="AH224" s="160">
        <f>N224*'Sites'!$Z$6*'NM Play'!$B$32</f>
        <v/>
      </c>
      <c r="AI224" s="160">
        <f>SUM(Y224:Z224)*'Sites'!$R$6</f>
        <v/>
      </c>
      <c r="AJ224" s="160">
        <f>SUM(AA224:AH224)</f>
        <v/>
      </c>
      <c r="AK224" s="160">
        <f>AJ224+(T224-U224)*'NM Play'!$B$22+MIN(G224,N224*'NM Play'!$B$11)/'NM Play'!$B$13*'NM Play'!$B$21*'NM Play'!$B$22+MIN(H224,N224*'NM Play'!$B$12)/'NM Play'!$B$14*IF('Sites'!$C$6="Own sheets",'NM Play'!$B$21*'NM Play'!$B$22,'NM Play'!$B$28*'NM Play'!$B$14/'NM Play'!$B$12)</f>
        <v/>
      </c>
      <c r="AL224" s="160">
        <f>Y224*'Assumptions'!F66</f>
        <v/>
      </c>
      <c r="AM224" s="160">
        <f>IF('Sites'!$D$6="NM crew",S224*'NM Play'!$B$37*(1+IF(AND(ISNUMBER('NM Play'!$B$25),'NM Play'!$B$25&gt;0),1,0)),"")</f>
        <v/>
      </c>
      <c r="AN224" s="160">
        <f>IF(OR('Sites'!$E$6&lt;0,'Sites'!$E$6&gt;1,'Sites'!$F$6&lt;1,'Sites'!$G$6&lt;'Sites'!$F$6,F224&lt;0,MIN('Sites'!$I$6:'Sites'!$R$6)&lt;0,'Sites'!$L$6&gt;'Sites'!$I$6,'Sites'!$M$6&gt;'Sites'!$J$6,'Sites'!$N$6&gt;'Sites'!$K$6,'Sites'!$Z$6&lt;0,'Sites'!$Z$6&gt;1,MIN('Sites'!$AA$6:'Sites'!$AC$6)&lt;0,S224&gt;F224+0.001),1,0)</f>
        <v/>
      </c>
      <c r="AO224" s="160">
        <f>I224+U224-T224-X224</f>
        <v/>
      </c>
    </row>
    <row r="225" ht="28" customHeight="1">
      <c r="A225" s="4" t="inlineStr">
        <is>
          <t>No QBE</t>
        </is>
      </c>
      <c r="B225" s="4" t="inlineStr">
        <is>
          <t>WITTA</t>
        </is>
      </c>
      <c r="C225" s="160" t="n">
        <v>4</v>
      </c>
      <c r="D225" s="160">
        <f>ROUNDUP(C225/12,0)</f>
        <v/>
      </c>
      <c r="E225" s="160">
        <f>IF(AND('Sites'!$E$6=1,C225&gt;='Sites'!$F$6,C225&lt;='Sites'!$G$6),1,0)</f>
        <v/>
      </c>
      <c r="F225" s="160">
        <f>E225*'Assumptions'!G67</f>
        <v/>
      </c>
      <c r="G225" s="160">
        <f>V224</f>
        <v/>
      </c>
      <c r="H225" s="160">
        <f>W224</f>
        <v/>
      </c>
      <c r="I225" s="160">
        <f>X224</f>
        <v/>
      </c>
      <c r="J225" s="160">
        <f>MAX(0,'Sites'!$I$6-SUM(N222:N224))</f>
        <v/>
      </c>
      <c r="K225" s="160">
        <f>IF('Sites'!$C$6="Own sheets",MIN(ROUNDDOWN(G225/'NM Play'!$B$11,0)+F225*'NM Play'!$B$10/'NM Play'!$B$43,ROUNDDOWN(H225/'NM Play'!$B$12,0)+F225*'NM Play'!$B$10/'NM Play'!$B$44,(F225*'NM Play'!$B$10+ROUNDDOWN(G225/'NM Play'!$B$11,0)*'NM Play'!$B$43+ROUNDDOWN(H225/'NM Play'!$B$12,0)*'NM Play'!$B$44)/('NM Play'!$B$43+'NM Play'!$B$44)),ROUNDDOWN(G225/'NM Play'!$B$11,0)+F225*'NM Play'!$B$10/'NM Play'!$B$43)</f>
        <v/>
      </c>
      <c r="L225" s="160">
        <f>MIN(ROUNDDOWN(G225/'NM Play'!$B$11,0)+F225/('NM Play'!$B$43/'NM Play'!$B$15),ROUNDDOWN(H225/'NM Play'!$B$12,0)+F225/('NM Play'!$B$44/'NM Play'!$B$16),(F225+ROUNDDOWN(G225/'NM Play'!$B$11,0)*'NM Play'!$B$43/'NM Play'!$B$15+ROUNDDOWN(H225/'NM Play'!$B$12,0)*'NM Play'!$B$44/'NM Play'!$B$16)/('NM Play'!$B$43/'NM Play'!$B$15+'NM Play'!$B$44/'NM Play'!$B$16))</f>
        <v/>
      </c>
      <c r="M225" s="160">
        <f>F225*'NM Play'!$B$36</f>
        <v/>
      </c>
      <c r="N225" s="160">
        <f>ROUNDDOWN(MAX(0,MIN(J225,K225:M225)),0)</f>
        <v/>
      </c>
      <c r="O225" s="160">
        <f>ROUNDUP(MAX(0,N225*'NM Play'!$B$11-G225)/'NM Play'!$B$13,0)</f>
        <v/>
      </c>
      <c r="P225" s="160">
        <f>ROUNDUP(MAX(0,N225*'NM Play'!$B$12-H225)/'NM Play'!$B$14,0)</f>
        <v/>
      </c>
      <c r="Q225" s="160">
        <f>(O225+IF('Sites'!$C$6="Own sheets",P225,0))/'NM Play'!$B$10</f>
        <v/>
      </c>
      <c r="R225" s="160">
        <f>O225/'NM Play'!$B$15+P225/'NM Play'!$B$16</f>
        <v/>
      </c>
      <c r="S225" s="160">
        <f>MAX(Q225,R225,N225/'NM Play'!$B$36)</f>
        <v/>
      </c>
      <c r="T225" s="160">
        <f>Q225*'NM Play'!$B$10*'NM Play'!$B$21*(1+'NM Play'!$B$35)</f>
        <v/>
      </c>
      <c r="U225" s="160">
        <f>MAX(0,T225-I225)</f>
        <v/>
      </c>
      <c r="V225" s="160">
        <f>G225+O225*'NM Play'!$B$13-N225*'NM Play'!$B$11</f>
        <v/>
      </c>
      <c r="W225" s="160">
        <f>H225+P225*'NM Play'!$B$14-N225*'NM Play'!$B$12</f>
        <v/>
      </c>
      <c r="X225" s="160">
        <f>I225+U225-T225</f>
        <v/>
      </c>
      <c r="Y225" s="160">
        <f>MIN(N225,MAX(0,ROUNDDOWN('Sites'!$L$6*'Cases'!$E$8,0)-SUM(Y222:Y224)))</f>
        <v/>
      </c>
      <c r="Z225" s="160">
        <f>N225-Y225</f>
        <v/>
      </c>
      <c r="AA225" s="160">
        <f>U225*'NM Play'!$B$22</f>
        <v/>
      </c>
      <c r="AB225" s="160">
        <f>N225*SUM('NM Play'!$B$29:$B$31)</f>
        <v/>
      </c>
      <c r="AC225" s="160">
        <f>IF('Sites'!$C$6="Defy legs",P225*'NM Play'!$B$14/'NM Play'!$B$12*'NM Play'!$B$28,0)</f>
        <v/>
      </c>
      <c r="AD225" s="160">
        <f>Q225*'NM Play'!$B$23</f>
        <v/>
      </c>
      <c r="AE225" s="160">
        <f>S225*SUM('NM Play'!$B$26,'NM Play'!$B$33:$B$34)</f>
        <v/>
      </c>
      <c r="AF225" s="160">
        <f>IF('Sites'!$D$6="NM crew",S225*SUM('NM Play'!$B$24:$B$25),0)</f>
        <v/>
      </c>
      <c r="AG225" s="160">
        <f>IF('Sites'!$D$6="NM crew",S225*'NM Play'!$B$27,0)</f>
        <v/>
      </c>
      <c r="AH225" s="160">
        <f>N225*'Sites'!$Z$6*'NM Play'!$B$32</f>
        <v/>
      </c>
      <c r="AI225" s="160">
        <f>SUM(Y225:Z225)*'Sites'!$R$6</f>
        <v/>
      </c>
      <c r="AJ225" s="160">
        <f>SUM(AA225:AH225)</f>
        <v/>
      </c>
      <c r="AK225" s="160">
        <f>AJ225+(T225-U225)*'NM Play'!$B$22+MIN(G225,N225*'NM Play'!$B$11)/'NM Play'!$B$13*'NM Play'!$B$21*'NM Play'!$B$22+MIN(H225,N225*'NM Play'!$B$12)/'NM Play'!$B$14*IF('Sites'!$C$6="Own sheets",'NM Play'!$B$21*'NM Play'!$B$22,'NM Play'!$B$28*'NM Play'!$B$14/'NM Play'!$B$12)</f>
        <v/>
      </c>
      <c r="AL225" s="160">
        <f>Y225*'Assumptions'!G66</f>
        <v/>
      </c>
      <c r="AM225" s="160">
        <f>IF('Sites'!$D$6="NM crew",S225*'NM Play'!$B$37*(1+IF(AND(ISNUMBER('NM Play'!$B$25),'NM Play'!$B$25&gt;0),1,0)),"")</f>
        <v/>
      </c>
      <c r="AN225" s="160">
        <f>IF(OR('Sites'!$E$6&lt;0,'Sites'!$E$6&gt;1,'Sites'!$F$6&lt;1,'Sites'!$G$6&lt;'Sites'!$F$6,F225&lt;0,MIN('Sites'!$I$6:'Sites'!$R$6)&lt;0,'Sites'!$L$6&gt;'Sites'!$I$6,'Sites'!$M$6&gt;'Sites'!$J$6,'Sites'!$N$6&gt;'Sites'!$K$6,'Sites'!$Z$6&lt;0,'Sites'!$Z$6&gt;1,MIN('Sites'!$AA$6:'Sites'!$AC$6)&lt;0,S225&gt;F225+0.001),1,0)</f>
        <v/>
      </c>
      <c r="AO225" s="160">
        <f>I225+U225-T225-X225</f>
        <v/>
      </c>
    </row>
    <row r="226" ht="28" customHeight="1">
      <c r="A226" s="4" t="inlineStr">
        <is>
          <t>No QBE</t>
        </is>
      </c>
      <c r="B226" s="4" t="inlineStr">
        <is>
          <t>WITTA</t>
        </is>
      </c>
      <c r="C226" s="160" t="n">
        <v>5</v>
      </c>
      <c r="D226" s="160">
        <f>ROUNDUP(C226/12,0)</f>
        <v/>
      </c>
      <c r="E226" s="160">
        <f>IF(AND('Sites'!$E$6=1,C226&gt;='Sites'!$F$6,C226&lt;='Sites'!$G$6),1,0)</f>
        <v/>
      </c>
      <c r="F226" s="160">
        <f>E226*'Assumptions'!H67</f>
        <v/>
      </c>
      <c r="G226" s="160">
        <f>V225</f>
        <v/>
      </c>
      <c r="H226" s="160">
        <f>W225</f>
        <v/>
      </c>
      <c r="I226" s="160">
        <f>X225</f>
        <v/>
      </c>
      <c r="J226" s="160">
        <f>MAX(0,'Sites'!$I$6-SUM(N222:N225))</f>
        <v/>
      </c>
      <c r="K226" s="160">
        <f>IF('Sites'!$C$6="Own sheets",MIN(ROUNDDOWN(G226/'NM Play'!$B$11,0)+F226*'NM Play'!$B$10/'NM Play'!$B$43,ROUNDDOWN(H226/'NM Play'!$B$12,0)+F226*'NM Play'!$B$10/'NM Play'!$B$44,(F226*'NM Play'!$B$10+ROUNDDOWN(G226/'NM Play'!$B$11,0)*'NM Play'!$B$43+ROUNDDOWN(H226/'NM Play'!$B$12,0)*'NM Play'!$B$44)/('NM Play'!$B$43+'NM Play'!$B$44)),ROUNDDOWN(G226/'NM Play'!$B$11,0)+F226*'NM Play'!$B$10/'NM Play'!$B$43)</f>
        <v/>
      </c>
      <c r="L226" s="160">
        <f>MIN(ROUNDDOWN(G226/'NM Play'!$B$11,0)+F226/('NM Play'!$B$43/'NM Play'!$B$15),ROUNDDOWN(H226/'NM Play'!$B$12,0)+F226/('NM Play'!$B$44/'NM Play'!$B$16),(F226+ROUNDDOWN(G226/'NM Play'!$B$11,0)*'NM Play'!$B$43/'NM Play'!$B$15+ROUNDDOWN(H226/'NM Play'!$B$12,0)*'NM Play'!$B$44/'NM Play'!$B$16)/('NM Play'!$B$43/'NM Play'!$B$15+'NM Play'!$B$44/'NM Play'!$B$16))</f>
        <v/>
      </c>
      <c r="M226" s="160">
        <f>F226*'NM Play'!$B$36</f>
        <v/>
      </c>
      <c r="N226" s="160">
        <f>ROUNDDOWN(MAX(0,MIN(J226,K226:M226)),0)</f>
        <v/>
      </c>
      <c r="O226" s="160">
        <f>ROUNDUP(MAX(0,N226*'NM Play'!$B$11-G226)/'NM Play'!$B$13,0)</f>
        <v/>
      </c>
      <c r="P226" s="160">
        <f>ROUNDUP(MAX(0,N226*'NM Play'!$B$12-H226)/'NM Play'!$B$14,0)</f>
        <v/>
      </c>
      <c r="Q226" s="160">
        <f>(O226+IF('Sites'!$C$6="Own sheets",P226,0))/'NM Play'!$B$10</f>
        <v/>
      </c>
      <c r="R226" s="160">
        <f>O226/'NM Play'!$B$15+P226/'NM Play'!$B$16</f>
        <v/>
      </c>
      <c r="S226" s="160">
        <f>MAX(Q226,R226,N226/'NM Play'!$B$36)</f>
        <v/>
      </c>
      <c r="T226" s="160">
        <f>Q226*'NM Play'!$B$10*'NM Play'!$B$21*(1+'NM Play'!$B$35)</f>
        <v/>
      </c>
      <c r="U226" s="160">
        <f>MAX(0,T226-I226)</f>
        <v/>
      </c>
      <c r="V226" s="160">
        <f>G226+O226*'NM Play'!$B$13-N226*'NM Play'!$B$11</f>
        <v/>
      </c>
      <c r="W226" s="160">
        <f>H226+P226*'NM Play'!$B$14-N226*'NM Play'!$B$12</f>
        <v/>
      </c>
      <c r="X226" s="160">
        <f>I226+U226-T226</f>
        <v/>
      </c>
      <c r="Y226" s="160">
        <f>MIN(N226,MAX(0,ROUNDDOWN('Sites'!$L$6*'Cases'!$E$8,0)-SUM(Y222:Y225)))</f>
        <v/>
      </c>
      <c r="Z226" s="160">
        <f>N226-Y226</f>
        <v/>
      </c>
      <c r="AA226" s="160">
        <f>U226*'NM Play'!$B$22</f>
        <v/>
      </c>
      <c r="AB226" s="160">
        <f>N226*SUM('NM Play'!$B$29:$B$31)</f>
        <v/>
      </c>
      <c r="AC226" s="160">
        <f>IF('Sites'!$C$6="Defy legs",P226*'NM Play'!$B$14/'NM Play'!$B$12*'NM Play'!$B$28,0)</f>
        <v/>
      </c>
      <c r="AD226" s="160">
        <f>Q226*'NM Play'!$B$23</f>
        <v/>
      </c>
      <c r="AE226" s="160">
        <f>S226*SUM('NM Play'!$B$26,'NM Play'!$B$33:$B$34)</f>
        <v/>
      </c>
      <c r="AF226" s="160">
        <f>IF('Sites'!$D$6="NM crew",S226*SUM('NM Play'!$B$24:$B$25),0)</f>
        <v/>
      </c>
      <c r="AG226" s="160">
        <f>IF('Sites'!$D$6="NM crew",S226*'NM Play'!$B$27,0)</f>
        <v/>
      </c>
      <c r="AH226" s="160">
        <f>N226*'Sites'!$Z$6*'NM Play'!$B$32</f>
        <v/>
      </c>
      <c r="AI226" s="160">
        <f>SUM(Y226:Z226)*'Sites'!$R$6</f>
        <v/>
      </c>
      <c r="AJ226" s="160">
        <f>SUM(AA226:AH226)</f>
        <v/>
      </c>
      <c r="AK226" s="160">
        <f>AJ226+(T226-U226)*'NM Play'!$B$22+MIN(G226,N226*'NM Play'!$B$11)/'NM Play'!$B$13*'NM Play'!$B$21*'NM Play'!$B$22+MIN(H226,N226*'NM Play'!$B$12)/'NM Play'!$B$14*IF('Sites'!$C$6="Own sheets",'NM Play'!$B$21*'NM Play'!$B$22,'NM Play'!$B$28*'NM Play'!$B$14/'NM Play'!$B$12)</f>
        <v/>
      </c>
      <c r="AL226" s="160">
        <f>Y226*'Assumptions'!H66</f>
        <v/>
      </c>
      <c r="AM226" s="160">
        <f>IF('Sites'!$D$6="NM crew",S226*'NM Play'!$B$37*(1+IF(AND(ISNUMBER('NM Play'!$B$25),'NM Play'!$B$25&gt;0),1,0)),"")</f>
        <v/>
      </c>
      <c r="AN226" s="160">
        <f>IF(OR('Sites'!$E$6&lt;0,'Sites'!$E$6&gt;1,'Sites'!$F$6&lt;1,'Sites'!$G$6&lt;'Sites'!$F$6,F226&lt;0,MIN('Sites'!$I$6:'Sites'!$R$6)&lt;0,'Sites'!$L$6&gt;'Sites'!$I$6,'Sites'!$M$6&gt;'Sites'!$J$6,'Sites'!$N$6&gt;'Sites'!$K$6,'Sites'!$Z$6&lt;0,'Sites'!$Z$6&gt;1,MIN('Sites'!$AA$6:'Sites'!$AC$6)&lt;0,S226&gt;F226+0.001),1,0)</f>
        <v/>
      </c>
      <c r="AO226" s="160">
        <f>I226+U226-T226-X226</f>
        <v/>
      </c>
    </row>
    <row r="227" ht="28" customHeight="1">
      <c r="A227" s="4" t="inlineStr">
        <is>
          <t>No QBE</t>
        </is>
      </c>
      <c r="B227" s="4" t="inlineStr">
        <is>
          <t>WITTA</t>
        </is>
      </c>
      <c r="C227" s="160" t="n">
        <v>6</v>
      </c>
      <c r="D227" s="160">
        <f>ROUNDUP(C227/12,0)</f>
        <v/>
      </c>
      <c r="E227" s="160">
        <f>IF(AND('Sites'!$E$6=1,C227&gt;='Sites'!$F$6,C227&lt;='Sites'!$G$6),1,0)</f>
        <v/>
      </c>
      <c r="F227" s="160">
        <f>E227*'Assumptions'!I67</f>
        <v/>
      </c>
      <c r="G227" s="160">
        <f>V226</f>
        <v/>
      </c>
      <c r="H227" s="160">
        <f>W226</f>
        <v/>
      </c>
      <c r="I227" s="160">
        <f>X226</f>
        <v/>
      </c>
      <c r="J227" s="160">
        <f>MAX(0,'Sites'!$I$6-SUM(N222:N226))</f>
        <v/>
      </c>
      <c r="K227" s="160">
        <f>IF('Sites'!$C$6="Own sheets",MIN(ROUNDDOWN(G227/'NM Play'!$B$11,0)+F227*'NM Play'!$B$10/'NM Play'!$B$43,ROUNDDOWN(H227/'NM Play'!$B$12,0)+F227*'NM Play'!$B$10/'NM Play'!$B$44,(F227*'NM Play'!$B$10+ROUNDDOWN(G227/'NM Play'!$B$11,0)*'NM Play'!$B$43+ROUNDDOWN(H227/'NM Play'!$B$12,0)*'NM Play'!$B$44)/('NM Play'!$B$43+'NM Play'!$B$44)),ROUNDDOWN(G227/'NM Play'!$B$11,0)+F227*'NM Play'!$B$10/'NM Play'!$B$43)</f>
        <v/>
      </c>
      <c r="L227" s="160">
        <f>MIN(ROUNDDOWN(G227/'NM Play'!$B$11,0)+F227/('NM Play'!$B$43/'NM Play'!$B$15),ROUNDDOWN(H227/'NM Play'!$B$12,0)+F227/('NM Play'!$B$44/'NM Play'!$B$16),(F227+ROUNDDOWN(G227/'NM Play'!$B$11,0)*'NM Play'!$B$43/'NM Play'!$B$15+ROUNDDOWN(H227/'NM Play'!$B$12,0)*'NM Play'!$B$44/'NM Play'!$B$16)/('NM Play'!$B$43/'NM Play'!$B$15+'NM Play'!$B$44/'NM Play'!$B$16))</f>
        <v/>
      </c>
      <c r="M227" s="160">
        <f>F227*'NM Play'!$B$36</f>
        <v/>
      </c>
      <c r="N227" s="160">
        <f>ROUNDDOWN(MAX(0,MIN(J227,K227:M227)),0)</f>
        <v/>
      </c>
      <c r="O227" s="160">
        <f>ROUNDUP(MAX(0,N227*'NM Play'!$B$11-G227)/'NM Play'!$B$13,0)</f>
        <v/>
      </c>
      <c r="P227" s="160">
        <f>ROUNDUP(MAX(0,N227*'NM Play'!$B$12-H227)/'NM Play'!$B$14,0)</f>
        <v/>
      </c>
      <c r="Q227" s="160">
        <f>(O227+IF('Sites'!$C$6="Own sheets",P227,0))/'NM Play'!$B$10</f>
        <v/>
      </c>
      <c r="R227" s="160">
        <f>O227/'NM Play'!$B$15+P227/'NM Play'!$B$16</f>
        <v/>
      </c>
      <c r="S227" s="160">
        <f>MAX(Q227,R227,N227/'NM Play'!$B$36)</f>
        <v/>
      </c>
      <c r="T227" s="160">
        <f>Q227*'NM Play'!$B$10*'NM Play'!$B$21*(1+'NM Play'!$B$35)</f>
        <v/>
      </c>
      <c r="U227" s="160">
        <f>MAX(0,T227-I227)</f>
        <v/>
      </c>
      <c r="V227" s="160">
        <f>G227+O227*'NM Play'!$B$13-N227*'NM Play'!$B$11</f>
        <v/>
      </c>
      <c r="W227" s="160">
        <f>H227+P227*'NM Play'!$B$14-N227*'NM Play'!$B$12</f>
        <v/>
      </c>
      <c r="X227" s="160">
        <f>I227+U227-T227</f>
        <v/>
      </c>
      <c r="Y227" s="160">
        <f>MIN(N227,MAX(0,ROUNDDOWN('Sites'!$L$6*'Cases'!$E$8,0)-SUM(Y222:Y226)))</f>
        <v/>
      </c>
      <c r="Z227" s="160">
        <f>N227-Y227</f>
        <v/>
      </c>
      <c r="AA227" s="160">
        <f>U227*'NM Play'!$B$22</f>
        <v/>
      </c>
      <c r="AB227" s="160">
        <f>N227*SUM('NM Play'!$B$29:$B$31)</f>
        <v/>
      </c>
      <c r="AC227" s="160">
        <f>IF('Sites'!$C$6="Defy legs",P227*'NM Play'!$B$14/'NM Play'!$B$12*'NM Play'!$B$28,0)</f>
        <v/>
      </c>
      <c r="AD227" s="160">
        <f>Q227*'NM Play'!$B$23</f>
        <v/>
      </c>
      <c r="AE227" s="160">
        <f>S227*SUM('NM Play'!$B$26,'NM Play'!$B$33:$B$34)</f>
        <v/>
      </c>
      <c r="AF227" s="160">
        <f>IF('Sites'!$D$6="NM crew",S227*SUM('NM Play'!$B$24:$B$25),0)</f>
        <v/>
      </c>
      <c r="AG227" s="160">
        <f>IF('Sites'!$D$6="NM crew",S227*'NM Play'!$B$27,0)</f>
        <v/>
      </c>
      <c r="AH227" s="160">
        <f>N227*'Sites'!$Z$6*'NM Play'!$B$32</f>
        <v/>
      </c>
      <c r="AI227" s="160">
        <f>SUM(Y227:Z227)*'Sites'!$R$6</f>
        <v/>
      </c>
      <c r="AJ227" s="160">
        <f>SUM(AA227:AH227)</f>
        <v/>
      </c>
      <c r="AK227" s="160">
        <f>AJ227+(T227-U227)*'NM Play'!$B$22+MIN(G227,N227*'NM Play'!$B$11)/'NM Play'!$B$13*'NM Play'!$B$21*'NM Play'!$B$22+MIN(H227,N227*'NM Play'!$B$12)/'NM Play'!$B$14*IF('Sites'!$C$6="Own sheets",'NM Play'!$B$21*'NM Play'!$B$22,'NM Play'!$B$28*'NM Play'!$B$14/'NM Play'!$B$12)</f>
        <v/>
      </c>
      <c r="AL227" s="160">
        <f>Y227*'Assumptions'!I66</f>
        <v/>
      </c>
      <c r="AM227" s="160">
        <f>IF('Sites'!$D$6="NM crew",S227*'NM Play'!$B$37*(1+IF(AND(ISNUMBER('NM Play'!$B$25),'NM Play'!$B$25&gt;0),1,0)),"")</f>
        <v/>
      </c>
      <c r="AN227" s="160">
        <f>IF(OR('Sites'!$E$6&lt;0,'Sites'!$E$6&gt;1,'Sites'!$F$6&lt;1,'Sites'!$G$6&lt;'Sites'!$F$6,F227&lt;0,MIN('Sites'!$I$6:'Sites'!$R$6)&lt;0,'Sites'!$L$6&gt;'Sites'!$I$6,'Sites'!$M$6&gt;'Sites'!$J$6,'Sites'!$N$6&gt;'Sites'!$K$6,'Sites'!$Z$6&lt;0,'Sites'!$Z$6&gt;1,MIN('Sites'!$AA$6:'Sites'!$AC$6)&lt;0,S227&gt;F227+0.001),1,0)</f>
        <v/>
      </c>
      <c r="AO227" s="160">
        <f>I227+U227-T227-X227</f>
        <v/>
      </c>
    </row>
    <row r="228" ht="28" customHeight="1">
      <c r="A228" s="4" t="inlineStr">
        <is>
          <t>No QBE</t>
        </is>
      </c>
      <c r="B228" s="4" t="inlineStr">
        <is>
          <t>WITTA</t>
        </is>
      </c>
      <c r="C228" s="160" t="n">
        <v>7</v>
      </c>
      <c r="D228" s="160">
        <f>ROUNDUP(C228/12,0)</f>
        <v/>
      </c>
      <c r="E228" s="160">
        <f>IF(AND('Sites'!$E$6=1,C228&gt;='Sites'!$F$6,C228&lt;='Sites'!$G$6),1,0)</f>
        <v/>
      </c>
      <c r="F228" s="160">
        <f>E228*'Assumptions'!J67</f>
        <v/>
      </c>
      <c r="G228" s="160">
        <f>V227</f>
        <v/>
      </c>
      <c r="H228" s="160">
        <f>W227</f>
        <v/>
      </c>
      <c r="I228" s="160">
        <f>X227</f>
        <v/>
      </c>
      <c r="J228" s="160">
        <f>MAX(0,'Sites'!$I$6-SUM(N222:N227))</f>
        <v/>
      </c>
      <c r="K228" s="160">
        <f>IF('Sites'!$C$6="Own sheets",MIN(ROUNDDOWN(G228/'NM Play'!$B$11,0)+F228*'NM Play'!$B$10/'NM Play'!$B$43,ROUNDDOWN(H228/'NM Play'!$B$12,0)+F228*'NM Play'!$B$10/'NM Play'!$B$44,(F228*'NM Play'!$B$10+ROUNDDOWN(G228/'NM Play'!$B$11,0)*'NM Play'!$B$43+ROUNDDOWN(H228/'NM Play'!$B$12,0)*'NM Play'!$B$44)/('NM Play'!$B$43+'NM Play'!$B$44)),ROUNDDOWN(G228/'NM Play'!$B$11,0)+F228*'NM Play'!$B$10/'NM Play'!$B$43)</f>
        <v/>
      </c>
      <c r="L228" s="160">
        <f>MIN(ROUNDDOWN(G228/'NM Play'!$B$11,0)+F228/('NM Play'!$B$43/'NM Play'!$B$15),ROUNDDOWN(H228/'NM Play'!$B$12,0)+F228/('NM Play'!$B$44/'NM Play'!$B$16),(F228+ROUNDDOWN(G228/'NM Play'!$B$11,0)*'NM Play'!$B$43/'NM Play'!$B$15+ROUNDDOWN(H228/'NM Play'!$B$12,0)*'NM Play'!$B$44/'NM Play'!$B$16)/('NM Play'!$B$43/'NM Play'!$B$15+'NM Play'!$B$44/'NM Play'!$B$16))</f>
        <v/>
      </c>
      <c r="M228" s="160">
        <f>F228*'NM Play'!$B$36</f>
        <v/>
      </c>
      <c r="N228" s="160">
        <f>ROUNDDOWN(MAX(0,MIN(J228,K228:M228)),0)</f>
        <v/>
      </c>
      <c r="O228" s="160">
        <f>ROUNDUP(MAX(0,N228*'NM Play'!$B$11-G228)/'NM Play'!$B$13,0)</f>
        <v/>
      </c>
      <c r="P228" s="160">
        <f>ROUNDUP(MAX(0,N228*'NM Play'!$B$12-H228)/'NM Play'!$B$14,0)</f>
        <v/>
      </c>
      <c r="Q228" s="160">
        <f>(O228+IF('Sites'!$C$6="Own sheets",P228,0))/'NM Play'!$B$10</f>
        <v/>
      </c>
      <c r="R228" s="160">
        <f>O228/'NM Play'!$B$15+P228/'NM Play'!$B$16</f>
        <v/>
      </c>
      <c r="S228" s="160">
        <f>MAX(Q228,R228,N228/'NM Play'!$B$36)</f>
        <v/>
      </c>
      <c r="T228" s="160">
        <f>Q228*'NM Play'!$B$10*'NM Play'!$B$21*(1+'NM Play'!$B$35)</f>
        <v/>
      </c>
      <c r="U228" s="160">
        <f>MAX(0,T228-I228)</f>
        <v/>
      </c>
      <c r="V228" s="160">
        <f>G228+O228*'NM Play'!$B$13-N228*'NM Play'!$B$11</f>
        <v/>
      </c>
      <c r="W228" s="160">
        <f>H228+P228*'NM Play'!$B$14-N228*'NM Play'!$B$12</f>
        <v/>
      </c>
      <c r="X228" s="160">
        <f>I228+U228-T228</f>
        <v/>
      </c>
      <c r="Y228" s="160">
        <f>MIN(N228,MAX(0,ROUNDDOWN('Sites'!$L$6*'Cases'!$E$8,0)-SUM(Y222:Y227)))</f>
        <v/>
      </c>
      <c r="Z228" s="160">
        <f>N228-Y228</f>
        <v/>
      </c>
      <c r="AA228" s="160">
        <f>U228*'NM Play'!$B$22</f>
        <v/>
      </c>
      <c r="AB228" s="160">
        <f>N228*SUM('NM Play'!$B$29:$B$31)</f>
        <v/>
      </c>
      <c r="AC228" s="160">
        <f>IF('Sites'!$C$6="Defy legs",P228*'NM Play'!$B$14/'NM Play'!$B$12*'NM Play'!$B$28,0)</f>
        <v/>
      </c>
      <c r="AD228" s="160">
        <f>Q228*'NM Play'!$B$23</f>
        <v/>
      </c>
      <c r="AE228" s="160">
        <f>S228*SUM('NM Play'!$B$26,'NM Play'!$B$33:$B$34)</f>
        <v/>
      </c>
      <c r="AF228" s="160">
        <f>IF('Sites'!$D$6="NM crew",S228*SUM('NM Play'!$B$24:$B$25),0)</f>
        <v/>
      </c>
      <c r="AG228" s="160">
        <f>IF('Sites'!$D$6="NM crew",S228*'NM Play'!$B$27,0)</f>
        <v/>
      </c>
      <c r="AH228" s="160">
        <f>N228*'Sites'!$Z$6*'NM Play'!$B$32</f>
        <v/>
      </c>
      <c r="AI228" s="160">
        <f>SUM(Y228:Z228)*'Sites'!$R$6</f>
        <v/>
      </c>
      <c r="AJ228" s="160">
        <f>SUM(AA228:AH228)</f>
        <v/>
      </c>
      <c r="AK228" s="160">
        <f>AJ228+(T228-U228)*'NM Play'!$B$22+MIN(G228,N228*'NM Play'!$B$11)/'NM Play'!$B$13*'NM Play'!$B$21*'NM Play'!$B$22+MIN(H228,N228*'NM Play'!$B$12)/'NM Play'!$B$14*IF('Sites'!$C$6="Own sheets",'NM Play'!$B$21*'NM Play'!$B$22,'NM Play'!$B$28*'NM Play'!$B$14/'NM Play'!$B$12)</f>
        <v/>
      </c>
      <c r="AL228" s="160">
        <f>Y228*'Assumptions'!J66</f>
        <v/>
      </c>
      <c r="AM228" s="160">
        <f>IF('Sites'!$D$6="NM crew",S228*'NM Play'!$B$37*(1+IF(AND(ISNUMBER('NM Play'!$B$25),'NM Play'!$B$25&gt;0),1,0)),"")</f>
        <v/>
      </c>
      <c r="AN228" s="160">
        <f>IF(OR('Sites'!$E$6&lt;0,'Sites'!$E$6&gt;1,'Sites'!$F$6&lt;1,'Sites'!$G$6&lt;'Sites'!$F$6,F228&lt;0,MIN('Sites'!$I$6:'Sites'!$R$6)&lt;0,'Sites'!$L$6&gt;'Sites'!$I$6,'Sites'!$M$6&gt;'Sites'!$J$6,'Sites'!$N$6&gt;'Sites'!$K$6,'Sites'!$Z$6&lt;0,'Sites'!$Z$6&gt;1,MIN('Sites'!$AA$6:'Sites'!$AC$6)&lt;0,S228&gt;F228+0.001),1,0)</f>
        <v/>
      </c>
      <c r="AO228" s="160">
        <f>I228+U228-T228-X228</f>
        <v/>
      </c>
    </row>
    <row r="229" ht="28" customHeight="1">
      <c r="A229" s="4" t="inlineStr">
        <is>
          <t>No QBE</t>
        </is>
      </c>
      <c r="B229" s="4" t="inlineStr">
        <is>
          <t>WITTA</t>
        </is>
      </c>
      <c r="C229" s="160" t="n">
        <v>8</v>
      </c>
      <c r="D229" s="160">
        <f>ROUNDUP(C229/12,0)</f>
        <v/>
      </c>
      <c r="E229" s="160">
        <f>IF(AND('Sites'!$E$6=1,C229&gt;='Sites'!$F$6,C229&lt;='Sites'!$G$6),1,0)</f>
        <v/>
      </c>
      <c r="F229" s="160">
        <f>E229*'Assumptions'!K67</f>
        <v/>
      </c>
      <c r="G229" s="160">
        <f>V228</f>
        <v/>
      </c>
      <c r="H229" s="160">
        <f>W228</f>
        <v/>
      </c>
      <c r="I229" s="160">
        <f>X228</f>
        <v/>
      </c>
      <c r="J229" s="160">
        <f>MAX(0,'Sites'!$I$6-SUM(N222:N228))</f>
        <v/>
      </c>
      <c r="K229" s="160">
        <f>IF('Sites'!$C$6="Own sheets",MIN(ROUNDDOWN(G229/'NM Play'!$B$11,0)+F229*'NM Play'!$B$10/'NM Play'!$B$43,ROUNDDOWN(H229/'NM Play'!$B$12,0)+F229*'NM Play'!$B$10/'NM Play'!$B$44,(F229*'NM Play'!$B$10+ROUNDDOWN(G229/'NM Play'!$B$11,0)*'NM Play'!$B$43+ROUNDDOWN(H229/'NM Play'!$B$12,0)*'NM Play'!$B$44)/('NM Play'!$B$43+'NM Play'!$B$44)),ROUNDDOWN(G229/'NM Play'!$B$11,0)+F229*'NM Play'!$B$10/'NM Play'!$B$43)</f>
        <v/>
      </c>
      <c r="L229" s="160">
        <f>MIN(ROUNDDOWN(G229/'NM Play'!$B$11,0)+F229/('NM Play'!$B$43/'NM Play'!$B$15),ROUNDDOWN(H229/'NM Play'!$B$12,0)+F229/('NM Play'!$B$44/'NM Play'!$B$16),(F229+ROUNDDOWN(G229/'NM Play'!$B$11,0)*'NM Play'!$B$43/'NM Play'!$B$15+ROUNDDOWN(H229/'NM Play'!$B$12,0)*'NM Play'!$B$44/'NM Play'!$B$16)/('NM Play'!$B$43/'NM Play'!$B$15+'NM Play'!$B$44/'NM Play'!$B$16))</f>
        <v/>
      </c>
      <c r="M229" s="160">
        <f>F229*'NM Play'!$B$36</f>
        <v/>
      </c>
      <c r="N229" s="160">
        <f>ROUNDDOWN(MAX(0,MIN(J229,K229:M229)),0)</f>
        <v/>
      </c>
      <c r="O229" s="160">
        <f>ROUNDUP(MAX(0,N229*'NM Play'!$B$11-G229)/'NM Play'!$B$13,0)</f>
        <v/>
      </c>
      <c r="P229" s="160">
        <f>ROUNDUP(MAX(0,N229*'NM Play'!$B$12-H229)/'NM Play'!$B$14,0)</f>
        <v/>
      </c>
      <c r="Q229" s="160">
        <f>(O229+IF('Sites'!$C$6="Own sheets",P229,0))/'NM Play'!$B$10</f>
        <v/>
      </c>
      <c r="R229" s="160">
        <f>O229/'NM Play'!$B$15+P229/'NM Play'!$B$16</f>
        <v/>
      </c>
      <c r="S229" s="160">
        <f>MAX(Q229,R229,N229/'NM Play'!$B$36)</f>
        <v/>
      </c>
      <c r="T229" s="160">
        <f>Q229*'NM Play'!$B$10*'NM Play'!$B$21*(1+'NM Play'!$B$35)</f>
        <v/>
      </c>
      <c r="U229" s="160">
        <f>MAX(0,T229-I229)</f>
        <v/>
      </c>
      <c r="V229" s="160">
        <f>G229+O229*'NM Play'!$B$13-N229*'NM Play'!$B$11</f>
        <v/>
      </c>
      <c r="W229" s="160">
        <f>H229+P229*'NM Play'!$B$14-N229*'NM Play'!$B$12</f>
        <v/>
      </c>
      <c r="X229" s="160">
        <f>I229+U229-T229</f>
        <v/>
      </c>
      <c r="Y229" s="160">
        <f>MIN(N229,MAX(0,ROUNDDOWN('Sites'!$L$6*'Cases'!$E$8,0)-SUM(Y222:Y228)))</f>
        <v/>
      </c>
      <c r="Z229" s="160">
        <f>N229-Y229</f>
        <v/>
      </c>
      <c r="AA229" s="160">
        <f>U229*'NM Play'!$B$22</f>
        <v/>
      </c>
      <c r="AB229" s="160">
        <f>N229*SUM('NM Play'!$B$29:$B$31)</f>
        <v/>
      </c>
      <c r="AC229" s="160">
        <f>IF('Sites'!$C$6="Defy legs",P229*'NM Play'!$B$14/'NM Play'!$B$12*'NM Play'!$B$28,0)</f>
        <v/>
      </c>
      <c r="AD229" s="160">
        <f>Q229*'NM Play'!$B$23</f>
        <v/>
      </c>
      <c r="AE229" s="160">
        <f>S229*SUM('NM Play'!$B$26,'NM Play'!$B$33:$B$34)</f>
        <v/>
      </c>
      <c r="AF229" s="160">
        <f>IF('Sites'!$D$6="NM crew",S229*SUM('NM Play'!$B$24:$B$25),0)</f>
        <v/>
      </c>
      <c r="AG229" s="160">
        <f>IF('Sites'!$D$6="NM crew",S229*'NM Play'!$B$27,0)</f>
        <v/>
      </c>
      <c r="AH229" s="160">
        <f>N229*'Sites'!$Z$6*'NM Play'!$B$32</f>
        <v/>
      </c>
      <c r="AI229" s="160">
        <f>SUM(Y229:Z229)*'Sites'!$R$6</f>
        <v/>
      </c>
      <c r="AJ229" s="160">
        <f>SUM(AA229:AH229)</f>
        <v/>
      </c>
      <c r="AK229" s="160">
        <f>AJ229+(T229-U229)*'NM Play'!$B$22+MIN(G229,N229*'NM Play'!$B$11)/'NM Play'!$B$13*'NM Play'!$B$21*'NM Play'!$B$22+MIN(H229,N229*'NM Play'!$B$12)/'NM Play'!$B$14*IF('Sites'!$C$6="Own sheets",'NM Play'!$B$21*'NM Play'!$B$22,'NM Play'!$B$28*'NM Play'!$B$14/'NM Play'!$B$12)</f>
        <v/>
      </c>
      <c r="AL229" s="160">
        <f>Y229*'Assumptions'!K66</f>
        <v/>
      </c>
      <c r="AM229" s="160">
        <f>IF('Sites'!$D$6="NM crew",S229*'NM Play'!$B$37*(1+IF(AND(ISNUMBER('NM Play'!$B$25),'NM Play'!$B$25&gt;0),1,0)),"")</f>
        <v/>
      </c>
      <c r="AN229" s="160">
        <f>IF(OR('Sites'!$E$6&lt;0,'Sites'!$E$6&gt;1,'Sites'!$F$6&lt;1,'Sites'!$G$6&lt;'Sites'!$F$6,F229&lt;0,MIN('Sites'!$I$6:'Sites'!$R$6)&lt;0,'Sites'!$L$6&gt;'Sites'!$I$6,'Sites'!$M$6&gt;'Sites'!$J$6,'Sites'!$N$6&gt;'Sites'!$K$6,'Sites'!$Z$6&lt;0,'Sites'!$Z$6&gt;1,MIN('Sites'!$AA$6:'Sites'!$AC$6)&lt;0,S229&gt;F229+0.001),1,0)</f>
        <v/>
      </c>
      <c r="AO229" s="160">
        <f>I229+U229-T229-X229</f>
        <v/>
      </c>
    </row>
    <row r="230" ht="28" customHeight="1">
      <c r="A230" s="4" t="inlineStr">
        <is>
          <t>No QBE</t>
        </is>
      </c>
      <c r="B230" s="4" t="inlineStr">
        <is>
          <t>WITTA</t>
        </is>
      </c>
      <c r="C230" s="160" t="n">
        <v>9</v>
      </c>
      <c r="D230" s="160">
        <f>ROUNDUP(C230/12,0)</f>
        <v/>
      </c>
      <c r="E230" s="160">
        <f>IF(AND('Sites'!$E$6=1,C230&gt;='Sites'!$F$6,C230&lt;='Sites'!$G$6),1,0)</f>
        <v/>
      </c>
      <c r="F230" s="160">
        <f>E230*'Assumptions'!L67</f>
        <v/>
      </c>
      <c r="G230" s="160">
        <f>V229</f>
        <v/>
      </c>
      <c r="H230" s="160">
        <f>W229</f>
        <v/>
      </c>
      <c r="I230" s="160">
        <f>X229</f>
        <v/>
      </c>
      <c r="J230" s="160">
        <f>MAX(0,'Sites'!$I$6-SUM(N222:N229))</f>
        <v/>
      </c>
      <c r="K230" s="160">
        <f>IF('Sites'!$C$6="Own sheets",MIN(ROUNDDOWN(G230/'NM Play'!$B$11,0)+F230*'NM Play'!$B$10/'NM Play'!$B$43,ROUNDDOWN(H230/'NM Play'!$B$12,0)+F230*'NM Play'!$B$10/'NM Play'!$B$44,(F230*'NM Play'!$B$10+ROUNDDOWN(G230/'NM Play'!$B$11,0)*'NM Play'!$B$43+ROUNDDOWN(H230/'NM Play'!$B$12,0)*'NM Play'!$B$44)/('NM Play'!$B$43+'NM Play'!$B$44)),ROUNDDOWN(G230/'NM Play'!$B$11,0)+F230*'NM Play'!$B$10/'NM Play'!$B$43)</f>
        <v/>
      </c>
      <c r="L230" s="160">
        <f>MIN(ROUNDDOWN(G230/'NM Play'!$B$11,0)+F230/('NM Play'!$B$43/'NM Play'!$B$15),ROUNDDOWN(H230/'NM Play'!$B$12,0)+F230/('NM Play'!$B$44/'NM Play'!$B$16),(F230+ROUNDDOWN(G230/'NM Play'!$B$11,0)*'NM Play'!$B$43/'NM Play'!$B$15+ROUNDDOWN(H230/'NM Play'!$B$12,0)*'NM Play'!$B$44/'NM Play'!$B$16)/('NM Play'!$B$43/'NM Play'!$B$15+'NM Play'!$B$44/'NM Play'!$B$16))</f>
        <v/>
      </c>
      <c r="M230" s="160">
        <f>F230*'NM Play'!$B$36</f>
        <v/>
      </c>
      <c r="N230" s="160">
        <f>ROUNDDOWN(MAX(0,MIN(J230,K230:M230)),0)</f>
        <v/>
      </c>
      <c r="O230" s="160">
        <f>ROUNDUP(MAX(0,N230*'NM Play'!$B$11-G230)/'NM Play'!$B$13,0)</f>
        <v/>
      </c>
      <c r="P230" s="160">
        <f>ROUNDUP(MAX(0,N230*'NM Play'!$B$12-H230)/'NM Play'!$B$14,0)</f>
        <v/>
      </c>
      <c r="Q230" s="160">
        <f>(O230+IF('Sites'!$C$6="Own sheets",P230,0))/'NM Play'!$B$10</f>
        <v/>
      </c>
      <c r="R230" s="160">
        <f>O230/'NM Play'!$B$15+P230/'NM Play'!$B$16</f>
        <v/>
      </c>
      <c r="S230" s="160">
        <f>MAX(Q230,R230,N230/'NM Play'!$B$36)</f>
        <v/>
      </c>
      <c r="T230" s="160">
        <f>Q230*'NM Play'!$B$10*'NM Play'!$B$21*(1+'NM Play'!$B$35)</f>
        <v/>
      </c>
      <c r="U230" s="160">
        <f>MAX(0,T230-I230)</f>
        <v/>
      </c>
      <c r="V230" s="160">
        <f>G230+O230*'NM Play'!$B$13-N230*'NM Play'!$B$11</f>
        <v/>
      </c>
      <c r="W230" s="160">
        <f>H230+P230*'NM Play'!$B$14-N230*'NM Play'!$B$12</f>
        <v/>
      </c>
      <c r="X230" s="160">
        <f>I230+U230-T230</f>
        <v/>
      </c>
      <c r="Y230" s="160">
        <f>MIN(N230,MAX(0,ROUNDDOWN('Sites'!$L$6*'Cases'!$E$8,0)-SUM(Y222:Y229)))</f>
        <v/>
      </c>
      <c r="Z230" s="160">
        <f>N230-Y230</f>
        <v/>
      </c>
      <c r="AA230" s="160">
        <f>U230*'NM Play'!$B$22</f>
        <v/>
      </c>
      <c r="AB230" s="160">
        <f>N230*SUM('NM Play'!$B$29:$B$31)</f>
        <v/>
      </c>
      <c r="AC230" s="160">
        <f>IF('Sites'!$C$6="Defy legs",P230*'NM Play'!$B$14/'NM Play'!$B$12*'NM Play'!$B$28,0)</f>
        <v/>
      </c>
      <c r="AD230" s="160">
        <f>Q230*'NM Play'!$B$23</f>
        <v/>
      </c>
      <c r="AE230" s="160">
        <f>S230*SUM('NM Play'!$B$26,'NM Play'!$B$33:$B$34)</f>
        <v/>
      </c>
      <c r="AF230" s="160">
        <f>IF('Sites'!$D$6="NM crew",S230*SUM('NM Play'!$B$24:$B$25),0)</f>
        <v/>
      </c>
      <c r="AG230" s="160">
        <f>IF('Sites'!$D$6="NM crew",S230*'NM Play'!$B$27,0)</f>
        <v/>
      </c>
      <c r="AH230" s="160">
        <f>N230*'Sites'!$Z$6*'NM Play'!$B$32</f>
        <v/>
      </c>
      <c r="AI230" s="160">
        <f>SUM(Y230:Z230)*'Sites'!$R$6</f>
        <v/>
      </c>
      <c r="AJ230" s="160">
        <f>SUM(AA230:AH230)</f>
        <v/>
      </c>
      <c r="AK230" s="160">
        <f>AJ230+(T230-U230)*'NM Play'!$B$22+MIN(G230,N230*'NM Play'!$B$11)/'NM Play'!$B$13*'NM Play'!$B$21*'NM Play'!$B$22+MIN(H230,N230*'NM Play'!$B$12)/'NM Play'!$B$14*IF('Sites'!$C$6="Own sheets",'NM Play'!$B$21*'NM Play'!$B$22,'NM Play'!$B$28*'NM Play'!$B$14/'NM Play'!$B$12)</f>
        <v/>
      </c>
      <c r="AL230" s="160">
        <f>Y230*'Assumptions'!L66</f>
        <v/>
      </c>
      <c r="AM230" s="160">
        <f>IF('Sites'!$D$6="NM crew",S230*'NM Play'!$B$37*(1+IF(AND(ISNUMBER('NM Play'!$B$25),'NM Play'!$B$25&gt;0),1,0)),"")</f>
        <v/>
      </c>
      <c r="AN230" s="160">
        <f>IF(OR('Sites'!$E$6&lt;0,'Sites'!$E$6&gt;1,'Sites'!$F$6&lt;1,'Sites'!$G$6&lt;'Sites'!$F$6,F230&lt;0,MIN('Sites'!$I$6:'Sites'!$R$6)&lt;0,'Sites'!$L$6&gt;'Sites'!$I$6,'Sites'!$M$6&gt;'Sites'!$J$6,'Sites'!$N$6&gt;'Sites'!$K$6,'Sites'!$Z$6&lt;0,'Sites'!$Z$6&gt;1,MIN('Sites'!$AA$6:'Sites'!$AC$6)&lt;0,S230&gt;F230+0.001),1,0)</f>
        <v/>
      </c>
      <c r="AO230" s="160">
        <f>I230+U230-T230-X230</f>
        <v/>
      </c>
    </row>
    <row r="231" ht="28" customHeight="1">
      <c r="A231" s="4" t="inlineStr">
        <is>
          <t>No QBE</t>
        </is>
      </c>
      <c r="B231" s="4" t="inlineStr">
        <is>
          <t>WITTA</t>
        </is>
      </c>
      <c r="C231" s="160" t="n">
        <v>10</v>
      </c>
      <c r="D231" s="160">
        <f>ROUNDUP(C231/12,0)</f>
        <v/>
      </c>
      <c r="E231" s="160">
        <f>IF(AND('Sites'!$E$6=1,C231&gt;='Sites'!$F$6,C231&lt;='Sites'!$G$6),1,0)</f>
        <v/>
      </c>
      <c r="F231" s="160">
        <f>E231*'Assumptions'!M67</f>
        <v/>
      </c>
      <c r="G231" s="160">
        <f>V230</f>
        <v/>
      </c>
      <c r="H231" s="160">
        <f>W230</f>
        <v/>
      </c>
      <c r="I231" s="160">
        <f>X230</f>
        <v/>
      </c>
      <c r="J231" s="160">
        <f>MAX(0,'Sites'!$I$6-SUM(N222:N230))</f>
        <v/>
      </c>
      <c r="K231" s="160">
        <f>IF('Sites'!$C$6="Own sheets",MIN(ROUNDDOWN(G231/'NM Play'!$B$11,0)+F231*'NM Play'!$B$10/'NM Play'!$B$43,ROUNDDOWN(H231/'NM Play'!$B$12,0)+F231*'NM Play'!$B$10/'NM Play'!$B$44,(F231*'NM Play'!$B$10+ROUNDDOWN(G231/'NM Play'!$B$11,0)*'NM Play'!$B$43+ROUNDDOWN(H231/'NM Play'!$B$12,0)*'NM Play'!$B$44)/('NM Play'!$B$43+'NM Play'!$B$44)),ROUNDDOWN(G231/'NM Play'!$B$11,0)+F231*'NM Play'!$B$10/'NM Play'!$B$43)</f>
        <v/>
      </c>
      <c r="L231" s="160">
        <f>MIN(ROUNDDOWN(G231/'NM Play'!$B$11,0)+F231/('NM Play'!$B$43/'NM Play'!$B$15),ROUNDDOWN(H231/'NM Play'!$B$12,0)+F231/('NM Play'!$B$44/'NM Play'!$B$16),(F231+ROUNDDOWN(G231/'NM Play'!$B$11,0)*'NM Play'!$B$43/'NM Play'!$B$15+ROUNDDOWN(H231/'NM Play'!$B$12,0)*'NM Play'!$B$44/'NM Play'!$B$16)/('NM Play'!$B$43/'NM Play'!$B$15+'NM Play'!$B$44/'NM Play'!$B$16))</f>
        <v/>
      </c>
      <c r="M231" s="160">
        <f>F231*'NM Play'!$B$36</f>
        <v/>
      </c>
      <c r="N231" s="160">
        <f>ROUNDDOWN(MAX(0,MIN(J231,K231:M231)),0)</f>
        <v/>
      </c>
      <c r="O231" s="160">
        <f>ROUNDUP(MAX(0,N231*'NM Play'!$B$11-G231)/'NM Play'!$B$13,0)</f>
        <v/>
      </c>
      <c r="P231" s="160">
        <f>ROUNDUP(MAX(0,N231*'NM Play'!$B$12-H231)/'NM Play'!$B$14,0)</f>
        <v/>
      </c>
      <c r="Q231" s="160">
        <f>(O231+IF('Sites'!$C$6="Own sheets",P231,0))/'NM Play'!$B$10</f>
        <v/>
      </c>
      <c r="R231" s="160">
        <f>O231/'NM Play'!$B$15+P231/'NM Play'!$B$16</f>
        <v/>
      </c>
      <c r="S231" s="160">
        <f>MAX(Q231,R231,N231/'NM Play'!$B$36)</f>
        <v/>
      </c>
      <c r="T231" s="160">
        <f>Q231*'NM Play'!$B$10*'NM Play'!$B$21*(1+'NM Play'!$B$35)</f>
        <v/>
      </c>
      <c r="U231" s="160">
        <f>MAX(0,T231-I231)</f>
        <v/>
      </c>
      <c r="V231" s="160">
        <f>G231+O231*'NM Play'!$B$13-N231*'NM Play'!$B$11</f>
        <v/>
      </c>
      <c r="W231" s="160">
        <f>H231+P231*'NM Play'!$B$14-N231*'NM Play'!$B$12</f>
        <v/>
      </c>
      <c r="X231" s="160">
        <f>I231+U231-T231</f>
        <v/>
      </c>
      <c r="Y231" s="160">
        <f>MIN(N231,MAX(0,ROUNDDOWN('Sites'!$L$6*'Cases'!$E$8,0)-SUM(Y222:Y230)))</f>
        <v/>
      </c>
      <c r="Z231" s="160">
        <f>N231-Y231</f>
        <v/>
      </c>
      <c r="AA231" s="160">
        <f>U231*'NM Play'!$B$22</f>
        <v/>
      </c>
      <c r="AB231" s="160">
        <f>N231*SUM('NM Play'!$B$29:$B$31)</f>
        <v/>
      </c>
      <c r="AC231" s="160">
        <f>IF('Sites'!$C$6="Defy legs",P231*'NM Play'!$B$14/'NM Play'!$B$12*'NM Play'!$B$28,0)</f>
        <v/>
      </c>
      <c r="AD231" s="160">
        <f>Q231*'NM Play'!$B$23</f>
        <v/>
      </c>
      <c r="AE231" s="160">
        <f>S231*SUM('NM Play'!$B$26,'NM Play'!$B$33:$B$34)</f>
        <v/>
      </c>
      <c r="AF231" s="160">
        <f>IF('Sites'!$D$6="NM crew",S231*SUM('NM Play'!$B$24:$B$25),0)</f>
        <v/>
      </c>
      <c r="AG231" s="160">
        <f>IF('Sites'!$D$6="NM crew",S231*'NM Play'!$B$27,0)</f>
        <v/>
      </c>
      <c r="AH231" s="160">
        <f>N231*'Sites'!$Z$6*'NM Play'!$B$32</f>
        <v/>
      </c>
      <c r="AI231" s="160">
        <f>SUM(Y231:Z231)*'Sites'!$R$6</f>
        <v/>
      </c>
      <c r="AJ231" s="160">
        <f>SUM(AA231:AH231)</f>
        <v/>
      </c>
      <c r="AK231" s="160">
        <f>AJ231+(T231-U231)*'NM Play'!$B$22+MIN(G231,N231*'NM Play'!$B$11)/'NM Play'!$B$13*'NM Play'!$B$21*'NM Play'!$B$22+MIN(H231,N231*'NM Play'!$B$12)/'NM Play'!$B$14*IF('Sites'!$C$6="Own sheets",'NM Play'!$B$21*'NM Play'!$B$22,'NM Play'!$B$28*'NM Play'!$B$14/'NM Play'!$B$12)</f>
        <v/>
      </c>
      <c r="AL231" s="160">
        <f>Y231*'Assumptions'!M66</f>
        <v/>
      </c>
      <c r="AM231" s="160">
        <f>IF('Sites'!$D$6="NM crew",S231*'NM Play'!$B$37*(1+IF(AND(ISNUMBER('NM Play'!$B$25),'NM Play'!$B$25&gt;0),1,0)),"")</f>
        <v/>
      </c>
      <c r="AN231" s="160">
        <f>IF(OR('Sites'!$E$6&lt;0,'Sites'!$E$6&gt;1,'Sites'!$F$6&lt;1,'Sites'!$G$6&lt;'Sites'!$F$6,F231&lt;0,MIN('Sites'!$I$6:'Sites'!$R$6)&lt;0,'Sites'!$L$6&gt;'Sites'!$I$6,'Sites'!$M$6&gt;'Sites'!$J$6,'Sites'!$N$6&gt;'Sites'!$K$6,'Sites'!$Z$6&lt;0,'Sites'!$Z$6&gt;1,MIN('Sites'!$AA$6:'Sites'!$AC$6)&lt;0,S231&gt;F231+0.001),1,0)</f>
        <v/>
      </c>
      <c r="AO231" s="160">
        <f>I231+U231-T231-X231</f>
        <v/>
      </c>
    </row>
    <row r="232" ht="28" customHeight="1">
      <c r="A232" s="4" t="inlineStr">
        <is>
          <t>No QBE</t>
        </is>
      </c>
      <c r="B232" s="4" t="inlineStr">
        <is>
          <t>WITTA</t>
        </is>
      </c>
      <c r="C232" s="160" t="n">
        <v>11</v>
      </c>
      <c r="D232" s="160">
        <f>ROUNDUP(C232/12,0)</f>
        <v/>
      </c>
      <c r="E232" s="160">
        <f>IF(AND('Sites'!$E$6=1,C232&gt;='Sites'!$F$6,C232&lt;='Sites'!$G$6),1,0)</f>
        <v/>
      </c>
      <c r="F232" s="160">
        <f>E232*'Assumptions'!N67</f>
        <v/>
      </c>
      <c r="G232" s="160">
        <f>V231</f>
        <v/>
      </c>
      <c r="H232" s="160">
        <f>W231</f>
        <v/>
      </c>
      <c r="I232" s="160">
        <f>X231</f>
        <v/>
      </c>
      <c r="J232" s="160">
        <f>MAX(0,'Sites'!$I$6-SUM(N222:N231))</f>
        <v/>
      </c>
      <c r="K232" s="160">
        <f>IF('Sites'!$C$6="Own sheets",MIN(ROUNDDOWN(G232/'NM Play'!$B$11,0)+F232*'NM Play'!$B$10/'NM Play'!$B$43,ROUNDDOWN(H232/'NM Play'!$B$12,0)+F232*'NM Play'!$B$10/'NM Play'!$B$44,(F232*'NM Play'!$B$10+ROUNDDOWN(G232/'NM Play'!$B$11,0)*'NM Play'!$B$43+ROUNDDOWN(H232/'NM Play'!$B$12,0)*'NM Play'!$B$44)/('NM Play'!$B$43+'NM Play'!$B$44)),ROUNDDOWN(G232/'NM Play'!$B$11,0)+F232*'NM Play'!$B$10/'NM Play'!$B$43)</f>
        <v/>
      </c>
      <c r="L232" s="160">
        <f>MIN(ROUNDDOWN(G232/'NM Play'!$B$11,0)+F232/('NM Play'!$B$43/'NM Play'!$B$15),ROUNDDOWN(H232/'NM Play'!$B$12,0)+F232/('NM Play'!$B$44/'NM Play'!$B$16),(F232+ROUNDDOWN(G232/'NM Play'!$B$11,0)*'NM Play'!$B$43/'NM Play'!$B$15+ROUNDDOWN(H232/'NM Play'!$B$12,0)*'NM Play'!$B$44/'NM Play'!$B$16)/('NM Play'!$B$43/'NM Play'!$B$15+'NM Play'!$B$44/'NM Play'!$B$16))</f>
        <v/>
      </c>
      <c r="M232" s="160">
        <f>F232*'NM Play'!$B$36</f>
        <v/>
      </c>
      <c r="N232" s="160">
        <f>ROUNDDOWN(MAX(0,MIN(J232,K232:M232)),0)</f>
        <v/>
      </c>
      <c r="O232" s="160">
        <f>ROUNDUP(MAX(0,N232*'NM Play'!$B$11-G232)/'NM Play'!$B$13,0)</f>
        <v/>
      </c>
      <c r="P232" s="160">
        <f>ROUNDUP(MAX(0,N232*'NM Play'!$B$12-H232)/'NM Play'!$B$14,0)</f>
        <v/>
      </c>
      <c r="Q232" s="160">
        <f>(O232+IF('Sites'!$C$6="Own sheets",P232,0))/'NM Play'!$B$10</f>
        <v/>
      </c>
      <c r="R232" s="160">
        <f>O232/'NM Play'!$B$15+P232/'NM Play'!$B$16</f>
        <v/>
      </c>
      <c r="S232" s="160">
        <f>MAX(Q232,R232,N232/'NM Play'!$B$36)</f>
        <v/>
      </c>
      <c r="T232" s="160">
        <f>Q232*'NM Play'!$B$10*'NM Play'!$B$21*(1+'NM Play'!$B$35)</f>
        <v/>
      </c>
      <c r="U232" s="160">
        <f>MAX(0,T232-I232)</f>
        <v/>
      </c>
      <c r="V232" s="160">
        <f>G232+O232*'NM Play'!$B$13-N232*'NM Play'!$B$11</f>
        <v/>
      </c>
      <c r="W232" s="160">
        <f>H232+P232*'NM Play'!$B$14-N232*'NM Play'!$B$12</f>
        <v/>
      </c>
      <c r="X232" s="160">
        <f>I232+U232-T232</f>
        <v/>
      </c>
      <c r="Y232" s="160">
        <f>MIN(N232,MAX(0,ROUNDDOWN('Sites'!$L$6*'Cases'!$E$8,0)-SUM(Y222:Y231)))</f>
        <v/>
      </c>
      <c r="Z232" s="160">
        <f>N232-Y232</f>
        <v/>
      </c>
      <c r="AA232" s="160">
        <f>U232*'NM Play'!$B$22</f>
        <v/>
      </c>
      <c r="AB232" s="160">
        <f>N232*SUM('NM Play'!$B$29:$B$31)</f>
        <v/>
      </c>
      <c r="AC232" s="160">
        <f>IF('Sites'!$C$6="Defy legs",P232*'NM Play'!$B$14/'NM Play'!$B$12*'NM Play'!$B$28,0)</f>
        <v/>
      </c>
      <c r="AD232" s="160">
        <f>Q232*'NM Play'!$B$23</f>
        <v/>
      </c>
      <c r="AE232" s="160">
        <f>S232*SUM('NM Play'!$B$26,'NM Play'!$B$33:$B$34)</f>
        <v/>
      </c>
      <c r="AF232" s="160">
        <f>IF('Sites'!$D$6="NM crew",S232*SUM('NM Play'!$B$24:$B$25),0)</f>
        <v/>
      </c>
      <c r="AG232" s="160">
        <f>IF('Sites'!$D$6="NM crew",S232*'NM Play'!$B$27,0)</f>
        <v/>
      </c>
      <c r="AH232" s="160">
        <f>N232*'Sites'!$Z$6*'NM Play'!$B$32</f>
        <v/>
      </c>
      <c r="AI232" s="160">
        <f>SUM(Y232:Z232)*'Sites'!$R$6</f>
        <v/>
      </c>
      <c r="AJ232" s="160">
        <f>SUM(AA232:AH232)</f>
        <v/>
      </c>
      <c r="AK232" s="160">
        <f>AJ232+(T232-U232)*'NM Play'!$B$22+MIN(G232,N232*'NM Play'!$B$11)/'NM Play'!$B$13*'NM Play'!$B$21*'NM Play'!$B$22+MIN(H232,N232*'NM Play'!$B$12)/'NM Play'!$B$14*IF('Sites'!$C$6="Own sheets",'NM Play'!$B$21*'NM Play'!$B$22,'NM Play'!$B$28*'NM Play'!$B$14/'NM Play'!$B$12)</f>
        <v/>
      </c>
      <c r="AL232" s="160">
        <f>Y232*'Assumptions'!N66</f>
        <v/>
      </c>
      <c r="AM232" s="160">
        <f>IF('Sites'!$D$6="NM crew",S232*'NM Play'!$B$37*(1+IF(AND(ISNUMBER('NM Play'!$B$25),'NM Play'!$B$25&gt;0),1,0)),"")</f>
        <v/>
      </c>
      <c r="AN232" s="160">
        <f>IF(OR('Sites'!$E$6&lt;0,'Sites'!$E$6&gt;1,'Sites'!$F$6&lt;1,'Sites'!$G$6&lt;'Sites'!$F$6,F232&lt;0,MIN('Sites'!$I$6:'Sites'!$R$6)&lt;0,'Sites'!$L$6&gt;'Sites'!$I$6,'Sites'!$M$6&gt;'Sites'!$J$6,'Sites'!$N$6&gt;'Sites'!$K$6,'Sites'!$Z$6&lt;0,'Sites'!$Z$6&gt;1,MIN('Sites'!$AA$6:'Sites'!$AC$6)&lt;0,S232&gt;F232+0.001),1,0)</f>
        <v/>
      </c>
      <c r="AO232" s="160">
        <f>I232+U232-T232-X232</f>
        <v/>
      </c>
    </row>
    <row r="233" ht="28" customHeight="1">
      <c r="A233" s="4" t="inlineStr">
        <is>
          <t>No QBE</t>
        </is>
      </c>
      <c r="B233" s="4" t="inlineStr">
        <is>
          <t>WITTA</t>
        </is>
      </c>
      <c r="C233" s="160" t="n">
        <v>12</v>
      </c>
      <c r="D233" s="160">
        <f>ROUNDUP(C233/12,0)</f>
        <v/>
      </c>
      <c r="E233" s="160">
        <f>IF(AND('Sites'!$E$6=1,C233&gt;='Sites'!$F$6,C233&lt;='Sites'!$G$6),1,0)</f>
        <v/>
      </c>
      <c r="F233" s="160">
        <f>E233*'Assumptions'!O67</f>
        <v/>
      </c>
      <c r="G233" s="160">
        <f>V232</f>
        <v/>
      </c>
      <c r="H233" s="160">
        <f>W232</f>
        <v/>
      </c>
      <c r="I233" s="160">
        <f>X232</f>
        <v/>
      </c>
      <c r="J233" s="160">
        <f>MAX(0,'Sites'!$I$6-SUM(N222:N232))</f>
        <v/>
      </c>
      <c r="K233" s="160">
        <f>IF('Sites'!$C$6="Own sheets",MIN(ROUNDDOWN(G233/'NM Play'!$B$11,0)+F233*'NM Play'!$B$10/'NM Play'!$B$43,ROUNDDOWN(H233/'NM Play'!$B$12,0)+F233*'NM Play'!$B$10/'NM Play'!$B$44,(F233*'NM Play'!$B$10+ROUNDDOWN(G233/'NM Play'!$B$11,0)*'NM Play'!$B$43+ROUNDDOWN(H233/'NM Play'!$B$12,0)*'NM Play'!$B$44)/('NM Play'!$B$43+'NM Play'!$B$44)),ROUNDDOWN(G233/'NM Play'!$B$11,0)+F233*'NM Play'!$B$10/'NM Play'!$B$43)</f>
        <v/>
      </c>
      <c r="L233" s="160">
        <f>MIN(ROUNDDOWN(G233/'NM Play'!$B$11,0)+F233/('NM Play'!$B$43/'NM Play'!$B$15),ROUNDDOWN(H233/'NM Play'!$B$12,0)+F233/('NM Play'!$B$44/'NM Play'!$B$16),(F233+ROUNDDOWN(G233/'NM Play'!$B$11,0)*'NM Play'!$B$43/'NM Play'!$B$15+ROUNDDOWN(H233/'NM Play'!$B$12,0)*'NM Play'!$B$44/'NM Play'!$B$16)/('NM Play'!$B$43/'NM Play'!$B$15+'NM Play'!$B$44/'NM Play'!$B$16))</f>
        <v/>
      </c>
      <c r="M233" s="160">
        <f>F233*'NM Play'!$B$36</f>
        <v/>
      </c>
      <c r="N233" s="160">
        <f>ROUNDDOWN(MAX(0,MIN(J233,K233:M233)),0)</f>
        <v/>
      </c>
      <c r="O233" s="160">
        <f>ROUNDUP(MAX(0,N233*'NM Play'!$B$11-G233)/'NM Play'!$B$13,0)</f>
        <v/>
      </c>
      <c r="P233" s="160">
        <f>ROUNDUP(MAX(0,N233*'NM Play'!$B$12-H233)/'NM Play'!$B$14,0)</f>
        <v/>
      </c>
      <c r="Q233" s="160">
        <f>(O233+IF('Sites'!$C$6="Own sheets",P233,0))/'NM Play'!$B$10</f>
        <v/>
      </c>
      <c r="R233" s="160">
        <f>O233/'NM Play'!$B$15+P233/'NM Play'!$B$16</f>
        <v/>
      </c>
      <c r="S233" s="160">
        <f>MAX(Q233,R233,N233/'NM Play'!$B$36)</f>
        <v/>
      </c>
      <c r="T233" s="160">
        <f>Q233*'NM Play'!$B$10*'NM Play'!$B$21*(1+'NM Play'!$B$35)</f>
        <v/>
      </c>
      <c r="U233" s="160">
        <f>MAX(0,T233-I233)</f>
        <v/>
      </c>
      <c r="V233" s="160">
        <f>G233+O233*'NM Play'!$B$13-N233*'NM Play'!$B$11</f>
        <v/>
      </c>
      <c r="W233" s="160">
        <f>H233+P233*'NM Play'!$B$14-N233*'NM Play'!$B$12</f>
        <v/>
      </c>
      <c r="X233" s="160">
        <f>I233+U233-T233</f>
        <v/>
      </c>
      <c r="Y233" s="160">
        <f>MIN(N233,MAX(0,ROUNDDOWN('Sites'!$L$6*'Cases'!$E$8,0)-SUM(Y222:Y232)))</f>
        <v/>
      </c>
      <c r="Z233" s="160">
        <f>N233-Y233</f>
        <v/>
      </c>
      <c r="AA233" s="160">
        <f>U233*'NM Play'!$B$22</f>
        <v/>
      </c>
      <c r="AB233" s="160">
        <f>N233*SUM('NM Play'!$B$29:$B$31)</f>
        <v/>
      </c>
      <c r="AC233" s="160">
        <f>IF('Sites'!$C$6="Defy legs",P233*'NM Play'!$B$14/'NM Play'!$B$12*'NM Play'!$B$28,0)</f>
        <v/>
      </c>
      <c r="AD233" s="160">
        <f>Q233*'NM Play'!$B$23</f>
        <v/>
      </c>
      <c r="AE233" s="160">
        <f>S233*SUM('NM Play'!$B$26,'NM Play'!$B$33:$B$34)</f>
        <v/>
      </c>
      <c r="AF233" s="160">
        <f>IF('Sites'!$D$6="NM crew",S233*SUM('NM Play'!$B$24:$B$25),0)</f>
        <v/>
      </c>
      <c r="AG233" s="160">
        <f>IF('Sites'!$D$6="NM crew",S233*'NM Play'!$B$27,0)</f>
        <v/>
      </c>
      <c r="AH233" s="160">
        <f>N233*'Sites'!$Z$6*'NM Play'!$B$32</f>
        <v/>
      </c>
      <c r="AI233" s="160">
        <f>SUM(Y233:Z233)*'Sites'!$R$6</f>
        <v/>
      </c>
      <c r="AJ233" s="160">
        <f>SUM(AA233:AH233)</f>
        <v/>
      </c>
      <c r="AK233" s="160">
        <f>AJ233+(T233-U233)*'NM Play'!$B$22+MIN(G233,N233*'NM Play'!$B$11)/'NM Play'!$B$13*'NM Play'!$B$21*'NM Play'!$B$22+MIN(H233,N233*'NM Play'!$B$12)/'NM Play'!$B$14*IF('Sites'!$C$6="Own sheets",'NM Play'!$B$21*'NM Play'!$B$22,'NM Play'!$B$28*'NM Play'!$B$14/'NM Play'!$B$12)</f>
        <v/>
      </c>
      <c r="AL233" s="160">
        <f>Y233*'Assumptions'!O66</f>
        <v/>
      </c>
      <c r="AM233" s="160">
        <f>IF('Sites'!$D$6="NM crew",S233*'NM Play'!$B$37*(1+IF(AND(ISNUMBER('NM Play'!$B$25),'NM Play'!$B$25&gt;0),1,0)),"")</f>
        <v/>
      </c>
      <c r="AN233" s="160">
        <f>IF(OR('Sites'!$E$6&lt;0,'Sites'!$E$6&gt;1,'Sites'!$F$6&lt;1,'Sites'!$G$6&lt;'Sites'!$F$6,F233&lt;0,MIN('Sites'!$I$6:'Sites'!$R$6)&lt;0,'Sites'!$L$6&gt;'Sites'!$I$6,'Sites'!$M$6&gt;'Sites'!$J$6,'Sites'!$N$6&gt;'Sites'!$K$6,'Sites'!$Z$6&lt;0,'Sites'!$Z$6&gt;1,MIN('Sites'!$AA$6:'Sites'!$AC$6)&lt;0,S233&gt;F233+0.001),1,0)</f>
        <v/>
      </c>
      <c r="AO233" s="160">
        <f>I233+U233-T233-X233</f>
        <v/>
      </c>
    </row>
    <row r="234" ht="28" customHeight="1">
      <c r="A234" s="4" t="inlineStr">
        <is>
          <t>No QBE</t>
        </is>
      </c>
      <c r="B234" s="4" t="inlineStr">
        <is>
          <t>WITTA</t>
        </is>
      </c>
      <c r="C234" s="160" t="n">
        <v>13</v>
      </c>
      <c r="D234" s="160">
        <f>ROUNDUP(C234/12,0)</f>
        <v/>
      </c>
      <c r="E234" s="160">
        <f>IF(AND('Sites'!$E$6=1,C234&gt;='Sites'!$F$6,C234&lt;='Sites'!$G$6),1,0)</f>
        <v/>
      </c>
      <c r="F234" s="160">
        <f>E234*'Assumptions'!P67</f>
        <v/>
      </c>
      <c r="G234" s="160">
        <f>V233</f>
        <v/>
      </c>
      <c r="H234" s="160">
        <f>W233</f>
        <v/>
      </c>
      <c r="I234" s="160">
        <f>X233</f>
        <v/>
      </c>
      <c r="J234" s="160">
        <f>MAX(0,'Sites'!$J$6-0)</f>
        <v/>
      </c>
      <c r="K234" s="160">
        <f>IF('Sites'!$C$6="Own sheets",MIN(ROUNDDOWN(G234/'NM Play'!$B$11,0)+F234*'NM Play'!$B$10/'NM Play'!$B$43,ROUNDDOWN(H234/'NM Play'!$B$12,0)+F234*'NM Play'!$B$10/'NM Play'!$B$44,(F234*'NM Play'!$B$10+ROUNDDOWN(G234/'NM Play'!$B$11,0)*'NM Play'!$B$43+ROUNDDOWN(H234/'NM Play'!$B$12,0)*'NM Play'!$B$44)/('NM Play'!$B$43+'NM Play'!$B$44)),ROUNDDOWN(G234/'NM Play'!$B$11,0)+F234*'NM Play'!$B$10/'NM Play'!$B$43)</f>
        <v/>
      </c>
      <c r="L234" s="160">
        <f>MIN(ROUNDDOWN(G234/'NM Play'!$B$11,0)+F234/('NM Play'!$B$43/'NM Play'!$B$15),ROUNDDOWN(H234/'NM Play'!$B$12,0)+F234/('NM Play'!$B$44/'NM Play'!$B$16),(F234+ROUNDDOWN(G234/'NM Play'!$B$11,0)*'NM Play'!$B$43/'NM Play'!$B$15+ROUNDDOWN(H234/'NM Play'!$B$12,0)*'NM Play'!$B$44/'NM Play'!$B$16)/('NM Play'!$B$43/'NM Play'!$B$15+'NM Play'!$B$44/'NM Play'!$B$16))</f>
        <v/>
      </c>
      <c r="M234" s="160">
        <f>F234*'NM Play'!$B$36</f>
        <v/>
      </c>
      <c r="N234" s="160">
        <f>ROUNDDOWN(MAX(0,MIN(J234,K234:M234)),0)</f>
        <v/>
      </c>
      <c r="O234" s="160">
        <f>ROUNDUP(MAX(0,N234*'NM Play'!$B$11-G234)/'NM Play'!$B$13,0)</f>
        <v/>
      </c>
      <c r="P234" s="160">
        <f>ROUNDUP(MAX(0,N234*'NM Play'!$B$12-H234)/'NM Play'!$B$14,0)</f>
        <v/>
      </c>
      <c r="Q234" s="160">
        <f>(O234+IF('Sites'!$C$6="Own sheets",P234,0))/'NM Play'!$B$10</f>
        <v/>
      </c>
      <c r="R234" s="160">
        <f>O234/'NM Play'!$B$15+P234/'NM Play'!$B$16</f>
        <v/>
      </c>
      <c r="S234" s="160">
        <f>MAX(Q234,R234,N234/'NM Play'!$B$36)</f>
        <v/>
      </c>
      <c r="T234" s="160">
        <f>Q234*'NM Play'!$B$10*'NM Play'!$B$21*(1+'NM Play'!$B$35)</f>
        <v/>
      </c>
      <c r="U234" s="160">
        <f>MAX(0,T234-I234)</f>
        <v/>
      </c>
      <c r="V234" s="160">
        <f>G234+O234*'NM Play'!$B$13-N234*'NM Play'!$B$11</f>
        <v/>
      </c>
      <c r="W234" s="160">
        <f>H234+P234*'NM Play'!$B$14-N234*'NM Play'!$B$12</f>
        <v/>
      </c>
      <c r="X234" s="160">
        <f>I234+U234-T234</f>
        <v/>
      </c>
      <c r="Y234" s="160">
        <f>MIN(N234,MAX(0,ROUNDDOWN('Sites'!$M$6*'Cases'!$E$8,0)-0))</f>
        <v/>
      </c>
      <c r="Z234" s="160">
        <f>N234-Y234</f>
        <v/>
      </c>
      <c r="AA234" s="160">
        <f>U234*'NM Play'!$B$22</f>
        <v/>
      </c>
      <c r="AB234" s="160">
        <f>N234*SUM('NM Play'!$B$29:$B$31)</f>
        <v/>
      </c>
      <c r="AC234" s="160">
        <f>IF('Sites'!$C$6="Defy legs",P234*'NM Play'!$B$14/'NM Play'!$B$12*'NM Play'!$B$28,0)</f>
        <v/>
      </c>
      <c r="AD234" s="160">
        <f>Q234*'NM Play'!$B$23</f>
        <v/>
      </c>
      <c r="AE234" s="160">
        <f>S234*SUM('NM Play'!$B$26,'NM Play'!$B$33:$B$34)</f>
        <v/>
      </c>
      <c r="AF234" s="160">
        <f>IF('Sites'!$D$6="NM crew",S234*SUM('NM Play'!$B$24:$B$25),0)</f>
        <v/>
      </c>
      <c r="AG234" s="160">
        <f>IF('Sites'!$D$6="NM crew",S234*'NM Play'!$B$27,0)</f>
        <v/>
      </c>
      <c r="AH234" s="160">
        <f>N234*'Sites'!$Z$6*'NM Play'!$B$32</f>
        <v/>
      </c>
      <c r="AI234" s="160">
        <f>SUM(Y234:Z234)*'Sites'!$R$6</f>
        <v/>
      </c>
      <c r="AJ234" s="160">
        <f>SUM(AA234:AH234)</f>
        <v/>
      </c>
      <c r="AK234" s="160">
        <f>AJ234+(T234-U234)*'NM Play'!$B$22+MIN(G234,N234*'NM Play'!$B$11)/'NM Play'!$B$13*'NM Play'!$B$21*'NM Play'!$B$22+MIN(H234,N234*'NM Play'!$B$12)/'NM Play'!$B$14*IF('Sites'!$C$6="Own sheets",'NM Play'!$B$21*'NM Play'!$B$22,'NM Play'!$B$28*'NM Play'!$B$14/'NM Play'!$B$12)</f>
        <v/>
      </c>
      <c r="AL234" s="160">
        <f>Y234*'Assumptions'!P66</f>
        <v/>
      </c>
      <c r="AM234" s="160">
        <f>IF('Sites'!$D$6="NM crew",S234*'NM Play'!$B$37*(1+IF(AND(ISNUMBER('NM Play'!$B$25),'NM Play'!$B$25&gt;0),1,0)),"")</f>
        <v/>
      </c>
      <c r="AN234" s="160">
        <f>IF(OR('Sites'!$E$6&lt;0,'Sites'!$E$6&gt;1,'Sites'!$F$6&lt;1,'Sites'!$G$6&lt;'Sites'!$F$6,F234&lt;0,MIN('Sites'!$I$6:'Sites'!$R$6)&lt;0,'Sites'!$L$6&gt;'Sites'!$I$6,'Sites'!$M$6&gt;'Sites'!$J$6,'Sites'!$N$6&gt;'Sites'!$K$6,'Sites'!$Z$6&lt;0,'Sites'!$Z$6&gt;1,MIN('Sites'!$AA$6:'Sites'!$AC$6)&lt;0,S234&gt;F234+0.001),1,0)</f>
        <v/>
      </c>
      <c r="AO234" s="160">
        <f>I234+U234-T234-X234</f>
        <v/>
      </c>
    </row>
    <row r="235" ht="28" customHeight="1">
      <c r="A235" s="4" t="inlineStr">
        <is>
          <t>No QBE</t>
        </is>
      </c>
      <c r="B235" s="4" t="inlineStr">
        <is>
          <t>WITTA</t>
        </is>
      </c>
      <c r="C235" s="160" t="n">
        <v>14</v>
      </c>
      <c r="D235" s="160">
        <f>ROUNDUP(C235/12,0)</f>
        <v/>
      </c>
      <c r="E235" s="160">
        <f>IF(AND('Sites'!$E$6=1,C235&gt;='Sites'!$F$6,C235&lt;='Sites'!$G$6),1,0)</f>
        <v/>
      </c>
      <c r="F235" s="160">
        <f>E235*'Assumptions'!Q67</f>
        <v/>
      </c>
      <c r="G235" s="160">
        <f>V234</f>
        <v/>
      </c>
      <c r="H235" s="160">
        <f>W234</f>
        <v/>
      </c>
      <c r="I235" s="160">
        <f>X234</f>
        <v/>
      </c>
      <c r="J235" s="160">
        <f>MAX(0,'Sites'!$J$6-SUM(N234:N234))</f>
        <v/>
      </c>
      <c r="K235" s="160">
        <f>IF('Sites'!$C$6="Own sheets",MIN(ROUNDDOWN(G235/'NM Play'!$B$11,0)+F235*'NM Play'!$B$10/'NM Play'!$B$43,ROUNDDOWN(H235/'NM Play'!$B$12,0)+F235*'NM Play'!$B$10/'NM Play'!$B$44,(F235*'NM Play'!$B$10+ROUNDDOWN(G235/'NM Play'!$B$11,0)*'NM Play'!$B$43+ROUNDDOWN(H235/'NM Play'!$B$12,0)*'NM Play'!$B$44)/('NM Play'!$B$43+'NM Play'!$B$44)),ROUNDDOWN(G235/'NM Play'!$B$11,0)+F235*'NM Play'!$B$10/'NM Play'!$B$43)</f>
        <v/>
      </c>
      <c r="L235" s="160">
        <f>MIN(ROUNDDOWN(G235/'NM Play'!$B$11,0)+F235/('NM Play'!$B$43/'NM Play'!$B$15),ROUNDDOWN(H235/'NM Play'!$B$12,0)+F235/('NM Play'!$B$44/'NM Play'!$B$16),(F235+ROUNDDOWN(G235/'NM Play'!$B$11,0)*'NM Play'!$B$43/'NM Play'!$B$15+ROUNDDOWN(H235/'NM Play'!$B$12,0)*'NM Play'!$B$44/'NM Play'!$B$16)/('NM Play'!$B$43/'NM Play'!$B$15+'NM Play'!$B$44/'NM Play'!$B$16))</f>
        <v/>
      </c>
      <c r="M235" s="160">
        <f>F235*'NM Play'!$B$36</f>
        <v/>
      </c>
      <c r="N235" s="160">
        <f>ROUNDDOWN(MAX(0,MIN(J235,K235:M235)),0)</f>
        <v/>
      </c>
      <c r="O235" s="160">
        <f>ROUNDUP(MAX(0,N235*'NM Play'!$B$11-G235)/'NM Play'!$B$13,0)</f>
        <v/>
      </c>
      <c r="P235" s="160">
        <f>ROUNDUP(MAX(0,N235*'NM Play'!$B$12-H235)/'NM Play'!$B$14,0)</f>
        <v/>
      </c>
      <c r="Q235" s="160">
        <f>(O235+IF('Sites'!$C$6="Own sheets",P235,0))/'NM Play'!$B$10</f>
        <v/>
      </c>
      <c r="R235" s="160">
        <f>O235/'NM Play'!$B$15+P235/'NM Play'!$B$16</f>
        <v/>
      </c>
      <c r="S235" s="160">
        <f>MAX(Q235,R235,N235/'NM Play'!$B$36)</f>
        <v/>
      </c>
      <c r="T235" s="160">
        <f>Q235*'NM Play'!$B$10*'NM Play'!$B$21*(1+'NM Play'!$B$35)</f>
        <v/>
      </c>
      <c r="U235" s="160">
        <f>MAX(0,T235-I235)</f>
        <v/>
      </c>
      <c r="V235" s="160">
        <f>G235+O235*'NM Play'!$B$13-N235*'NM Play'!$B$11</f>
        <v/>
      </c>
      <c r="W235" s="160">
        <f>H235+P235*'NM Play'!$B$14-N235*'NM Play'!$B$12</f>
        <v/>
      </c>
      <c r="X235" s="160">
        <f>I235+U235-T235</f>
        <v/>
      </c>
      <c r="Y235" s="160">
        <f>MIN(N235,MAX(0,ROUNDDOWN('Sites'!$M$6*'Cases'!$E$8,0)-SUM(Y234:Y234)))</f>
        <v/>
      </c>
      <c r="Z235" s="160">
        <f>N235-Y235</f>
        <v/>
      </c>
      <c r="AA235" s="160">
        <f>U235*'NM Play'!$B$22</f>
        <v/>
      </c>
      <c r="AB235" s="160">
        <f>N235*SUM('NM Play'!$B$29:$B$31)</f>
        <v/>
      </c>
      <c r="AC235" s="160">
        <f>IF('Sites'!$C$6="Defy legs",P235*'NM Play'!$B$14/'NM Play'!$B$12*'NM Play'!$B$28,0)</f>
        <v/>
      </c>
      <c r="AD235" s="160">
        <f>Q235*'NM Play'!$B$23</f>
        <v/>
      </c>
      <c r="AE235" s="160">
        <f>S235*SUM('NM Play'!$B$26,'NM Play'!$B$33:$B$34)</f>
        <v/>
      </c>
      <c r="AF235" s="160">
        <f>IF('Sites'!$D$6="NM crew",S235*SUM('NM Play'!$B$24:$B$25),0)</f>
        <v/>
      </c>
      <c r="AG235" s="160">
        <f>IF('Sites'!$D$6="NM crew",S235*'NM Play'!$B$27,0)</f>
        <v/>
      </c>
      <c r="AH235" s="160">
        <f>N235*'Sites'!$Z$6*'NM Play'!$B$32</f>
        <v/>
      </c>
      <c r="AI235" s="160">
        <f>SUM(Y235:Z235)*'Sites'!$R$6</f>
        <v/>
      </c>
      <c r="AJ235" s="160">
        <f>SUM(AA235:AH235)</f>
        <v/>
      </c>
      <c r="AK235" s="160">
        <f>AJ235+(T235-U235)*'NM Play'!$B$22+MIN(G235,N235*'NM Play'!$B$11)/'NM Play'!$B$13*'NM Play'!$B$21*'NM Play'!$B$22+MIN(H235,N235*'NM Play'!$B$12)/'NM Play'!$B$14*IF('Sites'!$C$6="Own sheets",'NM Play'!$B$21*'NM Play'!$B$22,'NM Play'!$B$28*'NM Play'!$B$14/'NM Play'!$B$12)</f>
        <v/>
      </c>
      <c r="AL235" s="160">
        <f>Y235*'Assumptions'!Q66</f>
        <v/>
      </c>
      <c r="AM235" s="160">
        <f>IF('Sites'!$D$6="NM crew",S235*'NM Play'!$B$37*(1+IF(AND(ISNUMBER('NM Play'!$B$25),'NM Play'!$B$25&gt;0),1,0)),"")</f>
        <v/>
      </c>
      <c r="AN235" s="160">
        <f>IF(OR('Sites'!$E$6&lt;0,'Sites'!$E$6&gt;1,'Sites'!$F$6&lt;1,'Sites'!$G$6&lt;'Sites'!$F$6,F235&lt;0,MIN('Sites'!$I$6:'Sites'!$R$6)&lt;0,'Sites'!$L$6&gt;'Sites'!$I$6,'Sites'!$M$6&gt;'Sites'!$J$6,'Sites'!$N$6&gt;'Sites'!$K$6,'Sites'!$Z$6&lt;0,'Sites'!$Z$6&gt;1,MIN('Sites'!$AA$6:'Sites'!$AC$6)&lt;0,S235&gt;F235+0.001),1,0)</f>
        <v/>
      </c>
      <c r="AO235" s="160">
        <f>I235+U235-T235-X235</f>
        <v/>
      </c>
    </row>
    <row r="236" ht="28" customHeight="1">
      <c r="A236" s="4" t="inlineStr">
        <is>
          <t>No QBE</t>
        </is>
      </c>
      <c r="B236" s="4" t="inlineStr">
        <is>
          <t>WITTA</t>
        </is>
      </c>
      <c r="C236" s="160" t="n">
        <v>15</v>
      </c>
      <c r="D236" s="160">
        <f>ROUNDUP(C236/12,0)</f>
        <v/>
      </c>
      <c r="E236" s="160">
        <f>IF(AND('Sites'!$E$6=1,C236&gt;='Sites'!$F$6,C236&lt;='Sites'!$G$6),1,0)</f>
        <v/>
      </c>
      <c r="F236" s="160">
        <f>E236*'Assumptions'!R67</f>
        <v/>
      </c>
      <c r="G236" s="160">
        <f>V235</f>
        <v/>
      </c>
      <c r="H236" s="160">
        <f>W235</f>
        <v/>
      </c>
      <c r="I236" s="160">
        <f>X235</f>
        <v/>
      </c>
      <c r="J236" s="160">
        <f>MAX(0,'Sites'!$J$6-SUM(N234:N235))</f>
        <v/>
      </c>
      <c r="K236" s="160">
        <f>IF('Sites'!$C$6="Own sheets",MIN(ROUNDDOWN(G236/'NM Play'!$B$11,0)+F236*'NM Play'!$B$10/'NM Play'!$B$43,ROUNDDOWN(H236/'NM Play'!$B$12,0)+F236*'NM Play'!$B$10/'NM Play'!$B$44,(F236*'NM Play'!$B$10+ROUNDDOWN(G236/'NM Play'!$B$11,0)*'NM Play'!$B$43+ROUNDDOWN(H236/'NM Play'!$B$12,0)*'NM Play'!$B$44)/('NM Play'!$B$43+'NM Play'!$B$44)),ROUNDDOWN(G236/'NM Play'!$B$11,0)+F236*'NM Play'!$B$10/'NM Play'!$B$43)</f>
        <v/>
      </c>
      <c r="L236" s="160">
        <f>MIN(ROUNDDOWN(G236/'NM Play'!$B$11,0)+F236/('NM Play'!$B$43/'NM Play'!$B$15),ROUNDDOWN(H236/'NM Play'!$B$12,0)+F236/('NM Play'!$B$44/'NM Play'!$B$16),(F236+ROUNDDOWN(G236/'NM Play'!$B$11,0)*'NM Play'!$B$43/'NM Play'!$B$15+ROUNDDOWN(H236/'NM Play'!$B$12,0)*'NM Play'!$B$44/'NM Play'!$B$16)/('NM Play'!$B$43/'NM Play'!$B$15+'NM Play'!$B$44/'NM Play'!$B$16))</f>
        <v/>
      </c>
      <c r="M236" s="160">
        <f>F236*'NM Play'!$B$36</f>
        <v/>
      </c>
      <c r="N236" s="160">
        <f>ROUNDDOWN(MAX(0,MIN(J236,K236:M236)),0)</f>
        <v/>
      </c>
      <c r="O236" s="160">
        <f>ROUNDUP(MAX(0,N236*'NM Play'!$B$11-G236)/'NM Play'!$B$13,0)</f>
        <v/>
      </c>
      <c r="P236" s="160">
        <f>ROUNDUP(MAX(0,N236*'NM Play'!$B$12-H236)/'NM Play'!$B$14,0)</f>
        <v/>
      </c>
      <c r="Q236" s="160">
        <f>(O236+IF('Sites'!$C$6="Own sheets",P236,0))/'NM Play'!$B$10</f>
        <v/>
      </c>
      <c r="R236" s="160">
        <f>O236/'NM Play'!$B$15+P236/'NM Play'!$B$16</f>
        <v/>
      </c>
      <c r="S236" s="160">
        <f>MAX(Q236,R236,N236/'NM Play'!$B$36)</f>
        <v/>
      </c>
      <c r="T236" s="160">
        <f>Q236*'NM Play'!$B$10*'NM Play'!$B$21*(1+'NM Play'!$B$35)</f>
        <v/>
      </c>
      <c r="U236" s="160">
        <f>MAX(0,T236-I236)</f>
        <v/>
      </c>
      <c r="V236" s="160">
        <f>G236+O236*'NM Play'!$B$13-N236*'NM Play'!$B$11</f>
        <v/>
      </c>
      <c r="W236" s="160">
        <f>H236+P236*'NM Play'!$B$14-N236*'NM Play'!$B$12</f>
        <v/>
      </c>
      <c r="X236" s="160">
        <f>I236+U236-T236</f>
        <v/>
      </c>
      <c r="Y236" s="160">
        <f>MIN(N236,MAX(0,ROUNDDOWN('Sites'!$M$6*'Cases'!$E$8,0)-SUM(Y234:Y235)))</f>
        <v/>
      </c>
      <c r="Z236" s="160">
        <f>N236-Y236</f>
        <v/>
      </c>
      <c r="AA236" s="160">
        <f>U236*'NM Play'!$B$22</f>
        <v/>
      </c>
      <c r="AB236" s="160">
        <f>N236*SUM('NM Play'!$B$29:$B$31)</f>
        <v/>
      </c>
      <c r="AC236" s="160">
        <f>IF('Sites'!$C$6="Defy legs",P236*'NM Play'!$B$14/'NM Play'!$B$12*'NM Play'!$B$28,0)</f>
        <v/>
      </c>
      <c r="AD236" s="160">
        <f>Q236*'NM Play'!$B$23</f>
        <v/>
      </c>
      <c r="AE236" s="160">
        <f>S236*SUM('NM Play'!$B$26,'NM Play'!$B$33:$B$34)</f>
        <v/>
      </c>
      <c r="AF236" s="160">
        <f>IF('Sites'!$D$6="NM crew",S236*SUM('NM Play'!$B$24:$B$25),0)</f>
        <v/>
      </c>
      <c r="AG236" s="160">
        <f>IF('Sites'!$D$6="NM crew",S236*'NM Play'!$B$27,0)</f>
        <v/>
      </c>
      <c r="AH236" s="160">
        <f>N236*'Sites'!$Z$6*'NM Play'!$B$32</f>
        <v/>
      </c>
      <c r="AI236" s="160">
        <f>SUM(Y236:Z236)*'Sites'!$R$6</f>
        <v/>
      </c>
      <c r="AJ236" s="160">
        <f>SUM(AA236:AH236)</f>
        <v/>
      </c>
      <c r="AK236" s="160">
        <f>AJ236+(T236-U236)*'NM Play'!$B$22+MIN(G236,N236*'NM Play'!$B$11)/'NM Play'!$B$13*'NM Play'!$B$21*'NM Play'!$B$22+MIN(H236,N236*'NM Play'!$B$12)/'NM Play'!$B$14*IF('Sites'!$C$6="Own sheets",'NM Play'!$B$21*'NM Play'!$B$22,'NM Play'!$B$28*'NM Play'!$B$14/'NM Play'!$B$12)</f>
        <v/>
      </c>
      <c r="AL236" s="160">
        <f>Y236*'Assumptions'!R66</f>
        <v/>
      </c>
      <c r="AM236" s="160">
        <f>IF('Sites'!$D$6="NM crew",S236*'NM Play'!$B$37*(1+IF(AND(ISNUMBER('NM Play'!$B$25),'NM Play'!$B$25&gt;0),1,0)),"")</f>
        <v/>
      </c>
      <c r="AN236" s="160">
        <f>IF(OR('Sites'!$E$6&lt;0,'Sites'!$E$6&gt;1,'Sites'!$F$6&lt;1,'Sites'!$G$6&lt;'Sites'!$F$6,F236&lt;0,MIN('Sites'!$I$6:'Sites'!$R$6)&lt;0,'Sites'!$L$6&gt;'Sites'!$I$6,'Sites'!$M$6&gt;'Sites'!$J$6,'Sites'!$N$6&gt;'Sites'!$K$6,'Sites'!$Z$6&lt;0,'Sites'!$Z$6&gt;1,MIN('Sites'!$AA$6:'Sites'!$AC$6)&lt;0,S236&gt;F236+0.001),1,0)</f>
        <v/>
      </c>
      <c r="AO236" s="160">
        <f>I236+U236-T236-X236</f>
        <v/>
      </c>
    </row>
    <row r="237" ht="28" customHeight="1">
      <c r="A237" s="4" t="inlineStr">
        <is>
          <t>No QBE</t>
        </is>
      </c>
      <c r="B237" s="4" t="inlineStr">
        <is>
          <t>WITTA</t>
        </is>
      </c>
      <c r="C237" s="160" t="n">
        <v>16</v>
      </c>
      <c r="D237" s="160">
        <f>ROUNDUP(C237/12,0)</f>
        <v/>
      </c>
      <c r="E237" s="160">
        <f>IF(AND('Sites'!$E$6=1,C237&gt;='Sites'!$F$6,C237&lt;='Sites'!$G$6),1,0)</f>
        <v/>
      </c>
      <c r="F237" s="160">
        <f>E237*'Assumptions'!S67</f>
        <v/>
      </c>
      <c r="G237" s="160">
        <f>V236</f>
        <v/>
      </c>
      <c r="H237" s="160">
        <f>W236</f>
        <v/>
      </c>
      <c r="I237" s="160">
        <f>X236</f>
        <v/>
      </c>
      <c r="J237" s="160">
        <f>MAX(0,'Sites'!$J$6-SUM(N234:N236))</f>
        <v/>
      </c>
      <c r="K237" s="160">
        <f>IF('Sites'!$C$6="Own sheets",MIN(ROUNDDOWN(G237/'NM Play'!$B$11,0)+F237*'NM Play'!$B$10/'NM Play'!$B$43,ROUNDDOWN(H237/'NM Play'!$B$12,0)+F237*'NM Play'!$B$10/'NM Play'!$B$44,(F237*'NM Play'!$B$10+ROUNDDOWN(G237/'NM Play'!$B$11,0)*'NM Play'!$B$43+ROUNDDOWN(H237/'NM Play'!$B$12,0)*'NM Play'!$B$44)/('NM Play'!$B$43+'NM Play'!$B$44)),ROUNDDOWN(G237/'NM Play'!$B$11,0)+F237*'NM Play'!$B$10/'NM Play'!$B$43)</f>
        <v/>
      </c>
      <c r="L237" s="160">
        <f>MIN(ROUNDDOWN(G237/'NM Play'!$B$11,0)+F237/('NM Play'!$B$43/'NM Play'!$B$15),ROUNDDOWN(H237/'NM Play'!$B$12,0)+F237/('NM Play'!$B$44/'NM Play'!$B$16),(F237+ROUNDDOWN(G237/'NM Play'!$B$11,0)*'NM Play'!$B$43/'NM Play'!$B$15+ROUNDDOWN(H237/'NM Play'!$B$12,0)*'NM Play'!$B$44/'NM Play'!$B$16)/('NM Play'!$B$43/'NM Play'!$B$15+'NM Play'!$B$44/'NM Play'!$B$16))</f>
        <v/>
      </c>
      <c r="M237" s="160">
        <f>F237*'NM Play'!$B$36</f>
        <v/>
      </c>
      <c r="N237" s="160">
        <f>ROUNDDOWN(MAX(0,MIN(J237,K237:M237)),0)</f>
        <v/>
      </c>
      <c r="O237" s="160">
        <f>ROUNDUP(MAX(0,N237*'NM Play'!$B$11-G237)/'NM Play'!$B$13,0)</f>
        <v/>
      </c>
      <c r="P237" s="160">
        <f>ROUNDUP(MAX(0,N237*'NM Play'!$B$12-H237)/'NM Play'!$B$14,0)</f>
        <v/>
      </c>
      <c r="Q237" s="160">
        <f>(O237+IF('Sites'!$C$6="Own sheets",P237,0))/'NM Play'!$B$10</f>
        <v/>
      </c>
      <c r="R237" s="160">
        <f>O237/'NM Play'!$B$15+P237/'NM Play'!$B$16</f>
        <v/>
      </c>
      <c r="S237" s="160">
        <f>MAX(Q237,R237,N237/'NM Play'!$B$36)</f>
        <v/>
      </c>
      <c r="T237" s="160">
        <f>Q237*'NM Play'!$B$10*'NM Play'!$B$21*(1+'NM Play'!$B$35)</f>
        <v/>
      </c>
      <c r="U237" s="160">
        <f>MAX(0,T237-I237)</f>
        <v/>
      </c>
      <c r="V237" s="160">
        <f>G237+O237*'NM Play'!$B$13-N237*'NM Play'!$B$11</f>
        <v/>
      </c>
      <c r="W237" s="160">
        <f>H237+P237*'NM Play'!$B$14-N237*'NM Play'!$B$12</f>
        <v/>
      </c>
      <c r="X237" s="160">
        <f>I237+U237-T237</f>
        <v/>
      </c>
      <c r="Y237" s="160">
        <f>MIN(N237,MAX(0,ROUNDDOWN('Sites'!$M$6*'Cases'!$E$8,0)-SUM(Y234:Y236)))</f>
        <v/>
      </c>
      <c r="Z237" s="160">
        <f>N237-Y237</f>
        <v/>
      </c>
      <c r="AA237" s="160">
        <f>U237*'NM Play'!$B$22</f>
        <v/>
      </c>
      <c r="AB237" s="160">
        <f>N237*SUM('NM Play'!$B$29:$B$31)</f>
        <v/>
      </c>
      <c r="AC237" s="160">
        <f>IF('Sites'!$C$6="Defy legs",P237*'NM Play'!$B$14/'NM Play'!$B$12*'NM Play'!$B$28,0)</f>
        <v/>
      </c>
      <c r="AD237" s="160">
        <f>Q237*'NM Play'!$B$23</f>
        <v/>
      </c>
      <c r="AE237" s="160">
        <f>S237*SUM('NM Play'!$B$26,'NM Play'!$B$33:$B$34)</f>
        <v/>
      </c>
      <c r="AF237" s="160">
        <f>IF('Sites'!$D$6="NM crew",S237*SUM('NM Play'!$B$24:$B$25),0)</f>
        <v/>
      </c>
      <c r="AG237" s="160">
        <f>IF('Sites'!$D$6="NM crew",S237*'NM Play'!$B$27,0)</f>
        <v/>
      </c>
      <c r="AH237" s="160">
        <f>N237*'Sites'!$Z$6*'NM Play'!$B$32</f>
        <v/>
      </c>
      <c r="AI237" s="160">
        <f>SUM(Y237:Z237)*'Sites'!$R$6</f>
        <v/>
      </c>
      <c r="AJ237" s="160">
        <f>SUM(AA237:AH237)</f>
        <v/>
      </c>
      <c r="AK237" s="160">
        <f>AJ237+(T237-U237)*'NM Play'!$B$22+MIN(G237,N237*'NM Play'!$B$11)/'NM Play'!$B$13*'NM Play'!$B$21*'NM Play'!$B$22+MIN(H237,N237*'NM Play'!$B$12)/'NM Play'!$B$14*IF('Sites'!$C$6="Own sheets",'NM Play'!$B$21*'NM Play'!$B$22,'NM Play'!$B$28*'NM Play'!$B$14/'NM Play'!$B$12)</f>
        <v/>
      </c>
      <c r="AL237" s="160">
        <f>Y237*'Assumptions'!S66</f>
        <v/>
      </c>
      <c r="AM237" s="160">
        <f>IF('Sites'!$D$6="NM crew",S237*'NM Play'!$B$37*(1+IF(AND(ISNUMBER('NM Play'!$B$25),'NM Play'!$B$25&gt;0),1,0)),"")</f>
        <v/>
      </c>
      <c r="AN237" s="160">
        <f>IF(OR('Sites'!$E$6&lt;0,'Sites'!$E$6&gt;1,'Sites'!$F$6&lt;1,'Sites'!$G$6&lt;'Sites'!$F$6,F237&lt;0,MIN('Sites'!$I$6:'Sites'!$R$6)&lt;0,'Sites'!$L$6&gt;'Sites'!$I$6,'Sites'!$M$6&gt;'Sites'!$J$6,'Sites'!$N$6&gt;'Sites'!$K$6,'Sites'!$Z$6&lt;0,'Sites'!$Z$6&gt;1,MIN('Sites'!$AA$6:'Sites'!$AC$6)&lt;0,S237&gt;F237+0.001),1,0)</f>
        <v/>
      </c>
      <c r="AO237" s="160">
        <f>I237+U237-T237-X237</f>
        <v/>
      </c>
    </row>
    <row r="238" ht="28" customHeight="1">
      <c r="A238" s="4" t="inlineStr">
        <is>
          <t>No QBE</t>
        </is>
      </c>
      <c r="B238" s="4" t="inlineStr">
        <is>
          <t>WITTA</t>
        </is>
      </c>
      <c r="C238" s="160" t="n">
        <v>17</v>
      </c>
      <c r="D238" s="160">
        <f>ROUNDUP(C238/12,0)</f>
        <v/>
      </c>
      <c r="E238" s="160">
        <f>IF(AND('Sites'!$E$6=1,C238&gt;='Sites'!$F$6,C238&lt;='Sites'!$G$6),1,0)</f>
        <v/>
      </c>
      <c r="F238" s="160">
        <f>E238*'Assumptions'!T67</f>
        <v/>
      </c>
      <c r="G238" s="160">
        <f>V237</f>
        <v/>
      </c>
      <c r="H238" s="160">
        <f>W237</f>
        <v/>
      </c>
      <c r="I238" s="160">
        <f>X237</f>
        <v/>
      </c>
      <c r="J238" s="160">
        <f>MAX(0,'Sites'!$J$6-SUM(N234:N237))</f>
        <v/>
      </c>
      <c r="K238" s="160">
        <f>IF('Sites'!$C$6="Own sheets",MIN(ROUNDDOWN(G238/'NM Play'!$B$11,0)+F238*'NM Play'!$B$10/'NM Play'!$B$43,ROUNDDOWN(H238/'NM Play'!$B$12,0)+F238*'NM Play'!$B$10/'NM Play'!$B$44,(F238*'NM Play'!$B$10+ROUNDDOWN(G238/'NM Play'!$B$11,0)*'NM Play'!$B$43+ROUNDDOWN(H238/'NM Play'!$B$12,0)*'NM Play'!$B$44)/('NM Play'!$B$43+'NM Play'!$B$44)),ROUNDDOWN(G238/'NM Play'!$B$11,0)+F238*'NM Play'!$B$10/'NM Play'!$B$43)</f>
        <v/>
      </c>
      <c r="L238" s="160">
        <f>MIN(ROUNDDOWN(G238/'NM Play'!$B$11,0)+F238/('NM Play'!$B$43/'NM Play'!$B$15),ROUNDDOWN(H238/'NM Play'!$B$12,0)+F238/('NM Play'!$B$44/'NM Play'!$B$16),(F238+ROUNDDOWN(G238/'NM Play'!$B$11,0)*'NM Play'!$B$43/'NM Play'!$B$15+ROUNDDOWN(H238/'NM Play'!$B$12,0)*'NM Play'!$B$44/'NM Play'!$B$16)/('NM Play'!$B$43/'NM Play'!$B$15+'NM Play'!$B$44/'NM Play'!$B$16))</f>
        <v/>
      </c>
      <c r="M238" s="160">
        <f>F238*'NM Play'!$B$36</f>
        <v/>
      </c>
      <c r="N238" s="160">
        <f>ROUNDDOWN(MAX(0,MIN(J238,K238:M238)),0)</f>
        <v/>
      </c>
      <c r="O238" s="160">
        <f>ROUNDUP(MAX(0,N238*'NM Play'!$B$11-G238)/'NM Play'!$B$13,0)</f>
        <v/>
      </c>
      <c r="P238" s="160">
        <f>ROUNDUP(MAX(0,N238*'NM Play'!$B$12-H238)/'NM Play'!$B$14,0)</f>
        <v/>
      </c>
      <c r="Q238" s="160">
        <f>(O238+IF('Sites'!$C$6="Own sheets",P238,0))/'NM Play'!$B$10</f>
        <v/>
      </c>
      <c r="R238" s="160">
        <f>O238/'NM Play'!$B$15+P238/'NM Play'!$B$16</f>
        <v/>
      </c>
      <c r="S238" s="160">
        <f>MAX(Q238,R238,N238/'NM Play'!$B$36)</f>
        <v/>
      </c>
      <c r="T238" s="160">
        <f>Q238*'NM Play'!$B$10*'NM Play'!$B$21*(1+'NM Play'!$B$35)</f>
        <v/>
      </c>
      <c r="U238" s="160">
        <f>MAX(0,T238-I238)</f>
        <v/>
      </c>
      <c r="V238" s="160">
        <f>G238+O238*'NM Play'!$B$13-N238*'NM Play'!$B$11</f>
        <v/>
      </c>
      <c r="W238" s="160">
        <f>H238+P238*'NM Play'!$B$14-N238*'NM Play'!$B$12</f>
        <v/>
      </c>
      <c r="X238" s="160">
        <f>I238+U238-T238</f>
        <v/>
      </c>
      <c r="Y238" s="160">
        <f>MIN(N238,MAX(0,ROUNDDOWN('Sites'!$M$6*'Cases'!$E$8,0)-SUM(Y234:Y237)))</f>
        <v/>
      </c>
      <c r="Z238" s="160">
        <f>N238-Y238</f>
        <v/>
      </c>
      <c r="AA238" s="160">
        <f>U238*'NM Play'!$B$22</f>
        <v/>
      </c>
      <c r="AB238" s="160">
        <f>N238*SUM('NM Play'!$B$29:$B$31)</f>
        <v/>
      </c>
      <c r="AC238" s="160">
        <f>IF('Sites'!$C$6="Defy legs",P238*'NM Play'!$B$14/'NM Play'!$B$12*'NM Play'!$B$28,0)</f>
        <v/>
      </c>
      <c r="AD238" s="160">
        <f>Q238*'NM Play'!$B$23</f>
        <v/>
      </c>
      <c r="AE238" s="160">
        <f>S238*SUM('NM Play'!$B$26,'NM Play'!$B$33:$B$34)</f>
        <v/>
      </c>
      <c r="AF238" s="160">
        <f>IF('Sites'!$D$6="NM crew",S238*SUM('NM Play'!$B$24:$B$25),0)</f>
        <v/>
      </c>
      <c r="AG238" s="160">
        <f>IF('Sites'!$D$6="NM crew",S238*'NM Play'!$B$27,0)</f>
        <v/>
      </c>
      <c r="AH238" s="160">
        <f>N238*'Sites'!$Z$6*'NM Play'!$B$32</f>
        <v/>
      </c>
      <c r="AI238" s="160">
        <f>SUM(Y238:Z238)*'Sites'!$R$6</f>
        <v/>
      </c>
      <c r="AJ238" s="160">
        <f>SUM(AA238:AH238)</f>
        <v/>
      </c>
      <c r="AK238" s="160">
        <f>AJ238+(T238-U238)*'NM Play'!$B$22+MIN(G238,N238*'NM Play'!$B$11)/'NM Play'!$B$13*'NM Play'!$B$21*'NM Play'!$B$22+MIN(H238,N238*'NM Play'!$B$12)/'NM Play'!$B$14*IF('Sites'!$C$6="Own sheets",'NM Play'!$B$21*'NM Play'!$B$22,'NM Play'!$B$28*'NM Play'!$B$14/'NM Play'!$B$12)</f>
        <v/>
      </c>
      <c r="AL238" s="160">
        <f>Y238*'Assumptions'!T66</f>
        <v/>
      </c>
      <c r="AM238" s="160">
        <f>IF('Sites'!$D$6="NM crew",S238*'NM Play'!$B$37*(1+IF(AND(ISNUMBER('NM Play'!$B$25),'NM Play'!$B$25&gt;0),1,0)),"")</f>
        <v/>
      </c>
      <c r="AN238" s="160">
        <f>IF(OR('Sites'!$E$6&lt;0,'Sites'!$E$6&gt;1,'Sites'!$F$6&lt;1,'Sites'!$G$6&lt;'Sites'!$F$6,F238&lt;0,MIN('Sites'!$I$6:'Sites'!$R$6)&lt;0,'Sites'!$L$6&gt;'Sites'!$I$6,'Sites'!$M$6&gt;'Sites'!$J$6,'Sites'!$N$6&gt;'Sites'!$K$6,'Sites'!$Z$6&lt;0,'Sites'!$Z$6&gt;1,MIN('Sites'!$AA$6:'Sites'!$AC$6)&lt;0,S238&gt;F238+0.001),1,0)</f>
        <v/>
      </c>
      <c r="AO238" s="160">
        <f>I238+U238-T238-X238</f>
        <v/>
      </c>
    </row>
    <row r="239" ht="28" customHeight="1">
      <c r="A239" s="4" t="inlineStr">
        <is>
          <t>No QBE</t>
        </is>
      </c>
      <c r="B239" s="4" t="inlineStr">
        <is>
          <t>WITTA</t>
        </is>
      </c>
      <c r="C239" s="160" t="n">
        <v>18</v>
      </c>
      <c r="D239" s="160">
        <f>ROUNDUP(C239/12,0)</f>
        <v/>
      </c>
      <c r="E239" s="160">
        <f>IF(AND('Sites'!$E$6=1,C239&gt;='Sites'!$F$6,C239&lt;='Sites'!$G$6),1,0)</f>
        <v/>
      </c>
      <c r="F239" s="160">
        <f>E239*'Assumptions'!U67</f>
        <v/>
      </c>
      <c r="G239" s="160">
        <f>V238</f>
        <v/>
      </c>
      <c r="H239" s="160">
        <f>W238</f>
        <v/>
      </c>
      <c r="I239" s="160">
        <f>X238</f>
        <v/>
      </c>
      <c r="J239" s="160">
        <f>MAX(0,'Sites'!$J$6-SUM(N234:N238))</f>
        <v/>
      </c>
      <c r="K239" s="160">
        <f>IF('Sites'!$C$6="Own sheets",MIN(ROUNDDOWN(G239/'NM Play'!$B$11,0)+F239*'NM Play'!$B$10/'NM Play'!$B$43,ROUNDDOWN(H239/'NM Play'!$B$12,0)+F239*'NM Play'!$B$10/'NM Play'!$B$44,(F239*'NM Play'!$B$10+ROUNDDOWN(G239/'NM Play'!$B$11,0)*'NM Play'!$B$43+ROUNDDOWN(H239/'NM Play'!$B$12,0)*'NM Play'!$B$44)/('NM Play'!$B$43+'NM Play'!$B$44)),ROUNDDOWN(G239/'NM Play'!$B$11,0)+F239*'NM Play'!$B$10/'NM Play'!$B$43)</f>
        <v/>
      </c>
      <c r="L239" s="160">
        <f>MIN(ROUNDDOWN(G239/'NM Play'!$B$11,0)+F239/('NM Play'!$B$43/'NM Play'!$B$15),ROUNDDOWN(H239/'NM Play'!$B$12,0)+F239/('NM Play'!$B$44/'NM Play'!$B$16),(F239+ROUNDDOWN(G239/'NM Play'!$B$11,0)*'NM Play'!$B$43/'NM Play'!$B$15+ROUNDDOWN(H239/'NM Play'!$B$12,0)*'NM Play'!$B$44/'NM Play'!$B$16)/('NM Play'!$B$43/'NM Play'!$B$15+'NM Play'!$B$44/'NM Play'!$B$16))</f>
        <v/>
      </c>
      <c r="M239" s="160">
        <f>F239*'NM Play'!$B$36</f>
        <v/>
      </c>
      <c r="N239" s="160">
        <f>ROUNDDOWN(MAX(0,MIN(J239,K239:M239)),0)</f>
        <v/>
      </c>
      <c r="O239" s="160">
        <f>ROUNDUP(MAX(0,N239*'NM Play'!$B$11-G239)/'NM Play'!$B$13,0)</f>
        <v/>
      </c>
      <c r="P239" s="160">
        <f>ROUNDUP(MAX(0,N239*'NM Play'!$B$12-H239)/'NM Play'!$B$14,0)</f>
        <v/>
      </c>
      <c r="Q239" s="160">
        <f>(O239+IF('Sites'!$C$6="Own sheets",P239,0))/'NM Play'!$B$10</f>
        <v/>
      </c>
      <c r="R239" s="160">
        <f>O239/'NM Play'!$B$15+P239/'NM Play'!$B$16</f>
        <v/>
      </c>
      <c r="S239" s="160">
        <f>MAX(Q239,R239,N239/'NM Play'!$B$36)</f>
        <v/>
      </c>
      <c r="T239" s="160">
        <f>Q239*'NM Play'!$B$10*'NM Play'!$B$21*(1+'NM Play'!$B$35)</f>
        <v/>
      </c>
      <c r="U239" s="160">
        <f>MAX(0,T239-I239)</f>
        <v/>
      </c>
      <c r="V239" s="160">
        <f>G239+O239*'NM Play'!$B$13-N239*'NM Play'!$B$11</f>
        <v/>
      </c>
      <c r="W239" s="160">
        <f>H239+P239*'NM Play'!$B$14-N239*'NM Play'!$B$12</f>
        <v/>
      </c>
      <c r="X239" s="160">
        <f>I239+U239-T239</f>
        <v/>
      </c>
      <c r="Y239" s="160">
        <f>MIN(N239,MAX(0,ROUNDDOWN('Sites'!$M$6*'Cases'!$E$8,0)-SUM(Y234:Y238)))</f>
        <v/>
      </c>
      <c r="Z239" s="160">
        <f>N239-Y239</f>
        <v/>
      </c>
      <c r="AA239" s="160">
        <f>U239*'NM Play'!$B$22</f>
        <v/>
      </c>
      <c r="AB239" s="160">
        <f>N239*SUM('NM Play'!$B$29:$B$31)</f>
        <v/>
      </c>
      <c r="AC239" s="160">
        <f>IF('Sites'!$C$6="Defy legs",P239*'NM Play'!$B$14/'NM Play'!$B$12*'NM Play'!$B$28,0)</f>
        <v/>
      </c>
      <c r="AD239" s="160">
        <f>Q239*'NM Play'!$B$23</f>
        <v/>
      </c>
      <c r="AE239" s="160">
        <f>S239*SUM('NM Play'!$B$26,'NM Play'!$B$33:$B$34)</f>
        <v/>
      </c>
      <c r="AF239" s="160">
        <f>IF('Sites'!$D$6="NM crew",S239*SUM('NM Play'!$B$24:$B$25),0)</f>
        <v/>
      </c>
      <c r="AG239" s="160">
        <f>IF('Sites'!$D$6="NM crew",S239*'NM Play'!$B$27,0)</f>
        <v/>
      </c>
      <c r="AH239" s="160">
        <f>N239*'Sites'!$Z$6*'NM Play'!$B$32</f>
        <v/>
      </c>
      <c r="AI239" s="160">
        <f>SUM(Y239:Z239)*'Sites'!$R$6</f>
        <v/>
      </c>
      <c r="AJ239" s="160">
        <f>SUM(AA239:AH239)</f>
        <v/>
      </c>
      <c r="AK239" s="160">
        <f>AJ239+(T239-U239)*'NM Play'!$B$22+MIN(G239,N239*'NM Play'!$B$11)/'NM Play'!$B$13*'NM Play'!$B$21*'NM Play'!$B$22+MIN(H239,N239*'NM Play'!$B$12)/'NM Play'!$B$14*IF('Sites'!$C$6="Own sheets",'NM Play'!$B$21*'NM Play'!$B$22,'NM Play'!$B$28*'NM Play'!$B$14/'NM Play'!$B$12)</f>
        <v/>
      </c>
      <c r="AL239" s="160">
        <f>Y239*'Assumptions'!U66</f>
        <v/>
      </c>
      <c r="AM239" s="160">
        <f>IF('Sites'!$D$6="NM crew",S239*'NM Play'!$B$37*(1+IF(AND(ISNUMBER('NM Play'!$B$25),'NM Play'!$B$25&gt;0),1,0)),"")</f>
        <v/>
      </c>
      <c r="AN239" s="160">
        <f>IF(OR('Sites'!$E$6&lt;0,'Sites'!$E$6&gt;1,'Sites'!$F$6&lt;1,'Sites'!$G$6&lt;'Sites'!$F$6,F239&lt;0,MIN('Sites'!$I$6:'Sites'!$R$6)&lt;0,'Sites'!$L$6&gt;'Sites'!$I$6,'Sites'!$M$6&gt;'Sites'!$J$6,'Sites'!$N$6&gt;'Sites'!$K$6,'Sites'!$Z$6&lt;0,'Sites'!$Z$6&gt;1,MIN('Sites'!$AA$6:'Sites'!$AC$6)&lt;0,S239&gt;F239+0.001),1,0)</f>
        <v/>
      </c>
      <c r="AO239" s="160">
        <f>I239+U239-T239-X239</f>
        <v/>
      </c>
    </row>
    <row r="240" ht="28" customHeight="1">
      <c r="A240" s="4" t="inlineStr">
        <is>
          <t>No QBE</t>
        </is>
      </c>
      <c r="B240" s="4" t="inlineStr">
        <is>
          <t>WITTA</t>
        </is>
      </c>
      <c r="C240" s="160" t="n">
        <v>19</v>
      </c>
      <c r="D240" s="160">
        <f>ROUNDUP(C240/12,0)</f>
        <v/>
      </c>
      <c r="E240" s="160">
        <f>IF(AND('Sites'!$E$6=1,C240&gt;='Sites'!$F$6,C240&lt;='Sites'!$G$6),1,0)</f>
        <v/>
      </c>
      <c r="F240" s="160">
        <f>E240*'Assumptions'!V67</f>
        <v/>
      </c>
      <c r="G240" s="160">
        <f>V239</f>
        <v/>
      </c>
      <c r="H240" s="160">
        <f>W239</f>
        <v/>
      </c>
      <c r="I240" s="160">
        <f>X239</f>
        <v/>
      </c>
      <c r="J240" s="160">
        <f>MAX(0,'Sites'!$J$6-SUM(N234:N239))</f>
        <v/>
      </c>
      <c r="K240" s="160">
        <f>IF('Sites'!$C$6="Own sheets",MIN(ROUNDDOWN(G240/'NM Play'!$B$11,0)+F240*'NM Play'!$B$10/'NM Play'!$B$43,ROUNDDOWN(H240/'NM Play'!$B$12,0)+F240*'NM Play'!$B$10/'NM Play'!$B$44,(F240*'NM Play'!$B$10+ROUNDDOWN(G240/'NM Play'!$B$11,0)*'NM Play'!$B$43+ROUNDDOWN(H240/'NM Play'!$B$12,0)*'NM Play'!$B$44)/('NM Play'!$B$43+'NM Play'!$B$44)),ROUNDDOWN(G240/'NM Play'!$B$11,0)+F240*'NM Play'!$B$10/'NM Play'!$B$43)</f>
        <v/>
      </c>
      <c r="L240" s="160">
        <f>MIN(ROUNDDOWN(G240/'NM Play'!$B$11,0)+F240/('NM Play'!$B$43/'NM Play'!$B$15),ROUNDDOWN(H240/'NM Play'!$B$12,0)+F240/('NM Play'!$B$44/'NM Play'!$B$16),(F240+ROUNDDOWN(G240/'NM Play'!$B$11,0)*'NM Play'!$B$43/'NM Play'!$B$15+ROUNDDOWN(H240/'NM Play'!$B$12,0)*'NM Play'!$B$44/'NM Play'!$B$16)/('NM Play'!$B$43/'NM Play'!$B$15+'NM Play'!$B$44/'NM Play'!$B$16))</f>
        <v/>
      </c>
      <c r="M240" s="160">
        <f>F240*'NM Play'!$B$36</f>
        <v/>
      </c>
      <c r="N240" s="160">
        <f>ROUNDDOWN(MAX(0,MIN(J240,K240:M240)),0)</f>
        <v/>
      </c>
      <c r="O240" s="160">
        <f>ROUNDUP(MAX(0,N240*'NM Play'!$B$11-G240)/'NM Play'!$B$13,0)</f>
        <v/>
      </c>
      <c r="P240" s="160">
        <f>ROUNDUP(MAX(0,N240*'NM Play'!$B$12-H240)/'NM Play'!$B$14,0)</f>
        <v/>
      </c>
      <c r="Q240" s="160">
        <f>(O240+IF('Sites'!$C$6="Own sheets",P240,0))/'NM Play'!$B$10</f>
        <v/>
      </c>
      <c r="R240" s="160">
        <f>O240/'NM Play'!$B$15+P240/'NM Play'!$B$16</f>
        <v/>
      </c>
      <c r="S240" s="160">
        <f>MAX(Q240,R240,N240/'NM Play'!$B$36)</f>
        <v/>
      </c>
      <c r="T240" s="160">
        <f>Q240*'NM Play'!$B$10*'NM Play'!$B$21*(1+'NM Play'!$B$35)</f>
        <v/>
      </c>
      <c r="U240" s="160">
        <f>MAX(0,T240-I240)</f>
        <v/>
      </c>
      <c r="V240" s="160">
        <f>G240+O240*'NM Play'!$B$13-N240*'NM Play'!$B$11</f>
        <v/>
      </c>
      <c r="W240" s="160">
        <f>H240+P240*'NM Play'!$B$14-N240*'NM Play'!$B$12</f>
        <v/>
      </c>
      <c r="X240" s="160">
        <f>I240+U240-T240</f>
        <v/>
      </c>
      <c r="Y240" s="160">
        <f>MIN(N240,MAX(0,ROUNDDOWN('Sites'!$M$6*'Cases'!$E$8,0)-SUM(Y234:Y239)))</f>
        <v/>
      </c>
      <c r="Z240" s="160">
        <f>N240-Y240</f>
        <v/>
      </c>
      <c r="AA240" s="160">
        <f>U240*'NM Play'!$B$22</f>
        <v/>
      </c>
      <c r="AB240" s="160">
        <f>N240*SUM('NM Play'!$B$29:$B$31)</f>
        <v/>
      </c>
      <c r="AC240" s="160">
        <f>IF('Sites'!$C$6="Defy legs",P240*'NM Play'!$B$14/'NM Play'!$B$12*'NM Play'!$B$28,0)</f>
        <v/>
      </c>
      <c r="AD240" s="160">
        <f>Q240*'NM Play'!$B$23</f>
        <v/>
      </c>
      <c r="AE240" s="160">
        <f>S240*SUM('NM Play'!$B$26,'NM Play'!$B$33:$B$34)</f>
        <v/>
      </c>
      <c r="AF240" s="160">
        <f>IF('Sites'!$D$6="NM crew",S240*SUM('NM Play'!$B$24:$B$25),0)</f>
        <v/>
      </c>
      <c r="AG240" s="160">
        <f>IF('Sites'!$D$6="NM crew",S240*'NM Play'!$B$27,0)</f>
        <v/>
      </c>
      <c r="AH240" s="160">
        <f>N240*'Sites'!$Z$6*'NM Play'!$B$32</f>
        <v/>
      </c>
      <c r="AI240" s="160">
        <f>SUM(Y240:Z240)*'Sites'!$R$6</f>
        <v/>
      </c>
      <c r="AJ240" s="160">
        <f>SUM(AA240:AH240)</f>
        <v/>
      </c>
      <c r="AK240" s="160">
        <f>AJ240+(T240-U240)*'NM Play'!$B$22+MIN(G240,N240*'NM Play'!$B$11)/'NM Play'!$B$13*'NM Play'!$B$21*'NM Play'!$B$22+MIN(H240,N240*'NM Play'!$B$12)/'NM Play'!$B$14*IF('Sites'!$C$6="Own sheets",'NM Play'!$B$21*'NM Play'!$B$22,'NM Play'!$B$28*'NM Play'!$B$14/'NM Play'!$B$12)</f>
        <v/>
      </c>
      <c r="AL240" s="160">
        <f>Y240*'Assumptions'!V66</f>
        <v/>
      </c>
      <c r="AM240" s="160">
        <f>IF('Sites'!$D$6="NM crew",S240*'NM Play'!$B$37*(1+IF(AND(ISNUMBER('NM Play'!$B$25),'NM Play'!$B$25&gt;0),1,0)),"")</f>
        <v/>
      </c>
      <c r="AN240" s="160">
        <f>IF(OR('Sites'!$E$6&lt;0,'Sites'!$E$6&gt;1,'Sites'!$F$6&lt;1,'Sites'!$G$6&lt;'Sites'!$F$6,F240&lt;0,MIN('Sites'!$I$6:'Sites'!$R$6)&lt;0,'Sites'!$L$6&gt;'Sites'!$I$6,'Sites'!$M$6&gt;'Sites'!$J$6,'Sites'!$N$6&gt;'Sites'!$K$6,'Sites'!$Z$6&lt;0,'Sites'!$Z$6&gt;1,MIN('Sites'!$AA$6:'Sites'!$AC$6)&lt;0,S240&gt;F240+0.001),1,0)</f>
        <v/>
      </c>
      <c r="AO240" s="160">
        <f>I240+U240-T240-X240</f>
        <v/>
      </c>
    </row>
    <row r="241" ht="28" customHeight="1">
      <c r="A241" s="4" t="inlineStr">
        <is>
          <t>No QBE</t>
        </is>
      </c>
      <c r="B241" s="4" t="inlineStr">
        <is>
          <t>WITTA</t>
        </is>
      </c>
      <c r="C241" s="160" t="n">
        <v>20</v>
      </c>
      <c r="D241" s="160">
        <f>ROUNDUP(C241/12,0)</f>
        <v/>
      </c>
      <c r="E241" s="160">
        <f>IF(AND('Sites'!$E$6=1,C241&gt;='Sites'!$F$6,C241&lt;='Sites'!$G$6),1,0)</f>
        <v/>
      </c>
      <c r="F241" s="160">
        <f>E241*'Assumptions'!W67</f>
        <v/>
      </c>
      <c r="G241" s="160">
        <f>V240</f>
        <v/>
      </c>
      <c r="H241" s="160">
        <f>W240</f>
        <v/>
      </c>
      <c r="I241" s="160">
        <f>X240</f>
        <v/>
      </c>
      <c r="J241" s="160">
        <f>MAX(0,'Sites'!$J$6-SUM(N234:N240))</f>
        <v/>
      </c>
      <c r="K241" s="160">
        <f>IF('Sites'!$C$6="Own sheets",MIN(ROUNDDOWN(G241/'NM Play'!$B$11,0)+F241*'NM Play'!$B$10/'NM Play'!$B$43,ROUNDDOWN(H241/'NM Play'!$B$12,0)+F241*'NM Play'!$B$10/'NM Play'!$B$44,(F241*'NM Play'!$B$10+ROUNDDOWN(G241/'NM Play'!$B$11,0)*'NM Play'!$B$43+ROUNDDOWN(H241/'NM Play'!$B$12,0)*'NM Play'!$B$44)/('NM Play'!$B$43+'NM Play'!$B$44)),ROUNDDOWN(G241/'NM Play'!$B$11,0)+F241*'NM Play'!$B$10/'NM Play'!$B$43)</f>
        <v/>
      </c>
      <c r="L241" s="160">
        <f>MIN(ROUNDDOWN(G241/'NM Play'!$B$11,0)+F241/('NM Play'!$B$43/'NM Play'!$B$15),ROUNDDOWN(H241/'NM Play'!$B$12,0)+F241/('NM Play'!$B$44/'NM Play'!$B$16),(F241+ROUNDDOWN(G241/'NM Play'!$B$11,0)*'NM Play'!$B$43/'NM Play'!$B$15+ROUNDDOWN(H241/'NM Play'!$B$12,0)*'NM Play'!$B$44/'NM Play'!$B$16)/('NM Play'!$B$43/'NM Play'!$B$15+'NM Play'!$B$44/'NM Play'!$B$16))</f>
        <v/>
      </c>
      <c r="M241" s="160">
        <f>F241*'NM Play'!$B$36</f>
        <v/>
      </c>
      <c r="N241" s="160">
        <f>ROUNDDOWN(MAX(0,MIN(J241,K241:M241)),0)</f>
        <v/>
      </c>
      <c r="O241" s="160">
        <f>ROUNDUP(MAX(0,N241*'NM Play'!$B$11-G241)/'NM Play'!$B$13,0)</f>
        <v/>
      </c>
      <c r="P241" s="160">
        <f>ROUNDUP(MAX(0,N241*'NM Play'!$B$12-H241)/'NM Play'!$B$14,0)</f>
        <v/>
      </c>
      <c r="Q241" s="160">
        <f>(O241+IF('Sites'!$C$6="Own sheets",P241,0))/'NM Play'!$B$10</f>
        <v/>
      </c>
      <c r="R241" s="160">
        <f>O241/'NM Play'!$B$15+P241/'NM Play'!$B$16</f>
        <v/>
      </c>
      <c r="S241" s="160">
        <f>MAX(Q241,R241,N241/'NM Play'!$B$36)</f>
        <v/>
      </c>
      <c r="T241" s="160">
        <f>Q241*'NM Play'!$B$10*'NM Play'!$B$21*(1+'NM Play'!$B$35)</f>
        <v/>
      </c>
      <c r="U241" s="160">
        <f>MAX(0,T241-I241)</f>
        <v/>
      </c>
      <c r="V241" s="160">
        <f>G241+O241*'NM Play'!$B$13-N241*'NM Play'!$B$11</f>
        <v/>
      </c>
      <c r="W241" s="160">
        <f>H241+P241*'NM Play'!$B$14-N241*'NM Play'!$B$12</f>
        <v/>
      </c>
      <c r="X241" s="160">
        <f>I241+U241-T241</f>
        <v/>
      </c>
      <c r="Y241" s="160">
        <f>MIN(N241,MAX(0,ROUNDDOWN('Sites'!$M$6*'Cases'!$E$8,0)-SUM(Y234:Y240)))</f>
        <v/>
      </c>
      <c r="Z241" s="160">
        <f>N241-Y241</f>
        <v/>
      </c>
      <c r="AA241" s="160">
        <f>U241*'NM Play'!$B$22</f>
        <v/>
      </c>
      <c r="AB241" s="160">
        <f>N241*SUM('NM Play'!$B$29:$B$31)</f>
        <v/>
      </c>
      <c r="AC241" s="160">
        <f>IF('Sites'!$C$6="Defy legs",P241*'NM Play'!$B$14/'NM Play'!$B$12*'NM Play'!$B$28,0)</f>
        <v/>
      </c>
      <c r="AD241" s="160">
        <f>Q241*'NM Play'!$B$23</f>
        <v/>
      </c>
      <c r="AE241" s="160">
        <f>S241*SUM('NM Play'!$B$26,'NM Play'!$B$33:$B$34)</f>
        <v/>
      </c>
      <c r="AF241" s="160">
        <f>IF('Sites'!$D$6="NM crew",S241*SUM('NM Play'!$B$24:$B$25),0)</f>
        <v/>
      </c>
      <c r="AG241" s="160">
        <f>IF('Sites'!$D$6="NM crew",S241*'NM Play'!$B$27,0)</f>
        <v/>
      </c>
      <c r="AH241" s="160">
        <f>N241*'Sites'!$Z$6*'NM Play'!$B$32</f>
        <v/>
      </c>
      <c r="AI241" s="160">
        <f>SUM(Y241:Z241)*'Sites'!$R$6</f>
        <v/>
      </c>
      <c r="AJ241" s="160">
        <f>SUM(AA241:AH241)</f>
        <v/>
      </c>
      <c r="AK241" s="160">
        <f>AJ241+(T241-U241)*'NM Play'!$B$22+MIN(G241,N241*'NM Play'!$B$11)/'NM Play'!$B$13*'NM Play'!$B$21*'NM Play'!$B$22+MIN(H241,N241*'NM Play'!$B$12)/'NM Play'!$B$14*IF('Sites'!$C$6="Own sheets",'NM Play'!$B$21*'NM Play'!$B$22,'NM Play'!$B$28*'NM Play'!$B$14/'NM Play'!$B$12)</f>
        <v/>
      </c>
      <c r="AL241" s="160">
        <f>Y241*'Assumptions'!W66</f>
        <v/>
      </c>
      <c r="AM241" s="160">
        <f>IF('Sites'!$D$6="NM crew",S241*'NM Play'!$B$37*(1+IF(AND(ISNUMBER('NM Play'!$B$25),'NM Play'!$B$25&gt;0),1,0)),"")</f>
        <v/>
      </c>
      <c r="AN241" s="160">
        <f>IF(OR('Sites'!$E$6&lt;0,'Sites'!$E$6&gt;1,'Sites'!$F$6&lt;1,'Sites'!$G$6&lt;'Sites'!$F$6,F241&lt;0,MIN('Sites'!$I$6:'Sites'!$R$6)&lt;0,'Sites'!$L$6&gt;'Sites'!$I$6,'Sites'!$M$6&gt;'Sites'!$J$6,'Sites'!$N$6&gt;'Sites'!$K$6,'Sites'!$Z$6&lt;0,'Sites'!$Z$6&gt;1,MIN('Sites'!$AA$6:'Sites'!$AC$6)&lt;0,S241&gt;F241+0.001),1,0)</f>
        <v/>
      </c>
      <c r="AO241" s="160">
        <f>I241+U241-T241-X241</f>
        <v/>
      </c>
    </row>
    <row r="242" ht="28" customHeight="1">
      <c r="A242" s="4" t="inlineStr">
        <is>
          <t>No QBE</t>
        </is>
      </c>
      <c r="B242" s="4" t="inlineStr">
        <is>
          <t>WITTA</t>
        </is>
      </c>
      <c r="C242" s="160" t="n">
        <v>21</v>
      </c>
      <c r="D242" s="160">
        <f>ROUNDUP(C242/12,0)</f>
        <v/>
      </c>
      <c r="E242" s="160">
        <f>IF(AND('Sites'!$E$6=1,C242&gt;='Sites'!$F$6,C242&lt;='Sites'!$G$6),1,0)</f>
        <v/>
      </c>
      <c r="F242" s="160">
        <f>E242*'Assumptions'!X67</f>
        <v/>
      </c>
      <c r="G242" s="160">
        <f>V241</f>
        <v/>
      </c>
      <c r="H242" s="160">
        <f>W241</f>
        <v/>
      </c>
      <c r="I242" s="160">
        <f>X241</f>
        <v/>
      </c>
      <c r="J242" s="160">
        <f>MAX(0,'Sites'!$J$6-SUM(N234:N241))</f>
        <v/>
      </c>
      <c r="K242" s="160">
        <f>IF('Sites'!$C$6="Own sheets",MIN(ROUNDDOWN(G242/'NM Play'!$B$11,0)+F242*'NM Play'!$B$10/'NM Play'!$B$43,ROUNDDOWN(H242/'NM Play'!$B$12,0)+F242*'NM Play'!$B$10/'NM Play'!$B$44,(F242*'NM Play'!$B$10+ROUNDDOWN(G242/'NM Play'!$B$11,0)*'NM Play'!$B$43+ROUNDDOWN(H242/'NM Play'!$B$12,0)*'NM Play'!$B$44)/('NM Play'!$B$43+'NM Play'!$B$44)),ROUNDDOWN(G242/'NM Play'!$B$11,0)+F242*'NM Play'!$B$10/'NM Play'!$B$43)</f>
        <v/>
      </c>
      <c r="L242" s="160">
        <f>MIN(ROUNDDOWN(G242/'NM Play'!$B$11,0)+F242/('NM Play'!$B$43/'NM Play'!$B$15),ROUNDDOWN(H242/'NM Play'!$B$12,0)+F242/('NM Play'!$B$44/'NM Play'!$B$16),(F242+ROUNDDOWN(G242/'NM Play'!$B$11,0)*'NM Play'!$B$43/'NM Play'!$B$15+ROUNDDOWN(H242/'NM Play'!$B$12,0)*'NM Play'!$B$44/'NM Play'!$B$16)/('NM Play'!$B$43/'NM Play'!$B$15+'NM Play'!$B$44/'NM Play'!$B$16))</f>
        <v/>
      </c>
      <c r="M242" s="160">
        <f>F242*'NM Play'!$B$36</f>
        <v/>
      </c>
      <c r="N242" s="160">
        <f>ROUNDDOWN(MAX(0,MIN(J242,K242:M242)),0)</f>
        <v/>
      </c>
      <c r="O242" s="160">
        <f>ROUNDUP(MAX(0,N242*'NM Play'!$B$11-G242)/'NM Play'!$B$13,0)</f>
        <v/>
      </c>
      <c r="P242" s="160">
        <f>ROUNDUP(MAX(0,N242*'NM Play'!$B$12-H242)/'NM Play'!$B$14,0)</f>
        <v/>
      </c>
      <c r="Q242" s="160">
        <f>(O242+IF('Sites'!$C$6="Own sheets",P242,0))/'NM Play'!$B$10</f>
        <v/>
      </c>
      <c r="R242" s="160">
        <f>O242/'NM Play'!$B$15+P242/'NM Play'!$B$16</f>
        <v/>
      </c>
      <c r="S242" s="160">
        <f>MAX(Q242,R242,N242/'NM Play'!$B$36)</f>
        <v/>
      </c>
      <c r="T242" s="160">
        <f>Q242*'NM Play'!$B$10*'NM Play'!$B$21*(1+'NM Play'!$B$35)</f>
        <v/>
      </c>
      <c r="U242" s="160">
        <f>MAX(0,T242-I242)</f>
        <v/>
      </c>
      <c r="V242" s="160">
        <f>G242+O242*'NM Play'!$B$13-N242*'NM Play'!$B$11</f>
        <v/>
      </c>
      <c r="W242" s="160">
        <f>H242+P242*'NM Play'!$B$14-N242*'NM Play'!$B$12</f>
        <v/>
      </c>
      <c r="X242" s="160">
        <f>I242+U242-T242</f>
        <v/>
      </c>
      <c r="Y242" s="160">
        <f>MIN(N242,MAX(0,ROUNDDOWN('Sites'!$M$6*'Cases'!$E$8,0)-SUM(Y234:Y241)))</f>
        <v/>
      </c>
      <c r="Z242" s="160">
        <f>N242-Y242</f>
        <v/>
      </c>
      <c r="AA242" s="160">
        <f>U242*'NM Play'!$B$22</f>
        <v/>
      </c>
      <c r="AB242" s="160">
        <f>N242*SUM('NM Play'!$B$29:$B$31)</f>
        <v/>
      </c>
      <c r="AC242" s="160">
        <f>IF('Sites'!$C$6="Defy legs",P242*'NM Play'!$B$14/'NM Play'!$B$12*'NM Play'!$B$28,0)</f>
        <v/>
      </c>
      <c r="AD242" s="160">
        <f>Q242*'NM Play'!$B$23</f>
        <v/>
      </c>
      <c r="AE242" s="160">
        <f>S242*SUM('NM Play'!$B$26,'NM Play'!$B$33:$B$34)</f>
        <v/>
      </c>
      <c r="AF242" s="160">
        <f>IF('Sites'!$D$6="NM crew",S242*SUM('NM Play'!$B$24:$B$25),0)</f>
        <v/>
      </c>
      <c r="AG242" s="160">
        <f>IF('Sites'!$D$6="NM crew",S242*'NM Play'!$B$27,0)</f>
        <v/>
      </c>
      <c r="AH242" s="160">
        <f>N242*'Sites'!$Z$6*'NM Play'!$B$32</f>
        <v/>
      </c>
      <c r="AI242" s="160">
        <f>SUM(Y242:Z242)*'Sites'!$R$6</f>
        <v/>
      </c>
      <c r="AJ242" s="160">
        <f>SUM(AA242:AH242)</f>
        <v/>
      </c>
      <c r="AK242" s="160">
        <f>AJ242+(T242-U242)*'NM Play'!$B$22+MIN(G242,N242*'NM Play'!$B$11)/'NM Play'!$B$13*'NM Play'!$B$21*'NM Play'!$B$22+MIN(H242,N242*'NM Play'!$B$12)/'NM Play'!$B$14*IF('Sites'!$C$6="Own sheets",'NM Play'!$B$21*'NM Play'!$B$22,'NM Play'!$B$28*'NM Play'!$B$14/'NM Play'!$B$12)</f>
        <v/>
      </c>
      <c r="AL242" s="160">
        <f>Y242*'Assumptions'!X66</f>
        <v/>
      </c>
      <c r="AM242" s="160">
        <f>IF('Sites'!$D$6="NM crew",S242*'NM Play'!$B$37*(1+IF(AND(ISNUMBER('NM Play'!$B$25),'NM Play'!$B$25&gt;0),1,0)),"")</f>
        <v/>
      </c>
      <c r="AN242" s="160">
        <f>IF(OR('Sites'!$E$6&lt;0,'Sites'!$E$6&gt;1,'Sites'!$F$6&lt;1,'Sites'!$G$6&lt;'Sites'!$F$6,F242&lt;0,MIN('Sites'!$I$6:'Sites'!$R$6)&lt;0,'Sites'!$L$6&gt;'Sites'!$I$6,'Sites'!$M$6&gt;'Sites'!$J$6,'Sites'!$N$6&gt;'Sites'!$K$6,'Sites'!$Z$6&lt;0,'Sites'!$Z$6&gt;1,MIN('Sites'!$AA$6:'Sites'!$AC$6)&lt;0,S242&gt;F242+0.001),1,0)</f>
        <v/>
      </c>
      <c r="AO242" s="160">
        <f>I242+U242-T242-X242</f>
        <v/>
      </c>
    </row>
    <row r="243" ht="28" customHeight="1">
      <c r="A243" s="4" t="inlineStr">
        <is>
          <t>No QBE</t>
        </is>
      </c>
      <c r="B243" s="4" t="inlineStr">
        <is>
          <t>WITTA</t>
        </is>
      </c>
      <c r="C243" s="160" t="n">
        <v>22</v>
      </c>
      <c r="D243" s="160">
        <f>ROUNDUP(C243/12,0)</f>
        <v/>
      </c>
      <c r="E243" s="160">
        <f>IF(AND('Sites'!$E$6=1,C243&gt;='Sites'!$F$6,C243&lt;='Sites'!$G$6),1,0)</f>
        <v/>
      </c>
      <c r="F243" s="160">
        <f>E243*'Assumptions'!Y67</f>
        <v/>
      </c>
      <c r="G243" s="160">
        <f>V242</f>
        <v/>
      </c>
      <c r="H243" s="160">
        <f>W242</f>
        <v/>
      </c>
      <c r="I243" s="160">
        <f>X242</f>
        <v/>
      </c>
      <c r="J243" s="160">
        <f>MAX(0,'Sites'!$J$6-SUM(N234:N242))</f>
        <v/>
      </c>
      <c r="K243" s="160">
        <f>IF('Sites'!$C$6="Own sheets",MIN(ROUNDDOWN(G243/'NM Play'!$B$11,0)+F243*'NM Play'!$B$10/'NM Play'!$B$43,ROUNDDOWN(H243/'NM Play'!$B$12,0)+F243*'NM Play'!$B$10/'NM Play'!$B$44,(F243*'NM Play'!$B$10+ROUNDDOWN(G243/'NM Play'!$B$11,0)*'NM Play'!$B$43+ROUNDDOWN(H243/'NM Play'!$B$12,0)*'NM Play'!$B$44)/('NM Play'!$B$43+'NM Play'!$B$44)),ROUNDDOWN(G243/'NM Play'!$B$11,0)+F243*'NM Play'!$B$10/'NM Play'!$B$43)</f>
        <v/>
      </c>
      <c r="L243" s="160">
        <f>MIN(ROUNDDOWN(G243/'NM Play'!$B$11,0)+F243/('NM Play'!$B$43/'NM Play'!$B$15),ROUNDDOWN(H243/'NM Play'!$B$12,0)+F243/('NM Play'!$B$44/'NM Play'!$B$16),(F243+ROUNDDOWN(G243/'NM Play'!$B$11,0)*'NM Play'!$B$43/'NM Play'!$B$15+ROUNDDOWN(H243/'NM Play'!$B$12,0)*'NM Play'!$B$44/'NM Play'!$B$16)/('NM Play'!$B$43/'NM Play'!$B$15+'NM Play'!$B$44/'NM Play'!$B$16))</f>
        <v/>
      </c>
      <c r="M243" s="160">
        <f>F243*'NM Play'!$B$36</f>
        <v/>
      </c>
      <c r="N243" s="160">
        <f>ROUNDDOWN(MAX(0,MIN(J243,K243:M243)),0)</f>
        <v/>
      </c>
      <c r="O243" s="160">
        <f>ROUNDUP(MAX(0,N243*'NM Play'!$B$11-G243)/'NM Play'!$B$13,0)</f>
        <v/>
      </c>
      <c r="P243" s="160">
        <f>ROUNDUP(MAX(0,N243*'NM Play'!$B$12-H243)/'NM Play'!$B$14,0)</f>
        <v/>
      </c>
      <c r="Q243" s="160">
        <f>(O243+IF('Sites'!$C$6="Own sheets",P243,0))/'NM Play'!$B$10</f>
        <v/>
      </c>
      <c r="R243" s="160">
        <f>O243/'NM Play'!$B$15+P243/'NM Play'!$B$16</f>
        <v/>
      </c>
      <c r="S243" s="160">
        <f>MAX(Q243,R243,N243/'NM Play'!$B$36)</f>
        <v/>
      </c>
      <c r="T243" s="160">
        <f>Q243*'NM Play'!$B$10*'NM Play'!$B$21*(1+'NM Play'!$B$35)</f>
        <v/>
      </c>
      <c r="U243" s="160">
        <f>MAX(0,T243-I243)</f>
        <v/>
      </c>
      <c r="V243" s="160">
        <f>G243+O243*'NM Play'!$B$13-N243*'NM Play'!$B$11</f>
        <v/>
      </c>
      <c r="W243" s="160">
        <f>H243+P243*'NM Play'!$B$14-N243*'NM Play'!$B$12</f>
        <v/>
      </c>
      <c r="X243" s="160">
        <f>I243+U243-T243</f>
        <v/>
      </c>
      <c r="Y243" s="160">
        <f>MIN(N243,MAX(0,ROUNDDOWN('Sites'!$M$6*'Cases'!$E$8,0)-SUM(Y234:Y242)))</f>
        <v/>
      </c>
      <c r="Z243" s="160">
        <f>N243-Y243</f>
        <v/>
      </c>
      <c r="AA243" s="160">
        <f>U243*'NM Play'!$B$22</f>
        <v/>
      </c>
      <c r="AB243" s="160">
        <f>N243*SUM('NM Play'!$B$29:$B$31)</f>
        <v/>
      </c>
      <c r="AC243" s="160">
        <f>IF('Sites'!$C$6="Defy legs",P243*'NM Play'!$B$14/'NM Play'!$B$12*'NM Play'!$B$28,0)</f>
        <v/>
      </c>
      <c r="AD243" s="160">
        <f>Q243*'NM Play'!$B$23</f>
        <v/>
      </c>
      <c r="AE243" s="160">
        <f>S243*SUM('NM Play'!$B$26,'NM Play'!$B$33:$B$34)</f>
        <v/>
      </c>
      <c r="AF243" s="160">
        <f>IF('Sites'!$D$6="NM crew",S243*SUM('NM Play'!$B$24:$B$25),0)</f>
        <v/>
      </c>
      <c r="AG243" s="160">
        <f>IF('Sites'!$D$6="NM crew",S243*'NM Play'!$B$27,0)</f>
        <v/>
      </c>
      <c r="AH243" s="160">
        <f>N243*'Sites'!$Z$6*'NM Play'!$B$32</f>
        <v/>
      </c>
      <c r="AI243" s="160">
        <f>SUM(Y243:Z243)*'Sites'!$R$6</f>
        <v/>
      </c>
      <c r="AJ243" s="160">
        <f>SUM(AA243:AH243)</f>
        <v/>
      </c>
      <c r="AK243" s="160">
        <f>AJ243+(T243-U243)*'NM Play'!$B$22+MIN(G243,N243*'NM Play'!$B$11)/'NM Play'!$B$13*'NM Play'!$B$21*'NM Play'!$B$22+MIN(H243,N243*'NM Play'!$B$12)/'NM Play'!$B$14*IF('Sites'!$C$6="Own sheets",'NM Play'!$B$21*'NM Play'!$B$22,'NM Play'!$B$28*'NM Play'!$B$14/'NM Play'!$B$12)</f>
        <v/>
      </c>
      <c r="AL243" s="160">
        <f>Y243*'Assumptions'!Y66</f>
        <v/>
      </c>
      <c r="AM243" s="160">
        <f>IF('Sites'!$D$6="NM crew",S243*'NM Play'!$B$37*(1+IF(AND(ISNUMBER('NM Play'!$B$25),'NM Play'!$B$25&gt;0),1,0)),"")</f>
        <v/>
      </c>
      <c r="AN243" s="160">
        <f>IF(OR('Sites'!$E$6&lt;0,'Sites'!$E$6&gt;1,'Sites'!$F$6&lt;1,'Sites'!$G$6&lt;'Sites'!$F$6,F243&lt;0,MIN('Sites'!$I$6:'Sites'!$R$6)&lt;0,'Sites'!$L$6&gt;'Sites'!$I$6,'Sites'!$M$6&gt;'Sites'!$J$6,'Sites'!$N$6&gt;'Sites'!$K$6,'Sites'!$Z$6&lt;0,'Sites'!$Z$6&gt;1,MIN('Sites'!$AA$6:'Sites'!$AC$6)&lt;0,S243&gt;F243+0.001),1,0)</f>
        <v/>
      </c>
      <c r="AO243" s="160">
        <f>I243+U243-T243-X243</f>
        <v/>
      </c>
    </row>
    <row r="244" ht="28" customHeight="1">
      <c r="A244" s="4" t="inlineStr">
        <is>
          <t>No QBE</t>
        </is>
      </c>
      <c r="B244" s="4" t="inlineStr">
        <is>
          <t>WITTA</t>
        </is>
      </c>
      <c r="C244" s="160" t="n">
        <v>23</v>
      </c>
      <c r="D244" s="160">
        <f>ROUNDUP(C244/12,0)</f>
        <v/>
      </c>
      <c r="E244" s="160">
        <f>IF(AND('Sites'!$E$6=1,C244&gt;='Sites'!$F$6,C244&lt;='Sites'!$G$6),1,0)</f>
        <v/>
      </c>
      <c r="F244" s="160">
        <f>E244*'Assumptions'!Z67</f>
        <v/>
      </c>
      <c r="G244" s="160">
        <f>V243</f>
        <v/>
      </c>
      <c r="H244" s="160">
        <f>W243</f>
        <v/>
      </c>
      <c r="I244" s="160">
        <f>X243</f>
        <v/>
      </c>
      <c r="J244" s="160">
        <f>MAX(0,'Sites'!$J$6-SUM(N234:N243))</f>
        <v/>
      </c>
      <c r="K244" s="160">
        <f>IF('Sites'!$C$6="Own sheets",MIN(ROUNDDOWN(G244/'NM Play'!$B$11,0)+F244*'NM Play'!$B$10/'NM Play'!$B$43,ROUNDDOWN(H244/'NM Play'!$B$12,0)+F244*'NM Play'!$B$10/'NM Play'!$B$44,(F244*'NM Play'!$B$10+ROUNDDOWN(G244/'NM Play'!$B$11,0)*'NM Play'!$B$43+ROUNDDOWN(H244/'NM Play'!$B$12,0)*'NM Play'!$B$44)/('NM Play'!$B$43+'NM Play'!$B$44)),ROUNDDOWN(G244/'NM Play'!$B$11,0)+F244*'NM Play'!$B$10/'NM Play'!$B$43)</f>
        <v/>
      </c>
      <c r="L244" s="160">
        <f>MIN(ROUNDDOWN(G244/'NM Play'!$B$11,0)+F244/('NM Play'!$B$43/'NM Play'!$B$15),ROUNDDOWN(H244/'NM Play'!$B$12,0)+F244/('NM Play'!$B$44/'NM Play'!$B$16),(F244+ROUNDDOWN(G244/'NM Play'!$B$11,0)*'NM Play'!$B$43/'NM Play'!$B$15+ROUNDDOWN(H244/'NM Play'!$B$12,0)*'NM Play'!$B$44/'NM Play'!$B$16)/('NM Play'!$B$43/'NM Play'!$B$15+'NM Play'!$B$44/'NM Play'!$B$16))</f>
        <v/>
      </c>
      <c r="M244" s="160">
        <f>F244*'NM Play'!$B$36</f>
        <v/>
      </c>
      <c r="N244" s="160">
        <f>ROUNDDOWN(MAX(0,MIN(J244,K244:M244)),0)</f>
        <v/>
      </c>
      <c r="O244" s="160">
        <f>ROUNDUP(MAX(0,N244*'NM Play'!$B$11-G244)/'NM Play'!$B$13,0)</f>
        <v/>
      </c>
      <c r="P244" s="160">
        <f>ROUNDUP(MAX(0,N244*'NM Play'!$B$12-H244)/'NM Play'!$B$14,0)</f>
        <v/>
      </c>
      <c r="Q244" s="160">
        <f>(O244+IF('Sites'!$C$6="Own sheets",P244,0))/'NM Play'!$B$10</f>
        <v/>
      </c>
      <c r="R244" s="160">
        <f>O244/'NM Play'!$B$15+P244/'NM Play'!$B$16</f>
        <v/>
      </c>
      <c r="S244" s="160">
        <f>MAX(Q244,R244,N244/'NM Play'!$B$36)</f>
        <v/>
      </c>
      <c r="T244" s="160">
        <f>Q244*'NM Play'!$B$10*'NM Play'!$B$21*(1+'NM Play'!$B$35)</f>
        <v/>
      </c>
      <c r="U244" s="160">
        <f>MAX(0,T244-I244)</f>
        <v/>
      </c>
      <c r="V244" s="160">
        <f>G244+O244*'NM Play'!$B$13-N244*'NM Play'!$B$11</f>
        <v/>
      </c>
      <c r="W244" s="160">
        <f>H244+P244*'NM Play'!$B$14-N244*'NM Play'!$B$12</f>
        <v/>
      </c>
      <c r="X244" s="160">
        <f>I244+U244-T244</f>
        <v/>
      </c>
      <c r="Y244" s="160">
        <f>MIN(N244,MAX(0,ROUNDDOWN('Sites'!$M$6*'Cases'!$E$8,0)-SUM(Y234:Y243)))</f>
        <v/>
      </c>
      <c r="Z244" s="160">
        <f>N244-Y244</f>
        <v/>
      </c>
      <c r="AA244" s="160">
        <f>U244*'NM Play'!$B$22</f>
        <v/>
      </c>
      <c r="AB244" s="160">
        <f>N244*SUM('NM Play'!$B$29:$B$31)</f>
        <v/>
      </c>
      <c r="AC244" s="160">
        <f>IF('Sites'!$C$6="Defy legs",P244*'NM Play'!$B$14/'NM Play'!$B$12*'NM Play'!$B$28,0)</f>
        <v/>
      </c>
      <c r="AD244" s="160">
        <f>Q244*'NM Play'!$B$23</f>
        <v/>
      </c>
      <c r="AE244" s="160">
        <f>S244*SUM('NM Play'!$B$26,'NM Play'!$B$33:$B$34)</f>
        <v/>
      </c>
      <c r="AF244" s="160">
        <f>IF('Sites'!$D$6="NM crew",S244*SUM('NM Play'!$B$24:$B$25),0)</f>
        <v/>
      </c>
      <c r="AG244" s="160">
        <f>IF('Sites'!$D$6="NM crew",S244*'NM Play'!$B$27,0)</f>
        <v/>
      </c>
      <c r="AH244" s="160">
        <f>N244*'Sites'!$Z$6*'NM Play'!$B$32</f>
        <v/>
      </c>
      <c r="AI244" s="160">
        <f>SUM(Y244:Z244)*'Sites'!$R$6</f>
        <v/>
      </c>
      <c r="AJ244" s="160">
        <f>SUM(AA244:AH244)</f>
        <v/>
      </c>
      <c r="AK244" s="160">
        <f>AJ244+(T244-U244)*'NM Play'!$B$22+MIN(G244,N244*'NM Play'!$B$11)/'NM Play'!$B$13*'NM Play'!$B$21*'NM Play'!$B$22+MIN(H244,N244*'NM Play'!$B$12)/'NM Play'!$B$14*IF('Sites'!$C$6="Own sheets",'NM Play'!$B$21*'NM Play'!$B$22,'NM Play'!$B$28*'NM Play'!$B$14/'NM Play'!$B$12)</f>
        <v/>
      </c>
      <c r="AL244" s="160">
        <f>Y244*'Assumptions'!Z66</f>
        <v/>
      </c>
      <c r="AM244" s="160">
        <f>IF('Sites'!$D$6="NM crew",S244*'NM Play'!$B$37*(1+IF(AND(ISNUMBER('NM Play'!$B$25),'NM Play'!$B$25&gt;0),1,0)),"")</f>
        <v/>
      </c>
      <c r="AN244" s="160">
        <f>IF(OR('Sites'!$E$6&lt;0,'Sites'!$E$6&gt;1,'Sites'!$F$6&lt;1,'Sites'!$G$6&lt;'Sites'!$F$6,F244&lt;0,MIN('Sites'!$I$6:'Sites'!$R$6)&lt;0,'Sites'!$L$6&gt;'Sites'!$I$6,'Sites'!$M$6&gt;'Sites'!$J$6,'Sites'!$N$6&gt;'Sites'!$K$6,'Sites'!$Z$6&lt;0,'Sites'!$Z$6&gt;1,MIN('Sites'!$AA$6:'Sites'!$AC$6)&lt;0,S244&gt;F244+0.001),1,0)</f>
        <v/>
      </c>
      <c r="AO244" s="160">
        <f>I244+U244-T244-X244</f>
        <v/>
      </c>
    </row>
    <row r="245" ht="28" customHeight="1">
      <c r="A245" s="4" t="inlineStr">
        <is>
          <t>No QBE</t>
        </is>
      </c>
      <c r="B245" s="4" t="inlineStr">
        <is>
          <t>WITTA</t>
        </is>
      </c>
      <c r="C245" s="160" t="n">
        <v>24</v>
      </c>
      <c r="D245" s="160">
        <f>ROUNDUP(C245/12,0)</f>
        <v/>
      </c>
      <c r="E245" s="160">
        <f>IF(AND('Sites'!$E$6=1,C245&gt;='Sites'!$F$6,C245&lt;='Sites'!$G$6),1,0)</f>
        <v/>
      </c>
      <c r="F245" s="160">
        <f>E245*'Assumptions'!AA67</f>
        <v/>
      </c>
      <c r="G245" s="160">
        <f>V244</f>
        <v/>
      </c>
      <c r="H245" s="160">
        <f>W244</f>
        <v/>
      </c>
      <c r="I245" s="160">
        <f>X244</f>
        <v/>
      </c>
      <c r="J245" s="160">
        <f>MAX(0,'Sites'!$J$6-SUM(N234:N244))</f>
        <v/>
      </c>
      <c r="K245" s="160">
        <f>IF('Sites'!$C$6="Own sheets",MIN(ROUNDDOWN(G245/'NM Play'!$B$11,0)+F245*'NM Play'!$B$10/'NM Play'!$B$43,ROUNDDOWN(H245/'NM Play'!$B$12,0)+F245*'NM Play'!$B$10/'NM Play'!$B$44,(F245*'NM Play'!$B$10+ROUNDDOWN(G245/'NM Play'!$B$11,0)*'NM Play'!$B$43+ROUNDDOWN(H245/'NM Play'!$B$12,0)*'NM Play'!$B$44)/('NM Play'!$B$43+'NM Play'!$B$44)),ROUNDDOWN(G245/'NM Play'!$B$11,0)+F245*'NM Play'!$B$10/'NM Play'!$B$43)</f>
        <v/>
      </c>
      <c r="L245" s="160">
        <f>MIN(ROUNDDOWN(G245/'NM Play'!$B$11,0)+F245/('NM Play'!$B$43/'NM Play'!$B$15),ROUNDDOWN(H245/'NM Play'!$B$12,0)+F245/('NM Play'!$B$44/'NM Play'!$B$16),(F245+ROUNDDOWN(G245/'NM Play'!$B$11,0)*'NM Play'!$B$43/'NM Play'!$B$15+ROUNDDOWN(H245/'NM Play'!$B$12,0)*'NM Play'!$B$44/'NM Play'!$B$16)/('NM Play'!$B$43/'NM Play'!$B$15+'NM Play'!$B$44/'NM Play'!$B$16))</f>
        <v/>
      </c>
      <c r="M245" s="160">
        <f>F245*'NM Play'!$B$36</f>
        <v/>
      </c>
      <c r="N245" s="160">
        <f>ROUNDDOWN(MAX(0,MIN(J245,K245:M245)),0)</f>
        <v/>
      </c>
      <c r="O245" s="160">
        <f>ROUNDUP(MAX(0,N245*'NM Play'!$B$11-G245)/'NM Play'!$B$13,0)</f>
        <v/>
      </c>
      <c r="P245" s="160">
        <f>ROUNDUP(MAX(0,N245*'NM Play'!$B$12-H245)/'NM Play'!$B$14,0)</f>
        <v/>
      </c>
      <c r="Q245" s="160">
        <f>(O245+IF('Sites'!$C$6="Own sheets",P245,0))/'NM Play'!$B$10</f>
        <v/>
      </c>
      <c r="R245" s="160">
        <f>O245/'NM Play'!$B$15+P245/'NM Play'!$B$16</f>
        <v/>
      </c>
      <c r="S245" s="160">
        <f>MAX(Q245,R245,N245/'NM Play'!$B$36)</f>
        <v/>
      </c>
      <c r="T245" s="160">
        <f>Q245*'NM Play'!$B$10*'NM Play'!$B$21*(1+'NM Play'!$B$35)</f>
        <v/>
      </c>
      <c r="U245" s="160">
        <f>MAX(0,T245-I245)</f>
        <v/>
      </c>
      <c r="V245" s="160">
        <f>G245+O245*'NM Play'!$B$13-N245*'NM Play'!$B$11</f>
        <v/>
      </c>
      <c r="W245" s="160">
        <f>H245+P245*'NM Play'!$B$14-N245*'NM Play'!$B$12</f>
        <v/>
      </c>
      <c r="X245" s="160">
        <f>I245+U245-T245</f>
        <v/>
      </c>
      <c r="Y245" s="160">
        <f>MIN(N245,MAX(0,ROUNDDOWN('Sites'!$M$6*'Cases'!$E$8,0)-SUM(Y234:Y244)))</f>
        <v/>
      </c>
      <c r="Z245" s="160">
        <f>N245-Y245</f>
        <v/>
      </c>
      <c r="AA245" s="160">
        <f>U245*'NM Play'!$B$22</f>
        <v/>
      </c>
      <c r="AB245" s="160">
        <f>N245*SUM('NM Play'!$B$29:$B$31)</f>
        <v/>
      </c>
      <c r="AC245" s="160">
        <f>IF('Sites'!$C$6="Defy legs",P245*'NM Play'!$B$14/'NM Play'!$B$12*'NM Play'!$B$28,0)</f>
        <v/>
      </c>
      <c r="AD245" s="160">
        <f>Q245*'NM Play'!$B$23</f>
        <v/>
      </c>
      <c r="AE245" s="160">
        <f>S245*SUM('NM Play'!$B$26,'NM Play'!$B$33:$B$34)</f>
        <v/>
      </c>
      <c r="AF245" s="160">
        <f>IF('Sites'!$D$6="NM crew",S245*SUM('NM Play'!$B$24:$B$25),0)</f>
        <v/>
      </c>
      <c r="AG245" s="160">
        <f>IF('Sites'!$D$6="NM crew",S245*'NM Play'!$B$27,0)</f>
        <v/>
      </c>
      <c r="AH245" s="160">
        <f>N245*'Sites'!$Z$6*'NM Play'!$B$32</f>
        <v/>
      </c>
      <c r="AI245" s="160">
        <f>SUM(Y245:Z245)*'Sites'!$R$6</f>
        <v/>
      </c>
      <c r="AJ245" s="160">
        <f>SUM(AA245:AH245)</f>
        <v/>
      </c>
      <c r="AK245" s="160">
        <f>AJ245+(T245-U245)*'NM Play'!$B$22+MIN(G245,N245*'NM Play'!$B$11)/'NM Play'!$B$13*'NM Play'!$B$21*'NM Play'!$B$22+MIN(H245,N245*'NM Play'!$B$12)/'NM Play'!$B$14*IF('Sites'!$C$6="Own sheets",'NM Play'!$B$21*'NM Play'!$B$22,'NM Play'!$B$28*'NM Play'!$B$14/'NM Play'!$B$12)</f>
        <v/>
      </c>
      <c r="AL245" s="160">
        <f>Y245*'Assumptions'!AA66</f>
        <v/>
      </c>
      <c r="AM245" s="160">
        <f>IF('Sites'!$D$6="NM crew",S245*'NM Play'!$B$37*(1+IF(AND(ISNUMBER('NM Play'!$B$25),'NM Play'!$B$25&gt;0),1,0)),"")</f>
        <v/>
      </c>
      <c r="AN245" s="160">
        <f>IF(OR('Sites'!$E$6&lt;0,'Sites'!$E$6&gt;1,'Sites'!$F$6&lt;1,'Sites'!$G$6&lt;'Sites'!$F$6,F245&lt;0,MIN('Sites'!$I$6:'Sites'!$R$6)&lt;0,'Sites'!$L$6&gt;'Sites'!$I$6,'Sites'!$M$6&gt;'Sites'!$J$6,'Sites'!$N$6&gt;'Sites'!$K$6,'Sites'!$Z$6&lt;0,'Sites'!$Z$6&gt;1,MIN('Sites'!$AA$6:'Sites'!$AC$6)&lt;0,S245&gt;F245+0.001),1,0)</f>
        <v/>
      </c>
      <c r="AO245" s="160">
        <f>I245+U245-T245-X245</f>
        <v/>
      </c>
    </row>
    <row r="246" ht="28" customHeight="1">
      <c r="A246" s="4" t="inlineStr">
        <is>
          <t>No QBE</t>
        </is>
      </c>
      <c r="B246" s="4" t="inlineStr">
        <is>
          <t>WITTA</t>
        </is>
      </c>
      <c r="C246" s="160" t="n">
        <v>25</v>
      </c>
      <c r="D246" s="160">
        <f>ROUNDUP(C246/12,0)</f>
        <v/>
      </c>
      <c r="E246" s="160">
        <f>IF(AND('Sites'!$E$6=1,C246&gt;='Sites'!$F$6,C246&lt;='Sites'!$G$6),1,0)</f>
        <v/>
      </c>
      <c r="F246" s="160">
        <f>E246*'Assumptions'!AB67</f>
        <v/>
      </c>
      <c r="G246" s="160">
        <f>V245</f>
        <v/>
      </c>
      <c r="H246" s="160">
        <f>W245</f>
        <v/>
      </c>
      <c r="I246" s="160">
        <f>X245</f>
        <v/>
      </c>
      <c r="J246" s="160">
        <f>MAX(0,'Sites'!$K$6-0)</f>
        <v/>
      </c>
      <c r="K246" s="160">
        <f>IF('Sites'!$C$6="Own sheets",MIN(ROUNDDOWN(G246/'NM Play'!$B$11,0)+F246*'NM Play'!$B$10/'NM Play'!$B$43,ROUNDDOWN(H246/'NM Play'!$B$12,0)+F246*'NM Play'!$B$10/'NM Play'!$B$44,(F246*'NM Play'!$B$10+ROUNDDOWN(G246/'NM Play'!$B$11,0)*'NM Play'!$B$43+ROUNDDOWN(H246/'NM Play'!$B$12,0)*'NM Play'!$B$44)/('NM Play'!$B$43+'NM Play'!$B$44)),ROUNDDOWN(G246/'NM Play'!$B$11,0)+F246*'NM Play'!$B$10/'NM Play'!$B$43)</f>
        <v/>
      </c>
      <c r="L246" s="160">
        <f>MIN(ROUNDDOWN(G246/'NM Play'!$B$11,0)+F246/('NM Play'!$B$43/'NM Play'!$B$15),ROUNDDOWN(H246/'NM Play'!$B$12,0)+F246/('NM Play'!$B$44/'NM Play'!$B$16),(F246+ROUNDDOWN(G246/'NM Play'!$B$11,0)*'NM Play'!$B$43/'NM Play'!$B$15+ROUNDDOWN(H246/'NM Play'!$B$12,0)*'NM Play'!$B$44/'NM Play'!$B$16)/('NM Play'!$B$43/'NM Play'!$B$15+'NM Play'!$B$44/'NM Play'!$B$16))</f>
        <v/>
      </c>
      <c r="M246" s="160">
        <f>F246*'NM Play'!$B$36</f>
        <v/>
      </c>
      <c r="N246" s="160">
        <f>ROUNDDOWN(MAX(0,MIN(J246,K246:M246)),0)</f>
        <v/>
      </c>
      <c r="O246" s="160">
        <f>ROUNDUP(MAX(0,N246*'NM Play'!$B$11-G246)/'NM Play'!$B$13,0)</f>
        <v/>
      </c>
      <c r="P246" s="160">
        <f>ROUNDUP(MAX(0,N246*'NM Play'!$B$12-H246)/'NM Play'!$B$14,0)</f>
        <v/>
      </c>
      <c r="Q246" s="160">
        <f>(O246+IF('Sites'!$C$6="Own sheets",P246,0))/'NM Play'!$B$10</f>
        <v/>
      </c>
      <c r="R246" s="160">
        <f>O246/'NM Play'!$B$15+P246/'NM Play'!$B$16</f>
        <v/>
      </c>
      <c r="S246" s="160">
        <f>MAX(Q246,R246,N246/'NM Play'!$B$36)</f>
        <v/>
      </c>
      <c r="T246" s="160">
        <f>Q246*'NM Play'!$B$10*'NM Play'!$B$21*(1+'NM Play'!$B$35)</f>
        <v/>
      </c>
      <c r="U246" s="160">
        <f>MAX(0,T246-I246)</f>
        <v/>
      </c>
      <c r="V246" s="160">
        <f>G246+O246*'NM Play'!$B$13-N246*'NM Play'!$B$11</f>
        <v/>
      </c>
      <c r="W246" s="160">
        <f>H246+P246*'NM Play'!$B$14-N246*'NM Play'!$B$12</f>
        <v/>
      </c>
      <c r="X246" s="160">
        <f>I246+U246-T246</f>
        <v/>
      </c>
      <c r="Y246" s="160">
        <f>MIN(N246,MAX(0,ROUNDDOWN('Sites'!$N$6*'Cases'!$E$8,0)-0))</f>
        <v/>
      </c>
      <c r="Z246" s="160">
        <f>N246-Y246</f>
        <v/>
      </c>
      <c r="AA246" s="160">
        <f>U246*'NM Play'!$B$22</f>
        <v/>
      </c>
      <c r="AB246" s="160">
        <f>N246*SUM('NM Play'!$B$29:$B$31)</f>
        <v/>
      </c>
      <c r="AC246" s="160">
        <f>IF('Sites'!$C$6="Defy legs",P246*'NM Play'!$B$14/'NM Play'!$B$12*'NM Play'!$B$28,0)</f>
        <v/>
      </c>
      <c r="AD246" s="160">
        <f>Q246*'NM Play'!$B$23</f>
        <v/>
      </c>
      <c r="AE246" s="160">
        <f>S246*SUM('NM Play'!$B$26,'NM Play'!$B$33:$B$34)</f>
        <v/>
      </c>
      <c r="AF246" s="160">
        <f>IF('Sites'!$D$6="NM crew",S246*SUM('NM Play'!$B$24:$B$25),0)</f>
        <v/>
      </c>
      <c r="AG246" s="160">
        <f>IF('Sites'!$D$6="NM crew",S246*'NM Play'!$B$27,0)</f>
        <v/>
      </c>
      <c r="AH246" s="160">
        <f>N246*'Sites'!$Z$6*'NM Play'!$B$32</f>
        <v/>
      </c>
      <c r="AI246" s="160">
        <f>SUM(Y246:Z246)*'Sites'!$R$6</f>
        <v/>
      </c>
      <c r="AJ246" s="160">
        <f>SUM(AA246:AH246)</f>
        <v/>
      </c>
      <c r="AK246" s="160">
        <f>AJ246+(T246-U246)*'NM Play'!$B$22+MIN(G246,N246*'NM Play'!$B$11)/'NM Play'!$B$13*'NM Play'!$B$21*'NM Play'!$B$22+MIN(H246,N246*'NM Play'!$B$12)/'NM Play'!$B$14*IF('Sites'!$C$6="Own sheets",'NM Play'!$B$21*'NM Play'!$B$22,'NM Play'!$B$28*'NM Play'!$B$14/'NM Play'!$B$12)</f>
        <v/>
      </c>
      <c r="AL246" s="160">
        <f>Y246*'Assumptions'!AB66</f>
        <v/>
      </c>
      <c r="AM246" s="160">
        <f>IF('Sites'!$D$6="NM crew",S246*'NM Play'!$B$37*(1+IF(AND(ISNUMBER('NM Play'!$B$25),'NM Play'!$B$25&gt;0),1,0)),"")</f>
        <v/>
      </c>
      <c r="AN246" s="160">
        <f>IF(OR('Sites'!$E$6&lt;0,'Sites'!$E$6&gt;1,'Sites'!$F$6&lt;1,'Sites'!$G$6&lt;'Sites'!$F$6,F246&lt;0,MIN('Sites'!$I$6:'Sites'!$R$6)&lt;0,'Sites'!$L$6&gt;'Sites'!$I$6,'Sites'!$M$6&gt;'Sites'!$J$6,'Sites'!$N$6&gt;'Sites'!$K$6,'Sites'!$Z$6&lt;0,'Sites'!$Z$6&gt;1,MIN('Sites'!$AA$6:'Sites'!$AC$6)&lt;0,S246&gt;F246+0.001),1,0)</f>
        <v/>
      </c>
      <c r="AO246" s="160">
        <f>I246+U246-T246-X246</f>
        <v/>
      </c>
    </row>
    <row r="247" ht="28" customHeight="1">
      <c r="A247" s="4" t="inlineStr">
        <is>
          <t>No QBE</t>
        </is>
      </c>
      <c r="B247" s="4" t="inlineStr">
        <is>
          <t>WITTA</t>
        </is>
      </c>
      <c r="C247" s="160" t="n">
        <v>26</v>
      </c>
      <c r="D247" s="160">
        <f>ROUNDUP(C247/12,0)</f>
        <v/>
      </c>
      <c r="E247" s="160">
        <f>IF(AND('Sites'!$E$6=1,C247&gt;='Sites'!$F$6,C247&lt;='Sites'!$G$6),1,0)</f>
        <v/>
      </c>
      <c r="F247" s="160">
        <f>E247*'Assumptions'!AC67</f>
        <v/>
      </c>
      <c r="G247" s="160">
        <f>V246</f>
        <v/>
      </c>
      <c r="H247" s="160">
        <f>W246</f>
        <v/>
      </c>
      <c r="I247" s="160">
        <f>X246</f>
        <v/>
      </c>
      <c r="J247" s="160">
        <f>MAX(0,'Sites'!$K$6-SUM(N246:N246))</f>
        <v/>
      </c>
      <c r="K247" s="160">
        <f>IF('Sites'!$C$6="Own sheets",MIN(ROUNDDOWN(G247/'NM Play'!$B$11,0)+F247*'NM Play'!$B$10/'NM Play'!$B$43,ROUNDDOWN(H247/'NM Play'!$B$12,0)+F247*'NM Play'!$B$10/'NM Play'!$B$44,(F247*'NM Play'!$B$10+ROUNDDOWN(G247/'NM Play'!$B$11,0)*'NM Play'!$B$43+ROUNDDOWN(H247/'NM Play'!$B$12,0)*'NM Play'!$B$44)/('NM Play'!$B$43+'NM Play'!$B$44)),ROUNDDOWN(G247/'NM Play'!$B$11,0)+F247*'NM Play'!$B$10/'NM Play'!$B$43)</f>
        <v/>
      </c>
      <c r="L247" s="160">
        <f>MIN(ROUNDDOWN(G247/'NM Play'!$B$11,0)+F247/('NM Play'!$B$43/'NM Play'!$B$15),ROUNDDOWN(H247/'NM Play'!$B$12,0)+F247/('NM Play'!$B$44/'NM Play'!$B$16),(F247+ROUNDDOWN(G247/'NM Play'!$B$11,0)*'NM Play'!$B$43/'NM Play'!$B$15+ROUNDDOWN(H247/'NM Play'!$B$12,0)*'NM Play'!$B$44/'NM Play'!$B$16)/('NM Play'!$B$43/'NM Play'!$B$15+'NM Play'!$B$44/'NM Play'!$B$16))</f>
        <v/>
      </c>
      <c r="M247" s="160">
        <f>F247*'NM Play'!$B$36</f>
        <v/>
      </c>
      <c r="N247" s="160">
        <f>ROUNDDOWN(MAX(0,MIN(J247,K247:M247)),0)</f>
        <v/>
      </c>
      <c r="O247" s="160">
        <f>ROUNDUP(MAX(0,N247*'NM Play'!$B$11-G247)/'NM Play'!$B$13,0)</f>
        <v/>
      </c>
      <c r="P247" s="160">
        <f>ROUNDUP(MAX(0,N247*'NM Play'!$B$12-H247)/'NM Play'!$B$14,0)</f>
        <v/>
      </c>
      <c r="Q247" s="160">
        <f>(O247+IF('Sites'!$C$6="Own sheets",P247,0))/'NM Play'!$B$10</f>
        <v/>
      </c>
      <c r="R247" s="160">
        <f>O247/'NM Play'!$B$15+P247/'NM Play'!$B$16</f>
        <v/>
      </c>
      <c r="S247" s="160">
        <f>MAX(Q247,R247,N247/'NM Play'!$B$36)</f>
        <v/>
      </c>
      <c r="T247" s="160">
        <f>Q247*'NM Play'!$B$10*'NM Play'!$B$21*(1+'NM Play'!$B$35)</f>
        <v/>
      </c>
      <c r="U247" s="160">
        <f>MAX(0,T247-I247)</f>
        <v/>
      </c>
      <c r="V247" s="160">
        <f>G247+O247*'NM Play'!$B$13-N247*'NM Play'!$B$11</f>
        <v/>
      </c>
      <c r="W247" s="160">
        <f>H247+P247*'NM Play'!$B$14-N247*'NM Play'!$B$12</f>
        <v/>
      </c>
      <c r="X247" s="160">
        <f>I247+U247-T247</f>
        <v/>
      </c>
      <c r="Y247" s="160">
        <f>MIN(N247,MAX(0,ROUNDDOWN('Sites'!$N$6*'Cases'!$E$8,0)-SUM(Y246:Y246)))</f>
        <v/>
      </c>
      <c r="Z247" s="160">
        <f>N247-Y247</f>
        <v/>
      </c>
      <c r="AA247" s="160">
        <f>U247*'NM Play'!$B$22</f>
        <v/>
      </c>
      <c r="AB247" s="160">
        <f>N247*SUM('NM Play'!$B$29:$B$31)</f>
        <v/>
      </c>
      <c r="AC247" s="160">
        <f>IF('Sites'!$C$6="Defy legs",P247*'NM Play'!$B$14/'NM Play'!$B$12*'NM Play'!$B$28,0)</f>
        <v/>
      </c>
      <c r="AD247" s="160">
        <f>Q247*'NM Play'!$B$23</f>
        <v/>
      </c>
      <c r="AE247" s="160">
        <f>S247*SUM('NM Play'!$B$26,'NM Play'!$B$33:$B$34)</f>
        <v/>
      </c>
      <c r="AF247" s="160">
        <f>IF('Sites'!$D$6="NM crew",S247*SUM('NM Play'!$B$24:$B$25),0)</f>
        <v/>
      </c>
      <c r="AG247" s="160">
        <f>IF('Sites'!$D$6="NM crew",S247*'NM Play'!$B$27,0)</f>
        <v/>
      </c>
      <c r="AH247" s="160">
        <f>N247*'Sites'!$Z$6*'NM Play'!$B$32</f>
        <v/>
      </c>
      <c r="AI247" s="160">
        <f>SUM(Y247:Z247)*'Sites'!$R$6</f>
        <v/>
      </c>
      <c r="AJ247" s="160">
        <f>SUM(AA247:AH247)</f>
        <v/>
      </c>
      <c r="AK247" s="160">
        <f>AJ247+(T247-U247)*'NM Play'!$B$22+MIN(G247,N247*'NM Play'!$B$11)/'NM Play'!$B$13*'NM Play'!$B$21*'NM Play'!$B$22+MIN(H247,N247*'NM Play'!$B$12)/'NM Play'!$B$14*IF('Sites'!$C$6="Own sheets",'NM Play'!$B$21*'NM Play'!$B$22,'NM Play'!$B$28*'NM Play'!$B$14/'NM Play'!$B$12)</f>
        <v/>
      </c>
      <c r="AL247" s="160">
        <f>Y247*'Assumptions'!AC66</f>
        <v/>
      </c>
      <c r="AM247" s="160">
        <f>IF('Sites'!$D$6="NM crew",S247*'NM Play'!$B$37*(1+IF(AND(ISNUMBER('NM Play'!$B$25),'NM Play'!$B$25&gt;0),1,0)),"")</f>
        <v/>
      </c>
      <c r="AN247" s="160">
        <f>IF(OR('Sites'!$E$6&lt;0,'Sites'!$E$6&gt;1,'Sites'!$F$6&lt;1,'Sites'!$G$6&lt;'Sites'!$F$6,F247&lt;0,MIN('Sites'!$I$6:'Sites'!$R$6)&lt;0,'Sites'!$L$6&gt;'Sites'!$I$6,'Sites'!$M$6&gt;'Sites'!$J$6,'Sites'!$N$6&gt;'Sites'!$K$6,'Sites'!$Z$6&lt;0,'Sites'!$Z$6&gt;1,MIN('Sites'!$AA$6:'Sites'!$AC$6)&lt;0,S247&gt;F247+0.001),1,0)</f>
        <v/>
      </c>
      <c r="AO247" s="160">
        <f>I247+U247-T247-X247</f>
        <v/>
      </c>
    </row>
    <row r="248" ht="28" customHeight="1">
      <c r="A248" s="4" t="inlineStr">
        <is>
          <t>No QBE</t>
        </is>
      </c>
      <c r="B248" s="4" t="inlineStr">
        <is>
          <t>WITTA</t>
        </is>
      </c>
      <c r="C248" s="160" t="n">
        <v>27</v>
      </c>
      <c r="D248" s="160">
        <f>ROUNDUP(C248/12,0)</f>
        <v/>
      </c>
      <c r="E248" s="160">
        <f>IF(AND('Sites'!$E$6=1,C248&gt;='Sites'!$F$6,C248&lt;='Sites'!$G$6),1,0)</f>
        <v/>
      </c>
      <c r="F248" s="160">
        <f>E248*'Assumptions'!AD67</f>
        <v/>
      </c>
      <c r="G248" s="160">
        <f>V247</f>
        <v/>
      </c>
      <c r="H248" s="160">
        <f>W247</f>
        <v/>
      </c>
      <c r="I248" s="160">
        <f>X247</f>
        <v/>
      </c>
      <c r="J248" s="160">
        <f>MAX(0,'Sites'!$K$6-SUM(N246:N247))</f>
        <v/>
      </c>
      <c r="K248" s="160">
        <f>IF('Sites'!$C$6="Own sheets",MIN(ROUNDDOWN(G248/'NM Play'!$B$11,0)+F248*'NM Play'!$B$10/'NM Play'!$B$43,ROUNDDOWN(H248/'NM Play'!$B$12,0)+F248*'NM Play'!$B$10/'NM Play'!$B$44,(F248*'NM Play'!$B$10+ROUNDDOWN(G248/'NM Play'!$B$11,0)*'NM Play'!$B$43+ROUNDDOWN(H248/'NM Play'!$B$12,0)*'NM Play'!$B$44)/('NM Play'!$B$43+'NM Play'!$B$44)),ROUNDDOWN(G248/'NM Play'!$B$11,0)+F248*'NM Play'!$B$10/'NM Play'!$B$43)</f>
        <v/>
      </c>
      <c r="L248" s="160">
        <f>MIN(ROUNDDOWN(G248/'NM Play'!$B$11,0)+F248/('NM Play'!$B$43/'NM Play'!$B$15),ROUNDDOWN(H248/'NM Play'!$B$12,0)+F248/('NM Play'!$B$44/'NM Play'!$B$16),(F248+ROUNDDOWN(G248/'NM Play'!$B$11,0)*'NM Play'!$B$43/'NM Play'!$B$15+ROUNDDOWN(H248/'NM Play'!$B$12,0)*'NM Play'!$B$44/'NM Play'!$B$16)/('NM Play'!$B$43/'NM Play'!$B$15+'NM Play'!$B$44/'NM Play'!$B$16))</f>
        <v/>
      </c>
      <c r="M248" s="160">
        <f>F248*'NM Play'!$B$36</f>
        <v/>
      </c>
      <c r="N248" s="160">
        <f>ROUNDDOWN(MAX(0,MIN(J248,K248:M248)),0)</f>
        <v/>
      </c>
      <c r="O248" s="160">
        <f>ROUNDUP(MAX(0,N248*'NM Play'!$B$11-G248)/'NM Play'!$B$13,0)</f>
        <v/>
      </c>
      <c r="P248" s="160">
        <f>ROUNDUP(MAX(0,N248*'NM Play'!$B$12-H248)/'NM Play'!$B$14,0)</f>
        <v/>
      </c>
      <c r="Q248" s="160">
        <f>(O248+IF('Sites'!$C$6="Own sheets",P248,0))/'NM Play'!$B$10</f>
        <v/>
      </c>
      <c r="R248" s="160">
        <f>O248/'NM Play'!$B$15+P248/'NM Play'!$B$16</f>
        <v/>
      </c>
      <c r="S248" s="160">
        <f>MAX(Q248,R248,N248/'NM Play'!$B$36)</f>
        <v/>
      </c>
      <c r="T248" s="160">
        <f>Q248*'NM Play'!$B$10*'NM Play'!$B$21*(1+'NM Play'!$B$35)</f>
        <v/>
      </c>
      <c r="U248" s="160">
        <f>MAX(0,T248-I248)</f>
        <v/>
      </c>
      <c r="V248" s="160">
        <f>G248+O248*'NM Play'!$B$13-N248*'NM Play'!$B$11</f>
        <v/>
      </c>
      <c r="W248" s="160">
        <f>H248+P248*'NM Play'!$B$14-N248*'NM Play'!$B$12</f>
        <v/>
      </c>
      <c r="X248" s="160">
        <f>I248+U248-T248</f>
        <v/>
      </c>
      <c r="Y248" s="160">
        <f>MIN(N248,MAX(0,ROUNDDOWN('Sites'!$N$6*'Cases'!$E$8,0)-SUM(Y246:Y247)))</f>
        <v/>
      </c>
      <c r="Z248" s="160">
        <f>N248-Y248</f>
        <v/>
      </c>
      <c r="AA248" s="160">
        <f>U248*'NM Play'!$B$22</f>
        <v/>
      </c>
      <c r="AB248" s="160">
        <f>N248*SUM('NM Play'!$B$29:$B$31)</f>
        <v/>
      </c>
      <c r="AC248" s="160">
        <f>IF('Sites'!$C$6="Defy legs",P248*'NM Play'!$B$14/'NM Play'!$B$12*'NM Play'!$B$28,0)</f>
        <v/>
      </c>
      <c r="AD248" s="160">
        <f>Q248*'NM Play'!$B$23</f>
        <v/>
      </c>
      <c r="AE248" s="160">
        <f>S248*SUM('NM Play'!$B$26,'NM Play'!$B$33:$B$34)</f>
        <v/>
      </c>
      <c r="AF248" s="160">
        <f>IF('Sites'!$D$6="NM crew",S248*SUM('NM Play'!$B$24:$B$25),0)</f>
        <v/>
      </c>
      <c r="AG248" s="160">
        <f>IF('Sites'!$D$6="NM crew",S248*'NM Play'!$B$27,0)</f>
        <v/>
      </c>
      <c r="AH248" s="160">
        <f>N248*'Sites'!$Z$6*'NM Play'!$B$32</f>
        <v/>
      </c>
      <c r="AI248" s="160">
        <f>SUM(Y248:Z248)*'Sites'!$R$6</f>
        <v/>
      </c>
      <c r="AJ248" s="160">
        <f>SUM(AA248:AH248)</f>
        <v/>
      </c>
      <c r="AK248" s="160">
        <f>AJ248+(T248-U248)*'NM Play'!$B$22+MIN(G248,N248*'NM Play'!$B$11)/'NM Play'!$B$13*'NM Play'!$B$21*'NM Play'!$B$22+MIN(H248,N248*'NM Play'!$B$12)/'NM Play'!$B$14*IF('Sites'!$C$6="Own sheets",'NM Play'!$B$21*'NM Play'!$B$22,'NM Play'!$B$28*'NM Play'!$B$14/'NM Play'!$B$12)</f>
        <v/>
      </c>
      <c r="AL248" s="160">
        <f>Y248*'Assumptions'!AD66</f>
        <v/>
      </c>
      <c r="AM248" s="160">
        <f>IF('Sites'!$D$6="NM crew",S248*'NM Play'!$B$37*(1+IF(AND(ISNUMBER('NM Play'!$B$25),'NM Play'!$B$25&gt;0),1,0)),"")</f>
        <v/>
      </c>
      <c r="AN248" s="160">
        <f>IF(OR('Sites'!$E$6&lt;0,'Sites'!$E$6&gt;1,'Sites'!$F$6&lt;1,'Sites'!$G$6&lt;'Sites'!$F$6,F248&lt;0,MIN('Sites'!$I$6:'Sites'!$R$6)&lt;0,'Sites'!$L$6&gt;'Sites'!$I$6,'Sites'!$M$6&gt;'Sites'!$J$6,'Sites'!$N$6&gt;'Sites'!$K$6,'Sites'!$Z$6&lt;0,'Sites'!$Z$6&gt;1,MIN('Sites'!$AA$6:'Sites'!$AC$6)&lt;0,S248&gt;F248+0.001),1,0)</f>
        <v/>
      </c>
      <c r="AO248" s="160">
        <f>I248+U248-T248-X248</f>
        <v/>
      </c>
    </row>
    <row r="249" ht="28" customHeight="1">
      <c r="A249" s="4" t="inlineStr">
        <is>
          <t>No QBE</t>
        </is>
      </c>
      <c r="B249" s="4" t="inlineStr">
        <is>
          <t>WITTA</t>
        </is>
      </c>
      <c r="C249" s="160" t="n">
        <v>28</v>
      </c>
      <c r="D249" s="160">
        <f>ROUNDUP(C249/12,0)</f>
        <v/>
      </c>
      <c r="E249" s="160">
        <f>IF(AND('Sites'!$E$6=1,C249&gt;='Sites'!$F$6,C249&lt;='Sites'!$G$6),1,0)</f>
        <v/>
      </c>
      <c r="F249" s="160">
        <f>E249*'Assumptions'!AE67</f>
        <v/>
      </c>
      <c r="G249" s="160">
        <f>V248</f>
        <v/>
      </c>
      <c r="H249" s="160">
        <f>W248</f>
        <v/>
      </c>
      <c r="I249" s="160">
        <f>X248</f>
        <v/>
      </c>
      <c r="J249" s="160">
        <f>MAX(0,'Sites'!$K$6-SUM(N246:N248))</f>
        <v/>
      </c>
      <c r="K249" s="160">
        <f>IF('Sites'!$C$6="Own sheets",MIN(ROUNDDOWN(G249/'NM Play'!$B$11,0)+F249*'NM Play'!$B$10/'NM Play'!$B$43,ROUNDDOWN(H249/'NM Play'!$B$12,0)+F249*'NM Play'!$B$10/'NM Play'!$B$44,(F249*'NM Play'!$B$10+ROUNDDOWN(G249/'NM Play'!$B$11,0)*'NM Play'!$B$43+ROUNDDOWN(H249/'NM Play'!$B$12,0)*'NM Play'!$B$44)/('NM Play'!$B$43+'NM Play'!$B$44)),ROUNDDOWN(G249/'NM Play'!$B$11,0)+F249*'NM Play'!$B$10/'NM Play'!$B$43)</f>
        <v/>
      </c>
      <c r="L249" s="160">
        <f>MIN(ROUNDDOWN(G249/'NM Play'!$B$11,0)+F249/('NM Play'!$B$43/'NM Play'!$B$15),ROUNDDOWN(H249/'NM Play'!$B$12,0)+F249/('NM Play'!$B$44/'NM Play'!$B$16),(F249+ROUNDDOWN(G249/'NM Play'!$B$11,0)*'NM Play'!$B$43/'NM Play'!$B$15+ROUNDDOWN(H249/'NM Play'!$B$12,0)*'NM Play'!$B$44/'NM Play'!$B$16)/('NM Play'!$B$43/'NM Play'!$B$15+'NM Play'!$B$44/'NM Play'!$B$16))</f>
        <v/>
      </c>
      <c r="M249" s="160">
        <f>F249*'NM Play'!$B$36</f>
        <v/>
      </c>
      <c r="N249" s="160">
        <f>ROUNDDOWN(MAX(0,MIN(J249,K249:M249)),0)</f>
        <v/>
      </c>
      <c r="O249" s="160">
        <f>ROUNDUP(MAX(0,N249*'NM Play'!$B$11-G249)/'NM Play'!$B$13,0)</f>
        <v/>
      </c>
      <c r="P249" s="160">
        <f>ROUNDUP(MAX(0,N249*'NM Play'!$B$12-H249)/'NM Play'!$B$14,0)</f>
        <v/>
      </c>
      <c r="Q249" s="160">
        <f>(O249+IF('Sites'!$C$6="Own sheets",P249,0))/'NM Play'!$B$10</f>
        <v/>
      </c>
      <c r="R249" s="160">
        <f>O249/'NM Play'!$B$15+P249/'NM Play'!$B$16</f>
        <v/>
      </c>
      <c r="S249" s="160">
        <f>MAX(Q249,R249,N249/'NM Play'!$B$36)</f>
        <v/>
      </c>
      <c r="T249" s="160">
        <f>Q249*'NM Play'!$B$10*'NM Play'!$B$21*(1+'NM Play'!$B$35)</f>
        <v/>
      </c>
      <c r="U249" s="160">
        <f>MAX(0,T249-I249)</f>
        <v/>
      </c>
      <c r="V249" s="160">
        <f>G249+O249*'NM Play'!$B$13-N249*'NM Play'!$B$11</f>
        <v/>
      </c>
      <c r="W249" s="160">
        <f>H249+P249*'NM Play'!$B$14-N249*'NM Play'!$B$12</f>
        <v/>
      </c>
      <c r="X249" s="160">
        <f>I249+U249-T249</f>
        <v/>
      </c>
      <c r="Y249" s="160">
        <f>MIN(N249,MAX(0,ROUNDDOWN('Sites'!$N$6*'Cases'!$E$8,0)-SUM(Y246:Y248)))</f>
        <v/>
      </c>
      <c r="Z249" s="160">
        <f>N249-Y249</f>
        <v/>
      </c>
      <c r="AA249" s="160">
        <f>U249*'NM Play'!$B$22</f>
        <v/>
      </c>
      <c r="AB249" s="160">
        <f>N249*SUM('NM Play'!$B$29:$B$31)</f>
        <v/>
      </c>
      <c r="AC249" s="160">
        <f>IF('Sites'!$C$6="Defy legs",P249*'NM Play'!$B$14/'NM Play'!$B$12*'NM Play'!$B$28,0)</f>
        <v/>
      </c>
      <c r="AD249" s="160">
        <f>Q249*'NM Play'!$B$23</f>
        <v/>
      </c>
      <c r="AE249" s="160">
        <f>S249*SUM('NM Play'!$B$26,'NM Play'!$B$33:$B$34)</f>
        <v/>
      </c>
      <c r="AF249" s="160">
        <f>IF('Sites'!$D$6="NM crew",S249*SUM('NM Play'!$B$24:$B$25),0)</f>
        <v/>
      </c>
      <c r="AG249" s="160">
        <f>IF('Sites'!$D$6="NM crew",S249*'NM Play'!$B$27,0)</f>
        <v/>
      </c>
      <c r="AH249" s="160">
        <f>N249*'Sites'!$Z$6*'NM Play'!$B$32</f>
        <v/>
      </c>
      <c r="AI249" s="160">
        <f>SUM(Y249:Z249)*'Sites'!$R$6</f>
        <v/>
      </c>
      <c r="AJ249" s="160">
        <f>SUM(AA249:AH249)</f>
        <v/>
      </c>
      <c r="AK249" s="160">
        <f>AJ249+(T249-U249)*'NM Play'!$B$22+MIN(G249,N249*'NM Play'!$B$11)/'NM Play'!$B$13*'NM Play'!$B$21*'NM Play'!$B$22+MIN(H249,N249*'NM Play'!$B$12)/'NM Play'!$B$14*IF('Sites'!$C$6="Own sheets",'NM Play'!$B$21*'NM Play'!$B$22,'NM Play'!$B$28*'NM Play'!$B$14/'NM Play'!$B$12)</f>
        <v/>
      </c>
      <c r="AL249" s="160">
        <f>Y249*'Assumptions'!AE66</f>
        <v/>
      </c>
      <c r="AM249" s="160">
        <f>IF('Sites'!$D$6="NM crew",S249*'NM Play'!$B$37*(1+IF(AND(ISNUMBER('NM Play'!$B$25),'NM Play'!$B$25&gt;0),1,0)),"")</f>
        <v/>
      </c>
      <c r="AN249" s="160">
        <f>IF(OR('Sites'!$E$6&lt;0,'Sites'!$E$6&gt;1,'Sites'!$F$6&lt;1,'Sites'!$G$6&lt;'Sites'!$F$6,F249&lt;0,MIN('Sites'!$I$6:'Sites'!$R$6)&lt;0,'Sites'!$L$6&gt;'Sites'!$I$6,'Sites'!$M$6&gt;'Sites'!$J$6,'Sites'!$N$6&gt;'Sites'!$K$6,'Sites'!$Z$6&lt;0,'Sites'!$Z$6&gt;1,MIN('Sites'!$AA$6:'Sites'!$AC$6)&lt;0,S249&gt;F249+0.001),1,0)</f>
        <v/>
      </c>
      <c r="AO249" s="160">
        <f>I249+U249-T249-X249</f>
        <v/>
      </c>
    </row>
    <row r="250" ht="28" customHeight="1">
      <c r="A250" s="4" t="inlineStr">
        <is>
          <t>No QBE</t>
        </is>
      </c>
      <c r="B250" s="4" t="inlineStr">
        <is>
          <t>WITTA</t>
        </is>
      </c>
      <c r="C250" s="160" t="n">
        <v>29</v>
      </c>
      <c r="D250" s="160">
        <f>ROUNDUP(C250/12,0)</f>
        <v/>
      </c>
      <c r="E250" s="160">
        <f>IF(AND('Sites'!$E$6=1,C250&gt;='Sites'!$F$6,C250&lt;='Sites'!$G$6),1,0)</f>
        <v/>
      </c>
      <c r="F250" s="160">
        <f>E250*'Assumptions'!AF67</f>
        <v/>
      </c>
      <c r="G250" s="160">
        <f>V249</f>
        <v/>
      </c>
      <c r="H250" s="160">
        <f>W249</f>
        <v/>
      </c>
      <c r="I250" s="160">
        <f>X249</f>
        <v/>
      </c>
      <c r="J250" s="160">
        <f>MAX(0,'Sites'!$K$6-SUM(N246:N249))</f>
        <v/>
      </c>
      <c r="K250" s="160">
        <f>IF('Sites'!$C$6="Own sheets",MIN(ROUNDDOWN(G250/'NM Play'!$B$11,0)+F250*'NM Play'!$B$10/'NM Play'!$B$43,ROUNDDOWN(H250/'NM Play'!$B$12,0)+F250*'NM Play'!$B$10/'NM Play'!$B$44,(F250*'NM Play'!$B$10+ROUNDDOWN(G250/'NM Play'!$B$11,0)*'NM Play'!$B$43+ROUNDDOWN(H250/'NM Play'!$B$12,0)*'NM Play'!$B$44)/('NM Play'!$B$43+'NM Play'!$B$44)),ROUNDDOWN(G250/'NM Play'!$B$11,0)+F250*'NM Play'!$B$10/'NM Play'!$B$43)</f>
        <v/>
      </c>
      <c r="L250" s="160">
        <f>MIN(ROUNDDOWN(G250/'NM Play'!$B$11,0)+F250/('NM Play'!$B$43/'NM Play'!$B$15),ROUNDDOWN(H250/'NM Play'!$B$12,0)+F250/('NM Play'!$B$44/'NM Play'!$B$16),(F250+ROUNDDOWN(G250/'NM Play'!$B$11,0)*'NM Play'!$B$43/'NM Play'!$B$15+ROUNDDOWN(H250/'NM Play'!$B$12,0)*'NM Play'!$B$44/'NM Play'!$B$16)/('NM Play'!$B$43/'NM Play'!$B$15+'NM Play'!$B$44/'NM Play'!$B$16))</f>
        <v/>
      </c>
      <c r="M250" s="160">
        <f>F250*'NM Play'!$B$36</f>
        <v/>
      </c>
      <c r="N250" s="160">
        <f>ROUNDDOWN(MAX(0,MIN(J250,K250:M250)),0)</f>
        <v/>
      </c>
      <c r="O250" s="160">
        <f>ROUNDUP(MAX(0,N250*'NM Play'!$B$11-G250)/'NM Play'!$B$13,0)</f>
        <v/>
      </c>
      <c r="P250" s="160">
        <f>ROUNDUP(MAX(0,N250*'NM Play'!$B$12-H250)/'NM Play'!$B$14,0)</f>
        <v/>
      </c>
      <c r="Q250" s="160">
        <f>(O250+IF('Sites'!$C$6="Own sheets",P250,0))/'NM Play'!$B$10</f>
        <v/>
      </c>
      <c r="R250" s="160">
        <f>O250/'NM Play'!$B$15+P250/'NM Play'!$B$16</f>
        <v/>
      </c>
      <c r="S250" s="160">
        <f>MAX(Q250,R250,N250/'NM Play'!$B$36)</f>
        <v/>
      </c>
      <c r="T250" s="160">
        <f>Q250*'NM Play'!$B$10*'NM Play'!$B$21*(1+'NM Play'!$B$35)</f>
        <v/>
      </c>
      <c r="U250" s="160">
        <f>MAX(0,T250-I250)</f>
        <v/>
      </c>
      <c r="V250" s="160">
        <f>G250+O250*'NM Play'!$B$13-N250*'NM Play'!$B$11</f>
        <v/>
      </c>
      <c r="W250" s="160">
        <f>H250+P250*'NM Play'!$B$14-N250*'NM Play'!$B$12</f>
        <v/>
      </c>
      <c r="X250" s="160">
        <f>I250+U250-T250</f>
        <v/>
      </c>
      <c r="Y250" s="160">
        <f>MIN(N250,MAX(0,ROUNDDOWN('Sites'!$N$6*'Cases'!$E$8,0)-SUM(Y246:Y249)))</f>
        <v/>
      </c>
      <c r="Z250" s="160">
        <f>N250-Y250</f>
        <v/>
      </c>
      <c r="AA250" s="160">
        <f>U250*'NM Play'!$B$22</f>
        <v/>
      </c>
      <c r="AB250" s="160">
        <f>N250*SUM('NM Play'!$B$29:$B$31)</f>
        <v/>
      </c>
      <c r="AC250" s="160">
        <f>IF('Sites'!$C$6="Defy legs",P250*'NM Play'!$B$14/'NM Play'!$B$12*'NM Play'!$B$28,0)</f>
        <v/>
      </c>
      <c r="AD250" s="160">
        <f>Q250*'NM Play'!$B$23</f>
        <v/>
      </c>
      <c r="AE250" s="160">
        <f>S250*SUM('NM Play'!$B$26,'NM Play'!$B$33:$B$34)</f>
        <v/>
      </c>
      <c r="AF250" s="160">
        <f>IF('Sites'!$D$6="NM crew",S250*SUM('NM Play'!$B$24:$B$25),0)</f>
        <v/>
      </c>
      <c r="AG250" s="160">
        <f>IF('Sites'!$D$6="NM crew",S250*'NM Play'!$B$27,0)</f>
        <v/>
      </c>
      <c r="AH250" s="160">
        <f>N250*'Sites'!$Z$6*'NM Play'!$B$32</f>
        <v/>
      </c>
      <c r="AI250" s="160">
        <f>SUM(Y250:Z250)*'Sites'!$R$6</f>
        <v/>
      </c>
      <c r="AJ250" s="160">
        <f>SUM(AA250:AH250)</f>
        <v/>
      </c>
      <c r="AK250" s="160">
        <f>AJ250+(T250-U250)*'NM Play'!$B$22+MIN(G250,N250*'NM Play'!$B$11)/'NM Play'!$B$13*'NM Play'!$B$21*'NM Play'!$B$22+MIN(H250,N250*'NM Play'!$B$12)/'NM Play'!$B$14*IF('Sites'!$C$6="Own sheets",'NM Play'!$B$21*'NM Play'!$B$22,'NM Play'!$B$28*'NM Play'!$B$14/'NM Play'!$B$12)</f>
        <v/>
      </c>
      <c r="AL250" s="160">
        <f>Y250*'Assumptions'!AF66</f>
        <v/>
      </c>
      <c r="AM250" s="160">
        <f>IF('Sites'!$D$6="NM crew",S250*'NM Play'!$B$37*(1+IF(AND(ISNUMBER('NM Play'!$B$25),'NM Play'!$B$25&gt;0),1,0)),"")</f>
        <v/>
      </c>
      <c r="AN250" s="160">
        <f>IF(OR('Sites'!$E$6&lt;0,'Sites'!$E$6&gt;1,'Sites'!$F$6&lt;1,'Sites'!$G$6&lt;'Sites'!$F$6,F250&lt;0,MIN('Sites'!$I$6:'Sites'!$R$6)&lt;0,'Sites'!$L$6&gt;'Sites'!$I$6,'Sites'!$M$6&gt;'Sites'!$J$6,'Sites'!$N$6&gt;'Sites'!$K$6,'Sites'!$Z$6&lt;0,'Sites'!$Z$6&gt;1,MIN('Sites'!$AA$6:'Sites'!$AC$6)&lt;0,S250&gt;F250+0.001),1,0)</f>
        <v/>
      </c>
      <c r="AO250" s="160">
        <f>I250+U250-T250-X250</f>
        <v/>
      </c>
    </row>
    <row r="251" ht="28" customHeight="1">
      <c r="A251" s="4" t="inlineStr">
        <is>
          <t>No QBE</t>
        </is>
      </c>
      <c r="B251" s="4" t="inlineStr">
        <is>
          <t>WITTA</t>
        </is>
      </c>
      <c r="C251" s="160" t="n">
        <v>30</v>
      </c>
      <c r="D251" s="160">
        <f>ROUNDUP(C251/12,0)</f>
        <v/>
      </c>
      <c r="E251" s="160">
        <f>IF(AND('Sites'!$E$6=1,C251&gt;='Sites'!$F$6,C251&lt;='Sites'!$G$6),1,0)</f>
        <v/>
      </c>
      <c r="F251" s="160">
        <f>E251*'Assumptions'!AG67</f>
        <v/>
      </c>
      <c r="G251" s="160">
        <f>V250</f>
        <v/>
      </c>
      <c r="H251" s="160">
        <f>W250</f>
        <v/>
      </c>
      <c r="I251" s="160">
        <f>X250</f>
        <v/>
      </c>
      <c r="J251" s="160">
        <f>MAX(0,'Sites'!$K$6-SUM(N246:N250))</f>
        <v/>
      </c>
      <c r="K251" s="160">
        <f>IF('Sites'!$C$6="Own sheets",MIN(ROUNDDOWN(G251/'NM Play'!$B$11,0)+F251*'NM Play'!$B$10/'NM Play'!$B$43,ROUNDDOWN(H251/'NM Play'!$B$12,0)+F251*'NM Play'!$B$10/'NM Play'!$B$44,(F251*'NM Play'!$B$10+ROUNDDOWN(G251/'NM Play'!$B$11,0)*'NM Play'!$B$43+ROUNDDOWN(H251/'NM Play'!$B$12,0)*'NM Play'!$B$44)/('NM Play'!$B$43+'NM Play'!$B$44)),ROUNDDOWN(G251/'NM Play'!$B$11,0)+F251*'NM Play'!$B$10/'NM Play'!$B$43)</f>
        <v/>
      </c>
      <c r="L251" s="160">
        <f>MIN(ROUNDDOWN(G251/'NM Play'!$B$11,0)+F251/('NM Play'!$B$43/'NM Play'!$B$15),ROUNDDOWN(H251/'NM Play'!$B$12,0)+F251/('NM Play'!$B$44/'NM Play'!$B$16),(F251+ROUNDDOWN(G251/'NM Play'!$B$11,0)*'NM Play'!$B$43/'NM Play'!$B$15+ROUNDDOWN(H251/'NM Play'!$B$12,0)*'NM Play'!$B$44/'NM Play'!$B$16)/('NM Play'!$B$43/'NM Play'!$B$15+'NM Play'!$B$44/'NM Play'!$B$16))</f>
        <v/>
      </c>
      <c r="M251" s="160">
        <f>F251*'NM Play'!$B$36</f>
        <v/>
      </c>
      <c r="N251" s="160">
        <f>ROUNDDOWN(MAX(0,MIN(J251,K251:M251)),0)</f>
        <v/>
      </c>
      <c r="O251" s="160">
        <f>ROUNDUP(MAX(0,N251*'NM Play'!$B$11-G251)/'NM Play'!$B$13,0)</f>
        <v/>
      </c>
      <c r="P251" s="160">
        <f>ROUNDUP(MAX(0,N251*'NM Play'!$B$12-H251)/'NM Play'!$B$14,0)</f>
        <v/>
      </c>
      <c r="Q251" s="160">
        <f>(O251+IF('Sites'!$C$6="Own sheets",P251,0))/'NM Play'!$B$10</f>
        <v/>
      </c>
      <c r="R251" s="160">
        <f>O251/'NM Play'!$B$15+P251/'NM Play'!$B$16</f>
        <v/>
      </c>
      <c r="S251" s="160">
        <f>MAX(Q251,R251,N251/'NM Play'!$B$36)</f>
        <v/>
      </c>
      <c r="T251" s="160">
        <f>Q251*'NM Play'!$B$10*'NM Play'!$B$21*(1+'NM Play'!$B$35)</f>
        <v/>
      </c>
      <c r="U251" s="160">
        <f>MAX(0,T251-I251)</f>
        <v/>
      </c>
      <c r="V251" s="160">
        <f>G251+O251*'NM Play'!$B$13-N251*'NM Play'!$B$11</f>
        <v/>
      </c>
      <c r="W251" s="160">
        <f>H251+P251*'NM Play'!$B$14-N251*'NM Play'!$B$12</f>
        <v/>
      </c>
      <c r="X251" s="160">
        <f>I251+U251-T251</f>
        <v/>
      </c>
      <c r="Y251" s="160">
        <f>MIN(N251,MAX(0,ROUNDDOWN('Sites'!$N$6*'Cases'!$E$8,0)-SUM(Y246:Y250)))</f>
        <v/>
      </c>
      <c r="Z251" s="160">
        <f>N251-Y251</f>
        <v/>
      </c>
      <c r="AA251" s="160">
        <f>U251*'NM Play'!$B$22</f>
        <v/>
      </c>
      <c r="AB251" s="160">
        <f>N251*SUM('NM Play'!$B$29:$B$31)</f>
        <v/>
      </c>
      <c r="AC251" s="160">
        <f>IF('Sites'!$C$6="Defy legs",P251*'NM Play'!$B$14/'NM Play'!$B$12*'NM Play'!$B$28,0)</f>
        <v/>
      </c>
      <c r="AD251" s="160">
        <f>Q251*'NM Play'!$B$23</f>
        <v/>
      </c>
      <c r="AE251" s="160">
        <f>S251*SUM('NM Play'!$B$26,'NM Play'!$B$33:$B$34)</f>
        <v/>
      </c>
      <c r="AF251" s="160">
        <f>IF('Sites'!$D$6="NM crew",S251*SUM('NM Play'!$B$24:$B$25),0)</f>
        <v/>
      </c>
      <c r="AG251" s="160">
        <f>IF('Sites'!$D$6="NM crew",S251*'NM Play'!$B$27,0)</f>
        <v/>
      </c>
      <c r="AH251" s="160">
        <f>N251*'Sites'!$Z$6*'NM Play'!$B$32</f>
        <v/>
      </c>
      <c r="AI251" s="160">
        <f>SUM(Y251:Z251)*'Sites'!$R$6</f>
        <v/>
      </c>
      <c r="AJ251" s="160">
        <f>SUM(AA251:AH251)</f>
        <v/>
      </c>
      <c r="AK251" s="160">
        <f>AJ251+(T251-U251)*'NM Play'!$B$22+MIN(G251,N251*'NM Play'!$B$11)/'NM Play'!$B$13*'NM Play'!$B$21*'NM Play'!$B$22+MIN(H251,N251*'NM Play'!$B$12)/'NM Play'!$B$14*IF('Sites'!$C$6="Own sheets",'NM Play'!$B$21*'NM Play'!$B$22,'NM Play'!$B$28*'NM Play'!$B$14/'NM Play'!$B$12)</f>
        <v/>
      </c>
      <c r="AL251" s="160">
        <f>Y251*'Assumptions'!AG66</f>
        <v/>
      </c>
      <c r="AM251" s="160">
        <f>IF('Sites'!$D$6="NM crew",S251*'NM Play'!$B$37*(1+IF(AND(ISNUMBER('NM Play'!$B$25),'NM Play'!$B$25&gt;0),1,0)),"")</f>
        <v/>
      </c>
      <c r="AN251" s="160">
        <f>IF(OR('Sites'!$E$6&lt;0,'Sites'!$E$6&gt;1,'Sites'!$F$6&lt;1,'Sites'!$G$6&lt;'Sites'!$F$6,F251&lt;0,MIN('Sites'!$I$6:'Sites'!$R$6)&lt;0,'Sites'!$L$6&gt;'Sites'!$I$6,'Sites'!$M$6&gt;'Sites'!$J$6,'Sites'!$N$6&gt;'Sites'!$K$6,'Sites'!$Z$6&lt;0,'Sites'!$Z$6&gt;1,MIN('Sites'!$AA$6:'Sites'!$AC$6)&lt;0,S251&gt;F251+0.001),1,0)</f>
        <v/>
      </c>
      <c r="AO251" s="160">
        <f>I251+U251-T251-X251</f>
        <v/>
      </c>
    </row>
    <row r="252" ht="28" customHeight="1">
      <c r="A252" s="4" t="inlineStr">
        <is>
          <t>No QBE</t>
        </is>
      </c>
      <c r="B252" s="4" t="inlineStr">
        <is>
          <t>WITTA</t>
        </is>
      </c>
      <c r="C252" s="160" t="n">
        <v>31</v>
      </c>
      <c r="D252" s="160">
        <f>ROUNDUP(C252/12,0)</f>
        <v/>
      </c>
      <c r="E252" s="160">
        <f>IF(AND('Sites'!$E$6=1,C252&gt;='Sites'!$F$6,C252&lt;='Sites'!$G$6),1,0)</f>
        <v/>
      </c>
      <c r="F252" s="160">
        <f>E252*'Assumptions'!AH67</f>
        <v/>
      </c>
      <c r="G252" s="160">
        <f>V251</f>
        <v/>
      </c>
      <c r="H252" s="160">
        <f>W251</f>
        <v/>
      </c>
      <c r="I252" s="160">
        <f>X251</f>
        <v/>
      </c>
      <c r="J252" s="160">
        <f>MAX(0,'Sites'!$K$6-SUM(N246:N251))</f>
        <v/>
      </c>
      <c r="K252" s="160">
        <f>IF('Sites'!$C$6="Own sheets",MIN(ROUNDDOWN(G252/'NM Play'!$B$11,0)+F252*'NM Play'!$B$10/'NM Play'!$B$43,ROUNDDOWN(H252/'NM Play'!$B$12,0)+F252*'NM Play'!$B$10/'NM Play'!$B$44,(F252*'NM Play'!$B$10+ROUNDDOWN(G252/'NM Play'!$B$11,0)*'NM Play'!$B$43+ROUNDDOWN(H252/'NM Play'!$B$12,0)*'NM Play'!$B$44)/('NM Play'!$B$43+'NM Play'!$B$44)),ROUNDDOWN(G252/'NM Play'!$B$11,0)+F252*'NM Play'!$B$10/'NM Play'!$B$43)</f>
        <v/>
      </c>
      <c r="L252" s="160">
        <f>MIN(ROUNDDOWN(G252/'NM Play'!$B$11,0)+F252/('NM Play'!$B$43/'NM Play'!$B$15),ROUNDDOWN(H252/'NM Play'!$B$12,0)+F252/('NM Play'!$B$44/'NM Play'!$B$16),(F252+ROUNDDOWN(G252/'NM Play'!$B$11,0)*'NM Play'!$B$43/'NM Play'!$B$15+ROUNDDOWN(H252/'NM Play'!$B$12,0)*'NM Play'!$B$44/'NM Play'!$B$16)/('NM Play'!$B$43/'NM Play'!$B$15+'NM Play'!$B$44/'NM Play'!$B$16))</f>
        <v/>
      </c>
      <c r="M252" s="160">
        <f>F252*'NM Play'!$B$36</f>
        <v/>
      </c>
      <c r="N252" s="160">
        <f>ROUNDDOWN(MAX(0,MIN(J252,K252:M252)),0)</f>
        <v/>
      </c>
      <c r="O252" s="160">
        <f>ROUNDUP(MAX(0,N252*'NM Play'!$B$11-G252)/'NM Play'!$B$13,0)</f>
        <v/>
      </c>
      <c r="P252" s="160">
        <f>ROUNDUP(MAX(0,N252*'NM Play'!$B$12-H252)/'NM Play'!$B$14,0)</f>
        <v/>
      </c>
      <c r="Q252" s="160">
        <f>(O252+IF('Sites'!$C$6="Own sheets",P252,0))/'NM Play'!$B$10</f>
        <v/>
      </c>
      <c r="R252" s="160">
        <f>O252/'NM Play'!$B$15+P252/'NM Play'!$B$16</f>
        <v/>
      </c>
      <c r="S252" s="160">
        <f>MAX(Q252,R252,N252/'NM Play'!$B$36)</f>
        <v/>
      </c>
      <c r="T252" s="160">
        <f>Q252*'NM Play'!$B$10*'NM Play'!$B$21*(1+'NM Play'!$B$35)</f>
        <v/>
      </c>
      <c r="U252" s="160">
        <f>MAX(0,T252-I252)</f>
        <v/>
      </c>
      <c r="V252" s="160">
        <f>G252+O252*'NM Play'!$B$13-N252*'NM Play'!$B$11</f>
        <v/>
      </c>
      <c r="W252" s="160">
        <f>H252+P252*'NM Play'!$B$14-N252*'NM Play'!$B$12</f>
        <v/>
      </c>
      <c r="X252" s="160">
        <f>I252+U252-T252</f>
        <v/>
      </c>
      <c r="Y252" s="160">
        <f>MIN(N252,MAX(0,ROUNDDOWN('Sites'!$N$6*'Cases'!$E$8,0)-SUM(Y246:Y251)))</f>
        <v/>
      </c>
      <c r="Z252" s="160">
        <f>N252-Y252</f>
        <v/>
      </c>
      <c r="AA252" s="160">
        <f>U252*'NM Play'!$B$22</f>
        <v/>
      </c>
      <c r="AB252" s="160">
        <f>N252*SUM('NM Play'!$B$29:$B$31)</f>
        <v/>
      </c>
      <c r="AC252" s="160">
        <f>IF('Sites'!$C$6="Defy legs",P252*'NM Play'!$B$14/'NM Play'!$B$12*'NM Play'!$B$28,0)</f>
        <v/>
      </c>
      <c r="AD252" s="160">
        <f>Q252*'NM Play'!$B$23</f>
        <v/>
      </c>
      <c r="AE252" s="160">
        <f>S252*SUM('NM Play'!$B$26,'NM Play'!$B$33:$B$34)</f>
        <v/>
      </c>
      <c r="AF252" s="160">
        <f>IF('Sites'!$D$6="NM crew",S252*SUM('NM Play'!$B$24:$B$25),0)</f>
        <v/>
      </c>
      <c r="AG252" s="160">
        <f>IF('Sites'!$D$6="NM crew",S252*'NM Play'!$B$27,0)</f>
        <v/>
      </c>
      <c r="AH252" s="160">
        <f>N252*'Sites'!$Z$6*'NM Play'!$B$32</f>
        <v/>
      </c>
      <c r="AI252" s="160">
        <f>SUM(Y252:Z252)*'Sites'!$R$6</f>
        <v/>
      </c>
      <c r="AJ252" s="160">
        <f>SUM(AA252:AH252)</f>
        <v/>
      </c>
      <c r="AK252" s="160">
        <f>AJ252+(T252-U252)*'NM Play'!$B$22+MIN(G252,N252*'NM Play'!$B$11)/'NM Play'!$B$13*'NM Play'!$B$21*'NM Play'!$B$22+MIN(H252,N252*'NM Play'!$B$12)/'NM Play'!$B$14*IF('Sites'!$C$6="Own sheets",'NM Play'!$B$21*'NM Play'!$B$22,'NM Play'!$B$28*'NM Play'!$B$14/'NM Play'!$B$12)</f>
        <v/>
      </c>
      <c r="AL252" s="160">
        <f>Y252*'Assumptions'!AH66</f>
        <v/>
      </c>
      <c r="AM252" s="160">
        <f>IF('Sites'!$D$6="NM crew",S252*'NM Play'!$B$37*(1+IF(AND(ISNUMBER('NM Play'!$B$25),'NM Play'!$B$25&gt;0),1,0)),"")</f>
        <v/>
      </c>
      <c r="AN252" s="160">
        <f>IF(OR('Sites'!$E$6&lt;0,'Sites'!$E$6&gt;1,'Sites'!$F$6&lt;1,'Sites'!$G$6&lt;'Sites'!$F$6,F252&lt;0,MIN('Sites'!$I$6:'Sites'!$R$6)&lt;0,'Sites'!$L$6&gt;'Sites'!$I$6,'Sites'!$M$6&gt;'Sites'!$J$6,'Sites'!$N$6&gt;'Sites'!$K$6,'Sites'!$Z$6&lt;0,'Sites'!$Z$6&gt;1,MIN('Sites'!$AA$6:'Sites'!$AC$6)&lt;0,S252&gt;F252+0.001),1,0)</f>
        <v/>
      </c>
      <c r="AO252" s="160">
        <f>I252+U252-T252-X252</f>
        <v/>
      </c>
    </row>
    <row r="253" ht="28" customHeight="1">
      <c r="A253" s="4" t="inlineStr">
        <is>
          <t>No QBE</t>
        </is>
      </c>
      <c r="B253" s="4" t="inlineStr">
        <is>
          <t>WITTA</t>
        </is>
      </c>
      <c r="C253" s="160" t="n">
        <v>32</v>
      </c>
      <c r="D253" s="160">
        <f>ROUNDUP(C253/12,0)</f>
        <v/>
      </c>
      <c r="E253" s="160">
        <f>IF(AND('Sites'!$E$6=1,C253&gt;='Sites'!$F$6,C253&lt;='Sites'!$G$6),1,0)</f>
        <v/>
      </c>
      <c r="F253" s="160">
        <f>E253*'Assumptions'!AI67</f>
        <v/>
      </c>
      <c r="G253" s="160">
        <f>V252</f>
        <v/>
      </c>
      <c r="H253" s="160">
        <f>W252</f>
        <v/>
      </c>
      <c r="I253" s="160">
        <f>X252</f>
        <v/>
      </c>
      <c r="J253" s="160">
        <f>MAX(0,'Sites'!$K$6-SUM(N246:N252))</f>
        <v/>
      </c>
      <c r="K253" s="160">
        <f>IF('Sites'!$C$6="Own sheets",MIN(ROUNDDOWN(G253/'NM Play'!$B$11,0)+F253*'NM Play'!$B$10/'NM Play'!$B$43,ROUNDDOWN(H253/'NM Play'!$B$12,0)+F253*'NM Play'!$B$10/'NM Play'!$B$44,(F253*'NM Play'!$B$10+ROUNDDOWN(G253/'NM Play'!$B$11,0)*'NM Play'!$B$43+ROUNDDOWN(H253/'NM Play'!$B$12,0)*'NM Play'!$B$44)/('NM Play'!$B$43+'NM Play'!$B$44)),ROUNDDOWN(G253/'NM Play'!$B$11,0)+F253*'NM Play'!$B$10/'NM Play'!$B$43)</f>
        <v/>
      </c>
      <c r="L253" s="160">
        <f>MIN(ROUNDDOWN(G253/'NM Play'!$B$11,0)+F253/('NM Play'!$B$43/'NM Play'!$B$15),ROUNDDOWN(H253/'NM Play'!$B$12,0)+F253/('NM Play'!$B$44/'NM Play'!$B$16),(F253+ROUNDDOWN(G253/'NM Play'!$B$11,0)*'NM Play'!$B$43/'NM Play'!$B$15+ROUNDDOWN(H253/'NM Play'!$B$12,0)*'NM Play'!$B$44/'NM Play'!$B$16)/('NM Play'!$B$43/'NM Play'!$B$15+'NM Play'!$B$44/'NM Play'!$B$16))</f>
        <v/>
      </c>
      <c r="M253" s="160">
        <f>F253*'NM Play'!$B$36</f>
        <v/>
      </c>
      <c r="N253" s="160">
        <f>ROUNDDOWN(MAX(0,MIN(J253,K253:M253)),0)</f>
        <v/>
      </c>
      <c r="O253" s="160">
        <f>ROUNDUP(MAX(0,N253*'NM Play'!$B$11-G253)/'NM Play'!$B$13,0)</f>
        <v/>
      </c>
      <c r="P253" s="160">
        <f>ROUNDUP(MAX(0,N253*'NM Play'!$B$12-H253)/'NM Play'!$B$14,0)</f>
        <v/>
      </c>
      <c r="Q253" s="160">
        <f>(O253+IF('Sites'!$C$6="Own sheets",P253,0))/'NM Play'!$B$10</f>
        <v/>
      </c>
      <c r="R253" s="160">
        <f>O253/'NM Play'!$B$15+P253/'NM Play'!$B$16</f>
        <v/>
      </c>
      <c r="S253" s="160">
        <f>MAX(Q253,R253,N253/'NM Play'!$B$36)</f>
        <v/>
      </c>
      <c r="T253" s="160">
        <f>Q253*'NM Play'!$B$10*'NM Play'!$B$21*(1+'NM Play'!$B$35)</f>
        <v/>
      </c>
      <c r="U253" s="160">
        <f>MAX(0,T253-I253)</f>
        <v/>
      </c>
      <c r="V253" s="160">
        <f>G253+O253*'NM Play'!$B$13-N253*'NM Play'!$B$11</f>
        <v/>
      </c>
      <c r="W253" s="160">
        <f>H253+P253*'NM Play'!$B$14-N253*'NM Play'!$B$12</f>
        <v/>
      </c>
      <c r="X253" s="160">
        <f>I253+U253-T253</f>
        <v/>
      </c>
      <c r="Y253" s="160">
        <f>MIN(N253,MAX(0,ROUNDDOWN('Sites'!$N$6*'Cases'!$E$8,0)-SUM(Y246:Y252)))</f>
        <v/>
      </c>
      <c r="Z253" s="160">
        <f>N253-Y253</f>
        <v/>
      </c>
      <c r="AA253" s="160">
        <f>U253*'NM Play'!$B$22</f>
        <v/>
      </c>
      <c r="AB253" s="160">
        <f>N253*SUM('NM Play'!$B$29:$B$31)</f>
        <v/>
      </c>
      <c r="AC253" s="160">
        <f>IF('Sites'!$C$6="Defy legs",P253*'NM Play'!$B$14/'NM Play'!$B$12*'NM Play'!$B$28,0)</f>
        <v/>
      </c>
      <c r="AD253" s="160">
        <f>Q253*'NM Play'!$B$23</f>
        <v/>
      </c>
      <c r="AE253" s="160">
        <f>S253*SUM('NM Play'!$B$26,'NM Play'!$B$33:$B$34)</f>
        <v/>
      </c>
      <c r="AF253" s="160">
        <f>IF('Sites'!$D$6="NM crew",S253*SUM('NM Play'!$B$24:$B$25),0)</f>
        <v/>
      </c>
      <c r="AG253" s="160">
        <f>IF('Sites'!$D$6="NM crew",S253*'NM Play'!$B$27,0)</f>
        <v/>
      </c>
      <c r="AH253" s="160">
        <f>N253*'Sites'!$Z$6*'NM Play'!$B$32</f>
        <v/>
      </c>
      <c r="AI253" s="160">
        <f>SUM(Y253:Z253)*'Sites'!$R$6</f>
        <v/>
      </c>
      <c r="AJ253" s="160">
        <f>SUM(AA253:AH253)</f>
        <v/>
      </c>
      <c r="AK253" s="160">
        <f>AJ253+(T253-U253)*'NM Play'!$B$22+MIN(G253,N253*'NM Play'!$B$11)/'NM Play'!$B$13*'NM Play'!$B$21*'NM Play'!$B$22+MIN(H253,N253*'NM Play'!$B$12)/'NM Play'!$B$14*IF('Sites'!$C$6="Own sheets",'NM Play'!$B$21*'NM Play'!$B$22,'NM Play'!$B$28*'NM Play'!$B$14/'NM Play'!$B$12)</f>
        <v/>
      </c>
      <c r="AL253" s="160">
        <f>Y253*'Assumptions'!AI66</f>
        <v/>
      </c>
      <c r="AM253" s="160">
        <f>IF('Sites'!$D$6="NM crew",S253*'NM Play'!$B$37*(1+IF(AND(ISNUMBER('NM Play'!$B$25),'NM Play'!$B$25&gt;0),1,0)),"")</f>
        <v/>
      </c>
      <c r="AN253" s="160">
        <f>IF(OR('Sites'!$E$6&lt;0,'Sites'!$E$6&gt;1,'Sites'!$F$6&lt;1,'Sites'!$G$6&lt;'Sites'!$F$6,F253&lt;0,MIN('Sites'!$I$6:'Sites'!$R$6)&lt;0,'Sites'!$L$6&gt;'Sites'!$I$6,'Sites'!$M$6&gt;'Sites'!$J$6,'Sites'!$N$6&gt;'Sites'!$K$6,'Sites'!$Z$6&lt;0,'Sites'!$Z$6&gt;1,MIN('Sites'!$AA$6:'Sites'!$AC$6)&lt;0,S253&gt;F253+0.001),1,0)</f>
        <v/>
      </c>
      <c r="AO253" s="160">
        <f>I253+U253-T253-X253</f>
        <v/>
      </c>
    </row>
    <row r="254" ht="28" customHeight="1">
      <c r="A254" s="4" t="inlineStr">
        <is>
          <t>No QBE</t>
        </is>
      </c>
      <c r="B254" s="4" t="inlineStr">
        <is>
          <t>WITTA</t>
        </is>
      </c>
      <c r="C254" s="160" t="n">
        <v>33</v>
      </c>
      <c r="D254" s="160">
        <f>ROUNDUP(C254/12,0)</f>
        <v/>
      </c>
      <c r="E254" s="160">
        <f>IF(AND('Sites'!$E$6=1,C254&gt;='Sites'!$F$6,C254&lt;='Sites'!$G$6),1,0)</f>
        <v/>
      </c>
      <c r="F254" s="160">
        <f>E254*'Assumptions'!AJ67</f>
        <v/>
      </c>
      <c r="G254" s="160">
        <f>V253</f>
        <v/>
      </c>
      <c r="H254" s="160">
        <f>W253</f>
        <v/>
      </c>
      <c r="I254" s="160">
        <f>X253</f>
        <v/>
      </c>
      <c r="J254" s="160">
        <f>MAX(0,'Sites'!$K$6-SUM(N246:N253))</f>
        <v/>
      </c>
      <c r="K254" s="160">
        <f>IF('Sites'!$C$6="Own sheets",MIN(ROUNDDOWN(G254/'NM Play'!$B$11,0)+F254*'NM Play'!$B$10/'NM Play'!$B$43,ROUNDDOWN(H254/'NM Play'!$B$12,0)+F254*'NM Play'!$B$10/'NM Play'!$B$44,(F254*'NM Play'!$B$10+ROUNDDOWN(G254/'NM Play'!$B$11,0)*'NM Play'!$B$43+ROUNDDOWN(H254/'NM Play'!$B$12,0)*'NM Play'!$B$44)/('NM Play'!$B$43+'NM Play'!$B$44)),ROUNDDOWN(G254/'NM Play'!$B$11,0)+F254*'NM Play'!$B$10/'NM Play'!$B$43)</f>
        <v/>
      </c>
      <c r="L254" s="160">
        <f>MIN(ROUNDDOWN(G254/'NM Play'!$B$11,0)+F254/('NM Play'!$B$43/'NM Play'!$B$15),ROUNDDOWN(H254/'NM Play'!$B$12,0)+F254/('NM Play'!$B$44/'NM Play'!$B$16),(F254+ROUNDDOWN(G254/'NM Play'!$B$11,0)*'NM Play'!$B$43/'NM Play'!$B$15+ROUNDDOWN(H254/'NM Play'!$B$12,0)*'NM Play'!$B$44/'NM Play'!$B$16)/('NM Play'!$B$43/'NM Play'!$B$15+'NM Play'!$B$44/'NM Play'!$B$16))</f>
        <v/>
      </c>
      <c r="M254" s="160">
        <f>F254*'NM Play'!$B$36</f>
        <v/>
      </c>
      <c r="N254" s="160">
        <f>ROUNDDOWN(MAX(0,MIN(J254,K254:M254)),0)</f>
        <v/>
      </c>
      <c r="O254" s="160">
        <f>ROUNDUP(MAX(0,N254*'NM Play'!$B$11-G254)/'NM Play'!$B$13,0)</f>
        <v/>
      </c>
      <c r="P254" s="160">
        <f>ROUNDUP(MAX(0,N254*'NM Play'!$B$12-H254)/'NM Play'!$B$14,0)</f>
        <v/>
      </c>
      <c r="Q254" s="160">
        <f>(O254+IF('Sites'!$C$6="Own sheets",P254,0))/'NM Play'!$B$10</f>
        <v/>
      </c>
      <c r="R254" s="160">
        <f>O254/'NM Play'!$B$15+P254/'NM Play'!$B$16</f>
        <v/>
      </c>
      <c r="S254" s="160">
        <f>MAX(Q254,R254,N254/'NM Play'!$B$36)</f>
        <v/>
      </c>
      <c r="T254" s="160">
        <f>Q254*'NM Play'!$B$10*'NM Play'!$B$21*(1+'NM Play'!$B$35)</f>
        <v/>
      </c>
      <c r="U254" s="160">
        <f>MAX(0,T254-I254)</f>
        <v/>
      </c>
      <c r="V254" s="160">
        <f>G254+O254*'NM Play'!$B$13-N254*'NM Play'!$B$11</f>
        <v/>
      </c>
      <c r="W254" s="160">
        <f>H254+P254*'NM Play'!$B$14-N254*'NM Play'!$B$12</f>
        <v/>
      </c>
      <c r="X254" s="160">
        <f>I254+U254-T254</f>
        <v/>
      </c>
      <c r="Y254" s="160">
        <f>MIN(N254,MAX(0,ROUNDDOWN('Sites'!$N$6*'Cases'!$E$8,0)-SUM(Y246:Y253)))</f>
        <v/>
      </c>
      <c r="Z254" s="160">
        <f>N254-Y254</f>
        <v/>
      </c>
      <c r="AA254" s="160">
        <f>U254*'NM Play'!$B$22</f>
        <v/>
      </c>
      <c r="AB254" s="160">
        <f>N254*SUM('NM Play'!$B$29:$B$31)</f>
        <v/>
      </c>
      <c r="AC254" s="160">
        <f>IF('Sites'!$C$6="Defy legs",P254*'NM Play'!$B$14/'NM Play'!$B$12*'NM Play'!$B$28,0)</f>
        <v/>
      </c>
      <c r="AD254" s="160">
        <f>Q254*'NM Play'!$B$23</f>
        <v/>
      </c>
      <c r="AE254" s="160">
        <f>S254*SUM('NM Play'!$B$26,'NM Play'!$B$33:$B$34)</f>
        <v/>
      </c>
      <c r="AF254" s="160">
        <f>IF('Sites'!$D$6="NM crew",S254*SUM('NM Play'!$B$24:$B$25),0)</f>
        <v/>
      </c>
      <c r="AG254" s="160">
        <f>IF('Sites'!$D$6="NM crew",S254*'NM Play'!$B$27,0)</f>
        <v/>
      </c>
      <c r="AH254" s="160">
        <f>N254*'Sites'!$Z$6*'NM Play'!$B$32</f>
        <v/>
      </c>
      <c r="AI254" s="160">
        <f>SUM(Y254:Z254)*'Sites'!$R$6</f>
        <v/>
      </c>
      <c r="AJ254" s="160">
        <f>SUM(AA254:AH254)</f>
        <v/>
      </c>
      <c r="AK254" s="160">
        <f>AJ254+(T254-U254)*'NM Play'!$B$22+MIN(G254,N254*'NM Play'!$B$11)/'NM Play'!$B$13*'NM Play'!$B$21*'NM Play'!$B$22+MIN(H254,N254*'NM Play'!$B$12)/'NM Play'!$B$14*IF('Sites'!$C$6="Own sheets",'NM Play'!$B$21*'NM Play'!$B$22,'NM Play'!$B$28*'NM Play'!$B$14/'NM Play'!$B$12)</f>
        <v/>
      </c>
      <c r="AL254" s="160">
        <f>Y254*'Assumptions'!AJ66</f>
        <v/>
      </c>
      <c r="AM254" s="160">
        <f>IF('Sites'!$D$6="NM crew",S254*'NM Play'!$B$37*(1+IF(AND(ISNUMBER('NM Play'!$B$25),'NM Play'!$B$25&gt;0),1,0)),"")</f>
        <v/>
      </c>
      <c r="AN254" s="160">
        <f>IF(OR('Sites'!$E$6&lt;0,'Sites'!$E$6&gt;1,'Sites'!$F$6&lt;1,'Sites'!$G$6&lt;'Sites'!$F$6,F254&lt;0,MIN('Sites'!$I$6:'Sites'!$R$6)&lt;0,'Sites'!$L$6&gt;'Sites'!$I$6,'Sites'!$M$6&gt;'Sites'!$J$6,'Sites'!$N$6&gt;'Sites'!$K$6,'Sites'!$Z$6&lt;0,'Sites'!$Z$6&gt;1,MIN('Sites'!$AA$6:'Sites'!$AC$6)&lt;0,S254&gt;F254+0.001),1,0)</f>
        <v/>
      </c>
      <c r="AO254" s="160">
        <f>I254+U254-T254-X254</f>
        <v/>
      </c>
    </row>
    <row r="255" ht="28" customHeight="1">
      <c r="A255" s="4" t="inlineStr">
        <is>
          <t>No QBE</t>
        </is>
      </c>
      <c r="B255" s="4" t="inlineStr">
        <is>
          <t>WITTA</t>
        </is>
      </c>
      <c r="C255" s="160" t="n">
        <v>34</v>
      </c>
      <c r="D255" s="160">
        <f>ROUNDUP(C255/12,0)</f>
        <v/>
      </c>
      <c r="E255" s="160">
        <f>IF(AND('Sites'!$E$6=1,C255&gt;='Sites'!$F$6,C255&lt;='Sites'!$G$6),1,0)</f>
        <v/>
      </c>
      <c r="F255" s="160">
        <f>E255*'Assumptions'!AK67</f>
        <v/>
      </c>
      <c r="G255" s="160">
        <f>V254</f>
        <v/>
      </c>
      <c r="H255" s="160">
        <f>W254</f>
        <v/>
      </c>
      <c r="I255" s="160">
        <f>X254</f>
        <v/>
      </c>
      <c r="J255" s="160">
        <f>MAX(0,'Sites'!$K$6-SUM(N246:N254))</f>
        <v/>
      </c>
      <c r="K255" s="160">
        <f>IF('Sites'!$C$6="Own sheets",MIN(ROUNDDOWN(G255/'NM Play'!$B$11,0)+F255*'NM Play'!$B$10/'NM Play'!$B$43,ROUNDDOWN(H255/'NM Play'!$B$12,0)+F255*'NM Play'!$B$10/'NM Play'!$B$44,(F255*'NM Play'!$B$10+ROUNDDOWN(G255/'NM Play'!$B$11,0)*'NM Play'!$B$43+ROUNDDOWN(H255/'NM Play'!$B$12,0)*'NM Play'!$B$44)/('NM Play'!$B$43+'NM Play'!$B$44)),ROUNDDOWN(G255/'NM Play'!$B$11,0)+F255*'NM Play'!$B$10/'NM Play'!$B$43)</f>
        <v/>
      </c>
      <c r="L255" s="160">
        <f>MIN(ROUNDDOWN(G255/'NM Play'!$B$11,0)+F255/('NM Play'!$B$43/'NM Play'!$B$15),ROUNDDOWN(H255/'NM Play'!$B$12,0)+F255/('NM Play'!$B$44/'NM Play'!$B$16),(F255+ROUNDDOWN(G255/'NM Play'!$B$11,0)*'NM Play'!$B$43/'NM Play'!$B$15+ROUNDDOWN(H255/'NM Play'!$B$12,0)*'NM Play'!$B$44/'NM Play'!$B$16)/('NM Play'!$B$43/'NM Play'!$B$15+'NM Play'!$B$44/'NM Play'!$B$16))</f>
        <v/>
      </c>
      <c r="M255" s="160">
        <f>F255*'NM Play'!$B$36</f>
        <v/>
      </c>
      <c r="N255" s="160">
        <f>ROUNDDOWN(MAX(0,MIN(J255,K255:M255)),0)</f>
        <v/>
      </c>
      <c r="O255" s="160">
        <f>ROUNDUP(MAX(0,N255*'NM Play'!$B$11-G255)/'NM Play'!$B$13,0)</f>
        <v/>
      </c>
      <c r="P255" s="160">
        <f>ROUNDUP(MAX(0,N255*'NM Play'!$B$12-H255)/'NM Play'!$B$14,0)</f>
        <v/>
      </c>
      <c r="Q255" s="160">
        <f>(O255+IF('Sites'!$C$6="Own sheets",P255,0))/'NM Play'!$B$10</f>
        <v/>
      </c>
      <c r="R255" s="160">
        <f>O255/'NM Play'!$B$15+P255/'NM Play'!$B$16</f>
        <v/>
      </c>
      <c r="S255" s="160">
        <f>MAX(Q255,R255,N255/'NM Play'!$B$36)</f>
        <v/>
      </c>
      <c r="T255" s="160">
        <f>Q255*'NM Play'!$B$10*'NM Play'!$B$21*(1+'NM Play'!$B$35)</f>
        <v/>
      </c>
      <c r="U255" s="160">
        <f>MAX(0,T255-I255)</f>
        <v/>
      </c>
      <c r="V255" s="160">
        <f>G255+O255*'NM Play'!$B$13-N255*'NM Play'!$B$11</f>
        <v/>
      </c>
      <c r="W255" s="160">
        <f>H255+P255*'NM Play'!$B$14-N255*'NM Play'!$B$12</f>
        <v/>
      </c>
      <c r="X255" s="160">
        <f>I255+U255-T255</f>
        <v/>
      </c>
      <c r="Y255" s="160">
        <f>MIN(N255,MAX(0,ROUNDDOWN('Sites'!$N$6*'Cases'!$E$8,0)-SUM(Y246:Y254)))</f>
        <v/>
      </c>
      <c r="Z255" s="160">
        <f>N255-Y255</f>
        <v/>
      </c>
      <c r="AA255" s="160">
        <f>U255*'NM Play'!$B$22</f>
        <v/>
      </c>
      <c r="AB255" s="160">
        <f>N255*SUM('NM Play'!$B$29:$B$31)</f>
        <v/>
      </c>
      <c r="AC255" s="160">
        <f>IF('Sites'!$C$6="Defy legs",P255*'NM Play'!$B$14/'NM Play'!$B$12*'NM Play'!$B$28,0)</f>
        <v/>
      </c>
      <c r="AD255" s="160">
        <f>Q255*'NM Play'!$B$23</f>
        <v/>
      </c>
      <c r="AE255" s="160">
        <f>S255*SUM('NM Play'!$B$26,'NM Play'!$B$33:$B$34)</f>
        <v/>
      </c>
      <c r="AF255" s="160">
        <f>IF('Sites'!$D$6="NM crew",S255*SUM('NM Play'!$B$24:$B$25),0)</f>
        <v/>
      </c>
      <c r="AG255" s="160">
        <f>IF('Sites'!$D$6="NM crew",S255*'NM Play'!$B$27,0)</f>
        <v/>
      </c>
      <c r="AH255" s="160">
        <f>N255*'Sites'!$Z$6*'NM Play'!$B$32</f>
        <v/>
      </c>
      <c r="AI255" s="160">
        <f>SUM(Y255:Z255)*'Sites'!$R$6</f>
        <v/>
      </c>
      <c r="AJ255" s="160">
        <f>SUM(AA255:AH255)</f>
        <v/>
      </c>
      <c r="AK255" s="160">
        <f>AJ255+(T255-U255)*'NM Play'!$B$22+MIN(G255,N255*'NM Play'!$B$11)/'NM Play'!$B$13*'NM Play'!$B$21*'NM Play'!$B$22+MIN(H255,N255*'NM Play'!$B$12)/'NM Play'!$B$14*IF('Sites'!$C$6="Own sheets",'NM Play'!$B$21*'NM Play'!$B$22,'NM Play'!$B$28*'NM Play'!$B$14/'NM Play'!$B$12)</f>
        <v/>
      </c>
      <c r="AL255" s="160">
        <f>Y255*'Assumptions'!AK66</f>
        <v/>
      </c>
      <c r="AM255" s="160">
        <f>IF('Sites'!$D$6="NM crew",S255*'NM Play'!$B$37*(1+IF(AND(ISNUMBER('NM Play'!$B$25),'NM Play'!$B$25&gt;0),1,0)),"")</f>
        <v/>
      </c>
      <c r="AN255" s="160">
        <f>IF(OR('Sites'!$E$6&lt;0,'Sites'!$E$6&gt;1,'Sites'!$F$6&lt;1,'Sites'!$G$6&lt;'Sites'!$F$6,F255&lt;0,MIN('Sites'!$I$6:'Sites'!$R$6)&lt;0,'Sites'!$L$6&gt;'Sites'!$I$6,'Sites'!$M$6&gt;'Sites'!$J$6,'Sites'!$N$6&gt;'Sites'!$K$6,'Sites'!$Z$6&lt;0,'Sites'!$Z$6&gt;1,MIN('Sites'!$AA$6:'Sites'!$AC$6)&lt;0,S255&gt;F255+0.001),1,0)</f>
        <v/>
      </c>
      <c r="AO255" s="160">
        <f>I255+U255-T255-X255</f>
        <v/>
      </c>
    </row>
    <row r="256" ht="28" customHeight="1">
      <c r="A256" s="4" t="inlineStr">
        <is>
          <t>No QBE</t>
        </is>
      </c>
      <c r="B256" s="4" t="inlineStr">
        <is>
          <t>WITTA</t>
        </is>
      </c>
      <c r="C256" s="160" t="n">
        <v>35</v>
      </c>
      <c r="D256" s="160">
        <f>ROUNDUP(C256/12,0)</f>
        <v/>
      </c>
      <c r="E256" s="160">
        <f>IF(AND('Sites'!$E$6=1,C256&gt;='Sites'!$F$6,C256&lt;='Sites'!$G$6),1,0)</f>
        <v/>
      </c>
      <c r="F256" s="160">
        <f>E256*'Assumptions'!AL67</f>
        <v/>
      </c>
      <c r="G256" s="160">
        <f>V255</f>
        <v/>
      </c>
      <c r="H256" s="160">
        <f>W255</f>
        <v/>
      </c>
      <c r="I256" s="160">
        <f>X255</f>
        <v/>
      </c>
      <c r="J256" s="160">
        <f>MAX(0,'Sites'!$K$6-SUM(N246:N255))</f>
        <v/>
      </c>
      <c r="K256" s="160">
        <f>IF('Sites'!$C$6="Own sheets",MIN(ROUNDDOWN(G256/'NM Play'!$B$11,0)+F256*'NM Play'!$B$10/'NM Play'!$B$43,ROUNDDOWN(H256/'NM Play'!$B$12,0)+F256*'NM Play'!$B$10/'NM Play'!$B$44,(F256*'NM Play'!$B$10+ROUNDDOWN(G256/'NM Play'!$B$11,0)*'NM Play'!$B$43+ROUNDDOWN(H256/'NM Play'!$B$12,0)*'NM Play'!$B$44)/('NM Play'!$B$43+'NM Play'!$B$44)),ROUNDDOWN(G256/'NM Play'!$B$11,0)+F256*'NM Play'!$B$10/'NM Play'!$B$43)</f>
        <v/>
      </c>
      <c r="L256" s="160">
        <f>MIN(ROUNDDOWN(G256/'NM Play'!$B$11,0)+F256/('NM Play'!$B$43/'NM Play'!$B$15),ROUNDDOWN(H256/'NM Play'!$B$12,0)+F256/('NM Play'!$B$44/'NM Play'!$B$16),(F256+ROUNDDOWN(G256/'NM Play'!$B$11,0)*'NM Play'!$B$43/'NM Play'!$B$15+ROUNDDOWN(H256/'NM Play'!$B$12,0)*'NM Play'!$B$44/'NM Play'!$B$16)/('NM Play'!$B$43/'NM Play'!$B$15+'NM Play'!$B$44/'NM Play'!$B$16))</f>
        <v/>
      </c>
      <c r="M256" s="160">
        <f>F256*'NM Play'!$B$36</f>
        <v/>
      </c>
      <c r="N256" s="160">
        <f>ROUNDDOWN(MAX(0,MIN(J256,K256:M256)),0)</f>
        <v/>
      </c>
      <c r="O256" s="160">
        <f>ROUNDUP(MAX(0,N256*'NM Play'!$B$11-G256)/'NM Play'!$B$13,0)</f>
        <v/>
      </c>
      <c r="P256" s="160">
        <f>ROUNDUP(MAX(0,N256*'NM Play'!$B$12-H256)/'NM Play'!$B$14,0)</f>
        <v/>
      </c>
      <c r="Q256" s="160">
        <f>(O256+IF('Sites'!$C$6="Own sheets",P256,0))/'NM Play'!$B$10</f>
        <v/>
      </c>
      <c r="R256" s="160">
        <f>O256/'NM Play'!$B$15+P256/'NM Play'!$B$16</f>
        <v/>
      </c>
      <c r="S256" s="160">
        <f>MAX(Q256,R256,N256/'NM Play'!$B$36)</f>
        <v/>
      </c>
      <c r="T256" s="160">
        <f>Q256*'NM Play'!$B$10*'NM Play'!$B$21*(1+'NM Play'!$B$35)</f>
        <v/>
      </c>
      <c r="U256" s="160">
        <f>MAX(0,T256-I256)</f>
        <v/>
      </c>
      <c r="V256" s="160">
        <f>G256+O256*'NM Play'!$B$13-N256*'NM Play'!$B$11</f>
        <v/>
      </c>
      <c r="W256" s="160">
        <f>H256+P256*'NM Play'!$B$14-N256*'NM Play'!$B$12</f>
        <v/>
      </c>
      <c r="X256" s="160">
        <f>I256+U256-T256</f>
        <v/>
      </c>
      <c r="Y256" s="160">
        <f>MIN(N256,MAX(0,ROUNDDOWN('Sites'!$N$6*'Cases'!$E$8,0)-SUM(Y246:Y255)))</f>
        <v/>
      </c>
      <c r="Z256" s="160">
        <f>N256-Y256</f>
        <v/>
      </c>
      <c r="AA256" s="160">
        <f>U256*'NM Play'!$B$22</f>
        <v/>
      </c>
      <c r="AB256" s="160">
        <f>N256*SUM('NM Play'!$B$29:$B$31)</f>
        <v/>
      </c>
      <c r="AC256" s="160">
        <f>IF('Sites'!$C$6="Defy legs",P256*'NM Play'!$B$14/'NM Play'!$B$12*'NM Play'!$B$28,0)</f>
        <v/>
      </c>
      <c r="AD256" s="160">
        <f>Q256*'NM Play'!$B$23</f>
        <v/>
      </c>
      <c r="AE256" s="160">
        <f>S256*SUM('NM Play'!$B$26,'NM Play'!$B$33:$B$34)</f>
        <v/>
      </c>
      <c r="AF256" s="160">
        <f>IF('Sites'!$D$6="NM crew",S256*SUM('NM Play'!$B$24:$B$25),0)</f>
        <v/>
      </c>
      <c r="AG256" s="160">
        <f>IF('Sites'!$D$6="NM crew",S256*'NM Play'!$B$27,0)</f>
        <v/>
      </c>
      <c r="AH256" s="160">
        <f>N256*'Sites'!$Z$6*'NM Play'!$B$32</f>
        <v/>
      </c>
      <c r="AI256" s="160">
        <f>SUM(Y256:Z256)*'Sites'!$R$6</f>
        <v/>
      </c>
      <c r="AJ256" s="160">
        <f>SUM(AA256:AH256)</f>
        <v/>
      </c>
      <c r="AK256" s="160">
        <f>AJ256+(T256-U256)*'NM Play'!$B$22+MIN(G256,N256*'NM Play'!$B$11)/'NM Play'!$B$13*'NM Play'!$B$21*'NM Play'!$B$22+MIN(H256,N256*'NM Play'!$B$12)/'NM Play'!$B$14*IF('Sites'!$C$6="Own sheets",'NM Play'!$B$21*'NM Play'!$B$22,'NM Play'!$B$28*'NM Play'!$B$14/'NM Play'!$B$12)</f>
        <v/>
      </c>
      <c r="AL256" s="160">
        <f>Y256*'Assumptions'!AL66</f>
        <v/>
      </c>
      <c r="AM256" s="160">
        <f>IF('Sites'!$D$6="NM crew",S256*'NM Play'!$B$37*(1+IF(AND(ISNUMBER('NM Play'!$B$25),'NM Play'!$B$25&gt;0),1,0)),"")</f>
        <v/>
      </c>
      <c r="AN256" s="160">
        <f>IF(OR('Sites'!$E$6&lt;0,'Sites'!$E$6&gt;1,'Sites'!$F$6&lt;1,'Sites'!$G$6&lt;'Sites'!$F$6,F256&lt;0,MIN('Sites'!$I$6:'Sites'!$R$6)&lt;0,'Sites'!$L$6&gt;'Sites'!$I$6,'Sites'!$M$6&gt;'Sites'!$J$6,'Sites'!$N$6&gt;'Sites'!$K$6,'Sites'!$Z$6&lt;0,'Sites'!$Z$6&gt;1,MIN('Sites'!$AA$6:'Sites'!$AC$6)&lt;0,S256&gt;F256+0.001),1,0)</f>
        <v/>
      </c>
      <c r="AO256" s="160">
        <f>I256+U256-T256-X256</f>
        <v/>
      </c>
    </row>
    <row r="257" ht="28" customHeight="1">
      <c r="A257" s="4" t="inlineStr">
        <is>
          <t>No QBE</t>
        </is>
      </c>
      <c r="B257" s="4" t="inlineStr">
        <is>
          <t>WITTA</t>
        </is>
      </c>
      <c r="C257" s="160" t="n">
        <v>36</v>
      </c>
      <c r="D257" s="160">
        <f>ROUNDUP(C257/12,0)</f>
        <v/>
      </c>
      <c r="E257" s="160">
        <f>IF(AND('Sites'!$E$6=1,C257&gt;='Sites'!$F$6,C257&lt;='Sites'!$G$6),1,0)</f>
        <v/>
      </c>
      <c r="F257" s="160">
        <f>E257*'Assumptions'!AM67</f>
        <v/>
      </c>
      <c r="G257" s="160">
        <f>V256</f>
        <v/>
      </c>
      <c r="H257" s="160">
        <f>W256</f>
        <v/>
      </c>
      <c r="I257" s="160">
        <f>X256</f>
        <v/>
      </c>
      <c r="J257" s="160">
        <f>MAX(0,'Sites'!$K$6-SUM(N246:N256))</f>
        <v/>
      </c>
      <c r="K257" s="160">
        <f>IF('Sites'!$C$6="Own sheets",MIN(ROUNDDOWN(G257/'NM Play'!$B$11,0)+F257*'NM Play'!$B$10/'NM Play'!$B$43,ROUNDDOWN(H257/'NM Play'!$B$12,0)+F257*'NM Play'!$B$10/'NM Play'!$B$44,(F257*'NM Play'!$B$10+ROUNDDOWN(G257/'NM Play'!$B$11,0)*'NM Play'!$B$43+ROUNDDOWN(H257/'NM Play'!$B$12,0)*'NM Play'!$B$44)/('NM Play'!$B$43+'NM Play'!$B$44)),ROUNDDOWN(G257/'NM Play'!$B$11,0)+F257*'NM Play'!$B$10/'NM Play'!$B$43)</f>
        <v/>
      </c>
      <c r="L257" s="160">
        <f>MIN(ROUNDDOWN(G257/'NM Play'!$B$11,0)+F257/('NM Play'!$B$43/'NM Play'!$B$15),ROUNDDOWN(H257/'NM Play'!$B$12,0)+F257/('NM Play'!$B$44/'NM Play'!$B$16),(F257+ROUNDDOWN(G257/'NM Play'!$B$11,0)*'NM Play'!$B$43/'NM Play'!$B$15+ROUNDDOWN(H257/'NM Play'!$B$12,0)*'NM Play'!$B$44/'NM Play'!$B$16)/('NM Play'!$B$43/'NM Play'!$B$15+'NM Play'!$B$44/'NM Play'!$B$16))</f>
        <v/>
      </c>
      <c r="M257" s="160">
        <f>F257*'NM Play'!$B$36</f>
        <v/>
      </c>
      <c r="N257" s="160">
        <f>ROUNDDOWN(MAX(0,MIN(J257,K257:M257)),0)</f>
        <v/>
      </c>
      <c r="O257" s="160">
        <f>ROUNDUP(MAX(0,N257*'NM Play'!$B$11-G257)/'NM Play'!$B$13,0)</f>
        <v/>
      </c>
      <c r="P257" s="160">
        <f>ROUNDUP(MAX(0,N257*'NM Play'!$B$12-H257)/'NM Play'!$B$14,0)</f>
        <v/>
      </c>
      <c r="Q257" s="160">
        <f>(O257+IF('Sites'!$C$6="Own sheets",P257,0))/'NM Play'!$B$10</f>
        <v/>
      </c>
      <c r="R257" s="160">
        <f>O257/'NM Play'!$B$15+P257/'NM Play'!$B$16</f>
        <v/>
      </c>
      <c r="S257" s="160">
        <f>MAX(Q257,R257,N257/'NM Play'!$B$36)</f>
        <v/>
      </c>
      <c r="T257" s="160">
        <f>Q257*'NM Play'!$B$10*'NM Play'!$B$21*(1+'NM Play'!$B$35)</f>
        <v/>
      </c>
      <c r="U257" s="160">
        <f>MAX(0,T257-I257)</f>
        <v/>
      </c>
      <c r="V257" s="160">
        <f>G257+O257*'NM Play'!$B$13-N257*'NM Play'!$B$11</f>
        <v/>
      </c>
      <c r="W257" s="160">
        <f>H257+P257*'NM Play'!$B$14-N257*'NM Play'!$B$12</f>
        <v/>
      </c>
      <c r="X257" s="160">
        <f>I257+U257-T257</f>
        <v/>
      </c>
      <c r="Y257" s="160">
        <f>MIN(N257,MAX(0,ROUNDDOWN('Sites'!$N$6*'Cases'!$E$8,0)-SUM(Y246:Y256)))</f>
        <v/>
      </c>
      <c r="Z257" s="160">
        <f>N257-Y257</f>
        <v/>
      </c>
      <c r="AA257" s="160">
        <f>U257*'NM Play'!$B$22</f>
        <v/>
      </c>
      <c r="AB257" s="160">
        <f>N257*SUM('NM Play'!$B$29:$B$31)</f>
        <v/>
      </c>
      <c r="AC257" s="160">
        <f>IF('Sites'!$C$6="Defy legs",P257*'NM Play'!$B$14/'NM Play'!$B$12*'NM Play'!$B$28,0)</f>
        <v/>
      </c>
      <c r="AD257" s="160">
        <f>Q257*'NM Play'!$B$23</f>
        <v/>
      </c>
      <c r="AE257" s="160">
        <f>S257*SUM('NM Play'!$B$26,'NM Play'!$B$33:$B$34)</f>
        <v/>
      </c>
      <c r="AF257" s="160">
        <f>IF('Sites'!$D$6="NM crew",S257*SUM('NM Play'!$B$24:$B$25),0)</f>
        <v/>
      </c>
      <c r="AG257" s="160">
        <f>IF('Sites'!$D$6="NM crew",S257*'NM Play'!$B$27,0)</f>
        <v/>
      </c>
      <c r="AH257" s="160">
        <f>N257*'Sites'!$Z$6*'NM Play'!$B$32</f>
        <v/>
      </c>
      <c r="AI257" s="160">
        <f>SUM(Y257:Z257)*'Sites'!$R$6</f>
        <v/>
      </c>
      <c r="AJ257" s="160">
        <f>SUM(AA257:AH257)</f>
        <v/>
      </c>
      <c r="AK257" s="160">
        <f>AJ257+(T257-U257)*'NM Play'!$B$22+MIN(G257,N257*'NM Play'!$B$11)/'NM Play'!$B$13*'NM Play'!$B$21*'NM Play'!$B$22+MIN(H257,N257*'NM Play'!$B$12)/'NM Play'!$B$14*IF('Sites'!$C$6="Own sheets",'NM Play'!$B$21*'NM Play'!$B$22,'NM Play'!$B$28*'NM Play'!$B$14/'NM Play'!$B$12)</f>
        <v/>
      </c>
      <c r="AL257" s="160">
        <f>Y257*'Assumptions'!AM66</f>
        <v/>
      </c>
      <c r="AM257" s="160">
        <f>IF('Sites'!$D$6="NM crew",S257*'NM Play'!$B$37*(1+IF(AND(ISNUMBER('NM Play'!$B$25),'NM Play'!$B$25&gt;0),1,0)),"")</f>
        <v/>
      </c>
      <c r="AN257" s="160">
        <f>IF(OR('Sites'!$E$6&lt;0,'Sites'!$E$6&gt;1,'Sites'!$F$6&lt;1,'Sites'!$G$6&lt;'Sites'!$F$6,F257&lt;0,MIN('Sites'!$I$6:'Sites'!$R$6)&lt;0,'Sites'!$L$6&gt;'Sites'!$I$6,'Sites'!$M$6&gt;'Sites'!$J$6,'Sites'!$N$6&gt;'Sites'!$K$6,'Sites'!$Z$6&lt;0,'Sites'!$Z$6&gt;1,MIN('Sites'!$AA$6:'Sites'!$AC$6)&lt;0,S257&gt;F257+0.001),1,0)</f>
        <v/>
      </c>
      <c r="AO257" s="160">
        <f>I257+U257-T257-X257</f>
        <v/>
      </c>
    </row>
    <row r="258" ht="28" customHeight="1">
      <c r="A258" s="4" t="inlineStr">
        <is>
          <t>No QBE</t>
        </is>
      </c>
      <c r="B258" s="4" t="inlineStr">
        <is>
          <t>NEW1</t>
        </is>
      </c>
      <c r="C258" s="160" t="n">
        <v>1</v>
      </c>
      <c r="D258" s="160">
        <f>ROUNDUP(C258/12,0)</f>
        <v/>
      </c>
      <c r="E258" s="160">
        <f>IF(AND('Sites'!$E$7=1,C258&gt;='Sites'!$F$7+'Cases'!$G$8,C258&lt;='Sites'!$G$7),1,0)</f>
        <v/>
      </c>
      <c r="F258" s="160">
        <f>E258*'Assumptions'!D68</f>
        <v/>
      </c>
      <c r="G258" s="160">
        <f>'Sites'!$AA$7</f>
        <v/>
      </c>
      <c r="H258" s="160">
        <f>'Sites'!$AB$7</f>
        <v/>
      </c>
      <c r="I258" s="160">
        <f>'Sites'!$AC$7</f>
        <v/>
      </c>
      <c r="J258" s="160">
        <f>MAX(0,'Sites'!$I$7-0)</f>
        <v/>
      </c>
      <c r="K258" s="160">
        <f>IF('Sites'!$C$7="Own sheets",MIN(ROUNDDOWN(G258/'NM Play'!$B$11,0)+F258*'NM Play'!$B$10/'NM Play'!$B$43,ROUNDDOWN(H258/'NM Play'!$B$12,0)+F258*'NM Play'!$B$10/'NM Play'!$B$44,(F258*'NM Play'!$B$10+ROUNDDOWN(G258/'NM Play'!$B$11,0)*'NM Play'!$B$43+ROUNDDOWN(H258/'NM Play'!$B$12,0)*'NM Play'!$B$44)/('NM Play'!$B$43+'NM Play'!$B$44)),ROUNDDOWN(G258/'NM Play'!$B$11,0)+F258*'NM Play'!$B$10/'NM Play'!$B$43)</f>
        <v/>
      </c>
      <c r="L258" s="160">
        <f>MIN(ROUNDDOWN(G258/'NM Play'!$B$11,0)+F258/('NM Play'!$B$43/'NM Play'!$B$15),ROUNDDOWN(H258/'NM Play'!$B$12,0)+F258/('NM Play'!$B$44/'NM Play'!$B$16),(F258+ROUNDDOWN(G258/'NM Play'!$B$11,0)*'NM Play'!$B$43/'NM Play'!$B$15+ROUNDDOWN(H258/'NM Play'!$B$12,0)*'NM Play'!$B$44/'NM Play'!$B$16)/('NM Play'!$B$43/'NM Play'!$B$15+'NM Play'!$B$44/'NM Play'!$B$16))</f>
        <v/>
      </c>
      <c r="M258" s="160">
        <f>F258*'NM Play'!$B$36</f>
        <v/>
      </c>
      <c r="N258" s="160">
        <f>ROUNDDOWN(MAX(0,MIN(J258,K258:M258)),0)</f>
        <v/>
      </c>
      <c r="O258" s="160">
        <f>ROUNDUP(MAX(0,N258*'NM Play'!$B$11-G258)/'NM Play'!$B$13,0)</f>
        <v/>
      </c>
      <c r="P258" s="160">
        <f>ROUNDUP(MAX(0,N258*'NM Play'!$B$12-H258)/'NM Play'!$B$14,0)</f>
        <v/>
      </c>
      <c r="Q258" s="160">
        <f>(O258+IF('Sites'!$C$7="Own sheets",P258,0))/'NM Play'!$B$10</f>
        <v/>
      </c>
      <c r="R258" s="160">
        <f>O258/'NM Play'!$B$15+P258/'NM Play'!$B$16</f>
        <v/>
      </c>
      <c r="S258" s="160">
        <f>MAX(Q258,R258,N258/'NM Play'!$B$36)</f>
        <v/>
      </c>
      <c r="T258" s="160">
        <f>Q258*'NM Play'!$B$10*'NM Play'!$B$21*(1+'NM Play'!$B$35)</f>
        <v/>
      </c>
      <c r="U258" s="160">
        <f>MAX(0,T258-I258)</f>
        <v/>
      </c>
      <c r="V258" s="160">
        <f>G258+O258*'NM Play'!$B$13-N258*'NM Play'!$B$11</f>
        <v/>
      </c>
      <c r="W258" s="160">
        <f>H258+P258*'NM Play'!$B$14-N258*'NM Play'!$B$12</f>
        <v/>
      </c>
      <c r="X258" s="160">
        <f>I258+U258-T258</f>
        <v/>
      </c>
      <c r="Y258" s="160">
        <f>MIN(N258,MAX(0,ROUNDDOWN('Sites'!$L$7*'Cases'!$E$8,0)-0))</f>
        <v/>
      </c>
      <c r="Z258" s="160">
        <f>N258-Y258</f>
        <v/>
      </c>
      <c r="AA258" s="160">
        <f>U258*'NM Play'!$B$22</f>
        <v/>
      </c>
      <c r="AB258" s="160">
        <f>N258*SUM('NM Play'!$B$29:$B$31)</f>
        <v/>
      </c>
      <c r="AC258" s="160">
        <f>IF('Sites'!$C$7="Defy legs",P258*'NM Play'!$B$14/'NM Play'!$B$12*'NM Play'!$B$28,0)</f>
        <v/>
      </c>
      <c r="AD258" s="160">
        <f>Q258*'NM Play'!$B$23</f>
        <v/>
      </c>
      <c r="AE258" s="160">
        <f>S258*SUM('NM Play'!$B$26,'NM Play'!$B$33:$B$34)</f>
        <v/>
      </c>
      <c r="AF258" s="160">
        <f>IF('Sites'!$D$7="NM crew",S258*SUM('NM Play'!$B$24:$B$25),0)</f>
        <v/>
      </c>
      <c r="AG258" s="160">
        <f>IF('Sites'!$D$7="NM crew",S258*'NM Play'!$B$27,0)</f>
        <v/>
      </c>
      <c r="AH258" s="160">
        <f>N258*'Sites'!$Z$7*'NM Play'!$B$32</f>
        <v/>
      </c>
      <c r="AI258" s="160">
        <f>SUM(Y258:Z258)*'Sites'!$R$7</f>
        <v/>
      </c>
      <c r="AJ258" s="160">
        <f>SUM(AA258:AH258)</f>
        <v/>
      </c>
      <c r="AK258" s="160">
        <f>AJ258+(T258-U258)*'NM Play'!$B$22+MIN(G258,N258*'NM Play'!$B$11)/'NM Play'!$B$13*'NM Play'!$B$21*'NM Play'!$B$22+MIN(H258,N258*'NM Play'!$B$12)/'NM Play'!$B$14*IF('Sites'!$C$7="Own sheets",'NM Play'!$B$21*'NM Play'!$B$22,'NM Play'!$B$28*'NM Play'!$B$14/'NM Play'!$B$12)</f>
        <v/>
      </c>
      <c r="AL258" s="160">
        <f>Y258*'Assumptions'!D66</f>
        <v/>
      </c>
      <c r="AM258" s="160">
        <f>IF('Sites'!$D$7="NM crew",S258*'NM Play'!$B$37*(1+IF(AND(ISNUMBER('NM Play'!$B$25),'NM Play'!$B$25&gt;0),1,0)),"")</f>
        <v/>
      </c>
      <c r="AN258" s="160">
        <f>IF(OR('Sites'!$E$7&lt;0,'Sites'!$E$7&gt;1,'Sites'!$F$7&lt;1,'Sites'!$G$7&lt;'Sites'!$F$7,F258&lt;0,MIN('Sites'!$I$7:'Sites'!$R$7)&lt;0,'Sites'!$L$7&gt;'Sites'!$I$7,'Sites'!$M$7&gt;'Sites'!$J$7,'Sites'!$N$7&gt;'Sites'!$K$7,'Sites'!$Z$7&lt;0,'Sites'!$Z$7&gt;1,MIN('Sites'!$AA$7:'Sites'!$AC$7)&lt;0,S258&gt;F258+0.001),1,0)</f>
        <v/>
      </c>
      <c r="AO258" s="160">
        <f>I258+U258-T258-X258</f>
        <v/>
      </c>
    </row>
    <row r="259" ht="28" customHeight="1">
      <c r="A259" s="4" t="inlineStr">
        <is>
          <t>No QBE</t>
        </is>
      </c>
      <c r="B259" s="4" t="inlineStr">
        <is>
          <t>NEW1</t>
        </is>
      </c>
      <c r="C259" s="160" t="n">
        <v>2</v>
      </c>
      <c r="D259" s="160">
        <f>ROUNDUP(C259/12,0)</f>
        <v/>
      </c>
      <c r="E259" s="160">
        <f>IF(AND('Sites'!$E$7=1,C259&gt;='Sites'!$F$7+'Cases'!$G$8,C259&lt;='Sites'!$G$7),1,0)</f>
        <v/>
      </c>
      <c r="F259" s="160">
        <f>E259*'Assumptions'!E68</f>
        <v/>
      </c>
      <c r="G259" s="160">
        <f>V258</f>
        <v/>
      </c>
      <c r="H259" s="160">
        <f>W258</f>
        <v/>
      </c>
      <c r="I259" s="160">
        <f>X258</f>
        <v/>
      </c>
      <c r="J259" s="160">
        <f>MAX(0,'Sites'!$I$7-SUM(N258:N258))</f>
        <v/>
      </c>
      <c r="K259" s="160">
        <f>IF('Sites'!$C$7="Own sheets",MIN(ROUNDDOWN(G259/'NM Play'!$B$11,0)+F259*'NM Play'!$B$10/'NM Play'!$B$43,ROUNDDOWN(H259/'NM Play'!$B$12,0)+F259*'NM Play'!$B$10/'NM Play'!$B$44,(F259*'NM Play'!$B$10+ROUNDDOWN(G259/'NM Play'!$B$11,0)*'NM Play'!$B$43+ROUNDDOWN(H259/'NM Play'!$B$12,0)*'NM Play'!$B$44)/('NM Play'!$B$43+'NM Play'!$B$44)),ROUNDDOWN(G259/'NM Play'!$B$11,0)+F259*'NM Play'!$B$10/'NM Play'!$B$43)</f>
        <v/>
      </c>
      <c r="L259" s="160">
        <f>MIN(ROUNDDOWN(G259/'NM Play'!$B$11,0)+F259/('NM Play'!$B$43/'NM Play'!$B$15),ROUNDDOWN(H259/'NM Play'!$B$12,0)+F259/('NM Play'!$B$44/'NM Play'!$B$16),(F259+ROUNDDOWN(G259/'NM Play'!$B$11,0)*'NM Play'!$B$43/'NM Play'!$B$15+ROUNDDOWN(H259/'NM Play'!$B$12,0)*'NM Play'!$B$44/'NM Play'!$B$16)/('NM Play'!$B$43/'NM Play'!$B$15+'NM Play'!$B$44/'NM Play'!$B$16))</f>
        <v/>
      </c>
      <c r="M259" s="160">
        <f>F259*'NM Play'!$B$36</f>
        <v/>
      </c>
      <c r="N259" s="160">
        <f>ROUNDDOWN(MAX(0,MIN(J259,K259:M259)),0)</f>
        <v/>
      </c>
      <c r="O259" s="160">
        <f>ROUNDUP(MAX(0,N259*'NM Play'!$B$11-G259)/'NM Play'!$B$13,0)</f>
        <v/>
      </c>
      <c r="P259" s="160">
        <f>ROUNDUP(MAX(0,N259*'NM Play'!$B$12-H259)/'NM Play'!$B$14,0)</f>
        <v/>
      </c>
      <c r="Q259" s="160">
        <f>(O259+IF('Sites'!$C$7="Own sheets",P259,0))/'NM Play'!$B$10</f>
        <v/>
      </c>
      <c r="R259" s="160">
        <f>O259/'NM Play'!$B$15+P259/'NM Play'!$B$16</f>
        <v/>
      </c>
      <c r="S259" s="160">
        <f>MAX(Q259,R259,N259/'NM Play'!$B$36)</f>
        <v/>
      </c>
      <c r="T259" s="160">
        <f>Q259*'NM Play'!$B$10*'NM Play'!$B$21*(1+'NM Play'!$B$35)</f>
        <v/>
      </c>
      <c r="U259" s="160">
        <f>MAX(0,T259-I259)</f>
        <v/>
      </c>
      <c r="V259" s="160">
        <f>G259+O259*'NM Play'!$B$13-N259*'NM Play'!$B$11</f>
        <v/>
      </c>
      <c r="W259" s="160">
        <f>H259+P259*'NM Play'!$B$14-N259*'NM Play'!$B$12</f>
        <v/>
      </c>
      <c r="X259" s="160">
        <f>I259+U259-T259</f>
        <v/>
      </c>
      <c r="Y259" s="160">
        <f>MIN(N259,MAX(0,ROUNDDOWN('Sites'!$L$7*'Cases'!$E$8,0)-SUM(Y258:Y258)))</f>
        <v/>
      </c>
      <c r="Z259" s="160">
        <f>N259-Y259</f>
        <v/>
      </c>
      <c r="AA259" s="160">
        <f>U259*'NM Play'!$B$22</f>
        <v/>
      </c>
      <c r="AB259" s="160">
        <f>N259*SUM('NM Play'!$B$29:$B$31)</f>
        <v/>
      </c>
      <c r="AC259" s="160">
        <f>IF('Sites'!$C$7="Defy legs",P259*'NM Play'!$B$14/'NM Play'!$B$12*'NM Play'!$B$28,0)</f>
        <v/>
      </c>
      <c r="AD259" s="160">
        <f>Q259*'NM Play'!$B$23</f>
        <v/>
      </c>
      <c r="AE259" s="160">
        <f>S259*SUM('NM Play'!$B$26,'NM Play'!$B$33:$B$34)</f>
        <v/>
      </c>
      <c r="AF259" s="160">
        <f>IF('Sites'!$D$7="NM crew",S259*SUM('NM Play'!$B$24:$B$25),0)</f>
        <v/>
      </c>
      <c r="AG259" s="160">
        <f>IF('Sites'!$D$7="NM crew",S259*'NM Play'!$B$27,0)</f>
        <v/>
      </c>
      <c r="AH259" s="160">
        <f>N259*'Sites'!$Z$7*'NM Play'!$B$32</f>
        <v/>
      </c>
      <c r="AI259" s="160">
        <f>SUM(Y259:Z259)*'Sites'!$R$7</f>
        <v/>
      </c>
      <c r="AJ259" s="160">
        <f>SUM(AA259:AH259)</f>
        <v/>
      </c>
      <c r="AK259" s="160">
        <f>AJ259+(T259-U259)*'NM Play'!$B$22+MIN(G259,N259*'NM Play'!$B$11)/'NM Play'!$B$13*'NM Play'!$B$21*'NM Play'!$B$22+MIN(H259,N259*'NM Play'!$B$12)/'NM Play'!$B$14*IF('Sites'!$C$7="Own sheets",'NM Play'!$B$21*'NM Play'!$B$22,'NM Play'!$B$28*'NM Play'!$B$14/'NM Play'!$B$12)</f>
        <v/>
      </c>
      <c r="AL259" s="160">
        <f>Y259*'Assumptions'!E66</f>
        <v/>
      </c>
      <c r="AM259" s="160">
        <f>IF('Sites'!$D$7="NM crew",S259*'NM Play'!$B$37*(1+IF(AND(ISNUMBER('NM Play'!$B$25),'NM Play'!$B$25&gt;0),1,0)),"")</f>
        <v/>
      </c>
      <c r="AN259" s="160">
        <f>IF(OR('Sites'!$E$7&lt;0,'Sites'!$E$7&gt;1,'Sites'!$F$7&lt;1,'Sites'!$G$7&lt;'Sites'!$F$7,F259&lt;0,MIN('Sites'!$I$7:'Sites'!$R$7)&lt;0,'Sites'!$L$7&gt;'Sites'!$I$7,'Sites'!$M$7&gt;'Sites'!$J$7,'Sites'!$N$7&gt;'Sites'!$K$7,'Sites'!$Z$7&lt;0,'Sites'!$Z$7&gt;1,MIN('Sites'!$AA$7:'Sites'!$AC$7)&lt;0,S259&gt;F259+0.001),1,0)</f>
        <v/>
      </c>
      <c r="AO259" s="160">
        <f>I259+U259-T259-X259</f>
        <v/>
      </c>
    </row>
    <row r="260" ht="28" customHeight="1">
      <c r="A260" s="4" t="inlineStr">
        <is>
          <t>No QBE</t>
        </is>
      </c>
      <c r="B260" s="4" t="inlineStr">
        <is>
          <t>NEW1</t>
        </is>
      </c>
      <c r="C260" s="160" t="n">
        <v>3</v>
      </c>
      <c r="D260" s="160">
        <f>ROUNDUP(C260/12,0)</f>
        <v/>
      </c>
      <c r="E260" s="160">
        <f>IF(AND('Sites'!$E$7=1,C260&gt;='Sites'!$F$7+'Cases'!$G$8,C260&lt;='Sites'!$G$7),1,0)</f>
        <v/>
      </c>
      <c r="F260" s="160">
        <f>E260*'Assumptions'!F68</f>
        <v/>
      </c>
      <c r="G260" s="160">
        <f>V259</f>
        <v/>
      </c>
      <c r="H260" s="160">
        <f>W259</f>
        <v/>
      </c>
      <c r="I260" s="160">
        <f>X259</f>
        <v/>
      </c>
      <c r="J260" s="160">
        <f>MAX(0,'Sites'!$I$7-SUM(N258:N259))</f>
        <v/>
      </c>
      <c r="K260" s="160">
        <f>IF('Sites'!$C$7="Own sheets",MIN(ROUNDDOWN(G260/'NM Play'!$B$11,0)+F260*'NM Play'!$B$10/'NM Play'!$B$43,ROUNDDOWN(H260/'NM Play'!$B$12,0)+F260*'NM Play'!$B$10/'NM Play'!$B$44,(F260*'NM Play'!$B$10+ROUNDDOWN(G260/'NM Play'!$B$11,0)*'NM Play'!$B$43+ROUNDDOWN(H260/'NM Play'!$B$12,0)*'NM Play'!$B$44)/('NM Play'!$B$43+'NM Play'!$B$44)),ROUNDDOWN(G260/'NM Play'!$B$11,0)+F260*'NM Play'!$B$10/'NM Play'!$B$43)</f>
        <v/>
      </c>
      <c r="L260" s="160">
        <f>MIN(ROUNDDOWN(G260/'NM Play'!$B$11,0)+F260/('NM Play'!$B$43/'NM Play'!$B$15),ROUNDDOWN(H260/'NM Play'!$B$12,0)+F260/('NM Play'!$B$44/'NM Play'!$B$16),(F260+ROUNDDOWN(G260/'NM Play'!$B$11,0)*'NM Play'!$B$43/'NM Play'!$B$15+ROUNDDOWN(H260/'NM Play'!$B$12,0)*'NM Play'!$B$44/'NM Play'!$B$16)/('NM Play'!$B$43/'NM Play'!$B$15+'NM Play'!$B$44/'NM Play'!$B$16))</f>
        <v/>
      </c>
      <c r="M260" s="160">
        <f>F260*'NM Play'!$B$36</f>
        <v/>
      </c>
      <c r="N260" s="160">
        <f>ROUNDDOWN(MAX(0,MIN(J260,K260:M260)),0)</f>
        <v/>
      </c>
      <c r="O260" s="160">
        <f>ROUNDUP(MAX(0,N260*'NM Play'!$B$11-G260)/'NM Play'!$B$13,0)</f>
        <v/>
      </c>
      <c r="P260" s="160">
        <f>ROUNDUP(MAX(0,N260*'NM Play'!$B$12-H260)/'NM Play'!$B$14,0)</f>
        <v/>
      </c>
      <c r="Q260" s="160">
        <f>(O260+IF('Sites'!$C$7="Own sheets",P260,0))/'NM Play'!$B$10</f>
        <v/>
      </c>
      <c r="R260" s="160">
        <f>O260/'NM Play'!$B$15+P260/'NM Play'!$B$16</f>
        <v/>
      </c>
      <c r="S260" s="160">
        <f>MAX(Q260,R260,N260/'NM Play'!$B$36)</f>
        <v/>
      </c>
      <c r="T260" s="160">
        <f>Q260*'NM Play'!$B$10*'NM Play'!$B$21*(1+'NM Play'!$B$35)</f>
        <v/>
      </c>
      <c r="U260" s="160">
        <f>MAX(0,T260-I260)</f>
        <v/>
      </c>
      <c r="V260" s="160">
        <f>G260+O260*'NM Play'!$B$13-N260*'NM Play'!$B$11</f>
        <v/>
      </c>
      <c r="W260" s="160">
        <f>H260+P260*'NM Play'!$B$14-N260*'NM Play'!$B$12</f>
        <v/>
      </c>
      <c r="X260" s="160">
        <f>I260+U260-T260</f>
        <v/>
      </c>
      <c r="Y260" s="160">
        <f>MIN(N260,MAX(0,ROUNDDOWN('Sites'!$L$7*'Cases'!$E$8,0)-SUM(Y258:Y259)))</f>
        <v/>
      </c>
      <c r="Z260" s="160">
        <f>N260-Y260</f>
        <v/>
      </c>
      <c r="AA260" s="160">
        <f>U260*'NM Play'!$B$22</f>
        <v/>
      </c>
      <c r="AB260" s="160">
        <f>N260*SUM('NM Play'!$B$29:$B$31)</f>
        <v/>
      </c>
      <c r="AC260" s="160">
        <f>IF('Sites'!$C$7="Defy legs",P260*'NM Play'!$B$14/'NM Play'!$B$12*'NM Play'!$B$28,0)</f>
        <v/>
      </c>
      <c r="AD260" s="160">
        <f>Q260*'NM Play'!$B$23</f>
        <v/>
      </c>
      <c r="AE260" s="160">
        <f>S260*SUM('NM Play'!$B$26,'NM Play'!$B$33:$B$34)</f>
        <v/>
      </c>
      <c r="AF260" s="160">
        <f>IF('Sites'!$D$7="NM crew",S260*SUM('NM Play'!$B$24:$B$25),0)</f>
        <v/>
      </c>
      <c r="AG260" s="160">
        <f>IF('Sites'!$D$7="NM crew",S260*'NM Play'!$B$27,0)</f>
        <v/>
      </c>
      <c r="AH260" s="160">
        <f>N260*'Sites'!$Z$7*'NM Play'!$B$32</f>
        <v/>
      </c>
      <c r="AI260" s="160">
        <f>SUM(Y260:Z260)*'Sites'!$R$7</f>
        <v/>
      </c>
      <c r="AJ260" s="160">
        <f>SUM(AA260:AH260)</f>
        <v/>
      </c>
      <c r="AK260" s="160">
        <f>AJ260+(T260-U260)*'NM Play'!$B$22+MIN(G260,N260*'NM Play'!$B$11)/'NM Play'!$B$13*'NM Play'!$B$21*'NM Play'!$B$22+MIN(H260,N260*'NM Play'!$B$12)/'NM Play'!$B$14*IF('Sites'!$C$7="Own sheets",'NM Play'!$B$21*'NM Play'!$B$22,'NM Play'!$B$28*'NM Play'!$B$14/'NM Play'!$B$12)</f>
        <v/>
      </c>
      <c r="AL260" s="160">
        <f>Y260*'Assumptions'!F66</f>
        <v/>
      </c>
      <c r="AM260" s="160">
        <f>IF('Sites'!$D$7="NM crew",S260*'NM Play'!$B$37*(1+IF(AND(ISNUMBER('NM Play'!$B$25),'NM Play'!$B$25&gt;0),1,0)),"")</f>
        <v/>
      </c>
      <c r="AN260" s="160">
        <f>IF(OR('Sites'!$E$7&lt;0,'Sites'!$E$7&gt;1,'Sites'!$F$7&lt;1,'Sites'!$G$7&lt;'Sites'!$F$7,F260&lt;0,MIN('Sites'!$I$7:'Sites'!$R$7)&lt;0,'Sites'!$L$7&gt;'Sites'!$I$7,'Sites'!$M$7&gt;'Sites'!$J$7,'Sites'!$N$7&gt;'Sites'!$K$7,'Sites'!$Z$7&lt;0,'Sites'!$Z$7&gt;1,MIN('Sites'!$AA$7:'Sites'!$AC$7)&lt;0,S260&gt;F260+0.001),1,0)</f>
        <v/>
      </c>
      <c r="AO260" s="160">
        <f>I260+U260-T260-X260</f>
        <v/>
      </c>
    </row>
    <row r="261" ht="28" customHeight="1">
      <c r="A261" s="4" t="inlineStr">
        <is>
          <t>No QBE</t>
        </is>
      </c>
      <c r="B261" s="4" t="inlineStr">
        <is>
          <t>NEW1</t>
        </is>
      </c>
      <c r="C261" s="160" t="n">
        <v>4</v>
      </c>
      <c r="D261" s="160">
        <f>ROUNDUP(C261/12,0)</f>
        <v/>
      </c>
      <c r="E261" s="160">
        <f>IF(AND('Sites'!$E$7=1,C261&gt;='Sites'!$F$7+'Cases'!$G$8,C261&lt;='Sites'!$G$7),1,0)</f>
        <v/>
      </c>
      <c r="F261" s="160">
        <f>E261*'Assumptions'!G68</f>
        <v/>
      </c>
      <c r="G261" s="160">
        <f>V260</f>
        <v/>
      </c>
      <c r="H261" s="160">
        <f>W260</f>
        <v/>
      </c>
      <c r="I261" s="160">
        <f>X260</f>
        <v/>
      </c>
      <c r="J261" s="160">
        <f>MAX(0,'Sites'!$I$7-SUM(N258:N260))</f>
        <v/>
      </c>
      <c r="K261" s="160">
        <f>IF('Sites'!$C$7="Own sheets",MIN(ROUNDDOWN(G261/'NM Play'!$B$11,0)+F261*'NM Play'!$B$10/'NM Play'!$B$43,ROUNDDOWN(H261/'NM Play'!$B$12,0)+F261*'NM Play'!$B$10/'NM Play'!$B$44,(F261*'NM Play'!$B$10+ROUNDDOWN(G261/'NM Play'!$B$11,0)*'NM Play'!$B$43+ROUNDDOWN(H261/'NM Play'!$B$12,0)*'NM Play'!$B$44)/('NM Play'!$B$43+'NM Play'!$B$44)),ROUNDDOWN(G261/'NM Play'!$B$11,0)+F261*'NM Play'!$B$10/'NM Play'!$B$43)</f>
        <v/>
      </c>
      <c r="L261" s="160">
        <f>MIN(ROUNDDOWN(G261/'NM Play'!$B$11,0)+F261/('NM Play'!$B$43/'NM Play'!$B$15),ROUNDDOWN(H261/'NM Play'!$B$12,0)+F261/('NM Play'!$B$44/'NM Play'!$B$16),(F261+ROUNDDOWN(G261/'NM Play'!$B$11,0)*'NM Play'!$B$43/'NM Play'!$B$15+ROUNDDOWN(H261/'NM Play'!$B$12,0)*'NM Play'!$B$44/'NM Play'!$B$16)/('NM Play'!$B$43/'NM Play'!$B$15+'NM Play'!$B$44/'NM Play'!$B$16))</f>
        <v/>
      </c>
      <c r="M261" s="160">
        <f>F261*'NM Play'!$B$36</f>
        <v/>
      </c>
      <c r="N261" s="160">
        <f>ROUNDDOWN(MAX(0,MIN(J261,K261:M261)),0)</f>
        <v/>
      </c>
      <c r="O261" s="160">
        <f>ROUNDUP(MAX(0,N261*'NM Play'!$B$11-G261)/'NM Play'!$B$13,0)</f>
        <v/>
      </c>
      <c r="P261" s="160">
        <f>ROUNDUP(MAX(0,N261*'NM Play'!$B$12-H261)/'NM Play'!$B$14,0)</f>
        <v/>
      </c>
      <c r="Q261" s="160">
        <f>(O261+IF('Sites'!$C$7="Own sheets",P261,0))/'NM Play'!$B$10</f>
        <v/>
      </c>
      <c r="R261" s="160">
        <f>O261/'NM Play'!$B$15+P261/'NM Play'!$B$16</f>
        <v/>
      </c>
      <c r="S261" s="160">
        <f>MAX(Q261,R261,N261/'NM Play'!$B$36)</f>
        <v/>
      </c>
      <c r="T261" s="160">
        <f>Q261*'NM Play'!$B$10*'NM Play'!$B$21*(1+'NM Play'!$B$35)</f>
        <v/>
      </c>
      <c r="U261" s="160">
        <f>MAX(0,T261-I261)</f>
        <v/>
      </c>
      <c r="V261" s="160">
        <f>G261+O261*'NM Play'!$B$13-N261*'NM Play'!$B$11</f>
        <v/>
      </c>
      <c r="W261" s="160">
        <f>H261+P261*'NM Play'!$B$14-N261*'NM Play'!$B$12</f>
        <v/>
      </c>
      <c r="X261" s="160">
        <f>I261+U261-T261</f>
        <v/>
      </c>
      <c r="Y261" s="160">
        <f>MIN(N261,MAX(0,ROUNDDOWN('Sites'!$L$7*'Cases'!$E$8,0)-SUM(Y258:Y260)))</f>
        <v/>
      </c>
      <c r="Z261" s="160">
        <f>N261-Y261</f>
        <v/>
      </c>
      <c r="AA261" s="160">
        <f>U261*'NM Play'!$B$22</f>
        <v/>
      </c>
      <c r="AB261" s="160">
        <f>N261*SUM('NM Play'!$B$29:$B$31)</f>
        <v/>
      </c>
      <c r="AC261" s="160">
        <f>IF('Sites'!$C$7="Defy legs",P261*'NM Play'!$B$14/'NM Play'!$B$12*'NM Play'!$B$28,0)</f>
        <v/>
      </c>
      <c r="AD261" s="160">
        <f>Q261*'NM Play'!$B$23</f>
        <v/>
      </c>
      <c r="AE261" s="160">
        <f>S261*SUM('NM Play'!$B$26,'NM Play'!$B$33:$B$34)</f>
        <v/>
      </c>
      <c r="AF261" s="160">
        <f>IF('Sites'!$D$7="NM crew",S261*SUM('NM Play'!$B$24:$B$25),0)</f>
        <v/>
      </c>
      <c r="AG261" s="160">
        <f>IF('Sites'!$D$7="NM crew",S261*'NM Play'!$B$27,0)</f>
        <v/>
      </c>
      <c r="AH261" s="160">
        <f>N261*'Sites'!$Z$7*'NM Play'!$B$32</f>
        <v/>
      </c>
      <c r="AI261" s="160">
        <f>SUM(Y261:Z261)*'Sites'!$R$7</f>
        <v/>
      </c>
      <c r="AJ261" s="160">
        <f>SUM(AA261:AH261)</f>
        <v/>
      </c>
      <c r="AK261" s="160">
        <f>AJ261+(T261-U261)*'NM Play'!$B$22+MIN(G261,N261*'NM Play'!$B$11)/'NM Play'!$B$13*'NM Play'!$B$21*'NM Play'!$B$22+MIN(H261,N261*'NM Play'!$B$12)/'NM Play'!$B$14*IF('Sites'!$C$7="Own sheets",'NM Play'!$B$21*'NM Play'!$B$22,'NM Play'!$B$28*'NM Play'!$B$14/'NM Play'!$B$12)</f>
        <v/>
      </c>
      <c r="AL261" s="160">
        <f>Y261*'Assumptions'!G66</f>
        <v/>
      </c>
      <c r="AM261" s="160">
        <f>IF('Sites'!$D$7="NM crew",S261*'NM Play'!$B$37*(1+IF(AND(ISNUMBER('NM Play'!$B$25),'NM Play'!$B$25&gt;0),1,0)),"")</f>
        <v/>
      </c>
      <c r="AN261" s="160">
        <f>IF(OR('Sites'!$E$7&lt;0,'Sites'!$E$7&gt;1,'Sites'!$F$7&lt;1,'Sites'!$G$7&lt;'Sites'!$F$7,F261&lt;0,MIN('Sites'!$I$7:'Sites'!$R$7)&lt;0,'Sites'!$L$7&gt;'Sites'!$I$7,'Sites'!$M$7&gt;'Sites'!$J$7,'Sites'!$N$7&gt;'Sites'!$K$7,'Sites'!$Z$7&lt;0,'Sites'!$Z$7&gt;1,MIN('Sites'!$AA$7:'Sites'!$AC$7)&lt;0,S261&gt;F261+0.001),1,0)</f>
        <v/>
      </c>
      <c r="AO261" s="160">
        <f>I261+U261-T261-X261</f>
        <v/>
      </c>
    </row>
    <row r="262" ht="28" customHeight="1">
      <c r="A262" s="4" t="inlineStr">
        <is>
          <t>No QBE</t>
        </is>
      </c>
      <c r="B262" s="4" t="inlineStr">
        <is>
          <t>NEW1</t>
        </is>
      </c>
      <c r="C262" s="160" t="n">
        <v>5</v>
      </c>
      <c r="D262" s="160">
        <f>ROUNDUP(C262/12,0)</f>
        <v/>
      </c>
      <c r="E262" s="160">
        <f>IF(AND('Sites'!$E$7=1,C262&gt;='Sites'!$F$7+'Cases'!$G$8,C262&lt;='Sites'!$G$7),1,0)</f>
        <v/>
      </c>
      <c r="F262" s="160">
        <f>E262*'Assumptions'!H68</f>
        <v/>
      </c>
      <c r="G262" s="160">
        <f>V261</f>
        <v/>
      </c>
      <c r="H262" s="160">
        <f>W261</f>
        <v/>
      </c>
      <c r="I262" s="160">
        <f>X261</f>
        <v/>
      </c>
      <c r="J262" s="160">
        <f>MAX(0,'Sites'!$I$7-SUM(N258:N261))</f>
        <v/>
      </c>
      <c r="K262" s="160">
        <f>IF('Sites'!$C$7="Own sheets",MIN(ROUNDDOWN(G262/'NM Play'!$B$11,0)+F262*'NM Play'!$B$10/'NM Play'!$B$43,ROUNDDOWN(H262/'NM Play'!$B$12,0)+F262*'NM Play'!$B$10/'NM Play'!$B$44,(F262*'NM Play'!$B$10+ROUNDDOWN(G262/'NM Play'!$B$11,0)*'NM Play'!$B$43+ROUNDDOWN(H262/'NM Play'!$B$12,0)*'NM Play'!$B$44)/('NM Play'!$B$43+'NM Play'!$B$44)),ROUNDDOWN(G262/'NM Play'!$B$11,0)+F262*'NM Play'!$B$10/'NM Play'!$B$43)</f>
        <v/>
      </c>
      <c r="L262" s="160">
        <f>MIN(ROUNDDOWN(G262/'NM Play'!$B$11,0)+F262/('NM Play'!$B$43/'NM Play'!$B$15),ROUNDDOWN(H262/'NM Play'!$B$12,0)+F262/('NM Play'!$B$44/'NM Play'!$B$16),(F262+ROUNDDOWN(G262/'NM Play'!$B$11,0)*'NM Play'!$B$43/'NM Play'!$B$15+ROUNDDOWN(H262/'NM Play'!$B$12,0)*'NM Play'!$B$44/'NM Play'!$B$16)/('NM Play'!$B$43/'NM Play'!$B$15+'NM Play'!$B$44/'NM Play'!$B$16))</f>
        <v/>
      </c>
      <c r="M262" s="160">
        <f>F262*'NM Play'!$B$36</f>
        <v/>
      </c>
      <c r="N262" s="160">
        <f>ROUNDDOWN(MAX(0,MIN(J262,K262:M262)),0)</f>
        <v/>
      </c>
      <c r="O262" s="160">
        <f>ROUNDUP(MAX(0,N262*'NM Play'!$B$11-G262)/'NM Play'!$B$13,0)</f>
        <v/>
      </c>
      <c r="P262" s="160">
        <f>ROUNDUP(MAX(0,N262*'NM Play'!$B$12-H262)/'NM Play'!$B$14,0)</f>
        <v/>
      </c>
      <c r="Q262" s="160">
        <f>(O262+IF('Sites'!$C$7="Own sheets",P262,0))/'NM Play'!$B$10</f>
        <v/>
      </c>
      <c r="R262" s="160">
        <f>O262/'NM Play'!$B$15+P262/'NM Play'!$B$16</f>
        <v/>
      </c>
      <c r="S262" s="160">
        <f>MAX(Q262,R262,N262/'NM Play'!$B$36)</f>
        <v/>
      </c>
      <c r="T262" s="160">
        <f>Q262*'NM Play'!$B$10*'NM Play'!$B$21*(1+'NM Play'!$B$35)</f>
        <v/>
      </c>
      <c r="U262" s="160">
        <f>MAX(0,T262-I262)</f>
        <v/>
      </c>
      <c r="V262" s="160">
        <f>G262+O262*'NM Play'!$B$13-N262*'NM Play'!$B$11</f>
        <v/>
      </c>
      <c r="W262" s="160">
        <f>H262+P262*'NM Play'!$B$14-N262*'NM Play'!$B$12</f>
        <v/>
      </c>
      <c r="X262" s="160">
        <f>I262+U262-T262</f>
        <v/>
      </c>
      <c r="Y262" s="160">
        <f>MIN(N262,MAX(0,ROUNDDOWN('Sites'!$L$7*'Cases'!$E$8,0)-SUM(Y258:Y261)))</f>
        <v/>
      </c>
      <c r="Z262" s="160">
        <f>N262-Y262</f>
        <v/>
      </c>
      <c r="AA262" s="160">
        <f>U262*'NM Play'!$B$22</f>
        <v/>
      </c>
      <c r="AB262" s="160">
        <f>N262*SUM('NM Play'!$B$29:$B$31)</f>
        <v/>
      </c>
      <c r="AC262" s="160">
        <f>IF('Sites'!$C$7="Defy legs",P262*'NM Play'!$B$14/'NM Play'!$B$12*'NM Play'!$B$28,0)</f>
        <v/>
      </c>
      <c r="AD262" s="160">
        <f>Q262*'NM Play'!$B$23</f>
        <v/>
      </c>
      <c r="AE262" s="160">
        <f>S262*SUM('NM Play'!$B$26,'NM Play'!$B$33:$B$34)</f>
        <v/>
      </c>
      <c r="AF262" s="160">
        <f>IF('Sites'!$D$7="NM crew",S262*SUM('NM Play'!$B$24:$B$25),0)</f>
        <v/>
      </c>
      <c r="AG262" s="160">
        <f>IF('Sites'!$D$7="NM crew",S262*'NM Play'!$B$27,0)</f>
        <v/>
      </c>
      <c r="AH262" s="160">
        <f>N262*'Sites'!$Z$7*'NM Play'!$B$32</f>
        <v/>
      </c>
      <c r="AI262" s="160">
        <f>SUM(Y262:Z262)*'Sites'!$R$7</f>
        <v/>
      </c>
      <c r="AJ262" s="160">
        <f>SUM(AA262:AH262)</f>
        <v/>
      </c>
      <c r="AK262" s="160">
        <f>AJ262+(T262-U262)*'NM Play'!$B$22+MIN(G262,N262*'NM Play'!$B$11)/'NM Play'!$B$13*'NM Play'!$B$21*'NM Play'!$B$22+MIN(H262,N262*'NM Play'!$B$12)/'NM Play'!$B$14*IF('Sites'!$C$7="Own sheets",'NM Play'!$B$21*'NM Play'!$B$22,'NM Play'!$B$28*'NM Play'!$B$14/'NM Play'!$B$12)</f>
        <v/>
      </c>
      <c r="AL262" s="160">
        <f>Y262*'Assumptions'!H66</f>
        <v/>
      </c>
      <c r="AM262" s="160">
        <f>IF('Sites'!$D$7="NM crew",S262*'NM Play'!$B$37*(1+IF(AND(ISNUMBER('NM Play'!$B$25),'NM Play'!$B$25&gt;0),1,0)),"")</f>
        <v/>
      </c>
      <c r="AN262" s="160">
        <f>IF(OR('Sites'!$E$7&lt;0,'Sites'!$E$7&gt;1,'Sites'!$F$7&lt;1,'Sites'!$G$7&lt;'Sites'!$F$7,F262&lt;0,MIN('Sites'!$I$7:'Sites'!$R$7)&lt;0,'Sites'!$L$7&gt;'Sites'!$I$7,'Sites'!$M$7&gt;'Sites'!$J$7,'Sites'!$N$7&gt;'Sites'!$K$7,'Sites'!$Z$7&lt;0,'Sites'!$Z$7&gt;1,MIN('Sites'!$AA$7:'Sites'!$AC$7)&lt;0,S262&gt;F262+0.001),1,0)</f>
        <v/>
      </c>
      <c r="AO262" s="160">
        <f>I262+U262-T262-X262</f>
        <v/>
      </c>
    </row>
    <row r="263" ht="28" customHeight="1">
      <c r="A263" s="4" t="inlineStr">
        <is>
          <t>No QBE</t>
        </is>
      </c>
      <c r="B263" s="4" t="inlineStr">
        <is>
          <t>NEW1</t>
        </is>
      </c>
      <c r="C263" s="160" t="n">
        <v>6</v>
      </c>
      <c r="D263" s="160">
        <f>ROUNDUP(C263/12,0)</f>
        <v/>
      </c>
      <c r="E263" s="160">
        <f>IF(AND('Sites'!$E$7=1,C263&gt;='Sites'!$F$7+'Cases'!$G$8,C263&lt;='Sites'!$G$7),1,0)</f>
        <v/>
      </c>
      <c r="F263" s="160">
        <f>E263*'Assumptions'!I68</f>
        <v/>
      </c>
      <c r="G263" s="160">
        <f>V262</f>
        <v/>
      </c>
      <c r="H263" s="160">
        <f>W262</f>
        <v/>
      </c>
      <c r="I263" s="160">
        <f>X262</f>
        <v/>
      </c>
      <c r="J263" s="160">
        <f>MAX(0,'Sites'!$I$7-SUM(N258:N262))</f>
        <v/>
      </c>
      <c r="K263" s="160">
        <f>IF('Sites'!$C$7="Own sheets",MIN(ROUNDDOWN(G263/'NM Play'!$B$11,0)+F263*'NM Play'!$B$10/'NM Play'!$B$43,ROUNDDOWN(H263/'NM Play'!$B$12,0)+F263*'NM Play'!$B$10/'NM Play'!$B$44,(F263*'NM Play'!$B$10+ROUNDDOWN(G263/'NM Play'!$B$11,0)*'NM Play'!$B$43+ROUNDDOWN(H263/'NM Play'!$B$12,0)*'NM Play'!$B$44)/('NM Play'!$B$43+'NM Play'!$B$44)),ROUNDDOWN(G263/'NM Play'!$B$11,0)+F263*'NM Play'!$B$10/'NM Play'!$B$43)</f>
        <v/>
      </c>
      <c r="L263" s="160">
        <f>MIN(ROUNDDOWN(G263/'NM Play'!$B$11,0)+F263/('NM Play'!$B$43/'NM Play'!$B$15),ROUNDDOWN(H263/'NM Play'!$B$12,0)+F263/('NM Play'!$B$44/'NM Play'!$B$16),(F263+ROUNDDOWN(G263/'NM Play'!$B$11,0)*'NM Play'!$B$43/'NM Play'!$B$15+ROUNDDOWN(H263/'NM Play'!$B$12,0)*'NM Play'!$B$44/'NM Play'!$B$16)/('NM Play'!$B$43/'NM Play'!$B$15+'NM Play'!$B$44/'NM Play'!$B$16))</f>
        <v/>
      </c>
      <c r="M263" s="160">
        <f>F263*'NM Play'!$B$36</f>
        <v/>
      </c>
      <c r="N263" s="160">
        <f>ROUNDDOWN(MAX(0,MIN(J263,K263:M263)),0)</f>
        <v/>
      </c>
      <c r="O263" s="160">
        <f>ROUNDUP(MAX(0,N263*'NM Play'!$B$11-G263)/'NM Play'!$B$13,0)</f>
        <v/>
      </c>
      <c r="P263" s="160">
        <f>ROUNDUP(MAX(0,N263*'NM Play'!$B$12-H263)/'NM Play'!$B$14,0)</f>
        <v/>
      </c>
      <c r="Q263" s="160">
        <f>(O263+IF('Sites'!$C$7="Own sheets",P263,0))/'NM Play'!$B$10</f>
        <v/>
      </c>
      <c r="R263" s="160">
        <f>O263/'NM Play'!$B$15+P263/'NM Play'!$B$16</f>
        <v/>
      </c>
      <c r="S263" s="160">
        <f>MAX(Q263,R263,N263/'NM Play'!$B$36)</f>
        <v/>
      </c>
      <c r="T263" s="160">
        <f>Q263*'NM Play'!$B$10*'NM Play'!$B$21*(1+'NM Play'!$B$35)</f>
        <v/>
      </c>
      <c r="U263" s="160">
        <f>MAX(0,T263-I263)</f>
        <v/>
      </c>
      <c r="V263" s="160">
        <f>G263+O263*'NM Play'!$B$13-N263*'NM Play'!$B$11</f>
        <v/>
      </c>
      <c r="W263" s="160">
        <f>H263+P263*'NM Play'!$B$14-N263*'NM Play'!$B$12</f>
        <v/>
      </c>
      <c r="X263" s="160">
        <f>I263+U263-T263</f>
        <v/>
      </c>
      <c r="Y263" s="160">
        <f>MIN(N263,MAX(0,ROUNDDOWN('Sites'!$L$7*'Cases'!$E$8,0)-SUM(Y258:Y262)))</f>
        <v/>
      </c>
      <c r="Z263" s="160">
        <f>N263-Y263</f>
        <v/>
      </c>
      <c r="AA263" s="160">
        <f>U263*'NM Play'!$B$22</f>
        <v/>
      </c>
      <c r="AB263" s="160">
        <f>N263*SUM('NM Play'!$B$29:$B$31)</f>
        <v/>
      </c>
      <c r="AC263" s="160">
        <f>IF('Sites'!$C$7="Defy legs",P263*'NM Play'!$B$14/'NM Play'!$B$12*'NM Play'!$B$28,0)</f>
        <v/>
      </c>
      <c r="AD263" s="160">
        <f>Q263*'NM Play'!$B$23</f>
        <v/>
      </c>
      <c r="AE263" s="160">
        <f>S263*SUM('NM Play'!$B$26,'NM Play'!$B$33:$B$34)</f>
        <v/>
      </c>
      <c r="AF263" s="160">
        <f>IF('Sites'!$D$7="NM crew",S263*SUM('NM Play'!$B$24:$B$25),0)</f>
        <v/>
      </c>
      <c r="AG263" s="160">
        <f>IF('Sites'!$D$7="NM crew",S263*'NM Play'!$B$27,0)</f>
        <v/>
      </c>
      <c r="AH263" s="160">
        <f>N263*'Sites'!$Z$7*'NM Play'!$B$32</f>
        <v/>
      </c>
      <c r="AI263" s="160">
        <f>SUM(Y263:Z263)*'Sites'!$R$7</f>
        <v/>
      </c>
      <c r="AJ263" s="160">
        <f>SUM(AA263:AH263)</f>
        <v/>
      </c>
      <c r="AK263" s="160">
        <f>AJ263+(T263-U263)*'NM Play'!$B$22+MIN(G263,N263*'NM Play'!$B$11)/'NM Play'!$B$13*'NM Play'!$B$21*'NM Play'!$B$22+MIN(H263,N263*'NM Play'!$B$12)/'NM Play'!$B$14*IF('Sites'!$C$7="Own sheets",'NM Play'!$B$21*'NM Play'!$B$22,'NM Play'!$B$28*'NM Play'!$B$14/'NM Play'!$B$12)</f>
        <v/>
      </c>
      <c r="AL263" s="160">
        <f>Y263*'Assumptions'!I66</f>
        <v/>
      </c>
      <c r="AM263" s="160">
        <f>IF('Sites'!$D$7="NM crew",S263*'NM Play'!$B$37*(1+IF(AND(ISNUMBER('NM Play'!$B$25),'NM Play'!$B$25&gt;0),1,0)),"")</f>
        <v/>
      </c>
      <c r="AN263" s="160">
        <f>IF(OR('Sites'!$E$7&lt;0,'Sites'!$E$7&gt;1,'Sites'!$F$7&lt;1,'Sites'!$G$7&lt;'Sites'!$F$7,F263&lt;0,MIN('Sites'!$I$7:'Sites'!$R$7)&lt;0,'Sites'!$L$7&gt;'Sites'!$I$7,'Sites'!$M$7&gt;'Sites'!$J$7,'Sites'!$N$7&gt;'Sites'!$K$7,'Sites'!$Z$7&lt;0,'Sites'!$Z$7&gt;1,MIN('Sites'!$AA$7:'Sites'!$AC$7)&lt;0,S263&gt;F263+0.001),1,0)</f>
        <v/>
      </c>
      <c r="AO263" s="160">
        <f>I263+U263-T263-X263</f>
        <v/>
      </c>
    </row>
    <row r="264" ht="28" customHeight="1">
      <c r="A264" s="4" t="inlineStr">
        <is>
          <t>No QBE</t>
        </is>
      </c>
      <c r="B264" s="4" t="inlineStr">
        <is>
          <t>NEW1</t>
        </is>
      </c>
      <c r="C264" s="160" t="n">
        <v>7</v>
      </c>
      <c r="D264" s="160">
        <f>ROUNDUP(C264/12,0)</f>
        <v/>
      </c>
      <c r="E264" s="160">
        <f>IF(AND('Sites'!$E$7=1,C264&gt;='Sites'!$F$7+'Cases'!$G$8,C264&lt;='Sites'!$G$7),1,0)</f>
        <v/>
      </c>
      <c r="F264" s="160">
        <f>E264*'Assumptions'!J68</f>
        <v/>
      </c>
      <c r="G264" s="160">
        <f>V263</f>
        <v/>
      </c>
      <c r="H264" s="160">
        <f>W263</f>
        <v/>
      </c>
      <c r="I264" s="160">
        <f>X263</f>
        <v/>
      </c>
      <c r="J264" s="160">
        <f>MAX(0,'Sites'!$I$7-SUM(N258:N263))</f>
        <v/>
      </c>
      <c r="K264" s="160">
        <f>IF('Sites'!$C$7="Own sheets",MIN(ROUNDDOWN(G264/'NM Play'!$B$11,0)+F264*'NM Play'!$B$10/'NM Play'!$B$43,ROUNDDOWN(H264/'NM Play'!$B$12,0)+F264*'NM Play'!$B$10/'NM Play'!$B$44,(F264*'NM Play'!$B$10+ROUNDDOWN(G264/'NM Play'!$B$11,0)*'NM Play'!$B$43+ROUNDDOWN(H264/'NM Play'!$B$12,0)*'NM Play'!$B$44)/('NM Play'!$B$43+'NM Play'!$B$44)),ROUNDDOWN(G264/'NM Play'!$B$11,0)+F264*'NM Play'!$B$10/'NM Play'!$B$43)</f>
        <v/>
      </c>
      <c r="L264" s="160">
        <f>MIN(ROUNDDOWN(G264/'NM Play'!$B$11,0)+F264/('NM Play'!$B$43/'NM Play'!$B$15),ROUNDDOWN(H264/'NM Play'!$B$12,0)+F264/('NM Play'!$B$44/'NM Play'!$B$16),(F264+ROUNDDOWN(G264/'NM Play'!$B$11,0)*'NM Play'!$B$43/'NM Play'!$B$15+ROUNDDOWN(H264/'NM Play'!$B$12,0)*'NM Play'!$B$44/'NM Play'!$B$16)/('NM Play'!$B$43/'NM Play'!$B$15+'NM Play'!$B$44/'NM Play'!$B$16))</f>
        <v/>
      </c>
      <c r="M264" s="160">
        <f>F264*'NM Play'!$B$36</f>
        <v/>
      </c>
      <c r="N264" s="160">
        <f>ROUNDDOWN(MAX(0,MIN(J264,K264:M264)),0)</f>
        <v/>
      </c>
      <c r="O264" s="160">
        <f>ROUNDUP(MAX(0,N264*'NM Play'!$B$11-G264)/'NM Play'!$B$13,0)</f>
        <v/>
      </c>
      <c r="P264" s="160">
        <f>ROUNDUP(MAX(0,N264*'NM Play'!$B$12-H264)/'NM Play'!$B$14,0)</f>
        <v/>
      </c>
      <c r="Q264" s="160">
        <f>(O264+IF('Sites'!$C$7="Own sheets",P264,0))/'NM Play'!$B$10</f>
        <v/>
      </c>
      <c r="R264" s="160">
        <f>O264/'NM Play'!$B$15+P264/'NM Play'!$B$16</f>
        <v/>
      </c>
      <c r="S264" s="160">
        <f>MAX(Q264,R264,N264/'NM Play'!$B$36)</f>
        <v/>
      </c>
      <c r="T264" s="160">
        <f>Q264*'NM Play'!$B$10*'NM Play'!$B$21*(1+'NM Play'!$B$35)</f>
        <v/>
      </c>
      <c r="U264" s="160">
        <f>MAX(0,T264-I264)</f>
        <v/>
      </c>
      <c r="V264" s="160">
        <f>G264+O264*'NM Play'!$B$13-N264*'NM Play'!$B$11</f>
        <v/>
      </c>
      <c r="W264" s="160">
        <f>H264+P264*'NM Play'!$B$14-N264*'NM Play'!$B$12</f>
        <v/>
      </c>
      <c r="X264" s="160">
        <f>I264+U264-T264</f>
        <v/>
      </c>
      <c r="Y264" s="160">
        <f>MIN(N264,MAX(0,ROUNDDOWN('Sites'!$L$7*'Cases'!$E$8,0)-SUM(Y258:Y263)))</f>
        <v/>
      </c>
      <c r="Z264" s="160">
        <f>N264-Y264</f>
        <v/>
      </c>
      <c r="AA264" s="160">
        <f>U264*'NM Play'!$B$22</f>
        <v/>
      </c>
      <c r="AB264" s="160">
        <f>N264*SUM('NM Play'!$B$29:$B$31)</f>
        <v/>
      </c>
      <c r="AC264" s="160">
        <f>IF('Sites'!$C$7="Defy legs",P264*'NM Play'!$B$14/'NM Play'!$B$12*'NM Play'!$B$28,0)</f>
        <v/>
      </c>
      <c r="AD264" s="160">
        <f>Q264*'NM Play'!$B$23</f>
        <v/>
      </c>
      <c r="AE264" s="160">
        <f>S264*SUM('NM Play'!$B$26,'NM Play'!$B$33:$B$34)</f>
        <v/>
      </c>
      <c r="AF264" s="160">
        <f>IF('Sites'!$D$7="NM crew",S264*SUM('NM Play'!$B$24:$B$25),0)</f>
        <v/>
      </c>
      <c r="AG264" s="160">
        <f>IF('Sites'!$D$7="NM crew",S264*'NM Play'!$B$27,0)</f>
        <v/>
      </c>
      <c r="AH264" s="160">
        <f>N264*'Sites'!$Z$7*'NM Play'!$B$32</f>
        <v/>
      </c>
      <c r="AI264" s="160">
        <f>SUM(Y264:Z264)*'Sites'!$R$7</f>
        <v/>
      </c>
      <c r="AJ264" s="160">
        <f>SUM(AA264:AH264)</f>
        <v/>
      </c>
      <c r="AK264" s="160">
        <f>AJ264+(T264-U264)*'NM Play'!$B$22+MIN(G264,N264*'NM Play'!$B$11)/'NM Play'!$B$13*'NM Play'!$B$21*'NM Play'!$B$22+MIN(H264,N264*'NM Play'!$B$12)/'NM Play'!$B$14*IF('Sites'!$C$7="Own sheets",'NM Play'!$B$21*'NM Play'!$B$22,'NM Play'!$B$28*'NM Play'!$B$14/'NM Play'!$B$12)</f>
        <v/>
      </c>
      <c r="AL264" s="160">
        <f>Y264*'Assumptions'!J66</f>
        <v/>
      </c>
      <c r="AM264" s="160">
        <f>IF('Sites'!$D$7="NM crew",S264*'NM Play'!$B$37*(1+IF(AND(ISNUMBER('NM Play'!$B$25),'NM Play'!$B$25&gt;0),1,0)),"")</f>
        <v/>
      </c>
      <c r="AN264" s="160">
        <f>IF(OR('Sites'!$E$7&lt;0,'Sites'!$E$7&gt;1,'Sites'!$F$7&lt;1,'Sites'!$G$7&lt;'Sites'!$F$7,F264&lt;0,MIN('Sites'!$I$7:'Sites'!$R$7)&lt;0,'Sites'!$L$7&gt;'Sites'!$I$7,'Sites'!$M$7&gt;'Sites'!$J$7,'Sites'!$N$7&gt;'Sites'!$K$7,'Sites'!$Z$7&lt;0,'Sites'!$Z$7&gt;1,MIN('Sites'!$AA$7:'Sites'!$AC$7)&lt;0,S264&gt;F264+0.001),1,0)</f>
        <v/>
      </c>
      <c r="AO264" s="160">
        <f>I264+U264-T264-X264</f>
        <v/>
      </c>
    </row>
    <row r="265" ht="28" customHeight="1">
      <c r="A265" s="4" t="inlineStr">
        <is>
          <t>No QBE</t>
        </is>
      </c>
      <c r="B265" s="4" t="inlineStr">
        <is>
          <t>NEW1</t>
        </is>
      </c>
      <c r="C265" s="160" t="n">
        <v>8</v>
      </c>
      <c r="D265" s="160">
        <f>ROUNDUP(C265/12,0)</f>
        <v/>
      </c>
      <c r="E265" s="160">
        <f>IF(AND('Sites'!$E$7=1,C265&gt;='Sites'!$F$7+'Cases'!$G$8,C265&lt;='Sites'!$G$7),1,0)</f>
        <v/>
      </c>
      <c r="F265" s="160">
        <f>E265*'Assumptions'!K68</f>
        <v/>
      </c>
      <c r="G265" s="160">
        <f>V264</f>
        <v/>
      </c>
      <c r="H265" s="160">
        <f>W264</f>
        <v/>
      </c>
      <c r="I265" s="160">
        <f>X264</f>
        <v/>
      </c>
      <c r="J265" s="160">
        <f>MAX(0,'Sites'!$I$7-SUM(N258:N264))</f>
        <v/>
      </c>
      <c r="K265" s="160">
        <f>IF('Sites'!$C$7="Own sheets",MIN(ROUNDDOWN(G265/'NM Play'!$B$11,0)+F265*'NM Play'!$B$10/'NM Play'!$B$43,ROUNDDOWN(H265/'NM Play'!$B$12,0)+F265*'NM Play'!$B$10/'NM Play'!$B$44,(F265*'NM Play'!$B$10+ROUNDDOWN(G265/'NM Play'!$B$11,0)*'NM Play'!$B$43+ROUNDDOWN(H265/'NM Play'!$B$12,0)*'NM Play'!$B$44)/('NM Play'!$B$43+'NM Play'!$B$44)),ROUNDDOWN(G265/'NM Play'!$B$11,0)+F265*'NM Play'!$B$10/'NM Play'!$B$43)</f>
        <v/>
      </c>
      <c r="L265" s="160">
        <f>MIN(ROUNDDOWN(G265/'NM Play'!$B$11,0)+F265/('NM Play'!$B$43/'NM Play'!$B$15),ROUNDDOWN(H265/'NM Play'!$B$12,0)+F265/('NM Play'!$B$44/'NM Play'!$B$16),(F265+ROUNDDOWN(G265/'NM Play'!$B$11,0)*'NM Play'!$B$43/'NM Play'!$B$15+ROUNDDOWN(H265/'NM Play'!$B$12,0)*'NM Play'!$B$44/'NM Play'!$B$16)/('NM Play'!$B$43/'NM Play'!$B$15+'NM Play'!$B$44/'NM Play'!$B$16))</f>
        <v/>
      </c>
      <c r="M265" s="160">
        <f>F265*'NM Play'!$B$36</f>
        <v/>
      </c>
      <c r="N265" s="160">
        <f>ROUNDDOWN(MAX(0,MIN(J265,K265:M265)),0)</f>
        <v/>
      </c>
      <c r="O265" s="160">
        <f>ROUNDUP(MAX(0,N265*'NM Play'!$B$11-G265)/'NM Play'!$B$13,0)</f>
        <v/>
      </c>
      <c r="P265" s="160">
        <f>ROUNDUP(MAX(0,N265*'NM Play'!$B$12-H265)/'NM Play'!$B$14,0)</f>
        <v/>
      </c>
      <c r="Q265" s="160">
        <f>(O265+IF('Sites'!$C$7="Own sheets",P265,0))/'NM Play'!$B$10</f>
        <v/>
      </c>
      <c r="R265" s="160">
        <f>O265/'NM Play'!$B$15+P265/'NM Play'!$B$16</f>
        <v/>
      </c>
      <c r="S265" s="160">
        <f>MAX(Q265,R265,N265/'NM Play'!$B$36)</f>
        <v/>
      </c>
      <c r="T265" s="160">
        <f>Q265*'NM Play'!$B$10*'NM Play'!$B$21*(1+'NM Play'!$B$35)</f>
        <v/>
      </c>
      <c r="U265" s="160">
        <f>MAX(0,T265-I265)</f>
        <v/>
      </c>
      <c r="V265" s="160">
        <f>G265+O265*'NM Play'!$B$13-N265*'NM Play'!$B$11</f>
        <v/>
      </c>
      <c r="W265" s="160">
        <f>H265+P265*'NM Play'!$B$14-N265*'NM Play'!$B$12</f>
        <v/>
      </c>
      <c r="X265" s="160">
        <f>I265+U265-T265</f>
        <v/>
      </c>
      <c r="Y265" s="160">
        <f>MIN(N265,MAX(0,ROUNDDOWN('Sites'!$L$7*'Cases'!$E$8,0)-SUM(Y258:Y264)))</f>
        <v/>
      </c>
      <c r="Z265" s="160">
        <f>N265-Y265</f>
        <v/>
      </c>
      <c r="AA265" s="160">
        <f>U265*'NM Play'!$B$22</f>
        <v/>
      </c>
      <c r="AB265" s="160">
        <f>N265*SUM('NM Play'!$B$29:$B$31)</f>
        <v/>
      </c>
      <c r="AC265" s="160">
        <f>IF('Sites'!$C$7="Defy legs",P265*'NM Play'!$B$14/'NM Play'!$B$12*'NM Play'!$B$28,0)</f>
        <v/>
      </c>
      <c r="AD265" s="160">
        <f>Q265*'NM Play'!$B$23</f>
        <v/>
      </c>
      <c r="AE265" s="160">
        <f>S265*SUM('NM Play'!$B$26,'NM Play'!$B$33:$B$34)</f>
        <v/>
      </c>
      <c r="AF265" s="160">
        <f>IF('Sites'!$D$7="NM crew",S265*SUM('NM Play'!$B$24:$B$25),0)</f>
        <v/>
      </c>
      <c r="AG265" s="160">
        <f>IF('Sites'!$D$7="NM crew",S265*'NM Play'!$B$27,0)</f>
        <v/>
      </c>
      <c r="AH265" s="160">
        <f>N265*'Sites'!$Z$7*'NM Play'!$B$32</f>
        <v/>
      </c>
      <c r="AI265" s="160">
        <f>SUM(Y265:Z265)*'Sites'!$R$7</f>
        <v/>
      </c>
      <c r="AJ265" s="160">
        <f>SUM(AA265:AH265)</f>
        <v/>
      </c>
      <c r="AK265" s="160">
        <f>AJ265+(T265-U265)*'NM Play'!$B$22+MIN(G265,N265*'NM Play'!$B$11)/'NM Play'!$B$13*'NM Play'!$B$21*'NM Play'!$B$22+MIN(H265,N265*'NM Play'!$B$12)/'NM Play'!$B$14*IF('Sites'!$C$7="Own sheets",'NM Play'!$B$21*'NM Play'!$B$22,'NM Play'!$B$28*'NM Play'!$B$14/'NM Play'!$B$12)</f>
        <v/>
      </c>
      <c r="AL265" s="160">
        <f>Y265*'Assumptions'!K66</f>
        <v/>
      </c>
      <c r="AM265" s="160">
        <f>IF('Sites'!$D$7="NM crew",S265*'NM Play'!$B$37*(1+IF(AND(ISNUMBER('NM Play'!$B$25),'NM Play'!$B$25&gt;0),1,0)),"")</f>
        <v/>
      </c>
      <c r="AN265" s="160">
        <f>IF(OR('Sites'!$E$7&lt;0,'Sites'!$E$7&gt;1,'Sites'!$F$7&lt;1,'Sites'!$G$7&lt;'Sites'!$F$7,F265&lt;0,MIN('Sites'!$I$7:'Sites'!$R$7)&lt;0,'Sites'!$L$7&gt;'Sites'!$I$7,'Sites'!$M$7&gt;'Sites'!$J$7,'Sites'!$N$7&gt;'Sites'!$K$7,'Sites'!$Z$7&lt;0,'Sites'!$Z$7&gt;1,MIN('Sites'!$AA$7:'Sites'!$AC$7)&lt;0,S265&gt;F265+0.001),1,0)</f>
        <v/>
      </c>
      <c r="AO265" s="160">
        <f>I265+U265-T265-X265</f>
        <v/>
      </c>
    </row>
    <row r="266" ht="28" customHeight="1">
      <c r="A266" s="4" t="inlineStr">
        <is>
          <t>No QBE</t>
        </is>
      </c>
      <c r="B266" s="4" t="inlineStr">
        <is>
          <t>NEW1</t>
        </is>
      </c>
      <c r="C266" s="160" t="n">
        <v>9</v>
      </c>
      <c r="D266" s="160">
        <f>ROUNDUP(C266/12,0)</f>
        <v/>
      </c>
      <c r="E266" s="160">
        <f>IF(AND('Sites'!$E$7=1,C266&gt;='Sites'!$F$7+'Cases'!$G$8,C266&lt;='Sites'!$G$7),1,0)</f>
        <v/>
      </c>
      <c r="F266" s="160">
        <f>E266*'Assumptions'!L68</f>
        <v/>
      </c>
      <c r="G266" s="160">
        <f>V265</f>
        <v/>
      </c>
      <c r="H266" s="160">
        <f>W265</f>
        <v/>
      </c>
      <c r="I266" s="160">
        <f>X265</f>
        <v/>
      </c>
      <c r="J266" s="160">
        <f>MAX(0,'Sites'!$I$7-SUM(N258:N265))</f>
        <v/>
      </c>
      <c r="K266" s="160">
        <f>IF('Sites'!$C$7="Own sheets",MIN(ROUNDDOWN(G266/'NM Play'!$B$11,0)+F266*'NM Play'!$B$10/'NM Play'!$B$43,ROUNDDOWN(H266/'NM Play'!$B$12,0)+F266*'NM Play'!$B$10/'NM Play'!$B$44,(F266*'NM Play'!$B$10+ROUNDDOWN(G266/'NM Play'!$B$11,0)*'NM Play'!$B$43+ROUNDDOWN(H266/'NM Play'!$B$12,0)*'NM Play'!$B$44)/('NM Play'!$B$43+'NM Play'!$B$44)),ROUNDDOWN(G266/'NM Play'!$B$11,0)+F266*'NM Play'!$B$10/'NM Play'!$B$43)</f>
        <v/>
      </c>
      <c r="L266" s="160">
        <f>MIN(ROUNDDOWN(G266/'NM Play'!$B$11,0)+F266/('NM Play'!$B$43/'NM Play'!$B$15),ROUNDDOWN(H266/'NM Play'!$B$12,0)+F266/('NM Play'!$B$44/'NM Play'!$B$16),(F266+ROUNDDOWN(G266/'NM Play'!$B$11,0)*'NM Play'!$B$43/'NM Play'!$B$15+ROUNDDOWN(H266/'NM Play'!$B$12,0)*'NM Play'!$B$44/'NM Play'!$B$16)/('NM Play'!$B$43/'NM Play'!$B$15+'NM Play'!$B$44/'NM Play'!$B$16))</f>
        <v/>
      </c>
      <c r="M266" s="160">
        <f>F266*'NM Play'!$B$36</f>
        <v/>
      </c>
      <c r="N266" s="160">
        <f>ROUNDDOWN(MAX(0,MIN(J266,K266:M266)),0)</f>
        <v/>
      </c>
      <c r="O266" s="160">
        <f>ROUNDUP(MAX(0,N266*'NM Play'!$B$11-G266)/'NM Play'!$B$13,0)</f>
        <v/>
      </c>
      <c r="P266" s="160">
        <f>ROUNDUP(MAX(0,N266*'NM Play'!$B$12-H266)/'NM Play'!$B$14,0)</f>
        <v/>
      </c>
      <c r="Q266" s="160">
        <f>(O266+IF('Sites'!$C$7="Own sheets",P266,0))/'NM Play'!$B$10</f>
        <v/>
      </c>
      <c r="R266" s="160">
        <f>O266/'NM Play'!$B$15+P266/'NM Play'!$B$16</f>
        <v/>
      </c>
      <c r="S266" s="160">
        <f>MAX(Q266,R266,N266/'NM Play'!$B$36)</f>
        <v/>
      </c>
      <c r="T266" s="160">
        <f>Q266*'NM Play'!$B$10*'NM Play'!$B$21*(1+'NM Play'!$B$35)</f>
        <v/>
      </c>
      <c r="U266" s="160">
        <f>MAX(0,T266-I266)</f>
        <v/>
      </c>
      <c r="V266" s="160">
        <f>G266+O266*'NM Play'!$B$13-N266*'NM Play'!$B$11</f>
        <v/>
      </c>
      <c r="W266" s="160">
        <f>H266+P266*'NM Play'!$B$14-N266*'NM Play'!$B$12</f>
        <v/>
      </c>
      <c r="X266" s="160">
        <f>I266+U266-T266</f>
        <v/>
      </c>
      <c r="Y266" s="160">
        <f>MIN(N266,MAX(0,ROUNDDOWN('Sites'!$L$7*'Cases'!$E$8,0)-SUM(Y258:Y265)))</f>
        <v/>
      </c>
      <c r="Z266" s="160">
        <f>N266-Y266</f>
        <v/>
      </c>
      <c r="AA266" s="160">
        <f>U266*'NM Play'!$B$22</f>
        <v/>
      </c>
      <c r="AB266" s="160">
        <f>N266*SUM('NM Play'!$B$29:$B$31)</f>
        <v/>
      </c>
      <c r="AC266" s="160">
        <f>IF('Sites'!$C$7="Defy legs",P266*'NM Play'!$B$14/'NM Play'!$B$12*'NM Play'!$B$28,0)</f>
        <v/>
      </c>
      <c r="AD266" s="160">
        <f>Q266*'NM Play'!$B$23</f>
        <v/>
      </c>
      <c r="AE266" s="160">
        <f>S266*SUM('NM Play'!$B$26,'NM Play'!$B$33:$B$34)</f>
        <v/>
      </c>
      <c r="AF266" s="160">
        <f>IF('Sites'!$D$7="NM crew",S266*SUM('NM Play'!$B$24:$B$25),0)</f>
        <v/>
      </c>
      <c r="AG266" s="160">
        <f>IF('Sites'!$D$7="NM crew",S266*'NM Play'!$B$27,0)</f>
        <v/>
      </c>
      <c r="AH266" s="160">
        <f>N266*'Sites'!$Z$7*'NM Play'!$B$32</f>
        <v/>
      </c>
      <c r="AI266" s="160">
        <f>SUM(Y266:Z266)*'Sites'!$R$7</f>
        <v/>
      </c>
      <c r="AJ266" s="160">
        <f>SUM(AA266:AH266)</f>
        <v/>
      </c>
      <c r="AK266" s="160">
        <f>AJ266+(T266-U266)*'NM Play'!$B$22+MIN(G266,N266*'NM Play'!$B$11)/'NM Play'!$B$13*'NM Play'!$B$21*'NM Play'!$B$22+MIN(H266,N266*'NM Play'!$B$12)/'NM Play'!$B$14*IF('Sites'!$C$7="Own sheets",'NM Play'!$B$21*'NM Play'!$B$22,'NM Play'!$B$28*'NM Play'!$B$14/'NM Play'!$B$12)</f>
        <v/>
      </c>
      <c r="AL266" s="160">
        <f>Y266*'Assumptions'!L66</f>
        <v/>
      </c>
      <c r="AM266" s="160">
        <f>IF('Sites'!$D$7="NM crew",S266*'NM Play'!$B$37*(1+IF(AND(ISNUMBER('NM Play'!$B$25),'NM Play'!$B$25&gt;0),1,0)),"")</f>
        <v/>
      </c>
      <c r="AN266" s="160">
        <f>IF(OR('Sites'!$E$7&lt;0,'Sites'!$E$7&gt;1,'Sites'!$F$7&lt;1,'Sites'!$G$7&lt;'Sites'!$F$7,F266&lt;0,MIN('Sites'!$I$7:'Sites'!$R$7)&lt;0,'Sites'!$L$7&gt;'Sites'!$I$7,'Sites'!$M$7&gt;'Sites'!$J$7,'Sites'!$N$7&gt;'Sites'!$K$7,'Sites'!$Z$7&lt;0,'Sites'!$Z$7&gt;1,MIN('Sites'!$AA$7:'Sites'!$AC$7)&lt;0,S266&gt;F266+0.001),1,0)</f>
        <v/>
      </c>
      <c r="AO266" s="160">
        <f>I266+U266-T266-X266</f>
        <v/>
      </c>
    </row>
    <row r="267" ht="28" customHeight="1">
      <c r="A267" s="4" t="inlineStr">
        <is>
          <t>No QBE</t>
        </is>
      </c>
      <c r="B267" s="4" t="inlineStr">
        <is>
          <t>NEW1</t>
        </is>
      </c>
      <c r="C267" s="160" t="n">
        <v>10</v>
      </c>
      <c r="D267" s="160">
        <f>ROUNDUP(C267/12,0)</f>
        <v/>
      </c>
      <c r="E267" s="160">
        <f>IF(AND('Sites'!$E$7=1,C267&gt;='Sites'!$F$7+'Cases'!$G$8,C267&lt;='Sites'!$G$7),1,0)</f>
        <v/>
      </c>
      <c r="F267" s="160">
        <f>E267*'Assumptions'!M68</f>
        <v/>
      </c>
      <c r="G267" s="160">
        <f>V266</f>
        <v/>
      </c>
      <c r="H267" s="160">
        <f>W266</f>
        <v/>
      </c>
      <c r="I267" s="160">
        <f>X266</f>
        <v/>
      </c>
      <c r="J267" s="160">
        <f>MAX(0,'Sites'!$I$7-SUM(N258:N266))</f>
        <v/>
      </c>
      <c r="K267" s="160">
        <f>IF('Sites'!$C$7="Own sheets",MIN(ROUNDDOWN(G267/'NM Play'!$B$11,0)+F267*'NM Play'!$B$10/'NM Play'!$B$43,ROUNDDOWN(H267/'NM Play'!$B$12,0)+F267*'NM Play'!$B$10/'NM Play'!$B$44,(F267*'NM Play'!$B$10+ROUNDDOWN(G267/'NM Play'!$B$11,0)*'NM Play'!$B$43+ROUNDDOWN(H267/'NM Play'!$B$12,0)*'NM Play'!$B$44)/('NM Play'!$B$43+'NM Play'!$B$44)),ROUNDDOWN(G267/'NM Play'!$B$11,0)+F267*'NM Play'!$B$10/'NM Play'!$B$43)</f>
        <v/>
      </c>
      <c r="L267" s="160">
        <f>MIN(ROUNDDOWN(G267/'NM Play'!$B$11,0)+F267/('NM Play'!$B$43/'NM Play'!$B$15),ROUNDDOWN(H267/'NM Play'!$B$12,0)+F267/('NM Play'!$B$44/'NM Play'!$B$16),(F267+ROUNDDOWN(G267/'NM Play'!$B$11,0)*'NM Play'!$B$43/'NM Play'!$B$15+ROUNDDOWN(H267/'NM Play'!$B$12,0)*'NM Play'!$B$44/'NM Play'!$B$16)/('NM Play'!$B$43/'NM Play'!$B$15+'NM Play'!$B$44/'NM Play'!$B$16))</f>
        <v/>
      </c>
      <c r="M267" s="160">
        <f>F267*'NM Play'!$B$36</f>
        <v/>
      </c>
      <c r="N267" s="160">
        <f>ROUNDDOWN(MAX(0,MIN(J267,K267:M267)),0)</f>
        <v/>
      </c>
      <c r="O267" s="160">
        <f>ROUNDUP(MAX(0,N267*'NM Play'!$B$11-G267)/'NM Play'!$B$13,0)</f>
        <v/>
      </c>
      <c r="P267" s="160">
        <f>ROUNDUP(MAX(0,N267*'NM Play'!$B$12-H267)/'NM Play'!$B$14,0)</f>
        <v/>
      </c>
      <c r="Q267" s="160">
        <f>(O267+IF('Sites'!$C$7="Own sheets",P267,0))/'NM Play'!$B$10</f>
        <v/>
      </c>
      <c r="R267" s="160">
        <f>O267/'NM Play'!$B$15+P267/'NM Play'!$B$16</f>
        <v/>
      </c>
      <c r="S267" s="160">
        <f>MAX(Q267,R267,N267/'NM Play'!$B$36)</f>
        <v/>
      </c>
      <c r="T267" s="160">
        <f>Q267*'NM Play'!$B$10*'NM Play'!$B$21*(1+'NM Play'!$B$35)</f>
        <v/>
      </c>
      <c r="U267" s="160">
        <f>MAX(0,T267-I267)</f>
        <v/>
      </c>
      <c r="V267" s="160">
        <f>G267+O267*'NM Play'!$B$13-N267*'NM Play'!$B$11</f>
        <v/>
      </c>
      <c r="W267" s="160">
        <f>H267+P267*'NM Play'!$B$14-N267*'NM Play'!$B$12</f>
        <v/>
      </c>
      <c r="X267" s="160">
        <f>I267+U267-T267</f>
        <v/>
      </c>
      <c r="Y267" s="160">
        <f>MIN(N267,MAX(0,ROUNDDOWN('Sites'!$L$7*'Cases'!$E$8,0)-SUM(Y258:Y266)))</f>
        <v/>
      </c>
      <c r="Z267" s="160">
        <f>N267-Y267</f>
        <v/>
      </c>
      <c r="AA267" s="160">
        <f>U267*'NM Play'!$B$22</f>
        <v/>
      </c>
      <c r="AB267" s="160">
        <f>N267*SUM('NM Play'!$B$29:$B$31)</f>
        <v/>
      </c>
      <c r="AC267" s="160">
        <f>IF('Sites'!$C$7="Defy legs",P267*'NM Play'!$B$14/'NM Play'!$B$12*'NM Play'!$B$28,0)</f>
        <v/>
      </c>
      <c r="AD267" s="160">
        <f>Q267*'NM Play'!$B$23</f>
        <v/>
      </c>
      <c r="AE267" s="160">
        <f>S267*SUM('NM Play'!$B$26,'NM Play'!$B$33:$B$34)</f>
        <v/>
      </c>
      <c r="AF267" s="160">
        <f>IF('Sites'!$D$7="NM crew",S267*SUM('NM Play'!$B$24:$B$25),0)</f>
        <v/>
      </c>
      <c r="AG267" s="160">
        <f>IF('Sites'!$D$7="NM crew",S267*'NM Play'!$B$27,0)</f>
        <v/>
      </c>
      <c r="AH267" s="160">
        <f>N267*'Sites'!$Z$7*'NM Play'!$B$32</f>
        <v/>
      </c>
      <c r="AI267" s="160">
        <f>SUM(Y267:Z267)*'Sites'!$R$7</f>
        <v/>
      </c>
      <c r="AJ267" s="160">
        <f>SUM(AA267:AH267)</f>
        <v/>
      </c>
      <c r="AK267" s="160">
        <f>AJ267+(T267-U267)*'NM Play'!$B$22+MIN(G267,N267*'NM Play'!$B$11)/'NM Play'!$B$13*'NM Play'!$B$21*'NM Play'!$B$22+MIN(H267,N267*'NM Play'!$B$12)/'NM Play'!$B$14*IF('Sites'!$C$7="Own sheets",'NM Play'!$B$21*'NM Play'!$B$22,'NM Play'!$B$28*'NM Play'!$B$14/'NM Play'!$B$12)</f>
        <v/>
      </c>
      <c r="AL267" s="160">
        <f>Y267*'Assumptions'!M66</f>
        <v/>
      </c>
      <c r="AM267" s="160">
        <f>IF('Sites'!$D$7="NM crew",S267*'NM Play'!$B$37*(1+IF(AND(ISNUMBER('NM Play'!$B$25),'NM Play'!$B$25&gt;0),1,0)),"")</f>
        <v/>
      </c>
      <c r="AN267" s="160">
        <f>IF(OR('Sites'!$E$7&lt;0,'Sites'!$E$7&gt;1,'Sites'!$F$7&lt;1,'Sites'!$G$7&lt;'Sites'!$F$7,F267&lt;0,MIN('Sites'!$I$7:'Sites'!$R$7)&lt;0,'Sites'!$L$7&gt;'Sites'!$I$7,'Sites'!$M$7&gt;'Sites'!$J$7,'Sites'!$N$7&gt;'Sites'!$K$7,'Sites'!$Z$7&lt;0,'Sites'!$Z$7&gt;1,MIN('Sites'!$AA$7:'Sites'!$AC$7)&lt;0,S267&gt;F267+0.001),1,0)</f>
        <v/>
      </c>
      <c r="AO267" s="160">
        <f>I267+U267-T267-X267</f>
        <v/>
      </c>
    </row>
    <row r="268" ht="28" customHeight="1">
      <c r="A268" s="4" t="inlineStr">
        <is>
          <t>No QBE</t>
        </is>
      </c>
      <c r="B268" s="4" t="inlineStr">
        <is>
          <t>NEW1</t>
        </is>
      </c>
      <c r="C268" s="160" t="n">
        <v>11</v>
      </c>
      <c r="D268" s="160">
        <f>ROUNDUP(C268/12,0)</f>
        <v/>
      </c>
      <c r="E268" s="160">
        <f>IF(AND('Sites'!$E$7=1,C268&gt;='Sites'!$F$7+'Cases'!$G$8,C268&lt;='Sites'!$G$7),1,0)</f>
        <v/>
      </c>
      <c r="F268" s="160">
        <f>E268*'Assumptions'!N68</f>
        <v/>
      </c>
      <c r="G268" s="160">
        <f>V267</f>
        <v/>
      </c>
      <c r="H268" s="160">
        <f>W267</f>
        <v/>
      </c>
      <c r="I268" s="160">
        <f>X267</f>
        <v/>
      </c>
      <c r="J268" s="160">
        <f>MAX(0,'Sites'!$I$7-SUM(N258:N267))</f>
        <v/>
      </c>
      <c r="K268" s="160">
        <f>IF('Sites'!$C$7="Own sheets",MIN(ROUNDDOWN(G268/'NM Play'!$B$11,0)+F268*'NM Play'!$B$10/'NM Play'!$B$43,ROUNDDOWN(H268/'NM Play'!$B$12,0)+F268*'NM Play'!$B$10/'NM Play'!$B$44,(F268*'NM Play'!$B$10+ROUNDDOWN(G268/'NM Play'!$B$11,0)*'NM Play'!$B$43+ROUNDDOWN(H268/'NM Play'!$B$12,0)*'NM Play'!$B$44)/('NM Play'!$B$43+'NM Play'!$B$44)),ROUNDDOWN(G268/'NM Play'!$B$11,0)+F268*'NM Play'!$B$10/'NM Play'!$B$43)</f>
        <v/>
      </c>
      <c r="L268" s="160">
        <f>MIN(ROUNDDOWN(G268/'NM Play'!$B$11,0)+F268/('NM Play'!$B$43/'NM Play'!$B$15),ROUNDDOWN(H268/'NM Play'!$B$12,0)+F268/('NM Play'!$B$44/'NM Play'!$B$16),(F268+ROUNDDOWN(G268/'NM Play'!$B$11,0)*'NM Play'!$B$43/'NM Play'!$B$15+ROUNDDOWN(H268/'NM Play'!$B$12,0)*'NM Play'!$B$44/'NM Play'!$B$16)/('NM Play'!$B$43/'NM Play'!$B$15+'NM Play'!$B$44/'NM Play'!$B$16))</f>
        <v/>
      </c>
      <c r="M268" s="160">
        <f>F268*'NM Play'!$B$36</f>
        <v/>
      </c>
      <c r="N268" s="160">
        <f>ROUNDDOWN(MAX(0,MIN(J268,K268:M268)),0)</f>
        <v/>
      </c>
      <c r="O268" s="160">
        <f>ROUNDUP(MAX(0,N268*'NM Play'!$B$11-G268)/'NM Play'!$B$13,0)</f>
        <v/>
      </c>
      <c r="P268" s="160">
        <f>ROUNDUP(MAX(0,N268*'NM Play'!$B$12-H268)/'NM Play'!$B$14,0)</f>
        <v/>
      </c>
      <c r="Q268" s="160">
        <f>(O268+IF('Sites'!$C$7="Own sheets",P268,0))/'NM Play'!$B$10</f>
        <v/>
      </c>
      <c r="R268" s="160">
        <f>O268/'NM Play'!$B$15+P268/'NM Play'!$B$16</f>
        <v/>
      </c>
      <c r="S268" s="160">
        <f>MAX(Q268,R268,N268/'NM Play'!$B$36)</f>
        <v/>
      </c>
      <c r="T268" s="160">
        <f>Q268*'NM Play'!$B$10*'NM Play'!$B$21*(1+'NM Play'!$B$35)</f>
        <v/>
      </c>
      <c r="U268" s="160">
        <f>MAX(0,T268-I268)</f>
        <v/>
      </c>
      <c r="V268" s="160">
        <f>G268+O268*'NM Play'!$B$13-N268*'NM Play'!$B$11</f>
        <v/>
      </c>
      <c r="W268" s="160">
        <f>H268+P268*'NM Play'!$B$14-N268*'NM Play'!$B$12</f>
        <v/>
      </c>
      <c r="X268" s="160">
        <f>I268+U268-T268</f>
        <v/>
      </c>
      <c r="Y268" s="160">
        <f>MIN(N268,MAX(0,ROUNDDOWN('Sites'!$L$7*'Cases'!$E$8,0)-SUM(Y258:Y267)))</f>
        <v/>
      </c>
      <c r="Z268" s="160">
        <f>N268-Y268</f>
        <v/>
      </c>
      <c r="AA268" s="160">
        <f>U268*'NM Play'!$B$22</f>
        <v/>
      </c>
      <c r="AB268" s="160">
        <f>N268*SUM('NM Play'!$B$29:$B$31)</f>
        <v/>
      </c>
      <c r="AC268" s="160">
        <f>IF('Sites'!$C$7="Defy legs",P268*'NM Play'!$B$14/'NM Play'!$B$12*'NM Play'!$B$28,0)</f>
        <v/>
      </c>
      <c r="AD268" s="160">
        <f>Q268*'NM Play'!$B$23</f>
        <v/>
      </c>
      <c r="AE268" s="160">
        <f>S268*SUM('NM Play'!$B$26,'NM Play'!$B$33:$B$34)</f>
        <v/>
      </c>
      <c r="AF268" s="160">
        <f>IF('Sites'!$D$7="NM crew",S268*SUM('NM Play'!$B$24:$B$25),0)</f>
        <v/>
      </c>
      <c r="AG268" s="160">
        <f>IF('Sites'!$D$7="NM crew",S268*'NM Play'!$B$27,0)</f>
        <v/>
      </c>
      <c r="AH268" s="160">
        <f>N268*'Sites'!$Z$7*'NM Play'!$B$32</f>
        <v/>
      </c>
      <c r="AI268" s="160">
        <f>SUM(Y268:Z268)*'Sites'!$R$7</f>
        <v/>
      </c>
      <c r="AJ268" s="160">
        <f>SUM(AA268:AH268)</f>
        <v/>
      </c>
      <c r="AK268" s="160">
        <f>AJ268+(T268-U268)*'NM Play'!$B$22+MIN(G268,N268*'NM Play'!$B$11)/'NM Play'!$B$13*'NM Play'!$B$21*'NM Play'!$B$22+MIN(H268,N268*'NM Play'!$B$12)/'NM Play'!$B$14*IF('Sites'!$C$7="Own sheets",'NM Play'!$B$21*'NM Play'!$B$22,'NM Play'!$B$28*'NM Play'!$B$14/'NM Play'!$B$12)</f>
        <v/>
      </c>
      <c r="AL268" s="160">
        <f>Y268*'Assumptions'!N66</f>
        <v/>
      </c>
      <c r="AM268" s="160">
        <f>IF('Sites'!$D$7="NM crew",S268*'NM Play'!$B$37*(1+IF(AND(ISNUMBER('NM Play'!$B$25),'NM Play'!$B$25&gt;0),1,0)),"")</f>
        <v/>
      </c>
      <c r="AN268" s="160">
        <f>IF(OR('Sites'!$E$7&lt;0,'Sites'!$E$7&gt;1,'Sites'!$F$7&lt;1,'Sites'!$G$7&lt;'Sites'!$F$7,F268&lt;0,MIN('Sites'!$I$7:'Sites'!$R$7)&lt;0,'Sites'!$L$7&gt;'Sites'!$I$7,'Sites'!$M$7&gt;'Sites'!$J$7,'Sites'!$N$7&gt;'Sites'!$K$7,'Sites'!$Z$7&lt;0,'Sites'!$Z$7&gt;1,MIN('Sites'!$AA$7:'Sites'!$AC$7)&lt;0,S268&gt;F268+0.001),1,0)</f>
        <v/>
      </c>
      <c r="AO268" s="160">
        <f>I268+U268-T268-X268</f>
        <v/>
      </c>
    </row>
    <row r="269" ht="28" customHeight="1">
      <c r="A269" s="4" t="inlineStr">
        <is>
          <t>No QBE</t>
        </is>
      </c>
      <c r="B269" s="4" t="inlineStr">
        <is>
          <t>NEW1</t>
        </is>
      </c>
      <c r="C269" s="160" t="n">
        <v>12</v>
      </c>
      <c r="D269" s="160">
        <f>ROUNDUP(C269/12,0)</f>
        <v/>
      </c>
      <c r="E269" s="160">
        <f>IF(AND('Sites'!$E$7=1,C269&gt;='Sites'!$F$7+'Cases'!$G$8,C269&lt;='Sites'!$G$7),1,0)</f>
        <v/>
      </c>
      <c r="F269" s="160">
        <f>E269*'Assumptions'!O68</f>
        <v/>
      </c>
      <c r="G269" s="160">
        <f>V268</f>
        <v/>
      </c>
      <c r="H269" s="160">
        <f>W268</f>
        <v/>
      </c>
      <c r="I269" s="160">
        <f>X268</f>
        <v/>
      </c>
      <c r="J269" s="160">
        <f>MAX(0,'Sites'!$I$7-SUM(N258:N268))</f>
        <v/>
      </c>
      <c r="K269" s="160">
        <f>IF('Sites'!$C$7="Own sheets",MIN(ROUNDDOWN(G269/'NM Play'!$B$11,0)+F269*'NM Play'!$B$10/'NM Play'!$B$43,ROUNDDOWN(H269/'NM Play'!$B$12,0)+F269*'NM Play'!$B$10/'NM Play'!$B$44,(F269*'NM Play'!$B$10+ROUNDDOWN(G269/'NM Play'!$B$11,0)*'NM Play'!$B$43+ROUNDDOWN(H269/'NM Play'!$B$12,0)*'NM Play'!$B$44)/('NM Play'!$B$43+'NM Play'!$B$44)),ROUNDDOWN(G269/'NM Play'!$B$11,0)+F269*'NM Play'!$B$10/'NM Play'!$B$43)</f>
        <v/>
      </c>
      <c r="L269" s="160">
        <f>MIN(ROUNDDOWN(G269/'NM Play'!$B$11,0)+F269/('NM Play'!$B$43/'NM Play'!$B$15),ROUNDDOWN(H269/'NM Play'!$B$12,0)+F269/('NM Play'!$B$44/'NM Play'!$B$16),(F269+ROUNDDOWN(G269/'NM Play'!$B$11,0)*'NM Play'!$B$43/'NM Play'!$B$15+ROUNDDOWN(H269/'NM Play'!$B$12,0)*'NM Play'!$B$44/'NM Play'!$B$16)/('NM Play'!$B$43/'NM Play'!$B$15+'NM Play'!$B$44/'NM Play'!$B$16))</f>
        <v/>
      </c>
      <c r="M269" s="160">
        <f>F269*'NM Play'!$B$36</f>
        <v/>
      </c>
      <c r="N269" s="160">
        <f>ROUNDDOWN(MAX(0,MIN(J269,K269:M269)),0)</f>
        <v/>
      </c>
      <c r="O269" s="160">
        <f>ROUNDUP(MAX(0,N269*'NM Play'!$B$11-G269)/'NM Play'!$B$13,0)</f>
        <v/>
      </c>
      <c r="P269" s="160">
        <f>ROUNDUP(MAX(0,N269*'NM Play'!$B$12-H269)/'NM Play'!$B$14,0)</f>
        <v/>
      </c>
      <c r="Q269" s="160">
        <f>(O269+IF('Sites'!$C$7="Own sheets",P269,0))/'NM Play'!$B$10</f>
        <v/>
      </c>
      <c r="R269" s="160">
        <f>O269/'NM Play'!$B$15+P269/'NM Play'!$B$16</f>
        <v/>
      </c>
      <c r="S269" s="160">
        <f>MAX(Q269,R269,N269/'NM Play'!$B$36)</f>
        <v/>
      </c>
      <c r="T269" s="160">
        <f>Q269*'NM Play'!$B$10*'NM Play'!$B$21*(1+'NM Play'!$B$35)</f>
        <v/>
      </c>
      <c r="U269" s="160">
        <f>MAX(0,T269-I269)</f>
        <v/>
      </c>
      <c r="V269" s="160">
        <f>G269+O269*'NM Play'!$B$13-N269*'NM Play'!$B$11</f>
        <v/>
      </c>
      <c r="W269" s="160">
        <f>H269+P269*'NM Play'!$B$14-N269*'NM Play'!$B$12</f>
        <v/>
      </c>
      <c r="X269" s="160">
        <f>I269+U269-T269</f>
        <v/>
      </c>
      <c r="Y269" s="160">
        <f>MIN(N269,MAX(0,ROUNDDOWN('Sites'!$L$7*'Cases'!$E$8,0)-SUM(Y258:Y268)))</f>
        <v/>
      </c>
      <c r="Z269" s="160">
        <f>N269-Y269</f>
        <v/>
      </c>
      <c r="AA269" s="160">
        <f>U269*'NM Play'!$B$22</f>
        <v/>
      </c>
      <c r="AB269" s="160">
        <f>N269*SUM('NM Play'!$B$29:$B$31)</f>
        <v/>
      </c>
      <c r="AC269" s="160">
        <f>IF('Sites'!$C$7="Defy legs",P269*'NM Play'!$B$14/'NM Play'!$B$12*'NM Play'!$B$28,0)</f>
        <v/>
      </c>
      <c r="AD269" s="160">
        <f>Q269*'NM Play'!$B$23</f>
        <v/>
      </c>
      <c r="AE269" s="160">
        <f>S269*SUM('NM Play'!$B$26,'NM Play'!$B$33:$B$34)</f>
        <v/>
      </c>
      <c r="AF269" s="160">
        <f>IF('Sites'!$D$7="NM crew",S269*SUM('NM Play'!$B$24:$B$25),0)</f>
        <v/>
      </c>
      <c r="AG269" s="160">
        <f>IF('Sites'!$D$7="NM crew",S269*'NM Play'!$B$27,0)</f>
        <v/>
      </c>
      <c r="AH269" s="160">
        <f>N269*'Sites'!$Z$7*'NM Play'!$B$32</f>
        <v/>
      </c>
      <c r="AI269" s="160">
        <f>SUM(Y269:Z269)*'Sites'!$R$7</f>
        <v/>
      </c>
      <c r="AJ269" s="160">
        <f>SUM(AA269:AH269)</f>
        <v/>
      </c>
      <c r="AK269" s="160">
        <f>AJ269+(T269-U269)*'NM Play'!$B$22+MIN(G269,N269*'NM Play'!$B$11)/'NM Play'!$B$13*'NM Play'!$B$21*'NM Play'!$B$22+MIN(H269,N269*'NM Play'!$B$12)/'NM Play'!$B$14*IF('Sites'!$C$7="Own sheets",'NM Play'!$B$21*'NM Play'!$B$22,'NM Play'!$B$28*'NM Play'!$B$14/'NM Play'!$B$12)</f>
        <v/>
      </c>
      <c r="AL269" s="160">
        <f>Y269*'Assumptions'!O66</f>
        <v/>
      </c>
      <c r="AM269" s="160">
        <f>IF('Sites'!$D$7="NM crew",S269*'NM Play'!$B$37*(1+IF(AND(ISNUMBER('NM Play'!$B$25),'NM Play'!$B$25&gt;0),1,0)),"")</f>
        <v/>
      </c>
      <c r="AN269" s="160">
        <f>IF(OR('Sites'!$E$7&lt;0,'Sites'!$E$7&gt;1,'Sites'!$F$7&lt;1,'Sites'!$G$7&lt;'Sites'!$F$7,F269&lt;0,MIN('Sites'!$I$7:'Sites'!$R$7)&lt;0,'Sites'!$L$7&gt;'Sites'!$I$7,'Sites'!$M$7&gt;'Sites'!$J$7,'Sites'!$N$7&gt;'Sites'!$K$7,'Sites'!$Z$7&lt;0,'Sites'!$Z$7&gt;1,MIN('Sites'!$AA$7:'Sites'!$AC$7)&lt;0,S269&gt;F269+0.001),1,0)</f>
        <v/>
      </c>
      <c r="AO269" s="160">
        <f>I269+U269-T269-X269</f>
        <v/>
      </c>
    </row>
    <row r="270" ht="28" customHeight="1">
      <c r="A270" s="4" t="inlineStr">
        <is>
          <t>No QBE</t>
        </is>
      </c>
      <c r="B270" s="4" t="inlineStr">
        <is>
          <t>NEW1</t>
        </is>
      </c>
      <c r="C270" s="160" t="n">
        <v>13</v>
      </c>
      <c r="D270" s="160">
        <f>ROUNDUP(C270/12,0)</f>
        <v/>
      </c>
      <c r="E270" s="160">
        <f>IF(AND('Sites'!$E$7=1,C270&gt;='Sites'!$F$7+'Cases'!$G$8,C270&lt;='Sites'!$G$7),1,0)</f>
        <v/>
      </c>
      <c r="F270" s="160">
        <f>E270*'Assumptions'!P68</f>
        <v/>
      </c>
      <c r="G270" s="160">
        <f>V269</f>
        <v/>
      </c>
      <c r="H270" s="160">
        <f>W269</f>
        <v/>
      </c>
      <c r="I270" s="160">
        <f>X269</f>
        <v/>
      </c>
      <c r="J270" s="160">
        <f>MAX(0,'Sites'!$J$7-0)</f>
        <v/>
      </c>
      <c r="K270" s="160">
        <f>IF('Sites'!$C$7="Own sheets",MIN(ROUNDDOWN(G270/'NM Play'!$B$11,0)+F270*'NM Play'!$B$10/'NM Play'!$B$43,ROUNDDOWN(H270/'NM Play'!$B$12,0)+F270*'NM Play'!$B$10/'NM Play'!$B$44,(F270*'NM Play'!$B$10+ROUNDDOWN(G270/'NM Play'!$B$11,0)*'NM Play'!$B$43+ROUNDDOWN(H270/'NM Play'!$B$12,0)*'NM Play'!$B$44)/('NM Play'!$B$43+'NM Play'!$B$44)),ROUNDDOWN(G270/'NM Play'!$B$11,0)+F270*'NM Play'!$B$10/'NM Play'!$B$43)</f>
        <v/>
      </c>
      <c r="L270" s="160">
        <f>MIN(ROUNDDOWN(G270/'NM Play'!$B$11,0)+F270/('NM Play'!$B$43/'NM Play'!$B$15),ROUNDDOWN(H270/'NM Play'!$B$12,0)+F270/('NM Play'!$B$44/'NM Play'!$B$16),(F270+ROUNDDOWN(G270/'NM Play'!$B$11,0)*'NM Play'!$B$43/'NM Play'!$B$15+ROUNDDOWN(H270/'NM Play'!$B$12,0)*'NM Play'!$B$44/'NM Play'!$B$16)/('NM Play'!$B$43/'NM Play'!$B$15+'NM Play'!$B$44/'NM Play'!$B$16))</f>
        <v/>
      </c>
      <c r="M270" s="160">
        <f>F270*'NM Play'!$B$36</f>
        <v/>
      </c>
      <c r="N270" s="160">
        <f>ROUNDDOWN(MAX(0,MIN(J270,K270:M270)),0)</f>
        <v/>
      </c>
      <c r="O270" s="160">
        <f>ROUNDUP(MAX(0,N270*'NM Play'!$B$11-G270)/'NM Play'!$B$13,0)</f>
        <v/>
      </c>
      <c r="P270" s="160">
        <f>ROUNDUP(MAX(0,N270*'NM Play'!$B$12-H270)/'NM Play'!$B$14,0)</f>
        <v/>
      </c>
      <c r="Q270" s="160">
        <f>(O270+IF('Sites'!$C$7="Own sheets",P270,0))/'NM Play'!$B$10</f>
        <v/>
      </c>
      <c r="R270" s="160">
        <f>O270/'NM Play'!$B$15+P270/'NM Play'!$B$16</f>
        <v/>
      </c>
      <c r="S270" s="160">
        <f>MAX(Q270,R270,N270/'NM Play'!$B$36)</f>
        <v/>
      </c>
      <c r="T270" s="160">
        <f>Q270*'NM Play'!$B$10*'NM Play'!$B$21*(1+'NM Play'!$B$35)</f>
        <v/>
      </c>
      <c r="U270" s="160">
        <f>MAX(0,T270-I270)</f>
        <v/>
      </c>
      <c r="V270" s="160">
        <f>G270+O270*'NM Play'!$B$13-N270*'NM Play'!$B$11</f>
        <v/>
      </c>
      <c r="W270" s="160">
        <f>H270+P270*'NM Play'!$B$14-N270*'NM Play'!$B$12</f>
        <v/>
      </c>
      <c r="X270" s="160">
        <f>I270+U270-T270</f>
        <v/>
      </c>
      <c r="Y270" s="160">
        <f>MIN(N270,MAX(0,ROUNDDOWN('Sites'!$M$7*'Cases'!$E$8,0)-0))</f>
        <v/>
      </c>
      <c r="Z270" s="160">
        <f>N270-Y270</f>
        <v/>
      </c>
      <c r="AA270" s="160">
        <f>U270*'NM Play'!$B$22</f>
        <v/>
      </c>
      <c r="AB270" s="160">
        <f>N270*SUM('NM Play'!$B$29:$B$31)</f>
        <v/>
      </c>
      <c r="AC270" s="160">
        <f>IF('Sites'!$C$7="Defy legs",P270*'NM Play'!$B$14/'NM Play'!$B$12*'NM Play'!$B$28,0)</f>
        <v/>
      </c>
      <c r="AD270" s="160">
        <f>Q270*'NM Play'!$B$23</f>
        <v/>
      </c>
      <c r="AE270" s="160">
        <f>S270*SUM('NM Play'!$B$26,'NM Play'!$B$33:$B$34)</f>
        <v/>
      </c>
      <c r="AF270" s="160">
        <f>IF('Sites'!$D$7="NM crew",S270*SUM('NM Play'!$B$24:$B$25),0)</f>
        <v/>
      </c>
      <c r="AG270" s="160">
        <f>IF('Sites'!$D$7="NM crew",S270*'NM Play'!$B$27,0)</f>
        <v/>
      </c>
      <c r="AH270" s="160">
        <f>N270*'Sites'!$Z$7*'NM Play'!$B$32</f>
        <v/>
      </c>
      <c r="AI270" s="160">
        <f>SUM(Y270:Z270)*'Sites'!$R$7</f>
        <v/>
      </c>
      <c r="AJ270" s="160">
        <f>SUM(AA270:AH270)</f>
        <v/>
      </c>
      <c r="AK270" s="160">
        <f>AJ270+(T270-U270)*'NM Play'!$B$22+MIN(G270,N270*'NM Play'!$B$11)/'NM Play'!$B$13*'NM Play'!$B$21*'NM Play'!$B$22+MIN(H270,N270*'NM Play'!$B$12)/'NM Play'!$B$14*IF('Sites'!$C$7="Own sheets",'NM Play'!$B$21*'NM Play'!$B$22,'NM Play'!$B$28*'NM Play'!$B$14/'NM Play'!$B$12)</f>
        <v/>
      </c>
      <c r="AL270" s="160">
        <f>Y270*'Assumptions'!P66</f>
        <v/>
      </c>
      <c r="AM270" s="160">
        <f>IF('Sites'!$D$7="NM crew",S270*'NM Play'!$B$37*(1+IF(AND(ISNUMBER('NM Play'!$B$25),'NM Play'!$B$25&gt;0),1,0)),"")</f>
        <v/>
      </c>
      <c r="AN270" s="160">
        <f>IF(OR('Sites'!$E$7&lt;0,'Sites'!$E$7&gt;1,'Sites'!$F$7&lt;1,'Sites'!$G$7&lt;'Sites'!$F$7,F270&lt;0,MIN('Sites'!$I$7:'Sites'!$R$7)&lt;0,'Sites'!$L$7&gt;'Sites'!$I$7,'Sites'!$M$7&gt;'Sites'!$J$7,'Sites'!$N$7&gt;'Sites'!$K$7,'Sites'!$Z$7&lt;0,'Sites'!$Z$7&gt;1,MIN('Sites'!$AA$7:'Sites'!$AC$7)&lt;0,S270&gt;F270+0.001),1,0)</f>
        <v/>
      </c>
      <c r="AO270" s="160">
        <f>I270+U270-T270-X270</f>
        <v/>
      </c>
    </row>
    <row r="271" ht="28" customHeight="1">
      <c r="A271" s="4" t="inlineStr">
        <is>
          <t>No QBE</t>
        </is>
      </c>
      <c r="B271" s="4" t="inlineStr">
        <is>
          <t>NEW1</t>
        </is>
      </c>
      <c r="C271" s="160" t="n">
        <v>14</v>
      </c>
      <c r="D271" s="160">
        <f>ROUNDUP(C271/12,0)</f>
        <v/>
      </c>
      <c r="E271" s="160">
        <f>IF(AND('Sites'!$E$7=1,C271&gt;='Sites'!$F$7+'Cases'!$G$8,C271&lt;='Sites'!$G$7),1,0)</f>
        <v/>
      </c>
      <c r="F271" s="160">
        <f>E271*'Assumptions'!Q68</f>
        <v/>
      </c>
      <c r="G271" s="160">
        <f>V270</f>
        <v/>
      </c>
      <c r="H271" s="160">
        <f>W270</f>
        <v/>
      </c>
      <c r="I271" s="160">
        <f>X270</f>
        <v/>
      </c>
      <c r="J271" s="160">
        <f>MAX(0,'Sites'!$J$7-SUM(N270:N270))</f>
        <v/>
      </c>
      <c r="K271" s="160">
        <f>IF('Sites'!$C$7="Own sheets",MIN(ROUNDDOWN(G271/'NM Play'!$B$11,0)+F271*'NM Play'!$B$10/'NM Play'!$B$43,ROUNDDOWN(H271/'NM Play'!$B$12,0)+F271*'NM Play'!$B$10/'NM Play'!$B$44,(F271*'NM Play'!$B$10+ROUNDDOWN(G271/'NM Play'!$B$11,0)*'NM Play'!$B$43+ROUNDDOWN(H271/'NM Play'!$B$12,0)*'NM Play'!$B$44)/('NM Play'!$B$43+'NM Play'!$B$44)),ROUNDDOWN(G271/'NM Play'!$B$11,0)+F271*'NM Play'!$B$10/'NM Play'!$B$43)</f>
        <v/>
      </c>
      <c r="L271" s="160">
        <f>MIN(ROUNDDOWN(G271/'NM Play'!$B$11,0)+F271/('NM Play'!$B$43/'NM Play'!$B$15),ROUNDDOWN(H271/'NM Play'!$B$12,0)+F271/('NM Play'!$B$44/'NM Play'!$B$16),(F271+ROUNDDOWN(G271/'NM Play'!$B$11,0)*'NM Play'!$B$43/'NM Play'!$B$15+ROUNDDOWN(H271/'NM Play'!$B$12,0)*'NM Play'!$B$44/'NM Play'!$B$16)/('NM Play'!$B$43/'NM Play'!$B$15+'NM Play'!$B$44/'NM Play'!$B$16))</f>
        <v/>
      </c>
      <c r="M271" s="160">
        <f>F271*'NM Play'!$B$36</f>
        <v/>
      </c>
      <c r="N271" s="160">
        <f>ROUNDDOWN(MAX(0,MIN(J271,K271:M271)),0)</f>
        <v/>
      </c>
      <c r="O271" s="160">
        <f>ROUNDUP(MAX(0,N271*'NM Play'!$B$11-G271)/'NM Play'!$B$13,0)</f>
        <v/>
      </c>
      <c r="P271" s="160">
        <f>ROUNDUP(MAX(0,N271*'NM Play'!$B$12-H271)/'NM Play'!$B$14,0)</f>
        <v/>
      </c>
      <c r="Q271" s="160">
        <f>(O271+IF('Sites'!$C$7="Own sheets",P271,0))/'NM Play'!$B$10</f>
        <v/>
      </c>
      <c r="R271" s="160">
        <f>O271/'NM Play'!$B$15+P271/'NM Play'!$B$16</f>
        <v/>
      </c>
      <c r="S271" s="160">
        <f>MAX(Q271,R271,N271/'NM Play'!$B$36)</f>
        <v/>
      </c>
      <c r="T271" s="160">
        <f>Q271*'NM Play'!$B$10*'NM Play'!$B$21*(1+'NM Play'!$B$35)</f>
        <v/>
      </c>
      <c r="U271" s="160">
        <f>MAX(0,T271-I271)</f>
        <v/>
      </c>
      <c r="V271" s="160">
        <f>G271+O271*'NM Play'!$B$13-N271*'NM Play'!$B$11</f>
        <v/>
      </c>
      <c r="W271" s="160">
        <f>H271+P271*'NM Play'!$B$14-N271*'NM Play'!$B$12</f>
        <v/>
      </c>
      <c r="X271" s="160">
        <f>I271+U271-T271</f>
        <v/>
      </c>
      <c r="Y271" s="160">
        <f>MIN(N271,MAX(0,ROUNDDOWN('Sites'!$M$7*'Cases'!$E$8,0)-SUM(Y270:Y270)))</f>
        <v/>
      </c>
      <c r="Z271" s="160">
        <f>N271-Y271</f>
        <v/>
      </c>
      <c r="AA271" s="160">
        <f>U271*'NM Play'!$B$22</f>
        <v/>
      </c>
      <c r="AB271" s="160">
        <f>N271*SUM('NM Play'!$B$29:$B$31)</f>
        <v/>
      </c>
      <c r="AC271" s="160">
        <f>IF('Sites'!$C$7="Defy legs",P271*'NM Play'!$B$14/'NM Play'!$B$12*'NM Play'!$B$28,0)</f>
        <v/>
      </c>
      <c r="AD271" s="160">
        <f>Q271*'NM Play'!$B$23</f>
        <v/>
      </c>
      <c r="AE271" s="160">
        <f>S271*SUM('NM Play'!$B$26,'NM Play'!$B$33:$B$34)</f>
        <v/>
      </c>
      <c r="AF271" s="160">
        <f>IF('Sites'!$D$7="NM crew",S271*SUM('NM Play'!$B$24:$B$25),0)</f>
        <v/>
      </c>
      <c r="AG271" s="160">
        <f>IF('Sites'!$D$7="NM crew",S271*'NM Play'!$B$27,0)</f>
        <v/>
      </c>
      <c r="AH271" s="160">
        <f>N271*'Sites'!$Z$7*'NM Play'!$B$32</f>
        <v/>
      </c>
      <c r="AI271" s="160">
        <f>SUM(Y271:Z271)*'Sites'!$R$7</f>
        <v/>
      </c>
      <c r="AJ271" s="160">
        <f>SUM(AA271:AH271)</f>
        <v/>
      </c>
      <c r="AK271" s="160">
        <f>AJ271+(T271-U271)*'NM Play'!$B$22+MIN(G271,N271*'NM Play'!$B$11)/'NM Play'!$B$13*'NM Play'!$B$21*'NM Play'!$B$22+MIN(H271,N271*'NM Play'!$B$12)/'NM Play'!$B$14*IF('Sites'!$C$7="Own sheets",'NM Play'!$B$21*'NM Play'!$B$22,'NM Play'!$B$28*'NM Play'!$B$14/'NM Play'!$B$12)</f>
        <v/>
      </c>
      <c r="AL271" s="160">
        <f>Y271*'Assumptions'!Q66</f>
        <v/>
      </c>
      <c r="AM271" s="160">
        <f>IF('Sites'!$D$7="NM crew",S271*'NM Play'!$B$37*(1+IF(AND(ISNUMBER('NM Play'!$B$25),'NM Play'!$B$25&gt;0),1,0)),"")</f>
        <v/>
      </c>
      <c r="AN271" s="160">
        <f>IF(OR('Sites'!$E$7&lt;0,'Sites'!$E$7&gt;1,'Sites'!$F$7&lt;1,'Sites'!$G$7&lt;'Sites'!$F$7,F271&lt;0,MIN('Sites'!$I$7:'Sites'!$R$7)&lt;0,'Sites'!$L$7&gt;'Sites'!$I$7,'Sites'!$M$7&gt;'Sites'!$J$7,'Sites'!$N$7&gt;'Sites'!$K$7,'Sites'!$Z$7&lt;0,'Sites'!$Z$7&gt;1,MIN('Sites'!$AA$7:'Sites'!$AC$7)&lt;0,S271&gt;F271+0.001),1,0)</f>
        <v/>
      </c>
      <c r="AO271" s="160">
        <f>I271+U271-T271-X271</f>
        <v/>
      </c>
    </row>
    <row r="272" ht="28" customHeight="1">
      <c r="A272" s="4" t="inlineStr">
        <is>
          <t>No QBE</t>
        </is>
      </c>
      <c r="B272" s="4" t="inlineStr">
        <is>
          <t>NEW1</t>
        </is>
      </c>
      <c r="C272" s="160" t="n">
        <v>15</v>
      </c>
      <c r="D272" s="160">
        <f>ROUNDUP(C272/12,0)</f>
        <v/>
      </c>
      <c r="E272" s="160">
        <f>IF(AND('Sites'!$E$7=1,C272&gt;='Sites'!$F$7+'Cases'!$G$8,C272&lt;='Sites'!$G$7),1,0)</f>
        <v/>
      </c>
      <c r="F272" s="160">
        <f>E272*'Assumptions'!R68</f>
        <v/>
      </c>
      <c r="G272" s="160">
        <f>V271</f>
        <v/>
      </c>
      <c r="H272" s="160">
        <f>W271</f>
        <v/>
      </c>
      <c r="I272" s="160">
        <f>X271</f>
        <v/>
      </c>
      <c r="J272" s="160">
        <f>MAX(0,'Sites'!$J$7-SUM(N270:N271))</f>
        <v/>
      </c>
      <c r="K272" s="160">
        <f>IF('Sites'!$C$7="Own sheets",MIN(ROUNDDOWN(G272/'NM Play'!$B$11,0)+F272*'NM Play'!$B$10/'NM Play'!$B$43,ROUNDDOWN(H272/'NM Play'!$B$12,0)+F272*'NM Play'!$B$10/'NM Play'!$B$44,(F272*'NM Play'!$B$10+ROUNDDOWN(G272/'NM Play'!$B$11,0)*'NM Play'!$B$43+ROUNDDOWN(H272/'NM Play'!$B$12,0)*'NM Play'!$B$44)/('NM Play'!$B$43+'NM Play'!$B$44)),ROUNDDOWN(G272/'NM Play'!$B$11,0)+F272*'NM Play'!$B$10/'NM Play'!$B$43)</f>
        <v/>
      </c>
      <c r="L272" s="160">
        <f>MIN(ROUNDDOWN(G272/'NM Play'!$B$11,0)+F272/('NM Play'!$B$43/'NM Play'!$B$15),ROUNDDOWN(H272/'NM Play'!$B$12,0)+F272/('NM Play'!$B$44/'NM Play'!$B$16),(F272+ROUNDDOWN(G272/'NM Play'!$B$11,0)*'NM Play'!$B$43/'NM Play'!$B$15+ROUNDDOWN(H272/'NM Play'!$B$12,0)*'NM Play'!$B$44/'NM Play'!$B$16)/('NM Play'!$B$43/'NM Play'!$B$15+'NM Play'!$B$44/'NM Play'!$B$16))</f>
        <v/>
      </c>
      <c r="M272" s="160">
        <f>F272*'NM Play'!$B$36</f>
        <v/>
      </c>
      <c r="N272" s="160">
        <f>ROUNDDOWN(MAX(0,MIN(J272,K272:M272)),0)</f>
        <v/>
      </c>
      <c r="O272" s="160">
        <f>ROUNDUP(MAX(0,N272*'NM Play'!$B$11-G272)/'NM Play'!$B$13,0)</f>
        <v/>
      </c>
      <c r="P272" s="160">
        <f>ROUNDUP(MAX(0,N272*'NM Play'!$B$12-H272)/'NM Play'!$B$14,0)</f>
        <v/>
      </c>
      <c r="Q272" s="160">
        <f>(O272+IF('Sites'!$C$7="Own sheets",P272,0))/'NM Play'!$B$10</f>
        <v/>
      </c>
      <c r="R272" s="160">
        <f>O272/'NM Play'!$B$15+P272/'NM Play'!$B$16</f>
        <v/>
      </c>
      <c r="S272" s="160">
        <f>MAX(Q272,R272,N272/'NM Play'!$B$36)</f>
        <v/>
      </c>
      <c r="T272" s="160">
        <f>Q272*'NM Play'!$B$10*'NM Play'!$B$21*(1+'NM Play'!$B$35)</f>
        <v/>
      </c>
      <c r="U272" s="160">
        <f>MAX(0,T272-I272)</f>
        <v/>
      </c>
      <c r="V272" s="160">
        <f>G272+O272*'NM Play'!$B$13-N272*'NM Play'!$B$11</f>
        <v/>
      </c>
      <c r="W272" s="160">
        <f>H272+P272*'NM Play'!$B$14-N272*'NM Play'!$B$12</f>
        <v/>
      </c>
      <c r="X272" s="160">
        <f>I272+U272-T272</f>
        <v/>
      </c>
      <c r="Y272" s="160">
        <f>MIN(N272,MAX(0,ROUNDDOWN('Sites'!$M$7*'Cases'!$E$8,0)-SUM(Y270:Y271)))</f>
        <v/>
      </c>
      <c r="Z272" s="160">
        <f>N272-Y272</f>
        <v/>
      </c>
      <c r="AA272" s="160">
        <f>U272*'NM Play'!$B$22</f>
        <v/>
      </c>
      <c r="AB272" s="160">
        <f>N272*SUM('NM Play'!$B$29:$B$31)</f>
        <v/>
      </c>
      <c r="AC272" s="160">
        <f>IF('Sites'!$C$7="Defy legs",P272*'NM Play'!$B$14/'NM Play'!$B$12*'NM Play'!$B$28,0)</f>
        <v/>
      </c>
      <c r="AD272" s="160">
        <f>Q272*'NM Play'!$B$23</f>
        <v/>
      </c>
      <c r="AE272" s="160">
        <f>S272*SUM('NM Play'!$B$26,'NM Play'!$B$33:$B$34)</f>
        <v/>
      </c>
      <c r="AF272" s="160">
        <f>IF('Sites'!$D$7="NM crew",S272*SUM('NM Play'!$B$24:$B$25),0)</f>
        <v/>
      </c>
      <c r="AG272" s="160">
        <f>IF('Sites'!$D$7="NM crew",S272*'NM Play'!$B$27,0)</f>
        <v/>
      </c>
      <c r="AH272" s="160">
        <f>N272*'Sites'!$Z$7*'NM Play'!$B$32</f>
        <v/>
      </c>
      <c r="AI272" s="160">
        <f>SUM(Y272:Z272)*'Sites'!$R$7</f>
        <v/>
      </c>
      <c r="AJ272" s="160">
        <f>SUM(AA272:AH272)</f>
        <v/>
      </c>
      <c r="AK272" s="160">
        <f>AJ272+(T272-U272)*'NM Play'!$B$22+MIN(G272,N272*'NM Play'!$B$11)/'NM Play'!$B$13*'NM Play'!$B$21*'NM Play'!$B$22+MIN(H272,N272*'NM Play'!$B$12)/'NM Play'!$B$14*IF('Sites'!$C$7="Own sheets",'NM Play'!$B$21*'NM Play'!$B$22,'NM Play'!$B$28*'NM Play'!$B$14/'NM Play'!$B$12)</f>
        <v/>
      </c>
      <c r="AL272" s="160">
        <f>Y272*'Assumptions'!R66</f>
        <v/>
      </c>
      <c r="AM272" s="160">
        <f>IF('Sites'!$D$7="NM crew",S272*'NM Play'!$B$37*(1+IF(AND(ISNUMBER('NM Play'!$B$25),'NM Play'!$B$25&gt;0),1,0)),"")</f>
        <v/>
      </c>
      <c r="AN272" s="160">
        <f>IF(OR('Sites'!$E$7&lt;0,'Sites'!$E$7&gt;1,'Sites'!$F$7&lt;1,'Sites'!$G$7&lt;'Sites'!$F$7,F272&lt;0,MIN('Sites'!$I$7:'Sites'!$R$7)&lt;0,'Sites'!$L$7&gt;'Sites'!$I$7,'Sites'!$M$7&gt;'Sites'!$J$7,'Sites'!$N$7&gt;'Sites'!$K$7,'Sites'!$Z$7&lt;0,'Sites'!$Z$7&gt;1,MIN('Sites'!$AA$7:'Sites'!$AC$7)&lt;0,S272&gt;F272+0.001),1,0)</f>
        <v/>
      </c>
      <c r="AO272" s="160">
        <f>I272+U272-T272-X272</f>
        <v/>
      </c>
    </row>
    <row r="273" ht="28" customHeight="1">
      <c r="A273" s="4" t="inlineStr">
        <is>
          <t>No QBE</t>
        </is>
      </c>
      <c r="B273" s="4" t="inlineStr">
        <is>
          <t>NEW1</t>
        </is>
      </c>
      <c r="C273" s="160" t="n">
        <v>16</v>
      </c>
      <c r="D273" s="160">
        <f>ROUNDUP(C273/12,0)</f>
        <v/>
      </c>
      <c r="E273" s="160">
        <f>IF(AND('Sites'!$E$7=1,C273&gt;='Sites'!$F$7+'Cases'!$G$8,C273&lt;='Sites'!$G$7),1,0)</f>
        <v/>
      </c>
      <c r="F273" s="160">
        <f>E273*'Assumptions'!S68</f>
        <v/>
      </c>
      <c r="G273" s="160">
        <f>V272</f>
        <v/>
      </c>
      <c r="H273" s="160">
        <f>W272</f>
        <v/>
      </c>
      <c r="I273" s="160">
        <f>X272</f>
        <v/>
      </c>
      <c r="J273" s="160">
        <f>MAX(0,'Sites'!$J$7-SUM(N270:N272))</f>
        <v/>
      </c>
      <c r="K273" s="160">
        <f>IF('Sites'!$C$7="Own sheets",MIN(ROUNDDOWN(G273/'NM Play'!$B$11,0)+F273*'NM Play'!$B$10/'NM Play'!$B$43,ROUNDDOWN(H273/'NM Play'!$B$12,0)+F273*'NM Play'!$B$10/'NM Play'!$B$44,(F273*'NM Play'!$B$10+ROUNDDOWN(G273/'NM Play'!$B$11,0)*'NM Play'!$B$43+ROUNDDOWN(H273/'NM Play'!$B$12,0)*'NM Play'!$B$44)/('NM Play'!$B$43+'NM Play'!$B$44)),ROUNDDOWN(G273/'NM Play'!$B$11,0)+F273*'NM Play'!$B$10/'NM Play'!$B$43)</f>
        <v/>
      </c>
      <c r="L273" s="160">
        <f>MIN(ROUNDDOWN(G273/'NM Play'!$B$11,0)+F273/('NM Play'!$B$43/'NM Play'!$B$15),ROUNDDOWN(H273/'NM Play'!$B$12,0)+F273/('NM Play'!$B$44/'NM Play'!$B$16),(F273+ROUNDDOWN(G273/'NM Play'!$B$11,0)*'NM Play'!$B$43/'NM Play'!$B$15+ROUNDDOWN(H273/'NM Play'!$B$12,0)*'NM Play'!$B$44/'NM Play'!$B$16)/('NM Play'!$B$43/'NM Play'!$B$15+'NM Play'!$B$44/'NM Play'!$B$16))</f>
        <v/>
      </c>
      <c r="M273" s="160">
        <f>F273*'NM Play'!$B$36</f>
        <v/>
      </c>
      <c r="N273" s="160">
        <f>ROUNDDOWN(MAX(0,MIN(J273,K273:M273)),0)</f>
        <v/>
      </c>
      <c r="O273" s="160">
        <f>ROUNDUP(MAX(0,N273*'NM Play'!$B$11-G273)/'NM Play'!$B$13,0)</f>
        <v/>
      </c>
      <c r="P273" s="160">
        <f>ROUNDUP(MAX(0,N273*'NM Play'!$B$12-H273)/'NM Play'!$B$14,0)</f>
        <v/>
      </c>
      <c r="Q273" s="160">
        <f>(O273+IF('Sites'!$C$7="Own sheets",P273,0))/'NM Play'!$B$10</f>
        <v/>
      </c>
      <c r="R273" s="160">
        <f>O273/'NM Play'!$B$15+P273/'NM Play'!$B$16</f>
        <v/>
      </c>
      <c r="S273" s="160">
        <f>MAX(Q273,R273,N273/'NM Play'!$B$36)</f>
        <v/>
      </c>
      <c r="T273" s="160">
        <f>Q273*'NM Play'!$B$10*'NM Play'!$B$21*(1+'NM Play'!$B$35)</f>
        <v/>
      </c>
      <c r="U273" s="160">
        <f>MAX(0,T273-I273)</f>
        <v/>
      </c>
      <c r="V273" s="160">
        <f>G273+O273*'NM Play'!$B$13-N273*'NM Play'!$B$11</f>
        <v/>
      </c>
      <c r="W273" s="160">
        <f>H273+P273*'NM Play'!$B$14-N273*'NM Play'!$B$12</f>
        <v/>
      </c>
      <c r="X273" s="160">
        <f>I273+U273-T273</f>
        <v/>
      </c>
      <c r="Y273" s="160">
        <f>MIN(N273,MAX(0,ROUNDDOWN('Sites'!$M$7*'Cases'!$E$8,0)-SUM(Y270:Y272)))</f>
        <v/>
      </c>
      <c r="Z273" s="160">
        <f>N273-Y273</f>
        <v/>
      </c>
      <c r="AA273" s="160">
        <f>U273*'NM Play'!$B$22</f>
        <v/>
      </c>
      <c r="AB273" s="160">
        <f>N273*SUM('NM Play'!$B$29:$B$31)</f>
        <v/>
      </c>
      <c r="AC273" s="160">
        <f>IF('Sites'!$C$7="Defy legs",P273*'NM Play'!$B$14/'NM Play'!$B$12*'NM Play'!$B$28,0)</f>
        <v/>
      </c>
      <c r="AD273" s="160">
        <f>Q273*'NM Play'!$B$23</f>
        <v/>
      </c>
      <c r="AE273" s="160">
        <f>S273*SUM('NM Play'!$B$26,'NM Play'!$B$33:$B$34)</f>
        <v/>
      </c>
      <c r="AF273" s="160">
        <f>IF('Sites'!$D$7="NM crew",S273*SUM('NM Play'!$B$24:$B$25),0)</f>
        <v/>
      </c>
      <c r="AG273" s="160">
        <f>IF('Sites'!$D$7="NM crew",S273*'NM Play'!$B$27,0)</f>
        <v/>
      </c>
      <c r="AH273" s="160">
        <f>N273*'Sites'!$Z$7*'NM Play'!$B$32</f>
        <v/>
      </c>
      <c r="AI273" s="160">
        <f>SUM(Y273:Z273)*'Sites'!$R$7</f>
        <v/>
      </c>
      <c r="AJ273" s="160">
        <f>SUM(AA273:AH273)</f>
        <v/>
      </c>
      <c r="AK273" s="160">
        <f>AJ273+(T273-U273)*'NM Play'!$B$22+MIN(G273,N273*'NM Play'!$B$11)/'NM Play'!$B$13*'NM Play'!$B$21*'NM Play'!$B$22+MIN(H273,N273*'NM Play'!$B$12)/'NM Play'!$B$14*IF('Sites'!$C$7="Own sheets",'NM Play'!$B$21*'NM Play'!$B$22,'NM Play'!$B$28*'NM Play'!$B$14/'NM Play'!$B$12)</f>
        <v/>
      </c>
      <c r="AL273" s="160">
        <f>Y273*'Assumptions'!S66</f>
        <v/>
      </c>
      <c r="AM273" s="160">
        <f>IF('Sites'!$D$7="NM crew",S273*'NM Play'!$B$37*(1+IF(AND(ISNUMBER('NM Play'!$B$25),'NM Play'!$B$25&gt;0),1,0)),"")</f>
        <v/>
      </c>
      <c r="AN273" s="160">
        <f>IF(OR('Sites'!$E$7&lt;0,'Sites'!$E$7&gt;1,'Sites'!$F$7&lt;1,'Sites'!$G$7&lt;'Sites'!$F$7,F273&lt;0,MIN('Sites'!$I$7:'Sites'!$R$7)&lt;0,'Sites'!$L$7&gt;'Sites'!$I$7,'Sites'!$M$7&gt;'Sites'!$J$7,'Sites'!$N$7&gt;'Sites'!$K$7,'Sites'!$Z$7&lt;0,'Sites'!$Z$7&gt;1,MIN('Sites'!$AA$7:'Sites'!$AC$7)&lt;0,S273&gt;F273+0.001),1,0)</f>
        <v/>
      </c>
      <c r="AO273" s="160">
        <f>I273+U273-T273-X273</f>
        <v/>
      </c>
    </row>
    <row r="274" ht="28" customHeight="1">
      <c r="A274" s="4" t="inlineStr">
        <is>
          <t>No QBE</t>
        </is>
      </c>
      <c r="B274" s="4" t="inlineStr">
        <is>
          <t>NEW1</t>
        </is>
      </c>
      <c r="C274" s="160" t="n">
        <v>17</v>
      </c>
      <c r="D274" s="160">
        <f>ROUNDUP(C274/12,0)</f>
        <v/>
      </c>
      <c r="E274" s="160">
        <f>IF(AND('Sites'!$E$7=1,C274&gt;='Sites'!$F$7+'Cases'!$G$8,C274&lt;='Sites'!$G$7),1,0)</f>
        <v/>
      </c>
      <c r="F274" s="160">
        <f>E274*'Assumptions'!T68</f>
        <v/>
      </c>
      <c r="G274" s="160">
        <f>V273</f>
        <v/>
      </c>
      <c r="H274" s="160">
        <f>W273</f>
        <v/>
      </c>
      <c r="I274" s="160">
        <f>X273</f>
        <v/>
      </c>
      <c r="J274" s="160">
        <f>MAX(0,'Sites'!$J$7-SUM(N270:N273))</f>
        <v/>
      </c>
      <c r="K274" s="160">
        <f>IF('Sites'!$C$7="Own sheets",MIN(ROUNDDOWN(G274/'NM Play'!$B$11,0)+F274*'NM Play'!$B$10/'NM Play'!$B$43,ROUNDDOWN(H274/'NM Play'!$B$12,0)+F274*'NM Play'!$B$10/'NM Play'!$B$44,(F274*'NM Play'!$B$10+ROUNDDOWN(G274/'NM Play'!$B$11,0)*'NM Play'!$B$43+ROUNDDOWN(H274/'NM Play'!$B$12,0)*'NM Play'!$B$44)/('NM Play'!$B$43+'NM Play'!$B$44)),ROUNDDOWN(G274/'NM Play'!$B$11,0)+F274*'NM Play'!$B$10/'NM Play'!$B$43)</f>
        <v/>
      </c>
      <c r="L274" s="160">
        <f>MIN(ROUNDDOWN(G274/'NM Play'!$B$11,0)+F274/('NM Play'!$B$43/'NM Play'!$B$15),ROUNDDOWN(H274/'NM Play'!$B$12,0)+F274/('NM Play'!$B$44/'NM Play'!$B$16),(F274+ROUNDDOWN(G274/'NM Play'!$B$11,0)*'NM Play'!$B$43/'NM Play'!$B$15+ROUNDDOWN(H274/'NM Play'!$B$12,0)*'NM Play'!$B$44/'NM Play'!$B$16)/('NM Play'!$B$43/'NM Play'!$B$15+'NM Play'!$B$44/'NM Play'!$B$16))</f>
        <v/>
      </c>
      <c r="M274" s="160">
        <f>F274*'NM Play'!$B$36</f>
        <v/>
      </c>
      <c r="N274" s="160">
        <f>ROUNDDOWN(MAX(0,MIN(J274,K274:M274)),0)</f>
        <v/>
      </c>
      <c r="O274" s="160">
        <f>ROUNDUP(MAX(0,N274*'NM Play'!$B$11-G274)/'NM Play'!$B$13,0)</f>
        <v/>
      </c>
      <c r="P274" s="160">
        <f>ROUNDUP(MAX(0,N274*'NM Play'!$B$12-H274)/'NM Play'!$B$14,0)</f>
        <v/>
      </c>
      <c r="Q274" s="160">
        <f>(O274+IF('Sites'!$C$7="Own sheets",P274,0))/'NM Play'!$B$10</f>
        <v/>
      </c>
      <c r="R274" s="160">
        <f>O274/'NM Play'!$B$15+P274/'NM Play'!$B$16</f>
        <v/>
      </c>
      <c r="S274" s="160">
        <f>MAX(Q274,R274,N274/'NM Play'!$B$36)</f>
        <v/>
      </c>
      <c r="T274" s="160">
        <f>Q274*'NM Play'!$B$10*'NM Play'!$B$21*(1+'NM Play'!$B$35)</f>
        <v/>
      </c>
      <c r="U274" s="160">
        <f>MAX(0,T274-I274)</f>
        <v/>
      </c>
      <c r="V274" s="160">
        <f>G274+O274*'NM Play'!$B$13-N274*'NM Play'!$B$11</f>
        <v/>
      </c>
      <c r="W274" s="160">
        <f>H274+P274*'NM Play'!$B$14-N274*'NM Play'!$B$12</f>
        <v/>
      </c>
      <c r="X274" s="160">
        <f>I274+U274-T274</f>
        <v/>
      </c>
      <c r="Y274" s="160">
        <f>MIN(N274,MAX(0,ROUNDDOWN('Sites'!$M$7*'Cases'!$E$8,0)-SUM(Y270:Y273)))</f>
        <v/>
      </c>
      <c r="Z274" s="160">
        <f>N274-Y274</f>
        <v/>
      </c>
      <c r="AA274" s="160">
        <f>U274*'NM Play'!$B$22</f>
        <v/>
      </c>
      <c r="AB274" s="160">
        <f>N274*SUM('NM Play'!$B$29:$B$31)</f>
        <v/>
      </c>
      <c r="AC274" s="160">
        <f>IF('Sites'!$C$7="Defy legs",P274*'NM Play'!$B$14/'NM Play'!$B$12*'NM Play'!$B$28,0)</f>
        <v/>
      </c>
      <c r="AD274" s="160">
        <f>Q274*'NM Play'!$B$23</f>
        <v/>
      </c>
      <c r="AE274" s="160">
        <f>S274*SUM('NM Play'!$B$26,'NM Play'!$B$33:$B$34)</f>
        <v/>
      </c>
      <c r="AF274" s="160">
        <f>IF('Sites'!$D$7="NM crew",S274*SUM('NM Play'!$B$24:$B$25),0)</f>
        <v/>
      </c>
      <c r="AG274" s="160">
        <f>IF('Sites'!$D$7="NM crew",S274*'NM Play'!$B$27,0)</f>
        <v/>
      </c>
      <c r="AH274" s="160">
        <f>N274*'Sites'!$Z$7*'NM Play'!$B$32</f>
        <v/>
      </c>
      <c r="AI274" s="160">
        <f>SUM(Y274:Z274)*'Sites'!$R$7</f>
        <v/>
      </c>
      <c r="AJ274" s="160">
        <f>SUM(AA274:AH274)</f>
        <v/>
      </c>
      <c r="AK274" s="160">
        <f>AJ274+(T274-U274)*'NM Play'!$B$22+MIN(G274,N274*'NM Play'!$B$11)/'NM Play'!$B$13*'NM Play'!$B$21*'NM Play'!$B$22+MIN(H274,N274*'NM Play'!$B$12)/'NM Play'!$B$14*IF('Sites'!$C$7="Own sheets",'NM Play'!$B$21*'NM Play'!$B$22,'NM Play'!$B$28*'NM Play'!$B$14/'NM Play'!$B$12)</f>
        <v/>
      </c>
      <c r="AL274" s="160">
        <f>Y274*'Assumptions'!T66</f>
        <v/>
      </c>
      <c r="AM274" s="160">
        <f>IF('Sites'!$D$7="NM crew",S274*'NM Play'!$B$37*(1+IF(AND(ISNUMBER('NM Play'!$B$25),'NM Play'!$B$25&gt;0),1,0)),"")</f>
        <v/>
      </c>
      <c r="AN274" s="160">
        <f>IF(OR('Sites'!$E$7&lt;0,'Sites'!$E$7&gt;1,'Sites'!$F$7&lt;1,'Sites'!$G$7&lt;'Sites'!$F$7,F274&lt;0,MIN('Sites'!$I$7:'Sites'!$R$7)&lt;0,'Sites'!$L$7&gt;'Sites'!$I$7,'Sites'!$M$7&gt;'Sites'!$J$7,'Sites'!$N$7&gt;'Sites'!$K$7,'Sites'!$Z$7&lt;0,'Sites'!$Z$7&gt;1,MIN('Sites'!$AA$7:'Sites'!$AC$7)&lt;0,S274&gt;F274+0.001),1,0)</f>
        <v/>
      </c>
      <c r="AO274" s="160">
        <f>I274+U274-T274-X274</f>
        <v/>
      </c>
    </row>
    <row r="275" ht="28" customHeight="1">
      <c r="A275" s="4" t="inlineStr">
        <is>
          <t>No QBE</t>
        </is>
      </c>
      <c r="B275" s="4" t="inlineStr">
        <is>
          <t>NEW1</t>
        </is>
      </c>
      <c r="C275" s="160" t="n">
        <v>18</v>
      </c>
      <c r="D275" s="160">
        <f>ROUNDUP(C275/12,0)</f>
        <v/>
      </c>
      <c r="E275" s="160">
        <f>IF(AND('Sites'!$E$7=1,C275&gt;='Sites'!$F$7+'Cases'!$G$8,C275&lt;='Sites'!$G$7),1,0)</f>
        <v/>
      </c>
      <c r="F275" s="160">
        <f>E275*'Assumptions'!U68</f>
        <v/>
      </c>
      <c r="G275" s="160">
        <f>V274</f>
        <v/>
      </c>
      <c r="H275" s="160">
        <f>W274</f>
        <v/>
      </c>
      <c r="I275" s="160">
        <f>X274</f>
        <v/>
      </c>
      <c r="J275" s="160">
        <f>MAX(0,'Sites'!$J$7-SUM(N270:N274))</f>
        <v/>
      </c>
      <c r="K275" s="160">
        <f>IF('Sites'!$C$7="Own sheets",MIN(ROUNDDOWN(G275/'NM Play'!$B$11,0)+F275*'NM Play'!$B$10/'NM Play'!$B$43,ROUNDDOWN(H275/'NM Play'!$B$12,0)+F275*'NM Play'!$B$10/'NM Play'!$B$44,(F275*'NM Play'!$B$10+ROUNDDOWN(G275/'NM Play'!$B$11,0)*'NM Play'!$B$43+ROUNDDOWN(H275/'NM Play'!$B$12,0)*'NM Play'!$B$44)/('NM Play'!$B$43+'NM Play'!$B$44)),ROUNDDOWN(G275/'NM Play'!$B$11,0)+F275*'NM Play'!$B$10/'NM Play'!$B$43)</f>
        <v/>
      </c>
      <c r="L275" s="160">
        <f>MIN(ROUNDDOWN(G275/'NM Play'!$B$11,0)+F275/('NM Play'!$B$43/'NM Play'!$B$15),ROUNDDOWN(H275/'NM Play'!$B$12,0)+F275/('NM Play'!$B$44/'NM Play'!$B$16),(F275+ROUNDDOWN(G275/'NM Play'!$B$11,0)*'NM Play'!$B$43/'NM Play'!$B$15+ROUNDDOWN(H275/'NM Play'!$B$12,0)*'NM Play'!$B$44/'NM Play'!$B$16)/('NM Play'!$B$43/'NM Play'!$B$15+'NM Play'!$B$44/'NM Play'!$B$16))</f>
        <v/>
      </c>
      <c r="M275" s="160">
        <f>F275*'NM Play'!$B$36</f>
        <v/>
      </c>
      <c r="N275" s="160">
        <f>ROUNDDOWN(MAX(0,MIN(J275,K275:M275)),0)</f>
        <v/>
      </c>
      <c r="O275" s="160">
        <f>ROUNDUP(MAX(0,N275*'NM Play'!$B$11-G275)/'NM Play'!$B$13,0)</f>
        <v/>
      </c>
      <c r="P275" s="160">
        <f>ROUNDUP(MAX(0,N275*'NM Play'!$B$12-H275)/'NM Play'!$B$14,0)</f>
        <v/>
      </c>
      <c r="Q275" s="160">
        <f>(O275+IF('Sites'!$C$7="Own sheets",P275,0))/'NM Play'!$B$10</f>
        <v/>
      </c>
      <c r="R275" s="160">
        <f>O275/'NM Play'!$B$15+P275/'NM Play'!$B$16</f>
        <v/>
      </c>
      <c r="S275" s="160">
        <f>MAX(Q275,R275,N275/'NM Play'!$B$36)</f>
        <v/>
      </c>
      <c r="T275" s="160">
        <f>Q275*'NM Play'!$B$10*'NM Play'!$B$21*(1+'NM Play'!$B$35)</f>
        <v/>
      </c>
      <c r="U275" s="160">
        <f>MAX(0,T275-I275)</f>
        <v/>
      </c>
      <c r="V275" s="160">
        <f>G275+O275*'NM Play'!$B$13-N275*'NM Play'!$B$11</f>
        <v/>
      </c>
      <c r="W275" s="160">
        <f>H275+P275*'NM Play'!$B$14-N275*'NM Play'!$B$12</f>
        <v/>
      </c>
      <c r="X275" s="160">
        <f>I275+U275-T275</f>
        <v/>
      </c>
      <c r="Y275" s="160">
        <f>MIN(N275,MAX(0,ROUNDDOWN('Sites'!$M$7*'Cases'!$E$8,0)-SUM(Y270:Y274)))</f>
        <v/>
      </c>
      <c r="Z275" s="160">
        <f>N275-Y275</f>
        <v/>
      </c>
      <c r="AA275" s="160">
        <f>U275*'NM Play'!$B$22</f>
        <v/>
      </c>
      <c r="AB275" s="160">
        <f>N275*SUM('NM Play'!$B$29:$B$31)</f>
        <v/>
      </c>
      <c r="AC275" s="160">
        <f>IF('Sites'!$C$7="Defy legs",P275*'NM Play'!$B$14/'NM Play'!$B$12*'NM Play'!$B$28,0)</f>
        <v/>
      </c>
      <c r="AD275" s="160">
        <f>Q275*'NM Play'!$B$23</f>
        <v/>
      </c>
      <c r="AE275" s="160">
        <f>S275*SUM('NM Play'!$B$26,'NM Play'!$B$33:$B$34)</f>
        <v/>
      </c>
      <c r="AF275" s="160">
        <f>IF('Sites'!$D$7="NM crew",S275*SUM('NM Play'!$B$24:$B$25),0)</f>
        <v/>
      </c>
      <c r="AG275" s="160">
        <f>IF('Sites'!$D$7="NM crew",S275*'NM Play'!$B$27,0)</f>
        <v/>
      </c>
      <c r="AH275" s="160">
        <f>N275*'Sites'!$Z$7*'NM Play'!$B$32</f>
        <v/>
      </c>
      <c r="AI275" s="160">
        <f>SUM(Y275:Z275)*'Sites'!$R$7</f>
        <v/>
      </c>
      <c r="AJ275" s="160">
        <f>SUM(AA275:AH275)</f>
        <v/>
      </c>
      <c r="AK275" s="160">
        <f>AJ275+(T275-U275)*'NM Play'!$B$22+MIN(G275,N275*'NM Play'!$B$11)/'NM Play'!$B$13*'NM Play'!$B$21*'NM Play'!$B$22+MIN(H275,N275*'NM Play'!$B$12)/'NM Play'!$B$14*IF('Sites'!$C$7="Own sheets",'NM Play'!$B$21*'NM Play'!$B$22,'NM Play'!$B$28*'NM Play'!$B$14/'NM Play'!$B$12)</f>
        <v/>
      </c>
      <c r="AL275" s="160">
        <f>Y275*'Assumptions'!U66</f>
        <v/>
      </c>
      <c r="AM275" s="160">
        <f>IF('Sites'!$D$7="NM crew",S275*'NM Play'!$B$37*(1+IF(AND(ISNUMBER('NM Play'!$B$25),'NM Play'!$B$25&gt;0),1,0)),"")</f>
        <v/>
      </c>
      <c r="AN275" s="160">
        <f>IF(OR('Sites'!$E$7&lt;0,'Sites'!$E$7&gt;1,'Sites'!$F$7&lt;1,'Sites'!$G$7&lt;'Sites'!$F$7,F275&lt;0,MIN('Sites'!$I$7:'Sites'!$R$7)&lt;0,'Sites'!$L$7&gt;'Sites'!$I$7,'Sites'!$M$7&gt;'Sites'!$J$7,'Sites'!$N$7&gt;'Sites'!$K$7,'Sites'!$Z$7&lt;0,'Sites'!$Z$7&gt;1,MIN('Sites'!$AA$7:'Sites'!$AC$7)&lt;0,S275&gt;F275+0.001),1,0)</f>
        <v/>
      </c>
      <c r="AO275" s="160">
        <f>I275+U275-T275-X275</f>
        <v/>
      </c>
    </row>
    <row r="276" ht="28" customHeight="1">
      <c r="A276" s="4" t="inlineStr">
        <is>
          <t>No QBE</t>
        </is>
      </c>
      <c r="B276" s="4" t="inlineStr">
        <is>
          <t>NEW1</t>
        </is>
      </c>
      <c r="C276" s="160" t="n">
        <v>19</v>
      </c>
      <c r="D276" s="160">
        <f>ROUNDUP(C276/12,0)</f>
        <v/>
      </c>
      <c r="E276" s="160">
        <f>IF(AND('Sites'!$E$7=1,C276&gt;='Sites'!$F$7+'Cases'!$G$8,C276&lt;='Sites'!$G$7),1,0)</f>
        <v/>
      </c>
      <c r="F276" s="160">
        <f>E276*'Assumptions'!V68</f>
        <v/>
      </c>
      <c r="G276" s="160">
        <f>V275</f>
        <v/>
      </c>
      <c r="H276" s="160">
        <f>W275</f>
        <v/>
      </c>
      <c r="I276" s="160">
        <f>X275</f>
        <v/>
      </c>
      <c r="J276" s="160">
        <f>MAX(0,'Sites'!$J$7-SUM(N270:N275))</f>
        <v/>
      </c>
      <c r="K276" s="160">
        <f>IF('Sites'!$C$7="Own sheets",MIN(ROUNDDOWN(G276/'NM Play'!$B$11,0)+F276*'NM Play'!$B$10/'NM Play'!$B$43,ROUNDDOWN(H276/'NM Play'!$B$12,0)+F276*'NM Play'!$B$10/'NM Play'!$B$44,(F276*'NM Play'!$B$10+ROUNDDOWN(G276/'NM Play'!$B$11,0)*'NM Play'!$B$43+ROUNDDOWN(H276/'NM Play'!$B$12,0)*'NM Play'!$B$44)/('NM Play'!$B$43+'NM Play'!$B$44)),ROUNDDOWN(G276/'NM Play'!$B$11,0)+F276*'NM Play'!$B$10/'NM Play'!$B$43)</f>
        <v/>
      </c>
      <c r="L276" s="160">
        <f>MIN(ROUNDDOWN(G276/'NM Play'!$B$11,0)+F276/('NM Play'!$B$43/'NM Play'!$B$15),ROUNDDOWN(H276/'NM Play'!$B$12,0)+F276/('NM Play'!$B$44/'NM Play'!$B$16),(F276+ROUNDDOWN(G276/'NM Play'!$B$11,0)*'NM Play'!$B$43/'NM Play'!$B$15+ROUNDDOWN(H276/'NM Play'!$B$12,0)*'NM Play'!$B$44/'NM Play'!$B$16)/('NM Play'!$B$43/'NM Play'!$B$15+'NM Play'!$B$44/'NM Play'!$B$16))</f>
        <v/>
      </c>
      <c r="M276" s="160">
        <f>F276*'NM Play'!$B$36</f>
        <v/>
      </c>
      <c r="N276" s="160">
        <f>ROUNDDOWN(MAX(0,MIN(J276,K276:M276)),0)</f>
        <v/>
      </c>
      <c r="O276" s="160">
        <f>ROUNDUP(MAX(0,N276*'NM Play'!$B$11-G276)/'NM Play'!$B$13,0)</f>
        <v/>
      </c>
      <c r="P276" s="160">
        <f>ROUNDUP(MAX(0,N276*'NM Play'!$B$12-H276)/'NM Play'!$B$14,0)</f>
        <v/>
      </c>
      <c r="Q276" s="160">
        <f>(O276+IF('Sites'!$C$7="Own sheets",P276,0))/'NM Play'!$B$10</f>
        <v/>
      </c>
      <c r="R276" s="160">
        <f>O276/'NM Play'!$B$15+P276/'NM Play'!$B$16</f>
        <v/>
      </c>
      <c r="S276" s="160">
        <f>MAX(Q276,R276,N276/'NM Play'!$B$36)</f>
        <v/>
      </c>
      <c r="T276" s="160">
        <f>Q276*'NM Play'!$B$10*'NM Play'!$B$21*(1+'NM Play'!$B$35)</f>
        <v/>
      </c>
      <c r="U276" s="160">
        <f>MAX(0,T276-I276)</f>
        <v/>
      </c>
      <c r="V276" s="160">
        <f>G276+O276*'NM Play'!$B$13-N276*'NM Play'!$B$11</f>
        <v/>
      </c>
      <c r="W276" s="160">
        <f>H276+P276*'NM Play'!$B$14-N276*'NM Play'!$B$12</f>
        <v/>
      </c>
      <c r="X276" s="160">
        <f>I276+U276-T276</f>
        <v/>
      </c>
      <c r="Y276" s="160">
        <f>MIN(N276,MAX(0,ROUNDDOWN('Sites'!$M$7*'Cases'!$E$8,0)-SUM(Y270:Y275)))</f>
        <v/>
      </c>
      <c r="Z276" s="160">
        <f>N276-Y276</f>
        <v/>
      </c>
      <c r="AA276" s="160">
        <f>U276*'NM Play'!$B$22</f>
        <v/>
      </c>
      <c r="AB276" s="160">
        <f>N276*SUM('NM Play'!$B$29:$B$31)</f>
        <v/>
      </c>
      <c r="AC276" s="160">
        <f>IF('Sites'!$C$7="Defy legs",P276*'NM Play'!$B$14/'NM Play'!$B$12*'NM Play'!$B$28,0)</f>
        <v/>
      </c>
      <c r="AD276" s="160">
        <f>Q276*'NM Play'!$B$23</f>
        <v/>
      </c>
      <c r="AE276" s="160">
        <f>S276*SUM('NM Play'!$B$26,'NM Play'!$B$33:$B$34)</f>
        <v/>
      </c>
      <c r="AF276" s="160">
        <f>IF('Sites'!$D$7="NM crew",S276*SUM('NM Play'!$B$24:$B$25),0)</f>
        <v/>
      </c>
      <c r="AG276" s="160">
        <f>IF('Sites'!$D$7="NM crew",S276*'NM Play'!$B$27,0)</f>
        <v/>
      </c>
      <c r="AH276" s="160">
        <f>N276*'Sites'!$Z$7*'NM Play'!$B$32</f>
        <v/>
      </c>
      <c r="AI276" s="160">
        <f>SUM(Y276:Z276)*'Sites'!$R$7</f>
        <v/>
      </c>
      <c r="AJ276" s="160">
        <f>SUM(AA276:AH276)</f>
        <v/>
      </c>
      <c r="AK276" s="160">
        <f>AJ276+(T276-U276)*'NM Play'!$B$22+MIN(G276,N276*'NM Play'!$B$11)/'NM Play'!$B$13*'NM Play'!$B$21*'NM Play'!$B$22+MIN(H276,N276*'NM Play'!$B$12)/'NM Play'!$B$14*IF('Sites'!$C$7="Own sheets",'NM Play'!$B$21*'NM Play'!$B$22,'NM Play'!$B$28*'NM Play'!$B$14/'NM Play'!$B$12)</f>
        <v/>
      </c>
      <c r="AL276" s="160">
        <f>Y276*'Assumptions'!V66</f>
        <v/>
      </c>
      <c r="AM276" s="160">
        <f>IF('Sites'!$D$7="NM crew",S276*'NM Play'!$B$37*(1+IF(AND(ISNUMBER('NM Play'!$B$25),'NM Play'!$B$25&gt;0),1,0)),"")</f>
        <v/>
      </c>
      <c r="AN276" s="160">
        <f>IF(OR('Sites'!$E$7&lt;0,'Sites'!$E$7&gt;1,'Sites'!$F$7&lt;1,'Sites'!$G$7&lt;'Sites'!$F$7,F276&lt;0,MIN('Sites'!$I$7:'Sites'!$R$7)&lt;0,'Sites'!$L$7&gt;'Sites'!$I$7,'Sites'!$M$7&gt;'Sites'!$J$7,'Sites'!$N$7&gt;'Sites'!$K$7,'Sites'!$Z$7&lt;0,'Sites'!$Z$7&gt;1,MIN('Sites'!$AA$7:'Sites'!$AC$7)&lt;0,S276&gt;F276+0.001),1,0)</f>
        <v/>
      </c>
      <c r="AO276" s="160">
        <f>I276+U276-T276-X276</f>
        <v/>
      </c>
    </row>
    <row r="277" ht="28" customHeight="1">
      <c r="A277" s="4" t="inlineStr">
        <is>
          <t>No QBE</t>
        </is>
      </c>
      <c r="B277" s="4" t="inlineStr">
        <is>
          <t>NEW1</t>
        </is>
      </c>
      <c r="C277" s="160" t="n">
        <v>20</v>
      </c>
      <c r="D277" s="160">
        <f>ROUNDUP(C277/12,0)</f>
        <v/>
      </c>
      <c r="E277" s="160">
        <f>IF(AND('Sites'!$E$7=1,C277&gt;='Sites'!$F$7+'Cases'!$G$8,C277&lt;='Sites'!$G$7),1,0)</f>
        <v/>
      </c>
      <c r="F277" s="160">
        <f>E277*'Assumptions'!W68</f>
        <v/>
      </c>
      <c r="G277" s="160">
        <f>V276</f>
        <v/>
      </c>
      <c r="H277" s="160">
        <f>W276</f>
        <v/>
      </c>
      <c r="I277" s="160">
        <f>X276</f>
        <v/>
      </c>
      <c r="J277" s="160">
        <f>MAX(0,'Sites'!$J$7-SUM(N270:N276))</f>
        <v/>
      </c>
      <c r="K277" s="160">
        <f>IF('Sites'!$C$7="Own sheets",MIN(ROUNDDOWN(G277/'NM Play'!$B$11,0)+F277*'NM Play'!$B$10/'NM Play'!$B$43,ROUNDDOWN(H277/'NM Play'!$B$12,0)+F277*'NM Play'!$B$10/'NM Play'!$B$44,(F277*'NM Play'!$B$10+ROUNDDOWN(G277/'NM Play'!$B$11,0)*'NM Play'!$B$43+ROUNDDOWN(H277/'NM Play'!$B$12,0)*'NM Play'!$B$44)/('NM Play'!$B$43+'NM Play'!$B$44)),ROUNDDOWN(G277/'NM Play'!$B$11,0)+F277*'NM Play'!$B$10/'NM Play'!$B$43)</f>
        <v/>
      </c>
      <c r="L277" s="160">
        <f>MIN(ROUNDDOWN(G277/'NM Play'!$B$11,0)+F277/('NM Play'!$B$43/'NM Play'!$B$15),ROUNDDOWN(H277/'NM Play'!$B$12,0)+F277/('NM Play'!$B$44/'NM Play'!$B$16),(F277+ROUNDDOWN(G277/'NM Play'!$B$11,0)*'NM Play'!$B$43/'NM Play'!$B$15+ROUNDDOWN(H277/'NM Play'!$B$12,0)*'NM Play'!$B$44/'NM Play'!$B$16)/('NM Play'!$B$43/'NM Play'!$B$15+'NM Play'!$B$44/'NM Play'!$B$16))</f>
        <v/>
      </c>
      <c r="M277" s="160">
        <f>F277*'NM Play'!$B$36</f>
        <v/>
      </c>
      <c r="N277" s="160">
        <f>ROUNDDOWN(MAX(0,MIN(J277,K277:M277)),0)</f>
        <v/>
      </c>
      <c r="O277" s="160">
        <f>ROUNDUP(MAX(0,N277*'NM Play'!$B$11-G277)/'NM Play'!$B$13,0)</f>
        <v/>
      </c>
      <c r="P277" s="160">
        <f>ROUNDUP(MAX(0,N277*'NM Play'!$B$12-H277)/'NM Play'!$B$14,0)</f>
        <v/>
      </c>
      <c r="Q277" s="160">
        <f>(O277+IF('Sites'!$C$7="Own sheets",P277,0))/'NM Play'!$B$10</f>
        <v/>
      </c>
      <c r="R277" s="160">
        <f>O277/'NM Play'!$B$15+P277/'NM Play'!$B$16</f>
        <v/>
      </c>
      <c r="S277" s="160">
        <f>MAX(Q277,R277,N277/'NM Play'!$B$36)</f>
        <v/>
      </c>
      <c r="T277" s="160">
        <f>Q277*'NM Play'!$B$10*'NM Play'!$B$21*(1+'NM Play'!$B$35)</f>
        <v/>
      </c>
      <c r="U277" s="160">
        <f>MAX(0,T277-I277)</f>
        <v/>
      </c>
      <c r="V277" s="160">
        <f>G277+O277*'NM Play'!$B$13-N277*'NM Play'!$B$11</f>
        <v/>
      </c>
      <c r="W277" s="160">
        <f>H277+P277*'NM Play'!$B$14-N277*'NM Play'!$B$12</f>
        <v/>
      </c>
      <c r="X277" s="160">
        <f>I277+U277-T277</f>
        <v/>
      </c>
      <c r="Y277" s="160">
        <f>MIN(N277,MAX(0,ROUNDDOWN('Sites'!$M$7*'Cases'!$E$8,0)-SUM(Y270:Y276)))</f>
        <v/>
      </c>
      <c r="Z277" s="160">
        <f>N277-Y277</f>
        <v/>
      </c>
      <c r="AA277" s="160">
        <f>U277*'NM Play'!$B$22</f>
        <v/>
      </c>
      <c r="AB277" s="160">
        <f>N277*SUM('NM Play'!$B$29:$B$31)</f>
        <v/>
      </c>
      <c r="AC277" s="160">
        <f>IF('Sites'!$C$7="Defy legs",P277*'NM Play'!$B$14/'NM Play'!$B$12*'NM Play'!$B$28,0)</f>
        <v/>
      </c>
      <c r="AD277" s="160">
        <f>Q277*'NM Play'!$B$23</f>
        <v/>
      </c>
      <c r="AE277" s="160">
        <f>S277*SUM('NM Play'!$B$26,'NM Play'!$B$33:$B$34)</f>
        <v/>
      </c>
      <c r="AF277" s="160">
        <f>IF('Sites'!$D$7="NM crew",S277*SUM('NM Play'!$B$24:$B$25),0)</f>
        <v/>
      </c>
      <c r="AG277" s="160">
        <f>IF('Sites'!$D$7="NM crew",S277*'NM Play'!$B$27,0)</f>
        <v/>
      </c>
      <c r="AH277" s="160">
        <f>N277*'Sites'!$Z$7*'NM Play'!$B$32</f>
        <v/>
      </c>
      <c r="AI277" s="160">
        <f>SUM(Y277:Z277)*'Sites'!$R$7</f>
        <v/>
      </c>
      <c r="AJ277" s="160">
        <f>SUM(AA277:AH277)</f>
        <v/>
      </c>
      <c r="AK277" s="160">
        <f>AJ277+(T277-U277)*'NM Play'!$B$22+MIN(G277,N277*'NM Play'!$B$11)/'NM Play'!$B$13*'NM Play'!$B$21*'NM Play'!$B$22+MIN(H277,N277*'NM Play'!$B$12)/'NM Play'!$B$14*IF('Sites'!$C$7="Own sheets",'NM Play'!$B$21*'NM Play'!$B$22,'NM Play'!$B$28*'NM Play'!$B$14/'NM Play'!$B$12)</f>
        <v/>
      </c>
      <c r="AL277" s="160">
        <f>Y277*'Assumptions'!W66</f>
        <v/>
      </c>
      <c r="AM277" s="160">
        <f>IF('Sites'!$D$7="NM crew",S277*'NM Play'!$B$37*(1+IF(AND(ISNUMBER('NM Play'!$B$25),'NM Play'!$B$25&gt;0),1,0)),"")</f>
        <v/>
      </c>
      <c r="AN277" s="160">
        <f>IF(OR('Sites'!$E$7&lt;0,'Sites'!$E$7&gt;1,'Sites'!$F$7&lt;1,'Sites'!$G$7&lt;'Sites'!$F$7,F277&lt;0,MIN('Sites'!$I$7:'Sites'!$R$7)&lt;0,'Sites'!$L$7&gt;'Sites'!$I$7,'Sites'!$M$7&gt;'Sites'!$J$7,'Sites'!$N$7&gt;'Sites'!$K$7,'Sites'!$Z$7&lt;0,'Sites'!$Z$7&gt;1,MIN('Sites'!$AA$7:'Sites'!$AC$7)&lt;0,S277&gt;F277+0.001),1,0)</f>
        <v/>
      </c>
      <c r="AO277" s="160">
        <f>I277+U277-T277-X277</f>
        <v/>
      </c>
    </row>
    <row r="278" ht="28" customHeight="1">
      <c r="A278" s="4" t="inlineStr">
        <is>
          <t>No QBE</t>
        </is>
      </c>
      <c r="B278" s="4" t="inlineStr">
        <is>
          <t>NEW1</t>
        </is>
      </c>
      <c r="C278" s="160" t="n">
        <v>21</v>
      </c>
      <c r="D278" s="160">
        <f>ROUNDUP(C278/12,0)</f>
        <v/>
      </c>
      <c r="E278" s="160">
        <f>IF(AND('Sites'!$E$7=1,C278&gt;='Sites'!$F$7+'Cases'!$G$8,C278&lt;='Sites'!$G$7),1,0)</f>
        <v/>
      </c>
      <c r="F278" s="160">
        <f>E278*'Assumptions'!X68</f>
        <v/>
      </c>
      <c r="G278" s="160">
        <f>V277</f>
        <v/>
      </c>
      <c r="H278" s="160">
        <f>W277</f>
        <v/>
      </c>
      <c r="I278" s="160">
        <f>X277</f>
        <v/>
      </c>
      <c r="J278" s="160">
        <f>MAX(0,'Sites'!$J$7-SUM(N270:N277))</f>
        <v/>
      </c>
      <c r="K278" s="160">
        <f>IF('Sites'!$C$7="Own sheets",MIN(ROUNDDOWN(G278/'NM Play'!$B$11,0)+F278*'NM Play'!$B$10/'NM Play'!$B$43,ROUNDDOWN(H278/'NM Play'!$B$12,0)+F278*'NM Play'!$B$10/'NM Play'!$B$44,(F278*'NM Play'!$B$10+ROUNDDOWN(G278/'NM Play'!$B$11,0)*'NM Play'!$B$43+ROUNDDOWN(H278/'NM Play'!$B$12,0)*'NM Play'!$B$44)/('NM Play'!$B$43+'NM Play'!$B$44)),ROUNDDOWN(G278/'NM Play'!$B$11,0)+F278*'NM Play'!$B$10/'NM Play'!$B$43)</f>
        <v/>
      </c>
      <c r="L278" s="160">
        <f>MIN(ROUNDDOWN(G278/'NM Play'!$B$11,0)+F278/('NM Play'!$B$43/'NM Play'!$B$15),ROUNDDOWN(H278/'NM Play'!$B$12,0)+F278/('NM Play'!$B$44/'NM Play'!$B$16),(F278+ROUNDDOWN(G278/'NM Play'!$B$11,0)*'NM Play'!$B$43/'NM Play'!$B$15+ROUNDDOWN(H278/'NM Play'!$B$12,0)*'NM Play'!$B$44/'NM Play'!$B$16)/('NM Play'!$B$43/'NM Play'!$B$15+'NM Play'!$B$44/'NM Play'!$B$16))</f>
        <v/>
      </c>
      <c r="M278" s="160">
        <f>F278*'NM Play'!$B$36</f>
        <v/>
      </c>
      <c r="N278" s="160">
        <f>ROUNDDOWN(MAX(0,MIN(J278,K278:M278)),0)</f>
        <v/>
      </c>
      <c r="O278" s="160">
        <f>ROUNDUP(MAX(0,N278*'NM Play'!$B$11-G278)/'NM Play'!$B$13,0)</f>
        <v/>
      </c>
      <c r="P278" s="160">
        <f>ROUNDUP(MAX(0,N278*'NM Play'!$B$12-H278)/'NM Play'!$B$14,0)</f>
        <v/>
      </c>
      <c r="Q278" s="160">
        <f>(O278+IF('Sites'!$C$7="Own sheets",P278,0))/'NM Play'!$B$10</f>
        <v/>
      </c>
      <c r="R278" s="160">
        <f>O278/'NM Play'!$B$15+P278/'NM Play'!$B$16</f>
        <v/>
      </c>
      <c r="S278" s="160">
        <f>MAX(Q278,R278,N278/'NM Play'!$B$36)</f>
        <v/>
      </c>
      <c r="T278" s="160">
        <f>Q278*'NM Play'!$B$10*'NM Play'!$B$21*(1+'NM Play'!$B$35)</f>
        <v/>
      </c>
      <c r="U278" s="160">
        <f>MAX(0,T278-I278)</f>
        <v/>
      </c>
      <c r="V278" s="160">
        <f>G278+O278*'NM Play'!$B$13-N278*'NM Play'!$B$11</f>
        <v/>
      </c>
      <c r="W278" s="160">
        <f>H278+P278*'NM Play'!$B$14-N278*'NM Play'!$B$12</f>
        <v/>
      </c>
      <c r="X278" s="160">
        <f>I278+U278-T278</f>
        <v/>
      </c>
      <c r="Y278" s="160">
        <f>MIN(N278,MAX(0,ROUNDDOWN('Sites'!$M$7*'Cases'!$E$8,0)-SUM(Y270:Y277)))</f>
        <v/>
      </c>
      <c r="Z278" s="160">
        <f>N278-Y278</f>
        <v/>
      </c>
      <c r="AA278" s="160">
        <f>U278*'NM Play'!$B$22</f>
        <v/>
      </c>
      <c r="AB278" s="160">
        <f>N278*SUM('NM Play'!$B$29:$B$31)</f>
        <v/>
      </c>
      <c r="AC278" s="160">
        <f>IF('Sites'!$C$7="Defy legs",P278*'NM Play'!$B$14/'NM Play'!$B$12*'NM Play'!$B$28,0)</f>
        <v/>
      </c>
      <c r="AD278" s="160">
        <f>Q278*'NM Play'!$B$23</f>
        <v/>
      </c>
      <c r="AE278" s="160">
        <f>S278*SUM('NM Play'!$B$26,'NM Play'!$B$33:$B$34)</f>
        <v/>
      </c>
      <c r="AF278" s="160">
        <f>IF('Sites'!$D$7="NM crew",S278*SUM('NM Play'!$B$24:$B$25),0)</f>
        <v/>
      </c>
      <c r="AG278" s="160">
        <f>IF('Sites'!$D$7="NM crew",S278*'NM Play'!$B$27,0)</f>
        <v/>
      </c>
      <c r="AH278" s="160">
        <f>N278*'Sites'!$Z$7*'NM Play'!$B$32</f>
        <v/>
      </c>
      <c r="AI278" s="160">
        <f>SUM(Y278:Z278)*'Sites'!$R$7</f>
        <v/>
      </c>
      <c r="AJ278" s="160">
        <f>SUM(AA278:AH278)</f>
        <v/>
      </c>
      <c r="AK278" s="160">
        <f>AJ278+(T278-U278)*'NM Play'!$B$22+MIN(G278,N278*'NM Play'!$B$11)/'NM Play'!$B$13*'NM Play'!$B$21*'NM Play'!$B$22+MIN(H278,N278*'NM Play'!$B$12)/'NM Play'!$B$14*IF('Sites'!$C$7="Own sheets",'NM Play'!$B$21*'NM Play'!$B$22,'NM Play'!$B$28*'NM Play'!$B$14/'NM Play'!$B$12)</f>
        <v/>
      </c>
      <c r="AL278" s="160">
        <f>Y278*'Assumptions'!X66</f>
        <v/>
      </c>
      <c r="AM278" s="160">
        <f>IF('Sites'!$D$7="NM crew",S278*'NM Play'!$B$37*(1+IF(AND(ISNUMBER('NM Play'!$B$25),'NM Play'!$B$25&gt;0),1,0)),"")</f>
        <v/>
      </c>
      <c r="AN278" s="160">
        <f>IF(OR('Sites'!$E$7&lt;0,'Sites'!$E$7&gt;1,'Sites'!$F$7&lt;1,'Sites'!$G$7&lt;'Sites'!$F$7,F278&lt;0,MIN('Sites'!$I$7:'Sites'!$R$7)&lt;0,'Sites'!$L$7&gt;'Sites'!$I$7,'Sites'!$M$7&gt;'Sites'!$J$7,'Sites'!$N$7&gt;'Sites'!$K$7,'Sites'!$Z$7&lt;0,'Sites'!$Z$7&gt;1,MIN('Sites'!$AA$7:'Sites'!$AC$7)&lt;0,S278&gt;F278+0.001),1,0)</f>
        <v/>
      </c>
      <c r="AO278" s="160">
        <f>I278+U278-T278-X278</f>
        <v/>
      </c>
    </row>
    <row r="279" ht="28" customHeight="1">
      <c r="A279" s="4" t="inlineStr">
        <is>
          <t>No QBE</t>
        </is>
      </c>
      <c r="B279" s="4" t="inlineStr">
        <is>
          <t>NEW1</t>
        </is>
      </c>
      <c r="C279" s="160" t="n">
        <v>22</v>
      </c>
      <c r="D279" s="160">
        <f>ROUNDUP(C279/12,0)</f>
        <v/>
      </c>
      <c r="E279" s="160">
        <f>IF(AND('Sites'!$E$7=1,C279&gt;='Sites'!$F$7+'Cases'!$G$8,C279&lt;='Sites'!$G$7),1,0)</f>
        <v/>
      </c>
      <c r="F279" s="160">
        <f>E279*'Assumptions'!Y68</f>
        <v/>
      </c>
      <c r="G279" s="160">
        <f>V278</f>
        <v/>
      </c>
      <c r="H279" s="160">
        <f>W278</f>
        <v/>
      </c>
      <c r="I279" s="160">
        <f>X278</f>
        <v/>
      </c>
      <c r="J279" s="160">
        <f>MAX(0,'Sites'!$J$7-SUM(N270:N278))</f>
        <v/>
      </c>
      <c r="K279" s="160">
        <f>IF('Sites'!$C$7="Own sheets",MIN(ROUNDDOWN(G279/'NM Play'!$B$11,0)+F279*'NM Play'!$B$10/'NM Play'!$B$43,ROUNDDOWN(H279/'NM Play'!$B$12,0)+F279*'NM Play'!$B$10/'NM Play'!$B$44,(F279*'NM Play'!$B$10+ROUNDDOWN(G279/'NM Play'!$B$11,0)*'NM Play'!$B$43+ROUNDDOWN(H279/'NM Play'!$B$12,0)*'NM Play'!$B$44)/('NM Play'!$B$43+'NM Play'!$B$44)),ROUNDDOWN(G279/'NM Play'!$B$11,0)+F279*'NM Play'!$B$10/'NM Play'!$B$43)</f>
        <v/>
      </c>
      <c r="L279" s="160">
        <f>MIN(ROUNDDOWN(G279/'NM Play'!$B$11,0)+F279/('NM Play'!$B$43/'NM Play'!$B$15),ROUNDDOWN(H279/'NM Play'!$B$12,0)+F279/('NM Play'!$B$44/'NM Play'!$B$16),(F279+ROUNDDOWN(G279/'NM Play'!$B$11,0)*'NM Play'!$B$43/'NM Play'!$B$15+ROUNDDOWN(H279/'NM Play'!$B$12,0)*'NM Play'!$B$44/'NM Play'!$B$16)/('NM Play'!$B$43/'NM Play'!$B$15+'NM Play'!$B$44/'NM Play'!$B$16))</f>
        <v/>
      </c>
      <c r="M279" s="160">
        <f>F279*'NM Play'!$B$36</f>
        <v/>
      </c>
      <c r="N279" s="160">
        <f>ROUNDDOWN(MAX(0,MIN(J279,K279:M279)),0)</f>
        <v/>
      </c>
      <c r="O279" s="160">
        <f>ROUNDUP(MAX(0,N279*'NM Play'!$B$11-G279)/'NM Play'!$B$13,0)</f>
        <v/>
      </c>
      <c r="P279" s="160">
        <f>ROUNDUP(MAX(0,N279*'NM Play'!$B$12-H279)/'NM Play'!$B$14,0)</f>
        <v/>
      </c>
      <c r="Q279" s="160">
        <f>(O279+IF('Sites'!$C$7="Own sheets",P279,0))/'NM Play'!$B$10</f>
        <v/>
      </c>
      <c r="R279" s="160">
        <f>O279/'NM Play'!$B$15+P279/'NM Play'!$B$16</f>
        <v/>
      </c>
      <c r="S279" s="160">
        <f>MAX(Q279,R279,N279/'NM Play'!$B$36)</f>
        <v/>
      </c>
      <c r="T279" s="160">
        <f>Q279*'NM Play'!$B$10*'NM Play'!$B$21*(1+'NM Play'!$B$35)</f>
        <v/>
      </c>
      <c r="U279" s="160">
        <f>MAX(0,T279-I279)</f>
        <v/>
      </c>
      <c r="V279" s="160">
        <f>G279+O279*'NM Play'!$B$13-N279*'NM Play'!$B$11</f>
        <v/>
      </c>
      <c r="W279" s="160">
        <f>H279+P279*'NM Play'!$B$14-N279*'NM Play'!$B$12</f>
        <v/>
      </c>
      <c r="X279" s="160">
        <f>I279+U279-T279</f>
        <v/>
      </c>
      <c r="Y279" s="160">
        <f>MIN(N279,MAX(0,ROUNDDOWN('Sites'!$M$7*'Cases'!$E$8,0)-SUM(Y270:Y278)))</f>
        <v/>
      </c>
      <c r="Z279" s="160">
        <f>N279-Y279</f>
        <v/>
      </c>
      <c r="AA279" s="160">
        <f>U279*'NM Play'!$B$22</f>
        <v/>
      </c>
      <c r="AB279" s="160">
        <f>N279*SUM('NM Play'!$B$29:$B$31)</f>
        <v/>
      </c>
      <c r="AC279" s="160">
        <f>IF('Sites'!$C$7="Defy legs",P279*'NM Play'!$B$14/'NM Play'!$B$12*'NM Play'!$B$28,0)</f>
        <v/>
      </c>
      <c r="AD279" s="160">
        <f>Q279*'NM Play'!$B$23</f>
        <v/>
      </c>
      <c r="AE279" s="160">
        <f>S279*SUM('NM Play'!$B$26,'NM Play'!$B$33:$B$34)</f>
        <v/>
      </c>
      <c r="AF279" s="160">
        <f>IF('Sites'!$D$7="NM crew",S279*SUM('NM Play'!$B$24:$B$25),0)</f>
        <v/>
      </c>
      <c r="AG279" s="160">
        <f>IF('Sites'!$D$7="NM crew",S279*'NM Play'!$B$27,0)</f>
        <v/>
      </c>
      <c r="AH279" s="160">
        <f>N279*'Sites'!$Z$7*'NM Play'!$B$32</f>
        <v/>
      </c>
      <c r="AI279" s="160">
        <f>SUM(Y279:Z279)*'Sites'!$R$7</f>
        <v/>
      </c>
      <c r="AJ279" s="160">
        <f>SUM(AA279:AH279)</f>
        <v/>
      </c>
      <c r="AK279" s="160">
        <f>AJ279+(T279-U279)*'NM Play'!$B$22+MIN(G279,N279*'NM Play'!$B$11)/'NM Play'!$B$13*'NM Play'!$B$21*'NM Play'!$B$22+MIN(H279,N279*'NM Play'!$B$12)/'NM Play'!$B$14*IF('Sites'!$C$7="Own sheets",'NM Play'!$B$21*'NM Play'!$B$22,'NM Play'!$B$28*'NM Play'!$B$14/'NM Play'!$B$12)</f>
        <v/>
      </c>
      <c r="AL279" s="160">
        <f>Y279*'Assumptions'!Y66</f>
        <v/>
      </c>
      <c r="AM279" s="160">
        <f>IF('Sites'!$D$7="NM crew",S279*'NM Play'!$B$37*(1+IF(AND(ISNUMBER('NM Play'!$B$25),'NM Play'!$B$25&gt;0),1,0)),"")</f>
        <v/>
      </c>
      <c r="AN279" s="160">
        <f>IF(OR('Sites'!$E$7&lt;0,'Sites'!$E$7&gt;1,'Sites'!$F$7&lt;1,'Sites'!$G$7&lt;'Sites'!$F$7,F279&lt;0,MIN('Sites'!$I$7:'Sites'!$R$7)&lt;0,'Sites'!$L$7&gt;'Sites'!$I$7,'Sites'!$M$7&gt;'Sites'!$J$7,'Sites'!$N$7&gt;'Sites'!$K$7,'Sites'!$Z$7&lt;0,'Sites'!$Z$7&gt;1,MIN('Sites'!$AA$7:'Sites'!$AC$7)&lt;0,S279&gt;F279+0.001),1,0)</f>
        <v/>
      </c>
      <c r="AO279" s="160">
        <f>I279+U279-T279-X279</f>
        <v/>
      </c>
    </row>
    <row r="280" ht="28" customHeight="1">
      <c r="A280" s="4" t="inlineStr">
        <is>
          <t>No QBE</t>
        </is>
      </c>
      <c r="B280" s="4" t="inlineStr">
        <is>
          <t>NEW1</t>
        </is>
      </c>
      <c r="C280" s="160" t="n">
        <v>23</v>
      </c>
      <c r="D280" s="160">
        <f>ROUNDUP(C280/12,0)</f>
        <v/>
      </c>
      <c r="E280" s="160">
        <f>IF(AND('Sites'!$E$7=1,C280&gt;='Sites'!$F$7+'Cases'!$G$8,C280&lt;='Sites'!$G$7),1,0)</f>
        <v/>
      </c>
      <c r="F280" s="160">
        <f>E280*'Assumptions'!Z68</f>
        <v/>
      </c>
      <c r="G280" s="160">
        <f>V279</f>
        <v/>
      </c>
      <c r="H280" s="160">
        <f>W279</f>
        <v/>
      </c>
      <c r="I280" s="160">
        <f>X279</f>
        <v/>
      </c>
      <c r="J280" s="160">
        <f>MAX(0,'Sites'!$J$7-SUM(N270:N279))</f>
        <v/>
      </c>
      <c r="K280" s="160">
        <f>IF('Sites'!$C$7="Own sheets",MIN(ROUNDDOWN(G280/'NM Play'!$B$11,0)+F280*'NM Play'!$B$10/'NM Play'!$B$43,ROUNDDOWN(H280/'NM Play'!$B$12,0)+F280*'NM Play'!$B$10/'NM Play'!$B$44,(F280*'NM Play'!$B$10+ROUNDDOWN(G280/'NM Play'!$B$11,0)*'NM Play'!$B$43+ROUNDDOWN(H280/'NM Play'!$B$12,0)*'NM Play'!$B$44)/('NM Play'!$B$43+'NM Play'!$B$44)),ROUNDDOWN(G280/'NM Play'!$B$11,0)+F280*'NM Play'!$B$10/'NM Play'!$B$43)</f>
        <v/>
      </c>
      <c r="L280" s="160">
        <f>MIN(ROUNDDOWN(G280/'NM Play'!$B$11,0)+F280/('NM Play'!$B$43/'NM Play'!$B$15),ROUNDDOWN(H280/'NM Play'!$B$12,0)+F280/('NM Play'!$B$44/'NM Play'!$B$16),(F280+ROUNDDOWN(G280/'NM Play'!$B$11,0)*'NM Play'!$B$43/'NM Play'!$B$15+ROUNDDOWN(H280/'NM Play'!$B$12,0)*'NM Play'!$B$44/'NM Play'!$B$16)/('NM Play'!$B$43/'NM Play'!$B$15+'NM Play'!$B$44/'NM Play'!$B$16))</f>
        <v/>
      </c>
      <c r="M280" s="160">
        <f>F280*'NM Play'!$B$36</f>
        <v/>
      </c>
      <c r="N280" s="160">
        <f>ROUNDDOWN(MAX(0,MIN(J280,K280:M280)),0)</f>
        <v/>
      </c>
      <c r="O280" s="160">
        <f>ROUNDUP(MAX(0,N280*'NM Play'!$B$11-G280)/'NM Play'!$B$13,0)</f>
        <v/>
      </c>
      <c r="P280" s="160">
        <f>ROUNDUP(MAX(0,N280*'NM Play'!$B$12-H280)/'NM Play'!$B$14,0)</f>
        <v/>
      </c>
      <c r="Q280" s="160">
        <f>(O280+IF('Sites'!$C$7="Own sheets",P280,0))/'NM Play'!$B$10</f>
        <v/>
      </c>
      <c r="R280" s="160">
        <f>O280/'NM Play'!$B$15+P280/'NM Play'!$B$16</f>
        <v/>
      </c>
      <c r="S280" s="160">
        <f>MAX(Q280,R280,N280/'NM Play'!$B$36)</f>
        <v/>
      </c>
      <c r="T280" s="160">
        <f>Q280*'NM Play'!$B$10*'NM Play'!$B$21*(1+'NM Play'!$B$35)</f>
        <v/>
      </c>
      <c r="U280" s="160">
        <f>MAX(0,T280-I280)</f>
        <v/>
      </c>
      <c r="V280" s="160">
        <f>G280+O280*'NM Play'!$B$13-N280*'NM Play'!$B$11</f>
        <v/>
      </c>
      <c r="W280" s="160">
        <f>H280+P280*'NM Play'!$B$14-N280*'NM Play'!$B$12</f>
        <v/>
      </c>
      <c r="X280" s="160">
        <f>I280+U280-T280</f>
        <v/>
      </c>
      <c r="Y280" s="160">
        <f>MIN(N280,MAX(0,ROUNDDOWN('Sites'!$M$7*'Cases'!$E$8,0)-SUM(Y270:Y279)))</f>
        <v/>
      </c>
      <c r="Z280" s="160">
        <f>N280-Y280</f>
        <v/>
      </c>
      <c r="AA280" s="160">
        <f>U280*'NM Play'!$B$22</f>
        <v/>
      </c>
      <c r="AB280" s="160">
        <f>N280*SUM('NM Play'!$B$29:$B$31)</f>
        <v/>
      </c>
      <c r="AC280" s="160">
        <f>IF('Sites'!$C$7="Defy legs",P280*'NM Play'!$B$14/'NM Play'!$B$12*'NM Play'!$B$28,0)</f>
        <v/>
      </c>
      <c r="AD280" s="160">
        <f>Q280*'NM Play'!$B$23</f>
        <v/>
      </c>
      <c r="AE280" s="160">
        <f>S280*SUM('NM Play'!$B$26,'NM Play'!$B$33:$B$34)</f>
        <v/>
      </c>
      <c r="AF280" s="160">
        <f>IF('Sites'!$D$7="NM crew",S280*SUM('NM Play'!$B$24:$B$25),0)</f>
        <v/>
      </c>
      <c r="AG280" s="160">
        <f>IF('Sites'!$D$7="NM crew",S280*'NM Play'!$B$27,0)</f>
        <v/>
      </c>
      <c r="AH280" s="160">
        <f>N280*'Sites'!$Z$7*'NM Play'!$B$32</f>
        <v/>
      </c>
      <c r="AI280" s="160">
        <f>SUM(Y280:Z280)*'Sites'!$R$7</f>
        <v/>
      </c>
      <c r="AJ280" s="160">
        <f>SUM(AA280:AH280)</f>
        <v/>
      </c>
      <c r="AK280" s="160">
        <f>AJ280+(T280-U280)*'NM Play'!$B$22+MIN(G280,N280*'NM Play'!$B$11)/'NM Play'!$B$13*'NM Play'!$B$21*'NM Play'!$B$22+MIN(H280,N280*'NM Play'!$B$12)/'NM Play'!$B$14*IF('Sites'!$C$7="Own sheets",'NM Play'!$B$21*'NM Play'!$B$22,'NM Play'!$B$28*'NM Play'!$B$14/'NM Play'!$B$12)</f>
        <v/>
      </c>
      <c r="AL280" s="160">
        <f>Y280*'Assumptions'!Z66</f>
        <v/>
      </c>
      <c r="AM280" s="160">
        <f>IF('Sites'!$D$7="NM crew",S280*'NM Play'!$B$37*(1+IF(AND(ISNUMBER('NM Play'!$B$25),'NM Play'!$B$25&gt;0),1,0)),"")</f>
        <v/>
      </c>
      <c r="AN280" s="160">
        <f>IF(OR('Sites'!$E$7&lt;0,'Sites'!$E$7&gt;1,'Sites'!$F$7&lt;1,'Sites'!$G$7&lt;'Sites'!$F$7,F280&lt;0,MIN('Sites'!$I$7:'Sites'!$R$7)&lt;0,'Sites'!$L$7&gt;'Sites'!$I$7,'Sites'!$M$7&gt;'Sites'!$J$7,'Sites'!$N$7&gt;'Sites'!$K$7,'Sites'!$Z$7&lt;0,'Sites'!$Z$7&gt;1,MIN('Sites'!$AA$7:'Sites'!$AC$7)&lt;0,S280&gt;F280+0.001),1,0)</f>
        <v/>
      </c>
      <c r="AO280" s="160">
        <f>I280+U280-T280-X280</f>
        <v/>
      </c>
    </row>
    <row r="281" ht="28" customHeight="1">
      <c r="A281" s="4" t="inlineStr">
        <is>
          <t>No QBE</t>
        </is>
      </c>
      <c r="B281" s="4" t="inlineStr">
        <is>
          <t>NEW1</t>
        </is>
      </c>
      <c r="C281" s="160" t="n">
        <v>24</v>
      </c>
      <c r="D281" s="160">
        <f>ROUNDUP(C281/12,0)</f>
        <v/>
      </c>
      <c r="E281" s="160">
        <f>IF(AND('Sites'!$E$7=1,C281&gt;='Sites'!$F$7+'Cases'!$G$8,C281&lt;='Sites'!$G$7),1,0)</f>
        <v/>
      </c>
      <c r="F281" s="160">
        <f>E281*'Assumptions'!AA68</f>
        <v/>
      </c>
      <c r="G281" s="160">
        <f>V280</f>
        <v/>
      </c>
      <c r="H281" s="160">
        <f>W280</f>
        <v/>
      </c>
      <c r="I281" s="160">
        <f>X280</f>
        <v/>
      </c>
      <c r="J281" s="160">
        <f>MAX(0,'Sites'!$J$7-SUM(N270:N280))</f>
        <v/>
      </c>
      <c r="K281" s="160">
        <f>IF('Sites'!$C$7="Own sheets",MIN(ROUNDDOWN(G281/'NM Play'!$B$11,0)+F281*'NM Play'!$B$10/'NM Play'!$B$43,ROUNDDOWN(H281/'NM Play'!$B$12,0)+F281*'NM Play'!$B$10/'NM Play'!$B$44,(F281*'NM Play'!$B$10+ROUNDDOWN(G281/'NM Play'!$B$11,0)*'NM Play'!$B$43+ROUNDDOWN(H281/'NM Play'!$B$12,0)*'NM Play'!$B$44)/('NM Play'!$B$43+'NM Play'!$B$44)),ROUNDDOWN(G281/'NM Play'!$B$11,0)+F281*'NM Play'!$B$10/'NM Play'!$B$43)</f>
        <v/>
      </c>
      <c r="L281" s="160">
        <f>MIN(ROUNDDOWN(G281/'NM Play'!$B$11,0)+F281/('NM Play'!$B$43/'NM Play'!$B$15),ROUNDDOWN(H281/'NM Play'!$B$12,0)+F281/('NM Play'!$B$44/'NM Play'!$B$16),(F281+ROUNDDOWN(G281/'NM Play'!$B$11,0)*'NM Play'!$B$43/'NM Play'!$B$15+ROUNDDOWN(H281/'NM Play'!$B$12,0)*'NM Play'!$B$44/'NM Play'!$B$16)/('NM Play'!$B$43/'NM Play'!$B$15+'NM Play'!$B$44/'NM Play'!$B$16))</f>
        <v/>
      </c>
      <c r="M281" s="160">
        <f>F281*'NM Play'!$B$36</f>
        <v/>
      </c>
      <c r="N281" s="160">
        <f>ROUNDDOWN(MAX(0,MIN(J281,K281:M281)),0)</f>
        <v/>
      </c>
      <c r="O281" s="160">
        <f>ROUNDUP(MAX(0,N281*'NM Play'!$B$11-G281)/'NM Play'!$B$13,0)</f>
        <v/>
      </c>
      <c r="P281" s="160">
        <f>ROUNDUP(MAX(0,N281*'NM Play'!$B$12-H281)/'NM Play'!$B$14,0)</f>
        <v/>
      </c>
      <c r="Q281" s="160">
        <f>(O281+IF('Sites'!$C$7="Own sheets",P281,0))/'NM Play'!$B$10</f>
        <v/>
      </c>
      <c r="R281" s="160">
        <f>O281/'NM Play'!$B$15+P281/'NM Play'!$B$16</f>
        <v/>
      </c>
      <c r="S281" s="160">
        <f>MAX(Q281,R281,N281/'NM Play'!$B$36)</f>
        <v/>
      </c>
      <c r="T281" s="160">
        <f>Q281*'NM Play'!$B$10*'NM Play'!$B$21*(1+'NM Play'!$B$35)</f>
        <v/>
      </c>
      <c r="U281" s="160">
        <f>MAX(0,T281-I281)</f>
        <v/>
      </c>
      <c r="V281" s="160">
        <f>G281+O281*'NM Play'!$B$13-N281*'NM Play'!$B$11</f>
        <v/>
      </c>
      <c r="W281" s="160">
        <f>H281+P281*'NM Play'!$B$14-N281*'NM Play'!$B$12</f>
        <v/>
      </c>
      <c r="X281" s="160">
        <f>I281+U281-T281</f>
        <v/>
      </c>
      <c r="Y281" s="160">
        <f>MIN(N281,MAX(0,ROUNDDOWN('Sites'!$M$7*'Cases'!$E$8,0)-SUM(Y270:Y280)))</f>
        <v/>
      </c>
      <c r="Z281" s="160">
        <f>N281-Y281</f>
        <v/>
      </c>
      <c r="AA281" s="160">
        <f>U281*'NM Play'!$B$22</f>
        <v/>
      </c>
      <c r="AB281" s="160">
        <f>N281*SUM('NM Play'!$B$29:$B$31)</f>
        <v/>
      </c>
      <c r="AC281" s="160">
        <f>IF('Sites'!$C$7="Defy legs",P281*'NM Play'!$B$14/'NM Play'!$B$12*'NM Play'!$B$28,0)</f>
        <v/>
      </c>
      <c r="AD281" s="160">
        <f>Q281*'NM Play'!$B$23</f>
        <v/>
      </c>
      <c r="AE281" s="160">
        <f>S281*SUM('NM Play'!$B$26,'NM Play'!$B$33:$B$34)</f>
        <v/>
      </c>
      <c r="AF281" s="160">
        <f>IF('Sites'!$D$7="NM crew",S281*SUM('NM Play'!$B$24:$B$25),0)</f>
        <v/>
      </c>
      <c r="AG281" s="160">
        <f>IF('Sites'!$D$7="NM crew",S281*'NM Play'!$B$27,0)</f>
        <v/>
      </c>
      <c r="AH281" s="160">
        <f>N281*'Sites'!$Z$7*'NM Play'!$B$32</f>
        <v/>
      </c>
      <c r="AI281" s="160">
        <f>SUM(Y281:Z281)*'Sites'!$R$7</f>
        <v/>
      </c>
      <c r="AJ281" s="160">
        <f>SUM(AA281:AH281)</f>
        <v/>
      </c>
      <c r="AK281" s="160">
        <f>AJ281+(T281-U281)*'NM Play'!$B$22+MIN(G281,N281*'NM Play'!$B$11)/'NM Play'!$B$13*'NM Play'!$B$21*'NM Play'!$B$22+MIN(H281,N281*'NM Play'!$B$12)/'NM Play'!$B$14*IF('Sites'!$C$7="Own sheets",'NM Play'!$B$21*'NM Play'!$B$22,'NM Play'!$B$28*'NM Play'!$B$14/'NM Play'!$B$12)</f>
        <v/>
      </c>
      <c r="AL281" s="160">
        <f>Y281*'Assumptions'!AA66</f>
        <v/>
      </c>
      <c r="AM281" s="160">
        <f>IF('Sites'!$D$7="NM crew",S281*'NM Play'!$B$37*(1+IF(AND(ISNUMBER('NM Play'!$B$25),'NM Play'!$B$25&gt;0),1,0)),"")</f>
        <v/>
      </c>
      <c r="AN281" s="160">
        <f>IF(OR('Sites'!$E$7&lt;0,'Sites'!$E$7&gt;1,'Sites'!$F$7&lt;1,'Sites'!$G$7&lt;'Sites'!$F$7,F281&lt;0,MIN('Sites'!$I$7:'Sites'!$R$7)&lt;0,'Sites'!$L$7&gt;'Sites'!$I$7,'Sites'!$M$7&gt;'Sites'!$J$7,'Sites'!$N$7&gt;'Sites'!$K$7,'Sites'!$Z$7&lt;0,'Sites'!$Z$7&gt;1,MIN('Sites'!$AA$7:'Sites'!$AC$7)&lt;0,S281&gt;F281+0.001),1,0)</f>
        <v/>
      </c>
      <c r="AO281" s="160">
        <f>I281+U281-T281-X281</f>
        <v/>
      </c>
    </row>
    <row r="282" ht="28" customHeight="1">
      <c r="A282" s="4" t="inlineStr">
        <is>
          <t>No QBE</t>
        </is>
      </c>
      <c r="B282" s="4" t="inlineStr">
        <is>
          <t>NEW1</t>
        </is>
      </c>
      <c r="C282" s="160" t="n">
        <v>25</v>
      </c>
      <c r="D282" s="160">
        <f>ROUNDUP(C282/12,0)</f>
        <v/>
      </c>
      <c r="E282" s="160">
        <f>IF(AND('Sites'!$E$7=1,C282&gt;='Sites'!$F$7+'Cases'!$G$8,C282&lt;='Sites'!$G$7),1,0)</f>
        <v/>
      </c>
      <c r="F282" s="160">
        <f>E282*'Assumptions'!AB68</f>
        <v/>
      </c>
      <c r="G282" s="160">
        <f>V281</f>
        <v/>
      </c>
      <c r="H282" s="160">
        <f>W281</f>
        <v/>
      </c>
      <c r="I282" s="160">
        <f>X281</f>
        <v/>
      </c>
      <c r="J282" s="160">
        <f>MAX(0,'Sites'!$K$7-0)</f>
        <v/>
      </c>
      <c r="K282" s="160">
        <f>IF('Sites'!$C$7="Own sheets",MIN(ROUNDDOWN(G282/'NM Play'!$B$11,0)+F282*'NM Play'!$B$10/'NM Play'!$B$43,ROUNDDOWN(H282/'NM Play'!$B$12,0)+F282*'NM Play'!$B$10/'NM Play'!$B$44,(F282*'NM Play'!$B$10+ROUNDDOWN(G282/'NM Play'!$B$11,0)*'NM Play'!$B$43+ROUNDDOWN(H282/'NM Play'!$B$12,0)*'NM Play'!$B$44)/('NM Play'!$B$43+'NM Play'!$B$44)),ROUNDDOWN(G282/'NM Play'!$B$11,0)+F282*'NM Play'!$B$10/'NM Play'!$B$43)</f>
        <v/>
      </c>
      <c r="L282" s="160">
        <f>MIN(ROUNDDOWN(G282/'NM Play'!$B$11,0)+F282/('NM Play'!$B$43/'NM Play'!$B$15),ROUNDDOWN(H282/'NM Play'!$B$12,0)+F282/('NM Play'!$B$44/'NM Play'!$B$16),(F282+ROUNDDOWN(G282/'NM Play'!$B$11,0)*'NM Play'!$B$43/'NM Play'!$B$15+ROUNDDOWN(H282/'NM Play'!$B$12,0)*'NM Play'!$B$44/'NM Play'!$B$16)/('NM Play'!$B$43/'NM Play'!$B$15+'NM Play'!$B$44/'NM Play'!$B$16))</f>
        <v/>
      </c>
      <c r="M282" s="160">
        <f>F282*'NM Play'!$B$36</f>
        <v/>
      </c>
      <c r="N282" s="160">
        <f>ROUNDDOWN(MAX(0,MIN(J282,K282:M282)),0)</f>
        <v/>
      </c>
      <c r="O282" s="160">
        <f>ROUNDUP(MAX(0,N282*'NM Play'!$B$11-G282)/'NM Play'!$B$13,0)</f>
        <v/>
      </c>
      <c r="P282" s="160">
        <f>ROUNDUP(MAX(0,N282*'NM Play'!$B$12-H282)/'NM Play'!$B$14,0)</f>
        <v/>
      </c>
      <c r="Q282" s="160">
        <f>(O282+IF('Sites'!$C$7="Own sheets",P282,0))/'NM Play'!$B$10</f>
        <v/>
      </c>
      <c r="R282" s="160">
        <f>O282/'NM Play'!$B$15+P282/'NM Play'!$B$16</f>
        <v/>
      </c>
      <c r="S282" s="160">
        <f>MAX(Q282,R282,N282/'NM Play'!$B$36)</f>
        <v/>
      </c>
      <c r="T282" s="160">
        <f>Q282*'NM Play'!$B$10*'NM Play'!$B$21*(1+'NM Play'!$B$35)</f>
        <v/>
      </c>
      <c r="U282" s="160">
        <f>MAX(0,T282-I282)</f>
        <v/>
      </c>
      <c r="V282" s="160">
        <f>G282+O282*'NM Play'!$B$13-N282*'NM Play'!$B$11</f>
        <v/>
      </c>
      <c r="W282" s="160">
        <f>H282+P282*'NM Play'!$B$14-N282*'NM Play'!$B$12</f>
        <v/>
      </c>
      <c r="X282" s="160">
        <f>I282+U282-T282</f>
        <v/>
      </c>
      <c r="Y282" s="160">
        <f>MIN(N282,MAX(0,ROUNDDOWN('Sites'!$N$7*'Cases'!$E$8,0)-0))</f>
        <v/>
      </c>
      <c r="Z282" s="160">
        <f>N282-Y282</f>
        <v/>
      </c>
      <c r="AA282" s="160">
        <f>U282*'NM Play'!$B$22</f>
        <v/>
      </c>
      <c r="AB282" s="160">
        <f>N282*SUM('NM Play'!$B$29:$B$31)</f>
        <v/>
      </c>
      <c r="AC282" s="160">
        <f>IF('Sites'!$C$7="Defy legs",P282*'NM Play'!$B$14/'NM Play'!$B$12*'NM Play'!$B$28,0)</f>
        <v/>
      </c>
      <c r="AD282" s="160">
        <f>Q282*'NM Play'!$B$23</f>
        <v/>
      </c>
      <c r="AE282" s="160">
        <f>S282*SUM('NM Play'!$B$26,'NM Play'!$B$33:$B$34)</f>
        <v/>
      </c>
      <c r="AF282" s="160">
        <f>IF('Sites'!$D$7="NM crew",S282*SUM('NM Play'!$B$24:$B$25),0)</f>
        <v/>
      </c>
      <c r="AG282" s="160">
        <f>IF('Sites'!$D$7="NM crew",S282*'NM Play'!$B$27,0)</f>
        <v/>
      </c>
      <c r="AH282" s="160">
        <f>N282*'Sites'!$Z$7*'NM Play'!$B$32</f>
        <v/>
      </c>
      <c r="AI282" s="160">
        <f>SUM(Y282:Z282)*'Sites'!$R$7</f>
        <v/>
      </c>
      <c r="AJ282" s="160">
        <f>SUM(AA282:AH282)</f>
        <v/>
      </c>
      <c r="AK282" s="160">
        <f>AJ282+(T282-U282)*'NM Play'!$B$22+MIN(G282,N282*'NM Play'!$B$11)/'NM Play'!$B$13*'NM Play'!$B$21*'NM Play'!$B$22+MIN(H282,N282*'NM Play'!$B$12)/'NM Play'!$B$14*IF('Sites'!$C$7="Own sheets",'NM Play'!$B$21*'NM Play'!$B$22,'NM Play'!$B$28*'NM Play'!$B$14/'NM Play'!$B$12)</f>
        <v/>
      </c>
      <c r="AL282" s="160">
        <f>Y282*'Assumptions'!AB66</f>
        <v/>
      </c>
      <c r="AM282" s="160">
        <f>IF('Sites'!$D$7="NM crew",S282*'NM Play'!$B$37*(1+IF(AND(ISNUMBER('NM Play'!$B$25),'NM Play'!$B$25&gt;0),1,0)),"")</f>
        <v/>
      </c>
      <c r="AN282" s="160">
        <f>IF(OR('Sites'!$E$7&lt;0,'Sites'!$E$7&gt;1,'Sites'!$F$7&lt;1,'Sites'!$G$7&lt;'Sites'!$F$7,F282&lt;0,MIN('Sites'!$I$7:'Sites'!$R$7)&lt;0,'Sites'!$L$7&gt;'Sites'!$I$7,'Sites'!$M$7&gt;'Sites'!$J$7,'Sites'!$N$7&gt;'Sites'!$K$7,'Sites'!$Z$7&lt;0,'Sites'!$Z$7&gt;1,MIN('Sites'!$AA$7:'Sites'!$AC$7)&lt;0,S282&gt;F282+0.001),1,0)</f>
        <v/>
      </c>
      <c r="AO282" s="160">
        <f>I282+U282-T282-X282</f>
        <v/>
      </c>
    </row>
    <row r="283" ht="28" customHeight="1">
      <c r="A283" s="4" t="inlineStr">
        <is>
          <t>No QBE</t>
        </is>
      </c>
      <c r="B283" s="4" t="inlineStr">
        <is>
          <t>NEW1</t>
        </is>
      </c>
      <c r="C283" s="160" t="n">
        <v>26</v>
      </c>
      <c r="D283" s="160">
        <f>ROUNDUP(C283/12,0)</f>
        <v/>
      </c>
      <c r="E283" s="160">
        <f>IF(AND('Sites'!$E$7=1,C283&gt;='Sites'!$F$7+'Cases'!$G$8,C283&lt;='Sites'!$G$7),1,0)</f>
        <v/>
      </c>
      <c r="F283" s="160">
        <f>E283*'Assumptions'!AC68</f>
        <v/>
      </c>
      <c r="G283" s="160">
        <f>V282</f>
        <v/>
      </c>
      <c r="H283" s="160">
        <f>W282</f>
        <v/>
      </c>
      <c r="I283" s="160">
        <f>X282</f>
        <v/>
      </c>
      <c r="J283" s="160">
        <f>MAX(0,'Sites'!$K$7-SUM(N282:N282))</f>
        <v/>
      </c>
      <c r="K283" s="160">
        <f>IF('Sites'!$C$7="Own sheets",MIN(ROUNDDOWN(G283/'NM Play'!$B$11,0)+F283*'NM Play'!$B$10/'NM Play'!$B$43,ROUNDDOWN(H283/'NM Play'!$B$12,0)+F283*'NM Play'!$B$10/'NM Play'!$B$44,(F283*'NM Play'!$B$10+ROUNDDOWN(G283/'NM Play'!$B$11,0)*'NM Play'!$B$43+ROUNDDOWN(H283/'NM Play'!$B$12,0)*'NM Play'!$B$44)/('NM Play'!$B$43+'NM Play'!$B$44)),ROUNDDOWN(G283/'NM Play'!$B$11,0)+F283*'NM Play'!$B$10/'NM Play'!$B$43)</f>
        <v/>
      </c>
      <c r="L283" s="160">
        <f>MIN(ROUNDDOWN(G283/'NM Play'!$B$11,0)+F283/('NM Play'!$B$43/'NM Play'!$B$15),ROUNDDOWN(H283/'NM Play'!$B$12,0)+F283/('NM Play'!$B$44/'NM Play'!$B$16),(F283+ROUNDDOWN(G283/'NM Play'!$B$11,0)*'NM Play'!$B$43/'NM Play'!$B$15+ROUNDDOWN(H283/'NM Play'!$B$12,0)*'NM Play'!$B$44/'NM Play'!$B$16)/('NM Play'!$B$43/'NM Play'!$B$15+'NM Play'!$B$44/'NM Play'!$B$16))</f>
        <v/>
      </c>
      <c r="M283" s="160">
        <f>F283*'NM Play'!$B$36</f>
        <v/>
      </c>
      <c r="N283" s="160">
        <f>ROUNDDOWN(MAX(0,MIN(J283,K283:M283)),0)</f>
        <v/>
      </c>
      <c r="O283" s="160">
        <f>ROUNDUP(MAX(0,N283*'NM Play'!$B$11-G283)/'NM Play'!$B$13,0)</f>
        <v/>
      </c>
      <c r="P283" s="160">
        <f>ROUNDUP(MAX(0,N283*'NM Play'!$B$12-H283)/'NM Play'!$B$14,0)</f>
        <v/>
      </c>
      <c r="Q283" s="160">
        <f>(O283+IF('Sites'!$C$7="Own sheets",P283,0))/'NM Play'!$B$10</f>
        <v/>
      </c>
      <c r="R283" s="160">
        <f>O283/'NM Play'!$B$15+P283/'NM Play'!$B$16</f>
        <v/>
      </c>
      <c r="S283" s="160">
        <f>MAX(Q283,R283,N283/'NM Play'!$B$36)</f>
        <v/>
      </c>
      <c r="T283" s="160">
        <f>Q283*'NM Play'!$B$10*'NM Play'!$B$21*(1+'NM Play'!$B$35)</f>
        <v/>
      </c>
      <c r="U283" s="160">
        <f>MAX(0,T283-I283)</f>
        <v/>
      </c>
      <c r="V283" s="160">
        <f>G283+O283*'NM Play'!$B$13-N283*'NM Play'!$B$11</f>
        <v/>
      </c>
      <c r="W283" s="160">
        <f>H283+P283*'NM Play'!$B$14-N283*'NM Play'!$B$12</f>
        <v/>
      </c>
      <c r="X283" s="160">
        <f>I283+U283-T283</f>
        <v/>
      </c>
      <c r="Y283" s="160">
        <f>MIN(N283,MAX(0,ROUNDDOWN('Sites'!$N$7*'Cases'!$E$8,0)-SUM(Y282:Y282)))</f>
        <v/>
      </c>
      <c r="Z283" s="160">
        <f>N283-Y283</f>
        <v/>
      </c>
      <c r="AA283" s="160">
        <f>U283*'NM Play'!$B$22</f>
        <v/>
      </c>
      <c r="AB283" s="160">
        <f>N283*SUM('NM Play'!$B$29:$B$31)</f>
        <v/>
      </c>
      <c r="AC283" s="160">
        <f>IF('Sites'!$C$7="Defy legs",P283*'NM Play'!$B$14/'NM Play'!$B$12*'NM Play'!$B$28,0)</f>
        <v/>
      </c>
      <c r="AD283" s="160">
        <f>Q283*'NM Play'!$B$23</f>
        <v/>
      </c>
      <c r="AE283" s="160">
        <f>S283*SUM('NM Play'!$B$26,'NM Play'!$B$33:$B$34)</f>
        <v/>
      </c>
      <c r="AF283" s="160">
        <f>IF('Sites'!$D$7="NM crew",S283*SUM('NM Play'!$B$24:$B$25),0)</f>
        <v/>
      </c>
      <c r="AG283" s="160">
        <f>IF('Sites'!$D$7="NM crew",S283*'NM Play'!$B$27,0)</f>
        <v/>
      </c>
      <c r="AH283" s="160">
        <f>N283*'Sites'!$Z$7*'NM Play'!$B$32</f>
        <v/>
      </c>
      <c r="AI283" s="160">
        <f>SUM(Y283:Z283)*'Sites'!$R$7</f>
        <v/>
      </c>
      <c r="AJ283" s="160">
        <f>SUM(AA283:AH283)</f>
        <v/>
      </c>
      <c r="AK283" s="160">
        <f>AJ283+(T283-U283)*'NM Play'!$B$22+MIN(G283,N283*'NM Play'!$B$11)/'NM Play'!$B$13*'NM Play'!$B$21*'NM Play'!$B$22+MIN(H283,N283*'NM Play'!$B$12)/'NM Play'!$B$14*IF('Sites'!$C$7="Own sheets",'NM Play'!$B$21*'NM Play'!$B$22,'NM Play'!$B$28*'NM Play'!$B$14/'NM Play'!$B$12)</f>
        <v/>
      </c>
      <c r="AL283" s="160">
        <f>Y283*'Assumptions'!AC66</f>
        <v/>
      </c>
      <c r="AM283" s="160">
        <f>IF('Sites'!$D$7="NM crew",S283*'NM Play'!$B$37*(1+IF(AND(ISNUMBER('NM Play'!$B$25),'NM Play'!$B$25&gt;0),1,0)),"")</f>
        <v/>
      </c>
      <c r="AN283" s="160">
        <f>IF(OR('Sites'!$E$7&lt;0,'Sites'!$E$7&gt;1,'Sites'!$F$7&lt;1,'Sites'!$G$7&lt;'Sites'!$F$7,F283&lt;0,MIN('Sites'!$I$7:'Sites'!$R$7)&lt;0,'Sites'!$L$7&gt;'Sites'!$I$7,'Sites'!$M$7&gt;'Sites'!$J$7,'Sites'!$N$7&gt;'Sites'!$K$7,'Sites'!$Z$7&lt;0,'Sites'!$Z$7&gt;1,MIN('Sites'!$AA$7:'Sites'!$AC$7)&lt;0,S283&gt;F283+0.001),1,0)</f>
        <v/>
      </c>
      <c r="AO283" s="160">
        <f>I283+U283-T283-X283</f>
        <v/>
      </c>
    </row>
    <row r="284" ht="28" customHeight="1">
      <c r="A284" s="4" t="inlineStr">
        <is>
          <t>No QBE</t>
        </is>
      </c>
      <c r="B284" s="4" t="inlineStr">
        <is>
          <t>NEW1</t>
        </is>
      </c>
      <c r="C284" s="160" t="n">
        <v>27</v>
      </c>
      <c r="D284" s="160">
        <f>ROUNDUP(C284/12,0)</f>
        <v/>
      </c>
      <c r="E284" s="160">
        <f>IF(AND('Sites'!$E$7=1,C284&gt;='Sites'!$F$7+'Cases'!$G$8,C284&lt;='Sites'!$G$7),1,0)</f>
        <v/>
      </c>
      <c r="F284" s="160">
        <f>E284*'Assumptions'!AD68</f>
        <v/>
      </c>
      <c r="G284" s="160">
        <f>V283</f>
        <v/>
      </c>
      <c r="H284" s="160">
        <f>W283</f>
        <v/>
      </c>
      <c r="I284" s="160">
        <f>X283</f>
        <v/>
      </c>
      <c r="J284" s="160">
        <f>MAX(0,'Sites'!$K$7-SUM(N282:N283))</f>
        <v/>
      </c>
      <c r="K284" s="160">
        <f>IF('Sites'!$C$7="Own sheets",MIN(ROUNDDOWN(G284/'NM Play'!$B$11,0)+F284*'NM Play'!$B$10/'NM Play'!$B$43,ROUNDDOWN(H284/'NM Play'!$B$12,0)+F284*'NM Play'!$B$10/'NM Play'!$B$44,(F284*'NM Play'!$B$10+ROUNDDOWN(G284/'NM Play'!$B$11,0)*'NM Play'!$B$43+ROUNDDOWN(H284/'NM Play'!$B$12,0)*'NM Play'!$B$44)/('NM Play'!$B$43+'NM Play'!$B$44)),ROUNDDOWN(G284/'NM Play'!$B$11,0)+F284*'NM Play'!$B$10/'NM Play'!$B$43)</f>
        <v/>
      </c>
      <c r="L284" s="160">
        <f>MIN(ROUNDDOWN(G284/'NM Play'!$B$11,0)+F284/('NM Play'!$B$43/'NM Play'!$B$15),ROUNDDOWN(H284/'NM Play'!$B$12,0)+F284/('NM Play'!$B$44/'NM Play'!$B$16),(F284+ROUNDDOWN(G284/'NM Play'!$B$11,0)*'NM Play'!$B$43/'NM Play'!$B$15+ROUNDDOWN(H284/'NM Play'!$B$12,0)*'NM Play'!$B$44/'NM Play'!$B$16)/('NM Play'!$B$43/'NM Play'!$B$15+'NM Play'!$B$44/'NM Play'!$B$16))</f>
        <v/>
      </c>
      <c r="M284" s="160">
        <f>F284*'NM Play'!$B$36</f>
        <v/>
      </c>
      <c r="N284" s="160">
        <f>ROUNDDOWN(MAX(0,MIN(J284,K284:M284)),0)</f>
        <v/>
      </c>
      <c r="O284" s="160">
        <f>ROUNDUP(MAX(0,N284*'NM Play'!$B$11-G284)/'NM Play'!$B$13,0)</f>
        <v/>
      </c>
      <c r="P284" s="160">
        <f>ROUNDUP(MAX(0,N284*'NM Play'!$B$12-H284)/'NM Play'!$B$14,0)</f>
        <v/>
      </c>
      <c r="Q284" s="160">
        <f>(O284+IF('Sites'!$C$7="Own sheets",P284,0))/'NM Play'!$B$10</f>
        <v/>
      </c>
      <c r="R284" s="160">
        <f>O284/'NM Play'!$B$15+P284/'NM Play'!$B$16</f>
        <v/>
      </c>
      <c r="S284" s="160">
        <f>MAX(Q284,R284,N284/'NM Play'!$B$36)</f>
        <v/>
      </c>
      <c r="T284" s="160">
        <f>Q284*'NM Play'!$B$10*'NM Play'!$B$21*(1+'NM Play'!$B$35)</f>
        <v/>
      </c>
      <c r="U284" s="160">
        <f>MAX(0,T284-I284)</f>
        <v/>
      </c>
      <c r="V284" s="160">
        <f>G284+O284*'NM Play'!$B$13-N284*'NM Play'!$B$11</f>
        <v/>
      </c>
      <c r="W284" s="160">
        <f>H284+P284*'NM Play'!$B$14-N284*'NM Play'!$B$12</f>
        <v/>
      </c>
      <c r="X284" s="160">
        <f>I284+U284-T284</f>
        <v/>
      </c>
      <c r="Y284" s="160">
        <f>MIN(N284,MAX(0,ROUNDDOWN('Sites'!$N$7*'Cases'!$E$8,0)-SUM(Y282:Y283)))</f>
        <v/>
      </c>
      <c r="Z284" s="160">
        <f>N284-Y284</f>
        <v/>
      </c>
      <c r="AA284" s="160">
        <f>U284*'NM Play'!$B$22</f>
        <v/>
      </c>
      <c r="AB284" s="160">
        <f>N284*SUM('NM Play'!$B$29:$B$31)</f>
        <v/>
      </c>
      <c r="AC284" s="160">
        <f>IF('Sites'!$C$7="Defy legs",P284*'NM Play'!$B$14/'NM Play'!$B$12*'NM Play'!$B$28,0)</f>
        <v/>
      </c>
      <c r="AD284" s="160">
        <f>Q284*'NM Play'!$B$23</f>
        <v/>
      </c>
      <c r="AE284" s="160">
        <f>S284*SUM('NM Play'!$B$26,'NM Play'!$B$33:$B$34)</f>
        <v/>
      </c>
      <c r="AF284" s="160">
        <f>IF('Sites'!$D$7="NM crew",S284*SUM('NM Play'!$B$24:$B$25),0)</f>
        <v/>
      </c>
      <c r="AG284" s="160">
        <f>IF('Sites'!$D$7="NM crew",S284*'NM Play'!$B$27,0)</f>
        <v/>
      </c>
      <c r="AH284" s="160">
        <f>N284*'Sites'!$Z$7*'NM Play'!$B$32</f>
        <v/>
      </c>
      <c r="AI284" s="160">
        <f>SUM(Y284:Z284)*'Sites'!$R$7</f>
        <v/>
      </c>
      <c r="AJ284" s="160">
        <f>SUM(AA284:AH284)</f>
        <v/>
      </c>
      <c r="AK284" s="160">
        <f>AJ284+(T284-U284)*'NM Play'!$B$22+MIN(G284,N284*'NM Play'!$B$11)/'NM Play'!$B$13*'NM Play'!$B$21*'NM Play'!$B$22+MIN(H284,N284*'NM Play'!$B$12)/'NM Play'!$B$14*IF('Sites'!$C$7="Own sheets",'NM Play'!$B$21*'NM Play'!$B$22,'NM Play'!$B$28*'NM Play'!$B$14/'NM Play'!$B$12)</f>
        <v/>
      </c>
      <c r="AL284" s="160">
        <f>Y284*'Assumptions'!AD66</f>
        <v/>
      </c>
      <c r="AM284" s="160">
        <f>IF('Sites'!$D$7="NM crew",S284*'NM Play'!$B$37*(1+IF(AND(ISNUMBER('NM Play'!$B$25),'NM Play'!$B$25&gt;0),1,0)),"")</f>
        <v/>
      </c>
      <c r="AN284" s="160">
        <f>IF(OR('Sites'!$E$7&lt;0,'Sites'!$E$7&gt;1,'Sites'!$F$7&lt;1,'Sites'!$G$7&lt;'Sites'!$F$7,F284&lt;0,MIN('Sites'!$I$7:'Sites'!$R$7)&lt;0,'Sites'!$L$7&gt;'Sites'!$I$7,'Sites'!$M$7&gt;'Sites'!$J$7,'Sites'!$N$7&gt;'Sites'!$K$7,'Sites'!$Z$7&lt;0,'Sites'!$Z$7&gt;1,MIN('Sites'!$AA$7:'Sites'!$AC$7)&lt;0,S284&gt;F284+0.001),1,0)</f>
        <v/>
      </c>
      <c r="AO284" s="160">
        <f>I284+U284-T284-X284</f>
        <v/>
      </c>
    </row>
    <row r="285" ht="28" customHeight="1">
      <c r="A285" s="4" t="inlineStr">
        <is>
          <t>No QBE</t>
        </is>
      </c>
      <c r="B285" s="4" t="inlineStr">
        <is>
          <t>NEW1</t>
        </is>
      </c>
      <c r="C285" s="160" t="n">
        <v>28</v>
      </c>
      <c r="D285" s="160">
        <f>ROUNDUP(C285/12,0)</f>
        <v/>
      </c>
      <c r="E285" s="160">
        <f>IF(AND('Sites'!$E$7=1,C285&gt;='Sites'!$F$7+'Cases'!$G$8,C285&lt;='Sites'!$G$7),1,0)</f>
        <v/>
      </c>
      <c r="F285" s="160">
        <f>E285*'Assumptions'!AE68</f>
        <v/>
      </c>
      <c r="G285" s="160">
        <f>V284</f>
        <v/>
      </c>
      <c r="H285" s="160">
        <f>W284</f>
        <v/>
      </c>
      <c r="I285" s="160">
        <f>X284</f>
        <v/>
      </c>
      <c r="J285" s="160">
        <f>MAX(0,'Sites'!$K$7-SUM(N282:N284))</f>
        <v/>
      </c>
      <c r="K285" s="160">
        <f>IF('Sites'!$C$7="Own sheets",MIN(ROUNDDOWN(G285/'NM Play'!$B$11,0)+F285*'NM Play'!$B$10/'NM Play'!$B$43,ROUNDDOWN(H285/'NM Play'!$B$12,0)+F285*'NM Play'!$B$10/'NM Play'!$B$44,(F285*'NM Play'!$B$10+ROUNDDOWN(G285/'NM Play'!$B$11,0)*'NM Play'!$B$43+ROUNDDOWN(H285/'NM Play'!$B$12,0)*'NM Play'!$B$44)/('NM Play'!$B$43+'NM Play'!$B$44)),ROUNDDOWN(G285/'NM Play'!$B$11,0)+F285*'NM Play'!$B$10/'NM Play'!$B$43)</f>
        <v/>
      </c>
      <c r="L285" s="160">
        <f>MIN(ROUNDDOWN(G285/'NM Play'!$B$11,0)+F285/('NM Play'!$B$43/'NM Play'!$B$15),ROUNDDOWN(H285/'NM Play'!$B$12,0)+F285/('NM Play'!$B$44/'NM Play'!$B$16),(F285+ROUNDDOWN(G285/'NM Play'!$B$11,0)*'NM Play'!$B$43/'NM Play'!$B$15+ROUNDDOWN(H285/'NM Play'!$B$12,0)*'NM Play'!$B$44/'NM Play'!$B$16)/('NM Play'!$B$43/'NM Play'!$B$15+'NM Play'!$B$44/'NM Play'!$B$16))</f>
        <v/>
      </c>
      <c r="M285" s="160">
        <f>F285*'NM Play'!$B$36</f>
        <v/>
      </c>
      <c r="N285" s="160">
        <f>ROUNDDOWN(MAX(0,MIN(J285,K285:M285)),0)</f>
        <v/>
      </c>
      <c r="O285" s="160">
        <f>ROUNDUP(MAX(0,N285*'NM Play'!$B$11-G285)/'NM Play'!$B$13,0)</f>
        <v/>
      </c>
      <c r="P285" s="160">
        <f>ROUNDUP(MAX(0,N285*'NM Play'!$B$12-H285)/'NM Play'!$B$14,0)</f>
        <v/>
      </c>
      <c r="Q285" s="160">
        <f>(O285+IF('Sites'!$C$7="Own sheets",P285,0))/'NM Play'!$B$10</f>
        <v/>
      </c>
      <c r="R285" s="160">
        <f>O285/'NM Play'!$B$15+P285/'NM Play'!$B$16</f>
        <v/>
      </c>
      <c r="S285" s="160">
        <f>MAX(Q285,R285,N285/'NM Play'!$B$36)</f>
        <v/>
      </c>
      <c r="T285" s="160">
        <f>Q285*'NM Play'!$B$10*'NM Play'!$B$21*(1+'NM Play'!$B$35)</f>
        <v/>
      </c>
      <c r="U285" s="160">
        <f>MAX(0,T285-I285)</f>
        <v/>
      </c>
      <c r="V285" s="160">
        <f>G285+O285*'NM Play'!$B$13-N285*'NM Play'!$B$11</f>
        <v/>
      </c>
      <c r="W285" s="160">
        <f>H285+P285*'NM Play'!$B$14-N285*'NM Play'!$B$12</f>
        <v/>
      </c>
      <c r="X285" s="160">
        <f>I285+U285-T285</f>
        <v/>
      </c>
      <c r="Y285" s="160">
        <f>MIN(N285,MAX(0,ROUNDDOWN('Sites'!$N$7*'Cases'!$E$8,0)-SUM(Y282:Y284)))</f>
        <v/>
      </c>
      <c r="Z285" s="160">
        <f>N285-Y285</f>
        <v/>
      </c>
      <c r="AA285" s="160">
        <f>U285*'NM Play'!$B$22</f>
        <v/>
      </c>
      <c r="AB285" s="160">
        <f>N285*SUM('NM Play'!$B$29:$B$31)</f>
        <v/>
      </c>
      <c r="AC285" s="160">
        <f>IF('Sites'!$C$7="Defy legs",P285*'NM Play'!$B$14/'NM Play'!$B$12*'NM Play'!$B$28,0)</f>
        <v/>
      </c>
      <c r="AD285" s="160">
        <f>Q285*'NM Play'!$B$23</f>
        <v/>
      </c>
      <c r="AE285" s="160">
        <f>S285*SUM('NM Play'!$B$26,'NM Play'!$B$33:$B$34)</f>
        <v/>
      </c>
      <c r="AF285" s="160">
        <f>IF('Sites'!$D$7="NM crew",S285*SUM('NM Play'!$B$24:$B$25),0)</f>
        <v/>
      </c>
      <c r="AG285" s="160">
        <f>IF('Sites'!$D$7="NM crew",S285*'NM Play'!$B$27,0)</f>
        <v/>
      </c>
      <c r="AH285" s="160">
        <f>N285*'Sites'!$Z$7*'NM Play'!$B$32</f>
        <v/>
      </c>
      <c r="AI285" s="160">
        <f>SUM(Y285:Z285)*'Sites'!$R$7</f>
        <v/>
      </c>
      <c r="AJ285" s="160">
        <f>SUM(AA285:AH285)</f>
        <v/>
      </c>
      <c r="AK285" s="160">
        <f>AJ285+(T285-U285)*'NM Play'!$B$22+MIN(G285,N285*'NM Play'!$B$11)/'NM Play'!$B$13*'NM Play'!$B$21*'NM Play'!$B$22+MIN(H285,N285*'NM Play'!$B$12)/'NM Play'!$B$14*IF('Sites'!$C$7="Own sheets",'NM Play'!$B$21*'NM Play'!$B$22,'NM Play'!$B$28*'NM Play'!$B$14/'NM Play'!$B$12)</f>
        <v/>
      </c>
      <c r="AL285" s="160">
        <f>Y285*'Assumptions'!AE66</f>
        <v/>
      </c>
      <c r="AM285" s="160">
        <f>IF('Sites'!$D$7="NM crew",S285*'NM Play'!$B$37*(1+IF(AND(ISNUMBER('NM Play'!$B$25),'NM Play'!$B$25&gt;0),1,0)),"")</f>
        <v/>
      </c>
      <c r="AN285" s="160">
        <f>IF(OR('Sites'!$E$7&lt;0,'Sites'!$E$7&gt;1,'Sites'!$F$7&lt;1,'Sites'!$G$7&lt;'Sites'!$F$7,F285&lt;0,MIN('Sites'!$I$7:'Sites'!$R$7)&lt;0,'Sites'!$L$7&gt;'Sites'!$I$7,'Sites'!$M$7&gt;'Sites'!$J$7,'Sites'!$N$7&gt;'Sites'!$K$7,'Sites'!$Z$7&lt;0,'Sites'!$Z$7&gt;1,MIN('Sites'!$AA$7:'Sites'!$AC$7)&lt;0,S285&gt;F285+0.001),1,0)</f>
        <v/>
      </c>
      <c r="AO285" s="160">
        <f>I285+U285-T285-X285</f>
        <v/>
      </c>
    </row>
    <row r="286" ht="28" customHeight="1">
      <c r="A286" s="4" t="inlineStr">
        <is>
          <t>No QBE</t>
        </is>
      </c>
      <c r="B286" s="4" t="inlineStr">
        <is>
          <t>NEW1</t>
        </is>
      </c>
      <c r="C286" s="160" t="n">
        <v>29</v>
      </c>
      <c r="D286" s="160">
        <f>ROUNDUP(C286/12,0)</f>
        <v/>
      </c>
      <c r="E286" s="160">
        <f>IF(AND('Sites'!$E$7=1,C286&gt;='Sites'!$F$7+'Cases'!$G$8,C286&lt;='Sites'!$G$7),1,0)</f>
        <v/>
      </c>
      <c r="F286" s="160">
        <f>E286*'Assumptions'!AF68</f>
        <v/>
      </c>
      <c r="G286" s="160">
        <f>V285</f>
        <v/>
      </c>
      <c r="H286" s="160">
        <f>W285</f>
        <v/>
      </c>
      <c r="I286" s="160">
        <f>X285</f>
        <v/>
      </c>
      <c r="J286" s="160">
        <f>MAX(0,'Sites'!$K$7-SUM(N282:N285))</f>
        <v/>
      </c>
      <c r="K286" s="160">
        <f>IF('Sites'!$C$7="Own sheets",MIN(ROUNDDOWN(G286/'NM Play'!$B$11,0)+F286*'NM Play'!$B$10/'NM Play'!$B$43,ROUNDDOWN(H286/'NM Play'!$B$12,0)+F286*'NM Play'!$B$10/'NM Play'!$B$44,(F286*'NM Play'!$B$10+ROUNDDOWN(G286/'NM Play'!$B$11,0)*'NM Play'!$B$43+ROUNDDOWN(H286/'NM Play'!$B$12,0)*'NM Play'!$B$44)/('NM Play'!$B$43+'NM Play'!$B$44)),ROUNDDOWN(G286/'NM Play'!$B$11,0)+F286*'NM Play'!$B$10/'NM Play'!$B$43)</f>
        <v/>
      </c>
      <c r="L286" s="160">
        <f>MIN(ROUNDDOWN(G286/'NM Play'!$B$11,0)+F286/('NM Play'!$B$43/'NM Play'!$B$15),ROUNDDOWN(H286/'NM Play'!$B$12,0)+F286/('NM Play'!$B$44/'NM Play'!$B$16),(F286+ROUNDDOWN(G286/'NM Play'!$B$11,0)*'NM Play'!$B$43/'NM Play'!$B$15+ROUNDDOWN(H286/'NM Play'!$B$12,0)*'NM Play'!$B$44/'NM Play'!$B$16)/('NM Play'!$B$43/'NM Play'!$B$15+'NM Play'!$B$44/'NM Play'!$B$16))</f>
        <v/>
      </c>
      <c r="M286" s="160">
        <f>F286*'NM Play'!$B$36</f>
        <v/>
      </c>
      <c r="N286" s="160">
        <f>ROUNDDOWN(MAX(0,MIN(J286,K286:M286)),0)</f>
        <v/>
      </c>
      <c r="O286" s="160">
        <f>ROUNDUP(MAX(0,N286*'NM Play'!$B$11-G286)/'NM Play'!$B$13,0)</f>
        <v/>
      </c>
      <c r="P286" s="160">
        <f>ROUNDUP(MAX(0,N286*'NM Play'!$B$12-H286)/'NM Play'!$B$14,0)</f>
        <v/>
      </c>
      <c r="Q286" s="160">
        <f>(O286+IF('Sites'!$C$7="Own sheets",P286,0))/'NM Play'!$B$10</f>
        <v/>
      </c>
      <c r="R286" s="160">
        <f>O286/'NM Play'!$B$15+P286/'NM Play'!$B$16</f>
        <v/>
      </c>
      <c r="S286" s="160">
        <f>MAX(Q286,R286,N286/'NM Play'!$B$36)</f>
        <v/>
      </c>
      <c r="T286" s="160">
        <f>Q286*'NM Play'!$B$10*'NM Play'!$B$21*(1+'NM Play'!$B$35)</f>
        <v/>
      </c>
      <c r="U286" s="160">
        <f>MAX(0,T286-I286)</f>
        <v/>
      </c>
      <c r="V286" s="160">
        <f>G286+O286*'NM Play'!$B$13-N286*'NM Play'!$B$11</f>
        <v/>
      </c>
      <c r="W286" s="160">
        <f>H286+P286*'NM Play'!$B$14-N286*'NM Play'!$B$12</f>
        <v/>
      </c>
      <c r="X286" s="160">
        <f>I286+U286-T286</f>
        <v/>
      </c>
      <c r="Y286" s="160">
        <f>MIN(N286,MAX(0,ROUNDDOWN('Sites'!$N$7*'Cases'!$E$8,0)-SUM(Y282:Y285)))</f>
        <v/>
      </c>
      <c r="Z286" s="160">
        <f>N286-Y286</f>
        <v/>
      </c>
      <c r="AA286" s="160">
        <f>U286*'NM Play'!$B$22</f>
        <v/>
      </c>
      <c r="AB286" s="160">
        <f>N286*SUM('NM Play'!$B$29:$B$31)</f>
        <v/>
      </c>
      <c r="AC286" s="160">
        <f>IF('Sites'!$C$7="Defy legs",P286*'NM Play'!$B$14/'NM Play'!$B$12*'NM Play'!$B$28,0)</f>
        <v/>
      </c>
      <c r="AD286" s="160">
        <f>Q286*'NM Play'!$B$23</f>
        <v/>
      </c>
      <c r="AE286" s="160">
        <f>S286*SUM('NM Play'!$B$26,'NM Play'!$B$33:$B$34)</f>
        <v/>
      </c>
      <c r="AF286" s="160">
        <f>IF('Sites'!$D$7="NM crew",S286*SUM('NM Play'!$B$24:$B$25),0)</f>
        <v/>
      </c>
      <c r="AG286" s="160">
        <f>IF('Sites'!$D$7="NM crew",S286*'NM Play'!$B$27,0)</f>
        <v/>
      </c>
      <c r="AH286" s="160">
        <f>N286*'Sites'!$Z$7*'NM Play'!$B$32</f>
        <v/>
      </c>
      <c r="AI286" s="160">
        <f>SUM(Y286:Z286)*'Sites'!$R$7</f>
        <v/>
      </c>
      <c r="AJ286" s="160">
        <f>SUM(AA286:AH286)</f>
        <v/>
      </c>
      <c r="AK286" s="160">
        <f>AJ286+(T286-U286)*'NM Play'!$B$22+MIN(G286,N286*'NM Play'!$B$11)/'NM Play'!$B$13*'NM Play'!$B$21*'NM Play'!$B$22+MIN(H286,N286*'NM Play'!$B$12)/'NM Play'!$B$14*IF('Sites'!$C$7="Own sheets",'NM Play'!$B$21*'NM Play'!$B$22,'NM Play'!$B$28*'NM Play'!$B$14/'NM Play'!$B$12)</f>
        <v/>
      </c>
      <c r="AL286" s="160">
        <f>Y286*'Assumptions'!AF66</f>
        <v/>
      </c>
      <c r="AM286" s="160">
        <f>IF('Sites'!$D$7="NM crew",S286*'NM Play'!$B$37*(1+IF(AND(ISNUMBER('NM Play'!$B$25),'NM Play'!$B$25&gt;0),1,0)),"")</f>
        <v/>
      </c>
      <c r="AN286" s="160">
        <f>IF(OR('Sites'!$E$7&lt;0,'Sites'!$E$7&gt;1,'Sites'!$F$7&lt;1,'Sites'!$G$7&lt;'Sites'!$F$7,F286&lt;0,MIN('Sites'!$I$7:'Sites'!$R$7)&lt;0,'Sites'!$L$7&gt;'Sites'!$I$7,'Sites'!$M$7&gt;'Sites'!$J$7,'Sites'!$N$7&gt;'Sites'!$K$7,'Sites'!$Z$7&lt;0,'Sites'!$Z$7&gt;1,MIN('Sites'!$AA$7:'Sites'!$AC$7)&lt;0,S286&gt;F286+0.001),1,0)</f>
        <v/>
      </c>
      <c r="AO286" s="160">
        <f>I286+U286-T286-X286</f>
        <v/>
      </c>
    </row>
    <row r="287" ht="28" customHeight="1">
      <c r="A287" s="4" t="inlineStr">
        <is>
          <t>No QBE</t>
        </is>
      </c>
      <c r="B287" s="4" t="inlineStr">
        <is>
          <t>NEW1</t>
        </is>
      </c>
      <c r="C287" s="160" t="n">
        <v>30</v>
      </c>
      <c r="D287" s="160">
        <f>ROUNDUP(C287/12,0)</f>
        <v/>
      </c>
      <c r="E287" s="160">
        <f>IF(AND('Sites'!$E$7=1,C287&gt;='Sites'!$F$7+'Cases'!$G$8,C287&lt;='Sites'!$G$7),1,0)</f>
        <v/>
      </c>
      <c r="F287" s="160">
        <f>E287*'Assumptions'!AG68</f>
        <v/>
      </c>
      <c r="G287" s="160">
        <f>V286</f>
        <v/>
      </c>
      <c r="H287" s="160">
        <f>W286</f>
        <v/>
      </c>
      <c r="I287" s="160">
        <f>X286</f>
        <v/>
      </c>
      <c r="J287" s="160">
        <f>MAX(0,'Sites'!$K$7-SUM(N282:N286))</f>
        <v/>
      </c>
      <c r="K287" s="160">
        <f>IF('Sites'!$C$7="Own sheets",MIN(ROUNDDOWN(G287/'NM Play'!$B$11,0)+F287*'NM Play'!$B$10/'NM Play'!$B$43,ROUNDDOWN(H287/'NM Play'!$B$12,0)+F287*'NM Play'!$B$10/'NM Play'!$B$44,(F287*'NM Play'!$B$10+ROUNDDOWN(G287/'NM Play'!$B$11,0)*'NM Play'!$B$43+ROUNDDOWN(H287/'NM Play'!$B$12,0)*'NM Play'!$B$44)/('NM Play'!$B$43+'NM Play'!$B$44)),ROUNDDOWN(G287/'NM Play'!$B$11,0)+F287*'NM Play'!$B$10/'NM Play'!$B$43)</f>
        <v/>
      </c>
      <c r="L287" s="160">
        <f>MIN(ROUNDDOWN(G287/'NM Play'!$B$11,0)+F287/('NM Play'!$B$43/'NM Play'!$B$15),ROUNDDOWN(H287/'NM Play'!$B$12,0)+F287/('NM Play'!$B$44/'NM Play'!$B$16),(F287+ROUNDDOWN(G287/'NM Play'!$B$11,0)*'NM Play'!$B$43/'NM Play'!$B$15+ROUNDDOWN(H287/'NM Play'!$B$12,0)*'NM Play'!$B$44/'NM Play'!$B$16)/('NM Play'!$B$43/'NM Play'!$B$15+'NM Play'!$B$44/'NM Play'!$B$16))</f>
        <v/>
      </c>
      <c r="M287" s="160">
        <f>F287*'NM Play'!$B$36</f>
        <v/>
      </c>
      <c r="N287" s="160">
        <f>ROUNDDOWN(MAX(0,MIN(J287,K287:M287)),0)</f>
        <v/>
      </c>
      <c r="O287" s="160">
        <f>ROUNDUP(MAX(0,N287*'NM Play'!$B$11-G287)/'NM Play'!$B$13,0)</f>
        <v/>
      </c>
      <c r="P287" s="160">
        <f>ROUNDUP(MAX(0,N287*'NM Play'!$B$12-H287)/'NM Play'!$B$14,0)</f>
        <v/>
      </c>
      <c r="Q287" s="160">
        <f>(O287+IF('Sites'!$C$7="Own sheets",P287,0))/'NM Play'!$B$10</f>
        <v/>
      </c>
      <c r="R287" s="160">
        <f>O287/'NM Play'!$B$15+P287/'NM Play'!$B$16</f>
        <v/>
      </c>
      <c r="S287" s="160">
        <f>MAX(Q287,R287,N287/'NM Play'!$B$36)</f>
        <v/>
      </c>
      <c r="T287" s="160">
        <f>Q287*'NM Play'!$B$10*'NM Play'!$B$21*(1+'NM Play'!$B$35)</f>
        <v/>
      </c>
      <c r="U287" s="160">
        <f>MAX(0,T287-I287)</f>
        <v/>
      </c>
      <c r="V287" s="160">
        <f>G287+O287*'NM Play'!$B$13-N287*'NM Play'!$B$11</f>
        <v/>
      </c>
      <c r="W287" s="160">
        <f>H287+P287*'NM Play'!$B$14-N287*'NM Play'!$B$12</f>
        <v/>
      </c>
      <c r="X287" s="160">
        <f>I287+U287-T287</f>
        <v/>
      </c>
      <c r="Y287" s="160">
        <f>MIN(N287,MAX(0,ROUNDDOWN('Sites'!$N$7*'Cases'!$E$8,0)-SUM(Y282:Y286)))</f>
        <v/>
      </c>
      <c r="Z287" s="160">
        <f>N287-Y287</f>
        <v/>
      </c>
      <c r="AA287" s="160">
        <f>U287*'NM Play'!$B$22</f>
        <v/>
      </c>
      <c r="AB287" s="160">
        <f>N287*SUM('NM Play'!$B$29:$B$31)</f>
        <v/>
      </c>
      <c r="AC287" s="160">
        <f>IF('Sites'!$C$7="Defy legs",P287*'NM Play'!$B$14/'NM Play'!$B$12*'NM Play'!$B$28,0)</f>
        <v/>
      </c>
      <c r="AD287" s="160">
        <f>Q287*'NM Play'!$B$23</f>
        <v/>
      </c>
      <c r="AE287" s="160">
        <f>S287*SUM('NM Play'!$B$26,'NM Play'!$B$33:$B$34)</f>
        <v/>
      </c>
      <c r="AF287" s="160">
        <f>IF('Sites'!$D$7="NM crew",S287*SUM('NM Play'!$B$24:$B$25),0)</f>
        <v/>
      </c>
      <c r="AG287" s="160">
        <f>IF('Sites'!$D$7="NM crew",S287*'NM Play'!$B$27,0)</f>
        <v/>
      </c>
      <c r="AH287" s="160">
        <f>N287*'Sites'!$Z$7*'NM Play'!$B$32</f>
        <v/>
      </c>
      <c r="AI287" s="160">
        <f>SUM(Y287:Z287)*'Sites'!$R$7</f>
        <v/>
      </c>
      <c r="AJ287" s="160">
        <f>SUM(AA287:AH287)</f>
        <v/>
      </c>
      <c r="AK287" s="160">
        <f>AJ287+(T287-U287)*'NM Play'!$B$22+MIN(G287,N287*'NM Play'!$B$11)/'NM Play'!$B$13*'NM Play'!$B$21*'NM Play'!$B$22+MIN(H287,N287*'NM Play'!$B$12)/'NM Play'!$B$14*IF('Sites'!$C$7="Own sheets",'NM Play'!$B$21*'NM Play'!$B$22,'NM Play'!$B$28*'NM Play'!$B$14/'NM Play'!$B$12)</f>
        <v/>
      </c>
      <c r="AL287" s="160">
        <f>Y287*'Assumptions'!AG66</f>
        <v/>
      </c>
      <c r="AM287" s="160">
        <f>IF('Sites'!$D$7="NM crew",S287*'NM Play'!$B$37*(1+IF(AND(ISNUMBER('NM Play'!$B$25),'NM Play'!$B$25&gt;0),1,0)),"")</f>
        <v/>
      </c>
      <c r="AN287" s="160">
        <f>IF(OR('Sites'!$E$7&lt;0,'Sites'!$E$7&gt;1,'Sites'!$F$7&lt;1,'Sites'!$G$7&lt;'Sites'!$F$7,F287&lt;0,MIN('Sites'!$I$7:'Sites'!$R$7)&lt;0,'Sites'!$L$7&gt;'Sites'!$I$7,'Sites'!$M$7&gt;'Sites'!$J$7,'Sites'!$N$7&gt;'Sites'!$K$7,'Sites'!$Z$7&lt;0,'Sites'!$Z$7&gt;1,MIN('Sites'!$AA$7:'Sites'!$AC$7)&lt;0,S287&gt;F287+0.001),1,0)</f>
        <v/>
      </c>
      <c r="AO287" s="160">
        <f>I287+U287-T287-X287</f>
        <v/>
      </c>
    </row>
    <row r="288" ht="28" customHeight="1">
      <c r="A288" s="4" t="inlineStr">
        <is>
          <t>No QBE</t>
        </is>
      </c>
      <c r="B288" s="4" t="inlineStr">
        <is>
          <t>NEW1</t>
        </is>
      </c>
      <c r="C288" s="160" t="n">
        <v>31</v>
      </c>
      <c r="D288" s="160">
        <f>ROUNDUP(C288/12,0)</f>
        <v/>
      </c>
      <c r="E288" s="160">
        <f>IF(AND('Sites'!$E$7=1,C288&gt;='Sites'!$F$7+'Cases'!$G$8,C288&lt;='Sites'!$G$7),1,0)</f>
        <v/>
      </c>
      <c r="F288" s="160">
        <f>E288*'Assumptions'!AH68</f>
        <v/>
      </c>
      <c r="G288" s="160">
        <f>V287</f>
        <v/>
      </c>
      <c r="H288" s="160">
        <f>W287</f>
        <v/>
      </c>
      <c r="I288" s="160">
        <f>X287</f>
        <v/>
      </c>
      <c r="J288" s="160">
        <f>MAX(0,'Sites'!$K$7-SUM(N282:N287))</f>
        <v/>
      </c>
      <c r="K288" s="160">
        <f>IF('Sites'!$C$7="Own sheets",MIN(ROUNDDOWN(G288/'NM Play'!$B$11,0)+F288*'NM Play'!$B$10/'NM Play'!$B$43,ROUNDDOWN(H288/'NM Play'!$B$12,0)+F288*'NM Play'!$B$10/'NM Play'!$B$44,(F288*'NM Play'!$B$10+ROUNDDOWN(G288/'NM Play'!$B$11,0)*'NM Play'!$B$43+ROUNDDOWN(H288/'NM Play'!$B$12,0)*'NM Play'!$B$44)/('NM Play'!$B$43+'NM Play'!$B$44)),ROUNDDOWN(G288/'NM Play'!$B$11,0)+F288*'NM Play'!$B$10/'NM Play'!$B$43)</f>
        <v/>
      </c>
      <c r="L288" s="160">
        <f>MIN(ROUNDDOWN(G288/'NM Play'!$B$11,0)+F288/('NM Play'!$B$43/'NM Play'!$B$15),ROUNDDOWN(H288/'NM Play'!$B$12,0)+F288/('NM Play'!$B$44/'NM Play'!$B$16),(F288+ROUNDDOWN(G288/'NM Play'!$B$11,0)*'NM Play'!$B$43/'NM Play'!$B$15+ROUNDDOWN(H288/'NM Play'!$B$12,0)*'NM Play'!$B$44/'NM Play'!$B$16)/('NM Play'!$B$43/'NM Play'!$B$15+'NM Play'!$B$44/'NM Play'!$B$16))</f>
        <v/>
      </c>
      <c r="M288" s="160">
        <f>F288*'NM Play'!$B$36</f>
        <v/>
      </c>
      <c r="N288" s="160">
        <f>ROUNDDOWN(MAX(0,MIN(J288,K288:M288)),0)</f>
        <v/>
      </c>
      <c r="O288" s="160">
        <f>ROUNDUP(MAX(0,N288*'NM Play'!$B$11-G288)/'NM Play'!$B$13,0)</f>
        <v/>
      </c>
      <c r="P288" s="160">
        <f>ROUNDUP(MAX(0,N288*'NM Play'!$B$12-H288)/'NM Play'!$B$14,0)</f>
        <v/>
      </c>
      <c r="Q288" s="160">
        <f>(O288+IF('Sites'!$C$7="Own sheets",P288,0))/'NM Play'!$B$10</f>
        <v/>
      </c>
      <c r="R288" s="160">
        <f>O288/'NM Play'!$B$15+P288/'NM Play'!$B$16</f>
        <v/>
      </c>
      <c r="S288" s="160">
        <f>MAX(Q288,R288,N288/'NM Play'!$B$36)</f>
        <v/>
      </c>
      <c r="T288" s="160">
        <f>Q288*'NM Play'!$B$10*'NM Play'!$B$21*(1+'NM Play'!$B$35)</f>
        <v/>
      </c>
      <c r="U288" s="160">
        <f>MAX(0,T288-I288)</f>
        <v/>
      </c>
      <c r="V288" s="160">
        <f>G288+O288*'NM Play'!$B$13-N288*'NM Play'!$B$11</f>
        <v/>
      </c>
      <c r="W288" s="160">
        <f>H288+P288*'NM Play'!$B$14-N288*'NM Play'!$B$12</f>
        <v/>
      </c>
      <c r="X288" s="160">
        <f>I288+U288-T288</f>
        <v/>
      </c>
      <c r="Y288" s="160">
        <f>MIN(N288,MAX(0,ROUNDDOWN('Sites'!$N$7*'Cases'!$E$8,0)-SUM(Y282:Y287)))</f>
        <v/>
      </c>
      <c r="Z288" s="160">
        <f>N288-Y288</f>
        <v/>
      </c>
      <c r="AA288" s="160">
        <f>U288*'NM Play'!$B$22</f>
        <v/>
      </c>
      <c r="AB288" s="160">
        <f>N288*SUM('NM Play'!$B$29:$B$31)</f>
        <v/>
      </c>
      <c r="AC288" s="160">
        <f>IF('Sites'!$C$7="Defy legs",P288*'NM Play'!$B$14/'NM Play'!$B$12*'NM Play'!$B$28,0)</f>
        <v/>
      </c>
      <c r="AD288" s="160">
        <f>Q288*'NM Play'!$B$23</f>
        <v/>
      </c>
      <c r="AE288" s="160">
        <f>S288*SUM('NM Play'!$B$26,'NM Play'!$B$33:$B$34)</f>
        <v/>
      </c>
      <c r="AF288" s="160">
        <f>IF('Sites'!$D$7="NM crew",S288*SUM('NM Play'!$B$24:$B$25),0)</f>
        <v/>
      </c>
      <c r="AG288" s="160">
        <f>IF('Sites'!$D$7="NM crew",S288*'NM Play'!$B$27,0)</f>
        <v/>
      </c>
      <c r="AH288" s="160">
        <f>N288*'Sites'!$Z$7*'NM Play'!$B$32</f>
        <v/>
      </c>
      <c r="AI288" s="160">
        <f>SUM(Y288:Z288)*'Sites'!$R$7</f>
        <v/>
      </c>
      <c r="AJ288" s="160">
        <f>SUM(AA288:AH288)</f>
        <v/>
      </c>
      <c r="AK288" s="160">
        <f>AJ288+(T288-U288)*'NM Play'!$B$22+MIN(G288,N288*'NM Play'!$B$11)/'NM Play'!$B$13*'NM Play'!$B$21*'NM Play'!$B$22+MIN(H288,N288*'NM Play'!$B$12)/'NM Play'!$B$14*IF('Sites'!$C$7="Own sheets",'NM Play'!$B$21*'NM Play'!$B$22,'NM Play'!$B$28*'NM Play'!$B$14/'NM Play'!$B$12)</f>
        <v/>
      </c>
      <c r="AL288" s="160">
        <f>Y288*'Assumptions'!AH66</f>
        <v/>
      </c>
      <c r="AM288" s="160">
        <f>IF('Sites'!$D$7="NM crew",S288*'NM Play'!$B$37*(1+IF(AND(ISNUMBER('NM Play'!$B$25),'NM Play'!$B$25&gt;0),1,0)),"")</f>
        <v/>
      </c>
      <c r="AN288" s="160">
        <f>IF(OR('Sites'!$E$7&lt;0,'Sites'!$E$7&gt;1,'Sites'!$F$7&lt;1,'Sites'!$G$7&lt;'Sites'!$F$7,F288&lt;0,MIN('Sites'!$I$7:'Sites'!$R$7)&lt;0,'Sites'!$L$7&gt;'Sites'!$I$7,'Sites'!$M$7&gt;'Sites'!$J$7,'Sites'!$N$7&gt;'Sites'!$K$7,'Sites'!$Z$7&lt;0,'Sites'!$Z$7&gt;1,MIN('Sites'!$AA$7:'Sites'!$AC$7)&lt;0,S288&gt;F288+0.001),1,0)</f>
        <v/>
      </c>
      <c r="AO288" s="160">
        <f>I288+U288-T288-X288</f>
        <v/>
      </c>
    </row>
    <row r="289" ht="28" customHeight="1">
      <c r="A289" s="4" t="inlineStr">
        <is>
          <t>No QBE</t>
        </is>
      </c>
      <c r="B289" s="4" t="inlineStr">
        <is>
          <t>NEW1</t>
        </is>
      </c>
      <c r="C289" s="160" t="n">
        <v>32</v>
      </c>
      <c r="D289" s="160">
        <f>ROUNDUP(C289/12,0)</f>
        <v/>
      </c>
      <c r="E289" s="160">
        <f>IF(AND('Sites'!$E$7=1,C289&gt;='Sites'!$F$7+'Cases'!$G$8,C289&lt;='Sites'!$G$7),1,0)</f>
        <v/>
      </c>
      <c r="F289" s="160">
        <f>E289*'Assumptions'!AI68</f>
        <v/>
      </c>
      <c r="G289" s="160">
        <f>V288</f>
        <v/>
      </c>
      <c r="H289" s="160">
        <f>W288</f>
        <v/>
      </c>
      <c r="I289" s="160">
        <f>X288</f>
        <v/>
      </c>
      <c r="J289" s="160">
        <f>MAX(0,'Sites'!$K$7-SUM(N282:N288))</f>
        <v/>
      </c>
      <c r="K289" s="160">
        <f>IF('Sites'!$C$7="Own sheets",MIN(ROUNDDOWN(G289/'NM Play'!$B$11,0)+F289*'NM Play'!$B$10/'NM Play'!$B$43,ROUNDDOWN(H289/'NM Play'!$B$12,0)+F289*'NM Play'!$B$10/'NM Play'!$B$44,(F289*'NM Play'!$B$10+ROUNDDOWN(G289/'NM Play'!$B$11,0)*'NM Play'!$B$43+ROUNDDOWN(H289/'NM Play'!$B$12,0)*'NM Play'!$B$44)/('NM Play'!$B$43+'NM Play'!$B$44)),ROUNDDOWN(G289/'NM Play'!$B$11,0)+F289*'NM Play'!$B$10/'NM Play'!$B$43)</f>
        <v/>
      </c>
      <c r="L289" s="160">
        <f>MIN(ROUNDDOWN(G289/'NM Play'!$B$11,0)+F289/('NM Play'!$B$43/'NM Play'!$B$15),ROUNDDOWN(H289/'NM Play'!$B$12,0)+F289/('NM Play'!$B$44/'NM Play'!$B$16),(F289+ROUNDDOWN(G289/'NM Play'!$B$11,0)*'NM Play'!$B$43/'NM Play'!$B$15+ROUNDDOWN(H289/'NM Play'!$B$12,0)*'NM Play'!$B$44/'NM Play'!$B$16)/('NM Play'!$B$43/'NM Play'!$B$15+'NM Play'!$B$44/'NM Play'!$B$16))</f>
        <v/>
      </c>
      <c r="M289" s="160">
        <f>F289*'NM Play'!$B$36</f>
        <v/>
      </c>
      <c r="N289" s="160">
        <f>ROUNDDOWN(MAX(0,MIN(J289,K289:M289)),0)</f>
        <v/>
      </c>
      <c r="O289" s="160">
        <f>ROUNDUP(MAX(0,N289*'NM Play'!$B$11-G289)/'NM Play'!$B$13,0)</f>
        <v/>
      </c>
      <c r="P289" s="160">
        <f>ROUNDUP(MAX(0,N289*'NM Play'!$B$12-H289)/'NM Play'!$B$14,0)</f>
        <v/>
      </c>
      <c r="Q289" s="160">
        <f>(O289+IF('Sites'!$C$7="Own sheets",P289,0))/'NM Play'!$B$10</f>
        <v/>
      </c>
      <c r="R289" s="160">
        <f>O289/'NM Play'!$B$15+P289/'NM Play'!$B$16</f>
        <v/>
      </c>
      <c r="S289" s="160">
        <f>MAX(Q289,R289,N289/'NM Play'!$B$36)</f>
        <v/>
      </c>
      <c r="T289" s="160">
        <f>Q289*'NM Play'!$B$10*'NM Play'!$B$21*(1+'NM Play'!$B$35)</f>
        <v/>
      </c>
      <c r="U289" s="160">
        <f>MAX(0,T289-I289)</f>
        <v/>
      </c>
      <c r="V289" s="160">
        <f>G289+O289*'NM Play'!$B$13-N289*'NM Play'!$B$11</f>
        <v/>
      </c>
      <c r="W289" s="160">
        <f>H289+P289*'NM Play'!$B$14-N289*'NM Play'!$B$12</f>
        <v/>
      </c>
      <c r="X289" s="160">
        <f>I289+U289-T289</f>
        <v/>
      </c>
      <c r="Y289" s="160">
        <f>MIN(N289,MAX(0,ROUNDDOWN('Sites'!$N$7*'Cases'!$E$8,0)-SUM(Y282:Y288)))</f>
        <v/>
      </c>
      <c r="Z289" s="160">
        <f>N289-Y289</f>
        <v/>
      </c>
      <c r="AA289" s="160">
        <f>U289*'NM Play'!$B$22</f>
        <v/>
      </c>
      <c r="AB289" s="160">
        <f>N289*SUM('NM Play'!$B$29:$B$31)</f>
        <v/>
      </c>
      <c r="AC289" s="160">
        <f>IF('Sites'!$C$7="Defy legs",P289*'NM Play'!$B$14/'NM Play'!$B$12*'NM Play'!$B$28,0)</f>
        <v/>
      </c>
      <c r="AD289" s="160">
        <f>Q289*'NM Play'!$B$23</f>
        <v/>
      </c>
      <c r="AE289" s="160">
        <f>S289*SUM('NM Play'!$B$26,'NM Play'!$B$33:$B$34)</f>
        <v/>
      </c>
      <c r="AF289" s="160">
        <f>IF('Sites'!$D$7="NM crew",S289*SUM('NM Play'!$B$24:$B$25),0)</f>
        <v/>
      </c>
      <c r="AG289" s="160">
        <f>IF('Sites'!$D$7="NM crew",S289*'NM Play'!$B$27,0)</f>
        <v/>
      </c>
      <c r="AH289" s="160">
        <f>N289*'Sites'!$Z$7*'NM Play'!$B$32</f>
        <v/>
      </c>
      <c r="AI289" s="160">
        <f>SUM(Y289:Z289)*'Sites'!$R$7</f>
        <v/>
      </c>
      <c r="AJ289" s="160">
        <f>SUM(AA289:AH289)</f>
        <v/>
      </c>
      <c r="AK289" s="160">
        <f>AJ289+(T289-U289)*'NM Play'!$B$22+MIN(G289,N289*'NM Play'!$B$11)/'NM Play'!$B$13*'NM Play'!$B$21*'NM Play'!$B$22+MIN(H289,N289*'NM Play'!$B$12)/'NM Play'!$B$14*IF('Sites'!$C$7="Own sheets",'NM Play'!$B$21*'NM Play'!$B$22,'NM Play'!$B$28*'NM Play'!$B$14/'NM Play'!$B$12)</f>
        <v/>
      </c>
      <c r="AL289" s="160">
        <f>Y289*'Assumptions'!AI66</f>
        <v/>
      </c>
      <c r="AM289" s="160">
        <f>IF('Sites'!$D$7="NM crew",S289*'NM Play'!$B$37*(1+IF(AND(ISNUMBER('NM Play'!$B$25),'NM Play'!$B$25&gt;0),1,0)),"")</f>
        <v/>
      </c>
      <c r="AN289" s="160">
        <f>IF(OR('Sites'!$E$7&lt;0,'Sites'!$E$7&gt;1,'Sites'!$F$7&lt;1,'Sites'!$G$7&lt;'Sites'!$F$7,F289&lt;0,MIN('Sites'!$I$7:'Sites'!$R$7)&lt;0,'Sites'!$L$7&gt;'Sites'!$I$7,'Sites'!$M$7&gt;'Sites'!$J$7,'Sites'!$N$7&gt;'Sites'!$K$7,'Sites'!$Z$7&lt;0,'Sites'!$Z$7&gt;1,MIN('Sites'!$AA$7:'Sites'!$AC$7)&lt;0,S289&gt;F289+0.001),1,0)</f>
        <v/>
      </c>
      <c r="AO289" s="160">
        <f>I289+U289-T289-X289</f>
        <v/>
      </c>
    </row>
    <row r="290" ht="28" customHeight="1">
      <c r="A290" s="4" t="inlineStr">
        <is>
          <t>No QBE</t>
        </is>
      </c>
      <c r="B290" s="4" t="inlineStr">
        <is>
          <t>NEW1</t>
        </is>
      </c>
      <c r="C290" s="160" t="n">
        <v>33</v>
      </c>
      <c r="D290" s="160">
        <f>ROUNDUP(C290/12,0)</f>
        <v/>
      </c>
      <c r="E290" s="160">
        <f>IF(AND('Sites'!$E$7=1,C290&gt;='Sites'!$F$7+'Cases'!$G$8,C290&lt;='Sites'!$G$7),1,0)</f>
        <v/>
      </c>
      <c r="F290" s="160">
        <f>E290*'Assumptions'!AJ68</f>
        <v/>
      </c>
      <c r="G290" s="160">
        <f>V289</f>
        <v/>
      </c>
      <c r="H290" s="160">
        <f>W289</f>
        <v/>
      </c>
      <c r="I290" s="160">
        <f>X289</f>
        <v/>
      </c>
      <c r="J290" s="160">
        <f>MAX(0,'Sites'!$K$7-SUM(N282:N289))</f>
        <v/>
      </c>
      <c r="K290" s="160">
        <f>IF('Sites'!$C$7="Own sheets",MIN(ROUNDDOWN(G290/'NM Play'!$B$11,0)+F290*'NM Play'!$B$10/'NM Play'!$B$43,ROUNDDOWN(H290/'NM Play'!$B$12,0)+F290*'NM Play'!$B$10/'NM Play'!$B$44,(F290*'NM Play'!$B$10+ROUNDDOWN(G290/'NM Play'!$B$11,0)*'NM Play'!$B$43+ROUNDDOWN(H290/'NM Play'!$B$12,0)*'NM Play'!$B$44)/('NM Play'!$B$43+'NM Play'!$B$44)),ROUNDDOWN(G290/'NM Play'!$B$11,0)+F290*'NM Play'!$B$10/'NM Play'!$B$43)</f>
        <v/>
      </c>
      <c r="L290" s="160">
        <f>MIN(ROUNDDOWN(G290/'NM Play'!$B$11,0)+F290/('NM Play'!$B$43/'NM Play'!$B$15),ROUNDDOWN(H290/'NM Play'!$B$12,0)+F290/('NM Play'!$B$44/'NM Play'!$B$16),(F290+ROUNDDOWN(G290/'NM Play'!$B$11,0)*'NM Play'!$B$43/'NM Play'!$B$15+ROUNDDOWN(H290/'NM Play'!$B$12,0)*'NM Play'!$B$44/'NM Play'!$B$16)/('NM Play'!$B$43/'NM Play'!$B$15+'NM Play'!$B$44/'NM Play'!$B$16))</f>
        <v/>
      </c>
      <c r="M290" s="160">
        <f>F290*'NM Play'!$B$36</f>
        <v/>
      </c>
      <c r="N290" s="160">
        <f>ROUNDDOWN(MAX(0,MIN(J290,K290:M290)),0)</f>
        <v/>
      </c>
      <c r="O290" s="160">
        <f>ROUNDUP(MAX(0,N290*'NM Play'!$B$11-G290)/'NM Play'!$B$13,0)</f>
        <v/>
      </c>
      <c r="P290" s="160">
        <f>ROUNDUP(MAX(0,N290*'NM Play'!$B$12-H290)/'NM Play'!$B$14,0)</f>
        <v/>
      </c>
      <c r="Q290" s="160">
        <f>(O290+IF('Sites'!$C$7="Own sheets",P290,0))/'NM Play'!$B$10</f>
        <v/>
      </c>
      <c r="R290" s="160">
        <f>O290/'NM Play'!$B$15+P290/'NM Play'!$B$16</f>
        <v/>
      </c>
      <c r="S290" s="160">
        <f>MAX(Q290,R290,N290/'NM Play'!$B$36)</f>
        <v/>
      </c>
      <c r="T290" s="160">
        <f>Q290*'NM Play'!$B$10*'NM Play'!$B$21*(1+'NM Play'!$B$35)</f>
        <v/>
      </c>
      <c r="U290" s="160">
        <f>MAX(0,T290-I290)</f>
        <v/>
      </c>
      <c r="V290" s="160">
        <f>G290+O290*'NM Play'!$B$13-N290*'NM Play'!$B$11</f>
        <v/>
      </c>
      <c r="W290" s="160">
        <f>H290+P290*'NM Play'!$B$14-N290*'NM Play'!$B$12</f>
        <v/>
      </c>
      <c r="X290" s="160">
        <f>I290+U290-T290</f>
        <v/>
      </c>
      <c r="Y290" s="160">
        <f>MIN(N290,MAX(0,ROUNDDOWN('Sites'!$N$7*'Cases'!$E$8,0)-SUM(Y282:Y289)))</f>
        <v/>
      </c>
      <c r="Z290" s="160">
        <f>N290-Y290</f>
        <v/>
      </c>
      <c r="AA290" s="160">
        <f>U290*'NM Play'!$B$22</f>
        <v/>
      </c>
      <c r="AB290" s="160">
        <f>N290*SUM('NM Play'!$B$29:$B$31)</f>
        <v/>
      </c>
      <c r="AC290" s="160">
        <f>IF('Sites'!$C$7="Defy legs",P290*'NM Play'!$B$14/'NM Play'!$B$12*'NM Play'!$B$28,0)</f>
        <v/>
      </c>
      <c r="AD290" s="160">
        <f>Q290*'NM Play'!$B$23</f>
        <v/>
      </c>
      <c r="AE290" s="160">
        <f>S290*SUM('NM Play'!$B$26,'NM Play'!$B$33:$B$34)</f>
        <v/>
      </c>
      <c r="AF290" s="160">
        <f>IF('Sites'!$D$7="NM crew",S290*SUM('NM Play'!$B$24:$B$25),0)</f>
        <v/>
      </c>
      <c r="AG290" s="160">
        <f>IF('Sites'!$D$7="NM crew",S290*'NM Play'!$B$27,0)</f>
        <v/>
      </c>
      <c r="AH290" s="160">
        <f>N290*'Sites'!$Z$7*'NM Play'!$B$32</f>
        <v/>
      </c>
      <c r="AI290" s="160">
        <f>SUM(Y290:Z290)*'Sites'!$R$7</f>
        <v/>
      </c>
      <c r="AJ290" s="160">
        <f>SUM(AA290:AH290)</f>
        <v/>
      </c>
      <c r="AK290" s="160">
        <f>AJ290+(T290-U290)*'NM Play'!$B$22+MIN(G290,N290*'NM Play'!$B$11)/'NM Play'!$B$13*'NM Play'!$B$21*'NM Play'!$B$22+MIN(H290,N290*'NM Play'!$B$12)/'NM Play'!$B$14*IF('Sites'!$C$7="Own sheets",'NM Play'!$B$21*'NM Play'!$B$22,'NM Play'!$B$28*'NM Play'!$B$14/'NM Play'!$B$12)</f>
        <v/>
      </c>
      <c r="AL290" s="160">
        <f>Y290*'Assumptions'!AJ66</f>
        <v/>
      </c>
      <c r="AM290" s="160">
        <f>IF('Sites'!$D$7="NM crew",S290*'NM Play'!$B$37*(1+IF(AND(ISNUMBER('NM Play'!$B$25),'NM Play'!$B$25&gt;0),1,0)),"")</f>
        <v/>
      </c>
      <c r="AN290" s="160">
        <f>IF(OR('Sites'!$E$7&lt;0,'Sites'!$E$7&gt;1,'Sites'!$F$7&lt;1,'Sites'!$G$7&lt;'Sites'!$F$7,F290&lt;0,MIN('Sites'!$I$7:'Sites'!$R$7)&lt;0,'Sites'!$L$7&gt;'Sites'!$I$7,'Sites'!$M$7&gt;'Sites'!$J$7,'Sites'!$N$7&gt;'Sites'!$K$7,'Sites'!$Z$7&lt;0,'Sites'!$Z$7&gt;1,MIN('Sites'!$AA$7:'Sites'!$AC$7)&lt;0,S290&gt;F290+0.001),1,0)</f>
        <v/>
      </c>
      <c r="AO290" s="160">
        <f>I290+U290-T290-X290</f>
        <v/>
      </c>
    </row>
    <row r="291" ht="28" customHeight="1">
      <c r="A291" s="4" t="inlineStr">
        <is>
          <t>No QBE</t>
        </is>
      </c>
      <c r="B291" s="4" t="inlineStr">
        <is>
          <t>NEW1</t>
        </is>
      </c>
      <c r="C291" s="160" t="n">
        <v>34</v>
      </c>
      <c r="D291" s="160">
        <f>ROUNDUP(C291/12,0)</f>
        <v/>
      </c>
      <c r="E291" s="160">
        <f>IF(AND('Sites'!$E$7=1,C291&gt;='Sites'!$F$7+'Cases'!$G$8,C291&lt;='Sites'!$G$7),1,0)</f>
        <v/>
      </c>
      <c r="F291" s="160">
        <f>E291*'Assumptions'!AK68</f>
        <v/>
      </c>
      <c r="G291" s="160">
        <f>V290</f>
        <v/>
      </c>
      <c r="H291" s="160">
        <f>W290</f>
        <v/>
      </c>
      <c r="I291" s="160">
        <f>X290</f>
        <v/>
      </c>
      <c r="J291" s="160">
        <f>MAX(0,'Sites'!$K$7-SUM(N282:N290))</f>
        <v/>
      </c>
      <c r="K291" s="160">
        <f>IF('Sites'!$C$7="Own sheets",MIN(ROUNDDOWN(G291/'NM Play'!$B$11,0)+F291*'NM Play'!$B$10/'NM Play'!$B$43,ROUNDDOWN(H291/'NM Play'!$B$12,0)+F291*'NM Play'!$B$10/'NM Play'!$B$44,(F291*'NM Play'!$B$10+ROUNDDOWN(G291/'NM Play'!$B$11,0)*'NM Play'!$B$43+ROUNDDOWN(H291/'NM Play'!$B$12,0)*'NM Play'!$B$44)/('NM Play'!$B$43+'NM Play'!$B$44)),ROUNDDOWN(G291/'NM Play'!$B$11,0)+F291*'NM Play'!$B$10/'NM Play'!$B$43)</f>
        <v/>
      </c>
      <c r="L291" s="160">
        <f>MIN(ROUNDDOWN(G291/'NM Play'!$B$11,0)+F291/('NM Play'!$B$43/'NM Play'!$B$15),ROUNDDOWN(H291/'NM Play'!$B$12,0)+F291/('NM Play'!$B$44/'NM Play'!$B$16),(F291+ROUNDDOWN(G291/'NM Play'!$B$11,0)*'NM Play'!$B$43/'NM Play'!$B$15+ROUNDDOWN(H291/'NM Play'!$B$12,0)*'NM Play'!$B$44/'NM Play'!$B$16)/('NM Play'!$B$43/'NM Play'!$B$15+'NM Play'!$B$44/'NM Play'!$B$16))</f>
        <v/>
      </c>
      <c r="M291" s="160">
        <f>F291*'NM Play'!$B$36</f>
        <v/>
      </c>
      <c r="N291" s="160">
        <f>ROUNDDOWN(MAX(0,MIN(J291,K291:M291)),0)</f>
        <v/>
      </c>
      <c r="O291" s="160">
        <f>ROUNDUP(MAX(0,N291*'NM Play'!$B$11-G291)/'NM Play'!$B$13,0)</f>
        <v/>
      </c>
      <c r="P291" s="160">
        <f>ROUNDUP(MAX(0,N291*'NM Play'!$B$12-H291)/'NM Play'!$B$14,0)</f>
        <v/>
      </c>
      <c r="Q291" s="160">
        <f>(O291+IF('Sites'!$C$7="Own sheets",P291,0))/'NM Play'!$B$10</f>
        <v/>
      </c>
      <c r="R291" s="160">
        <f>O291/'NM Play'!$B$15+P291/'NM Play'!$B$16</f>
        <v/>
      </c>
      <c r="S291" s="160">
        <f>MAX(Q291,R291,N291/'NM Play'!$B$36)</f>
        <v/>
      </c>
      <c r="T291" s="160">
        <f>Q291*'NM Play'!$B$10*'NM Play'!$B$21*(1+'NM Play'!$B$35)</f>
        <v/>
      </c>
      <c r="U291" s="160">
        <f>MAX(0,T291-I291)</f>
        <v/>
      </c>
      <c r="V291" s="160">
        <f>G291+O291*'NM Play'!$B$13-N291*'NM Play'!$B$11</f>
        <v/>
      </c>
      <c r="W291" s="160">
        <f>H291+P291*'NM Play'!$B$14-N291*'NM Play'!$B$12</f>
        <v/>
      </c>
      <c r="X291" s="160">
        <f>I291+U291-T291</f>
        <v/>
      </c>
      <c r="Y291" s="160">
        <f>MIN(N291,MAX(0,ROUNDDOWN('Sites'!$N$7*'Cases'!$E$8,0)-SUM(Y282:Y290)))</f>
        <v/>
      </c>
      <c r="Z291" s="160">
        <f>N291-Y291</f>
        <v/>
      </c>
      <c r="AA291" s="160">
        <f>U291*'NM Play'!$B$22</f>
        <v/>
      </c>
      <c r="AB291" s="160">
        <f>N291*SUM('NM Play'!$B$29:$B$31)</f>
        <v/>
      </c>
      <c r="AC291" s="160">
        <f>IF('Sites'!$C$7="Defy legs",P291*'NM Play'!$B$14/'NM Play'!$B$12*'NM Play'!$B$28,0)</f>
        <v/>
      </c>
      <c r="AD291" s="160">
        <f>Q291*'NM Play'!$B$23</f>
        <v/>
      </c>
      <c r="AE291" s="160">
        <f>S291*SUM('NM Play'!$B$26,'NM Play'!$B$33:$B$34)</f>
        <v/>
      </c>
      <c r="AF291" s="160">
        <f>IF('Sites'!$D$7="NM crew",S291*SUM('NM Play'!$B$24:$B$25),0)</f>
        <v/>
      </c>
      <c r="AG291" s="160">
        <f>IF('Sites'!$D$7="NM crew",S291*'NM Play'!$B$27,0)</f>
        <v/>
      </c>
      <c r="AH291" s="160">
        <f>N291*'Sites'!$Z$7*'NM Play'!$B$32</f>
        <v/>
      </c>
      <c r="AI291" s="160">
        <f>SUM(Y291:Z291)*'Sites'!$R$7</f>
        <v/>
      </c>
      <c r="AJ291" s="160">
        <f>SUM(AA291:AH291)</f>
        <v/>
      </c>
      <c r="AK291" s="160">
        <f>AJ291+(T291-U291)*'NM Play'!$B$22+MIN(G291,N291*'NM Play'!$B$11)/'NM Play'!$B$13*'NM Play'!$B$21*'NM Play'!$B$22+MIN(H291,N291*'NM Play'!$B$12)/'NM Play'!$B$14*IF('Sites'!$C$7="Own sheets",'NM Play'!$B$21*'NM Play'!$B$22,'NM Play'!$B$28*'NM Play'!$B$14/'NM Play'!$B$12)</f>
        <v/>
      </c>
      <c r="AL291" s="160">
        <f>Y291*'Assumptions'!AK66</f>
        <v/>
      </c>
      <c r="AM291" s="160">
        <f>IF('Sites'!$D$7="NM crew",S291*'NM Play'!$B$37*(1+IF(AND(ISNUMBER('NM Play'!$B$25),'NM Play'!$B$25&gt;0),1,0)),"")</f>
        <v/>
      </c>
      <c r="AN291" s="160">
        <f>IF(OR('Sites'!$E$7&lt;0,'Sites'!$E$7&gt;1,'Sites'!$F$7&lt;1,'Sites'!$G$7&lt;'Sites'!$F$7,F291&lt;0,MIN('Sites'!$I$7:'Sites'!$R$7)&lt;0,'Sites'!$L$7&gt;'Sites'!$I$7,'Sites'!$M$7&gt;'Sites'!$J$7,'Sites'!$N$7&gt;'Sites'!$K$7,'Sites'!$Z$7&lt;0,'Sites'!$Z$7&gt;1,MIN('Sites'!$AA$7:'Sites'!$AC$7)&lt;0,S291&gt;F291+0.001),1,0)</f>
        <v/>
      </c>
      <c r="AO291" s="160">
        <f>I291+U291-T291-X291</f>
        <v/>
      </c>
    </row>
    <row r="292" ht="28" customHeight="1">
      <c r="A292" s="4" t="inlineStr">
        <is>
          <t>No QBE</t>
        </is>
      </c>
      <c r="B292" s="4" t="inlineStr">
        <is>
          <t>NEW1</t>
        </is>
      </c>
      <c r="C292" s="160" t="n">
        <v>35</v>
      </c>
      <c r="D292" s="160">
        <f>ROUNDUP(C292/12,0)</f>
        <v/>
      </c>
      <c r="E292" s="160">
        <f>IF(AND('Sites'!$E$7=1,C292&gt;='Sites'!$F$7+'Cases'!$G$8,C292&lt;='Sites'!$G$7),1,0)</f>
        <v/>
      </c>
      <c r="F292" s="160">
        <f>E292*'Assumptions'!AL68</f>
        <v/>
      </c>
      <c r="G292" s="160">
        <f>V291</f>
        <v/>
      </c>
      <c r="H292" s="160">
        <f>W291</f>
        <v/>
      </c>
      <c r="I292" s="160">
        <f>X291</f>
        <v/>
      </c>
      <c r="J292" s="160">
        <f>MAX(0,'Sites'!$K$7-SUM(N282:N291))</f>
        <v/>
      </c>
      <c r="K292" s="160">
        <f>IF('Sites'!$C$7="Own sheets",MIN(ROUNDDOWN(G292/'NM Play'!$B$11,0)+F292*'NM Play'!$B$10/'NM Play'!$B$43,ROUNDDOWN(H292/'NM Play'!$B$12,0)+F292*'NM Play'!$B$10/'NM Play'!$B$44,(F292*'NM Play'!$B$10+ROUNDDOWN(G292/'NM Play'!$B$11,0)*'NM Play'!$B$43+ROUNDDOWN(H292/'NM Play'!$B$12,0)*'NM Play'!$B$44)/('NM Play'!$B$43+'NM Play'!$B$44)),ROUNDDOWN(G292/'NM Play'!$B$11,0)+F292*'NM Play'!$B$10/'NM Play'!$B$43)</f>
        <v/>
      </c>
      <c r="L292" s="160">
        <f>MIN(ROUNDDOWN(G292/'NM Play'!$B$11,0)+F292/('NM Play'!$B$43/'NM Play'!$B$15),ROUNDDOWN(H292/'NM Play'!$B$12,0)+F292/('NM Play'!$B$44/'NM Play'!$B$16),(F292+ROUNDDOWN(G292/'NM Play'!$B$11,0)*'NM Play'!$B$43/'NM Play'!$B$15+ROUNDDOWN(H292/'NM Play'!$B$12,0)*'NM Play'!$B$44/'NM Play'!$B$16)/('NM Play'!$B$43/'NM Play'!$B$15+'NM Play'!$B$44/'NM Play'!$B$16))</f>
        <v/>
      </c>
      <c r="M292" s="160">
        <f>F292*'NM Play'!$B$36</f>
        <v/>
      </c>
      <c r="N292" s="160">
        <f>ROUNDDOWN(MAX(0,MIN(J292,K292:M292)),0)</f>
        <v/>
      </c>
      <c r="O292" s="160">
        <f>ROUNDUP(MAX(0,N292*'NM Play'!$B$11-G292)/'NM Play'!$B$13,0)</f>
        <v/>
      </c>
      <c r="P292" s="160">
        <f>ROUNDUP(MAX(0,N292*'NM Play'!$B$12-H292)/'NM Play'!$B$14,0)</f>
        <v/>
      </c>
      <c r="Q292" s="160">
        <f>(O292+IF('Sites'!$C$7="Own sheets",P292,0))/'NM Play'!$B$10</f>
        <v/>
      </c>
      <c r="R292" s="160">
        <f>O292/'NM Play'!$B$15+P292/'NM Play'!$B$16</f>
        <v/>
      </c>
      <c r="S292" s="160">
        <f>MAX(Q292,R292,N292/'NM Play'!$B$36)</f>
        <v/>
      </c>
      <c r="T292" s="160">
        <f>Q292*'NM Play'!$B$10*'NM Play'!$B$21*(1+'NM Play'!$B$35)</f>
        <v/>
      </c>
      <c r="U292" s="160">
        <f>MAX(0,T292-I292)</f>
        <v/>
      </c>
      <c r="V292" s="160">
        <f>G292+O292*'NM Play'!$B$13-N292*'NM Play'!$B$11</f>
        <v/>
      </c>
      <c r="W292" s="160">
        <f>H292+P292*'NM Play'!$B$14-N292*'NM Play'!$B$12</f>
        <v/>
      </c>
      <c r="X292" s="160">
        <f>I292+U292-T292</f>
        <v/>
      </c>
      <c r="Y292" s="160">
        <f>MIN(N292,MAX(0,ROUNDDOWN('Sites'!$N$7*'Cases'!$E$8,0)-SUM(Y282:Y291)))</f>
        <v/>
      </c>
      <c r="Z292" s="160">
        <f>N292-Y292</f>
        <v/>
      </c>
      <c r="AA292" s="160">
        <f>U292*'NM Play'!$B$22</f>
        <v/>
      </c>
      <c r="AB292" s="160">
        <f>N292*SUM('NM Play'!$B$29:$B$31)</f>
        <v/>
      </c>
      <c r="AC292" s="160">
        <f>IF('Sites'!$C$7="Defy legs",P292*'NM Play'!$B$14/'NM Play'!$B$12*'NM Play'!$B$28,0)</f>
        <v/>
      </c>
      <c r="AD292" s="160">
        <f>Q292*'NM Play'!$B$23</f>
        <v/>
      </c>
      <c r="AE292" s="160">
        <f>S292*SUM('NM Play'!$B$26,'NM Play'!$B$33:$B$34)</f>
        <v/>
      </c>
      <c r="AF292" s="160">
        <f>IF('Sites'!$D$7="NM crew",S292*SUM('NM Play'!$B$24:$B$25),0)</f>
        <v/>
      </c>
      <c r="AG292" s="160">
        <f>IF('Sites'!$D$7="NM crew",S292*'NM Play'!$B$27,0)</f>
        <v/>
      </c>
      <c r="AH292" s="160">
        <f>N292*'Sites'!$Z$7*'NM Play'!$B$32</f>
        <v/>
      </c>
      <c r="AI292" s="160">
        <f>SUM(Y292:Z292)*'Sites'!$R$7</f>
        <v/>
      </c>
      <c r="AJ292" s="160">
        <f>SUM(AA292:AH292)</f>
        <v/>
      </c>
      <c r="AK292" s="160">
        <f>AJ292+(T292-U292)*'NM Play'!$B$22+MIN(G292,N292*'NM Play'!$B$11)/'NM Play'!$B$13*'NM Play'!$B$21*'NM Play'!$B$22+MIN(H292,N292*'NM Play'!$B$12)/'NM Play'!$B$14*IF('Sites'!$C$7="Own sheets",'NM Play'!$B$21*'NM Play'!$B$22,'NM Play'!$B$28*'NM Play'!$B$14/'NM Play'!$B$12)</f>
        <v/>
      </c>
      <c r="AL292" s="160">
        <f>Y292*'Assumptions'!AL66</f>
        <v/>
      </c>
      <c r="AM292" s="160">
        <f>IF('Sites'!$D$7="NM crew",S292*'NM Play'!$B$37*(1+IF(AND(ISNUMBER('NM Play'!$B$25),'NM Play'!$B$25&gt;0),1,0)),"")</f>
        <v/>
      </c>
      <c r="AN292" s="160">
        <f>IF(OR('Sites'!$E$7&lt;0,'Sites'!$E$7&gt;1,'Sites'!$F$7&lt;1,'Sites'!$G$7&lt;'Sites'!$F$7,F292&lt;0,MIN('Sites'!$I$7:'Sites'!$R$7)&lt;0,'Sites'!$L$7&gt;'Sites'!$I$7,'Sites'!$M$7&gt;'Sites'!$J$7,'Sites'!$N$7&gt;'Sites'!$K$7,'Sites'!$Z$7&lt;0,'Sites'!$Z$7&gt;1,MIN('Sites'!$AA$7:'Sites'!$AC$7)&lt;0,S292&gt;F292+0.001),1,0)</f>
        <v/>
      </c>
      <c r="AO292" s="160">
        <f>I292+U292-T292-X292</f>
        <v/>
      </c>
    </row>
    <row r="293" ht="28" customHeight="1">
      <c r="A293" s="4" t="inlineStr">
        <is>
          <t>No QBE</t>
        </is>
      </c>
      <c r="B293" s="4" t="inlineStr">
        <is>
          <t>NEW1</t>
        </is>
      </c>
      <c r="C293" s="160" t="n">
        <v>36</v>
      </c>
      <c r="D293" s="160">
        <f>ROUNDUP(C293/12,0)</f>
        <v/>
      </c>
      <c r="E293" s="160">
        <f>IF(AND('Sites'!$E$7=1,C293&gt;='Sites'!$F$7+'Cases'!$G$8,C293&lt;='Sites'!$G$7),1,0)</f>
        <v/>
      </c>
      <c r="F293" s="160">
        <f>E293*'Assumptions'!AM68</f>
        <v/>
      </c>
      <c r="G293" s="160">
        <f>V292</f>
        <v/>
      </c>
      <c r="H293" s="160">
        <f>W292</f>
        <v/>
      </c>
      <c r="I293" s="160">
        <f>X292</f>
        <v/>
      </c>
      <c r="J293" s="160">
        <f>MAX(0,'Sites'!$K$7-SUM(N282:N292))</f>
        <v/>
      </c>
      <c r="K293" s="160">
        <f>IF('Sites'!$C$7="Own sheets",MIN(ROUNDDOWN(G293/'NM Play'!$B$11,0)+F293*'NM Play'!$B$10/'NM Play'!$B$43,ROUNDDOWN(H293/'NM Play'!$B$12,0)+F293*'NM Play'!$B$10/'NM Play'!$B$44,(F293*'NM Play'!$B$10+ROUNDDOWN(G293/'NM Play'!$B$11,0)*'NM Play'!$B$43+ROUNDDOWN(H293/'NM Play'!$B$12,0)*'NM Play'!$B$44)/('NM Play'!$B$43+'NM Play'!$B$44)),ROUNDDOWN(G293/'NM Play'!$B$11,0)+F293*'NM Play'!$B$10/'NM Play'!$B$43)</f>
        <v/>
      </c>
      <c r="L293" s="160">
        <f>MIN(ROUNDDOWN(G293/'NM Play'!$B$11,0)+F293/('NM Play'!$B$43/'NM Play'!$B$15),ROUNDDOWN(H293/'NM Play'!$B$12,0)+F293/('NM Play'!$B$44/'NM Play'!$B$16),(F293+ROUNDDOWN(G293/'NM Play'!$B$11,0)*'NM Play'!$B$43/'NM Play'!$B$15+ROUNDDOWN(H293/'NM Play'!$B$12,0)*'NM Play'!$B$44/'NM Play'!$B$16)/('NM Play'!$B$43/'NM Play'!$B$15+'NM Play'!$B$44/'NM Play'!$B$16))</f>
        <v/>
      </c>
      <c r="M293" s="160">
        <f>F293*'NM Play'!$B$36</f>
        <v/>
      </c>
      <c r="N293" s="160">
        <f>ROUNDDOWN(MAX(0,MIN(J293,K293:M293)),0)</f>
        <v/>
      </c>
      <c r="O293" s="160">
        <f>ROUNDUP(MAX(0,N293*'NM Play'!$B$11-G293)/'NM Play'!$B$13,0)</f>
        <v/>
      </c>
      <c r="P293" s="160">
        <f>ROUNDUP(MAX(0,N293*'NM Play'!$B$12-H293)/'NM Play'!$B$14,0)</f>
        <v/>
      </c>
      <c r="Q293" s="160">
        <f>(O293+IF('Sites'!$C$7="Own sheets",P293,0))/'NM Play'!$B$10</f>
        <v/>
      </c>
      <c r="R293" s="160">
        <f>O293/'NM Play'!$B$15+P293/'NM Play'!$B$16</f>
        <v/>
      </c>
      <c r="S293" s="160">
        <f>MAX(Q293,R293,N293/'NM Play'!$B$36)</f>
        <v/>
      </c>
      <c r="T293" s="160">
        <f>Q293*'NM Play'!$B$10*'NM Play'!$B$21*(1+'NM Play'!$B$35)</f>
        <v/>
      </c>
      <c r="U293" s="160">
        <f>MAX(0,T293-I293)</f>
        <v/>
      </c>
      <c r="V293" s="160">
        <f>G293+O293*'NM Play'!$B$13-N293*'NM Play'!$B$11</f>
        <v/>
      </c>
      <c r="W293" s="160">
        <f>H293+P293*'NM Play'!$B$14-N293*'NM Play'!$B$12</f>
        <v/>
      </c>
      <c r="X293" s="160">
        <f>I293+U293-T293</f>
        <v/>
      </c>
      <c r="Y293" s="160">
        <f>MIN(N293,MAX(0,ROUNDDOWN('Sites'!$N$7*'Cases'!$E$8,0)-SUM(Y282:Y292)))</f>
        <v/>
      </c>
      <c r="Z293" s="160">
        <f>N293-Y293</f>
        <v/>
      </c>
      <c r="AA293" s="160">
        <f>U293*'NM Play'!$B$22</f>
        <v/>
      </c>
      <c r="AB293" s="160">
        <f>N293*SUM('NM Play'!$B$29:$B$31)</f>
        <v/>
      </c>
      <c r="AC293" s="160">
        <f>IF('Sites'!$C$7="Defy legs",P293*'NM Play'!$B$14/'NM Play'!$B$12*'NM Play'!$B$28,0)</f>
        <v/>
      </c>
      <c r="AD293" s="160">
        <f>Q293*'NM Play'!$B$23</f>
        <v/>
      </c>
      <c r="AE293" s="160">
        <f>S293*SUM('NM Play'!$B$26,'NM Play'!$B$33:$B$34)</f>
        <v/>
      </c>
      <c r="AF293" s="160">
        <f>IF('Sites'!$D$7="NM crew",S293*SUM('NM Play'!$B$24:$B$25),0)</f>
        <v/>
      </c>
      <c r="AG293" s="160">
        <f>IF('Sites'!$D$7="NM crew",S293*'NM Play'!$B$27,0)</f>
        <v/>
      </c>
      <c r="AH293" s="160">
        <f>N293*'Sites'!$Z$7*'NM Play'!$B$32</f>
        <v/>
      </c>
      <c r="AI293" s="160">
        <f>SUM(Y293:Z293)*'Sites'!$R$7</f>
        <v/>
      </c>
      <c r="AJ293" s="160">
        <f>SUM(AA293:AH293)</f>
        <v/>
      </c>
      <c r="AK293" s="160">
        <f>AJ293+(T293-U293)*'NM Play'!$B$22+MIN(G293,N293*'NM Play'!$B$11)/'NM Play'!$B$13*'NM Play'!$B$21*'NM Play'!$B$22+MIN(H293,N293*'NM Play'!$B$12)/'NM Play'!$B$14*IF('Sites'!$C$7="Own sheets",'NM Play'!$B$21*'NM Play'!$B$22,'NM Play'!$B$28*'NM Play'!$B$14/'NM Play'!$B$12)</f>
        <v/>
      </c>
      <c r="AL293" s="160">
        <f>Y293*'Assumptions'!AM66</f>
        <v/>
      </c>
      <c r="AM293" s="160">
        <f>IF('Sites'!$D$7="NM crew",S293*'NM Play'!$B$37*(1+IF(AND(ISNUMBER('NM Play'!$B$25),'NM Play'!$B$25&gt;0),1,0)),"")</f>
        <v/>
      </c>
      <c r="AN293" s="160">
        <f>IF(OR('Sites'!$E$7&lt;0,'Sites'!$E$7&gt;1,'Sites'!$F$7&lt;1,'Sites'!$G$7&lt;'Sites'!$F$7,F293&lt;0,MIN('Sites'!$I$7:'Sites'!$R$7)&lt;0,'Sites'!$L$7&gt;'Sites'!$I$7,'Sites'!$M$7&gt;'Sites'!$J$7,'Sites'!$N$7&gt;'Sites'!$K$7,'Sites'!$Z$7&lt;0,'Sites'!$Z$7&gt;1,MIN('Sites'!$AA$7:'Sites'!$AC$7)&lt;0,S293&gt;F293+0.001),1,0)</f>
        <v/>
      </c>
      <c r="AO293" s="160">
        <f>I293+U293-T293-X293</f>
        <v/>
      </c>
    </row>
    <row r="294" ht="28" customHeight="1">
      <c r="A294" s="4" t="inlineStr">
        <is>
          <t>No QBE</t>
        </is>
      </c>
      <c r="B294" s="4" t="inlineStr">
        <is>
          <t>NEW2</t>
        </is>
      </c>
      <c r="C294" s="160" t="n">
        <v>1</v>
      </c>
      <c r="D294" s="160">
        <f>ROUNDUP(C294/12,0)</f>
        <v/>
      </c>
      <c r="E294" s="160">
        <f>IF(AND('Sites'!$E$8*'Cases'!$F$8=1,C294&gt;='Sites'!$F$8+'Cases'!$G$8,C294&lt;='Sites'!$G$8),1,0)</f>
        <v/>
      </c>
      <c r="F294" s="160">
        <f>E294*'Assumptions'!D69</f>
        <v/>
      </c>
      <c r="G294" s="160">
        <f>'Sites'!$AA$8</f>
        <v/>
      </c>
      <c r="H294" s="160">
        <f>'Sites'!$AB$8</f>
        <v/>
      </c>
      <c r="I294" s="160">
        <f>'Sites'!$AC$8</f>
        <v/>
      </c>
      <c r="J294" s="160">
        <f>MAX(0,'Sites'!$I$8-0)</f>
        <v/>
      </c>
      <c r="K294" s="160">
        <f>IF('Sites'!$C$8="Own sheets",MIN(ROUNDDOWN(G294/'NM Play'!$B$11,0)+F294*'NM Play'!$B$10/'NM Play'!$B$43,ROUNDDOWN(H294/'NM Play'!$B$12,0)+F294*'NM Play'!$B$10/'NM Play'!$B$44,(F294*'NM Play'!$B$10+ROUNDDOWN(G294/'NM Play'!$B$11,0)*'NM Play'!$B$43+ROUNDDOWN(H294/'NM Play'!$B$12,0)*'NM Play'!$B$44)/('NM Play'!$B$43+'NM Play'!$B$44)),ROUNDDOWN(G294/'NM Play'!$B$11,0)+F294*'NM Play'!$B$10/'NM Play'!$B$43)</f>
        <v/>
      </c>
      <c r="L294" s="160">
        <f>MIN(ROUNDDOWN(G294/'NM Play'!$B$11,0)+F294/('NM Play'!$B$43/'NM Play'!$B$15),ROUNDDOWN(H294/'NM Play'!$B$12,0)+F294/('NM Play'!$B$44/'NM Play'!$B$16),(F294+ROUNDDOWN(G294/'NM Play'!$B$11,0)*'NM Play'!$B$43/'NM Play'!$B$15+ROUNDDOWN(H294/'NM Play'!$B$12,0)*'NM Play'!$B$44/'NM Play'!$B$16)/('NM Play'!$B$43/'NM Play'!$B$15+'NM Play'!$B$44/'NM Play'!$B$16))</f>
        <v/>
      </c>
      <c r="M294" s="160">
        <f>F294*'NM Play'!$B$36</f>
        <v/>
      </c>
      <c r="N294" s="160">
        <f>ROUNDDOWN(MAX(0,MIN(J294,K294:M294)),0)</f>
        <v/>
      </c>
      <c r="O294" s="160">
        <f>ROUNDUP(MAX(0,N294*'NM Play'!$B$11-G294)/'NM Play'!$B$13,0)</f>
        <v/>
      </c>
      <c r="P294" s="160">
        <f>ROUNDUP(MAX(0,N294*'NM Play'!$B$12-H294)/'NM Play'!$B$14,0)</f>
        <v/>
      </c>
      <c r="Q294" s="160">
        <f>(O294+IF('Sites'!$C$8="Own sheets",P294,0))/'NM Play'!$B$10</f>
        <v/>
      </c>
      <c r="R294" s="160">
        <f>O294/'NM Play'!$B$15+P294/'NM Play'!$B$16</f>
        <v/>
      </c>
      <c r="S294" s="160">
        <f>MAX(Q294,R294,N294/'NM Play'!$B$36)</f>
        <v/>
      </c>
      <c r="T294" s="160">
        <f>Q294*'NM Play'!$B$10*'NM Play'!$B$21*(1+'NM Play'!$B$35)</f>
        <v/>
      </c>
      <c r="U294" s="160">
        <f>MAX(0,T294-I294)</f>
        <v/>
      </c>
      <c r="V294" s="160">
        <f>G294+O294*'NM Play'!$B$13-N294*'NM Play'!$B$11</f>
        <v/>
      </c>
      <c r="W294" s="160">
        <f>H294+P294*'NM Play'!$B$14-N294*'NM Play'!$B$12</f>
        <v/>
      </c>
      <c r="X294" s="160">
        <f>I294+U294-T294</f>
        <v/>
      </c>
      <c r="Y294" s="160">
        <f>MIN(N294,MAX(0,ROUNDDOWN('Sites'!$L$8*'Cases'!$E$8,0)-0))</f>
        <v/>
      </c>
      <c r="Z294" s="160">
        <f>N294-Y294</f>
        <v/>
      </c>
      <c r="AA294" s="160">
        <f>U294*'NM Play'!$B$22</f>
        <v/>
      </c>
      <c r="AB294" s="160">
        <f>N294*SUM('NM Play'!$B$29:$B$31)</f>
        <v/>
      </c>
      <c r="AC294" s="160">
        <f>IF('Sites'!$C$8="Defy legs",P294*'NM Play'!$B$14/'NM Play'!$B$12*'NM Play'!$B$28,0)</f>
        <v/>
      </c>
      <c r="AD294" s="160">
        <f>Q294*'NM Play'!$B$23</f>
        <v/>
      </c>
      <c r="AE294" s="160">
        <f>S294*SUM('NM Play'!$B$26,'NM Play'!$B$33:$B$34)</f>
        <v/>
      </c>
      <c r="AF294" s="160">
        <f>IF('Sites'!$D$8="NM crew",S294*SUM('NM Play'!$B$24:$B$25),0)</f>
        <v/>
      </c>
      <c r="AG294" s="160">
        <f>IF('Sites'!$D$8="NM crew",S294*'NM Play'!$B$27,0)</f>
        <v/>
      </c>
      <c r="AH294" s="160">
        <f>N294*'Sites'!$Z$8*'NM Play'!$B$32</f>
        <v/>
      </c>
      <c r="AI294" s="160">
        <f>SUM(Y294:Z294)*'Sites'!$R$8</f>
        <v/>
      </c>
      <c r="AJ294" s="160">
        <f>SUM(AA294:AH294)</f>
        <v/>
      </c>
      <c r="AK294" s="160">
        <f>AJ294+(T294-U294)*'NM Play'!$B$22+MIN(G294,N294*'NM Play'!$B$11)/'NM Play'!$B$13*'NM Play'!$B$21*'NM Play'!$B$22+MIN(H294,N294*'NM Play'!$B$12)/'NM Play'!$B$14*IF('Sites'!$C$8="Own sheets",'NM Play'!$B$21*'NM Play'!$B$22,'NM Play'!$B$28*'NM Play'!$B$14/'NM Play'!$B$12)</f>
        <v/>
      </c>
      <c r="AL294" s="160">
        <f>Y294*'Assumptions'!D66</f>
        <v/>
      </c>
      <c r="AM294" s="160">
        <f>IF('Sites'!$D$8="NM crew",S294*'NM Play'!$B$37*(1+IF(AND(ISNUMBER('NM Play'!$B$25),'NM Play'!$B$25&gt;0),1,0)),"")</f>
        <v/>
      </c>
      <c r="AN294" s="160">
        <f>IF(OR('Sites'!$E$8&lt;0,'Sites'!$E$8&gt;1,'Sites'!$F$8&lt;1,'Sites'!$G$8&lt;'Sites'!$F$8,F294&lt;0,MIN('Sites'!$I$8:'Sites'!$R$8)&lt;0,'Sites'!$L$8&gt;'Sites'!$I$8,'Sites'!$M$8&gt;'Sites'!$J$8,'Sites'!$N$8&gt;'Sites'!$K$8,'Sites'!$Z$8&lt;0,'Sites'!$Z$8&gt;1,MIN('Sites'!$AA$8:'Sites'!$AC$8)&lt;0,S294&gt;F294+0.001),1,0)</f>
        <v/>
      </c>
      <c r="AO294" s="160">
        <f>I294+U294-T294-X294</f>
        <v/>
      </c>
    </row>
    <row r="295" ht="28" customHeight="1">
      <c r="A295" s="4" t="inlineStr">
        <is>
          <t>No QBE</t>
        </is>
      </c>
      <c r="B295" s="4" t="inlineStr">
        <is>
          <t>NEW2</t>
        </is>
      </c>
      <c r="C295" s="160" t="n">
        <v>2</v>
      </c>
      <c r="D295" s="160">
        <f>ROUNDUP(C295/12,0)</f>
        <v/>
      </c>
      <c r="E295" s="160">
        <f>IF(AND('Sites'!$E$8*'Cases'!$F$8=1,C295&gt;='Sites'!$F$8+'Cases'!$G$8,C295&lt;='Sites'!$G$8),1,0)</f>
        <v/>
      </c>
      <c r="F295" s="160">
        <f>E295*'Assumptions'!E69</f>
        <v/>
      </c>
      <c r="G295" s="160">
        <f>V294</f>
        <v/>
      </c>
      <c r="H295" s="160">
        <f>W294</f>
        <v/>
      </c>
      <c r="I295" s="160">
        <f>X294</f>
        <v/>
      </c>
      <c r="J295" s="160">
        <f>MAX(0,'Sites'!$I$8-SUM(N294:N294))</f>
        <v/>
      </c>
      <c r="K295" s="160">
        <f>IF('Sites'!$C$8="Own sheets",MIN(ROUNDDOWN(G295/'NM Play'!$B$11,0)+F295*'NM Play'!$B$10/'NM Play'!$B$43,ROUNDDOWN(H295/'NM Play'!$B$12,0)+F295*'NM Play'!$B$10/'NM Play'!$B$44,(F295*'NM Play'!$B$10+ROUNDDOWN(G295/'NM Play'!$B$11,0)*'NM Play'!$B$43+ROUNDDOWN(H295/'NM Play'!$B$12,0)*'NM Play'!$B$44)/('NM Play'!$B$43+'NM Play'!$B$44)),ROUNDDOWN(G295/'NM Play'!$B$11,0)+F295*'NM Play'!$B$10/'NM Play'!$B$43)</f>
        <v/>
      </c>
      <c r="L295" s="160">
        <f>MIN(ROUNDDOWN(G295/'NM Play'!$B$11,0)+F295/('NM Play'!$B$43/'NM Play'!$B$15),ROUNDDOWN(H295/'NM Play'!$B$12,0)+F295/('NM Play'!$B$44/'NM Play'!$B$16),(F295+ROUNDDOWN(G295/'NM Play'!$B$11,0)*'NM Play'!$B$43/'NM Play'!$B$15+ROUNDDOWN(H295/'NM Play'!$B$12,0)*'NM Play'!$B$44/'NM Play'!$B$16)/('NM Play'!$B$43/'NM Play'!$B$15+'NM Play'!$B$44/'NM Play'!$B$16))</f>
        <v/>
      </c>
      <c r="M295" s="160">
        <f>F295*'NM Play'!$B$36</f>
        <v/>
      </c>
      <c r="N295" s="160">
        <f>ROUNDDOWN(MAX(0,MIN(J295,K295:M295)),0)</f>
        <v/>
      </c>
      <c r="O295" s="160">
        <f>ROUNDUP(MAX(0,N295*'NM Play'!$B$11-G295)/'NM Play'!$B$13,0)</f>
        <v/>
      </c>
      <c r="P295" s="160">
        <f>ROUNDUP(MAX(0,N295*'NM Play'!$B$12-H295)/'NM Play'!$B$14,0)</f>
        <v/>
      </c>
      <c r="Q295" s="160">
        <f>(O295+IF('Sites'!$C$8="Own sheets",P295,0))/'NM Play'!$B$10</f>
        <v/>
      </c>
      <c r="R295" s="160">
        <f>O295/'NM Play'!$B$15+P295/'NM Play'!$B$16</f>
        <v/>
      </c>
      <c r="S295" s="160">
        <f>MAX(Q295,R295,N295/'NM Play'!$B$36)</f>
        <v/>
      </c>
      <c r="T295" s="160">
        <f>Q295*'NM Play'!$B$10*'NM Play'!$B$21*(1+'NM Play'!$B$35)</f>
        <v/>
      </c>
      <c r="U295" s="160">
        <f>MAX(0,T295-I295)</f>
        <v/>
      </c>
      <c r="V295" s="160">
        <f>G295+O295*'NM Play'!$B$13-N295*'NM Play'!$B$11</f>
        <v/>
      </c>
      <c r="W295" s="160">
        <f>H295+P295*'NM Play'!$B$14-N295*'NM Play'!$B$12</f>
        <v/>
      </c>
      <c r="X295" s="160">
        <f>I295+U295-T295</f>
        <v/>
      </c>
      <c r="Y295" s="160">
        <f>MIN(N295,MAX(0,ROUNDDOWN('Sites'!$L$8*'Cases'!$E$8,0)-SUM(Y294:Y294)))</f>
        <v/>
      </c>
      <c r="Z295" s="160">
        <f>N295-Y295</f>
        <v/>
      </c>
      <c r="AA295" s="160">
        <f>U295*'NM Play'!$B$22</f>
        <v/>
      </c>
      <c r="AB295" s="160">
        <f>N295*SUM('NM Play'!$B$29:$B$31)</f>
        <v/>
      </c>
      <c r="AC295" s="160">
        <f>IF('Sites'!$C$8="Defy legs",P295*'NM Play'!$B$14/'NM Play'!$B$12*'NM Play'!$B$28,0)</f>
        <v/>
      </c>
      <c r="AD295" s="160">
        <f>Q295*'NM Play'!$B$23</f>
        <v/>
      </c>
      <c r="AE295" s="160">
        <f>S295*SUM('NM Play'!$B$26,'NM Play'!$B$33:$B$34)</f>
        <v/>
      </c>
      <c r="AF295" s="160">
        <f>IF('Sites'!$D$8="NM crew",S295*SUM('NM Play'!$B$24:$B$25),0)</f>
        <v/>
      </c>
      <c r="AG295" s="160">
        <f>IF('Sites'!$D$8="NM crew",S295*'NM Play'!$B$27,0)</f>
        <v/>
      </c>
      <c r="AH295" s="160">
        <f>N295*'Sites'!$Z$8*'NM Play'!$B$32</f>
        <v/>
      </c>
      <c r="AI295" s="160">
        <f>SUM(Y295:Z295)*'Sites'!$R$8</f>
        <v/>
      </c>
      <c r="AJ295" s="160">
        <f>SUM(AA295:AH295)</f>
        <v/>
      </c>
      <c r="AK295" s="160">
        <f>AJ295+(T295-U295)*'NM Play'!$B$22+MIN(G295,N295*'NM Play'!$B$11)/'NM Play'!$B$13*'NM Play'!$B$21*'NM Play'!$B$22+MIN(H295,N295*'NM Play'!$B$12)/'NM Play'!$B$14*IF('Sites'!$C$8="Own sheets",'NM Play'!$B$21*'NM Play'!$B$22,'NM Play'!$B$28*'NM Play'!$B$14/'NM Play'!$B$12)</f>
        <v/>
      </c>
      <c r="AL295" s="160">
        <f>Y295*'Assumptions'!E66</f>
        <v/>
      </c>
      <c r="AM295" s="160">
        <f>IF('Sites'!$D$8="NM crew",S295*'NM Play'!$B$37*(1+IF(AND(ISNUMBER('NM Play'!$B$25),'NM Play'!$B$25&gt;0),1,0)),"")</f>
        <v/>
      </c>
      <c r="AN295" s="160">
        <f>IF(OR('Sites'!$E$8&lt;0,'Sites'!$E$8&gt;1,'Sites'!$F$8&lt;1,'Sites'!$G$8&lt;'Sites'!$F$8,F295&lt;0,MIN('Sites'!$I$8:'Sites'!$R$8)&lt;0,'Sites'!$L$8&gt;'Sites'!$I$8,'Sites'!$M$8&gt;'Sites'!$J$8,'Sites'!$N$8&gt;'Sites'!$K$8,'Sites'!$Z$8&lt;0,'Sites'!$Z$8&gt;1,MIN('Sites'!$AA$8:'Sites'!$AC$8)&lt;0,S295&gt;F295+0.001),1,0)</f>
        <v/>
      </c>
      <c r="AO295" s="160">
        <f>I295+U295-T295-X295</f>
        <v/>
      </c>
    </row>
    <row r="296" ht="28" customHeight="1">
      <c r="A296" s="4" t="inlineStr">
        <is>
          <t>No QBE</t>
        </is>
      </c>
      <c r="B296" s="4" t="inlineStr">
        <is>
          <t>NEW2</t>
        </is>
      </c>
      <c r="C296" s="160" t="n">
        <v>3</v>
      </c>
      <c r="D296" s="160">
        <f>ROUNDUP(C296/12,0)</f>
        <v/>
      </c>
      <c r="E296" s="160">
        <f>IF(AND('Sites'!$E$8*'Cases'!$F$8=1,C296&gt;='Sites'!$F$8+'Cases'!$G$8,C296&lt;='Sites'!$G$8),1,0)</f>
        <v/>
      </c>
      <c r="F296" s="160">
        <f>E296*'Assumptions'!F69</f>
        <v/>
      </c>
      <c r="G296" s="160">
        <f>V295</f>
        <v/>
      </c>
      <c r="H296" s="160">
        <f>W295</f>
        <v/>
      </c>
      <c r="I296" s="160">
        <f>X295</f>
        <v/>
      </c>
      <c r="J296" s="160">
        <f>MAX(0,'Sites'!$I$8-SUM(N294:N295))</f>
        <v/>
      </c>
      <c r="K296" s="160">
        <f>IF('Sites'!$C$8="Own sheets",MIN(ROUNDDOWN(G296/'NM Play'!$B$11,0)+F296*'NM Play'!$B$10/'NM Play'!$B$43,ROUNDDOWN(H296/'NM Play'!$B$12,0)+F296*'NM Play'!$B$10/'NM Play'!$B$44,(F296*'NM Play'!$B$10+ROUNDDOWN(G296/'NM Play'!$B$11,0)*'NM Play'!$B$43+ROUNDDOWN(H296/'NM Play'!$B$12,0)*'NM Play'!$B$44)/('NM Play'!$B$43+'NM Play'!$B$44)),ROUNDDOWN(G296/'NM Play'!$B$11,0)+F296*'NM Play'!$B$10/'NM Play'!$B$43)</f>
        <v/>
      </c>
      <c r="L296" s="160">
        <f>MIN(ROUNDDOWN(G296/'NM Play'!$B$11,0)+F296/('NM Play'!$B$43/'NM Play'!$B$15),ROUNDDOWN(H296/'NM Play'!$B$12,0)+F296/('NM Play'!$B$44/'NM Play'!$B$16),(F296+ROUNDDOWN(G296/'NM Play'!$B$11,0)*'NM Play'!$B$43/'NM Play'!$B$15+ROUNDDOWN(H296/'NM Play'!$B$12,0)*'NM Play'!$B$44/'NM Play'!$B$16)/('NM Play'!$B$43/'NM Play'!$B$15+'NM Play'!$B$44/'NM Play'!$B$16))</f>
        <v/>
      </c>
      <c r="M296" s="160">
        <f>F296*'NM Play'!$B$36</f>
        <v/>
      </c>
      <c r="N296" s="160">
        <f>ROUNDDOWN(MAX(0,MIN(J296,K296:M296)),0)</f>
        <v/>
      </c>
      <c r="O296" s="160">
        <f>ROUNDUP(MAX(0,N296*'NM Play'!$B$11-G296)/'NM Play'!$B$13,0)</f>
        <v/>
      </c>
      <c r="P296" s="160">
        <f>ROUNDUP(MAX(0,N296*'NM Play'!$B$12-H296)/'NM Play'!$B$14,0)</f>
        <v/>
      </c>
      <c r="Q296" s="160">
        <f>(O296+IF('Sites'!$C$8="Own sheets",P296,0))/'NM Play'!$B$10</f>
        <v/>
      </c>
      <c r="R296" s="160">
        <f>O296/'NM Play'!$B$15+P296/'NM Play'!$B$16</f>
        <v/>
      </c>
      <c r="S296" s="160">
        <f>MAX(Q296,R296,N296/'NM Play'!$B$36)</f>
        <v/>
      </c>
      <c r="T296" s="160">
        <f>Q296*'NM Play'!$B$10*'NM Play'!$B$21*(1+'NM Play'!$B$35)</f>
        <v/>
      </c>
      <c r="U296" s="160">
        <f>MAX(0,T296-I296)</f>
        <v/>
      </c>
      <c r="V296" s="160">
        <f>G296+O296*'NM Play'!$B$13-N296*'NM Play'!$B$11</f>
        <v/>
      </c>
      <c r="W296" s="160">
        <f>H296+P296*'NM Play'!$B$14-N296*'NM Play'!$B$12</f>
        <v/>
      </c>
      <c r="X296" s="160">
        <f>I296+U296-T296</f>
        <v/>
      </c>
      <c r="Y296" s="160">
        <f>MIN(N296,MAX(0,ROUNDDOWN('Sites'!$L$8*'Cases'!$E$8,0)-SUM(Y294:Y295)))</f>
        <v/>
      </c>
      <c r="Z296" s="160">
        <f>N296-Y296</f>
        <v/>
      </c>
      <c r="AA296" s="160">
        <f>U296*'NM Play'!$B$22</f>
        <v/>
      </c>
      <c r="AB296" s="160">
        <f>N296*SUM('NM Play'!$B$29:$B$31)</f>
        <v/>
      </c>
      <c r="AC296" s="160">
        <f>IF('Sites'!$C$8="Defy legs",P296*'NM Play'!$B$14/'NM Play'!$B$12*'NM Play'!$B$28,0)</f>
        <v/>
      </c>
      <c r="AD296" s="160">
        <f>Q296*'NM Play'!$B$23</f>
        <v/>
      </c>
      <c r="AE296" s="160">
        <f>S296*SUM('NM Play'!$B$26,'NM Play'!$B$33:$B$34)</f>
        <v/>
      </c>
      <c r="AF296" s="160">
        <f>IF('Sites'!$D$8="NM crew",S296*SUM('NM Play'!$B$24:$B$25),0)</f>
        <v/>
      </c>
      <c r="AG296" s="160">
        <f>IF('Sites'!$D$8="NM crew",S296*'NM Play'!$B$27,0)</f>
        <v/>
      </c>
      <c r="AH296" s="160">
        <f>N296*'Sites'!$Z$8*'NM Play'!$B$32</f>
        <v/>
      </c>
      <c r="AI296" s="160">
        <f>SUM(Y296:Z296)*'Sites'!$R$8</f>
        <v/>
      </c>
      <c r="AJ296" s="160">
        <f>SUM(AA296:AH296)</f>
        <v/>
      </c>
      <c r="AK296" s="160">
        <f>AJ296+(T296-U296)*'NM Play'!$B$22+MIN(G296,N296*'NM Play'!$B$11)/'NM Play'!$B$13*'NM Play'!$B$21*'NM Play'!$B$22+MIN(H296,N296*'NM Play'!$B$12)/'NM Play'!$B$14*IF('Sites'!$C$8="Own sheets",'NM Play'!$B$21*'NM Play'!$B$22,'NM Play'!$B$28*'NM Play'!$B$14/'NM Play'!$B$12)</f>
        <v/>
      </c>
      <c r="AL296" s="160">
        <f>Y296*'Assumptions'!F66</f>
        <v/>
      </c>
      <c r="AM296" s="160">
        <f>IF('Sites'!$D$8="NM crew",S296*'NM Play'!$B$37*(1+IF(AND(ISNUMBER('NM Play'!$B$25),'NM Play'!$B$25&gt;0),1,0)),"")</f>
        <v/>
      </c>
      <c r="AN296" s="160">
        <f>IF(OR('Sites'!$E$8&lt;0,'Sites'!$E$8&gt;1,'Sites'!$F$8&lt;1,'Sites'!$G$8&lt;'Sites'!$F$8,F296&lt;0,MIN('Sites'!$I$8:'Sites'!$R$8)&lt;0,'Sites'!$L$8&gt;'Sites'!$I$8,'Sites'!$M$8&gt;'Sites'!$J$8,'Sites'!$N$8&gt;'Sites'!$K$8,'Sites'!$Z$8&lt;0,'Sites'!$Z$8&gt;1,MIN('Sites'!$AA$8:'Sites'!$AC$8)&lt;0,S296&gt;F296+0.001),1,0)</f>
        <v/>
      </c>
      <c r="AO296" s="160">
        <f>I296+U296-T296-X296</f>
        <v/>
      </c>
    </row>
    <row r="297" ht="28" customHeight="1">
      <c r="A297" s="4" t="inlineStr">
        <is>
          <t>No QBE</t>
        </is>
      </c>
      <c r="B297" s="4" t="inlineStr">
        <is>
          <t>NEW2</t>
        </is>
      </c>
      <c r="C297" s="160" t="n">
        <v>4</v>
      </c>
      <c r="D297" s="160">
        <f>ROUNDUP(C297/12,0)</f>
        <v/>
      </c>
      <c r="E297" s="160">
        <f>IF(AND('Sites'!$E$8*'Cases'!$F$8=1,C297&gt;='Sites'!$F$8+'Cases'!$G$8,C297&lt;='Sites'!$G$8),1,0)</f>
        <v/>
      </c>
      <c r="F297" s="160">
        <f>E297*'Assumptions'!G69</f>
        <v/>
      </c>
      <c r="G297" s="160">
        <f>V296</f>
        <v/>
      </c>
      <c r="H297" s="160">
        <f>W296</f>
        <v/>
      </c>
      <c r="I297" s="160">
        <f>X296</f>
        <v/>
      </c>
      <c r="J297" s="160">
        <f>MAX(0,'Sites'!$I$8-SUM(N294:N296))</f>
        <v/>
      </c>
      <c r="K297" s="160">
        <f>IF('Sites'!$C$8="Own sheets",MIN(ROUNDDOWN(G297/'NM Play'!$B$11,0)+F297*'NM Play'!$B$10/'NM Play'!$B$43,ROUNDDOWN(H297/'NM Play'!$B$12,0)+F297*'NM Play'!$B$10/'NM Play'!$B$44,(F297*'NM Play'!$B$10+ROUNDDOWN(G297/'NM Play'!$B$11,0)*'NM Play'!$B$43+ROUNDDOWN(H297/'NM Play'!$B$12,0)*'NM Play'!$B$44)/('NM Play'!$B$43+'NM Play'!$B$44)),ROUNDDOWN(G297/'NM Play'!$B$11,0)+F297*'NM Play'!$B$10/'NM Play'!$B$43)</f>
        <v/>
      </c>
      <c r="L297" s="160">
        <f>MIN(ROUNDDOWN(G297/'NM Play'!$B$11,0)+F297/('NM Play'!$B$43/'NM Play'!$B$15),ROUNDDOWN(H297/'NM Play'!$B$12,0)+F297/('NM Play'!$B$44/'NM Play'!$B$16),(F297+ROUNDDOWN(G297/'NM Play'!$B$11,0)*'NM Play'!$B$43/'NM Play'!$B$15+ROUNDDOWN(H297/'NM Play'!$B$12,0)*'NM Play'!$B$44/'NM Play'!$B$16)/('NM Play'!$B$43/'NM Play'!$B$15+'NM Play'!$B$44/'NM Play'!$B$16))</f>
        <v/>
      </c>
      <c r="M297" s="160">
        <f>F297*'NM Play'!$B$36</f>
        <v/>
      </c>
      <c r="N297" s="160">
        <f>ROUNDDOWN(MAX(0,MIN(J297,K297:M297)),0)</f>
        <v/>
      </c>
      <c r="O297" s="160">
        <f>ROUNDUP(MAX(0,N297*'NM Play'!$B$11-G297)/'NM Play'!$B$13,0)</f>
        <v/>
      </c>
      <c r="P297" s="160">
        <f>ROUNDUP(MAX(0,N297*'NM Play'!$B$12-H297)/'NM Play'!$B$14,0)</f>
        <v/>
      </c>
      <c r="Q297" s="160">
        <f>(O297+IF('Sites'!$C$8="Own sheets",P297,0))/'NM Play'!$B$10</f>
        <v/>
      </c>
      <c r="R297" s="160">
        <f>O297/'NM Play'!$B$15+P297/'NM Play'!$B$16</f>
        <v/>
      </c>
      <c r="S297" s="160">
        <f>MAX(Q297,R297,N297/'NM Play'!$B$36)</f>
        <v/>
      </c>
      <c r="T297" s="160">
        <f>Q297*'NM Play'!$B$10*'NM Play'!$B$21*(1+'NM Play'!$B$35)</f>
        <v/>
      </c>
      <c r="U297" s="160">
        <f>MAX(0,T297-I297)</f>
        <v/>
      </c>
      <c r="V297" s="160">
        <f>G297+O297*'NM Play'!$B$13-N297*'NM Play'!$B$11</f>
        <v/>
      </c>
      <c r="W297" s="160">
        <f>H297+P297*'NM Play'!$B$14-N297*'NM Play'!$B$12</f>
        <v/>
      </c>
      <c r="X297" s="160">
        <f>I297+U297-T297</f>
        <v/>
      </c>
      <c r="Y297" s="160">
        <f>MIN(N297,MAX(0,ROUNDDOWN('Sites'!$L$8*'Cases'!$E$8,0)-SUM(Y294:Y296)))</f>
        <v/>
      </c>
      <c r="Z297" s="160">
        <f>N297-Y297</f>
        <v/>
      </c>
      <c r="AA297" s="160">
        <f>U297*'NM Play'!$B$22</f>
        <v/>
      </c>
      <c r="AB297" s="160">
        <f>N297*SUM('NM Play'!$B$29:$B$31)</f>
        <v/>
      </c>
      <c r="AC297" s="160">
        <f>IF('Sites'!$C$8="Defy legs",P297*'NM Play'!$B$14/'NM Play'!$B$12*'NM Play'!$B$28,0)</f>
        <v/>
      </c>
      <c r="AD297" s="160">
        <f>Q297*'NM Play'!$B$23</f>
        <v/>
      </c>
      <c r="AE297" s="160">
        <f>S297*SUM('NM Play'!$B$26,'NM Play'!$B$33:$B$34)</f>
        <v/>
      </c>
      <c r="AF297" s="160">
        <f>IF('Sites'!$D$8="NM crew",S297*SUM('NM Play'!$B$24:$B$25),0)</f>
        <v/>
      </c>
      <c r="AG297" s="160">
        <f>IF('Sites'!$D$8="NM crew",S297*'NM Play'!$B$27,0)</f>
        <v/>
      </c>
      <c r="AH297" s="160">
        <f>N297*'Sites'!$Z$8*'NM Play'!$B$32</f>
        <v/>
      </c>
      <c r="AI297" s="160">
        <f>SUM(Y297:Z297)*'Sites'!$R$8</f>
        <v/>
      </c>
      <c r="AJ297" s="160">
        <f>SUM(AA297:AH297)</f>
        <v/>
      </c>
      <c r="AK297" s="160">
        <f>AJ297+(T297-U297)*'NM Play'!$B$22+MIN(G297,N297*'NM Play'!$B$11)/'NM Play'!$B$13*'NM Play'!$B$21*'NM Play'!$B$22+MIN(H297,N297*'NM Play'!$B$12)/'NM Play'!$B$14*IF('Sites'!$C$8="Own sheets",'NM Play'!$B$21*'NM Play'!$B$22,'NM Play'!$B$28*'NM Play'!$B$14/'NM Play'!$B$12)</f>
        <v/>
      </c>
      <c r="AL297" s="160">
        <f>Y297*'Assumptions'!G66</f>
        <v/>
      </c>
      <c r="AM297" s="160">
        <f>IF('Sites'!$D$8="NM crew",S297*'NM Play'!$B$37*(1+IF(AND(ISNUMBER('NM Play'!$B$25),'NM Play'!$B$25&gt;0),1,0)),"")</f>
        <v/>
      </c>
      <c r="AN297" s="160">
        <f>IF(OR('Sites'!$E$8&lt;0,'Sites'!$E$8&gt;1,'Sites'!$F$8&lt;1,'Sites'!$G$8&lt;'Sites'!$F$8,F297&lt;0,MIN('Sites'!$I$8:'Sites'!$R$8)&lt;0,'Sites'!$L$8&gt;'Sites'!$I$8,'Sites'!$M$8&gt;'Sites'!$J$8,'Sites'!$N$8&gt;'Sites'!$K$8,'Sites'!$Z$8&lt;0,'Sites'!$Z$8&gt;1,MIN('Sites'!$AA$8:'Sites'!$AC$8)&lt;0,S297&gt;F297+0.001),1,0)</f>
        <v/>
      </c>
      <c r="AO297" s="160">
        <f>I297+U297-T297-X297</f>
        <v/>
      </c>
    </row>
    <row r="298" ht="28" customHeight="1">
      <c r="A298" s="4" t="inlineStr">
        <is>
          <t>No QBE</t>
        </is>
      </c>
      <c r="B298" s="4" t="inlineStr">
        <is>
          <t>NEW2</t>
        </is>
      </c>
      <c r="C298" s="160" t="n">
        <v>5</v>
      </c>
      <c r="D298" s="160">
        <f>ROUNDUP(C298/12,0)</f>
        <v/>
      </c>
      <c r="E298" s="160">
        <f>IF(AND('Sites'!$E$8*'Cases'!$F$8=1,C298&gt;='Sites'!$F$8+'Cases'!$G$8,C298&lt;='Sites'!$G$8),1,0)</f>
        <v/>
      </c>
      <c r="F298" s="160">
        <f>E298*'Assumptions'!H69</f>
        <v/>
      </c>
      <c r="G298" s="160">
        <f>V297</f>
        <v/>
      </c>
      <c r="H298" s="160">
        <f>W297</f>
        <v/>
      </c>
      <c r="I298" s="160">
        <f>X297</f>
        <v/>
      </c>
      <c r="J298" s="160">
        <f>MAX(0,'Sites'!$I$8-SUM(N294:N297))</f>
        <v/>
      </c>
      <c r="K298" s="160">
        <f>IF('Sites'!$C$8="Own sheets",MIN(ROUNDDOWN(G298/'NM Play'!$B$11,0)+F298*'NM Play'!$B$10/'NM Play'!$B$43,ROUNDDOWN(H298/'NM Play'!$B$12,0)+F298*'NM Play'!$B$10/'NM Play'!$B$44,(F298*'NM Play'!$B$10+ROUNDDOWN(G298/'NM Play'!$B$11,0)*'NM Play'!$B$43+ROUNDDOWN(H298/'NM Play'!$B$12,0)*'NM Play'!$B$44)/('NM Play'!$B$43+'NM Play'!$B$44)),ROUNDDOWN(G298/'NM Play'!$B$11,0)+F298*'NM Play'!$B$10/'NM Play'!$B$43)</f>
        <v/>
      </c>
      <c r="L298" s="160">
        <f>MIN(ROUNDDOWN(G298/'NM Play'!$B$11,0)+F298/('NM Play'!$B$43/'NM Play'!$B$15),ROUNDDOWN(H298/'NM Play'!$B$12,0)+F298/('NM Play'!$B$44/'NM Play'!$B$16),(F298+ROUNDDOWN(G298/'NM Play'!$B$11,0)*'NM Play'!$B$43/'NM Play'!$B$15+ROUNDDOWN(H298/'NM Play'!$B$12,0)*'NM Play'!$B$44/'NM Play'!$B$16)/('NM Play'!$B$43/'NM Play'!$B$15+'NM Play'!$B$44/'NM Play'!$B$16))</f>
        <v/>
      </c>
      <c r="M298" s="160">
        <f>F298*'NM Play'!$B$36</f>
        <v/>
      </c>
      <c r="N298" s="160">
        <f>ROUNDDOWN(MAX(0,MIN(J298,K298:M298)),0)</f>
        <v/>
      </c>
      <c r="O298" s="160">
        <f>ROUNDUP(MAX(0,N298*'NM Play'!$B$11-G298)/'NM Play'!$B$13,0)</f>
        <v/>
      </c>
      <c r="P298" s="160">
        <f>ROUNDUP(MAX(0,N298*'NM Play'!$B$12-H298)/'NM Play'!$B$14,0)</f>
        <v/>
      </c>
      <c r="Q298" s="160">
        <f>(O298+IF('Sites'!$C$8="Own sheets",P298,0))/'NM Play'!$B$10</f>
        <v/>
      </c>
      <c r="R298" s="160">
        <f>O298/'NM Play'!$B$15+P298/'NM Play'!$B$16</f>
        <v/>
      </c>
      <c r="S298" s="160">
        <f>MAX(Q298,R298,N298/'NM Play'!$B$36)</f>
        <v/>
      </c>
      <c r="T298" s="160">
        <f>Q298*'NM Play'!$B$10*'NM Play'!$B$21*(1+'NM Play'!$B$35)</f>
        <v/>
      </c>
      <c r="U298" s="160">
        <f>MAX(0,T298-I298)</f>
        <v/>
      </c>
      <c r="V298" s="160">
        <f>G298+O298*'NM Play'!$B$13-N298*'NM Play'!$B$11</f>
        <v/>
      </c>
      <c r="W298" s="160">
        <f>H298+P298*'NM Play'!$B$14-N298*'NM Play'!$B$12</f>
        <v/>
      </c>
      <c r="X298" s="160">
        <f>I298+U298-T298</f>
        <v/>
      </c>
      <c r="Y298" s="160">
        <f>MIN(N298,MAX(0,ROUNDDOWN('Sites'!$L$8*'Cases'!$E$8,0)-SUM(Y294:Y297)))</f>
        <v/>
      </c>
      <c r="Z298" s="160">
        <f>N298-Y298</f>
        <v/>
      </c>
      <c r="AA298" s="160">
        <f>U298*'NM Play'!$B$22</f>
        <v/>
      </c>
      <c r="AB298" s="160">
        <f>N298*SUM('NM Play'!$B$29:$B$31)</f>
        <v/>
      </c>
      <c r="AC298" s="160">
        <f>IF('Sites'!$C$8="Defy legs",P298*'NM Play'!$B$14/'NM Play'!$B$12*'NM Play'!$B$28,0)</f>
        <v/>
      </c>
      <c r="AD298" s="160">
        <f>Q298*'NM Play'!$B$23</f>
        <v/>
      </c>
      <c r="AE298" s="160">
        <f>S298*SUM('NM Play'!$B$26,'NM Play'!$B$33:$B$34)</f>
        <v/>
      </c>
      <c r="AF298" s="160">
        <f>IF('Sites'!$D$8="NM crew",S298*SUM('NM Play'!$B$24:$B$25),0)</f>
        <v/>
      </c>
      <c r="AG298" s="160">
        <f>IF('Sites'!$D$8="NM crew",S298*'NM Play'!$B$27,0)</f>
        <v/>
      </c>
      <c r="AH298" s="160">
        <f>N298*'Sites'!$Z$8*'NM Play'!$B$32</f>
        <v/>
      </c>
      <c r="AI298" s="160">
        <f>SUM(Y298:Z298)*'Sites'!$R$8</f>
        <v/>
      </c>
      <c r="AJ298" s="160">
        <f>SUM(AA298:AH298)</f>
        <v/>
      </c>
      <c r="AK298" s="160">
        <f>AJ298+(T298-U298)*'NM Play'!$B$22+MIN(G298,N298*'NM Play'!$B$11)/'NM Play'!$B$13*'NM Play'!$B$21*'NM Play'!$B$22+MIN(H298,N298*'NM Play'!$B$12)/'NM Play'!$B$14*IF('Sites'!$C$8="Own sheets",'NM Play'!$B$21*'NM Play'!$B$22,'NM Play'!$B$28*'NM Play'!$B$14/'NM Play'!$B$12)</f>
        <v/>
      </c>
      <c r="AL298" s="160">
        <f>Y298*'Assumptions'!H66</f>
        <v/>
      </c>
      <c r="AM298" s="160">
        <f>IF('Sites'!$D$8="NM crew",S298*'NM Play'!$B$37*(1+IF(AND(ISNUMBER('NM Play'!$B$25),'NM Play'!$B$25&gt;0),1,0)),"")</f>
        <v/>
      </c>
      <c r="AN298" s="160">
        <f>IF(OR('Sites'!$E$8&lt;0,'Sites'!$E$8&gt;1,'Sites'!$F$8&lt;1,'Sites'!$G$8&lt;'Sites'!$F$8,F298&lt;0,MIN('Sites'!$I$8:'Sites'!$R$8)&lt;0,'Sites'!$L$8&gt;'Sites'!$I$8,'Sites'!$M$8&gt;'Sites'!$J$8,'Sites'!$N$8&gt;'Sites'!$K$8,'Sites'!$Z$8&lt;0,'Sites'!$Z$8&gt;1,MIN('Sites'!$AA$8:'Sites'!$AC$8)&lt;0,S298&gt;F298+0.001),1,0)</f>
        <v/>
      </c>
      <c r="AO298" s="160">
        <f>I298+U298-T298-X298</f>
        <v/>
      </c>
    </row>
    <row r="299" ht="28" customHeight="1">
      <c r="A299" s="4" t="inlineStr">
        <is>
          <t>No QBE</t>
        </is>
      </c>
      <c r="B299" s="4" t="inlineStr">
        <is>
          <t>NEW2</t>
        </is>
      </c>
      <c r="C299" s="160" t="n">
        <v>6</v>
      </c>
      <c r="D299" s="160">
        <f>ROUNDUP(C299/12,0)</f>
        <v/>
      </c>
      <c r="E299" s="160">
        <f>IF(AND('Sites'!$E$8*'Cases'!$F$8=1,C299&gt;='Sites'!$F$8+'Cases'!$G$8,C299&lt;='Sites'!$G$8),1,0)</f>
        <v/>
      </c>
      <c r="F299" s="160">
        <f>E299*'Assumptions'!I69</f>
        <v/>
      </c>
      <c r="G299" s="160">
        <f>V298</f>
        <v/>
      </c>
      <c r="H299" s="160">
        <f>W298</f>
        <v/>
      </c>
      <c r="I299" s="160">
        <f>X298</f>
        <v/>
      </c>
      <c r="J299" s="160">
        <f>MAX(0,'Sites'!$I$8-SUM(N294:N298))</f>
        <v/>
      </c>
      <c r="K299" s="160">
        <f>IF('Sites'!$C$8="Own sheets",MIN(ROUNDDOWN(G299/'NM Play'!$B$11,0)+F299*'NM Play'!$B$10/'NM Play'!$B$43,ROUNDDOWN(H299/'NM Play'!$B$12,0)+F299*'NM Play'!$B$10/'NM Play'!$B$44,(F299*'NM Play'!$B$10+ROUNDDOWN(G299/'NM Play'!$B$11,0)*'NM Play'!$B$43+ROUNDDOWN(H299/'NM Play'!$B$12,0)*'NM Play'!$B$44)/('NM Play'!$B$43+'NM Play'!$B$44)),ROUNDDOWN(G299/'NM Play'!$B$11,0)+F299*'NM Play'!$B$10/'NM Play'!$B$43)</f>
        <v/>
      </c>
      <c r="L299" s="160">
        <f>MIN(ROUNDDOWN(G299/'NM Play'!$B$11,0)+F299/('NM Play'!$B$43/'NM Play'!$B$15),ROUNDDOWN(H299/'NM Play'!$B$12,0)+F299/('NM Play'!$B$44/'NM Play'!$B$16),(F299+ROUNDDOWN(G299/'NM Play'!$B$11,0)*'NM Play'!$B$43/'NM Play'!$B$15+ROUNDDOWN(H299/'NM Play'!$B$12,0)*'NM Play'!$B$44/'NM Play'!$B$16)/('NM Play'!$B$43/'NM Play'!$B$15+'NM Play'!$B$44/'NM Play'!$B$16))</f>
        <v/>
      </c>
      <c r="M299" s="160">
        <f>F299*'NM Play'!$B$36</f>
        <v/>
      </c>
      <c r="N299" s="160">
        <f>ROUNDDOWN(MAX(0,MIN(J299,K299:M299)),0)</f>
        <v/>
      </c>
      <c r="O299" s="160">
        <f>ROUNDUP(MAX(0,N299*'NM Play'!$B$11-G299)/'NM Play'!$B$13,0)</f>
        <v/>
      </c>
      <c r="P299" s="160">
        <f>ROUNDUP(MAX(0,N299*'NM Play'!$B$12-H299)/'NM Play'!$B$14,0)</f>
        <v/>
      </c>
      <c r="Q299" s="160">
        <f>(O299+IF('Sites'!$C$8="Own sheets",P299,0))/'NM Play'!$B$10</f>
        <v/>
      </c>
      <c r="R299" s="160">
        <f>O299/'NM Play'!$B$15+P299/'NM Play'!$B$16</f>
        <v/>
      </c>
      <c r="S299" s="160">
        <f>MAX(Q299,R299,N299/'NM Play'!$B$36)</f>
        <v/>
      </c>
      <c r="T299" s="160">
        <f>Q299*'NM Play'!$B$10*'NM Play'!$B$21*(1+'NM Play'!$B$35)</f>
        <v/>
      </c>
      <c r="U299" s="160">
        <f>MAX(0,T299-I299)</f>
        <v/>
      </c>
      <c r="V299" s="160">
        <f>G299+O299*'NM Play'!$B$13-N299*'NM Play'!$B$11</f>
        <v/>
      </c>
      <c r="W299" s="160">
        <f>H299+P299*'NM Play'!$B$14-N299*'NM Play'!$B$12</f>
        <v/>
      </c>
      <c r="X299" s="160">
        <f>I299+U299-T299</f>
        <v/>
      </c>
      <c r="Y299" s="160">
        <f>MIN(N299,MAX(0,ROUNDDOWN('Sites'!$L$8*'Cases'!$E$8,0)-SUM(Y294:Y298)))</f>
        <v/>
      </c>
      <c r="Z299" s="160">
        <f>N299-Y299</f>
        <v/>
      </c>
      <c r="AA299" s="160">
        <f>U299*'NM Play'!$B$22</f>
        <v/>
      </c>
      <c r="AB299" s="160">
        <f>N299*SUM('NM Play'!$B$29:$B$31)</f>
        <v/>
      </c>
      <c r="AC299" s="160">
        <f>IF('Sites'!$C$8="Defy legs",P299*'NM Play'!$B$14/'NM Play'!$B$12*'NM Play'!$B$28,0)</f>
        <v/>
      </c>
      <c r="AD299" s="160">
        <f>Q299*'NM Play'!$B$23</f>
        <v/>
      </c>
      <c r="AE299" s="160">
        <f>S299*SUM('NM Play'!$B$26,'NM Play'!$B$33:$B$34)</f>
        <v/>
      </c>
      <c r="AF299" s="160">
        <f>IF('Sites'!$D$8="NM crew",S299*SUM('NM Play'!$B$24:$B$25),0)</f>
        <v/>
      </c>
      <c r="AG299" s="160">
        <f>IF('Sites'!$D$8="NM crew",S299*'NM Play'!$B$27,0)</f>
        <v/>
      </c>
      <c r="AH299" s="160">
        <f>N299*'Sites'!$Z$8*'NM Play'!$B$32</f>
        <v/>
      </c>
      <c r="AI299" s="160">
        <f>SUM(Y299:Z299)*'Sites'!$R$8</f>
        <v/>
      </c>
      <c r="AJ299" s="160">
        <f>SUM(AA299:AH299)</f>
        <v/>
      </c>
      <c r="AK299" s="160">
        <f>AJ299+(T299-U299)*'NM Play'!$B$22+MIN(G299,N299*'NM Play'!$B$11)/'NM Play'!$B$13*'NM Play'!$B$21*'NM Play'!$B$22+MIN(H299,N299*'NM Play'!$B$12)/'NM Play'!$B$14*IF('Sites'!$C$8="Own sheets",'NM Play'!$B$21*'NM Play'!$B$22,'NM Play'!$B$28*'NM Play'!$B$14/'NM Play'!$B$12)</f>
        <v/>
      </c>
      <c r="AL299" s="160">
        <f>Y299*'Assumptions'!I66</f>
        <v/>
      </c>
      <c r="AM299" s="160">
        <f>IF('Sites'!$D$8="NM crew",S299*'NM Play'!$B$37*(1+IF(AND(ISNUMBER('NM Play'!$B$25),'NM Play'!$B$25&gt;0),1,0)),"")</f>
        <v/>
      </c>
      <c r="AN299" s="160">
        <f>IF(OR('Sites'!$E$8&lt;0,'Sites'!$E$8&gt;1,'Sites'!$F$8&lt;1,'Sites'!$G$8&lt;'Sites'!$F$8,F299&lt;0,MIN('Sites'!$I$8:'Sites'!$R$8)&lt;0,'Sites'!$L$8&gt;'Sites'!$I$8,'Sites'!$M$8&gt;'Sites'!$J$8,'Sites'!$N$8&gt;'Sites'!$K$8,'Sites'!$Z$8&lt;0,'Sites'!$Z$8&gt;1,MIN('Sites'!$AA$8:'Sites'!$AC$8)&lt;0,S299&gt;F299+0.001),1,0)</f>
        <v/>
      </c>
      <c r="AO299" s="160">
        <f>I299+U299-T299-X299</f>
        <v/>
      </c>
    </row>
    <row r="300" ht="28" customHeight="1">
      <c r="A300" s="4" t="inlineStr">
        <is>
          <t>No QBE</t>
        </is>
      </c>
      <c r="B300" s="4" t="inlineStr">
        <is>
          <t>NEW2</t>
        </is>
      </c>
      <c r="C300" s="160" t="n">
        <v>7</v>
      </c>
      <c r="D300" s="160">
        <f>ROUNDUP(C300/12,0)</f>
        <v/>
      </c>
      <c r="E300" s="160">
        <f>IF(AND('Sites'!$E$8*'Cases'!$F$8=1,C300&gt;='Sites'!$F$8+'Cases'!$G$8,C300&lt;='Sites'!$G$8),1,0)</f>
        <v/>
      </c>
      <c r="F300" s="160">
        <f>E300*'Assumptions'!J69</f>
        <v/>
      </c>
      <c r="G300" s="160">
        <f>V299</f>
        <v/>
      </c>
      <c r="H300" s="160">
        <f>W299</f>
        <v/>
      </c>
      <c r="I300" s="160">
        <f>X299</f>
        <v/>
      </c>
      <c r="J300" s="160">
        <f>MAX(0,'Sites'!$I$8-SUM(N294:N299))</f>
        <v/>
      </c>
      <c r="K300" s="160">
        <f>IF('Sites'!$C$8="Own sheets",MIN(ROUNDDOWN(G300/'NM Play'!$B$11,0)+F300*'NM Play'!$B$10/'NM Play'!$B$43,ROUNDDOWN(H300/'NM Play'!$B$12,0)+F300*'NM Play'!$B$10/'NM Play'!$B$44,(F300*'NM Play'!$B$10+ROUNDDOWN(G300/'NM Play'!$B$11,0)*'NM Play'!$B$43+ROUNDDOWN(H300/'NM Play'!$B$12,0)*'NM Play'!$B$44)/('NM Play'!$B$43+'NM Play'!$B$44)),ROUNDDOWN(G300/'NM Play'!$B$11,0)+F300*'NM Play'!$B$10/'NM Play'!$B$43)</f>
        <v/>
      </c>
      <c r="L300" s="160">
        <f>MIN(ROUNDDOWN(G300/'NM Play'!$B$11,0)+F300/('NM Play'!$B$43/'NM Play'!$B$15),ROUNDDOWN(H300/'NM Play'!$B$12,0)+F300/('NM Play'!$B$44/'NM Play'!$B$16),(F300+ROUNDDOWN(G300/'NM Play'!$B$11,0)*'NM Play'!$B$43/'NM Play'!$B$15+ROUNDDOWN(H300/'NM Play'!$B$12,0)*'NM Play'!$B$44/'NM Play'!$B$16)/('NM Play'!$B$43/'NM Play'!$B$15+'NM Play'!$B$44/'NM Play'!$B$16))</f>
        <v/>
      </c>
      <c r="M300" s="160">
        <f>F300*'NM Play'!$B$36</f>
        <v/>
      </c>
      <c r="N300" s="160">
        <f>ROUNDDOWN(MAX(0,MIN(J300,K300:M300)),0)</f>
        <v/>
      </c>
      <c r="O300" s="160">
        <f>ROUNDUP(MAX(0,N300*'NM Play'!$B$11-G300)/'NM Play'!$B$13,0)</f>
        <v/>
      </c>
      <c r="P300" s="160">
        <f>ROUNDUP(MAX(0,N300*'NM Play'!$B$12-H300)/'NM Play'!$B$14,0)</f>
        <v/>
      </c>
      <c r="Q300" s="160">
        <f>(O300+IF('Sites'!$C$8="Own sheets",P300,0))/'NM Play'!$B$10</f>
        <v/>
      </c>
      <c r="R300" s="160">
        <f>O300/'NM Play'!$B$15+P300/'NM Play'!$B$16</f>
        <v/>
      </c>
      <c r="S300" s="160">
        <f>MAX(Q300,R300,N300/'NM Play'!$B$36)</f>
        <v/>
      </c>
      <c r="T300" s="160">
        <f>Q300*'NM Play'!$B$10*'NM Play'!$B$21*(1+'NM Play'!$B$35)</f>
        <v/>
      </c>
      <c r="U300" s="160">
        <f>MAX(0,T300-I300)</f>
        <v/>
      </c>
      <c r="V300" s="160">
        <f>G300+O300*'NM Play'!$B$13-N300*'NM Play'!$B$11</f>
        <v/>
      </c>
      <c r="W300" s="160">
        <f>H300+P300*'NM Play'!$B$14-N300*'NM Play'!$B$12</f>
        <v/>
      </c>
      <c r="X300" s="160">
        <f>I300+U300-T300</f>
        <v/>
      </c>
      <c r="Y300" s="160">
        <f>MIN(N300,MAX(0,ROUNDDOWN('Sites'!$L$8*'Cases'!$E$8,0)-SUM(Y294:Y299)))</f>
        <v/>
      </c>
      <c r="Z300" s="160">
        <f>N300-Y300</f>
        <v/>
      </c>
      <c r="AA300" s="160">
        <f>U300*'NM Play'!$B$22</f>
        <v/>
      </c>
      <c r="AB300" s="160">
        <f>N300*SUM('NM Play'!$B$29:$B$31)</f>
        <v/>
      </c>
      <c r="AC300" s="160">
        <f>IF('Sites'!$C$8="Defy legs",P300*'NM Play'!$B$14/'NM Play'!$B$12*'NM Play'!$B$28,0)</f>
        <v/>
      </c>
      <c r="AD300" s="160">
        <f>Q300*'NM Play'!$B$23</f>
        <v/>
      </c>
      <c r="AE300" s="160">
        <f>S300*SUM('NM Play'!$B$26,'NM Play'!$B$33:$B$34)</f>
        <v/>
      </c>
      <c r="AF300" s="160">
        <f>IF('Sites'!$D$8="NM crew",S300*SUM('NM Play'!$B$24:$B$25),0)</f>
        <v/>
      </c>
      <c r="AG300" s="160">
        <f>IF('Sites'!$D$8="NM crew",S300*'NM Play'!$B$27,0)</f>
        <v/>
      </c>
      <c r="AH300" s="160">
        <f>N300*'Sites'!$Z$8*'NM Play'!$B$32</f>
        <v/>
      </c>
      <c r="AI300" s="160">
        <f>SUM(Y300:Z300)*'Sites'!$R$8</f>
        <v/>
      </c>
      <c r="AJ300" s="160">
        <f>SUM(AA300:AH300)</f>
        <v/>
      </c>
      <c r="AK300" s="160">
        <f>AJ300+(T300-U300)*'NM Play'!$B$22+MIN(G300,N300*'NM Play'!$B$11)/'NM Play'!$B$13*'NM Play'!$B$21*'NM Play'!$B$22+MIN(H300,N300*'NM Play'!$B$12)/'NM Play'!$B$14*IF('Sites'!$C$8="Own sheets",'NM Play'!$B$21*'NM Play'!$B$22,'NM Play'!$B$28*'NM Play'!$B$14/'NM Play'!$B$12)</f>
        <v/>
      </c>
      <c r="AL300" s="160">
        <f>Y300*'Assumptions'!J66</f>
        <v/>
      </c>
      <c r="AM300" s="160">
        <f>IF('Sites'!$D$8="NM crew",S300*'NM Play'!$B$37*(1+IF(AND(ISNUMBER('NM Play'!$B$25),'NM Play'!$B$25&gt;0),1,0)),"")</f>
        <v/>
      </c>
      <c r="AN300" s="160">
        <f>IF(OR('Sites'!$E$8&lt;0,'Sites'!$E$8&gt;1,'Sites'!$F$8&lt;1,'Sites'!$G$8&lt;'Sites'!$F$8,F300&lt;0,MIN('Sites'!$I$8:'Sites'!$R$8)&lt;0,'Sites'!$L$8&gt;'Sites'!$I$8,'Sites'!$M$8&gt;'Sites'!$J$8,'Sites'!$N$8&gt;'Sites'!$K$8,'Sites'!$Z$8&lt;0,'Sites'!$Z$8&gt;1,MIN('Sites'!$AA$8:'Sites'!$AC$8)&lt;0,S300&gt;F300+0.001),1,0)</f>
        <v/>
      </c>
      <c r="AO300" s="160">
        <f>I300+U300-T300-X300</f>
        <v/>
      </c>
    </row>
    <row r="301" ht="28" customHeight="1">
      <c r="A301" s="4" t="inlineStr">
        <is>
          <t>No QBE</t>
        </is>
      </c>
      <c r="B301" s="4" t="inlineStr">
        <is>
          <t>NEW2</t>
        </is>
      </c>
      <c r="C301" s="160" t="n">
        <v>8</v>
      </c>
      <c r="D301" s="160">
        <f>ROUNDUP(C301/12,0)</f>
        <v/>
      </c>
      <c r="E301" s="160">
        <f>IF(AND('Sites'!$E$8*'Cases'!$F$8=1,C301&gt;='Sites'!$F$8+'Cases'!$G$8,C301&lt;='Sites'!$G$8),1,0)</f>
        <v/>
      </c>
      <c r="F301" s="160">
        <f>E301*'Assumptions'!K69</f>
        <v/>
      </c>
      <c r="G301" s="160">
        <f>V300</f>
        <v/>
      </c>
      <c r="H301" s="160">
        <f>W300</f>
        <v/>
      </c>
      <c r="I301" s="160">
        <f>X300</f>
        <v/>
      </c>
      <c r="J301" s="160">
        <f>MAX(0,'Sites'!$I$8-SUM(N294:N300))</f>
        <v/>
      </c>
      <c r="K301" s="160">
        <f>IF('Sites'!$C$8="Own sheets",MIN(ROUNDDOWN(G301/'NM Play'!$B$11,0)+F301*'NM Play'!$B$10/'NM Play'!$B$43,ROUNDDOWN(H301/'NM Play'!$B$12,0)+F301*'NM Play'!$B$10/'NM Play'!$B$44,(F301*'NM Play'!$B$10+ROUNDDOWN(G301/'NM Play'!$B$11,0)*'NM Play'!$B$43+ROUNDDOWN(H301/'NM Play'!$B$12,0)*'NM Play'!$B$44)/('NM Play'!$B$43+'NM Play'!$B$44)),ROUNDDOWN(G301/'NM Play'!$B$11,0)+F301*'NM Play'!$B$10/'NM Play'!$B$43)</f>
        <v/>
      </c>
      <c r="L301" s="160">
        <f>MIN(ROUNDDOWN(G301/'NM Play'!$B$11,0)+F301/('NM Play'!$B$43/'NM Play'!$B$15),ROUNDDOWN(H301/'NM Play'!$B$12,0)+F301/('NM Play'!$B$44/'NM Play'!$B$16),(F301+ROUNDDOWN(G301/'NM Play'!$B$11,0)*'NM Play'!$B$43/'NM Play'!$B$15+ROUNDDOWN(H301/'NM Play'!$B$12,0)*'NM Play'!$B$44/'NM Play'!$B$16)/('NM Play'!$B$43/'NM Play'!$B$15+'NM Play'!$B$44/'NM Play'!$B$16))</f>
        <v/>
      </c>
      <c r="M301" s="160">
        <f>F301*'NM Play'!$B$36</f>
        <v/>
      </c>
      <c r="N301" s="160">
        <f>ROUNDDOWN(MAX(0,MIN(J301,K301:M301)),0)</f>
        <v/>
      </c>
      <c r="O301" s="160">
        <f>ROUNDUP(MAX(0,N301*'NM Play'!$B$11-G301)/'NM Play'!$B$13,0)</f>
        <v/>
      </c>
      <c r="P301" s="160">
        <f>ROUNDUP(MAX(0,N301*'NM Play'!$B$12-H301)/'NM Play'!$B$14,0)</f>
        <v/>
      </c>
      <c r="Q301" s="160">
        <f>(O301+IF('Sites'!$C$8="Own sheets",P301,0))/'NM Play'!$B$10</f>
        <v/>
      </c>
      <c r="R301" s="160">
        <f>O301/'NM Play'!$B$15+P301/'NM Play'!$B$16</f>
        <v/>
      </c>
      <c r="S301" s="160">
        <f>MAX(Q301,R301,N301/'NM Play'!$B$36)</f>
        <v/>
      </c>
      <c r="T301" s="160">
        <f>Q301*'NM Play'!$B$10*'NM Play'!$B$21*(1+'NM Play'!$B$35)</f>
        <v/>
      </c>
      <c r="U301" s="160">
        <f>MAX(0,T301-I301)</f>
        <v/>
      </c>
      <c r="V301" s="160">
        <f>G301+O301*'NM Play'!$B$13-N301*'NM Play'!$B$11</f>
        <v/>
      </c>
      <c r="W301" s="160">
        <f>H301+P301*'NM Play'!$B$14-N301*'NM Play'!$B$12</f>
        <v/>
      </c>
      <c r="X301" s="160">
        <f>I301+U301-T301</f>
        <v/>
      </c>
      <c r="Y301" s="160">
        <f>MIN(N301,MAX(0,ROUNDDOWN('Sites'!$L$8*'Cases'!$E$8,0)-SUM(Y294:Y300)))</f>
        <v/>
      </c>
      <c r="Z301" s="160">
        <f>N301-Y301</f>
        <v/>
      </c>
      <c r="AA301" s="160">
        <f>U301*'NM Play'!$B$22</f>
        <v/>
      </c>
      <c r="AB301" s="160">
        <f>N301*SUM('NM Play'!$B$29:$B$31)</f>
        <v/>
      </c>
      <c r="AC301" s="160">
        <f>IF('Sites'!$C$8="Defy legs",P301*'NM Play'!$B$14/'NM Play'!$B$12*'NM Play'!$B$28,0)</f>
        <v/>
      </c>
      <c r="AD301" s="160">
        <f>Q301*'NM Play'!$B$23</f>
        <v/>
      </c>
      <c r="AE301" s="160">
        <f>S301*SUM('NM Play'!$B$26,'NM Play'!$B$33:$B$34)</f>
        <v/>
      </c>
      <c r="AF301" s="160">
        <f>IF('Sites'!$D$8="NM crew",S301*SUM('NM Play'!$B$24:$B$25),0)</f>
        <v/>
      </c>
      <c r="AG301" s="160">
        <f>IF('Sites'!$D$8="NM crew",S301*'NM Play'!$B$27,0)</f>
        <v/>
      </c>
      <c r="AH301" s="160">
        <f>N301*'Sites'!$Z$8*'NM Play'!$B$32</f>
        <v/>
      </c>
      <c r="AI301" s="160">
        <f>SUM(Y301:Z301)*'Sites'!$R$8</f>
        <v/>
      </c>
      <c r="AJ301" s="160">
        <f>SUM(AA301:AH301)</f>
        <v/>
      </c>
      <c r="AK301" s="160">
        <f>AJ301+(T301-U301)*'NM Play'!$B$22+MIN(G301,N301*'NM Play'!$B$11)/'NM Play'!$B$13*'NM Play'!$B$21*'NM Play'!$B$22+MIN(H301,N301*'NM Play'!$B$12)/'NM Play'!$B$14*IF('Sites'!$C$8="Own sheets",'NM Play'!$B$21*'NM Play'!$B$22,'NM Play'!$B$28*'NM Play'!$B$14/'NM Play'!$B$12)</f>
        <v/>
      </c>
      <c r="AL301" s="160">
        <f>Y301*'Assumptions'!K66</f>
        <v/>
      </c>
      <c r="AM301" s="160">
        <f>IF('Sites'!$D$8="NM crew",S301*'NM Play'!$B$37*(1+IF(AND(ISNUMBER('NM Play'!$B$25),'NM Play'!$B$25&gt;0),1,0)),"")</f>
        <v/>
      </c>
      <c r="AN301" s="160">
        <f>IF(OR('Sites'!$E$8&lt;0,'Sites'!$E$8&gt;1,'Sites'!$F$8&lt;1,'Sites'!$G$8&lt;'Sites'!$F$8,F301&lt;0,MIN('Sites'!$I$8:'Sites'!$R$8)&lt;0,'Sites'!$L$8&gt;'Sites'!$I$8,'Sites'!$M$8&gt;'Sites'!$J$8,'Sites'!$N$8&gt;'Sites'!$K$8,'Sites'!$Z$8&lt;0,'Sites'!$Z$8&gt;1,MIN('Sites'!$AA$8:'Sites'!$AC$8)&lt;0,S301&gt;F301+0.001),1,0)</f>
        <v/>
      </c>
      <c r="AO301" s="160">
        <f>I301+U301-T301-X301</f>
        <v/>
      </c>
    </row>
    <row r="302" ht="28" customHeight="1">
      <c r="A302" s="4" t="inlineStr">
        <is>
          <t>No QBE</t>
        </is>
      </c>
      <c r="B302" s="4" t="inlineStr">
        <is>
          <t>NEW2</t>
        </is>
      </c>
      <c r="C302" s="160" t="n">
        <v>9</v>
      </c>
      <c r="D302" s="160">
        <f>ROUNDUP(C302/12,0)</f>
        <v/>
      </c>
      <c r="E302" s="160">
        <f>IF(AND('Sites'!$E$8*'Cases'!$F$8=1,C302&gt;='Sites'!$F$8+'Cases'!$G$8,C302&lt;='Sites'!$G$8),1,0)</f>
        <v/>
      </c>
      <c r="F302" s="160">
        <f>E302*'Assumptions'!L69</f>
        <v/>
      </c>
      <c r="G302" s="160">
        <f>V301</f>
        <v/>
      </c>
      <c r="H302" s="160">
        <f>W301</f>
        <v/>
      </c>
      <c r="I302" s="160">
        <f>X301</f>
        <v/>
      </c>
      <c r="J302" s="160">
        <f>MAX(0,'Sites'!$I$8-SUM(N294:N301))</f>
        <v/>
      </c>
      <c r="K302" s="160">
        <f>IF('Sites'!$C$8="Own sheets",MIN(ROUNDDOWN(G302/'NM Play'!$B$11,0)+F302*'NM Play'!$B$10/'NM Play'!$B$43,ROUNDDOWN(H302/'NM Play'!$B$12,0)+F302*'NM Play'!$B$10/'NM Play'!$B$44,(F302*'NM Play'!$B$10+ROUNDDOWN(G302/'NM Play'!$B$11,0)*'NM Play'!$B$43+ROUNDDOWN(H302/'NM Play'!$B$12,0)*'NM Play'!$B$44)/('NM Play'!$B$43+'NM Play'!$B$44)),ROUNDDOWN(G302/'NM Play'!$B$11,0)+F302*'NM Play'!$B$10/'NM Play'!$B$43)</f>
        <v/>
      </c>
      <c r="L302" s="160">
        <f>MIN(ROUNDDOWN(G302/'NM Play'!$B$11,0)+F302/('NM Play'!$B$43/'NM Play'!$B$15),ROUNDDOWN(H302/'NM Play'!$B$12,0)+F302/('NM Play'!$B$44/'NM Play'!$B$16),(F302+ROUNDDOWN(G302/'NM Play'!$B$11,0)*'NM Play'!$B$43/'NM Play'!$B$15+ROUNDDOWN(H302/'NM Play'!$B$12,0)*'NM Play'!$B$44/'NM Play'!$B$16)/('NM Play'!$B$43/'NM Play'!$B$15+'NM Play'!$B$44/'NM Play'!$B$16))</f>
        <v/>
      </c>
      <c r="M302" s="160">
        <f>F302*'NM Play'!$B$36</f>
        <v/>
      </c>
      <c r="N302" s="160">
        <f>ROUNDDOWN(MAX(0,MIN(J302,K302:M302)),0)</f>
        <v/>
      </c>
      <c r="O302" s="160">
        <f>ROUNDUP(MAX(0,N302*'NM Play'!$B$11-G302)/'NM Play'!$B$13,0)</f>
        <v/>
      </c>
      <c r="P302" s="160">
        <f>ROUNDUP(MAX(0,N302*'NM Play'!$B$12-H302)/'NM Play'!$B$14,0)</f>
        <v/>
      </c>
      <c r="Q302" s="160">
        <f>(O302+IF('Sites'!$C$8="Own sheets",P302,0))/'NM Play'!$B$10</f>
        <v/>
      </c>
      <c r="R302" s="160">
        <f>O302/'NM Play'!$B$15+P302/'NM Play'!$B$16</f>
        <v/>
      </c>
      <c r="S302" s="160">
        <f>MAX(Q302,R302,N302/'NM Play'!$B$36)</f>
        <v/>
      </c>
      <c r="T302" s="160">
        <f>Q302*'NM Play'!$B$10*'NM Play'!$B$21*(1+'NM Play'!$B$35)</f>
        <v/>
      </c>
      <c r="U302" s="160">
        <f>MAX(0,T302-I302)</f>
        <v/>
      </c>
      <c r="V302" s="160">
        <f>G302+O302*'NM Play'!$B$13-N302*'NM Play'!$B$11</f>
        <v/>
      </c>
      <c r="W302" s="160">
        <f>H302+P302*'NM Play'!$B$14-N302*'NM Play'!$B$12</f>
        <v/>
      </c>
      <c r="X302" s="160">
        <f>I302+U302-T302</f>
        <v/>
      </c>
      <c r="Y302" s="160">
        <f>MIN(N302,MAX(0,ROUNDDOWN('Sites'!$L$8*'Cases'!$E$8,0)-SUM(Y294:Y301)))</f>
        <v/>
      </c>
      <c r="Z302" s="160">
        <f>N302-Y302</f>
        <v/>
      </c>
      <c r="AA302" s="160">
        <f>U302*'NM Play'!$B$22</f>
        <v/>
      </c>
      <c r="AB302" s="160">
        <f>N302*SUM('NM Play'!$B$29:$B$31)</f>
        <v/>
      </c>
      <c r="AC302" s="160">
        <f>IF('Sites'!$C$8="Defy legs",P302*'NM Play'!$B$14/'NM Play'!$B$12*'NM Play'!$B$28,0)</f>
        <v/>
      </c>
      <c r="AD302" s="160">
        <f>Q302*'NM Play'!$B$23</f>
        <v/>
      </c>
      <c r="AE302" s="160">
        <f>S302*SUM('NM Play'!$B$26,'NM Play'!$B$33:$B$34)</f>
        <v/>
      </c>
      <c r="AF302" s="160">
        <f>IF('Sites'!$D$8="NM crew",S302*SUM('NM Play'!$B$24:$B$25),0)</f>
        <v/>
      </c>
      <c r="AG302" s="160">
        <f>IF('Sites'!$D$8="NM crew",S302*'NM Play'!$B$27,0)</f>
        <v/>
      </c>
      <c r="AH302" s="160">
        <f>N302*'Sites'!$Z$8*'NM Play'!$B$32</f>
        <v/>
      </c>
      <c r="AI302" s="160">
        <f>SUM(Y302:Z302)*'Sites'!$R$8</f>
        <v/>
      </c>
      <c r="AJ302" s="160">
        <f>SUM(AA302:AH302)</f>
        <v/>
      </c>
      <c r="AK302" s="160">
        <f>AJ302+(T302-U302)*'NM Play'!$B$22+MIN(G302,N302*'NM Play'!$B$11)/'NM Play'!$B$13*'NM Play'!$B$21*'NM Play'!$B$22+MIN(H302,N302*'NM Play'!$B$12)/'NM Play'!$B$14*IF('Sites'!$C$8="Own sheets",'NM Play'!$B$21*'NM Play'!$B$22,'NM Play'!$B$28*'NM Play'!$B$14/'NM Play'!$B$12)</f>
        <v/>
      </c>
      <c r="AL302" s="160">
        <f>Y302*'Assumptions'!L66</f>
        <v/>
      </c>
      <c r="AM302" s="160">
        <f>IF('Sites'!$D$8="NM crew",S302*'NM Play'!$B$37*(1+IF(AND(ISNUMBER('NM Play'!$B$25),'NM Play'!$B$25&gt;0),1,0)),"")</f>
        <v/>
      </c>
      <c r="AN302" s="160">
        <f>IF(OR('Sites'!$E$8&lt;0,'Sites'!$E$8&gt;1,'Sites'!$F$8&lt;1,'Sites'!$G$8&lt;'Sites'!$F$8,F302&lt;0,MIN('Sites'!$I$8:'Sites'!$R$8)&lt;0,'Sites'!$L$8&gt;'Sites'!$I$8,'Sites'!$M$8&gt;'Sites'!$J$8,'Sites'!$N$8&gt;'Sites'!$K$8,'Sites'!$Z$8&lt;0,'Sites'!$Z$8&gt;1,MIN('Sites'!$AA$8:'Sites'!$AC$8)&lt;0,S302&gt;F302+0.001),1,0)</f>
        <v/>
      </c>
      <c r="AO302" s="160">
        <f>I302+U302-T302-X302</f>
        <v/>
      </c>
    </row>
    <row r="303" ht="28" customHeight="1">
      <c r="A303" s="4" t="inlineStr">
        <is>
          <t>No QBE</t>
        </is>
      </c>
      <c r="B303" s="4" t="inlineStr">
        <is>
          <t>NEW2</t>
        </is>
      </c>
      <c r="C303" s="160" t="n">
        <v>10</v>
      </c>
      <c r="D303" s="160">
        <f>ROUNDUP(C303/12,0)</f>
        <v/>
      </c>
      <c r="E303" s="160">
        <f>IF(AND('Sites'!$E$8*'Cases'!$F$8=1,C303&gt;='Sites'!$F$8+'Cases'!$G$8,C303&lt;='Sites'!$G$8),1,0)</f>
        <v/>
      </c>
      <c r="F303" s="160">
        <f>E303*'Assumptions'!M69</f>
        <v/>
      </c>
      <c r="G303" s="160">
        <f>V302</f>
        <v/>
      </c>
      <c r="H303" s="160">
        <f>W302</f>
        <v/>
      </c>
      <c r="I303" s="160">
        <f>X302</f>
        <v/>
      </c>
      <c r="J303" s="160">
        <f>MAX(0,'Sites'!$I$8-SUM(N294:N302))</f>
        <v/>
      </c>
      <c r="K303" s="160">
        <f>IF('Sites'!$C$8="Own sheets",MIN(ROUNDDOWN(G303/'NM Play'!$B$11,0)+F303*'NM Play'!$B$10/'NM Play'!$B$43,ROUNDDOWN(H303/'NM Play'!$B$12,0)+F303*'NM Play'!$B$10/'NM Play'!$B$44,(F303*'NM Play'!$B$10+ROUNDDOWN(G303/'NM Play'!$B$11,0)*'NM Play'!$B$43+ROUNDDOWN(H303/'NM Play'!$B$12,0)*'NM Play'!$B$44)/('NM Play'!$B$43+'NM Play'!$B$44)),ROUNDDOWN(G303/'NM Play'!$B$11,0)+F303*'NM Play'!$B$10/'NM Play'!$B$43)</f>
        <v/>
      </c>
      <c r="L303" s="160">
        <f>MIN(ROUNDDOWN(G303/'NM Play'!$B$11,0)+F303/('NM Play'!$B$43/'NM Play'!$B$15),ROUNDDOWN(H303/'NM Play'!$B$12,0)+F303/('NM Play'!$B$44/'NM Play'!$B$16),(F303+ROUNDDOWN(G303/'NM Play'!$B$11,0)*'NM Play'!$B$43/'NM Play'!$B$15+ROUNDDOWN(H303/'NM Play'!$B$12,0)*'NM Play'!$B$44/'NM Play'!$B$16)/('NM Play'!$B$43/'NM Play'!$B$15+'NM Play'!$B$44/'NM Play'!$B$16))</f>
        <v/>
      </c>
      <c r="M303" s="160">
        <f>F303*'NM Play'!$B$36</f>
        <v/>
      </c>
      <c r="N303" s="160">
        <f>ROUNDDOWN(MAX(0,MIN(J303,K303:M303)),0)</f>
        <v/>
      </c>
      <c r="O303" s="160">
        <f>ROUNDUP(MAX(0,N303*'NM Play'!$B$11-G303)/'NM Play'!$B$13,0)</f>
        <v/>
      </c>
      <c r="P303" s="160">
        <f>ROUNDUP(MAX(0,N303*'NM Play'!$B$12-H303)/'NM Play'!$B$14,0)</f>
        <v/>
      </c>
      <c r="Q303" s="160">
        <f>(O303+IF('Sites'!$C$8="Own sheets",P303,0))/'NM Play'!$B$10</f>
        <v/>
      </c>
      <c r="R303" s="160">
        <f>O303/'NM Play'!$B$15+P303/'NM Play'!$B$16</f>
        <v/>
      </c>
      <c r="S303" s="160">
        <f>MAX(Q303,R303,N303/'NM Play'!$B$36)</f>
        <v/>
      </c>
      <c r="T303" s="160">
        <f>Q303*'NM Play'!$B$10*'NM Play'!$B$21*(1+'NM Play'!$B$35)</f>
        <v/>
      </c>
      <c r="U303" s="160">
        <f>MAX(0,T303-I303)</f>
        <v/>
      </c>
      <c r="V303" s="160">
        <f>G303+O303*'NM Play'!$B$13-N303*'NM Play'!$B$11</f>
        <v/>
      </c>
      <c r="W303" s="160">
        <f>H303+P303*'NM Play'!$B$14-N303*'NM Play'!$B$12</f>
        <v/>
      </c>
      <c r="X303" s="160">
        <f>I303+U303-T303</f>
        <v/>
      </c>
      <c r="Y303" s="160">
        <f>MIN(N303,MAX(0,ROUNDDOWN('Sites'!$L$8*'Cases'!$E$8,0)-SUM(Y294:Y302)))</f>
        <v/>
      </c>
      <c r="Z303" s="160">
        <f>N303-Y303</f>
        <v/>
      </c>
      <c r="AA303" s="160">
        <f>U303*'NM Play'!$B$22</f>
        <v/>
      </c>
      <c r="AB303" s="160">
        <f>N303*SUM('NM Play'!$B$29:$B$31)</f>
        <v/>
      </c>
      <c r="AC303" s="160">
        <f>IF('Sites'!$C$8="Defy legs",P303*'NM Play'!$B$14/'NM Play'!$B$12*'NM Play'!$B$28,0)</f>
        <v/>
      </c>
      <c r="AD303" s="160">
        <f>Q303*'NM Play'!$B$23</f>
        <v/>
      </c>
      <c r="AE303" s="160">
        <f>S303*SUM('NM Play'!$B$26,'NM Play'!$B$33:$B$34)</f>
        <v/>
      </c>
      <c r="AF303" s="160">
        <f>IF('Sites'!$D$8="NM crew",S303*SUM('NM Play'!$B$24:$B$25),0)</f>
        <v/>
      </c>
      <c r="AG303" s="160">
        <f>IF('Sites'!$D$8="NM crew",S303*'NM Play'!$B$27,0)</f>
        <v/>
      </c>
      <c r="AH303" s="160">
        <f>N303*'Sites'!$Z$8*'NM Play'!$B$32</f>
        <v/>
      </c>
      <c r="AI303" s="160">
        <f>SUM(Y303:Z303)*'Sites'!$R$8</f>
        <v/>
      </c>
      <c r="AJ303" s="160">
        <f>SUM(AA303:AH303)</f>
        <v/>
      </c>
      <c r="AK303" s="160">
        <f>AJ303+(T303-U303)*'NM Play'!$B$22+MIN(G303,N303*'NM Play'!$B$11)/'NM Play'!$B$13*'NM Play'!$B$21*'NM Play'!$B$22+MIN(H303,N303*'NM Play'!$B$12)/'NM Play'!$B$14*IF('Sites'!$C$8="Own sheets",'NM Play'!$B$21*'NM Play'!$B$22,'NM Play'!$B$28*'NM Play'!$B$14/'NM Play'!$B$12)</f>
        <v/>
      </c>
      <c r="AL303" s="160">
        <f>Y303*'Assumptions'!M66</f>
        <v/>
      </c>
      <c r="AM303" s="160">
        <f>IF('Sites'!$D$8="NM crew",S303*'NM Play'!$B$37*(1+IF(AND(ISNUMBER('NM Play'!$B$25),'NM Play'!$B$25&gt;0),1,0)),"")</f>
        <v/>
      </c>
      <c r="AN303" s="160">
        <f>IF(OR('Sites'!$E$8&lt;0,'Sites'!$E$8&gt;1,'Sites'!$F$8&lt;1,'Sites'!$G$8&lt;'Sites'!$F$8,F303&lt;0,MIN('Sites'!$I$8:'Sites'!$R$8)&lt;0,'Sites'!$L$8&gt;'Sites'!$I$8,'Sites'!$M$8&gt;'Sites'!$J$8,'Sites'!$N$8&gt;'Sites'!$K$8,'Sites'!$Z$8&lt;0,'Sites'!$Z$8&gt;1,MIN('Sites'!$AA$8:'Sites'!$AC$8)&lt;0,S303&gt;F303+0.001),1,0)</f>
        <v/>
      </c>
      <c r="AO303" s="160">
        <f>I303+U303-T303-X303</f>
        <v/>
      </c>
    </row>
    <row r="304" ht="28" customHeight="1">
      <c r="A304" s="4" t="inlineStr">
        <is>
          <t>No QBE</t>
        </is>
      </c>
      <c r="B304" s="4" t="inlineStr">
        <is>
          <t>NEW2</t>
        </is>
      </c>
      <c r="C304" s="160" t="n">
        <v>11</v>
      </c>
      <c r="D304" s="160">
        <f>ROUNDUP(C304/12,0)</f>
        <v/>
      </c>
      <c r="E304" s="160">
        <f>IF(AND('Sites'!$E$8*'Cases'!$F$8=1,C304&gt;='Sites'!$F$8+'Cases'!$G$8,C304&lt;='Sites'!$G$8),1,0)</f>
        <v/>
      </c>
      <c r="F304" s="160">
        <f>E304*'Assumptions'!N69</f>
        <v/>
      </c>
      <c r="G304" s="160">
        <f>V303</f>
        <v/>
      </c>
      <c r="H304" s="160">
        <f>W303</f>
        <v/>
      </c>
      <c r="I304" s="160">
        <f>X303</f>
        <v/>
      </c>
      <c r="J304" s="160">
        <f>MAX(0,'Sites'!$I$8-SUM(N294:N303))</f>
        <v/>
      </c>
      <c r="K304" s="160">
        <f>IF('Sites'!$C$8="Own sheets",MIN(ROUNDDOWN(G304/'NM Play'!$B$11,0)+F304*'NM Play'!$B$10/'NM Play'!$B$43,ROUNDDOWN(H304/'NM Play'!$B$12,0)+F304*'NM Play'!$B$10/'NM Play'!$B$44,(F304*'NM Play'!$B$10+ROUNDDOWN(G304/'NM Play'!$B$11,0)*'NM Play'!$B$43+ROUNDDOWN(H304/'NM Play'!$B$12,0)*'NM Play'!$B$44)/('NM Play'!$B$43+'NM Play'!$B$44)),ROUNDDOWN(G304/'NM Play'!$B$11,0)+F304*'NM Play'!$B$10/'NM Play'!$B$43)</f>
        <v/>
      </c>
      <c r="L304" s="160">
        <f>MIN(ROUNDDOWN(G304/'NM Play'!$B$11,0)+F304/('NM Play'!$B$43/'NM Play'!$B$15),ROUNDDOWN(H304/'NM Play'!$B$12,0)+F304/('NM Play'!$B$44/'NM Play'!$B$16),(F304+ROUNDDOWN(G304/'NM Play'!$B$11,0)*'NM Play'!$B$43/'NM Play'!$B$15+ROUNDDOWN(H304/'NM Play'!$B$12,0)*'NM Play'!$B$44/'NM Play'!$B$16)/('NM Play'!$B$43/'NM Play'!$B$15+'NM Play'!$B$44/'NM Play'!$B$16))</f>
        <v/>
      </c>
      <c r="M304" s="160">
        <f>F304*'NM Play'!$B$36</f>
        <v/>
      </c>
      <c r="N304" s="160">
        <f>ROUNDDOWN(MAX(0,MIN(J304,K304:M304)),0)</f>
        <v/>
      </c>
      <c r="O304" s="160">
        <f>ROUNDUP(MAX(0,N304*'NM Play'!$B$11-G304)/'NM Play'!$B$13,0)</f>
        <v/>
      </c>
      <c r="P304" s="160">
        <f>ROUNDUP(MAX(0,N304*'NM Play'!$B$12-H304)/'NM Play'!$B$14,0)</f>
        <v/>
      </c>
      <c r="Q304" s="160">
        <f>(O304+IF('Sites'!$C$8="Own sheets",P304,0))/'NM Play'!$B$10</f>
        <v/>
      </c>
      <c r="R304" s="160">
        <f>O304/'NM Play'!$B$15+P304/'NM Play'!$B$16</f>
        <v/>
      </c>
      <c r="S304" s="160">
        <f>MAX(Q304,R304,N304/'NM Play'!$B$36)</f>
        <v/>
      </c>
      <c r="T304" s="160">
        <f>Q304*'NM Play'!$B$10*'NM Play'!$B$21*(1+'NM Play'!$B$35)</f>
        <v/>
      </c>
      <c r="U304" s="160">
        <f>MAX(0,T304-I304)</f>
        <v/>
      </c>
      <c r="V304" s="160">
        <f>G304+O304*'NM Play'!$B$13-N304*'NM Play'!$B$11</f>
        <v/>
      </c>
      <c r="W304" s="160">
        <f>H304+P304*'NM Play'!$B$14-N304*'NM Play'!$B$12</f>
        <v/>
      </c>
      <c r="X304" s="160">
        <f>I304+U304-T304</f>
        <v/>
      </c>
      <c r="Y304" s="160">
        <f>MIN(N304,MAX(0,ROUNDDOWN('Sites'!$L$8*'Cases'!$E$8,0)-SUM(Y294:Y303)))</f>
        <v/>
      </c>
      <c r="Z304" s="160">
        <f>N304-Y304</f>
        <v/>
      </c>
      <c r="AA304" s="160">
        <f>U304*'NM Play'!$B$22</f>
        <v/>
      </c>
      <c r="AB304" s="160">
        <f>N304*SUM('NM Play'!$B$29:$B$31)</f>
        <v/>
      </c>
      <c r="AC304" s="160">
        <f>IF('Sites'!$C$8="Defy legs",P304*'NM Play'!$B$14/'NM Play'!$B$12*'NM Play'!$B$28,0)</f>
        <v/>
      </c>
      <c r="AD304" s="160">
        <f>Q304*'NM Play'!$B$23</f>
        <v/>
      </c>
      <c r="AE304" s="160">
        <f>S304*SUM('NM Play'!$B$26,'NM Play'!$B$33:$B$34)</f>
        <v/>
      </c>
      <c r="AF304" s="160">
        <f>IF('Sites'!$D$8="NM crew",S304*SUM('NM Play'!$B$24:$B$25),0)</f>
        <v/>
      </c>
      <c r="AG304" s="160">
        <f>IF('Sites'!$D$8="NM crew",S304*'NM Play'!$B$27,0)</f>
        <v/>
      </c>
      <c r="AH304" s="160">
        <f>N304*'Sites'!$Z$8*'NM Play'!$B$32</f>
        <v/>
      </c>
      <c r="AI304" s="160">
        <f>SUM(Y304:Z304)*'Sites'!$R$8</f>
        <v/>
      </c>
      <c r="AJ304" s="160">
        <f>SUM(AA304:AH304)</f>
        <v/>
      </c>
      <c r="AK304" s="160">
        <f>AJ304+(T304-U304)*'NM Play'!$B$22+MIN(G304,N304*'NM Play'!$B$11)/'NM Play'!$B$13*'NM Play'!$B$21*'NM Play'!$B$22+MIN(H304,N304*'NM Play'!$B$12)/'NM Play'!$B$14*IF('Sites'!$C$8="Own sheets",'NM Play'!$B$21*'NM Play'!$B$22,'NM Play'!$B$28*'NM Play'!$B$14/'NM Play'!$B$12)</f>
        <v/>
      </c>
      <c r="AL304" s="160">
        <f>Y304*'Assumptions'!N66</f>
        <v/>
      </c>
      <c r="AM304" s="160">
        <f>IF('Sites'!$D$8="NM crew",S304*'NM Play'!$B$37*(1+IF(AND(ISNUMBER('NM Play'!$B$25),'NM Play'!$B$25&gt;0),1,0)),"")</f>
        <v/>
      </c>
      <c r="AN304" s="160">
        <f>IF(OR('Sites'!$E$8&lt;0,'Sites'!$E$8&gt;1,'Sites'!$F$8&lt;1,'Sites'!$G$8&lt;'Sites'!$F$8,F304&lt;0,MIN('Sites'!$I$8:'Sites'!$R$8)&lt;0,'Sites'!$L$8&gt;'Sites'!$I$8,'Sites'!$M$8&gt;'Sites'!$J$8,'Sites'!$N$8&gt;'Sites'!$K$8,'Sites'!$Z$8&lt;0,'Sites'!$Z$8&gt;1,MIN('Sites'!$AA$8:'Sites'!$AC$8)&lt;0,S304&gt;F304+0.001),1,0)</f>
        <v/>
      </c>
      <c r="AO304" s="160">
        <f>I304+U304-T304-X304</f>
        <v/>
      </c>
    </row>
    <row r="305" ht="28" customHeight="1">
      <c r="A305" s="4" t="inlineStr">
        <is>
          <t>No QBE</t>
        </is>
      </c>
      <c r="B305" s="4" t="inlineStr">
        <is>
          <t>NEW2</t>
        </is>
      </c>
      <c r="C305" s="160" t="n">
        <v>12</v>
      </c>
      <c r="D305" s="160">
        <f>ROUNDUP(C305/12,0)</f>
        <v/>
      </c>
      <c r="E305" s="160">
        <f>IF(AND('Sites'!$E$8*'Cases'!$F$8=1,C305&gt;='Sites'!$F$8+'Cases'!$G$8,C305&lt;='Sites'!$G$8),1,0)</f>
        <v/>
      </c>
      <c r="F305" s="160">
        <f>E305*'Assumptions'!O69</f>
        <v/>
      </c>
      <c r="G305" s="160">
        <f>V304</f>
        <v/>
      </c>
      <c r="H305" s="160">
        <f>W304</f>
        <v/>
      </c>
      <c r="I305" s="160">
        <f>X304</f>
        <v/>
      </c>
      <c r="J305" s="160">
        <f>MAX(0,'Sites'!$I$8-SUM(N294:N304))</f>
        <v/>
      </c>
      <c r="K305" s="160">
        <f>IF('Sites'!$C$8="Own sheets",MIN(ROUNDDOWN(G305/'NM Play'!$B$11,0)+F305*'NM Play'!$B$10/'NM Play'!$B$43,ROUNDDOWN(H305/'NM Play'!$B$12,0)+F305*'NM Play'!$B$10/'NM Play'!$B$44,(F305*'NM Play'!$B$10+ROUNDDOWN(G305/'NM Play'!$B$11,0)*'NM Play'!$B$43+ROUNDDOWN(H305/'NM Play'!$B$12,0)*'NM Play'!$B$44)/('NM Play'!$B$43+'NM Play'!$B$44)),ROUNDDOWN(G305/'NM Play'!$B$11,0)+F305*'NM Play'!$B$10/'NM Play'!$B$43)</f>
        <v/>
      </c>
      <c r="L305" s="160">
        <f>MIN(ROUNDDOWN(G305/'NM Play'!$B$11,0)+F305/('NM Play'!$B$43/'NM Play'!$B$15),ROUNDDOWN(H305/'NM Play'!$B$12,0)+F305/('NM Play'!$B$44/'NM Play'!$B$16),(F305+ROUNDDOWN(G305/'NM Play'!$B$11,0)*'NM Play'!$B$43/'NM Play'!$B$15+ROUNDDOWN(H305/'NM Play'!$B$12,0)*'NM Play'!$B$44/'NM Play'!$B$16)/('NM Play'!$B$43/'NM Play'!$B$15+'NM Play'!$B$44/'NM Play'!$B$16))</f>
        <v/>
      </c>
      <c r="M305" s="160">
        <f>F305*'NM Play'!$B$36</f>
        <v/>
      </c>
      <c r="N305" s="160">
        <f>ROUNDDOWN(MAX(0,MIN(J305,K305:M305)),0)</f>
        <v/>
      </c>
      <c r="O305" s="160">
        <f>ROUNDUP(MAX(0,N305*'NM Play'!$B$11-G305)/'NM Play'!$B$13,0)</f>
        <v/>
      </c>
      <c r="P305" s="160">
        <f>ROUNDUP(MAX(0,N305*'NM Play'!$B$12-H305)/'NM Play'!$B$14,0)</f>
        <v/>
      </c>
      <c r="Q305" s="160">
        <f>(O305+IF('Sites'!$C$8="Own sheets",P305,0))/'NM Play'!$B$10</f>
        <v/>
      </c>
      <c r="R305" s="160">
        <f>O305/'NM Play'!$B$15+P305/'NM Play'!$B$16</f>
        <v/>
      </c>
      <c r="S305" s="160">
        <f>MAX(Q305,R305,N305/'NM Play'!$B$36)</f>
        <v/>
      </c>
      <c r="T305" s="160">
        <f>Q305*'NM Play'!$B$10*'NM Play'!$B$21*(1+'NM Play'!$B$35)</f>
        <v/>
      </c>
      <c r="U305" s="160">
        <f>MAX(0,T305-I305)</f>
        <v/>
      </c>
      <c r="V305" s="160">
        <f>G305+O305*'NM Play'!$B$13-N305*'NM Play'!$B$11</f>
        <v/>
      </c>
      <c r="W305" s="160">
        <f>H305+P305*'NM Play'!$B$14-N305*'NM Play'!$B$12</f>
        <v/>
      </c>
      <c r="X305" s="160">
        <f>I305+U305-T305</f>
        <v/>
      </c>
      <c r="Y305" s="160">
        <f>MIN(N305,MAX(0,ROUNDDOWN('Sites'!$L$8*'Cases'!$E$8,0)-SUM(Y294:Y304)))</f>
        <v/>
      </c>
      <c r="Z305" s="160">
        <f>N305-Y305</f>
        <v/>
      </c>
      <c r="AA305" s="160">
        <f>U305*'NM Play'!$B$22</f>
        <v/>
      </c>
      <c r="AB305" s="160">
        <f>N305*SUM('NM Play'!$B$29:$B$31)</f>
        <v/>
      </c>
      <c r="AC305" s="160">
        <f>IF('Sites'!$C$8="Defy legs",P305*'NM Play'!$B$14/'NM Play'!$B$12*'NM Play'!$B$28,0)</f>
        <v/>
      </c>
      <c r="AD305" s="160">
        <f>Q305*'NM Play'!$B$23</f>
        <v/>
      </c>
      <c r="AE305" s="160">
        <f>S305*SUM('NM Play'!$B$26,'NM Play'!$B$33:$B$34)</f>
        <v/>
      </c>
      <c r="AF305" s="160">
        <f>IF('Sites'!$D$8="NM crew",S305*SUM('NM Play'!$B$24:$B$25),0)</f>
        <v/>
      </c>
      <c r="AG305" s="160">
        <f>IF('Sites'!$D$8="NM crew",S305*'NM Play'!$B$27,0)</f>
        <v/>
      </c>
      <c r="AH305" s="160">
        <f>N305*'Sites'!$Z$8*'NM Play'!$B$32</f>
        <v/>
      </c>
      <c r="AI305" s="160">
        <f>SUM(Y305:Z305)*'Sites'!$R$8</f>
        <v/>
      </c>
      <c r="AJ305" s="160">
        <f>SUM(AA305:AH305)</f>
        <v/>
      </c>
      <c r="AK305" s="160">
        <f>AJ305+(T305-U305)*'NM Play'!$B$22+MIN(G305,N305*'NM Play'!$B$11)/'NM Play'!$B$13*'NM Play'!$B$21*'NM Play'!$B$22+MIN(H305,N305*'NM Play'!$B$12)/'NM Play'!$B$14*IF('Sites'!$C$8="Own sheets",'NM Play'!$B$21*'NM Play'!$B$22,'NM Play'!$B$28*'NM Play'!$B$14/'NM Play'!$B$12)</f>
        <v/>
      </c>
      <c r="AL305" s="160">
        <f>Y305*'Assumptions'!O66</f>
        <v/>
      </c>
      <c r="AM305" s="160">
        <f>IF('Sites'!$D$8="NM crew",S305*'NM Play'!$B$37*(1+IF(AND(ISNUMBER('NM Play'!$B$25),'NM Play'!$B$25&gt;0),1,0)),"")</f>
        <v/>
      </c>
      <c r="AN305" s="160">
        <f>IF(OR('Sites'!$E$8&lt;0,'Sites'!$E$8&gt;1,'Sites'!$F$8&lt;1,'Sites'!$G$8&lt;'Sites'!$F$8,F305&lt;0,MIN('Sites'!$I$8:'Sites'!$R$8)&lt;0,'Sites'!$L$8&gt;'Sites'!$I$8,'Sites'!$M$8&gt;'Sites'!$J$8,'Sites'!$N$8&gt;'Sites'!$K$8,'Sites'!$Z$8&lt;0,'Sites'!$Z$8&gt;1,MIN('Sites'!$AA$8:'Sites'!$AC$8)&lt;0,S305&gt;F305+0.001),1,0)</f>
        <v/>
      </c>
      <c r="AO305" s="160">
        <f>I305+U305-T305-X305</f>
        <v/>
      </c>
    </row>
    <row r="306" ht="28" customHeight="1">
      <c r="A306" s="4" t="inlineStr">
        <is>
          <t>No QBE</t>
        </is>
      </c>
      <c r="B306" s="4" t="inlineStr">
        <is>
          <t>NEW2</t>
        </is>
      </c>
      <c r="C306" s="160" t="n">
        <v>13</v>
      </c>
      <c r="D306" s="160">
        <f>ROUNDUP(C306/12,0)</f>
        <v/>
      </c>
      <c r="E306" s="160">
        <f>IF(AND('Sites'!$E$8*'Cases'!$F$8=1,C306&gt;='Sites'!$F$8+'Cases'!$G$8,C306&lt;='Sites'!$G$8),1,0)</f>
        <v/>
      </c>
      <c r="F306" s="160">
        <f>E306*'Assumptions'!P69</f>
        <v/>
      </c>
      <c r="G306" s="160">
        <f>V305</f>
        <v/>
      </c>
      <c r="H306" s="160">
        <f>W305</f>
        <v/>
      </c>
      <c r="I306" s="160">
        <f>X305</f>
        <v/>
      </c>
      <c r="J306" s="160">
        <f>MAX(0,'Sites'!$J$8-0)</f>
        <v/>
      </c>
      <c r="K306" s="160">
        <f>IF('Sites'!$C$8="Own sheets",MIN(ROUNDDOWN(G306/'NM Play'!$B$11,0)+F306*'NM Play'!$B$10/'NM Play'!$B$43,ROUNDDOWN(H306/'NM Play'!$B$12,0)+F306*'NM Play'!$B$10/'NM Play'!$B$44,(F306*'NM Play'!$B$10+ROUNDDOWN(G306/'NM Play'!$B$11,0)*'NM Play'!$B$43+ROUNDDOWN(H306/'NM Play'!$B$12,0)*'NM Play'!$B$44)/('NM Play'!$B$43+'NM Play'!$B$44)),ROUNDDOWN(G306/'NM Play'!$B$11,0)+F306*'NM Play'!$B$10/'NM Play'!$B$43)</f>
        <v/>
      </c>
      <c r="L306" s="160">
        <f>MIN(ROUNDDOWN(G306/'NM Play'!$B$11,0)+F306/('NM Play'!$B$43/'NM Play'!$B$15),ROUNDDOWN(H306/'NM Play'!$B$12,0)+F306/('NM Play'!$B$44/'NM Play'!$B$16),(F306+ROUNDDOWN(G306/'NM Play'!$B$11,0)*'NM Play'!$B$43/'NM Play'!$B$15+ROUNDDOWN(H306/'NM Play'!$B$12,0)*'NM Play'!$B$44/'NM Play'!$B$16)/('NM Play'!$B$43/'NM Play'!$B$15+'NM Play'!$B$44/'NM Play'!$B$16))</f>
        <v/>
      </c>
      <c r="M306" s="160">
        <f>F306*'NM Play'!$B$36</f>
        <v/>
      </c>
      <c r="N306" s="160">
        <f>ROUNDDOWN(MAX(0,MIN(J306,K306:M306)),0)</f>
        <v/>
      </c>
      <c r="O306" s="160">
        <f>ROUNDUP(MAX(0,N306*'NM Play'!$B$11-G306)/'NM Play'!$B$13,0)</f>
        <v/>
      </c>
      <c r="P306" s="160">
        <f>ROUNDUP(MAX(0,N306*'NM Play'!$B$12-H306)/'NM Play'!$B$14,0)</f>
        <v/>
      </c>
      <c r="Q306" s="160">
        <f>(O306+IF('Sites'!$C$8="Own sheets",P306,0))/'NM Play'!$B$10</f>
        <v/>
      </c>
      <c r="R306" s="160">
        <f>O306/'NM Play'!$B$15+P306/'NM Play'!$B$16</f>
        <v/>
      </c>
      <c r="S306" s="160">
        <f>MAX(Q306,R306,N306/'NM Play'!$B$36)</f>
        <v/>
      </c>
      <c r="T306" s="160">
        <f>Q306*'NM Play'!$B$10*'NM Play'!$B$21*(1+'NM Play'!$B$35)</f>
        <v/>
      </c>
      <c r="U306" s="160">
        <f>MAX(0,T306-I306)</f>
        <v/>
      </c>
      <c r="V306" s="160">
        <f>G306+O306*'NM Play'!$B$13-N306*'NM Play'!$B$11</f>
        <v/>
      </c>
      <c r="W306" s="160">
        <f>H306+P306*'NM Play'!$B$14-N306*'NM Play'!$B$12</f>
        <v/>
      </c>
      <c r="X306" s="160">
        <f>I306+U306-T306</f>
        <v/>
      </c>
      <c r="Y306" s="160">
        <f>MIN(N306,MAX(0,ROUNDDOWN('Sites'!$M$8*'Cases'!$E$8,0)-0))</f>
        <v/>
      </c>
      <c r="Z306" s="160">
        <f>N306-Y306</f>
        <v/>
      </c>
      <c r="AA306" s="160">
        <f>U306*'NM Play'!$B$22</f>
        <v/>
      </c>
      <c r="AB306" s="160">
        <f>N306*SUM('NM Play'!$B$29:$B$31)</f>
        <v/>
      </c>
      <c r="AC306" s="160">
        <f>IF('Sites'!$C$8="Defy legs",P306*'NM Play'!$B$14/'NM Play'!$B$12*'NM Play'!$B$28,0)</f>
        <v/>
      </c>
      <c r="AD306" s="160">
        <f>Q306*'NM Play'!$B$23</f>
        <v/>
      </c>
      <c r="AE306" s="160">
        <f>S306*SUM('NM Play'!$B$26,'NM Play'!$B$33:$B$34)</f>
        <v/>
      </c>
      <c r="AF306" s="160">
        <f>IF('Sites'!$D$8="NM crew",S306*SUM('NM Play'!$B$24:$B$25),0)</f>
        <v/>
      </c>
      <c r="AG306" s="160">
        <f>IF('Sites'!$D$8="NM crew",S306*'NM Play'!$B$27,0)</f>
        <v/>
      </c>
      <c r="AH306" s="160">
        <f>N306*'Sites'!$Z$8*'NM Play'!$B$32</f>
        <v/>
      </c>
      <c r="AI306" s="160">
        <f>SUM(Y306:Z306)*'Sites'!$R$8</f>
        <v/>
      </c>
      <c r="AJ306" s="160">
        <f>SUM(AA306:AH306)</f>
        <v/>
      </c>
      <c r="AK306" s="160">
        <f>AJ306+(T306-U306)*'NM Play'!$B$22+MIN(G306,N306*'NM Play'!$B$11)/'NM Play'!$B$13*'NM Play'!$B$21*'NM Play'!$B$22+MIN(H306,N306*'NM Play'!$B$12)/'NM Play'!$B$14*IF('Sites'!$C$8="Own sheets",'NM Play'!$B$21*'NM Play'!$B$22,'NM Play'!$B$28*'NM Play'!$B$14/'NM Play'!$B$12)</f>
        <v/>
      </c>
      <c r="AL306" s="160">
        <f>Y306*'Assumptions'!P66</f>
        <v/>
      </c>
      <c r="AM306" s="160">
        <f>IF('Sites'!$D$8="NM crew",S306*'NM Play'!$B$37*(1+IF(AND(ISNUMBER('NM Play'!$B$25),'NM Play'!$B$25&gt;0),1,0)),"")</f>
        <v/>
      </c>
      <c r="AN306" s="160">
        <f>IF(OR('Sites'!$E$8&lt;0,'Sites'!$E$8&gt;1,'Sites'!$F$8&lt;1,'Sites'!$G$8&lt;'Sites'!$F$8,F306&lt;0,MIN('Sites'!$I$8:'Sites'!$R$8)&lt;0,'Sites'!$L$8&gt;'Sites'!$I$8,'Sites'!$M$8&gt;'Sites'!$J$8,'Sites'!$N$8&gt;'Sites'!$K$8,'Sites'!$Z$8&lt;0,'Sites'!$Z$8&gt;1,MIN('Sites'!$AA$8:'Sites'!$AC$8)&lt;0,S306&gt;F306+0.001),1,0)</f>
        <v/>
      </c>
      <c r="AO306" s="160">
        <f>I306+U306-T306-X306</f>
        <v/>
      </c>
    </row>
    <row r="307" ht="28" customHeight="1">
      <c r="A307" s="4" t="inlineStr">
        <is>
          <t>No QBE</t>
        </is>
      </c>
      <c r="B307" s="4" t="inlineStr">
        <is>
          <t>NEW2</t>
        </is>
      </c>
      <c r="C307" s="160" t="n">
        <v>14</v>
      </c>
      <c r="D307" s="160">
        <f>ROUNDUP(C307/12,0)</f>
        <v/>
      </c>
      <c r="E307" s="160">
        <f>IF(AND('Sites'!$E$8*'Cases'!$F$8=1,C307&gt;='Sites'!$F$8+'Cases'!$G$8,C307&lt;='Sites'!$G$8),1,0)</f>
        <v/>
      </c>
      <c r="F307" s="160">
        <f>E307*'Assumptions'!Q69</f>
        <v/>
      </c>
      <c r="G307" s="160">
        <f>V306</f>
        <v/>
      </c>
      <c r="H307" s="160">
        <f>W306</f>
        <v/>
      </c>
      <c r="I307" s="160">
        <f>X306</f>
        <v/>
      </c>
      <c r="J307" s="160">
        <f>MAX(0,'Sites'!$J$8-SUM(N306:N306))</f>
        <v/>
      </c>
      <c r="K307" s="160">
        <f>IF('Sites'!$C$8="Own sheets",MIN(ROUNDDOWN(G307/'NM Play'!$B$11,0)+F307*'NM Play'!$B$10/'NM Play'!$B$43,ROUNDDOWN(H307/'NM Play'!$B$12,0)+F307*'NM Play'!$B$10/'NM Play'!$B$44,(F307*'NM Play'!$B$10+ROUNDDOWN(G307/'NM Play'!$B$11,0)*'NM Play'!$B$43+ROUNDDOWN(H307/'NM Play'!$B$12,0)*'NM Play'!$B$44)/('NM Play'!$B$43+'NM Play'!$B$44)),ROUNDDOWN(G307/'NM Play'!$B$11,0)+F307*'NM Play'!$B$10/'NM Play'!$B$43)</f>
        <v/>
      </c>
      <c r="L307" s="160">
        <f>MIN(ROUNDDOWN(G307/'NM Play'!$B$11,0)+F307/('NM Play'!$B$43/'NM Play'!$B$15),ROUNDDOWN(H307/'NM Play'!$B$12,0)+F307/('NM Play'!$B$44/'NM Play'!$B$16),(F307+ROUNDDOWN(G307/'NM Play'!$B$11,0)*'NM Play'!$B$43/'NM Play'!$B$15+ROUNDDOWN(H307/'NM Play'!$B$12,0)*'NM Play'!$B$44/'NM Play'!$B$16)/('NM Play'!$B$43/'NM Play'!$B$15+'NM Play'!$B$44/'NM Play'!$B$16))</f>
        <v/>
      </c>
      <c r="M307" s="160">
        <f>F307*'NM Play'!$B$36</f>
        <v/>
      </c>
      <c r="N307" s="160">
        <f>ROUNDDOWN(MAX(0,MIN(J307,K307:M307)),0)</f>
        <v/>
      </c>
      <c r="O307" s="160">
        <f>ROUNDUP(MAX(0,N307*'NM Play'!$B$11-G307)/'NM Play'!$B$13,0)</f>
        <v/>
      </c>
      <c r="P307" s="160">
        <f>ROUNDUP(MAX(0,N307*'NM Play'!$B$12-H307)/'NM Play'!$B$14,0)</f>
        <v/>
      </c>
      <c r="Q307" s="160">
        <f>(O307+IF('Sites'!$C$8="Own sheets",P307,0))/'NM Play'!$B$10</f>
        <v/>
      </c>
      <c r="R307" s="160">
        <f>O307/'NM Play'!$B$15+P307/'NM Play'!$B$16</f>
        <v/>
      </c>
      <c r="S307" s="160">
        <f>MAX(Q307,R307,N307/'NM Play'!$B$36)</f>
        <v/>
      </c>
      <c r="T307" s="160">
        <f>Q307*'NM Play'!$B$10*'NM Play'!$B$21*(1+'NM Play'!$B$35)</f>
        <v/>
      </c>
      <c r="U307" s="160">
        <f>MAX(0,T307-I307)</f>
        <v/>
      </c>
      <c r="V307" s="160">
        <f>G307+O307*'NM Play'!$B$13-N307*'NM Play'!$B$11</f>
        <v/>
      </c>
      <c r="W307" s="160">
        <f>H307+P307*'NM Play'!$B$14-N307*'NM Play'!$B$12</f>
        <v/>
      </c>
      <c r="X307" s="160">
        <f>I307+U307-T307</f>
        <v/>
      </c>
      <c r="Y307" s="160">
        <f>MIN(N307,MAX(0,ROUNDDOWN('Sites'!$M$8*'Cases'!$E$8,0)-SUM(Y306:Y306)))</f>
        <v/>
      </c>
      <c r="Z307" s="160">
        <f>N307-Y307</f>
        <v/>
      </c>
      <c r="AA307" s="160">
        <f>U307*'NM Play'!$B$22</f>
        <v/>
      </c>
      <c r="AB307" s="160">
        <f>N307*SUM('NM Play'!$B$29:$B$31)</f>
        <v/>
      </c>
      <c r="AC307" s="160">
        <f>IF('Sites'!$C$8="Defy legs",P307*'NM Play'!$B$14/'NM Play'!$B$12*'NM Play'!$B$28,0)</f>
        <v/>
      </c>
      <c r="AD307" s="160">
        <f>Q307*'NM Play'!$B$23</f>
        <v/>
      </c>
      <c r="AE307" s="160">
        <f>S307*SUM('NM Play'!$B$26,'NM Play'!$B$33:$B$34)</f>
        <v/>
      </c>
      <c r="AF307" s="160">
        <f>IF('Sites'!$D$8="NM crew",S307*SUM('NM Play'!$B$24:$B$25),0)</f>
        <v/>
      </c>
      <c r="AG307" s="160">
        <f>IF('Sites'!$D$8="NM crew",S307*'NM Play'!$B$27,0)</f>
        <v/>
      </c>
      <c r="AH307" s="160">
        <f>N307*'Sites'!$Z$8*'NM Play'!$B$32</f>
        <v/>
      </c>
      <c r="AI307" s="160">
        <f>SUM(Y307:Z307)*'Sites'!$R$8</f>
        <v/>
      </c>
      <c r="AJ307" s="160">
        <f>SUM(AA307:AH307)</f>
        <v/>
      </c>
      <c r="AK307" s="160">
        <f>AJ307+(T307-U307)*'NM Play'!$B$22+MIN(G307,N307*'NM Play'!$B$11)/'NM Play'!$B$13*'NM Play'!$B$21*'NM Play'!$B$22+MIN(H307,N307*'NM Play'!$B$12)/'NM Play'!$B$14*IF('Sites'!$C$8="Own sheets",'NM Play'!$B$21*'NM Play'!$B$22,'NM Play'!$B$28*'NM Play'!$B$14/'NM Play'!$B$12)</f>
        <v/>
      </c>
      <c r="AL307" s="160">
        <f>Y307*'Assumptions'!Q66</f>
        <v/>
      </c>
      <c r="AM307" s="160">
        <f>IF('Sites'!$D$8="NM crew",S307*'NM Play'!$B$37*(1+IF(AND(ISNUMBER('NM Play'!$B$25),'NM Play'!$B$25&gt;0),1,0)),"")</f>
        <v/>
      </c>
      <c r="AN307" s="160">
        <f>IF(OR('Sites'!$E$8&lt;0,'Sites'!$E$8&gt;1,'Sites'!$F$8&lt;1,'Sites'!$G$8&lt;'Sites'!$F$8,F307&lt;0,MIN('Sites'!$I$8:'Sites'!$R$8)&lt;0,'Sites'!$L$8&gt;'Sites'!$I$8,'Sites'!$M$8&gt;'Sites'!$J$8,'Sites'!$N$8&gt;'Sites'!$K$8,'Sites'!$Z$8&lt;0,'Sites'!$Z$8&gt;1,MIN('Sites'!$AA$8:'Sites'!$AC$8)&lt;0,S307&gt;F307+0.001),1,0)</f>
        <v/>
      </c>
      <c r="AO307" s="160">
        <f>I307+U307-T307-X307</f>
        <v/>
      </c>
    </row>
    <row r="308" ht="28" customHeight="1">
      <c r="A308" s="4" t="inlineStr">
        <is>
          <t>No QBE</t>
        </is>
      </c>
      <c r="B308" s="4" t="inlineStr">
        <is>
          <t>NEW2</t>
        </is>
      </c>
      <c r="C308" s="160" t="n">
        <v>15</v>
      </c>
      <c r="D308" s="160">
        <f>ROUNDUP(C308/12,0)</f>
        <v/>
      </c>
      <c r="E308" s="160">
        <f>IF(AND('Sites'!$E$8*'Cases'!$F$8=1,C308&gt;='Sites'!$F$8+'Cases'!$G$8,C308&lt;='Sites'!$G$8),1,0)</f>
        <v/>
      </c>
      <c r="F308" s="160">
        <f>E308*'Assumptions'!R69</f>
        <v/>
      </c>
      <c r="G308" s="160">
        <f>V307</f>
        <v/>
      </c>
      <c r="H308" s="160">
        <f>W307</f>
        <v/>
      </c>
      <c r="I308" s="160">
        <f>X307</f>
        <v/>
      </c>
      <c r="J308" s="160">
        <f>MAX(0,'Sites'!$J$8-SUM(N306:N307))</f>
        <v/>
      </c>
      <c r="K308" s="160">
        <f>IF('Sites'!$C$8="Own sheets",MIN(ROUNDDOWN(G308/'NM Play'!$B$11,0)+F308*'NM Play'!$B$10/'NM Play'!$B$43,ROUNDDOWN(H308/'NM Play'!$B$12,0)+F308*'NM Play'!$B$10/'NM Play'!$B$44,(F308*'NM Play'!$B$10+ROUNDDOWN(G308/'NM Play'!$B$11,0)*'NM Play'!$B$43+ROUNDDOWN(H308/'NM Play'!$B$12,0)*'NM Play'!$B$44)/('NM Play'!$B$43+'NM Play'!$B$44)),ROUNDDOWN(G308/'NM Play'!$B$11,0)+F308*'NM Play'!$B$10/'NM Play'!$B$43)</f>
        <v/>
      </c>
      <c r="L308" s="160">
        <f>MIN(ROUNDDOWN(G308/'NM Play'!$B$11,0)+F308/('NM Play'!$B$43/'NM Play'!$B$15),ROUNDDOWN(H308/'NM Play'!$B$12,0)+F308/('NM Play'!$B$44/'NM Play'!$B$16),(F308+ROUNDDOWN(G308/'NM Play'!$B$11,0)*'NM Play'!$B$43/'NM Play'!$B$15+ROUNDDOWN(H308/'NM Play'!$B$12,0)*'NM Play'!$B$44/'NM Play'!$B$16)/('NM Play'!$B$43/'NM Play'!$B$15+'NM Play'!$B$44/'NM Play'!$B$16))</f>
        <v/>
      </c>
      <c r="M308" s="160">
        <f>F308*'NM Play'!$B$36</f>
        <v/>
      </c>
      <c r="N308" s="160">
        <f>ROUNDDOWN(MAX(0,MIN(J308,K308:M308)),0)</f>
        <v/>
      </c>
      <c r="O308" s="160">
        <f>ROUNDUP(MAX(0,N308*'NM Play'!$B$11-G308)/'NM Play'!$B$13,0)</f>
        <v/>
      </c>
      <c r="P308" s="160">
        <f>ROUNDUP(MAX(0,N308*'NM Play'!$B$12-H308)/'NM Play'!$B$14,0)</f>
        <v/>
      </c>
      <c r="Q308" s="160">
        <f>(O308+IF('Sites'!$C$8="Own sheets",P308,0))/'NM Play'!$B$10</f>
        <v/>
      </c>
      <c r="R308" s="160">
        <f>O308/'NM Play'!$B$15+P308/'NM Play'!$B$16</f>
        <v/>
      </c>
      <c r="S308" s="160">
        <f>MAX(Q308,R308,N308/'NM Play'!$B$36)</f>
        <v/>
      </c>
      <c r="T308" s="160">
        <f>Q308*'NM Play'!$B$10*'NM Play'!$B$21*(1+'NM Play'!$B$35)</f>
        <v/>
      </c>
      <c r="U308" s="160">
        <f>MAX(0,T308-I308)</f>
        <v/>
      </c>
      <c r="V308" s="160">
        <f>G308+O308*'NM Play'!$B$13-N308*'NM Play'!$B$11</f>
        <v/>
      </c>
      <c r="W308" s="160">
        <f>H308+P308*'NM Play'!$B$14-N308*'NM Play'!$B$12</f>
        <v/>
      </c>
      <c r="X308" s="160">
        <f>I308+U308-T308</f>
        <v/>
      </c>
      <c r="Y308" s="160">
        <f>MIN(N308,MAX(0,ROUNDDOWN('Sites'!$M$8*'Cases'!$E$8,0)-SUM(Y306:Y307)))</f>
        <v/>
      </c>
      <c r="Z308" s="160">
        <f>N308-Y308</f>
        <v/>
      </c>
      <c r="AA308" s="160">
        <f>U308*'NM Play'!$B$22</f>
        <v/>
      </c>
      <c r="AB308" s="160">
        <f>N308*SUM('NM Play'!$B$29:$B$31)</f>
        <v/>
      </c>
      <c r="AC308" s="160">
        <f>IF('Sites'!$C$8="Defy legs",P308*'NM Play'!$B$14/'NM Play'!$B$12*'NM Play'!$B$28,0)</f>
        <v/>
      </c>
      <c r="AD308" s="160">
        <f>Q308*'NM Play'!$B$23</f>
        <v/>
      </c>
      <c r="AE308" s="160">
        <f>S308*SUM('NM Play'!$B$26,'NM Play'!$B$33:$B$34)</f>
        <v/>
      </c>
      <c r="AF308" s="160">
        <f>IF('Sites'!$D$8="NM crew",S308*SUM('NM Play'!$B$24:$B$25),0)</f>
        <v/>
      </c>
      <c r="AG308" s="160">
        <f>IF('Sites'!$D$8="NM crew",S308*'NM Play'!$B$27,0)</f>
        <v/>
      </c>
      <c r="AH308" s="160">
        <f>N308*'Sites'!$Z$8*'NM Play'!$B$32</f>
        <v/>
      </c>
      <c r="AI308" s="160">
        <f>SUM(Y308:Z308)*'Sites'!$R$8</f>
        <v/>
      </c>
      <c r="AJ308" s="160">
        <f>SUM(AA308:AH308)</f>
        <v/>
      </c>
      <c r="AK308" s="160">
        <f>AJ308+(T308-U308)*'NM Play'!$B$22+MIN(G308,N308*'NM Play'!$B$11)/'NM Play'!$B$13*'NM Play'!$B$21*'NM Play'!$B$22+MIN(H308,N308*'NM Play'!$B$12)/'NM Play'!$B$14*IF('Sites'!$C$8="Own sheets",'NM Play'!$B$21*'NM Play'!$B$22,'NM Play'!$B$28*'NM Play'!$B$14/'NM Play'!$B$12)</f>
        <v/>
      </c>
      <c r="AL308" s="160">
        <f>Y308*'Assumptions'!R66</f>
        <v/>
      </c>
      <c r="AM308" s="160">
        <f>IF('Sites'!$D$8="NM crew",S308*'NM Play'!$B$37*(1+IF(AND(ISNUMBER('NM Play'!$B$25),'NM Play'!$B$25&gt;0),1,0)),"")</f>
        <v/>
      </c>
      <c r="AN308" s="160">
        <f>IF(OR('Sites'!$E$8&lt;0,'Sites'!$E$8&gt;1,'Sites'!$F$8&lt;1,'Sites'!$G$8&lt;'Sites'!$F$8,F308&lt;0,MIN('Sites'!$I$8:'Sites'!$R$8)&lt;0,'Sites'!$L$8&gt;'Sites'!$I$8,'Sites'!$M$8&gt;'Sites'!$J$8,'Sites'!$N$8&gt;'Sites'!$K$8,'Sites'!$Z$8&lt;0,'Sites'!$Z$8&gt;1,MIN('Sites'!$AA$8:'Sites'!$AC$8)&lt;0,S308&gt;F308+0.001),1,0)</f>
        <v/>
      </c>
      <c r="AO308" s="160">
        <f>I308+U308-T308-X308</f>
        <v/>
      </c>
    </row>
    <row r="309" ht="28" customHeight="1">
      <c r="A309" s="4" t="inlineStr">
        <is>
          <t>No QBE</t>
        </is>
      </c>
      <c r="B309" s="4" t="inlineStr">
        <is>
          <t>NEW2</t>
        </is>
      </c>
      <c r="C309" s="160" t="n">
        <v>16</v>
      </c>
      <c r="D309" s="160">
        <f>ROUNDUP(C309/12,0)</f>
        <v/>
      </c>
      <c r="E309" s="160">
        <f>IF(AND('Sites'!$E$8*'Cases'!$F$8=1,C309&gt;='Sites'!$F$8+'Cases'!$G$8,C309&lt;='Sites'!$G$8),1,0)</f>
        <v/>
      </c>
      <c r="F309" s="160">
        <f>E309*'Assumptions'!S69</f>
        <v/>
      </c>
      <c r="G309" s="160">
        <f>V308</f>
        <v/>
      </c>
      <c r="H309" s="160">
        <f>W308</f>
        <v/>
      </c>
      <c r="I309" s="160">
        <f>X308</f>
        <v/>
      </c>
      <c r="J309" s="160">
        <f>MAX(0,'Sites'!$J$8-SUM(N306:N308))</f>
        <v/>
      </c>
      <c r="K309" s="160">
        <f>IF('Sites'!$C$8="Own sheets",MIN(ROUNDDOWN(G309/'NM Play'!$B$11,0)+F309*'NM Play'!$B$10/'NM Play'!$B$43,ROUNDDOWN(H309/'NM Play'!$B$12,0)+F309*'NM Play'!$B$10/'NM Play'!$B$44,(F309*'NM Play'!$B$10+ROUNDDOWN(G309/'NM Play'!$B$11,0)*'NM Play'!$B$43+ROUNDDOWN(H309/'NM Play'!$B$12,0)*'NM Play'!$B$44)/('NM Play'!$B$43+'NM Play'!$B$44)),ROUNDDOWN(G309/'NM Play'!$B$11,0)+F309*'NM Play'!$B$10/'NM Play'!$B$43)</f>
        <v/>
      </c>
      <c r="L309" s="160">
        <f>MIN(ROUNDDOWN(G309/'NM Play'!$B$11,0)+F309/('NM Play'!$B$43/'NM Play'!$B$15),ROUNDDOWN(H309/'NM Play'!$B$12,0)+F309/('NM Play'!$B$44/'NM Play'!$B$16),(F309+ROUNDDOWN(G309/'NM Play'!$B$11,0)*'NM Play'!$B$43/'NM Play'!$B$15+ROUNDDOWN(H309/'NM Play'!$B$12,0)*'NM Play'!$B$44/'NM Play'!$B$16)/('NM Play'!$B$43/'NM Play'!$B$15+'NM Play'!$B$44/'NM Play'!$B$16))</f>
        <v/>
      </c>
      <c r="M309" s="160">
        <f>F309*'NM Play'!$B$36</f>
        <v/>
      </c>
      <c r="N309" s="160">
        <f>ROUNDDOWN(MAX(0,MIN(J309,K309:M309)),0)</f>
        <v/>
      </c>
      <c r="O309" s="160">
        <f>ROUNDUP(MAX(0,N309*'NM Play'!$B$11-G309)/'NM Play'!$B$13,0)</f>
        <v/>
      </c>
      <c r="P309" s="160">
        <f>ROUNDUP(MAX(0,N309*'NM Play'!$B$12-H309)/'NM Play'!$B$14,0)</f>
        <v/>
      </c>
      <c r="Q309" s="160">
        <f>(O309+IF('Sites'!$C$8="Own sheets",P309,0))/'NM Play'!$B$10</f>
        <v/>
      </c>
      <c r="R309" s="160">
        <f>O309/'NM Play'!$B$15+P309/'NM Play'!$B$16</f>
        <v/>
      </c>
      <c r="S309" s="160">
        <f>MAX(Q309,R309,N309/'NM Play'!$B$36)</f>
        <v/>
      </c>
      <c r="T309" s="160">
        <f>Q309*'NM Play'!$B$10*'NM Play'!$B$21*(1+'NM Play'!$B$35)</f>
        <v/>
      </c>
      <c r="U309" s="160">
        <f>MAX(0,T309-I309)</f>
        <v/>
      </c>
      <c r="V309" s="160">
        <f>G309+O309*'NM Play'!$B$13-N309*'NM Play'!$B$11</f>
        <v/>
      </c>
      <c r="W309" s="160">
        <f>H309+P309*'NM Play'!$B$14-N309*'NM Play'!$B$12</f>
        <v/>
      </c>
      <c r="X309" s="160">
        <f>I309+U309-T309</f>
        <v/>
      </c>
      <c r="Y309" s="160">
        <f>MIN(N309,MAX(0,ROUNDDOWN('Sites'!$M$8*'Cases'!$E$8,0)-SUM(Y306:Y308)))</f>
        <v/>
      </c>
      <c r="Z309" s="160">
        <f>N309-Y309</f>
        <v/>
      </c>
      <c r="AA309" s="160">
        <f>U309*'NM Play'!$B$22</f>
        <v/>
      </c>
      <c r="AB309" s="160">
        <f>N309*SUM('NM Play'!$B$29:$B$31)</f>
        <v/>
      </c>
      <c r="AC309" s="160">
        <f>IF('Sites'!$C$8="Defy legs",P309*'NM Play'!$B$14/'NM Play'!$B$12*'NM Play'!$B$28,0)</f>
        <v/>
      </c>
      <c r="AD309" s="160">
        <f>Q309*'NM Play'!$B$23</f>
        <v/>
      </c>
      <c r="AE309" s="160">
        <f>S309*SUM('NM Play'!$B$26,'NM Play'!$B$33:$B$34)</f>
        <v/>
      </c>
      <c r="AF309" s="160">
        <f>IF('Sites'!$D$8="NM crew",S309*SUM('NM Play'!$B$24:$B$25),0)</f>
        <v/>
      </c>
      <c r="AG309" s="160">
        <f>IF('Sites'!$D$8="NM crew",S309*'NM Play'!$B$27,0)</f>
        <v/>
      </c>
      <c r="AH309" s="160">
        <f>N309*'Sites'!$Z$8*'NM Play'!$B$32</f>
        <v/>
      </c>
      <c r="AI309" s="160">
        <f>SUM(Y309:Z309)*'Sites'!$R$8</f>
        <v/>
      </c>
      <c r="AJ309" s="160">
        <f>SUM(AA309:AH309)</f>
        <v/>
      </c>
      <c r="AK309" s="160">
        <f>AJ309+(T309-U309)*'NM Play'!$B$22+MIN(G309,N309*'NM Play'!$B$11)/'NM Play'!$B$13*'NM Play'!$B$21*'NM Play'!$B$22+MIN(H309,N309*'NM Play'!$B$12)/'NM Play'!$B$14*IF('Sites'!$C$8="Own sheets",'NM Play'!$B$21*'NM Play'!$B$22,'NM Play'!$B$28*'NM Play'!$B$14/'NM Play'!$B$12)</f>
        <v/>
      </c>
      <c r="AL309" s="160">
        <f>Y309*'Assumptions'!S66</f>
        <v/>
      </c>
      <c r="AM309" s="160">
        <f>IF('Sites'!$D$8="NM crew",S309*'NM Play'!$B$37*(1+IF(AND(ISNUMBER('NM Play'!$B$25),'NM Play'!$B$25&gt;0),1,0)),"")</f>
        <v/>
      </c>
      <c r="AN309" s="160">
        <f>IF(OR('Sites'!$E$8&lt;0,'Sites'!$E$8&gt;1,'Sites'!$F$8&lt;1,'Sites'!$G$8&lt;'Sites'!$F$8,F309&lt;0,MIN('Sites'!$I$8:'Sites'!$R$8)&lt;0,'Sites'!$L$8&gt;'Sites'!$I$8,'Sites'!$M$8&gt;'Sites'!$J$8,'Sites'!$N$8&gt;'Sites'!$K$8,'Sites'!$Z$8&lt;0,'Sites'!$Z$8&gt;1,MIN('Sites'!$AA$8:'Sites'!$AC$8)&lt;0,S309&gt;F309+0.001),1,0)</f>
        <v/>
      </c>
      <c r="AO309" s="160">
        <f>I309+U309-T309-X309</f>
        <v/>
      </c>
    </row>
    <row r="310" ht="28" customHeight="1">
      <c r="A310" s="4" t="inlineStr">
        <is>
          <t>No QBE</t>
        </is>
      </c>
      <c r="B310" s="4" t="inlineStr">
        <is>
          <t>NEW2</t>
        </is>
      </c>
      <c r="C310" s="160" t="n">
        <v>17</v>
      </c>
      <c r="D310" s="160">
        <f>ROUNDUP(C310/12,0)</f>
        <v/>
      </c>
      <c r="E310" s="160">
        <f>IF(AND('Sites'!$E$8*'Cases'!$F$8=1,C310&gt;='Sites'!$F$8+'Cases'!$G$8,C310&lt;='Sites'!$G$8),1,0)</f>
        <v/>
      </c>
      <c r="F310" s="160">
        <f>E310*'Assumptions'!T69</f>
        <v/>
      </c>
      <c r="G310" s="160">
        <f>V309</f>
        <v/>
      </c>
      <c r="H310" s="160">
        <f>W309</f>
        <v/>
      </c>
      <c r="I310" s="160">
        <f>X309</f>
        <v/>
      </c>
      <c r="J310" s="160">
        <f>MAX(0,'Sites'!$J$8-SUM(N306:N309))</f>
        <v/>
      </c>
      <c r="K310" s="160">
        <f>IF('Sites'!$C$8="Own sheets",MIN(ROUNDDOWN(G310/'NM Play'!$B$11,0)+F310*'NM Play'!$B$10/'NM Play'!$B$43,ROUNDDOWN(H310/'NM Play'!$B$12,0)+F310*'NM Play'!$B$10/'NM Play'!$B$44,(F310*'NM Play'!$B$10+ROUNDDOWN(G310/'NM Play'!$B$11,0)*'NM Play'!$B$43+ROUNDDOWN(H310/'NM Play'!$B$12,0)*'NM Play'!$B$44)/('NM Play'!$B$43+'NM Play'!$B$44)),ROUNDDOWN(G310/'NM Play'!$B$11,0)+F310*'NM Play'!$B$10/'NM Play'!$B$43)</f>
        <v/>
      </c>
      <c r="L310" s="160">
        <f>MIN(ROUNDDOWN(G310/'NM Play'!$B$11,0)+F310/('NM Play'!$B$43/'NM Play'!$B$15),ROUNDDOWN(H310/'NM Play'!$B$12,0)+F310/('NM Play'!$B$44/'NM Play'!$B$16),(F310+ROUNDDOWN(G310/'NM Play'!$B$11,0)*'NM Play'!$B$43/'NM Play'!$B$15+ROUNDDOWN(H310/'NM Play'!$B$12,0)*'NM Play'!$B$44/'NM Play'!$B$16)/('NM Play'!$B$43/'NM Play'!$B$15+'NM Play'!$B$44/'NM Play'!$B$16))</f>
        <v/>
      </c>
      <c r="M310" s="160">
        <f>F310*'NM Play'!$B$36</f>
        <v/>
      </c>
      <c r="N310" s="160">
        <f>ROUNDDOWN(MAX(0,MIN(J310,K310:M310)),0)</f>
        <v/>
      </c>
      <c r="O310" s="160">
        <f>ROUNDUP(MAX(0,N310*'NM Play'!$B$11-G310)/'NM Play'!$B$13,0)</f>
        <v/>
      </c>
      <c r="P310" s="160">
        <f>ROUNDUP(MAX(0,N310*'NM Play'!$B$12-H310)/'NM Play'!$B$14,0)</f>
        <v/>
      </c>
      <c r="Q310" s="160">
        <f>(O310+IF('Sites'!$C$8="Own sheets",P310,0))/'NM Play'!$B$10</f>
        <v/>
      </c>
      <c r="R310" s="160">
        <f>O310/'NM Play'!$B$15+P310/'NM Play'!$B$16</f>
        <v/>
      </c>
      <c r="S310" s="160">
        <f>MAX(Q310,R310,N310/'NM Play'!$B$36)</f>
        <v/>
      </c>
      <c r="T310" s="160">
        <f>Q310*'NM Play'!$B$10*'NM Play'!$B$21*(1+'NM Play'!$B$35)</f>
        <v/>
      </c>
      <c r="U310" s="160">
        <f>MAX(0,T310-I310)</f>
        <v/>
      </c>
      <c r="V310" s="160">
        <f>G310+O310*'NM Play'!$B$13-N310*'NM Play'!$B$11</f>
        <v/>
      </c>
      <c r="W310" s="160">
        <f>H310+P310*'NM Play'!$B$14-N310*'NM Play'!$B$12</f>
        <v/>
      </c>
      <c r="X310" s="160">
        <f>I310+U310-T310</f>
        <v/>
      </c>
      <c r="Y310" s="160">
        <f>MIN(N310,MAX(0,ROUNDDOWN('Sites'!$M$8*'Cases'!$E$8,0)-SUM(Y306:Y309)))</f>
        <v/>
      </c>
      <c r="Z310" s="160">
        <f>N310-Y310</f>
        <v/>
      </c>
      <c r="AA310" s="160">
        <f>U310*'NM Play'!$B$22</f>
        <v/>
      </c>
      <c r="AB310" s="160">
        <f>N310*SUM('NM Play'!$B$29:$B$31)</f>
        <v/>
      </c>
      <c r="AC310" s="160">
        <f>IF('Sites'!$C$8="Defy legs",P310*'NM Play'!$B$14/'NM Play'!$B$12*'NM Play'!$B$28,0)</f>
        <v/>
      </c>
      <c r="AD310" s="160">
        <f>Q310*'NM Play'!$B$23</f>
        <v/>
      </c>
      <c r="AE310" s="160">
        <f>S310*SUM('NM Play'!$B$26,'NM Play'!$B$33:$B$34)</f>
        <v/>
      </c>
      <c r="AF310" s="160">
        <f>IF('Sites'!$D$8="NM crew",S310*SUM('NM Play'!$B$24:$B$25),0)</f>
        <v/>
      </c>
      <c r="AG310" s="160">
        <f>IF('Sites'!$D$8="NM crew",S310*'NM Play'!$B$27,0)</f>
        <v/>
      </c>
      <c r="AH310" s="160">
        <f>N310*'Sites'!$Z$8*'NM Play'!$B$32</f>
        <v/>
      </c>
      <c r="AI310" s="160">
        <f>SUM(Y310:Z310)*'Sites'!$R$8</f>
        <v/>
      </c>
      <c r="AJ310" s="160">
        <f>SUM(AA310:AH310)</f>
        <v/>
      </c>
      <c r="AK310" s="160">
        <f>AJ310+(T310-U310)*'NM Play'!$B$22+MIN(G310,N310*'NM Play'!$B$11)/'NM Play'!$B$13*'NM Play'!$B$21*'NM Play'!$B$22+MIN(H310,N310*'NM Play'!$B$12)/'NM Play'!$B$14*IF('Sites'!$C$8="Own sheets",'NM Play'!$B$21*'NM Play'!$B$22,'NM Play'!$B$28*'NM Play'!$B$14/'NM Play'!$B$12)</f>
        <v/>
      </c>
      <c r="AL310" s="160">
        <f>Y310*'Assumptions'!T66</f>
        <v/>
      </c>
      <c r="AM310" s="160">
        <f>IF('Sites'!$D$8="NM crew",S310*'NM Play'!$B$37*(1+IF(AND(ISNUMBER('NM Play'!$B$25),'NM Play'!$B$25&gt;0),1,0)),"")</f>
        <v/>
      </c>
      <c r="AN310" s="160">
        <f>IF(OR('Sites'!$E$8&lt;0,'Sites'!$E$8&gt;1,'Sites'!$F$8&lt;1,'Sites'!$G$8&lt;'Sites'!$F$8,F310&lt;0,MIN('Sites'!$I$8:'Sites'!$R$8)&lt;0,'Sites'!$L$8&gt;'Sites'!$I$8,'Sites'!$M$8&gt;'Sites'!$J$8,'Sites'!$N$8&gt;'Sites'!$K$8,'Sites'!$Z$8&lt;0,'Sites'!$Z$8&gt;1,MIN('Sites'!$AA$8:'Sites'!$AC$8)&lt;0,S310&gt;F310+0.001),1,0)</f>
        <v/>
      </c>
      <c r="AO310" s="160">
        <f>I310+U310-T310-X310</f>
        <v/>
      </c>
    </row>
    <row r="311" ht="28" customHeight="1">
      <c r="A311" s="4" t="inlineStr">
        <is>
          <t>No QBE</t>
        </is>
      </c>
      <c r="B311" s="4" t="inlineStr">
        <is>
          <t>NEW2</t>
        </is>
      </c>
      <c r="C311" s="160" t="n">
        <v>18</v>
      </c>
      <c r="D311" s="160">
        <f>ROUNDUP(C311/12,0)</f>
        <v/>
      </c>
      <c r="E311" s="160">
        <f>IF(AND('Sites'!$E$8*'Cases'!$F$8=1,C311&gt;='Sites'!$F$8+'Cases'!$G$8,C311&lt;='Sites'!$G$8),1,0)</f>
        <v/>
      </c>
      <c r="F311" s="160">
        <f>E311*'Assumptions'!U69</f>
        <v/>
      </c>
      <c r="G311" s="160">
        <f>V310</f>
        <v/>
      </c>
      <c r="H311" s="160">
        <f>W310</f>
        <v/>
      </c>
      <c r="I311" s="160">
        <f>X310</f>
        <v/>
      </c>
      <c r="J311" s="160">
        <f>MAX(0,'Sites'!$J$8-SUM(N306:N310))</f>
        <v/>
      </c>
      <c r="K311" s="160">
        <f>IF('Sites'!$C$8="Own sheets",MIN(ROUNDDOWN(G311/'NM Play'!$B$11,0)+F311*'NM Play'!$B$10/'NM Play'!$B$43,ROUNDDOWN(H311/'NM Play'!$B$12,0)+F311*'NM Play'!$B$10/'NM Play'!$B$44,(F311*'NM Play'!$B$10+ROUNDDOWN(G311/'NM Play'!$B$11,0)*'NM Play'!$B$43+ROUNDDOWN(H311/'NM Play'!$B$12,0)*'NM Play'!$B$44)/('NM Play'!$B$43+'NM Play'!$B$44)),ROUNDDOWN(G311/'NM Play'!$B$11,0)+F311*'NM Play'!$B$10/'NM Play'!$B$43)</f>
        <v/>
      </c>
      <c r="L311" s="160">
        <f>MIN(ROUNDDOWN(G311/'NM Play'!$B$11,0)+F311/('NM Play'!$B$43/'NM Play'!$B$15),ROUNDDOWN(H311/'NM Play'!$B$12,0)+F311/('NM Play'!$B$44/'NM Play'!$B$16),(F311+ROUNDDOWN(G311/'NM Play'!$B$11,0)*'NM Play'!$B$43/'NM Play'!$B$15+ROUNDDOWN(H311/'NM Play'!$B$12,0)*'NM Play'!$B$44/'NM Play'!$B$16)/('NM Play'!$B$43/'NM Play'!$B$15+'NM Play'!$B$44/'NM Play'!$B$16))</f>
        <v/>
      </c>
      <c r="M311" s="160">
        <f>F311*'NM Play'!$B$36</f>
        <v/>
      </c>
      <c r="N311" s="160">
        <f>ROUNDDOWN(MAX(0,MIN(J311,K311:M311)),0)</f>
        <v/>
      </c>
      <c r="O311" s="160">
        <f>ROUNDUP(MAX(0,N311*'NM Play'!$B$11-G311)/'NM Play'!$B$13,0)</f>
        <v/>
      </c>
      <c r="P311" s="160">
        <f>ROUNDUP(MAX(0,N311*'NM Play'!$B$12-H311)/'NM Play'!$B$14,0)</f>
        <v/>
      </c>
      <c r="Q311" s="160">
        <f>(O311+IF('Sites'!$C$8="Own sheets",P311,0))/'NM Play'!$B$10</f>
        <v/>
      </c>
      <c r="R311" s="160">
        <f>O311/'NM Play'!$B$15+P311/'NM Play'!$B$16</f>
        <v/>
      </c>
      <c r="S311" s="160">
        <f>MAX(Q311,R311,N311/'NM Play'!$B$36)</f>
        <v/>
      </c>
      <c r="T311" s="160">
        <f>Q311*'NM Play'!$B$10*'NM Play'!$B$21*(1+'NM Play'!$B$35)</f>
        <v/>
      </c>
      <c r="U311" s="160">
        <f>MAX(0,T311-I311)</f>
        <v/>
      </c>
      <c r="V311" s="160">
        <f>G311+O311*'NM Play'!$B$13-N311*'NM Play'!$B$11</f>
        <v/>
      </c>
      <c r="W311" s="160">
        <f>H311+P311*'NM Play'!$B$14-N311*'NM Play'!$B$12</f>
        <v/>
      </c>
      <c r="X311" s="160">
        <f>I311+U311-T311</f>
        <v/>
      </c>
      <c r="Y311" s="160">
        <f>MIN(N311,MAX(0,ROUNDDOWN('Sites'!$M$8*'Cases'!$E$8,0)-SUM(Y306:Y310)))</f>
        <v/>
      </c>
      <c r="Z311" s="160">
        <f>N311-Y311</f>
        <v/>
      </c>
      <c r="AA311" s="160">
        <f>U311*'NM Play'!$B$22</f>
        <v/>
      </c>
      <c r="AB311" s="160">
        <f>N311*SUM('NM Play'!$B$29:$B$31)</f>
        <v/>
      </c>
      <c r="AC311" s="160">
        <f>IF('Sites'!$C$8="Defy legs",P311*'NM Play'!$B$14/'NM Play'!$B$12*'NM Play'!$B$28,0)</f>
        <v/>
      </c>
      <c r="AD311" s="160">
        <f>Q311*'NM Play'!$B$23</f>
        <v/>
      </c>
      <c r="AE311" s="160">
        <f>S311*SUM('NM Play'!$B$26,'NM Play'!$B$33:$B$34)</f>
        <v/>
      </c>
      <c r="AF311" s="160">
        <f>IF('Sites'!$D$8="NM crew",S311*SUM('NM Play'!$B$24:$B$25),0)</f>
        <v/>
      </c>
      <c r="AG311" s="160">
        <f>IF('Sites'!$D$8="NM crew",S311*'NM Play'!$B$27,0)</f>
        <v/>
      </c>
      <c r="AH311" s="160">
        <f>N311*'Sites'!$Z$8*'NM Play'!$B$32</f>
        <v/>
      </c>
      <c r="AI311" s="160">
        <f>SUM(Y311:Z311)*'Sites'!$R$8</f>
        <v/>
      </c>
      <c r="AJ311" s="160">
        <f>SUM(AA311:AH311)</f>
        <v/>
      </c>
      <c r="AK311" s="160">
        <f>AJ311+(T311-U311)*'NM Play'!$B$22+MIN(G311,N311*'NM Play'!$B$11)/'NM Play'!$B$13*'NM Play'!$B$21*'NM Play'!$B$22+MIN(H311,N311*'NM Play'!$B$12)/'NM Play'!$B$14*IF('Sites'!$C$8="Own sheets",'NM Play'!$B$21*'NM Play'!$B$22,'NM Play'!$B$28*'NM Play'!$B$14/'NM Play'!$B$12)</f>
        <v/>
      </c>
      <c r="AL311" s="160">
        <f>Y311*'Assumptions'!U66</f>
        <v/>
      </c>
      <c r="AM311" s="160">
        <f>IF('Sites'!$D$8="NM crew",S311*'NM Play'!$B$37*(1+IF(AND(ISNUMBER('NM Play'!$B$25),'NM Play'!$B$25&gt;0),1,0)),"")</f>
        <v/>
      </c>
      <c r="AN311" s="160">
        <f>IF(OR('Sites'!$E$8&lt;0,'Sites'!$E$8&gt;1,'Sites'!$F$8&lt;1,'Sites'!$G$8&lt;'Sites'!$F$8,F311&lt;0,MIN('Sites'!$I$8:'Sites'!$R$8)&lt;0,'Sites'!$L$8&gt;'Sites'!$I$8,'Sites'!$M$8&gt;'Sites'!$J$8,'Sites'!$N$8&gt;'Sites'!$K$8,'Sites'!$Z$8&lt;0,'Sites'!$Z$8&gt;1,MIN('Sites'!$AA$8:'Sites'!$AC$8)&lt;0,S311&gt;F311+0.001),1,0)</f>
        <v/>
      </c>
      <c r="AO311" s="160">
        <f>I311+U311-T311-X311</f>
        <v/>
      </c>
    </row>
    <row r="312" ht="28" customHeight="1">
      <c r="A312" s="4" t="inlineStr">
        <is>
          <t>No QBE</t>
        </is>
      </c>
      <c r="B312" s="4" t="inlineStr">
        <is>
          <t>NEW2</t>
        </is>
      </c>
      <c r="C312" s="160" t="n">
        <v>19</v>
      </c>
      <c r="D312" s="160">
        <f>ROUNDUP(C312/12,0)</f>
        <v/>
      </c>
      <c r="E312" s="160">
        <f>IF(AND('Sites'!$E$8*'Cases'!$F$8=1,C312&gt;='Sites'!$F$8+'Cases'!$G$8,C312&lt;='Sites'!$G$8),1,0)</f>
        <v/>
      </c>
      <c r="F312" s="160">
        <f>E312*'Assumptions'!V69</f>
        <v/>
      </c>
      <c r="G312" s="160">
        <f>V311</f>
        <v/>
      </c>
      <c r="H312" s="160">
        <f>W311</f>
        <v/>
      </c>
      <c r="I312" s="160">
        <f>X311</f>
        <v/>
      </c>
      <c r="J312" s="160">
        <f>MAX(0,'Sites'!$J$8-SUM(N306:N311))</f>
        <v/>
      </c>
      <c r="K312" s="160">
        <f>IF('Sites'!$C$8="Own sheets",MIN(ROUNDDOWN(G312/'NM Play'!$B$11,0)+F312*'NM Play'!$B$10/'NM Play'!$B$43,ROUNDDOWN(H312/'NM Play'!$B$12,0)+F312*'NM Play'!$B$10/'NM Play'!$B$44,(F312*'NM Play'!$B$10+ROUNDDOWN(G312/'NM Play'!$B$11,0)*'NM Play'!$B$43+ROUNDDOWN(H312/'NM Play'!$B$12,0)*'NM Play'!$B$44)/('NM Play'!$B$43+'NM Play'!$B$44)),ROUNDDOWN(G312/'NM Play'!$B$11,0)+F312*'NM Play'!$B$10/'NM Play'!$B$43)</f>
        <v/>
      </c>
      <c r="L312" s="160">
        <f>MIN(ROUNDDOWN(G312/'NM Play'!$B$11,0)+F312/('NM Play'!$B$43/'NM Play'!$B$15),ROUNDDOWN(H312/'NM Play'!$B$12,0)+F312/('NM Play'!$B$44/'NM Play'!$B$16),(F312+ROUNDDOWN(G312/'NM Play'!$B$11,0)*'NM Play'!$B$43/'NM Play'!$B$15+ROUNDDOWN(H312/'NM Play'!$B$12,0)*'NM Play'!$B$44/'NM Play'!$B$16)/('NM Play'!$B$43/'NM Play'!$B$15+'NM Play'!$B$44/'NM Play'!$B$16))</f>
        <v/>
      </c>
      <c r="M312" s="160">
        <f>F312*'NM Play'!$B$36</f>
        <v/>
      </c>
      <c r="N312" s="160">
        <f>ROUNDDOWN(MAX(0,MIN(J312,K312:M312)),0)</f>
        <v/>
      </c>
      <c r="O312" s="160">
        <f>ROUNDUP(MAX(0,N312*'NM Play'!$B$11-G312)/'NM Play'!$B$13,0)</f>
        <v/>
      </c>
      <c r="P312" s="160">
        <f>ROUNDUP(MAX(0,N312*'NM Play'!$B$12-H312)/'NM Play'!$B$14,0)</f>
        <v/>
      </c>
      <c r="Q312" s="160">
        <f>(O312+IF('Sites'!$C$8="Own sheets",P312,0))/'NM Play'!$B$10</f>
        <v/>
      </c>
      <c r="R312" s="160">
        <f>O312/'NM Play'!$B$15+P312/'NM Play'!$B$16</f>
        <v/>
      </c>
      <c r="S312" s="160">
        <f>MAX(Q312,R312,N312/'NM Play'!$B$36)</f>
        <v/>
      </c>
      <c r="T312" s="160">
        <f>Q312*'NM Play'!$B$10*'NM Play'!$B$21*(1+'NM Play'!$B$35)</f>
        <v/>
      </c>
      <c r="U312" s="160">
        <f>MAX(0,T312-I312)</f>
        <v/>
      </c>
      <c r="V312" s="160">
        <f>G312+O312*'NM Play'!$B$13-N312*'NM Play'!$B$11</f>
        <v/>
      </c>
      <c r="W312" s="160">
        <f>H312+P312*'NM Play'!$B$14-N312*'NM Play'!$B$12</f>
        <v/>
      </c>
      <c r="X312" s="160">
        <f>I312+U312-T312</f>
        <v/>
      </c>
      <c r="Y312" s="160">
        <f>MIN(N312,MAX(0,ROUNDDOWN('Sites'!$M$8*'Cases'!$E$8,0)-SUM(Y306:Y311)))</f>
        <v/>
      </c>
      <c r="Z312" s="160">
        <f>N312-Y312</f>
        <v/>
      </c>
      <c r="AA312" s="160">
        <f>U312*'NM Play'!$B$22</f>
        <v/>
      </c>
      <c r="AB312" s="160">
        <f>N312*SUM('NM Play'!$B$29:$B$31)</f>
        <v/>
      </c>
      <c r="AC312" s="160">
        <f>IF('Sites'!$C$8="Defy legs",P312*'NM Play'!$B$14/'NM Play'!$B$12*'NM Play'!$B$28,0)</f>
        <v/>
      </c>
      <c r="AD312" s="160">
        <f>Q312*'NM Play'!$B$23</f>
        <v/>
      </c>
      <c r="AE312" s="160">
        <f>S312*SUM('NM Play'!$B$26,'NM Play'!$B$33:$B$34)</f>
        <v/>
      </c>
      <c r="AF312" s="160">
        <f>IF('Sites'!$D$8="NM crew",S312*SUM('NM Play'!$B$24:$B$25),0)</f>
        <v/>
      </c>
      <c r="AG312" s="160">
        <f>IF('Sites'!$D$8="NM crew",S312*'NM Play'!$B$27,0)</f>
        <v/>
      </c>
      <c r="AH312" s="160">
        <f>N312*'Sites'!$Z$8*'NM Play'!$B$32</f>
        <v/>
      </c>
      <c r="AI312" s="160">
        <f>SUM(Y312:Z312)*'Sites'!$R$8</f>
        <v/>
      </c>
      <c r="AJ312" s="160">
        <f>SUM(AA312:AH312)</f>
        <v/>
      </c>
      <c r="AK312" s="160">
        <f>AJ312+(T312-U312)*'NM Play'!$B$22+MIN(G312,N312*'NM Play'!$B$11)/'NM Play'!$B$13*'NM Play'!$B$21*'NM Play'!$B$22+MIN(H312,N312*'NM Play'!$B$12)/'NM Play'!$B$14*IF('Sites'!$C$8="Own sheets",'NM Play'!$B$21*'NM Play'!$B$22,'NM Play'!$B$28*'NM Play'!$B$14/'NM Play'!$B$12)</f>
        <v/>
      </c>
      <c r="AL312" s="160">
        <f>Y312*'Assumptions'!V66</f>
        <v/>
      </c>
      <c r="AM312" s="160">
        <f>IF('Sites'!$D$8="NM crew",S312*'NM Play'!$B$37*(1+IF(AND(ISNUMBER('NM Play'!$B$25),'NM Play'!$B$25&gt;0),1,0)),"")</f>
        <v/>
      </c>
      <c r="AN312" s="160">
        <f>IF(OR('Sites'!$E$8&lt;0,'Sites'!$E$8&gt;1,'Sites'!$F$8&lt;1,'Sites'!$G$8&lt;'Sites'!$F$8,F312&lt;0,MIN('Sites'!$I$8:'Sites'!$R$8)&lt;0,'Sites'!$L$8&gt;'Sites'!$I$8,'Sites'!$M$8&gt;'Sites'!$J$8,'Sites'!$N$8&gt;'Sites'!$K$8,'Sites'!$Z$8&lt;0,'Sites'!$Z$8&gt;1,MIN('Sites'!$AA$8:'Sites'!$AC$8)&lt;0,S312&gt;F312+0.001),1,0)</f>
        <v/>
      </c>
      <c r="AO312" s="160">
        <f>I312+U312-T312-X312</f>
        <v/>
      </c>
    </row>
    <row r="313" ht="28" customHeight="1">
      <c r="A313" s="4" t="inlineStr">
        <is>
          <t>No QBE</t>
        </is>
      </c>
      <c r="B313" s="4" t="inlineStr">
        <is>
          <t>NEW2</t>
        </is>
      </c>
      <c r="C313" s="160" t="n">
        <v>20</v>
      </c>
      <c r="D313" s="160">
        <f>ROUNDUP(C313/12,0)</f>
        <v/>
      </c>
      <c r="E313" s="160">
        <f>IF(AND('Sites'!$E$8*'Cases'!$F$8=1,C313&gt;='Sites'!$F$8+'Cases'!$G$8,C313&lt;='Sites'!$G$8),1,0)</f>
        <v/>
      </c>
      <c r="F313" s="160">
        <f>E313*'Assumptions'!W69</f>
        <v/>
      </c>
      <c r="G313" s="160">
        <f>V312</f>
        <v/>
      </c>
      <c r="H313" s="160">
        <f>W312</f>
        <v/>
      </c>
      <c r="I313" s="160">
        <f>X312</f>
        <v/>
      </c>
      <c r="J313" s="160">
        <f>MAX(0,'Sites'!$J$8-SUM(N306:N312))</f>
        <v/>
      </c>
      <c r="K313" s="160">
        <f>IF('Sites'!$C$8="Own sheets",MIN(ROUNDDOWN(G313/'NM Play'!$B$11,0)+F313*'NM Play'!$B$10/'NM Play'!$B$43,ROUNDDOWN(H313/'NM Play'!$B$12,0)+F313*'NM Play'!$B$10/'NM Play'!$B$44,(F313*'NM Play'!$B$10+ROUNDDOWN(G313/'NM Play'!$B$11,0)*'NM Play'!$B$43+ROUNDDOWN(H313/'NM Play'!$B$12,0)*'NM Play'!$B$44)/('NM Play'!$B$43+'NM Play'!$B$44)),ROUNDDOWN(G313/'NM Play'!$B$11,0)+F313*'NM Play'!$B$10/'NM Play'!$B$43)</f>
        <v/>
      </c>
      <c r="L313" s="160">
        <f>MIN(ROUNDDOWN(G313/'NM Play'!$B$11,0)+F313/('NM Play'!$B$43/'NM Play'!$B$15),ROUNDDOWN(H313/'NM Play'!$B$12,0)+F313/('NM Play'!$B$44/'NM Play'!$B$16),(F313+ROUNDDOWN(G313/'NM Play'!$B$11,0)*'NM Play'!$B$43/'NM Play'!$B$15+ROUNDDOWN(H313/'NM Play'!$B$12,0)*'NM Play'!$B$44/'NM Play'!$B$16)/('NM Play'!$B$43/'NM Play'!$B$15+'NM Play'!$B$44/'NM Play'!$B$16))</f>
        <v/>
      </c>
      <c r="M313" s="160">
        <f>F313*'NM Play'!$B$36</f>
        <v/>
      </c>
      <c r="N313" s="160">
        <f>ROUNDDOWN(MAX(0,MIN(J313,K313:M313)),0)</f>
        <v/>
      </c>
      <c r="O313" s="160">
        <f>ROUNDUP(MAX(0,N313*'NM Play'!$B$11-G313)/'NM Play'!$B$13,0)</f>
        <v/>
      </c>
      <c r="P313" s="160">
        <f>ROUNDUP(MAX(0,N313*'NM Play'!$B$12-H313)/'NM Play'!$B$14,0)</f>
        <v/>
      </c>
      <c r="Q313" s="160">
        <f>(O313+IF('Sites'!$C$8="Own sheets",P313,0))/'NM Play'!$B$10</f>
        <v/>
      </c>
      <c r="R313" s="160">
        <f>O313/'NM Play'!$B$15+P313/'NM Play'!$B$16</f>
        <v/>
      </c>
      <c r="S313" s="160">
        <f>MAX(Q313,R313,N313/'NM Play'!$B$36)</f>
        <v/>
      </c>
      <c r="T313" s="160">
        <f>Q313*'NM Play'!$B$10*'NM Play'!$B$21*(1+'NM Play'!$B$35)</f>
        <v/>
      </c>
      <c r="U313" s="160">
        <f>MAX(0,T313-I313)</f>
        <v/>
      </c>
      <c r="V313" s="160">
        <f>G313+O313*'NM Play'!$B$13-N313*'NM Play'!$B$11</f>
        <v/>
      </c>
      <c r="W313" s="160">
        <f>H313+P313*'NM Play'!$B$14-N313*'NM Play'!$B$12</f>
        <v/>
      </c>
      <c r="X313" s="160">
        <f>I313+U313-T313</f>
        <v/>
      </c>
      <c r="Y313" s="160">
        <f>MIN(N313,MAX(0,ROUNDDOWN('Sites'!$M$8*'Cases'!$E$8,0)-SUM(Y306:Y312)))</f>
        <v/>
      </c>
      <c r="Z313" s="160">
        <f>N313-Y313</f>
        <v/>
      </c>
      <c r="AA313" s="160">
        <f>U313*'NM Play'!$B$22</f>
        <v/>
      </c>
      <c r="AB313" s="160">
        <f>N313*SUM('NM Play'!$B$29:$B$31)</f>
        <v/>
      </c>
      <c r="AC313" s="160">
        <f>IF('Sites'!$C$8="Defy legs",P313*'NM Play'!$B$14/'NM Play'!$B$12*'NM Play'!$B$28,0)</f>
        <v/>
      </c>
      <c r="AD313" s="160">
        <f>Q313*'NM Play'!$B$23</f>
        <v/>
      </c>
      <c r="AE313" s="160">
        <f>S313*SUM('NM Play'!$B$26,'NM Play'!$B$33:$B$34)</f>
        <v/>
      </c>
      <c r="AF313" s="160">
        <f>IF('Sites'!$D$8="NM crew",S313*SUM('NM Play'!$B$24:$B$25),0)</f>
        <v/>
      </c>
      <c r="AG313" s="160">
        <f>IF('Sites'!$D$8="NM crew",S313*'NM Play'!$B$27,0)</f>
        <v/>
      </c>
      <c r="AH313" s="160">
        <f>N313*'Sites'!$Z$8*'NM Play'!$B$32</f>
        <v/>
      </c>
      <c r="AI313" s="160">
        <f>SUM(Y313:Z313)*'Sites'!$R$8</f>
        <v/>
      </c>
      <c r="AJ313" s="160">
        <f>SUM(AA313:AH313)</f>
        <v/>
      </c>
      <c r="AK313" s="160">
        <f>AJ313+(T313-U313)*'NM Play'!$B$22+MIN(G313,N313*'NM Play'!$B$11)/'NM Play'!$B$13*'NM Play'!$B$21*'NM Play'!$B$22+MIN(H313,N313*'NM Play'!$B$12)/'NM Play'!$B$14*IF('Sites'!$C$8="Own sheets",'NM Play'!$B$21*'NM Play'!$B$22,'NM Play'!$B$28*'NM Play'!$B$14/'NM Play'!$B$12)</f>
        <v/>
      </c>
      <c r="AL313" s="160">
        <f>Y313*'Assumptions'!W66</f>
        <v/>
      </c>
      <c r="AM313" s="160">
        <f>IF('Sites'!$D$8="NM crew",S313*'NM Play'!$B$37*(1+IF(AND(ISNUMBER('NM Play'!$B$25),'NM Play'!$B$25&gt;0),1,0)),"")</f>
        <v/>
      </c>
      <c r="AN313" s="160">
        <f>IF(OR('Sites'!$E$8&lt;0,'Sites'!$E$8&gt;1,'Sites'!$F$8&lt;1,'Sites'!$G$8&lt;'Sites'!$F$8,F313&lt;0,MIN('Sites'!$I$8:'Sites'!$R$8)&lt;0,'Sites'!$L$8&gt;'Sites'!$I$8,'Sites'!$M$8&gt;'Sites'!$J$8,'Sites'!$N$8&gt;'Sites'!$K$8,'Sites'!$Z$8&lt;0,'Sites'!$Z$8&gt;1,MIN('Sites'!$AA$8:'Sites'!$AC$8)&lt;0,S313&gt;F313+0.001),1,0)</f>
        <v/>
      </c>
      <c r="AO313" s="160">
        <f>I313+U313-T313-X313</f>
        <v/>
      </c>
    </row>
    <row r="314" ht="28" customHeight="1">
      <c r="A314" s="4" t="inlineStr">
        <is>
          <t>No QBE</t>
        </is>
      </c>
      <c r="B314" s="4" t="inlineStr">
        <is>
          <t>NEW2</t>
        </is>
      </c>
      <c r="C314" s="160" t="n">
        <v>21</v>
      </c>
      <c r="D314" s="160">
        <f>ROUNDUP(C314/12,0)</f>
        <v/>
      </c>
      <c r="E314" s="160">
        <f>IF(AND('Sites'!$E$8*'Cases'!$F$8=1,C314&gt;='Sites'!$F$8+'Cases'!$G$8,C314&lt;='Sites'!$G$8),1,0)</f>
        <v/>
      </c>
      <c r="F314" s="160">
        <f>E314*'Assumptions'!X69</f>
        <v/>
      </c>
      <c r="G314" s="160">
        <f>V313</f>
        <v/>
      </c>
      <c r="H314" s="160">
        <f>W313</f>
        <v/>
      </c>
      <c r="I314" s="160">
        <f>X313</f>
        <v/>
      </c>
      <c r="J314" s="160">
        <f>MAX(0,'Sites'!$J$8-SUM(N306:N313))</f>
        <v/>
      </c>
      <c r="K314" s="160">
        <f>IF('Sites'!$C$8="Own sheets",MIN(ROUNDDOWN(G314/'NM Play'!$B$11,0)+F314*'NM Play'!$B$10/'NM Play'!$B$43,ROUNDDOWN(H314/'NM Play'!$B$12,0)+F314*'NM Play'!$B$10/'NM Play'!$B$44,(F314*'NM Play'!$B$10+ROUNDDOWN(G314/'NM Play'!$B$11,0)*'NM Play'!$B$43+ROUNDDOWN(H314/'NM Play'!$B$12,0)*'NM Play'!$B$44)/('NM Play'!$B$43+'NM Play'!$B$44)),ROUNDDOWN(G314/'NM Play'!$B$11,0)+F314*'NM Play'!$B$10/'NM Play'!$B$43)</f>
        <v/>
      </c>
      <c r="L314" s="160">
        <f>MIN(ROUNDDOWN(G314/'NM Play'!$B$11,0)+F314/('NM Play'!$B$43/'NM Play'!$B$15),ROUNDDOWN(H314/'NM Play'!$B$12,0)+F314/('NM Play'!$B$44/'NM Play'!$B$16),(F314+ROUNDDOWN(G314/'NM Play'!$B$11,0)*'NM Play'!$B$43/'NM Play'!$B$15+ROUNDDOWN(H314/'NM Play'!$B$12,0)*'NM Play'!$B$44/'NM Play'!$B$16)/('NM Play'!$B$43/'NM Play'!$B$15+'NM Play'!$B$44/'NM Play'!$B$16))</f>
        <v/>
      </c>
      <c r="M314" s="160">
        <f>F314*'NM Play'!$B$36</f>
        <v/>
      </c>
      <c r="N314" s="160">
        <f>ROUNDDOWN(MAX(0,MIN(J314,K314:M314)),0)</f>
        <v/>
      </c>
      <c r="O314" s="160">
        <f>ROUNDUP(MAX(0,N314*'NM Play'!$B$11-G314)/'NM Play'!$B$13,0)</f>
        <v/>
      </c>
      <c r="P314" s="160">
        <f>ROUNDUP(MAX(0,N314*'NM Play'!$B$12-H314)/'NM Play'!$B$14,0)</f>
        <v/>
      </c>
      <c r="Q314" s="160">
        <f>(O314+IF('Sites'!$C$8="Own sheets",P314,0))/'NM Play'!$B$10</f>
        <v/>
      </c>
      <c r="R314" s="160">
        <f>O314/'NM Play'!$B$15+P314/'NM Play'!$B$16</f>
        <v/>
      </c>
      <c r="S314" s="160">
        <f>MAX(Q314,R314,N314/'NM Play'!$B$36)</f>
        <v/>
      </c>
      <c r="T314" s="160">
        <f>Q314*'NM Play'!$B$10*'NM Play'!$B$21*(1+'NM Play'!$B$35)</f>
        <v/>
      </c>
      <c r="U314" s="160">
        <f>MAX(0,T314-I314)</f>
        <v/>
      </c>
      <c r="V314" s="160">
        <f>G314+O314*'NM Play'!$B$13-N314*'NM Play'!$B$11</f>
        <v/>
      </c>
      <c r="W314" s="160">
        <f>H314+P314*'NM Play'!$B$14-N314*'NM Play'!$B$12</f>
        <v/>
      </c>
      <c r="X314" s="160">
        <f>I314+U314-T314</f>
        <v/>
      </c>
      <c r="Y314" s="160">
        <f>MIN(N314,MAX(0,ROUNDDOWN('Sites'!$M$8*'Cases'!$E$8,0)-SUM(Y306:Y313)))</f>
        <v/>
      </c>
      <c r="Z314" s="160">
        <f>N314-Y314</f>
        <v/>
      </c>
      <c r="AA314" s="160">
        <f>U314*'NM Play'!$B$22</f>
        <v/>
      </c>
      <c r="AB314" s="160">
        <f>N314*SUM('NM Play'!$B$29:$B$31)</f>
        <v/>
      </c>
      <c r="AC314" s="160">
        <f>IF('Sites'!$C$8="Defy legs",P314*'NM Play'!$B$14/'NM Play'!$B$12*'NM Play'!$B$28,0)</f>
        <v/>
      </c>
      <c r="AD314" s="160">
        <f>Q314*'NM Play'!$B$23</f>
        <v/>
      </c>
      <c r="AE314" s="160">
        <f>S314*SUM('NM Play'!$B$26,'NM Play'!$B$33:$B$34)</f>
        <v/>
      </c>
      <c r="AF314" s="160">
        <f>IF('Sites'!$D$8="NM crew",S314*SUM('NM Play'!$B$24:$B$25),0)</f>
        <v/>
      </c>
      <c r="AG314" s="160">
        <f>IF('Sites'!$D$8="NM crew",S314*'NM Play'!$B$27,0)</f>
        <v/>
      </c>
      <c r="AH314" s="160">
        <f>N314*'Sites'!$Z$8*'NM Play'!$B$32</f>
        <v/>
      </c>
      <c r="AI314" s="160">
        <f>SUM(Y314:Z314)*'Sites'!$R$8</f>
        <v/>
      </c>
      <c r="AJ314" s="160">
        <f>SUM(AA314:AH314)</f>
        <v/>
      </c>
      <c r="AK314" s="160">
        <f>AJ314+(T314-U314)*'NM Play'!$B$22+MIN(G314,N314*'NM Play'!$B$11)/'NM Play'!$B$13*'NM Play'!$B$21*'NM Play'!$B$22+MIN(H314,N314*'NM Play'!$B$12)/'NM Play'!$B$14*IF('Sites'!$C$8="Own sheets",'NM Play'!$B$21*'NM Play'!$B$22,'NM Play'!$B$28*'NM Play'!$B$14/'NM Play'!$B$12)</f>
        <v/>
      </c>
      <c r="AL314" s="160">
        <f>Y314*'Assumptions'!X66</f>
        <v/>
      </c>
      <c r="AM314" s="160">
        <f>IF('Sites'!$D$8="NM crew",S314*'NM Play'!$B$37*(1+IF(AND(ISNUMBER('NM Play'!$B$25),'NM Play'!$B$25&gt;0),1,0)),"")</f>
        <v/>
      </c>
      <c r="AN314" s="160">
        <f>IF(OR('Sites'!$E$8&lt;0,'Sites'!$E$8&gt;1,'Sites'!$F$8&lt;1,'Sites'!$G$8&lt;'Sites'!$F$8,F314&lt;0,MIN('Sites'!$I$8:'Sites'!$R$8)&lt;0,'Sites'!$L$8&gt;'Sites'!$I$8,'Sites'!$M$8&gt;'Sites'!$J$8,'Sites'!$N$8&gt;'Sites'!$K$8,'Sites'!$Z$8&lt;0,'Sites'!$Z$8&gt;1,MIN('Sites'!$AA$8:'Sites'!$AC$8)&lt;0,S314&gt;F314+0.001),1,0)</f>
        <v/>
      </c>
      <c r="AO314" s="160">
        <f>I314+U314-T314-X314</f>
        <v/>
      </c>
    </row>
    <row r="315" ht="28" customHeight="1">
      <c r="A315" s="4" t="inlineStr">
        <is>
          <t>No QBE</t>
        </is>
      </c>
      <c r="B315" s="4" t="inlineStr">
        <is>
          <t>NEW2</t>
        </is>
      </c>
      <c r="C315" s="160" t="n">
        <v>22</v>
      </c>
      <c r="D315" s="160">
        <f>ROUNDUP(C315/12,0)</f>
        <v/>
      </c>
      <c r="E315" s="160">
        <f>IF(AND('Sites'!$E$8*'Cases'!$F$8=1,C315&gt;='Sites'!$F$8+'Cases'!$G$8,C315&lt;='Sites'!$G$8),1,0)</f>
        <v/>
      </c>
      <c r="F315" s="160">
        <f>E315*'Assumptions'!Y69</f>
        <v/>
      </c>
      <c r="G315" s="160">
        <f>V314</f>
        <v/>
      </c>
      <c r="H315" s="160">
        <f>W314</f>
        <v/>
      </c>
      <c r="I315" s="160">
        <f>X314</f>
        <v/>
      </c>
      <c r="J315" s="160">
        <f>MAX(0,'Sites'!$J$8-SUM(N306:N314))</f>
        <v/>
      </c>
      <c r="K315" s="160">
        <f>IF('Sites'!$C$8="Own sheets",MIN(ROUNDDOWN(G315/'NM Play'!$B$11,0)+F315*'NM Play'!$B$10/'NM Play'!$B$43,ROUNDDOWN(H315/'NM Play'!$B$12,0)+F315*'NM Play'!$B$10/'NM Play'!$B$44,(F315*'NM Play'!$B$10+ROUNDDOWN(G315/'NM Play'!$B$11,0)*'NM Play'!$B$43+ROUNDDOWN(H315/'NM Play'!$B$12,0)*'NM Play'!$B$44)/('NM Play'!$B$43+'NM Play'!$B$44)),ROUNDDOWN(G315/'NM Play'!$B$11,0)+F315*'NM Play'!$B$10/'NM Play'!$B$43)</f>
        <v/>
      </c>
      <c r="L315" s="160">
        <f>MIN(ROUNDDOWN(G315/'NM Play'!$B$11,0)+F315/('NM Play'!$B$43/'NM Play'!$B$15),ROUNDDOWN(H315/'NM Play'!$B$12,0)+F315/('NM Play'!$B$44/'NM Play'!$B$16),(F315+ROUNDDOWN(G315/'NM Play'!$B$11,0)*'NM Play'!$B$43/'NM Play'!$B$15+ROUNDDOWN(H315/'NM Play'!$B$12,0)*'NM Play'!$B$44/'NM Play'!$B$16)/('NM Play'!$B$43/'NM Play'!$B$15+'NM Play'!$B$44/'NM Play'!$B$16))</f>
        <v/>
      </c>
      <c r="M315" s="160">
        <f>F315*'NM Play'!$B$36</f>
        <v/>
      </c>
      <c r="N315" s="160">
        <f>ROUNDDOWN(MAX(0,MIN(J315,K315:M315)),0)</f>
        <v/>
      </c>
      <c r="O315" s="160">
        <f>ROUNDUP(MAX(0,N315*'NM Play'!$B$11-G315)/'NM Play'!$B$13,0)</f>
        <v/>
      </c>
      <c r="P315" s="160">
        <f>ROUNDUP(MAX(0,N315*'NM Play'!$B$12-H315)/'NM Play'!$B$14,0)</f>
        <v/>
      </c>
      <c r="Q315" s="160">
        <f>(O315+IF('Sites'!$C$8="Own sheets",P315,0))/'NM Play'!$B$10</f>
        <v/>
      </c>
      <c r="R315" s="160">
        <f>O315/'NM Play'!$B$15+P315/'NM Play'!$B$16</f>
        <v/>
      </c>
      <c r="S315" s="160">
        <f>MAX(Q315,R315,N315/'NM Play'!$B$36)</f>
        <v/>
      </c>
      <c r="T315" s="160">
        <f>Q315*'NM Play'!$B$10*'NM Play'!$B$21*(1+'NM Play'!$B$35)</f>
        <v/>
      </c>
      <c r="U315" s="160">
        <f>MAX(0,T315-I315)</f>
        <v/>
      </c>
      <c r="V315" s="160">
        <f>G315+O315*'NM Play'!$B$13-N315*'NM Play'!$B$11</f>
        <v/>
      </c>
      <c r="W315" s="160">
        <f>H315+P315*'NM Play'!$B$14-N315*'NM Play'!$B$12</f>
        <v/>
      </c>
      <c r="X315" s="160">
        <f>I315+U315-T315</f>
        <v/>
      </c>
      <c r="Y315" s="160">
        <f>MIN(N315,MAX(0,ROUNDDOWN('Sites'!$M$8*'Cases'!$E$8,0)-SUM(Y306:Y314)))</f>
        <v/>
      </c>
      <c r="Z315" s="160">
        <f>N315-Y315</f>
        <v/>
      </c>
      <c r="AA315" s="160">
        <f>U315*'NM Play'!$B$22</f>
        <v/>
      </c>
      <c r="AB315" s="160">
        <f>N315*SUM('NM Play'!$B$29:$B$31)</f>
        <v/>
      </c>
      <c r="AC315" s="160">
        <f>IF('Sites'!$C$8="Defy legs",P315*'NM Play'!$B$14/'NM Play'!$B$12*'NM Play'!$B$28,0)</f>
        <v/>
      </c>
      <c r="AD315" s="160">
        <f>Q315*'NM Play'!$B$23</f>
        <v/>
      </c>
      <c r="AE315" s="160">
        <f>S315*SUM('NM Play'!$B$26,'NM Play'!$B$33:$B$34)</f>
        <v/>
      </c>
      <c r="AF315" s="160">
        <f>IF('Sites'!$D$8="NM crew",S315*SUM('NM Play'!$B$24:$B$25),0)</f>
        <v/>
      </c>
      <c r="AG315" s="160">
        <f>IF('Sites'!$D$8="NM crew",S315*'NM Play'!$B$27,0)</f>
        <v/>
      </c>
      <c r="AH315" s="160">
        <f>N315*'Sites'!$Z$8*'NM Play'!$B$32</f>
        <v/>
      </c>
      <c r="AI315" s="160">
        <f>SUM(Y315:Z315)*'Sites'!$R$8</f>
        <v/>
      </c>
      <c r="AJ315" s="160">
        <f>SUM(AA315:AH315)</f>
        <v/>
      </c>
      <c r="AK315" s="160">
        <f>AJ315+(T315-U315)*'NM Play'!$B$22+MIN(G315,N315*'NM Play'!$B$11)/'NM Play'!$B$13*'NM Play'!$B$21*'NM Play'!$B$22+MIN(H315,N315*'NM Play'!$B$12)/'NM Play'!$B$14*IF('Sites'!$C$8="Own sheets",'NM Play'!$B$21*'NM Play'!$B$22,'NM Play'!$B$28*'NM Play'!$B$14/'NM Play'!$B$12)</f>
        <v/>
      </c>
      <c r="AL315" s="160">
        <f>Y315*'Assumptions'!Y66</f>
        <v/>
      </c>
      <c r="AM315" s="160">
        <f>IF('Sites'!$D$8="NM crew",S315*'NM Play'!$B$37*(1+IF(AND(ISNUMBER('NM Play'!$B$25),'NM Play'!$B$25&gt;0),1,0)),"")</f>
        <v/>
      </c>
      <c r="AN315" s="160">
        <f>IF(OR('Sites'!$E$8&lt;0,'Sites'!$E$8&gt;1,'Sites'!$F$8&lt;1,'Sites'!$G$8&lt;'Sites'!$F$8,F315&lt;0,MIN('Sites'!$I$8:'Sites'!$R$8)&lt;0,'Sites'!$L$8&gt;'Sites'!$I$8,'Sites'!$M$8&gt;'Sites'!$J$8,'Sites'!$N$8&gt;'Sites'!$K$8,'Sites'!$Z$8&lt;0,'Sites'!$Z$8&gt;1,MIN('Sites'!$AA$8:'Sites'!$AC$8)&lt;0,S315&gt;F315+0.001),1,0)</f>
        <v/>
      </c>
      <c r="AO315" s="160">
        <f>I315+U315-T315-X315</f>
        <v/>
      </c>
    </row>
    <row r="316" ht="28" customHeight="1">
      <c r="A316" s="4" t="inlineStr">
        <is>
          <t>No QBE</t>
        </is>
      </c>
      <c r="B316" s="4" t="inlineStr">
        <is>
          <t>NEW2</t>
        </is>
      </c>
      <c r="C316" s="160" t="n">
        <v>23</v>
      </c>
      <c r="D316" s="160">
        <f>ROUNDUP(C316/12,0)</f>
        <v/>
      </c>
      <c r="E316" s="160">
        <f>IF(AND('Sites'!$E$8*'Cases'!$F$8=1,C316&gt;='Sites'!$F$8+'Cases'!$G$8,C316&lt;='Sites'!$G$8),1,0)</f>
        <v/>
      </c>
      <c r="F316" s="160">
        <f>E316*'Assumptions'!Z69</f>
        <v/>
      </c>
      <c r="G316" s="160">
        <f>V315</f>
        <v/>
      </c>
      <c r="H316" s="160">
        <f>W315</f>
        <v/>
      </c>
      <c r="I316" s="160">
        <f>X315</f>
        <v/>
      </c>
      <c r="J316" s="160">
        <f>MAX(0,'Sites'!$J$8-SUM(N306:N315))</f>
        <v/>
      </c>
      <c r="K316" s="160">
        <f>IF('Sites'!$C$8="Own sheets",MIN(ROUNDDOWN(G316/'NM Play'!$B$11,0)+F316*'NM Play'!$B$10/'NM Play'!$B$43,ROUNDDOWN(H316/'NM Play'!$B$12,0)+F316*'NM Play'!$B$10/'NM Play'!$B$44,(F316*'NM Play'!$B$10+ROUNDDOWN(G316/'NM Play'!$B$11,0)*'NM Play'!$B$43+ROUNDDOWN(H316/'NM Play'!$B$12,0)*'NM Play'!$B$44)/('NM Play'!$B$43+'NM Play'!$B$44)),ROUNDDOWN(G316/'NM Play'!$B$11,0)+F316*'NM Play'!$B$10/'NM Play'!$B$43)</f>
        <v/>
      </c>
      <c r="L316" s="160">
        <f>MIN(ROUNDDOWN(G316/'NM Play'!$B$11,0)+F316/('NM Play'!$B$43/'NM Play'!$B$15),ROUNDDOWN(H316/'NM Play'!$B$12,0)+F316/('NM Play'!$B$44/'NM Play'!$B$16),(F316+ROUNDDOWN(G316/'NM Play'!$B$11,0)*'NM Play'!$B$43/'NM Play'!$B$15+ROUNDDOWN(H316/'NM Play'!$B$12,0)*'NM Play'!$B$44/'NM Play'!$B$16)/('NM Play'!$B$43/'NM Play'!$B$15+'NM Play'!$B$44/'NM Play'!$B$16))</f>
        <v/>
      </c>
      <c r="M316" s="160">
        <f>F316*'NM Play'!$B$36</f>
        <v/>
      </c>
      <c r="N316" s="160">
        <f>ROUNDDOWN(MAX(0,MIN(J316,K316:M316)),0)</f>
        <v/>
      </c>
      <c r="O316" s="160">
        <f>ROUNDUP(MAX(0,N316*'NM Play'!$B$11-G316)/'NM Play'!$B$13,0)</f>
        <v/>
      </c>
      <c r="P316" s="160">
        <f>ROUNDUP(MAX(0,N316*'NM Play'!$B$12-H316)/'NM Play'!$B$14,0)</f>
        <v/>
      </c>
      <c r="Q316" s="160">
        <f>(O316+IF('Sites'!$C$8="Own sheets",P316,0))/'NM Play'!$B$10</f>
        <v/>
      </c>
      <c r="R316" s="160">
        <f>O316/'NM Play'!$B$15+P316/'NM Play'!$B$16</f>
        <v/>
      </c>
      <c r="S316" s="160">
        <f>MAX(Q316,R316,N316/'NM Play'!$B$36)</f>
        <v/>
      </c>
      <c r="T316" s="160">
        <f>Q316*'NM Play'!$B$10*'NM Play'!$B$21*(1+'NM Play'!$B$35)</f>
        <v/>
      </c>
      <c r="U316" s="160">
        <f>MAX(0,T316-I316)</f>
        <v/>
      </c>
      <c r="V316" s="160">
        <f>G316+O316*'NM Play'!$B$13-N316*'NM Play'!$B$11</f>
        <v/>
      </c>
      <c r="W316" s="160">
        <f>H316+P316*'NM Play'!$B$14-N316*'NM Play'!$B$12</f>
        <v/>
      </c>
      <c r="X316" s="160">
        <f>I316+U316-T316</f>
        <v/>
      </c>
      <c r="Y316" s="160">
        <f>MIN(N316,MAX(0,ROUNDDOWN('Sites'!$M$8*'Cases'!$E$8,0)-SUM(Y306:Y315)))</f>
        <v/>
      </c>
      <c r="Z316" s="160">
        <f>N316-Y316</f>
        <v/>
      </c>
      <c r="AA316" s="160">
        <f>U316*'NM Play'!$B$22</f>
        <v/>
      </c>
      <c r="AB316" s="160">
        <f>N316*SUM('NM Play'!$B$29:$B$31)</f>
        <v/>
      </c>
      <c r="AC316" s="160">
        <f>IF('Sites'!$C$8="Defy legs",P316*'NM Play'!$B$14/'NM Play'!$B$12*'NM Play'!$B$28,0)</f>
        <v/>
      </c>
      <c r="AD316" s="160">
        <f>Q316*'NM Play'!$B$23</f>
        <v/>
      </c>
      <c r="AE316" s="160">
        <f>S316*SUM('NM Play'!$B$26,'NM Play'!$B$33:$B$34)</f>
        <v/>
      </c>
      <c r="AF316" s="160">
        <f>IF('Sites'!$D$8="NM crew",S316*SUM('NM Play'!$B$24:$B$25),0)</f>
        <v/>
      </c>
      <c r="AG316" s="160">
        <f>IF('Sites'!$D$8="NM crew",S316*'NM Play'!$B$27,0)</f>
        <v/>
      </c>
      <c r="AH316" s="160">
        <f>N316*'Sites'!$Z$8*'NM Play'!$B$32</f>
        <v/>
      </c>
      <c r="AI316" s="160">
        <f>SUM(Y316:Z316)*'Sites'!$R$8</f>
        <v/>
      </c>
      <c r="AJ316" s="160">
        <f>SUM(AA316:AH316)</f>
        <v/>
      </c>
      <c r="AK316" s="160">
        <f>AJ316+(T316-U316)*'NM Play'!$B$22+MIN(G316,N316*'NM Play'!$B$11)/'NM Play'!$B$13*'NM Play'!$B$21*'NM Play'!$B$22+MIN(H316,N316*'NM Play'!$B$12)/'NM Play'!$B$14*IF('Sites'!$C$8="Own sheets",'NM Play'!$B$21*'NM Play'!$B$22,'NM Play'!$B$28*'NM Play'!$B$14/'NM Play'!$B$12)</f>
        <v/>
      </c>
      <c r="AL316" s="160">
        <f>Y316*'Assumptions'!Z66</f>
        <v/>
      </c>
      <c r="AM316" s="160">
        <f>IF('Sites'!$D$8="NM crew",S316*'NM Play'!$B$37*(1+IF(AND(ISNUMBER('NM Play'!$B$25),'NM Play'!$B$25&gt;0),1,0)),"")</f>
        <v/>
      </c>
      <c r="AN316" s="160">
        <f>IF(OR('Sites'!$E$8&lt;0,'Sites'!$E$8&gt;1,'Sites'!$F$8&lt;1,'Sites'!$G$8&lt;'Sites'!$F$8,F316&lt;0,MIN('Sites'!$I$8:'Sites'!$R$8)&lt;0,'Sites'!$L$8&gt;'Sites'!$I$8,'Sites'!$M$8&gt;'Sites'!$J$8,'Sites'!$N$8&gt;'Sites'!$K$8,'Sites'!$Z$8&lt;0,'Sites'!$Z$8&gt;1,MIN('Sites'!$AA$8:'Sites'!$AC$8)&lt;0,S316&gt;F316+0.001),1,0)</f>
        <v/>
      </c>
      <c r="AO316" s="160">
        <f>I316+U316-T316-X316</f>
        <v/>
      </c>
    </row>
    <row r="317" ht="28" customHeight="1">
      <c r="A317" s="4" t="inlineStr">
        <is>
          <t>No QBE</t>
        </is>
      </c>
      <c r="B317" s="4" t="inlineStr">
        <is>
          <t>NEW2</t>
        </is>
      </c>
      <c r="C317" s="160" t="n">
        <v>24</v>
      </c>
      <c r="D317" s="160">
        <f>ROUNDUP(C317/12,0)</f>
        <v/>
      </c>
      <c r="E317" s="160">
        <f>IF(AND('Sites'!$E$8*'Cases'!$F$8=1,C317&gt;='Sites'!$F$8+'Cases'!$G$8,C317&lt;='Sites'!$G$8),1,0)</f>
        <v/>
      </c>
      <c r="F317" s="160">
        <f>E317*'Assumptions'!AA69</f>
        <v/>
      </c>
      <c r="G317" s="160">
        <f>V316</f>
        <v/>
      </c>
      <c r="H317" s="160">
        <f>W316</f>
        <v/>
      </c>
      <c r="I317" s="160">
        <f>X316</f>
        <v/>
      </c>
      <c r="J317" s="160">
        <f>MAX(0,'Sites'!$J$8-SUM(N306:N316))</f>
        <v/>
      </c>
      <c r="K317" s="160">
        <f>IF('Sites'!$C$8="Own sheets",MIN(ROUNDDOWN(G317/'NM Play'!$B$11,0)+F317*'NM Play'!$B$10/'NM Play'!$B$43,ROUNDDOWN(H317/'NM Play'!$B$12,0)+F317*'NM Play'!$B$10/'NM Play'!$B$44,(F317*'NM Play'!$B$10+ROUNDDOWN(G317/'NM Play'!$B$11,0)*'NM Play'!$B$43+ROUNDDOWN(H317/'NM Play'!$B$12,0)*'NM Play'!$B$44)/('NM Play'!$B$43+'NM Play'!$B$44)),ROUNDDOWN(G317/'NM Play'!$B$11,0)+F317*'NM Play'!$B$10/'NM Play'!$B$43)</f>
        <v/>
      </c>
      <c r="L317" s="160">
        <f>MIN(ROUNDDOWN(G317/'NM Play'!$B$11,0)+F317/('NM Play'!$B$43/'NM Play'!$B$15),ROUNDDOWN(H317/'NM Play'!$B$12,0)+F317/('NM Play'!$B$44/'NM Play'!$B$16),(F317+ROUNDDOWN(G317/'NM Play'!$B$11,0)*'NM Play'!$B$43/'NM Play'!$B$15+ROUNDDOWN(H317/'NM Play'!$B$12,0)*'NM Play'!$B$44/'NM Play'!$B$16)/('NM Play'!$B$43/'NM Play'!$B$15+'NM Play'!$B$44/'NM Play'!$B$16))</f>
        <v/>
      </c>
      <c r="M317" s="160">
        <f>F317*'NM Play'!$B$36</f>
        <v/>
      </c>
      <c r="N317" s="160">
        <f>ROUNDDOWN(MAX(0,MIN(J317,K317:M317)),0)</f>
        <v/>
      </c>
      <c r="O317" s="160">
        <f>ROUNDUP(MAX(0,N317*'NM Play'!$B$11-G317)/'NM Play'!$B$13,0)</f>
        <v/>
      </c>
      <c r="P317" s="160">
        <f>ROUNDUP(MAX(0,N317*'NM Play'!$B$12-H317)/'NM Play'!$B$14,0)</f>
        <v/>
      </c>
      <c r="Q317" s="160">
        <f>(O317+IF('Sites'!$C$8="Own sheets",P317,0))/'NM Play'!$B$10</f>
        <v/>
      </c>
      <c r="R317" s="160">
        <f>O317/'NM Play'!$B$15+P317/'NM Play'!$B$16</f>
        <v/>
      </c>
      <c r="S317" s="160">
        <f>MAX(Q317,R317,N317/'NM Play'!$B$36)</f>
        <v/>
      </c>
      <c r="T317" s="160">
        <f>Q317*'NM Play'!$B$10*'NM Play'!$B$21*(1+'NM Play'!$B$35)</f>
        <v/>
      </c>
      <c r="U317" s="160">
        <f>MAX(0,T317-I317)</f>
        <v/>
      </c>
      <c r="V317" s="160">
        <f>G317+O317*'NM Play'!$B$13-N317*'NM Play'!$B$11</f>
        <v/>
      </c>
      <c r="W317" s="160">
        <f>H317+P317*'NM Play'!$B$14-N317*'NM Play'!$B$12</f>
        <v/>
      </c>
      <c r="X317" s="160">
        <f>I317+U317-T317</f>
        <v/>
      </c>
      <c r="Y317" s="160">
        <f>MIN(N317,MAX(0,ROUNDDOWN('Sites'!$M$8*'Cases'!$E$8,0)-SUM(Y306:Y316)))</f>
        <v/>
      </c>
      <c r="Z317" s="160">
        <f>N317-Y317</f>
        <v/>
      </c>
      <c r="AA317" s="160">
        <f>U317*'NM Play'!$B$22</f>
        <v/>
      </c>
      <c r="AB317" s="160">
        <f>N317*SUM('NM Play'!$B$29:$B$31)</f>
        <v/>
      </c>
      <c r="AC317" s="160">
        <f>IF('Sites'!$C$8="Defy legs",P317*'NM Play'!$B$14/'NM Play'!$B$12*'NM Play'!$B$28,0)</f>
        <v/>
      </c>
      <c r="AD317" s="160">
        <f>Q317*'NM Play'!$B$23</f>
        <v/>
      </c>
      <c r="AE317" s="160">
        <f>S317*SUM('NM Play'!$B$26,'NM Play'!$B$33:$B$34)</f>
        <v/>
      </c>
      <c r="AF317" s="160">
        <f>IF('Sites'!$D$8="NM crew",S317*SUM('NM Play'!$B$24:$B$25),0)</f>
        <v/>
      </c>
      <c r="AG317" s="160">
        <f>IF('Sites'!$D$8="NM crew",S317*'NM Play'!$B$27,0)</f>
        <v/>
      </c>
      <c r="AH317" s="160">
        <f>N317*'Sites'!$Z$8*'NM Play'!$B$32</f>
        <v/>
      </c>
      <c r="AI317" s="160">
        <f>SUM(Y317:Z317)*'Sites'!$R$8</f>
        <v/>
      </c>
      <c r="AJ317" s="160">
        <f>SUM(AA317:AH317)</f>
        <v/>
      </c>
      <c r="AK317" s="160">
        <f>AJ317+(T317-U317)*'NM Play'!$B$22+MIN(G317,N317*'NM Play'!$B$11)/'NM Play'!$B$13*'NM Play'!$B$21*'NM Play'!$B$22+MIN(H317,N317*'NM Play'!$B$12)/'NM Play'!$B$14*IF('Sites'!$C$8="Own sheets",'NM Play'!$B$21*'NM Play'!$B$22,'NM Play'!$B$28*'NM Play'!$B$14/'NM Play'!$B$12)</f>
        <v/>
      </c>
      <c r="AL317" s="160">
        <f>Y317*'Assumptions'!AA66</f>
        <v/>
      </c>
      <c r="AM317" s="160">
        <f>IF('Sites'!$D$8="NM crew",S317*'NM Play'!$B$37*(1+IF(AND(ISNUMBER('NM Play'!$B$25),'NM Play'!$B$25&gt;0),1,0)),"")</f>
        <v/>
      </c>
      <c r="AN317" s="160">
        <f>IF(OR('Sites'!$E$8&lt;0,'Sites'!$E$8&gt;1,'Sites'!$F$8&lt;1,'Sites'!$G$8&lt;'Sites'!$F$8,F317&lt;0,MIN('Sites'!$I$8:'Sites'!$R$8)&lt;0,'Sites'!$L$8&gt;'Sites'!$I$8,'Sites'!$M$8&gt;'Sites'!$J$8,'Sites'!$N$8&gt;'Sites'!$K$8,'Sites'!$Z$8&lt;0,'Sites'!$Z$8&gt;1,MIN('Sites'!$AA$8:'Sites'!$AC$8)&lt;0,S317&gt;F317+0.001),1,0)</f>
        <v/>
      </c>
      <c r="AO317" s="160">
        <f>I317+U317-T317-X317</f>
        <v/>
      </c>
    </row>
    <row r="318" ht="28" customHeight="1">
      <c r="A318" s="4" t="inlineStr">
        <is>
          <t>No QBE</t>
        </is>
      </c>
      <c r="B318" s="4" t="inlineStr">
        <is>
          <t>NEW2</t>
        </is>
      </c>
      <c r="C318" s="160" t="n">
        <v>25</v>
      </c>
      <c r="D318" s="160">
        <f>ROUNDUP(C318/12,0)</f>
        <v/>
      </c>
      <c r="E318" s="160">
        <f>IF(AND('Sites'!$E$8*'Cases'!$F$8=1,C318&gt;='Sites'!$F$8+'Cases'!$G$8,C318&lt;='Sites'!$G$8),1,0)</f>
        <v/>
      </c>
      <c r="F318" s="160">
        <f>E318*'Assumptions'!AB69</f>
        <v/>
      </c>
      <c r="G318" s="160">
        <f>V317</f>
        <v/>
      </c>
      <c r="H318" s="160">
        <f>W317</f>
        <v/>
      </c>
      <c r="I318" s="160">
        <f>X317</f>
        <v/>
      </c>
      <c r="J318" s="160">
        <f>MAX(0,'Sites'!$K$8-0)</f>
        <v/>
      </c>
      <c r="K318" s="160">
        <f>IF('Sites'!$C$8="Own sheets",MIN(ROUNDDOWN(G318/'NM Play'!$B$11,0)+F318*'NM Play'!$B$10/'NM Play'!$B$43,ROUNDDOWN(H318/'NM Play'!$B$12,0)+F318*'NM Play'!$B$10/'NM Play'!$B$44,(F318*'NM Play'!$B$10+ROUNDDOWN(G318/'NM Play'!$B$11,0)*'NM Play'!$B$43+ROUNDDOWN(H318/'NM Play'!$B$12,0)*'NM Play'!$B$44)/('NM Play'!$B$43+'NM Play'!$B$44)),ROUNDDOWN(G318/'NM Play'!$B$11,0)+F318*'NM Play'!$B$10/'NM Play'!$B$43)</f>
        <v/>
      </c>
      <c r="L318" s="160">
        <f>MIN(ROUNDDOWN(G318/'NM Play'!$B$11,0)+F318/('NM Play'!$B$43/'NM Play'!$B$15),ROUNDDOWN(H318/'NM Play'!$B$12,0)+F318/('NM Play'!$B$44/'NM Play'!$B$16),(F318+ROUNDDOWN(G318/'NM Play'!$B$11,0)*'NM Play'!$B$43/'NM Play'!$B$15+ROUNDDOWN(H318/'NM Play'!$B$12,0)*'NM Play'!$B$44/'NM Play'!$B$16)/('NM Play'!$B$43/'NM Play'!$B$15+'NM Play'!$B$44/'NM Play'!$B$16))</f>
        <v/>
      </c>
      <c r="M318" s="160">
        <f>F318*'NM Play'!$B$36</f>
        <v/>
      </c>
      <c r="N318" s="160">
        <f>ROUNDDOWN(MAX(0,MIN(J318,K318:M318)),0)</f>
        <v/>
      </c>
      <c r="O318" s="160">
        <f>ROUNDUP(MAX(0,N318*'NM Play'!$B$11-G318)/'NM Play'!$B$13,0)</f>
        <v/>
      </c>
      <c r="P318" s="160">
        <f>ROUNDUP(MAX(0,N318*'NM Play'!$B$12-H318)/'NM Play'!$B$14,0)</f>
        <v/>
      </c>
      <c r="Q318" s="160">
        <f>(O318+IF('Sites'!$C$8="Own sheets",P318,0))/'NM Play'!$B$10</f>
        <v/>
      </c>
      <c r="R318" s="160">
        <f>O318/'NM Play'!$B$15+P318/'NM Play'!$B$16</f>
        <v/>
      </c>
      <c r="S318" s="160">
        <f>MAX(Q318,R318,N318/'NM Play'!$B$36)</f>
        <v/>
      </c>
      <c r="T318" s="160">
        <f>Q318*'NM Play'!$B$10*'NM Play'!$B$21*(1+'NM Play'!$B$35)</f>
        <v/>
      </c>
      <c r="U318" s="160">
        <f>MAX(0,T318-I318)</f>
        <v/>
      </c>
      <c r="V318" s="160">
        <f>G318+O318*'NM Play'!$B$13-N318*'NM Play'!$B$11</f>
        <v/>
      </c>
      <c r="W318" s="160">
        <f>H318+P318*'NM Play'!$B$14-N318*'NM Play'!$B$12</f>
        <v/>
      </c>
      <c r="X318" s="160">
        <f>I318+U318-T318</f>
        <v/>
      </c>
      <c r="Y318" s="160">
        <f>MIN(N318,MAX(0,ROUNDDOWN('Sites'!$N$8*'Cases'!$E$8,0)-0))</f>
        <v/>
      </c>
      <c r="Z318" s="160">
        <f>N318-Y318</f>
        <v/>
      </c>
      <c r="AA318" s="160">
        <f>U318*'NM Play'!$B$22</f>
        <v/>
      </c>
      <c r="AB318" s="160">
        <f>N318*SUM('NM Play'!$B$29:$B$31)</f>
        <v/>
      </c>
      <c r="AC318" s="160">
        <f>IF('Sites'!$C$8="Defy legs",P318*'NM Play'!$B$14/'NM Play'!$B$12*'NM Play'!$B$28,0)</f>
        <v/>
      </c>
      <c r="AD318" s="160">
        <f>Q318*'NM Play'!$B$23</f>
        <v/>
      </c>
      <c r="AE318" s="160">
        <f>S318*SUM('NM Play'!$B$26,'NM Play'!$B$33:$B$34)</f>
        <v/>
      </c>
      <c r="AF318" s="160">
        <f>IF('Sites'!$D$8="NM crew",S318*SUM('NM Play'!$B$24:$B$25),0)</f>
        <v/>
      </c>
      <c r="AG318" s="160">
        <f>IF('Sites'!$D$8="NM crew",S318*'NM Play'!$B$27,0)</f>
        <v/>
      </c>
      <c r="AH318" s="160">
        <f>N318*'Sites'!$Z$8*'NM Play'!$B$32</f>
        <v/>
      </c>
      <c r="AI318" s="160">
        <f>SUM(Y318:Z318)*'Sites'!$R$8</f>
        <v/>
      </c>
      <c r="AJ318" s="160">
        <f>SUM(AA318:AH318)</f>
        <v/>
      </c>
      <c r="AK318" s="160">
        <f>AJ318+(T318-U318)*'NM Play'!$B$22+MIN(G318,N318*'NM Play'!$B$11)/'NM Play'!$B$13*'NM Play'!$B$21*'NM Play'!$B$22+MIN(H318,N318*'NM Play'!$B$12)/'NM Play'!$B$14*IF('Sites'!$C$8="Own sheets",'NM Play'!$B$21*'NM Play'!$B$22,'NM Play'!$B$28*'NM Play'!$B$14/'NM Play'!$B$12)</f>
        <v/>
      </c>
      <c r="AL318" s="160">
        <f>Y318*'Assumptions'!AB66</f>
        <v/>
      </c>
      <c r="AM318" s="160">
        <f>IF('Sites'!$D$8="NM crew",S318*'NM Play'!$B$37*(1+IF(AND(ISNUMBER('NM Play'!$B$25),'NM Play'!$B$25&gt;0),1,0)),"")</f>
        <v/>
      </c>
      <c r="AN318" s="160">
        <f>IF(OR('Sites'!$E$8&lt;0,'Sites'!$E$8&gt;1,'Sites'!$F$8&lt;1,'Sites'!$G$8&lt;'Sites'!$F$8,F318&lt;0,MIN('Sites'!$I$8:'Sites'!$R$8)&lt;0,'Sites'!$L$8&gt;'Sites'!$I$8,'Sites'!$M$8&gt;'Sites'!$J$8,'Sites'!$N$8&gt;'Sites'!$K$8,'Sites'!$Z$8&lt;0,'Sites'!$Z$8&gt;1,MIN('Sites'!$AA$8:'Sites'!$AC$8)&lt;0,S318&gt;F318+0.001),1,0)</f>
        <v/>
      </c>
      <c r="AO318" s="160">
        <f>I318+U318-T318-X318</f>
        <v/>
      </c>
    </row>
    <row r="319" ht="28" customHeight="1">
      <c r="A319" s="4" t="inlineStr">
        <is>
          <t>No QBE</t>
        </is>
      </c>
      <c r="B319" s="4" t="inlineStr">
        <is>
          <t>NEW2</t>
        </is>
      </c>
      <c r="C319" s="160" t="n">
        <v>26</v>
      </c>
      <c r="D319" s="160">
        <f>ROUNDUP(C319/12,0)</f>
        <v/>
      </c>
      <c r="E319" s="160">
        <f>IF(AND('Sites'!$E$8*'Cases'!$F$8=1,C319&gt;='Sites'!$F$8+'Cases'!$G$8,C319&lt;='Sites'!$G$8),1,0)</f>
        <v/>
      </c>
      <c r="F319" s="160">
        <f>E319*'Assumptions'!AC69</f>
        <v/>
      </c>
      <c r="G319" s="160">
        <f>V318</f>
        <v/>
      </c>
      <c r="H319" s="160">
        <f>W318</f>
        <v/>
      </c>
      <c r="I319" s="160">
        <f>X318</f>
        <v/>
      </c>
      <c r="J319" s="160">
        <f>MAX(0,'Sites'!$K$8-SUM(N318:N318))</f>
        <v/>
      </c>
      <c r="K319" s="160">
        <f>IF('Sites'!$C$8="Own sheets",MIN(ROUNDDOWN(G319/'NM Play'!$B$11,0)+F319*'NM Play'!$B$10/'NM Play'!$B$43,ROUNDDOWN(H319/'NM Play'!$B$12,0)+F319*'NM Play'!$B$10/'NM Play'!$B$44,(F319*'NM Play'!$B$10+ROUNDDOWN(G319/'NM Play'!$B$11,0)*'NM Play'!$B$43+ROUNDDOWN(H319/'NM Play'!$B$12,0)*'NM Play'!$B$44)/('NM Play'!$B$43+'NM Play'!$B$44)),ROUNDDOWN(G319/'NM Play'!$B$11,0)+F319*'NM Play'!$B$10/'NM Play'!$B$43)</f>
        <v/>
      </c>
      <c r="L319" s="160">
        <f>MIN(ROUNDDOWN(G319/'NM Play'!$B$11,0)+F319/('NM Play'!$B$43/'NM Play'!$B$15),ROUNDDOWN(H319/'NM Play'!$B$12,0)+F319/('NM Play'!$B$44/'NM Play'!$B$16),(F319+ROUNDDOWN(G319/'NM Play'!$B$11,0)*'NM Play'!$B$43/'NM Play'!$B$15+ROUNDDOWN(H319/'NM Play'!$B$12,0)*'NM Play'!$B$44/'NM Play'!$B$16)/('NM Play'!$B$43/'NM Play'!$B$15+'NM Play'!$B$44/'NM Play'!$B$16))</f>
        <v/>
      </c>
      <c r="M319" s="160">
        <f>F319*'NM Play'!$B$36</f>
        <v/>
      </c>
      <c r="N319" s="160">
        <f>ROUNDDOWN(MAX(0,MIN(J319,K319:M319)),0)</f>
        <v/>
      </c>
      <c r="O319" s="160">
        <f>ROUNDUP(MAX(0,N319*'NM Play'!$B$11-G319)/'NM Play'!$B$13,0)</f>
        <v/>
      </c>
      <c r="P319" s="160">
        <f>ROUNDUP(MAX(0,N319*'NM Play'!$B$12-H319)/'NM Play'!$B$14,0)</f>
        <v/>
      </c>
      <c r="Q319" s="160">
        <f>(O319+IF('Sites'!$C$8="Own sheets",P319,0))/'NM Play'!$B$10</f>
        <v/>
      </c>
      <c r="R319" s="160">
        <f>O319/'NM Play'!$B$15+P319/'NM Play'!$B$16</f>
        <v/>
      </c>
      <c r="S319" s="160">
        <f>MAX(Q319,R319,N319/'NM Play'!$B$36)</f>
        <v/>
      </c>
      <c r="T319" s="160">
        <f>Q319*'NM Play'!$B$10*'NM Play'!$B$21*(1+'NM Play'!$B$35)</f>
        <v/>
      </c>
      <c r="U319" s="160">
        <f>MAX(0,T319-I319)</f>
        <v/>
      </c>
      <c r="V319" s="160">
        <f>G319+O319*'NM Play'!$B$13-N319*'NM Play'!$B$11</f>
        <v/>
      </c>
      <c r="W319" s="160">
        <f>H319+P319*'NM Play'!$B$14-N319*'NM Play'!$B$12</f>
        <v/>
      </c>
      <c r="X319" s="160">
        <f>I319+U319-T319</f>
        <v/>
      </c>
      <c r="Y319" s="160">
        <f>MIN(N319,MAX(0,ROUNDDOWN('Sites'!$N$8*'Cases'!$E$8,0)-SUM(Y318:Y318)))</f>
        <v/>
      </c>
      <c r="Z319" s="160">
        <f>N319-Y319</f>
        <v/>
      </c>
      <c r="AA319" s="160">
        <f>U319*'NM Play'!$B$22</f>
        <v/>
      </c>
      <c r="AB319" s="160">
        <f>N319*SUM('NM Play'!$B$29:$B$31)</f>
        <v/>
      </c>
      <c r="AC319" s="160">
        <f>IF('Sites'!$C$8="Defy legs",P319*'NM Play'!$B$14/'NM Play'!$B$12*'NM Play'!$B$28,0)</f>
        <v/>
      </c>
      <c r="AD319" s="160">
        <f>Q319*'NM Play'!$B$23</f>
        <v/>
      </c>
      <c r="AE319" s="160">
        <f>S319*SUM('NM Play'!$B$26,'NM Play'!$B$33:$B$34)</f>
        <v/>
      </c>
      <c r="AF319" s="160">
        <f>IF('Sites'!$D$8="NM crew",S319*SUM('NM Play'!$B$24:$B$25),0)</f>
        <v/>
      </c>
      <c r="AG319" s="160">
        <f>IF('Sites'!$D$8="NM crew",S319*'NM Play'!$B$27,0)</f>
        <v/>
      </c>
      <c r="AH319" s="160">
        <f>N319*'Sites'!$Z$8*'NM Play'!$B$32</f>
        <v/>
      </c>
      <c r="AI319" s="160">
        <f>SUM(Y319:Z319)*'Sites'!$R$8</f>
        <v/>
      </c>
      <c r="AJ319" s="160">
        <f>SUM(AA319:AH319)</f>
        <v/>
      </c>
      <c r="AK319" s="160">
        <f>AJ319+(T319-U319)*'NM Play'!$B$22+MIN(G319,N319*'NM Play'!$B$11)/'NM Play'!$B$13*'NM Play'!$B$21*'NM Play'!$B$22+MIN(H319,N319*'NM Play'!$B$12)/'NM Play'!$B$14*IF('Sites'!$C$8="Own sheets",'NM Play'!$B$21*'NM Play'!$B$22,'NM Play'!$B$28*'NM Play'!$B$14/'NM Play'!$B$12)</f>
        <v/>
      </c>
      <c r="AL319" s="160">
        <f>Y319*'Assumptions'!AC66</f>
        <v/>
      </c>
      <c r="AM319" s="160">
        <f>IF('Sites'!$D$8="NM crew",S319*'NM Play'!$B$37*(1+IF(AND(ISNUMBER('NM Play'!$B$25),'NM Play'!$B$25&gt;0),1,0)),"")</f>
        <v/>
      </c>
      <c r="AN319" s="160">
        <f>IF(OR('Sites'!$E$8&lt;0,'Sites'!$E$8&gt;1,'Sites'!$F$8&lt;1,'Sites'!$G$8&lt;'Sites'!$F$8,F319&lt;0,MIN('Sites'!$I$8:'Sites'!$R$8)&lt;0,'Sites'!$L$8&gt;'Sites'!$I$8,'Sites'!$M$8&gt;'Sites'!$J$8,'Sites'!$N$8&gt;'Sites'!$K$8,'Sites'!$Z$8&lt;0,'Sites'!$Z$8&gt;1,MIN('Sites'!$AA$8:'Sites'!$AC$8)&lt;0,S319&gt;F319+0.001),1,0)</f>
        <v/>
      </c>
      <c r="AO319" s="160">
        <f>I319+U319-T319-X319</f>
        <v/>
      </c>
    </row>
    <row r="320" ht="28" customHeight="1">
      <c r="A320" s="4" t="inlineStr">
        <is>
          <t>No QBE</t>
        </is>
      </c>
      <c r="B320" s="4" t="inlineStr">
        <is>
          <t>NEW2</t>
        </is>
      </c>
      <c r="C320" s="160" t="n">
        <v>27</v>
      </c>
      <c r="D320" s="160">
        <f>ROUNDUP(C320/12,0)</f>
        <v/>
      </c>
      <c r="E320" s="160">
        <f>IF(AND('Sites'!$E$8*'Cases'!$F$8=1,C320&gt;='Sites'!$F$8+'Cases'!$G$8,C320&lt;='Sites'!$G$8),1,0)</f>
        <v/>
      </c>
      <c r="F320" s="160">
        <f>E320*'Assumptions'!AD69</f>
        <v/>
      </c>
      <c r="G320" s="160">
        <f>V319</f>
        <v/>
      </c>
      <c r="H320" s="160">
        <f>W319</f>
        <v/>
      </c>
      <c r="I320" s="160">
        <f>X319</f>
        <v/>
      </c>
      <c r="J320" s="160">
        <f>MAX(0,'Sites'!$K$8-SUM(N318:N319))</f>
        <v/>
      </c>
      <c r="K320" s="160">
        <f>IF('Sites'!$C$8="Own sheets",MIN(ROUNDDOWN(G320/'NM Play'!$B$11,0)+F320*'NM Play'!$B$10/'NM Play'!$B$43,ROUNDDOWN(H320/'NM Play'!$B$12,0)+F320*'NM Play'!$B$10/'NM Play'!$B$44,(F320*'NM Play'!$B$10+ROUNDDOWN(G320/'NM Play'!$B$11,0)*'NM Play'!$B$43+ROUNDDOWN(H320/'NM Play'!$B$12,0)*'NM Play'!$B$44)/('NM Play'!$B$43+'NM Play'!$B$44)),ROUNDDOWN(G320/'NM Play'!$B$11,0)+F320*'NM Play'!$B$10/'NM Play'!$B$43)</f>
        <v/>
      </c>
      <c r="L320" s="160">
        <f>MIN(ROUNDDOWN(G320/'NM Play'!$B$11,0)+F320/('NM Play'!$B$43/'NM Play'!$B$15),ROUNDDOWN(H320/'NM Play'!$B$12,0)+F320/('NM Play'!$B$44/'NM Play'!$B$16),(F320+ROUNDDOWN(G320/'NM Play'!$B$11,0)*'NM Play'!$B$43/'NM Play'!$B$15+ROUNDDOWN(H320/'NM Play'!$B$12,0)*'NM Play'!$B$44/'NM Play'!$B$16)/('NM Play'!$B$43/'NM Play'!$B$15+'NM Play'!$B$44/'NM Play'!$B$16))</f>
        <v/>
      </c>
      <c r="M320" s="160">
        <f>F320*'NM Play'!$B$36</f>
        <v/>
      </c>
      <c r="N320" s="160">
        <f>ROUNDDOWN(MAX(0,MIN(J320,K320:M320)),0)</f>
        <v/>
      </c>
      <c r="O320" s="160">
        <f>ROUNDUP(MAX(0,N320*'NM Play'!$B$11-G320)/'NM Play'!$B$13,0)</f>
        <v/>
      </c>
      <c r="P320" s="160">
        <f>ROUNDUP(MAX(0,N320*'NM Play'!$B$12-H320)/'NM Play'!$B$14,0)</f>
        <v/>
      </c>
      <c r="Q320" s="160">
        <f>(O320+IF('Sites'!$C$8="Own sheets",P320,0))/'NM Play'!$B$10</f>
        <v/>
      </c>
      <c r="R320" s="160">
        <f>O320/'NM Play'!$B$15+P320/'NM Play'!$B$16</f>
        <v/>
      </c>
      <c r="S320" s="160">
        <f>MAX(Q320,R320,N320/'NM Play'!$B$36)</f>
        <v/>
      </c>
      <c r="T320" s="160">
        <f>Q320*'NM Play'!$B$10*'NM Play'!$B$21*(1+'NM Play'!$B$35)</f>
        <v/>
      </c>
      <c r="U320" s="160">
        <f>MAX(0,T320-I320)</f>
        <v/>
      </c>
      <c r="V320" s="160">
        <f>G320+O320*'NM Play'!$B$13-N320*'NM Play'!$B$11</f>
        <v/>
      </c>
      <c r="W320" s="160">
        <f>H320+P320*'NM Play'!$B$14-N320*'NM Play'!$B$12</f>
        <v/>
      </c>
      <c r="X320" s="160">
        <f>I320+U320-T320</f>
        <v/>
      </c>
      <c r="Y320" s="160">
        <f>MIN(N320,MAX(0,ROUNDDOWN('Sites'!$N$8*'Cases'!$E$8,0)-SUM(Y318:Y319)))</f>
        <v/>
      </c>
      <c r="Z320" s="160">
        <f>N320-Y320</f>
        <v/>
      </c>
      <c r="AA320" s="160">
        <f>U320*'NM Play'!$B$22</f>
        <v/>
      </c>
      <c r="AB320" s="160">
        <f>N320*SUM('NM Play'!$B$29:$B$31)</f>
        <v/>
      </c>
      <c r="AC320" s="160">
        <f>IF('Sites'!$C$8="Defy legs",P320*'NM Play'!$B$14/'NM Play'!$B$12*'NM Play'!$B$28,0)</f>
        <v/>
      </c>
      <c r="AD320" s="160">
        <f>Q320*'NM Play'!$B$23</f>
        <v/>
      </c>
      <c r="AE320" s="160">
        <f>S320*SUM('NM Play'!$B$26,'NM Play'!$B$33:$B$34)</f>
        <v/>
      </c>
      <c r="AF320" s="160">
        <f>IF('Sites'!$D$8="NM crew",S320*SUM('NM Play'!$B$24:$B$25),0)</f>
        <v/>
      </c>
      <c r="AG320" s="160">
        <f>IF('Sites'!$D$8="NM crew",S320*'NM Play'!$B$27,0)</f>
        <v/>
      </c>
      <c r="AH320" s="160">
        <f>N320*'Sites'!$Z$8*'NM Play'!$B$32</f>
        <v/>
      </c>
      <c r="AI320" s="160">
        <f>SUM(Y320:Z320)*'Sites'!$R$8</f>
        <v/>
      </c>
      <c r="AJ320" s="160">
        <f>SUM(AA320:AH320)</f>
        <v/>
      </c>
      <c r="AK320" s="160">
        <f>AJ320+(T320-U320)*'NM Play'!$B$22+MIN(G320,N320*'NM Play'!$B$11)/'NM Play'!$B$13*'NM Play'!$B$21*'NM Play'!$B$22+MIN(H320,N320*'NM Play'!$B$12)/'NM Play'!$B$14*IF('Sites'!$C$8="Own sheets",'NM Play'!$B$21*'NM Play'!$B$22,'NM Play'!$B$28*'NM Play'!$B$14/'NM Play'!$B$12)</f>
        <v/>
      </c>
      <c r="AL320" s="160">
        <f>Y320*'Assumptions'!AD66</f>
        <v/>
      </c>
      <c r="AM320" s="160">
        <f>IF('Sites'!$D$8="NM crew",S320*'NM Play'!$B$37*(1+IF(AND(ISNUMBER('NM Play'!$B$25),'NM Play'!$B$25&gt;0),1,0)),"")</f>
        <v/>
      </c>
      <c r="AN320" s="160">
        <f>IF(OR('Sites'!$E$8&lt;0,'Sites'!$E$8&gt;1,'Sites'!$F$8&lt;1,'Sites'!$G$8&lt;'Sites'!$F$8,F320&lt;0,MIN('Sites'!$I$8:'Sites'!$R$8)&lt;0,'Sites'!$L$8&gt;'Sites'!$I$8,'Sites'!$M$8&gt;'Sites'!$J$8,'Sites'!$N$8&gt;'Sites'!$K$8,'Sites'!$Z$8&lt;0,'Sites'!$Z$8&gt;1,MIN('Sites'!$AA$8:'Sites'!$AC$8)&lt;0,S320&gt;F320+0.001),1,0)</f>
        <v/>
      </c>
      <c r="AO320" s="160">
        <f>I320+U320-T320-X320</f>
        <v/>
      </c>
    </row>
    <row r="321" ht="28" customHeight="1">
      <c r="A321" s="4" t="inlineStr">
        <is>
          <t>No QBE</t>
        </is>
      </c>
      <c r="B321" s="4" t="inlineStr">
        <is>
          <t>NEW2</t>
        </is>
      </c>
      <c r="C321" s="160" t="n">
        <v>28</v>
      </c>
      <c r="D321" s="160">
        <f>ROUNDUP(C321/12,0)</f>
        <v/>
      </c>
      <c r="E321" s="160">
        <f>IF(AND('Sites'!$E$8*'Cases'!$F$8=1,C321&gt;='Sites'!$F$8+'Cases'!$G$8,C321&lt;='Sites'!$G$8),1,0)</f>
        <v/>
      </c>
      <c r="F321" s="160">
        <f>E321*'Assumptions'!AE69</f>
        <v/>
      </c>
      <c r="G321" s="160">
        <f>V320</f>
        <v/>
      </c>
      <c r="H321" s="160">
        <f>W320</f>
        <v/>
      </c>
      <c r="I321" s="160">
        <f>X320</f>
        <v/>
      </c>
      <c r="J321" s="160">
        <f>MAX(0,'Sites'!$K$8-SUM(N318:N320))</f>
        <v/>
      </c>
      <c r="K321" s="160">
        <f>IF('Sites'!$C$8="Own sheets",MIN(ROUNDDOWN(G321/'NM Play'!$B$11,0)+F321*'NM Play'!$B$10/'NM Play'!$B$43,ROUNDDOWN(H321/'NM Play'!$B$12,0)+F321*'NM Play'!$B$10/'NM Play'!$B$44,(F321*'NM Play'!$B$10+ROUNDDOWN(G321/'NM Play'!$B$11,0)*'NM Play'!$B$43+ROUNDDOWN(H321/'NM Play'!$B$12,0)*'NM Play'!$B$44)/('NM Play'!$B$43+'NM Play'!$B$44)),ROUNDDOWN(G321/'NM Play'!$B$11,0)+F321*'NM Play'!$B$10/'NM Play'!$B$43)</f>
        <v/>
      </c>
      <c r="L321" s="160">
        <f>MIN(ROUNDDOWN(G321/'NM Play'!$B$11,0)+F321/('NM Play'!$B$43/'NM Play'!$B$15),ROUNDDOWN(H321/'NM Play'!$B$12,0)+F321/('NM Play'!$B$44/'NM Play'!$B$16),(F321+ROUNDDOWN(G321/'NM Play'!$B$11,0)*'NM Play'!$B$43/'NM Play'!$B$15+ROUNDDOWN(H321/'NM Play'!$B$12,0)*'NM Play'!$B$44/'NM Play'!$B$16)/('NM Play'!$B$43/'NM Play'!$B$15+'NM Play'!$B$44/'NM Play'!$B$16))</f>
        <v/>
      </c>
      <c r="M321" s="160">
        <f>F321*'NM Play'!$B$36</f>
        <v/>
      </c>
      <c r="N321" s="160">
        <f>ROUNDDOWN(MAX(0,MIN(J321,K321:M321)),0)</f>
        <v/>
      </c>
      <c r="O321" s="160">
        <f>ROUNDUP(MAX(0,N321*'NM Play'!$B$11-G321)/'NM Play'!$B$13,0)</f>
        <v/>
      </c>
      <c r="P321" s="160">
        <f>ROUNDUP(MAX(0,N321*'NM Play'!$B$12-H321)/'NM Play'!$B$14,0)</f>
        <v/>
      </c>
      <c r="Q321" s="160">
        <f>(O321+IF('Sites'!$C$8="Own sheets",P321,0))/'NM Play'!$B$10</f>
        <v/>
      </c>
      <c r="R321" s="160">
        <f>O321/'NM Play'!$B$15+P321/'NM Play'!$B$16</f>
        <v/>
      </c>
      <c r="S321" s="160">
        <f>MAX(Q321,R321,N321/'NM Play'!$B$36)</f>
        <v/>
      </c>
      <c r="T321" s="160">
        <f>Q321*'NM Play'!$B$10*'NM Play'!$B$21*(1+'NM Play'!$B$35)</f>
        <v/>
      </c>
      <c r="U321" s="160">
        <f>MAX(0,T321-I321)</f>
        <v/>
      </c>
      <c r="V321" s="160">
        <f>G321+O321*'NM Play'!$B$13-N321*'NM Play'!$B$11</f>
        <v/>
      </c>
      <c r="W321" s="160">
        <f>H321+P321*'NM Play'!$B$14-N321*'NM Play'!$B$12</f>
        <v/>
      </c>
      <c r="X321" s="160">
        <f>I321+U321-T321</f>
        <v/>
      </c>
      <c r="Y321" s="160">
        <f>MIN(N321,MAX(0,ROUNDDOWN('Sites'!$N$8*'Cases'!$E$8,0)-SUM(Y318:Y320)))</f>
        <v/>
      </c>
      <c r="Z321" s="160">
        <f>N321-Y321</f>
        <v/>
      </c>
      <c r="AA321" s="160">
        <f>U321*'NM Play'!$B$22</f>
        <v/>
      </c>
      <c r="AB321" s="160">
        <f>N321*SUM('NM Play'!$B$29:$B$31)</f>
        <v/>
      </c>
      <c r="AC321" s="160">
        <f>IF('Sites'!$C$8="Defy legs",P321*'NM Play'!$B$14/'NM Play'!$B$12*'NM Play'!$B$28,0)</f>
        <v/>
      </c>
      <c r="AD321" s="160">
        <f>Q321*'NM Play'!$B$23</f>
        <v/>
      </c>
      <c r="AE321" s="160">
        <f>S321*SUM('NM Play'!$B$26,'NM Play'!$B$33:$B$34)</f>
        <v/>
      </c>
      <c r="AF321" s="160">
        <f>IF('Sites'!$D$8="NM crew",S321*SUM('NM Play'!$B$24:$B$25),0)</f>
        <v/>
      </c>
      <c r="AG321" s="160">
        <f>IF('Sites'!$D$8="NM crew",S321*'NM Play'!$B$27,0)</f>
        <v/>
      </c>
      <c r="AH321" s="160">
        <f>N321*'Sites'!$Z$8*'NM Play'!$B$32</f>
        <v/>
      </c>
      <c r="AI321" s="160">
        <f>SUM(Y321:Z321)*'Sites'!$R$8</f>
        <v/>
      </c>
      <c r="AJ321" s="160">
        <f>SUM(AA321:AH321)</f>
        <v/>
      </c>
      <c r="AK321" s="160">
        <f>AJ321+(T321-U321)*'NM Play'!$B$22+MIN(G321,N321*'NM Play'!$B$11)/'NM Play'!$B$13*'NM Play'!$B$21*'NM Play'!$B$22+MIN(H321,N321*'NM Play'!$B$12)/'NM Play'!$B$14*IF('Sites'!$C$8="Own sheets",'NM Play'!$B$21*'NM Play'!$B$22,'NM Play'!$B$28*'NM Play'!$B$14/'NM Play'!$B$12)</f>
        <v/>
      </c>
      <c r="AL321" s="160">
        <f>Y321*'Assumptions'!AE66</f>
        <v/>
      </c>
      <c r="AM321" s="160">
        <f>IF('Sites'!$D$8="NM crew",S321*'NM Play'!$B$37*(1+IF(AND(ISNUMBER('NM Play'!$B$25),'NM Play'!$B$25&gt;0),1,0)),"")</f>
        <v/>
      </c>
      <c r="AN321" s="160">
        <f>IF(OR('Sites'!$E$8&lt;0,'Sites'!$E$8&gt;1,'Sites'!$F$8&lt;1,'Sites'!$G$8&lt;'Sites'!$F$8,F321&lt;0,MIN('Sites'!$I$8:'Sites'!$R$8)&lt;0,'Sites'!$L$8&gt;'Sites'!$I$8,'Sites'!$M$8&gt;'Sites'!$J$8,'Sites'!$N$8&gt;'Sites'!$K$8,'Sites'!$Z$8&lt;0,'Sites'!$Z$8&gt;1,MIN('Sites'!$AA$8:'Sites'!$AC$8)&lt;0,S321&gt;F321+0.001),1,0)</f>
        <v/>
      </c>
      <c r="AO321" s="160">
        <f>I321+U321-T321-X321</f>
        <v/>
      </c>
    </row>
    <row r="322" ht="28" customHeight="1">
      <c r="A322" s="4" t="inlineStr">
        <is>
          <t>No QBE</t>
        </is>
      </c>
      <c r="B322" s="4" t="inlineStr">
        <is>
          <t>NEW2</t>
        </is>
      </c>
      <c r="C322" s="160" t="n">
        <v>29</v>
      </c>
      <c r="D322" s="160">
        <f>ROUNDUP(C322/12,0)</f>
        <v/>
      </c>
      <c r="E322" s="160">
        <f>IF(AND('Sites'!$E$8*'Cases'!$F$8=1,C322&gt;='Sites'!$F$8+'Cases'!$G$8,C322&lt;='Sites'!$G$8),1,0)</f>
        <v/>
      </c>
      <c r="F322" s="160">
        <f>E322*'Assumptions'!AF69</f>
        <v/>
      </c>
      <c r="G322" s="160">
        <f>V321</f>
        <v/>
      </c>
      <c r="H322" s="160">
        <f>W321</f>
        <v/>
      </c>
      <c r="I322" s="160">
        <f>X321</f>
        <v/>
      </c>
      <c r="J322" s="160">
        <f>MAX(0,'Sites'!$K$8-SUM(N318:N321))</f>
        <v/>
      </c>
      <c r="K322" s="160">
        <f>IF('Sites'!$C$8="Own sheets",MIN(ROUNDDOWN(G322/'NM Play'!$B$11,0)+F322*'NM Play'!$B$10/'NM Play'!$B$43,ROUNDDOWN(H322/'NM Play'!$B$12,0)+F322*'NM Play'!$B$10/'NM Play'!$B$44,(F322*'NM Play'!$B$10+ROUNDDOWN(G322/'NM Play'!$B$11,0)*'NM Play'!$B$43+ROUNDDOWN(H322/'NM Play'!$B$12,0)*'NM Play'!$B$44)/('NM Play'!$B$43+'NM Play'!$B$44)),ROUNDDOWN(G322/'NM Play'!$B$11,0)+F322*'NM Play'!$B$10/'NM Play'!$B$43)</f>
        <v/>
      </c>
      <c r="L322" s="160">
        <f>MIN(ROUNDDOWN(G322/'NM Play'!$B$11,0)+F322/('NM Play'!$B$43/'NM Play'!$B$15),ROUNDDOWN(H322/'NM Play'!$B$12,0)+F322/('NM Play'!$B$44/'NM Play'!$B$16),(F322+ROUNDDOWN(G322/'NM Play'!$B$11,0)*'NM Play'!$B$43/'NM Play'!$B$15+ROUNDDOWN(H322/'NM Play'!$B$12,0)*'NM Play'!$B$44/'NM Play'!$B$16)/('NM Play'!$B$43/'NM Play'!$B$15+'NM Play'!$B$44/'NM Play'!$B$16))</f>
        <v/>
      </c>
      <c r="M322" s="160">
        <f>F322*'NM Play'!$B$36</f>
        <v/>
      </c>
      <c r="N322" s="160">
        <f>ROUNDDOWN(MAX(0,MIN(J322,K322:M322)),0)</f>
        <v/>
      </c>
      <c r="O322" s="160">
        <f>ROUNDUP(MAX(0,N322*'NM Play'!$B$11-G322)/'NM Play'!$B$13,0)</f>
        <v/>
      </c>
      <c r="P322" s="160">
        <f>ROUNDUP(MAX(0,N322*'NM Play'!$B$12-H322)/'NM Play'!$B$14,0)</f>
        <v/>
      </c>
      <c r="Q322" s="160">
        <f>(O322+IF('Sites'!$C$8="Own sheets",P322,0))/'NM Play'!$B$10</f>
        <v/>
      </c>
      <c r="R322" s="160">
        <f>O322/'NM Play'!$B$15+P322/'NM Play'!$B$16</f>
        <v/>
      </c>
      <c r="S322" s="160">
        <f>MAX(Q322,R322,N322/'NM Play'!$B$36)</f>
        <v/>
      </c>
      <c r="T322" s="160">
        <f>Q322*'NM Play'!$B$10*'NM Play'!$B$21*(1+'NM Play'!$B$35)</f>
        <v/>
      </c>
      <c r="U322" s="160">
        <f>MAX(0,T322-I322)</f>
        <v/>
      </c>
      <c r="V322" s="160">
        <f>G322+O322*'NM Play'!$B$13-N322*'NM Play'!$B$11</f>
        <v/>
      </c>
      <c r="W322" s="160">
        <f>H322+P322*'NM Play'!$B$14-N322*'NM Play'!$B$12</f>
        <v/>
      </c>
      <c r="X322" s="160">
        <f>I322+U322-T322</f>
        <v/>
      </c>
      <c r="Y322" s="160">
        <f>MIN(N322,MAX(0,ROUNDDOWN('Sites'!$N$8*'Cases'!$E$8,0)-SUM(Y318:Y321)))</f>
        <v/>
      </c>
      <c r="Z322" s="160">
        <f>N322-Y322</f>
        <v/>
      </c>
      <c r="AA322" s="160">
        <f>U322*'NM Play'!$B$22</f>
        <v/>
      </c>
      <c r="AB322" s="160">
        <f>N322*SUM('NM Play'!$B$29:$B$31)</f>
        <v/>
      </c>
      <c r="AC322" s="160">
        <f>IF('Sites'!$C$8="Defy legs",P322*'NM Play'!$B$14/'NM Play'!$B$12*'NM Play'!$B$28,0)</f>
        <v/>
      </c>
      <c r="AD322" s="160">
        <f>Q322*'NM Play'!$B$23</f>
        <v/>
      </c>
      <c r="AE322" s="160">
        <f>S322*SUM('NM Play'!$B$26,'NM Play'!$B$33:$B$34)</f>
        <v/>
      </c>
      <c r="AF322" s="160">
        <f>IF('Sites'!$D$8="NM crew",S322*SUM('NM Play'!$B$24:$B$25),0)</f>
        <v/>
      </c>
      <c r="AG322" s="160">
        <f>IF('Sites'!$D$8="NM crew",S322*'NM Play'!$B$27,0)</f>
        <v/>
      </c>
      <c r="AH322" s="160">
        <f>N322*'Sites'!$Z$8*'NM Play'!$B$32</f>
        <v/>
      </c>
      <c r="AI322" s="160">
        <f>SUM(Y322:Z322)*'Sites'!$R$8</f>
        <v/>
      </c>
      <c r="AJ322" s="160">
        <f>SUM(AA322:AH322)</f>
        <v/>
      </c>
      <c r="AK322" s="160">
        <f>AJ322+(T322-U322)*'NM Play'!$B$22+MIN(G322,N322*'NM Play'!$B$11)/'NM Play'!$B$13*'NM Play'!$B$21*'NM Play'!$B$22+MIN(H322,N322*'NM Play'!$B$12)/'NM Play'!$B$14*IF('Sites'!$C$8="Own sheets",'NM Play'!$B$21*'NM Play'!$B$22,'NM Play'!$B$28*'NM Play'!$B$14/'NM Play'!$B$12)</f>
        <v/>
      </c>
      <c r="AL322" s="160">
        <f>Y322*'Assumptions'!AF66</f>
        <v/>
      </c>
      <c r="AM322" s="160">
        <f>IF('Sites'!$D$8="NM crew",S322*'NM Play'!$B$37*(1+IF(AND(ISNUMBER('NM Play'!$B$25),'NM Play'!$B$25&gt;0),1,0)),"")</f>
        <v/>
      </c>
      <c r="AN322" s="160">
        <f>IF(OR('Sites'!$E$8&lt;0,'Sites'!$E$8&gt;1,'Sites'!$F$8&lt;1,'Sites'!$G$8&lt;'Sites'!$F$8,F322&lt;0,MIN('Sites'!$I$8:'Sites'!$R$8)&lt;0,'Sites'!$L$8&gt;'Sites'!$I$8,'Sites'!$M$8&gt;'Sites'!$J$8,'Sites'!$N$8&gt;'Sites'!$K$8,'Sites'!$Z$8&lt;0,'Sites'!$Z$8&gt;1,MIN('Sites'!$AA$8:'Sites'!$AC$8)&lt;0,S322&gt;F322+0.001),1,0)</f>
        <v/>
      </c>
      <c r="AO322" s="160">
        <f>I322+U322-T322-X322</f>
        <v/>
      </c>
    </row>
    <row r="323" ht="28" customHeight="1">
      <c r="A323" s="4" t="inlineStr">
        <is>
          <t>No QBE</t>
        </is>
      </c>
      <c r="B323" s="4" t="inlineStr">
        <is>
          <t>NEW2</t>
        </is>
      </c>
      <c r="C323" s="160" t="n">
        <v>30</v>
      </c>
      <c r="D323" s="160">
        <f>ROUNDUP(C323/12,0)</f>
        <v/>
      </c>
      <c r="E323" s="160">
        <f>IF(AND('Sites'!$E$8*'Cases'!$F$8=1,C323&gt;='Sites'!$F$8+'Cases'!$G$8,C323&lt;='Sites'!$G$8),1,0)</f>
        <v/>
      </c>
      <c r="F323" s="160">
        <f>E323*'Assumptions'!AG69</f>
        <v/>
      </c>
      <c r="G323" s="160">
        <f>V322</f>
        <v/>
      </c>
      <c r="H323" s="160">
        <f>W322</f>
        <v/>
      </c>
      <c r="I323" s="160">
        <f>X322</f>
        <v/>
      </c>
      <c r="J323" s="160">
        <f>MAX(0,'Sites'!$K$8-SUM(N318:N322))</f>
        <v/>
      </c>
      <c r="K323" s="160">
        <f>IF('Sites'!$C$8="Own sheets",MIN(ROUNDDOWN(G323/'NM Play'!$B$11,0)+F323*'NM Play'!$B$10/'NM Play'!$B$43,ROUNDDOWN(H323/'NM Play'!$B$12,0)+F323*'NM Play'!$B$10/'NM Play'!$B$44,(F323*'NM Play'!$B$10+ROUNDDOWN(G323/'NM Play'!$B$11,0)*'NM Play'!$B$43+ROUNDDOWN(H323/'NM Play'!$B$12,0)*'NM Play'!$B$44)/('NM Play'!$B$43+'NM Play'!$B$44)),ROUNDDOWN(G323/'NM Play'!$B$11,0)+F323*'NM Play'!$B$10/'NM Play'!$B$43)</f>
        <v/>
      </c>
      <c r="L323" s="160">
        <f>MIN(ROUNDDOWN(G323/'NM Play'!$B$11,0)+F323/('NM Play'!$B$43/'NM Play'!$B$15),ROUNDDOWN(H323/'NM Play'!$B$12,0)+F323/('NM Play'!$B$44/'NM Play'!$B$16),(F323+ROUNDDOWN(G323/'NM Play'!$B$11,0)*'NM Play'!$B$43/'NM Play'!$B$15+ROUNDDOWN(H323/'NM Play'!$B$12,0)*'NM Play'!$B$44/'NM Play'!$B$16)/('NM Play'!$B$43/'NM Play'!$B$15+'NM Play'!$B$44/'NM Play'!$B$16))</f>
        <v/>
      </c>
      <c r="M323" s="160">
        <f>F323*'NM Play'!$B$36</f>
        <v/>
      </c>
      <c r="N323" s="160">
        <f>ROUNDDOWN(MAX(0,MIN(J323,K323:M323)),0)</f>
        <v/>
      </c>
      <c r="O323" s="160">
        <f>ROUNDUP(MAX(0,N323*'NM Play'!$B$11-G323)/'NM Play'!$B$13,0)</f>
        <v/>
      </c>
      <c r="P323" s="160">
        <f>ROUNDUP(MAX(0,N323*'NM Play'!$B$12-H323)/'NM Play'!$B$14,0)</f>
        <v/>
      </c>
      <c r="Q323" s="160">
        <f>(O323+IF('Sites'!$C$8="Own sheets",P323,0))/'NM Play'!$B$10</f>
        <v/>
      </c>
      <c r="R323" s="160">
        <f>O323/'NM Play'!$B$15+P323/'NM Play'!$B$16</f>
        <v/>
      </c>
      <c r="S323" s="160">
        <f>MAX(Q323,R323,N323/'NM Play'!$B$36)</f>
        <v/>
      </c>
      <c r="T323" s="160">
        <f>Q323*'NM Play'!$B$10*'NM Play'!$B$21*(1+'NM Play'!$B$35)</f>
        <v/>
      </c>
      <c r="U323" s="160">
        <f>MAX(0,T323-I323)</f>
        <v/>
      </c>
      <c r="V323" s="160">
        <f>G323+O323*'NM Play'!$B$13-N323*'NM Play'!$B$11</f>
        <v/>
      </c>
      <c r="W323" s="160">
        <f>H323+P323*'NM Play'!$B$14-N323*'NM Play'!$B$12</f>
        <v/>
      </c>
      <c r="X323" s="160">
        <f>I323+U323-T323</f>
        <v/>
      </c>
      <c r="Y323" s="160">
        <f>MIN(N323,MAX(0,ROUNDDOWN('Sites'!$N$8*'Cases'!$E$8,0)-SUM(Y318:Y322)))</f>
        <v/>
      </c>
      <c r="Z323" s="160">
        <f>N323-Y323</f>
        <v/>
      </c>
      <c r="AA323" s="160">
        <f>U323*'NM Play'!$B$22</f>
        <v/>
      </c>
      <c r="AB323" s="160">
        <f>N323*SUM('NM Play'!$B$29:$B$31)</f>
        <v/>
      </c>
      <c r="AC323" s="160">
        <f>IF('Sites'!$C$8="Defy legs",P323*'NM Play'!$B$14/'NM Play'!$B$12*'NM Play'!$B$28,0)</f>
        <v/>
      </c>
      <c r="AD323" s="160">
        <f>Q323*'NM Play'!$B$23</f>
        <v/>
      </c>
      <c r="AE323" s="160">
        <f>S323*SUM('NM Play'!$B$26,'NM Play'!$B$33:$B$34)</f>
        <v/>
      </c>
      <c r="AF323" s="160">
        <f>IF('Sites'!$D$8="NM crew",S323*SUM('NM Play'!$B$24:$B$25),0)</f>
        <v/>
      </c>
      <c r="AG323" s="160">
        <f>IF('Sites'!$D$8="NM crew",S323*'NM Play'!$B$27,0)</f>
        <v/>
      </c>
      <c r="AH323" s="160">
        <f>N323*'Sites'!$Z$8*'NM Play'!$B$32</f>
        <v/>
      </c>
      <c r="AI323" s="160">
        <f>SUM(Y323:Z323)*'Sites'!$R$8</f>
        <v/>
      </c>
      <c r="AJ323" s="160">
        <f>SUM(AA323:AH323)</f>
        <v/>
      </c>
      <c r="AK323" s="160">
        <f>AJ323+(T323-U323)*'NM Play'!$B$22+MIN(G323,N323*'NM Play'!$B$11)/'NM Play'!$B$13*'NM Play'!$B$21*'NM Play'!$B$22+MIN(H323,N323*'NM Play'!$B$12)/'NM Play'!$B$14*IF('Sites'!$C$8="Own sheets",'NM Play'!$B$21*'NM Play'!$B$22,'NM Play'!$B$28*'NM Play'!$B$14/'NM Play'!$B$12)</f>
        <v/>
      </c>
      <c r="AL323" s="160">
        <f>Y323*'Assumptions'!AG66</f>
        <v/>
      </c>
      <c r="AM323" s="160">
        <f>IF('Sites'!$D$8="NM crew",S323*'NM Play'!$B$37*(1+IF(AND(ISNUMBER('NM Play'!$B$25),'NM Play'!$B$25&gt;0),1,0)),"")</f>
        <v/>
      </c>
      <c r="AN323" s="160">
        <f>IF(OR('Sites'!$E$8&lt;0,'Sites'!$E$8&gt;1,'Sites'!$F$8&lt;1,'Sites'!$G$8&lt;'Sites'!$F$8,F323&lt;0,MIN('Sites'!$I$8:'Sites'!$R$8)&lt;0,'Sites'!$L$8&gt;'Sites'!$I$8,'Sites'!$M$8&gt;'Sites'!$J$8,'Sites'!$N$8&gt;'Sites'!$K$8,'Sites'!$Z$8&lt;0,'Sites'!$Z$8&gt;1,MIN('Sites'!$AA$8:'Sites'!$AC$8)&lt;0,S323&gt;F323+0.001),1,0)</f>
        <v/>
      </c>
      <c r="AO323" s="160">
        <f>I323+U323-T323-X323</f>
        <v/>
      </c>
    </row>
    <row r="324" ht="28" customHeight="1">
      <c r="A324" s="4" t="inlineStr">
        <is>
          <t>No QBE</t>
        </is>
      </c>
      <c r="B324" s="4" t="inlineStr">
        <is>
          <t>NEW2</t>
        </is>
      </c>
      <c r="C324" s="160" t="n">
        <v>31</v>
      </c>
      <c r="D324" s="160">
        <f>ROUNDUP(C324/12,0)</f>
        <v/>
      </c>
      <c r="E324" s="160">
        <f>IF(AND('Sites'!$E$8*'Cases'!$F$8=1,C324&gt;='Sites'!$F$8+'Cases'!$G$8,C324&lt;='Sites'!$G$8),1,0)</f>
        <v/>
      </c>
      <c r="F324" s="160">
        <f>E324*'Assumptions'!AH69</f>
        <v/>
      </c>
      <c r="G324" s="160">
        <f>V323</f>
        <v/>
      </c>
      <c r="H324" s="160">
        <f>W323</f>
        <v/>
      </c>
      <c r="I324" s="160">
        <f>X323</f>
        <v/>
      </c>
      <c r="J324" s="160">
        <f>MAX(0,'Sites'!$K$8-SUM(N318:N323))</f>
        <v/>
      </c>
      <c r="K324" s="160">
        <f>IF('Sites'!$C$8="Own sheets",MIN(ROUNDDOWN(G324/'NM Play'!$B$11,0)+F324*'NM Play'!$B$10/'NM Play'!$B$43,ROUNDDOWN(H324/'NM Play'!$B$12,0)+F324*'NM Play'!$B$10/'NM Play'!$B$44,(F324*'NM Play'!$B$10+ROUNDDOWN(G324/'NM Play'!$B$11,0)*'NM Play'!$B$43+ROUNDDOWN(H324/'NM Play'!$B$12,0)*'NM Play'!$B$44)/('NM Play'!$B$43+'NM Play'!$B$44)),ROUNDDOWN(G324/'NM Play'!$B$11,0)+F324*'NM Play'!$B$10/'NM Play'!$B$43)</f>
        <v/>
      </c>
      <c r="L324" s="160">
        <f>MIN(ROUNDDOWN(G324/'NM Play'!$B$11,0)+F324/('NM Play'!$B$43/'NM Play'!$B$15),ROUNDDOWN(H324/'NM Play'!$B$12,0)+F324/('NM Play'!$B$44/'NM Play'!$B$16),(F324+ROUNDDOWN(G324/'NM Play'!$B$11,0)*'NM Play'!$B$43/'NM Play'!$B$15+ROUNDDOWN(H324/'NM Play'!$B$12,0)*'NM Play'!$B$44/'NM Play'!$B$16)/('NM Play'!$B$43/'NM Play'!$B$15+'NM Play'!$B$44/'NM Play'!$B$16))</f>
        <v/>
      </c>
      <c r="M324" s="160">
        <f>F324*'NM Play'!$B$36</f>
        <v/>
      </c>
      <c r="N324" s="160">
        <f>ROUNDDOWN(MAX(0,MIN(J324,K324:M324)),0)</f>
        <v/>
      </c>
      <c r="O324" s="160">
        <f>ROUNDUP(MAX(0,N324*'NM Play'!$B$11-G324)/'NM Play'!$B$13,0)</f>
        <v/>
      </c>
      <c r="P324" s="160">
        <f>ROUNDUP(MAX(0,N324*'NM Play'!$B$12-H324)/'NM Play'!$B$14,0)</f>
        <v/>
      </c>
      <c r="Q324" s="160">
        <f>(O324+IF('Sites'!$C$8="Own sheets",P324,0))/'NM Play'!$B$10</f>
        <v/>
      </c>
      <c r="R324" s="160">
        <f>O324/'NM Play'!$B$15+P324/'NM Play'!$B$16</f>
        <v/>
      </c>
      <c r="S324" s="160">
        <f>MAX(Q324,R324,N324/'NM Play'!$B$36)</f>
        <v/>
      </c>
      <c r="T324" s="160">
        <f>Q324*'NM Play'!$B$10*'NM Play'!$B$21*(1+'NM Play'!$B$35)</f>
        <v/>
      </c>
      <c r="U324" s="160">
        <f>MAX(0,T324-I324)</f>
        <v/>
      </c>
      <c r="V324" s="160">
        <f>G324+O324*'NM Play'!$B$13-N324*'NM Play'!$B$11</f>
        <v/>
      </c>
      <c r="W324" s="160">
        <f>H324+P324*'NM Play'!$B$14-N324*'NM Play'!$B$12</f>
        <v/>
      </c>
      <c r="X324" s="160">
        <f>I324+U324-T324</f>
        <v/>
      </c>
      <c r="Y324" s="160">
        <f>MIN(N324,MAX(0,ROUNDDOWN('Sites'!$N$8*'Cases'!$E$8,0)-SUM(Y318:Y323)))</f>
        <v/>
      </c>
      <c r="Z324" s="160">
        <f>N324-Y324</f>
        <v/>
      </c>
      <c r="AA324" s="160">
        <f>U324*'NM Play'!$B$22</f>
        <v/>
      </c>
      <c r="AB324" s="160">
        <f>N324*SUM('NM Play'!$B$29:$B$31)</f>
        <v/>
      </c>
      <c r="AC324" s="160">
        <f>IF('Sites'!$C$8="Defy legs",P324*'NM Play'!$B$14/'NM Play'!$B$12*'NM Play'!$B$28,0)</f>
        <v/>
      </c>
      <c r="AD324" s="160">
        <f>Q324*'NM Play'!$B$23</f>
        <v/>
      </c>
      <c r="AE324" s="160">
        <f>S324*SUM('NM Play'!$B$26,'NM Play'!$B$33:$B$34)</f>
        <v/>
      </c>
      <c r="AF324" s="160">
        <f>IF('Sites'!$D$8="NM crew",S324*SUM('NM Play'!$B$24:$B$25),0)</f>
        <v/>
      </c>
      <c r="AG324" s="160">
        <f>IF('Sites'!$D$8="NM crew",S324*'NM Play'!$B$27,0)</f>
        <v/>
      </c>
      <c r="AH324" s="160">
        <f>N324*'Sites'!$Z$8*'NM Play'!$B$32</f>
        <v/>
      </c>
      <c r="AI324" s="160">
        <f>SUM(Y324:Z324)*'Sites'!$R$8</f>
        <v/>
      </c>
      <c r="AJ324" s="160">
        <f>SUM(AA324:AH324)</f>
        <v/>
      </c>
      <c r="AK324" s="160">
        <f>AJ324+(T324-U324)*'NM Play'!$B$22+MIN(G324,N324*'NM Play'!$B$11)/'NM Play'!$B$13*'NM Play'!$B$21*'NM Play'!$B$22+MIN(H324,N324*'NM Play'!$B$12)/'NM Play'!$B$14*IF('Sites'!$C$8="Own sheets",'NM Play'!$B$21*'NM Play'!$B$22,'NM Play'!$B$28*'NM Play'!$B$14/'NM Play'!$B$12)</f>
        <v/>
      </c>
      <c r="AL324" s="160">
        <f>Y324*'Assumptions'!AH66</f>
        <v/>
      </c>
      <c r="AM324" s="160">
        <f>IF('Sites'!$D$8="NM crew",S324*'NM Play'!$B$37*(1+IF(AND(ISNUMBER('NM Play'!$B$25),'NM Play'!$B$25&gt;0),1,0)),"")</f>
        <v/>
      </c>
      <c r="AN324" s="160">
        <f>IF(OR('Sites'!$E$8&lt;0,'Sites'!$E$8&gt;1,'Sites'!$F$8&lt;1,'Sites'!$G$8&lt;'Sites'!$F$8,F324&lt;0,MIN('Sites'!$I$8:'Sites'!$R$8)&lt;0,'Sites'!$L$8&gt;'Sites'!$I$8,'Sites'!$M$8&gt;'Sites'!$J$8,'Sites'!$N$8&gt;'Sites'!$K$8,'Sites'!$Z$8&lt;0,'Sites'!$Z$8&gt;1,MIN('Sites'!$AA$8:'Sites'!$AC$8)&lt;0,S324&gt;F324+0.001),1,0)</f>
        <v/>
      </c>
      <c r="AO324" s="160">
        <f>I324+U324-T324-X324</f>
        <v/>
      </c>
    </row>
    <row r="325" ht="28" customHeight="1">
      <c r="A325" s="4" t="inlineStr">
        <is>
          <t>No QBE</t>
        </is>
      </c>
      <c r="B325" s="4" t="inlineStr">
        <is>
          <t>NEW2</t>
        </is>
      </c>
      <c r="C325" s="160" t="n">
        <v>32</v>
      </c>
      <c r="D325" s="160">
        <f>ROUNDUP(C325/12,0)</f>
        <v/>
      </c>
      <c r="E325" s="160">
        <f>IF(AND('Sites'!$E$8*'Cases'!$F$8=1,C325&gt;='Sites'!$F$8+'Cases'!$G$8,C325&lt;='Sites'!$G$8),1,0)</f>
        <v/>
      </c>
      <c r="F325" s="160">
        <f>E325*'Assumptions'!AI69</f>
        <v/>
      </c>
      <c r="G325" s="160">
        <f>V324</f>
        <v/>
      </c>
      <c r="H325" s="160">
        <f>W324</f>
        <v/>
      </c>
      <c r="I325" s="160">
        <f>X324</f>
        <v/>
      </c>
      <c r="J325" s="160">
        <f>MAX(0,'Sites'!$K$8-SUM(N318:N324))</f>
        <v/>
      </c>
      <c r="K325" s="160">
        <f>IF('Sites'!$C$8="Own sheets",MIN(ROUNDDOWN(G325/'NM Play'!$B$11,0)+F325*'NM Play'!$B$10/'NM Play'!$B$43,ROUNDDOWN(H325/'NM Play'!$B$12,0)+F325*'NM Play'!$B$10/'NM Play'!$B$44,(F325*'NM Play'!$B$10+ROUNDDOWN(G325/'NM Play'!$B$11,0)*'NM Play'!$B$43+ROUNDDOWN(H325/'NM Play'!$B$12,0)*'NM Play'!$B$44)/('NM Play'!$B$43+'NM Play'!$B$44)),ROUNDDOWN(G325/'NM Play'!$B$11,0)+F325*'NM Play'!$B$10/'NM Play'!$B$43)</f>
        <v/>
      </c>
      <c r="L325" s="160">
        <f>MIN(ROUNDDOWN(G325/'NM Play'!$B$11,0)+F325/('NM Play'!$B$43/'NM Play'!$B$15),ROUNDDOWN(H325/'NM Play'!$B$12,0)+F325/('NM Play'!$B$44/'NM Play'!$B$16),(F325+ROUNDDOWN(G325/'NM Play'!$B$11,0)*'NM Play'!$B$43/'NM Play'!$B$15+ROUNDDOWN(H325/'NM Play'!$B$12,0)*'NM Play'!$B$44/'NM Play'!$B$16)/('NM Play'!$B$43/'NM Play'!$B$15+'NM Play'!$B$44/'NM Play'!$B$16))</f>
        <v/>
      </c>
      <c r="M325" s="160">
        <f>F325*'NM Play'!$B$36</f>
        <v/>
      </c>
      <c r="N325" s="160">
        <f>ROUNDDOWN(MAX(0,MIN(J325,K325:M325)),0)</f>
        <v/>
      </c>
      <c r="O325" s="160">
        <f>ROUNDUP(MAX(0,N325*'NM Play'!$B$11-G325)/'NM Play'!$B$13,0)</f>
        <v/>
      </c>
      <c r="P325" s="160">
        <f>ROUNDUP(MAX(0,N325*'NM Play'!$B$12-H325)/'NM Play'!$B$14,0)</f>
        <v/>
      </c>
      <c r="Q325" s="160">
        <f>(O325+IF('Sites'!$C$8="Own sheets",P325,0))/'NM Play'!$B$10</f>
        <v/>
      </c>
      <c r="R325" s="160">
        <f>O325/'NM Play'!$B$15+P325/'NM Play'!$B$16</f>
        <v/>
      </c>
      <c r="S325" s="160">
        <f>MAX(Q325,R325,N325/'NM Play'!$B$36)</f>
        <v/>
      </c>
      <c r="T325" s="160">
        <f>Q325*'NM Play'!$B$10*'NM Play'!$B$21*(1+'NM Play'!$B$35)</f>
        <v/>
      </c>
      <c r="U325" s="160">
        <f>MAX(0,T325-I325)</f>
        <v/>
      </c>
      <c r="V325" s="160">
        <f>G325+O325*'NM Play'!$B$13-N325*'NM Play'!$B$11</f>
        <v/>
      </c>
      <c r="W325" s="160">
        <f>H325+P325*'NM Play'!$B$14-N325*'NM Play'!$B$12</f>
        <v/>
      </c>
      <c r="X325" s="160">
        <f>I325+U325-T325</f>
        <v/>
      </c>
      <c r="Y325" s="160">
        <f>MIN(N325,MAX(0,ROUNDDOWN('Sites'!$N$8*'Cases'!$E$8,0)-SUM(Y318:Y324)))</f>
        <v/>
      </c>
      <c r="Z325" s="160">
        <f>N325-Y325</f>
        <v/>
      </c>
      <c r="AA325" s="160">
        <f>U325*'NM Play'!$B$22</f>
        <v/>
      </c>
      <c r="AB325" s="160">
        <f>N325*SUM('NM Play'!$B$29:$B$31)</f>
        <v/>
      </c>
      <c r="AC325" s="160">
        <f>IF('Sites'!$C$8="Defy legs",P325*'NM Play'!$B$14/'NM Play'!$B$12*'NM Play'!$B$28,0)</f>
        <v/>
      </c>
      <c r="AD325" s="160">
        <f>Q325*'NM Play'!$B$23</f>
        <v/>
      </c>
      <c r="AE325" s="160">
        <f>S325*SUM('NM Play'!$B$26,'NM Play'!$B$33:$B$34)</f>
        <v/>
      </c>
      <c r="AF325" s="160">
        <f>IF('Sites'!$D$8="NM crew",S325*SUM('NM Play'!$B$24:$B$25),0)</f>
        <v/>
      </c>
      <c r="AG325" s="160">
        <f>IF('Sites'!$D$8="NM crew",S325*'NM Play'!$B$27,0)</f>
        <v/>
      </c>
      <c r="AH325" s="160">
        <f>N325*'Sites'!$Z$8*'NM Play'!$B$32</f>
        <v/>
      </c>
      <c r="AI325" s="160">
        <f>SUM(Y325:Z325)*'Sites'!$R$8</f>
        <v/>
      </c>
      <c r="AJ325" s="160">
        <f>SUM(AA325:AH325)</f>
        <v/>
      </c>
      <c r="AK325" s="160">
        <f>AJ325+(T325-U325)*'NM Play'!$B$22+MIN(G325,N325*'NM Play'!$B$11)/'NM Play'!$B$13*'NM Play'!$B$21*'NM Play'!$B$22+MIN(H325,N325*'NM Play'!$B$12)/'NM Play'!$B$14*IF('Sites'!$C$8="Own sheets",'NM Play'!$B$21*'NM Play'!$B$22,'NM Play'!$B$28*'NM Play'!$B$14/'NM Play'!$B$12)</f>
        <v/>
      </c>
      <c r="AL325" s="160">
        <f>Y325*'Assumptions'!AI66</f>
        <v/>
      </c>
      <c r="AM325" s="160">
        <f>IF('Sites'!$D$8="NM crew",S325*'NM Play'!$B$37*(1+IF(AND(ISNUMBER('NM Play'!$B$25),'NM Play'!$B$25&gt;0),1,0)),"")</f>
        <v/>
      </c>
      <c r="AN325" s="160">
        <f>IF(OR('Sites'!$E$8&lt;0,'Sites'!$E$8&gt;1,'Sites'!$F$8&lt;1,'Sites'!$G$8&lt;'Sites'!$F$8,F325&lt;0,MIN('Sites'!$I$8:'Sites'!$R$8)&lt;0,'Sites'!$L$8&gt;'Sites'!$I$8,'Sites'!$M$8&gt;'Sites'!$J$8,'Sites'!$N$8&gt;'Sites'!$K$8,'Sites'!$Z$8&lt;0,'Sites'!$Z$8&gt;1,MIN('Sites'!$AA$8:'Sites'!$AC$8)&lt;0,S325&gt;F325+0.001),1,0)</f>
        <v/>
      </c>
      <c r="AO325" s="160">
        <f>I325+U325-T325-X325</f>
        <v/>
      </c>
    </row>
    <row r="326" ht="28" customHeight="1">
      <c r="A326" s="4" t="inlineStr">
        <is>
          <t>No QBE</t>
        </is>
      </c>
      <c r="B326" s="4" t="inlineStr">
        <is>
          <t>NEW2</t>
        </is>
      </c>
      <c r="C326" s="160" t="n">
        <v>33</v>
      </c>
      <c r="D326" s="160">
        <f>ROUNDUP(C326/12,0)</f>
        <v/>
      </c>
      <c r="E326" s="160">
        <f>IF(AND('Sites'!$E$8*'Cases'!$F$8=1,C326&gt;='Sites'!$F$8+'Cases'!$G$8,C326&lt;='Sites'!$G$8),1,0)</f>
        <v/>
      </c>
      <c r="F326" s="160">
        <f>E326*'Assumptions'!AJ69</f>
        <v/>
      </c>
      <c r="G326" s="160">
        <f>V325</f>
        <v/>
      </c>
      <c r="H326" s="160">
        <f>W325</f>
        <v/>
      </c>
      <c r="I326" s="160">
        <f>X325</f>
        <v/>
      </c>
      <c r="J326" s="160">
        <f>MAX(0,'Sites'!$K$8-SUM(N318:N325))</f>
        <v/>
      </c>
      <c r="K326" s="160">
        <f>IF('Sites'!$C$8="Own sheets",MIN(ROUNDDOWN(G326/'NM Play'!$B$11,0)+F326*'NM Play'!$B$10/'NM Play'!$B$43,ROUNDDOWN(H326/'NM Play'!$B$12,0)+F326*'NM Play'!$B$10/'NM Play'!$B$44,(F326*'NM Play'!$B$10+ROUNDDOWN(G326/'NM Play'!$B$11,0)*'NM Play'!$B$43+ROUNDDOWN(H326/'NM Play'!$B$12,0)*'NM Play'!$B$44)/('NM Play'!$B$43+'NM Play'!$B$44)),ROUNDDOWN(G326/'NM Play'!$B$11,0)+F326*'NM Play'!$B$10/'NM Play'!$B$43)</f>
        <v/>
      </c>
      <c r="L326" s="160">
        <f>MIN(ROUNDDOWN(G326/'NM Play'!$B$11,0)+F326/('NM Play'!$B$43/'NM Play'!$B$15),ROUNDDOWN(H326/'NM Play'!$B$12,0)+F326/('NM Play'!$B$44/'NM Play'!$B$16),(F326+ROUNDDOWN(G326/'NM Play'!$B$11,0)*'NM Play'!$B$43/'NM Play'!$B$15+ROUNDDOWN(H326/'NM Play'!$B$12,0)*'NM Play'!$B$44/'NM Play'!$B$16)/('NM Play'!$B$43/'NM Play'!$B$15+'NM Play'!$B$44/'NM Play'!$B$16))</f>
        <v/>
      </c>
      <c r="M326" s="160">
        <f>F326*'NM Play'!$B$36</f>
        <v/>
      </c>
      <c r="N326" s="160">
        <f>ROUNDDOWN(MAX(0,MIN(J326,K326:M326)),0)</f>
        <v/>
      </c>
      <c r="O326" s="160">
        <f>ROUNDUP(MAX(0,N326*'NM Play'!$B$11-G326)/'NM Play'!$B$13,0)</f>
        <v/>
      </c>
      <c r="P326" s="160">
        <f>ROUNDUP(MAX(0,N326*'NM Play'!$B$12-H326)/'NM Play'!$B$14,0)</f>
        <v/>
      </c>
      <c r="Q326" s="160">
        <f>(O326+IF('Sites'!$C$8="Own sheets",P326,0))/'NM Play'!$B$10</f>
        <v/>
      </c>
      <c r="R326" s="160">
        <f>O326/'NM Play'!$B$15+P326/'NM Play'!$B$16</f>
        <v/>
      </c>
      <c r="S326" s="160">
        <f>MAX(Q326,R326,N326/'NM Play'!$B$36)</f>
        <v/>
      </c>
      <c r="T326" s="160">
        <f>Q326*'NM Play'!$B$10*'NM Play'!$B$21*(1+'NM Play'!$B$35)</f>
        <v/>
      </c>
      <c r="U326" s="160">
        <f>MAX(0,T326-I326)</f>
        <v/>
      </c>
      <c r="V326" s="160">
        <f>G326+O326*'NM Play'!$B$13-N326*'NM Play'!$B$11</f>
        <v/>
      </c>
      <c r="W326" s="160">
        <f>H326+P326*'NM Play'!$B$14-N326*'NM Play'!$B$12</f>
        <v/>
      </c>
      <c r="X326" s="160">
        <f>I326+U326-T326</f>
        <v/>
      </c>
      <c r="Y326" s="160">
        <f>MIN(N326,MAX(0,ROUNDDOWN('Sites'!$N$8*'Cases'!$E$8,0)-SUM(Y318:Y325)))</f>
        <v/>
      </c>
      <c r="Z326" s="160">
        <f>N326-Y326</f>
        <v/>
      </c>
      <c r="AA326" s="160">
        <f>U326*'NM Play'!$B$22</f>
        <v/>
      </c>
      <c r="AB326" s="160">
        <f>N326*SUM('NM Play'!$B$29:$B$31)</f>
        <v/>
      </c>
      <c r="AC326" s="160">
        <f>IF('Sites'!$C$8="Defy legs",P326*'NM Play'!$B$14/'NM Play'!$B$12*'NM Play'!$B$28,0)</f>
        <v/>
      </c>
      <c r="AD326" s="160">
        <f>Q326*'NM Play'!$B$23</f>
        <v/>
      </c>
      <c r="AE326" s="160">
        <f>S326*SUM('NM Play'!$B$26,'NM Play'!$B$33:$B$34)</f>
        <v/>
      </c>
      <c r="AF326" s="160">
        <f>IF('Sites'!$D$8="NM crew",S326*SUM('NM Play'!$B$24:$B$25),0)</f>
        <v/>
      </c>
      <c r="AG326" s="160">
        <f>IF('Sites'!$D$8="NM crew",S326*'NM Play'!$B$27,0)</f>
        <v/>
      </c>
      <c r="AH326" s="160">
        <f>N326*'Sites'!$Z$8*'NM Play'!$B$32</f>
        <v/>
      </c>
      <c r="AI326" s="160">
        <f>SUM(Y326:Z326)*'Sites'!$R$8</f>
        <v/>
      </c>
      <c r="AJ326" s="160">
        <f>SUM(AA326:AH326)</f>
        <v/>
      </c>
      <c r="AK326" s="160">
        <f>AJ326+(T326-U326)*'NM Play'!$B$22+MIN(G326,N326*'NM Play'!$B$11)/'NM Play'!$B$13*'NM Play'!$B$21*'NM Play'!$B$22+MIN(H326,N326*'NM Play'!$B$12)/'NM Play'!$B$14*IF('Sites'!$C$8="Own sheets",'NM Play'!$B$21*'NM Play'!$B$22,'NM Play'!$B$28*'NM Play'!$B$14/'NM Play'!$B$12)</f>
        <v/>
      </c>
      <c r="AL326" s="160">
        <f>Y326*'Assumptions'!AJ66</f>
        <v/>
      </c>
      <c r="AM326" s="160">
        <f>IF('Sites'!$D$8="NM crew",S326*'NM Play'!$B$37*(1+IF(AND(ISNUMBER('NM Play'!$B$25),'NM Play'!$B$25&gt;0),1,0)),"")</f>
        <v/>
      </c>
      <c r="AN326" s="160">
        <f>IF(OR('Sites'!$E$8&lt;0,'Sites'!$E$8&gt;1,'Sites'!$F$8&lt;1,'Sites'!$G$8&lt;'Sites'!$F$8,F326&lt;0,MIN('Sites'!$I$8:'Sites'!$R$8)&lt;0,'Sites'!$L$8&gt;'Sites'!$I$8,'Sites'!$M$8&gt;'Sites'!$J$8,'Sites'!$N$8&gt;'Sites'!$K$8,'Sites'!$Z$8&lt;0,'Sites'!$Z$8&gt;1,MIN('Sites'!$AA$8:'Sites'!$AC$8)&lt;0,S326&gt;F326+0.001),1,0)</f>
        <v/>
      </c>
      <c r="AO326" s="160">
        <f>I326+U326-T326-X326</f>
        <v/>
      </c>
    </row>
    <row r="327" ht="28" customHeight="1">
      <c r="A327" s="4" t="inlineStr">
        <is>
          <t>No QBE</t>
        </is>
      </c>
      <c r="B327" s="4" t="inlineStr">
        <is>
          <t>NEW2</t>
        </is>
      </c>
      <c r="C327" s="160" t="n">
        <v>34</v>
      </c>
      <c r="D327" s="160">
        <f>ROUNDUP(C327/12,0)</f>
        <v/>
      </c>
      <c r="E327" s="160">
        <f>IF(AND('Sites'!$E$8*'Cases'!$F$8=1,C327&gt;='Sites'!$F$8+'Cases'!$G$8,C327&lt;='Sites'!$G$8),1,0)</f>
        <v/>
      </c>
      <c r="F327" s="160">
        <f>E327*'Assumptions'!AK69</f>
        <v/>
      </c>
      <c r="G327" s="160">
        <f>V326</f>
        <v/>
      </c>
      <c r="H327" s="160">
        <f>W326</f>
        <v/>
      </c>
      <c r="I327" s="160">
        <f>X326</f>
        <v/>
      </c>
      <c r="J327" s="160">
        <f>MAX(0,'Sites'!$K$8-SUM(N318:N326))</f>
        <v/>
      </c>
      <c r="K327" s="160">
        <f>IF('Sites'!$C$8="Own sheets",MIN(ROUNDDOWN(G327/'NM Play'!$B$11,0)+F327*'NM Play'!$B$10/'NM Play'!$B$43,ROUNDDOWN(H327/'NM Play'!$B$12,0)+F327*'NM Play'!$B$10/'NM Play'!$B$44,(F327*'NM Play'!$B$10+ROUNDDOWN(G327/'NM Play'!$B$11,0)*'NM Play'!$B$43+ROUNDDOWN(H327/'NM Play'!$B$12,0)*'NM Play'!$B$44)/('NM Play'!$B$43+'NM Play'!$B$44)),ROUNDDOWN(G327/'NM Play'!$B$11,0)+F327*'NM Play'!$B$10/'NM Play'!$B$43)</f>
        <v/>
      </c>
      <c r="L327" s="160">
        <f>MIN(ROUNDDOWN(G327/'NM Play'!$B$11,0)+F327/('NM Play'!$B$43/'NM Play'!$B$15),ROUNDDOWN(H327/'NM Play'!$B$12,0)+F327/('NM Play'!$B$44/'NM Play'!$B$16),(F327+ROUNDDOWN(G327/'NM Play'!$B$11,0)*'NM Play'!$B$43/'NM Play'!$B$15+ROUNDDOWN(H327/'NM Play'!$B$12,0)*'NM Play'!$B$44/'NM Play'!$B$16)/('NM Play'!$B$43/'NM Play'!$B$15+'NM Play'!$B$44/'NM Play'!$B$16))</f>
        <v/>
      </c>
      <c r="M327" s="160">
        <f>F327*'NM Play'!$B$36</f>
        <v/>
      </c>
      <c r="N327" s="160">
        <f>ROUNDDOWN(MAX(0,MIN(J327,K327:M327)),0)</f>
        <v/>
      </c>
      <c r="O327" s="160">
        <f>ROUNDUP(MAX(0,N327*'NM Play'!$B$11-G327)/'NM Play'!$B$13,0)</f>
        <v/>
      </c>
      <c r="P327" s="160">
        <f>ROUNDUP(MAX(0,N327*'NM Play'!$B$12-H327)/'NM Play'!$B$14,0)</f>
        <v/>
      </c>
      <c r="Q327" s="160">
        <f>(O327+IF('Sites'!$C$8="Own sheets",P327,0))/'NM Play'!$B$10</f>
        <v/>
      </c>
      <c r="R327" s="160">
        <f>O327/'NM Play'!$B$15+P327/'NM Play'!$B$16</f>
        <v/>
      </c>
      <c r="S327" s="160">
        <f>MAX(Q327,R327,N327/'NM Play'!$B$36)</f>
        <v/>
      </c>
      <c r="T327" s="160">
        <f>Q327*'NM Play'!$B$10*'NM Play'!$B$21*(1+'NM Play'!$B$35)</f>
        <v/>
      </c>
      <c r="U327" s="160">
        <f>MAX(0,T327-I327)</f>
        <v/>
      </c>
      <c r="V327" s="160">
        <f>G327+O327*'NM Play'!$B$13-N327*'NM Play'!$B$11</f>
        <v/>
      </c>
      <c r="W327" s="160">
        <f>H327+P327*'NM Play'!$B$14-N327*'NM Play'!$B$12</f>
        <v/>
      </c>
      <c r="X327" s="160">
        <f>I327+U327-T327</f>
        <v/>
      </c>
      <c r="Y327" s="160">
        <f>MIN(N327,MAX(0,ROUNDDOWN('Sites'!$N$8*'Cases'!$E$8,0)-SUM(Y318:Y326)))</f>
        <v/>
      </c>
      <c r="Z327" s="160">
        <f>N327-Y327</f>
        <v/>
      </c>
      <c r="AA327" s="160">
        <f>U327*'NM Play'!$B$22</f>
        <v/>
      </c>
      <c r="AB327" s="160">
        <f>N327*SUM('NM Play'!$B$29:$B$31)</f>
        <v/>
      </c>
      <c r="AC327" s="160">
        <f>IF('Sites'!$C$8="Defy legs",P327*'NM Play'!$B$14/'NM Play'!$B$12*'NM Play'!$B$28,0)</f>
        <v/>
      </c>
      <c r="AD327" s="160">
        <f>Q327*'NM Play'!$B$23</f>
        <v/>
      </c>
      <c r="AE327" s="160">
        <f>S327*SUM('NM Play'!$B$26,'NM Play'!$B$33:$B$34)</f>
        <v/>
      </c>
      <c r="AF327" s="160">
        <f>IF('Sites'!$D$8="NM crew",S327*SUM('NM Play'!$B$24:$B$25),0)</f>
        <v/>
      </c>
      <c r="AG327" s="160">
        <f>IF('Sites'!$D$8="NM crew",S327*'NM Play'!$B$27,0)</f>
        <v/>
      </c>
      <c r="AH327" s="160">
        <f>N327*'Sites'!$Z$8*'NM Play'!$B$32</f>
        <v/>
      </c>
      <c r="AI327" s="160">
        <f>SUM(Y327:Z327)*'Sites'!$R$8</f>
        <v/>
      </c>
      <c r="AJ327" s="160">
        <f>SUM(AA327:AH327)</f>
        <v/>
      </c>
      <c r="AK327" s="160">
        <f>AJ327+(T327-U327)*'NM Play'!$B$22+MIN(G327,N327*'NM Play'!$B$11)/'NM Play'!$B$13*'NM Play'!$B$21*'NM Play'!$B$22+MIN(H327,N327*'NM Play'!$B$12)/'NM Play'!$B$14*IF('Sites'!$C$8="Own sheets",'NM Play'!$B$21*'NM Play'!$B$22,'NM Play'!$B$28*'NM Play'!$B$14/'NM Play'!$B$12)</f>
        <v/>
      </c>
      <c r="AL327" s="160">
        <f>Y327*'Assumptions'!AK66</f>
        <v/>
      </c>
      <c r="AM327" s="160">
        <f>IF('Sites'!$D$8="NM crew",S327*'NM Play'!$B$37*(1+IF(AND(ISNUMBER('NM Play'!$B$25),'NM Play'!$B$25&gt;0),1,0)),"")</f>
        <v/>
      </c>
      <c r="AN327" s="160">
        <f>IF(OR('Sites'!$E$8&lt;0,'Sites'!$E$8&gt;1,'Sites'!$F$8&lt;1,'Sites'!$G$8&lt;'Sites'!$F$8,F327&lt;0,MIN('Sites'!$I$8:'Sites'!$R$8)&lt;0,'Sites'!$L$8&gt;'Sites'!$I$8,'Sites'!$M$8&gt;'Sites'!$J$8,'Sites'!$N$8&gt;'Sites'!$K$8,'Sites'!$Z$8&lt;0,'Sites'!$Z$8&gt;1,MIN('Sites'!$AA$8:'Sites'!$AC$8)&lt;0,S327&gt;F327+0.001),1,0)</f>
        <v/>
      </c>
      <c r="AO327" s="160">
        <f>I327+U327-T327-X327</f>
        <v/>
      </c>
    </row>
    <row r="328" ht="28" customHeight="1">
      <c r="A328" s="4" t="inlineStr">
        <is>
          <t>No QBE</t>
        </is>
      </c>
      <c r="B328" s="4" t="inlineStr">
        <is>
          <t>NEW2</t>
        </is>
      </c>
      <c r="C328" s="160" t="n">
        <v>35</v>
      </c>
      <c r="D328" s="160">
        <f>ROUNDUP(C328/12,0)</f>
        <v/>
      </c>
      <c r="E328" s="160">
        <f>IF(AND('Sites'!$E$8*'Cases'!$F$8=1,C328&gt;='Sites'!$F$8+'Cases'!$G$8,C328&lt;='Sites'!$G$8),1,0)</f>
        <v/>
      </c>
      <c r="F328" s="160">
        <f>E328*'Assumptions'!AL69</f>
        <v/>
      </c>
      <c r="G328" s="160">
        <f>V327</f>
        <v/>
      </c>
      <c r="H328" s="160">
        <f>W327</f>
        <v/>
      </c>
      <c r="I328" s="160">
        <f>X327</f>
        <v/>
      </c>
      <c r="J328" s="160">
        <f>MAX(0,'Sites'!$K$8-SUM(N318:N327))</f>
        <v/>
      </c>
      <c r="K328" s="160">
        <f>IF('Sites'!$C$8="Own sheets",MIN(ROUNDDOWN(G328/'NM Play'!$B$11,0)+F328*'NM Play'!$B$10/'NM Play'!$B$43,ROUNDDOWN(H328/'NM Play'!$B$12,0)+F328*'NM Play'!$B$10/'NM Play'!$B$44,(F328*'NM Play'!$B$10+ROUNDDOWN(G328/'NM Play'!$B$11,0)*'NM Play'!$B$43+ROUNDDOWN(H328/'NM Play'!$B$12,0)*'NM Play'!$B$44)/('NM Play'!$B$43+'NM Play'!$B$44)),ROUNDDOWN(G328/'NM Play'!$B$11,0)+F328*'NM Play'!$B$10/'NM Play'!$B$43)</f>
        <v/>
      </c>
      <c r="L328" s="160">
        <f>MIN(ROUNDDOWN(G328/'NM Play'!$B$11,0)+F328/('NM Play'!$B$43/'NM Play'!$B$15),ROUNDDOWN(H328/'NM Play'!$B$12,0)+F328/('NM Play'!$B$44/'NM Play'!$B$16),(F328+ROUNDDOWN(G328/'NM Play'!$B$11,0)*'NM Play'!$B$43/'NM Play'!$B$15+ROUNDDOWN(H328/'NM Play'!$B$12,0)*'NM Play'!$B$44/'NM Play'!$B$16)/('NM Play'!$B$43/'NM Play'!$B$15+'NM Play'!$B$44/'NM Play'!$B$16))</f>
        <v/>
      </c>
      <c r="M328" s="160">
        <f>F328*'NM Play'!$B$36</f>
        <v/>
      </c>
      <c r="N328" s="160">
        <f>ROUNDDOWN(MAX(0,MIN(J328,K328:M328)),0)</f>
        <v/>
      </c>
      <c r="O328" s="160">
        <f>ROUNDUP(MAX(0,N328*'NM Play'!$B$11-G328)/'NM Play'!$B$13,0)</f>
        <v/>
      </c>
      <c r="P328" s="160">
        <f>ROUNDUP(MAX(0,N328*'NM Play'!$B$12-H328)/'NM Play'!$B$14,0)</f>
        <v/>
      </c>
      <c r="Q328" s="160">
        <f>(O328+IF('Sites'!$C$8="Own sheets",P328,0))/'NM Play'!$B$10</f>
        <v/>
      </c>
      <c r="R328" s="160">
        <f>O328/'NM Play'!$B$15+P328/'NM Play'!$B$16</f>
        <v/>
      </c>
      <c r="S328" s="160">
        <f>MAX(Q328,R328,N328/'NM Play'!$B$36)</f>
        <v/>
      </c>
      <c r="T328" s="160">
        <f>Q328*'NM Play'!$B$10*'NM Play'!$B$21*(1+'NM Play'!$B$35)</f>
        <v/>
      </c>
      <c r="U328" s="160">
        <f>MAX(0,T328-I328)</f>
        <v/>
      </c>
      <c r="V328" s="160">
        <f>G328+O328*'NM Play'!$B$13-N328*'NM Play'!$B$11</f>
        <v/>
      </c>
      <c r="W328" s="160">
        <f>H328+P328*'NM Play'!$B$14-N328*'NM Play'!$B$12</f>
        <v/>
      </c>
      <c r="X328" s="160">
        <f>I328+U328-T328</f>
        <v/>
      </c>
      <c r="Y328" s="160">
        <f>MIN(N328,MAX(0,ROUNDDOWN('Sites'!$N$8*'Cases'!$E$8,0)-SUM(Y318:Y327)))</f>
        <v/>
      </c>
      <c r="Z328" s="160">
        <f>N328-Y328</f>
        <v/>
      </c>
      <c r="AA328" s="160">
        <f>U328*'NM Play'!$B$22</f>
        <v/>
      </c>
      <c r="AB328" s="160">
        <f>N328*SUM('NM Play'!$B$29:$B$31)</f>
        <v/>
      </c>
      <c r="AC328" s="160">
        <f>IF('Sites'!$C$8="Defy legs",P328*'NM Play'!$B$14/'NM Play'!$B$12*'NM Play'!$B$28,0)</f>
        <v/>
      </c>
      <c r="AD328" s="160">
        <f>Q328*'NM Play'!$B$23</f>
        <v/>
      </c>
      <c r="AE328" s="160">
        <f>S328*SUM('NM Play'!$B$26,'NM Play'!$B$33:$B$34)</f>
        <v/>
      </c>
      <c r="AF328" s="160">
        <f>IF('Sites'!$D$8="NM crew",S328*SUM('NM Play'!$B$24:$B$25),0)</f>
        <v/>
      </c>
      <c r="AG328" s="160">
        <f>IF('Sites'!$D$8="NM crew",S328*'NM Play'!$B$27,0)</f>
        <v/>
      </c>
      <c r="AH328" s="160">
        <f>N328*'Sites'!$Z$8*'NM Play'!$B$32</f>
        <v/>
      </c>
      <c r="AI328" s="160">
        <f>SUM(Y328:Z328)*'Sites'!$R$8</f>
        <v/>
      </c>
      <c r="AJ328" s="160">
        <f>SUM(AA328:AH328)</f>
        <v/>
      </c>
      <c r="AK328" s="160">
        <f>AJ328+(T328-U328)*'NM Play'!$B$22+MIN(G328,N328*'NM Play'!$B$11)/'NM Play'!$B$13*'NM Play'!$B$21*'NM Play'!$B$22+MIN(H328,N328*'NM Play'!$B$12)/'NM Play'!$B$14*IF('Sites'!$C$8="Own sheets",'NM Play'!$B$21*'NM Play'!$B$22,'NM Play'!$B$28*'NM Play'!$B$14/'NM Play'!$B$12)</f>
        <v/>
      </c>
      <c r="AL328" s="160">
        <f>Y328*'Assumptions'!AL66</f>
        <v/>
      </c>
      <c r="AM328" s="160">
        <f>IF('Sites'!$D$8="NM crew",S328*'NM Play'!$B$37*(1+IF(AND(ISNUMBER('NM Play'!$B$25),'NM Play'!$B$25&gt;0),1,0)),"")</f>
        <v/>
      </c>
      <c r="AN328" s="160">
        <f>IF(OR('Sites'!$E$8&lt;0,'Sites'!$E$8&gt;1,'Sites'!$F$8&lt;1,'Sites'!$G$8&lt;'Sites'!$F$8,F328&lt;0,MIN('Sites'!$I$8:'Sites'!$R$8)&lt;0,'Sites'!$L$8&gt;'Sites'!$I$8,'Sites'!$M$8&gt;'Sites'!$J$8,'Sites'!$N$8&gt;'Sites'!$K$8,'Sites'!$Z$8&lt;0,'Sites'!$Z$8&gt;1,MIN('Sites'!$AA$8:'Sites'!$AC$8)&lt;0,S328&gt;F328+0.001),1,0)</f>
        <v/>
      </c>
      <c r="AO328" s="160">
        <f>I328+U328-T328-X328</f>
        <v/>
      </c>
    </row>
    <row r="329" ht="28" customHeight="1">
      <c r="A329" s="4" t="inlineStr">
        <is>
          <t>No QBE</t>
        </is>
      </c>
      <c r="B329" s="4" t="inlineStr">
        <is>
          <t>NEW2</t>
        </is>
      </c>
      <c r="C329" s="160" t="n">
        <v>36</v>
      </c>
      <c r="D329" s="160">
        <f>ROUNDUP(C329/12,0)</f>
        <v/>
      </c>
      <c r="E329" s="160">
        <f>IF(AND('Sites'!$E$8*'Cases'!$F$8=1,C329&gt;='Sites'!$F$8+'Cases'!$G$8,C329&lt;='Sites'!$G$8),1,0)</f>
        <v/>
      </c>
      <c r="F329" s="160">
        <f>E329*'Assumptions'!AM69</f>
        <v/>
      </c>
      <c r="G329" s="160">
        <f>V328</f>
        <v/>
      </c>
      <c r="H329" s="160">
        <f>W328</f>
        <v/>
      </c>
      <c r="I329" s="160">
        <f>X328</f>
        <v/>
      </c>
      <c r="J329" s="160">
        <f>MAX(0,'Sites'!$K$8-SUM(N318:N328))</f>
        <v/>
      </c>
      <c r="K329" s="160">
        <f>IF('Sites'!$C$8="Own sheets",MIN(ROUNDDOWN(G329/'NM Play'!$B$11,0)+F329*'NM Play'!$B$10/'NM Play'!$B$43,ROUNDDOWN(H329/'NM Play'!$B$12,0)+F329*'NM Play'!$B$10/'NM Play'!$B$44,(F329*'NM Play'!$B$10+ROUNDDOWN(G329/'NM Play'!$B$11,0)*'NM Play'!$B$43+ROUNDDOWN(H329/'NM Play'!$B$12,0)*'NM Play'!$B$44)/('NM Play'!$B$43+'NM Play'!$B$44)),ROUNDDOWN(G329/'NM Play'!$B$11,0)+F329*'NM Play'!$B$10/'NM Play'!$B$43)</f>
        <v/>
      </c>
      <c r="L329" s="160">
        <f>MIN(ROUNDDOWN(G329/'NM Play'!$B$11,0)+F329/('NM Play'!$B$43/'NM Play'!$B$15),ROUNDDOWN(H329/'NM Play'!$B$12,0)+F329/('NM Play'!$B$44/'NM Play'!$B$16),(F329+ROUNDDOWN(G329/'NM Play'!$B$11,0)*'NM Play'!$B$43/'NM Play'!$B$15+ROUNDDOWN(H329/'NM Play'!$B$12,0)*'NM Play'!$B$44/'NM Play'!$B$16)/('NM Play'!$B$43/'NM Play'!$B$15+'NM Play'!$B$44/'NM Play'!$B$16))</f>
        <v/>
      </c>
      <c r="M329" s="160">
        <f>F329*'NM Play'!$B$36</f>
        <v/>
      </c>
      <c r="N329" s="160">
        <f>ROUNDDOWN(MAX(0,MIN(J329,K329:M329)),0)</f>
        <v/>
      </c>
      <c r="O329" s="160">
        <f>ROUNDUP(MAX(0,N329*'NM Play'!$B$11-G329)/'NM Play'!$B$13,0)</f>
        <v/>
      </c>
      <c r="P329" s="160">
        <f>ROUNDUP(MAX(0,N329*'NM Play'!$B$12-H329)/'NM Play'!$B$14,0)</f>
        <v/>
      </c>
      <c r="Q329" s="160">
        <f>(O329+IF('Sites'!$C$8="Own sheets",P329,0))/'NM Play'!$B$10</f>
        <v/>
      </c>
      <c r="R329" s="160">
        <f>O329/'NM Play'!$B$15+P329/'NM Play'!$B$16</f>
        <v/>
      </c>
      <c r="S329" s="160">
        <f>MAX(Q329,R329,N329/'NM Play'!$B$36)</f>
        <v/>
      </c>
      <c r="T329" s="160">
        <f>Q329*'NM Play'!$B$10*'NM Play'!$B$21*(1+'NM Play'!$B$35)</f>
        <v/>
      </c>
      <c r="U329" s="160">
        <f>MAX(0,T329-I329)</f>
        <v/>
      </c>
      <c r="V329" s="160">
        <f>G329+O329*'NM Play'!$B$13-N329*'NM Play'!$B$11</f>
        <v/>
      </c>
      <c r="W329" s="160">
        <f>H329+P329*'NM Play'!$B$14-N329*'NM Play'!$B$12</f>
        <v/>
      </c>
      <c r="X329" s="160">
        <f>I329+U329-T329</f>
        <v/>
      </c>
      <c r="Y329" s="160">
        <f>MIN(N329,MAX(0,ROUNDDOWN('Sites'!$N$8*'Cases'!$E$8,0)-SUM(Y318:Y328)))</f>
        <v/>
      </c>
      <c r="Z329" s="160">
        <f>N329-Y329</f>
        <v/>
      </c>
      <c r="AA329" s="160">
        <f>U329*'NM Play'!$B$22</f>
        <v/>
      </c>
      <c r="AB329" s="160">
        <f>N329*SUM('NM Play'!$B$29:$B$31)</f>
        <v/>
      </c>
      <c r="AC329" s="160">
        <f>IF('Sites'!$C$8="Defy legs",P329*'NM Play'!$B$14/'NM Play'!$B$12*'NM Play'!$B$28,0)</f>
        <v/>
      </c>
      <c r="AD329" s="160">
        <f>Q329*'NM Play'!$B$23</f>
        <v/>
      </c>
      <c r="AE329" s="160">
        <f>S329*SUM('NM Play'!$B$26,'NM Play'!$B$33:$B$34)</f>
        <v/>
      </c>
      <c r="AF329" s="160">
        <f>IF('Sites'!$D$8="NM crew",S329*SUM('NM Play'!$B$24:$B$25),0)</f>
        <v/>
      </c>
      <c r="AG329" s="160">
        <f>IF('Sites'!$D$8="NM crew",S329*'NM Play'!$B$27,0)</f>
        <v/>
      </c>
      <c r="AH329" s="160">
        <f>N329*'Sites'!$Z$8*'NM Play'!$B$32</f>
        <v/>
      </c>
      <c r="AI329" s="160">
        <f>SUM(Y329:Z329)*'Sites'!$R$8</f>
        <v/>
      </c>
      <c r="AJ329" s="160">
        <f>SUM(AA329:AH329)</f>
        <v/>
      </c>
      <c r="AK329" s="160">
        <f>AJ329+(T329-U329)*'NM Play'!$B$22+MIN(G329,N329*'NM Play'!$B$11)/'NM Play'!$B$13*'NM Play'!$B$21*'NM Play'!$B$22+MIN(H329,N329*'NM Play'!$B$12)/'NM Play'!$B$14*IF('Sites'!$C$8="Own sheets",'NM Play'!$B$21*'NM Play'!$B$22,'NM Play'!$B$28*'NM Play'!$B$14/'NM Play'!$B$12)</f>
        <v/>
      </c>
      <c r="AL329" s="160">
        <f>Y329*'Assumptions'!AM66</f>
        <v/>
      </c>
      <c r="AM329" s="160">
        <f>IF('Sites'!$D$8="NM crew",S329*'NM Play'!$B$37*(1+IF(AND(ISNUMBER('NM Play'!$B$25),'NM Play'!$B$25&gt;0),1,0)),"")</f>
        <v/>
      </c>
      <c r="AN329" s="160">
        <f>IF(OR('Sites'!$E$8&lt;0,'Sites'!$E$8&gt;1,'Sites'!$F$8&lt;1,'Sites'!$G$8&lt;'Sites'!$F$8,F329&lt;0,MIN('Sites'!$I$8:'Sites'!$R$8)&lt;0,'Sites'!$L$8&gt;'Sites'!$I$8,'Sites'!$M$8&gt;'Sites'!$J$8,'Sites'!$N$8&gt;'Sites'!$K$8,'Sites'!$Z$8&lt;0,'Sites'!$Z$8&gt;1,MIN('Sites'!$AA$8:'Sites'!$AC$8)&lt;0,S329&gt;F329+0.001),1,0)</f>
        <v/>
      </c>
      <c r="AO329" s="160">
        <f>I329+U329-T329-X329</f>
        <v/>
      </c>
    </row>
    <row r="330" ht="28" customHeight="1">
      <c r="A330" s="4" t="inlineStr">
        <is>
          <t>Delayed receipts</t>
        </is>
      </c>
      <c r="B330" s="4" t="inlineStr">
        <is>
          <t>WITTA</t>
        </is>
      </c>
      <c r="C330" s="160" t="n">
        <v>1</v>
      </c>
      <c r="D330" s="160">
        <f>ROUNDUP(C330/12,0)</f>
        <v/>
      </c>
      <c r="E330" s="160">
        <f>IF(AND('Sites'!$E$6=1,C330&gt;='Sites'!$F$6,C330&lt;='Sites'!$G$6),1,0)</f>
        <v/>
      </c>
      <c r="F330" s="160">
        <f>E330*'Assumptions'!D67</f>
        <v/>
      </c>
      <c r="G330" s="160">
        <f>'Sites'!$AA$6</f>
        <v/>
      </c>
      <c r="H330" s="160">
        <f>'Sites'!$AB$6</f>
        <v/>
      </c>
      <c r="I330" s="160">
        <f>'Sites'!$AC$6</f>
        <v/>
      </c>
      <c r="J330" s="160">
        <f>MAX(0,'Sites'!$I$6-0)</f>
        <v/>
      </c>
      <c r="K330" s="160">
        <f>IF('Sites'!$C$6="Own sheets",MIN(ROUNDDOWN(G330/'NM Play'!$B$11,0)+F330*'NM Play'!$B$10/'NM Play'!$B$43,ROUNDDOWN(H330/'NM Play'!$B$12,0)+F330*'NM Play'!$B$10/'NM Play'!$B$44,(F330*'NM Play'!$B$10+ROUNDDOWN(G330/'NM Play'!$B$11,0)*'NM Play'!$B$43+ROUNDDOWN(H330/'NM Play'!$B$12,0)*'NM Play'!$B$44)/('NM Play'!$B$43+'NM Play'!$B$44)),ROUNDDOWN(G330/'NM Play'!$B$11,0)+F330*'NM Play'!$B$10/'NM Play'!$B$43)</f>
        <v/>
      </c>
      <c r="L330" s="160">
        <f>MIN(ROUNDDOWN(G330/'NM Play'!$B$11,0)+F330/('NM Play'!$B$43/'NM Play'!$B$15),ROUNDDOWN(H330/'NM Play'!$B$12,0)+F330/('NM Play'!$B$44/'NM Play'!$B$16),(F330+ROUNDDOWN(G330/'NM Play'!$B$11,0)*'NM Play'!$B$43/'NM Play'!$B$15+ROUNDDOWN(H330/'NM Play'!$B$12,0)*'NM Play'!$B$44/'NM Play'!$B$16)/('NM Play'!$B$43/'NM Play'!$B$15+'NM Play'!$B$44/'NM Play'!$B$16))</f>
        <v/>
      </c>
      <c r="M330" s="160">
        <f>F330*'NM Play'!$B$36</f>
        <v/>
      </c>
      <c r="N330" s="160">
        <f>ROUNDDOWN(MAX(0,MIN(J330,K330:M330)),0)</f>
        <v/>
      </c>
      <c r="O330" s="160">
        <f>ROUNDUP(MAX(0,N330*'NM Play'!$B$11-G330)/'NM Play'!$B$13,0)</f>
        <v/>
      </c>
      <c r="P330" s="160">
        <f>ROUNDUP(MAX(0,N330*'NM Play'!$B$12-H330)/'NM Play'!$B$14,0)</f>
        <v/>
      </c>
      <c r="Q330" s="160">
        <f>(O330+IF('Sites'!$C$6="Own sheets",P330,0))/'NM Play'!$B$10</f>
        <v/>
      </c>
      <c r="R330" s="160">
        <f>O330/'NM Play'!$B$15+P330/'NM Play'!$B$16</f>
        <v/>
      </c>
      <c r="S330" s="160">
        <f>MAX(Q330,R330,N330/'NM Play'!$B$36)</f>
        <v/>
      </c>
      <c r="T330" s="160">
        <f>Q330*'NM Play'!$B$10*'NM Play'!$B$21*(1+'NM Play'!$B$35)</f>
        <v/>
      </c>
      <c r="U330" s="160">
        <f>MAX(0,T330-I330)</f>
        <v/>
      </c>
      <c r="V330" s="160">
        <f>G330+O330*'NM Play'!$B$13-N330*'NM Play'!$B$11</f>
        <v/>
      </c>
      <c r="W330" s="160">
        <f>H330+P330*'NM Play'!$B$14-N330*'NM Play'!$B$12</f>
        <v/>
      </c>
      <c r="X330" s="160">
        <f>I330+U330-T330</f>
        <v/>
      </c>
      <c r="Y330" s="160">
        <f>MIN(N330,MAX(0,ROUNDDOWN('Sites'!$L$6*'Cases'!$E$9,0)-0))</f>
        <v/>
      </c>
      <c r="Z330" s="160">
        <f>N330-Y330</f>
        <v/>
      </c>
      <c r="AA330" s="160">
        <f>U330*'NM Play'!$B$22</f>
        <v/>
      </c>
      <c r="AB330" s="160">
        <f>N330*SUM('NM Play'!$B$29:$B$31)</f>
        <v/>
      </c>
      <c r="AC330" s="160">
        <f>IF('Sites'!$C$6="Defy legs",P330*'NM Play'!$B$14/'NM Play'!$B$12*'NM Play'!$B$28,0)</f>
        <v/>
      </c>
      <c r="AD330" s="160">
        <f>Q330*'NM Play'!$B$23</f>
        <v/>
      </c>
      <c r="AE330" s="160">
        <f>S330*SUM('NM Play'!$B$26,'NM Play'!$B$33:$B$34)</f>
        <v/>
      </c>
      <c r="AF330" s="160">
        <f>IF('Sites'!$D$6="NM crew",S330*SUM('NM Play'!$B$24:$B$25),0)</f>
        <v/>
      </c>
      <c r="AG330" s="160">
        <f>IF('Sites'!$D$6="NM crew",S330*'NM Play'!$B$27,0)</f>
        <v/>
      </c>
      <c r="AH330" s="160">
        <f>N330*'Sites'!$Z$6*'NM Play'!$B$32</f>
        <v/>
      </c>
      <c r="AI330" s="160">
        <f>SUM(Y330:Z330)*'Sites'!$R$6</f>
        <v/>
      </c>
      <c r="AJ330" s="160">
        <f>SUM(AA330:AH330)</f>
        <v/>
      </c>
      <c r="AK330" s="160">
        <f>AJ330+(T330-U330)*'NM Play'!$B$22+MIN(G330,N330*'NM Play'!$B$11)/'NM Play'!$B$13*'NM Play'!$B$21*'NM Play'!$B$22+MIN(H330,N330*'NM Play'!$B$12)/'NM Play'!$B$14*IF('Sites'!$C$6="Own sheets",'NM Play'!$B$21*'NM Play'!$B$22,'NM Play'!$B$28*'NM Play'!$B$14/'NM Play'!$B$12)</f>
        <v/>
      </c>
      <c r="AL330" s="160">
        <f>Y330*'Assumptions'!D66</f>
        <v/>
      </c>
      <c r="AM330" s="160">
        <f>IF('Sites'!$D$6="NM crew",S330*'NM Play'!$B$37*(1+IF(AND(ISNUMBER('NM Play'!$B$25),'NM Play'!$B$25&gt;0),1,0)),"")</f>
        <v/>
      </c>
      <c r="AN330" s="160">
        <f>IF(OR('Sites'!$E$6&lt;0,'Sites'!$E$6&gt;1,'Sites'!$F$6&lt;1,'Sites'!$G$6&lt;'Sites'!$F$6,F330&lt;0,MIN('Sites'!$I$6:'Sites'!$R$6)&lt;0,'Sites'!$L$6&gt;'Sites'!$I$6,'Sites'!$M$6&gt;'Sites'!$J$6,'Sites'!$N$6&gt;'Sites'!$K$6,'Sites'!$Z$6&lt;0,'Sites'!$Z$6&gt;1,MIN('Sites'!$AA$6:'Sites'!$AC$6)&lt;0,S330&gt;F330+0.001),1,0)</f>
        <v/>
      </c>
      <c r="AO330" s="160">
        <f>I330+U330-T330-X330</f>
        <v/>
      </c>
    </row>
    <row r="331" ht="28" customHeight="1">
      <c r="A331" s="4" t="inlineStr">
        <is>
          <t>Delayed receipts</t>
        </is>
      </c>
      <c r="B331" s="4" t="inlineStr">
        <is>
          <t>WITTA</t>
        </is>
      </c>
      <c r="C331" s="160" t="n">
        <v>2</v>
      </c>
      <c r="D331" s="160">
        <f>ROUNDUP(C331/12,0)</f>
        <v/>
      </c>
      <c r="E331" s="160">
        <f>IF(AND('Sites'!$E$6=1,C331&gt;='Sites'!$F$6,C331&lt;='Sites'!$G$6),1,0)</f>
        <v/>
      </c>
      <c r="F331" s="160">
        <f>E331*'Assumptions'!E67</f>
        <v/>
      </c>
      <c r="G331" s="160">
        <f>V330</f>
        <v/>
      </c>
      <c r="H331" s="160">
        <f>W330</f>
        <v/>
      </c>
      <c r="I331" s="160">
        <f>X330</f>
        <v/>
      </c>
      <c r="J331" s="160">
        <f>MAX(0,'Sites'!$I$6-SUM(N330:N330))</f>
        <v/>
      </c>
      <c r="K331" s="160">
        <f>IF('Sites'!$C$6="Own sheets",MIN(ROUNDDOWN(G331/'NM Play'!$B$11,0)+F331*'NM Play'!$B$10/'NM Play'!$B$43,ROUNDDOWN(H331/'NM Play'!$B$12,0)+F331*'NM Play'!$B$10/'NM Play'!$B$44,(F331*'NM Play'!$B$10+ROUNDDOWN(G331/'NM Play'!$B$11,0)*'NM Play'!$B$43+ROUNDDOWN(H331/'NM Play'!$B$12,0)*'NM Play'!$B$44)/('NM Play'!$B$43+'NM Play'!$B$44)),ROUNDDOWN(G331/'NM Play'!$B$11,0)+F331*'NM Play'!$B$10/'NM Play'!$B$43)</f>
        <v/>
      </c>
      <c r="L331" s="160">
        <f>MIN(ROUNDDOWN(G331/'NM Play'!$B$11,0)+F331/('NM Play'!$B$43/'NM Play'!$B$15),ROUNDDOWN(H331/'NM Play'!$B$12,0)+F331/('NM Play'!$B$44/'NM Play'!$B$16),(F331+ROUNDDOWN(G331/'NM Play'!$B$11,0)*'NM Play'!$B$43/'NM Play'!$B$15+ROUNDDOWN(H331/'NM Play'!$B$12,0)*'NM Play'!$B$44/'NM Play'!$B$16)/('NM Play'!$B$43/'NM Play'!$B$15+'NM Play'!$B$44/'NM Play'!$B$16))</f>
        <v/>
      </c>
      <c r="M331" s="160">
        <f>F331*'NM Play'!$B$36</f>
        <v/>
      </c>
      <c r="N331" s="160">
        <f>ROUNDDOWN(MAX(0,MIN(J331,K331:M331)),0)</f>
        <v/>
      </c>
      <c r="O331" s="160">
        <f>ROUNDUP(MAX(0,N331*'NM Play'!$B$11-G331)/'NM Play'!$B$13,0)</f>
        <v/>
      </c>
      <c r="P331" s="160">
        <f>ROUNDUP(MAX(0,N331*'NM Play'!$B$12-H331)/'NM Play'!$B$14,0)</f>
        <v/>
      </c>
      <c r="Q331" s="160">
        <f>(O331+IF('Sites'!$C$6="Own sheets",P331,0))/'NM Play'!$B$10</f>
        <v/>
      </c>
      <c r="R331" s="160">
        <f>O331/'NM Play'!$B$15+P331/'NM Play'!$B$16</f>
        <v/>
      </c>
      <c r="S331" s="160">
        <f>MAX(Q331,R331,N331/'NM Play'!$B$36)</f>
        <v/>
      </c>
      <c r="T331" s="160">
        <f>Q331*'NM Play'!$B$10*'NM Play'!$B$21*(1+'NM Play'!$B$35)</f>
        <v/>
      </c>
      <c r="U331" s="160">
        <f>MAX(0,T331-I331)</f>
        <v/>
      </c>
      <c r="V331" s="160">
        <f>G331+O331*'NM Play'!$B$13-N331*'NM Play'!$B$11</f>
        <v/>
      </c>
      <c r="W331" s="160">
        <f>H331+P331*'NM Play'!$B$14-N331*'NM Play'!$B$12</f>
        <v/>
      </c>
      <c r="X331" s="160">
        <f>I331+U331-T331</f>
        <v/>
      </c>
      <c r="Y331" s="160">
        <f>MIN(N331,MAX(0,ROUNDDOWN('Sites'!$L$6*'Cases'!$E$9,0)-SUM(Y330:Y330)))</f>
        <v/>
      </c>
      <c r="Z331" s="160">
        <f>N331-Y331</f>
        <v/>
      </c>
      <c r="AA331" s="160">
        <f>U331*'NM Play'!$B$22</f>
        <v/>
      </c>
      <c r="AB331" s="160">
        <f>N331*SUM('NM Play'!$B$29:$B$31)</f>
        <v/>
      </c>
      <c r="AC331" s="160">
        <f>IF('Sites'!$C$6="Defy legs",P331*'NM Play'!$B$14/'NM Play'!$B$12*'NM Play'!$B$28,0)</f>
        <v/>
      </c>
      <c r="AD331" s="160">
        <f>Q331*'NM Play'!$B$23</f>
        <v/>
      </c>
      <c r="AE331" s="160">
        <f>S331*SUM('NM Play'!$B$26,'NM Play'!$B$33:$B$34)</f>
        <v/>
      </c>
      <c r="AF331" s="160">
        <f>IF('Sites'!$D$6="NM crew",S331*SUM('NM Play'!$B$24:$B$25),0)</f>
        <v/>
      </c>
      <c r="AG331" s="160">
        <f>IF('Sites'!$D$6="NM crew",S331*'NM Play'!$B$27,0)</f>
        <v/>
      </c>
      <c r="AH331" s="160">
        <f>N331*'Sites'!$Z$6*'NM Play'!$B$32</f>
        <v/>
      </c>
      <c r="AI331" s="160">
        <f>SUM(Y331:Z331)*'Sites'!$R$6</f>
        <v/>
      </c>
      <c r="AJ331" s="160">
        <f>SUM(AA331:AH331)</f>
        <v/>
      </c>
      <c r="AK331" s="160">
        <f>AJ331+(T331-U331)*'NM Play'!$B$22+MIN(G331,N331*'NM Play'!$B$11)/'NM Play'!$B$13*'NM Play'!$B$21*'NM Play'!$B$22+MIN(H331,N331*'NM Play'!$B$12)/'NM Play'!$B$14*IF('Sites'!$C$6="Own sheets",'NM Play'!$B$21*'NM Play'!$B$22,'NM Play'!$B$28*'NM Play'!$B$14/'NM Play'!$B$12)</f>
        <v/>
      </c>
      <c r="AL331" s="160">
        <f>Y331*'Assumptions'!E66</f>
        <v/>
      </c>
      <c r="AM331" s="160">
        <f>IF('Sites'!$D$6="NM crew",S331*'NM Play'!$B$37*(1+IF(AND(ISNUMBER('NM Play'!$B$25),'NM Play'!$B$25&gt;0),1,0)),"")</f>
        <v/>
      </c>
      <c r="AN331" s="160">
        <f>IF(OR('Sites'!$E$6&lt;0,'Sites'!$E$6&gt;1,'Sites'!$F$6&lt;1,'Sites'!$G$6&lt;'Sites'!$F$6,F331&lt;0,MIN('Sites'!$I$6:'Sites'!$R$6)&lt;0,'Sites'!$L$6&gt;'Sites'!$I$6,'Sites'!$M$6&gt;'Sites'!$J$6,'Sites'!$N$6&gt;'Sites'!$K$6,'Sites'!$Z$6&lt;0,'Sites'!$Z$6&gt;1,MIN('Sites'!$AA$6:'Sites'!$AC$6)&lt;0,S331&gt;F331+0.001),1,0)</f>
        <v/>
      </c>
      <c r="AO331" s="160">
        <f>I331+U331-T331-X331</f>
        <v/>
      </c>
    </row>
    <row r="332" ht="28" customHeight="1">
      <c r="A332" s="4" t="inlineStr">
        <is>
          <t>Delayed receipts</t>
        </is>
      </c>
      <c r="B332" s="4" t="inlineStr">
        <is>
          <t>WITTA</t>
        </is>
      </c>
      <c r="C332" s="160" t="n">
        <v>3</v>
      </c>
      <c r="D332" s="160">
        <f>ROUNDUP(C332/12,0)</f>
        <v/>
      </c>
      <c r="E332" s="160">
        <f>IF(AND('Sites'!$E$6=1,C332&gt;='Sites'!$F$6,C332&lt;='Sites'!$G$6),1,0)</f>
        <v/>
      </c>
      <c r="F332" s="160">
        <f>E332*'Assumptions'!F67</f>
        <v/>
      </c>
      <c r="G332" s="160">
        <f>V331</f>
        <v/>
      </c>
      <c r="H332" s="160">
        <f>W331</f>
        <v/>
      </c>
      <c r="I332" s="160">
        <f>X331</f>
        <v/>
      </c>
      <c r="J332" s="160">
        <f>MAX(0,'Sites'!$I$6-SUM(N330:N331))</f>
        <v/>
      </c>
      <c r="K332" s="160">
        <f>IF('Sites'!$C$6="Own sheets",MIN(ROUNDDOWN(G332/'NM Play'!$B$11,0)+F332*'NM Play'!$B$10/'NM Play'!$B$43,ROUNDDOWN(H332/'NM Play'!$B$12,0)+F332*'NM Play'!$B$10/'NM Play'!$B$44,(F332*'NM Play'!$B$10+ROUNDDOWN(G332/'NM Play'!$B$11,0)*'NM Play'!$B$43+ROUNDDOWN(H332/'NM Play'!$B$12,0)*'NM Play'!$B$44)/('NM Play'!$B$43+'NM Play'!$B$44)),ROUNDDOWN(G332/'NM Play'!$B$11,0)+F332*'NM Play'!$B$10/'NM Play'!$B$43)</f>
        <v/>
      </c>
      <c r="L332" s="160">
        <f>MIN(ROUNDDOWN(G332/'NM Play'!$B$11,0)+F332/('NM Play'!$B$43/'NM Play'!$B$15),ROUNDDOWN(H332/'NM Play'!$B$12,0)+F332/('NM Play'!$B$44/'NM Play'!$B$16),(F332+ROUNDDOWN(G332/'NM Play'!$B$11,0)*'NM Play'!$B$43/'NM Play'!$B$15+ROUNDDOWN(H332/'NM Play'!$B$12,0)*'NM Play'!$B$44/'NM Play'!$B$16)/('NM Play'!$B$43/'NM Play'!$B$15+'NM Play'!$B$44/'NM Play'!$B$16))</f>
        <v/>
      </c>
      <c r="M332" s="160">
        <f>F332*'NM Play'!$B$36</f>
        <v/>
      </c>
      <c r="N332" s="160">
        <f>ROUNDDOWN(MAX(0,MIN(J332,K332:M332)),0)</f>
        <v/>
      </c>
      <c r="O332" s="160">
        <f>ROUNDUP(MAX(0,N332*'NM Play'!$B$11-G332)/'NM Play'!$B$13,0)</f>
        <v/>
      </c>
      <c r="P332" s="160">
        <f>ROUNDUP(MAX(0,N332*'NM Play'!$B$12-H332)/'NM Play'!$B$14,0)</f>
        <v/>
      </c>
      <c r="Q332" s="160">
        <f>(O332+IF('Sites'!$C$6="Own sheets",P332,0))/'NM Play'!$B$10</f>
        <v/>
      </c>
      <c r="R332" s="160">
        <f>O332/'NM Play'!$B$15+P332/'NM Play'!$B$16</f>
        <v/>
      </c>
      <c r="S332" s="160">
        <f>MAX(Q332,R332,N332/'NM Play'!$B$36)</f>
        <v/>
      </c>
      <c r="T332" s="160">
        <f>Q332*'NM Play'!$B$10*'NM Play'!$B$21*(1+'NM Play'!$B$35)</f>
        <v/>
      </c>
      <c r="U332" s="160">
        <f>MAX(0,T332-I332)</f>
        <v/>
      </c>
      <c r="V332" s="160">
        <f>G332+O332*'NM Play'!$B$13-N332*'NM Play'!$B$11</f>
        <v/>
      </c>
      <c r="W332" s="160">
        <f>H332+P332*'NM Play'!$B$14-N332*'NM Play'!$B$12</f>
        <v/>
      </c>
      <c r="X332" s="160">
        <f>I332+U332-T332</f>
        <v/>
      </c>
      <c r="Y332" s="160">
        <f>MIN(N332,MAX(0,ROUNDDOWN('Sites'!$L$6*'Cases'!$E$9,0)-SUM(Y330:Y331)))</f>
        <v/>
      </c>
      <c r="Z332" s="160">
        <f>N332-Y332</f>
        <v/>
      </c>
      <c r="AA332" s="160">
        <f>U332*'NM Play'!$B$22</f>
        <v/>
      </c>
      <c r="AB332" s="160">
        <f>N332*SUM('NM Play'!$B$29:$B$31)</f>
        <v/>
      </c>
      <c r="AC332" s="160">
        <f>IF('Sites'!$C$6="Defy legs",P332*'NM Play'!$B$14/'NM Play'!$B$12*'NM Play'!$B$28,0)</f>
        <v/>
      </c>
      <c r="AD332" s="160">
        <f>Q332*'NM Play'!$B$23</f>
        <v/>
      </c>
      <c r="AE332" s="160">
        <f>S332*SUM('NM Play'!$B$26,'NM Play'!$B$33:$B$34)</f>
        <v/>
      </c>
      <c r="AF332" s="160">
        <f>IF('Sites'!$D$6="NM crew",S332*SUM('NM Play'!$B$24:$B$25),0)</f>
        <v/>
      </c>
      <c r="AG332" s="160">
        <f>IF('Sites'!$D$6="NM crew",S332*'NM Play'!$B$27,0)</f>
        <v/>
      </c>
      <c r="AH332" s="160">
        <f>N332*'Sites'!$Z$6*'NM Play'!$B$32</f>
        <v/>
      </c>
      <c r="AI332" s="160">
        <f>SUM(Y332:Z332)*'Sites'!$R$6</f>
        <v/>
      </c>
      <c r="AJ332" s="160">
        <f>SUM(AA332:AH332)</f>
        <v/>
      </c>
      <c r="AK332" s="160">
        <f>AJ332+(T332-U332)*'NM Play'!$B$22+MIN(G332,N332*'NM Play'!$B$11)/'NM Play'!$B$13*'NM Play'!$B$21*'NM Play'!$B$22+MIN(H332,N332*'NM Play'!$B$12)/'NM Play'!$B$14*IF('Sites'!$C$6="Own sheets",'NM Play'!$B$21*'NM Play'!$B$22,'NM Play'!$B$28*'NM Play'!$B$14/'NM Play'!$B$12)</f>
        <v/>
      </c>
      <c r="AL332" s="160">
        <f>Y332*'Assumptions'!F66</f>
        <v/>
      </c>
      <c r="AM332" s="160">
        <f>IF('Sites'!$D$6="NM crew",S332*'NM Play'!$B$37*(1+IF(AND(ISNUMBER('NM Play'!$B$25),'NM Play'!$B$25&gt;0),1,0)),"")</f>
        <v/>
      </c>
      <c r="AN332" s="160">
        <f>IF(OR('Sites'!$E$6&lt;0,'Sites'!$E$6&gt;1,'Sites'!$F$6&lt;1,'Sites'!$G$6&lt;'Sites'!$F$6,F332&lt;0,MIN('Sites'!$I$6:'Sites'!$R$6)&lt;0,'Sites'!$L$6&gt;'Sites'!$I$6,'Sites'!$M$6&gt;'Sites'!$J$6,'Sites'!$N$6&gt;'Sites'!$K$6,'Sites'!$Z$6&lt;0,'Sites'!$Z$6&gt;1,MIN('Sites'!$AA$6:'Sites'!$AC$6)&lt;0,S332&gt;F332+0.001),1,0)</f>
        <v/>
      </c>
      <c r="AO332" s="160">
        <f>I332+U332-T332-X332</f>
        <v/>
      </c>
    </row>
    <row r="333" ht="28" customHeight="1">
      <c r="A333" s="4" t="inlineStr">
        <is>
          <t>Delayed receipts</t>
        </is>
      </c>
      <c r="B333" s="4" t="inlineStr">
        <is>
          <t>WITTA</t>
        </is>
      </c>
      <c r="C333" s="160" t="n">
        <v>4</v>
      </c>
      <c r="D333" s="160">
        <f>ROUNDUP(C333/12,0)</f>
        <v/>
      </c>
      <c r="E333" s="160">
        <f>IF(AND('Sites'!$E$6=1,C333&gt;='Sites'!$F$6,C333&lt;='Sites'!$G$6),1,0)</f>
        <v/>
      </c>
      <c r="F333" s="160">
        <f>E333*'Assumptions'!G67</f>
        <v/>
      </c>
      <c r="G333" s="160">
        <f>V332</f>
        <v/>
      </c>
      <c r="H333" s="160">
        <f>W332</f>
        <v/>
      </c>
      <c r="I333" s="160">
        <f>X332</f>
        <v/>
      </c>
      <c r="J333" s="160">
        <f>MAX(0,'Sites'!$I$6-SUM(N330:N332))</f>
        <v/>
      </c>
      <c r="K333" s="160">
        <f>IF('Sites'!$C$6="Own sheets",MIN(ROUNDDOWN(G333/'NM Play'!$B$11,0)+F333*'NM Play'!$B$10/'NM Play'!$B$43,ROUNDDOWN(H333/'NM Play'!$B$12,0)+F333*'NM Play'!$B$10/'NM Play'!$B$44,(F333*'NM Play'!$B$10+ROUNDDOWN(G333/'NM Play'!$B$11,0)*'NM Play'!$B$43+ROUNDDOWN(H333/'NM Play'!$B$12,0)*'NM Play'!$B$44)/('NM Play'!$B$43+'NM Play'!$B$44)),ROUNDDOWN(G333/'NM Play'!$B$11,0)+F333*'NM Play'!$B$10/'NM Play'!$B$43)</f>
        <v/>
      </c>
      <c r="L333" s="160">
        <f>MIN(ROUNDDOWN(G333/'NM Play'!$B$11,0)+F333/('NM Play'!$B$43/'NM Play'!$B$15),ROUNDDOWN(H333/'NM Play'!$B$12,0)+F333/('NM Play'!$B$44/'NM Play'!$B$16),(F333+ROUNDDOWN(G333/'NM Play'!$B$11,0)*'NM Play'!$B$43/'NM Play'!$B$15+ROUNDDOWN(H333/'NM Play'!$B$12,0)*'NM Play'!$B$44/'NM Play'!$B$16)/('NM Play'!$B$43/'NM Play'!$B$15+'NM Play'!$B$44/'NM Play'!$B$16))</f>
        <v/>
      </c>
      <c r="M333" s="160">
        <f>F333*'NM Play'!$B$36</f>
        <v/>
      </c>
      <c r="N333" s="160">
        <f>ROUNDDOWN(MAX(0,MIN(J333,K333:M333)),0)</f>
        <v/>
      </c>
      <c r="O333" s="160">
        <f>ROUNDUP(MAX(0,N333*'NM Play'!$B$11-G333)/'NM Play'!$B$13,0)</f>
        <v/>
      </c>
      <c r="P333" s="160">
        <f>ROUNDUP(MAX(0,N333*'NM Play'!$B$12-H333)/'NM Play'!$B$14,0)</f>
        <v/>
      </c>
      <c r="Q333" s="160">
        <f>(O333+IF('Sites'!$C$6="Own sheets",P333,0))/'NM Play'!$B$10</f>
        <v/>
      </c>
      <c r="R333" s="160">
        <f>O333/'NM Play'!$B$15+P333/'NM Play'!$B$16</f>
        <v/>
      </c>
      <c r="S333" s="160">
        <f>MAX(Q333,R333,N333/'NM Play'!$B$36)</f>
        <v/>
      </c>
      <c r="T333" s="160">
        <f>Q333*'NM Play'!$B$10*'NM Play'!$B$21*(1+'NM Play'!$B$35)</f>
        <v/>
      </c>
      <c r="U333" s="160">
        <f>MAX(0,T333-I333)</f>
        <v/>
      </c>
      <c r="V333" s="160">
        <f>G333+O333*'NM Play'!$B$13-N333*'NM Play'!$B$11</f>
        <v/>
      </c>
      <c r="W333" s="160">
        <f>H333+P333*'NM Play'!$B$14-N333*'NM Play'!$B$12</f>
        <v/>
      </c>
      <c r="X333" s="160">
        <f>I333+U333-T333</f>
        <v/>
      </c>
      <c r="Y333" s="160">
        <f>MIN(N333,MAX(0,ROUNDDOWN('Sites'!$L$6*'Cases'!$E$9,0)-SUM(Y330:Y332)))</f>
        <v/>
      </c>
      <c r="Z333" s="160">
        <f>N333-Y333</f>
        <v/>
      </c>
      <c r="AA333" s="160">
        <f>U333*'NM Play'!$B$22</f>
        <v/>
      </c>
      <c r="AB333" s="160">
        <f>N333*SUM('NM Play'!$B$29:$B$31)</f>
        <v/>
      </c>
      <c r="AC333" s="160">
        <f>IF('Sites'!$C$6="Defy legs",P333*'NM Play'!$B$14/'NM Play'!$B$12*'NM Play'!$B$28,0)</f>
        <v/>
      </c>
      <c r="AD333" s="160">
        <f>Q333*'NM Play'!$B$23</f>
        <v/>
      </c>
      <c r="AE333" s="160">
        <f>S333*SUM('NM Play'!$B$26,'NM Play'!$B$33:$B$34)</f>
        <v/>
      </c>
      <c r="AF333" s="160">
        <f>IF('Sites'!$D$6="NM crew",S333*SUM('NM Play'!$B$24:$B$25),0)</f>
        <v/>
      </c>
      <c r="AG333" s="160">
        <f>IF('Sites'!$D$6="NM crew",S333*'NM Play'!$B$27,0)</f>
        <v/>
      </c>
      <c r="AH333" s="160">
        <f>N333*'Sites'!$Z$6*'NM Play'!$B$32</f>
        <v/>
      </c>
      <c r="AI333" s="160">
        <f>SUM(Y333:Z333)*'Sites'!$R$6</f>
        <v/>
      </c>
      <c r="AJ333" s="160">
        <f>SUM(AA333:AH333)</f>
        <v/>
      </c>
      <c r="AK333" s="160">
        <f>AJ333+(T333-U333)*'NM Play'!$B$22+MIN(G333,N333*'NM Play'!$B$11)/'NM Play'!$B$13*'NM Play'!$B$21*'NM Play'!$B$22+MIN(H333,N333*'NM Play'!$B$12)/'NM Play'!$B$14*IF('Sites'!$C$6="Own sheets",'NM Play'!$B$21*'NM Play'!$B$22,'NM Play'!$B$28*'NM Play'!$B$14/'NM Play'!$B$12)</f>
        <v/>
      </c>
      <c r="AL333" s="160">
        <f>Y333*'Assumptions'!G66</f>
        <v/>
      </c>
      <c r="AM333" s="160">
        <f>IF('Sites'!$D$6="NM crew",S333*'NM Play'!$B$37*(1+IF(AND(ISNUMBER('NM Play'!$B$25),'NM Play'!$B$25&gt;0),1,0)),"")</f>
        <v/>
      </c>
      <c r="AN333" s="160">
        <f>IF(OR('Sites'!$E$6&lt;0,'Sites'!$E$6&gt;1,'Sites'!$F$6&lt;1,'Sites'!$G$6&lt;'Sites'!$F$6,F333&lt;0,MIN('Sites'!$I$6:'Sites'!$R$6)&lt;0,'Sites'!$L$6&gt;'Sites'!$I$6,'Sites'!$M$6&gt;'Sites'!$J$6,'Sites'!$N$6&gt;'Sites'!$K$6,'Sites'!$Z$6&lt;0,'Sites'!$Z$6&gt;1,MIN('Sites'!$AA$6:'Sites'!$AC$6)&lt;0,S333&gt;F333+0.001),1,0)</f>
        <v/>
      </c>
      <c r="AO333" s="160">
        <f>I333+U333-T333-X333</f>
        <v/>
      </c>
    </row>
    <row r="334" ht="28" customHeight="1">
      <c r="A334" s="4" t="inlineStr">
        <is>
          <t>Delayed receipts</t>
        </is>
      </c>
      <c r="B334" s="4" t="inlineStr">
        <is>
          <t>WITTA</t>
        </is>
      </c>
      <c r="C334" s="160" t="n">
        <v>5</v>
      </c>
      <c r="D334" s="160">
        <f>ROUNDUP(C334/12,0)</f>
        <v/>
      </c>
      <c r="E334" s="160">
        <f>IF(AND('Sites'!$E$6=1,C334&gt;='Sites'!$F$6,C334&lt;='Sites'!$G$6),1,0)</f>
        <v/>
      </c>
      <c r="F334" s="160">
        <f>E334*'Assumptions'!H67</f>
        <v/>
      </c>
      <c r="G334" s="160">
        <f>V333</f>
        <v/>
      </c>
      <c r="H334" s="160">
        <f>W333</f>
        <v/>
      </c>
      <c r="I334" s="160">
        <f>X333</f>
        <v/>
      </c>
      <c r="J334" s="160">
        <f>MAX(0,'Sites'!$I$6-SUM(N330:N333))</f>
        <v/>
      </c>
      <c r="K334" s="160">
        <f>IF('Sites'!$C$6="Own sheets",MIN(ROUNDDOWN(G334/'NM Play'!$B$11,0)+F334*'NM Play'!$B$10/'NM Play'!$B$43,ROUNDDOWN(H334/'NM Play'!$B$12,0)+F334*'NM Play'!$B$10/'NM Play'!$B$44,(F334*'NM Play'!$B$10+ROUNDDOWN(G334/'NM Play'!$B$11,0)*'NM Play'!$B$43+ROUNDDOWN(H334/'NM Play'!$B$12,0)*'NM Play'!$B$44)/('NM Play'!$B$43+'NM Play'!$B$44)),ROUNDDOWN(G334/'NM Play'!$B$11,0)+F334*'NM Play'!$B$10/'NM Play'!$B$43)</f>
        <v/>
      </c>
      <c r="L334" s="160">
        <f>MIN(ROUNDDOWN(G334/'NM Play'!$B$11,0)+F334/('NM Play'!$B$43/'NM Play'!$B$15),ROUNDDOWN(H334/'NM Play'!$B$12,0)+F334/('NM Play'!$B$44/'NM Play'!$B$16),(F334+ROUNDDOWN(G334/'NM Play'!$B$11,0)*'NM Play'!$B$43/'NM Play'!$B$15+ROUNDDOWN(H334/'NM Play'!$B$12,0)*'NM Play'!$B$44/'NM Play'!$B$16)/('NM Play'!$B$43/'NM Play'!$B$15+'NM Play'!$B$44/'NM Play'!$B$16))</f>
        <v/>
      </c>
      <c r="M334" s="160">
        <f>F334*'NM Play'!$B$36</f>
        <v/>
      </c>
      <c r="N334" s="160">
        <f>ROUNDDOWN(MAX(0,MIN(J334,K334:M334)),0)</f>
        <v/>
      </c>
      <c r="O334" s="160">
        <f>ROUNDUP(MAX(0,N334*'NM Play'!$B$11-G334)/'NM Play'!$B$13,0)</f>
        <v/>
      </c>
      <c r="P334" s="160">
        <f>ROUNDUP(MAX(0,N334*'NM Play'!$B$12-H334)/'NM Play'!$B$14,0)</f>
        <v/>
      </c>
      <c r="Q334" s="160">
        <f>(O334+IF('Sites'!$C$6="Own sheets",P334,0))/'NM Play'!$B$10</f>
        <v/>
      </c>
      <c r="R334" s="160">
        <f>O334/'NM Play'!$B$15+P334/'NM Play'!$B$16</f>
        <v/>
      </c>
      <c r="S334" s="160">
        <f>MAX(Q334,R334,N334/'NM Play'!$B$36)</f>
        <v/>
      </c>
      <c r="T334" s="160">
        <f>Q334*'NM Play'!$B$10*'NM Play'!$B$21*(1+'NM Play'!$B$35)</f>
        <v/>
      </c>
      <c r="U334" s="160">
        <f>MAX(0,T334-I334)</f>
        <v/>
      </c>
      <c r="V334" s="160">
        <f>G334+O334*'NM Play'!$B$13-N334*'NM Play'!$B$11</f>
        <v/>
      </c>
      <c r="W334" s="160">
        <f>H334+P334*'NM Play'!$B$14-N334*'NM Play'!$B$12</f>
        <v/>
      </c>
      <c r="X334" s="160">
        <f>I334+U334-T334</f>
        <v/>
      </c>
      <c r="Y334" s="160">
        <f>MIN(N334,MAX(0,ROUNDDOWN('Sites'!$L$6*'Cases'!$E$9,0)-SUM(Y330:Y333)))</f>
        <v/>
      </c>
      <c r="Z334" s="160">
        <f>N334-Y334</f>
        <v/>
      </c>
      <c r="AA334" s="160">
        <f>U334*'NM Play'!$B$22</f>
        <v/>
      </c>
      <c r="AB334" s="160">
        <f>N334*SUM('NM Play'!$B$29:$B$31)</f>
        <v/>
      </c>
      <c r="AC334" s="160">
        <f>IF('Sites'!$C$6="Defy legs",P334*'NM Play'!$B$14/'NM Play'!$B$12*'NM Play'!$B$28,0)</f>
        <v/>
      </c>
      <c r="AD334" s="160">
        <f>Q334*'NM Play'!$B$23</f>
        <v/>
      </c>
      <c r="AE334" s="160">
        <f>S334*SUM('NM Play'!$B$26,'NM Play'!$B$33:$B$34)</f>
        <v/>
      </c>
      <c r="AF334" s="160">
        <f>IF('Sites'!$D$6="NM crew",S334*SUM('NM Play'!$B$24:$B$25),0)</f>
        <v/>
      </c>
      <c r="AG334" s="160">
        <f>IF('Sites'!$D$6="NM crew",S334*'NM Play'!$B$27,0)</f>
        <v/>
      </c>
      <c r="AH334" s="160">
        <f>N334*'Sites'!$Z$6*'NM Play'!$B$32</f>
        <v/>
      </c>
      <c r="AI334" s="160">
        <f>SUM(Y334:Z334)*'Sites'!$R$6</f>
        <v/>
      </c>
      <c r="AJ334" s="160">
        <f>SUM(AA334:AH334)</f>
        <v/>
      </c>
      <c r="AK334" s="160">
        <f>AJ334+(T334-U334)*'NM Play'!$B$22+MIN(G334,N334*'NM Play'!$B$11)/'NM Play'!$B$13*'NM Play'!$B$21*'NM Play'!$B$22+MIN(H334,N334*'NM Play'!$B$12)/'NM Play'!$B$14*IF('Sites'!$C$6="Own sheets",'NM Play'!$B$21*'NM Play'!$B$22,'NM Play'!$B$28*'NM Play'!$B$14/'NM Play'!$B$12)</f>
        <v/>
      </c>
      <c r="AL334" s="160">
        <f>Y334*'Assumptions'!H66</f>
        <v/>
      </c>
      <c r="AM334" s="160">
        <f>IF('Sites'!$D$6="NM crew",S334*'NM Play'!$B$37*(1+IF(AND(ISNUMBER('NM Play'!$B$25),'NM Play'!$B$25&gt;0),1,0)),"")</f>
        <v/>
      </c>
      <c r="AN334" s="160">
        <f>IF(OR('Sites'!$E$6&lt;0,'Sites'!$E$6&gt;1,'Sites'!$F$6&lt;1,'Sites'!$G$6&lt;'Sites'!$F$6,F334&lt;0,MIN('Sites'!$I$6:'Sites'!$R$6)&lt;0,'Sites'!$L$6&gt;'Sites'!$I$6,'Sites'!$M$6&gt;'Sites'!$J$6,'Sites'!$N$6&gt;'Sites'!$K$6,'Sites'!$Z$6&lt;0,'Sites'!$Z$6&gt;1,MIN('Sites'!$AA$6:'Sites'!$AC$6)&lt;0,S334&gt;F334+0.001),1,0)</f>
        <v/>
      </c>
      <c r="AO334" s="160">
        <f>I334+U334-T334-X334</f>
        <v/>
      </c>
    </row>
    <row r="335" ht="28" customHeight="1">
      <c r="A335" s="4" t="inlineStr">
        <is>
          <t>Delayed receipts</t>
        </is>
      </c>
      <c r="B335" s="4" t="inlineStr">
        <is>
          <t>WITTA</t>
        </is>
      </c>
      <c r="C335" s="160" t="n">
        <v>6</v>
      </c>
      <c r="D335" s="160">
        <f>ROUNDUP(C335/12,0)</f>
        <v/>
      </c>
      <c r="E335" s="160">
        <f>IF(AND('Sites'!$E$6=1,C335&gt;='Sites'!$F$6,C335&lt;='Sites'!$G$6),1,0)</f>
        <v/>
      </c>
      <c r="F335" s="160">
        <f>E335*'Assumptions'!I67</f>
        <v/>
      </c>
      <c r="G335" s="160">
        <f>V334</f>
        <v/>
      </c>
      <c r="H335" s="160">
        <f>W334</f>
        <v/>
      </c>
      <c r="I335" s="160">
        <f>X334</f>
        <v/>
      </c>
      <c r="J335" s="160">
        <f>MAX(0,'Sites'!$I$6-SUM(N330:N334))</f>
        <v/>
      </c>
      <c r="K335" s="160">
        <f>IF('Sites'!$C$6="Own sheets",MIN(ROUNDDOWN(G335/'NM Play'!$B$11,0)+F335*'NM Play'!$B$10/'NM Play'!$B$43,ROUNDDOWN(H335/'NM Play'!$B$12,0)+F335*'NM Play'!$B$10/'NM Play'!$B$44,(F335*'NM Play'!$B$10+ROUNDDOWN(G335/'NM Play'!$B$11,0)*'NM Play'!$B$43+ROUNDDOWN(H335/'NM Play'!$B$12,0)*'NM Play'!$B$44)/('NM Play'!$B$43+'NM Play'!$B$44)),ROUNDDOWN(G335/'NM Play'!$B$11,0)+F335*'NM Play'!$B$10/'NM Play'!$B$43)</f>
        <v/>
      </c>
      <c r="L335" s="160">
        <f>MIN(ROUNDDOWN(G335/'NM Play'!$B$11,0)+F335/('NM Play'!$B$43/'NM Play'!$B$15),ROUNDDOWN(H335/'NM Play'!$B$12,0)+F335/('NM Play'!$B$44/'NM Play'!$B$16),(F335+ROUNDDOWN(G335/'NM Play'!$B$11,0)*'NM Play'!$B$43/'NM Play'!$B$15+ROUNDDOWN(H335/'NM Play'!$B$12,0)*'NM Play'!$B$44/'NM Play'!$B$16)/('NM Play'!$B$43/'NM Play'!$B$15+'NM Play'!$B$44/'NM Play'!$B$16))</f>
        <v/>
      </c>
      <c r="M335" s="160">
        <f>F335*'NM Play'!$B$36</f>
        <v/>
      </c>
      <c r="N335" s="160">
        <f>ROUNDDOWN(MAX(0,MIN(J335,K335:M335)),0)</f>
        <v/>
      </c>
      <c r="O335" s="160">
        <f>ROUNDUP(MAX(0,N335*'NM Play'!$B$11-G335)/'NM Play'!$B$13,0)</f>
        <v/>
      </c>
      <c r="P335" s="160">
        <f>ROUNDUP(MAX(0,N335*'NM Play'!$B$12-H335)/'NM Play'!$B$14,0)</f>
        <v/>
      </c>
      <c r="Q335" s="160">
        <f>(O335+IF('Sites'!$C$6="Own sheets",P335,0))/'NM Play'!$B$10</f>
        <v/>
      </c>
      <c r="R335" s="160">
        <f>O335/'NM Play'!$B$15+P335/'NM Play'!$B$16</f>
        <v/>
      </c>
      <c r="S335" s="160">
        <f>MAX(Q335,R335,N335/'NM Play'!$B$36)</f>
        <v/>
      </c>
      <c r="T335" s="160">
        <f>Q335*'NM Play'!$B$10*'NM Play'!$B$21*(1+'NM Play'!$B$35)</f>
        <v/>
      </c>
      <c r="U335" s="160">
        <f>MAX(0,T335-I335)</f>
        <v/>
      </c>
      <c r="V335" s="160">
        <f>G335+O335*'NM Play'!$B$13-N335*'NM Play'!$B$11</f>
        <v/>
      </c>
      <c r="W335" s="160">
        <f>H335+P335*'NM Play'!$B$14-N335*'NM Play'!$B$12</f>
        <v/>
      </c>
      <c r="X335" s="160">
        <f>I335+U335-T335</f>
        <v/>
      </c>
      <c r="Y335" s="160">
        <f>MIN(N335,MAX(0,ROUNDDOWN('Sites'!$L$6*'Cases'!$E$9,0)-SUM(Y330:Y334)))</f>
        <v/>
      </c>
      <c r="Z335" s="160">
        <f>N335-Y335</f>
        <v/>
      </c>
      <c r="AA335" s="160">
        <f>U335*'NM Play'!$B$22</f>
        <v/>
      </c>
      <c r="AB335" s="160">
        <f>N335*SUM('NM Play'!$B$29:$B$31)</f>
        <v/>
      </c>
      <c r="AC335" s="160">
        <f>IF('Sites'!$C$6="Defy legs",P335*'NM Play'!$B$14/'NM Play'!$B$12*'NM Play'!$B$28,0)</f>
        <v/>
      </c>
      <c r="AD335" s="160">
        <f>Q335*'NM Play'!$B$23</f>
        <v/>
      </c>
      <c r="AE335" s="160">
        <f>S335*SUM('NM Play'!$B$26,'NM Play'!$B$33:$B$34)</f>
        <v/>
      </c>
      <c r="AF335" s="160">
        <f>IF('Sites'!$D$6="NM crew",S335*SUM('NM Play'!$B$24:$B$25),0)</f>
        <v/>
      </c>
      <c r="AG335" s="160">
        <f>IF('Sites'!$D$6="NM crew",S335*'NM Play'!$B$27,0)</f>
        <v/>
      </c>
      <c r="AH335" s="160">
        <f>N335*'Sites'!$Z$6*'NM Play'!$B$32</f>
        <v/>
      </c>
      <c r="AI335" s="160">
        <f>SUM(Y335:Z335)*'Sites'!$R$6</f>
        <v/>
      </c>
      <c r="AJ335" s="160">
        <f>SUM(AA335:AH335)</f>
        <v/>
      </c>
      <c r="AK335" s="160">
        <f>AJ335+(T335-U335)*'NM Play'!$B$22+MIN(G335,N335*'NM Play'!$B$11)/'NM Play'!$B$13*'NM Play'!$B$21*'NM Play'!$B$22+MIN(H335,N335*'NM Play'!$B$12)/'NM Play'!$B$14*IF('Sites'!$C$6="Own sheets",'NM Play'!$B$21*'NM Play'!$B$22,'NM Play'!$B$28*'NM Play'!$B$14/'NM Play'!$B$12)</f>
        <v/>
      </c>
      <c r="AL335" s="160">
        <f>Y335*'Assumptions'!I66</f>
        <v/>
      </c>
      <c r="AM335" s="160">
        <f>IF('Sites'!$D$6="NM crew",S335*'NM Play'!$B$37*(1+IF(AND(ISNUMBER('NM Play'!$B$25),'NM Play'!$B$25&gt;0),1,0)),"")</f>
        <v/>
      </c>
      <c r="AN335" s="160">
        <f>IF(OR('Sites'!$E$6&lt;0,'Sites'!$E$6&gt;1,'Sites'!$F$6&lt;1,'Sites'!$G$6&lt;'Sites'!$F$6,F335&lt;0,MIN('Sites'!$I$6:'Sites'!$R$6)&lt;0,'Sites'!$L$6&gt;'Sites'!$I$6,'Sites'!$M$6&gt;'Sites'!$J$6,'Sites'!$N$6&gt;'Sites'!$K$6,'Sites'!$Z$6&lt;0,'Sites'!$Z$6&gt;1,MIN('Sites'!$AA$6:'Sites'!$AC$6)&lt;0,S335&gt;F335+0.001),1,0)</f>
        <v/>
      </c>
      <c r="AO335" s="160">
        <f>I335+U335-T335-X335</f>
        <v/>
      </c>
    </row>
    <row r="336" ht="28" customHeight="1">
      <c r="A336" s="4" t="inlineStr">
        <is>
          <t>Delayed receipts</t>
        </is>
      </c>
      <c r="B336" s="4" t="inlineStr">
        <is>
          <t>WITTA</t>
        </is>
      </c>
      <c r="C336" s="160" t="n">
        <v>7</v>
      </c>
      <c r="D336" s="160">
        <f>ROUNDUP(C336/12,0)</f>
        <v/>
      </c>
      <c r="E336" s="160">
        <f>IF(AND('Sites'!$E$6=1,C336&gt;='Sites'!$F$6,C336&lt;='Sites'!$G$6),1,0)</f>
        <v/>
      </c>
      <c r="F336" s="160">
        <f>E336*'Assumptions'!J67</f>
        <v/>
      </c>
      <c r="G336" s="160">
        <f>V335</f>
        <v/>
      </c>
      <c r="H336" s="160">
        <f>W335</f>
        <v/>
      </c>
      <c r="I336" s="160">
        <f>X335</f>
        <v/>
      </c>
      <c r="J336" s="160">
        <f>MAX(0,'Sites'!$I$6-SUM(N330:N335))</f>
        <v/>
      </c>
      <c r="K336" s="160">
        <f>IF('Sites'!$C$6="Own sheets",MIN(ROUNDDOWN(G336/'NM Play'!$B$11,0)+F336*'NM Play'!$B$10/'NM Play'!$B$43,ROUNDDOWN(H336/'NM Play'!$B$12,0)+F336*'NM Play'!$B$10/'NM Play'!$B$44,(F336*'NM Play'!$B$10+ROUNDDOWN(G336/'NM Play'!$B$11,0)*'NM Play'!$B$43+ROUNDDOWN(H336/'NM Play'!$B$12,0)*'NM Play'!$B$44)/('NM Play'!$B$43+'NM Play'!$B$44)),ROUNDDOWN(G336/'NM Play'!$B$11,0)+F336*'NM Play'!$B$10/'NM Play'!$B$43)</f>
        <v/>
      </c>
      <c r="L336" s="160">
        <f>MIN(ROUNDDOWN(G336/'NM Play'!$B$11,0)+F336/('NM Play'!$B$43/'NM Play'!$B$15),ROUNDDOWN(H336/'NM Play'!$B$12,0)+F336/('NM Play'!$B$44/'NM Play'!$B$16),(F336+ROUNDDOWN(G336/'NM Play'!$B$11,0)*'NM Play'!$B$43/'NM Play'!$B$15+ROUNDDOWN(H336/'NM Play'!$B$12,0)*'NM Play'!$B$44/'NM Play'!$B$16)/('NM Play'!$B$43/'NM Play'!$B$15+'NM Play'!$B$44/'NM Play'!$B$16))</f>
        <v/>
      </c>
      <c r="M336" s="160">
        <f>F336*'NM Play'!$B$36</f>
        <v/>
      </c>
      <c r="N336" s="160">
        <f>ROUNDDOWN(MAX(0,MIN(J336,K336:M336)),0)</f>
        <v/>
      </c>
      <c r="O336" s="160">
        <f>ROUNDUP(MAX(0,N336*'NM Play'!$B$11-G336)/'NM Play'!$B$13,0)</f>
        <v/>
      </c>
      <c r="P336" s="160">
        <f>ROUNDUP(MAX(0,N336*'NM Play'!$B$12-H336)/'NM Play'!$B$14,0)</f>
        <v/>
      </c>
      <c r="Q336" s="160">
        <f>(O336+IF('Sites'!$C$6="Own sheets",P336,0))/'NM Play'!$B$10</f>
        <v/>
      </c>
      <c r="R336" s="160">
        <f>O336/'NM Play'!$B$15+P336/'NM Play'!$B$16</f>
        <v/>
      </c>
      <c r="S336" s="160">
        <f>MAX(Q336,R336,N336/'NM Play'!$B$36)</f>
        <v/>
      </c>
      <c r="T336" s="160">
        <f>Q336*'NM Play'!$B$10*'NM Play'!$B$21*(1+'NM Play'!$B$35)</f>
        <v/>
      </c>
      <c r="U336" s="160">
        <f>MAX(0,T336-I336)</f>
        <v/>
      </c>
      <c r="V336" s="160">
        <f>G336+O336*'NM Play'!$B$13-N336*'NM Play'!$B$11</f>
        <v/>
      </c>
      <c r="W336" s="160">
        <f>H336+P336*'NM Play'!$B$14-N336*'NM Play'!$B$12</f>
        <v/>
      </c>
      <c r="X336" s="160">
        <f>I336+U336-T336</f>
        <v/>
      </c>
      <c r="Y336" s="160">
        <f>MIN(N336,MAX(0,ROUNDDOWN('Sites'!$L$6*'Cases'!$E$9,0)-SUM(Y330:Y335)))</f>
        <v/>
      </c>
      <c r="Z336" s="160">
        <f>N336-Y336</f>
        <v/>
      </c>
      <c r="AA336" s="160">
        <f>U336*'NM Play'!$B$22</f>
        <v/>
      </c>
      <c r="AB336" s="160">
        <f>N336*SUM('NM Play'!$B$29:$B$31)</f>
        <v/>
      </c>
      <c r="AC336" s="160">
        <f>IF('Sites'!$C$6="Defy legs",P336*'NM Play'!$B$14/'NM Play'!$B$12*'NM Play'!$B$28,0)</f>
        <v/>
      </c>
      <c r="AD336" s="160">
        <f>Q336*'NM Play'!$B$23</f>
        <v/>
      </c>
      <c r="AE336" s="160">
        <f>S336*SUM('NM Play'!$B$26,'NM Play'!$B$33:$B$34)</f>
        <v/>
      </c>
      <c r="AF336" s="160">
        <f>IF('Sites'!$D$6="NM crew",S336*SUM('NM Play'!$B$24:$B$25),0)</f>
        <v/>
      </c>
      <c r="AG336" s="160">
        <f>IF('Sites'!$D$6="NM crew",S336*'NM Play'!$B$27,0)</f>
        <v/>
      </c>
      <c r="AH336" s="160">
        <f>N336*'Sites'!$Z$6*'NM Play'!$B$32</f>
        <v/>
      </c>
      <c r="AI336" s="160">
        <f>SUM(Y336:Z336)*'Sites'!$R$6</f>
        <v/>
      </c>
      <c r="AJ336" s="160">
        <f>SUM(AA336:AH336)</f>
        <v/>
      </c>
      <c r="AK336" s="160">
        <f>AJ336+(T336-U336)*'NM Play'!$B$22+MIN(G336,N336*'NM Play'!$B$11)/'NM Play'!$B$13*'NM Play'!$B$21*'NM Play'!$B$22+MIN(H336,N336*'NM Play'!$B$12)/'NM Play'!$B$14*IF('Sites'!$C$6="Own sheets",'NM Play'!$B$21*'NM Play'!$B$22,'NM Play'!$B$28*'NM Play'!$B$14/'NM Play'!$B$12)</f>
        <v/>
      </c>
      <c r="AL336" s="160">
        <f>Y336*'Assumptions'!J66</f>
        <v/>
      </c>
      <c r="AM336" s="160">
        <f>IF('Sites'!$D$6="NM crew",S336*'NM Play'!$B$37*(1+IF(AND(ISNUMBER('NM Play'!$B$25),'NM Play'!$B$25&gt;0),1,0)),"")</f>
        <v/>
      </c>
      <c r="AN336" s="160">
        <f>IF(OR('Sites'!$E$6&lt;0,'Sites'!$E$6&gt;1,'Sites'!$F$6&lt;1,'Sites'!$G$6&lt;'Sites'!$F$6,F336&lt;0,MIN('Sites'!$I$6:'Sites'!$R$6)&lt;0,'Sites'!$L$6&gt;'Sites'!$I$6,'Sites'!$M$6&gt;'Sites'!$J$6,'Sites'!$N$6&gt;'Sites'!$K$6,'Sites'!$Z$6&lt;0,'Sites'!$Z$6&gt;1,MIN('Sites'!$AA$6:'Sites'!$AC$6)&lt;0,S336&gt;F336+0.001),1,0)</f>
        <v/>
      </c>
      <c r="AO336" s="160">
        <f>I336+U336-T336-X336</f>
        <v/>
      </c>
    </row>
    <row r="337" ht="28" customHeight="1">
      <c r="A337" s="4" t="inlineStr">
        <is>
          <t>Delayed receipts</t>
        </is>
      </c>
      <c r="B337" s="4" t="inlineStr">
        <is>
          <t>WITTA</t>
        </is>
      </c>
      <c r="C337" s="160" t="n">
        <v>8</v>
      </c>
      <c r="D337" s="160">
        <f>ROUNDUP(C337/12,0)</f>
        <v/>
      </c>
      <c r="E337" s="160">
        <f>IF(AND('Sites'!$E$6=1,C337&gt;='Sites'!$F$6,C337&lt;='Sites'!$G$6),1,0)</f>
        <v/>
      </c>
      <c r="F337" s="160">
        <f>E337*'Assumptions'!K67</f>
        <v/>
      </c>
      <c r="G337" s="160">
        <f>V336</f>
        <v/>
      </c>
      <c r="H337" s="160">
        <f>W336</f>
        <v/>
      </c>
      <c r="I337" s="160">
        <f>X336</f>
        <v/>
      </c>
      <c r="J337" s="160">
        <f>MAX(0,'Sites'!$I$6-SUM(N330:N336))</f>
        <v/>
      </c>
      <c r="K337" s="160">
        <f>IF('Sites'!$C$6="Own sheets",MIN(ROUNDDOWN(G337/'NM Play'!$B$11,0)+F337*'NM Play'!$B$10/'NM Play'!$B$43,ROUNDDOWN(H337/'NM Play'!$B$12,0)+F337*'NM Play'!$B$10/'NM Play'!$B$44,(F337*'NM Play'!$B$10+ROUNDDOWN(G337/'NM Play'!$B$11,0)*'NM Play'!$B$43+ROUNDDOWN(H337/'NM Play'!$B$12,0)*'NM Play'!$B$44)/('NM Play'!$B$43+'NM Play'!$B$44)),ROUNDDOWN(G337/'NM Play'!$B$11,0)+F337*'NM Play'!$B$10/'NM Play'!$B$43)</f>
        <v/>
      </c>
      <c r="L337" s="160">
        <f>MIN(ROUNDDOWN(G337/'NM Play'!$B$11,0)+F337/('NM Play'!$B$43/'NM Play'!$B$15),ROUNDDOWN(H337/'NM Play'!$B$12,0)+F337/('NM Play'!$B$44/'NM Play'!$B$16),(F337+ROUNDDOWN(G337/'NM Play'!$B$11,0)*'NM Play'!$B$43/'NM Play'!$B$15+ROUNDDOWN(H337/'NM Play'!$B$12,0)*'NM Play'!$B$44/'NM Play'!$B$16)/('NM Play'!$B$43/'NM Play'!$B$15+'NM Play'!$B$44/'NM Play'!$B$16))</f>
        <v/>
      </c>
      <c r="M337" s="160">
        <f>F337*'NM Play'!$B$36</f>
        <v/>
      </c>
      <c r="N337" s="160">
        <f>ROUNDDOWN(MAX(0,MIN(J337,K337:M337)),0)</f>
        <v/>
      </c>
      <c r="O337" s="160">
        <f>ROUNDUP(MAX(0,N337*'NM Play'!$B$11-G337)/'NM Play'!$B$13,0)</f>
        <v/>
      </c>
      <c r="P337" s="160">
        <f>ROUNDUP(MAX(0,N337*'NM Play'!$B$12-H337)/'NM Play'!$B$14,0)</f>
        <v/>
      </c>
      <c r="Q337" s="160">
        <f>(O337+IF('Sites'!$C$6="Own sheets",P337,0))/'NM Play'!$B$10</f>
        <v/>
      </c>
      <c r="R337" s="160">
        <f>O337/'NM Play'!$B$15+P337/'NM Play'!$B$16</f>
        <v/>
      </c>
      <c r="S337" s="160">
        <f>MAX(Q337,R337,N337/'NM Play'!$B$36)</f>
        <v/>
      </c>
      <c r="T337" s="160">
        <f>Q337*'NM Play'!$B$10*'NM Play'!$B$21*(1+'NM Play'!$B$35)</f>
        <v/>
      </c>
      <c r="U337" s="160">
        <f>MAX(0,T337-I337)</f>
        <v/>
      </c>
      <c r="V337" s="160">
        <f>G337+O337*'NM Play'!$B$13-N337*'NM Play'!$B$11</f>
        <v/>
      </c>
      <c r="W337" s="160">
        <f>H337+P337*'NM Play'!$B$14-N337*'NM Play'!$B$12</f>
        <v/>
      </c>
      <c r="X337" s="160">
        <f>I337+U337-T337</f>
        <v/>
      </c>
      <c r="Y337" s="160">
        <f>MIN(N337,MAX(0,ROUNDDOWN('Sites'!$L$6*'Cases'!$E$9,0)-SUM(Y330:Y336)))</f>
        <v/>
      </c>
      <c r="Z337" s="160">
        <f>N337-Y337</f>
        <v/>
      </c>
      <c r="AA337" s="160">
        <f>U337*'NM Play'!$B$22</f>
        <v/>
      </c>
      <c r="AB337" s="160">
        <f>N337*SUM('NM Play'!$B$29:$B$31)</f>
        <v/>
      </c>
      <c r="AC337" s="160">
        <f>IF('Sites'!$C$6="Defy legs",P337*'NM Play'!$B$14/'NM Play'!$B$12*'NM Play'!$B$28,0)</f>
        <v/>
      </c>
      <c r="AD337" s="160">
        <f>Q337*'NM Play'!$B$23</f>
        <v/>
      </c>
      <c r="AE337" s="160">
        <f>S337*SUM('NM Play'!$B$26,'NM Play'!$B$33:$B$34)</f>
        <v/>
      </c>
      <c r="AF337" s="160">
        <f>IF('Sites'!$D$6="NM crew",S337*SUM('NM Play'!$B$24:$B$25),0)</f>
        <v/>
      </c>
      <c r="AG337" s="160">
        <f>IF('Sites'!$D$6="NM crew",S337*'NM Play'!$B$27,0)</f>
        <v/>
      </c>
      <c r="AH337" s="160">
        <f>N337*'Sites'!$Z$6*'NM Play'!$B$32</f>
        <v/>
      </c>
      <c r="AI337" s="160">
        <f>SUM(Y337:Z337)*'Sites'!$R$6</f>
        <v/>
      </c>
      <c r="AJ337" s="160">
        <f>SUM(AA337:AH337)</f>
        <v/>
      </c>
      <c r="AK337" s="160">
        <f>AJ337+(T337-U337)*'NM Play'!$B$22+MIN(G337,N337*'NM Play'!$B$11)/'NM Play'!$B$13*'NM Play'!$B$21*'NM Play'!$B$22+MIN(H337,N337*'NM Play'!$B$12)/'NM Play'!$B$14*IF('Sites'!$C$6="Own sheets",'NM Play'!$B$21*'NM Play'!$B$22,'NM Play'!$B$28*'NM Play'!$B$14/'NM Play'!$B$12)</f>
        <v/>
      </c>
      <c r="AL337" s="160">
        <f>Y337*'Assumptions'!K66</f>
        <v/>
      </c>
      <c r="AM337" s="160">
        <f>IF('Sites'!$D$6="NM crew",S337*'NM Play'!$B$37*(1+IF(AND(ISNUMBER('NM Play'!$B$25),'NM Play'!$B$25&gt;0),1,0)),"")</f>
        <v/>
      </c>
      <c r="AN337" s="160">
        <f>IF(OR('Sites'!$E$6&lt;0,'Sites'!$E$6&gt;1,'Sites'!$F$6&lt;1,'Sites'!$G$6&lt;'Sites'!$F$6,F337&lt;0,MIN('Sites'!$I$6:'Sites'!$R$6)&lt;0,'Sites'!$L$6&gt;'Sites'!$I$6,'Sites'!$M$6&gt;'Sites'!$J$6,'Sites'!$N$6&gt;'Sites'!$K$6,'Sites'!$Z$6&lt;0,'Sites'!$Z$6&gt;1,MIN('Sites'!$AA$6:'Sites'!$AC$6)&lt;0,S337&gt;F337+0.001),1,0)</f>
        <v/>
      </c>
      <c r="AO337" s="160">
        <f>I337+U337-T337-X337</f>
        <v/>
      </c>
    </row>
    <row r="338" ht="28" customHeight="1">
      <c r="A338" s="4" t="inlineStr">
        <is>
          <t>Delayed receipts</t>
        </is>
      </c>
      <c r="B338" s="4" t="inlineStr">
        <is>
          <t>WITTA</t>
        </is>
      </c>
      <c r="C338" s="160" t="n">
        <v>9</v>
      </c>
      <c r="D338" s="160">
        <f>ROUNDUP(C338/12,0)</f>
        <v/>
      </c>
      <c r="E338" s="160">
        <f>IF(AND('Sites'!$E$6=1,C338&gt;='Sites'!$F$6,C338&lt;='Sites'!$G$6),1,0)</f>
        <v/>
      </c>
      <c r="F338" s="160">
        <f>E338*'Assumptions'!L67</f>
        <v/>
      </c>
      <c r="G338" s="160">
        <f>V337</f>
        <v/>
      </c>
      <c r="H338" s="160">
        <f>W337</f>
        <v/>
      </c>
      <c r="I338" s="160">
        <f>X337</f>
        <v/>
      </c>
      <c r="J338" s="160">
        <f>MAX(0,'Sites'!$I$6-SUM(N330:N337))</f>
        <v/>
      </c>
      <c r="K338" s="160">
        <f>IF('Sites'!$C$6="Own sheets",MIN(ROUNDDOWN(G338/'NM Play'!$B$11,0)+F338*'NM Play'!$B$10/'NM Play'!$B$43,ROUNDDOWN(H338/'NM Play'!$B$12,0)+F338*'NM Play'!$B$10/'NM Play'!$B$44,(F338*'NM Play'!$B$10+ROUNDDOWN(G338/'NM Play'!$B$11,0)*'NM Play'!$B$43+ROUNDDOWN(H338/'NM Play'!$B$12,0)*'NM Play'!$B$44)/('NM Play'!$B$43+'NM Play'!$B$44)),ROUNDDOWN(G338/'NM Play'!$B$11,0)+F338*'NM Play'!$B$10/'NM Play'!$B$43)</f>
        <v/>
      </c>
      <c r="L338" s="160">
        <f>MIN(ROUNDDOWN(G338/'NM Play'!$B$11,0)+F338/('NM Play'!$B$43/'NM Play'!$B$15),ROUNDDOWN(H338/'NM Play'!$B$12,0)+F338/('NM Play'!$B$44/'NM Play'!$B$16),(F338+ROUNDDOWN(G338/'NM Play'!$B$11,0)*'NM Play'!$B$43/'NM Play'!$B$15+ROUNDDOWN(H338/'NM Play'!$B$12,0)*'NM Play'!$B$44/'NM Play'!$B$16)/('NM Play'!$B$43/'NM Play'!$B$15+'NM Play'!$B$44/'NM Play'!$B$16))</f>
        <v/>
      </c>
      <c r="M338" s="160">
        <f>F338*'NM Play'!$B$36</f>
        <v/>
      </c>
      <c r="N338" s="160">
        <f>ROUNDDOWN(MAX(0,MIN(J338,K338:M338)),0)</f>
        <v/>
      </c>
      <c r="O338" s="160">
        <f>ROUNDUP(MAX(0,N338*'NM Play'!$B$11-G338)/'NM Play'!$B$13,0)</f>
        <v/>
      </c>
      <c r="P338" s="160">
        <f>ROUNDUP(MAX(0,N338*'NM Play'!$B$12-H338)/'NM Play'!$B$14,0)</f>
        <v/>
      </c>
      <c r="Q338" s="160">
        <f>(O338+IF('Sites'!$C$6="Own sheets",P338,0))/'NM Play'!$B$10</f>
        <v/>
      </c>
      <c r="R338" s="160">
        <f>O338/'NM Play'!$B$15+P338/'NM Play'!$B$16</f>
        <v/>
      </c>
      <c r="S338" s="160">
        <f>MAX(Q338,R338,N338/'NM Play'!$B$36)</f>
        <v/>
      </c>
      <c r="T338" s="160">
        <f>Q338*'NM Play'!$B$10*'NM Play'!$B$21*(1+'NM Play'!$B$35)</f>
        <v/>
      </c>
      <c r="U338" s="160">
        <f>MAX(0,T338-I338)</f>
        <v/>
      </c>
      <c r="V338" s="160">
        <f>G338+O338*'NM Play'!$B$13-N338*'NM Play'!$B$11</f>
        <v/>
      </c>
      <c r="W338" s="160">
        <f>H338+P338*'NM Play'!$B$14-N338*'NM Play'!$B$12</f>
        <v/>
      </c>
      <c r="X338" s="160">
        <f>I338+U338-T338</f>
        <v/>
      </c>
      <c r="Y338" s="160">
        <f>MIN(N338,MAX(0,ROUNDDOWN('Sites'!$L$6*'Cases'!$E$9,0)-SUM(Y330:Y337)))</f>
        <v/>
      </c>
      <c r="Z338" s="160">
        <f>N338-Y338</f>
        <v/>
      </c>
      <c r="AA338" s="160">
        <f>U338*'NM Play'!$B$22</f>
        <v/>
      </c>
      <c r="AB338" s="160">
        <f>N338*SUM('NM Play'!$B$29:$B$31)</f>
        <v/>
      </c>
      <c r="AC338" s="160">
        <f>IF('Sites'!$C$6="Defy legs",P338*'NM Play'!$B$14/'NM Play'!$B$12*'NM Play'!$B$28,0)</f>
        <v/>
      </c>
      <c r="AD338" s="160">
        <f>Q338*'NM Play'!$B$23</f>
        <v/>
      </c>
      <c r="AE338" s="160">
        <f>S338*SUM('NM Play'!$B$26,'NM Play'!$B$33:$B$34)</f>
        <v/>
      </c>
      <c r="AF338" s="160">
        <f>IF('Sites'!$D$6="NM crew",S338*SUM('NM Play'!$B$24:$B$25),0)</f>
        <v/>
      </c>
      <c r="AG338" s="160">
        <f>IF('Sites'!$D$6="NM crew",S338*'NM Play'!$B$27,0)</f>
        <v/>
      </c>
      <c r="AH338" s="160">
        <f>N338*'Sites'!$Z$6*'NM Play'!$B$32</f>
        <v/>
      </c>
      <c r="AI338" s="160">
        <f>SUM(Y338:Z338)*'Sites'!$R$6</f>
        <v/>
      </c>
      <c r="AJ338" s="160">
        <f>SUM(AA338:AH338)</f>
        <v/>
      </c>
      <c r="AK338" s="160">
        <f>AJ338+(T338-U338)*'NM Play'!$B$22+MIN(G338,N338*'NM Play'!$B$11)/'NM Play'!$B$13*'NM Play'!$B$21*'NM Play'!$B$22+MIN(H338,N338*'NM Play'!$B$12)/'NM Play'!$B$14*IF('Sites'!$C$6="Own sheets",'NM Play'!$B$21*'NM Play'!$B$22,'NM Play'!$B$28*'NM Play'!$B$14/'NM Play'!$B$12)</f>
        <v/>
      </c>
      <c r="AL338" s="160">
        <f>Y338*'Assumptions'!L66</f>
        <v/>
      </c>
      <c r="AM338" s="160">
        <f>IF('Sites'!$D$6="NM crew",S338*'NM Play'!$B$37*(1+IF(AND(ISNUMBER('NM Play'!$B$25),'NM Play'!$B$25&gt;0),1,0)),"")</f>
        <v/>
      </c>
      <c r="AN338" s="160">
        <f>IF(OR('Sites'!$E$6&lt;0,'Sites'!$E$6&gt;1,'Sites'!$F$6&lt;1,'Sites'!$G$6&lt;'Sites'!$F$6,F338&lt;0,MIN('Sites'!$I$6:'Sites'!$R$6)&lt;0,'Sites'!$L$6&gt;'Sites'!$I$6,'Sites'!$M$6&gt;'Sites'!$J$6,'Sites'!$N$6&gt;'Sites'!$K$6,'Sites'!$Z$6&lt;0,'Sites'!$Z$6&gt;1,MIN('Sites'!$AA$6:'Sites'!$AC$6)&lt;0,S338&gt;F338+0.001),1,0)</f>
        <v/>
      </c>
      <c r="AO338" s="160">
        <f>I338+U338-T338-X338</f>
        <v/>
      </c>
    </row>
    <row r="339" ht="28" customHeight="1">
      <c r="A339" s="4" t="inlineStr">
        <is>
          <t>Delayed receipts</t>
        </is>
      </c>
      <c r="B339" s="4" t="inlineStr">
        <is>
          <t>WITTA</t>
        </is>
      </c>
      <c r="C339" s="160" t="n">
        <v>10</v>
      </c>
      <c r="D339" s="160">
        <f>ROUNDUP(C339/12,0)</f>
        <v/>
      </c>
      <c r="E339" s="160">
        <f>IF(AND('Sites'!$E$6=1,C339&gt;='Sites'!$F$6,C339&lt;='Sites'!$G$6),1,0)</f>
        <v/>
      </c>
      <c r="F339" s="160">
        <f>E339*'Assumptions'!M67</f>
        <v/>
      </c>
      <c r="G339" s="160">
        <f>V338</f>
        <v/>
      </c>
      <c r="H339" s="160">
        <f>W338</f>
        <v/>
      </c>
      <c r="I339" s="160">
        <f>X338</f>
        <v/>
      </c>
      <c r="J339" s="160">
        <f>MAX(0,'Sites'!$I$6-SUM(N330:N338))</f>
        <v/>
      </c>
      <c r="K339" s="160">
        <f>IF('Sites'!$C$6="Own sheets",MIN(ROUNDDOWN(G339/'NM Play'!$B$11,0)+F339*'NM Play'!$B$10/'NM Play'!$B$43,ROUNDDOWN(H339/'NM Play'!$B$12,0)+F339*'NM Play'!$B$10/'NM Play'!$B$44,(F339*'NM Play'!$B$10+ROUNDDOWN(G339/'NM Play'!$B$11,0)*'NM Play'!$B$43+ROUNDDOWN(H339/'NM Play'!$B$12,0)*'NM Play'!$B$44)/('NM Play'!$B$43+'NM Play'!$B$44)),ROUNDDOWN(G339/'NM Play'!$B$11,0)+F339*'NM Play'!$B$10/'NM Play'!$B$43)</f>
        <v/>
      </c>
      <c r="L339" s="160">
        <f>MIN(ROUNDDOWN(G339/'NM Play'!$B$11,0)+F339/('NM Play'!$B$43/'NM Play'!$B$15),ROUNDDOWN(H339/'NM Play'!$B$12,0)+F339/('NM Play'!$B$44/'NM Play'!$B$16),(F339+ROUNDDOWN(G339/'NM Play'!$B$11,0)*'NM Play'!$B$43/'NM Play'!$B$15+ROUNDDOWN(H339/'NM Play'!$B$12,0)*'NM Play'!$B$44/'NM Play'!$B$16)/('NM Play'!$B$43/'NM Play'!$B$15+'NM Play'!$B$44/'NM Play'!$B$16))</f>
        <v/>
      </c>
      <c r="M339" s="160">
        <f>F339*'NM Play'!$B$36</f>
        <v/>
      </c>
      <c r="N339" s="160">
        <f>ROUNDDOWN(MAX(0,MIN(J339,K339:M339)),0)</f>
        <v/>
      </c>
      <c r="O339" s="160">
        <f>ROUNDUP(MAX(0,N339*'NM Play'!$B$11-G339)/'NM Play'!$B$13,0)</f>
        <v/>
      </c>
      <c r="P339" s="160">
        <f>ROUNDUP(MAX(0,N339*'NM Play'!$B$12-H339)/'NM Play'!$B$14,0)</f>
        <v/>
      </c>
      <c r="Q339" s="160">
        <f>(O339+IF('Sites'!$C$6="Own sheets",P339,0))/'NM Play'!$B$10</f>
        <v/>
      </c>
      <c r="R339" s="160">
        <f>O339/'NM Play'!$B$15+P339/'NM Play'!$B$16</f>
        <v/>
      </c>
      <c r="S339" s="160">
        <f>MAX(Q339,R339,N339/'NM Play'!$B$36)</f>
        <v/>
      </c>
      <c r="T339" s="160">
        <f>Q339*'NM Play'!$B$10*'NM Play'!$B$21*(1+'NM Play'!$B$35)</f>
        <v/>
      </c>
      <c r="U339" s="160">
        <f>MAX(0,T339-I339)</f>
        <v/>
      </c>
      <c r="V339" s="160">
        <f>G339+O339*'NM Play'!$B$13-N339*'NM Play'!$B$11</f>
        <v/>
      </c>
      <c r="W339" s="160">
        <f>H339+P339*'NM Play'!$B$14-N339*'NM Play'!$B$12</f>
        <v/>
      </c>
      <c r="X339" s="160">
        <f>I339+U339-T339</f>
        <v/>
      </c>
      <c r="Y339" s="160">
        <f>MIN(N339,MAX(0,ROUNDDOWN('Sites'!$L$6*'Cases'!$E$9,0)-SUM(Y330:Y338)))</f>
        <v/>
      </c>
      <c r="Z339" s="160">
        <f>N339-Y339</f>
        <v/>
      </c>
      <c r="AA339" s="160">
        <f>U339*'NM Play'!$B$22</f>
        <v/>
      </c>
      <c r="AB339" s="160">
        <f>N339*SUM('NM Play'!$B$29:$B$31)</f>
        <v/>
      </c>
      <c r="AC339" s="160">
        <f>IF('Sites'!$C$6="Defy legs",P339*'NM Play'!$B$14/'NM Play'!$B$12*'NM Play'!$B$28,0)</f>
        <v/>
      </c>
      <c r="AD339" s="160">
        <f>Q339*'NM Play'!$B$23</f>
        <v/>
      </c>
      <c r="AE339" s="160">
        <f>S339*SUM('NM Play'!$B$26,'NM Play'!$B$33:$B$34)</f>
        <v/>
      </c>
      <c r="AF339" s="160">
        <f>IF('Sites'!$D$6="NM crew",S339*SUM('NM Play'!$B$24:$B$25),0)</f>
        <v/>
      </c>
      <c r="AG339" s="160">
        <f>IF('Sites'!$D$6="NM crew",S339*'NM Play'!$B$27,0)</f>
        <v/>
      </c>
      <c r="AH339" s="160">
        <f>N339*'Sites'!$Z$6*'NM Play'!$B$32</f>
        <v/>
      </c>
      <c r="AI339" s="160">
        <f>SUM(Y339:Z339)*'Sites'!$R$6</f>
        <v/>
      </c>
      <c r="AJ339" s="160">
        <f>SUM(AA339:AH339)</f>
        <v/>
      </c>
      <c r="AK339" s="160">
        <f>AJ339+(T339-U339)*'NM Play'!$B$22+MIN(G339,N339*'NM Play'!$B$11)/'NM Play'!$B$13*'NM Play'!$B$21*'NM Play'!$B$22+MIN(H339,N339*'NM Play'!$B$12)/'NM Play'!$B$14*IF('Sites'!$C$6="Own sheets",'NM Play'!$B$21*'NM Play'!$B$22,'NM Play'!$B$28*'NM Play'!$B$14/'NM Play'!$B$12)</f>
        <v/>
      </c>
      <c r="AL339" s="160">
        <f>Y339*'Assumptions'!M66</f>
        <v/>
      </c>
      <c r="AM339" s="160">
        <f>IF('Sites'!$D$6="NM crew",S339*'NM Play'!$B$37*(1+IF(AND(ISNUMBER('NM Play'!$B$25),'NM Play'!$B$25&gt;0),1,0)),"")</f>
        <v/>
      </c>
      <c r="AN339" s="160">
        <f>IF(OR('Sites'!$E$6&lt;0,'Sites'!$E$6&gt;1,'Sites'!$F$6&lt;1,'Sites'!$G$6&lt;'Sites'!$F$6,F339&lt;0,MIN('Sites'!$I$6:'Sites'!$R$6)&lt;0,'Sites'!$L$6&gt;'Sites'!$I$6,'Sites'!$M$6&gt;'Sites'!$J$6,'Sites'!$N$6&gt;'Sites'!$K$6,'Sites'!$Z$6&lt;0,'Sites'!$Z$6&gt;1,MIN('Sites'!$AA$6:'Sites'!$AC$6)&lt;0,S339&gt;F339+0.001),1,0)</f>
        <v/>
      </c>
      <c r="AO339" s="160">
        <f>I339+U339-T339-X339</f>
        <v/>
      </c>
    </row>
    <row r="340" ht="28" customHeight="1">
      <c r="A340" s="4" t="inlineStr">
        <is>
          <t>Delayed receipts</t>
        </is>
      </c>
      <c r="B340" s="4" t="inlineStr">
        <is>
          <t>WITTA</t>
        </is>
      </c>
      <c r="C340" s="160" t="n">
        <v>11</v>
      </c>
      <c r="D340" s="160">
        <f>ROUNDUP(C340/12,0)</f>
        <v/>
      </c>
      <c r="E340" s="160">
        <f>IF(AND('Sites'!$E$6=1,C340&gt;='Sites'!$F$6,C340&lt;='Sites'!$G$6),1,0)</f>
        <v/>
      </c>
      <c r="F340" s="160">
        <f>E340*'Assumptions'!N67</f>
        <v/>
      </c>
      <c r="G340" s="160">
        <f>V339</f>
        <v/>
      </c>
      <c r="H340" s="160">
        <f>W339</f>
        <v/>
      </c>
      <c r="I340" s="160">
        <f>X339</f>
        <v/>
      </c>
      <c r="J340" s="160">
        <f>MAX(0,'Sites'!$I$6-SUM(N330:N339))</f>
        <v/>
      </c>
      <c r="K340" s="160">
        <f>IF('Sites'!$C$6="Own sheets",MIN(ROUNDDOWN(G340/'NM Play'!$B$11,0)+F340*'NM Play'!$B$10/'NM Play'!$B$43,ROUNDDOWN(H340/'NM Play'!$B$12,0)+F340*'NM Play'!$B$10/'NM Play'!$B$44,(F340*'NM Play'!$B$10+ROUNDDOWN(G340/'NM Play'!$B$11,0)*'NM Play'!$B$43+ROUNDDOWN(H340/'NM Play'!$B$12,0)*'NM Play'!$B$44)/('NM Play'!$B$43+'NM Play'!$B$44)),ROUNDDOWN(G340/'NM Play'!$B$11,0)+F340*'NM Play'!$B$10/'NM Play'!$B$43)</f>
        <v/>
      </c>
      <c r="L340" s="160">
        <f>MIN(ROUNDDOWN(G340/'NM Play'!$B$11,0)+F340/('NM Play'!$B$43/'NM Play'!$B$15),ROUNDDOWN(H340/'NM Play'!$B$12,0)+F340/('NM Play'!$B$44/'NM Play'!$B$16),(F340+ROUNDDOWN(G340/'NM Play'!$B$11,0)*'NM Play'!$B$43/'NM Play'!$B$15+ROUNDDOWN(H340/'NM Play'!$B$12,0)*'NM Play'!$B$44/'NM Play'!$B$16)/('NM Play'!$B$43/'NM Play'!$B$15+'NM Play'!$B$44/'NM Play'!$B$16))</f>
        <v/>
      </c>
      <c r="M340" s="160">
        <f>F340*'NM Play'!$B$36</f>
        <v/>
      </c>
      <c r="N340" s="160">
        <f>ROUNDDOWN(MAX(0,MIN(J340,K340:M340)),0)</f>
        <v/>
      </c>
      <c r="O340" s="160">
        <f>ROUNDUP(MAX(0,N340*'NM Play'!$B$11-G340)/'NM Play'!$B$13,0)</f>
        <v/>
      </c>
      <c r="P340" s="160">
        <f>ROUNDUP(MAX(0,N340*'NM Play'!$B$12-H340)/'NM Play'!$B$14,0)</f>
        <v/>
      </c>
      <c r="Q340" s="160">
        <f>(O340+IF('Sites'!$C$6="Own sheets",P340,0))/'NM Play'!$B$10</f>
        <v/>
      </c>
      <c r="R340" s="160">
        <f>O340/'NM Play'!$B$15+P340/'NM Play'!$B$16</f>
        <v/>
      </c>
      <c r="S340" s="160">
        <f>MAX(Q340,R340,N340/'NM Play'!$B$36)</f>
        <v/>
      </c>
      <c r="T340" s="160">
        <f>Q340*'NM Play'!$B$10*'NM Play'!$B$21*(1+'NM Play'!$B$35)</f>
        <v/>
      </c>
      <c r="U340" s="160">
        <f>MAX(0,T340-I340)</f>
        <v/>
      </c>
      <c r="V340" s="160">
        <f>G340+O340*'NM Play'!$B$13-N340*'NM Play'!$B$11</f>
        <v/>
      </c>
      <c r="W340" s="160">
        <f>H340+P340*'NM Play'!$B$14-N340*'NM Play'!$B$12</f>
        <v/>
      </c>
      <c r="X340" s="160">
        <f>I340+U340-T340</f>
        <v/>
      </c>
      <c r="Y340" s="160">
        <f>MIN(N340,MAX(0,ROUNDDOWN('Sites'!$L$6*'Cases'!$E$9,0)-SUM(Y330:Y339)))</f>
        <v/>
      </c>
      <c r="Z340" s="160">
        <f>N340-Y340</f>
        <v/>
      </c>
      <c r="AA340" s="160">
        <f>U340*'NM Play'!$B$22</f>
        <v/>
      </c>
      <c r="AB340" s="160">
        <f>N340*SUM('NM Play'!$B$29:$B$31)</f>
        <v/>
      </c>
      <c r="AC340" s="160">
        <f>IF('Sites'!$C$6="Defy legs",P340*'NM Play'!$B$14/'NM Play'!$B$12*'NM Play'!$B$28,0)</f>
        <v/>
      </c>
      <c r="AD340" s="160">
        <f>Q340*'NM Play'!$B$23</f>
        <v/>
      </c>
      <c r="AE340" s="160">
        <f>S340*SUM('NM Play'!$B$26,'NM Play'!$B$33:$B$34)</f>
        <v/>
      </c>
      <c r="AF340" s="160">
        <f>IF('Sites'!$D$6="NM crew",S340*SUM('NM Play'!$B$24:$B$25),0)</f>
        <v/>
      </c>
      <c r="AG340" s="160">
        <f>IF('Sites'!$D$6="NM crew",S340*'NM Play'!$B$27,0)</f>
        <v/>
      </c>
      <c r="AH340" s="160">
        <f>N340*'Sites'!$Z$6*'NM Play'!$B$32</f>
        <v/>
      </c>
      <c r="AI340" s="160">
        <f>SUM(Y340:Z340)*'Sites'!$R$6</f>
        <v/>
      </c>
      <c r="AJ340" s="160">
        <f>SUM(AA340:AH340)</f>
        <v/>
      </c>
      <c r="AK340" s="160">
        <f>AJ340+(T340-U340)*'NM Play'!$B$22+MIN(G340,N340*'NM Play'!$B$11)/'NM Play'!$B$13*'NM Play'!$B$21*'NM Play'!$B$22+MIN(H340,N340*'NM Play'!$B$12)/'NM Play'!$B$14*IF('Sites'!$C$6="Own sheets",'NM Play'!$B$21*'NM Play'!$B$22,'NM Play'!$B$28*'NM Play'!$B$14/'NM Play'!$B$12)</f>
        <v/>
      </c>
      <c r="AL340" s="160">
        <f>Y340*'Assumptions'!N66</f>
        <v/>
      </c>
      <c r="AM340" s="160">
        <f>IF('Sites'!$D$6="NM crew",S340*'NM Play'!$B$37*(1+IF(AND(ISNUMBER('NM Play'!$B$25),'NM Play'!$B$25&gt;0),1,0)),"")</f>
        <v/>
      </c>
      <c r="AN340" s="160">
        <f>IF(OR('Sites'!$E$6&lt;0,'Sites'!$E$6&gt;1,'Sites'!$F$6&lt;1,'Sites'!$G$6&lt;'Sites'!$F$6,F340&lt;0,MIN('Sites'!$I$6:'Sites'!$R$6)&lt;0,'Sites'!$L$6&gt;'Sites'!$I$6,'Sites'!$M$6&gt;'Sites'!$J$6,'Sites'!$N$6&gt;'Sites'!$K$6,'Sites'!$Z$6&lt;0,'Sites'!$Z$6&gt;1,MIN('Sites'!$AA$6:'Sites'!$AC$6)&lt;0,S340&gt;F340+0.001),1,0)</f>
        <v/>
      </c>
      <c r="AO340" s="160">
        <f>I340+U340-T340-X340</f>
        <v/>
      </c>
    </row>
    <row r="341" ht="28" customHeight="1">
      <c r="A341" s="4" t="inlineStr">
        <is>
          <t>Delayed receipts</t>
        </is>
      </c>
      <c r="B341" s="4" t="inlineStr">
        <is>
          <t>WITTA</t>
        </is>
      </c>
      <c r="C341" s="160" t="n">
        <v>12</v>
      </c>
      <c r="D341" s="160">
        <f>ROUNDUP(C341/12,0)</f>
        <v/>
      </c>
      <c r="E341" s="160">
        <f>IF(AND('Sites'!$E$6=1,C341&gt;='Sites'!$F$6,C341&lt;='Sites'!$G$6),1,0)</f>
        <v/>
      </c>
      <c r="F341" s="160">
        <f>E341*'Assumptions'!O67</f>
        <v/>
      </c>
      <c r="G341" s="160">
        <f>V340</f>
        <v/>
      </c>
      <c r="H341" s="160">
        <f>W340</f>
        <v/>
      </c>
      <c r="I341" s="160">
        <f>X340</f>
        <v/>
      </c>
      <c r="J341" s="160">
        <f>MAX(0,'Sites'!$I$6-SUM(N330:N340))</f>
        <v/>
      </c>
      <c r="K341" s="160">
        <f>IF('Sites'!$C$6="Own sheets",MIN(ROUNDDOWN(G341/'NM Play'!$B$11,0)+F341*'NM Play'!$B$10/'NM Play'!$B$43,ROUNDDOWN(H341/'NM Play'!$B$12,0)+F341*'NM Play'!$B$10/'NM Play'!$B$44,(F341*'NM Play'!$B$10+ROUNDDOWN(G341/'NM Play'!$B$11,0)*'NM Play'!$B$43+ROUNDDOWN(H341/'NM Play'!$B$12,0)*'NM Play'!$B$44)/('NM Play'!$B$43+'NM Play'!$B$44)),ROUNDDOWN(G341/'NM Play'!$B$11,0)+F341*'NM Play'!$B$10/'NM Play'!$B$43)</f>
        <v/>
      </c>
      <c r="L341" s="160">
        <f>MIN(ROUNDDOWN(G341/'NM Play'!$B$11,0)+F341/('NM Play'!$B$43/'NM Play'!$B$15),ROUNDDOWN(H341/'NM Play'!$B$12,0)+F341/('NM Play'!$B$44/'NM Play'!$B$16),(F341+ROUNDDOWN(G341/'NM Play'!$B$11,0)*'NM Play'!$B$43/'NM Play'!$B$15+ROUNDDOWN(H341/'NM Play'!$B$12,0)*'NM Play'!$B$44/'NM Play'!$B$16)/('NM Play'!$B$43/'NM Play'!$B$15+'NM Play'!$B$44/'NM Play'!$B$16))</f>
        <v/>
      </c>
      <c r="M341" s="160">
        <f>F341*'NM Play'!$B$36</f>
        <v/>
      </c>
      <c r="N341" s="160">
        <f>ROUNDDOWN(MAX(0,MIN(J341,K341:M341)),0)</f>
        <v/>
      </c>
      <c r="O341" s="160">
        <f>ROUNDUP(MAX(0,N341*'NM Play'!$B$11-G341)/'NM Play'!$B$13,0)</f>
        <v/>
      </c>
      <c r="P341" s="160">
        <f>ROUNDUP(MAX(0,N341*'NM Play'!$B$12-H341)/'NM Play'!$B$14,0)</f>
        <v/>
      </c>
      <c r="Q341" s="160">
        <f>(O341+IF('Sites'!$C$6="Own sheets",P341,0))/'NM Play'!$B$10</f>
        <v/>
      </c>
      <c r="R341" s="160">
        <f>O341/'NM Play'!$B$15+P341/'NM Play'!$B$16</f>
        <v/>
      </c>
      <c r="S341" s="160">
        <f>MAX(Q341,R341,N341/'NM Play'!$B$36)</f>
        <v/>
      </c>
      <c r="T341" s="160">
        <f>Q341*'NM Play'!$B$10*'NM Play'!$B$21*(1+'NM Play'!$B$35)</f>
        <v/>
      </c>
      <c r="U341" s="160">
        <f>MAX(0,T341-I341)</f>
        <v/>
      </c>
      <c r="V341" s="160">
        <f>G341+O341*'NM Play'!$B$13-N341*'NM Play'!$B$11</f>
        <v/>
      </c>
      <c r="W341" s="160">
        <f>H341+P341*'NM Play'!$B$14-N341*'NM Play'!$B$12</f>
        <v/>
      </c>
      <c r="X341" s="160">
        <f>I341+U341-T341</f>
        <v/>
      </c>
      <c r="Y341" s="160">
        <f>MIN(N341,MAX(0,ROUNDDOWN('Sites'!$L$6*'Cases'!$E$9,0)-SUM(Y330:Y340)))</f>
        <v/>
      </c>
      <c r="Z341" s="160">
        <f>N341-Y341</f>
        <v/>
      </c>
      <c r="AA341" s="160">
        <f>U341*'NM Play'!$B$22</f>
        <v/>
      </c>
      <c r="AB341" s="160">
        <f>N341*SUM('NM Play'!$B$29:$B$31)</f>
        <v/>
      </c>
      <c r="AC341" s="160">
        <f>IF('Sites'!$C$6="Defy legs",P341*'NM Play'!$B$14/'NM Play'!$B$12*'NM Play'!$B$28,0)</f>
        <v/>
      </c>
      <c r="AD341" s="160">
        <f>Q341*'NM Play'!$B$23</f>
        <v/>
      </c>
      <c r="AE341" s="160">
        <f>S341*SUM('NM Play'!$B$26,'NM Play'!$B$33:$B$34)</f>
        <v/>
      </c>
      <c r="AF341" s="160">
        <f>IF('Sites'!$D$6="NM crew",S341*SUM('NM Play'!$B$24:$B$25),0)</f>
        <v/>
      </c>
      <c r="AG341" s="160">
        <f>IF('Sites'!$D$6="NM crew",S341*'NM Play'!$B$27,0)</f>
        <v/>
      </c>
      <c r="AH341" s="160">
        <f>N341*'Sites'!$Z$6*'NM Play'!$B$32</f>
        <v/>
      </c>
      <c r="AI341" s="160">
        <f>SUM(Y341:Z341)*'Sites'!$R$6</f>
        <v/>
      </c>
      <c r="AJ341" s="160">
        <f>SUM(AA341:AH341)</f>
        <v/>
      </c>
      <c r="AK341" s="160">
        <f>AJ341+(T341-U341)*'NM Play'!$B$22+MIN(G341,N341*'NM Play'!$B$11)/'NM Play'!$B$13*'NM Play'!$B$21*'NM Play'!$B$22+MIN(H341,N341*'NM Play'!$B$12)/'NM Play'!$B$14*IF('Sites'!$C$6="Own sheets",'NM Play'!$B$21*'NM Play'!$B$22,'NM Play'!$B$28*'NM Play'!$B$14/'NM Play'!$B$12)</f>
        <v/>
      </c>
      <c r="AL341" s="160">
        <f>Y341*'Assumptions'!O66</f>
        <v/>
      </c>
      <c r="AM341" s="160">
        <f>IF('Sites'!$D$6="NM crew",S341*'NM Play'!$B$37*(1+IF(AND(ISNUMBER('NM Play'!$B$25),'NM Play'!$B$25&gt;0),1,0)),"")</f>
        <v/>
      </c>
      <c r="AN341" s="160">
        <f>IF(OR('Sites'!$E$6&lt;0,'Sites'!$E$6&gt;1,'Sites'!$F$6&lt;1,'Sites'!$G$6&lt;'Sites'!$F$6,F341&lt;0,MIN('Sites'!$I$6:'Sites'!$R$6)&lt;0,'Sites'!$L$6&gt;'Sites'!$I$6,'Sites'!$M$6&gt;'Sites'!$J$6,'Sites'!$N$6&gt;'Sites'!$K$6,'Sites'!$Z$6&lt;0,'Sites'!$Z$6&gt;1,MIN('Sites'!$AA$6:'Sites'!$AC$6)&lt;0,S341&gt;F341+0.001),1,0)</f>
        <v/>
      </c>
      <c r="AO341" s="160">
        <f>I341+U341-T341-X341</f>
        <v/>
      </c>
    </row>
    <row r="342" ht="28" customHeight="1">
      <c r="A342" s="4" t="inlineStr">
        <is>
          <t>Delayed receipts</t>
        </is>
      </c>
      <c r="B342" s="4" t="inlineStr">
        <is>
          <t>WITTA</t>
        </is>
      </c>
      <c r="C342" s="160" t="n">
        <v>13</v>
      </c>
      <c r="D342" s="160">
        <f>ROUNDUP(C342/12,0)</f>
        <v/>
      </c>
      <c r="E342" s="160">
        <f>IF(AND('Sites'!$E$6=1,C342&gt;='Sites'!$F$6,C342&lt;='Sites'!$G$6),1,0)</f>
        <v/>
      </c>
      <c r="F342" s="160">
        <f>E342*'Assumptions'!P67</f>
        <v/>
      </c>
      <c r="G342" s="160">
        <f>V341</f>
        <v/>
      </c>
      <c r="H342" s="160">
        <f>W341</f>
        <v/>
      </c>
      <c r="I342" s="160">
        <f>X341</f>
        <v/>
      </c>
      <c r="J342" s="160">
        <f>MAX(0,'Sites'!$J$6-0)</f>
        <v/>
      </c>
      <c r="K342" s="160">
        <f>IF('Sites'!$C$6="Own sheets",MIN(ROUNDDOWN(G342/'NM Play'!$B$11,0)+F342*'NM Play'!$B$10/'NM Play'!$B$43,ROUNDDOWN(H342/'NM Play'!$B$12,0)+F342*'NM Play'!$B$10/'NM Play'!$B$44,(F342*'NM Play'!$B$10+ROUNDDOWN(G342/'NM Play'!$B$11,0)*'NM Play'!$B$43+ROUNDDOWN(H342/'NM Play'!$B$12,0)*'NM Play'!$B$44)/('NM Play'!$B$43+'NM Play'!$B$44)),ROUNDDOWN(G342/'NM Play'!$B$11,0)+F342*'NM Play'!$B$10/'NM Play'!$B$43)</f>
        <v/>
      </c>
      <c r="L342" s="160">
        <f>MIN(ROUNDDOWN(G342/'NM Play'!$B$11,0)+F342/('NM Play'!$B$43/'NM Play'!$B$15),ROUNDDOWN(H342/'NM Play'!$B$12,0)+F342/('NM Play'!$B$44/'NM Play'!$B$16),(F342+ROUNDDOWN(G342/'NM Play'!$B$11,0)*'NM Play'!$B$43/'NM Play'!$B$15+ROUNDDOWN(H342/'NM Play'!$B$12,0)*'NM Play'!$B$44/'NM Play'!$B$16)/('NM Play'!$B$43/'NM Play'!$B$15+'NM Play'!$B$44/'NM Play'!$B$16))</f>
        <v/>
      </c>
      <c r="M342" s="160">
        <f>F342*'NM Play'!$B$36</f>
        <v/>
      </c>
      <c r="N342" s="160">
        <f>ROUNDDOWN(MAX(0,MIN(J342,K342:M342)),0)</f>
        <v/>
      </c>
      <c r="O342" s="160">
        <f>ROUNDUP(MAX(0,N342*'NM Play'!$B$11-G342)/'NM Play'!$B$13,0)</f>
        <v/>
      </c>
      <c r="P342" s="160">
        <f>ROUNDUP(MAX(0,N342*'NM Play'!$B$12-H342)/'NM Play'!$B$14,0)</f>
        <v/>
      </c>
      <c r="Q342" s="160">
        <f>(O342+IF('Sites'!$C$6="Own sheets",P342,0))/'NM Play'!$B$10</f>
        <v/>
      </c>
      <c r="R342" s="160">
        <f>O342/'NM Play'!$B$15+P342/'NM Play'!$B$16</f>
        <v/>
      </c>
      <c r="S342" s="160">
        <f>MAX(Q342,R342,N342/'NM Play'!$B$36)</f>
        <v/>
      </c>
      <c r="T342" s="160">
        <f>Q342*'NM Play'!$B$10*'NM Play'!$B$21*(1+'NM Play'!$B$35)</f>
        <v/>
      </c>
      <c r="U342" s="160">
        <f>MAX(0,T342-I342)</f>
        <v/>
      </c>
      <c r="V342" s="160">
        <f>G342+O342*'NM Play'!$B$13-N342*'NM Play'!$B$11</f>
        <v/>
      </c>
      <c r="W342" s="160">
        <f>H342+P342*'NM Play'!$B$14-N342*'NM Play'!$B$12</f>
        <v/>
      </c>
      <c r="X342" s="160">
        <f>I342+U342-T342</f>
        <v/>
      </c>
      <c r="Y342" s="160">
        <f>MIN(N342,MAX(0,ROUNDDOWN('Sites'!$M$6*'Cases'!$E$9,0)-0))</f>
        <v/>
      </c>
      <c r="Z342" s="160">
        <f>N342-Y342</f>
        <v/>
      </c>
      <c r="AA342" s="160">
        <f>U342*'NM Play'!$B$22</f>
        <v/>
      </c>
      <c r="AB342" s="160">
        <f>N342*SUM('NM Play'!$B$29:$B$31)</f>
        <v/>
      </c>
      <c r="AC342" s="160">
        <f>IF('Sites'!$C$6="Defy legs",P342*'NM Play'!$B$14/'NM Play'!$B$12*'NM Play'!$B$28,0)</f>
        <v/>
      </c>
      <c r="AD342" s="160">
        <f>Q342*'NM Play'!$B$23</f>
        <v/>
      </c>
      <c r="AE342" s="160">
        <f>S342*SUM('NM Play'!$B$26,'NM Play'!$B$33:$B$34)</f>
        <v/>
      </c>
      <c r="AF342" s="160">
        <f>IF('Sites'!$D$6="NM crew",S342*SUM('NM Play'!$B$24:$B$25),0)</f>
        <v/>
      </c>
      <c r="AG342" s="160">
        <f>IF('Sites'!$D$6="NM crew",S342*'NM Play'!$B$27,0)</f>
        <v/>
      </c>
      <c r="AH342" s="160">
        <f>N342*'Sites'!$Z$6*'NM Play'!$B$32</f>
        <v/>
      </c>
      <c r="AI342" s="160">
        <f>SUM(Y342:Z342)*'Sites'!$R$6</f>
        <v/>
      </c>
      <c r="AJ342" s="160">
        <f>SUM(AA342:AH342)</f>
        <v/>
      </c>
      <c r="AK342" s="160">
        <f>AJ342+(T342-U342)*'NM Play'!$B$22+MIN(G342,N342*'NM Play'!$B$11)/'NM Play'!$B$13*'NM Play'!$B$21*'NM Play'!$B$22+MIN(H342,N342*'NM Play'!$B$12)/'NM Play'!$B$14*IF('Sites'!$C$6="Own sheets",'NM Play'!$B$21*'NM Play'!$B$22,'NM Play'!$B$28*'NM Play'!$B$14/'NM Play'!$B$12)</f>
        <v/>
      </c>
      <c r="AL342" s="160">
        <f>Y342*'Assumptions'!P66</f>
        <v/>
      </c>
      <c r="AM342" s="160">
        <f>IF('Sites'!$D$6="NM crew",S342*'NM Play'!$B$37*(1+IF(AND(ISNUMBER('NM Play'!$B$25),'NM Play'!$B$25&gt;0),1,0)),"")</f>
        <v/>
      </c>
      <c r="AN342" s="160">
        <f>IF(OR('Sites'!$E$6&lt;0,'Sites'!$E$6&gt;1,'Sites'!$F$6&lt;1,'Sites'!$G$6&lt;'Sites'!$F$6,F342&lt;0,MIN('Sites'!$I$6:'Sites'!$R$6)&lt;0,'Sites'!$L$6&gt;'Sites'!$I$6,'Sites'!$M$6&gt;'Sites'!$J$6,'Sites'!$N$6&gt;'Sites'!$K$6,'Sites'!$Z$6&lt;0,'Sites'!$Z$6&gt;1,MIN('Sites'!$AA$6:'Sites'!$AC$6)&lt;0,S342&gt;F342+0.001),1,0)</f>
        <v/>
      </c>
      <c r="AO342" s="160">
        <f>I342+U342-T342-X342</f>
        <v/>
      </c>
    </row>
    <row r="343" ht="28" customHeight="1">
      <c r="A343" s="4" t="inlineStr">
        <is>
          <t>Delayed receipts</t>
        </is>
      </c>
      <c r="B343" s="4" t="inlineStr">
        <is>
          <t>WITTA</t>
        </is>
      </c>
      <c r="C343" s="160" t="n">
        <v>14</v>
      </c>
      <c r="D343" s="160">
        <f>ROUNDUP(C343/12,0)</f>
        <v/>
      </c>
      <c r="E343" s="160">
        <f>IF(AND('Sites'!$E$6=1,C343&gt;='Sites'!$F$6,C343&lt;='Sites'!$G$6),1,0)</f>
        <v/>
      </c>
      <c r="F343" s="160">
        <f>E343*'Assumptions'!Q67</f>
        <v/>
      </c>
      <c r="G343" s="160">
        <f>V342</f>
        <v/>
      </c>
      <c r="H343" s="160">
        <f>W342</f>
        <v/>
      </c>
      <c r="I343" s="160">
        <f>X342</f>
        <v/>
      </c>
      <c r="J343" s="160">
        <f>MAX(0,'Sites'!$J$6-SUM(N342:N342))</f>
        <v/>
      </c>
      <c r="K343" s="160">
        <f>IF('Sites'!$C$6="Own sheets",MIN(ROUNDDOWN(G343/'NM Play'!$B$11,0)+F343*'NM Play'!$B$10/'NM Play'!$B$43,ROUNDDOWN(H343/'NM Play'!$B$12,0)+F343*'NM Play'!$B$10/'NM Play'!$B$44,(F343*'NM Play'!$B$10+ROUNDDOWN(G343/'NM Play'!$B$11,0)*'NM Play'!$B$43+ROUNDDOWN(H343/'NM Play'!$B$12,0)*'NM Play'!$B$44)/('NM Play'!$B$43+'NM Play'!$B$44)),ROUNDDOWN(G343/'NM Play'!$B$11,0)+F343*'NM Play'!$B$10/'NM Play'!$B$43)</f>
        <v/>
      </c>
      <c r="L343" s="160">
        <f>MIN(ROUNDDOWN(G343/'NM Play'!$B$11,0)+F343/('NM Play'!$B$43/'NM Play'!$B$15),ROUNDDOWN(H343/'NM Play'!$B$12,0)+F343/('NM Play'!$B$44/'NM Play'!$B$16),(F343+ROUNDDOWN(G343/'NM Play'!$B$11,0)*'NM Play'!$B$43/'NM Play'!$B$15+ROUNDDOWN(H343/'NM Play'!$B$12,0)*'NM Play'!$B$44/'NM Play'!$B$16)/('NM Play'!$B$43/'NM Play'!$B$15+'NM Play'!$B$44/'NM Play'!$B$16))</f>
        <v/>
      </c>
      <c r="M343" s="160">
        <f>F343*'NM Play'!$B$36</f>
        <v/>
      </c>
      <c r="N343" s="160">
        <f>ROUNDDOWN(MAX(0,MIN(J343,K343:M343)),0)</f>
        <v/>
      </c>
      <c r="O343" s="160">
        <f>ROUNDUP(MAX(0,N343*'NM Play'!$B$11-G343)/'NM Play'!$B$13,0)</f>
        <v/>
      </c>
      <c r="P343" s="160">
        <f>ROUNDUP(MAX(0,N343*'NM Play'!$B$12-H343)/'NM Play'!$B$14,0)</f>
        <v/>
      </c>
      <c r="Q343" s="160">
        <f>(O343+IF('Sites'!$C$6="Own sheets",P343,0))/'NM Play'!$B$10</f>
        <v/>
      </c>
      <c r="R343" s="160">
        <f>O343/'NM Play'!$B$15+P343/'NM Play'!$B$16</f>
        <v/>
      </c>
      <c r="S343" s="160">
        <f>MAX(Q343,R343,N343/'NM Play'!$B$36)</f>
        <v/>
      </c>
      <c r="T343" s="160">
        <f>Q343*'NM Play'!$B$10*'NM Play'!$B$21*(1+'NM Play'!$B$35)</f>
        <v/>
      </c>
      <c r="U343" s="160">
        <f>MAX(0,T343-I343)</f>
        <v/>
      </c>
      <c r="V343" s="160">
        <f>G343+O343*'NM Play'!$B$13-N343*'NM Play'!$B$11</f>
        <v/>
      </c>
      <c r="W343" s="160">
        <f>H343+P343*'NM Play'!$B$14-N343*'NM Play'!$B$12</f>
        <v/>
      </c>
      <c r="X343" s="160">
        <f>I343+U343-T343</f>
        <v/>
      </c>
      <c r="Y343" s="160">
        <f>MIN(N343,MAX(0,ROUNDDOWN('Sites'!$M$6*'Cases'!$E$9,0)-SUM(Y342:Y342)))</f>
        <v/>
      </c>
      <c r="Z343" s="160">
        <f>N343-Y343</f>
        <v/>
      </c>
      <c r="AA343" s="160">
        <f>U343*'NM Play'!$B$22</f>
        <v/>
      </c>
      <c r="AB343" s="160">
        <f>N343*SUM('NM Play'!$B$29:$B$31)</f>
        <v/>
      </c>
      <c r="AC343" s="160">
        <f>IF('Sites'!$C$6="Defy legs",P343*'NM Play'!$B$14/'NM Play'!$B$12*'NM Play'!$B$28,0)</f>
        <v/>
      </c>
      <c r="AD343" s="160">
        <f>Q343*'NM Play'!$B$23</f>
        <v/>
      </c>
      <c r="AE343" s="160">
        <f>S343*SUM('NM Play'!$B$26,'NM Play'!$B$33:$B$34)</f>
        <v/>
      </c>
      <c r="AF343" s="160">
        <f>IF('Sites'!$D$6="NM crew",S343*SUM('NM Play'!$B$24:$B$25),0)</f>
        <v/>
      </c>
      <c r="AG343" s="160">
        <f>IF('Sites'!$D$6="NM crew",S343*'NM Play'!$B$27,0)</f>
        <v/>
      </c>
      <c r="AH343" s="160">
        <f>N343*'Sites'!$Z$6*'NM Play'!$B$32</f>
        <v/>
      </c>
      <c r="AI343" s="160">
        <f>SUM(Y343:Z343)*'Sites'!$R$6</f>
        <v/>
      </c>
      <c r="AJ343" s="160">
        <f>SUM(AA343:AH343)</f>
        <v/>
      </c>
      <c r="AK343" s="160">
        <f>AJ343+(T343-U343)*'NM Play'!$B$22+MIN(G343,N343*'NM Play'!$B$11)/'NM Play'!$B$13*'NM Play'!$B$21*'NM Play'!$B$22+MIN(H343,N343*'NM Play'!$B$12)/'NM Play'!$B$14*IF('Sites'!$C$6="Own sheets",'NM Play'!$B$21*'NM Play'!$B$22,'NM Play'!$B$28*'NM Play'!$B$14/'NM Play'!$B$12)</f>
        <v/>
      </c>
      <c r="AL343" s="160">
        <f>Y343*'Assumptions'!Q66</f>
        <v/>
      </c>
      <c r="AM343" s="160">
        <f>IF('Sites'!$D$6="NM crew",S343*'NM Play'!$B$37*(1+IF(AND(ISNUMBER('NM Play'!$B$25),'NM Play'!$B$25&gt;0),1,0)),"")</f>
        <v/>
      </c>
      <c r="AN343" s="160">
        <f>IF(OR('Sites'!$E$6&lt;0,'Sites'!$E$6&gt;1,'Sites'!$F$6&lt;1,'Sites'!$G$6&lt;'Sites'!$F$6,F343&lt;0,MIN('Sites'!$I$6:'Sites'!$R$6)&lt;0,'Sites'!$L$6&gt;'Sites'!$I$6,'Sites'!$M$6&gt;'Sites'!$J$6,'Sites'!$N$6&gt;'Sites'!$K$6,'Sites'!$Z$6&lt;0,'Sites'!$Z$6&gt;1,MIN('Sites'!$AA$6:'Sites'!$AC$6)&lt;0,S343&gt;F343+0.001),1,0)</f>
        <v/>
      </c>
      <c r="AO343" s="160">
        <f>I343+U343-T343-X343</f>
        <v/>
      </c>
    </row>
    <row r="344" ht="28" customHeight="1">
      <c r="A344" s="4" t="inlineStr">
        <is>
          <t>Delayed receipts</t>
        </is>
      </c>
      <c r="B344" s="4" t="inlineStr">
        <is>
          <t>WITTA</t>
        </is>
      </c>
      <c r="C344" s="160" t="n">
        <v>15</v>
      </c>
      <c r="D344" s="160">
        <f>ROUNDUP(C344/12,0)</f>
        <v/>
      </c>
      <c r="E344" s="160">
        <f>IF(AND('Sites'!$E$6=1,C344&gt;='Sites'!$F$6,C344&lt;='Sites'!$G$6),1,0)</f>
        <v/>
      </c>
      <c r="F344" s="160">
        <f>E344*'Assumptions'!R67</f>
        <v/>
      </c>
      <c r="G344" s="160">
        <f>V343</f>
        <v/>
      </c>
      <c r="H344" s="160">
        <f>W343</f>
        <v/>
      </c>
      <c r="I344" s="160">
        <f>X343</f>
        <v/>
      </c>
      <c r="J344" s="160">
        <f>MAX(0,'Sites'!$J$6-SUM(N342:N343))</f>
        <v/>
      </c>
      <c r="K344" s="160">
        <f>IF('Sites'!$C$6="Own sheets",MIN(ROUNDDOWN(G344/'NM Play'!$B$11,0)+F344*'NM Play'!$B$10/'NM Play'!$B$43,ROUNDDOWN(H344/'NM Play'!$B$12,0)+F344*'NM Play'!$B$10/'NM Play'!$B$44,(F344*'NM Play'!$B$10+ROUNDDOWN(G344/'NM Play'!$B$11,0)*'NM Play'!$B$43+ROUNDDOWN(H344/'NM Play'!$B$12,0)*'NM Play'!$B$44)/('NM Play'!$B$43+'NM Play'!$B$44)),ROUNDDOWN(G344/'NM Play'!$B$11,0)+F344*'NM Play'!$B$10/'NM Play'!$B$43)</f>
        <v/>
      </c>
      <c r="L344" s="160">
        <f>MIN(ROUNDDOWN(G344/'NM Play'!$B$11,0)+F344/('NM Play'!$B$43/'NM Play'!$B$15),ROUNDDOWN(H344/'NM Play'!$B$12,0)+F344/('NM Play'!$B$44/'NM Play'!$B$16),(F344+ROUNDDOWN(G344/'NM Play'!$B$11,0)*'NM Play'!$B$43/'NM Play'!$B$15+ROUNDDOWN(H344/'NM Play'!$B$12,0)*'NM Play'!$B$44/'NM Play'!$B$16)/('NM Play'!$B$43/'NM Play'!$B$15+'NM Play'!$B$44/'NM Play'!$B$16))</f>
        <v/>
      </c>
      <c r="M344" s="160">
        <f>F344*'NM Play'!$B$36</f>
        <v/>
      </c>
      <c r="N344" s="160">
        <f>ROUNDDOWN(MAX(0,MIN(J344,K344:M344)),0)</f>
        <v/>
      </c>
      <c r="O344" s="160">
        <f>ROUNDUP(MAX(0,N344*'NM Play'!$B$11-G344)/'NM Play'!$B$13,0)</f>
        <v/>
      </c>
      <c r="P344" s="160">
        <f>ROUNDUP(MAX(0,N344*'NM Play'!$B$12-H344)/'NM Play'!$B$14,0)</f>
        <v/>
      </c>
      <c r="Q344" s="160">
        <f>(O344+IF('Sites'!$C$6="Own sheets",P344,0))/'NM Play'!$B$10</f>
        <v/>
      </c>
      <c r="R344" s="160">
        <f>O344/'NM Play'!$B$15+P344/'NM Play'!$B$16</f>
        <v/>
      </c>
      <c r="S344" s="160">
        <f>MAX(Q344,R344,N344/'NM Play'!$B$36)</f>
        <v/>
      </c>
      <c r="T344" s="160">
        <f>Q344*'NM Play'!$B$10*'NM Play'!$B$21*(1+'NM Play'!$B$35)</f>
        <v/>
      </c>
      <c r="U344" s="160">
        <f>MAX(0,T344-I344)</f>
        <v/>
      </c>
      <c r="V344" s="160">
        <f>G344+O344*'NM Play'!$B$13-N344*'NM Play'!$B$11</f>
        <v/>
      </c>
      <c r="W344" s="160">
        <f>H344+P344*'NM Play'!$B$14-N344*'NM Play'!$B$12</f>
        <v/>
      </c>
      <c r="X344" s="160">
        <f>I344+U344-T344</f>
        <v/>
      </c>
      <c r="Y344" s="160">
        <f>MIN(N344,MAX(0,ROUNDDOWN('Sites'!$M$6*'Cases'!$E$9,0)-SUM(Y342:Y343)))</f>
        <v/>
      </c>
      <c r="Z344" s="160">
        <f>N344-Y344</f>
        <v/>
      </c>
      <c r="AA344" s="160">
        <f>U344*'NM Play'!$B$22</f>
        <v/>
      </c>
      <c r="AB344" s="160">
        <f>N344*SUM('NM Play'!$B$29:$B$31)</f>
        <v/>
      </c>
      <c r="AC344" s="160">
        <f>IF('Sites'!$C$6="Defy legs",P344*'NM Play'!$B$14/'NM Play'!$B$12*'NM Play'!$B$28,0)</f>
        <v/>
      </c>
      <c r="AD344" s="160">
        <f>Q344*'NM Play'!$B$23</f>
        <v/>
      </c>
      <c r="AE344" s="160">
        <f>S344*SUM('NM Play'!$B$26,'NM Play'!$B$33:$B$34)</f>
        <v/>
      </c>
      <c r="AF344" s="160">
        <f>IF('Sites'!$D$6="NM crew",S344*SUM('NM Play'!$B$24:$B$25),0)</f>
        <v/>
      </c>
      <c r="AG344" s="160">
        <f>IF('Sites'!$D$6="NM crew",S344*'NM Play'!$B$27,0)</f>
        <v/>
      </c>
      <c r="AH344" s="160">
        <f>N344*'Sites'!$Z$6*'NM Play'!$B$32</f>
        <v/>
      </c>
      <c r="AI344" s="160">
        <f>SUM(Y344:Z344)*'Sites'!$R$6</f>
        <v/>
      </c>
      <c r="AJ344" s="160">
        <f>SUM(AA344:AH344)</f>
        <v/>
      </c>
      <c r="AK344" s="160">
        <f>AJ344+(T344-U344)*'NM Play'!$B$22+MIN(G344,N344*'NM Play'!$B$11)/'NM Play'!$B$13*'NM Play'!$B$21*'NM Play'!$B$22+MIN(H344,N344*'NM Play'!$B$12)/'NM Play'!$B$14*IF('Sites'!$C$6="Own sheets",'NM Play'!$B$21*'NM Play'!$B$22,'NM Play'!$B$28*'NM Play'!$B$14/'NM Play'!$B$12)</f>
        <v/>
      </c>
      <c r="AL344" s="160">
        <f>Y344*'Assumptions'!R66</f>
        <v/>
      </c>
      <c r="AM344" s="160">
        <f>IF('Sites'!$D$6="NM crew",S344*'NM Play'!$B$37*(1+IF(AND(ISNUMBER('NM Play'!$B$25),'NM Play'!$B$25&gt;0),1,0)),"")</f>
        <v/>
      </c>
      <c r="AN344" s="160">
        <f>IF(OR('Sites'!$E$6&lt;0,'Sites'!$E$6&gt;1,'Sites'!$F$6&lt;1,'Sites'!$G$6&lt;'Sites'!$F$6,F344&lt;0,MIN('Sites'!$I$6:'Sites'!$R$6)&lt;0,'Sites'!$L$6&gt;'Sites'!$I$6,'Sites'!$M$6&gt;'Sites'!$J$6,'Sites'!$N$6&gt;'Sites'!$K$6,'Sites'!$Z$6&lt;0,'Sites'!$Z$6&gt;1,MIN('Sites'!$AA$6:'Sites'!$AC$6)&lt;0,S344&gt;F344+0.001),1,0)</f>
        <v/>
      </c>
      <c r="AO344" s="160">
        <f>I344+U344-T344-X344</f>
        <v/>
      </c>
    </row>
    <row r="345" ht="28" customHeight="1">
      <c r="A345" s="4" t="inlineStr">
        <is>
          <t>Delayed receipts</t>
        </is>
      </c>
      <c r="B345" s="4" t="inlineStr">
        <is>
          <t>WITTA</t>
        </is>
      </c>
      <c r="C345" s="160" t="n">
        <v>16</v>
      </c>
      <c r="D345" s="160">
        <f>ROUNDUP(C345/12,0)</f>
        <v/>
      </c>
      <c r="E345" s="160">
        <f>IF(AND('Sites'!$E$6=1,C345&gt;='Sites'!$F$6,C345&lt;='Sites'!$G$6),1,0)</f>
        <v/>
      </c>
      <c r="F345" s="160">
        <f>E345*'Assumptions'!S67</f>
        <v/>
      </c>
      <c r="G345" s="160">
        <f>V344</f>
        <v/>
      </c>
      <c r="H345" s="160">
        <f>W344</f>
        <v/>
      </c>
      <c r="I345" s="160">
        <f>X344</f>
        <v/>
      </c>
      <c r="J345" s="160">
        <f>MAX(0,'Sites'!$J$6-SUM(N342:N344))</f>
        <v/>
      </c>
      <c r="K345" s="160">
        <f>IF('Sites'!$C$6="Own sheets",MIN(ROUNDDOWN(G345/'NM Play'!$B$11,0)+F345*'NM Play'!$B$10/'NM Play'!$B$43,ROUNDDOWN(H345/'NM Play'!$B$12,0)+F345*'NM Play'!$B$10/'NM Play'!$B$44,(F345*'NM Play'!$B$10+ROUNDDOWN(G345/'NM Play'!$B$11,0)*'NM Play'!$B$43+ROUNDDOWN(H345/'NM Play'!$B$12,0)*'NM Play'!$B$44)/('NM Play'!$B$43+'NM Play'!$B$44)),ROUNDDOWN(G345/'NM Play'!$B$11,0)+F345*'NM Play'!$B$10/'NM Play'!$B$43)</f>
        <v/>
      </c>
      <c r="L345" s="160">
        <f>MIN(ROUNDDOWN(G345/'NM Play'!$B$11,0)+F345/('NM Play'!$B$43/'NM Play'!$B$15),ROUNDDOWN(H345/'NM Play'!$B$12,0)+F345/('NM Play'!$B$44/'NM Play'!$B$16),(F345+ROUNDDOWN(G345/'NM Play'!$B$11,0)*'NM Play'!$B$43/'NM Play'!$B$15+ROUNDDOWN(H345/'NM Play'!$B$12,0)*'NM Play'!$B$44/'NM Play'!$B$16)/('NM Play'!$B$43/'NM Play'!$B$15+'NM Play'!$B$44/'NM Play'!$B$16))</f>
        <v/>
      </c>
      <c r="M345" s="160">
        <f>F345*'NM Play'!$B$36</f>
        <v/>
      </c>
      <c r="N345" s="160">
        <f>ROUNDDOWN(MAX(0,MIN(J345,K345:M345)),0)</f>
        <v/>
      </c>
      <c r="O345" s="160">
        <f>ROUNDUP(MAX(0,N345*'NM Play'!$B$11-G345)/'NM Play'!$B$13,0)</f>
        <v/>
      </c>
      <c r="P345" s="160">
        <f>ROUNDUP(MAX(0,N345*'NM Play'!$B$12-H345)/'NM Play'!$B$14,0)</f>
        <v/>
      </c>
      <c r="Q345" s="160">
        <f>(O345+IF('Sites'!$C$6="Own sheets",P345,0))/'NM Play'!$B$10</f>
        <v/>
      </c>
      <c r="R345" s="160">
        <f>O345/'NM Play'!$B$15+P345/'NM Play'!$B$16</f>
        <v/>
      </c>
      <c r="S345" s="160">
        <f>MAX(Q345,R345,N345/'NM Play'!$B$36)</f>
        <v/>
      </c>
      <c r="T345" s="160">
        <f>Q345*'NM Play'!$B$10*'NM Play'!$B$21*(1+'NM Play'!$B$35)</f>
        <v/>
      </c>
      <c r="U345" s="160">
        <f>MAX(0,T345-I345)</f>
        <v/>
      </c>
      <c r="V345" s="160">
        <f>G345+O345*'NM Play'!$B$13-N345*'NM Play'!$B$11</f>
        <v/>
      </c>
      <c r="W345" s="160">
        <f>H345+P345*'NM Play'!$B$14-N345*'NM Play'!$B$12</f>
        <v/>
      </c>
      <c r="X345" s="160">
        <f>I345+U345-T345</f>
        <v/>
      </c>
      <c r="Y345" s="160">
        <f>MIN(N345,MAX(0,ROUNDDOWN('Sites'!$M$6*'Cases'!$E$9,0)-SUM(Y342:Y344)))</f>
        <v/>
      </c>
      <c r="Z345" s="160">
        <f>N345-Y345</f>
        <v/>
      </c>
      <c r="AA345" s="160">
        <f>U345*'NM Play'!$B$22</f>
        <v/>
      </c>
      <c r="AB345" s="160">
        <f>N345*SUM('NM Play'!$B$29:$B$31)</f>
        <v/>
      </c>
      <c r="AC345" s="160">
        <f>IF('Sites'!$C$6="Defy legs",P345*'NM Play'!$B$14/'NM Play'!$B$12*'NM Play'!$B$28,0)</f>
        <v/>
      </c>
      <c r="AD345" s="160">
        <f>Q345*'NM Play'!$B$23</f>
        <v/>
      </c>
      <c r="AE345" s="160">
        <f>S345*SUM('NM Play'!$B$26,'NM Play'!$B$33:$B$34)</f>
        <v/>
      </c>
      <c r="AF345" s="160">
        <f>IF('Sites'!$D$6="NM crew",S345*SUM('NM Play'!$B$24:$B$25),0)</f>
        <v/>
      </c>
      <c r="AG345" s="160">
        <f>IF('Sites'!$D$6="NM crew",S345*'NM Play'!$B$27,0)</f>
        <v/>
      </c>
      <c r="AH345" s="160">
        <f>N345*'Sites'!$Z$6*'NM Play'!$B$32</f>
        <v/>
      </c>
      <c r="AI345" s="160">
        <f>SUM(Y345:Z345)*'Sites'!$R$6</f>
        <v/>
      </c>
      <c r="AJ345" s="160">
        <f>SUM(AA345:AH345)</f>
        <v/>
      </c>
      <c r="AK345" s="160">
        <f>AJ345+(T345-U345)*'NM Play'!$B$22+MIN(G345,N345*'NM Play'!$B$11)/'NM Play'!$B$13*'NM Play'!$B$21*'NM Play'!$B$22+MIN(H345,N345*'NM Play'!$B$12)/'NM Play'!$B$14*IF('Sites'!$C$6="Own sheets",'NM Play'!$B$21*'NM Play'!$B$22,'NM Play'!$B$28*'NM Play'!$B$14/'NM Play'!$B$12)</f>
        <v/>
      </c>
      <c r="AL345" s="160">
        <f>Y345*'Assumptions'!S66</f>
        <v/>
      </c>
      <c r="AM345" s="160">
        <f>IF('Sites'!$D$6="NM crew",S345*'NM Play'!$B$37*(1+IF(AND(ISNUMBER('NM Play'!$B$25),'NM Play'!$B$25&gt;0),1,0)),"")</f>
        <v/>
      </c>
      <c r="AN345" s="160">
        <f>IF(OR('Sites'!$E$6&lt;0,'Sites'!$E$6&gt;1,'Sites'!$F$6&lt;1,'Sites'!$G$6&lt;'Sites'!$F$6,F345&lt;0,MIN('Sites'!$I$6:'Sites'!$R$6)&lt;0,'Sites'!$L$6&gt;'Sites'!$I$6,'Sites'!$M$6&gt;'Sites'!$J$6,'Sites'!$N$6&gt;'Sites'!$K$6,'Sites'!$Z$6&lt;0,'Sites'!$Z$6&gt;1,MIN('Sites'!$AA$6:'Sites'!$AC$6)&lt;0,S345&gt;F345+0.001),1,0)</f>
        <v/>
      </c>
      <c r="AO345" s="160">
        <f>I345+U345-T345-X345</f>
        <v/>
      </c>
    </row>
    <row r="346" ht="28" customHeight="1">
      <c r="A346" s="4" t="inlineStr">
        <is>
          <t>Delayed receipts</t>
        </is>
      </c>
      <c r="B346" s="4" t="inlineStr">
        <is>
          <t>WITTA</t>
        </is>
      </c>
      <c r="C346" s="160" t="n">
        <v>17</v>
      </c>
      <c r="D346" s="160">
        <f>ROUNDUP(C346/12,0)</f>
        <v/>
      </c>
      <c r="E346" s="160">
        <f>IF(AND('Sites'!$E$6=1,C346&gt;='Sites'!$F$6,C346&lt;='Sites'!$G$6),1,0)</f>
        <v/>
      </c>
      <c r="F346" s="160">
        <f>E346*'Assumptions'!T67</f>
        <v/>
      </c>
      <c r="G346" s="160">
        <f>V345</f>
        <v/>
      </c>
      <c r="H346" s="160">
        <f>W345</f>
        <v/>
      </c>
      <c r="I346" s="160">
        <f>X345</f>
        <v/>
      </c>
      <c r="J346" s="160">
        <f>MAX(0,'Sites'!$J$6-SUM(N342:N345))</f>
        <v/>
      </c>
      <c r="K346" s="160">
        <f>IF('Sites'!$C$6="Own sheets",MIN(ROUNDDOWN(G346/'NM Play'!$B$11,0)+F346*'NM Play'!$B$10/'NM Play'!$B$43,ROUNDDOWN(H346/'NM Play'!$B$12,0)+F346*'NM Play'!$B$10/'NM Play'!$B$44,(F346*'NM Play'!$B$10+ROUNDDOWN(G346/'NM Play'!$B$11,0)*'NM Play'!$B$43+ROUNDDOWN(H346/'NM Play'!$B$12,0)*'NM Play'!$B$44)/('NM Play'!$B$43+'NM Play'!$B$44)),ROUNDDOWN(G346/'NM Play'!$B$11,0)+F346*'NM Play'!$B$10/'NM Play'!$B$43)</f>
        <v/>
      </c>
      <c r="L346" s="160">
        <f>MIN(ROUNDDOWN(G346/'NM Play'!$B$11,0)+F346/('NM Play'!$B$43/'NM Play'!$B$15),ROUNDDOWN(H346/'NM Play'!$B$12,0)+F346/('NM Play'!$B$44/'NM Play'!$B$16),(F346+ROUNDDOWN(G346/'NM Play'!$B$11,0)*'NM Play'!$B$43/'NM Play'!$B$15+ROUNDDOWN(H346/'NM Play'!$B$12,0)*'NM Play'!$B$44/'NM Play'!$B$16)/('NM Play'!$B$43/'NM Play'!$B$15+'NM Play'!$B$44/'NM Play'!$B$16))</f>
        <v/>
      </c>
      <c r="M346" s="160">
        <f>F346*'NM Play'!$B$36</f>
        <v/>
      </c>
      <c r="N346" s="160">
        <f>ROUNDDOWN(MAX(0,MIN(J346,K346:M346)),0)</f>
        <v/>
      </c>
      <c r="O346" s="160">
        <f>ROUNDUP(MAX(0,N346*'NM Play'!$B$11-G346)/'NM Play'!$B$13,0)</f>
        <v/>
      </c>
      <c r="P346" s="160">
        <f>ROUNDUP(MAX(0,N346*'NM Play'!$B$12-H346)/'NM Play'!$B$14,0)</f>
        <v/>
      </c>
      <c r="Q346" s="160">
        <f>(O346+IF('Sites'!$C$6="Own sheets",P346,0))/'NM Play'!$B$10</f>
        <v/>
      </c>
      <c r="R346" s="160">
        <f>O346/'NM Play'!$B$15+P346/'NM Play'!$B$16</f>
        <v/>
      </c>
      <c r="S346" s="160">
        <f>MAX(Q346,R346,N346/'NM Play'!$B$36)</f>
        <v/>
      </c>
      <c r="T346" s="160">
        <f>Q346*'NM Play'!$B$10*'NM Play'!$B$21*(1+'NM Play'!$B$35)</f>
        <v/>
      </c>
      <c r="U346" s="160">
        <f>MAX(0,T346-I346)</f>
        <v/>
      </c>
      <c r="V346" s="160">
        <f>G346+O346*'NM Play'!$B$13-N346*'NM Play'!$B$11</f>
        <v/>
      </c>
      <c r="W346" s="160">
        <f>H346+P346*'NM Play'!$B$14-N346*'NM Play'!$B$12</f>
        <v/>
      </c>
      <c r="X346" s="160">
        <f>I346+U346-T346</f>
        <v/>
      </c>
      <c r="Y346" s="160">
        <f>MIN(N346,MAX(0,ROUNDDOWN('Sites'!$M$6*'Cases'!$E$9,0)-SUM(Y342:Y345)))</f>
        <v/>
      </c>
      <c r="Z346" s="160">
        <f>N346-Y346</f>
        <v/>
      </c>
      <c r="AA346" s="160">
        <f>U346*'NM Play'!$B$22</f>
        <v/>
      </c>
      <c r="AB346" s="160">
        <f>N346*SUM('NM Play'!$B$29:$B$31)</f>
        <v/>
      </c>
      <c r="AC346" s="160">
        <f>IF('Sites'!$C$6="Defy legs",P346*'NM Play'!$B$14/'NM Play'!$B$12*'NM Play'!$B$28,0)</f>
        <v/>
      </c>
      <c r="AD346" s="160">
        <f>Q346*'NM Play'!$B$23</f>
        <v/>
      </c>
      <c r="AE346" s="160">
        <f>S346*SUM('NM Play'!$B$26,'NM Play'!$B$33:$B$34)</f>
        <v/>
      </c>
      <c r="AF346" s="160">
        <f>IF('Sites'!$D$6="NM crew",S346*SUM('NM Play'!$B$24:$B$25),0)</f>
        <v/>
      </c>
      <c r="AG346" s="160">
        <f>IF('Sites'!$D$6="NM crew",S346*'NM Play'!$B$27,0)</f>
        <v/>
      </c>
      <c r="AH346" s="160">
        <f>N346*'Sites'!$Z$6*'NM Play'!$B$32</f>
        <v/>
      </c>
      <c r="AI346" s="160">
        <f>SUM(Y346:Z346)*'Sites'!$R$6</f>
        <v/>
      </c>
      <c r="AJ346" s="160">
        <f>SUM(AA346:AH346)</f>
        <v/>
      </c>
      <c r="AK346" s="160">
        <f>AJ346+(T346-U346)*'NM Play'!$B$22+MIN(G346,N346*'NM Play'!$B$11)/'NM Play'!$B$13*'NM Play'!$B$21*'NM Play'!$B$22+MIN(H346,N346*'NM Play'!$B$12)/'NM Play'!$B$14*IF('Sites'!$C$6="Own sheets",'NM Play'!$B$21*'NM Play'!$B$22,'NM Play'!$B$28*'NM Play'!$B$14/'NM Play'!$B$12)</f>
        <v/>
      </c>
      <c r="AL346" s="160">
        <f>Y346*'Assumptions'!T66</f>
        <v/>
      </c>
      <c r="AM346" s="160">
        <f>IF('Sites'!$D$6="NM crew",S346*'NM Play'!$B$37*(1+IF(AND(ISNUMBER('NM Play'!$B$25),'NM Play'!$B$25&gt;0),1,0)),"")</f>
        <v/>
      </c>
      <c r="AN346" s="160">
        <f>IF(OR('Sites'!$E$6&lt;0,'Sites'!$E$6&gt;1,'Sites'!$F$6&lt;1,'Sites'!$G$6&lt;'Sites'!$F$6,F346&lt;0,MIN('Sites'!$I$6:'Sites'!$R$6)&lt;0,'Sites'!$L$6&gt;'Sites'!$I$6,'Sites'!$M$6&gt;'Sites'!$J$6,'Sites'!$N$6&gt;'Sites'!$K$6,'Sites'!$Z$6&lt;0,'Sites'!$Z$6&gt;1,MIN('Sites'!$AA$6:'Sites'!$AC$6)&lt;0,S346&gt;F346+0.001),1,0)</f>
        <v/>
      </c>
      <c r="AO346" s="160">
        <f>I346+U346-T346-X346</f>
        <v/>
      </c>
    </row>
    <row r="347" ht="28" customHeight="1">
      <c r="A347" s="4" t="inlineStr">
        <is>
          <t>Delayed receipts</t>
        </is>
      </c>
      <c r="B347" s="4" t="inlineStr">
        <is>
          <t>WITTA</t>
        </is>
      </c>
      <c r="C347" s="160" t="n">
        <v>18</v>
      </c>
      <c r="D347" s="160">
        <f>ROUNDUP(C347/12,0)</f>
        <v/>
      </c>
      <c r="E347" s="160">
        <f>IF(AND('Sites'!$E$6=1,C347&gt;='Sites'!$F$6,C347&lt;='Sites'!$G$6),1,0)</f>
        <v/>
      </c>
      <c r="F347" s="160">
        <f>E347*'Assumptions'!U67</f>
        <v/>
      </c>
      <c r="G347" s="160">
        <f>V346</f>
        <v/>
      </c>
      <c r="H347" s="160">
        <f>W346</f>
        <v/>
      </c>
      <c r="I347" s="160">
        <f>X346</f>
        <v/>
      </c>
      <c r="J347" s="160">
        <f>MAX(0,'Sites'!$J$6-SUM(N342:N346))</f>
        <v/>
      </c>
      <c r="K347" s="160">
        <f>IF('Sites'!$C$6="Own sheets",MIN(ROUNDDOWN(G347/'NM Play'!$B$11,0)+F347*'NM Play'!$B$10/'NM Play'!$B$43,ROUNDDOWN(H347/'NM Play'!$B$12,0)+F347*'NM Play'!$B$10/'NM Play'!$B$44,(F347*'NM Play'!$B$10+ROUNDDOWN(G347/'NM Play'!$B$11,0)*'NM Play'!$B$43+ROUNDDOWN(H347/'NM Play'!$B$12,0)*'NM Play'!$B$44)/('NM Play'!$B$43+'NM Play'!$B$44)),ROUNDDOWN(G347/'NM Play'!$B$11,0)+F347*'NM Play'!$B$10/'NM Play'!$B$43)</f>
        <v/>
      </c>
      <c r="L347" s="160">
        <f>MIN(ROUNDDOWN(G347/'NM Play'!$B$11,0)+F347/('NM Play'!$B$43/'NM Play'!$B$15),ROUNDDOWN(H347/'NM Play'!$B$12,0)+F347/('NM Play'!$B$44/'NM Play'!$B$16),(F347+ROUNDDOWN(G347/'NM Play'!$B$11,0)*'NM Play'!$B$43/'NM Play'!$B$15+ROUNDDOWN(H347/'NM Play'!$B$12,0)*'NM Play'!$B$44/'NM Play'!$B$16)/('NM Play'!$B$43/'NM Play'!$B$15+'NM Play'!$B$44/'NM Play'!$B$16))</f>
        <v/>
      </c>
      <c r="M347" s="160">
        <f>F347*'NM Play'!$B$36</f>
        <v/>
      </c>
      <c r="N347" s="160">
        <f>ROUNDDOWN(MAX(0,MIN(J347,K347:M347)),0)</f>
        <v/>
      </c>
      <c r="O347" s="160">
        <f>ROUNDUP(MAX(0,N347*'NM Play'!$B$11-G347)/'NM Play'!$B$13,0)</f>
        <v/>
      </c>
      <c r="P347" s="160">
        <f>ROUNDUP(MAX(0,N347*'NM Play'!$B$12-H347)/'NM Play'!$B$14,0)</f>
        <v/>
      </c>
      <c r="Q347" s="160">
        <f>(O347+IF('Sites'!$C$6="Own sheets",P347,0))/'NM Play'!$B$10</f>
        <v/>
      </c>
      <c r="R347" s="160">
        <f>O347/'NM Play'!$B$15+P347/'NM Play'!$B$16</f>
        <v/>
      </c>
      <c r="S347" s="160">
        <f>MAX(Q347,R347,N347/'NM Play'!$B$36)</f>
        <v/>
      </c>
      <c r="T347" s="160">
        <f>Q347*'NM Play'!$B$10*'NM Play'!$B$21*(1+'NM Play'!$B$35)</f>
        <v/>
      </c>
      <c r="U347" s="160">
        <f>MAX(0,T347-I347)</f>
        <v/>
      </c>
      <c r="V347" s="160">
        <f>G347+O347*'NM Play'!$B$13-N347*'NM Play'!$B$11</f>
        <v/>
      </c>
      <c r="W347" s="160">
        <f>H347+P347*'NM Play'!$B$14-N347*'NM Play'!$B$12</f>
        <v/>
      </c>
      <c r="X347" s="160">
        <f>I347+U347-T347</f>
        <v/>
      </c>
      <c r="Y347" s="160">
        <f>MIN(N347,MAX(0,ROUNDDOWN('Sites'!$M$6*'Cases'!$E$9,0)-SUM(Y342:Y346)))</f>
        <v/>
      </c>
      <c r="Z347" s="160">
        <f>N347-Y347</f>
        <v/>
      </c>
      <c r="AA347" s="160">
        <f>U347*'NM Play'!$B$22</f>
        <v/>
      </c>
      <c r="AB347" s="160">
        <f>N347*SUM('NM Play'!$B$29:$B$31)</f>
        <v/>
      </c>
      <c r="AC347" s="160">
        <f>IF('Sites'!$C$6="Defy legs",P347*'NM Play'!$B$14/'NM Play'!$B$12*'NM Play'!$B$28,0)</f>
        <v/>
      </c>
      <c r="AD347" s="160">
        <f>Q347*'NM Play'!$B$23</f>
        <v/>
      </c>
      <c r="AE347" s="160">
        <f>S347*SUM('NM Play'!$B$26,'NM Play'!$B$33:$B$34)</f>
        <v/>
      </c>
      <c r="AF347" s="160">
        <f>IF('Sites'!$D$6="NM crew",S347*SUM('NM Play'!$B$24:$B$25),0)</f>
        <v/>
      </c>
      <c r="AG347" s="160">
        <f>IF('Sites'!$D$6="NM crew",S347*'NM Play'!$B$27,0)</f>
        <v/>
      </c>
      <c r="AH347" s="160">
        <f>N347*'Sites'!$Z$6*'NM Play'!$B$32</f>
        <v/>
      </c>
      <c r="AI347" s="160">
        <f>SUM(Y347:Z347)*'Sites'!$R$6</f>
        <v/>
      </c>
      <c r="AJ347" s="160">
        <f>SUM(AA347:AH347)</f>
        <v/>
      </c>
      <c r="AK347" s="160">
        <f>AJ347+(T347-U347)*'NM Play'!$B$22+MIN(G347,N347*'NM Play'!$B$11)/'NM Play'!$B$13*'NM Play'!$B$21*'NM Play'!$B$22+MIN(H347,N347*'NM Play'!$B$12)/'NM Play'!$B$14*IF('Sites'!$C$6="Own sheets",'NM Play'!$B$21*'NM Play'!$B$22,'NM Play'!$B$28*'NM Play'!$B$14/'NM Play'!$B$12)</f>
        <v/>
      </c>
      <c r="AL347" s="160">
        <f>Y347*'Assumptions'!U66</f>
        <v/>
      </c>
      <c r="AM347" s="160">
        <f>IF('Sites'!$D$6="NM crew",S347*'NM Play'!$B$37*(1+IF(AND(ISNUMBER('NM Play'!$B$25),'NM Play'!$B$25&gt;0),1,0)),"")</f>
        <v/>
      </c>
      <c r="AN347" s="160">
        <f>IF(OR('Sites'!$E$6&lt;0,'Sites'!$E$6&gt;1,'Sites'!$F$6&lt;1,'Sites'!$G$6&lt;'Sites'!$F$6,F347&lt;0,MIN('Sites'!$I$6:'Sites'!$R$6)&lt;0,'Sites'!$L$6&gt;'Sites'!$I$6,'Sites'!$M$6&gt;'Sites'!$J$6,'Sites'!$N$6&gt;'Sites'!$K$6,'Sites'!$Z$6&lt;0,'Sites'!$Z$6&gt;1,MIN('Sites'!$AA$6:'Sites'!$AC$6)&lt;0,S347&gt;F347+0.001),1,0)</f>
        <v/>
      </c>
      <c r="AO347" s="160">
        <f>I347+U347-T347-X347</f>
        <v/>
      </c>
    </row>
    <row r="348" ht="28" customHeight="1">
      <c r="A348" s="4" t="inlineStr">
        <is>
          <t>Delayed receipts</t>
        </is>
      </c>
      <c r="B348" s="4" t="inlineStr">
        <is>
          <t>WITTA</t>
        </is>
      </c>
      <c r="C348" s="160" t="n">
        <v>19</v>
      </c>
      <c r="D348" s="160">
        <f>ROUNDUP(C348/12,0)</f>
        <v/>
      </c>
      <c r="E348" s="160">
        <f>IF(AND('Sites'!$E$6=1,C348&gt;='Sites'!$F$6,C348&lt;='Sites'!$G$6),1,0)</f>
        <v/>
      </c>
      <c r="F348" s="160">
        <f>E348*'Assumptions'!V67</f>
        <v/>
      </c>
      <c r="G348" s="160">
        <f>V347</f>
        <v/>
      </c>
      <c r="H348" s="160">
        <f>W347</f>
        <v/>
      </c>
      <c r="I348" s="160">
        <f>X347</f>
        <v/>
      </c>
      <c r="J348" s="160">
        <f>MAX(0,'Sites'!$J$6-SUM(N342:N347))</f>
        <v/>
      </c>
      <c r="K348" s="160">
        <f>IF('Sites'!$C$6="Own sheets",MIN(ROUNDDOWN(G348/'NM Play'!$B$11,0)+F348*'NM Play'!$B$10/'NM Play'!$B$43,ROUNDDOWN(H348/'NM Play'!$B$12,0)+F348*'NM Play'!$B$10/'NM Play'!$B$44,(F348*'NM Play'!$B$10+ROUNDDOWN(G348/'NM Play'!$B$11,0)*'NM Play'!$B$43+ROUNDDOWN(H348/'NM Play'!$B$12,0)*'NM Play'!$B$44)/('NM Play'!$B$43+'NM Play'!$B$44)),ROUNDDOWN(G348/'NM Play'!$B$11,0)+F348*'NM Play'!$B$10/'NM Play'!$B$43)</f>
        <v/>
      </c>
      <c r="L348" s="160">
        <f>MIN(ROUNDDOWN(G348/'NM Play'!$B$11,0)+F348/('NM Play'!$B$43/'NM Play'!$B$15),ROUNDDOWN(H348/'NM Play'!$B$12,0)+F348/('NM Play'!$B$44/'NM Play'!$B$16),(F348+ROUNDDOWN(G348/'NM Play'!$B$11,0)*'NM Play'!$B$43/'NM Play'!$B$15+ROUNDDOWN(H348/'NM Play'!$B$12,0)*'NM Play'!$B$44/'NM Play'!$B$16)/('NM Play'!$B$43/'NM Play'!$B$15+'NM Play'!$B$44/'NM Play'!$B$16))</f>
        <v/>
      </c>
      <c r="M348" s="160">
        <f>F348*'NM Play'!$B$36</f>
        <v/>
      </c>
      <c r="N348" s="160">
        <f>ROUNDDOWN(MAX(0,MIN(J348,K348:M348)),0)</f>
        <v/>
      </c>
      <c r="O348" s="160">
        <f>ROUNDUP(MAX(0,N348*'NM Play'!$B$11-G348)/'NM Play'!$B$13,0)</f>
        <v/>
      </c>
      <c r="P348" s="160">
        <f>ROUNDUP(MAX(0,N348*'NM Play'!$B$12-H348)/'NM Play'!$B$14,0)</f>
        <v/>
      </c>
      <c r="Q348" s="160">
        <f>(O348+IF('Sites'!$C$6="Own sheets",P348,0))/'NM Play'!$B$10</f>
        <v/>
      </c>
      <c r="R348" s="160">
        <f>O348/'NM Play'!$B$15+P348/'NM Play'!$B$16</f>
        <v/>
      </c>
      <c r="S348" s="160">
        <f>MAX(Q348,R348,N348/'NM Play'!$B$36)</f>
        <v/>
      </c>
      <c r="T348" s="160">
        <f>Q348*'NM Play'!$B$10*'NM Play'!$B$21*(1+'NM Play'!$B$35)</f>
        <v/>
      </c>
      <c r="U348" s="160">
        <f>MAX(0,T348-I348)</f>
        <v/>
      </c>
      <c r="V348" s="160">
        <f>G348+O348*'NM Play'!$B$13-N348*'NM Play'!$B$11</f>
        <v/>
      </c>
      <c r="W348" s="160">
        <f>H348+P348*'NM Play'!$B$14-N348*'NM Play'!$B$12</f>
        <v/>
      </c>
      <c r="X348" s="160">
        <f>I348+U348-T348</f>
        <v/>
      </c>
      <c r="Y348" s="160">
        <f>MIN(N348,MAX(0,ROUNDDOWN('Sites'!$M$6*'Cases'!$E$9,0)-SUM(Y342:Y347)))</f>
        <v/>
      </c>
      <c r="Z348" s="160">
        <f>N348-Y348</f>
        <v/>
      </c>
      <c r="AA348" s="160">
        <f>U348*'NM Play'!$B$22</f>
        <v/>
      </c>
      <c r="AB348" s="160">
        <f>N348*SUM('NM Play'!$B$29:$B$31)</f>
        <v/>
      </c>
      <c r="AC348" s="160">
        <f>IF('Sites'!$C$6="Defy legs",P348*'NM Play'!$B$14/'NM Play'!$B$12*'NM Play'!$B$28,0)</f>
        <v/>
      </c>
      <c r="AD348" s="160">
        <f>Q348*'NM Play'!$B$23</f>
        <v/>
      </c>
      <c r="AE348" s="160">
        <f>S348*SUM('NM Play'!$B$26,'NM Play'!$B$33:$B$34)</f>
        <v/>
      </c>
      <c r="AF348" s="160">
        <f>IF('Sites'!$D$6="NM crew",S348*SUM('NM Play'!$B$24:$B$25),0)</f>
        <v/>
      </c>
      <c r="AG348" s="160">
        <f>IF('Sites'!$D$6="NM crew",S348*'NM Play'!$B$27,0)</f>
        <v/>
      </c>
      <c r="AH348" s="160">
        <f>N348*'Sites'!$Z$6*'NM Play'!$B$32</f>
        <v/>
      </c>
      <c r="AI348" s="160">
        <f>SUM(Y348:Z348)*'Sites'!$R$6</f>
        <v/>
      </c>
      <c r="AJ348" s="160">
        <f>SUM(AA348:AH348)</f>
        <v/>
      </c>
      <c r="AK348" s="160">
        <f>AJ348+(T348-U348)*'NM Play'!$B$22+MIN(G348,N348*'NM Play'!$B$11)/'NM Play'!$B$13*'NM Play'!$B$21*'NM Play'!$B$22+MIN(H348,N348*'NM Play'!$B$12)/'NM Play'!$B$14*IF('Sites'!$C$6="Own sheets",'NM Play'!$B$21*'NM Play'!$B$22,'NM Play'!$B$28*'NM Play'!$B$14/'NM Play'!$B$12)</f>
        <v/>
      </c>
      <c r="AL348" s="160">
        <f>Y348*'Assumptions'!V66</f>
        <v/>
      </c>
      <c r="AM348" s="160">
        <f>IF('Sites'!$D$6="NM crew",S348*'NM Play'!$B$37*(1+IF(AND(ISNUMBER('NM Play'!$B$25),'NM Play'!$B$25&gt;0),1,0)),"")</f>
        <v/>
      </c>
      <c r="AN348" s="160">
        <f>IF(OR('Sites'!$E$6&lt;0,'Sites'!$E$6&gt;1,'Sites'!$F$6&lt;1,'Sites'!$G$6&lt;'Sites'!$F$6,F348&lt;0,MIN('Sites'!$I$6:'Sites'!$R$6)&lt;0,'Sites'!$L$6&gt;'Sites'!$I$6,'Sites'!$M$6&gt;'Sites'!$J$6,'Sites'!$N$6&gt;'Sites'!$K$6,'Sites'!$Z$6&lt;0,'Sites'!$Z$6&gt;1,MIN('Sites'!$AA$6:'Sites'!$AC$6)&lt;0,S348&gt;F348+0.001),1,0)</f>
        <v/>
      </c>
      <c r="AO348" s="160">
        <f>I348+U348-T348-X348</f>
        <v/>
      </c>
    </row>
    <row r="349" ht="28" customHeight="1">
      <c r="A349" s="4" t="inlineStr">
        <is>
          <t>Delayed receipts</t>
        </is>
      </c>
      <c r="B349" s="4" t="inlineStr">
        <is>
          <t>WITTA</t>
        </is>
      </c>
      <c r="C349" s="160" t="n">
        <v>20</v>
      </c>
      <c r="D349" s="160">
        <f>ROUNDUP(C349/12,0)</f>
        <v/>
      </c>
      <c r="E349" s="160">
        <f>IF(AND('Sites'!$E$6=1,C349&gt;='Sites'!$F$6,C349&lt;='Sites'!$G$6),1,0)</f>
        <v/>
      </c>
      <c r="F349" s="160">
        <f>E349*'Assumptions'!W67</f>
        <v/>
      </c>
      <c r="G349" s="160">
        <f>V348</f>
        <v/>
      </c>
      <c r="H349" s="160">
        <f>W348</f>
        <v/>
      </c>
      <c r="I349" s="160">
        <f>X348</f>
        <v/>
      </c>
      <c r="J349" s="160">
        <f>MAX(0,'Sites'!$J$6-SUM(N342:N348))</f>
        <v/>
      </c>
      <c r="K349" s="160">
        <f>IF('Sites'!$C$6="Own sheets",MIN(ROUNDDOWN(G349/'NM Play'!$B$11,0)+F349*'NM Play'!$B$10/'NM Play'!$B$43,ROUNDDOWN(H349/'NM Play'!$B$12,0)+F349*'NM Play'!$B$10/'NM Play'!$B$44,(F349*'NM Play'!$B$10+ROUNDDOWN(G349/'NM Play'!$B$11,0)*'NM Play'!$B$43+ROUNDDOWN(H349/'NM Play'!$B$12,0)*'NM Play'!$B$44)/('NM Play'!$B$43+'NM Play'!$B$44)),ROUNDDOWN(G349/'NM Play'!$B$11,0)+F349*'NM Play'!$B$10/'NM Play'!$B$43)</f>
        <v/>
      </c>
      <c r="L349" s="160">
        <f>MIN(ROUNDDOWN(G349/'NM Play'!$B$11,0)+F349/('NM Play'!$B$43/'NM Play'!$B$15),ROUNDDOWN(H349/'NM Play'!$B$12,0)+F349/('NM Play'!$B$44/'NM Play'!$B$16),(F349+ROUNDDOWN(G349/'NM Play'!$B$11,0)*'NM Play'!$B$43/'NM Play'!$B$15+ROUNDDOWN(H349/'NM Play'!$B$12,0)*'NM Play'!$B$44/'NM Play'!$B$16)/('NM Play'!$B$43/'NM Play'!$B$15+'NM Play'!$B$44/'NM Play'!$B$16))</f>
        <v/>
      </c>
      <c r="M349" s="160">
        <f>F349*'NM Play'!$B$36</f>
        <v/>
      </c>
      <c r="N349" s="160">
        <f>ROUNDDOWN(MAX(0,MIN(J349,K349:M349)),0)</f>
        <v/>
      </c>
      <c r="O349" s="160">
        <f>ROUNDUP(MAX(0,N349*'NM Play'!$B$11-G349)/'NM Play'!$B$13,0)</f>
        <v/>
      </c>
      <c r="P349" s="160">
        <f>ROUNDUP(MAX(0,N349*'NM Play'!$B$12-H349)/'NM Play'!$B$14,0)</f>
        <v/>
      </c>
      <c r="Q349" s="160">
        <f>(O349+IF('Sites'!$C$6="Own sheets",P349,0))/'NM Play'!$B$10</f>
        <v/>
      </c>
      <c r="R349" s="160">
        <f>O349/'NM Play'!$B$15+P349/'NM Play'!$B$16</f>
        <v/>
      </c>
      <c r="S349" s="160">
        <f>MAX(Q349,R349,N349/'NM Play'!$B$36)</f>
        <v/>
      </c>
      <c r="T349" s="160">
        <f>Q349*'NM Play'!$B$10*'NM Play'!$B$21*(1+'NM Play'!$B$35)</f>
        <v/>
      </c>
      <c r="U349" s="160">
        <f>MAX(0,T349-I349)</f>
        <v/>
      </c>
      <c r="V349" s="160">
        <f>G349+O349*'NM Play'!$B$13-N349*'NM Play'!$B$11</f>
        <v/>
      </c>
      <c r="W349" s="160">
        <f>H349+P349*'NM Play'!$B$14-N349*'NM Play'!$B$12</f>
        <v/>
      </c>
      <c r="X349" s="160">
        <f>I349+U349-T349</f>
        <v/>
      </c>
      <c r="Y349" s="160">
        <f>MIN(N349,MAX(0,ROUNDDOWN('Sites'!$M$6*'Cases'!$E$9,0)-SUM(Y342:Y348)))</f>
        <v/>
      </c>
      <c r="Z349" s="160">
        <f>N349-Y349</f>
        <v/>
      </c>
      <c r="AA349" s="160">
        <f>U349*'NM Play'!$B$22</f>
        <v/>
      </c>
      <c r="AB349" s="160">
        <f>N349*SUM('NM Play'!$B$29:$B$31)</f>
        <v/>
      </c>
      <c r="AC349" s="160">
        <f>IF('Sites'!$C$6="Defy legs",P349*'NM Play'!$B$14/'NM Play'!$B$12*'NM Play'!$B$28,0)</f>
        <v/>
      </c>
      <c r="AD349" s="160">
        <f>Q349*'NM Play'!$B$23</f>
        <v/>
      </c>
      <c r="AE349" s="160">
        <f>S349*SUM('NM Play'!$B$26,'NM Play'!$B$33:$B$34)</f>
        <v/>
      </c>
      <c r="AF349" s="160">
        <f>IF('Sites'!$D$6="NM crew",S349*SUM('NM Play'!$B$24:$B$25),0)</f>
        <v/>
      </c>
      <c r="AG349" s="160">
        <f>IF('Sites'!$D$6="NM crew",S349*'NM Play'!$B$27,0)</f>
        <v/>
      </c>
      <c r="AH349" s="160">
        <f>N349*'Sites'!$Z$6*'NM Play'!$B$32</f>
        <v/>
      </c>
      <c r="AI349" s="160">
        <f>SUM(Y349:Z349)*'Sites'!$R$6</f>
        <v/>
      </c>
      <c r="AJ349" s="160">
        <f>SUM(AA349:AH349)</f>
        <v/>
      </c>
      <c r="AK349" s="160">
        <f>AJ349+(T349-U349)*'NM Play'!$B$22+MIN(G349,N349*'NM Play'!$B$11)/'NM Play'!$B$13*'NM Play'!$B$21*'NM Play'!$B$22+MIN(H349,N349*'NM Play'!$B$12)/'NM Play'!$B$14*IF('Sites'!$C$6="Own sheets",'NM Play'!$B$21*'NM Play'!$B$22,'NM Play'!$B$28*'NM Play'!$B$14/'NM Play'!$B$12)</f>
        <v/>
      </c>
      <c r="AL349" s="160">
        <f>Y349*'Assumptions'!W66</f>
        <v/>
      </c>
      <c r="AM349" s="160">
        <f>IF('Sites'!$D$6="NM crew",S349*'NM Play'!$B$37*(1+IF(AND(ISNUMBER('NM Play'!$B$25),'NM Play'!$B$25&gt;0),1,0)),"")</f>
        <v/>
      </c>
      <c r="AN349" s="160">
        <f>IF(OR('Sites'!$E$6&lt;0,'Sites'!$E$6&gt;1,'Sites'!$F$6&lt;1,'Sites'!$G$6&lt;'Sites'!$F$6,F349&lt;0,MIN('Sites'!$I$6:'Sites'!$R$6)&lt;0,'Sites'!$L$6&gt;'Sites'!$I$6,'Sites'!$M$6&gt;'Sites'!$J$6,'Sites'!$N$6&gt;'Sites'!$K$6,'Sites'!$Z$6&lt;0,'Sites'!$Z$6&gt;1,MIN('Sites'!$AA$6:'Sites'!$AC$6)&lt;0,S349&gt;F349+0.001),1,0)</f>
        <v/>
      </c>
      <c r="AO349" s="160">
        <f>I349+U349-T349-X349</f>
        <v/>
      </c>
    </row>
    <row r="350" ht="28" customHeight="1">
      <c r="A350" s="4" t="inlineStr">
        <is>
          <t>Delayed receipts</t>
        </is>
      </c>
      <c r="B350" s="4" t="inlineStr">
        <is>
          <t>WITTA</t>
        </is>
      </c>
      <c r="C350" s="160" t="n">
        <v>21</v>
      </c>
      <c r="D350" s="160">
        <f>ROUNDUP(C350/12,0)</f>
        <v/>
      </c>
      <c r="E350" s="160">
        <f>IF(AND('Sites'!$E$6=1,C350&gt;='Sites'!$F$6,C350&lt;='Sites'!$G$6),1,0)</f>
        <v/>
      </c>
      <c r="F350" s="160">
        <f>E350*'Assumptions'!X67</f>
        <v/>
      </c>
      <c r="G350" s="160">
        <f>V349</f>
        <v/>
      </c>
      <c r="H350" s="160">
        <f>W349</f>
        <v/>
      </c>
      <c r="I350" s="160">
        <f>X349</f>
        <v/>
      </c>
      <c r="J350" s="160">
        <f>MAX(0,'Sites'!$J$6-SUM(N342:N349))</f>
        <v/>
      </c>
      <c r="K350" s="160">
        <f>IF('Sites'!$C$6="Own sheets",MIN(ROUNDDOWN(G350/'NM Play'!$B$11,0)+F350*'NM Play'!$B$10/'NM Play'!$B$43,ROUNDDOWN(H350/'NM Play'!$B$12,0)+F350*'NM Play'!$B$10/'NM Play'!$B$44,(F350*'NM Play'!$B$10+ROUNDDOWN(G350/'NM Play'!$B$11,0)*'NM Play'!$B$43+ROUNDDOWN(H350/'NM Play'!$B$12,0)*'NM Play'!$B$44)/('NM Play'!$B$43+'NM Play'!$B$44)),ROUNDDOWN(G350/'NM Play'!$B$11,0)+F350*'NM Play'!$B$10/'NM Play'!$B$43)</f>
        <v/>
      </c>
      <c r="L350" s="160">
        <f>MIN(ROUNDDOWN(G350/'NM Play'!$B$11,0)+F350/('NM Play'!$B$43/'NM Play'!$B$15),ROUNDDOWN(H350/'NM Play'!$B$12,0)+F350/('NM Play'!$B$44/'NM Play'!$B$16),(F350+ROUNDDOWN(G350/'NM Play'!$B$11,0)*'NM Play'!$B$43/'NM Play'!$B$15+ROUNDDOWN(H350/'NM Play'!$B$12,0)*'NM Play'!$B$44/'NM Play'!$B$16)/('NM Play'!$B$43/'NM Play'!$B$15+'NM Play'!$B$44/'NM Play'!$B$16))</f>
        <v/>
      </c>
      <c r="M350" s="160">
        <f>F350*'NM Play'!$B$36</f>
        <v/>
      </c>
      <c r="N350" s="160">
        <f>ROUNDDOWN(MAX(0,MIN(J350,K350:M350)),0)</f>
        <v/>
      </c>
      <c r="O350" s="160">
        <f>ROUNDUP(MAX(0,N350*'NM Play'!$B$11-G350)/'NM Play'!$B$13,0)</f>
        <v/>
      </c>
      <c r="P350" s="160">
        <f>ROUNDUP(MAX(0,N350*'NM Play'!$B$12-H350)/'NM Play'!$B$14,0)</f>
        <v/>
      </c>
      <c r="Q350" s="160">
        <f>(O350+IF('Sites'!$C$6="Own sheets",P350,0))/'NM Play'!$B$10</f>
        <v/>
      </c>
      <c r="R350" s="160">
        <f>O350/'NM Play'!$B$15+P350/'NM Play'!$B$16</f>
        <v/>
      </c>
      <c r="S350" s="160">
        <f>MAX(Q350,R350,N350/'NM Play'!$B$36)</f>
        <v/>
      </c>
      <c r="T350" s="160">
        <f>Q350*'NM Play'!$B$10*'NM Play'!$B$21*(1+'NM Play'!$B$35)</f>
        <v/>
      </c>
      <c r="U350" s="160">
        <f>MAX(0,T350-I350)</f>
        <v/>
      </c>
      <c r="V350" s="160">
        <f>G350+O350*'NM Play'!$B$13-N350*'NM Play'!$B$11</f>
        <v/>
      </c>
      <c r="W350" s="160">
        <f>H350+P350*'NM Play'!$B$14-N350*'NM Play'!$B$12</f>
        <v/>
      </c>
      <c r="X350" s="160">
        <f>I350+U350-T350</f>
        <v/>
      </c>
      <c r="Y350" s="160">
        <f>MIN(N350,MAX(0,ROUNDDOWN('Sites'!$M$6*'Cases'!$E$9,0)-SUM(Y342:Y349)))</f>
        <v/>
      </c>
      <c r="Z350" s="160">
        <f>N350-Y350</f>
        <v/>
      </c>
      <c r="AA350" s="160">
        <f>U350*'NM Play'!$B$22</f>
        <v/>
      </c>
      <c r="AB350" s="160">
        <f>N350*SUM('NM Play'!$B$29:$B$31)</f>
        <v/>
      </c>
      <c r="AC350" s="160">
        <f>IF('Sites'!$C$6="Defy legs",P350*'NM Play'!$B$14/'NM Play'!$B$12*'NM Play'!$B$28,0)</f>
        <v/>
      </c>
      <c r="AD350" s="160">
        <f>Q350*'NM Play'!$B$23</f>
        <v/>
      </c>
      <c r="AE350" s="160">
        <f>S350*SUM('NM Play'!$B$26,'NM Play'!$B$33:$B$34)</f>
        <v/>
      </c>
      <c r="AF350" s="160">
        <f>IF('Sites'!$D$6="NM crew",S350*SUM('NM Play'!$B$24:$B$25),0)</f>
        <v/>
      </c>
      <c r="AG350" s="160">
        <f>IF('Sites'!$D$6="NM crew",S350*'NM Play'!$B$27,0)</f>
        <v/>
      </c>
      <c r="AH350" s="160">
        <f>N350*'Sites'!$Z$6*'NM Play'!$B$32</f>
        <v/>
      </c>
      <c r="AI350" s="160">
        <f>SUM(Y350:Z350)*'Sites'!$R$6</f>
        <v/>
      </c>
      <c r="AJ350" s="160">
        <f>SUM(AA350:AH350)</f>
        <v/>
      </c>
      <c r="AK350" s="160">
        <f>AJ350+(T350-U350)*'NM Play'!$B$22+MIN(G350,N350*'NM Play'!$B$11)/'NM Play'!$B$13*'NM Play'!$B$21*'NM Play'!$B$22+MIN(H350,N350*'NM Play'!$B$12)/'NM Play'!$B$14*IF('Sites'!$C$6="Own sheets",'NM Play'!$B$21*'NM Play'!$B$22,'NM Play'!$B$28*'NM Play'!$B$14/'NM Play'!$B$12)</f>
        <v/>
      </c>
      <c r="AL350" s="160">
        <f>Y350*'Assumptions'!X66</f>
        <v/>
      </c>
      <c r="AM350" s="160">
        <f>IF('Sites'!$D$6="NM crew",S350*'NM Play'!$B$37*(1+IF(AND(ISNUMBER('NM Play'!$B$25),'NM Play'!$B$25&gt;0),1,0)),"")</f>
        <v/>
      </c>
      <c r="AN350" s="160">
        <f>IF(OR('Sites'!$E$6&lt;0,'Sites'!$E$6&gt;1,'Sites'!$F$6&lt;1,'Sites'!$G$6&lt;'Sites'!$F$6,F350&lt;0,MIN('Sites'!$I$6:'Sites'!$R$6)&lt;0,'Sites'!$L$6&gt;'Sites'!$I$6,'Sites'!$M$6&gt;'Sites'!$J$6,'Sites'!$N$6&gt;'Sites'!$K$6,'Sites'!$Z$6&lt;0,'Sites'!$Z$6&gt;1,MIN('Sites'!$AA$6:'Sites'!$AC$6)&lt;0,S350&gt;F350+0.001),1,0)</f>
        <v/>
      </c>
      <c r="AO350" s="160">
        <f>I350+U350-T350-X350</f>
        <v/>
      </c>
    </row>
    <row r="351" ht="28" customHeight="1">
      <c r="A351" s="4" t="inlineStr">
        <is>
          <t>Delayed receipts</t>
        </is>
      </c>
      <c r="B351" s="4" t="inlineStr">
        <is>
          <t>WITTA</t>
        </is>
      </c>
      <c r="C351" s="160" t="n">
        <v>22</v>
      </c>
      <c r="D351" s="160">
        <f>ROUNDUP(C351/12,0)</f>
        <v/>
      </c>
      <c r="E351" s="160">
        <f>IF(AND('Sites'!$E$6=1,C351&gt;='Sites'!$F$6,C351&lt;='Sites'!$G$6),1,0)</f>
        <v/>
      </c>
      <c r="F351" s="160">
        <f>E351*'Assumptions'!Y67</f>
        <v/>
      </c>
      <c r="G351" s="160">
        <f>V350</f>
        <v/>
      </c>
      <c r="H351" s="160">
        <f>W350</f>
        <v/>
      </c>
      <c r="I351" s="160">
        <f>X350</f>
        <v/>
      </c>
      <c r="J351" s="160">
        <f>MAX(0,'Sites'!$J$6-SUM(N342:N350))</f>
        <v/>
      </c>
      <c r="K351" s="160">
        <f>IF('Sites'!$C$6="Own sheets",MIN(ROUNDDOWN(G351/'NM Play'!$B$11,0)+F351*'NM Play'!$B$10/'NM Play'!$B$43,ROUNDDOWN(H351/'NM Play'!$B$12,0)+F351*'NM Play'!$B$10/'NM Play'!$B$44,(F351*'NM Play'!$B$10+ROUNDDOWN(G351/'NM Play'!$B$11,0)*'NM Play'!$B$43+ROUNDDOWN(H351/'NM Play'!$B$12,0)*'NM Play'!$B$44)/('NM Play'!$B$43+'NM Play'!$B$44)),ROUNDDOWN(G351/'NM Play'!$B$11,0)+F351*'NM Play'!$B$10/'NM Play'!$B$43)</f>
        <v/>
      </c>
      <c r="L351" s="160">
        <f>MIN(ROUNDDOWN(G351/'NM Play'!$B$11,0)+F351/('NM Play'!$B$43/'NM Play'!$B$15),ROUNDDOWN(H351/'NM Play'!$B$12,0)+F351/('NM Play'!$B$44/'NM Play'!$B$16),(F351+ROUNDDOWN(G351/'NM Play'!$B$11,0)*'NM Play'!$B$43/'NM Play'!$B$15+ROUNDDOWN(H351/'NM Play'!$B$12,0)*'NM Play'!$B$44/'NM Play'!$B$16)/('NM Play'!$B$43/'NM Play'!$B$15+'NM Play'!$B$44/'NM Play'!$B$16))</f>
        <v/>
      </c>
      <c r="M351" s="160">
        <f>F351*'NM Play'!$B$36</f>
        <v/>
      </c>
      <c r="N351" s="160">
        <f>ROUNDDOWN(MAX(0,MIN(J351,K351:M351)),0)</f>
        <v/>
      </c>
      <c r="O351" s="160">
        <f>ROUNDUP(MAX(0,N351*'NM Play'!$B$11-G351)/'NM Play'!$B$13,0)</f>
        <v/>
      </c>
      <c r="P351" s="160">
        <f>ROUNDUP(MAX(0,N351*'NM Play'!$B$12-H351)/'NM Play'!$B$14,0)</f>
        <v/>
      </c>
      <c r="Q351" s="160">
        <f>(O351+IF('Sites'!$C$6="Own sheets",P351,0))/'NM Play'!$B$10</f>
        <v/>
      </c>
      <c r="R351" s="160">
        <f>O351/'NM Play'!$B$15+P351/'NM Play'!$B$16</f>
        <v/>
      </c>
      <c r="S351" s="160">
        <f>MAX(Q351,R351,N351/'NM Play'!$B$36)</f>
        <v/>
      </c>
      <c r="T351" s="160">
        <f>Q351*'NM Play'!$B$10*'NM Play'!$B$21*(1+'NM Play'!$B$35)</f>
        <v/>
      </c>
      <c r="U351" s="160">
        <f>MAX(0,T351-I351)</f>
        <v/>
      </c>
      <c r="V351" s="160">
        <f>G351+O351*'NM Play'!$B$13-N351*'NM Play'!$B$11</f>
        <v/>
      </c>
      <c r="W351" s="160">
        <f>H351+P351*'NM Play'!$B$14-N351*'NM Play'!$B$12</f>
        <v/>
      </c>
      <c r="X351" s="160">
        <f>I351+U351-T351</f>
        <v/>
      </c>
      <c r="Y351" s="160">
        <f>MIN(N351,MAX(0,ROUNDDOWN('Sites'!$M$6*'Cases'!$E$9,0)-SUM(Y342:Y350)))</f>
        <v/>
      </c>
      <c r="Z351" s="160">
        <f>N351-Y351</f>
        <v/>
      </c>
      <c r="AA351" s="160">
        <f>U351*'NM Play'!$B$22</f>
        <v/>
      </c>
      <c r="AB351" s="160">
        <f>N351*SUM('NM Play'!$B$29:$B$31)</f>
        <v/>
      </c>
      <c r="AC351" s="160">
        <f>IF('Sites'!$C$6="Defy legs",P351*'NM Play'!$B$14/'NM Play'!$B$12*'NM Play'!$B$28,0)</f>
        <v/>
      </c>
      <c r="AD351" s="160">
        <f>Q351*'NM Play'!$B$23</f>
        <v/>
      </c>
      <c r="AE351" s="160">
        <f>S351*SUM('NM Play'!$B$26,'NM Play'!$B$33:$B$34)</f>
        <v/>
      </c>
      <c r="AF351" s="160">
        <f>IF('Sites'!$D$6="NM crew",S351*SUM('NM Play'!$B$24:$B$25),0)</f>
        <v/>
      </c>
      <c r="AG351" s="160">
        <f>IF('Sites'!$D$6="NM crew",S351*'NM Play'!$B$27,0)</f>
        <v/>
      </c>
      <c r="AH351" s="160">
        <f>N351*'Sites'!$Z$6*'NM Play'!$B$32</f>
        <v/>
      </c>
      <c r="AI351" s="160">
        <f>SUM(Y351:Z351)*'Sites'!$R$6</f>
        <v/>
      </c>
      <c r="AJ351" s="160">
        <f>SUM(AA351:AH351)</f>
        <v/>
      </c>
      <c r="AK351" s="160">
        <f>AJ351+(T351-U351)*'NM Play'!$B$22+MIN(G351,N351*'NM Play'!$B$11)/'NM Play'!$B$13*'NM Play'!$B$21*'NM Play'!$B$22+MIN(H351,N351*'NM Play'!$B$12)/'NM Play'!$B$14*IF('Sites'!$C$6="Own sheets",'NM Play'!$B$21*'NM Play'!$B$22,'NM Play'!$B$28*'NM Play'!$B$14/'NM Play'!$B$12)</f>
        <v/>
      </c>
      <c r="AL351" s="160">
        <f>Y351*'Assumptions'!Y66</f>
        <v/>
      </c>
      <c r="AM351" s="160">
        <f>IF('Sites'!$D$6="NM crew",S351*'NM Play'!$B$37*(1+IF(AND(ISNUMBER('NM Play'!$B$25),'NM Play'!$B$25&gt;0),1,0)),"")</f>
        <v/>
      </c>
      <c r="AN351" s="160">
        <f>IF(OR('Sites'!$E$6&lt;0,'Sites'!$E$6&gt;1,'Sites'!$F$6&lt;1,'Sites'!$G$6&lt;'Sites'!$F$6,F351&lt;0,MIN('Sites'!$I$6:'Sites'!$R$6)&lt;0,'Sites'!$L$6&gt;'Sites'!$I$6,'Sites'!$M$6&gt;'Sites'!$J$6,'Sites'!$N$6&gt;'Sites'!$K$6,'Sites'!$Z$6&lt;0,'Sites'!$Z$6&gt;1,MIN('Sites'!$AA$6:'Sites'!$AC$6)&lt;0,S351&gt;F351+0.001),1,0)</f>
        <v/>
      </c>
      <c r="AO351" s="160">
        <f>I351+U351-T351-X351</f>
        <v/>
      </c>
    </row>
    <row r="352" ht="28" customHeight="1">
      <c r="A352" s="4" t="inlineStr">
        <is>
          <t>Delayed receipts</t>
        </is>
      </c>
      <c r="B352" s="4" t="inlineStr">
        <is>
          <t>WITTA</t>
        </is>
      </c>
      <c r="C352" s="160" t="n">
        <v>23</v>
      </c>
      <c r="D352" s="160">
        <f>ROUNDUP(C352/12,0)</f>
        <v/>
      </c>
      <c r="E352" s="160">
        <f>IF(AND('Sites'!$E$6=1,C352&gt;='Sites'!$F$6,C352&lt;='Sites'!$G$6),1,0)</f>
        <v/>
      </c>
      <c r="F352" s="160">
        <f>E352*'Assumptions'!Z67</f>
        <v/>
      </c>
      <c r="G352" s="160">
        <f>V351</f>
        <v/>
      </c>
      <c r="H352" s="160">
        <f>W351</f>
        <v/>
      </c>
      <c r="I352" s="160">
        <f>X351</f>
        <v/>
      </c>
      <c r="J352" s="160">
        <f>MAX(0,'Sites'!$J$6-SUM(N342:N351))</f>
        <v/>
      </c>
      <c r="K352" s="160">
        <f>IF('Sites'!$C$6="Own sheets",MIN(ROUNDDOWN(G352/'NM Play'!$B$11,0)+F352*'NM Play'!$B$10/'NM Play'!$B$43,ROUNDDOWN(H352/'NM Play'!$B$12,0)+F352*'NM Play'!$B$10/'NM Play'!$B$44,(F352*'NM Play'!$B$10+ROUNDDOWN(G352/'NM Play'!$B$11,0)*'NM Play'!$B$43+ROUNDDOWN(H352/'NM Play'!$B$12,0)*'NM Play'!$B$44)/('NM Play'!$B$43+'NM Play'!$B$44)),ROUNDDOWN(G352/'NM Play'!$B$11,0)+F352*'NM Play'!$B$10/'NM Play'!$B$43)</f>
        <v/>
      </c>
      <c r="L352" s="160">
        <f>MIN(ROUNDDOWN(G352/'NM Play'!$B$11,0)+F352/('NM Play'!$B$43/'NM Play'!$B$15),ROUNDDOWN(H352/'NM Play'!$B$12,0)+F352/('NM Play'!$B$44/'NM Play'!$B$16),(F352+ROUNDDOWN(G352/'NM Play'!$B$11,0)*'NM Play'!$B$43/'NM Play'!$B$15+ROUNDDOWN(H352/'NM Play'!$B$12,0)*'NM Play'!$B$44/'NM Play'!$B$16)/('NM Play'!$B$43/'NM Play'!$B$15+'NM Play'!$B$44/'NM Play'!$B$16))</f>
        <v/>
      </c>
      <c r="M352" s="160">
        <f>F352*'NM Play'!$B$36</f>
        <v/>
      </c>
      <c r="N352" s="160">
        <f>ROUNDDOWN(MAX(0,MIN(J352,K352:M352)),0)</f>
        <v/>
      </c>
      <c r="O352" s="160">
        <f>ROUNDUP(MAX(0,N352*'NM Play'!$B$11-G352)/'NM Play'!$B$13,0)</f>
        <v/>
      </c>
      <c r="P352" s="160">
        <f>ROUNDUP(MAX(0,N352*'NM Play'!$B$12-H352)/'NM Play'!$B$14,0)</f>
        <v/>
      </c>
      <c r="Q352" s="160">
        <f>(O352+IF('Sites'!$C$6="Own sheets",P352,0))/'NM Play'!$B$10</f>
        <v/>
      </c>
      <c r="R352" s="160">
        <f>O352/'NM Play'!$B$15+P352/'NM Play'!$B$16</f>
        <v/>
      </c>
      <c r="S352" s="160">
        <f>MAX(Q352,R352,N352/'NM Play'!$B$36)</f>
        <v/>
      </c>
      <c r="T352" s="160">
        <f>Q352*'NM Play'!$B$10*'NM Play'!$B$21*(1+'NM Play'!$B$35)</f>
        <v/>
      </c>
      <c r="U352" s="160">
        <f>MAX(0,T352-I352)</f>
        <v/>
      </c>
      <c r="V352" s="160">
        <f>G352+O352*'NM Play'!$B$13-N352*'NM Play'!$B$11</f>
        <v/>
      </c>
      <c r="W352" s="160">
        <f>H352+P352*'NM Play'!$B$14-N352*'NM Play'!$B$12</f>
        <v/>
      </c>
      <c r="X352" s="160">
        <f>I352+U352-T352</f>
        <v/>
      </c>
      <c r="Y352" s="160">
        <f>MIN(N352,MAX(0,ROUNDDOWN('Sites'!$M$6*'Cases'!$E$9,0)-SUM(Y342:Y351)))</f>
        <v/>
      </c>
      <c r="Z352" s="160">
        <f>N352-Y352</f>
        <v/>
      </c>
      <c r="AA352" s="160">
        <f>U352*'NM Play'!$B$22</f>
        <v/>
      </c>
      <c r="AB352" s="160">
        <f>N352*SUM('NM Play'!$B$29:$B$31)</f>
        <v/>
      </c>
      <c r="AC352" s="160">
        <f>IF('Sites'!$C$6="Defy legs",P352*'NM Play'!$B$14/'NM Play'!$B$12*'NM Play'!$B$28,0)</f>
        <v/>
      </c>
      <c r="AD352" s="160">
        <f>Q352*'NM Play'!$B$23</f>
        <v/>
      </c>
      <c r="AE352" s="160">
        <f>S352*SUM('NM Play'!$B$26,'NM Play'!$B$33:$B$34)</f>
        <v/>
      </c>
      <c r="AF352" s="160">
        <f>IF('Sites'!$D$6="NM crew",S352*SUM('NM Play'!$B$24:$B$25),0)</f>
        <v/>
      </c>
      <c r="AG352" s="160">
        <f>IF('Sites'!$D$6="NM crew",S352*'NM Play'!$B$27,0)</f>
        <v/>
      </c>
      <c r="AH352" s="160">
        <f>N352*'Sites'!$Z$6*'NM Play'!$B$32</f>
        <v/>
      </c>
      <c r="AI352" s="160">
        <f>SUM(Y352:Z352)*'Sites'!$R$6</f>
        <v/>
      </c>
      <c r="AJ352" s="160">
        <f>SUM(AA352:AH352)</f>
        <v/>
      </c>
      <c r="AK352" s="160">
        <f>AJ352+(T352-U352)*'NM Play'!$B$22+MIN(G352,N352*'NM Play'!$B$11)/'NM Play'!$B$13*'NM Play'!$B$21*'NM Play'!$B$22+MIN(H352,N352*'NM Play'!$B$12)/'NM Play'!$B$14*IF('Sites'!$C$6="Own sheets",'NM Play'!$B$21*'NM Play'!$B$22,'NM Play'!$B$28*'NM Play'!$B$14/'NM Play'!$B$12)</f>
        <v/>
      </c>
      <c r="AL352" s="160">
        <f>Y352*'Assumptions'!Z66</f>
        <v/>
      </c>
      <c r="AM352" s="160">
        <f>IF('Sites'!$D$6="NM crew",S352*'NM Play'!$B$37*(1+IF(AND(ISNUMBER('NM Play'!$B$25),'NM Play'!$B$25&gt;0),1,0)),"")</f>
        <v/>
      </c>
      <c r="AN352" s="160">
        <f>IF(OR('Sites'!$E$6&lt;0,'Sites'!$E$6&gt;1,'Sites'!$F$6&lt;1,'Sites'!$G$6&lt;'Sites'!$F$6,F352&lt;0,MIN('Sites'!$I$6:'Sites'!$R$6)&lt;0,'Sites'!$L$6&gt;'Sites'!$I$6,'Sites'!$M$6&gt;'Sites'!$J$6,'Sites'!$N$6&gt;'Sites'!$K$6,'Sites'!$Z$6&lt;0,'Sites'!$Z$6&gt;1,MIN('Sites'!$AA$6:'Sites'!$AC$6)&lt;0,S352&gt;F352+0.001),1,0)</f>
        <v/>
      </c>
      <c r="AO352" s="160">
        <f>I352+U352-T352-X352</f>
        <v/>
      </c>
    </row>
    <row r="353" ht="28" customHeight="1">
      <c r="A353" s="4" t="inlineStr">
        <is>
          <t>Delayed receipts</t>
        </is>
      </c>
      <c r="B353" s="4" t="inlineStr">
        <is>
          <t>WITTA</t>
        </is>
      </c>
      <c r="C353" s="160" t="n">
        <v>24</v>
      </c>
      <c r="D353" s="160">
        <f>ROUNDUP(C353/12,0)</f>
        <v/>
      </c>
      <c r="E353" s="160">
        <f>IF(AND('Sites'!$E$6=1,C353&gt;='Sites'!$F$6,C353&lt;='Sites'!$G$6),1,0)</f>
        <v/>
      </c>
      <c r="F353" s="160">
        <f>E353*'Assumptions'!AA67</f>
        <v/>
      </c>
      <c r="G353" s="160">
        <f>V352</f>
        <v/>
      </c>
      <c r="H353" s="160">
        <f>W352</f>
        <v/>
      </c>
      <c r="I353" s="160">
        <f>X352</f>
        <v/>
      </c>
      <c r="J353" s="160">
        <f>MAX(0,'Sites'!$J$6-SUM(N342:N352))</f>
        <v/>
      </c>
      <c r="K353" s="160">
        <f>IF('Sites'!$C$6="Own sheets",MIN(ROUNDDOWN(G353/'NM Play'!$B$11,0)+F353*'NM Play'!$B$10/'NM Play'!$B$43,ROUNDDOWN(H353/'NM Play'!$B$12,0)+F353*'NM Play'!$B$10/'NM Play'!$B$44,(F353*'NM Play'!$B$10+ROUNDDOWN(G353/'NM Play'!$B$11,0)*'NM Play'!$B$43+ROUNDDOWN(H353/'NM Play'!$B$12,0)*'NM Play'!$B$44)/('NM Play'!$B$43+'NM Play'!$B$44)),ROUNDDOWN(G353/'NM Play'!$B$11,0)+F353*'NM Play'!$B$10/'NM Play'!$B$43)</f>
        <v/>
      </c>
      <c r="L353" s="160">
        <f>MIN(ROUNDDOWN(G353/'NM Play'!$B$11,0)+F353/('NM Play'!$B$43/'NM Play'!$B$15),ROUNDDOWN(H353/'NM Play'!$B$12,0)+F353/('NM Play'!$B$44/'NM Play'!$B$16),(F353+ROUNDDOWN(G353/'NM Play'!$B$11,0)*'NM Play'!$B$43/'NM Play'!$B$15+ROUNDDOWN(H353/'NM Play'!$B$12,0)*'NM Play'!$B$44/'NM Play'!$B$16)/('NM Play'!$B$43/'NM Play'!$B$15+'NM Play'!$B$44/'NM Play'!$B$16))</f>
        <v/>
      </c>
      <c r="M353" s="160">
        <f>F353*'NM Play'!$B$36</f>
        <v/>
      </c>
      <c r="N353" s="160">
        <f>ROUNDDOWN(MAX(0,MIN(J353,K353:M353)),0)</f>
        <v/>
      </c>
      <c r="O353" s="160">
        <f>ROUNDUP(MAX(0,N353*'NM Play'!$B$11-G353)/'NM Play'!$B$13,0)</f>
        <v/>
      </c>
      <c r="P353" s="160">
        <f>ROUNDUP(MAX(0,N353*'NM Play'!$B$12-H353)/'NM Play'!$B$14,0)</f>
        <v/>
      </c>
      <c r="Q353" s="160">
        <f>(O353+IF('Sites'!$C$6="Own sheets",P353,0))/'NM Play'!$B$10</f>
        <v/>
      </c>
      <c r="R353" s="160">
        <f>O353/'NM Play'!$B$15+P353/'NM Play'!$B$16</f>
        <v/>
      </c>
      <c r="S353" s="160">
        <f>MAX(Q353,R353,N353/'NM Play'!$B$36)</f>
        <v/>
      </c>
      <c r="T353" s="160">
        <f>Q353*'NM Play'!$B$10*'NM Play'!$B$21*(1+'NM Play'!$B$35)</f>
        <v/>
      </c>
      <c r="U353" s="160">
        <f>MAX(0,T353-I353)</f>
        <v/>
      </c>
      <c r="V353" s="160">
        <f>G353+O353*'NM Play'!$B$13-N353*'NM Play'!$B$11</f>
        <v/>
      </c>
      <c r="W353" s="160">
        <f>H353+P353*'NM Play'!$B$14-N353*'NM Play'!$B$12</f>
        <v/>
      </c>
      <c r="X353" s="160">
        <f>I353+U353-T353</f>
        <v/>
      </c>
      <c r="Y353" s="160">
        <f>MIN(N353,MAX(0,ROUNDDOWN('Sites'!$M$6*'Cases'!$E$9,0)-SUM(Y342:Y352)))</f>
        <v/>
      </c>
      <c r="Z353" s="160">
        <f>N353-Y353</f>
        <v/>
      </c>
      <c r="AA353" s="160">
        <f>U353*'NM Play'!$B$22</f>
        <v/>
      </c>
      <c r="AB353" s="160">
        <f>N353*SUM('NM Play'!$B$29:$B$31)</f>
        <v/>
      </c>
      <c r="AC353" s="160">
        <f>IF('Sites'!$C$6="Defy legs",P353*'NM Play'!$B$14/'NM Play'!$B$12*'NM Play'!$B$28,0)</f>
        <v/>
      </c>
      <c r="AD353" s="160">
        <f>Q353*'NM Play'!$B$23</f>
        <v/>
      </c>
      <c r="AE353" s="160">
        <f>S353*SUM('NM Play'!$B$26,'NM Play'!$B$33:$B$34)</f>
        <v/>
      </c>
      <c r="AF353" s="160">
        <f>IF('Sites'!$D$6="NM crew",S353*SUM('NM Play'!$B$24:$B$25),0)</f>
        <v/>
      </c>
      <c r="AG353" s="160">
        <f>IF('Sites'!$D$6="NM crew",S353*'NM Play'!$B$27,0)</f>
        <v/>
      </c>
      <c r="AH353" s="160">
        <f>N353*'Sites'!$Z$6*'NM Play'!$B$32</f>
        <v/>
      </c>
      <c r="AI353" s="160">
        <f>SUM(Y353:Z353)*'Sites'!$R$6</f>
        <v/>
      </c>
      <c r="AJ353" s="160">
        <f>SUM(AA353:AH353)</f>
        <v/>
      </c>
      <c r="AK353" s="160">
        <f>AJ353+(T353-U353)*'NM Play'!$B$22+MIN(G353,N353*'NM Play'!$B$11)/'NM Play'!$B$13*'NM Play'!$B$21*'NM Play'!$B$22+MIN(H353,N353*'NM Play'!$B$12)/'NM Play'!$B$14*IF('Sites'!$C$6="Own sheets",'NM Play'!$B$21*'NM Play'!$B$22,'NM Play'!$B$28*'NM Play'!$B$14/'NM Play'!$B$12)</f>
        <v/>
      </c>
      <c r="AL353" s="160">
        <f>Y353*'Assumptions'!AA66</f>
        <v/>
      </c>
      <c r="AM353" s="160">
        <f>IF('Sites'!$D$6="NM crew",S353*'NM Play'!$B$37*(1+IF(AND(ISNUMBER('NM Play'!$B$25),'NM Play'!$B$25&gt;0),1,0)),"")</f>
        <v/>
      </c>
      <c r="AN353" s="160">
        <f>IF(OR('Sites'!$E$6&lt;0,'Sites'!$E$6&gt;1,'Sites'!$F$6&lt;1,'Sites'!$G$6&lt;'Sites'!$F$6,F353&lt;0,MIN('Sites'!$I$6:'Sites'!$R$6)&lt;0,'Sites'!$L$6&gt;'Sites'!$I$6,'Sites'!$M$6&gt;'Sites'!$J$6,'Sites'!$N$6&gt;'Sites'!$K$6,'Sites'!$Z$6&lt;0,'Sites'!$Z$6&gt;1,MIN('Sites'!$AA$6:'Sites'!$AC$6)&lt;0,S353&gt;F353+0.001),1,0)</f>
        <v/>
      </c>
      <c r="AO353" s="160">
        <f>I353+U353-T353-X353</f>
        <v/>
      </c>
    </row>
    <row r="354" ht="28" customHeight="1">
      <c r="A354" s="4" t="inlineStr">
        <is>
          <t>Delayed receipts</t>
        </is>
      </c>
      <c r="B354" s="4" t="inlineStr">
        <is>
          <t>WITTA</t>
        </is>
      </c>
      <c r="C354" s="160" t="n">
        <v>25</v>
      </c>
      <c r="D354" s="160">
        <f>ROUNDUP(C354/12,0)</f>
        <v/>
      </c>
      <c r="E354" s="160">
        <f>IF(AND('Sites'!$E$6=1,C354&gt;='Sites'!$F$6,C354&lt;='Sites'!$G$6),1,0)</f>
        <v/>
      </c>
      <c r="F354" s="160">
        <f>E354*'Assumptions'!AB67</f>
        <v/>
      </c>
      <c r="G354" s="160">
        <f>V353</f>
        <v/>
      </c>
      <c r="H354" s="160">
        <f>W353</f>
        <v/>
      </c>
      <c r="I354" s="160">
        <f>X353</f>
        <v/>
      </c>
      <c r="J354" s="160">
        <f>MAX(0,'Sites'!$K$6-0)</f>
        <v/>
      </c>
      <c r="K354" s="160">
        <f>IF('Sites'!$C$6="Own sheets",MIN(ROUNDDOWN(G354/'NM Play'!$B$11,0)+F354*'NM Play'!$B$10/'NM Play'!$B$43,ROUNDDOWN(H354/'NM Play'!$B$12,0)+F354*'NM Play'!$B$10/'NM Play'!$B$44,(F354*'NM Play'!$B$10+ROUNDDOWN(G354/'NM Play'!$B$11,0)*'NM Play'!$B$43+ROUNDDOWN(H354/'NM Play'!$B$12,0)*'NM Play'!$B$44)/('NM Play'!$B$43+'NM Play'!$B$44)),ROUNDDOWN(G354/'NM Play'!$B$11,0)+F354*'NM Play'!$B$10/'NM Play'!$B$43)</f>
        <v/>
      </c>
      <c r="L354" s="160">
        <f>MIN(ROUNDDOWN(G354/'NM Play'!$B$11,0)+F354/('NM Play'!$B$43/'NM Play'!$B$15),ROUNDDOWN(H354/'NM Play'!$B$12,0)+F354/('NM Play'!$B$44/'NM Play'!$B$16),(F354+ROUNDDOWN(G354/'NM Play'!$B$11,0)*'NM Play'!$B$43/'NM Play'!$B$15+ROUNDDOWN(H354/'NM Play'!$B$12,0)*'NM Play'!$B$44/'NM Play'!$B$16)/('NM Play'!$B$43/'NM Play'!$B$15+'NM Play'!$B$44/'NM Play'!$B$16))</f>
        <v/>
      </c>
      <c r="M354" s="160">
        <f>F354*'NM Play'!$B$36</f>
        <v/>
      </c>
      <c r="N354" s="160">
        <f>ROUNDDOWN(MAX(0,MIN(J354,K354:M354)),0)</f>
        <v/>
      </c>
      <c r="O354" s="160">
        <f>ROUNDUP(MAX(0,N354*'NM Play'!$B$11-G354)/'NM Play'!$B$13,0)</f>
        <v/>
      </c>
      <c r="P354" s="160">
        <f>ROUNDUP(MAX(0,N354*'NM Play'!$B$12-H354)/'NM Play'!$B$14,0)</f>
        <v/>
      </c>
      <c r="Q354" s="160">
        <f>(O354+IF('Sites'!$C$6="Own sheets",P354,0))/'NM Play'!$B$10</f>
        <v/>
      </c>
      <c r="R354" s="160">
        <f>O354/'NM Play'!$B$15+P354/'NM Play'!$B$16</f>
        <v/>
      </c>
      <c r="S354" s="160">
        <f>MAX(Q354,R354,N354/'NM Play'!$B$36)</f>
        <v/>
      </c>
      <c r="T354" s="160">
        <f>Q354*'NM Play'!$B$10*'NM Play'!$B$21*(1+'NM Play'!$B$35)</f>
        <v/>
      </c>
      <c r="U354" s="160">
        <f>MAX(0,T354-I354)</f>
        <v/>
      </c>
      <c r="V354" s="160">
        <f>G354+O354*'NM Play'!$B$13-N354*'NM Play'!$B$11</f>
        <v/>
      </c>
      <c r="W354" s="160">
        <f>H354+P354*'NM Play'!$B$14-N354*'NM Play'!$B$12</f>
        <v/>
      </c>
      <c r="X354" s="160">
        <f>I354+U354-T354</f>
        <v/>
      </c>
      <c r="Y354" s="160">
        <f>MIN(N354,MAX(0,ROUNDDOWN('Sites'!$N$6*'Cases'!$E$9,0)-0))</f>
        <v/>
      </c>
      <c r="Z354" s="160">
        <f>N354-Y354</f>
        <v/>
      </c>
      <c r="AA354" s="160">
        <f>U354*'NM Play'!$B$22</f>
        <v/>
      </c>
      <c r="AB354" s="160">
        <f>N354*SUM('NM Play'!$B$29:$B$31)</f>
        <v/>
      </c>
      <c r="AC354" s="160">
        <f>IF('Sites'!$C$6="Defy legs",P354*'NM Play'!$B$14/'NM Play'!$B$12*'NM Play'!$B$28,0)</f>
        <v/>
      </c>
      <c r="AD354" s="160">
        <f>Q354*'NM Play'!$B$23</f>
        <v/>
      </c>
      <c r="AE354" s="160">
        <f>S354*SUM('NM Play'!$B$26,'NM Play'!$B$33:$B$34)</f>
        <v/>
      </c>
      <c r="AF354" s="160">
        <f>IF('Sites'!$D$6="NM crew",S354*SUM('NM Play'!$B$24:$B$25),0)</f>
        <v/>
      </c>
      <c r="AG354" s="160">
        <f>IF('Sites'!$D$6="NM crew",S354*'NM Play'!$B$27,0)</f>
        <v/>
      </c>
      <c r="AH354" s="160">
        <f>N354*'Sites'!$Z$6*'NM Play'!$B$32</f>
        <v/>
      </c>
      <c r="AI354" s="160">
        <f>SUM(Y354:Z354)*'Sites'!$R$6</f>
        <v/>
      </c>
      <c r="AJ354" s="160">
        <f>SUM(AA354:AH354)</f>
        <v/>
      </c>
      <c r="AK354" s="160">
        <f>AJ354+(T354-U354)*'NM Play'!$B$22+MIN(G354,N354*'NM Play'!$B$11)/'NM Play'!$B$13*'NM Play'!$B$21*'NM Play'!$B$22+MIN(H354,N354*'NM Play'!$B$12)/'NM Play'!$B$14*IF('Sites'!$C$6="Own sheets",'NM Play'!$B$21*'NM Play'!$B$22,'NM Play'!$B$28*'NM Play'!$B$14/'NM Play'!$B$12)</f>
        <v/>
      </c>
      <c r="AL354" s="160">
        <f>Y354*'Assumptions'!AB66</f>
        <v/>
      </c>
      <c r="AM354" s="160">
        <f>IF('Sites'!$D$6="NM crew",S354*'NM Play'!$B$37*(1+IF(AND(ISNUMBER('NM Play'!$B$25),'NM Play'!$B$25&gt;0),1,0)),"")</f>
        <v/>
      </c>
      <c r="AN354" s="160">
        <f>IF(OR('Sites'!$E$6&lt;0,'Sites'!$E$6&gt;1,'Sites'!$F$6&lt;1,'Sites'!$G$6&lt;'Sites'!$F$6,F354&lt;0,MIN('Sites'!$I$6:'Sites'!$R$6)&lt;0,'Sites'!$L$6&gt;'Sites'!$I$6,'Sites'!$M$6&gt;'Sites'!$J$6,'Sites'!$N$6&gt;'Sites'!$K$6,'Sites'!$Z$6&lt;0,'Sites'!$Z$6&gt;1,MIN('Sites'!$AA$6:'Sites'!$AC$6)&lt;0,S354&gt;F354+0.001),1,0)</f>
        <v/>
      </c>
      <c r="AO354" s="160">
        <f>I354+U354-T354-X354</f>
        <v/>
      </c>
    </row>
    <row r="355" ht="28" customHeight="1">
      <c r="A355" s="4" t="inlineStr">
        <is>
          <t>Delayed receipts</t>
        </is>
      </c>
      <c r="B355" s="4" t="inlineStr">
        <is>
          <t>WITTA</t>
        </is>
      </c>
      <c r="C355" s="160" t="n">
        <v>26</v>
      </c>
      <c r="D355" s="160">
        <f>ROUNDUP(C355/12,0)</f>
        <v/>
      </c>
      <c r="E355" s="160">
        <f>IF(AND('Sites'!$E$6=1,C355&gt;='Sites'!$F$6,C355&lt;='Sites'!$G$6),1,0)</f>
        <v/>
      </c>
      <c r="F355" s="160">
        <f>E355*'Assumptions'!AC67</f>
        <v/>
      </c>
      <c r="G355" s="160">
        <f>V354</f>
        <v/>
      </c>
      <c r="H355" s="160">
        <f>W354</f>
        <v/>
      </c>
      <c r="I355" s="160">
        <f>X354</f>
        <v/>
      </c>
      <c r="J355" s="160">
        <f>MAX(0,'Sites'!$K$6-SUM(N354:N354))</f>
        <v/>
      </c>
      <c r="K355" s="160">
        <f>IF('Sites'!$C$6="Own sheets",MIN(ROUNDDOWN(G355/'NM Play'!$B$11,0)+F355*'NM Play'!$B$10/'NM Play'!$B$43,ROUNDDOWN(H355/'NM Play'!$B$12,0)+F355*'NM Play'!$B$10/'NM Play'!$B$44,(F355*'NM Play'!$B$10+ROUNDDOWN(G355/'NM Play'!$B$11,0)*'NM Play'!$B$43+ROUNDDOWN(H355/'NM Play'!$B$12,0)*'NM Play'!$B$44)/('NM Play'!$B$43+'NM Play'!$B$44)),ROUNDDOWN(G355/'NM Play'!$B$11,0)+F355*'NM Play'!$B$10/'NM Play'!$B$43)</f>
        <v/>
      </c>
      <c r="L355" s="160">
        <f>MIN(ROUNDDOWN(G355/'NM Play'!$B$11,0)+F355/('NM Play'!$B$43/'NM Play'!$B$15),ROUNDDOWN(H355/'NM Play'!$B$12,0)+F355/('NM Play'!$B$44/'NM Play'!$B$16),(F355+ROUNDDOWN(G355/'NM Play'!$B$11,0)*'NM Play'!$B$43/'NM Play'!$B$15+ROUNDDOWN(H355/'NM Play'!$B$12,0)*'NM Play'!$B$44/'NM Play'!$B$16)/('NM Play'!$B$43/'NM Play'!$B$15+'NM Play'!$B$44/'NM Play'!$B$16))</f>
        <v/>
      </c>
      <c r="M355" s="160">
        <f>F355*'NM Play'!$B$36</f>
        <v/>
      </c>
      <c r="N355" s="160">
        <f>ROUNDDOWN(MAX(0,MIN(J355,K355:M355)),0)</f>
        <v/>
      </c>
      <c r="O355" s="160">
        <f>ROUNDUP(MAX(0,N355*'NM Play'!$B$11-G355)/'NM Play'!$B$13,0)</f>
        <v/>
      </c>
      <c r="P355" s="160">
        <f>ROUNDUP(MAX(0,N355*'NM Play'!$B$12-H355)/'NM Play'!$B$14,0)</f>
        <v/>
      </c>
      <c r="Q355" s="160">
        <f>(O355+IF('Sites'!$C$6="Own sheets",P355,0))/'NM Play'!$B$10</f>
        <v/>
      </c>
      <c r="R355" s="160">
        <f>O355/'NM Play'!$B$15+P355/'NM Play'!$B$16</f>
        <v/>
      </c>
      <c r="S355" s="160">
        <f>MAX(Q355,R355,N355/'NM Play'!$B$36)</f>
        <v/>
      </c>
      <c r="T355" s="160">
        <f>Q355*'NM Play'!$B$10*'NM Play'!$B$21*(1+'NM Play'!$B$35)</f>
        <v/>
      </c>
      <c r="U355" s="160">
        <f>MAX(0,T355-I355)</f>
        <v/>
      </c>
      <c r="V355" s="160">
        <f>G355+O355*'NM Play'!$B$13-N355*'NM Play'!$B$11</f>
        <v/>
      </c>
      <c r="W355" s="160">
        <f>H355+P355*'NM Play'!$B$14-N355*'NM Play'!$B$12</f>
        <v/>
      </c>
      <c r="X355" s="160">
        <f>I355+U355-T355</f>
        <v/>
      </c>
      <c r="Y355" s="160">
        <f>MIN(N355,MAX(0,ROUNDDOWN('Sites'!$N$6*'Cases'!$E$9,0)-SUM(Y354:Y354)))</f>
        <v/>
      </c>
      <c r="Z355" s="160">
        <f>N355-Y355</f>
        <v/>
      </c>
      <c r="AA355" s="160">
        <f>U355*'NM Play'!$B$22</f>
        <v/>
      </c>
      <c r="AB355" s="160">
        <f>N355*SUM('NM Play'!$B$29:$B$31)</f>
        <v/>
      </c>
      <c r="AC355" s="160">
        <f>IF('Sites'!$C$6="Defy legs",P355*'NM Play'!$B$14/'NM Play'!$B$12*'NM Play'!$B$28,0)</f>
        <v/>
      </c>
      <c r="AD355" s="160">
        <f>Q355*'NM Play'!$B$23</f>
        <v/>
      </c>
      <c r="AE355" s="160">
        <f>S355*SUM('NM Play'!$B$26,'NM Play'!$B$33:$B$34)</f>
        <v/>
      </c>
      <c r="AF355" s="160">
        <f>IF('Sites'!$D$6="NM crew",S355*SUM('NM Play'!$B$24:$B$25),0)</f>
        <v/>
      </c>
      <c r="AG355" s="160">
        <f>IF('Sites'!$D$6="NM crew",S355*'NM Play'!$B$27,0)</f>
        <v/>
      </c>
      <c r="AH355" s="160">
        <f>N355*'Sites'!$Z$6*'NM Play'!$B$32</f>
        <v/>
      </c>
      <c r="AI355" s="160">
        <f>SUM(Y355:Z355)*'Sites'!$R$6</f>
        <v/>
      </c>
      <c r="AJ355" s="160">
        <f>SUM(AA355:AH355)</f>
        <v/>
      </c>
      <c r="AK355" s="160">
        <f>AJ355+(T355-U355)*'NM Play'!$B$22+MIN(G355,N355*'NM Play'!$B$11)/'NM Play'!$B$13*'NM Play'!$B$21*'NM Play'!$B$22+MIN(H355,N355*'NM Play'!$B$12)/'NM Play'!$B$14*IF('Sites'!$C$6="Own sheets",'NM Play'!$B$21*'NM Play'!$B$22,'NM Play'!$B$28*'NM Play'!$B$14/'NM Play'!$B$12)</f>
        <v/>
      </c>
      <c r="AL355" s="160">
        <f>Y355*'Assumptions'!AC66</f>
        <v/>
      </c>
      <c r="AM355" s="160">
        <f>IF('Sites'!$D$6="NM crew",S355*'NM Play'!$B$37*(1+IF(AND(ISNUMBER('NM Play'!$B$25),'NM Play'!$B$25&gt;0),1,0)),"")</f>
        <v/>
      </c>
      <c r="AN355" s="160">
        <f>IF(OR('Sites'!$E$6&lt;0,'Sites'!$E$6&gt;1,'Sites'!$F$6&lt;1,'Sites'!$G$6&lt;'Sites'!$F$6,F355&lt;0,MIN('Sites'!$I$6:'Sites'!$R$6)&lt;0,'Sites'!$L$6&gt;'Sites'!$I$6,'Sites'!$M$6&gt;'Sites'!$J$6,'Sites'!$N$6&gt;'Sites'!$K$6,'Sites'!$Z$6&lt;0,'Sites'!$Z$6&gt;1,MIN('Sites'!$AA$6:'Sites'!$AC$6)&lt;0,S355&gt;F355+0.001),1,0)</f>
        <v/>
      </c>
      <c r="AO355" s="160">
        <f>I355+U355-T355-X355</f>
        <v/>
      </c>
    </row>
    <row r="356" ht="28" customHeight="1">
      <c r="A356" s="4" t="inlineStr">
        <is>
          <t>Delayed receipts</t>
        </is>
      </c>
      <c r="B356" s="4" t="inlineStr">
        <is>
          <t>WITTA</t>
        </is>
      </c>
      <c r="C356" s="160" t="n">
        <v>27</v>
      </c>
      <c r="D356" s="160">
        <f>ROUNDUP(C356/12,0)</f>
        <v/>
      </c>
      <c r="E356" s="160">
        <f>IF(AND('Sites'!$E$6=1,C356&gt;='Sites'!$F$6,C356&lt;='Sites'!$G$6),1,0)</f>
        <v/>
      </c>
      <c r="F356" s="160">
        <f>E356*'Assumptions'!AD67</f>
        <v/>
      </c>
      <c r="G356" s="160">
        <f>V355</f>
        <v/>
      </c>
      <c r="H356" s="160">
        <f>W355</f>
        <v/>
      </c>
      <c r="I356" s="160">
        <f>X355</f>
        <v/>
      </c>
      <c r="J356" s="160">
        <f>MAX(0,'Sites'!$K$6-SUM(N354:N355))</f>
        <v/>
      </c>
      <c r="K356" s="160">
        <f>IF('Sites'!$C$6="Own sheets",MIN(ROUNDDOWN(G356/'NM Play'!$B$11,0)+F356*'NM Play'!$B$10/'NM Play'!$B$43,ROUNDDOWN(H356/'NM Play'!$B$12,0)+F356*'NM Play'!$B$10/'NM Play'!$B$44,(F356*'NM Play'!$B$10+ROUNDDOWN(G356/'NM Play'!$B$11,0)*'NM Play'!$B$43+ROUNDDOWN(H356/'NM Play'!$B$12,0)*'NM Play'!$B$44)/('NM Play'!$B$43+'NM Play'!$B$44)),ROUNDDOWN(G356/'NM Play'!$B$11,0)+F356*'NM Play'!$B$10/'NM Play'!$B$43)</f>
        <v/>
      </c>
      <c r="L356" s="160">
        <f>MIN(ROUNDDOWN(G356/'NM Play'!$B$11,0)+F356/('NM Play'!$B$43/'NM Play'!$B$15),ROUNDDOWN(H356/'NM Play'!$B$12,0)+F356/('NM Play'!$B$44/'NM Play'!$B$16),(F356+ROUNDDOWN(G356/'NM Play'!$B$11,0)*'NM Play'!$B$43/'NM Play'!$B$15+ROUNDDOWN(H356/'NM Play'!$B$12,0)*'NM Play'!$B$44/'NM Play'!$B$16)/('NM Play'!$B$43/'NM Play'!$B$15+'NM Play'!$B$44/'NM Play'!$B$16))</f>
        <v/>
      </c>
      <c r="M356" s="160">
        <f>F356*'NM Play'!$B$36</f>
        <v/>
      </c>
      <c r="N356" s="160">
        <f>ROUNDDOWN(MAX(0,MIN(J356,K356:M356)),0)</f>
        <v/>
      </c>
      <c r="O356" s="160">
        <f>ROUNDUP(MAX(0,N356*'NM Play'!$B$11-G356)/'NM Play'!$B$13,0)</f>
        <v/>
      </c>
      <c r="P356" s="160">
        <f>ROUNDUP(MAX(0,N356*'NM Play'!$B$12-H356)/'NM Play'!$B$14,0)</f>
        <v/>
      </c>
      <c r="Q356" s="160">
        <f>(O356+IF('Sites'!$C$6="Own sheets",P356,0))/'NM Play'!$B$10</f>
        <v/>
      </c>
      <c r="R356" s="160">
        <f>O356/'NM Play'!$B$15+P356/'NM Play'!$B$16</f>
        <v/>
      </c>
      <c r="S356" s="160">
        <f>MAX(Q356,R356,N356/'NM Play'!$B$36)</f>
        <v/>
      </c>
      <c r="T356" s="160">
        <f>Q356*'NM Play'!$B$10*'NM Play'!$B$21*(1+'NM Play'!$B$35)</f>
        <v/>
      </c>
      <c r="U356" s="160">
        <f>MAX(0,T356-I356)</f>
        <v/>
      </c>
      <c r="V356" s="160">
        <f>G356+O356*'NM Play'!$B$13-N356*'NM Play'!$B$11</f>
        <v/>
      </c>
      <c r="W356" s="160">
        <f>H356+P356*'NM Play'!$B$14-N356*'NM Play'!$B$12</f>
        <v/>
      </c>
      <c r="X356" s="160">
        <f>I356+U356-T356</f>
        <v/>
      </c>
      <c r="Y356" s="160">
        <f>MIN(N356,MAX(0,ROUNDDOWN('Sites'!$N$6*'Cases'!$E$9,0)-SUM(Y354:Y355)))</f>
        <v/>
      </c>
      <c r="Z356" s="160">
        <f>N356-Y356</f>
        <v/>
      </c>
      <c r="AA356" s="160">
        <f>U356*'NM Play'!$B$22</f>
        <v/>
      </c>
      <c r="AB356" s="160">
        <f>N356*SUM('NM Play'!$B$29:$B$31)</f>
        <v/>
      </c>
      <c r="AC356" s="160">
        <f>IF('Sites'!$C$6="Defy legs",P356*'NM Play'!$B$14/'NM Play'!$B$12*'NM Play'!$B$28,0)</f>
        <v/>
      </c>
      <c r="AD356" s="160">
        <f>Q356*'NM Play'!$B$23</f>
        <v/>
      </c>
      <c r="AE356" s="160">
        <f>S356*SUM('NM Play'!$B$26,'NM Play'!$B$33:$B$34)</f>
        <v/>
      </c>
      <c r="AF356" s="160">
        <f>IF('Sites'!$D$6="NM crew",S356*SUM('NM Play'!$B$24:$B$25),0)</f>
        <v/>
      </c>
      <c r="AG356" s="160">
        <f>IF('Sites'!$D$6="NM crew",S356*'NM Play'!$B$27,0)</f>
        <v/>
      </c>
      <c r="AH356" s="160">
        <f>N356*'Sites'!$Z$6*'NM Play'!$B$32</f>
        <v/>
      </c>
      <c r="AI356" s="160">
        <f>SUM(Y356:Z356)*'Sites'!$R$6</f>
        <v/>
      </c>
      <c r="AJ356" s="160">
        <f>SUM(AA356:AH356)</f>
        <v/>
      </c>
      <c r="AK356" s="160">
        <f>AJ356+(T356-U356)*'NM Play'!$B$22+MIN(G356,N356*'NM Play'!$B$11)/'NM Play'!$B$13*'NM Play'!$B$21*'NM Play'!$B$22+MIN(H356,N356*'NM Play'!$B$12)/'NM Play'!$B$14*IF('Sites'!$C$6="Own sheets",'NM Play'!$B$21*'NM Play'!$B$22,'NM Play'!$B$28*'NM Play'!$B$14/'NM Play'!$B$12)</f>
        <v/>
      </c>
      <c r="AL356" s="160">
        <f>Y356*'Assumptions'!AD66</f>
        <v/>
      </c>
      <c r="AM356" s="160">
        <f>IF('Sites'!$D$6="NM crew",S356*'NM Play'!$B$37*(1+IF(AND(ISNUMBER('NM Play'!$B$25),'NM Play'!$B$25&gt;0),1,0)),"")</f>
        <v/>
      </c>
      <c r="AN356" s="160">
        <f>IF(OR('Sites'!$E$6&lt;0,'Sites'!$E$6&gt;1,'Sites'!$F$6&lt;1,'Sites'!$G$6&lt;'Sites'!$F$6,F356&lt;0,MIN('Sites'!$I$6:'Sites'!$R$6)&lt;0,'Sites'!$L$6&gt;'Sites'!$I$6,'Sites'!$M$6&gt;'Sites'!$J$6,'Sites'!$N$6&gt;'Sites'!$K$6,'Sites'!$Z$6&lt;0,'Sites'!$Z$6&gt;1,MIN('Sites'!$AA$6:'Sites'!$AC$6)&lt;0,S356&gt;F356+0.001),1,0)</f>
        <v/>
      </c>
      <c r="AO356" s="160">
        <f>I356+U356-T356-X356</f>
        <v/>
      </c>
    </row>
    <row r="357" ht="28" customHeight="1">
      <c r="A357" s="4" t="inlineStr">
        <is>
          <t>Delayed receipts</t>
        </is>
      </c>
      <c r="B357" s="4" t="inlineStr">
        <is>
          <t>WITTA</t>
        </is>
      </c>
      <c r="C357" s="160" t="n">
        <v>28</v>
      </c>
      <c r="D357" s="160">
        <f>ROUNDUP(C357/12,0)</f>
        <v/>
      </c>
      <c r="E357" s="160">
        <f>IF(AND('Sites'!$E$6=1,C357&gt;='Sites'!$F$6,C357&lt;='Sites'!$G$6),1,0)</f>
        <v/>
      </c>
      <c r="F357" s="160">
        <f>E357*'Assumptions'!AE67</f>
        <v/>
      </c>
      <c r="G357" s="160">
        <f>V356</f>
        <v/>
      </c>
      <c r="H357" s="160">
        <f>W356</f>
        <v/>
      </c>
      <c r="I357" s="160">
        <f>X356</f>
        <v/>
      </c>
      <c r="J357" s="160">
        <f>MAX(0,'Sites'!$K$6-SUM(N354:N356))</f>
        <v/>
      </c>
      <c r="K357" s="160">
        <f>IF('Sites'!$C$6="Own sheets",MIN(ROUNDDOWN(G357/'NM Play'!$B$11,0)+F357*'NM Play'!$B$10/'NM Play'!$B$43,ROUNDDOWN(H357/'NM Play'!$B$12,0)+F357*'NM Play'!$B$10/'NM Play'!$B$44,(F357*'NM Play'!$B$10+ROUNDDOWN(G357/'NM Play'!$B$11,0)*'NM Play'!$B$43+ROUNDDOWN(H357/'NM Play'!$B$12,0)*'NM Play'!$B$44)/('NM Play'!$B$43+'NM Play'!$B$44)),ROUNDDOWN(G357/'NM Play'!$B$11,0)+F357*'NM Play'!$B$10/'NM Play'!$B$43)</f>
        <v/>
      </c>
      <c r="L357" s="160">
        <f>MIN(ROUNDDOWN(G357/'NM Play'!$B$11,0)+F357/('NM Play'!$B$43/'NM Play'!$B$15),ROUNDDOWN(H357/'NM Play'!$B$12,0)+F357/('NM Play'!$B$44/'NM Play'!$B$16),(F357+ROUNDDOWN(G357/'NM Play'!$B$11,0)*'NM Play'!$B$43/'NM Play'!$B$15+ROUNDDOWN(H357/'NM Play'!$B$12,0)*'NM Play'!$B$44/'NM Play'!$B$16)/('NM Play'!$B$43/'NM Play'!$B$15+'NM Play'!$B$44/'NM Play'!$B$16))</f>
        <v/>
      </c>
      <c r="M357" s="160">
        <f>F357*'NM Play'!$B$36</f>
        <v/>
      </c>
      <c r="N357" s="160">
        <f>ROUNDDOWN(MAX(0,MIN(J357,K357:M357)),0)</f>
        <v/>
      </c>
      <c r="O357" s="160">
        <f>ROUNDUP(MAX(0,N357*'NM Play'!$B$11-G357)/'NM Play'!$B$13,0)</f>
        <v/>
      </c>
      <c r="P357" s="160">
        <f>ROUNDUP(MAX(0,N357*'NM Play'!$B$12-H357)/'NM Play'!$B$14,0)</f>
        <v/>
      </c>
      <c r="Q357" s="160">
        <f>(O357+IF('Sites'!$C$6="Own sheets",P357,0))/'NM Play'!$B$10</f>
        <v/>
      </c>
      <c r="R357" s="160">
        <f>O357/'NM Play'!$B$15+P357/'NM Play'!$B$16</f>
        <v/>
      </c>
      <c r="S357" s="160">
        <f>MAX(Q357,R357,N357/'NM Play'!$B$36)</f>
        <v/>
      </c>
      <c r="T357" s="160">
        <f>Q357*'NM Play'!$B$10*'NM Play'!$B$21*(1+'NM Play'!$B$35)</f>
        <v/>
      </c>
      <c r="U357" s="160">
        <f>MAX(0,T357-I357)</f>
        <v/>
      </c>
      <c r="V357" s="160">
        <f>G357+O357*'NM Play'!$B$13-N357*'NM Play'!$B$11</f>
        <v/>
      </c>
      <c r="W357" s="160">
        <f>H357+P357*'NM Play'!$B$14-N357*'NM Play'!$B$12</f>
        <v/>
      </c>
      <c r="X357" s="160">
        <f>I357+U357-T357</f>
        <v/>
      </c>
      <c r="Y357" s="160">
        <f>MIN(N357,MAX(0,ROUNDDOWN('Sites'!$N$6*'Cases'!$E$9,0)-SUM(Y354:Y356)))</f>
        <v/>
      </c>
      <c r="Z357" s="160">
        <f>N357-Y357</f>
        <v/>
      </c>
      <c r="AA357" s="160">
        <f>U357*'NM Play'!$B$22</f>
        <v/>
      </c>
      <c r="AB357" s="160">
        <f>N357*SUM('NM Play'!$B$29:$B$31)</f>
        <v/>
      </c>
      <c r="AC357" s="160">
        <f>IF('Sites'!$C$6="Defy legs",P357*'NM Play'!$B$14/'NM Play'!$B$12*'NM Play'!$B$28,0)</f>
        <v/>
      </c>
      <c r="AD357" s="160">
        <f>Q357*'NM Play'!$B$23</f>
        <v/>
      </c>
      <c r="AE357" s="160">
        <f>S357*SUM('NM Play'!$B$26,'NM Play'!$B$33:$B$34)</f>
        <v/>
      </c>
      <c r="AF357" s="160">
        <f>IF('Sites'!$D$6="NM crew",S357*SUM('NM Play'!$B$24:$B$25),0)</f>
        <v/>
      </c>
      <c r="AG357" s="160">
        <f>IF('Sites'!$D$6="NM crew",S357*'NM Play'!$B$27,0)</f>
        <v/>
      </c>
      <c r="AH357" s="160">
        <f>N357*'Sites'!$Z$6*'NM Play'!$B$32</f>
        <v/>
      </c>
      <c r="AI357" s="160">
        <f>SUM(Y357:Z357)*'Sites'!$R$6</f>
        <v/>
      </c>
      <c r="AJ357" s="160">
        <f>SUM(AA357:AH357)</f>
        <v/>
      </c>
      <c r="AK357" s="160">
        <f>AJ357+(T357-U357)*'NM Play'!$B$22+MIN(G357,N357*'NM Play'!$B$11)/'NM Play'!$B$13*'NM Play'!$B$21*'NM Play'!$B$22+MIN(H357,N357*'NM Play'!$B$12)/'NM Play'!$B$14*IF('Sites'!$C$6="Own sheets",'NM Play'!$B$21*'NM Play'!$B$22,'NM Play'!$B$28*'NM Play'!$B$14/'NM Play'!$B$12)</f>
        <v/>
      </c>
      <c r="AL357" s="160">
        <f>Y357*'Assumptions'!AE66</f>
        <v/>
      </c>
      <c r="AM357" s="160">
        <f>IF('Sites'!$D$6="NM crew",S357*'NM Play'!$B$37*(1+IF(AND(ISNUMBER('NM Play'!$B$25),'NM Play'!$B$25&gt;0),1,0)),"")</f>
        <v/>
      </c>
      <c r="AN357" s="160">
        <f>IF(OR('Sites'!$E$6&lt;0,'Sites'!$E$6&gt;1,'Sites'!$F$6&lt;1,'Sites'!$G$6&lt;'Sites'!$F$6,F357&lt;0,MIN('Sites'!$I$6:'Sites'!$R$6)&lt;0,'Sites'!$L$6&gt;'Sites'!$I$6,'Sites'!$M$6&gt;'Sites'!$J$6,'Sites'!$N$6&gt;'Sites'!$K$6,'Sites'!$Z$6&lt;0,'Sites'!$Z$6&gt;1,MIN('Sites'!$AA$6:'Sites'!$AC$6)&lt;0,S357&gt;F357+0.001),1,0)</f>
        <v/>
      </c>
      <c r="AO357" s="160">
        <f>I357+U357-T357-X357</f>
        <v/>
      </c>
    </row>
    <row r="358" ht="28" customHeight="1">
      <c r="A358" s="4" t="inlineStr">
        <is>
          <t>Delayed receipts</t>
        </is>
      </c>
      <c r="B358" s="4" t="inlineStr">
        <is>
          <t>WITTA</t>
        </is>
      </c>
      <c r="C358" s="160" t="n">
        <v>29</v>
      </c>
      <c r="D358" s="160">
        <f>ROUNDUP(C358/12,0)</f>
        <v/>
      </c>
      <c r="E358" s="160">
        <f>IF(AND('Sites'!$E$6=1,C358&gt;='Sites'!$F$6,C358&lt;='Sites'!$G$6),1,0)</f>
        <v/>
      </c>
      <c r="F358" s="160">
        <f>E358*'Assumptions'!AF67</f>
        <v/>
      </c>
      <c r="G358" s="160">
        <f>V357</f>
        <v/>
      </c>
      <c r="H358" s="160">
        <f>W357</f>
        <v/>
      </c>
      <c r="I358" s="160">
        <f>X357</f>
        <v/>
      </c>
      <c r="J358" s="160">
        <f>MAX(0,'Sites'!$K$6-SUM(N354:N357))</f>
        <v/>
      </c>
      <c r="K358" s="160">
        <f>IF('Sites'!$C$6="Own sheets",MIN(ROUNDDOWN(G358/'NM Play'!$B$11,0)+F358*'NM Play'!$B$10/'NM Play'!$B$43,ROUNDDOWN(H358/'NM Play'!$B$12,0)+F358*'NM Play'!$B$10/'NM Play'!$B$44,(F358*'NM Play'!$B$10+ROUNDDOWN(G358/'NM Play'!$B$11,0)*'NM Play'!$B$43+ROUNDDOWN(H358/'NM Play'!$B$12,0)*'NM Play'!$B$44)/('NM Play'!$B$43+'NM Play'!$B$44)),ROUNDDOWN(G358/'NM Play'!$B$11,0)+F358*'NM Play'!$B$10/'NM Play'!$B$43)</f>
        <v/>
      </c>
      <c r="L358" s="160">
        <f>MIN(ROUNDDOWN(G358/'NM Play'!$B$11,0)+F358/('NM Play'!$B$43/'NM Play'!$B$15),ROUNDDOWN(H358/'NM Play'!$B$12,0)+F358/('NM Play'!$B$44/'NM Play'!$B$16),(F358+ROUNDDOWN(G358/'NM Play'!$B$11,0)*'NM Play'!$B$43/'NM Play'!$B$15+ROUNDDOWN(H358/'NM Play'!$B$12,0)*'NM Play'!$B$44/'NM Play'!$B$16)/('NM Play'!$B$43/'NM Play'!$B$15+'NM Play'!$B$44/'NM Play'!$B$16))</f>
        <v/>
      </c>
      <c r="M358" s="160">
        <f>F358*'NM Play'!$B$36</f>
        <v/>
      </c>
      <c r="N358" s="160">
        <f>ROUNDDOWN(MAX(0,MIN(J358,K358:M358)),0)</f>
        <v/>
      </c>
      <c r="O358" s="160">
        <f>ROUNDUP(MAX(0,N358*'NM Play'!$B$11-G358)/'NM Play'!$B$13,0)</f>
        <v/>
      </c>
      <c r="P358" s="160">
        <f>ROUNDUP(MAX(0,N358*'NM Play'!$B$12-H358)/'NM Play'!$B$14,0)</f>
        <v/>
      </c>
      <c r="Q358" s="160">
        <f>(O358+IF('Sites'!$C$6="Own sheets",P358,0))/'NM Play'!$B$10</f>
        <v/>
      </c>
      <c r="R358" s="160">
        <f>O358/'NM Play'!$B$15+P358/'NM Play'!$B$16</f>
        <v/>
      </c>
      <c r="S358" s="160">
        <f>MAX(Q358,R358,N358/'NM Play'!$B$36)</f>
        <v/>
      </c>
      <c r="T358" s="160">
        <f>Q358*'NM Play'!$B$10*'NM Play'!$B$21*(1+'NM Play'!$B$35)</f>
        <v/>
      </c>
      <c r="U358" s="160">
        <f>MAX(0,T358-I358)</f>
        <v/>
      </c>
      <c r="V358" s="160">
        <f>G358+O358*'NM Play'!$B$13-N358*'NM Play'!$B$11</f>
        <v/>
      </c>
      <c r="W358" s="160">
        <f>H358+P358*'NM Play'!$B$14-N358*'NM Play'!$B$12</f>
        <v/>
      </c>
      <c r="X358" s="160">
        <f>I358+U358-T358</f>
        <v/>
      </c>
      <c r="Y358" s="160">
        <f>MIN(N358,MAX(0,ROUNDDOWN('Sites'!$N$6*'Cases'!$E$9,0)-SUM(Y354:Y357)))</f>
        <v/>
      </c>
      <c r="Z358" s="160">
        <f>N358-Y358</f>
        <v/>
      </c>
      <c r="AA358" s="160">
        <f>U358*'NM Play'!$B$22</f>
        <v/>
      </c>
      <c r="AB358" s="160">
        <f>N358*SUM('NM Play'!$B$29:$B$31)</f>
        <v/>
      </c>
      <c r="AC358" s="160">
        <f>IF('Sites'!$C$6="Defy legs",P358*'NM Play'!$B$14/'NM Play'!$B$12*'NM Play'!$B$28,0)</f>
        <v/>
      </c>
      <c r="AD358" s="160">
        <f>Q358*'NM Play'!$B$23</f>
        <v/>
      </c>
      <c r="AE358" s="160">
        <f>S358*SUM('NM Play'!$B$26,'NM Play'!$B$33:$B$34)</f>
        <v/>
      </c>
      <c r="AF358" s="160">
        <f>IF('Sites'!$D$6="NM crew",S358*SUM('NM Play'!$B$24:$B$25),0)</f>
        <v/>
      </c>
      <c r="AG358" s="160">
        <f>IF('Sites'!$D$6="NM crew",S358*'NM Play'!$B$27,0)</f>
        <v/>
      </c>
      <c r="AH358" s="160">
        <f>N358*'Sites'!$Z$6*'NM Play'!$B$32</f>
        <v/>
      </c>
      <c r="AI358" s="160">
        <f>SUM(Y358:Z358)*'Sites'!$R$6</f>
        <v/>
      </c>
      <c r="AJ358" s="160">
        <f>SUM(AA358:AH358)</f>
        <v/>
      </c>
      <c r="AK358" s="160">
        <f>AJ358+(T358-U358)*'NM Play'!$B$22+MIN(G358,N358*'NM Play'!$B$11)/'NM Play'!$B$13*'NM Play'!$B$21*'NM Play'!$B$22+MIN(H358,N358*'NM Play'!$B$12)/'NM Play'!$B$14*IF('Sites'!$C$6="Own sheets",'NM Play'!$B$21*'NM Play'!$B$22,'NM Play'!$B$28*'NM Play'!$B$14/'NM Play'!$B$12)</f>
        <v/>
      </c>
      <c r="AL358" s="160">
        <f>Y358*'Assumptions'!AF66</f>
        <v/>
      </c>
      <c r="AM358" s="160">
        <f>IF('Sites'!$D$6="NM crew",S358*'NM Play'!$B$37*(1+IF(AND(ISNUMBER('NM Play'!$B$25),'NM Play'!$B$25&gt;0),1,0)),"")</f>
        <v/>
      </c>
      <c r="AN358" s="160">
        <f>IF(OR('Sites'!$E$6&lt;0,'Sites'!$E$6&gt;1,'Sites'!$F$6&lt;1,'Sites'!$G$6&lt;'Sites'!$F$6,F358&lt;0,MIN('Sites'!$I$6:'Sites'!$R$6)&lt;0,'Sites'!$L$6&gt;'Sites'!$I$6,'Sites'!$M$6&gt;'Sites'!$J$6,'Sites'!$N$6&gt;'Sites'!$K$6,'Sites'!$Z$6&lt;0,'Sites'!$Z$6&gt;1,MIN('Sites'!$AA$6:'Sites'!$AC$6)&lt;0,S358&gt;F358+0.001),1,0)</f>
        <v/>
      </c>
      <c r="AO358" s="160">
        <f>I358+U358-T358-X358</f>
        <v/>
      </c>
    </row>
    <row r="359" ht="28" customHeight="1">
      <c r="A359" s="4" t="inlineStr">
        <is>
          <t>Delayed receipts</t>
        </is>
      </c>
      <c r="B359" s="4" t="inlineStr">
        <is>
          <t>WITTA</t>
        </is>
      </c>
      <c r="C359" s="160" t="n">
        <v>30</v>
      </c>
      <c r="D359" s="160">
        <f>ROUNDUP(C359/12,0)</f>
        <v/>
      </c>
      <c r="E359" s="160">
        <f>IF(AND('Sites'!$E$6=1,C359&gt;='Sites'!$F$6,C359&lt;='Sites'!$G$6),1,0)</f>
        <v/>
      </c>
      <c r="F359" s="160">
        <f>E359*'Assumptions'!AG67</f>
        <v/>
      </c>
      <c r="G359" s="160">
        <f>V358</f>
        <v/>
      </c>
      <c r="H359" s="160">
        <f>W358</f>
        <v/>
      </c>
      <c r="I359" s="160">
        <f>X358</f>
        <v/>
      </c>
      <c r="J359" s="160">
        <f>MAX(0,'Sites'!$K$6-SUM(N354:N358))</f>
        <v/>
      </c>
      <c r="K359" s="160">
        <f>IF('Sites'!$C$6="Own sheets",MIN(ROUNDDOWN(G359/'NM Play'!$B$11,0)+F359*'NM Play'!$B$10/'NM Play'!$B$43,ROUNDDOWN(H359/'NM Play'!$B$12,0)+F359*'NM Play'!$B$10/'NM Play'!$B$44,(F359*'NM Play'!$B$10+ROUNDDOWN(G359/'NM Play'!$B$11,0)*'NM Play'!$B$43+ROUNDDOWN(H359/'NM Play'!$B$12,0)*'NM Play'!$B$44)/('NM Play'!$B$43+'NM Play'!$B$44)),ROUNDDOWN(G359/'NM Play'!$B$11,0)+F359*'NM Play'!$B$10/'NM Play'!$B$43)</f>
        <v/>
      </c>
      <c r="L359" s="160">
        <f>MIN(ROUNDDOWN(G359/'NM Play'!$B$11,0)+F359/('NM Play'!$B$43/'NM Play'!$B$15),ROUNDDOWN(H359/'NM Play'!$B$12,0)+F359/('NM Play'!$B$44/'NM Play'!$B$16),(F359+ROUNDDOWN(G359/'NM Play'!$B$11,0)*'NM Play'!$B$43/'NM Play'!$B$15+ROUNDDOWN(H359/'NM Play'!$B$12,0)*'NM Play'!$B$44/'NM Play'!$B$16)/('NM Play'!$B$43/'NM Play'!$B$15+'NM Play'!$B$44/'NM Play'!$B$16))</f>
        <v/>
      </c>
      <c r="M359" s="160">
        <f>F359*'NM Play'!$B$36</f>
        <v/>
      </c>
      <c r="N359" s="160">
        <f>ROUNDDOWN(MAX(0,MIN(J359,K359:M359)),0)</f>
        <v/>
      </c>
      <c r="O359" s="160">
        <f>ROUNDUP(MAX(0,N359*'NM Play'!$B$11-G359)/'NM Play'!$B$13,0)</f>
        <v/>
      </c>
      <c r="P359" s="160">
        <f>ROUNDUP(MAX(0,N359*'NM Play'!$B$12-H359)/'NM Play'!$B$14,0)</f>
        <v/>
      </c>
      <c r="Q359" s="160">
        <f>(O359+IF('Sites'!$C$6="Own sheets",P359,0))/'NM Play'!$B$10</f>
        <v/>
      </c>
      <c r="R359" s="160">
        <f>O359/'NM Play'!$B$15+P359/'NM Play'!$B$16</f>
        <v/>
      </c>
      <c r="S359" s="160">
        <f>MAX(Q359,R359,N359/'NM Play'!$B$36)</f>
        <v/>
      </c>
      <c r="T359" s="160">
        <f>Q359*'NM Play'!$B$10*'NM Play'!$B$21*(1+'NM Play'!$B$35)</f>
        <v/>
      </c>
      <c r="U359" s="160">
        <f>MAX(0,T359-I359)</f>
        <v/>
      </c>
      <c r="V359" s="160">
        <f>G359+O359*'NM Play'!$B$13-N359*'NM Play'!$B$11</f>
        <v/>
      </c>
      <c r="W359" s="160">
        <f>H359+P359*'NM Play'!$B$14-N359*'NM Play'!$B$12</f>
        <v/>
      </c>
      <c r="X359" s="160">
        <f>I359+U359-T359</f>
        <v/>
      </c>
      <c r="Y359" s="160">
        <f>MIN(N359,MAX(0,ROUNDDOWN('Sites'!$N$6*'Cases'!$E$9,0)-SUM(Y354:Y358)))</f>
        <v/>
      </c>
      <c r="Z359" s="160">
        <f>N359-Y359</f>
        <v/>
      </c>
      <c r="AA359" s="160">
        <f>U359*'NM Play'!$B$22</f>
        <v/>
      </c>
      <c r="AB359" s="160">
        <f>N359*SUM('NM Play'!$B$29:$B$31)</f>
        <v/>
      </c>
      <c r="AC359" s="160">
        <f>IF('Sites'!$C$6="Defy legs",P359*'NM Play'!$B$14/'NM Play'!$B$12*'NM Play'!$B$28,0)</f>
        <v/>
      </c>
      <c r="AD359" s="160">
        <f>Q359*'NM Play'!$B$23</f>
        <v/>
      </c>
      <c r="AE359" s="160">
        <f>S359*SUM('NM Play'!$B$26,'NM Play'!$B$33:$B$34)</f>
        <v/>
      </c>
      <c r="AF359" s="160">
        <f>IF('Sites'!$D$6="NM crew",S359*SUM('NM Play'!$B$24:$B$25),0)</f>
        <v/>
      </c>
      <c r="AG359" s="160">
        <f>IF('Sites'!$D$6="NM crew",S359*'NM Play'!$B$27,0)</f>
        <v/>
      </c>
      <c r="AH359" s="160">
        <f>N359*'Sites'!$Z$6*'NM Play'!$B$32</f>
        <v/>
      </c>
      <c r="AI359" s="160">
        <f>SUM(Y359:Z359)*'Sites'!$R$6</f>
        <v/>
      </c>
      <c r="AJ359" s="160">
        <f>SUM(AA359:AH359)</f>
        <v/>
      </c>
      <c r="AK359" s="160">
        <f>AJ359+(T359-U359)*'NM Play'!$B$22+MIN(G359,N359*'NM Play'!$B$11)/'NM Play'!$B$13*'NM Play'!$B$21*'NM Play'!$B$22+MIN(H359,N359*'NM Play'!$B$12)/'NM Play'!$B$14*IF('Sites'!$C$6="Own sheets",'NM Play'!$B$21*'NM Play'!$B$22,'NM Play'!$B$28*'NM Play'!$B$14/'NM Play'!$B$12)</f>
        <v/>
      </c>
      <c r="AL359" s="160">
        <f>Y359*'Assumptions'!AG66</f>
        <v/>
      </c>
      <c r="AM359" s="160">
        <f>IF('Sites'!$D$6="NM crew",S359*'NM Play'!$B$37*(1+IF(AND(ISNUMBER('NM Play'!$B$25),'NM Play'!$B$25&gt;0),1,0)),"")</f>
        <v/>
      </c>
      <c r="AN359" s="160">
        <f>IF(OR('Sites'!$E$6&lt;0,'Sites'!$E$6&gt;1,'Sites'!$F$6&lt;1,'Sites'!$G$6&lt;'Sites'!$F$6,F359&lt;0,MIN('Sites'!$I$6:'Sites'!$R$6)&lt;0,'Sites'!$L$6&gt;'Sites'!$I$6,'Sites'!$M$6&gt;'Sites'!$J$6,'Sites'!$N$6&gt;'Sites'!$K$6,'Sites'!$Z$6&lt;0,'Sites'!$Z$6&gt;1,MIN('Sites'!$AA$6:'Sites'!$AC$6)&lt;0,S359&gt;F359+0.001),1,0)</f>
        <v/>
      </c>
      <c r="AO359" s="160">
        <f>I359+U359-T359-X359</f>
        <v/>
      </c>
    </row>
    <row r="360" ht="28" customHeight="1">
      <c r="A360" s="4" t="inlineStr">
        <is>
          <t>Delayed receipts</t>
        </is>
      </c>
      <c r="B360" s="4" t="inlineStr">
        <is>
          <t>WITTA</t>
        </is>
      </c>
      <c r="C360" s="160" t="n">
        <v>31</v>
      </c>
      <c r="D360" s="160">
        <f>ROUNDUP(C360/12,0)</f>
        <v/>
      </c>
      <c r="E360" s="160">
        <f>IF(AND('Sites'!$E$6=1,C360&gt;='Sites'!$F$6,C360&lt;='Sites'!$G$6),1,0)</f>
        <v/>
      </c>
      <c r="F360" s="160">
        <f>E360*'Assumptions'!AH67</f>
        <v/>
      </c>
      <c r="G360" s="160">
        <f>V359</f>
        <v/>
      </c>
      <c r="H360" s="160">
        <f>W359</f>
        <v/>
      </c>
      <c r="I360" s="160">
        <f>X359</f>
        <v/>
      </c>
      <c r="J360" s="160">
        <f>MAX(0,'Sites'!$K$6-SUM(N354:N359))</f>
        <v/>
      </c>
      <c r="K360" s="160">
        <f>IF('Sites'!$C$6="Own sheets",MIN(ROUNDDOWN(G360/'NM Play'!$B$11,0)+F360*'NM Play'!$B$10/'NM Play'!$B$43,ROUNDDOWN(H360/'NM Play'!$B$12,0)+F360*'NM Play'!$B$10/'NM Play'!$B$44,(F360*'NM Play'!$B$10+ROUNDDOWN(G360/'NM Play'!$B$11,0)*'NM Play'!$B$43+ROUNDDOWN(H360/'NM Play'!$B$12,0)*'NM Play'!$B$44)/('NM Play'!$B$43+'NM Play'!$B$44)),ROUNDDOWN(G360/'NM Play'!$B$11,0)+F360*'NM Play'!$B$10/'NM Play'!$B$43)</f>
        <v/>
      </c>
      <c r="L360" s="160">
        <f>MIN(ROUNDDOWN(G360/'NM Play'!$B$11,0)+F360/('NM Play'!$B$43/'NM Play'!$B$15),ROUNDDOWN(H360/'NM Play'!$B$12,0)+F360/('NM Play'!$B$44/'NM Play'!$B$16),(F360+ROUNDDOWN(G360/'NM Play'!$B$11,0)*'NM Play'!$B$43/'NM Play'!$B$15+ROUNDDOWN(H360/'NM Play'!$B$12,0)*'NM Play'!$B$44/'NM Play'!$B$16)/('NM Play'!$B$43/'NM Play'!$B$15+'NM Play'!$B$44/'NM Play'!$B$16))</f>
        <v/>
      </c>
      <c r="M360" s="160">
        <f>F360*'NM Play'!$B$36</f>
        <v/>
      </c>
      <c r="N360" s="160">
        <f>ROUNDDOWN(MAX(0,MIN(J360,K360:M360)),0)</f>
        <v/>
      </c>
      <c r="O360" s="160">
        <f>ROUNDUP(MAX(0,N360*'NM Play'!$B$11-G360)/'NM Play'!$B$13,0)</f>
        <v/>
      </c>
      <c r="P360" s="160">
        <f>ROUNDUP(MAX(0,N360*'NM Play'!$B$12-H360)/'NM Play'!$B$14,0)</f>
        <v/>
      </c>
      <c r="Q360" s="160">
        <f>(O360+IF('Sites'!$C$6="Own sheets",P360,0))/'NM Play'!$B$10</f>
        <v/>
      </c>
      <c r="R360" s="160">
        <f>O360/'NM Play'!$B$15+P360/'NM Play'!$B$16</f>
        <v/>
      </c>
      <c r="S360" s="160">
        <f>MAX(Q360,R360,N360/'NM Play'!$B$36)</f>
        <v/>
      </c>
      <c r="T360" s="160">
        <f>Q360*'NM Play'!$B$10*'NM Play'!$B$21*(1+'NM Play'!$B$35)</f>
        <v/>
      </c>
      <c r="U360" s="160">
        <f>MAX(0,T360-I360)</f>
        <v/>
      </c>
      <c r="V360" s="160">
        <f>G360+O360*'NM Play'!$B$13-N360*'NM Play'!$B$11</f>
        <v/>
      </c>
      <c r="W360" s="160">
        <f>H360+P360*'NM Play'!$B$14-N360*'NM Play'!$B$12</f>
        <v/>
      </c>
      <c r="X360" s="160">
        <f>I360+U360-T360</f>
        <v/>
      </c>
      <c r="Y360" s="160">
        <f>MIN(N360,MAX(0,ROUNDDOWN('Sites'!$N$6*'Cases'!$E$9,0)-SUM(Y354:Y359)))</f>
        <v/>
      </c>
      <c r="Z360" s="160">
        <f>N360-Y360</f>
        <v/>
      </c>
      <c r="AA360" s="160">
        <f>U360*'NM Play'!$B$22</f>
        <v/>
      </c>
      <c r="AB360" s="160">
        <f>N360*SUM('NM Play'!$B$29:$B$31)</f>
        <v/>
      </c>
      <c r="AC360" s="160">
        <f>IF('Sites'!$C$6="Defy legs",P360*'NM Play'!$B$14/'NM Play'!$B$12*'NM Play'!$B$28,0)</f>
        <v/>
      </c>
      <c r="AD360" s="160">
        <f>Q360*'NM Play'!$B$23</f>
        <v/>
      </c>
      <c r="AE360" s="160">
        <f>S360*SUM('NM Play'!$B$26,'NM Play'!$B$33:$B$34)</f>
        <v/>
      </c>
      <c r="AF360" s="160">
        <f>IF('Sites'!$D$6="NM crew",S360*SUM('NM Play'!$B$24:$B$25),0)</f>
        <v/>
      </c>
      <c r="AG360" s="160">
        <f>IF('Sites'!$D$6="NM crew",S360*'NM Play'!$B$27,0)</f>
        <v/>
      </c>
      <c r="AH360" s="160">
        <f>N360*'Sites'!$Z$6*'NM Play'!$B$32</f>
        <v/>
      </c>
      <c r="AI360" s="160">
        <f>SUM(Y360:Z360)*'Sites'!$R$6</f>
        <v/>
      </c>
      <c r="AJ360" s="160">
        <f>SUM(AA360:AH360)</f>
        <v/>
      </c>
      <c r="AK360" s="160">
        <f>AJ360+(T360-U360)*'NM Play'!$B$22+MIN(G360,N360*'NM Play'!$B$11)/'NM Play'!$B$13*'NM Play'!$B$21*'NM Play'!$B$22+MIN(H360,N360*'NM Play'!$B$12)/'NM Play'!$B$14*IF('Sites'!$C$6="Own sheets",'NM Play'!$B$21*'NM Play'!$B$22,'NM Play'!$B$28*'NM Play'!$B$14/'NM Play'!$B$12)</f>
        <v/>
      </c>
      <c r="AL360" s="160">
        <f>Y360*'Assumptions'!AH66</f>
        <v/>
      </c>
      <c r="AM360" s="160">
        <f>IF('Sites'!$D$6="NM crew",S360*'NM Play'!$B$37*(1+IF(AND(ISNUMBER('NM Play'!$B$25),'NM Play'!$B$25&gt;0),1,0)),"")</f>
        <v/>
      </c>
      <c r="AN360" s="160">
        <f>IF(OR('Sites'!$E$6&lt;0,'Sites'!$E$6&gt;1,'Sites'!$F$6&lt;1,'Sites'!$G$6&lt;'Sites'!$F$6,F360&lt;0,MIN('Sites'!$I$6:'Sites'!$R$6)&lt;0,'Sites'!$L$6&gt;'Sites'!$I$6,'Sites'!$M$6&gt;'Sites'!$J$6,'Sites'!$N$6&gt;'Sites'!$K$6,'Sites'!$Z$6&lt;0,'Sites'!$Z$6&gt;1,MIN('Sites'!$AA$6:'Sites'!$AC$6)&lt;0,S360&gt;F360+0.001),1,0)</f>
        <v/>
      </c>
      <c r="AO360" s="160">
        <f>I360+U360-T360-X360</f>
        <v/>
      </c>
    </row>
    <row r="361" ht="28" customHeight="1">
      <c r="A361" s="4" t="inlineStr">
        <is>
          <t>Delayed receipts</t>
        </is>
      </c>
      <c r="B361" s="4" t="inlineStr">
        <is>
          <t>WITTA</t>
        </is>
      </c>
      <c r="C361" s="160" t="n">
        <v>32</v>
      </c>
      <c r="D361" s="160">
        <f>ROUNDUP(C361/12,0)</f>
        <v/>
      </c>
      <c r="E361" s="160">
        <f>IF(AND('Sites'!$E$6=1,C361&gt;='Sites'!$F$6,C361&lt;='Sites'!$G$6),1,0)</f>
        <v/>
      </c>
      <c r="F361" s="160">
        <f>E361*'Assumptions'!AI67</f>
        <v/>
      </c>
      <c r="G361" s="160">
        <f>V360</f>
        <v/>
      </c>
      <c r="H361" s="160">
        <f>W360</f>
        <v/>
      </c>
      <c r="I361" s="160">
        <f>X360</f>
        <v/>
      </c>
      <c r="J361" s="160">
        <f>MAX(0,'Sites'!$K$6-SUM(N354:N360))</f>
        <v/>
      </c>
      <c r="K361" s="160">
        <f>IF('Sites'!$C$6="Own sheets",MIN(ROUNDDOWN(G361/'NM Play'!$B$11,0)+F361*'NM Play'!$B$10/'NM Play'!$B$43,ROUNDDOWN(H361/'NM Play'!$B$12,0)+F361*'NM Play'!$B$10/'NM Play'!$B$44,(F361*'NM Play'!$B$10+ROUNDDOWN(G361/'NM Play'!$B$11,0)*'NM Play'!$B$43+ROUNDDOWN(H361/'NM Play'!$B$12,0)*'NM Play'!$B$44)/('NM Play'!$B$43+'NM Play'!$B$44)),ROUNDDOWN(G361/'NM Play'!$B$11,0)+F361*'NM Play'!$B$10/'NM Play'!$B$43)</f>
        <v/>
      </c>
      <c r="L361" s="160">
        <f>MIN(ROUNDDOWN(G361/'NM Play'!$B$11,0)+F361/('NM Play'!$B$43/'NM Play'!$B$15),ROUNDDOWN(H361/'NM Play'!$B$12,0)+F361/('NM Play'!$B$44/'NM Play'!$B$16),(F361+ROUNDDOWN(G361/'NM Play'!$B$11,0)*'NM Play'!$B$43/'NM Play'!$B$15+ROUNDDOWN(H361/'NM Play'!$B$12,0)*'NM Play'!$B$44/'NM Play'!$B$16)/('NM Play'!$B$43/'NM Play'!$B$15+'NM Play'!$B$44/'NM Play'!$B$16))</f>
        <v/>
      </c>
      <c r="M361" s="160">
        <f>F361*'NM Play'!$B$36</f>
        <v/>
      </c>
      <c r="N361" s="160">
        <f>ROUNDDOWN(MAX(0,MIN(J361,K361:M361)),0)</f>
        <v/>
      </c>
      <c r="O361" s="160">
        <f>ROUNDUP(MAX(0,N361*'NM Play'!$B$11-G361)/'NM Play'!$B$13,0)</f>
        <v/>
      </c>
      <c r="P361" s="160">
        <f>ROUNDUP(MAX(0,N361*'NM Play'!$B$12-H361)/'NM Play'!$B$14,0)</f>
        <v/>
      </c>
      <c r="Q361" s="160">
        <f>(O361+IF('Sites'!$C$6="Own sheets",P361,0))/'NM Play'!$B$10</f>
        <v/>
      </c>
      <c r="R361" s="160">
        <f>O361/'NM Play'!$B$15+P361/'NM Play'!$B$16</f>
        <v/>
      </c>
      <c r="S361" s="160">
        <f>MAX(Q361,R361,N361/'NM Play'!$B$36)</f>
        <v/>
      </c>
      <c r="T361" s="160">
        <f>Q361*'NM Play'!$B$10*'NM Play'!$B$21*(1+'NM Play'!$B$35)</f>
        <v/>
      </c>
      <c r="U361" s="160">
        <f>MAX(0,T361-I361)</f>
        <v/>
      </c>
      <c r="V361" s="160">
        <f>G361+O361*'NM Play'!$B$13-N361*'NM Play'!$B$11</f>
        <v/>
      </c>
      <c r="W361" s="160">
        <f>H361+P361*'NM Play'!$B$14-N361*'NM Play'!$B$12</f>
        <v/>
      </c>
      <c r="X361" s="160">
        <f>I361+U361-T361</f>
        <v/>
      </c>
      <c r="Y361" s="160">
        <f>MIN(N361,MAX(0,ROUNDDOWN('Sites'!$N$6*'Cases'!$E$9,0)-SUM(Y354:Y360)))</f>
        <v/>
      </c>
      <c r="Z361" s="160">
        <f>N361-Y361</f>
        <v/>
      </c>
      <c r="AA361" s="160">
        <f>U361*'NM Play'!$B$22</f>
        <v/>
      </c>
      <c r="AB361" s="160">
        <f>N361*SUM('NM Play'!$B$29:$B$31)</f>
        <v/>
      </c>
      <c r="AC361" s="160">
        <f>IF('Sites'!$C$6="Defy legs",P361*'NM Play'!$B$14/'NM Play'!$B$12*'NM Play'!$B$28,0)</f>
        <v/>
      </c>
      <c r="AD361" s="160">
        <f>Q361*'NM Play'!$B$23</f>
        <v/>
      </c>
      <c r="AE361" s="160">
        <f>S361*SUM('NM Play'!$B$26,'NM Play'!$B$33:$B$34)</f>
        <v/>
      </c>
      <c r="AF361" s="160">
        <f>IF('Sites'!$D$6="NM crew",S361*SUM('NM Play'!$B$24:$B$25),0)</f>
        <v/>
      </c>
      <c r="AG361" s="160">
        <f>IF('Sites'!$D$6="NM crew",S361*'NM Play'!$B$27,0)</f>
        <v/>
      </c>
      <c r="AH361" s="160">
        <f>N361*'Sites'!$Z$6*'NM Play'!$B$32</f>
        <v/>
      </c>
      <c r="AI361" s="160">
        <f>SUM(Y361:Z361)*'Sites'!$R$6</f>
        <v/>
      </c>
      <c r="AJ361" s="160">
        <f>SUM(AA361:AH361)</f>
        <v/>
      </c>
      <c r="AK361" s="160">
        <f>AJ361+(T361-U361)*'NM Play'!$B$22+MIN(G361,N361*'NM Play'!$B$11)/'NM Play'!$B$13*'NM Play'!$B$21*'NM Play'!$B$22+MIN(H361,N361*'NM Play'!$B$12)/'NM Play'!$B$14*IF('Sites'!$C$6="Own sheets",'NM Play'!$B$21*'NM Play'!$B$22,'NM Play'!$B$28*'NM Play'!$B$14/'NM Play'!$B$12)</f>
        <v/>
      </c>
      <c r="AL361" s="160">
        <f>Y361*'Assumptions'!AI66</f>
        <v/>
      </c>
      <c r="AM361" s="160">
        <f>IF('Sites'!$D$6="NM crew",S361*'NM Play'!$B$37*(1+IF(AND(ISNUMBER('NM Play'!$B$25),'NM Play'!$B$25&gt;0),1,0)),"")</f>
        <v/>
      </c>
      <c r="AN361" s="160">
        <f>IF(OR('Sites'!$E$6&lt;0,'Sites'!$E$6&gt;1,'Sites'!$F$6&lt;1,'Sites'!$G$6&lt;'Sites'!$F$6,F361&lt;0,MIN('Sites'!$I$6:'Sites'!$R$6)&lt;0,'Sites'!$L$6&gt;'Sites'!$I$6,'Sites'!$M$6&gt;'Sites'!$J$6,'Sites'!$N$6&gt;'Sites'!$K$6,'Sites'!$Z$6&lt;0,'Sites'!$Z$6&gt;1,MIN('Sites'!$AA$6:'Sites'!$AC$6)&lt;0,S361&gt;F361+0.001),1,0)</f>
        <v/>
      </c>
      <c r="AO361" s="160">
        <f>I361+U361-T361-X361</f>
        <v/>
      </c>
    </row>
    <row r="362" ht="28" customHeight="1">
      <c r="A362" s="4" t="inlineStr">
        <is>
          <t>Delayed receipts</t>
        </is>
      </c>
      <c r="B362" s="4" t="inlineStr">
        <is>
          <t>WITTA</t>
        </is>
      </c>
      <c r="C362" s="160" t="n">
        <v>33</v>
      </c>
      <c r="D362" s="160">
        <f>ROUNDUP(C362/12,0)</f>
        <v/>
      </c>
      <c r="E362" s="160">
        <f>IF(AND('Sites'!$E$6=1,C362&gt;='Sites'!$F$6,C362&lt;='Sites'!$G$6),1,0)</f>
        <v/>
      </c>
      <c r="F362" s="160">
        <f>E362*'Assumptions'!AJ67</f>
        <v/>
      </c>
      <c r="G362" s="160">
        <f>V361</f>
        <v/>
      </c>
      <c r="H362" s="160">
        <f>W361</f>
        <v/>
      </c>
      <c r="I362" s="160">
        <f>X361</f>
        <v/>
      </c>
      <c r="J362" s="160">
        <f>MAX(0,'Sites'!$K$6-SUM(N354:N361))</f>
        <v/>
      </c>
      <c r="K362" s="160">
        <f>IF('Sites'!$C$6="Own sheets",MIN(ROUNDDOWN(G362/'NM Play'!$B$11,0)+F362*'NM Play'!$B$10/'NM Play'!$B$43,ROUNDDOWN(H362/'NM Play'!$B$12,0)+F362*'NM Play'!$B$10/'NM Play'!$B$44,(F362*'NM Play'!$B$10+ROUNDDOWN(G362/'NM Play'!$B$11,0)*'NM Play'!$B$43+ROUNDDOWN(H362/'NM Play'!$B$12,0)*'NM Play'!$B$44)/('NM Play'!$B$43+'NM Play'!$B$44)),ROUNDDOWN(G362/'NM Play'!$B$11,0)+F362*'NM Play'!$B$10/'NM Play'!$B$43)</f>
        <v/>
      </c>
      <c r="L362" s="160">
        <f>MIN(ROUNDDOWN(G362/'NM Play'!$B$11,0)+F362/('NM Play'!$B$43/'NM Play'!$B$15),ROUNDDOWN(H362/'NM Play'!$B$12,0)+F362/('NM Play'!$B$44/'NM Play'!$B$16),(F362+ROUNDDOWN(G362/'NM Play'!$B$11,0)*'NM Play'!$B$43/'NM Play'!$B$15+ROUNDDOWN(H362/'NM Play'!$B$12,0)*'NM Play'!$B$44/'NM Play'!$B$16)/('NM Play'!$B$43/'NM Play'!$B$15+'NM Play'!$B$44/'NM Play'!$B$16))</f>
        <v/>
      </c>
      <c r="M362" s="160">
        <f>F362*'NM Play'!$B$36</f>
        <v/>
      </c>
      <c r="N362" s="160">
        <f>ROUNDDOWN(MAX(0,MIN(J362,K362:M362)),0)</f>
        <v/>
      </c>
      <c r="O362" s="160">
        <f>ROUNDUP(MAX(0,N362*'NM Play'!$B$11-G362)/'NM Play'!$B$13,0)</f>
        <v/>
      </c>
      <c r="P362" s="160">
        <f>ROUNDUP(MAX(0,N362*'NM Play'!$B$12-H362)/'NM Play'!$B$14,0)</f>
        <v/>
      </c>
      <c r="Q362" s="160">
        <f>(O362+IF('Sites'!$C$6="Own sheets",P362,0))/'NM Play'!$B$10</f>
        <v/>
      </c>
      <c r="R362" s="160">
        <f>O362/'NM Play'!$B$15+P362/'NM Play'!$B$16</f>
        <v/>
      </c>
      <c r="S362" s="160">
        <f>MAX(Q362,R362,N362/'NM Play'!$B$36)</f>
        <v/>
      </c>
      <c r="T362" s="160">
        <f>Q362*'NM Play'!$B$10*'NM Play'!$B$21*(1+'NM Play'!$B$35)</f>
        <v/>
      </c>
      <c r="U362" s="160">
        <f>MAX(0,T362-I362)</f>
        <v/>
      </c>
      <c r="V362" s="160">
        <f>G362+O362*'NM Play'!$B$13-N362*'NM Play'!$B$11</f>
        <v/>
      </c>
      <c r="W362" s="160">
        <f>H362+P362*'NM Play'!$B$14-N362*'NM Play'!$B$12</f>
        <v/>
      </c>
      <c r="X362" s="160">
        <f>I362+U362-T362</f>
        <v/>
      </c>
      <c r="Y362" s="160">
        <f>MIN(N362,MAX(0,ROUNDDOWN('Sites'!$N$6*'Cases'!$E$9,0)-SUM(Y354:Y361)))</f>
        <v/>
      </c>
      <c r="Z362" s="160">
        <f>N362-Y362</f>
        <v/>
      </c>
      <c r="AA362" s="160">
        <f>U362*'NM Play'!$B$22</f>
        <v/>
      </c>
      <c r="AB362" s="160">
        <f>N362*SUM('NM Play'!$B$29:$B$31)</f>
        <v/>
      </c>
      <c r="AC362" s="160">
        <f>IF('Sites'!$C$6="Defy legs",P362*'NM Play'!$B$14/'NM Play'!$B$12*'NM Play'!$B$28,0)</f>
        <v/>
      </c>
      <c r="AD362" s="160">
        <f>Q362*'NM Play'!$B$23</f>
        <v/>
      </c>
      <c r="AE362" s="160">
        <f>S362*SUM('NM Play'!$B$26,'NM Play'!$B$33:$B$34)</f>
        <v/>
      </c>
      <c r="AF362" s="160">
        <f>IF('Sites'!$D$6="NM crew",S362*SUM('NM Play'!$B$24:$B$25),0)</f>
        <v/>
      </c>
      <c r="AG362" s="160">
        <f>IF('Sites'!$D$6="NM crew",S362*'NM Play'!$B$27,0)</f>
        <v/>
      </c>
      <c r="AH362" s="160">
        <f>N362*'Sites'!$Z$6*'NM Play'!$B$32</f>
        <v/>
      </c>
      <c r="AI362" s="160">
        <f>SUM(Y362:Z362)*'Sites'!$R$6</f>
        <v/>
      </c>
      <c r="AJ362" s="160">
        <f>SUM(AA362:AH362)</f>
        <v/>
      </c>
      <c r="AK362" s="160">
        <f>AJ362+(T362-U362)*'NM Play'!$B$22+MIN(G362,N362*'NM Play'!$B$11)/'NM Play'!$B$13*'NM Play'!$B$21*'NM Play'!$B$22+MIN(H362,N362*'NM Play'!$B$12)/'NM Play'!$B$14*IF('Sites'!$C$6="Own sheets",'NM Play'!$B$21*'NM Play'!$B$22,'NM Play'!$B$28*'NM Play'!$B$14/'NM Play'!$B$12)</f>
        <v/>
      </c>
      <c r="AL362" s="160">
        <f>Y362*'Assumptions'!AJ66</f>
        <v/>
      </c>
      <c r="AM362" s="160">
        <f>IF('Sites'!$D$6="NM crew",S362*'NM Play'!$B$37*(1+IF(AND(ISNUMBER('NM Play'!$B$25),'NM Play'!$B$25&gt;0),1,0)),"")</f>
        <v/>
      </c>
      <c r="AN362" s="160">
        <f>IF(OR('Sites'!$E$6&lt;0,'Sites'!$E$6&gt;1,'Sites'!$F$6&lt;1,'Sites'!$G$6&lt;'Sites'!$F$6,F362&lt;0,MIN('Sites'!$I$6:'Sites'!$R$6)&lt;0,'Sites'!$L$6&gt;'Sites'!$I$6,'Sites'!$M$6&gt;'Sites'!$J$6,'Sites'!$N$6&gt;'Sites'!$K$6,'Sites'!$Z$6&lt;0,'Sites'!$Z$6&gt;1,MIN('Sites'!$AA$6:'Sites'!$AC$6)&lt;0,S362&gt;F362+0.001),1,0)</f>
        <v/>
      </c>
      <c r="AO362" s="160">
        <f>I362+U362-T362-X362</f>
        <v/>
      </c>
    </row>
    <row r="363" ht="28" customHeight="1">
      <c r="A363" s="4" t="inlineStr">
        <is>
          <t>Delayed receipts</t>
        </is>
      </c>
      <c r="B363" s="4" t="inlineStr">
        <is>
          <t>WITTA</t>
        </is>
      </c>
      <c r="C363" s="160" t="n">
        <v>34</v>
      </c>
      <c r="D363" s="160">
        <f>ROUNDUP(C363/12,0)</f>
        <v/>
      </c>
      <c r="E363" s="160">
        <f>IF(AND('Sites'!$E$6=1,C363&gt;='Sites'!$F$6,C363&lt;='Sites'!$G$6),1,0)</f>
        <v/>
      </c>
      <c r="F363" s="160">
        <f>E363*'Assumptions'!AK67</f>
        <v/>
      </c>
      <c r="G363" s="160">
        <f>V362</f>
        <v/>
      </c>
      <c r="H363" s="160">
        <f>W362</f>
        <v/>
      </c>
      <c r="I363" s="160">
        <f>X362</f>
        <v/>
      </c>
      <c r="J363" s="160">
        <f>MAX(0,'Sites'!$K$6-SUM(N354:N362))</f>
        <v/>
      </c>
      <c r="K363" s="160">
        <f>IF('Sites'!$C$6="Own sheets",MIN(ROUNDDOWN(G363/'NM Play'!$B$11,0)+F363*'NM Play'!$B$10/'NM Play'!$B$43,ROUNDDOWN(H363/'NM Play'!$B$12,0)+F363*'NM Play'!$B$10/'NM Play'!$B$44,(F363*'NM Play'!$B$10+ROUNDDOWN(G363/'NM Play'!$B$11,0)*'NM Play'!$B$43+ROUNDDOWN(H363/'NM Play'!$B$12,0)*'NM Play'!$B$44)/('NM Play'!$B$43+'NM Play'!$B$44)),ROUNDDOWN(G363/'NM Play'!$B$11,0)+F363*'NM Play'!$B$10/'NM Play'!$B$43)</f>
        <v/>
      </c>
      <c r="L363" s="160">
        <f>MIN(ROUNDDOWN(G363/'NM Play'!$B$11,0)+F363/('NM Play'!$B$43/'NM Play'!$B$15),ROUNDDOWN(H363/'NM Play'!$B$12,0)+F363/('NM Play'!$B$44/'NM Play'!$B$16),(F363+ROUNDDOWN(G363/'NM Play'!$B$11,0)*'NM Play'!$B$43/'NM Play'!$B$15+ROUNDDOWN(H363/'NM Play'!$B$12,0)*'NM Play'!$B$44/'NM Play'!$B$16)/('NM Play'!$B$43/'NM Play'!$B$15+'NM Play'!$B$44/'NM Play'!$B$16))</f>
        <v/>
      </c>
      <c r="M363" s="160">
        <f>F363*'NM Play'!$B$36</f>
        <v/>
      </c>
      <c r="N363" s="160">
        <f>ROUNDDOWN(MAX(0,MIN(J363,K363:M363)),0)</f>
        <v/>
      </c>
      <c r="O363" s="160">
        <f>ROUNDUP(MAX(0,N363*'NM Play'!$B$11-G363)/'NM Play'!$B$13,0)</f>
        <v/>
      </c>
      <c r="P363" s="160">
        <f>ROUNDUP(MAX(0,N363*'NM Play'!$B$12-H363)/'NM Play'!$B$14,0)</f>
        <v/>
      </c>
      <c r="Q363" s="160">
        <f>(O363+IF('Sites'!$C$6="Own sheets",P363,0))/'NM Play'!$B$10</f>
        <v/>
      </c>
      <c r="R363" s="160">
        <f>O363/'NM Play'!$B$15+P363/'NM Play'!$B$16</f>
        <v/>
      </c>
      <c r="S363" s="160">
        <f>MAX(Q363,R363,N363/'NM Play'!$B$36)</f>
        <v/>
      </c>
      <c r="T363" s="160">
        <f>Q363*'NM Play'!$B$10*'NM Play'!$B$21*(1+'NM Play'!$B$35)</f>
        <v/>
      </c>
      <c r="U363" s="160">
        <f>MAX(0,T363-I363)</f>
        <v/>
      </c>
      <c r="V363" s="160">
        <f>G363+O363*'NM Play'!$B$13-N363*'NM Play'!$B$11</f>
        <v/>
      </c>
      <c r="W363" s="160">
        <f>H363+P363*'NM Play'!$B$14-N363*'NM Play'!$B$12</f>
        <v/>
      </c>
      <c r="X363" s="160">
        <f>I363+U363-T363</f>
        <v/>
      </c>
      <c r="Y363" s="160">
        <f>MIN(N363,MAX(0,ROUNDDOWN('Sites'!$N$6*'Cases'!$E$9,0)-SUM(Y354:Y362)))</f>
        <v/>
      </c>
      <c r="Z363" s="160">
        <f>N363-Y363</f>
        <v/>
      </c>
      <c r="AA363" s="160">
        <f>U363*'NM Play'!$B$22</f>
        <v/>
      </c>
      <c r="AB363" s="160">
        <f>N363*SUM('NM Play'!$B$29:$B$31)</f>
        <v/>
      </c>
      <c r="AC363" s="160">
        <f>IF('Sites'!$C$6="Defy legs",P363*'NM Play'!$B$14/'NM Play'!$B$12*'NM Play'!$B$28,0)</f>
        <v/>
      </c>
      <c r="AD363" s="160">
        <f>Q363*'NM Play'!$B$23</f>
        <v/>
      </c>
      <c r="AE363" s="160">
        <f>S363*SUM('NM Play'!$B$26,'NM Play'!$B$33:$B$34)</f>
        <v/>
      </c>
      <c r="AF363" s="160">
        <f>IF('Sites'!$D$6="NM crew",S363*SUM('NM Play'!$B$24:$B$25),0)</f>
        <v/>
      </c>
      <c r="AG363" s="160">
        <f>IF('Sites'!$D$6="NM crew",S363*'NM Play'!$B$27,0)</f>
        <v/>
      </c>
      <c r="AH363" s="160">
        <f>N363*'Sites'!$Z$6*'NM Play'!$B$32</f>
        <v/>
      </c>
      <c r="AI363" s="160">
        <f>SUM(Y363:Z363)*'Sites'!$R$6</f>
        <v/>
      </c>
      <c r="AJ363" s="160">
        <f>SUM(AA363:AH363)</f>
        <v/>
      </c>
      <c r="AK363" s="160">
        <f>AJ363+(T363-U363)*'NM Play'!$B$22+MIN(G363,N363*'NM Play'!$B$11)/'NM Play'!$B$13*'NM Play'!$B$21*'NM Play'!$B$22+MIN(H363,N363*'NM Play'!$B$12)/'NM Play'!$B$14*IF('Sites'!$C$6="Own sheets",'NM Play'!$B$21*'NM Play'!$B$22,'NM Play'!$B$28*'NM Play'!$B$14/'NM Play'!$B$12)</f>
        <v/>
      </c>
      <c r="AL363" s="160">
        <f>Y363*'Assumptions'!AK66</f>
        <v/>
      </c>
      <c r="AM363" s="160">
        <f>IF('Sites'!$D$6="NM crew",S363*'NM Play'!$B$37*(1+IF(AND(ISNUMBER('NM Play'!$B$25),'NM Play'!$B$25&gt;0),1,0)),"")</f>
        <v/>
      </c>
      <c r="AN363" s="160">
        <f>IF(OR('Sites'!$E$6&lt;0,'Sites'!$E$6&gt;1,'Sites'!$F$6&lt;1,'Sites'!$G$6&lt;'Sites'!$F$6,F363&lt;0,MIN('Sites'!$I$6:'Sites'!$R$6)&lt;0,'Sites'!$L$6&gt;'Sites'!$I$6,'Sites'!$M$6&gt;'Sites'!$J$6,'Sites'!$N$6&gt;'Sites'!$K$6,'Sites'!$Z$6&lt;0,'Sites'!$Z$6&gt;1,MIN('Sites'!$AA$6:'Sites'!$AC$6)&lt;0,S363&gt;F363+0.001),1,0)</f>
        <v/>
      </c>
      <c r="AO363" s="160">
        <f>I363+U363-T363-X363</f>
        <v/>
      </c>
    </row>
    <row r="364" ht="28" customHeight="1">
      <c r="A364" s="4" t="inlineStr">
        <is>
          <t>Delayed receipts</t>
        </is>
      </c>
      <c r="B364" s="4" t="inlineStr">
        <is>
          <t>WITTA</t>
        </is>
      </c>
      <c r="C364" s="160" t="n">
        <v>35</v>
      </c>
      <c r="D364" s="160">
        <f>ROUNDUP(C364/12,0)</f>
        <v/>
      </c>
      <c r="E364" s="160">
        <f>IF(AND('Sites'!$E$6=1,C364&gt;='Sites'!$F$6,C364&lt;='Sites'!$G$6),1,0)</f>
        <v/>
      </c>
      <c r="F364" s="160">
        <f>E364*'Assumptions'!AL67</f>
        <v/>
      </c>
      <c r="G364" s="160">
        <f>V363</f>
        <v/>
      </c>
      <c r="H364" s="160">
        <f>W363</f>
        <v/>
      </c>
      <c r="I364" s="160">
        <f>X363</f>
        <v/>
      </c>
      <c r="J364" s="160">
        <f>MAX(0,'Sites'!$K$6-SUM(N354:N363))</f>
        <v/>
      </c>
      <c r="K364" s="160">
        <f>IF('Sites'!$C$6="Own sheets",MIN(ROUNDDOWN(G364/'NM Play'!$B$11,0)+F364*'NM Play'!$B$10/'NM Play'!$B$43,ROUNDDOWN(H364/'NM Play'!$B$12,0)+F364*'NM Play'!$B$10/'NM Play'!$B$44,(F364*'NM Play'!$B$10+ROUNDDOWN(G364/'NM Play'!$B$11,0)*'NM Play'!$B$43+ROUNDDOWN(H364/'NM Play'!$B$12,0)*'NM Play'!$B$44)/('NM Play'!$B$43+'NM Play'!$B$44)),ROUNDDOWN(G364/'NM Play'!$B$11,0)+F364*'NM Play'!$B$10/'NM Play'!$B$43)</f>
        <v/>
      </c>
      <c r="L364" s="160">
        <f>MIN(ROUNDDOWN(G364/'NM Play'!$B$11,0)+F364/('NM Play'!$B$43/'NM Play'!$B$15),ROUNDDOWN(H364/'NM Play'!$B$12,0)+F364/('NM Play'!$B$44/'NM Play'!$B$16),(F364+ROUNDDOWN(G364/'NM Play'!$B$11,0)*'NM Play'!$B$43/'NM Play'!$B$15+ROUNDDOWN(H364/'NM Play'!$B$12,0)*'NM Play'!$B$44/'NM Play'!$B$16)/('NM Play'!$B$43/'NM Play'!$B$15+'NM Play'!$B$44/'NM Play'!$B$16))</f>
        <v/>
      </c>
      <c r="M364" s="160">
        <f>F364*'NM Play'!$B$36</f>
        <v/>
      </c>
      <c r="N364" s="160">
        <f>ROUNDDOWN(MAX(0,MIN(J364,K364:M364)),0)</f>
        <v/>
      </c>
      <c r="O364" s="160">
        <f>ROUNDUP(MAX(0,N364*'NM Play'!$B$11-G364)/'NM Play'!$B$13,0)</f>
        <v/>
      </c>
      <c r="P364" s="160">
        <f>ROUNDUP(MAX(0,N364*'NM Play'!$B$12-H364)/'NM Play'!$B$14,0)</f>
        <v/>
      </c>
      <c r="Q364" s="160">
        <f>(O364+IF('Sites'!$C$6="Own sheets",P364,0))/'NM Play'!$B$10</f>
        <v/>
      </c>
      <c r="R364" s="160">
        <f>O364/'NM Play'!$B$15+P364/'NM Play'!$B$16</f>
        <v/>
      </c>
      <c r="S364" s="160">
        <f>MAX(Q364,R364,N364/'NM Play'!$B$36)</f>
        <v/>
      </c>
      <c r="T364" s="160">
        <f>Q364*'NM Play'!$B$10*'NM Play'!$B$21*(1+'NM Play'!$B$35)</f>
        <v/>
      </c>
      <c r="U364" s="160">
        <f>MAX(0,T364-I364)</f>
        <v/>
      </c>
      <c r="V364" s="160">
        <f>G364+O364*'NM Play'!$B$13-N364*'NM Play'!$B$11</f>
        <v/>
      </c>
      <c r="W364" s="160">
        <f>H364+P364*'NM Play'!$B$14-N364*'NM Play'!$B$12</f>
        <v/>
      </c>
      <c r="X364" s="160">
        <f>I364+U364-T364</f>
        <v/>
      </c>
      <c r="Y364" s="160">
        <f>MIN(N364,MAX(0,ROUNDDOWN('Sites'!$N$6*'Cases'!$E$9,0)-SUM(Y354:Y363)))</f>
        <v/>
      </c>
      <c r="Z364" s="160">
        <f>N364-Y364</f>
        <v/>
      </c>
      <c r="AA364" s="160">
        <f>U364*'NM Play'!$B$22</f>
        <v/>
      </c>
      <c r="AB364" s="160">
        <f>N364*SUM('NM Play'!$B$29:$B$31)</f>
        <v/>
      </c>
      <c r="AC364" s="160">
        <f>IF('Sites'!$C$6="Defy legs",P364*'NM Play'!$B$14/'NM Play'!$B$12*'NM Play'!$B$28,0)</f>
        <v/>
      </c>
      <c r="AD364" s="160">
        <f>Q364*'NM Play'!$B$23</f>
        <v/>
      </c>
      <c r="AE364" s="160">
        <f>S364*SUM('NM Play'!$B$26,'NM Play'!$B$33:$B$34)</f>
        <v/>
      </c>
      <c r="AF364" s="160">
        <f>IF('Sites'!$D$6="NM crew",S364*SUM('NM Play'!$B$24:$B$25),0)</f>
        <v/>
      </c>
      <c r="AG364" s="160">
        <f>IF('Sites'!$D$6="NM crew",S364*'NM Play'!$B$27,0)</f>
        <v/>
      </c>
      <c r="AH364" s="160">
        <f>N364*'Sites'!$Z$6*'NM Play'!$B$32</f>
        <v/>
      </c>
      <c r="AI364" s="160">
        <f>SUM(Y364:Z364)*'Sites'!$R$6</f>
        <v/>
      </c>
      <c r="AJ364" s="160">
        <f>SUM(AA364:AH364)</f>
        <v/>
      </c>
      <c r="AK364" s="160">
        <f>AJ364+(T364-U364)*'NM Play'!$B$22+MIN(G364,N364*'NM Play'!$B$11)/'NM Play'!$B$13*'NM Play'!$B$21*'NM Play'!$B$22+MIN(H364,N364*'NM Play'!$B$12)/'NM Play'!$B$14*IF('Sites'!$C$6="Own sheets",'NM Play'!$B$21*'NM Play'!$B$22,'NM Play'!$B$28*'NM Play'!$B$14/'NM Play'!$B$12)</f>
        <v/>
      </c>
      <c r="AL364" s="160">
        <f>Y364*'Assumptions'!AL66</f>
        <v/>
      </c>
      <c r="AM364" s="160">
        <f>IF('Sites'!$D$6="NM crew",S364*'NM Play'!$B$37*(1+IF(AND(ISNUMBER('NM Play'!$B$25),'NM Play'!$B$25&gt;0),1,0)),"")</f>
        <v/>
      </c>
      <c r="AN364" s="160">
        <f>IF(OR('Sites'!$E$6&lt;0,'Sites'!$E$6&gt;1,'Sites'!$F$6&lt;1,'Sites'!$G$6&lt;'Sites'!$F$6,F364&lt;0,MIN('Sites'!$I$6:'Sites'!$R$6)&lt;0,'Sites'!$L$6&gt;'Sites'!$I$6,'Sites'!$M$6&gt;'Sites'!$J$6,'Sites'!$N$6&gt;'Sites'!$K$6,'Sites'!$Z$6&lt;0,'Sites'!$Z$6&gt;1,MIN('Sites'!$AA$6:'Sites'!$AC$6)&lt;0,S364&gt;F364+0.001),1,0)</f>
        <v/>
      </c>
      <c r="AO364" s="160">
        <f>I364+U364-T364-X364</f>
        <v/>
      </c>
    </row>
    <row r="365" ht="28" customHeight="1">
      <c r="A365" s="4" t="inlineStr">
        <is>
          <t>Delayed receipts</t>
        </is>
      </c>
      <c r="B365" s="4" t="inlineStr">
        <is>
          <t>WITTA</t>
        </is>
      </c>
      <c r="C365" s="160" t="n">
        <v>36</v>
      </c>
      <c r="D365" s="160">
        <f>ROUNDUP(C365/12,0)</f>
        <v/>
      </c>
      <c r="E365" s="160">
        <f>IF(AND('Sites'!$E$6=1,C365&gt;='Sites'!$F$6,C365&lt;='Sites'!$G$6),1,0)</f>
        <v/>
      </c>
      <c r="F365" s="160">
        <f>E365*'Assumptions'!AM67</f>
        <v/>
      </c>
      <c r="G365" s="160">
        <f>V364</f>
        <v/>
      </c>
      <c r="H365" s="160">
        <f>W364</f>
        <v/>
      </c>
      <c r="I365" s="160">
        <f>X364</f>
        <v/>
      </c>
      <c r="J365" s="160">
        <f>MAX(0,'Sites'!$K$6-SUM(N354:N364))</f>
        <v/>
      </c>
      <c r="K365" s="160">
        <f>IF('Sites'!$C$6="Own sheets",MIN(ROUNDDOWN(G365/'NM Play'!$B$11,0)+F365*'NM Play'!$B$10/'NM Play'!$B$43,ROUNDDOWN(H365/'NM Play'!$B$12,0)+F365*'NM Play'!$B$10/'NM Play'!$B$44,(F365*'NM Play'!$B$10+ROUNDDOWN(G365/'NM Play'!$B$11,0)*'NM Play'!$B$43+ROUNDDOWN(H365/'NM Play'!$B$12,0)*'NM Play'!$B$44)/('NM Play'!$B$43+'NM Play'!$B$44)),ROUNDDOWN(G365/'NM Play'!$B$11,0)+F365*'NM Play'!$B$10/'NM Play'!$B$43)</f>
        <v/>
      </c>
      <c r="L365" s="160">
        <f>MIN(ROUNDDOWN(G365/'NM Play'!$B$11,0)+F365/('NM Play'!$B$43/'NM Play'!$B$15),ROUNDDOWN(H365/'NM Play'!$B$12,0)+F365/('NM Play'!$B$44/'NM Play'!$B$16),(F365+ROUNDDOWN(G365/'NM Play'!$B$11,0)*'NM Play'!$B$43/'NM Play'!$B$15+ROUNDDOWN(H365/'NM Play'!$B$12,0)*'NM Play'!$B$44/'NM Play'!$B$16)/('NM Play'!$B$43/'NM Play'!$B$15+'NM Play'!$B$44/'NM Play'!$B$16))</f>
        <v/>
      </c>
      <c r="M365" s="160">
        <f>F365*'NM Play'!$B$36</f>
        <v/>
      </c>
      <c r="N365" s="160">
        <f>ROUNDDOWN(MAX(0,MIN(J365,K365:M365)),0)</f>
        <v/>
      </c>
      <c r="O365" s="160">
        <f>ROUNDUP(MAX(0,N365*'NM Play'!$B$11-G365)/'NM Play'!$B$13,0)</f>
        <v/>
      </c>
      <c r="P365" s="160">
        <f>ROUNDUP(MAX(0,N365*'NM Play'!$B$12-H365)/'NM Play'!$B$14,0)</f>
        <v/>
      </c>
      <c r="Q365" s="160">
        <f>(O365+IF('Sites'!$C$6="Own sheets",P365,0))/'NM Play'!$B$10</f>
        <v/>
      </c>
      <c r="R365" s="160">
        <f>O365/'NM Play'!$B$15+P365/'NM Play'!$B$16</f>
        <v/>
      </c>
      <c r="S365" s="160">
        <f>MAX(Q365,R365,N365/'NM Play'!$B$36)</f>
        <v/>
      </c>
      <c r="T365" s="160">
        <f>Q365*'NM Play'!$B$10*'NM Play'!$B$21*(1+'NM Play'!$B$35)</f>
        <v/>
      </c>
      <c r="U365" s="160">
        <f>MAX(0,T365-I365)</f>
        <v/>
      </c>
      <c r="V365" s="160">
        <f>G365+O365*'NM Play'!$B$13-N365*'NM Play'!$B$11</f>
        <v/>
      </c>
      <c r="W365" s="160">
        <f>H365+P365*'NM Play'!$B$14-N365*'NM Play'!$B$12</f>
        <v/>
      </c>
      <c r="X365" s="160">
        <f>I365+U365-T365</f>
        <v/>
      </c>
      <c r="Y365" s="160">
        <f>MIN(N365,MAX(0,ROUNDDOWN('Sites'!$N$6*'Cases'!$E$9,0)-SUM(Y354:Y364)))</f>
        <v/>
      </c>
      <c r="Z365" s="160">
        <f>N365-Y365</f>
        <v/>
      </c>
      <c r="AA365" s="160">
        <f>U365*'NM Play'!$B$22</f>
        <v/>
      </c>
      <c r="AB365" s="160">
        <f>N365*SUM('NM Play'!$B$29:$B$31)</f>
        <v/>
      </c>
      <c r="AC365" s="160">
        <f>IF('Sites'!$C$6="Defy legs",P365*'NM Play'!$B$14/'NM Play'!$B$12*'NM Play'!$B$28,0)</f>
        <v/>
      </c>
      <c r="AD365" s="160">
        <f>Q365*'NM Play'!$B$23</f>
        <v/>
      </c>
      <c r="AE365" s="160">
        <f>S365*SUM('NM Play'!$B$26,'NM Play'!$B$33:$B$34)</f>
        <v/>
      </c>
      <c r="AF365" s="160">
        <f>IF('Sites'!$D$6="NM crew",S365*SUM('NM Play'!$B$24:$B$25),0)</f>
        <v/>
      </c>
      <c r="AG365" s="160">
        <f>IF('Sites'!$D$6="NM crew",S365*'NM Play'!$B$27,0)</f>
        <v/>
      </c>
      <c r="AH365" s="160">
        <f>N365*'Sites'!$Z$6*'NM Play'!$B$32</f>
        <v/>
      </c>
      <c r="AI365" s="160">
        <f>SUM(Y365:Z365)*'Sites'!$R$6</f>
        <v/>
      </c>
      <c r="AJ365" s="160">
        <f>SUM(AA365:AH365)</f>
        <v/>
      </c>
      <c r="AK365" s="160">
        <f>AJ365+(T365-U365)*'NM Play'!$B$22+MIN(G365,N365*'NM Play'!$B$11)/'NM Play'!$B$13*'NM Play'!$B$21*'NM Play'!$B$22+MIN(H365,N365*'NM Play'!$B$12)/'NM Play'!$B$14*IF('Sites'!$C$6="Own sheets",'NM Play'!$B$21*'NM Play'!$B$22,'NM Play'!$B$28*'NM Play'!$B$14/'NM Play'!$B$12)</f>
        <v/>
      </c>
      <c r="AL365" s="160">
        <f>Y365*'Assumptions'!AM66</f>
        <v/>
      </c>
      <c r="AM365" s="160">
        <f>IF('Sites'!$D$6="NM crew",S365*'NM Play'!$B$37*(1+IF(AND(ISNUMBER('NM Play'!$B$25),'NM Play'!$B$25&gt;0),1,0)),"")</f>
        <v/>
      </c>
      <c r="AN365" s="160">
        <f>IF(OR('Sites'!$E$6&lt;0,'Sites'!$E$6&gt;1,'Sites'!$F$6&lt;1,'Sites'!$G$6&lt;'Sites'!$F$6,F365&lt;0,MIN('Sites'!$I$6:'Sites'!$R$6)&lt;0,'Sites'!$L$6&gt;'Sites'!$I$6,'Sites'!$M$6&gt;'Sites'!$J$6,'Sites'!$N$6&gt;'Sites'!$K$6,'Sites'!$Z$6&lt;0,'Sites'!$Z$6&gt;1,MIN('Sites'!$AA$6:'Sites'!$AC$6)&lt;0,S365&gt;F365+0.001),1,0)</f>
        <v/>
      </c>
      <c r="AO365" s="160">
        <f>I365+U365-T365-X365</f>
        <v/>
      </c>
    </row>
    <row r="366" ht="28" customHeight="1">
      <c r="A366" s="4" t="inlineStr">
        <is>
          <t>Delayed receipts</t>
        </is>
      </c>
      <c r="B366" s="4" t="inlineStr">
        <is>
          <t>NEW1</t>
        </is>
      </c>
      <c r="C366" s="160" t="n">
        <v>1</v>
      </c>
      <c r="D366" s="160">
        <f>ROUNDUP(C366/12,0)</f>
        <v/>
      </c>
      <c r="E366" s="160">
        <f>IF(AND('Sites'!$E$7=1,C366&gt;='Sites'!$F$7+'Cases'!$G$9,C366&lt;='Sites'!$G$7),1,0)</f>
        <v/>
      </c>
      <c r="F366" s="160">
        <f>E366*'Assumptions'!D68</f>
        <v/>
      </c>
      <c r="G366" s="160">
        <f>'Sites'!$AA$7</f>
        <v/>
      </c>
      <c r="H366" s="160">
        <f>'Sites'!$AB$7</f>
        <v/>
      </c>
      <c r="I366" s="160">
        <f>'Sites'!$AC$7</f>
        <v/>
      </c>
      <c r="J366" s="160">
        <f>MAX(0,'Sites'!$I$7-0)</f>
        <v/>
      </c>
      <c r="K366" s="160">
        <f>IF('Sites'!$C$7="Own sheets",MIN(ROUNDDOWN(G366/'NM Play'!$B$11,0)+F366*'NM Play'!$B$10/'NM Play'!$B$43,ROUNDDOWN(H366/'NM Play'!$B$12,0)+F366*'NM Play'!$B$10/'NM Play'!$B$44,(F366*'NM Play'!$B$10+ROUNDDOWN(G366/'NM Play'!$B$11,0)*'NM Play'!$B$43+ROUNDDOWN(H366/'NM Play'!$B$12,0)*'NM Play'!$B$44)/('NM Play'!$B$43+'NM Play'!$B$44)),ROUNDDOWN(G366/'NM Play'!$B$11,0)+F366*'NM Play'!$B$10/'NM Play'!$B$43)</f>
        <v/>
      </c>
      <c r="L366" s="160">
        <f>MIN(ROUNDDOWN(G366/'NM Play'!$B$11,0)+F366/('NM Play'!$B$43/'NM Play'!$B$15),ROUNDDOWN(H366/'NM Play'!$B$12,0)+F366/('NM Play'!$B$44/'NM Play'!$B$16),(F366+ROUNDDOWN(G366/'NM Play'!$B$11,0)*'NM Play'!$B$43/'NM Play'!$B$15+ROUNDDOWN(H366/'NM Play'!$B$12,0)*'NM Play'!$B$44/'NM Play'!$B$16)/('NM Play'!$B$43/'NM Play'!$B$15+'NM Play'!$B$44/'NM Play'!$B$16))</f>
        <v/>
      </c>
      <c r="M366" s="160">
        <f>F366*'NM Play'!$B$36</f>
        <v/>
      </c>
      <c r="N366" s="160">
        <f>ROUNDDOWN(MAX(0,MIN(J366,K366:M366)),0)</f>
        <v/>
      </c>
      <c r="O366" s="160">
        <f>ROUNDUP(MAX(0,N366*'NM Play'!$B$11-G366)/'NM Play'!$B$13,0)</f>
        <v/>
      </c>
      <c r="P366" s="160">
        <f>ROUNDUP(MAX(0,N366*'NM Play'!$B$12-H366)/'NM Play'!$B$14,0)</f>
        <v/>
      </c>
      <c r="Q366" s="160">
        <f>(O366+IF('Sites'!$C$7="Own sheets",P366,0))/'NM Play'!$B$10</f>
        <v/>
      </c>
      <c r="R366" s="160">
        <f>O366/'NM Play'!$B$15+P366/'NM Play'!$B$16</f>
        <v/>
      </c>
      <c r="S366" s="160">
        <f>MAX(Q366,R366,N366/'NM Play'!$B$36)</f>
        <v/>
      </c>
      <c r="T366" s="160">
        <f>Q366*'NM Play'!$B$10*'NM Play'!$B$21*(1+'NM Play'!$B$35)</f>
        <v/>
      </c>
      <c r="U366" s="160">
        <f>MAX(0,T366-I366)</f>
        <v/>
      </c>
      <c r="V366" s="160">
        <f>G366+O366*'NM Play'!$B$13-N366*'NM Play'!$B$11</f>
        <v/>
      </c>
      <c r="W366" s="160">
        <f>H366+P366*'NM Play'!$B$14-N366*'NM Play'!$B$12</f>
        <v/>
      </c>
      <c r="X366" s="160">
        <f>I366+U366-T366</f>
        <v/>
      </c>
      <c r="Y366" s="160">
        <f>MIN(N366,MAX(0,ROUNDDOWN('Sites'!$L$7*'Cases'!$E$9,0)-0))</f>
        <v/>
      </c>
      <c r="Z366" s="160">
        <f>N366-Y366</f>
        <v/>
      </c>
      <c r="AA366" s="160">
        <f>U366*'NM Play'!$B$22</f>
        <v/>
      </c>
      <c r="AB366" s="160">
        <f>N366*SUM('NM Play'!$B$29:$B$31)</f>
        <v/>
      </c>
      <c r="AC366" s="160">
        <f>IF('Sites'!$C$7="Defy legs",P366*'NM Play'!$B$14/'NM Play'!$B$12*'NM Play'!$B$28,0)</f>
        <v/>
      </c>
      <c r="AD366" s="160">
        <f>Q366*'NM Play'!$B$23</f>
        <v/>
      </c>
      <c r="AE366" s="160">
        <f>S366*SUM('NM Play'!$B$26,'NM Play'!$B$33:$B$34)</f>
        <v/>
      </c>
      <c r="AF366" s="160">
        <f>IF('Sites'!$D$7="NM crew",S366*SUM('NM Play'!$B$24:$B$25),0)</f>
        <v/>
      </c>
      <c r="AG366" s="160">
        <f>IF('Sites'!$D$7="NM crew",S366*'NM Play'!$B$27,0)</f>
        <v/>
      </c>
      <c r="AH366" s="160">
        <f>N366*'Sites'!$Z$7*'NM Play'!$B$32</f>
        <v/>
      </c>
      <c r="AI366" s="160">
        <f>SUM(Y366:Z366)*'Sites'!$R$7</f>
        <v/>
      </c>
      <c r="AJ366" s="160">
        <f>SUM(AA366:AH366)</f>
        <v/>
      </c>
      <c r="AK366" s="160">
        <f>AJ366+(T366-U366)*'NM Play'!$B$22+MIN(G366,N366*'NM Play'!$B$11)/'NM Play'!$B$13*'NM Play'!$B$21*'NM Play'!$B$22+MIN(H366,N366*'NM Play'!$B$12)/'NM Play'!$B$14*IF('Sites'!$C$7="Own sheets",'NM Play'!$B$21*'NM Play'!$B$22,'NM Play'!$B$28*'NM Play'!$B$14/'NM Play'!$B$12)</f>
        <v/>
      </c>
      <c r="AL366" s="160">
        <f>Y366*'Assumptions'!D66</f>
        <v/>
      </c>
      <c r="AM366" s="160">
        <f>IF('Sites'!$D$7="NM crew",S366*'NM Play'!$B$37*(1+IF(AND(ISNUMBER('NM Play'!$B$25),'NM Play'!$B$25&gt;0),1,0)),"")</f>
        <v/>
      </c>
      <c r="AN366" s="160">
        <f>IF(OR('Sites'!$E$7&lt;0,'Sites'!$E$7&gt;1,'Sites'!$F$7&lt;1,'Sites'!$G$7&lt;'Sites'!$F$7,F366&lt;0,MIN('Sites'!$I$7:'Sites'!$R$7)&lt;0,'Sites'!$L$7&gt;'Sites'!$I$7,'Sites'!$M$7&gt;'Sites'!$J$7,'Sites'!$N$7&gt;'Sites'!$K$7,'Sites'!$Z$7&lt;0,'Sites'!$Z$7&gt;1,MIN('Sites'!$AA$7:'Sites'!$AC$7)&lt;0,S366&gt;F366+0.001),1,0)</f>
        <v/>
      </c>
      <c r="AO366" s="160">
        <f>I366+U366-T366-X366</f>
        <v/>
      </c>
    </row>
    <row r="367" ht="28" customHeight="1">
      <c r="A367" s="4" t="inlineStr">
        <is>
          <t>Delayed receipts</t>
        </is>
      </c>
      <c r="B367" s="4" t="inlineStr">
        <is>
          <t>NEW1</t>
        </is>
      </c>
      <c r="C367" s="160" t="n">
        <v>2</v>
      </c>
      <c r="D367" s="160">
        <f>ROUNDUP(C367/12,0)</f>
        <v/>
      </c>
      <c r="E367" s="160">
        <f>IF(AND('Sites'!$E$7=1,C367&gt;='Sites'!$F$7+'Cases'!$G$9,C367&lt;='Sites'!$G$7),1,0)</f>
        <v/>
      </c>
      <c r="F367" s="160">
        <f>E367*'Assumptions'!E68</f>
        <v/>
      </c>
      <c r="G367" s="160">
        <f>V366</f>
        <v/>
      </c>
      <c r="H367" s="160">
        <f>W366</f>
        <v/>
      </c>
      <c r="I367" s="160">
        <f>X366</f>
        <v/>
      </c>
      <c r="J367" s="160">
        <f>MAX(0,'Sites'!$I$7-SUM(N366:N366))</f>
        <v/>
      </c>
      <c r="K367" s="160">
        <f>IF('Sites'!$C$7="Own sheets",MIN(ROUNDDOWN(G367/'NM Play'!$B$11,0)+F367*'NM Play'!$B$10/'NM Play'!$B$43,ROUNDDOWN(H367/'NM Play'!$B$12,0)+F367*'NM Play'!$B$10/'NM Play'!$B$44,(F367*'NM Play'!$B$10+ROUNDDOWN(G367/'NM Play'!$B$11,0)*'NM Play'!$B$43+ROUNDDOWN(H367/'NM Play'!$B$12,0)*'NM Play'!$B$44)/('NM Play'!$B$43+'NM Play'!$B$44)),ROUNDDOWN(G367/'NM Play'!$B$11,0)+F367*'NM Play'!$B$10/'NM Play'!$B$43)</f>
        <v/>
      </c>
      <c r="L367" s="160">
        <f>MIN(ROUNDDOWN(G367/'NM Play'!$B$11,0)+F367/('NM Play'!$B$43/'NM Play'!$B$15),ROUNDDOWN(H367/'NM Play'!$B$12,0)+F367/('NM Play'!$B$44/'NM Play'!$B$16),(F367+ROUNDDOWN(G367/'NM Play'!$B$11,0)*'NM Play'!$B$43/'NM Play'!$B$15+ROUNDDOWN(H367/'NM Play'!$B$12,0)*'NM Play'!$B$44/'NM Play'!$B$16)/('NM Play'!$B$43/'NM Play'!$B$15+'NM Play'!$B$44/'NM Play'!$B$16))</f>
        <v/>
      </c>
      <c r="M367" s="160">
        <f>F367*'NM Play'!$B$36</f>
        <v/>
      </c>
      <c r="N367" s="160">
        <f>ROUNDDOWN(MAX(0,MIN(J367,K367:M367)),0)</f>
        <v/>
      </c>
      <c r="O367" s="160">
        <f>ROUNDUP(MAX(0,N367*'NM Play'!$B$11-G367)/'NM Play'!$B$13,0)</f>
        <v/>
      </c>
      <c r="P367" s="160">
        <f>ROUNDUP(MAX(0,N367*'NM Play'!$B$12-H367)/'NM Play'!$B$14,0)</f>
        <v/>
      </c>
      <c r="Q367" s="160">
        <f>(O367+IF('Sites'!$C$7="Own sheets",P367,0))/'NM Play'!$B$10</f>
        <v/>
      </c>
      <c r="R367" s="160">
        <f>O367/'NM Play'!$B$15+P367/'NM Play'!$B$16</f>
        <v/>
      </c>
      <c r="S367" s="160">
        <f>MAX(Q367,R367,N367/'NM Play'!$B$36)</f>
        <v/>
      </c>
      <c r="T367" s="160">
        <f>Q367*'NM Play'!$B$10*'NM Play'!$B$21*(1+'NM Play'!$B$35)</f>
        <v/>
      </c>
      <c r="U367" s="160">
        <f>MAX(0,T367-I367)</f>
        <v/>
      </c>
      <c r="V367" s="160">
        <f>G367+O367*'NM Play'!$B$13-N367*'NM Play'!$B$11</f>
        <v/>
      </c>
      <c r="W367" s="160">
        <f>H367+P367*'NM Play'!$B$14-N367*'NM Play'!$B$12</f>
        <v/>
      </c>
      <c r="X367" s="160">
        <f>I367+U367-T367</f>
        <v/>
      </c>
      <c r="Y367" s="160">
        <f>MIN(N367,MAX(0,ROUNDDOWN('Sites'!$L$7*'Cases'!$E$9,0)-SUM(Y366:Y366)))</f>
        <v/>
      </c>
      <c r="Z367" s="160">
        <f>N367-Y367</f>
        <v/>
      </c>
      <c r="AA367" s="160">
        <f>U367*'NM Play'!$B$22</f>
        <v/>
      </c>
      <c r="AB367" s="160">
        <f>N367*SUM('NM Play'!$B$29:$B$31)</f>
        <v/>
      </c>
      <c r="AC367" s="160">
        <f>IF('Sites'!$C$7="Defy legs",P367*'NM Play'!$B$14/'NM Play'!$B$12*'NM Play'!$B$28,0)</f>
        <v/>
      </c>
      <c r="AD367" s="160">
        <f>Q367*'NM Play'!$B$23</f>
        <v/>
      </c>
      <c r="AE367" s="160">
        <f>S367*SUM('NM Play'!$B$26,'NM Play'!$B$33:$B$34)</f>
        <v/>
      </c>
      <c r="AF367" s="160">
        <f>IF('Sites'!$D$7="NM crew",S367*SUM('NM Play'!$B$24:$B$25),0)</f>
        <v/>
      </c>
      <c r="AG367" s="160">
        <f>IF('Sites'!$D$7="NM crew",S367*'NM Play'!$B$27,0)</f>
        <v/>
      </c>
      <c r="AH367" s="160">
        <f>N367*'Sites'!$Z$7*'NM Play'!$B$32</f>
        <v/>
      </c>
      <c r="AI367" s="160">
        <f>SUM(Y367:Z367)*'Sites'!$R$7</f>
        <v/>
      </c>
      <c r="AJ367" s="160">
        <f>SUM(AA367:AH367)</f>
        <v/>
      </c>
      <c r="AK367" s="160">
        <f>AJ367+(T367-U367)*'NM Play'!$B$22+MIN(G367,N367*'NM Play'!$B$11)/'NM Play'!$B$13*'NM Play'!$B$21*'NM Play'!$B$22+MIN(H367,N367*'NM Play'!$B$12)/'NM Play'!$B$14*IF('Sites'!$C$7="Own sheets",'NM Play'!$B$21*'NM Play'!$B$22,'NM Play'!$B$28*'NM Play'!$B$14/'NM Play'!$B$12)</f>
        <v/>
      </c>
      <c r="AL367" s="160">
        <f>Y367*'Assumptions'!E66</f>
        <v/>
      </c>
      <c r="AM367" s="160">
        <f>IF('Sites'!$D$7="NM crew",S367*'NM Play'!$B$37*(1+IF(AND(ISNUMBER('NM Play'!$B$25),'NM Play'!$B$25&gt;0),1,0)),"")</f>
        <v/>
      </c>
      <c r="AN367" s="160">
        <f>IF(OR('Sites'!$E$7&lt;0,'Sites'!$E$7&gt;1,'Sites'!$F$7&lt;1,'Sites'!$G$7&lt;'Sites'!$F$7,F367&lt;0,MIN('Sites'!$I$7:'Sites'!$R$7)&lt;0,'Sites'!$L$7&gt;'Sites'!$I$7,'Sites'!$M$7&gt;'Sites'!$J$7,'Sites'!$N$7&gt;'Sites'!$K$7,'Sites'!$Z$7&lt;0,'Sites'!$Z$7&gt;1,MIN('Sites'!$AA$7:'Sites'!$AC$7)&lt;0,S367&gt;F367+0.001),1,0)</f>
        <v/>
      </c>
      <c r="AO367" s="160">
        <f>I367+U367-T367-X367</f>
        <v/>
      </c>
    </row>
    <row r="368" ht="28" customHeight="1">
      <c r="A368" s="4" t="inlineStr">
        <is>
          <t>Delayed receipts</t>
        </is>
      </c>
      <c r="B368" s="4" t="inlineStr">
        <is>
          <t>NEW1</t>
        </is>
      </c>
      <c r="C368" s="160" t="n">
        <v>3</v>
      </c>
      <c r="D368" s="160">
        <f>ROUNDUP(C368/12,0)</f>
        <v/>
      </c>
      <c r="E368" s="160">
        <f>IF(AND('Sites'!$E$7=1,C368&gt;='Sites'!$F$7+'Cases'!$G$9,C368&lt;='Sites'!$G$7),1,0)</f>
        <v/>
      </c>
      <c r="F368" s="160">
        <f>E368*'Assumptions'!F68</f>
        <v/>
      </c>
      <c r="G368" s="160">
        <f>V367</f>
        <v/>
      </c>
      <c r="H368" s="160">
        <f>W367</f>
        <v/>
      </c>
      <c r="I368" s="160">
        <f>X367</f>
        <v/>
      </c>
      <c r="J368" s="160">
        <f>MAX(0,'Sites'!$I$7-SUM(N366:N367))</f>
        <v/>
      </c>
      <c r="K368" s="160">
        <f>IF('Sites'!$C$7="Own sheets",MIN(ROUNDDOWN(G368/'NM Play'!$B$11,0)+F368*'NM Play'!$B$10/'NM Play'!$B$43,ROUNDDOWN(H368/'NM Play'!$B$12,0)+F368*'NM Play'!$B$10/'NM Play'!$B$44,(F368*'NM Play'!$B$10+ROUNDDOWN(G368/'NM Play'!$B$11,0)*'NM Play'!$B$43+ROUNDDOWN(H368/'NM Play'!$B$12,0)*'NM Play'!$B$44)/('NM Play'!$B$43+'NM Play'!$B$44)),ROUNDDOWN(G368/'NM Play'!$B$11,0)+F368*'NM Play'!$B$10/'NM Play'!$B$43)</f>
        <v/>
      </c>
      <c r="L368" s="160">
        <f>MIN(ROUNDDOWN(G368/'NM Play'!$B$11,0)+F368/('NM Play'!$B$43/'NM Play'!$B$15),ROUNDDOWN(H368/'NM Play'!$B$12,0)+F368/('NM Play'!$B$44/'NM Play'!$B$16),(F368+ROUNDDOWN(G368/'NM Play'!$B$11,0)*'NM Play'!$B$43/'NM Play'!$B$15+ROUNDDOWN(H368/'NM Play'!$B$12,0)*'NM Play'!$B$44/'NM Play'!$B$16)/('NM Play'!$B$43/'NM Play'!$B$15+'NM Play'!$B$44/'NM Play'!$B$16))</f>
        <v/>
      </c>
      <c r="M368" s="160">
        <f>F368*'NM Play'!$B$36</f>
        <v/>
      </c>
      <c r="N368" s="160">
        <f>ROUNDDOWN(MAX(0,MIN(J368,K368:M368)),0)</f>
        <v/>
      </c>
      <c r="O368" s="160">
        <f>ROUNDUP(MAX(0,N368*'NM Play'!$B$11-G368)/'NM Play'!$B$13,0)</f>
        <v/>
      </c>
      <c r="P368" s="160">
        <f>ROUNDUP(MAX(0,N368*'NM Play'!$B$12-H368)/'NM Play'!$B$14,0)</f>
        <v/>
      </c>
      <c r="Q368" s="160">
        <f>(O368+IF('Sites'!$C$7="Own sheets",P368,0))/'NM Play'!$B$10</f>
        <v/>
      </c>
      <c r="R368" s="160">
        <f>O368/'NM Play'!$B$15+P368/'NM Play'!$B$16</f>
        <v/>
      </c>
      <c r="S368" s="160">
        <f>MAX(Q368,R368,N368/'NM Play'!$B$36)</f>
        <v/>
      </c>
      <c r="T368" s="160">
        <f>Q368*'NM Play'!$B$10*'NM Play'!$B$21*(1+'NM Play'!$B$35)</f>
        <v/>
      </c>
      <c r="U368" s="160">
        <f>MAX(0,T368-I368)</f>
        <v/>
      </c>
      <c r="V368" s="160">
        <f>G368+O368*'NM Play'!$B$13-N368*'NM Play'!$B$11</f>
        <v/>
      </c>
      <c r="W368" s="160">
        <f>H368+P368*'NM Play'!$B$14-N368*'NM Play'!$B$12</f>
        <v/>
      </c>
      <c r="X368" s="160">
        <f>I368+U368-T368</f>
        <v/>
      </c>
      <c r="Y368" s="160">
        <f>MIN(N368,MAX(0,ROUNDDOWN('Sites'!$L$7*'Cases'!$E$9,0)-SUM(Y366:Y367)))</f>
        <v/>
      </c>
      <c r="Z368" s="160">
        <f>N368-Y368</f>
        <v/>
      </c>
      <c r="AA368" s="160">
        <f>U368*'NM Play'!$B$22</f>
        <v/>
      </c>
      <c r="AB368" s="160">
        <f>N368*SUM('NM Play'!$B$29:$B$31)</f>
        <v/>
      </c>
      <c r="AC368" s="160">
        <f>IF('Sites'!$C$7="Defy legs",P368*'NM Play'!$B$14/'NM Play'!$B$12*'NM Play'!$B$28,0)</f>
        <v/>
      </c>
      <c r="AD368" s="160">
        <f>Q368*'NM Play'!$B$23</f>
        <v/>
      </c>
      <c r="AE368" s="160">
        <f>S368*SUM('NM Play'!$B$26,'NM Play'!$B$33:$B$34)</f>
        <v/>
      </c>
      <c r="AF368" s="160">
        <f>IF('Sites'!$D$7="NM crew",S368*SUM('NM Play'!$B$24:$B$25),0)</f>
        <v/>
      </c>
      <c r="AG368" s="160">
        <f>IF('Sites'!$D$7="NM crew",S368*'NM Play'!$B$27,0)</f>
        <v/>
      </c>
      <c r="AH368" s="160">
        <f>N368*'Sites'!$Z$7*'NM Play'!$B$32</f>
        <v/>
      </c>
      <c r="AI368" s="160">
        <f>SUM(Y368:Z368)*'Sites'!$R$7</f>
        <v/>
      </c>
      <c r="AJ368" s="160">
        <f>SUM(AA368:AH368)</f>
        <v/>
      </c>
      <c r="AK368" s="160">
        <f>AJ368+(T368-U368)*'NM Play'!$B$22+MIN(G368,N368*'NM Play'!$B$11)/'NM Play'!$B$13*'NM Play'!$B$21*'NM Play'!$B$22+MIN(H368,N368*'NM Play'!$B$12)/'NM Play'!$B$14*IF('Sites'!$C$7="Own sheets",'NM Play'!$B$21*'NM Play'!$B$22,'NM Play'!$B$28*'NM Play'!$B$14/'NM Play'!$B$12)</f>
        <v/>
      </c>
      <c r="AL368" s="160">
        <f>Y368*'Assumptions'!F66</f>
        <v/>
      </c>
      <c r="AM368" s="160">
        <f>IF('Sites'!$D$7="NM crew",S368*'NM Play'!$B$37*(1+IF(AND(ISNUMBER('NM Play'!$B$25),'NM Play'!$B$25&gt;0),1,0)),"")</f>
        <v/>
      </c>
      <c r="AN368" s="160">
        <f>IF(OR('Sites'!$E$7&lt;0,'Sites'!$E$7&gt;1,'Sites'!$F$7&lt;1,'Sites'!$G$7&lt;'Sites'!$F$7,F368&lt;0,MIN('Sites'!$I$7:'Sites'!$R$7)&lt;0,'Sites'!$L$7&gt;'Sites'!$I$7,'Sites'!$M$7&gt;'Sites'!$J$7,'Sites'!$N$7&gt;'Sites'!$K$7,'Sites'!$Z$7&lt;0,'Sites'!$Z$7&gt;1,MIN('Sites'!$AA$7:'Sites'!$AC$7)&lt;0,S368&gt;F368+0.001),1,0)</f>
        <v/>
      </c>
      <c r="AO368" s="160">
        <f>I368+U368-T368-X368</f>
        <v/>
      </c>
    </row>
    <row r="369" ht="28" customHeight="1">
      <c r="A369" s="4" t="inlineStr">
        <is>
          <t>Delayed receipts</t>
        </is>
      </c>
      <c r="B369" s="4" t="inlineStr">
        <is>
          <t>NEW1</t>
        </is>
      </c>
      <c r="C369" s="160" t="n">
        <v>4</v>
      </c>
      <c r="D369" s="160">
        <f>ROUNDUP(C369/12,0)</f>
        <v/>
      </c>
      <c r="E369" s="160">
        <f>IF(AND('Sites'!$E$7=1,C369&gt;='Sites'!$F$7+'Cases'!$G$9,C369&lt;='Sites'!$G$7),1,0)</f>
        <v/>
      </c>
      <c r="F369" s="160">
        <f>E369*'Assumptions'!G68</f>
        <v/>
      </c>
      <c r="G369" s="160">
        <f>V368</f>
        <v/>
      </c>
      <c r="H369" s="160">
        <f>W368</f>
        <v/>
      </c>
      <c r="I369" s="160">
        <f>X368</f>
        <v/>
      </c>
      <c r="J369" s="160">
        <f>MAX(0,'Sites'!$I$7-SUM(N366:N368))</f>
        <v/>
      </c>
      <c r="K369" s="160">
        <f>IF('Sites'!$C$7="Own sheets",MIN(ROUNDDOWN(G369/'NM Play'!$B$11,0)+F369*'NM Play'!$B$10/'NM Play'!$B$43,ROUNDDOWN(H369/'NM Play'!$B$12,0)+F369*'NM Play'!$B$10/'NM Play'!$B$44,(F369*'NM Play'!$B$10+ROUNDDOWN(G369/'NM Play'!$B$11,0)*'NM Play'!$B$43+ROUNDDOWN(H369/'NM Play'!$B$12,0)*'NM Play'!$B$44)/('NM Play'!$B$43+'NM Play'!$B$44)),ROUNDDOWN(G369/'NM Play'!$B$11,0)+F369*'NM Play'!$B$10/'NM Play'!$B$43)</f>
        <v/>
      </c>
      <c r="L369" s="160">
        <f>MIN(ROUNDDOWN(G369/'NM Play'!$B$11,0)+F369/('NM Play'!$B$43/'NM Play'!$B$15),ROUNDDOWN(H369/'NM Play'!$B$12,0)+F369/('NM Play'!$B$44/'NM Play'!$B$16),(F369+ROUNDDOWN(G369/'NM Play'!$B$11,0)*'NM Play'!$B$43/'NM Play'!$B$15+ROUNDDOWN(H369/'NM Play'!$B$12,0)*'NM Play'!$B$44/'NM Play'!$B$16)/('NM Play'!$B$43/'NM Play'!$B$15+'NM Play'!$B$44/'NM Play'!$B$16))</f>
        <v/>
      </c>
      <c r="M369" s="160">
        <f>F369*'NM Play'!$B$36</f>
        <v/>
      </c>
      <c r="N369" s="160">
        <f>ROUNDDOWN(MAX(0,MIN(J369,K369:M369)),0)</f>
        <v/>
      </c>
      <c r="O369" s="160">
        <f>ROUNDUP(MAX(0,N369*'NM Play'!$B$11-G369)/'NM Play'!$B$13,0)</f>
        <v/>
      </c>
      <c r="P369" s="160">
        <f>ROUNDUP(MAX(0,N369*'NM Play'!$B$12-H369)/'NM Play'!$B$14,0)</f>
        <v/>
      </c>
      <c r="Q369" s="160">
        <f>(O369+IF('Sites'!$C$7="Own sheets",P369,0))/'NM Play'!$B$10</f>
        <v/>
      </c>
      <c r="R369" s="160">
        <f>O369/'NM Play'!$B$15+P369/'NM Play'!$B$16</f>
        <v/>
      </c>
      <c r="S369" s="160">
        <f>MAX(Q369,R369,N369/'NM Play'!$B$36)</f>
        <v/>
      </c>
      <c r="T369" s="160">
        <f>Q369*'NM Play'!$B$10*'NM Play'!$B$21*(1+'NM Play'!$B$35)</f>
        <v/>
      </c>
      <c r="U369" s="160">
        <f>MAX(0,T369-I369)</f>
        <v/>
      </c>
      <c r="V369" s="160">
        <f>G369+O369*'NM Play'!$B$13-N369*'NM Play'!$B$11</f>
        <v/>
      </c>
      <c r="W369" s="160">
        <f>H369+P369*'NM Play'!$B$14-N369*'NM Play'!$B$12</f>
        <v/>
      </c>
      <c r="X369" s="160">
        <f>I369+U369-T369</f>
        <v/>
      </c>
      <c r="Y369" s="160">
        <f>MIN(N369,MAX(0,ROUNDDOWN('Sites'!$L$7*'Cases'!$E$9,0)-SUM(Y366:Y368)))</f>
        <v/>
      </c>
      <c r="Z369" s="160">
        <f>N369-Y369</f>
        <v/>
      </c>
      <c r="AA369" s="160">
        <f>U369*'NM Play'!$B$22</f>
        <v/>
      </c>
      <c r="AB369" s="160">
        <f>N369*SUM('NM Play'!$B$29:$B$31)</f>
        <v/>
      </c>
      <c r="AC369" s="160">
        <f>IF('Sites'!$C$7="Defy legs",P369*'NM Play'!$B$14/'NM Play'!$B$12*'NM Play'!$B$28,0)</f>
        <v/>
      </c>
      <c r="AD369" s="160">
        <f>Q369*'NM Play'!$B$23</f>
        <v/>
      </c>
      <c r="AE369" s="160">
        <f>S369*SUM('NM Play'!$B$26,'NM Play'!$B$33:$B$34)</f>
        <v/>
      </c>
      <c r="AF369" s="160">
        <f>IF('Sites'!$D$7="NM crew",S369*SUM('NM Play'!$B$24:$B$25),0)</f>
        <v/>
      </c>
      <c r="AG369" s="160">
        <f>IF('Sites'!$D$7="NM crew",S369*'NM Play'!$B$27,0)</f>
        <v/>
      </c>
      <c r="AH369" s="160">
        <f>N369*'Sites'!$Z$7*'NM Play'!$B$32</f>
        <v/>
      </c>
      <c r="AI369" s="160">
        <f>SUM(Y369:Z369)*'Sites'!$R$7</f>
        <v/>
      </c>
      <c r="AJ369" s="160">
        <f>SUM(AA369:AH369)</f>
        <v/>
      </c>
      <c r="AK369" s="160">
        <f>AJ369+(T369-U369)*'NM Play'!$B$22+MIN(G369,N369*'NM Play'!$B$11)/'NM Play'!$B$13*'NM Play'!$B$21*'NM Play'!$B$22+MIN(H369,N369*'NM Play'!$B$12)/'NM Play'!$B$14*IF('Sites'!$C$7="Own sheets",'NM Play'!$B$21*'NM Play'!$B$22,'NM Play'!$B$28*'NM Play'!$B$14/'NM Play'!$B$12)</f>
        <v/>
      </c>
      <c r="AL369" s="160">
        <f>Y369*'Assumptions'!G66</f>
        <v/>
      </c>
      <c r="AM369" s="160">
        <f>IF('Sites'!$D$7="NM crew",S369*'NM Play'!$B$37*(1+IF(AND(ISNUMBER('NM Play'!$B$25),'NM Play'!$B$25&gt;0),1,0)),"")</f>
        <v/>
      </c>
      <c r="AN369" s="160">
        <f>IF(OR('Sites'!$E$7&lt;0,'Sites'!$E$7&gt;1,'Sites'!$F$7&lt;1,'Sites'!$G$7&lt;'Sites'!$F$7,F369&lt;0,MIN('Sites'!$I$7:'Sites'!$R$7)&lt;0,'Sites'!$L$7&gt;'Sites'!$I$7,'Sites'!$M$7&gt;'Sites'!$J$7,'Sites'!$N$7&gt;'Sites'!$K$7,'Sites'!$Z$7&lt;0,'Sites'!$Z$7&gt;1,MIN('Sites'!$AA$7:'Sites'!$AC$7)&lt;0,S369&gt;F369+0.001),1,0)</f>
        <v/>
      </c>
      <c r="AO369" s="160">
        <f>I369+U369-T369-X369</f>
        <v/>
      </c>
    </row>
    <row r="370" ht="28" customHeight="1">
      <c r="A370" s="4" t="inlineStr">
        <is>
          <t>Delayed receipts</t>
        </is>
      </c>
      <c r="B370" s="4" t="inlineStr">
        <is>
          <t>NEW1</t>
        </is>
      </c>
      <c r="C370" s="160" t="n">
        <v>5</v>
      </c>
      <c r="D370" s="160">
        <f>ROUNDUP(C370/12,0)</f>
        <v/>
      </c>
      <c r="E370" s="160">
        <f>IF(AND('Sites'!$E$7=1,C370&gt;='Sites'!$F$7+'Cases'!$G$9,C370&lt;='Sites'!$G$7),1,0)</f>
        <v/>
      </c>
      <c r="F370" s="160">
        <f>E370*'Assumptions'!H68</f>
        <v/>
      </c>
      <c r="G370" s="160">
        <f>V369</f>
        <v/>
      </c>
      <c r="H370" s="160">
        <f>W369</f>
        <v/>
      </c>
      <c r="I370" s="160">
        <f>X369</f>
        <v/>
      </c>
      <c r="J370" s="160">
        <f>MAX(0,'Sites'!$I$7-SUM(N366:N369))</f>
        <v/>
      </c>
      <c r="K370" s="160">
        <f>IF('Sites'!$C$7="Own sheets",MIN(ROUNDDOWN(G370/'NM Play'!$B$11,0)+F370*'NM Play'!$B$10/'NM Play'!$B$43,ROUNDDOWN(H370/'NM Play'!$B$12,0)+F370*'NM Play'!$B$10/'NM Play'!$B$44,(F370*'NM Play'!$B$10+ROUNDDOWN(G370/'NM Play'!$B$11,0)*'NM Play'!$B$43+ROUNDDOWN(H370/'NM Play'!$B$12,0)*'NM Play'!$B$44)/('NM Play'!$B$43+'NM Play'!$B$44)),ROUNDDOWN(G370/'NM Play'!$B$11,0)+F370*'NM Play'!$B$10/'NM Play'!$B$43)</f>
        <v/>
      </c>
      <c r="L370" s="160">
        <f>MIN(ROUNDDOWN(G370/'NM Play'!$B$11,0)+F370/('NM Play'!$B$43/'NM Play'!$B$15),ROUNDDOWN(H370/'NM Play'!$B$12,0)+F370/('NM Play'!$B$44/'NM Play'!$B$16),(F370+ROUNDDOWN(G370/'NM Play'!$B$11,0)*'NM Play'!$B$43/'NM Play'!$B$15+ROUNDDOWN(H370/'NM Play'!$B$12,0)*'NM Play'!$B$44/'NM Play'!$B$16)/('NM Play'!$B$43/'NM Play'!$B$15+'NM Play'!$B$44/'NM Play'!$B$16))</f>
        <v/>
      </c>
      <c r="M370" s="160">
        <f>F370*'NM Play'!$B$36</f>
        <v/>
      </c>
      <c r="N370" s="160">
        <f>ROUNDDOWN(MAX(0,MIN(J370,K370:M370)),0)</f>
        <v/>
      </c>
      <c r="O370" s="160">
        <f>ROUNDUP(MAX(0,N370*'NM Play'!$B$11-G370)/'NM Play'!$B$13,0)</f>
        <v/>
      </c>
      <c r="P370" s="160">
        <f>ROUNDUP(MAX(0,N370*'NM Play'!$B$12-H370)/'NM Play'!$B$14,0)</f>
        <v/>
      </c>
      <c r="Q370" s="160">
        <f>(O370+IF('Sites'!$C$7="Own sheets",P370,0))/'NM Play'!$B$10</f>
        <v/>
      </c>
      <c r="R370" s="160">
        <f>O370/'NM Play'!$B$15+P370/'NM Play'!$B$16</f>
        <v/>
      </c>
      <c r="S370" s="160">
        <f>MAX(Q370,R370,N370/'NM Play'!$B$36)</f>
        <v/>
      </c>
      <c r="T370" s="160">
        <f>Q370*'NM Play'!$B$10*'NM Play'!$B$21*(1+'NM Play'!$B$35)</f>
        <v/>
      </c>
      <c r="U370" s="160">
        <f>MAX(0,T370-I370)</f>
        <v/>
      </c>
      <c r="V370" s="160">
        <f>G370+O370*'NM Play'!$B$13-N370*'NM Play'!$B$11</f>
        <v/>
      </c>
      <c r="W370" s="160">
        <f>H370+P370*'NM Play'!$B$14-N370*'NM Play'!$B$12</f>
        <v/>
      </c>
      <c r="X370" s="160">
        <f>I370+U370-T370</f>
        <v/>
      </c>
      <c r="Y370" s="160">
        <f>MIN(N370,MAX(0,ROUNDDOWN('Sites'!$L$7*'Cases'!$E$9,0)-SUM(Y366:Y369)))</f>
        <v/>
      </c>
      <c r="Z370" s="160">
        <f>N370-Y370</f>
        <v/>
      </c>
      <c r="AA370" s="160">
        <f>U370*'NM Play'!$B$22</f>
        <v/>
      </c>
      <c r="AB370" s="160">
        <f>N370*SUM('NM Play'!$B$29:$B$31)</f>
        <v/>
      </c>
      <c r="AC370" s="160">
        <f>IF('Sites'!$C$7="Defy legs",P370*'NM Play'!$B$14/'NM Play'!$B$12*'NM Play'!$B$28,0)</f>
        <v/>
      </c>
      <c r="AD370" s="160">
        <f>Q370*'NM Play'!$B$23</f>
        <v/>
      </c>
      <c r="AE370" s="160">
        <f>S370*SUM('NM Play'!$B$26,'NM Play'!$B$33:$B$34)</f>
        <v/>
      </c>
      <c r="AF370" s="160">
        <f>IF('Sites'!$D$7="NM crew",S370*SUM('NM Play'!$B$24:$B$25),0)</f>
        <v/>
      </c>
      <c r="AG370" s="160">
        <f>IF('Sites'!$D$7="NM crew",S370*'NM Play'!$B$27,0)</f>
        <v/>
      </c>
      <c r="AH370" s="160">
        <f>N370*'Sites'!$Z$7*'NM Play'!$B$32</f>
        <v/>
      </c>
      <c r="AI370" s="160">
        <f>SUM(Y370:Z370)*'Sites'!$R$7</f>
        <v/>
      </c>
      <c r="AJ370" s="160">
        <f>SUM(AA370:AH370)</f>
        <v/>
      </c>
      <c r="AK370" s="160">
        <f>AJ370+(T370-U370)*'NM Play'!$B$22+MIN(G370,N370*'NM Play'!$B$11)/'NM Play'!$B$13*'NM Play'!$B$21*'NM Play'!$B$22+MIN(H370,N370*'NM Play'!$B$12)/'NM Play'!$B$14*IF('Sites'!$C$7="Own sheets",'NM Play'!$B$21*'NM Play'!$B$22,'NM Play'!$B$28*'NM Play'!$B$14/'NM Play'!$B$12)</f>
        <v/>
      </c>
      <c r="AL370" s="160">
        <f>Y370*'Assumptions'!H66</f>
        <v/>
      </c>
      <c r="AM370" s="160">
        <f>IF('Sites'!$D$7="NM crew",S370*'NM Play'!$B$37*(1+IF(AND(ISNUMBER('NM Play'!$B$25),'NM Play'!$B$25&gt;0),1,0)),"")</f>
        <v/>
      </c>
      <c r="AN370" s="160">
        <f>IF(OR('Sites'!$E$7&lt;0,'Sites'!$E$7&gt;1,'Sites'!$F$7&lt;1,'Sites'!$G$7&lt;'Sites'!$F$7,F370&lt;0,MIN('Sites'!$I$7:'Sites'!$R$7)&lt;0,'Sites'!$L$7&gt;'Sites'!$I$7,'Sites'!$M$7&gt;'Sites'!$J$7,'Sites'!$N$7&gt;'Sites'!$K$7,'Sites'!$Z$7&lt;0,'Sites'!$Z$7&gt;1,MIN('Sites'!$AA$7:'Sites'!$AC$7)&lt;0,S370&gt;F370+0.001),1,0)</f>
        <v/>
      </c>
      <c r="AO370" s="160">
        <f>I370+U370-T370-X370</f>
        <v/>
      </c>
    </row>
    <row r="371" ht="28" customHeight="1">
      <c r="A371" s="4" t="inlineStr">
        <is>
          <t>Delayed receipts</t>
        </is>
      </c>
      <c r="B371" s="4" t="inlineStr">
        <is>
          <t>NEW1</t>
        </is>
      </c>
      <c r="C371" s="160" t="n">
        <v>6</v>
      </c>
      <c r="D371" s="160">
        <f>ROUNDUP(C371/12,0)</f>
        <v/>
      </c>
      <c r="E371" s="160">
        <f>IF(AND('Sites'!$E$7=1,C371&gt;='Sites'!$F$7+'Cases'!$G$9,C371&lt;='Sites'!$G$7),1,0)</f>
        <v/>
      </c>
      <c r="F371" s="160">
        <f>E371*'Assumptions'!I68</f>
        <v/>
      </c>
      <c r="G371" s="160">
        <f>V370</f>
        <v/>
      </c>
      <c r="H371" s="160">
        <f>W370</f>
        <v/>
      </c>
      <c r="I371" s="160">
        <f>X370</f>
        <v/>
      </c>
      <c r="J371" s="160">
        <f>MAX(0,'Sites'!$I$7-SUM(N366:N370))</f>
        <v/>
      </c>
      <c r="K371" s="160">
        <f>IF('Sites'!$C$7="Own sheets",MIN(ROUNDDOWN(G371/'NM Play'!$B$11,0)+F371*'NM Play'!$B$10/'NM Play'!$B$43,ROUNDDOWN(H371/'NM Play'!$B$12,0)+F371*'NM Play'!$B$10/'NM Play'!$B$44,(F371*'NM Play'!$B$10+ROUNDDOWN(G371/'NM Play'!$B$11,0)*'NM Play'!$B$43+ROUNDDOWN(H371/'NM Play'!$B$12,0)*'NM Play'!$B$44)/('NM Play'!$B$43+'NM Play'!$B$44)),ROUNDDOWN(G371/'NM Play'!$B$11,0)+F371*'NM Play'!$B$10/'NM Play'!$B$43)</f>
        <v/>
      </c>
      <c r="L371" s="160">
        <f>MIN(ROUNDDOWN(G371/'NM Play'!$B$11,0)+F371/('NM Play'!$B$43/'NM Play'!$B$15),ROUNDDOWN(H371/'NM Play'!$B$12,0)+F371/('NM Play'!$B$44/'NM Play'!$B$16),(F371+ROUNDDOWN(G371/'NM Play'!$B$11,0)*'NM Play'!$B$43/'NM Play'!$B$15+ROUNDDOWN(H371/'NM Play'!$B$12,0)*'NM Play'!$B$44/'NM Play'!$B$16)/('NM Play'!$B$43/'NM Play'!$B$15+'NM Play'!$B$44/'NM Play'!$B$16))</f>
        <v/>
      </c>
      <c r="M371" s="160">
        <f>F371*'NM Play'!$B$36</f>
        <v/>
      </c>
      <c r="N371" s="160">
        <f>ROUNDDOWN(MAX(0,MIN(J371,K371:M371)),0)</f>
        <v/>
      </c>
      <c r="O371" s="160">
        <f>ROUNDUP(MAX(0,N371*'NM Play'!$B$11-G371)/'NM Play'!$B$13,0)</f>
        <v/>
      </c>
      <c r="P371" s="160">
        <f>ROUNDUP(MAX(0,N371*'NM Play'!$B$12-H371)/'NM Play'!$B$14,0)</f>
        <v/>
      </c>
      <c r="Q371" s="160">
        <f>(O371+IF('Sites'!$C$7="Own sheets",P371,0))/'NM Play'!$B$10</f>
        <v/>
      </c>
      <c r="R371" s="160">
        <f>O371/'NM Play'!$B$15+P371/'NM Play'!$B$16</f>
        <v/>
      </c>
      <c r="S371" s="160">
        <f>MAX(Q371,R371,N371/'NM Play'!$B$36)</f>
        <v/>
      </c>
      <c r="T371" s="160">
        <f>Q371*'NM Play'!$B$10*'NM Play'!$B$21*(1+'NM Play'!$B$35)</f>
        <v/>
      </c>
      <c r="U371" s="160">
        <f>MAX(0,T371-I371)</f>
        <v/>
      </c>
      <c r="V371" s="160">
        <f>G371+O371*'NM Play'!$B$13-N371*'NM Play'!$B$11</f>
        <v/>
      </c>
      <c r="W371" s="160">
        <f>H371+P371*'NM Play'!$B$14-N371*'NM Play'!$B$12</f>
        <v/>
      </c>
      <c r="X371" s="160">
        <f>I371+U371-T371</f>
        <v/>
      </c>
      <c r="Y371" s="160">
        <f>MIN(N371,MAX(0,ROUNDDOWN('Sites'!$L$7*'Cases'!$E$9,0)-SUM(Y366:Y370)))</f>
        <v/>
      </c>
      <c r="Z371" s="160">
        <f>N371-Y371</f>
        <v/>
      </c>
      <c r="AA371" s="160">
        <f>U371*'NM Play'!$B$22</f>
        <v/>
      </c>
      <c r="AB371" s="160">
        <f>N371*SUM('NM Play'!$B$29:$B$31)</f>
        <v/>
      </c>
      <c r="AC371" s="160">
        <f>IF('Sites'!$C$7="Defy legs",P371*'NM Play'!$B$14/'NM Play'!$B$12*'NM Play'!$B$28,0)</f>
        <v/>
      </c>
      <c r="AD371" s="160">
        <f>Q371*'NM Play'!$B$23</f>
        <v/>
      </c>
      <c r="AE371" s="160">
        <f>S371*SUM('NM Play'!$B$26,'NM Play'!$B$33:$B$34)</f>
        <v/>
      </c>
      <c r="AF371" s="160">
        <f>IF('Sites'!$D$7="NM crew",S371*SUM('NM Play'!$B$24:$B$25),0)</f>
        <v/>
      </c>
      <c r="AG371" s="160">
        <f>IF('Sites'!$D$7="NM crew",S371*'NM Play'!$B$27,0)</f>
        <v/>
      </c>
      <c r="AH371" s="160">
        <f>N371*'Sites'!$Z$7*'NM Play'!$B$32</f>
        <v/>
      </c>
      <c r="AI371" s="160">
        <f>SUM(Y371:Z371)*'Sites'!$R$7</f>
        <v/>
      </c>
      <c r="AJ371" s="160">
        <f>SUM(AA371:AH371)</f>
        <v/>
      </c>
      <c r="AK371" s="160">
        <f>AJ371+(T371-U371)*'NM Play'!$B$22+MIN(G371,N371*'NM Play'!$B$11)/'NM Play'!$B$13*'NM Play'!$B$21*'NM Play'!$B$22+MIN(H371,N371*'NM Play'!$B$12)/'NM Play'!$B$14*IF('Sites'!$C$7="Own sheets",'NM Play'!$B$21*'NM Play'!$B$22,'NM Play'!$B$28*'NM Play'!$B$14/'NM Play'!$B$12)</f>
        <v/>
      </c>
      <c r="AL371" s="160">
        <f>Y371*'Assumptions'!I66</f>
        <v/>
      </c>
      <c r="AM371" s="160">
        <f>IF('Sites'!$D$7="NM crew",S371*'NM Play'!$B$37*(1+IF(AND(ISNUMBER('NM Play'!$B$25),'NM Play'!$B$25&gt;0),1,0)),"")</f>
        <v/>
      </c>
      <c r="AN371" s="160">
        <f>IF(OR('Sites'!$E$7&lt;0,'Sites'!$E$7&gt;1,'Sites'!$F$7&lt;1,'Sites'!$G$7&lt;'Sites'!$F$7,F371&lt;0,MIN('Sites'!$I$7:'Sites'!$R$7)&lt;0,'Sites'!$L$7&gt;'Sites'!$I$7,'Sites'!$M$7&gt;'Sites'!$J$7,'Sites'!$N$7&gt;'Sites'!$K$7,'Sites'!$Z$7&lt;0,'Sites'!$Z$7&gt;1,MIN('Sites'!$AA$7:'Sites'!$AC$7)&lt;0,S371&gt;F371+0.001),1,0)</f>
        <v/>
      </c>
      <c r="AO371" s="160">
        <f>I371+U371-T371-X371</f>
        <v/>
      </c>
    </row>
    <row r="372" ht="28" customHeight="1">
      <c r="A372" s="4" t="inlineStr">
        <is>
          <t>Delayed receipts</t>
        </is>
      </c>
      <c r="B372" s="4" t="inlineStr">
        <is>
          <t>NEW1</t>
        </is>
      </c>
      <c r="C372" s="160" t="n">
        <v>7</v>
      </c>
      <c r="D372" s="160">
        <f>ROUNDUP(C372/12,0)</f>
        <v/>
      </c>
      <c r="E372" s="160">
        <f>IF(AND('Sites'!$E$7=1,C372&gt;='Sites'!$F$7+'Cases'!$G$9,C372&lt;='Sites'!$G$7),1,0)</f>
        <v/>
      </c>
      <c r="F372" s="160">
        <f>E372*'Assumptions'!J68</f>
        <v/>
      </c>
      <c r="G372" s="160">
        <f>V371</f>
        <v/>
      </c>
      <c r="H372" s="160">
        <f>W371</f>
        <v/>
      </c>
      <c r="I372" s="160">
        <f>X371</f>
        <v/>
      </c>
      <c r="J372" s="160">
        <f>MAX(0,'Sites'!$I$7-SUM(N366:N371))</f>
        <v/>
      </c>
      <c r="K372" s="160">
        <f>IF('Sites'!$C$7="Own sheets",MIN(ROUNDDOWN(G372/'NM Play'!$B$11,0)+F372*'NM Play'!$B$10/'NM Play'!$B$43,ROUNDDOWN(H372/'NM Play'!$B$12,0)+F372*'NM Play'!$B$10/'NM Play'!$B$44,(F372*'NM Play'!$B$10+ROUNDDOWN(G372/'NM Play'!$B$11,0)*'NM Play'!$B$43+ROUNDDOWN(H372/'NM Play'!$B$12,0)*'NM Play'!$B$44)/('NM Play'!$B$43+'NM Play'!$B$44)),ROUNDDOWN(G372/'NM Play'!$B$11,0)+F372*'NM Play'!$B$10/'NM Play'!$B$43)</f>
        <v/>
      </c>
      <c r="L372" s="160">
        <f>MIN(ROUNDDOWN(G372/'NM Play'!$B$11,0)+F372/('NM Play'!$B$43/'NM Play'!$B$15),ROUNDDOWN(H372/'NM Play'!$B$12,0)+F372/('NM Play'!$B$44/'NM Play'!$B$16),(F372+ROUNDDOWN(G372/'NM Play'!$B$11,0)*'NM Play'!$B$43/'NM Play'!$B$15+ROUNDDOWN(H372/'NM Play'!$B$12,0)*'NM Play'!$B$44/'NM Play'!$B$16)/('NM Play'!$B$43/'NM Play'!$B$15+'NM Play'!$B$44/'NM Play'!$B$16))</f>
        <v/>
      </c>
      <c r="M372" s="160">
        <f>F372*'NM Play'!$B$36</f>
        <v/>
      </c>
      <c r="N372" s="160">
        <f>ROUNDDOWN(MAX(0,MIN(J372,K372:M372)),0)</f>
        <v/>
      </c>
      <c r="O372" s="160">
        <f>ROUNDUP(MAX(0,N372*'NM Play'!$B$11-G372)/'NM Play'!$B$13,0)</f>
        <v/>
      </c>
      <c r="P372" s="160">
        <f>ROUNDUP(MAX(0,N372*'NM Play'!$B$12-H372)/'NM Play'!$B$14,0)</f>
        <v/>
      </c>
      <c r="Q372" s="160">
        <f>(O372+IF('Sites'!$C$7="Own sheets",P372,0))/'NM Play'!$B$10</f>
        <v/>
      </c>
      <c r="R372" s="160">
        <f>O372/'NM Play'!$B$15+P372/'NM Play'!$B$16</f>
        <v/>
      </c>
      <c r="S372" s="160">
        <f>MAX(Q372,R372,N372/'NM Play'!$B$36)</f>
        <v/>
      </c>
      <c r="T372" s="160">
        <f>Q372*'NM Play'!$B$10*'NM Play'!$B$21*(1+'NM Play'!$B$35)</f>
        <v/>
      </c>
      <c r="U372" s="160">
        <f>MAX(0,T372-I372)</f>
        <v/>
      </c>
      <c r="V372" s="160">
        <f>G372+O372*'NM Play'!$B$13-N372*'NM Play'!$B$11</f>
        <v/>
      </c>
      <c r="W372" s="160">
        <f>H372+P372*'NM Play'!$B$14-N372*'NM Play'!$B$12</f>
        <v/>
      </c>
      <c r="X372" s="160">
        <f>I372+U372-T372</f>
        <v/>
      </c>
      <c r="Y372" s="160">
        <f>MIN(N372,MAX(0,ROUNDDOWN('Sites'!$L$7*'Cases'!$E$9,0)-SUM(Y366:Y371)))</f>
        <v/>
      </c>
      <c r="Z372" s="160">
        <f>N372-Y372</f>
        <v/>
      </c>
      <c r="AA372" s="160">
        <f>U372*'NM Play'!$B$22</f>
        <v/>
      </c>
      <c r="AB372" s="160">
        <f>N372*SUM('NM Play'!$B$29:$B$31)</f>
        <v/>
      </c>
      <c r="AC372" s="160">
        <f>IF('Sites'!$C$7="Defy legs",P372*'NM Play'!$B$14/'NM Play'!$B$12*'NM Play'!$B$28,0)</f>
        <v/>
      </c>
      <c r="AD372" s="160">
        <f>Q372*'NM Play'!$B$23</f>
        <v/>
      </c>
      <c r="AE372" s="160">
        <f>S372*SUM('NM Play'!$B$26,'NM Play'!$B$33:$B$34)</f>
        <v/>
      </c>
      <c r="AF372" s="160">
        <f>IF('Sites'!$D$7="NM crew",S372*SUM('NM Play'!$B$24:$B$25),0)</f>
        <v/>
      </c>
      <c r="AG372" s="160">
        <f>IF('Sites'!$D$7="NM crew",S372*'NM Play'!$B$27,0)</f>
        <v/>
      </c>
      <c r="AH372" s="160">
        <f>N372*'Sites'!$Z$7*'NM Play'!$B$32</f>
        <v/>
      </c>
      <c r="AI372" s="160">
        <f>SUM(Y372:Z372)*'Sites'!$R$7</f>
        <v/>
      </c>
      <c r="AJ372" s="160">
        <f>SUM(AA372:AH372)</f>
        <v/>
      </c>
      <c r="AK372" s="160">
        <f>AJ372+(T372-U372)*'NM Play'!$B$22+MIN(G372,N372*'NM Play'!$B$11)/'NM Play'!$B$13*'NM Play'!$B$21*'NM Play'!$B$22+MIN(H372,N372*'NM Play'!$B$12)/'NM Play'!$B$14*IF('Sites'!$C$7="Own sheets",'NM Play'!$B$21*'NM Play'!$B$22,'NM Play'!$B$28*'NM Play'!$B$14/'NM Play'!$B$12)</f>
        <v/>
      </c>
      <c r="AL372" s="160">
        <f>Y372*'Assumptions'!J66</f>
        <v/>
      </c>
      <c r="AM372" s="160">
        <f>IF('Sites'!$D$7="NM crew",S372*'NM Play'!$B$37*(1+IF(AND(ISNUMBER('NM Play'!$B$25),'NM Play'!$B$25&gt;0),1,0)),"")</f>
        <v/>
      </c>
      <c r="AN372" s="160">
        <f>IF(OR('Sites'!$E$7&lt;0,'Sites'!$E$7&gt;1,'Sites'!$F$7&lt;1,'Sites'!$G$7&lt;'Sites'!$F$7,F372&lt;0,MIN('Sites'!$I$7:'Sites'!$R$7)&lt;0,'Sites'!$L$7&gt;'Sites'!$I$7,'Sites'!$M$7&gt;'Sites'!$J$7,'Sites'!$N$7&gt;'Sites'!$K$7,'Sites'!$Z$7&lt;0,'Sites'!$Z$7&gt;1,MIN('Sites'!$AA$7:'Sites'!$AC$7)&lt;0,S372&gt;F372+0.001),1,0)</f>
        <v/>
      </c>
      <c r="AO372" s="160">
        <f>I372+U372-T372-X372</f>
        <v/>
      </c>
    </row>
    <row r="373" ht="28" customHeight="1">
      <c r="A373" s="4" t="inlineStr">
        <is>
          <t>Delayed receipts</t>
        </is>
      </c>
      <c r="B373" s="4" t="inlineStr">
        <is>
          <t>NEW1</t>
        </is>
      </c>
      <c r="C373" s="160" t="n">
        <v>8</v>
      </c>
      <c r="D373" s="160">
        <f>ROUNDUP(C373/12,0)</f>
        <v/>
      </c>
      <c r="E373" s="160">
        <f>IF(AND('Sites'!$E$7=1,C373&gt;='Sites'!$F$7+'Cases'!$G$9,C373&lt;='Sites'!$G$7),1,0)</f>
        <v/>
      </c>
      <c r="F373" s="160">
        <f>E373*'Assumptions'!K68</f>
        <v/>
      </c>
      <c r="G373" s="160">
        <f>V372</f>
        <v/>
      </c>
      <c r="H373" s="160">
        <f>W372</f>
        <v/>
      </c>
      <c r="I373" s="160">
        <f>X372</f>
        <v/>
      </c>
      <c r="J373" s="160">
        <f>MAX(0,'Sites'!$I$7-SUM(N366:N372))</f>
        <v/>
      </c>
      <c r="K373" s="160">
        <f>IF('Sites'!$C$7="Own sheets",MIN(ROUNDDOWN(G373/'NM Play'!$B$11,0)+F373*'NM Play'!$B$10/'NM Play'!$B$43,ROUNDDOWN(H373/'NM Play'!$B$12,0)+F373*'NM Play'!$B$10/'NM Play'!$B$44,(F373*'NM Play'!$B$10+ROUNDDOWN(G373/'NM Play'!$B$11,0)*'NM Play'!$B$43+ROUNDDOWN(H373/'NM Play'!$B$12,0)*'NM Play'!$B$44)/('NM Play'!$B$43+'NM Play'!$B$44)),ROUNDDOWN(G373/'NM Play'!$B$11,0)+F373*'NM Play'!$B$10/'NM Play'!$B$43)</f>
        <v/>
      </c>
      <c r="L373" s="160">
        <f>MIN(ROUNDDOWN(G373/'NM Play'!$B$11,0)+F373/('NM Play'!$B$43/'NM Play'!$B$15),ROUNDDOWN(H373/'NM Play'!$B$12,0)+F373/('NM Play'!$B$44/'NM Play'!$B$16),(F373+ROUNDDOWN(G373/'NM Play'!$B$11,0)*'NM Play'!$B$43/'NM Play'!$B$15+ROUNDDOWN(H373/'NM Play'!$B$12,0)*'NM Play'!$B$44/'NM Play'!$B$16)/('NM Play'!$B$43/'NM Play'!$B$15+'NM Play'!$B$44/'NM Play'!$B$16))</f>
        <v/>
      </c>
      <c r="M373" s="160">
        <f>F373*'NM Play'!$B$36</f>
        <v/>
      </c>
      <c r="N373" s="160">
        <f>ROUNDDOWN(MAX(0,MIN(J373,K373:M373)),0)</f>
        <v/>
      </c>
      <c r="O373" s="160">
        <f>ROUNDUP(MAX(0,N373*'NM Play'!$B$11-G373)/'NM Play'!$B$13,0)</f>
        <v/>
      </c>
      <c r="P373" s="160">
        <f>ROUNDUP(MAX(0,N373*'NM Play'!$B$12-H373)/'NM Play'!$B$14,0)</f>
        <v/>
      </c>
      <c r="Q373" s="160">
        <f>(O373+IF('Sites'!$C$7="Own sheets",P373,0))/'NM Play'!$B$10</f>
        <v/>
      </c>
      <c r="R373" s="160">
        <f>O373/'NM Play'!$B$15+P373/'NM Play'!$B$16</f>
        <v/>
      </c>
      <c r="S373" s="160">
        <f>MAX(Q373,R373,N373/'NM Play'!$B$36)</f>
        <v/>
      </c>
      <c r="T373" s="160">
        <f>Q373*'NM Play'!$B$10*'NM Play'!$B$21*(1+'NM Play'!$B$35)</f>
        <v/>
      </c>
      <c r="U373" s="160">
        <f>MAX(0,T373-I373)</f>
        <v/>
      </c>
      <c r="V373" s="160">
        <f>G373+O373*'NM Play'!$B$13-N373*'NM Play'!$B$11</f>
        <v/>
      </c>
      <c r="W373" s="160">
        <f>H373+P373*'NM Play'!$B$14-N373*'NM Play'!$B$12</f>
        <v/>
      </c>
      <c r="X373" s="160">
        <f>I373+U373-T373</f>
        <v/>
      </c>
      <c r="Y373" s="160">
        <f>MIN(N373,MAX(0,ROUNDDOWN('Sites'!$L$7*'Cases'!$E$9,0)-SUM(Y366:Y372)))</f>
        <v/>
      </c>
      <c r="Z373" s="160">
        <f>N373-Y373</f>
        <v/>
      </c>
      <c r="AA373" s="160">
        <f>U373*'NM Play'!$B$22</f>
        <v/>
      </c>
      <c r="AB373" s="160">
        <f>N373*SUM('NM Play'!$B$29:$B$31)</f>
        <v/>
      </c>
      <c r="AC373" s="160">
        <f>IF('Sites'!$C$7="Defy legs",P373*'NM Play'!$B$14/'NM Play'!$B$12*'NM Play'!$B$28,0)</f>
        <v/>
      </c>
      <c r="AD373" s="160">
        <f>Q373*'NM Play'!$B$23</f>
        <v/>
      </c>
      <c r="AE373" s="160">
        <f>S373*SUM('NM Play'!$B$26,'NM Play'!$B$33:$B$34)</f>
        <v/>
      </c>
      <c r="AF373" s="160">
        <f>IF('Sites'!$D$7="NM crew",S373*SUM('NM Play'!$B$24:$B$25),0)</f>
        <v/>
      </c>
      <c r="AG373" s="160">
        <f>IF('Sites'!$D$7="NM crew",S373*'NM Play'!$B$27,0)</f>
        <v/>
      </c>
      <c r="AH373" s="160">
        <f>N373*'Sites'!$Z$7*'NM Play'!$B$32</f>
        <v/>
      </c>
      <c r="AI373" s="160">
        <f>SUM(Y373:Z373)*'Sites'!$R$7</f>
        <v/>
      </c>
      <c r="AJ373" s="160">
        <f>SUM(AA373:AH373)</f>
        <v/>
      </c>
      <c r="AK373" s="160">
        <f>AJ373+(T373-U373)*'NM Play'!$B$22+MIN(G373,N373*'NM Play'!$B$11)/'NM Play'!$B$13*'NM Play'!$B$21*'NM Play'!$B$22+MIN(H373,N373*'NM Play'!$B$12)/'NM Play'!$B$14*IF('Sites'!$C$7="Own sheets",'NM Play'!$B$21*'NM Play'!$B$22,'NM Play'!$B$28*'NM Play'!$B$14/'NM Play'!$B$12)</f>
        <v/>
      </c>
      <c r="AL373" s="160">
        <f>Y373*'Assumptions'!K66</f>
        <v/>
      </c>
      <c r="AM373" s="160">
        <f>IF('Sites'!$D$7="NM crew",S373*'NM Play'!$B$37*(1+IF(AND(ISNUMBER('NM Play'!$B$25),'NM Play'!$B$25&gt;0),1,0)),"")</f>
        <v/>
      </c>
      <c r="AN373" s="160">
        <f>IF(OR('Sites'!$E$7&lt;0,'Sites'!$E$7&gt;1,'Sites'!$F$7&lt;1,'Sites'!$G$7&lt;'Sites'!$F$7,F373&lt;0,MIN('Sites'!$I$7:'Sites'!$R$7)&lt;0,'Sites'!$L$7&gt;'Sites'!$I$7,'Sites'!$M$7&gt;'Sites'!$J$7,'Sites'!$N$7&gt;'Sites'!$K$7,'Sites'!$Z$7&lt;0,'Sites'!$Z$7&gt;1,MIN('Sites'!$AA$7:'Sites'!$AC$7)&lt;0,S373&gt;F373+0.001),1,0)</f>
        <v/>
      </c>
      <c r="AO373" s="160">
        <f>I373+U373-T373-X373</f>
        <v/>
      </c>
    </row>
    <row r="374" ht="28" customHeight="1">
      <c r="A374" s="4" t="inlineStr">
        <is>
          <t>Delayed receipts</t>
        </is>
      </c>
      <c r="B374" s="4" t="inlineStr">
        <is>
          <t>NEW1</t>
        </is>
      </c>
      <c r="C374" s="160" t="n">
        <v>9</v>
      </c>
      <c r="D374" s="160">
        <f>ROUNDUP(C374/12,0)</f>
        <v/>
      </c>
      <c r="E374" s="160">
        <f>IF(AND('Sites'!$E$7=1,C374&gt;='Sites'!$F$7+'Cases'!$G$9,C374&lt;='Sites'!$G$7),1,0)</f>
        <v/>
      </c>
      <c r="F374" s="160">
        <f>E374*'Assumptions'!L68</f>
        <v/>
      </c>
      <c r="G374" s="160">
        <f>V373</f>
        <v/>
      </c>
      <c r="H374" s="160">
        <f>W373</f>
        <v/>
      </c>
      <c r="I374" s="160">
        <f>X373</f>
        <v/>
      </c>
      <c r="J374" s="160">
        <f>MAX(0,'Sites'!$I$7-SUM(N366:N373))</f>
        <v/>
      </c>
      <c r="K374" s="160">
        <f>IF('Sites'!$C$7="Own sheets",MIN(ROUNDDOWN(G374/'NM Play'!$B$11,0)+F374*'NM Play'!$B$10/'NM Play'!$B$43,ROUNDDOWN(H374/'NM Play'!$B$12,0)+F374*'NM Play'!$B$10/'NM Play'!$B$44,(F374*'NM Play'!$B$10+ROUNDDOWN(G374/'NM Play'!$B$11,0)*'NM Play'!$B$43+ROUNDDOWN(H374/'NM Play'!$B$12,0)*'NM Play'!$B$44)/('NM Play'!$B$43+'NM Play'!$B$44)),ROUNDDOWN(G374/'NM Play'!$B$11,0)+F374*'NM Play'!$B$10/'NM Play'!$B$43)</f>
        <v/>
      </c>
      <c r="L374" s="160">
        <f>MIN(ROUNDDOWN(G374/'NM Play'!$B$11,0)+F374/('NM Play'!$B$43/'NM Play'!$B$15),ROUNDDOWN(H374/'NM Play'!$B$12,0)+F374/('NM Play'!$B$44/'NM Play'!$B$16),(F374+ROUNDDOWN(G374/'NM Play'!$B$11,0)*'NM Play'!$B$43/'NM Play'!$B$15+ROUNDDOWN(H374/'NM Play'!$B$12,0)*'NM Play'!$B$44/'NM Play'!$B$16)/('NM Play'!$B$43/'NM Play'!$B$15+'NM Play'!$B$44/'NM Play'!$B$16))</f>
        <v/>
      </c>
      <c r="M374" s="160">
        <f>F374*'NM Play'!$B$36</f>
        <v/>
      </c>
      <c r="N374" s="160">
        <f>ROUNDDOWN(MAX(0,MIN(J374,K374:M374)),0)</f>
        <v/>
      </c>
      <c r="O374" s="160">
        <f>ROUNDUP(MAX(0,N374*'NM Play'!$B$11-G374)/'NM Play'!$B$13,0)</f>
        <v/>
      </c>
      <c r="P374" s="160">
        <f>ROUNDUP(MAX(0,N374*'NM Play'!$B$12-H374)/'NM Play'!$B$14,0)</f>
        <v/>
      </c>
      <c r="Q374" s="160">
        <f>(O374+IF('Sites'!$C$7="Own sheets",P374,0))/'NM Play'!$B$10</f>
        <v/>
      </c>
      <c r="R374" s="160">
        <f>O374/'NM Play'!$B$15+P374/'NM Play'!$B$16</f>
        <v/>
      </c>
      <c r="S374" s="160">
        <f>MAX(Q374,R374,N374/'NM Play'!$B$36)</f>
        <v/>
      </c>
      <c r="T374" s="160">
        <f>Q374*'NM Play'!$B$10*'NM Play'!$B$21*(1+'NM Play'!$B$35)</f>
        <v/>
      </c>
      <c r="U374" s="160">
        <f>MAX(0,T374-I374)</f>
        <v/>
      </c>
      <c r="V374" s="160">
        <f>G374+O374*'NM Play'!$B$13-N374*'NM Play'!$B$11</f>
        <v/>
      </c>
      <c r="W374" s="160">
        <f>H374+P374*'NM Play'!$B$14-N374*'NM Play'!$B$12</f>
        <v/>
      </c>
      <c r="X374" s="160">
        <f>I374+U374-T374</f>
        <v/>
      </c>
      <c r="Y374" s="160">
        <f>MIN(N374,MAX(0,ROUNDDOWN('Sites'!$L$7*'Cases'!$E$9,0)-SUM(Y366:Y373)))</f>
        <v/>
      </c>
      <c r="Z374" s="160">
        <f>N374-Y374</f>
        <v/>
      </c>
      <c r="AA374" s="160">
        <f>U374*'NM Play'!$B$22</f>
        <v/>
      </c>
      <c r="AB374" s="160">
        <f>N374*SUM('NM Play'!$B$29:$B$31)</f>
        <v/>
      </c>
      <c r="AC374" s="160">
        <f>IF('Sites'!$C$7="Defy legs",P374*'NM Play'!$B$14/'NM Play'!$B$12*'NM Play'!$B$28,0)</f>
        <v/>
      </c>
      <c r="AD374" s="160">
        <f>Q374*'NM Play'!$B$23</f>
        <v/>
      </c>
      <c r="AE374" s="160">
        <f>S374*SUM('NM Play'!$B$26,'NM Play'!$B$33:$B$34)</f>
        <v/>
      </c>
      <c r="AF374" s="160">
        <f>IF('Sites'!$D$7="NM crew",S374*SUM('NM Play'!$B$24:$B$25),0)</f>
        <v/>
      </c>
      <c r="AG374" s="160">
        <f>IF('Sites'!$D$7="NM crew",S374*'NM Play'!$B$27,0)</f>
        <v/>
      </c>
      <c r="AH374" s="160">
        <f>N374*'Sites'!$Z$7*'NM Play'!$B$32</f>
        <v/>
      </c>
      <c r="AI374" s="160">
        <f>SUM(Y374:Z374)*'Sites'!$R$7</f>
        <v/>
      </c>
      <c r="AJ374" s="160">
        <f>SUM(AA374:AH374)</f>
        <v/>
      </c>
      <c r="AK374" s="160">
        <f>AJ374+(T374-U374)*'NM Play'!$B$22+MIN(G374,N374*'NM Play'!$B$11)/'NM Play'!$B$13*'NM Play'!$B$21*'NM Play'!$B$22+MIN(H374,N374*'NM Play'!$B$12)/'NM Play'!$B$14*IF('Sites'!$C$7="Own sheets",'NM Play'!$B$21*'NM Play'!$B$22,'NM Play'!$B$28*'NM Play'!$B$14/'NM Play'!$B$12)</f>
        <v/>
      </c>
      <c r="AL374" s="160">
        <f>Y374*'Assumptions'!L66</f>
        <v/>
      </c>
      <c r="AM374" s="160">
        <f>IF('Sites'!$D$7="NM crew",S374*'NM Play'!$B$37*(1+IF(AND(ISNUMBER('NM Play'!$B$25),'NM Play'!$B$25&gt;0),1,0)),"")</f>
        <v/>
      </c>
      <c r="AN374" s="160">
        <f>IF(OR('Sites'!$E$7&lt;0,'Sites'!$E$7&gt;1,'Sites'!$F$7&lt;1,'Sites'!$G$7&lt;'Sites'!$F$7,F374&lt;0,MIN('Sites'!$I$7:'Sites'!$R$7)&lt;0,'Sites'!$L$7&gt;'Sites'!$I$7,'Sites'!$M$7&gt;'Sites'!$J$7,'Sites'!$N$7&gt;'Sites'!$K$7,'Sites'!$Z$7&lt;0,'Sites'!$Z$7&gt;1,MIN('Sites'!$AA$7:'Sites'!$AC$7)&lt;0,S374&gt;F374+0.001),1,0)</f>
        <v/>
      </c>
      <c r="AO374" s="160">
        <f>I374+U374-T374-X374</f>
        <v/>
      </c>
    </row>
    <row r="375" ht="28" customHeight="1">
      <c r="A375" s="4" t="inlineStr">
        <is>
          <t>Delayed receipts</t>
        </is>
      </c>
      <c r="B375" s="4" t="inlineStr">
        <is>
          <t>NEW1</t>
        </is>
      </c>
      <c r="C375" s="160" t="n">
        <v>10</v>
      </c>
      <c r="D375" s="160">
        <f>ROUNDUP(C375/12,0)</f>
        <v/>
      </c>
      <c r="E375" s="160">
        <f>IF(AND('Sites'!$E$7=1,C375&gt;='Sites'!$F$7+'Cases'!$G$9,C375&lt;='Sites'!$G$7),1,0)</f>
        <v/>
      </c>
      <c r="F375" s="160">
        <f>E375*'Assumptions'!M68</f>
        <v/>
      </c>
      <c r="G375" s="160">
        <f>V374</f>
        <v/>
      </c>
      <c r="H375" s="160">
        <f>W374</f>
        <v/>
      </c>
      <c r="I375" s="160">
        <f>X374</f>
        <v/>
      </c>
      <c r="J375" s="160">
        <f>MAX(0,'Sites'!$I$7-SUM(N366:N374))</f>
        <v/>
      </c>
      <c r="K375" s="160">
        <f>IF('Sites'!$C$7="Own sheets",MIN(ROUNDDOWN(G375/'NM Play'!$B$11,0)+F375*'NM Play'!$B$10/'NM Play'!$B$43,ROUNDDOWN(H375/'NM Play'!$B$12,0)+F375*'NM Play'!$B$10/'NM Play'!$B$44,(F375*'NM Play'!$B$10+ROUNDDOWN(G375/'NM Play'!$B$11,0)*'NM Play'!$B$43+ROUNDDOWN(H375/'NM Play'!$B$12,0)*'NM Play'!$B$44)/('NM Play'!$B$43+'NM Play'!$B$44)),ROUNDDOWN(G375/'NM Play'!$B$11,0)+F375*'NM Play'!$B$10/'NM Play'!$B$43)</f>
        <v/>
      </c>
      <c r="L375" s="160">
        <f>MIN(ROUNDDOWN(G375/'NM Play'!$B$11,0)+F375/('NM Play'!$B$43/'NM Play'!$B$15),ROUNDDOWN(H375/'NM Play'!$B$12,0)+F375/('NM Play'!$B$44/'NM Play'!$B$16),(F375+ROUNDDOWN(G375/'NM Play'!$B$11,0)*'NM Play'!$B$43/'NM Play'!$B$15+ROUNDDOWN(H375/'NM Play'!$B$12,0)*'NM Play'!$B$44/'NM Play'!$B$16)/('NM Play'!$B$43/'NM Play'!$B$15+'NM Play'!$B$44/'NM Play'!$B$16))</f>
        <v/>
      </c>
      <c r="M375" s="160">
        <f>F375*'NM Play'!$B$36</f>
        <v/>
      </c>
      <c r="N375" s="160">
        <f>ROUNDDOWN(MAX(0,MIN(J375,K375:M375)),0)</f>
        <v/>
      </c>
      <c r="O375" s="160">
        <f>ROUNDUP(MAX(0,N375*'NM Play'!$B$11-G375)/'NM Play'!$B$13,0)</f>
        <v/>
      </c>
      <c r="P375" s="160">
        <f>ROUNDUP(MAX(0,N375*'NM Play'!$B$12-H375)/'NM Play'!$B$14,0)</f>
        <v/>
      </c>
      <c r="Q375" s="160">
        <f>(O375+IF('Sites'!$C$7="Own sheets",P375,0))/'NM Play'!$B$10</f>
        <v/>
      </c>
      <c r="R375" s="160">
        <f>O375/'NM Play'!$B$15+P375/'NM Play'!$B$16</f>
        <v/>
      </c>
      <c r="S375" s="160">
        <f>MAX(Q375,R375,N375/'NM Play'!$B$36)</f>
        <v/>
      </c>
      <c r="T375" s="160">
        <f>Q375*'NM Play'!$B$10*'NM Play'!$B$21*(1+'NM Play'!$B$35)</f>
        <v/>
      </c>
      <c r="U375" s="160">
        <f>MAX(0,T375-I375)</f>
        <v/>
      </c>
      <c r="V375" s="160">
        <f>G375+O375*'NM Play'!$B$13-N375*'NM Play'!$B$11</f>
        <v/>
      </c>
      <c r="W375" s="160">
        <f>H375+P375*'NM Play'!$B$14-N375*'NM Play'!$B$12</f>
        <v/>
      </c>
      <c r="X375" s="160">
        <f>I375+U375-T375</f>
        <v/>
      </c>
      <c r="Y375" s="160">
        <f>MIN(N375,MAX(0,ROUNDDOWN('Sites'!$L$7*'Cases'!$E$9,0)-SUM(Y366:Y374)))</f>
        <v/>
      </c>
      <c r="Z375" s="160">
        <f>N375-Y375</f>
        <v/>
      </c>
      <c r="AA375" s="160">
        <f>U375*'NM Play'!$B$22</f>
        <v/>
      </c>
      <c r="AB375" s="160">
        <f>N375*SUM('NM Play'!$B$29:$B$31)</f>
        <v/>
      </c>
      <c r="AC375" s="160">
        <f>IF('Sites'!$C$7="Defy legs",P375*'NM Play'!$B$14/'NM Play'!$B$12*'NM Play'!$B$28,0)</f>
        <v/>
      </c>
      <c r="AD375" s="160">
        <f>Q375*'NM Play'!$B$23</f>
        <v/>
      </c>
      <c r="AE375" s="160">
        <f>S375*SUM('NM Play'!$B$26,'NM Play'!$B$33:$B$34)</f>
        <v/>
      </c>
      <c r="AF375" s="160">
        <f>IF('Sites'!$D$7="NM crew",S375*SUM('NM Play'!$B$24:$B$25),0)</f>
        <v/>
      </c>
      <c r="AG375" s="160">
        <f>IF('Sites'!$D$7="NM crew",S375*'NM Play'!$B$27,0)</f>
        <v/>
      </c>
      <c r="AH375" s="160">
        <f>N375*'Sites'!$Z$7*'NM Play'!$B$32</f>
        <v/>
      </c>
      <c r="AI375" s="160">
        <f>SUM(Y375:Z375)*'Sites'!$R$7</f>
        <v/>
      </c>
      <c r="AJ375" s="160">
        <f>SUM(AA375:AH375)</f>
        <v/>
      </c>
      <c r="AK375" s="160">
        <f>AJ375+(T375-U375)*'NM Play'!$B$22+MIN(G375,N375*'NM Play'!$B$11)/'NM Play'!$B$13*'NM Play'!$B$21*'NM Play'!$B$22+MIN(H375,N375*'NM Play'!$B$12)/'NM Play'!$B$14*IF('Sites'!$C$7="Own sheets",'NM Play'!$B$21*'NM Play'!$B$22,'NM Play'!$B$28*'NM Play'!$B$14/'NM Play'!$B$12)</f>
        <v/>
      </c>
      <c r="AL375" s="160">
        <f>Y375*'Assumptions'!M66</f>
        <v/>
      </c>
      <c r="AM375" s="160">
        <f>IF('Sites'!$D$7="NM crew",S375*'NM Play'!$B$37*(1+IF(AND(ISNUMBER('NM Play'!$B$25),'NM Play'!$B$25&gt;0),1,0)),"")</f>
        <v/>
      </c>
      <c r="AN375" s="160">
        <f>IF(OR('Sites'!$E$7&lt;0,'Sites'!$E$7&gt;1,'Sites'!$F$7&lt;1,'Sites'!$G$7&lt;'Sites'!$F$7,F375&lt;0,MIN('Sites'!$I$7:'Sites'!$R$7)&lt;0,'Sites'!$L$7&gt;'Sites'!$I$7,'Sites'!$M$7&gt;'Sites'!$J$7,'Sites'!$N$7&gt;'Sites'!$K$7,'Sites'!$Z$7&lt;0,'Sites'!$Z$7&gt;1,MIN('Sites'!$AA$7:'Sites'!$AC$7)&lt;0,S375&gt;F375+0.001),1,0)</f>
        <v/>
      </c>
      <c r="AO375" s="160">
        <f>I375+U375-T375-X375</f>
        <v/>
      </c>
    </row>
    <row r="376" ht="28" customHeight="1">
      <c r="A376" s="4" t="inlineStr">
        <is>
          <t>Delayed receipts</t>
        </is>
      </c>
      <c r="B376" s="4" t="inlineStr">
        <is>
          <t>NEW1</t>
        </is>
      </c>
      <c r="C376" s="160" t="n">
        <v>11</v>
      </c>
      <c r="D376" s="160">
        <f>ROUNDUP(C376/12,0)</f>
        <v/>
      </c>
      <c r="E376" s="160">
        <f>IF(AND('Sites'!$E$7=1,C376&gt;='Sites'!$F$7+'Cases'!$G$9,C376&lt;='Sites'!$G$7),1,0)</f>
        <v/>
      </c>
      <c r="F376" s="160">
        <f>E376*'Assumptions'!N68</f>
        <v/>
      </c>
      <c r="G376" s="160">
        <f>V375</f>
        <v/>
      </c>
      <c r="H376" s="160">
        <f>W375</f>
        <v/>
      </c>
      <c r="I376" s="160">
        <f>X375</f>
        <v/>
      </c>
      <c r="J376" s="160">
        <f>MAX(0,'Sites'!$I$7-SUM(N366:N375))</f>
        <v/>
      </c>
      <c r="K376" s="160">
        <f>IF('Sites'!$C$7="Own sheets",MIN(ROUNDDOWN(G376/'NM Play'!$B$11,0)+F376*'NM Play'!$B$10/'NM Play'!$B$43,ROUNDDOWN(H376/'NM Play'!$B$12,0)+F376*'NM Play'!$B$10/'NM Play'!$B$44,(F376*'NM Play'!$B$10+ROUNDDOWN(G376/'NM Play'!$B$11,0)*'NM Play'!$B$43+ROUNDDOWN(H376/'NM Play'!$B$12,0)*'NM Play'!$B$44)/('NM Play'!$B$43+'NM Play'!$B$44)),ROUNDDOWN(G376/'NM Play'!$B$11,0)+F376*'NM Play'!$B$10/'NM Play'!$B$43)</f>
        <v/>
      </c>
      <c r="L376" s="160">
        <f>MIN(ROUNDDOWN(G376/'NM Play'!$B$11,0)+F376/('NM Play'!$B$43/'NM Play'!$B$15),ROUNDDOWN(H376/'NM Play'!$B$12,0)+F376/('NM Play'!$B$44/'NM Play'!$B$16),(F376+ROUNDDOWN(G376/'NM Play'!$B$11,0)*'NM Play'!$B$43/'NM Play'!$B$15+ROUNDDOWN(H376/'NM Play'!$B$12,0)*'NM Play'!$B$44/'NM Play'!$B$16)/('NM Play'!$B$43/'NM Play'!$B$15+'NM Play'!$B$44/'NM Play'!$B$16))</f>
        <v/>
      </c>
      <c r="M376" s="160">
        <f>F376*'NM Play'!$B$36</f>
        <v/>
      </c>
      <c r="N376" s="160">
        <f>ROUNDDOWN(MAX(0,MIN(J376,K376:M376)),0)</f>
        <v/>
      </c>
      <c r="O376" s="160">
        <f>ROUNDUP(MAX(0,N376*'NM Play'!$B$11-G376)/'NM Play'!$B$13,0)</f>
        <v/>
      </c>
      <c r="P376" s="160">
        <f>ROUNDUP(MAX(0,N376*'NM Play'!$B$12-H376)/'NM Play'!$B$14,0)</f>
        <v/>
      </c>
      <c r="Q376" s="160">
        <f>(O376+IF('Sites'!$C$7="Own sheets",P376,0))/'NM Play'!$B$10</f>
        <v/>
      </c>
      <c r="R376" s="160">
        <f>O376/'NM Play'!$B$15+P376/'NM Play'!$B$16</f>
        <v/>
      </c>
      <c r="S376" s="160">
        <f>MAX(Q376,R376,N376/'NM Play'!$B$36)</f>
        <v/>
      </c>
      <c r="T376" s="160">
        <f>Q376*'NM Play'!$B$10*'NM Play'!$B$21*(1+'NM Play'!$B$35)</f>
        <v/>
      </c>
      <c r="U376" s="160">
        <f>MAX(0,T376-I376)</f>
        <v/>
      </c>
      <c r="V376" s="160">
        <f>G376+O376*'NM Play'!$B$13-N376*'NM Play'!$B$11</f>
        <v/>
      </c>
      <c r="W376" s="160">
        <f>H376+P376*'NM Play'!$B$14-N376*'NM Play'!$B$12</f>
        <v/>
      </c>
      <c r="X376" s="160">
        <f>I376+U376-T376</f>
        <v/>
      </c>
      <c r="Y376" s="160">
        <f>MIN(N376,MAX(0,ROUNDDOWN('Sites'!$L$7*'Cases'!$E$9,0)-SUM(Y366:Y375)))</f>
        <v/>
      </c>
      <c r="Z376" s="160">
        <f>N376-Y376</f>
        <v/>
      </c>
      <c r="AA376" s="160">
        <f>U376*'NM Play'!$B$22</f>
        <v/>
      </c>
      <c r="AB376" s="160">
        <f>N376*SUM('NM Play'!$B$29:$B$31)</f>
        <v/>
      </c>
      <c r="AC376" s="160">
        <f>IF('Sites'!$C$7="Defy legs",P376*'NM Play'!$B$14/'NM Play'!$B$12*'NM Play'!$B$28,0)</f>
        <v/>
      </c>
      <c r="AD376" s="160">
        <f>Q376*'NM Play'!$B$23</f>
        <v/>
      </c>
      <c r="AE376" s="160">
        <f>S376*SUM('NM Play'!$B$26,'NM Play'!$B$33:$B$34)</f>
        <v/>
      </c>
      <c r="AF376" s="160">
        <f>IF('Sites'!$D$7="NM crew",S376*SUM('NM Play'!$B$24:$B$25),0)</f>
        <v/>
      </c>
      <c r="AG376" s="160">
        <f>IF('Sites'!$D$7="NM crew",S376*'NM Play'!$B$27,0)</f>
        <v/>
      </c>
      <c r="AH376" s="160">
        <f>N376*'Sites'!$Z$7*'NM Play'!$B$32</f>
        <v/>
      </c>
      <c r="AI376" s="160">
        <f>SUM(Y376:Z376)*'Sites'!$R$7</f>
        <v/>
      </c>
      <c r="AJ376" s="160">
        <f>SUM(AA376:AH376)</f>
        <v/>
      </c>
      <c r="AK376" s="160">
        <f>AJ376+(T376-U376)*'NM Play'!$B$22+MIN(G376,N376*'NM Play'!$B$11)/'NM Play'!$B$13*'NM Play'!$B$21*'NM Play'!$B$22+MIN(H376,N376*'NM Play'!$B$12)/'NM Play'!$B$14*IF('Sites'!$C$7="Own sheets",'NM Play'!$B$21*'NM Play'!$B$22,'NM Play'!$B$28*'NM Play'!$B$14/'NM Play'!$B$12)</f>
        <v/>
      </c>
      <c r="AL376" s="160">
        <f>Y376*'Assumptions'!N66</f>
        <v/>
      </c>
      <c r="AM376" s="160">
        <f>IF('Sites'!$D$7="NM crew",S376*'NM Play'!$B$37*(1+IF(AND(ISNUMBER('NM Play'!$B$25),'NM Play'!$B$25&gt;0),1,0)),"")</f>
        <v/>
      </c>
      <c r="AN376" s="160">
        <f>IF(OR('Sites'!$E$7&lt;0,'Sites'!$E$7&gt;1,'Sites'!$F$7&lt;1,'Sites'!$G$7&lt;'Sites'!$F$7,F376&lt;0,MIN('Sites'!$I$7:'Sites'!$R$7)&lt;0,'Sites'!$L$7&gt;'Sites'!$I$7,'Sites'!$M$7&gt;'Sites'!$J$7,'Sites'!$N$7&gt;'Sites'!$K$7,'Sites'!$Z$7&lt;0,'Sites'!$Z$7&gt;1,MIN('Sites'!$AA$7:'Sites'!$AC$7)&lt;0,S376&gt;F376+0.001),1,0)</f>
        <v/>
      </c>
      <c r="AO376" s="160">
        <f>I376+U376-T376-X376</f>
        <v/>
      </c>
    </row>
    <row r="377" ht="28" customHeight="1">
      <c r="A377" s="4" t="inlineStr">
        <is>
          <t>Delayed receipts</t>
        </is>
      </c>
      <c r="B377" s="4" t="inlineStr">
        <is>
          <t>NEW1</t>
        </is>
      </c>
      <c r="C377" s="160" t="n">
        <v>12</v>
      </c>
      <c r="D377" s="160">
        <f>ROUNDUP(C377/12,0)</f>
        <v/>
      </c>
      <c r="E377" s="160">
        <f>IF(AND('Sites'!$E$7=1,C377&gt;='Sites'!$F$7+'Cases'!$G$9,C377&lt;='Sites'!$G$7),1,0)</f>
        <v/>
      </c>
      <c r="F377" s="160">
        <f>E377*'Assumptions'!O68</f>
        <v/>
      </c>
      <c r="G377" s="160">
        <f>V376</f>
        <v/>
      </c>
      <c r="H377" s="160">
        <f>W376</f>
        <v/>
      </c>
      <c r="I377" s="160">
        <f>X376</f>
        <v/>
      </c>
      <c r="J377" s="160">
        <f>MAX(0,'Sites'!$I$7-SUM(N366:N376))</f>
        <v/>
      </c>
      <c r="K377" s="160">
        <f>IF('Sites'!$C$7="Own sheets",MIN(ROUNDDOWN(G377/'NM Play'!$B$11,0)+F377*'NM Play'!$B$10/'NM Play'!$B$43,ROUNDDOWN(H377/'NM Play'!$B$12,0)+F377*'NM Play'!$B$10/'NM Play'!$B$44,(F377*'NM Play'!$B$10+ROUNDDOWN(G377/'NM Play'!$B$11,0)*'NM Play'!$B$43+ROUNDDOWN(H377/'NM Play'!$B$12,0)*'NM Play'!$B$44)/('NM Play'!$B$43+'NM Play'!$B$44)),ROUNDDOWN(G377/'NM Play'!$B$11,0)+F377*'NM Play'!$B$10/'NM Play'!$B$43)</f>
        <v/>
      </c>
      <c r="L377" s="160">
        <f>MIN(ROUNDDOWN(G377/'NM Play'!$B$11,0)+F377/('NM Play'!$B$43/'NM Play'!$B$15),ROUNDDOWN(H377/'NM Play'!$B$12,0)+F377/('NM Play'!$B$44/'NM Play'!$B$16),(F377+ROUNDDOWN(G377/'NM Play'!$B$11,0)*'NM Play'!$B$43/'NM Play'!$B$15+ROUNDDOWN(H377/'NM Play'!$B$12,0)*'NM Play'!$B$44/'NM Play'!$B$16)/('NM Play'!$B$43/'NM Play'!$B$15+'NM Play'!$B$44/'NM Play'!$B$16))</f>
        <v/>
      </c>
      <c r="M377" s="160">
        <f>F377*'NM Play'!$B$36</f>
        <v/>
      </c>
      <c r="N377" s="160">
        <f>ROUNDDOWN(MAX(0,MIN(J377,K377:M377)),0)</f>
        <v/>
      </c>
      <c r="O377" s="160">
        <f>ROUNDUP(MAX(0,N377*'NM Play'!$B$11-G377)/'NM Play'!$B$13,0)</f>
        <v/>
      </c>
      <c r="P377" s="160">
        <f>ROUNDUP(MAX(0,N377*'NM Play'!$B$12-H377)/'NM Play'!$B$14,0)</f>
        <v/>
      </c>
      <c r="Q377" s="160">
        <f>(O377+IF('Sites'!$C$7="Own sheets",P377,0))/'NM Play'!$B$10</f>
        <v/>
      </c>
      <c r="R377" s="160">
        <f>O377/'NM Play'!$B$15+P377/'NM Play'!$B$16</f>
        <v/>
      </c>
      <c r="S377" s="160">
        <f>MAX(Q377,R377,N377/'NM Play'!$B$36)</f>
        <v/>
      </c>
      <c r="T377" s="160">
        <f>Q377*'NM Play'!$B$10*'NM Play'!$B$21*(1+'NM Play'!$B$35)</f>
        <v/>
      </c>
      <c r="U377" s="160">
        <f>MAX(0,T377-I377)</f>
        <v/>
      </c>
      <c r="V377" s="160">
        <f>G377+O377*'NM Play'!$B$13-N377*'NM Play'!$B$11</f>
        <v/>
      </c>
      <c r="W377" s="160">
        <f>H377+P377*'NM Play'!$B$14-N377*'NM Play'!$B$12</f>
        <v/>
      </c>
      <c r="X377" s="160">
        <f>I377+U377-T377</f>
        <v/>
      </c>
      <c r="Y377" s="160">
        <f>MIN(N377,MAX(0,ROUNDDOWN('Sites'!$L$7*'Cases'!$E$9,0)-SUM(Y366:Y376)))</f>
        <v/>
      </c>
      <c r="Z377" s="160">
        <f>N377-Y377</f>
        <v/>
      </c>
      <c r="AA377" s="160">
        <f>U377*'NM Play'!$B$22</f>
        <v/>
      </c>
      <c r="AB377" s="160">
        <f>N377*SUM('NM Play'!$B$29:$B$31)</f>
        <v/>
      </c>
      <c r="AC377" s="160">
        <f>IF('Sites'!$C$7="Defy legs",P377*'NM Play'!$B$14/'NM Play'!$B$12*'NM Play'!$B$28,0)</f>
        <v/>
      </c>
      <c r="AD377" s="160">
        <f>Q377*'NM Play'!$B$23</f>
        <v/>
      </c>
      <c r="AE377" s="160">
        <f>S377*SUM('NM Play'!$B$26,'NM Play'!$B$33:$B$34)</f>
        <v/>
      </c>
      <c r="AF377" s="160">
        <f>IF('Sites'!$D$7="NM crew",S377*SUM('NM Play'!$B$24:$B$25),0)</f>
        <v/>
      </c>
      <c r="AG377" s="160">
        <f>IF('Sites'!$D$7="NM crew",S377*'NM Play'!$B$27,0)</f>
        <v/>
      </c>
      <c r="AH377" s="160">
        <f>N377*'Sites'!$Z$7*'NM Play'!$B$32</f>
        <v/>
      </c>
      <c r="AI377" s="160">
        <f>SUM(Y377:Z377)*'Sites'!$R$7</f>
        <v/>
      </c>
      <c r="AJ377" s="160">
        <f>SUM(AA377:AH377)</f>
        <v/>
      </c>
      <c r="AK377" s="160">
        <f>AJ377+(T377-U377)*'NM Play'!$B$22+MIN(G377,N377*'NM Play'!$B$11)/'NM Play'!$B$13*'NM Play'!$B$21*'NM Play'!$B$22+MIN(H377,N377*'NM Play'!$B$12)/'NM Play'!$B$14*IF('Sites'!$C$7="Own sheets",'NM Play'!$B$21*'NM Play'!$B$22,'NM Play'!$B$28*'NM Play'!$B$14/'NM Play'!$B$12)</f>
        <v/>
      </c>
      <c r="AL377" s="160">
        <f>Y377*'Assumptions'!O66</f>
        <v/>
      </c>
      <c r="AM377" s="160">
        <f>IF('Sites'!$D$7="NM crew",S377*'NM Play'!$B$37*(1+IF(AND(ISNUMBER('NM Play'!$B$25),'NM Play'!$B$25&gt;0),1,0)),"")</f>
        <v/>
      </c>
      <c r="AN377" s="160">
        <f>IF(OR('Sites'!$E$7&lt;0,'Sites'!$E$7&gt;1,'Sites'!$F$7&lt;1,'Sites'!$G$7&lt;'Sites'!$F$7,F377&lt;0,MIN('Sites'!$I$7:'Sites'!$R$7)&lt;0,'Sites'!$L$7&gt;'Sites'!$I$7,'Sites'!$M$7&gt;'Sites'!$J$7,'Sites'!$N$7&gt;'Sites'!$K$7,'Sites'!$Z$7&lt;0,'Sites'!$Z$7&gt;1,MIN('Sites'!$AA$7:'Sites'!$AC$7)&lt;0,S377&gt;F377+0.001),1,0)</f>
        <v/>
      </c>
      <c r="AO377" s="160">
        <f>I377+U377-T377-X377</f>
        <v/>
      </c>
    </row>
    <row r="378" ht="28" customHeight="1">
      <c r="A378" s="4" t="inlineStr">
        <is>
          <t>Delayed receipts</t>
        </is>
      </c>
      <c r="B378" s="4" t="inlineStr">
        <is>
          <t>NEW1</t>
        </is>
      </c>
      <c r="C378" s="160" t="n">
        <v>13</v>
      </c>
      <c r="D378" s="160">
        <f>ROUNDUP(C378/12,0)</f>
        <v/>
      </c>
      <c r="E378" s="160">
        <f>IF(AND('Sites'!$E$7=1,C378&gt;='Sites'!$F$7+'Cases'!$G$9,C378&lt;='Sites'!$G$7),1,0)</f>
        <v/>
      </c>
      <c r="F378" s="160">
        <f>E378*'Assumptions'!P68</f>
        <v/>
      </c>
      <c r="G378" s="160">
        <f>V377</f>
        <v/>
      </c>
      <c r="H378" s="160">
        <f>W377</f>
        <v/>
      </c>
      <c r="I378" s="160">
        <f>X377</f>
        <v/>
      </c>
      <c r="J378" s="160">
        <f>MAX(0,'Sites'!$J$7-0)</f>
        <v/>
      </c>
      <c r="K378" s="160">
        <f>IF('Sites'!$C$7="Own sheets",MIN(ROUNDDOWN(G378/'NM Play'!$B$11,0)+F378*'NM Play'!$B$10/'NM Play'!$B$43,ROUNDDOWN(H378/'NM Play'!$B$12,0)+F378*'NM Play'!$B$10/'NM Play'!$B$44,(F378*'NM Play'!$B$10+ROUNDDOWN(G378/'NM Play'!$B$11,0)*'NM Play'!$B$43+ROUNDDOWN(H378/'NM Play'!$B$12,0)*'NM Play'!$B$44)/('NM Play'!$B$43+'NM Play'!$B$44)),ROUNDDOWN(G378/'NM Play'!$B$11,0)+F378*'NM Play'!$B$10/'NM Play'!$B$43)</f>
        <v/>
      </c>
      <c r="L378" s="160">
        <f>MIN(ROUNDDOWN(G378/'NM Play'!$B$11,0)+F378/('NM Play'!$B$43/'NM Play'!$B$15),ROUNDDOWN(H378/'NM Play'!$B$12,0)+F378/('NM Play'!$B$44/'NM Play'!$B$16),(F378+ROUNDDOWN(G378/'NM Play'!$B$11,0)*'NM Play'!$B$43/'NM Play'!$B$15+ROUNDDOWN(H378/'NM Play'!$B$12,0)*'NM Play'!$B$44/'NM Play'!$B$16)/('NM Play'!$B$43/'NM Play'!$B$15+'NM Play'!$B$44/'NM Play'!$B$16))</f>
        <v/>
      </c>
      <c r="M378" s="160">
        <f>F378*'NM Play'!$B$36</f>
        <v/>
      </c>
      <c r="N378" s="160">
        <f>ROUNDDOWN(MAX(0,MIN(J378,K378:M378)),0)</f>
        <v/>
      </c>
      <c r="O378" s="160">
        <f>ROUNDUP(MAX(0,N378*'NM Play'!$B$11-G378)/'NM Play'!$B$13,0)</f>
        <v/>
      </c>
      <c r="P378" s="160">
        <f>ROUNDUP(MAX(0,N378*'NM Play'!$B$12-H378)/'NM Play'!$B$14,0)</f>
        <v/>
      </c>
      <c r="Q378" s="160">
        <f>(O378+IF('Sites'!$C$7="Own sheets",P378,0))/'NM Play'!$B$10</f>
        <v/>
      </c>
      <c r="R378" s="160">
        <f>O378/'NM Play'!$B$15+P378/'NM Play'!$B$16</f>
        <v/>
      </c>
      <c r="S378" s="160">
        <f>MAX(Q378,R378,N378/'NM Play'!$B$36)</f>
        <v/>
      </c>
      <c r="T378" s="160">
        <f>Q378*'NM Play'!$B$10*'NM Play'!$B$21*(1+'NM Play'!$B$35)</f>
        <v/>
      </c>
      <c r="U378" s="160">
        <f>MAX(0,T378-I378)</f>
        <v/>
      </c>
      <c r="V378" s="160">
        <f>G378+O378*'NM Play'!$B$13-N378*'NM Play'!$B$11</f>
        <v/>
      </c>
      <c r="W378" s="160">
        <f>H378+P378*'NM Play'!$B$14-N378*'NM Play'!$B$12</f>
        <v/>
      </c>
      <c r="X378" s="160">
        <f>I378+U378-T378</f>
        <v/>
      </c>
      <c r="Y378" s="160">
        <f>MIN(N378,MAX(0,ROUNDDOWN('Sites'!$M$7*'Cases'!$E$9,0)-0))</f>
        <v/>
      </c>
      <c r="Z378" s="160">
        <f>N378-Y378</f>
        <v/>
      </c>
      <c r="AA378" s="160">
        <f>U378*'NM Play'!$B$22</f>
        <v/>
      </c>
      <c r="AB378" s="160">
        <f>N378*SUM('NM Play'!$B$29:$B$31)</f>
        <v/>
      </c>
      <c r="AC378" s="160">
        <f>IF('Sites'!$C$7="Defy legs",P378*'NM Play'!$B$14/'NM Play'!$B$12*'NM Play'!$B$28,0)</f>
        <v/>
      </c>
      <c r="AD378" s="160">
        <f>Q378*'NM Play'!$B$23</f>
        <v/>
      </c>
      <c r="AE378" s="160">
        <f>S378*SUM('NM Play'!$B$26,'NM Play'!$B$33:$B$34)</f>
        <v/>
      </c>
      <c r="AF378" s="160">
        <f>IF('Sites'!$D$7="NM crew",S378*SUM('NM Play'!$B$24:$B$25),0)</f>
        <v/>
      </c>
      <c r="AG378" s="160">
        <f>IF('Sites'!$D$7="NM crew",S378*'NM Play'!$B$27,0)</f>
        <v/>
      </c>
      <c r="AH378" s="160">
        <f>N378*'Sites'!$Z$7*'NM Play'!$B$32</f>
        <v/>
      </c>
      <c r="AI378" s="160">
        <f>SUM(Y378:Z378)*'Sites'!$R$7</f>
        <v/>
      </c>
      <c r="AJ378" s="160">
        <f>SUM(AA378:AH378)</f>
        <v/>
      </c>
      <c r="AK378" s="160">
        <f>AJ378+(T378-U378)*'NM Play'!$B$22+MIN(G378,N378*'NM Play'!$B$11)/'NM Play'!$B$13*'NM Play'!$B$21*'NM Play'!$B$22+MIN(H378,N378*'NM Play'!$B$12)/'NM Play'!$B$14*IF('Sites'!$C$7="Own sheets",'NM Play'!$B$21*'NM Play'!$B$22,'NM Play'!$B$28*'NM Play'!$B$14/'NM Play'!$B$12)</f>
        <v/>
      </c>
      <c r="AL378" s="160">
        <f>Y378*'Assumptions'!P66</f>
        <v/>
      </c>
      <c r="AM378" s="160">
        <f>IF('Sites'!$D$7="NM crew",S378*'NM Play'!$B$37*(1+IF(AND(ISNUMBER('NM Play'!$B$25),'NM Play'!$B$25&gt;0),1,0)),"")</f>
        <v/>
      </c>
      <c r="AN378" s="160">
        <f>IF(OR('Sites'!$E$7&lt;0,'Sites'!$E$7&gt;1,'Sites'!$F$7&lt;1,'Sites'!$G$7&lt;'Sites'!$F$7,F378&lt;0,MIN('Sites'!$I$7:'Sites'!$R$7)&lt;0,'Sites'!$L$7&gt;'Sites'!$I$7,'Sites'!$M$7&gt;'Sites'!$J$7,'Sites'!$N$7&gt;'Sites'!$K$7,'Sites'!$Z$7&lt;0,'Sites'!$Z$7&gt;1,MIN('Sites'!$AA$7:'Sites'!$AC$7)&lt;0,S378&gt;F378+0.001),1,0)</f>
        <v/>
      </c>
      <c r="AO378" s="160">
        <f>I378+U378-T378-X378</f>
        <v/>
      </c>
    </row>
    <row r="379" ht="28" customHeight="1">
      <c r="A379" s="4" t="inlineStr">
        <is>
          <t>Delayed receipts</t>
        </is>
      </c>
      <c r="B379" s="4" t="inlineStr">
        <is>
          <t>NEW1</t>
        </is>
      </c>
      <c r="C379" s="160" t="n">
        <v>14</v>
      </c>
      <c r="D379" s="160">
        <f>ROUNDUP(C379/12,0)</f>
        <v/>
      </c>
      <c r="E379" s="160">
        <f>IF(AND('Sites'!$E$7=1,C379&gt;='Sites'!$F$7+'Cases'!$G$9,C379&lt;='Sites'!$G$7),1,0)</f>
        <v/>
      </c>
      <c r="F379" s="160">
        <f>E379*'Assumptions'!Q68</f>
        <v/>
      </c>
      <c r="G379" s="160">
        <f>V378</f>
        <v/>
      </c>
      <c r="H379" s="160">
        <f>W378</f>
        <v/>
      </c>
      <c r="I379" s="160">
        <f>X378</f>
        <v/>
      </c>
      <c r="J379" s="160">
        <f>MAX(0,'Sites'!$J$7-SUM(N378:N378))</f>
        <v/>
      </c>
      <c r="K379" s="160">
        <f>IF('Sites'!$C$7="Own sheets",MIN(ROUNDDOWN(G379/'NM Play'!$B$11,0)+F379*'NM Play'!$B$10/'NM Play'!$B$43,ROUNDDOWN(H379/'NM Play'!$B$12,0)+F379*'NM Play'!$B$10/'NM Play'!$B$44,(F379*'NM Play'!$B$10+ROUNDDOWN(G379/'NM Play'!$B$11,0)*'NM Play'!$B$43+ROUNDDOWN(H379/'NM Play'!$B$12,0)*'NM Play'!$B$44)/('NM Play'!$B$43+'NM Play'!$B$44)),ROUNDDOWN(G379/'NM Play'!$B$11,0)+F379*'NM Play'!$B$10/'NM Play'!$B$43)</f>
        <v/>
      </c>
      <c r="L379" s="160">
        <f>MIN(ROUNDDOWN(G379/'NM Play'!$B$11,0)+F379/('NM Play'!$B$43/'NM Play'!$B$15),ROUNDDOWN(H379/'NM Play'!$B$12,0)+F379/('NM Play'!$B$44/'NM Play'!$B$16),(F379+ROUNDDOWN(G379/'NM Play'!$B$11,0)*'NM Play'!$B$43/'NM Play'!$B$15+ROUNDDOWN(H379/'NM Play'!$B$12,0)*'NM Play'!$B$44/'NM Play'!$B$16)/('NM Play'!$B$43/'NM Play'!$B$15+'NM Play'!$B$44/'NM Play'!$B$16))</f>
        <v/>
      </c>
      <c r="M379" s="160">
        <f>F379*'NM Play'!$B$36</f>
        <v/>
      </c>
      <c r="N379" s="160">
        <f>ROUNDDOWN(MAX(0,MIN(J379,K379:M379)),0)</f>
        <v/>
      </c>
      <c r="O379" s="160">
        <f>ROUNDUP(MAX(0,N379*'NM Play'!$B$11-G379)/'NM Play'!$B$13,0)</f>
        <v/>
      </c>
      <c r="P379" s="160">
        <f>ROUNDUP(MAX(0,N379*'NM Play'!$B$12-H379)/'NM Play'!$B$14,0)</f>
        <v/>
      </c>
      <c r="Q379" s="160">
        <f>(O379+IF('Sites'!$C$7="Own sheets",P379,0))/'NM Play'!$B$10</f>
        <v/>
      </c>
      <c r="R379" s="160">
        <f>O379/'NM Play'!$B$15+P379/'NM Play'!$B$16</f>
        <v/>
      </c>
      <c r="S379" s="160">
        <f>MAX(Q379,R379,N379/'NM Play'!$B$36)</f>
        <v/>
      </c>
      <c r="T379" s="160">
        <f>Q379*'NM Play'!$B$10*'NM Play'!$B$21*(1+'NM Play'!$B$35)</f>
        <v/>
      </c>
      <c r="U379" s="160">
        <f>MAX(0,T379-I379)</f>
        <v/>
      </c>
      <c r="V379" s="160">
        <f>G379+O379*'NM Play'!$B$13-N379*'NM Play'!$B$11</f>
        <v/>
      </c>
      <c r="W379" s="160">
        <f>H379+P379*'NM Play'!$B$14-N379*'NM Play'!$B$12</f>
        <v/>
      </c>
      <c r="X379" s="160">
        <f>I379+U379-T379</f>
        <v/>
      </c>
      <c r="Y379" s="160">
        <f>MIN(N379,MAX(0,ROUNDDOWN('Sites'!$M$7*'Cases'!$E$9,0)-SUM(Y378:Y378)))</f>
        <v/>
      </c>
      <c r="Z379" s="160">
        <f>N379-Y379</f>
        <v/>
      </c>
      <c r="AA379" s="160">
        <f>U379*'NM Play'!$B$22</f>
        <v/>
      </c>
      <c r="AB379" s="160">
        <f>N379*SUM('NM Play'!$B$29:$B$31)</f>
        <v/>
      </c>
      <c r="AC379" s="160">
        <f>IF('Sites'!$C$7="Defy legs",P379*'NM Play'!$B$14/'NM Play'!$B$12*'NM Play'!$B$28,0)</f>
        <v/>
      </c>
      <c r="AD379" s="160">
        <f>Q379*'NM Play'!$B$23</f>
        <v/>
      </c>
      <c r="AE379" s="160">
        <f>S379*SUM('NM Play'!$B$26,'NM Play'!$B$33:$B$34)</f>
        <v/>
      </c>
      <c r="AF379" s="160">
        <f>IF('Sites'!$D$7="NM crew",S379*SUM('NM Play'!$B$24:$B$25),0)</f>
        <v/>
      </c>
      <c r="AG379" s="160">
        <f>IF('Sites'!$D$7="NM crew",S379*'NM Play'!$B$27,0)</f>
        <v/>
      </c>
      <c r="AH379" s="160">
        <f>N379*'Sites'!$Z$7*'NM Play'!$B$32</f>
        <v/>
      </c>
      <c r="AI379" s="160">
        <f>SUM(Y379:Z379)*'Sites'!$R$7</f>
        <v/>
      </c>
      <c r="AJ379" s="160">
        <f>SUM(AA379:AH379)</f>
        <v/>
      </c>
      <c r="AK379" s="160">
        <f>AJ379+(T379-U379)*'NM Play'!$B$22+MIN(G379,N379*'NM Play'!$B$11)/'NM Play'!$B$13*'NM Play'!$B$21*'NM Play'!$B$22+MIN(H379,N379*'NM Play'!$B$12)/'NM Play'!$B$14*IF('Sites'!$C$7="Own sheets",'NM Play'!$B$21*'NM Play'!$B$22,'NM Play'!$B$28*'NM Play'!$B$14/'NM Play'!$B$12)</f>
        <v/>
      </c>
      <c r="AL379" s="160">
        <f>Y379*'Assumptions'!Q66</f>
        <v/>
      </c>
      <c r="AM379" s="160">
        <f>IF('Sites'!$D$7="NM crew",S379*'NM Play'!$B$37*(1+IF(AND(ISNUMBER('NM Play'!$B$25),'NM Play'!$B$25&gt;0),1,0)),"")</f>
        <v/>
      </c>
      <c r="AN379" s="160">
        <f>IF(OR('Sites'!$E$7&lt;0,'Sites'!$E$7&gt;1,'Sites'!$F$7&lt;1,'Sites'!$G$7&lt;'Sites'!$F$7,F379&lt;0,MIN('Sites'!$I$7:'Sites'!$R$7)&lt;0,'Sites'!$L$7&gt;'Sites'!$I$7,'Sites'!$M$7&gt;'Sites'!$J$7,'Sites'!$N$7&gt;'Sites'!$K$7,'Sites'!$Z$7&lt;0,'Sites'!$Z$7&gt;1,MIN('Sites'!$AA$7:'Sites'!$AC$7)&lt;0,S379&gt;F379+0.001),1,0)</f>
        <v/>
      </c>
      <c r="AO379" s="160">
        <f>I379+U379-T379-X379</f>
        <v/>
      </c>
    </row>
    <row r="380" ht="28" customHeight="1">
      <c r="A380" s="4" t="inlineStr">
        <is>
          <t>Delayed receipts</t>
        </is>
      </c>
      <c r="B380" s="4" t="inlineStr">
        <is>
          <t>NEW1</t>
        </is>
      </c>
      <c r="C380" s="160" t="n">
        <v>15</v>
      </c>
      <c r="D380" s="160">
        <f>ROUNDUP(C380/12,0)</f>
        <v/>
      </c>
      <c r="E380" s="160">
        <f>IF(AND('Sites'!$E$7=1,C380&gt;='Sites'!$F$7+'Cases'!$G$9,C380&lt;='Sites'!$G$7),1,0)</f>
        <v/>
      </c>
      <c r="F380" s="160">
        <f>E380*'Assumptions'!R68</f>
        <v/>
      </c>
      <c r="G380" s="160">
        <f>V379</f>
        <v/>
      </c>
      <c r="H380" s="160">
        <f>W379</f>
        <v/>
      </c>
      <c r="I380" s="160">
        <f>X379</f>
        <v/>
      </c>
      <c r="J380" s="160">
        <f>MAX(0,'Sites'!$J$7-SUM(N378:N379))</f>
        <v/>
      </c>
      <c r="K380" s="160">
        <f>IF('Sites'!$C$7="Own sheets",MIN(ROUNDDOWN(G380/'NM Play'!$B$11,0)+F380*'NM Play'!$B$10/'NM Play'!$B$43,ROUNDDOWN(H380/'NM Play'!$B$12,0)+F380*'NM Play'!$B$10/'NM Play'!$B$44,(F380*'NM Play'!$B$10+ROUNDDOWN(G380/'NM Play'!$B$11,0)*'NM Play'!$B$43+ROUNDDOWN(H380/'NM Play'!$B$12,0)*'NM Play'!$B$44)/('NM Play'!$B$43+'NM Play'!$B$44)),ROUNDDOWN(G380/'NM Play'!$B$11,0)+F380*'NM Play'!$B$10/'NM Play'!$B$43)</f>
        <v/>
      </c>
      <c r="L380" s="160">
        <f>MIN(ROUNDDOWN(G380/'NM Play'!$B$11,0)+F380/('NM Play'!$B$43/'NM Play'!$B$15),ROUNDDOWN(H380/'NM Play'!$B$12,0)+F380/('NM Play'!$B$44/'NM Play'!$B$16),(F380+ROUNDDOWN(G380/'NM Play'!$B$11,0)*'NM Play'!$B$43/'NM Play'!$B$15+ROUNDDOWN(H380/'NM Play'!$B$12,0)*'NM Play'!$B$44/'NM Play'!$B$16)/('NM Play'!$B$43/'NM Play'!$B$15+'NM Play'!$B$44/'NM Play'!$B$16))</f>
        <v/>
      </c>
      <c r="M380" s="160">
        <f>F380*'NM Play'!$B$36</f>
        <v/>
      </c>
      <c r="N380" s="160">
        <f>ROUNDDOWN(MAX(0,MIN(J380,K380:M380)),0)</f>
        <v/>
      </c>
      <c r="O380" s="160">
        <f>ROUNDUP(MAX(0,N380*'NM Play'!$B$11-G380)/'NM Play'!$B$13,0)</f>
        <v/>
      </c>
      <c r="P380" s="160">
        <f>ROUNDUP(MAX(0,N380*'NM Play'!$B$12-H380)/'NM Play'!$B$14,0)</f>
        <v/>
      </c>
      <c r="Q380" s="160">
        <f>(O380+IF('Sites'!$C$7="Own sheets",P380,0))/'NM Play'!$B$10</f>
        <v/>
      </c>
      <c r="R380" s="160">
        <f>O380/'NM Play'!$B$15+P380/'NM Play'!$B$16</f>
        <v/>
      </c>
      <c r="S380" s="160">
        <f>MAX(Q380,R380,N380/'NM Play'!$B$36)</f>
        <v/>
      </c>
      <c r="T380" s="160">
        <f>Q380*'NM Play'!$B$10*'NM Play'!$B$21*(1+'NM Play'!$B$35)</f>
        <v/>
      </c>
      <c r="U380" s="160">
        <f>MAX(0,T380-I380)</f>
        <v/>
      </c>
      <c r="V380" s="160">
        <f>G380+O380*'NM Play'!$B$13-N380*'NM Play'!$B$11</f>
        <v/>
      </c>
      <c r="W380" s="160">
        <f>H380+P380*'NM Play'!$B$14-N380*'NM Play'!$B$12</f>
        <v/>
      </c>
      <c r="X380" s="160">
        <f>I380+U380-T380</f>
        <v/>
      </c>
      <c r="Y380" s="160">
        <f>MIN(N380,MAX(0,ROUNDDOWN('Sites'!$M$7*'Cases'!$E$9,0)-SUM(Y378:Y379)))</f>
        <v/>
      </c>
      <c r="Z380" s="160">
        <f>N380-Y380</f>
        <v/>
      </c>
      <c r="AA380" s="160">
        <f>U380*'NM Play'!$B$22</f>
        <v/>
      </c>
      <c r="AB380" s="160">
        <f>N380*SUM('NM Play'!$B$29:$B$31)</f>
        <v/>
      </c>
      <c r="AC380" s="160">
        <f>IF('Sites'!$C$7="Defy legs",P380*'NM Play'!$B$14/'NM Play'!$B$12*'NM Play'!$B$28,0)</f>
        <v/>
      </c>
      <c r="AD380" s="160">
        <f>Q380*'NM Play'!$B$23</f>
        <v/>
      </c>
      <c r="AE380" s="160">
        <f>S380*SUM('NM Play'!$B$26,'NM Play'!$B$33:$B$34)</f>
        <v/>
      </c>
      <c r="AF380" s="160">
        <f>IF('Sites'!$D$7="NM crew",S380*SUM('NM Play'!$B$24:$B$25),0)</f>
        <v/>
      </c>
      <c r="AG380" s="160">
        <f>IF('Sites'!$D$7="NM crew",S380*'NM Play'!$B$27,0)</f>
        <v/>
      </c>
      <c r="AH380" s="160">
        <f>N380*'Sites'!$Z$7*'NM Play'!$B$32</f>
        <v/>
      </c>
      <c r="AI380" s="160">
        <f>SUM(Y380:Z380)*'Sites'!$R$7</f>
        <v/>
      </c>
      <c r="AJ380" s="160">
        <f>SUM(AA380:AH380)</f>
        <v/>
      </c>
      <c r="AK380" s="160">
        <f>AJ380+(T380-U380)*'NM Play'!$B$22+MIN(G380,N380*'NM Play'!$B$11)/'NM Play'!$B$13*'NM Play'!$B$21*'NM Play'!$B$22+MIN(H380,N380*'NM Play'!$B$12)/'NM Play'!$B$14*IF('Sites'!$C$7="Own sheets",'NM Play'!$B$21*'NM Play'!$B$22,'NM Play'!$B$28*'NM Play'!$B$14/'NM Play'!$B$12)</f>
        <v/>
      </c>
      <c r="AL380" s="160">
        <f>Y380*'Assumptions'!R66</f>
        <v/>
      </c>
      <c r="AM380" s="160">
        <f>IF('Sites'!$D$7="NM crew",S380*'NM Play'!$B$37*(1+IF(AND(ISNUMBER('NM Play'!$B$25),'NM Play'!$B$25&gt;0),1,0)),"")</f>
        <v/>
      </c>
      <c r="AN380" s="160">
        <f>IF(OR('Sites'!$E$7&lt;0,'Sites'!$E$7&gt;1,'Sites'!$F$7&lt;1,'Sites'!$G$7&lt;'Sites'!$F$7,F380&lt;0,MIN('Sites'!$I$7:'Sites'!$R$7)&lt;0,'Sites'!$L$7&gt;'Sites'!$I$7,'Sites'!$M$7&gt;'Sites'!$J$7,'Sites'!$N$7&gt;'Sites'!$K$7,'Sites'!$Z$7&lt;0,'Sites'!$Z$7&gt;1,MIN('Sites'!$AA$7:'Sites'!$AC$7)&lt;0,S380&gt;F380+0.001),1,0)</f>
        <v/>
      </c>
      <c r="AO380" s="160">
        <f>I380+U380-T380-X380</f>
        <v/>
      </c>
    </row>
    <row r="381" ht="28" customHeight="1">
      <c r="A381" s="4" t="inlineStr">
        <is>
          <t>Delayed receipts</t>
        </is>
      </c>
      <c r="B381" s="4" t="inlineStr">
        <is>
          <t>NEW1</t>
        </is>
      </c>
      <c r="C381" s="160" t="n">
        <v>16</v>
      </c>
      <c r="D381" s="160">
        <f>ROUNDUP(C381/12,0)</f>
        <v/>
      </c>
      <c r="E381" s="160">
        <f>IF(AND('Sites'!$E$7=1,C381&gt;='Sites'!$F$7+'Cases'!$G$9,C381&lt;='Sites'!$G$7),1,0)</f>
        <v/>
      </c>
      <c r="F381" s="160">
        <f>E381*'Assumptions'!S68</f>
        <v/>
      </c>
      <c r="G381" s="160">
        <f>V380</f>
        <v/>
      </c>
      <c r="H381" s="160">
        <f>W380</f>
        <v/>
      </c>
      <c r="I381" s="160">
        <f>X380</f>
        <v/>
      </c>
      <c r="J381" s="160">
        <f>MAX(0,'Sites'!$J$7-SUM(N378:N380))</f>
        <v/>
      </c>
      <c r="K381" s="160">
        <f>IF('Sites'!$C$7="Own sheets",MIN(ROUNDDOWN(G381/'NM Play'!$B$11,0)+F381*'NM Play'!$B$10/'NM Play'!$B$43,ROUNDDOWN(H381/'NM Play'!$B$12,0)+F381*'NM Play'!$B$10/'NM Play'!$B$44,(F381*'NM Play'!$B$10+ROUNDDOWN(G381/'NM Play'!$B$11,0)*'NM Play'!$B$43+ROUNDDOWN(H381/'NM Play'!$B$12,0)*'NM Play'!$B$44)/('NM Play'!$B$43+'NM Play'!$B$44)),ROUNDDOWN(G381/'NM Play'!$B$11,0)+F381*'NM Play'!$B$10/'NM Play'!$B$43)</f>
        <v/>
      </c>
      <c r="L381" s="160">
        <f>MIN(ROUNDDOWN(G381/'NM Play'!$B$11,0)+F381/('NM Play'!$B$43/'NM Play'!$B$15),ROUNDDOWN(H381/'NM Play'!$B$12,0)+F381/('NM Play'!$B$44/'NM Play'!$B$16),(F381+ROUNDDOWN(G381/'NM Play'!$B$11,0)*'NM Play'!$B$43/'NM Play'!$B$15+ROUNDDOWN(H381/'NM Play'!$B$12,0)*'NM Play'!$B$44/'NM Play'!$B$16)/('NM Play'!$B$43/'NM Play'!$B$15+'NM Play'!$B$44/'NM Play'!$B$16))</f>
        <v/>
      </c>
      <c r="M381" s="160">
        <f>F381*'NM Play'!$B$36</f>
        <v/>
      </c>
      <c r="N381" s="160">
        <f>ROUNDDOWN(MAX(0,MIN(J381,K381:M381)),0)</f>
        <v/>
      </c>
      <c r="O381" s="160">
        <f>ROUNDUP(MAX(0,N381*'NM Play'!$B$11-G381)/'NM Play'!$B$13,0)</f>
        <v/>
      </c>
      <c r="P381" s="160">
        <f>ROUNDUP(MAX(0,N381*'NM Play'!$B$12-H381)/'NM Play'!$B$14,0)</f>
        <v/>
      </c>
      <c r="Q381" s="160">
        <f>(O381+IF('Sites'!$C$7="Own sheets",P381,0))/'NM Play'!$B$10</f>
        <v/>
      </c>
      <c r="R381" s="160">
        <f>O381/'NM Play'!$B$15+P381/'NM Play'!$B$16</f>
        <v/>
      </c>
      <c r="S381" s="160">
        <f>MAX(Q381,R381,N381/'NM Play'!$B$36)</f>
        <v/>
      </c>
      <c r="T381" s="160">
        <f>Q381*'NM Play'!$B$10*'NM Play'!$B$21*(1+'NM Play'!$B$35)</f>
        <v/>
      </c>
      <c r="U381" s="160">
        <f>MAX(0,T381-I381)</f>
        <v/>
      </c>
      <c r="V381" s="160">
        <f>G381+O381*'NM Play'!$B$13-N381*'NM Play'!$B$11</f>
        <v/>
      </c>
      <c r="W381" s="160">
        <f>H381+P381*'NM Play'!$B$14-N381*'NM Play'!$B$12</f>
        <v/>
      </c>
      <c r="X381" s="160">
        <f>I381+U381-T381</f>
        <v/>
      </c>
      <c r="Y381" s="160">
        <f>MIN(N381,MAX(0,ROUNDDOWN('Sites'!$M$7*'Cases'!$E$9,0)-SUM(Y378:Y380)))</f>
        <v/>
      </c>
      <c r="Z381" s="160">
        <f>N381-Y381</f>
        <v/>
      </c>
      <c r="AA381" s="160">
        <f>U381*'NM Play'!$B$22</f>
        <v/>
      </c>
      <c r="AB381" s="160">
        <f>N381*SUM('NM Play'!$B$29:$B$31)</f>
        <v/>
      </c>
      <c r="AC381" s="160">
        <f>IF('Sites'!$C$7="Defy legs",P381*'NM Play'!$B$14/'NM Play'!$B$12*'NM Play'!$B$28,0)</f>
        <v/>
      </c>
      <c r="AD381" s="160">
        <f>Q381*'NM Play'!$B$23</f>
        <v/>
      </c>
      <c r="AE381" s="160">
        <f>S381*SUM('NM Play'!$B$26,'NM Play'!$B$33:$B$34)</f>
        <v/>
      </c>
      <c r="AF381" s="160">
        <f>IF('Sites'!$D$7="NM crew",S381*SUM('NM Play'!$B$24:$B$25),0)</f>
        <v/>
      </c>
      <c r="AG381" s="160">
        <f>IF('Sites'!$D$7="NM crew",S381*'NM Play'!$B$27,0)</f>
        <v/>
      </c>
      <c r="AH381" s="160">
        <f>N381*'Sites'!$Z$7*'NM Play'!$B$32</f>
        <v/>
      </c>
      <c r="AI381" s="160">
        <f>SUM(Y381:Z381)*'Sites'!$R$7</f>
        <v/>
      </c>
      <c r="AJ381" s="160">
        <f>SUM(AA381:AH381)</f>
        <v/>
      </c>
      <c r="AK381" s="160">
        <f>AJ381+(T381-U381)*'NM Play'!$B$22+MIN(G381,N381*'NM Play'!$B$11)/'NM Play'!$B$13*'NM Play'!$B$21*'NM Play'!$B$22+MIN(H381,N381*'NM Play'!$B$12)/'NM Play'!$B$14*IF('Sites'!$C$7="Own sheets",'NM Play'!$B$21*'NM Play'!$B$22,'NM Play'!$B$28*'NM Play'!$B$14/'NM Play'!$B$12)</f>
        <v/>
      </c>
      <c r="AL381" s="160">
        <f>Y381*'Assumptions'!S66</f>
        <v/>
      </c>
      <c r="AM381" s="160">
        <f>IF('Sites'!$D$7="NM crew",S381*'NM Play'!$B$37*(1+IF(AND(ISNUMBER('NM Play'!$B$25),'NM Play'!$B$25&gt;0),1,0)),"")</f>
        <v/>
      </c>
      <c r="AN381" s="160">
        <f>IF(OR('Sites'!$E$7&lt;0,'Sites'!$E$7&gt;1,'Sites'!$F$7&lt;1,'Sites'!$G$7&lt;'Sites'!$F$7,F381&lt;0,MIN('Sites'!$I$7:'Sites'!$R$7)&lt;0,'Sites'!$L$7&gt;'Sites'!$I$7,'Sites'!$M$7&gt;'Sites'!$J$7,'Sites'!$N$7&gt;'Sites'!$K$7,'Sites'!$Z$7&lt;0,'Sites'!$Z$7&gt;1,MIN('Sites'!$AA$7:'Sites'!$AC$7)&lt;0,S381&gt;F381+0.001),1,0)</f>
        <v/>
      </c>
      <c r="AO381" s="160">
        <f>I381+U381-T381-X381</f>
        <v/>
      </c>
    </row>
    <row r="382" ht="28" customHeight="1">
      <c r="A382" s="4" t="inlineStr">
        <is>
          <t>Delayed receipts</t>
        </is>
      </c>
      <c r="B382" s="4" t="inlineStr">
        <is>
          <t>NEW1</t>
        </is>
      </c>
      <c r="C382" s="160" t="n">
        <v>17</v>
      </c>
      <c r="D382" s="160">
        <f>ROUNDUP(C382/12,0)</f>
        <v/>
      </c>
      <c r="E382" s="160">
        <f>IF(AND('Sites'!$E$7=1,C382&gt;='Sites'!$F$7+'Cases'!$G$9,C382&lt;='Sites'!$G$7),1,0)</f>
        <v/>
      </c>
      <c r="F382" s="160">
        <f>E382*'Assumptions'!T68</f>
        <v/>
      </c>
      <c r="G382" s="160">
        <f>V381</f>
        <v/>
      </c>
      <c r="H382" s="160">
        <f>W381</f>
        <v/>
      </c>
      <c r="I382" s="160">
        <f>X381</f>
        <v/>
      </c>
      <c r="J382" s="160">
        <f>MAX(0,'Sites'!$J$7-SUM(N378:N381))</f>
        <v/>
      </c>
      <c r="K382" s="160">
        <f>IF('Sites'!$C$7="Own sheets",MIN(ROUNDDOWN(G382/'NM Play'!$B$11,0)+F382*'NM Play'!$B$10/'NM Play'!$B$43,ROUNDDOWN(H382/'NM Play'!$B$12,0)+F382*'NM Play'!$B$10/'NM Play'!$B$44,(F382*'NM Play'!$B$10+ROUNDDOWN(G382/'NM Play'!$B$11,0)*'NM Play'!$B$43+ROUNDDOWN(H382/'NM Play'!$B$12,0)*'NM Play'!$B$44)/('NM Play'!$B$43+'NM Play'!$B$44)),ROUNDDOWN(G382/'NM Play'!$B$11,0)+F382*'NM Play'!$B$10/'NM Play'!$B$43)</f>
        <v/>
      </c>
      <c r="L382" s="160">
        <f>MIN(ROUNDDOWN(G382/'NM Play'!$B$11,0)+F382/('NM Play'!$B$43/'NM Play'!$B$15),ROUNDDOWN(H382/'NM Play'!$B$12,0)+F382/('NM Play'!$B$44/'NM Play'!$B$16),(F382+ROUNDDOWN(G382/'NM Play'!$B$11,0)*'NM Play'!$B$43/'NM Play'!$B$15+ROUNDDOWN(H382/'NM Play'!$B$12,0)*'NM Play'!$B$44/'NM Play'!$B$16)/('NM Play'!$B$43/'NM Play'!$B$15+'NM Play'!$B$44/'NM Play'!$B$16))</f>
        <v/>
      </c>
      <c r="M382" s="160">
        <f>F382*'NM Play'!$B$36</f>
        <v/>
      </c>
      <c r="N382" s="160">
        <f>ROUNDDOWN(MAX(0,MIN(J382,K382:M382)),0)</f>
        <v/>
      </c>
      <c r="O382" s="160">
        <f>ROUNDUP(MAX(0,N382*'NM Play'!$B$11-G382)/'NM Play'!$B$13,0)</f>
        <v/>
      </c>
      <c r="P382" s="160">
        <f>ROUNDUP(MAX(0,N382*'NM Play'!$B$12-H382)/'NM Play'!$B$14,0)</f>
        <v/>
      </c>
      <c r="Q382" s="160">
        <f>(O382+IF('Sites'!$C$7="Own sheets",P382,0))/'NM Play'!$B$10</f>
        <v/>
      </c>
      <c r="R382" s="160">
        <f>O382/'NM Play'!$B$15+P382/'NM Play'!$B$16</f>
        <v/>
      </c>
      <c r="S382" s="160">
        <f>MAX(Q382,R382,N382/'NM Play'!$B$36)</f>
        <v/>
      </c>
      <c r="T382" s="160">
        <f>Q382*'NM Play'!$B$10*'NM Play'!$B$21*(1+'NM Play'!$B$35)</f>
        <v/>
      </c>
      <c r="U382" s="160">
        <f>MAX(0,T382-I382)</f>
        <v/>
      </c>
      <c r="V382" s="160">
        <f>G382+O382*'NM Play'!$B$13-N382*'NM Play'!$B$11</f>
        <v/>
      </c>
      <c r="W382" s="160">
        <f>H382+P382*'NM Play'!$B$14-N382*'NM Play'!$B$12</f>
        <v/>
      </c>
      <c r="X382" s="160">
        <f>I382+U382-T382</f>
        <v/>
      </c>
      <c r="Y382" s="160">
        <f>MIN(N382,MAX(0,ROUNDDOWN('Sites'!$M$7*'Cases'!$E$9,0)-SUM(Y378:Y381)))</f>
        <v/>
      </c>
      <c r="Z382" s="160">
        <f>N382-Y382</f>
        <v/>
      </c>
      <c r="AA382" s="160">
        <f>U382*'NM Play'!$B$22</f>
        <v/>
      </c>
      <c r="AB382" s="160">
        <f>N382*SUM('NM Play'!$B$29:$B$31)</f>
        <v/>
      </c>
      <c r="AC382" s="160">
        <f>IF('Sites'!$C$7="Defy legs",P382*'NM Play'!$B$14/'NM Play'!$B$12*'NM Play'!$B$28,0)</f>
        <v/>
      </c>
      <c r="AD382" s="160">
        <f>Q382*'NM Play'!$B$23</f>
        <v/>
      </c>
      <c r="AE382" s="160">
        <f>S382*SUM('NM Play'!$B$26,'NM Play'!$B$33:$B$34)</f>
        <v/>
      </c>
      <c r="AF382" s="160">
        <f>IF('Sites'!$D$7="NM crew",S382*SUM('NM Play'!$B$24:$B$25),0)</f>
        <v/>
      </c>
      <c r="AG382" s="160">
        <f>IF('Sites'!$D$7="NM crew",S382*'NM Play'!$B$27,0)</f>
        <v/>
      </c>
      <c r="AH382" s="160">
        <f>N382*'Sites'!$Z$7*'NM Play'!$B$32</f>
        <v/>
      </c>
      <c r="AI382" s="160">
        <f>SUM(Y382:Z382)*'Sites'!$R$7</f>
        <v/>
      </c>
      <c r="AJ382" s="160">
        <f>SUM(AA382:AH382)</f>
        <v/>
      </c>
      <c r="AK382" s="160">
        <f>AJ382+(T382-U382)*'NM Play'!$B$22+MIN(G382,N382*'NM Play'!$B$11)/'NM Play'!$B$13*'NM Play'!$B$21*'NM Play'!$B$22+MIN(H382,N382*'NM Play'!$B$12)/'NM Play'!$B$14*IF('Sites'!$C$7="Own sheets",'NM Play'!$B$21*'NM Play'!$B$22,'NM Play'!$B$28*'NM Play'!$B$14/'NM Play'!$B$12)</f>
        <v/>
      </c>
      <c r="AL382" s="160">
        <f>Y382*'Assumptions'!T66</f>
        <v/>
      </c>
      <c r="AM382" s="160">
        <f>IF('Sites'!$D$7="NM crew",S382*'NM Play'!$B$37*(1+IF(AND(ISNUMBER('NM Play'!$B$25),'NM Play'!$B$25&gt;0),1,0)),"")</f>
        <v/>
      </c>
      <c r="AN382" s="160">
        <f>IF(OR('Sites'!$E$7&lt;0,'Sites'!$E$7&gt;1,'Sites'!$F$7&lt;1,'Sites'!$G$7&lt;'Sites'!$F$7,F382&lt;0,MIN('Sites'!$I$7:'Sites'!$R$7)&lt;0,'Sites'!$L$7&gt;'Sites'!$I$7,'Sites'!$M$7&gt;'Sites'!$J$7,'Sites'!$N$7&gt;'Sites'!$K$7,'Sites'!$Z$7&lt;0,'Sites'!$Z$7&gt;1,MIN('Sites'!$AA$7:'Sites'!$AC$7)&lt;0,S382&gt;F382+0.001),1,0)</f>
        <v/>
      </c>
      <c r="AO382" s="160">
        <f>I382+U382-T382-X382</f>
        <v/>
      </c>
    </row>
    <row r="383" ht="28" customHeight="1">
      <c r="A383" s="4" t="inlineStr">
        <is>
          <t>Delayed receipts</t>
        </is>
      </c>
      <c r="B383" s="4" t="inlineStr">
        <is>
          <t>NEW1</t>
        </is>
      </c>
      <c r="C383" s="160" t="n">
        <v>18</v>
      </c>
      <c r="D383" s="160">
        <f>ROUNDUP(C383/12,0)</f>
        <v/>
      </c>
      <c r="E383" s="160">
        <f>IF(AND('Sites'!$E$7=1,C383&gt;='Sites'!$F$7+'Cases'!$G$9,C383&lt;='Sites'!$G$7),1,0)</f>
        <v/>
      </c>
      <c r="F383" s="160">
        <f>E383*'Assumptions'!U68</f>
        <v/>
      </c>
      <c r="G383" s="160">
        <f>V382</f>
        <v/>
      </c>
      <c r="H383" s="160">
        <f>W382</f>
        <v/>
      </c>
      <c r="I383" s="160">
        <f>X382</f>
        <v/>
      </c>
      <c r="J383" s="160">
        <f>MAX(0,'Sites'!$J$7-SUM(N378:N382))</f>
        <v/>
      </c>
      <c r="K383" s="160">
        <f>IF('Sites'!$C$7="Own sheets",MIN(ROUNDDOWN(G383/'NM Play'!$B$11,0)+F383*'NM Play'!$B$10/'NM Play'!$B$43,ROUNDDOWN(H383/'NM Play'!$B$12,0)+F383*'NM Play'!$B$10/'NM Play'!$B$44,(F383*'NM Play'!$B$10+ROUNDDOWN(G383/'NM Play'!$B$11,0)*'NM Play'!$B$43+ROUNDDOWN(H383/'NM Play'!$B$12,0)*'NM Play'!$B$44)/('NM Play'!$B$43+'NM Play'!$B$44)),ROUNDDOWN(G383/'NM Play'!$B$11,0)+F383*'NM Play'!$B$10/'NM Play'!$B$43)</f>
        <v/>
      </c>
      <c r="L383" s="160">
        <f>MIN(ROUNDDOWN(G383/'NM Play'!$B$11,0)+F383/('NM Play'!$B$43/'NM Play'!$B$15),ROUNDDOWN(H383/'NM Play'!$B$12,0)+F383/('NM Play'!$B$44/'NM Play'!$B$16),(F383+ROUNDDOWN(G383/'NM Play'!$B$11,0)*'NM Play'!$B$43/'NM Play'!$B$15+ROUNDDOWN(H383/'NM Play'!$B$12,0)*'NM Play'!$B$44/'NM Play'!$B$16)/('NM Play'!$B$43/'NM Play'!$B$15+'NM Play'!$B$44/'NM Play'!$B$16))</f>
        <v/>
      </c>
      <c r="M383" s="160">
        <f>F383*'NM Play'!$B$36</f>
        <v/>
      </c>
      <c r="N383" s="160">
        <f>ROUNDDOWN(MAX(0,MIN(J383,K383:M383)),0)</f>
        <v/>
      </c>
      <c r="O383" s="160">
        <f>ROUNDUP(MAX(0,N383*'NM Play'!$B$11-G383)/'NM Play'!$B$13,0)</f>
        <v/>
      </c>
      <c r="P383" s="160">
        <f>ROUNDUP(MAX(0,N383*'NM Play'!$B$12-H383)/'NM Play'!$B$14,0)</f>
        <v/>
      </c>
      <c r="Q383" s="160">
        <f>(O383+IF('Sites'!$C$7="Own sheets",P383,0))/'NM Play'!$B$10</f>
        <v/>
      </c>
      <c r="R383" s="160">
        <f>O383/'NM Play'!$B$15+P383/'NM Play'!$B$16</f>
        <v/>
      </c>
      <c r="S383" s="160">
        <f>MAX(Q383,R383,N383/'NM Play'!$B$36)</f>
        <v/>
      </c>
      <c r="T383" s="160">
        <f>Q383*'NM Play'!$B$10*'NM Play'!$B$21*(1+'NM Play'!$B$35)</f>
        <v/>
      </c>
      <c r="U383" s="160">
        <f>MAX(0,T383-I383)</f>
        <v/>
      </c>
      <c r="V383" s="160">
        <f>G383+O383*'NM Play'!$B$13-N383*'NM Play'!$B$11</f>
        <v/>
      </c>
      <c r="W383" s="160">
        <f>H383+P383*'NM Play'!$B$14-N383*'NM Play'!$B$12</f>
        <v/>
      </c>
      <c r="X383" s="160">
        <f>I383+U383-T383</f>
        <v/>
      </c>
      <c r="Y383" s="160">
        <f>MIN(N383,MAX(0,ROUNDDOWN('Sites'!$M$7*'Cases'!$E$9,0)-SUM(Y378:Y382)))</f>
        <v/>
      </c>
      <c r="Z383" s="160">
        <f>N383-Y383</f>
        <v/>
      </c>
      <c r="AA383" s="160">
        <f>U383*'NM Play'!$B$22</f>
        <v/>
      </c>
      <c r="AB383" s="160">
        <f>N383*SUM('NM Play'!$B$29:$B$31)</f>
        <v/>
      </c>
      <c r="AC383" s="160">
        <f>IF('Sites'!$C$7="Defy legs",P383*'NM Play'!$B$14/'NM Play'!$B$12*'NM Play'!$B$28,0)</f>
        <v/>
      </c>
      <c r="AD383" s="160">
        <f>Q383*'NM Play'!$B$23</f>
        <v/>
      </c>
      <c r="AE383" s="160">
        <f>S383*SUM('NM Play'!$B$26,'NM Play'!$B$33:$B$34)</f>
        <v/>
      </c>
      <c r="AF383" s="160">
        <f>IF('Sites'!$D$7="NM crew",S383*SUM('NM Play'!$B$24:$B$25),0)</f>
        <v/>
      </c>
      <c r="AG383" s="160">
        <f>IF('Sites'!$D$7="NM crew",S383*'NM Play'!$B$27,0)</f>
        <v/>
      </c>
      <c r="AH383" s="160">
        <f>N383*'Sites'!$Z$7*'NM Play'!$B$32</f>
        <v/>
      </c>
      <c r="AI383" s="160">
        <f>SUM(Y383:Z383)*'Sites'!$R$7</f>
        <v/>
      </c>
      <c r="AJ383" s="160">
        <f>SUM(AA383:AH383)</f>
        <v/>
      </c>
      <c r="AK383" s="160">
        <f>AJ383+(T383-U383)*'NM Play'!$B$22+MIN(G383,N383*'NM Play'!$B$11)/'NM Play'!$B$13*'NM Play'!$B$21*'NM Play'!$B$22+MIN(H383,N383*'NM Play'!$B$12)/'NM Play'!$B$14*IF('Sites'!$C$7="Own sheets",'NM Play'!$B$21*'NM Play'!$B$22,'NM Play'!$B$28*'NM Play'!$B$14/'NM Play'!$B$12)</f>
        <v/>
      </c>
      <c r="AL383" s="160">
        <f>Y383*'Assumptions'!U66</f>
        <v/>
      </c>
      <c r="AM383" s="160">
        <f>IF('Sites'!$D$7="NM crew",S383*'NM Play'!$B$37*(1+IF(AND(ISNUMBER('NM Play'!$B$25),'NM Play'!$B$25&gt;0),1,0)),"")</f>
        <v/>
      </c>
      <c r="AN383" s="160">
        <f>IF(OR('Sites'!$E$7&lt;0,'Sites'!$E$7&gt;1,'Sites'!$F$7&lt;1,'Sites'!$G$7&lt;'Sites'!$F$7,F383&lt;0,MIN('Sites'!$I$7:'Sites'!$R$7)&lt;0,'Sites'!$L$7&gt;'Sites'!$I$7,'Sites'!$M$7&gt;'Sites'!$J$7,'Sites'!$N$7&gt;'Sites'!$K$7,'Sites'!$Z$7&lt;0,'Sites'!$Z$7&gt;1,MIN('Sites'!$AA$7:'Sites'!$AC$7)&lt;0,S383&gt;F383+0.001),1,0)</f>
        <v/>
      </c>
      <c r="AO383" s="160">
        <f>I383+U383-T383-X383</f>
        <v/>
      </c>
    </row>
    <row r="384" ht="28" customHeight="1">
      <c r="A384" s="4" t="inlineStr">
        <is>
          <t>Delayed receipts</t>
        </is>
      </c>
      <c r="B384" s="4" t="inlineStr">
        <is>
          <t>NEW1</t>
        </is>
      </c>
      <c r="C384" s="160" t="n">
        <v>19</v>
      </c>
      <c r="D384" s="160">
        <f>ROUNDUP(C384/12,0)</f>
        <v/>
      </c>
      <c r="E384" s="160">
        <f>IF(AND('Sites'!$E$7=1,C384&gt;='Sites'!$F$7+'Cases'!$G$9,C384&lt;='Sites'!$G$7),1,0)</f>
        <v/>
      </c>
      <c r="F384" s="160">
        <f>E384*'Assumptions'!V68</f>
        <v/>
      </c>
      <c r="G384" s="160">
        <f>V383</f>
        <v/>
      </c>
      <c r="H384" s="160">
        <f>W383</f>
        <v/>
      </c>
      <c r="I384" s="160">
        <f>X383</f>
        <v/>
      </c>
      <c r="J384" s="160">
        <f>MAX(0,'Sites'!$J$7-SUM(N378:N383))</f>
        <v/>
      </c>
      <c r="K384" s="160">
        <f>IF('Sites'!$C$7="Own sheets",MIN(ROUNDDOWN(G384/'NM Play'!$B$11,0)+F384*'NM Play'!$B$10/'NM Play'!$B$43,ROUNDDOWN(H384/'NM Play'!$B$12,0)+F384*'NM Play'!$B$10/'NM Play'!$B$44,(F384*'NM Play'!$B$10+ROUNDDOWN(G384/'NM Play'!$B$11,0)*'NM Play'!$B$43+ROUNDDOWN(H384/'NM Play'!$B$12,0)*'NM Play'!$B$44)/('NM Play'!$B$43+'NM Play'!$B$44)),ROUNDDOWN(G384/'NM Play'!$B$11,0)+F384*'NM Play'!$B$10/'NM Play'!$B$43)</f>
        <v/>
      </c>
      <c r="L384" s="160">
        <f>MIN(ROUNDDOWN(G384/'NM Play'!$B$11,0)+F384/('NM Play'!$B$43/'NM Play'!$B$15),ROUNDDOWN(H384/'NM Play'!$B$12,0)+F384/('NM Play'!$B$44/'NM Play'!$B$16),(F384+ROUNDDOWN(G384/'NM Play'!$B$11,0)*'NM Play'!$B$43/'NM Play'!$B$15+ROUNDDOWN(H384/'NM Play'!$B$12,0)*'NM Play'!$B$44/'NM Play'!$B$16)/('NM Play'!$B$43/'NM Play'!$B$15+'NM Play'!$B$44/'NM Play'!$B$16))</f>
        <v/>
      </c>
      <c r="M384" s="160">
        <f>F384*'NM Play'!$B$36</f>
        <v/>
      </c>
      <c r="N384" s="160">
        <f>ROUNDDOWN(MAX(0,MIN(J384,K384:M384)),0)</f>
        <v/>
      </c>
      <c r="O384" s="160">
        <f>ROUNDUP(MAX(0,N384*'NM Play'!$B$11-G384)/'NM Play'!$B$13,0)</f>
        <v/>
      </c>
      <c r="P384" s="160">
        <f>ROUNDUP(MAX(0,N384*'NM Play'!$B$12-H384)/'NM Play'!$B$14,0)</f>
        <v/>
      </c>
      <c r="Q384" s="160">
        <f>(O384+IF('Sites'!$C$7="Own sheets",P384,0))/'NM Play'!$B$10</f>
        <v/>
      </c>
      <c r="R384" s="160">
        <f>O384/'NM Play'!$B$15+P384/'NM Play'!$B$16</f>
        <v/>
      </c>
      <c r="S384" s="160">
        <f>MAX(Q384,R384,N384/'NM Play'!$B$36)</f>
        <v/>
      </c>
      <c r="T384" s="160">
        <f>Q384*'NM Play'!$B$10*'NM Play'!$B$21*(1+'NM Play'!$B$35)</f>
        <v/>
      </c>
      <c r="U384" s="160">
        <f>MAX(0,T384-I384)</f>
        <v/>
      </c>
      <c r="V384" s="160">
        <f>G384+O384*'NM Play'!$B$13-N384*'NM Play'!$B$11</f>
        <v/>
      </c>
      <c r="W384" s="160">
        <f>H384+P384*'NM Play'!$B$14-N384*'NM Play'!$B$12</f>
        <v/>
      </c>
      <c r="X384" s="160">
        <f>I384+U384-T384</f>
        <v/>
      </c>
      <c r="Y384" s="160">
        <f>MIN(N384,MAX(0,ROUNDDOWN('Sites'!$M$7*'Cases'!$E$9,0)-SUM(Y378:Y383)))</f>
        <v/>
      </c>
      <c r="Z384" s="160">
        <f>N384-Y384</f>
        <v/>
      </c>
      <c r="AA384" s="160">
        <f>U384*'NM Play'!$B$22</f>
        <v/>
      </c>
      <c r="AB384" s="160">
        <f>N384*SUM('NM Play'!$B$29:$B$31)</f>
        <v/>
      </c>
      <c r="AC384" s="160">
        <f>IF('Sites'!$C$7="Defy legs",P384*'NM Play'!$B$14/'NM Play'!$B$12*'NM Play'!$B$28,0)</f>
        <v/>
      </c>
      <c r="AD384" s="160">
        <f>Q384*'NM Play'!$B$23</f>
        <v/>
      </c>
      <c r="AE384" s="160">
        <f>S384*SUM('NM Play'!$B$26,'NM Play'!$B$33:$B$34)</f>
        <v/>
      </c>
      <c r="AF384" s="160">
        <f>IF('Sites'!$D$7="NM crew",S384*SUM('NM Play'!$B$24:$B$25),0)</f>
        <v/>
      </c>
      <c r="AG384" s="160">
        <f>IF('Sites'!$D$7="NM crew",S384*'NM Play'!$B$27,0)</f>
        <v/>
      </c>
      <c r="AH384" s="160">
        <f>N384*'Sites'!$Z$7*'NM Play'!$B$32</f>
        <v/>
      </c>
      <c r="AI384" s="160">
        <f>SUM(Y384:Z384)*'Sites'!$R$7</f>
        <v/>
      </c>
      <c r="AJ384" s="160">
        <f>SUM(AA384:AH384)</f>
        <v/>
      </c>
      <c r="AK384" s="160">
        <f>AJ384+(T384-U384)*'NM Play'!$B$22+MIN(G384,N384*'NM Play'!$B$11)/'NM Play'!$B$13*'NM Play'!$B$21*'NM Play'!$B$22+MIN(H384,N384*'NM Play'!$B$12)/'NM Play'!$B$14*IF('Sites'!$C$7="Own sheets",'NM Play'!$B$21*'NM Play'!$B$22,'NM Play'!$B$28*'NM Play'!$B$14/'NM Play'!$B$12)</f>
        <v/>
      </c>
      <c r="AL384" s="160">
        <f>Y384*'Assumptions'!V66</f>
        <v/>
      </c>
      <c r="AM384" s="160">
        <f>IF('Sites'!$D$7="NM crew",S384*'NM Play'!$B$37*(1+IF(AND(ISNUMBER('NM Play'!$B$25),'NM Play'!$B$25&gt;0),1,0)),"")</f>
        <v/>
      </c>
      <c r="AN384" s="160">
        <f>IF(OR('Sites'!$E$7&lt;0,'Sites'!$E$7&gt;1,'Sites'!$F$7&lt;1,'Sites'!$G$7&lt;'Sites'!$F$7,F384&lt;0,MIN('Sites'!$I$7:'Sites'!$R$7)&lt;0,'Sites'!$L$7&gt;'Sites'!$I$7,'Sites'!$M$7&gt;'Sites'!$J$7,'Sites'!$N$7&gt;'Sites'!$K$7,'Sites'!$Z$7&lt;0,'Sites'!$Z$7&gt;1,MIN('Sites'!$AA$7:'Sites'!$AC$7)&lt;0,S384&gt;F384+0.001),1,0)</f>
        <v/>
      </c>
      <c r="AO384" s="160">
        <f>I384+U384-T384-X384</f>
        <v/>
      </c>
    </row>
    <row r="385" ht="28" customHeight="1">
      <c r="A385" s="4" t="inlineStr">
        <is>
          <t>Delayed receipts</t>
        </is>
      </c>
      <c r="B385" s="4" t="inlineStr">
        <is>
          <t>NEW1</t>
        </is>
      </c>
      <c r="C385" s="160" t="n">
        <v>20</v>
      </c>
      <c r="D385" s="160">
        <f>ROUNDUP(C385/12,0)</f>
        <v/>
      </c>
      <c r="E385" s="160">
        <f>IF(AND('Sites'!$E$7=1,C385&gt;='Sites'!$F$7+'Cases'!$G$9,C385&lt;='Sites'!$G$7),1,0)</f>
        <v/>
      </c>
      <c r="F385" s="160">
        <f>E385*'Assumptions'!W68</f>
        <v/>
      </c>
      <c r="G385" s="160">
        <f>V384</f>
        <v/>
      </c>
      <c r="H385" s="160">
        <f>W384</f>
        <v/>
      </c>
      <c r="I385" s="160">
        <f>X384</f>
        <v/>
      </c>
      <c r="J385" s="160">
        <f>MAX(0,'Sites'!$J$7-SUM(N378:N384))</f>
        <v/>
      </c>
      <c r="K385" s="160">
        <f>IF('Sites'!$C$7="Own sheets",MIN(ROUNDDOWN(G385/'NM Play'!$B$11,0)+F385*'NM Play'!$B$10/'NM Play'!$B$43,ROUNDDOWN(H385/'NM Play'!$B$12,0)+F385*'NM Play'!$B$10/'NM Play'!$B$44,(F385*'NM Play'!$B$10+ROUNDDOWN(G385/'NM Play'!$B$11,0)*'NM Play'!$B$43+ROUNDDOWN(H385/'NM Play'!$B$12,0)*'NM Play'!$B$44)/('NM Play'!$B$43+'NM Play'!$B$44)),ROUNDDOWN(G385/'NM Play'!$B$11,0)+F385*'NM Play'!$B$10/'NM Play'!$B$43)</f>
        <v/>
      </c>
      <c r="L385" s="160">
        <f>MIN(ROUNDDOWN(G385/'NM Play'!$B$11,0)+F385/('NM Play'!$B$43/'NM Play'!$B$15),ROUNDDOWN(H385/'NM Play'!$B$12,0)+F385/('NM Play'!$B$44/'NM Play'!$B$16),(F385+ROUNDDOWN(G385/'NM Play'!$B$11,0)*'NM Play'!$B$43/'NM Play'!$B$15+ROUNDDOWN(H385/'NM Play'!$B$12,0)*'NM Play'!$B$44/'NM Play'!$B$16)/('NM Play'!$B$43/'NM Play'!$B$15+'NM Play'!$B$44/'NM Play'!$B$16))</f>
        <v/>
      </c>
      <c r="M385" s="160">
        <f>F385*'NM Play'!$B$36</f>
        <v/>
      </c>
      <c r="N385" s="160">
        <f>ROUNDDOWN(MAX(0,MIN(J385,K385:M385)),0)</f>
        <v/>
      </c>
      <c r="O385" s="160">
        <f>ROUNDUP(MAX(0,N385*'NM Play'!$B$11-G385)/'NM Play'!$B$13,0)</f>
        <v/>
      </c>
      <c r="P385" s="160">
        <f>ROUNDUP(MAX(0,N385*'NM Play'!$B$12-H385)/'NM Play'!$B$14,0)</f>
        <v/>
      </c>
      <c r="Q385" s="160">
        <f>(O385+IF('Sites'!$C$7="Own sheets",P385,0))/'NM Play'!$B$10</f>
        <v/>
      </c>
      <c r="R385" s="160">
        <f>O385/'NM Play'!$B$15+P385/'NM Play'!$B$16</f>
        <v/>
      </c>
      <c r="S385" s="160">
        <f>MAX(Q385,R385,N385/'NM Play'!$B$36)</f>
        <v/>
      </c>
      <c r="T385" s="160">
        <f>Q385*'NM Play'!$B$10*'NM Play'!$B$21*(1+'NM Play'!$B$35)</f>
        <v/>
      </c>
      <c r="U385" s="160">
        <f>MAX(0,T385-I385)</f>
        <v/>
      </c>
      <c r="V385" s="160">
        <f>G385+O385*'NM Play'!$B$13-N385*'NM Play'!$B$11</f>
        <v/>
      </c>
      <c r="W385" s="160">
        <f>H385+P385*'NM Play'!$B$14-N385*'NM Play'!$B$12</f>
        <v/>
      </c>
      <c r="X385" s="160">
        <f>I385+U385-T385</f>
        <v/>
      </c>
      <c r="Y385" s="160">
        <f>MIN(N385,MAX(0,ROUNDDOWN('Sites'!$M$7*'Cases'!$E$9,0)-SUM(Y378:Y384)))</f>
        <v/>
      </c>
      <c r="Z385" s="160">
        <f>N385-Y385</f>
        <v/>
      </c>
      <c r="AA385" s="160">
        <f>U385*'NM Play'!$B$22</f>
        <v/>
      </c>
      <c r="AB385" s="160">
        <f>N385*SUM('NM Play'!$B$29:$B$31)</f>
        <v/>
      </c>
      <c r="AC385" s="160">
        <f>IF('Sites'!$C$7="Defy legs",P385*'NM Play'!$B$14/'NM Play'!$B$12*'NM Play'!$B$28,0)</f>
        <v/>
      </c>
      <c r="AD385" s="160">
        <f>Q385*'NM Play'!$B$23</f>
        <v/>
      </c>
      <c r="AE385" s="160">
        <f>S385*SUM('NM Play'!$B$26,'NM Play'!$B$33:$B$34)</f>
        <v/>
      </c>
      <c r="AF385" s="160">
        <f>IF('Sites'!$D$7="NM crew",S385*SUM('NM Play'!$B$24:$B$25),0)</f>
        <v/>
      </c>
      <c r="AG385" s="160">
        <f>IF('Sites'!$D$7="NM crew",S385*'NM Play'!$B$27,0)</f>
        <v/>
      </c>
      <c r="AH385" s="160">
        <f>N385*'Sites'!$Z$7*'NM Play'!$B$32</f>
        <v/>
      </c>
      <c r="AI385" s="160">
        <f>SUM(Y385:Z385)*'Sites'!$R$7</f>
        <v/>
      </c>
      <c r="AJ385" s="160">
        <f>SUM(AA385:AH385)</f>
        <v/>
      </c>
      <c r="AK385" s="160">
        <f>AJ385+(T385-U385)*'NM Play'!$B$22+MIN(G385,N385*'NM Play'!$B$11)/'NM Play'!$B$13*'NM Play'!$B$21*'NM Play'!$B$22+MIN(H385,N385*'NM Play'!$B$12)/'NM Play'!$B$14*IF('Sites'!$C$7="Own sheets",'NM Play'!$B$21*'NM Play'!$B$22,'NM Play'!$B$28*'NM Play'!$B$14/'NM Play'!$B$12)</f>
        <v/>
      </c>
      <c r="AL385" s="160">
        <f>Y385*'Assumptions'!W66</f>
        <v/>
      </c>
      <c r="AM385" s="160">
        <f>IF('Sites'!$D$7="NM crew",S385*'NM Play'!$B$37*(1+IF(AND(ISNUMBER('NM Play'!$B$25),'NM Play'!$B$25&gt;0),1,0)),"")</f>
        <v/>
      </c>
      <c r="AN385" s="160">
        <f>IF(OR('Sites'!$E$7&lt;0,'Sites'!$E$7&gt;1,'Sites'!$F$7&lt;1,'Sites'!$G$7&lt;'Sites'!$F$7,F385&lt;0,MIN('Sites'!$I$7:'Sites'!$R$7)&lt;0,'Sites'!$L$7&gt;'Sites'!$I$7,'Sites'!$M$7&gt;'Sites'!$J$7,'Sites'!$N$7&gt;'Sites'!$K$7,'Sites'!$Z$7&lt;0,'Sites'!$Z$7&gt;1,MIN('Sites'!$AA$7:'Sites'!$AC$7)&lt;0,S385&gt;F385+0.001),1,0)</f>
        <v/>
      </c>
      <c r="AO385" s="160">
        <f>I385+U385-T385-X385</f>
        <v/>
      </c>
    </row>
    <row r="386" ht="28" customHeight="1">
      <c r="A386" s="4" t="inlineStr">
        <is>
          <t>Delayed receipts</t>
        </is>
      </c>
      <c r="B386" s="4" t="inlineStr">
        <is>
          <t>NEW1</t>
        </is>
      </c>
      <c r="C386" s="160" t="n">
        <v>21</v>
      </c>
      <c r="D386" s="160">
        <f>ROUNDUP(C386/12,0)</f>
        <v/>
      </c>
      <c r="E386" s="160">
        <f>IF(AND('Sites'!$E$7=1,C386&gt;='Sites'!$F$7+'Cases'!$G$9,C386&lt;='Sites'!$G$7),1,0)</f>
        <v/>
      </c>
      <c r="F386" s="160">
        <f>E386*'Assumptions'!X68</f>
        <v/>
      </c>
      <c r="G386" s="160">
        <f>V385</f>
        <v/>
      </c>
      <c r="H386" s="160">
        <f>W385</f>
        <v/>
      </c>
      <c r="I386" s="160">
        <f>X385</f>
        <v/>
      </c>
      <c r="J386" s="160">
        <f>MAX(0,'Sites'!$J$7-SUM(N378:N385))</f>
        <v/>
      </c>
      <c r="K386" s="160">
        <f>IF('Sites'!$C$7="Own sheets",MIN(ROUNDDOWN(G386/'NM Play'!$B$11,0)+F386*'NM Play'!$B$10/'NM Play'!$B$43,ROUNDDOWN(H386/'NM Play'!$B$12,0)+F386*'NM Play'!$B$10/'NM Play'!$B$44,(F386*'NM Play'!$B$10+ROUNDDOWN(G386/'NM Play'!$B$11,0)*'NM Play'!$B$43+ROUNDDOWN(H386/'NM Play'!$B$12,0)*'NM Play'!$B$44)/('NM Play'!$B$43+'NM Play'!$B$44)),ROUNDDOWN(G386/'NM Play'!$B$11,0)+F386*'NM Play'!$B$10/'NM Play'!$B$43)</f>
        <v/>
      </c>
      <c r="L386" s="160">
        <f>MIN(ROUNDDOWN(G386/'NM Play'!$B$11,0)+F386/('NM Play'!$B$43/'NM Play'!$B$15),ROUNDDOWN(H386/'NM Play'!$B$12,0)+F386/('NM Play'!$B$44/'NM Play'!$B$16),(F386+ROUNDDOWN(G386/'NM Play'!$B$11,0)*'NM Play'!$B$43/'NM Play'!$B$15+ROUNDDOWN(H386/'NM Play'!$B$12,0)*'NM Play'!$B$44/'NM Play'!$B$16)/('NM Play'!$B$43/'NM Play'!$B$15+'NM Play'!$B$44/'NM Play'!$B$16))</f>
        <v/>
      </c>
      <c r="M386" s="160">
        <f>F386*'NM Play'!$B$36</f>
        <v/>
      </c>
      <c r="N386" s="160">
        <f>ROUNDDOWN(MAX(0,MIN(J386,K386:M386)),0)</f>
        <v/>
      </c>
      <c r="O386" s="160">
        <f>ROUNDUP(MAX(0,N386*'NM Play'!$B$11-G386)/'NM Play'!$B$13,0)</f>
        <v/>
      </c>
      <c r="P386" s="160">
        <f>ROUNDUP(MAX(0,N386*'NM Play'!$B$12-H386)/'NM Play'!$B$14,0)</f>
        <v/>
      </c>
      <c r="Q386" s="160">
        <f>(O386+IF('Sites'!$C$7="Own sheets",P386,0))/'NM Play'!$B$10</f>
        <v/>
      </c>
      <c r="R386" s="160">
        <f>O386/'NM Play'!$B$15+P386/'NM Play'!$B$16</f>
        <v/>
      </c>
      <c r="S386" s="160">
        <f>MAX(Q386,R386,N386/'NM Play'!$B$36)</f>
        <v/>
      </c>
      <c r="T386" s="160">
        <f>Q386*'NM Play'!$B$10*'NM Play'!$B$21*(1+'NM Play'!$B$35)</f>
        <v/>
      </c>
      <c r="U386" s="160">
        <f>MAX(0,T386-I386)</f>
        <v/>
      </c>
      <c r="V386" s="160">
        <f>G386+O386*'NM Play'!$B$13-N386*'NM Play'!$B$11</f>
        <v/>
      </c>
      <c r="W386" s="160">
        <f>H386+P386*'NM Play'!$B$14-N386*'NM Play'!$B$12</f>
        <v/>
      </c>
      <c r="X386" s="160">
        <f>I386+U386-T386</f>
        <v/>
      </c>
      <c r="Y386" s="160">
        <f>MIN(N386,MAX(0,ROUNDDOWN('Sites'!$M$7*'Cases'!$E$9,0)-SUM(Y378:Y385)))</f>
        <v/>
      </c>
      <c r="Z386" s="160">
        <f>N386-Y386</f>
        <v/>
      </c>
      <c r="AA386" s="160">
        <f>U386*'NM Play'!$B$22</f>
        <v/>
      </c>
      <c r="AB386" s="160">
        <f>N386*SUM('NM Play'!$B$29:$B$31)</f>
        <v/>
      </c>
      <c r="AC386" s="160">
        <f>IF('Sites'!$C$7="Defy legs",P386*'NM Play'!$B$14/'NM Play'!$B$12*'NM Play'!$B$28,0)</f>
        <v/>
      </c>
      <c r="AD386" s="160">
        <f>Q386*'NM Play'!$B$23</f>
        <v/>
      </c>
      <c r="AE386" s="160">
        <f>S386*SUM('NM Play'!$B$26,'NM Play'!$B$33:$B$34)</f>
        <v/>
      </c>
      <c r="AF386" s="160">
        <f>IF('Sites'!$D$7="NM crew",S386*SUM('NM Play'!$B$24:$B$25),0)</f>
        <v/>
      </c>
      <c r="AG386" s="160">
        <f>IF('Sites'!$D$7="NM crew",S386*'NM Play'!$B$27,0)</f>
        <v/>
      </c>
      <c r="AH386" s="160">
        <f>N386*'Sites'!$Z$7*'NM Play'!$B$32</f>
        <v/>
      </c>
      <c r="AI386" s="160">
        <f>SUM(Y386:Z386)*'Sites'!$R$7</f>
        <v/>
      </c>
      <c r="AJ386" s="160">
        <f>SUM(AA386:AH386)</f>
        <v/>
      </c>
      <c r="AK386" s="160">
        <f>AJ386+(T386-U386)*'NM Play'!$B$22+MIN(G386,N386*'NM Play'!$B$11)/'NM Play'!$B$13*'NM Play'!$B$21*'NM Play'!$B$22+MIN(H386,N386*'NM Play'!$B$12)/'NM Play'!$B$14*IF('Sites'!$C$7="Own sheets",'NM Play'!$B$21*'NM Play'!$B$22,'NM Play'!$B$28*'NM Play'!$B$14/'NM Play'!$B$12)</f>
        <v/>
      </c>
      <c r="AL386" s="160">
        <f>Y386*'Assumptions'!X66</f>
        <v/>
      </c>
      <c r="AM386" s="160">
        <f>IF('Sites'!$D$7="NM crew",S386*'NM Play'!$B$37*(1+IF(AND(ISNUMBER('NM Play'!$B$25),'NM Play'!$B$25&gt;0),1,0)),"")</f>
        <v/>
      </c>
      <c r="AN386" s="160">
        <f>IF(OR('Sites'!$E$7&lt;0,'Sites'!$E$7&gt;1,'Sites'!$F$7&lt;1,'Sites'!$G$7&lt;'Sites'!$F$7,F386&lt;0,MIN('Sites'!$I$7:'Sites'!$R$7)&lt;0,'Sites'!$L$7&gt;'Sites'!$I$7,'Sites'!$M$7&gt;'Sites'!$J$7,'Sites'!$N$7&gt;'Sites'!$K$7,'Sites'!$Z$7&lt;0,'Sites'!$Z$7&gt;1,MIN('Sites'!$AA$7:'Sites'!$AC$7)&lt;0,S386&gt;F386+0.001),1,0)</f>
        <v/>
      </c>
      <c r="AO386" s="160">
        <f>I386+U386-T386-X386</f>
        <v/>
      </c>
    </row>
    <row r="387" ht="28" customHeight="1">
      <c r="A387" s="4" t="inlineStr">
        <is>
          <t>Delayed receipts</t>
        </is>
      </c>
      <c r="B387" s="4" t="inlineStr">
        <is>
          <t>NEW1</t>
        </is>
      </c>
      <c r="C387" s="160" t="n">
        <v>22</v>
      </c>
      <c r="D387" s="160">
        <f>ROUNDUP(C387/12,0)</f>
        <v/>
      </c>
      <c r="E387" s="160">
        <f>IF(AND('Sites'!$E$7=1,C387&gt;='Sites'!$F$7+'Cases'!$G$9,C387&lt;='Sites'!$G$7),1,0)</f>
        <v/>
      </c>
      <c r="F387" s="160">
        <f>E387*'Assumptions'!Y68</f>
        <v/>
      </c>
      <c r="G387" s="160">
        <f>V386</f>
        <v/>
      </c>
      <c r="H387" s="160">
        <f>W386</f>
        <v/>
      </c>
      <c r="I387" s="160">
        <f>X386</f>
        <v/>
      </c>
      <c r="J387" s="160">
        <f>MAX(0,'Sites'!$J$7-SUM(N378:N386))</f>
        <v/>
      </c>
      <c r="K387" s="160">
        <f>IF('Sites'!$C$7="Own sheets",MIN(ROUNDDOWN(G387/'NM Play'!$B$11,0)+F387*'NM Play'!$B$10/'NM Play'!$B$43,ROUNDDOWN(H387/'NM Play'!$B$12,0)+F387*'NM Play'!$B$10/'NM Play'!$B$44,(F387*'NM Play'!$B$10+ROUNDDOWN(G387/'NM Play'!$B$11,0)*'NM Play'!$B$43+ROUNDDOWN(H387/'NM Play'!$B$12,0)*'NM Play'!$B$44)/('NM Play'!$B$43+'NM Play'!$B$44)),ROUNDDOWN(G387/'NM Play'!$B$11,0)+F387*'NM Play'!$B$10/'NM Play'!$B$43)</f>
        <v/>
      </c>
      <c r="L387" s="160">
        <f>MIN(ROUNDDOWN(G387/'NM Play'!$B$11,0)+F387/('NM Play'!$B$43/'NM Play'!$B$15),ROUNDDOWN(H387/'NM Play'!$B$12,0)+F387/('NM Play'!$B$44/'NM Play'!$B$16),(F387+ROUNDDOWN(G387/'NM Play'!$B$11,0)*'NM Play'!$B$43/'NM Play'!$B$15+ROUNDDOWN(H387/'NM Play'!$B$12,0)*'NM Play'!$B$44/'NM Play'!$B$16)/('NM Play'!$B$43/'NM Play'!$B$15+'NM Play'!$B$44/'NM Play'!$B$16))</f>
        <v/>
      </c>
      <c r="M387" s="160">
        <f>F387*'NM Play'!$B$36</f>
        <v/>
      </c>
      <c r="N387" s="160">
        <f>ROUNDDOWN(MAX(0,MIN(J387,K387:M387)),0)</f>
        <v/>
      </c>
      <c r="O387" s="160">
        <f>ROUNDUP(MAX(0,N387*'NM Play'!$B$11-G387)/'NM Play'!$B$13,0)</f>
        <v/>
      </c>
      <c r="P387" s="160">
        <f>ROUNDUP(MAX(0,N387*'NM Play'!$B$12-H387)/'NM Play'!$B$14,0)</f>
        <v/>
      </c>
      <c r="Q387" s="160">
        <f>(O387+IF('Sites'!$C$7="Own sheets",P387,0))/'NM Play'!$B$10</f>
        <v/>
      </c>
      <c r="R387" s="160">
        <f>O387/'NM Play'!$B$15+P387/'NM Play'!$B$16</f>
        <v/>
      </c>
      <c r="S387" s="160">
        <f>MAX(Q387,R387,N387/'NM Play'!$B$36)</f>
        <v/>
      </c>
      <c r="T387" s="160">
        <f>Q387*'NM Play'!$B$10*'NM Play'!$B$21*(1+'NM Play'!$B$35)</f>
        <v/>
      </c>
      <c r="U387" s="160">
        <f>MAX(0,T387-I387)</f>
        <v/>
      </c>
      <c r="V387" s="160">
        <f>G387+O387*'NM Play'!$B$13-N387*'NM Play'!$B$11</f>
        <v/>
      </c>
      <c r="W387" s="160">
        <f>H387+P387*'NM Play'!$B$14-N387*'NM Play'!$B$12</f>
        <v/>
      </c>
      <c r="X387" s="160">
        <f>I387+U387-T387</f>
        <v/>
      </c>
      <c r="Y387" s="160">
        <f>MIN(N387,MAX(0,ROUNDDOWN('Sites'!$M$7*'Cases'!$E$9,0)-SUM(Y378:Y386)))</f>
        <v/>
      </c>
      <c r="Z387" s="160">
        <f>N387-Y387</f>
        <v/>
      </c>
      <c r="AA387" s="160">
        <f>U387*'NM Play'!$B$22</f>
        <v/>
      </c>
      <c r="AB387" s="160">
        <f>N387*SUM('NM Play'!$B$29:$B$31)</f>
        <v/>
      </c>
      <c r="AC387" s="160">
        <f>IF('Sites'!$C$7="Defy legs",P387*'NM Play'!$B$14/'NM Play'!$B$12*'NM Play'!$B$28,0)</f>
        <v/>
      </c>
      <c r="AD387" s="160">
        <f>Q387*'NM Play'!$B$23</f>
        <v/>
      </c>
      <c r="AE387" s="160">
        <f>S387*SUM('NM Play'!$B$26,'NM Play'!$B$33:$B$34)</f>
        <v/>
      </c>
      <c r="AF387" s="160">
        <f>IF('Sites'!$D$7="NM crew",S387*SUM('NM Play'!$B$24:$B$25),0)</f>
        <v/>
      </c>
      <c r="AG387" s="160">
        <f>IF('Sites'!$D$7="NM crew",S387*'NM Play'!$B$27,0)</f>
        <v/>
      </c>
      <c r="AH387" s="160">
        <f>N387*'Sites'!$Z$7*'NM Play'!$B$32</f>
        <v/>
      </c>
      <c r="AI387" s="160">
        <f>SUM(Y387:Z387)*'Sites'!$R$7</f>
        <v/>
      </c>
      <c r="AJ387" s="160">
        <f>SUM(AA387:AH387)</f>
        <v/>
      </c>
      <c r="AK387" s="160">
        <f>AJ387+(T387-U387)*'NM Play'!$B$22+MIN(G387,N387*'NM Play'!$B$11)/'NM Play'!$B$13*'NM Play'!$B$21*'NM Play'!$B$22+MIN(H387,N387*'NM Play'!$B$12)/'NM Play'!$B$14*IF('Sites'!$C$7="Own sheets",'NM Play'!$B$21*'NM Play'!$B$22,'NM Play'!$B$28*'NM Play'!$B$14/'NM Play'!$B$12)</f>
        <v/>
      </c>
      <c r="AL387" s="160">
        <f>Y387*'Assumptions'!Y66</f>
        <v/>
      </c>
      <c r="AM387" s="160">
        <f>IF('Sites'!$D$7="NM crew",S387*'NM Play'!$B$37*(1+IF(AND(ISNUMBER('NM Play'!$B$25),'NM Play'!$B$25&gt;0),1,0)),"")</f>
        <v/>
      </c>
      <c r="AN387" s="160">
        <f>IF(OR('Sites'!$E$7&lt;0,'Sites'!$E$7&gt;1,'Sites'!$F$7&lt;1,'Sites'!$G$7&lt;'Sites'!$F$7,F387&lt;0,MIN('Sites'!$I$7:'Sites'!$R$7)&lt;0,'Sites'!$L$7&gt;'Sites'!$I$7,'Sites'!$M$7&gt;'Sites'!$J$7,'Sites'!$N$7&gt;'Sites'!$K$7,'Sites'!$Z$7&lt;0,'Sites'!$Z$7&gt;1,MIN('Sites'!$AA$7:'Sites'!$AC$7)&lt;0,S387&gt;F387+0.001),1,0)</f>
        <v/>
      </c>
      <c r="AO387" s="160">
        <f>I387+U387-T387-X387</f>
        <v/>
      </c>
    </row>
    <row r="388" ht="28" customHeight="1">
      <c r="A388" s="4" t="inlineStr">
        <is>
          <t>Delayed receipts</t>
        </is>
      </c>
      <c r="B388" s="4" t="inlineStr">
        <is>
          <t>NEW1</t>
        </is>
      </c>
      <c r="C388" s="160" t="n">
        <v>23</v>
      </c>
      <c r="D388" s="160">
        <f>ROUNDUP(C388/12,0)</f>
        <v/>
      </c>
      <c r="E388" s="160">
        <f>IF(AND('Sites'!$E$7=1,C388&gt;='Sites'!$F$7+'Cases'!$G$9,C388&lt;='Sites'!$G$7),1,0)</f>
        <v/>
      </c>
      <c r="F388" s="160">
        <f>E388*'Assumptions'!Z68</f>
        <v/>
      </c>
      <c r="G388" s="160">
        <f>V387</f>
        <v/>
      </c>
      <c r="H388" s="160">
        <f>W387</f>
        <v/>
      </c>
      <c r="I388" s="160">
        <f>X387</f>
        <v/>
      </c>
      <c r="J388" s="160">
        <f>MAX(0,'Sites'!$J$7-SUM(N378:N387))</f>
        <v/>
      </c>
      <c r="K388" s="160">
        <f>IF('Sites'!$C$7="Own sheets",MIN(ROUNDDOWN(G388/'NM Play'!$B$11,0)+F388*'NM Play'!$B$10/'NM Play'!$B$43,ROUNDDOWN(H388/'NM Play'!$B$12,0)+F388*'NM Play'!$B$10/'NM Play'!$B$44,(F388*'NM Play'!$B$10+ROUNDDOWN(G388/'NM Play'!$B$11,0)*'NM Play'!$B$43+ROUNDDOWN(H388/'NM Play'!$B$12,0)*'NM Play'!$B$44)/('NM Play'!$B$43+'NM Play'!$B$44)),ROUNDDOWN(G388/'NM Play'!$B$11,0)+F388*'NM Play'!$B$10/'NM Play'!$B$43)</f>
        <v/>
      </c>
      <c r="L388" s="160">
        <f>MIN(ROUNDDOWN(G388/'NM Play'!$B$11,0)+F388/('NM Play'!$B$43/'NM Play'!$B$15),ROUNDDOWN(H388/'NM Play'!$B$12,0)+F388/('NM Play'!$B$44/'NM Play'!$B$16),(F388+ROUNDDOWN(G388/'NM Play'!$B$11,0)*'NM Play'!$B$43/'NM Play'!$B$15+ROUNDDOWN(H388/'NM Play'!$B$12,0)*'NM Play'!$B$44/'NM Play'!$B$16)/('NM Play'!$B$43/'NM Play'!$B$15+'NM Play'!$B$44/'NM Play'!$B$16))</f>
        <v/>
      </c>
      <c r="M388" s="160">
        <f>F388*'NM Play'!$B$36</f>
        <v/>
      </c>
      <c r="N388" s="160">
        <f>ROUNDDOWN(MAX(0,MIN(J388,K388:M388)),0)</f>
        <v/>
      </c>
      <c r="O388" s="160">
        <f>ROUNDUP(MAX(0,N388*'NM Play'!$B$11-G388)/'NM Play'!$B$13,0)</f>
        <v/>
      </c>
      <c r="P388" s="160">
        <f>ROUNDUP(MAX(0,N388*'NM Play'!$B$12-H388)/'NM Play'!$B$14,0)</f>
        <v/>
      </c>
      <c r="Q388" s="160">
        <f>(O388+IF('Sites'!$C$7="Own sheets",P388,0))/'NM Play'!$B$10</f>
        <v/>
      </c>
      <c r="R388" s="160">
        <f>O388/'NM Play'!$B$15+P388/'NM Play'!$B$16</f>
        <v/>
      </c>
      <c r="S388" s="160">
        <f>MAX(Q388,R388,N388/'NM Play'!$B$36)</f>
        <v/>
      </c>
      <c r="T388" s="160">
        <f>Q388*'NM Play'!$B$10*'NM Play'!$B$21*(1+'NM Play'!$B$35)</f>
        <v/>
      </c>
      <c r="U388" s="160">
        <f>MAX(0,T388-I388)</f>
        <v/>
      </c>
      <c r="V388" s="160">
        <f>G388+O388*'NM Play'!$B$13-N388*'NM Play'!$B$11</f>
        <v/>
      </c>
      <c r="W388" s="160">
        <f>H388+P388*'NM Play'!$B$14-N388*'NM Play'!$B$12</f>
        <v/>
      </c>
      <c r="X388" s="160">
        <f>I388+U388-T388</f>
        <v/>
      </c>
      <c r="Y388" s="160">
        <f>MIN(N388,MAX(0,ROUNDDOWN('Sites'!$M$7*'Cases'!$E$9,0)-SUM(Y378:Y387)))</f>
        <v/>
      </c>
      <c r="Z388" s="160">
        <f>N388-Y388</f>
        <v/>
      </c>
      <c r="AA388" s="160">
        <f>U388*'NM Play'!$B$22</f>
        <v/>
      </c>
      <c r="AB388" s="160">
        <f>N388*SUM('NM Play'!$B$29:$B$31)</f>
        <v/>
      </c>
      <c r="AC388" s="160">
        <f>IF('Sites'!$C$7="Defy legs",P388*'NM Play'!$B$14/'NM Play'!$B$12*'NM Play'!$B$28,0)</f>
        <v/>
      </c>
      <c r="AD388" s="160">
        <f>Q388*'NM Play'!$B$23</f>
        <v/>
      </c>
      <c r="AE388" s="160">
        <f>S388*SUM('NM Play'!$B$26,'NM Play'!$B$33:$B$34)</f>
        <v/>
      </c>
      <c r="AF388" s="160">
        <f>IF('Sites'!$D$7="NM crew",S388*SUM('NM Play'!$B$24:$B$25),0)</f>
        <v/>
      </c>
      <c r="AG388" s="160">
        <f>IF('Sites'!$D$7="NM crew",S388*'NM Play'!$B$27,0)</f>
        <v/>
      </c>
      <c r="AH388" s="160">
        <f>N388*'Sites'!$Z$7*'NM Play'!$B$32</f>
        <v/>
      </c>
      <c r="AI388" s="160">
        <f>SUM(Y388:Z388)*'Sites'!$R$7</f>
        <v/>
      </c>
      <c r="AJ388" s="160">
        <f>SUM(AA388:AH388)</f>
        <v/>
      </c>
      <c r="AK388" s="160">
        <f>AJ388+(T388-U388)*'NM Play'!$B$22+MIN(G388,N388*'NM Play'!$B$11)/'NM Play'!$B$13*'NM Play'!$B$21*'NM Play'!$B$22+MIN(H388,N388*'NM Play'!$B$12)/'NM Play'!$B$14*IF('Sites'!$C$7="Own sheets",'NM Play'!$B$21*'NM Play'!$B$22,'NM Play'!$B$28*'NM Play'!$B$14/'NM Play'!$B$12)</f>
        <v/>
      </c>
      <c r="AL388" s="160">
        <f>Y388*'Assumptions'!Z66</f>
        <v/>
      </c>
      <c r="AM388" s="160">
        <f>IF('Sites'!$D$7="NM crew",S388*'NM Play'!$B$37*(1+IF(AND(ISNUMBER('NM Play'!$B$25),'NM Play'!$B$25&gt;0),1,0)),"")</f>
        <v/>
      </c>
      <c r="AN388" s="160">
        <f>IF(OR('Sites'!$E$7&lt;0,'Sites'!$E$7&gt;1,'Sites'!$F$7&lt;1,'Sites'!$G$7&lt;'Sites'!$F$7,F388&lt;0,MIN('Sites'!$I$7:'Sites'!$R$7)&lt;0,'Sites'!$L$7&gt;'Sites'!$I$7,'Sites'!$M$7&gt;'Sites'!$J$7,'Sites'!$N$7&gt;'Sites'!$K$7,'Sites'!$Z$7&lt;0,'Sites'!$Z$7&gt;1,MIN('Sites'!$AA$7:'Sites'!$AC$7)&lt;0,S388&gt;F388+0.001),1,0)</f>
        <v/>
      </c>
      <c r="AO388" s="160">
        <f>I388+U388-T388-X388</f>
        <v/>
      </c>
    </row>
    <row r="389" ht="28" customHeight="1">
      <c r="A389" s="4" t="inlineStr">
        <is>
          <t>Delayed receipts</t>
        </is>
      </c>
      <c r="B389" s="4" t="inlineStr">
        <is>
          <t>NEW1</t>
        </is>
      </c>
      <c r="C389" s="160" t="n">
        <v>24</v>
      </c>
      <c r="D389" s="160">
        <f>ROUNDUP(C389/12,0)</f>
        <v/>
      </c>
      <c r="E389" s="160">
        <f>IF(AND('Sites'!$E$7=1,C389&gt;='Sites'!$F$7+'Cases'!$G$9,C389&lt;='Sites'!$G$7),1,0)</f>
        <v/>
      </c>
      <c r="F389" s="160">
        <f>E389*'Assumptions'!AA68</f>
        <v/>
      </c>
      <c r="G389" s="160">
        <f>V388</f>
        <v/>
      </c>
      <c r="H389" s="160">
        <f>W388</f>
        <v/>
      </c>
      <c r="I389" s="160">
        <f>X388</f>
        <v/>
      </c>
      <c r="J389" s="160">
        <f>MAX(0,'Sites'!$J$7-SUM(N378:N388))</f>
        <v/>
      </c>
      <c r="K389" s="160">
        <f>IF('Sites'!$C$7="Own sheets",MIN(ROUNDDOWN(G389/'NM Play'!$B$11,0)+F389*'NM Play'!$B$10/'NM Play'!$B$43,ROUNDDOWN(H389/'NM Play'!$B$12,0)+F389*'NM Play'!$B$10/'NM Play'!$B$44,(F389*'NM Play'!$B$10+ROUNDDOWN(G389/'NM Play'!$B$11,0)*'NM Play'!$B$43+ROUNDDOWN(H389/'NM Play'!$B$12,0)*'NM Play'!$B$44)/('NM Play'!$B$43+'NM Play'!$B$44)),ROUNDDOWN(G389/'NM Play'!$B$11,0)+F389*'NM Play'!$B$10/'NM Play'!$B$43)</f>
        <v/>
      </c>
      <c r="L389" s="160">
        <f>MIN(ROUNDDOWN(G389/'NM Play'!$B$11,0)+F389/('NM Play'!$B$43/'NM Play'!$B$15),ROUNDDOWN(H389/'NM Play'!$B$12,0)+F389/('NM Play'!$B$44/'NM Play'!$B$16),(F389+ROUNDDOWN(G389/'NM Play'!$B$11,0)*'NM Play'!$B$43/'NM Play'!$B$15+ROUNDDOWN(H389/'NM Play'!$B$12,0)*'NM Play'!$B$44/'NM Play'!$B$16)/('NM Play'!$B$43/'NM Play'!$B$15+'NM Play'!$B$44/'NM Play'!$B$16))</f>
        <v/>
      </c>
      <c r="M389" s="160">
        <f>F389*'NM Play'!$B$36</f>
        <v/>
      </c>
      <c r="N389" s="160">
        <f>ROUNDDOWN(MAX(0,MIN(J389,K389:M389)),0)</f>
        <v/>
      </c>
      <c r="O389" s="160">
        <f>ROUNDUP(MAX(0,N389*'NM Play'!$B$11-G389)/'NM Play'!$B$13,0)</f>
        <v/>
      </c>
      <c r="P389" s="160">
        <f>ROUNDUP(MAX(0,N389*'NM Play'!$B$12-H389)/'NM Play'!$B$14,0)</f>
        <v/>
      </c>
      <c r="Q389" s="160">
        <f>(O389+IF('Sites'!$C$7="Own sheets",P389,0))/'NM Play'!$B$10</f>
        <v/>
      </c>
      <c r="R389" s="160">
        <f>O389/'NM Play'!$B$15+P389/'NM Play'!$B$16</f>
        <v/>
      </c>
      <c r="S389" s="160">
        <f>MAX(Q389,R389,N389/'NM Play'!$B$36)</f>
        <v/>
      </c>
      <c r="T389" s="160">
        <f>Q389*'NM Play'!$B$10*'NM Play'!$B$21*(1+'NM Play'!$B$35)</f>
        <v/>
      </c>
      <c r="U389" s="160">
        <f>MAX(0,T389-I389)</f>
        <v/>
      </c>
      <c r="V389" s="160">
        <f>G389+O389*'NM Play'!$B$13-N389*'NM Play'!$B$11</f>
        <v/>
      </c>
      <c r="W389" s="160">
        <f>H389+P389*'NM Play'!$B$14-N389*'NM Play'!$B$12</f>
        <v/>
      </c>
      <c r="X389" s="160">
        <f>I389+U389-T389</f>
        <v/>
      </c>
      <c r="Y389" s="160">
        <f>MIN(N389,MAX(0,ROUNDDOWN('Sites'!$M$7*'Cases'!$E$9,0)-SUM(Y378:Y388)))</f>
        <v/>
      </c>
      <c r="Z389" s="160">
        <f>N389-Y389</f>
        <v/>
      </c>
      <c r="AA389" s="160">
        <f>U389*'NM Play'!$B$22</f>
        <v/>
      </c>
      <c r="AB389" s="160">
        <f>N389*SUM('NM Play'!$B$29:$B$31)</f>
        <v/>
      </c>
      <c r="AC389" s="160">
        <f>IF('Sites'!$C$7="Defy legs",P389*'NM Play'!$B$14/'NM Play'!$B$12*'NM Play'!$B$28,0)</f>
        <v/>
      </c>
      <c r="AD389" s="160">
        <f>Q389*'NM Play'!$B$23</f>
        <v/>
      </c>
      <c r="AE389" s="160">
        <f>S389*SUM('NM Play'!$B$26,'NM Play'!$B$33:$B$34)</f>
        <v/>
      </c>
      <c r="AF389" s="160">
        <f>IF('Sites'!$D$7="NM crew",S389*SUM('NM Play'!$B$24:$B$25),0)</f>
        <v/>
      </c>
      <c r="AG389" s="160">
        <f>IF('Sites'!$D$7="NM crew",S389*'NM Play'!$B$27,0)</f>
        <v/>
      </c>
      <c r="AH389" s="160">
        <f>N389*'Sites'!$Z$7*'NM Play'!$B$32</f>
        <v/>
      </c>
      <c r="AI389" s="160">
        <f>SUM(Y389:Z389)*'Sites'!$R$7</f>
        <v/>
      </c>
      <c r="AJ389" s="160">
        <f>SUM(AA389:AH389)</f>
        <v/>
      </c>
      <c r="AK389" s="160">
        <f>AJ389+(T389-U389)*'NM Play'!$B$22+MIN(G389,N389*'NM Play'!$B$11)/'NM Play'!$B$13*'NM Play'!$B$21*'NM Play'!$B$22+MIN(H389,N389*'NM Play'!$B$12)/'NM Play'!$B$14*IF('Sites'!$C$7="Own sheets",'NM Play'!$B$21*'NM Play'!$B$22,'NM Play'!$B$28*'NM Play'!$B$14/'NM Play'!$B$12)</f>
        <v/>
      </c>
      <c r="AL389" s="160">
        <f>Y389*'Assumptions'!AA66</f>
        <v/>
      </c>
      <c r="AM389" s="160">
        <f>IF('Sites'!$D$7="NM crew",S389*'NM Play'!$B$37*(1+IF(AND(ISNUMBER('NM Play'!$B$25),'NM Play'!$B$25&gt;0),1,0)),"")</f>
        <v/>
      </c>
      <c r="AN389" s="160">
        <f>IF(OR('Sites'!$E$7&lt;0,'Sites'!$E$7&gt;1,'Sites'!$F$7&lt;1,'Sites'!$G$7&lt;'Sites'!$F$7,F389&lt;0,MIN('Sites'!$I$7:'Sites'!$R$7)&lt;0,'Sites'!$L$7&gt;'Sites'!$I$7,'Sites'!$M$7&gt;'Sites'!$J$7,'Sites'!$N$7&gt;'Sites'!$K$7,'Sites'!$Z$7&lt;0,'Sites'!$Z$7&gt;1,MIN('Sites'!$AA$7:'Sites'!$AC$7)&lt;0,S389&gt;F389+0.001),1,0)</f>
        <v/>
      </c>
      <c r="AO389" s="160">
        <f>I389+U389-T389-X389</f>
        <v/>
      </c>
    </row>
    <row r="390" ht="28" customHeight="1">
      <c r="A390" s="4" t="inlineStr">
        <is>
          <t>Delayed receipts</t>
        </is>
      </c>
      <c r="B390" s="4" t="inlineStr">
        <is>
          <t>NEW1</t>
        </is>
      </c>
      <c r="C390" s="160" t="n">
        <v>25</v>
      </c>
      <c r="D390" s="160">
        <f>ROUNDUP(C390/12,0)</f>
        <v/>
      </c>
      <c r="E390" s="160">
        <f>IF(AND('Sites'!$E$7=1,C390&gt;='Sites'!$F$7+'Cases'!$G$9,C390&lt;='Sites'!$G$7),1,0)</f>
        <v/>
      </c>
      <c r="F390" s="160">
        <f>E390*'Assumptions'!AB68</f>
        <v/>
      </c>
      <c r="G390" s="160">
        <f>V389</f>
        <v/>
      </c>
      <c r="H390" s="160">
        <f>W389</f>
        <v/>
      </c>
      <c r="I390" s="160">
        <f>X389</f>
        <v/>
      </c>
      <c r="J390" s="160">
        <f>MAX(0,'Sites'!$K$7-0)</f>
        <v/>
      </c>
      <c r="K390" s="160">
        <f>IF('Sites'!$C$7="Own sheets",MIN(ROUNDDOWN(G390/'NM Play'!$B$11,0)+F390*'NM Play'!$B$10/'NM Play'!$B$43,ROUNDDOWN(H390/'NM Play'!$B$12,0)+F390*'NM Play'!$B$10/'NM Play'!$B$44,(F390*'NM Play'!$B$10+ROUNDDOWN(G390/'NM Play'!$B$11,0)*'NM Play'!$B$43+ROUNDDOWN(H390/'NM Play'!$B$12,0)*'NM Play'!$B$44)/('NM Play'!$B$43+'NM Play'!$B$44)),ROUNDDOWN(G390/'NM Play'!$B$11,0)+F390*'NM Play'!$B$10/'NM Play'!$B$43)</f>
        <v/>
      </c>
      <c r="L390" s="160">
        <f>MIN(ROUNDDOWN(G390/'NM Play'!$B$11,0)+F390/('NM Play'!$B$43/'NM Play'!$B$15),ROUNDDOWN(H390/'NM Play'!$B$12,0)+F390/('NM Play'!$B$44/'NM Play'!$B$16),(F390+ROUNDDOWN(G390/'NM Play'!$B$11,0)*'NM Play'!$B$43/'NM Play'!$B$15+ROUNDDOWN(H390/'NM Play'!$B$12,0)*'NM Play'!$B$44/'NM Play'!$B$16)/('NM Play'!$B$43/'NM Play'!$B$15+'NM Play'!$B$44/'NM Play'!$B$16))</f>
        <v/>
      </c>
      <c r="M390" s="160">
        <f>F390*'NM Play'!$B$36</f>
        <v/>
      </c>
      <c r="N390" s="160">
        <f>ROUNDDOWN(MAX(0,MIN(J390,K390:M390)),0)</f>
        <v/>
      </c>
      <c r="O390" s="160">
        <f>ROUNDUP(MAX(0,N390*'NM Play'!$B$11-G390)/'NM Play'!$B$13,0)</f>
        <v/>
      </c>
      <c r="P390" s="160">
        <f>ROUNDUP(MAX(0,N390*'NM Play'!$B$12-H390)/'NM Play'!$B$14,0)</f>
        <v/>
      </c>
      <c r="Q390" s="160">
        <f>(O390+IF('Sites'!$C$7="Own sheets",P390,0))/'NM Play'!$B$10</f>
        <v/>
      </c>
      <c r="R390" s="160">
        <f>O390/'NM Play'!$B$15+P390/'NM Play'!$B$16</f>
        <v/>
      </c>
      <c r="S390" s="160">
        <f>MAX(Q390,R390,N390/'NM Play'!$B$36)</f>
        <v/>
      </c>
      <c r="T390" s="160">
        <f>Q390*'NM Play'!$B$10*'NM Play'!$B$21*(1+'NM Play'!$B$35)</f>
        <v/>
      </c>
      <c r="U390" s="160">
        <f>MAX(0,T390-I390)</f>
        <v/>
      </c>
      <c r="V390" s="160">
        <f>G390+O390*'NM Play'!$B$13-N390*'NM Play'!$B$11</f>
        <v/>
      </c>
      <c r="W390" s="160">
        <f>H390+P390*'NM Play'!$B$14-N390*'NM Play'!$B$12</f>
        <v/>
      </c>
      <c r="X390" s="160">
        <f>I390+U390-T390</f>
        <v/>
      </c>
      <c r="Y390" s="160">
        <f>MIN(N390,MAX(0,ROUNDDOWN('Sites'!$N$7*'Cases'!$E$9,0)-0))</f>
        <v/>
      </c>
      <c r="Z390" s="160">
        <f>N390-Y390</f>
        <v/>
      </c>
      <c r="AA390" s="160">
        <f>U390*'NM Play'!$B$22</f>
        <v/>
      </c>
      <c r="AB390" s="160">
        <f>N390*SUM('NM Play'!$B$29:$B$31)</f>
        <v/>
      </c>
      <c r="AC390" s="160">
        <f>IF('Sites'!$C$7="Defy legs",P390*'NM Play'!$B$14/'NM Play'!$B$12*'NM Play'!$B$28,0)</f>
        <v/>
      </c>
      <c r="AD390" s="160">
        <f>Q390*'NM Play'!$B$23</f>
        <v/>
      </c>
      <c r="AE390" s="160">
        <f>S390*SUM('NM Play'!$B$26,'NM Play'!$B$33:$B$34)</f>
        <v/>
      </c>
      <c r="AF390" s="160">
        <f>IF('Sites'!$D$7="NM crew",S390*SUM('NM Play'!$B$24:$B$25),0)</f>
        <v/>
      </c>
      <c r="AG390" s="160">
        <f>IF('Sites'!$D$7="NM crew",S390*'NM Play'!$B$27,0)</f>
        <v/>
      </c>
      <c r="AH390" s="160">
        <f>N390*'Sites'!$Z$7*'NM Play'!$B$32</f>
        <v/>
      </c>
      <c r="AI390" s="160">
        <f>SUM(Y390:Z390)*'Sites'!$R$7</f>
        <v/>
      </c>
      <c r="AJ390" s="160">
        <f>SUM(AA390:AH390)</f>
        <v/>
      </c>
      <c r="AK390" s="160">
        <f>AJ390+(T390-U390)*'NM Play'!$B$22+MIN(G390,N390*'NM Play'!$B$11)/'NM Play'!$B$13*'NM Play'!$B$21*'NM Play'!$B$22+MIN(H390,N390*'NM Play'!$B$12)/'NM Play'!$B$14*IF('Sites'!$C$7="Own sheets",'NM Play'!$B$21*'NM Play'!$B$22,'NM Play'!$B$28*'NM Play'!$B$14/'NM Play'!$B$12)</f>
        <v/>
      </c>
      <c r="AL390" s="160">
        <f>Y390*'Assumptions'!AB66</f>
        <v/>
      </c>
      <c r="AM390" s="160">
        <f>IF('Sites'!$D$7="NM crew",S390*'NM Play'!$B$37*(1+IF(AND(ISNUMBER('NM Play'!$B$25),'NM Play'!$B$25&gt;0),1,0)),"")</f>
        <v/>
      </c>
      <c r="AN390" s="160">
        <f>IF(OR('Sites'!$E$7&lt;0,'Sites'!$E$7&gt;1,'Sites'!$F$7&lt;1,'Sites'!$G$7&lt;'Sites'!$F$7,F390&lt;0,MIN('Sites'!$I$7:'Sites'!$R$7)&lt;0,'Sites'!$L$7&gt;'Sites'!$I$7,'Sites'!$M$7&gt;'Sites'!$J$7,'Sites'!$N$7&gt;'Sites'!$K$7,'Sites'!$Z$7&lt;0,'Sites'!$Z$7&gt;1,MIN('Sites'!$AA$7:'Sites'!$AC$7)&lt;0,S390&gt;F390+0.001),1,0)</f>
        <v/>
      </c>
      <c r="AO390" s="160">
        <f>I390+U390-T390-X390</f>
        <v/>
      </c>
    </row>
    <row r="391" ht="28" customHeight="1">
      <c r="A391" s="4" t="inlineStr">
        <is>
          <t>Delayed receipts</t>
        </is>
      </c>
      <c r="B391" s="4" t="inlineStr">
        <is>
          <t>NEW1</t>
        </is>
      </c>
      <c r="C391" s="160" t="n">
        <v>26</v>
      </c>
      <c r="D391" s="160">
        <f>ROUNDUP(C391/12,0)</f>
        <v/>
      </c>
      <c r="E391" s="160">
        <f>IF(AND('Sites'!$E$7=1,C391&gt;='Sites'!$F$7+'Cases'!$G$9,C391&lt;='Sites'!$G$7),1,0)</f>
        <v/>
      </c>
      <c r="F391" s="160">
        <f>E391*'Assumptions'!AC68</f>
        <v/>
      </c>
      <c r="G391" s="160">
        <f>V390</f>
        <v/>
      </c>
      <c r="H391" s="160">
        <f>W390</f>
        <v/>
      </c>
      <c r="I391" s="160">
        <f>X390</f>
        <v/>
      </c>
      <c r="J391" s="160">
        <f>MAX(0,'Sites'!$K$7-SUM(N390:N390))</f>
        <v/>
      </c>
      <c r="K391" s="160">
        <f>IF('Sites'!$C$7="Own sheets",MIN(ROUNDDOWN(G391/'NM Play'!$B$11,0)+F391*'NM Play'!$B$10/'NM Play'!$B$43,ROUNDDOWN(H391/'NM Play'!$B$12,0)+F391*'NM Play'!$B$10/'NM Play'!$B$44,(F391*'NM Play'!$B$10+ROUNDDOWN(G391/'NM Play'!$B$11,0)*'NM Play'!$B$43+ROUNDDOWN(H391/'NM Play'!$B$12,0)*'NM Play'!$B$44)/('NM Play'!$B$43+'NM Play'!$B$44)),ROUNDDOWN(G391/'NM Play'!$B$11,0)+F391*'NM Play'!$B$10/'NM Play'!$B$43)</f>
        <v/>
      </c>
      <c r="L391" s="160">
        <f>MIN(ROUNDDOWN(G391/'NM Play'!$B$11,0)+F391/('NM Play'!$B$43/'NM Play'!$B$15),ROUNDDOWN(H391/'NM Play'!$B$12,0)+F391/('NM Play'!$B$44/'NM Play'!$B$16),(F391+ROUNDDOWN(G391/'NM Play'!$B$11,0)*'NM Play'!$B$43/'NM Play'!$B$15+ROUNDDOWN(H391/'NM Play'!$B$12,0)*'NM Play'!$B$44/'NM Play'!$B$16)/('NM Play'!$B$43/'NM Play'!$B$15+'NM Play'!$B$44/'NM Play'!$B$16))</f>
        <v/>
      </c>
      <c r="M391" s="160">
        <f>F391*'NM Play'!$B$36</f>
        <v/>
      </c>
      <c r="N391" s="160">
        <f>ROUNDDOWN(MAX(0,MIN(J391,K391:M391)),0)</f>
        <v/>
      </c>
      <c r="O391" s="160">
        <f>ROUNDUP(MAX(0,N391*'NM Play'!$B$11-G391)/'NM Play'!$B$13,0)</f>
        <v/>
      </c>
      <c r="P391" s="160">
        <f>ROUNDUP(MAX(0,N391*'NM Play'!$B$12-H391)/'NM Play'!$B$14,0)</f>
        <v/>
      </c>
      <c r="Q391" s="160">
        <f>(O391+IF('Sites'!$C$7="Own sheets",P391,0))/'NM Play'!$B$10</f>
        <v/>
      </c>
      <c r="R391" s="160">
        <f>O391/'NM Play'!$B$15+P391/'NM Play'!$B$16</f>
        <v/>
      </c>
      <c r="S391" s="160">
        <f>MAX(Q391,R391,N391/'NM Play'!$B$36)</f>
        <v/>
      </c>
      <c r="T391" s="160">
        <f>Q391*'NM Play'!$B$10*'NM Play'!$B$21*(1+'NM Play'!$B$35)</f>
        <v/>
      </c>
      <c r="U391" s="160">
        <f>MAX(0,T391-I391)</f>
        <v/>
      </c>
      <c r="V391" s="160">
        <f>G391+O391*'NM Play'!$B$13-N391*'NM Play'!$B$11</f>
        <v/>
      </c>
      <c r="W391" s="160">
        <f>H391+P391*'NM Play'!$B$14-N391*'NM Play'!$B$12</f>
        <v/>
      </c>
      <c r="X391" s="160">
        <f>I391+U391-T391</f>
        <v/>
      </c>
      <c r="Y391" s="160">
        <f>MIN(N391,MAX(0,ROUNDDOWN('Sites'!$N$7*'Cases'!$E$9,0)-SUM(Y390:Y390)))</f>
        <v/>
      </c>
      <c r="Z391" s="160">
        <f>N391-Y391</f>
        <v/>
      </c>
      <c r="AA391" s="160">
        <f>U391*'NM Play'!$B$22</f>
        <v/>
      </c>
      <c r="AB391" s="160">
        <f>N391*SUM('NM Play'!$B$29:$B$31)</f>
        <v/>
      </c>
      <c r="AC391" s="160">
        <f>IF('Sites'!$C$7="Defy legs",P391*'NM Play'!$B$14/'NM Play'!$B$12*'NM Play'!$B$28,0)</f>
        <v/>
      </c>
      <c r="AD391" s="160">
        <f>Q391*'NM Play'!$B$23</f>
        <v/>
      </c>
      <c r="AE391" s="160">
        <f>S391*SUM('NM Play'!$B$26,'NM Play'!$B$33:$B$34)</f>
        <v/>
      </c>
      <c r="AF391" s="160">
        <f>IF('Sites'!$D$7="NM crew",S391*SUM('NM Play'!$B$24:$B$25),0)</f>
        <v/>
      </c>
      <c r="AG391" s="160">
        <f>IF('Sites'!$D$7="NM crew",S391*'NM Play'!$B$27,0)</f>
        <v/>
      </c>
      <c r="AH391" s="160">
        <f>N391*'Sites'!$Z$7*'NM Play'!$B$32</f>
        <v/>
      </c>
      <c r="AI391" s="160">
        <f>SUM(Y391:Z391)*'Sites'!$R$7</f>
        <v/>
      </c>
      <c r="AJ391" s="160">
        <f>SUM(AA391:AH391)</f>
        <v/>
      </c>
      <c r="AK391" s="160">
        <f>AJ391+(T391-U391)*'NM Play'!$B$22+MIN(G391,N391*'NM Play'!$B$11)/'NM Play'!$B$13*'NM Play'!$B$21*'NM Play'!$B$22+MIN(H391,N391*'NM Play'!$B$12)/'NM Play'!$B$14*IF('Sites'!$C$7="Own sheets",'NM Play'!$B$21*'NM Play'!$B$22,'NM Play'!$B$28*'NM Play'!$B$14/'NM Play'!$B$12)</f>
        <v/>
      </c>
      <c r="AL391" s="160">
        <f>Y391*'Assumptions'!AC66</f>
        <v/>
      </c>
      <c r="AM391" s="160">
        <f>IF('Sites'!$D$7="NM crew",S391*'NM Play'!$B$37*(1+IF(AND(ISNUMBER('NM Play'!$B$25),'NM Play'!$B$25&gt;0),1,0)),"")</f>
        <v/>
      </c>
      <c r="AN391" s="160">
        <f>IF(OR('Sites'!$E$7&lt;0,'Sites'!$E$7&gt;1,'Sites'!$F$7&lt;1,'Sites'!$G$7&lt;'Sites'!$F$7,F391&lt;0,MIN('Sites'!$I$7:'Sites'!$R$7)&lt;0,'Sites'!$L$7&gt;'Sites'!$I$7,'Sites'!$M$7&gt;'Sites'!$J$7,'Sites'!$N$7&gt;'Sites'!$K$7,'Sites'!$Z$7&lt;0,'Sites'!$Z$7&gt;1,MIN('Sites'!$AA$7:'Sites'!$AC$7)&lt;0,S391&gt;F391+0.001),1,0)</f>
        <v/>
      </c>
      <c r="AO391" s="160">
        <f>I391+U391-T391-X391</f>
        <v/>
      </c>
    </row>
    <row r="392" ht="28" customHeight="1">
      <c r="A392" s="4" t="inlineStr">
        <is>
          <t>Delayed receipts</t>
        </is>
      </c>
      <c r="B392" s="4" t="inlineStr">
        <is>
          <t>NEW1</t>
        </is>
      </c>
      <c r="C392" s="160" t="n">
        <v>27</v>
      </c>
      <c r="D392" s="160">
        <f>ROUNDUP(C392/12,0)</f>
        <v/>
      </c>
      <c r="E392" s="160">
        <f>IF(AND('Sites'!$E$7=1,C392&gt;='Sites'!$F$7+'Cases'!$G$9,C392&lt;='Sites'!$G$7),1,0)</f>
        <v/>
      </c>
      <c r="F392" s="160">
        <f>E392*'Assumptions'!AD68</f>
        <v/>
      </c>
      <c r="G392" s="160">
        <f>V391</f>
        <v/>
      </c>
      <c r="H392" s="160">
        <f>W391</f>
        <v/>
      </c>
      <c r="I392" s="160">
        <f>X391</f>
        <v/>
      </c>
      <c r="J392" s="160">
        <f>MAX(0,'Sites'!$K$7-SUM(N390:N391))</f>
        <v/>
      </c>
      <c r="K392" s="160">
        <f>IF('Sites'!$C$7="Own sheets",MIN(ROUNDDOWN(G392/'NM Play'!$B$11,0)+F392*'NM Play'!$B$10/'NM Play'!$B$43,ROUNDDOWN(H392/'NM Play'!$B$12,0)+F392*'NM Play'!$B$10/'NM Play'!$B$44,(F392*'NM Play'!$B$10+ROUNDDOWN(G392/'NM Play'!$B$11,0)*'NM Play'!$B$43+ROUNDDOWN(H392/'NM Play'!$B$12,0)*'NM Play'!$B$44)/('NM Play'!$B$43+'NM Play'!$B$44)),ROUNDDOWN(G392/'NM Play'!$B$11,0)+F392*'NM Play'!$B$10/'NM Play'!$B$43)</f>
        <v/>
      </c>
      <c r="L392" s="160">
        <f>MIN(ROUNDDOWN(G392/'NM Play'!$B$11,0)+F392/('NM Play'!$B$43/'NM Play'!$B$15),ROUNDDOWN(H392/'NM Play'!$B$12,0)+F392/('NM Play'!$B$44/'NM Play'!$B$16),(F392+ROUNDDOWN(G392/'NM Play'!$B$11,0)*'NM Play'!$B$43/'NM Play'!$B$15+ROUNDDOWN(H392/'NM Play'!$B$12,0)*'NM Play'!$B$44/'NM Play'!$B$16)/('NM Play'!$B$43/'NM Play'!$B$15+'NM Play'!$B$44/'NM Play'!$B$16))</f>
        <v/>
      </c>
      <c r="M392" s="160">
        <f>F392*'NM Play'!$B$36</f>
        <v/>
      </c>
      <c r="N392" s="160">
        <f>ROUNDDOWN(MAX(0,MIN(J392,K392:M392)),0)</f>
        <v/>
      </c>
      <c r="O392" s="160">
        <f>ROUNDUP(MAX(0,N392*'NM Play'!$B$11-G392)/'NM Play'!$B$13,0)</f>
        <v/>
      </c>
      <c r="P392" s="160">
        <f>ROUNDUP(MAX(0,N392*'NM Play'!$B$12-H392)/'NM Play'!$B$14,0)</f>
        <v/>
      </c>
      <c r="Q392" s="160">
        <f>(O392+IF('Sites'!$C$7="Own sheets",P392,0))/'NM Play'!$B$10</f>
        <v/>
      </c>
      <c r="R392" s="160">
        <f>O392/'NM Play'!$B$15+P392/'NM Play'!$B$16</f>
        <v/>
      </c>
      <c r="S392" s="160">
        <f>MAX(Q392,R392,N392/'NM Play'!$B$36)</f>
        <v/>
      </c>
      <c r="T392" s="160">
        <f>Q392*'NM Play'!$B$10*'NM Play'!$B$21*(1+'NM Play'!$B$35)</f>
        <v/>
      </c>
      <c r="U392" s="160">
        <f>MAX(0,T392-I392)</f>
        <v/>
      </c>
      <c r="V392" s="160">
        <f>G392+O392*'NM Play'!$B$13-N392*'NM Play'!$B$11</f>
        <v/>
      </c>
      <c r="W392" s="160">
        <f>H392+P392*'NM Play'!$B$14-N392*'NM Play'!$B$12</f>
        <v/>
      </c>
      <c r="X392" s="160">
        <f>I392+U392-T392</f>
        <v/>
      </c>
      <c r="Y392" s="160">
        <f>MIN(N392,MAX(0,ROUNDDOWN('Sites'!$N$7*'Cases'!$E$9,0)-SUM(Y390:Y391)))</f>
        <v/>
      </c>
      <c r="Z392" s="160">
        <f>N392-Y392</f>
        <v/>
      </c>
      <c r="AA392" s="160">
        <f>U392*'NM Play'!$B$22</f>
        <v/>
      </c>
      <c r="AB392" s="160">
        <f>N392*SUM('NM Play'!$B$29:$B$31)</f>
        <v/>
      </c>
      <c r="AC392" s="160">
        <f>IF('Sites'!$C$7="Defy legs",P392*'NM Play'!$B$14/'NM Play'!$B$12*'NM Play'!$B$28,0)</f>
        <v/>
      </c>
      <c r="AD392" s="160">
        <f>Q392*'NM Play'!$B$23</f>
        <v/>
      </c>
      <c r="AE392" s="160">
        <f>S392*SUM('NM Play'!$B$26,'NM Play'!$B$33:$B$34)</f>
        <v/>
      </c>
      <c r="AF392" s="160">
        <f>IF('Sites'!$D$7="NM crew",S392*SUM('NM Play'!$B$24:$B$25),0)</f>
        <v/>
      </c>
      <c r="AG392" s="160">
        <f>IF('Sites'!$D$7="NM crew",S392*'NM Play'!$B$27,0)</f>
        <v/>
      </c>
      <c r="AH392" s="160">
        <f>N392*'Sites'!$Z$7*'NM Play'!$B$32</f>
        <v/>
      </c>
      <c r="AI392" s="160">
        <f>SUM(Y392:Z392)*'Sites'!$R$7</f>
        <v/>
      </c>
      <c r="AJ392" s="160">
        <f>SUM(AA392:AH392)</f>
        <v/>
      </c>
      <c r="AK392" s="160">
        <f>AJ392+(T392-U392)*'NM Play'!$B$22+MIN(G392,N392*'NM Play'!$B$11)/'NM Play'!$B$13*'NM Play'!$B$21*'NM Play'!$B$22+MIN(H392,N392*'NM Play'!$B$12)/'NM Play'!$B$14*IF('Sites'!$C$7="Own sheets",'NM Play'!$B$21*'NM Play'!$B$22,'NM Play'!$B$28*'NM Play'!$B$14/'NM Play'!$B$12)</f>
        <v/>
      </c>
      <c r="AL392" s="160">
        <f>Y392*'Assumptions'!AD66</f>
        <v/>
      </c>
      <c r="AM392" s="160">
        <f>IF('Sites'!$D$7="NM crew",S392*'NM Play'!$B$37*(1+IF(AND(ISNUMBER('NM Play'!$B$25),'NM Play'!$B$25&gt;0),1,0)),"")</f>
        <v/>
      </c>
      <c r="AN392" s="160">
        <f>IF(OR('Sites'!$E$7&lt;0,'Sites'!$E$7&gt;1,'Sites'!$F$7&lt;1,'Sites'!$G$7&lt;'Sites'!$F$7,F392&lt;0,MIN('Sites'!$I$7:'Sites'!$R$7)&lt;0,'Sites'!$L$7&gt;'Sites'!$I$7,'Sites'!$M$7&gt;'Sites'!$J$7,'Sites'!$N$7&gt;'Sites'!$K$7,'Sites'!$Z$7&lt;0,'Sites'!$Z$7&gt;1,MIN('Sites'!$AA$7:'Sites'!$AC$7)&lt;0,S392&gt;F392+0.001),1,0)</f>
        <v/>
      </c>
      <c r="AO392" s="160">
        <f>I392+U392-T392-X392</f>
        <v/>
      </c>
    </row>
    <row r="393" ht="28" customHeight="1">
      <c r="A393" s="4" t="inlineStr">
        <is>
          <t>Delayed receipts</t>
        </is>
      </c>
      <c r="B393" s="4" t="inlineStr">
        <is>
          <t>NEW1</t>
        </is>
      </c>
      <c r="C393" s="160" t="n">
        <v>28</v>
      </c>
      <c r="D393" s="160">
        <f>ROUNDUP(C393/12,0)</f>
        <v/>
      </c>
      <c r="E393" s="160">
        <f>IF(AND('Sites'!$E$7=1,C393&gt;='Sites'!$F$7+'Cases'!$G$9,C393&lt;='Sites'!$G$7),1,0)</f>
        <v/>
      </c>
      <c r="F393" s="160">
        <f>E393*'Assumptions'!AE68</f>
        <v/>
      </c>
      <c r="G393" s="160">
        <f>V392</f>
        <v/>
      </c>
      <c r="H393" s="160">
        <f>W392</f>
        <v/>
      </c>
      <c r="I393" s="160">
        <f>X392</f>
        <v/>
      </c>
      <c r="J393" s="160">
        <f>MAX(0,'Sites'!$K$7-SUM(N390:N392))</f>
        <v/>
      </c>
      <c r="K393" s="160">
        <f>IF('Sites'!$C$7="Own sheets",MIN(ROUNDDOWN(G393/'NM Play'!$B$11,0)+F393*'NM Play'!$B$10/'NM Play'!$B$43,ROUNDDOWN(H393/'NM Play'!$B$12,0)+F393*'NM Play'!$B$10/'NM Play'!$B$44,(F393*'NM Play'!$B$10+ROUNDDOWN(G393/'NM Play'!$B$11,0)*'NM Play'!$B$43+ROUNDDOWN(H393/'NM Play'!$B$12,0)*'NM Play'!$B$44)/('NM Play'!$B$43+'NM Play'!$B$44)),ROUNDDOWN(G393/'NM Play'!$B$11,0)+F393*'NM Play'!$B$10/'NM Play'!$B$43)</f>
        <v/>
      </c>
      <c r="L393" s="160">
        <f>MIN(ROUNDDOWN(G393/'NM Play'!$B$11,0)+F393/('NM Play'!$B$43/'NM Play'!$B$15),ROUNDDOWN(H393/'NM Play'!$B$12,0)+F393/('NM Play'!$B$44/'NM Play'!$B$16),(F393+ROUNDDOWN(G393/'NM Play'!$B$11,0)*'NM Play'!$B$43/'NM Play'!$B$15+ROUNDDOWN(H393/'NM Play'!$B$12,0)*'NM Play'!$B$44/'NM Play'!$B$16)/('NM Play'!$B$43/'NM Play'!$B$15+'NM Play'!$B$44/'NM Play'!$B$16))</f>
        <v/>
      </c>
      <c r="M393" s="160">
        <f>F393*'NM Play'!$B$36</f>
        <v/>
      </c>
      <c r="N393" s="160">
        <f>ROUNDDOWN(MAX(0,MIN(J393,K393:M393)),0)</f>
        <v/>
      </c>
      <c r="O393" s="160">
        <f>ROUNDUP(MAX(0,N393*'NM Play'!$B$11-G393)/'NM Play'!$B$13,0)</f>
        <v/>
      </c>
      <c r="P393" s="160">
        <f>ROUNDUP(MAX(0,N393*'NM Play'!$B$12-H393)/'NM Play'!$B$14,0)</f>
        <v/>
      </c>
      <c r="Q393" s="160">
        <f>(O393+IF('Sites'!$C$7="Own sheets",P393,0))/'NM Play'!$B$10</f>
        <v/>
      </c>
      <c r="R393" s="160">
        <f>O393/'NM Play'!$B$15+P393/'NM Play'!$B$16</f>
        <v/>
      </c>
      <c r="S393" s="160">
        <f>MAX(Q393,R393,N393/'NM Play'!$B$36)</f>
        <v/>
      </c>
      <c r="T393" s="160">
        <f>Q393*'NM Play'!$B$10*'NM Play'!$B$21*(1+'NM Play'!$B$35)</f>
        <v/>
      </c>
      <c r="U393" s="160">
        <f>MAX(0,T393-I393)</f>
        <v/>
      </c>
      <c r="V393" s="160">
        <f>G393+O393*'NM Play'!$B$13-N393*'NM Play'!$B$11</f>
        <v/>
      </c>
      <c r="W393" s="160">
        <f>H393+P393*'NM Play'!$B$14-N393*'NM Play'!$B$12</f>
        <v/>
      </c>
      <c r="X393" s="160">
        <f>I393+U393-T393</f>
        <v/>
      </c>
      <c r="Y393" s="160">
        <f>MIN(N393,MAX(0,ROUNDDOWN('Sites'!$N$7*'Cases'!$E$9,0)-SUM(Y390:Y392)))</f>
        <v/>
      </c>
      <c r="Z393" s="160">
        <f>N393-Y393</f>
        <v/>
      </c>
      <c r="AA393" s="160">
        <f>U393*'NM Play'!$B$22</f>
        <v/>
      </c>
      <c r="AB393" s="160">
        <f>N393*SUM('NM Play'!$B$29:$B$31)</f>
        <v/>
      </c>
      <c r="AC393" s="160">
        <f>IF('Sites'!$C$7="Defy legs",P393*'NM Play'!$B$14/'NM Play'!$B$12*'NM Play'!$B$28,0)</f>
        <v/>
      </c>
      <c r="AD393" s="160">
        <f>Q393*'NM Play'!$B$23</f>
        <v/>
      </c>
      <c r="AE393" s="160">
        <f>S393*SUM('NM Play'!$B$26,'NM Play'!$B$33:$B$34)</f>
        <v/>
      </c>
      <c r="AF393" s="160">
        <f>IF('Sites'!$D$7="NM crew",S393*SUM('NM Play'!$B$24:$B$25),0)</f>
        <v/>
      </c>
      <c r="AG393" s="160">
        <f>IF('Sites'!$D$7="NM crew",S393*'NM Play'!$B$27,0)</f>
        <v/>
      </c>
      <c r="AH393" s="160">
        <f>N393*'Sites'!$Z$7*'NM Play'!$B$32</f>
        <v/>
      </c>
      <c r="AI393" s="160">
        <f>SUM(Y393:Z393)*'Sites'!$R$7</f>
        <v/>
      </c>
      <c r="AJ393" s="160">
        <f>SUM(AA393:AH393)</f>
        <v/>
      </c>
      <c r="AK393" s="160">
        <f>AJ393+(T393-U393)*'NM Play'!$B$22+MIN(G393,N393*'NM Play'!$B$11)/'NM Play'!$B$13*'NM Play'!$B$21*'NM Play'!$B$22+MIN(H393,N393*'NM Play'!$B$12)/'NM Play'!$B$14*IF('Sites'!$C$7="Own sheets",'NM Play'!$B$21*'NM Play'!$B$22,'NM Play'!$B$28*'NM Play'!$B$14/'NM Play'!$B$12)</f>
        <v/>
      </c>
      <c r="AL393" s="160">
        <f>Y393*'Assumptions'!AE66</f>
        <v/>
      </c>
      <c r="AM393" s="160">
        <f>IF('Sites'!$D$7="NM crew",S393*'NM Play'!$B$37*(1+IF(AND(ISNUMBER('NM Play'!$B$25),'NM Play'!$B$25&gt;0),1,0)),"")</f>
        <v/>
      </c>
      <c r="AN393" s="160">
        <f>IF(OR('Sites'!$E$7&lt;0,'Sites'!$E$7&gt;1,'Sites'!$F$7&lt;1,'Sites'!$G$7&lt;'Sites'!$F$7,F393&lt;0,MIN('Sites'!$I$7:'Sites'!$R$7)&lt;0,'Sites'!$L$7&gt;'Sites'!$I$7,'Sites'!$M$7&gt;'Sites'!$J$7,'Sites'!$N$7&gt;'Sites'!$K$7,'Sites'!$Z$7&lt;0,'Sites'!$Z$7&gt;1,MIN('Sites'!$AA$7:'Sites'!$AC$7)&lt;0,S393&gt;F393+0.001),1,0)</f>
        <v/>
      </c>
      <c r="AO393" s="160">
        <f>I393+U393-T393-X393</f>
        <v/>
      </c>
    </row>
    <row r="394" ht="28" customHeight="1">
      <c r="A394" s="4" t="inlineStr">
        <is>
          <t>Delayed receipts</t>
        </is>
      </c>
      <c r="B394" s="4" t="inlineStr">
        <is>
          <t>NEW1</t>
        </is>
      </c>
      <c r="C394" s="160" t="n">
        <v>29</v>
      </c>
      <c r="D394" s="160">
        <f>ROUNDUP(C394/12,0)</f>
        <v/>
      </c>
      <c r="E394" s="160">
        <f>IF(AND('Sites'!$E$7=1,C394&gt;='Sites'!$F$7+'Cases'!$G$9,C394&lt;='Sites'!$G$7),1,0)</f>
        <v/>
      </c>
      <c r="F394" s="160">
        <f>E394*'Assumptions'!AF68</f>
        <v/>
      </c>
      <c r="G394" s="160">
        <f>V393</f>
        <v/>
      </c>
      <c r="H394" s="160">
        <f>W393</f>
        <v/>
      </c>
      <c r="I394" s="160">
        <f>X393</f>
        <v/>
      </c>
      <c r="J394" s="160">
        <f>MAX(0,'Sites'!$K$7-SUM(N390:N393))</f>
        <v/>
      </c>
      <c r="K394" s="160">
        <f>IF('Sites'!$C$7="Own sheets",MIN(ROUNDDOWN(G394/'NM Play'!$B$11,0)+F394*'NM Play'!$B$10/'NM Play'!$B$43,ROUNDDOWN(H394/'NM Play'!$B$12,0)+F394*'NM Play'!$B$10/'NM Play'!$B$44,(F394*'NM Play'!$B$10+ROUNDDOWN(G394/'NM Play'!$B$11,0)*'NM Play'!$B$43+ROUNDDOWN(H394/'NM Play'!$B$12,0)*'NM Play'!$B$44)/('NM Play'!$B$43+'NM Play'!$B$44)),ROUNDDOWN(G394/'NM Play'!$B$11,0)+F394*'NM Play'!$B$10/'NM Play'!$B$43)</f>
        <v/>
      </c>
      <c r="L394" s="160">
        <f>MIN(ROUNDDOWN(G394/'NM Play'!$B$11,0)+F394/('NM Play'!$B$43/'NM Play'!$B$15),ROUNDDOWN(H394/'NM Play'!$B$12,0)+F394/('NM Play'!$B$44/'NM Play'!$B$16),(F394+ROUNDDOWN(G394/'NM Play'!$B$11,0)*'NM Play'!$B$43/'NM Play'!$B$15+ROUNDDOWN(H394/'NM Play'!$B$12,0)*'NM Play'!$B$44/'NM Play'!$B$16)/('NM Play'!$B$43/'NM Play'!$B$15+'NM Play'!$B$44/'NM Play'!$B$16))</f>
        <v/>
      </c>
      <c r="M394" s="160">
        <f>F394*'NM Play'!$B$36</f>
        <v/>
      </c>
      <c r="N394" s="160">
        <f>ROUNDDOWN(MAX(0,MIN(J394,K394:M394)),0)</f>
        <v/>
      </c>
      <c r="O394" s="160">
        <f>ROUNDUP(MAX(0,N394*'NM Play'!$B$11-G394)/'NM Play'!$B$13,0)</f>
        <v/>
      </c>
      <c r="P394" s="160">
        <f>ROUNDUP(MAX(0,N394*'NM Play'!$B$12-H394)/'NM Play'!$B$14,0)</f>
        <v/>
      </c>
      <c r="Q394" s="160">
        <f>(O394+IF('Sites'!$C$7="Own sheets",P394,0))/'NM Play'!$B$10</f>
        <v/>
      </c>
      <c r="R394" s="160">
        <f>O394/'NM Play'!$B$15+P394/'NM Play'!$B$16</f>
        <v/>
      </c>
      <c r="S394" s="160">
        <f>MAX(Q394,R394,N394/'NM Play'!$B$36)</f>
        <v/>
      </c>
      <c r="T394" s="160">
        <f>Q394*'NM Play'!$B$10*'NM Play'!$B$21*(1+'NM Play'!$B$35)</f>
        <v/>
      </c>
      <c r="U394" s="160">
        <f>MAX(0,T394-I394)</f>
        <v/>
      </c>
      <c r="V394" s="160">
        <f>G394+O394*'NM Play'!$B$13-N394*'NM Play'!$B$11</f>
        <v/>
      </c>
      <c r="W394" s="160">
        <f>H394+P394*'NM Play'!$B$14-N394*'NM Play'!$B$12</f>
        <v/>
      </c>
      <c r="X394" s="160">
        <f>I394+U394-T394</f>
        <v/>
      </c>
      <c r="Y394" s="160">
        <f>MIN(N394,MAX(0,ROUNDDOWN('Sites'!$N$7*'Cases'!$E$9,0)-SUM(Y390:Y393)))</f>
        <v/>
      </c>
      <c r="Z394" s="160">
        <f>N394-Y394</f>
        <v/>
      </c>
      <c r="AA394" s="160">
        <f>U394*'NM Play'!$B$22</f>
        <v/>
      </c>
      <c r="AB394" s="160">
        <f>N394*SUM('NM Play'!$B$29:$B$31)</f>
        <v/>
      </c>
      <c r="AC394" s="160">
        <f>IF('Sites'!$C$7="Defy legs",P394*'NM Play'!$B$14/'NM Play'!$B$12*'NM Play'!$B$28,0)</f>
        <v/>
      </c>
      <c r="AD394" s="160">
        <f>Q394*'NM Play'!$B$23</f>
        <v/>
      </c>
      <c r="AE394" s="160">
        <f>S394*SUM('NM Play'!$B$26,'NM Play'!$B$33:$B$34)</f>
        <v/>
      </c>
      <c r="AF394" s="160">
        <f>IF('Sites'!$D$7="NM crew",S394*SUM('NM Play'!$B$24:$B$25),0)</f>
        <v/>
      </c>
      <c r="AG394" s="160">
        <f>IF('Sites'!$D$7="NM crew",S394*'NM Play'!$B$27,0)</f>
        <v/>
      </c>
      <c r="AH394" s="160">
        <f>N394*'Sites'!$Z$7*'NM Play'!$B$32</f>
        <v/>
      </c>
      <c r="AI394" s="160">
        <f>SUM(Y394:Z394)*'Sites'!$R$7</f>
        <v/>
      </c>
      <c r="AJ394" s="160">
        <f>SUM(AA394:AH394)</f>
        <v/>
      </c>
      <c r="AK394" s="160">
        <f>AJ394+(T394-U394)*'NM Play'!$B$22+MIN(G394,N394*'NM Play'!$B$11)/'NM Play'!$B$13*'NM Play'!$B$21*'NM Play'!$B$22+MIN(H394,N394*'NM Play'!$B$12)/'NM Play'!$B$14*IF('Sites'!$C$7="Own sheets",'NM Play'!$B$21*'NM Play'!$B$22,'NM Play'!$B$28*'NM Play'!$B$14/'NM Play'!$B$12)</f>
        <v/>
      </c>
      <c r="AL394" s="160">
        <f>Y394*'Assumptions'!AF66</f>
        <v/>
      </c>
      <c r="AM394" s="160">
        <f>IF('Sites'!$D$7="NM crew",S394*'NM Play'!$B$37*(1+IF(AND(ISNUMBER('NM Play'!$B$25),'NM Play'!$B$25&gt;0),1,0)),"")</f>
        <v/>
      </c>
      <c r="AN394" s="160">
        <f>IF(OR('Sites'!$E$7&lt;0,'Sites'!$E$7&gt;1,'Sites'!$F$7&lt;1,'Sites'!$G$7&lt;'Sites'!$F$7,F394&lt;0,MIN('Sites'!$I$7:'Sites'!$R$7)&lt;0,'Sites'!$L$7&gt;'Sites'!$I$7,'Sites'!$M$7&gt;'Sites'!$J$7,'Sites'!$N$7&gt;'Sites'!$K$7,'Sites'!$Z$7&lt;0,'Sites'!$Z$7&gt;1,MIN('Sites'!$AA$7:'Sites'!$AC$7)&lt;0,S394&gt;F394+0.001),1,0)</f>
        <v/>
      </c>
      <c r="AO394" s="160">
        <f>I394+U394-T394-X394</f>
        <v/>
      </c>
    </row>
    <row r="395" ht="28" customHeight="1">
      <c r="A395" s="4" t="inlineStr">
        <is>
          <t>Delayed receipts</t>
        </is>
      </c>
      <c r="B395" s="4" t="inlineStr">
        <is>
          <t>NEW1</t>
        </is>
      </c>
      <c r="C395" s="160" t="n">
        <v>30</v>
      </c>
      <c r="D395" s="160">
        <f>ROUNDUP(C395/12,0)</f>
        <v/>
      </c>
      <c r="E395" s="160">
        <f>IF(AND('Sites'!$E$7=1,C395&gt;='Sites'!$F$7+'Cases'!$G$9,C395&lt;='Sites'!$G$7),1,0)</f>
        <v/>
      </c>
      <c r="F395" s="160">
        <f>E395*'Assumptions'!AG68</f>
        <v/>
      </c>
      <c r="G395" s="160">
        <f>V394</f>
        <v/>
      </c>
      <c r="H395" s="160">
        <f>W394</f>
        <v/>
      </c>
      <c r="I395" s="160">
        <f>X394</f>
        <v/>
      </c>
      <c r="J395" s="160">
        <f>MAX(0,'Sites'!$K$7-SUM(N390:N394))</f>
        <v/>
      </c>
      <c r="K395" s="160">
        <f>IF('Sites'!$C$7="Own sheets",MIN(ROUNDDOWN(G395/'NM Play'!$B$11,0)+F395*'NM Play'!$B$10/'NM Play'!$B$43,ROUNDDOWN(H395/'NM Play'!$B$12,0)+F395*'NM Play'!$B$10/'NM Play'!$B$44,(F395*'NM Play'!$B$10+ROUNDDOWN(G395/'NM Play'!$B$11,0)*'NM Play'!$B$43+ROUNDDOWN(H395/'NM Play'!$B$12,0)*'NM Play'!$B$44)/('NM Play'!$B$43+'NM Play'!$B$44)),ROUNDDOWN(G395/'NM Play'!$B$11,0)+F395*'NM Play'!$B$10/'NM Play'!$B$43)</f>
        <v/>
      </c>
      <c r="L395" s="160">
        <f>MIN(ROUNDDOWN(G395/'NM Play'!$B$11,0)+F395/('NM Play'!$B$43/'NM Play'!$B$15),ROUNDDOWN(H395/'NM Play'!$B$12,0)+F395/('NM Play'!$B$44/'NM Play'!$B$16),(F395+ROUNDDOWN(G395/'NM Play'!$B$11,0)*'NM Play'!$B$43/'NM Play'!$B$15+ROUNDDOWN(H395/'NM Play'!$B$12,0)*'NM Play'!$B$44/'NM Play'!$B$16)/('NM Play'!$B$43/'NM Play'!$B$15+'NM Play'!$B$44/'NM Play'!$B$16))</f>
        <v/>
      </c>
      <c r="M395" s="160">
        <f>F395*'NM Play'!$B$36</f>
        <v/>
      </c>
      <c r="N395" s="160">
        <f>ROUNDDOWN(MAX(0,MIN(J395,K395:M395)),0)</f>
        <v/>
      </c>
      <c r="O395" s="160">
        <f>ROUNDUP(MAX(0,N395*'NM Play'!$B$11-G395)/'NM Play'!$B$13,0)</f>
        <v/>
      </c>
      <c r="P395" s="160">
        <f>ROUNDUP(MAX(0,N395*'NM Play'!$B$12-H395)/'NM Play'!$B$14,0)</f>
        <v/>
      </c>
      <c r="Q395" s="160">
        <f>(O395+IF('Sites'!$C$7="Own sheets",P395,0))/'NM Play'!$B$10</f>
        <v/>
      </c>
      <c r="R395" s="160">
        <f>O395/'NM Play'!$B$15+P395/'NM Play'!$B$16</f>
        <v/>
      </c>
      <c r="S395" s="160">
        <f>MAX(Q395,R395,N395/'NM Play'!$B$36)</f>
        <v/>
      </c>
      <c r="T395" s="160">
        <f>Q395*'NM Play'!$B$10*'NM Play'!$B$21*(1+'NM Play'!$B$35)</f>
        <v/>
      </c>
      <c r="U395" s="160">
        <f>MAX(0,T395-I395)</f>
        <v/>
      </c>
      <c r="V395" s="160">
        <f>G395+O395*'NM Play'!$B$13-N395*'NM Play'!$B$11</f>
        <v/>
      </c>
      <c r="W395" s="160">
        <f>H395+P395*'NM Play'!$B$14-N395*'NM Play'!$B$12</f>
        <v/>
      </c>
      <c r="X395" s="160">
        <f>I395+U395-T395</f>
        <v/>
      </c>
      <c r="Y395" s="160">
        <f>MIN(N395,MAX(0,ROUNDDOWN('Sites'!$N$7*'Cases'!$E$9,0)-SUM(Y390:Y394)))</f>
        <v/>
      </c>
      <c r="Z395" s="160">
        <f>N395-Y395</f>
        <v/>
      </c>
      <c r="AA395" s="160">
        <f>U395*'NM Play'!$B$22</f>
        <v/>
      </c>
      <c r="AB395" s="160">
        <f>N395*SUM('NM Play'!$B$29:$B$31)</f>
        <v/>
      </c>
      <c r="AC395" s="160">
        <f>IF('Sites'!$C$7="Defy legs",P395*'NM Play'!$B$14/'NM Play'!$B$12*'NM Play'!$B$28,0)</f>
        <v/>
      </c>
      <c r="AD395" s="160">
        <f>Q395*'NM Play'!$B$23</f>
        <v/>
      </c>
      <c r="AE395" s="160">
        <f>S395*SUM('NM Play'!$B$26,'NM Play'!$B$33:$B$34)</f>
        <v/>
      </c>
      <c r="AF395" s="160">
        <f>IF('Sites'!$D$7="NM crew",S395*SUM('NM Play'!$B$24:$B$25),0)</f>
        <v/>
      </c>
      <c r="AG395" s="160">
        <f>IF('Sites'!$D$7="NM crew",S395*'NM Play'!$B$27,0)</f>
        <v/>
      </c>
      <c r="AH395" s="160">
        <f>N395*'Sites'!$Z$7*'NM Play'!$B$32</f>
        <v/>
      </c>
      <c r="AI395" s="160">
        <f>SUM(Y395:Z395)*'Sites'!$R$7</f>
        <v/>
      </c>
      <c r="AJ395" s="160">
        <f>SUM(AA395:AH395)</f>
        <v/>
      </c>
      <c r="AK395" s="160">
        <f>AJ395+(T395-U395)*'NM Play'!$B$22+MIN(G395,N395*'NM Play'!$B$11)/'NM Play'!$B$13*'NM Play'!$B$21*'NM Play'!$B$22+MIN(H395,N395*'NM Play'!$B$12)/'NM Play'!$B$14*IF('Sites'!$C$7="Own sheets",'NM Play'!$B$21*'NM Play'!$B$22,'NM Play'!$B$28*'NM Play'!$B$14/'NM Play'!$B$12)</f>
        <v/>
      </c>
      <c r="AL395" s="160">
        <f>Y395*'Assumptions'!AG66</f>
        <v/>
      </c>
      <c r="AM395" s="160">
        <f>IF('Sites'!$D$7="NM crew",S395*'NM Play'!$B$37*(1+IF(AND(ISNUMBER('NM Play'!$B$25),'NM Play'!$B$25&gt;0),1,0)),"")</f>
        <v/>
      </c>
      <c r="AN395" s="160">
        <f>IF(OR('Sites'!$E$7&lt;0,'Sites'!$E$7&gt;1,'Sites'!$F$7&lt;1,'Sites'!$G$7&lt;'Sites'!$F$7,F395&lt;0,MIN('Sites'!$I$7:'Sites'!$R$7)&lt;0,'Sites'!$L$7&gt;'Sites'!$I$7,'Sites'!$M$7&gt;'Sites'!$J$7,'Sites'!$N$7&gt;'Sites'!$K$7,'Sites'!$Z$7&lt;0,'Sites'!$Z$7&gt;1,MIN('Sites'!$AA$7:'Sites'!$AC$7)&lt;0,S395&gt;F395+0.001),1,0)</f>
        <v/>
      </c>
      <c r="AO395" s="160">
        <f>I395+U395-T395-X395</f>
        <v/>
      </c>
    </row>
    <row r="396" ht="28" customHeight="1">
      <c r="A396" s="4" t="inlineStr">
        <is>
          <t>Delayed receipts</t>
        </is>
      </c>
      <c r="B396" s="4" t="inlineStr">
        <is>
          <t>NEW1</t>
        </is>
      </c>
      <c r="C396" s="160" t="n">
        <v>31</v>
      </c>
      <c r="D396" s="160">
        <f>ROUNDUP(C396/12,0)</f>
        <v/>
      </c>
      <c r="E396" s="160">
        <f>IF(AND('Sites'!$E$7=1,C396&gt;='Sites'!$F$7+'Cases'!$G$9,C396&lt;='Sites'!$G$7),1,0)</f>
        <v/>
      </c>
      <c r="F396" s="160">
        <f>E396*'Assumptions'!AH68</f>
        <v/>
      </c>
      <c r="G396" s="160">
        <f>V395</f>
        <v/>
      </c>
      <c r="H396" s="160">
        <f>W395</f>
        <v/>
      </c>
      <c r="I396" s="160">
        <f>X395</f>
        <v/>
      </c>
      <c r="J396" s="160">
        <f>MAX(0,'Sites'!$K$7-SUM(N390:N395))</f>
        <v/>
      </c>
      <c r="K396" s="160">
        <f>IF('Sites'!$C$7="Own sheets",MIN(ROUNDDOWN(G396/'NM Play'!$B$11,0)+F396*'NM Play'!$B$10/'NM Play'!$B$43,ROUNDDOWN(H396/'NM Play'!$B$12,0)+F396*'NM Play'!$B$10/'NM Play'!$B$44,(F396*'NM Play'!$B$10+ROUNDDOWN(G396/'NM Play'!$B$11,0)*'NM Play'!$B$43+ROUNDDOWN(H396/'NM Play'!$B$12,0)*'NM Play'!$B$44)/('NM Play'!$B$43+'NM Play'!$B$44)),ROUNDDOWN(G396/'NM Play'!$B$11,0)+F396*'NM Play'!$B$10/'NM Play'!$B$43)</f>
        <v/>
      </c>
      <c r="L396" s="160">
        <f>MIN(ROUNDDOWN(G396/'NM Play'!$B$11,0)+F396/('NM Play'!$B$43/'NM Play'!$B$15),ROUNDDOWN(H396/'NM Play'!$B$12,0)+F396/('NM Play'!$B$44/'NM Play'!$B$16),(F396+ROUNDDOWN(G396/'NM Play'!$B$11,0)*'NM Play'!$B$43/'NM Play'!$B$15+ROUNDDOWN(H396/'NM Play'!$B$12,0)*'NM Play'!$B$44/'NM Play'!$B$16)/('NM Play'!$B$43/'NM Play'!$B$15+'NM Play'!$B$44/'NM Play'!$B$16))</f>
        <v/>
      </c>
      <c r="M396" s="160">
        <f>F396*'NM Play'!$B$36</f>
        <v/>
      </c>
      <c r="N396" s="160">
        <f>ROUNDDOWN(MAX(0,MIN(J396,K396:M396)),0)</f>
        <v/>
      </c>
      <c r="O396" s="160">
        <f>ROUNDUP(MAX(0,N396*'NM Play'!$B$11-G396)/'NM Play'!$B$13,0)</f>
        <v/>
      </c>
      <c r="P396" s="160">
        <f>ROUNDUP(MAX(0,N396*'NM Play'!$B$12-H396)/'NM Play'!$B$14,0)</f>
        <v/>
      </c>
      <c r="Q396" s="160">
        <f>(O396+IF('Sites'!$C$7="Own sheets",P396,0))/'NM Play'!$B$10</f>
        <v/>
      </c>
      <c r="R396" s="160">
        <f>O396/'NM Play'!$B$15+P396/'NM Play'!$B$16</f>
        <v/>
      </c>
      <c r="S396" s="160">
        <f>MAX(Q396,R396,N396/'NM Play'!$B$36)</f>
        <v/>
      </c>
      <c r="T396" s="160">
        <f>Q396*'NM Play'!$B$10*'NM Play'!$B$21*(1+'NM Play'!$B$35)</f>
        <v/>
      </c>
      <c r="U396" s="160">
        <f>MAX(0,T396-I396)</f>
        <v/>
      </c>
      <c r="V396" s="160">
        <f>G396+O396*'NM Play'!$B$13-N396*'NM Play'!$B$11</f>
        <v/>
      </c>
      <c r="W396" s="160">
        <f>H396+P396*'NM Play'!$B$14-N396*'NM Play'!$B$12</f>
        <v/>
      </c>
      <c r="X396" s="160">
        <f>I396+U396-T396</f>
        <v/>
      </c>
      <c r="Y396" s="160">
        <f>MIN(N396,MAX(0,ROUNDDOWN('Sites'!$N$7*'Cases'!$E$9,0)-SUM(Y390:Y395)))</f>
        <v/>
      </c>
      <c r="Z396" s="160">
        <f>N396-Y396</f>
        <v/>
      </c>
      <c r="AA396" s="160">
        <f>U396*'NM Play'!$B$22</f>
        <v/>
      </c>
      <c r="AB396" s="160">
        <f>N396*SUM('NM Play'!$B$29:$B$31)</f>
        <v/>
      </c>
      <c r="AC396" s="160">
        <f>IF('Sites'!$C$7="Defy legs",P396*'NM Play'!$B$14/'NM Play'!$B$12*'NM Play'!$B$28,0)</f>
        <v/>
      </c>
      <c r="AD396" s="160">
        <f>Q396*'NM Play'!$B$23</f>
        <v/>
      </c>
      <c r="AE396" s="160">
        <f>S396*SUM('NM Play'!$B$26,'NM Play'!$B$33:$B$34)</f>
        <v/>
      </c>
      <c r="AF396" s="160">
        <f>IF('Sites'!$D$7="NM crew",S396*SUM('NM Play'!$B$24:$B$25),0)</f>
        <v/>
      </c>
      <c r="AG396" s="160">
        <f>IF('Sites'!$D$7="NM crew",S396*'NM Play'!$B$27,0)</f>
        <v/>
      </c>
      <c r="AH396" s="160">
        <f>N396*'Sites'!$Z$7*'NM Play'!$B$32</f>
        <v/>
      </c>
      <c r="AI396" s="160">
        <f>SUM(Y396:Z396)*'Sites'!$R$7</f>
        <v/>
      </c>
      <c r="AJ396" s="160">
        <f>SUM(AA396:AH396)</f>
        <v/>
      </c>
      <c r="AK396" s="160">
        <f>AJ396+(T396-U396)*'NM Play'!$B$22+MIN(G396,N396*'NM Play'!$B$11)/'NM Play'!$B$13*'NM Play'!$B$21*'NM Play'!$B$22+MIN(H396,N396*'NM Play'!$B$12)/'NM Play'!$B$14*IF('Sites'!$C$7="Own sheets",'NM Play'!$B$21*'NM Play'!$B$22,'NM Play'!$B$28*'NM Play'!$B$14/'NM Play'!$B$12)</f>
        <v/>
      </c>
      <c r="AL396" s="160">
        <f>Y396*'Assumptions'!AH66</f>
        <v/>
      </c>
      <c r="AM396" s="160">
        <f>IF('Sites'!$D$7="NM crew",S396*'NM Play'!$B$37*(1+IF(AND(ISNUMBER('NM Play'!$B$25),'NM Play'!$B$25&gt;0),1,0)),"")</f>
        <v/>
      </c>
      <c r="AN396" s="160">
        <f>IF(OR('Sites'!$E$7&lt;0,'Sites'!$E$7&gt;1,'Sites'!$F$7&lt;1,'Sites'!$G$7&lt;'Sites'!$F$7,F396&lt;0,MIN('Sites'!$I$7:'Sites'!$R$7)&lt;0,'Sites'!$L$7&gt;'Sites'!$I$7,'Sites'!$M$7&gt;'Sites'!$J$7,'Sites'!$N$7&gt;'Sites'!$K$7,'Sites'!$Z$7&lt;0,'Sites'!$Z$7&gt;1,MIN('Sites'!$AA$7:'Sites'!$AC$7)&lt;0,S396&gt;F396+0.001),1,0)</f>
        <v/>
      </c>
      <c r="AO396" s="160">
        <f>I396+U396-T396-X396</f>
        <v/>
      </c>
    </row>
    <row r="397" ht="28" customHeight="1">
      <c r="A397" s="4" t="inlineStr">
        <is>
          <t>Delayed receipts</t>
        </is>
      </c>
      <c r="B397" s="4" t="inlineStr">
        <is>
          <t>NEW1</t>
        </is>
      </c>
      <c r="C397" s="160" t="n">
        <v>32</v>
      </c>
      <c r="D397" s="160">
        <f>ROUNDUP(C397/12,0)</f>
        <v/>
      </c>
      <c r="E397" s="160">
        <f>IF(AND('Sites'!$E$7=1,C397&gt;='Sites'!$F$7+'Cases'!$G$9,C397&lt;='Sites'!$G$7),1,0)</f>
        <v/>
      </c>
      <c r="F397" s="160">
        <f>E397*'Assumptions'!AI68</f>
        <v/>
      </c>
      <c r="G397" s="160">
        <f>V396</f>
        <v/>
      </c>
      <c r="H397" s="160">
        <f>W396</f>
        <v/>
      </c>
      <c r="I397" s="160">
        <f>X396</f>
        <v/>
      </c>
      <c r="J397" s="160">
        <f>MAX(0,'Sites'!$K$7-SUM(N390:N396))</f>
        <v/>
      </c>
      <c r="K397" s="160">
        <f>IF('Sites'!$C$7="Own sheets",MIN(ROUNDDOWN(G397/'NM Play'!$B$11,0)+F397*'NM Play'!$B$10/'NM Play'!$B$43,ROUNDDOWN(H397/'NM Play'!$B$12,0)+F397*'NM Play'!$B$10/'NM Play'!$B$44,(F397*'NM Play'!$B$10+ROUNDDOWN(G397/'NM Play'!$B$11,0)*'NM Play'!$B$43+ROUNDDOWN(H397/'NM Play'!$B$12,0)*'NM Play'!$B$44)/('NM Play'!$B$43+'NM Play'!$B$44)),ROUNDDOWN(G397/'NM Play'!$B$11,0)+F397*'NM Play'!$B$10/'NM Play'!$B$43)</f>
        <v/>
      </c>
      <c r="L397" s="160">
        <f>MIN(ROUNDDOWN(G397/'NM Play'!$B$11,0)+F397/('NM Play'!$B$43/'NM Play'!$B$15),ROUNDDOWN(H397/'NM Play'!$B$12,0)+F397/('NM Play'!$B$44/'NM Play'!$B$16),(F397+ROUNDDOWN(G397/'NM Play'!$B$11,0)*'NM Play'!$B$43/'NM Play'!$B$15+ROUNDDOWN(H397/'NM Play'!$B$12,0)*'NM Play'!$B$44/'NM Play'!$B$16)/('NM Play'!$B$43/'NM Play'!$B$15+'NM Play'!$B$44/'NM Play'!$B$16))</f>
        <v/>
      </c>
      <c r="M397" s="160">
        <f>F397*'NM Play'!$B$36</f>
        <v/>
      </c>
      <c r="N397" s="160">
        <f>ROUNDDOWN(MAX(0,MIN(J397,K397:M397)),0)</f>
        <v/>
      </c>
      <c r="O397" s="160">
        <f>ROUNDUP(MAX(0,N397*'NM Play'!$B$11-G397)/'NM Play'!$B$13,0)</f>
        <v/>
      </c>
      <c r="P397" s="160">
        <f>ROUNDUP(MAX(0,N397*'NM Play'!$B$12-H397)/'NM Play'!$B$14,0)</f>
        <v/>
      </c>
      <c r="Q397" s="160">
        <f>(O397+IF('Sites'!$C$7="Own sheets",P397,0))/'NM Play'!$B$10</f>
        <v/>
      </c>
      <c r="R397" s="160">
        <f>O397/'NM Play'!$B$15+P397/'NM Play'!$B$16</f>
        <v/>
      </c>
      <c r="S397" s="160">
        <f>MAX(Q397,R397,N397/'NM Play'!$B$36)</f>
        <v/>
      </c>
      <c r="T397" s="160">
        <f>Q397*'NM Play'!$B$10*'NM Play'!$B$21*(1+'NM Play'!$B$35)</f>
        <v/>
      </c>
      <c r="U397" s="160">
        <f>MAX(0,T397-I397)</f>
        <v/>
      </c>
      <c r="V397" s="160">
        <f>G397+O397*'NM Play'!$B$13-N397*'NM Play'!$B$11</f>
        <v/>
      </c>
      <c r="W397" s="160">
        <f>H397+P397*'NM Play'!$B$14-N397*'NM Play'!$B$12</f>
        <v/>
      </c>
      <c r="X397" s="160">
        <f>I397+U397-T397</f>
        <v/>
      </c>
      <c r="Y397" s="160">
        <f>MIN(N397,MAX(0,ROUNDDOWN('Sites'!$N$7*'Cases'!$E$9,0)-SUM(Y390:Y396)))</f>
        <v/>
      </c>
      <c r="Z397" s="160">
        <f>N397-Y397</f>
        <v/>
      </c>
      <c r="AA397" s="160">
        <f>U397*'NM Play'!$B$22</f>
        <v/>
      </c>
      <c r="AB397" s="160">
        <f>N397*SUM('NM Play'!$B$29:$B$31)</f>
        <v/>
      </c>
      <c r="AC397" s="160">
        <f>IF('Sites'!$C$7="Defy legs",P397*'NM Play'!$B$14/'NM Play'!$B$12*'NM Play'!$B$28,0)</f>
        <v/>
      </c>
      <c r="AD397" s="160">
        <f>Q397*'NM Play'!$B$23</f>
        <v/>
      </c>
      <c r="AE397" s="160">
        <f>S397*SUM('NM Play'!$B$26,'NM Play'!$B$33:$B$34)</f>
        <v/>
      </c>
      <c r="AF397" s="160">
        <f>IF('Sites'!$D$7="NM crew",S397*SUM('NM Play'!$B$24:$B$25),0)</f>
        <v/>
      </c>
      <c r="AG397" s="160">
        <f>IF('Sites'!$D$7="NM crew",S397*'NM Play'!$B$27,0)</f>
        <v/>
      </c>
      <c r="AH397" s="160">
        <f>N397*'Sites'!$Z$7*'NM Play'!$B$32</f>
        <v/>
      </c>
      <c r="AI397" s="160">
        <f>SUM(Y397:Z397)*'Sites'!$R$7</f>
        <v/>
      </c>
      <c r="AJ397" s="160">
        <f>SUM(AA397:AH397)</f>
        <v/>
      </c>
      <c r="AK397" s="160">
        <f>AJ397+(T397-U397)*'NM Play'!$B$22+MIN(G397,N397*'NM Play'!$B$11)/'NM Play'!$B$13*'NM Play'!$B$21*'NM Play'!$B$22+MIN(H397,N397*'NM Play'!$B$12)/'NM Play'!$B$14*IF('Sites'!$C$7="Own sheets",'NM Play'!$B$21*'NM Play'!$B$22,'NM Play'!$B$28*'NM Play'!$B$14/'NM Play'!$B$12)</f>
        <v/>
      </c>
      <c r="AL397" s="160">
        <f>Y397*'Assumptions'!AI66</f>
        <v/>
      </c>
      <c r="AM397" s="160">
        <f>IF('Sites'!$D$7="NM crew",S397*'NM Play'!$B$37*(1+IF(AND(ISNUMBER('NM Play'!$B$25),'NM Play'!$B$25&gt;0),1,0)),"")</f>
        <v/>
      </c>
      <c r="AN397" s="160">
        <f>IF(OR('Sites'!$E$7&lt;0,'Sites'!$E$7&gt;1,'Sites'!$F$7&lt;1,'Sites'!$G$7&lt;'Sites'!$F$7,F397&lt;0,MIN('Sites'!$I$7:'Sites'!$R$7)&lt;0,'Sites'!$L$7&gt;'Sites'!$I$7,'Sites'!$M$7&gt;'Sites'!$J$7,'Sites'!$N$7&gt;'Sites'!$K$7,'Sites'!$Z$7&lt;0,'Sites'!$Z$7&gt;1,MIN('Sites'!$AA$7:'Sites'!$AC$7)&lt;0,S397&gt;F397+0.001),1,0)</f>
        <v/>
      </c>
      <c r="AO397" s="160">
        <f>I397+U397-T397-X397</f>
        <v/>
      </c>
    </row>
    <row r="398" ht="28" customHeight="1">
      <c r="A398" s="4" t="inlineStr">
        <is>
          <t>Delayed receipts</t>
        </is>
      </c>
      <c r="B398" s="4" t="inlineStr">
        <is>
          <t>NEW1</t>
        </is>
      </c>
      <c r="C398" s="160" t="n">
        <v>33</v>
      </c>
      <c r="D398" s="160">
        <f>ROUNDUP(C398/12,0)</f>
        <v/>
      </c>
      <c r="E398" s="160">
        <f>IF(AND('Sites'!$E$7=1,C398&gt;='Sites'!$F$7+'Cases'!$G$9,C398&lt;='Sites'!$G$7),1,0)</f>
        <v/>
      </c>
      <c r="F398" s="160">
        <f>E398*'Assumptions'!AJ68</f>
        <v/>
      </c>
      <c r="G398" s="160">
        <f>V397</f>
        <v/>
      </c>
      <c r="H398" s="160">
        <f>W397</f>
        <v/>
      </c>
      <c r="I398" s="160">
        <f>X397</f>
        <v/>
      </c>
      <c r="J398" s="160">
        <f>MAX(0,'Sites'!$K$7-SUM(N390:N397))</f>
        <v/>
      </c>
      <c r="K398" s="160">
        <f>IF('Sites'!$C$7="Own sheets",MIN(ROUNDDOWN(G398/'NM Play'!$B$11,0)+F398*'NM Play'!$B$10/'NM Play'!$B$43,ROUNDDOWN(H398/'NM Play'!$B$12,0)+F398*'NM Play'!$B$10/'NM Play'!$B$44,(F398*'NM Play'!$B$10+ROUNDDOWN(G398/'NM Play'!$B$11,0)*'NM Play'!$B$43+ROUNDDOWN(H398/'NM Play'!$B$12,0)*'NM Play'!$B$44)/('NM Play'!$B$43+'NM Play'!$B$44)),ROUNDDOWN(G398/'NM Play'!$B$11,0)+F398*'NM Play'!$B$10/'NM Play'!$B$43)</f>
        <v/>
      </c>
      <c r="L398" s="160">
        <f>MIN(ROUNDDOWN(G398/'NM Play'!$B$11,0)+F398/('NM Play'!$B$43/'NM Play'!$B$15),ROUNDDOWN(H398/'NM Play'!$B$12,0)+F398/('NM Play'!$B$44/'NM Play'!$B$16),(F398+ROUNDDOWN(G398/'NM Play'!$B$11,0)*'NM Play'!$B$43/'NM Play'!$B$15+ROUNDDOWN(H398/'NM Play'!$B$12,0)*'NM Play'!$B$44/'NM Play'!$B$16)/('NM Play'!$B$43/'NM Play'!$B$15+'NM Play'!$B$44/'NM Play'!$B$16))</f>
        <v/>
      </c>
      <c r="M398" s="160">
        <f>F398*'NM Play'!$B$36</f>
        <v/>
      </c>
      <c r="N398" s="160">
        <f>ROUNDDOWN(MAX(0,MIN(J398,K398:M398)),0)</f>
        <v/>
      </c>
      <c r="O398" s="160">
        <f>ROUNDUP(MAX(0,N398*'NM Play'!$B$11-G398)/'NM Play'!$B$13,0)</f>
        <v/>
      </c>
      <c r="P398" s="160">
        <f>ROUNDUP(MAX(0,N398*'NM Play'!$B$12-H398)/'NM Play'!$B$14,0)</f>
        <v/>
      </c>
      <c r="Q398" s="160">
        <f>(O398+IF('Sites'!$C$7="Own sheets",P398,0))/'NM Play'!$B$10</f>
        <v/>
      </c>
      <c r="R398" s="160">
        <f>O398/'NM Play'!$B$15+P398/'NM Play'!$B$16</f>
        <v/>
      </c>
      <c r="S398" s="160">
        <f>MAX(Q398,R398,N398/'NM Play'!$B$36)</f>
        <v/>
      </c>
      <c r="T398" s="160">
        <f>Q398*'NM Play'!$B$10*'NM Play'!$B$21*(1+'NM Play'!$B$35)</f>
        <v/>
      </c>
      <c r="U398" s="160">
        <f>MAX(0,T398-I398)</f>
        <v/>
      </c>
      <c r="V398" s="160">
        <f>G398+O398*'NM Play'!$B$13-N398*'NM Play'!$B$11</f>
        <v/>
      </c>
      <c r="W398" s="160">
        <f>H398+P398*'NM Play'!$B$14-N398*'NM Play'!$B$12</f>
        <v/>
      </c>
      <c r="X398" s="160">
        <f>I398+U398-T398</f>
        <v/>
      </c>
      <c r="Y398" s="160">
        <f>MIN(N398,MAX(0,ROUNDDOWN('Sites'!$N$7*'Cases'!$E$9,0)-SUM(Y390:Y397)))</f>
        <v/>
      </c>
      <c r="Z398" s="160">
        <f>N398-Y398</f>
        <v/>
      </c>
      <c r="AA398" s="160">
        <f>U398*'NM Play'!$B$22</f>
        <v/>
      </c>
      <c r="AB398" s="160">
        <f>N398*SUM('NM Play'!$B$29:$B$31)</f>
        <v/>
      </c>
      <c r="AC398" s="160">
        <f>IF('Sites'!$C$7="Defy legs",P398*'NM Play'!$B$14/'NM Play'!$B$12*'NM Play'!$B$28,0)</f>
        <v/>
      </c>
      <c r="AD398" s="160">
        <f>Q398*'NM Play'!$B$23</f>
        <v/>
      </c>
      <c r="AE398" s="160">
        <f>S398*SUM('NM Play'!$B$26,'NM Play'!$B$33:$B$34)</f>
        <v/>
      </c>
      <c r="AF398" s="160">
        <f>IF('Sites'!$D$7="NM crew",S398*SUM('NM Play'!$B$24:$B$25),0)</f>
        <v/>
      </c>
      <c r="AG398" s="160">
        <f>IF('Sites'!$D$7="NM crew",S398*'NM Play'!$B$27,0)</f>
        <v/>
      </c>
      <c r="AH398" s="160">
        <f>N398*'Sites'!$Z$7*'NM Play'!$B$32</f>
        <v/>
      </c>
      <c r="AI398" s="160">
        <f>SUM(Y398:Z398)*'Sites'!$R$7</f>
        <v/>
      </c>
      <c r="AJ398" s="160">
        <f>SUM(AA398:AH398)</f>
        <v/>
      </c>
      <c r="AK398" s="160">
        <f>AJ398+(T398-U398)*'NM Play'!$B$22+MIN(G398,N398*'NM Play'!$B$11)/'NM Play'!$B$13*'NM Play'!$B$21*'NM Play'!$B$22+MIN(H398,N398*'NM Play'!$B$12)/'NM Play'!$B$14*IF('Sites'!$C$7="Own sheets",'NM Play'!$B$21*'NM Play'!$B$22,'NM Play'!$B$28*'NM Play'!$B$14/'NM Play'!$B$12)</f>
        <v/>
      </c>
      <c r="AL398" s="160">
        <f>Y398*'Assumptions'!AJ66</f>
        <v/>
      </c>
      <c r="AM398" s="160">
        <f>IF('Sites'!$D$7="NM crew",S398*'NM Play'!$B$37*(1+IF(AND(ISNUMBER('NM Play'!$B$25),'NM Play'!$B$25&gt;0),1,0)),"")</f>
        <v/>
      </c>
      <c r="AN398" s="160">
        <f>IF(OR('Sites'!$E$7&lt;0,'Sites'!$E$7&gt;1,'Sites'!$F$7&lt;1,'Sites'!$G$7&lt;'Sites'!$F$7,F398&lt;0,MIN('Sites'!$I$7:'Sites'!$R$7)&lt;0,'Sites'!$L$7&gt;'Sites'!$I$7,'Sites'!$M$7&gt;'Sites'!$J$7,'Sites'!$N$7&gt;'Sites'!$K$7,'Sites'!$Z$7&lt;0,'Sites'!$Z$7&gt;1,MIN('Sites'!$AA$7:'Sites'!$AC$7)&lt;0,S398&gt;F398+0.001),1,0)</f>
        <v/>
      </c>
      <c r="AO398" s="160">
        <f>I398+U398-T398-X398</f>
        <v/>
      </c>
    </row>
    <row r="399" ht="28" customHeight="1">
      <c r="A399" s="4" t="inlineStr">
        <is>
          <t>Delayed receipts</t>
        </is>
      </c>
      <c r="B399" s="4" t="inlineStr">
        <is>
          <t>NEW1</t>
        </is>
      </c>
      <c r="C399" s="160" t="n">
        <v>34</v>
      </c>
      <c r="D399" s="160">
        <f>ROUNDUP(C399/12,0)</f>
        <v/>
      </c>
      <c r="E399" s="160">
        <f>IF(AND('Sites'!$E$7=1,C399&gt;='Sites'!$F$7+'Cases'!$G$9,C399&lt;='Sites'!$G$7),1,0)</f>
        <v/>
      </c>
      <c r="F399" s="160">
        <f>E399*'Assumptions'!AK68</f>
        <v/>
      </c>
      <c r="G399" s="160">
        <f>V398</f>
        <v/>
      </c>
      <c r="H399" s="160">
        <f>W398</f>
        <v/>
      </c>
      <c r="I399" s="160">
        <f>X398</f>
        <v/>
      </c>
      <c r="J399" s="160">
        <f>MAX(0,'Sites'!$K$7-SUM(N390:N398))</f>
        <v/>
      </c>
      <c r="K399" s="160">
        <f>IF('Sites'!$C$7="Own sheets",MIN(ROUNDDOWN(G399/'NM Play'!$B$11,0)+F399*'NM Play'!$B$10/'NM Play'!$B$43,ROUNDDOWN(H399/'NM Play'!$B$12,0)+F399*'NM Play'!$B$10/'NM Play'!$B$44,(F399*'NM Play'!$B$10+ROUNDDOWN(G399/'NM Play'!$B$11,0)*'NM Play'!$B$43+ROUNDDOWN(H399/'NM Play'!$B$12,0)*'NM Play'!$B$44)/('NM Play'!$B$43+'NM Play'!$B$44)),ROUNDDOWN(G399/'NM Play'!$B$11,0)+F399*'NM Play'!$B$10/'NM Play'!$B$43)</f>
        <v/>
      </c>
      <c r="L399" s="160">
        <f>MIN(ROUNDDOWN(G399/'NM Play'!$B$11,0)+F399/('NM Play'!$B$43/'NM Play'!$B$15),ROUNDDOWN(H399/'NM Play'!$B$12,0)+F399/('NM Play'!$B$44/'NM Play'!$B$16),(F399+ROUNDDOWN(G399/'NM Play'!$B$11,0)*'NM Play'!$B$43/'NM Play'!$B$15+ROUNDDOWN(H399/'NM Play'!$B$12,0)*'NM Play'!$B$44/'NM Play'!$B$16)/('NM Play'!$B$43/'NM Play'!$B$15+'NM Play'!$B$44/'NM Play'!$B$16))</f>
        <v/>
      </c>
      <c r="M399" s="160">
        <f>F399*'NM Play'!$B$36</f>
        <v/>
      </c>
      <c r="N399" s="160">
        <f>ROUNDDOWN(MAX(0,MIN(J399,K399:M399)),0)</f>
        <v/>
      </c>
      <c r="O399" s="160">
        <f>ROUNDUP(MAX(0,N399*'NM Play'!$B$11-G399)/'NM Play'!$B$13,0)</f>
        <v/>
      </c>
      <c r="P399" s="160">
        <f>ROUNDUP(MAX(0,N399*'NM Play'!$B$12-H399)/'NM Play'!$B$14,0)</f>
        <v/>
      </c>
      <c r="Q399" s="160">
        <f>(O399+IF('Sites'!$C$7="Own sheets",P399,0))/'NM Play'!$B$10</f>
        <v/>
      </c>
      <c r="R399" s="160">
        <f>O399/'NM Play'!$B$15+P399/'NM Play'!$B$16</f>
        <v/>
      </c>
      <c r="S399" s="160">
        <f>MAX(Q399,R399,N399/'NM Play'!$B$36)</f>
        <v/>
      </c>
      <c r="T399" s="160">
        <f>Q399*'NM Play'!$B$10*'NM Play'!$B$21*(1+'NM Play'!$B$35)</f>
        <v/>
      </c>
      <c r="U399" s="160">
        <f>MAX(0,T399-I399)</f>
        <v/>
      </c>
      <c r="V399" s="160">
        <f>G399+O399*'NM Play'!$B$13-N399*'NM Play'!$B$11</f>
        <v/>
      </c>
      <c r="W399" s="160">
        <f>H399+P399*'NM Play'!$B$14-N399*'NM Play'!$B$12</f>
        <v/>
      </c>
      <c r="X399" s="160">
        <f>I399+U399-T399</f>
        <v/>
      </c>
      <c r="Y399" s="160">
        <f>MIN(N399,MAX(0,ROUNDDOWN('Sites'!$N$7*'Cases'!$E$9,0)-SUM(Y390:Y398)))</f>
        <v/>
      </c>
      <c r="Z399" s="160">
        <f>N399-Y399</f>
        <v/>
      </c>
      <c r="AA399" s="160">
        <f>U399*'NM Play'!$B$22</f>
        <v/>
      </c>
      <c r="AB399" s="160">
        <f>N399*SUM('NM Play'!$B$29:$B$31)</f>
        <v/>
      </c>
      <c r="AC399" s="160">
        <f>IF('Sites'!$C$7="Defy legs",P399*'NM Play'!$B$14/'NM Play'!$B$12*'NM Play'!$B$28,0)</f>
        <v/>
      </c>
      <c r="AD399" s="160">
        <f>Q399*'NM Play'!$B$23</f>
        <v/>
      </c>
      <c r="AE399" s="160">
        <f>S399*SUM('NM Play'!$B$26,'NM Play'!$B$33:$B$34)</f>
        <v/>
      </c>
      <c r="AF399" s="160">
        <f>IF('Sites'!$D$7="NM crew",S399*SUM('NM Play'!$B$24:$B$25),0)</f>
        <v/>
      </c>
      <c r="AG399" s="160">
        <f>IF('Sites'!$D$7="NM crew",S399*'NM Play'!$B$27,0)</f>
        <v/>
      </c>
      <c r="AH399" s="160">
        <f>N399*'Sites'!$Z$7*'NM Play'!$B$32</f>
        <v/>
      </c>
      <c r="AI399" s="160">
        <f>SUM(Y399:Z399)*'Sites'!$R$7</f>
        <v/>
      </c>
      <c r="AJ399" s="160">
        <f>SUM(AA399:AH399)</f>
        <v/>
      </c>
      <c r="AK399" s="160">
        <f>AJ399+(T399-U399)*'NM Play'!$B$22+MIN(G399,N399*'NM Play'!$B$11)/'NM Play'!$B$13*'NM Play'!$B$21*'NM Play'!$B$22+MIN(H399,N399*'NM Play'!$B$12)/'NM Play'!$B$14*IF('Sites'!$C$7="Own sheets",'NM Play'!$B$21*'NM Play'!$B$22,'NM Play'!$B$28*'NM Play'!$B$14/'NM Play'!$B$12)</f>
        <v/>
      </c>
      <c r="AL399" s="160">
        <f>Y399*'Assumptions'!AK66</f>
        <v/>
      </c>
      <c r="AM399" s="160">
        <f>IF('Sites'!$D$7="NM crew",S399*'NM Play'!$B$37*(1+IF(AND(ISNUMBER('NM Play'!$B$25),'NM Play'!$B$25&gt;0),1,0)),"")</f>
        <v/>
      </c>
      <c r="AN399" s="160">
        <f>IF(OR('Sites'!$E$7&lt;0,'Sites'!$E$7&gt;1,'Sites'!$F$7&lt;1,'Sites'!$G$7&lt;'Sites'!$F$7,F399&lt;0,MIN('Sites'!$I$7:'Sites'!$R$7)&lt;0,'Sites'!$L$7&gt;'Sites'!$I$7,'Sites'!$M$7&gt;'Sites'!$J$7,'Sites'!$N$7&gt;'Sites'!$K$7,'Sites'!$Z$7&lt;0,'Sites'!$Z$7&gt;1,MIN('Sites'!$AA$7:'Sites'!$AC$7)&lt;0,S399&gt;F399+0.001),1,0)</f>
        <v/>
      </c>
      <c r="AO399" s="160">
        <f>I399+U399-T399-X399</f>
        <v/>
      </c>
    </row>
    <row r="400" ht="28" customHeight="1">
      <c r="A400" s="4" t="inlineStr">
        <is>
          <t>Delayed receipts</t>
        </is>
      </c>
      <c r="B400" s="4" t="inlineStr">
        <is>
          <t>NEW1</t>
        </is>
      </c>
      <c r="C400" s="160" t="n">
        <v>35</v>
      </c>
      <c r="D400" s="160">
        <f>ROUNDUP(C400/12,0)</f>
        <v/>
      </c>
      <c r="E400" s="160">
        <f>IF(AND('Sites'!$E$7=1,C400&gt;='Sites'!$F$7+'Cases'!$G$9,C400&lt;='Sites'!$G$7),1,0)</f>
        <v/>
      </c>
      <c r="F400" s="160">
        <f>E400*'Assumptions'!AL68</f>
        <v/>
      </c>
      <c r="G400" s="160">
        <f>V399</f>
        <v/>
      </c>
      <c r="H400" s="160">
        <f>W399</f>
        <v/>
      </c>
      <c r="I400" s="160">
        <f>X399</f>
        <v/>
      </c>
      <c r="J400" s="160">
        <f>MAX(0,'Sites'!$K$7-SUM(N390:N399))</f>
        <v/>
      </c>
      <c r="K400" s="160">
        <f>IF('Sites'!$C$7="Own sheets",MIN(ROUNDDOWN(G400/'NM Play'!$B$11,0)+F400*'NM Play'!$B$10/'NM Play'!$B$43,ROUNDDOWN(H400/'NM Play'!$B$12,0)+F400*'NM Play'!$B$10/'NM Play'!$B$44,(F400*'NM Play'!$B$10+ROUNDDOWN(G400/'NM Play'!$B$11,0)*'NM Play'!$B$43+ROUNDDOWN(H400/'NM Play'!$B$12,0)*'NM Play'!$B$44)/('NM Play'!$B$43+'NM Play'!$B$44)),ROUNDDOWN(G400/'NM Play'!$B$11,0)+F400*'NM Play'!$B$10/'NM Play'!$B$43)</f>
        <v/>
      </c>
      <c r="L400" s="160">
        <f>MIN(ROUNDDOWN(G400/'NM Play'!$B$11,0)+F400/('NM Play'!$B$43/'NM Play'!$B$15),ROUNDDOWN(H400/'NM Play'!$B$12,0)+F400/('NM Play'!$B$44/'NM Play'!$B$16),(F400+ROUNDDOWN(G400/'NM Play'!$B$11,0)*'NM Play'!$B$43/'NM Play'!$B$15+ROUNDDOWN(H400/'NM Play'!$B$12,0)*'NM Play'!$B$44/'NM Play'!$B$16)/('NM Play'!$B$43/'NM Play'!$B$15+'NM Play'!$B$44/'NM Play'!$B$16))</f>
        <v/>
      </c>
      <c r="M400" s="160">
        <f>F400*'NM Play'!$B$36</f>
        <v/>
      </c>
      <c r="N400" s="160">
        <f>ROUNDDOWN(MAX(0,MIN(J400,K400:M400)),0)</f>
        <v/>
      </c>
      <c r="O400" s="160">
        <f>ROUNDUP(MAX(0,N400*'NM Play'!$B$11-G400)/'NM Play'!$B$13,0)</f>
        <v/>
      </c>
      <c r="P400" s="160">
        <f>ROUNDUP(MAX(0,N400*'NM Play'!$B$12-H400)/'NM Play'!$B$14,0)</f>
        <v/>
      </c>
      <c r="Q400" s="160">
        <f>(O400+IF('Sites'!$C$7="Own sheets",P400,0))/'NM Play'!$B$10</f>
        <v/>
      </c>
      <c r="R400" s="160">
        <f>O400/'NM Play'!$B$15+P400/'NM Play'!$B$16</f>
        <v/>
      </c>
      <c r="S400" s="160">
        <f>MAX(Q400,R400,N400/'NM Play'!$B$36)</f>
        <v/>
      </c>
      <c r="T400" s="160">
        <f>Q400*'NM Play'!$B$10*'NM Play'!$B$21*(1+'NM Play'!$B$35)</f>
        <v/>
      </c>
      <c r="U400" s="160">
        <f>MAX(0,T400-I400)</f>
        <v/>
      </c>
      <c r="V400" s="160">
        <f>G400+O400*'NM Play'!$B$13-N400*'NM Play'!$B$11</f>
        <v/>
      </c>
      <c r="W400" s="160">
        <f>H400+P400*'NM Play'!$B$14-N400*'NM Play'!$B$12</f>
        <v/>
      </c>
      <c r="X400" s="160">
        <f>I400+U400-T400</f>
        <v/>
      </c>
      <c r="Y400" s="160">
        <f>MIN(N400,MAX(0,ROUNDDOWN('Sites'!$N$7*'Cases'!$E$9,0)-SUM(Y390:Y399)))</f>
        <v/>
      </c>
      <c r="Z400" s="160">
        <f>N400-Y400</f>
        <v/>
      </c>
      <c r="AA400" s="160">
        <f>U400*'NM Play'!$B$22</f>
        <v/>
      </c>
      <c r="AB400" s="160">
        <f>N400*SUM('NM Play'!$B$29:$B$31)</f>
        <v/>
      </c>
      <c r="AC400" s="160">
        <f>IF('Sites'!$C$7="Defy legs",P400*'NM Play'!$B$14/'NM Play'!$B$12*'NM Play'!$B$28,0)</f>
        <v/>
      </c>
      <c r="AD400" s="160">
        <f>Q400*'NM Play'!$B$23</f>
        <v/>
      </c>
      <c r="AE400" s="160">
        <f>S400*SUM('NM Play'!$B$26,'NM Play'!$B$33:$B$34)</f>
        <v/>
      </c>
      <c r="AF400" s="160">
        <f>IF('Sites'!$D$7="NM crew",S400*SUM('NM Play'!$B$24:$B$25),0)</f>
        <v/>
      </c>
      <c r="AG400" s="160">
        <f>IF('Sites'!$D$7="NM crew",S400*'NM Play'!$B$27,0)</f>
        <v/>
      </c>
      <c r="AH400" s="160">
        <f>N400*'Sites'!$Z$7*'NM Play'!$B$32</f>
        <v/>
      </c>
      <c r="AI400" s="160">
        <f>SUM(Y400:Z400)*'Sites'!$R$7</f>
        <v/>
      </c>
      <c r="AJ400" s="160">
        <f>SUM(AA400:AH400)</f>
        <v/>
      </c>
      <c r="AK400" s="160">
        <f>AJ400+(T400-U400)*'NM Play'!$B$22+MIN(G400,N400*'NM Play'!$B$11)/'NM Play'!$B$13*'NM Play'!$B$21*'NM Play'!$B$22+MIN(H400,N400*'NM Play'!$B$12)/'NM Play'!$B$14*IF('Sites'!$C$7="Own sheets",'NM Play'!$B$21*'NM Play'!$B$22,'NM Play'!$B$28*'NM Play'!$B$14/'NM Play'!$B$12)</f>
        <v/>
      </c>
      <c r="AL400" s="160">
        <f>Y400*'Assumptions'!AL66</f>
        <v/>
      </c>
      <c r="AM400" s="160">
        <f>IF('Sites'!$D$7="NM crew",S400*'NM Play'!$B$37*(1+IF(AND(ISNUMBER('NM Play'!$B$25),'NM Play'!$B$25&gt;0),1,0)),"")</f>
        <v/>
      </c>
      <c r="AN400" s="160">
        <f>IF(OR('Sites'!$E$7&lt;0,'Sites'!$E$7&gt;1,'Sites'!$F$7&lt;1,'Sites'!$G$7&lt;'Sites'!$F$7,F400&lt;0,MIN('Sites'!$I$7:'Sites'!$R$7)&lt;0,'Sites'!$L$7&gt;'Sites'!$I$7,'Sites'!$M$7&gt;'Sites'!$J$7,'Sites'!$N$7&gt;'Sites'!$K$7,'Sites'!$Z$7&lt;0,'Sites'!$Z$7&gt;1,MIN('Sites'!$AA$7:'Sites'!$AC$7)&lt;0,S400&gt;F400+0.001),1,0)</f>
        <v/>
      </c>
      <c r="AO400" s="160">
        <f>I400+U400-T400-X400</f>
        <v/>
      </c>
    </row>
    <row r="401" ht="28" customHeight="1">
      <c r="A401" s="4" t="inlineStr">
        <is>
          <t>Delayed receipts</t>
        </is>
      </c>
      <c r="B401" s="4" t="inlineStr">
        <is>
          <t>NEW1</t>
        </is>
      </c>
      <c r="C401" s="160" t="n">
        <v>36</v>
      </c>
      <c r="D401" s="160">
        <f>ROUNDUP(C401/12,0)</f>
        <v/>
      </c>
      <c r="E401" s="160">
        <f>IF(AND('Sites'!$E$7=1,C401&gt;='Sites'!$F$7+'Cases'!$G$9,C401&lt;='Sites'!$G$7),1,0)</f>
        <v/>
      </c>
      <c r="F401" s="160">
        <f>E401*'Assumptions'!AM68</f>
        <v/>
      </c>
      <c r="G401" s="160">
        <f>V400</f>
        <v/>
      </c>
      <c r="H401" s="160">
        <f>W400</f>
        <v/>
      </c>
      <c r="I401" s="160">
        <f>X400</f>
        <v/>
      </c>
      <c r="J401" s="160">
        <f>MAX(0,'Sites'!$K$7-SUM(N390:N400))</f>
        <v/>
      </c>
      <c r="K401" s="160">
        <f>IF('Sites'!$C$7="Own sheets",MIN(ROUNDDOWN(G401/'NM Play'!$B$11,0)+F401*'NM Play'!$B$10/'NM Play'!$B$43,ROUNDDOWN(H401/'NM Play'!$B$12,0)+F401*'NM Play'!$B$10/'NM Play'!$B$44,(F401*'NM Play'!$B$10+ROUNDDOWN(G401/'NM Play'!$B$11,0)*'NM Play'!$B$43+ROUNDDOWN(H401/'NM Play'!$B$12,0)*'NM Play'!$B$44)/('NM Play'!$B$43+'NM Play'!$B$44)),ROUNDDOWN(G401/'NM Play'!$B$11,0)+F401*'NM Play'!$B$10/'NM Play'!$B$43)</f>
        <v/>
      </c>
      <c r="L401" s="160">
        <f>MIN(ROUNDDOWN(G401/'NM Play'!$B$11,0)+F401/('NM Play'!$B$43/'NM Play'!$B$15),ROUNDDOWN(H401/'NM Play'!$B$12,0)+F401/('NM Play'!$B$44/'NM Play'!$B$16),(F401+ROUNDDOWN(G401/'NM Play'!$B$11,0)*'NM Play'!$B$43/'NM Play'!$B$15+ROUNDDOWN(H401/'NM Play'!$B$12,0)*'NM Play'!$B$44/'NM Play'!$B$16)/('NM Play'!$B$43/'NM Play'!$B$15+'NM Play'!$B$44/'NM Play'!$B$16))</f>
        <v/>
      </c>
      <c r="M401" s="160">
        <f>F401*'NM Play'!$B$36</f>
        <v/>
      </c>
      <c r="N401" s="160">
        <f>ROUNDDOWN(MAX(0,MIN(J401,K401:M401)),0)</f>
        <v/>
      </c>
      <c r="O401" s="160">
        <f>ROUNDUP(MAX(0,N401*'NM Play'!$B$11-G401)/'NM Play'!$B$13,0)</f>
        <v/>
      </c>
      <c r="P401" s="160">
        <f>ROUNDUP(MAX(0,N401*'NM Play'!$B$12-H401)/'NM Play'!$B$14,0)</f>
        <v/>
      </c>
      <c r="Q401" s="160">
        <f>(O401+IF('Sites'!$C$7="Own sheets",P401,0))/'NM Play'!$B$10</f>
        <v/>
      </c>
      <c r="R401" s="160">
        <f>O401/'NM Play'!$B$15+P401/'NM Play'!$B$16</f>
        <v/>
      </c>
      <c r="S401" s="160">
        <f>MAX(Q401,R401,N401/'NM Play'!$B$36)</f>
        <v/>
      </c>
      <c r="T401" s="160">
        <f>Q401*'NM Play'!$B$10*'NM Play'!$B$21*(1+'NM Play'!$B$35)</f>
        <v/>
      </c>
      <c r="U401" s="160">
        <f>MAX(0,T401-I401)</f>
        <v/>
      </c>
      <c r="V401" s="160">
        <f>G401+O401*'NM Play'!$B$13-N401*'NM Play'!$B$11</f>
        <v/>
      </c>
      <c r="W401" s="160">
        <f>H401+P401*'NM Play'!$B$14-N401*'NM Play'!$B$12</f>
        <v/>
      </c>
      <c r="X401" s="160">
        <f>I401+U401-T401</f>
        <v/>
      </c>
      <c r="Y401" s="160">
        <f>MIN(N401,MAX(0,ROUNDDOWN('Sites'!$N$7*'Cases'!$E$9,0)-SUM(Y390:Y400)))</f>
        <v/>
      </c>
      <c r="Z401" s="160">
        <f>N401-Y401</f>
        <v/>
      </c>
      <c r="AA401" s="160">
        <f>U401*'NM Play'!$B$22</f>
        <v/>
      </c>
      <c r="AB401" s="160">
        <f>N401*SUM('NM Play'!$B$29:$B$31)</f>
        <v/>
      </c>
      <c r="AC401" s="160">
        <f>IF('Sites'!$C$7="Defy legs",P401*'NM Play'!$B$14/'NM Play'!$B$12*'NM Play'!$B$28,0)</f>
        <v/>
      </c>
      <c r="AD401" s="160">
        <f>Q401*'NM Play'!$B$23</f>
        <v/>
      </c>
      <c r="AE401" s="160">
        <f>S401*SUM('NM Play'!$B$26,'NM Play'!$B$33:$B$34)</f>
        <v/>
      </c>
      <c r="AF401" s="160">
        <f>IF('Sites'!$D$7="NM crew",S401*SUM('NM Play'!$B$24:$B$25),0)</f>
        <v/>
      </c>
      <c r="AG401" s="160">
        <f>IF('Sites'!$D$7="NM crew",S401*'NM Play'!$B$27,0)</f>
        <v/>
      </c>
      <c r="AH401" s="160">
        <f>N401*'Sites'!$Z$7*'NM Play'!$B$32</f>
        <v/>
      </c>
      <c r="AI401" s="160">
        <f>SUM(Y401:Z401)*'Sites'!$R$7</f>
        <v/>
      </c>
      <c r="AJ401" s="160">
        <f>SUM(AA401:AH401)</f>
        <v/>
      </c>
      <c r="AK401" s="160">
        <f>AJ401+(T401-U401)*'NM Play'!$B$22+MIN(G401,N401*'NM Play'!$B$11)/'NM Play'!$B$13*'NM Play'!$B$21*'NM Play'!$B$22+MIN(H401,N401*'NM Play'!$B$12)/'NM Play'!$B$14*IF('Sites'!$C$7="Own sheets",'NM Play'!$B$21*'NM Play'!$B$22,'NM Play'!$B$28*'NM Play'!$B$14/'NM Play'!$B$12)</f>
        <v/>
      </c>
      <c r="AL401" s="160">
        <f>Y401*'Assumptions'!AM66</f>
        <v/>
      </c>
      <c r="AM401" s="160">
        <f>IF('Sites'!$D$7="NM crew",S401*'NM Play'!$B$37*(1+IF(AND(ISNUMBER('NM Play'!$B$25),'NM Play'!$B$25&gt;0),1,0)),"")</f>
        <v/>
      </c>
      <c r="AN401" s="160">
        <f>IF(OR('Sites'!$E$7&lt;0,'Sites'!$E$7&gt;1,'Sites'!$F$7&lt;1,'Sites'!$G$7&lt;'Sites'!$F$7,F401&lt;0,MIN('Sites'!$I$7:'Sites'!$R$7)&lt;0,'Sites'!$L$7&gt;'Sites'!$I$7,'Sites'!$M$7&gt;'Sites'!$J$7,'Sites'!$N$7&gt;'Sites'!$K$7,'Sites'!$Z$7&lt;0,'Sites'!$Z$7&gt;1,MIN('Sites'!$AA$7:'Sites'!$AC$7)&lt;0,S401&gt;F401+0.001),1,0)</f>
        <v/>
      </c>
      <c r="AO401" s="160">
        <f>I401+U401-T401-X401</f>
        <v/>
      </c>
    </row>
    <row r="402" ht="28" customHeight="1">
      <c r="A402" s="4" t="inlineStr">
        <is>
          <t>Delayed receipts</t>
        </is>
      </c>
      <c r="B402" s="4" t="inlineStr">
        <is>
          <t>NEW2</t>
        </is>
      </c>
      <c r="C402" s="160" t="n">
        <v>1</v>
      </c>
      <c r="D402" s="160">
        <f>ROUNDUP(C402/12,0)</f>
        <v/>
      </c>
      <c r="E402" s="160">
        <f>IF(AND('Sites'!$E$8*'Cases'!$F$9=1,C402&gt;='Sites'!$F$8+'Cases'!$G$9,C402&lt;='Sites'!$G$8),1,0)</f>
        <v/>
      </c>
      <c r="F402" s="160">
        <f>E402*'Assumptions'!D69</f>
        <v/>
      </c>
      <c r="G402" s="160">
        <f>'Sites'!$AA$8</f>
        <v/>
      </c>
      <c r="H402" s="160">
        <f>'Sites'!$AB$8</f>
        <v/>
      </c>
      <c r="I402" s="160">
        <f>'Sites'!$AC$8</f>
        <v/>
      </c>
      <c r="J402" s="160">
        <f>MAX(0,'Sites'!$I$8-0)</f>
        <v/>
      </c>
      <c r="K402" s="160">
        <f>IF('Sites'!$C$8="Own sheets",MIN(ROUNDDOWN(G402/'NM Play'!$B$11,0)+F402*'NM Play'!$B$10/'NM Play'!$B$43,ROUNDDOWN(H402/'NM Play'!$B$12,0)+F402*'NM Play'!$B$10/'NM Play'!$B$44,(F402*'NM Play'!$B$10+ROUNDDOWN(G402/'NM Play'!$B$11,0)*'NM Play'!$B$43+ROUNDDOWN(H402/'NM Play'!$B$12,0)*'NM Play'!$B$44)/('NM Play'!$B$43+'NM Play'!$B$44)),ROUNDDOWN(G402/'NM Play'!$B$11,0)+F402*'NM Play'!$B$10/'NM Play'!$B$43)</f>
        <v/>
      </c>
      <c r="L402" s="160">
        <f>MIN(ROUNDDOWN(G402/'NM Play'!$B$11,0)+F402/('NM Play'!$B$43/'NM Play'!$B$15),ROUNDDOWN(H402/'NM Play'!$B$12,0)+F402/('NM Play'!$B$44/'NM Play'!$B$16),(F402+ROUNDDOWN(G402/'NM Play'!$B$11,0)*'NM Play'!$B$43/'NM Play'!$B$15+ROUNDDOWN(H402/'NM Play'!$B$12,0)*'NM Play'!$B$44/'NM Play'!$B$16)/('NM Play'!$B$43/'NM Play'!$B$15+'NM Play'!$B$44/'NM Play'!$B$16))</f>
        <v/>
      </c>
      <c r="M402" s="160">
        <f>F402*'NM Play'!$B$36</f>
        <v/>
      </c>
      <c r="N402" s="160">
        <f>ROUNDDOWN(MAX(0,MIN(J402,K402:M402)),0)</f>
        <v/>
      </c>
      <c r="O402" s="160">
        <f>ROUNDUP(MAX(0,N402*'NM Play'!$B$11-G402)/'NM Play'!$B$13,0)</f>
        <v/>
      </c>
      <c r="P402" s="160">
        <f>ROUNDUP(MAX(0,N402*'NM Play'!$B$12-H402)/'NM Play'!$B$14,0)</f>
        <v/>
      </c>
      <c r="Q402" s="160">
        <f>(O402+IF('Sites'!$C$8="Own sheets",P402,0))/'NM Play'!$B$10</f>
        <v/>
      </c>
      <c r="R402" s="160">
        <f>O402/'NM Play'!$B$15+P402/'NM Play'!$B$16</f>
        <v/>
      </c>
      <c r="S402" s="160">
        <f>MAX(Q402,R402,N402/'NM Play'!$B$36)</f>
        <v/>
      </c>
      <c r="T402" s="160">
        <f>Q402*'NM Play'!$B$10*'NM Play'!$B$21*(1+'NM Play'!$B$35)</f>
        <v/>
      </c>
      <c r="U402" s="160">
        <f>MAX(0,T402-I402)</f>
        <v/>
      </c>
      <c r="V402" s="160">
        <f>G402+O402*'NM Play'!$B$13-N402*'NM Play'!$B$11</f>
        <v/>
      </c>
      <c r="W402" s="160">
        <f>H402+P402*'NM Play'!$B$14-N402*'NM Play'!$B$12</f>
        <v/>
      </c>
      <c r="X402" s="160">
        <f>I402+U402-T402</f>
        <v/>
      </c>
      <c r="Y402" s="160">
        <f>MIN(N402,MAX(0,ROUNDDOWN('Sites'!$L$8*'Cases'!$E$9,0)-0))</f>
        <v/>
      </c>
      <c r="Z402" s="160">
        <f>N402-Y402</f>
        <v/>
      </c>
      <c r="AA402" s="160">
        <f>U402*'NM Play'!$B$22</f>
        <v/>
      </c>
      <c r="AB402" s="160">
        <f>N402*SUM('NM Play'!$B$29:$B$31)</f>
        <v/>
      </c>
      <c r="AC402" s="160">
        <f>IF('Sites'!$C$8="Defy legs",P402*'NM Play'!$B$14/'NM Play'!$B$12*'NM Play'!$B$28,0)</f>
        <v/>
      </c>
      <c r="AD402" s="160">
        <f>Q402*'NM Play'!$B$23</f>
        <v/>
      </c>
      <c r="AE402" s="160">
        <f>S402*SUM('NM Play'!$B$26,'NM Play'!$B$33:$B$34)</f>
        <v/>
      </c>
      <c r="AF402" s="160">
        <f>IF('Sites'!$D$8="NM crew",S402*SUM('NM Play'!$B$24:$B$25),0)</f>
        <v/>
      </c>
      <c r="AG402" s="160">
        <f>IF('Sites'!$D$8="NM crew",S402*'NM Play'!$B$27,0)</f>
        <v/>
      </c>
      <c r="AH402" s="160">
        <f>N402*'Sites'!$Z$8*'NM Play'!$B$32</f>
        <v/>
      </c>
      <c r="AI402" s="160">
        <f>SUM(Y402:Z402)*'Sites'!$R$8</f>
        <v/>
      </c>
      <c r="AJ402" s="160">
        <f>SUM(AA402:AH402)</f>
        <v/>
      </c>
      <c r="AK402" s="160">
        <f>AJ402+(T402-U402)*'NM Play'!$B$22+MIN(G402,N402*'NM Play'!$B$11)/'NM Play'!$B$13*'NM Play'!$B$21*'NM Play'!$B$22+MIN(H402,N402*'NM Play'!$B$12)/'NM Play'!$B$14*IF('Sites'!$C$8="Own sheets",'NM Play'!$B$21*'NM Play'!$B$22,'NM Play'!$B$28*'NM Play'!$B$14/'NM Play'!$B$12)</f>
        <v/>
      </c>
      <c r="AL402" s="160">
        <f>Y402*'Assumptions'!D66</f>
        <v/>
      </c>
      <c r="AM402" s="160">
        <f>IF('Sites'!$D$8="NM crew",S402*'NM Play'!$B$37*(1+IF(AND(ISNUMBER('NM Play'!$B$25),'NM Play'!$B$25&gt;0),1,0)),"")</f>
        <v/>
      </c>
      <c r="AN402" s="160">
        <f>IF(OR('Sites'!$E$8&lt;0,'Sites'!$E$8&gt;1,'Sites'!$F$8&lt;1,'Sites'!$G$8&lt;'Sites'!$F$8,F402&lt;0,MIN('Sites'!$I$8:'Sites'!$R$8)&lt;0,'Sites'!$L$8&gt;'Sites'!$I$8,'Sites'!$M$8&gt;'Sites'!$J$8,'Sites'!$N$8&gt;'Sites'!$K$8,'Sites'!$Z$8&lt;0,'Sites'!$Z$8&gt;1,MIN('Sites'!$AA$8:'Sites'!$AC$8)&lt;0,S402&gt;F402+0.001),1,0)</f>
        <v/>
      </c>
      <c r="AO402" s="160">
        <f>I402+U402-T402-X402</f>
        <v/>
      </c>
    </row>
    <row r="403" ht="28" customHeight="1">
      <c r="A403" s="4" t="inlineStr">
        <is>
          <t>Delayed receipts</t>
        </is>
      </c>
      <c r="B403" s="4" t="inlineStr">
        <is>
          <t>NEW2</t>
        </is>
      </c>
      <c r="C403" s="160" t="n">
        <v>2</v>
      </c>
      <c r="D403" s="160">
        <f>ROUNDUP(C403/12,0)</f>
        <v/>
      </c>
      <c r="E403" s="160">
        <f>IF(AND('Sites'!$E$8*'Cases'!$F$9=1,C403&gt;='Sites'!$F$8+'Cases'!$G$9,C403&lt;='Sites'!$G$8),1,0)</f>
        <v/>
      </c>
      <c r="F403" s="160">
        <f>E403*'Assumptions'!E69</f>
        <v/>
      </c>
      <c r="G403" s="160">
        <f>V402</f>
        <v/>
      </c>
      <c r="H403" s="160">
        <f>W402</f>
        <v/>
      </c>
      <c r="I403" s="160">
        <f>X402</f>
        <v/>
      </c>
      <c r="J403" s="160">
        <f>MAX(0,'Sites'!$I$8-SUM(N402:N402))</f>
        <v/>
      </c>
      <c r="K403" s="160">
        <f>IF('Sites'!$C$8="Own sheets",MIN(ROUNDDOWN(G403/'NM Play'!$B$11,0)+F403*'NM Play'!$B$10/'NM Play'!$B$43,ROUNDDOWN(H403/'NM Play'!$B$12,0)+F403*'NM Play'!$B$10/'NM Play'!$B$44,(F403*'NM Play'!$B$10+ROUNDDOWN(G403/'NM Play'!$B$11,0)*'NM Play'!$B$43+ROUNDDOWN(H403/'NM Play'!$B$12,0)*'NM Play'!$B$44)/('NM Play'!$B$43+'NM Play'!$B$44)),ROUNDDOWN(G403/'NM Play'!$B$11,0)+F403*'NM Play'!$B$10/'NM Play'!$B$43)</f>
        <v/>
      </c>
      <c r="L403" s="160">
        <f>MIN(ROUNDDOWN(G403/'NM Play'!$B$11,0)+F403/('NM Play'!$B$43/'NM Play'!$B$15),ROUNDDOWN(H403/'NM Play'!$B$12,0)+F403/('NM Play'!$B$44/'NM Play'!$B$16),(F403+ROUNDDOWN(G403/'NM Play'!$B$11,0)*'NM Play'!$B$43/'NM Play'!$B$15+ROUNDDOWN(H403/'NM Play'!$B$12,0)*'NM Play'!$B$44/'NM Play'!$B$16)/('NM Play'!$B$43/'NM Play'!$B$15+'NM Play'!$B$44/'NM Play'!$B$16))</f>
        <v/>
      </c>
      <c r="M403" s="160">
        <f>F403*'NM Play'!$B$36</f>
        <v/>
      </c>
      <c r="N403" s="160">
        <f>ROUNDDOWN(MAX(0,MIN(J403,K403:M403)),0)</f>
        <v/>
      </c>
      <c r="O403" s="160">
        <f>ROUNDUP(MAX(0,N403*'NM Play'!$B$11-G403)/'NM Play'!$B$13,0)</f>
        <v/>
      </c>
      <c r="P403" s="160">
        <f>ROUNDUP(MAX(0,N403*'NM Play'!$B$12-H403)/'NM Play'!$B$14,0)</f>
        <v/>
      </c>
      <c r="Q403" s="160">
        <f>(O403+IF('Sites'!$C$8="Own sheets",P403,0))/'NM Play'!$B$10</f>
        <v/>
      </c>
      <c r="R403" s="160">
        <f>O403/'NM Play'!$B$15+P403/'NM Play'!$B$16</f>
        <v/>
      </c>
      <c r="S403" s="160">
        <f>MAX(Q403,R403,N403/'NM Play'!$B$36)</f>
        <v/>
      </c>
      <c r="T403" s="160">
        <f>Q403*'NM Play'!$B$10*'NM Play'!$B$21*(1+'NM Play'!$B$35)</f>
        <v/>
      </c>
      <c r="U403" s="160">
        <f>MAX(0,T403-I403)</f>
        <v/>
      </c>
      <c r="V403" s="160">
        <f>G403+O403*'NM Play'!$B$13-N403*'NM Play'!$B$11</f>
        <v/>
      </c>
      <c r="W403" s="160">
        <f>H403+P403*'NM Play'!$B$14-N403*'NM Play'!$B$12</f>
        <v/>
      </c>
      <c r="X403" s="160">
        <f>I403+U403-T403</f>
        <v/>
      </c>
      <c r="Y403" s="160">
        <f>MIN(N403,MAX(0,ROUNDDOWN('Sites'!$L$8*'Cases'!$E$9,0)-SUM(Y402:Y402)))</f>
        <v/>
      </c>
      <c r="Z403" s="160">
        <f>N403-Y403</f>
        <v/>
      </c>
      <c r="AA403" s="160">
        <f>U403*'NM Play'!$B$22</f>
        <v/>
      </c>
      <c r="AB403" s="160">
        <f>N403*SUM('NM Play'!$B$29:$B$31)</f>
        <v/>
      </c>
      <c r="AC403" s="160">
        <f>IF('Sites'!$C$8="Defy legs",P403*'NM Play'!$B$14/'NM Play'!$B$12*'NM Play'!$B$28,0)</f>
        <v/>
      </c>
      <c r="AD403" s="160">
        <f>Q403*'NM Play'!$B$23</f>
        <v/>
      </c>
      <c r="AE403" s="160">
        <f>S403*SUM('NM Play'!$B$26,'NM Play'!$B$33:$B$34)</f>
        <v/>
      </c>
      <c r="AF403" s="160">
        <f>IF('Sites'!$D$8="NM crew",S403*SUM('NM Play'!$B$24:$B$25),0)</f>
        <v/>
      </c>
      <c r="AG403" s="160">
        <f>IF('Sites'!$D$8="NM crew",S403*'NM Play'!$B$27,0)</f>
        <v/>
      </c>
      <c r="AH403" s="160">
        <f>N403*'Sites'!$Z$8*'NM Play'!$B$32</f>
        <v/>
      </c>
      <c r="AI403" s="160">
        <f>SUM(Y403:Z403)*'Sites'!$R$8</f>
        <v/>
      </c>
      <c r="AJ403" s="160">
        <f>SUM(AA403:AH403)</f>
        <v/>
      </c>
      <c r="AK403" s="160">
        <f>AJ403+(T403-U403)*'NM Play'!$B$22+MIN(G403,N403*'NM Play'!$B$11)/'NM Play'!$B$13*'NM Play'!$B$21*'NM Play'!$B$22+MIN(H403,N403*'NM Play'!$B$12)/'NM Play'!$B$14*IF('Sites'!$C$8="Own sheets",'NM Play'!$B$21*'NM Play'!$B$22,'NM Play'!$B$28*'NM Play'!$B$14/'NM Play'!$B$12)</f>
        <v/>
      </c>
      <c r="AL403" s="160">
        <f>Y403*'Assumptions'!E66</f>
        <v/>
      </c>
      <c r="AM403" s="160">
        <f>IF('Sites'!$D$8="NM crew",S403*'NM Play'!$B$37*(1+IF(AND(ISNUMBER('NM Play'!$B$25),'NM Play'!$B$25&gt;0),1,0)),"")</f>
        <v/>
      </c>
      <c r="AN403" s="160">
        <f>IF(OR('Sites'!$E$8&lt;0,'Sites'!$E$8&gt;1,'Sites'!$F$8&lt;1,'Sites'!$G$8&lt;'Sites'!$F$8,F403&lt;0,MIN('Sites'!$I$8:'Sites'!$R$8)&lt;0,'Sites'!$L$8&gt;'Sites'!$I$8,'Sites'!$M$8&gt;'Sites'!$J$8,'Sites'!$N$8&gt;'Sites'!$K$8,'Sites'!$Z$8&lt;0,'Sites'!$Z$8&gt;1,MIN('Sites'!$AA$8:'Sites'!$AC$8)&lt;0,S403&gt;F403+0.001),1,0)</f>
        <v/>
      </c>
      <c r="AO403" s="160">
        <f>I403+U403-T403-X403</f>
        <v/>
      </c>
    </row>
    <row r="404" ht="28" customHeight="1">
      <c r="A404" s="4" t="inlineStr">
        <is>
          <t>Delayed receipts</t>
        </is>
      </c>
      <c r="B404" s="4" t="inlineStr">
        <is>
          <t>NEW2</t>
        </is>
      </c>
      <c r="C404" s="160" t="n">
        <v>3</v>
      </c>
      <c r="D404" s="160">
        <f>ROUNDUP(C404/12,0)</f>
        <v/>
      </c>
      <c r="E404" s="160">
        <f>IF(AND('Sites'!$E$8*'Cases'!$F$9=1,C404&gt;='Sites'!$F$8+'Cases'!$G$9,C404&lt;='Sites'!$G$8),1,0)</f>
        <v/>
      </c>
      <c r="F404" s="160">
        <f>E404*'Assumptions'!F69</f>
        <v/>
      </c>
      <c r="G404" s="160">
        <f>V403</f>
        <v/>
      </c>
      <c r="H404" s="160">
        <f>W403</f>
        <v/>
      </c>
      <c r="I404" s="160">
        <f>X403</f>
        <v/>
      </c>
      <c r="J404" s="160">
        <f>MAX(0,'Sites'!$I$8-SUM(N402:N403))</f>
        <v/>
      </c>
      <c r="K404" s="160">
        <f>IF('Sites'!$C$8="Own sheets",MIN(ROUNDDOWN(G404/'NM Play'!$B$11,0)+F404*'NM Play'!$B$10/'NM Play'!$B$43,ROUNDDOWN(H404/'NM Play'!$B$12,0)+F404*'NM Play'!$B$10/'NM Play'!$B$44,(F404*'NM Play'!$B$10+ROUNDDOWN(G404/'NM Play'!$B$11,0)*'NM Play'!$B$43+ROUNDDOWN(H404/'NM Play'!$B$12,0)*'NM Play'!$B$44)/('NM Play'!$B$43+'NM Play'!$B$44)),ROUNDDOWN(G404/'NM Play'!$B$11,0)+F404*'NM Play'!$B$10/'NM Play'!$B$43)</f>
        <v/>
      </c>
      <c r="L404" s="160">
        <f>MIN(ROUNDDOWN(G404/'NM Play'!$B$11,0)+F404/('NM Play'!$B$43/'NM Play'!$B$15),ROUNDDOWN(H404/'NM Play'!$B$12,0)+F404/('NM Play'!$B$44/'NM Play'!$B$16),(F404+ROUNDDOWN(G404/'NM Play'!$B$11,0)*'NM Play'!$B$43/'NM Play'!$B$15+ROUNDDOWN(H404/'NM Play'!$B$12,0)*'NM Play'!$B$44/'NM Play'!$B$16)/('NM Play'!$B$43/'NM Play'!$B$15+'NM Play'!$B$44/'NM Play'!$B$16))</f>
        <v/>
      </c>
      <c r="M404" s="160">
        <f>F404*'NM Play'!$B$36</f>
        <v/>
      </c>
      <c r="N404" s="160">
        <f>ROUNDDOWN(MAX(0,MIN(J404,K404:M404)),0)</f>
        <v/>
      </c>
      <c r="O404" s="160">
        <f>ROUNDUP(MAX(0,N404*'NM Play'!$B$11-G404)/'NM Play'!$B$13,0)</f>
        <v/>
      </c>
      <c r="P404" s="160">
        <f>ROUNDUP(MAX(0,N404*'NM Play'!$B$12-H404)/'NM Play'!$B$14,0)</f>
        <v/>
      </c>
      <c r="Q404" s="160">
        <f>(O404+IF('Sites'!$C$8="Own sheets",P404,0))/'NM Play'!$B$10</f>
        <v/>
      </c>
      <c r="R404" s="160">
        <f>O404/'NM Play'!$B$15+P404/'NM Play'!$B$16</f>
        <v/>
      </c>
      <c r="S404" s="160">
        <f>MAX(Q404,R404,N404/'NM Play'!$B$36)</f>
        <v/>
      </c>
      <c r="T404" s="160">
        <f>Q404*'NM Play'!$B$10*'NM Play'!$B$21*(1+'NM Play'!$B$35)</f>
        <v/>
      </c>
      <c r="U404" s="160">
        <f>MAX(0,T404-I404)</f>
        <v/>
      </c>
      <c r="V404" s="160">
        <f>G404+O404*'NM Play'!$B$13-N404*'NM Play'!$B$11</f>
        <v/>
      </c>
      <c r="W404" s="160">
        <f>H404+P404*'NM Play'!$B$14-N404*'NM Play'!$B$12</f>
        <v/>
      </c>
      <c r="X404" s="160">
        <f>I404+U404-T404</f>
        <v/>
      </c>
      <c r="Y404" s="160">
        <f>MIN(N404,MAX(0,ROUNDDOWN('Sites'!$L$8*'Cases'!$E$9,0)-SUM(Y402:Y403)))</f>
        <v/>
      </c>
      <c r="Z404" s="160">
        <f>N404-Y404</f>
        <v/>
      </c>
      <c r="AA404" s="160">
        <f>U404*'NM Play'!$B$22</f>
        <v/>
      </c>
      <c r="AB404" s="160">
        <f>N404*SUM('NM Play'!$B$29:$B$31)</f>
        <v/>
      </c>
      <c r="AC404" s="160">
        <f>IF('Sites'!$C$8="Defy legs",P404*'NM Play'!$B$14/'NM Play'!$B$12*'NM Play'!$B$28,0)</f>
        <v/>
      </c>
      <c r="AD404" s="160">
        <f>Q404*'NM Play'!$B$23</f>
        <v/>
      </c>
      <c r="AE404" s="160">
        <f>S404*SUM('NM Play'!$B$26,'NM Play'!$B$33:$B$34)</f>
        <v/>
      </c>
      <c r="AF404" s="160">
        <f>IF('Sites'!$D$8="NM crew",S404*SUM('NM Play'!$B$24:$B$25),0)</f>
        <v/>
      </c>
      <c r="AG404" s="160">
        <f>IF('Sites'!$D$8="NM crew",S404*'NM Play'!$B$27,0)</f>
        <v/>
      </c>
      <c r="AH404" s="160">
        <f>N404*'Sites'!$Z$8*'NM Play'!$B$32</f>
        <v/>
      </c>
      <c r="AI404" s="160">
        <f>SUM(Y404:Z404)*'Sites'!$R$8</f>
        <v/>
      </c>
      <c r="AJ404" s="160">
        <f>SUM(AA404:AH404)</f>
        <v/>
      </c>
      <c r="AK404" s="160">
        <f>AJ404+(T404-U404)*'NM Play'!$B$22+MIN(G404,N404*'NM Play'!$B$11)/'NM Play'!$B$13*'NM Play'!$B$21*'NM Play'!$B$22+MIN(H404,N404*'NM Play'!$B$12)/'NM Play'!$B$14*IF('Sites'!$C$8="Own sheets",'NM Play'!$B$21*'NM Play'!$B$22,'NM Play'!$B$28*'NM Play'!$B$14/'NM Play'!$B$12)</f>
        <v/>
      </c>
      <c r="AL404" s="160">
        <f>Y404*'Assumptions'!F66</f>
        <v/>
      </c>
      <c r="AM404" s="160">
        <f>IF('Sites'!$D$8="NM crew",S404*'NM Play'!$B$37*(1+IF(AND(ISNUMBER('NM Play'!$B$25),'NM Play'!$B$25&gt;0),1,0)),"")</f>
        <v/>
      </c>
      <c r="AN404" s="160">
        <f>IF(OR('Sites'!$E$8&lt;0,'Sites'!$E$8&gt;1,'Sites'!$F$8&lt;1,'Sites'!$G$8&lt;'Sites'!$F$8,F404&lt;0,MIN('Sites'!$I$8:'Sites'!$R$8)&lt;0,'Sites'!$L$8&gt;'Sites'!$I$8,'Sites'!$M$8&gt;'Sites'!$J$8,'Sites'!$N$8&gt;'Sites'!$K$8,'Sites'!$Z$8&lt;0,'Sites'!$Z$8&gt;1,MIN('Sites'!$AA$8:'Sites'!$AC$8)&lt;0,S404&gt;F404+0.001),1,0)</f>
        <v/>
      </c>
      <c r="AO404" s="160">
        <f>I404+U404-T404-X404</f>
        <v/>
      </c>
    </row>
    <row r="405" ht="28" customHeight="1">
      <c r="A405" s="4" t="inlineStr">
        <is>
          <t>Delayed receipts</t>
        </is>
      </c>
      <c r="B405" s="4" t="inlineStr">
        <is>
          <t>NEW2</t>
        </is>
      </c>
      <c r="C405" s="160" t="n">
        <v>4</v>
      </c>
      <c r="D405" s="160">
        <f>ROUNDUP(C405/12,0)</f>
        <v/>
      </c>
      <c r="E405" s="160">
        <f>IF(AND('Sites'!$E$8*'Cases'!$F$9=1,C405&gt;='Sites'!$F$8+'Cases'!$G$9,C405&lt;='Sites'!$G$8),1,0)</f>
        <v/>
      </c>
      <c r="F405" s="160">
        <f>E405*'Assumptions'!G69</f>
        <v/>
      </c>
      <c r="G405" s="160">
        <f>V404</f>
        <v/>
      </c>
      <c r="H405" s="160">
        <f>W404</f>
        <v/>
      </c>
      <c r="I405" s="160">
        <f>X404</f>
        <v/>
      </c>
      <c r="J405" s="160">
        <f>MAX(0,'Sites'!$I$8-SUM(N402:N404))</f>
        <v/>
      </c>
      <c r="K405" s="160">
        <f>IF('Sites'!$C$8="Own sheets",MIN(ROUNDDOWN(G405/'NM Play'!$B$11,0)+F405*'NM Play'!$B$10/'NM Play'!$B$43,ROUNDDOWN(H405/'NM Play'!$B$12,0)+F405*'NM Play'!$B$10/'NM Play'!$B$44,(F405*'NM Play'!$B$10+ROUNDDOWN(G405/'NM Play'!$B$11,0)*'NM Play'!$B$43+ROUNDDOWN(H405/'NM Play'!$B$12,0)*'NM Play'!$B$44)/('NM Play'!$B$43+'NM Play'!$B$44)),ROUNDDOWN(G405/'NM Play'!$B$11,0)+F405*'NM Play'!$B$10/'NM Play'!$B$43)</f>
        <v/>
      </c>
      <c r="L405" s="160">
        <f>MIN(ROUNDDOWN(G405/'NM Play'!$B$11,0)+F405/('NM Play'!$B$43/'NM Play'!$B$15),ROUNDDOWN(H405/'NM Play'!$B$12,0)+F405/('NM Play'!$B$44/'NM Play'!$B$16),(F405+ROUNDDOWN(G405/'NM Play'!$B$11,0)*'NM Play'!$B$43/'NM Play'!$B$15+ROUNDDOWN(H405/'NM Play'!$B$12,0)*'NM Play'!$B$44/'NM Play'!$B$16)/('NM Play'!$B$43/'NM Play'!$B$15+'NM Play'!$B$44/'NM Play'!$B$16))</f>
        <v/>
      </c>
      <c r="M405" s="160">
        <f>F405*'NM Play'!$B$36</f>
        <v/>
      </c>
      <c r="N405" s="160">
        <f>ROUNDDOWN(MAX(0,MIN(J405,K405:M405)),0)</f>
        <v/>
      </c>
      <c r="O405" s="160">
        <f>ROUNDUP(MAX(0,N405*'NM Play'!$B$11-G405)/'NM Play'!$B$13,0)</f>
        <v/>
      </c>
      <c r="P405" s="160">
        <f>ROUNDUP(MAX(0,N405*'NM Play'!$B$12-H405)/'NM Play'!$B$14,0)</f>
        <v/>
      </c>
      <c r="Q405" s="160">
        <f>(O405+IF('Sites'!$C$8="Own sheets",P405,0))/'NM Play'!$B$10</f>
        <v/>
      </c>
      <c r="R405" s="160">
        <f>O405/'NM Play'!$B$15+P405/'NM Play'!$B$16</f>
        <v/>
      </c>
      <c r="S405" s="160">
        <f>MAX(Q405,R405,N405/'NM Play'!$B$36)</f>
        <v/>
      </c>
      <c r="T405" s="160">
        <f>Q405*'NM Play'!$B$10*'NM Play'!$B$21*(1+'NM Play'!$B$35)</f>
        <v/>
      </c>
      <c r="U405" s="160">
        <f>MAX(0,T405-I405)</f>
        <v/>
      </c>
      <c r="V405" s="160">
        <f>G405+O405*'NM Play'!$B$13-N405*'NM Play'!$B$11</f>
        <v/>
      </c>
      <c r="W405" s="160">
        <f>H405+P405*'NM Play'!$B$14-N405*'NM Play'!$B$12</f>
        <v/>
      </c>
      <c r="X405" s="160">
        <f>I405+U405-T405</f>
        <v/>
      </c>
      <c r="Y405" s="160">
        <f>MIN(N405,MAX(0,ROUNDDOWN('Sites'!$L$8*'Cases'!$E$9,0)-SUM(Y402:Y404)))</f>
        <v/>
      </c>
      <c r="Z405" s="160">
        <f>N405-Y405</f>
        <v/>
      </c>
      <c r="AA405" s="160">
        <f>U405*'NM Play'!$B$22</f>
        <v/>
      </c>
      <c r="AB405" s="160">
        <f>N405*SUM('NM Play'!$B$29:$B$31)</f>
        <v/>
      </c>
      <c r="AC405" s="160">
        <f>IF('Sites'!$C$8="Defy legs",P405*'NM Play'!$B$14/'NM Play'!$B$12*'NM Play'!$B$28,0)</f>
        <v/>
      </c>
      <c r="AD405" s="160">
        <f>Q405*'NM Play'!$B$23</f>
        <v/>
      </c>
      <c r="AE405" s="160">
        <f>S405*SUM('NM Play'!$B$26,'NM Play'!$B$33:$B$34)</f>
        <v/>
      </c>
      <c r="AF405" s="160">
        <f>IF('Sites'!$D$8="NM crew",S405*SUM('NM Play'!$B$24:$B$25),0)</f>
        <v/>
      </c>
      <c r="AG405" s="160">
        <f>IF('Sites'!$D$8="NM crew",S405*'NM Play'!$B$27,0)</f>
        <v/>
      </c>
      <c r="AH405" s="160">
        <f>N405*'Sites'!$Z$8*'NM Play'!$B$32</f>
        <v/>
      </c>
      <c r="AI405" s="160">
        <f>SUM(Y405:Z405)*'Sites'!$R$8</f>
        <v/>
      </c>
      <c r="AJ405" s="160">
        <f>SUM(AA405:AH405)</f>
        <v/>
      </c>
      <c r="AK405" s="160">
        <f>AJ405+(T405-U405)*'NM Play'!$B$22+MIN(G405,N405*'NM Play'!$B$11)/'NM Play'!$B$13*'NM Play'!$B$21*'NM Play'!$B$22+MIN(H405,N405*'NM Play'!$B$12)/'NM Play'!$B$14*IF('Sites'!$C$8="Own sheets",'NM Play'!$B$21*'NM Play'!$B$22,'NM Play'!$B$28*'NM Play'!$B$14/'NM Play'!$B$12)</f>
        <v/>
      </c>
      <c r="AL405" s="160">
        <f>Y405*'Assumptions'!G66</f>
        <v/>
      </c>
      <c r="AM405" s="160">
        <f>IF('Sites'!$D$8="NM crew",S405*'NM Play'!$B$37*(1+IF(AND(ISNUMBER('NM Play'!$B$25),'NM Play'!$B$25&gt;0),1,0)),"")</f>
        <v/>
      </c>
      <c r="AN405" s="160">
        <f>IF(OR('Sites'!$E$8&lt;0,'Sites'!$E$8&gt;1,'Sites'!$F$8&lt;1,'Sites'!$G$8&lt;'Sites'!$F$8,F405&lt;0,MIN('Sites'!$I$8:'Sites'!$R$8)&lt;0,'Sites'!$L$8&gt;'Sites'!$I$8,'Sites'!$M$8&gt;'Sites'!$J$8,'Sites'!$N$8&gt;'Sites'!$K$8,'Sites'!$Z$8&lt;0,'Sites'!$Z$8&gt;1,MIN('Sites'!$AA$8:'Sites'!$AC$8)&lt;0,S405&gt;F405+0.001),1,0)</f>
        <v/>
      </c>
      <c r="AO405" s="160">
        <f>I405+U405-T405-X405</f>
        <v/>
      </c>
    </row>
    <row r="406" ht="28" customHeight="1">
      <c r="A406" s="4" t="inlineStr">
        <is>
          <t>Delayed receipts</t>
        </is>
      </c>
      <c r="B406" s="4" t="inlineStr">
        <is>
          <t>NEW2</t>
        </is>
      </c>
      <c r="C406" s="160" t="n">
        <v>5</v>
      </c>
      <c r="D406" s="160">
        <f>ROUNDUP(C406/12,0)</f>
        <v/>
      </c>
      <c r="E406" s="160">
        <f>IF(AND('Sites'!$E$8*'Cases'!$F$9=1,C406&gt;='Sites'!$F$8+'Cases'!$G$9,C406&lt;='Sites'!$G$8),1,0)</f>
        <v/>
      </c>
      <c r="F406" s="160">
        <f>E406*'Assumptions'!H69</f>
        <v/>
      </c>
      <c r="G406" s="160">
        <f>V405</f>
        <v/>
      </c>
      <c r="H406" s="160">
        <f>W405</f>
        <v/>
      </c>
      <c r="I406" s="160">
        <f>X405</f>
        <v/>
      </c>
      <c r="J406" s="160">
        <f>MAX(0,'Sites'!$I$8-SUM(N402:N405))</f>
        <v/>
      </c>
      <c r="K406" s="160">
        <f>IF('Sites'!$C$8="Own sheets",MIN(ROUNDDOWN(G406/'NM Play'!$B$11,0)+F406*'NM Play'!$B$10/'NM Play'!$B$43,ROUNDDOWN(H406/'NM Play'!$B$12,0)+F406*'NM Play'!$B$10/'NM Play'!$B$44,(F406*'NM Play'!$B$10+ROUNDDOWN(G406/'NM Play'!$B$11,0)*'NM Play'!$B$43+ROUNDDOWN(H406/'NM Play'!$B$12,0)*'NM Play'!$B$44)/('NM Play'!$B$43+'NM Play'!$B$44)),ROUNDDOWN(G406/'NM Play'!$B$11,0)+F406*'NM Play'!$B$10/'NM Play'!$B$43)</f>
        <v/>
      </c>
      <c r="L406" s="160">
        <f>MIN(ROUNDDOWN(G406/'NM Play'!$B$11,0)+F406/('NM Play'!$B$43/'NM Play'!$B$15),ROUNDDOWN(H406/'NM Play'!$B$12,0)+F406/('NM Play'!$B$44/'NM Play'!$B$16),(F406+ROUNDDOWN(G406/'NM Play'!$B$11,0)*'NM Play'!$B$43/'NM Play'!$B$15+ROUNDDOWN(H406/'NM Play'!$B$12,0)*'NM Play'!$B$44/'NM Play'!$B$16)/('NM Play'!$B$43/'NM Play'!$B$15+'NM Play'!$B$44/'NM Play'!$B$16))</f>
        <v/>
      </c>
      <c r="M406" s="160">
        <f>F406*'NM Play'!$B$36</f>
        <v/>
      </c>
      <c r="N406" s="160">
        <f>ROUNDDOWN(MAX(0,MIN(J406,K406:M406)),0)</f>
        <v/>
      </c>
      <c r="O406" s="160">
        <f>ROUNDUP(MAX(0,N406*'NM Play'!$B$11-G406)/'NM Play'!$B$13,0)</f>
        <v/>
      </c>
      <c r="P406" s="160">
        <f>ROUNDUP(MAX(0,N406*'NM Play'!$B$12-H406)/'NM Play'!$B$14,0)</f>
        <v/>
      </c>
      <c r="Q406" s="160">
        <f>(O406+IF('Sites'!$C$8="Own sheets",P406,0))/'NM Play'!$B$10</f>
        <v/>
      </c>
      <c r="R406" s="160">
        <f>O406/'NM Play'!$B$15+P406/'NM Play'!$B$16</f>
        <v/>
      </c>
      <c r="S406" s="160">
        <f>MAX(Q406,R406,N406/'NM Play'!$B$36)</f>
        <v/>
      </c>
      <c r="T406" s="160">
        <f>Q406*'NM Play'!$B$10*'NM Play'!$B$21*(1+'NM Play'!$B$35)</f>
        <v/>
      </c>
      <c r="U406" s="160">
        <f>MAX(0,T406-I406)</f>
        <v/>
      </c>
      <c r="V406" s="160">
        <f>G406+O406*'NM Play'!$B$13-N406*'NM Play'!$B$11</f>
        <v/>
      </c>
      <c r="W406" s="160">
        <f>H406+P406*'NM Play'!$B$14-N406*'NM Play'!$B$12</f>
        <v/>
      </c>
      <c r="X406" s="160">
        <f>I406+U406-T406</f>
        <v/>
      </c>
      <c r="Y406" s="160">
        <f>MIN(N406,MAX(0,ROUNDDOWN('Sites'!$L$8*'Cases'!$E$9,0)-SUM(Y402:Y405)))</f>
        <v/>
      </c>
      <c r="Z406" s="160">
        <f>N406-Y406</f>
        <v/>
      </c>
      <c r="AA406" s="160">
        <f>U406*'NM Play'!$B$22</f>
        <v/>
      </c>
      <c r="AB406" s="160">
        <f>N406*SUM('NM Play'!$B$29:$B$31)</f>
        <v/>
      </c>
      <c r="AC406" s="160">
        <f>IF('Sites'!$C$8="Defy legs",P406*'NM Play'!$B$14/'NM Play'!$B$12*'NM Play'!$B$28,0)</f>
        <v/>
      </c>
      <c r="AD406" s="160">
        <f>Q406*'NM Play'!$B$23</f>
        <v/>
      </c>
      <c r="AE406" s="160">
        <f>S406*SUM('NM Play'!$B$26,'NM Play'!$B$33:$B$34)</f>
        <v/>
      </c>
      <c r="AF406" s="160">
        <f>IF('Sites'!$D$8="NM crew",S406*SUM('NM Play'!$B$24:$B$25),0)</f>
        <v/>
      </c>
      <c r="AG406" s="160">
        <f>IF('Sites'!$D$8="NM crew",S406*'NM Play'!$B$27,0)</f>
        <v/>
      </c>
      <c r="AH406" s="160">
        <f>N406*'Sites'!$Z$8*'NM Play'!$B$32</f>
        <v/>
      </c>
      <c r="AI406" s="160">
        <f>SUM(Y406:Z406)*'Sites'!$R$8</f>
        <v/>
      </c>
      <c r="AJ406" s="160">
        <f>SUM(AA406:AH406)</f>
        <v/>
      </c>
      <c r="AK406" s="160">
        <f>AJ406+(T406-U406)*'NM Play'!$B$22+MIN(G406,N406*'NM Play'!$B$11)/'NM Play'!$B$13*'NM Play'!$B$21*'NM Play'!$B$22+MIN(H406,N406*'NM Play'!$B$12)/'NM Play'!$B$14*IF('Sites'!$C$8="Own sheets",'NM Play'!$B$21*'NM Play'!$B$22,'NM Play'!$B$28*'NM Play'!$B$14/'NM Play'!$B$12)</f>
        <v/>
      </c>
      <c r="AL406" s="160">
        <f>Y406*'Assumptions'!H66</f>
        <v/>
      </c>
      <c r="AM406" s="160">
        <f>IF('Sites'!$D$8="NM crew",S406*'NM Play'!$B$37*(1+IF(AND(ISNUMBER('NM Play'!$B$25),'NM Play'!$B$25&gt;0),1,0)),"")</f>
        <v/>
      </c>
      <c r="AN406" s="160">
        <f>IF(OR('Sites'!$E$8&lt;0,'Sites'!$E$8&gt;1,'Sites'!$F$8&lt;1,'Sites'!$G$8&lt;'Sites'!$F$8,F406&lt;0,MIN('Sites'!$I$8:'Sites'!$R$8)&lt;0,'Sites'!$L$8&gt;'Sites'!$I$8,'Sites'!$M$8&gt;'Sites'!$J$8,'Sites'!$N$8&gt;'Sites'!$K$8,'Sites'!$Z$8&lt;0,'Sites'!$Z$8&gt;1,MIN('Sites'!$AA$8:'Sites'!$AC$8)&lt;0,S406&gt;F406+0.001),1,0)</f>
        <v/>
      </c>
      <c r="AO406" s="160">
        <f>I406+U406-T406-X406</f>
        <v/>
      </c>
    </row>
    <row r="407" ht="28" customHeight="1">
      <c r="A407" s="4" t="inlineStr">
        <is>
          <t>Delayed receipts</t>
        </is>
      </c>
      <c r="B407" s="4" t="inlineStr">
        <is>
          <t>NEW2</t>
        </is>
      </c>
      <c r="C407" s="160" t="n">
        <v>6</v>
      </c>
      <c r="D407" s="160">
        <f>ROUNDUP(C407/12,0)</f>
        <v/>
      </c>
      <c r="E407" s="160">
        <f>IF(AND('Sites'!$E$8*'Cases'!$F$9=1,C407&gt;='Sites'!$F$8+'Cases'!$G$9,C407&lt;='Sites'!$G$8),1,0)</f>
        <v/>
      </c>
      <c r="F407" s="160">
        <f>E407*'Assumptions'!I69</f>
        <v/>
      </c>
      <c r="G407" s="160">
        <f>V406</f>
        <v/>
      </c>
      <c r="H407" s="160">
        <f>W406</f>
        <v/>
      </c>
      <c r="I407" s="160">
        <f>X406</f>
        <v/>
      </c>
      <c r="J407" s="160">
        <f>MAX(0,'Sites'!$I$8-SUM(N402:N406))</f>
        <v/>
      </c>
      <c r="K407" s="160">
        <f>IF('Sites'!$C$8="Own sheets",MIN(ROUNDDOWN(G407/'NM Play'!$B$11,0)+F407*'NM Play'!$B$10/'NM Play'!$B$43,ROUNDDOWN(H407/'NM Play'!$B$12,0)+F407*'NM Play'!$B$10/'NM Play'!$B$44,(F407*'NM Play'!$B$10+ROUNDDOWN(G407/'NM Play'!$B$11,0)*'NM Play'!$B$43+ROUNDDOWN(H407/'NM Play'!$B$12,0)*'NM Play'!$B$44)/('NM Play'!$B$43+'NM Play'!$B$44)),ROUNDDOWN(G407/'NM Play'!$B$11,0)+F407*'NM Play'!$B$10/'NM Play'!$B$43)</f>
        <v/>
      </c>
      <c r="L407" s="160">
        <f>MIN(ROUNDDOWN(G407/'NM Play'!$B$11,0)+F407/('NM Play'!$B$43/'NM Play'!$B$15),ROUNDDOWN(H407/'NM Play'!$B$12,0)+F407/('NM Play'!$B$44/'NM Play'!$B$16),(F407+ROUNDDOWN(G407/'NM Play'!$B$11,0)*'NM Play'!$B$43/'NM Play'!$B$15+ROUNDDOWN(H407/'NM Play'!$B$12,0)*'NM Play'!$B$44/'NM Play'!$B$16)/('NM Play'!$B$43/'NM Play'!$B$15+'NM Play'!$B$44/'NM Play'!$B$16))</f>
        <v/>
      </c>
      <c r="M407" s="160">
        <f>F407*'NM Play'!$B$36</f>
        <v/>
      </c>
      <c r="N407" s="160">
        <f>ROUNDDOWN(MAX(0,MIN(J407,K407:M407)),0)</f>
        <v/>
      </c>
      <c r="O407" s="160">
        <f>ROUNDUP(MAX(0,N407*'NM Play'!$B$11-G407)/'NM Play'!$B$13,0)</f>
        <v/>
      </c>
      <c r="P407" s="160">
        <f>ROUNDUP(MAX(0,N407*'NM Play'!$B$12-H407)/'NM Play'!$B$14,0)</f>
        <v/>
      </c>
      <c r="Q407" s="160">
        <f>(O407+IF('Sites'!$C$8="Own sheets",P407,0))/'NM Play'!$B$10</f>
        <v/>
      </c>
      <c r="R407" s="160">
        <f>O407/'NM Play'!$B$15+P407/'NM Play'!$B$16</f>
        <v/>
      </c>
      <c r="S407" s="160">
        <f>MAX(Q407,R407,N407/'NM Play'!$B$36)</f>
        <v/>
      </c>
      <c r="T407" s="160">
        <f>Q407*'NM Play'!$B$10*'NM Play'!$B$21*(1+'NM Play'!$B$35)</f>
        <v/>
      </c>
      <c r="U407" s="160">
        <f>MAX(0,T407-I407)</f>
        <v/>
      </c>
      <c r="V407" s="160">
        <f>G407+O407*'NM Play'!$B$13-N407*'NM Play'!$B$11</f>
        <v/>
      </c>
      <c r="W407" s="160">
        <f>H407+P407*'NM Play'!$B$14-N407*'NM Play'!$B$12</f>
        <v/>
      </c>
      <c r="X407" s="160">
        <f>I407+U407-T407</f>
        <v/>
      </c>
      <c r="Y407" s="160">
        <f>MIN(N407,MAX(0,ROUNDDOWN('Sites'!$L$8*'Cases'!$E$9,0)-SUM(Y402:Y406)))</f>
        <v/>
      </c>
      <c r="Z407" s="160">
        <f>N407-Y407</f>
        <v/>
      </c>
      <c r="AA407" s="160">
        <f>U407*'NM Play'!$B$22</f>
        <v/>
      </c>
      <c r="AB407" s="160">
        <f>N407*SUM('NM Play'!$B$29:$B$31)</f>
        <v/>
      </c>
      <c r="AC407" s="160">
        <f>IF('Sites'!$C$8="Defy legs",P407*'NM Play'!$B$14/'NM Play'!$B$12*'NM Play'!$B$28,0)</f>
        <v/>
      </c>
      <c r="AD407" s="160">
        <f>Q407*'NM Play'!$B$23</f>
        <v/>
      </c>
      <c r="AE407" s="160">
        <f>S407*SUM('NM Play'!$B$26,'NM Play'!$B$33:$B$34)</f>
        <v/>
      </c>
      <c r="AF407" s="160">
        <f>IF('Sites'!$D$8="NM crew",S407*SUM('NM Play'!$B$24:$B$25),0)</f>
        <v/>
      </c>
      <c r="AG407" s="160">
        <f>IF('Sites'!$D$8="NM crew",S407*'NM Play'!$B$27,0)</f>
        <v/>
      </c>
      <c r="AH407" s="160">
        <f>N407*'Sites'!$Z$8*'NM Play'!$B$32</f>
        <v/>
      </c>
      <c r="AI407" s="160">
        <f>SUM(Y407:Z407)*'Sites'!$R$8</f>
        <v/>
      </c>
      <c r="AJ407" s="160">
        <f>SUM(AA407:AH407)</f>
        <v/>
      </c>
      <c r="AK407" s="160">
        <f>AJ407+(T407-U407)*'NM Play'!$B$22+MIN(G407,N407*'NM Play'!$B$11)/'NM Play'!$B$13*'NM Play'!$B$21*'NM Play'!$B$22+MIN(H407,N407*'NM Play'!$B$12)/'NM Play'!$B$14*IF('Sites'!$C$8="Own sheets",'NM Play'!$B$21*'NM Play'!$B$22,'NM Play'!$B$28*'NM Play'!$B$14/'NM Play'!$B$12)</f>
        <v/>
      </c>
      <c r="AL407" s="160">
        <f>Y407*'Assumptions'!I66</f>
        <v/>
      </c>
      <c r="AM407" s="160">
        <f>IF('Sites'!$D$8="NM crew",S407*'NM Play'!$B$37*(1+IF(AND(ISNUMBER('NM Play'!$B$25),'NM Play'!$B$25&gt;0),1,0)),"")</f>
        <v/>
      </c>
      <c r="AN407" s="160">
        <f>IF(OR('Sites'!$E$8&lt;0,'Sites'!$E$8&gt;1,'Sites'!$F$8&lt;1,'Sites'!$G$8&lt;'Sites'!$F$8,F407&lt;0,MIN('Sites'!$I$8:'Sites'!$R$8)&lt;0,'Sites'!$L$8&gt;'Sites'!$I$8,'Sites'!$M$8&gt;'Sites'!$J$8,'Sites'!$N$8&gt;'Sites'!$K$8,'Sites'!$Z$8&lt;0,'Sites'!$Z$8&gt;1,MIN('Sites'!$AA$8:'Sites'!$AC$8)&lt;0,S407&gt;F407+0.001),1,0)</f>
        <v/>
      </c>
      <c r="AO407" s="160">
        <f>I407+U407-T407-X407</f>
        <v/>
      </c>
    </row>
    <row r="408" ht="28" customHeight="1">
      <c r="A408" s="4" t="inlineStr">
        <is>
          <t>Delayed receipts</t>
        </is>
      </c>
      <c r="B408" s="4" t="inlineStr">
        <is>
          <t>NEW2</t>
        </is>
      </c>
      <c r="C408" s="160" t="n">
        <v>7</v>
      </c>
      <c r="D408" s="160">
        <f>ROUNDUP(C408/12,0)</f>
        <v/>
      </c>
      <c r="E408" s="160">
        <f>IF(AND('Sites'!$E$8*'Cases'!$F$9=1,C408&gt;='Sites'!$F$8+'Cases'!$G$9,C408&lt;='Sites'!$G$8),1,0)</f>
        <v/>
      </c>
      <c r="F408" s="160">
        <f>E408*'Assumptions'!J69</f>
        <v/>
      </c>
      <c r="G408" s="160">
        <f>V407</f>
        <v/>
      </c>
      <c r="H408" s="160">
        <f>W407</f>
        <v/>
      </c>
      <c r="I408" s="160">
        <f>X407</f>
        <v/>
      </c>
      <c r="J408" s="160">
        <f>MAX(0,'Sites'!$I$8-SUM(N402:N407))</f>
        <v/>
      </c>
      <c r="K408" s="160">
        <f>IF('Sites'!$C$8="Own sheets",MIN(ROUNDDOWN(G408/'NM Play'!$B$11,0)+F408*'NM Play'!$B$10/'NM Play'!$B$43,ROUNDDOWN(H408/'NM Play'!$B$12,0)+F408*'NM Play'!$B$10/'NM Play'!$B$44,(F408*'NM Play'!$B$10+ROUNDDOWN(G408/'NM Play'!$B$11,0)*'NM Play'!$B$43+ROUNDDOWN(H408/'NM Play'!$B$12,0)*'NM Play'!$B$44)/('NM Play'!$B$43+'NM Play'!$B$44)),ROUNDDOWN(G408/'NM Play'!$B$11,0)+F408*'NM Play'!$B$10/'NM Play'!$B$43)</f>
        <v/>
      </c>
      <c r="L408" s="160">
        <f>MIN(ROUNDDOWN(G408/'NM Play'!$B$11,0)+F408/('NM Play'!$B$43/'NM Play'!$B$15),ROUNDDOWN(H408/'NM Play'!$B$12,0)+F408/('NM Play'!$B$44/'NM Play'!$B$16),(F408+ROUNDDOWN(G408/'NM Play'!$B$11,0)*'NM Play'!$B$43/'NM Play'!$B$15+ROUNDDOWN(H408/'NM Play'!$B$12,0)*'NM Play'!$B$44/'NM Play'!$B$16)/('NM Play'!$B$43/'NM Play'!$B$15+'NM Play'!$B$44/'NM Play'!$B$16))</f>
        <v/>
      </c>
      <c r="M408" s="160">
        <f>F408*'NM Play'!$B$36</f>
        <v/>
      </c>
      <c r="N408" s="160">
        <f>ROUNDDOWN(MAX(0,MIN(J408,K408:M408)),0)</f>
        <v/>
      </c>
      <c r="O408" s="160">
        <f>ROUNDUP(MAX(0,N408*'NM Play'!$B$11-G408)/'NM Play'!$B$13,0)</f>
        <v/>
      </c>
      <c r="P408" s="160">
        <f>ROUNDUP(MAX(0,N408*'NM Play'!$B$12-H408)/'NM Play'!$B$14,0)</f>
        <v/>
      </c>
      <c r="Q408" s="160">
        <f>(O408+IF('Sites'!$C$8="Own sheets",P408,0))/'NM Play'!$B$10</f>
        <v/>
      </c>
      <c r="R408" s="160">
        <f>O408/'NM Play'!$B$15+P408/'NM Play'!$B$16</f>
        <v/>
      </c>
      <c r="S408" s="160">
        <f>MAX(Q408,R408,N408/'NM Play'!$B$36)</f>
        <v/>
      </c>
      <c r="T408" s="160">
        <f>Q408*'NM Play'!$B$10*'NM Play'!$B$21*(1+'NM Play'!$B$35)</f>
        <v/>
      </c>
      <c r="U408" s="160">
        <f>MAX(0,T408-I408)</f>
        <v/>
      </c>
      <c r="V408" s="160">
        <f>G408+O408*'NM Play'!$B$13-N408*'NM Play'!$B$11</f>
        <v/>
      </c>
      <c r="W408" s="160">
        <f>H408+P408*'NM Play'!$B$14-N408*'NM Play'!$B$12</f>
        <v/>
      </c>
      <c r="X408" s="160">
        <f>I408+U408-T408</f>
        <v/>
      </c>
      <c r="Y408" s="160">
        <f>MIN(N408,MAX(0,ROUNDDOWN('Sites'!$L$8*'Cases'!$E$9,0)-SUM(Y402:Y407)))</f>
        <v/>
      </c>
      <c r="Z408" s="160">
        <f>N408-Y408</f>
        <v/>
      </c>
      <c r="AA408" s="160">
        <f>U408*'NM Play'!$B$22</f>
        <v/>
      </c>
      <c r="AB408" s="160">
        <f>N408*SUM('NM Play'!$B$29:$B$31)</f>
        <v/>
      </c>
      <c r="AC408" s="160">
        <f>IF('Sites'!$C$8="Defy legs",P408*'NM Play'!$B$14/'NM Play'!$B$12*'NM Play'!$B$28,0)</f>
        <v/>
      </c>
      <c r="AD408" s="160">
        <f>Q408*'NM Play'!$B$23</f>
        <v/>
      </c>
      <c r="AE408" s="160">
        <f>S408*SUM('NM Play'!$B$26,'NM Play'!$B$33:$B$34)</f>
        <v/>
      </c>
      <c r="AF408" s="160">
        <f>IF('Sites'!$D$8="NM crew",S408*SUM('NM Play'!$B$24:$B$25),0)</f>
        <v/>
      </c>
      <c r="AG408" s="160">
        <f>IF('Sites'!$D$8="NM crew",S408*'NM Play'!$B$27,0)</f>
        <v/>
      </c>
      <c r="AH408" s="160">
        <f>N408*'Sites'!$Z$8*'NM Play'!$B$32</f>
        <v/>
      </c>
      <c r="AI408" s="160">
        <f>SUM(Y408:Z408)*'Sites'!$R$8</f>
        <v/>
      </c>
      <c r="AJ408" s="160">
        <f>SUM(AA408:AH408)</f>
        <v/>
      </c>
      <c r="AK408" s="160">
        <f>AJ408+(T408-U408)*'NM Play'!$B$22+MIN(G408,N408*'NM Play'!$B$11)/'NM Play'!$B$13*'NM Play'!$B$21*'NM Play'!$B$22+MIN(H408,N408*'NM Play'!$B$12)/'NM Play'!$B$14*IF('Sites'!$C$8="Own sheets",'NM Play'!$B$21*'NM Play'!$B$22,'NM Play'!$B$28*'NM Play'!$B$14/'NM Play'!$B$12)</f>
        <v/>
      </c>
      <c r="AL408" s="160">
        <f>Y408*'Assumptions'!J66</f>
        <v/>
      </c>
      <c r="AM408" s="160">
        <f>IF('Sites'!$D$8="NM crew",S408*'NM Play'!$B$37*(1+IF(AND(ISNUMBER('NM Play'!$B$25),'NM Play'!$B$25&gt;0),1,0)),"")</f>
        <v/>
      </c>
      <c r="AN408" s="160">
        <f>IF(OR('Sites'!$E$8&lt;0,'Sites'!$E$8&gt;1,'Sites'!$F$8&lt;1,'Sites'!$G$8&lt;'Sites'!$F$8,F408&lt;0,MIN('Sites'!$I$8:'Sites'!$R$8)&lt;0,'Sites'!$L$8&gt;'Sites'!$I$8,'Sites'!$M$8&gt;'Sites'!$J$8,'Sites'!$N$8&gt;'Sites'!$K$8,'Sites'!$Z$8&lt;0,'Sites'!$Z$8&gt;1,MIN('Sites'!$AA$8:'Sites'!$AC$8)&lt;0,S408&gt;F408+0.001),1,0)</f>
        <v/>
      </c>
      <c r="AO408" s="160">
        <f>I408+U408-T408-X408</f>
        <v/>
      </c>
    </row>
    <row r="409" ht="28" customHeight="1">
      <c r="A409" s="4" t="inlineStr">
        <is>
          <t>Delayed receipts</t>
        </is>
      </c>
      <c r="B409" s="4" t="inlineStr">
        <is>
          <t>NEW2</t>
        </is>
      </c>
      <c r="C409" s="160" t="n">
        <v>8</v>
      </c>
      <c r="D409" s="160">
        <f>ROUNDUP(C409/12,0)</f>
        <v/>
      </c>
      <c r="E409" s="160">
        <f>IF(AND('Sites'!$E$8*'Cases'!$F$9=1,C409&gt;='Sites'!$F$8+'Cases'!$G$9,C409&lt;='Sites'!$G$8),1,0)</f>
        <v/>
      </c>
      <c r="F409" s="160">
        <f>E409*'Assumptions'!K69</f>
        <v/>
      </c>
      <c r="G409" s="160">
        <f>V408</f>
        <v/>
      </c>
      <c r="H409" s="160">
        <f>W408</f>
        <v/>
      </c>
      <c r="I409" s="160">
        <f>X408</f>
        <v/>
      </c>
      <c r="J409" s="160">
        <f>MAX(0,'Sites'!$I$8-SUM(N402:N408))</f>
        <v/>
      </c>
      <c r="K409" s="160">
        <f>IF('Sites'!$C$8="Own sheets",MIN(ROUNDDOWN(G409/'NM Play'!$B$11,0)+F409*'NM Play'!$B$10/'NM Play'!$B$43,ROUNDDOWN(H409/'NM Play'!$B$12,0)+F409*'NM Play'!$B$10/'NM Play'!$B$44,(F409*'NM Play'!$B$10+ROUNDDOWN(G409/'NM Play'!$B$11,0)*'NM Play'!$B$43+ROUNDDOWN(H409/'NM Play'!$B$12,0)*'NM Play'!$B$44)/('NM Play'!$B$43+'NM Play'!$B$44)),ROUNDDOWN(G409/'NM Play'!$B$11,0)+F409*'NM Play'!$B$10/'NM Play'!$B$43)</f>
        <v/>
      </c>
      <c r="L409" s="160">
        <f>MIN(ROUNDDOWN(G409/'NM Play'!$B$11,0)+F409/('NM Play'!$B$43/'NM Play'!$B$15),ROUNDDOWN(H409/'NM Play'!$B$12,0)+F409/('NM Play'!$B$44/'NM Play'!$B$16),(F409+ROUNDDOWN(G409/'NM Play'!$B$11,0)*'NM Play'!$B$43/'NM Play'!$B$15+ROUNDDOWN(H409/'NM Play'!$B$12,0)*'NM Play'!$B$44/'NM Play'!$B$16)/('NM Play'!$B$43/'NM Play'!$B$15+'NM Play'!$B$44/'NM Play'!$B$16))</f>
        <v/>
      </c>
      <c r="M409" s="160">
        <f>F409*'NM Play'!$B$36</f>
        <v/>
      </c>
      <c r="N409" s="160">
        <f>ROUNDDOWN(MAX(0,MIN(J409,K409:M409)),0)</f>
        <v/>
      </c>
      <c r="O409" s="160">
        <f>ROUNDUP(MAX(0,N409*'NM Play'!$B$11-G409)/'NM Play'!$B$13,0)</f>
        <v/>
      </c>
      <c r="P409" s="160">
        <f>ROUNDUP(MAX(0,N409*'NM Play'!$B$12-H409)/'NM Play'!$B$14,0)</f>
        <v/>
      </c>
      <c r="Q409" s="160">
        <f>(O409+IF('Sites'!$C$8="Own sheets",P409,0))/'NM Play'!$B$10</f>
        <v/>
      </c>
      <c r="R409" s="160">
        <f>O409/'NM Play'!$B$15+P409/'NM Play'!$B$16</f>
        <v/>
      </c>
      <c r="S409" s="160">
        <f>MAX(Q409,R409,N409/'NM Play'!$B$36)</f>
        <v/>
      </c>
      <c r="T409" s="160">
        <f>Q409*'NM Play'!$B$10*'NM Play'!$B$21*(1+'NM Play'!$B$35)</f>
        <v/>
      </c>
      <c r="U409" s="160">
        <f>MAX(0,T409-I409)</f>
        <v/>
      </c>
      <c r="V409" s="160">
        <f>G409+O409*'NM Play'!$B$13-N409*'NM Play'!$B$11</f>
        <v/>
      </c>
      <c r="W409" s="160">
        <f>H409+P409*'NM Play'!$B$14-N409*'NM Play'!$B$12</f>
        <v/>
      </c>
      <c r="X409" s="160">
        <f>I409+U409-T409</f>
        <v/>
      </c>
      <c r="Y409" s="160">
        <f>MIN(N409,MAX(0,ROUNDDOWN('Sites'!$L$8*'Cases'!$E$9,0)-SUM(Y402:Y408)))</f>
        <v/>
      </c>
      <c r="Z409" s="160">
        <f>N409-Y409</f>
        <v/>
      </c>
      <c r="AA409" s="160">
        <f>U409*'NM Play'!$B$22</f>
        <v/>
      </c>
      <c r="AB409" s="160">
        <f>N409*SUM('NM Play'!$B$29:$B$31)</f>
        <v/>
      </c>
      <c r="AC409" s="160">
        <f>IF('Sites'!$C$8="Defy legs",P409*'NM Play'!$B$14/'NM Play'!$B$12*'NM Play'!$B$28,0)</f>
        <v/>
      </c>
      <c r="AD409" s="160">
        <f>Q409*'NM Play'!$B$23</f>
        <v/>
      </c>
      <c r="AE409" s="160">
        <f>S409*SUM('NM Play'!$B$26,'NM Play'!$B$33:$B$34)</f>
        <v/>
      </c>
      <c r="AF409" s="160">
        <f>IF('Sites'!$D$8="NM crew",S409*SUM('NM Play'!$B$24:$B$25),0)</f>
        <v/>
      </c>
      <c r="AG409" s="160">
        <f>IF('Sites'!$D$8="NM crew",S409*'NM Play'!$B$27,0)</f>
        <v/>
      </c>
      <c r="AH409" s="160">
        <f>N409*'Sites'!$Z$8*'NM Play'!$B$32</f>
        <v/>
      </c>
      <c r="AI409" s="160">
        <f>SUM(Y409:Z409)*'Sites'!$R$8</f>
        <v/>
      </c>
      <c r="AJ409" s="160">
        <f>SUM(AA409:AH409)</f>
        <v/>
      </c>
      <c r="AK409" s="160">
        <f>AJ409+(T409-U409)*'NM Play'!$B$22+MIN(G409,N409*'NM Play'!$B$11)/'NM Play'!$B$13*'NM Play'!$B$21*'NM Play'!$B$22+MIN(H409,N409*'NM Play'!$B$12)/'NM Play'!$B$14*IF('Sites'!$C$8="Own sheets",'NM Play'!$B$21*'NM Play'!$B$22,'NM Play'!$B$28*'NM Play'!$B$14/'NM Play'!$B$12)</f>
        <v/>
      </c>
      <c r="AL409" s="160">
        <f>Y409*'Assumptions'!K66</f>
        <v/>
      </c>
      <c r="AM409" s="160">
        <f>IF('Sites'!$D$8="NM crew",S409*'NM Play'!$B$37*(1+IF(AND(ISNUMBER('NM Play'!$B$25),'NM Play'!$B$25&gt;0),1,0)),"")</f>
        <v/>
      </c>
      <c r="AN409" s="160">
        <f>IF(OR('Sites'!$E$8&lt;0,'Sites'!$E$8&gt;1,'Sites'!$F$8&lt;1,'Sites'!$G$8&lt;'Sites'!$F$8,F409&lt;0,MIN('Sites'!$I$8:'Sites'!$R$8)&lt;0,'Sites'!$L$8&gt;'Sites'!$I$8,'Sites'!$M$8&gt;'Sites'!$J$8,'Sites'!$N$8&gt;'Sites'!$K$8,'Sites'!$Z$8&lt;0,'Sites'!$Z$8&gt;1,MIN('Sites'!$AA$8:'Sites'!$AC$8)&lt;0,S409&gt;F409+0.001),1,0)</f>
        <v/>
      </c>
      <c r="AO409" s="160">
        <f>I409+U409-T409-X409</f>
        <v/>
      </c>
    </row>
    <row r="410" ht="28" customHeight="1">
      <c r="A410" s="4" t="inlineStr">
        <is>
          <t>Delayed receipts</t>
        </is>
      </c>
      <c r="B410" s="4" t="inlineStr">
        <is>
          <t>NEW2</t>
        </is>
      </c>
      <c r="C410" s="160" t="n">
        <v>9</v>
      </c>
      <c r="D410" s="160">
        <f>ROUNDUP(C410/12,0)</f>
        <v/>
      </c>
      <c r="E410" s="160">
        <f>IF(AND('Sites'!$E$8*'Cases'!$F$9=1,C410&gt;='Sites'!$F$8+'Cases'!$G$9,C410&lt;='Sites'!$G$8),1,0)</f>
        <v/>
      </c>
      <c r="F410" s="160">
        <f>E410*'Assumptions'!L69</f>
        <v/>
      </c>
      <c r="G410" s="160">
        <f>V409</f>
        <v/>
      </c>
      <c r="H410" s="160">
        <f>W409</f>
        <v/>
      </c>
      <c r="I410" s="160">
        <f>X409</f>
        <v/>
      </c>
      <c r="J410" s="160">
        <f>MAX(0,'Sites'!$I$8-SUM(N402:N409))</f>
        <v/>
      </c>
      <c r="K410" s="160">
        <f>IF('Sites'!$C$8="Own sheets",MIN(ROUNDDOWN(G410/'NM Play'!$B$11,0)+F410*'NM Play'!$B$10/'NM Play'!$B$43,ROUNDDOWN(H410/'NM Play'!$B$12,0)+F410*'NM Play'!$B$10/'NM Play'!$B$44,(F410*'NM Play'!$B$10+ROUNDDOWN(G410/'NM Play'!$B$11,0)*'NM Play'!$B$43+ROUNDDOWN(H410/'NM Play'!$B$12,0)*'NM Play'!$B$44)/('NM Play'!$B$43+'NM Play'!$B$44)),ROUNDDOWN(G410/'NM Play'!$B$11,0)+F410*'NM Play'!$B$10/'NM Play'!$B$43)</f>
        <v/>
      </c>
      <c r="L410" s="160">
        <f>MIN(ROUNDDOWN(G410/'NM Play'!$B$11,0)+F410/('NM Play'!$B$43/'NM Play'!$B$15),ROUNDDOWN(H410/'NM Play'!$B$12,0)+F410/('NM Play'!$B$44/'NM Play'!$B$16),(F410+ROUNDDOWN(G410/'NM Play'!$B$11,0)*'NM Play'!$B$43/'NM Play'!$B$15+ROUNDDOWN(H410/'NM Play'!$B$12,0)*'NM Play'!$B$44/'NM Play'!$B$16)/('NM Play'!$B$43/'NM Play'!$B$15+'NM Play'!$B$44/'NM Play'!$B$16))</f>
        <v/>
      </c>
      <c r="M410" s="160">
        <f>F410*'NM Play'!$B$36</f>
        <v/>
      </c>
      <c r="N410" s="160">
        <f>ROUNDDOWN(MAX(0,MIN(J410,K410:M410)),0)</f>
        <v/>
      </c>
      <c r="O410" s="160">
        <f>ROUNDUP(MAX(0,N410*'NM Play'!$B$11-G410)/'NM Play'!$B$13,0)</f>
        <v/>
      </c>
      <c r="P410" s="160">
        <f>ROUNDUP(MAX(0,N410*'NM Play'!$B$12-H410)/'NM Play'!$B$14,0)</f>
        <v/>
      </c>
      <c r="Q410" s="160">
        <f>(O410+IF('Sites'!$C$8="Own sheets",P410,0))/'NM Play'!$B$10</f>
        <v/>
      </c>
      <c r="R410" s="160">
        <f>O410/'NM Play'!$B$15+P410/'NM Play'!$B$16</f>
        <v/>
      </c>
      <c r="S410" s="160">
        <f>MAX(Q410,R410,N410/'NM Play'!$B$36)</f>
        <v/>
      </c>
      <c r="T410" s="160">
        <f>Q410*'NM Play'!$B$10*'NM Play'!$B$21*(1+'NM Play'!$B$35)</f>
        <v/>
      </c>
      <c r="U410" s="160">
        <f>MAX(0,T410-I410)</f>
        <v/>
      </c>
      <c r="V410" s="160">
        <f>G410+O410*'NM Play'!$B$13-N410*'NM Play'!$B$11</f>
        <v/>
      </c>
      <c r="W410" s="160">
        <f>H410+P410*'NM Play'!$B$14-N410*'NM Play'!$B$12</f>
        <v/>
      </c>
      <c r="X410" s="160">
        <f>I410+U410-T410</f>
        <v/>
      </c>
      <c r="Y410" s="160">
        <f>MIN(N410,MAX(0,ROUNDDOWN('Sites'!$L$8*'Cases'!$E$9,0)-SUM(Y402:Y409)))</f>
        <v/>
      </c>
      <c r="Z410" s="160">
        <f>N410-Y410</f>
        <v/>
      </c>
      <c r="AA410" s="160">
        <f>U410*'NM Play'!$B$22</f>
        <v/>
      </c>
      <c r="AB410" s="160">
        <f>N410*SUM('NM Play'!$B$29:$B$31)</f>
        <v/>
      </c>
      <c r="AC410" s="160">
        <f>IF('Sites'!$C$8="Defy legs",P410*'NM Play'!$B$14/'NM Play'!$B$12*'NM Play'!$B$28,0)</f>
        <v/>
      </c>
      <c r="AD410" s="160">
        <f>Q410*'NM Play'!$B$23</f>
        <v/>
      </c>
      <c r="AE410" s="160">
        <f>S410*SUM('NM Play'!$B$26,'NM Play'!$B$33:$B$34)</f>
        <v/>
      </c>
      <c r="AF410" s="160">
        <f>IF('Sites'!$D$8="NM crew",S410*SUM('NM Play'!$B$24:$B$25),0)</f>
        <v/>
      </c>
      <c r="AG410" s="160">
        <f>IF('Sites'!$D$8="NM crew",S410*'NM Play'!$B$27,0)</f>
        <v/>
      </c>
      <c r="AH410" s="160">
        <f>N410*'Sites'!$Z$8*'NM Play'!$B$32</f>
        <v/>
      </c>
      <c r="AI410" s="160">
        <f>SUM(Y410:Z410)*'Sites'!$R$8</f>
        <v/>
      </c>
      <c r="AJ410" s="160">
        <f>SUM(AA410:AH410)</f>
        <v/>
      </c>
      <c r="AK410" s="160">
        <f>AJ410+(T410-U410)*'NM Play'!$B$22+MIN(G410,N410*'NM Play'!$B$11)/'NM Play'!$B$13*'NM Play'!$B$21*'NM Play'!$B$22+MIN(H410,N410*'NM Play'!$B$12)/'NM Play'!$B$14*IF('Sites'!$C$8="Own sheets",'NM Play'!$B$21*'NM Play'!$B$22,'NM Play'!$B$28*'NM Play'!$B$14/'NM Play'!$B$12)</f>
        <v/>
      </c>
      <c r="AL410" s="160">
        <f>Y410*'Assumptions'!L66</f>
        <v/>
      </c>
      <c r="AM410" s="160">
        <f>IF('Sites'!$D$8="NM crew",S410*'NM Play'!$B$37*(1+IF(AND(ISNUMBER('NM Play'!$B$25),'NM Play'!$B$25&gt;0),1,0)),"")</f>
        <v/>
      </c>
      <c r="AN410" s="160">
        <f>IF(OR('Sites'!$E$8&lt;0,'Sites'!$E$8&gt;1,'Sites'!$F$8&lt;1,'Sites'!$G$8&lt;'Sites'!$F$8,F410&lt;0,MIN('Sites'!$I$8:'Sites'!$R$8)&lt;0,'Sites'!$L$8&gt;'Sites'!$I$8,'Sites'!$M$8&gt;'Sites'!$J$8,'Sites'!$N$8&gt;'Sites'!$K$8,'Sites'!$Z$8&lt;0,'Sites'!$Z$8&gt;1,MIN('Sites'!$AA$8:'Sites'!$AC$8)&lt;0,S410&gt;F410+0.001),1,0)</f>
        <v/>
      </c>
      <c r="AO410" s="160">
        <f>I410+U410-T410-X410</f>
        <v/>
      </c>
    </row>
    <row r="411" ht="28" customHeight="1">
      <c r="A411" s="4" t="inlineStr">
        <is>
          <t>Delayed receipts</t>
        </is>
      </c>
      <c r="B411" s="4" t="inlineStr">
        <is>
          <t>NEW2</t>
        </is>
      </c>
      <c r="C411" s="160" t="n">
        <v>10</v>
      </c>
      <c r="D411" s="160">
        <f>ROUNDUP(C411/12,0)</f>
        <v/>
      </c>
      <c r="E411" s="160">
        <f>IF(AND('Sites'!$E$8*'Cases'!$F$9=1,C411&gt;='Sites'!$F$8+'Cases'!$G$9,C411&lt;='Sites'!$G$8),1,0)</f>
        <v/>
      </c>
      <c r="F411" s="160">
        <f>E411*'Assumptions'!M69</f>
        <v/>
      </c>
      <c r="G411" s="160">
        <f>V410</f>
        <v/>
      </c>
      <c r="H411" s="160">
        <f>W410</f>
        <v/>
      </c>
      <c r="I411" s="160">
        <f>X410</f>
        <v/>
      </c>
      <c r="J411" s="160">
        <f>MAX(0,'Sites'!$I$8-SUM(N402:N410))</f>
        <v/>
      </c>
      <c r="K411" s="160">
        <f>IF('Sites'!$C$8="Own sheets",MIN(ROUNDDOWN(G411/'NM Play'!$B$11,0)+F411*'NM Play'!$B$10/'NM Play'!$B$43,ROUNDDOWN(H411/'NM Play'!$B$12,0)+F411*'NM Play'!$B$10/'NM Play'!$B$44,(F411*'NM Play'!$B$10+ROUNDDOWN(G411/'NM Play'!$B$11,0)*'NM Play'!$B$43+ROUNDDOWN(H411/'NM Play'!$B$12,0)*'NM Play'!$B$44)/('NM Play'!$B$43+'NM Play'!$B$44)),ROUNDDOWN(G411/'NM Play'!$B$11,0)+F411*'NM Play'!$B$10/'NM Play'!$B$43)</f>
        <v/>
      </c>
      <c r="L411" s="160">
        <f>MIN(ROUNDDOWN(G411/'NM Play'!$B$11,0)+F411/('NM Play'!$B$43/'NM Play'!$B$15),ROUNDDOWN(H411/'NM Play'!$B$12,0)+F411/('NM Play'!$B$44/'NM Play'!$B$16),(F411+ROUNDDOWN(G411/'NM Play'!$B$11,0)*'NM Play'!$B$43/'NM Play'!$B$15+ROUNDDOWN(H411/'NM Play'!$B$12,0)*'NM Play'!$B$44/'NM Play'!$B$16)/('NM Play'!$B$43/'NM Play'!$B$15+'NM Play'!$B$44/'NM Play'!$B$16))</f>
        <v/>
      </c>
      <c r="M411" s="160">
        <f>F411*'NM Play'!$B$36</f>
        <v/>
      </c>
      <c r="N411" s="160">
        <f>ROUNDDOWN(MAX(0,MIN(J411,K411:M411)),0)</f>
        <v/>
      </c>
      <c r="O411" s="160">
        <f>ROUNDUP(MAX(0,N411*'NM Play'!$B$11-G411)/'NM Play'!$B$13,0)</f>
        <v/>
      </c>
      <c r="P411" s="160">
        <f>ROUNDUP(MAX(0,N411*'NM Play'!$B$12-H411)/'NM Play'!$B$14,0)</f>
        <v/>
      </c>
      <c r="Q411" s="160">
        <f>(O411+IF('Sites'!$C$8="Own sheets",P411,0))/'NM Play'!$B$10</f>
        <v/>
      </c>
      <c r="R411" s="160">
        <f>O411/'NM Play'!$B$15+P411/'NM Play'!$B$16</f>
        <v/>
      </c>
      <c r="S411" s="160">
        <f>MAX(Q411,R411,N411/'NM Play'!$B$36)</f>
        <v/>
      </c>
      <c r="T411" s="160">
        <f>Q411*'NM Play'!$B$10*'NM Play'!$B$21*(1+'NM Play'!$B$35)</f>
        <v/>
      </c>
      <c r="U411" s="160">
        <f>MAX(0,T411-I411)</f>
        <v/>
      </c>
      <c r="V411" s="160">
        <f>G411+O411*'NM Play'!$B$13-N411*'NM Play'!$B$11</f>
        <v/>
      </c>
      <c r="W411" s="160">
        <f>H411+P411*'NM Play'!$B$14-N411*'NM Play'!$B$12</f>
        <v/>
      </c>
      <c r="X411" s="160">
        <f>I411+U411-T411</f>
        <v/>
      </c>
      <c r="Y411" s="160">
        <f>MIN(N411,MAX(0,ROUNDDOWN('Sites'!$L$8*'Cases'!$E$9,0)-SUM(Y402:Y410)))</f>
        <v/>
      </c>
      <c r="Z411" s="160">
        <f>N411-Y411</f>
        <v/>
      </c>
      <c r="AA411" s="160">
        <f>U411*'NM Play'!$B$22</f>
        <v/>
      </c>
      <c r="AB411" s="160">
        <f>N411*SUM('NM Play'!$B$29:$B$31)</f>
        <v/>
      </c>
      <c r="AC411" s="160">
        <f>IF('Sites'!$C$8="Defy legs",P411*'NM Play'!$B$14/'NM Play'!$B$12*'NM Play'!$B$28,0)</f>
        <v/>
      </c>
      <c r="AD411" s="160">
        <f>Q411*'NM Play'!$B$23</f>
        <v/>
      </c>
      <c r="AE411" s="160">
        <f>S411*SUM('NM Play'!$B$26,'NM Play'!$B$33:$B$34)</f>
        <v/>
      </c>
      <c r="AF411" s="160">
        <f>IF('Sites'!$D$8="NM crew",S411*SUM('NM Play'!$B$24:$B$25),0)</f>
        <v/>
      </c>
      <c r="AG411" s="160">
        <f>IF('Sites'!$D$8="NM crew",S411*'NM Play'!$B$27,0)</f>
        <v/>
      </c>
      <c r="AH411" s="160">
        <f>N411*'Sites'!$Z$8*'NM Play'!$B$32</f>
        <v/>
      </c>
      <c r="AI411" s="160">
        <f>SUM(Y411:Z411)*'Sites'!$R$8</f>
        <v/>
      </c>
      <c r="AJ411" s="160">
        <f>SUM(AA411:AH411)</f>
        <v/>
      </c>
      <c r="AK411" s="160">
        <f>AJ411+(T411-U411)*'NM Play'!$B$22+MIN(G411,N411*'NM Play'!$B$11)/'NM Play'!$B$13*'NM Play'!$B$21*'NM Play'!$B$22+MIN(H411,N411*'NM Play'!$B$12)/'NM Play'!$B$14*IF('Sites'!$C$8="Own sheets",'NM Play'!$B$21*'NM Play'!$B$22,'NM Play'!$B$28*'NM Play'!$B$14/'NM Play'!$B$12)</f>
        <v/>
      </c>
      <c r="AL411" s="160">
        <f>Y411*'Assumptions'!M66</f>
        <v/>
      </c>
      <c r="AM411" s="160">
        <f>IF('Sites'!$D$8="NM crew",S411*'NM Play'!$B$37*(1+IF(AND(ISNUMBER('NM Play'!$B$25),'NM Play'!$B$25&gt;0),1,0)),"")</f>
        <v/>
      </c>
      <c r="AN411" s="160">
        <f>IF(OR('Sites'!$E$8&lt;0,'Sites'!$E$8&gt;1,'Sites'!$F$8&lt;1,'Sites'!$G$8&lt;'Sites'!$F$8,F411&lt;0,MIN('Sites'!$I$8:'Sites'!$R$8)&lt;0,'Sites'!$L$8&gt;'Sites'!$I$8,'Sites'!$M$8&gt;'Sites'!$J$8,'Sites'!$N$8&gt;'Sites'!$K$8,'Sites'!$Z$8&lt;0,'Sites'!$Z$8&gt;1,MIN('Sites'!$AA$8:'Sites'!$AC$8)&lt;0,S411&gt;F411+0.001),1,0)</f>
        <v/>
      </c>
      <c r="AO411" s="160">
        <f>I411+U411-T411-X411</f>
        <v/>
      </c>
    </row>
    <row r="412" ht="28" customHeight="1">
      <c r="A412" s="4" t="inlineStr">
        <is>
          <t>Delayed receipts</t>
        </is>
      </c>
      <c r="B412" s="4" t="inlineStr">
        <is>
          <t>NEW2</t>
        </is>
      </c>
      <c r="C412" s="160" t="n">
        <v>11</v>
      </c>
      <c r="D412" s="160">
        <f>ROUNDUP(C412/12,0)</f>
        <v/>
      </c>
      <c r="E412" s="160">
        <f>IF(AND('Sites'!$E$8*'Cases'!$F$9=1,C412&gt;='Sites'!$F$8+'Cases'!$G$9,C412&lt;='Sites'!$G$8),1,0)</f>
        <v/>
      </c>
      <c r="F412" s="160">
        <f>E412*'Assumptions'!N69</f>
        <v/>
      </c>
      <c r="G412" s="160">
        <f>V411</f>
        <v/>
      </c>
      <c r="H412" s="160">
        <f>W411</f>
        <v/>
      </c>
      <c r="I412" s="160">
        <f>X411</f>
        <v/>
      </c>
      <c r="J412" s="160">
        <f>MAX(0,'Sites'!$I$8-SUM(N402:N411))</f>
        <v/>
      </c>
      <c r="K412" s="160">
        <f>IF('Sites'!$C$8="Own sheets",MIN(ROUNDDOWN(G412/'NM Play'!$B$11,0)+F412*'NM Play'!$B$10/'NM Play'!$B$43,ROUNDDOWN(H412/'NM Play'!$B$12,0)+F412*'NM Play'!$B$10/'NM Play'!$B$44,(F412*'NM Play'!$B$10+ROUNDDOWN(G412/'NM Play'!$B$11,0)*'NM Play'!$B$43+ROUNDDOWN(H412/'NM Play'!$B$12,0)*'NM Play'!$B$44)/('NM Play'!$B$43+'NM Play'!$B$44)),ROUNDDOWN(G412/'NM Play'!$B$11,0)+F412*'NM Play'!$B$10/'NM Play'!$B$43)</f>
        <v/>
      </c>
      <c r="L412" s="160">
        <f>MIN(ROUNDDOWN(G412/'NM Play'!$B$11,0)+F412/('NM Play'!$B$43/'NM Play'!$B$15),ROUNDDOWN(H412/'NM Play'!$B$12,0)+F412/('NM Play'!$B$44/'NM Play'!$B$16),(F412+ROUNDDOWN(G412/'NM Play'!$B$11,0)*'NM Play'!$B$43/'NM Play'!$B$15+ROUNDDOWN(H412/'NM Play'!$B$12,0)*'NM Play'!$B$44/'NM Play'!$B$16)/('NM Play'!$B$43/'NM Play'!$B$15+'NM Play'!$B$44/'NM Play'!$B$16))</f>
        <v/>
      </c>
      <c r="M412" s="160">
        <f>F412*'NM Play'!$B$36</f>
        <v/>
      </c>
      <c r="N412" s="160">
        <f>ROUNDDOWN(MAX(0,MIN(J412,K412:M412)),0)</f>
        <v/>
      </c>
      <c r="O412" s="160">
        <f>ROUNDUP(MAX(0,N412*'NM Play'!$B$11-G412)/'NM Play'!$B$13,0)</f>
        <v/>
      </c>
      <c r="P412" s="160">
        <f>ROUNDUP(MAX(0,N412*'NM Play'!$B$12-H412)/'NM Play'!$B$14,0)</f>
        <v/>
      </c>
      <c r="Q412" s="160">
        <f>(O412+IF('Sites'!$C$8="Own sheets",P412,0))/'NM Play'!$B$10</f>
        <v/>
      </c>
      <c r="R412" s="160">
        <f>O412/'NM Play'!$B$15+P412/'NM Play'!$B$16</f>
        <v/>
      </c>
      <c r="S412" s="160">
        <f>MAX(Q412,R412,N412/'NM Play'!$B$36)</f>
        <v/>
      </c>
      <c r="T412" s="160">
        <f>Q412*'NM Play'!$B$10*'NM Play'!$B$21*(1+'NM Play'!$B$35)</f>
        <v/>
      </c>
      <c r="U412" s="160">
        <f>MAX(0,T412-I412)</f>
        <v/>
      </c>
      <c r="V412" s="160">
        <f>G412+O412*'NM Play'!$B$13-N412*'NM Play'!$B$11</f>
        <v/>
      </c>
      <c r="W412" s="160">
        <f>H412+P412*'NM Play'!$B$14-N412*'NM Play'!$B$12</f>
        <v/>
      </c>
      <c r="X412" s="160">
        <f>I412+U412-T412</f>
        <v/>
      </c>
      <c r="Y412" s="160">
        <f>MIN(N412,MAX(0,ROUNDDOWN('Sites'!$L$8*'Cases'!$E$9,0)-SUM(Y402:Y411)))</f>
        <v/>
      </c>
      <c r="Z412" s="160">
        <f>N412-Y412</f>
        <v/>
      </c>
      <c r="AA412" s="160">
        <f>U412*'NM Play'!$B$22</f>
        <v/>
      </c>
      <c r="AB412" s="160">
        <f>N412*SUM('NM Play'!$B$29:$B$31)</f>
        <v/>
      </c>
      <c r="AC412" s="160">
        <f>IF('Sites'!$C$8="Defy legs",P412*'NM Play'!$B$14/'NM Play'!$B$12*'NM Play'!$B$28,0)</f>
        <v/>
      </c>
      <c r="AD412" s="160">
        <f>Q412*'NM Play'!$B$23</f>
        <v/>
      </c>
      <c r="AE412" s="160">
        <f>S412*SUM('NM Play'!$B$26,'NM Play'!$B$33:$B$34)</f>
        <v/>
      </c>
      <c r="AF412" s="160">
        <f>IF('Sites'!$D$8="NM crew",S412*SUM('NM Play'!$B$24:$B$25),0)</f>
        <v/>
      </c>
      <c r="AG412" s="160">
        <f>IF('Sites'!$D$8="NM crew",S412*'NM Play'!$B$27,0)</f>
        <v/>
      </c>
      <c r="AH412" s="160">
        <f>N412*'Sites'!$Z$8*'NM Play'!$B$32</f>
        <v/>
      </c>
      <c r="AI412" s="160">
        <f>SUM(Y412:Z412)*'Sites'!$R$8</f>
        <v/>
      </c>
      <c r="AJ412" s="160">
        <f>SUM(AA412:AH412)</f>
        <v/>
      </c>
      <c r="AK412" s="160">
        <f>AJ412+(T412-U412)*'NM Play'!$B$22+MIN(G412,N412*'NM Play'!$B$11)/'NM Play'!$B$13*'NM Play'!$B$21*'NM Play'!$B$22+MIN(H412,N412*'NM Play'!$B$12)/'NM Play'!$B$14*IF('Sites'!$C$8="Own sheets",'NM Play'!$B$21*'NM Play'!$B$22,'NM Play'!$B$28*'NM Play'!$B$14/'NM Play'!$B$12)</f>
        <v/>
      </c>
      <c r="AL412" s="160">
        <f>Y412*'Assumptions'!N66</f>
        <v/>
      </c>
      <c r="AM412" s="160">
        <f>IF('Sites'!$D$8="NM crew",S412*'NM Play'!$B$37*(1+IF(AND(ISNUMBER('NM Play'!$B$25),'NM Play'!$B$25&gt;0),1,0)),"")</f>
        <v/>
      </c>
      <c r="AN412" s="160">
        <f>IF(OR('Sites'!$E$8&lt;0,'Sites'!$E$8&gt;1,'Sites'!$F$8&lt;1,'Sites'!$G$8&lt;'Sites'!$F$8,F412&lt;0,MIN('Sites'!$I$8:'Sites'!$R$8)&lt;0,'Sites'!$L$8&gt;'Sites'!$I$8,'Sites'!$M$8&gt;'Sites'!$J$8,'Sites'!$N$8&gt;'Sites'!$K$8,'Sites'!$Z$8&lt;0,'Sites'!$Z$8&gt;1,MIN('Sites'!$AA$8:'Sites'!$AC$8)&lt;0,S412&gt;F412+0.001),1,0)</f>
        <v/>
      </c>
      <c r="AO412" s="160">
        <f>I412+U412-T412-X412</f>
        <v/>
      </c>
    </row>
    <row r="413" ht="28" customHeight="1">
      <c r="A413" s="4" t="inlineStr">
        <is>
          <t>Delayed receipts</t>
        </is>
      </c>
      <c r="B413" s="4" t="inlineStr">
        <is>
          <t>NEW2</t>
        </is>
      </c>
      <c r="C413" s="160" t="n">
        <v>12</v>
      </c>
      <c r="D413" s="160">
        <f>ROUNDUP(C413/12,0)</f>
        <v/>
      </c>
      <c r="E413" s="160">
        <f>IF(AND('Sites'!$E$8*'Cases'!$F$9=1,C413&gt;='Sites'!$F$8+'Cases'!$G$9,C413&lt;='Sites'!$G$8),1,0)</f>
        <v/>
      </c>
      <c r="F413" s="160">
        <f>E413*'Assumptions'!O69</f>
        <v/>
      </c>
      <c r="G413" s="160">
        <f>V412</f>
        <v/>
      </c>
      <c r="H413" s="160">
        <f>W412</f>
        <v/>
      </c>
      <c r="I413" s="160">
        <f>X412</f>
        <v/>
      </c>
      <c r="J413" s="160">
        <f>MAX(0,'Sites'!$I$8-SUM(N402:N412))</f>
        <v/>
      </c>
      <c r="K413" s="160">
        <f>IF('Sites'!$C$8="Own sheets",MIN(ROUNDDOWN(G413/'NM Play'!$B$11,0)+F413*'NM Play'!$B$10/'NM Play'!$B$43,ROUNDDOWN(H413/'NM Play'!$B$12,0)+F413*'NM Play'!$B$10/'NM Play'!$B$44,(F413*'NM Play'!$B$10+ROUNDDOWN(G413/'NM Play'!$B$11,0)*'NM Play'!$B$43+ROUNDDOWN(H413/'NM Play'!$B$12,0)*'NM Play'!$B$44)/('NM Play'!$B$43+'NM Play'!$B$44)),ROUNDDOWN(G413/'NM Play'!$B$11,0)+F413*'NM Play'!$B$10/'NM Play'!$B$43)</f>
        <v/>
      </c>
      <c r="L413" s="160">
        <f>MIN(ROUNDDOWN(G413/'NM Play'!$B$11,0)+F413/('NM Play'!$B$43/'NM Play'!$B$15),ROUNDDOWN(H413/'NM Play'!$B$12,0)+F413/('NM Play'!$B$44/'NM Play'!$B$16),(F413+ROUNDDOWN(G413/'NM Play'!$B$11,0)*'NM Play'!$B$43/'NM Play'!$B$15+ROUNDDOWN(H413/'NM Play'!$B$12,0)*'NM Play'!$B$44/'NM Play'!$B$16)/('NM Play'!$B$43/'NM Play'!$B$15+'NM Play'!$B$44/'NM Play'!$B$16))</f>
        <v/>
      </c>
      <c r="M413" s="160">
        <f>F413*'NM Play'!$B$36</f>
        <v/>
      </c>
      <c r="N413" s="160">
        <f>ROUNDDOWN(MAX(0,MIN(J413,K413:M413)),0)</f>
        <v/>
      </c>
      <c r="O413" s="160">
        <f>ROUNDUP(MAX(0,N413*'NM Play'!$B$11-G413)/'NM Play'!$B$13,0)</f>
        <v/>
      </c>
      <c r="P413" s="160">
        <f>ROUNDUP(MAX(0,N413*'NM Play'!$B$12-H413)/'NM Play'!$B$14,0)</f>
        <v/>
      </c>
      <c r="Q413" s="160">
        <f>(O413+IF('Sites'!$C$8="Own sheets",P413,0))/'NM Play'!$B$10</f>
        <v/>
      </c>
      <c r="R413" s="160">
        <f>O413/'NM Play'!$B$15+P413/'NM Play'!$B$16</f>
        <v/>
      </c>
      <c r="S413" s="160">
        <f>MAX(Q413,R413,N413/'NM Play'!$B$36)</f>
        <v/>
      </c>
      <c r="T413" s="160">
        <f>Q413*'NM Play'!$B$10*'NM Play'!$B$21*(1+'NM Play'!$B$35)</f>
        <v/>
      </c>
      <c r="U413" s="160">
        <f>MAX(0,T413-I413)</f>
        <v/>
      </c>
      <c r="V413" s="160">
        <f>G413+O413*'NM Play'!$B$13-N413*'NM Play'!$B$11</f>
        <v/>
      </c>
      <c r="W413" s="160">
        <f>H413+P413*'NM Play'!$B$14-N413*'NM Play'!$B$12</f>
        <v/>
      </c>
      <c r="X413" s="160">
        <f>I413+U413-T413</f>
        <v/>
      </c>
      <c r="Y413" s="160">
        <f>MIN(N413,MAX(0,ROUNDDOWN('Sites'!$L$8*'Cases'!$E$9,0)-SUM(Y402:Y412)))</f>
        <v/>
      </c>
      <c r="Z413" s="160">
        <f>N413-Y413</f>
        <v/>
      </c>
      <c r="AA413" s="160">
        <f>U413*'NM Play'!$B$22</f>
        <v/>
      </c>
      <c r="AB413" s="160">
        <f>N413*SUM('NM Play'!$B$29:$B$31)</f>
        <v/>
      </c>
      <c r="AC413" s="160">
        <f>IF('Sites'!$C$8="Defy legs",P413*'NM Play'!$B$14/'NM Play'!$B$12*'NM Play'!$B$28,0)</f>
        <v/>
      </c>
      <c r="AD413" s="160">
        <f>Q413*'NM Play'!$B$23</f>
        <v/>
      </c>
      <c r="AE413" s="160">
        <f>S413*SUM('NM Play'!$B$26,'NM Play'!$B$33:$B$34)</f>
        <v/>
      </c>
      <c r="AF413" s="160">
        <f>IF('Sites'!$D$8="NM crew",S413*SUM('NM Play'!$B$24:$B$25),0)</f>
        <v/>
      </c>
      <c r="AG413" s="160">
        <f>IF('Sites'!$D$8="NM crew",S413*'NM Play'!$B$27,0)</f>
        <v/>
      </c>
      <c r="AH413" s="160">
        <f>N413*'Sites'!$Z$8*'NM Play'!$B$32</f>
        <v/>
      </c>
      <c r="AI413" s="160">
        <f>SUM(Y413:Z413)*'Sites'!$R$8</f>
        <v/>
      </c>
      <c r="AJ413" s="160">
        <f>SUM(AA413:AH413)</f>
        <v/>
      </c>
      <c r="AK413" s="160">
        <f>AJ413+(T413-U413)*'NM Play'!$B$22+MIN(G413,N413*'NM Play'!$B$11)/'NM Play'!$B$13*'NM Play'!$B$21*'NM Play'!$B$22+MIN(H413,N413*'NM Play'!$B$12)/'NM Play'!$B$14*IF('Sites'!$C$8="Own sheets",'NM Play'!$B$21*'NM Play'!$B$22,'NM Play'!$B$28*'NM Play'!$B$14/'NM Play'!$B$12)</f>
        <v/>
      </c>
      <c r="AL413" s="160">
        <f>Y413*'Assumptions'!O66</f>
        <v/>
      </c>
      <c r="AM413" s="160">
        <f>IF('Sites'!$D$8="NM crew",S413*'NM Play'!$B$37*(1+IF(AND(ISNUMBER('NM Play'!$B$25),'NM Play'!$B$25&gt;0),1,0)),"")</f>
        <v/>
      </c>
      <c r="AN413" s="160">
        <f>IF(OR('Sites'!$E$8&lt;0,'Sites'!$E$8&gt;1,'Sites'!$F$8&lt;1,'Sites'!$G$8&lt;'Sites'!$F$8,F413&lt;0,MIN('Sites'!$I$8:'Sites'!$R$8)&lt;0,'Sites'!$L$8&gt;'Sites'!$I$8,'Sites'!$M$8&gt;'Sites'!$J$8,'Sites'!$N$8&gt;'Sites'!$K$8,'Sites'!$Z$8&lt;0,'Sites'!$Z$8&gt;1,MIN('Sites'!$AA$8:'Sites'!$AC$8)&lt;0,S413&gt;F413+0.001),1,0)</f>
        <v/>
      </c>
      <c r="AO413" s="160">
        <f>I413+U413-T413-X413</f>
        <v/>
      </c>
    </row>
    <row r="414" ht="28" customHeight="1">
      <c r="A414" s="4" t="inlineStr">
        <is>
          <t>Delayed receipts</t>
        </is>
      </c>
      <c r="B414" s="4" t="inlineStr">
        <is>
          <t>NEW2</t>
        </is>
      </c>
      <c r="C414" s="160" t="n">
        <v>13</v>
      </c>
      <c r="D414" s="160">
        <f>ROUNDUP(C414/12,0)</f>
        <v/>
      </c>
      <c r="E414" s="160">
        <f>IF(AND('Sites'!$E$8*'Cases'!$F$9=1,C414&gt;='Sites'!$F$8+'Cases'!$G$9,C414&lt;='Sites'!$G$8),1,0)</f>
        <v/>
      </c>
      <c r="F414" s="160">
        <f>E414*'Assumptions'!P69</f>
        <v/>
      </c>
      <c r="G414" s="160">
        <f>V413</f>
        <v/>
      </c>
      <c r="H414" s="160">
        <f>W413</f>
        <v/>
      </c>
      <c r="I414" s="160">
        <f>X413</f>
        <v/>
      </c>
      <c r="J414" s="160">
        <f>MAX(0,'Sites'!$J$8-0)</f>
        <v/>
      </c>
      <c r="K414" s="160">
        <f>IF('Sites'!$C$8="Own sheets",MIN(ROUNDDOWN(G414/'NM Play'!$B$11,0)+F414*'NM Play'!$B$10/'NM Play'!$B$43,ROUNDDOWN(H414/'NM Play'!$B$12,0)+F414*'NM Play'!$B$10/'NM Play'!$B$44,(F414*'NM Play'!$B$10+ROUNDDOWN(G414/'NM Play'!$B$11,0)*'NM Play'!$B$43+ROUNDDOWN(H414/'NM Play'!$B$12,0)*'NM Play'!$B$44)/('NM Play'!$B$43+'NM Play'!$B$44)),ROUNDDOWN(G414/'NM Play'!$B$11,0)+F414*'NM Play'!$B$10/'NM Play'!$B$43)</f>
        <v/>
      </c>
      <c r="L414" s="160">
        <f>MIN(ROUNDDOWN(G414/'NM Play'!$B$11,0)+F414/('NM Play'!$B$43/'NM Play'!$B$15),ROUNDDOWN(H414/'NM Play'!$B$12,0)+F414/('NM Play'!$B$44/'NM Play'!$B$16),(F414+ROUNDDOWN(G414/'NM Play'!$B$11,0)*'NM Play'!$B$43/'NM Play'!$B$15+ROUNDDOWN(H414/'NM Play'!$B$12,0)*'NM Play'!$B$44/'NM Play'!$B$16)/('NM Play'!$B$43/'NM Play'!$B$15+'NM Play'!$B$44/'NM Play'!$B$16))</f>
        <v/>
      </c>
      <c r="M414" s="160">
        <f>F414*'NM Play'!$B$36</f>
        <v/>
      </c>
      <c r="N414" s="160">
        <f>ROUNDDOWN(MAX(0,MIN(J414,K414:M414)),0)</f>
        <v/>
      </c>
      <c r="O414" s="160">
        <f>ROUNDUP(MAX(0,N414*'NM Play'!$B$11-G414)/'NM Play'!$B$13,0)</f>
        <v/>
      </c>
      <c r="P414" s="160">
        <f>ROUNDUP(MAX(0,N414*'NM Play'!$B$12-H414)/'NM Play'!$B$14,0)</f>
        <v/>
      </c>
      <c r="Q414" s="160">
        <f>(O414+IF('Sites'!$C$8="Own sheets",P414,0))/'NM Play'!$B$10</f>
        <v/>
      </c>
      <c r="R414" s="160">
        <f>O414/'NM Play'!$B$15+P414/'NM Play'!$B$16</f>
        <v/>
      </c>
      <c r="S414" s="160">
        <f>MAX(Q414,R414,N414/'NM Play'!$B$36)</f>
        <v/>
      </c>
      <c r="T414" s="160">
        <f>Q414*'NM Play'!$B$10*'NM Play'!$B$21*(1+'NM Play'!$B$35)</f>
        <v/>
      </c>
      <c r="U414" s="160">
        <f>MAX(0,T414-I414)</f>
        <v/>
      </c>
      <c r="V414" s="160">
        <f>G414+O414*'NM Play'!$B$13-N414*'NM Play'!$B$11</f>
        <v/>
      </c>
      <c r="W414" s="160">
        <f>H414+P414*'NM Play'!$B$14-N414*'NM Play'!$B$12</f>
        <v/>
      </c>
      <c r="X414" s="160">
        <f>I414+U414-T414</f>
        <v/>
      </c>
      <c r="Y414" s="160">
        <f>MIN(N414,MAX(0,ROUNDDOWN('Sites'!$M$8*'Cases'!$E$9,0)-0))</f>
        <v/>
      </c>
      <c r="Z414" s="160">
        <f>N414-Y414</f>
        <v/>
      </c>
      <c r="AA414" s="160">
        <f>U414*'NM Play'!$B$22</f>
        <v/>
      </c>
      <c r="AB414" s="160">
        <f>N414*SUM('NM Play'!$B$29:$B$31)</f>
        <v/>
      </c>
      <c r="AC414" s="160">
        <f>IF('Sites'!$C$8="Defy legs",P414*'NM Play'!$B$14/'NM Play'!$B$12*'NM Play'!$B$28,0)</f>
        <v/>
      </c>
      <c r="AD414" s="160">
        <f>Q414*'NM Play'!$B$23</f>
        <v/>
      </c>
      <c r="AE414" s="160">
        <f>S414*SUM('NM Play'!$B$26,'NM Play'!$B$33:$B$34)</f>
        <v/>
      </c>
      <c r="AF414" s="160">
        <f>IF('Sites'!$D$8="NM crew",S414*SUM('NM Play'!$B$24:$B$25),0)</f>
        <v/>
      </c>
      <c r="AG414" s="160">
        <f>IF('Sites'!$D$8="NM crew",S414*'NM Play'!$B$27,0)</f>
        <v/>
      </c>
      <c r="AH414" s="160">
        <f>N414*'Sites'!$Z$8*'NM Play'!$B$32</f>
        <v/>
      </c>
      <c r="AI414" s="160">
        <f>SUM(Y414:Z414)*'Sites'!$R$8</f>
        <v/>
      </c>
      <c r="AJ414" s="160">
        <f>SUM(AA414:AH414)</f>
        <v/>
      </c>
      <c r="AK414" s="160">
        <f>AJ414+(T414-U414)*'NM Play'!$B$22+MIN(G414,N414*'NM Play'!$B$11)/'NM Play'!$B$13*'NM Play'!$B$21*'NM Play'!$B$22+MIN(H414,N414*'NM Play'!$B$12)/'NM Play'!$B$14*IF('Sites'!$C$8="Own sheets",'NM Play'!$B$21*'NM Play'!$B$22,'NM Play'!$B$28*'NM Play'!$B$14/'NM Play'!$B$12)</f>
        <v/>
      </c>
      <c r="AL414" s="160">
        <f>Y414*'Assumptions'!P66</f>
        <v/>
      </c>
      <c r="AM414" s="160">
        <f>IF('Sites'!$D$8="NM crew",S414*'NM Play'!$B$37*(1+IF(AND(ISNUMBER('NM Play'!$B$25),'NM Play'!$B$25&gt;0),1,0)),"")</f>
        <v/>
      </c>
      <c r="AN414" s="160">
        <f>IF(OR('Sites'!$E$8&lt;0,'Sites'!$E$8&gt;1,'Sites'!$F$8&lt;1,'Sites'!$G$8&lt;'Sites'!$F$8,F414&lt;0,MIN('Sites'!$I$8:'Sites'!$R$8)&lt;0,'Sites'!$L$8&gt;'Sites'!$I$8,'Sites'!$M$8&gt;'Sites'!$J$8,'Sites'!$N$8&gt;'Sites'!$K$8,'Sites'!$Z$8&lt;0,'Sites'!$Z$8&gt;1,MIN('Sites'!$AA$8:'Sites'!$AC$8)&lt;0,S414&gt;F414+0.001),1,0)</f>
        <v/>
      </c>
      <c r="AO414" s="160">
        <f>I414+U414-T414-X414</f>
        <v/>
      </c>
    </row>
    <row r="415" ht="28" customHeight="1">
      <c r="A415" s="4" t="inlineStr">
        <is>
          <t>Delayed receipts</t>
        </is>
      </c>
      <c r="B415" s="4" t="inlineStr">
        <is>
          <t>NEW2</t>
        </is>
      </c>
      <c r="C415" s="160" t="n">
        <v>14</v>
      </c>
      <c r="D415" s="160">
        <f>ROUNDUP(C415/12,0)</f>
        <v/>
      </c>
      <c r="E415" s="160">
        <f>IF(AND('Sites'!$E$8*'Cases'!$F$9=1,C415&gt;='Sites'!$F$8+'Cases'!$G$9,C415&lt;='Sites'!$G$8),1,0)</f>
        <v/>
      </c>
      <c r="F415" s="160">
        <f>E415*'Assumptions'!Q69</f>
        <v/>
      </c>
      <c r="G415" s="160">
        <f>V414</f>
        <v/>
      </c>
      <c r="H415" s="160">
        <f>W414</f>
        <v/>
      </c>
      <c r="I415" s="160">
        <f>X414</f>
        <v/>
      </c>
      <c r="J415" s="160">
        <f>MAX(0,'Sites'!$J$8-SUM(N414:N414))</f>
        <v/>
      </c>
      <c r="K415" s="160">
        <f>IF('Sites'!$C$8="Own sheets",MIN(ROUNDDOWN(G415/'NM Play'!$B$11,0)+F415*'NM Play'!$B$10/'NM Play'!$B$43,ROUNDDOWN(H415/'NM Play'!$B$12,0)+F415*'NM Play'!$B$10/'NM Play'!$B$44,(F415*'NM Play'!$B$10+ROUNDDOWN(G415/'NM Play'!$B$11,0)*'NM Play'!$B$43+ROUNDDOWN(H415/'NM Play'!$B$12,0)*'NM Play'!$B$44)/('NM Play'!$B$43+'NM Play'!$B$44)),ROUNDDOWN(G415/'NM Play'!$B$11,0)+F415*'NM Play'!$B$10/'NM Play'!$B$43)</f>
        <v/>
      </c>
      <c r="L415" s="160">
        <f>MIN(ROUNDDOWN(G415/'NM Play'!$B$11,0)+F415/('NM Play'!$B$43/'NM Play'!$B$15),ROUNDDOWN(H415/'NM Play'!$B$12,0)+F415/('NM Play'!$B$44/'NM Play'!$B$16),(F415+ROUNDDOWN(G415/'NM Play'!$B$11,0)*'NM Play'!$B$43/'NM Play'!$B$15+ROUNDDOWN(H415/'NM Play'!$B$12,0)*'NM Play'!$B$44/'NM Play'!$B$16)/('NM Play'!$B$43/'NM Play'!$B$15+'NM Play'!$B$44/'NM Play'!$B$16))</f>
        <v/>
      </c>
      <c r="M415" s="160">
        <f>F415*'NM Play'!$B$36</f>
        <v/>
      </c>
      <c r="N415" s="160">
        <f>ROUNDDOWN(MAX(0,MIN(J415,K415:M415)),0)</f>
        <v/>
      </c>
      <c r="O415" s="160">
        <f>ROUNDUP(MAX(0,N415*'NM Play'!$B$11-G415)/'NM Play'!$B$13,0)</f>
        <v/>
      </c>
      <c r="P415" s="160">
        <f>ROUNDUP(MAX(0,N415*'NM Play'!$B$12-H415)/'NM Play'!$B$14,0)</f>
        <v/>
      </c>
      <c r="Q415" s="160">
        <f>(O415+IF('Sites'!$C$8="Own sheets",P415,0))/'NM Play'!$B$10</f>
        <v/>
      </c>
      <c r="R415" s="160">
        <f>O415/'NM Play'!$B$15+P415/'NM Play'!$B$16</f>
        <v/>
      </c>
      <c r="S415" s="160">
        <f>MAX(Q415,R415,N415/'NM Play'!$B$36)</f>
        <v/>
      </c>
      <c r="T415" s="160">
        <f>Q415*'NM Play'!$B$10*'NM Play'!$B$21*(1+'NM Play'!$B$35)</f>
        <v/>
      </c>
      <c r="U415" s="160">
        <f>MAX(0,T415-I415)</f>
        <v/>
      </c>
      <c r="V415" s="160">
        <f>G415+O415*'NM Play'!$B$13-N415*'NM Play'!$B$11</f>
        <v/>
      </c>
      <c r="W415" s="160">
        <f>H415+P415*'NM Play'!$B$14-N415*'NM Play'!$B$12</f>
        <v/>
      </c>
      <c r="X415" s="160">
        <f>I415+U415-T415</f>
        <v/>
      </c>
      <c r="Y415" s="160">
        <f>MIN(N415,MAX(0,ROUNDDOWN('Sites'!$M$8*'Cases'!$E$9,0)-SUM(Y414:Y414)))</f>
        <v/>
      </c>
      <c r="Z415" s="160">
        <f>N415-Y415</f>
        <v/>
      </c>
      <c r="AA415" s="160">
        <f>U415*'NM Play'!$B$22</f>
        <v/>
      </c>
      <c r="AB415" s="160">
        <f>N415*SUM('NM Play'!$B$29:$B$31)</f>
        <v/>
      </c>
      <c r="AC415" s="160">
        <f>IF('Sites'!$C$8="Defy legs",P415*'NM Play'!$B$14/'NM Play'!$B$12*'NM Play'!$B$28,0)</f>
        <v/>
      </c>
      <c r="AD415" s="160">
        <f>Q415*'NM Play'!$B$23</f>
        <v/>
      </c>
      <c r="AE415" s="160">
        <f>S415*SUM('NM Play'!$B$26,'NM Play'!$B$33:$B$34)</f>
        <v/>
      </c>
      <c r="AF415" s="160">
        <f>IF('Sites'!$D$8="NM crew",S415*SUM('NM Play'!$B$24:$B$25),0)</f>
        <v/>
      </c>
      <c r="AG415" s="160">
        <f>IF('Sites'!$D$8="NM crew",S415*'NM Play'!$B$27,0)</f>
        <v/>
      </c>
      <c r="AH415" s="160">
        <f>N415*'Sites'!$Z$8*'NM Play'!$B$32</f>
        <v/>
      </c>
      <c r="AI415" s="160">
        <f>SUM(Y415:Z415)*'Sites'!$R$8</f>
        <v/>
      </c>
      <c r="AJ415" s="160">
        <f>SUM(AA415:AH415)</f>
        <v/>
      </c>
      <c r="AK415" s="160">
        <f>AJ415+(T415-U415)*'NM Play'!$B$22+MIN(G415,N415*'NM Play'!$B$11)/'NM Play'!$B$13*'NM Play'!$B$21*'NM Play'!$B$22+MIN(H415,N415*'NM Play'!$B$12)/'NM Play'!$B$14*IF('Sites'!$C$8="Own sheets",'NM Play'!$B$21*'NM Play'!$B$22,'NM Play'!$B$28*'NM Play'!$B$14/'NM Play'!$B$12)</f>
        <v/>
      </c>
      <c r="AL415" s="160">
        <f>Y415*'Assumptions'!Q66</f>
        <v/>
      </c>
      <c r="AM415" s="160">
        <f>IF('Sites'!$D$8="NM crew",S415*'NM Play'!$B$37*(1+IF(AND(ISNUMBER('NM Play'!$B$25),'NM Play'!$B$25&gt;0),1,0)),"")</f>
        <v/>
      </c>
      <c r="AN415" s="160">
        <f>IF(OR('Sites'!$E$8&lt;0,'Sites'!$E$8&gt;1,'Sites'!$F$8&lt;1,'Sites'!$G$8&lt;'Sites'!$F$8,F415&lt;0,MIN('Sites'!$I$8:'Sites'!$R$8)&lt;0,'Sites'!$L$8&gt;'Sites'!$I$8,'Sites'!$M$8&gt;'Sites'!$J$8,'Sites'!$N$8&gt;'Sites'!$K$8,'Sites'!$Z$8&lt;0,'Sites'!$Z$8&gt;1,MIN('Sites'!$AA$8:'Sites'!$AC$8)&lt;0,S415&gt;F415+0.001),1,0)</f>
        <v/>
      </c>
      <c r="AO415" s="160">
        <f>I415+U415-T415-X415</f>
        <v/>
      </c>
    </row>
    <row r="416" ht="28" customHeight="1">
      <c r="A416" s="4" t="inlineStr">
        <is>
          <t>Delayed receipts</t>
        </is>
      </c>
      <c r="B416" s="4" t="inlineStr">
        <is>
          <t>NEW2</t>
        </is>
      </c>
      <c r="C416" s="160" t="n">
        <v>15</v>
      </c>
      <c r="D416" s="160">
        <f>ROUNDUP(C416/12,0)</f>
        <v/>
      </c>
      <c r="E416" s="160">
        <f>IF(AND('Sites'!$E$8*'Cases'!$F$9=1,C416&gt;='Sites'!$F$8+'Cases'!$G$9,C416&lt;='Sites'!$G$8),1,0)</f>
        <v/>
      </c>
      <c r="F416" s="160">
        <f>E416*'Assumptions'!R69</f>
        <v/>
      </c>
      <c r="G416" s="160">
        <f>V415</f>
        <v/>
      </c>
      <c r="H416" s="160">
        <f>W415</f>
        <v/>
      </c>
      <c r="I416" s="160">
        <f>X415</f>
        <v/>
      </c>
      <c r="J416" s="160">
        <f>MAX(0,'Sites'!$J$8-SUM(N414:N415))</f>
        <v/>
      </c>
      <c r="K416" s="160">
        <f>IF('Sites'!$C$8="Own sheets",MIN(ROUNDDOWN(G416/'NM Play'!$B$11,0)+F416*'NM Play'!$B$10/'NM Play'!$B$43,ROUNDDOWN(H416/'NM Play'!$B$12,0)+F416*'NM Play'!$B$10/'NM Play'!$B$44,(F416*'NM Play'!$B$10+ROUNDDOWN(G416/'NM Play'!$B$11,0)*'NM Play'!$B$43+ROUNDDOWN(H416/'NM Play'!$B$12,0)*'NM Play'!$B$44)/('NM Play'!$B$43+'NM Play'!$B$44)),ROUNDDOWN(G416/'NM Play'!$B$11,0)+F416*'NM Play'!$B$10/'NM Play'!$B$43)</f>
        <v/>
      </c>
      <c r="L416" s="160">
        <f>MIN(ROUNDDOWN(G416/'NM Play'!$B$11,0)+F416/('NM Play'!$B$43/'NM Play'!$B$15),ROUNDDOWN(H416/'NM Play'!$B$12,0)+F416/('NM Play'!$B$44/'NM Play'!$B$16),(F416+ROUNDDOWN(G416/'NM Play'!$B$11,0)*'NM Play'!$B$43/'NM Play'!$B$15+ROUNDDOWN(H416/'NM Play'!$B$12,0)*'NM Play'!$B$44/'NM Play'!$B$16)/('NM Play'!$B$43/'NM Play'!$B$15+'NM Play'!$B$44/'NM Play'!$B$16))</f>
        <v/>
      </c>
      <c r="M416" s="160">
        <f>F416*'NM Play'!$B$36</f>
        <v/>
      </c>
      <c r="N416" s="160">
        <f>ROUNDDOWN(MAX(0,MIN(J416,K416:M416)),0)</f>
        <v/>
      </c>
      <c r="O416" s="160">
        <f>ROUNDUP(MAX(0,N416*'NM Play'!$B$11-G416)/'NM Play'!$B$13,0)</f>
        <v/>
      </c>
      <c r="P416" s="160">
        <f>ROUNDUP(MAX(0,N416*'NM Play'!$B$12-H416)/'NM Play'!$B$14,0)</f>
        <v/>
      </c>
      <c r="Q416" s="160">
        <f>(O416+IF('Sites'!$C$8="Own sheets",P416,0))/'NM Play'!$B$10</f>
        <v/>
      </c>
      <c r="R416" s="160">
        <f>O416/'NM Play'!$B$15+P416/'NM Play'!$B$16</f>
        <v/>
      </c>
      <c r="S416" s="160">
        <f>MAX(Q416,R416,N416/'NM Play'!$B$36)</f>
        <v/>
      </c>
      <c r="T416" s="160">
        <f>Q416*'NM Play'!$B$10*'NM Play'!$B$21*(1+'NM Play'!$B$35)</f>
        <v/>
      </c>
      <c r="U416" s="160">
        <f>MAX(0,T416-I416)</f>
        <v/>
      </c>
      <c r="V416" s="160">
        <f>G416+O416*'NM Play'!$B$13-N416*'NM Play'!$B$11</f>
        <v/>
      </c>
      <c r="W416" s="160">
        <f>H416+P416*'NM Play'!$B$14-N416*'NM Play'!$B$12</f>
        <v/>
      </c>
      <c r="X416" s="160">
        <f>I416+U416-T416</f>
        <v/>
      </c>
      <c r="Y416" s="160">
        <f>MIN(N416,MAX(0,ROUNDDOWN('Sites'!$M$8*'Cases'!$E$9,0)-SUM(Y414:Y415)))</f>
        <v/>
      </c>
      <c r="Z416" s="160">
        <f>N416-Y416</f>
        <v/>
      </c>
      <c r="AA416" s="160">
        <f>U416*'NM Play'!$B$22</f>
        <v/>
      </c>
      <c r="AB416" s="160">
        <f>N416*SUM('NM Play'!$B$29:$B$31)</f>
        <v/>
      </c>
      <c r="AC416" s="160">
        <f>IF('Sites'!$C$8="Defy legs",P416*'NM Play'!$B$14/'NM Play'!$B$12*'NM Play'!$B$28,0)</f>
        <v/>
      </c>
      <c r="AD416" s="160">
        <f>Q416*'NM Play'!$B$23</f>
        <v/>
      </c>
      <c r="AE416" s="160">
        <f>S416*SUM('NM Play'!$B$26,'NM Play'!$B$33:$B$34)</f>
        <v/>
      </c>
      <c r="AF416" s="160">
        <f>IF('Sites'!$D$8="NM crew",S416*SUM('NM Play'!$B$24:$B$25),0)</f>
        <v/>
      </c>
      <c r="AG416" s="160">
        <f>IF('Sites'!$D$8="NM crew",S416*'NM Play'!$B$27,0)</f>
        <v/>
      </c>
      <c r="AH416" s="160">
        <f>N416*'Sites'!$Z$8*'NM Play'!$B$32</f>
        <v/>
      </c>
      <c r="AI416" s="160">
        <f>SUM(Y416:Z416)*'Sites'!$R$8</f>
        <v/>
      </c>
      <c r="AJ416" s="160">
        <f>SUM(AA416:AH416)</f>
        <v/>
      </c>
      <c r="AK416" s="160">
        <f>AJ416+(T416-U416)*'NM Play'!$B$22+MIN(G416,N416*'NM Play'!$B$11)/'NM Play'!$B$13*'NM Play'!$B$21*'NM Play'!$B$22+MIN(H416,N416*'NM Play'!$B$12)/'NM Play'!$B$14*IF('Sites'!$C$8="Own sheets",'NM Play'!$B$21*'NM Play'!$B$22,'NM Play'!$B$28*'NM Play'!$B$14/'NM Play'!$B$12)</f>
        <v/>
      </c>
      <c r="AL416" s="160">
        <f>Y416*'Assumptions'!R66</f>
        <v/>
      </c>
      <c r="AM416" s="160">
        <f>IF('Sites'!$D$8="NM crew",S416*'NM Play'!$B$37*(1+IF(AND(ISNUMBER('NM Play'!$B$25),'NM Play'!$B$25&gt;0),1,0)),"")</f>
        <v/>
      </c>
      <c r="AN416" s="160">
        <f>IF(OR('Sites'!$E$8&lt;0,'Sites'!$E$8&gt;1,'Sites'!$F$8&lt;1,'Sites'!$G$8&lt;'Sites'!$F$8,F416&lt;0,MIN('Sites'!$I$8:'Sites'!$R$8)&lt;0,'Sites'!$L$8&gt;'Sites'!$I$8,'Sites'!$M$8&gt;'Sites'!$J$8,'Sites'!$N$8&gt;'Sites'!$K$8,'Sites'!$Z$8&lt;0,'Sites'!$Z$8&gt;1,MIN('Sites'!$AA$8:'Sites'!$AC$8)&lt;0,S416&gt;F416+0.001),1,0)</f>
        <v/>
      </c>
      <c r="AO416" s="160">
        <f>I416+U416-T416-X416</f>
        <v/>
      </c>
    </row>
    <row r="417" ht="28" customHeight="1">
      <c r="A417" s="4" t="inlineStr">
        <is>
          <t>Delayed receipts</t>
        </is>
      </c>
      <c r="B417" s="4" t="inlineStr">
        <is>
          <t>NEW2</t>
        </is>
      </c>
      <c r="C417" s="160" t="n">
        <v>16</v>
      </c>
      <c r="D417" s="160">
        <f>ROUNDUP(C417/12,0)</f>
        <v/>
      </c>
      <c r="E417" s="160">
        <f>IF(AND('Sites'!$E$8*'Cases'!$F$9=1,C417&gt;='Sites'!$F$8+'Cases'!$G$9,C417&lt;='Sites'!$G$8),1,0)</f>
        <v/>
      </c>
      <c r="F417" s="160">
        <f>E417*'Assumptions'!S69</f>
        <v/>
      </c>
      <c r="G417" s="160">
        <f>V416</f>
        <v/>
      </c>
      <c r="H417" s="160">
        <f>W416</f>
        <v/>
      </c>
      <c r="I417" s="160">
        <f>X416</f>
        <v/>
      </c>
      <c r="J417" s="160">
        <f>MAX(0,'Sites'!$J$8-SUM(N414:N416))</f>
        <v/>
      </c>
      <c r="K417" s="160">
        <f>IF('Sites'!$C$8="Own sheets",MIN(ROUNDDOWN(G417/'NM Play'!$B$11,0)+F417*'NM Play'!$B$10/'NM Play'!$B$43,ROUNDDOWN(H417/'NM Play'!$B$12,0)+F417*'NM Play'!$B$10/'NM Play'!$B$44,(F417*'NM Play'!$B$10+ROUNDDOWN(G417/'NM Play'!$B$11,0)*'NM Play'!$B$43+ROUNDDOWN(H417/'NM Play'!$B$12,0)*'NM Play'!$B$44)/('NM Play'!$B$43+'NM Play'!$B$44)),ROUNDDOWN(G417/'NM Play'!$B$11,0)+F417*'NM Play'!$B$10/'NM Play'!$B$43)</f>
        <v/>
      </c>
      <c r="L417" s="160">
        <f>MIN(ROUNDDOWN(G417/'NM Play'!$B$11,0)+F417/('NM Play'!$B$43/'NM Play'!$B$15),ROUNDDOWN(H417/'NM Play'!$B$12,0)+F417/('NM Play'!$B$44/'NM Play'!$B$16),(F417+ROUNDDOWN(G417/'NM Play'!$B$11,0)*'NM Play'!$B$43/'NM Play'!$B$15+ROUNDDOWN(H417/'NM Play'!$B$12,0)*'NM Play'!$B$44/'NM Play'!$B$16)/('NM Play'!$B$43/'NM Play'!$B$15+'NM Play'!$B$44/'NM Play'!$B$16))</f>
        <v/>
      </c>
      <c r="M417" s="160">
        <f>F417*'NM Play'!$B$36</f>
        <v/>
      </c>
      <c r="N417" s="160">
        <f>ROUNDDOWN(MAX(0,MIN(J417,K417:M417)),0)</f>
        <v/>
      </c>
      <c r="O417" s="160">
        <f>ROUNDUP(MAX(0,N417*'NM Play'!$B$11-G417)/'NM Play'!$B$13,0)</f>
        <v/>
      </c>
      <c r="P417" s="160">
        <f>ROUNDUP(MAX(0,N417*'NM Play'!$B$12-H417)/'NM Play'!$B$14,0)</f>
        <v/>
      </c>
      <c r="Q417" s="160">
        <f>(O417+IF('Sites'!$C$8="Own sheets",P417,0))/'NM Play'!$B$10</f>
        <v/>
      </c>
      <c r="R417" s="160">
        <f>O417/'NM Play'!$B$15+P417/'NM Play'!$B$16</f>
        <v/>
      </c>
      <c r="S417" s="160">
        <f>MAX(Q417,R417,N417/'NM Play'!$B$36)</f>
        <v/>
      </c>
      <c r="T417" s="160">
        <f>Q417*'NM Play'!$B$10*'NM Play'!$B$21*(1+'NM Play'!$B$35)</f>
        <v/>
      </c>
      <c r="U417" s="160">
        <f>MAX(0,T417-I417)</f>
        <v/>
      </c>
      <c r="V417" s="160">
        <f>G417+O417*'NM Play'!$B$13-N417*'NM Play'!$B$11</f>
        <v/>
      </c>
      <c r="W417" s="160">
        <f>H417+P417*'NM Play'!$B$14-N417*'NM Play'!$B$12</f>
        <v/>
      </c>
      <c r="X417" s="160">
        <f>I417+U417-T417</f>
        <v/>
      </c>
      <c r="Y417" s="160">
        <f>MIN(N417,MAX(0,ROUNDDOWN('Sites'!$M$8*'Cases'!$E$9,0)-SUM(Y414:Y416)))</f>
        <v/>
      </c>
      <c r="Z417" s="160">
        <f>N417-Y417</f>
        <v/>
      </c>
      <c r="AA417" s="160">
        <f>U417*'NM Play'!$B$22</f>
        <v/>
      </c>
      <c r="AB417" s="160">
        <f>N417*SUM('NM Play'!$B$29:$B$31)</f>
        <v/>
      </c>
      <c r="AC417" s="160">
        <f>IF('Sites'!$C$8="Defy legs",P417*'NM Play'!$B$14/'NM Play'!$B$12*'NM Play'!$B$28,0)</f>
        <v/>
      </c>
      <c r="AD417" s="160">
        <f>Q417*'NM Play'!$B$23</f>
        <v/>
      </c>
      <c r="AE417" s="160">
        <f>S417*SUM('NM Play'!$B$26,'NM Play'!$B$33:$B$34)</f>
        <v/>
      </c>
      <c r="AF417" s="160">
        <f>IF('Sites'!$D$8="NM crew",S417*SUM('NM Play'!$B$24:$B$25),0)</f>
        <v/>
      </c>
      <c r="AG417" s="160">
        <f>IF('Sites'!$D$8="NM crew",S417*'NM Play'!$B$27,0)</f>
        <v/>
      </c>
      <c r="AH417" s="160">
        <f>N417*'Sites'!$Z$8*'NM Play'!$B$32</f>
        <v/>
      </c>
      <c r="AI417" s="160">
        <f>SUM(Y417:Z417)*'Sites'!$R$8</f>
        <v/>
      </c>
      <c r="AJ417" s="160">
        <f>SUM(AA417:AH417)</f>
        <v/>
      </c>
      <c r="AK417" s="160">
        <f>AJ417+(T417-U417)*'NM Play'!$B$22+MIN(G417,N417*'NM Play'!$B$11)/'NM Play'!$B$13*'NM Play'!$B$21*'NM Play'!$B$22+MIN(H417,N417*'NM Play'!$B$12)/'NM Play'!$B$14*IF('Sites'!$C$8="Own sheets",'NM Play'!$B$21*'NM Play'!$B$22,'NM Play'!$B$28*'NM Play'!$B$14/'NM Play'!$B$12)</f>
        <v/>
      </c>
      <c r="AL417" s="160">
        <f>Y417*'Assumptions'!S66</f>
        <v/>
      </c>
      <c r="AM417" s="160">
        <f>IF('Sites'!$D$8="NM crew",S417*'NM Play'!$B$37*(1+IF(AND(ISNUMBER('NM Play'!$B$25),'NM Play'!$B$25&gt;0),1,0)),"")</f>
        <v/>
      </c>
      <c r="AN417" s="160">
        <f>IF(OR('Sites'!$E$8&lt;0,'Sites'!$E$8&gt;1,'Sites'!$F$8&lt;1,'Sites'!$G$8&lt;'Sites'!$F$8,F417&lt;0,MIN('Sites'!$I$8:'Sites'!$R$8)&lt;0,'Sites'!$L$8&gt;'Sites'!$I$8,'Sites'!$M$8&gt;'Sites'!$J$8,'Sites'!$N$8&gt;'Sites'!$K$8,'Sites'!$Z$8&lt;0,'Sites'!$Z$8&gt;1,MIN('Sites'!$AA$8:'Sites'!$AC$8)&lt;0,S417&gt;F417+0.001),1,0)</f>
        <v/>
      </c>
      <c r="AO417" s="160">
        <f>I417+U417-T417-X417</f>
        <v/>
      </c>
    </row>
    <row r="418" ht="28" customHeight="1">
      <c r="A418" s="4" t="inlineStr">
        <is>
          <t>Delayed receipts</t>
        </is>
      </c>
      <c r="B418" s="4" t="inlineStr">
        <is>
          <t>NEW2</t>
        </is>
      </c>
      <c r="C418" s="160" t="n">
        <v>17</v>
      </c>
      <c r="D418" s="160">
        <f>ROUNDUP(C418/12,0)</f>
        <v/>
      </c>
      <c r="E418" s="160">
        <f>IF(AND('Sites'!$E$8*'Cases'!$F$9=1,C418&gt;='Sites'!$F$8+'Cases'!$G$9,C418&lt;='Sites'!$G$8),1,0)</f>
        <v/>
      </c>
      <c r="F418" s="160">
        <f>E418*'Assumptions'!T69</f>
        <v/>
      </c>
      <c r="G418" s="160">
        <f>V417</f>
        <v/>
      </c>
      <c r="H418" s="160">
        <f>W417</f>
        <v/>
      </c>
      <c r="I418" s="160">
        <f>X417</f>
        <v/>
      </c>
      <c r="J418" s="160">
        <f>MAX(0,'Sites'!$J$8-SUM(N414:N417))</f>
        <v/>
      </c>
      <c r="K418" s="160">
        <f>IF('Sites'!$C$8="Own sheets",MIN(ROUNDDOWN(G418/'NM Play'!$B$11,0)+F418*'NM Play'!$B$10/'NM Play'!$B$43,ROUNDDOWN(H418/'NM Play'!$B$12,0)+F418*'NM Play'!$B$10/'NM Play'!$B$44,(F418*'NM Play'!$B$10+ROUNDDOWN(G418/'NM Play'!$B$11,0)*'NM Play'!$B$43+ROUNDDOWN(H418/'NM Play'!$B$12,0)*'NM Play'!$B$44)/('NM Play'!$B$43+'NM Play'!$B$44)),ROUNDDOWN(G418/'NM Play'!$B$11,0)+F418*'NM Play'!$B$10/'NM Play'!$B$43)</f>
        <v/>
      </c>
      <c r="L418" s="160">
        <f>MIN(ROUNDDOWN(G418/'NM Play'!$B$11,0)+F418/('NM Play'!$B$43/'NM Play'!$B$15),ROUNDDOWN(H418/'NM Play'!$B$12,0)+F418/('NM Play'!$B$44/'NM Play'!$B$16),(F418+ROUNDDOWN(G418/'NM Play'!$B$11,0)*'NM Play'!$B$43/'NM Play'!$B$15+ROUNDDOWN(H418/'NM Play'!$B$12,0)*'NM Play'!$B$44/'NM Play'!$B$16)/('NM Play'!$B$43/'NM Play'!$B$15+'NM Play'!$B$44/'NM Play'!$B$16))</f>
        <v/>
      </c>
      <c r="M418" s="160">
        <f>F418*'NM Play'!$B$36</f>
        <v/>
      </c>
      <c r="N418" s="160">
        <f>ROUNDDOWN(MAX(0,MIN(J418,K418:M418)),0)</f>
        <v/>
      </c>
      <c r="O418" s="160">
        <f>ROUNDUP(MAX(0,N418*'NM Play'!$B$11-G418)/'NM Play'!$B$13,0)</f>
        <v/>
      </c>
      <c r="P418" s="160">
        <f>ROUNDUP(MAX(0,N418*'NM Play'!$B$12-H418)/'NM Play'!$B$14,0)</f>
        <v/>
      </c>
      <c r="Q418" s="160">
        <f>(O418+IF('Sites'!$C$8="Own sheets",P418,0))/'NM Play'!$B$10</f>
        <v/>
      </c>
      <c r="R418" s="160">
        <f>O418/'NM Play'!$B$15+P418/'NM Play'!$B$16</f>
        <v/>
      </c>
      <c r="S418" s="160">
        <f>MAX(Q418,R418,N418/'NM Play'!$B$36)</f>
        <v/>
      </c>
      <c r="T418" s="160">
        <f>Q418*'NM Play'!$B$10*'NM Play'!$B$21*(1+'NM Play'!$B$35)</f>
        <v/>
      </c>
      <c r="U418" s="160">
        <f>MAX(0,T418-I418)</f>
        <v/>
      </c>
      <c r="V418" s="160">
        <f>G418+O418*'NM Play'!$B$13-N418*'NM Play'!$B$11</f>
        <v/>
      </c>
      <c r="W418" s="160">
        <f>H418+P418*'NM Play'!$B$14-N418*'NM Play'!$B$12</f>
        <v/>
      </c>
      <c r="X418" s="160">
        <f>I418+U418-T418</f>
        <v/>
      </c>
      <c r="Y418" s="160">
        <f>MIN(N418,MAX(0,ROUNDDOWN('Sites'!$M$8*'Cases'!$E$9,0)-SUM(Y414:Y417)))</f>
        <v/>
      </c>
      <c r="Z418" s="160">
        <f>N418-Y418</f>
        <v/>
      </c>
      <c r="AA418" s="160">
        <f>U418*'NM Play'!$B$22</f>
        <v/>
      </c>
      <c r="AB418" s="160">
        <f>N418*SUM('NM Play'!$B$29:$B$31)</f>
        <v/>
      </c>
      <c r="AC418" s="160">
        <f>IF('Sites'!$C$8="Defy legs",P418*'NM Play'!$B$14/'NM Play'!$B$12*'NM Play'!$B$28,0)</f>
        <v/>
      </c>
      <c r="AD418" s="160">
        <f>Q418*'NM Play'!$B$23</f>
        <v/>
      </c>
      <c r="AE418" s="160">
        <f>S418*SUM('NM Play'!$B$26,'NM Play'!$B$33:$B$34)</f>
        <v/>
      </c>
      <c r="AF418" s="160">
        <f>IF('Sites'!$D$8="NM crew",S418*SUM('NM Play'!$B$24:$B$25),0)</f>
        <v/>
      </c>
      <c r="AG418" s="160">
        <f>IF('Sites'!$D$8="NM crew",S418*'NM Play'!$B$27,0)</f>
        <v/>
      </c>
      <c r="AH418" s="160">
        <f>N418*'Sites'!$Z$8*'NM Play'!$B$32</f>
        <v/>
      </c>
      <c r="AI418" s="160">
        <f>SUM(Y418:Z418)*'Sites'!$R$8</f>
        <v/>
      </c>
      <c r="AJ418" s="160">
        <f>SUM(AA418:AH418)</f>
        <v/>
      </c>
      <c r="AK418" s="160">
        <f>AJ418+(T418-U418)*'NM Play'!$B$22+MIN(G418,N418*'NM Play'!$B$11)/'NM Play'!$B$13*'NM Play'!$B$21*'NM Play'!$B$22+MIN(H418,N418*'NM Play'!$B$12)/'NM Play'!$B$14*IF('Sites'!$C$8="Own sheets",'NM Play'!$B$21*'NM Play'!$B$22,'NM Play'!$B$28*'NM Play'!$B$14/'NM Play'!$B$12)</f>
        <v/>
      </c>
      <c r="AL418" s="160">
        <f>Y418*'Assumptions'!T66</f>
        <v/>
      </c>
      <c r="AM418" s="160">
        <f>IF('Sites'!$D$8="NM crew",S418*'NM Play'!$B$37*(1+IF(AND(ISNUMBER('NM Play'!$B$25),'NM Play'!$B$25&gt;0),1,0)),"")</f>
        <v/>
      </c>
      <c r="AN418" s="160">
        <f>IF(OR('Sites'!$E$8&lt;0,'Sites'!$E$8&gt;1,'Sites'!$F$8&lt;1,'Sites'!$G$8&lt;'Sites'!$F$8,F418&lt;0,MIN('Sites'!$I$8:'Sites'!$R$8)&lt;0,'Sites'!$L$8&gt;'Sites'!$I$8,'Sites'!$M$8&gt;'Sites'!$J$8,'Sites'!$N$8&gt;'Sites'!$K$8,'Sites'!$Z$8&lt;0,'Sites'!$Z$8&gt;1,MIN('Sites'!$AA$8:'Sites'!$AC$8)&lt;0,S418&gt;F418+0.001),1,0)</f>
        <v/>
      </c>
      <c r="AO418" s="160">
        <f>I418+U418-T418-X418</f>
        <v/>
      </c>
    </row>
    <row r="419" ht="28" customHeight="1">
      <c r="A419" s="4" t="inlineStr">
        <is>
          <t>Delayed receipts</t>
        </is>
      </c>
      <c r="B419" s="4" t="inlineStr">
        <is>
          <t>NEW2</t>
        </is>
      </c>
      <c r="C419" s="160" t="n">
        <v>18</v>
      </c>
      <c r="D419" s="160">
        <f>ROUNDUP(C419/12,0)</f>
        <v/>
      </c>
      <c r="E419" s="160">
        <f>IF(AND('Sites'!$E$8*'Cases'!$F$9=1,C419&gt;='Sites'!$F$8+'Cases'!$G$9,C419&lt;='Sites'!$G$8),1,0)</f>
        <v/>
      </c>
      <c r="F419" s="160">
        <f>E419*'Assumptions'!U69</f>
        <v/>
      </c>
      <c r="G419" s="160">
        <f>V418</f>
        <v/>
      </c>
      <c r="H419" s="160">
        <f>W418</f>
        <v/>
      </c>
      <c r="I419" s="160">
        <f>X418</f>
        <v/>
      </c>
      <c r="J419" s="160">
        <f>MAX(0,'Sites'!$J$8-SUM(N414:N418))</f>
        <v/>
      </c>
      <c r="K419" s="160">
        <f>IF('Sites'!$C$8="Own sheets",MIN(ROUNDDOWN(G419/'NM Play'!$B$11,0)+F419*'NM Play'!$B$10/'NM Play'!$B$43,ROUNDDOWN(H419/'NM Play'!$B$12,0)+F419*'NM Play'!$B$10/'NM Play'!$B$44,(F419*'NM Play'!$B$10+ROUNDDOWN(G419/'NM Play'!$B$11,0)*'NM Play'!$B$43+ROUNDDOWN(H419/'NM Play'!$B$12,0)*'NM Play'!$B$44)/('NM Play'!$B$43+'NM Play'!$B$44)),ROUNDDOWN(G419/'NM Play'!$B$11,0)+F419*'NM Play'!$B$10/'NM Play'!$B$43)</f>
        <v/>
      </c>
      <c r="L419" s="160">
        <f>MIN(ROUNDDOWN(G419/'NM Play'!$B$11,0)+F419/('NM Play'!$B$43/'NM Play'!$B$15),ROUNDDOWN(H419/'NM Play'!$B$12,0)+F419/('NM Play'!$B$44/'NM Play'!$B$16),(F419+ROUNDDOWN(G419/'NM Play'!$B$11,0)*'NM Play'!$B$43/'NM Play'!$B$15+ROUNDDOWN(H419/'NM Play'!$B$12,0)*'NM Play'!$B$44/'NM Play'!$B$16)/('NM Play'!$B$43/'NM Play'!$B$15+'NM Play'!$B$44/'NM Play'!$B$16))</f>
        <v/>
      </c>
      <c r="M419" s="160">
        <f>F419*'NM Play'!$B$36</f>
        <v/>
      </c>
      <c r="N419" s="160">
        <f>ROUNDDOWN(MAX(0,MIN(J419,K419:M419)),0)</f>
        <v/>
      </c>
      <c r="O419" s="160">
        <f>ROUNDUP(MAX(0,N419*'NM Play'!$B$11-G419)/'NM Play'!$B$13,0)</f>
        <v/>
      </c>
      <c r="P419" s="160">
        <f>ROUNDUP(MAX(0,N419*'NM Play'!$B$12-H419)/'NM Play'!$B$14,0)</f>
        <v/>
      </c>
      <c r="Q419" s="160">
        <f>(O419+IF('Sites'!$C$8="Own sheets",P419,0))/'NM Play'!$B$10</f>
        <v/>
      </c>
      <c r="R419" s="160">
        <f>O419/'NM Play'!$B$15+P419/'NM Play'!$B$16</f>
        <v/>
      </c>
      <c r="S419" s="160">
        <f>MAX(Q419,R419,N419/'NM Play'!$B$36)</f>
        <v/>
      </c>
      <c r="T419" s="160">
        <f>Q419*'NM Play'!$B$10*'NM Play'!$B$21*(1+'NM Play'!$B$35)</f>
        <v/>
      </c>
      <c r="U419" s="160">
        <f>MAX(0,T419-I419)</f>
        <v/>
      </c>
      <c r="V419" s="160">
        <f>G419+O419*'NM Play'!$B$13-N419*'NM Play'!$B$11</f>
        <v/>
      </c>
      <c r="W419" s="160">
        <f>H419+P419*'NM Play'!$B$14-N419*'NM Play'!$B$12</f>
        <v/>
      </c>
      <c r="X419" s="160">
        <f>I419+U419-T419</f>
        <v/>
      </c>
      <c r="Y419" s="160">
        <f>MIN(N419,MAX(0,ROUNDDOWN('Sites'!$M$8*'Cases'!$E$9,0)-SUM(Y414:Y418)))</f>
        <v/>
      </c>
      <c r="Z419" s="160">
        <f>N419-Y419</f>
        <v/>
      </c>
      <c r="AA419" s="160">
        <f>U419*'NM Play'!$B$22</f>
        <v/>
      </c>
      <c r="AB419" s="160">
        <f>N419*SUM('NM Play'!$B$29:$B$31)</f>
        <v/>
      </c>
      <c r="AC419" s="160">
        <f>IF('Sites'!$C$8="Defy legs",P419*'NM Play'!$B$14/'NM Play'!$B$12*'NM Play'!$B$28,0)</f>
        <v/>
      </c>
      <c r="AD419" s="160">
        <f>Q419*'NM Play'!$B$23</f>
        <v/>
      </c>
      <c r="AE419" s="160">
        <f>S419*SUM('NM Play'!$B$26,'NM Play'!$B$33:$B$34)</f>
        <v/>
      </c>
      <c r="AF419" s="160">
        <f>IF('Sites'!$D$8="NM crew",S419*SUM('NM Play'!$B$24:$B$25),0)</f>
        <v/>
      </c>
      <c r="AG419" s="160">
        <f>IF('Sites'!$D$8="NM crew",S419*'NM Play'!$B$27,0)</f>
        <v/>
      </c>
      <c r="AH419" s="160">
        <f>N419*'Sites'!$Z$8*'NM Play'!$B$32</f>
        <v/>
      </c>
      <c r="AI419" s="160">
        <f>SUM(Y419:Z419)*'Sites'!$R$8</f>
        <v/>
      </c>
      <c r="AJ419" s="160">
        <f>SUM(AA419:AH419)</f>
        <v/>
      </c>
      <c r="AK419" s="160">
        <f>AJ419+(T419-U419)*'NM Play'!$B$22+MIN(G419,N419*'NM Play'!$B$11)/'NM Play'!$B$13*'NM Play'!$B$21*'NM Play'!$B$22+MIN(H419,N419*'NM Play'!$B$12)/'NM Play'!$B$14*IF('Sites'!$C$8="Own sheets",'NM Play'!$B$21*'NM Play'!$B$22,'NM Play'!$B$28*'NM Play'!$B$14/'NM Play'!$B$12)</f>
        <v/>
      </c>
      <c r="AL419" s="160">
        <f>Y419*'Assumptions'!U66</f>
        <v/>
      </c>
      <c r="AM419" s="160">
        <f>IF('Sites'!$D$8="NM crew",S419*'NM Play'!$B$37*(1+IF(AND(ISNUMBER('NM Play'!$B$25),'NM Play'!$B$25&gt;0),1,0)),"")</f>
        <v/>
      </c>
      <c r="AN419" s="160">
        <f>IF(OR('Sites'!$E$8&lt;0,'Sites'!$E$8&gt;1,'Sites'!$F$8&lt;1,'Sites'!$G$8&lt;'Sites'!$F$8,F419&lt;0,MIN('Sites'!$I$8:'Sites'!$R$8)&lt;0,'Sites'!$L$8&gt;'Sites'!$I$8,'Sites'!$M$8&gt;'Sites'!$J$8,'Sites'!$N$8&gt;'Sites'!$K$8,'Sites'!$Z$8&lt;0,'Sites'!$Z$8&gt;1,MIN('Sites'!$AA$8:'Sites'!$AC$8)&lt;0,S419&gt;F419+0.001),1,0)</f>
        <v/>
      </c>
      <c r="AO419" s="160">
        <f>I419+U419-T419-X419</f>
        <v/>
      </c>
    </row>
    <row r="420" ht="28" customHeight="1">
      <c r="A420" s="4" t="inlineStr">
        <is>
          <t>Delayed receipts</t>
        </is>
      </c>
      <c r="B420" s="4" t="inlineStr">
        <is>
          <t>NEW2</t>
        </is>
      </c>
      <c r="C420" s="160" t="n">
        <v>19</v>
      </c>
      <c r="D420" s="160">
        <f>ROUNDUP(C420/12,0)</f>
        <v/>
      </c>
      <c r="E420" s="160">
        <f>IF(AND('Sites'!$E$8*'Cases'!$F$9=1,C420&gt;='Sites'!$F$8+'Cases'!$G$9,C420&lt;='Sites'!$G$8),1,0)</f>
        <v/>
      </c>
      <c r="F420" s="160">
        <f>E420*'Assumptions'!V69</f>
        <v/>
      </c>
      <c r="G420" s="160">
        <f>V419</f>
        <v/>
      </c>
      <c r="H420" s="160">
        <f>W419</f>
        <v/>
      </c>
      <c r="I420" s="160">
        <f>X419</f>
        <v/>
      </c>
      <c r="J420" s="160">
        <f>MAX(0,'Sites'!$J$8-SUM(N414:N419))</f>
        <v/>
      </c>
      <c r="K420" s="160">
        <f>IF('Sites'!$C$8="Own sheets",MIN(ROUNDDOWN(G420/'NM Play'!$B$11,0)+F420*'NM Play'!$B$10/'NM Play'!$B$43,ROUNDDOWN(H420/'NM Play'!$B$12,0)+F420*'NM Play'!$B$10/'NM Play'!$B$44,(F420*'NM Play'!$B$10+ROUNDDOWN(G420/'NM Play'!$B$11,0)*'NM Play'!$B$43+ROUNDDOWN(H420/'NM Play'!$B$12,0)*'NM Play'!$B$44)/('NM Play'!$B$43+'NM Play'!$B$44)),ROUNDDOWN(G420/'NM Play'!$B$11,0)+F420*'NM Play'!$B$10/'NM Play'!$B$43)</f>
        <v/>
      </c>
      <c r="L420" s="160">
        <f>MIN(ROUNDDOWN(G420/'NM Play'!$B$11,0)+F420/('NM Play'!$B$43/'NM Play'!$B$15),ROUNDDOWN(H420/'NM Play'!$B$12,0)+F420/('NM Play'!$B$44/'NM Play'!$B$16),(F420+ROUNDDOWN(G420/'NM Play'!$B$11,0)*'NM Play'!$B$43/'NM Play'!$B$15+ROUNDDOWN(H420/'NM Play'!$B$12,0)*'NM Play'!$B$44/'NM Play'!$B$16)/('NM Play'!$B$43/'NM Play'!$B$15+'NM Play'!$B$44/'NM Play'!$B$16))</f>
        <v/>
      </c>
      <c r="M420" s="160">
        <f>F420*'NM Play'!$B$36</f>
        <v/>
      </c>
      <c r="N420" s="160">
        <f>ROUNDDOWN(MAX(0,MIN(J420,K420:M420)),0)</f>
        <v/>
      </c>
      <c r="O420" s="160">
        <f>ROUNDUP(MAX(0,N420*'NM Play'!$B$11-G420)/'NM Play'!$B$13,0)</f>
        <v/>
      </c>
      <c r="P420" s="160">
        <f>ROUNDUP(MAX(0,N420*'NM Play'!$B$12-H420)/'NM Play'!$B$14,0)</f>
        <v/>
      </c>
      <c r="Q420" s="160">
        <f>(O420+IF('Sites'!$C$8="Own sheets",P420,0))/'NM Play'!$B$10</f>
        <v/>
      </c>
      <c r="R420" s="160">
        <f>O420/'NM Play'!$B$15+P420/'NM Play'!$B$16</f>
        <v/>
      </c>
      <c r="S420" s="160">
        <f>MAX(Q420,R420,N420/'NM Play'!$B$36)</f>
        <v/>
      </c>
      <c r="T420" s="160">
        <f>Q420*'NM Play'!$B$10*'NM Play'!$B$21*(1+'NM Play'!$B$35)</f>
        <v/>
      </c>
      <c r="U420" s="160">
        <f>MAX(0,T420-I420)</f>
        <v/>
      </c>
      <c r="V420" s="160">
        <f>G420+O420*'NM Play'!$B$13-N420*'NM Play'!$B$11</f>
        <v/>
      </c>
      <c r="W420" s="160">
        <f>H420+P420*'NM Play'!$B$14-N420*'NM Play'!$B$12</f>
        <v/>
      </c>
      <c r="X420" s="160">
        <f>I420+U420-T420</f>
        <v/>
      </c>
      <c r="Y420" s="160">
        <f>MIN(N420,MAX(0,ROUNDDOWN('Sites'!$M$8*'Cases'!$E$9,0)-SUM(Y414:Y419)))</f>
        <v/>
      </c>
      <c r="Z420" s="160">
        <f>N420-Y420</f>
        <v/>
      </c>
      <c r="AA420" s="160">
        <f>U420*'NM Play'!$B$22</f>
        <v/>
      </c>
      <c r="AB420" s="160">
        <f>N420*SUM('NM Play'!$B$29:$B$31)</f>
        <v/>
      </c>
      <c r="AC420" s="160">
        <f>IF('Sites'!$C$8="Defy legs",P420*'NM Play'!$B$14/'NM Play'!$B$12*'NM Play'!$B$28,0)</f>
        <v/>
      </c>
      <c r="AD420" s="160">
        <f>Q420*'NM Play'!$B$23</f>
        <v/>
      </c>
      <c r="AE420" s="160">
        <f>S420*SUM('NM Play'!$B$26,'NM Play'!$B$33:$B$34)</f>
        <v/>
      </c>
      <c r="AF420" s="160">
        <f>IF('Sites'!$D$8="NM crew",S420*SUM('NM Play'!$B$24:$B$25),0)</f>
        <v/>
      </c>
      <c r="AG420" s="160">
        <f>IF('Sites'!$D$8="NM crew",S420*'NM Play'!$B$27,0)</f>
        <v/>
      </c>
      <c r="AH420" s="160">
        <f>N420*'Sites'!$Z$8*'NM Play'!$B$32</f>
        <v/>
      </c>
      <c r="AI420" s="160">
        <f>SUM(Y420:Z420)*'Sites'!$R$8</f>
        <v/>
      </c>
      <c r="AJ420" s="160">
        <f>SUM(AA420:AH420)</f>
        <v/>
      </c>
      <c r="AK420" s="160">
        <f>AJ420+(T420-U420)*'NM Play'!$B$22+MIN(G420,N420*'NM Play'!$B$11)/'NM Play'!$B$13*'NM Play'!$B$21*'NM Play'!$B$22+MIN(H420,N420*'NM Play'!$B$12)/'NM Play'!$B$14*IF('Sites'!$C$8="Own sheets",'NM Play'!$B$21*'NM Play'!$B$22,'NM Play'!$B$28*'NM Play'!$B$14/'NM Play'!$B$12)</f>
        <v/>
      </c>
      <c r="AL420" s="160">
        <f>Y420*'Assumptions'!V66</f>
        <v/>
      </c>
      <c r="AM420" s="160">
        <f>IF('Sites'!$D$8="NM crew",S420*'NM Play'!$B$37*(1+IF(AND(ISNUMBER('NM Play'!$B$25),'NM Play'!$B$25&gt;0),1,0)),"")</f>
        <v/>
      </c>
      <c r="AN420" s="160">
        <f>IF(OR('Sites'!$E$8&lt;0,'Sites'!$E$8&gt;1,'Sites'!$F$8&lt;1,'Sites'!$G$8&lt;'Sites'!$F$8,F420&lt;0,MIN('Sites'!$I$8:'Sites'!$R$8)&lt;0,'Sites'!$L$8&gt;'Sites'!$I$8,'Sites'!$M$8&gt;'Sites'!$J$8,'Sites'!$N$8&gt;'Sites'!$K$8,'Sites'!$Z$8&lt;0,'Sites'!$Z$8&gt;1,MIN('Sites'!$AA$8:'Sites'!$AC$8)&lt;0,S420&gt;F420+0.001),1,0)</f>
        <v/>
      </c>
      <c r="AO420" s="160">
        <f>I420+U420-T420-X420</f>
        <v/>
      </c>
    </row>
    <row r="421" ht="28" customHeight="1">
      <c r="A421" s="4" t="inlineStr">
        <is>
          <t>Delayed receipts</t>
        </is>
      </c>
      <c r="B421" s="4" t="inlineStr">
        <is>
          <t>NEW2</t>
        </is>
      </c>
      <c r="C421" s="160" t="n">
        <v>20</v>
      </c>
      <c r="D421" s="160">
        <f>ROUNDUP(C421/12,0)</f>
        <v/>
      </c>
      <c r="E421" s="160">
        <f>IF(AND('Sites'!$E$8*'Cases'!$F$9=1,C421&gt;='Sites'!$F$8+'Cases'!$G$9,C421&lt;='Sites'!$G$8),1,0)</f>
        <v/>
      </c>
      <c r="F421" s="160">
        <f>E421*'Assumptions'!W69</f>
        <v/>
      </c>
      <c r="G421" s="160">
        <f>V420</f>
        <v/>
      </c>
      <c r="H421" s="160">
        <f>W420</f>
        <v/>
      </c>
      <c r="I421" s="160">
        <f>X420</f>
        <v/>
      </c>
      <c r="J421" s="160">
        <f>MAX(0,'Sites'!$J$8-SUM(N414:N420))</f>
        <v/>
      </c>
      <c r="K421" s="160">
        <f>IF('Sites'!$C$8="Own sheets",MIN(ROUNDDOWN(G421/'NM Play'!$B$11,0)+F421*'NM Play'!$B$10/'NM Play'!$B$43,ROUNDDOWN(H421/'NM Play'!$B$12,0)+F421*'NM Play'!$B$10/'NM Play'!$B$44,(F421*'NM Play'!$B$10+ROUNDDOWN(G421/'NM Play'!$B$11,0)*'NM Play'!$B$43+ROUNDDOWN(H421/'NM Play'!$B$12,0)*'NM Play'!$B$44)/('NM Play'!$B$43+'NM Play'!$B$44)),ROUNDDOWN(G421/'NM Play'!$B$11,0)+F421*'NM Play'!$B$10/'NM Play'!$B$43)</f>
        <v/>
      </c>
      <c r="L421" s="160">
        <f>MIN(ROUNDDOWN(G421/'NM Play'!$B$11,0)+F421/('NM Play'!$B$43/'NM Play'!$B$15),ROUNDDOWN(H421/'NM Play'!$B$12,0)+F421/('NM Play'!$B$44/'NM Play'!$B$16),(F421+ROUNDDOWN(G421/'NM Play'!$B$11,0)*'NM Play'!$B$43/'NM Play'!$B$15+ROUNDDOWN(H421/'NM Play'!$B$12,0)*'NM Play'!$B$44/'NM Play'!$B$16)/('NM Play'!$B$43/'NM Play'!$B$15+'NM Play'!$B$44/'NM Play'!$B$16))</f>
        <v/>
      </c>
      <c r="M421" s="160">
        <f>F421*'NM Play'!$B$36</f>
        <v/>
      </c>
      <c r="N421" s="160">
        <f>ROUNDDOWN(MAX(0,MIN(J421,K421:M421)),0)</f>
        <v/>
      </c>
      <c r="O421" s="160">
        <f>ROUNDUP(MAX(0,N421*'NM Play'!$B$11-G421)/'NM Play'!$B$13,0)</f>
        <v/>
      </c>
      <c r="P421" s="160">
        <f>ROUNDUP(MAX(0,N421*'NM Play'!$B$12-H421)/'NM Play'!$B$14,0)</f>
        <v/>
      </c>
      <c r="Q421" s="160">
        <f>(O421+IF('Sites'!$C$8="Own sheets",P421,0))/'NM Play'!$B$10</f>
        <v/>
      </c>
      <c r="R421" s="160">
        <f>O421/'NM Play'!$B$15+P421/'NM Play'!$B$16</f>
        <v/>
      </c>
      <c r="S421" s="160">
        <f>MAX(Q421,R421,N421/'NM Play'!$B$36)</f>
        <v/>
      </c>
      <c r="T421" s="160">
        <f>Q421*'NM Play'!$B$10*'NM Play'!$B$21*(1+'NM Play'!$B$35)</f>
        <v/>
      </c>
      <c r="U421" s="160">
        <f>MAX(0,T421-I421)</f>
        <v/>
      </c>
      <c r="V421" s="160">
        <f>G421+O421*'NM Play'!$B$13-N421*'NM Play'!$B$11</f>
        <v/>
      </c>
      <c r="W421" s="160">
        <f>H421+P421*'NM Play'!$B$14-N421*'NM Play'!$B$12</f>
        <v/>
      </c>
      <c r="X421" s="160">
        <f>I421+U421-T421</f>
        <v/>
      </c>
      <c r="Y421" s="160">
        <f>MIN(N421,MAX(0,ROUNDDOWN('Sites'!$M$8*'Cases'!$E$9,0)-SUM(Y414:Y420)))</f>
        <v/>
      </c>
      <c r="Z421" s="160">
        <f>N421-Y421</f>
        <v/>
      </c>
      <c r="AA421" s="160">
        <f>U421*'NM Play'!$B$22</f>
        <v/>
      </c>
      <c r="AB421" s="160">
        <f>N421*SUM('NM Play'!$B$29:$B$31)</f>
        <v/>
      </c>
      <c r="AC421" s="160">
        <f>IF('Sites'!$C$8="Defy legs",P421*'NM Play'!$B$14/'NM Play'!$B$12*'NM Play'!$B$28,0)</f>
        <v/>
      </c>
      <c r="AD421" s="160">
        <f>Q421*'NM Play'!$B$23</f>
        <v/>
      </c>
      <c r="AE421" s="160">
        <f>S421*SUM('NM Play'!$B$26,'NM Play'!$B$33:$B$34)</f>
        <v/>
      </c>
      <c r="AF421" s="160">
        <f>IF('Sites'!$D$8="NM crew",S421*SUM('NM Play'!$B$24:$B$25),0)</f>
        <v/>
      </c>
      <c r="AG421" s="160">
        <f>IF('Sites'!$D$8="NM crew",S421*'NM Play'!$B$27,0)</f>
        <v/>
      </c>
      <c r="AH421" s="160">
        <f>N421*'Sites'!$Z$8*'NM Play'!$B$32</f>
        <v/>
      </c>
      <c r="AI421" s="160">
        <f>SUM(Y421:Z421)*'Sites'!$R$8</f>
        <v/>
      </c>
      <c r="AJ421" s="160">
        <f>SUM(AA421:AH421)</f>
        <v/>
      </c>
      <c r="AK421" s="160">
        <f>AJ421+(T421-U421)*'NM Play'!$B$22+MIN(G421,N421*'NM Play'!$B$11)/'NM Play'!$B$13*'NM Play'!$B$21*'NM Play'!$B$22+MIN(H421,N421*'NM Play'!$B$12)/'NM Play'!$B$14*IF('Sites'!$C$8="Own sheets",'NM Play'!$B$21*'NM Play'!$B$22,'NM Play'!$B$28*'NM Play'!$B$14/'NM Play'!$B$12)</f>
        <v/>
      </c>
      <c r="AL421" s="160">
        <f>Y421*'Assumptions'!W66</f>
        <v/>
      </c>
      <c r="AM421" s="160">
        <f>IF('Sites'!$D$8="NM crew",S421*'NM Play'!$B$37*(1+IF(AND(ISNUMBER('NM Play'!$B$25),'NM Play'!$B$25&gt;0),1,0)),"")</f>
        <v/>
      </c>
      <c r="AN421" s="160">
        <f>IF(OR('Sites'!$E$8&lt;0,'Sites'!$E$8&gt;1,'Sites'!$F$8&lt;1,'Sites'!$G$8&lt;'Sites'!$F$8,F421&lt;0,MIN('Sites'!$I$8:'Sites'!$R$8)&lt;0,'Sites'!$L$8&gt;'Sites'!$I$8,'Sites'!$M$8&gt;'Sites'!$J$8,'Sites'!$N$8&gt;'Sites'!$K$8,'Sites'!$Z$8&lt;0,'Sites'!$Z$8&gt;1,MIN('Sites'!$AA$8:'Sites'!$AC$8)&lt;0,S421&gt;F421+0.001),1,0)</f>
        <v/>
      </c>
      <c r="AO421" s="160">
        <f>I421+U421-T421-X421</f>
        <v/>
      </c>
    </row>
    <row r="422" ht="28" customHeight="1">
      <c r="A422" s="4" t="inlineStr">
        <is>
          <t>Delayed receipts</t>
        </is>
      </c>
      <c r="B422" s="4" t="inlineStr">
        <is>
          <t>NEW2</t>
        </is>
      </c>
      <c r="C422" s="160" t="n">
        <v>21</v>
      </c>
      <c r="D422" s="160">
        <f>ROUNDUP(C422/12,0)</f>
        <v/>
      </c>
      <c r="E422" s="160">
        <f>IF(AND('Sites'!$E$8*'Cases'!$F$9=1,C422&gt;='Sites'!$F$8+'Cases'!$G$9,C422&lt;='Sites'!$G$8),1,0)</f>
        <v/>
      </c>
      <c r="F422" s="160">
        <f>E422*'Assumptions'!X69</f>
        <v/>
      </c>
      <c r="G422" s="160">
        <f>V421</f>
        <v/>
      </c>
      <c r="H422" s="160">
        <f>W421</f>
        <v/>
      </c>
      <c r="I422" s="160">
        <f>X421</f>
        <v/>
      </c>
      <c r="J422" s="160">
        <f>MAX(0,'Sites'!$J$8-SUM(N414:N421))</f>
        <v/>
      </c>
      <c r="K422" s="160">
        <f>IF('Sites'!$C$8="Own sheets",MIN(ROUNDDOWN(G422/'NM Play'!$B$11,0)+F422*'NM Play'!$B$10/'NM Play'!$B$43,ROUNDDOWN(H422/'NM Play'!$B$12,0)+F422*'NM Play'!$B$10/'NM Play'!$B$44,(F422*'NM Play'!$B$10+ROUNDDOWN(G422/'NM Play'!$B$11,0)*'NM Play'!$B$43+ROUNDDOWN(H422/'NM Play'!$B$12,0)*'NM Play'!$B$44)/('NM Play'!$B$43+'NM Play'!$B$44)),ROUNDDOWN(G422/'NM Play'!$B$11,0)+F422*'NM Play'!$B$10/'NM Play'!$B$43)</f>
        <v/>
      </c>
      <c r="L422" s="160">
        <f>MIN(ROUNDDOWN(G422/'NM Play'!$B$11,0)+F422/('NM Play'!$B$43/'NM Play'!$B$15),ROUNDDOWN(H422/'NM Play'!$B$12,0)+F422/('NM Play'!$B$44/'NM Play'!$B$16),(F422+ROUNDDOWN(G422/'NM Play'!$B$11,0)*'NM Play'!$B$43/'NM Play'!$B$15+ROUNDDOWN(H422/'NM Play'!$B$12,0)*'NM Play'!$B$44/'NM Play'!$B$16)/('NM Play'!$B$43/'NM Play'!$B$15+'NM Play'!$B$44/'NM Play'!$B$16))</f>
        <v/>
      </c>
      <c r="M422" s="160">
        <f>F422*'NM Play'!$B$36</f>
        <v/>
      </c>
      <c r="N422" s="160">
        <f>ROUNDDOWN(MAX(0,MIN(J422,K422:M422)),0)</f>
        <v/>
      </c>
      <c r="O422" s="160">
        <f>ROUNDUP(MAX(0,N422*'NM Play'!$B$11-G422)/'NM Play'!$B$13,0)</f>
        <v/>
      </c>
      <c r="P422" s="160">
        <f>ROUNDUP(MAX(0,N422*'NM Play'!$B$12-H422)/'NM Play'!$B$14,0)</f>
        <v/>
      </c>
      <c r="Q422" s="160">
        <f>(O422+IF('Sites'!$C$8="Own sheets",P422,0))/'NM Play'!$B$10</f>
        <v/>
      </c>
      <c r="R422" s="160">
        <f>O422/'NM Play'!$B$15+P422/'NM Play'!$B$16</f>
        <v/>
      </c>
      <c r="S422" s="160">
        <f>MAX(Q422,R422,N422/'NM Play'!$B$36)</f>
        <v/>
      </c>
      <c r="T422" s="160">
        <f>Q422*'NM Play'!$B$10*'NM Play'!$B$21*(1+'NM Play'!$B$35)</f>
        <v/>
      </c>
      <c r="U422" s="160">
        <f>MAX(0,T422-I422)</f>
        <v/>
      </c>
      <c r="V422" s="160">
        <f>G422+O422*'NM Play'!$B$13-N422*'NM Play'!$B$11</f>
        <v/>
      </c>
      <c r="W422" s="160">
        <f>H422+P422*'NM Play'!$B$14-N422*'NM Play'!$B$12</f>
        <v/>
      </c>
      <c r="X422" s="160">
        <f>I422+U422-T422</f>
        <v/>
      </c>
      <c r="Y422" s="160">
        <f>MIN(N422,MAX(0,ROUNDDOWN('Sites'!$M$8*'Cases'!$E$9,0)-SUM(Y414:Y421)))</f>
        <v/>
      </c>
      <c r="Z422" s="160">
        <f>N422-Y422</f>
        <v/>
      </c>
      <c r="AA422" s="160">
        <f>U422*'NM Play'!$B$22</f>
        <v/>
      </c>
      <c r="AB422" s="160">
        <f>N422*SUM('NM Play'!$B$29:$B$31)</f>
        <v/>
      </c>
      <c r="AC422" s="160">
        <f>IF('Sites'!$C$8="Defy legs",P422*'NM Play'!$B$14/'NM Play'!$B$12*'NM Play'!$B$28,0)</f>
        <v/>
      </c>
      <c r="AD422" s="160">
        <f>Q422*'NM Play'!$B$23</f>
        <v/>
      </c>
      <c r="AE422" s="160">
        <f>S422*SUM('NM Play'!$B$26,'NM Play'!$B$33:$B$34)</f>
        <v/>
      </c>
      <c r="AF422" s="160">
        <f>IF('Sites'!$D$8="NM crew",S422*SUM('NM Play'!$B$24:$B$25),0)</f>
        <v/>
      </c>
      <c r="AG422" s="160">
        <f>IF('Sites'!$D$8="NM crew",S422*'NM Play'!$B$27,0)</f>
        <v/>
      </c>
      <c r="AH422" s="160">
        <f>N422*'Sites'!$Z$8*'NM Play'!$B$32</f>
        <v/>
      </c>
      <c r="AI422" s="160">
        <f>SUM(Y422:Z422)*'Sites'!$R$8</f>
        <v/>
      </c>
      <c r="AJ422" s="160">
        <f>SUM(AA422:AH422)</f>
        <v/>
      </c>
      <c r="AK422" s="160">
        <f>AJ422+(T422-U422)*'NM Play'!$B$22+MIN(G422,N422*'NM Play'!$B$11)/'NM Play'!$B$13*'NM Play'!$B$21*'NM Play'!$B$22+MIN(H422,N422*'NM Play'!$B$12)/'NM Play'!$B$14*IF('Sites'!$C$8="Own sheets",'NM Play'!$B$21*'NM Play'!$B$22,'NM Play'!$B$28*'NM Play'!$B$14/'NM Play'!$B$12)</f>
        <v/>
      </c>
      <c r="AL422" s="160">
        <f>Y422*'Assumptions'!X66</f>
        <v/>
      </c>
      <c r="AM422" s="160">
        <f>IF('Sites'!$D$8="NM crew",S422*'NM Play'!$B$37*(1+IF(AND(ISNUMBER('NM Play'!$B$25),'NM Play'!$B$25&gt;0),1,0)),"")</f>
        <v/>
      </c>
      <c r="AN422" s="160">
        <f>IF(OR('Sites'!$E$8&lt;0,'Sites'!$E$8&gt;1,'Sites'!$F$8&lt;1,'Sites'!$G$8&lt;'Sites'!$F$8,F422&lt;0,MIN('Sites'!$I$8:'Sites'!$R$8)&lt;0,'Sites'!$L$8&gt;'Sites'!$I$8,'Sites'!$M$8&gt;'Sites'!$J$8,'Sites'!$N$8&gt;'Sites'!$K$8,'Sites'!$Z$8&lt;0,'Sites'!$Z$8&gt;1,MIN('Sites'!$AA$8:'Sites'!$AC$8)&lt;0,S422&gt;F422+0.001),1,0)</f>
        <v/>
      </c>
      <c r="AO422" s="160">
        <f>I422+U422-T422-X422</f>
        <v/>
      </c>
    </row>
    <row r="423" ht="28" customHeight="1">
      <c r="A423" s="4" t="inlineStr">
        <is>
          <t>Delayed receipts</t>
        </is>
      </c>
      <c r="B423" s="4" t="inlineStr">
        <is>
          <t>NEW2</t>
        </is>
      </c>
      <c r="C423" s="160" t="n">
        <v>22</v>
      </c>
      <c r="D423" s="160">
        <f>ROUNDUP(C423/12,0)</f>
        <v/>
      </c>
      <c r="E423" s="160">
        <f>IF(AND('Sites'!$E$8*'Cases'!$F$9=1,C423&gt;='Sites'!$F$8+'Cases'!$G$9,C423&lt;='Sites'!$G$8),1,0)</f>
        <v/>
      </c>
      <c r="F423" s="160">
        <f>E423*'Assumptions'!Y69</f>
        <v/>
      </c>
      <c r="G423" s="160">
        <f>V422</f>
        <v/>
      </c>
      <c r="H423" s="160">
        <f>W422</f>
        <v/>
      </c>
      <c r="I423" s="160">
        <f>X422</f>
        <v/>
      </c>
      <c r="J423" s="160">
        <f>MAX(0,'Sites'!$J$8-SUM(N414:N422))</f>
        <v/>
      </c>
      <c r="K423" s="160">
        <f>IF('Sites'!$C$8="Own sheets",MIN(ROUNDDOWN(G423/'NM Play'!$B$11,0)+F423*'NM Play'!$B$10/'NM Play'!$B$43,ROUNDDOWN(H423/'NM Play'!$B$12,0)+F423*'NM Play'!$B$10/'NM Play'!$B$44,(F423*'NM Play'!$B$10+ROUNDDOWN(G423/'NM Play'!$B$11,0)*'NM Play'!$B$43+ROUNDDOWN(H423/'NM Play'!$B$12,0)*'NM Play'!$B$44)/('NM Play'!$B$43+'NM Play'!$B$44)),ROUNDDOWN(G423/'NM Play'!$B$11,0)+F423*'NM Play'!$B$10/'NM Play'!$B$43)</f>
        <v/>
      </c>
      <c r="L423" s="160">
        <f>MIN(ROUNDDOWN(G423/'NM Play'!$B$11,0)+F423/('NM Play'!$B$43/'NM Play'!$B$15),ROUNDDOWN(H423/'NM Play'!$B$12,0)+F423/('NM Play'!$B$44/'NM Play'!$B$16),(F423+ROUNDDOWN(G423/'NM Play'!$B$11,0)*'NM Play'!$B$43/'NM Play'!$B$15+ROUNDDOWN(H423/'NM Play'!$B$12,0)*'NM Play'!$B$44/'NM Play'!$B$16)/('NM Play'!$B$43/'NM Play'!$B$15+'NM Play'!$B$44/'NM Play'!$B$16))</f>
        <v/>
      </c>
      <c r="M423" s="160">
        <f>F423*'NM Play'!$B$36</f>
        <v/>
      </c>
      <c r="N423" s="160">
        <f>ROUNDDOWN(MAX(0,MIN(J423,K423:M423)),0)</f>
        <v/>
      </c>
      <c r="O423" s="160">
        <f>ROUNDUP(MAX(0,N423*'NM Play'!$B$11-G423)/'NM Play'!$B$13,0)</f>
        <v/>
      </c>
      <c r="P423" s="160">
        <f>ROUNDUP(MAX(0,N423*'NM Play'!$B$12-H423)/'NM Play'!$B$14,0)</f>
        <v/>
      </c>
      <c r="Q423" s="160">
        <f>(O423+IF('Sites'!$C$8="Own sheets",P423,0))/'NM Play'!$B$10</f>
        <v/>
      </c>
      <c r="R423" s="160">
        <f>O423/'NM Play'!$B$15+P423/'NM Play'!$B$16</f>
        <v/>
      </c>
      <c r="S423" s="160">
        <f>MAX(Q423,R423,N423/'NM Play'!$B$36)</f>
        <v/>
      </c>
      <c r="T423" s="160">
        <f>Q423*'NM Play'!$B$10*'NM Play'!$B$21*(1+'NM Play'!$B$35)</f>
        <v/>
      </c>
      <c r="U423" s="160">
        <f>MAX(0,T423-I423)</f>
        <v/>
      </c>
      <c r="V423" s="160">
        <f>G423+O423*'NM Play'!$B$13-N423*'NM Play'!$B$11</f>
        <v/>
      </c>
      <c r="W423" s="160">
        <f>H423+P423*'NM Play'!$B$14-N423*'NM Play'!$B$12</f>
        <v/>
      </c>
      <c r="X423" s="160">
        <f>I423+U423-T423</f>
        <v/>
      </c>
      <c r="Y423" s="160">
        <f>MIN(N423,MAX(0,ROUNDDOWN('Sites'!$M$8*'Cases'!$E$9,0)-SUM(Y414:Y422)))</f>
        <v/>
      </c>
      <c r="Z423" s="160">
        <f>N423-Y423</f>
        <v/>
      </c>
      <c r="AA423" s="160">
        <f>U423*'NM Play'!$B$22</f>
        <v/>
      </c>
      <c r="AB423" s="160">
        <f>N423*SUM('NM Play'!$B$29:$B$31)</f>
        <v/>
      </c>
      <c r="AC423" s="160">
        <f>IF('Sites'!$C$8="Defy legs",P423*'NM Play'!$B$14/'NM Play'!$B$12*'NM Play'!$B$28,0)</f>
        <v/>
      </c>
      <c r="AD423" s="160">
        <f>Q423*'NM Play'!$B$23</f>
        <v/>
      </c>
      <c r="AE423" s="160">
        <f>S423*SUM('NM Play'!$B$26,'NM Play'!$B$33:$B$34)</f>
        <v/>
      </c>
      <c r="AF423" s="160">
        <f>IF('Sites'!$D$8="NM crew",S423*SUM('NM Play'!$B$24:$B$25),0)</f>
        <v/>
      </c>
      <c r="AG423" s="160">
        <f>IF('Sites'!$D$8="NM crew",S423*'NM Play'!$B$27,0)</f>
        <v/>
      </c>
      <c r="AH423" s="160">
        <f>N423*'Sites'!$Z$8*'NM Play'!$B$32</f>
        <v/>
      </c>
      <c r="AI423" s="160">
        <f>SUM(Y423:Z423)*'Sites'!$R$8</f>
        <v/>
      </c>
      <c r="AJ423" s="160">
        <f>SUM(AA423:AH423)</f>
        <v/>
      </c>
      <c r="AK423" s="160">
        <f>AJ423+(T423-U423)*'NM Play'!$B$22+MIN(G423,N423*'NM Play'!$B$11)/'NM Play'!$B$13*'NM Play'!$B$21*'NM Play'!$B$22+MIN(H423,N423*'NM Play'!$B$12)/'NM Play'!$B$14*IF('Sites'!$C$8="Own sheets",'NM Play'!$B$21*'NM Play'!$B$22,'NM Play'!$B$28*'NM Play'!$B$14/'NM Play'!$B$12)</f>
        <v/>
      </c>
      <c r="AL423" s="160">
        <f>Y423*'Assumptions'!Y66</f>
        <v/>
      </c>
      <c r="AM423" s="160">
        <f>IF('Sites'!$D$8="NM crew",S423*'NM Play'!$B$37*(1+IF(AND(ISNUMBER('NM Play'!$B$25),'NM Play'!$B$25&gt;0),1,0)),"")</f>
        <v/>
      </c>
      <c r="AN423" s="160">
        <f>IF(OR('Sites'!$E$8&lt;0,'Sites'!$E$8&gt;1,'Sites'!$F$8&lt;1,'Sites'!$G$8&lt;'Sites'!$F$8,F423&lt;0,MIN('Sites'!$I$8:'Sites'!$R$8)&lt;0,'Sites'!$L$8&gt;'Sites'!$I$8,'Sites'!$M$8&gt;'Sites'!$J$8,'Sites'!$N$8&gt;'Sites'!$K$8,'Sites'!$Z$8&lt;0,'Sites'!$Z$8&gt;1,MIN('Sites'!$AA$8:'Sites'!$AC$8)&lt;0,S423&gt;F423+0.001),1,0)</f>
        <v/>
      </c>
      <c r="AO423" s="160">
        <f>I423+U423-T423-X423</f>
        <v/>
      </c>
    </row>
    <row r="424" ht="28" customHeight="1">
      <c r="A424" s="4" t="inlineStr">
        <is>
          <t>Delayed receipts</t>
        </is>
      </c>
      <c r="B424" s="4" t="inlineStr">
        <is>
          <t>NEW2</t>
        </is>
      </c>
      <c r="C424" s="160" t="n">
        <v>23</v>
      </c>
      <c r="D424" s="160">
        <f>ROUNDUP(C424/12,0)</f>
        <v/>
      </c>
      <c r="E424" s="160">
        <f>IF(AND('Sites'!$E$8*'Cases'!$F$9=1,C424&gt;='Sites'!$F$8+'Cases'!$G$9,C424&lt;='Sites'!$G$8),1,0)</f>
        <v/>
      </c>
      <c r="F424" s="160">
        <f>E424*'Assumptions'!Z69</f>
        <v/>
      </c>
      <c r="G424" s="160">
        <f>V423</f>
        <v/>
      </c>
      <c r="H424" s="160">
        <f>W423</f>
        <v/>
      </c>
      <c r="I424" s="160">
        <f>X423</f>
        <v/>
      </c>
      <c r="J424" s="160">
        <f>MAX(0,'Sites'!$J$8-SUM(N414:N423))</f>
        <v/>
      </c>
      <c r="K424" s="160">
        <f>IF('Sites'!$C$8="Own sheets",MIN(ROUNDDOWN(G424/'NM Play'!$B$11,0)+F424*'NM Play'!$B$10/'NM Play'!$B$43,ROUNDDOWN(H424/'NM Play'!$B$12,0)+F424*'NM Play'!$B$10/'NM Play'!$B$44,(F424*'NM Play'!$B$10+ROUNDDOWN(G424/'NM Play'!$B$11,0)*'NM Play'!$B$43+ROUNDDOWN(H424/'NM Play'!$B$12,0)*'NM Play'!$B$44)/('NM Play'!$B$43+'NM Play'!$B$44)),ROUNDDOWN(G424/'NM Play'!$B$11,0)+F424*'NM Play'!$B$10/'NM Play'!$B$43)</f>
        <v/>
      </c>
      <c r="L424" s="160">
        <f>MIN(ROUNDDOWN(G424/'NM Play'!$B$11,0)+F424/('NM Play'!$B$43/'NM Play'!$B$15),ROUNDDOWN(H424/'NM Play'!$B$12,0)+F424/('NM Play'!$B$44/'NM Play'!$B$16),(F424+ROUNDDOWN(G424/'NM Play'!$B$11,0)*'NM Play'!$B$43/'NM Play'!$B$15+ROUNDDOWN(H424/'NM Play'!$B$12,0)*'NM Play'!$B$44/'NM Play'!$B$16)/('NM Play'!$B$43/'NM Play'!$B$15+'NM Play'!$B$44/'NM Play'!$B$16))</f>
        <v/>
      </c>
      <c r="M424" s="160">
        <f>F424*'NM Play'!$B$36</f>
        <v/>
      </c>
      <c r="N424" s="160">
        <f>ROUNDDOWN(MAX(0,MIN(J424,K424:M424)),0)</f>
        <v/>
      </c>
      <c r="O424" s="160">
        <f>ROUNDUP(MAX(0,N424*'NM Play'!$B$11-G424)/'NM Play'!$B$13,0)</f>
        <v/>
      </c>
      <c r="P424" s="160">
        <f>ROUNDUP(MAX(0,N424*'NM Play'!$B$12-H424)/'NM Play'!$B$14,0)</f>
        <v/>
      </c>
      <c r="Q424" s="160">
        <f>(O424+IF('Sites'!$C$8="Own sheets",P424,0))/'NM Play'!$B$10</f>
        <v/>
      </c>
      <c r="R424" s="160">
        <f>O424/'NM Play'!$B$15+P424/'NM Play'!$B$16</f>
        <v/>
      </c>
      <c r="S424" s="160">
        <f>MAX(Q424,R424,N424/'NM Play'!$B$36)</f>
        <v/>
      </c>
      <c r="T424" s="160">
        <f>Q424*'NM Play'!$B$10*'NM Play'!$B$21*(1+'NM Play'!$B$35)</f>
        <v/>
      </c>
      <c r="U424" s="160">
        <f>MAX(0,T424-I424)</f>
        <v/>
      </c>
      <c r="V424" s="160">
        <f>G424+O424*'NM Play'!$B$13-N424*'NM Play'!$B$11</f>
        <v/>
      </c>
      <c r="W424" s="160">
        <f>H424+P424*'NM Play'!$B$14-N424*'NM Play'!$B$12</f>
        <v/>
      </c>
      <c r="X424" s="160">
        <f>I424+U424-T424</f>
        <v/>
      </c>
      <c r="Y424" s="160">
        <f>MIN(N424,MAX(0,ROUNDDOWN('Sites'!$M$8*'Cases'!$E$9,0)-SUM(Y414:Y423)))</f>
        <v/>
      </c>
      <c r="Z424" s="160">
        <f>N424-Y424</f>
        <v/>
      </c>
      <c r="AA424" s="160">
        <f>U424*'NM Play'!$B$22</f>
        <v/>
      </c>
      <c r="AB424" s="160">
        <f>N424*SUM('NM Play'!$B$29:$B$31)</f>
        <v/>
      </c>
      <c r="AC424" s="160">
        <f>IF('Sites'!$C$8="Defy legs",P424*'NM Play'!$B$14/'NM Play'!$B$12*'NM Play'!$B$28,0)</f>
        <v/>
      </c>
      <c r="AD424" s="160">
        <f>Q424*'NM Play'!$B$23</f>
        <v/>
      </c>
      <c r="AE424" s="160">
        <f>S424*SUM('NM Play'!$B$26,'NM Play'!$B$33:$B$34)</f>
        <v/>
      </c>
      <c r="AF424" s="160">
        <f>IF('Sites'!$D$8="NM crew",S424*SUM('NM Play'!$B$24:$B$25),0)</f>
        <v/>
      </c>
      <c r="AG424" s="160">
        <f>IF('Sites'!$D$8="NM crew",S424*'NM Play'!$B$27,0)</f>
        <v/>
      </c>
      <c r="AH424" s="160">
        <f>N424*'Sites'!$Z$8*'NM Play'!$B$32</f>
        <v/>
      </c>
      <c r="AI424" s="160">
        <f>SUM(Y424:Z424)*'Sites'!$R$8</f>
        <v/>
      </c>
      <c r="AJ424" s="160">
        <f>SUM(AA424:AH424)</f>
        <v/>
      </c>
      <c r="AK424" s="160">
        <f>AJ424+(T424-U424)*'NM Play'!$B$22+MIN(G424,N424*'NM Play'!$B$11)/'NM Play'!$B$13*'NM Play'!$B$21*'NM Play'!$B$22+MIN(H424,N424*'NM Play'!$B$12)/'NM Play'!$B$14*IF('Sites'!$C$8="Own sheets",'NM Play'!$B$21*'NM Play'!$B$22,'NM Play'!$B$28*'NM Play'!$B$14/'NM Play'!$B$12)</f>
        <v/>
      </c>
      <c r="AL424" s="160">
        <f>Y424*'Assumptions'!Z66</f>
        <v/>
      </c>
      <c r="AM424" s="160">
        <f>IF('Sites'!$D$8="NM crew",S424*'NM Play'!$B$37*(1+IF(AND(ISNUMBER('NM Play'!$B$25),'NM Play'!$B$25&gt;0),1,0)),"")</f>
        <v/>
      </c>
      <c r="AN424" s="160">
        <f>IF(OR('Sites'!$E$8&lt;0,'Sites'!$E$8&gt;1,'Sites'!$F$8&lt;1,'Sites'!$G$8&lt;'Sites'!$F$8,F424&lt;0,MIN('Sites'!$I$8:'Sites'!$R$8)&lt;0,'Sites'!$L$8&gt;'Sites'!$I$8,'Sites'!$M$8&gt;'Sites'!$J$8,'Sites'!$N$8&gt;'Sites'!$K$8,'Sites'!$Z$8&lt;0,'Sites'!$Z$8&gt;1,MIN('Sites'!$AA$8:'Sites'!$AC$8)&lt;0,S424&gt;F424+0.001),1,0)</f>
        <v/>
      </c>
      <c r="AO424" s="160">
        <f>I424+U424-T424-X424</f>
        <v/>
      </c>
    </row>
    <row r="425" ht="28" customHeight="1">
      <c r="A425" s="4" t="inlineStr">
        <is>
          <t>Delayed receipts</t>
        </is>
      </c>
      <c r="B425" s="4" t="inlineStr">
        <is>
          <t>NEW2</t>
        </is>
      </c>
      <c r="C425" s="160" t="n">
        <v>24</v>
      </c>
      <c r="D425" s="160">
        <f>ROUNDUP(C425/12,0)</f>
        <v/>
      </c>
      <c r="E425" s="160">
        <f>IF(AND('Sites'!$E$8*'Cases'!$F$9=1,C425&gt;='Sites'!$F$8+'Cases'!$G$9,C425&lt;='Sites'!$G$8),1,0)</f>
        <v/>
      </c>
      <c r="F425" s="160">
        <f>E425*'Assumptions'!AA69</f>
        <v/>
      </c>
      <c r="G425" s="160">
        <f>V424</f>
        <v/>
      </c>
      <c r="H425" s="160">
        <f>W424</f>
        <v/>
      </c>
      <c r="I425" s="160">
        <f>X424</f>
        <v/>
      </c>
      <c r="J425" s="160">
        <f>MAX(0,'Sites'!$J$8-SUM(N414:N424))</f>
        <v/>
      </c>
      <c r="K425" s="160">
        <f>IF('Sites'!$C$8="Own sheets",MIN(ROUNDDOWN(G425/'NM Play'!$B$11,0)+F425*'NM Play'!$B$10/'NM Play'!$B$43,ROUNDDOWN(H425/'NM Play'!$B$12,0)+F425*'NM Play'!$B$10/'NM Play'!$B$44,(F425*'NM Play'!$B$10+ROUNDDOWN(G425/'NM Play'!$B$11,0)*'NM Play'!$B$43+ROUNDDOWN(H425/'NM Play'!$B$12,0)*'NM Play'!$B$44)/('NM Play'!$B$43+'NM Play'!$B$44)),ROUNDDOWN(G425/'NM Play'!$B$11,0)+F425*'NM Play'!$B$10/'NM Play'!$B$43)</f>
        <v/>
      </c>
      <c r="L425" s="160">
        <f>MIN(ROUNDDOWN(G425/'NM Play'!$B$11,0)+F425/('NM Play'!$B$43/'NM Play'!$B$15),ROUNDDOWN(H425/'NM Play'!$B$12,0)+F425/('NM Play'!$B$44/'NM Play'!$B$16),(F425+ROUNDDOWN(G425/'NM Play'!$B$11,0)*'NM Play'!$B$43/'NM Play'!$B$15+ROUNDDOWN(H425/'NM Play'!$B$12,0)*'NM Play'!$B$44/'NM Play'!$B$16)/('NM Play'!$B$43/'NM Play'!$B$15+'NM Play'!$B$44/'NM Play'!$B$16))</f>
        <v/>
      </c>
      <c r="M425" s="160">
        <f>F425*'NM Play'!$B$36</f>
        <v/>
      </c>
      <c r="N425" s="160">
        <f>ROUNDDOWN(MAX(0,MIN(J425,K425:M425)),0)</f>
        <v/>
      </c>
      <c r="O425" s="160">
        <f>ROUNDUP(MAX(0,N425*'NM Play'!$B$11-G425)/'NM Play'!$B$13,0)</f>
        <v/>
      </c>
      <c r="P425" s="160">
        <f>ROUNDUP(MAX(0,N425*'NM Play'!$B$12-H425)/'NM Play'!$B$14,0)</f>
        <v/>
      </c>
      <c r="Q425" s="160">
        <f>(O425+IF('Sites'!$C$8="Own sheets",P425,0))/'NM Play'!$B$10</f>
        <v/>
      </c>
      <c r="R425" s="160">
        <f>O425/'NM Play'!$B$15+P425/'NM Play'!$B$16</f>
        <v/>
      </c>
      <c r="S425" s="160">
        <f>MAX(Q425,R425,N425/'NM Play'!$B$36)</f>
        <v/>
      </c>
      <c r="T425" s="160">
        <f>Q425*'NM Play'!$B$10*'NM Play'!$B$21*(1+'NM Play'!$B$35)</f>
        <v/>
      </c>
      <c r="U425" s="160">
        <f>MAX(0,T425-I425)</f>
        <v/>
      </c>
      <c r="V425" s="160">
        <f>G425+O425*'NM Play'!$B$13-N425*'NM Play'!$B$11</f>
        <v/>
      </c>
      <c r="W425" s="160">
        <f>H425+P425*'NM Play'!$B$14-N425*'NM Play'!$B$12</f>
        <v/>
      </c>
      <c r="X425" s="160">
        <f>I425+U425-T425</f>
        <v/>
      </c>
      <c r="Y425" s="160">
        <f>MIN(N425,MAX(0,ROUNDDOWN('Sites'!$M$8*'Cases'!$E$9,0)-SUM(Y414:Y424)))</f>
        <v/>
      </c>
      <c r="Z425" s="160">
        <f>N425-Y425</f>
        <v/>
      </c>
      <c r="AA425" s="160">
        <f>U425*'NM Play'!$B$22</f>
        <v/>
      </c>
      <c r="AB425" s="160">
        <f>N425*SUM('NM Play'!$B$29:$B$31)</f>
        <v/>
      </c>
      <c r="AC425" s="160">
        <f>IF('Sites'!$C$8="Defy legs",P425*'NM Play'!$B$14/'NM Play'!$B$12*'NM Play'!$B$28,0)</f>
        <v/>
      </c>
      <c r="AD425" s="160">
        <f>Q425*'NM Play'!$B$23</f>
        <v/>
      </c>
      <c r="AE425" s="160">
        <f>S425*SUM('NM Play'!$B$26,'NM Play'!$B$33:$B$34)</f>
        <v/>
      </c>
      <c r="AF425" s="160">
        <f>IF('Sites'!$D$8="NM crew",S425*SUM('NM Play'!$B$24:$B$25),0)</f>
        <v/>
      </c>
      <c r="AG425" s="160">
        <f>IF('Sites'!$D$8="NM crew",S425*'NM Play'!$B$27,0)</f>
        <v/>
      </c>
      <c r="AH425" s="160">
        <f>N425*'Sites'!$Z$8*'NM Play'!$B$32</f>
        <v/>
      </c>
      <c r="AI425" s="160">
        <f>SUM(Y425:Z425)*'Sites'!$R$8</f>
        <v/>
      </c>
      <c r="AJ425" s="160">
        <f>SUM(AA425:AH425)</f>
        <v/>
      </c>
      <c r="AK425" s="160">
        <f>AJ425+(T425-U425)*'NM Play'!$B$22+MIN(G425,N425*'NM Play'!$B$11)/'NM Play'!$B$13*'NM Play'!$B$21*'NM Play'!$B$22+MIN(H425,N425*'NM Play'!$B$12)/'NM Play'!$B$14*IF('Sites'!$C$8="Own sheets",'NM Play'!$B$21*'NM Play'!$B$22,'NM Play'!$B$28*'NM Play'!$B$14/'NM Play'!$B$12)</f>
        <v/>
      </c>
      <c r="AL425" s="160">
        <f>Y425*'Assumptions'!AA66</f>
        <v/>
      </c>
      <c r="AM425" s="160">
        <f>IF('Sites'!$D$8="NM crew",S425*'NM Play'!$B$37*(1+IF(AND(ISNUMBER('NM Play'!$B$25),'NM Play'!$B$25&gt;0),1,0)),"")</f>
        <v/>
      </c>
      <c r="AN425" s="160">
        <f>IF(OR('Sites'!$E$8&lt;0,'Sites'!$E$8&gt;1,'Sites'!$F$8&lt;1,'Sites'!$G$8&lt;'Sites'!$F$8,F425&lt;0,MIN('Sites'!$I$8:'Sites'!$R$8)&lt;0,'Sites'!$L$8&gt;'Sites'!$I$8,'Sites'!$M$8&gt;'Sites'!$J$8,'Sites'!$N$8&gt;'Sites'!$K$8,'Sites'!$Z$8&lt;0,'Sites'!$Z$8&gt;1,MIN('Sites'!$AA$8:'Sites'!$AC$8)&lt;0,S425&gt;F425+0.001),1,0)</f>
        <v/>
      </c>
      <c r="AO425" s="160">
        <f>I425+U425-T425-X425</f>
        <v/>
      </c>
    </row>
    <row r="426" ht="28" customHeight="1">
      <c r="A426" s="4" t="inlineStr">
        <is>
          <t>Delayed receipts</t>
        </is>
      </c>
      <c r="B426" s="4" t="inlineStr">
        <is>
          <t>NEW2</t>
        </is>
      </c>
      <c r="C426" s="160" t="n">
        <v>25</v>
      </c>
      <c r="D426" s="160">
        <f>ROUNDUP(C426/12,0)</f>
        <v/>
      </c>
      <c r="E426" s="160">
        <f>IF(AND('Sites'!$E$8*'Cases'!$F$9=1,C426&gt;='Sites'!$F$8+'Cases'!$G$9,C426&lt;='Sites'!$G$8),1,0)</f>
        <v/>
      </c>
      <c r="F426" s="160">
        <f>E426*'Assumptions'!AB69</f>
        <v/>
      </c>
      <c r="G426" s="160">
        <f>V425</f>
        <v/>
      </c>
      <c r="H426" s="160">
        <f>W425</f>
        <v/>
      </c>
      <c r="I426" s="160">
        <f>X425</f>
        <v/>
      </c>
      <c r="J426" s="160">
        <f>MAX(0,'Sites'!$K$8-0)</f>
        <v/>
      </c>
      <c r="K426" s="160">
        <f>IF('Sites'!$C$8="Own sheets",MIN(ROUNDDOWN(G426/'NM Play'!$B$11,0)+F426*'NM Play'!$B$10/'NM Play'!$B$43,ROUNDDOWN(H426/'NM Play'!$B$12,0)+F426*'NM Play'!$B$10/'NM Play'!$B$44,(F426*'NM Play'!$B$10+ROUNDDOWN(G426/'NM Play'!$B$11,0)*'NM Play'!$B$43+ROUNDDOWN(H426/'NM Play'!$B$12,0)*'NM Play'!$B$44)/('NM Play'!$B$43+'NM Play'!$B$44)),ROUNDDOWN(G426/'NM Play'!$B$11,0)+F426*'NM Play'!$B$10/'NM Play'!$B$43)</f>
        <v/>
      </c>
      <c r="L426" s="160">
        <f>MIN(ROUNDDOWN(G426/'NM Play'!$B$11,0)+F426/('NM Play'!$B$43/'NM Play'!$B$15),ROUNDDOWN(H426/'NM Play'!$B$12,0)+F426/('NM Play'!$B$44/'NM Play'!$B$16),(F426+ROUNDDOWN(G426/'NM Play'!$B$11,0)*'NM Play'!$B$43/'NM Play'!$B$15+ROUNDDOWN(H426/'NM Play'!$B$12,0)*'NM Play'!$B$44/'NM Play'!$B$16)/('NM Play'!$B$43/'NM Play'!$B$15+'NM Play'!$B$44/'NM Play'!$B$16))</f>
        <v/>
      </c>
      <c r="M426" s="160">
        <f>F426*'NM Play'!$B$36</f>
        <v/>
      </c>
      <c r="N426" s="160">
        <f>ROUNDDOWN(MAX(0,MIN(J426,K426:M426)),0)</f>
        <v/>
      </c>
      <c r="O426" s="160">
        <f>ROUNDUP(MAX(0,N426*'NM Play'!$B$11-G426)/'NM Play'!$B$13,0)</f>
        <v/>
      </c>
      <c r="P426" s="160">
        <f>ROUNDUP(MAX(0,N426*'NM Play'!$B$12-H426)/'NM Play'!$B$14,0)</f>
        <v/>
      </c>
      <c r="Q426" s="160">
        <f>(O426+IF('Sites'!$C$8="Own sheets",P426,0))/'NM Play'!$B$10</f>
        <v/>
      </c>
      <c r="R426" s="160">
        <f>O426/'NM Play'!$B$15+P426/'NM Play'!$B$16</f>
        <v/>
      </c>
      <c r="S426" s="160">
        <f>MAX(Q426,R426,N426/'NM Play'!$B$36)</f>
        <v/>
      </c>
      <c r="T426" s="160">
        <f>Q426*'NM Play'!$B$10*'NM Play'!$B$21*(1+'NM Play'!$B$35)</f>
        <v/>
      </c>
      <c r="U426" s="160">
        <f>MAX(0,T426-I426)</f>
        <v/>
      </c>
      <c r="V426" s="160">
        <f>G426+O426*'NM Play'!$B$13-N426*'NM Play'!$B$11</f>
        <v/>
      </c>
      <c r="W426" s="160">
        <f>H426+P426*'NM Play'!$B$14-N426*'NM Play'!$B$12</f>
        <v/>
      </c>
      <c r="X426" s="160">
        <f>I426+U426-T426</f>
        <v/>
      </c>
      <c r="Y426" s="160">
        <f>MIN(N426,MAX(0,ROUNDDOWN('Sites'!$N$8*'Cases'!$E$9,0)-0))</f>
        <v/>
      </c>
      <c r="Z426" s="160">
        <f>N426-Y426</f>
        <v/>
      </c>
      <c r="AA426" s="160">
        <f>U426*'NM Play'!$B$22</f>
        <v/>
      </c>
      <c r="AB426" s="160">
        <f>N426*SUM('NM Play'!$B$29:$B$31)</f>
        <v/>
      </c>
      <c r="AC426" s="160">
        <f>IF('Sites'!$C$8="Defy legs",P426*'NM Play'!$B$14/'NM Play'!$B$12*'NM Play'!$B$28,0)</f>
        <v/>
      </c>
      <c r="AD426" s="160">
        <f>Q426*'NM Play'!$B$23</f>
        <v/>
      </c>
      <c r="AE426" s="160">
        <f>S426*SUM('NM Play'!$B$26,'NM Play'!$B$33:$B$34)</f>
        <v/>
      </c>
      <c r="AF426" s="160">
        <f>IF('Sites'!$D$8="NM crew",S426*SUM('NM Play'!$B$24:$B$25),0)</f>
        <v/>
      </c>
      <c r="AG426" s="160">
        <f>IF('Sites'!$D$8="NM crew",S426*'NM Play'!$B$27,0)</f>
        <v/>
      </c>
      <c r="AH426" s="160">
        <f>N426*'Sites'!$Z$8*'NM Play'!$B$32</f>
        <v/>
      </c>
      <c r="AI426" s="160">
        <f>SUM(Y426:Z426)*'Sites'!$R$8</f>
        <v/>
      </c>
      <c r="AJ426" s="160">
        <f>SUM(AA426:AH426)</f>
        <v/>
      </c>
      <c r="AK426" s="160">
        <f>AJ426+(T426-U426)*'NM Play'!$B$22+MIN(G426,N426*'NM Play'!$B$11)/'NM Play'!$B$13*'NM Play'!$B$21*'NM Play'!$B$22+MIN(H426,N426*'NM Play'!$B$12)/'NM Play'!$B$14*IF('Sites'!$C$8="Own sheets",'NM Play'!$B$21*'NM Play'!$B$22,'NM Play'!$B$28*'NM Play'!$B$14/'NM Play'!$B$12)</f>
        <v/>
      </c>
      <c r="AL426" s="160">
        <f>Y426*'Assumptions'!AB66</f>
        <v/>
      </c>
      <c r="AM426" s="160">
        <f>IF('Sites'!$D$8="NM crew",S426*'NM Play'!$B$37*(1+IF(AND(ISNUMBER('NM Play'!$B$25),'NM Play'!$B$25&gt;0),1,0)),"")</f>
        <v/>
      </c>
      <c r="AN426" s="160">
        <f>IF(OR('Sites'!$E$8&lt;0,'Sites'!$E$8&gt;1,'Sites'!$F$8&lt;1,'Sites'!$G$8&lt;'Sites'!$F$8,F426&lt;0,MIN('Sites'!$I$8:'Sites'!$R$8)&lt;0,'Sites'!$L$8&gt;'Sites'!$I$8,'Sites'!$M$8&gt;'Sites'!$J$8,'Sites'!$N$8&gt;'Sites'!$K$8,'Sites'!$Z$8&lt;0,'Sites'!$Z$8&gt;1,MIN('Sites'!$AA$8:'Sites'!$AC$8)&lt;0,S426&gt;F426+0.001),1,0)</f>
        <v/>
      </c>
      <c r="AO426" s="160">
        <f>I426+U426-T426-X426</f>
        <v/>
      </c>
    </row>
    <row r="427" ht="28" customHeight="1">
      <c r="A427" s="4" t="inlineStr">
        <is>
          <t>Delayed receipts</t>
        </is>
      </c>
      <c r="B427" s="4" t="inlineStr">
        <is>
          <t>NEW2</t>
        </is>
      </c>
      <c r="C427" s="160" t="n">
        <v>26</v>
      </c>
      <c r="D427" s="160">
        <f>ROUNDUP(C427/12,0)</f>
        <v/>
      </c>
      <c r="E427" s="160">
        <f>IF(AND('Sites'!$E$8*'Cases'!$F$9=1,C427&gt;='Sites'!$F$8+'Cases'!$G$9,C427&lt;='Sites'!$G$8),1,0)</f>
        <v/>
      </c>
      <c r="F427" s="160">
        <f>E427*'Assumptions'!AC69</f>
        <v/>
      </c>
      <c r="G427" s="160">
        <f>V426</f>
        <v/>
      </c>
      <c r="H427" s="160">
        <f>W426</f>
        <v/>
      </c>
      <c r="I427" s="160">
        <f>X426</f>
        <v/>
      </c>
      <c r="J427" s="160">
        <f>MAX(0,'Sites'!$K$8-SUM(N426:N426))</f>
        <v/>
      </c>
      <c r="K427" s="160">
        <f>IF('Sites'!$C$8="Own sheets",MIN(ROUNDDOWN(G427/'NM Play'!$B$11,0)+F427*'NM Play'!$B$10/'NM Play'!$B$43,ROUNDDOWN(H427/'NM Play'!$B$12,0)+F427*'NM Play'!$B$10/'NM Play'!$B$44,(F427*'NM Play'!$B$10+ROUNDDOWN(G427/'NM Play'!$B$11,0)*'NM Play'!$B$43+ROUNDDOWN(H427/'NM Play'!$B$12,0)*'NM Play'!$B$44)/('NM Play'!$B$43+'NM Play'!$B$44)),ROUNDDOWN(G427/'NM Play'!$B$11,0)+F427*'NM Play'!$B$10/'NM Play'!$B$43)</f>
        <v/>
      </c>
      <c r="L427" s="160">
        <f>MIN(ROUNDDOWN(G427/'NM Play'!$B$11,0)+F427/('NM Play'!$B$43/'NM Play'!$B$15),ROUNDDOWN(H427/'NM Play'!$B$12,0)+F427/('NM Play'!$B$44/'NM Play'!$B$16),(F427+ROUNDDOWN(G427/'NM Play'!$B$11,0)*'NM Play'!$B$43/'NM Play'!$B$15+ROUNDDOWN(H427/'NM Play'!$B$12,0)*'NM Play'!$B$44/'NM Play'!$B$16)/('NM Play'!$B$43/'NM Play'!$B$15+'NM Play'!$B$44/'NM Play'!$B$16))</f>
        <v/>
      </c>
      <c r="M427" s="160">
        <f>F427*'NM Play'!$B$36</f>
        <v/>
      </c>
      <c r="N427" s="160">
        <f>ROUNDDOWN(MAX(0,MIN(J427,K427:M427)),0)</f>
        <v/>
      </c>
      <c r="O427" s="160">
        <f>ROUNDUP(MAX(0,N427*'NM Play'!$B$11-G427)/'NM Play'!$B$13,0)</f>
        <v/>
      </c>
      <c r="P427" s="160">
        <f>ROUNDUP(MAX(0,N427*'NM Play'!$B$12-H427)/'NM Play'!$B$14,0)</f>
        <v/>
      </c>
      <c r="Q427" s="160">
        <f>(O427+IF('Sites'!$C$8="Own sheets",P427,0))/'NM Play'!$B$10</f>
        <v/>
      </c>
      <c r="R427" s="160">
        <f>O427/'NM Play'!$B$15+P427/'NM Play'!$B$16</f>
        <v/>
      </c>
      <c r="S427" s="160">
        <f>MAX(Q427,R427,N427/'NM Play'!$B$36)</f>
        <v/>
      </c>
      <c r="T427" s="160">
        <f>Q427*'NM Play'!$B$10*'NM Play'!$B$21*(1+'NM Play'!$B$35)</f>
        <v/>
      </c>
      <c r="U427" s="160">
        <f>MAX(0,T427-I427)</f>
        <v/>
      </c>
      <c r="V427" s="160">
        <f>G427+O427*'NM Play'!$B$13-N427*'NM Play'!$B$11</f>
        <v/>
      </c>
      <c r="W427" s="160">
        <f>H427+P427*'NM Play'!$B$14-N427*'NM Play'!$B$12</f>
        <v/>
      </c>
      <c r="X427" s="160">
        <f>I427+U427-T427</f>
        <v/>
      </c>
      <c r="Y427" s="160">
        <f>MIN(N427,MAX(0,ROUNDDOWN('Sites'!$N$8*'Cases'!$E$9,0)-SUM(Y426:Y426)))</f>
        <v/>
      </c>
      <c r="Z427" s="160">
        <f>N427-Y427</f>
        <v/>
      </c>
      <c r="AA427" s="160">
        <f>U427*'NM Play'!$B$22</f>
        <v/>
      </c>
      <c r="AB427" s="160">
        <f>N427*SUM('NM Play'!$B$29:$B$31)</f>
        <v/>
      </c>
      <c r="AC427" s="160">
        <f>IF('Sites'!$C$8="Defy legs",P427*'NM Play'!$B$14/'NM Play'!$B$12*'NM Play'!$B$28,0)</f>
        <v/>
      </c>
      <c r="AD427" s="160">
        <f>Q427*'NM Play'!$B$23</f>
        <v/>
      </c>
      <c r="AE427" s="160">
        <f>S427*SUM('NM Play'!$B$26,'NM Play'!$B$33:$B$34)</f>
        <v/>
      </c>
      <c r="AF427" s="160">
        <f>IF('Sites'!$D$8="NM crew",S427*SUM('NM Play'!$B$24:$B$25),0)</f>
        <v/>
      </c>
      <c r="AG427" s="160">
        <f>IF('Sites'!$D$8="NM crew",S427*'NM Play'!$B$27,0)</f>
        <v/>
      </c>
      <c r="AH427" s="160">
        <f>N427*'Sites'!$Z$8*'NM Play'!$B$32</f>
        <v/>
      </c>
      <c r="AI427" s="160">
        <f>SUM(Y427:Z427)*'Sites'!$R$8</f>
        <v/>
      </c>
      <c r="AJ427" s="160">
        <f>SUM(AA427:AH427)</f>
        <v/>
      </c>
      <c r="AK427" s="160">
        <f>AJ427+(T427-U427)*'NM Play'!$B$22+MIN(G427,N427*'NM Play'!$B$11)/'NM Play'!$B$13*'NM Play'!$B$21*'NM Play'!$B$22+MIN(H427,N427*'NM Play'!$B$12)/'NM Play'!$B$14*IF('Sites'!$C$8="Own sheets",'NM Play'!$B$21*'NM Play'!$B$22,'NM Play'!$B$28*'NM Play'!$B$14/'NM Play'!$B$12)</f>
        <v/>
      </c>
      <c r="AL427" s="160">
        <f>Y427*'Assumptions'!AC66</f>
        <v/>
      </c>
      <c r="AM427" s="160">
        <f>IF('Sites'!$D$8="NM crew",S427*'NM Play'!$B$37*(1+IF(AND(ISNUMBER('NM Play'!$B$25),'NM Play'!$B$25&gt;0),1,0)),"")</f>
        <v/>
      </c>
      <c r="AN427" s="160">
        <f>IF(OR('Sites'!$E$8&lt;0,'Sites'!$E$8&gt;1,'Sites'!$F$8&lt;1,'Sites'!$G$8&lt;'Sites'!$F$8,F427&lt;0,MIN('Sites'!$I$8:'Sites'!$R$8)&lt;0,'Sites'!$L$8&gt;'Sites'!$I$8,'Sites'!$M$8&gt;'Sites'!$J$8,'Sites'!$N$8&gt;'Sites'!$K$8,'Sites'!$Z$8&lt;0,'Sites'!$Z$8&gt;1,MIN('Sites'!$AA$8:'Sites'!$AC$8)&lt;0,S427&gt;F427+0.001),1,0)</f>
        <v/>
      </c>
      <c r="AO427" s="160">
        <f>I427+U427-T427-X427</f>
        <v/>
      </c>
    </row>
    <row r="428" ht="28" customHeight="1">
      <c r="A428" s="4" t="inlineStr">
        <is>
          <t>Delayed receipts</t>
        </is>
      </c>
      <c r="B428" s="4" t="inlineStr">
        <is>
          <t>NEW2</t>
        </is>
      </c>
      <c r="C428" s="160" t="n">
        <v>27</v>
      </c>
      <c r="D428" s="160">
        <f>ROUNDUP(C428/12,0)</f>
        <v/>
      </c>
      <c r="E428" s="160">
        <f>IF(AND('Sites'!$E$8*'Cases'!$F$9=1,C428&gt;='Sites'!$F$8+'Cases'!$G$9,C428&lt;='Sites'!$G$8),1,0)</f>
        <v/>
      </c>
      <c r="F428" s="160">
        <f>E428*'Assumptions'!AD69</f>
        <v/>
      </c>
      <c r="G428" s="160">
        <f>V427</f>
        <v/>
      </c>
      <c r="H428" s="160">
        <f>W427</f>
        <v/>
      </c>
      <c r="I428" s="160">
        <f>X427</f>
        <v/>
      </c>
      <c r="J428" s="160">
        <f>MAX(0,'Sites'!$K$8-SUM(N426:N427))</f>
        <v/>
      </c>
      <c r="K428" s="160">
        <f>IF('Sites'!$C$8="Own sheets",MIN(ROUNDDOWN(G428/'NM Play'!$B$11,0)+F428*'NM Play'!$B$10/'NM Play'!$B$43,ROUNDDOWN(H428/'NM Play'!$B$12,0)+F428*'NM Play'!$B$10/'NM Play'!$B$44,(F428*'NM Play'!$B$10+ROUNDDOWN(G428/'NM Play'!$B$11,0)*'NM Play'!$B$43+ROUNDDOWN(H428/'NM Play'!$B$12,0)*'NM Play'!$B$44)/('NM Play'!$B$43+'NM Play'!$B$44)),ROUNDDOWN(G428/'NM Play'!$B$11,0)+F428*'NM Play'!$B$10/'NM Play'!$B$43)</f>
        <v/>
      </c>
      <c r="L428" s="160">
        <f>MIN(ROUNDDOWN(G428/'NM Play'!$B$11,0)+F428/('NM Play'!$B$43/'NM Play'!$B$15),ROUNDDOWN(H428/'NM Play'!$B$12,0)+F428/('NM Play'!$B$44/'NM Play'!$B$16),(F428+ROUNDDOWN(G428/'NM Play'!$B$11,0)*'NM Play'!$B$43/'NM Play'!$B$15+ROUNDDOWN(H428/'NM Play'!$B$12,0)*'NM Play'!$B$44/'NM Play'!$B$16)/('NM Play'!$B$43/'NM Play'!$B$15+'NM Play'!$B$44/'NM Play'!$B$16))</f>
        <v/>
      </c>
      <c r="M428" s="160">
        <f>F428*'NM Play'!$B$36</f>
        <v/>
      </c>
      <c r="N428" s="160">
        <f>ROUNDDOWN(MAX(0,MIN(J428,K428:M428)),0)</f>
        <v/>
      </c>
      <c r="O428" s="160">
        <f>ROUNDUP(MAX(0,N428*'NM Play'!$B$11-G428)/'NM Play'!$B$13,0)</f>
        <v/>
      </c>
      <c r="P428" s="160">
        <f>ROUNDUP(MAX(0,N428*'NM Play'!$B$12-H428)/'NM Play'!$B$14,0)</f>
        <v/>
      </c>
      <c r="Q428" s="160">
        <f>(O428+IF('Sites'!$C$8="Own sheets",P428,0))/'NM Play'!$B$10</f>
        <v/>
      </c>
      <c r="R428" s="160">
        <f>O428/'NM Play'!$B$15+P428/'NM Play'!$B$16</f>
        <v/>
      </c>
      <c r="S428" s="160">
        <f>MAX(Q428,R428,N428/'NM Play'!$B$36)</f>
        <v/>
      </c>
      <c r="T428" s="160">
        <f>Q428*'NM Play'!$B$10*'NM Play'!$B$21*(1+'NM Play'!$B$35)</f>
        <v/>
      </c>
      <c r="U428" s="160">
        <f>MAX(0,T428-I428)</f>
        <v/>
      </c>
      <c r="V428" s="160">
        <f>G428+O428*'NM Play'!$B$13-N428*'NM Play'!$B$11</f>
        <v/>
      </c>
      <c r="W428" s="160">
        <f>H428+P428*'NM Play'!$B$14-N428*'NM Play'!$B$12</f>
        <v/>
      </c>
      <c r="X428" s="160">
        <f>I428+U428-T428</f>
        <v/>
      </c>
      <c r="Y428" s="160">
        <f>MIN(N428,MAX(0,ROUNDDOWN('Sites'!$N$8*'Cases'!$E$9,0)-SUM(Y426:Y427)))</f>
        <v/>
      </c>
      <c r="Z428" s="160">
        <f>N428-Y428</f>
        <v/>
      </c>
      <c r="AA428" s="160">
        <f>U428*'NM Play'!$B$22</f>
        <v/>
      </c>
      <c r="AB428" s="160">
        <f>N428*SUM('NM Play'!$B$29:$B$31)</f>
        <v/>
      </c>
      <c r="AC428" s="160">
        <f>IF('Sites'!$C$8="Defy legs",P428*'NM Play'!$B$14/'NM Play'!$B$12*'NM Play'!$B$28,0)</f>
        <v/>
      </c>
      <c r="AD428" s="160">
        <f>Q428*'NM Play'!$B$23</f>
        <v/>
      </c>
      <c r="AE428" s="160">
        <f>S428*SUM('NM Play'!$B$26,'NM Play'!$B$33:$B$34)</f>
        <v/>
      </c>
      <c r="AF428" s="160">
        <f>IF('Sites'!$D$8="NM crew",S428*SUM('NM Play'!$B$24:$B$25),0)</f>
        <v/>
      </c>
      <c r="AG428" s="160">
        <f>IF('Sites'!$D$8="NM crew",S428*'NM Play'!$B$27,0)</f>
        <v/>
      </c>
      <c r="AH428" s="160">
        <f>N428*'Sites'!$Z$8*'NM Play'!$B$32</f>
        <v/>
      </c>
      <c r="AI428" s="160">
        <f>SUM(Y428:Z428)*'Sites'!$R$8</f>
        <v/>
      </c>
      <c r="AJ428" s="160">
        <f>SUM(AA428:AH428)</f>
        <v/>
      </c>
      <c r="AK428" s="160">
        <f>AJ428+(T428-U428)*'NM Play'!$B$22+MIN(G428,N428*'NM Play'!$B$11)/'NM Play'!$B$13*'NM Play'!$B$21*'NM Play'!$B$22+MIN(H428,N428*'NM Play'!$B$12)/'NM Play'!$B$14*IF('Sites'!$C$8="Own sheets",'NM Play'!$B$21*'NM Play'!$B$22,'NM Play'!$B$28*'NM Play'!$B$14/'NM Play'!$B$12)</f>
        <v/>
      </c>
      <c r="AL428" s="160">
        <f>Y428*'Assumptions'!AD66</f>
        <v/>
      </c>
      <c r="AM428" s="160">
        <f>IF('Sites'!$D$8="NM crew",S428*'NM Play'!$B$37*(1+IF(AND(ISNUMBER('NM Play'!$B$25),'NM Play'!$B$25&gt;0),1,0)),"")</f>
        <v/>
      </c>
      <c r="AN428" s="160">
        <f>IF(OR('Sites'!$E$8&lt;0,'Sites'!$E$8&gt;1,'Sites'!$F$8&lt;1,'Sites'!$G$8&lt;'Sites'!$F$8,F428&lt;0,MIN('Sites'!$I$8:'Sites'!$R$8)&lt;0,'Sites'!$L$8&gt;'Sites'!$I$8,'Sites'!$M$8&gt;'Sites'!$J$8,'Sites'!$N$8&gt;'Sites'!$K$8,'Sites'!$Z$8&lt;0,'Sites'!$Z$8&gt;1,MIN('Sites'!$AA$8:'Sites'!$AC$8)&lt;0,S428&gt;F428+0.001),1,0)</f>
        <v/>
      </c>
      <c r="AO428" s="160">
        <f>I428+U428-T428-X428</f>
        <v/>
      </c>
    </row>
    <row r="429" ht="28" customHeight="1">
      <c r="A429" s="4" t="inlineStr">
        <is>
          <t>Delayed receipts</t>
        </is>
      </c>
      <c r="B429" s="4" t="inlineStr">
        <is>
          <t>NEW2</t>
        </is>
      </c>
      <c r="C429" s="160" t="n">
        <v>28</v>
      </c>
      <c r="D429" s="160">
        <f>ROUNDUP(C429/12,0)</f>
        <v/>
      </c>
      <c r="E429" s="160">
        <f>IF(AND('Sites'!$E$8*'Cases'!$F$9=1,C429&gt;='Sites'!$F$8+'Cases'!$G$9,C429&lt;='Sites'!$G$8),1,0)</f>
        <v/>
      </c>
      <c r="F429" s="160">
        <f>E429*'Assumptions'!AE69</f>
        <v/>
      </c>
      <c r="G429" s="160">
        <f>V428</f>
        <v/>
      </c>
      <c r="H429" s="160">
        <f>W428</f>
        <v/>
      </c>
      <c r="I429" s="160">
        <f>X428</f>
        <v/>
      </c>
      <c r="J429" s="160">
        <f>MAX(0,'Sites'!$K$8-SUM(N426:N428))</f>
        <v/>
      </c>
      <c r="K429" s="160">
        <f>IF('Sites'!$C$8="Own sheets",MIN(ROUNDDOWN(G429/'NM Play'!$B$11,0)+F429*'NM Play'!$B$10/'NM Play'!$B$43,ROUNDDOWN(H429/'NM Play'!$B$12,0)+F429*'NM Play'!$B$10/'NM Play'!$B$44,(F429*'NM Play'!$B$10+ROUNDDOWN(G429/'NM Play'!$B$11,0)*'NM Play'!$B$43+ROUNDDOWN(H429/'NM Play'!$B$12,0)*'NM Play'!$B$44)/('NM Play'!$B$43+'NM Play'!$B$44)),ROUNDDOWN(G429/'NM Play'!$B$11,0)+F429*'NM Play'!$B$10/'NM Play'!$B$43)</f>
        <v/>
      </c>
      <c r="L429" s="160">
        <f>MIN(ROUNDDOWN(G429/'NM Play'!$B$11,0)+F429/('NM Play'!$B$43/'NM Play'!$B$15),ROUNDDOWN(H429/'NM Play'!$B$12,0)+F429/('NM Play'!$B$44/'NM Play'!$B$16),(F429+ROUNDDOWN(G429/'NM Play'!$B$11,0)*'NM Play'!$B$43/'NM Play'!$B$15+ROUNDDOWN(H429/'NM Play'!$B$12,0)*'NM Play'!$B$44/'NM Play'!$B$16)/('NM Play'!$B$43/'NM Play'!$B$15+'NM Play'!$B$44/'NM Play'!$B$16))</f>
        <v/>
      </c>
      <c r="M429" s="160">
        <f>F429*'NM Play'!$B$36</f>
        <v/>
      </c>
      <c r="N429" s="160">
        <f>ROUNDDOWN(MAX(0,MIN(J429,K429:M429)),0)</f>
        <v/>
      </c>
      <c r="O429" s="160">
        <f>ROUNDUP(MAX(0,N429*'NM Play'!$B$11-G429)/'NM Play'!$B$13,0)</f>
        <v/>
      </c>
      <c r="P429" s="160">
        <f>ROUNDUP(MAX(0,N429*'NM Play'!$B$12-H429)/'NM Play'!$B$14,0)</f>
        <v/>
      </c>
      <c r="Q429" s="160">
        <f>(O429+IF('Sites'!$C$8="Own sheets",P429,0))/'NM Play'!$B$10</f>
        <v/>
      </c>
      <c r="R429" s="160">
        <f>O429/'NM Play'!$B$15+P429/'NM Play'!$B$16</f>
        <v/>
      </c>
      <c r="S429" s="160">
        <f>MAX(Q429,R429,N429/'NM Play'!$B$36)</f>
        <v/>
      </c>
      <c r="T429" s="160">
        <f>Q429*'NM Play'!$B$10*'NM Play'!$B$21*(1+'NM Play'!$B$35)</f>
        <v/>
      </c>
      <c r="U429" s="160">
        <f>MAX(0,T429-I429)</f>
        <v/>
      </c>
      <c r="V429" s="160">
        <f>G429+O429*'NM Play'!$B$13-N429*'NM Play'!$B$11</f>
        <v/>
      </c>
      <c r="W429" s="160">
        <f>H429+P429*'NM Play'!$B$14-N429*'NM Play'!$B$12</f>
        <v/>
      </c>
      <c r="X429" s="160">
        <f>I429+U429-T429</f>
        <v/>
      </c>
      <c r="Y429" s="160">
        <f>MIN(N429,MAX(0,ROUNDDOWN('Sites'!$N$8*'Cases'!$E$9,0)-SUM(Y426:Y428)))</f>
        <v/>
      </c>
      <c r="Z429" s="160">
        <f>N429-Y429</f>
        <v/>
      </c>
      <c r="AA429" s="160">
        <f>U429*'NM Play'!$B$22</f>
        <v/>
      </c>
      <c r="AB429" s="160">
        <f>N429*SUM('NM Play'!$B$29:$B$31)</f>
        <v/>
      </c>
      <c r="AC429" s="160">
        <f>IF('Sites'!$C$8="Defy legs",P429*'NM Play'!$B$14/'NM Play'!$B$12*'NM Play'!$B$28,0)</f>
        <v/>
      </c>
      <c r="AD429" s="160">
        <f>Q429*'NM Play'!$B$23</f>
        <v/>
      </c>
      <c r="AE429" s="160">
        <f>S429*SUM('NM Play'!$B$26,'NM Play'!$B$33:$B$34)</f>
        <v/>
      </c>
      <c r="AF429" s="160">
        <f>IF('Sites'!$D$8="NM crew",S429*SUM('NM Play'!$B$24:$B$25),0)</f>
        <v/>
      </c>
      <c r="AG429" s="160">
        <f>IF('Sites'!$D$8="NM crew",S429*'NM Play'!$B$27,0)</f>
        <v/>
      </c>
      <c r="AH429" s="160">
        <f>N429*'Sites'!$Z$8*'NM Play'!$B$32</f>
        <v/>
      </c>
      <c r="AI429" s="160">
        <f>SUM(Y429:Z429)*'Sites'!$R$8</f>
        <v/>
      </c>
      <c r="AJ429" s="160">
        <f>SUM(AA429:AH429)</f>
        <v/>
      </c>
      <c r="AK429" s="160">
        <f>AJ429+(T429-U429)*'NM Play'!$B$22+MIN(G429,N429*'NM Play'!$B$11)/'NM Play'!$B$13*'NM Play'!$B$21*'NM Play'!$B$22+MIN(H429,N429*'NM Play'!$B$12)/'NM Play'!$B$14*IF('Sites'!$C$8="Own sheets",'NM Play'!$B$21*'NM Play'!$B$22,'NM Play'!$B$28*'NM Play'!$B$14/'NM Play'!$B$12)</f>
        <v/>
      </c>
      <c r="AL429" s="160">
        <f>Y429*'Assumptions'!AE66</f>
        <v/>
      </c>
      <c r="AM429" s="160">
        <f>IF('Sites'!$D$8="NM crew",S429*'NM Play'!$B$37*(1+IF(AND(ISNUMBER('NM Play'!$B$25),'NM Play'!$B$25&gt;0),1,0)),"")</f>
        <v/>
      </c>
      <c r="AN429" s="160">
        <f>IF(OR('Sites'!$E$8&lt;0,'Sites'!$E$8&gt;1,'Sites'!$F$8&lt;1,'Sites'!$G$8&lt;'Sites'!$F$8,F429&lt;0,MIN('Sites'!$I$8:'Sites'!$R$8)&lt;0,'Sites'!$L$8&gt;'Sites'!$I$8,'Sites'!$M$8&gt;'Sites'!$J$8,'Sites'!$N$8&gt;'Sites'!$K$8,'Sites'!$Z$8&lt;0,'Sites'!$Z$8&gt;1,MIN('Sites'!$AA$8:'Sites'!$AC$8)&lt;0,S429&gt;F429+0.001),1,0)</f>
        <v/>
      </c>
      <c r="AO429" s="160">
        <f>I429+U429-T429-X429</f>
        <v/>
      </c>
    </row>
    <row r="430" ht="28" customHeight="1">
      <c r="A430" s="4" t="inlineStr">
        <is>
          <t>Delayed receipts</t>
        </is>
      </c>
      <c r="B430" s="4" t="inlineStr">
        <is>
          <t>NEW2</t>
        </is>
      </c>
      <c r="C430" s="160" t="n">
        <v>29</v>
      </c>
      <c r="D430" s="160">
        <f>ROUNDUP(C430/12,0)</f>
        <v/>
      </c>
      <c r="E430" s="160">
        <f>IF(AND('Sites'!$E$8*'Cases'!$F$9=1,C430&gt;='Sites'!$F$8+'Cases'!$G$9,C430&lt;='Sites'!$G$8),1,0)</f>
        <v/>
      </c>
      <c r="F430" s="160">
        <f>E430*'Assumptions'!AF69</f>
        <v/>
      </c>
      <c r="G430" s="160">
        <f>V429</f>
        <v/>
      </c>
      <c r="H430" s="160">
        <f>W429</f>
        <v/>
      </c>
      <c r="I430" s="160">
        <f>X429</f>
        <v/>
      </c>
      <c r="J430" s="160">
        <f>MAX(0,'Sites'!$K$8-SUM(N426:N429))</f>
        <v/>
      </c>
      <c r="K430" s="160">
        <f>IF('Sites'!$C$8="Own sheets",MIN(ROUNDDOWN(G430/'NM Play'!$B$11,0)+F430*'NM Play'!$B$10/'NM Play'!$B$43,ROUNDDOWN(H430/'NM Play'!$B$12,0)+F430*'NM Play'!$B$10/'NM Play'!$B$44,(F430*'NM Play'!$B$10+ROUNDDOWN(G430/'NM Play'!$B$11,0)*'NM Play'!$B$43+ROUNDDOWN(H430/'NM Play'!$B$12,0)*'NM Play'!$B$44)/('NM Play'!$B$43+'NM Play'!$B$44)),ROUNDDOWN(G430/'NM Play'!$B$11,0)+F430*'NM Play'!$B$10/'NM Play'!$B$43)</f>
        <v/>
      </c>
      <c r="L430" s="160">
        <f>MIN(ROUNDDOWN(G430/'NM Play'!$B$11,0)+F430/('NM Play'!$B$43/'NM Play'!$B$15),ROUNDDOWN(H430/'NM Play'!$B$12,0)+F430/('NM Play'!$B$44/'NM Play'!$B$16),(F430+ROUNDDOWN(G430/'NM Play'!$B$11,0)*'NM Play'!$B$43/'NM Play'!$B$15+ROUNDDOWN(H430/'NM Play'!$B$12,0)*'NM Play'!$B$44/'NM Play'!$B$16)/('NM Play'!$B$43/'NM Play'!$B$15+'NM Play'!$B$44/'NM Play'!$B$16))</f>
        <v/>
      </c>
      <c r="M430" s="160">
        <f>F430*'NM Play'!$B$36</f>
        <v/>
      </c>
      <c r="N430" s="160">
        <f>ROUNDDOWN(MAX(0,MIN(J430,K430:M430)),0)</f>
        <v/>
      </c>
      <c r="O430" s="160">
        <f>ROUNDUP(MAX(0,N430*'NM Play'!$B$11-G430)/'NM Play'!$B$13,0)</f>
        <v/>
      </c>
      <c r="P430" s="160">
        <f>ROUNDUP(MAX(0,N430*'NM Play'!$B$12-H430)/'NM Play'!$B$14,0)</f>
        <v/>
      </c>
      <c r="Q430" s="160">
        <f>(O430+IF('Sites'!$C$8="Own sheets",P430,0))/'NM Play'!$B$10</f>
        <v/>
      </c>
      <c r="R430" s="160">
        <f>O430/'NM Play'!$B$15+P430/'NM Play'!$B$16</f>
        <v/>
      </c>
      <c r="S430" s="160">
        <f>MAX(Q430,R430,N430/'NM Play'!$B$36)</f>
        <v/>
      </c>
      <c r="T430" s="160">
        <f>Q430*'NM Play'!$B$10*'NM Play'!$B$21*(1+'NM Play'!$B$35)</f>
        <v/>
      </c>
      <c r="U430" s="160">
        <f>MAX(0,T430-I430)</f>
        <v/>
      </c>
      <c r="V430" s="160">
        <f>G430+O430*'NM Play'!$B$13-N430*'NM Play'!$B$11</f>
        <v/>
      </c>
      <c r="W430" s="160">
        <f>H430+P430*'NM Play'!$B$14-N430*'NM Play'!$B$12</f>
        <v/>
      </c>
      <c r="X430" s="160">
        <f>I430+U430-T430</f>
        <v/>
      </c>
      <c r="Y430" s="160">
        <f>MIN(N430,MAX(0,ROUNDDOWN('Sites'!$N$8*'Cases'!$E$9,0)-SUM(Y426:Y429)))</f>
        <v/>
      </c>
      <c r="Z430" s="160">
        <f>N430-Y430</f>
        <v/>
      </c>
      <c r="AA430" s="160">
        <f>U430*'NM Play'!$B$22</f>
        <v/>
      </c>
      <c r="AB430" s="160">
        <f>N430*SUM('NM Play'!$B$29:$B$31)</f>
        <v/>
      </c>
      <c r="AC430" s="160">
        <f>IF('Sites'!$C$8="Defy legs",P430*'NM Play'!$B$14/'NM Play'!$B$12*'NM Play'!$B$28,0)</f>
        <v/>
      </c>
      <c r="AD430" s="160">
        <f>Q430*'NM Play'!$B$23</f>
        <v/>
      </c>
      <c r="AE430" s="160">
        <f>S430*SUM('NM Play'!$B$26,'NM Play'!$B$33:$B$34)</f>
        <v/>
      </c>
      <c r="AF430" s="160">
        <f>IF('Sites'!$D$8="NM crew",S430*SUM('NM Play'!$B$24:$B$25),0)</f>
        <v/>
      </c>
      <c r="AG430" s="160">
        <f>IF('Sites'!$D$8="NM crew",S430*'NM Play'!$B$27,0)</f>
        <v/>
      </c>
      <c r="AH430" s="160">
        <f>N430*'Sites'!$Z$8*'NM Play'!$B$32</f>
        <v/>
      </c>
      <c r="AI430" s="160">
        <f>SUM(Y430:Z430)*'Sites'!$R$8</f>
        <v/>
      </c>
      <c r="AJ430" s="160">
        <f>SUM(AA430:AH430)</f>
        <v/>
      </c>
      <c r="AK430" s="160">
        <f>AJ430+(T430-U430)*'NM Play'!$B$22+MIN(G430,N430*'NM Play'!$B$11)/'NM Play'!$B$13*'NM Play'!$B$21*'NM Play'!$B$22+MIN(H430,N430*'NM Play'!$B$12)/'NM Play'!$B$14*IF('Sites'!$C$8="Own sheets",'NM Play'!$B$21*'NM Play'!$B$22,'NM Play'!$B$28*'NM Play'!$B$14/'NM Play'!$B$12)</f>
        <v/>
      </c>
      <c r="AL430" s="160">
        <f>Y430*'Assumptions'!AF66</f>
        <v/>
      </c>
      <c r="AM430" s="160">
        <f>IF('Sites'!$D$8="NM crew",S430*'NM Play'!$B$37*(1+IF(AND(ISNUMBER('NM Play'!$B$25),'NM Play'!$B$25&gt;0),1,0)),"")</f>
        <v/>
      </c>
      <c r="AN430" s="160">
        <f>IF(OR('Sites'!$E$8&lt;0,'Sites'!$E$8&gt;1,'Sites'!$F$8&lt;1,'Sites'!$G$8&lt;'Sites'!$F$8,F430&lt;0,MIN('Sites'!$I$8:'Sites'!$R$8)&lt;0,'Sites'!$L$8&gt;'Sites'!$I$8,'Sites'!$M$8&gt;'Sites'!$J$8,'Sites'!$N$8&gt;'Sites'!$K$8,'Sites'!$Z$8&lt;0,'Sites'!$Z$8&gt;1,MIN('Sites'!$AA$8:'Sites'!$AC$8)&lt;0,S430&gt;F430+0.001),1,0)</f>
        <v/>
      </c>
      <c r="AO430" s="160">
        <f>I430+U430-T430-X430</f>
        <v/>
      </c>
    </row>
    <row r="431" ht="28" customHeight="1">
      <c r="A431" s="4" t="inlineStr">
        <is>
          <t>Delayed receipts</t>
        </is>
      </c>
      <c r="B431" s="4" t="inlineStr">
        <is>
          <t>NEW2</t>
        </is>
      </c>
      <c r="C431" s="160" t="n">
        <v>30</v>
      </c>
      <c r="D431" s="160">
        <f>ROUNDUP(C431/12,0)</f>
        <v/>
      </c>
      <c r="E431" s="160">
        <f>IF(AND('Sites'!$E$8*'Cases'!$F$9=1,C431&gt;='Sites'!$F$8+'Cases'!$G$9,C431&lt;='Sites'!$G$8),1,0)</f>
        <v/>
      </c>
      <c r="F431" s="160">
        <f>E431*'Assumptions'!AG69</f>
        <v/>
      </c>
      <c r="G431" s="160">
        <f>V430</f>
        <v/>
      </c>
      <c r="H431" s="160">
        <f>W430</f>
        <v/>
      </c>
      <c r="I431" s="160">
        <f>X430</f>
        <v/>
      </c>
      <c r="J431" s="160">
        <f>MAX(0,'Sites'!$K$8-SUM(N426:N430))</f>
        <v/>
      </c>
      <c r="K431" s="160">
        <f>IF('Sites'!$C$8="Own sheets",MIN(ROUNDDOWN(G431/'NM Play'!$B$11,0)+F431*'NM Play'!$B$10/'NM Play'!$B$43,ROUNDDOWN(H431/'NM Play'!$B$12,0)+F431*'NM Play'!$B$10/'NM Play'!$B$44,(F431*'NM Play'!$B$10+ROUNDDOWN(G431/'NM Play'!$B$11,0)*'NM Play'!$B$43+ROUNDDOWN(H431/'NM Play'!$B$12,0)*'NM Play'!$B$44)/('NM Play'!$B$43+'NM Play'!$B$44)),ROUNDDOWN(G431/'NM Play'!$B$11,0)+F431*'NM Play'!$B$10/'NM Play'!$B$43)</f>
        <v/>
      </c>
      <c r="L431" s="160">
        <f>MIN(ROUNDDOWN(G431/'NM Play'!$B$11,0)+F431/('NM Play'!$B$43/'NM Play'!$B$15),ROUNDDOWN(H431/'NM Play'!$B$12,0)+F431/('NM Play'!$B$44/'NM Play'!$B$16),(F431+ROUNDDOWN(G431/'NM Play'!$B$11,0)*'NM Play'!$B$43/'NM Play'!$B$15+ROUNDDOWN(H431/'NM Play'!$B$12,0)*'NM Play'!$B$44/'NM Play'!$B$16)/('NM Play'!$B$43/'NM Play'!$B$15+'NM Play'!$B$44/'NM Play'!$B$16))</f>
        <v/>
      </c>
      <c r="M431" s="160">
        <f>F431*'NM Play'!$B$36</f>
        <v/>
      </c>
      <c r="N431" s="160">
        <f>ROUNDDOWN(MAX(0,MIN(J431,K431:M431)),0)</f>
        <v/>
      </c>
      <c r="O431" s="160">
        <f>ROUNDUP(MAX(0,N431*'NM Play'!$B$11-G431)/'NM Play'!$B$13,0)</f>
        <v/>
      </c>
      <c r="P431" s="160">
        <f>ROUNDUP(MAX(0,N431*'NM Play'!$B$12-H431)/'NM Play'!$B$14,0)</f>
        <v/>
      </c>
      <c r="Q431" s="160">
        <f>(O431+IF('Sites'!$C$8="Own sheets",P431,0))/'NM Play'!$B$10</f>
        <v/>
      </c>
      <c r="R431" s="160">
        <f>O431/'NM Play'!$B$15+P431/'NM Play'!$B$16</f>
        <v/>
      </c>
      <c r="S431" s="160">
        <f>MAX(Q431,R431,N431/'NM Play'!$B$36)</f>
        <v/>
      </c>
      <c r="T431" s="160">
        <f>Q431*'NM Play'!$B$10*'NM Play'!$B$21*(1+'NM Play'!$B$35)</f>
        <v/>
      </c>
      <c r="U431" s="160">
        <f>MAX(0,T431-I431)</f>
        <v/>
      </c>
      <c r="V431" s="160">
        <f>G431+O431*'NM Play'!$B$13-N431*'NM Play'!$B$11</f>
        <v/>
      </c>
      <c r="W431" s="160">
        <f>H431+P431*'NM Play'!$B$14-N431*'NM Play'!$B$12</f>
        <v/>
      </c>
      <c r="X431" s="160">
        <f>I431+U431-T431</f>
        <v/>
      </c>
      <c r="Y431" s="160">
        <f>MIN(N431,MAX(0,ROUNDDOWN('Sites'!$N$8*'Cases'!$E$9,0)-SUM(Y426:Y430)))</f>
        <v/>
      </c>
      <c r="Z431" s="160">
        <f>N431-Y431</f>
        <v/>
      </c>
      <c r="AA431" s="160">
        <f>U431*'NM Play'!$B$22</f>
        <v/>
      </c>
      <c r="AB431" s="160">
        <f>N431*SUM('NM Play'!$B$29:$B$31)</f>
        <v/>
      </c>
      <c r="AC431" s="160">
        <f>IF('Sites'!$C$8="Defy legs",P431*'NM Play'!$B$14/'NM Play'!$B$12*'NM Play'!$B$28,0)</f>
        <v/>
      </c>
      <c r="AD431" s="160">
        <f>Q431*'NM Play'!$B$23</f>
        <v/>
      </c>
      <c r="AE431" s="160">
        <f>S431*SUM('NM Play'!$B$26,'NM Play'!$B$33:$B$34)</f>
        <v/>
      </c>
      <c r="AF431" s="160">
        <f>IF('Sites'!$D$8="NM crew",S431*SUM('NM Play'!$B$24:$B$25),0)</f>
        <v/>
      </c>
      <c r="AG431" s="160">
        <f>IF('Sites'!$D$8="NM crew",S431*'NM Play'!$B$27,0)</f>
        <v/>
      </c>
      <c r="AH431" s="160">
        <f>N431*'Sites'!$Z$8*'NM Play'!$B$32</f>
        <v/>
      </c>
      <c r="AI431" s="160">
        <f>SUM(Y431:Z431)*'Sites'!$R$8</f>
        <v/>
      </c>
      <c r="AJ431" s="160">
        <f>SUM(AA431:AH431)</f>
        <v/>
      </c>
      <c r="AK431" s="160">
        <f>AJ431+(T431-U431)*'NM Play'!$B$22+MIN(G431,N431*'NM Play'!$B$11)/'NM Play'!$B$13*'NM Play'!$B$21*'NM Play'!$B$22+MIN(H431,N431*'NM Play'!$B$12)/'NM Play'!$B$14*IF('Sites'!$C$8="Own sheets",'NM Play'!$B$21*'NM Play'!$B$22,'NM Play'!$B$28*'NM Play'!$B$14/'NM Play'!$B$12)</f>
        <v/>
      </c>
      <c r="AL431" s="160">
        <f>Y431*'Assumptions'!AG66</f>
        <v/>
      </c>
      <c r="AM431" s="160">
        <f>IF('Sites'!$D$8="NM crew",S431*'NM Play'!$B$37*(1+IF(AND(ISNUMBER('NM Play'!$B$25),'NM Play'!$B$25&gt;0),1,0)),"")</f>
        <v/>
      </c>
      <c r="AN431" s="160">
        <f>IF(OR('Sites'!$E$8&lt;0,'Sites'!$E$8&gt;1,'Sites'!$F$8&lt;1,'Sites'!$G$8&lt;'Sites'!$F$8,F431&lt;0,MIN('Sites'!$I$8:'Sites'!$R$8)&lt;0,'Sites'!$L$8&gt;'Sites'!$I$8,'Sites'!$M$8&gt;'Sites'!$J$8,'Sites'!$N$8&gt;'Sites'!$K$8,'Sites'!$Z$8&lt;0,'Sites'!$Z$8&gt;1,MIN('Sites'!$AA$8:'Sites'!$AC$8)&lt;0,S431&gt;F431+0.001),1,0)</f>
        <v/>
      </c>
      <c r="AO431" s="160">
        <f>I431+U431-T431-X431</f>
        <v/>
      </c>
    </row>
    <row r="432" ht="28" customHeight="1">
      <c r="A432" s="4" t="inlineStr">
        <is>
          <t>Delayed receipts</t>
        </is>
      </c>
      <c r="B432" s="4" t="inlineStr">
        <is>
          <t>NEW2</t>
        </is>
      </c>
      <c r="C432" s="160" t="n">
        <v>31</v>
      </c>
      <c r="D432" s="160">
        <f>ROUNDUP(C432/12,0)</f>
        <v/>
      </c>
      <c r="E432" s="160">
        <f>IF(AND('Sites'!$E$8*'Cases'!$F$9=1,C432&gt;='Sites'!$F$8+'Cases'!$G$9,C432&lt;='Sites'!$G$8),1,0)</f>
        <v/>
      </c>
      <c r="F432" s="160">
        <f>E432*'Assumptions'!AH69</f>
        <v/>
      </c>
      <c r="G432" s="160">
        <f>V431</f>
        <v/>
      </c>
      <c r="H432" s="160">
        <f>W431</f>
        <v/>
      </c>
      <c r="I432" s="160">
        <f>X431</f>
        <v/>
      </c>
      <c r="J432" s="160">
        <f>MAX(0,'Sites'!$K$8-SUM(N426:N431))</f>
        <v/>
      </c>
      <c r="K432" s="160">
        <f>IF('Sites'!$C$8="Own sheets",MIN(ROUNDDOWN(G432/'NM Play'!$B$11,0)+F432*'NM Play'!$B$10/'NM Play'!$B$43,ROUNDDOWN(H432/'NM Play'!$B$12,0)+F432*'NM Play'!$B$10/'NM Play'!$B$44,(F432*'NM Play'!$B$10+ROUNDDOWN(G432/'NM Play'!$B$11,0)*'NM Play'!$B$43+ROUNDDOWN(H432/'NM Play'!$B$12,0)*'NM Play'!$B$44)/('NM Play'!$B$43+'NM Play'!$B$44)),ROUNDDOWN(G432/'NM Play'!$B$11,0)+F432*'NM Play'!$B$10/'NM Play'!$B$43)</f>
        <v/>
      </c>
      <c r="L432" s="160">
        <f>MIN(ROUNDDOWN(G432/'NM Play'!$B$11,0)+F432/('NM Play'!$B$43/'NM Play'!$B$15),ROUNDDOWN(H432/'NM Play'!$B$12,0)+F432/('NM Play'!$B$44/'NM Play'!$B$16),(F432+ROUNDDOWN(G432/'NM Play'!$B$11,0)*'NM Play'!$B$43/'NM Play'!$B$15+ROUNDDOWN(H432/'NM Play'!$B$12,0)*'NM Play'!$B$44/'NM Play'!$B$16)/('NM Play'!$B$43/'NM Play'!$B$15+'NM Play'!$B$44/'NM Play'!$B$16))</f>
        <v/>
      </c>
      <c r="M432" s="160">
        <f>F432*'NM Play'!$B$36</f>
        <v/>
      </c>
      <c r="N432" s="160">
        <f>ROUNDDOWN(MAX(0,MIN(J432,K432:M432)),0)</f>
        <v/>
      </c>
      <c r="O432" s="160">
        <f>ROUNDUP(MAX(0,N432*'NM Play'!$B$11-G432)/'NM Play'!$B$13,0)</f>
        <v/>
      </c>
      <c r="P432" s="160">
        <f>ROUNDUP(MAX(0,N432*'NM Play'!$B$12-H432)/'NM Play'!$B$14,0)</f>
        <v/>
      </c>
      <c r="Q432" s="160">
        <f>(O432+IF('Sites'!$C$8="Own sheets",P432,0))/'NM Play'!$B$10</f>
        <v/>
      </c>
      <c r="R432" s="160">
        <f>O432/'NM Play'!$B$15+P432/'NM Play'!$B$16</f>
        <v/>
      </c>
      <c r="S432" s="160">
        <f>MAX(Q432,R432,N432/'NM Play'!$B$36)</f>
        <v/>
      </c>
      <c r="T432" s="160">
        <f>Q432*'NM Play'!$B$10*'NM Play'!$B$21*(1+'NM Play'!$B$35)</f>
        <v/>
      </c>
      <c r="U432" s="160">
        <f>MAX(0,T432-I432)</f>
        <v/>
      </c>
      <c r="V432" s="160">
        <f>G432+O432*'NM Play'!$B$13-N432*'NM Play'!$B$11</f>
        <v/>
      </c>
      <c r="W432" s="160">
        <f>H432+P432*'NM Play'!$B$14-N432*'NM Play'!$B$12</f>
        <v/>
      </c>
      <c r="X432" s="160">
        <f>I432+U432-T432</f>
        <v/>
      </c>
      <c r="Y432" s="160">
        <f>MIN(N432,MAX(0,ROUNDDOWN('Sites'!$N$8*'Cases'!$E$9,0)-SUM(Y426:Y431)))</f>
        <v/>
      </c>
      <c r="Z432" s="160">
        <f>N432-Y432</f>
        <v/>
      </c>
      <c r="AA432" s="160">
        <f>U432*'NM Play'!$B$22</f>
        <v/>
      </c>
      <c r="AB432" s="160">
        <f>N432*SUM('NM Play'!$B$29:$B$31)</f>
        <v/>
      </c>
      <c r="AC432" s="160">
        <f>IF('Sites'!$C$8="Defy legs",P432*'NM Play'!$B$14/'NM Play'!$B$12*'NM Play'!$B$28,0)</f>
        <v/>
      </c>
      <c r="AD432" s="160">
        <f>Q432*'NM Play'!$B$23</f>
        <v/>
      </c>
      <c r="AE432" s="160">
        <f>S432*SUM('NM Play'!$B$26,'NM Play'!$B$33:$B$34)</f>
        <v/>
      </c>
      <c r="AF432" s="160">
        <f>IF('Sites'!$D$8="NM crew",S432*SUM('NM Play'!$B$24:$B$25),0)</f>
        <v/>
      </c>
      <c r="AG432" s="160">
        <f>IF('Sites'!$D$8="NM crew",S432*'NM Play'!$B$27,0)</f>
        <v/>
      </c>
      <c r="AH432" s="160">
        <f>N432*'Sites'!$Z$8*'NM Play'!$B$32</f>
        <v/>
      </c>
      <c r="AI432" s="160">
        <f>SUM(Y432:Z432)*'Sites'!$R$8</f>
        <v/>
      </c>
      <c r="AJ432" s="160">
        <f>SUM(AA432:AH432)</f>
        <v/>
      </c>
      <c r="AK432" s="160">
        <f>AJ432+(T432-U432)*'NM Play'!$B$22+MIN(G432,N432*'NM Play'!$B$11)/'NM Play'!$B$13*'NM Play'!$B$21*'NM Play'!$B$22+MIN(H432,N432*'NM Play'!$B$12)/'NM Play'!$B$14*IF('Sites'!$C$8="Own sheets",'NM Play'!$B$21*'NM Play'!$B$22,'NM Play'!$B$28*'NM Play'!$B$14/'NM Play'!$B$12)</f>
        <v/>
      </c>
      <c r="AL432" s="160">
        <f>Y432*'Assumptions'!AH66</f>
        <v/>
      </c>
      <c r="AM432" s="160">
        <f>IF('Sites'!$D$8="NM crew",S432*'NM Play'!$B$37*(1+IF(AND(ISNUMBER('NM Play'!$B$25),'NM Play'!$B$25&gt;0),1,0)),"")</f>
        <v/>
      </c>
      <c r="AN432" s="160">
        <f>IF(OR('Sites'!$E$8&lt;0,'Sites'!$E$8&gt;1,'Sites'!$F$8&lt;1,'Sites'!$G$8&lt;'Sites'!$F$8,F432&lt;0,MIN('Sites'!$I$8:'Sites'!$R$8)&lt;0,'Sites'!$L$8&gt;'Sites'!$I$8,'Sites'!$M$8&gt;'Sites'!$J$8,'Sites'!$N$8&gt;'Sites'!$K$8,'Sites'!$Z$8&lt;0,'Sites'!$Z$8&gt;1,MIN('Sites'!$AA$8:'Sites'!$AC$8)&lt;0,S432&gt;F432+0.001),1,0)</f>
        <v/>
      </c>
      <c r="AO432" s="160">
        <f>I432+U432-T432-X432</f>
        <v/>
      </c>
    </row>
    <row r="433" ht="28" customHeight="1">
      <c r="A433" s="4" t="inlineStr">
        <is>
          <t>Delayed receipts</t>
        </is>
      </c>
      <c r="B433" s="4" t="inlineStr">
        <is>
          <t>NEW2</t>
        </is>
      </c>
      <c r="C433" s="160" t="n">
        <v>32</v>
      </c>
      <c r="D433" s="160">
        <f>ROUNDUP(C433/12,0)</f>
        <v/>
      </c>
      <c r="E433" s="160">
        <f>IF(AND('Sites'!$E$8*'Cases'!$F$9=1,C433&gt;='Sites'!$F$8+'Cases'!$G$9,C433&lt;='Sites'!$G$8),1,0)</f>
        <v/>
      </c>
      <c r="F433" s="160">
        <f>E433*'Assumptions'!AI69</f>
        <v/>
      </c>
      <c r="G433" s="160">
        <f>V432</f>
        <v/>
      </c>
      <c r="H433" s="160">
        <f>W432</f>
        <v/>
      </c>
      <c r="I433" s="160">
        <f>X432</f>
        <v/>
      </c>
      <c r="J433" s="160">
        <f>MAX(0,'Sites'!$K$8-SUM(N426:N432))</f>
        <v/>
      </c>
      <c r="K433" s="160">
        <f>IF('Sites'!$C$8="Own sheets",MIN(ROUNDDOWN(G433/'NM Play'!$B$11,0)+F433*'NM Play'!$B$10/'NM Play'!$B$43,ROUNDDOWN(H433/'NM Play'!$B$12,0)+F433*'NM Play'!$B$10/'NM Play'!$B$44,(F433*'NM Play'!$B$10+ROUNDDOWN(G433/'NM Play'!$B$11,0)*'NM Play'!$B$43+ROUNDDOWN(H433/'NM Play'!$B$12,0)*'NM Play'!$B$44)/('NM Play'!$B$43+'NM Play'!$B$44)),ROUNDDOWN(G433/'NM Play'!$B$11,0)+F433*'NM Play'!$B$10/'NM Play'!$B$43)</f>
        <v/>
      </c>
      <c r="L433" s="160">
        <f>MIN(ROUNDDOWN(G433/'NM Play'!$B$11,0)+F433/('NM Play'!$B$43/'NM Play'!$B$15),ROUNDDOWN(H433/'NM Play'!$B$12,0)+F433/('NM Play'!$B$44/'NM Play'!$B$16),(F433+ROUNDDOWN(G433/'NM Play'!$B$11,0)*'NM Play'!$B$43/'NM Play'!$B$15+ROUNDDOWN(H433/'NM Play'!$B$12,0)*'NM Play'!$B$44/'NM Play'!$B$16)/('NM Play'!$B$43/'NM Play'!$B$15+'NM Play'!$B$44/'NM Play'!$B$16))</f>
        <v/>
      </c>
      <c r="M433" s="160">
        <f>F433*'NM Play'!$B$36</f>
        <v/>
      </c>
      <c r="N433" s="160">
        <f>ROUNDDOWN(MAX(0,MIN(J433,K433:M433)),0)</f>
        <v/>
      </c>
      <c r="O433" s="160">
        <f>ROUNDUP(MAX(0,N433*'NM Play'!$B$11-G433)/'NM Play'!$B$13,0)</f>
        <v/>
      </c>
      <c r="P433" s="160">
        <f>ROUNDUP(MAX(0,N433*'NM Play'!$B$12-H433)/'NM Play'!$B$14,0)</f>
        <v/>
      </c>
      <c r="Q433" s="160">
        <f>(O433+IF('Sites'!$C$8="Own sheets",P433,0))/'NM Play'!$B$10</f>
        <v/>
      </c>
      <c r="R433" s="160">
        <f>O433/'NM Play'!$B$15+P433/'NM Play'!$B$16</f>
        <v/>
      </c>
      <c r="S433" s="160">
        <f>MAX(Q433,R433,N433/'NM Play'!$B$36)</f>
        <v/>
      </c>
      <c r="T433" s="160">
        <f>Q433*'NM Play'!$B$10*'NM Play'!$B$21*(1+'NM Play'!$B$35)</f>
        <v/>
      </c>
      <c r="U433" s="160">
        <f>MAX(0,T433-I433)</f>
        <v/>
      </c>
      <c r="V433" s="160">
        <f>G433+O433*'NM Play'!$B$13-N433*'NM Play'!$B$11</f>
        <v/>
      </c>
      <c r="W433" s="160">
        <f>H433+P433*'NM Play'!$B$14-N433*'NM Play'!$B$12</f>
        <v/>
      </c>
      <c r="X433" s="160">
        <f>I433+U433-T433</f>
        <v/>
      </c>
      <c r="Y433" s="160">
        <f>MIN(N433,MAX(0,ROUNDDOWN('Sites'!$N$8*'Cases'!$E$9,0)-SUM(Y426:Y432)))</f>
        <v/>
      </c>
      <c r="Z433" s="160">
        <f>N433-Y433</f>
        <v/>
      </c>
      <c r="AA433" s="160">
        <f>U433*'NM Play'!$B$22</f>
        <v/>
      </c>
      <c r="AB433" s="160">
        <f>N433*SUM('NM Play'!$B$29:$B$31)</f>
        <v/>
      </c>
      <c r="AC433" s="160">
        <f>IF('Sites'!$C$8="Defy legs",P433*'NM Play'!$B$14/'NM Play'!$B$12*'NM Play'!$B$28,0)</f>
        <v/>
      </c>
      <c r="AD433" s="160">
        <f>Q433*'NM Play'!$B$23</f>
        <v/>
      </c>
      <c r="AE433" s="160">
        <f>S433*SUM('NM Play'!$B$26,'NM Play'!$B$33:$B$34)</f>
        <v/>
      </c>
      <c r="AF433" s="160">
        <f>IF('Sites'!$D$8="NM crew",S433*SUM('NM Play'!$B$24:$B$25),0)</f>
        <v/>
      </c>
      <c r="AG433" s="160">
        <f>IF('Sites'!$D$8="NM crew",S433*'NM Play'!$B$27,0)</f>
        <v/>
      </c>
      <c r="AH433" s="160">
        <f>N433*'Sites'!$Z$8*'NM Play'!$B$32</f>
        <v/>
      </c>
      <c r="AI433" s="160">
        <f>SUM(Y433:Z433)*'Sites'!$R$8</f>
        <v/>
      </c>
      <c r="AJ433" s="160">
        <f>SUM(AA433:AH433)</f>
        <v/>
      </c>
      <c r="AK433" s="160">
        <f>AJ433+(T433-U433)*'NM Play'!$B$22+MIN(G433,N433*'NM Play'!$B$11)/'NM Play'!$B$13*'NM Play'!$B$21*'NM Play'!$B$22+MIN(H433,N433*'NM Play'!$B$12)/'NM Play'!$B$14*IF('Sites'!$C$8="Own sheets",'NM Play'!$B$21*'NM Play'!$B$22,'NM Play'!$B$28*'NM Play'!$B$14/'NM Play'!$B$12)</f>
        <v/>
      </c>
      <c r="AL433" s="160">
        <f>Y433*'Assumptions'!AI66</f>
        <v/>
      </c>
      <c r="AM433" s="160">
        <f>IF('Sites'!$D$8="NM crew",S433*'NM Play'!$B$37*(1+IF(AND(ISNUMBER('NM Play'!$B$25),'NM Play'!$B$25&gt;0),1,0)),"")</f>
        <v/>
      </c>
      <c r="AN433" s="160">
        <f>IF(OR('Sites'!$E$8&lt;0,'Sites'!$E$8&gt;1,'Sites'!$F$8&lt;1,'Sites'!$G$8&lt;'Sites'!$F$8,F433&lt;0,MIN('Sites'!$I$8:'Sites'!$R$8)&lt;0,'Sites'!$L$8&gt;'Sites'!$I$8,'Sites'!$M$8&gt;'Sites'!$J$8,'Sites'!$N$8&gt;'Sites'!$K$8,'Sites'!$Z$8&lt;0,'Sites'!$Z$8&gt;1,MIN('Sites'!$AA$8:'Sites'!$AC$8)&lt;0,S433&gt;F433+0.001),1,0)</f>
        <v/>
      </c>
      <c r="AO433" s="160">
        <f>I433+U433-T433-X433</f>
        <v/>
      </c>
    </row>
    <row r="434" ht="28" customHeight="1">
      <c r="A434" s="4" t="inlineStr">
        <is>
          <t>Delayed receipts</t>
        </is>
      </c>
      <c r="B434" s="4" t="inlineStr">
        <is>
          <t>NEW2</t>
        </is>
      </c>
      <c r="C434" s="160" t="n">
        <v>33</v>
      </c>
      <c r="D434" s="160">
        <f>ROUNDUP(C434/12,0)</f>
        <v/>
      </c>
      <c r="E434" s="160">
        <f>IF(AND('Sites'!$E$8*'Cases'!$F$9=1,C434&gt;='Sites'!$F$8+'Cases'!$G$9,C434&lt;='Sites'!$G$8),1,0)</f>
        <v/>
      </c>
      <c r="F434" s="160">
        <f>E434*'Assumptions'!AJ69</f>
        <v/>
      </c>
      <c r="G434" s="160">
        <f>V433</f>
        <v/>
      </c>
      <c r="H434" s="160">
        <f>W433</f>
        <v/>
      </c>
      <c r="I434" s="160">
        <f>X433</f>
        <v/>
      </c>
      <c r="J434" s="160">
        <f>MAX(0,'Sites'!$K$8-SUM(N426:N433))</f>
        <v/>
      </c>
      <c r="K434" s="160">
        <f>IF('Sites'!$C$8="Own sheets",MIN(ROUNDDOWN(G434/'NM Play'!$B$11,0)+F434*'NM Play'!$B$10/'NM Play'!$B$43,ROUNDDOWN(H434/'NM Play'!$B$12,0)+F434*'NM Play'!$B$10/'NM Play'!$B$44,(F434*'NM Play'!$B$10+ROUNDDOWN(G434/'NM Play'!$B$11,0)*'NM Play'!$B$43+ROUNDDOWN(H434/'NM Play'!$B$12,0)*'NM Play'!$B$44)/('NM Play'!$B$43+'NM Play'!$B$44)),ROUNDDOWN(G434/'NM Play'!$B$11,0)+F434*'NM Play'!$B$10/'NM Play'!$B$43)</f>
        <v/>
      </c>
      <c r="L434" s="160">
        <f>MIN(ROUNDDOWN(G434/'NM Play'!$B$11,0)+F434/('NM Play'!$B$43/'NM Play'!$B$15),ROUNDDOWN(H434/'NM Play'!$B$12,0)+F434/('NM Play'!$B$44/'NM Play'!$B$16),(F434+ROUNDDOWN(G434/'NM Play'!$B$11,0)*'NM Play'!$B$43/'NM Play'!$B$15+ROUNDDOWN(H434/'NM Play'!$B$12,0)*'NM Play'!$B$44/'NM Play'!$B$16)/('NM Play'!$B$43/'NM Play'!$B$15+'NM Play'!$B$44/'NM Play'!$B$16))</f>
        <v/>
      </c>
      <c r="M434" s="160">
        <f>F434*'NM Play'!$B$36</f>
        <v/>
      </c>
      <c r="N434" s="160">
        <f>ROUNDDOWN(MAX(0,MIN(J434,K434:M434)),0)</f>
        <v/>
      </c>
      <c r="O434" s="160">
        <f>ROUNDUP(MAX(0,N434*'NM Play'!$B$11-G434)/'NM Play'!$B$13,0)</f>
        <v/>
      </c>
      <c r="P434" s="160">
        <f>ROUNDUP(MAX(0,N434*'NM Play'!$B$12-H434)/'NM Play'!$B$14,0)</f>
        <v/>
      </c>
      <c r="Q434" s="160">
        <f>(O434+IF('Sites'!$C$8="Own sheets",P434,0))/'NM Play'!$B$10</f>
        <v/>
      </c>
      <c r="R434" s="160">
        <f>O434/'NM Play'!$B$15+P434/'NM Play'!$B$16</f>
        <v/>
      </c>
      <c r="S434" s="160">
        <f>MAX(Q434,R434,N434/'NM Play'!$B$36)</f>
        <v/>
      </c>
      <c r="T434" s="160">
        <f>Q434*'NM Play'!$B$10*'NM Play'!$B$21*(1+'NM Play'!$B$35)</f>
        <v/>
      </c>
      <c r="U434" s="160">
        <f>MAX(0,T434-I434)</f>
        <v/>
      </c>
      <c r="V434" s="160">
        <f>G434+O434*'NM Play'!$B$13-N434*'NM Play'!$B$11</f>
        <v/>
      </c>
      <c r="W434" s="160">
        <f>H434+P434*'NM Play'!$B$14-N434*'NM Play'!$B$12</f>
        <v/>
      </c>
      <c r="X434" s="160">
        <f>I434+U434-T434</f>
        <v/>
      </c>
      <c r="Y434" s="160">
        <f>MIN(N434,MAX(0,ROUNDDOWN('Sites'!$N$8*'Cases'!$E$9,0)-SUM(Y426:Y433)))</f>
        <v/>
      </c>
      <c r="Z434" s="160">
        <f>N434-Y434</f>
        <v/>
      </c>
      <c r="AA434" s="160">
        <f>U434*'NM Play'!$B$22</f>
        <v/>
      </c>
      <c r="AB434" s="160">
        <f>N434*SUM('NM Play'!$B$29:$B$31)</f>
        <v/>
      </c>
      <c r="AC434" s="160">
        <f>IF('Sites'!$C$8="Defy legs",P434*'NM Play'!$B$14/'NM Play'!$B$12*'NM Play'!$B$28,0)</f>
        <v/>
      </c>
      <c r="AD434" s="160">
        <f>Q434*'NM Play'!$B$23</f>
        <v/>
      </c>
      <c r="AE434" s="160">
        <f>S434*SUM('NM Play'!$B$26,'NM Play'!$B$33:$B$34)</f>
        <v/>
      </c>
      <c r="AF434" s="160">
        <f>IF('Sites'!$D$8="NM crew",S434*SUM('NM Play'!$B$24:$B$25),0)</f>
        <v/>
      </c>
      <c r="AG434" s="160">
        <f>IF('Sites'!$D$8="NM crew",S434*'NM Play'!$B$27,0)</f>
        <v/>
      </c>
      <c r="AH434" s="160">
        <f>N434*'Sites'!$Z$8*'NM Play'!$B$32</f>
        <v/>
      </c>
      <c r="AI434" s="160">
        <f>SUM(Y434:Z434)*'Sites'!$R$8</f>
        <v/>
      </c>
      <c r="AJ434" s="160">
        <f>SUM(AA434:AH434)</f>
        <v/>
      </c>
      <c r="AK434" s="160">
        <f>AJ434+(T434-U434)*'NM Play'!$B$22+MIN(G434,N434*'NM Play'!$B$11)/'NM Play'!$B$13*'NM Play'!$B$21*'NM Play'!$B$22+MIN(H434,N434*'NM Play'!$B$12)/'NM Play'!$B$14*IF('Sites'!$C$8="Own sheets",'NM Play'!$B$21*'NM Play'!$B$22,'NM Play'!$B$28*'NM Play'!$B$14/'NM Play'!$B$12)</f>
        <v/>
      </c>
      <c r="AL434" s="160">
        <f>Y434*'Assumptions'!AJ66</f>
        <v/>
      </c>
      <c r="AM434" s="160">
        <f>IF('Sites'!$D$8="NM crew",S434*'NM Play'!$B$37*(1+IF(AND(ISNUMBER('NM Play'!$B$25),'NM Play'!$B$25&gt;0),1,0)),"")</f>
        <v/>
      </c>
      <c r="AN434" s="160">
        <f>IF(OR('Sites'!$E$8&lt;0,'Sites'!$E$8&gt;1,'Sites'!$F$8&lt;1,'Sites'!$G$8&lt;'Sites'!$F$8,F434&lt;0,MIN('Sites'!$I$8:'Sites'!$R$8)&lt;0,'Sites'!$L$8&gt;'Sites'!$I$8,'Sites'!$M$8&gt;'Sites'!$J$8,'Sites'!$N$8&gt;'Sites'!$K$8,'Sites'!$Z$8&lt;0,'Sites'!$Z$8&gt;1,MIN('Sites'!$AA$8:'Sites'!$AC$8)&lt;0,S434&gt;F434+0.001),1,0)</f>
        <v/>
      </c>
      <c r="AO434" s="160">
        <f>I434+U434-T434-X434</f>
        <v/>
      </c>
    </row>
    <row r="435" ht="28" customHeight="1">
      <c r="A435" s="4" t="inlineStr">
        <is>
          <t>Delayed receipts</t>
        </is>
      </c>
      <c r="B435" s="4" t="inlineStr">
        <is>
          <t>NEW2</t>
        </is>
      </c>
      <c r="C435" s="160" t="n">
        <v>34</v>
      </c>
      <c r="D435" s="160">
        <f>ROUNDUP(C435/12,0)</f>
        <v/>
      </c>
      <c r="E435" s="160">
        <f>IF(AND('Sites'!$E$8*'Cases'!$F$9=1,C435&gt;='Sites'!$F$8+'Cases'!$G$9,C435&lt;='Sites'!$G$8),1,0)</f>
        <v/>
      </c>
      <c r="F435" s="160">
        <f>E435*'Assumptions'!AK69</f>
        <v/>
      </c>
      <c r="G435" s="160">
        <f>V434</f>
        <v/>
      </c>
      <c r="H435" s="160">
        <f>W434</f>
        <v/>
      </c>
      <c r="I435" s="160">
        <f>X434</f>
        <v/>
      </c>
      <c r="J435" s="160">
        <f>MAX(0,'Sites'!$K$8-SUM(N426:N434))</f>
        <v/>
      </c>
      <c r="K435" s="160">
        <f>IF('Sites'!$C$8="Own sheets",MIN(ROUNDDOWN(G435/'NM Play'!$B$11,0)+F435*'NM Play'!$B$10/'NM Play'!$B$43,ROUNDDOWN(H435/'NM Play'!$B$12,0)+F435*'NM Play'!$B$10/'NM Play'!$B$44,(F435*'NM Play'!$B$10+ROUNDDOWN(G435/'NM Play'!$B$11,0)*'NM Play'!$B$43+ROUNDDOWN(H435/'NM Play'!$B$12,0)*'NM Play'!$B$44)/('NM Play'!$B$43+'NM Play'!$B$44)),ROUNDDOWN(G435/'NM Play'!$B$11,0)+F435*'NM Play'!$B$10/'NM Play'!$B$43)</f>
        <v/>
      </c>
      <c r="L435" s="160">
        <f>MIN(ROUNDDOWN(G435/'NM Play'!$B$11,0)+F435/('NM Play'!$B$43/'NM Play'!$B$15),ROUNDDOWN(H435/'NM Play'!$B$12,0)+F435/('NM Play'!$B$44/'NM Play'!$B$16),(F435+ROUNDDOWN(G435/'NM Play'!$B$11,0)*'NM Play'!$B$43/'NM Play'!$B$15+ROUNDDOWN(H435/'NM Play'!$B$12,0)*'NM Play'!$B$44/'NM Play'!$B$16)/('NM Play'!$B$43/'NM Play'!$B$15+'NM Play'!$B$44/'NM Play'!$B$16))</f>
        <v/>
      </c>
      <c r="M435" s="160">
        <f>F435*'NM Play'!$B$36</f>
        <v/>
      </c>
      <c r="N435" s="160">
        <f>ROUNDDOWN(MAX(0,MIN(J435,K435:M435)),0)</f>
        <v/>
      </c>
      <c r="O435" s="160">
        <f>ROUNDUP(MAX(0,N435*'NM Play'!$B$11-G435)/'NM Play'!$B$13,0)</f>
        <v/>
      </c>
      <c r="P435" s="160">
        <f>ROUNDUP(MAX(0,N435*'NM Play'!$B$12-H435)/'NM Play'!$B$14,0)</f>
        <v/>
      </c>
      <c r="Q435" s="160">
        <f>(O435+IF('Sites'!$C$8="Own sheets",P435,0))/'NM Play'!$B$10</f>
        <v/>
      </c>
      <c r="R435" s="160">
        <f>O435/'NM Play'!$B$15+P435/'NM Play'!$B$16</f>
        <v/>
      </c>
      <c r="S435" s="160">
        <f>MAX(Q435,R435,N435/'NM Play'!$B$36)</f>
        <v/>
      </c>
      <c r="T435" s="160">
        <f>Q435*'NM Play'!$B$10*'NM Play'!$B$21*(1+'NM Play'!$B$35)</f>
        <v/>
      </c>
      <c r="U435" s="160">
        <f>MAX(0,T435-I435)</f>
        <v/>
      </c>
      <c r="V435" s="160">
        <f>G435+O435*'NM Play'!$B$13-N435*'NM Play'!$B$11</f>
        <v/>
      </c>
      <c r="W435" s="160">
        <f>H435+P435*'NM Play'!$B$14-N435*'NM Play'!$B$12</f>
        <v/>
      </c>
      <c r="X435" s="160">
        <f>I435+U435-T435</f>
        <v/>
      </c>
      <c r="Y435" s="160">
        <f>MIN(N435,MAX(0,ROUNDDOWN('Sites'!$N$8*'Cases'!$E$9,0)-SUM(Y426:Y434)))</f>
        <v/>
      </c>
      <c r="Z435" s="160">
        <f>N435-Y435</f>
        <v/>
      </c>
      <c r="AA435" s="160">
        <f>U435*'NM Play'!$B$22</f>
        <v/>
      </c>
      <c r="AB435" s="160">
        <f>N435*SUM('NM Play'!$B$29:$B$31)</f>
        <v/>
      </c>
      <c r="AC435" s="160">
        <f>IF('Sites'!$C$8="Defy legs",P435*'NM Play'!$B$14/'NM Play'!$B$12*'NM Play'!$B$28,0)</f>
        <v/>
      </c>
      <c r="AD435" s="160">
        <f>Q435*'NM Play'!$B$23</f>
        <v/>
      </c>
      <c r="AE435" s="160">
        <f>S435*SUM('NM Play'!$B$26,'NM Play'!$B$33:$B$34)</f>
        <v/>
      </c>
      <c r="AF435" s="160">
        <f>IF('Sites'!$D$8="NM crew",S435*SUM('NM Play'!$B$24:$B$25),0)</f>
        <v/>
      </c>
      <c r="AG435" s="160">
        <f>IF('Sites'!$D$8="NM crew",S435*'NM Play'!$B$27,0)</f>
        <v/>
      </c>
      <c r="AH435" s="160">
        <f>N435*'Sites'!$Z$8*'NM Play'!$B$32</f>
        <v/>
      </c>
      <c r="AI435" s="160">
        <f>SUM(Y435:Z435)*'Sites'!$R$8</f>
        <v/>
      </c>
      <c r="AJ435" s="160">
        <f>SUM(AA435:AH435)</f>
        <v/>
      </c>
      <c r="AK435" s="160">
        <f>AJ435+(T435-U435)*'NM Play'!$B$22+MIN(G435,N435*'NM Play'!$B$11)/'NM Play'!$B$13*'NM Play'!$B$21*'NM Play'!$B$22+MIN(H435,N435*'NM Play'!$B$12)/'NM Play'!$B$14*IF('Sites'!$C$8="Own sheets",'NM Play'!$B$21*'NM Play'!$B$22,'NM Play'!$B$28*'NM Play'!$B$14/'NM Play'!$B$12)</f>
        <v/>
      </c>
      <c r="AL435" s="160">
        <f>Y435*'Assumptions'!AK66</f>
        <v/>
      </c>
      <c r="AM435" s="160">
        <f>IF('Sites'!$D$8="NM crew",S435*'NM Play'!$B$37*(1+IF(AND(ISNUMBER('NM Play'!$B$25),'NM Play'!$B$25&gt;0),1,0)),"")</f>
        <v/>
      </c>
      <c r="AN435" s="160">
        <f>IF(OR('Sites'!$E$8&lt;0,'Sites'!$E$8&gt;1,'Sites'!$F$8&lt;1,'Sites'!$G$8&lt;'Sites'!$F$8,F435&lt;0,MIN('Sites'!$I$8:'Sites'!$R$8)&lt;0,'Sites'!$L$8&gt;'Sites'!$I$8,'Sites'!$M$8&gt;'Sites'!$J$8,'Sites'!$N$8&gt;'Sites'!$K$8,'Sites'!$Z$8&lt;0,'Sites'!$Z$8&gt;1,MIN('Sites'!$AA$8:'Sites'!$AC$8)&lt;0,S435&gt;F435+0.001),1,0)</f>
        <v/>
      </c>
      <c r="AO435" s="160">
        <f>I435+U435-T435-X435</f>
        <v/>
      </c>
    </row>
    <row r="436" ht="28" customHeight="1">
      <c r="A436" s="4" t="inlineStr">
        <is>
          <t>Delayed receipts</t>
        </is>
      </c>
      <c r="B436" s="4" t="inlineStr">
        <is>
          <t>NEW2</t>
        </is>
      </c>
      <c r="C436" s="160" t="n">
        <v>35</v>
      </c>
      <c r="D436" s="160">
        <f>ROUNDUP(C436/12,0)</f>
        <v/>
      </c>
      <c r="E436" s="160">
        <f>IF(AND('Sites'!$E$8*'Cases'!$F$9=1,C436&gt;='Sites'!$F$8+'Cases'!$G$9,C436&lt;='Sites'!$G$8),1,0)</f>
        <v/>
      </c>
      <c r="F436" s="160">
        <f>E436*'Assumptions'!AL69</f>
        <v/>
      </c>
      <c r="G436" s="160">
        <f>V435</f>
        <v/>
      </c>
      <c r="H436" s="160">
        <f>W435</f>
        <v/>
      </c>
      <c r="I436" s="160">
        <f>X435</f>
        <v/>
      </c>
      <c r="J436" s="160">
        <f>MAX(0,'Sites'!$K$8-SUM(N426:N435))</f>
        <v/>
      </c>
      <c r="K436" s="160">
        <f>IF('Sites'!$C$8="Own sheets",MIN(ROUNDDOWN(G436/'NM Play'!$B$11,0)+F436*'NM Play'!$B$10/'NM Play'!$B$43,ROUNDDOWN(H436/'NM Play'!$B$12,0)+F436*'NM Play'!$B$10/'NM Play'!$B$44,(F436*'NM Play'!$B$10+ROUNDDOWN(G436/'NM Play'!$B$11,0)*'NM Play'!$B$43+ROUNDDOWN(H436/'NM Play'!$B$12,0)*'NM Play'!$B$44)/('NM Play'!$B$43+'NM Play'!$B$44)),ROUNDDOWN(G436/'NM Play'!$B$11,0)+F436*'NM Play'!$B$10/'NM Play'!$B$43)</f>
        <v/>
      </c>
      <c r="L436" s="160">
        <f>MIN(ROUNDDOWN(G436/'NM Play'!$B$11,0)+F436/('NM Play'!$B$43/'NM Play'!$B$15),ROUNDDOWN(H436/'NM Play'!$B$12,0)+F436/('NM Play'!$B$44/'NM Play'!$B$16),(F436+ROUNDDOWN(G436/'NM Play'!$B$11,0)*'NM Play'!$B$43/'NM Play'!$B$15+ROUNDDOWN(H436/'NM Play'!$B$12,0)*'NM Play'!$B$44/'NM Play'!$B$16)/('NM Play'!$B$43/'NM Play'!$B$15+'NM Play'!$B$44/'NM Play'!$B$16))</f>
        <v/>
      </c>
      <c r="M436" s="160">
        <f>F436*'NM Play'!$B$36</f>
        <v/>
      </c>
      <c r="N436" s="160">
        <f>ROUNDDOWN(MAX(0,MIN(J436,K436:M436)),0)</f>
        <v/>
      </c>
      <c r="O436" s="160">
        <f>ROUNDUP(MAX(0,N436*'NM Play'!$B$11-G436)/'NM Play'!$B$13,0)</f>
        <v/>
      </c>
      <c r="P436" s="160">
        <f>ROUNDUP(MAX(0,N436*'NM Play'!$B$12-H436)/'NM Play'!$B$14,0)</f>
        <v/>
      </c>
      <c r="Q436" s="160">
        <f>(O436+IF('Sites'!$C$8="Own sheets",P436,0))/'NM Play'!$B$10</f>
        <v/>
      </c>
      <c r="R436" s="160">
        <f>O436/'NM Play'!$B$15+P436/'NM Play'!$B$16</f>
        <v/>
      </c>
      <c r="S436" s="160">
        <f>MAX(Q436,R436,N436/'NM Play'!$B$36)</f>
        <v/>
      </c>
      <c r="T436" s="160">
        <f>Q436*'NM Play'!$B$10*'NM Play'!$B$21*(1+'NM Play'!$B$35)</f>
        <v/>
      </c>
      <c r="U436" s="160">
        <f>MAX(0,T436-I436)</f>
        <v/>
      </c>
      <c r="V436" s="160">
        <f>G436+O436*'NM Play'!$B$13-N436*'NM Play'!$B$11</f>
        <v/>
      </c>
      <c r="W436" s="160">
        <f>H436+P436*'NM Play'!$B$14-N436*'NM Play'!$B$12</f>
        <v/>
      </c>
      <c r="X436" s="160">
        <f>I436+U436-T436</f>
        <v/>
      </c>
      <c r="Y436" s="160">
        <f>MIN(N436,MAX(0,ROUNDDOWN('Sites'!$N$8*'Cases'!$E$9,0)-SUM(Y426:Y435)))</f>
        <v/>
      </c>
      <c r="Z436" s="160">
        <f>N436-Y436</f>
        <v/>
      </c>
      <c r="AA436" s="160">
        <f>U436*'NM Play'!$B$22</f>
        <v/>
      </c>
      <c r="AB436" s="160">
        <f>N436*SUM('NM Play'!$B$29:$B$31)</f>
        <v/>
      </c>
      <c r="AC436" s="160">
        <f>IF('Sites'!$C$8="Defy legs",P436*'NM Play'!$B$14/'NM Play'!$B$12*'NM Play'!$B$28,0)</f>
        <v/>
      </c>
      <c r="AD436" s="160">
        <f>Q436*'NM Play'!$B$23</f>
        <v/>
      </c>
      <c r="AE436" s="160">
        <f>S436*SUM('NM Play'!$B$26,'NM Play'!$B$33:$B$34)</f>
        <v/>
      </c>
      <c r="AF436" s="160">
        <f>IF('Sites'!$D$8="NM crew",S436*SUM('NM Play'!$B$24:$B$25),0)</f>
        <v/>
      </c>
      <c r="AG436" s="160">
        <f>IF('Sites'!$D$8="NM crew",S436*'NM Play'!$B$27,0)</f>
        <v/>
      </c>
      <c r="AH436" s="160">
        <f>N436*'Sites'!$Z$8*'NM Play'!$B$32</f>
        <v/>
      </c>
      <c r="AI436" s="160">
        <f>SUM(Y436:Z436)*'Sites'!$R$8</f>
        <v/>
      </c>
      <c r="AJ436" s="160">
        <f>SUM(AA436:AH436)</f>
        <v/>
      </c>
      <c r="AK436" s="160">
        <f>AJ436+(T436-U436)*'NM Play'!$B$22+MIN(G436,N436*'NM Play'!$B$11)/'NM Play'!$B$13*'NM Play'!$B$21*'NM Play'!$B$22+MIN(H436,N436*'NM Play'!$B$12)/'NM Play'!$B$14*IF('Sites'!$C$8="Own sheets",'NM Play'!$B$21*'NM Play'!$B$22,'NM Play'!$B$28*'NM Play'!$B$14/'NM Play'!$B$12)</f>
        <v/>
      </c>
      <c r="AL436" s="160">
        <f>Y436*'Assumptions'!AL66</f>
        <v/>
      </c>
      <c r="AM436" s="160">
        <f>IF('Sites'!$D$8="NM crew",S436*'NM Play'!$B$37*(1+IF(AND(ISNUMBER('NM Play'!$B$25),'NM Play'!$B$25&gt;0),1,0)),"")</f>
        <v/>
      </c>
      <c r="AN436" s="160">
        <f>IF(OR('Sites'!$E$8&lt;0,'Sites'!$E$8&gt;1,'Sites'!$F$8&lt;1,'Sites'!$G$8&lt;'Sites'!$F$8,F436&lt;0,MIN('Sites'!$I$8:'Sites'!$R$8)&lt;0,'Sites'!$L$8&gt;'Sites'!$I$8,'Sites'!$M$8&gt;'Sites'!$J$8,'Sites'!$N$8&gt;'Sites'!$K$8,'Sites'!$Z$8&lt;0,'Sites'!$Z$8&gt;1,MIN('Sites'!$AA$8:'Sites'!$AC$8)&lt;0,S436&gt;F436+0.001),1,0)</f>
        <v/>
      </c>
      <c r="AO436" s="160">
        <f>I436+U436-T436-X436</f>
        <v/>
      </c>
    </row>
    <row r="437" ht="28" customHeight="1">
      <c r="A437" s="4" t="inlineStr">
        <is>
          <t>Delayed receipts</t>
        </is>
      </c>
      <c r="B437" s="4" t="inlineStr">
        <is>
          <t>NEW2</t>
        </is>
      </c>
      <c r="C437" s="160" t="n">
        <v>36</v>
      </c>
      <c r="D437" s="160">
        <f>ROUNDUP(C437/12,0)</f>
        <v/>
      </c>
      <c r="E437" s="160">
        <f>IF(AND('Sites'!$E$8*'Cases'!$F$9=1,C437&gt;='Sites'!$F$8+'Cases'!$G$9,C437&lt;='Sites'!$G$8),1,0)</f>
        <v/>
      </c>
      <c r="F437" s="160">
        <f>E437*'Assumptions'!AM69</f>
        <v/>
      </c>
      <c r="G437" s="160">
        <f>V436</f>
        <v/>
      </c>
      <c r="H437" s="160">
        <f>W436</f>
        <v/>
      </c>
      <c r="I437" s="160">
        <f>X436</f>
        <v/>
      </c>
      <c r="J437" s="160">
        <f>MAX(0,'Sites'!$K$8-SUM(N426:N436))</f>
        <v/>
      </c>
      <c r="K437" s="160">
        <f>IF('Sites'!$C$8="Own sheets",MIN(ROUNDDOWN(G437/'NM Play'!$B$11,0)+F437*'NM Play'!$B$10/'NM Play'!$B$43,ROUNDDOWN(H437/'NM Play'!$B$12,0)+F437*'NM Play'!$B$10/'NM Play'!$B$44,(F437*'NM Play'!$B$10+ROUNDDOWN(G437/'NM Play'!$B$11,0)*'NM Play'!$B$43+ROUNDDOWN(H437/'NM Play'!$B$12,0)*'NM Play'!$B$44)/('NM Play'!$B$43+'NM Play'!$B$44)),ROUNDDOWN(G437/'NM Play'!$B$11,0)+F437*'NM Play'!$B$10/'NM Play'!$B$43)</f>
        <v/>
      </c>
      <c r="L437" s="160">
        <f>MIN(ROUNDDOWN(G437/'NM Play'!$B$11,0)+F437/('NM Play'!$B$43/'NM Play'!$B$15),ROUNDDOWN(H437/'NM Play'!$B$12,0)+F437/('NM Play'!$B$44/'NM Play'!$B$16),(F437+ROUNDDOWN(G437/'NM Play'!$B$11,0)*'NM Play'!$B$43/'NM Play'!$B$15+ROUNDDOWN(H437/'NM Play'!$B$12,0)*'NM Play'!$B$44/'NM Play'!$B$16)/('NM Play'!$B$43/'NM Play'!$B$15+'NM Play'!$B$44/'NM Play'!$B$16))</f>
        <v/>
      </c>
      <c r="M437" s="160">
        <f>F437*'NM Play'!$B$36</f>
        <v/>
      </c>
      <c r="N437" s="160">
        <f>ROUNDDOWN(MAX(0,MIN(J437,K437:M437)),0)</f>
        <v/>
      </c>
      <c r="O437" s="160">
        <f>ROUNDUP(MAX(0,N437*'NM Play'!$B$11-G437)/'NM Play'!$B$13,0)</f>
        <v/>
      </c>
      <c r="P437" s="160">
        <f>ROUNDUP(MAX(0,N437*'NM Play'!$B$12-H437)/'NM Play'!$B$14,0)</f>
        <v/>
      </c>
      <c r="Q437" s="160">
        <f>(O437+IF('Sites'!$C$8="Own sheets",P437,0))/'NM Play'!$B$10</f>
        <v/>
      </c>
      <c r="R437" s="160">
        <f>O437/'NM Play'!$B$15+P437/'NM Play'!$B$16</f>
        <v/>
      </c>
      <c r="S437" s="160">
        <f>MAX(Q437,R437,N437/'NM Play'!$B$36)</f>
        <v/>
      </c>
      <c r="T437" s="160">
        <f>Q437*'NM Play'!$B$10*'NM Play'!$B$21*(1+'NM Play'!$B$35)</f>
        <v/>
      </c>
      <c r="U437" s="160">
        <f>MAX(0,T437-I437)</f>
        <v/>
      </c>
      <c r="V437" s="160">
        <f>G437+O437*'NM Play'!$B$13-N437*'NM Play'!$B$11</f>
        <v/>
      </c>
      <c r="W437" s="160">
        <f>H437+P437*'NM Play'!$B$14-N437*'NM Play'!$B$12</f>
        <v/>
      </c>
      <c r="X437" s="160">
        <f>I437+U437-T437</f>
        <v/>
      </c>
      <c r="Y437" s="160">
        <f>MIN(N437,MAX(0,ROUNDDOWN('Sites'!$N$8*'Cases'!$E$9,0)-SUM(Y426:Y436)))</f>
        <v/>
      </c>
      <c r="Z437" s="160">
        <f>N437-Y437</f>
        <v/>
      </c>
      <c r="AA437" s="160">
        <f>U437*'NM Play'!$B$22</f>
        <v/>
      </c>
      <c r="AB437" s="160">
        <f>N437*SUM('NM Play'!$B$29:$B$31)</f>
        <v/>
      </c>
      <c r="AC437" s="160">
        <f>IF('Sites'!$C$8="Defy legs",P437*'NM Play'!$B$14/'NM Play'!$B$12*'NM Play'!$B$28,0)</f>
        <v/>
      </c>
      <c r="AD437" s="160">
        <f>Q437*'NM Play'!$B$23</f>
        <v/>
      </c>
      <c r="AE437" s="160">
        <f>S437*SUM('NM Play'!$B$26,'NM Play'!$B$33:$B$34)</f>
        <v/>
      </c>
      <c r="AF437" s="160">
        <f>IF('Sites'!$D$8="NM crew",S437*SUM('NM Play'!$B$24:$B$25),0)</f>
        <v/>
      </c>
      <c r="AG437" s="160">
        <f>IF('Sites'!$D$8="NM crew",S437*'NM Play'!$B$27,0)</f>
        <v/>
      </c>
      <c r="AH437" s="160">
        <f>N437*'Sites'!$Z$8*'NM Play'!$B$32</f>
        <v/>
      </c>
      <c r="AI437" s="160">
        <f>SUM(Y437:Z437)*'Sites'!$R$8</f>
        <v/>
      </c>
      <c r="AJ437" s="160">
        <f>SUM(AA437:AH437)</f>
        <v/>
      </c>
      <c r="AK437" s="160">
        <f>AJ437+(T437-U437)*'NM Play'!$B$22+MIN(G437,N437*'NM Play'!$B$11)/'NM Play'!$B$13*'NM Play'!$B$21*'NM Play'!$B$22+MIN(H437,N437*'NM Play'!$B$12)/'NM Play'!$B$14*IF('Sites'!$C$8="Own sheets",'NM Play'!$B$21*'NM Play'!$B$22,'NM Play'!$B$28*'NM Play'!$B$14/'NM Play'!$B$12)</f>
        <v/>
      </c>
      <c r="AL437" s="160">
        <f>Y437*'Assumptions'!AM66</f>
        <v/>
      </c>
      <c r="AM437" s="160">
        <f>IF('Sites'!$D$8="NM crew",S437*'NM Play'!$B$37*(1+IF(AND(ISNUMBER('NM Play'!$B$25),'NM Play'!$B$25&gt;0),1,0)),"")</f>
        <v/>
      </c>
      <c r="AN437" s="160">
        <f>IF(OR('Sites'!$E$8&lt;0,'Sites'!$E$8&gt;1,'Sites'!$F$8&lt;1,'Sites'!$G$8&lt;'Sites'!$F$8,F437&lt;0,MIN('Sites'!$I$8:'Sites'!$R$8)&lt;0,'Sites'!$L$8&gt;'Sites'!$I$8,'Sites'!$M$8&gt;'Sites'!$J$8,'Sites'!$N$8&gt;'Sites'!$K$8,'Sites'!$Z$8&lt;0,'Sites'!$Z$8&gt;1,MIN('Sites'!$AA$8:'Sites'!$AC$8)&lt;0,S437&gt;F437+0.001),1,0)</f>
        <v/>
      </c>
      <c r="AO437" s="160">
        <f>I437+U437-T437-X437</f>
        <v/>
      </c>
    </row>
    <row r="438" ht="28" customHeight="1">
      <c r="A438" s="4" t="inlineStr">
        <is>
          <t>Lower sales</t>
        </is>
      </c>
      <c r="B438" s="4" t="inlineStr">
        <is>
          <t>WITTA</t>
        </is>
      </c>
      <c r="C438" s="160" t="n">
        <v>1</v>
      </c>
      <c r="D438" s="160">
        <f>ROUNDUP(C438/12,0)</f>
        <v/>
      </c>
      <c r="E438" s="160">
        <f>IF(AND('Sites'!$E$6=1,C438&gt;='Sites'!$F$6,C438&lt;='Sites'!$G$6),1,0)</f>
        <v/>
      </c>
      <c r="F438" s="160">
        <f>E438*'Assumptions'!D67</f>
        <v/>
      </c>
      <c r="G438" s="160">
        <f>'Sites'!$AA$6</f>
        <v/>
      </c>
      <c r="H438" s="160">
        <f>'Sites'!$AB$6</f>
        <v/>
      </c>
      <c r="I438" s="160">
        <f>'Sites'!$AC$6</f>
        <v/>
      </c>
      <c r="J438" s="160">
        <f>MAX(0,'Sites'!$I$6-0)</f>
        <v/>
      </c>
      <c r="K438" s="160">
        <f>IF('Sites'!$C$6="Own sheets",MIN(ROUNDDOWN(G438/'NM Play'!$B$11,0)+F438*'NM Play'!$B$10/'NM Play'!$B$43,ROUNDDOWN(H438/'NM Play'!$B$12,0)+F438*'NM Play'!$B$10/'NM Play'!$B$44,(F438*'NM Play'!$B$10+ROUNDDOWN(G438/'NM Play'!$B$11,0)*'NM Play'!$B$43+ROUNDDOWN(H438/'NM Play'!$B$12,0)*'NM Play'!$B$44)/('NM Play'!$B$43+'NM Play'!$B$44)),ROUNDDOWN(G438/'NM Play'!$B$11,0)+F438*'NM Play'!$B$10/'NM Play'!$B$43)</f>
        <v/>
      </c>
      <c r="L438" s="160">
        <f>MIN(ROUNDDOWN(G438/'NM Play'!$B$11,0)+F438/('NM Play'!$B$43/'NM Play'!$B$15),ROUNDDOWN(H438/'NM Play'!$B$12,0)+F438/('NM Play'!$B$44/'NM Play'!$B$16),(F438+ROUNDDOWN(G438/'NM Play'!$B$11,0)*'NM Play'!$B$43/'NM Play'!$B$15+ROUNDDOWN(H438/'NM Play'!$B$12,0)*'NM Play'!$B$44/'NM Play'!$B$16)/('NM Play'!$B$43/'NM Play'!$B$15+'NM Play'!$B$44/'NM Play'!$B$16))</f>
        <v/>
      </c>
      <c r="M438" s="160">
        <f>F438*'NM Play'!$B$36</f>
        <v/>
      </c>
      <c r="N438" s="160">
        <f>ROUNDDOWN(MAX(0,MIN(J438,K438:M438)),0)</f>
        <v/>
      </c>
      <c r="O438" s="160">
        <f>ROUNDUP(MAX(0,N438*'NM Play'!$B$11-G438)/'NM Play'!$B$13,0)</f>
        <v/>
      </c>
      <c r="P438" s="160">
        <f>ROUNDUP(MAX(0,N438*'NM Play'!$B$12-H438)/'NM Play'!$B$14,0)</f>
        <v/>
      </c>
      <c r="Q438" s="160">
        <f>(O438+IF('Sites'!$C$6="Own sheets",P438,0))/'NM Play'!$B$10</f>
        <v/>
      </c>
      <c r="R438" s="160">
        <f>O438/'NM Play'!$B$15+P438/'NM Play'!$B$16</f>
        <v/>
      </c>
      <c r="S438" s="160">
        <f>MAX(Q438,R438,N438/'NM Play'!$B$36)</f>
        <v/>
      </c>
      <c r="T438" s="160">
        <f>Q438*'NM Play'!$B$10*'NM Play'!$B$21*(1+'NM Play'!$B$35)</f>
        <v/>
      </c>
      <c r="U438" s="160">
        <f>MAX(0,T438-I438)</f>
        <v/>
      </c>
      <c r="V438" s="160">
        <f>G438+O438*'NM Play'!$B$13-N438*'NM Play'!$B$11</f>
        <v/>
      </c>
      <c r="W438" s="160">
        <f>H438+P438*'NM Play'!$B$14-N438*'NM Play'!$B$12</f>
        <v/>
      </c>
      <c r="X438" s="160">
        <f>I438+U438-T438</f>
        <v/>
      </c>
      <c r="Y438" s="160">
        <f>MIN(N438,MAX(0,ROUNDDOWN('Sites'!$L$6*'Cases'!$E$10,0)-0))</f>
        <v/>
      </c>
      <c r="Z438" s="160">
        <f>N438-Y438</f>
        <v/>
      </c>
      <c r="AA438" s="160">
        <f>U438*'NM Play'!$B$22</f>
        <v/>
      </c>
      <c r="AB438" s="160">
        <f>N438*SUM('NM Play'!$B$29:$B$31)</f>
        <v/>
      </c>
      <c r="AC438" s="160">
        <f>IF('Sites'!$C$6="Defy legs",P438*'NM Play'!$B$14/'NM Play'!$B$12*'NM Play'!$B$28,0)</f>
        <v/>
      </c>
      <c r="AD438" s="160">
        <f>Q438*'NM Play'!$B$23</f>
        <v/>
      </c>
      <c r="AE438" s="160">
        <f>S438*SUM('NM Play'!$B$26,'NM Play'!$B$33:$B$34)</f>
        <v/>
      </c>
      <c r="AF438" s="160">
        <f>IF('Sites'!$D$6="NM crew",S438*SUM('NM Play'!$B$24:$B$25),0)</f>
        <v/>
      </c>
      <c r="AG438" s="160">
        <f>IF('Sites'!$D$6="NM crew",S438*'NM Play'!$B$27,0)</f>
        <v/>
      </c>
      <c r="AH438" s="160">
        <f>N438*'Sites'!$Z$6*'NM Play'!$B$32</f>
        <v/>
      </c>
      <c r="AI438" s="160">
        <f>SUM(Y438:Z438)*'Sites'!$R$6</f>
        <v/>
      </c>
      <c r="AJ438" s="160">
        <f>SUM(AA438:AH438)</f>
        <v/>
      </c>
      <c r="AK438" s="160">
        <f>AJ438+(T438-U438)*'NM Play'!$B$22+MIN(G438,N438*'NM Play'!$B$11)/'NM Play'!$B$13*'NM Play'!$B$21*'NM Play'!$B$22+MIN(H438,N438*'NM Play'!$B$12)/'NM Play'!$B$14*IF('Sites'!$C$6="Own sheets",'NM Play'!$B$21*'NM Play'!$B$22,'NM Play'!$B$28*'NM Play'!$B$14/'NM Play'!$B$12)</f>
        <v/>
      </c>
      <c r="AL438" s="160">
        <f>Y438*'Assumptions'!D66</f>
        <v/>
      </c>
      <c r="AM438" s="160">
        <f>IF('Sites'!$D$6="NM crew",S438*'NM Play'!$B$37*(1+IF(AND(ISNUMBER('NM Play'!$B$25),'NM Play'!$B$25&gt;0),1,0)),"")</f>
        <v/>
      </c>
      <c r="AN438" s="160">
        <f>IF(OR('Sites'!$E$6&lt;0,'Sites'!$E$6&gt;1,'Sites'!$F$6&lt;1,'Sites'!$G$6&lt;'Sites'!$F$6,F438&lt;0,MIN('Sites'!$I$6:'Sites'!$R$6)&lt;0,'Sites'!$L$6&gt;'Sites'!$I$6,'Sites'!$M$6&gt;'Sites'!$J$6,'Sites'!$N$6&gt;'Sites'!$K$6,'Sites'!$Z$6&lt;0,'Sites'!$Z$6&gt;1,MIN('Sites'!$AA$6:'Sites'!$AC$6)&lt;0,S438&gt;F438+0.001),1,0)</f>
        <v/>
      </c>
      <c r="AO438" s="160">
        <f>I438+U438-T438-X438</f>
        <v/>
      </c>
    </row>
    <row r="439" ht="28" customHeight="1">
      <c r="A439" s="4" t="inlineStr">
        <is>
          <t>Lower sales</t>
        </is>
      </c>
      <c r="B439" s="4" t="inlineStr">
        <is>
          <t>WITTA</t>
        </is>
      </c>
      <c r="C439" s="160" t="n">
        <v>2</v>
      </c>
      <c r="D439" s="160">
        <f>ROUNDUP(C439/12,0)</f>
        <v/>
      </c>
      <c r="E439" s="160">
        <f>IF(AND('Sites'!$E$6=1,C439&gt;='Sites'!$F$6,C439&lt;='Sites'!$G$6),1,0)</f>
        <v/>
      </c>
      <c r="F439" s="160">
        <f>E439*'Assumptions'!E67</f>
        <v/>
      </c>
      <c r="G439" s="160">
        <f>V438</f>
        <v/>
      </c>
      <c r="H439" s="160">
        <f>W438</f>
        <v/>
      </c>
      <c r="I439" s="160">
        <f>X438</f>
        <v/>
      </c>
      <c r="J439" s="160">
        <f>MAX(0,'Sites'!$I$6-SUM(N438:N438))</f>
        <v/>
      </c>
      <c r="K439" s="160">
        <f>IF('Sites'!$C$6="Own sheets",MIN(ROUNDDOWN(G439/'NM Play'!$B$11,0)+F439*'NM Play'!$B$10/'NM Play'!$B$43,ROUNDDOWN(H439/'NM Play'!$B$12,0)+F439*'NM Play'!$B$10/'NM Play'!$B$44,(F439*'NM Play'!$B$10+ROUNDDOWN(G439/'NM Play'!$B$11,0)*'NM Play'!$B$43+ROUNDDOWN(H439/'NM Play'!$B$12,0)*'NM Play'!$B$44)/('NM Play'!$B$43+'NM Play'!$B$44)),ROUNDDOWN(G439/'NM Play'!$B$11,0)+F439*'NM Play'!$B$10/'NM Play'!$B$43)</f>
        <v/>
      </c>
      <c r="L439" s="160">
        <f>MIN(ROUNDDOWN(G439/'NM Play'!$B$11,0)+F439/('NM Play'!$B$43/'NM Play'!$B$15),ROUNDDOWN(H439/'NM Play'!$B$12,0)+F439/('NM Play'!$B$44/'NM Play'!$B$16),(F439+ROUNDDOWN(G439/'NM Play'!$B$11,0)*'NM Play'!$B$43/'NM Play'!$B$15+ROUNDDOWN(H439/'NM Play'!$B$12,0)*'NM Play'!$B$44/'NM Play'!$B$16)/('NM Play'!$B$43/'NM Play'!$B$15+'NM Play'!$B$44/'NM Play'!$B$16))</f>
        <v/>
      </c>
      <c r="M439" s="160">
        <f>F439*'NM Play'!$B$36</f>
        <v/>
      </c>
      <c r="N439" s="160">
        <f>ROUNDDOWN(MAX(0,MIN(J439,K439:M439)),0)</f>
        <v/>
      </c>
      <c r="O439" s="160">
        <f>ROUNDUP(MAX(0,N439*'NM Play'!$B$11-G439)/'NM Play'!$B$13,0)</f>
        <v/>
      </c>
      <c r="P439" s="160">
        <f>ROUNDUP(MAX(0,N439*'NM Play'!$B$12-H439)/'NM Play'!$B$14,0)</f>
        <v/>
      </c>
      <c r="Q439" s="160">
        <f>(O439+IF('Sites'!$C$6="Own sheets",P439,0))/'NM Play'!$B$10</f>
        <v/>
      </c>
      <c r="R439" s="160">
        <f>O439/'NM Play'!$B$15+P439/'NM Play'!$B$16</f>
        <v/>
      </c>
      <c r="S439" s="160">
        <f>MAX(Q439,R439,N439/'NM Play'!$B$36)</f>
        <v/>
      </c>
      <c r="T439" s="160">
        <f>Q439*'NM Play'!$B$10*'NM Play'!$B$21*(1+'NM Play'!$B$35)</f>
        <v/>
      </c>
      <c r="U439" s="160">
        <f>MAX(0,T439-I439)</f>
        <v/>
      </c>
      <c r="V439" s="160">
        <f>G439+O439*'NM Play'!$B$13-N439*'NM Play'!$B$11</f>
        <v/>
      </c>
      <c r="W439" s="160">
        <f>H439+P439*'NM Play'!$B$14-N439*'NM Play'!$B$12</f>
        <v/>
      </c>
      <c r="X439" s="160">
        <f>I439+U439-T439</f>
        <v/>
      </c>
      <c r="Y439" s="160">
        <f>MIN(N439,MAX(0,ROUNDDOWN('Sites'!$L$6*'Cases'!$E$10,0)-SUM(Y438:Y438)))</f>
        <v/>
      </c>
      <c r="Z439" s="160">
        <f>N439-Y439</f>
        <v/>
      </c>
      <c r="AA439" s="160">
        <f>U439*'NM Play'!$B$22</f>
        <v/>
      </c>
      <c r="AB439" s="160">
        <f>N439*SUM('NM Play'!$B$29:$B$31)</f>
        <v/>
      </c>
      <c r="AC439" s="160">
        <f>IF('Sites'!$C$6="Defy legs",P439*'NM Play'!$B$14/'NM Play'!$B$12*'NM Play'!$B$28,0)</f>
        <v/>
      </c>
      <c r="AD439" s="160">
        <f>Q439*'NM Play'!$B$23</f>
        <v/>
      </c>
      <c r="AE439" s="160">
        <f>S439*SUM('NM Play'!$B$26,'NM Play'!$B$33:$B$34)</f>
        <v/>
      </c>
      <c r="AF439" s="160">
        <f>IF('Sites'!$D$6="NM crew",S439*SUM('NM Play'!$B$24:$B$25),0)</f>
        <v/>
      </c>
      <c r="AG439" s="160">
        <f>IF('Sites'!$D$6="NM crew",S439*'NM Play'!$B$27,0)</f>
        <v/>
      </c>
      <c r="AH439" s="160">
        <f>N439*'Sites'!$Z$6*'NM Play'!$B$32</f>
        <v/>
      </c>
      <c r="AI439" s="160">
        <f>SUM(Y439:Z439)*'Sites'!$R$6</f>
        <v/>
      </c>
      <c r="AJ439" s="160">
        <f>SUM(AA439:AH439)</f>
        <v/>
      </c>
      <c r="AK439" s="160">
        <f>AJ439+(T439-U439)*'NM Play'!$B$22+MIN(G439,N439*'NM Play'!$B$11)/'NM Play'!$B$13*'NM Play'!$B$21*'NM Play'!$B$22+MIN(H439,N439*'NM Play'!$B$12)/'NM Play'!$B$14*IF('Sites'!$C$6="Own sheets",'NM Play'!$B$21*'NM Play'!$B$22,'NM Play'!$B$28*'NM Play'!$B$14/'NM Play'!$B$12)</f>
        <v/>
      </c>
      <c r="AL439" s="160">
        <f>Y439*'Assumptions'!E66</f>
        <v/>
      </c>
      <c r="AM439" s="160">
        <f>IF('Sites'!$D$6="NM crew",S439*'NM Play'!$B$37*(1+IF(AND(ISNUMBER('NM Play'!$B$25),'NM Play'!$B$25&gt;0),1,0)),"")</f>
        <v/>
      </c>
      <c r="AN439" s="160">
        <f>IF(OR('Sites'!$E$6&lt;0,'Sites'!$E$6&gt;1,'Sites'!$F$6&lt;1,'Sites'!$G$6&lt;'Sites'!$F$6,F439&lt;0,MIN('Sites'!$I$6:'Sites'!$R$6)&lt;0,'Sites'!$L$6&gt;'Sites'!$I$6,'Sites'!$M$6&gt;'Sites'!$J$6,'Sites'!$N$6&gt;'Sites'!$K$6,'Sites'!$Z$6&lt;0,'Sites'!$Z$6&gt;1,MIN('Sites'!$AA$6:'Sites'!$AC$6)&lt;0,S439&gt;F439+0.001),1,0)</f>
        <v/>
      </c>
      <c r="AO439" s="160">
        <f>I439+U439-T439-X439</f>
        <v/>
      </c>
    </row>
    <row r="440" ht="28" customHeight="1">
      <c r="A440" s="4" t="inlineStr">
        <is>
          <t>Lower sales</t>
        </is>
      </c>
      <c r="B440" s="4" t="inlineStr">
        <is>
          <t>WITTA</t>
        </is>
      </c>
      <c r="C440" s="160" t="n">
        <v>3</v>
      </c>
      <c r="D440" s="160">
        <f>ROUNDUP(C440/12,0)</f>
        <v/>
      </c>
      <c r="E440" s="160">
        <f>IF(AND('Sites'!$E$6=1,C440&gt;='Sites'!$F$6,C440&lt;='Sites'!$G$6),1,0)</f>
        <v/>
      </c>
      <c r="F440" s="160">
        <f>E440*'Assumptions'!F67</f>
        <v/>
      </c>
      <c r="G440" s="160">
        <f>V439</f>
        <v/>
      </c>
      <c r="H440" s="160">
        <f>W439</f>
        <v/>
      </c>
      <c r="I440" s="160">
        <f>X439</f>
        <v/>
      </c>
      <c r="J440" s="160">
        <f>MAX(0,'Sites'!$I$6-SUM(N438:N439))</f>
        <v/>
      </c>
      <c r="K440" s="160">
        <f>IF('Sites'!$C$6="Own sheets",MIN(ROUNDDOWN(G440/'NM Play'!$B$11,0)+F440*'NM Play'!$B$10/'NM Play'!$B$43,ROUNDDOWN(H440/'NM Play'!$B$12,0)+F440*'NM Play'!$B$10/'NM Play'!$B$44,(F440*'NM Play'!$B$10+ROUNDDOWN(G440/'NM Play'!$B$11,0)*'NM Play'!$B$43+ROUNDDOWN(H440/'NM Play'!$B$12,0)*'NM Play'!$B$44)/('NM Play'!$B$43+'NM Play'!$B$44)),ROUNDDOWN(G440/'NM Play'!$B$11,0)+F440*'NM Play'!$B$10/'NM Play'!$B$43)</f>
        <v/>
      </c>
      <c r="L440" s="160">
        <f>MIN(ROUNDDOWN(G440/'NM Play'!$B$11,0)+F440/('NM Play'!$B$43/'NM Play'!$B$15),ROUNDDOWN(H440/'NM Play'!$B$12,0)+F440/('NM Play'!$B$44/'NM Play'!$B$16),(F440+ROUNDDOWN(G440/'NM Play'!$B$11,0)*'NM Play'!$B$43/'NM Play'!$B$15+ROUNDDOWN(H440/'NM Play'!$B$12,0)*'NM Play'!$B$44/'NM Play'!$B$16)/('NM Play'!$B$43/'NM Play'!$B$15+'NM Play'!$B$44/'NM Play'!$B$16))</f>
        <v/>
      </c>
      <c r="M440" s="160">
        <f>F440*'NM Play'!$B$36</f>
        <v/>
      </c>
      <c r="N440" s="160">
        <f>ROUNDDOWN(MAX(0,MIN(J440,K440:M440)),0)</f>
        <v/>
      </c>
      <c r="O440" s="160">
        <f>ROUNDUP(MAX(0,N440*'NM Play'!$B$11-G440)/'NM Play'!$B$13,0)</f>
        <v/>
      </c>
      <c r="P440" s="160">
        <f>ROUNDUP(MAX(0,N440*'NM Play'!$B$12-H440)/'NM Play'!$B$14,0)</f>
        <v/>
      </c>
      <c r="Q440" s="160">
        <f>(O440+IF('Sites'!$C$6="Own sheets",P440,0))/'NM Play'!$B$10</f>
        <v/>
      </c>
      <c r="R440" s="160">
        <f>O440/'NM Play'!$B$15+P440/'NM Play'!$B$16</f>
        <v/>
      </c>
      <c r="S440" s="160">
        <f>MAX(Q440,R440,N440/'NM Play'!$B$36)</f>
        <v/>
      </c>
      <c r="T440" s="160">
        <f>Q440*'NM Play'!$B$10*'NM Play'!$B$21*(1+'NM Play'!$B$35)</f>
        <v/>
      </c>
      <c r="U440" s="160">
        <f>MAX(0,T440-I440)</f>
        <v/>
      </c>
      <c r="V440" s="160">
        <f>G440+O440*'NM Play'!$B$13-N440*'NM Play'!$B$11</f>
        <v/>
      </c>
      <c r="W440" s="160">
        <f>H440+P440*'NM Play'!$B$14-N440*'NM Play'!$B$12</f>
        <v/>
      </c>
      <c r="X440" s="160">
        <f>I440+U440-T440</f>
        <v/>
      </c>
      <c r="Y440" s="160">
        <f>MIN(N440,MAX(0,ROUNDDOWN('Sites'!$L$6*'Cases'!$E$10,0)-SUM(Y438:Y439)))</f>
        <v/>
      </c>
      <c r="Z440" s="160">
        <f>N440-Y440</f>
        <v/>
      </c>
      <c r="AA440" s="160">
        <f>U440*'NM Play'!$B$22</f>
        <v/>
      </c>
      <c r="AB440" s="160">
        <f>N440*SUM('NM Play'!$B$29:$B$31)</f>
        <v/>
      </c>
      <c r="AC440" s="160">
        <f>IF('Sites'!$C$6="Defy legs",P440*'NM Play'!$B$14/'NM Play'!$B$12*'NM Play'!$B$28,0)</f>
        <v/>
      </c>
      <c r="AD440" s="160">
        <f>Q440*'NM Play'!$B$23</f>
        <v/>
      </c>
      <c r="AE440" s="160">
        <f>S440*SUM('NM Play'!$B$26,'NM Play'!$B$33:$B$34)</f>
        <v/>
      </c>
      <c r="AF440" s="160">
        <f>IF('Sites'!$D$6="NM crew",S440*SUM('NM Play'!$B$24:$B$25),0)</f>
        <v/>
      </c>
      <c r="AG440" s="160">
        <f>IF('Sites'!$D$6="NM crew",S440*'NM Play'!$B$27,0)</f>
        <v/>
      </c>
      <c r="AH440" s="160">
        <f>N440*'Sites'!$Z$6*'NM Play'!$B$32</f>
        <v/>
      </c>
      <c r="AI440" s="160">
        <f>SUM(Y440:Z440)*'Sites'!$R$6</f>
        <v/>
      </c>
      <c r="AJ440" s="160">
        <f>SUM(AA440:AH440)</f>
        <v/>
      </c>
      <c r="AK440" s="160">
        <f>AJ440+(T440-U440)*'NM Play'!$B$22+MIN(G440,N440*'NM Play'!$B$11)/'NM Play'!$B$13*'NM Play'!$B$21*'NM Play'!$B$22+MIN(H440,N440*'NM Play'!$B$12)/'NM Play'!$B$14*IF('Sites'!$C$6="Own sheets",'NM Play'!$B$21*'NM Play'!$B$22,'NM Play'!$B$28*'NM Play'!$B$14/'NM Play'!$B$12)</f>
        <v/>
      </c>
      <c r="AL440" s="160">
        <f>Y440*'Assumptions'!F66</f>
        <v/>
      </c>
      <c r="AM440" s="160">
        <f>IF('Sites'!$D$6="NM crew",S440*'NM Play'!$B$37*(1+IF(AND(ISNUMBER('NM Play'!$B$25),'NM Play'!$B$25&gt;0),1,0)),"")</f>
        <v/>
      </c>
      <c r="AN440" s="160">
        <f>IF(OR('Sites'!$E$6&lt;0,'Sites'!$E$6&gt;1,'Sites'!$F$6&lt;1,'Sites'!$G$6&lt;'Sites'!$F$6,F440&lt;0,MIN('Sites'!$I$6:'Sites'!$R$6)&lt;0,'Sites'!$L$6&gt;'Sites'!$I$6,'Sites'!$M$6&gt;'Sites'!$J$6,'Sites'!$N$6&gt;'Sites'!$K$6,'Sites'!$Z$6&lt;0,'Sites'!$Z$6&gt;1,MIN('Sites'!$AA$6:'Sites'!$AC$6)&lt;0,S440&gt;F440+0.001),1,0)</f>
        <v/>
      </c>
      <c r="AO440" s="160">
        <f>I440+U440-T440-X440</f>
        <v/>
      </c>
    </row>
    <row r="441" ht="28" customHeight="1">
      <c r="A441" s="4" t="inlineStr">
        <is>
          <t>Lower sales</t>
        </is>
      </c>
      <c r="B441" s="4" t="inlineStr">
        <is>
          <t>WITTA</t>
        </is>
      </c>
      <c r="C441" s="160" t="n">
        <v>4</v>
      </c>
      <c r="D441" s="160">
        <f>ROUNDUP(C441/12,0)</f>
        <v/>
      </c>
      <c r="E441" s="160">
        <f>IF(AND('Sites'!$E$6=1,C441&gt;='Sites'!$F$6,C441&lt;='Sites'!$G$6),1,0)</f>
        <v/>
      </c>
      <c r="F441" s="160">
        <f>E441*'Assumptions'!G67</f>
        <v/>
      </c>
      <c r="G441" s="160">
        <f>V440</f>
        <v/>
      </c>
      <c r="H441" s="160">
        <f>W440</f>
        <v/>
      </c>
      <c r="I441" s="160">
        <f>X440</f>
        <v/>
      </c>
      <c r="J441" s="160">
        <f>MAX(0,'Sites'!$I$6-SUM(N438:N440))</f>
        <v/>
      </c>
      <c r="K441" s="160">
        <f>IF('Sites'!$C$6="Own sheets",MIN(ROUNDDOWN(G441/'NM Play'!$B$11,0)+F441*'NM Play'!$B$10/'NM Play'!$B$43,ROUNDDOWN(H441/'NM Play'!$B$12,0)+F441*'NM Play'!$B$10/'NM Play'!$B$44,(F441*'NM Play'!$B$10+ROUNDDOWN(G441/'NM Play'!$B$11,0)*'NM Play'!$B$43+ROUNDDOWN(H441/'NM Play'!$B$12,0)*'NM Play'!$B$44)/('NM Play'!$B$43+'NM Play'!$B$44)),ROUNDDOWN(G441/'NM Play'!$B$11,0)+F441*'NM Play'!$B$10/'NM Play'!$B$43)</f>
        <v/>
      </c>
      <c r="L441" s="160">
        <f>MIN(ROUNDDOWN(G441/'NM Play'!$B$11,0)+F441/('NM Play'!$B$43/'NM Play'!$B$15),ROUNDDOWN(H441/'NM Play'!$B$12,0)+F441/('NM Play'!$B$44/'NM Play'!$B$16),(F441+ROUNDDOWN(G441/'NM Play'!$B$11,0)*'NM Play'!$B$43/'NM Play'!$B$15+ROUNDDOWN(H441/'NM Play'!$B$12,0)*'NM Play'!$B$44/'NM Play'!$B$16)/('NM Play'!$B$43/'NM Play'!$B$15+'NM Play'!$B$44/'NM Play'!$B$16))</f>
        <v/>
      </c>
      <c r="M441" s="160">
        <f>F441*'NM Play'!$B$36</f>
        <v/>
      </c>
      <c r="N441" s="160">
        <f>ROUNDDOWN(MAX(0,MIN(J441,K441:M441)),0)</f>
        <v/>
      </c>
      <c r="O441" s="160">
        <f>ROUNDUP(MAX(0,N441*'NM Play'!$B$11-G441)/'NM Play'!$B$13,0)</f>
        <v/>
      </c>
      <c r="P441" s="160">
        <f>ROUNDUP(MAX(0,N441*'NM Play'!$B$12-H441)/'NM Play'!$B$14,0)</f>
        <v/>
      </c>
      <c r="Q441" s="160">
        <f>(O441+IF('Sites'!$C$6="Own sheets",P441,0))/'NM Play'!$B$10</f>
        <v/>
      </c>
      <c r="R441" s="160">
        <f>O441/'NM Play'!$B$15+P441/'NM Play'!$B$16</f>
        <v/>
      </c>
      <c r="S441" s="160">
        <f>MAX(Q441,R441,N441/'NM Play'!$B$36)</f>
        <v/>
      </c>
      <c r="T441" s="160">
        <f>Q441*'NM Play'!$B$10*'NM Play'!$B$21*(1+'NM Play'!$B$35)</f>
        <v/>
      </c>
      <c r="U441" s="160">
        <f>MAX(0,T441-I441)</f>
        <v/>
      </c>
      <c r="V441" s="160">
        <f>G441+O441*'NM Play'!$B$13-N441*'NM Play'!$B$11</f>
        <v/>
      </c>
      <c r="W441" s="160">
        <f>H441+P441*'NM Play'!$B$14-N441*'NM Play'!$B$12</f>
        <v/>
      </c>
      <c r="X441" s="160">
        <f>I441+U441-T441</f>
        <v/>
      </c>
      <c r="Y441" s="160">
        <f>MIN(N441,MAX(0,ROUNDDOWN('Sites'!$L$6*'Cases'!$E$10,0)-SUM(Y438:Y440)))</f>
        <v/>
      </c>
      <c r="Z441" s="160">
        <f>N441-Y441</f>
        <v/>
      </c>
      <c r="AA441" s="160">
        <f>U441*'NM Play'!$B$22</f>
        <v/>
      </c>
      <c r="AB441" s="160">
        <f>N441*SUM('NM Play'!$B$29:$B$31)</f>
        <v/>
      </c>
      <c r="AC441" s="160">
        <f>IF('Sites'!$C$6="Defy legs",P441*'NM Play'!$B$14/'NM Play'!$B$12*'NM Play'!$B$28,0)</f>
        <v/>
      </c>
      <c r="AD441" s="160">
        <f>Q441*'NM Play'!$B$23</f>
        <v/>
      </c>
      <c r="AE441" s="160">
        <f>S441*SUM('NM Play'!$B$26,'NM Play'!$B$33:$B$34)</f>
        <v/>
      </c>
      <c r="AF441" s="160">
        <f>IF('Sites'!$D$6="NM crew",S441*SUM('NM Play'!$B$24:$B$25),0)</f>
        <v/>
      </c>
      <c r="AG441" s="160">
        <f>IF('Sites'!$D$6="NM crew",S441*'NM Play'!$B$27,0)</f>
        <v/>
      </c>
      <c r="AH441" s="160">
        <f>N441*'Sites'!$Z$6*'NM Play'!$B$32</f>
        <v/>
      </c>
      <c r="AI441" s="160">
        <f>SUM(Y441:Z441)*'Sites'!$R$6</f>
        <v/>
      </c>
      <c r="AJ441" s="160">
        <f>SUM(AA441:AH441)</f>
        <v/>
      </c>
      <c r="AK441" s="160">
        <f>AJ441+(T441-U441)*'NM Play'!$B$22+MIN(G441,N441*'NM Play'!$B$11)/'NM Play'!$B$13*'NM Play'!$B$21*'NM Play'!$B$22+MIN(H441,N441*'NM Play'!$B$12)/'NM Play'!$B$14*IF('Sites'!$C$6="Own sheets",'NM Play'!$B$21*'NM Play'!$B$22,'NM Play'!$B$28*'NM Play'!$B$14/'NM Play'!$B$12)</f>
        <v/>
      </c>
      <c r="AL441" s="160">
        <f>Y441*'Assumptions'!G66</f>
        <v/>
      </c>
      <c r="AM441" s="160">
        <f>IF('Sites'!$D$6="NM crew",S441*'NM Play'!$B$37*(1+IF(AND(ISNUMBER('NM Play'!$B$25),'NM Play'!$B$25&gt;0),1,0)),"")</f>
        <v/>
      </c>
      <c r="AN441" s="160">
        <f>IF(OR('Sites'!$E$6&lt;0,'Sites'!$E$6&gt;1,'Sites'!$F$6&lt;1,'Sites'!$G$6&lt;'Sites'!$F$6,F441&lt;0,MIN('Sites'!$I$6:'Sites'!$R$6)&lt;0,'Sites'!$L$6&gt;'Sites'!$I$6,'Sites'!$M$6&gt;'Sites'!$J$6,'Sites'!$N$6&gt;'Sites'!$K$6,'Sites'!$Z$6&lt;0,'Sites'!$Z$6&gt;1,MIN('Sites'!$AA$6:'Sites'!$AC$6)&lt;0,S441&gt;F441+0.001),1,0)</f>
        <v/>
      </c>
      <c r="AO441" s="160">
        <f>I441+U441-T441-X441</f>
        <v/>
      </c>
    </row>
    <row r="442" ht="28" customHeight="1">
      <c r="A442" s="4" t="inlineStr">
        <is>
          <t>Lower sales</t>
        </is>
      </c>
      <c r="B442" s="4" t="inlineStr">
        <is>
          <t>WITTA</t>
        </is>
      </c>
      <c r="C442" s="160" t="n">
        <v>5</v>
      </c>
      <c r="D442" s="160">
        <f>ROUNDUP(C442/12,0)</f>
        <v/>
      </c>
      <c r="E442" s="160">
        <f>IF(AND('Sites'!$E$6=1,C442&gt;='Sites'!$F$6,C442&lt;='Sites'!$G$6),1,0)</f>
        <v/>
      </c>
      <c r="F442" s="160">
        <f>E442*'Assumptions'!H67</f>
        <v/>
      </c>
      <c r="G442" s="160">
        <f>V441</f>
        <v/>
      </c>
      <c r="H442" s="160">
        <f>W441</f>
        <v/>
      </c>
      <c r="I442" s="160">
        <f>X441</f>
        <v/>
      </c>
      <c r="J442" s="160">
        <f>MAX(0,'Sites'!$I$6-SUM(N438:N441))</f>
        <v/>
      </c>
      <c r="K442" s="160">
        <f>IF('Sites'!$C$6="Own sheets",MIN(ROUNDDOWN(G442/'NM Play'!$B$11,0)+F442*'NM Play'!$B$10/'NM Play'!$B$43,ROUNDDOWN(H442/'NM Play'!$B$12,0)+F442*'NM Play'!$B$10/'NM Play'!$B$44,(F442*'NM Play'!$B$10+ROUNDDOWN(G442/'NM Play'!$B$11,0)*'NM Play'!$B$43+ROUNDDOWN(H442/'NM Play'!$B$12,0)*'NM Play'!$B$44)/('NM Play'!$B$43+'NM Play'!$B$44)),ROUNDDOWN(G442/'NM Play'!$B$11,0)+F442*'NM Play'!$B$10/'NM Play'!$B$43)</f>
        <v/>
      </c>
      <c r="L442" s="160">
        <f>MIN(ROUNDDOWN(G442/'NM Play'!$B$11,0)+F442/('NM Play'!$B$43/'NM Play'!$B$15),ROUNDDOWN(H442/'NM Play'!$B$12,0)+F442/('NM Play'!$B$44/'NM Play'!$B$16),(F442+ROUNDDOWN(G442/'NM Play'!$B$11,0)*'NM Play'!$B$43/'NM Play'!$B$15+ROUNDDOWN(H442/'NM Play'!$B$12,0)*'NM Play'!$B$44/'NM Play'!$B$16)/('NM Play'!$B$43/'NM Play'!$B$15+'NM Play'!$B$44/'NM Play'!$B$16))</f>
        <v/>
      </c>
      <c r="M442" s="160">
        <f>F442*'NM Play'!$B$36</f>
        <v/>
      </c>
      <c r="N442" s="160">
        <f>ROUNDDOWN(MAX(0,MIN(J442,K442:M442)),0)</f>
        <v/>
      </c>
      <c r="O442" s="160">
        <f>ROUNDUP(MAX(0,N442*'NM Play'!$B$11-G442)/'NM Play'!$B$13,0)</f>
        <v/>
      </c>
      <c r="P442" s="160">
        <f>ROUNDUP(MAX(0,N442*'NM Play'!$B$12-H442)/'NM Play'!$B$14,0)</f>
        <v/>
      </c>
      <c r="Q442" s="160">
        <f>(O442+IF('Sites'!$C$6="Own sheets",P442,0))/'NM Play'!$B$10</f>
        <v/>
      </c>
      <c r="R442" s="160">
        <f>O442/'NM Play'!$B$15+P442/'NM Play'!$B$16</f>
        <v/>
      </c>
      <c r="S442" s="160">
        <f>MAX(Q442,R442,N442/'NM Play'!$B$36)</f>
        <v/>
      </c>
      <c r="T442" s="160">
        <f>Q442*'NM Play'!$B$10*'NM Play'!$B$21*(1+'NM Play'!$B$35)</f>
        <v/>
      </c>
      <c r="U442" s="160">
        <f>MAX(0,T442-I442)</f>
        <v/>
      </c>
      <c r="V442" s="160">
        <f>G442+O442*'NM Play'!$B$13-N442*'NM Play'!$B$11</f>
        <v/>
      </c>
      <c r="W442" s="160">
        <f>H442+P442*'NM Play'!$B$14-N442*'NM Play'!$B$12</f>
        <v/>
      </c>
      <c r="X442" s="160">
        <f>I442+U442-T442</f>
        <v/>
      </c>
      <c r="Y442" s="160">
        <f>MIN(N442,MAX(0,ROUNDDOWN('Sites'!$L$6*'Cases'!$E$10,0)-SUM(Y438:Y441)))</f>
        <v/>
      </c>
      <c r="Z442" s="160">
        <f>N442-Y442</f>
        <v/>
      </c>
      <c r="AA442" s="160">
        <f>U442*'NM Play'!$B$22</f>
        <v/>
      </c>
      <c r="AB442" s="160">
        <f>N442*SUM('NM Play'!$B$29:$B$31)</f>
        <v/>
      </c>
      <c r="AC442" s="160">
        <f>IF('Sites'!$C$6="Defy legs",P442*'NM Play'!$B$14/'NM Play'!$B$12*'NM Play'!$B$28,0)</f>
        <v/>
      </c>
      <c r="AD442" s="160">
        <f>Q442*'NM Play'!$B$23</f>
        <v/>
      </c>
      <c r="AE442" s="160">
        <f>S442*SUM('NM Play'!$B$26,'NM Play'!$B$33:$B$34)</f>
        <v/>
      </c>
      <c r="AF442" s="160">
        <f>IF('Sites'!$D$6="NM crew",S442*SUM('NM Play'!$B$24:$B$25),0)</f>
        <v/>
      </c>
      <c r="AG442" s="160">
        <f>IF('Sites'!$D$6="NM crew",S442*'NM Play'!$B$27,0)</f>
        <v/>
      </c>
      <c r="AH442" s="160">
        <f>N442*'Sites'!$Z$6*'NM Play'!$B$32</f>
        <v/>
      </c>
      <c r="AI442" s="160">
        <f>SUM(Y442:Z442)*'Sites'!$R$6</f>
        <v/>
      </c>
      <c r="AJ442" s="160">
        <f>SUM(AA442:AH442)</f>
        <v/>
      </c>
      <c r="AK442" s="160">
        <f>AJ442+(T442-U442)*'NM Play'!$B$22+MIN(G442,N442*'NM Play'!$B$11)/'NM Play'!$B$13*'NM Play'!$B$21*'NM Play'!$B$22+MIN(H442,N442*'NM Play'!$B$12)/'NM Play'!$B$14*IF('Sites'!$C$6="Own sheets",'NM Play'!$B$21*'NM Play'!$B$22,'NM Play'!$B$28*'NM Play'!$B$14/'NM Play'!$B$12)</f>
        <v/>
      </c>
      <c r="AL442" s="160">
        <f>Y442*'Assumptions'!H66</f>
        <v/>
      </c>
      <c r="AM442" s="160">
        <f>IF('Sites'!$D$6="NM crew",S442*'NM Play'!$B$37*(1+IF(AND(ISNUMBER('NM Play'!$B$25),'NM Play'!$B$25&gt;0),1,0)),"")</f>
        <v/>
      </c>
      <c r="AN442" s="160">
        <f>IF(OR('Sites'!$E$6&lt;0,'Sites'!$E$6&gt;1,'Sites'!$F$6&lt;1,'Sites'!$G$6&lt;'Sites'!$F$6,F442&lt;0,MIN('Sites'!$I$6:'Sites'!$R$6)&lt;0,'Sites'!$L$6&gt;'Sites'!$I$6,'Sites'!$M$6&gt;'Sites'!$J$6,'Sites'!$N$6&gt;'Sites'!$K$6,'Sites'!$Z$6&lt;0,'Sites'!$Z$6&gt;1,MIN('Sites'!$AA$6:'Sites'!$AC$6)&lt;0,S442&gt;F442+0.001),1,0)</f>
        <v/>
      </c>
      <c r="AO442" s="160">
        <f>I442+U442-T442-X442</f>
        <v/>
      </c>
    </row>
    <row r="443" ht="28" customHeight="1">
      <c r="A443" s="4" t="inlineStr">
        <is>
          <t>Lower sales</t>
        </is>
      </c>
      <c r="B443" s="4" t="inlineStr">
        <is>
          <t>WITTA</t>
        </is>
      </c>
      <c r="C443" s="160" t="n">
        <v>6</v>
      </c>
      <c r="D443" s="160">
        <f>ROUNDUP(C443/12,0)</f>
        <v/>
      </c>
      <c r="E443" s="160">
        <f>IF(AND('Sites'!$E$6=1,C443&gt;='Sites'!$F$6,C443&lt;='Sites'!$G$6),1,0)</f>
        <v/>
      </c>
      <c r="F443" s="160">
        <f>E443*'Assumptions'!I67</f>
        <v/>
      </c>
      <c r="G443" s="160">
        <f>V442</f>
        <v/>
      </c>
      <c r="H443" s="160">
        <f>W442</f>
        <v/>
      </c>
      <c r="I443" s="160">
        <f>X442</f>
        <v/>
      </c>
      <c r="J443" s="160">
        <f>MAX(0,'Sites'!$I$6-SUM(N438:N442))</f>
        <v/>
      </c>
      <c r="K443" s="160">
        <f>IF('Sites'!$C$6="Own sheets",MIN(ROUNDDOWN(G443/'NM Play'!$B$11,0)+F443*'NM Play'!$B$10/'NM Play'!$B$43,ROUNDDOWN(H443/'NM Play'!$B$12,0)+F443*'NM Play'!$B$10/'NM Play'!$B$44,(F443*'NM Play'!$B$10+ROUNDDOWN(G443/'NM Play'!$B$11,0)*'NM Play'!$B$43+ROUNDDOWN(H443/'NM Play'!$B$12,0)*'NM Play'!$B$44)/('NM Play'!$B$43+'NM Play'!$B$44)),ROUNDDOWN(G443/'NM Play'!$B$11,0)+F443*'NM Play'!$B$10/'NM Play'!$B$43)</f>
        <v/>
      </c>
      <c r="L443" s="160">
        <f>MIN(ROUNDDOWN(G443/'NM Play'!$B$11,0)+F443/('NM Play'!$B$43/'NM Play'!$B$15),ROUNDDOWN(H443/'NM Play'!$B$12,0)+F443/('NM Play'!$B$44/'NM Play'!$B$16),(F443+ROUNDDOWN(G443/'NM Play'!$B$11,0)*'NM Play'!$B$43/'NM Play'!$B$15+ROUNDDOWN(H443/'NM Play'!$B$12,0)*'NM Play'!$B$44/'NM Play'!$B$16)/('NM Play'!$B$43/'NM Play'!$B$15+'NM Play'!$B$44/'NM Play'!$B$16))</f>
        <v/>
      </c>
      <c r="M443" s="160">
        <f>F443*'NM Play'!$B$36</f>
        <v/>
      </c>
      <c r="N443" s="160">
        <f>ROUNDDOWN(MAX(0,MIN(J443,K443:M443)),0)</f>
        <v/>
      </c>
      <c r="O443" s="160">
        <f>ROUNDUP(MAX(0,N443*'NM Play'!$B$11-G443)/'NM Play'!$B$13,0)</f>
        <v/>
      </c>
      <c r="P443" s="160">
        <f>ROUNDUP(MAX(0,N443*'NM Play'!$B$12-H443)/'NM Play'!$B$14,0)</f>
        <v/>
      </c>
      <c r="Q443" s="160">
        <f>(O443+IF('Sites'!$C$6="Own sheets",P443,0))/'NM Play'!$B$10</f>
        <v/>
      </c>
      <c r="R443" s="160">
        <f>O443/'NM Play'!$B$15+P443/'NM Play'!$B$16</f>
        <v/>
      </c>
      <c r="S443" s="160">
        <f>MAX(Q443,R443,N443/'NM Play'!$B$36)</f>
        <v/>
      </c>
      <c r="T443" s="160">
        <f>Q443*'NM Play'!$B$10*'NM Play'!$B$21*(1+'NM Play'!$B$35)</f>
        <v/>
      </c>
      <c r="U443" s="160">
        <f>MAX(0,T443-I443)</f>
        <v/>
      </c>
      <c r="V443" s="160">
        <f>G443+O443*'NM Play'!$B$13-N443*'NM Play'!$B$11</f>
        <v/>
      </c>
      <c r="W443" s="160">
        <f>H443+P443*'NM Play'!$B$14-N443*'NM Play'!$B$12</f>
        <v/>
      </c>
      <c r="X443" s="160">
        <f>I443+U443-T443</f>
        <v/>
      </c>
      <c r="Y443" s="160">
        <f>MIN(N443,MAX(0,ROUNDDOWN('Sites'!$L$6*'Cases'!$E$10,0)-SUM(Y438:Y442)))</f>
        <v/>
      </c>
      <c r="Z443" s="160">
        <f>N443-Y443</f>
        <v/>
      </c>
      <c r="AA443" s="160">
        <f>U443*'NM Play'!$B$22</f>
        <v/>
      </c>
      <c r="AB443" s="160">
        <f>N443*SUM('NM Play'!$B$29:$B$31)</f>
        <v/>
      </c>
      <c r="AC443" s="160">
        <f>IF('Sites'!$C$6="Defy legs",P443*'NM Play'!$B$14/'NM Play'!$B$12*'NM Play'!$B$28,0)</f>
        <v/>
      </c>
      <c r="AD443" s="160">
        <f>Q443*'NM Play'!$B$23</f>
        <v/>
      </c>
      <c r="AE443" s="160">
        <f>S443*SUM('NM Play'!$B$26,'NM Play'!$B$33:$B$34)</f>
        <v/>
      </c>
      <c r="AF443" s="160">
        <f>IF('Sites'!$D$6="NM crew",S443*SUM('NM Play'!$B$24:$B$25),0)</f>
        <v/>
      </c>
      <c r="AG443" s="160">
        <f>IF('Sites'!$D$6="NM crew",S443*'NM Play'!$B$27,0)</f>
        <v/>
      </c>
      <c r="AH443" s="160">
        <f>N443*'Sites'!$Z$6*'NM Play'!$B$32</f>
        <v/>
      </c>
      <c r="AI443" s="160">
        <f>SUM(Y443:Z443)*'Sites'!$R$6</f>
        <v/>
      </c>
      <c r="AJ443" s="160">
        <f>SUM(AA443:AH443)</f>
        <v/>
      </c>
      <c r="AK443" s="160">
        <f>AJ443+(T443-U443)*'NM Play'!$B$22+MIN(G443,N443*'NM Play'!$B$11)/'NM Play'!$B$13*'NM Play'!$B$21*'NM Play'!$B$22+MIN(H443,N443*'NM Play'!$B$12)/'NM Play'!$B$14*IF('Sites'!$C$6="Own sheets",'NM Play'!$B$21*'NM Play'!$B$22,'NM Play'!$B$28*'NM Play'!$B$14/'NM Play'!$B$12)</f>
        <v/>
      </c>
      <c r="AL443" s="160">
        <f>Y443*'Assumptions'!I66</f>
        <v/>
      </c>
      <c r="AM443" s="160">
        <f>IF('Sites'!$D$6="NM crew",S443*'NM Play'!$B$37*(1+IF(AND(ISNUMBER('NM Play'!$B$25),'NM Play'!$B$25&gt;0),1,0)),"")</f>
        <v/>
      </c>
      <c r="AN443" s="160">
        <f>IF(OR('Sites'!$E$6&lt;0,'Sites'!$E$6&gt;1,'Sites'!$F$6&lt;1,'Sites'!$G$6&lt;'Sites'!$F$6,F443&lt;0,MIN('Sites'!$I$6:'Sites'!$R$6)&lt;0,'Sites'!$L$6&gt;'Sites'!$I$6,'Sites'!$M$6&gt;'Sites'!$J$6,'Sites'!$N$6&gt;'Sites'!$K$6,'Sites'!$Z$6&lt;0,'Sites'!$Z$6&gt;1,MIN('Sites'!$AA$6:'Sites'!$AC$6)&lt;0,S443&gt;F443+0.001),1,0)</f>
        <v/>
      </c>
      <c r="AO443" s="160">
        <f>I443+U443-T443-X443</f>
        <v/>
      </c>
    </row>
    <row r="444" ht="28" customHeight="1">
      <c r="A444" s="4" t="inlineStr">
        <is>
          <t>Lower sales</t>
        </is>
      </c>
      <c r="B444" s="4" t="inlineStr">
        <is>
          <t>WITTA</t>
        </is>
      </c>
      <c r="C444" s="160" t="n">
        <v>7</v>
      </c>
      <c r="D444" s="160">
        <f>ROUNDUP(C444/12,0)</f>
        <v/>
      </c>
      <c r="E444" s="160">
        <f>IF(AND('Sites'!$E$6=1,C444&gt;='Sites'!$F$6,C444&lt;='Sites'!$G$6),1,0)</f>
        <v/>
      </c>
      <c r="F444" s="160">
        <f>E444*'Assumptions'!J67</f>
        <v/>
      </c>
      <c r="G444" s="160">
        <f>V443</f>
        <v/>
      </c>
      <c r="H444" s="160">
        <f>W443</f>
        <v/>
      </c>
      <c r="I444" s="160">
        <f>X443</f>
        <v/>
      </c>
      <c r="J444" s="160">
        <f>MAX(0,'Sites'!$I$6-SUM(N438:N443))</f>
        <v/>
      </c>
      <c r="K444" s="160">
        <f>IF('Sites'!$C$6="Own sheets",MIN(ROUNDDOWN(G444/'NM Play'!$B$11,0)+F444*'NM Play'!$B$10/'NM Play'!$B$43,ROUNDDOWN(H444/'NM Play'!$B$12,0)+F444*'NM Play'!$B$10/'NM Play'!$B$44,(F444*'NM Play'!$B$10+ROUNDDOWN(G444/'NM Play'!$B$11,0)*'NM Play'!$B$43+ROUNDDOWN(H444/'NM Play'!$B$12,0)*'NM Play'!$B$44)/('NM Play'!$B$43+'NM Play'!$B$44)),ROUNDDOWN(G444/'NM Play'!$B$11,0)+F444*'NM Play'!$B$10/'NM Play'!$B$43)</f>
        <v/>
      </c>
      <c r="L444" s="160">
        <f>MIN(ROUNDDOWN(G444/'NM Play'!$B$11,0)+F444/('NM Play'!$B$43/'NM Play'!$B$15),ROUNDDOWN(H444/'NM Play'!$B$12,0)+F444/('NM Play'!$B$44/'NM Play'!$B$16),(F444+ROUNDDOWN(G444/'NM Play'!$B$11,0)*'NM Play'!$B$43/'NM Play'!$B$15+ROUNDDOWN(H444/'NM Play'!$B$12,0)*'NM Play'!$B$44/'NM Play'!$B$16)/('NM Play'!$B$43/'NM Play'!$B$15+'NM Play'!$B$44/'NM Play'!$B$16))</f>
        <v/>
      </c>
      <c r="M444" s="160">
        <f>F444*'NM Play'!$B$36</f>
        <v/>
      </c>
      <c r="N444" s="160">
        <f>ROUNDDOWN(MAX(0,MIN(J444,K444:M444)),0)</f>
        <v/>
      </c>
      <c r="O444" s="160">
        <f>ROUNDUP(MAX(0,N444*'NM Play'!$B$11-G444)/'NM Play'!$B$13,0)</f>
        <v/>
      </c>
      <c r="P444" s="160">
        <f>ROUNDUP(MAX(0,N444*'NM Play'!$B$12-H444)/'NM Play'!$B$14,0)</f>
        <v/>
      </c>
      <c r="Q444" s="160">
        <f>(O444+IF('Sites'!$C$6="Own sheets",P444,0))/'NM Play'!$B$10</f>
        <v/>
      </c>
      <c r="R444" s="160">
        <f>O444/'NM Play'!$B$15+P444/'NM Play'!$B$16</f>
        <v/>
      </c>
      <c r="S444" s="160">
        <f>MAX(Q444,R444,N444/'NM Play'!$B$36)</f>
        <v/>
      </c>
      <c r="T444" s="160">
        <f>Q444*'NM Play'!$B$10*'NM Play'!$B$21*(1+'NM Play'!$B$35)</f>
        <v/>
      </c>
      <c r="U444" s="160">
        <f>MAX(0,T444-I444)</f>
        <v/>
      </c>
      <c r="V444" s="160">
        <f>G444+O444*'NM Play'!$B$13-N444*'NM Play'!$B$11</f>
        <v/>
      </c>
      <c r="W444" s="160">
        <f>H444+P444*'NM Play'!$B$14-N444*'NM Play'!$B$12</f>
        <v/>
      </c>
      <c r="X444" s="160">
        <f>I444+U444-T444</f>
        <v/>
      </c>
      <c r="Y444" s="160">
        <f>MIN(N444,MAX(0,ROUNDDOWN('Sites'!$L$6*'Cases'!$E$10,0)-SUM(Y438:Y443)))</f>
        <v/>
      </c>
      <c r="Z444" s="160">
        <f>N444-Y444</f>
        <v/>
      </c>
      <c r="AA444" s="160">
        <f>U444*'NM Play'!$B$22</f>
        <v/>
      </c>
      <c r="AB444" s="160">
        <f>N444*SUM('NM Play'!$B$29:$B$31)</f>
        <v/>
      </c>
      <c r="AC444" s="160">
        <f>IF('Sites'!$C$6="Defy legs",P444*'NM Play'!$B$14/'NM Play'!$B$12*'NM Play'!$B$28,0)</f>
        <v/>
      </c>
      <c r="AD444" s="160">
        <f>Q444*'NM Play'!$B$23</f>
        <v/>
      </c>
      <c r="AE444" s="160">
        <f>S444*SUM('NM Play'!$B$26,'NM Play'!$B$33:$B$34)</f>
        <v/>
      </c>
      <c r="AF444" s="160">
        <f>IF('Sites'!$D$6="NM crew",S444*SUM('NM Play'!$B$24:$B$25),0)</f>
        <v/>
      </c>
      <c r="AG444" s="160">
        <f>IF('Sites'!$D$6="NM crew",S444*'NM Play'!$B$27,0)</f>
        <v/>
      </c>
      <c r="AH444" s="160">
        <f>N444*'Sites'!$Z$6*'NM Play'!$B$32</f>
        <v/>
      </c>
      <c r="AI444" s="160">
        <f>SUM(Y444:Z444)*'Sites'!$R$6</f>
        <v/>
      </c>
      <c r="AJ444" s="160">
        <f>SUM(AA444:AH444)</f>
        <v/>
      </c>
      <c r="AK444" s="160">
        <f>AJ444+(T444-U444)*'NM Play'!$B$22+MIN(G444,N444*'NM Play'!$B$11)/'NM Play'!$B$13*'NM Play'!$B$21*'NM Play'!$B$22+MIN(H444,N444*'NM Play'!$B$12)/'NM Play'!$B$14*IF('Sites'!$C$6="Own sheets",'NM Play'!$B$21*'NM Play'!$B$22,'NM Play'!$B$28*'NM Play'!$B$14/'NM Play'!$B$12)</f>
        <v/>
      </c>
      <c r="AL444" s="160">
        <f>Y444*'Assumptions'!J66</f>
        <v/>
      </c>
      <c r="AM444" s="160">
        <f>IF('Sites'!$D$6="NM crew",S444*'NM Play'!$B$37*(1+IF(AND(ISNUMBER('NM Play'!$B$25),'NM Play'!$B$25&gt;0),1,0)),"")</f>
        <v/>
      </c>
      <c r="AN444" s="160">
        <f>IF(OR('Sites'!$E$6&lt;0,'Sites'!$E$6&gt;1,'Sites'!$F$6&lt;1,'Sites'!$G$6&lt;'Sites'!$F$6,F444&lt;0,MIN('Sites'!$I$6:'Sites'!$R$6)&lt;0,'Sites'!$L$6&gt;'Sites'!$I$6,'Sites'!$M$6&gt;'Sites'!$J$6,'Sites'!$N$6&gt;'Sites'!$K$6,'Sites'!$Z$6&lt;0,'Sites'!$Z$6&gt;1,MIN('Sites'!$AA$6:'Sites'!$AC$6)&lt;0,S444&gt;F444+0.001),1,0)</f>
        <v/>
      </c>
      <c r="AO444" s="160">
        <f>I444+U444-T444-X444</f>
        <v/>
      </c>
    </row>
    <row r="445" ht="28" customHeight="1">
      <c r="A445" s="4" t="inlineStr">
        <is>
          <t>Lower sales</t>
        </is>
      </c>
      <c r="B445" s="4" t="inlineStr">
        <is>
          <t>WITTA</t>
        </is>
      </c>
      <c r="C445" s="160" t="n">
        <v>8</v>
      </c>
      <c r="D445" s="160">
        <f>ROUNDUP(C445/12,0)</f>
        <v/>
      </c>
      <c r="E445" s="160">
        <f>IF(AND('Sites'!$E$6=1,C445&gt;='Sites'!$F$6,C445&lt;='Sites'!$G$6),1,0)</f>
        <v/>
      </c>
      <c r="F445" s="160">
        <f>E445*'Assumptions'!K67</f>
        <v/>
      </c>
      <c r="G445" s="160">
        <f>V444</f>
        <v/>
      </c>
      <c r="H445" s="160">
        <f>W444</f>
        <v/>
      </c>
      <c r="I445" s="160">
        <f>X444</f>
        <v/>
      </c>
      <c r="J445" s="160">
        <f>MAX(0,'Sites'!$I$6-SUM(N438:N444))</f>
        <v/>
      </c>
      <c r="K445" s="160">
        <f>IF('Sites'!$C$6="Own sheets",MIN(ROUNDDOWN(G445/'NM Play'!$B$11,0)+F445*'NM Play'!$B$10/'NM Play'!$B$43,ROUNDDOWN(H445/'NM Play'!$B$12,0)+F445*'NM Play'!$B$10/'NM Play'!$B$44,(F445*'NM Play'!$B$10+ROUNDDOWN(G445/'NM Play'!$B$11,0)*'NM Play'!$B$43+ROUNDDOWN(H445/'NM Play'!$B$12,0)*'NM Play'!$B$44)/('NM Play'!$B$43+'NM Play'!$B$44)),ROUNDDOWN(G445/'NM Play'!$B$11,0)+F445*'NM Play'!$B$10/'NM Play'!$B$43)</f>
        <v/>
      </c>
      <c r="L445" s="160">
        <f>MIN(ROUNDDOWN(G445/'NM Play'!$B$11,0)+F445/('NM Play'!$B$43/'NM Play'!$B$15),ROUNDDOWN(H445/'NM Play'!$B$12,0)+F445/('NM Play'!$B$44/'NM Play'!$B$16),(F445+ROUNDDOWN(G445/'NM Play'!$B$11,0)*'NM Play'!$B$43/'NM Play'!$B$15+ROUNDDOWN(H445/'NM Play'!$B$12,0)*'NM Play'!$B$44/'NM Play'!$B$16)/('NM Play'!$B$43/'NM Play'!$B$15+'NM Play'!$B$44/'NM Play'!$B$16))</f>
        <v/>
      </c>
      <c r="M445" s="160">
        <f>F445*'NM Play'!$B$36</f>
        <v/>
      </c>
      <c r="N445" s="160">
        <f>ROUNDDOWN(MAX(0,MIN(J445,K445:M445)),0)</f>
        <v/>
      </c>
      <c r="O445" s="160">
        <f>ROUNDUP(MAX(0,N445*'NM Play'!$B$11-G445)/'NM Play'!$B$13,0)</f>
        <v/>
      </c>
      <c r="P445" s="160">
        <f>ROUNDUP(MAX(0,N445*'NM Play'!$B$12-H445)/'NM Play'!$B$14,0)</f>
        <v/>
      </c>
      <c r="Q445" s="160">
        <f>(O445+IF('Sites'!$C$6="Own sheets",P445,0))/'NM Play'!$B$10</f>
        <v/>
      </c>
      <c r="R445" s="160">
        <f>O445/'NM Play'!$B$15+P445/'NM Play'!$B$16</f>
        <v/>
      </c>
      <c r="S445" s="160">
        <f>MAX(Q445,R445,N445/'NM Play'!$B$36)</f>
        <v/>
      </c>
      <c r="T445" s="160">
        <f>Q445*'NM Play'!$B$10*'NM Play'!$B$21*(1+'NM Play'!$B$35)</f>
        <v/>
      </c>
      <c r="U445" s="160">
        <f>MAX(0,T445-I445)</f>
        <v/>
      </c>
      <c r="V445" s="160">
        <f>G445+O445*'NM Play'!$B$13-N445*'NM Play'!$B$11</f>
        <v/>
      </c>
      <c r="W445" s="160">
        <f>H445+P445*'NM Play'!$B$14-N445*'NM Play'!$B$12</f>
        <v/>
      </c>
      <c r="X445" s="160">
        <f>I445+U445-T445</f>
        <v/>
      </c>
      <c r="Y445" s="160">
        <f>MIN(N445,MAX(0,ROUNDDOWN('Sites'!$L$6*'Cases'!$E$10,0)-SUM(Y438:Y444)))</f>
        <v/>
      </c>
      <c r="Z445" s="160">
        <f>N445-Y445</f>
        <v/>
      </c>
      <c r="AA445" s="160">
        <f>U445*'NM Play'!$B$22</f>
        <v/>
      </c>
      <c r="AB445" s="160">
        <f>N445*SUM('NM Play'!$B$29:$B$31)</f>
        <v/>
      </c>
      <c r="AC445" s="160">
        <f>IF('Sites'!$C$6="Defy legs",P445*'NM Play'!$B$14/'NM Play'!$B$12*'NM Play'!$B$28,0)</f>
        <v/>
      </c>
      <c r="AD445" s="160">
        <f>Q445*'NM Play'!$B$23</f>
        <v/>
      </c>
      <c r="AE445" s="160">
        <f>S445*SUM('NM Play'!$B$26,'NM Play'!$B$33:$B$34)</f>
        <v/>
      </c>
      <c r="AF445" s="160">
        <f>IF('Sites'!$D$6="NM crew",S445*SUM('NM Play'!$B$24:$B$25),0)</f>
        <v/>
      </c>
      <c r="AG445" s="160">
        <f>IF('Sites'!$D$6="NM crew",S445*'NM Play'!$B$27,0)</f>
        <v/>
      </c>
      <c r="AH445" s="160">
        <f>N445*'Sites'!$Z$6*'NM Play'!$B$32</f>
        <v/>
      </c>
      <c r="AI445" s="160">
        <f>SUM(Y445:Z445)*'Sites'!$R$6</f>
        <v/>
      </c>
      <c r="AJ445" s="160">
        <f>SUM(AA445:AH445)</f>
        <v/>
      </c>
      <c r="AK445" s="160">
        <f>AJ445+(T445-U445)*'NM Play'!$B$22+MIN(G445,N445*'NM Play'!$B$11)/'NM Play'!$B$13*'NM Play'!$B$21*'NM Play'!$B$22+MIN(H445,N445*'NM Play'!$B$12)/'NM Play'!$B$14*IF('Sites'!$C$6="Own sheets",'NM Play'!$B$21*'NM Play'!$B$22,'NM Play'!$B$28*'NM Play'!$B$14/'NM Play'!$B$12)</f>
        <v/>
      </c>
      <c r="AL445" s="160">
        <f>Y445*'Assumptions'!K66</f>
        <v/>
      </c>
      <c r="AM445" s="160">
        <f>IF('Sites'!$D$6="NM crew",S445*'NM Play'!$B$37*(1+IF(AND(ISNUMBER('NM Play'!$B$25),'NM Play'!$B$25&gt;0),1,0)),"")</f>
        <v/>
      </c>
      <c r="AN445" s="160">
        <f>IF(OR('Sites'!$E$6&lt;0,'Sites'!$E$6&gt;1,'Sites'!$F$6&lt;1,'Sites'!$G$6&lt;'Sites'!$F$6,F445&lt;0,MIN('Sites'!$I$6:'Sites'!$R$6)&lt;0,'Sites'!$L$6&gt;'Sites'!$I$6,'Sites'!$M$6&gt;'Sites'!$J$6,'Sites'!$N$6&gt;'Sites'!$K$6,'Sites'!$Z$6&lt;0,'Sites'!$Z$6&gt;1,MIN('Sites'!$AA$6:'Sites'!$AC$6)&lt;0,S445&gt;F445+0.001),1,0)</f>
        <v/>
      </c>
      <c r="AO445" s="160">
        <f>I445+U445-T445-X445</f>
        <v/>
      </c>
    </row>
    <row r="446" ht="28" customHeight="1">
      <c r="A446" s="4" t="inlineStr">
        <is>
          <t>Lower sales</t>
        </is>
      </c>
      <c r="B446" s="4" t="inlineStr">
        <is>
          <t>WITTA</t>
        </is>
      </c>
      <c r="C446" s="160" t="n">
        <v>9</v>
      </c>
      <c r="D446" s="160">
        <f>ROUNDUP(C446/12,0)</f>
        <v/>
      </c>
      <c r="E446" s="160">
        <f>IF(AND('Sites'!$E$6=1,C446&gt;='Sites'!$F$6,C446&lt;='Sites'!$G$6),1,0)</f>
        <v/>
      </c>
      <c r="F446" s="160">
        <f>E446*'Assumptions'!L67</f>
        <v/>
      </c>
      <c r="G446" s="160">
        <f>V445</f>
        <v/>
      </c>
      <c r="H446" s="160">
        <f>W445</f>
        <v/>
      </c>
      <c r="I446" s="160">
        <f>X445</f>
        <v/>
      </c>
      <c r="J446" s="160">
        <f>MAX(0,'Sites'!$I$6-SUM(N438:N445))</f>
        <v/>
      </c>
      <c r="K446" s="160">
        <f>IF('Sites'!$C$6="Own sheets",MIN(ROUNDDOWN(G446/'NM Play'!$B$11,0)+F446*'NM Play'!$B$10/'NM Play'!$B$43,ROUNDDOWN(H446/'NM Play'!$B$12,0)+F446*'NM Play'!$B$10/'NM Play'!$B$44,(F446*'NM Play'!$B$10+ROUNDDOWN(G446/'NM Play'!$B$11,0)*'NM Play'!$B$43+ROUNDDOWN(H446/'NM Play'!$B$12,0)*'NM Play'!$B$44)/('NM Play'!$B$43+'NM Play'!$B$44)),ROUNDDOWN(G446/'NM Play'!$B$11,0)+F446*'NM Play'!$B$10/'NM Play'!$B$43)</f>
        <v/>
      </c>
      <c r="L446" s="160">
        <f>MIN(ROUNDDOWN(G446/'NM Play'!$B$11,0)+F446/('NM Play'!$B$43/'NM Play'!$B$15),ROUNDDOWN(H446/'NM Play'!$B$12,0)+F446/('NM Play'!$B$44/'NM Play'!$B$16),(F446+ROUNDDOWN(G446/'NM Play'!$B$11,0)*'NM Play'!$B$43/'NM Play'!$B$15+ROUNDDOWN(H446/'NM Play'!$B$12,0)*'NM Play'!$B$44/'NM Play'!$B$16)/('NM Play'!$B$43/'NM Play'!$B$15+'NM Play'!$B$44/'NM Play'!$B$16))</f>
        <v/>
      </c>
      <c r="M446" s="160">
        <f>F446*'NM Play'!$B$36</f>
        <v/>
      </c>
      <c r="N446" s="160">
        <f>ROUNDDOWN(MAX(0,MIN(J446,K446:M446)),0)</f>
        <v/>
      </c>
      <c r="O446" s="160">
        <f>ROUNDUP(MAX(0,N446*'NM Play'!$B$11-G446)/'NM Play'!$B$13,0)</f>
        <v/>
      </c>
      <c r="P446" s="160">
        <f>ROUNDUP(MAX(0,N446*'NM Play'!$B$12-H446)/'NM Play'!$B$14,0)</f>
        <v/>
      </c>
      <c r="Q446" s="160">
        <f>(O446+IF('Sites'!$C$6="Own sheets",P446,0))/'NM Play'!$B$10</f>
        <v/>
      </c>
      <c r="R446" s="160">
        <f>O446/'NM Play'!$B$15+P446/'NM Play'!$B$16</f>
        <v/>
      </c>
      <c r="S446" s="160">
        <f>MAX(Q446,R446,N446/'NM Play'!$B$36)</f>
        <v/>
      </c>
      <c r="T446" s="160">
        <f>Q446*'NM Play'!$B$10*'NM Play'!$B$21*(1+'NM Play'!$B$35)</f>
        <v/>
      </c>
      <c r="U446" s="160">
        <f>MAX(0,T446-I446)</f>
        <v/>
      </c>
      <c r="V446" s="160">
        <f>G446+O446*'NM Play'!$B$13-N446*'NM Play'!$B$11</f>
        <v/>
      </c>
      <c r="W446" s="160">
        <f>H446+P446*'NM Play'!$B$14-N446*'NM Play'!$B$12</f>
        <v/>
      </c>
      <c r="X446" s="160">
        <f>I446+U446-T446</f>
        <v/>
      </c>
      <c r="Y446" s="160">
        <f>MIN(N446,MAX(0,ROUNDDOWN('Sites'!$L$6*'Cases'!$E$10,0)-SUM(Y438:Y445)))</f>
        <v/>
      </c>
      <c r="Z446" s="160">
        <f>N446-Y446</f>
        <v/>
      </c>
      <c r="AA446" s="160">
        <f>U446*'NM Play'!$B$22</f>
        <v/>
      </c>
      <c r="AB446" s="160">
        <f>N446*SUM('NM Play'!$B$29:$B$31)</f>
        <v/>
      </c>
      <c r="AC446" s="160">
        <f>IF('Sites'!$C$6="Defy legs",P446*'NM Play'!$B$14/'NM Play'!$B$12*'NM Play'!$B$28,0)</f>
        <v/>
      </c>
      <c r="AD446" s="160">
        <f>Q446*'NM Play'!$B$23</f>
        <v/>
      </c>
      <c r="AE446" s="160">
        <f>S446*SUM('NM Play'!$B$26,'NM Play'!$B$33:$B$34)</f>
        <v/>
      </c>
      <c r="AF446" s="160">
        <f>IF('Sites'!$D$6="NM crew",S446*SUM('NM Play'!$B$24:$B$25),0)</f>
        <v/>
      </c>
      <c r="AG446" s="160">
        <f>IF('Sites'!$D$6="NM crew",S446*'NM Play'!$B$27,0)</f>
        <v/>
      </c>
      <c r="AH446" s="160">
        <f>N446*'Sites'!$Z$6*'NM Play'!$B$32</f>
        <v/>
      </c>
      <c r="AI446" s="160">
        <f>SUM(Y446:Z446)*'Sites'!$R$6</f>
        <v/>
      </c>
      <c r="AJ446" s="160">
        <f>SUM(AA446:AH446)</f>
        <v/>
      </c>
      <c r="AK446" s="160">
        <f>AJ446+(T446-U446)*'NM Play'!$B$22+MIN(G446,N446*'NM Play'!$B$11)/'NM Play'!$B$13*'NM Play'!$B$21*'NM Play'!$B$22+MIN(H446,N446*'NM Play'!$B$12)/'NM Play'!$B$14*IF('Sites'!$C$6="Own sheets",'NM Play'!$B$21*'NM Play'!$B$22,'NM Play'!$B$28*'NM Play'!$B$14/'NM Play'!$B$12)</f>
        <v/>
      </c>
      <c r="AL446" s="160">
        <f>Y446*'Assumptions'!L66</f>
        <v/>
      </c>
      <c r="AM446" s="160">
        <f>IF('Sites'!$D$6="NM crew",S446*'NM Play'!$B$37*(1+IF(AND(ISNUMBER('NM Play'!$B$25),'NM Play'!$B$25&gt;0),1,0)),"")</f>
        <v/>
      </c>
      <c r="AN446" s="160">
        <f>IF(OR('Sites'!$E$6&lt;0,'Sites'!$E$6&gt;1,'Sites'!$F$6&lt;1,'Sites'!$G$6&lt;'Sites'!$F$6,F446&lt;0,MIN('Sites'!$I$6:'Sites'!$R$6)&lt;0,'Sites'!$L$6&gt;'Sites'!$I$6,'Sites'!$M$6&gt;'Sites'!$J$6,'Sites'!$N$6&gt;'Sites'!$K$6,'Sites'!$Z$6&lt;0,'Sites'!$Z$6&gt;1,MIN('Sites'!$AA$6:'Sites'!$AC$6)&lt;0,S446&gt;F446+0.001),1,0)</f>
        <v/>
      </c>
      <c r="AO446" s="160">
        <f>I446+U446-T446-X446</f>
        <v/>
      </c>
    </row>
    <row r="447" ht="28" customHeight="1">
      <c r="A447" s="4" t="inlineStr">
        <is>
          <t>Lower sales</t>
        </is>
      </c>
      <c r="B447" s="4" t="inlineStr">
        <is>
          <t>WITTA</t>
        </is>
      </c>
      <c r="C447" s="160" t="n">
        <v>10</v>
      </c>
      <c r="D447" s="160">
        <f>ROUNDUP(C447/12,0)</f>
        <v/>
      </c>
      <c r="E447" s="160">
        <f>IF(AND('Sites'!$E$6=1,C447&gt;='Sites'!$F$6,C447&lt;='Sites'!$G$6),1,0)</f>
        <v/>
      </c>
      <c r="F447" s="160">
        <f>E447*'Assumptions'!M67</f>
        <v/>
      </c>
      <c r="G447" s="160">
        <f>V446</f>
        <v/>
      </c>
      <c r="H447" s="160">
        <f>W446</f>
        <v/>
      </c>
      <c r="I447" s="160">
        <f>X446</f>
        <v/>
      </c>
      <c r="J447" s="160">
        <f>MAX(0,'Sites'!$I$6-SUM(N438:N446))</f>
        <v/>
      </c>
      <c r="K447" s="160">
        <f>IF('Sites'!$C$6="Own sheets",MIN(ROUNDDOWN(G447/'NM Play'!$B$11,0)+F447*'NM Play'!$B$10/'NM Play'!$B$43,ROUNDDOWN(H447/'NM Play'!$B$12,0)+F447*'NM Play'!$B$10/'NM Play'!$B$44,(F447*'NM Play'!$B$10+ROUNDDOWN(G447/'NM Play'!$B$11,0)*'NM Play'!$B$43+ROUNDDOWN(H447/'NM Play'!$B$12,0)*'NM Play'!$B$44)/('NM Play'!$B$43+'NM Play'!$B$44)),ROUNDDOWN(G447/'NM Play'!$B$11,0)+F447*'NM Play'!$B$10/'NM Play'!$B$43)</f>
        <v/>
      </c>
      <c r="L447" s="160">
        <f>MIN(ROUNDDOWN(G447/'NM Play'!$B$11,0)+F447/('NM Play'!$B$43/'NM Play'!$B$15),ROUNDDOWN(H447/'NM Play'!$B$12,0)+F447/('NM Play'!$B$44/'NM Play'!$B$16),(F447+ROUNDDOWN(G447/'NM Play'!$B$11,0)*'NM Play'!$B$43/'NM Play'!$B$15+ROUNDDOWN(H447/'NM Play'!$B$12,0)*'NM Play'!$B$44/'NM Play'!$B$16)/('NM Play'!$B$43/'NM Play'!$B$15+'NM Play'!$B$44/'NM Play'!$B$16))</f>
        <v/>
      </c>
      <c r="M447" s="160">
        <f>F447*'NM Play'!$B$36</f>
        <v/>
      </c>
      <c r="N447" s="160">
        <f>ROUNDDOWN(MAX(0,MIN(J447,K447:M447)),0)</f>
        <v/>
      </c>
      <c r="O447" s="160">
        <f>ROUNDUP(MAX(0,N447*'NM Play'!$B$11-G447)/'NM Play'!$B$13,0)</f>
        <v/>
      </c>
      <c r="P447" s="160">
        <f>ROUNDUP(MAX(0,N447*'NM Play'!$B$12-H447)/'NM Play'!$B$14,0)</f>
        <v/>
      </c>
      <c r="Q447" s="160">
        <f>(O447+IF('Sites'!$C$6="Own sheets",P447,0))/'NM Play'!$B$10</f>
        <v/>
      </c>
      <c r="R447" s="160">
        <f>O447/'NM Play'!$B$15+P447/'NM Play'!$B$16</f>
        <v/>
      </c>
      <c r="S447" s="160">
        <f>MAX(Q447,R447,N447/'NM Play'!$B$36)</f>
        <v/>
      </c>
      <c r="T447" s="160">
        <f>Q447*'NM Play'!$B$10*'NM Play'!$B$21*(1+'NM Play'!$B$35)</f>
        <v/>
      </c>
      <c r="U447" s="160">
        <f>MAX(0,T447-I447)</f>
        <v/>
      </c>
      <c r="V447" s="160">
        <f>G447+O447*'NM Play'!$B$13-N447*'NM Play'!$B$11</f>
        <v/>
      </c>
      <c r="W447" s="160">
        <f>H447+P447*'NM Play'!$B$14-N447*'NM Play'!$B$12</f>
        <v/>
      </c>
      <c r="X447" s="160">
        <f>I447+U447-T447</f>
        <v/>
      </c>
      <c r="Y447" s="160">
        <f>MIN(N447,MAX(0,ROUNDDOWN('Sites'!$L$6*'Cases'!$E$10,0)-SUM(Y438:Y446)))</f>
        <v/>
      </c>
      <c r="Z447" s="160">
        <f>N447-Y447</f>
        <v/>
      </c>
      <c r="AA447" s="160">
        <f>U447*'NM Play'!$B$22</f>
        <v/>
      </c>
      <c r="AB447" s="160">
        <f>N447*SUM('NM Play'!$B$29:$B$31)</f>
        <v/>
      </c>
      <c r="AC447" s="160">
        <f>IF('Sites'!$C$6="Defy legs",P447*'NM Play'!$B$14/'NM Play'!$B$12*'NM Play'!$B$28,0)</f>
        <v/>
      </c>
      <c r="AD447" s="160">
        <f>Q447*'NM Play'!$B$23</f>
        <v/>
      </c>
      <c r="AE447" s="160">
        <f>S447*SUM('NM Play'!$B$26,'NM Play'!$B$33:$B$34)</f>
        <v/>
      </c>
      <c r="AF447" s="160">
        <f>IF('Sites'!$D$6="NM crew",S447*SUM('NM Play'!$B$24:$B$25),0)</f>
        <v/>
      </c>
      <c r="AG447" s="160">
        <f>IF('Sites'!$D$6="NM crew",S447*'NM Play'!$B$27,0)</f>
        <v/>
      </c>
      <c r="AH447" s="160">
        <f>N447*'Sites'!$Z$6*'NM Play'!$B$32</f>
        <v/>
      </c>
      <c r="AI447" s="160">
        <f>SUM(Y447:Z447)*'Sites'!$R$6</f>
        <v/>
      </c>
      <c r="AJ447" s="160">
        <f>SUM(AA447:AH447)</f>
        <v/>
      </c>
      <c r="AK447" s="160">
        <f>AJ447+(T447-U447)*'NM Play'!$B$22+MIN(G447,N447*'NM Play'!$B$11)/'NM Play'!$B$13*'NM Play'!$B$21*'NM Play'!$B$22+MIN(H447,N447*'NM Play'!$B$12)/'NM Play'!$B$14*IF('Sites'!$C$6="Own sheets",'NM Play'!$B$21*'NM Play'!$B$22,'NM Play'!$B$28*'NM Play'!$B$14/'NM Play'!$B$12)</f>
        <v/>
      </c>
      <c r="AL447" s="160">
        <f>Y447*'Assumptions'!M66</f>
        <v/>
      </c>
      <c r="AM447" s="160">
        <f>IF('Sites'!$D$6="NM crew",S447*'NM Play'!$B$37*(1+IF(AND(ISNUMBER('NM Play'!$B$25),'NM Play'!$B$25&gt;0),1,0)),"")</f>
        <v/>
      </c>
      <c r="AN447" s="160">
        <f>IF(OR('Sites'!$E$6&lt;0,'Sites'!$E$6&gt;1,'Sites'!$F$6&lt;1,'Sites'!$G$6&lt;'Sites'!$F$6,F447&lt;0,MIN('Sites'!$I$6:'Sites'!$R$6)&lt;0,'Sites'!$L$6&gt;'Sites'!$I$6,'Sites'!$M$6&gt;'Sites'!$J$6,'Sites'!$N$6&gt;'Sites'!$K$6,'Sites'!$Z$6&lt;0,'Sites'!$Z$6&gt;1,MIN('Sites'!$AA$6:'Sites'!$AC$6)&lt;0,S447&gt;F447+0.001),1,0)</f>
        <v/>
      </c>
      <c r="AO447" s="160">
        <f>I447+U447-T447-X447</f>
        <v/>
      </c>
    </row>
    <row r="448" ht="28" customHeight="1">
      <c r="A448" s="4" t="inlineStr">
        <is>
          <t>Lower sales</t>
        </is>
      </c>
      <c r="B448" s="4" t="inlineStr">
        <is>
          <t>WITTA</t>
        </is>
      </c>
      <c r="C448" s="160" t="n">
        <v>11</v>
      </c>
      <c r="D448" s="160">
        <f>ROUNDUP(C448/12,0)</f>
        <v/>
      </c>
      <c r="E448" s="160">
        <f>IF(AND('Sites'!$E$6=1,C448&gt;='Sites'!$F$6,C448&lt;='Sites'!$G$6),1,0)</f>
        <v/>
      </c>
      <c r="F448" s="160">
        <f>E448*'Assumptions'!N67</f>
        <v/>
      </c>
      <c r="G448" s="160">
        <f>V447</f>
        <v/>
      </c>
      <c r="H448" s="160">
        <f>W447</f>
        <v/>
      </c>
      <c r="I448" s="160">
        <f>X447</f>
        <v/>
      </c>
      <c r="J448" s="160">
        <f>MAX(0,'Sites'!$I$6-SUM(N438:N447))</f>
        <v/>
      </c>
      <c r="K448" s="160">
        <f>IF('Sites'!$C$6="Own sheets",MIN(ROUNDDOWN(G448/'NM Play'!$B$11,0)+F448*'NM Play'!$B$10/'NM Play'!$B$43,ROUNDDOWN(H448/'NM Play'!$B$12,0)+F448*'NM Play'!$B$10/'NM Play'!$B$44,(F448*'NM Play'!$B$10+ROUNDDOWN(G448/'NM Play'!$B$11,0)*'NM Play'!$B$43+ROUNDDOWN(H448/'NM Play'!$B$12,0)*'NM Play'!$B$44)/('NM Play'!$B$43+'NM Play'!$B$44)),ROUNDDOWN(G448/'NM Play'!$B$11,0)+F448*'NM Play'!$B$10/'NM Play'!$B$43)</f>
        <v/>
      </c>
      <c r="L448" s="160">
        <f>MIN(ROUNDDOWN(G448/'NM Play'!$B$11,0)+F448/('NM Play'!$B$43/'NM Play'!$B$15),ROUNDDOWN(H448/'NM Play'!$B$12,0)+F448/('NM Play'!$B$44/'NM Play'!$B$16),(F448+ROUNDDOWN(G448/'NM Play'!$B$11,0)*'NM Play'!$B$43/'NM Play'!$B$15+ROUNDDOWN(H448/'NM Play'!$B$12,0)*'NM Play'!$B$44/'NM Play'!$B$16)/('NM Play'!$B$43/'NM Play'!$B$15+'NM Play'!$B$44/'NM Play'!$B$16))</f>
        <v/>
      </c>
      <c r="M448" s="160">
        <f>F448*'NM Play'!$B$36</f>
        <v/>
      </c>
      <c r="N448" s="160">
        <f>ROUNDDOWN(MAX(0,MIN(J448,K448:M448)),0)</f>
        <v/>
      </c>
      <c r="O448" s="160">
        <f>ROUNDUP(MAX(0,N448*'NM Play'!$B$11-G448)/'NM Play'!$B$13,0)</f>
        <v/>
      </c>
      <c r="P448" s="160">
        <f>ROUNDUP(MAX(0,N448*'NM Play'!$B$12-H448)/'NM Play'!$B$14,0)</f>
        <v/>
      </c>
      <c r="Q448" s="160">
        <f>(O448+IF('Sites'!$C$6="Own sheets",P448,0))/'NM Play'!$B$10</f>
        <v/>
      </c>
      <c r="R448" s="160">
        <f>O448/'NM Play'!$B$15+P448/'NM Play'!$B$16</f>
        <v/>
      </c>
      <c r="S448" s="160">
        <f>MAX(Q448,R448,N448/'NM Play'!$B$36)</f>
        <v/>
      </c>
      <c r="T448" s="160">
        <f>Q448*'NM Play'!$B$10*'NM Play'!$B$21*(1+'NM Play'!$B$35)</f>
        <v/>
      </c>
      <c r="U448" s="160">
        <f>MAX(0,T448-I448)</f>
        <v/>
      </c>
      <c r="V448" s="160">
        <f>G448+O448*'NM Play'!$B$13-N448*'NM Play'!$B$11</f>
        <v/>
      </c>
      <c r="W448" s="160">
        <f>H448+P448*'NM Play'!$B$14-N448*'NM Play'!$B$12</f>
        <v/>
      </c>
      <c r="X448" s="160">
        <f>I448+U448-T448</f>
        <v/>
      </c>
      <c r="Y448" s="160">
        <f>MIN(N448,MAX(0,ROUNDDOWN('Sites'!$L$6*'Cases'!$E$10,0)-SUM(Y438:Y447)))</f>
        <v/>
      </c>
      <c r="Z448" s="160">
        <f>N448-Y448</f>
        <v/>
      </c>
      <c r="AA448" s="160">
        <f>U448*'NM Play'!$B$22</f>
        <v/>
      </c>
      <c r="AB448" s="160">
        <f>N448*SUM('NM Play'!$B$29:$B$31)</f>
        <v/>
      </c>
      <c r="AC448" s="160">
        <f>IF('Sites'!$C$6="Defy legs",P448*'NM Play'!$B$14/'NM Play'!$B$12*'NM Play'!$B$28,0)</f>
        <v/>
      </c>
      <c r="AD448" s="160">
        <f>Q448*'NM Play'!$B$23</f>
        <v/>
      </c>
      <c r="AE448" s="160">
        <f>S448*SUM('NM Play'!$B$26,'NM Play'!$B$33:$B$34)</f>
        <v/>
      </c>
      <c r="AF448" s="160">
        <f>IF('Sites'!$D$6="NM crew",S448*SUM('NM Play'!$B$24:$B$25),0)</f>
        <v/>
      </c>
      <c r="AG448" s="160">
        <f>IF('Sites'!$D$6="NM crew",S448*'NM Play'!$B$27,0)</f>
        <v/>
      </c>
      <c r="AH448" s="160">
        <f>N448*'Sites'!$Z$6*'NM Play'!$B$32</f>
        <v/>
      </c>
      <c r="AI448" s="160">
        <f>SUM(Y448:Z448)*'Sites'!$R$6</f>
        <v/>
      </c>
      <c r="AJ448" s="160">
        <f>SUM(AA448:AH448)</f>
        <v/>
      </c>
      <c r="AK448" s="160">
        <f>AJ448+(T448-U448)*'NM Play'!$B$22+MIN(G448,N448*'NM Play'!$B$11)/'NM Play'!$B$13*'NM Play'!$B$21*'NM Play'!$B$22+MIN(H448,N448*'NM Play'!$B$12)/'NM Play'!$B$14*IF('Sites'!$C$6="Own sheets",'NM Play'!$B$21*'NM Play'!$B$22,'NM Play'!$B$28*'NM Play'!$B$14/'NM Play'!$B$12)</f>
        <v/>
      </c>
      <c r="AL448" s="160">
        <f>Y448*'Assumptions'!N66</f>
        <v/>
      </c>
      <c r="AM448" s="160">
        <f>IF('Sites'!$D$6="NM crew",S448*'NM Play'!$B$37*(1+IF(AND(ISNUMBER('NM Play'!$B$25),'NM Play'!$B$25&gt;0),1,0)),"")</f>
        <v/>
      </c>
      <c r="AN448" s="160">
        <f>IF(OR('Sites'!$E$6&lt;0,'Sites'!$E$6&gt;1,'Sites'!$F$6&lt;1,'Sites'!$G$6&lt;'Sites'!$F$6,F448&lt;0,MIN('Sites'!$I$6:'Sites'!$R$6)&lt;0,'Sites'!$L$6&gt;'Sites'!$I$6,'Sites'!$M$6&gt;'Sites'!$J$6,'Sites'!$N$6&gt;'Sites'!$K$6,'Sites'!$Z$6&lt;0,'Sites'!$Z$6&gt;1,MIN('Sites'!$AA$6:'Sites'!$AC$6)&lt;0,S448&gt;F448+0.001),1,0)</f>
        <v/>
      </c>
      <c r="AO448" s="160">
        <f>I448+U448-T448-X448</f>
        <v/>
      </c>
    </row>
    <row r="449" ht="28" customHeight="1">
      <c r="A449" s="4" t="inlineStr">
        <is>
          <t>Lower sales</t>
        </is>
      </c>
      <c r="B449" s="4" t="inlineStr">
        <is>
          <t>WITTA</t>
        </is>
      </c>
      <c r="C449" s="160" t="n">
        <v>12</v>
      </c>
      <c r="D449" s="160">
        <f>ROUNDUP(C449/12,0)</f>
        <v/>
      </c>
      <c r="E449" s="160">
        <f>IF(AND('Sites'!$E$6=1,C449&gt;='Sites'!$F$6,C449&lt;='Sites'!$G$6),1,0)</f>
        <v/>
      </c>
      <c r="F449" s="160">
        <f>E449*'Assumptions'!O67</f>
        <v/>
      </c>
      <c r="G449" s="160">
        <f>V448</f>
        <v/>
      </c>
      <c r="H449" s="160">
        <f>W448</f>
        <v/>
      </c>
      <c r="I449" s="160">
        <f>X448</f>
        <v/>
      </c>
      <c r="J449" s="160">
        <f>MAX(0,'Sites'!$I$6-SUM(N438:N448))</f>
        <v/>
      </c>
      <c r="K449" s="160">
        <f>IF('Sites'!$C$6="Own sheets",MIN(ROUNDDOWN(G449/'NM Play'!$B$11,0)+F449*'NM Play'!$B$10/'NM Play'!$B$43,ROUNDDOWN(H449/'NM Play'!$B$12,0)+F449*'NM Play'!$B$10/'NM Play'!$B$44,(F449*'NM Play'!$B$10+ROUNDDOWN(G449/'NM Play'!$B$11,0)*'NM Play'!$B$43+ROUNDDOWN(H449/'NM Play'!$B$12,0)*'NM Play'!$B$44)/('NM Play'!$B$43+'NM Play'!$B$44)),ROUNDDOWN(G449/'NM Play'!$B$11,0)+F449*'NM Play'!$B$10/'NM Play'!$B$43)</f>
        <v/>
      </c>
      <c r="L449" s="160">
        <f>MIN(ROUNDDOWN(G449/'NM Play'!$B$11,0)+F449/('NM Play'!$B$43/'NM Play'!$B$15),ROUNDDOWN(H449/'NM Play'!$B$12,0)+F449/('NM Play'!$B$44/'NM Play'!$B$16),(F449+ROUNDDOWN(G449/'NM Play'!$B$11,0)*'NM Play'!$B$43/'NM Play'!$B$15+ROUNDDOWN(H449/'NM Play'!$B$12,0)*'NM Play'!$B$44/'NM Play'!$B$16)/('NM Play'!$B$43/'NM Play'!$B$15+'NM Play'!$B$44/'NM Play'!$B$16))</f>
        <v/>
      </c>
      <c r="M449" s="160">
        <f>F449*'NM Play'!$B$36</f>
        <v/>
      </c>
      <c r="N449" s="160">
        <f>ROUNDDOWN(MAX(0,MIN(J449,K449:M449)),0)</f>
        <v/>
      </c>
      <c r="O449" s="160">
        <f>ROUNDUP(MAX(0,N449*'NM Play'!$B$11-G449)/'NM Play'!$B$13,0)</f>
        <v/>
      </c>
      <c r="P449" s="160">
        <f>ROUNDUP(MAX(0,N449*'NM Play'!$B$12-H449)/'NM Play'!$B$14,0)</f>
        <v/>
      </c>
      <c r="Q449" s="160">
        <f>(O449+IF('Sites'!$C$6="Own sheets",P449,0))/'NM Play'!$B$10</f>
        <v/>
      </c>
      <c r="R449" s="160">
        <f>O449/'NM Play'!$B$15+P449/'NM Play'!$B$16</f>
        <v/>
      </c>
      <c r="S449" s="160">
        <f>MAX(Q449,R449,N449/'NM Play'!$B$36)</f>
        <v/>
      </c>
      <c r="T449" s="160">
        <f>Q449*'NM Play'!$B$10*'NM Play'!$B$21*(1+'NM Play'!$B$35)</f>
        <v/>
      </c>
      <c r="U449" s="160">
        <f>MAX(0,T449-I449)</f>
        <v/>
      </c>
      <c r="V449" s="160">
        <f>G449+O449*'NM Play'!$B$13-N449*'NM Play'!$B$11</f>
        <v/>
      </c>
      <c r="W449" s="160">
        <f>H449+P449*'NM Play'!$B$14-N449*'NM Play'!$B$12</f>
        <v/>
      </c>
      <c r="X449" s="160">
        <f>I449+U449-T449</f>
        <v/>
      </c>
      <c r="Y449" s="160">
        <f>MIN(N449,MAX(0,ROUNDDOWN('Sites'!$L$6*'Cases'!$E$10,0)-SUM(Y438:Y448)))</f>
        <v/>
      </c>
      <c r="Z449" s="160">
        <f>N449-Y449</f>
        <v/>
      </c>
      <c r="AA449" s="160">
        <f>U449*'NM Play'!$B$22</f>
        <v/>
      </c>
      <c r="AB449" s="160">
        <f>N449*SUM('NM Play'!$B$29:$B$31)</f>
        <v/>
      </c>
      <c r="AC449" s="160">
        <f>IF('Sites'!$C$6="Defy legs",P449*'NM Play'!$B$14/'NM Play'!$B$12*'NM Play'!$B$28,0)</f>
        <v/>
      </c>
      <c r="AD449" s="160">
        <f>Q449*'NM Play'!$B$23</f>
        <v/>
      </c>
      <c r="AE449" s="160">
        <f>S449*SUM('NM Play'!$B$26,'NM Play'!$B$33:$B$34)</f>
        <v/>
      </c>
      <c r="AF449" s="160">
        <f>IF('Sites'!$D$6="NM crew",S449*SUM('NM Play'!$B$24:$B$25),0)</f>
        <v/>
      </c>
      <c r="AG449" s="160">
        <f>IF('Sites'!$D$6="NM crew",S449*'NM Play'!$B$27,0)</f>
        <v/>
      </c>
      <c r="AH449" s="160">
        <f>N449*'Sites'!$Z$6*'NM Play'!$B$32</f>
        <v/>
      </c>
      <c r="AI449" s="160">
        <f>SUM(Y449:Z449)*'Sites'!$R$6</f>
        <v/>
      </c>
      <c r="AJ449" s="160">
        <f>SUM(AA449:AH449)</f>
        <v/>
      </c>
      <c r="AK449" s="160">
        <f>AJ449+(T449-U449)*'NM Play'!$B$22+MIN(G449,N449*'NM Play'!$B$11)/'NM Play'!$B$13*'NM Play'!$B$21*'NM Play'!$B$22+MIN(H449,N449*'NM Play'!$B$12)/'NM Play'!$B$14*IF('Sites'!$C$6="Own sheets",'NM Play'!$B$21*'NM Play'!$B$22,'NM Play'!$B$28*'NM Play'!$B$14/'NM Play'!$B$12)</f>
        <v/>
      </c>
      <c r="AL449" s="160">
        <f>Y449*'Assumptions'!O66</f>
        <v/>
      </c>
      <c r="AM449" s="160">
        <f>IF('Sites'!$D$6="NM crew",S449*'NM Play'!$B$37*(1+IF(AND(ISNUMBER('NM Play'!$B$25),'NM Play'!$B$25&gt;0),1,0)),"")</f>
        <v/>
      </c>
      <c r="AN449" s="160">
        <f>IF(OR('Sites'!$E$6&lt;0,'Sites'!$E$6&gt;1,'Sites'!$F$6&lt;1,'Sites'!$G$6&lt;'Sites'!$F$6,F449&lt;0,MIN('Sites'!$I$6:'Sites'!$R$6)&lt;0,'Sites'!$L$6&gt;'Sites'!$I$6,'Sites'!$M$6&gt;'Sites'!$J$6,'Sites'!$N$6&gt;'Sites'!$K$6,'Sites'!$Z$6&lt;0,'Sites'!$Z$6&gt;1,MIN('Sites'!$AA$6:'Sites'!$AC$6)&lt;0,S449&gt;F449+0.001),1,0)</f>
        <v/>
      </c>
      <c r="AO449" s="160">
        <f>I449+U449-T449-X449</f>
        <v/>
      </c>
    </row>
    <row r="450" ht="28" customHeight="1">
      <c r="A450" s="4" t="inlineStr">
        <is>
          <t>Lower sales</t>
        </is>
      </c>
      <c r="B450" s="4" t="inlineStr">
        <is>
          <t>WITTA</t>
        </is>
      </c>
      <c r="C450" s="160" t="n">
        <v>13</v>
      </c>
      <c r="D450" s="160">
        <f>ROUNDUP(C450/12,0)</f>
        <v/>
      </c>
      <c r="E450" s="160">
        <f>IF(AND('Sites'!$E$6=1,C450&gt;='Sites'!$F$6,C450&lt;='Sites'!$G$6),1,0)</f>
        <v/>
      </c>
      <c r="F450" s="160">
        <f>E450*'Assumptions'!P67</f>
        <v/>
      </c>
      <c r="G450" s="160">
        <f>V449</f>
        <v/>
      </c>
      <c r="H450" s="160">
        <f>W449</f>
        <v/>
      </c>
      <c r="I450" s="160">
        <f>X449</f>
        <v/>
      </c>
      <c r="J450" s="160">
        <f>MAX(0,'Sites'!$J$6-0)</f>
        <v/>
      </c>
      <c r="K450" s="160">
        <f>IF('Sites'!$C$6="Own sheets",MIN(ROUNDDOWN(G450/'NM Play'!$B$11,0)+F450*'NM Play'!$B$10/'NM Play'!$B$43,ROUNDDOWN(H450/'NM Play'!$B$12,0)+F450*'NM Play'!$B$10/'NM Play'!$B$44,(F450*'NM Play'!$B$10+ROUNDDOWN(G450/'NM Play'!$B$11,0)*'NM Play'!$B$43+ROUNDDOWN(H450/'NM Play'!$B$12,0)*'NM Play'!$B$44)/('NM Play'!$B$43+'NM Play'!$B$44)),ROUNDDOWN(G450/'NM Play'!$B$11,0)+F450*'NM Play'!$B$10/'NM Play'!$B$43)</f>
        <v/>
      </c>
      <c r="L450" s="160">
        <f>MIN(ROUNDDOWN(G450/'NM Play'!$B$11,0)+F450/('NM Play'!$B$43/'NM Play'!$B$15),ROUNDDOWN(H450/'NM Play'!$B$12,0)+F450/('NM Play'!$B$44/'NM Play'!$B$16),(F450+ROUNDDOWN(G450/'NM Play'!$B$11,0)*'NM Play'!$B$43/'NM Play'!$B$15+ROUNDDOWN(H450/'NM Play'!$B$12,0)*'NM Play'!$B$44/'NM Play'!$B$16)/('NM Play'!$B$43/'NM Play'!$B$15+'NM Play'!$B$44/'NM Play'!$B$16))</f>
        <v/>
      </c>
      <c r="M450" s="160">
        <f>F450*'NM Play'!$B$36</f>
        <v/>
      </c>
      <c r="N450" s="160">
        <f>ROUNDDOWN(MAX(0,MIN(J450,K450:M450)),0)</f>
        <v/>
      </c>
      <c r="O450" s="160">
        <f>ROUNDUP(MAX(0,N450*'NM Play'!$B$11-G450)/'NM Play'!$B$13,0)</f>
        <v/>
      </c>
      <c r="P450" s="160">
        <f>ROUNDUP(MAX(0,N450*'NM Play'!$B$12-H450)/'NM Play'!$B$14,0)</f>
        <v/>
      </c>
      <c r="Q450" s="160">
        <f>(O450+IF('Sites'!$C$6="Own sheets",P450,0))/'NM Play'!$B$10</f>
        <v/>
      </c>
      <c r="R450" s="160">
        <f>O450/'NM Play'!$B$15+P450/'NM Play'!$B$16</f>
        <v/>
      </c>
      <c r="S450" s="160">
        <f>MAX(Q450,R450,N450/'NM Play'!$B$36)</f>
        <v/>
      </c>
      <c r="T450" s="160">
        <f>Q450*'NM Play'!$B$10*'NM Play'!$B$21*(1+'NM Play'!$B$35)</f>
        <v/>
      </c>
      <c r="U450" s="160">
        <f>MAX(0,T450-I450)</f>
        <v/>
      </c>
      <c r="V450" s="160">
        <f>G450+O450*'NM Play'!$B$13-N450*'NM Play'!$B$11</f>
        <v/>
      </c>
      <c r="W450" s="160">
        <f>H450+P450*'NM Play'!$B$14-N450*'NM Play'!$B$12</f>
        <v/>
      </c>
      <c r="X450" s="160">
        <f>I450+U450-T450</f>
        <v/>
      </c>
      <c r="Y450" s="160">
        <f>MIN(N450,MAX(0,ROUNDDOWN('Sites'!$M$6*'Cases'!$E$10,0)-0))</f>
        <v/>
      </c>
      <c r="Z450" s="160">
        <f>N450-Y450</f>
        <v/>
      </c>
      <c r="AA450" s="160">
        <f>U450*'NM Play'!$B$22</f>
        <v/>
      </c>
      <c r="AB450" s="160">
        <f>N450*SUM('NM Play'!$B$29:$B$31)</f>
        <v/>
      </c>
      <c r="AC450" s="160">
        <f>IF('Sites'!$C$6="Defy legs",P450*'NM Play'!$B$14/'NM Play'!$B$12*'NM Play'!$B$28,0)</f>
        <v/>
      </c>
      <c r="AD450" s="160">
        <f>Q450*'NM Play'!$B$23</f>
        <v/>
      </c>
      <c r="AE450" s="160">
        <f>S450*SUM('NM Play'!$B$26,'NM Play'!$B$33:$B$34)</f>
        <v/>
      </c>
      <c r="AF450" s="160">
        <f>IF('Sites'!$D$6="NM crew",S450*SUM('NM Play'!$B$24:$B$25),0)</f>
        <v/>
      </c>
      <c r="AG450" s="160">
        <f>IF('Sites'!$D$6="NM crew",S450*'NM Play'!$B$27,0)</f>
        <v/>
      </c>
      <c r="AH450" s="160">
        <f>N450*'Sites'!$Z$6*'NM Play'!$B$32</f>
        <v/>
      </c>
      <c r="AI450" s="160">
        <f>SUM(Y450:Z450)*'Sites'!$R$6</f>
        <v/>
      </c>
      <c r="AJ450" s="160">
        <f>SUM(AA450:AH450)</f>
        <v/>
      </c>
      <c r="AK450" s="160">
        <f>AJ450+(T450-U450)*'NM Play'!$B$22+MIN(G450,N450*'NM Play'!$B$11)/'NM Play'!$B$13*'NM Play'!$B$21*'NM Play'!$B$22+MIN(H450,N450*'NM Play'!$B$12)/'NM Play'!$B$14*IF('Sites'!$C$6="Own sheets",'NM Play'!$B$21*'NM Play'!$B$22,'NM Play'!$B$28*'NM Play'!$B$14/'NM Play'!$B$12)</f>
        <v/>
      </c>
      <c r="AL450" s="160">
        <f>Y450*'Assumptions'!P66</f>
        <v/>
      </c>
      <c r="AM450" s="160">
        <f>IF('Sites'!$D$6="NM crew",S450*'NM Play'!$B$37*(1+IF(AND(ISNUMBER('NM Play'!$B$25),'NM Play'!$B$25&gt;0),1,0)),"")</f>
        <v/>
      </c>
      <c r="AN450" s="160">
        <f>IF(OR('Sites'!$E$6&lt;0,'Sites'!$E$6&gt;1,'Sites'!$F$6&lt;1,'Sites'!$G$6&lt;'Sites'!$F$6,F450&lt;0,MIN('Sites'!$I$6:'Sites'!$R$6)&lt;0,'Sites'!$L$6&gt;'Sites'!$I$6,'Sites'!$M$6&gt;'Sites'!$J$6,'Sites'!$N$6&gt;'Sites'!$K$6,'Sites'!$Z$6&lt;0,'Sites'!$Z$6&gt;1,MIN('Sites'!$AA$6:'Sites'!$AC$6)&lt;0,S450&gt;F450+0.001),1,0)</f>
        <v/>
      </c>
      <c r="AO450" s="160">
        <f>I450+U450-T450-X450</f>
        <v/>
      </c>
    </row>
    <row r="451" ht="28" customHeight="1">
      <c r="A451" s="4" t="inlineStr">
        <is>
          <t>Lower sales</t>
        </is>
      </c>
      <c r="B451" s="4" t="inlineStr">
        <is>
          <t>WITTA</t>
        </is>
      </c>
      <c r="C451" s="160" t="n">
        <v>14</v>
      </c>
      <c r="D451" s="160">
        <f>ROUNDUP(C451/12,0)</f>
        <v/>
      </c>
      <c r="E451" s="160">
        <f>IF(AND('Sites'!$E$6=1,C451&gt;='Sites'!$F$6,C451&lt;='Sites'!$G$6),1,0)</f>
        <v/>
      </c>
      <c r="F451" s="160">
        <f>E451*'Assumptions'!Q67</f>
        <v/>
      </c>
      <c r="G451" s="160">
        <f>V450</f>
        <v/>
      </c>
      <c r="H451" s="160">
        <f>W450</f>
        <v/>
      </c>
      <c r="I451" s="160">
        <f>X450</f>
        <v/>
      </c>
      <c r="J451" s="160">
        <f>MAX(0,'Sites'!$J$6-SUM(N450:N450))</f>
        <v/>
      </c>
      <c r="K451" s="160">
        <f>IF('Sites'!$C$6="Own sheets",MIN(ROUNDDOWN(G451/'NM Play'!$B$11,0)+F451*'NM Play'!$B$10/'NM Play'!$B$43,ROUNDDOWN(H451/'NM Play'!$B$12,0)+F451*'NM Play'!$B$10/'NM Play'!$B$44,(F451*'NM Play'!$B$10+ROUNDDOWN(G451/'NM Play'!$B$11,0)*'NM Play'!$B$43+ROUNDDOWN(H451/'NM Play'!$B$12,0)*'NM Play'!$B$44)/('NM Play'!$B$43+'NM Play'!$B$44)),ROUNDDOWN(G451/'NM Play'!$B$11,0)+F451*'NM Play'!$B$10/'NM Play'!$B$43)</f>
        <v/>
      </c>
      <c r="L451" s="160">
        <f>MIN(ROUNDDOWN(G451/'NM Play'!$B$11,0)+F451/('NM Play'!$B$43/'NM Play'!$B$15),ROUNDDOWN(H451/'NM Play'!$B$12,0)+F451/('NM Play'!$B$44/'NM Play'!$B$16),(F451+ROUNDDOWN(G451/'NM Play'!$B$11,0)*'NM Play'!$B$43/'NM Play'!$B$15+ROUNDDOWN(H451/'NM Play'!$B$12,0)*'NM Play'!$B$44/'NM Play'!$B$16)/('NM Play'!$B$43/'NM Play'!$B$15+'NM Play'!$B$44/'NM Play'!$B$16))</f>
        <v/>
      </c>
      <c r="M451" s="160">
        <f>F451*'NM Play'!$B$36</f>
        <v/>
      </c>
      <c r="N451" s="160">
        <f>ROUNDDOWN(MAX(0,MIN(J451,K451:M451)),0)</f>
        <v/>
      </c>
      <c r="O451" s="160">
        <f>ROUNDUP(MAX(0,N451*'NM Play'!$B$11-G451)/'NM Play'!$B$13,0)</f>
        <v/>
      </c>
      <c r="P451" s="160">
        <f>ROUNDUP(MAX(0,N451*'NM Play'!$B$12-H451)/'NM Play'!$B$14,0)</f>
        <v/>
      </c>
      <c r="Q451" s="160">
        <f>(O451+IF('Sites'!$C$6="Own sheets",P451,0))/'NM Play'!$B$10</f>
        <v/>
      </c>
      <c r="R451" s="160">
        <f>O451/'NM Play'!$B$15+P451/'NM Play'!$B$16</f>
        <v/>
      </c>
      <c r="S451" s="160">
        <f>MAX(Q451,R451,N451/'NM Play'!$B$36)</f>
        <v/>
      </c>
      <c r="T451" s="160">
        <f>Q451*'NM Play'!$B$10*'NM Play'!$B$21*(1+'NM Play'!$B$35)</f>
        <v/>
      </c>
      <c r="U451" s="160">
        <f>MAX(0,T451-I451)</f>
        <v/>
      </c>
      <c r="V451" s="160">
        <f>G451+O451*'NM Play'!$B$13-N451*'NM Play'!$B$11</f>
        <v/>
      </c>
      <c r="W451" s="160">
        <f>H451+P451*'NM Play'!$B$14-N451*'NM Play'!$B$12</f>
        <v/>
      </c>
      <c r="X451" s="160">
        <f>I451+U451-T451</f>
        <v/>
      </c>
      <c r="Y451" s="160">
        <f>MIN(N451,MAX(0,ROUNDDOWN('Sites'!$M$6*'Cases'!$E$10,0)-SUM(Y450:Y450)))</f>
        <v/>
      </c>
      <c r="Z451" s="160">
        <f>N451-Y451</f>
        <v/>
      </c>
      <c r="AA451" s="160">
        <f>U451*'NM Play'!$B$22</f>
        <v/>
      </c>
      <c r="AB451" s="160">
        <f>N451*SUM('NM Play'!$B$29:$B$31)</f>
        <v/>
      </c>
      <c r="AC451" s="160">
        <f>IF('Sites'!$C$6="Defy legs",P451*'NM Play'!$B$14/'NM Play'!$B$12*'NM Play'!$B$28,0)</f>
        <v/>
      </c>
      <c r="AD451" s="160">
        <f>Q451*'NM Play'!$B$23</f>
        <v/>
      </c>
      <c r="AE451" s="160">
        <f>S451*SUM('NM Play'!$B$26,'NM Play'!$B$33:$B$34)</f>
        <v/>
      </c>
      <c r="AF451" s="160">
        <f>IF('Sites'!$D$6="NM crew",S451*SUM('NM Play'!$B$24:$B$25),0)</f>
        <v/>
      </c>
      <c r="AG451" s="160">
        <f>IF('Sites'!$D$6="NM crew",S451*'NM Play'!$B$27,0)</f>
        <v/>
      </c>
      <c r="AH451" s="160">
        <f>N451*'Sites'!$Z$6*'NM Play'!$B$32</f>
        <v/>
      </c>
      <c r="AI451" s="160">
        <f>SUM(Y451:Z451)*'Sites'!$R$6</f>
        <v/>
      </c>
      <c r="AJ451" s="160">
        <f>SUM(AA451:AH451)</f>
        <v/>
      </c>
      <c r="AK451" s="160">
        <f>AJ451+(T451-U451)*'NM Play'!$B$22+MIN(G451,N451*'NM Play'!$B$11)/'NM Play'!$B$13*'NM Play'!$B$21*'NM Play'!$B$22+MIN(H451,N451*'NM Play'!$B$12)/'NM Play'!$B$14*IF('Sites'!$C$6="Own sheets",'NM Play'!$B$21*'NM Play'!$B$22,'NM Play'!$B$28*'NM Play'!$B$14/'NM Play'!$B$12)</f>
        <v/>
      </c>
      <c r="AL451" s="160">
        <f>Y451*'Assumptions'!Q66</f>
        <v/>
      </c>
      <c r="AM451" s="160">
        <f>IF('Sites'!$D$6="NM crew",S451*'NM Play'!$B$37*(1+IF(AND(ISNUMBER('NM Play'!$B$25),'NM Play'!$B$25&gt;0),1,0)),"")</f>
        <v/>
      </c>
      <c r="AN451" s="160">
        <f>IF(OR('Sites'!$E$6&lt;0,'Sites'!$E$6&gt;1,'Sites'!$F$6&lt;1,'Sites'!$G$6&lt;'Sites'!$F$6,F451&lt;0,MIN('Sites'!$I$6:'Sites'!$R$6)&lt;0,'Sites'!$L$6&gt;'Sites'!$I$6,'Sites'!$M$6&gt;'Sites'!$J$6,'Sites'!$N$6&gt;'Sites'!$K$6,'Sites'!$Z$6&lt;0,'Sites'!$Z$6&gt;1,MIN('Sites'!$AA$6:'Sites'!$AC$6)&lt;0,S451&gt;F451+0.001),1,0)</f>
        <v/>
      </c>
      <c r="AO451" s="160">
        <f>I451+U451-T451-X451</f>
        <v/>
      </c>
    </row>
    <row r="452" ht="28" customHeight="1">
      <c r="A452" s="4" t="inlineStr">
        <is>
          <t>Lower sales</t>
        </is>
      </c>
      <c r="B452" s="4" t="inlineStr">
        <is>
          <t>WITTA</t>
        </is>
      </c>
      <c r="C452" s="160" t="n">
        <v>15</v>
      </c>
      <c r="D452" s="160">
        <f>ROUNDUP(C452/12,0)</f>
        <v/>
      </c>
      <c r="E452" s="160">
        <f>IF(AND('Sites'!$E$6=1,C452&gt;='Sites'!$F$6,C452&lt;='Sites'!$G$6),1,0)</f>
        <v/>
      </c>
      <c r="F452" s="160">
        <f>E452*'Assumptions'!R67</f>
        <v/>
      </c>
      <c r="G452" s="160">
        <f>V451</f>
        <v/>
      </c>
      <c r="H452" s="160">
        <f>W451</f>
        <v/>
      </c>
      <c r="I452" s="160">
        <f>X451</f>
        <v/>
      </c>
      <c r="J452" s="160">
        <f>MAX(0,'Sites'!$J$6-SUM(N450:N451))</f>
        <v/>
      </c>
      <c r="K452" s="160">
        <f>IF('Sites'!$C$6="Own sheets",MIN(ROUNDDOWN(G452/'NM Play'!$B$11,0)+F452*'NM Play'!$B$10/'NM Play'!$B$43,ROUNDDOWN(H452/'NM Play'!$B$12,0)+F452*'NM Play'!$B$10/'NM Play'!$B$44,(F452*'NM Play'!$B$10+ROUNDDOWN(G452/'NM Play'!$B$11,0)*'NM Play'!$B$43+ROUNDDOWN(H452/'NM Play'!$B$12,0)*'NM Play'!$B$44)/('NM Play'!$B$43+'NM Play'!$B$44)),ROUNDDOWN(G452/'NM Play'!$B$11,0)+F452*'NM Play'!$B$10/'NM Play'!$B$43)</f>
        <v/>
      </c>
      <c r="L452" s="160">
        <f>MIN(ROUNDDOWN(G452/'NM Play'!$B$11,0)+F452/('NM Play'!$B$43/'NM Play'!$B$15),ROUNDDOWN(H452/'NM Play'!$B$12,0)+F452/('NM Play'!$B$44/'NM Play'!$B$16),(F452+ROUNDDOWN(G452/'NM Play'!$B$11,0)*'NM Play'!$B$43/'NM Play'!$B$15+ROUNDDOWN(H452/'NM Play'!$B$12,0)*'NM Play'!$B$44/'NM Play'!$B$16)/('NM Play'!$B$43/'NM Play'!$B$15+'NM Play'!$B$44/'NM Play'!$B$16))</f>
        <v/>
      </c>
      <c r="M452" s="160">
        <f>F452*'NM Play'!$B$36</f>
        <v/>
      </c>
      <c r="N452" s="160">
        <f>ROUNDDOWN(MAX(0,MIN(J452,K452:M452)),0)</f>
        <v/>
      </c>
      <c r="O452" s="160">
        <f>ROUNDUP(MAX(0,N452*'NM Play'!$B$11-G452)/'NM Play'!$B$13,0)</f>
        <v/>
      </c>
      <c r="P452" s="160">
        <f>ROUNDUP(MAX(0,N452*'NM Play'!$B$12-H452)/'NM Play'!$B$14,0)</f>
        <v/>
      </c>
      <c r="Q452" s="160">
        <f>(O452+IF('Sites'!$C$6="Own sheets",P452,0))/'NM Play'!$B$10</f>
        <v/>
      </c>
      <c r="R452" s="160">
        <f>O452/'NM Play'!$B$15+P452/'NM Play'!$B$16</f>
        <v/>
      </c>
      <c r="S452" s="160">
        <f>MAX(Q452,R452,N452/'NM Play'!$B$36)</f>
        <v/>
      </c>
      <c r="T452" s="160">
        <f>Q452*'NM Play'!$B$10*'NM Play'!$B$21*(1+'NM Play'!$B$35)</f>
        <v/>
      </c>
      <c r="U452" s="160">
        <f>MAX(0,T452-I452)</f>
        <v/>
      </c>
      <c r="V452" s="160">
        <f>G452+O452*'NM Play'!$B$13-N452*'NM Play'!$B$11</f>
        <v/>
      </c>
      <c r="W452" s="160">
        <f>H452+P452*'NM Play'!$B$14-N452*'NM Play'!$B$12</f>
        <v/>
      </c>
      <c r="X452" s="160">
        <f>I452+U452-T452</f>
        <v/>
      </c>
      <c r="Y452" s="160">
        <f>MIN(N452,MAX(0,ROUNDDOWN('Sites'!$M$6*'Cases'!$E$10,0)-SUM(Y450:Y451)))</f>
        <v/>
      </c>
      <c r="Z452" s="160">
        <f>N452-Y452</f>
        <v/>
      </c>
      <c r="AA452" s="160">
        <f>U452*'NM Play'!$B$22</f>
        <v/>
      </c>
      <c r="AB452" s="160">
        <f>N452*SUM('NM Play'!$B$29:$B$31)</f>
        <v/>
      </c>
      <c r="AC452" s="160">
        <f>IF('Sites'!$C$6="Defy legs",P452*'NM Play'!$B$14/'NM Play'!$B$12*'NM Play'!$B$28,0)</f>
        <v/>
      </c>
      <c r="AD452" s="160">
        <f>Q452*'NM Play'!$B$23</f>
        <v/>
      </c>
      <c r="AE452" s="160">
        <f>S452*SUM('NM Play'!$B$26,'NM Play'!$B$33:$B$34)</f>
        <v/>
      </c>
      <c r="AF452" s="160">
        <f>IF('Sites'!$D$6="NM crew",S452*SUM('NM Play'!$B$24:$B$25),0)</f>
        <v/>
      </c>
      <c r="AG452" s="160">
        <f>IF('Sites'!$D$6="NM crew",S452*'NM Play'!$B$27,0)</f>
        <v/>
      </c>
      <c r="AH452" s="160">
        <f>N452*'Sites'!$Z$6*'NM Play'!$B$32</f>
        <v/>
      </c>
      <c r="AI452" s="160">
        <f>SUM(Y452:Z452)*'Sites'!$R$6</f>
        <v/>
      </c>
      <c r="AJ452" s="160">
        <f>SUM(AA452:AH452)</f>
        <v/>
      </c>
      <c r="AK452" s="160">
        <f>AJ452+(T452-U452)*'NM Play'!$B$22+MIN(G452,N452*'NM Play'!$B$11)/'NM Play'!$B$13*'NM Play'!$B$21*'NM Play'!$B$22+MIN(H452,N452*'NM Play'!$B$12)/'NM Play'!$B$14*IF('Sites'!$C$6="Own sheets",'NM Play'!$B$21*'NM Play'!$B$22,'NM Play'!$B$28*'NM Play'!$B$14/'NM Play'!$B$12)</f>
        <v/>
      </c>
      <c r="AL452" s="160">
        <f>Y452*'Assumptions'!R66</f>
        <v/>
      </c>
      <c r="AM452" s="160">
        <f>IF('Sites'!$D$6="NM crew",S452*'NM Play'!$B$37*(1+IF(AND(ISNUMBER('NM Play'!$B$25),'NM Play'!$B$25&gt;0),1,0)),"")</f>
        <v/>
      </c>
      <c r="AN452" s="160">
        <f>IF(OR('Sites'!$E$6&lt;0,'Sites'!$E$6&gt;1,'Sites'!$F$6&lt;1,'Sites'!$G$6&lt;'Sites'!$F$6,F452&lt;0,MIN('Sites'!$I$6:'Sites'!$R$6)&lt;0,'Sites'!$L$6&gt;'Sites'!$I$6,'Sites'!$M$6&gt;'Sites'!$J$6,'Sites'!$N$6&gt;'Sites'!$K$6,'Sites'!$Z$6&lt;0,'Sites'!$Z$6&gt;1,MIN('Sites'!$AA$6:'Sites'!$AC$6)&lt;0,S452&gt;F452+0.001),1,0)</f>
        <v/>
      </c>
      <c r="AO452" s="160">
        <f>I452+U452-T452-X452</f>
        <v/>
      </c>
    </row>
    <row r="453" ht="28" customHeight="1">
      <c r="A453" s="4" t="inlineStr">
        <is>
          <t>Lower sales</t>
        </is>
      </c>
      <c r="B453" s="4" t="inlineStr">
        <is>
          <t>WITTA</t>
        </is>
      </c>
      <c r="C453" s="160" t="n">
        <v>16</v>
      </c>
      <c r="D453" s="160">
        <f>ROUNDUP(C453/12,0)</f>
        <v/>
      </c>
      <c r="E453" s="160">
        <f>IF(AND('Sites'!$E$6=1,C453&gt;='Sites'!$F$6,C453&lt;='Sites'!$G$6),1,0)</f>
        <v/>
      </c>
      <c r="F453" s="160">
        <f>E453*'Assumptions'!S67</f>
        <v/>
      </c>
      <c r="G453" s="160">
        <f>V452</f>
        <v/>
      </c>
      <c r="H453" s="160">
        <f>W452</f>
        <v/>
      </c>
      <c r="I453" s="160">
        <f>X452</f>
        <v/>
      </c>
      <c r="J453" s="160">
        <f>MAX(0,'Sites'!$J$6-SUM(N450:N452))</f>
        <v/>
      </c>
      <c r="K453" s="160">
        <f>IF('Sites'!$C$6="Own sheets",MIN(ROUNDDOWN(G453/'NM Play'!$B$11,0)+F453*'NM Play'!$B$10/'NM Play'!$B$43,ROUNDDOWN(H453/'NM Play'!$B$12,0)+F453*'NM Play'!$B$10/'NM Play'!$B$44,(F453*'NM Play'!$B$10+ROUNDDOWN(G453/'NM Play'!$B$11,0)*'NM Play'!$B$43+ROUNDDOWN(H453/'NM Play'!$B$12,0)*'NM Play'!$B$44)/('NM Play'!$B$43+'NM Play'!$B$44)),ROUNDDOWN(G453/'NM Play'!$B$11,0)+F453*'NM Play'!$B$10/'NM Play'!$B$43)</f>
        <v/>
      </c>
      <c r="L453" s="160">
        <f>MIN(ROUNDDOWN(G453/'NM Play'!$B$11,0)+F453/('NM Play'!$B$43/'NM Play'!$B$15),ROUNDDOWN(H453/'NM Play'!$B$12,0)+F453/('NM Play'!$B$44/'NM Play'!$B$16),(F453+ROUNDDOWN(G453/'NM Play'!$B$11,0)*'NM Play'!$B$43/'NM Play'!$B$15+ROUNDDOWN(H453/'NM Play'!$B$12,0)*'NM Play'!$B$44/'NM Play'!$B$16)/('NM Play'!$B$43/'NM Play'!$B$15+'NM Play'!$B$44/'NM Play'!$B$16))</f>
        <v/>
      </c>
      <c r="M453" s="160">
        <f>F453*'NM Play'!$B$36</f>
        <v/>
      </c>
      <c r="N453" s="160">
        <f>ROUNDDOWN(MAX(0,MIN(J453,K453:M453)),0)</f>
        <v/>
      </c>
      <c r="O453" s="160">
        <f>ROUNDUP(MAX(0,N453*'NM Play'!$B$11-G453)/'NM Play'!$B$13,0)</f>
        <v/>
      </c>
      <c r="P453" s="160">
        <f>ROUNDUP(MAX(0,N453*'NM Play'!$B$12-H453)/'NM Play'!$B$14,0)</f>
        <v/>
      </c>
      <c r="Q453" s="160">
        <f>(O453+IF('Sites'!$C$6="Own sheets",P453,0))/'NM Play'!$B$10</f>
        <v/>
      </c>
      <c r="R453" s="160">
        <f>O453/'NM Play'!$B$15+P453/'NM Play'!$B$16</f>
        <v/>
      </c>
      <c r="S453" s="160">
        <f>MAX(Q453,R453,N453/'NM Play'!$B$36)</f>
        <v/>
      </c>
      <c r="T453" s="160">
        <f>Q453*'NM Play'!$B$10*'NM Play'!$B$21*(1+'NM Play'!$B$35)</f>
        <v/>
      </c>
      <c r="U453" s="160">
        <f>MAX(0,T453-I453)</f>
        <v/>
      </c>
      <c r="V453" s="160">
        <f>G453+O453*'NM Play'!$B$13-N453*'NM Play'!$B$11</f>
        <v/>
      </c>
      <c r="W453" s="160">
        <f>H453+P453*'NM Play'!$B$14-N453*'NM Play'!$B$12</f>
        <v/>
      </c>
      <c r="X453" s="160">
        <f>I453+U453-T453</f>
        <v/>
      </c>
      <c r="Y453" s="160">
        <f>MIN(N453,MAX(0,ROUNDDOWN('Sites'!$M$6*'Cases'!$E$10,0)-SUM(Y450:Y452)))</f>
        <v/>
      </c>
      <c r="Z453" s="160">
        <f>N453-Y453</f>
        <v/>
      </c>
      <c r="AA453" s="160">
        <f>U453*'NM Play'!$B$22</f>
        <v/>
      </c>
      <c r="AB453" s="160">
        <f>N453*SUM('NM Play'!$B$29:$B$31)</f>
        <v/>
      </c>
      <c r="AC453" s="160">
        <f>IF('Sites'!$C$6="Defy legs",P453*'NM Play'!$B$14/'NM Play'!$B$12*'NM Play'!$B$28,0)</f>
        <v/>
      </c>
      <c r="AD453" s="160">
        <f>Q453*'NM Play'!$B$23</f>
        <v/>
      </c>
      <c r="AE453" s="160">
        <f>S453*SUM('NM Play'!$B$26,'NM Play'!$B$33:$B$34)</f>
        <v/>
      </c>
      <c r="AF453" s="160">
        <f>IF('Sites'!$D$6="NM crew",S453*SUM('NM Play'!$B$24:$B$25),0)</f>
        <v/>
      </c>
      <c r="AG453" s="160">
        <f>IF('Sites'!$D$6="NM crew",S453*'NM Play'!$B$27,0)</f>
        <v/>
      </c>
      <c r="AH453" s="160">
        <f>N453*'Sites'!$Z$6*'NM Play'!$B$32</f>
        <v/>
      </c>
      <c r="AI453" s="160">
        <f>SUM(Y453:Z453)*'Sites'!$R$6</f>
        <v/>
      </c>
      <c r="AJ453" s="160">
        <f>SUM(AA453:AH453)</f>
        <v/>
      </c>
      <c r="AK453" s="160">
        <f>AJ453+(T453-U453)*'NM Play'!$B$22+MIN(G453,N453*'NM Play'!$B$11)/'NM Play'!$B$13*'NM Play'!$B$21*'NM Play'!$B$22+MIN(H453,N453*'NM Play'!$B$12)/'NM Play'!$B$14*IF('Sites'!$C$6="Own sheets",'NM Play'!$B$21*'NM Play'!$B$22,'NM Play'!$B$28*'NM Play'!$B$14/'NM Play'!$B$12)</f>
        <v/>
      </c>
      <c r="AL453" s="160">
        <f>Y453*'Assumptions'!S66</f>
        <v/>
      </c>
      <c r="AM453" s="160">
        <f>IF('Sites'!$D$6="NM crew",S453*'NM Play'!$B$37*(1+IF(AND(ISNUMBER('NM Play'!$B$25),'NM Play'!$B$25&gt;0),1,0)),"")</f>
        <v/>
      </c>
      <c r="AN453" s="160">
        <f>IF(OR('Sites'!$E$6&lt;0,'Sites'!$E$6&gt;1,'Sites'!$F$6&lt;1,'Sites'!$G$6&lt;'Sites'!$F$6,F453&lt;0,MIN('Sites'!$I$6:'Sites'!$R$6)&lt;0,'Sites'!$L$6&gt;'Sites'!$I$6,'Sites'!$M$6&gt;'Sites'!$J$6,'Sites'!$N$6&gt;'Sites'!$K$6,'Sites'!$Z$6&lt;0,'Sites'!$Z$6&gt;1,MIN('Sites'!$AA$6:'Sites'!$AC$6)&lt;0,S453&gt;F453+0.001),1,0)</f>
        <v/>
      </c>
      <c r="AO453" s="160">
        <f>I453+U453-T453-X453</f>
        <v/>
      </c>
    </row>
    <row r="454" ht="28" customHeight="1">
      <c r="A454" s="4" t="inlineStr">
        <is>
          <t>Lower sales</t>
        </is>
      </c>
      <c r="B454" s="4" t="inlineStr">
        <is>
          <t>WITTA</t>
        </is>
      </c>
      <c r="C454" s="160" t="n">
        <v>17</v>
      </c>
      <c r="D454" s="160">
        <f>ROUNDUP(C454/12,0)</f>
        <v/>
      </c>
      <c r="E454" s="160">
        <f>IF(AND('Sites'!$E$6=1,C454&gt;='Sites'!$F$6,C454&lt;='Sites'!$G$6),1,0)</f>
        <v/>
      </c>
      <c r="F454" s="160">
        <f>E454*'Assumptions'!T67</f>
        <v/>
      </c>
      <c r="G454" s="160">
        <f>V453</f>
        <v/>
      </c>
      <c r="H454" s="160">
        <f>W453</f>
        <v/>
      </c>
      <c r="I454" s="160">
        <f>X453</f>
        <v/>
      </c>
      <c r="J454" s="160">
        <f>MAX(0,'Sites'!$J$6-SUM(N450:N453))</f>
        <v/>
      </c>
      <c r="K454" s="160">
        <f>IF('Sites'!$C$6="Own sheets",MIN(ROUNDDOWN(G454/'NM Play'!$B$11,0)+F454*'NM Play'!$B$10/'NM Play'!$B$43,ROUNDDOWN(H454/'NM Play'!$B$12,0)+F454*'NM Play'!$B$10/'NM Play'!$B$44,(F454*'NM Play'!$B$10+ROUNDDOWN(G454/'NM Play'!$B$11,0)*'NM Play'!$B$43+ROUNDDOWN(H454/'NM Play'!$B$12,0)*'NM Play'!$B$44)/('NM Play'!$B$43+'NM Play'!$B$44)),ROUNDDOWN(G454/'NM Play'!$B$11,0)+F454*'NM Play'!$B$10/'NM Play'!$B$43)</f>
        <v/>
      </c>
      <c r="L454" s="160">
        <f>MIN(ROUNDDOWN(G454/'NM Play'!$B$11,0)+F454/('NM Play'!$B$43/'NM Play'!$B$15),ROUNDDOWN(H454/'NM Play'!$B$12,0)+F454/('NM Play'!$B$44/'NM Play'!$B$16),(F454+ROUNDDOWN(G454/'NM Play'!$B$11,0)*'NM Play'!$B$43/'NM Play'!$B$15+ROUNDDOWN(H454/'NM Play'!$B$12,0)*'NM Play'!$B$44/'NM Play'!$B$16)/('NM Play'!$B$43/'NM Play'!$B$15+'NM Play'!$B$44/'NM Play'!$B$16))</f>
        <v/>
      </c>
      <c r="M454" s="160">
        <f>F454*'NM Play'!$B$36</f>
        <v/>
      </c>
      <c r="N454" s="160">
        <f>ROUNDDOWN(MAX(0,MIN(J454,K454:M454)),0)</f>
        <v/>
      </c>
      <c r="O454" s="160">
        <f>ROUNDUP(MAX(0,N454*'NM Play'!$B$11-G454)/'NM Play'!$B$13,0)</f>
        <v/>
      </c>
      <c r="P454" s="160">
        <f>ROUNDUP(MAX(0,N454*'NM Play'!$B$12-H454)/'NM Play'!$B$14,0)</f>
        <v/>
      </c>
      <c r="Q454" s="160">
        <f>(O454+IF('Sites'!$C$6="Own sheets",P454,0))/'NM Play'!$B$10</f>
        <v/>
      </c>
      <c r="R454" s="160">
        <f>O454/'NM Play'!$B$15+P454/'NM Play'!$B$16</f>
        <v/>
      </c>
      <c r="S454" s="160">
        <f>MAX(Q454,R454,N454/'NM Play'!$B$36)</f>
        <v/>
      </c>
      <c r="T454" s="160">
        <f>Q454*'NM Play'!$B$10*'NM Play'!$B$21*(1+'NM Play'!$B$35)</f>
        <v/>
      </c>
      <c r="U454" s="160">
        <f>MAX(0,T454-I454)</f>
        <v/>
      </c>
      <c r="V454" s="160">
        <f>G454+O454*'NM Play'!$B$13-N454*'NM Play'!$B$11</f>
        <v/>
      </c>
      <c r="W454" s="160">
        <f>H454+P454*'NM Play'!$B$14-N454*'NM Play'!$B$12</f>
        <v/>
      </c>
      <c r="X454" s="160">
        <f>I454+U454-T454</f>
        <v/>
      </c>
      <c r="Y454" s="160">
        <f>MIN(N454,MAX(0,ROUNDDOWN('Sites'!$M$6*'Cases'!$E$10,0)-SUM(Y450:Y453)))</f>
        <v/>
      </c>
      <c r="Z454" s="160">
        <f>N454-Y454</f>
        <v/>
      </c>
      <c r="AA454" s="160">
        <f>U454*'NM Play'!$B$22</f>
        <v/>
      </c>
      <c r="AB454" s="160">
        <f>N454*SUM('NM Play'!$B$29:$B$31)</f>
        <v/>
      </c>
      <c r="AC454" s="160">
        <f>IF('Sites'!$C$6="Defy legs",P454*'NM Play'!$B$14/'NM Play'!$B$12*'NM Play'!$B$28,0)</f>
        <v/>
      </c>
      <c r="AD454" s="160">
        <f>Q454*'NM Play'!$B$23</f>
        <v/>
      </c>
      <c r="AE454" s="160">
        <f>S454*SUM('NM Play'!$B$26,'NM Play'!$B$33:$B$34)</f>
        <v/>
      </c>
      <c r="AF454" s="160">
        <f>IF('Sites'!$D$6="NM crew",S454*SUM('NM Play'!$B$24:$B$25),0)</f>
        <v/>
      </c>
      <c r="AG454" s="160">
        <f>IF('Sites'!$D$6="NM crew",S454*'NM Play'!$B$27,0)</f>
        <v/>
      </c>
      <c r="AH454" s="160">
        <f>N454*'Sites'!$Z$6*'NM Play'!$B$32</f>
        <v/>
      </c>
      <c r="AI454" s="160">
        <f>SUM(Y454:Z454)*'Sites'!$R$6</f>
        <v/>
      </c>
      <c r="AJ454" s="160">
        <f>SUM(AA454:AH454)</f>
        <v/>
      </c>
      <c r="AK454" s="160">
        <f>AJ454+(T454-U454)*'NM Play'!$B$22+MIN(G454,N454*'NM Play'!$B$11)/'NM Play'!$B$13*'NM Play'!$B$21*'NM Play'!$B$22+MIN(H454,N454*'NM Play'!$B$12)/'NM Play'!$B$14*IF('Sites'!$C$6="Own sheets",'NM Play'!$B$21*'NM Play'!$B$22,'NM Play'!$B$28*'NM Play'!$B$14/'NM Play'!$B$12)</f>
        <v/>
      </c>
      <c r="AL454" s="160">
        <f>Y454*'Assumptions'!T66</f>
        <v/>
      </c>
      <c r="AM454" s="160">
        <f>IF('Sites'!$D$6="NM crew",S454*'NM Play'!$B$37*(1+IF(AND(ISNUMBER('NM Play'!$B$25),'NM Play'!$B$25&gt;0),1,0)),"")</f>
        <v/>
      </c>
      <c r="AN454" s="160">
        <f>IF(OR('Sites'!$E$6&lt;0,'Sites'!$E$6&gt;1,'Sites'!$F$6&lt;1,'Sites'!$G$6&lt;'Sites'!$F$6,F454&lt;0,MIN('Sites'!$I$6:'Sites'!$R$6)&lt;0,'Sites'!$L$6&gt;'Sites'!$I$6,'Sites'!$M$6&gt;'Sites'!$J$6,'Sites'!$N$6&gt;'Sites'!$K$6,'Sites'!$Z$6&lt;0,'Sites'!$Z$6&gt;1,MIN('Sites'!$AA$6:'Sites'!$AC$6)&lt;0,S454&gt;F454+0.001),1,0)</f>
        <v/>
      </c>
      <c r="AO454" s="160">
        <f>I454+U454-T454-X454</f>
        <v/>
      </c>
    </row>
    <row r="455" ht="28" customHeight="1">
      <c r="A455" s="4" t="inlineStr">
        <is>
          <t>Lower sales</t>
        </is>
      </c>
      <c r="B455" s="4" t="inlineStr">
        <is>
          <t>WITTA</t>
        </is>
      </c>
      <c r="C455" s="160" t="n">
        <v>18</v>
      </c>
      <c r="D455" s="160">
        <f>ROUNDUP(C455/12,0)</f>
        <v/>
      </c>
      <c r="E455" s="160">
        <f>IF(AND('Sites'!$E$6=1,C455&gt;='Sites'!$F$6,C455&lt;='Sites'!$G$6),1,0)</f>
        <v/>
      </c>
      <c r="F455" s="160">
        <f>E455*'Assumptions'!U67</f>
        <v/>
      </c>
      <c r="G455" s="160">
        <f>V454</f>
        <v/>
      </c>
      <c r="H455" s="160">
        <f>W454</f>
        <v/>
      </c>
      <c r="I455" s="160">
        <f>X454</f>
        <v/>
      </c>
      <c r="J455" s="160">
        <f>MAX(0,'Sites'!$J$6-SUM(N450:N454))</f>
        <v/>
      </c>
      <c r="K455" s="160">
        <f>IF('Sites'!$C$6="Own sheets",MIN(ROUNDDOWN(G455/'NM Play'!$B$11,0)+F455*'NM Play'!$B$10/'NM Play'!$B$43,ROUNDDOWN(H455/'NM Play'!$B$12,0)+F455*'NM Play'!$B$10/'NM Play'!$B$44,(F455*'NM Play'!$B$10+ROUNDDOWN(G455/'NM Play'!$B$11,0)*'NM Play'!$B$43+ROUNDDOWN(H455/'NM Play'!$B$12,0)*'NM Play'!$B$44)/('NM Play'!$B$43+'NM Play'!$B$44)),ROUNDDOWN(G455/'NM Play'!$B$11,0)+F455*'NM Play'!$B$10/'NM Play'!$B$43)</f>
        <v/>
      </c>
      <c r="L455" s="160">
        <f>MIN(ROUNDDOWN(G455/'NM Play'!$B$11,0)+F455/('NM Play'!$B$43/'NM Play'!$B$15),ROUNDDOWN(H455/'NM Play'!$B$12,0)+F455/('NM Play'!$B$44/'NM Play'!$B$16),(F455+ROUNDDOWN(G455/'NM Play'!$B$11,0)*'NM Play'!$B$43/'NM Play'!$B$15+ROUNDDOWN(H455/'NM Play'!$B$12,0)*'NM Play'!$B$44/'NM Play'!$B$16)/('NM Play'!$B$43/'NM Play'!$B$15+'NM Play'!$B$44/'NM Play'!$B$16))</f>
        <v/>
      </c>
      <c r="M455" s="160">
        <f>F455*'NM Play'!$B$36</f>
        <v/>
      </c>
      <c r="N455" s="160">
        <f>ROUNDDOWN(MAX(0,MIN(J455,K455:M455)),0)</f>
        <v/>
      </c>
      <c r="O455" s="160">
        <f>ROUNDUP(MAX(0,N455*'NM Play'!$B$11-G455)/'NM Play'!$B$13,0)</f>
        <v/>
      </c>
      <c r="P455" s="160">
        <f>ROUNDUP(MAX(0,N455*'NM Play'!$B$12-H455)/'NM Play'!$B$14,0)</f>
        <v/>
      </c>
      <c r="Q455" s="160">
        <f>(O455+IF('Sites'!$C$6="Own sheets",P455,0))/'NM Play'!$B$10</f>
        <v/>
      </c>
      <c r="R455" s="160">
        <f>O455/'NM Play'!$B$15+P455/'NM Play'!$B$16</f>
        <v/>
      </c>
      <c r="S455" s="160">
        <f>MAX(Q455,R455,N455/'NM Play'!$B$36)</f>
        <v/>
      </c>
      <c r="T455" s="160">
        <f>Q455*'NM Play'!$B$10*'NM Play'!$B$21*(1+'NM Play'!$B$35)</f>
        <v/>
      </c>
      <c r="U455" s="160">
        <f>MAX(0,T455-I455)</f>
        <v/>
      </c>
      <c r="V455" s="160">
        <f>G455+O455*'NM Play'!$B$13-N455*'NM Play'!$B$11</f>
        <v/>
      </c>
      <c r="W455" s="160">
        <f>H455+P455*'NM Play'!$B$14-N455*'NM Play'!$B$12</f>
        <v/>
      </c>
      <c r="X455" s="160">
        <f>I455+U455-T455</f>
        <v/>
      </c>
      <c r="Y455" s="160">
        <f>MIN(N455,MAX(0,ROUNDDOWN('Sites'!$M$6*'Cases'!$E$10,0)-SUM(Y450:Y454)))</f>
        <v/>
      </c>
      <c r="Z455" s="160">
        <f>N455-Y455</f>
        <v/>
      </c>
      <c r="AA455" s="160">
        <f>U455*'NM Play'!$B$22</f>
        <v/>
      </c>
      <c r="AB455" s="160">
        <f>N455*SUM('NM Play'!$B$29:$B$31)</f>
        <v/>
      </c>
      <c r="AC455" s="160">
        <f>IF('Sites'!$C$6="Defy legs",P455*'NM Play'!$B$14/'NM Play'!$B$12*'NM Play'!$B$28,0)</f>
        <v/>
      </c>
      <c r="AD455" s="160">
        <f>Q455*'NM Play'!$B$23</f>
        <v/>
      </c>
      <c r="AE455" s="160">
        <f>S455*SUM('NM Play'!$B$26,'NM Play'!$B$33:$B$34)</f>
        <v/>
      </c>
      <c r="AF455" s="160">
        <f>IF('Sites'!$D$6="NM crew",S455*SUM('NM Play'!$B$24:$B$25),0)</f>
        <v/>
      </c>
      <c r="AG455" s="160">
        <f>IF('Sites'!$D$6="NM crew",S455*'NM Play'!$B$27,0)</f>
        <v/>
      </c>
      <c r="AH455" s="160">
        <f>N455*'Sites'!$Z$6*'NM Play'!$B$32</f>
        <v/>
      </c>
      <c r="AI455" s="160">
        <f>SUM(Y455:Z455)*'Sites'!$R$6</f>
        <v/>
      </c>
      <c r="AJ455" s="160">
        <f>SUM(AA455:AH455)</f>
        <v/>
      </c>
      <c r="AK455" s="160">
        <f>AJ455+(T455-U455)*'NM Play'!$B$22+MIN(G455,N455*'NM Play'!$B$11)/'NM Play'!$B$13*'NM Play'!$B$21*'NM Play'!$B$22+MIN(H455,N455*'NM Play'!$B$12)/'NM Play'!$B$14*IF('Sites'!$C$6="Own sheets",'NM Play'!$B$21*'NM Play'!$B$22,'NM Play'!$B$28*'NM Play'!$B$14/'NM Play'!$B$12)</f>
        <v/>
      </c>
      <c r="AL455" s="160">
        <f>Y455*'Assumptions'!U66</f>
        <v/>
      </c>
      <c r="AM455" s="160">
        <f>IF('Sites'!$D$6="NM crew",S455*'NM Play'!$B$37*(1+IF(AND(ISNUMBER('NM Play'!$B$25),'NM Play'!$B$25&gt;0),1,0)),"")</f>
        <v/>
      </c>
      <c r="AN455" s="160">
        <f>IF(OR('Sites'!$E$6&lt;0,'Sites'!$E$6&gt;1,'Sites'!$F$6&lt;1,'Sites'!$G$6&lt;'Sites'!$F$6,F455&lt;0,MIN('Sites'!$I$6:'Sites'!$R$6)&lt;0,'Sites'!$L$6&gt;'Sites'!$I$6,'Sites'!$M$6&gt;'Sites'!$J$6,'Sites'!$N$6&gt;'Sites'!$K$6,'Sites'!$Z$6&lt;0,'Sites'!$Z$6&gt;1,MIN('Sites'!$AA$6:'Sites'!$AC$6)&lt;0,S455&gt;F455+0.001),1,0)</f>
        <v/>
      </c>
      <c r="AO455" s="160">
        <f>I455+U455-T455-X455</f>
        <v/>
      </c>
    </row>
    <row r="456" ht="28" customHeight="1">
      <c r="A456" s="4" t="inlineStr">
        <is>
          <t>Lower sales</t>
        </is>
      </c>
      <c r="B456" s="4" t="inlineStr">
        <is>
          <t>WITTA</t>
        </is>
      </c>
      <c r="C456" s="160" t="n">
        <v>19</v>
      </c>
      <c r="D456" s="160">
        <f>ROUNDUP(C456/12,0)</f>
        <v/>
      </c>
      <c r="E456" s="160">
        <f>IF(AND('Sites'!$E$6=1,C456&gt;='Sites'!$F$6,C456&lt;='Sites'!$G$6),1,0)</f>
        <v/>
      </c>
      <c r="F456" s="160">
        <f>E456*'Assumptions'!V67</f>
        <v/>
      </c>
      <c r="G456" s="160">
        <f>V455</f>
        <v/>
      </c>
      <c r="H456" s="160">
        <f>W455</f>
        <v/>
      </c>
      <c r="I456" s="160">
        <f>X455</f>
        <v/>
      </c>
      <c r="J456" s="160">
        <f>MAX(0,'Sites'!$J$6-SUM(N450:N455))</f>
        <v/>
      </c>
      <c r="K456" s="160">
        <f>IF('Sites'!$C$6="Own sheets",MIN(ROUNDDOWN(G456/'NM Play'!$B$11,0)+F456*'NM Play'!$B$10/'NM Play'!$B$43,ROUNDDOWN(H456/'NM Play'!$B$12,0)+F456*'NM Play'!$B$10/'NM Play'!$B$44,(F456*'NM Play'!$B$10+ROUNDDOWN(G456/'NM Play'!$B$11,0)*'NM Play'!$B$43+ROUNDDOWN(H456/'NM Play'!$B$12,0)*'NM Play'!$B$44)/('NM Play'!$B$43+'NM Play'!$B$44)),ROUNDDOWN(G456/'NM Play'!$B$11,0)+F456*'NM Play'!$B$10/'NM Play'!$B$43)</f>
        <v/>
      </c>
      <c r="L456" s="160">
        <f>MIN(ROUNDDOWN(G456/'NM Play'!$B$11,0)+F456/('NM Play'!$B$43/'NM Play'!$B$15),ROUNDDOWN(H456/'NM Play'!$B$12,0)+F456/('NM Play'!$B$44/'NM Play'!$B$16),(F456+ROUNDDOWN(G456/'NM Play'!$B$11,0)*'NM Play'!$B$43/'NM Play'!$B$15+ROUNDDOWN(H456/'NM Play'!$B$12,0)*'NM Play'!$B$44/'NM Play'!$B$16)/('NM Play'!$B$43/'NM Play'!$B$15+'NM Play'!$B$44/'NM Play'!$B$16))</f>
        <v/>
      </c>
      <c r="M456" s="160">
        <f>F456*'NM Play'!$B$36</f>
        <v/>
      </c>
      <c r="N456" s="160">
        <f>ROUNDDOWN(MAX(0,MIN(J456,K456:M456)),0)</f>
        <v/>
      </c>
      <c r="O456" s="160">
        <f>ROUNDUP(MAX(0,N456*'NM Play'!$B$11-G456)/'NM Play'!$B$13,0)</f>
        <v/>
      </c>
      <c r="P456" s="160">
        <f>ROUNDUP(MAX(0,N456*'NM Play'!$B$12-H456)/'NM Play'!$B$14,0)</f>
        <v/>
      </c>
      <c r="Q456" s="160">
        <f>(O456+IF('Sites'!$C$6="Own sheets",P456,0))/'NM Play'!$B$10</f>
        <v/>
      </c>
      <c r="R456" s="160">
        <f>O456/'NM Play'!$B$15+P456/'NM Play'!$B$16</f>
        <v/>
      </c>
      <c r="S456" s="160">
        <f>MAX(Q456,R456,N456/'NM Play'!$B$36)</f>
        <v/>
      </c>
      <c r="T456" s="160">
        <f>Q456*'NM Play'!$B$10*'NM Play'!$B$21*(1+'NM Play'!$B$35)</f>
        <v/>
      </c>
      <c r="U456" s="160">
        <f>MAX(0,T456-I456)</f>
        <v/>
      </c>
      <c r="V456" s="160">
        <f>G456+O456*'NM Play'!$B$13-N456*'NM Play'!$B$11</f>
        <v/>
      </c>
      <c r="W456" s="160">
        <f>H456+P456*'NM Play'!$B$14-N456*'NM Play'!$B$12</f>
        <v/>
      </c>
      <c r="X456" s="160">
        <f>I456+U456-T456</f>
        <v/>
      </c>
      <c r="Y456" s="160">
        <f>MIN(N456,MAX(0,ROUNDDOWN('Sites'!$M$6*'Cases'!$E$10,0)-SUM(Y450:Y455)))</f>
        <v/>
      </c>
      <c r="Z456" s="160">
        <f>N456-Y456</f>
        <v/>
      </c>
      <c r="AA456" s="160">
        <f>U456*'NM Play'!$B$22</f>
        <v/>
      </c>
      <c r="AB456" s="160">
        <f>N456*SUM('NM Play'!$B$29:$B$31)</f>
        <v/>
      </c>
      <c r="AC456" s="160">
        <f>IF('Sites'!$C$6="Defy legs",P456*'NM Play'!$B$14/'NM Play'!$B$12*'NM Play'!$B$28,0)</f>
        <v/>
      </c>
      <c r="AD456" s="160">
        <f>Q456*'NM Play'!$B$23</f>
        <v/>
      </c>
      <c r="AE456" s="160">
        <f>S456*SUM('NM Play'!$B$26,'NM Play'!$B$33:$B$34)</f>
        <v/>
      </c>
      <c r="AF456" s="160">
        <f>IF('Sites'!$D$6="NM crew",S456*SUM('NM Play'!$B$24:$B$25),0)</f>
        <v/>
      </c>
      <c r="AG456" s="160">
        <f>IF('Sites'!$D$6="NM crew",S456*'NM Play'!$B$27,0)</f>
        <v/>
      </c>
      <c r="AH456" s="160">
        <f>N456*'Sites'!$Z$6*'NM Play'!$B$32</f>
        <v/>
      </c>
      <c r="AI456" s="160">
        <f>SUM(Y456:Z456)*'Sites'!$R$6</f>
        <v/>
      </c>
      <c r="AJ456" s="160">
        <f>SUM(AA456:AH456)</f>
        <v/>
      </c>
      <c r="AK456" s="160">
        <f>AJ456+(T456-U456)*'NM Play'!$B$22+MIN(G456,N456*'NM Play'!$B$11)/'NM Play'!$B$13*'NM Play'!$B$21*'NM Play'!$B$22+MIN(H456,N456*'NM Play'!$B$12)/'NM Play'!$B$14*IF('Sites'!$C$6="Own sheets",'NM Play'!$B$21*'NM Play'!$B$22,'NM Play'!$B$28*'NM Play'!$B$14/'NM Play'!$B$12)</f>
        <v/>
      </c>
      <c r="AL456" s="160">
        <f>Y456*'Assumptions'!V66</f>
        <v/>
      </c>
      <c r="AM456" s="160">
        <f>IF('Sites'!$D$6="NM crew",S456*'NM Play'!$B$37*(1+IF(AND(ISNUMBER('NM Play'!$B$25),'NM Play'!$B$25&gt;0),1,0)),"")</f>
        <v/>
      </c>
      <c r="AN456" s="160">
        <f>IF(OR('Sites'!$E$6&lt;0,'Sites'!$E$6&gt;1,'Sites'!$F$6&lt;1,'Sites'!$G$6&lt;'Sites'!$F$6,F456&lt;0,MIN('Sites'!$I$6:'Sites'!$R$6)&lt;0,'Sites'!$L$6&gt;'Sites'!$I$6,'Sites'!$M$6&gt;'Sites'!$J$6,'Sites'!$N$6&gt;'Sites'!$K$6,'Sites'!$Z$6&lt;0,'Sites'!$Z$6&gt;1,MIN('Sites'!$AA$6:'Sites'!$AC$6)&lt;0,S456&gt;F456+0.001),1,0)</f>
        <v/>
      </c>
      <c r="AO456" s="160">
        <f>I456+U456-T456-X456</f>
        <v/>
      </c>
    </row>
    <row r="457" ht="28" customHeight="1">
      <c r="A457" s="4" t="inlineStr">
        <is>
          <t>Lower sales</t>
        </is>
      </c>
      <c r="B457" s="4" t="inlineStr">
        <is>
          <t>WITTA</t>
        </is>
      </c>
      <c r="C457" s="160" t="n">
        <v>20</v>
      </c>
      <c r="D457" s="160">
        <f>ROUNDUP(C457/12,0)</f>
        <v/>
      </c>
      <c r="E457" s="160">
        <f>IF(AND('Sites'!$E$6=1,C457&gt;='Sites'!$F$6,C457&lt;='Sites'!$G$6),1,0)</f>
        <v/>
      </c>
      <c r="F457" s="160">
        <f>E457*'Assumptions'!W67</f>
        <v/>
      </c>
      <c r="G457" s="160">
        <f>V456</f>
        <v/>
      </c>
      <c r="H457" s="160">
        <f>W456</f>
        <v/>
      </c>
      <c r="I457" s="160">
        <f>X456</f>
        <v/>
      </c>
      <c r="J457" s="160">
        <f>MAX(0,'Sites'!$J$6-SUM(N450:N456))</f>
        <v/>
      </c>
      <c r="K457" s="160">
        <f>IF('Sites'!$C$6="Own sheets",MIN(ROUNDDOWN(G457/'NM Play'!$B$11,0)+F457*'NM Play'!$B$10/'NM Play'!$B$43,ROUNDDOWN(H457/'NM Play'!$B$12,0)+F457*'NM Play'!$B$10/'NM Play'!$B$44,(F457*'NM Play'!$B$10+ROUNDDOWN(G457/'NM Play'!$B$11,0)*'NM Play'!$B$43+ROUNDDOWN(H457/'NM Play'!$B$12,0)*'NM Play'!$B$44)/('NM Play'!$B$43+'NM Play'!$B$44)),ROUNDDOWN(G457/'NM Play'!$B$11,0)+F457*'NM Play'!$B$10/'NM Play'!$B$43)</f>
        <v/>
      </c>
      <c r="L457" s="160">
        <f>MIN(ROUNDDOWN(G457/'NM Play'!$B$11,0)+F457/('NM Play'!$B$43/'NM Play'!$B$15),ROUNDDOWN(H457/'NM Play'!$B$12,0)+F457/('NM Play'!$B$44/'NM Play'!$B$16),(F457+ROUNDDOWN(G457/'NM Play'!$B$11,0)*'NM Play'!$B$43/'NM Play'!$B$15+ROUNDDOWN(H457/'NM Play'!$B$12,0)*'NM Play'!$B$44/'NM Play'!$B$16)/('NM Play'!$B$43/'NM Play'!$B$15+'NM Play'!$B$44/'NM Play'!$B$16))</f>
        <v/>
      </c>
      <c r="M457" s="160">
        <f>F457*'NM Play'!$B$36</f>
        <v/>
      </c>
      <c r="N457" s="160">
        <f>ROUNDDOWN(MAX(0,MIN(J457,K457:M457)),0)</f>
        <v/>
      </c>
      <c r="O457" s="160">
        <f>ROUNDUP(MAX(0,N457*'NM Play'!$B$11-G457)/'NM Play'!$B$13,0)</f>
        <v/>
      </c>
      <c r="P457" s="160">
        <f>ROUNDUP(MAX(0,N457*'NM Play'!$B$12-H457)/'NM Play'!$B$14,0)</f>
        <v/>
      </c>
      <c r="Q457" s="160">
        <f>(O457+IF('Sites'!$C$6="Own sheets",P457,0))/'NM Play'!$B$10</f>
        <v/>
      </c>
      <c r="R457" s="160">
        <f>O457/'NM Play'!$B$15+P457/'NM Play'!$B$16</f>
        <v/>
      </c>
      <c r="S457" s="160">
        <f>MAX(Q457,R457,N457/'NM Play'!$B$36)</f>
        <v/>
      </c>
      <c r="T457" s="160">
        <f>Q457*'NM Play'!$B$10*'NM Play'!$B$21*(1+'NM Play'!$B$35)</f>
        <v/>
      </c>
      <c r="U457" s="160">
        <f>MAX(0,T457-I457)</f>
        <v/>
      </c>
      <c r="V457" s="160">
        <f>G457+O457*'NM Play'!$B$13-N457*'NM Play'!$B$11</f>
        <v/>
      </c>
      <c r="W457" s="160">
        <f>H457+P457*'NM Play'!$B$14-N457*'NM Play'!$B$12</f>
        <v/>
      </c>
      <c r="X457" s="160">
        <f>I457+U457-T457</f>
        <v/>
      </c>
      <c r="Y457" s="160">
        <f>MIN(N457,MAX(0,ROUNDDOWN('Sites'!$M$6*'Cases'!$E$10,0)-SUM(Y450:Y456)))</f>
        <v/>
      </c>
      <c r="Z457" s="160">
        <f>N457-Y457</f>
        <v/>
      </c>
      <c r="AA457" s="160">
        <f>U457*'NM Play'!$B$22</f>
        <v/>
      </c>
      <c r="AB457" s="160">
        <f>N457*SUM('NM Play'!$B$29:$B$31)</f>
        <v/>
      </c>
      <c r="AC457" s="160">
        <f>IF('Sites'!$C$6="Defy legs",P457*'NM Play'!$B$14/'NM Play'!$B$12*'NM Play'!$B$28,0)</f>
        <v/>
      </c>
      <c r="AD457" s="160">
        <f>Q457*'NM Play'!$B$23</f>
        <v/>
      </c>
      <c r="AE457" s="160">
        <f>S457*SUM('NM Play'!$B$26,'NM Play'!$B$33:$B$34)</f>
        <v/>
      </c>
      <c r="AF457" s="160">
        <f>IF('Sites'!$D$6="NM crew",S457*SUM('NM Play'!$B$24:$B$25),0)</f>
        <v/>
      </c>
      <c r="AG457" s="160">
        <f>IF('Sites'!$D$6="NM crew",S457*'NM Play'!$B$27,0)</f>
        <v/>
      </c>
      <c r="AH457" s="160">
        <f>N457*'Sites'!$Z$6*'NM Play'!$B$32</f>
        <v/>
      </c>
      <c r="AI457" s="160">
        <f>SUM(Y457:Z457)*'Sites'!$R$6</f>
        <v/>
      </c>
      <c r="AJ457" s="160">
        <f>SUM(AA457:AH457)</f>
        <v/>
      </c>
      <c r="AK457" s="160">
        <f>AJ457+(T457-U457)*'NM Play'!$B$22+MIN(G457,N457*'NM Play'!$B$11)/'NM Play'!$B$13*'NM Play'!$B$21*'NM Play'!$B$22+MIN(H457,N457*'NM Play'!$B$12)/'NM Play'!$B$14*IF('Sites'!$C$6="Own sheets",'NM Play'!$B$21*'NM Play'!$B$22,'NM Play'!$B$28*'NM Play'!$B$14/'NM Play'!$B$12)</f>
        <v/>
      </c>
      <c r="AL457" s="160">
        <f>Y457*'Assumptions'!W66</f>
        <v/>
      </c>
      <c r="AM457" s="160">
        <f>IF('Sites'!$D$6="NM crew",S457*'NM Play'!$B$37*(1+IF(AND(ISNUMBER('NM Play'!$B$25),'NM Play'!$B$25&gt;0),1,0)),"")</f>
        <v/>
      </c>
      <c r="AN457" s="160">
        <f>IF(OR('Sites'!$E$6&lt;0,'Sites'!$E$6&gt;1,'Sites'!$F$6&lt;1,'Sites'!$G$6&lt;'Sites'!$F$6,F457&lt;0,MIN('Sites'!$I$6:'Sites'!$R$6)&lt;0,'Sites'!$L$6&gt;'Sites'!$I$6,'Sites'!$M$6&gt;'Sites'!$J$6,'Sites'!$N$6&gt;'Sites'!$K$6,'Sites'!$Z$6&lt;0,'Sites'!$Z$6&gt;1,MIN('Sites'!$AA$6:'Sites'!$AC$6)&lt;0,S457&gt;F457+0.001),1,0)</f>
        <v/>
      </c>
      <c r="AO457" s="160">
        <f>I457+U457-T457-X457</f>
        <v/>
      </c>
    </row>
    <row r="458" ht="28" customHeight="1">
      <c r="A458" s="4" t="inlineStr">
        <is>
          <t>Lower sales</t>
        </is>
      </c>
      <c r="B458" s="4" t="inlineStr">
        <is>
          <t>WITTA</t>
        </is>
      </c>
      <c r="C458" s="160" t="n">
        <v>21</v>
      </c>
      <c r="D458" s="160">
        <f>ROUNDUP(C458/12,0)</f>
        <v/>
      </c>
      <c r="E458" s="160">
        <f>IF(AND('Sites'!$E$6=1,C458&gt;='Sites'!$F$6,C458&lt;='Sites'!$G$6),1,0)</f>
        <v/>
      </c>
      <c r="F458" s="160">
        <f>E458*'Assumptions'!X67</f>
        <v/>
      </c>
      <c r="G458" s="160">
        <f>V457</f>
        <v/>
      </c>
      <c r="H458" s="160">
        <f>W457</f>
        <v/>
      </c>
      <c r="I458" s="160">
        <f>X457</f>
        <v/>
      </c>
      <c r="J458" s="160">
        <f>MAX(0,'Sites'!$J$6-SUM(N450:N457))</f>
        <v/>
      </c>
      <c r="K458" s="160">
        <f>IF('Sites'!$C$6="Own sheets",MIN(ROUNDDOWN(G458/'NM Play'!$B$11,0)+F458*'NM Play'!$B$10/'NM Play'!$B$43,ROUNDDOWN(H458/'NM Play'!$B$12,0)+F458*'NM Play'!$B$10/'NM Play'!$B$44,(F458*'NM Play'!$B$10+ROUNDDOWN(G458/'NM Play'!$B$11,0)*'NM Play'!$B$43+ROUNDDOWN(H458/'NM Play'!$B$12,0)*'NM Play'!$B$44)/('NM Play'!$B$43+'NM Play'!$B$44)),ROUNDDOWN(G458/'NM Play'!$B$11,0)+F458*'NM Play'!$B$10/'NM Play'!$B$43)</f>
        <v/>
      </c>
      <c r="L458" s="160">
        <f>MIN(ROUNDDOWN(G458/'NM Play'!$B$11,0)+F458/('NM Play'!$B$43/'NM Play'!$B$15),ROUNDDOWN(H458/'NM Play'!$B$12,0)+F458/('NM Play'!$B$44/'NM Play'!$B$16),(F458+ROUNDDOWN(G458/'NM Play'!$B$11,0)*'NM Play'!$B$43/'NM Play'!$B$15+ROUNDDOWN(H458/'NM Play'!$B$12,0)*'NM Play'!$B$44/'NM Play'!$B$16)/('NM Play'!$B$43/'NM Play'!$B$15+'NM Play'!$B$44/'NM Play'!$B$16))</f>
        <v/>
      </c>
      <c r="M458" s="160">
        <f>F458*'NM Play'!$B$36</f>
        <v/>
      </c>
      <c r="N458" s="160">
        <f>ROUNDDOWN(MAX(0,MIN(J458,K458:M458)),0)</f>
        <v/>
      </c>
      <c r="O458" s="160">
        <f>ROUNDUP(MAX(0,N458*'NM Play'!$B$11-G458)/'NM Play'!$B$13,0)</f>
        <v/>
      </c>
      <c r="P458" s="160">
        <f>ROUNDUP(MAX(0,N458*'NM Play'!$B$12-H458)/'NM Play'!$B$14,0)</f>
        <v/>
      </c>
      <c r="Q458" s="160">
        <f>(O458+IF('Sites'!$C$6="Own sheets",P458,0))/'NM Play'!$B$10</f>
        <v/>
      </c>
      <c r="R458" s="160">
        <f>O458/'NM Play'!$B$15+P458/'NM Play'!$B$16</f>
        <v/>
      </c>
      <c r="S458" s="160">
        <f>MAX(Q458,R458,N458/'NM Play'!$B$36)</f>
        <v/>
      </c>
      <c r="T458" s="160">
        <f>Q458*'NM Play'!$B$10*'NM Play'!$B$21*(1+'NM Play'!$B$35)</f>
        <v/>
      </c>
      <c r="U458" s="160">
        <f>MAX(0,T458-I458)</f>
        <v/>
      </c>
      <c r="V458" s="160">
        <f>G458+O458*'NM Play'!$B$13-N458*'NM Play'!$B$11</f>
        <v/>
      </c>
      <c r="W458" s="160">
        <f>H458+P458*'NM Play'!$B$14-N458*'NM Play'!$B$12</f>
        <v/>
      </c>
      <c r="X458" s="160">
        <f>I458+U458-T458</f>
        <v/>
      </c>
      <c r="Y458" s="160">
        <f>MIN(N458,MAX(0,ROUNDDOWN('Sites'!$M$6*'Cases'!$E$10,0)-SUM(Y450:Y457)))</f>
        <v/>
      </c>
      <c r="Z458" s="160">
        <f>N458-Y458</f>
        <v/>
      </c>
      <c r="AA458" s="160">
        <f>U458*'NM Play'!$B$22</f>
        <v/>
      </c>
      <c r="AB458" s="160">
        <f>N458*SUM('NM Play'!$B$29:$B$31)</f>
        <v/>
      </c>
      <c r="AC458" s="160">
        <f>IF('Sites'!$C$6="Defy legs",P458*'NM Play'!$B$14/'NM Play'!$B$12*'NM Play'!$B$28,0)</f>
        <v/>
      </c>
      <c r="AD458" s="160">
        <f>Q458*'NM Play'!$B$23</f>
        <v/>
      </c>
      <c r="AE458" s="160">
        <f>S458*SUM('NM Play'!$B$26,'NM Play'!$B$33:$B$34)</f>
        <v/>
      </c>
      <c r="AF458" s="160">
        <f>IF('Sites'!$D$6="NM crew",S458*SUM('NM Play'!$B$24:$B$25),0)</f>
        <v/>
      </c>
      <c r="AG458" s="160">
        <f>IF('Sites'!$D$6="NM crew",S458*'NM Play'!$B$27,0)</f>
        <v/>
      </c>
      <c r="AH458" s="160">
        <f>N458*'Sites'!$Z$6*'NM Play'!$B$32</f>
        <v/>
      </c>
      <c r="AI458" s="160">
        <f>SUM(Y458:Z458)*'Sites'!$R$6</f>
        <v/>
      </c>
      <c r="AJ458" s="160">
        <f>SUM(AA458:AH458)</f>
        <v/>
      </c>
      <c r="AK458" s="160">
        <f>AJ458+(T458-U458)*'NM Play'!$B$22+MIN(G458,N458*'NM Play'!$B$11)/'NM Play'!$B$13*'NM Play'!$B$21*'NM Play'!$B$22+MIN(H458,N458*'NM Play'!$B$12)/'NM Play'!$B$14*IF('Sites'!$C$6="Own sheets",'NM Play'!$B$21*'NM Play'!$B$22,'NM Play'!$B$28*'NM Play'!$B$14/'NM Play'!$B$12)</f>
        <v/>
      </c>
      <c r="AL458" s="160">
        <f>Y458*'Assumptions'!X66</f>
        <v/>
      </c>
      <c r="AM458" s="160">
        <f>IF('Sites'!$D$6="NM crew",S458*'NM Play'!$B$37*(1+IF(AND(ISNUMBER('NM Play'!$B$25),'NM Play'!$B$25&gt;0),1,0)),"")</f>
        <v/>
      </c>
      <c r="AN458" s="160">
        <f>IF(OR('Sites'!$E$6&lt;0,'Sites'!$E$6&gt;1,'Sites'!$F$6&lt;1,'Sites'!$G$6&lt;'Sites'!$F$6,F458&lt;0,MIN('Sites'!$I$6:'Sites'!$R$6)&lt;0,'Sites'!$L$6&gt;'Sites'!$I$6,'Sites'!$M$6&gt;'Sites'!$J$6,'Sites'!$N$6&gt;'Sites'!$K$6,'Sites'!$Z$6&lt;0,'Sites'!$Z$6&gt;1,MIN('Sites'!$AA$6:'Sites'!$AC$6)&lt;0,S458&gt;F458+0.001),1,0)</f>
        <v/>
      </c>
      <c r="AO458" s="160">
        <f>I458+U458-T458-X458</f>
        <v/>
      </c>
    </row>
    <row r="459" ht="28" customHeight="1">
      <c r="A459" s="4" t="inlineStr">
        <is>
          <t>Lower sales</t>
        </is>
      </c>
      <c r="B459" s="4" t="inlineStr">
        <is>
          <t>WITTA</t>
        </is>
      </c>
      <c r="C459" s="160" t="n">
        <v>22</v>
      </c>
      <c r="D459" s="160">
        <f>ROUNDUP(C459/12,0)</f>
        <v/>
      </c>
      <c r="E459" s="160">
        <f>IF(AND('Sites'!$E$6=1,C459&gt;='Sites'!$F$6,C459&lt;='Sites'!$G$6),1,0)</f>
        <v/>
      </c>
      <c r="F459" s="160">
        <f>E459*'Assumptions'!Y67</f>
        <v/>
      </c>
      <c r="G459" s="160">
        <f>V458</f>
        <v/>
      </c>
      <c r="H459" s="160">
        <f>W458</f>
        <v/>
      </c>
      <c r="I459" s="160">
        <f>X458</f>
        <v/>
      </c>
      <c r="J459" s="160">
        <f>MAX(0,'Sites'!$J$6-SUM(N450:N458))</f>
        <v/>
      </c>
      <c r="K459" s="160">
        <f>IF('Sites'!$C$6="Own sheets",MIN(ROUNDDOWN(G459/'NM Play'!$B$11,0)+F459*'NM Play'!$B$10/'NM Play'!$B$43,ROUNDDOWN(H459/'NM Play'!$B$12,0)+F459*'NM Play'!$B$10/'NM Play'!$B$44,(F459*'NM Play'!$B$10+ROUNDDOWN(G459/'NM Play'!$B$11,0)*'NM Play'!$B$43+ROUNDDOWN(H459/'NM Play'!$B$12,0)*'NM Play'!$B$44)/('NM Play'!$B$43+'NM Play'!$B$44)),ROUNDDOWN(G459/'NM Play'!$B$11,0)+F459*'NM Play'!$B$10/'NM Play'!$B$43)</f>
        <v/>
      </c>
      <c r="L459" s="160">
        <f>MIN(ROUNDDOWN(G459/'NM Play'!$B$11,0)+F459/('NM Play'!$B$43/'NM Play'!$B$15),ROUNDDOWN(H459/'NM Play'!$B$12,0)+F459/('NM Play'!$B$44/'NM Play'!$B$16),(F459+ROUNDDOWN(G459/'NM Play'!$B$11,0)*'NM Play'!$B$43/'NM Play'!$B$15+ROUNDDOWN(H459/'NM Play'!$B$12,0)*'NM Play'!$B$44/'NM Play'!$B$16)/('NM Play'!$B$43/'NM Play'!$B$15+'NM Play'!$B$44/'NM Play'!$B$16))</f>
        <v/>
      </c>
      <c r="M459" s="160">
        <f>F459*'NM Play'!$B$36</f>
        <v/>
      </c>
      <c r="N459" s="160">
        <f>ROUNDDOWN(MAX(0,MIN(J459,K459:M459)),0)</f>
        <v/>
      </c>
      <c r="O459" s="160">
        <f>ROUNDUP(MAX(0,N459*'NM Play'!$B$11-G459)/'NM Play'!$B$13,0)</f>
        <v/>
      </c>
      <c r="P459" s="160">
        <f>ROUNDUP(MAX(0,N459*'NM Play'!$B$12-H459)/'NM Play'!$B$14,0)</f>
        <v/>
      </c>
      <c r="Q459" s="160">
        <f>(O459+IF('Sites'!$C$6="Own sheets",P459,0))/'NM Play'!$B$10</f>
        <v/>
      </c>
      <c r="R459" s="160">
        <f>O459/'NM Play'!$B$15+P459/'NM Play'!$B$16</f>
        <v/>
      </c>
      <c r="S459" s="160">
        <f>MAX(Q459,R459,N459/'NM Play'!$B$36)</f>
        <v/>
      </c>
      <c r="T459" s="160">
        <f>Q459*'NM Play'!$B$10*'NM Play'!$B$21*(1+'NM Play'!$B$35)</f>
        <v/>
      </c>
      <c r="U459" s="160">
        <f>MAX(0,T459-I459)</f>
        <v/>
      </c>
      <c r="V459" s="160">
        <f>G459+O459*'NM Play'!$B$13-N459*'NM Play'!$B$11</f>
        <v/>
      </c>
      <c r="W459" s="160">
        <f>H459+P459*'NM Play'!$B$14-N459*'NM Play'!$B$12</f>
        <v/>
      </c>
      <c r="X459" s="160">
        <f>I459+U459-T459</f>
        <v/>
      </c>
      <c r="Y459" s="160">
        <f>MIN(N459,MAX(0,ROUNDDOWN('Sites'!$M$6*'Cases'!$E$10,0)-SUM(Y450:Y458)))</f>
        <v/>
      </c>
      <c r="Z459" s="160">
        <f>N459-Y459</f>
        <v/>
      </c>
      <c r="AA459" s="160">
        <f>U459*'NM Play'!$B$22</f>
        <v/>
      </c>
      <c r="AB459" s="160">
        <f>N459*SUM('NM Play'!$B$29:$B$31)</f>
        <v/>
      </c>
      <c r="AC459" s="160">
        <f>IF('Sites'!$C$6="Defy legs",P459*'NM Play'!$B$14/'NM Play'!$B$12*'NM Play'!$B$28,0)</f>
        <v/>
      </c>
      <c r="AD459" s="160">
        <f>Q459*'NM Play'!$B$23</f>
        <v/>
      </c>
      <c r="AE459" s="160">
        <f>S459*SUM('NM Play'!$B$26,'NM Play'!$B$33:$B$34)</f>
        <v/>
      </c>
      <c r="AF459" s="160">
        <f>IF('Sites'!$D$6="NM crew",S459*SUM('NM Play'!$B$24:$B$25),0)</f>
        <v/>
      </c>
      <c r="AG459" s="160">
        <f>IF('Sites'!$D$6="NM crew",S459*'NM Play'!$B$27,0)</f>
        <v/>
      </c>
      <c r="AH459" s="160">
        <f>N459*'Sites'!$Z$6*'NM Play'!$B$32</f>
        <v/>
      </c>
      <c r="AI459" s="160">
        <f>SUM(Y459:Z459)*'Sites'!$R$6</f>
        <v/>
      </c>
      <c r="AJ459" s="160">
        <f>SUM(AA459:AH459)</f>
        <v/>
      </c>
      <c r="AK459" s="160">
        <f>AJ459+(T459-U459)*'NM Play'!$B$22+MIN(G459,N459*'NM Play'!$B$11)/'NM Play'!$B$13*'NM Play'!$B$21*'NM Play'!$B$22+MIN(H459,N459*'NM Play'!$B$12)/'NM Play'!$B$14*IF('Sites'!$C$6="Own sheets",'NM Play'!$B$21*'NM Play'!$B$22,'NM Play'!$B$28*'NM Play'!$B$14/'NM Play'!$B$12)</f>
        <v/>
      </c>
      <c r="AL459" s="160">
        <f>Y459*'Assumptions'!Y66</f>
        <v/>
      </c>
      <c r="AM459" s="160">
        <f>IF('Sites'!$D$6="NM crew",S459*'NM Play'!$B$37*(1+IF(AND(ISNUMBER('NM Play'!$B$25),'NM Play'!$B$25&gt;0),1,0)),"")</f>
        <v/>
      </c>
      <c r="AN459" s="160">
        <f>IF(OR('Sites'!$E$6&lt;0,'Sites'!$E$6&gt;1,'Sites'!$F$6&lt;1,'Sites'!$G$6&lt;'Sites'!$F$6,F459&lt;0,MIN('Sites'!$I$6:'Sites'!$R$6)&lt;0,'Sites'!$L$6&gt;'Sites'!$I$6,'Sites'!$M$6&gt;'Sites'!$J$6,'Sites'!$N$6&gt;'Sites'!$K$6,'Sites'!$Z$6&lt;0,'Sites'!$Z$6&gt;1,MIN('Sites'!$AA$6:'Sites'!$AC$6)&lt;0,S459&gt;F459+0.001),1,0)</f>
        <v/>
      </c>
      <c r="AO459" s="160">
        <f>I459+U459-T459-X459</f>
        <v/>
      </c>
    </row>
    <row r="460" ht="28" customHeight="1">
      <c r="A460" s="4" t="inlineStr">
        <is>
          <t>Lower sales</t>
        </is>
      </c>
      <c r="B460" s="4" t="inlineStr">
        <is>
          <t>WITTA</t>
        </is>
      </c>
      <c r="C460" s="160" t="n">
        <v>23</v>
      </c>
      <c r="D460" s="160">
        <f>ROUNDUP(C460/12,0)</f>
        <v/>
      </c>
      <c r="E460" s="160">
        <f>IF(AND('Sites'!$E$6=1,C460&gt;='Sites'!$F$6,C460&lt;='Sites'!$G$6),1,0)</f>
        <v/>
      </c>
      <c r="F460" s="160">
        <f>E460*'Assumptions'!Z67</f>
        <v/>
      </c>
      <c r="G460" s="160">
        <f>V459</f>
        <v/>
      </c>
      <c r="H460" s="160">
        <f>W459</f>
        <v/>
      </c>
      <c r="I460" s="160">
        <f>X459</f>
        <v/>
      </c>
      <c r="J460" s="160">
        <f>MAX(0,'Sites'!$J$6-SUM(N450:N459))</f>
        <v/>
      </c>
      <c r="K460" s="160">
        <f>IF('Sites'!$C$6="Own sheets",MIN(ROUNDDOWN(G460/'NM Play'!$B$11,0)+F460*'NM Play'!$B$10/'NM Play'!$B$43,ROUNDDOWN(H460/'NM Play'!$B$12,0)+F460*'NM Play'!$B$10/'NM Play'!$B$44,(F460*'NM Play'!$B$10+ROUNDDOWN(G460/'NM Play'!$B$11,0)*'NM Play'!$B$43+ROUNDDOWN(H460/'NM Play'!$B$12,0)*'NM Play'!$B$44)/('NM Play'!$B$43+'NM Play'!$B$44)),ROUNDDOWN(G460/'NM Play'!$B$11,0)+F460*'NM Play'!$B$10/'NM Play'!$B$43)</f>
        <v/>
      </c>
      <c r="L460" s="160">
        <f>MIN(ROUNDDOWN(G460/'NM Play'!$B$11,0)+F460/('NM Play'!$B$43/'NM Play'!$B$15),ROUNDDOWN(H460/'NM Play'!$B$12,0)+F460/('NM Play'!$B$44/'NM Play'!$B$16),(F460+ROUNDDOWN(G460/'NM Play'!$B$11,0)*'NM Play'!$B$43/'NM Play'!$B$15+ROUNDDOWN(H460/'NM Play'!$B$12,0)*'NM Play'!$B$44/'NM Play'!$B$16)/('NM Play'!$B$43/'NM Play'!$B$15+'NM Play'!$B$44/'NM Play'!$B$16))</f>
        <v/>
      </c>
      <c r="M460" s="160">
        <f>F460*'NM Play'!$B$36</f>
        <v/>
      </c>
      <c r="N460" s="160">
        <f>ROUNDDOWN(MAX(0,MIN(J460,K460:M460)),0)</f>
        <v/>
      </c>
      <c r="O460" s="160">
        <f>ROUNDUP(MAX(0,N460*'NM Play'!$B$11-G460)/'NM Play'!$B$13,0)</f>
        <v/>
      </c>
      <c r="P460" s="160">
        <f>ROUNDUP(MAX(0,N460*'NM Play'!$B$12-H460)/'NM Play'!$B$14,0)</f>
        <v/>
      </c>
      <c r="Q460" s="160">
        <f>(O460+IF('Sites'!$C$6="Own sheets",P460,0))/'NM Play'!$B$10</f>
        <v/>
      </c>
      <c r="R460" s="160">
        <f>O460/'NM Play'!$B$15+P460/'NM Play'!$B$16</f>
        <v/>
      </c>
      <c r="S460" s="160">
        <f>MAX(Q460,R460,N460/'NM Play'!$B$36)</f>
        <v/>
      </c>
      <c r="T460" s="160">
        <f>Q460*'NM Play'!$B$10*'NM Play'!$B$21*(1+'NM Play'!$B$35)</f>
        <v/>
      </c>
      <c r="U460" s="160">
        <f>MAX(0,T460-I460)</f>
        <v/>
      </c>
      <c r="V460" s="160">
        <f>G460+O460*'NM Play'!$B$13-N460*'NM Play'!$B$11</f>
        <v/>
      </c>
      <c r="W460" s="160">
        <f>H460+P460*'NM Play'!$B$14-N460*'NM Play'!$B$12</f>
        <v/>
      </c>
      <c r="X460" s="160">
        <f>I460+U460-T460</f>
        <v/>
      </c>
      <c r="Y460" s="160">
        <f>MIN(N460,MAX(0,ROUNDDOWN('Sites'!$M$6*'Cases'!$E$10,0)-SUM(Y450:Y459)))</f>
        <v/>
      </c>
      <c r="Z460" s="160">
        <f>N460-Y460</f>
        <v/>
      </c>
      <c r="AA460" s="160">
        <f>U460*'NM Play'!$B$22</f>
        <v/>
      </c>
      <c r="AB460" s="160">
        <f>N460*SUM('NM Play'!$B$29:$B$31)</f>
        <v/>
      </c>
      <c r="AC460" s="160">
        <f>IF('Sites'!$C$6="Defy legs",P460*'NM Play'!$B$14/'NM Play'!$B$12*'NM Play'!$B$28,0)</f>
        <v/>
      </c>
      <c r="AD460" s="160">
        <f>Q460*'NM Play'!$B$23</f>
        <v/>
      </c>
      <c r="AE460" s="160">
        <f>S460*SUM('NM Play'!$B$26,'NM Play'!$B$33:$B$34)</f>
        <v/>
      </c>
      <c r="AF460" s="160">
        <f>IF('Sites'!$D$6="NM crew",S460*SUM('NM Play'!$B$24:$B$25),0)</f>
        <v/>
      </c>
      <c r="AG460" s="160">
        <f>IF('Sites'!$D$6="NM crew",S460*'NM Play'!$B$27,0)</f>
        <v/>
      </c>
      <c r="AH460" s="160">
        <f>N460*'Sites'!$Z$6*'NM Play'!$B$32</f>
        <v/>
      </c>
      <c r="AI460" s="160">
        <f>SUM(Y460:Z460)*'Sites'!$R$6</f>
        <v/>
      </c>
      <c r="AJ460" s="160">
        <f>SUM(AA460:AH460)</f>
        <v/>
      </c>
      <c r="AK460" s="160">
        <f>AJ460+(T460-U460)*'NM Play'!$B$22+MIN(G460,N460*'NM Play'!$B$11)/'NM Play'!$B$13*'NM Play'!$B$21*'NM Play'!$B$22+MIN(H460,N460*'NM Play'!$B$12)/'NM Play'!$B$14*IF('Sites'!$C$6="Own sheets",'NM Play'!$B$21*'NM Play'!$B$22,'NM Play'!$B$28*'NM Play'!$B$14/'NM Play'!$B$12)</f>
        <v/>
      </c>
      <c r="AL460" s="160">
        <f>Y460*'Assumptions'!Z66</f>
        <v/>
      </c>
      <c r="AM460" s="160">
        <f>IF('Sites'!$D$6="NM crew",S460*'NM Play'!$B$37*(1+IF(AND(ISNUMBER('NM Play'!$B$25),'NM Play'!$B$25&gt;0),1,0)),"")</f>
        <v/>
      </c>
      <c r="AN460" s="160">
        <f>IF(OR('Sites'!$E$6&lt;0,'Sites'!$E$6&gt;1,'Sites'!$F$6&lt;1,'Sites'!$G$6&lt;'Sites'!$F$6,F460&lt;0,MIN('Sites'!$I$6:'Sites'!$R$6)&lt;0,'Sites'!$L$6&gt;'Sites'!$I$6,'Sites'!$M$6&gt;'Sites'!$J$6,'Sites'!$N$6&gt;'Sites'!$K$6,'Sites'!$Z$6&lt;0,'Sites'!$Z$6&gt;1,MIN('Sites'!$AA$6:'Sites'!$AC$6)&lt;0,S460&gt;F460+0.001),1,0)</f>
        <v/>
      </c>
      <c r="AO460" s="160">
        <f>I460+U460-T460-X460</f>
        <v/>
      </c>
    </row>
    <row r="461" ht="28" customHeight="1">
      <c r="A461" s="4" t="inlineStr">
        <is>
          <t>Lower sales</t>
        </is>
      </c>
      <c r="B461" s="4" t="inlineStr">
        <is>
          <t>WITTA</t>
        </is>
      </c>
      <c r="C461" s="160" t="n">
        <v>24</v>
      </c>
      <c r="D461" s="160">
        <f>ROUNDUP(C461/12,0)</f>
        <v/>
      </c>
      <c r="E461" s="160">
        <f>IF(AND('Sites'!$E$6=1,C461&gt;='Sites'!$F$6,C461&lt;='Sites'!$G$6),1,0)</f>
        <v/>
      </c>
      <c r="F461" s="160">
        <f>E461*'Assumptions'!AA67</f>
        <v/>
      </c>
      <c r="G461" s="160">
        <f>V460</f>
        <v/>
      </c>
      <c r="H461" s="160">
        <f>W460</f>
        <v/>
      </c>
      <c r="I461" s="160">
        <f>X460</f>
        <v/>
      </c>
      <c r="J461" s="160">
        <f>MAX(0,'Sites'!$J$6-SUM(N450:N460))</f>
        <v/>
      </c>
      <c r="K461" s="160">
        <f>IF('Sites'!$C$6="Own sheets",MIN(ROUNDDOWN(G461/'NM Play'!$B$11,0)+F461*'NM Play'!$B$10/'NM Play'!$B$43,ROUNDDOWN(H461/'NM Play'!$B$12,0)+F461*'NM Play'!$B$10/'NM Play'!$B$44,(F461*'NM Play'!$B$10+ROUNDDOWN(G461/'NM Play'!$B$11,0)*'NM Play'!$B$43+ROUNDDOWN(H461/'NM Play'!$B$12,0)*'NM Play'!$B$44)/('NM Play'!$B$43+'NM Play'!$B$44)),ROUNDDOWN(G461/'NM Play'!$B$11,0)+F461*'NM Play'!$B$10/'NM Play'!$B$43)</f>
        <v/>
      </c>
      <c r="L461" s="160">
        <f>MIN(ROUNDDOWN(G461/'NM Play'!$B$11,0)+F461/('NM Play'!$B$43/'NM Play'!$B$15),ROUNDDOWN(H461/'NM Play'!$B$12,0)+F461/('NM Play'!$B$44/'NM Play'!$B$16),(F461+ROUNDDOWN(G461/'NM Play'!$B$11,0)*'NM Play'!$B$43/'NM Play'!$B$15+ROUNDDOWN(H461/'NM Play'!$B$12,0)*'NM Play'!$B$44/'NM Play'!$B$16)/('NM Play'!$B$43/'NM Play'!$B$15+'NM Play'!$B$44/'NM Play'!$B$16))</f>
        <v/>
      </c>
      <c r="M461" s="160">
        <f>F461*'NM Play'!$B$36</f>
        <v/>
      </c>
      <c r="N461" s="160">
        <f>ROUNDDOWN(MAX(0,MIN(J461,K461:M461)),0)</f>
        <v/>
      </c>
      <c r="O461" s="160">
        <f>ROUNDUP(MAX(0,N461*'NM Play'!$B$11-G461)/'NM Play'!$B$13,0)</f>
        <v/>
      </c>
      <c r="P461" s="160">
        <f>ROUNDUP(MAX(0,N461*'NM Play'!$B$12-H461)/'NM Play'!$B$14,0)</f>
        <v/>
      </c>
      <c r="Q461" s="160">
        <f>(O461+IF('Sites'!$C$6="Own sheets",P461,0))/'NM Play'!$B$10</f>
        <v/>
      </c>
      <c r="R461" s="160">
        <f>O461/'NM Play'!$B$15+P461/'NM Play'!$B$16</f>
        <v/>
      </c>
      <c r="S461" s="160">
        <f>MAX(Q461,R461,N461/'NM Play'!$B$36)</f>
        <v/>
      </c>
      <c r="T461" s="160">
        <f>Q461*'NM Play'!$B$10*'NM Play'!$B$21*(1+'NM Play'!$B$35)</f>
        <v/>
      </c>
      <c r="U461" s="160">
        <f>MAX(0,T461-I461)</f>
        <v/>
      </c>
      <c r="V461" s="160">
        <f>G461+O461*'NM Play'!$B$13-N461*'NM Play'!$B$11</f>
        <v/>
      </c>
      <c r="W461" s="160">
        <f>H461+P461*'NM Play'!$B$14-N461*'NM Play'!$B$12</f>
        <v/>
      </c>
      <c r="X461" s="160">
        <f>I461+U461-T461</f>
        <v/>
      </c>
      <c r="Y461" s="160">
        <f>MIN(N461,MAX(0,ROUNDDOWN('Sites'!$M$6*'Cases'!$E$10,0)-SUM(Y450:Y460)))</f>
        <v/>
      </c>
      <c r="Z461" s="160">
        <f>N461-Y461</f>
        <v/>
      </c>
      <c r="AA461" s="160">
        <f>U461*'NM Play'!$B$22</f>
        <v/>
      </c>
      <c r="AB461" s="160">
        <f>N461*SUM('NM Play'!$B$29:$B$31)</f>
        <v/>
      </c>
      <c r="AC461" s="160">
        <f>IF('Sites'!$C$6="Defy legs",P461*'NM Play'!$B$14/'NM Play'!$B$12*'NM Play'!$B$28,0)</f>
        <v/>
      </c>
      <c r="AD461" s="160">
        <f>Q461*'NM Play'!$B$23</f>
        <v/>
      </c>
      <c r="AE461" s="160">
        <f>S461*SUM('NM Play'!$B$26,'NM Play'!$B$33:$B$34)</f>
        <v/>
      </c>
      <c r="AF461" s="160">
        <f>IF('Sites'!$D$6="NM crew",S461*SUM('NM Play'!$B$24:$B$25),0)</f>
        <v/>
      </c>
      <c r="AG461" s="160">
        <f>IF('Sites'!$D$6="NM crew",S461*'NM Play'!$B$27,0)</f>
        <v/>
      </c>
      <c r="AH461" s="160">
        <f>N461*'Sites'!$Z$6*'NM Play'!$B$32</f>
        <v/>
      </c>
      <c r="AI461" s="160">
        <f>SUM(Y461:Z461)*'Sites'!$R$6</f>
        <v/>
      </c>
      <c r="AJ461" s="160">
        <f>SUM(AA461:AH461)</f>
        <v/>
      </c>
      <c r="AK461" s="160">
        <f>AJ461+(T461-U461)*'NM Play'!$B$22+MIN(G461,N461*'NM Play'!$B$11)/'NM Play'!$B$13*'NM Play'!$B$21*'NM Play'!$B$22+MIN(H461,N461*'NM Play'!$B$12)/'NM Play'!$B$14*IF('Sites'!$C$6="Own sheets",'NM Play'!$B$21*'NM Play'!$B$22,'NM Play'!$B$28*'NM Play'!$B$14/'NM Play'!$B$12)</f>
        <v/>
      </c>
      <c r="AL461" s="160">
        <f>Y461*'Assumptions'!AA66</f>
        <v/>
      </c>
      <c r="AM461" s="160">
        <f>IF('Sites'!$D$6="NM crew",S461*'NM Play'!$B$37*(1+IF(AND(ISNUMBER('NM Play'!$B$25),'NM Play'!$B$25&gt;0),1,0)),"")</f>
        <v/>
      </c>
      <c r="AN461" s="160">
        <f>IF(OR('Sites'!$E$6&lt;0,'Sites'!$E$6&gt;1,'Sites'!$F$6&lt;1,'Sites'!$G$6&lt;'Sites'!$F$6,F461&lt;0,MIN('Sites'!$I$6:'Sites'!$R$6)&lt;0,'Sites'!$L$6&gt;'Sites'!$I$6,'Sites'!$M$6&gt;'Sites'!$J$6,'Sites'!$N$6&gt;'Sites'!$K$6,'Sites'!$Z$6&lt;0,'Sites'!$Z$6&gt;1,MIN('Sites'!$AA$6:'Sites'!$AC$6)&lt;0,S461&gt;F461+0.001),1,0)</f>
        <v/>
      </c>
      <c r="AO461" s="160">
        <f>I461+U461-T461-X461</f>
        <v/>
      </c>
    </row>
    <row r="462" ht="28" customHeight="1">
      <c r="A462" s="4" t="inlineStr">
        <is>
          <t>Lower sales</t>
        </is>
      </c>
      <c r="B462" s="4" t="inlineStr">
        <is>
          <t>WITTA</t>
        </is>
      </c>
      <c r="C462" s="160" t="n">
        <v>25</v>
      </c>
      <c r="D462" s="160">
        <f>ROUNDUP(C462/12,0)</f>
        <v/>
      </c>
      <c r="E462" s="160">
        <f>IF(AND('Sites'!$E$6=1,C462&gt;='Sites'!$F$6,C462&lt;='Sites'!$G$6),1,0)</f>
        <v/>
      </c>
      <c r="F462" s="160">
        <f>E462*'Assumptions'!AB67</f>
        <v/>
      </c>
      <c r="G462" s="160">
        <f>V461</f>
        <v/>
      </c>
      <c r="H462" s="160">
        <f>W461</f>
        <v/>
      </c>
      <c r="I462" s="160">
        <f>X461</f>
        <v/>
      </c>
      <c r="J462" s="160">
        <f>MAX(0,'Sites'!$K$6-0)</f>
        <v/>
      </c>
      <c r="K462" s="160">
        <f>IF('Sites'!$C$6="Own sheets",MIN(ROUNDDOWN(G462/'NM Play'!$B$11,0)+F462*'NM Play'!$B$10/'NM Play'!$B$43,ROUNDDOWN(H462/'NM Play'!$B$12,0)+F462*'NM Play'!$B$10/'NM Play'!$B$44,(F462*'NM Play'!$B$10+ROUNDDOWN(G462/'NM Play'!$B$11,0)*'NM Play'!$B$43+ROUNDDOWN(H462/'NM Play'!$B$12,0)*'NM Play'!$B$44)/('NM Play'!$B$43+'NM Play'!$B$44)),ROUNDDOWN(G462/'NM Play'!$B$11,0)+F462*'NM Play'!$B$10/'NM Play'!$B$43)</f>
        <v/>
      </c>
      <c r="L462" s="160">
        <f>MIN(ROUNDDOWN(G462/'NM Play'!$B$11,0)+F462/('NM Play'!$B$43/'NM Play'!$B$15),ROUNDDOWN(H462/'NM Play'!$B$12,0)+F462/('NM Play'!$B$44/'NM Play'!$B$16),(F462+ROUNDDOWN(G462/'NM Play'!$B$11,0)*'NM Play'!$B$43/'NM Play'!$B$15+ROUNDDOWN(H462/'NM Play'!$B$12,0)*'NM Play'!$B$44/'NM Play'!$B$16)/('NM Play'!$B$43/'NM Play'!$B$15+'NM Play'!$B$44/'NM Play'!$B$16))</f>
        <v/>
      </c>
      <c r="M462" s="160">
        <f>F462*'NM Play'!$B$36</f>
        <v/>
      </c>
      <c r="N462" s="160">
        <f>ROUNDDOWN(MAX(0,MIN(J462,K462:M462)),0)</f>
        <v/>
      </c>
      <c r="O462" s="160">
        <f>ROUNDUP(MAX(0,N462*'NM Play'!$B$11-G462)/'NM Play'!$B$13,0)</f>
        <v/>
      </c>
      <c r="P462" s="160">
        <f>ROUNDUP(MAX(0,N462*'NM Play'!$B$12-H462)/'NM Play'!$B$14,0)</f>
        <v/>
      </c>
      <c r="Q462" s="160">
        <f>(O462+IF('Sites'!$C$6="Own sheets",P462,0))/'NM Play'!$B$10</f>
        <v/>
      </c>
      <c r="R462" s="160">
        <f>O462/'NM Play'!$B$15+P462/'NM Play'!$B$16</f>
        <v/>
      </c>
      <c r="S462" s="160">
        <f>MAX(Q462,R462,N462/'NM Play'!$B$36)</f>
        <v/>
      </c>
      <c r="T462" s="160">
        <f>Q462*'NM Play'!$B$10*'NM Play'!$B$21*(1+'NM Play'!$B$35)</f>
        <v/>
      </c>
      <c r="U462" s="160">
        <f>MAX(0,T462-I462)</f>
        <v/>
      </c>
      <c r="V462" s="160">
        <f>G462+O462*'NM Play'!$B$13-N462*'NM Play'!$B$11</f>
        <v/>
      </c>
      <c r="W462" s="160">
        <f>H462+P462*'NM Play'!$B$14-N462*'NM Play'!$B$12</f>
        <v/>
      </c>
      <c r="X462" s="160">
        <f>I462+U462-T462</f>
        <v/>
      </c>
      <c r="Y462" s="160">
        <f>MIN(N462,MAX(0,ROUNDDOWN('Sites'!$N$6*'Cases'!$E$10,0)-0))</f>
        <v/>
      </c>
      <c r="Z462" s="160">
        <f>N462-Y462</f>
        <v/>
      </c>
      <c r="AA462" s="160">
        <f>U462*'NM Play'!$B$22</f>
        <v/>
      </c>
      <c r="AB462" s="160">
        <f>N462*SUM('NM Play'!$B$29:$B$31)</f>
        <v/>
      </c>
      <c r="AC462" s="160">
        <f>IF('Sites'!$C$6="Defy legs",P462*'NM Play'!$B$14/'NM Play'!$B$12*'NM Play'!$B$28,0)</f>
        <v/>
      </c>
      <c r="AD462" s="160">
        <f>Q462*'NM Play'!$B$23</f>
        <v/>
      </c>
      <c r="AE462" s="160">
        <f>S462*SUM('NM Play'!$B$26,'NM Play'!$B$33:$B$34)</f>
        <v/>
      </c>
      <c r="AF462" s="160">
        <f>IF('Sites'!$D$6="NM crew",S462*SUM('NM Play'!$B$24:$B$25),0)</f>
        <v/>
      </c>
      <c r="AG462" s="160">
        <f>IF('Sites'!$D$6="NM crew",S462*'NM Play'!$B$27,0)</f>
        <v/>
      </c>
      <c r="AH462" s="160">
        <f>N462*'Sites'!$Z$6*'NM Play'!$B$32</f>
        <v/>
      </c>
      <c r="AI462" s="160">
        <f>SUM(Y462:Z462)*'Sites'!$R$6</f>
        <v/>
      </c>
      <c r="AJ462" s="160">
        <f>SUM(AA462:AH462)</f>
        <v/>
      </c>
      <c r="AK462" s="160">
        <f>AJ462+(T462-U462)*'NM Play'!$B$22+MIN(G462,N462*'NM Play'!$B$11)/'NM Play'!$B$13*'NM Play'!$B$21*'NM Play'!$B$22+MIN(H462,N462*'NM Play'!$B$12)/'NM Play'!$B$14*IF('Sites'!$C$6="Own sheets",'NM Play'!$B$21*'NM Play'!$B$22,'NM Play'!$B$28*'NM Play'!$B$14/'NM Play'!$B$12)</f>
        <v/>
      </c>
      <c r="AL462" s="160">
        <f>Y462*'Assumptions'!AB66</f>
        <v/>
      </c>
      <c r="AM462" s="160">
        <f>IF('Sites'!$D$6="NM crew",S462*'NM Play'!$B$37*(1+IF(AND(ISNUMBER('NM Play'!$B$25),'NM Play'!$B$25&gt;0),1,0)),"")</f>
        <v/>
      </c>
      <c r="AN462" s="160">
        <f>IF(OR('Sites'!$E$6&lt;0,'Sites'!$E$6&gt;1,'Sites'!$F$6&lt;1,'Sites'!$G$6&lt;'Sites'!$F$6,F462&lt;0,MIN('Sites'!$I$6:'Sites'!$R$6)&lt;0,'Sites'!$L$6&gt;'Sites'!$I$6,'Sites'!$M$6&gt;'Sites'!$J$6,'Sites'!$N$6&gt;'Sites'!$K$6,'Sites'!$Z$6&lt;0,'Sites'!$Z$6&gt;1,MIN('Sites'!$AA$6:'Sites'!$AC$6)&lt;0,S462&gt;F462+0.001),1,0)</f>
        <v/>
      </c>
      <c r="AO462" s="160">
        <f>I462+U462-T462-X462</f>
        <v/>
      </c>
    </row>
    <row r="463" ht="28" customHeight="1">
      <c r="A463" s="4" t="inlineStr">
        <is>
          <t>Lower sales</t>
        </is>
      </c>
      <c r="B463" s="4" t="inlineStr">
        <is>
          <t>WITTA</t>
        </is>
      </c>
      <c r="C463" s="160" t="n">
        <v>26</v>
      </c>
      <c r="D463" s="160">
        <f>ROUNDUP(C463/12,0)</f>
        <v/>
      </c>
      <c r="E463" s="160">
        <f>IF(AND('Sites'!$E$6=1,C463&gt;='Sites'!$F$6,C463&lt;='Sites'!$G$6),1,0)</f>
        <v/>
      </c>
      <c r="F463" s="160">
        <f>E463*'Assumptions'!AC67</f>
        <v/>
      </c>
      <c r="G463" s="160">
        <f>V462</f>
        <v/>
      </c>
      <c r="H463" s="160">
        <f>W462</f>
        <v/>
      </c>
      <c r="I463" s="160">
        <f>X462</f>
        <v/>
      </c>
      <c r="J463" s="160">
        <f>MAX(0,'Sites'!$K$6-SUM(N462:N462))</f>
        <v/>
      </c>
      <c r="K463" s="160">
        <f>IF('Sites'!$C$6="Own sheets",MIN(ROUNDDOWN(G463/'NM Play'!$B$11,0)+F463*'NM Play'!$B$10/'NM Play'!$B$43,ROUNDDOWN(H463/'NM Play'!$B$12,0)+F463*'NM Play'!$B$10/'NM Play'!$B$44,(F463*'NM Play'!$B$10+ROUNDDOWN(G463/'NM Play'!$B$11,0)*'NM Play'!$B$43+ROUNDDOWN(H463/'NM Play'!$B$12,0)*'NM Play'!$B$44)/('NM Play'!$B$43+'NM Play'!$B$44)),ROUNDDOWN(G463/'NM Play'!$B$11,0)+F463*'NM Play'!$B$10/'NM Play'!$B$43)</f>
        <v/>
      </c>
      <c r="L463" s="160">
        <f>MIN(ROUNDDOWN(G463/'NM Play'!$B$11,0)+F463/('NM Play'!$B$43/'NM Play'!$B$15),ROUNDDOWN(H463/'NM Play'!$B$12,0)+F463/('NM Play'!$B$44/'NM Play'!$B$16),(F463+ROUNDDOWN(G463/'NM Play'!$B$11,0)*'NM Play'!$B$43/'NM Play'!$B$15+ROUNDDOWN(H463/'NM Play'!$B$12,0)*'NM Play'!$B$44/'NM Play'!$B$16)/('NM Play'!$B$43/'NM Play'!$B$15+'NM Play'!$B$44/'NM Play'!$B$16))</f>
        <v/>
      </c>
      <c r="M463" s="160">
        <f>F463*'NM Play'!$B$36</f>
        <v/>
      </c>
      <c r="N463" s="160">
        <f>ROUNDDOWN(MAX(0,MIN(J463,K463:M463)),0)</f>
        <v/>
      </c>
      <c r="O463" s="160">
        <f>ROUNDUP(MAX(0,N463*'NM Play'!$B$11-G463)/'NM Play'!$B$13,0)</f>
        <v/>
      </c>
      <c r="P463" s="160">
        <f>ROUNDUP(MAX(0,N463*'NM Play'!$B$12-H463)/'NM Play'!$B$14,0)</f>
        <v/>
      </c>
      <c r="Q463" s="160">
        <f>(O463+IF('Sites'!$C$6="Own sheets",P463,0))/'NM Play'!$B$10</f>
        <v/>
      </c>
      <c r="R463" s="160">
        <f>O463/'NM Play'!$B$15+P463/'NM Play'!$B$16</f>
        <v/>
      </c>
      <c r="S463" s="160">
        <f>MAX(Q463,R463,N463/'NM Play'!$B$36)</f>
        <v/>
      </c>
      <c r="T463" s="160">
        <f>Q463*'NM Play'!$B$10*'NM Play'!$B$21*(1+'NM Play'!$B$35)</f>
        <v/>
      </c>
      <c r="U463" s="160">
        <f>MAX(0,T463-I463)</f>
        <v/>
      </c>
      <c r="V463" s="160">
        <f>G463+O463*'NM Play'!$B$13-N463*'NM Play'!$B$11</f>
        <v/>
      </c>
      <c r="W463" s="160">
        <f>H463+P463*'NM Play'!$B$14-N463*'NM Play'!$B$12</f>
        <v/>
      </c>
      <c r="X463" s="160">
        <f>I463+U463-T463</f>
        <v/>
      </c>
      <c r="Y463" s="160">
        <f>MIN(N463,MAX(0,ROUNDDOWN('Sites'!$N$6*'Cases'!$E$10,0)-SUM(Y462:Y462)))</f>
        <v/>
      </c>
      <c r="Z463" s="160">
        <f>N463-Y463</f>
        <v/>
      </c>
      <c r="AA463" s="160">
        <f>U463*'NM Play'!$B$22</f>
        <v/>
      </c>
      <c r="AB463" s="160">
        <f>N463*SUM('NM Play'!$B$29:$B$31)</f>
        <v/>
      </c>
      <c r="AC463" s="160">
        <f>IF('Sites'!$C$6="Defy legs",P463*'NM Play'!$B$14/'NM Play'!$B$12*'NM Play'!$B$28,0)</f>
        <v/>
      </c>
      <c r="AD463" s="160">
        <f>Q463*'NM Play'!$B$23</f>
        <v/>
      </c>
      <c r="AE463" s="160">
        <f>S463*SUM('NM Play'!$B$26,'NM Play'!$B$33:$B$34)</f>
        <v/>
      </c>
      <c r="AF463" s="160">
        <f>IF('Sites'!$D$6="NM crew",S463*SUM('NM Play'!$B$24:$B$25),0)</f>
        <v/>
      </c>
      <c r="AG463" s="160">
        <f>IF('Sites'!$D$6="NM crew",S463*'NM Play'!$B$27,0)</f>
        <v/>
      </c>
      <c r="AH463" s="160">
        <f>N463*'Sites'!$Z$6*'NM Play'!$B$32</f>
        <v/>
      </c>
      <c r="AI463" s="160">
        <f>SUM(Y463:Z463)*'Sites'!$R$6</f>
        <v/>
      </c>
      <c r="AJ463" s="160">
        <f>SUM(AA463:AH463)</f>
        <v/>
      </c>
      <c r="AK463" s="160">
        <f>AJ463+(T463-U463)*'NM Play'!$B$22+MIN(G463,N463*'NM Play'!$B$11)/'NM Play'!$B$13*'NM Play'!$B$21*'NM Play'!$B$22+MIN(H463,N463*'NM Play'!$B$12)/'NM Play'!$B$14*IF('Sites'!$C$6="Own sheets",'NM Play'!$B$21*'NM Play'!$B$22,'NM Play'!$B$28*'NM Play'!$B$14/'NM Play'!$B$12)</f>
        <v/>
      </c>
      <c r="AL463" s="160">
        <f>Y463*'Assumptions'!AC66</f>
        <v/>
      </c>
      <c r="AM463" s="160">
        <f>IF('Sites'!$D$6="NM crew",S463*'NM Play'!$B$37*(1+IF(AND(ISNUMBER('NM Play'!$B$25),'NM Play'!$B$25&gt;0),1,0)),"")</f>
        <v/>
      </c>
      <c r="AN463" s="160">
        <f>IF(OR('Sites'!$E$6&lt;0,'Sites'!$E$6&gt;1,'Sites'!$F$6&lt;1,'Sites'!$G$6&lt;'Sites'!$F$6,F463&lt;0,MIN('Sites'!$I$6:'Sites'!$R$6)&lt;0,'Sites'!$L$6&gt;'Sites'!$I$6,'Sites'!$M$6&gt;'Sites'!$J$6,'Sites'!$N$6&gt;'Sites'!$K$6,'Sites'!$Z$6&lt;0,'Sites'!$Z$6&gt;1,MIN('Sites'!$AA$6:'Sites'!$AC$6)&lt;0,S463&gt;F463+0.001),1,0)</f>
        <v/>
      </c>
      <c r="AO463" s="160">
        <f>I463+U463-T463-X463</f>
        <v/>
      </c>
    </row>
    <row r="464" ht="28" customHeight="1">
      <c r="A464" s="4" t="inlineStr">
        <is>
          <t>Lower sales</t>
        </is>
      </c>
      <c r="B464" s="4" t="inlineStr">
        <is>
          <t>WITTA</t>
        </is>
      </c>
      <c r="C464" s="160" t="n">
        <v>27</v>
      </c>
      <c r="D464" s="160">
        <f>ROUNDUP(C464/12,0)</f>
        <v/>
      </c>
      <c r="E464" s="160">
        <f>IF(AND('Sites'!$E$6=1,C464&gt;='Sites'!$F$6,C464&lt;='Sites'!$G$6),1,0)</f>
        <v/>
      </c>
      <c r="F464" s="160">
        <f>E464*'Assumptions'!AD67</f>
        <v/>
      </c>
      <c r="G464" s="160">
        <f>V463</f>
        <v/>
      </c>
      <c r="H464" s="160">
        <f>W463</f>
        <v/>
      </c>
      <c r="I464" s="160">
        <f>X463</f>
        <v/>
      </c>
      <c r="J464" s="160">
        <f>MAX(0,'Sites'!$K$6-SUM(N462:N463))</f>
        <v/>
      </c>
      <c r="K464" s="160">
        <f>IF('Sites'!$C$6="Own sheets",MIN(ROUNDDOWN(G464/'NM Play'!$B$11,0)+F464*'NM Play'!$B$10/'NM Play'!$B$43,ROUNDDOWN(H464/'NM Play'!$B$12,0)+F464*'NM Play'!$B$10/'NM Play'!$B$44,(F464*'NM Play'!$B$10+ROUNDDOWN(G464/'NM Play'!$B$11,0)*'NM Play'!$B$43+ROUNDDOWN(H464/'NM Play'!$B$12,0)*'NM Play'!$B$44)/('NM Play'!$B$43+'NM Play'!$B$44)),ROUNDDOWN(G464/'NM Play'!$B$11,0)+F464*'NM Play'!$B$10/'NM Play'!$B$43)</f>
        <v/>
      </c>
      <c r="L464" s="160">
        <f>MIN(ROUNDDOWN(G464/'NM Play'!$B$11,0)+F464/('NM Play'!$B$43/'NM Play'!$B$15),ROUNDDOWN(H464/'NM Play'!$B$12,0)+F464/('NM Play'!$B$44/'NM Play'!$B$16),(F464+ROUNDDOWN(G464/'NM Play'!$B$11,0)*'NM Play'!$B$43/'NM Play'!$B$15+ROUNDDOWN(H464/'NM Play'!$B$12,0)*'NM Play'!$B$44/'NM Play'!$B$16)/('NM Play'!$B$43/'NM Play'!$B$15+'NM Play'!$B$44/'NM Play'!$B$16))</f>
        <v/>
      </c>
      <c r="M464" s="160">
        <f>F464*'NM Play'!$B$36</f>
        <v/>
      </c>
      <c r="N464" s="160">
        <f>ROUNDDOWN(MAX(0,MIN(J464,K464:M464)),0)</f>
        <v/>
      </c>
      <c r="O464" s="160">
        <f>ROUNDUP(MAX(0,N464*'NM Play'!$B$11-G464)/'NM Play'!$B$13,0)</f>
        <v/>
      </c>
      <c r="P464" s="160">
        <f>ROUNDUP(MAX(0,N464*'NM Play'!$B$12-H464)/'NM Play'!$B$14,0)</f>
        <v/>
      </c>
      <c r="Q464" s="160">
        <f>(O464+IF('Sites'!$C$6="Own sheets",P464,0))/'NM Play'!$B$10</f>
        <v/>
      </c>
      <c r="R464" s="160">
        <f>O464/'NM Play'!$B$15+P464/'NM Play'!$B$16</f>
        <v/>
      </c>
      <c r="S464" s="160">
        <f>MAX(Q464,R464,N464/'NM Play'!$B$36)</f>
        <v/>
      </c>
      <c r="T464" s="160">
        <f>Q464*'NM Play'!$B$10*'NM Play'!$B$21*(1+'NM Play'!$B$35)</f>
        <v/>
      </c>
      <c r="U464" s="160">
        <f>MAX(0,T464-I464)</f>
        <v/>
      </c>
      <c r="V464" s="160">
        <f>G464+O464*'NM Play'!$B$13-N464*'NM Play'!$B$11</f>
        <v/>
      </c>
      <c r="W464" s="160">
        <f>H464+P464*'NM Play'!$B$14-N464*'NM Play'!$B$12</f>
        <v/>
      </c>
      <c r="X464" s="160">
        <f>I464+U464-T464</f>
        <v/>
      </c>
      <c r="Y464" s="160">
        <f>MIN(N464,MAX(0,ROUNDDOWN('Sites'!$N$6*'Cases'!$E$10,0)-SUM(Y462:Y463)))</f>
        <v/>
      </c>
      <c r="Z464" s="160">
        <f>N464-Y464</f>
        <v/>
      </c>
      <c r="AA464" s="160">
        <f>U464*'NM Play'!$B$22</f>
        <v/>
      </c>
      <c r="AB464" s="160">
        <f>N464*SUM('NM Play'!$B$29:$B$31)</f>
        <v/>
      </c>
      <c r="AC464" s="160">
        <f>IF('Sites'!$C$6="Defy legs",P464*'NM Play'!$B$14/'NM Play'!$B$12*'NM Play'!$B$28,0)</f>
        <v/>
      </c>
      <c r="AD464" s="160">
        <f>Q464*'NM Play'!$B$23</f>
        <v/>
      </c>
      <c r="AE464" s="160">
        <f>S464*SUM('NM Play'!$B$26,'NM Play'!$B$33:$B$34)</f>
        <v/>
      </c>
      <c r="AF464" s="160">
        <f>IF('Sites'!$D$6="NM crew",S464*SUM('NM Play'!$B$24:$B$25),0)</f>
        <v/>
      </c>
      <c r="AG464" s="160">
        <f>IF('Sites'!$D$6="NM crew",S464*'NM Play'!$B$27,0)</f>
        <v/>
      </c>
      <c r="AH464" s="160">
        <f>N464*'Sites'!$Z$6*'NM Play'!$B$32</f>
        <v/>
      </c>
      <c r="AI464" s="160">
        <f>SUM(Y464:Z464)*'Sites'!$R$6</f>
        <v/>
      </c>
      <c r="AJ464" s="160">
        <f>SUM(AA464:AH464)</f>
        <v/>
      </c>
      <c r="AK464" s="160">
        <f>AJ464+(T464-U464)*'NM Play'!$B$22+MIN(G464,N464*'NM Play'!$B$11)/'NM Play'!$B$13*'NM Play'!$B$21*'NM Play'!$B$22+MIN(H464,N464*'NM Play'!$B$12)/'NM Play'!$B$14*IF('Sites'!$C$6="Own sheets",'NM Play'!$B$21*'NM Play'!$B$22,'NM Play'!$B$28*'NM Play'!$B$14/'NM Play'!$B$12)</f>
        <v/>
      </c>
      <c r="AL464" s="160">
        <f>Y464*'Assumptions'!AD66</f>
        <v/>
      </c>
      <c r="AM464" s="160">
        <f>IF('Sites'!$D$6="NM crew",S464*'NM Play'!$B$37*(1+IF(AND(ISNUMBER('NM Play'!$B$25),'NM Play'!$B$25&gt;0),1,0)),"")</f>
        <v/>
      </c>
      <c r="AN464" s="160">
        <f>IF(OR('Sites'!$E$6&lt;0,'Sites'!$E$6&gt;1,'Sites'!$F$6&lt;1,'Sites'!$G$6&lt;'Sites'!$F$6,F464&lt;0,MIN('Sites'!$I$6:'Sites'!$R$6)&lt;0,'Sites'!$L$6&gt;'Sites'!$I$6,'Sites'!$M$6&gt;'Sites'!$J$6,'Sites'!$N$6&gt;'Sites'!$K$6,'Sites'!$Z$6&lt;0,'Sites'!$Z$6&gt;1,MIN('Sites'!$AA$6:'Sites'!$AC$6)&lt;0,S464&gt;F464+0.001),1,0)</f>
        <v/>
      </c>
      <c r="AO464" s="160">
        <f>I464+U464-T464-X464</f>
        <v/>
      </c>
    </row>
    <row r="465" ht="28" customHeight="1">
      <c r="A465" s="4" t="inlineStr">
        <is>
          <t>Lower sales</t>
        </is>
      </c>
      <c r="B465" s="4" t="inlineStr">
        <is>
          <t>WITTA</t>
        </is>
      </c>
      <c r="C465" s="160" t="n">
        <v>28</v>
      </c>
      <c r="D465" s="160">
        <f>ROUNDUP(C465/12,0)</f>
        <v/>
      </c>
      <c r="E465" s="160">
        <f>IF(AND('Sites'!$E$6=1,C465&gt;='Sites'!$F$6,C465&lt;='Sites'!$G$6),1,0)</f>
        <v/>
      </c>
      <c r="F465" s="160">
        <f>E465*'Assumptions'!AE67</f>
        <v/>
      </c>
      <c r="G465" s="160">
        <f>V464</f>
        <v/>
      </c>
      <c r="H465" s="160">
        <f>W464</f>
        <v/>
      </c>
      <c r="I465" s="160">
        <f>X464</f>
        <v/>
      </c>
      <c r="J465" s="160">
        <f>MAX(0,'Sites'!$K$6-SUM(N462:N464))</f>
        <v/>
      </c>
      <c r="K465" s="160">
        <f>IF('Sites'!$C$6="Own sheets",MIN(ROUNDDOWN(G465/'NM Play'!$B$11,0)+F465*'NM Play'!$B$10/'NM Play'!$B$43,ROUNDDOWN(H465/'NM Play'!$B$12,0)+F465*'NM Play'!$B$10/'NM Play'!$B$44,(F465*'NM Play'!$B$10+ROUNDDOWN(G465/'NM Play'!$B$11,0)*'NM Play'!$B$43+ROUNDDOWN(H465/'NM Play'!$B$12,0)*'NM Play'!$B$44)/('NM Play'!$B$43+'NM Play'!$B$44)),ROUNDDOWN(G465/'NM Play'!$B$11,0)+F465*'NM Play'!$B$10/'NM Play'!$B$43)</f>
        <v/>
      </c>
      <c r="L465" s="160">
        <f>MIN(ROUNDDOWN(G465/'NM Play'!$B$11,0)+F465/('NM Play'!$B$43/'NM Play'!$B$15),ROUNDDOWN(H465/'NM Play'!$B$12,0)+F465/('NM Play'!$B$44/'NM Play'!$B$16),(F465+ROUNDDOWN(G465/'NM Play'!$B$11,0)*'NM Play'!$B$43/'NM Play'!$B$15+ROUNDDOWN(H465/'NM Play'!$B$12,0)*'NM Play'!$B$44/'NM Play'!$B$16)/('NM Play'!$B$43/'NM Play'!$B$15+'NM Play'!$B$44/'NM Play'!$B$16))</f>
        <v/>
      </c>
      <c r="M465" s="160">
        <f>F465*'NM Play'!$B$36</f>
        <v/>
      </c>
      <c r="N465" s="160">
        <f>ROUNDDOWN(MAX(0,MIN(J465,K465:M465)),0)</f>
        <v/>
      </c>
      <c r="O465" s="160">
        <f>ROUNDUP(MAX(0,N465*'NM Play'!$B$11-G465)/'NM Play'!$B$13,0)</f>
        <v/>
      </c>
      <c r="P465" s="160">
        <f>ROUNDUP(MAX(0,N465*'NM Play'!$B$12-H465)/'NM Play'!$B$14,0)</f>
        <v/>
      </c>
      <c r="Q465" s="160">
        <f>(O465+IF('Sites'!$C$6="Own sheets",P465,0))/'NM Play'!$B$10</f>
        <v/>
      </c>
      <c r="R465" s="160">
        <f>O465/'NM Play'!$B$15+P465/'NM Play'!$B$16</f>
        <v/>
      </c>
      <c r="S465" s="160">
        <f>MAX(Q465,R465,N465/'NM Play'!$B$36)</f>
        <v/>
      </c>
      <c r="T465" s="160">
        <f>Q465*'NM Play'!$B$10*'NM Play'!$B$21*(1+'NM Play'!$B$35)</f>
        <v/>
      </c>
      <c r="U465" s="160">
        <f>MAX(0,T465-I465)</f>
        <v/>
      </c>
      <c r="V465" s="160">
        <f>G465+O465*'NM Play'!$B$13-N465*'NM Play'!$B$11</f>
        <v/>
      </c>
      <c r="W465" s="160">
        <f>H465+P465*'NM Play'!$B$14-N465*'NM Play'!$B$12</f>
        <v/>
      </c>
      <c r="X465" s="160">
        <f>I465+U465-T465</f>
        <v/>
      </c>
      <c r="Y465" s="160">
        <f>MIN(N465,MAX(0,ROUNDDOWN('Sites'!$N$6*'Cases'!$E$10,0)-SUM(Y462:Y464)))</f>
        <v/>
      </c>
      <c r="Z465" s="160">
        <f>N465-Y465</f>
        <v/>
      </c>
      <c r="AA465" s="160">
        <f>U465*'NM Play'!$B$22</f>
        <v/>
      </c>
      <c r="AB465" s="160">
        <f>N465*SUM('NM Play'!$B$29:$B$31)</f>
        <v/>
      </c>
      <c r="AC465" s="160">
        <f>IF('Sites'!$C$6="Defy legs",P465*'NM Play'!$B$14/'NM Play'!$B$12*'NM Play'!$B$28,0)</f>
        <v/>
      </c>
      <c r="AD465" s="160">
        <f>Q465*'NM Play'!$B$23</f>
        <v/>
      </c>
      <c r="AE465" s="160">
        <f>S465*SUM('NM Play'!$B$26,'NM Play'!$B$33:$B$34)</f>
        <v/>
      </c>
      <c r="AF465" s="160">
        <f>IF('Sites'!$D$6="NM crew",S465*SUM('NM Play'!$B$24:$B$25),0)</f>
        <v/>
      </c>
      <c r="AG465" s="160">
        <f>IF('Sites'!$D$6="NM crew",S465*'NM Play'!$B$27,0)</f>
        <v/>
      </c>
      <c r="AH465" s="160">
        <f>N465*'Sites'!$Z$6*'NM Play'!$B$32</f>
        <v/>
      </c>
      <c r="AI465" s="160">
        <f>SUM(Y465:Z465)*'Sites'!$R$6</f>
        <v/>
      </c>
      <c r="AJ465" s="160">
        <f>SUM(AA465:AH465)</f>
        <v/>
      </c>
      <c r="AK465" s="160">
        <f>AJ465+(T465-U465)*'NM Play'!$B$22+MIN(G465,N465*'NM Play'!$B$11)/'NM Play'!$B$13*'NM Play'!$B$21*'NM Play'!$B$22+MIN(H465,N465*'NM Play'!$B$12)/'NM Play'!$B$14*IF('Sites'!$C$6="Own sheets",'NM Play'!$B$21*'NM Play'!$B$22,'NM Play'!$B$28*'NM Play'!$B$14/'NM Play'!$B$12)</f>
        <v/>
      </c>
      <c r="AL465" s="160">
        <f>Y465*'Assumptions'!AE66</f>
        <v/>
      </c>
      <c r="AM465" s="160">
        <f>IF('Sites'!$D$6="NM crew",S465*'NM Play'!$B$37*(1+IF(AND(ISNUMBER('NM Play'!$B$25),'NM Play'!$B$25&gt;0),1,0)),"")</f>
        <v/>
      </c>
      <c r="AN465" s="160">
        <f>IF(OR('Sites'!$E$6&lt;0,'Sites'!$E$6&gt;1,'Sites'!$F$6&lt;1,'Sites'!$G$6&lt;'Sites'!$F$6,F465&lt;0,MIN('Sites'!$I$6:'Sites'!$R$6)&lt;0,'Sites'!$L$6&gt;'Sites'!$I$6,'Sites'!$M$6&gt;'Sites'!$J$6,'Sites'!$N$6&gt;'Sites'!$K$6,'Sites'!$Z$6&lt;0,'Sites'!$Z$6&gt;1,MIN('Sites'!$AA$6:'Sites'!$AC$6)&lt;0,S465&gt;F465+0.001),1,0)</f>
        <v/>
      </c>
      <c r="AO465" s="160">
        <f>I465+U465-T465-X465</f>
        <v/>
      </c>
    </row>
    <row r="466" ht="28" customHeight="1">
      <c r="A466" s="4" t="inlineStr">
        <is>
          <t>Lower sales</t>
        </is>
      </c>
      <c r="B466" s="4" t="inlineStr">
        <is>
          <t>WITTA</t>
        </is>
      </c>
      <c r="C466" s="160" t="n">
        <v>29</v>
      </c>
      <c r="D466" s="160">
        <f>ROUNDUP(C466/12,0)</f>
        <v/>
      </c>
      <c r="E466" s="160">
        <f>IF(AND('Sites'!$E$6=1,C466&gt;='Sites'!$F$6,C466&lt;='Sites'!$G$6),1,0)</f>
        <v/>
      </c>
      <c r="F466" s="160">
        <f>E466*'Assumptions'!AF67</f>
        <v/>
      </c>
      <c r="G466" s="160">
        <f>V465</f>
        <v/>
      </c>
      <c r="H466" s="160">
        <f>W465</f>
        <v/>
      </c>
      <c r="I466" s="160">
        <f>X465</f>
        <v/>
      </c>
      <c r="J466" s="160">
        <f>MAX(0,'Sites'!$K$6-SUM(N462:N465))</f>
        <v/>
      </c>
      <c r="K466" s="160">
        <f>IF('Sites'!$C$6="Own sheets",MIN(ROUNDDOWN(G466/'NM Play'!$B$11,0)+F466*'NM Play'!$B$10/'NM Play'!$B$43,ROUNDDOWN(H466/'NM Play'!$B$12,0)+F466*'NM Play'!$B$10/'NM Play'!$B$44,(F466*'NM Play'!$B$10+ROUNDDOWN(G466/'NM Play'!$B$11,0)*'NM Play'!$B$43+ROUNDDOWN(H466/'NM Play'!$B$12,0)*'NM Play'!$B$44)/('NM Play'!$B$43+'NM Play'!$B$44)),ROUNDDOWN(G466/'NM Play'!$B$11,0)+F466*'NM Play'!$B$10/'NM Play'!$B$43)</f>
        <v/>
      </c>
      <c r="L466" s="160">
        <f>MIN(ROUNDDOWN(G466/'NM Play'!$B$11,0)+F466/('NM Play'!$B$43/'NM Play'!$B$15),ROUNDDOWN(H466/'NM Play'!$B$12,0)+F466/('NM Play'!$B$44/'NM Play'!$B$16),(F466+ROUNDDOWN(G466/'NM Play'!$B$11,0)*'NM Play'!$B$43/'NM Play'!$B$15+ROUNDDOWN(H466/'NM Play'!$B$12,0)*'NM Play'!$B$44/'NM Play'!$B$16)/('NM Play'!$B$43/'NM Play'!$B$15+'NM Play'!$B$44/'NM Play'!$B$16))</f>
        <v/>
      </c>
      <c r="M466" s="160">
        <f>F466*'NM Play'!$B$36</f>
        <v/>
      </c>
      <c r="N466" s="160">
        <f>ROUNDDOWN(MAX(0,MIN(J466,K466:M466)),0)</f>
        <v/>
      </c>
      <c r="O466" s="160">
        <f>ROUNDUP(MAX(0,N466*'NM Play'!$B$11-G466)/'NM Play'!$B$13,0)</f>
        <v/>
      </c>
      <c r="P466" s="160">
        <f>ROUNDUP(MAX(0,N466*'NM Play'!$B$12-H466)/'NM Play'!$B$14,0)</f>
        <v/>
      </c>
      <c r="Q466" s="160">
        <f>(O466+IF('Sites'!$C$6="Own sheets",P466,0))/'NM Play'!$B$10</f>
        <v/>
      </c>
      <c r="R466" s="160">
        <f>O466/'NM Play'!$B$15+P466/'NM Play'!$B$16</f>
        <v/>
      </c>
      <c r="S466" s="160">
        <f>MAX(Q466,R466,N466/'NM Play'!$B$36)</f>
        <v/>
      </c>
      <c r="T466" s="160">
        <f>Q466*'NM Play'!$B$10*'NM Play'!$B$21*(1+'NM Play'!$B$35)</f>
        <v/>
      </c>
      <c r="U466" s="160">
        <f>MAX(0,T466-I466)</f>
        <v/>
      </c>
      <c r="V466" s="160">
        <f>G466+O466*'NM Play'!$B$13-N466*'NM Play'!$B$11</f>
        <v/>
      </c>
      <c r="W466" s="160">
        <f>H466+P466*'NM Play'!$B$14-N466*'NM Play'!$B$12</f>
        <v/>
      </c>
      <c r="X466" s="160">
        <f>I466+U466-T466</f>
        <v/>
      </c>
      <c r="Y466" s="160">
        <f>MIN(N466,MAX(0,ROUNDDOWN('Sites'!$N$6*'Cases'!$E$10,0)-SUM(Y462:Y465)))</f>
        <v/>
      </c>
      <c r="Z466" s="160">
        <f>N466-Y466</f>
        <v/>
      </c>
      <c r="AA466" s="160">
        <f>U466*'NM Play'!$B$22</f>
        <v/>
      </c>
      <c r="AB466" s="160">
        <f>N466*SUM('NM Play'!$B$29:$B$31)</f>
        <v/>
      </c>
      <c r="AC466" s="160">
        <f>IF('Sites'!$C$6="Defy legs",P466*'NM Play'!$B$14/'NM Play'!$B$12*'NM Play'!$B$28,0)</f>
        <v/>
      </c>
      <c r="AD466" s="160">
        <f>Q466*'NM Play'!$B$23</f>
        <v/>
      </c>
      <c r="AE466" s="160">
        <f>S466*SUM('NM Play'!$B$26,'NM Play'!$B$33:$B$34)</f>
        <v/>
      </c>
      <c r="AF466" s="160">
        <f>IF('Sites'!$D$6="NM crew",S466*SUM('NM Play'!$B$24:$B$25),0)</f>
        <v/>
      </c>
      <c r="AG466" s="160">
        <f>IF('Sites'!$D$6="NM crew",S466*'NM Play'!$B$27,0)</f>
        <v/>
      </c>
      <c r="AH466" s="160">
        <f>N466*'Sites'!$Z$6*'NM Play'!$B$32</f>
        <v/>
      </c>
      <c r="AI466" s="160">
        <f>SUM(Y466:Z466)*'Sites'!$R$6</f>
        <v/>
      </c>
      <c r="AJ466" s="160">
        <f>SUM(AA466:AH466)</f>
        <v/>
      </c>
      <c r="AK466" s="160">
        <f>AJ466+(T466-U466)*'NM Play'!$B$22+MIN(G466,N466*'NM Play'!$B$11)/'NM Play'!$B$13*'NM Play'!$B$21*'NM Play'!$B$22+MIN(H466,N466*'NM Play'!$B$12)/'NM Play'!$B$14*IF('Sites'!$C$6="Own sheets",'NM Play'!$B$21*'NM Play'!$B$22,'NM Play'!$B$28*'NM Play'!$B$14/'NM Play'!$B$12)</f>
        <v/>
      </c>
      <c r="AL466" s="160">
        <f>Y466*'Assumptions'!AF66</f>
        <v/>
      </c>
      <c r="AM466" s="160">
        <f>IF('Sites'!$D$6="NM crew",S466*'NM Play'!$B$37*(1+IF(AND(ISNUMBER('NM Play'!$B$25),'NM Play'!$B$25&gt;0),1,0)),"")</f>
        <v/>
      </c>
      <c r="AN466" s="160">
        <f>IF(OR('Sites'!$E$6&lt;0,'Sites'!$E$6&gt;1,'Sites'!$F$6&lt;1,'Sites'!$G$6&lt;'Sites'!$F$6,F466&lt;0,MIN('Sites'!$I$6:'Sites'!$R$6)&lt;0,'Sites'!$L$6&gt;'Sites'!$I$6,'Sites'!$M$6&gt;'Sites'!$J$6,'Sites'!$N$6&gt;'Sites'!$K$6,'Sites'!$Z$6&lt;0,'Sites'!$Z$6&gt;1,MIN('Sites'!$AA$6:'Sites'!$AC$6)&lt;0,S466&gt;F466+0.001),1,0)</f>
        <v/>
      </c>
      <c r="AO466" s="160">
        <f>I466+U466-T466-X466</f>
        <v/>
      </c>
    </row>
    <row r="467" ht="28" customHeight="1">
      <c r="A467" s="4" t="inlineStr">
        <is>
          <t>Lower sales</t>
        </is>
      </c>
      <c r="B467" s="4" t="inlineStr">
        <is>
          <t>WITTA</t>
        </is>
      </c>
      <c r="C467" s="160" t="n">
        <v>30</v>
      </c>
      <c r="D467" s="160">
        <f>ROUNDUP(C467/12,0)</f>
        <v/>
      </c>
      <c r="E467" s="160">
        <f>IF(AND('Sites'!$E$6=1,C467&gt;='Sites'!$F$6,C467&lt;='Sites'!$G$6),1,0)</f>
        <v/>
      </c>
      <c r="F467" s="160">
        <f>E467*'Assumptions'!AG67</f>
        <v/>
      </c>
      <c r="G467" s="160">
        <f>V466</f>
        <v/>
      </c>
      <c r="H467" s="160">
        <f>W466</f>
        <v/>
      </c>
      <c r="I467" s="160">
        <f>X466</f>
        <v/>
      </c>
      <c r="J467" s="160">
        <f>MAX(0,'Sites'!$K$6-SUM(N462:N466))</f>
        <v/>
      </c>
      <c r="K467" s="160">
        <f>IF('Sites'!$C$6="Own sheets",MIN(ROUNDDOWN(G467/'NM Play'!$B$11,0)+F467*'NM Play'!$B$10/'NM Play'!$B$43,ROUNDDOWN(H467/'NM Play'!$B$12,0)+F467*'NM Play'!$B$10/'NM Play'!$B$44,(F467*'NM Play'!$B$10+ROUNDDOWN(G467/'NM Play'!$B$11,0)*'NM Play'!$B$43+ROUNDDOWN(H467/'NM Play'!$B$12,0)*'NM Play'!$B$44)/('NM Play'!$B$43+'NM Play'!$B$44)),ROUNDDOWN(G467/'NM Play'!$B$11,0)+F467*'NM Play'!$B$10/'NM Play'!$B$43)</f>
        <v/>
      </c>
      <c r="L467" s="160">
        <f>MIN(ROUNDDOWN(G467/'NM Play'!$B$11,0)+F467/('NM Play'!$B$43/'NM Play'!$B$15),ROUNDDOWN(H467/'NM Play'!$B$12,0)+F467/('NM Play'!$B$44/'NM Play'!$B$16),(F467+ROUNDDOWN(G467/'NM Play'!$B$11,0)*'NM Play'!$B$43/'NM Play'!$B$15+ROUNDDOWN(H467/'NM Play'!$B$12,0)*'NM Play'!$B$44/'NM Play'!$B$16)/('NM Play'!$B$43/'NM Play'!$B$15+'NM Play'!$B$44/'NM Play'!$B$16))</f>
        <v/>
      </c>
      <c r="M467" s="160">
        <f>F467*'NM Play'!$B$36</f>
        <v/>
      </c>
      <c r="N467" s="160">
        <f>ROUNDDOWN(MAX(0,MIN(J467,K467:M467)),0)</f>
        <v/>
      </c>
      <c r="O467" s="160">
        <f>ROUNDUP(MAX(0,N467*'NM Play'!$B$11-G467)/'NM Play'!$B$13,0)</f>
        <v/>
      </c>
      <c r="P467" s="160">
        <f>ROUNDUP(MAX(0,N467*'NM Play'!$B$12-H467)/'NM Play'!$B$14,0)</f>
        <v/>
      </c>
      <c r="Q467" s="160">
        <f>(O467+IF('Sites'!$C$6="Own sheets",P467,0))/'NM Play'!$B$10</f>
        <v/>
      </c>
      <c r="R467" s="160">
        <f>O467/'NM Play'!$B$15+P467/'NM Play'!$B$16</f>
        <v/>
      </c>
      <c r="S467" s="160">
        <f>MAX(Q467,R467,N467/'NM Play'!$B$36)</f>
        <v/>
      </c>
      <c r="T467" s="160">
        <f>Q467*'NM Play'!$B$10*'NM Play'!$B$21*(1+'NM Play'!$B$35)</f>
        <v/>
      </c>
      <c r="U467" s="160">
        <f>MAX(0,T467-I467)</f>
        <v/>
      </c>
      <c r="V467" s="160">
        <f>G467+O467*'NM Play'!$B$13-N467*'NM Play'!$B$11</f>
        <v/>
      </c>
      <c r="W467" s="160">
        <f>H467+P467*'NM Play'!$B$14-N467*'NM Play'!$B$12</f>
        <v/>
      </c>
      <c r="X467" s="160">
        <f>I467+U467-T467</f>
        <v/>
      </c>
      <c r="Y467" s="160">
        <f>MIN(N467,MAX(0,ROUNDDOWN('Sites'!$N$6*'Cases'!$E$10,0)-SUM(Y462:Y466)))</f>
        <v/>
      </c>
      <c r="Z467" s="160">
        <f>N467-Y467</f>
        <v/>
      </c>
      <c r="AA467" s="160">
        <f>U467*'NM Play'!$B$22</f>
        <v/>
      </c>
      <c r="AB467" s="160">
        <f>N467*SUM('NM Play'!$B$29:$B$31)</f>
        <v/>
      </c>
      <c r="AC467" s="160">
        <f>IF('Sites'!$C$6="Defy legs",P467*'NM Play'!$B$14/'NM Play'!$B$12*'NM Play'!$B$28,0)</f>
        <v/>
      </c>
      <c r="AD467" s="160">
        <f>Q467*'NM Play'!$B$23</f>
        <v/>
      </c>
      <c r="AE467" s="160">
        <f>S467*SUM('NM Play'!$B$26,'NM Play'!$B$33:$B$34)</f>
        <v/>
      </c>
      <c r="AF467" s="160">
        <f>IF('Sites'!$D$6="NM crew",S467*SUM('NM Play'!$B$24:$B$25),0)</f>
        <v/>
      </c>
      <c r="AG467" s="160">
        <f>IF('Sites'!$D$6="NM crew",S467*'NM Play'!$B$27,0)</f>
        <v/>
      </c>
      <c r="AH467" s="160">
        <f>N467*'Sites'!$Z$6*'NM Play'!$B$32</f>
        <v/>
      </c>
      <c r="AI467" s="160">
        <f>SUM(Y467:Z467)*'Sites'!$R$6</f>
        <v/>
      </c>
      <c r="AJ467" s="160">
        <f>SUM(AA467:AH467)</f>
        <v/>
      </c>
      <c r="AK467" s="160">
        <f>AJ467+(T467-U467)*'NM Play'!$B$22+MIN(G467,N467*'NM Play'!$B$11)/'NM Play'!$B$13*'NM Play'!$B$21*'NM Play'!$B$22+MIN(H467,N467*'NM Play'!$B$12)/'NM Play'!$B$14*IF('Sites'!$C$6="Own sheets",'NM Play'!$B$21*'NM Play'!$B$22,'NM Play'!$B$28*'NM Play'!$B$14/'NM Play'!$B$12)</f>
        <v/>
      </c>
      <c r="AL467" s="160">
        <f>Y467*'Assumptions'!AG66</f>
        <v/>
      </c>
      <c r="AM467" s="160">
        <f>IF('Sites'!$D$6="NM crew",S467*'NM Play'!$B$37*(1+IF(AND(ISNUMBER('NM Play'!$B$25),'NM Play'!$B$25&gt;0),1,0)),"")</f>
        <v/>
      </c>
      <c r="AN467" s="160">
        <f>IF(OR('Sites'!$E$6&lt;0,'Sites'!$E$6&gt;1,'Sites'!$F$6&lt;1,'Sites'!$G$6&lt;'Sites'!$F$6,F467&lt;0,MIN('Sites'!$I$6:'Sites'!$R$6)&lt;0,'Sites'!$L$6&gt;'Sites'!$I$6,'Sites'!$M$6&gt;'Sites'!$J$6,'Sites'!$N$6&gt;'Sites'!$K$6,'Sites'!$Z$6&lt;0,'Sites'!$Z$6&gt;1,MIN('Sites'!$AA$6:'Sites'!$AC$6)&lt;0,S467&gt;F467+0.001),1,0)</f>
        <v/>
      </c>
      <c r="AO467" s="160">
        <f>I467+U467-T467-X467</f>
        <v/>
      </c>
    </row>
    <row r="468" ht="28" customHeight="1">
      <c r="A468" s="4" t="inlineStr">
        <is>
          <t>Lower sales</t>
        </is>
      </c>
      <c r="B468" s="4" t="inlineStr">
        <is>
          <t>WITTA</t>
        </is>
      </c>
      <c r="C468" s="160" t="n">
        <v>31</v>
      </c>
      <c r="D468" s="160">
        <f>ROUNDUP(C468/12,0)</f>
        <v/>
      </c>
      <c r="E468" s="160">
        <f>IF(AND('Sites'!$E$6=1,C468&gt;='Sites'!$F$6,C468&lt;='Sites'!$G$6),1,0)</f>
        <v/>
      </c>
      <c r="F468" s="160">
        <f>E468*'Assumptions'!AH67</f>
        <v/>
      </c>
      <c r="G468" s="160">
        <f>V467</f>
        <v/>
      </c>
      <c r="H468" s="160">
        <f>W467</f>
        <v/>
      </c>
      <c r="I468" s="160">
        <f>X467</f>
        <v/>
      </c>
      <c r="J468" s="160">
        <f>MAX(0,'Sites'!$K$6-SUM(N462:N467))</f>
        <v/>
      </c>
      <c r="K468" s="160">
        <f>IF('Sites'!$C$6="Own sheets",MIN(ROUNDDOWN(G468/'NM Play'!$B$11,0)+F468*'NM Play'!$B$10/'NM Play'!$B$43,ROUNDDOWN(H468/'NM Play'!$B$12,0)+F468*'NM Play'!$B$10/'NM Play'!$B$44,(F468*'NM Play'!$B$10+ROUNDDOWN(G468/'NM Play'!$B$11,0)*'NM Play'!$B$43+ROUNDDOWN(H468/'NM Play'!$B$12,0)*'NM Play'!$B$44)/('NM Play'!$B$43+'NM Play'!$B$44)),ROUNDDOWN(G468/'NM Play'!$B$11,0)+F468*'NM Play'!$B$10/'NM Play'!$B$43)</f>
        <v/>
      </c>
      <c r="L468" s="160">
        <f>MIN(ROUNDDOWN(G468/'NM Play'!$B$11,0)+F468/('NM Play'!$B$43/'NM Play'!$B$15),ROUNDDOWN(H468/'NM Play'!$B$12,0)+F468/('NM Play'!$B$44/'NM Play'!$B$16),(F468+ROUNDDOWN(G468/'NM Play'!$B$11,0)*'NM Play'!$B$43/'NM Play'!$B$15+ROUNDDOWN(H468/'NM Play'!$B$12,0)*'NM Play'!$B$44/'NM Play'!$B$16)/('NM Play'!$B$43/'NM Play'!$B$15+'NM Play'!$B$44/'NM Play'!$B$16))</f>
        <v/>
      </c>
      <c r="M468" s="160">
        <f>F468*'NM Play'!$B$36</f>
        <v/>
      </c>
      <c r="N468" s="160">
        <f>ROUNDDOWN(MAX(0,MIN(J468,K468:M468)),0)</f>
        <v/>
      </c>
      <c r="O468" s="160">
        <f>ROUNDUP(MAX(0,N468*'NM Play'!$B$11-G468)/'NM Play'!$B$13,0)</f>
        <v/>
      </c>
      <c r="P468" s="160">
        <f>ROUNDUP(MAX(0,N468*'NM Play'!$B$12-H468)/'NM Play'!$B$14,0)</f>
        <v/>
      </c>
      <c r="Q468" s="160">
        <f>(O468+IF('Sites'!$C$6="Own sheets",P468,0))/'NM Play'!$B$10</f>
        <v/>
      </c>
      <c r="R468" s="160">
        <f>O468/'NM Play'!$B$15+P468/'NM Play'!$B$16</f>
        <v/>
      </c>
      <c r="S468" s="160">
        <f>MAX(Q468,R468,N468/'NM Play'!$B$36)</f>
        <v/>
      </c>
      <c r="T468" s="160">
        <f>Q468*'NM Play'!$B$10*'NM Play'!$B$21*(1+'NM Play'!$B$35)</f>
        <v/>
      </c>
      <c r="U468" s="160">
        <f>MAX(0,T468-I468)</f>
        <v/>
      </c>
      <c r="V468" s="160">
        <f>G468+O468*'NM Play'!$B$13-N468*'NM Play'!$B$11</f>
        <v/>
      </c>
      <c r="W468" s="160">
        <f>H468+P468*'NM Play'!$B$14-N468*'NM Play'!$B$12</f>
        <v/>
      </c>
      <c r="X468" s="160">
        <f>I468+U468-T468</f>
        <v/>
      </c>
      <c r="Y468" s="160">
        <f>MIN(N468,MAX(0,ROUNDDOWN('Sites'!$N$6*'Cases'!$E$10,0)-SUM(Y462:Y467)))</f>
        <v/>
      </c>
      <c r="Z468" s="160">
        <f>N468-Y468</f>
        <v/>
      </c>
      <c r="AA468" s="160">
        <f>U468*'NM Play'!$B$22</f>
        <v/>
      </c>
      <c r="AB468" s="160">
        <f>N468*SUM('NM Play'!$B$29:$B$31)</f>
        <v/>
      </c>
      <c r="AC468" s="160">
        <f>IF('Sites'!$C$6="Defy legs",P468*'NM Play'!$B$14/'NM Play'!$B$12*'NM Play'!$B$28,0)</f>
        <v/>
      </c>
      <c r="AD468" s="160">
        <f>Q468*'NM Play'!$B$23</f>
        <v/>
      </c>
      <c r="AE468" s="160">
        <f>S468*SUM('NM Play'!$B$26,'NM Play'!$B$33:$B$34)</f>
        <v/>
      </c>
      <c r="AF468" s="160">
        <f>IF('Sites'!$D$6="NM crew",S468*SUM('NM Play'!$B$24:$B$25),0)</f>
        <v/>
      </c>
      <c r="AG468" s="160">
        <f>IF('Sites'!$D$6="NM crew",S468*'NM Play'!$B$27,0)</f>
        <v/>
      </c>
      <c r="AH468" s="160">
        <f>N468*'Sites'!$Z$6*'NM Play'!$B$32</f>
        <v/>
      </c>
      <c r="AI468" s="160">
        <f>SUM(Y468:Z468)*'Sites'!$R$6</f>
        <v/>
      </c>
      <c r="AJ468" s="160">
        <f>SUM(AA468:AH468)</f>
        <v/>
      </c>
      <c r="AK468" s="160">
        <f>AJ468+(T468-U468)*'NM Play'!$B$22+MIN(G468,N468*'NM Play'!$B$11)/'NM Play'!$B$13*'NM Play'!$B$21*'NM Play'!$B$22+MIN(H468,N468*'NM Play'!$B$12)/'NM Play'!$B$14*IF('Sites'!$C$6="Own sheets",'NM Play'!$B$21*'NM Play'!$B$22,'NM Play'!$B$28*'NM Play'!$B$14/'NM Play'!$B$12)</f>
        <v/>
      </c>
      <c r="AL468" s="160">
        <f>Y468*'Assumptions'!AH66</f>
        <v/>
      </c>
      <c r="AM468" s="160">
        <f>IF('Sites'!$D$6="NM crew",S468*'NM Play'!$B$37*(1+IF(AND(ISNUMBER('NM Play'!$B$25),'NM Play'!$B$25&gt;0),1,0)),"")</f>
        <v/>
      </c>
      <c r="AN468" s="160">
        <f>IF(OR('Sites'!$E$6&lt;0,'Sites'!$E$6&gt;1,'Sites'!$F$6&lt;1,'Sites'!$G$6&lt;'Sites'!$F$6,F468&lt;0,MIN('Sites'!$I$6:'Sites'!$R$6)&lt;0,'Sites'!$L$6&gt;'Sites'!$I$6,'Sites'!$M$6&gt;'Sites'!$J$6,'Sites'!$N$6&gt;'Sites'!$K$6,'Sites'!$Z$6&lt;0,'Sites'!$Z$6&gt;1,MIN('Sites'!$AA$6:'Sites'!$AC$6)&lt;0,S468&gt;F468+0.001),1,0)</f>
        <v/>
      </c>
      <c r="AO468" s="160">
        <f>I468+U468-T468-X468</f>
        <v/>
      </c>
    </row>
    <row r="469" ht="28" customHeight="1">
      <c r="A469" s="4" t="inlineStr">
        <is>
          <t>Lower sales</t>
        </is>
      </c>
      <c r="B469" s="4" t="inlineStr">
        <is>
          <t>WITTA</t>
        </is>
      </c>
      <c r="C469" s="160" t="n">
        <v>32</v>
      </c>
      <c r="D469" s="160">
        <f>ROUNDUP(C469/12,0)</f>
        <v/>
      </c>
      <c r="E469" s="160">
        <f>IF(AND('Sites'!$E$6=1,C469&gt;='Sites'!$F$6,C469&lt;='Sites'!$G$6),1,0)</f>
        <v/>
      </c>
      <c r="F469" s="160">
        <f>E469*'Assumptions'!AI67</f>
        <v/>
      </c>
      <c r="G469" s="160">
        <f>V468</f>
        <v/>
      </c>
      <c r="H469" s="160">
        <f>W468</f>
        <v/>
      </c>
      <c r="I469" s="160">
        <f>X468</f>
        <v/>
      </c>
      <c r="J469" s="160">
        <f>MAX(0,'Sites'!$K$6-SUM(N462:N468))</f>
        <v/>
      </c>
      <c r="K469" s="160">
        <f>IF('Sites'!$C$6="Own sheets",MIN(ROUNDDOWN(G469/'NM Play'!$B$11,0)+F469*'NM Play'!$B$10/'NM Play'!$B$43,ROUNDDOWN(H469/'NM Play'!$B$12,0)+F469*'NM Play'!$B$10/'NM Play'!$B$44,(F469*'NM Play'!$B$10+ROUNDDOWN(G469/'NM Play'!$B$11,0)*'NM Play'!$B$43+ROUNDDOWN(H469/'NM Play'!$B$12,0)*'NM Play'!$B$44)/('NM Play'!$B$43+'NM Play'!$B$44)),ROUNDDOWN(G469/'NM Play'!$B$11,0)+F469*'NM Play'!$B$10/'NM Play'!$B$43)</f>
        <v/>
      </c>
      <c r="L469" s="160">
        <f>MIN(ROUNDDOWN(G469/'NM Play'!$B$11,0)+F469/('NM Play'!$B$43/'NM Play'!$B$15),ROUNDDOWN(H469/'NM Play'!$B$12,0)+F469/('NM Play'!$B$44/'NM Play'!$B$16),(F469+ROUNDDOWN(G469/'NM Play'!$B$11,0)*'NM Play'!$B$43/'NM Play'!$B$15+ROUNDDOWN(H469/'NM Play'!$B$12,0)*'NM Play'!$B$44/'NM Play'!$B$16)/('NM Play'!$B$43/'NM Play'!$B$15+'NM Play'!$B$44/'NM Play'!$B$16))</f>
        <v/>
      </c>
      <c r="M469" s="160">
        <f>F469*'NM Play'!$B$36</f>
        <v/>
      </c>
      <c r="N469" s="160">
        <f>ROUNDDOWN(MAX(0,MIN(J469,K469:M469)),0)</f>
        <v/>
      </c>
      <c r="O469" s="160">
        <f>ROUNDUP(MAX(0,N469*'NM Play'!$B$11-G469)/'NM Play'!$B$13,0)</f>
        <v/>
      </c>
      <c r="P469" s="160">
        <f>ROUNDUP(MAX(0,N469*'NM Play'!$B$12-H469)/'NM Play'!$B$14,0)</f>
        <v/>
      </c>
      <c r="Q469" s="160">
        <f>(O469+IF('Sites'!$C$6="Own sheets",P469,0))/'NM Play'!$B$10</f>
        <v/>
      </c>
      <c r="R469" s="160">
        <f>O469/'NM Play'!$B$15+P469/'NM Play'!$B$16</f>
        <v/>
      </c>
      <c r="S469" s="160">
        <f>MAX(Q469,R469,N469/'NM Play'!$B$36)</f>
        <v/>
      </c>
      <c r="T469" s="160">
        <f>Q469*'NM Play'!$B$10*'NM Play'!$B$21*(1+'NM Play'!$B$35)</f>
        <v/>
      </c>
      <c r="U469" s="160">
        <f>MAX(0,T469-I469)</f>
        <v/>
      </c>
      <c r="V469" s="160">
        <f>G469+O469*'NM Play'!$B$13-N469*'NM Play'!$B$11</f>
        <v/>
      </c>
      <c r="W469" s="160">
        <f>H469+P469*'NM Play'!$B$14-N469*'NM Play'!$B$12</f>
        <v/>
      </c>
      <c r="X469" s="160">
        <f>I469+U469-T469</f>
        <v/>
      </c>
      <c r="Y469" s="160">
        <f>MIN(N469,MAX(0,ROUNDDOWN('Sites'!$N$6*'Cases'!$E$10,0)-SUM(Y462:Y468)))</f>
        <v/>
      </c>
      <c r="Z469" s="160">
        <f>N469-Y469</f>
        <v/>
      </c>
      <c r="AA469" s="160">
        <f>U469*'NM Play'!$B$22</f>
        <v/>
      </c>
      <c r="AB469" s="160">
        <f>N469*SUM('NM Play'!$B$29:$B$31)</f>
        <v/>
      </c>
      <c r="AC469" s="160">
        <f>IF('Sites'!$C$6="Defy legs",P469*'NM Play'!$B$14/'NM Play'!$B$12*'NM Play'!$B$28,0)</f>
        <v/>
      </c>
      <c r="AD469" s="160">
        <f>Q469*'NM Play'!$B$23</f>
        <v/>
      </c>
      <c r="AE469" s="160">
        <f>S469*SUM('NM Play'!$B$26,'NM Play'!$B$33:$B$34)</f>
        <v/>
      </c>
      <c r="AF469" s="160">
        <f>IF('Sites'!$D$6="NM crew",S469*SUM('NM Play'!$B$24:$B$25),0)</f>
        <v/>
      </c>
      <c r="AG469" s="160">
        <f>IF('Sites'!$D$6="NM crew",S469*'NM Play'!$B$27,0)</f>
        <v/>
      </c>
      <c r="AH469" s="160">
        <f>N469*'Sites'!$Z$6*'NM Play'!$B$32</f>
        <v/>
      </c>
      <c r="AI469" s="160">
        <f>SUM(Y469:Z469)*'Sites'!$R$6</f>
        <v/>
      </c>
      <c r="AJ469" s="160">
        <f>SUM(AA469:AH469)</f>
        <v/>
      </c>
      <c r="AK469" s="160">
        <f>AJ469+(T469-U469)*'NM Play'!$B$22+MIN(G469,N469*'NM Play'!$B$11)/'NM Play'!$B$13*'NM Play'!$B$21*'NM Play'!$B$22+MIN(H469,N469*'NM Play'!$B$12)/'NM Play'!$B$14*IF('Sites'!$C$6="Own sheets",'NM Play'!$B$21*'NM Play'!$B$22,'NM Play'!$B$28*'NM Play'!$B$14/'NM Play'!$B$12)</f>
        <v/>
      </c>
      <c r="AL469" s="160">
        <f>Y469*'Assumptions'!AI66</f>
        <v/>
      </c>
      <c r="AM469" s="160">
        <f>IF('Sites'!$D$6="NM crew",S469*'NM Play'!$B$37*(1+IF(AND(ISNUMBER('NM Play'!$B$25),'NM Play'!$B$25&gt;0),1,0)),"")</f>
        <v/>
      </c>
      <c r="AN469" s="160">
        <f>IF(OR('Sites'!$E$6&lt;0,'Sites'!$E$6&gt;1,'Sites'!$F$6&lt;1,'Sites'!$G$6&lt;'Sites'!$F$6,F469&lt;0,MIN('Sites'!$I$6:'Sites'!$R$6)&lt;0,'Sites'!$L$6&gt;'Sites'!$I$6,'Sites'!$M$6&gt;'Sites'!$J$6,'Sites'!$N$6&gt;'Sites'!$K$6,'Sites'!$Z$6&lt;0,'Sites'!$Z$6&gt;1,MIN('Sites'!$AA$6:'Sites'!$AC$6)&lt;0,S469&gt;F469+0.001),1,0)</f>
        <v/>
      </c>
      <c r="AO469" s="160">
        <f>I469+U469-T469-X469</f>
        <v/>
      </c>
    </row>
    <row r="470" ht="28" customHeight="1">
      <c r="A470" s="4" t="inlineStr">
        <is>
          <t>Lower sales</t>
        </is>
      </c>
      <c r="B470" s="4" t="inlineStr">
        <is>
          <t>WITTA</t>
        </is>
      </c>
      <c r="C470" s="160" t="n">
        <v>33</v>
      </c>
      <c r="D470" s="160">
        <f>ROUNDUP(C470/12,0)</f>
        <v/>
      </c>
      <c r="E470" s="160">
        <f>IF(AND('Sites'!$E$6=1,C470&gt;='Sites'!$F$6,C470&lt;='Sites'!$G$6),1,0)</f>
        <v/>
      </c>
      <c r="F470" s="160">
        <f>E470*'Assumptions'!AJ67</f>
        <v/>
      </c>
      <c r="G470" s="160">
        <f>V469</f>
        <v/>
      </c>
      <c r="H470" s="160">
        <f>W469</f>
        <v/>
      </c>
      <c r="I470" s="160">
        <f>X469</f>
        <v/>
      </c>
      <c r="J470" s="160">
        <f>MAX(0,'Sites'!$K$6-SUM(N462:N469))</f>
        <v/>
      </c>
      <c r="K470" s="160">
        <f>IF('Sites'!$C$6="Own sheets",MIN(ROUNDDOWN(G470/'NM Play'!$B$11,0)+F470*'NM Play'!$B$10/'NM Play'!$B$43,ROUNDDOWN(H470/'NM Play'!$B$12,0)+F470*'NM Play'!$B$10/'NM Play'!$B$44,(F470*'NM Play'!$B$10+ROUNDDOWN(G470/'NM Play'!$B$11,0)*'NM Play'!$B$43+ROUNDDOWN(H470/'NM Play'!$B$12,0)*'NM Play'!$B$44)/('NM Play'!$B$43+'NM Play'!$B$44)),ROUNDDOWN(G470/'NM Play'!$B$11,0)+F470*'NM Play'!$B$10/'NM Play'!$B$43)</f>
        <v/>
      </c>
      <c r="L470" s="160">
        <f>MIN(ROUNDDOWN(G470/'NM Play'!$B$11,0)+F470/('NM Play'!$B$43/'NM Play'!$B$15),ROUNDDOWN(H470/'NM Play'!$B$12,0)+F470/('NM Play'!$B$44/'NM Play'!$B$16),(F470+ROUNDDOWN(G470/'NM Play'!$B$11,0)*'NM Play'!$B$43/'NM Play'!$B$15+ROUNDDOWN(H470/'NM Play'!$B$12,0)*'NM Play'!$B$44/'NM Play'!$B$16)/('NM Play'!$B$43/'NM Play'!$B$15+'NM Play'!$B$44/'NM Play'!$B$16))</f>
        <v/>
      </c>
      <c r="M470" s="160">
        <f>F470*'NM Play'!$B$36</f>
        <v/>
      </c>
      <c r="N470" s="160">
        <f>ROUNDDOWN(MAX(0,MIN(J470,K470:M470)),0)</f>
        <v/>
      </c>
      <c r="O470" s="160">
        <f>ROUNDUP(MAX(0,N470*'NM Play'!$B$11-G470)/'NM Play'!$B$13,0)</f>
        <v/>
      </c>
      <c r="P470" s="160">
        <f>ROUNDUP(MAX(0,N470*'NM Play'!$B$12-H470)/'NM Play'!$B$14,0)</f>
        <v/>
      </c>
      <c r="Q470" s="160">
        <f>(O470+IF('Sites'!$C$6="Own sheets",P470,0))/'NM Play'!$B$10</f>
        <v/>
      </c>
      <c r="R470" s="160">
        <f>O470/'NM Play'!$B$15+P470/'NM Play'!$B$16</f>
        <v/>
      </c>
      <c r="S470" s="160">
        <f>MAX(Q470,R470,N470/'NM Play'!$B$36)</f>
        <v/>
      </c>
      <c r="T470" s="160">
        <f>Q470*'NM Play'!$B$10*'NM Play'!$B$21*(1+'NM Play'!$B$35)</f>
        <v/>
      </c>
      <c r="U470" s="160">
        <f>MAX(0,T470-I470)</f>
        <v/>
      </c>
      <c r="V470" s="160">
        <f>G470+O470*'NM Play'!$B$13-N470*'NM Play'!$B$11</f>
        <v/>
      </c>
      <c r="W470" s="160">
        <f>H470+P470*'NM Play'!$B$14-N470*'NM Play'!$B$12</f>
        <v/>
      </c>
      <c r="X470" s="160">
        <f>I470+U470-T470</f>
        <v/>
      </c>
      <c r="Y470" s="160">
        <f>MIN(N470,MAX(0,ROUNDDOWN('Sites'!$N$6*'Cases'!$E$10,0)-SUM(Y462:Y469)))</f>
        <v/>
      </c>
      <c r="Z470" s="160">
        <f>N470-Y470</f>
        <v/>
      </c>
      <c r="AA470" s="160">
        <f>U470*'NM Play'!$B$22</f>
        <v/>
      </c>
      <c r="AB470" s="160">
        <f>N470*SUM('NM Play'!$B$29:$B$31)</f>
        <v/>
      </c>
      <c r="AC470" s="160">
        <f>IF('Sites'!$C$6="Defy legs",P470*'NM Play'!$B$14/'NM Play'!$B$12*'NM Play'!$B$28,0)</f>
        <v/>
      </c>
      <c r="AD470" s="160">
        <f>Q470*'NM Play'!$B$23</f>
        <v/>
      </c>
      <c r="AE470" s="160">
        <f>S470*SUM('NM Play'!$B$26,'NM Play'!$B$33:$B$34)</f>
        <v/>
      </c>
      <c r="AF470" s="160">
        <f>IF('Sites'!$D$6="NM crew",S470*SUM('NM Play'!$B$24:$B$25),0)</f>
        <v/>
      </c>
      <c r="AG470" s="160">
        <f>IF('Sites'!$D$6="NM crew",S470*'NM Play'!$B$27,0)</f>
        <v/>
      </c>
      <c r="AH470" s="160">
        <f>N470*'Sites'!$Z$6*'NM Play'!$B$32</f>
        <v/>
      </c>
      <c r="AI470" s="160">
        <f>SUM(Y470:Z470)*'Sites'!$R$6</f>
        <v/>
      </c>
      <c r="AJ470" s="160">
        <f>SUM(AA470:AH470)</f>
        <v/>
      </c>
      <c r="AK470" s="160">
        <f>AJ470+(T470-U470)*'NM Play'!$B$22+MIN(G470,N470*'NM Play'!$B$11)/'NM Play'!$B$13*'NM Play'!$B$21*'NM Play'!$B$22+MIN(H470,N470*'NM Play'!$B$12)/'NM Play'!$B$14*IF('Sites'!$C$6="Own sheets",'NM Play'!$B$21*'NM Play'!$B$22,'NM Play'!$B$28*'NM Play'!$B$14/'NM Play'!$B$12)</f>
        <v/>
      </c>
      <c r="AL470" s="160">
        <f>Y470*'Assumptions'!AJ66</f>
        <v/>
      </c>
      <c r="AM470" s="160">
        <f>IF('Sites'!$D$6="NM crew",S470*'NM Play'!$B$37*(1+IF(AND(ISNUMBER('NM Play'!$B$25),'NM Play'!$B$25&gt;0),1,0)),"")</f>
        <v/>
      </c>
      <c r="AN470" s="160">
        <f>IF(OR('Sites'!$E$6&lt;0,'Sites'!$E$6&gt;1,'Sites'!$F$6&lt;1,'Sites'!$G$6&lt;'Sites'!$F$6,F470&lt;0,MIN('Sites'!$I$6:'Sites'!$R$6)&lt;0,'Sites'!$L$6&gt;'Sites'!$I$6,'Sites'!$M$6&gt;'Sites'!$J$6,'Sites'!$N$6&gt;'Sites'!$K$6,'Sites'!$Z$6&lt;0,'Sites'!$Z$6&gt;1,MIN('Sites'!$AA$6:'Sites'!$AC$6)&lt;0,S470&gt;F470+0.001),1,0)</f>
        <v/>
      </c>
      <c r="AO470" s="160">
        <f>I470+U470-T470-X470</f>
        <v/>
      </c>
    </row>
    <row r="471" ht="28" customHeight="1">
      <c r="A471" s="4" t="inlineStr">
        <is>
          <t>Lower sales</t>
        </is>
      </c>
      <c r="B471" s="4" t="inlineStr">
        <is>
          <t>WITTA</t>
        </is>
      </c>
      <c r="C471" s="160" t="n">
        <v>34</v>
      </c>
      <c r="D471" s="160">
        <f>ROUNDUP(C471/12,0)</f>
        <v/>
      </c>
      <c r="E471" s="160">
        <f>IF(AND('Sites'!$E$6=1,C471&gt;='Sites'!$F$6,C471&lt;='Sites'!$G$6),1,0)</f>
        <v/>
      </c>
      <c r="F471" s="160">
        <f>E471*'Assumptions'!AK67</f>
        <v/>
      </c>
      <c r="G471" s="160">
        <f>V470</f>
        <v/>
      </c>
      <c r="H471" s="160">
        <f>W470</f>
        <v/>
      </c>
      <c r="I471" s="160">
        <f>X470</f>
        <v/>
      </c>
      <c r="J471" s="160">
        <f>MAX(0,'Sites'!$K$6-SUM(N462:N470))</f>
        <v/>
      </c>
      <c r="K471" s="160">
        <f>IF('Sites'!$C$6="Own sheets",MIN(ROUNDDOWN(G471/'NM Play'!$B$11,0)+F471*'NM Play'!$B$10/'NM Play'!$B$43,ROUNDDOWN(H471/'NM Play'!$B$12,0)+F471*'NM Play'!$B$10/'NM Play'!$B$44,(F471*'NM Play'!$B$10+ROUNDDOWN(G471/'NM Play'!$B$11,0)*'NM Play'!$B$43+ROUNDDOWN(H471/'NM Play'!$B$12,0)*'NM Play'!$B$44)/('NM Play'!$B$43+'NM Play'!$B$44)),ROUNDDOWN(G471/'NM Play'!$B$11,0)+F471*'NM Play'!$B$10/'NM Play'!$B$43)</f>
        <v/>
      </c>
      <c r="L471" s="160">
        <f>MIN(ROUNDDOWN(G471/'NM Play'!$B$11,0)+F471/('NM Play'!$B$43/'NM Play'!$B$15),ROUNDDOWN(H471/'NM Play'!$B$12,0)+F471/('NM Play'!$B$44/'NM Play'!$B$16),(F471+ROUNDDOWN(G471/'NM Play'!$B$11,0)*'NM Play'!$B$43/'NM Play'!$B$15+ROUNDDOWN(H471/'NM Play'!$B$12,0)*'NM Play'!$B$44/'NM Play'!$B$16)/('NM Play'!$B$43/'NM Play'!$B$15+'NM Play'!$B$44/'NM Play'!$B$16))</f>
        <v/>
      </c>
      <c r="M471" s="160">
        <f>F471*'NM Play'!$B$36</f>
        <v/>
      </c>
      <c r="N471" s="160">
        <f>ROUNDDOWN(MAX(0,MIN(J471,K471:M471)),0)</f>
        <v/>
      </c>
      <c r="O471" s="160">
        <f>ROUNDUP(MAX(0,N471*'NM Play'!$B$11-G471)/'NM Play'!$B$13,0)</f>
        <v/>
      </c>
      <c r="P471" s="160">
        <f>ROUNDUP(MAX(0,N471*'NM Play'!$B$12-H471)/'NM Play'!$B$14,0)</f>
        <v/>
      </c>
      <c r="Q471" s="160">
        <f>(O471+IF('Sites'!$C$6="Own sheets",P471,0))/'NM Play'!$B$10</f>
        <v/>
      </c>
      <c r="R471" s="160">
        <f>O471/'NM Play'!$B$15+P471/'NM Play'!$B$16</f>
        <v/>
      </c>
      <c r="S471" s="160">
        <f>MAX(Q471,R471,N471/'NM Play'!$B$36)</f>
        <v/>
      </c>
      <c r="T471" s="160">
        <f>Q471*'NM Play'!$B$10*'NM Play'!$B$21*(1+'NM Play'!$B$35)</f>
        <v/>
      </c>
      <c r="U471" s="160">
        <f>MAX(0,T471-I471)</f>
        <v/>
      </c>
      <c r="V471" s="160">
        <f>G471+O471*'NM Play'!$B$13-N471*'NM Play'!$B$11</f>
        <v/>
      </c>
      <c r="W471" s="160">
        <f>H471+P471*'NM Play'!$B$14-N471*'NM Play'!$B$12</f>
        <v/>
      </c>
      <c r="X471" s="160">
        <f>I471+U471-T471</f>
        <v/>
      </c>
      <c r="Y471" s="160">
        <f>MIN(N471,MAX(0,ROUNDDOWN('Sites'!$N$6*'Cases'!$E$10,0)-SUM(Y462:Y470)))</f>
        <v/>
      </c>
      <c r="Z471" s="160">
        <f>N471-Y471</f>
        <v/>
      </c>
      <c r="AA471" s="160">
        <f>U471*'NM Play'!$B$22</f>
        <v/>
      </c>
      <c r="AB471" s="160">
        <f>N471*SUM('NM Play'!$B$29:$B$31)</f>
        <v/>
      </c>
      <c r="AC471" s="160">
        <f>IF('Sites'!$C$6="Defy legs",P471*'NM Play'!$B$14/'NM Play'!$B$12*'NM Play'!$B$28,0)</f>
        <v/>
      </c>
      <c r="AD471" s="160">
        <f>Q471*'NM Play'!$B$23</f>
        <v/>
      </c>
      <c r="AE471" s="160">
        <f>S471*SUM('NM Play'!$B$26,'NM Play'!$B$33:$B$34)</f>
        <v/>
      </c>
      <c r="AF471" s="160">
        <f>IF('Sites'!$D$6="NM crew",S471*SUM('NM Play'!$B$24:$B$25),0)</f>
        <v/>
      </c>
      <c r="AG471" s="160">
        <f>IF('Sites'!$D$6="NM crew",S471*'NM Play'!$B$27,0)</f>
        <v/>
      </c>
      <c r="AH471" s="160">
        <f>N471*'Sites'!$Z$6*'NM Play'!$B$32</f>
        <v/>
      </c>
      <c r="AI471" s="160">
        <f>SUM(Y471:Z471)*'Sites'!$R$6</f>
        <v/>
      </c>
      <c r="AJ471" s="160">
        <f>SUM(AA471:AH471)</f>
        <v/>
      </c>
      <c r="AK471" s="160">
        <f>AJ471+(T471-U471)*'NM Play'!$B$22+MIN(G471,N471*'NM Play'!$B$11)/'NM Play'!$B$13*'NM Play'!$B$21*'NM Play'!$B$22+MIN(H471,N471*'NM Play'!$B$12)/'NM Play'!$B$14*IF('Sites'!$C$6="Own sheets",'NM Play'!$B$21*'NM Play'!$B$22,'NM Play'!$B$28*'NM Play'!$B$14/'NM Play'!$B$12)</f>
        <v/>
      </c>
      <c r="AL471" s="160">
        <f>Y471*'Assumptions'!AK66</f>
        <v/>
      </c>
      <c r="AM471" s="160">
        <f>IF('Sites'!$D$6="NM crew",S471*'NM Play'!$B$37*(1+IF(AND(ISNUMBER('NM Play'!$B$25),'NM Play'!$B$25&gt;0),1,0)),"")</f>
        <v/>
      </c>
      <c r="AN471" s="160">
        <f>IF(OR('Sites'!$E$6&lt;0,'Sites'!$E$6&gt;1,'Sites'!$F$6&lt;1,'Sites'!$G$6&lt;'Sites'!$F$6,F471&lt;0,MIN('Sites'!$I$6:'Sites'!$R$6)&lt;0,'Sites'!$L$6&gt;'Sites'!$I$6,'Sites'!$M$6&gt;'Sites'!$J$6,'Sites'!$N$6&gt;'Sites'!$K$6,'Sites'!$Z$6&lt;0,'Sites'!$Z$6&gt;1,MIN('Sites'!$AA$6:'Sites'!$AC$6)&lt;0,S471&gt;F471+0.001),1,0)</f>
        <v/>
      </c>
      <c r="AO471" s="160">
        <f>I471+U471-T471-X471</f>
        <v/>
      </c>
    </row>
    <row r="472" ht="28" customHeight="1">
      <c r="A472" s="4" t="inlineStr">
        <is>
          <t>Lower sales</t>
        </is>
      </c>
      <c r="B472" s="4" t="inlineStr">
        <is>
          <t>WITTA</t>
        </is>
      </c>
      <c r="C472" s="160" t="n">
        <v>35</v>
      </c>
      <c r="D472" s="160">
        <f>ROUNDUP(C472/12,0)</f>
        <v/>
      </c>
      <c r="E472" s="160">
        <f>IF(AND('Sites'!$E$6=1,C472&gt;='Sites'!$F$6,C472&lt;='Sites'!$G$6),1,0)</f>
        <v/>
      </c>
      <c r="F472" s="160">
        <f>E472*'Assumptions'!AL67</f>
        <v/>
      </c>
      <c r="G472" s="160">
        <f>V471</f>
        <v/>
      </c>
      <c r="H472" s="160">
        <f>W471</f>
        <v/>
      </c>
      <c r="I472" s="160">
        <f>X471</f>
        <v/>
      </c>
      <c r="J472" s="160">
        <f>MAX(0,'Sites'!$K$6-SUM(N462:N471))</f>
        <v/>
      </c>
      <c r="K472" s="160">
        <f>IF('Sites'!$C$6="Own sheets",MIN(ROUNDDOWN(G472/'NM Play'!$B$11,0)+F472*'NM Play'!$B$10/'NM Play'!$B$43,ROUNDDOWN(H472/'NM Play'!$B$12,0)+F472*'NM Play'!$B$10/'NM Play'!$B$44,(F472*'NM Play'!$B$10+ROUNDDOWN(G472/'NM Play'!$B$11,0)*'NM Play'!$B$43+ROUNDDOWN(H472/'NM Play'!$B$12,0)*'NM Play'!$B$44)/('NM Play'!$B$43+'NM Play'!$B$44)),ROUNDDOWN(G472/'NM Play'!$B$11,0)+F472*'NM Play'!$B$10/'NM Play'!$B$43)</f>
        <v/>
      </c>
      <c r="L472" s="160">
        <f>MIN(ROUNDDOWN(G472/'NM Play'!$B$11,0)+F472/('NM Play'!$B$43/'NM Play'!$B$15),ROUNDDOWN(H472/'NM Play'!$B$12,0)+F472/('NM Play'!$B$44/'NM Play'!$B$16),(F472+ROUNDDOWN(G472/'NM Play'!$B$11,0)*'NM Play'!$B$43/'NM Play'!$B$15+ROUNDDOWN(H472/'NM Play'!$B$12,0)*'NM Play'!$B$44/'NM Play'!$B$16)/('NM Play'!$B$43/'NM Play'!$B$15+'NM Play'!$B$44/'NM Play'!$B$16))</f>
        <v/>
      </c>
      <c r="M472" s="160">
        <f>F472*'NM Play'!$B$36</f>
        <v/>
      </c>
      <c r="N472" s="160">
        <f>ROUNDDOWN(MAX(0,MIN(J472,K472:M472)),0)</f>
        <v/>
      </c>
      <c r="O472" s="160">
        <f>ROUNDUP(MAX(0,N472*'NM Play'!$B$11-G472)/'NM Play'!$B$13,0)</f>
        <v/>
      </c>
      <c r="P472" s="160">
        <f>ROUNDUP(MAX(0,N472*'NM Play'!$B$12-H472)/'NM Play'!$B$14,0)</f>
        <v/>
      </c>
      <c r="Q472" s="160">
        <f>(O472+IF('Sites'!$C$6="Own sheets",P472,0))/'NM Play'!$B$10</f>
        <v/>
      </c>
      <c r="R472" s="160">
        <f>O472/'NM Play'!$B$15+P472/'NM Play'!$B$16</f>
        <v/>
      </c>
      <c r="S472" s="160">
        <f>MAX(Q472,R472,N472/'NM Play'!$B$36)</f>
        <v/>
      </c>
      <c r="T472" s="160">
        <f>Q472*'NM Play'!$B$10*'NM Play'!$B$21*(1+'NM Play'!$B$35)</f>
        <v/>
      </c>
      <c r="U472" s="160">
        <f>MAX(0,T472-I472)</f>
        <v/>
      </c>
      <c r="V472" s="160">
        <f>G472+O472*'NM Play'!$B$13-N472*'NM Play'!$B$11</f>
        <v/>
      </c>
      <c r="W472" s="160">
        <f>H472+P472*'NM Play'!$B$14-N472*'NM Play'!$B$12</f>
        <v/>
      </c>
      <c r="X472" s="160">
        <f>I472+U472-T472</f>
        <v/>
      </c>
      <c r="Y472" s="160">
        <f>MIN(N472,MAX(0,ROUNDDOWN('Sites'!$N$6*'Cases'!$E$10,0)-SUM(Y462:Y471)))</f>
        <v/>
      </c>
      <c r="Z472" s="160">
        <f>N472-Y472</f>
        <v/>
      </c>
      <c r="AA472" s="160">
        <f>U472*'NM Play'!$B$22</f>
        <v/>
      </c>
      <c r="AB472" s="160">
        <f>N472*SUM('NM Play'!$B$29:$B$31)</f>
        <v/>
      </c>
      <c r="AC472" s="160">
        <f>IF('Sites'!$C$6="Defy legs",P472*'NM Play'!$B$14/'NM Play'!$B$12*'NM Play'!$B$28,0)</f>
        <v/>
      </c>
      <c r="AD472" s="160">
        <f>Q472*'NM Play'!$B$23</f>
        <v/>
      </c>
      <c r="AE472" s="160">
        <f>S472*SUM('NM Play'!$B$26,'NM Play'!$B$33:$B$34)</f>
        <v/>
      </c>
      <c r="AF472" s="160">
        <f>IF('Sites'!$D$6="NM crew",S472*SUM('NM Play'!$B$24:$B$25),0)</f>
        <v/>
      </c>
      <c r="AG472" s="160">
        <f>IF('Sites'!$D$6="NM crew",S472*'NM Play'!$B$27,0)</f>
        <v/>
      </c>
      <c r="AH472" s="160">
        <f>N472*'Sites'!$Z$6*'NM Play'!$B$32</f>
        <v/>
      </c>
      <c r="AI472" s="160">
        <f>SUM(Y472:Z472)*'Sites'!$R$6</f>
        <v/>
      </c>
      <c r="AJ472" s="160">
        <f>SUM(AA472:AH472)</f>
        <v/>
      </c>
      <c r="AK472" s="160">
        <f>AJ472+(T472-U472)*'NM Play'!$B$22+MIN(G472,N472*'NM Play'!$B$11)/'NM Play'!$B$13*'NM Play'!$B$21*'NM Play'!$B$22+MIN(H472,N472*'NM Play'!$B$12)/'NM Play'!$B$14*IF('Sites'!$C$6="Own sheets",'NM Play'!$B$21*'NM Play'!$B$22,'NM Play'!$B$28*'NM Play'!$B$14/'NM Play'!$B$12)</f>
        <v/>
      </c>
      <c r="AL472" s="160">
        <f>Y472*'Assumptions'!AL66</f>
        <v/>
      </c>
      <c r="AM472" s="160">
        <f>IF('Sites'!$D$6="NM crew",S472*'NM Play'!$B$37*(1+IF(AND(ISNUMBER('NM Play'!$B$25),'NM Play'!$B$25&gt;0),1,0)),"")</f>
        <v/>
      </c>
      <c r="AN472" s="160">
        <f>IF(OR('Sites'!$E$6&lt;0,'Sites'!$E$6&gt;1,'Sites'!$F$6&lt;1,'Sites'!$G$6&lt;'Sites'!$F$6,F472&lt;0,MIN('Sites'!$I$6:'Sites'!$R$6)&lt;0,'Sites'!$L$6&gt;'Sites'!$I$6,'Sites'!$M$6&gt;'Sites'!$J$6,'Sites'!$N$6&gt;'Sites'!$K$6,'Sites'!$Z$6&lt;0,'Sites'!$Z$6&gt;1,MIN('Sites'!$AA$6:'Sites'!$AC$6)&lt;0,S472&gt;F472+0.001),1,0)</f>
        <v/>
      </c>
      <c r="AO472" s="160">
        <f>I472+U472-T472-X472</f>
        <v/>
      </c>
    </row>
    <row r="473" ht="28" customHeight="1">
      <c r="A473" s="4" t="inlineStr">
        <is>
          <t>Lower sales</t>
        </is>
      </c>
      <c r="B473" s="4" t="inlineStr">
        <is>
          <t>WITTA</t>
        </is>
      </c>
      <c r="C473" s="160" t="n">
        <v>36</v>
      </c>
      <c r="D473" s="160">
        <f>ROUNDUP(C473/12,0)</f>
        <v/>
      </c>
      <c r="E473" s="160">
        <f>IF(AND('Sites'!$E$6=1,C473&gt;='Sites'!$F$6,C473&lt;='Sites'!$G$6),1,0)</f>
        <v/>
      </c>
      <c r="F473" s="160">
        <f>E473*'Assumptions'!AM67</f>
        <v/>
      </c>
      <c r="G473" s="160">
        <f>V472</f>
        <v/>
      </c>
      <c r="H473" s="160">
        <f>W472</f>
        <v/>
      </c>
      <c r="I473" s="160">
        <f>X472</f>
        <v/>
      </c>
      <c r="J473" s="160">
        <f>MAX(0,'Sites'!$K$6-SUM(N462:N472))</f>
        <v/>
      </c>
      <c r="K473" s="160">
        <f>IF('Sites'!$C$6="Own sheets",MIN(ROUNDDOWN(G473/'NM Play'!$B$11,0)+F473*'NM Play'!$B$10/'NM Play'!$B$43,ROUNDDOWN(H473/'NM Play'!$B$12,0)+F473*'NM Play'!$B$10/'NM Play'!$B$44,(F473*'NM Play'!$B$10+ROUNDDOWN(G473/'NM Play'!$B$11,0)*'NM Play'!$B$43+ROUNDDOWN(H473/'NM Play'!$B$12,0)*'NM Play'!$B$44)/('NM Play'!$B$43+'NM Play'!$B$44)),ROUNDDOWN(G473/'NM Play'!$B$11,0)+F473*'NM Play'!$B$10/'NM Play'!$B$43)</f>
        <v/>
      </c>
      <c r="L473" s="160">
        <f>MIN(ROUNDDOWN(G473/'NM Play'!$B$11,0)+F473/('NM Play'!$B$43/'NM Play'!$B$15),ROUNDDOWN(H473/'NM Play'!$B$12,0)+F473/('NM Play'!$B$44/'NM Play'!$B$16),(F473+ROUNDDOWN(G473/'NM Play'!$B$11,0)*'NM Play'!$B$43/'NM Play'!$B$15+ROUNDDOWN(H473/'NM Play'!$B$12,0)*'NM Play'!$B$44/'NM Play'!$B$16)/('NM Play'!$B$43/'NM Play'!$B$15+'NM Play'!$B$44/'NM Play'!$B$16))</f>
        <v/>
      </c>
      <c r="M473" s="160">
        <f>F473*'NM Play'!$B$36</f>
        <v/>
      </c>
      <c r="N473" s="160">
        <f>ROUNDDOWN(MAX(0,MIN(J473,K473:M473)),0)</f>
        <v/>
      </c>
      <c r="O473" s="160">
        <f>ROUNDUP(MAX(0,N473*'NM Play'!$B$11-G473)/'NM Play'!$B$13,0)</f>
        <v/>
      </c>
      <c r="P473" s="160">
        <f>ROUNDUP(MAX(0,N473*'NM Play'!$B$12-H473)/'NM Play'!$B$14,0)</f>
        <v/>
      </c>
      <c r="Q473" s="160">
        <f>(O473+IF('Sites'!$C$6="Own sheets",P473,0))/'NM Play'!$B$10</f>
        <v/>
      </c>
      <c r="R473" s="160">
        <f>O473/'NM Play'!$B$15+P473/'NM Play'!$B$16</f>
        <v/>
      </c>
      <c r="S473" s="160">
        <f>MAX(Q473,R473,N473/'NM Play'!$B$36)</f>
        <v/>
      </c>
      <c r="T473" s="160">
        <f>Q473*'NM Play'!$B$10*'NM Play'!$B$21*(1+'NM Play'!$B$35)</f>
        <v/>
      </c>
      <c r="U473" s="160">
        <f>MAX(0,T473-I473)</f>
        <v/>
      </c>
      <c r="V473" s="160">
        <f>G473+O473*'NM Play'!$B$13-N473*'NM Play'!$B$11</f>
        <v/>
      </c>
      <c r="W473" s="160">
        <f>H473+P473*'NM Play'!$B$14-N473*'NM Play'!$B$12</f>
        <v/>
      </c>
      <c r="X473" s="160">
        <f>I473+U473-T473</f>
        <v/>
      </c>
      <c r="Y473" s="160">
        <f>MIN(N473,MAX(0,ROUNDDOWN('Sites'!$N$6*'Cases'!$E$10,0)-SUM(Y462:Y472)))</f>
        <v/>
      </c>
      <c r="Z473" s="160">
        <f>N473-Y473</f>
        <v/>
      </c>
      <c r="AA473" s="160">
        <f>U473*'NM Play'!$B$22</f>
        <v/>
      </c>
      <c r="AB473" s="160">
        <f>N473*SUM('NM Play'!$B$29:$B$31)</f>
        <v/>
      </c>
      <c r="AC473" s="160">
        <f>IF('Sites'!$C$6="Defy legs",P473*'NM Play'!$B$14/'NM Play'!$B$12*'NM Play'!$B$28,0)</f>
        <v/>
      </c>
      <c r="AD473" s="160">
        <f>Q473*'NM Play'!$B$23</f>
        <v/>
      </c>
      <c r="AE473" s="160">
        <f>S473*SUM('NM Play'!$B$26,'NM Play'!$B$33:$B$34)</f>
        <v/>
      </c>
      <c r="AF473" s="160">
        <f>IF('Sites'!$D$6="NM crew",S473*SUM('NM Play'!$B$24:$B$25),0)</f>
        <v/>
      </c>
      <c r="AG473" s="160">
        <f>IF('Sites'!$D$6="NM crew",S473*'NM Play'!$B$27,0)</f>
        <v/>
      </c>
      <c r="AH473" s="160">
        <f>N473*'Sites'!$Z$6*'NM Play'!$B$32</f>
        <v/>
      </c>
      <c r="AI473" s="160">
        <f>SUM(Y473:Z473)*'Sites'!$R$6</f>
        <v/>
      </c>
      <c r="AJ473" s="160">
        <f>SUM(AA473:AH473)</f>
        <v/>
      </c>
      <c r="AK473" s="160">
        <f>AJ473+(T473-U473)*'NM Play'!$B$22+MIN(G473,N473*'NM Play'!$B$11)/'NM Play'!$B$13*'NM Play'!$B$21*'NM Play'!$B$22+MIN(H473,N473*'NM Play'!$B$12)/'NM Play'!$B$14*IF('Sites'!$C$6="Own sheets",'NM Play'!$B$21*'NM Play'!$B$22,'NM Play'!$B$28*'NM Play'!$B$14/'NM Play'!$B$12)</f>
        <v/>
      </c>
      <c r="AL473" s="160">
        <f>Y473*'Assumptions'!AM66</f>
        <v/>
      </c>
      <c r="AM473" s="160">
        <f>IF('Sites'!$D$6="NM crew",S473*'NM Play'!$B$37*(1+IF(AND(ISNUMBER('NM Play'!$B$25),'NM Play'!$B$25&gt;0),1,0)),"")</f>
        <v/>
      </c>
      <c r="AN473" s="160">
        <f>IF(OR('Sites'!$E$6&lt;0,'Sites'!$E$6&gt;1,'Sites'!$F$6&lt;1,'Sites'!$G$6&lt;'Sites'!$F$6,F473&lt;0,MIN('Sites'!$I$6:'Sites'!$R$6)&lt;0,'Sites'!$L$6&gt;'Sites'!$I$6,'Sites'!$M$6&gt;'Sites'!$J$6,'Sites'!$N$6&gt;'Sites'!$K$6,'Sites'!$Z$6&lt;0,'Sites'!$Z$6&gt;1,MIN('Sites'!$AA$6:'Sites'!$AC$6)&lt;0,S473&gt;F473+0.001),1,0)</f>
        <v/>
      </c>
      <c r="AO473" s="160">
        <f>I473+U473-T473-X473</f>
        <v/>
      </c>
    </row>
    <row r="474" ht="28" customHeight="1">
      <c r="A474" s="4" t="inlineStr">
        <is>
          <t>Lower sales</t>
        </is>
      </c>
      <c r="B474" s="4" t="inlineStr">
        <is>
          <t>NEW1</t>
        </is>
      </c>
      <c r="C474" s="160" t="n">
        <v>1</v>
      </c>
      <c r="D474" s="160">
        <f>ROUNDUP(C474/12,0)</f>
        <v/>
      </c>
      <c r="E474" s="160">
        <f>IF(AND('Sites'!$E$7=1,C474&gt;='Sites'!$F$7+'Cases'!$G$10,C474&lt;='Sites'!$G$7),1,0)</f>
        <v/>
      </c>
      <c r="F474" s="160">
        <f>E474*'Assumptions'!D68</f>
        <v/>
      </c>
      <c r="G474" s="160">
        <f>'Sites'!$AA$7</f>
        <v/>
      </c>
      <c r="H474" s="160">
        <f>'Sites'!$AB$7</f>
        <v/>
      </c>
      <c r="I474" s="160">
        <f>'Sites'!$AC$7</f>
        <v/>
      </c>
      <c r="J474" s="160">
        <f>MAX(0,'Sites'!$I$7-0)</f>
        <v/>
      </c>
      <c r="K474" s="160">
        <f>IF('Sites'!$C$7="Own sheets",MIN(ROUNDDOWN(G474/'NM Play'!$B$11,0)+F474*'NM Play'!$B$10/'NM Play'!$B$43,ROUNDDOWN(H474/'NM Play'!$B$12,0)+F474*'NM Play'!$B$10/'NM Play'!$B$44,(F474*'NM Play'!$B$10+ROUNDDOWN(G474/'NM Play'!$B$11,0)*'NM Play'!$B$43+ROUNDDOWN(H474/'NM Play'!$B$12,0)*'NM Play'!$B$44)/('NM Play'!$B$43+'NM Play'!$B$44)),ROUNDDOWN(G474/'NM Play'!$B$11,0)+F474*'NM Play'!$B$10/'NM Play'!$B$43)</f>
        <v/>
      </c>
      <c r="L474" s="160">
        <f>MIN(ROUNDDOWN(G474/'NM Play'!$B$11,0)+F474/('NM Play'!$B$43/'NM Play'!$B$15),ROUNDDOWN(H474/'NM Play'!$B$12,0)+F474/('NM Play'!$B$44/'NM Play'!$B$16),(F474+ROUNDDOWN(G474/'NM Play'!$B$11,0)*'NM Play'!$B$43/'NM Play'!$B$15+ROUNDDOWN(H474/'NM Play'!$B$12,0)*'NM Play'!$B$44/'NM Play'!$B$16)/('NM Play'!$B$43/'NM Play'!$B$15+'NM Play'!$B$44/'NM Play'!$B$16))</f>
        <v/>
      </c>
      <c r="M474" s="160">
        <f>F474*'NM Play'!$B$36</f>
        <v/>
      </c>
      <c r="N474" s="160">
        <f>ROUNDDOWN(MAX(0,MIN(J474,K474:M474)),0)</f>
        <v/>
      </c>
      <c r="O474" s="160">
        <f>ROUNDUP(MAX(0,N474*'NM Play'!$B$11-G474)/'NM Play'!$B$13,0)</f>
        <v/>
      </c>
      <c r="P474" s="160">
        <f>ROUNDUP(MAX(0,N474*'NM Play'!$B$12-H474)/'NM Play'!$B$14,0)</f>
        <v/>
      </c>
      <c r="Q474" s="160">
        <f>(O474+IF('Sites'!$C$7="Own sheets",P474,0))/'NM Play'!$B$10</f>
        <v/>
      </c>
      <c r="R474" s="160">
        <f>O474/'NM Play'!$B$15+P474/'NM Play'!$B$16</f>
        <v/>
      </c>
      <c r="S474" s="160">
        <f>MAX(Q474,R474,N474/'NM Play'!$B$36)</f>
        <v/>
      </c>
      <c r="T474" s="160">
        <f>Q474*'NM Play'!$B$10*'NM Play'!$B$21*(1+'NM Play'!$B$35)</f>
        <v/>
      </c>
      <c r="U474" s="160">
        <f>MAX(0,T474-I474)</f>
        <v/>
      </c>
      <c r="V474" s="160">
        <f>G474+O474*'NM Play'!$B$13-N474*'NM Play'!$B$11</f>
        <v/>
      </c>
      <c r="W474" s="160">
        <f>H474+P474*'NM Play'!$B$14-N474*'NM Play'!$B$12</f>
        <v/>
      </c>
      <c r="X474" s="160">
        <f>I474+U474-T474</f>
        <v/>
      </c>
      <c r="Y474" s="160">
        <f>MIN(N474,MAX(0,ROUNDDOWN('Sites'!$L$7*'Cases'!$E$10,0)-0))</f>
        <v/>
      </c>
      <c r="Z474" s="160">
        <f>N474-Y474</f>
        <v/>
      </c>
      <c r="AA474" s="160">
        <f>U474*'NM Play'!$B$22</f>
        <v/>
      </c>
      <c r="AB474" s="160">
        <f>N474*SUM('NM Play'!$B$29:$B$31)</f>
        <v/>
      </c>
      <c r="AC474" s="160">
        <f>IF('Sites'!$C$7="Defy legs",P474*'NM Play'!$B$14/'NM Play'!$B$12*'NM Play'!$B$28,0)</f>
        <v/>
      </c>
      <c r="AD474" s="160">
        <f>Q474*'NM Play'!$B$23</f>
        <v/>
      </c>
      <c r="AE474" s="160">
        <f>S474*SUM('NM Play'!$B$26,'NM Play'!$B$33:$B$34)</f>
        <v/>
      </c>
      <c r="AF474" s="160">
        <f>IF('Sites'!$D$7="NM crew",S474*SUM('NM Play'!$B$24:$B$25),0)</f>
        <v/>
      </c>
      <c r="AG474" s="160">
        <f>IF('Sites'!$D$7="NM crew",S474*'NM Play'!$B$27,0)</f>
        <v/>
      </c>
      <c r="AH474" s="160">
        <f>N474*'Sites'!$Z$7*'NM Play'!$B$32</f>
        <v/>
      </c>
      <c r="AI474" s="160">
        <f>SUM(Y474:Z474)*'Sites'!$R$7</f>
        <v/>
      </c>
      <c r="AJ474" s="160">
        <f>SUM(AA474:AH474)</f>
        <v/>
      </c>
      <c r="AK474" s="160">
        <f>AJ474+(T474-U474)*'NM Play'!$B$22+MIN(G474,N474*'NM Play'!$B$11)/'NM Play'!$B$13*'NM Play'!$B$21*'NM Play'!$B$22+MIN(H474,N474*'NM Play'!$B$12)/'NM Play'!$B$14*IF('Sites'!$C$7="Own sheets",'NM Play'!$B$21*'NM Play'!$B$22,'NM Play'!$B$28*'NM Play'!$B$14/'NM Play'!$B$12)</f>
        <v/>
      </c>
      <c r="AL474" s="160">
        <f>Y474*'Assumptions'!D66</f>
        <v/>
      </c>
      <c r="AM474" s="160">
        <f>IF('Sites'!$D$7="NM crew",S474*'NM Play'!$B$37*(1+IF(AND(ISNUMBER('NM Play'!$B$25),'NM Play'!$B$25&gt;0),1,0)),"")</f>
        <v/>
      </c>
      <c r="AN474" s="160">
        <f>IF(OR('Sites'!$E$7&lt;0,'Sites'!$E$7&gt;1,'Sites'!$F$7&lt;1,'Sites'!$G$7&lt;'Sites'!$F$7,F474&lt;0,MIN('Sites'!$I$7:'Sites'!$R$7)&lt;0,'Sites'!$L$7&gt;'Sites'!$I$7,'Sites'!$M$7&gt;'Sites'!$J$7,'Sites'!$N$7&gt;'Sites'!$K$7,'Sites'!$Z$7&lt;0,'Sites'!$Z$7&gt;1,MIN('Sites'!$AA$7:'Sites'!$AC$7)&lt;0,S474&gt;F474+0.001),1,0)</f>
        <v/>
      </c>
      <c r="AO474" s="160">
        <f>I474+U474-T474-X474</f>
        <v/>
      </c>
    </row>
    <row r="475" ht="28" customHeight="1">
      <c r="A475" s="4" t="inlineStr">
        <is>
          <t>Lower sales</t>
        </is>
      </c>
      <c r="B475" s="4" t="inlineStr">
        <is>
          <t>NEW1</t>
        </is>
      </c>
      <c r="C475" s="160" t="n">
        <v>2</v>
      </c>
      <c r="D475" s="160">
        <f>ROUNDUP(C475/12,0)</f>
        <v/>
      </c>
      <c r="E475" s="160">
        <f>IF(AND('Sites'!$E$7=1,C475&gt;='Sites'!$F$7+'Cases'!$G$10,C475&lt;='Sites'!$G$7),1,0)</f>
        <v/>
      </c>
      <c r="F475" s="160">
        <f>E475*'Assumptions'!E68</f>
        <v/>
      </c>
      <c r="G475" s="160">
        <f>V474</f>
        <v/>
      </c>
      <c r="H475" s="160">
        <f>W474</f>
        <v/>
      </c>
      <c r="I475" s="160">
        <f>X474</f>
        <v/>
      </c>
      <c r="J475" s="160">
        <f>MAX(0,'Sites'!$I$7-SUM(N474:N474))</f>
        <v/>
      </c>
      <c r="K475" s="160">
        <f>IF('Sites'!$C$7="Own sheets",MIN(ROUNDDOWN(G475/'NM Play'!$B$11,0)+F475*'NM Play'!$B$10/'NM Play'!$B$43,ROUNDDOWN(H475/'NM Play'!$B$12,0)+F475*'NM Play'!$B$10/'NM Play'!$B$44,(F475*'NM Play'!$B$10+ROUNDDOWN(G475/'NM Play'!$B$11,0)*'NM Play'!$B$43+ROUNDDOWN(H475/'NM Play'!$B$12,0)*'NM Play'!$B$44)/('NM Play'!$B$43+'NM Play'!$B$44)),ROUNDDOWN(G475/'NM Play'!$B$11,0)+F475*'NM Play'!$B$10/'NM Play'!$B$43)</f>
        <v/>
      </c>
      <c r="L475" s="160">
        <f>MIN(ROUNDDOWN(G475/'NM Play'!$B$11,0)+F475/('NM Play'!$B$43/'NM Play'!$B$15),ROUNDDOWN(H475/'NM Play'!$B$12,0)+F475/('NM Play'!$B$44/'NM Play'!$B$16),(F475+ROUNDDOWN(G475/'NM Play'!$B$11,0)*'NM Play'!$B$43/'NM Play'!$B$15+ROUNDDOWN(H475/'NM Play'!$B$12,0)*'NM Play'!$B$44/'NM Play'!$B$16)/('NM Play'!$B$43/'NM Play'!$B$15+'NM Play'!$B$44/'NM Play'!$B$16))</f>
        <v/>
      </c>
      <c r="M475" s="160">
        <f>F475*'NM Play'!$B$36</f>
        <v/>
      </c>
      <c r="N475" s="160">
        <f>ROUNDDOWN(MAX(0,MIN(J475,K475:M475)),0)</f>
        <v/>
      </c>
      <c r="O475" s="160">
        <f>ROUNDUP(MAX(0,N475*'NM Play'!$B$11-G475)/'NM Play'!$B$13,0)</f>
        <v/>
      </c>
      <c r="P475" s="160">
        <f>ROUNDUP(MAX(0,N475*'NM Play'!$B$12-H475)/'NM Play'!$B$14,0)</f>
        <v/>
      </c>
      <c r="Q475" s="160">
        <f>(O475+IF('Sites'!$C$7="Own sheets",P475,0))/'NM Play'!$B$10</f>
        <v/>
      </c>
      <c r="R475" s="160">
        <f>O475/'NM Play'!$B$15+P475/'NM Play'!$B$16</f>
        <v/>
      </c>
      <c r="S475" s="160">
        <f>MAX(Q475,R475,N475/'NM Play'!$B$36)</f>
        <v/>
      </c>
      <c r="T475" s="160">
        <f>Q475*'NM Play'!$B$10*'NM Play'!$B$21*(1+'NM Play'!$B$35)</f>
        <v/>
      </c>
      <c r="U475" s="160">
        <f>MAX(0,T475-I475)</f>
        <v/>
      </c>
      <c r="V475" s="160">
        <f>G475+O475*'NM Play'!$B$13-N475*'NM Play'!$B$11</f>
        <v/>
      </c>
      <c r="W475" s="160">
        <f>H475+P475*'NM Play'!$B$14-N475*'NM Play'!$B$12</f>
        <v/>
      </c>
      <c r="X475" s="160">
        <f>I475+U475-T475</f>
        <v/>
      </c>
      <c r="Y475" s="160">
        <f>MIN(N475,MAX(0,ROUNDDOWN('Sites'!$L$7*'Cases'!$E$10,0)-SUM(Y474:Y474)))</f>
        <v/>
      </c>
      <c r="Z475" s="160">
        <f>N475-Y475</f>
        <v/>
      </c>
      <c r="AA475" s="160">
        <f>U475*'NM Play'!$B$22</f>
        <v/>
      </c>
      <c r="AB475" s="160">
        <f>N475*SUM('NM Play'!$B$29:$B$31)</f>
        <v/>
      </c>
      <c r="AC475" s="160">
        <f>IF('Sites'!$C$7="Defy legs",P475*'NM Play'!$B$14/'NM Play'!$B$12*'NM Play'!$B$28,0)</f>
        <v/>
      </c>
      <c r="AD475" s="160">
        <f>Q475*'NM Play'!$B$23</f>
        <v/>
      </c>
      <c r="AE475" s="160">
        <f>S475*SUM('NM Play'!$B$26,'NM Play'!$B$33:$B$34)</f>
        <v/>
      </c>
      <c r="AF475" s="160">
        <f>IF('Sites'!$D$7="NM crew",S475*SUM('NM Play'!$B$24:$B$25),0)</f>
        <v/>
      </c>
      <c r="AG475" s="160">
        <f>IF('Sites'!$D$7="NM crew",S475*'NM Play'!$B$27,0)</f>
        <v/>
      </c>
      <c r="AH475" s="160">
        <f>N475*'Sites'!$Z$7*'NM Play'!$B$32</f>
        <v/>
      </c>
      <c r="AI475" s="160">
        <f>SUM(Y475:Z475)*'Sites'!$R$7</f>
        <v/>
      </c>
      <c r="AJ475" s="160">
        <f>SUM(AA475:AH475)</f>
        <v/>
      </c>
      <c r="AK475" s="160">
        <f>AJ475+(T475-U475)*'NM Play'!$B$22+MIN(G475,N475*'NM Play'!$B$11)/'NM Play'!$B$13*'NM Play'!$B$21*'NM Play'!$B$22+MIN(H475,N475*'NM Play'!$B$12)/'NM Play'!$B$14*IF('Sites'!$C$7="Own sheets",'NM Play'!$B$21*'NM Play'!$B$22,'NM Play'!$B$28*'NM Play'!$B$14/'NM Play'!$B$12)</f>
        <v/>
      </c>
      <c r="AL475" s="160">
        <f>Y475*'Assumptions'!E66</f>
        <v/>
      </c>
      <c r="AM475" s="160">
        <f>IF('Sites'!$D$7="NM crew",S475*'NM Play'!$B$37*(1+IF(AND(ISNUMBER('NM Play'!$B$25),'NM Play'!$B$25&gt;0),1,0)),"")</f>
        <v/>
      </c>
      <c r="AN475" s="160">
        <f>IF(OR('Sites'!$E$7&lt;0,'Sites'!$E$7&gt;1,'Sites'!$F$7&lt;1,'Sites'!$G$7&lt;'Sites'!$F$7,F475&lt;0,MIN('Sites'!$I$7:'Sites'!$R$7)&lt;0,'Sites'!$L$7&gt;'Sites'!$I$7,'Sites'!$M$7&gt;'Sites'!$J$7,'Sites'!$N$7&gt;'Sites'!$K$7,'Sites'!$Z$7&lt;0,'Sites'!$Z$7&gt;1,MIN('Sites'!$AA$7:'Sites'!$AC$7)&lt;0,S475&gt;F475+0.001),1,0)</f>
        <v/>
      </c>
      <c r="AO475" s="160">
        <f>I475+U475-T475-X475</f>
        <v/>
      </c>
    </row>
    <row r="476" ht="28" customHeight="1">
      <c r="A476" s="4" t="inlineStr">
        <is>
          <t>Lower sales</t>
        </is>
      </c>
      <c r="B476" s="4" t="inlineStr">
        <is>
          <t>NEW1</t>
        </is>
      </c>
      <c r="C476" s="160" t="n">
        <v>3</v>
      </c>
      <c r="D476" s="160">
        <f>ROUNDUP(C476/12,0)</f>
        <v/>
      </c>
      <c r="E476" s="160">
        <f>IF(AND('Sites'!$E$7=1,C476&gt;='Sites'!$F$7+'Cases'!$G$10,C476&lt;='Sites'!$G$7),1,0)</f>
        <v/>
      </c>
      <c r="F476" s="160">
        <f>E476*'Assumptions'!F68</f>
        <v/>
      </c>
      <c r="G476" s="160">
        <f>V475</f>
        <v/>
      </c>
      <c r="H476" s="160">
        <f>W475</f>
        <v/>
      </c>
      <c r="I476" s="160">
        <f>X475</f>
        <v/>
      </c>
      <c r="J476" s="160">
        <f>MAX(0,'Sites'!$I$7-SUM(N474:N475))</f>
        <v/>
      </c>
      <c r="K476" s="160">
        <f>IF('Sites'!$C$7="Own sheets",MIN(ROUNDDOWN(G476/'NM Play'!$B$11,0)+F476*'NM Play'!$B$10/'NM Play'!$B$43,ROUNDDOWN(H476/'NM Play'!$B$12,0)+F476*'NM Play'!$B$10/'NM Play'!$B$44,(F476*'NM Play'!$B$10+ROUNDDOWN(G476/'NM Play'!$B$11,0)*'NM Play'!$B$43+ROUNDDOWN(H476/'NM Play'!$B$12,0)*'NM Play'!$B$44)/('NM Play'!$B$43+'NM Play'!$B$44)),ROUNDDOWN(G476/'NM Play'!$B$11,0)+F476*'NM Play'!$B$10/'NM Play'!$B$43)</f>
        <v/>
      </c>
      <c r="L476" s="160">
        <f>MIN(ROUNDDOWN(G476/'NM Play'!$B$11,0)+F476/('NM Play'!$B$43/'NM Play'!$B$15),ROUNDDOWN(H476/'NM Play'!$B$12,0)+F476/('NM Play'!$B$44/'NM Play'!$B$16),(F476+ROUNDDOWN(G476/'NM Play'!$B$11,0)*'NM Play'!$B$43/'NM Play'!$B$15+ROUNDDOWN(H476/'NM Play'!$B$12,0)*'NM Play'!$B$44/'NM Play'!$B$16)/('NM Play'!$B$43/'NM Play'!$B$15+'NM Play'!$B$44/'NM Play'!$B$16))</f>
        <v/>
      </c>
      <c r="M476" s="160">
        <f>F476*'NM Play'!$B$36</f>
        <v/>
      </c>
      <c r="N476" s="160">
        <f>ROUNDDOWN(MAX(0,MIN(J476,K476:M476)),0)</f>
        <v/>
      </c>
      <c r="O476" s="160">
        <f>ROUNDUP(MAX(0,N476*'NM Play'!$B$11-G476)/'NM Play'!$B$13,0)</f>
        <v/>
      </c>
      <c r="P476" s="160">
        <f>ROUNDUP(MAX(0,N476*'NM Play'!$B$12-H476)/'NM Play'!$B$14,0)</f>
        <v/>
      </c>
      <c r="Q476" s="160">
        <f>(O476+IF('Sites'!$C$7="Own sheets",P476,0))/'NM Play'!$B$10</f>
        <v/>
      </c>
      <c r="R476" s="160">
        <f>O476/'NM Play'!$B$15+P476/'NM Play'!$B$16</f>
        <v/>
      </c>
      <c r="S476" s="160">
        <f>MAX(Q476,R476,N476/'NM Play'!$B$36)</f>
        <v/>
      </c>
      <c r="T476" s="160">
        <f>Q476*'NM Play'!$B$10*'NM Play'!$B$21*(1+'NM Play'!$B$35)</f>
        <v/>
      </c>
      <c r="U476" s="160">
        <f>MAX(0,T476-I476)</f>
        <v/>
      </c>
      <c r="V476" s="160">
        <f>G476+O476*'NM Play'!$B$13-N476*'NM Play'!$B$11</f>
        <v/>
      </c>
      <c r="W476" s="160">
        <f>H476+P476*'NM Play'!$B$14-N476*'NM Play'!$B$12</f>
        <v/>
      </c>
      <c r="X476" s="160">
        <f>I476+U476-T476</f>
        <v/>
      </c>
      <c r="Y476" s="160">
        <f>MIN(N476,MAX(0,ROUNDDOWN('Sites'!$L$7*'Cases'!$E$10,0)-SUM(Y474:Y475)))</f>
        <v/>
      </c>
      <c r="Z476" s="160">
        <f>N476-Y476</f>
        <v/>
      </c>
      <c r="AA476" s="160">
        <f>U476*'NM Play'!$B$22</f>
        <v/>
      </c>
      <c r="AB476" s="160">
        <f>N476*SUM('NM Play'!$B$29:$B$31)</f>
        <v/>
      </c>
      <c r="AC476" s="160">
        <f>IF('Sites'!$C$7="Defy legs",P476*'NM Play'!$B$14/'NM Play'!$B$12*'NM Play'!$B$28,0)</f>
        <v/>
      </c>
      <c r="AD476" s="160">
        <f>Q476*'NM Play'!$B$23</f>
        <v/>
      </c>
      <c r="AE476" s="160">
        <f>S476*SUM('NM Play'!$B$26,'NM Play'!$B$33:$B$34)</f>
        <v/>
      </c>
      <c r="AF476" s="160">
        <f>IF('Sites'!$D$7="NM crew",S476*SUM('NM Play'!$B$24:$B$25),0)</f>
        <v/>
      </c>
      <c r="AG476" s="160">
        <f>IF('Sites'!$D$7="NM crew",S476*'NM Play'!$B$27,0)</f>
        <v/>
      </c>
      <c r="AH476" s="160">
        <f>N476*'Sites'!$Z$7*'NM Play'!$B$32</f>
        <v/>
      </c>
      <c r="AI476" s="160">
        <f>SUM(Y476:Z476)*'Sites'!$R$7</f>
        <v/>
      </c>
      <c r="AJ476" s="160">
        <f>SUM(AA476:AH476)</f>
        <v/>
      </c>
      <c r="AK476" s="160">
        <f>AJ476+(T476-U476)*'NM Play'!$B$22+MIN(G476,N476*'NM Play'!$B$11)/'NM Play'!$B$13*'NM Play'!$B$21*'NM Play'!$B$22+MIN(H476,N476*'NM Play'!$B$12)/'NM Play'!$B$14*IF('Sites'!$C$7="Own sheets",'NM Play'!$B$21*'NM Play'!$B$22,'NM Play'!$B$28*'NM Play'!$B$14/'NM Play'!$B$12)</f>
        <v/>
      </c>
      <c r="AL476" s="160">
        <f>Y476*'Assumptions'!F66</f>
        <v/>
      </c>
      <c r="AM476" s="160">
        <f>IF('Sites'!$D$7="NM crew",S476*'NM Play'!$B$37*(1+IF(AND(ISNUMBER('NM Play'!$B$25),'NM Play'!$B$25&gt;0),1,0)),"")</f>
        <v/>
      </c>
      <c r="AN476" s="160">
        <f>IF(OR('Sites'!$E$7&lt;0,'Sites'!$E$7&gt;1,'Sites'!$F$7&lt;1,'Sites'!$G$7&lt;'Sites'!$F$7,F476&lt;0,MIN('Sites'!$I$7:'Sites'!$R$7)&lt;0,'Sites'!$L$7&gt;'Sites'!$I$7,'Sites'!$M$7&gt;'Sites'!$J$7,'Sites'!$N$7&gt;'Sites'!$K$7,'Sites'!$Z$7&lt;0,'Sites'!$Z$7&gt;1,MIN('Sites'!$AA$7:'Sites'!$AC$7)&lt;0,S476&gt;F476+0.001),1,0)</f>
        <v/>
      </c>
      <c r="AO476" s="160">
        <f>I476+U476-T476-X476</f>
        <v/>
      </c>
    </row>
    <row r="477" ht="28" customHeight="1">
      <c r="A477" s="4" t="inlineStr">
        <is>
          <t>Lower sales</t>
        </is>
      </c>
      <c r="B477" s="4" t="inlineStr">
        <is>
          <t>NEW1</t>
        </is>
      </c>
      <c r="C477" s="160" t="n">
        <v>4</v>
      </c>
      <c r="D477" s="160">
        <f>ROUNDUP(C477/12,0)</f>
        <v/>
      </c>
      <c r="E477" s="160">
        <f>IF(AND('Sites'!$E$7=1,C477&gt;='Sites'!$F$7+'Cases'!$G$10,C477&lt;='Sites'!$G$7),1,0)</f>
        <v/>
      </c>
      <c r="F477" s="160">
        <f>E477*'Assumptions'!G68</f>
        <v/>
      </c>
      <c r="G477" s="160">
        <f>V476</f>
        <v/>
      </c>
      <c r="H477" s="160">
        <f>W476</f>
        <v/>
      </c>
      <c r="I477" s="160">
        <f>X476</f>
        <v/>
      </c>
      <c r="J477" s="160">
        <f>MAX(0,'Sites'!$I$7-SUM(N474:N476))</f>
        <v/>
      </c>
      <c r="K477" s="160">
        <f>IF('Sites'!$C$7="Own sheets",MIN(ROUNDDOWN(G477/'NM Play'!$B$11,0)+F477*'NM Play'!$B$10/'NM Play'!$B$43,ROUNDDOWN(H477/'NM Play'!$B$12,0)+F477*'NM Play'!$B$10/'NM Play'!$B$44,(F477*'NM Play'!$B$10+ROUNDDOWN(G477/'NM Play'!$B$11,0)*'NM Play'!$B$43+ROUNDDOWN(H477/'NM Play'!$B$12,0)*'NM Play'!$B$44)/('NM Play'!$B$43+'NM Play'!$B$44)),ROUNDDOWN(G477/'NM Play'!$B$11,0)+F477*'NM Play'!$B$10/'NM Play'!$B$43)</f>
        <v/>
      </c>
      <c r="L477" s="160">
        <f>MIN(ROUNDDOWN(G477/'NM Play'!$B$11,0)+F477/('NM Play'!$B$43/'NM Play'!$B$15),ROUNDDOWN(H477/'NM Play'!$B$12,0)+F477/('NM Play'!$B$44/'NM Play'!$B$16),(F477+ROUNDDOWN(G477/'NM Play'!$B$11,0)*'NM Play'!$B$43/'NM Play'!$B$15+ROUNDDOWN(H477/'NM Play'!$B$12,0)*'NM Play'!$B$44/'NM Play'!$B$16)/('NM Play'!$B$43/'NM Play'!$B$15+'NM Play'!$B$44/'NM Play'!$B$16))</f>
        <v/>
      </c>
      <c r="M477" s="160">
        <f>F477*'NM Play'!$B$36</f>
        <v/>
      </c>
      <c r="N477" s="160">
        <f>ROUNDDOWN(MAX(0,MIN(J477,K477:M477)),0)</f>
        <v/>
      </c>
      <c r="O477" s="160">
        <f>ROUNDUP(MAX(0,N477*'NM Play'!$B$11-G477)/'NM Play'!$B$13,0)</f>
        <v/>
      </c>
      <c r="P477" s="160">
        <f>ROUNDUP(MAX(0,N477*'NM Play'!$B$12-H477)/'NM Play'!$B$14,0)</f>
        <v/>
      </c>
      <c r="Q477" s="160">
        <f>(O477+IF('Sites'!$C$7="Own sheets",P477,0))/'NM Play'!$B$10</f>
        <v/>
      </c>
      <c r="R477" s="160">
        <f>O477/'NM Play'!$B$15+P477/'NM Play'!$B$16</f>
        <v/>
      </c>
      <c r="S477" s="160">
        <f>MAX(Q477,R477,N477/'NM Play'!$B$36)</f>
        <v/>
      </c>
      <c r="T477" s="160">
        <f>Q477*'NM Play'!$B$10*'NM Play'!$B$21*(1+'NM Play'!$B$35)</f>
        <v/>
      </c>
      <c r="U477" s="160">
        <f>MAX(0,T477-I477)</f>
        <v/>
      </c>
      <c r="V477" s="160">
        <f>G477+O477*'NM Play'!$B$13-N477*'NM Play'!$B$11</f>
        <v/>
      </c>
      <c r="W477" s="160">
        <f>H477+P477*'NM Play'!$B$14-N477*'NM Play'!$B$12</f>
        <v/>
      </c>
      <c r="X477" s="160">
        <f>I477+U477-T477</f>
        <v/>
      </c>
      <c r="Y477" s="160">
        <f>MIN(N477,MAX(0,ROUNDDOWN('Sites'!$L$7*'Cases'!$E$10,0)-SUM(Y474:Y476)))</f>
        <v/>
      </c>
      <c r="Z477" s="160">
        <f>N477-Y477</f>
        <v/>
      </c>
      <c r="AA477" s="160">
        <f>U477*'NM Play'!$B$22</f>
        <v/>
      </c>
      <c r="AB477" s="160">
        <f>N477*SUM('NM Play'!$B$29:$B$31)</f>
        <v/>
      </c>
      <c r="AC477" s="160">
        <f>IF('Sites'!$C$7="Defy legs",P477*'NM Play'!$B$14/'NM Play'!$B$12*'NM Play'!$B$28,0)</f>
        <v/>
      </c>
      <c r="AD477" s="160">
        <f>Q477*'NM Play'!$B$23</f>
        <v/>
      </c>
      <c r="AE477" s="160">
        <f>S477*SUM('NM Play'!$B$26,'NM Play'!$B$33:$B$34)</f>
        <v/>
      </c>
      <c r="AF477" s="160">
        <f>IF('Sites'!$D$7="NM crew",S477*SUM('NM Play'!$B$24:$B$25),0)</f>
        <v/>
      </c>
      <c r="AG477" s="160">
        <f>IF('Sites'!$D$7="NM crew",S477*'NM Play'!$B$27,0)</f>
        <v/>
      </c>
      <c r="AH477" s="160">
        <f>N477*'Sites'!$Z$7*'NM Play'!$B$32</f>
        <v/>
      </c>
      <c r="AI477" s="160">
        <f>SUM(Y477:Z477)*'Sites'!$R$7</f>
        <v/>
      </c>
      <c r="AJ477" s="160">
        <f>SUM(AA477:AH477)</f>
        <v/>
      </c>
      <c r="AK477" s="160">
        <f>AJ477+(T477-U477)*'NM Play'!$B$22+MIN(G477,N477*'NM Play'!$B$11)/'NM Play'!$B$13*'NM Play'!$B$21*'NM Play'!$B$22+MIN(H477,N477*'NM Play'!$B$12)/'NM Play'!$B$14*IF('Sites'!$C$7="Own sheets",'NM Play'!$B$21*'NM Play'!$B$22,'NM Play'!$B$28*'NM Play'!$B$14/'NM Play'!$B$12)</f>
        <v/>
      </c>
      <c r="AL477" s="160">
        <f>Y477*'Assumptions'!G66</f>
        <v/>
      </c>
      <c r="AM477" s="160">
        <f>IF('Sites'!$D$7="NM crew",S477*'NM Play'!$B$37*(1+IF(AND(ISNUMBER('NM Play'!$B$25),'NM Play'!$B$25&gt;0),1,0)),"")</f>
        <v/>
      </c>
      <c r="AN477" s="160">
        <f>IF(OR('Sites'!$E$7&lt;0,'Sites'!$E$7&gt;1,'Sites'!$F$7&lt;1,'Sites'!$G$7&lt;'Sites'!$F$7,F477&lt;0,MIN('Sites'!$I$7:'Sites'!$R$7)&lt;0,'Sites'!$L$7&gt;'Sites'!$I$7,'Sites'!$M$7&gt;'Sites'!$J$7,'Sites'!$N$7&gt;'Sites'!$K$7,'Sites'!$Z$7&lt;0,'Sites'!$Z$7&gt;1,MIN('Sites'!$AA$7:'Sites'!$AC$7)&lt;0,S477&gt;F477+0.001),1,0)</f>
        <v/>
      </c>
      <c r="AO477" s="160">
        <f>I477+U477-T477-X477</f>
        <v/>
      </c>
    </row>
    <row r="478" ht="28" customHeight="1">
      <c r="A478" s="4" t="inlineStr">
        <is>
          <t>Lower sales</t>
        </is>
      </c>
      <c r="B478" s="4" t="inlineStr">
        <is>
          <t>NEW1</t>
        </is>
      </c>
      <c r="C478" s="160" t="n">
        <v>5</v>
      </c>
      <c r="D478" s="160">
        <f>ROUNDUP(C478/12,0)</f>
        <v/>
      </c>
      <c r="E478" s="160">
        <f>IF(AND('Sites'!$E$7=1,C478&gt;='Sites'!$F$7+'Cases'!$G$10,C478&lt;='Sites'!$G$7),1,0)</f>
        <v/>
      </c>
      <c r="F478" s="160">
        <f>E478*'Assumptions'!H68</f>
        <v/>
      </c>
      <c r="G478" s="160">
        <f>V477</f>
        <v/>
      </c>
      <c r="H478" s="160">
        <f>W477</f>
        <v/>
      </c>
      <c r="I478" s="160">
        <f>X477</f>
        <v/>
      </c>
      <c r="J478" s="160">
        <f>MAX(0,'Sites'!$I$7-SUM(N474:N477))</f>
        <v/>
      </c>
      <c r="K478" s="160">
        <f>IF('Sites'!$C$7="Own sheets",MIN(ROUNDDOWN(G478/'NM Play'!$B$11,0)+F478*'NM Play'!$B$10/'NM Play'!$B$43,ROUNDDOWN(H478/'NM Play'!$B$12,0)+F478*'NM Play'!$B$10/'NM Play'!$B$44,(F478*'NM Play'!$B$10+ROUNDDOWN(G478/'NM Play'!$B$11,0)*'NM Play'!$B$43+ROUNDDOWN(H478/'NM Play'!$B$12,0)*'NM Play'!$B$44)/('NM Play'!$B$43+'NM Play'!$B$44)),ROUNDDOWN(G478/'NM Play'!$B$11,0)+F478*'NM Play'!$B$10/'NM Play'!$B$43)</f>
        <v/>
      </c>
      <c r="L478" s="160">
        <f>MIN(ROUNDDOWN(G478/'NM Play'!$B$11,0)+F478/('NM Play'!$B$43/'NM Play'!$B$15),ROUNDDOWN(H478/'NM Play'!$B$12,0)+F478/('NM Play'!$B$44/'NM Play'!$B$16),(F478+ROUNDDOWN(G478/'NM Play'!$B$11,0)*'NM Play'!$B$43/'NM Play'!$B$15+ROUNDDOWN(H478/'NM Play'!$B$12,0)*'NM Play'!$B$44/'NM Play'!$B$16)/('NM Play'!$B$43/'NM Play'!$B$15+'NM Play'!$B$44/'NM Play'!$B$16))</f>
        <v/>
      </c>
      <c r="M478" s="160">
        <f>F478*'NM Play'!$B$36</f>
        <v/>
      </c>
      <c r="N478" s="160">
        <f>ROUNDDOWN(MAX(0,MIN(J478,K478:M478)),0)</f>
        <v/>
      </c>
      <c r="O478" s="160">
        <f>ROUNDUP(MAX(0,N478*'NM Play'!$B$11-G478)/'NM Play'!$B$13,0)</f>
        <v/>
      </c>
      <c r="P478" s="160">
        <f>ROUNDUP(MAX(0,N478*'NM Play'!$B$12-H478)/'NM Play'!$B$14,0)</f>
        <v/>
      </c>
      <c r="Q478" s="160">
        <f>(O478+IF('Sites'!$C$7="Own sheets",P478,0))/'NM Play'!$B$10</f>
        <v/>
      </c>
      <c r="R478" s="160">
        <f>O478/'NM Play'!$B$15+P478/'NM Play'!$B$16</f>
        <v/>
      </c>
      <c r="S478" s="160">
        <f>MAX(Q478,R478,N478/'NM Play'!$B$36)</f>
        <v/>
      </c>
      <c r="T478" s="160">
        <f>Q478*'NM Play'!$B$10*'NM Play'!$B$21*(1+'NM Play'!$B$35)</f>
        <v/>
      </c>
      <c r="U478" s="160">
        <f>MAX(0,T478-I478)</f>
        <v/>
      </c>
      <c r="V478" s="160">
        <f>G478+O478*'NM Play'!$B$13-N478*'NM Play'!$B$11</f>
        <v/>
      </c>
      <c r="W478" s="160">
        <f>H478+P478*'NM Play'!$B$14-N478*'NM Play'!$B$12</f>
        <v/>
      </c>
      <c r="X478" s="160">
        <f>I478+U478-T478</f>
        <v/>
      </c>
      <c r="Y478" s="160">
        <f>MIN(N478,MAX(0,ROUNDDOWN('Sites'!$L$7*'Cases'!$E$10,0)-SUM(Y474:Y477)))</f>
        <v/>
      </c>
      <c r="Z478" s="160">
        <f>N478-Y478</f>
        <v/>
      </c>
      <c r="AA478" s="160">
        <f>U478*'NM Play'!$B$22</f>
        <v/>
      </c>
      <c r="AB478" s="160">
        <f>N478*SUM('NM Play'!$B$29:$B$31)</f>
        <v/>
      </c>
      <c r="AC478" s="160">
        <f>IF('Sites'!$C$7="Defy legs",P478*'NM Play'!$B$14/'NM Play'!$B$12*'NM Play'!$B$28,0)</f>
        <v/>
      </c>
      <c r="AD478" s="160">
        <f>Q478*'NM Play'!$B$23</f>
        <v/>
      </c>
      <c r="AE478" s="160">
        <f>S478*SUM('NM Play'!$B$26,'NM Play'!$B$33:$B$34)</f>
        <v/>
      </c>
      <c r="AF478" s="160">
        <f>IF('Sites'!$D$7="NM crew",S478*SUM('NM Play'!$B$24:$B$25),0)</f>
        <v/>
      </c>
      <c r="AG478" s="160">
        <f>IF('Sites'!$D$7="NM crew",S478*'NM Play'!$B$27,0)</f>
        <v/>
      </c>
      <c r="AH478" s="160">
        <f>N478*'Sites'!$Z$7*'NM Play'!$B$32</f>
        <v/>
      </c>
      <c r="AI478" s="160">
        <f>SUM(Y478:Z478)*'Sites'!$R$7</f>
        <v/>
      </c>
      <c r="AJ478" s="160">
        <f>SUM(AA478:AH478)</f>
        <v/>
      </c>
      <c r="AK478" s="160">
        <f>AJ478+(T478-U478)*'NM Play'!$B$22+MIN(G478,N478*'NM Play'!$B$11)/'NM Play'!$B$13*'NM Play'!$B$21*'NM Play'!$B$22+MIN(H478,N478*'NM Play'!$B$12)/'NM Play'!$B$14*IF('Sites'!$C$7="Own sheets",'NM Play'!$B$21*'NM Play'!$B$22,'NM Play'!$B$28*'NM Play'!$B$14/'NM Play'!$B$12)</f>
        <v/>
      </c>
      <c r="AL478" s="160">
        <f>Y478*'Assumptions'!H66</f>
        <v/>
      </c>
      <c r="AM478" s="160">
        <f>IF('Sites'!$D$7="NM crew",S478*'NM Play'!$B$37*(1+IF(AND(ISNUMBER('NM Play'!$B$25),'NM Play'!$B$25&gt;0),1,0)),"")</f>
        <v/>
      </c>
      <c r="AN478" s="160">
        <f>IF(OR('Sites'!$E$7&lt;0,'Sites'!$E$7&gt;1,'Sites'!$F$7&lt;1,'Sites'!$G$7&lt;'Sites'!$F$7,F478&lt;0,MIN('Sites'!$I$7:'Sites'!$R$7)&lt;0,'Sites'!$L$7&gt;'Sites'!$I$7,'Sites'!$M$7&gt;'Sites'!$J$7,'Sites'!$N$7&gt;'Sites'!$K$7,'Sites'!$Z$7&lt;0,'Sites'!$Z$7&gt;1,MIN('Sites'!$AA$7:'Sites'!$AC$7)&lt;0,S478&gt;F478+0.001),1,0)</f>
        <v/>
      </c>
      <c r="AO478" s="160">
        <f>I478+U478-T478-X478</f>
        <v/>
      </c>
    </row>
    <row r="479" ht="28" customHeight="1">
      <c r="A479" s="4" t="inlineStr">
        <is>
          <t>Lower sales</t>
        </is>
      </c>
      <c r="B479" s="4" t="inlineStr">
        <is>
          <t>NEW1</t>
        </is>
      </c>
      <c r="C479" s="160" t="n">
        <v>6</v>
      </c>
      <c r="D479" s="160">
        <f>ROUNDUP(C479/12,0)</f>
        <v/>
      </c>
      <c r="E479" s="160">
        <f>IF(AND('Sites'!$E$7=1,C479&gt;='Sites'!$F$7+'Cases'!$G$10,C479&lt;='Sites'!$G$7),1,0)</f>
        <v/>
      </c>
      <c r="F479" s="160">
        <f>E479*'Assumptions'!I68</f>
        <v/>
      </c>
      <c r="G479" s="160">
        <f>V478</f>
        <v/>
      </c>
      <c r="H479" s="160">
        <f>W478</f>
        <v/>
      </c>
      <c r="I479" s="160">
        <f>X478</f>
        <v/>
      </c>
      <c r="J479" s="160">
        <f>MAX(0,'Sites'!$I$7-SUM(N474:N478))</f>
        <v/>
      </c>
      <c r="K479" s="160">
        <f>IF('Sites'!$C$7="Own sheets",MIN(ROUNDDOWN(G479/'NM Play'!$B$11,0)+F479*'NM Play'!$B$10/'NM Play'!$B$43,ROUNDDOWN(H479/'NM Play'!$B$12,0)+F479*'NM Play'!$B$10/'NM Play'!$B$44,(F479*'NM Play'!$B$10+ROUNDDOWN(G479/'NM Play'!$B$11,0)*'NM Play'!$B$43+ROUNDDOWN(H479/'NM Play'!$B$12,0)*'NM Play'!$B$44)/('NM Play'!$B$43+'NM Play'!$B$44)),ROUNDDOWN(G479/'NM Play'!$B$11,0)+F479*'NM Play'!$B$10/'NM Play'!$B$43)</f>
        <v/>
      </c>
      <c r="L479" s="160">
        <f>MIN(ROUNDDOWN(G479/'NM Play'!$B$11,0)+F479/('NM Play'!$B$43/'NM Play'!$B$15),ROUNDDOWN(H479/'NM Play'!$B$12,0)+F479/('NM Play'!$B$44/'NM Play'!$B$16),(F479+ROUNDDOWN(G479/'NM Play'!$B$11,0)*'NM Play'!$B$43/'NM Play'!$B$15+ROUNDDOWN(H479/'NM Play'!$B$12,0)*'NM Play'!$B$44/'NM Play'!$B$16)/('NM Play'!$B$43/'NM Play'!$B$15+'NM Play'!$B$44/'NM Play'!$B$16))</f>
        <v/>
      </c>
      <c r="M479" s="160">
        <f>F479*'NM Play'!$B$36</f>
        <v/>
      </c>
      <c r="N479" s="160">
        <f>ROUNDDOWN(MAX(0,MIN(J479,K479:M479)),0)</f>
        <v/>
      </c>
      <c r="O479" s="160">
        <f>ROUNDUP(MAX(0,N479*'NM Play'!$B$11-G479)/'NM Play'!$B$13,0)</f>
        <v/>
      </c>
      <c r="P479" s="160">
        <f>ROUNDUP(MAX(0,N479*'NM Play'!$B$12-H479)/'NM Play'!$B$14,0)</f>
        <v/>
      </c>
      <c r="Q479" s="160">
        <f>(O479+IF('Sites'!$C$7="Own sheets",P479,0))/'NM Play'!$B$10</f>
        <v/>
      </c>
      <c r="R479" s="160">
        <f>O479/'NM Play'!$B$15+P479/'NM Play'!$B$16</f>
        <v/>
      </c>
      <c r="S479" s="160">
        <f>MAX(Q479,R479,N479/'NM Play'!$B$36)</f>
        <v/>
      </c>
      <c r="T479" s="160">
        <f>Q479*'NM Play'!$B$10*'NM Play'!$B$21*(1+'NM Play'!$B$35)</f>
        <v/>
      </c>
      <c r="U479" s="160">
        <f>MAX(0,T479-I479)</f>
        <v/>
      </c>
      <c r="V479" s="160">
        <f>G479+O479*'NM Play'!$B$13-N479*'NM Play'!$B$11</f>
        <v/>
      </c>
      <c r="W479" s="160">
        <f>H479+P479*'NM Play'!$B$14-N479*'NM Play'!$B$12</f>
        <v/>
      </c>
      <c r="X479" s="160">
        <f>I479+U479-T479</f>
        <v/>
      </c>
      <c r="Y479" s="160">
        <f>MIN(N479,MAX(0,ROUNDDOWN('Sites'!$L$7*'Cases'!$E$10,0)-SUM(Y474:Y478)))</f>
        <v/>
      </c>
      <c r="Z479" s="160">
        <f>N479-Y479</f>
        <v/>
      </c>
      <c r="AA479" s="160">
        <f>U479*'NM Play'!$B$22</f>
        <v/>
      </c>
      <c r="AB479" s="160">
        <f>N479*SUM('NM Play'!$B$29:$B$31)</f>
        <v/>
      </c>
      <c r="AC479" s="160">
        <f>IF('Sites'!$C$7="Defy legs",P479*'NM Play'!$B$14/'NM Play'!$B$12*'NM Play'!$B$28,0)</f>
        <v/>
      </c>
      <c r="AD479" s="160">
        <f>Q479*'NM Play'!$B$23</f>
        <v/>
      </c>
      <c r="AE479" s="160">
        <f>S479*SUM('NM Play'!$B$26,'NM Play'!$B$33:$B$34)</f>
        <v/>
      </c>
      <c r="AF479" s="160">
        <f>IF('Sites'!$D$7="NM crew",S479*SUM('NM Play'!$B$24:$B$25),0)</f>
        <v/>
      </c>
      <c r="AG479" s="160">
        <f>IF('Sites'!$D$7="NM crew",S479*'NM Play'!$B$27,0)</f>
        <v/>
      </c>
      <c r="AH479" s="160">
        <f>N479*'Sites'!$Z$7*'NM Play'!$B$32</f>
        <v/>
      </c>
      <c r="AI479" s="160">
        <f>SUM(Y479:Z479)*'Sites'!$R$7</f>
        <v/>
      </c>
      <c r="AJ479" s="160">
        <f>SUM(AA479:AH479)</f>
        <v/>
      </c>
      <c r="AK479" s="160">
        <f>AJ479+(T479-U479)*'NM Play'!$B$22+MIN(G479,N479*'NM Play'!$B$11)/'NM Play'!$B$13*'NM Play'!$B$21*'NM Play'!$B$22+MIN(H479,N479*'NM Play'!$B$12)/'NM Play'!$B$14*IF('Sites'!$C$7="Own sheets",'NM Play'!$B$21*'NM Play'!$B$22,'NM Play'!$B$28*'NM Play'!$B$14/'NM Play'!$B$12)</f>
        <v/>
      </c>
      <c r="AL479" s="160">
        <f>Y479*'Assumptions'!I66</f>
        <v/>
      </c>
      <c r="AM479" s="160">
        <f>IF('Sites'!$D$7="NM crew",S479*'NM Play'!$B$37*(1+IF(AND(ISNUMBER('NM Play'!$B$25),'NM Play'!$B$25&gt;0),1,0)),"")</f>
        <v/>
      </c>
      <c r="AN479" s="160">
        <f>IF(OR('Sites'!$E$7&lt;0,'Sites'!$E$7&gt;1,'Sites'!$F$7&lt;1,'Sites'!$G$7&lt;'Sites'!$F$7,F479&lt;0,MIN('Sites'!$I$7:'Sites'!$R$7)&lt;0,'Sites'!$L$7&gt;'Sites'!$I$7,'Sites'!$M$7&gt;'Sites'!$J$7,'Sites'!$N$7&gt;'Sites'!$K$7,'Sites'!$Z$7&lt;0,'Sites'!$Z$7&gt;1,MIN('Sites'!$AA$7:'Sites'!$AC$7)&lt;0,S479&gt;F479+0.001),1,0)</f>
        <v/>
      </c>
      <c r="AO479" s="160">
        <f>I479+U479-T479-X479</f>
        <v/>
      </c>
    </row>
    <row r="480" ht="28" customHeight="1">
      <c r="A480" s="4" t="inlineStr">
        <is>
          <t>Lower sales</t>
        </is>
      </c>
      <c r="B480" s="4" t="inlineStr">
        <is>
          <t>NEW1</t>
        </is>
      </c>
      <c r="C480" s="160" t="n">
        <v>7</v>
      </c>
      <c r="D480" s="160">
        <f>ROUNDUP(C480/12,0)</f>
        <v/>
      </c>
      <c r="E480" s="160">
        <f>IF(AND('Sites'!$E$7=1,C480&gt;='Sites'!$F$7+'Cases'!$G$10,C480&lt;='Sites'!$G$7),1,0)</f>
        <v/>
      </c>
      <c r="F480" s="160">
        <f>E480*'Assumptions'!J68</f>
        <v/>
      </c>
      <c r="G480" s="160">
        <f>V479</f>
        <v/>
      </c>
      <c r="H480" s="160">
        <f>W479</f>
        <v/>
      </c>
      <c r="I480" s="160">
        <f>X479</f>
        <v/>
      </c>
      <c r="J480" s="160">
        <f>MAX(0,'Sites'!$I$7-SUM(N474:N479))</f>
        <v/>
      </c>
      <c r="K480" s="160">
        <f>IF('Sites'!$C$7="Own sheets",MIN(ROUNDDOWN(G480/'NM Play'!$B$11,0)+F480*'NM Play'!$B$10/'NM Play'!$B$43,ROUNDDOWN(H480/'NM Play'!$B$12,0)+F480*'NM Play'!$B$10/'NM Play'!$B$44,(F480*'NM Play'!$B$10+ROUNDDOWN(G480/'NM Play'!$B$11,0)*'NM Play'!$B$43+ROUNDDOWN(H480/'NM Play'!$B$12,0)*'NM Play'!$B$44)/('NM Play'!$B$43+'NM Play'!$B$44)),ROUNDDOWN(G480/'NM Play'!$B$11,0)+F480*'NM Play'!$B$10/'NM Play'!$B$43)</f>
        <v/>
      </c>
      <c r="L480" s="160">
        <f>MIN(ROUNDDOWN(G480/'NM Play'!$B$11,0)+F480/('NM Play'!$B$43/'NM Play'!$B$15),ROUNDDOWN(H480/'NM Play'!$B$12,0)+F480/('NM Play'!$B$44/'NM Play'!$B$16),(F480+ROUNDDOWN(G480/'NM Play'!$B$11,0)*'NM Play'!$B$43/'NM Play'!$B$15+ROUNDDOWN(H480/'NM Play'!$B$12,0)*'NM Play'!$B$44/'NM Play'!$B$16)/('NM Play'!$B$43/'NM Play'!$B$15+'NM Play'!$B$44/'NM Play'!$B$16))</f>
        <v/>
      </c>
      <c r="M480" s="160">
        <f>F480*'NM Play'!$B$36</f>
        <v/>
      </c>
      <c r="N480" s="160">
        <f>ROUNDDOWN(MAX(0,MIN(J480,K480:M480)),0)</f>
        <v/>
      </c>
      <c r="O480" s="160">
        <f>ROUNDUP(MAX(0,N480*'NM Play'!$B$11-G480)/'NM Play'!$B$13,0)</f>
        <v/>
      </c>
      <c r="P480" s="160">
        <f>ROUNDUP(MAX(0,N480*'NM Play'!$B$12-H480)/'NM Play'!$B$14,0)</f>
        <v/>
      </c>
      <c r="Q480" s="160">
        <f>(O480+IF('Sites'!$C$7="Own sheets",P480,0))/'NM Play'!$B$10</f>
        <v/>
      </c>
      <c r="R480" s="160">
        <f>O480/'NM Play'!$B$15+P480/'NM Play'!$B$16</f>
        <v/>
      </c>
      <c r="S480" s="160">
        <f>MAX(Q480,R480,N480/'NM Play'!$B$36)</f>
        <v/>
      </c>
      <c r="T480" s="160">
        <f>Q480*'NM Play'!$B$10*'NM Play'!$B$21*(1+'NM Play'!$B$35)</f>
        <v/>
      </c>
      <c r="U480" s="160">
        <f>MAX(0,T480-I480)</f>
        <v/>
      </c>
      <c r="V480" s="160">
        <f>G480+O480*'NM Play'!$B$13-N480*'NM Play'!$B$11</f>
        <v/>
      </c>
      <c r="W480" s="160">
        <f>H480+P480*'NM Play'!$B$14-N480*'NM Play'!$B$12</f>
        <v/>
      </c>
      <c r="X480" s="160">
        <f>I480+U480-T480</f>
        <v/>
      </c>
      <c r="Y480" s="160">
        <f>MIN(N480,MAX(0,ROUNDDOWN('Sites'!$L$7*'Cases'!$E$10,0)-SUM(Y474:Y479)))</f>
        <v/>
      </c>
      <c r="Z480" s="160">
        <f>N480-Y480</f>
        <v/>
      </c>
      <c r="AA480" s="160">
        <f>U480*'NM Play'!$B$22</f>
        <v/>
      </c>
      <c r="AB480" s="160">
        <f>N480*SUM('NM Play'!$B$29:$B$31)</f>
        <v/>
      </c>
      <c r="AC480" s="160">
        <f>IF('Sites'!$C$7="Defy legs",P480*'NM Play'!$B$14/'NM Play'!$B$12*'NM Play'!$B$28,0)</f>
        <v/>
      </c>
      <c r="AD480" s="160">
        <f>Q480*'NM Play'!$B$23</f>
        <v/>
      </c>
      <c r="AE480" s="160">
        <f>S480*SUM('NM Play'!$B$26,'NM Play'!$B$33:$B$34)</f>
        <v/>
      </c>
      <c r="AF480" s="160">
        <f>IF('Sites'!$D$7="NM crew",S480*SUM('NM Play'!$B$24:$B$25),0)</f>
        <v/>
      </c>
      <c r="AG480" s="160">
        <f>IF('Sites'!$D$7="NM crew",S480*'NM Play'!$B$27,0)</f>
        <v/>
      </c>
      <c r="AH480" s="160">
        <f>N480*'Sites'!$Z$7*'NM Play'!$B$32</f>
        <v/>
      </c>
      <c r="AI480" s="160">
        <f>SUM(Y480:Z480)*'Sites'!$R$7</f>
        <v/>
      </c>
      <c r="AJ480" s="160">
        <f>SUM(AA480:AH480)</f>
        <v/>
      </c>
      <c r="AK480" s="160">
        <f>AJ480+(T480-U480)*'NM Play'!$B$22+MIN(G480,N480*'NM Play'!$B$11)/'NM Play'!$B$13*'NM Play'!$B$21*'NM Play'!$B$22+MIN(H480,N480*'NM Play'!$B$12)/'NM Play'!$B$14*IF('Sites'!$C$7="Own sheets",'NM Play'!$B$21*'NM Play'!$B$22,'NM Play'!$B$28*'NM Play'!$B$14/'NM Play'!$B$12)</f>
        <v/>
      </c>
      <c r="AL480" s="160">
        <f>Y480*'Assumptions'!J66</f>
        <v/>
      </c>
      <c r="AM480" s="160">
        <f>IF('Sites'!$D$7="NM crew",S480*'NM Play'!$B$37*(1+IF(AND(ISNUMBER('NM Play'!$B$25),'NM Play'!$B$25&gt;0),1,0)),"")</f>
        <v/>
      </c>
      <c r="AN480" s="160">
        <f>IF(OR('Sites'!$E$7&lt;0,'Sites'!$E$7&gt;1,'Sites'!$F$7&lt;1,'Sites'!$G$7&lt;'Sites'!$F$7,F480&lt;0,MIN('Sites'!$I$7:'Sites'!$R$7)&lt;0,'Sites'!$L$7&gt;'Sites'!$I$7,'Sites'!$M$7&gt;'Sites'!$J$7,'Sites'!$N$7&gt;'Sites'!$K$7,'Sites'!$Z$7&lt;0,'Sites'!$Z$7&gt;1,MIN('Sites'!$AA$7:'Sites'!$AC$7)&lt;0,S480&gt;F480+0.001),1,0)</f>
        <v/>
      </c>
      <c r="AO480" s="160">
        <f>I480+U480-T480-X480</f>
        <v/>
      </c>
    </row>
    <row r="481" ht="28" customHeight="1">
      <c r="A481" s="4" t="inlineStr">
        <is>
          <t>Lower sales</t>
        </is>
      </c>
      <c r="B481" s="4" t="inlineStr">
        <is>
          <t>NEW1</t>
        </is>
      </c>
      <c r="C481" s="160" t="n">
        <v>8</v>
      </c>
      <c r="D481" s="160">
        <f>ROUNDUP(C481/12,0)</f>
        <v/>
      </c>
      <c r="E481" s="160">
        <f>IF(AND('Sites'!$E$7=1,C481&gt;='Sites'!$F$7+'Cases'!$G$10,C481&lt;='Sites'!$G$7),1,0)</f>
        <v/>
      </c>
      <c r="F481" s="160">
        <f>E481*'Assumptions'!K68</f>
        <v/>
      </c>
      <c r="G481" s="160">
        <f>V480</f>
        <v/>
      </c>
      <c r="H481" s="160">
        <f>W480</f>
        <v/>
      </c>
      <c r="I481" s="160">
        <f>X480</f>
        <v/>
      </c>
      <c r="J481" s="160">
        <f>MAX(0,'Sites'!$I$7-SUM(N474:N480))</f>
        <v/>
      </c>
      <c r="K481" s="160">
        <f>IF('Sites'!$C$7="Own sheets",MIN(ROUNDDOWN(G481/'NM Play'!$B$11,0)+F481*'NM Play'!$B$10/'NM Play'!$B$43,ROUNDDOWN(H481/'NM Play'!$B$12,0)+F481*'NM Play'!$B$10/'NM Play'!$B$44,(F481*'NM Play'!$B$10+ROUNDDOWN(G481/'NM Play'!$B$11,0)*'NM Play'!$B$43+ROUNDDOWN(H481/'NM Play'!$B$12,0)*'NM Play'!$B$44)/('NM Play'!$B$43+'NM Play'!$B$44)),ROUNDDOWN(G481/'NM Play'!$B$11,0)+F481*'NM Play'!$B$10/'NM Play'!$B$43)</f>
        <v/>
      </c>
      <c r="L481" s="160">
        <f>MIN(ROUNDDOWN(G481/'NM Play'!$B$11,0)+F481/('NM Play'!$B$43/'NM Play'!$B$15),ROUNDDOWN(H481/'NM Play'!$B$12,0)+F481/('NM Play'!$B$44/'NM Play'!$B$16),(F481+ROUNDDOWN(G481/'NM Play'!$B$11,0)*'NM Play'!$B$43/'NM Play'!$B$15+ROUNDDOWN(H481/'NM Play'!$B$12,0)*'NM Play'!$B$44/'NM Play'!$B$16)/('NM Play'!$B$43/'NM Play'!$B$15+'NM Play'!$B$44/'NM Play'!$B$16))</f>
        <v/>
      </c>
      <c r="M481" s="160">
        <f>F481*'NM Play'!$B$36</f>
        <v/>
      </c>
      <c r="N481" s="160">
        <f>ROUNDDOWN(MAX(0,MIN(J481,K481:M481)),0)</f>
        <v/>
      </c>
      <c r="O481" s="160">
        <f>ROUNDUP(MAX(0,N481*'NM Play'!$B$11-G481)/'NM Play'!$B$13,0)</f>
        <v/>
      </c>
      <c r="P481" s="160">
        <f>ROUNDUP(MAX(0,N481*'NM Play'!$B$12-H481)/'NM Play'!$B$14,0)</f>
        <v/>
      </c>
      <c r="Q481" s="160">
        <f>(O481+IF('Sites'!$C$7="Own sheets",P481,0))/'NM Play'!$B$10</f>
        <v/>
      </c>
      <c r="R481" s="160">
        <f>O481/'NM Play'!$B$15+P481/'NM Play'!$B$16</f>
        <v/>
      </c>
      <c r="S481" s="160">
        <f>MAX(Q481,R481,N481/'NM Play'!$B$36)</f>
        <v/>
      </c>
      <c r="T481" s="160">
        <f>Q481*'NM Play'!$B$10*'NM Play'!$B$21*(1+'NM Play'!$B$35)</f>
        <v/>
      </c>
      <c r="U481" s="160">
        <f>MAX(0,T481-I481)</f>
        <v/>
      </c>
      <c r="V481" s="160">
        <f>G481+O481*'NM Play'!$B$13-N481*'NM Play'!$B$11</f>
        <v/>
      </c>
      <c r="W481" s="160">
        <f>H481+P481*'NM Play'!$B$14-N481*'NM Play'!$B$12</f>
        <v/>
      </c>
      <c r="X481" s="160">
        <f>I481+U481-T481</f>
        <v/>
      </c>
      <c r="Y481" s="160">
        <f>MIN(N481,MAX(0,ROUNDDOWN('Sites'!$L$7*'Cases'!$E$10,0)-SUM(Y474:Y480)))</f>
        <v/>
      </c>
      <c r="Z481" s="160">
        <f>N481-Y481</f>
        <v/>
      </c>
      <c r="AA481" s="160">
        <f>U481*'NM Play'!$B$22</f>
        <v/>
      </c>
      <c r="AB481" s="160">
        <f>N481*SUM('NM Play'!$B$29:$B$31)</f>
        <v/>
      </c>
      <c r="AC481" s="160">
        <f>IF('Sites'!$C$7="Defy legs",P481*'NM Play'!$B$14/'NM Play'!$B$12*'NM Play'!$B$28,0)</f>
        <v/>
      </c>
      <c r="AD481" s="160">
        <f>Q481*'NM Play'!$B$23</f>
        <v/>
      </c>
      <c r="AE481" s="160">
        <f>S481*SUM('NM Play'!$B$26,'NM Play'!$B$33:$B$34)</f>
        <v/>
      </c>
      <c r="AF481" s="160">
        <f>IF('Sites'!$D$7="NM crew",S481*SUM('NM Play'!$B$24:$B$25),0)</f>
        <v/>
      </c>
      <c r="AG481" s="160">
        <f>IF('Sites'!$D$7="NM crew",S481*'NM Play'!$B$27,0)</f>
        <v/>
      </c>
      <c r="AH481" s="160">
        <f>N481*'Sites'!$Z$7*'NM Play'!$B$32</f>
        <v/>
      </c>
      <c r="AI481" s="160">
        <f>SUM(Y481:Z481)*'Sites'!$R$7</f>
        <v/>
      </c>
      <c r="AJ481" s="160">
        <f>SUM(AA481:AH481)</f>
        <v/>
      </c>
      <c r="AK481" s="160">
        <f>AJ481+(T481-U481)*'NM Play'!$B$22+MIN(G481,N481*'NM Play'!$B$11)/'NM Play'!$B$13*'NM Play'!$B$21*'NM Play'!$B$22+MIN(H481,N481*'NM Play'!$B$12)/'NM Play'!$B$14*IF('Sites'!$C$7="Own sheets",'NM Play'!$B$21*'NM Play'!$B$22,'NM Play'!$B$28*'NM Play'!$B$14/'NM Play'!$B$12)</f>
        <v/>
      </c>
      <c r="AL481" s="160">
        <f>Y481*'Assumptions'!K66</f>
        <v/>
      </c>
      <c r="AM481" s="160">
        <f>IF('Sites'!$D$7="NM crew",S481*'NM Play'!$B$37*(1+IF(AND(ISNUMBER('NM Play'!$B$25),'NM Play'!$B$25&gt;0),1,0)),"")</f>
        <v/>
      </c>
      <c r="AN481" s="160">
        <f>IF(OR('Sites'!$E$7&lt;0,'Sites'!$E$7&gt;1,'Sites'!$F$7&lt;1,'Sites'!$G$7&lt;'Sites'!$F$7,F481&lt;0,MIN('Sites'!$I$7:'Sites'!$R$7)&lt;0,'Sites'!$L$7&gt;'Sites'!$I$7,'Sites'!$M$7&gt;'Sites'!$J$7,'Sites'!$N$7&gt;'Sites'!$K$7,'Sites'!$Z$7&lt;0,'Sites'!$Z$7&gt;1,MIN('Sites'!$AA$7:'Sites'!$AC$7)&lt;0,S481&gt;F481+0.001),1,0)</f>
        <v/>
      </c>
      <c r="AO481" s="160">
        <f>I481+U481-T481-X481</f>
        <v/>
      </c>
    </row>
    <row r="482" ht="28" customHeight="1">
      <c r="A482" s="4" t="inlineStr">
        <is>
          <t>Lower sales</t>
        </is>
      </c>
      <c r="B482" s="4" t="inlineStr">
        <is>
          <t>NEW1</t>
        </is>
      </c>
      <c r="C482" s="160" t="n">
        <v>9</v>
      </c>
      <c r="D482" s="160">
        <f>ROUNDUP(C482/12,0)</f>
        <v/>
      </c>
      <c r="E482" s="160">
        <f>IF(AND('Sites'!$E$7=1,C482&gt;='Sites'!$F$7+'Cases'!$G$10,C482&lt;='Sites'!$G$7),1,0)</f>
        <v/>
      </c>
      <c r="F482" s="160">
        <f>E482*'Assumptions'!L68</f>
        <v/>
      </c>
      <c r="G482" s="160">
        <f>V481</f>
        <v/>
      </c>
      <c r="H482" s="160">
        <f>W481</f>
        <v/>
      </c>
      <c r="I482" s="160">
        <f>X481</f>
        <v/>
      </c>
      <c r="J482" s="160">
        <f>MAX(0,'Sites'!$I$7-SUM(N474:N481))</f>
        <v/>
      </c>
      <c r="K482" s="160">
        <f>IF('Sites'!$C$7="Own sheets",MIN(ROUNDDOWN(G482/'NM Play'!$B$11,0)+F482*'NM Play'!$B$10/'NM Play'!$B$43,ROUNDDOWN(H482/'NM Play'!$B$12,0)+F482*'NM Play'!$B$10/'NM Play'!$B$44,(F482*'NM Play'!$B$10+ROUNDDOWN(G482/'NM Play'!$B$11,0)*'NM Play'!$B$43+ROUNDDOWN(H482/'NM Play'!$B$12,0)*'NM Play'!$B$44)/('NM Play'!$B$43+'NM Play'!$B$44)),ROUNDDOWN(G482/'NM Play'!$B$11,0)+F482*'NM Play'!$B$10/'NM Play'!$B$43)</f>
        <v/>
      </c>
      <c r="L482" s="160">
        <f>MIN(ROUNDDOWN(G482/'NM Play'!$B$11,0)+F482/('NM Play'!$B$43/'NM Play'!$B$15),ROUNDDOWN(H482/'NM Play'!$B$12,0)+F482/('NM Play'!$B$44/'NM Play'!$B$16),(F482+ROUNDDOWN(G482/'NM Play'!$B$11,0)*'NM Play'!$B$43/'NM Play'!$B$15+ROUNDDOWN(H482/'NM Play'!$B$12,0)*'NM Play'!$B$44/'NM Play'!$B$16)/('NM Play'!$B$43/'NM Play'!$B$15+'NM Play'!$B$44/'NM Play'!$B$16))</f>
        <v/>
      </c>
      <c r="M482" s="160">
        <f>F482*'NM Play'!$B$36</f>
        <v/>
      </c>
      <c r="N482" s="160">
        <f>ROUNDDOWN(MAX(0,MIN(J482,K482:M482)),0)</f>
        <v/>
      </c>
      <c r="O482" s="160">
        <f>ROUNDUP(MAX(0,N482*'NM Play'!$B$11-G482)/'NM Play'!$B$13,0)</f>
        <v/>
      </c>
      <c r="P482" s="160">
        <f>ROUNDUP(MAX(0,N482*'NM Play'!$B$12-H482)/'NM Play'!$B$14,0)</f>
        <v/>
      </c>
      <c r="Q482" s="160">
        <f>(O482+IF('Sites'!$C$7="Own sheets",P482,0))/'NM Play'!$B$10</f>
        <v/>
      </c>
      <c r="R482" s="160">
        <f>O482/'NM Play'!$B$15+P482/'NM Play'!$B$16</f>
        <v/>
      </c>
      <c r="S482" s="160">
        <f>MAX(Q482,R482,N482/'NM Play'!$B$36)</f>
        <v/>
      </c>
      <c r="T482" s="160">
        <f>Q482*'NM Play'!$B$10*'NM Play'!$B$21*(1+'NM Play'!$B$35)</f>
        <v/>
      </c>
      <c r="U482" s="160">
        <f>MAX(0,T482-I482)</f>
        <v/>
      </c>
      <c r="V482" s="160">
        <f>G482+O482*'NM Play'!$B$13-N482*'NM Play'!$B$11</f>
        <v/>
      </c>
      <c r="W482" s="160">
        <f>H482+P482*'NM Play'!$B$14-N482*'NM Play'!$B$12</f>
        <v/>
      </c>
      <c r="X482" s="160">
        <f>I482+U482-T482</f>
        <v/>
      </c>
      <c r="Y482" s="160">
        <f>MIN(N482,MAX(0,ROUNDDOWN('Sites'!$L$7*'Cases'!$E$10,0)-SUM(Y474:Y481)))</f>
        <v/>
      </c>
      <c r="Z482" s="160">
        <f>N482-Y482</f>
        <v/>
      </c>
      <c r="AA482" s="160">
        <f>U482*'NM Play'!$B$22</f>
        <v/>
      </c>
      <c r="AB482" s="160">
        <f>N482*SUM('NM Play'!$B$29:$B$31)</f>
        <v/>
      </c>
      <c r="AC482" s="160">
        <f>IF('Sites'!$C$7="Defy legs",P482*'NM Play'!$B$14/'NM Play'!$B$12*'NM Play'!$B$28,0)</f>
        <v/>
      </c>
      <c r="AD482" s="160">
        <f>Q482*'NM Play'!$B$23</f>
        <v/>
      </c>
      <c r="AE482" s="160">
        <f>S482*SUM('NM Play'!$B$26,'NM Play'!$B$33:$B$34)</f>
        <v/>
      </c>
      <c r="AF482" s="160">
        <f>IF('Sites'!$D$7="NM crew",S482*SUM('NM Play'!$B$24:$B$25),0)</f>
        <v/>
      </c>
      <c r="AG482" s="160">
        <f>IF('Sites'!$D$7="NM crew",S482*'NM Play'!$B$27,0)</f>
        <v/>
      </c>
      <c r="AH482" s="160">
        <f>N482*'Sites'!$Z$7*'NM Play'!$B$32</f>
        <v/>
      </c>
      <c r="AI482" s="160">
        <f>SUM(Y482:Z482)*'Sites'!$R$7</f>
        <v/>
      </c>
      <c r="AJ482" s="160">
        <f>SUM(AA482:AH482)</f>
        <v/>
      </c>
      <c r="AK482" s="160">
        <f>AJ482+(T482-U482)*'NM Play'!$B$22+MIN(G482,N482*'NM Play'!$B$11)/'NM Play'!$B$13*'NM Play'!$B$21*'NM Play'!$B$22+MIN(H482,N482*'NM Play'!$B$12)/'NM Play'!$B$14*IF('Sites'!$C$7="Own sheets",'NM Play'!$B$21*'NM Play'!$B$22,'NM Play'!$B$28*'NM Play'!$B$14/'NM Play'!$B$12)</f>
        <v/>
      </c>
      <c r="AL482" s="160">
        <f>Y482*'Assumptions'!L66</f>
        <v/>
      </c>
      <c r="AM482" s="160">
        <f>IF('Sites'!$D$7="NM crew",S482*'NM Play'!$B$37*(1+IF(AND(ISNUMBER('NM Play'!$B$25),'NM Play'!$B$25&gt;0),1,0)),"")</f>
        <v/>
      </c>
      <c r="AN482" s="160">
        <f>IF(OR('Sites'!$E$7&lt;0,'Sites'!$E$7&gt;1,'Sites'!$F$7&lt;1,'Sites'!$G$7&lt;'Sites'!$F$7,F482&lt;0,MIN('Sites'!$I$7:'Sites'!$R$7)&lt;0,'Sites'!$L$7&gt;'Sites'!$I$7,'Sites'!$M$7&gt;'Sites'!$J$7,'Sites'!$N$7&gt;'Sites'!$K$7,'Sites'!$Z$7&lt;0,'Sites'!$Z$7&gt;1,MIN('Sites'!$AA$7:'Sites'!$AC$7)&lt;0,S482&gt;F482+0.001),1,0)</f>
        <v/>
      </c>
      <c r="AO482" s="160">
        <f>I482+U482-T482-X482</f>
        <v/>
      </c>
    </row>
    <row r="483" ht="28" customHeight="1">
      <c r="A483" s="4" t="inlineStr">
        <is>
          <t>Lower sales</t>
        </is>
      </c>
      <c r="B483" s="4" t="inlineStr">
        <is>
          <t>NEW1</t>
        </is>
      </c>
      <c r="C483" s="160" t="n">
        <v>10</v>
      </c>
      <c r="D483" s="160">
        <f>ROUNDUP(C483/12,0)</f>
        <v/>
      </c>
      <c r="E483" s="160">
        <f>IF(AND('Sites'!$E$7=1,C483&gt;='Sites'!$F$7+'Cases'!$G$10,C483&lt;='Sites'!$G$7),1,0)</f>
        <v/>
      </c>
      <c r="F483" s="160">
        <f>E483*'Assumptions'!M68</f>
        <v/>
      </c>
      <c r="G483" s="160">
        <f>V482</f>
        <v/>
      </c>
      <c r="H483" s="160">
        <f>W482</f>
        <v/>
      </c>
      <c r="I483" s="160">
        <f>X482</f>
        <v/>
      </c>
      <c r="J483" s="160">
        <f>MAX(0,'Sites'!$I$7-SUM(N474:N482))</f>
        <v/>
      </c>
      <c r="K483" s="160">
        <f>IF('Sites'!$C$7="Own sheets",MIN(ROUNDDOWN(G483/'NM Play'!$B$11,0)+F483*'NM Play'!$B$10/'NM Play'!$B$43,ROUNDDOWN(H483/'NM Play'!$B$12,0)+F483*'NM Play'!$B$10/'NM Play'!$B$44,(F483*'NM Play'!$B$10+ROUNDDOWN(G483/'NM Play'!$B$11,0)*'NM Play'!$B$43+ROUNDDOWN(H483/'NM Play'!$B$12,0)*'NM Play'!$B$44)/('NM Play'!$B$43+'NM Play'!$B$44)),ROUNDDOWN(G483/'NM Play'!$B$11,0)+F483*'NM Play'!$B$10/'NM Play'!$B$43)</f>
        <v/>
      </c>
      <c r="L483" s="160">
        <f>MIN(ROUNDDOWN(G483/'NM Play'!$B$11,0)+F483/('NM Play'!$B$43/'NM Play'!$B$15),ROUNDDOWN(H483/'NM Play'!$B$12,0)+F483/('NM Play'!$B$44/'NM Play'!$B$16),(F483+ROUNDDOWN(G483/'NM Play'!$B$11,0)*'NM Play'!$B$43/'NM Play'!$B$15+ROUNDDOWN(H483/'NM Play'!$B$12,0)*'NM Play'!$B$44/'NM Play'!$B$16)/('NM Play'!$B$43/'NM Play'!$B$15+'NM Play'!$B$44/'NM Play'!$B$16))</f>
        <v/>
      </c>
      <c r="M483" s="160">
        <f>F483*'NM Play'!$B$36</f>
        <v/>
      </c>
      <c r="N483" s="160">
        <f>ROUNDDOWN(MAX(0,MIN(J483,K483:M483)),0)</f>
        <v/>
      </c>
      <c r="O483" s="160">
        <f>ROUNDUP(MAX(0,N483*'NM Play'!$B$11-G483)/'NM Play'!$B$13,0)</f>
        <v/>
      </c>
      <c r="P483" s="160">
        <f>ROUNDUP(MAX(0,N483*'NM Play'!$B$12-H483)/'NM Play'!$B$14,0)</f>
        <v/>
      </c>
      <c r="Q483" s="160">
        <f>(O483+IF('Sites'!$C$7="Own sheets",P483,0))/'NM Play'!$B$10</f>
        <v/>
      </c>
      <c r="R483" s="160">
        <f>O483/'NM Play'!$B$15+P483/'NM Play'!$B$16</f>
        <v/>
      </c>
      <c r="S483" s="160">
        <f>MAX(Q483,R483,N483/'NM Play'!$B$36)</f>
        <v/>
      </c>
      <c r="T483" s="160">
        <f>Q483*'NM Play'!$B$10*'NM Play'!$B$21*(1+'NM Play'!$B$35)</f>
        <v/>
      </c>
      <c r="U483" s="160">
        <f>MAX(0,T483-I483)</f>
        <v/>
      </c>
      <c r="V483" s="160">
        <f>G483+O483*'NM Play'!$B$13-N483*'NM Play'!$B$11</f>
        <v/>
      </c>
      <c r="W483" s="160">
        <f>H483+P483*'NM Play'!$B$14-N483*'NM Play'!$B$12</f>
        <v/>
      </c>
      <c r="X483" s="160">
        <f>I483+U483-T483</f>
        <v/>
      </c>
      <c r="Y483" s="160">
        <f>MIN(N483,MAX(0,ROUNDDOWN('Sites'!$L$7*'Cases'!$E$10,0)-SUM(Y474:Y482)))</f>
        <v/>
      </c>
      <c r="Z483" s="160">
        <f>N483-Y483</f>
        <v/>
      </c>
      <c r="AA483" s="160">
        <f>U483*'NM Play'!$B$22</f>
        <v/>
      </c>
      <c r="AB483" s="160">
        <f>N483*SUM('NM Play'!$B$29:$B$31)</f>
        <v/>
      </c>
      <c r="AC483" s="160">
        <f>IF('Sites'!$C$7="Defy legs",P483*'NM Play'!$B$14/'NM Play'!$B$12*'NM Play'!$B$28,0)</f>
        <v/>
      </c>
      <c r="AD483" s="160">
        <f>Q483*'NM Play'!$B$23</f>
        <v/>
      </c>
      <c r="AE483" s="160">
        <f>S483*SUM('NM Play'!$B$26,'NM Play'!$B$33:$B$34)</f>
        <v/>
      </c>
      <c r="AF483" s="160">
        <f>IF('Sites'!$D$7="NM crew",S483*SUM('NM Play'!$B$24:$B$25),0)</f>
        <v/>
      </c>
      <c r="AG483" s="160">
        <f>IF('Sites'!$D$7="NM crew",S483*'NM Play'!$B$27,0)</f>
        <v/>
      </c>
      <c r="AH483" s="160">
        <f>N483*'Sites'!$Z$7*'NM Play'!$B$32</f>
        <v/>
      </c>
      <c r="AI483" s="160">
        <f>SUM(Y483:Z483)*'Sites'!$R$7</f>
        <v/>
      </c>
      <c r="AJ483" s="160">
        <f>SUM(AA483:AH483)</f>
        <v/>
      </c>
      <c r="AK483" s="160">
        <f>AJ483+(T483-U483)*'NM Play'!$B$22+MIN(G483,N483*'NM Play'!$B$11)/'NM Play'!$B$13*'NM Play'!$B$21*'NM Play'!$B$22+MIN(H483,N483*'NM Play'!$B$12)/'NM Play'!$B$14*IF('Sites'!$C$7="Own sheets",'NM Play'!$B$21*'NM Play'!$B$22,'NM Play'!$B$28*'NM Play'!$B$14/'NM Play'!$B$12)</f>
        <v/>
      </c>
      <c r="AL483" s="160">
        <f>Y483*'Assumptions'!M66</f>
        <v/>
      </c>
      <c r="AM483" s="160">
        <f>IF('Sites'!$D$7="NM crew",S483*'NM Play'!$B$37*(1+IF(AND(ISNUMBER('NM Play'!$B$25),'NM Play'!$B$25&gt;0),1,0)),"")</f>
        <v/>
      </c>
      <c r="AN483" s="160">
        <f>IF(OR('Sites'!$E$7&lt;0,'Sites'!$E$7&gt;1,'Sites'!$F$7&lt;1,'Sites'!$G$7&lt;'Sites'!$F$7,F483&lt;0,MIN('Sites'!$I$7:'Sites'!$R$7)&lt;0,'Sites'!$L$7&gt;'Sites'!$I$7,'Sites'!$M$7&gt;'Sites'!$J$7,'Sites'!$N$7&gt;'Sites'!$K$7,'Sites'!$Z$7&lt;0,'Sites'!$Z$7&gt;1,MIN('Sites'!$AA$7:'Sites'!$AC$7)&lt;0,S483&gt;F483+0.001),1,0)</f>
        <v/>
      </c>
      <c r="AO483" s="160">
        <f>I483+U483-T483-X483</f>
        <v/>
      </c>
    </row>
    <row r="484" ht="28" customHeight="1">
      <c r="A484" s="4" t="inlineStr">
        <is>
          <t>Lower sales</t>
        </is>
      </c>
      <c r="B484" s="4" t="inlineStr">
        <is>
          <t>NEW1</t>
        </is>
      </c>
      <c r="C484" s="160" t="n">
        <v>11</v>
      </c>
      <c r="D484" s="160">
        <f>ROUNDUP(C484/12,0)</f>
        <v/>
      </c>
      <c r="E484" s="160">
        <f>IF(AND('Sites'!$E$7=1,C484&gt;='Sites'!$F$7+'Cases'!$G$10,C484&lt;='Sites'!$G$7),1,0)</f>
        <v/>
      </c>
      <c r="F484" s="160">
        <f>E484*'Assumptions'!N68</f>
        <v/>
      </c>
      <c r="G484" s="160">
        <f>V483</f>
        <v/>
      </c>
      <c r="H484" s="160">
        <f>W483</f>
        <v/>
      </c>
      <c r="I484" s="160">
        <f>X483</f>
        <v/>
      </c>
      <c r="J484" s="160">
        <f>MAX(0,'Sites'!$I$7-SUM(N474:N483))</f>
        <v/>
      </c>
      <c r="K484" s="160">
        <f>IF('Sites'!$C$7="Own sheets",MIN(ROUNDDOWN(G484/'NM Play'!$B$11,0)+F484*'NM Play'!$B$10/'NM Play'!$B$43,ROUNDDOWN(H484/'NM Play'!$B$12,0)+F484*'NM Play'!$B$10/'NM Play'!$B$44,(F484*'NM Play'!$B$10+ROUNDDOWN(G484/'NM Play'!$B$11,0)*'NM Play'!$B$43+ROUNDDOWN(H484/'NM Play'!$B$12,0)*'NM Play'!$B$44)/('NM Play'!$B$43+'NM Play'!$B$44)),ROUNDDOWN(G484/'NM Play'!$B$11,0)+F484*'NM Play'!$B$10/'NM Play'!$B$43)</f>
        <v/>
      </c>
      <c r="L484" s="160">
        <f>MIN(ROUNDDOWN(G484/'NM Play'!$B$11,0)+F484/('NM Play'!$B$43/'NM Play'!$B$15),ROUNDDOWN(H484/'NM Play'!$B$12,0)+F484/('NM Play'!$B$44/'NM Play'!$B$16),(F484+ROUNDDOWN(G484/'NM Play'!$B$11,0)*'NM Play'!$B$43/'NM Play'!$B$15+ROUNDDOWN(H484/'NM Play'!$B$12,0)*'NM Play'!$B$44/'NM Play'!$B$16)/('NM Play'!$B$43/'NM Play'!$B$15+'NM Play'!$B$44/'NM Play'!$B$16))</f>
        <v/>
      </c>
      <c r="M484" s="160">
        <f>F484*'NM Play'!$B$36</f>
        <v/>
      </c>
      <c r="N484" s="160">
        <f>ROUNDDOWN(MAX(0,MIN(J484,K484:M484)),0)</f>
        <v/>
      </c>
      <c r="O484" s="160">
        <f>ROUNDUP(MAX(0,N484*'NM Play'!$B$11-G484)/'NM Play'!$B$13,0)</f>
        <v/>
      </c>
      <c r="P484" s="160">
        <f>ROUNDUP(MAX(0,N484*'NM Play'!$B$12-H484)/'NM Play'!$B$14,0)</f>
        <v/>
      </c>
      <c r="Q484" s="160">
        <f>(O484+IF('Sites'!$C$7="Own sheets",P484,0))/'NM Play'!$B$10</f>
        <v/>
      </c>
      <c r="R484" s="160">
        <f>O484/'NM Play'!$B$15+P484/'NM Play'!$B$16</f>
        <v/>
      </c>
      <c r="S484" s="160">
        <f>MAX(Q484,R484,N484/'NM Play'!$B$36)</f>
        <v/>
      </c>
      <c r="T484" s="160">
        <f>Q484*'NM Play'!$B$10*'NM Play'!$B$21*(1+'NM Play'!$B$35)</f>
        <v/>
      </c>
      <c r="U484" s="160">
        <f>MAX(0,T484-I484)</f>
        <v/>
      </c>
      <c r="V484" s="160">
        <f>G484+O484*'NM Play'!$B$13-N484*'NM Play'!$B$11</f>
        <v/>
      </c>
      <c r="W484" s="160">
        <f>H484+P484*'NM Play'!$B$14-N484*'NM Play'!$B$12</f>
        <v/>
      </c>
      <c r="X484" s="160">
        <f>I484+U484-T484</f>
        <v/>
      </c>
      <c r="Y484" s="160">
        <f>MIN(N484,MAX(0,ROUNDDOWN('Sites'!$L$7*'Cases'!$E$10,0)-SUM(Y474:Y483)))</f>
        <v/>
      </c>
      <c r="Z484" s="160">
        <f>N484-Y484</f>
        <v/>
      </c>
      <c r="AA484" s="160">
        <f>U484*'NM Play'!$B$22</f>
        <v/>
      </c>
      <c r="AB484" s="160">
        <f>N484*SUM('NM Play'!$B$29:$B$31)</f>
        <v/>
      </c>
      <c r="AC484" s="160">
        <f>IF('Sites'!$C$7="Defy legs",P484*'NM Play'!$B$14/'NM Play'!$B$12*'NM Play'!$B$28,0)</f>
        <v/>
      </c>
      <c r="AD484" s="160">
        <f>Q484*'NM Play'!$B$23</f>
        <v/>
      </c>
      <c r="AE484" s="160">
        <f>S484*SUM('NM Play'!$B$26,'NM Play'!$B$33:$B$34)</f>
        <v/>
      </c>
      <c r="AF484" s="160">
        <f>IF('Sites'!$D$7="NM crew",S484*SUM('NM Play'!$B$24:$B$25),0)</f>
        <v/>
      </c>
      <c r="AG484" s="160">
        <f>IF('Sites'!$D$7="NM crew",S484*'NM Play'!$B$27,0)</f>
        <v/>
      </c>
      <c r="AH484" s="160">
        <f>N484*'Sites'!$Z$7*'NM Play'!$B$32</f>
        <v/>
      </c>
      <c r="AI484" s="160">
        <f>SUM(Y484:Z484)*'Sites'!$R$7</f>
        <v/>
      </c>
      <c r="AJ484" s="160">
        <f>SUM(AA484:AH484)</f>
        <v/>
      </c>
      <c r="AK484" s="160">
        <f>AJ484+(T484-U484)*'NM Play'!$B$22+MIN(G484,N484*'NM Play'!$B$11)/'NM Play'!$B$13*'NM Play'!$B$21*'NM Play'!$B$22+MIN(H484,N484*'NM Play'!$B$12)/'NM Play'!$B$14*IF('Sites'!$C$7="Own sheets",'NM Play'!$B$21*'NM Play'!$B$22,'NM Play'!$B$28*'NM Play'!$B$14/'NM Play'!$B$12)</f>
        <v/>
      </c>
      <c r="AL484" s="160">
        <f>Y484*'Assumptions'!N66</f>
        <v/>
      </c>
      <c r="AM484" s="160">
        <f>IF('Sites'!$D$7="NM crew",S484*'NM Play'!$B$37*(1+IF(AND(ISNUMBER('NM Play'!$B$25),'NM Play'!$B$25&gt;0),1,0)),"")</f>
        <v/>
      </c>
      <c r="AN484" s="160">
        <f>IF(OR('Sites'!$E$7&lt;0,'Sites'!$E$7&gt;1,'Sites'!$F$7&lt;1,'Sites'!$G$7&lt;'Sites'!$F$7,F484&lt;0,MIN('Sites'!$I$7:'Sites'!$R$7)&lt;0,'Sites'!$L$7&gt;'Sites'!$I$7,'Sites'!$M$7&gt;'Sites'!$J$7,'Sites'!$N$7&gt;'Sites'!$K$7,'Sites'!$Z$7&lt;0,'Sites'!$Z$7&gt;1,MIN('Sites'!$AA$7:'Sites'!$AC$7)&lt;0,S484&gt;F484+0.001),1,0)</f>
        <v/>
      </c>
      <c r="AO484" s="160">
        <f>I484+U484-T484-X484</f>
        <v/>
      </c>
    </row>
    <row r="485" ht="28" customHeight="1">
      <c r="A485" s="4" t="inlineStr">
        <is>
          <t>Lower sales</t>
        </is>
      </c>
      <c r="B485" s="4" t="inlineStr">
        <is>
          <t>NEW1</t>
        </is>
      </c>
      <c r="C485" s="160" t="n">
        <v>12</v>
      </c>
      <c r="D485" s="160">
        <f>ROUNDUP(C485/12,0)</f>
        <v/>
      </c>
      <c r="E485" s="160">
        <f>IF(AND('Sites'!$E$7=1,C485&gt;='Sites'!$F$7+'Cases'!$G$10,C485&lt;='Sites'!$G$7),1,0)</f>
        <v/>
      </c>
      <c r="F485" s="160">
        <f>E485*'Assumptions'!O68</f>
        <v/>
      </c>
      <c r="G485" s="160">
        <f>V484</f>
        <v/>
      </c>
      <c r="H485" s="160">
        <f>W484</f>
        <v/>
      </c>
      <c r="I485" s="160">
        <f>X484</f>
        <v/>
      </c>
      <c r="J485" s="160">
        <f>MAX(0,'Sites'!$I$7-SUM(N474:N484))</f>
        <v/>
      </c>
      <c r="K485" s="160">
        <f>IF('Sites'!$C$7="Own sheets",MIN(ROUNDDOWN(G485/'NM Play'!$B$11,0)+F485*'NM Play'!$B$10/'NM Play'!$B$43,ROUNDDOWN(H485/'NM Play'!$B$12,0)+F485*'NM Play'!$B$10/'NM Play'!$B$44,(F485*'NM Play'!$B$10+ROUNDDOWN(G485/'NM Play'!$B$11,0)*'NM Play'!$B$43+ROUNDDOWN(H485/'NM Play'!$B$12,0)*'NM Play'!$B$44)/('NM Play'!$B$43+'NM Play'!$B$44)),ROUNDDOWN(G485/'NM Play'!$B$11,0)+F485*'NM Play'!$B$10/'NM Play'!$B$43)</f>
        <v/>
      </c>
      <c r="L485" s="160">
        <f>MIN(ROUNDDOWN(G485/'NM Play'!$B$11,0)+F485/('NM Play'!$B$43/'NM Play'!$B$15),ROUNDDOWN(H485/'NM Play'!$B$12,0)+F485/('NM Play'!$B$44/'NM Play'!$B$16),(F485+ROUNDDOWN(G485/'NM Play'!$B$11,0)*'NM Play'!$B$43/'NM Play'!$B$15+ROUNDDOWN(H485/'NM Play'!$B$12,0)*'NM Play'!$B$44/'NM Play'!$B$16)/('NM Play'!$B$43/'NM Play'!$B$15+'NM Play'!$B$44/'NM Play'!$B$16))</f>
        <v/>
      </c>
      <c r="M485" s="160">
        <f>F485*'NM Play'!$B$36</f>
        <v/>
      </c>
      <c r="N485" s="160">
        <f>ROUNDDOWN(MAX(0,MIN(J485,K485:M485)),0)</f>
        <v/>
      </c>
      <c r="O485" s="160">
        <f>ROUNDUP(MAX(0,N485*'NM Play'!$B$11-G485)/'NM Play'!$B$13,0)</f>
        <v/>
      </c>
      <c r="P485" s="160">
        <f>ROUNDUP(MAX(0,N485*'NM Play'!$B$12-H485)/'NM Play'!$B$14,0)</f>
        <v/>
      </c>
      <c r="Q485" s="160">
        <f>(O485+IF('Sites'!$C$7="Own sheets",P485,0))/'NM Play'!$B$10</f>
        <v/>
      </c>
      <c r="R485" s="160">
        <f>O485/'NM Play'!$B$15+P485/'NM Play'!$B$16</f>
        <v/>
      </c>
      <c r="S485" s="160">
        <f>MAX(Q485,R485,N485/'NM Play'!$B$36)</f>
        <v/>
      </c>
      <c r="T485" s="160">
        <f>Q485*'NM Play'!$B$10*'NM Play'!$B$21*(1+'NM Play'!$B$35)</f>
        <v/>
      </c>
      <c r="U485" s="160">
        <f>MAX(0,T485-I485)</f>
        <v/>
      </c>
      <c r="V485" s="160">
        <f>G485+O485*'NM Play'!$B$13-N485*'NM Play'!$B$11</f>
        <v/>
      </c>
      <c r="W485" s="160">
        <f>H485+P485*'NM Play'!$B$14-N485*'NM Play'!$B$12</f>
        <v/>
      </c>
      <c r="X485" s="160">
        <f>I485+U485-T485</f>
        <v/>
      </c>
      <c r="Y485" s="160">
        <f>MIN(N485,MAX(0,ROUNDDOWN('Sites'!$L$7*'Cases'!$E$10,0)-SUM(Y474:Y484)))</f>
        <v/>
      </c>
      <c r="Z485" s="160">
        <f>N485-Y485</f>
        <v/>
      </c>
      <c r="AA485" s="160">
        <f>U485*'NM Play'!$B$22</f>
        <v/>
      </c>
      <c r="AB485" s="160">
        <f>N485*SUM('NM Play'!$B$29:$B$31)</f>
        <v/>
      </c>
      <c r="AC485" s="160">
        <f>IF('Sites'!$C$7="Defy legs",P485*'NM Play'!$B$14/'NM Play'!$B$12*'NM Play'!$B$28,0)</f>
        <v/>
      </c>
      <c r="AD485" s="160">
        <f>Q485*'NM Play'!$B$23</f>
        <v/>
      </c>
      <c r="AE485" s="160">
        <f>S485*SUM('NM Play'!$B$26,'NM Play'!$B$33:$B$34)</f>
        <v/>
      </c>
      <c r="AF485" s="160">
        <f>IF('Sites'!$D$7="NM crew",S485*SUM('NM Play'!$B$24:$B$25),0)</f>
        <v/>
      </c>
      <c r="AG485" s="160">
        <f>IF('Sites'!$D$7="NM crew",S485*'NM Play'!$B$27,0)</f>
        <v/>
      </c>
      <c r="AH485" s="160">
        <f>N485*'Sites'!$Z$7*'NM Play'!$B$32</f>
        <v/>
      </c>
      <c r="AI485" s="160">
        <f>SUM(Y485:Z485)*'Sites'!$R$7</f>
        <v/>
      </c>
      <c r="AJ485" s="160">
        <f>SUM(AA485:AH485)</f>
        <v/>
      </c>
      <c r="AK485" s="160">
        <f>AJ485+(T485-U485)*'NM Play'!$B$22+MIN(G485,N485*'NM Play'!$B$11)/'NM Play'!$B$13*'NM Play'!$B$21*'NM Play'!$B$22+MIN(H485,N485*'NM Play'!$B$12)/'NM Play'!$B$14*IF('Sites'!$C$7="Own sheets",'NM Play'!$B$21*'NM Play'!$B$22,'NM Play'!$B$28*'NM Play'!$B$14/'NM Play'!$B$12)</f>
        <v/>
      </c>
      <c r="AL485" s="160">
        <f>Y485*'Assumptions'!O66</f>
        <v/>
      </c>
      <c r="AM485" s="160">
        <f>IF('Sites'!$D$7="NM crew",S485*'NM Play'!$B$37*(1+IF(AND(ISNUMBER('NM Play'!$B$25),'NM Play'!$B$25&gt;0),1,0)),"")</f>
        <v/>
      </c>
      <c r="AN485" s="160">
        <f>IF(OR('Sites'!$E$7&lt;0,'Sites'!$E$7&gt;1,'Sites'!$F$7&lt;1,'Sites'!$G$7&lt;'Sites'!$F$7,F485&lt;0,MIN('Sites'!$I$7:'Sites'!$R$7)&lt;0,'Sites'!$L$7&gt;'Sites'!$I$7,'Sites'!$M$7&gt;'Sites'!$J$7,'Sites'!$N$7&gt;'Sites'!$K$7,'Sites'!$Z$7&lt;0,'Sites'!$Z$7&gt;1,MIN('Sites'!$AA$7:'Sites'!$AC$7)&lt;0,S485&gt;F485+0.001),1,0)</f>
        <v/>
      </c>
      <c r="AO485" s="160">
        <f>I485+U485-T485-X485</f>
        <v/>
      </c>
    </row>
    <row r="486" ht="28" customHeight="1">
      <c r="A486" s="4" t="inlineStr">
        <is>
          <t>Lower sales</t>
        </is>
      </c>
      <c r="B486" s="4" t="inlineStr">
        <is>
          <t>NEW1</t>
        </is>
      </c>
      <c r="C486" s="160" t="n">
        <v>13</v>
      </c>
      <c r="D486" s="160">
        <f>ROUNDUP(C486/12,0)</f>
        <v/>
      </c>
      <c r="E486" s="160">
        <f>IF(AND('Sites'!$E$7=1,C486&gt;='Sites'!$F$7+'Cases'!$G$10,C486&lt;='Sites'!$G$7),1,0)</f>
        <v/>
      </c>
      <c r="F486" s="160">
        <f>E486*'Assumptions'!P68</f>
        <v/>
      </c>
      <c r="G486" s="160">
        <f>V485</f>
        <v/>
      </c>
      <c r="H486" s="160">
        <f>W485</f>
        <v/>
      </c>
      <c r="I486" s="160">
        <f>X485</f>
        <v/>
      </c>
      <c r="J486" s="160">
        <f>MAX(0,'Sites'!$J$7-0)</f>
        <v/>
      </c>
      <c r="K486" s="160">
        <f>IF('Sites'!$C$7="Own sheets",MIN(ROUNDDOWN(G486/'NM Play'!$B$11,0)+F486*'NM Play'!$B$10/'NM Play'!$B$43,ROUNDDOWN(H486/'NM Play'!$B$12,0)+F486*'NM Play'!$B$10/'NM Play'!$B$44,(F486*'NM Play'!$B$10+ROUNDDOWN(G486/'NM Play'!$B$11,0)*'NM Play'!$B$43+ROUNDDOWN(H486/'NM Play'!$B$12,0)*'NM Play'!$B$44)/('NM Play'!$B$43+'NM Play'!$B$44)),ROUNDDOWN(G486/'NM Play'!$B$11,0)+F486*'NM Play'!$B$10/'NM Play'!$B$43)</f>
        <v/>
      </c>
      <c r="L486" s="160">
        <f>MIN(ROUNDDOWN(G486/'NM Play'!$B$11,0)+F486/('NM Play'!$B$43/'NM Play'!$B$15),ROUNDDOWN(H486/'NM Play'!$B$12,0)+F486/('NM Play'!$B$44/'NM Play'!$B$16),(F486+ROUNDDOWN(G486/'NM Play'!$B$11,0)*'NM Play'!$B$43/'NM Play'!$B$15+ROUNDDOWN(H486/'NM Play'!$B$12,0)*'NM Play'!$B$44/'NM Play'!$B$16)/('NM Play'!$B$43/'NM Play'!$B$15+'NM Play'!$B$44/'NM Play'!$B$16))</f>
        <v/>
      </c>
      <c r="M486" s="160">
        <f>F486*'NM Play'!$B$36</f>
        <v/>
      </c>
      <c r="N486" s="160">
        <f>ROUNDDOWN(MAX(0,MIN(J486,K486:M486)),0)</f>
        <v/>
      </c>
      <c r="O486" s="160">
        <f>ROUNDUP(MAX(0,N486*'NM Play'!$B$11-G486)/'NM Play'!$B$13,0)</f>
        <v/>
      </c>
      <c r="P486" s="160">
        <f>ROUNDUP(MAX(0,N486*'NM Play'!$B$12-H486)/'NM Play'!$B$14,0)</f>
        <v/>
      </c>
      <c r="Q486" s="160">
        <f>(O486+IF('Sites'!$C$7="Own sheets",P486,0))/'NM Play'!$B$10</f>
        <v/>
      </c>
      <c r="R486" s="160">
        <f>O486/'NM Play'!$B$15+P486/'NM Play'!$B$16</f>
        <v/>
      </c>
      <c r="S486" s="160">
        <f>MAX(Q486,R486,N486/'NM Play'!$B$36)</f>
        <v/>
      </c>
      <c r="T486" s="160">
        <f>Q486*'NM Play'!$B$10*'NM Play'!$B$21*(1+'NM Play'!$B$35)</f>
        <v/>
      </c>
      <c r="U486" s="160">
        <f>MAX(0,T486-I486)</f>
        <v/>
      </c>
      <c r="V486" s="160">
        <f>G486+O486*'NM Play'!$B$13-N486*'NM Play'!$B$11</f>
        <v/>
      </c>
      <c r="W486" s="160">
        <f>H486+P486*'NM Play'!$B$14-N486*'NM Play'!$B$12</f>
        <v/>
      </c>
      <c r="X486" s="160">
        <f>I486+U486-T486</f>
        <v/>
      </c>
      <c r="Y486" s="160">
        <f>MIN(N486,MAX(0,ROUNDDOWN('Sites'!$M$7*'Cases'!$E$10,0)-0))</f>
        <v/>
      </c>
      <c r="Z486" s="160">
        <f>N486-Y486</f>
        <v/>
      </c>
      <c r="AA486" s="160">
        <f>U486*'NM Play'!$B$22</f>
        <v/>
      </c>
      <c r="AB486" s="160">
        <f>N486*SUM('NM Play'!$B$29:$B$31)</f>
        <v/>
      </c>
      <c r="AC486" s="160">
        <f>IF('Sites'!$C$7="Defy legs",P486*'NM Play'!$B$14/'NM Play'!$B$12*'NM Play'!$B$28,0)</f>
        <v/>
      </c>
      <c r="AD486" s="160">
        <f>Q486*'NM Play'!$B$23</f>
        <v/>
      </c>
      <c r="AE486" s="160">
        <f>S486*SUM('NM Play'!$B$26,'NM Play'!$B$33:$B$34)</f>
        <v/>
      </c>
      <c r="AF486" s="160">
        <f>IF('Sites'!$D$7="NM crew",S486*SUM('NM Play'!$B$24:$B$25),0)</f>
        <v/>
      </c>
      <c r="AG486" s="160">
        <f>IF('Sites'!$D$7="NM crew",S486*'NM Play'!$B$27,0)</f>
        <v/>
      </c>
      <c r="AH486" s="160">
        <f>N486*'Sites'!$Z$7*'NM Play'!$B$32</f>
        <v/>
      </c>
      <c r="AI486" s="160">
        <f>SUM(Y486:Z486)*'Sites'!$R$7</f>
        <v/>
      </c>
      <c r="AJ486" s="160">
        <f>SUM(AA486:AH486)</f>
        <v/>
      </c>
      <c r="AK486" s="160">
        <f>AJ486+(T486-U486)*'NM Play'!$B$22+MIN(G486,N486*'NM Play'!$B$11)/'NM Play'!$B$13*'NM Play'!$B$21*'NM Play'!$B$22+MIN(H486,N486*'NM Play'!$B$12)/'NM Play'!$B$14*IF('Sites'!$C$7="Own sheets",'NM Play'!$B$21*'NM Play'!$B$22,'NM Play'!$B$28*'NM Play'!$B$14/'NM Play'!$B$12)</f>
        <v/>
      </c>
      <c r="AL486" s="160">
        <f>Y486*'Assumptions'!P66</f>
        <v/>
      </c>
      <c r="AM486" s="160">
        <f>IF('Sites'!$D$7="NM crew",S486*'NM Play'!$B$37*(1+IF(AND(ISNUMBER('NM Play'!$B$25),'NM Play'!$B$25&gt;0),1,0)),"")</f>
        <v/>
      </c>
      <c r="AN486" s="160">
        <f>IF(OR('Sites'!$E$7&lt;0,'Sites'!$E$7&gt;1,'Sites'!$F$7&lt;1,'Sites'!$G$7&lt;'Sites'!$F$7,F486&lt;0,MIN('Sites'!$I$7:'Sites'!$R$7)&lt;0,'Sites'!$L$7&gt;'Sites'!$I$7,'Sites'!$M$7&gt;'Sites'!$J$7,'Sites'!$N$7&gt;'Sites'!$K$7,'Sites'!$Z$7&lt;0,'Sites'!$Z$7&gt;1,MIN('Sites'!$AA$7:'Sites'!$AC$7)&lt;0,S486&gt;F486+0.001),1,0)</f>
        <v/>
      </c>
      <c r="AO486" s="160">
        <f>I486+U486-T486-X486</f>
        <v/>
      </c>
    </row>
    <row r="487" ht="28" customHeight="1">
      <c r="A487" s="4" t="inlineStr">
        <is>
          <t>Lower sales</t>
        </is>
      </c>
      <c r="B487" s="4" t="inlineStr">
        <is>
          <t>NEW1</t>
        </is>
      </c>
      <c r="C487" s="160" t="n">
        <v>14</v>
      </c>
      <c r="D487" s="160">
        <f>ROUNDUP(C487/12,0)</f>
        <v/>
      </c>
      <c r="E487" s="160">
        <f>IF(AND('Sites'!$E$7=1,C487&gt;='Sites'!$F$7+'Cases'!$G$10,C487&lt;='Sites'!$G$7),1,0)</f>
        <v/>
      </c>
      <c r="F487" s="160">
        <f>E487*'Assumptions'!Q68</f>
        <v/>
      </c>
      <c r="G487" s="160">
        <f>V486</f>
        <v/>
      </c>
      <c r="H487" s="160">
        <f>W486</f>
        <v/>
      </c>
      <c r="I487" s="160">
        <f>X486</f>
        <v/>
      </c>
      <c r="J487" s="160">
        <f>MAX(0,'Sites'!$J$7-SUM(N486:N486))</f>
        <v/>
      </c>
      <c r="K487" s="160">
        <f>IF('Sites'!$C$7="Own sheets",MIN(ROUNDDOWN(G487/'NM Play'!$B$11,0)+F487*'NM Play'!$B$10/'NM Play'!$B$43,ROUNDDOWN(H487/'NM Play'!$B$12,0)+F487*'NM Play'!$B$10/'NM Play'!$B$44,(F487*'NM Play'!$B$10+ROUNDDOWN(G487/'NM Play'!$B$11,0)*'NM Play'!$B$43+ROUNDDOWN(H487/'NM Play'!$B$12,0)*'NM Play'!$B$44)/('NM Play'!$B$43+'NM Play'!$B$44)),ROUNDDOWN(G487/'NM Play'!$B$11,0)+F487*'NM Play'!$B$10/'NM Play'!$B$43)</f>
        <v/>
      </c>
      <c r="L487" s="160">
        <f>MIN(ROUNDDOWN(G487/'NM Play'!$B$11,0)+F487/('NM Play'!$B$43/'NM Play'!$B$15),ROUNDDOWN(H487/'NM Play'!$B$12,0)+F487/('NM Play'!$B$44/'NM Play'!$B$16),(F487+ROUNDDOWN(G487/'NM Play'!$B$11,0)*'NM Play'!$B$43/'NM Play'!$B$15+ROUNDDOWN(H487/'NM Play'!$B$12,0)*'NM Play'!$B$44/'NM Play'!$B$16)/('NM Play'!$B$43/'NM Play'!$B$15+'NM Play'!$B$44/'NM Play'!$B$16))</f>
        <v/>
      </c>
      <c r="M487" s="160">
        <f>F487*'NM Play'!$B$36</f>
        <v/>
      </c>
      <c r="N487" s="160">
        <f>ROUNDDOWN(MAX(0,MIN(J487,K487:M487)),0)</f>
        <v/>
      </c>
      <c r="O487" s="160">
        <f>ROUNDUP(MAX(0,N487*'NM Play'!$B$11-G487)/'NM Play'!$B$13,0)</f>
        <v/>
      </c>
      <c r="P487" s="160">
        <f>ROUNDUP(MAX(0,N487*'NM Play'!$B$12-H487)/'NM Play'!$B$14,0)</f>
        <v/>
      </c>
      <c r="Q487" s="160">
        <f>(O487+IF('Sites'!$C$7="Own sheets",P487,0))/'NM Play'!$B$10</f>
        <v/>
      </c>
      <c r="R487" s="160">
        <f>O487/'NM Play'!$B$15+P487/'NM Play'!$B$16</f>
        <v/>
      </c>
      <c r="S487" s="160">
        <f>MAX(Q487,R487,N487/'NM Play'!$B$36)</f>
        <v/>
      </c>
      <c r="T487" s="160">
        <f>Q487*'NM Play'!$B$10*'NM Play'!$B$21*(1+'NM Play'!$B$35)</f>
        <v/>
      </c>
      <c r="U487" s="160">
        <f>MAX(0,T487-I487)</f>
        <v/>
      </c>
      <c r="V487" s="160">
        <f>G487+O487*'NM Play'!$B$13-N487*'NM Play'!$B$11</f>
        <v/>
      </c>
      <c r="W487" s="160">
        <f>H487+P487*'NM Play'!$B$14-N487*'NM Play'!$B$12</f>
        <v/>
      </c>
      <c r="X487" s="160">
        <f>I487+U487-T487</f>
        <v/>
      </c>
      <c r="Y487" s="160">
        <f>MIN(N487,MAX(0,ROUNDDOWN('Sites'!$M$7*'Cases'!$E$10,0)-SUM(Y486:Y486)))</f>
        <v/>
      </c>
      <c r="Z487" s="160">
        <f>N487-Y487</f>
        <v/>
      </c>
      <c r="AA487" s="160">
        <f>U487*'NM Play'!$B$22</f>
        <v/>
      </c>
      <c r="AB487" s="160">
        <f>N487*SUM('NM Play'!$B$29:$B$31)</f>
        <v/>
      </c>
      <c r="AC487" s="160">
        <f>IF('Sites'!$C$7="Defy legs",P487*'NM Play'!$B$14/'NM Play'!$B$12*'NM Play'!$B$28,0)</f>
        <v/>
      </c>
      <c r="AD487" s="160">
        <f>Q487*'NM Play'!$B$23</f>
        <v/>
      </c>
      <c r="AE487" s="160">
        <f>S487*SUM('NM Play'!$B$26,'NM Play'!$B$33:$B$34)</f>
        <v/>
      </c>
      <c r="AF487" s="160">
        <f>IF('Sites'!$D$7="NM crew",S487*SUM('NM Play'!$B$24:$B$25),0)</f>
        <v/>
      </c>
      <c r="AG487" s="160">
        <f>IF('Sites'!$D$7="NM crew",S487*'NM Play'!$B$27,0)</f>
        <v/>
      </c>
      <c r="AH487" s="160">
        <f>N487*'Sites'!$Z$7*'NM Play'!$B$32</f>
        <v/>
      </c>
      <c r="AI487" s="160">
        <f>SUM(Y487:Z487)*'Sites'!$R$7</f>
        <v/>
      </c>
      <c r="AJ487" s="160">
        <f>SUM(AA487:AH487)</f>
        <v/>
      </c>
      <c r="AK487" s="160">
        <f>AJ487+(T487-U487)*'NM Play'!$B$22+MIN(G487,N487*'NM Play'!$B$11)/'NM Play'!$B$13*'NM Play'!$B$21*'NM Play'!$B$22+MIN(H487,N487*'NM Play'!$B$12)/'NM Play'!$B$14*IF('Sites'!$C$7="Own sheets",'NM Play'!$B$21*'NM Play'!$B$22,'NM Play'!$B$28*'NM Play'!$B$14/'NM Play'!$B$12)</f>
        <v/>
      </c>
      <c r="AL487" s="160">
        <f>Y487*'Assumptions'!Q66</f>
        <v/>
      </c>
      <c r="AM487" s="160">
        <f>IF('Sites'!$D$7="NM crew",S487*'NM Play'!$B$37*(1+IF(AND(ISNUMBER('NM Play'!$B$25),'NM Play'!$B$25&gt;0),1,0)),"")</f>
        <v/>
      </c>
      <c r="AN487" s="160">
        <f>IF(OR('Sites'!$E$7&lt;0,'Sites'!$E$7&gt;1,'Sites'!$F$7&lt;1,'Sites'!$G$7&lt;'Sites'!$F$7,F487&lt;0,MIN('Sites'!$I$7:'Sites'!$R$7)&lt;0,'Sites'!$L$7&gt;'Sites'!$I$7,'Sites'!$M$7&gt;'Sites'!$J$7,'Sites'!$N$7&gt;'Sites'!$K$7,'Sites'!$Z$7&lt;0,'Sites'!$Z$7&gt;1,MIN('Sites'!$AA$7:'Sites'!$AC$7)&lt;0,S487&gt;F487+0.001),1,0)</f>
        <v/>
      </c>
      <c r="AO487" s="160">
        <f>I487+U487-T487-X487</f>
        <v/>
      </c>
    </row>
    <row r="488" ht="28" customHeight="1">
      <c r="A488" s="4" t="inlineStr">
        <is>
          <t>Lower sales</t>
        </is>
      </c>
      <c r="B488" s="4" t="inlineStr">
        <is>
          <t>NEW1</t>
        </is>
      </c>
      <c r="C488" s="160" t="n">
        <v>15</v>
      </c>
      <c r="D488" s="160">
        <f>ROUNDUP(C488/12,0)</f>
        <v/>
      </c>
      <c r="E488" s="160">
        <f>IF(AND('Sites'!$E$7=1,C488&gt;='Sites'!$F$7+'Cases'!$G$10,C488&lt;='Sites'!$G$7),1,0)</f>
        <v/>
      </c>
      <c r="F488" s="160">
        <f>E488*'Assumptions'!R68</f>
        <v/>
      </c>
      <c r="G488" s="160">
        <f>V487</f>
        <v/>
      </c>
      <c r="H488" s="160">
        <f>W487</f>
        <v/>
      </c>
      <c r="I488" s="160">
        <f>X487</f>
        <v/>
      </c>
      <c r="J488" s="160">
        <f>MAX(0,'Sites'!$J$7-SUM(N486:N487))</f>
        <v/>
      </c>
      <c r="K488" s="160">
        <f>IF('Sites'!$C$7="Own sheets",MIN(ROUNDDOWN(G488/'NM Play'!$B$11,0)+F488*'NM Play'!$B$10/'NM Play'!$B$43,ROUNDDOWN(H488/'NM Play'!$B$12,0)+F488*'NM Play'!$B$10/'NM Play'!$B$44,(F488*'NM Play'!$B$10+ROUNDDOWN(G488/'NM Play'!$B$11,0)*'NM Play'!$B$43+ROUNDDOWN(H488/'NM Play'!$B$12,0)*'NM Play'!$B$44)/('NM Play'!$B$43+'NM Play'!$B$44)),ROUNDDOWN(G488/'NM Play'!$B$11,0)+F488*'NM Play'!$B$10/'NM Play'!$B$43)</f>
        <v/>
      </c>
      <c r="L488" s="160">
        <f>MIN(ROUNDDOWN(G488/'NM Play'!$B$11,0)+F488/('NM Play'!$B$43/'NM Play'!$B$15),ROUNDDOWN(H488/'NM Play'!$B$12,0)+F488/('NM Play'!$B$44/'NM Play'!$B$16),(F488+ROUNDDOWN(G488/'NM Play'!$B$11,0)*'NM Play'!$B$43/'NM Play'!$B$15+ROUNDDOWN(H488/'NM Play'!$B$12,0)*'NM Play'!$B$44/'NM Play'!$B$16)/('NM Play'!$B$43/'NM Play'!$B$15+'NM Play'!$B$44/'NM Play'!$B$16))</f>
        <v/>
      </c>
      <c r="M488" s="160">
        <f>F488*'NM Play'!$B$36</f>
        <v/>
      </c>
      <c r="N488" s="160">
        <f>ROUNDDOWN(MAX(0,MIN(J488,K488:M488)),0)</f>
        <v/>
      </c>
      <c r="O488" s="160">
        <f>ROUNDUP(MAX(0,N488*'NM Play'!$B$11-G488)/'NM Play'!$B$13,0)</f>
        <v/>
      </c>
      <c r="P488" s="160">
        <f>ROUNDUP(MAX(0,N488*'NM Play'!$B$12-H488)/'NM Play'!$B$14,0)</f>
        <v/>
      </c>
      <c r="Q488" s="160">
        <f>(O488+IF('Sites'!$C$7="Own sheets",P488,0))/'NM Play'!$B$10</f>
        <v/>
      </c>
      <c r="R488" s="160">
        <f>O488/'NM Play'!$B$15+P488/'NM Play'!$B$16</f>
        <v/>
      </c>
      <c r="S488" s="160">
        <f>MAX(Q488,R488,N488/'NM Play'!$B$36)</f>
        <v/>
      </c>
      <c r="T488" s="160">
        <f>Q488*'NM Play'!$B$10*'NM Play'!$B$21*(1+'NM Play'!$B$35)</f>
        <v/>
      </c>
      <c r="U488" s="160">
        <f>MAX(0,T488-I488)</f>
        <v/>
      </c>
      <c r="V488" s="160">
        <f>G488+O488*'NM Play'!$B$13-N488*'NM Play'!$B$11</f>
        <v/>
      </c>
      <c r="W488" s="160">
        <f>H488+P488*'NM Play'!$B$14-N488*'NM Play'!$B$12</f>
        <v/>
      </c>
      <c r="X488" s="160">
        <f>I488+U488-T488</f>
        <v/>
      </c>
      <c r="Y488" s="160">
        <f>MIN(N488,MAX(0,ROUNDDOWN('Sites'!$M$7*'Cases'!$E$10,0)-SUM(Y486:Y487)))</f>
        <v/>
      </c>
      <c r="Z488" s="160">
        <f>N488-Y488</f>
        <v/>
      </c>
      <c r="AA488" s="160">
        <f>U488*'NM Play'!$B$22</f>
        <v/>
      </c>
      <c r="AB488" s="160">
        <f>N488*SUM('NM Play'!$B$29:$B$31)</f>
        <v/>
      </c>
      <c r="AC488" s="160">
        <f>IF('Sites'!$C$7="Defy legs",P488*'NM Play'!$B$14/'NM Play'!$B$12*'NM Play'!$B$28,0)</f>
        <v/>
      </c>
      <c r="AD488" s="160">
        <f>Q488*'NM Play'!$B$23</f>
        <v/>
      </c>
      <c r="AE488" s="160">
        <f>S488*SUM('NM Play'!$B$26,'NM Play'!$B$33:$B$34)</f>
        <v/>
      </c>
      <c r="AF488" s="160">
        <f>IF('Sites'!$D$7="NM crew",S488*SUM('NM Play'!$B$24:$B$25),0)</f>
        <v/>
      </c>
      <c r="AG488" s="160">
        <f>IF('Sites'!$D$7="NM crew",S488*'NM Play'!$B$27,0)</f>
        <v/>
      </c>
      <c r="AH488" s="160">
        <f>N488*'Sites'!$Z$7*'NM Play'!$B$32</f>
        <v/>
      </c>
      <c r="AI488" s="160">
        <f>SUM(Y488:Z488)*'Sites'!$R$7</f>
        <v/>
      </c>
      <c r="AJ488" s="160">
        <f>SUM(AA488:AH488)</f>
        <v/>
      </c>
      <c r="AK488" s="160">
        <f>AJ488+(T488-U488)*'NM Play'!$B$22+MIN(G488,N488*'NM Play'!$B$11)/'NM Play'!$B$13*'NM Play'!$B$21*'NM Play'!$B$22+MIN(H488,N488*'NM Play'!$B$12)/'NM Play'!$B$14*IF('Sites'!$C$7="Own sheets",'NM Play'!$B$21*'NM Play'!$B$22,'NM Play'!$B$28*'NM Play'!$B$14/'NM Play'!$B$12)</f>
        <v/>
      </c>
      <c r="AL488" s="160">
        <f>Y488*'Assumptions'!R66</f>
        <v/>
      </c>
      <c r="AM488" s="160">
        <f>IF('Sites'!$D$7="NM crew",S488*'NM Play'!$B$37*(1+IF(AND(ISNUMBER('NM Play'!$B$25),'NM Play'!$B$25&gt;0),1,0)),"")</f>
        <v/>
      </c>
      <c r="AN488" s="160">
        <f>IF(OR('Sites'!$E$7&lt;0,'Sites'!$E$7&gt;1,'Sites'!$F$7&lt;1,'Sites'!$G$7&lt;'Sites'!$F$7,F488&lt;0,MIN('Sites'!$I$7:'Sites'!$R$7)&lt;0,'Sites'!$L$7&gt;'Sites'!$I$7,'Sites'!$M$7&gt;'Sites'!$J$7,'Sites'!$N$7&gt;'Sites'!$K$7,'Sites'!$Z$7&lt;0,'Sites'!$Z$7&gt;1,MIN('Sites'!$AA$7:'Sites'!$AC$7)&lt;0,S488&gt;F488+0.001),1,0)</f>
        <v/>
      </c>
      <c r="AO488" s="160">
        <f>I488+U488-T488-X488</f>
        <v/>
      </c>
    </row>
    <row r="489" ht="28" customHeight="1">
      <c r="A489" s="4" t="inlineStr">
        <is>
          <t>Lower sales</t>
        </is>
      </c>
      <c r="B489" s="4" t="inlineStr">
        <is>
          <t>NEW1</t>
        </is>
      </c>
      <c r="C489" s="160" t="n">
        <v>16</v>
      </c>
      <c r="D489" s="160">
        <f>ROUNDUP(C489/12,0)</f>
        <v/>
      </c>
      <c r="E489" s="160">
        <f>IF(AND('Sites'!$E$7=1,C489&gt;='Sites'!$F$7+'Cases'!$G$10,C489&lt;='Sites'!$G$7),1,0)</f>
        <v/>
      </c>
      <c r="F489" s="160">
        <f>E489*'Assumptions'!S68</f>
        <v/>
      </c>
      <c r="G489" s="160">
        <f>V488</f>
        <v/>
      </c>
      <c r="H489" s="160">
        <f>W488</f>
        <v/>
      </c>
      <c r="I489" s="160">
        <f>X488</f>
        <v/>
      </c>
      <c r="J489" s="160">
        <f>MAX(0,'Sites'!$J$7-SUM(N486:N488))</f>
        <v/>
      </c>
      <c r="K489" s="160">
        <f>IF('Sites'!$C$7="Own sheets",MIN(ROUNDDOWN(G489/'NM Play'!$B$11,0)+F489*'NM Play'!$B$10/'NM Play'!$B$43,ROUNDDOWN(H489/'NM Play'!$B$12,0)+F489*'NM Play'!$B$10/'NM Play'!$B$44,(F489*'NM Play'!$B$10+ROUNDDOWN(G489/'NM Play'!$B$11,0)*'NM Play'!$B$43+ROUNDDOWN(H489/'NM Play'!$B$12,0)*'NM Play'!$B$44)/('NM Play'!$B$43+'NM Play'!$B$44)),ROUNDDOWN(G489/'NM Play'!$B$11,0)+F489*'NM Play'!$B$10/'NM Play'!$B$43)</f>
        <v/>
      </c>
      <c r="L489" s="160">
        <f>MIN(ROUNDDOWN(G489/'NM Play'!$B$11,0)+F489/('NM Play'!$B$43/'NM Play'!$B$15),ROUNDDOWN(H489/'NM Play'!$B$12,0)+F489/('NM Play'!$B$44/'NM Play'!$B$16),(F489+ROUNDDOWN(G489/'NM Play'!$B$11,0)*'NM Play'!$B$43/'NM Play'!$B$15+ROUNDDOWN(H489/'NM Play'!$B$12,0)*'NM Play'!$B$44/'NM Play'!$B$16)/('NM Play'!$B$43/'NM Play'!$B$15+'NM Play'!$B$44/'NM Play'!$B$16))</f>
        <v/>
      </c>
      <c r="M489" s="160">
        <f>F489*'NM Play'!$B$36</f>
        <v/>
      </c>
      <c r="N489" s="160">
        <f>ROUNDDOWN(MAX(0,MIN(J489,K489:M489)),0)</f>
        <v/>
      </c>
      <c r="O489" s="160">
        <f>ROUNDUP(MAX(0,N489*'NM Play'!$B$11-G489)/'NM Play'!$B$13,0)</f>
        <v/>
      </c>
      <c r="P489" s="160">
        <f>ROUNDUP(MAX(0,N489*'NM Play'!$B$12-H489)/'NM Play'!$B$14,0)</f>
        <v/>
      </c>
      <c r="Q489" s="160">
        <f>(O489+IF('Sites'!$C$7="Own sheets",P489,0))/'NM Play'!$B$10</f>
        <v/>
      </c>
      <c r="R489" s="160">
        <f>O489/'NM Play'!$B$15+P489/'NM Play'!$B$16</f>
        <v/>
      </c>
      <c r="S489" s="160">
        <f>MAX(Q489,R489,N489/'NM Play'!$B$36)</f>
        <v/>
      </c>
      <c r="T489" s="160">
        <f>Q489*'NM Play'!$B$10*'NM Play'!$B$21*(1+'NM Play'!$B$35)</f>
        <v/>
      </c>
      <c r="U489" s="160">
        <f>MAX(0,T489-I489)</f>
        <v/>
      </c>
      <c r="V489" s="160">
        <f>G489+O489*'NM Play'!$B$13-N489*'NM Play'!$B$11</f>
        <v/>
      </c>
      <c r="W489" s="160">
        <f>H489+P489*'NM Play'!$B$14-N489*'NM Play'!$B$12</f>
        <v/>
      </c>
      <c r="X489" s="160">
        <f>I489+U489-T489</f>
        <v/>
      </c>
      <c r="Y489" s="160">
        <f>MIN(N489,MAX(0,ROUNDDOWN('Sites'!$M$7*'Cases'!$E$10,0)-SUM(Y486:Y488)))</f>
        <v/>
      </c>
      <c r="Z489" s="160">
        <f>N489-Y489</f>
        <v/>
      </c>
      <c r="AA489" s="160">
        <f>U489*'NM Play'!$B$22</f>
        <v/>
      </c>
      <c r="AB489" s="160">
        <f>N489*SUM('NM Play'!$B$29:$B$31)</f>
        <v/>
      </c>
      <c r="AC489" s="160">
        <f>IF('Sites'!$C$7="Defy legs",P489*'NM Play'!$B$14/'NM Play'!$B$12*'NM Play'!$B$28,0)</f>
        <v/>
      </c>
      <c r="AD489" s="160">
        <f>Q489*'NM Play'!$B$23</f>
        <v/>
      </c>
      <c r="AE489" s="160">
        <f>S489*SUM('NM Play'!$B$26,'NM Play'!$B$33:$B$34)</f>
        <v/>
      </c>
      <c r="AF489" s="160">
        <f>IF('Sites'!$D$7="NM crew",S489*SUM('NM Play'!$B$24:$B$25),0)</f>
        <v/>
      </c>
      <c r="AG489" s="160">
        <f>IF('Sites'!$D$7="NM crew",S489*'NM Play'!$B$27,0)</f>
        <v/>
      </c>
      <c r="AH489" s="160">
        <f>N489*'Sites'!$Z$7*'NM Play'!$B$32</f>
        <v/>
      </c>
      <c r="AI489" s="160">
        <f>SUM(Y489:Z489)*'Sites'!$R$7</f>
        <v/>
      </c>
      <c r="AJ489" s="160">
        <f>SUM(AA489:AH489)</f>
        <v/>
      </c>
      <c r="AK489" s="160">
        <f>AJ489+(T489-U489)*'NM Play'!$B$22+MIN(G489,N489*'NM Play'!$B$11)/'NM Play'!$B$13*'NM Play'!$B$21*'NM Play'!$B$22+MIN(H489,N489*'NM Play'!$B$12)/'NM Play'!$B$14*IF('Sites'!$C$7="Own sheets",'NM Play'!$B$21*'NM Play'!$B$22,'NM Play'!$B$28*'NM Play'!$B$14/'NM Play'!$B$12)</f>
        <v/>
      </c>
      <c r="AL489" s="160">
        <f>Y489*'Assumptions'!S66</f>
        <v/>
      </c>
      <c r="AM489" s="160">
        <f>IF('Sites'!$D$7="NM crew",S489*'NM Play'!$B$37*(1+IF(AND(ISNUMBER('NM Play'!$B$25),'NM Play'!$B$25&gt;0),1,0)),"")</f>
        <v/>
      </c>
      <c r="AN489" s="160">
        <f>IF(OR('Sites'!$E$7&lt;0,'Sites'!$E$7&gt;1,'Sites'!$F$7&lt;1,'Sites'!$G$7&lt;'Sites'!$F$7,F489&lt;0,MIN('Sites'!$I$7:'Sites'!$R$7)&lt;0,'Sites'!$L$7&gt;'Sites'!$I$7,'Sites'!$M$7&gt;'Sites'!$J$7,'Sites'!$N$7&gt;'Sites'!$K$7,'Sites'!$Z$7&lt;0,'Sites'!$Z$7&gt;1,MIN('Sites'!$AA$7:'Sites'!$AC$7)&lt;0,S489&gt;F489+0.001),1,0)</f>
        <v/>
      </c>
      <c r="AO489" s="160">
        <f>I489+U489-T489-X489</f>
        <v/>
      </c>
    </row>
    <row r="490" ht="28" customHeight="1">
      <c r="A490" s="4" t="inlineStr">
        <is>
          <t>Lower sales</t>
        </is>
      </c>
      <c r="B490" s="4" t="inlineStr">
        <is>
          <t>NEW1</t>
        </is>
      </c>
      <c r="C490" s="160" t="n">
        <v>17</v>
      </c>
      <c r="D490" s="160">
        <f>ROUNDUP(C490/12,0)</f>
        <v/>
      </c>
      <c r="E490" s="160">
        <f>IF(AND('Sites'!$E$7=1,C490&gt;='Sites'!$F$7+'Cases'!$G$10,C490&lt;='Sites'!$G$7),1,0)</f>
        <v/>
      </c>
      <c r="F490" s="160">
        <f>E490*'Assumptions'!T68</f>
        <v/>
      </c>
      <c r="G490" s="160">
        <f>V489</f>
        <v/>
      </c>
      <c r="H490" s="160">
        <f>W489</f>
        <v/>
      </c>
      <c r="I490" s="160">
        <f>X489</f>
        <v/>
      </c>
      <c r="J490" s="160">
        <f>MAX(0,'Sites'!$J$7-SUM(N486:N489))</f>
        <v/>
      </c>
      <c r="K490" s="160">
        <f>IF('Sites'!$C$7="Own sheets",MIN(ROUNDDOWN(G490/'NM Play'!$B$11,0)+F490*'NM Play'!$B$10/'NM Play'!$B$43,ROUNDDOWN(H490/'NM Play'!$B$12,0)+F490*'NM Play'!$B$10/'NM Play'!$B$44,(F490*'NM Play'!$B$10+ROUNDDOWN(G490/'NM Play'!$B$11,0)*'NM Play'!$B$43+ROUNDDOWN(H490/'NM Play'!$B$12,0)*'NM Play'!$B$44)/('NM Play'!$B$43+'NM Play'!$B$44)),ROUNDDOWN(G490/'NM Play'!$B$11,0)+F490*'NM Play'!$B$10/'NM Play'!$B$43)</f>
        <v/>
      </c>
      <c r="L490" s="160">
        <f>MIN(ROUNDDOWN(G490/'NM Play'!$B$11,0)+F490/('NM Play'!$B$43/'NM Play'!$B$15),ROUNDDOWN(H490/'NM Play'!$B$12,0)+F490/('NM Play'!$B$44/'NM Play'!$B$16),(F490+ROUNDDOWN(G490/'NM Play'!$B$11,0)*'NM Play'!$B$43/'NM Play'!$B$15+ROUNDDOWN(H490/'NM Play'!$B$12,0)*'NM Play'!$B$44/'NM Play'!$B$16)/('NM Play'!$B$43/'NM Play'!$B$15+'NM Play'!$B$44/'NM Play'!$B$16))</f>
        <v/>
      </c>
      <c r="M490" s="160">
        <f>F490*'NM Play'!$B$36</f>
        <v/>
      </c>
      <c r="N490" s="160">
        <f>ROUNDDOWN(MAX(0,MIN(J490,K490:M490)),0)</f>
        <v/>
      </c>
      <c r="O490" s="160">
        <f>ROUNDUP(MAX(0,N490*'NM Play'!$B$11-G490)/'NM Play'!$B$13,0)</f>
        <v/>
      </c>
      <c r="P490" s="160">
        <f>ROUNDUP(MAX(0,N490*'NM Play'!$B$12-H490)/'NM Play'!$B$14,0)</f>
        <v/>
      </c>
      <c r="Q490" s="160">
        <f>(O490+IF('Sites'!$C$7="Own sheets",P490,0))/'NM Play'!$B$10</f>
        <v/>
      </c>
      <c r="R490" s="160">
        <f>O490/'NM Play'!$B$15+P490/'NM Play'!$B$16</f>
        <v/>
      </c>
      <c r="S490" s="160">
        <f>MAX(Q490,R490,N490/'NM Play'!$B$36)</f>
        <v/>
      </c>
      <c r="T490" s="160">
        <f>Q490*'NM Play'!$B$10*'NM Play'!$B$21*(1+'NM Play'!$B$35)</f>
        <v/>
      </c>
      <c r="U490" s="160">
        <f>MAX(0,T490-I490)</f>
        <v/>
      </c>
      <c r="V490" s="160">
        <f>G490+O490*'NM Play'!$B$13-N490*'NM Play'!$B$11</f>
        <v/>
      </c>
      <c r="W490" s="160">
        <f>H490+P490*'NM Play'!$B$14-N490*'NM Play'!$B$12</f>
        <v/>
      </c>
      <c r="X490" s="160">
        <f>I490+U490-T490</f>
        <v/>
      </c>
      <c r="Y490" s="160">
        <f>MIN(N490,MAX(0,ROUNDDOWN('Sites'!$M$7*'Cases'!$E$10,0)-SUM(Y486:Y489)))</f>
        <v/>
      </c>
      <c r="Z490" s="160">
        <f>N490-Y490</f>
        <v/>
      </c>
      <c r="AA490" s="160">
        <f>U490*'NM Play'!$B$22</f>
        <v/>
      </c>
      <c r="AB490" s="160">
        <f>N490*SUM('NM Play'!$B$29:$B$31)</f>
        <v/>
      </c>
      <c r="AC490" s="160">
        <f>IF('Sites'!$C$7="Defy legs",P490*'NM Play'!$B$14/'NM Play'!$B$12*'NM Play'!$B$28,0)</f>
        <v/>
      </c>
      <c r="AD490" s="160">
        <f>Q490*'NM Play'!$B$23</f>
        <v/>
      </c>
      <c r="AE490" s="160">
        <f>S490*SUM('NM Play'!$B$26,'NM Play'!$B$33:$B$34)</f>
        <v/>
      </c>
      <c r="AF490" s="160">
        <f>IF('Sites'!$D$7="NM crew",S490*SUM('NM Play'!$B$24:$B$25),0)</f>
        <v/>
      </c>
      <c r="AG490" s="160">
        <f>IF('Sites'!$D$7="NM crew",S490*'NM Play'!$B$27,0)</f>
        <v/>
      </c>
      <c r="AH490" s="160">
        <f>N490*'Sites'!$Z$7*'NM Play'!$B$32</f>
        <v/>
      </c>
      <c r="AI490" s="160">
        <f>SUM(Y490:Z490)*'Sites'!$R$7</f>
        <v/>
      </c>
      <c r="AJ490" s="160">
        <f>SUM(AA490:AH490)</f>
        <v/>
      </c>
      <c r="AK490" s="160">
        <f>AJ490+(T490-U490)*'NM Play'!$B$22+MIN(G490,N490*'NM Play'!$B$11)/'NM Play'!$B$13*'NM Play'!$B$21*'NM Play'!$B$22+MIN(H490,N490*'NM Play'!$B$12)/'NM Play'!$B$14*IF('Sites'!$C$7="Own sheets",'NM Play'!$B$21*'NM Play'!$B$22,'NM Play'!$B$28*'NM Play'!$B$14/'NM Play'!$B$12)</f>
        <v/>
      </c>
      <c r="AL490" s="160">
        <f>Y490*'Assumptions'!T66</f>
        <v/>
      </c>
      <c r="AM490" s="160">
        <f>IF('Sites'!$D$7="NM crew",S490*'NM Play'!$B$37*(1+IF(AND(ISNUMBER('NM Play'!$B$25),'NM Play'!$B$25&gt;0),1,0)),"")</f>
        <v/>
      </c>
      <c r="AN490" s="160">
        <f>IF(OR('Sites'!$E$7&lt;0,'Sites'!$E$7&gt;1,'Sites'!$F$7&lt;1,'Sites'!$G$7&lt;'Sites'!$F$7,F490&lt;0,MIN('Sites'!$I$7:'Sites'!$R$7)&lt;0,'Sites'!$L$7&gt;'Sites'!$I$7,'Sites'!$M$7&gt;'Sites'!$J$7,'Sites'!$N$7&gt;'Sites'!$K$7,'Sites'!$Z$7&lt;0,'Sites'!$Z$7&gt;1,MIN('Sites'!$AA$7:'Sites'!$AC$7)&lt;0,S490&gt;F490+0.001),1,0)</f>
        <v/>
      </c>
      <c r="AO490" s="160">
        <f>I490+U490-T490-X490</f>
        <v/>
      </c>
    </row>
    <row r="491" ht="28" customHeight="1">
      <c r="A491" s="4" t="inlineStr">
        <is>
          <t>Lower sales</t>
        </is>
      </c>
      <c r="B491" s="4" t="inlineStr">
        <is>
          <t>NEW1</t>
        </is>
      </c>
      <c r="C491" s="160" t="n">
        <v>18</v>
      </c>
      <c r="D491" s="160">
        <f>ROUNDUP(C491/12,0)</f>
        <v/>
      </c>
      <c r="E491" s="160">
        <f>IF(AND('Sites'!$E$7=1,C491&gt;='Sites'!$F$7+'Cases'!$G$10,C491&lt;='Sites'!$G$7),1,0)</f>
        <v/>
      </c>
      <c r="F491" s="160">
        <f>E491*'Assumptions'!U68</f>
        <v/>
      </c>
      <c r="G491" s="160">
        <f>V490</f>
        <v/>
      </c>
      <c r="H491" s="160">
        <f>W490</f>
        <v/>
      </c>
      <c r="I491" s="160">
        <f>X490</f>
        <v/>
      </c>
      <c r="J491" s="160">
        <f>MAX(0,'Sites'!$J$7-SUM(N486:N490))</f>
        <v/>
      </c>
      <c r="K491" s="160">
        <f>IF('Sites'!$C$7="Own sheets",MIN(ROUNDDOWN(G491/'NM Play'!$B$11,0)+F491*'NM Play'!$B$10/'NM Play'!$B$43,ROUNDDOWN(H491/'NM Play'!$B$12,0)+F491*'NM Play'!$B$10/'NM Play'!$B$44,(F491*'NM Play'!$B$10+ROUNDDOWN(G491/'NM Play'!$B$11,0)*'NM Play'!$B$43+ROUNDDOWN(H491/'NM Play'!$B$12,0)*'NM Play'!$B$44)/('NM Play'!$B$43+'NM Play'!$B$44)),ROUNDDOWN(G491/'NM Play'!$B$11,0)+F491*'NM Play'!$B$10/'NM Play'!$B$43)</f>
        <v/>
      </c>
      <c r="L491" s="160">
        <f>MIN(ROUNDDOWN(G491/'NM Play'!$B$11,0)+F491/('NM Play'!$B$43/'NM Play'!$B$15),ROUNDDOWN(H491/'NM Play'!$B$12,0)+F491/('NM Play'!$B$44/'NM Play'!$B$16),(F491+ROUNDDOWN(G491/'NM Play'!$B$11,0)*'NM Play'!$B$43/'NM Play'!$B$15+ROUNDDOWN(H491/'NM Play'!$B$12,0)*'NM Play'!$B$44/'NM Play'!$B$16)/('NM Play'!$B$43/'NM Play'!$B$15+'NM Play'!$B$44/'NM Play'!$B$16))</f>
        <v/>
      </c>
      <c r="M491" s="160">
        <f>F491*'NM Play'!$B$36</f>
        <v/>
      </c>
      <c r="N491" s="160">
        <f>ROUNDDOWN(MAX(0,MIN(J491,K491:M491)),0)</f>
        <v/>
      </c>
      <c r="O491" s="160">
        <f>ROUNDUP(MAX(0,N491*'NM Play'!$B$11-G491)/'NM Play'!$B$13,0)</f>
        <v/>
      </c>
      <c r="P491" s="160">
        <f>ROUNDUP(MAX(0,N491*'NM Play'!$B$12-H491)/'NM Play'!$B$14,0)</f>
        <v/>
      </c>
      <c r="Q491" s="160">
        <f>(O491+IF('Sites'!$C$7="Own sheets",P491,0))/'NM Play'!$B$10</f>
        <v/>
      </c>
      <c r="R491" s="160">
        <f>O491/'NM Play'!$B$15+P491/'NM Play'!$B$16</f>
        <v/>
      </c>
      <c r="S491" s="160">
        <f>MAX(Q491,R491,N491/'NM Play'!$B$36)</f>
        <v/>
      </c>
      <c r="T491" s="160">
        <f>Q491*'NM Play'!$B$10*'NM Play'!$B$21*(1+'NM Play'!$B$35)</f>
        <v/>
      </c>
      <c r="U491" s="160">
        <f>MAX(0,T491-I491)</f>
        <v/>
      </c>
      <c r="V491" s="160">
        <f>G491+O491*'NM Play'!$B$13-N491*'NM Play'!$B$11</f>
        <v/>
      </c>
      <c r="W491" s="160">
        <f>H491+P491*'NM Play'!$B$14-N491*'NM Play'!$B$12</f>
        <v/>
      </c>
      <c r="X491" s="160">
        <f>I491+U491-T491</f>
        <v/>
      </c>
      <c r="Y491" s="160">
        <f>MIN(N491,MAX(0,ROUNDDOWN('Sites'!$M$7*'Cases'!$E$10,0)-SUM(Y486:Y490)))</f>
        <v/>
      </c>
      <c r="Z491" s="160">
        <f>N491-Y491</f>
        <v/>
      </c>
      <c r="AA491" s="160">
        <f>U491*'NM Play'!$B$22</f>
        <v/>
      </c>
      <c r="AB491" s="160">
        <f>N491*SUM('NM Play'!$B$29:$B$31)</f>
        <v/>
      </c>
      <c r="AC491" s="160">
        <f>IF('Sites'!$C$7="Defy legs",P491*'NM Play'!$B$14/'NM Play'!$B$12*'NM Play'!$B$28,0)</f>
        <v/>
      </c>
      <c r="AD491" s="160">
        <f>Q491*'NM Play'!$B$23</f>
        <v/>
      </c>
      <c r="AE491" s="160">
        <f>S491*SUM('NM Play'!$B$26,'NM Play'!$B$33:$B$34)</f>
        <v/>
      </c>
      <c r="AF491" s="160">
        <f>IF('Sites'!$D$7="NM crew",S491*SUM('NM Play'!$B$24:$B$25),0)</f>
        <v/>
      </c>
      <c r="AG491" s="160">
        <f>IF('Sites'!$D$7="NM crew",S491*'NM Play'!$B$27,0)</f>
        <v/>
      </c>
      <c r="AH491" s="160">
        <f>N491*'Sites'!$Z$7*'NM Play'!$B$32</f>
        <v/>
      </c>
      <c r="AI491" s="160">
        <f>SUM(Y491:Z491)*'Sites'!$R$7</f>
        <v/>
      </c>
      <c r="AJ491" s="160">
        <f>SUM(AA491:AH491)</f>
        <v/>
      </c>
      <c r="AK491" s="160">
        <f>AJ491+(T491-U491)*'NM Play'!$B$22+MIN(G491,N491*'NM Play'!$B$11)/'NM Play'!$B$13*'NM Play'!$B$21*'NM Play'!$B$22+MIN(H491,N491*'NM Play'!$B$12)/'NM Play'!$B$14*IF('Sites'!$C$7="Own sheets",'NM Play'!$B$21*'NM Play'!$B$22,'NM Play'!$B$28*'NM Play'!$B$14/'NM Play'!$B$12)</f>
        <v/>
      </c>
      <c r="AL491" s="160">
        <f>Y491*'Assumptions'!U66</f>
        <v/>
      </c>
      <c r="AM491" s="160">
        <f>IF('Sites'!$D$7="NM crew",S491*'NM Play'!$B$37*(1+IF(AND(ISNUMBER('NM Play'!$B$25),'NM Play'!$B$25&gt;0),1,0)),"")</f>
        <v/>
      </c>
      <c r="AN491" s="160">
        <f>IF(OR('Sites'!$E$7&lt;0,'Sites'!$E$7&gt;1,'Sites'!$F$7&lt;1,'Sites'!$G$7&lt;'Sites'!$F$7,F491&lt;0,MIN('Sites'!$I$7:'Sites'!$R$7)&lt;0,'Sites'!$L$7&gt;'Sites'!$I$7,'Sites'!$M$7&gt;'Sites'!$J$7,'Sites'!$N$7&gt;'Sites'!$K$7,'Sites'!$Z$7&lt;0,'Sites'!$Z$7&gt;1,MIN('Sites'!$AA$7:'Sites'!$AC$7)&lt;0,S491&gt;F491+0.001),1,0)</f>
        <v/>
      </c>
      <c r="AO491" s="160">
        <f>I491+U491-T491-X491</f>
        <v/>
      </c>
    </row>
    <row r="492" ht="28" customHeight="1">
      <c r="A492" s="4" t="inlineStr">
        <is>
          <t>Lower sales</t>
        </is>
      </c>
      <c r="B492" s="4" t="inlineStr">
        <is>
          <t>NEW1</t>
        </is>
      </c>
      <c r="C492" s="160" t="n">
        <v>19</v>
      </c>
      <c r="D492" s="160">
        <f>ROUNDUP(C492/12,0)</f>
        <v/>
      </c>
      <c r="E492" s="160">
        <f>IF(AND('Sites'!$E$7=1,C492&gt;='Sites'!$F$7+'Cases'!$G$10,C492&lt;='Sites'!$G$7),1,0)</f>
        <v/>
      </c>
      <c r="F492" s="160">
        <f>E492*'Assumptions'!V68</f>
        <v/>
      </c>
      <c r="G492" s="160">
        <f>V491</f>
        <v/>
      </c>
      <c r="H492" s="160">
        <f>W491</f>
        <v/>
      </c>
      <c r="I492" s="160">
        <f>X491</f>
        <v/>
      </c>
      <c r="J492" s="160">
        <f>MAX(0,'Sites'!$J$7-SUM(N486:N491))</f>
        <v/>
      </c>
      <c r="K492" s="160">
        <f>IF('Sites'!$C$7="Own sheets",MIN(ROUNDDOWN(G492/'NM Play'!$B$11,0)+F492*'NM Play'!$B$10/'NM Play'!$B$43,ROUNDDOWN(H492/'NM Play'!$B$12,0)+F492*'NM Play'!$B$10/'NM Play'!$B$44,(F492*'NM Play'!$B$10+ROUNDDOWN(G492/'NM Play'!$B$11,0)*'NM Play'!$B$43+ROUNDDOWN(H492/'NM Play'!$B$12,0)*'NM Play'!$B$44)/('NM Play'!$B$43+'NM Play'!$B$44)),ROUNDDOWN(G492/'NM Play'!$B$11,0)+F492*'NM Play'!$B$10/'NM Play'!$B$43)</f>
        <v/>
      </c>
      <c r="L492" s="160">
        <f>MIN(ROUNDDOWN(G492/'NM Play'!$B$11,0)+F492/('NM Play'!$B$43/'NM Play'!$B$15),ROUNDDOWN(H492/'NM Play'!$B$12,0)+F492/('NM Play'!$B$44/'NM Play'!$B$16),(F492+ROUNDDOWN(G492/'NM Play'!$B$11,0)*'NM Play'!$B$43/'NM Play'!$B$15+ROUNDDOWN(H492/'NM Play'!$B$12,0)*'NM Play'!$B$44/'NM Play'!$B$16)/('NM Play'!$B$43/'NM Play'!$B$15+'NM Play'!$B$44/'NM Play'!$B$16))</f>
        <v/>
      </c>
      <c r="M492" s="160">
        <f>F492*'NM Play'!$B$36</f>
        <v/>
      </c>
      <c r="N492" s="160">
        <f>ROUNDDOWN(MAX(0,MIN(J492,K492:M492)),0)</f>
        <v/>
      </c>
      <c r="O492" s="160">
        <f>ROUNDUP(MAX(0,N492*'NM Play'!$B$11-G492)/'NM Play'!$B$13,0)</f>
        <v/>
      </c>
      <c r="P492" s="160">
        <f>ROUNDUP(MAX(0,N492*'NM Play'!$B$12-H492)/'NM Play'!$B$14,0)</f>
        <v/>
      </c>
      <c r="Q492" s="160">
        <f>(O492+IF('Sites'!$C$7="Own sheets",P492,0))/'NM Play'!$B$10</f>
        <v/>
      </c>
      <c r="R492" s="160">
        <f>O492/'NM Play'!$B$15+P492/'NM Play'!$B$16</f>
        <v/>
      </c>
      <c r="S492" s="160">
        <f>MAX(Q492,R492,N492/'NM Play'!$B$36)</f>
        <v/>
      </c>
      <c r="T492" s="160">
        <f>Q492*'NM Play'!$B$10*'NM Play'!$B$21*(1+'NM Play'!$B$35)</f>
        <v/>
      </c>
      <c r="U492" s="160">
        <f>MAX(0,T492-I492)</f>
        <v/>
      </c>
      <c r="V492" s="160">
        <f>G492+O492*'NM Play'!$B$13-N492*'NM Play'!$B$11</f>
        <v/>
      </c>
      <c r="W492" s="160">
        <f>H492+P492*'NM Play'!$B$14-N492*'NM Play'!$B$12</f>
        <v/>
      </c>
      <c r="X492" s="160">
        <f>I492+U492-T492</f>
        <v/>
      </c>
      <c r="Y492" s="160">
        <f>MIN(N492,MAX(0,ROUNDDOWN('Sites'!$M$7*'Cases'!$E$10,0)-SUM(Y486:Y491)))</f>
        <v/>
      </c>
      <c r="Z492" s="160">
        <f>N492-Y492</f>
        <v/>
      </c>
      <c r="AA492" s="160">
        <f>U492*'NM Play'!$B$22</f>
        <v/>
      </c>
      <c r="AB492" s="160">
        <f>N492*SUM('NM Play'!$B$29:$B$31)</f>
        <v/>
      </c>
      <c r="AC492" s="160">
        <f>IF('Sites'!$C$7="Defy legs",P492*'NM Play'!$B$14/'NM Play'!$B$12*'NM Play'!$B$28,0)</f>
        <v/>
      </c>
      <c r="AD492" s="160">
        <f>Q492*'NM Play'!$B$23</f>
        <v/>
      </c>
      <c r="AE492" s="160">
        <f>S492*SUM('NM Play'!$B$26,'NM Play'!$B$33:$B$34)</f>
        <v/>
      </c>
      <c r="AF492" s="160">
        <f>IF('Sites'!$D$7="NM crew",S492*SUM('NM Play'!$B$24:$B$25),0)</f>
        <v/>
      </c>
      <c r="AG492" s="160">
        <f>IF('Sites'!$D$7="NM crew",S492*'NM Play'!$B$27,0)</f>
        <v/>
      </c>
      <c r="AH492" s="160">
        <f>N492*'Sites'!$Z$7*'NM Play'!$B$32</f>
        <v/>
      </c>
      <c r="AI492" s="160">
        <f>SUM(Y492:Z492)*'Sites'!$R$7</f>
        <v/>
      </c>
      <c r="AJ492" s="160">
        <f>SUM(AA492:AH492)</f>
        <v/>
      </c>
      <c r="AK492" s="160">
        <f>AJ492+(T492-U492)*'NM Play'!$B$22+MIN(G492,N492*'NM Play'!$B$11)/'NM Play'!$B$13*'NM Play'!$B$21*'NM Play'!$B$22+MIN(H492,N492*'NM Play'!$B$12)/'NM Play'!$B$14*IF('Sites'!$C$7="Own sheets",'NM Play'!$B$21*'NM Play'!$B$22,'NM Play'!$B$28*'NM Play'!$B$14/'NM Play'!$B$12)</f>
        <v/>
      </c>
      <c r="AL492" s="160">
        <f>Y492*'Assumptions'!V66</f>
        <v/>
      </c>
      <c r="AM492" s="160">
        <f>IF('Sites'!$D$7="NM crew",S492*'NM Play'!$B$37*(1+IF(AND(ISNUMBER('NM Play'!$B$25),'NM Play'!$B$25&gt;0),1,0)),"")</f>
        <v/>
      </c>
      <c r="AN492" s="160">
        <f>IF(OR('Sites'!$E$7&lt;0,'Sites'!$E$7&gt;1,'Sites'!$F$7&lt;1,'Sites'!$G$7&lt;'Sites'!$F$7,F492&lt;0,MIN('Sites'!$I$7:'Sites'!$R$7)&lt;0,'Sites'!$L$7&gt;'Sites'!$I$7,'Sites'!$M$7&gt;'Sites'!$J$7,'Sites'!$N$7&gt;'Sites'!$K$7,'Sites'!$Z$7&lt;0,'Sites'!$Z$7&gt;1,MIN('Sites'!$AA$7:'Sites'!$AC$7)&lt;0,S492&gt;F492+0.001),1,0)</f>
        <v/>
      </c>
      <c r="AO492" s="160">
        <f>I492+U492-T492-X492</f>
        <v/>
      </c>
    </row>
    <row r="493" ht="28" customHeight="1">
      <c r="A493" s="4" t="inlineStr">
        <is>
          <t>Lower sales</t>
        </is>
      </c>
      <c r="B493" s="4" t="inlineStr">
        <is>
          <t>NEW1</t>
        </is>
      </c>
      <c r="C493" s="160" t="n">
        <v>20</v>
      </c>
      <c r="D493" s="160">
        <f>ROUNDUP(C493/12,0)</f>
        <v/>
      </c>
      <c r="E493" s="160">
        <f>IF(AND('Sites'!$E$7=1,C493&gt;='Sites'!$F$7+'Cases'!$G$10,C493&lt;='Sites'!$G$7),1,0)</f>
        <v/>
      </c>
      <c r="F493" s="160">
        <f>E493*'Assumptions'!W68</f>
        <v/>
      </c>
      <c r="G493" s="160">
        <f>V492</f>
        <v/>
      </c>
      <c r="H493" s="160">
        <f>W492</f>
        <v/>
      </c>
      <c r="I493" s="160">
        <f>X492</f>
        <v/>
      </c>
      <c r="J493" s="160">
        <f>MAX(0,'Sites'!$J$7-SUM(N486:N492))</f>
        <v/>
      </c>
      <c r="K493" s="160">
        <f>IF('Sites'!$C$7="Own sheets",MIN(ROUNDDOWN(G493/'NM Play'!$B$11,0)+F493*'NM Play'!$B$10/'NM Play'!$B$43,ROUNDDOWN(H493/'NM Play'!$B$12,0)+F493*'NM Play'!$B$10/'NM Play'!$B$44,(F493*'NM Play'!$B$10+ROUNDDOWN(G493/'NM Play'!$B$11,0)*'NM Play'!$B$43+ROUNDDOWN(H493/'NM Play'!$B$12,0)*'NM Play'!$B$44)/('NM Play'!$B$43+'NM Play'!$B$44)),ROUNDDOWN(G493/'NM Play'!$B$11,0)+F493*'NM Play'!$B$10/'NM Play'!$B$43)</f>
        <v/>
      </c>
      <c r="L493" s="160">
        <f>MIN(ROUNDDOWN(G493/'NM Play'!$B$11,0)+F493/('NM Play'!$B$43/'NM Play'!$B$15),ROUNDDOWN(H493/'NM Play'!$B$12,0)+F493/('NM Play'!$B$44/'NM Play'!$B$16),(F493+ROUNDDOWN(G493/'NM Play'!$B$11,0)*'NM Play'!$B$43/'NM Play'!$B$15+ROUNDDOWN(H493/'NM Play'!$B$12,0)*'NM Play'!$B$44/'NM Play'!$B$16)/('NM Play'!$B$43/'NM Play'!$B$15+'NM Play'!$B$44/'NM Play'!$B$16))</f>
        <v/>
      </c>
      <c r="M493" s="160">
        <f>F493*'NM Play'!$B$36</f>
        <v/>
      </c>
      <c r="N493" s="160">
        <f>ROUNDDOWN(MAX(0,MIN(J493,K493:M493)),0)</f>
        <v/>
      </c>
      <c r="O493" s="160">
        <f>ROUNDUP(MAX(0,N493*'NM Play'!$B$11-G493)/'NM Play'!$B$13,0)</f>
        <v/>
      </c>
      <c r="P493" s="160">
        <f>ROUNDUP(MAX(0,N493*'NM Play'!$B$12-H493)/'NM Play'!$B$14,0)</f>
        <v/>
      </c>
      <c r="Q493" s="160">
        <f>(O493+IF('Sites'!$C$7="Own sheets",P493,0))/'NM Play'!$B$10</f>
        <v/>
      </c>
      <c r="R493" s="160">
        <f>O493/'NM Play'!$B$15+P493/'NM Play'!$B$16</f>
        <v/>
      </c>
      <c r="S493" s="160">
        <f>MAX(Q493,R493,N493/'NM Play'!$B$36)</f>
        <v/>
      </c>
      <c r="T493" s="160">
        <f>Q493*'NM Play'!$B$10*'NM Play'!$B$21*(1+'NM Play'!$B$35)</f>
        <v/>
      </c>
      <c r="U493" s="160">
        <f>MAX(0,T493-I493)</f>
        <v/>
      </c>
      <c r="V493" s="160">
        <f>G493+O493*'NM Play'!$B$13-N493*'NM Play'!$B$11</f>
        <v/>
      </c>
      <c r="W493" s="160">
        <f>H493+P493*'NM Play'!$B$14-N493*'NM Play'!$B$12</f>
        <v/>
      </c>
      <c r="X493" s="160">
        <f>I493+U493-T493</f>
        <v/>
      </c>
      <c r="Y493" s="160">
        <f>MIN(N493,MAX(0,ROUNDDOWN('Sites'!$M$7*'Cases'!$E$10,0)-SUM(Y486:Y492)))</f>
        <v/>
      </c>
      <c r="Z493" s="160">
        <f>N493-Y493</f>
        <v/>
      </c>
      <c r="AA493" s="160">
        <f>U493*'NM Play'!$B$22</f>
        <v/>
      </c>
      <c r="AB493" s="160">
        <f>N493*SUM('NM Play'!$B$29:$B$31)</f>
        <v/>
      </c>
      <c r="AC493" s="160">
        <f>IF('Sites'!$C$7="Defy legs",P493*'NM Play'!$B$14/'NM Play'!$B$12*'NM Play'!$B$28,0)</f>
        <v/>
      </c>
      <c r="AD493" s="160">
        <f>Q493*'NM Play'!$B$23</f>
        <v/>
      </c>
      <c r="AE493" s="160">
        <f>S493*SUM('NM Play'!$B$26,'NM Play'!$B$33:$B$34)</f>
        <v/>
      </c>
      <c r="AF493" s="160">
        <f>IF('Sites'!$D$7="NM crew",S493*SUM('NM Play'!$B$24:$B$25),0)</f>
        <v/>
      </c>
      <c r="AG493" s="160">
        <f>IF('Sites'!$D$7="NM crew",S493*'NM Play'!$B$27,0)</f>
        <v/>
      </c>
      <c r="AH493" s="160">
        <f>N493*'Sites'!$Z$7*'NM Play'!$B$32</f>
        <v/>
      </c>
      <c r="AI493" s="160">
        <f>SUM(Y493:Z493)*'Sites'!$R$7</f>
        <v/>
      </c>
      <c r="AJ493" s="160">
        <f>SUM(AA493:AH493)</f>
        <v/>
      </c>
      <c r="AK493" s="160">
        <f>AJ493+(T493-U493)*'NM Play'!$B$22+MIN(G493,N493*'NM Play'!$B$11)/'NM Play'!$B$13*'NM Play'!$B$21*'NM Play'!$B$22+MIN(H493,N493*'NM Play'!$B$12)/'NM Play'!$B$14*IF('Sites'!$C$7="Own sheets",'NM Play'!$B$21*'NM Play'!$B$22,'NM Play'!$B$28*'NM Play'!$B$14/'NM Play'!$B$12)</f>
        <v/>
      </c>
      <c r="AL493" s="160">
        <f>Y493*'Assumptions'!W66</f>
        <v/>
      </c>
      <c r="AM493" s="160">
        <f>IF('Sites'!$D$7="NM crew",S493*'NM Play'!$B$37*(1+IF(AND(ISNUMBER('NM Play'!$B$25),'NM Play'!$B$25&gt;0),1,0)),"")</f>
        <v/>
      </c>
      <c r="AN493" s="160">
        <f>IF(OR('Sites'!$E$7&lt;0,'Sites'!$E$7&gt;1,'Sites'!$F$7&lt;1,'Sites'!$G$7&lt;'Sites'!$F$7,F493&lt;0,MIN('Sites'!$I$7:'Sites'!$R$7)&lt;0,'Sites'!$L$7&gt;'Sites'!$I$7,'Sites'!$M$7&gt;'Sites'!$J$7,'Sites'!$N$7&gt;'Sites'!$K$7,'Sites'!$Z$7&lt;0,'Sites'!$Z$7&gt;1,MIN('Sites'!$AA$7:'Sites'!$AC$7)&lt;0,S493&gt;F493+0.001),1,0)</f>
        <v/>
      </c>
      <c r="AO493" s="160">
        <f>I493+U493-T493-X493</f>
        <v/>
      </c>
    </row>
    <row r="494" ht="28" customHeight="1">
      <c r="A494" s="4" t="inlineStr">
        <is>
          <t>Lower sales</t>
        </is>
      </c>
      <c r="B494" s="4" t="inlineStr">
        <is>
          <t>NEW1</t>
        </is>
      </c>
      <c r="C494" s="160" t="n">
        <v>21</v>
      </c>
      <c r="D494" s="160">
        <f>ROUNDUP(C494/12,0)</f>
        <v/>
      </c>
      <c r="E494" s="160">
        <f>IF(AND('Sites'!$E$7=1,C494&gt;='Sites'!$F$7+'Cases'!$G$10,C494&lt;='Sites'!$G$7),1,0)</f>
        <v/>
      </c>
      <c r="F494" s="160">
        <f>E494*'Assumptions'!X68</f>
        <v/>
      </c>
      <c r="G494" s="160">
        <f>V493</f>
        <v/>
      </c>
      <c r="H494" s="160">
        <f>W493</f>
        <v/>
      </c>
      <c r="I494" s="160">
        <f>X493</f>
        <v/>
      </c>
      <c r="J494" s="160">
        <f>MAX(0,'Sites'!$J$7-SUM(N486:N493))</f>
        <v/>
      </c>
      <c r="K494" s="160">
        <f>IF('Sites'!$C$7="Own sheets",MIN(ROUNDDOWN(G494/'NM Play'!$B$11,0)+F494*'NM Play'!$B$10/'NM Play'!$B$43,ROUNDDOWN(H494/'NM Play'!$B$12,0)+F494*'NM Play'!$B$10/'NM Play'!$B$44,(F494*'NM Play'!$B$10+ROUNDDOWN(G494/'NM Play'!$B$11,0)*'NM Play'!$B$43+ROUNDDOWN(H494/'NM Play'!$B$12,0)*'NM Play'!$B$44)/('NM Play'!$B$43+'NM Play'!$B$44)),ROUNDDOWN(G494/'NM Play'!$B$11,0)+F494*'NM Play'!$B$10/'NM Play'!$B$43)</f>
        <v/>
      </c>
      <c r="L494" s="160">
        <f>MIN(ROUNDDOWN(G494/'NM Play'!$B$11,0)+F494/('NM Play'!$B$43/'NM Play'!$B$15),ROUNDDOWN(H494/'NM Play'!$B$12,0)+F494/('NM Play'!$B$44/'NM Play'!$B$16),(F494+ROUNDDOWN(G494/'NM Play'!$B$11,0)*'NM Play'!$B$43/'NM Play'!$B$15+ROUNDDOWN(H494/'NM Play'!$B$12,0)*'NM Play'!$B$44/'NM Play'!$B$16)/('NM Play'!$B$43/'NM Play'!$B$15+'NM Play'!$B$44/'NM Play'!$B$16))</f>
        <v/>
      </c>
      <c r="M494" s="160">
        <f>F494*'NM Play'!$B$36</f>
        <v/>
      </c>
      <c r="N494" s="160">
        <f>ROUNDDOWN(MAX(0,MIN(J494,K494:M494)),0)</f>
        <v/>
      </c>
      <c r="O494" s="160">
        <f>ROUNDUP(MAX(0,N494*'NM Play'!$B$11-G494)/'NM Play'!$B$13,0)</f>
        <v/>
      </c>
      <c r="P494" s="160">
        <f>ROUNDUP(MAX(0,N494*'NM Play'!$B$12-H494)/'NM Play'!$B$14,0)</f>
        <v/>
      </c>
      <c r="Q494" s="160">
        <f>(O494+IF('Sites'!$C$7="Own sheets",P494,0))/'NM Play'!$B$10</f>
        <v/>
      </c>
      <c r="R494" s="160">
        <f>O494/'NM Play'!$B$15+P494/'NM Play'!$B$16</f>
        <v/>
      </c>
      <c r="S494" s="160">
        <f>MAX(Q494,R494,N494/'NM Play'!$B$36)</f>
        <v/>
      </c>
      <c r="T494" s="160">
        <f>Q494*'NM Play'!$B$10*'NM Play'!$B$21*(1+'NM Play'!$B$35)</f>
        <v/>
      </c>
      <c r="U494" s="160">
        <f>MAX(0,T494-I494)</f>
        <v/>
      </c>
      <c r="V494" s="160">
        <f>G494+O494*'NM Play'!$B$13-N494*'NM Play'!$B$11</f>
        <v/>
      </c>
      <c r="W494" s="160">
        <f>H494+P494*'NM Play'!$B$14-N494*'NM Play'!$B$12</f>
        <v/>
      </c>
      <c r="X494" s="160">
        <f>I494+U494-T494</f>
        <v/>
      </c>
      <c r="Y494" s="160">
        <f>MIN(N494,MAX(0,ROUNDDOWN('Sites'!$M$7*'Cases'!$E$10,0)-SUM(Y486:Y493)))</f>
        <v/>
      </c>
      <c r="Z494" s="160">
        <f>N494-Y494</f>
        <v/>
      </c>
      <c r="AA494" s="160">
        <f>U494*'NM Play'!$B$22</f>
        <v/>
      </c>
      <c r="AB494" s="160">
        <f>N494*SUM('NM Play'!$B$29:$B$31)</f>
        <v/>
      </c>
      <c r="AC494" s="160">
        <f>IF('Sites'!$C$7="Defy legs",P494*'NM Play'!$B$14/'NM Play'!$B$12*'NM Play'!$B$28,0)</f>
        <v/>
      </c>
      <c r="AD494" s="160">
        <f>Q494*'NM Play'!$B$23</f>
        <v/>
      </c>
      <c r="AE494" s="160">
        <f>S494*SUM('NM Play'!$B$26,'NM Play'!$B$33:$B$34)</f>
        <v/>
      </c>
      <c r="AF494" s="160">
        <f>IF('Sites'!$D$7="NM crew",S494*SUM('NM Play'!$B$24:$B$25),0)</f>
        <v/>
      </c>
      <c r="AG494" s="160">
        <f>IF('Sites'!$D$7="NM crew",S494*'NM Play'!$B$27,0)</f>
        <v/>
      </c>
      <c r="AH494" s="160">
        <f>N494*'Sites'!$Z$7*'NM Play'!$B$32</f>
        <v/>
      </c>
      <c r="AI494" s="160">
        <f>SUM(Y494:Z494)*'Sites'!$R$7</f>
        <v/>
      </c>
      <c r="AJ494" s="160">
        <f>SUM(AA494:AH494)</f>
        <v/>
      </c>
      <c r="AK494" s="160">
        <f>AJ494+(T494-U494)*'NM Play'!$B$22+MIN(G494,N494*'NM Play'!$B$11)/'NM Play'!$B$13*'NM Play'!$B$21*'NM Play'!$B$22+MIN(H494,N494*'NM Play'!$B$12)/'NM Play'!$B$14*IF('Sites'!$C$7="Own sheets",'NM Play'!$B$21*'NM Play'!$B$22,'NM Play'!$B$28*'NM Play'!$B$14/'NM Play'!$B$12)</f>
        <v/>
      </c>
      <c r="AL494" s="160">
        <f>Y494*'Assumptions'!X66</f>
        <v/>
      </c>
      <c r="AM494" s="160">
        <f>IF('Sites'!$D$7="NM crew",S494*'NM Play'!$B$37*(1+IF(AND(ISNUMBER('NM Play'!$B$25),'NM Play'!$B$25&gt;0),1,0)),"")</f>
        <v/>
      </c>
      <c r="AN494" s="160">
        <f>IF(OR('Sites'!$E$7&lt;0,'Sites'!$E$7&gt;1,'Sites'!$F$7&lt;1,'Sites'!$G$7&lt;'Sites'!$F$7,F494&lt;0,MIN('Sites'!$I$7:'Sites'!$R$7)&lt;0,'Sites'!$L$7&gt;'Sites'!$I$7,'Sites'!$M$7&gt;'Sites'!$J$7,'Sites'!$N$7&gt;'Sites'!$K$7,'Sites'!$Z$7&lt;0,'Sites'!$Z$7&gt;1,MIN('Sites'!$AA$7:'Sites'!$AC$7)&lt;0,S494&gt;F494+0.001),1,0)</f>
        <v/>
      </c>
      <c r="AO494" s="160">
        <f>I494+U494-T494-X494</f>
        <v/>
      </c>
    </row>
    <row r="495" ht="28" customHeight="1">
      <c r="A495" s="4" t="inlineStr">
        <is>
          <t>Lower sales</t>
        </is>
      </c>
      <c r="B495" s="4" t="inlineStr">
        <is>
          <t>NEW1</t>
        </is>
      </c>
      <c r="C495" s="160" t="n">
        <v>22</v>
      </c>
      <c r="D495" s="160">
        <f>ROUNDUP(C495/12,0)</f>
        <v/>
      </c>
      <c r="E495" s="160">
        <f>IF(AND('Sites'!$E$7=1,C495&gt;='Sites'!$F$7+'Cases'!$G$10,C495&lt;='Sites'!$G$7),1,0)</f>
        <v/>
      </c>
      <c r="F495" s="160">
        <f>E495*'Assumptions'!Y68</f>
        <v/>
      </c>
      <c r="G495" s="160">
        <f>V494</f>
        <v/>
      </c>
      <c r="H495" s="160">
        <f>W494</f>
        <v/>
      </c>
      <c r="I495" s="160">
        <f>X494</f>
        <v/>
      </c>
      <c r="J495" s="160">
        <f>MAX(0,'Sites'!$J$7-SUM(N486:N494))</f>
        <v/>
      </c>
      <c r="K495" s="160">
        <f>IF('Sites'!$C$7="Own sheets",MIN(ROUNDDOWN(G495/'NM Play'!$B$11,0)+F495*'NM Play'!$B$10/'NM Play'!$B$43,ROUNDDOWN(H495/'NM Play'!$B$12,0)+F495*'NM Play'!$B$10/'NM Play'!$B$44,(F495*'NM Play'!$B$10+ROUNDDOWN(G495/'NM Play'!$B$11,0)*'NM Play'!$B$43+ROUNDDOWN(H495/'NM Play'!$B$12,0)*'NM Play'!$B$44)/('NM Play'!$B$43+'NM Play'!$B$44)),ROUNDDOWN(G495/'NM Play'!$B$11,0)+F495*'NM Play'!$B$10/'NM Play'!$B$43)</f>
        <v/>
      </c>
      <c r="L495" s="160">
        <f>MIN(ROUNDDOWN(G495/'NM Play'!$B$11,0)+F495/('NM Play'!$B$43/'NM Play'!$B$15),ROUNDDOWN(H495/'NM Play'!$B$12,0)+F495/('NM Play'!$B$44/'NM Play'!$B$16),(F495+ROUNDDOWN(G495/'NM Play'!$B$11,0)*'NM Play'!$B$43/'NM Play'!$B$15+ROUNDDOWN(H495/'NM Play'!$B$12,0)*'NM Play'!$B$44/'NM Play'!$B$16)/('NM Play'!$B$43/'NM Play'!$B$15+'NM Play'!$B$44/'NM Play'!$B$16))</f>
        <v/>
      </c>
      <c r="M495" s="160">
        <f>F495*'NM Play'!$B$36</f>
        <v/>
      </c>
      <c r="N495" s="160">
        <f>ROUNDDOWN(MAX(0,MIN(J495,K495:M495)),0)</f>
        <v/>
      </c>
      <c r="O495" s="160">
        <f>ROUNDUP(MAX(0,N495*'NM Play'!$B$11-G495)/'NM Play'!$B$13,0)</f>
        <v/>
      </c>
      <c r="P495" s="160">
        <f>ROUNDUP(MAX(0,N495*'NM Play'!$B$12-H495)/'NM Play'!$B$14,0)</f>
        <v/>
      </c>
      <c r="Q495" s="160">
        <f>(O495+IF('Sites'!$C$7="Own sheets",P495,0))/'NM Play'!$B$10</f>
        <v/>
      </c>
      <c r="R495" s="160">
        <f>O495/'NM Play'!$B$15+P495/'NM Play'!$B$16</f>
        <v/>
      </c>
      <c r="S495" s="160">
        <f>MAX(Q495,R495,N495/'NM Play'!$B$36)</f>
        <v/>
      </c>
      <c r="T495" s="160">
        <f>Q495*'NM Play'!$B$10*'NM Play'!$B$21*(1+'NM Play'!$B$35)</f>
        <v/>
      </c>
      <c r="U495" s="160">
        <f>MAX(0,T495-I495)</f>
        <v/>
      </c>
      <c r="V495" s="160">
        <f>G495+O495*'NM Play'!$B$13-N495*'NM Play'!$B$11</f>
        <v/>
      </c>
      <c r="W495" s="160">
        <f>H495+P495*'NM Play'!$B$14-N495*'NM Play'!$B$12</f>
        <v/>
      </c>
      <c r="X495" s="160">
        <f>I495+U495-T495</f>
        <v/>
      </c>
      <c r="Y495" s="160">
        <f>MIN(N495,MAX(0,ROUNDDOWN('Sites'!$M$7*'Cases'!$E$10,0)-SUM(Y486:Y494)))</f>
        <v/>
      </c>
      <c r="Z495" s="160">
        <f>N495-Y495</f>
        <v/>
      </c>
      <c r="AA495" s="160">
        <f>U495*'NM Play'!$B$22</f>
        <v/>
      </c>
      <c r="AB495" s="160">
        <f>N495*SUM('NM Play'!$B$29:$B$31)</f>
        <v/>
      </c>
      <c r="AC495" s="160">
        <f>IF('Sites'!$C$7="Defy legs",P495*'NM Play'!$B$14/'NM Play'!$B$12*'NM Play'!$B$28,0)</f>
        <v/>
      </c>
      <c r="AD495" s="160">
        <f>Q495*'NM Play'!$B$23</f>
        <v/>
      </c>
      <c r="AE495" s="160">
        <f>S495*SUM('NM Play'!$B$26,'NM Play'!$B$33:$B$34)</f>
        <v/>
      </c>
      <c r="AF495" s="160">
        <f>IF('Sites'!$D$7="NM crew",S495*SUM('NM Play'!$B$24:$B$25),0)</f>
        <v/>
      </c>
      <c r="AG495" s="160">
        <f>IF('Sites'!$D$7="NM crew",S495*'NM Play'!$B$27,0)</f>
        <v/>
      </c>
      <c r="AH495" s="160">
        <f>N495*'Sites'!$Z$7*'NM Play'!$B$32</f>
        <v/>
      </c>
      <c r="AI495" s="160">
        <f>SUM(Y495:Z495)*'Sites'!$R$7</f>
        <v/>
      </c>
      <c r="AJ495" s="160">
        <f>SUM(AA495:AH495)</f>
        <v/>
      </c>
      <c r="AK495" s="160">
        <f>AJ495+(T495-U495)*'NM Play'!$B$22+MIN(G495,N495*'NM Play'!$B$11)/'NM Play'!$B$13*'NM Play'!$B$21*'NM Play'!$B$22+MIN(H495,N495*'NM Play'!$B$12)/'NM Play'!$B$14*IF('Sites'!$C$7="Own sheets",'NM Play'!$B$21*'NM Play'!$B$22,'NM Play'!$B$28*'NM Play'!$B$14/'NM Play'!$B$12)</f>
        <v/>
      </c>
      <c r="AL495" s="160">
        <f>Y495*'Assumptions'!Y66</f>
        <v/>
      </c>
      <c r="AM495" s="160">
        <f>IF('Sites'!$D$7="NM crew",S495*'NM Play'!$B$37*(1+IF(AND(ISNUMBER('NM Play'!$B$25),'NM Play'!$B$25&gt;0),1,0)),"")</f>
        <v/>
      </c>
      <c r="AN495" s="160">
        <f>IF(OR('Sites'!$E$7&lt;0,'Sites'!$E$7&gt;1,'Sites'!$F$7&lt;1,'Sites'!$G$7&lt;'Sites'!$F$7,F495&lt;0,MIN('Sites'!$I$7:'Sites'!$R$7)&lt;0,'Sites'!$L$7&gt;'Sites'!$I$7,'Sites'!$M$7&gt;'Sites'!$J$7,'Sites'!$N$7&gt;'Sites'!$K$7,'Sites'!$Z$7&lt;0,'Sites'!$Z$7&gt;1,MIN('Sites'!$AA$7:'Sites'!$AC$7)&lt;0,S495&gt;F495+0.001),1,0)</f>
        <v/>
      </c>
      <c r="AO495" s="160">
        <f>I495+U495-T495-X495</f>
        <v/>
      </c>
    </row>
    <row r="496" ht="28" customHeight="1">
      <c r="A496" s="4" t="inlineStr">
        <is>
          <t>Lower sales</t>
        </is>
      </c>
      <c r="B496" s="4" t="inlineStr">
        <is>
          <t>NEW1</t>
        </is>
      </c>
      <c r="C496" s="160" t="n">
        <v>23</v>
      </c>
      <c r="D496" s="160">
        <f>ROUNDUP(C496/12,0)</f>
        <v/>
      </c>
      <c r="E496" s="160">
        <f>IF(AND('Sites'!$E$7=1,C496&gt;='Sites'!$F$7+'Cases'!$G$10,C496&lt;='Sites'!$G$7),1,0)</f>
        <v/>
      </c>
      <c r="F496" s="160">
        <f>E496*'Assumptions'!Z68</f>
        <v/>
      </c>
      <c r="G496" s="160">
        <f>V495</f>
        <v/>
      </c>
      <c r="H496" s="160">
        <f>W495</f>
        <v/>
      </c>
      <c r="I496" s="160">
        <f>X495</f>
        <v/>
      </c>
      <c r="J496" s="160">
        <f>MAX(0,'Sites'!$J$7-SUM(N486:N495))</f>
        <v/>
      </c>
      <c r="K496" s="160">
        <f>IF('Sites'!$C$7="Own sheets",MIN(ROUNDDOWN(G496/'NM Play'!$B$11,0)+F496*'NM Play'!$B$10/'NM Play'!$B$43,ROUNDDOWN(H496/'NM Play'!$B$12,0)+F496*'NM Play'!$B$10/'NM Play'!$B$44,(F496*'NM Play'!$B$10+ROUNDDOWN(G496/'NM Play'!$B$11,0)*'NM Play'!$B$43+ROUNDDOWN(H496/'NM Play'!$B$12,0)*'NM Play'!$B$44)/('NM Play'!$B$43+'NM Play'!$B$44)),ROUNDDOWN(G496/'NM Play'!$B$11,0)+F496*'NM Play'!$B$10/'NM Play'!$B$43)</f>
        <v/>
      </c>
      <c r="L496" s="160">
        <f>MIN(ROUNDDOWN(G496/'NM Play'!$B$11,0)+F496/('NM Play'!$B$43/'NM Play'!$B$15),ROUNDDOWN(H496/'NM Play'!$B$12,0)+F496/('NM Play'!$B$44/'NM Play'!$B$16),(F496+ROUNDDOWN(G496/'NM Play'!$B$11,0)*'NM Play'!$B$43/'NM Play'!$B$15+ROUNDDOWN(H496/'NM Play'!$B$12,0)*'NM Play'!$B$44/'NM Play'!$B$16)/('NM Play'!$B$43/'NM Play'!$B$15+'NM Play'!$B$44/'NM Play'!$B$16))</f>
        <v/>
      </c>
      <c r="M496" s="160">
        <f>F496*'NM Play'!$B$36</f>
        <v/>
      </c>
      <c r="N496" s="160">
        <f>ROUNDDOWN(MAX(0,MIN(J496,K496:M496)),0)</f>
        <v/>
      </c>
      <c r="O496" s="160">
        <f>ROUNDUP(MAX(0,N496*'NM Play'!$B$11-G496)/'NM Play'!$B$13,0)</f>
        <v/>
      </c>
      <c r="P496" s="160">
        <f>ROUNDUP(MAX(0,N496*'NM Play'!$B$12-H496)/'NM Play'!$B$14,0)</f>
        <v/>
      </c>
      <c r="Q496" s="160">
        <f>(O496+IF('Sites'!$C$7="Own sheets",P496,0))/'NM Play'!$B$10</f>
        <v/>
      </c>
      <c r="R496" s="160">
        <f>O496/'NM Play'!$B$15+P496/'NM Play'!$B$16</f>
        <v/>
      </c>
      <c r="S496" s="160">
        <f>MAX(Q496,R496,N496/'NM Play'!$B$36)</f>
        <v/>
      </c>
      <c r="T496" s="160">
        <f>Q496*'NM Play'!$B$10*'NM Play'!$B$21*(1+'NM Play'!$B$35)</f>
        <v/>
      </c>
      <c r="U496" s="160">
        <f>MAX(0,T496-I496)</f>
        <v/>
      </c>
      <c r="V496" s="160">
        <f>G496+O496*'NM Play'!$B$13-N496*'NM Play'!$B$11</f>
        <v/>
      </c>
      <c r="W496" s="160">
        <f>H496+P496*'NM Play'!$B$14-N496*'NM Play'!$B$12</f>
        <v/>
      </c>
      <c r="X496" s="160">
        <f>I496+U496-T496</f>
        <v/>
      </c>
      <c r="Y496" s="160">
        <f>MIN(N496,MAX(0,ROUNDDOWN('Sites'!$M$7*'Cases'!$E$10,0)-SUM(Y486:Y495)))</f>
        <v/>
      </c>
      <c r="Z496" s="160">
        <f>N496-Y496</f>
        <v/>
      </c>
      <c r="AA496" s="160">
        <f>U496*'NM Play'!$B$22</f>
        <v/>
      </c>
      <c r="AB496" s="160">
        <f>N496*SUM('NM Play'!$B$29:$B$31)</f>
        <v/>
      </c>
      <c r="AC496" s="160">
        <f>IF('Sites'!$C$7="Defy legs",P496*'NM Play'!$B$14/'NM Play'!$B$12*'NM Play'!$B$28,0)</f>
        <v/>
      </c>
      <c r="AD496" s="160">
        <f>Q496*'NM Play'!$B$23</f>
        <v/>
      </c>
      <c r="AE496" s="160">
        <f>S496*SUM('NM Play'!$B$26,'NM Play'!$B$33:$B$34)</f>
        <v/>
      </c>
      <c r="AF496" s="160">
        <f>IF('Sites'!$D$7="NM crew",S496*SUM('NM Play'!$B$24:$B$25),0)</f>
        <v/>
      </c>
      <c r="AG496" s="160">
        <f>IF('Sites'!$D$7="NM crew",S496*'NM Play'!$B$27,0)</f>
        <v/>
      </c>
      <c r="AH496" s="160">
        <f>N496*'Sites'!$Z$7*'NM Play'!$B$32</f>
        <v/>
      </c>
      <c r="AI496" s="160">
        <f>SUM(Y496:Z496)*'Sites'!$R$7</f>
        <v/>
      </c>
      <c r="AJ496" s="160">
        <f>SUM(AA496:AH496)</f>
        <v/>
      </c>
      <c r="AK496" s="160">
        <f>AJ496+(T496-U496)*'NM Play'!$B$22+MIN(G496,N496*'NM Play'!$B$11)/'NM Play'!$B$13*'NM Play'!$B$21*'NM Play'!$B$22+MIN(H496,N496*'NM Play'!$B$12)/'NM Play'!$B$14*IF('Sites'!$C$7="Own sheets",'NM Play'!$B$21*'NM Play'!$B$22,'NM Play'!$B$28*'NM Play'!$B$14/'NM Play'!$B$12)</f>
        <v/>
      </c>
      <c r="AL496" s="160">
        <f>Y496*'Assumptions'!Z66</f>
        <v/>
      </c>
      <c r="AM496" s="160">
        <f>IF('Sites'!$D$7="NM crew",S496*'NM Play'!$B$37*(1+IF(AND(ISNUMBER('NM Play'!$B$25),'NM Play'!$B$25&gt;0),1,0)),"")</f>
        <v/>
      </c>
      <c r="AN496" s="160">
        <f>IF(OR('Sites'!$E$7&lt;0,'Sites'!$E$7&gt;1,'Sites'!$F$7&lt;1,'Sites'!$G$7&lt;'Sites'!$F$7,F496&lt;0,MIN('Sites'!$I$7:'Sites'!$R$7)&lt;0,'Sites'!$L$7&gt;'Sites'!$I$7,'Sites'!$M$7&gt;'Sites'!$J$7,'Sites'!$N$7&gt;'Sites'!$K$7,'Sites'!$Z$7&lt;0,'Sites'!$Z$7&gt;1,MIN('Sites'!$AA$7:'Sites'!$AC$7)&lt;0,S496&gt;F496+0.001),1,0)</f>
        <v/>
      </c>
      <c r="AO496" s="160">
        <f>I496+U496-T496-X496</f>
        <v/>
      </c>
    </row>
    <row r="497" ht="28" customHeight="1">
      <c r="A497" s="4" t="inlineStr">
        <is>
          <t>Lower sales</t>
        </is>
      </c>
      <c r="B497" s="4" t="inlineStr">
        <is>
          <t>NEW1</t>
        </is>
      </c>
      <c r="C497" s="160" t="n">
        <v>24</v>
      </c>
      <c r="D497" s="160">
        <f>ROUNDUP(C497/12,0)</f>
        <v/>
      </c>
      <c r="E497" s="160">
        <f>IF(AND('Sites'!$E$7=1,C497&gt;='Sites'!$F$7+'Cases'!$G$10,C497&lt;='Sites'!$G$7),1,0)</f>
        <v/>
      </c>
      <c r="F497" s="160">
        <f>E497*'Assumptions'!AA68</f>
        <v/>
      </c>
      <c r="G497" s="160">
        <f>V496</f>
        <v/>
      </c>
      <c r="H497" s="160">
        <f>W496</f>
        <v/>
      </c>
      <c r="I497" s="160">
        <f>X496</f>
        <v/>
      </c>
      <c r="J497" s="160">
        <f>MAX(0,'Sites'!$J$7-SUM(N486:N496))</f>
        <v/>
      </c>
      <c r="K497" s="160">
        <f>IF('Sites'!$C$7="Own sheets",MIN(ROUNDDOWN(G497/'NM Play'!$B$11,0)+F497*'NM Play'!$B$10/'NM Play'!$B$43,ROUNDDOWN(H497/'NM Play'!$B$12,0)+F497*'NM Play'!$B$10/'NM Play'!$B$44,(F497*'NM Play'!$B$10+ROUNDDOWN(G497/'NM Play'!$B$11,0)*'NM Play'!$B$43+ROUNDDOWN(H497/'NM Play'!$B$12,0)*'NM Play'!$B$44)/('NM Play'!$B$43+'NM Play'!$B$44)),ROUNDDOWN(G497/'NM Play'!$B$11,0)+F497*'NM Play'!$B$10/'NM Play'!$B$43)</f>
        <v/>
      </c>
      <c r="L497" s="160">
        <f>MIN(ROUNDDOWN(G497/'NM Play'!$B$11,0)+F497/('NM Play'!$B$43/'NM Play'!$B$15),ROUNDDOWN(H497/'NM Play'!$B$12,0)+F497/('NM Play'!$B$44/'NM Play'!$B$16),(F497+ROUNDDOWN(G497/'NM Play'!$B$11,0)*'NM Play'!$B$43/'NM Play'!$B$15+ROUNDDOWN(H497/'NM Play'!$B$12,0)*'NM Play'!$B$44/'NM Play'!$B$16)/('NM Play'!$B$43/'NM Play'!$B$15+'NM Play'!$B$44/'NM Play'!$B$16))</f>
        <v/>
      </c>
      <c r="M497" s="160">
        <f>F497*'NM Play'!$B$36</f>
        <v/>
      </c>
      <c r="N497" s="160">
        <f>ROUNDDOWN(MAX(0,MIN(J497,K497:M497)),0)</f>
        <v/>
      </c>
      <c r="O497" s="160">
        <f>ROUNDUP(MAX(0,N497*'NM Play'!$B$11-G497)/'NM Play'!$B$13,0)</f>
        <v/>
      </c>
      <c r="P497" s="160">
        <f>ROUNDUP(MAX(0,N497*'NM Play'!$B$12-H497)/'NM Play'!$B$14,0)</f>
        <v/>
      </c>
      <c r="Q497" s="160">
        <f>(O497+IF('Sites'!$C$7="Own sheets",P497,0))/'NM Play'!$B$10</f>
        <v/>
      </c>
      <c r="R497" s="160">
        <f>O497/'NM Play'!$B$15+P497/'NM Play'!$B$16</f>
        <v/>
      </c>
      <c r="S497" s="160">
        <f>MAX(Q497,R497,N497/'NM Play'!$B$36)</f>
        <v/>
      </c>
      <c r="T497" s="160">
        <f>Q497*'NM Play'!$B$10*'NM Play'!$B$21*(1+'NM Play'!$B$35)</f>
        <v/>
      </c>
      <c r="U497" s="160">
        <f>MAX(0,T497-I497)</f>
        <v/>
      </c>
      <c r="V497" s="160">
        <f>G497+O497*'NM Play'!$B$13-N497*'NM Play'!$B$11</f>
        <v/>
      </c>
      <c r="W497" s="160">
        <f>H497+P497*'NM Play'!$B$14-N497*'NM Play'!$B$12</f>
        <v/>
      </c>
      <c r="X497" s="160">
        <f>I497+U497-T497</f>
        <v/>
      </c>
      <c r="Y497" s="160">
        <f>MIN(N497,MAX(0,ROUNDDOWN('Sites'!$M$7*'Cases'!$E$10,0)-SUM(Y486:Y496)))</f>
        <v/>
      </c>
      <c r="Z497" s="160">
        <f>N497-Y497</f>
        <v/>
      </c>
      <c r="AA497" s="160">
        <f>U497*'NM Play'!$B$22</f>
        <v/>
      </c>
      <c r="AB497" s="160">
        <f>N497*SUM('NM Play'!$B$29:$B$31)</f>
        <v/>
      </c>
      <c r="AC497" s="160">
        <f>IF('Sites'!$C$7="Defy legs",P497*'NM Play'!$B$14/'NM Play'!$B$12*'NM Play'!$B$28,0)</f>
        <v/>
      </c>
      <c r="AD497" s="160">
        <f>Q497*'NM Play'!$B$23</f>
        <v/>
      </c>
      <c r="AE497" s="160">
        <f>S497*SUM('NM Play'!$B$26,'NM Play'!$B$33:$B$34)</f>
        <v/>
      </c>
      <c r="AF497" s="160">
        <f>IF('Sites'!$D$7="NM crew",S497*SUM('NM Play'!$B$24:$B$25),0)</f>
        <v/>
      </c>
      <c r="AG497" s="160">
        <f>IF('Sites'!$D$7="NM crew",S497*'NM Play'!$B$27,0)</f>
        <v/>
      </c>
      <c r="AH497" s="160">
        <f>N497*'Sites'!$Z$7*'NM Play'!$B$32</f>
        <v/>
      </c>
      <c r="AI497" s="160">
        <f>SUM(Y497:Z497)*'Sites'!$R$7</f>
        <v/>
      </c>
      <c r="AJ497" s="160">
        <f>SUM(AA497:AH497)</f>
        <v/>
      </c>
      <c r="AK497" s="160">
        <f>AJ497+(T497-U497)*'NM Play'!$B$22+MIN(G497,N497*'NM Play'!$B$11)/'NM Play'!$B$13*'NM Play'!$B$21*'NM Play'!$B$22+MIN(H497,N497*'NM Play'!$B$12)/'NM Play'!$B$14*IF('Sites'!$C$7="Own sheets",'NM Play'!$B$21*'NM Play'!$B$22,'NM Play'!$B$28*'NM Play'!$B$14/'NM Play'!$B$12)</f>
        <v/>
      </c>
      <c r="AL497" s="160">
        <f>Y497*'Assumptions'!AA66</f>
        <v/>
      </c>
      <c r="AM497" s="160">
        <f>IF('Sites'!$D$7="NM crew",S497*'NM Play'!$B$37*(1+IF(AND(ISNUMBER('NM Play'!$B$25),'NM Play'!$B$25&gt;0),1,0)),"")</f>
        <v/>
      </c>
      <c r="AN497" s="160">
        <f>IF(OR('Sites'!$E$7&lt;0,'Sites'!$E$7&gt;1,'Sites'!$F$7&lt;1,'Sites'!$G$7&lt;'Sites'!$F$7,F497&lt;0,MIN('Sites'!$I$7:'Sites'!$R$7)&lt;0,'Sites'!$L$7&gt;'Sites'!$I$7,'Sites'!$M$7&gt;'Sites'!$J$7,'Sites'!$N$7&gt;'Sites'!$K$7,'Sites'!$Z$7&lt;0,'Sites'!$Z$7&gt;1,MIN('Sites'!$AA$7:'Sites'!$AC$7)&lt;0,S497&gt;F497+0.001),1,0)</f>
        <v/>
      </c>
      <c r="AO497" s="160">
        <f>I497+U497-T497-X497</f>
        <v/>
      </c>
    </row>
    <row r="498" ht="28" customHeight="1">
      <c r="A498" s="4" t="inlineStr">
        <is>
          <t>Lower sales</t>
        </is>
      </c>
      <c r="B498" s="4" t="inlineStr">
        <is>
          <t>NEW1</t>
        </is>
      </c>
      <c r="C498" s="160" t="n">
        <v>25</v>
      </c>
      <c r="D498" s="160">
        <f>ROUNDUP(C498/12,0)</f>
        <v/>
      </c>
      <c r="E498" s="160">
        <f>IF(AND('Sites'!$E$7=1,C498&gt;='Sites'!$F$7+'Cases'!$G$10,C498&lt;='Sites'!$G$7),1,0)</f>
        <v/>
      </c>
      <c r="F498" s="160">
        <f>E498*'Assumptions'!AB68</f>
        <v/>
      </c>
      <c r="G498" s="160">
        <f>V497</f>
        <v/>
      </c>
      <c r="H498" s="160">
        <f>W497</f>
        <v/>
      </c>
      <c r="I498" s="160">
        <f>X497</f>
        <v/>
      </c>
      <c r="J498" s="160">
        <f>MAX(0,'Sites'!$K$7-0)</f>
        <v/>
      </c>
      <c r="K498" s="160">
        <f>IF('Sites'!$C$7="Own sheets",MIN(ROUNDDOWN(G498/'NM Play'!$B$11,0)+F498*'NM Play'!$B$10/'NM Play'!$B$43,ROUNDDOWN(H498/'NM Play'!$B$12,0)+F498*'NM Play'!$B$10/'NM Play'!$B$44,(F498*'NM Play'!$B$10+ROUNDDOWN(G498/'NM Play'!$B$11,0)*'NM Play'!$B$43+ROUNDDOWN(H498/'NM Play'!$B$12,0)*'NM Play'!$B$44)/('NM Play'!$B$43+'NM Play'!$B$44)),ROUNDDOWN(G498/'NM Play'!$B$11,0)+F498*'NM Play'!$B$10/'NM Play'!$B$43)</f>
        <v/>
      </c>
      <c r="L498" s="160">
        <f>MIN(ROUNDDOWN(G498/'NM Play'!$B$11,0)+F498/('NM Play'!$B$43/'NM Play'!$B$15),ROUNDDOWN(H498/'NM Play'!$B$12,0)+F498/('NM Play'!$B$44/'NM Play'!$B$16),(F498+ROUNDDOWN(G498/'NM Play'!$B$11,0)*'NM Play'!$B$43/'NM Play'!$B$15+ROUNDDOWN(H498/'NM Play'!$B$12,0)*'NM Play'!$B$44/'NM Play'!$B$16)/('NM Play'!$B$43/'NM Play'!$B$15+'NM Play'!$B$44/'NM Play'!$B$16))</f>
        <v/>
      </c>
      <c r="M498" s="160">
        <f>F498*'NM Play'!$B$36</f>
        <v/>
      </c>
      <c r="N498" s="160">
        <f>ROUNDDOWN(MAX(0,MIN(J498,K498:M498)),0)</f>
        <v/>
      </c>
      <c r="O498" s="160">
        <f>ROUNDUP(MAX(0,N498*'NM Play'!$B$11-G498)/'NM Play'!$B$13,0)</f>
        <v/>
      </c>
      <c r="P498" s="160">
        <f>ROUNDUP(MAX(0,N498*'NM Play'!$B$12-H498)/'NM Play'!$B$14,0)</f>
        <v/>
      </c>
      <c r="Q498" s="160">
        <f>(O498+IF('Sites'!$C$7="Own sheets",P498,0))/'NM Play'!$B$10</f>
        <v/>
      </c>
      <c r="R498" s="160">
        <f>O498/'NM Play'!$B$15+P498/'NM Play'!$B$16</f>
        <v/>
      </c>
      <c r="S498" s="160">
        <f>MAX(Q498,R498,N498/'NM Play'!$B$36)</f>
        <v/>
      </c>
      <c r="T498" s="160">
        <f>Q498*'NM Play'!$B$10*'NM Play'!$B$21*(1+'NM Play'!$B$35)</f>
        <v/>
      </c>
      <c r="U498" s="160">
        <f>MAX(0,T498-I498)</f>
        <v/>
      </c>
      <c r="V498" s="160">
        <f>G498+O498*'NM Play'!$B$13-N498*'NM Play'!$B$11</f>
        <v/>
      </c>
      <c r="W498" s="160">
        <f>H498+P498*'NM Play'!$B$14-N498*'NM Play'!$B$12</f>
        <v/>
      </c>
      <c r="X498" s="160">
        <f>I498+U498-T498</f>
        <v/>
      </c>
      <c r="Y498" s="160">
        <f>MIN(N498,MAX(0,ROUNDDOWN('Sites'!$N$7*'Cases'!$E$10,0)-0))</f>
        <v/>
      </c>
      <c r="Z498" s="160">
        <f>N498-Y498</f>
        <v/>
      </c>
      <c r="AA498" s="160">
        <f>U498*'NM Play'!$B$22</f>
        <v/>
      </c>
      <c r="AB498" s="160">
        <f>N498*SUM('NM Play'!$B$29:$B$31)</f>
        <v/>
      </c>
      <c r="AC498" s="160">
        <f>IF('Sites'!$C$7="Defy legs",P498*'NM Play'!$B$14/'NM Play'!$B$12*'NM Play'!$B$28,0)</f>
        <v/>
      </c>
      <c r="AD498" s="160">
        <f>Q498*'NM Play'!$B$23</f>
        <v/>
      </c>
      <c r="AE498" s="160">
        <f>S498*SUM('NM Play'!$B$26,'NM Play'!$B$33:$B$34)</f>
        <v/>
      </c>
      <c r="AF498" s="160">
        <f>IF('Sites'!$D$7="NM crew",S498*SUM('NM Play'!$B$24:$B$25),0)</f>
        <v/>
      </c>
      <c r="AG498" s="160">
        <f>IF('Sites'!$D$7="NM crew",S498*'NM Play'!$B$27,0)</f>
        <v/>
      </c>
      <c r="AH498" s="160">
        <f>N498*'Sites'!$Z$7*'NM Play'!$B$32</f>
        <v/>
      </c>
      <c r="AI498" s="160">
        <f>SUM(Y498:Z498)*'Sites'!$R$7</f>
        <v/>
      </c>
      <c r="AJ498" s="160">
        <f>SUM(AA498:AH498)</f>
        <v/>
      </c>
      <c r="AK498" s="160">
        <f>AJ498+(T498-U498)*'NM Play'!$B$22+MIN(G498,N498*'NM Play'!$B$11)/'NM Play'!$B$13*'NM Play'!$B$21*'NM Play'!$B$22+MIN(H498,N498*'NM Play'!$B$12)/'NM Play'!$B$14*IF('Sites'!$C$7="Own sheets",'NM Play'!$B$21*'NM Play'!$B$22,'NM Play'!$B$28*'NM Play'!$B$14/'NM Play'!$B$12)</f>
        <v/>
      </c>
      <c r="AL498" s="160">
        <f>Y498*'Assumptions'!AB66</f>
        <v/>
      </c>
      <c r="AM498" s="160">
        <f>IF('Sites'!$D$7="NM crew",S498*'NM Play'!$B$37*(1+IF(AND(ISNUMBER('NM Play'!$B$25),'NM Play'!$B$25&gt;0),1,0)),"")</f>
        <v/>
      </c>
      <c r="AN498" s="160">
        <f>IF(OR('Sites'!$E$7&lt;0,'Sites'!$E$7&gt;1,'Sites'!$F$7&lt;1,'Sites'!$G$7&lt;'Sites'!$F$7,F498&lt;0,MIN('Sites'!$I$7:'Sites'!$R$7)&lt;0,'Sites'!$L$7&gt;'Sites'!$I$7,'Sites'!$M$7&gt;'Sites'!$J$7,'Sites'!$N$7&gt;'Sites'!$K$7,'Sites'!$Z$7&lt;0,'Sites'!$Z$7&gt;1,MIN('Sites'!$AA$7:'Sites'!$AC$7)&lt;0,S498&gt;F498+0.001),1,0)</f>
        <v/>
      </c>
      <c r="AO498" s="160">
        <f>I498+U498-T498-X498</f>
        <v/>
      </c>
    </row>
    <row r="499" ht="28" customHeight="1">
      <c r="A499" s="4" t="inlineStr">
        <is>
          <t>Lower sales</t>
        </is>
      </c>
      <c r="B499" s="4" t="inlineStr">
        <is>
          <t>NEW1</t>
        </is>
      </c>
      <c r="C499" s="160" t="n">
        <v>26</v>
      </c>
      <c r="D499" s="160">
        <f>ROUNDUP(C499/12,0)</f>
        <v/>
      </c>
      <c r="E499" s="160">
        <f>IF(AND('Sites'!$E$7=1,C499&gt;='Sites'!$F$7+'Cases'!$G$10,C499&lt;='Sites'!$G$7),1,0)</f>
        <v/>
      </c>
      <c r="F499" s="160">
        <f>E499*'Assumptions'!AC68</f>
        <v/>
      </c>
      <c r="G499" s="160">
        <f>V498</f>
        <v/>
      </c>
      <c r="H499" s="160">
        <f>W498</f>
        <v/>
      </c>
      <c r="I499" s="160">
        <f>X498</f>
        <v/>
      </c>
      <c r="J499" s="160">
        <f>MAX(0,'Sites'!$K$7-SUM(N498:N498))</f>
        <v/>
      </c>
      <c r="K499" s="160">
        <f>IF('Sites'!$C$7="Own sheets",MIN(ROUNDDOWN(G499/'NM Play'!$B$11,0)+F499*'NM Play'!$B$10/'NM Play'!$B$43,ROUNDDOWN(H499/'NM Play'!$B$12,0)+F499*'NM Play'!$B$10/'NM Play'!$B$44,(F499*'NM Play'!$B$10+ROUNDDOWN(G499/'NM Play'!$B$11,0)*'NM Play'!$B$43+ROUNDDOWN(H499/'NM Play'!$B$12,0)*'NM Play'!$B$44)/('NM Play'!$B$43+'NM Play'!$B$44)),ROUNDDOWN(G499/'NM Play'!$B$11,0)+F499*'NM Play'!$B$10/'NM Play'!$B$43)</f>
        <v/>
      </c>
      <c r="L499" s="160">
        <f>MIN(ROUNDDOWN(G499/'NM Play'!$B$11,0)+F499/('NM Play'!$B$43/'NM Play'!$B$15),ROUNDDOWN(H499/'NM Play'!$B$12,0)+F499/('NM Play'!$B$44/'NM Play'!$B$16),(F499+ROUNDDOWN(G499/'NM Play'!$B$11,0)*'NM Play'!$B$43/'NM Play'!$B$15+ROUNDDOWN(H499/'NM Play'!$B$12,0)*'NM Play'!$B$44/'NM Play'!$B$16)/('NM Play'!$B$43/'NM Play'!$B$15+'NM Play'!$B$44/'NM Play'!$B$16))</f>
        <v/>
      </c>
      <c r="M499" s="160">
        <f>F499*'NM Play'!$B$36</f>
        <v/>
      </c>
      <c r="N499" s="160">
        <f>ROUNDDOWN(MAX(0,MIN(J499,K499:M499)),0)</f>
        <v/>
      </c>
      <c r="O499" s="160">
        <f>ROUNDUP(MAX(0,N499*'NM Play'!$B$11-G499)/'NM Play'!$B$13,0)</f>
        <v/>
      </c>
      <c r="P499" s="160">
        <f>ROUNDUP(MAX(0,N499*'NM Play'!$B$12-H499)/'NM Play'!$B$14,0)</f>
        <v/>
      </c>
      <c r="Q499" s="160">
        <f>(O499+IF('Sites'!$C$7="Own sheets",P499,0))/'NM Play'!$B$10</f>
        <v/>
      </c>
      <c r="R499" s="160">
        <f>O499/'NM Play'!$B$15+P499/'NM Play'!$B$16</f>
        <v/>
      </c>
      <c r="S499" s="160">
        <f>MAX(Q499,R499,N499/'NM Play'!$B$36)</f>
        <v/>
      </c>
      <c r="T499" s="160">
        <f>Q499*'NM Play'!$B$10*'NM Play'!$B$21*(1+'NM Play'!$B$35)</f>
        <v/>
      </c>
      <c r="U499" s="160">
        <f>MAX(0,T499-I499)</f>
        <v/>
      </c>
      <c r="V499" s="160">
        <f>G499+O499*'NM Play'!$B$13-N499*'NM Play'!$B$11</f>
        <v/>
      </c>
      <c r="W499" s="160">
        <f>H499+P499*'NM Play'!$B$14-N499*'NM Play'!$B$12</f>
        <v/>
      </c>
      <c r="X499" s="160">
        <f>I499+U499-T499</f>
        <v/>
      </c>
      <c r="Y499" s="160">
        <f>MIN(N499,MAX(0,ROUNDDOWN('Sites'!$N$7*'Cases'!$E$10,0)-SUM(Y498:Y498)))</f>
        <v/>
      </c>
      <c r="Z499" s="160">
        <f>N499-Y499</f>
        <v/>
      </c>
      <c r="AA499" s="160">
        <f>U499*'NM Play'!$B$22</f>
        <v/>
      </c>
      <c r="AB499" s="160">
        <f>N499*SUM('NM Play'!$B$29:$B$31)</f>
        <v/>
      </c>
      <c r="AC499" s="160">
        <f>IF('Sites'!$C$7="Defy legs",P499*'NM Play'!$B$14/'NM Play'!$B$12*'NM Play'!$B$28,0)</f>
        <v/>
      </c>
      <c r="AD499" s="160">
        <f>Q499*'NM Play'!$B$23</f>
        <v/>
      </c>
      <c r="AE499" s="160">
        <f>S499*SUM('NM Play'!$B$26,'NM Play'!$B$33:$B$34)</f>
        <v/>
      </c>
      <c r="AF499" s="160">
        <f>IF('Sites'!$D$7="NM crew",S499*SUM('NM Play'!$B$24:$B$25),0)</f>
        <v/>
      </c>
      <c r="AG499" s="160">
        <f>IF('Sites'!$D$7="NM crew",S499*'NM Play'!$B$27,0)</f>
        <v/>
      </c>
      <c r="AH499" s="160">
        <f>N499*'Sites'!$Z$7*'NM Play'!$B$32</f>
        <v/>
      </c>
      <c r="AI499" s="160">
        <f>SUM(Y499:Z499)*'Sites'!$R$7</f>
        <v/>
      </c>
      <c r="AJ499" s="160">
        <f>SUM(AA499:AH499)</f>
        <v/>
      </c>
      <c r="AK499" s="160">
        <f>AJ499+(T499-U499)*'NM Play'!$B$22+MIN(G499,N499*'NM Play'!$B$11)/'NM Play'!$B$13*'NM Play'!$B$21*'NM Play'!$B$22+MIN(H499,N499*'NM Play'!$B$12)/'NM Play'!$B$14*IF('Sites'!$C$7="Own sheets",'NM Play'!$B$21*'NM Play'!$B$22,'NM Play'!$B$28*'NM Play'!$B$14/'NM Play'!$B$12)</f>
        <v/>
      </c>
      <c r="AL499" s="160">
        <f>Y499*'Assumptions'!AC66</f>
        <v/>
      </c>
      <c r="AM499" s="160">
        <f>IF('Sites'!$D$7="NM crew",S499*'NM Play'!$B$37*(1+IF(AND(ISNUMBER('NM Play'!$B$25),'NM Play'!$B$25&gt;0),1,0)),"")</f>
        <v/>
      </c>
      <c r="AN499" s="160">
        <f>IF(OR('Sites'!$E$7&lt;0,'Sites'!$E$7&gt;1,'Sites'!$F$7&lt;1,'Sites'!$G$7&lt;'Sites'!$F$7,F499&lt;0,MIN('Sites'!$I$7:'Sites'!$R$7)&lt;0,'Sites'!$L$7&gt;'Sites'!$I$7,'Sites'!$M$7&gt;'Sites'!$J$7,'Sites'!$N$7&gt;'Sites'!$K$7,'Sites'!$Z$7&lt;0,'Sites'!$Z$7&gt;1,MIN('Sites'!$AA$7:'Sites'!$AC$7)&lt;0,S499&gt;F499+0.001),1,0)</f>
        <v/>
      </c>
      <c r="AO499" s="160">
        <f>I499+U499-T499-X499</f>
        <v/>
      </c>
    </row>
    <row r="500" ht="28" customHeight="1">
      <c r="A500" s="4" t="inlineStr">
        <is>
          <t>Lower sales</t>
        </is>
      </c>
      <c r="B500" s="4" t="inlineStr">
        <is>
          <t>NEW1</t>
        </is>
      </c>
      <c r="C500" s="160" t="n">
        <v>27</v>
      </c>
      <c r="D500" s="160">
        <f>ROUNDUP(C500/12,0)</f>
        <v/>
      </c>
      <c r="E500" s="160">
        <f>IF(AND('Sites'!$E$7=1,C500&gt;='Sites'!$F$7+'Cases'!$G$10,C500&lt;='Sites'!$G$7),1,0)</f>
        <v/>
      </c>
      <c r="F500" s="160">
        <f>E500*'Assumptions'!AD68</f>
        <v/>
      </c>
      <c r="G500" s="160">
        <f>V499</f>
        <v/>
      </c>
      <c r="H500" s="160">
        <f>W499</f>
        <v/>
      </c>
      <c r="I500" s="160">
        <f>X499</f>
        <v/>
      </c>
      <c r="J500" s="160">
        <f>MAX(0,'Sites'!$K$7-SUM(N498:N499))</f>
        <v/>
      </c>
      <c r="K500" s="160">
        <f>IF('Sites'!$C$7="Own sheets",MIN(ROUNDDOWN(G500/'NM Play'!$B$11,0)+F500*'NM Play'!$B$10/'NM Play'!$B$43,ROUNDDOWN(H500/'NM Play'!$B$12,0)+F500*'NM Play'!$B$10/'NM Play'!$B$44,(F500*'NM Play'!$B$10+ROUNDDOWN(G500/'NM Play'!$B$11,0)*'NM Play'!$B$43+ROUNDDOWN(H500/'NM Play'!$B$12,0)*'NM Play'!$B$44)/('NM Play'!$B$43+'NM Play'!$B$44)),ROUNDDOWN(G500/'NM Play'!$B$11,0)+F500*'NM Play'!$B$10/'NM Play'!$B$43)</f>
        <v/>
      </c>
      <c r="L500" s="160">
        <f>MIN(ROUNDDOWN(G500/'NM Play'!$B$11,0)+F500/('NM Play'!$B$43/'NM Play'!$B$15),ROUNDDOWN(H500/'NM Play'!$B$12,0)+F500/('NM Play'!$B$44/'NM Play'!$B$16),(F500+ROUNDDOWN(G500/'NM Play'!$B$11,0)*'NM Play'!$B$43/'NM Play'!$B$15+ROUNDDOWN(H500/'NM Play'!$B$12,0)*'NM Play'!$B$44/'NM Play'!$B$16)/('NM Play'!$B$43/'NM Play'!$B$15+'NM Play'!$B$44/'NM Play'!$B$16))</f>
        <v/>
      </c>
      <c r="M500" s="160">
        <f>F500*'NM Play'!$B$36</f>
        <v/>
      </c>
      <c r="N500" s="160">
        <f>ROUNDDOWN(MAX(0,MIN(J500,K500:M500)),0)</f>
        <v/>
      </c>
      <c r="O500" s="160">
        <f>ROUNDUP(MAX(0,N500*'NM Play'!$B$11-G500)/'NM Play'!$B$13,0)</f>
        <v/>
      </c>
      <c r="P500" s="160">
        <f>ROUNDUP(MAX(0,N500*'NM Play'!$B$12-H500)/'NM Play'!$B$14,0)</f>
        <v/>
      </c>
      <c r="Q500" s="160">
        <f>(O500+IF('Sites'!$C$7="Own sheets",P500,0))/'NM Play'!$B$10</f>
        <v/>
      </c>
      <c r="R500" s="160">
        <f>O500/'NM Play'!$B$15+P500/'NM Play'!$B$16</f>
        <v/>
      </c>
      <c r="S500" s="160">
        <f>MAX(Q500,R500,N500/'NM Play'!$B$36)</f>
        <v/>
      </c>
      <c r="T500" s="160">
        <f>Q500*'NM Play'!$B$10*'NM Play'!$B$21*(1+'NM Play'!$B$35)</f>
        <v/>
      </c>
      <c r="U500" s="160">
        <f>MAX(0,T500-I500)</f>
        <v/>
      </c>
      <c r="V500" s="160">
        <f>G500+O500*'NM Play'!$B$13-N500*'NM Play'!$B$11</f>
        <v/>
      </c>
      <c r="W500" s="160">
        <f>H500+P500*'NM Play'!$B$14-N500*'NM Play'!$B$12</f>
        <v/>
      </c>
      <c r="X500" s="160">
        <f>I500+U500-T500</f>
        <v/>
      </c>
      <c r="Y500" s="160">
        <f>MIN(N500,MAX(0,ROUNDDOWN('Sites'!$N$7*'Cases'!$E$10,0)-SUM(Y498:Y499)))</f>
        <v/>
      </c>
      <c r="Z500" s="160">
        <f>N500-Y500</f>
        <v/>
      </c>
      <c r="AA500" s="160">
        <f>U500*'NM Play'!$B$22</f>
        <v/>
      </c>
      <c r="AB500" s="160">
        <f>N500*SUM('NM Play'!$B$29:$B$31)</f>
        <v/>
      </c>
      <c r="AC500" s="160">
        <f>IF('Sites'!$C$7="Defy legs",P500*'NM Play'!$B$14/'NM Play'!$B$12*'NM Play'!$B$28,0)</f>
        <v/>
      </c>
      <c r="AD500" s="160">
        <f>Q500*'NM Play'!$B$23</f>
        <v/>
      </c>
      <c r="AE500" s="160">
        <f>S500*SUM('NM Play'!$B$26,'NM Play'!$B$33:$B$34)</f>
        <v/>
      </c>
      <c r="AF500" s="160">
        <f>IF('Sites'!$D$7="NM crew",S500*SUM('NM Play'!$B$24:$B$25),0)</f>
        <v/>
      </c>
      <c r="AG500" s="160">
        <f>IF('Sites'!$D$7="NM crew",S500*'NM Play'!$B$27,0)</f>
        <v/>
      </c>
      <c r="AH500" s="160">
        <f>N500*'Sites'!$Z$7*'NM Play'!$B$32</f>
        <v/>
      </c>
      <c r="AI500" s="160">
        <f>SUM(Y500:Z500)*'Sites'!$R$7</f>
        <v/>
      </c>
      <c r="AJ500" s="160">
        <f>SUM(AA500:AH500)</f>
        <v/>
      </c>
      <c r="AK500" s="160">
        <f>AJ500+(T500-U500)*'NM Play'!$B$22+MIN(G500,N500*'NM Play'!$B$11)/'NM Play'!$B$13*'NM Play'!$B$21*'NM Play'!$B$22+MIN(H500,N500*'NM Play'!$B$12)/'NM Play'!$B$14*IF('Sites'!$C$7="Own sheets",'NM Play'!$B$21*'NM Play'!$B$22,'NM Play'!$B$28*'NM Play'!$B$14/'NM Play'!$B$12)</f>
        <v/>
      </c>
      <c r="AL500" s="160">
        <f>Y500*'Assumptions'!AD66</f>
        <v/>
      </c>
      <c r="AM500" s="160">
        <f>IF('Sites'!$D$7="NM crew",S500*'NM Play'!$B$37*(1+IF(AND(ISNUMBER('NM Play'!$B$25),'NM Play'!$B$25&gt;0),1,0)),"")</f>
        <v/>
      </c>
      <c r="AN500" s="160">
        <f>IF(OR('Sites'!$E$7&lt;0,'Sites'!$E$7&gt;1,'Sites'!$F$7&lt;1,'Sites'!$G$7&lt;'Sites'!$F$7,F500&lt;0,MIN('Sites'!$I$7:'Sites'!$R$7)&lt;0,'Sites'!$L$7&gt;'Sites'!$I$7,'Sites'!$M$7&gt;'Sites'!$J$7,'Sites'!$N$7&gt;'Sites'!$K$7,'Sites'!$Z$7&lt;0,'Sites'!$Z$7&gt;1,MIN('Sites'!$AA$7:'Sites'!$AC$7)&lt;0,S500&gt;F500+0.001),1,0)</f>
        <v/>
      </c>
      <c r="AO500" s="160">
        <f>I500+U500-T500-X500</f>
        <v/>
      </c>
    </row>
    <row r="501" ht="28" customHeight="1">
      <c r="A501" s="4" t="inlineStr">
        <is>
          <t>Lower sales</t>
        </is>
      </c>
      <c r="B501" s="4" t="inlineStr">
        <is>
          <t>NEW1</t>
        </is>
      </c>
      <c r="C501" s="160" t="n">
        <v>28</v>
      </c>
      <c r="D501" s="160">
        <f>ROUNDUP(C501/12,0)</f>
        <v/>
      </c>
      <c r="E501" s="160">
        <f>IF(AND('Sites'!$E$7=1,C501&gt;='Sites'!$F$7+'Cases'!$G$10,C501&lt;='Sites'!$G$7),1,0)</f>
        <v/>
      </c>
      <c r="F501" s="160">
        <f>E501*'Assumptions'!AE68</f>
        <v/>
      </c>
      <c r="G501" s="160">
        <f>V500</f>
        <v/>
      </c>
      <c r="H501" s="160">
        <f>W500</f>
        <v/>
      </c>
      <c r="I501" s="160">
        <f>X500</f>
        <v/>
      </c>
      <c r="J501" s="160">
        <f>MAX(0,'Sites'!$K$7-SUM(N498:N500))</f>
        <v/>
      </c>
      <c r="K501" s="160">
        <f>IF('Sites'!$C$7="Own sheets",MIN(ROUNDDOWN(G501/'NM Play'!$B$11,0)+F501*'NM Play'!$B$10/'NM Play'!$B$43,ROUNDDOWN(H501/'NM Play'!$B$12,0)+F501*'NM Play'!$B$10/'NM Play'!$B$44,(F501*'NM Play'!$B$10+ROUNDDOWN(G501/'NM Play'!$B$11,0)*'NM Play'!$B$43+ROUNDDOWN(H501/'NM Play'!$B$12,0)*'NM Play'!$B$44)/('NM Play'!$B$43+'NM Play'!$B$44)),ROUNDDOWN(G501/'NM Play'!$B$11,0)+F501*'NM Play'!$B$10/'NM Play'!$B$43)</f>
        <v/>
      </c>
      <c r="L501" s="160">
        <f>MIN(ROUNDDOWN(G501/'NM Play'!$B$11,0)+F501/('NM Play'!$B$43/'NM Play'!$B$15),ROUNDDOWN(H501/'NM Play'!$B$12,0)+F501/('NM Play'!$B$44/'NM Play'!$B$16),(F501+ROUNDDOWN(G501/'NM Play'!$B$11,0)*'NM Play'!$B$43/'NM Play'!$B$15+ROUNDDOWN(H501/'NM Play'!$B$12,0)*'NM Play'!$B$44/'NM Play'!$B$16)/('NM Play'!$B$43/'NM Play'!$B$15+'NM Play'!$B$44/'NM Play'!$B$16))</f>
        <v/>
      </c>
      <c r="M501" s="160">
        <f>F501*'NM Play'!$B$36</f>
        <v/>
      </c>
      <c r="N501" s="160">
        <f>ROUNDDOWN(MAX(0,MIN(J501,K501:M501)),0)</f>
        <v/>
      </c>
      <c r="O501" s="160">
        <f>ROUNDUP(MAX(0,N501*'NM Play'!$B$11-G501)/'NM Play'!$B$13,0)</f>
        <v/>
      </c>
      <c r="P501" s="160">
        <f>ROUNDUP(MAX(0,N501*'NM Play'!$B$12-H501)/'NM Play'!$B$14,0)</f>
        <v/>
      </c>
      <c r="Q501" s="160">
        <f>(O501+IF('Sites'!$C$7="Own sheets",P501,0))/'NM Play'!$B$10</f>
        <v/>
      </c>
      <c r="R501" s="160">
        <f>O501/'NM Play'!$B$15+P501/'NM Play'!$B$16</f>
        <v/>
      </c>
      <c r="S501" s="160">
        <f>MAX(Q501,R501,N501/'NM Play'!$B$36)</f>
        <v/>
      </c>
      <c r="T501" s="160">
        <f>Q501*'NM Play'!$B$10*'NM Play'!$B$21*(1+'NM Play'!$B$35)</f>
        <v/>
      </c>
      <c r="U501" s="160">
        <f>MAX(0,T501-I501)</f>
        <v/>
      </c>
      <c r="V501" s="160">
        <f>G501+O501*'NM Play'!$B$13-N501*'NM Play'!$B$11</f>
        <v/>
      </c>
      <c r="W501" s="160">
        <f>H501+P501*'NM Play'!$B$14-N501*'NM Play'!$B$12</f>
        <v/>
      </c>
      <c r="X501" s="160">
        <f>I501+U501-T501</f>
        <v/>
      </c>
      <c r="Y501" s="160">
        <f>MIN(N501,MAX(0,ROUNDDOWN('Sites'!$N$7*'Cases'!$E$10,0)-SUM(Y498:Y500)))</f>
        <v/>
      </c>
      <c r="Z501" s="160">
        <f>N501-Y501</f>
        <v/>
      </c>
      <c r="AA501" s="160">
        <f>U501*'NM Play'!$B$22</f>
        <v/>
      </c>
      <c r="AB501" s="160">
        <f>N501*SUM('NM Play'!$B$29:$B$31)</f>
        <v/>
      </c>
      <c r="AC501" s="160">
        <f>IF('Sites'!$C$7="Defy legs",P501*'NM Play'!$B$14/'NM Play'!$B$12*'NM Play'!$B$28,0)</f>
        <v/>
      </c>
      <c r="AD501" s="160">
        <f>Q501*'NM Play'!$B$23</f>
        <v/>
      </c>
      <c r="AE501" s="160">
        <f>S501*SUM('NM Play'!$B$26,'NM Play'!$B$33:$B$34)</f>
        <v/>
      </c>
      <c r="AF501" s="160">
        <f>IF('Sites'!$D$7="NM crew",S501*SUM('NM Play'!$B$24:$B$25),0)</f>
        <v/>
      </c>
      <c r="AG501" s="160">
        <f>IF('Sites'!$D$7="NM crew",S501*'NM Play'!$B$27,0)</f>
        <v/>
      </c>
      <c r="AH501" s="160">
        <f>N501*'Sites'!$Z$7*'NM Play'!$B$32</f>
        <v/>
      </c>
      <c r="AI501" s="160">
        <f>SUM(Y501:Z501)*'Sites'!$R$7</f>
        <v/>
      </c>
      <c r="AJ501" s="160">
        <f>SUM(AA501:AH501)</f>
        <v/>
      </c>
      <c r="AK501" s="160">
        <f>AJ501+(T501-U501)*'NM Play'!$B$22+MIN(G501,N501*'NM Play'!$B$11)/'NM Play'!$B$13*'NM Play'!$B$21*'NM Play'!$B$22+MIN(H501,N501*'NM Play'!$B$12)/'NM Play'!$B$14*IF('Sites'!$C$7="Own sheets",'NM Play'!$B$21*'NM Play'!$B$22,'NM Play'!$B$28*'NM Play'!$B$14/'NM Play'!$B$12)</f>
        <v/>
      </c>
      <c r="AL501" s="160">
        <f>Y501*'Assumptions'!AE66</f>
        <v/>
      </c>
      <c r="AM501" s="160">
        <f>IF('Sites'!$D$7="NM crew",S501*'NM Play'!$B$37*(1+IF(AND(ISNUMBER('NM Play'!$B$25),'NM Play'!$B$25&gt;0),1,0)),"")</f>
        <v/>
      </c>
      <c r="AN501" s="160">
        <f>IF(OR('Sites'!$E$7&lt;0,'Sites'!$E$7&gt;1,'Sites'!$F$7&lt;1,'Sites'!$G$7&lt;'Sites'!$F$7,F501&lt;0,MIN('Sites'!$I$7:'Sites'!$R$7)&lt;0,'Sites'!$L$7&gt;'Sites'!$I$7,'Sites'!$M$7&gt;'Sites'!$J$7,'Sites'!$N$7&gt;'Sites'!$K$7,'Sites'!$Z$7&lt;0,'Sites'!$Z$7&gt;1,MIN('Sites'!$AA$7:'Sites'!$AC$7)&lt;0,S501&gt;F501+0.001),1,0)</f>
        <v/>
      </c>
      <c r="AO501" s="160">
        <f>I501+U501-T501-X501</f>
        <v/>
      </c>
    </row>
    <row r="502" ht="28" customHeight="1">
      <c r="A502" s="4" t="inlineStr">
        <is>
          <t>Lower sales</t>
        </is>
      </c>
      <c r="B502" s="4" t="inlineStr">
        <is>
          <t>NEW1</t>
        </is>
      </c>
      <c r="C502" s="160" t="n">
        <v>29</v>
      </c>
      <c r="D502" s="160">
        <f>ROUNDUP(C502/12,0)</f>
        <v/>
      </c>
      <c r="E502" s="160">
        <f>IF(AND('Sites'!$E$7=1,C502&gt;='Sites'!$F$7+'Cases'!$G$10,C502&lt;='Sites'!$G$7),1,0)</f>
        <v/>
      </c>
      <c r="F502" s="160">
        <f>E502*'Assumptions'!AF68</f>
        <v/>
      </c>
      <c r="G502" s="160">
        <f>V501</f>
        <v/>
      </c>
      <c r="H502" s="160">
        <f>W501</f>
        <v/>
      </c>
      <c r="I502" s="160">
        <f>X501</f>
        <v/>
      </c>
      <c r="J502" s="160">
        <f>MAX(0,'Sites'!$K$7-SUM(N498:N501))</f>
        <v/>
      </c>
      <c r="K502" s="160">
        <f>IF('Sites'!$C$7="Own sheets",MIN(ROUNDDOWN(G502/'NM Play'!$B$11,0)+F502*'NM Play'!$B$10/'NM Play'!$B$43,ROUNDDOWN(H502/'NM Play'!$B$12,0)+F502*'NM Play'!$B$10/'NM Play'!$B$44,(F502*'NM Play'!$B$10+ROUNDDOWN(G502/'NM Play'!$B$11,0)*'NM Play'!$B$43+ROUNDDOWN(H502/'NM Play'!$B$12,0)*'NM Play'!$B$44)/('NM Play'!$B$43+'NM Play'!$B$44)),ROUNDDOWN(G502/'NM Play'!$B$11,0)+F502*'NM Play'!$B$10/'NM Play'!$B$43)</f>
        <v/>
      </c>
      <c r="L502" s="160">
        <f>MIN(ROUNDDOWN(G502/'NM Play'!$B$11,0)+F502/('NM Play'!$B$43/'NM Play'!$B$15),ROUNDDOWN(H502/'NM Play'!$B$12,0)+F502/('NM Play'!$B$44/'NM Play'!$B$16),(F502+ROUNDDOWN(G502/'NM Play'!$B$11,0)*'NM Play'!$B$43/'NM Play'!$B$15+ROUNDDOWN(H502/'NM Play'!$B$12,0)*'NM Play'!$B$44/'NM Play'!$B$16)/('NM Play'!$B$43/'NM Play'!$B$15+'NM Play'!$B$44/'NM Play'!$B$16))</f>
        <v/>
      </c>
      <c r="M502" s="160">
        <f>F502*'NM Play'!$B$36</f>
        <v/>
      </c>
      <c r="N502" s="160">
        <f>ROUNDDOWN(MAX(0,MIN(J502,K502:M502)),0)</f>
        <v/>
      </c>
      <c r="O502" s="160">
        <f>ROUNDUP(MAX(0,N502*'NM Play'!$B$11-G502)/'NM Play'!$B$13,0)</f>
        <v/>
      </c>
      <c r="P502" s="160">
        <f>ROUNDUP(MAX(0,N502*'NM Play'!$B$12-H502)/'NM Play'!$B$14,0)</f>
        <v/>
      </c>
      <c r="Q502" s="160">
        <f>(O502+IF('Sites'!$C$7="Own sheets",P502,0))/'NM Play'!$B$10</f>
        <v/>
      </c>
      <c r="R502" s="160">
        <f>O502/'NM Play'!$B$15+P502/'NM Play'!$B$16</f>
        <v/>
      </c>
      <c r="S502" s="160">
        <f>MAX(Q502,R502,N502/'NM Play'!$B$36)</f>
        <v/>
      </c>
      <c r="T502" s="160">
        <f>Q502*'NM Play'!$B$10*'NM Play'!$B$21*(1+'NM Play'!$B$35)</f>
        <v/>
      </c>
      <c r="U502" s="160">
        <f>MAX(0,T502-I502)</f>
        <v/>
      </c>
      <c r="V502" s="160">
        <f>G502+O502*'NM Play'!$B$13-N502*'NM Play'!$B$11</f>
        <v/>
      </c>
      <c r="W502" s="160">
        <f>H502+P502*'NM Play'!$B$14-N502*'NM Play'!$B$12</f>
        <v/>
      </c>
      <c r="X502" s="160">
        <f>I502+U502-T502</f>
        <v/>
      </c>
      <c r="Y502" s="160">
        <f>MIN(N502,MAX(0,ROUNDDOWN('Sites'!$N$7*'Cases'!$E$10,0)-SUM(Y498:Y501)))</f>
        <v/>
      </c>
      <c r="Z502" s="160">
        <f>N502-Y502</f>
        <v/>
      </c>
      <c r="AA502" s="160">
        <f>U502*'NM Play'!$B$22</f>
        <v/>
      </c>
      <c r="AB502" s="160">
        <f>N502*SUM('NM Play'!$B$29:$B$31)</f>
        <v/>
      </c>
      <c r="AC502" s="160">
        <f>IF('Sites'!$C$7="Defy legs",P502*'NM Play'!$B$14/'NM Play'!$B$12*'NM Play'!$B$28,0)</f>
        <v/>
      </c>
      <c r="AD502" s="160">
        <f>Q502*'NM Play'!$B$23</f>
        <v/>
      </c>
      <c r="AE502" s="160">
        <f>S502*SUM('NM Play'!$B$26,'NM Play'!$B$33:$B$34)</f>
        <v/>
      </c>
      <c r="AF502" s="160">
        <f>IF('Sites'!$D$7="NM crew",S502*SUM('NM Play'!$B$24:$B$25),0)</f>
        <v/>
      </c>
      <c r="AG502" s="160">
        <f>IF('Sites'!$D$7="NM crew",S502*'NM Play'!$B$27,0)</f>
        <v/>
      </c>
      <c r="AH502" s="160">
        <f>N502*'Sites'!$Z$7*'NM Play'!$B$32</f>
        <v/>
      </c>
      <c r="AI502" s="160">
        <f>SUM(Y502:Z502)*'Sites'!$R$7</f>
        <v/>
      </c>
      <c r="AJ502" s="160">
        <f>SUM(AA502:AH502)</f>
        <v/>
      </c>
      <c r="AK502" s="160">
        <f>AJ502+(T502-U502)*'NM Play'!$B$22+MIN(G502,N502*'NM Play'!$B$11)/'NM Play'!$B$13*'NM Play'!$B$21*'NM Play'!$B$22+MIN(H502,N502*'NM Play'!$B$12)/'NM Play'!$B$14*IF('Sites'!$C$7="Own sheets",'NM Play'!$B$21*'NM Play'!$B$22,'NM Play'!$B$28*'NM Play'!$B$14/'NM Play'!$B$12)</f>
        <v/>
      </c>
      <c r="AL502" s="160">
        <f>Y502*'Assumptions'!AF66</f>
        <v/>
      </c>
      <c r="AM502" s="160">
        <f>IF('Sites'!$D$7="NM crew",S502*'NM Play'!$B$37*(1+IF(AND(ISNUMBER('NM Play'!$B$25),'NM Play'!$B$25&gt;0),1,0)),"")</f>
        <v/>
      </c>
      <c r="AN502" s="160">
        <f>IF(OR('Sites'!$E$7&lt;0,'Sites'!$E$7&gt;1,'Sites'!$F$7&lt;1,'Sites'!$G$7&lt;'Sites'!$F$7,F502&lt;0,MIN('Sites'!$I$7:'Sites'!$R$7)&lt;0,'Sites'!$L$7&gt;'Sites'!$I$7,'Sites'!$M$7&gt;'Sites'!$J$7,'Sites'!$N$7&gt;'Sites'!$K$7,'Sites'!$Z$7&lt;0,'Sites'!$Z$7&gt;1,MIN('Sites'!$AA$7:'Sites'!$AC$7)&lt;0,S502&gt;F502+0.001),1,0)</f>
        <v/>
      </c>
      <c r="AO502" s="160">
        <f>I502+U502-T502-X502</f>
        <v/>
      </c>
    </row>
    <row r="503" ht="28" customHeight="1">
      <c r="A503" s="4" t="inlineStr">
        <is>
          <t>Lower sales</t>
        </is>
      </c>
      <c r="B503" s="4" t="inlineStr">
        <is>
          <t>NEW1</t>
        </is>
      </c>
      <c r="C503" s="160" t="n">
        <v>30</v>
      </c>
      <c r="D503" s="160">
        <f>ROUNDUP(C503/12,0)</f>
        <v/>
      </c>
      <c r="E503" s="160">
        <f>IF(AND('Sites'!$E$7=1,C503&gt;='Sites'!$F$7+'Cases'!$G$10,C503&lt;='Sites'!$G$7),1,0)</f>
        <v/>
      </c>
      <c r="F503" s="160">
        <f>E503*'Assumptions'!AG68</f>
        <v/>
      </c>
      <c r="G503" s="160">
        <f>V502</f>
        <v/>
      </c>
      <c r="H503" s="160">
        <f>W502</f>
        <v/>
      </c>
      <c r="I503" s="160">
        <f>X502</f>
        <v/>
      </c>
      <c r="J503" s="160">
        <f>MAX(0,'Sites'!$K$7-SUM(N498:N502))</f>
        <v/>
      </c>
      <c r="K503" s="160">
        <f>IF('Sites'!$C$7="Own sheets",MIN(ROUNDDOWN(G503/'NM Play'!$B$11,0)+F503*'NM Play'!$B$10/'NM Play'!$B$43,ROUNDDOWN(H503/'NM Play'!$B$12,0)+F503*'NM Play'!$B$10/'NM Play'!$B$44,(F503*'NM Play'!$B$10+ROUNDDOWN(G503/'NM Play'!$B$11,0)*'NM Play'!$B$43+ROUNDDOWN(H503/'NM Play'!$B$12,0)*'NM Play'!$B$44)/('NM Play'!$B$43+'NM Play'!$B$44)),ROUNDDOWN(G503/'NM Play'!$B$11,0)+F503*'NM Play'!$B$10/'NM Play'!$B$43)</f>
        <v/>
      </c>
      <c r="L503" s="160">
        <f>MIN(ROUNDDOWN(G503/'NM Play'!$B$11,0)+F503/('NM Play'!$B$43/'NM Play'!$B$15),ROUNDDOWN(H503/'NM Play'!$B$12,0)+F503/('NM Play'!$B$44/'NM Play'!$B$16),(F503+ROUNDDOWN(G503/'NM Play'!$B$11,0)*'NM Play'!$B$43/'NM Play'!$B$15+ROUNDDOWN(H503/'NM Play'!$B$12,0)*'NM Play'!$B$44/'NM Play'!$B$16)/('NM Play'!$B$43/'NM Play'!$B$15+'NM Play'!$B$44/'NM Play'!$B$16))</f>
        <v/>
      </c>
      <c r="M503" s="160">
        <f>F503*'NM Play'!$B$36</f>
        <v/>
      </c>
      <c r="N503" s="160">
        <f>ROUNDDOWN(MAX(0,MIN(J503,K503:M503)),0)</f>
        <v/>
      </c>
      <c r="O503" s="160">
        <f>ROUNDUP(MAX(0,N503*'NM Play'!$B$11-G503)/'NM Play'!$B$13,0)</f>
        <v/>
      </c>
      <c r="P503" s="160">
        <f>ROUNDUP(MAX(0,N503*'NM Play'!$B$12-H503)/'NM Play'!$B$14,0)</f>
        <v/>
      </c>
      <c r="Q503" s="160">
        <f>(O503+IF('Sites'!$C$7="Own sheets",P503,0))/'NM Play'!$B$10</f>
        <v/>
      </c>
      <c r="R503" s="160">
        <f>O503/'NM Play'!$B$15+P503/'NM Play'!$B$16</f>
        <v/>
      </c>
      <c r="S503" s="160">
        <f>MAX(Q503,R503,N503/'NM Play'!$B$36)</f>
        <v/>
      </c>
      <c r="T503" s="160">
        <f>Q503*'NM Play'!$B$10*'NM Play'!$B$21*(1+'NM Play'!$B$35)</f>
        <v/>
      </c>
      <c r="U503" s="160">
        <f>MAX(0,T503-I503)</f>
        <v/>
      </c>
      <c r="V503" s="160">
        <f>G503+O503*'NM Play'!$B$13-N503*'NM Play'!$B$11</f>
        <v/>
      </c>
      <c r="W503" s="160">
        <f>H503+P503*'NM Play'!$B$14-N503*'NM Play'!$B$12</f>
        <v/>
      </c>
      <c r="X503" s="160">
        <f>I503+U503-T503</f>
        <v/>
      </c>
      <c r="Y503" s="160">
        <f>MIN(N503,MAX(0,ROUNDDOWN('Sites'!$N$7*'Cases'!$E$10,0)-SUM(Y498:Y502)))</f>
        <v/>
      </c>
      <c r="Z503" s="160">
        <f>N503-Y503</f>
        <v/>
      </c>
      <c r="AA503" s="160">
        <f>U503*'NM Play'!$B$22</f>
        <v/>
      </c>
      <c r="AB503" s="160">
        <f>N503*SUM('NM Play'!$B$29:$B$31)</f>
        <v/>
      </c>
      <c r="AC503" s="160">
        <f>IF('Sites'!$C$7="Defy legs",P503*'NM Play'!$B$14/'NM Play'!$B$12*'NM Play'!$B$28,0)</f>
        <v/>
      </c>
      <c r="AD503" s="160">
        <f>Q503*'NM Play'!$B$23</f>
        <v/>
      </c>
      <c r="AE503" s="160">
        <f>S503*SUM('NM Play'!$B$26,'NM Play'!$B$33:$B$34)</f>
        <v/>
      </c>
      <c r="AF503" s="160">
        <f>IF('Sites'!$D$7="NM crew",S503*SUM('NM Play'!$B$24:$B$25),0)</f>
        <v/>
      </c>
      <c r="AG503" s="160">
        <f>IF('Sites'!$D$7="NM crew",S503*'NM Play'!$B$27,0)</f>
        <v/>
      </c>
      <c r="AH503" s="160">
        <f>N503*'Sites'!$Z$7*'NM Play'!$B$32</f>
        <v/>
      </c>
      <c r="AI503" s="160">
        <f>SUM(Y503:Z503)*'Sites'!$R$7</f>
        <v/>
      </c>
      <c r="AJ503" s="160">
        <f>SUM(AA503:AH503)</f>
        <v/>
      </c>
      <c r="AK503" s="160">
        <f>AJ503+(T503-U503)*'NM Play'!$B$22+MIN(G503,N503*'NM Play'!$B$11)/'NM Play'!$B$13*'NM Play'!$B$21*'NM Play'!$B$22+MIN(H503,N503*'NM Play'!$B$12)/'NM Play'!$B$14*IF('Sites'!$C$7="Own sheets",'NM Play'!$B$21*'NM Play'!$B$22,'NM Play'!$B$28*'NM Play'!$B$14/'NM Play'!$B$12)</f>
        <v/>
      </c>
      <c r="AL503" s="160">
        <f>Y503*'Assumptions'!AG66</f>
        <v/>
      </c>
      <c r="AM503" s="160">
        <f>IF('Sites'!$D$7="NM crew",S503*'NM Play'!$B$37*(1+IF(AND(ISNUMBER('NM Play'!$B$25),'NM Play'!$B$25&gt;0),1,0)),"")</f>
        <v/>
      </c>
      <c r="AN503" s="160">
        <f>IF(OR('Sites'!$E$7&lt;0,'Sites'!$E$7&gt;1,'Sites'!$F$7&lt;1,'Sites'!$G$7&lt;'Sites'!$F$7,F503&lt;0,MIN('Sites'!$I$7:'Sites'!$R$7)&lt;0,'Sites'!$L$7&gt;'Sites'!$I$7,'Sites'!$M$7&gt;'Sites'!$J$7,'Sites'!$N$7&gt;'Sites'!$K$7,'Sites'!$Z$7&lt;0,'Sites'!$Z$7&gt;1,MIN('Sites'!$AA$7:'Sites'!$AC$7)&lt;0,S503&gt;F503+0.001),1,0)</f>
        <v/>
      </c>
      <c r="AO503" s="160">
        <f>I503+U503-T503-X503</f>
        <v/>
      </c>
    </row>
    <row r="504" ht="28" customHeight="1">
      <c r="A504" s="4" t="inlineStr">
        <is>
          <t>Lower sales</t>
        </is>
      </c>
      <c r="B504" s="4" t="inlineStr">
        <is>
          <t>NEW1</t>
        </is>
      </c>
      <c r="C504" s="160" t="n">
        <v>31</v>
      </c>
      <c r="D504" s="160">
        <f>ROUNDUP(C504/12,0)</f>
        <v/>
      </c>
      <c r="E504" s="160">
        <f>IF(AND('Sites'!$E$7=1,C504&gt;='Sites'!$F$7+'Cases'!$G$10,C504&lt;='Sites'!$G$7),1,0)</f>
        <v/>
      </c>
      <c r="F504" s="160">
        <f>E504*'Assumptions'!AH68</f>
        <v/>
      </c>
      <c r="G504" s="160">
        <f>V503</f>
        <v/>
      </c>
      <c r="H504" s="160">
        <f>W503</f>
        <v/>
      </c>
      <c r="I504" s="160">
        <f>X503</f>
        <v/>
      </c>
      <c r="J504" s="160">
        <f>MAX(0,'Sites'!$K$7-SUM(N498:N503))</f>
        <v/>
      </c>
      <c r="K504" s="160">
        <f>IF('Sites'!$C$7="Own sheets",MIN(ROUNDDOWN(G504/'NM Play'!$B$11,0)+F504*'NM Play'!$B$10/'NM Play'!$B$43,ROUNDDOWN(H504/'NM Play'!$B$12,0)+F504*'NM Play'!$B$10/'NM Play'!$B$44,(F504*'NM Play'!$B$10+ROUNDDOWN(G504/'NM Play'!$B$11,0)*'NM Play'!$B$43+ROUNDDOWN(H504/'NM Play'!$B$12,0)*'NM Play'!$B$44)/('NM Play'!$B$43+'NM Play'!$B$44)),ROUNDDOWN(G504/'NM Play'!$B$11,0)+F504*'NM Play'!$B$10/'NM Play'!$B$43)</f>
        <v/>
      </c>
      <c r="L504" s="160">
        <f>MIN(ROUNDDOWN(G504/'NM Play'!$B$11,0)+F504/('NM Play'!$B$43/'NM Play'!$B$15),ROUNDDOWN(H504/'NM Play'!$B$12,0)+F504/('NM Play'!$B$44/'NM Play'!$B$16),(F504+ROUNDDOWN(G504/'NM Play'!$B$11,0)*'NM Play'!$B$43/'NM Play'!$B$15+ROUNDDOWN(H504/'NM Play'!$B$12,0)*'NM Play'!$B$44/'NM Play'!$B$16)/('NM Play'!$B$43/'NM Play'!$B$15+'NM Play'!$B$44/'NM Play'!$B$16))</f>
        <v/>
      </c>
      <c r="M504" s="160">
        <f>F504*'NM Play'!$B$36</f>
        <v/>
      </c>
      <c r="N504" s="160">
        <f>ROUNDDOWN(MAX(0,MIN(J504,K504:M504)),0)</f>
        <v/>
      </c>
      <c r="O504" s="160">
        <f>ROUNDUP(MAX(0,N504*'NM Play'!$B$11-G504)/'NM Play'!$B$13,0)</f>
        <v/>
      </c>
      <c r="P504" s="160">
        <f>ROUNDUP(MAX(0,N504*'NM Play'!$B$12-H504)/'NM Play'!$B$14,0)</f>
        <v/>
      </c>
      <c r="Q504" s="160">
        <f>(O504+IF('Sites'!$C$7="Own sheets",P504,0))/'NM Play'!$B$10</f>
        <v/>
      </c>
      <c r="R504" s="160">
        <f>O504/'NM Play'!$B$15+P504/'NM Play'!$B$16</f>
        <v/>
      </c>
      <c r="S504" s="160">
        <f>MAX(Q504,R504,N504/'NM Play'!$B$36)</f>
        <v/>
      </c>
      <c r="T504" s="160">
        <f>Q504*'NM Play'!$B$10*'NM Play'!$B$21*(1+'NM Play'!$B$35)</f>
        <v/>
      </c>
      <c r="U504" s="160">
        <f>MAX(0,T504-I504)</f>
        <v/>
      </c>
      <c r="V504" s="160">
        <f>G504+O504*'NM Play'!$B$13-N504*'NM Play'!$B$11</f>
        <v/>
      </c>
      <c r="W504" s="160">
        <f>H504+P504*'NM Play'!$B$14-N504*'NM Play'!$B$12</f>
        <v/>
      </c>
      <c r="X504" s="160">
        <f>I504+U504-T504</f>
        <v/>
      </c>
      <c r="Y504" s="160">
        <f>MIN(N504,MAX(0,ROUNDDOWN('Sites'!$N$7*'Cases'!$E$10,0)-SUM(Y498:Y503)))</f>
        <v/>
      </c>
      <c r="Z504" s="160">
        <f>N504-Y504</f>
        <v/>
      </c>
      <c r="AA504" s="160">
        <f>U504*'NM Play'!$B$22</f>
        <v/>
      </c>
      <c r="AB504" s="160">
        <f>N504*SUM('NM Play'!$B$29:$B$31)</f>
        <v/>
      </c>
      <c r="AC504" s="160">
        <f>IF('Sites'!$C$7="Defy legs",P504*'NM Play'!$B$14/'NM Play'!$B$12*'NM Play'!$B$28,0)</f>
        <v/>
      </c>
      <c r="AD504" s="160">
        <f>Q504*'NM Play'!$B$23</f>
        <v/>
      </c>
      <c r="AE504" s="160">
        <f>S504*SUM('NM Play'!$B$26,'NM Play'!$B$33:$B$34)</f>
        <v/>
      </c>
      <c r="AF504" s="160">
        <f>IF('Sites'!$D$7="NM crew",S504*SUM('NM Play'!$B$24:$B$25),0)</f>
        <v/>
      </c>
      <c r="AG504" s="160">
        <f>IF('Sites'!$D$7="NM crew",S504*'NM Play'!$B$27,0)</f>
        <v/>
      </c>
      <c r="AH504" s="160">
        <f>N504*'Sites'!$Z$7*'NM Play'!$B$32</f>
        <v/>
      </c>
      <c r="AI504" s="160">
        <f>SUM(Y504:Z504)*'Sites'!$R$7</f>
        <v/>
      </c>
      <c r="AJ504" s="160">
        <f>SUM(AA504:AH504)</f>
        <v/>
      </c>
      <c r="AK504" s="160">
        <f>AJ504+(T504-U504)*'NM Play'!$B$22+MIN(G504,N504*'NM Play'!$B$11)/'NM Play'!$B$13*'NM Play'!$B$21*'NM Play'!$B$22+MIN(H504,N504*'NM Play'!$B$12)/'NM Play'!$B$14*IF('Sites'!$C$7="Own sheets",'NM Play'!$B$21*'NM Play'!$B$22,'NM Play'!$B$28*'NM Play'!$B$14/'NM Play'!$B$12)</f>
        <v/>
      </c>
      <c r="AL504" s="160">
        <f>Y504*'Assumptions'!AH66</f>
        <v/>
      </c>
      <c r="AM504" s="160">
        <f>IF('Sites'!$D$7="NM crew",S504*'NM Play'!$B$37*(1+IF(AND(ISNUMBER('NM Play'!$B$25),'NM Play'!$B$25&gt;0),1,0)),"")</f>
        <v/>
      </c>
      <c r="AN504" s="160">
        <f>IF(OR('Sites'!$E$7&lt;0,'Sites'!$E$7&gt;1,'Sites'!$F$7&lt;1,'Sites'!$G$7&lt;'Sites'!$F$7,F504&lt;0,MIN('Sites'!$I$7:'Sites'!$R$7)&lt;0,'Sites'!$L$7&gt;'Sites'!$I$7,'Sites'!$M$7&gt;'Sites'!$J$7,'Sites'!$N$7&gt;'Sites'!$K$7,'Sites'!$Z$7&lt;0,'Sites'!$Z$7&gt;1,MIN('Sites'!$AA$7:'Sites'!$AC$7)&lt;0,S504&gt;F504+0.001),1,0)</f>
        <v/>
      </c>
      <c r="AO504" s="160">
        <f>I504+U504-T504-X504</f>
        <v/>
      </c>
    </row>
    <row r="505" ht="28" customHeight="1">
      <c r="A505" s="4" t="inlineStr">
        <is>
          <t>Lower sales</t>
        </is>
      </c>
      <c r="B505" s="4" t="inlineStr">
        <is>
          <t>NEW1</t>
        </is>
      </c>
      <c r="C505" s="160" t="n">
        <v>32</v>
      </c>
      <c r="D505" s="160">
        <f>ROUNDUP(C505/12,0)</f>
        <v/>
      </c>
      <c r="E505" s="160">
        <f>IF(AND('Sites'!$E$7=1,C505&gt;='Sites'!$F$7+'Cases'!$G$10,C505&lt;='Sites'!$G$7),1,0)</f>
        <v/>
      </c>
      <c r="F505" s="160">
        <f>E505*'Assumptions'!AI68</f>
        <v/>
      </c>
      <c r="G505" s="160">
        <f>V504</f>
        <v/>
      </c>
      <c r="H505" s="160">
        <f>W504</f>
        <v/>
      </c>
      <c r="I505" s="160">
        <f>X504</f>
        <v/>
      </c>
      <c r="J505" s="160">
        <f>MAX(0,'Sites'!$K$7-SUM(N498:N504))</f>
        <v/>
      </c>
      <c r="K505" s="160">
        <f>IF('Sites'!$C$7="Own sheets",MIN(ROUNDDOWN(G505/'NM Play'!$B$11,0)+F505*'NM Play'!$B$10/'NM Play'!$B$43,ROUNDDOWN(H505/'NM Play'!$B$12,0)+F505*'NM Play'!$B$10/'NM Play'!$B$44,(F505*'NM Play'!$B$10+ROUNDDOWN(G505/'NM Play'!$B$11,0)*'NM Play'!$B$43+ROUNDDOWN(H505/'NM Play'!$B$12,0)*'NM Play'!$B$44)/('NM Play'!$B$43+'NM Play'!$B$44)),ROUNDDOWN(G505/'NM Play'!$B$11,0)+F505*'NM Play'!$B$10/'NM Play'!$B$43)</f>
        <v/>
      </c>
      <c r="L505" s="160">
        <f>MIN(ROUNDDOWN(G505/'NM Play'!$B$11,0)+F505/('NM Play'!$B$43/'NM Play'!$B$15),ROUNDDOWN(H505/'NM Play'!$B$12,0)+F505/('NM Play'!$B$44/'NM Play'!$B$16),(F505+ROUNDDOWN(G505/'NM Play'!$B$11,0)*'NM Play'!$B$43/'NM Play'!$B$15+ROUNDDOWN(H505/'NM Play'!$B$12,0)*'NM Play'!$B$44/'NM Play'!$B$16)/('NM Play'!$B$43/'NM Play'!$B$15+'NM Play'!$B$44/'NM Play'!$B$16))</f>
        <v/>
      </c>
      <c r="M505" s="160">
        <f>F505*'NM Play'!$B$36</f>
        <v/>
      </c>
      <c r="N505" s="160">
        <f>ROUNDDOWN(MAX(0,MIN(J505,K505:M505)),0)</f>
        <v/>
      </c>
      <c r="O505" s="160">
        <f>ROUNDUP(MAX(0,N505*'NM Play'!$B$11-G505)/'NM Play'!$B$13,0)</f>
        <v/>
      </c>
      <c r="P505" s="160">
        <f>ROUNDUP(MAX(0,N505*'NM Play'!$B$12-H505)/'NM Play'!$B$14,0)</f>
        <v/>
      </c>
      <c r="Q505" s="160">
        <f>(O505+IF('Sites'!$C$7="Own sheets",P505,0))/'NM Play'!$B$10</f>
        <v/>
      </c>
      <c r="R505" s="160">
        <f>O505/'NM Play'!$B$15+P505/'NM Play'!$B$16</f>
        <v/>
      </c>
      <c r="S505" s="160">
        <f>MAX(Q505,R505,N505/'NM Play'!$B$36)</f>
        <v/>
      </c>
      <c r="T505" s="160">
        <f>Q505*'NM Play'!$B$10*'NM Play'!$B$21*(1+'NM Play'!$B$35)</f>
        <v/>
      </c>
      <c r="U505" s="160">
        <f>MAX(0,T505-I505)</f>
        <v/>
      </c>
      <c r="V505" s="160">
        <f>G505+O505*'NM Play'!$B$13-N505*'NM Play'!$B$11</f>
        <v/>
      </c>
      <c r="W505" s="160">
        <f>H505+P505*'NM Play'!$B$14-N505*'NM Play'!$B$12</f>
        <v/>
      </c>
      <c r="X505" s="160">
        <f>I505+U505-T505</f>
        <v/>
      </c>
      <c r="Y505" s="160">
        <f>MIN(N505,MAX(0,ROUNDDOWN('Sites'!$N$7*'Cases'!$E$10,0)-SUM(Y498:Y504)))</f>
        <v/>
      </c>
      <c r="Z505" s="160">
        <f>N505-Y505</f>
        <v/>
      </c>
      <c r="AA505" s="160">
        <f>U505*'NM Play'!$B$22</f>
        <v/>
      </c>
      <c r="AB505" s="160">
        <f>N505*SUM('NM Play'!$B$29:$B$31)</f>
        <v/>
      </c>
      <c r="AC505" s="160">
        <f>IF('Sites'!$C$7="Defy legs",P505*'NM Play'!$B$14/'NM Play'!$B$12*'NM Play'!$B$28,0)</f>
        <v/>
      </c>
      <c r="AD505" s="160">
        <f>Q505*'NM Play'!$B$23</f>
        <v/>
      </c>
      <c r="AE505" s="160">
        <f>S505*SUM('NM Play'!$B$26,'NM Play'!$B$33:$B$34)</f>
        <v/>
      </c>
      <c r="AF505" s="160">
        <f>IF('Sites'!$D$7="NM crew",S505*SUM('NM Play'!$B$24:$B$25),0)</f>
        <v/>
      </c>
      <c r="AG505" s="160">
        <f>IF('Sites'!$D$7="NM crew",S505*'NM Play'!$B$27,0)</f>
        <v/>
      </c>
      <c r="AH505" s="160">
        <f>N505*'Sites'!$Z$7*'NM Play'!$B$32</f>
        <v/>
      </c>
      <c r="AI505" s="160">
        <f>SUM(Y505:Z505)*'Sites'!$R$7</f>
        <v/>
      </c>
      <c r="AJ505" s="160">
        <f>SUM(AA505:AH505)</f>
        <v/>
      </c>
      <c r="AK505" s="160">
        <f>AJ505+(T505-U505)*'NM Play'!$B$22+MIN(G505,N505*'NM Play'!$B$11)/'NM Play'!$B$13*'NM Play'!$B$21*'NM Play'!$B$22+MIN(H505,N505*'NM Play'!$B$12)/'NM Play'!$B$14*IF('Sites'!$C$7="Own sheets",'NM Play'!$B$21*'NM Play'!$B$22,'NM Play'!$B$28*'NM Play'!$B$14/'NM Play'!$B$12)</f>
        <v/>
      </c>
      <c r="AL505" s="160">
        <f>Y505*'Assumptions'!AI66</f>
        <v/>
      </c>
      <c r="AM505" s="160">
        <f>IF('Sites'!$D$7="NM crew",S505*'NM Play'!$B$37*(1+IF(AND(ISNUMBER('NM Play'!$B$25),'NM Play'!$B$25&gt;0),1,0)),"")</f>
        <v/>
      </c>
      <c r="AN505" s="160">
        <f>IF(OR('Sites'!$E$7&lt;0,'Sites'!$E$7&gt;1,'Sites'!$F$7&lt;1,'Sites'!$G$7&lt;'Sites'!$F$7,F505&lt;0,MIN('Sites'!$I$7:'Sites'!$R$7)&lt;0,'Sites'!$L$7&gt;'Sites'!$I$7,'Sites'!$M$7&gt;'Sites'!$J$7,'Sites'!$N$7&gt;'Sites'!$K$7,'Sites'!$Z$7&lt;0,'Sites'!$Z$7&gt;1,MIN('Sites'!$AA$7:'Sites'!$AC$7)&lt;0,S505&gt;F505+0.001),1,0)</f>
        <v/>
      </c>
      <c r="AO505" s="160">
        <f>I505+U505-T505-X505</f>
        <v/>
      </c>
    </row>
    <row r="506" ht="28" customHeight="1">
      <c r="A506" s="4" t="inlineStr">
        <is>
          <t>Lower sales</t>
        </is>
      </c>
      <c r="B506" s="4" t="inlineStr">
        <is>
          <t>NEW1</t>
        </is>
      </c>
      <c r="C506" s="160" t="n">
        <v>33</v>
      </c>
      <c r="D506" s="160">
        <f>ROUNDUP(C506/12,0)</f>
        <v/>
      </c>
      <c r="E506" s="160">
        <f>IF(AND('Sites'!$E$7=1,C506&gt;='Sites'!$F$7+'Cases'!$G$10,C506&lt;='Sites'!$G$7),1,0)</f>
        <v/>
      </c>
      <c r="F506" s="160">
        <f>E506*'Assumptions'!AJ68</f>
        <v/>
      </c>
      <c r="G506" s="160">
        <f>V505</f>
        <v/>
      </c>
      <c r="H506" s="160">
        <f>W505</f>
        <v/>
      </c>
      <c r="I506" s="160">
        <f>X505</f>
        <v/>
      </c>
      <c r="J506" s="160">
        <f>MAX(0,'Sites'!$K$7-SUM(N498:N505))</f>
        <v/>
      </c>
      <c r="K506" s="160">
        <f>IF('Sites'!$C$7="Own sheets",MIN(ROUNDDOWN(G506/'NM Play'!$B$11,0)+F506*'NM Play'!$B$10/'NM Play'!$B$43,ROUNDDOWN(H506/'NM Play'!$B$12,0)+F506*'NM Play'!$B$10/'NM Play'!$B$44,(F506*'NM Play'!$B$10+ROUNDDOWN(G506/'NM Play'!$B$11,0)*'NM Play'!$B$43+ROUNDDOWN(H506/'NM Play'!$B$12,0)*'NM Play'!$B$44)/('NM Play'!$B$43+'NM Play'!$B$44)),ROUNDDOWN(G506/'NM Play'!$B$11,0)+F506*'NM Play'!$B$10/'NM Play'!$B$43)</f>
        <v/>
      </c>
      <c r="L506" s="160">
        <f>MIN(ROUNDDOWN(G506/'NM Play'!$B$11,0)+F506/('NM Play'!$B$43/'NM Play'!$B$15),ROUNDDOWN(H506/'NM Play'!$B$12,0)+F506/('NM Play'!$B$44/'NM Play'!$B$16),(F506+ROUNDDOWN(G506/'NM Play'!$B$11,0)*'NM Play'!$B$43/'NM Play'!$B$15+ROUNDDOWN(H506/'NM Play'!$B$12,0)*'NM Play'!$B$44/'NM Play'!$B$16)/('NM Play'!$B$43/'NM Play'!$B$15+'NM Play'!$B$44/'NM Play'!$B$16))</f>
        <v/>
      </c>
      <c r="M506" s="160">
        <f>F506*'NM Play'!$B$36</f>
        <v/>
      </c>
      <c r="N506" s="160">
        <f>ROUNDDOWN(MAX(0,MIN(J506,K506:M506)),0)</f>
        <v/>
      </c>
      <c r="O506" s="160">
        <f>ROUNDUP(MAX(0,N506*'NM Play'!$B$11-G506)/'NM Play'!$B$13,0)</f>
        <v/>
      </c>
      <c r="P506" s="160">
        <f>ROUNDUP(MAX(0,N506*'NM Play'!$B$12-H506)/'NM Play'!$B$14,0)</f>
        <v/>
      </c>
      <c r="Q506" s="160">
        <f>(O506+IF('Sites'!$C$7="Own sheets",P506,0))/'NM Play'!$B$10</f>
        <v/>
      </c>
      <c r="R506" s="160">
        <f>O506/'NM Play'!$B$15+P506/'NM Play'!$B$16</f>
        <v/>
      </c>
      <c r="S506" s="160">
        <f>MAX(Q506,R506,N506/'NM Play'!$B$36)</f>
        <v/>
      </c>
      <c r="T506" s="160">
        <f>Q506*'NM Play'!$B$10*'NM Play'!$B$21*(1+'NM Play'!$B$35)</f>
        <v/>
      </c>
      <c r="U506" s="160">
        <f>MAX(0,T506-I506)</f>
        <v/>
      </c>
      <c r="V506" s="160">
        <f>G506+O506*'NM Play'!$B$13-N506*'NM Play'!$B$11</f>
        <v/>
      </c>
      <c r="W506" s="160">
        <f>H506+P506*'NM Play'!$B$14-N506*'NM Play'!$B$12</f>
        <v/>
      </c>
      <c r="X506" s="160">
        <f>I506+U506-T506</f>
        <v/>
      </c>
      <c r="Y506" s="160">
        <f>MIN(N506,MAX(0,ROUNDDOWN('Sites'!$N$7*'Cases'!$E$10,0)-SUM(Y498:Y505)))</f>
        <v/>
      </c>
      <c r="Z506" s="160">
        <f>N506-Y506</f>
        <v/>
      </c>
      <c r="AA506" s="160">
        <f>U506*'NM Play'!$B$22</f>
        <v/>
      </c>
      <c r="AB506" s="160">
        <f>N506*SUM('NM Play'!$B$29:$B$31)</f>
        <v/>
      </c>
      <c r="AC506" s="160">
        <f>IF('Sites'!$C$7="Defy legs",P506*'NM Play'!$B$14/'NM Play'!$B$12*'NM Play'!$B$28,0)</f>
        <v/>
      </c>
      <c r="AD506" s="160">
        <f>Q506*'NM Play'!$B$23</f>
        <v/>
      </c>
      <c r="AE506" s="160">
        <f>S506*SUM('NM Play'!$B$26,'NM Play'!$B$33:$B$34)</f>
        <v/>
      </c>
      <c r="AF506" s="160">
        <f>IF('Sites'!$D$7="NM crew",S506*SUM('NM Play'!$B$24:$B$25),0)</f>
        <v/>
      </c>
      <c r="AG506" s="160">
        <f>IF('Sites'!$D$7="NM crew",S506*'NM Play'!$B$27,0)</f>
        <v/>
      </c>
      <c r="AH506" s="160">
        <f>N506*'Sites'!$Z$7*'NM Play'!$B$32</f>
        <v/>
      </c>
      <c r="AI506" s="160">
        <f>SUM(Y506:Z506)*'Sites'!$R$7</f>
        <v/>
      </c>
      <c r="AJ506" s="160">
        <f>SUM(AA506:AH506)</f>
        <v/>
      </c>
      <c r="AK506" s="160">
        <f>AJ506+(T506-U506)*'NM Play'!$B$22+MIN(G506,N506*'NM Play'!$B$11)/'NM Play'!$B$13*'NM Play'!$B$21*'NM Play'!$B$22+MIN(H506,N506*'NM Play'!$B$12)/'NM Play'!$B$14*IF('Sites'!$C$7="Own sheets",'NM Play'!$B$21*'NM Play'!$B$22,'NM Play'!$B$28*'NM Play'!$B$14/'NM Play'!$B$12)</f>
        <v/>
      </c>
      <c r="AL506" s="160">
        <f>Y506*'Assumptions'!AJ66</f>
        <v/>
      </c>
      <c r="AM506" s="160">
        <f>IF('Sites'!$D$7="NM crew",S506*'NM Play'!$B$37*(1+IF(AND(ISNUMBER('NM Play'!$B$25),'NM Play'!$B$25&gt;0),1,0)),"")</f>
        <v/>
      </c>
      <c r="AN506" s="160">
        <f>IF(OR('Sites'!$E$7&lt;0,'Sites'!$E$7&gt;1,'Sites'!$F$7&lt;1,'Sites'!$G$7&lt;'Sites'!$F$7,F506&lt;0,MIN('Sites'!$I$7:'Sites'!$R$7)&lt;0,'Sites'!$L$7&gt;'Sites'!$I$7,'Sites'!$M$7&gt;'Sites'!$J$7,'Sites'!$N$7&gt;'Sites'!$K$7,'Sites'!$Z$7&lt;0,'Sites'!$Z$7&gt;1,MIN('Sites'!$AA$7:'Sites'!$AC$7)&lt;0,S506&gt;F506+0.001),1,0)</f>
        <v/>
      </c>
      <c r="AO506" s="160">
        <f>I506+U506-T506-X506</f>
        <v/>
      </c>
    </row>
    <row r="507" ht="28" customHeight="1">
      <c r="A507" s="4" t="inlineStr">
        <is>
          <t>Lower sales</t>
        </is>
      </c>
      <c r="B507" s="4" t="inlineStr">
        <is>
          <t>NEW1</t>
        </is>
      </c>
      <c r="C507" s="160" t="n">
        <v>34</v>
      </c>
      <c r="D507" s="160">
        <f>ROUNDUP(C507/12,0)</f>
        <v/>
      </c>
      <c r="E507" s="160">
        <f>IF(AND('Sites'!$E$7=1,C507&gt;='Sites'!$F$7+'Cases'!$G$10,C507&lt;='Sites'!$G$7),1,0)</f>
        <v/>
      </c>
      <c r="F507" s="160">
        <f>E507*'Assumptions'!AK68</f>
        <v/>
      </c>
      <c r="G507" s="160">
        <f>V506</f>
        <v/>
      </c>
      <c r="H507" s="160">
        <f>W506</f>
        <v/>
      </c>
      <c r="I507" s="160">
        <f>X506</f>
        <v/>
      </c>
      <c r="J507" s="160">
        <f>MAX(0,'Sites'!$K$7-SUM(N498:N506))</f>
        <v/>
      </c>
      <c r="K507" s="160">
        <f>IF('Sites'!$C$7="Own sheets",MIN(ROUNDDOWN(G507/'NM Play'!$B$11,0)+F507*'NM Play'!$B$10/'NM Play'!$B$43,ROUNDDOWN(H507/'NM Play'!$B$12,0)+F507*'NM Play'!$B$10/'NM Play'!$B$44,(F507*'NM Play'!$B$10+ROUNDDOWN(G507/'NM Play'!$B$11,0)*'NM Play'!$B$43+ROUNDDOWN(H507/'NM Play'!$B$12,0)*'NM Play'!$B$44)/('NM Play'!$B$43+'NM Play'!$B$44)),ROUNDDOWN(G507/'NM Play'!$B$11,0)+F507*'NM Play'!$B$10/'NM Play'!$B$43)</f>
        <v/>
      </c>
      <c r="L507" s="160">
        <f>MIN(ROUNDDOWN(G507/'NM Play'!$B$11,0)+F507/('NM Play'!$B$43/'NM Play'!$B$15),ROUNDDOWN(H507/'NM Play'!$B$12,0)+F507/('NM Play'!$B$44/'NM Play'!$B$16),(F507+ROUNDDOWN(G507/'NM Play'!$B$11,0)*'NM Play'!$B$43/'NM Play'!$B$15+ROUNDDOWN(H507/'NM Play'!$B$12,0)*'NM Play'!$B$44/'NM Play'!$B$16)/('NM Play'!$B$43/'NM Play'!$B$15+'NM Play'!$B$44/'NM Play'!$B$16))</f>
        <v/>
      </c>
      <c r="M507" s="160">
        <f>F507*'NM Play'!$B$36</f>
        <v/>
      </c>
      <c r="N507" s="160">
        <f>ROUNDDOWN(MAX(0,MIN(J507,K507:M507)),0)</f>
        <v/>
      </c>
      <c r="O507" s="160">
        <f>ROUNDUP(MAX(0,N507*'NM Play'!$B$11-G507)/'NM Play'!$B$13,0)</f>
        <v/>
      </c>
      <c r="P507" s="160">
        <f>ROUNDUP(MAX(0,N507*'NM Play'!$B$12-H507)/'NM Play'!$B$14,0)</f>
        <v/>
      </c>
      <c r="Q507" s="160">
        <f>(O507+IF('Sites'!$C$7="Own sheets",P507,0))/'NM Play'!$B$10</f>
        <v/>
      </c>
      <c r="R507" s="160">
        <f>O507/'NM Play'!$B$15+P507/'NM Play'!$B$16</f>
        <v/>
      </c>
      <c r="S507" s="160">
        <f>MAX(Q507,R507,N507/'NM Play'!$B$36)</f>
        <v/>
      </c>
      <c r="T507" s="160">
        <f>Q507*'NM Play'!$B$10*'NM Play'!$B$21*(1+'NM Play'!$B$35)</f>
        <v/>
      </c>
      <c r="U507" s="160">
        <f>MAX(0,T507-I507)</f>
        <v/>
      </c>
      <c r="V507" s="160">
        <f>G507+O507*'NM Play'!$B$13-N507*'NM Play'!$B$11</f>
        <v/>
      </c>
      <c r="W507" s="160">
        <f>H507+P507*'NM Play'!$B$14-N507*'NM Play'!$B$12</f>
        <v/>
      </c>
      <c r="X507" s="160">
        <f>I507+U507-T507</f>
        <v/>
      </c>
      <c r="Y507" s="160">
        <f>MIN(N507,MAX(0,ROUNDDOWN('Sites'!$N$7*'Cases'!$E$10,0)-SUM(Y498:Y506)))</f>
        <v/>
      </c>
      <c r="Z507" s="160">
        <f>N507-Y507</f>
        <v/>
      </c>
      <c r="AA507" s="160">
        <f>U507*'NM Play'!$B$22</f>
        <v/>
      </c>
      <c r="AB507" s="160">
        <f>N507*SUM('NM Play'!$B$29:$B$31)</f>
        <v/>
      </c>
      <c r="AC507" s="160">
        <f>IF('Sites'!$C$7="Defy legs",P507*'NM Play'!$B$14/'NM Play'!$B$12*'NM Play'!$B$28,0)</f>
        <v/>
      </c>
      <c r="AD507" s="160">
        <f>Q507*'NM Play'!$B$23</f>
        <v/>
      </c>
      <c r="AE507" s="160">
        <f>S507*SUM('NM Play'!$B$26,'NM Play'!$B$33:$B$34)</f>
        <v/>
      </c>
      <c r="AF507" s="160">
        <f>IF('Sites'!$D$7="NM crew",S507*SUM('NM Play'!$B$24:$B$25),0)</f>
        <v/>
      </c>
      <c r="AG507" s="160">
        <f>IF('Sites'!$D$7="NM crew",S507*'NM Play'!$B$27,0)</f>
        <v/>
      </c>
      <c r="AH507" s="160">
        <f>N507*'Sites'!$Z$7*'NM Play'!$B$32</f>
        <v/>
      </c>
      <c r="AI507" s="160">
        <f>SUM(Y507:Z507)*'Sites'!$R$7</f>
        <v/>
      </c>
      <c r="AJ507" s="160">
        <f>SUM(AA507:AH507)</f>
        <v/>
      </c>
      <c r="AK507" s="160">
        <f>AJ507+(T507-U507)*'NM Play'!$B$22+MIN(G507,N507*'NM Play'!$B$11)/'NM Play'!$B$13*'NM Play'!$B$21*'NM Play'!$B$22+MIN(H507,N507*'NM Play'!$B$12)/'NM Play'!$B$14*IF('Sites'!$C$7="Own sheets",'NM Play'!$B$21*'NM Play'!$B$22,'NM Play'!$B$28*'NM Play'!$B$14/'NM Play'!$B$12)</f>
        <v/>
      </c>
      <c r="AL507" s="160">
        <f>Y507*'Assumptions'!AK66</f>
        <v/>
      </c>
      <c r="AM507" s="160">
        <f>IF('Sites'!$D$7="NM crew",S507*'NM Play'!$B$37*(1+IF(AND(ISNUMBER('NM Play'!$B$25),'NM Play'!$B$25&gt;0),1,0)),"")</f>
        <v/>
      </c>
      <c r="AN507" s="160">
        <f>IF(OR('Sites'!$E$7&lt;0,'Sites'!$E$7&gt;1,'Sites'!$F$7&lt;1,'Sites'!$G$7&lt;'Sites'!$F$7,F507&lt;0,MIN('Sites'!$I$7:'Sites'!$R$7)&lt;0,'Sites'!$L$7&gt;'Sites'!$I$7,'Sites'!$M$7&gt;'Sites'!$J$7,'Sites'!$N$7&gt;'Sites'!$K$7,'Sites'!$Z$7&lt;0,'Sites'!$Z$7&gt;1,MIN('Sites'!$AA$7:'Sites'!$AC$7)&lt;0,S507&gt;F507+0.001),1,0)</f>
        <v/>
      </c>
      <c r="AO507" s="160">
        <f>I507+U507-T507-X507</f>
        <v/>
      </c>
    </row>
    <row r="508" ht="28" customHeight="1">
      <c r="A508" s="4" t="inlineStr">
        <is>
          <t>Lower sales</t>
        </is>
      </c>
      <c r="B508" s="4" t="inlineStr">
        <is>
          <t>NEW1</t>
        </is>
      </c>
      <c r="C508" s="160" t="n">
        <v>35</v>
      </c>
      <c r="D508" s="160">
        <f>ROUNDUP(C508/12,0)</f>
        <v/>
      </c>
      <c r="E508" s="160">
        <f>IF(AND('Sites'!$E$7=1,C508&gt;='Sites'!$F$7+'Cases'!$G$10,C508&lt;='Sites'!$G$7),1,0)</f>
        <v/>
      </c>
      <c r="F508" s="160">
        <f>E508*'Assumptions'!AL68</f>
        <v/>
      </c>
      <c r="G508" s="160">
        <f>V507</f>
        <v/>
      </c>
      <c r="H508" s="160">
        <f>W507</f>
        <v/>
      </c>
      <c r="I508" s="160">
        <f>X507</f>
        <v/>
      </c>
      <c r="J508" s="160">
        <f>MAX(0,'Sites'!$K$7-SUM(N498:N507))</f>
        <v/>
      </c>
      <c r="K508" s="160">
        <f>IF('Sites'!$C$7="Own sheets",MIN(ROUNDDOWN(G508/'NM Play'!$B$11,0)+F508*'NM Play'!$B$10/'NM Play'!$B$43,ROUNDDOWN(H508/'NM Play'!$B$12,0)+F508*'NM Play'!$B$10/'NM Play'!$B$44,(F508*'NM Play'!$B$10+ROUNDDOWN(G508/'NM Play'!$B$11,0)*'NM Play'!$B$43+ROUNDDOWN(H508/'NM Play'!$B$12,0)*'NM Play'!$B$44)/('NM Play'!$B$43+'NM Play'!$B$44)),ROUNDDOWN(G508/'NM Play'!$B$11,0)+F508*'NM Play'!$B$10/'NM Play'!$B$43)</f>
        <v/>
      </c>
      <c r="L508" s="160">
        <f>MIN(ROUNDDOWN(G508/'NM Play'!$B$11,0)+F508/('NM Play'!$B$43/'NM Play'!$B$15),ROUNDDOWN(H508/'NM Play'!$B$12,0)+F508/('NM Play'!$B$44/'NM Play'!$B$16),(F508+ROUNDDOWN(G508/'NM Play'!$B$11,0)*'NM Play'!$B$43/'NM Play'!$B$15+ROUNDDOWN(H508/'NM Play'!$B$12,0)*'NM Play'!$B$44/'NM Play'!$B$16)/('NM Play'!$B$43/'NM Play'!$B$15+'NM Play'!$B$44/'NM Play'!$B$16))</f>
        <v/>
      </c>
      <c r="M508" s="160">
        <f>F508*'NM Play'!$B$36</f>
        <v/>
      </c>
      <c r="N508" s="160">
        <f>ROUNDDOWN(MAX(0,MIN(J508,K508:M508)),0)</f>
        <v/>
      </c>
      <c r="O508" s="160">
        <f>ROUNDUP(MAX(0,N508*'NM Play'!$B$11-G508)/'NM Play'!$B$13,0)</f>
        <v/>
      </c>
      <c r="P508" s="160">
        <f>ROUNDUP(MAX(0,N508*'NM Play'!$B$12-H508)/'NM Play'!$B$14,0)</f>
        <v/>
      </c>
      <c r="Q508" s="160">
        <f>(O508+IF('Sites'!$C$7="Own sheets",P508,0))/'NM Play'!$B$10</f>
        <v/>
      </c>
      <c r="R508" s="160">
        <f>O508/'NM Play'!$B$15+P508/'NM Play'!$B$16</f>
        <v/>
      </c>
      <c r="S508" s="160">
        <f>MAX(Q508,R508,N508/'NM Play'!$B$36)</f>
        <v/>
      </c>
      <c r="T508" s="160">
        <f>Q508*'NM Play'!$B$10*'NM Play'!$B$21*(1+'NM Play'!$B$35)</f>
        <v/>
      </c>
      <c r="U508" s="160">
        <f>MAX(0,T508-I508)</f>
        <v/>
      </c>
      <c r="V508" s="160">
        <f>G508+O508*'NM Play'!$B$13-N508*'NM Play'!$B$11</f>
        <v/>
      </c>
      <c r="W508" s="160">
        <f>H508+P508*'NM Play'!$B$14-N508*'NM Play'!$B$12</f>
        <v/>
      </c>
      <c r="X508" s="160">
        <f>I508+U508-T508</f>
        <v/>
      </c>
      <c r="Y508" s="160">
        <f>MIN(N508,MAX(0,ROUNDDOWN('Sites'!$N$7*'Cases'!$E$10,0)-SUM(Y498:Y507)))</f>
        <v/>
      </c>
      <c r="Z508" s="160">
        <f>N508-Y508</f>
        <v/>
      </c>
      <c r="AA508" s="160">
        <f>U508*'NM Play'!$B$22</f>
        <v/>
      </c>
      <c r="AB508" s="160">
        <f>N508*SUM('NM Play'!$B$29:$B$31)</f>
        <v/>
      </c>
      <c r="AC508" s="160">
        <f>IF('Sites'!$C$7="Defy legs",P508*'NM Play'!$B$14/'NM Play'!$B$12*'NM Play'!$B$28,0)</f>
        <v/>
      </c>
      <c r="AD508" s="160">
        <f>Q508*'NM Play'!$B$23</f>
        <v/>
      </c>
      <c r="AE508" s="160">
        <f>S508*SUM('NM Play'!$B$26,'NM Play'!$B$33:$B$34)</f>
        <v/>
      </c>
      <c r="AF508" s="160">
        <f>IF('Sites'!$D$7="NM crew",S508*SUM('NM Play'!$B$24:$B$25),0)</f>
        <v/>
      </c>
      <c r="AG508" s="160">
        <f>IF('Sites'!$D$7="NM crew",S508*'NM Play'!$B$27,0)</f>
        <v/>
      </c>
      <c r="AH508" s="160">
        <f>N508*'Sites'!$Z$7*'NM Play'!$B$32</f>
        <v/>
      </c>
      <c r="AI508" s="160">
        <f>SUM(Y508:Z508)*'Sites'!$R$7</f>
        <v/>
      </c>
      <c r="AJ508" s="160">
        <f>SUM(AA508:AH508)</f>
        <v/>
      </c>
      <c r="AK508" s="160">
        <f>AJ508+(T508-U508)*'NM Play'!$B$22+MIN(G508,N508*'NM Play'!$B$11)/'NM Play'!$B$13*'NM Play'!$B$21*'NM Play'!$B$22+MIN(H508,N508*'NM Play'!$B$12)/'NM Play'!$B$14*IF('Sites'!$C$7="Own sheets",'NM Play'!$B$21*'NM Play'!$B$22,'NM Play'!$B$28*'NM Play'!$B$14/'NM Play'!$B$12)</f>
        <v/>
      </c>
      <c r="AL508" s="160">
        <f>Y508*'Assumptions'!AL66</f>
        <v/>
      </c>
      <c r="AM508" s="160">
        <f>IF('Sites'!$D$7="NM crew",S508*'NM Play'!$B$37*(1+IF(AND(ISNUMBER('NM Play'!$B$25),'NM Play'!$B$25&gt;0),1,0)),"")</f>
        <v/>
      </c>
      <c r="AN508" s="160">
        <f>IF(OR('Sites'!$E$7&lt;0,'Sites'!$E$7&gt;1,'Sites'!$F$7&lt;1,'Sites'!$G$7&lt;'Sites'!$F$7,F508&lt;0,MIN('Sites'!$I$7:'Sites'!$R$7)&lt;0,'Sites'!$L$7&gt;'Sites'!$I$7,'Sites'!$M$7&gt;'Sites'!$J$7,'Sites'!$N$7&gt;'Sites'!$K$7,'Sites'!$Z$7&lt;0,'Sites'!$Z$7&gt;1,MIN('Sites'!$AA$7:'Sites'!$AC$7)&lt;0,S508&gt;F508+0.001),1,0)</f>
        <v/>
      </c>
      <c r="AO508" s="160">
        <f>I508+U508-T508-X508</f>
        <v/>
      </c>
    </row>
    <row r="509" ht="28" customHeight="1">
      <c r="A509" s="4" t="inlineStr">
        <is>
          <t>Lower sales</t>
        </is>
      </c>
      <c r="B509" s="4" t="inlineStr">
        <is>
          <t>NEW1</t>
        </is>
      </c>
      <c r="C509" s="160" t="n">
        <v>36</v>
      </c>
      <c r="D509" s="160">
        <f>ROUNDUP(C509/12,0)</f>
        <v/>
      </c>
      <c r="E509" s="160">
        <f>IF(AND('Sites'!$E$7=1,C509&gt;='Sites'!$F$7+'Cases'!$G$10,C509&lt;='Sites'!$G$7),1,0)</f>
        <v/>
      </c>
      <c r="F509" s="160">
        <f>E509*'Assumptions'!AM68</f>
        <v/>
      </c>
      <c r="G509" s="160">
        <f>V508</f>
        <v/>
      </c>
      <c r="H509" s="160">
        <f>W508</f>
        <v/>
      </c>
      <c r="I509" s="160">
        <f>X508</f>
        <v/>
      </c>
      <c r="J509" s="160">
        <f>MAX(0,'Sites'!$K$7-SUM(N498:N508))</f>
        <v/>
      </c>
      <c r="K509" s="160">
        <f>IF('Sites'!$C$7="Own sheets",MIN(ROUNDDOWN(G509/'NM Play'!$B$11,0)+F509*'NM Play'!$B$10/'NM Play'!$B$43,ROUNDDOWN(H509/'NM Play'!$B$12,0)+F509*'NM Play'!$B$10/'NM Play'!$B$44,(F509*'NM Play'!$B$10+ROUNDDOWN(G509/'NM Play'!$B$11,0)*'NM Play'!$B$43+ROUNDDOWN(H509/'NM Play'!$B$12,0)*'NM Play'!$B$44)/('NM Play'!$B$43+'NM Play'!$B$44)),ROUNDDOWN(G509/'NM Play'!$B$11,0)+F509*'NM Play'!$B$10/'NM Play'!$B$43)</f>
        <v/>
      </c>
      <c r="L509" s="160">
        <f>MIN(ROUNDDOWN(G509/'NM Play'!$B$11,0)+F509/('NM Play'!$B$43/'NM Play'!$B$15),ROUNDDOWN(H509/'NM Play'!$B$12,0)+F509/('NM Play'!$B$44/'NM Play'!$B$16),(F509+ROUNDDOWN(G509/'NM Play'!$B$11,0)*'NM Play'!$B$43/'NM Play'!$B$15+ROUNDDOWN(H509/'NM Play'!$B$12,0)*'NM Play'!$B$44/'NM Play'!$B$16)/('NM Play'!$B$43/'NM Play'!$B$15+'NM Play'!$B$44/'NM Play'!$B$16))</f>
        <v/>
      </c>
      <c r="M509" s="160">
        <f>F509*'NM Play'!$B$36</f>
        <v/>
      </c>
      <c r="N509" s="160">
        <f>ROUNDDOWN(MAX(0,MIN(J509,K509:M509)),0)</f>
        <v/>
      </c>
      <c r="O509" s="160">
        <f>ROUNDUP(MAX(0,N509*'NM Play'!$B$11-G509)/'NM Play'!$B$13,0)</f>
        <v/>
      </c>
      <c r="P509" s="160">
        <f>ROUNDUP(MAX(0,N509*'NM Play'!$B$12-H509)/'NM Play'!$B$14,0)</f>
        <v/>
      </c>
      <c r="Q509" s="160">
        <f>(O509+IF('Sites'!$C$7="Own sheets",P509,0))/'NM Play'!$B$10</f>
        <v/>
      </c>
      <c r="R509" s="160">
        <f>O509/'NM Play'!$B$15+P509/'NM Play'!$B$16</f>
        <v/>
      </c>
      <c r="S509" s="160">
        <f>MAX(Q509,R509,N509/'NM Play'!$B$36)</f>
        <v/>
      </c>
      <c r="T509" s="160">
        <f>Q509*'NM Play'!$B$10*'NM Play'!$B$21*(1+'NM Play'!$B$35)</f>
        <v/>
      </c>
      <c r="U509" s="160">
        <f>MAX(0,T509-I509)</f>
        <v/>
      </c>
      <c r="V509" s="160">
        <f>G509+O509*'NM Play'!$B$13-N509*'NM Play'!$B$11</f>
        <v/>
      </c>
      <c r="W509" s="160">
        <f>H509+P509*'NM Play'!$B$14-N509*'NM Play'!$B$12</f>
        <v/>
      </c>
      <c r="X509" s="160">
        <f>I509+U509-T509</f>
        <v/>
      </c>
      <c r="Y509" s="160">
        <f>MIN(N509,MAX(0,ROUNDDOWN('Sites'!$N$7*'Cases'!$E$10,0)-SUM(Y498:Y508)))</f>
        <v/>
      </c>
      <c r="Z509" s="160">
        <f>N509-Y509</f>
        <v/>
      </c>
      <c r="AA509" s="160">
        <f>U509*'NM Play'!$B$22</f>
        <v/>
      </c>
      <c r="AB509" s="160">
        <f>N509*SUM('NM Play'!$B$29:$B$31)</f>
        <v/>
      </c>
      <c r="AC509" s="160">
        <f>IF('Sites'!$C$7="Defy legs",P509*'NM Play'!$B$14/'NM Play'!$B$12*'NM Play'!$B$28,0)</f>
        <v/>
      </c>
      <c r="AD509" s="160">
        <f>Q509*'NM Play'!$B$23</f>
        <v/>
      </c>
      <c r="AE509" s="160">
        <f>S509*SUM('NM Play'!$B$26,'NM Play'!$B$33:$B$34)</f>
        <v/>
      </c>
      <c r="AF509" s="160">
        <f>IF('Sites'!$D$7="NM crew",S509*SUM('NM Play'!$B$24:$B$25),0)</f>
        <v/>
      </c>
      <c r="AG509" s="160">
        <f>IF('Sites'!$D$7="NM crew",S509*'NM Play'!$B$27,0)</f>
        <v/>
      </c>
      <c r="AH509" s="160">
        <f>N509*'Sites'!$Z$7*'NM Play'!$B$32</f>
        <v/>
      </c>
      <c r="AI509" s="160">
        <f>SUM(Y509:Z509)*'Sites'!$R$7</f>
        <v/>
      </c>
      <c r="AJ509" s="160">
        <f>SUM(AA509:AH509)</f>
        <v/>
      </c>
      <c r="AK509" s="160">
        <f>AJ509+(T509-U509)*'NM Play'!$B$22+MIN(G509,N509*'NM Play'!$B$11)/'NM Play'!$B$13*'NM Play'!$B$21*'NM Play'!$B$22+MIN(H509,N509*'NM Play'!$B$12)/'NM Play'!$B$14*IF('Sites'!$C$7="Own sheets",'NM Play'!$B$21*'NM Play'!$B$22,'NM Play'!$B$28*'NM Play'!$B$14/'NM Play'!$B$12)</f>
        <v/>
      </c>
      <c r="AL509" s="160">
        <f>Y509*'Assumptions'!AM66</f>
        <v/>
      </c>
      <c r="AM509" s="160">
        <f>IF('Sites'!$D$7="NM crew",S509*'NM Play'!$B$37*(1+IF(AND(ISNUMBER('NM Play'!$B$25),'NM Play'!$B$25&gt;0),1,0)),"")</f>
        <v/>
      </c>
      <c r="AN509" s="160">
        <f>IF(OR('Sites'!$E$7&lt;0,'Sites'!$E$7&gt;1,'Sites'!$F$7&lt;1,'Sites'!$G$7&lt;'Sites'!$F$7,F509&lt;0,MIN('Sites'!$I$7:'Sites'!$R$7)&lt;0,'Sites'!$L$7&gt;'Sites'!$I$7,'Sites'!$M$7&gt;'Sites'!$J$7,'Sites'!$N$7&gt;'Sites'!$K$7,'Sites'!$Z$7&lt;0,'Sites'!$Z$7&gt;1,MIN('Sites'!$AA$7:'Sites'!$AC$7)&lt;0,S509&gt;F509+0.001),1,0)</f>
        <v/>
      </c>
      <c r="AO509" s="160">
        <f>I509+U509-T509-X509</f>
        <v/>
      </c>
    </row>
    <row r="510" ht="28" customHeight="1">
      <c r="A510" s="4" t="inlineStr">
        <is>
          <t>Lower sales</t>
        </is>
      </c>
      <c r="B510" s="4" t="inlineStr">
        <is>
          <t>NEW2</t>
        </is>
      </c>
      <c r="C510" s="160" t="n">
        <v>1</v>
      </c>
      <c r="D510" s="160">
        <f>ROUNDUP(C510/12,0)</f>
        <v/>
      </c>
      <c r="E510" s="160">
        <f>IF(AND('Sites'!$E$8*'Cases'!$F$10=1,C510&gt;='Sites'!$F$8+'Cases'!$G$10,C510&lt;='Sites'!$G$8),1,0)</f>
        <v/>
      </c>
      <c r="F510" s="160">
        <f>E510*'Assumptions'!D69</f>
        <v/>
      </c>
      <c r="G510" s="160">
        <f>'Sites'!$AA$8</f>
        <v/>
      </c>
      <c r="H510" s="160">
        <f>'Sites'!$AB$8</f>
        <v/>
      </c>
      <c r="I510" s="160">
        <f>'Sites'!$AC$8</f>
        <v/>
      </c>
      <c r="J510" s="160">
        <f>MAX(0,'Sites'!$I$8-0)</f>
        <v/>
      </c>
      <c r="K510" s="160">
        <f>IF('Sites'!$C$8="Own sheets",MIN(ROUNDDOWN(G510/'NM Play'!$B$11,0)+F510*'NM Play'!$B$10/'NM Play'!$B$43,ROUNDDOWN(H510/'NM Play'!$B$12,0)+F510*'NM Play'!$B$10/'NM Play'!$B$44,(F510*'NM Play'!$B$10+ROUNDDOWN(G510/'NM Play'!$B$11,0)*'NM Play'!$B$43+ROUNDDOWN(H510/'NM Play'!$B$12,0)*'NM Play'!$B$44)/('NM Play'!$B$43+'NM Play'!$B$44)),ROUNDDOWN(G510/'NM Play'!$B$11,0)+F510*'NM Play'!$B$10/'NM Play'!$B$43)</f>
        <v/>
      </c>
      <c r="L510" s="160">
        <f>MIN(ROUNDDOWN(G510/'NM Play'!$B$11,0)+F510/('NM Play'!$B$43/'NM Play'!$B$15),ROUNDDOWN(H510/'NM Play'!$B$12,0)+F510/('NM Play'!$B$44/'NM Play'!$B$16),(F510+ROUNDDOWN(G510/'NM Play'!$B$11,0)*'NM Play'!$B$43/'NM Play'!$B$15+ROUNDDOWN(H510/'NM Play'!$B$12,0)*'NM Play'!$B$44/'NM Play'!$B$16)/('NM Play'!$B$43/'NM Play'!$B$15+'NM Play'!$B$44/'NM Play'!$B$16))</f>
        <v/>
      </c>
      <c r="M510" s="160">
        <f>F510*'NM Play'!$B$36</f>
        <v/>
      </c>
      <c r="N510" s="160">
        <f>ROUNDDOWN(MAX(0,MIN(J510,K510:M510)),0)</f>
        <v/>
      </c>
      <c r="O510" s="160">
        <f>ROUNDUP(MAX(0,N510*'NM Play'!$B$11-G510)/'NM Play'!$B$13,0)</f>
        <v/>
      </c>
      <c r="P510" s="160">
        <f>ROUNDUP(MAX(0,N510*'NM Play'!$B$12-H510)/'NM Play'!$B$14,0)</f>
        <v/>
      </c>
      <c r="Q510" s="160">
        <f>(O510+IF('Sites'!$C$8="Own sheets",P510,0))/'NM Play'!$B$10</f>
        <v/>
      </c>
      <c r="R510" s="160">
        <f>O510/'NM Play'!$B$15+P510/'NM Play'!$B$16</f>
        <v/>
      </c>
      <c r="S510" s="160">
        <f>MAX(Q510,R510,N510/'NM Play'!$B$36)</f>
        <v/>
      </c>
      <c r="T510" s="160">
        <f>Q510*'NM Play'!$B$10*'NM Play'!$B$21*(1+'NM Play'!$B$35)</f>
        <v/>
      </c>
      <c r="U510" s="160">
        <f>MAX(0,T510-I510)</f>
        <v/>
      </c>
      <c r="V510" s="160">
        <f>G510+O510*'NM Play'!$B$13-N510*'NM Play'!$B$11</f>
        <v/>
      </c>
      <c r="W510" s="160">
        <f>H510+P510*'NM Play'!$B$14-N510*'NM Play'!$B$12</f>
        <v/>
      </c>
      <c r="X510" s="160">
        <f>I510+U510-T510</f>
        <v/>
      </c>
      <c r="Y510" s="160">
        <f>MIN(N510,MAX(0,ROUNDDOWN('Sites'!$L$8*'Cases'!$E$10,0)-0))</f>
        <v/>
      </c>
      <c r="Z510" s="160">
        <f>N510-Y510</f>
        <v/>
      </c>
      <c r="AA510" s="160">
        <f>U510*'NM Play'!$B$22</f>
        <v/>
      </c>
      <c r="AB510" s="160">
        <f>N510*SUM('NM Play'!$B$29:$B$31)</f>
        <v/>
      </c>
      <c r="AC510" s="160">
        <f>IF('Sites'!$C$8="Defy legs",P510*'NM Play'!$B$14/'NM Play'!$B$12*'NM Play'!$B$28,0)</f>
        <v/>
      </c>
      <c r="AD510" s="160">
        <f>Q510*'NM Play'!$B$23</f>
        <v/>
      </c>
      <c r="AE510" s="160">
        <f>S510*SUM('NM Play'!$B$26,'NM Play'!$B$33:$B$34)</f>
        <v/>
      </c>
      <c r="AF510" s="160">
        <f>IF('Sites'!$D$8="NM crew",S510*SUM('NM Play'!$B$24:$B$25),0)</f>
        <v/>
      </c>
      <c r="AG510" s="160">
        <f>IF('Sites'!$D$8="NM crew",S510*'NM Play'!$B$27,0)</f>
        <v/>
      </c>
      <c r="AH510" s="160">
        <f>N510*'Sites'!$Z$8*'NM Play'!$B$32</f>
        <v/>
      </c>
      <c r="AI510" s="160">
        <f>SUM(Y510:Z510)*'Sites'!$R$8</f>
        <v/>
      </c>
      <c r="AJ510" s="160">
        <f>SUM(AA510:AH510)</f>
        <v/>
      </c>
      <c r="AK510" s="160">
        <f>AJ510+(T510-U510)*'NM Play'!$B$22+MIN(G510,N510*'NM Play'!$B$11)/'NM Play'!$B$13*'NM Play'!$B$21*'NM Play'!$B$22+MIN(H510,N510*'NM Play'!$B$12)/'NM Play'!$B$14*IF('Sites'!$C$8="Own sheets",'NM Play'!$B$21*'NM Play'!$B$22,'NM Play'!$B$28*'NM Play'!$B$14/'NM Play'!$B$12)</f>
        <v/>
      </c>
      <c r="AL510" s="160">
        <f>Y510*'Assumptions'!D66</f>
        <v/>
      </c>
      <c r="AM510" s="160">
        <f>IF('Sites'!$D$8="NM crew",S510*'NM Play'!$B$37*(1+IF(AND(ISNUMBER('NM Play'!$B$25),'NM Play'!$B$25&gt;0),1,0)),"")</f>
        <v/>
      </c>
      <c r="AN510" s="160">
        <f>IF(OR('Sites'!$E$8&lt;0,'Sites'!$E$8&gt;1,'Sites'!$F$8&lt;1,'Sites'!$G$8&lt;'Sites'!$F$8,F510&lt;0,MIN('Sites'!$I$8:'Sites'!$R$8)&lt;0,'Sites'!$L$8&gt;'Sites'!$I$8,'Sites'!$M$8&gt;'Sites'!$J$8,'Sites'!$N$8&gt;'Sites'!$K$8,'Sites'!$Z$8&lt;0,'Sites'!$Z$8&gt;1,MIN('Sites'!$AA$8:'Sites'!$AC$8)&lt;0,S510&gt;F510+0.001),1,0)</f>
        <v/>
      </c>
      <c r="AO510" s="160">
        <f>I510+U510-T510-X510</f>
        <v/>
      </c>
    </row>
    <row r="511" ht="28" customHeight="1">
      <c r="A511" s="4" t="inlineStr">
        <is>
          <t>Lower sales</t>
        </is>
      </c>
      <c r="B511" s="4" t="inlineStr">
        <is>
          <t>NEW2</t>
        </is>
      </c>
      <c r="C511" s="160" t="n">
        <v>2</v>
      </c>
      <c r="D511" s="160">
        <f>ROUNDUP(C511/12,0)</f>
        <v/>
      </c>
      <c r="E511" s="160">
        <f>IF(AND('Sites'!$E$8*'Cases'!$F$10=1,C511&gt;='Sites'!$F$8+'Cases'!$G$10,C511&lt;='Sites'!$G$8),1,0)</f>
        <v/>
      </c>
      <c r="F511" s="160">
        <f>E511*'Assumptions'!E69</f>
        <v/>
      </c>
      <c r="G511" s="160">
        <f>V510</f>
        <v/>
      </c>
      <c r="H511" s="160">
        <f>W510</f>
        <v/>
      </c>
      <c r="I511" s="160">
        <f>X510</f>
        <v/>
      </c>
      <c r="J511" s="160">
        <f>MAX(0,'Sites'!$I$8-SUM(N510:N510))</f>
        <v/>
      </c>
      <c r="K511" s="160">
        <f>IF('Sites'!$C$8="Own sheets",MIN(ROUNDDOWN(G511/'NM Play'!$B$11,0)+F511*'NM Play'!$B$10/'NM Play'!$B$43,ROUNDDOWN(H511/'NM Play'!$B$12,0)+F511*'NM Play'!$B$10/'NM Play'!$B$44,(F511*'NM Play'!$B$10+ROUNDDOWN(G511/'NM Play'!$B$11,0)*'NM Play'!$B$43+ROUNDDOWN(H511/'NM Play'!$B$12,0)*'NM Play'!$B$44)/('NM Play'!$B$43+'NM Play'!$B$44)),ROUNDDOWN(G511/'NM Play'!$B$11,0)+F511*'NM Play'!$B$10/'NM Play'!$B$43)</f>
        <v/>
      </c>
      <c r="L511" s="160">
        <f>MIN(ROUNDDOWN(G511/'NM Play'!$B$11,0)+F511/('NM Play'!$B$43/'NM Play'!$B$15),ROUNDDOWN(H511/'NM Play'!$B$12,0)+F511/('NM Play'!$B$44/'NM Play'!$B$16),(F511+ROUNDDOWN(G511/'NM Play'!$B$11,0)*'NM Play'!$B$43/'NM Play'!$B$15+ROUNDDOWN(H511/'NM Play'!$B$12,0)*'NM Play'!$B$44/'NM Play'!$B$16)/('NM Play'!$B$43/'NM Play'!$B$15+'NM Play'!$B$44/'NM Play'!$B$16))</f>
        <v/>
      </c>
      <c r="M511" s="160">
        <f>F511*'NM Play'!$B$36</f>
        <v/>
      </c>
      <c r="N511" s="160">
        <f>ROUNDDOWN(MAX(0,MIN(J511,K511:M511)),0)</f>
        <v/>
      </c>
      <c r="O511" s="160">
        <f>ROUNDUP(MAX(0,N511*'NM Play'!$B$11-G511)/'NM Play'!$B$13,0)</f>
        <v/>
      </c>
      <c r="P511" s="160">
        <f>ROUNDUP(MAX(0,N511*'NM Play'!$B$12-H511)/'NM Play'!$B$14,0)</f>
        <v/>
      </c>
      <c r="Q511" s="160">
        <f>(O511+IF('Sites'!$C$8="Own sheets",P511,0))/'NM Play'!$B$10</f>
        <v/>
      </c>
      <c r="R511" s="160">
        <f>O511/'NM Play'!$B$15+P511/'NM Play'!$B$16</f>
        <v/>
      </c>
      <c r="S511" s="160">
        <f>MAX(Q511,R511,N511/'NM Play'!$B$36)</f>
        <v/>
      </c>
      <c r="T511" s="160">
        <f>Q511*'NM Play'!$B$10*'NM Play'!$B$21*(1+'NM Play'!$B$35)</f>
        <v/>
      </c>
      <c r="U511" s="160">
        <f>MAX(0,T511-I511)</f>
        <v/>
      </c>
      <c r="V511" s="160">
        <f>G511+O511*'NM Play'!$B$13-N511*'NM Play'!$B$11</f>
        <v/>
      </c>
      <c r="W511" s="160">
        <f>H511+P511*'NM Play'!$B$14-N511*'NM Play'!$B$12</f>
        <v/>
      </c>
      <c r="X511" s="160">
        <f>I511+U511-T511</f>
        <v/>
      </c>
      <c r="Y511" s="160">
        <f>MIN(N511,MAX(0,ROUNDDOWN('Sites'!$L$8*'Cases'!$E$10,0)-SUM(Y510:Y510)))</f>
        <v/>
      </c>
      <c r="Z511" s="160">
        <f>N511-Y511</f>
        <v/>
      </c>
      <c r="AA511" s="160">
        <f>U511*'NM Play'!$B$22</f>
        <v/>
      </c>
      <c r="AB511" s="160">
        <f>N511*SUM('NM Play'!$B$29:$B$31)</f>
        <v/>
      </c>
      <c r="AC511" s="160">
        <f>IF('Sites'!$C$8="Defy legs",P511*'NM Play'!$B$14/'NM Play'!$B$12*'NM Play'!$B$28,0)</f>
        <v/>
      </c>
      <c r="AD511" s="160">
        <f>Q511*'NM Play'!$B$23</f>
        <v/>
      </c>
      <c r="AE511" s="160">
        <f>S511*SUM('NM Play'!$B$26,'NM Play'!$B$33:$B$34)</f>
        <v/>
      </c>
      <c r="AF511" s="160">
        <f>IF('Sites'!$D$8="NM crew",S511*SUM('NM Play'!$B$24:$B$25),0)</f>
        <v/>
      </c>
      <c r="AG511" s="160">
        <f>IF('Sites'!$D$8="NM crew",S511*'NM Play'!$B$27,0)</f>
        <v/>
      </c>
      <c r="AH511" s="160">
        <f>N511*'Sites'!$Z$8*'NM Play'!$B$32</f>
        <v/>
      </c>
      <c r="AI511" s="160">
        <f>SUM(Y511:Z511)*'Sites'!$R$8</f>
        <v/>
      </c>
      <c r="AJ511" s="160">
        <f>SUM(AA511:AH511)</f>
        <v/>
      </c>
      <c r="AK511" s="160">
        <f>AJ511+(T511-U511)*'NM Play'!$B$22+MIN(G511,N511*'NM Play'!$B$11)/'NM Play'!$B$13*'NM Play'!$B$21*'NM Play'!$B$22+MIN(H511,N511*'NM Play'!$B$12)/'NM Play'!$B$14*IF('Sites'!$C$8="Own sheets",'NM Play'!$B$21*'NM Play'!$B$22,'NM Play'!$B$28*'NM Play'!$B$14/'NM Play'!$B$12)</f>
        <v/>
      </c>
      <c r="AL511" s="160">
        <f>Y511*'Assumptions'!E66</f>
        <v/>
      </c>
      <c r="AM511" s="160">
        <f>IF('Sites'!$D$8="NM crew",S511*'NM Play'!$B$37*(1+IF(AND(ISNUMBER('NM Play'!$B$25),'NM Play'!$B$25&gt;0),1,0)),"")</f>
        <v/>
      </c>
      <c r="AN511" s="160">
        <f>IF(OR('Sites'!$E$8&lt;0,'Sites'!$E$8&gt;1,'Sites'!$F$8&lt;1,'Sites'!$G$8&lt;'Sites'!$F$8,F511&lt;0,MIN('Sites'!$I$8:'Sites'!$R$8)&lt;0,'Sites'!$L$8&gt;'Sites'!$I$8,'Sites'!$M$8&gt;'Sites'!$J$8,'Sites'!$N$8&gt;'Sites'!$K$8,'Sites'!$Z$8&lt;0,'Sites'!$Z$8&gt;1,MIN('Sites'!$AA$8:'Sites'!$AC$8)&lt;0,S511&gt;F511+0.001),1,0)</f>
        <v/>
      </c>
      <c r="AO511" s="160">
        <f>I511+U511-T511-X511</f>
        <v/>
      </c>
    </row>
    <row r="512" ht="28" customHeight="1">
      <c r="A512" s="4" t="inlineStr">
        <is>
          <t>Lower sales</t>
        </is>
      </c>
      <c r="B512" s="4" t="inlineStr">
        <is>
          <t>NEW2</t>
        </is>
      </c>
      <c r="C512" s="160" t="n">
        <v>3</v>
      </c>
      <c r="D512" s="160">
        <f>ROUNDUP(C512/12,0)</f>
        <v/>
      </c>
      <c r="E512" s="160">
        <f>IF(AND('Sites'!$E$8*'Cases'!$F$10=1,C512&gt;='Sites'!$F$8+'Cases'!$G$10,C512&lt;='Sites'!$G$8),1,0)</f>
        <v/>
      </c>
      <c r="F512" s="160">
        <f>E512*'Assumptions'!F69</f>
        <v/>
      </c>
      <c r="G512" s="160">
        <f>V511</f>
        <v/>
      </c>
      <c r="H512" s="160">
        <f>W511</f>
        <v/>
      </c>
      <c r="I512" s="160">
        <f>X511</f>
        <v/>
      </c>
      <c r="J512" s="160">
        <f>MAX(0,'Sites'!$I$8-SUM(N510:N511))</f>
        <v/>
      </c>
      <c r="K512" s="160">
        <f>IF('Sites'!$C$8="Own sheets",MIN(ROUNDDOWN(G512/'NM Play'!$B$11,0)+F512*'NM Play'!$B$10/'NM Play'!$B$43,ROUNDDOWN(H512/'NM Play'!$B$12,0)+F512*'NM Play'!$B$10/'NM Play'!$B$44,(F512*'NM Play'!$B$10+ROUNDDOWN(G512/'NM Play'!$B$11,0)*'NM Play'!$B$43+ROUNDDOWN(H512/'NM Play'!$B$12,0)*'NM Play'!$B$44)/('NM Play'!$B$43+'NM Play'!$B$44)),ROUNDDOWN(G512/'NM Play'!$B$11,0)+F512*'NM Play'!$B$10/'NM Play'!$B$43)</f>
        <v/>
      </c>
      <c r="L512" s="160">
        <f>MIN(ROUNDDOWN(G512/'NM Play'!$B$11,0)+F512/('NM Play'!$B$43/'NM Play'!$B$15),ROUNDDOWN(H512/'NM Play'!$B$12,0)+F512/('NM Play'!$B$44/'NM Play'!$B$16),(F512+ROUNDDOWN(G512/'NM Play'!$B$11,0)*'NM Play'!$B$43/'NM Play'!$B$15+ROUNDDOWN(H512/'NM Play'!$B$12,0)*'NM Play'!$B$44/'NM Play'!$B$16)/('NM Play'!$B$43/'NM Play'!$B$15+'NM Play'!$B$44/'NM Play'!$B$16))</f>
        <v/>
      </c>
      <c r="M512" s="160">
        <f>F512*'NM Play'!$B$36</f>
        <v/>
      </c>
      <c r="N512" s="160">
        <f>ROUNDDOWN(MAX(0,MIN(J512,K512:M512)),0)</f>
        <v/>
      </c>
      <c r="O512" s="160">
        <f>ROUNDUP(MAX(0,N512*'NM Play'!$B$11-G512)/'NM Play'!$B$13,0)</f>
        <v/>
      </c>
      <c r="P512" s="160">
        <f>ROUNDUP(MAX(0,N512*'NM Play'!$B$12-H512)/'NM Play'!$B$14,0)</f>
        <v/>
      </c>
      <c r="Q512" s="160">
        <f>(O512+IF('Sites'!$C$8="Own sheets",P512,0))/'NM Play'!$B$10</f>
        <v/>
      </c>
      <c r="R512" s="160">
        <f>O512/'NM Play'!$B$15+P512/'NM Play'!$B$16</f>
        <v/>
      </c>
      <c r="S512" s="160">
        <f>MAX(Q512,R512,N512/'NM Play'!$B$36)</f>
        <v/>
      </c>
      <c r="T512" s="160">
        <f>Q512*'NM Play'!$B$10*'NM Play'!$B$21*(1+'NM Play'!$B$35)</f>
        <v/>
      </c>
      <c r="U512" s="160">
        <f>MAX(0,T512-I512)</f>
        <v/>
      </c>
      <c r="V512" s="160">
        <f>G512+O512*'NM Play'!$B$13-N512*'NM Play'!$B$11</f>
        <v/>
      </c>
      <c r="W512" s="160">
        <f>H512+P512*'NM Play'!$B$14-N512*'NM Play'!$B$12</f>
        <v/>
      </c>
      <c r="X512" s="160">
        <f>I512+U512-T512</f>
        <v/>
      </c>
      <c r="Y512" s="160">
        <f>MIN(N512,MAX(0,ROUNDDOWN('Sites'!$L$8*'Cases'!$E$10,0)-SUM(Y510:Y511)))</f>
        <v/>
      </c>
      <c r="Z512" s="160">
        <f>N512-Y512</f>
        <v/>
      </c>
      <c r="AA512" s="160">
        <f>U512*'NM Play'!$B$22</f>
        <v/>
      </c>
      <c r="AB512" s="160">
        <f>N512*SUM('NM Play'!$B$29:$B$31)</f>
        <v/>
      </c>
      <c r="AC512" s="160">
        <f>IF('Sites'!$C$8="Defy legs",P512*'NM Play'!$B$14/'NM Play'!$B$12*'NM Play'!$B$28,0)</f>
        <v/>
      </c>
      <c r="AD512" s="160">
        <f>Q512*'NM Play'!$B$23</f>
        <v/>
      </c>
      <c r="AE512" s="160">
        <f>S512*SUM('NM Play'!$B$26,'NM Play'!$B$33:$B$34)</f>
        <v/>
      </c>
      <c r="AF512" s="160">
        <f>IF('Sites'!$D$8="NM crew",S512*SUM('NM Play'!$B$24:$B$25),0)</f>
        <v/>
      </c>
      <c r="AG512" s="160">
        <f>IF('Sites'!$D$8="NM crew",S512*'NM Play'!$B$27,0)</f>
        <v/>
      </c>
      <c r="AH512" s="160">
        <f>N512*'Sites'!$Z$8*'NM Play'!$B$32</f>
        <v/>
      </c>
      <c r="AI512" s="160">
        <f>SUM(Y512:Z512)*'Sites'!$R$8</f>
        <v/>
      </c>
      <c r="AJ512" s="160">
        <f>SUM(AA512:AH512)</f>
        <v/>
      </c>
      <c r="AK512" s="160">
        <f>AJ512+(T512-U512)*'NM Play'!$B$22+MIN(G512,N512*'NM Play'!$B$11)/'NM Play'!$B$13*'NM Play'!$B$21*'NM Play'!$B$22+MIN(H512,N512*'NM Play'!$B$12)/'NM Play'!$B$14*IF('Sites'!$C$8="Own sheets",'NM Play'!$B$21*'NM Play'!$B$22,'NM Play'!$B$28*'NM Play'!$B$14/'NM Play'!$B$12)</f>
        <v/>
      </c>
      <c r="AL512" s="160">
        <f>Y512*'Assumptions'!F66</f>
        <v/>
      </c>
      <c r="AM512" s="160">
        <f>IF('Sites'!$D$8="NM crew",S512*'NM Play'!$B$37*(1+IF(AND(ISNUMBER('NM Play'!$B$25),'NM Play'!$B$25&gt;0),1,0)),"")</f>
        <v/>
      </c>
      <c r="AN512" s="160">
        <f>IF(OR('Sites'!$E$8&lt;0,'Sites'!$E$8&gt;1,'Sites'!$F$8&lt;1,'Sites'!$G$8&lt;'Sites'!$F$8,F512&lt;0,MIN('Sites'!$I$8:'Sites'!$R$8)&lt;0,'Sites'!$L$8&gt;'Sites'!$I$8,'Sites'!$M$8&gt;'Sites'!$J$8,'Sites'!$N$8&gt;'Sites'!$K$8,'Sites'!$Z$8&lt;0,'Sites'!$Z$8&gt;1,MIN('Sites'!$AA$8:'Sites'!$AC$8)&lt;0,S512&gt;F512+0.001),1,0)</f>
        <v/>
      </c>
      <c r="AO512" s="160">
        <f>I512+U512-T512-X512</f>
        <v/>
      </c>
    </row>
    <row r="513" ht="28" customHeight="1">
      <c r="A513" s="4" t="inlineStr">
        <is>
          <t>Lower sales</t>
        </is>
      </c>
      <c r="B513" s="4" t="inlineStr">
        <is>
          <t>NEW2</t>
        </is>
      </c>
      <c r="C513" s="160" t="n">
        <v>4</v>
      </c>
      <c r="D513" s="160">
        <f>ROUNDUP(C513/12,0)</f>
        <v/>
      </c>
      <c r="E513" s="160">
        <f>IF(AND('Sites'!$E$8*'Cases'!$F$10=1,C513&gt;='Sites'!$F$8+'Cases'!$G$10,C513&lt;='Sites'!$G$8),1,0)</f>
        <v/>
      </c>
      <c r="F513" s="160">
        <f>E513*'Assumptions'!G69</f>
        <v/>
      </c>
      <c r="G513" s="160">
        <f>V512</f>
        <v/>
      </c>
      <c r="H513" s="160">
        <f>W512</f>
        <v/>
      </c>
      <c r="I513" s="160">
        <f>X512</f>
        <v/>
      </c>
      <c r="J513" s="160">
        <f>MAX(0,'Sites'!$I$8-SUM(N510:N512))</f>
        <v/>
      </c>
      <c r="K513" s="160">
        <f>IF('Sites'!$C$8="Own sheets",MIN(ROUNDDOWN(G513/'NM Play'!$B$11,0)+F513*'NM Play'!$B$10/'NM Play'!$B$43,ROUNDDOWN(H513/'NM Play'!$B$12,0)+F513*'NM Play'!$B$10/'NM Play'!$B$44,(F513*'NM Play'!$B$10+ROUNDDOWN(G513/'NM Play'!$B$11,0)*'NM Play'!$B$43+ROUNDDOWN(H513/'NM Play'!$B$12,0)*'NM Play'!$B$44)/('NM Play'!$B$43+'NM Play'!$B$44)),ROUNDDOWN(G513/'NM Play'!$B$11,0)+F513*'NM Play'!$B$10/'NM Play'!$B$43)</f>
        <v/>
      </c>
      <c r="L513" s="160">
        <f>MIN(ROUNDDOWN(G513/'NM Play'!$B$11,0)+F513/('NM Play'!$B$43/'NM Play'!$B$15),ROUNDDOWN(H513/'NM Play'!$B$12,0)+F513/('NM Play'!$B$44/'NM Play'!$B$16),(F513+ROUNDDOWN(G513/'NM Play'!$B$11,0)*'NM Play'!$B$43/'NM Play'!$B$15+ROUNDDOWN(H513/'NM Play'!$B$12,0)*'NM Play'!$B$44/'NM Play'!$B$16)/('NM Play'!$B$43/'NM Play'!$B$15+'NM Play'!$B$44/'NM Play'!$B$16))</f>
        <v/>
      </c>
      <c r="M513" s="160">
        <f>F513*'NM Play'!$B$36</f>
        <v/>
      </c>
      <c r="N513" s="160">
        <f>ROUNDDOWN(MAX(0,MIN(J513,K513:M513)),0)</f>
        <v/>
      </c>
      <c r="O513" s="160">
        <f>ROUNDUP(MAX(0,N513*'NM Play'!$B$11-G513)/'NM Play'!$B$13,0)</f>
        <v/>
      </c>
      <c r="P513" s="160">
        <f>ROUNDUP(MAX(0,N513*'NM Play'!$B$12-H513)/'NM Play'!$B$14,0)</f>
        <v/>
      </c>
      <c r="Q513" s="160">
        <f>(O513+IF('Sites'!$C$8="Own sheets",P513,0))/'NM Play'!$B$10</f>
        <v/>
      </c>
      <c r="R513" s="160">
        <f>O513/'NM Play'!$B$15+P513/'NM Play'!$B$16</f>
        <v/>
      </c>
      <c r="S513" s="160">
        <f>MAX(Q513,R513,N513/'NM Play'!$B$36)</f>
        <v/>
      </c>
      <c r="T513" s="160">
        <f>Q513*'NM Play'!$B$10*'NM Play'!$B$21*(1+'NM Play'!$B$35)</f>
        <v/>
      </c>
      <c r="U513" s="160">
        <f>MAX(0,T513-I513)</f>
        <v/>
      </c>
      <c r="V513" s="160">
        <f>G513+O513*'NM Play'!$B$13-N513*'NM Play'!$B$11</f>
        <v/>
      </c>
      <c r="W513" s="160">
        <f>H513+P513*'NM Play'!$B$14-N513*'NM Play'!$B$12</f>
        <v/>
      </c>
      <c r="X513" s="160">
        <f>I513+U513-T513</f>
        <v/>
      </c>
      <c r="Y513" s="160">
        <f>MIN(N513,MAX(0,ROUNDDOWN('Sites'!$L$8*'Cases'!$E$10,0)-SUM(Y510:Y512)))</f>
        <v/>
      </c>
      <c r="Z513" s="160">
        <f>N513-Y513</f>
        <v/>
      </c>
      <c r="AA513" s="160">
        <f>U513*'NM Play'!$B$22</f>
        <v/>
      </c>
      <c r="AB513" s="160">
        <f>N513*SUM('NM Play'!$B$29:$B$31)</f>
        <v/>
      </c>
      <c r="AC513" s="160">
        <f>IF('Sites'!$C$8="Defy legs",P513*'NM Play'!$B$14/'NM Play'!$B$12*'NM Play'!$B$28,0)</f>
        <v/>
      </c>
      <c r="AD513" s="160">
        <f>Q513*'NM Play'!$B$23</f>
        <v/>
      </c>
      <c r="AE513" s="160">
        <f>S513*SUM('NM Play'!$B$26,'NM Play'!$B$33:$B$34)</f>
        <v/>
      </c>
      <c r="AF513" s="160">
        <f>IF('Sites'!$D$8="NM crew",S513*SUM('NM Play'!$B$24:$B$25),0)</f>
        <v/>
      </c>
      <c r="AG513" s="160">
        <f>IF('Sites'!$D$8="NM crew",S513*'NM Play'!$B$27,0)</f>
        <v/>
      </c>
      <c r="AH513" s="160">
        <f>N513*'Sites'!$Z$8*'NM Play'!$B$32</f>
        <v/>
      </c>
      <c r="AI513" s="160">
        <f>SUM(Y513:Z513)*'Sites'!$R$8</f>
        <v/>
      </c>
      <c r="AJ513" s="160">
        <f>SUM(AA513:AH513)</f>
        <v/>
      </c>
      <c r="AK513" s="160">
        <f>AJ513+(T513-U513)*'NM Play'!$B$22+MIN(G513,N513*'NM Play'!$B$11)/'NM Play'!$B$13*'NM Play'!$B$21*'NM Play'!$B$22+MIN(H513,N513*'NM Play'!$B$12)/'NM Play'!$B$14*IF('Sites'!$C$8="Own sheets",'NM Play'!$B$21*'NM Play'!$B$22,'NM Play'!$B$28*'NM Play'!$B$14/'NM Play'!$B$12)</f>
        <v/>
      </c>
      <c r="AL513" s="160">
        <f>Y513*'Assumptions'!G66</f>
        <v/>
      </c>
      <c r="AM513" s="160">
        <f>IF('Sites'!$D$8="NM crew",S513*'NM Play'!$B$37*(1+IF(AND(ISNUMBER('NM Play'!$B$25),'NM Play'!$B$25&gt;0),1,0)),"")</f>
        <v/>
      </c>
      <c r="AN513" s="160">
        <f>IF(OR('Sites'!$E$8&lt;0,'Sites'!$E$8&gt;1,'Sites'!$F$8&lt;1,'Sites'!$G$8&lt;'Sites'!$F$8,F513&lt;0,MIN('Sites'!$I$8:'Sites'!$R$8)&lt;0,'Sites'!$L$8&gt;'Sites'!$I$8,'Sites'!$M$8&gt;'Sites'!$J$8,'Sites'!$N$8&gt;'Sites'!$K$8,'Sites'!$Z$8&lt;0,'Sites'!$Z$8&gt;1,MIN('Sites'!$AA$8:'Sites'!$AC$8)&lt;0,S513&gt;F513+0.001),1,0)</f>
        <v/>
      </c>
      <c r="AO513" s="160">
        <f>I513+U513-T513-X513</f>
        <v/>
      </c>
    </row>
    <row r="514" ht="28" customHeight="1">
      <c r="A514" s="4" t="inlineStr">
        <is>
          <t>Lower sales</t>
        </is>
      </c>
      <c r="B514" s="4" t="inlineStr">
        <is>
          <t>NEW2</t>
        </is>
      </c>
      <c r="C514" s="160" t="n">
        <v>5</v>
      </c>
      <c r="D514" s="160">
        <f>ROUNDUP(C514/12,0)</f>
        <v/>
      </c>
      <c r="E514" s="160">
        <f>IF(AND('Sites'!$E$8*'Cases'!$F$10=1,C514&gt;='Sites'!$F$8+'Cases'!$G$10,C514&lt;='Sites'!$G$8),1,0)</f>
        <v/>
      </c>
      <c r="F514" s="160">
        <f>E514*'Assumptions'!H69</f>
        <v/>
      </c>
      <c r="G514" s="160">
        <f>V513</f>
        <v/>
      </c>
      <c r="H514" s="160">
        <f>W513</f>
        <v/>
      </c>
      <c r="I514" s="160">
        <f>X513</f>
        <v/>
      </c>
      <c r="J514" s="160">
        <f>MAX(0,'Sites'!$I$8-SUM(N510:N513))</f>
        <v/>
      </c>
      <c r="K514" s="160">
        <f>IF('Sites'!$C$8="Own sheets",MIN(ROUNDDOWN(G514/'NM Play'!$B$11,0)+F514*'NM Play'!$B$10/'NM Play'!$B$43,ROUNDDOWN(H514/'NM Play'!$B$12,0)+F514*'NM Play'!$B$10/'NM Play'!$B$44,(F514*'NM Play'!$B$10+ROUNDDOWN(G514/'NM Play'!$B$11,0)*'NM Play'!$B$43+ROUNDDOWN(H514/'NM Play'!$B$12,0)*'NM Play'!$B$44)/('NM Play'!$B$43+'NM Play'!$B$44)),ROUNDDOWN(G514/'NM Play'!$B$11,0)+F514*'NM Play'!$B$10/'NM Play'!$B$43)</f>
        <v/>
      </c>
      <c r="L514" s="160">
        <f>MIN(ROUNDDOWN(G514/'NM Play'!$B$11,0)+F514/('NM Play'!$B$43/'NM Play'!$B$15),ROUNDDOWN(H514/'NM Play'!$B$12,0)+F514/('NM Play'!$B$44/'NM Play'!$B$16),(F514+ROUNDDOWN(G514/'NM Play'!$B$11,0)*'NM Play'!$B$43/'NM Play'!$B$15+ROUNDDOWN(H514/'NM Play'!$B$12,0)*'NM Play'!$B$44/'NM Play'!$B$16)/('NM Play'!$B$43/'NM Play'!$B$15+'NM Play'!$B$44/'NM Play'!$B$16))</f>
        <v/>
      </c>
      <c r="M514" s="160">
        <f>F514*'NM Play'!$B$36</f>
        <v/>
      </c>
      <c r="N514" s="160">
        <f>ROUNDDOWN(MAX(0,MIN(J514,K514:M514)),0)</f>
        <v/>
      </c>
      <c r="O514" s="160">
        <f>ROUNDUP(MAX(0,N514*'NM Play'!$B$11-G514)/'NM Play'!$B$13,0)</f>
        <v/>
      </c>
      <c r="P514" s="160">
        <f>ROUNDUP(MAX(0,N514*'NM Play'!$B$12-H514)/'NM Play'!$B$14,0)</f>
        <v/>
      </c>
      <c r="Q514" s="160">
        <f>(O514+IF('Sites'!$C$8="Own sheets",P514,0))/'NM Play'!$B$10</f>
        <v/>
      </c>
      <c r="R514" s="160">
        <f>O514/'NM Play'!$B$15+P514/'NM Play'!$B$16</f>
        <v/>
      </c>
      <c r="S514" s="160">
        <f>MAX(Q514,R514,N514/'NM Play'!$B$36)</f>
        <v/>
      </c>
      <c r="T514" s="160">
        <f>Q514*'NM Play'!$B$10*'NM Play'!$B$21*(1+'NM Play'!$B$35)</f>
        <v/>
      </c>
      <c r="U514" s="160">
        <f>MAX(0,T514-I514)</f>
        <v/>
      </c>
      <c r="V514" s="160">
        <f>G514+O514*'NM Play'!$B$13-N514*'NM Play'!$B$11</f>
        <v/>
      </c>
      <c r="W514" s="160">
        <f>H514+P514*'NM Play'!$B$14-N514*'NM Play'!$B$12</f>
        <v/>
      </c>
      <c r="X514" s="160">
        <f>I514+U514-T514</f>
        <v/>
      </c>
      <c r="Y514" s="160">
        <f>MIN(N514,MAX(0,ROUNDDOWN('Sites'!$L$8*'Cases'!$E$10,0)-SUM(Y510:Y513)))</f>
        <v/>
      </c>
      <c r="Z514" s="160">
        <f>N514-Y514</f>
        <v/>
      </c>
      <c r="AA514" s="160">
        <f>U514*'NM Play'!$B$22</f>
        <v/>
      </c>
      <c r="AB514" s="160">
        <f>N514*SUM('NM Play'!$B$29:$B$31)</f>
        <v/>
      </c>
      <c r="AC514" s="160">
        <f>IF('Sites'!$C$8="Defy legs",P514*'NM Play'!$B$14/'NM Play'!$B$12*'NM Play'!$B$28,0)</f>
        <v/>
      </c>
      <c r="AD514" s="160">
        <f>Q514*'NM Play'!$B$23</f>
        <v/>
      </c>
      <c r="AE514" s="160">
        <f>S514*SUM('NM Play'!$B$26,'NM Play'!$B$33:$B$34)</f>
        <v/>
      </c>
      <c r="AF514" s="160">
        <f>IF('Sites'!$D$8="NM crew",S514*SUM('NM Play'!$B$24:$B$25),0)</f>
        <v/>
      </c>
      <c r="AG514" s="160">
        <f>IF('Sites'!$D$8="NM crew",S514*'NM Play'!$B$27,0)</f>
        <v/>
      </c>
      <c r="AH514" s="160">
        <f>N514*'Sites'!$Z$8*'NM Play'!$B$32</f>
        <v/>
      </c>
      <c r="AI514" s="160">
        <f>SUM(Y514:Z514)*'Sites'!$R$8</f>
        <v/>
      </c>
      <c r="AJ514" s="160">
        <f>SUM(AA514:AH514)</f>
        <v/>
      </c>
      <c r="AK514" s="160">
        <f>AJ514+(T514-U514)*'NM Play'!$B$22+MIN(G514,N514*'NM Play'!$B$11)/'NM Play'!$B$13*'NM Play'!$B$21*'NM Play'!$B$22+MIN(H514,N514*'NM Play'!$B$12)/'NM Play'!$B$14*IF('Sites'!$C$8="Own sheets",'NM Play'!$B$21*'NM Play'!$B$22,'NM Play'!$B$28*'NM Play'!$B$14/'NM Play'!$B$12)</f>
        <v/>
      </c>
      <c r="AL514" s="160">
        <f>Y514*'Assumptions'!H66</f>
        <v/>
      </c>
      <c r="AM514" s="160">
        <f>IF('Sites'!$D$8="NM crew",S514*'NM Play'!$B$37*(1+IF(AND(ISNUMBER('NM Play'!$B$25),'NM Play'!$B$25&gt;0),1,0)),"")</f>
        <v/>
      </c>
      <c r="AN514" s="160">
        <f>IF(OR('Sites'!$E$8&lt;0,'Sites'!$E$8&gt;1,'Sites'!$F$8&lt;1,'Sites'!$G$8&lt;'Sites'!$F$8,F514&lt;0,MIN('Sites'!$I$8:'Sites'!$R$8)&lt;0,'Sites'!$L$8&gt;'Sites'!$I$8,'Sites'!$M$8&gt;'Sites'!$J$8,'Sites'!$N$8&gt;'Sites'!$K$8,'Sites'!$Z$8&lt;0,'Sites'!$Z$8&gt;1,MIN('Sites'!$AA$8:'Sites'!$AC$8)&lt;0,S514&gt;F514+0.001),1,0)</f>
        <v/>
      </c>
      <c r="AO514" s="160">
        <f>I514+U514-T514-X514</f>
        <v/>
      </c>
    </row>
    <row r="515" ht="28" customHeight="1">
      <c r="A515" s="4" t="inlineStr">
        <is>
          <t>Lower sales</t>
        </is>
      </c>
      <c r="B515" s="4" t="inlineStr">
        <is>
          <t>NEW2</t>
        </is>
      </c>
      <c r="C515" s="160" t="n">
        <v>6</v>
      </c>
      <c r="D515" s="160">
        <f>ROUNDUP(C515/12,0)</f>
        <v/>
      </c>
      <c r="E515" s="160">
        <f>IF(AND('Sites'!$E$8*'Cases'!$F$10=1,C515&gt;='Sites'!$F$8+'Cases'!$G$10,C515&lt;='Sites'!$G$8),1,0)</f>
        <v/>
      </c>
      <c r="F515" s="160">
        <f>E515*'Assumptions'!I69</f>
        <v/>
      </c>
      <c r="G515" s="160">
        <f>V514</f>
        <v/>
      </c>
      <c r="H515" s="160">
        <f>W514</f>
        <v/>
      </c>
      <c r="I515" s="160">
        <f>X514</f>
        <v/>
      </c>
      <c r="J515" s="160">
        <f>MAX(0,'Sites'!$I$8-SUM(N510:N514))</f>
        <v/>
      </c>
      <c r="K515" s="160">
        <f>IF('Sites'!$C$8="Own sheets",MIN(ROUNDDOWN(G515/'NM Play'!$B$11,0)+F515*'NM Play'!$B$10/'NM Play'!$B$43,ROUNDDOWN(H515/'NM Play'!$B$12,0)+F515*'NM Play'!$B$10/'NM Play'!$B$44,(F515*'NM Play'!$B$10+ROUNDDOWN(G515/'NM Play'!$B$11,0)*'NM Play'!$B$43+ROUNDDOWN(H515/'NM Play'!$B$12,0)*'NM Play'!$B$44)/('NM Play'!$B$43+'NM Play'!$B$44)),ROUNDDOWN(G515/'NM Play'!$B$11,0)+F515*'NM Play'!$B$10/'NM Play'!$B$43)</f>
        <v/>
      </c>
      <c r="L515" s="160">
        <f>MIN(ROUNDDOWN(G515/'NM Play'!$B$11,0)+F515/('NM Play'!$B$43/'NM Play'!$B$15),ROUNDDOWN(H515/'NM Play'!$B$12,0)+F515/('NM Play'!$B$44/'NM Play'!$B$16),(F515+ROUNDDOWN(G515/'NM Play'!$B$11,0)*'NM Play'!$B$43/'NM Play'!$B$15+ROUNDDOWN(H515/'NM Play'!$B$12,0)*'NM Play'!$B$44/'NM Play'!$B$16)/('NM Play'!$B$43/'NM Play'!$B$15+'NM Play'!$B$44/'NM Play'!$B$16))</f>
        <v/>
      </c>
      <c r="M515" s="160">
        <f>F515*'NM Play'!$B$36</f>
        <v/>
      </c>
      <c r="N515" s="160">
        <f>ROUNDDOWN(MAX(0,MIN(J515,K515:M515)),0)</f>
        <v/>
      </c>
      <c r="O515" s="160">
        <f>ROUNDUP(MAX(0,N515*'NM Play'!$B$11-G515)/'NM Play'!$B$13,0)</f>
        <v/>
      </c>
      <c r="P515" s="160">
        <f>ROUNDUP(MAX(0,N515*'NM Play'!$B$12-H515)/'NM Play'!$B$14,0)</f>
        <v/>
      </c>
      <c r="Q515" s="160">
        <f>(O515+IF('Sites'!$C$8="Own sheets",P515,0))/'NM Play'!$B$10</f>
        <v/>
      </c>
      <c r="R515" s="160">
        <f>O515/'NM Play'!$B$15+P515/'NM Play'!$B$16</f>
        <v/>
      </c>
      <c r="S515" s="160">
        <f>MAX(Q515,R515,N515/'NM Play'!$B$36)</f>
        <v/>
      </c>
      <c r="T515" s="160">
        <f>Q515*'NM Play'!$B$10*'NM Play'!$B$21*(1+'NM Play'!$B$35)</f>
        <v/>
      </c>
      <c r="U515" s="160">
        <f>MAX(0,T515-I515)</f>
        <v/>
      </c>
      <c r="V515" s="160">
        <f>G515+O515*'NM Play'!$B$13-N515*'NM Play'!$B$11</f>
        <v/>
      </c>
      <c r="W515" s="160">
        <f>H515+P515*'NM Play'!$B$14-N515*'NM Play'!$B$12</f>
        <v/>
      </c>
      <c r="X515" s="160">
        <f>I515+U515-T515</f>
        <v/>
      </c>
      <c r="Y515" s="160">
        <f>MIN(N515,MAX(0,ROUNDDOWN('Sites'!$L$8*'Cases'!$E$10,0)-SUM(Y510:Y514)))</f>
        <v/>
      </c>
      <c r="Z515" s="160">
        <f>N515-Y515</f>
        <v/>
      </c>
      <c r="AA515" s="160">
        <f>U515*'NM Play'!$B$22</f>
        <v/>
      </c>
      <c r="AB515" s="160">
        <f>N515*SUM('NM Play'!$B$29:$B$31)</f>
        <v/>
      </c>
      <c r="AC515" s="160">
        <f>IF('Sites'!$C$8="Defy legs",P515*'NM Play'!$B$14/'NM Play'!$B$12*'NM Play'!$B$28,0)</f>
        <v/>
      </c>
      <c r="AD515" s="160">
        <f>Q515*'NM Play'!$B$23</f>
        <v/>
      </c>
      <c r="AE515" s="160">
        <f>S515*SUM('NM Play'!$B$26,'NM Play'!$B$33:$B$34)</f>
        <v/>
      </c>
      <c r="AF515" s="160">
        <f>IF('Sites'!$D$8="NM crew",S515*SUM('NM Play'!$B$24:$B$25),0)</f>
        <v/>
      </c>
      <c r="AG515" s="160">
        <f>IF('Sites'!$D$8="NM crew",S515*'NM Play'!$B$27,0)</f>
        <v/>
      </c>
      <c r="AH515" s="160">
        <f>N515*'Sites'!$Z$8*'NM Play'!$B$32</f>
        <v/>
      </c>
      <c r="AI515" s="160">
        <f>SUM(Y515:Z515)*'Sites'!$R$8</f>
        <v/>
      </c>
      <c r="AJ515" s="160">
        <f>SUM(AA515:AH515)</f>
        <v/>
      </c>
      <c r="AK515" s="160">
        <f>AJ515+(T515-U515)*'NM Play'!$B$22+MIN(G515,N515*'NM Play'!$B$11)/'NM Play'!$B$13*'NM Play'!$B$21*'NM Play'!$B$22+MIN(H515,N515*'NM Play'!$B$12)/'NM Play'!$B$14*IF('Sites'!$C$8="Own sheets",'NM Play'!$B$21*'NM Play'!$B$22,'NM Play'!$B$28*'NM Play'!$B$14/'NM Play'!$B$12)</f>
        <v/>
      </c>
      <c r="AL515" s="160">
        <f>Y515*'Assumptions'!I66</f>
        <v/>
      </c>
      <c r="AM515" s="160">
        <f>IF('Sites'!$D$8="NM crew",S515*'NM Play'!$B$37*(1+IF(AND(ISNUMBER('NM Play'!$B$25),'NM Play'!$B$25&gt;0),1,0)),"")</f>
        <v/>
      </c>
      <c r="AN515" s="160">
        <f>IF(OR('Sites'!$E$8&lt;0,'Sites'!$E$8&gt;1,'Sites'!$F$8&lt;1,'Sites'!$G$8&lt;'Sites'!$F$8,F515&lt;0,MIN('Sites'!$I$8:'Sites'!$R$8)&lt;0,'Sites'!$L$8&gt;'Sites'!$I$8,'Sites'!$M$8&gt;'Sites'!$J$8,'Sites'!$N$8&gt;'Sites'!$K$8,'Sites'!$Z$8&lt;0,'Sites'!$Z$8&gt;1,MIN('Sites'!$AA$8:'Sites'!$AC$8)&lt;0,S515&gt;F515+0.001),1,0)</f>
        <v/>
      </c>
      <c r="AO515" s="160">
        <f>I515+U515-T515-X515</f>
        <v/>
      </c>
    </row>
    <row r="516" ht="28" customHeight="1">
      <c r="A516" s="4" t="inlineStr">
        <is>
          <t>Lower sales</t>
        </is>
      </c>
      <c r="B516" s="4" t="inlineStr">
        <is>
          <t>NEW2</t>
        </is>
      </c>
      <c r="C516" s="160" t="n">
        <v>7</v>
      </c>
      <c r="D516" s="160">
        <f>ROUNDUP(C516/12,0)</f>
        <v/>
      </c>
      <c r="E516" s="160">
        <f>IF(AND('Sites'!$E$8*'Cases'!$F$10=1,C516&gt;='Sites'!$F$8+'Cases'!$G$10,C516&lt;='Sites'!$G$8),1,0)</f>
        <v/>
      </c>
      <c r="F516" s="160">
        <f>E516*'Assumptions'!J69</f>
        <v/>
      </c>
      <c r="G516" s="160">
        <f>V515</f>
        <v/>
      </c>
      <c r="H516" s="160">
        <f>W515</f>
        <v/>
      </c>
      <c r="I516" s="160">
        <f>X515</f>
        <v/>
      </c>
      <c r="J516" s="160">
        <f>MAX(0,'Sites'!$I$8-SUM(N510:N515))</f>
        <v/>
      </c>
      <c r="K516" s="160">
        <f>IF('Sites'!$C$8="Own sheets",MIN(ROUNDDOWN(G516/'NM Play'!$B$11,0)+F516*'NM Play'!$B$10/'NM Play'!$B$43,ROUNDDOWN(H516/'NM Play'!$B$12,0)+F516*'NM Play'!$B$10/'NM Play'!$B$44,(F516*'NM Play'!$B$10+ROUNDDOWN(G516/'NM Play'!$B$11,0)*'NM Play'!$B$43+ROUNDDOWN(H516/'NM Play'!$B$12,0)*'NM Play'!$B$44)/('NM Play'!$B$43+'NM Play'!$B$44)),ROUNDDOWN(G516/'NM Play'!$B$11,0)+F516*'NM Play'!$B$10/'NM Play'!$B$43)</f>
        <v/>
      </c>
      <c r="L516" s="160">
        <f>MIN(ROUNDDOWN(G516/'NM Play'!$B$11,0)+F516/('NM Play'!$B$43/'NM Play'!$B$15),ROUNDDOWN(H516/'NM Play'!$B$12,0)+F516/('NM Play'!$B$44/'NM Play'!$B$16),(F516+ROUNDDOWN(G516/'NM Play'!$B$11,0)*'NM Play'!$B$43/'NM Play'!$B$15+ROUNDDOWN(H516/'NM Play'!$B$12,0)*'NM Play'!$B$44/'NM Play'!$B$16)/('NM Play'!$B$43/'NM Play'!$B$15+'NM Play'!$B$44/'NM Play'!$B$16))</f>
        <v/>
      </c>
      <c r="M516" s="160">
        <f>F516*'NM Play'!$B$36</f>
        <v/>
      </c>
      <c r="N516" s="160">
        <f>ROUNDDOWN(MAX(0,MIN(J516,K516:M516)),0)</f>
        <v/>
      </c>
      <c r="O516" s="160">
        <f>ROUNDUP(MAX(0,N516*'NM Play'!$B$11-G516)/'NM Play'!$B$13,0)</f>
        <v/>
      </c>
      <c r="P516" s="160">
        <f>ROUNDUP(MAX(0,N516*'NM Play'!$B$12-H516)/'NM Play'!$B$14,0)</f>
        <v/>
      </c>
      <c r="Q516" s="160">
        <f>(O516+IF('Sites'!$C$8="Own sheets",P516,0))/'NM Play'!$B$10</f>
        <v/>
      </c>
      <c r="R516" s="160">
        <f>O516/'NM Play'!$B$15+P516/'NM Play'!$B$16</f>
        <v/>
      </c>
      <c r="S516" s="160">
        <f>MAX(Q516,R516,N516/'NM Play'!$B$36)</f>
        <v/>
      </c>
      <c r="T516" s="160">
        <f>Q516*'NM Play'!$B$10*'NM Play'!$B$21*(1+'NM Play'!$B$35)</f>
        <v/>
      </c>
      <c r="U516" s="160">
        <f>MAX(0,T516-I516)</f>
        <v/>
      </c>
      <c r="V516" s="160">
        <f>G516+O516*'NM Play'!$B$13-N516*'NM Play'!$B$11</f>
        <v/>
      </c>
      <c r="W516" s="160">
        <f>H516+P516*'NM Play'!$B$14-N516*'NM Play'!$B$12</f>
        <v/>
      </c>
      <c r="X516" s="160">
        <f>I516+U516-T516</f>
        <v/>
      </c>
      <c r="Y516" s="160">
        <f>MIN(N516,MAX(0,ROUNDDOWN('Sites'!$L$8*'Cases'!$E$10,0)-SUM(Y510:Y515)))</f>
        <v/>
      </c>
      <c r="Z516" s="160">
        <f>N516-Y516</f>
        <v/>
      </c>
      <c r="AA516" s="160">
        <f>U516*'NM Play'!$B$22</f>
        <v/>
      </c>
      <c r="AB516" s="160">
        <f>N516*SUM('NM Play'!$B$29:$B$31)</f>
        <v/>
      </c>
      <c r="AC516" s="160">
        <f>IF('Sites'!$C$8="Defy legs",P516*'NM Play'!$B$14/'NM Play'!$B$12*'NM Play'!$B$28,0)</f>
        <v/>
      </c>
      <c r="AD516" s="160">
        <f>Q516*'NM Play'!$B$23</f>
        <v/>
      </c>
      <c r="AE516" s="160">
        <f>S516*SUM('NM Play'!$B$26,'NM Play'!$B$33:$B$34)</f>
        <v/>
      </c>
      <c r="AF516" s="160">
        <f>IF('Sites'!$D$8="NM crew",S516*SUM('NM Play'!$B$24:$B$25),0)</f>
        <v/>
      </c>
      <c r="AG516" s="160">
        <f>IF('Sites'!$D$8="NM crew",S516*'NM Play'!$B$27,0)</f>
        <v/>
      </c>
      <c r="AH516" s="160">
        <f>N516*'Sites'!$Z$8*'NM Play'!$B$32</f>
        <v/>
      </c>
      <c r="AI516" s="160">
        <f>SUM(Y516:Z516)*'Sites'!$R$8</f>
        <v/>
      </c>
      <c r="AJ516" s="160">
        <f>SUM(AA516:AH516)</f>
        <v/>
      </c>
      <c r="AK516" s="160">
        <f>AJ516+(T516-U516)*'NM Play'!$B$22+MIN(G516,N516*'NM Play'!$B$11)/'NM Play'!$B$13*'NM Play'!$B$21*'NM Play'!$B$22+MIN(H516,N516*'NM Play'!$B$12)/'NM Play'!$B$14*IF('Sites'!$C$8="Own sheets",'NM Play'!$B$21*'NM Play'!$B$22,'NM Play'!$B$28*'NM Play'!$B$14/'NM Play'!$B$12)</f>
        <v/>
      </c>
      <c r="AL516" s="160">
        <f>Y516*'Assumptions'!J66</f>
        <v/>
      </c>
      <c r="AM516" s="160">
        <f>IF('Sites'!$D$8="NM crew",S516*'NM Play'!$B$37*(1+IF(AND(ISNUMBER('NM Play'!$B$25),'NM Play'!$B$25&gt;0),1,0)),"")</f>
        <v/>
      </c>
      <c r="AN516" s="160">
        <f>IF(OR('Sites'!$E$8&lt;0,'Sites'!$E$8&gt;1,'Sites'!$F$8&lt;1,'Sites'!$G$8&lt;'Sites'!$F$8,F516&lt;0,MIN('Sites'!$I$8:'Sites'!$R$8)&lt;0,'Sites'!$L$8&gt;'Sites'!$I$8,'Sites'!$M$8&gt;'Sites'!$J$8,'Sites'!$N$8&gt;'Sites'!$K$8,'Sites'!$Z$8&lt;0,'Sites'!$Z$8&gt;1,MIN('Sites'!$AA$8:'Sites'!$AC$8)&lt;0,S516&gt;F516+0.001),1,0)</f>
        <v/>
      </c>
      <c r="AO516" s="160">
        <f>I516+U516-T516-X516</f>
        <v/>
      </c>
    </row>
    <row r="517" ht="28" customHeight="1">
      <c r="A517" s="4" t="inlineStr">
        <is>
          <t>Lower sales</t>
        </is>
      </c>
      <c r="B517" s="4" t="inlineStr">
        <is>
          <t>NEW2</t>
        </is>
      </c>
      <c r="C517" s="160" t="n">
        <v>8</v>
      </c>
      <c r="D517" s="160">
        <f>ROUNDUP(C517/12,0)</f>
        <v/>
      </c>
      <c r="E517" s="160">
        <f>IF(AND('Sites'!$E$8*'Cases'!$F$10=1,C517&gt;='Sites'!$F$8+'Cases'!$G$10,C517&lt;='Sites'!$G$8),1,0)</f>
        <v/>
      </c>
      <c r="F517" s="160">
        <f>E517*'Assumptions'!K69</f>
        <v/>
      </c>
      <c r="G517" s="160">
        <f>V516</f>
        <v/>
      </c>
      <c r="H517" s="160">
        <f>W516</f>
        <v/>
      </c>
      <c r="I517" s="160">
        <f>X516</f>
        <v/>
      </c>
      <c r="J517" s="160">
        <f>MAX(0,'Sites'!$I$8-SUM(N510:N516))</f>
        <v/>
      </c>
      <c r="K517" s="160">
        <f>IF('Sites'!$C$8="Own sheets",MIN(ROUNDDOWN(G517/'NM Play'!$B$11,0)+F517*'NM Play'!$B$10/'NM Play'!$B$43,ROUNDDOWN(H517/'NM Play'!$B$12,0)+F517*'NM Play'!$B$10/'NM Play'!$B$44,(F517*'NM Play'!$B$10+ROUNDDOWN(G517/'NM Play'!$B$11,0)*'NM Play'!$B$43+ROUNDDOWN(H517/'NM Play'!$B$12,0)*'NM Play'!$B$44)/('NM Play'!$B$43+'NM Play'!$B$44)),ROUNDDOWN(G517/'NM Play'!$B$11,0)+F517*'NM Play'!$B$10/'NM Play'!$B$43)</f>
        <v/>
      </c>
      <c r="L517" s="160">
        <f>MIN(ROUNDDOWN(G517/'NM Play'!$B$11,0)+F517/('NM Play'!$B$43/'NM Play'!$B$15),ROUNDDOWN(H517/'NM Play'!$B$12,0)+F517/('NM Play'!$B$44/'NM Play'!$B$16),(F517+ROUNDDOWN(G517/'NM Play'!$B$11,0)*'NM Play'!$B$43/'NM Play'!$B$15+ROUNDDOWN(H517/'NM Play'!$B$12,0)*'NM Play'!$B$44/'NM Play'!$B$16)/('NM Play'!$B$43/'NM Play'!$B$15+'NM Play'!$B$44/'NM Play'!$B$16))</f>
        <v/>
      </c>
      <c r="M517" s="160">
        <f>F517*'NM Play'!$B$36</f>
        <v/>
      </c>
      <c r="N517" s="160">
        <f>ROUNDDOWN(MAX(0,MIN(J517,K517:M517)),0)</f>
        <v/>
      </c>
      <c r="O517" s="160">
        <f>ROUNDUP(MAX(0,N517*'NM Play'!$B$11-G517)/'NM Play'!$B$13,0)</f>
        <v/>
      </c>
      <c r="P517" s="160">
        <f>ROUNDUP(MAX(0,N517*'NM Play'!$B$12-H517)/'NM Play'!$B$14,0)</f>
        <v/>
      </c>
      <c r="Q517" s="160">
        <f>(O517+IF('Sites'!$C$8="Own sheets",P517,0))/'NM Play'!$B$10</f>
        <v/>
      </c>
      <c r="R517" s="160">
        <f>O517/'NM Play'!$B$15+P517/'NM Play'!$B$16</f>
        <v/>
      </c>
      <c r="S517" s="160">
        <f>MAX(Q517,R517,N517/'NM Play'!$B$36)</f>
        <v/>
      </c>
      <c r="T517" s="160">
        <f>Q517*'NM Play'!$B$10*'NM Play'!$B$21*(1+'NM Play'!$B$35)</f>
        <v/>
      </c>
      <c r="U517" s="160">
        <f>MAX(0,T517-I517)</f>
        <v/>
      </c>
      <c r="V517" s="160">
        <f>G517+O517*'NM Play'!$B$13-N517*'NM Play'!$B$11</f>
        <v/>
      </c>
      <c r="W517" s="160">
        <f>H517+P517*'NM Play'!$B$14-N517*'NM Play'!$B$12</f>
        <v/>
      </c>
      <c r="X517" s="160">
        <f>I517+U517-T517</f>
        <v/>
      </c>
      <c r="Y517" s="160">
        <f>MIN(N517,MAX(0,ROUNDDOWN('Sites'!$L$8*'Cases'!$E$10,0)-SUM(Y510:Y516)))</f>
        <v/>
      </c>
      <c r="Z517" s="160">
        <f>N517-Y517</f>
        <v/>
      </c>
      <c r="AA517" s="160">
        <f>U517*'NM Play'!$B$22</f>
        <v/>
      </c>
      <c r="AB517" s="160">
        <f>N517*SUM('NM Play'!$B$29:$B$31)</f>
        <v/>
      </c>
      <c r="AC517" s="160">
        <f>IF('Sites'!$C$8="Defy legs",P517*'NM Play'!$B$14/'NM Play'!$B$12*'NM Play'!$B$28,0)</f>
        <v/>
      </c>
      <c r="AD517" s="160">
        <f>Q517*'NM Play'!$B$23</f>
        <v/>
      </c>
      <c r="AE517" s="160">
        <f>S517*SUM('NM Play'!$B$26,'NM Play'!$B$33:$B$34)</f>
        <v/>
      </c>
      <c r="AF517" s="160">
        <f>IF('Sites'!$D$8="NM crew",S517*SUM('NM Play'!$B$24:$B$25),0)</f>
        <v/>
      </c>
      <c r="AG517" s="160">
        <f>IF('Sites'!$D$8="NM crew",S517*'NM Play'!$B$27,0)</f>
        <v/>
      </c>
      <c r="AH517" s="160">
        <f>N517*'Sites'!$Z$8*'NM Play'!$B$32</f>
        <v/>
      </c>
      <c r="AI517" s="160">
        <f>SUM(Y517:Z517)*'Sites'!$R$8</f>
        <v/>
      </c>
      <c r="AJ517" s="160">
        <f>SUM(AA517:AH517)</f>
        <v/>
      </c>
      <c r="AK517" s="160">
        <f>AJ517+(T517-U517)*'NM Play'!$B$22+MIN(G517,N517*'NM Play'!$B$11)/'NM Play'!$B$13*'NM Play'!$B$21*'NM Play'!$B$22+MIN(H517,N517*'NM Play'!$B$12)/'NM Play'!$B$14*IF('Sites'!$C$8="Own sheets",'NM Play'!$B$21*'NM Play'!$B$22,'NM Play'!$B$28*'NM Play'!$B$14/'NM Play'!$B$12)</f>
        <v/>
      </c>
      <c r="AL517" s="160">
        <f>Y517*'Assumptions'!K66</f>
        <v/>
      </c>
      <c r="AM517" s="160">
        <f>IF('Sites'!$D$8="NM crew",S517*'NM Play'!$B$37*(1+IF(AND(ISNUMBER('NM Play'!$B$25),'NM Play'!$B$25&gt;0),1,0)),"")</f>
        <v/>
      </c>
      <c r="AN517" s="160">
        <f>IF(OR('Sites'!$E$8&lt;0,'Sites'!$E$8&gt;1,'Sites'!$F$8&lt;1,'Sites'!$G$8&lt;'Sites'!$F$8,F517&lt;0,MIN('Sites'!$I$8:'Sites'!$R$8)&lt;0,'Sites'!$L$8&gt;'Sites'!$I$8,'Sites'!$M$8&gt;'Sites'!$J$8,'Sites'!$N$8&gt;'Sites'!$K$8,'Sites'!$Z$8&lt;0,'Sites'!$Z$8&gt;1,MIN('Sites'!$AA$8:'Sites'!$AC$8)&lt;0,S517&gt;F517+0.001),1,0)</f>
        <v/>
      </c>
      <c r="AO517" s="160">
        <f>I517+U517-T517-X517</f>
        <v/>
      </c>
    </row>
    <row r="518" ht="28" customHeight="1">
      <c r="A518" s="4" t="inlineStr">
        <is>
          <t>Lower sales</t>
        </is>
      </c>
      <c r="B518" s="4" t="inlineStr">
        <is>
          <t>NEW2</t>
        </is>
      </c>
      <c r="C518" s="160" t="n">
        <v>9</v>
      </c>
      <c r="D518" s="160">
        <f>ROUNDUP(C518/12,0)</f>
        <v/>
      </c>
      <c r="E518" s="160">
        <f>IF(AND('Sites'!$E$8*'Cases'!$F$10=1,C518&gt;='Sites'!$F$8+'Cases'!$G$10,C518&lt;='Sites'!$G$8),1,0)</f>
        <v/>
      </c>
      <c r="F518" s="160">
        <f>E518*'Assumptions'!L69</f>
        <v/>
      </c>
      <c r="G518" s="160">
        <f>V517</f>
        <v/>
      </c>
      <c r="H518" s="160">
        <f>W517</f>
        <v/>
      </c>
      <c r="I518" s="160">
        <f>X517</f>
        <v/>
      </c>
      <c r="J518" s="160">
        <f>MAX(0,'Sites'!$I$8-SUM(N510:N517))</f>
        <v/>
      </c>
      <c r="K518" s="160">
        <f>IF('Sites'!$C$8="Own sheets",MIN(ROUNDDOWN(G518/'NM Play'!$B$11,0)+F518*'NM Play'!$B$10/'NM Play'!$B$43,ROUNDDOWN(H518/'NM Play'!$B$12,0)+F518*'NM Play'!$B$10/'NM Play'!$B$44,(F518*'NM Play'!$B$10+ROUNDDOWN(G518/'NM Play'!$B$11,0)*'NM Play'!$B$43+ROUNDDOWN(H518/'NM Play'!$B$12,0)*'NM Play'!$B$44)/('NM Play'!$B$43+'NM Play'!$B$44)),ROUNDDOWN(G518/'NM Play'!$B$11,0)+F518*'NM Play'!$B$10/'NM Play'!$B$43)</f>
        <v/>
      </c>
      <c r="L518" s="160">
        <f>MIN(ROUNDDOWN(G518/'NM Play'!$B$11,0)+F518/('NM Play'!$B$43/'NM Play'!$B$15),ROUNDDOWN(H518/'NM Play'!$B$12,0)+F518/('NM Play'!$B$44/'NM Play'!$B$16),(F518+ROUNDDOWN(G518/'NM Play'!$B$11,0)*'NM Play'!$B$43/'NM Play'!$B$15+ROUNDDOWN(H518/'NM Play'!$B$12,0)*'NM Play'!$B$44/'NM Play'!$B$16)/('NM Play'!$B$43/'NM Play'!$B$15+'NM Play'!$B$44/'NM Play'!$B$16))</f>
        <v/>
      </c>
      <c r="M518" s="160">
        <f>F518*'NM Play'!$B$36</f>
        <v/>
      </c>
      <c r="N518" s="160">
        <f>ROUNDDOWN(MAX(0,MIN(J518,K518:M518)),0)</f>
        <v/>
      </c>
      <c r="O518" s="160">
        <f>ROUNDUP(MAX(0,N518*'NM Play'!$B$11-G518)/'NM Play'!$B$13,0)</f>
        <v/>
      </c>
      <c r="P518" s="160">
        <f>ROUNDUP(MAX(0,N518*'NM Play'!$B$12-H518)/'NM Play'!$B$14,0)</f>
        <v/>
      </c>
      <c r="Q518" s="160">
        <f>(O518+IF('Sites'!$C$8="Own sheets",P518,0))/'NM Play'!$B$10</f>
        <v/>
      </c>
      <c r="R518" s="160">
        <f>O518/'NM Play'!$B$15+P518/'NM Play'!$B$16</f>
        <v/>
      </c>
      <c r="S518" s="160">
        <f>MAX(Q518,R518,N518/'NM Play'!$B$36)</f>
        <v/>
      </c>
      <c r="T518" s="160">
        <f>Q518*'NM Play'!$B$10*'NM Play'!$B$21*(1+'NM Play'!$B$35)</f>
        <v/>
      </c>
      <c r="U518" s="160">
        <f>MAX(0,T518-I518)</f>
        <v/>
      </c>
      <c r="V518" s="160">
        <f>G518+O518*'NM Play'!$B$13-N518*'NM Play'!$B$11</f>
        <v/>
      </c>
      <c r="W518" s="160">
        <f>H518+P518*'NM Play'!$B$14-N518*'NM Play'!$B$12</f>
        <v/>
      </c>
      <c r="X518" s="160">
        <f>I518+U518-T518</f>
        <v/>
      </c>
      <c r="Y518" s="160">
        <f>MIN(N518,MAX(0,ROUNDDOWN('Sites'!$L$8*'Cases'!$E$10,0)-SUM(Y510:Y517)))</f>
        <v/>
      </c>
      <c r="Z518" s="160">
        <f>N518-Y518</f>
        <v/>
      </c>
      <c r="AA518" s="160">
        <f>U518*'NM Play'!$B$22</f>
        <v/>
      </c>
      <c r="AB518" s="160">
        <f>N518*SUM('NM Play'!$B$29:$B$31)</f>
        <v/>
      </c>
      <c r="AC518" s="160">
        <f>IF('Sites'!$C$8="Defy legs",P518*'NM Play'!$B$14/'NM Play'!$B$12*'NM Play'!$B$28,0)</f>
        <v/>
      </c>
      <c r="AD518" s="160">
        <f>Q518*'NM Play'!$B$23</f>
        <v/>
      </c>
      <c r="AE518" s="160">
        <f>S518*SUM('NM Play'!$B$26,'NM Play'!$B$33:$B$34)</f>
        <v/>
      </c>
      <c r="AF518" s="160">
        <f>IF('Sites'!$D$8="NM crew",S518*SUM('NM Play'!$B$24:$B$25),0)</f>
        <v/>
      </c>
      <c r="AG518" s="160">
        <f>IF('Sites'!$D$8="NM crew",S518*'NM Play'!$B$27,0)</f>
        <v/>
      </c>
      <c r="AH518" s="160">
        <f>N518*'Sites'!$Z$8*'NM Play'!$B$32</f>
        <v/>
      </c>
      <c r="AI518" s="160">
        <f>SUM(Y518:Z518)*'Sites'!$R$8</f>
        <v/>
      </c>
      <c r="AJ518" s="160">
        <f>SUM(AA518:AH518)</f>
        <v/>
      </c>
      <c r="AK518" s="160">
        <f>AJ518+(T518-U518)*'NM Play'!$B$22+MIN(G518,N518*'NM Play'!$B$11)/'NM Play'!$B$13*'NM Play'!$B$21*'NM Play'!$B$22+MIN(H518,N518*'NM Play'!$B$12)/'NM Play'!$B$14*IF('Sites'!$C$8="Own sheets",'NM Play'!$B$21*'NM Play'!$B$22,'NM Play'!$B$28*'NM Play'!$B$14/'NM Play'!$B$12)</f>
        <v/>
      </c>
      <c r="AL518" s="160">
        <f>Y518*'Assumptions'!L66</f>
        <v/>
      </c>
      <c r="AM518" s="160">
        <f>IF('Sites'!$D$8="NM crew",S518*'NM Play'!$B$37*(1+IF(AND(ISNUMBER('NM Play'!$B$25),'NM Play'!$B$25&gt;0),1,0)),"")</f>
        <v/>
      </c>
      <c r="AN518" s="160">
        <f>IF(OR('Sites'!$E$8&lt;0,'Sites'!$E$8&gt;1,'Sites'!$F$8&lt;1,'Sites'!$G$8&lt;'Sites'!$F$8,F518&lt;0,MIN('Sites'!$I$8:'Sites'!$R$8)&lt;0,'Sites'!$L$8&gt;'Sites'!$I$8,'Sites'!$M$8&gt;'Sites'!$J$8,'Sites'!$N$8&gt;'Sites'!$K$8,'Sites'!$Z$8&lt;0,'Sites'!$Z$8&gt;1,MIN('Sites'!$AA$8:'Sites'!$AC$8)&lt;0,S518&gt;F518+0.001),1,0)</f>
        <v/>
      </c>
      <c r="AO518" s="160">
        <f>I518+U518-T518-X518</f>
        <v/>
      </c>
    </row>
    <row r="519" ht="28" customHeight="1">
      <c r="A519" s="4" t="inlineStr">
        <is>
          <t>Lower sales</t>
        </is>
      </c>
      <c r="B519" s="4" t="inlineStr">
        <is>
          <t>NEW2</t>
        </is>
      </c>
      <c r="C519" s="160" t="n">
        <v>10</v>
      </c>
      <c r="D519" s="160">
        <f>ROUNDUP(C519/12,0)</f>
        <v/>
      </c>
      <c r="E519" s="160">
        <f>IF(AND('Sites'!$E$8*'Cases'!$F$10=1,C519&gt;='Sites'!$F$8+'Cases'!$G$10,C519&lt;='Sites'!$G$8),1,0)</f>
        <v/>
      </c>
      <c r="F519" s="160">
        <f>E519*'Assumptions'!M69</f>
        <v/>
      </c>
      <c r="G519" s="160">
        <f>V518</f>
        <v/>
      </c>
      <c r="H519" s="160">
        <f>W518</f>
        <v/>
      </c>
      <c r="I519" s="160">
        <f>X518</f>
        <v/>
      </c>
      <c r="J519" s="160">
        <f>MAX(0,'Sites'!$I$8-SUM(N510:N518))</f>
        <v/>
      </c>
      <c r="K519" s="160">
        <f>IF('Sites'!$C$8="Own sheets",MIN(ROUNDDOWN(G519/'NM Play'!$B$11,0)+F519*'NM Play'!$B$10/'NM Play'!$B$43,ROUNDDOWN(H519/'NM Play'!$B$12,0)+F519*'NM Play'!$B$10/'NM Play'!$B$44,(F519*'NM Play'!$B$10+ROUNDDOWN(G519/'NM Play'!$B$11,0)*'NM Play'!$B$43+ROUNDDOWN(H519/'NM Play'!$B$12,0)*'NM Play'!$B$44)/('NM Play'!$B$43+'NM Play'!$B$44)),ROUNDDOWN(G519/'NM Play'!$B$11,0)+F519*'NM Play'!$B$10/'NM Play'!$B$43)</f>
        <v/>
      </c>
      <c r="L519" s="160">
        <f>MIN(ROUNDDOWN(G519/'NM Play'!$B$11,0)+F519/('NM Play'!$B$43/'NM Play'!$B$15),ROUNDDOWN(H519/'NM Play'!$B$12,0)+F519/('NM Play'!$B$44/'NM Play'!$B$16),(F519+ROUNDDOWN(G519/'NM Play'!$B$11,0)*'NM Play'!$B$43/'NM Play'!$B$15+ROUNDDOWN(H519/'NM Play'!$B$12,0)*'NM Play'!$B$44/'NM Play'!$B$16)/('NM Play'!$B$43/'NM Play'!$B$15+'NM Play'!$B$44/'NM Play'!$B$16))</f>
        <v/>
      </c>
      <c r="M519" s="160">
        <f>F519*'NM Play'!$B$36</f>
        <v/>
      </c>
      <c r="N519" s="160">
        <f>ROUNDDOWN(MAX(0,MIN(J519,K519:M519)),0)</f>
        <v/>
      </c>
      <c r="O519" s="160">
        <f>ROUNDUP(MAX(0,N519*'NM Play'!$B$11-G519)/'NM Play'!$B$13,0)</f>
        <v/>
      </c>
      <c r="P519" s="160">
        <f>ROUNDUP(MAX(0,N519*'NM Play'!$B$12-H519)/'NM Play'!$B$14,0)</f>
        <v/>
      </c>
      <c r="Q519" s="160">
        <f>(O519+IF('Sites'!$C$8="Own sheets",P519,0))/'NM Play'!$B$10</f>
        <v/>
      </c>
      <c r="R519" s="160">
        <f>O519/'NM Play'!$B$15+P519/'NM Play'!$B$16</f>
        <v/>
      </c>
      <c r="S519" s="160">
        <f>MAX(Q519,R519,N519/'NM Play'!$B$36)</f>
        <v/>
      </c>
      <c r="T519" s="160">
        <f>Q519*'NM Play'!$B$10*'NM Play'!$B$21*(1+'NM Play'!$B$35)</f>
        <v/>
      </c>
      <c r="U519" s="160">
        <f>MAX(0,T519-I519)</f>
        <v/>
      </c>
      <c r="V519" s="160">
        <f>G519+O519*'NM Play'!$B$13-N519*'NM Play'!$B$11</f>
        <v/>
      </c>
      <c r="W519" s="160">
        <f>H519+P519*'NM Play'!$B$14-N519*'NM Play'!$B$12</f>
        <v/>
      </c>
      <c r="X519" s="160">
        <f>I519+U519-T519</f>
        <v/>
      </c>
      <c r="Y519" s="160">
        <f>MIN(N519,MAX(0,ROUNDDOWN('Sites'!$L$8*'Cases'!$E$10,0)-SUM(Y510:Y518)))</f>
        <v/>
      </c>
      <c r="Z519" s="160">
        <f>N519-Y519</f>
        <v/>
      </c>
      <c r="AA519" s="160">
        <f>U519*'NM Play'!$B$22</f>
        <v/>
      </c>
      <c r="AB519" s="160">
        <f>N519*SUM('NM Play'!$B$29:$B$31)</f>
        <v/>
      </c>
      <c r="AC519" s="160">
        <f>IF('Sites'!$C$8="Defy legs",P519*'NM Play'!$B$14/'NM Play'!$B$12*'NM Play'!$B$28,0)</f>
        <v/>
      </c>
      <c r="AD519" s="160">
        <f>Q519*'NM Play'!$B$23</f>
        <v/>
      </c>
      <c r="AE519" s="160">
        <f>S519*SUM('NM Play'!$B$26,'NM Play'!$B$33:$B$34)</f>
        <v/>
      </c>
      <c r="AF519" s="160">
        <f>IF('Sites'!$D$8="NM crew",S519*SUM('NM Play'!$B$24:$B$25),0)</f>
        <v/>
      </c>
      <c r="AG519" s="160">
        <f>IF('Sites'!$D$8="NM crew",S519*'NM Play'!$B$27,0)</f>
        <v/>
      </c>
      <c r="AH519" s="160">
        <f>N519*'Sites'!$Z$8*'NM Play'!$B$32</f>
        <v/>
      </c>
      <c r="AI519" s="160">
        <f>SUM(Y519:Z519)*'Sites'!$R$8</f>
        <v/>
      </c>
      <c r="AJ519" s="160">
        <f>SUM(AA519:AH519)</f>
        <v/>
      </c>
      <c r="AK519" s="160">
        <f>AJ519+(T519-U519)*'NM Play'!$B$22+MIN(G519,N519*'NM Play'!$B$11)/'NM Play'!$B$13*'NM Play'!$B$21*'NM Play'!$B$22+MIN(H519,N519*'NM Play'!$B$12)/'NM Play'!$B$14*IF('Sites'!$C$8="Own sheets",'NM Play'!$B$21*'NM Play'!$B$22,'NM Play'!$B$28*'NM Play'!$B$14/'NM Play'!$B$12)</f>
        <v/>
      </c>
      <c r="AL519" s="160">
        <f>Y519*'Assumptions'!M66</f>
        <v/>
      </c>
      <c r="AM519" s="160">
        <f>IF('Sites'!$D$8="NM crew",S519*'NM Play'!$B$37*(1+IF(AND(ISNUMBER('NM Play'!$B$25),'NM Play'!$B$25&gt;0),1,0)),"")</f>
        <v/>
      </c>
      <c r="AN519" s="160">
        <f>IF(OR('Sites'!$E$8&lt;0,'Sites'!$E$8&gt;1,'Sites'!$F$8&lt;1,'Sites'!$G$8&lt;'Sites'!$F$8,F519&lt;0,MIN('Sites'!$I$8:'Sites'!$R$8)&lt;0,'Sites'!$L$8&gt;'Sites'!$I$8,'Sites'!$M$8&gt;'Sites'!$J$8,'Sites'!$N$8&gt;'Sites'!$K$8,'Sites'!$Z$8&lt;0,'Sites'!$Z$8&gt;1,MIN('Sites'!$AA$8:'Sites'!$AC$8)&lt;0,S519&gt;F519+0.001),1,0)</f>
        <v/>
      </c>
      <c r="AO519" s="160">
        <f>I519+U519-T519-X519</f>
        <v/>
      </c>
    </row>
    <row r="520" ht="28" customHeight="1">
      <c r="A520" s="4" t="inlineStr">
        <is>
          <t>Lower sales</t>
        </is>
      </c>
      <c r="B520" s="4" t="inlineStr">
        <is>
          <t>NEW2</t>
        </is>
      </c>
      <c r="C520" s="160" t="n">
        <v>11</v>
      </c>
      <c r="D520" s="160">
        <f>ROUNDUP(C520/12,0)</f>
        <v/>
      </c>
      <c r="E520" s="160">
        <f>IF(AND('Sites'!$E$8*'Cases'!$F$10=1,C520&gt;='Sites'!$F$8+'Cases'!$G$10,C520&lt;='Sites'!$G$8),1,0)</f>
        <v/>
      </c>
      <c r="F520" s="160">
        <f>E520*'Assumptions'!N69</f>
        <v/>
      </c>
      <c r="G520" s="160">
        <f>V519</f>
        <v/>
      </c>
      <c r="H520" s="160">
        <f>W519</f>
        <v/>
      </c>
      <c r="I520" s="160">
        <f>X519</f>
        <v/>
      </c>
      <c r="J520" s="160">
        <f>MAX(0,'Sites'!$I$8-SUM(N510:N519))</f>
        <v/>
      </c>
      <c r="K520" s="160">
        <f>IF('Sites'!$C$8="Own sheets",MIN(ROUNDDOWN(G520/'NM Play'!$B$11,0)+F520*'NM Play'!$B$10/'NM Play'!$B$43,ROUNDDOWN(H520/'NM Play'!$B$12,0)+F520*'NM Play'!$B$10/'NM Play'!$B$44,(F520*'NM Play'!$B$10+ROUNDDOWN(G520/'NM Play'!$B$11,0)*'NM Play'!$B$43+ROUNDDOWN(H520/'NM Play'!$B$12,0)*'NM Play'!$B$44)/('NM Play'!$B$43+'NM Play'!$B$44)),ROUNDDOWN(G520/'NM Play'!$B$11,0)+F520*'NM Play'!$B$10/'NM Play'!$B$43)</f>
        <v/>
      </c>
      <c r="L520" s="160">
        <f>MIN(ROUNDDOWN(G520/'NM Play'!$B$11,0)+F520/('NM Play'!$B$43/'NM Play'!$B$15),ROUNDDOWN(H520/'NM Play'!$B$12,0)+F520/('NM Play'!$B$44/'NM Play'!$B$16),(F520+ROUNDDOWN(G520/'NM Play'!$B$11,0)*'NM Play'!$B$43/'NM Play'!$B$15+ROUNDDOWN(H520/'NM Play'!$B$12,0)*'NM Play'!$B$44/'NM Play'!$B$16)/('NM Play'!$B$43/'NM Play'!$B$15+'NM Play'!$B$44/'NM Play'!$B$16))</f>
        <v/>
      </c>
      <c r="M520" s="160">
        <f>F520*'NM Play'!$B$36</f>
        <v/>
      </c>
      <c r="N520" s="160">
        <f>ROUNDDOWN(MAX(0,MIN(J520,K520:M520)),0)</f>
        <v/>
      </c>
      <c r="O520" s="160">
        <f>ROUNDUP(MAX(0,N520*'NM Play'!$B$11-G520)/'NM Play'!$B$13,0)</f>
        <v/>
      </c>
      <c r="P520" s="160">
        <f>ROUNDUP(MAX(0,N520*'NM Play'!$B$12-H520)/'NM Play'!$B$14,0)</f>
        <v/>
      </c>
      <c r="Q520" s="160">
        <f>(O520+IF('Sites'!$C$8="Own sheets",P520,0))/'NM Play'!$B$10</f>
        <v/>
      </c>
      <c r="R520" s="160">
        <f>O520/'NM Play'!$B$15+P520/'NM Play'!$B$16</f>
        <v/>
      </c>
      <c r="S520" s="160">
        <f>MAX(Q520,R520,N520/'NM Play'!$B$36)</f>
        <v/>
      </c>
      <c r="T520" s="160">
        <f>Q520*'NM Play'!$B$10*'NM Play'!$B$21*(1+'NM Play'!$B$35)</f>
        <v/>
      </c>
      <c r="U520" s="160">
        <f>MAX(0,T520-I520)</f>
        <v/>
      </c>
      <c r="V520" s="160">
        <f>G520+O520*'NM Play'!$B$13-N520*'NM Play'!$B$11</f>
        <v/>
      </c>
      <c r="W520" s="160">
        <f>H520+P520*'NM Play'!$B$14-N520*'NM Play'!$B$12</f>
        <v/>
      </c>
      <c r="X520" s="160">
        <f>I520+U520-T520</f>
        <v/>
      </c>
      <c r="Y520" s="160">
        <f>MIN(N520,MAX(0,ROUNDDOWN('Sites'!$L$8*'Cases'!$E$10,0)-SUM(Y510:Y519)))</f>
        <v/>
      </c>
      <c r="Z520" s="160">
        <f>N520-Y520</f>
        <v/>
      </c>
      <c r="AA520" s="160">
        <f>U520*'NM Play'!$B$22</f>
        <v/>
      </c>
      <c r="AB520" s="160">
        <f>N520*SUM('NM Play'!$B$29:$B$31)</f>
        <v/>
      </c>
      <c r="AC520" s="160">
        <f>IF('Sites'!$C$8="Defy legs",P520*'NM Play'!$B$14/'NM Play'!$B$12*'NM Play'!$B$28,0)</f>
        <v/>
      </c>
      <c r="AD520" s="160">
        <f>Q520*'NM Play'!$B$23</f>
        <v/>
      </c>
      <c r="AE520" s="160">
        <f>S520*SUM('NM Play'!$B$26,'NM Play'!$B$33:$B$34)</f>
        <v/>
      </c>
      <c r="AF520" s="160">
        <f>IF('Sites'!$D$8="NM crew",S520*SUM('NM Play'!$B$24:$B$25),0)</f>
        <v/>
      </c>
      <c r="AG520" s="160">
        <f>IF('Sites'!$D$8="NM crew",S520*'NM Play'!$B$27,0)</f>
        <v/>
      </c>
      <c r="AH520" s="160">
        <f>N520*'Sites'!$Z$8*'NM Play'!$B$32</f>
        <v/>
      </c>
      <c r="AI520" s="160">
        <f>SUM(Y520:Z520)*'Sites'!$R$8</f>
        <v/>
      </c>
      <c r="AJ520" s="160">
        <f>SUM(AA520:AH520)</f>
        <v/>
      </c>
      <c r="AK520" s="160">
        <f>AJ520+(T520-U520)*'NM Play'!$B$22+MIN(G520,N520*'NM Play'!$B$11)/'NM Play'!$B$13*'NM Play'!$B$21*'NM Play'!$B$22+MIN(H520,N520*'NM Play'!$B$12)/'NM Play'!$B$14*IF('Sites'!$C$8="Own sheets",'NM Play'!$B$21*'NM Play'!$B$22,'NM Play'!$B$28*'NM Play'!$B$14/'NM Play'!$B$12)</f>
        <v/>
      </c>
      <c r="AL520" s="160">
        <f>Y520*'Assumptions'!N66</f>
        <v/>
      </c>
      <c r="AM520" s="160">
        <f>IF('Sites'!$D$8="NM crew",S520*'NM Play'!$B$37*(1+IF(AND(ISNUMBER('NM Play'!$B$25),'NM Play'!$B$25&gt;0),1,0)),"")</f>
        <v/>
      </c>
      <c r="AN520" s="160">
        <f>IF(OR('Sites'!$E$8&lt;0,'Sites'!$E$8&gt;1,'Sites'!$F$8&lt;1,'Sites'!$G$8&lt;'Sites'!$F$8,F520&lt;0,MIN('Sites'!$I$8:'Sites'!$R$8)&lt;0,'Sites'!$L$8&gt;'Sites'!$I$8,'Sites'!$M$8&gt;'Sites'!$J$8,'Sites'!$N$8&gt;'Sites'!$K$8,'Sites'!$Z$8&lt;0,'Sites'!$Z$8&gt;1,MIN('Sites'!$AA$8:'Sites'!$AC$8)&lt;0,S520&gt;F520+0.001),1,0)</f>
        <v/>
      </c>
      <c r="AO520" s="160">
        <f>I520+U520-T520-X520</f>
        <v/>
      </c>
    </row>
    <row r="521" ht="28" customHeight="1">
      <c r="A521" s="4" t="inlineStr">
        <is>
          <t>Lower sales</t>
        </is>
      </c>
      <c r="B521" s="4" t="inlineStr">
        <is>
          <t>NEW2</t>
        </is>
      </c>
      <c r="C521" s="160" t="n">
        <v>12</v>
      </c>
      <c r="D521" s="160">
        <f>ROUNDUP(C521/12,0)</f>
        <v/>
      </c>
      <c r="E521" s="160">
        <f>IF(AND('Sites'!$E$8*'Cases'!$F$10=1,C521&gt;='Sites'!$F$8+'Cases'!$G$10,C521&lt;='Sites'!$G$8),1,0)</f>
        <v/>
      </c>
      <c r="F521" s="160">
        <f>E521*'Assumptions'!O69</f>
        <v/>
      </c>
      <c r="G521" s="160">
        <f>V520</f>
        <v/>
      </c>
      <c r="H521" s="160">
        <f>W520</f>
        <v/>
      </c>
      <c r="I521" s="160">
        <f>X520</f>
        <v/>
      </c>
      <c r="J521" s="160">
        <f>MAX(0,'Sites'!$I$8-SUM(N510:N520))</f>
        <v/>
      </c>
      <c r="K521" s="160">
        <f>IF('Sites'!$C$8="Own sheets",MIN(ROUNDDOWN(G521/'NM Play'!$B$11,0)+F521*'NM Play'!$B$10/'NM Play'!$B$43,ROUNDDOWN(H521/'NM Play'!$B$12,0)+F521*'NM Play'!$B$10/'NM Play'!$B$44,(F521*'NM Play'!$B$10+ROUNDDOWN(G521/'NM Play'!$B$11,0)*'NM Play'!$B$43+ROUNDDOWN(H521/'NM Play'!$B$12,0)*'NM Play'!$B$44)/('NM Play'!$B$43+'NM Play'!$B$44)),ROUNDDOWN(G521/'NM Play'!$B$11,0)+F521*'NM Play'!$B$10/'NM Play'!$B$43)</f>
        <v/>
      </c>
      <c r="L521" s="160">
        <f>MIN(ROUNDDOWN(G521/'NM Play'!$B$11,0)+F521/('NM Play'!$B$43/'NM Play'!$B$15),ROUNDDOWN(H521/'NM Play'!$B$12,0)+F521/('NM Play'!$B$44/'NM Play'!$B$16),(F521+ROUNDDOWN(G521/'NM Play'!$B$11,0)*'NM Play'!$B$43/'NM Play'!$B$15+ROUNDDOWN(H521/'NM Play'!$B$12,0)*'NM Play'!$B$44/'NM Play'!$B$16)/('NM Play'!$B$43/'NM Play'!$B$15+'NM Play'!$B$44/'NM Play'!$B$16))</f>
        <v/>
      </c>
      <c r="M521" s="160">
        <f>F521*'NM Play'!$B$36</f>
        <v/>
      </c>
      <c r="N521" s="160">
        <f>ROUNDDOWN(MAX(0,MIN(J521,K521:M521)),0)</f>
        <v/>
      </c>
      <c r="O521" s="160">
        <f>ROUNDUP(MAX(0,N521*'NM Play'!$B$11-G521)/'NM Play'!$B$13,0)</f>
        <v/>
      </c>
      <c r="P521" s="160">
        <f>ROUNDUP(MAX(0,N521*'NM Play'!$B$12-H521)/'NM Play'!$B$14,0)</f>
        <v/>
      </c>
      <c r="Q521" s="160">
        <f>(O521+IF('Sites'!$C$8="Own sheets",P521,0))/'NM Play'!$B$10</f>
        <v/>
      </c>
      <c r="R521" s="160">
        <f>O521/'NM Play'!$B$15+P521/'NM Play'!$B$16</f>
        <v/>
      </c>
      <c r="S521" s="160">
        <f>MAX(Q521,R521,N521/'NM Play'!$B$36)</f>
        <v/>
      </c>
      <c r="T521" s="160">
        <f>Q521*'NM Play'!$B$10*'NM Play'!$B$21*(1+'NM Play'!$B$35)</f>
        <v/>
      </c>
      <c r="U521" s="160">
        <f>MAX(0,T521-I521)</f>
        <v/>
      </c>
      <c r="V521" s="160">
        <f>G521+O521*'NM Play'!$B$13-N521*'NM Play'!$B$11</f>
        <v/>
      </c>
      <c r="W521" s="160">
        <f>H521+P521*'NM Play'!$B$14-N521*'NM Play'!$B$12</f>
        <v/>
      </c>
      <c r="X521" s="160">
        <f>I521+U521-T521</f>
        <v/>
      </c>
      <c r="Y521" s="160">
        <f>MIN(N521,MAX(0,ROUNDDOWN('Sites'!$L$8*'Cases'!$E$10,0)-SUM(Y510:Y520)))</f>
        <v/>
      </c>
      <c r="Z521" s="160">
        <f>N521-Y521</f>
        <v/>
      </c>
      <c r="AA521" s="160">
        <f>U521*'NM Play'!$B$22</f>
        <v/>
      </c>
      <c r="AB521" s="160">
        <f>N521*SUM('NM Play'!$B$29:$B$31)</f>
        <v/>
      </c>
      <c r="AC521" s="160">
        <f>IF('Sites'!$C$8="Defy legs",P521*'NM Play'!$B$14/'NM Play'!$B$12*'NM Play'!$B$28,0)</f>
        <v/>
      </c>
      <c r="AD521" s="160">
        <f>Q521*'NM Play'!$B$23</f>
        <v/>
      </c>
      <c r="AE521" s="160">
        <f>S521*SUM('NM Play'!$B$26,'NM Play'!$B$33:$B$34)</f>
        <v/>
      </c>
      <c r="AF521" s="160">
        <f>IF('Sites'!$D$8="NM crew",S521*SUM('NM Play'!$B$24:$B$25),0)</f>
        <v/>
      </c>
      <c r="AG521" s="160">
        <f>IF('Sites'!$D$8="NM crew",S521*'NM Play'!$B$27,0)</f>
        <v/>
      </c>
      <c r="AH521" s="160">
        <f>N521*'Sites'!$Z$8*'NM Play'!$B$32</f>
        <v/>
      </c>
      <c r="AI521" s="160">
        <f>SUM(Y521:Z521)*'Sites'!$R$8</f>
        <v/>
      </c>
      <c r="AJ521" s="160">
        <f>SUM(AA521:AH521)</f>
        <v/>
      </c>
      <c r="AK521" s="160">
        <f>AJ521+(T521-U521)*'NM Play'!$B$22+MIN(G521,N521*'NM Play'!$B$11)/'NM Play'!$B$13*'NM Play'!$B$21*'NM Play'!$B$22+MIN(H521,N521*'NM Play'!$B$12)/'NM Play'!$B$14*IF('Sites'!$C$8="Own sheets",'NM Play'!$B$21*'NM Play'!$B$22,'NM Play'!$B$28*'NM Play'!$B$14/'NM Play'!$B$12)</f>
        <v/>
      </c>
      <c r="AL521" s="160">
        <f>Y521*'Assumptions'!O66</f>
        <v/>
      </c>
      <c r="AM521" s="160">
        <f>IF('Sites'!$D$8="NM crew",S521*'NM Play'!$B$37*(1+IF(AND(ISNUMBER('NM Play'!$B$25),'NM Play'!$B$25&gt;0),1,0)),"")</f>
        <v/>
      </c>
      <c r="AN521" s="160">
        <f>IF(OR('Sites'!$E$8&lt;0,'Sites'!$E$8&gt;1,'Sites'!$F$8&lt;1,'Sites'!$G$8&lt;'Sites'!$F$8,F521&lt;0,MIN('Sites'!$I$8:'Sites'!$R$8)&lt;0,'Sites'!$L$8&gt;'Sites'!$I$8,'Sites'!$M$8&gt;'Sites'!$J$8,'Sites'!$N$8&gt;'Sites'!$K$8,'Sites'!$Z$8&lt;0,'Sites'!$Z$8&gt;1,MIN('Sites'!$AA$8:'Sites'!$AC$8)&lt;0,S521&gt;F521+0.001),1,0)</f>
        <v/>
      </c>
      <c r="AO521" s="160">
        <f>I521+U521-T521-X521</f>
        <v/>
      </c>
    </row>
    <row r="522" ht="28" customHeight="1">
      <c r="A522" s="4" t="inlineStr">
        <is>
          <t>Lower sales</t>
        </is>
      </c>
      <c r="B522" s="4" t="inlineStr">
        <is>
          <t>NEW2</t>
        </is>
      </c>
      <c r="C522" s="160" t="n">
        <v>13</v>
      </c>
      <c r="D522" s="160">
        <f>ROUNDUP(C522/12,0)</f>
        <v/>
      </c>
      <c r="E522" s="160">
        <f>IF(AND('Sites'!$E$8*'Cases'!$F$10=1,C522&gt;='Sites'!$F$8+'Cases'!$G$10,C522&lt;='Sites'!$G$8),1,0)</f>
        <v/>
      </c>
      <c r="F522" s="160">
        <f>E522*'Assumptions'!P69</f>
        <v/>
      </c>
      <c r="G522" s="160">
        <f>V521</f>
        <v/>
      </c>
      <c r="H522" s="160">
        <f>W521</f>
        <v/>
      </c>
      <c r="I522" s="160">
        <f>X521</f>
        <v/>
      </c>
      <c r="J522" s="160">
        <f>MAX(0,'Sites'!$J$8-0)</f>
        <v/>
      </c>
      <c r="K522" s="160">
        <f>IF('Sites'!$C$8="Own sheets",MIN(ROUNDDOWN(G522/'NM Play'!$B$11,0)+F522*'NM Play'!$B$10/'NM Play'!$B$43,ROUNDDOWN(H522/'NM Play'!$B$12,0)+F522*'NM Play'!$B$10/'NM Play'!$B$44,(F522*'NM Play'!$B$10+ROUNDDOWN(G522/'NM Play'!$B$11,0)*'NM Play'!$B$43+ROUNDDOWN(H522/'NM Play'!$B$12,0)*'NM Play'!$B$44)/('NM Play'!$B$43+'NM Play'!$B$44)),ROUNDDOWN(G522/'NM Play'!$B$11,0)+F522*'NM Play'!$B$10/'NM Play'!$B$43)</f>
        <v/>
      </c>
      <c r="L522" s="160">
        <f>MIN(ROUNDDOWN(G522/'NM Play'!$B$11,0)+F522/('NM Play'!$B$43/'NM Play'!$B$15),ROUNDDOWN(H522/'NM Play'!$B$12,0)+F522/('NM Play'!$B$44/'NM Play'!$B$16),(F522+ROUNDDOWN(G522/'NM Play'!$B$11,0)*'NM Play'!$B$43/'NM Play'!$B$15+ROUNDDOWN(H522/'NM Play'!$B$12,0)*'NM Play'!$B$44/'NM Play'!$B$16)/('NM Play'!$B$43/'NM Play'!$B$15+'NM Play'!$B$44/'NM Play'!$B$16))</f>
        <v/>
      </c>
      <c r="M522" s="160">
        <f>F522*'NM Play'!$B$36</f>
        <v/>
      </c>
      <c r="N522" s="160">
        <f>ROUNDDOWN(MAX(0,MIN(J522,K522:M522)),0)</f>
        <v/>
      </c>
      <c r="O522" s="160">
        <f>ROUNDUP(MAX(0,N522*'NM Play'!$B$11-G522)/'NM Play'!$B$13,0)</f>
        <v/>
      </c>
      <c r="P522" s="160">
        <f>ROUNDUP(MAX(0,N522*'NM Play'!$B$12-H522)/'NM Play'!$B$14,0)</f>
        <v/>
      </c>
      <c r="Q522" s="160">
        <f>(O522+IF('Sites'!$C$8="Own sheets",P522,0))/'NM Play'!$B$10</f>
        <v/>
      </c>
      <c r="R522" s="160">
        <f>O522/'NM Play'!$B$15+P522/'NM Play'!$B$16</f>
        <v/>
      </c>
      <c r="S522" s="160">
        <f>MAX(Q522,R522,N522/'NM Play'!$B$36)</f>
        <v/>
      </c>
      <c r="T522" s="160">
        <f>Q522*'NM Play'!$B$10*'NM Play'!$B$21*(1+'NM Play'!$B$35)</f>
        <v/>
      </c>
      <c r="U522" s="160">
        <f>MAX(0,T522-I522)</f>
        <v/>
      </c>
      <c r="V522" s="160">
        <f>G522+O522*'NM Play'!$B$13-N522*'NM Play'!$B$11</f>
        <v/>
      </c>
      <c r="W522" s="160">
        <f>H522+P522*'NM Play'!$B$14-N522*'NM Play'!$B$12</f>
        <v/>
      </c>
      <c r="X522" s="160">
        <f>I522+U522-T522</f>
        <v/>
      </c>
      <c r="Y522" s="160">
        <f>MIN(N522,MAX(0,ROUNDDOWN('Sites'!$M$8*'Cases'!$E$10,0)-0))</f>
        <v/>
      </c>
      <c r="Z522" s="160">
        <f>N522-Y522</f>
        <v/>
      </c>
      <c r="AA522" s="160">
        <f>U522*'NM Play'!$B$22</f>
        <v/>
      </c>
      <c r="AB522" s="160">
        <f>N522*SUM('NM Play'!$B$29:$B$31)</f>
        <v/>
      </c>
      <c r="AC522" s="160">
        <f>IF('Sites'!$C$8="Defy legs",P522*'NM Play'!$B$14/'NM Play'!$B$12*'NM Play'!$B$28,0)</f>
        <v/>
      </c>
      <c r="AD522" s="160">
        <f>Q522*'NM Play'!$B$23</f>
        <v/>
      </c>
      <c r="AE522" s="160">
        <f>S522*SUM('NM Play'!$B$26,'NM Play'!$B$33:$B$34)</f>
        <v/>
      </c>
      <c r="AF522" s="160">
        <f>IF('Sites'!$D$8="NM crew",S522*SUM('NM Play'!$B$24:$B$25),0)</f>
        <v/>
      </c>
      <c r="AG522" s="160">
        <f>IF('Sites'!$D$8="NM crew",S522*'NM Play'!$B$27,0)</f>
        <v/>
      </c>
      <c r="AH522" s="160">
        <f>N522*'Sites'!$Z$8*'NM Play'!$B$32</f>
        <v/>
      </c>
      <c r="AI522" s="160">
        <f>SUM(Y522:Z522)*'Sites'!$R$8</f>
        <v/>
      </c>
      <c r="AJ522" s="160">
        <f>SUM(AA522:AH522)</f>
        <v/>
      </c>
      <c r="AK522" s="160">
        <f>AJ522+(T522-U522)*'NM Play'!$B$22+MIN(G522,N522*'NM Play'!$B$11)/'NM Play'!$B$13*'NM Play'!$B$21*'NM Play'!$B$22+MIN(H522,N522*'NM Play'!$B$12)/'NM Play'!$B$14*IF('Sites'!$C$8="Own sheets",'NM Play'!$B$21*'NM Play'!$B$22,'NM Play'!$B$28*'NM Play'!$B$14/'NM Play'!$B$12)</f>
        <v/>
      </c>
      <c r="AL522" s="160">
        <f>Y522*'Assumptions'!P66</f>
        <v/>
      </c>
      <c r="AM522" s="160">
        <f>IF('Sites'!$D$8="NM crew",S522*'NM Play'!$B$37*(1+IF(AND(ISNUMBER('NM Play'!$B$25),'NM Play'!$B$25&gt;0),1,0)),"")</f>
        <v/>
      </c>
      <c r="AN522" s="160">
        <f>IF(OR('Sites'!$E$8&lt;0,'Sites'!$E$8&gt;1,'Sites'!$F$8&lt;1,'Sites'!$G$8&lt;'Sites'!$F$8,F522&lt;0,MIN('Sites'!$I$8:'Sites'!$R$8)&lt;0,'Sites'!$L$8&gt;'Sites'!$I$8,'Sites'!$M$8&gt;'Sites'!$J$8,'Sites'!$N$8&gt;'Sites'!$K$8,'Sites'!$Z$8&lt;0,'Sites'!$Z$8&gt;1,MIN('Sites'!$AA$8:'Sites'!$AC$8)&lt;0,S522&gt;F522+0.001),1,0)</f>
        <v/>
      </c>
      <c r="AO522" s="160">
        <f>I522+U522-T522-X522</f>
        <v/>
      </c>
    </row>
    <row r="523" ht="28" customHeight="1">
      <c r="A523" s="4" t="inlineStr">
        <is>
          <t>Lower sales</t>
        </is>
      </c>
      <c r="B523" s="4" t="inlineStr">
        <is>
          <t>NEW2</t>
        </is>
      </c>
      <c r="C523" s="160" t="n">
        <v>14</v>
      </c>
      <c r="D523" s="160">
        <f>ROUNDUP(C523/12,0)</f>
        <v/>
      </c>
      <c r="E523" s="160">
        <f>IF(AND('Sites'!$E$8*'Cases'!$F$10=1,C523&gt;='Sites'!$F$8+'Cases'!$G$10,C523&lt;='Sites'!$G$8),1,0)</f>
        <v/>
      </c>
      <c r="F523" s="160">
        <f>E523*'Assumptions'!Q69</f>
        <v/>
      </c>
      <c r="G523" s="160">
        <f>V522</f>
        <v/>
      </c>
      <c r="H523" s="160">
        <f>W522</f>
        <v/>
      </c>
      <c r="I523" s="160">
        <f>X522</f>
        <v/>
      </c>
      <c r="J523" s="160">
        <f>MAX(0,'Sites'!$J$8-SUM(N522:N522))</f>
        <v/>
      </c>
      <c r="K523" s="160">
        <f>IF('Sites'!$C$8="Own sheets",MIN(ROUNDDOWN(G523/'NM Play'!$B$11,0)+F523*'NM Play'!$B$10/'NM Play'!$B$43,ROUNDDOWN(H523/'NM Play'!$B$12,0)+F523*'NM Play'!$B$10/'NM Play'!$B$44,(F523*'NM Play'!$B$10+ROUNDDOWN(G523/'NM Play'!$B$11,0)*'NM Play'!$B$43+ROUNDDOWN(H523/'NM Play'!$B$12,0)*'NM Play'!$B$44)/('NM Play'!$B$43+'NM Play'!$B$44)),ROUNDDOWN(G523/'NM Play'!$B$11,0)+F523*'NM Play'!$B$10/'NM Play'!$B$43)</f>
        <v/>
      </c>
      <c r="L523" s="160">
        <f>MIN(ROUNDDOWN(G523/'NM Play'!$B$11,0)+F523/('NM Play'!$B$43/'NM Play'!$B$15),ROUNDDOWN(H523/'NM Play'!$B$12,0)+F523/('NM Play'!$B$44/'NM Play'!$B$16),(F523+ROUNDDOWN(G523/'NM Play'!$B$11,0)*'NM Play'!$B$43/'NM Play'!$B$15+ROUNDDOWN(H523/'NM Play'!$B$12,0)*'NM Play'!$B$44/'NM Play'!$B$16)/('NM Play'!$B$43/'NM Play'!$B$15+'NM Play'!$B$44/'NM Play'!$B$16))</f>
        <v/>
      </c>
      <c r="M523" s="160">
        <f>F523*'NM Play'!$B$36</f>
        <v/>
      </c>
      <c r="N523" s="160">
        <f>ROUNDDOWN(MAX(0,MIN(J523,K523:M523)),0)</f>
        <v/>
      </c>
      <c r="O523" s="160">
        <f>ROUNDUP(MAX(0,N523*'NM Play'!$B$11-G523)/'NM Play'!$B$13,0)</f>
        <v/>
      </c>
      <c r="P523" s="160">
        <f>ROUNDUP(MAX(0,N523*'NM Play'!$B$12-H523)/'NM Play'!$B$14,0)</f>
        <v/>
      </c>
      <c r="Q523" s="160">
        <f>(O523+IF('Sites'!$C$8="Own sheets",P523,0))/'NM Play'!$B$10</f>
        <v/>
      </c>
      <c r="R523" s="160">
        <f>O523/'NM Play'!$B$15+P523/'NM Play'!$B$16</f>
        <v/>
      </c>
      <c r="S523" s="160">
        <f>MAX(Q523,R523,N523/'NM Play'!$B$36)</f>
        <v/>
      </c>
      <c r="T523" s="160">
        <f>Q523*'NM Play'!$B$10*'NM Play'!$B$21*(1+'NM Play'!$B$35)</f>
        <v/>
      </c>
      <c r="U523" s="160">
        <f>MAX(0,T523-I523)</f>
        <v/>
      </c>
      <c r="V523" s="160">
        <f>G523+O523*'NM Play'!$B$13-N523*'NM Play'!$B$11</f>
        <v/>
      </c>
      <c r="W523" s="160">
        <f>H523+P523*'NM Play'!$B$14-N523*'NM Play'!$B$12</f>
        <v/>
      </c>
      <c r="X523" s="160">
        <f>I523+U523-T523</f>
        <v/>
      </c>
      <c r="Y523" s="160">
        <f>MIN(N523,MAX(0,ROUNDDOWN('Sites'!$M$8*'Cases'!$E$10,0)-SUM(Y522:Y522)))</f>
        <v/>
      </c>
      <c r="Z523" s="160">
        <f>N523-Y523</f>
        <v/>
      </c>
      <c r="AA523" s="160">
        <f>U523*'NM Play'!$B$22</f>
        <v/>
      </c>
      <c r="AB523" s="160">
        <f>N523*SUM('NM Play'!$B$29:$B$31)</f>
        <v/>
      </c>
      <c r="AC523" s="160">
        <f>IF('Sites'!$C$8="Defy legs",P523*'NM Play'!$B$14/'NM Play'!$B$12*'NM Play'!$B$28,0)</f>
        <v/>
      </c>
      <c r="AD523" s="160">
        <f>Q523*'NM Play'!$B$23</f>
        <v/>
      </c>
      <c r="AE523" s="160">
        <f>S523*SUM('NM Play'!$B$26,'NM Play'!$B$33:$B$34)</f>
        <v/>
      </c>
      <c r="AF523" s="160">
        <f>IF('Sites'!$D$8="NM crew",S523*SUM('NM Play'!$B$24:$B$25),0)</f>
        <v/>
      </c>
      <c r="AG523" s="160">
        <f>IF('Sites'!$D$8="NM crew",S523*'NM Play'!$B$27,0)</f>
        <v/>
      </c>
      <c r="AH523" s="160">
        <f>N523*'Sites'!$Z$8*'NM Play'!$B$32</f>
        <v/>
      </c>
      <c r="AI523" s="160">
        <f>SUM(Y523:Z523)*'Sites'!$R$8</f>
        <v/>
      </c>
      <c r="AJ523" s="160">
        <f>SUM(AA523:AH523)</f>
        <v/>
      </c>
      <c r="AK523" s="160">
        <f>AJ523+(T523-U523)*'NM Play'!$B$22+MIN(G523,N523*'NM Play'!$B$11)/'NM Play'!$B$13*'NM Play'!$B$21*'NM Play'!$B$22+MIN(H523,N523*'NM Play'!$B$12)/'NM Play'!$B$14*IF('Sites'!$C$8="Own sheets",'NM Play'!$B$21*'NM Play'!$B$22,'NM Play'!$B$28*'NM Play'!$B$14/'NM Play'!$B$12)</f>
        <v/>
      </c>
      <c r="AL523" s="160">
        <f>Y523*'Assumptions'!Q66</f>
        <v/>
      </c>
      <c r="AM523" s="160">
        <f>IF('Sites'!$D$8="NM crew",S523*'NM Play'!$B$37*(1+IF(AND(ISNUMBER('NM Play'!$B$25),'NM Play'!$B$25&gt;0),1,0)),"")</f>
        <v/>
      </c>
      <c r="AN523" s="160">
        <f>IF(OR('Sites'!$E$8&lt;0,'Sites'!$E$8&gt;1,'Sites'!$F$8&lt;1,'Sites'!$G$8&lt;'Sites'!$F$8,F523&lt;0,MIN('Sites'!$I$8:'Sites'!$R$8)&lt;0,'Sites'!$L$8&gt;'Sites'!$I$8,'Sites'!$M$8&gt;'Sites'!$J$8,'Sites'!$N$8&gt;'Sites'!$K$8,'Sites'!$Z$8&lt;0,'Sites'!$Z$8&gt;1,MIN('Sites'!$AA$8:'Sites'!$AC$8)&lt;0,S523&gt;F523+0.001),1,0)</f>
        <v/>
      </c>
      <c r="AO523" s="160">
        <f>I523+U523-T523-X523</f>
        <v/>
      </c>
    </row>
    <row r="524" ht="28" customHeight="1">
      <c r="A524" s="4" t="inlineStr">
        <is>
          <t>Lower sales</t>
        </is>
      </c>
      <c r="B524" s="4" t="inlineStr">
        <is>
          <t>NEW2</t>
        </is>
      </c>
      <c r="C524" s="160" t="n">
        <v>15</v>
      </c>
      <c r="D524" s="160">
        <f>ROUNDUP(C524/12,0)</f>
        <v/>
      </c>
      <c r="E524" s="160">
        <f>IF(AND('Sites'!$E$8*'Cases'!$F$10=1,C524&gt;='Sites'!$F$8+'Cases'!$G$10,C524&lt;='Sites'!$G$8),1,0)</f>
        <v/>
      </c>
      <c r="F524" s="160">
        <f>E524*'Assumptions'!R69</f>
        <v/>
      </c>
      <c r="G524" s="160">
        <f>V523</f>
        <v/>
      </c>
      <c r="H524" s="160">
        <f>W523</f>
        <v/>
      </c>
      <c r="I524" s="160">
        <f>X523</f>
        <v/>
      </c>
      <c r="J524" s="160">
        <f>MAX(0,'Sites'!$J$8-SUM(N522:N523))</f>
        <v/>
      </c>
      <c r="K524" s="160">
        <f>IF('Sites'!$C$8="Own sheets",MIN(ROUNDDOWN(G524/'NM Play'!$B$11,0)+F524*'NM Play'!$B$10/'NM Play'!$B$43,ROUNDDOWN(H524/'NM Play'!$B$12,0)+F524*'NM Play'!$B$10/'NM Play'!$B$44,(F524*'NM Play'!$B$10+ROUNDDOWN(G524/'NM Play'!$B$11,0)*'NM Play'!$B$43+ROUNDDOWN(H524/'NM Play'!$B$12,0)*'NM Play'!$B$44)/('NM Play'!$B$43+'NM Play'!$B$44)),ROUNDDOWN(G524/'NM Play'!$B$11,0)+F524*'NM Play'!$B$10/'NM Play'!$B$43)</f>
        <v/>
      </c>
      <c r="L524" s="160">
        <f>MIN(ROUNDDOWN(G524/'NM Play'!$B$11,0)+F524/('NM Play'!$B$43/'NM Play'!$B$15),ROUNDDOWN(H524/'NM Play'!$B$12,0)+F524/('NM Play'!$B$44/'NM Play'!$B$16),(F524+ROUNDDOWN(G524/'NM Play'!$B$11,0)*'NM Play'!$B$43/'NM Play'!$B$15+ROUNDDOWN(H524/'NM Play'!$B$12,0)*'NM Play'!$B$44/'NM Play'!$B$16)/('NM Play'!$B$43/'NM Play'!$B$15+'NM Play'!$B$44/'NM Play'!$B$16))</f>
        <v/>
      </c>
      <c r="M524" s="160">
        <f>F524*'NM Play'!$B$36</f>
        <v/>
      </c>
      <c r="N524" s="160">
        <f>ROUNDDOWN(MAX(0,MIN(J524,K524:M524)),0)</f>
        <v/>
      </c>
      <c r="O524" s="160">
        <f>ROUNDUP(MAX(0,N524*'NM Play'!$B$11-G524)/'NM Play'!$B$13,0)</f>
        <v/>
      </c>
      <c r="P524" s="160">
        <f>ROUNDUP(MAX(0,N524*'NM Play'!$B$12-H524)/'NM Play'!$B$14,0)</f>
        <v/>
      </c>
      <c r="Q524" s="160">
        <f>(O524+IF('Sites'!$C$8="Own sheets",P524,0))/'NM Play'!$B$10</f>
        <v/>
      </c>
      <c r="R524" s="160">
        <f>O524/'NM Play'!$B$15+P524/'NM Play'!$B$16</f>
        <v/>
      </c>
      <c r="S524" s="160">
        <f>MAX(Q524,R524,N524/'NM Play'!$B$36)</f>
        <v/>
      </c>
      <c r="T524" s="160">
        <f>Q524*'NM Play'!$B$10*'NM Play'!$B$21*(1+'NM Play'!$B$35)</f>
        <v/>
      </c>
      <c r="U524" s="160">
        <f>MAX(0,T524-I524)</f>
        <v/>
      </c>
      <c r="V524" s="160">
        <f>G524+O524*'NM Play'!$B$13-N524*'NM Play'!$B$11</f>
        <v/>
      </c>
      <c r="W524" s="160">
        <f>H524+P524*'NM Play'!$B$14-N524*'NM Play'!$B$12</f>
        <v/>
      </c>
      <c r="X524" s="160">
        <f>I524+U524-T524</f>
        <v/>
      </c>
      <c r="Y524" s="160">
        <f>MIN(N524,MAX(0,ROUNDDOWN('Sites'!$M$8*'Cases'!$E$10,0)-SUM(Y522:Y523)))</f>
        <v/>
      </c>
      <c r="Z524" s="160">
        <f>N524-Y524</f>
        <v/>
      </c>
      <c r="AA524" s="160">
        <f>U524*'NM Play'!$B$22</f>
        <v/>
      </c>
      <c r="AB524" s="160">
        <f>N524*SUM('NM Play'!$B$29:$B$31)</f>
        <v/>
      </c>
      <c r="AC524" s="160">
        <f>IF('Sites'!$C$8="Defy legs",P524*'NM Play'!$B$14/'NM Play'!$B$12*'NM Play'!$B$28,0)</f>
        <v/>
      </c>
      <c r="AD524" s="160">
        <f>Q524*'NM Play'!$B$23</f>
        <v/>
      </c>
      <c r="AE524" s="160">
        <f>S524*SUM('NM Play'!$B$26,'NM Play'!$B$33:$B$34)</f>
        <v/>
      </c>
      <c r="AF524" s="160">
        <f>IF('Sites'!$D$8="NM crew",S524*SUM('NM Play'!$B$24:$B$25),0)</f>
        <v/>
      </c>
      <c r="AG524" s="160">
        <f>IF('Sites'!$D$8="NM crew",S524*'NM Play'!$B$27,0)</f>
        <v/>
      </c>
      <c r="AH524" s="160">
        <f>N524*'Sites'!$Z$8*'NM Play'!$B$32</f>
        <v/>
      </c>
      <c r="AI524" s="160">
        <f>SUM(Y524:Z524)*'Sites'!$R$8</f>
        <v/>
      </c>
      <c r="AJ524" s="160">
        <f>SUM(AA524:AH524)</f>
        <v/>
      </c>
      <c r="AK524" s="160">
        <f>AJ524+(T524-U524)*'NM Play'!$B$22+MIN(G524,N524*'NM Play'!$B$11)/'NM Play'!$B$13*'NM Play'!$B$21*'NM Play'!$B$22+MIN(H524,N524*'NM Play'!$B$12)/'NM Play'!$B$14*IF('Sites'!$C$8="Own sheets",'NM Play'!$B$21*'NM Play'!$B$22,'NM Play'!$B$28*'NM Play'!$B$14/'NM Play'!$B$12)</f>
        <v/>
      </c>
      <c r="AL524" s="160">
        <f>Y524*'Assumptions'!R66</f>
        <v/>
      </c>
      <c r="AM524" s="160">
        <f>IF('Sites'!$D$8="NM crew",S524*'NM Play'!$B$37*(1+IF(AND(ISNUMBER('NM Play'!$B$25),'NM Play'!$B$25&gt;0),1,0)),"")</f>
        <v/>
      </c>
      <c r="AN524" s="160">
        <f>IF(OR('Sites'!$E$8&lt;0,'Sites'!$E$8&gt;1,'Sites'!$F$8&lt;1,'Sites'!$G$8&lt;'Sites'!$F$8,F524&lt;0,MIN('Sites'!$I$8:'Sites'!$R$8)&lt;0,'Sites'!$L$8&gt;'Sites'!$I$8,'Sites'!$M$8&gt;'Sites'!$J$8,'Sites'!$N$8&gt;'Sites'!$K$8,'Sites'!$Z$8&lt;0,'Sites'!$Z$8&gt;1,MIN('Sites'!$AA$8:'Sites'!$AC$8)&lt;0,S524&gt;F524+0.001),1,0)</f>
        <v/>
      </c>
      <c r="AO524" s="160">
        <f>I524+U524-T524-X524</f>
        <v/>
      </c>
    </row>
    <row r="525" ht="28" customHeight="1">
      <c r="A525" s="4" t="inlineStr">
        <is>
          <t>Lower sales</t>
        </is>
      </c>
      <c r="B525" s="4" t="inlineStr">
        <is>
          <t>NEW2</t>
        </is>
      </c>
      <c r="C525" s="160" t="n">
        <v>16</v>
      </c>
      <c r="D525" s="160">
        <f>ROUNDUP(C525/12,0)</f>
        <v/>
      </c>
      <c r="E525" s="160">
        <f>IF(AND('Sites'!$E$8*'Cases'!$F$10=1,C525&gt;='Sites'!$F$8+'Cases'!$G$10,C525&lt;='Sites'!$G$8),1,0)</f>
        <v/>
      </c>
      <c r="F525" s="160">
        <f>E525*'Assumptions'!S69</f>
        <v/>
      </c>
      <c r="G525" s="160">
        <f>V524</f>
        <v/>
      </c>
      <c r="H525" s="160">
        <f>W524</f>
        <v/>
      </c>
      <c r="I525" s="160">
        <f>X524</f>
        <v/>
      </c>
      <c r="J525" s="160">
        <f>MAX(0,'Sites'!$J$8-SUM(N522:N524))</f>
        <v/>
      </c>
      <c r="K525" s="160">
        <f>IF('Sites'!$C$8="Own sheets",MIN(ROUNDDOWN(G525/'NM Play'!$B$11,0)+F525*'NM Play'!$B$10/'NM Play'!$B$43,ROUNDDOWN(H525/'NM Play'!$B$12,0)+F525*'NM Play'!$B$10/'NM Play'!$B$44,(F525*'NM Play'!$B$10+ROUNDDOWN(G525/'NM Play'!$B$11,0)*'NM Play'!$B$43+ROUNDDOWN(H525/'NM Play'!$B$12,0)*'NM Play'!$B$44)/('NM Play'!$B$43+'NM Play'!$B$44)),ROUNDDOWN(G525/'NM Play'!$B$11,0)+F525*'NM Play'!$B$10/'NM Play'!$B$43)</f>
        <v/>
      </c>
      <c r="L525" s="160">
        <f>MIN(ROUNDDOWN(G525/'NM Play'!$B$11,0)+F525/('NM Play'!$B$43/'NM Play'!$B$15),ROUNDDOWN(H525/'NM Play'!$B$12,0)+F525/('NM Play'!$B$44/'NM Play'!$B$16),(F525+ROUNDDOWN(G525/'NM Play'!$B$11,0)*'NM Play'!$B$43/'NM Play'!$B$15+ROUNDDOWN(H525/'NM Play'!$B$12,0)*'NM Play'!$B$44/'NM Play'!$B$16)/('NM Play'!$B$43/'NM Play'!$B$15+'NM Play'!$B$44/'NM Play'!$B$16))</f>
        <v/>
      </c>
      <c r="M525" s="160">
        <f>F525*'NM Play'!$B$36</f>
        <v/>
      </c>
      <c r="N525" s="160">
        <f>ROUNDDOWN(MAX(0,MIN(J525,K525:M525)),0)</f>
        <v/>
      </c>
      <c r="O525" s="160">
        <f>ROUNDUP(MAX(0,N525*'NM Play'!$B$11-G525)/'NM Play'!$B$13,0)</f>
        <v/>
      </c>
      <c r="P525" s="160">
        <f>ROUNDUP(MAX(0,N525*'NM Play'!$B$12-H525)/'NM Play'!$B$14,0)</f>
        <v/>
      </c>
      <c r="Q525" s="160">
        <f>(O525+IF('Sites'!$C$8="Own sheets",P525,0))/'NM Play'!$B$10</f>
        <v/>
      </c>
      <c r="R525" s="160">
        <f>O525/'NM Play'!$B$15+P525/'NM Play'!$B$16</f>
        <v/>
      </c>
      <c r="S525" s="160">
        <f>MAX(Q525,R525,N525/'NM Play'!$B$36)</f>
        <v/>
      </c>
      <c r="T525" s="160">
        <f>Q525*'NM Play'!$B$10*'NM Play'!$B$21*(1+'NM Play'!$B$35)</f>
        <v/>
      </c>
      <c r="U525" s="160">
        <f>MAX(0,T525-I525)</f>
        <v/>
      </c>
      <c r="V525" s="160">
        <f>G525+O525*'NM Play'!$B$13-N525*'NM Play'!$B$11</f>
        <v/>
      </c>
      <c r="W525" s="160">
        <f>H525+P525*'NM Play'!$B$14-N525*'NM Play'!$B$12</f>
        <v/>
      </c>
      <c r="X525" s="160">
        <f>I525+U525-T525</f>
        <v/>
      </c>
      <c r="Y525" s="160">
        <f>MIN(N525,MAX(0,ROUNDDOWN('Sites'!$M$8*'Cases'!$E$10,0)-SUM(Y522:Y524)))</f>
        <v/>
      </c>
      <c r="Z525" s="160">
        <f>N525-Y525</f>
        <v/>
      </c>
      <c r="AA525" s="160">
        <f>U525*'NM Play'!$B$22</f>
        <v/>
      </c>
      <c r="AB525" s="160">
        <f>N525*SUM('NM Play'!$B$29:$B$31)</f>
        <v/>
      </c>
      <c r="AC525" s="160">
        <f>IF('Sites'!$C$8="Defy legs",P525*'NM Play'!$B$14/'NM Play'!$B$12*'NM Play'!$B$28,0)</f>
        <v/>
      </c>
      <c r="AD525" s="160">
        <f>Q525*'NM Play'!$B$23</f>
        <v/>
      </c>
      <c r="AE525" s="160">
        <f>S525*SUM('NM Play'!$B$26,'NM Play'!$B$33:$B$34)</f>
        <v/>
      </c>
      <c r="AF525" s="160">
        <f>IF('Sites'!$D$8="NM crew",S525*SUM('NM Play'!$B$24:$B$25),0)</f>
        <v/>
      </c>
      <c r="AG525" s="160">
        <f>IF('Sites'!$D$8="NM crew",S525*'NM Play'!$B$27,0)</f>
        <v/>
      </c>
      <c r="AH525" s="160">
        <f>N525*'Sites'!$Z$8*'NM Play'!$B$32</f>
        <v/>
      </c>
      <c r="AI525" s="160">
        <f>SUM(Y525:Z525)*'Sites'!$R$8</f>
        <v/>
      </c>
      <c r="AJ525" s="160">
        <f>SUM(AA525:AH525)</f>
        <v/>
      </c>
      <c r="AK525" s="160">
        <f>AJ525+(T525-U525)*'NM Play'!$B$22+MIN(G525,N525*'NM Play'!$B$11)/'NM Play'!$B$13*'NM Play'!$B$21*'NM Play'!$B$22+MIN(H525,N525*'NM Play'!$B$12)/'NM Play'!$B$14*IF('Sites'!$C$8="Own sheets",'NM Play'!$B$21*'NM Play'!$B$22,'NM Play'!$B$28*'NM Play'!$B$14/'NM Play'!$B$12)</f>
        <v/>
      </c>
      <c r="AL525" s="160">
        <f>Y525*'Assumptions'!S66</f>
        <v/>
      </c>
      <c r="AM525" s="160">
        <f>IF('Sites'!$D$8="NM crew",S525*'NM Play'!$B$37*(1+IF(AND(ISNUMBER('NM Play'!$B$25),'NM Play'!$B$25&gt;0),1,0)),"")</f>
        <v/>
      </c>
      <c r="AN525" s="160">
        <f>IF(OR('Sites'!$E$8&lt;0,'Sites'!$E$8&gt;1,'Sites'!$F$8&lt;1,'Sites'!$G$8&lt;'Sites'!$F$8,F525&lt;0,MIN('Sites'!$I$8:'Sites'!$R$8)&lt;0,'Sites'!$L$8&gt;'Sites'!$I$8,'Sites'!$M$8&gt;'Sites'!$J$8,'Sites'!$N$8&gt;'Sites'!$K$8,'Sites'!$Z$8&lt;0,'Sites'!$Z$8&gt;1,MIN('Sites'!$AA$8:'Sites'!$AC$8)&lt;0,S525&gt;F525+0.001),1,0)</f>
        <v/>
      </c>
      <c r="AO525" s="160">
        <f>I525+U525-T525-X525</f>
        <v/>
      </c>
    </row>
    <row r="526" ht="28" customHeight="1">
      <c r="A526" s="4" t="inlineStr">
        <is>
          <t>Lower sales</t>
        </is>
      </c>
      <c r="B526" s="4" t="inlineStr">
        <is>
          <t>NEW2</t>
        </is>
      </c>
      <c r="C526" s="160" t="n">
        <v>17</v>
      </c>
      <c r="D526" s="160">
        <f>ROUNDUP(C526/12,0)</f>
        <v/>
      </c>
      <c r="E526" s="160">
        <f>IF(AND('Sites'!$E$8*'Cases'!$F$10=1,C526&gt;='Sites'!$F$8+'Cases'!$G$10,C526&lt;='Sites'!$G$8),1,0)</f>
        <v/>
      </c>
      <c r="F526" s="160">
        <f>E526*'Assumptions'!T69</f>
        <v/>
      </c>
      <c r="G526" s="160">
        <f>V525</f>
        <v/>
      </c>
      <c r="H526" s="160">
        <f>W525</f>
        <v/>
      </c>
      <c r="I526" s="160">
        <f>X525</f>
        <v/>
      </c>
      <c r="J526" s="160">
        <f>MAX(0,'Sites'!$J$8-SUM(N522:N525))</f>
        <v/>
      </c>
      <c r="K526" s="160">
        <f>IF('Sites'!$C$8="Own sheets",MIN(ROUNDDOWN(G526/'NM Play'!$B$11,0)+F526*'NM Play'!$B$10/'NM Play'!$B$43,ROUNDDOWN(H526/'NM Play'!$B$12,0)+F526*'NM Play'!$B$10/'NM Play'!$B$44,(F526*'NM Play'!$B$10+ROUNDDOWN(G526/'NM Play'!$B$11,0)*'NM Play'!$B$43+ROUNDDOWN(H526/'NM Play'!$B$12,0)*'NM Play'!$B$44)/('NM Play'!$B$43+'NM Play'!$B$44)),ROUNDDOWN(G526/'NM Play'!$B$11,0)+F526*'NM Play'!$B$10/'NM Play'!$B$43)</f>
        <v/>
      </c>
      <c r="L526" s="160">
        <f>MIN(ROUNDDOWN(G526/'NM Play'!$B$11,0)+F526/('NM Play'!$B$43/'NM Play'!$B$15),ROUNDDOWN(H526/'NM Play'!$B$12,0)+F526/('NM Play'!$B$44/'NM Play'!$B$16),(F526+ROUNDDOWN(G526/'NM Play'!$B$11,0)*'NM Play'!$B$43/'NM Play'!$B$15+ROUNDDOWN(H526/'NM Play'!$B$12,0)*'NM Play'!$B$44/'NM Play'!$B$16)/('NM Play'!$B$43/'NM Play'!$B$15+'NM Play'!$B$44/'NM Play'!$B$16))</f>
        <v/>
      </c>
      <c r="M526" s="160">
        <f>F526*'NM Play'!$B$36</f>
        <v/>
      </c>
      <c r="N526" s="160">
        <f>ROUNDDOWN(MAX(0,MIN(J526,K526:M526)),0)</f>
        <v/>
      </c>
      <c r="O526" s="160">
        <f>ROUNDUP(MAX(0,N526*'NM Play'!$B$11-G526)/'NM Play'!$B$13,0)</f>
        <v/>
      </c>
      <c r="P526" s="160">
        <f>ROUNDUP(MAX(0,N526*'NM Play'!$B$12-H526)/'NM Play'!$B$14,0)</f>
        <v/>
      </c>
      <c r="Q526" s="160">
        <f>(O526+IF('Sites'!$C$8="Own sheets",P526,0))/'NM Play'!$B$10</f>
        <v/>
      </c>
      <c r="R526" s="160">
        <f>O526/'NM Play'!$B$15+P526/'NM Play'!$B$16</f>
        <v/>
      </c>
      <c r="S526" s="160">
        <f>MAX(Q526,R526,N526/'NM Play'!$B$36)</f>
        <v/>
      </c>
      <c r="T526" s="160">
        <f>Q526*'NM Play'!$B$10*'NM Play'!$B$21*(1+'NM Play'!$B$35)</f>
        <v/>
      </c>
      <c r="U526" s="160">
        <f>MAX(0,T526-I526)</f>
        <v/>
      </c>
      <c r="V526" s="160">
        <f>G526+O526*'NM Play'!$B$13-N526*'NM Play'!$B$11</f>
        <v/>
      </c>
      <c r="W526" s="160">
        <f>H526+P526*'NM Play'!$B$14-N526*'NM Play'!$B$12</f>
        <v/>
      </c>
      <c r="X526" s="160">
        <f>I526+U526-T526</f>
        <v/>
      </c>
      <c r="Y526" s="160">
        <f>MIN(N526,MAX(0,ROUNDDOWN('Sites'!$M$8*'Cases'!$E$10,0)-SUM(Y522:Y525)))</f>
        <v/>
      </c>
      <c r="Z526" s="160">
        <f>N526-Y526</f>
        <v/>
      </c>
      <c r="AA526" s="160">
        <f>U526*'NM Play'!$B$22</f>
        <v/>
      </c>
      <c r="AB526" s="160">
        <f>N526*SUM('NM Play'!$B$29:$B$31)</f>
        <v/>
      </c>
      <c r="AC526" s="160">
        <f>IF('Sites'!$C$8="Defy legs",P526*'NM Play'!$B$14/'NM Play'!$B$12*'NM Play'!$B$28,0)</f>
        <v/>
      </c>
      <c r="AD526" s="160">
        <f>Q526*'NM Play'!$B$23</f>
        <v/>
      </c>
      <c r="AE526" s="160">
        <f>S526*SUM('NM Play'!$B$26,'NM Play'!$B$33:$B$34)</f>
        <v/>
      </c>
      <c r="AF526" s="160">
        <f>IF('Sites'!$D$8="NM crew",S526*SUM('NM Play'!$B$24:$B$25),0)</f>
        <v/>
      </c>
      <c r="AG526" s="160">
        <f>IF('Sites'!$D$8="NM crew",S526*'NM Play'!$B$27,0)</f>
        <v/>
      </c>
      <c r="AH526" s="160">
        <f>N526*'Sites'!$Z$8*'NM Play'!$B$32</f>
        <v/>
      </c>
      <c r="AI526" s="160">
        <f>SUM(Y526:Z526)*'Sites'!$R$8</f>
        <v/>
      </c>
      <c r="AJ526" s="160">
        <f>SUM(AA526:AH526)</f>
        <v/>
      </c>
      <c r="AK526" s="160">
        <f>AJ526+(T526-U526)*'NM Play'!$B$22+MIN(G526,N526*'NM Play'!$B$11)/'NM Play'!$B$13*'NM Play'!$B$21*'NM Play'!$B$22+MIN(H526,N526*'NM Play'!$B$12)/'NM Play'!$B$14*IF('Sites'!$C$8="Own sheets",'NM Play'!$B$21*'NM Play'!$B$22,'NM Play'!$B$28*'NM Play'!$B$14/'NM Play'!$B$12)</f>
        <v/>
      </c>
      <c r="AL526" s="160">
        <f>Y526*'Assumptions'!T66</f>
        <v/>
      </c>
      <c r="AM526" s="160">
        <f>IF('Sites'!$D$8="NM crew",S526*'NM Play'!$B$37*(1+IF(AND(ISNUMBER('NM Play'!$B$25),'NM Play'!$B$25&gt;0),1,0)),"")</f>
        <v/>
      </c>
      <c r="AN526" s="160">
        <f>IF(OR('Sites'!$E$8&lt;0,'Sites'!$E$8&gt;1,'Sites'!$F$8&lt;1,'Sites'!$G$8&lt;'Sites'!$F$8,F526&lt;0,MIN('Sites'!$I$8:'Sites'!$R$8)&lt;0,'Sites'!$L$8&gt;'Sites'!$I$8,'Sites'!$M$8&gt;'Sites'!$J$8,'Sites'!$N$8&gt;'Sites'!$K$8,'Sites'!$Z$8&lt;0,'Sites'!$Z$8&gt;1,MIN('Sites'!$AA$8:'Sites'!$AC$8)&lt;0,S526&gt;F526+0.001),1,0)</f>
        <v/>
      </c>
      <c r="AO526" s="160">
        <f>I526+U526-T526-X526</f>
        <v/>
      </c>
    </row>
    <row r="527" ht="28" customHeight="1">
      <c r="A527" s="4" t="inlineStr">
        <is>
          <t>Lower sales</t>
        </is>
      </c>
      <c r="B527" s="4" t="inlineStr">
        <is>
          <t>NEW2</t>
        </is>
      </c>
      <c r="C527" s="160" t="n">
        <v>18</v>
      </c>
      <c r="D527" s="160">
        <f>ROUNDUP(C527/12,0)</f>
        <v/>
      </c>
      <c r="E527" s="160">
        <f>IF(AND('Sites'!$E$8*'Cases'!$F$10=1,C527&gt;='Sites'!$F$8+'Cases'!$G$10,C527&lt;='Sites'!$G$8),1,0)</f>
        <v/>
      </c>
      <c r="F527" s="160">
        <f>E527*'Assumptions'!U69</f>
        <v/>
      </c>
      <c r="G527" s="160">
        <f>V526</f>
        <v/>
      </c>
      <c r="H527" s="160">
        <f>W526</f>
        <v/>
      </c>
      <c r="I527" s="160">
        <f>X526</f>
        <v/>
      </c>
      <c r="J527" s="160">
        <f>MAX(0,'Sites'!$J$8-SUM(N522:N526))</f>
        <v/>
      </c>
      <c r="K527" s="160">
        <f>IF('Sites'!$C$8="Own sheets",MIN(ROUNDDOWN(G527/'NM Play'!$B$11,0)+F527*'NM Play'!$B$10/'NM Play'!$B$43,ROUNDDOWN(H527/'NM Play'!$B$12,0)+F527*'NM Play'!$B$10/'NM Play'!$B$44,(F527*'NM Play'!$B$10+ROUNDDOWN(G527/'NM Play'!$B$11,0)*'NM Play'!$B$43+ROUNDDOWN(H527/'NM Play'!$B$12,0)*'NM Play'!$B$44)/('NM Play'!$B$43+'NM Play'!$B$44)),ROUNDDOWN(G527/'NM Play'!$B$11,0)+F527*'NM Play'!$B$10/'NM Play'!$B$43)</f>
        <v/>
      </c>
      <c r="L527" s="160">
        <f>MIN(ROUNDDOWN(G527/'NM Play'!$B$11,0)+F527/('NM Play'!$B$43/'NM Play'!$B$15),ROUNDDOWN(H527/'NM Play'!$B$12,0)+F527/('NM Play'!$B$44/'NM Play'!$B$16),(F527+ROUNDDOWN(G527/'NM Play'!$B$11,0)*'NM Play'!$B$43/'NM Play'!$B$15+ROUNDDOWN(H527/'NM Play'!$B$12,0)*'NM Play'!$B$44/'NM Play'!$B$16)/('NM Play'!$B$43/'NM Play'!$B$15+'NM Play'!$B$44/'NM Play'!$B$16))</f>
        <v/>
      </c>
      <c r="M527" s="160">
        <f>F527*'NM Play'!$B$36</f>
        <v/>
      </c>
      <c r="N527" s="160">
        <f>ROUNDDOWN(MAX(0,MIN(J527,K527:M527)),0)</f>
        <v/>
      </c>
      <c r="O527" s="160">
        <f>ROUNDUP(MAX(0,N527*'NM Play'!$B$11-G527)/'NM Play'!$B$13,0)</f>
        <v/>
      </c>
      <c r="P527" s="160">
        <f>ROUNDUP(MAX(0,N527*'NM Play'!$B$12-H527)/'NM Play'!$B$14,0)</f>
        <v/>
      </c>
      <c r="Q527" s="160">
        <f>(O527+IF('Sites'!$C$8="Own sheets",P527,0))/'NM Play'!$B$10</f>
        <v/>
      </c>
      <c r="R527" s="160">
        <f>O527/'NM Play'!$B$15+P527/'NM Play'!$B$16</f>
        <v/>
      </c>
      <c r="S527" s="160">
        <f>MAX(Q527,R527,N527/'NM Play'!$B$36)</f>
        <v/>
      </c>
      <c r="T527" s="160">
        <f>Q527*'NM Play'!$B$10*'NM Play'!$B$21*(1+'NM Play'!$B$35)</f>
        <v/>
      </c>
      <c r="U527" s="160">
        <f>MAX(0,T527-I527)</f>
        <v/>
      </c>
      <c r="V527" s="160">
        <f>G527+O527*'NM Play'!$B$13-N527*'NM Play'!$B$11</f>
        <v/>
      </c>
      <c r="W527" s="160">
        <f>H527+P527*'NM Play'!$B$14-N527*'NM Play'!$B$12</f>
        <v/>
      </c>
      <c r="X527" s="160">
        <f>I527+U527-T527</f>
        <v/>
      </c>
      <c r="Y527" s="160">
        <f>MIN(N527,MAX(0,ROUNDDOWN('Sites'!$M$8*'Cases'!$E$10,0)-SUM(Y522:Y526)))</f>
        <v/>
      </c>
      <c r="Z527" s="160">
        <f>N527-Y527</f>
        <v/>
      </c>
      <c r="AA527" s="160">
        <f>U527*'NM Play'!$B$22</f>
        <v/>
      </c>
      <c r="AB527" s="160">
        <f>N527*SUM('NM Play'!$B$29:$B$31)</f>
        <v/>
      </c>
      <c r="AC527" s="160">
        <f>IF('Sites'!$C$8="Defy legs",P527*'NM Play'!$B$14/'NM Play'!$B$12*'NM Play'!$B$28,0)</f>
        <v/>
      </c>
      <c r="AD527" s="160">
        <f>Q527*'NM Play'!$B$23</f>
        <v/>
      </c>
      <c r="AE527" s="160">
        <f>S527*SUM('NM Play'!$B$26,'NM Play'!$B$33:$B$34)</f>
        <v/>
      </c>
      <c r="AF527" s="160">
        <f>IF('Sites'!$D$8="NM crew",S527*SUM('NM Play'!$B$24:$B$25),0)</f>
        <v/>
      </c>
      <c r="AG527" s="160">
        <f>IF('Sites'!$D$8="NM crew",S527*'NM Play'!$B$27,0)</f>
        <v/>
      </c>
      <c r="AH527" s="160">
        <f>N527*'Sites'!$Z$8*'NM Play'!$B$32</f>
        <v/>
      </c>
      <c r="AI527" s="160">
        <f>SUM(Y527:Z527)*'Sites'!$R$8</f>
        <v/>
      </c>
      <c r="AJ527" s="160">
        <f>SUM(AA527:AH527)</f>
        <v/>
      </c>
      <c r="AK527" s="160">
        <f>AJ527+(T527-U527)*'NM Play'!$B$22+MIN(G527,N527*'NM Play'!$B$11)/'NM Play'!$B$13*'NM Play'!$B$21*'NM Play'!$B$22+MIN(H527,N527*'NM Play'!$B$12)/'NM Play'!$B$14*IF('Sites'!$C$8="Own sheets",'NM Play'!$B$21*'NM Play'!$B$22,'NM Play'!$B$28*'NM Play'!$B$14/'NM Play'!$B$12)</f>
        <v/>
      </c>
      <c r="AL527" s="160">
        <f>Y527*'Assumptions'!U66</f>
        <v/>
      </c>
      <c r="AM527" s="160">
        <f>IF('Sites'!$D$8="NM crew",S527*'NM Play'!$B$37*(1+IF(AND(ISNUMBER('NM Play'!$B$25),'NM Play'!$B$25&gt;0),1,0)),"")</f>
        <v/>
      </c>
      <c r="AN527" s="160">
        <f>IF(OR('Sites'!$E$8&lt;0,'Sites'!$E$8&gt;1,'Sites'!$F$8&lt;1,'Sites'!$G$8&lt;'Sites'!$F$8,F527&lt;0,MIN('Sites'!$I$8:'Sites'!$R$8)&lt;0,'Sites'!$L$8&gt;'Sites'!$I$8,'Sites'!$M$8&gt;'Sites'!$J$8,'Sites'!$N$8&gt;'Sites'!$K$8,'Sites'!$Z$8&lt;0,'Sites'!$Z$8&gt;1,MIN('Sites'!$AA$8:'Sites'!$AC$8)&lt;0,S527&gt;F527+0.001),1,0)</f>
        <v/>
      </c>
      <c r="AO527" s="160">
        <f>I527+U527-T527-X527</f>
        <v/>
      </c>
    </row>
    <row r="528" ht="28" customHeight="1">
      <c r="A528" s="4" t="inlineStr">
        <is>
          <t>Lower sales</t>
        </is>
      </c>
      <c r="B528" s="4" t="inlineStr">
        <is>
          <t>NEW2</t>
        </is>
      </c>
      <c r="C528" s="160" t="n">
        <v>19</v>
      </c>
      <c r="D528" s="160">
        <f>ROUNDUP(C528/12,0)</f>
        <v/>
      </c>
      <c r="E528" s="160">
        <f>IF(AND('Sites'!$E$8*'Cases'!$F$10=1,C528&gt;='Sites'!$F$8+'Cases'!$G$10,C528&lt;='Sites'!$G$8),1,0)</f>
        <v/>
      </c>
      <c r="F528" s="160">
        <f>E528*'Assumptions'!V69</f>
        <v/>
      </c>
      <c r="G528" s="160">
        <f>V527</f>
        <v/>
      </c>
      <c r="H528" s="160">
        <f>W527</f>
        <v/>
      </c>
      <c r="I528" s="160">
        <f>X527</f>
        <v/>
      </c>
      <c r="J528" s="160">
        <f>MAX(0,'Sites'!$J$8-SUM(N522:N527))</f>
        <v/>
      </c>
      <c r="K528" s="160">
        <f>IF('Sites'!$C$8="Own sheets",MIN(ROUNDDOWN(G528/'NM Play'!$B$11,0)+F528*'NM Play'!$B$10/'NM Play'!$B$43,ROUNDDOWN(H528/'NM Play'!$B$12,0)+F528*'NM Play'!$B$10/'NM Play'!$B$44,(F528*'NM Play'!$B$10+ROUNDDOWN(G528/'NM Play'!$B$11,0)*'NM Play'!$B$43+ROUNDDOWN(H528/'NM Play'!$B$12,0)*'NM Play'!$B$44)/('NM Play'!$B$43+'NM Play'!$B$44)),ROUNDDOWN(G528/'NM Play'!$B$11,0)+F528*'NM Play'!$B$10/'NM Play'!$B$43)</f>
        <v/>
      </c>
      <c r="L528" s="160">
        <f>MIN(ROUNDDOWN(G528/'NM Play'!$B$11,0)+F528/('NM Play'!$B$43/'NM Play'!$B$15),ROUNDDOWN(H528/'NM Play'!$B$12,0)+F528/('NM Play'!$B$44/'NM Play'!$B$16),(F528+ROUNDDOWN(G528/'NM Play'!$B$11,0)*'NM Play'!$B$43/'NM Play'!$B$15+ROUNDDOWN(H528/'NM Play'!$B$12,0)*'NM Play'!$B$44/'NM Play'!$B$16)/('NM Play'!$B$43/'NM Play'!$B$15+'NM Play'!$B$44/'NM Play'!$B$16))</f>
        <v/>
      </c>
      <c r="M528" s="160">
        <f>F528*'NM Play'!$B$36</f>
        <v/>
      </c>
      <c r="N528" s="160">
        <f>ROUNDDOWN(MAX(0,MIN(J528,K528:M528)),0)</f>
        <v/>
      </c>
      <c r="O528" s="160">
        <f>ROUNDUP(MAX(0,N528*'NM Play'!$B$11-G528)/'NM Play'!$B$13,0)</f>
        <v/>
      </c>
      <c r="P528" s="160">
        <f>ROUNDUP(MAX(0,N528*'NM Play'!$B$12-H528)/'NM Play'!$B$14,0)</f>
        <v/>
      </c>
      <c r="Q528" s="160">
        <f>(O528+IF('Sites'!$C$8="Own sheets",P528,0))/'NM Play'!$B$10</f>
        <v/>
      </c>
      <c r="R528" s="160">
        <f>O528/'NM Play'!$B$15+P528/'NM Play'!$B$16</f>
        <v/>
      </c>
      <c r="S528" s="160">
        <f>MAX(Q528,R528,N528/'NM Play'!$B$36)</f>
        <v/>
      </c>
      <c r="T528" s="160">
        <f>Q528*'NM Play'!$B$10*'NM Play'!$B$21*(1+'NM Play'!$B$35)</f>
        <v/>
      </c>
      <c r="U528" s="160">
        <f>MAX(0,T528-I528)</f>
        <v/>
      </c>
      <c r="V528" s="160">
        <f>G528+O528*'NM Play'!$B$13-N528*'NM Play'!$B$11</f>
        <v/>
      </c>
      <c r="W528" s="160">
        <f>H528+P528*'NM Play'!$B$14-N528*'NM Play'!$B$12</f>
        <v/>
      </c>
      <c r="X528" s="160">
        <f>I528+U528-T528</f>
        <v/>
      </c>
      <c r="Y528" s="160">
        <f>MIN(N528,MAX(0,ROUNDDOWN('Sites'!$M$8*'Cases'!$E$10,0)-SUM(Y522:Y527)))</f>
        <v/>
      </c>
      <c r="Z528" s="160">
        <f>N528-Y528</f>
        <v/>
      </c>
      <c r="AA528" s="160">
        <f>U528*'NM Play'!$B$22</f>
        <v/>
      </c>
      <c r="AB528" s="160">
        <f>N528*SUM('NM Play'!$B$29:$B$31)</f>
        <v/>
      </c>
      <c r="AC528" s="160">
        <f>IF('Sites'!$C$8="Defy legs",P528*'NM Play'!$B$14/'NM Play'!$B$12*'NM Play'!$B$28,0)</f>
        <v/>
      </c>
      <c r="AD528" s="160">
        <f>Q528*'NM Play'!$B$23</f>
        <v/>
      </c>
      <c r="AE528" s="160">
        <f>S528*SUM('NM Play'!$B$26,'NM Play'!$B$33:$B$34)</f>
        <v/>
      </c>
      <c r="AF528" s="160">
        <f>IF('Sites'!$D$8="NM crew",S528*SUM('NM Play'!$B$24:$B$25),0)</f>
        <v/>
      </c>
      <c r="AG528" s="160">
        <f>IF('Sites'!$D$8="NM crew",S528*'NM Play'!$B$27,0)</f>
        <v/>
      </c>
      <c r="AH528" s="160">
        <f>N528*'Sites'!$Z$8*'NM Play'!$B$32</f>
        <v/>
      </c>
      <c r="AI528" s="160">
        <f>SUM(Y528:Z528)*'Sites'!$R$8</f>
        <v/>
      </c>
      <c r="AJ528" s="160">
        <f>SUM(AA528:AH528)</f>
        <v/>
      </c>
      <c r="AK528" s="160">
        <f>AJ528+(T528-U528)*'NM Play'!$B$22+MIN(G528,N528*'NM Play'!$B$11)/'NM Play'!$B$13*'NM Play'!$B$21*'NM Play'!$B$22+MIN(H528,N528*'NM Play'!$B$12)/'NM Play'!$B$14*IF('Sites'!$C$8="Own sheets",'NM Play'!$B$21*'NM Play'!$B$22,'NM Play'!$B$28*'NM Play'!$B$14/'NM Play'!$B$12)</f>
        <v/>
      </c>
      <c r="AL528" s="160">
        <f>Y528*'Assumptions'!V66</f>
        <v/>
      </c>
      <c r="AM528" s="160">
        <f>IF('Sites'!$D$8="NM crew",S528*'NM Play'!$B$37*(1+IF(AND(ISNUMBER('NM Play'!$B$25),'NM Play'!$B$25&gt;0),1,0)),"")</f>
        <v/>
      </c>
      <c r="AN528" s="160">
        <f>IF(OR('Sites'!$E$8&lt;0,'Sites'!$E$8&gt;1,'Sites'!$F$8&lt;1,'Sites'!$G$8&lt;'Sites'!$F$8,F528&lt;0,MIN('Sites'!$I$8:'Sites'!$R$8)&lt;0,'Sites'!$L$8&gt;'Sites'!$I$8,'Sites'!$M$8&gt;'Sites'!$J$8,'Sites'!$N$8&gt;'Sites'!$K$8,'Sites'!$Z$8&lt;0,'Sites'!$Z$8&gt;1,MIN('Sites'!$AA$8:'Sites'!$AC$8)&lt;0,S528&gt;F528+0.001),1,0)</f>
        <v/>
      </c>
      <c r="AO528" s="160">
        <f>I528+U528-T528-X528</f>
        <v/>
      </c>
    </row>
    <row r="529" ht="28" customHeight="1">
      <c r="A529" s="4" t="inlineStr">
        <is>
          <t>Lower sales</t>
        </is>
      </c>
      <c r="B529" s="4" t="inlineStr">
        <is>
          <t>NEW2</t>
        </is>
      </c>
      <c r="C529" s="160" t="n">
        <v>20</v>
      </c>
      <c r="D529" s="160">
        <f>ROUNDUP(C529/12,0)</f>
        <v/>
      </c>
      <c r="E529" s="160">
        <f>IF(AND('Sites'!$E$8*'Cases'!$F$10=1,C529&gt;='Sites'!$F$8+'Cases'!$G$10,C529&lt;='Sites'!$G$8),1,0)</f>
        <v/>
      </c>
      <c r="F529" s="160">
        <f>E529*'Assumptions'!W69</f>
        <v/>
      </c>
      <c r="G529" s="160">
        <f>V528</f>
        <v/>
      </c>
      <c r="H529" s="160">
        <f>W528</f>
        <v/>
      </c>
      <c r="I529" s="160">
        <f>X528</f>
        <v/>
      </c>
      <c r="J529" s="160">
        <f>MAX(0,'Sites'!$J$8-SUM(N522:N528))</f>
        <v/>
      </c>
      <c r="K529" s="160">
        <f>IF('Sites'!$C$8="Own sheets",MIN(ROUNDDOWN(G529/'NM Play'!$B$11,0)+F529*'NM Play'!$B$10/'NM Play'!$B$43,ROUNDDOWN(H529/'NM Play'!$B$12,0)+F529*'NM Play'!$B$10/'NM Play'!$B$44,(F529*'NM Play'!$B$10+ROUNDDOWN(G529/'NM Play'!$B$11,0)*'NM Play'!$B$43+ROUNDDOWN(H529/'NM Play'!$B$12,0)*'NM Play'!$B$44)/('NM Play'!$B$43+'NM Play'!$B$44)),ROUNDDOWN(G529/'NM Play'!$B$11,0)+F529*'NM Play'!$B$10/'NM Play'!$B$43)</f>
        <v/>
      </c>
      <c r="L529" s="160">
        <f>MIN(ROUNDDOWN(G529/'NM Play'!$B$11,0)+F529/('NM Play'!$B$43/'NM Play'!$B$15),ROUNDDOWN(H529/'NM Play'!$B$12,0)+F529/('NM Play'!$B$44/'NM Play'!$B$16),(F529+ROUNDDOWN(G529/'NM Play'!$B$11,0)*'NM Play'!$B$43/'NM Play'!$B$15+ROUNDDOWN(H529/'NM Play'!$B$12,0)*'NM Play'!$B$44/'NM Play'!$B$16)/('NM Play'!$B$43/'NM Play'!$B$15+'NM Play'!$B$44/'NM Play'!$B$16))</f>
        <v/>
      </c>
      <c r="M529" s="160">
        <f>F529*'NM Play'!$B$36</f>
        <v/>
      </c>
      <c r="N529" s="160">
        <f>ROUNDDOWN(MAX(0,MIN(J529,K529:M529)),0)</f>
        <v/>
      </c>
      <c r="O529" s="160">
        <f>ROUNDUP(MAX(0,N529*'NM Play'!$B$11-G529)/'NM Play'!$B$13,0)</f>
        <v/>
      </c>
      <c r="P529" s="160">
        <f>ROUNDUP(MAX(0,N529*'NM Play'!$B$12-H529)/'NM Play'!$B$14,0)</f>
        <v/>
      </c>
      <c r="Q529" s="160">
        <f>(O529+IF('Sites'!$C$8="Own sheets",P529,0))/'NM Play'!$B$10</f>
        <v/>
      </c>
      <c r="R529" s="160">
        <f>O529/'NM Play'!$B$15+P529/'NM Play'!$B$16</f>
        <v/>
      </c>
      <c r="S529" s="160">
        <f>MAX(Q529,R529,N529/'NM Play'!$B$36)</f>
        <v/>
      </c>
      <c r="T529" s="160">
        <f>Q529*'NM Play'!$B$10*'NM Play'!$B$21*(1+'NM Play'!$B$35)</f>
        <v/>
      </c>
      <c r="U529" s="160">
        <f>MAX(0,T529-I529)</f>
        <v/>
      </c>
      <c r="V529" s="160">
        <f>G529+O529*'NM Play'!$B$13-N529*'NM Play'!$B$11</f>
        <v/>
      </c>
      <c r="W529" s="160">
        <f>H529+P529*'NM Play'!$B$14-N529*'NM Play'!$B$12</f>
        <v/>
      </c>
      <c r="X529" s="160">
        <f>I529+U529-T529</f>
        <v/>
      </c>
      <c r="Y529" s="160">
        <f>MIN(N529,MAX(0,ROUNDDOWN('Sites'!$M$8*'Cases'!$E$10,0)-SUM(Y522:Y528)))</f>
        <v/>
      </c>
      <c r="Z529" s="160">
        <f>N529-Y529</f>
        <v/>
      </c>
      <c r="AA529" s="160">
        <f>U529*'NM Play'!$B$22</f>
        <v/>
      </c>
      <c r="AB529" s="160">
        <f>N529*SUM('NM Play'!$B$29:$B$31)</f>
        <v/>
      </c>
      <c r="AC529" s="160">
        <f>IF('Sites'!$C$8="Defy legs",P529*'NM Play'!$B$14/'NM Play'!$B$12*'NM Play'!$B$28,0)</f>
        <v/>
      </c>
      <c r="AD529" s="160">
        <f>Q529*'NM Play'!$B$23</f>
        <v/>
      </c>
      <c r="AE529" s="160">
        <f>S529*SUM('NM Play'!$B$26,'NM Play'!$B$33:$B$34)</f>
        <v/>
      </c>
      <c r="AF529" s="160">
        <f>IF('Sites'!$D$8="NM crew",S529*SUM('NM Play'!$B$24:$B$25),0)</f>
        <v/>
      </c>
      <c r="AG529" s="160">
        <f>IF('Sites'!$D$8="NM crew",S529*'NM Play'!$B$27,0)</f>
        <v/>
      </c>
      <c r="AH529" s="160">
        <f>N529*'Sites'!$Z$8*'NM Play'!$B$32</f>
        <v/>
      </c>
      <c r="AI529" s="160">
        <f>SUM(Y529:Z529)*'Sites'!$R$8</f>
        <v/>
      </c>
      <c r="AJ529" s="160">
        <f>SUM(AA529:AH529)</f>
        <v/>
      </c>
      <c r="AK529" s="160">
        <f>AJ529+(T529-U529)*'NM Play'!$B$22+MIN(G529,N529*'NM Play'!$B$11)/'NM Play'!$B$13*'NM Play'!$B$21*'NM Play'!$B$22+MIN(H529,N529*'NM Play'!$B$12)/'NM Play'!$B$14*IF('Sites'!$C$8="Own sheets",'NM Play'!$B$21*'NM Play'!$B$22,'NM Play'!$B$28*'NM Play'!$B$14/'NM Play'!$B$12)</f>
        <v/>
      </c>
      <c r="AL529" s="160">
        <f>Y529*'Assumptions'!W66</f>
        <v/>
      </c>
      <c r="AM529" s="160">
        <f>IF('Sites'!$D$8="NM crew",S529*'NM Play'!$B$37*(1+IF(AND(ISNUMBER('NM Play'!$B$25),'NM Play'!$B$25&gt;0),1,0)),"")</f>
        <v/>
      </c>
      <c r="AN529" s="160">
        <f>IF(OR('Sites'!$E$8&lt;0,'Sites'!$E$8&gt;1,'Sites'!$F$8&lt;1,'Sites'!$G$8&lt;'Sites'!$F$8,F529&lt;0,MIN('Sites'!$I$8:'Sites'!$R$8)&lt;0,'Sites'!$L$8&gt;'Sites'!$I$8,'Sites'!$M$8&gt;'Sites'!$J$8,'Sites'!$N$8&gt;'Sites'!$K$8,'Sites'!$Z$8&lt;0,'Sites'!$Z$8&gt;1,MIN('Sites'!$AA$8:'Sites'!$AC$8)&lt;0,S529&gt;F529+0.001),1,0)</f>
        <v/>
      </c>
      <c r="AO529" s="160">
        <f>I529+U529-T529-X529</f>
        <v/>
      </c>
    </row>
    <row r="530" ht="28" customHeight="1">
      <c r="A530" s="4" t="inlineStr">
        <is>
          <t>Lower sales</t>
        </is>
      </c>
      <c r="B530" s="4" t="inlineStr">
        <is>
          <t>NEW2</t>
        </is>
      </c>
      <c r="C530" s="160" t="n">
        <v>21</v>
      </c>
      <c r="D530" s="160">
        <f>ROUNDUP(C530/12,0)</f>
        <v/>
      </c>
      <c r="E530" s="160">
        <f>IF(AND('Sites'!$E$8*'Cases'!$F$10=1,C530&gt;='Sites'!$F$8+'Cases'!$G$10,C530&lt;='Sites'!$G$8),1,0)</f>
        <v/>
      </c>
      <c r="F530" s="160">
        <f>E530*'Assumptions'!X69</f>
        <v/>
      </c>
      <c r="G530" s="160">
        <f>V529</f>
        <v/>
      </c>
      <c r="H530" s="160">
        <f>W529</f>
        <v/>
      </c>
      <c r="I530" s="160">
        <f>X529</f>
        <v/>
      </c>
      <c r="J530" s="160">
        <f>MAX(0,'Sites'!$J$8-SUM(N522:N529))</f>
        <v/>
      </c>
      <c r="K530" s="160">
        <f>IF('Sites'!$C$8="Own sheets",MIN(ROUNDDOWN(G530/'NM Play'!$B$11,0)+F530*'NM Play'!$B$10/'NM Play'!$B$43,ROUNDDOWN(H530/'NM Play'!$B$12,0)+F530*'NM Play'!$B$10/'NM Play'!$B$44,(F530*'NM Play'!$B$10+ROUNDDOWN(G530/'NM Play'!$B$11,0)*'NM Play'!$B$43+ROUNDDOWN(H530/'NM Play'!$B$12,0)*'NM Play'!$B$44)/('NM Play'!$B$43+'NM Play'!$B$44)),ROUNDDOWN(G530/'NM Play'!$B$11,0)+F530*'NM Play'!$B$10/'NM Play'!$B$43)</f>
        <v/>
      </c>
      <c r="L530" s="160">
        <f>MIN(ROUNDDOWN(G530/'NM Play'!$B$11,0)+F530/('NM Play'!$B$43/'NM Play'!$B$15),ROUNDDOWN(H530/'NM Play'!$B$12,0)+F530/('NM Play'!$B$44/'NM Play'!$B$16),(F530+ROUNDDOWN(G530/'NM Play'!$B$11,0)*'NM Play'!$B$43/'NM Play'!$B$15+ROUNDDOWN(H530/'NM Play'!$B$12,0)*'NM Play'!$B$44/'NM Play'!$B$16)/('NM Play'!$B$43/'NM Play'!$B$15+'NM Play'!$B$44/'NM Play'!$B$16))</f>
        <v/>
      </c>
      <c r="M530" s="160">
        <f>F530*'NM Play'!$B$36</f>
        <v/>
      </c>
      <c r="N530" s="160">
        <f>ROUNDDOWN(MAX(0,MIN(J530,K530:M530)),0)</f>
        <v/>
      </c>
      <c r="O530" s="160">
        <f>ROUNDUP(MAX(0,N530*'NM Play'!$B$11-G530)/'NM Play'!$B$13,0)</f>
        <v/>
      </c>
      <c r="P530" s="160">
        <f>ROUNDUP(MAX(0,N530*'NM Play'!$B$12-H530)/'NM Play'!$B$14,0)</f>
        <v/>
      </c>
      <c r="Q530" s="160">
        <f>(O530+IF('Sites'!$C$8="Own sheets",P530,0))/'NM Play'!$B$10</f>
        <v/>
      </c>
      <c r="R530" s="160">
        <f>O530/'NM Play'!$B$15+P530/'NM Play'!$B$16</f>
        <v/>
      </c>
      <c r="S530" s="160">
        <f>MAX(Q530,R530,N530/'NM Play'!$B$36)</f>
        <v/>
      </c>
      <c r="T530" s="160">
        <f>Q530*'NM Play'!$B$10*'NM Play'!$B$21*(1+'NM Play'!$B$35)</f>
        <v/>
      </c>
      <c r="U530" s="160">
        <f>MAX(0,T530-I530)</f>
        <v/>
      </c>
      <c r="V530" s="160">
        <f>G530+O530*'NM Play'!$B$13-N530*'NM Play'!$B$11</f>
        <v/>
      </c>
      <c r="W530" s="160">
        <f>H530+P530*'NM Play'!$B$14-N530*'NM Play'!$B$12</f>
        <v/>
      </c>
      <c r="X530" s="160">
        <f>I530+U530-T530</f>
        <v/>
      </c>
      <c r="Y530" s="160">
        <f>MIN(N530,MAX(0,ROUNDDOWN('Sites'!$M$8*'Cases'!$E$10,0)-SUM(Y522:Y529)))</f>
        <v/>
      </c>
      <c r="Z530" s="160">
        <f>N530-Y530</f>
        <v/>
      </c>
      <c r="AA530" s="160">
        <f>U530*'NM Play'!$B$22</f>
        <v/>
      </c>
      <c r="AB530" s="160">
        <f>N530*SUM('NM Play'!$B$29:$B$31)</f>
        <v/>
      </c>
      <c r="AC530" s="160">
        <f>IF('Sites'!$C$8="Defy legs",P530*'NM Play'!$B$14/'NM Play'!$B$12*'NM Play'!$B$28,0)</f>
        <v/>
      </c>
      <c r="AD530" s="160">
        <f>Q530*'NM Play'!$B$23</f>
        <v/>
      </c>
      <c r="AE530" s="160">
        <f>S530*SUM('NM Play'!$B$26,'NM Play'!$B$33:$B$34)</f>
        <v/>
      </c>
      <c r="AF530" s="160">
        <f>IF('Sites'!$D$8="NM crew",S530*SUM('NM Play'!$B$24:$B$25),0)</f>
        <v/>
      </c>
      <c r="AG530" s="160">
        <f>IF('Sites'!$D$8="NM crew",S530*'NM Play'!$B$27,0)</f>
        <v/>
      </c>
      <c r="AH530" s="160">
        <f>N530*'Sites'!$Z$8*'NM Play'!$B$32</f>
        <v/>
      </c>
      <c r="AI530" s="160">
        <f>SUM(Y530:Z530)*'Sites'!$R$8</f>
        <v/>
      </c>
      <c r="AJ530" s="160">
        <f>SUM(AA530:AH530)</f>
        <v/>
      </c>
      <c r="AK530" s="160">
        <f>AJ530+(T530-U530)*'NM Play'!$B$22+MIN(G530,N530*'NM Play'!$B$11)/'NM Play'!$B$13*'NM Play'!$B$21*'NM Play'!$B$22+MIN(H530,N530*'NM Play'!$B$12)/'NM Play'!$B$14*IF('Sites'!$C$8="Own sheets",'NM Play'!$B$21*'NM Play'!$B$22,'NM Play'!$B$28*'NM Play'!$B$14/'NM Play'!$B$12)</f>
        <v/>
      </c>
      <c r="AL530" s="160">
        <f>Y530*'Assumptions'!X66</f>
        <v/>
      </c>
      <c r="AM530" s="160">
        <f>IF('Sites'!$D$8="NM crew",S530*'NM Play'!$B$37*(1+IF(AND(ISNUMBER('NM Play'!$B$25),'NM Play'!$B$25&gt;0),1,0)),"")</f>
        <v/>
      </c>
      <c r="AN530" s="160">
        <f>IF(OR('Sites'!$E$8&lt;0,'Sites'!$E$8&gt;1,'Sites'!$F$8&lt;1,'Sites'!$G$8&lt;'Sites'!$F$8,F530&lt;0,MIN('Sites'!$I$8:'Sites'!$R$8)&lt;0,'Sites'!$L$8&gt;'Sites'!$I$8,'Sites'!$M$8&gt;'Sites'!$J$8,'Sites'!$N$8&gt;'Sites'!$K$8,'Sites'!$Z$8&lt;0,'Sites'!$Z$8&gt;1,MIN('Sites'!$AA$8:'Sites'!$AC$8)&lt;0,S530&gt;F530+0.001),1,0)</f>
        <v/>
      </c>
      <c r="AO530" s="160">
        <f>I530+U530-T530-X530</f>
        <v/>
      </c>
    </row>
    <row r="531" ht="28" customHeight="1">
      <c r="A531" s="4" t="inlineStr">
        <is>
          <t>Lower sales</t>
        </is>
      </c>
      <c r="B531" s="4" t="inlineStr">
        <is>
          <t>NEW2</t>
        </is>
      </c>
      <c r="C531" s="160" t="n">
        <v>22</v>
      </c>
      <c r="D531" s="160">
        <f>ROUNDUP(C531/12,0)</f>
        <v/>
      </c>
      <c r="E531" s="160">
        <f>IF(AND('Sites'!$E$8*'Cases'!$F$10=1,C531&gt;='Sites'!$F$8+'Cases'!$G$10,C531&lt;='Sites'!$G$8),1,0)</f>
        <v/>
      </c>
      <c r="F531" s="160">
        <f>E531*'Assumptions'!Y69</f>
        <v/>
      </c>
      <c r="G531" s="160">
        <f>V530</f>
        <v/>
      </c>
      <c r="H531" s="160">
        <f>W530</f>
        <v/>
      </c>
      <c r="I531" s="160">
        <f>X530</f>
        <v/>
      </c>
      <c r="J531" s="160">
        <f>MAX(0,'Sites'!$J$8-SUM(N522:N530))</f>
        <v/>
      </c>
      <c r="K531" s="160">
        <f>IF('Sites'!$C$8="Own sheets",MIN(ROUNDDOWN(G531/'NM Play'!$B$11,0)+F531*'NM Play'!$B$10/'NM Play'!$B$43,ROUNDDOWN(H531/'NM Play'!$B$12,0)+F531*'NM Play'!$B$10/'NM Play'!$B$44,(F531*'NM Play'!$B$10+ROUNDDOWN(G531/'NM Play'!$B$11,0)*'NM Play'!$B$43+ROUNDDOWN(H531/'NM Play'!$B$12,0)*'NM Play'!$B$44)/('NM Play'!$B$43+'NM Play'!$B$44)),ROUNDDOWN(G531/'NM Play'!$B$11,0)+F531*'NM Play'!$B$10/'NM Play'!$B$43)</f>
        <v/>
      </c>
      <c r="L531" s="160">
        <f>MIN(ROUNDDOWN(G531/'NM Play'!$B$11,0)+F531/('NM Play'!$B$43/'NM Play'!$B$15),ROUNDDOWN(H531/'NM Play'!$B$12,0)+F531/('NM Play'!$B$44/'NM Play'!$B$16),(F531+ROUNDDOWN(G531/'NM Play'!$B$11,0)*'NM Play'!$B$43/'NM Play'!$B$15+ROUNDDOWN(H531/'NM Play'!$B$12,0)*'NM Play'!$B$44/'NM Play'!$B$16)/('NM Play'!$B$43/'NM Play'!$B$15+'NM Play'!$B$44/'NM Play'!$B$16))</f>
        <v/>
      </c>
      <c r="M531" s="160">
        <f>F531*'NM Play'!$B$36</f>
        <v/>
      </c>
      <c r="N531" s="160">
        <f>ROUNDDOWN(MAX(0,MIN(J531,K531:M531)),0)</f>
        <v/>
      </c>
      <c r="O531" s="160">
        <f>ROUNDUP(MAX(0,N531*'NM Play'!$B$11-G531)/'NM Play'!$B$13,0)</f>
        <v/>
      </c>
      <c r="P531" s="160">
        <f>ROUNDUP(MAX(0,N531*'NM Play'!$B$12-H531)/'NM Play'!$B$14,0)</f>
        <v/>
      </c>
      <c r="Q531" s="160">
        <f>(O531+IF('Sites'!$C$8="Own sheets",P531,0))/'NM Play'!$B$10</f>
        <v/>
      </c>
      <c r="R531" s="160">
        <f>O531/'NM Play'!$B$15+P531/'NM Play'!$B$16</f>
        <v/>
      </c>
      <c r="S531" s="160">
        <f>MAX(Q531,R531,N531/'NM Play'!$B$36)</f>
        <v/>
      </c>
      <c r="T531" s="160">
        <f>Q531*'NM Play'!$B$10*'NM Play'!$B$21*(1+'NM Play'!$B$35)</f>
        <v/>
      </c>
      <c r="U531" s="160">
        <f>MAX(0,T531-I531)</f>
        <v/>
      </c>
      <c r="V531" s="160">
        <f>G531+O531*'NM Play'!$B$13-N531*'NM Play'!$B$11</f>
        <v/>
      </c>
      <c r="W531" s="160">
        <f>H531+P531*'NM Play'!$B$14-N531*'NM Play'!$B$12</f>
        <v/>
      </c>
      <c r="X531" s="160">
        <f>I531+U531-T531</f>
        <v/>
      </c>
      <c r="Y531" s="160">
        <f>MIN(N531,MAX(0,ROUNDDOWN('Sites'!$M$8*'Cases'!$E$10,0)-SUM(Y522:Y530)))</f>
        <v/>
      </c>
      <c r="Z531" s="160">
        <f>N531-Y531</f>
        <v/>
      </c>
      <c r="AA531" s="160">
        <f>U531*'NM Play'!$B$22</f>
        <v/>
      </c>
      <c r="AB531" s="160">
        <f>N531*SUM('NM Play'!$B$29:$B$31)</f>
        <v/>
      </c>
      <c r="AC531" s="160">
        <f>IF('Sites'!$C$8="Defy legs",P531*'NM Play'!$B$14/'NM Play'!$B$12*'NM Play'!$B$28,0)</f>
        <v/>
      </c>
      <c r="AD531" s="160">
        <f>Q531*'NM Play'!$B$23</f>
        <v/>
      </c>
      <c r="AE531" s="160">
        <f>S531*SUM('NM Play'!$B$26,'NM Play'!$B$33:$B$34)</f>
        <v/>
      </c>
      <c r="AF531" s="160">
        <f>IF('Sites'!$D$8="NM crew",S531*SUM('NM Play'!$B$24:$B$25),0)</f>
        <v/>
      </c>
      <c r="AG531" s="160">
        <f>IF('Sites'!$D$8="NM crew",S531*'NM Play'!$B$27,0)</f>
        <v/>
      </c>
      <c r="AH531" s="160">
        <f>N531*'Sites'!$Z$8*'NM Play'!$B$32</f>
        <v/>
      </c>
      <c r="AI531" s="160">
        <f>SUM(Y531:Z531)*'Sites'!$R$8</f>
        <v/>
      </c>
      <c r="AJ531" s="160">
        <f>SUM(AA531:AH531)</f>
        <v/>
      </c>
      <c r="AK531" s="160">
        <f>AJ531+(T531-U531)*'NM Play'!$B$22+MIN(G531,N531*'NM Play'!$B$11)/'NM Play'!$B$13*'NM Play'!$B$21*'NM Play'!$B$22+MIN(H531,N531*'NM Play'!$B$12)/'NM Play'!$B$14*IF('Sites'!$C$8="Own sheets",'NM Play'!$B$21*'NM Play'!$B$22,'NM Play'!$B$28*'NM Play'!$B$14/'NM Play'!$B$12)</f>
        <v/>
      </c>
      <c r="AL531" s="160">
        <f>Y531*'Assumptions'!Y66</f>
        <v/>
      </c>
      <c r="AM531" s="160">
        <f>IF('Sites'!$D$8="NM crew",S531*'NM Play'!$B$37*(1+IF(AND(ISNUMBER('NM Play'!$B$25),'NM Play'!$B$25&gt;0),1,0)),"")</f>
        <v/>
      </c>
      <c r="AN531" s="160">
        <f>IF(OR('Sites'!$E$8&lt;0,'Sites'!$E$8&gt;1,'Sites'!$F$8&lt;1,'Sites'!$G$8&lt;'Sites'!$F$8,F531&lt;0,MIN('Sites'!$I$8:'Sites'!$R$8)&lt;0,'Sites'!$L$8&gt;'Sites'!$I$8,'Sites'!$M$8&gt;'Sites'!$J$8,'Sites'!$N$8&gt;'Sites'!$K$8,'Sites'!$Z$8&lt;0,'Sites'!$Z$8&gt;1,MIN('Sites'!$AA$8:'Sites'!$AC$8)&lt;0,S531&gt;F531+0.001),1,0)</f>
        <v/>
      </c>
      <c r="AO531" s="160">
        <f>I531+U531-T531-X531</f>
        <v/>
      </c>
    </row>
    <row r="532" ht="28" customHeight="1">
      <c r="A532" s="4" t="inlineStr">
        <is>
          <t>Lower sales</t>
        </is>
      </c>
      <c r="B532" s="4" t="inlineStr">
        <is>
          <t>NEW2</t>
        </is>
      </c>
      <c r="C532" s="160" t="n">
        <v>23</v>
      </c>
      <c r="D532" s="160">
        <f>ROUNDUP(C532/12,0)</f>
        <v/>
      </c>
      <c r="E532" s="160">
        <f>IF(AND('Sites'!$E$8*'Cases'!$F$10=1,C532&gt;='Sites'!$F$8+'Cases'!$G$10,C532&lt;='Sites'!$G$8),1,0)</f>
        <v/>
      </c>
      <c r="F532" s="160">
        <f>E532*'Assumptions'!Z69</f>
        <v/>
      </c>
      <c r="G532" s="160">
        <f>V531</f>
        <v/>
      </c>
      <c r="H532" s="160">
        <f>W531</f>
        <v/>
      </c>
      <c r="I532" s="160">
        <f>X531</f>
        <v/>
      </c>
      <c r="J532" s="160">
        <f>MAX(0,'Sites'!$J$8-SUM(N522:N531))</f>
        <v/>
      </c>
      <c r="K532" s="160">
        <f>IF('Sites'!$C$8="Own sheets",MIN(ROUNDDOWN(G532/'NM Play'!$B$11,0)+F532*'NM Play'!$B$10/'NM Play'!$B$43,ROUNDDOWN(H532/'NM Play'!$B$12,0)+F532*'NM Play'!$B$10/'NM Play'!$B$44,(F532*'NM Play'!$B$10+ROUNDDOWN(G532/'NM Play'!$B$11,0)*'NM Play'!$B$43+ROUNDDOWN(H532/'NM Play'!$B$12,0)*'NM Play'!$B$44)/('NM Play'!$B$43+'NM Play'!$B$44)),ROUNDDOWN(G532/'NM Play'!$B$11,0)+F532*'NM Play'!$B$10/'NM Play'!$B$43)</f>
        <v/>
      </c>
      <c r="L532" s="160">
        <f>MIN(ROUNDDOWN(G532/'NM Play'!$B$11,0)+F532/('NM Play'!$B$43/'NM Play'!$B$15),ROUNDDOWN(H532/'NM Play'!$B$12,0)+F532/('NM Play'!$B$44/'NM Play'!$B$16),(F532+ROUNDDOWN(G532/'NM Play'!$B$11,0)*'NM Play'!$B$43/'NM Play'!$B$15+ROUNDDOWN(H532/'NM Play'!$B$12,0)*'NM Play'!$B$44/'NM Play'!$B$16)/('NM Play'!$B$43/'NM Play'!$B$15+'NM Play'!$B$44/'NM Play'!$B$16))</f>
        <v/>
      </c>
      <c r="M532" s="160">
        <f>F532*'NM Play'!$B$36</f>
        <v/>
      </c>
      <c r="N532" s="160">
        <f>ROUNDDOWN(MAX(0,MIN(J532,K532:M532)),0)</f>
        <v/>
      </c>
      <c r="O532" s="160">
        <f>ROUNDUP(MAX(0,N532*'NM Play'!$B$11-G532)/'NM Play'!$B$13,0)</f>
        <v/>
      </c>
      <c r="P532" s="160">
        <f>ROUNDUP(MAX(0,N532*'NM Play'!$B$12-H532)/'NM Play'!$B$14,0)</f>
        <v/>
      </c>
      <c r="Q532" s="160">
        <f>(O532+IF('Sites'!$C$8="Own sheets",P532,0))/'NM Play'!$B$10</f>
        <v/>
      </c>
      <c r="R532" s="160">
        <f>O532/'NM Play'!$B$15+P532/'NM Play'!$B$16</f>
        <v/>
      </c>
      <c r="S532" s="160">
        <f>MAX(Q532,R532,N532/'NM Play'!$B$36)</f>
        <v/>
      </c>
      <c r="T532" s="160">
        <f>Q532*'NM Play'!$B$10*'NM Play'!$B$21*(1+'NM Play'!$B$35)</f>
        <v/>
      </c>
      <c r="U532" s="160">
        <f>MAX(0,T532-I532)</f>
        <v/>
      </c>
      <c r="V532" s="160">
        <f>G532+O532*'NM Play'!$B$13-N532*'NM Play'!$B$11</f>
        <v/>
      </c>
      <c r="W532" s="160">
        <f>H532+P532*'NM Play'!$B$14-N532*'NM Play'!$B$12</f>
        <v/>
      </c>
      <c r="X532" s="160">
        <f>I532+U532-T532</f>
        <v/>
      </c>
      <c r="Y532" s="160">
        <f>MIN(N532,MAX(0,ROUNDDOWN('Sites'!$M$8*'Cases'!$E$10,0)-SUM(Y522:Y531)))</f>
        <v/>
      </c>
      <c r="Z532" s="160">
        <f>N532-Y532</f>
        <v/>
      </c>
      <c r="AA532" s="160">
        <f>U532*'NM Play'!$B$22</f>
        <v/>
      </c>
      <c r="AB532" s="160">
        <f>N532*SUM('NM Play'!$B$29:$B$31)</f>
        <v/>
      </c>
      <c r="AC532" s="160">
        <f>IF('Sites'!$C$8="Defy legs",P532*'NM Play'!$B$14/'NM Play'!$B$12*'NM Play'!$B$28,0)</f>
        <v/>
      </c>
      <c r="AD532" s="160">
        <f>Q532*'NM Play'!$B$23</f>
        <v/>
      </c>
      <c r="AE532" s="160">
        <f>S532*SUM('NM Play'!$B$26,'NM Play'!$B$33:$B$34)</f>
        <v/>
      </c>
      <c r="AF532" s="160">
        <f>IF('Sites'!$D$8="NM crew",S532*SUM('NM Play'!$B$24:$B$25),0)</f>
        <v/>
      </c>
      <c r="AG532" s="160">
        <f>IF('Sites'!$D$8="NM crew",S532*'NM Play'!$B$27,0)</f>
        <v/>
      </c>
      <c r="AH532" s="160">
        <f>N532*'Sites'!$Z$8*'NM Play'!$B$32</f>
        <v/>
      </c>
      <c r="AI532" s="160">
        <f>SUM(Y532:Z532)*'Sites'!$R$8</f>
        <v/>
      </c>
      <c r="AJ532" s="160">
        <f>SUM(AA532:AH532)</f>
        <v/>
      </c>
      <c r="AK532" s="160">
        <f>AJ532+(T532-U532)*'NM Play'!$B$22+MIN(G532,N532*'NM Play'!$B$11)/'NM Play'!$B$13*'NM Play'!$B$21*'NM Play'!$B$22+MIN(H532,N532*'NM Play'!$B$12)/'NM Play'!$B$14*IF('Sites'!$C$8="Own sheets",'NM Play'!$B$21*'NM Play'!$B$22,'NM Play'!$B$28*'NM Play'!$B$14/'NM Play'!$B$12)</f>
        <v/>
      </c>
      <c r="AL532" s="160">
        <f>Y532*'Assumptions'!Z66</f>
        <v/>
      </c>
      <c r="AM532" s="160">
        <f>IF('Sites'!$D$8="NM crew",S532*'NM Play'!$B$37*(1+IF(AND(ISNUMBER('NM Play'!$B$25),'NM Play'!$B$25&gt;0),1,0)),"")</f>
        <v/>
      </c>
      <c r="AN532" s="160">
        <f>IF(OR('Sites'!$E$8&lt;0,'Sites'!$E$8&gt;1,'Sites'!$F$8&lt;1,'Sites'!$G$8&lt;'Sites'!$F$8,F532&lt;0,MIN('Sites'!$I$8:'Sites'!$R$8)&lt;0,'Sites'!$L$8&gt;'Sites'!$I$8,'Sites'!$M$8&gt;'Sites'!$J$8,'Sites'!$N$8&gt;'Sites'!$K$8,'Sites'!$Z$8&lt;0,'Sites'!$Z$8&gt;1,MIN('Sites'!$AA$8:'Sites'!$AC$8)&lt;0,S532&gt;F532+0.001),1,0)</f>
        <v/>
      </c>
      <c r="AO532" s="160">
        <f>I532+U532-T532-X532</f>
        <v/>
      </c>
    </row>
    <row r="533" ht="28" customHeight="1">
      <c r="A533" s="4" t="inlineStr">
        <is>
          <t>Lower sales</t>
        </is>
      </c>
      <c r="B533" s="4" t="inlineStr">
        <is>
          <t>NEW2</t>
        </is>
      </c>
      <c r="C533" s="160" t="n">
        <v>24</v>
      </c>
      <c r="D533" s="160">
        <f>ROUNDUP(C533/12,0)</f>
        <v/>
      </c>
      <c r="E533" s="160">
        <f>IF(AND('Sites'!$E$8*'Cases'!$F$10=1,C533&gt;='Sites'!$F$8+'Cases'!$G$10,C533&lt;='Sites'!$G$8),1,0)</f>
        <v/>
      </c>
      <c r="F533" s="160">
        <f>E533*'Assumptions'!AA69</f>
        <v/>
      </c>
      <c r="G533" s="160">
        <f>V532</f>
        <v/>
      </c>
      <c r="H533" s="160">
        <f>W532</f>
        <v/>
      </c>
      <c r="I533" s="160">
        <f>X532</f>
        <v/>
      </c>
      <c r="J533" s="160">
        <f>MAX(0,'Sites'!$J$8-SUM(N522:N532))</f>
        <v/>
      </c>
      <c r="K533" s="160">
        <f>IF('Sites'!$C$8="Own sheets",MIN(ROUNDDOWN(G533/'NM Play'!$B$11,0)+F533*'NM Play'!$B$10/'NM Play'!$B$43,ROUNDDOWN(H533/'NM Play'!$B$12,0)+F533*'NM Play'!$B$10/'NM Play'!$B$44,(F533*'NM Play'!$B$10+ROUNDDOWN(G533/'NM Play'!$B$11,0)*'NM Play'!$B$43+ROUNDDOWN(H533/'NM Play'!$B$12,0)*'NM Play'!$B$44)/('NM Play'!$B$43+'NM Play'!$B$44)),ROUNDDOWN(G533/'NM Play'!$B$11,0)+F533*'NM Play'!$B$10/'NM Play'!$B$43)</f>
        <v/>
      </c>
      <c r="L533" s="160">
        <f>MIN(ROUNDDOWN(G533/'NM Play'!$B$11,0)+F533/('NM Play'!$B$43/'NM Play'!$B$15),ROUNDDOWN(H533/'NM Play'!$B$12,0)+F533/('NM Play'!$B$44/'NM Play'!$B$16),(F533+ROUNDDOWN(G533/'NM Play'!$B$11,0)*'NM Play'!$B$43/'NM Play'!$B$15+ROUNDDOWN(H533/'NM Play'!$B$12,0)*'NM Play'!$B$44/'NM Play'!$B$16)/('NM Play'!$B$43/'NM Play'!$B$15+'NM Play'!$B$44/'NM Play'!$B$16))</f>
        <v/>
      </c>
      <c r="M533" s="160">
        <f>F533*'NM Play'!$B$36</f>
        <v/>
      </c>
      <c r="N533" s="160">
        <f>ROUNDDOWN(MAX(0,MIN(J533,K533:M533)),0)</f>
        <v/>
      </c>
      <c r="O533" s="160">
        <f>ROUNDUP(MAX(0,N533*'NM Play'!$B$11-G533)/'NM Play'!$B$13,0)</f>
        <v/>
      </c>
      <c r="P533" s="160">
        <f>ROUNDUP(MAX(0,N533*'NM Play'!$B$12-H533)/'NM Play'!$B$14,0)</f>
        <v/>
      </c>
      <c r="Q533" s="160">
        <f>(O533+IF('Sites'!$C$8="Own sheets",P533,0))/'NM Play'!$B$10</f>
        <v/>
      </c>
      <c r="R533" s="160">
        <f>O533/'NM Play'!$B$15+P533/'NM Play'!$B$16</f>
        <v/>
      </c>
      <c r="S533" s="160">
        <f>MAX(Q533,R533,N533/'NM Play'!$B$36)</f>
        <v/>
      </c>
      <c r="T533" s="160">
        <f>Q533*'NM Play'!$B$10*'NM Play'!$B$21*(1+'NM Play'!$B$35)</f>
        <v/>
      </c>
      <c r="U533" s="160">
        <f>MAX(0,T533-I533)</f>
        <v/>
      </c>
      <c r="V533" s="160">
        <f>G533+O533*'NM Play'!$B$13-N533*'NM Play'!$B$11</f>
        <v/>
      </c>
      <c r="W533" s="160">
        <f>H533+P533*'NM Play'!$B$14-N533*'NM Play'!$B$12</f>
        <v/>
      </c>
      <c r="X533" s="160">
        <f>I533+U533-T533</f>
        <v/>
      </c>
      <c r="Y533" s="160">
        <f>MIN(N533,MAX(0,ROUNDDOWN('Sites'!$M$8*'Cases'!$E$10,0)-SUM(Y522:Y532)))</f>
        <v/>
      </c>
      <c r="Z533" s="160">
        <f>N533-Y533</f>
        <v/>
      </c>
      <c r="AA533" s="160">
        <f>U533*'NM Play'!$B$22</f>
        <v/>
      </c>
      <c r="AB533" s="160">
        <f>N533*SUM('NM Play'!$B$29:$B$31)</f>
        <v/>
      </c>
      <c r="AC533" s="160">
        <f>IF('Sites'!$C$8="Defy legs",P533*'NM Play'!$B$14/'NM Play'!$B$12*'NM Play'!$B$28,0)</f>
        <v/>
      </c>
      <c r="AD533" s="160">
        <f>Q533*'NM Play'!$B$23</f>
        <v/>
      </c>
      <c r="AE533" s="160">
        <f>S533*SUM('NM Play'!$B$26,'NM Play'!$B$33:$B$34)</f>
        <v/>
      </c>
      <c r="AF533" s="160">
        <f>IF('Sites'!$D$8="NM crew",S533*SUM('NM Play'!$B$24:$B$25),0)</f>
        <v/>
      </c>
      <c r="AG533" s="160">
        <f>IF('Sites'!$D$8="NM crew",S533*'NM Play'!$B$27,0)</f>
        <v/>
      </c>
      <c r="AH533" s="160">
        <f>N533*'Sites'!$Z$8*'NM Play'!$B$32</f>
        <v/>
      </c>
      <c r="AI533" s="160">
        <f>SUM(Y533:Z533)*'Sites'!$R$8</f>
        <v/>
      </c>
      <c r="AJ533" s="160">
        <f>SUM(AA533:AH533)</f>
        <v/>
      </c>
      <c r="AK533" s="160">
        <f>AJ533+(T533-U533)*'NM Play'!$B$22+MIN(G533,N533*'NM Play'!$B$11)/'NM Play'!$B$13*'NM Play'!$B$21*'NM Play'!$B$22+MIN(H533,N533*'NM Play'!$B$12)/'NM Play'!$B$14*IF('Sites'!$C$8="Own sheets",'NM Play'!$B$21*'NM Play'!$B$22,'NM Play'!$B$28*'NM Play'!$B$14/'NM Play'!$B$12)</f>
        <v/>
      </c>
      <c r="AL533" s="160">
        <f>Y533*'Assumptions'!AA66</f>
        <v/>
      </c>
      <c r="AM533" s="160">
        <f>IF('Sites'!$D$8="NM crew",S533*'NM Play'!$B$37*(1+IF(AND(ISNUMBER('NM Play'!$B$25),'NM Play'!$B$25&gt;0),1,0)),"")</f>
        <v/>
      </c>
      <c r="AN533" s="160">
        <f>IF(OR('Sites'!$E$8&lt;0,'Sites'!$E$8&gt;1,'Sites'!$F$8&lt;1,'Sites'!$G$8&lt;'Sites'!$F$8,F533&lt;0,MIN('Sites'!$I$8:'Sites'!$R$8)&lt;0,'Sites'!$L$8&gt;'Sites'!$I$8,'Sites'!$M$8&gt;'Sites'!$J$8,'Sites'!$N$8&gt;'Sites'!$K$8,'Sites'!$Z$8&lt;0,'Sites'!$Z$8&gt;1,MIN('Sites'!$AA$8:'Sites'!$AC$8)&lt;0,S533&gt;F533+0.001),1,0)</f>
        <v/>
      </c>
      <c r="AO533" s="160">
        <f>I533+U533-T533-X533</f>
        <v/>
      </c>
    </row>
    <row r="534" ht="28" customHeight="1">
      <c r="A534" s="4" t="inlineStr">
        <is>
          <t>Lower sales</t>
        </is>
      </c>
      <c r="B534" s="4" t="inlineStr">
        <is>
          <t>NEW2</t>
        </is>
      </c>
      <c r="C534" s="160" t="n">
        <v>25</v>
      </c>
      <c r="D534" s="160">
        <f>ROUNDUP(C534/12,0)</f>
        <v/>
      </c>
      <c r="E534" s="160">
        <f>IF(AND('Sites'!$E$8*'Cases'!$F$10=1,C534&gt;='Sites'!$F$8+'Cases'!$G$10,C534&lt;='Sites'!$G$8),1,0)</f>
        <v/>
      </c>
      <c r="F534" s="160">
        <f>E534*'Assumptions'!AB69</f>
        <v/>
      </c>
      <c r="G534" s="160">
        <f>V533</f>
        <v/>
      </c>
      <c r="H534" s="160">
        <f>W533</f>
        <v/>
      </c>
      <c r="I534" s="160">
        <f>X533</f>
        <v/>
      </c>
      <c r="J534" s="160">
        <f>MAX(0,'Sites'!$K$8-0)</f>
        <v/>
      </c>
      <c r="K534" s="160">
        <f>IF('Sites'!$C$8="Own sheets",MIN(ROUNDDOWN(G534/'NM Play'!$B$11,0)+F534*'NM Play'!$B$10/'NM Play'!$B$43,ROUNDDOWN(H534/'NM Play'!$B$12,0)+F534*'NM Play'!$B$10/'NM Play'!$B$44,(F534*'NM Play'!$B$10+ROUNDDOWN(G534/'NM Play'!$B$11,0)*'NM Play'!$B$43+ROUNDDOWN(H534/'NM Play'!$B$12,0)*'NM Play'!$B$44)/('NM Play'!$B$43+'NM Play'!$B$44)),ROUNDDOWN(G534/'NM Play'!$B$11,0)+F534*'NM Play'!$B$10/'NM Play'!$B$43)</f>
        <v/>
      </c>
      <c r="L534" s="160">
        <f>MIN(ROUNDDOWN(G534/'NM Play'!$B$11,0)+F534/('NM Play'!$B$43/'NM Play'!$B$15),ROUNDDOWN(H534/'NM Play'!$B$12,0)+F534/('NM Play'!$B$44/'NM Play'!$B$16),(F534+ROUNDDOWN(G534/'NM Play'!$B$11,0)*'NM Play'!$B$43/'NM Play'!$B$15+ROUNDDOWN(H534/'NM Play'!$B$12,0)*'NM Play'!$B$44/'NM Play'!$B$16)/('NM Play'!$B$43/'NM Play'!$B$15+'NM Play'!$B$44/'NM Play'!$B$16))</f>
        <v/>
      </c>
      <c r="M534" s="160">
        <f>F534*'NM Play'!$B$36</f>
        <v/>
      </c>
      <c r="N534" s="160">
        <f>ROUNDDOWN(MAX(0,MIN(J534,K534:M534)),0)</f>
        <v/>
      </c>
      <c r="O534" s="160">
        <f>ROUNDUP(MAX(0,N534*'NM Play'!$B$11-G534)/'NM Play'!$B$13,0)</f>
        <v/>
      </c>
      <c r="P534" s="160">
        <f>ROUNDUP(MAX(0,N534*'NM Play'!$B$12-H534)/'NM Play'!$B$14,0)</f>
        <v/>
      </c>
      <c r="Q534" s="160">
        <f>(O534+IF('Sites'!$C$8="Own sheets",P534,0))/'NM Play'!$B$10</f>
        <v/>
      </c>
      <c r="R534" s="160">
        <f>O534/'NM Play'!$B$15+P534/'NM Play'!$B$16</f>
        <v/>
      </c>
      <c r="S534" s="160">
        <f>MAX(Q534,R534,N534/'NM Play'!$B$36)</f>
        <v/>
      </c>
      <c r="T534" s="160">
        <f>Q534*'NM Play'!$B$10*'NM Play'!$B$21*(1+'NM Play'!$B$35)</f>
        <v/>
      </c>
      <c r="U534" s="160">
        <f>MAX(0,T534-I534)</f>
        <v/>
      </c>
      <c r="V534" s="160">
        <f>G534+O534*'NM Play'!$B$13-N534*'NM Play'!$B$11</f>
        <v/>
      </c>
      <c r="W534" s="160">
        <f>H534+P534*'NM Play'!$B$14-N534*'NM Play'!$B$12</f>
        <v/>
      </c>
      <c r="X534" s="160">
        <f>I534+U534-T534</f>
        <v/>
      </c>
      <c r="Y534" s="160">
        <f>MIN(N534,MAX(0,ROUNDDOWN('Sites'!$N$8*'Cases'!$E$10,0)-0))</f>
        <v/>
      </c>
      <c r="Z534" s="160">
        <f>N534-Y534</f>
        <v/>
      </c>
      <c r="AA534" s="160">
        <f>U534*'NM Play'!$B$22</f>
        <v/>
      </c>
      <c r="AB534" s="160">
        <f>N534*SUM('NM Play'!$B$29:$B$31)</f>
        <v/>
      </c>
      <c r="AC534" s="160">
        <f>IF('Sites'!$C$8="Defy legs",P534*'NM Play'!$B$14/'NM Play'!$B$12*'NM Play'!$B$28,0)</f>
        <v/>
      </c>
      <c r="AD534" s="160">
        <f>Q534*'NM Play'!$B$23</f>
        <v/>
      </c>
      <c r="AE534" s="160">
        <f>S534*SUM('NM Play'!$B$26,'NM Play'!$B$33:$B$34)</f>
        <v/>
      </c>
      <c r="AF534" s="160">
        <f>IF('Sites'!$D$8="NM crew",S534*SUM('NM Play'!$B$24:$B$25),0)</f>
        <v/>
      </c>
      <c r="AG534" s="160">
        <f>IF('Sites'!$D$8="NM crew",S534*'NM Play'!$B$27,0)</f>
        <v/>
      </c>
      <c r="AH534" s="160">
        <f>N534*'Sites'!$Z$8*'NM Play'!$B$32</f>
        <v/>
      </c>
      <c r="AI534" s="160">
        <f>SUM(Y534:Z534)*'Sites'!$R$8</f>
        <v/>
      </c>
      <c r="AJ534" s="160">
        <f>SUM(AA534:AH534)</f>
        <v/>
      </c>
      <c r="AK534" s="160">
        <f>AJ534+(T534-U534)*'NM Play'!$B$22+MIN(G534,N534*'NM Play'!$B$11)/'NM Play'!$B$13*'NM Play'!$B$21*'NM Play'!$B$22+MIN(H534,N534*'NM Play'!$B$12)/'NM Play'!$B$14*IF('Sites'!$C$8="Own sheets",'NM Play'!$B$21*'NM Play'!$B$22,'NM Play'!$B$28*'NM Play'!$B$14/'NM Play'!$B$12)</f>
        <v/>
      </c>
      <c r="AL534" s="160">
        <f>Y534*'Assumptions'!AB66</f>
        <v/>
      </c>
      <c r="AM534" s="160">
        <f>IF('Sites'!$D$8="NM crew",S534*'NM Play'!$B$37*(1+IF(AND(ISNUMBER('NM Play'!$B$25),'NM Play'!$B$25&gt;0),1,0)),"")</f>
        <v/>
      </c>
      <c r="AN534" s="160">
        <f>IF(OR('Sites'!$E$8&lt;0,'Sites'!$E$8&gt;1,'Sites'!$F$8&lt;1,'Sites'!$G$8&lt;'Sites'!$F$8,F534&lt;0,MIN('Sites'!$I$8:'Sites'!$R$8)&lt;0,'Sites'!$L$8&gt;'Sites'!$I$8,'Sites'!$M$8&gt;'Sites'!$J$8,'Sites'!$N$8&gt;'Sites'!$K$8,'Sites'!$Z$8&lt;0,'Sites'!$Z$8&gt;1,MIN('Sites'!$AA$8:'Sites'!$AC$8)&lt;0,S534&gt;F534+0.001),1,0)</f>
        <v/>
      </c>
      <c r="AO534" s="160">
        <f>I534+U534-T534-X534</f>
        <v/>
      </c>
    </row>
    <row r="535" ht="28" customHeight="1">
      <c r="A535" s="4" t="inlineStr">
        <is>
          <t>Lower sales</t>
        </is>
      </c>
      <c r="B535" s="4" t="inlineStr">
        <is>
          <t>NEW2</t>
        </is>
      </c>
      <c r="C535" s="160" t="n">
        <v>26</v>
      </c>
      <c r="D535" s="160">
        <f>ROUNDUP(C535/12,0)</f>
        <v/>
      </c>
      <c r="E535" s="160">
        <f>IF(AND('Sites'!$E$8*'Cases'!$F$10=1,C535&gt;='Sites'!$F$8+'Cases'!$G$10,C535&lt;='Sites'!$G$8),1,0)</f>
        <v/>
      </c>
      <c r="F535" s="160">
        <f>E535*'Assumptions'!AC69</f>
        <v/>
      </c>
      <c r="G535" s="160">
        <f>V534</f>
        <v/>
      </c>
      <c r="H535" s="160">
        <f>W534</f>
        <v/>
      </c>
      <c r="I535" s="160">
        <f>X534</f>
        <v/>
      </c>
      <c r="J535" s="160">
        <f>MAX(0,'Sites'!$K$8-SUM(N534:N534))</f>
        <v/>
      </c>
      <c r="K535" s="160">
        <f>IF('Sites'!$C$8="Own sheets",MIN(ROUNDDOWN(G535/'NM Play'!$B$11,0)+F535*'NM Play'!$B$10/'NM Play'!$B$43,ROUNDDOWN(H535/'NM Play'!$B$12,0)+F535*'NM Play'!$B$10/'NM Play'!$B$44,(F535*'NM Play'!$B$10+ROUNDDOWN(G535/'NM Play'!$B$11,0)*'NM Play'!$B$43+ROUNDDOWN(H535/'NM Play'!$B$12,0)*'NM Play'!$B$44)/('NM Play'!$B$43+'NM Play'!$B$44)),ROUNDDOWN(G535/'NM Play'!$B$11,0)+F535*'NM Play'!$B$10/'NM Play'!$B$43)</f>
        <v/>
      </c>
      <c r="L535" s="160">
        <f>MIN(ROUNDDOWN(G535/'NM Play'!$B$11,0)+F535/('NM Play'!$B$43/'NM Play'!$B$15),ROUNDDOWN(H535/'NM Play'!$B$12,0)+F535/('NM Play'!$B$44/'NM Play'!$B$16),(F535+ROUNDDOWN(G535/'NM Play'!$B$11,0)*'NM Play'!$B$43/'NM Play'!$B$15+ROUNDDOWN(H535/'NM Play'!$B$12,0)*'NM Play'!$B$44/'NM Play'!$B$16)/('NM Play'!$B$43/'NM Play'!$B$15+'NM Play'!$B$44/'NM Play'!$B$16))</f>
        <v/>
      </c>
      <c r="M535" s="160">
        <f>F535*'NM Play'!$B$36</f>
        <v/>
      </c>
      <c r="N535" s="160">
        <f>ROUNDDOWN(MAX(0,MIN(J535,K535:M535)),0)</f>
        <v/>
      </c>
      <c r="O535" s="160">
        <f>ROUNDUP(MAX(0,N535*'NM Play'!$B$11-G535)/'NM Play'!$B$13,0)</f>
        <v/>
      </c>
      <c r="P535" s="160">
        <f>ROUNDUP(MAX(0,N535*'NM Play'!$B$12-H535)/'NM Play'!$B$14,0)</f>
        <v/>
      </c>
      <c r="Q535" s="160">
        <f>(O535+IF('Sites'!$C$8="Own sheets",P535,0))/'NM Play'!$B$10</f>
        <v/>
      </c>
      <c r="R535" s="160">
        <f>O535/'NM Play'!$B$15+P535/'NM Play'!$B$16</f>
        <v/>
      </c>
      <c r="S535" s="160">
        <f>MAX(Q535,R535,N535/'NM Play'!$B$36)</f>
        <v/>
      </c>
      <c r="T535" s="160">
        <f>Q535*'NM Play'!$B$10*'NM Play'!$B$21*(1+'NM Play'!$B$35)</f>
        <v/>
      </c>
      <c r="U535" s="160">
        <f>MAX(0,T535-I535)</f>
        <v/>
      </c>
      <c r="V535" s="160">
        <f>G535+O535*'NM Play'!$B$13-N535*'NM Play'!$B$11</f>
        <v/>
      </c>
      <c r="W535" s="160">
        <f>H535+P535*'NM Play'!$B$14-N535*'NM Play'!$B$12</f>
        <v/>
      </c>
      <c r="X535" s="160">
        <f>I535+U535-T535</f>
        <v/>
      </c>
      <c r="Y535" s="160">
        <f>MIN(N535,MAX(0,ROUNDDOWN('Sites'!$N$8*'Cases'!$E$10,0)-SUM(Y534:Y534)))</f>
        <v/>
      </c>
      <c r="Z535" s="160">
        <f>N535-Y535</f>
        <v/>
      </c>
      <c r="AA535" s="160">
        <f>U535*'NM Play'!$B$22</f>
        <v/>
      </c>
      <c r="AB535" s="160">
        <f>N535*SUM('NM Play'!$B$29:$B$31)</f>
        <v/>
      </c>
      <c r="AC535" s="160">
        <f>IF('Sites'!$C$8="Defy legs",P535*'NM Play'!$B$14/'NM Play'!$B$12*'NM Play'!$B$28,0)</f>
        <v/>
      </c>
      <c r="AD535" s="160">
        <f>Q535*'NM Play'!$B$23</f>
        <v/>
      </c>
      <c r="AE535" s="160">
        <f>S535*SUM('NM Play'!$B$26,'NM Play'!$B$33:$B$34)</f>
        <v/>
      </c>
      <c r="AF535" s="160">
        <f>IF('Sites'!$D$8="NM crew",S535*SUM('NM Play'!$B$24:$B$25),0)</f>
        <v/>
      </c>
      <c r="AG535" s="160">
        <f>IF('Sites'!$D$8="NM crew",S535*'NM Play'!$B$27,0)</f>
        <v/>
      </c>
      <c r="AH535" s="160">
        <f>N535*'Sites'!$Z$8*'NM Play'!$B$32</f>
        <v/>
      </c>
      <c r="AI535" s="160">
        <f>SUM(Y535:Z535)*'Sites'!$R$8</f>
        <v/>
      </c>
      <c r="AJ535" s="160">
        <f>SUM(AA535:AH535)</f>
        <v/>
      </c>
      <c r="AK535" s="160">
        <f>AJ535+(T535-U535)*'NM Play'!$B$22+MIN(G535,N535*'NM Play'!$B$11)/'NM Play'!$B$13*'NM Play'!$B$21*'NM Play'!$B$22+MIN(H535,N535*'NM Play'!$B$12)/'NM Play'!$B$14*IF('Sites'!$C$8="Own sheets",'NM Play'!$B$21*'NM Play'!$B$22,'NM Play'!$B$28*'NM Play'!$B$14/'NM Play'!$B$12)</f>
        <v/>
      </c>
      <c r="AL535" s="160">
        <f>Y535*'Assumptions'!AC66</f>
        <v/>
      </c>
      <c r="AM535" s="160">
        <f>IF('Sites'!$D$8="NM crew",S535*'NM Play'!$B$37*(1+IF(AND(ISNUMBER('NM Play'!$B$25),'NM Play'!$B$25&gt;0),1,0)),"")</f>
        <v/>
      </c>
      <c r="AN535" s="160">
        <f>IF(OR('Sites'!$E$8&lt;0,'Sites'!$E$8&gt;1,'Sites'!$F$8&lt;1,'Sites'!$G$8&lt;'Sites'!$F$8,F535&lt;0,MIN('Sites'!$I$8:'Sites'!$R$8)&lt;0,'Sites'!$L$8&gt;'Sites'!$I$8,'Sites'!$M$8&gt;'Sites'!$J$8,'Sites'!$N$8&gt;'Sites'!$K$8,'Sites'!$Z$8&lt;0,'Sites'!$Z$8&gt;1,MIN('Sites'!$AA$8:'Sites'!$AC$8)&lt;0,S535&gt;F535+0.001),1,0)</f>
        <v/>
      </c>
      <c r="AO535" s="160">
        <f>I535+U535-T535-X535</f>
        <v/>
      </c>
    </row>
    <row r="536" ht="28" customHeight="1">
      <c r="A536" s="4" t="inlineStr">
        <is>
          <t>Lower sales</t>
        </is>
      </c>
      <c r="B536" s="4" t="inlineStr">
        <is>
          <t>NEW2</t>
        </is>
      </c>
      <c r="C536" s="160" t="n">
        <v>27</v>
      </c>
      <c r="D536" s="160">
        <f>ROUNDUP(C536/12,0)</f>
        <v/>
      </c>
      <c r="E536" s="160">
        <f>IF(AND('Sites'!$E$8*'Cases'!$F$10=1,C536&gt;='Sites'!$F$8+'Cases'!$G$10,C536&lt;='Sites'!$G$8),1,0)</f>
        <v/>
      </c>
      <c r="F536" s="160">
        <f>E536*'Assumptions'!AD69</f>
        <v/>
      </c>
      <c r="G536" s="160">
        <f>V535</f>
        <v/>
      </c>
      <c r="H536" s="160">
        <f>W535</f>
        <v/>
      </c>
      <c r="I536" s="160">
        <f>X535</f>
        <v/>
      </c>
      <c r="J536" s="160">
        <f>MAX(0,'Sites'!$K$8-SUM(N534:N535))</f>
        <v/>
      </c>
      <c r="K536" s="160">
        <f>IF('Sites'!$C$8="Own sheets",MIN(ROUNDDOWN(G536/'NM Play'!$B$11,0)+F536*'NM Play'!$B$10/'NM Play'!$B$43,ROUNDDOWN(H536/'NM Play'!$B$12,0)+F536*'NM Play'!$B$10/'NM Play'!$B$44,(F536*'NM Play'!$B$10+ROUNDDOWN(G536/'NM Play'!$B$11,0)*'NM Play'!$B$43+ROUNDDOWN(H536/'NM Play'!$B$12,0)*'NM Play'!$B$44)/('NM Play'!$B$43+'NM Play'!$B$44)),ROUNDDOWN(G536/'NM Play'!$B$11,0)+F536*'NM Play'!$B$10/'NM Play'!$B$43)</f>
        <v/>
      </c>
      <c r="L536" s="160">
        <f>MIN(ROUNDDOWN(G536/'NM Play'!$B$11,0)+F536/('NM Play'!$B$43/'NM Play'!$B$15),ROUNDDOWN(H536/'NM Play'!$B$12,0)+F536/('NM Play'!$B$44/'NM Play'!$B$16),(F536+ROUNDDOWN(G536/'NM Play'!$B$11,0)*'NM Play'!$B$43/'NM Play'!$B$15+ROUNDDOWN(H536/'NM Play'!$B$12,0)*'NM Play'!$B$44/'NM Play'!$B$16)/('NM Play'!$B$43/'NM Play'!$B$15+'NM Play'!$B$44/'NM Play'!$B$16))</f>
        <v/>
      </c>
      <c r="M536" s="160">
        <f>F536*'NM Play'!$B$36</f>
        <v/>
      </c>
      <c r="N536" s="160">
        <f>ROUNDDOWN(MAX(0,MIN(J536,K536:M536)),0)</f>
        <v/>
      </c>
      <c r="O536" s="160">
        <f>ROUNDUP(MAX(0,N536*'NM Play'!$B$11-G536)/'NM Play'!$B$13,0)</f>
        <v/>
      </c>
      <c r="P536" s="160">
        <f>ROUNDUP(MAX(0,N536*'NM Play'!$B$12-H536)/'NM Play'!$B$14,0)</f>
        <v/>
      </c>
      <c r="Q536" s="160">
        <f>(O536+IF('Sites'!$C$8="Own sheets",P536,0))/'NM Play'!$B$10</f>
        <v/>
      </c>
      <c r="R536" s="160">
        <f>O536/'NM Play'!$B$15+P536/'NM Play'!$B$16</f>
        <v/>
      </c>
      <c r="S536" s="160">
        <f>MAX(Q536,R536,N536/'NM Play'!$B$36)</f>
        <v/>
      </c>
      <c r="T536" s="160">
        <f>Q536*'NM Play'!$B$10*'NM Play'!$B$21*(1+'NM Play'!$B$35)</f>
        <v/>
      </c>
      <c r="U536" s="160">
        <f>MAX(0,T536-I536)</f>
        <v/>
      </c>
      <c r="V536" s="160">
        <f>G536+O536*'NM Play'!$B$13-N536*'NM Play'!$B$11</f>
        <v/>
      </c>
      <c r="W536" s="160">
        <f>H536+P536*'NM Play'!$B$14-N536*'NM Play'!$B$12</f>
        <v/>
      </c>
      <c r="X536" s="160">
        <f>I536+U536-T536</f>
        <v/>
      </c>
      <c r="Y536" s="160">
        <f>MIN(N536,MAX(0,ROUNDDOWN('Sites'!$N$8*'Cases'!$E$10,0)-SUM(Y534:Y535)))</f>
        <v/>
      </c>
      <c r="Z536" s="160">
        <f>N536-Y536</f>
        <v/>
      </c>
      <c r="AA536" s="160">
        <f>U536*'NM Play'!$B$22</f>
        <v/>
      </c>
      <c r="AB536" s="160">
        <f>N536*SUM('NM Play'!$B$29:$B$31)</f>
        <v/>
      </c>
      <c r="AC536" s="160">
        <f>IF('Sites'!$C$8="Defy legs",P536*'NM Play'!$B$14/'NM Play'!$B$12*'NM Play'!$B$28,0)</f>
        <v/>
      </c>
      <c r="AD536" s="160">
        <f>Q536*'NM Play'!$B$23</f>
        <v/>
      </c>
      <c r="AE536" s="160">
        <f>S536*SUM('NM Play'!$B$26,'NM Play'!$B$33:$B$34)</f>
        <v/>
      </c>
      <c r="AF536" s="160">
        <f>IF('Sites'!$D$8="NM crew",S536*SUM('NM Play'!$B$24:$B$25),0)</f>
        <v/>
      </c>
      <c r="AG536" s="160">
        <f>IF('Sites'!$D$8="NM crew",S536*'NM Play'!$B$27,0)</f>
        <v/>
      </c>
      <c r="AH536" s="160">
        <f>N536*'Sites'!$Z$8*'NM Play'!$B$32</f>
        <v/>
      </c>
      <c r="AI536" s="160">
        <f>SUM(Y536:Z536)*'Sites'!$R$8</f>
        <v/>
      </c>
      <c r="AJ536" s="160">
        <f>SUM(AA536:AH536)</f>
        <v/>
      </c>
      <c r="AK536" s="160">
        <f>AJ536+(T536-U536)*'NM Play'!$B$22+MIN(G536,N536*'NM Play'!$B$11)/'NM Play'!$B$13*'NM Play'!$B$21*'NM Play'!$B$22+MIN(H536,N536*'NM Play'!$B$12)/'NM Play'!$B$14*IF('Sites'!$C$8="Own sheets",'NM Play'!$B$21*'NM Play'!$B$22,'NM Play'!$B$28*'NM Play'!$B$14/'NM Play'!$B$12)</f>
        <v/>
      </c>
      <c r="AL536" s="160">
        <f>Y536*'Assumptions'!AD66</f>
        <v/>
      </c>
      <c r="AM536" s="160">
        <f>IF('Sites'!$D$8="NM crew",S536*'NM Play'!$B$37*(1+IF(AND(ISNUMBER('NM Play'!$B$25),'NM Play'!$B$25&gt;0),1,0)),"")</f>
        <v/>
      </c>
      <c r="AN536" s="160">
        <f>IF(OR('Sites'!$E$8&lt;0,'Sites'!$E$8&gt;1,'Sites'!$F$8&lt;1,'Sites'!$G$8&lt;'Sites'!$F$8,F536&lt;0,MIN('Sites'!$I$8:'Sites'!$R$8)&lt;0,'Sites'!$L$8&gt;'Sites'!$I$8,'Sites'!$M$8&gt;'Sites'!$J$8,'Sites'!$N$8&gt;'Sites'!$K$8,'Sites'!$Z$8&lt;0,'Sites'!$Z$8&gt;1,MIN('Sites'!$AA$8:'Sites'!$AC$8)&lt;0,S536&gt;F536+0.001),1,0)</f>
        <v/>
      </c>
      <c r="AO536" s="160">
        <f>I536+U536-T536-X536</f>
        <v/>
      </c>
    </row>
    <row r="537" ht="28" customHeight="1">
      <c r="A537" s="4" t="inlineStr">
        <is>
          <t>Lower sales</t>
        </is>
      </c>
      <c r="B537" s="4" t="inlineStr">
        <is>
          <t>NEW2</t>
        </is>
      </c>
      <c r="C537" s="160" t="n">
        <v>28</v>
      </c>
      <c r="D537" s="160">
        <f>ROUNDUP(C537/12,0)</f>
        <v/>
      </c>
      <c r="E537" s="160">
        <f>IF(AND('Sites'!$E$8*'Cases'!$F$10=1,C537&gt;='Sites'!$F$8+'Cases'!$G$10,C537&lt;='Sites'!$G$8),1,0)</f>
        <v/>
      </c>
      <c r="F537" s="160">
        <f>E537*'Assumptions'!AE69</f>
        <v/>
      </c>
      <c r="G537" s="160">
        <f>V536</f>
        <v/>
      </c>
      <c r="H537" s="160">
        <f>W536</f>
        <v/>
      </c>
      <c r="I537" s="160">
        <f>X536</f>
        <v/>
      </c>
      <c r="J537" s="160">
        <f>MAX(0,'Sites'!$K$8-SUM(N534:N536))</f>
        <v/>
      </c>
      <c r="K537" s="160">
        <f>IF('Sites'!$C$8="Own sheets",MIN(ROUNDDOWN(G537/'NM Play'!$B$11,0)+F537*'NM Play'!$B$10/'NM Play'!$B$43,ROUNDDOWN(H537/'NM Play'!$B$12,0)+F537*'NM Play'!$B$10/'NM Play'!$B$44,(F537*'NM Play'!$B$10+ROUNDDOWN(G537/'NM Play'!$B$11,0)*'NM Play'!$B$43+ROUNDDOWN(H537/'NM Play'!$B$12,0)*'NM Play'!$B$44)/('NM Play'!$B$43+'NM Play'!$B$44)),ROUNDDOWN(G537/'NM Play'!$B$11,0)+F537*'NM Play'!$B$10/'NM Play'!$B$43)</f>
        <v/>
      </c>
      <c r="L537" s="160">
        <f>MIN(ROUNDDOWN(G537/'NM Play'!$B$11,0)+F537/('NM Play'!$B$43/'NM Play'!$B$15),ROUNDDOWN(H537/'NM Play'!$B$12,0)+F537/('NM Play'!$B$44/'NM Play'!$B$16),(F537+ROUNDDOWN(G537/'NM Play'!$B$11,0)*'NM Play'!$B$43/'NM Play'!$B$15+ROUNDDOWN(H537/'NM Play'!$B$12,0)*'NM Play'!$B$44/'NM Play'!$B$16)/('NM Play'!$B$43/'NM Play'!$B$15+'NM Play'!$B$44/'NM Play'!$B$16))</f>
        <v/>
      </c>
      <c r="M537" s="160">
        <f>F537*'NM Play'!$B$36</f>
        <v/>
      </c>
      <c r="N537" s="160">
        <f>ROUNDDOWN(MAX(0,MIN(J537,K537:M537)),0)</f>
        <v/>
      </c>
      <c r="O537" s="160">
        <f>ROUNDUP(MAX(0,N537*'NM Play'!$B$11-G537)/'NM Play'!$B$13,0)</f>
        <v/>
      </c>
      <c r="P537" s="160">
        <f>ROUNDUP(MAX(0,N537*'NM Play'!$B$12-H537)/'NM Play'!$B$14,0)</f>
        <v/>
      </c>
      <c r="Q537" s="160">
        <f>(O537+IF('Sites'!$C$8="Own sheets",P537,0))/'NM Play'!$B$10</f>
        <v/>
      </c>
      <c r="R537" s="160">
        <f>O537/'NM Play'!$B$15+P537/'NM Play'!$B$16</f>
        <v/>
      </c>
      <c r="S537" s="160">
        <f>MAX(Q537,R537,N537/'NM Play'!$B$36)</f>
        <v/>
      </c>
      <c r="T537" s="160">
        <f>Q537*'NM Play'!$B$10*'NM Play'!$B$21*(1+'NM Play'!$B$35)</f>
        <v/>
      </c>
      <c r="U537" s="160">
        <f>MAX(0,T537-I537)</f>
        <v/>
      </c>
      <c r="V537" s="160">
        <f>G537+O537*'NM Play'!$B$13-N537*'NM Play'!$B$11</f>
        <v/>
      </c>
      <c r="W537" s="160">
        <f>H537+P537*'NM Play'!$B$14-N537*'NM Play'!$B$12</f>
        <v/>
      </c>
      <c r="X537" s="160">
        <f>I537+U537-T537</f>
        <v/>
      </c>
      <c r="Y537" s="160">
        <f>MIN(N537,MAX(0,ROUNDDOWN('Sites'!$N$8*'Cases'!$E$10,0)-SUM(Y534:Y536)))</f>
        <v/>
      </c>
      <c r="Z537" s="160">
        <f>N537-Y537</f>
        <v/>
      </c>
      <c r="AA537" s="160">
        <f>U537*'NM Play'!$B$22</f>
        <v/>
      </c>
      <c r="AB537" s="160">
        <f>N537*SUM('NM Play'!$B$29:$B$31)</f>
        <v/>
      </c>
      <c r="AC537" s="160">
        <f>IF('Sites'!$C$8="Defy legs",P537*'NM Play'!$B$14/'NM Play'!$B$12*'NM Play'!$B$28,0)</f>
        <v/>
      </c>
      <c r="AD537" s="160">
        <f>Q537*'NM Play'!$B$23</f>
        <v/>
      </c>
      <c r="AE537" s="160">
        <f>S537*SUM('NM Play'!$B$26,'NM Play'!$B$33:$B$34)</f>
        <v/>
      </c>
      <c r="AF537" s="160">
        <f>IF('Sites'!$D$8="NM crew",S537*SUM('NM Play'!$B$24:$B$25),0)</f>
        <v/>
      </c>
      <c r="AG537" s="160">
        <f>IF('Sites'!$D$8="NM crew",S537*'NM Play'!$B$27,0)</f>
        <v/>
      </c>
      <c r="AH537" s="160">
        <f>N537*'Sites'!$Z$8*'NM Play'!$B$32</f>
        <v/>
      </c>
      <c r="AI537" s="160">
        <f>SUM(Y537:Z537)*'Sites'!$R$8</f>
        <v/>
      </c>
      <c r="AJ537" s="160">
        <f>SUM(AA537:AH537)</f>
        <v/>
      </c>
      <c r="AK537" s="160">
        <f>AJ537+(T537-U537)*'NM Play'!$B$22+MIN(G537,N537*'NM Play'!$B$11)/'NM Play'!$B$13*'NM Play'!$B$21*'NM Play'!$B$22+MIN(H537,N537*'NM Play'!$B$12)/'NM Play'!$B$14*IF('Sites'!$C$8="Own sheets",'NM Play'!$B$21*'NM Play'!$B$22,'NM Play'!$B$28*'NM Play'!$B$14/'NM Play'!$B$12)</f>
        <v/>
      </c>
      <c r="AL537" s="160">
        <f>Y537*'Assumptions'!AE66</f>
        <v/>
      </c>
      <c r="AM537" s="160">
        <f>IF('Sites'!$D$8="NM crew",S537*'NM Play'!$B$37*(1+IF(AND(ISNUMBER('NM Play'!$B$25),'NM Play'!$B$25&gt;0),1,0)),"")</f>
        <v/>
      </c>
      <c r="AN537" s="160">
        <f>IF(OR('Sites'!$E$8&lt;0,'Sites'!$E$8&gt;1,'Sites'!$F$8&lt;1,'Sites'!$G$8&lt;'Sites'!$F$8,F537&lt;0,MIN('Sites'!$I$8:'Sites'!$R$8)&lt;0,'Sites'!$L$8&gt;'Sites'!$I$8,'Sites'!$M$8&gt;'Sites'!$J$8,'Sites'!$N$8&gt;'Sites'!$K$8,'Sites'!$Z$8&lt;0,'Sites'!$Z$8&gt;1,MIN('Sites'!$AA$8:'Sites'!$AC$8)&lt;0,S537&gt;F537+0.001),1,0)</f>
        <v/>
      </c>
      <c r="AO537" s="160">
        <f>I537+U537-T537-X537</f>
        <v/>
      </c>
    </row>
    <row r="538" ht="28" customHeight="1">
      <c r="A538" s="4" t="inlineStr">
        <is>
          <t>Lower sales</t>
        </is>
      </c>
      <c r="B538" s="4" t="inlineStr">
        <is>
          <t>NEW2</t>
        </is>
      </c>
      <c r="C538" s="160" t="n">
        <v>29</v>
      </c>
      <c r="D538" s="160">
        <f>ROUNDUP(C538/12,0)</f>
        <v/>
      </c>
      <c r="E538" s="160">
        <f>IF(AND('Sites'!$E$8*'Cases'!$F$10=1,C538&gt;='Sites'!$F$8+'Cases'!$G$10,C538&lt;='Sites'!$G$8),1,0)</f>
        <v/>
      </c>
      <c r="F538" s="160">
        <f>E538*'Assumptions'!AF69</f>
        <v/>
      </c>
      <c r="G538" s="160">
        <f>V537</f>
        <v/>
      </c>
      <c r="H538" s="160">
        <f>W537</f>
        <v/>
      </c>
      <c r="I538" s="160">
        <f>X537</f>
        <v/>
      </c>
      <c r="J538" s="160">
        <f>MAX(0,'Sites'!$K$8-SUM(N534:N537))</f>
        <v/>
      </c>
      <c r="K538" s="160">
        <f>IF('Sites'!$C$8="Own sheets",MIN(ROUNDDOWN(G538/'NM Play'!$B$11,0)+F538*'NM Play'!$B$10/'NM Play'!$B$43,ROUNDDOWN(H538/'NM Play'!$B$12,0)+F538*'NM Play'!$B$10/'NM Play'!$B$44,(F538*'NM Play'!$B$10+ROUNDDOWN(G538/'NM Play'!$B$11,0)*'NM Play'!$B$43+ROUNDDOWN(H538/'NM Play'!$B$12,0)*'NM Play'!$B$44)/('NM Play'!$B$43+'NM Play'!$B$44)),ROUNDDOWN(G538/'NM Play'!$B$11,0)+F538*'NM Play'!$B$10/'NM Play'!$B$43)</f>
        <v/>
      </c>
      <c r="L538" s="160">
        <f>MIN(ROUNDDOWN(G538/'NM Play'!$B$11,0)+F538/('NM Play'!$B$43/'NM Play'!$B$15),ROUNDDOWN(H538/'NM Play'!$B$12,0)+F538/('NM Play'!$B$44/'NM Play'!$B$16),(F538+ROUNDDOWN(G538/'NM Play'!$B$11,0)*'NM Play'!$B$43/'NM Play'!$B$15+ROUNDDOWN(H538/'NM Play'!$B$12,0)*'NM Play'!$B$44/'NM Play'!$B$16)/('NM Play'!$B$43/'NM Play'!$B$15+'NM Play'!$B$44/'NM Play'!$B$16))</f>
        <v/>
      </c>
      <c r="M538" s="160">
        <f>F538*'NM Play'!$B$36</f>
        <v/>
      </c>
      <c r="N538" s="160">
        <f>ROUNDDOWN(MAX(0,MIN(J538,K538:M538)),0)</f>
        <v/>
      </c>
      <c r="O538" s="160">
        <f>ROUNDUP(MAX(0,N538*'NM Play'!$B$11-G538)/'NM Play'!$B$13,0)</f>
        <v/>
      </c>
      <c r="P538" s="160">
        <f>ROUNDUP(MAX(0,N538*'NM Play'!$B$12-H538)/'NM Play'!$B$14,0)</f>
        <v/>
      </c>
      <c r="Q538" s="160">
        <f>(O538+IF('Sites'!$C$8="Own sheets",P538,0))/'NM Play'!$B$10</f>
        <v/>
      </c>
      <c r="R538" s="160">
        <f>O538/'NM Play'!$B$15+P538/'NM Play'!$B$16</f>
        <v/>
      </c>
      <c r="S538" s="160">
        <f>MAX(Q538,R538,N538/'NM Play'!$B$36)</f>
        <v/>
      </c>
      <c r="T538" s="160">
        <f>Q538*'NM Play'!$B$10*'NM Play'!$B$21*(1+'NM Play'!$B$35)</f>
        <v/>
      </c>
      <c r="U538" s="160">
        <f>MAX(0,T538-I538)</f>
        <v/>
      </c>
      <c r="V538" s="160">
        <f>G538+O538*'NM Play'!$B$13-N538*'NM Play'!$B$11</f>
        <v/>
      </c>
      <c r="W538" s="160">
        <f>H538+P538*'NM Play'!$B$14-N538*'NM Play'!$B$12</f>
        <v/>
      </c>
      <c r="X538" s="160">
        <f>I538+U538-T538</f>
        <v/>
      </c>
      <c r="Y538" s="160">
        <f>MIN(N538,MAX(0,ROUNDDOWN('Sites'!$N$8*'Cases'!$E$10,0)-SUM(Y534:Y537)))</f>
        <v/>
      </c>
      <c r="Z538" s="160">
        <f>N538-Y538</f>
        <v/>
      </c>
      <c r="AA538" s="160">
        <f>U538*'NM Play'!$B$22</f>
        <v/>
      </c>
      <c r="AB538" s="160">
        <f>N538*SUM('NM Play'!$B$29:$B$31)</f>
        <v/>
      </c>
      <c r="AC538" s="160">
        <f>IF('Sites'!$C$8="Defy legs",P538*'NM Play'!$B$14/'NM Play'!$B$12*'NM Play'!$B$28,0)</f>
        <v/>
      </c>
      <c r="AD538" s="160">
        <f>Q538*'NM Play'!$B$23</f>
        <v/>
      </c>
      <c r="AE538" s="160">
        <f>S538*SUM('NM Play'!$B$26,'NM Play'!$B$33:$B$34)</f>
        <v/>
      </c>
      <c r="AF538" s="160">
        <f>IF('Sites'!$D$8="NM crew",S538*SUM('NM Play'!$B$24:$B$25),0)</f>
        <v/>
      </c>
      <c r="AG538" s="160">
        <f>IF('Sites'!$D$8="NM crew",S538*'NM Play'!$B$27,0)</f>
        <v/>
      </c>
      <c r="AH538" s="160">
        <f>N538*'Sites'!$Z$8*'NM Play'!$B$32</f>
        <v/>
      </c>
      <c r="AI538" s="160">
        <f>SUM(Y538:Z538)*'Sites'!$R$8</f>
        <v/>
      </c>
      <c r="AJ538" s="160">
        <f>SUM(AA538:AH538)</f>
        <v/>
      </c>
      <c r="AK538" s="160">
        <f>AJ538+(T538-U538)*'NM Play'!$B$22+MIN(G538,N538*'NM Play'!$B$11)/'NM Play'!$B$13*'NM Play'!$B$21*'NM Play'!$B$22+MIN(H538,N538*'NM Play'!$B$12)/'NM Play'!$B$14*IF('Sites'!$C$8="Own sheets",'NM Play'!$B$21*'NM Play'!$B$22,'NM Play'!$B$28*'NM Play'!$B$14/'NM Play'!$B$12)</f>
        <v/>
      </c>
      <c r="AL538" s="160">
        <f>Y538*'Assumptions'!AF66</f>
        <v/>
      </c>
      <c r="AM538" s="160">
        <f>IF('Sites'!$D$8="NM crew",S538*'NM Play'!$B$37*(1+IF(AND(ISNUMBER('NM Play'!$B$25),'NM Play'!$B$25&gt;0),1,0)),"")</f>
        <v/>
      </c>
      <c r="AN538" s="160">
        <f>IF(OR('Sites'!$E$8&lt;0,'Sites'!$E$8&gt;1,'Sites'!$F$8&lt;1,'Sites'!$G$8&lt;'Sites'!$F$8,F538&lt;0,MIN('Sites'!$I$8:'Sites'!$R$8)&lt;0,'Sites'!$L$8&gt;'Sites'!$I$8,'Sites'!$M$8&gt;'Sites'!$J$8,'Sites'!$N$8&gt;'Sites'!$K$8,'Sites'!$Z$8&lt;0,'Sites'!$Z$8&gt;1,MIN('Sites'!$AA$8:'Sites'!$AC$8)&lt;0,S538&gt;F538+0.001),1,0)</f>
        <v/>
      </c>
      <c r="AO538" s="160">
        <f>I538+U538-T538-X538</f>
        <v/>
      </c>
    </row>
    <row r="539" ht="28" customHeight="1">
      <c r="A539" s="4" t="inlineStr">
        <is>
          <t>Lower sales</t>
        </is>
      </c>
      <c r="B539" s="4" t="inlineStr">
        <is>
          <t>NEW2</t>
        </is>
      </c>
      <c r="C539" s="160" t="n">
        <v>30</v>
      </c>
      <c r="D539" s="160">
        <f>ROUNDUP(C539/12,0)</f>
        <v/>
      </c>
      <c r="E539" s="160">
        <f>IF(AND('Sites'!$E$8*'Cases'!$F$10=1,C539&gt;='Sites'!$F$8+'Cases'!$G$10,C539&lt;='Sites'!$G$8),1,0)</f>
        <v/>
      </c>
      <c r="F539" s="160">
        <f>E539*'Assumptions'!AG69</f>
        <v/>
      </c>
      <c r="G539" s="160">
        <f>V538</f>
        <v/>
      </c>
      <c r="H539" s="160">
        <f>W538</f>
        <v/>
      </c>
      <c r="I539" s="160">
        <f>X538</f>
        <v/>
      </c>
      <c r="J539" s="160">
        <f>MAX(0,'Sites'!$K$8-SUM(N534:N538))</f>
        <v/>
      </c>
      <c r="K539" s="160">
        <f>IF('Sites'!$C$8="Own sheets",MIN(ROUNDDOWN(G539/'NM Play'!$B$11,0)+F539*'NM Play'!$B$10/'NM Play'!$B$43,ROUNDDOWN(H539/'NM Play'!$B$12,0)+F539*'NM Play'!$B$10/'NM Play'!$B$44,(F539*'NM Play'!$B$10+ROUNDDOWN(G539/'NM Play'!$B$11,0)*'NM Play'!$B$43+ROUNDDOWN(H539/'NM Play'!$B$12,0)*'NM Play'!$B$44)/('NM Play'!$B$43+'NM Play'!$B$44)),ROUNDDOWN(G539/'NM Play'!$B$11,0)+F539*'NM Play'!$B$10/'NM Play'!$B$43)</f>
        <v/>
      </c>
      <c r="L539" s="160">
        <f>MIN(ROUNDDOWN(G539/'NM Play'!$B$11,0)+F539/('NM Play'!$B$43/'NM Play'!$B$15),ROUNDDOWN(H539/'NM Play'!$B$12,0)+F539/('NM Play'!$B$44/'NM Play'!$B$16),(F539+ROUNDDOWN(G539/'NM Play'!$B$11,0)*'NM Play'!$B$43/'NM Play'!$B$15+ROUNDDOWN(H539/'NM Play'!$B$12,0)*'NM Play'!$B$44/'NM Play'!$B$16)/('NM Play'!$B$43/'NM Play'!$B$15+'NM Play'!$B$44/'NM Play'!$B$16))</f>
        <v/>
      </c>
      <c r="M539" s="160">
        <f>F539*'NM Play'!$B$36</f>
        <v/>
      </c>
      <c r="N539" s="160">
        <f>ROUNDDOWN(MAX(0,MIN(J539,K539:M539)),0)</f>
        <v/>
      </c>
      <c r="O539" s="160">
        <f>ROUNDUP(MAX(0,N539*'NM Play'!$B$11-G539)/'NM Play'!$B$13,0)</f>
        <v/>
      </c>
      <c r="P539" s="160">
        <f>ROUNDUP(MAX(0,N539*'NM Play'!$B$12-H539)/'NM Play'!$B$14,0)</f>
        <v/>
      </c>
      <c r="Q539" s="160">
        <f>(O539+IF('Sites'!$C$8="Own sheets",P539,0))/'NM Play'!$B$10</f>
        <v/>
      </c>
      <c r="R539" s="160">
        <f>O539/'NM Play'!$B$15+P539/'NM Play'!$B$16</f>
        <v/>
      </c>
      <c r="S539" s="160">
        <f>MAX(Q539,R539,N539/'NM Play'!$B$36)</f>
        <v/>
      </c>
      <c r="T539" s="160">
        <f>Q539*'NM Play'!$B$10*'NM Play'!$B$21*(1+'NM Play'!$B$35)</f>
        <v/>
      </c>
      <c r="U539" s="160">
        <f>MAX(0,T539-I539)</f>
        <v/>
      </c>
      <c r="V539" s="160">
        <f>G539+O539*'NM Play'!$B$13-N539*'NM Play'!$B$11</f>
        <v/>
      </c>
      <c r="W539" s="160">
        <f>H539+P539*'NM Play'!$B$14-N539*'NM Play'!$B$12</f>
        <v/>
      </c>
      <c r="X539" s="160">
        <f>I539+U539-T539</f>
        <v/>
      </c>
      <c r="Y539" s="160">
        <f>MIN(N539,MAX(0,ROUNDDOWN('Sites'!$N$8*'Cases'!$E$10,0)-SUM(Y534:Y538)))</f>
        <v/>
      </c>
      <c r="Z539" s="160">
        <f>N539-Y539</f>
        <v/>
      </c>
      <c r="AA539" s="160">
        <f>U539*'NM Play'!$B$22</f>
        <v/>
      </c>
      <c r="AB539" s="160">
        <f>N539*SUM('NM Play'!$B$29:$B$31)</f>
        <v/>
      </c>
      <c r="AC539" s="160">
        <f>IF('Sites'!$C$8="Defy legs",P539*'NM Play'!$B$14/'NM Play'!$B$12*'NM Play'!$B$28,0)</f>
        <v/>
      </c>
      <c r="AD539" s="160">
        <f>Q539*'NM Play'!$B$23</f>
        <v/>
      </c>
      <c r="AE539" s="160">
        <f>S539*SUM('NM Play'!$B$26,'NM Play'!$B$33:$B$34)</f>
        <v/>
      </c>
      <c r="AF539" s="160">
        <f>IF('Sites'!$D$8="NM crew",S539*SUM('NM Play'!$B$24:$B$25),0)</f>
        <v/>
      </c>
      <c r="AG539" s="160">
        <f>IF('Sites'!$D$8="NM crew",S539*'NM Play'!$B$27,0)</f>
        <v/>
      </c>
      <c r="AH539" s="160">
        <f>N539*'Sites'!$Z$8*'NM Play'!$B$32</f>
        <v/>
      </c>
      <c r="AI539" s="160">
        <f>SUM(Y539:Z539)*'Sites'!$R$8</f>
        <v/>
      </c>
      <c r="AJ539" s="160">
        <f>SUM(AA539:AH539)</f>
        <v/>
      </c>
      <c r="AK539" s="160">
        <f>AJ539+(T539-U539)*'NM Play'!$B$22+MIN(G539,N539*'NM Play'!$B$11)/'NM Play'!$B$13*'NM Play'!$B$21*'NM Play'!$B$22+MIN(H539,N539*'NM Play'!$B$12)/'NM Play'!$B$14*IF('Sites'!$C$8="Own sheets",'NM Play'!$B$21*'NM Play'!$B$22,'NM Play'!$B$28*'NM Play'!$B$14/'NM Play'!$B$12)</f>
        <v/>
      </c>
      <c r="AL539" s="160">
        <f>Y539*'Assumptions'!AG66</f>
        <v/>
      </c>
      <c r="AM539" s="160">
        <f>IF('Sites'!$D$8="NM crew",S539*'NM Play'!$B$37*(1+IF(AND(ISNUMBER('NM Play'!$B$25),'NM Play'!$B$25&gt;0),1,0)),"")</f>
        <v/>
      </c>
      <c r="AN539" s="160">
        <f>IF(OR('Sites'!$E$8&lt;0,'Sites'!$E$8&gt;1,'Sites'!$F$8&lt;1,'Sites'!$G$8&lt;'Sites'!$F$8,F539&lt;0,MIN('Sites'!$I$8:'Sites'!$R$8)&lt;0,'Sites'!$L$8&gt;'Sites'!$I$8,'Sites'!$M$8&gt;'Sites'!$J$8,'Sites'!$N$8&gt;'Sites'!$K$8,'Sites'!$Z$8&lt;0,'Sites'!$Z$8&gt;1,MIN('Sites'!$AA$8:'Sites'!$AC$8)&lt;0,S539&gt;F539+0.001),1,0)</f>
        <v/>
      </c>
      <c r="AO539" s="160">
        <f>I539+U539-T539-X539</f>
        <v/>
      </c>
    </row>
    <row r="540" ht="28" customHeight="1">
      <c r="A540" s="4" t="inlineStr">
        <is>
          <t>Lower sales</t>
        </is>
      </c>
      <c r="B540" s="4" t="inlineStr">
        <is>
          <t>NEW2</t>
        </is>
      </c>
      <c r="C540" s="160" t="n">
        <v>31</v>
      </c>
      <c r="D540" s="160">
        <f>ROUNDUP(C540/12,0)</f>
        <v/>
      </c>
      <c r="E540" s="160">
        <f>IF(AND('Sites'!$E$8*'Cases'!$F$10=1,C540&gt;='Sites'!$F$8+'Cases'!$G$10,C540&lt;='Sites'!$G$8),1,0)</f>
        <v/>
      </c>
      <c r="F540" s="160">
        <f>E540*'Assumptions'!AH69</f>
        <v/>
      </c>
      <c r="G540" s="160">
        <f>V539</f>
        <v/>
      </c>
      <c r="H540" s="160">
        <f>W539</f>
        <v/>
      </c>
      <c r="I540" s="160">
        <f>X539</f>
        <v/>
      </c>
      <c r="J540" s="160">
        <f>MAX(0,'Sites'!$K$8-SUM(N534:N539))</f>
        <v/>
      </c>
      <c r="K540" s="160">
        <f>IF('Sites'!$C$8="Own sheets",MIN(ROUNDDOWN(G540/'NM Play'!$B$11,0)+F540*'NM Play'!$B$10/'NM Play'!$B$43,ROUNDDOWN(H540/'NM Play'!$B$12,0)+F540*'NM Play'!$B$10/'NM Play'!$B$44,(F540*'NM Play'!$B$10+ROUNDDOWN(G540/'NM Play'!$B$11,0)*'NM Play'!$B$43+ROUNDDOWN(H540/'NM Play'!$B$12,0)*'NM Play'!$B$44)/('NM Play'!$B$43+'NM Play'!$B$44)),ROUNDDOWN(G540/'NM Play'!$B$11,0)+F540*'NM Play'!$B$10/'NM Play'!$B$43)</f>
        <v/>
      </c>
      <c r="L540" s="160">
        <f>MIN(ROUNDDOWN(G540/'NM Play'!$B$11,0)+F540/('NM Play'!$B$43/'NM Play'!$B$15),ROUNDDOWN(H540/'NM Play'!$B$12,0)+F540/('NM Play'!$B$44/'NM Play'!$B$16),(F540+ROUNDDOWN(G540/'NM Play'!$B$11,0)*'NM Play'!$B$43/'NM Play'!$B$15+ROUNDDOWN(H540/'NM Play'!$B$12,0)*'NM Play'!$B$44/'NM Play'!$B$16)/('NM Play'!$B$43/'NM Play'!$B$15+'NM Play'!$B$44/'NM Play'!$B$16))</f>
        <v/>
      </c>
      <c r="M540" s="160">
        <f>F540*'NM Play'!$B$36</f>
        <v/>
      </c>
      <c r="N540" s="160">
        <f>ROUNDDOWN(MAX(0,MIN(J540,K540:M540)),0)</f>
        <v/>
      </c>
      <c r="O540" s="160">
        <f>ROUNDUP(MAX(0,N540*'NM Play'!$B$11-G540)/'NM Play'!$B$13,0)</f>
        <v/>
      </c>
      <c r="P540" s="160">
        <f>ROUNDUP(MAX(0,N540*'NM Play'!$B$12-H540)/'NM Play'!$B$14,0)</f>
        <v/>
      </c>
      <c r="Q540" s="160">
        <f>(O540+IF('Sites'!$C$8="Own sheets",P540,0))/'NM Play'!$B$10</f>
        <v/>
      </c>
      <c r="R540" s="160">
        <f>O540/'NM Play'!$B$15+P540/'NM Play'!$B$16</f>
        <v/>
      </c>
      <c r="S540" s="160">
        <f>MAX(Q540,R540,N540/'NM Play'!$B$36)</f>
        <v/>
      </c>
      <c r="T540" s="160">
        <f>Q540*'NM Play'!$B$10*'NM Play'!$B$21*(1+'NM Play'!$B$35)</f>
        <v/>
      </c>
      <c r="U540" s="160">
        <f>MAX(0,T540-I540)</f>
        <v/>
      </c>
      <c r="V540" s="160">
        <f>G540+O540*'NM Play'!$B$13-N540*'NM Play'!$B$11</f>
        <v/>
      </c>
      <c r="W540" s="160">
        <f>H540+P540*'NM Play'!$B$14-N540*'NM Play'!$B$12</f>
        <v/>
      </c>
      <c r="X540" s="160">
        <f>I540+U540-T540</f>
        <v/>
      </c>
      <c r="Y540" s="160">
        <f>MIN(N540,MAX(0,ROUNDDOWN('Sites'!$N$8*'Cases'!$E$10,0)-SUM(Y534:Y539)))</f>
        <v/>
      </c>
      <c r="Z540" s="160">
        <f>N540-Y540</f>
        <v/>
      </c>
      <c r="AA540" s="160">
        <f>U540*'NM Play'!$B$22</f>
        <v/>
      </c>
      <c r="AB540" s="160">
        <f>N540*SUM('NM Play'!$B$29:$B$31)</f>
        <v/>
      </c>
      <c r="AC540" s="160">
        <f>IF('Sites'!$C$8="Defy legs",P540*'NM Play'!$B$14/'NM Play'!$B$12*'NM Play'!$B$28,0)</f>
        <v/>
      </c>
      <c r="AD540" s="160">
        <f>Q540*'NM Play'!$B$23</f>
        <v/>
      </c>
      <c r="AE540" s="160">
        <f>S540*SUM('NM Play'!$B$26,'NM Play'!$B$33:$B$34)</f>
        <v/>
      </c>
      <c r="AF540" s="160">
        <f>IF('Sites'!$D$8="NM crew",S540*SUM('NM Play'!$B$24:$B$25),0)</f>
        <v/>
      </c>
      <c r="AG540" s="160">
        <f>IF('Sites'!$D$8="NM crew",S540*'NM Play'!$B$27,0)</f>
        <v/>
      </c>
      <c r="AH540" s="160">
        <f>N540*'Sites'!$Z$8*'NM Play'!$B$32</f>
        <v/>
      </c>
      <c r="AI540" s="160">
        <f>SUM(Y540:Z540)*'Sites'!$R$8</f>
        <v/>
      </c>
      <c r="AJ540" s="160">
        <f>SUM(AA540:AH540)</f>
        <v/>
      </c>
      <c r="AK540" s="160">
        <f>AJ540+(T540-U540)*'NM Play'!$B$22+MIN(G540,N540*'NM Play'!$B$11)/'NM Play'!$B$13*'NM Play'!$B$21*'NM Play'!$B$22+MIN(H540,N540*'NM Play'!$B$12)/'NM Play'!$B$14*IF('Sites'!$C$8="Own sheets",'NM Play'!$B$21*'NM Play'!$B$22,'NM Play'!$B$28*'NM Play'!$B$14/'NM Play'!$B$12)</f>
        <v/>
      </c>
      <c r="AL540" s="160">
        <f>Y540*'Assumptions'!AH66</f>
        <v/>
      </c>
      <c r="AM540" s="160">
        <f>IF('Sites'!$D$8="NM crew",S540*'NM Play'!$B$37*(1+IF(AND(ISNUMBER('NM Play'!$B$25),'NM Play'!$B$25&gt;0),1,0)),"")</f>
        <v/>
      </c>
      <c r="AN540" s="160">
        <f>IF(OR('Sites'!$E$8&lt;0,'Sites'!$E$8&gt;1,'Sites'!$F$8&lt;1,'Sites'!$G$8&lt;'Sites'!$F$8,F540&lt;0,MIN('Sites'!$I$8:'Sites'!$R$8)&lt;0,'Sites'!$L$8&gt;'Sites'!$I$8,'Sites'!$M$8&gt;'Sites'!$J$8,'Sites'!$N$8&gt;'Sites'!$K$8,'Sites'!$Z$8&lt;0,'Sites'!$Z$8&gt;1,MIN('Sites'!$AA$8:'Sites'!$AC$8)&lt;0,S540&gt;F540+0.001),1,0)</f>
        <v/>
      </c>
      <c r="AO540" s="160">
        <f>I540+U540-T540-X540</f>
        <v/>
      </c>
    </row>
    <row r="541" ht="28" customHeight="1">
      <c r="A541" s="4" t="inlineStr">
        <is>
          <t>Lower sales</t>
        </is>
      </c>
      <c r="B541" s="4" t="inlineStr">
        <is>
          <t>NEW2</t>
        </is>
      </c>
      <c r="C541" s="160" t="n">
        <v>32</v>
      </c>
      <c r="D541" s="160">
        <f>ROUNDUP(C541/12,0)</f>
        <v/>
      </c>
      <c r="E541" s="160">
        <f>IF(AND('Sites'!$E$8*'Cases'!$F$10=1,C541&gt;='Sites'!$F$8+'Cases'!$G$10,C541&lt;='Sites'!$G$8),1,0)</f>
        <v/>
      </c>
      <c r="F541" s="160">
        <f>E541*'Assumptions'!AI69</f>
        <v/>
      </c>
      <c r="G541" s="160">
        <f>V540</f>
        <v/>
      </c>
      <c r="H541" s="160">
        <f>W540</f>
        <v/>
      </c>
      <c r="I541" s="160">
        <f>X540</f>
        <v/>
      </c>
      <c r="J541" s="160">
        <f>MAX(0,'Sites'!$K$8-SUM(N534:N540))</f>
        <v/>
      </c>
      <c r="K541" s="160">
        <f>IF('Sites'!$C$8="Own sheets",MIN(ROUNDDOWN(G541/'NM Play'!$B$11,0)+F541*'NM Play'!$B$10/'NM Play'!$B$43,ROUNDDOWN(H541/'NM Play'!$B$12,0)+F541*'NM Play'!$B$10/'NM Play'!$B$44,(F541*'NM Play'!$B$10+ROUNDDOWN(G541/'NM Play'!$B$11,0)*'NM Play'!$B$43+ROUNDDOWN(H541/'NM Play'!$B$12,0)*'NM Play'!$B$44)/('NM Play'!$B$43+'NM Play'!$B$44)),ROUNDDOWN(G541/'NM Play'!$B$11,0)+F541*'NM Play'!$B$10/'NM Play'!$B$43)</f>
        <v/>
      </c>
      <c r="L541" s="160">
        <f>MIN(ROUNDDOWN(G541/'NM Play'!$B$11,0)+F541/('NM Play'!$B$43/'NM Play'!$B$15),ROUNDDOWN(H541/'NM Play'!$B$12,0)+F541/('NM Play'!$B$44/'NM Play'!$B$16),(F541+ROUNDDOWN(G541/'NM Play'!$B$11,0)*'NM Play'!$B$43/'NM Play'!$B$15+ROUNDDOWN(H541/'NM Play'!$B$12,0)*'NM Play'!$B$44/'NM Play'!$B$16)/('NM Play'!$B$43/'NM Play'!$B$15+'NM Play'!$B$44/'NM Play'!$B$16))</f>
        <v/>
      </c>
      <c r="M541" s="160">
        <f>F541*'NM Play'!$B$36</f>
        <v/>
      </c>
      <c r="N541" s="160">
        <f>ROUNDDOWN(MAX(0,MIN(J541,K541:M541)),0)</f>
        <v/>
      </c>
      <c r="O541" s="160">
        <f>ROUNDUP(MAX(0,N541*'NM Play'!$B$11-G541)/'NM Play'!$B$13,0)</f>
        <v/>
      </c>
      <c r="P541" s="160">
        <f>ROUNDUP(MAX(0,N541*'NM Play'!$B$12-H541)/'NM Play'!$B$14,0)</f>
        <v/>
      </c>
      <c r="Q541" s="160">
        <f>(O541+IF('Sites'!$C$8="Own sheets",P541,0))/'NM Play'!$B$10</f>
        <v/>
      </c>
      <c r="R541" s="160">
        <f>O541/'NM Play'!$B$15+P541/'NM Play'!$B$16</f>
        <v/>
      </c>
      <c r="S541" s="160">
        <f>MAX(Q541,R541,N541/'NM Play'!$B$36)</f>
        <v/>
      </c>
      <c r="T541" s="160">
        <f>Q541*'NM Play'!$B$10*'NM Play'!$B$21*(1+'NM Play'!$B$35)</f>
        <v/>
      </c>
      <c r="U541" s="160">
        <f>MAX(0,T541-I541)</f>
        <v/>
      </c>
      <c r="V541" s="160">
        <f>G541+O541*'NM Play'!$B$13-N541*'NM Play'!$B$11</f>
        <v/>
      </c>
      <c r="W541" s="160">
        <f>H541+P541*'NM Play'!$B$14-N541*'NM Play'!$B$12</f>
        <v/>
      </c>
      <c r="X541" s="160">
        <f>I541+U541-T541</f>
        <v/>
      </c>
      <c r="Y541" s="160">
        <f>MIN(N541,MAX(0,ROUNDDOWN('Sites'!$N$8*'Cases'!$E$10,0)-SUM(Y534:Y540)))</f>
        <v/>
      </c>
      <c r="Z541" s="160">
        <f>N541-Y541</f>
        <v/>
      </c>
      <c r="AA541" s="160">
        <f>U541*'NM Play'!$B$22</f>
        <v/>
      </c>
      <c r="AB541" s="160">
        <f>N541*SUM('NM Play'!$B$29:$B$31)</f>
        <v/>
      </c>
      <c r="AC541" s="160">
        <f>IF('Sites'!$C$8="Defy legs",P541*'NM Play'!$B$14/'NM Play'!$B$12*'NM Play'!$B$28,0)</f>
        <v/>
      </c>
      <c r="AD541" s="160">
        <f>Q541*'NM Play'!$B$23</f>
        <v/>
      </c>
      <c r="AE541" s="160">
        <f>S541*SUM('NM Play'!$B$26,'NM Play'!$B$33:$B$34)</f>
        <v/>
      </c>
      <c r="AF541" s="160">
        <f>IF('Sites'!$D$8="NM crew",S541*SUM('NM Play'!$B$24:$B$25),0)</f>
        <v/>
      </c>
      <c r="AG541" s="160">
        <f>IF('Sites'!$D$8="NM crew",S541*'NM Play'!$B$27,0)</f>
        <v/>
      </c>
      <c r="AH541" s="160">
        <f>N541*'Sites'!$Z$8*'NM Play'!$B$32</f>
        <v/>
      </c>
      <c r="AI541" s="160">
        <f>SUM(Y541:Z541)*'Sites'!$R$8</f>
        <v/>
      </c>
      <c r="AJ541" s="160">
        <f>SUM(AA541:AH541)</f>
        <v/>
      </c>
      <c r="AK541" s="160">
        <f>AJ541+(T541-U541)*'NM Play'!$B$22+MIN(G541,N541*'NM Play'!$B$11)/'NM Play'!$B$13*'NM Play'!$B$21*'NM Play'!$B$22+MIN(H541,N541*'NM Play'!$B$12)/'NM Play'!$B$14*IF('Sites'!$C$8="Own sheets",'NM Play'!$B$21*'NM Play'!$B$22,'NM Play'!$B$28*'NM Play'!$B$14/'NM Play'!$B$12)</f>
        <v/>
      </c>
      <c r="AL541" s="160">
        <f>Y541*'Assumptions'!AI66</f>
        <v/>
      </c>
      <c r="AM541" s="160">
        <f>IF('Sites'!$D$8="NM crew",S541*'NM Play'!$B$37*(1+IF(AND(ISNUMBER('NM Play'!$B$25),'NM Play'!$B$25&gt;0),1,0)),"")</f>
        <v/>
      </c>
      <c r="AN541" s="160">
        <f>IF(OR('Sites'!$E$8&lt;0,'Sites'!$E$8&gt;1,'Sites'!$F$8&lt;1,'Sites'!$G$8&lt;'Sites'!$F$8,F541&lt;0,MIN('Sites'!$I$8:'Sites'!$R$8)&lt;0,'Sites'!$L$8&gt;'Sites'!$I$8,'Sites'!$M$8&gt;'Sites'!$J$8,'Sites'!$N$8&gt;'Sites'!$K$8,'Sites'!$Z$8&lt;0,'Sites'!$Z$8&gt;1,MIN('Sites'!$AA$8:'Sites'!$AC$8)&lt;0,S541&gt;F541+0.001),1,0)</f>
        <v/>
      </c>
      <c r="AO541" s="160">
        <f>I541+U541-T541-X541</f>
        <v/>
      </c>
    </row>
    <row r="542" ht="28" customHeight="1">
      <c r="A542" s="4" t="inlineStr">
        <is>
          <t>Lower sales</t>
        </is>
      </c>
      <c r="B542" s="4" t="inlineStr">
        <is>
          <t>NEW2</t>
        </is>
      </c>
      <c r="C542" s="160" t="n">
        <v>33</v>
      </c>
      <c r="D542" s="160">
        <f>ROUNDUP(C542/12,0)</f>
        <v/>
      </c>
      <c r="E542" s="160">
        <f>IF(AND('Sites'!$E$8*'Cases'!$F$10=1,C542&gt;='Sites'!$F$8+'Cases'!$G$10,C542&lt;='Sites'!$G$8),1,0)</f>
        <v/>
      </c>
      <c r="F542" s="160">
        <f>E542*'Assumptions'!AJ69</f>
        <v/>
      </c>
      <c r="G542" s="160">
        <f>V541</f>
        <v/>
      </c>
      <c r="H542" s="160">
        <f>W541</f>
        <v/>
      </c>
      <c r="I542" s="160">
        <f>X541</f>
        <v/>
      </c>
      <c r="J542" s="160">
        <f>MAX(0,'Sites'!$K$8-SUM(N534:N541))</f>
        <v/>
      </c>
      <c r="K542" s="160">
        <f>IF('Sites'!$C$8="Own sheets",MIN(ROUNDDOWN(G542/'NM Play'!$B$11,0)+F542*'NM Play'!$B$10/'NM Play'!$B$43,ROUNDDOWN(H542/'NM Play'!$B$12,0)+F542*'NM Play'!$B$10/'NM Play'!$B$44,(F542*'NM Play'!$B$10+ROUNDDOWN(G542/'NM Play'!$B$11,0)*'NM Play'!$B$43+ROUNDDOWN(H542/'NM Play'!$B$12,0)*'NM Play'!$B$44)/('NM Play'!$B$43+'NM Play'!$B$44)),ROUNDDOWN(G542/'NM Play'!$B$11,0)+F542*'NM Play'!$B$10/'NM Play'!$B$43)</f>
        <v/>
      </c>
      <c r="L542" s="160">
        <f>MIN(ROUNDDOWN(G542/'NM Play'!$B$11,0)+F542/('NM Play'!$B$43/'NM Play'!$B$15),ROUNDDOWN(H542/'NM Play'!$B$12,0)+F542/('NM Play'!$B$44/'NM Play'!$B$16),(F542+ROUNDDOWN(G542/'NM Play'!$B$11,0)*'NM Play'!$B$43/'NM Play'!$B$15+ROUNDDOWN(H542/'NM Play'!$B$12,0)*'NM Play'!$B$44/'NM Play'!$B$16)/('NM Play'!$B$43/'NM Play'!$B$15+'NM Play'!$B$44/'NM Play'!$B$16))</f>
        <v/>
      </c>
      <c r="M542" s="160">
        <f>F542*'NM Play'!$B$36</f>
        <v/>
      </c>
      <c r="N542" s="160">
        <f>ROUNDDOWN(MAX(0,MIN(J542,K542:M542)),0)</f>
        <v/>
      </c>
      <c r="O542" s="160">
        <f>ROUNDUP(MAX(0,N542*'NM Play'!$B$11-G542)/'NM Play'!$B$13,0)</f>
        <v/>
      </c>
      <c r="P542" s="160">
        <f>ROUNDUP(MAX(0,N542*'NM Play'!$B$12-H542)/'NM Play'!$B$14,0)</f>
        <v/>
      </c>
      <c r="Q542" s="160">
        <f>(O542+IF('Sites'!$C$8="Own sheets",P542,0))/'NM Play'!$B$10</f>
        <v/>
      </c>
      <c r="R542" s="160">
        <f>O542/'NM Play'!$B$15+P542/'NM Play'!$B$16</f>
        <v/>
      </c>
      <c r="S542" s="160">
        <f>MAX(Q542,R542,N542/'NM Play'!$B$36)</f>
        <v/>
      </c>
      <c r="T542" s="160">
        <f>Q542*'NM Play'!$B$10*'NM Play'!$B$21*(1+'NM Play'!$B$35)</f>
        <v/>
      </c>
      <c r="U542" s="160">
        <f>MAX(0,T542-I542)</f>
        <v/>
      </c>
      <c r="V542" s="160">
        <f>G542+O542*'NM Play'!$B$13-N542*'NM Play'!$B$11</f>
        <v/>
      </c>
      <c r="W542" s="160">
        <f>H542+P542*'NM Play'!$B$14-N542*'NM Play'!$B$12</f>
        <v/>
      </c>
      <c r="X542" s="160">
        <f>I542+U542-T542</f>
        <v/>
      </c>
      <c r="Y542" s="160">
        <f>MIN(N542,MAX(0,ROUNDDOWN('Sites'!$N$8*'Cases'!$E$10,0)-SUM(Y534:Y541)))</f>
        <v/>
      </c>
      <c r="Z542" s="160">
        <f>N542-Y542</f>
        <v/>
      </c>
      <c r="AA542" s="160">
        <f>U542*'NM Play'!$B$22</f>
        <v/>
      </c>
      <c r="AB542" s="160">
        <f>N542*SUM('NM Play'!$B$29:$B$31)</f>
        <v/>
      </c>
      <c r="AC542" s="160">
        <f>IF('Sites'!$C$8="Defy legs",P542*'NM Play'!$B$14/'NM Play'!$B$12*'NM Play'!$B$28,0)</f>
        <v/>
      </c>
      <c r="AD542" s="160">
        <f>Q542*'NM Play'!$B$23</f>
        <v/>
      </c>
      <c r="AE542" s="160">
        <f>S542*SUM('NM Play'!$B$26,'NM Play'!$B$33:$B$34)</f>
        <v/>
      </c>
      <c r="AF542" s="160">
        <f>IF('Sites'!$D$8="NM crew",S542*SUM('NM Play'!$B$24:$B$25),0)</f>
        <v/>
      </c>
      <c r="AG542" s="160">
        <f>IF('Sites'!$D$8="NM crew",S542*'NM Play'!$B$27,0)</f>
        <v/>
      </c>
      <c r="AH542" s="160">
        <f>N542*'Sites'!$Z$8*'NM Play'!$B$32</f>
        <v/>
      </c>
      <c r="AI542" s="160">
        <f>SUM(Y542:Z542)*'Sites'!$R$8</f>
        <v/>
      </c>
      <c r="AJ542" s="160">
        <f>SUM(AA542:AH542)</f>
        <v/>
      </c>
      <c r="AK542" s="160">
        <f>AJ542+(T542-U542)*'NM Play'!$B$22+MIN(G542,N542*'NM Play'!$B$11)/'NM Play'!$B$13*'NM Play'!$B$21*'NM Play'!$B$22+MIN(H542,N542*'NM Play'!$B$12)/'NM Play'!$B$14*IF('Sites'!$C$8="Own sheets",'NM Play'!$B$21*'NM Play'!$B$22,'NM Play'!$B$28*'NM Play'!$B$14/'NM Play'!$B$12)</f>
        <v/>
      </c>
      <c r="AL542" s="160">
        <f>Y542*'Assumptions'!AJ66</f>
        <v/>
      </c>
      <c r="AM542" s="160">
        <f>IF('Sites'!$D$8="NM crew",S542*'NM Play'!$B$37*(1+IF(AND(ISNUMBER('NM Play'!$B$25),'NM Play'!$B$25&gt;0),1,0)),"")</f>
        <v/>
      </c>
      <c r="AN542" s="160">
        <f>IF(OR('Sites'!$E$8&lt;0,'Sites'!$E$8&gt;1,'Sites'!$F$8&lt;1,'Sites'!$G$8&lt;'Sites'!$F$8,F542&lt;0,MIN('Sites'!$I$8:'Sites'!$R$8)&lt;0,'Sites'!$L$8&gt;'Sites'!$I$8,'Sites'!$M$8&gt;'Sites'!$J$8,'Sites'!$N$8&gt;'Sites'!$K$8,'Sites'!$Z$8&lt;0,'Sites'!$Z$8&gt;1,MIN('Sites'!$AA$8:'Sites'!$AC$8)&lt;0,S542&gt;F542+0.001),1,0)</f>
        <v/>
      </c>
      <c r="AO542" s="160">
        <f>I542+U542-T542-X542</f>
        <v/>
      </c>
    </row>
    <row r="543" ht="28" customHeight="1">
      <c r="A543" s="4" t="inlineStr">
        <is>
          <t>Lower sales</t>
        </is>
      </c>
      <c r="B543" s="4" t="inlineStr">
        <is>
          <t>NEW2</t>
        </is>
      </c>
      <c r="C543" s="160" t="n">
        <v>34</v>
      </c>
      <c r="D543" s="160">
        <f>ROUNDUP(C543/12,0)</f>
        <v/>
      </c>
      <c r="E543" s="160">
        <f>IF(AND('Sites'!$E$8*'Cases'!$F$10=1,C543&gt;='Sites'!$F$8+'Cases'!$G$10,C543&lt;='Sites'!$G$8),1,0)</f>
        <v/>
      </c>
      <c r="F543" s="160">
        <f>E543*'Assumptions'!AK69</f>
        <v/>
      </c>
      <c r="G543" s="160">
        <f>V542</f>
        <v/>
      </c>
      <c r="H543" s="160">
        <f>W542</f>
        <v/>
      </c>
      <c r="I543" s="160">
        <f>X542</f>
        <v/>
      </c>
      <c r="J543" s="160">
        <f>MAX(0,'Sites'!$K$8-SUM(N534:N542))</f>
        <v/>
      </c>
      <c r="K543" s="160">
        <f>IF('Sites'!$C$8="Own sheets",MIN(ROUNDDOWN(G543/'NM Play'!$B$11,0)+F543*'NM Play'!$B$10/'NM Play'!$B$43,ROUNDDOWN(H543/'NM Play'!$B$12,0)+F543*'NM Play'!$B$10/'NM Play'!$B$44,(F543*'NM Play'!$B$10+ROUNDDOWN(G543/'NM Play'!$B$11,0)*'NM Play'!$B$43+ROUNDDOWN(H543/'NM Play'!$B$12,0)*'NM Play'!$B$44)/('NM Play'!$B$43+'NM Play'!$B$44)),ROUNDDOWN(G543/'NM Play'!$B$11,0)+F543*'NM Play'!$B$10/'NM Play'!$B$43)</f>
        <v/>
      </c>
      <c r="L543" s="160">
        <f>MIN(ROUNDDOWN(G543/'NM Play'!$B$11,0)+F543/('NM Play'!$B$43/'NM Play'!$B$15),ROUNDDOWN(H543/'NM Play'!$B$12,0)+F543/('NM Play'!$B$44/'NM Play'!$B$16),(F543+ROUNDDOWN(G543/'NM Play'!$B$11,0)*'NM Play'!$B$43/'NM Play'!$B$15+ROUNDDOWN(H543/'NM Play'!$B$12,0)*'NM Play'!$B$44/'NM Play'!$B$16)/('NM Play'!$B$43/'NM Play'!$B$15+'NM Play'!$B$44/'NM Play'!$B$16))</f>
        <v/>
      </c>
      <c r="M543" s="160">
        <f>F543*'NM Play'!$B$36</f>
        <v/>
      </c>
      <c r="N543" s="160">
        <f>ROUNDDOWN(MAX(0,MIN(J543,K543:M543)),0)</f>
        <v/>
      </c>
      <c r="O543" s="160">
        <f>ROUNDUP(MAX(0,N543*'NM Play'!$B$11-G543)/'NM Play'!$B$13,0)</f>
        <v/>
      </c>
      <c r="P543" s="160">
        <f>ROUNDUP(MAX(0,N543*'NM Play'!$B$12-H543)/'NM Play'!$B$14,0)</f>
        <v/>
      </c>
      <c r="Q543" s="160">
        <f>(O543+IF('Sites'!$C$8="Own sheets",P543,0))/'NM Play'!$B$10</f>
        <v/>
      </c>
      <c r="R543" s="160">
        <f>O543/'NM Play'!$B$15+P543/'NM Play'!$B$16</f>
        <v/>
      </c>
      <c r="S543" s="160">
        <f>MAX(Q543,R543,N543/'NM Play'!$B$36)</f>
        <v/>
      </c>
      <c r="T543" s="160">
        <f>Q543*'NM Play'!$B$10*'NM Play'!$B$21*(1+'NM Play'!$B$35)</f>
        <v/>
      </c>
      <c r="U543" s="160">
        <f>MAX(0,T543-I543)</f>
        <v/>
      </c>
      <c r="V543" s="160">
        <f>G543+O543*'NM Play'!$B$13-N543*'NM Play'!$B$11</f>
        <v/>
      </c>
      <c r="W543" s="160">
        <f>H543+P543*'NM Play'!$B$14-N543*'NM Play'!$B$12</f>
        <v/>
      </c>
      <c r="X543" s="160">
        <f>I543+U543-T543</f>
        <v/>
      </c>
      <c r="Y543" s="160">
        <f>MIN(N543,MAX(0,ROUNDDOWN('Sites'!$N$8*'Cases'!$E$10,0)-SUM(Y534:Y542)))</f>
        <v/>
      </c>
      <c r="Z543" s="160">
        <f>N543-Y543</f>
        <v/>
      </c>
      <c r="AA543" s="160">
        <f>U543*'NM Play'!$B$22</f>
        <v/>
      </c>
      <c r="AB543" s="160">
        <f>N543*SUM('NM Play'!$B$29:$B$31)</f>
        <v/>
      </c>
      <c r="AC543" s="160">
        <f>IF('Sites'!$C$8="Defy legs",P543*'NM Play'!$B$14/'NM Play'!$B$12*'NM Play'!$B$28,0)</f>
        <v/>
      </c>
      <c r="AD543" s="160">
        <f>Q543*'NM Play'!$B$23</f>
        <v/>
      </c>
      <c r="AE543" s="160">
        <f>S543*SUM('NM Play'!$B$26,'NM Play'!$B$33:$B$34)</f>
        <v/>
      </c>
      <c r="AF543" s="160">
        <f>IF('Sites'!$D$8="NM crew",S543*SUM('NM Play'!$B$24:$B$25),0)</f>
        <v/>
      </c>
      <c r="AG543" s="160">
        <f>IF('Sites'!$D$8="NM crew",S543*'NM Play'!$B$27,0)</f>
        <v/>
      </c>
      <c r="AH543" s="160">
        <f>N543*'Sites'!$Z$8*'NM Play'!$B$32</f>
        <v/>
      </c>
      <c r="AI543" s="160">
        <f>SUM(Y543:Z543)*'Sites'!$R$8</f>
        <v/>
      </c>
      <c r="AJ543" s="160">
        <f>SUM(AA543:AH543)</f>
        <v/>
      </c>
      <c r="AK543" s="160">
        <f>AJ543+(T543-U543)*'NM Play'!$B$22+MIN(G543,N543*'NM Play'!$B$11)/'NM Play'!$B$13*'NM Play'!$B$21*'NM Play'!$B$22+MIN(H543,N543*'NM Play'!$B$12)/'NM Play'!$B$14*IF('Sites'!$C$8="Own sheets",'NM Play'!$B$21*'NM Play'!$B$22,'NM Play'!$B$28*'NM Play'!$B$14/'NM Play'!$B$12)</f>
        <v/>
      </c>
      <c r="AL543" s="160">
        <f>Y543*'Assumptions'!AK66</f>
        <v/>
      </c>
      <c r="AM543" s="160">
        <f>IF('Sites'!$D$8="NM crew",S543*'NM Play'!$B$37*(1+IF(AND(ISNUMBER('NM Play'!$B$25),'NM Play'!$B$25&gt;0),1,0)),"")</f>
        <v/>
      </c>
      <c r="AN543" s="160">
        <f>IF(OR('Sites'!$E$8&lt;0,'Sites'!$E$8&gt;1,'Sites'!$F$8&lt;1,'Sites'!$G$8&lt;'Sites'!$F$8,F543&lt;0,MIN('Sites'!$I$8:'Sites'!$R$8)&lt;0,'Sites'!$L$8&gt;'Sites'!$I$8,'Sites'!$M$8&gt;'Sites'!$J$8,'Sites'!$N$8&gt;'Sites'!$K$8,'Sites'!$Z$8&lt;0,'Sites'!$Z$8&gt;1,MIN('Sites'!$AA$8:'Sites'!$AC$8)&lt;0,S543&gt;F543+0.001),1,0)</f>
        <v/>
      </c>
      <c r="AO543" s="160">
        <f>I543+U543-T543-X543</f>
        <v/>
      </c>
    </row>
    <row r="544" ht="28" customHeight="1">
      <c r="A544" s="4" t="inlineStr">
        <is>
          <t>Lower sales</t>
        </is>
      </c>
      <c r="B544" s="4" t="inlineStr">
        <is>
          <t>NEW2</t>
        </is>
      </c>
      <c r="C544" s="160" t="n">
        <v>35</v>
      </c>
      <c r="D544" s="160">
        <f>ROUNDUP(C544/12,0)</f>
        <v/>
      </c>
      <c r="E544" s="160">
        <f>IF(AND('Sites'!$E$8*'Cases'!$F$10=1,C544&gt;='Sites'!$F$8+'Cases'!$G$10,C544&lt;='Sites'!$G$8),1,0)</f>
        <v/>
      </c>
      <c r="F544" s="160">
        <f>E544*'Assumptions'!AL69</f>
        <v/>
      </c>
      <c r="G544" s="160">
        <f>V543</f>
        <v/>
      </c>
      <c r="H544" s="160">
        <f>W543</f>
        <v/>
      </c>
      <c r="I544" s="160">
        <f>X543</f>
        <v/>
      </c>
      <c r="J544" s="160">
        <f>MAX(0,'Sites'!$K$8-SUM(N534:N543))</f>
        <v/>
      </c>
      <c r="K544" s="160">
        <f>IF('Sites'!$C$8="Own sheets",MIN(ROUNDDOWN(G544/'NM Play'!$B$11,0)+F544*'NM Play'!$B$10/'NM Play'!$B$43,ROUNDDOWN(H544/'NM Play'!$B$12,0)+F544*'NM Play'!$B$10/'NM Play'!$B$44,(F544*'NM Play'!$B$10+ROUNDDOWN(G544/'NM Play'!$B$11,0)*'NM Play'!$B$43+ROUNDDOWN(H544/'NM Play'!$B$12,0)*'NM Play'!$B$44)/('NM Play'!$B$43+'NM Play'!$B$44)),ROUNDDOWN(G544/'NM Play'!$B$11,0)+F544*'NM Play'!$B$10/'NM Play'!$B$43)</f>
        <v/>
      </c>
      <c r="L544" s="160">
        <f>MIN(ROUNDDOWN(G544/'NM Play'!$B$11,0)+F544/('NM Play'!$B$43/'NM Play'!$B$15),ROUNDDOWN(H544/'NM Play'!$B$12,0)+F544/('NM Play'!$B$44/'NM Play'!$B$16),(F544+ROUNDDOWN(G544/'NM Play'!$B$11,0)*'NM Play'!$B$43/'NM Play'!$B$15+ROUNDDOWN(H544/'NM Play'!$B$12,0)*'NM Play'!$B$44/'NM Play'!$B$16)/('NM Play'!$B$43/'NM Play'!$B$15+'NM Play'!$B$44/'NM Play'!$B$16))</f>
        <v/>
      </c>
      <c r="M544" s="160">
        <f>F544*'NM Play'!$B$36</f>
        <v/>
      </c>
      <c r="N544" s="160">
        <f>ROUNDDOWN(MAX(0,MIN(J544,K544:M544)),0)</f>
        <v/>
      </c>
      <c r="O544" s="160">
        <f>ROUNDUP(MAX(0,N544*'NM Play'!$B$11-G544)/'NM Play'!$B$13,0)</f>
        <v/>
      </c>
      <c r="P544" s="160">
        <f>ROUNDUP(MAX(0,N544*'NM Play'!$B$12-H544)/'NM Play'!$B$14,0)</f>
        <v/>
      </c>
      <c r="Q544" s="160">
        <f>(O544+IF('Sites'!$C$8="Own sheets",P544,0))/'NM Play'!$B$10</f>
        <v/>
      </c>
      <c r="R544" s="160">
        <f>O544/'NM Play'!$B$15+P544/'NM Play'!$B$16</f>
        <v/>
      </c>
      <c r="S544" s="160">
        <f>MAX(Q544,R544,N544/'NM Play'!$B$36)</f>
        <v/>
      </c>
      <c r="T544" s="160">
        <f>Q544*'NM Play'!$B$10*'NM Play'!$B$21*(1+'NM Play'!$B$35)</f>
        <v/>
      </c>
      <c r="U544" s="160">
        <f>MAX(0,T544-I544)</f>
        <v/>
      </c>
      <c r="V544" s="160">
        <f>G544+O544*'NM Play'!$B$13-N544*'NM Play'!$B$11</f>
        <v/>
      </c>
      <c r="W544" s="160">
        <f>H544+P544*'NM Play'!$B$14-N544*'NM Play'!$B$12</f>
        <v/>
      </c>
      <c r="X544" s="160">
        <f>I544+U544-T544</f>
        <v/>
      </c>
      <c r="Y544" s="160">
        <f>MIN(N544,MAX(0,ROUNDDOWN('Sites'!$N$8*'Cases'!$E$10,0)-SUM(Y534:Y543)))</f>
        <v/>
      </c>
      <c r="Z544" s="160">
        <f>N544-Y544</f>
        <v/>
      </c>
      <c r="AA544" s="160">
        <f>U544*'NM Play'!$B$22</f>
        <v/>
      </c>
      <c r="AB544" s="160">
        <f>N544*SUM('NM Play'!$B$29:$B$31)</f>
        <v/>
      </c>
      <c r="AC544" s="160">
        <f>IF('Sites'!$C$8="Defy legs",P544*'NM Play'!$B$14/'NM Play'!$B$12*'NM Play'!$B$28,0)</f>
        <v/>
      </c>
      <c r="AD544" s="160">
        <f>Q544*'NM Play'!$B$23</f>
        <v/>
      </c>
      <c r="AE544" s="160">
        <f>S544*SUM('NM Play'!$B$26,'NM Play'!$B$33:$B$34)</f>
        <v/>
      </c>
      <c r="AF544" s="160">
        <f>IF('Sites'!$D$8="NM crew",S544*SUM('NM Play'!$B$24:$B$25),0)</f>
        <v/>
      </c>
      <c r="AG544" s="160">
        <f>IF('Sites'!$D$8="NM crew",S544*'NM Play'!$B$27,0)</f>
        <v/>
      </c>
      <c r="AH544" s="160">
        <f>N544*'Sites'!$Z$8*'NM Play'!$B$32</f>
        <v/>
      </c>
      <c r="AI544" s="160">
        <f>SUM(Y544:Z544)*'Sites'!$R$8</f>
        <v/>
      </c>
      <c r="AJ544" s="160">
        <f>SUM(AA544:AH544)</f>
        <v/>
      </c>
      <c r="AK544" s="160">
        <f>AJ544+(T544-U544)*'NM Play'!$B$22+MIN(G544,N544*'NM Play'!$B$11)/'NM Play'!$B$13*'NM Play'!$B$21*'NM Play'!$B$22+MIN(H544,N544*'NM Play'!$B$12)/'NM Play'!$B$14*IF('Sites'!$C$8="Own sheets",'NM Play'!$B$21*'NM Play'!$B$22,'NM Play'!$B$28*'NM Play'!$B$14/'NM Play'!$B$12)</f>
        <v/>
      </c>
      <c r="AL544" s="160">
        <f>Y544*'Assumptions'!AL66</f>
        <v/>
      </c>
      <c r="AM544" s="160">
        <f>IF('Sites'!$D$8="NM crew",S544*'NM Play'!$B$37*(1+IF(AND(ISNUMBER('NM Play'!$B$25),'NM Play'!$B$25&gt;0),1,0)),"")</f>
        <v/>
      </c>
      <c r="AN544" s="160">
        <f>IF(OR('Sites'!$E$8&lt;0,'Sites'!$E$8&gt;1,'Sites'!$F$8&lt;1,'Sites'!$G$8&lt;'Sites'!$F$8,F544&lt;0,MIN('Sites'!$I$8:'Sites'!$R$8)&lt;0,'Sites'!$L$8&gt;'Sites'!$I$8,'Sites'!$M$8&gt;'Sites'!$J$8,'Sites'!$N$8&gt;'Sites'!$K$8,'Sites'!$Z$8&lt;0,'Sites'!$Z$8&gt;1,MIN('Sites'!$AA$8:'Sites'!$AC$8)&lt;0,S544&gt;F544+0.001),1,0)</f>
        <v/>
      </c>
      <c r="AO544" s="160">
        <f>I544+U544-T544-X544</f>
        <v/>
      </c>
    </row>
    <row r="545" ht="28" customHeight="1">
      <c r="A545" s="4" t="inlineStr">
        <is>
          <t>Lower sales</t>
        </is>
      </c>
      <c r="B545" s="4" t="inlineStr">
        <is>
          <t>NEW2</t>
        </is>
      </c>
      <c r="C545" s="160" t="n">
        <v>36</v>
      </c>
      <c r="D545" s="160">
        <f>ROUNDUP(C545/12,0)</f>
        <v/>
      </c>
      <c r="E545" s="160">
        <f>IF(AND('Sites'!$E$8*'Cases'!$F$10=1,C545&gt;='Sites'!$F$8+'Cases'!$G$10,C545&lt;='Sites'!$G$8),1,0)</f>
        <v/>
      </c>
      <c r="F545" s="160">
        <f>E545*'Assumptions'!AM69</f>
        <v/>
      </c>
      <c r="G545" s="160">
        <f>V544</f>
        <v/>
      </c>
      <c r="H545" s="160">
        <f>W544</f>
        <v/>
      </c>
      <c r="I545" s="160">
        <f>X544</f>
        <v/>
      </c>
      <c r="J545" s="160">
        <f>MAX(0,'Sites'!$K$8-SUM(N534:N544))</f>
        <v/>
      </c>
      <c r="K545" s="160">
        <f>IF('Sites'!$C$8="Own sheets",MIN(ROUNDDOWN(G545/'NM Play'!$B$11,0)+F545*'NM Play'!$B$10/'NM Play'!$B$43,ROUNDDOWN(H545/'NM Play'!$B$12,0)+F545*'NM Play'!$B$10/'NM Play'!$B$44,(F545*'NM Play'!$B$10+ROUNDDOWN(G545/'NM Play'!$B$11,0)*'NM Play'!$B$43+ROUNDDOWN(H545/'NM Play'!$B$12,0)*'NM Play'!$B$44)/('NM Play'!$B$43+'NM Play'!$B$44)),ROUNDDOWN(G545/'NM Play'!$B$11,0)+F545*'NM Play'!$B$10/'NM Play'!$B$43)</f>
        <v/>
      </c>
      <c r="L545" s="160">
        <f>MIN(ROUNDDOWN(G545/'NM Play'!$B$11,0)+F545/('NM Play'!$B$43/'NM Play'!$B$15),ROUNDDOWN(H545/'NM Play'!$B$12,0)+F545/('NM Play'!$B$44/'NM Play'!$B$16),(F545+ROUNDDOWN(G545/'NM Play'!$B$11,0)*'NM Play'!$B$43/'NM Play'!$B$15+ROUNDDOWN(H545/'NM Play'!$B$12,0)*'NM Play'!$B$44/'NM Play'!$B$16)/('NM Play'!$B$43/'NM Play'!$B$15+'NM Play'!$B$44/'NM Play'!$B$16))</f>
        <v/>
      </c>
      <c r="M545" s="160">
        <f>F545*'NM Play'!$B$36</f>
        <v/>
      </c>
      <c r="N545" s="160">
        <f>ROUNDDOWN(MAX(0,MIN(J545,K545:M545)),0)</f>
        <v/>
      </c>
      <c r="O545" s="160">
        <f>ROUNDUP(MAX(0,N545*'NM Play'!$B$11-G545)/'NM Play'!$B$13,0)</f>
        <v/>
      </c>
      <c r="P545" s="160">
        <f>ROUNDUP(MAX(0,N545*'NM Play'!$B$12-H545)/'NM Play'!$B$14,0)</f>
        <v/>
      </c>
      <c r="Q545" s="160">
        <f>(O545+IF('Sites'!$C$8="Own sheets",P545,0))/'NM Play'!$B$10</f>
        <v/>
      </c>
      <c r="R545" s="160">
        <f>O545/'NM Play'!$B$15+P545/'NM Play'!$B$16</f>
        <v/>
      </c>
      <c r="S545" s="160">
        <f>MAX(Q545,R545,N545/'NM Play'!$B$36)</f>
        <v/>
      </c>
      <c r="T545" s="160">
        <f>Q545*'NM Play'!$B$10*'NM Play'!$B$21*(1+'NM Play'!$B$35)</f>
        <v/>
      </c>
      <c r="U545" s="160">
        <f>MAX(0,T545-I545)</f>
        <v/>
      </c>
      <c r="V545" s="160">
        <f>G545+O545*'NM Play'!$B$13-N545*'NM Play'!$B$11</f>
        <v/>
      </c>
      <c r="W545" s="160">
        <f>H545+P545*'NM Play'!$B$14-N545*'NM Play'!$B$12</f>
        <v/>
      </c>
      <c r="X545" s="160">
        <f>I545+U545-T545</f>
        <v/>
      </c>
      <c r="Y545" s="160">
        <f>MIN(N545,MAX(0,ROUNDDOWN('Sites'!$N$8*'Cases'!$E$10,0)-SUM(Y534:Y544)))</f>
        <v/>
      </c>
      <c r="Z545" s="160">
        <f>N545-Y545</f>
        <v/>
      </c>
      <c r="AA545" s="160">
        <f>U545*'NM Play'!$B$22</f>
        <v/>
      </c>
      <c r="AB545" s="160">
        <f>N545*SUM('NM Play'!$B$29:$B$31)</f>
        <v/>
      </c>
      <c r="AC545" s="160">
        <f>IF('Sites'!$C$8="Defy legs",P545*'NM Play'!$B$14/'NM Play'!$B$12*'NM Play'!$B$28,0)</f>
        <v/>
      </c>
      <c r="AD545" s="160">
        <f>Q545*'NM Play'!$B$23</f>
        <v/>
      </c>
      <c r="AE545" s="160">
        <f>S545*SUM('NM Play'!$B$26,'NM Play'!$B$33:$B$34)</f>
        <v/>
      </c>
      <c r="AF545" s="160">
        <f>IF('Sites'!$D$8="NM crew",S545*SUM('NM Play'!$B$24:$B$25),0)</f>
        <v/>
      </c>
      <c r="AG545" s="160">
        <f>IF('Sites'!$D$8="NM crew",S545*'NM Play'!$B$27,0)</f>
        <v/>
      </c>
      <c r="AH545" s="160">
        <f>N545*'Sites'!$Z$8*'NM Play'!$B$32</f>
        <v/>
      </c>
      <c r="AI545" s="160">
        <f>SUM(Y545:Z545)*'Sites'!$R$8</f>
        <v/>
      </c>
      <c r="AJ545" s="160">
        <f>SUM(AA545:AH545)</f>
        <v/>
      </c>
      <c r="AK545" s="160">
        <f>AJ545+(T545-U545)*'NM Play'!$B$22+MIN(G545,N545*'NM Play'!$B$11)/'NM Play'!$B$13*'NM Play'!$B$21*'NM Play'!$B$22+MIN(H545,N545*'NM Play'!$B$12)/'NM Play'!$B$14*IF('Sites'!$C$8="Own sheets",'NM Play'!$B$21*'NM Play'!$B$22,'NM Play'!$B$28*'NM Play'!$B$14/'NM Play'!$B$12)</f>
        <v/>
      </c>
      <c r="AL545" s="160">
        <f>Y545*'Assumptions'!AM66</f>
        <v/>
      </c>
      <c r="AM545" s="160">
        <f>IF('Sites'!$D$8="NM crew",S545*'NM Play'!$B$37*(1+IF(AND(ISNUMBER('NM Play'!$B$25),'NM Play'!$B$25&gt;0),1,0)),"")</f>
        <v/>
      </c>
      <c r="AN545" s="160">
        <f>IF(OR('Sites'!$E$8&lt;0,'Sites'!$E$8&gt;1,'Sites'!$F$8&lt;1,'Sites'!$G$8&lt;'Sites'!$F$8,F545&lt;0,MIN('Sites'!$I$8:'Sites'!$R$8)&lt;0,'Sites'!$L$8&gt;'Sites'!$I$8,'Sites'!$M$8&gt;'Sites'!$J$8,'Sites'!$N$8&gt;'Sites'!$K$8,'Sites'!$Z$8&lt;0,'Sites'!$Z$8&gt;1,MIN('Sites'!$AA$8:'Sites'!$AC$8)&lt;0,S545&gt;F545+0.001),1,0)</f>
        <v/>
      </c>
      <c r="AO545" s="160">
        <f>I545+U545-T545-X545</f>
        <v/>
      </c>
    </row>
    <row r="546" ht="28"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c r="AG546" s="4" t="n"/>
      <c r="AH546" s="4" t="n"/>
      <c r="AI546" s="4" t="n"/>
      <c r="AJ546" s="4" t="n"/>
      <c r="AK546" s="4" t="n"/>
      <c r="AL546" s="4" t="n"/>
      <c r="AM546" s="4" t="n"/>
      <c r="AN546" s="4" t="n"/>
      <c r="AO546" s="4" t="n"/>
    </row>
    <row r="547" ht="28"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c r="AE547" s="4" t="n"/>
      <c r="AF547" s="4" t="n"/>
      <c r="AG547" s="4" t="n"/>
      <c r="AH547" s="4" t="n"/>
      <c r="AI547" s="4" t="n"/>
      <c r="AJ547" s="4" t="n"/>
      <c r="AK547" s="4" t="n"/>
      <c r="AL547" s="4" t="n"/>
      <c r="AM547" s="4" t="n"/>
      <c r="AN547" s="4" t="n"/>
      <c r="AO547" s="4" t="n"/>
    </row>
    <row r="548" ht="28"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c r="AG548" s="4" t="n"/>
      <c r="AH548" s="4" t="n"/>
      <c r="AI548" s="4" t="n"/>
      <c r="AJ548" s="4" t="n"/>
      <c r="AK548" s="4" t="n"/>
      <c r="AL548" s="4" t="n"/>
      <c r="AM548" s="4" t="n"/>
      <c r="AN548" s="4" t="n"/>
      <c r="AO548" s="4" t="n"/>
    </row>
    <row r="549" ht="28"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c r="AG549" s="4" t="n"/>
      <c r="AH549" s="4" t="n"/>
      <c r="AI549" s="4" t="n"/>
      <c r="AJ549" s="4" t="n"/>
      <c r="AK549" s="4" t="n"/>
      <c r="AL549" s="4" t="n"/>
      <c r="AM549" s="4" t="n"/>
      <c r="AN549" s="4" t="n"/>
      <c r="AO549" s="4" t="n"/>
    </row>
    <row r="550" ht="28"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c r="AF550" s="4" t="n"/>
      <c r="AG550" s="4" t="n"/>
      <c r="AH550" s="4" t="n"/>
      <c r="AI550" s="4" t="n"/>
      <c r="AJ550" s="4" t="n"/>
      <c r="AK550" s="4" t="n"/>
      <c r="AL550" s="4" t="n"/>
      <c r="AM550" s="4" t="n"/>
      <c r="AN550" s="4" t="n"/>
      <c r="AO550" s="4" t="n"/>
    </row>
  </sheetData>
  <mergeCells count="2">
    <mergeCell ref="A3:AO3"/>
    <mergeCell ref="A1:AO1"/>
  </mergeCell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Z190"/>
  <sheetViews>
    <sheetView showGridLines="0" workbookViewId="0">
      <pane ySplit="5" topLeftCell="A6" activePane="bottomLeft" state="frozen"/>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s>
  <sheetData>
    <row r="1" ht="38" customHeight="1">
      <c r="A1" s="5" t="inlineStr">
        <is>
          <t>Cash and accounting schedule</t>
        </is>
      </c>
    </row>
    <row r="2" ht="28"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c r="AX2" s="4" t="n"/>
      <c r="AY2" s="4" t="n"/>
      <c r="AZ2" s="4" t="n"/>
      <c r="BA2" s="4" t="n"/>
      <c r="BB2" s="4" t="n"/>
      <c r="BC2" s="4" t="n"/>
      <c r="BD2" s="4" t="n"/>
      <c r="BE2" s="4" t="n"/>
      <c r="BF2" s="4" t="n"/>
      <c r="BG2" s="4" t="n"/>
      <c r="BH2" s="4" t="n"/>
      <c r="BI2" s="4" t="n"/>
      <c r="BJ2" s="4" t="n"/>
      <c r="BK2" s="4" t="n"/>
      <c r="BL2" s="4" t="n"/>
      <c r="BM2" s="4" t="n"/>
      <c r="BN2" s="4" t="n"/>
      <c r="BO2" s="4" t="n"/>
      <c r="BP2" s="4" t="n"/>
    </row>
    <row r="3" ht="54" customHeight="1">
      <c r="A3" s="6" t="inlineStr">
        <is>
          <t>Goods cash and accounting schedule, with separately funded community costs at the right. Production targets assume partner operating funding; they are not funded by the Goods cash balance.</t>
        </is>
      </c>
    </row>
    <row r="4" ht="28" customHeight="1">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c r="AU4" s="4" t="n"/>
      <c r="AV4" s="4" t="n"/>
      <c r="AW4" s="4" t="n"/>
      <c r="AX4" s="4" t="n"/>
      <c r="AY4" s="4" t="n"/>
      <c r="AZ4" s="4" t="n"/>
      <c r="BA4" s="4" t="n"/>
      <c r="BB4" s="4" t="n"/>
      <c r="BC4" s="4" t="n"/>
      <c r="BD4" s="4" t="n"/>
      <c r="BE4" s="4" t="n"/>
      <c r="BF4" s="4" t="n"/>
      <c r="BG4" s="4" t="n"/>
      <c r="BH4" s="4" t="n"/>
      <c r="BI4" s="4" t="n"/>
      <c r="BJ4" s="4" t="n"/>
      <c r="BK4" s="4" t="n"/>
      <c r="BL4" s="4" t="n"/>
      <c r="BM4" s="4" t="n"/>
      <c r="BN4" s="4" t="n"/>
      <c r="BO4" s="4" t="n"/>
      <c r="BP4" s="4" t="n"/>
    </row>
    <row r="5" ht="54" customHeight="1">
      <c r="A5" s="8" t="inlineStr">
        <is>
          <t>Case</t>
        </is>
      </c>
      <c r="B5" s="8" t="inlineStr">
        <is>
          <t>Month</t>
        </is>
      </c>
      <c r="C5" s="8" t="inlineStr">
        <is>
          <t>Year</t>
        </is>
      </c>
      <c r="D5" s="8" t="inlineStr">
        <is>
          <t>Beds</t>
        </is>
      </c>
      <c r="E5" s="8" t="inlineStr">
        <is>
          <t>Goods deliveries</t>
        </is>
      </c>
      <c r="F5" s="8" t="inlineStr">
        <is>
          <t>Community deliveries</t>
        </is>
      </c>
      <c r="G5" s="8" t="inlineStr">
        <is>
          <t>Making cash</t>
        </is>
      </c>
      <c r="H5" s="8" t="inlineStr">
        <is>
          <t>Freight</t>
        </is>
      </c>
      <c r="I5" s="8" t="inlineStr">
        <is>
          <t>Network costs</t>
        </is>
      </c>
      <c r="J5" s="8" t="inlineStr">
        <is>
          <t>Site fixed costs</t>
        </is>
      </c>
      <c r="K5" s="8" t="inlineStr">
        <is>
          <t>Youth support</t>
        </is>
      </c>
      <c r="L5" s="8" t="inlineStr">
        <is>
          <t>Extra costs</t>
        </is>
      </c>
      <c r="M5" s="8" t="inlineStr">
        <is>
          <t>Capital paid</t>
        </is>
      </c>
      <c r="N5" s="8" t="inlineStr">
        <is>
          <t>Priced spending</t>
        </is>
      </c>
      <c r="O5" s="8" t="inlineStr">
        <is>
          <t>Secured grants</t>
        </is>
      </c>
      <c r="P5" s="8" t="inlineStr">
        <is>
          <t>Possible grants</t>
        </is>
      </c>
      <c r="Q5" s="8" t="inlineStr">
        <is>
          <t>Secured loan</t>
        </is>
      </c>
      <c r="R5" s="8" t="inlineStr">
        <is>
          <t>Possible loan</t>
        </is>
      </c>
      <c r="S5" s="8" t="inlineStr">
        <is>
          <t>Goods cash</t>
        </is>
      </c>
      <c r="T5" s="8" t="inlineStr">
        <is>
          <t>Opening receivables collected</t>
        </is>
      </c>
      <c r="U5" s="8" t="inlineStr">
        <is>
          <t>Other receipts</t>
        </is>
      </c>
      <c r="V5" s="8" t="inlineStr">
        <is>
          <t>Total receipts</t>
        </is>
      </c>
      <c r="W5" s="8" t="inlineStr">
        <is>
          <t>Opening new debt</t>
        </is>
      </c>
      <c r="X5" s="8" t="inlineStr">
        <is>
          <t>New borrowing</t>
        </is>
      </c>
      <c r="Y5" s="8" t="inlineStr">
        <is>
          <t>New loan interest</t>
        </is>
      </c>
      <c r="Z5" s="8" t="inlineStr">
        <is>
          <t>New loan principal</t>
        </is>
      </c>
      <c r="AA5" s="8" t="inlineStr">
        <is>
          <t>Closing new debt</t>
        </is>
      </c>
      <c r="AB5" s="8" t="inlineStr">
        <is>
          <t>New loan payment</t>
        </is>
      </c>
      <c r="AC5" s="8" t="inlineStr">
        <is>
          <t>Opening debt principal</t>
        </is>
      </c>
      <c r="AD5" s="8" t="inlineStr">
        <is>
          <t>Opening debt interest</t>
        </is>
      </c>
      <c r="AE5" s="8" t="inlineStr">
        <is>
          <t>Loan fees</t>
        </is>
      </c>
      <c r="AF5" s="8" t="inlineStr">
        <is>
          <t>Opening payables paid</t>
        </is>
      </c>
      <c r="AG5" s="8" t="inlineStr">
        <is>
          <t>Tax paid</t>
        </is>
      </c>
      <c r="AH5" s="8" t="inlineStr">
        <is>
          <t>Other cash cost</t>
        </is>
      </c>
      <c r="AI5" s="8" t="inlineStr">
        <is>
          <t>Other liabilities paid</t>
        </is>
      </c>
      <c r="AJ5" s="8" t="inlineStr">
        <is>
          <t>Net cash movement</t>
        </is>
      </c>
      <c r="AK5" s="8" t="inlineStr">
        <is>
          <t>Cumulative movement</t>
        </is>
      </c>
      <c r="AL5" s="8" t="inlineStr">
        <is>
          <t>Closing cash</t>
        </is>
      </c>
      <c r="AM5" s="8" t="inlineStr">
        <is>
          <t>Secured-only movement</t>
        </is>
      </c>
      <c r="AN5" s="8" t="inlineStr">
        <is>
          <t>Secured-only cumulative</t>
        </is>
      </c>
      <c r="AO5" s="8" t="inlineStr">
        <is>
          <t>Secured-only closing cash</t>
        </is>
      </c>
      <c r="AP5" s="8" t="inlineStr">
        <is>
          <t>Making expense</t>
        </is>
      </c>
      <c r="AQ5" s="8" t="inlineStr">
        <is>
          <t>Goods invoiced</t>
        </is>
      </c>
      <c r="AR5" s="8" t="inlineStr">
        <is>
          <t>Grant income</t>
        </is>
      </c>
      <c r="AS5" s="8" t="inlineStr">
        <is>
          <t>Depreciation</t>
        </is>
      </c>
      <c r="AT5" s="8" t="inlineStr">
        <is>
          <t>Profit before tax</t>
        </is>
      </c>
      <c r="AU5" s="8" t="inlineStr">
        <is>
          <t>Tax expense</t>
        </is>
      </c>
      <c r="AV5" s="8" t="inlineStr">
        <is>
          <t>Net profit</t>
        </is>
      </c>
      <c r="AW5" s="8" t="inlineStr">
        <is>
          <t>Closing receivables</t>
        </is>
      </c>
      <c r="AX5" s="8" t="inlineStr">
        <is>
          <t>Closing inventory</t>
        </is>
      </c>
      <c r="AY5" s="8" t="inlineStr">
        <is>
          <t>Closing fixed assets</t>
        </is>
      </c>
      <c r="AZ5" s="8" t="inlineStr">
        <is>
          <t>Closing payables</t>
        </is>
      </c>
      <c r="BA5" s="8" t="inlineStr">
        <is>
          <t>Closing deferred grants</t>
        </is>
      </c>
      <c r="BB5" s="8" t="inlineStr">
        <is>
          <t>Closing old debt</t>
        </is>
      </c>
      <c r="BC5" s="8" t="inlineStr">
        <is>
          <t>Closing tax payable</t>
        </is>
      </c>
      <c r="BD5" s="8" t="inlineStr">
        <is>
          <t>Closing other liabilities</t>
        </is>
      </c>
      <c r="BE5" s="8" t="inlineStr">
        <is>
          <t>Closing equity</t>
        </is>
      </c>
      <c r="BF5" s="8" t="inlineStr">
        <is>
          <t>Total assets</t>
        </is>
      </c>
      <c r="BG5" s="8" t="inlineStr">
        <is>
          <t>Total liabilities</t>
        </is>
      </c>
      <c r="BH5" s="8" t="inlineStr">
        <is>
          <t>Balance sheet difference</t>
        </is>
      </c>
      <c r="BI5" s="8" t="inlineStr">
        <is>
          <t>Debt difference</t>
        </is>
      </c>
      <c r="BJ5" s="8" t="inlineStr">
        <is>
          <t>Unpriced lines</t>
        </is>
      </c>
      <c r="BK5" s="8" t="inlineStr">
        <is>
          <t>Invalid inputs</t>
        </is>
      </c>
      <c r="BL5" s="8" t="inlineStr">
        <is>
          <t>Gross plastic consumed</t>
        </is>
      </c>
      <c r="BM5" s="8" t="inlineStr">
        <is>
          <t>Modelled product mass</t>
        </is>
      </c>
      <c r="BN5" s="8" t="inlineStr">
        <is>
          <t>NM paid hours</t>
        </is>
      </c>
      <c r="BO5" s="8" t="inlineStr">
        <is>
          <t>Cash difference</t>
        </is>
      </c>
      <c r="BP5" s="8" t="inlineStr">
        <is>
          <t>Loan payment rate</t>
        </is>
      </c>
      <c r="BQ5" t="inlineStr">
        <is>
          <t>Community making</t>
        </is>
      </c>
      <c r="BR5" t="inlineStr">
        <is>
          <t>Community freight</t>
        </is>
      </c>
      <c r="BS5" t="inlineStr">
        <is>
          <t>Community fixed costs</t>
        </is>
      </c>
      <c r="BT5" t="inlineStr">
        <is>
          <t>Community youth</t>
        </is>
      </c>
      <c r="BU5" t="inlineStr">
        <is>
          <t>Community extras</t>
        </is>
      </c>
      <c r="BV5" t="inlineStr">
        <is>
          <t>Community capital</t>
        </is>
      </c>
      <c r="BW5" t="inlineStr">
        <is>
          <t>Community spending</t>
        </is>
      </c>
      <c r="BX5" t="inlineStr">
        <is>
          <t>Combined spending</t>
        </is>
      </c>
      <c r="BY5" t="inlineStr">
        <is>
          <t>Responsibility difference</t>
        </is>
      </c>
      <c r="BZ5" t="inlineStr">
        <is>
          <t>Establishment extras</t>
        </is>
      </c>
    </row>
    <row r="6" ht="28" customHeight="1">
      <c r="A6" s="4" t="inlineStr">
        <is>
          <t>Full</t>
        </is>
      </c>
      <c r="B6" s="4" t="n">
        <v>1</v>
      </c>
      <c r="C6" s="4">
        <f>ROUNDUP(B6/12,0)</f>
        <v/>
      </c>
      <c r="D6" s="137">
        <f>SUMIFS('Production schedule'!$N$6:$N$113,'Production schedule'!$C$6:$C$113,1)</f>
        <v/>
      </c>
      <c r="E6" s="137">
        <f>SUMIFS('Production schedule'!$Y$6:$Y$113,'Production schedule'!$C$6:$C$113,1)</f>
        <v/>
      </c>
      <c r="F6" s="137">
        <f>SUMIFS('Production schedule'!$Z$6:$Z$113,'Production schedule'!$C$6:$C$113,1)</f>
        <v/>
      </c>
      <c r="G6" s="137">
        <f>('Production schedule'!AJ6)*'Responsibilities'!$C$6+('Production schedule'!AJ42)*'Responsibilities'!$C$7+('Production schedule'!AJ78)*'Responsibilities'!$C$8</f>
        <v/>
      </c>
      <c r="H6" s="137">
        <f>('Production schedule'!AI6)*'Responsibilities'!$D$6+('Production schedule'!AI42)*'Responsibilities'!$D$7+('Production schedule'!AI78)*'Responsibilities'!$D$8</f>
        <v/>
      </c>
      <c r="I6" s="137">
        <f>SUM('Assumptions'!D58:D65)</f>
        <v/>
      </c>
      <c r="J6" s="137">
        <f>('Production schedule'!E6*(IF('Sites'!D6="Annual staff",SUM('Assumptions'!D112,'Assumptions'!D114),0)+SUM('Assumptions'!D113,'Assumptions'!D115:D116)))*'Responsibilities'!$E$6+('Production schedule'!E42*(IF('Sites'!D7="Annual staff",SUM('Assumptions'!D117,'Assumptions'!D119),0)+SUM('Assumptions'!D118,'Assumptions'!D120:D121)))*'Responsibilities'!$E$7+('Production schedule'!E78*(IF('Sites'!D8="Annual staff",SUM('Assumptions'!D122,'Assumptions'!D124),0)+SUM('Assumptions'!D123,'Assumptions'!D125:D126)))*'Responsibilities'!$E$8</f>
        <v/>
      </c>
      <c r="K6" s="137">
        <f>(IF(AND('Production schedule'!E6=1,1=MAX(('Sites'!F6),1),ISNUMBER('Sites'!O6)),'Sites'!O6*'Assumptions'!$B$44,0))*'Responsibilities'!$F$6+(IF(AND('Production schedule'!E42=1,1=MAX(('Sites'!F7+'Cases'!G6),1),ISNUMBER('Sites'!O7)),'Sites'!O7*'Assumptions'!$B$44,0))*'Responsibilities'!$F$7+(IF(AND('Production schedule'!E78=1,1=MAX(('Sites'!F8+'Cases'!G6),1),ISNUMBER('Sites'!O8)),'Sites'!O8*'Assumptions'!$B$44,0))*'Responsibilities'!$F$8</f>
        <v/>
      </c>
      <c r="L6" s="137">
        <f>SUM('Costs'!E36)*'Costs'!F36/12*'Responsibilities'!$C$12+SUM('Costs'!E37)*'Costs'!F37/12*'Responsibilities'!$C$13+SUM('Costs'!E38)*'Costs'!F38/12*'Responsibilities'!$C$14+SUM('Costs'!E39)*'Costs'!F39/12*'Responsibilities'!$C$15+SUM('Costs'!E40)*'Costs'!F40/12*'Responsibilities'!$C$16+BZ6</f>
        <v/>
      </c>
      <c r="M6" s="137">
        <f>('Sites'!E6*'Capital'!E6*(IF(1='Capital'!G6,'Capital'!F6,0)+IF(1='Capital'!H6,1-'Capital'!F6,0)))*'Responsibilities'!$G$6+('Sites'!E7*'Capital'!E7*(IF(1='Capital'!G7+'Cases'!G6,'Capital'!F7,0)+IF(1='Capital'!H7+'Cases'!G6,1-'Capital'!F7,0)))*'Responsibilities'!$G$7+('Sites'!E8*'Cases'!F6*'Capital'!E8*(IF(1='Capital'!G8+'Cases'!G6,'Capital'!F8,0)+IF(1='Capital'!H8+'Cases'!G6,1-'Capital'!F8,0)))*'Responsibilities'!$G$8</f>
        <v/>
      </c>
      <c r="N6" s="137">
        <f>SUM(G6:M6)</f>
        <v/>
      </c>
      <c r="O6" s="137">
        <f>SUMIFS(FundingTranches[Secured amount],FundingTranches[Instrument],"Grant",FundingTranches[Secured month],1)</f>
        <v/>
      </c>
      <c r="P6" s="137">
        <f>SUMIFS(FundingTranches[Full possible],FundingTranches[Instrument],"Grant",FundingTranches[Scenario month],1-'Cases'!$D$6)</f>
        <v/>
      </c>
      <c r="Q6" s="137">
        <f>SUMIFS(FundingTranches[Secured amount],FundingTranches[Instrument],"Loan",FundingTranches[Secured month],1)</f>
        <v/>
      </c>
      <c r="R6" s="137">
        <f>SUMIFS(FundingTranches[Full possible],FundingTranches[Instrument],"Loan",FundingTranches[Scenario month],1-'Cases'!$D$6)</f>
        <v/>
      </c>
      <c r="S6" s="137">
        <f>IF(1&lt;='Assumptions'!$B$34,0,SUMIFS('Production schedule'!$AL$6:$AL$113,'Production schedule'!$C$6:$C$113,1-'Assumptions'!$B$34))</f>
        <v/>
      </c>
      <c r="T6" s="137">
        <f>'Assumptions'!D70</f>
        <v/>
      </c>
      <c r="U6" s="137">
        <f>'Assumptions'!D78</f>
        <v/>
      </c>
      <c r="V6" s="137">
        <f>SUM(O6:U6)</f>
        <v/>
      </c>
      <c r="W6" s="137">
        <f>0</f>
        <v/>
      </c>
      <c r="X6" s="137">
        <f>SUM(Q6:R6)</f>
        <v/>
      </c>
      <c r="Y6" s="137">
        <f>SUM(W6,X6)*'Assumptions'!$B$39/12</f>
        <v/>
      </c>
      <c r="Z6" s="137">
        <f>IF(SUM(W6,X6)&gt;0,MIN(SUM(W6,X6),MAX(0,BP6-Y6)),0)</f>
        <v/>
      </c>
      <c r="AA6" s="137">
        <f>SUM(W6,X6)-Z6</f>
        <v/>
      </c>
      <c r="AB6" s="137">
        <f>SUM(Y6:Z6)</f>
        <v/>
      </c>
      <c r="AC6" s="137">
        <f>'Assumptions'!D72</f>
        <v/>
      </c>
      <c r="AD6" s="137">
        <f>'Assumptions'!D73</f>
        <v/>
      </c>
      <c r="AE6" s="137">
        <f>IF(X6&gt;0,SUM('Assumptions'!$B$42),0)</f>
        <v/>
      </c>
      <c r="AF6" s="137">
        <f>'Assumptions'!D71</f>
        <v/>
      </c>
      <c r="AG6" s="137">
        <f>'Assumptions'!D74</f>
        <v/>
      </c>
      <c r="AH6" s="137">
        <f>'Assumptions'!D75</f>
        <v/>
      </c>
      <c r="AI6" s="137">
        <f>'Assumptions'!D77</f>
        <v/>
      </c>
      <c r="AJ6" s="137">
        <f>V6-N6-SUM(AB6:AI6)</f>
        <v/>
      </c>
      <c r="AK6" s="137">
        <f>SUM(AJ6:AJ6)</f>
        <v/>
      </c>
      <c r="AL6" s="137">
        <f>IF(ISNUMBER('Assumptions'!$B$10),'Assumptions'!$B$10+AK6,"")</f>
        <v/>
      </c>
      <c r="AM6" s="137">
        <f>SUM(O6,Q6,T6)-N6-SUM(AC6:AI6)+IF('Funding'!$N$11=0,AE6,0)-IF('Funding'!$N$11&gt;0,AB6,0)</f>
        <v/>
      </c>
      <c r="AN6" s="137">
        <f>SUM(AM6:AM6)</f>
        <v/>
      </c>
      <c r="AO6" s="137">
        <f>IF(ISNUMBER('Assumptions'!$B$10),'Assumptions'!$B$10+AN6,"")</f>
        <v/>
      </c>
      <c r="AP6" s="137">
        <f>('Production schedule'!AK6)*'Responsibilities'!$C$6+('Production schedule'!AK42)*'Responsibilities'!$C$7+('Production schedule'!AK78)*'Responsibilities'!$C$8</f>
        <v/>
      </c>
      <c r="AQ6" s="137">
        <f>SUMIFS('Production schedule'!$AL$6:$AL$113,'Production schedule'!$C$6:$C$113,1)</f>
        <v/>
      </c>
      <c r="AR6" s="137">
        <f>IF(ISNUMBER('Assumptions'!D76),'Assumptions'!D76,SUM(O6:P6))</f>
        <v/>
      </c>
      <c r="AS6" s="137">
        <f>IF(ISNUMBER('Assumptions'!$B$13),MIN('Assumptions'!$B$13/'Assumptions'!$B$18/12,MAX(0,'Assumptions'!$B$13-(1-1)*'Assumptions'!$B$13/'Assumptions'!$B$18/12)),0)+IF(AND('Sites'!E6=1,1&gt;=('Sites'!F6),1&lt;('Sites'!F6)+'Assumptions'!$B$18*12),'Capital'!E6/'Assumptions'!$B$18/12,0)+IF(AND('Sites'!E7=1,1&gt;=('Sites'!F7+'Cases'!G6),1&lt;('Sites'!F7+'Cases'!G6)+'Assumptions'!$B$18*12),'Capital'!E7/'Assumptions'!$B$18/12,0)+IF(AND('Sites'!E8*'Cases'!F6=1,1&gt;=('Sites'!F8+'Cases'!G6),1&lt;('Sites'!F8+'Cases'!G6)+'Assumptions'!$B$18*12),'Capital'!E8/'Assumptions'!$B$18/12,0)</f>
        <v/>
      </c>
      <c r="AT6" s="137">
        <f>SUM(AQ6,AR6,U6)-AP6-SUM(H6:L6)-AS6-SUM(Y6,AD6,AE6,AH6)</f>
        <v/>
      </c>
      <c r="AU6" s="137">
        <f>IF(ISNUMBER('Assumptions'!$B$19),MAX(0,SUM(AT6:AT6))*'Assumptions'!$B$19-0,"")</f>
        <v/>
      </c>
      <c r="AV6" s="137">
        <f>IF(ISNUMBER(AU6),AT6-AU6,"")</f>
        <v/>
      </c>
      <c r="AW6" s="137">
        <f>IF(ISNUMBER('Assumptions'!$B$11),'Assumptions'!$B$11+SUM(AQ6:AQ6)-SUM(S6:S6)-SUM(T6:T6),"")</f>
        <v/>
      </c>
      <c r="AX6" s="137">
        <f>IF(ISNUMBER('Assumptions'!$B$12),'Assumptions'!$B$12+SUM(G6:G6)-SUM(AP6:AP6),"")</f>
        <v/>
      </c>
      <c r="AY6" s="137">
        <f>IF(ISNUMBER('Assumptions'!$B$13),'Assumptions'!$B$13+SUM(M6:M6)-SUM(AS6:AS6),"")</f>
        <v/>
      </c>
      <c r="AZ6" s="137">
        <f>IF(ISNUMBER('Assumptions'!$B$14),'Assumptions'!$B$14+-SUM(AF6:AF6),"")</f>
        <v/>
      </c>
      <c r="BA6" s="137">
        <f>IF(ISNUMBER('Assumptions'!$B$15),'Assumptions'!$B$15+SUM(O6:O6)+SUM(P6:P6)-SUM(AR6:AR6),"")</f>
        <v/>
      </c>
      <c r="BB6" s="137">
        <f>IF(ISNUMBER('Assumptions'!$B$16),'Assumptions'!$B$16+-SUM(AC6:AC6),"")</f>
        <v/>
      </c>
      <c r="BC6" s="137">
        <f>IF(AND(ISNUMBER('Assumptions'!$B$21),ISNUMBER('Assumptions'!$B$19)),'Assumptions'!$B$21+SUM(AU6:AU6)-SUM(AG6:AG6),"")</f>
        <v/>
      </c>
      <c r="BD6" s="137">
        <f>IF(ISNUMBER('Assumptions'!$B$20),'Assumptions'!$B$20+-SUM(AI6:AI6),"")</f>
        <v/>
      </c>
      <c r="BE6" s="137">
        <f>IF(AND(ISNUMBER('Assumptions'!$B$17),COUNT(AV6:AV6)=1),'Assumptions'!$B$17+SUM(AV6:AV6),"")</f>
        <v/>
      </c>
      <c r="BF6" s="137">
        <f>IF(COUNT(AL6,AW6:AY6)=4,SUM(AL6,AW6:AY6),"")</f>
        <v/>
      </c>
      <c r="BG6" s="137">
        <f>IF(COUNT(AZ6:BD6)=5,SUM(AZ6:BD6,AA6),"")</f>
        <v/>
      </c>
      <c r="BH6" s="137">
        <f>IF(COUNT(BF6,BG6,BE6)=3,BF6-BG6-BE6,"")</f>
        <v/>
      </c>
      <c r="BI6" s="137">
        <f>SUM(W6,X6)-Z6-AA6</f>
        <v/>
      </c>
      <c r="BJ6" s="137">
        <f>8-COUNT('Assumptions'!D58:D65)+COUNTBLANK('NM Play'!B33:B34)+'Costs'!E44+IF(AND('Sites'!E6=1,('Sites'!F6)&lt;=12,'Sites'!G6&gt;=1),IF(ISNUMBER('Sites'!O6),0,1)+'Capital'!I6+COUNTBLANK('Sites'!R6)+IF('Sites'!D6="NM crew",COUNTBLANK('NM Play'!B25)+1,5-COUNT('Assumptions'!D112:D116)),0)+IF(AND('Sites'!E7=1,('Sites'!F7+'Cases'!G6)&lt;=12,'Sites'!G7&gt;=1),IF(ISNUMBER('Sites'!O7),0,1)+'Capital'!I7+COUNTBLANK('Sites'!R7)+IF('Sites'!D7="NM crew",COUNTBLANK('NM Play'!B25)+1,5-COUNT('Assumptions'!D117:D121)),0)+IF(AND('Sites'!E8*'Cases'!F6=1,('Sites'!F8+'Cases'!G6)&lt;=12,'Sites'!G8&gt;=1),IF(ISNUMBER('Sites'!O8),0,1)+'Capital'!I8+COUNTBLANK('Sites'!R8)+IF('Sites'!D8="NM crew",COUNTBLANK('NM Play'!B25)+1,5-COUNT('Assumptions'!D122:D126)),0)+IF(AND('Cases'!C6&gt;0,NOT(ISNUMBER('Assumptions'!B42))),1,0)+'Responsibilities'!$B$39</f>
        <v/>
      </c>
      <c r="BK6" s="137">
        <f>'Assumptions'!$B$50+'NM Play'!$B$83+'Funding'!$F$20+SUMIFS('Production schedule'!$AN$6:$AN$113,'Production schedule'!$C$6:$C$113,1)+IF(OR('Cases'!E6&lt;0,'Cases'!E6&gt;1,'Cases'!C6&lt;0,'Cases'!D6&lt;0,ABS(SUM('Sites'!S6:S8)-1)&gt;0.0001,MIN('Capital'!F6:F8)&lt;0,MAX('Capital'!F6:F8)&gt;1,MIN(AX6,AZ6,BB6,BA6)&lt;-0.01),1,0)+'Responsibilities'!$B$40</f>
        <v/>
      </c>
      <c r="BL6" s="137">
        <f>SUMIFS('Production schedule'!$T$6:$T$113,'Production schedule'!$C$6:$C$113,1)</f>
        <v/>
      </c>
      <c r="BM6" s="137">
        <f>D6*'NM Play'!$B$38</f>
        <v/>
      </c>
      <c r="BN6" s="137">
        <f>SUMIFS('Production schedule'!$AM$6:$AM$113,'Production schedule'!$C$6:$C$113,1)</f>
        <v/>
      </c>
      <c r="BO6" s="137">
        <f>AK6-0-AJ6</f>
        <v/>
      </c>
      <c r="BP6" s="137">
        <f>IF(AND('Assumptions'!$B$39&gt;=0,'Assumptions'!$B$40&gt;0),-PMT('Assumptions'!$B$39/12,'Assumptions'!$B$40*12,IF('Funding'!$N$11&gt;0,'Funding'!$N$11,'Funding'!$R$11)),"")</f>
        <v/>
      </c>
      <c r="BQ6">
        <f>('Production schedule'!AJ6)*(1-'Responsibilities'!$C$6)+('Production schedule'!AJ42)*(1-'Responsibilities'!$C$7)+('Production schedule'!AJ78)*(1-'Responsibilities'!$C$8)</f>
        <v/>
      </c>
      <c r="BR6">
        <f>('Production schedule'!AI6)*(1-'Responsibilities'!$D$6)+('Production schedule'!AI42)*(1-'Responsibilities'!$D$7)+('Production schedule'!AI78)*(1-'Responsibilities'!$D$8)</f>
        <v/>
      </c>
      <c r="BS6">
        <f>('Production schedule'!E6*(IF('Sites'!D6="Annual staff",SUM('Assumptions'!D112,'Assumptions'!D114),0)+SUM('Assumptions'!D113,'Assumptions'!D115:D116)))*(1-'Responsibilities'!$E$6)+('Production schedule'!E42*(IF('Sites'!D7="Annual staff",SUM('Assumptions'!D117,'Assumptions'!D119),0)+SUM('Assumptions'!D118,'Assumptions'!D120:D121)))*(1-'Responsibilities'!$E$7)+('Production schedule'!E78*(IF('Sites'!D8="Annual staff",SUM('Assumptions'!D122,'Assumptions'!D124),0)+SUM('Assumptions'!D123,'Assumptions'!D125:D126)))*(1-'Responsibilities'!$E$8)</f>
        <v/>
      </c>
      <c r="BT6">
        <f>(IF(AND('Production schedule'!E6=1,1=MAX(('Sites'!F6),1),ISNUMBER('Sites'!O6)),'Sites'!O6*'Assumptions'!$B$44,0))*(1-'Responsibilities'!$F$6)+(IF(AND('Production schedule'!E42=1,1=MAX(('Sites'!F7+'Cases'!G6),1),ISNUMBER('Sites'!O7)),'Sites'!O7*'Assumptions'!$B$44,0))*(1-'Responsibilities'!$F$7)+(IF(AND('Production schedule'!E78=1,1=MAX(('Sites'!F8+'Cases'!G6),1),ISNUMBER('Sites'!O8)),'Sites'!O8*'Assumptions'!$B$44,0))*(1-'Responsibilities'!$F$8)</f>
        <v/>
      </c>
      <c r="BU6">
        <f>SUM('Costs'!E36)*'Costs'!F36/12*(1-'Responsibilities'!$C$12)+SUM('Costs'!E37)*'Costs'!F37/12*(1-'Responsibilities'!$C$13)+SUM('Costs'!E38)*'Costs'!F38/12*(1-'Responsibilities'!$C$14)+SUM('Costs'!E39)*'Costs'!F39/12*(1-'Responsibilities'!$C$15)+SUM('Costs'!E40)*'Costs'!F40/12*(1-'Responsibilities'!$C$16)</f>
        <v/>
      </c>
      <c r="BV6">
        <f>('Sites'!E6*'Capital'!E6*(IF(1='Capital'!G6,'Capital'!F6,0)+IF(1='Capital'!H6,1-'Capital'!F6,0)))*(1-'Responsibilities'!$G$6)+('Sites'!E7*'Capital'!E7*(IF(1='Capital'!G7+'Cases'!G6,'Capital'!F7,0)+IF(1='Capital'!H7+'Cases'!G6,1-'Capital'!F7,0)))*(1-'Responsibilities'!$G$7)+('Sites'!E8*'Cases'!F6*'Capital'!E8*(IF(1='Capital'!G8+'Cases'!G6,'Capital'!F8,0)+IF(1='Capital'!H8+'Cases'!G6,1-'Capital'!F8,0)))*(1-'Responsibilities'!$G$8)</f>
        <v/>
      </c>
      <c r="BW6">
        <f>SUM(BQ6:BV6)</f>
        <v/>
      </c>
      <c r="BX6">
        <f>N6+BW6</f>
        <v/>
      </c>
      <c r="BY6">
        <f>BX6-(('Production schedule'!AJ6)*'Responsibilities'!$C$6+('Production schedule'!AJ42)*'Responsibilities'!$C$7+('Production schedule'!AJ78)*'Responsibilities'!$C$8+('Production schedule'!AJ6)*(1-'Responsibilities'!$C$6)+('Production schedule'!AJ42)*(1-'Responsibilities'!$C$7)+('Production schedule'!AJ78)*(1-'Responsibilities'!$C$8)+('Production schedule'!AI6)*'Responsibilities'!$D$6+('Production schedule'!AI42)*'Responsibilities'!$D$7+('Production schedule'!AI78)*'Responsibilities'!$D$8+('Production schedule'!AI6)*(1-'Responsibilities'!$D$6)+('Production schedule'!AI42)*(1-'Responsibilities'!$D$7)+('Production schedule'!AI78)*(1-'Responsibilities'!$D$8)+('Production schedule'!E6*(IF('Sites'!D6="Annual staff",SUM('Assumptions'!D112,'Assumptions'!D114),0)+SUM('Assumptions'!D113,'Assumptions'!D115:D116)))*'Responsibilities'!$E$6+('Production schedule'!E42*(IF('Sites'!D7="Annual staff",SUM('Assumptions'!D117,'Assumptions'!D119),0)+SUM('Assumptions'!D118,'Assumptions'!D120:D121)))*'Responsibilities'!$E$7+('Production schedule'!E78*(IF('Sites'!D8="Annual staff",SUM('Assumptions'!D122,'Assumptions'!D124),0)+SUM('Assumptions'!D123,'Assumptions'!D125:D126)))*'Responsibilities'!$E$8+('Production schedule'!E6*(IF('Sites'!D6="Annual staff",SUM('Assumptions'!D112,'Assumptions'!D114),0)+SUM('Assumptions'!D113,'Assumptions'!D115:D116)))*(1-'Responsibilities'!$E$6)+('Production schedule'!E42*(IF('Sites'!D7="Annual staff",SUM('Assumptions'!D117,'Assumptions'!D119),0)+SUM('Assumptions'!D118,'Assumptions'!D120:D121)))*(1-'Responsibilities'!$E$7)+('Production schedule'!E78*(IF('Sites'!D8="Annual staff",SUM('Assumptions'!D122,'Assumptions'!D124),0)+SUM('Assumptions'!D123,'Assumptions'!D125:D126)))*(1-'Responsibilities'!$E$8)+(IF(AND('Production schedule'!E6=1,1=MAX(('Sites'!F6),1),ISNUMBER('Sites'!O6)),'Sites'!O6*'Assumptions'!$B$44,0))*'Responsibilities'!$F$6+(IF(AND('Production schedule'!E42=1,1=MAX(('Sites'!F7+'Cases'!G6),1),ISNUMBER('Sites'!O7)),'Sites'!O7*'Assumptions'!$B$44,0))*'Responsibilities'!$F$7+(IF(AND('Production schedule'!E78=1,1=MAX(('Sites'!F8+'Cases'!G6),1),ISNUMBER('Sites'!O8)),'Sites'!O8*'Assumptions'!$B$44,0))*'Responsibilities'!$F$8+(IF(AND('Production schedule'!E6=1,1=MAX(('Sites'!F6),1),ISNUMBER('Sites'!O6)),'Sites'!O6*'Assumptions'!$B$44,0))*(1-'Responsibilities'!$F$6)+(IF(AND('Production schedule'!E42=1,1=MAX(('Sites'!F7+'Cases'!G6),1),ISNUMBER('Sites'!O7)),'Sites'!O7*'Assumptions'!$B$44,0))*(1-'Responsibilities'!$F$7)+(IF(AND('Production schedule'!E78=1,1=MAX(('Sites'!F8+'Cases'!G6),1),ISNUMBER('Sites'!O8)),'Sites'!O8*'Assumptions'!$B$44,0))*(1-'Responsibilities'!$F$8)+('Sites'!E6*'Capital'!E6*(IF(1='Capital'!G6,'Capital'!F6,0)+IF(1='Capital'!H6,1-'Capital'!F6,0)))*'Responsibilities'!$G$6+('Sites'!E7*'Capital'!E7*(IF(1='Capital'!G7+'Cases'!G6,'Capital'!F7,0)+IF(1='Capital'!H7+'Cases'!G6,1-'Capital'!F7,0)))*'Responsibilities'!$G$7+('Sites'!E8*'Cases'!F6*'Capital'!E8*(IF(1='Capital'!G8+'Cases'!G6,'Capital'!F8,0)+IF(1='Capital'!H8+'Cases'!G6,1-'Capital'!F8,0)))*'Responsibilities'!$G$8+('Sites'!E6*'Capital'!E6*(IF(1='Capital'!G6,'Capital'!F6,0)+IF(1='Capital'!H6,1-'Capital'!F6,0)))*(1-'Responsibilities'!$G$6)+('Sites'!E7*'Capital'!E7*(IF(1='Capital'!G7+'Cases'!G6,'Capital'!F7,0)+IF(1='Capital'!H7+'Cases'!G6,1-'Capital'!F7,0)))*(1-'Responsibilities'!$G$7)+('Sites'!E8*'Cases'!F6*'Capital'!E8*(IF(1='Capital'!G8+'Cases'!G6,'Capital'!F8,0)+IF(1='Capital'!H8+'Cases'!G6,1-'Capital'!F8,0)))*(1-'Responsibilities'!$G$8)+I6+SUMPRODUCT('Costs'!$E$36:$E$40,'Costs'!$F$36:$F$40)/12+BZ6)</f>
        <v/>
      </c>
      <c r="BZ6">
        <f>SUMIFS('Responsibilities'!$B$31:$B$35,'Responsibilities'!$C$31:$C$35,1,'Responsibilities'!$D$31:$D$35,"Yes")</f>
        <v/>
      </c>
    </row>
    <row r="7" ht="28" customHeight="1">
      <c r="A7" s="4" t="inlineStr">
        <is>
          <t>Full</t>
        </is>
      </c>
      <c r="B7" s="4" t="n">
        <v>2</v>
      </c>
      <c r="C7" s="4">
        <f>ROUNDUP(B7/12,0)</f>
        <v/>
      </c>
      <c r="D7" s="137">
        <f>SUMIFS('Production schedule'!$N$6:$N$113,'Production schedule'!$C$6:$C$113,2)</f>
        <v/>
      </c>
      <c r="E7" s="137">
        <f>SUMIFS('Production schedule'!$Y$6:$Y$113,'Production schedule'!$C$6:$C$113,2)</f>
        <v/>
      </c>
      <c r="F7" s="137">
        <f>SUMIFS('Production schedule'!$Z$6:$Z$113,'Production schedule'!$C$6:$C$113,2)</f>
        <v/>
      </c>
      <c r="G7" s="137">
        <f>('Production schedule'!AJ7)*'Responsibilities'!$C$6+('Production schedule'!AJ43)*'Responsibilities'!$C$7+('Production schedule'!AJ79)*'Responsibilities'!$C$8</f>
        <v/>
      </c>
      <c r="H7" s="137">
        <f>('Production schedule'!AI7)*'Responsibilities'!$D$6+('Production schedule'!AI43)*'Responsibilities'!$D$7+('Production schedule'!AI79)*'Responsibilities'!$D$8</f>
        <v/>
      </c>
      <c r="I7" s="137">
        <f>SUM('Assumptions'!E58:E65)</f>
        <v/>
      </c>
      <c r="J7" s="137">
        <f>('Production schedule'!E7*(IF('Sites'!D6="Annual staff",SUM('Assumptions'!E112,'Assumptions'!E114),0)+SUM('Assumptions'!E113,'Assumptions'!E115:E116)))*'Responsibilities'!$E$6+('Production schedule'!E43*(IF('Sites'!D7="Annual staff",SUM('Assumptions'!E117,'Assumptions'!E119),0)+SUM('Assumptions'!E118,'Assumptions'!E120:E121)))*'Responsibilities'!$E$7+('Production schedule'!E79*(IF('Sites'!D8="Annual staff",SUM('Assumptions'!E122,'Assumptions'!E124),0)+SUM('Assumptions'!E123,'Assumptions'!E125:E126)))*'Responsibilities'!$E$8</f>
        <v/>
      </c>
      <c r="K7" s="137">
        <f>(IF(AND('Production schedule'!E7=1,2=MAX(('Sites'!F6),1),ISNUMBER('Sites'!O6)),'Sites'!O6*'Assumptions'!$B$44,0))*'Responsibilities'!$F$6+(IF(AND('Production schedule'!E43=1,2=MAX(('Sites'!F7+'Cases'!G6),1),ISNUMBER('Sites'!O7)),'Sites'!O7*'Assumptions'!$B$44,0))*'Responsibilities'!$F$7+(IF(AND('Production schedule'!E79=1,2=MAX(('Sites'!F8+'Cases'!G6),1),ISNUMBER('Sites'!O8)),'Sites'!O8*'Assumptions'!$B$44,0))*'Responsibilities'!$F$8</f>
        <v/>
      </c>
      <c r="L7" s="137">
        <f>SUM('Costs'!E36)*'Costs'!F36/12*'Responsibilities'!$C$12+SUM('Costs'!E37)*'Costs'!F37/12*'Responsibilities'!$C$13+SUM('Costs'!E38)*'Costs'!F38/12*'Responsibilities'!$C$14+SUM('Costs'!E39)*'Costs'!F39/12*'Responsibilities'!$C$15+SUM('Costs'!E40)*'Costs'!F40/12*'Responsibilities'!$C$16+BZ7</f>
        <v/>
      </c>
      <c r="M7" s="137">
        <f>('Sites'!E6*'Capital'!E6*(IF(2='Capital'!G6,'Capital'!F6,0)+IF(2='Capital'!H6,1-'Capital'!F6,0)))*'Responsibilities'!$G$6+('Sites'!E7*'Capital'!E7*(IF(2='Capital'!G7+'Cases'!G6,'Capital'!F7,0)+IF(2='Capital'!H7+'Cases'!G6,1-'Capital'!F7,0)))*'Responsibilities'!$G$7+('Sites'!E8*'Cases'!F6*'Capital'!E8*(IF(2='Capital'!G8+'Cases'!G6,'Capital'!F8,0)+IF(2='Capital'!H8+'Cases'!G6,1-'Capital'!F8,0)))*'Responsibilities'!$G$8</f>
        <v/>
      </c>
      <c r="N7" s="137">
        <f>SUM(G7:M7)</f>
        <v/>
      </c>
      <c r="O7" s="137">
        <f>SUMIFS(FundingTranches[Secured amount],FundingTranches[Instrument],"Grant",FundingTranches[Secured month],2)</f>
        <v/>
      </c>
      <c r="P7" s="137">
        <f>SUMIFS(FundingTranches[Full possible],FundingTranches[Instrument],"Grant",FundingTranches[Scenario month],2-'Cases'!$D$6)</f>
        <v/>
      </c>
      <c r="Q7" s="137">
        <f>SUMIFS(FundingTranches[Secured amount],FundingTranches[Instrument],"Loan",FundingTranches[Secured month],2)</f>
        <v/>
      </c>
      <c r="R7" s="137">
        <f>SUMIFS(FundingTranches[Full possible],FundingTranches[Instrument],"Loan",FundingTranches[Scenario month],2-'Cases'!$D$6)</f>
        <v/>
      </c>
      <c r="S7" s="137">
        <f>IF(2&lt;='Assumptions'!$B$34,0,SUMIFS('Production schedule'!$AL$6:$AL$113,'Production schedule'!$C$6:$C$113,2-'Assumptions'!$B$34))</f>
        <v/>
      </c>
      <c r="T7" s="137">
        <f>'Assumptions'!E70</f>
        <v/>
      </c>
      <c r="U7" s="137">
        <f>'Assumptions'!E78</f>
        <v/>
      </c>
      <c r="V7" s="137">
        <f>SUM(O7:U7)</f>
        <v/>
      </c>
      <c r="W7" s="137">
        <f>AA6</f>
        <v/>
      </c>
      <c r="X7" s="137">
        <f>SUM(Q7:R7)</f>
        <v/>
      </c>
      <c r="Y7" s="137">
        <f>SUM(W7,X7)*'Assumptions'!$B$39/12</f>
        <v/>
      </c>
      <c r="Z7" s="137">
        <f>IF(SUM(W7,X7)&gt;0,MIN(SUM(W7,X7),MAX(0,BP7-Y7)),0)</f>
        <v/>
      </c>
      <c r="AA7" s="137">
        <f>SUM(W7,X7)-Z7</f>
        <v/>
      </c>
      <c r="AB7" s="137">
        <f>SUM(Y7:Z7)</f>
        <v/>
      </c>
      <c r="AC7" s="137">
        <f>'Assumptions'!E72</f>
        <v/>
      </c>
      <c r="AD7" s="137">
        <f>'Assumptions'!E73</f>
        <v/>
      </c>
      <c r="AE7" s="137">
        <f>IF(X7&gt;0,SUM('Assumptions'!$B$42),0)</f>
        <v/>
      </c>
      <c r="AF7" s="137">
        <f>'Assumptions'!E71</f>
        <v/>
      </c>
      <c r="AG7" s="137">
        <f>'Assumptions'!E74</f>
        <v/>
      </c>
      <c r="AH7" s="137">
        <f>'Assumptions'!E75</f>
        <v/>
      </c>
      <c r="AI7" s="137">
        <f>'Assumptions'!E77</f>
        <v/>
      </c>
      <c r="AJ7" s="137">
        <f>V7-N7-SUM(AB7:AI7)</f>
        <v/>
      </c>
      <c r="AK7" s="137">
        <f>SUM(AJ6:AJ7)</f>
        <v/>
      </c>
      <c r="AL7" s="137">
        <f>IF(ISNUMBER('Assumptions'!$B$10),'Assumptions'!$B$10+AK7,"")</f>
        <v/>
      </c>
      <c r="AM7" s="137">
        <f>SUM(O7,Q7,T7)-N7-SUM(AC7:AI7)+IF('Funding'!$N$11=0,AE7,0)-IF('Funding'!$N$11&gt;0,AB7,0)</f>
        <v/>
      </c>
      <c r="AN7" s="137">
        <f>SUM(AM6:AM7)</f>
        <v/>
      </c>
      <c r="AO7" s="137">
        <f>IF(ISNUMBER('Assumptions'!$B$10),'Assumptions'!$B$10+AN7,"")</f>
        <v/>
      </c>
      <c r="AP7" s="137">
        <f>('Production schedule'!AK7)*'Responsibilities'!$C$6+('Production schedule'!AK43)*'Responsibilities'!$C$7+('Production schedule'!AK79)*'Responsibilities'!$C$8</f>
        <v/>
      </c>
      <c r="AQ7" s="137">
        <f>SUMIFS('Production schedule'!$AL$6:$AL$113,'Production schedule'!$C$6:$C$113,2)</f>
        <v/>
      </c>
      <c r="AR7" s="137">
        <f>IF(ISNUMBER('Assumptions'!E76),'Assumptions'!E76,SUM(O7:P7))</f>
        <v/>
      </c>
      <c r="AS7" s="137">
        <f>IF(ISNUMBER('Assumptions'!$B$13),MIN('Assumptions'!$B$13/'Assumptions'!$B$18/12,MAX(0,'Assumptions'!$B$13-(2-1)*'Assumptions'!$B$13/'Assumptions'!$B$18/12)),0)+IF(AND('Sites'!E6=1,2&gt;=('Sites'!F6),2&lt;('Sites'!F6)+'Assumptions'!$B$18*12),'Capital'!E6/'Assumptions'!$B$18/12,0)+IF(AND('Sites'!E7=1,2&gt;=('Sites'!F7+'Cases'!G6),2&lt;('Sites'!F7+'Cases'!G6)+'Assumptions'!$B$18*12),'Capital'!E7/'Assumptions'!$B$18/12,0)+IF(AND('Sites'!E8*'Cases'!F6=1,2&gt;=('Sites'!F8+'Cases'!G6),2&lt;('Sites'!F8+'Cases'!G6)+'Assumptions'!$B$18*12),'Capital'!E8/'Assumptions'!$B$18/12,0)</f>
        <v/>
      </c>
      <c r="AT7" s="137">
        <f>SUM(AQ7,AR7,U7)-AP7-SUM(H7:L7)-AS7-SUM(Y7,AD7,AE7,AH7)</f>
        <v/>
      </c>
      <c r="AU7" s="137">
        <f>IF(ISNUMBER('Assumptions'!$B$19),MAX(0,SUM(AT6:AT7))*'Assumptions'!$B$19-SUM(AU6:AU6),"")</f>
        <v/>
      </c>
      <c r="AV7" s="137">
        <f>IF(ISNUMBER(AU7),AT7-AU7,"")</f>
        <v/>
      </c>
      <c r="AW7" s="137">
        <f>IF(ISNUMBER('Assumptions'!$B$11),'Assumptions'!$B$11+SUM(AQ6:AQ7)-SUM(S6:S7)-SUM(T6:T7),"")</f>
        <v/>
      </c>
      <c r="AX7" s="137">
        <f>IF(ISNUMBER('Assumptions'!$B$12),'Assumptions'!$B$12+SUM(G6:G7)-SUM(AP6:AP7),"")</f>
        <v/>
      </c>
      <c r="AY7" s="137">
        <f>IF(ISNUMBER('Assumptions'!$B$13),'Assumptions'!$B$13+SUM(M6:M7)-SUM(AS6:AS7),"")</f>
        <v/>
      </c>
      <c r="AZ7" s="137">
        <f>IF(ISNUMBER('Assumptions'!$B$14),'Assumptions'!$B$14+-SUM(AF6:AF7),"")</f>
        <v/>
      </c>
      <c r="BA7" s="137">
        <f>IF(ISNUMBER('Assumptions'!$B$15),'Assumptions'!$B$15+SUM(O6:O7)+SUM(P6:P7)-SUM(AR6:AR7),"")</f>
        <v/>
      </c>
      <c r="BB7" s="137">
        <f>IF(ISNUMBER('Assumptions'!$B$16),'Assumptions'!$B$16+-SUM(AC6:AC7),"")</f>
        <v/>
      </c>
      <c r="BC7" s="137">
        <f>IF(AND(ISNUMBER('Assumptions'!$B$21),ISNUMBER('Assumptions'!$B$19)),'Assumptions'!$B$21+SUM(AU6:AU7)-SUM(AG6:AG7),"")</f>
        <v/>
      </c>
      <c r="BD7" s="137">
        <f>IF(ISNUMBER('Assumptions'!$B$20),'Assumptions'!$B$20+-SUM(AI6:AI7),"")</f>
        <v/>
      </c>
      <c r="BE7" s="137">
        <f>IF(AND(ISNUMBER('Assumptions'!$B$17),COUNT(AV6:AV7)=2),'Assumptions'!$B$17+SUM(AV6:AV7),"")</f>
        <v/>
      </c>
      <c r="BF7" s="137">
        <f>IF(COUNT(AL7,AW7:AY7)=4,SUM(AL7,AW7:AY7),"")</f>
        <v/>
      </c>
      <c r="BG7" s="137">
        <f>IF(COUNT(AZ7:BD7)=5,SUM(AZ7:BD7,AA7),"")</f>
        <v/>
      </c>
      <c r="BH7" s="137">
        <f>IF(COUNT(BF7,BG7,BE7)=3,BF7-BG7-BE7,"")</f>
        <v/>
      </c>
      <c r="BI7" s="137">
        <f>SUM(W7,X7)-Z7-AA7</f>
        <v/>
      </c>
      <c r="BJ7" s="137">
        <f>8-COUNT('Assumptions'!E58:E65)+COUNTBLANK('NM Play'!B33:B34)+'Costs'!E44+IF(AND('Sites'!E6=1,('Sites'!F6)&lt;=12,'Sites'!G6&gt;=1),IF(ISNUMBER('Sites'!O6),0,1)+'Capital'!I6+COUNTBLANK('Sites'!R6)+IF('Sites'!D6="NM crew",COUNTBLANK('NM Play'!B25)+1,5-COUNT('Assumptions'!E112:E116)),0)+IF(AND('Sites'!E7=1,('Sites'!F7+'Cases'!G6)&lt;=12,'Sites'!G7&gt;=1),IF(ISNUMBER('Sites'!O7),0,1)+'Capital'!I7+COUNTBLANK('Sites'!R7)+IF('Sites'!D7="NM crew",COUNTBLANK('NM Play'!B25)+1,5-COUNT('Assumptions'!E117:E121)),0)+IF(AND('Sites'!E8*'Cases'!F6=1,('Sites'!F8+'Cases'!G6)&lt;=12,'Sites'!G8&gt;=1),IF(ISNUMBER('Sites'!O8),0,1)+'Capital'!I8+COUNTBLANK('Sites'!R8)+IF('Sites'!D8="NM crew",COUNTBLANK('NM Play'!B25)+1,5-COUNT('Assumptions'!E122:E126)),0)+IF(AND('Cases'!C6&gt;0,NOT(ISNUMBER('Assumptions'!B42))),1,0)+'Responsibilities'!$B$39</f>
        <v/>
      </c>
      <c r="BK7" s="137">
        <f>'Assumptions'!$B$50+'NM Play'!$B$83+'Funding'!$F$20+SUMIFS('Production schedule'!$AN$6:$AN$113,'Production schedule'!$C$6:$C$113,2)+IF(OR('Cases'!E6&lt;0,'Cases'!E6&gt;1,'Cases'!C6&lt;0,'Cases'!D6&lt;0,ABS(SUM('Sites'!S6:S8)-1)&gt;0.0001,MIN('Capital'!F6:F8)&lt;0,MAX('Capital'!F6:F8)&gt;1,MIN(AX7,AZ7,BB7,BA7)&lt;-0.01),1,0)+'Responsibilities'!$B$40</f>
        <v/>
      </c>
      <c r="BL7" s="137">
        <f>SUMIFS('Production schedule'!$T$6:$T$113,'Production schedule'!$C$6:$C$113,2)</f>
        <v/>
      </c>
      <c r="BM7" s="137">
        <f>D7*'NM Play'!$B$38</f>
        <v/>
      </c>
      <c r="BN7" s="137">
        <f>SUMIFS('Production schedule'!$AM$6:$AM$113,'Production schedule'!$C$6:$C$113,2)</f>
        <v/>
      </c>
      <c r="BO7" s="137">
        <f>AK7-AK6-AJ7</f>
        <v/>
      </c>
      <c r="BP7" s="137">
        <f>IF(AND('Assumptions'!$B$39&gt;=0,'Assumptions'!$B$40&gt;0),-PMT('Assumptions'!$B$39/12,'Assumptions'!$B$40*12,IF('Funding'!$N$11&gt;0,'Funding'!$N$11,'Funding'!$R$11)),"")</f>
        <v/>
      </c>
      <c r="BQ7">
        <f>('Production schedule'!AJ7)*(1-'Responsibilities'!$C$6)+('Production schedule'!AJ43)*(1-'Responsibilities'!$C$7)+('Production schedule'!AJ79)*(1-'Responsibilities'!$C$8)</f>
        <v/>
      </c>
      <c r="BR7">
        <f>('Production schedule'!AI7)*(1-'Responsibilities'!$D$6)+('Production schedule'!AI43)*(1-'Responsibilities'!$D$7)+('Production schedule'!AI79)*(1-'Responsibilities'!$D$8)</f>
        <v/>
      </c>
      <c r="BS7">
        <f>('Production schedule'!E7*(IF('Sites'!D6="Annual staff",SUM('Assumptions'!E112,'Assumptions'!E114),0)+SUM('Assumptions'!E113,'Assumptions'!E115:E116)))*(1-'Responsibilities'!$E$6)+('Production schedule'!E43*(IF('Sites'!D7="Annual staff",SUM('Assumptions'!E117,'Assumptions'!E119),0)+SUM('Assumptions'!E118,'Assumptions'!E120:E121)))*(1-'Responsibilities'!$E$7)+('Production schedule'!E79*(IF('Sites'!D8="Annual staff",SUM('Assumptions'!E122,'Assumptions'!E124),0)+SUM('Assumptions'!E123,'Assumptions'!E125:E126)))*(1-'Responsibilities'!$E$8)</f>
        <v/>
      </c>
      <c r="BT7">
        <f>(IF(AND('Production schedule'!E7=1,2=MAX(('Sites'!F6),1),ISNUMBER('Sites'!O6)),'Sites'!O6*'Assumptions'!$B$44,0))*(1-'Responsibilities'!$F$6)+(IF(AND('Production schedule'!E43=1,2=MAX(('Sites'!F7+'Cases'!G6),1),ISNUMBER('Sites'!O7)),'Sites'!O7*'Assumptions'!$B$44,0))*(1-'Responsibilities'!$F$7)+(IF(AND('Production schedule'!E79=1,2=MAX(('Sites'!F8+'Cases'!G6),1),ISNUMBER('Sites'!O8)),'Sites'!O8*'Assumptions'!$B$44,0))*(1-'Responsibilities'!$F$8)</f>
        <v/>
      </c>
      <c r="BU7">
        <f>SUM('Costs'!E36)*'Costs'!F36/12*(1-'Responsibilities'!$C$12)+SUM('Costs'!E37)*'Costs'!F37/12*(1-'Responsibilities'!$C$13)+SUM('Costs'!E38)*'Costs'!F38/12*(1-'Responsibilities'!$C$14)+SUM('Costs'!E39)*'Costs'!F39/12*(1-'Responsibilities'!$C$15)+SUM('Costs'!E40)*'Costs'!F40/12*(1-'Responsibilities'!$C$16)</f>
        <v/>
      </c>
      <c r="BV7">
        <f>('Sites'!E6*'Capital'!E6*(IF(2='Capital'!G6,'Capital'!F6,0)+IF(2='Capital'!H6,1-'Capital'!F6,0)))*(1-'Responsibilities'!$G$6)+('Sites'!E7*'Capital'!E7*(IF(2='Capital'!G7+'Cases'!G6,'Capital'!F7,0)+IF(2='Capital'!H7+'Cases'!G6,1-'Capital'!F7,0)))*(1-'Responsibilities'!$G$7)+('Sites'!E8*'Cases'!F6*'Capital'!E8*(IF(2='Capital'!G8+'Cases'!G6,'Capital'!F8,0)+IF(2='Capital'!H8+'Cases'!G6,1-'Capital'!F8,0)))*(1-'Responsibilities'!$G$8)</f>
        <v/>
      </c>
      <c r="BW7">
        <f>SUM(BQ7:BV7)</f>
        <v/>
      </c>
      <c r="BX7">
        <f>N7+BW7</f>
        <v/>
      </c>
      <c r="BY7">
        <f>BX7-(('Production schedule'!AJ7)*'Responsibilities'!$C$6+('Production schedule'!AJ43)*'Responsibilities'!$C$7+('Production schedule'!AJ79)*'Responsibilities'!$C$8+('Production schedule'!AJ7)*(1-'Responsibilities'!$C$6)+('Production schedule'!AJ43)*(1-'Responsibilities'!$C$7)+('Production schedule'!AJ79)*(1-'Responsibilities'!$C$8)+('Production schedule'!AI7)*'Responsibilities'!$D$6+('Production schedule'!AI43)*'Responsibilities'!$D$7+('Production schedule'!AI79)*'Responsibilities'!$D$8+('Production schedule'!AI7)*(1-'Responsibilities'!$D$6)+('Production schedule'!AI43)*(1-'Responsibilities'!$D$7)+('Production schedule'!AI79)*(1-'Responsibilities'!$D$8)+('Production schedule'!E7*(IF('Sites'!D6="Annual staff",SUM('Assumptions'!E112,'Assumptions'!E114),0)+SUM('Assumptions'!E113,'Assumptions'!E115:E116)))*'Responsibilities'!$E$6+('Production schedule'!E43*(IF('Sites'!D7="Annual staff",SUM('Assumptions'!E117,'Assumptions'!E119),0)+SUM('Assumptions'!E118,'Assumptions'!E120:E121)))*'Responsibilities'!$E$7+('Production schedule'!E79*(IF('Sites'!D8="Annual staff",SUM('Assumptions'!E122,'Assumptions'!E124),0)+SUM('Assumptions'!E123,'Assumptions'!E125:E126)))*'Responsibilities'!$E$8+('Production schedule'!E7*(IF('Sites'!D6="Annual staff",SUM('Assumptions'!E112,'Assumptions'!E114),0)+SUM('Assumptions'!E113,'Assumptions'!E115:E116)))*(1-'Responsibilities'!$E$6)+('Production schedule'!E43*(IF('Sites'!D7="Annual staff",SUM('Assumptions'!E117,'Assumptions'!E119),0)+SUM('Assumptions'!E118,'Assumptions'!E120:E121)))*(1-'Responsibilities'!$E$7)+('Production schedule'!E79*(IF('Sites'!D8="Annual staff",SUM('Assumptions'!E122,'Assumptions'!E124),0)+SUM('Assumptions'!E123,'Assumptions'!E125:E126)))*(1-'Responsibilities'!$E$8)+(IF(AND('Production schedule'!E7=1,2=MAX(('Sites'!F6),1),ISNUMBER('Sites'!O6)),'Sites'!O6*'Assumptions'!$B$44,0))*'Responsibilities'!$F$6+(IF(AND('Production schedule'!E43=1,2=MAX(('Sites'!F7+'Cases'!G6),1),ISNUMBER('Sites'!O7)),'Sites'!O7*'Assumptions'!$B$44,0))*'Responsibilities'!$F$7+(IF(AND('Production schedule'!E79=1,2=MAX(('Sites'!F8+'Cases'!G6),1),ISNUMBER('Sites'!O8)),'Sites'!O8*'Assumptions'!$B$44,0))*'Responsibilities'!$F$8+(IF(AND('Production schedule'!E7=1,2=MAX(('Sites'!F6),1),ISNUMBER('Sites'!O6)),'Sites'!O6*'Assumptions'!$B$44,0))*(1-'Responsibilities'!$F$6)+(IF(AND('Production schedule'!E43=1,2=MAX(('Sites'!F7+'Cases'!G6),1),ISNUMBER('Sites'!O7)),'Sites'!O7*'Assumptions'!$B$44,0))*(1-'Responsibilities'!$F$7)+(IF(AND('Production schedule'!E79=1,2=MAX(('Sites'!F8+'Cases'!G6),1),ISNUMBER('Sites'!O8)),'Sites'!O8*'Assumptions'!$B$44,0))*(1-'Responsibilities'!$F$8)+('Sites'!E6*'Capital'!E6*(IF(2='Capital'!G6,'Capital'!F6,0)+IF(2='Capital'!H6,1-'Capital'!F6,0)))*'Responsibilities'!$G$6+('Sites'!E7*'Capital'!E7*(IF(2='Capital'!G7+'Cases'!G6,'Capital'!F7,0)+IF(2='Capital'!H7+'Cases'!G6,1-'Capital'!F7,0)))*'Responsibilities'!$G$7+('Sites'!E8*'Cases'!F6*'Capital'!E8*(IF(2='Capital'!G8+'Cases'!G6,'Capital'!F8,0)+IF(2='Capital'!H8+'Cases'!G6,1-'Capital'!F8,0)))*'Responsibilities'!$G$8+('Sites'!E6*'Capital'!E6*(IF(2='Capital'!G6,'Capital'!F6,0)+IF(2='Capital'!H6,1-'Capital'!F6,0)))*(1-'Responsibilities'!$G$6)+('Sites'!E7*'Capital'!E7*(IF(2='Capital'!G7+'Cases'!G6,'Capital'!F7,0)+IF(2='Capital'!H7+'Cases'!G6,1-'Capital'!F7,0)))*(1-'Responsibilities'!$G$7)+('Sites'!E8*'Cases'!F6*'Capital'!E8*(IF(2='Capital'!G8+'Cases'!G6,'Capital'!F8,0)+IF(2='Capital'!H8+'Cases'!G6,1-'Capital'!F8,0)))*(1-'Responsibilities'!$G$8)+I7+SUMPRODUCT('Costs'!$E$36:$E$40,'Costs'!$F$36:$F$40)/12+BZ7)</f>
        <v/>
      </c>
      <c r="BZ7">
        <f>SUMIFS('Responsibilities'!$B$31:$B$35,'Responsibilities'!$C$31:$C$35,2,'Responsibilities'!$D$31:$D$35,"Yes")</f>
        <v/>
      </c>
    </row>
    <row r="8" ht="28" customHeight="1">
      <c r="A8" s="4" t="inlineStr">
        <is>
          <t>Full</t>
        </is>
      </c>
      <c r="B8" s="4" t="n">
        <v>3</v>
      </c>
      <c r="C8" s="4">
        <f>ROUNDUP(B8/12,0)</f>
        <v/>
      </c>
      <c r="D8" s="137">
        <f>SUMIFS('Production schedule'!$N$6:$N$113,'Production schedule'!$C$6:$C$113,3)</f>
        <v/>
      </c>
      <c r="E8" s="137">
        <f>SUMIFS('Production schedule'!$Y$6:$Y$113,'Production schedule'!$C$6:$C$113,3)</f>
        <v/>
      </c>
      <c r="F8" s="137">
        <f>SUMIFS('Production schedule'!$Z$6:$Z$113,'Production schedule'!$C$6:$C$113,3)</f>
        <v/>
      </c>
      <c r="G8" s="137">
        <f>('Production schedule'!AJ8)*'Responsibilities'!$C$6+('Production schedule'!AJ44)*'Responsibilities'!$C$7+('Production schedule'!AJ80)*'Responsibilities'!$C$8</f>
        <v/>
      </c>
      <c r="H8" s="137">
        <f>('Production schedule'!AI8)*'Responsibilities'!$D$6+('Production schedule'!AI44)*'Responsibilities'!$D$7+('Production schedule'!AI80)*'Responsibilities'!$D$8</f>
        <v/>
      </c>
      <c r="I8" s="137">
        <f>SUM('Assumptions'!F58:F65)</f>
        <v/>
      </c>
      <c r="J8" s="137">
        <f>('Production schedule'!E8*(IF('Sites'!D6="Annual staff",SUM('Assumptions'!F112,'Assumptions'!F114),0)+SUM('Assumptions'!F113,'Assumptions'!F115:F116)))*'Responsibilities'!$E$6+('Production schedule'!E44*(IF('Sites'!D7="Annual staff",SUM('Assumptions'!F117,'Assumptions'!F119),0)+SUM('Assumptions'!F118,'Assumptions'!F120:F121)))*'Responsibilities'!$E$7+('Production schedule'!E80*(IF('Sites'!D8="Annual staff",SUM('Assumptions'!F122,'Assumptions'!F124),0)+SUM('Assumptions'!F123,'Assumptions'!F125:F126)))*'Responsibilities'!$E$8</f>
        <v/>
      </c>
      <c r="K8" s="137">
        <f>(IF(AND('Production schedule'!E8=1,3=MAX(('Sites'!F6),1),ISNUMBER('Sites'!O6)),'Sites'!O6*'Assumptions'!$B$44,0))*'Responsibilities'!$F$6+(IF(AND('Production schedule'!E44=1,3=MAX(('Sites'!F7+'Cases'!G6),1),ISNUMBER('Sites'!O7)),'Sites'!O7*'Assumptions'!$B$44,0))*'Responsibilities'!$F$7+(IF(AND('Production schedule'!E80=1,3=MAX(('Sites'!F8+'Cases'!G6),1),ISNUMBER('Sites'!O8)),'Sites'!O8*'Assumptions'!$B$44,0))*'Responsibilities'!$F$8</f>
        <v/>
      </c>
      <c r="L8" s="137">
        <f>SUM('Costs'!E36)*'Costs'!F36/12*'Responsibilities'!$C$12+SUM('Costs'!E37)*'Costs'!F37/12*'Responsibilities'!$C$13+SUM('Costs'!E38)*'Costs'!F38/12*'Responsibilities'!$C$14+SUM('Costs'!E39)*'Costs'!F39/12*'Responsibilities'!$C$15+SUM('Costs'!E40)*'Costs'!F40/12*'Responsibilities'!$C$16+BZ8</f>
        <v/>
      </c>
      <c r="M8" s="137">
        <f>('Sites'!E6*'Capital'!E6*(IF(3='Capital'!G6,'Capital'!F6,0)+IF(3='Capital'!H6,1-'Capital'!F6,0)))*'Responsibilities'!$G$6+('Sites'!E7*'Capital'!E7*(IF(3='Capital'!G7+'Cases'!G6,'Capital'!F7,0)+IF(3='Capital'!H7+'Cases'!G6,1-'Capital'!F7,0)))*'Responsibilities'!$G$7+('Sites'!E8*'Cases'!F6*'Capital'!E8*(IF(3='Capital'!G8+'Cases'!G6,'Capital'!F8,0)+IF(3='Capital'!H8+'Cases'!G6,1-'Capital'!F8,0)))*'Responsibilities'!$G$8</f>
        <v/>
      </c>
      <c r="N8" s="137">
        <f>SUM(G8:M8)</f>
        <v/>
      </c>
      <c r="O8" s="137">
        <f>SUMIFS(FundingTranches[Secured amount],FundingTranches[Instrument],"Grant",FundingTranches[Secured month],3)</f>
        <v/>
      </c>
      <c r="P8" s="137">
        <f>SUMIFS(FundingTranches[Full possible],FundingTranches[Instrument],"Grant",FundingTranches[Scenario month],3-'Cases'!$D$6)</f>
        <v/>
      </c>
      <c r="Q8" s="137">
        <f>SUMIFS(FundingTranches[Secured amount],FundingTranches[Instrument],"Loan",FundingTranches[Secured month],3)</f>
        <v/>
      </c>
      <c r="R8" s="137">
        <f>SUMIFS(FundingTranches[Full possible],FundingTranches[Instrument],"Loan",FundingTranches[Scenario month],3-'Cases'!$D$6)</f>
        <v/>
      </c>
      <c r="S8" s="137">
        <f>IF(3&lt;='Assumptions'!$B$34,0,SUMIFS('Production schedule'!$AL$6:$AL$113,'Production schedule'!$C$6:$C$113,3-'Assumptions'!$B$34))</f>
        <v/>
      </c>
      <c r="T8" s="137">
        <f>'Assumptions'!F70</f>
        <v/>
      </c>
      <c r="U8" s="137">
        <f>'Assumptions'!F78</f>
        <v/>
      </c>
      <c r="V8" s="137">
        <f>SUM(O8:U8)</f>
        <v/>
      </c>
      <c r="W8" s="137">
        <f>AA7</f>
        <v/>
      </c>
      <c r="X8" s="137">
        <f>SUM(Q8:R8)</f>
        <v/>
      </c>
      <c r="Y8" s="137">
        <f>SUM(W8,X8)*'Assumptions'!$B$39/12</f>
        <v/>
      </c>
      <c r="Z8" s="137">
        <f>IF(SUM(W8,X8)&gt;0,MIN(SUM(W8,X8),MAX(0,BP8-Y8)),0)</f>
        <v/>
      </c>
      <c r="AA8" s="137">
        <f>SUM(W8,X8)-Z8</f>
        <v/>
      </c>
      <c r="AB8" s="137">
        <f>SUM(Y8:Z8)</f>
        <v/>
      </c>
      <c r="AC8" s="137">
        <f>'Assumptions'!F72</f>
        <v/>
      </c>
      <c r="AD8" s="137">
        <f>'Assumptions'!F73</f>
        <v/>
      </c>
      <c r="AE8" s="137">
        <f>IF(X8&gt;0,SUM('Assumptions'!$B$42),0)</f>
        <v/>
      </c>
      <c r="AF8" s="137">
        <f>'Assumptions'!F71</f>
        <v/>
      </c>
      <c r="AG8" s="137">
        <f>'Assumptions'!F74</f>
        <v/>
      </c>
      <c r="AH8" s="137">
        <f>'Assumptions'!F75</f>
        <v/>
      </c>
      <c r="AI8" s="137">
        <f>'Assumptions'!F77</f>
        <v/>
      </c>
      <c r="AJ8" s="137">
        <f>V8-N8-SUM(AB8:AI8)</f>
        <v/>
      </c>
      <c r="AK8" s="137">
        <f>SUM(AJ6:AJ8)</f>
        <v/>
      </c>
      <c r="AL8" s="137">
        <f>IF(ISNUMBER('Assumptions'!$B$10),'Assumptions'!$B$10+AK8,"")</f>
        <v/>
      </c>
      <c r="AM8" s="137">
        <f>SUM(O8,Q8,T8)-N8-SUM(AC8:AI8)+IF('Funding'!$N$11=0,AE8,0)-IF('Funding'!$N$11&gt;0,AB8,0)</f>
        <v/>
      </c>
      <c r="AN8" s="137">
        <f>SUM(AM6:AM8)</f>
        <v/>
      </c>
      <c r="AO8" s="137">
        <f>IF(ISNUMBER('Assumptions'!$B$10),'Assumptions'!$B$10+AN8,"")</f>
        <v/>
      </c>
      <c r="AP8" s="137">
        <f>('Production schedule'!AK8)*'Responsibilities'!$C$6+('Production schedule'!AK44)*'Responsibilities'!$C$7+('Production schedule'!AK80)*'Responsibilities'!$C$8</f>
        <v/>
      </c>
      <c r="AQ8" s="137">
        <f>SUMIFS('Production schedule'!$AL$6:$AL$113,'Production schedule'!$C$6:$C$113,3)</f>
        <v/>
      </c>
      <c r="AR8" s="137">
        <f>IF(ISNUMBER('Assumptions'!F76),'Assumptions'!F76,SUM(O8:P8))</f>
        <v/>
      </c>
      <c r="AS8" s="137">
        <f>IF(ISNUMBER('Assumptions'!$B$13),MIN('Assumptions'!$B$13/'Assumptions'!$B$18/12,MAX(0,'Assumptions'!$B$13-(3-1)*'Assumptions'!$B$13/'Assumptions'!$B$18/12)),0)+IF(AND('Sites'!E6=1,3&gt;=('Sites'!F6),3&lt;('Sites'!F6)+'Assumptions'!$B$18*12),'Capital'!E6/'Assumptions'!$B$18/12,0)+IF(AND('Sites'!E7=1,3&gt;=('Sites'!F7+'Cases'!G6),3&lt;('Sites'!F7+'Cases'!G6)+'Assumptions'!$B$18*12),'Capital'!E7/'Assumptions'!$B$18/12,0)+IF(AND('Sites'!E8*'Cases'!F6=1,3&gt;=('Sites'!F8+'Cases'!G6),3&lt;('Sites'!F8+'Cases'!G6)+'Assumptions'!$B$18*12),'Capital'!E8/'Assumptions'!$B$18/12,0)</f>
        <v/>
      </c>
      <c r="AT8" s="137">
        <f>SUM(AQ8,AR8,U8)-AP8-SUM(H8:L8)-AS8-SUM(Y8,AD8,AE8,AH8)</f>
        <v/>
      </c>
      <c r="AU8" s="137">
        <f>IF(ISNUMBER('Assumptions'!$B$19),MAX(0,SUM(AT6:AT8))*'Assumptions'!$B$19-SUM(AU6:AU7),"")</f>
        <v/>
      </c>
      <c r="AV8" s="137">
        <f>IF(ISNUMBER(AU8),AT8-AU8,"")</f>
        <v/>
      </c>
      <c r="AW8" s="137">
        <f>IF(ISNUMBER('Assumptions'!$B$11),'Assumptions'!$B$11+SUM(AQ6:AQ8)-SUM(S6:S8)-SUM(T6:T8),"")</f>
        <v/>
      </c>
      <c r="AX8" s="137">
        <f>IF(ISNUMBER('Assumptions'!$B$12),'Assumptions'!$B$12+SUM(G6:G8)-SUM(AP6:AP8),"")</f>
        <v/>
      </c>
      <c r="AY8" s="137">
        <f>IF(ISNUMBER('Assumptions'!$B$13),'Assumptions'!$B$13+SUM(M6:M8)-SUM(AS6:AS8),"")</f>
        <v/>
      </c>
      <c r="AZ8" s="137">
        <f>IF(ISNUMBER('Assumptions'!$B$14),'Assumptions'!$B$14+-SUM(AF6:AF8),"")</f>
        <v/>
      </c>
      <c r="BA8" s="137">
        <f>IF(ISNUMBER('Assumptions'!$B$15),'Assumptions'!$B$15+SUM(O6:O8)+SUM(P6:P8)-SUM(AR6:AR8),"")</f>
        <v/>
      </c>
      <c r="BB8" s="137">
        <f>IF(ISNUMBER('Assumptions'!$B$16),'Assumptions'!$B$16+-SUM(AC6:AC8),"")</f>
        <v/>
      </c>
      <c r="BC8" s="137">
        <f>IF(AND(ISNUMBER('Assumptions'!$B$21),ISNUMBER('Assumptions'!$B$19)),'Assumptions'!$B$21+SUM(AU6:AU8)-SUM(AG6:AG8),"")</f>
        <v/>
      </c>
      <c r="BD8" s="137">
        <f>IF(ISNUMBER('Assumptions'!$B$20),'Assumptions'!$B$20+-SUM(AI6:AI8),"")</f>
        <v/>
      </c>
      <c r="BE8" s="137">
        <f>IF(AND(ISNUMBER('Assumptions'!$B$17),COUNT(AV6:AV8)=3),'Assumptions'!$B$17+SUM(AV6:AV8),"")</f>
        <v/>
      </c>
      <c r="BF8" s="137">
        <f>IF(COUNT(AL8,AW8:AY8)=4,SUM(AL8,AW8:AY8),"")</f>
        <v/>
      </c>
      <c r="BG8" s="137">
        <f>IF(COUNT(AZ8:BD8)=5,SUM(AZ8:BD8,AA8),"")</f>
        <v/>
      </c>
      <c r="BH8" s="137">
        <f>IF(COUNT(BF8,BG8,BE8)=3,BF8-BG8-BE8,"")</f>
        <v/>
      </c>
      <c r="BI8" s="137">
        <f>SUM(W8,X8)-Z8-AA8</f>
        <v/>
      </c>
      <c r="BJ8" s="137">
        <f>8-COUNT('Assumptions'!F58:F65)+COUNTBLANK('NM Play'!B33:B34)+'Costs'!E44+IF(AND('Sites'!E6=1,('Sites'!F6)&lt;=12,'Sites'!G6&gt;=1),IF(ISNUMBER('Sites'!O6),0,1)+'Capital'!I6+COUNTBLANK('Sites'!R6)+IF('Sites'!D6="NM crew",COUNTBLANK('NM Play'!B25)+1,5-COUNT('Assumptions'!F112:F116)),0)+IF(AND('Sites'!E7=1,('Sites'!F7+'Cases'!G6)&lt;=12,'Sites'!G7&gt;=1),IF(ISNUMBER('Sites'!O7),0,1)+'Capital'!I7+COUNTBLANK('Sites'!R7)+IF('Sites'!D7="NM crew",COUNTBLANK('NM Play'!B25)+1,5-COUNT('Assumptions'!F117:F121)),0)+IF(AND('Sites'!E8*'Cases'!F6=1,('Sites'!F8+'Cases'!G6)&lt;=12,'Sites'!G8&gt;=1),IF(ISNUMBER('Sites'!O8),0,1)+'Capital'!I8+COUNTBLANK('Sites'!R8)+IF('Sites'!D8="NM crew",COUNTBLANK('NM Play'!B25)+1,5-COUNT('Assumptions'!F122:F126)),0)+IF(AND('Cases'!C6&gt;0,NOT(ISNUMBER('Assumptions'!B42))),1,0)+'Responsibilities'!$B$39</f>
        <v/>
      </c>
      <c r="BK8" s="137">
        <f>'Assumptions'!$B$50+'NM Play'!$B$83+'Funding'!$F$20+SUMIFS('Production schedule'!$AN$6:$AN$113,'Production schedule'!$C$6:$C$113,3)+IF(OR('Cases'!E6&lt;0,'Cases'!E6&gt;1,'Cases'!C6&lt;0,'Cases'!D6&lt;0,ABS(SUM('Sites'!S6:S8)-1)&gt;0.0001,MIN('Capital'!F6:F8)&lt;0,MAX('Capital'!F6:F8)&gt;1,MIN(AX8,AZ8,BB8,BA8)&lt;-0.01),1,0)+'Responsibilities'!$B$40</f>
        <v/>
      </c>
      <c r="BL8" s="137">
        <f>SUMIFS('Production schedule'!$T$6:$T$113,'Production schedule'!$C$6:$C$113,3)</f>
        <v/>
      </c>
      <c r="BM8" s="137">
        <f>D8*'NM Play'!$B$38</f>
        <v/>
      </c>
      <c r="BN8" s="137">
        <f>SUMIFS('Production schedule'!$AM$6:$AM$113,'Production schedule'!$C$6:$C$113,3)</f>
        <v/>
      </c>
      <c r="BO8" s="137">
        <f>AK8-AK7-AJ8</f>
        <v/>
      </c>
      <c r="BP8" s="137">
        <f>IF(AND('Assumptions'!$B$39&gt;=0,'Assumptions'!$B$40&gt;0),-PMT('Assumptions'!$B$39/12,'Assumptions'!$B$40*12,IF('Funding'!$N$11&gt;0,'Funding'!$N$11,'Funding'!$R$11)),"")</f>
        <v/>
      </c>
      <c r="BQ8">
        <f>('Production schedule'!AJ8)*(1-'Responsibilities'!$C$6)+('Production schedule'!AJ44)*(1-'Responsibilities'!$C$7)+('Production schedule'!AJ80)*(1-'Responsibilities'!$C$8)</f>
        <v/>
      </c>
      <c r="BR8">
        <f>('Production schedule'!AI8)*(1-'Responsibilities'!$D$6)+('Production schedule'!AI44)*(1-'Responsibilities'!$D$7)+('Production schedule'!AI80)*(1-'Responsibilities'!$D$8)</f>
        <v/>
      </c>
      <c r="BS8">
        <f>('Production schedule'!E8*(IF('Sites'!D6="Annual staff",SUM('Assumptions'!F112,'Assumptions'!F114),0)+SUM('Assumptions'!F113,'Assumptions'!F115:F116)))*(1-'Responsibilities'!$E$6)+('Production schedule'!E44*(IF('Sites'!D7="Annual staff",SUM('Assumptions'!F117,'Assumptions'!F119),0)+SUM('Assumptions'!F118,'Assumptions'!F120:F121)))*(1-'Responsibilities'!$E$7)+('Production schedule'!E80*(IF('Sites'!D8="Annual staff",SUM('Assumptions'!F122,'Assumptions'!F124),0)+SUM('Assumptions'!F123,'Assumptions'!F125:F126)))*(1-'Responsibilities'!$E$8)</f>
        <v/>
      </c>
      <c r="BT8">
        <f>(IF(AND('Production schedule'!E8=1,3=MAX(('Sites'!F6),1),ISNUMBER('Sites'!O6)),'Sites'!O6*'Assumptions'!$B$44,0))*(1-'Responsibilities'!$F$6)+(IF(AND('Production schedule'!E44=1,3=MAX(('Sites'!F7+'Cases'!G6),1),ISNUMBER('Sites'!O7)),'Sites'!O7*'Assumptions'!$B$44,0))*(1-'Responsibilities'!$F$7)+(IF(AND('Production schedule'!E80=1,3=MAX(('Sites'!F8+'Cases'!G6),1),ISNUMBER('Sites'!O8)),'Sites'!O8*'Assumptions'!$B$44,0))*(1-'Responsibilities'!$F$8)</f>
        <v/>
      </c>
      <c r="BU8">
        <f>SUM('Costs'!E36)*'Costs'!F36/12*(1-'Responsibilities'!$C$12)+SUM('Costs'!E37)*'Costs'!F37/12*(1-'Responsibilities'!$C$13)+SUM('Costs'!E38)*'Costs'!F38/12*(1-'Responsibilities'!$C$14)+SUM('Costs'!E39)*'Costs'!F39/12*(1-'Responsibilities'!$C$15)+SUM('Costs'!E40)*'Costs'!F40/12*(1-'Responsibilities'!$C$16)</f>
        <v/>
      </c>
      <c r="BV8">
        <f>('Sites'!E6*'Capital'!E6*(IF(3='Capital'!G6,'Capital'!F6,0)+IF(3='Capital'!H6,1-'Capital'!F6,0)))*(1-'Responsibilities'!$G$6)+('Sites'!E7*'Capital'!E7*(IF(3='Capital'!G7+'Cases'!G6,'Capital'!F7,0)+IF(3='Capital'!H7+'Cases'!G6,1-'Capital'!F7,0)))*(1-'Responsibilities'!$G$7)+('Sites'!E8*'Cases'!F6*'Capital'!E8*(IF(3='Capital'!G8+'Cases'!G6,'Capital'!F8,0)+IF(3='Capital'!H8+'Cases'!G6,1-'Capital'!F8,0)))*(1-'Responsibilities'!$G$8)</f>
        <v/>
      </c>
      <c r="BW8">
        <f>SUM(BQ8:BV8)</f>
        <v/>
      </c>
      <c r="BX8">
        <f>N8+BW8</f>
        <v/>
      </c>
      <c r="BY8">
        <f>BX8-(('Production schedule'!AJ8)*'Responsibilities'!$C$6+('Production schedule'!AJ44)*'Responsibilities'!$C$7+('Production schedule'!AJ80)*'Responsibilities'!$C$8+('Production schedule'!AJ8)*(1-'Responsibilities'!$C$6)+('Production schedule'!AJ44)*(1-'Responsibilities'!$C$7)+('Production schedule'!AJ80)*(1-'Responsibilities'!$C$8)+('Production schedule'!AI8)*'Responsibilities'!$D$6+('Production schedule'!AI44)*'Responsibilities'!$D$7+('Production schedule'!AI80)*'Responsibilities'!$D$8+('Production schedule'!AI8)*(1-'Responsibilities'!$D$6)+('Production schedule'!AI44)*(1-'Responsibilities'!$D$7)+('Production schedule'!AI80)*(1-'Responsibilities'!$D$8)+('Production schedule'!E8*(IF('Sites'!D6="Annual staff",SUM('Assumptions'!F112,'Assumptions'!F114),0)+SUM('Assumptions'!F113,'Assumptions'!F115:F116)))*'Responsibilities'!$E$6+('Production schedule'!E44*(IF('Sites'!D7="Annual staff",SUM('Assumptions'!F117,'Assumptions'!F119),0)+SUM('Assumptions'!F118,'Assumptions'!F120:F121)))*'Responsibilities'!$E$7+('Production schedule'!E80*(IF('Sites'!D8="Annual staff",SUM('Assumptions'!F122,'Assumptions'!F124),0)+SUM('Assumptions'!F123,'Assumptions'!F125:F126)))*'Responsibilities'!$E$8+('Production schedule'!E8*(IF('Sites'!D6="Annual staff",SUM('Assumptions'!F112,'Assumptions'!F114),0)+SUM('Assumptions'!F113,'Assumptions'!F115:F116)))*(1-'Responsibilities'!$E$6)+('Production schedule'!E44*(IF('Sites'!D7="Annual staff",SUM('Assumptions'!F117,'Assumptions'!F119),0)+SUM('Assumptions'!F118,'Assumptions'!F120:F121)))*(1-'Responsibilities'!$E$7)+('Production schedule'!E80*(IF('Sites'!D8="Annual staff",SUM('Assumptions'!F122,'Assumptions'!F124),0)+SUM('Assumptions'!F123,'Assumptions'!F125:F126)))*(1-'Responsibilities'!$E$8)+(IF(AND('Production schedule'!E8=1,3=MAX(('Sites'!F6),1),ISNUMBER('Sites'!O6)),'Sites'!O6*'Assumptions'!$B$44,0))*'Responsibilities'!$F$6+(IF(AND('Production schedule'!E44=1,3=MAX(('Sites'!F7+'Cases'!G6),1),ISNUMBER('Sites'!O7)),'Sites'!O7*'Assumptions'!$B$44,0))*'Responsibilities'!$F$7+(IF(AND('Production schedule'!E80=1,3=MAX(('Sites'!F8+'Cases'!G6),1),ISNUMBER('Sites'!O8)),'Sites'!O8*'Assumptions'!$B$44,0))*'Responsibilities'!$F$8+(IF(AND('Production schedule'!E8=1,3=MAX(('Sites'!F6),1),ISNUMBER('Sites'!O6)),'Sites'!O6*'Assumptions'!$B$44,0))*(1-'Responsibilities'!$F$6)+(IF(AND('Production schedule'!E44=1,3=MAX(('Sites'!F7+'Cases'!G6),1),ISNUMBER('Sites'!O7)),'Sites'!O7*'Assumptions'!$B$44,0))*(1-'Responsibilities'!$F$7)+(IF(AND('Production schedule'!E80=1,3=MAX(('Sites'!F8+'Cases'!G6),1),ISNUMBER('Sites'!O8)),'Sites'!O8*'Assumptions'!$B$44,0))*(1-'Responsibilities'!$F$8)+('Sites'!E6*'Capital'!E6*(IF(3='Capital'!G6,'Capital'!F6,0)+IF(3='Capital'!H6,1-'Capital'!F6,0)))*'Responsibilities'!$G$6+('Sites'!E7*'Capital'!E7*(IF(3='Capital'!G7+'Cases'!G6,'Capital'!F7,0)+IF(3='Capital'!H7+'Cases'!G6,1-'Capital'!F7,0)))*'Responsibilities'!$G$7+('Sites'!E8*'Cases'!F6*'Capital'!E8*(IF(3='Capital'!G8+'Cases'!G6,'Capital'!F8,0)+IF(3='Capital'!H8+'Cases'!G6,1-'Capital'!F8,0)))*'Responsibilities'!$G$8+('Sites'!E6*'Capital'!E6*(IF(3='Capital'!G6,'Capital'!F6,0)+IF(3='Capital'!H6,1-'Capital'!F6,0)))*(1-'Responsibilities'!$G$6)+('Sites'!E7*'Capital'!E7*(IF(3='Capital'!G7+'Cases'!G6,'Capital'!F7,0)+IF(3='Capital'!H7+'Cases'!G6,1-'Capital'!F7,0)))*(1-'Responsibilities'!$G$7)+('Sites'!E8*'Cases'!F6*'Capital'!E8*(IF(3='Capital'!G8+'Cases'!G6,'Capital'!F8,0)+IF(3='Capital'!H8+'Cases'!G6,1-'Capital'!F8,0)))*(1-'Responsibilities'!$G$8)+I8+SUMPRODUCT('Costs'!$E$36:$E$40,'Costs'!$F$36:$F$40)/12+BZ8)</f>
        <v/>
      </c>
      <c r="BZ8">
        <f>SUMIFS('Responsibilities'!$B$31:$B$35,'Responsibilities'!$C$31:$C$35,3,'Responsibilities'!$D$31:$D$35,"Yes")</f>
        <v/>
      </c>
    </row>
    <row r="9" ht="28" customHeight="1">
      <c r="A9" s="4" t="inlineStr">
        <is>
          <t>Full</t>
        </is>
      </c>
      <c r="B9" s="4" t="n">
        <v>4</v>
      </c>
      <c r="C9" s="4">
        <f>ROUNDUP(B9/12,0)</f>
        <v/>
      </c>
      <c r="D9" s="137">
        <f>SUMIFS('Production schedule'!$N$6:$N$113,'Production schedule'!$C$6:$C$113,4)</f>
        <v/>
      </c>
      <c r="E9" s="137">
        <f>SUMIFS('Production schedule'!$Y$6:$Y$113,'Production schedule'!$C$6:$C$113,4)</f>
        <v/>
      </c>
      <c r="F9" s="137">
        <f>SUMIFS('Production schedule'!$Z$6:$Z$113,'Production schedule'!$C$6:$C$113,4)</f>
        <v/>
      </c>
      <c r="G9" s="137">
        <f>('Production schedule'!AJ9)*'Responsibilities'!$C$6+('Production schedule'!AJ45)*'Responsibilities'!$C$7+('Production schedule'!AJ81)*'Responsibilities'!$C$8</f>
        <v/>
      </c>
      <c r="H9" s="137">
        <f>('Production schedule'!AI9)*'Responsibilities'!$D$6+('Production schedule'!AI45)*'Responsibilities'!$D$7+('Production schedule'!AI81)*'Responsibilities'!$D$8</f>
        <v/>
      </c>
      <c r="I9" s="137">
        <f>SUM('Assumptions'!G58:G65)</f>
        <v/>
      </c>
      <c r="J9" s="137">
        <f>('Production schedule'!E9*(IF('Sites'!D6="Annual staff",SUM('Assumptions'!G112,'Assumptions'!G114),0)+SUM('Assumptions'!G113,'Assumptions'!G115:G116)))*'Responsibilities'!$E$6+('Production schedule'!E45*(IF('Sites'!D7="Annual staff",SUM('Assumptions'!G117,'Assumptions'!G119),0)+SUM('Assumptions'!G118,'Assumptions'!G120:G121)))*'Responsibilities'!$E$7+('Production schedule'!E81*(IF('Sites'!D8="Annual staff",SUM('Assumptions'!G122,'Assumptions'!G124),0)+SUM('Assumptions'!G123,'Assumptions'!G125:G126)))*'Responsibilities'!$E$8</f>
        <v/>
      </c>
      <c r="K9" s="137">
        <f>(IF(AND('Production schedule'!E9=1,4=MAX(('Sites'!F6),1),ISNUMBER('Sites'!O6)),'Sites'!O6*'Assumptions'!$B$44,0))*'Responsibilities'!$F$6+(IF(AND('Production schedule'!E45=1,4=MAX(('Sites'!F7+'Cases'!G6),1),ISNUMBER('Sites'!O7)),'Sites'!O7*'Assumptions'!$B$44,0))*'Responsibilities'!$F$7+(IF(AND('Production schedule'!E81=1,4=MAX(('Sites'!F8+'Cases'!G6),1),ISNUMBER('Sites'!O8)),'Sites'!O8*'Assumptions'!$B$44,0))*'Responsibilities'!$F$8</f>
        <v/>
      </c>
      <c r="L9" s="137">
        <f>SUM('Costs'!E36)*'Costs'!F36/12*'Responsibilities'!$C$12+SUM('Costs'!E37)*'Costs'!F37/12*'Responsibilities'!$C$13+SUM('Costs'!E38)*'Costs'!F38/12*'Responsibilities'!$C$14+SUM('Costs'!E39)*'Costs'!F39/12*'Responsibilities'!$C$15+SUM('Costs'!E40)*'Costs'!F40/12*'Responsibilities'!$C$16+BZ9</f>
        <v/>
      </c>
      <c r="M9" s="137">
        <f>('Sites'!E6*'Capital'!E6*(IF(4='Capital'!G6,'Capital'!F6,0)+IF(4='Capital'!H6,1-'Capital'!F6,0)))*'Responsibilities'!$G$6+('Sites'!E7*'Capital'!E7*(IF(4='Capital'!G7+'Cases'!G6,'Capital'!F7,0)+IF(4='Capital'!H7+'Cases'!G6,1-'Capital'!F7,0)))*'Responsibilities'!$G$7+('Sites'!E8*'Cases'!F6*'Capital'!E8*(IF(4='Capital'!G8+'Cases'!G6,'Capital'!F8,0)+IF(4='Capital'!H8+'Cases'!G6,1-'Capital'!F8,0)))*'Responsibilities'!$G$8</f>
        <v/>
      </c>
      <c r="N9" s="137">
        <f>SUM(G9:M9)</f>
        <v/>
      </c>
      <c r="O9" s="137">
        <f>SUMIFS(FundingTranches[Secured amount],FundingTranches[Instrument],"Grant",FundingTranches[Secured month],4)</f>
        <v/>
      </c>
      <c r="P9" s="137">
        <f>SUMIFS(FundingTranches[Full possible],FundingTranches[Instrument],"Grant",FundingTranches[Scenario month],4-'Cases'!$D$6)</f>
        <v/>
      </c>
      <c r="Q9" s="137">
        <f>SUMIFS(FundingTranches[Secured amount],FundingTranches[Instrument],"Loan",FundingTranches[Secured month],4)</f>
        <v/>
      </c>
      <c r="R9" s="137">
        <f>SUMIFS(FundingTranches[Full possible],FundingTranches[Instrument],"Loan",FundingTranches[Scenario month],4-'Cases'!$D$6)</f>
        <v/>
      </c>
      <c r="S9" s="137">
        <f>IF(4&lt;='Assumptions'!$B$34,0,SUMIFS('Production schedule'!$AL$6:$AL$113,'Production schedule'!$C$6:$C$113,4-'Assumptions'!$B$34))</f>
        <v/>
      </c>
      <c r="T9" s="137">
        <f>'Assumptions'!G70</f>
        <v/>
      </c>
      <c r="U9" s="137">
        <f>'Assumptions'!G78</f>
        <v/>
      </c>
      <c r="V9" s="137">
        <f>SUM(O9:U9)</f>
        <v/>
      </c>
      <c r="W9" s="137">
        <f>AA8</f>
        <v/>
      </c>
      <c r="X9" s="137">
        <f>SUM(Q9:R9)</f>
        <v/>
      </c>
      <c r="Y9" s="137">
        <f>SUM(W9,X9)*'Assumptions'!$B$39/12</f>
        <v/>
      </c>
      <c r="Z9" s="137">
        <f>IF(SUM(W9,X9)&gt;0,MIN(SUM(W9,X9),MAX(0,BP9-Y9)),0)</f>
        <v/>
      </c>
      <c r="AA9" s="137">
        <f>SUM(W9,X9)-Z9</f>
        <v/>
      </c>
      <c r="AB9" s="137">
        <f>SUM(Y9:Z9)</f>
        <v/>
      </c>
      <c r="AC9" s="137">
        <f>'Assumptions'!G72</f>
        <v/>
      </c>
      <c r="AD9" s="137">
        <f>'Assumptions'!G73</f>
        <v/>
      </c>
      <c r="AE9" s="137">
        <f>IF(X9&gt;0,SUM('Assumptions'!$B$42),0)</f>
        <v/>
      </c>
      <c r="AF9" s="137">
        <f>'Assumptions'!G71</f>
        <v/>
      </c>
      <c r="AG9" s="137">
        <f>'Assumptions'!G74</f>
        <v/>
      </c>
      <c r="AH9" s="137">
        <f>'Assumptions'!G75</f>
        <v/>
      </c>
      <c r="AI9" s="137">
        <f>'Assumptions'!G77</f>
        <v/>
      </c>
      <c r="AJ9" s="137">
        <f>V9-N9-SUM(AB9:AI9)</f>
        <v/>
      </c>
      <c r="AK9" s="137">
        <f>SUM(AJ6:AJ9)</f>
        <v/>
      </c>
      <c r="AL9" s="137">
        <f>IF(ISNUMBER('Assumptions'!$B$10),'Assumptions'!$B$10+AK9,"")</f>
        <v/>
      </c>
      <c r="AM9" s="137">
        <f>SUM(O9,Q9,T9)-N9-SUM(AC9:AI9)+IF('Funding'!$N$11=0,AE9,0)-IF('Funding'!$N$11&gt;0,AB9,0)</f>
        <v/>
      </c>
      <c r="AN9" s="137">
        <f>SUM(AM6:AM9)</f>
        <v/>
      </c>
      <c r="AO9" s="137">
        <f>IF(ISNUMBER('Assumptions'!$B$10),'Assumptions'!$B$10+AN9,"")</f>
        <v/>
      </c>
      <c r="AP9" s="137">
        <f>('Production schedule'!AK9)*'Responsibilities'!$C$6+('Production schedule'!AK45)*'Responsibilities'!$C$7+('Production schedule'!AK81)*'Responsibilities'!$C$8</f>
        <v/>
      </c>
      <c r="AQ9" s="137">
        <f>SUMIFS('Production schedule'!$AL$6:$AL$113,'Production schedule'!$C$6:$C$113,4)</f>
        <v/>
      </c>
      <c r="AR9" s="137">
        <f>IF(ISNUMBER('Assumptions'!G76),'Assumptions'!G76,SUM(O9:P9))</f>
        <v/>
      </c>
      <c r="AS9" s="137">
        <f>IF(ISNUMBER('Assumptions'!$B$13),MIN('Assumptions'!$B$13/'Assumptions'!$B$18/12,MAX(0,'Assumptions'!$B$13-(4-1)*'Assumptions'!$B$13/'Assumptions'!$B$18/12)),0)+IF(AND('Sites'!E6=1,4&gt;=('Sites'!F6),4&lt;('Sites'!F6)+'Assumptions'!$B$18*12),'Capital'!E6/'Assumptions'!$B$18/12,0)+IF(AND('Sites'!E7=1,4&gt;=('Sites'!F7+'Cases'!G6),4&lt;('Sites'!F7+'Cases'!G6)+'Assumptions'!$B$18*12),'Capital'!E7/'Assumptions'!$B$18/12,0)+IF(AND('Sites'!E8*'Cases'!F6=1,4&gt;=('Sites'!F8+'Cases'!G6),4&lt;('Sites'!F8+'Cases'!G6)+'Assumptions'!$B$18*12),'Capital'!E8/'Assumptions'!$B$18/12,0)</f>
        <v/>
      </c>
      <c r="AT9" s="137">
        <f>SUM(AQ9,AR9,U9)-AP9-SUM(H9:L9)-AS9-SUM(Y9,AD9,AE9,AH9)</f>
        <v/>
      </c>
      <c r="AU9" s="137">
        <f>IF(ISNUMBER('Assumptions'!$B$19),MAX(0,SUM(AT6:AT9))*'Assumptions'!$B$19-SUM(AU6:AU8),"")</f>
        <v/>
      </c>
      <c r="AV9" s="137">
        <f>IF(ISNUMBER(AU9),AT9-AU9,"")</f>
        <v/>
      </c>
      <c r="AW9" s="137">
        <f>IF(ISNUMBER('Assumptions'!$B$11),'Assumptions'!$B$11+SUM(AQ6:AQ9)-SUM(S6:S9)-SUM(T6:T9),"")</f>
        <v/>
      </c>
      <c r="AX9" s="137">
        <f>IF(ISNUMBER('Assumptions'!$B$12),'Assumptions'!$B$12+SUM(G6:G9)-SUM(AP6:AP9),"")</f>
        <v/>
      </c>
      <c r="AY9" s="137">
        <f>IF(ISNUMBER('Assumptions'!$B$13),'Assumptions'!$B$13+SUM(M6:M9)-SUM(AS6:AS9),"")</f>
        <v/>
      </c>
      <c r="AZ9" s="137">
        <f>IF(ISNUMBER('Assumptions'!$B$14),'Assumptions'!$B$14+-SUM(AF6:AF9),"")</f>
        <v/>
      </c>
      <c r="BA9" s="137">
        <f>IF(ISNUMBER('Assumptions'!$B$15),'Assumptions'!$B$15+SUM(O6:O9)+SUM(P6:P9)-SUM(AR6:AR9),"")</f>
        <v/>
      </c>
      <c r="BB9" s="137">
        <f>IF(ISNUMBER('Assumptions'!$B$16),'Assumptions'!$B$16+-SUM(AC6:AC9),"")</f>
        <v/>
      </c>
      <c r="BC9" s="137">
        <f>IF(AND(ISNUMBER('Assumptions'!$B$21),ISNUMBER('Assumptions'!$B$19)),'Assumptions'!$B$21+SUM(AU6:AU9)-SUM(AG6:AG9),"")</f>
        <v/>
      </c>
      <c r="BD9" s="137">
        <f>IF(ISNUMBER('Assumptions'!$B$20),'Assumptions'!$B$20+-SUM(AI6:AI9),"")</f>
        <v/>
      </c>
      <c r="BE9" s="137">
        <f>IF(AND(ISNUMBER('Assumptions'!$B$17),COUNT(AV6:AV9)=4),'Assumptions'!$B$17+SUM(AV6:AV9),"")</f>
        <v/>
      </c>
      <c r="BF9" s="137">
        <f>IF(COUNT(AL9,AW9:AY9)=4,SUM(AL9,AW9:AY9),"")</f>
        <v/>
      </c>
      <c r="BG9" s="137">
        <f>IF(COUNT(AZ9:BD9)=5,SUM(AZ9:BD9,AA9),"")</f>
        <v/>
      </c>
      <c r="BH9" s="137">
        <f>IF(COUNT(BF9,BG9,BE9)=3,BF9-BG9-BE9,"")</f>
        <v/>
      </c>
      <c r="BI9" s="137">
        <f>SUM(W9,X9)-Z9-AA9</f>
        <v/>
      </c>
      <c r="BJ9" s="137">
        <f>8-COUNT('Assumptions'!G58:G65)+COUNTBLANK('NM Play'!B33:B34)+'Costs'!E44+IF(AND('Sites'!E6=1,('Sites'!F6)&lt;=12,'Sites'!G6&gt;=1),IF(ISNUMBER('Sites'!O6),0,1)+'Capital'!I6+COUNTBLANK('Sites'!R6)+IF('Sites'!D6="NM crew",COUNTBLANK('NM Play'!B25)+1,5-COUNT('Assumptions'!G112:G116)),0)+IF(AND('Sites'!E7=1,('Sites'!F7+'Cases'!G6)&lt;=12,'Sites'!G7&gt;=1),IF(ISNUMBER('Sites'!O7),0,1)+'Capital'!I7+COUNTBLANK('Sites'!R7)+IF('Sites'!D7="NM crew",COUNTBLANK('NM Play'!B25)+1,5-COUNT('Assumptions'!G117:G121)),0)+IF(AND('Sites'!E8*'Cases'!F6=1,('Sites'!F8+'Cases'!G6)&lt;=12,'Sites'!G8&gt;=1),IF(ISNUMBER('Sites'!O8),0,1)+'Capital'!I8+COUNTBLANK('Sites'!R8)+IF('Sites'!D8="NM crew",COUNTBLANK('NM Play'!B25)+1,5-COUNT('Assumptions'!G122:G126)),0)+IF(AND('Cases'!C6&gt;0,NOT(ISNUMBER('Assumptions'!B42))),1,0)+'Responsibilities'!$B$39</f>
        <v/>
      </c>
      <c r="BK9" s="137">
        <f>'Assumptions'!$B$50+'NM Play'!$B$83+'Funding'!$F$20+SUMIFS('Production schedule'!$AN$6:$AN$113,'Production schedule'!$C$6:$C$113,4)+IF(OR('Cases'!E6&lt;0,'Cases'!E6&gt;1,'Cases'!C6&lt;0,'Cases'!D6&lt;0,ABS(SUM('Sites'!S6:S8)-1)&gt;0.0001,MIN('Capital'!F6:F8)&lt;0,MAX('Capital'!F6:F8)&gt;1,MIN(AX9,AZ9,BB9,BA9)&lt;-0.01),1,0)+'Responsibilities'!$B$40</f>
        <v/>
      </c>
      <c r="BL9" s="137">
        <f>SUMIFS('Production schedule'!$T$6:$T$113,'Production schedule'!$C$6:$C$113,4)</f>
        <v/>
      </c>
      <c r="BM9" s="137">
        <f>D9*'NM Play'!$B$38</f>
        <v/>
      </c>
      <c r="BN9" s="137">
        <f>SUMIFS('Production schedule'!$AM$6:$AM$113,'Production schedule'!$C$6:$C$113,4)</f>
        <v/>
      </c>
      <c r="BO9" s="137">
        <f>AK9-AK8-AJ9</f>
        <v/>
      </c>
      <c r="BP9" s="137">
        <f>IF(AND('Assumptions'!$B$39&gt;=0,'Assumptions'!$B$40&gt;0),-PMT('Assumptions'!$B$39/12,'Assumptions'!$B$40*12,IF('Funding'!$N$11&gt;0,'Funding'!$N$11,'Funding'!$R$11)),"")</f>
        <v/>
      </c>
      <c r="BQ9">
        <f>('Production schedule'!AJ9)*(1-'Responsibilities'!$C$6)+('Production schedule'!AJ45)*(1-'Responsibilities'!$C$7)+('Production schedule'!AJ81)*(1-'Responsibilities'!$C$8)</f>
        <v/>
      </c>
      <c r="BR9">
        <f>('Production schedule'!AI9)*(1-'Responsibilities'!$D$6)+('Production schedule'!AI45)*(1-'Responsibilities'!$D$7)+('Production schedule'!AI81)*(1-'Responsibilities'!$D$8)</f>
        <v/>
      </c>
      <c r="BS9">
        <f>('Production schedule'!E9*(IF('Sites'!D6="Annual staff",SUM('Assumptions'!G112,'Assumptions'!G114),0)+SUM('Assumptions'!G113,'Assumptions'!G115:G116)))*(1-'Responsibilities'!$E$6)+('Production schedule'!E45*(IF('Sites'!D7="Annual staff",SUM('Assumptions'!G117,'Assumptions'!G119),0)+SUM('Assumptions'!G118,'Assumptions'!G120:G121)))*(1-'Responsibilities'!$E$7)+('Production schedule'!E81*(IF('Sites'!D8="Annual staff",SUM('Assumptions'!G122,'Assumptions'!G124),0)+SUM('Assumptions'!G123,'Assumptions'!G125:G126)))*(1-'Responsibilities'!$E$8)</f>
        <v/>
      </c>
      <c r="BT9">
        <f>(IF(AND('Production schedule'!E9=1,4=MAX(('Sites'!F6),1),ISNUMBER('Sites'!O6)),'Sites'!O6*'Assumptions'!$B$44,0))*(1-'Responsibilities'!$F$6)+(IF(AND('Production schedule'!E45=1,4=MAX(('Sites'!F7+'Cases'!G6),1),ISNUMBER('Sites'!O7)),'Sites'!O7*'Assumptions'!$B$44,0))*(1-'Responsibilities'!$F$7)+(IF(AND('Production schedule'!E81=1,4=MAX(('Sites'!F8+'Cases'!G6),1),ISNUMBER('Sites'!O8)),'Sites'!O8*'Assumptions'!$B$44,0))*(1-'Responsibilities'!$F$8)</f>
        <v/>
      </c>
      <c r="BU9">
        <f>SUM('Costs'!E36)*'Costs'!F36/12*(1-'Responsibilities'!$C$12)+SUM('Costs'!E37)*'Costs'!F37/12*(1-'Responsibilities'!$C$13)+SUM('Costs'!E38)*'Costs'!F38/12*(1-'Responsibilities'!$C$14)+SUM('Costs'!E39)*'Costs'!F39/12*(1-'Responsibilities'!$C$15)+SUM('Costs'!E40)*'Costs'!F40/12*(1-'Responsibilities'!$C$16)</f>
        <v/>
      </c>
      <c r="BV9">
        <f>('Sites'!E6*'Capital'!E6*(IF(4='Capital'!G6,'Capital'!F6,0)+IF(4='Capital'!H6,1-'Capital'!F6,0)))*(1-'Responsibilities'!$G$6)+('Sites'!E7*'Capital'!E7*(IF(4='Capital'!G7+'Cases'!G6,'Capital'!F7,0)+IF(4='Capital'!H7+'Cases'!G6,1-'Capital'!F7,0)))*(1-'Responsibilities'!$G$7)+('Sites'!E8*'Cases'!F6*'Capital'!E8*(IF(4='Capital'!G8+'Cases'!G6,'Capital'!F8,0)+IF(4='Capital'!H8+'Cases'!G6,1-'Capital'!F8,0)))*(1-'Responsibilities'!$G$8)</f>
        <v/>
      </c>
      <c r="BW9">
        <f>SUM(BQ9:BV9)</f>
        <v/>
      </c>
      <c r="BX9">
        <f>N9+BW9</f>
        <v/>
      </c>
      <c r="BY9">
        <f>BX9-(('Production schedule'!AJ9)*'Responsibilities'!$C$6+('Production schedule'!AJ45)*'Responsibilities'!$C$7+('Production schedule'!AJ81)*'Responsibilities'!$C$8+('Production schedule'!AJ9)*(1-'Responsibilities'!$C$6)+('Production schedule'!AJ45)*(1-'Responsibilities'!$C$7)+('Production schedule'!AJ81)*(1-'Responsibilities'!$C$8)+('Production schedule'!AI9)*'Responsibilities'!$D$6+('Production schedule'!AI45)*'Responsibilities'!$D$7+('Production schedule'!AI81)*'Responsibilities'!$D$8+('Production schedule'!AI9)*(1-'Responsibilities'!$D$6)+('Production schedule'!AI45)*(1-'Responsibilities'!$D$7)+('Production schedule'!AI81)*(1-'Responsibilities'!$D$8)+('Production schedule'!E9*(IF('Sites'!D6="Annual staff",SUM('Assumptions'!G112,'Assumptions'!G114),0)+SUM('Assumptions'!G113,'Assumptions'!G115:G116)))*'Responsibilities'!$E$6+('Production schedule'!E45*(IF('Sites'!D7="Annual staff",SUM('Assumptions'!G117,'Assumptions'!G119),0)+SUM('Assumptions'!G118,'Assumptions'!G120:G121)))*'Responsibilities'!$E$7+('Production schedule'!E81*(IF('Sites'!D8="Annual staff",SUM('Assumptions'!G122,'Assumptions'!G124),0)+SUM('Assumptions'!G123,'Assumptions'!G125:G126)))*'Responsibilities'!$E$8+('Production schedule'!E9*(IF('Sites'!D6="Annual staff",SUM('Assumptions'!G112,'Assumptions'!G114),0)+SUM('Assumptions'!G113,'Assumptions'!G115:G116)))*(1-'Responsibilities'!$E$6)+('Production schedule'!E45*(IF('Sites'!D7="Annual staff",SUM('Assumptions'!G117,'Assumptions'!G119),0)+SUM('Assumptions'!G118,'Assumptions'!G120:G121)))*(1-'Responsibilities'!$E$7)+('Production schedule'!E81*(IF('Sites'!D8="Annual staff",SUM('Assumptions'!G122,'Assumptions'!G124),0)+SUM('Assumptions'!G123,'Assumptions'!G125:G126)))*(1-'Responsibilities'!$E$8)+(IF(AND('Production schedule'!E9=1,4=MAX(('Sites'!F6),1),ISNUMBER('Sites'!O6)),'Sites'!O6*'Assumptions'!$B$44,0))*'Responsibilities'!$F$6+(IF(AND('Production schedule'!E45=1,4=MAX(('Sites'!F7+'Cases'!G6),1),ISNUMBER('Sites'!O7)),'Sites'!O7*'Assumptions'!$B$44,0))*'Responsibilities'!$F$7+(IF(AND('Production schedule'!E81=1,4=MAX(('Sites'!F8+'Cases'!G6),1),ISNUMBER('Sites'!O8)),'Sites'!O8*'Assumptions'!$B$44,0))*'Responsibilities'!$F$8+(IF(AND('Production schedule'!E9=1,4=MAX(('Sites'!F6),1),ISNUMBER('Sites'!O6)),'Sites'!O6*'Assumptions'!$B$44,0))*(1-'Responsibilities'!$F$6)+(IF(AND('Production schedule'!E45=1,4=MAX(('Sites'!F7+'Cases'!G6),1),ISNUMBER('Sites'!O7)),'Sites'!O7*'Assumptions'!$B$44,0))*(1-'Responsibilities'!$F$7)+(IF(AND('Production schedule'!E81=1,4=MAX(('Sites'!F8+'Cases'!G6),1),ISNUMBER('Sites'!O8)),'Sites'!O8*'Assumptions'!$B$44,0))*(1-'Responsibilities'!$F$8)+('Sites'!E6*'Capital'!E6*(IF(4='Capital'!G6,'Capital'!F6,0)+IF(4='Capital'!H6,1-'Capital'!F6,0)))*'Responsibilities'!$G$6+('Sites'!E7*'Capital'!E7*(IF(4='Capital'!G7+'Cases'!G6,'Capital'!F7,0)+IF(4='Capital'!H7+'Cases'!G6,1-'Capital'!F7,0)))*'Responsibilities'!$G$7+('Sites'!E8*'Cases'!F6*'Capital'!E8*(IF(4='Capital'!G8+'Cases'!G6,'Capital'!F8,0)+IF(4='Capital'!H8+'Cases'!G6,1-'Capital'!F8,0)))*'Responsibilities'!$G$8+('Sites'!E6*'Capital'!E6*(IF(4='Capital'!G6,'Capital'!F6,0)+IF(4='Capital'!H6,1-'Capital'!F6,0)))*(1-'Responsibilities'!$G$6)+('Sites'!E7*'Capital'!E7*(IF(4='Capital'!G7+'Cases'!G6,'Capital'!F7,0)+IF(4='Capital'!H7+'Cases'!G6,1-'Capital'!F7,0)))*(1-'Responsibilities'!$G$7)+('Sites'!E8*'Cases'!F6*'Capital'!E8*(IF(4='Capital'!G8+'Cases'!G6,'Capital'!F8,0)+IF(4='Capital'!H8+'Cases'!G6,1-'Capital'!F8,0)))*(1-'Responsibilities'!$G$8)+I9+SUMPRODUCT('Costs'!$E$36:$E$40,'Costs'!$F$36:$F$40)/12+BZ9)</f>
        <v/>
      </c>
      <c r="BZ9">
        <f>SUMIFS('Responsibilities'!$B$31:$B$35,'Responsibilities'!$C$31:$C$35,4,'Responsibilities'!$D$31:$D$35,"Yes")</f>
        <v/>
      </c>
    </row>
    <row r="10" ht="28" customHeight="1">
      <c r="A10" s="4" t="inlineStr">
        <is>
          <t>Full</t>
        </is>
      </c>
      <c r="B10" s="4" t="n">
        <v>5</v>
      </c>
      <c r="C10" s="4">
        <f>ROUNDUP(B10/12,0)</f>
        <v/>
      </c>
      <c r="D10" s="137">
        <f>SUMIFS('Production schedule'!$N$6:$N$113,'Production schedule'!$C$6:$C$113,5)</f>
        <v/>
      </c>
      <c r="E10" s="137">
        <f>SUMIFS('Production schedule'!$Y$6:$Y$113,'Production schedule'!$C$6:$C$113,5)</f>
        <v/>
      </c>
      <c r="F10" s="137">
        <f>SUMIFS('Production schedule'!$Z$6:$Z$113,'Production schedule'!$C$6:$C$113,5)</f>
        <v/>
      </c>
      <c r="G10" s="137">
        <f>('Production schedule'!AJ10)*'Responsibilities'!$C$6+('Production schedule'!AJ46)*'Responsibilities'!$C$7+('Production schedule'!AJ82)*'Responsibilities'!$C$8</f>
        <v/>
      </c>
      <c r="H10" s="137">
        <f>('Production schedule'!AI10)*'Responsibilities'!$D$6+('Production schedule'!AI46)*'Responsibilities'!$D$7+('Production schedule'!AI82)*'Responsibilities'!$D$8</f>
        <v/>
      </c>
      <c r="I10" s="137">
        <f>SUM('Assumptions'!H58:H65)</f>
        <v/>
      </c>
      <c r="J10" s="137">
        <f>('Production schedule'!E10*(IF('Sites'!D6="Annual staff",SUM('Assumptions'!H112,'Assumptions'!H114),0)+SUM('Assumptions'!H113,'Assumptions'!H115:H116)))*'Responsibilities'!$E$6+('Production schedule'!E46*(IF('Sites'!D7="Annual staff",SUM('Assumptions'!H117,'Assumptions'!H119),0)+SUM('Assumptions'!H118,'Assumptions'!H120:H121)))*'Responsibilities'!$E$7+('Production schedule'!E82*(IF('Sites'!D8="Annual staff",SUM('Assumptions'!H122,'Assumptions'!H124),0)+SUM('Assumptions'!H123,'Assumptions'!H125:H126)))*'Responsibilities'!$E$8</f>
        <v/>
      </c>
      <c r="K10" s="137">
        <f>(IF(AND('Production schedule'!E10=1,5=MAX(('Sites'!F6),1),ISNUMBER('Sites'!O6)),'Sites'!O6*'Assumptions'!$B$44,0))*'Responsibilities'!$F$6+(IF(AND('Production schedule'!E46=1,5=MAX(('Sites'!F7+'Cases'!G6),1),ISNUMBER('Sites'!O7)),'Sites'!O7*'Assumptions'!$B$44,0))*'Responsibilities'!$F$7+(IF(AND('Production schedule'!E82=1,5=MAX(('Sites'!F8+'Cases'!G6),1),ISNUMBER('Sites'!O8)),'Sites'!O8*'Assumptions'!$B$44,0))*'Responsibilities'!$F$8</f>
        <v/>
      </c>
      <c r="L10" s="137">
        <f>SUM('Costs'!E36)*'Costs'!F36/12*'Responsibilities'!$C$12+SUM('Costs'!E37)*'Costs'!F37/12*'Responsibilities'!$C$13+SUM('Costs'!E38)*'Costs'!F38/12*'Responsibilities'!$C$14+SUM('Costs'!E39)*'Costs'!F39/12*'Responsibilities'!$C$15+SUM('Costs'!E40)*'Costs'!F40/12*'Responsibilities'!$C$16+BZ10</f>
        <v/>
      </c>
      <c r="M10" s="137">
        <f>('Sites'!E6*'Capital'!E6*(IF(5='Capital'!G6,'Capital'!F6,0)+IF(5='Capital'!H6,1-'Capital'!F6,0)))*'Responsibilities'!$G$6+('Sites'!E7*'Capital'!E7*(IF(5='Capital'!G7+'Cases'!G6,'Capital'!F7,0)+IF(5='Capital'!H7+'Cases'!G6,1-'Capital'!F7,0)))*'Responsibilities'!$G$7+('Sites'!E8*'Cases'!F6*'Capital'!E8*(IF(5='Capital'!G8+'Cases'!G6,'Capital'!F8,0)+IF(5='Capital'!H8+'Cases'!G6,1-'Capital'!F8,0)))*'Responsibilities'!$G$8</f>
        <v/>
      </c>
      <c r="N10" s="137">
        <f>SUM(G10:M10)</f>
        <v/>
      </c>
      <c r="O10" s="137">
        <f>SUMIFS(FundingTranches[Secured amount],FundingTranches[Instrument],"Grant",FundingTranches[Secured month],5)</f>
        <v/>
      </c>
      <c r="P10" s="137">
        <f>SUMIFS(FundingTranches[Full possible],FundingTranches[Instrument],"Grant",FundingTranches[Scenario month],5-'Cases'!$D$6)</f>
        <v/>
      </c>
      <c r="Q10" s="137">
        <f>SUMIFS(FundingTranches[Secured amount],FundingTranches[Instrument],"Loan",FundingTranches[Secured month],5)</f>
        <v/>
      </c>
      <c r="R10" s="137">
        <f>SUMIFS(FundingTranches[Full possible],FundingTranches[Instrument],"Loan",FundingTranches[Scenario month],5-'Cases'!$D$6)</f>
        <v/>
      </c>
      <c r="S10" s="137">
        <f>IF(5&lt;='Assumptions'!$B$34,0,SUMIFS('Production schedule'!$AL$6:$AL$113,'Production schedule'!$C$6:$C$113,5-'Assumptions'!$B$34))</f>
        <v/>
      </c>
      <c r="T10" s="137">
        <f>'Assumptions'!H70</f>
        <v/>
      </c>
      <c r="U10" s="137">
        <f>'Assumptions'!H78</f>
        <v/>
      </c>
      <c r="V10" s="137">
        <f>SUM(O10:U10)</f>
        <v/>
      </c>
      <c r="W10" s="137">
        <f>AA9</f>
        <v/>
      </c>
      <c r="X10" s="137">
        <f>SUM(Q10:R10)</f>
        <v/>
      </c>
      <c r="Y10" s="137">
        <f>SUM(W10,X10)*'Assumptions'!$B$39/12</f>
        <v/>
      </c>
      <c r="Z10" s="137">
        <f>IF(SUM(W10,X10)&gt;0,MIN(SUM(W10,X10),MAX(0,BP10-Y10)),0)</f>
        <v/>
      </c>
      <c r="AA10" s="137">
        <f>SUM(W10,X10)-Z10</f>
        <v/>
      </c>
      <c r="AB10" s="137">
        <f>SUM(Y10:Z10)</f>
        <v/>
      </c>
      <c r="AC10" s="137">
        <f>'Assumptions'!H72</f>
        <v/>
      </c>
      <c r="AD10" s="137">
        <f>'Assumptions'!H73</f>
        <v/>
      </c>
      <c r="AE10" s="137">
        <f>IF(X10&gt;0,SUM('Assumptions'!$B$42),0)</f>
        <v/>
      </c>
      <c r="AF10" s="137">
        <f>'Assumptions'!H71</f>
        <v/>
      </c>
      <c r="AG10" s="137">
        <f>'Assumptions'!H74</f>
        <v/>
      </c>
      <c r="AH10" s="137">
        <f>'Assumptions'!H75</f>
        <v/>
      </c>
      <c r="AI10" s="137">
        <f>'Assumptions'!H77</f>
        <v/>
      </c>
      <c r="AJ10" s="137">
        <f>V10-N10-SUM(AB10:AI10)</f>
        <v/>
      </c>
      <c r="AK10" s="137">
        <f>SUM(AJ6:AJ10)</f>
        <v/>
      </c>
      <c r="AL10" s="137">
        <f>IF(ISNUMBER('Assumptions'!$B$10),'Assumptions'!$B$10+AK10,"")</f>
        <v/>
      </c>
      <c r="AM10" s="137">
        <f>SUM(O10,Q10,T10)-N10-SUM(AC10:AI10)+IF('Funding'!$N$11=0,AE10,0)-IF('Funding'!$N$11&gt;0,AB10,0)</f>
        <v/>
      </c>
      <c r="AN10" s="137">
        <f>SUM(AM6:AM10)</f>
        <v/>
      </c>
      <c r="AO10" s="137">
        <f>IF(ISNUMBER('Assumptions'!$B$10),'Assumptions'!$B$10+AN10,"")</f>
        <v/>
      </c>
      <c r="AP10" s="137">
        <f>('Production schedule'!AK10)*'Responsibilities'!$C$6+('Production schedule'!AK46)*'Responsibilities'!$C$7+('Production schedule'!AK82)*'Responsibilities'!$C$8</f>
        <v/>
      </c>
      <c r="AQ10" s="137">
        <f>SUMIFS('Production schedule'!$AL$6:$AL$113,'Production schedule'!$C$6:$C$113,5)</f>
        <v/>
      </c>
      <c r="AR10" s="137">
        <f>IF(ISNUMBER('Assumptions'!H76),'Assumptions'!H76,SUM(O10:P10))</f>
        <v/>
      </c>
      <c r="AS10" s="137">
        <f>IF(ISNUMBER('Assumptions'!$B$13),MIN('Assumptions'!$B$13/'Assumptions'!$B$18/12,MAX(0,'Assumptions'!$B$13-(5-1)*'Assumptions'!$B$13/'Assumptions'!$B$18/12)),0)+IF(AND('Sites'!E6=1,5&gt;=('Sites'!F6),5&lt;('Sites'!F6)+'Assumptions'!$B$18*12),'Capital'!E6/'Assumptions'!$B$18/12,0)+IF(AND('Sites'!E7=1,5&gt;=('Sites'!F7+'Cases'!G6),5&lt;('Sites'!F7+'Cases'!G6)+'Assumptions'!$B$18*12),'Capital'!E7/'Assumptions'!$B$18/12,0)+IF(AND('Sites'!E8*'Cases'!F6=1,5&gt;=('Sites'!F8+'Cases'!G6),5&lt;('Sites'!F8+'Cases'!G6)+'Assumptions'!$B$18*12),'Capital'!E8/'Assumptions'!$B$18/12,0)</f>
        <v/>
      </c>
      <c r="AT10" s="137">
        <f>SUM(AQ10,AR10,U10)-AP10-SUM(H10:L10)-AS10-SUM(Y10,AD10,AE10,AH10)</f>
        <v/>
      </c>
      <c r="AU10" s="137">
        <f>IF(ISNUMBER('Assumptions'!$B$19),MAX(0,SUM(AT6:AT10))*'Assumptions'!$B$19-SUM(AU6:AU9),"")</f>
        <v/>
      </c>
      <c r="AV10" s="137">
        <f>IF(ISNUMBER(AU10),AT10-AU10,"")</f>
        <v/>
      </c>
      <c r="AW10" s="137">
        <f>IF(ISNUMBER('Assumptions'!$B$11),'Assumptions'!$B$11+SUM(AQ6:AQ10)-SUM(S6:S10)-SUM(T6:T10),"")</f>
        <v/>
      </c>
      <c r="AX10" s="137">
        <f>IF(ISNUMBER('Assumptions'!$B$12),'Assumptions'!$B$12+SUM(G6:G10)-SUM(AP6:AP10),"")</f>
        <v/>
      </c>
      <c r="AY10" s="137">
        <f>IF(ISNUMBER('Assumptions'!$B$13),'Assumptions'!$B$13+SUM(M6:M10)-SUM(AS6:AS10),"")</f>
        <v/>
      </c>
      <c r="AZ10" s="137">
        <f>IF(ISNUMBER('Assumptions'!$B$14),'Assumptions'!$B$14+-SUM(AF6:AF10),"")</f>
        <v/>
      </c>
      <c r="BA10" s="137">
        <f>IF(ISNUMBER('Assumptions'!$B$15),'Assumptions'!$B$15+SUM(O6:O10)+SUM(P6:P10)-SUM(AR6:AR10),"")</f>
        <v/>
      </c>
      <c r="BB10" s="137">
        <f>IF(ISNUMBER('Assumptions'!$B$16),'Assumptions'!$B$16+-SUM(AC6:AC10),"")</f>
        <v/>
      </c>
      <c r="BC10" s="137">
        <f>IF(AND(ISNUMBER('Assumptions'!$B$21),ISNUMBER('Assumptions'!$B$19)),'Assumptions'!$B$21+SUM(AU6:AU10)-SUM(AG6:AG10),"")</f>
        <v/>
      </c>
      <c r="BD10" s="137">
        <f>IF(ISNUMBER('Assumptions'!$B$20),'Assumptions'!$B$20+-SUM(AI6:AI10),"")</f>
        <v/>
      </c>
      <c r="BE10" s="137">
        <f>IF(AND(ISNUMBER('Assumptions'!$B$17),COUNT(AV6:AV10)=5),'Assumptions'!$B$17+SUM(AV6:AV10),"")</f>
        <v/>
      </c>
      <c r="BF10" s="137">
        <f>IF(COUNT(AL10,AW10:AY10)=4,SUM(AL10,AW10:AY10),"")</f>
        <v/>
      </c>
      <c r="BG10" s="137">
        <f>IF(COUNT(AZ10:BD10)=5,SUM(AZ10:BD10,AA10),"")</f>
        <v/>
      </c>
      <c r="BH10" s="137">
        <f>IF(COUNT(BF10,BG10,BE10)=3,BF10-BG10-BE10,"")</f>
        <v/>
      </c>
      <c r="BI10" s="137">
        <f>SUM(W10,X10)-Z10-AA10</f>
        <v/>
      </c>
      <c r="BJ10" s="137">
        <f>8-COUNT('Assumptions'!H58:H65)+COUNTBLANK('NM Play'!B33:B34)+'Costs'!E44+IF(AND('Sites'!E6=1,('Sites'!F6)&lt;=12,'Sites'!G6&gt;=1),IF(ISNUMBER('Sites'!O6),0,1)+'Capital'!I6+COUNTBLANK('Sites'!R6)+IF('Sites'!D6="NM crew",COUNTBLANK('NM Play'!B25)+1,5-COUNT('Assumptions'!H112:H116)),0)+IF(AND('Sites'!E7=1,('Sites'!F7+'Cases'!G6)&lt;=12,'Sites'!G7&gt;=1),IF(ISNUMBER('Sites'!O7),0,1)+'Capital'!I7+COUNTBLANK('Sites'!R7)+IF('Sites'!D7="NM crew",COUNTBLANK('NM Play'!B25)+1,5-COUNT('Assumptions'!H117:H121)),0)+IF(AND('Sites'!E8*'Cases'!F6=1,('Sites'!F8+'Cases'!G6)&lt;=12,'Sites'!G8&gt;=1),IF(ISNUMBER('Sites'!O8),0,1)+'Capital'!I8+COUNTBLANK('Sites'!R8)+IF('Sites'!D8="NM crew",COUNTBLANK('NM Play'!B25)+1,5-COUNT('Assumptions'!H122:H126)),0)+IF(AND('Cases'!C6&gt;0,NOT(ISNUMBER('Assumptions'!B42))),1,0)+'Responsibilities'!$B$39</f>
        <v/>
      </c>
      <c r="BK10" s="137">
        <f>'Assumptions'!$B$50+'NM Play'!$B$83+'Funding'!$F$20+SUMIFS('Production schedule'!$AN$6:$AN$113,'Production schedule'!$C$6:$C$113,5)+IF(OR('Cases'!E6&lt;0,'Cases'!E6&gt;1,'Cases'!C6&lt;0,'Cases'!D6&lt;0,ABS(SUM('Sites'!S6:S8)-1)&gt;0.0001,MIN('Capital'!F6:F8)&lt;0,MAX('Capital'!F6:F8)&gt;1,MIN(AX10,AZ10,BB10,BA10)&lt;-0.01),1,0)+'Responsibilities'!$B$40</f>
        <v/>
      </c>
      <c r="BL10" s="137">
        <f>SUMIFS('Production schedule'!$T$6:$T$113,'Production schedule'!$C$6:$C$113,5)</f>
        <v/>
      </c>
      <c r="BM10" s="137">
        <f>D10*'NM Play'!$B$38</f>
        <v/>
      </c>
      <c r="BN10" s="137">
        <f>SUMIFS('Production schedule'!$AM$6:$AM$113,'Production schedule'!$C$6:$C$113,5)</f>
        <v/>
      </c>
      <c r="BO10" s="137">
        <f>AK10-AK9-AJ10</f>
        <v/>
      </c>
      <c r="BP10" s="137">
        <f>IF(AND('Assumptions'!$B$39&gt;=0,'Assumptions'!$B$40&gt;0),-PMT('Assumptions'!$B$39/12,'Assumptions'!$B$40*12,IF('Funding'!$N$11&gt;0,'Funding'!$N$11,'Funding'!$R$11)),"")</f>
        <v/>
      </c>
      <c r="BQ10">
        <f>('Production schedule'!AJ10)*(1-'Responsibilities'!$C$6)+('Production schedule'!AJ46)*(1-'Responsibilities'!$C$7)+('Production schedule'!AJ82)*(1-'Responsibilities'!$C$8)</f>
        <v/>
      </c>
      <c r="BR10">
        <f>('Production schedule'!AI10)*(1-'Responsibilities'!$D$6)+('Production schedule'!AI46)*(1-'Responsibilities'!$D$7)+('Production schedule'!AI82)*(1-'Responsibilities'!$D$8)</f>
        <v/>
      </c>
      <c r="BS10">
        <f>('Production schedule'!E10*(IF('Sites'!D6="Annual staff",SUM('Assumptions'!H112,'Assumptions'!H114),0)+SUM('Assumptions'!H113,'Assumptions'!H115:H116)))*(1-'Responsibilities'!$E$6)+('Production schedule'!E46*(IF('Sites'!D7="Annual staff",SUM('Assumptions'!H117,'Assumptions'!H119),0)+SUM('Assumptions'!H118,'Assumptions'!H120:H121)))*(1-'Responsibilities'!$E$7)+('Production schedule'!E82*(IF('Sites'!D8="Annual staff",SUM('Assumptions'!H122,'Assumptions'!H124),0)+SUM('Assumptions'!H123,'Assumptions'!H125:H126)))*(1-'Responsibilities'!$E$8)</f>
        <v/>
      </c>
      <c r="BT10">
        <f>(IF(AND('Production schedule'!E10=1,5=MAX(('Sites'!F6),1),ISNUMBER('Sites'!O6)),'Sites'!O6*'Assumptions'!$B$44,0))*(1-'Responsibilities'!$F$6)+(IF(AND('Production schedule'!E46=1,5=MAX(('Sites'!F7+'Cases'!G6),1),ISNUMBER('Sites'!O7)),'Sites'!O7*'Assumptions'!$B$44,0))*(1-'Responsibilities'!$F$7)+(IF(AND('Production schedule'!E82=1,5=MAX(('Sites'!F8+'Cases'!G6),1),ISNUMBER('Sites'!O8)),'Sites'!O8*'Assumptions'!$B$44,0))*(1-'Responsibilities'!$F$8)</f>
        <v/>
      </c>
      <c r="BU10">
        <f>SUM('Costs'!E36)*'Costs'!F36/12*(1-'Responsibilities'!$C$12)+SUM('Costs'!E37)*'Costs'!F37/12*(1-'Responsibilities'!$C$13)+SUM('Costs'!E38)*'Costs'!F38/12*(1-'Responsibilities'!$C$14)+SUM('Costs'!E39)*'Costs'!F39/12*(1-'Responsibilities'!$C$15)+SUM('Costs'!E40)*'Costs'!F40/12*(1-'Responsibilities'!$C$16)</f>
        <v/>
      </c>
      <c r="BV10">
        <f>('Sites'!E6*'Capital'!E6*(IF(5='Capital'!G6,'Capital'!F6,0)+IF(5='Capital'!H6,1-'Capital'!F6,0)))*(1-'Responsibilities'!$G$6)+('Sites'!E7*'Capital'!E7*(IF(5='Capital'!G7+'Cases'!G6,'Capital'!F7,0)+IF(5='Capital'!H7+'Cases'!G6,1-'Capital'!F7,0)))*(1-'Responsibilities'!$G$7)+('Sites'!E8*'Cases'!F6*'Capital'!E8*(IF(5='Capital'!G8+'Cases'!G6,'Capital'!F8,0)+IF(5='Capital'!H8+'Cases'!G6,1-'Capital'!F8,0)))*(1-'Responsibilities'!$G$8)</f>
        <v/>
      </c>
      <c r="BW10">
        <f>SUM(BQ10:BV10)</f>
        <v/>
      </c>
      <c r="BX10">
        <f>N10+BW10</f>
        <v/>
      </c>
      <c r="BY10">
        <f>BX10-(('Production schedule'!AJ10)*'Responsibilities'!$C$6+('Production schedule'!AJ46)*'Responsibilities'!$C$7+('Production schedule'!AJ82)*'Responsibilities'!$C$8+('Production schedule'!AJ10)*(1-'Responsibilities'!$C$6)+('Production schedule'!AJ46)*(1-'Responsibilities'!$C$7)+('Production schedule'!AJ82)*(1-'Responsibilities'!$C$8)+('Production schedule'!AI10)*'Responsibilities'!$D$6+('Production schedule'!AI46)*'Responsibilities'!$D$7+('Production schedule'!AI82)*'Responsibilities'!$D$8+('Production schedule'!AI10)*(1-'Responsibilities'!$D$6)+('Production schedule'!AI46)*(1-'Responsibilities'!$D$7)+('Production schedule'!AI82)*(1-'Responsibilities'!$D$8)+('Production schedule'!E10*(IF('Sites'!D6="Annual staff",SUM('Assumptions'!H112,'Assumptions'!H114),0)+SUM('Assumptions'!H113,'Assumptions'!H115:H116)))*'Responsibilities'!$E$6+('Production schedule'!E46*(IF('Sites'!D7="Annual staff",SUM('Assumptions'!H117,'Assumptions'!H119),0)+SUM('Assumptions'!H118,'Assumptions'!H120:H121)))*'Responsibilities'!$E$7+('Production schedule'!E82*(IF('Sites'!D8="Annual staff",SUM('Assumptions'!H122,'Assumptions'!H124),0)+SUM('Assumptions'!H123,'Assumptions'!H125:H126)))*'Responsibilities'!$E$8+('Production schedule'!E10*(IF('Sites'!D6="Annual staff",SUM('Assumptions'!H112,'Assumptions'!H114),0)+SUM('Assumptions'!H113,'Assumptions'!H115:H116)))*(1-'Responsibilities'!$E$6)+('Production schedule'!E46*(IF('Sites'!D7="Annual staff",SUM('Assumptions'!H117,'Assumptions'!H119),0)+SUM('Assumptions'!H118,'Assumptions'!H120:H121)))*(1-'Responsibilities'!$E$7)+('Production schedule'!E82*(IF('Sites'!D8="Annual staff",SUM('Assumptions'!H122,'Assumptions'!H124),0)+SUM('Assumptions'!H123,'Assumptions'!H125:H126)))*(1-'Responsibilities'!$E$8)+(IF(AND('Production schedule'!E10=1,5=MAX(('Sites'!F6),1),ISNUMBER('Sites'!O6)),'Sites'!O6*'Assumptions'!$B$44,0))*'Responsibilities'!$F$6+(IF(AND('Production schedule'!E46=1,5=MAX(('Sites'!F7+'Cases'!G6),1),ISNUMBER('Sites'!O7)),'Sites'!O7*'Assumptions'!$B$44,0))*'Responsibilities'!$F$7+(IF(AND('Production schedule'!E82=1,5=MAX(('Sites'!F8+'Cases'!G6),1),ISNUMBER('Sites'!O8)),'Sites'!O8*'Assumptions'!$B$44,0))*'Responsibilities'!$F$8+(IF(AND('Production schedule'!E10=1,5=MAX(('Sites'!F6),1),ISNUMBER('Sites'!O6)),'Sites'!O6*'Assumptions'!$B$44,0))*(1-'Responsibilities'!$F$6)+(IF(AND('Production schedule'!E46=1,5=MAX(('Sites'!F7+'Cases'!G6),1),ISNUMBER('Sites'!O7)),'Sites'!O7*'Assumptions'!$B$44,0))*(1-'Responsibilities'!$F$7)+(IF(AND('Production schedule'!E82=1,5=MAX(('Sites'!F8+'Cases'!G6),1),ISNUMBER('Sites'!O8)),'Sites'!O8*'Assumptions'!$B$44,0))*(1-'Responsibilities'!$F$8)+('Sites'!E6*'Capital'!E6*(IF(5='Capital'!G6,'Capital'!F6,0)+IF(5='Capital'!H6,1-'Capital'!F6,0)))*'Responsibilities'!$G$6+('Sites'!E7*'Capital'!E7*(IF(5='Capital'!G7+'Cases'!G6,'Capital'!F7,0)+IF(5='Capital'!H7+'Cases'!G6,1-'Capital'!F7,0)))*'Responsibilities'!$G$7+('Sites'!E8*'Cases'!F6*'Capital'!E8*(IF(5='Capital'!G8+'Cases'!G6,'Capital'!F8,0)+IF(5='Capital'!H8+'Cases'!G6,1-'Capital'!F8,0)))*'Responsibilities'!$G$8+('Sites'!E6*'Capital'!E6*(IF(5='Capital'!G6,'Capital'!F6,0)+IF(5='Capital'!H6,1-'Capital'!F6,0)))*(1-'Responsibilities'!$G$6)+('Sites'!E7*'Capital'!E7*(IF(5='Capital'!G7+'Cases'!G6,'Capital'!F7,0)+IF(5='Capital'!H7+'Cases'!G6,1-'Capital'!F7,0)))*(1-'Responsibilities'!$G$7)+('Sites'!E8*'Cases'!F6*'Capital'!E8*(IF(5='Capital'!G8+'Cases'!G6,'Capital'!F8,0)+IF(5='Capital'!H8+'Cases'!G6,1-'Capital'!F8,0)))*(1-'Responsibilities'!$G$8)+I10+SUMPRODUCT('Costs'!$E$36:$E$40,'Costs'!$F$36:$F$40)/12+BZ10)</f>
        <v/>
      </c>
      <c r="BZ10">
        <f>SUMIFS('Responsibilities'!$B$31:$B$35,'Responsibilities'!$C$31:$C$35,5,'Responsibilities'!$D$31:$D$35,"Yes")</f>
        <v/>
      </c>
    </row>
    <row r="11" ht="28" customHeight="1">
      <c r="A11" s="4" t="inlineStr">
        <is>
          <t>Full</t>
        </is>
      </c>
      <c r="B11" s="4" t="n">
        <v>6</v>
      </c>
      <c r="C11" s="4">
        <f>ROUNDUP(B11/12,0)</f>
        <v/>
      </c>
      <c r="D11" s="137">
        <f>SUMIFS('Production schedule'!$N$6:$N$113,'Production schedule'!$C$6:$C$113,6)</f>
        <v/>
      </c>
      <c r="E11" s="137">
        <f>SUMIFS('Production schedule'!$Y$6:$Y$113,'Production schedule'!$C$6:$C$113,6)</f>
        <v/>
      </c>
      <c r="F11" s="137">
        <f>SUMIFS('Production schedule'!$Z$6:$Z$113,'Production schedule'!$C$6:$C$113,6)</f>
        <v/>
      </c>
      <c r="G11" s="137">
        <f>('Production schedule'!AJ11)*'Responsibilities'!$C$6+('Production schedule'!AJ47)*'Responsibilities'!$C$7+('Production schedule'!AJ83)*'Responsibilities'!$C$8</f>
        <v/>
      </c>
      <c r="H11" s="137">
        <f>('Production schedule'!AI11)*'Responsibilities'!$D$6+('Production schedule'!AI47)*'Responsibilities'!$D$7+('Production schedule'!AI83)*'Responsibilities'!$D$8</f>
        <v/>
      </c>
      <c r="I11" s="137">
        <f>SUM('Assumptions'!I58:I65)</f>
        <v/>
      </c>
      <c r="J11" s="137">
        <f>('Production schedule'!E11*(IF('Sites'!D6="Annual staff",SUM('Assumptions'!I112,'Assumptions'!I114),0)+SUM('Assumptions'!I113,'Assumptions'!I115:I116)))*'Responsibilities'!$E$6+('Production schedule'!E47*(IF('Sites'!D7="Annual staff",SUM('Assumptions'!I117,'Assumptions'!I119),0)+SUM('Assumptions'!I118,'Assumptions'!I120:I121)))*'Responsibilities'!$E$7+('Production schedule'!E83*(IF('Sites'!D8="Annual staff",SUM('Assumptions'!I122,'Assumptions'!I124),0)+SUM('Assumptions'!I123,'Assumptions'!I125:I126)))*'Responsibilities'!$E$8</f>
        <v/>
      </c>
      <c r="K11" s="137">
        <f>(IF(AND('Production schedule'!E11=1,6=MAX(('Sites'!F6),1),ISNUMBER('Sites'!O6)),'Sites'!O6*'Assumptions'!$B$44,0))*'Responsibilities'!$F$6+(IF(AND('Production schedule'!E47=1,6=MAX(('Sites'!F7+'Cases'!G6),1),ISNUMBER('Sites'!O7)),'Sites'!O7*'Assumptions'!$B$44,0))*'Responsibilities'!$F$7+(IF(AND('Production schedule'!E83=1,6=MAX(('Sites'!F8+'Cases'!G6),1),ISNUMBER('Sites'!O8)),'Sites'!O8*'Assumptions'!$B$44,0))*'Responsibilities'!$F$8</f>
        <v/>
      </c>
      <c r="L11" s="137">
        <f>SUM('Costs'!E36)*'Costs'!F36/12*'Responsibilities'!$C$12+SUM('Costs'!E37)*'Costs'!F37/12*'Responsibilities'!$C$13+SUM('Costs'!E38)*'Costs'!F38/12*'Responsibilities'!$C$14+SUM('Costs'!E39)*'Costs'!F39/12*'Responsibilities'!$C$15+SUM('Costs'!E40)*'Costs'!F40/12*'Responsibilities'!$C$16+BZ11</f>
        <v/>
      </c>
      <c r="M11" s="137">
        <f>('Sites'!E6*'Capital'!E6*(IF(6='Capital'!G6,'Capital'!F6,0)+IF(6='Capital'!H6,1-'Capital'!F6,0)))*'Responsibilities'!$G$6+('Sites'!E7*'Capital'!E7*(IF(6='Capital'!G7+'Cases'!G6,'Capital'!F7,0)+IF(6='Capital'!H7+'Cases'!G6,1-'Capital'!F7,0)))*'Responsibilities'!$G$7+('Sites'!E8*'Cases'!F6*'Capital'!E8*(IF(6='Capital'!G8+'Cases'!G6,'Capital'!F8,0)+IF(6='Capital'!H8+'Cases'!G6,1-'Capital'!F8,0)))*'Responsibilities'!$G$8</f>
        <v/>
      </c>
      <c r="N11" s="137">
        <f>SUM(G11:M11)</f>
        <v/>
      </c>
      <c r="O11" s="137">
        <f>SUMIFS(FundingTranches[Secured amount],FundingTranches[Instrument],"Grant",FundingTranches[Secured month],6)</f>
        <v/>
      </c>
      <c r="P11" s="137">
        <f>SUMIFS(FundingTranches[Full possible],FundingTranches[Instrument],"Grant",FundingTranches[Scenario month],6-'Cases'!$D$6)</f>
        <v/>
      </c>
      <c r="Q11" s="137">
        <f>SUMIFS(FundingTranches[Secured amount],FundingTranches[Instrument],"Loan",FundingTranches[Secured month],6)</f>
        <v/>
      </c>
      <c r="R11" s="137">
        <f>SUMIFS(FundingTranches[Full possible],FundingTranches[Instrument],"Loan",FundingTranches[Scenario month],6-'Cases'!$D$6)</f>
        <v/>
      </c>
      <c r="S11" s="137">
        <f>IF(6&lt;='Assumptions'!$B$34,0,SUMIFS('Production schedule'!$AL$6:$AL$113,'Production schedule'!$C$6:$C$113,6-'Assumptions'!$B$34))</f>
        <v/>
      </c>
      <c r="T11" s="137">
        <f>'Assumptions'!I70</f>
        <v/>
      </c>
      <c r="U11" s="137">
        <f>'Assumptions'!I78</f>
        <v/>
      </c>
      <c r="V11" s="137">
        <f>SUM(O11:U11)</f>
        <v/>
      </c>
      <c r="W11" s="137">
        <f>AA10</f>
        <v/>
      </c>
      <c r="X11" s="137">
        <f>SUM(Q11:R11)</f>
        <v/>
      </c>
      <c r="Y11" s="137">
        <f>SUM(W11,X11)*'Assumptions'!$B$39/12</f>
        <v/>
      </c>
      <c r="Z11" s="137">
        <f>IF(SUM(W11,X11)&gt;0,MIN(SUM(W11,X11),MAX(0,BP11-Y11)),0)</f>
        <v/>
      </c>
      <c r="AA11" s="137">
        <f>SUM(W11,X11)-Z11</f>
        <v/>
      </c>
      <c r="AB11" s="137">
        <f>SUM(Y11:Z11)</f>
        <v/>
      </c>
      <c r="AC11" s="137">
        <f>'Assumptions'!I72</f>
        <v/>
      </c>
      <c r="AD11" s="137">
        <f>'Assumptions'!I73</f>
        <v/>
      </c>
      <c r="AE11" s="137">
        <f>IF(X11&gt;0,SUM('Assumptions'!$B$42),0)</f>
        <v/>
      </c>
      <c r="AF11" s="137">
        <f>'Assumptions'!I71</f>
        <v/>
      </c>
      <c r="AG11" s="137">
        <f>'Assumptions'!I74</f>
        <v/>
      </c>
      <c r="AH11" s="137">
        <f>'Assumptions'!I75</f>
        <v/>
      </c>
      <c r="AI11" s="137">
        <f>'Assumptions'!I77</f>
        <v/>
      </c>
      <c r="AJ11" s="137">
        <f>V11-N11-SUM(AB11:AI11)</f>
        <v/>
      </c>
      <c r="AK11" s="137">
        <f>SUM(AJ6:AJ11)</f>
        <v/>
      </c>
      <c r="AL11" s="137">
        <f>IF(ISNUMBER('Assumptions'!$B$10),'Assumptions'!$B$10+AK11,"")</f>
        <v/>
      </c>
      <c r="AM11" s="137">
        <f>SUM(O11,Q11,T11)-N11-SUM(AC11:AI11)+IF('Funding'!$N$11=0,AE11,0)-IF('Funding'!$N$11&gt;0,AB11,0)</f>
        <v/>
      </c>
      <c r="AN11" s="137">
        <f>SUM(AM6:AM11)</f>
        <v/>
      </c>
      <c r="AO11" s="137">
        <f>IF(ISNUMBER('Assumptions'!$B$10),'Assumptions'!$B$10+AN11,"")</f>
        <v/>
      </c>
      <c r="AP11" s="137">
        <f>('Production schedule'!AK11)*'Responsibilities'!$C$6+('Production schedule'!AK47)*'Responsibilities'!$C$7+('Production schedule'!AK83)*'Responsibilities'!$C$8</f>
        <v/>
      </c>
      <c r="AQ11" s="137">
        <f>SUMIFS('Production schedule'!$AL$6:$AL$113,'Production schedule'!$C$6:$C$113,6)</f>
        <v/>
      </c>
      <c r="AR11" s="137">
        <f>IF(ISNUMBER('Assumptions'!I76),'Assumptions'!I76,SUM(O11:P11))</f>
        <v/>
      </c>
      <c r="AS11" s="137">
        <f>IF(ISNUMBER('Assumptions'!$B$13),MIN('Assumptions'!$B$13/'Assumptions'!$B$18/12,MAX(0,'Assumptions'!$B$13-(6-1)*'Assumptions'!$B$13/'Assumptions'!$B$18/12)),0)+IF(AND('Sites'!E6=1,6&gt;=('Sites'!F6),6&lt;('Sites'!F6)+'Assumptions'!$B$18*12),'Capital'!E6/'Assumptions'!$B$18/12,0)+IF(AND('Sites'!E7=1,6&gt;=('Sites'!F7+'Cases'!G6),6&lt;('Sites'!F7+'Cases'!G6)+'Assumptions'!$B$18*12),'Capital'!E7/'Assumptions'!$B$18/12,0)+IF(AND('Sites'!E8*'Cases'!F6=1,6&gt;=('Sites'!F8+'Cases'!G6),6&lt;('Sites'!F8+'Cases'!G6)+'Assumptions'!$B$18*12),'Capital'!E8/'Assumptions'!$B$18/12,0)</f>
        <v/>
      </c>
      <c r="AT11" s="137">
        <f>SUM(AQ11,AR11,U11)-AP11-SUM(H11:L11)-AS11-SUM(Y11,AD11,AE11,AH11)</f>
        <v/>
      </c>
      <c r="AU11" s="137">
        <f>IF(ISNUMBER('Assumptions'!$B$19),MAX(0,SUM(AT6:AT11))*'Assumptions'!$B$19-SUM(AU6:AU10),"")</f>
        <v/>
      </c>
      <c r="AV11" s="137">
        <f>IF(ISNUMBER(AU11),AT11-AU11,"")</f>
        <v/>
      </c>
      <c r="AW11" s="137">
        <f>IF(ISNUMBER('Assumptions'!$B$11),'Assumptions'!$B$11+SUM(AQ6:AQ11)-SUM(S6:S11)-SUM(T6:T11),"")</f>
        <v/>
      </c>
      <c r="AX11" s="137">
        <f>IF(ISNUMBER('Assumptions'!$B$12),'Assumptions'!$B$12+SUM(G6:G11)-SUM(AP6:AP11),"")</f>
        <v/>
      </c>
      <c r="AY11" s="137">
        <f>IF(ISNUMBER('Assumptions'!$B$13),'Assumptions'!$B$13+SUM(M6:M11)-SUM(AS6:AS11),"")</f>
        <v/>
      </c>
      <c r="AZ11" s="137">
        <f>IF(ISNUMBER('Assumptions'!$B$14),'Assumptions'!$B$14+-SUM(AF6:AF11),"")</f>
        <v/>
      </c>
      <c r="BA11" s="137">
        <f>IF(ISNUMBER('Assumptions'!$B$15),'Assumptions'!$B$15+SUM(O6:O11)+SUM(P6:P11)-SUM(AR6:AR11),"")</f>
        <v/>
      </c>
      <c r="BB11" s="137">
        <f>IF(ISNUMBER('Assumptions'!$B$16),'Assumptions'!$B$16+-SUM(AC6:AC11),"")</f>
        <v/>
      </c>
      <c r="BC11" s="137">
        <f>IF(AND(ISNUMBER('Assumptions'!$B$21),ISNUMBER('Assumptions'!$B$19)),'Assumptions'!$B$21+SUM(AU6:AU11)-SUM(AG6:AG11),"")</f>
        <v/>
      </c>
      <c r="BD11" s="137">
        <f>IF(ISNUMBER('Assumptions'!$B$20),'Assumptions'!$B$20+-SUM(AI6:AI11),"")</f>
        <v/>
      </c>
      <c r="BE11" s="137">
        <f>IF(AND(ISNUMBER('Assumptions'!$B$17),COUNT(AV6:AV11)=6),'Assumptions'!$B$17+SUM(AV6:AV11),"")</f>
        <v/>
      </c>
      <c r="BF11" s="137">
        <f>IF(COUNT(AL11,AW11:AY11)=4,SUM(AL11,AW11:AY11),"")</f>
        <v/>
      </c>
      <c r="BG11" s="137">
        <f>IF(COUNT(AZ11:BD11)=5,SUM(AZ11:BD11,AA11),"")</f>
        <v/>
      </c>
      <c r="BH11" s="137">
        <f>IF(COUNT(BF11,BG11,BE11)=3,BF11-BG11-BE11,"")</f>
        <v/>
      </c>
      <c r="BI11" s="137">
        <f>SUM(W11,X11)-Z11-AA11</f>
        <v/>
      </c>
      <c r="BJ11" s="137">
        <f>8-COUNT('Assumptions'!I58:I65)+COUNTBLANK('NM Play'!B33:B34)+'Costs'!E44+IF(AND('Sites'!E6=1,('Sites'!F6)&lt;=12,'Sites'!G6&gt;=1),IF(ISNUMBER('Sites'!O6),0,1)+'Capital'!I6+COUNTBLANK('Sites'!R6)+IF('Sites'!D6="NM crew",COUNTBLANK('NM Play'!B25)+1,5-COUNT('Assumptions'!I112:I116)),0)+IF(AND('Sites'!E7=1,('Sites'!F7+'Cases'!G6)&lt;=12,'Sites'!G7&gt;=1),IF(ISNUMBER('Sites'!O7),0,1)+'Capital'!I7+COUNTBLANK('Sites'!R7)+IF('Sites'!D7="NM crew",COUNTBLANK('NM Play'!B25)+1,5-COUNT('Assumptions'!I117:I121)),0)+IF(AND('Sites'!E8*'Cases'!F6=1,('Sites'!F8+'Cases'!G6)&lt;=12,'Sites'!G8&gt;=1),IF(ISNUMBER('Sites'!O8),0,1)+'Capital'!I8+COUNTBLANK('Sites'!R8)+IF('Sites'!D8="NM crew",COUNTBLANK('NM Play'!B25)+1,5-COUNT('Assumptions'!I122:I126)),0)+IF(AND('Cases'!C6&gt;0,NOT(ISNUMBER('Assumptions'!B42))),1,0)+'Responsibilities'!$B$39</f>
        <v/>
      </c>
      <c r="BK11" s="137">
        <f>'Assumptions'!$B$50+'NM Play'!$B$83+'Funding'!$F$20+SUMIFS('Production schedule'!$AN$6:$AN$113,'Production schedule'!$C$6:$C$113,6)+IF(OR('Cases'!E6&lt;0,'Cases'!E6&gt;1,'Cases'!C6&lt;0,'Cases'!D6&lt;0,ABS(SUM('Sites'!S6:S8)-1)&gt;0.0001,MIN('Capital'!F6:F8)&lt;0,MAX('Capital'!F6:F8)&gt;1,MIN(AX11,AZ11,BB11,BA11)&lt;-0.01),1,0)+'Responsibilities'!$B$40</f>
        <v/>
      </c>
      <c r="BL11" s="137">
        <f>SUMIFS('Production schedule'!$T$6:$T$113,'Production schedule'!$C$6:$C$113,6)</f>
        <v/>
      </c>
      <c r="BM11" s="137">
        <f>D11*'NM Play'!$B$38</f>
        <v/>
      </c>
      <c r="BN11" s="137">
        <f>SUMIFS('Production schedule'!$AM$6:$AM$113,'Production schedule'!$C$6:$C$113,6)</f>
        <v/>
      </c>
      <c r="BO11" s="137">
        <f>AK11-AK10-AJ11</f>
        <v/>
      </c>
      <c r="BP11" s="137">
        <f>IF(AND('Assumptions'!$B$39&gt;=0,'Assumptions'!$B$40&gt;0),-PMT('Assumptions'!$B$39/12,'Assumptions'!$B$40*12,IF('Funding'!$N$11&gt;0,'Funding'!$N$11,'Funding'!$R$11)),"")</f>
        <v/>
      </c>
      <c r="BQ11">
        <f>('Production schedule'!AJ11)*(1-'Responsibilities'!$C$6)+('Production schedule'!AJ47)*(1-'Responsibilities'!$C$7)+('Production schedule'!AJ83)*(1-'Responsibilities'!$C$8)</f>
        <v/>
      </c>
      <c r="BR11">
        <f>('Production schedule'!AI11)*(1-'Responsibilities'!$D$6)+('Production schedule'!AI47)*(1-'Responsibilities'!$D$7)+('Production schedule'!AI83)*(1-'Responsibilities'!$D$8)</f>
        <v/>
      </c>
      <c r="BS11">
        <f>('Production schedule'!E11*(IF('Sites'!D6="Annual staff",SUM('Assumptions'!I112,'Assumptions'!I114),0)+SUM('Assumptions'!I113,'Assumptions'!I115:I116)))*(1-'Responsibilities'!$E$6)+('Production schedule'!E47*(IF('Sites'!D7="Annual staff",SUM('Assumptions'!I117,'Assumptions'!I119),0)+SUM('Assumptions'!I118,'Assumptions'!I120:I121)))*(1-'Responsibilities'!$E$7)+('Production schedule'!E83*(IF('Sites'!D8="Annual staff",SUM('Assumptions'!I122,'Assumptions'!I124),0)+SUM('Assumptions'!I123,'Assumptions'!I125:I126)))*(1-'Responsibilities'!$E$8)</f>
        <v/>
      </c>
      <c r="BT11">
        <f>(IF(AND('Production schedule'!E11=1,6=MAX(('Sites'!F6),1),ISNUMBER('Sites'!O6)),'Sites'!O6*'Assumptions'!$B$44,0))*(1-'Responsibilities'!$F$6)+(IF(AND('Production schedule'!E47=1,6=MAX(('Sites'!F7+'Cases'!G6),1),ISNUMBER('Sites'!O7)),'Sites'!O7*'Assumptions'!$B$44,0))*(1-'Responsibilities'!$F$7)+(IF(AND('Production schedule'!E83=1,6=MAX(('Sites'!F8+'Cases'!G6),1),ISNUMBER('Sites'!O8)),'Sites'!O8*'Assumptions'!$B$44,0))*(1-'Responsibilities'!$F$8)</f>
        <v/>
      </c>
      <c r="BU11">
        <f>SUM('Costs'!E36)*'Costs'!F36/12*(1-'Responsibilities'!$C$12)+SUM('Costs'!E37)*'Costs'!F37/12*(1-'Responsibilities'!$C$13)+SUM('Costs'!E38)*'Costs'!F38/12*(1-'Responsibilities'!$C$14)+SUM('Costs'!E39)*'Costs'!F39/12*(1-'Responsibilities'!$C$15)+SUM('Costs'!E40)*'Costs'!F40/12*(1-'Responsibilities'!$C$16)</f>
        <v/>
      </c>
      <c r="BV11">
        <f>('Sites'!E6*'Capital'!E6*(IF(6='Capital'!G6,'Capital'!F6,0)+IF(6='Capital'!H6,1-'Capital'!F6,0)))*(1-'Responsibilities'!$G$6)+('Sites'!E7*'Capital'!E7*(IF(6='Capital'!G7+'Cases'!G6,'Capital'!F7,0)+IF(6='Capital'!H7+'Cases'!G6,1-'Capital'!F7,0)))*(1-'Responsibilities'!$G$7)+('Sites'!E8*'Cases'!F6*'Capital'!E8*(IF(6='Capital'!G8+'Cases'!G6,'Capital'!F8,0)+IF(6='Capital'!H8+'Cases'!G6,1-'Capital'!F8,0)))*(1-'Responsibilities'!$G$8)</f>
        <v/>
      </c>
      <c r="BW11">
        <f>SUM(BQ11:BV11)</f>
        <v/>
      </c>
      <c r="BX11">
        <f>N11+BW11</f>
        <v/>
      </c>
      <c r="BY11">
        <f>BX11-(('Production schedule'!AJ11)*'Responsibilities'!$C$6+('Production schedule'!AJ47)*'Responsibilities'!$C$7+('Production schedule'!AJ83)*'Responsibilities'!$C$8+('Production schedule'!AJ11)*(1-'Responsibilities'!$C$6)+('Production schedule'!AJ47)*(1-'Responsibilities'!$C$7)+('Production schedule'!AJ83)*(1-'Responsibilities'!$C$8)+('Production schedule'!AI11)*'Responsibilities'!$D$6+('Production schedule'!AI47)*'Responsibilities'!$D$7+('Production schedule'!AI83)*'Responsibilities'!$D$8+('Production schedule'!AI11)*(1-'Responsibilities'!$D$6)+('Production schedule'!AI47)*(1-'Responsibilities'!$D$7)+('Production schedule'!AI83)*(1-'Responsibilities'!$D$8)+('Production schedule'!E11*(IF('Sites'!D6="Annual staff",SUM('Assumptions'!I112,'Assumptions'!I114),0)+SUM('Assumptions'!I113,'Assumptions'!I115:I116)))*'Responsibilities'!$E$6+('Production schedule'!E47*(IF('Sites'!D7="Annual staff",SUM('Assumptions'!I117,'Assumptions'!I119),0)+SUM('Assumptions'!I118,'Assumptions'!I120:I121)))*'Responsibilities'!$E$7+('Production schedule'!E83*(IF('Sites'!D8="Annual staff",SUM('Assumptions'!I122,'Assumptions'!I124),0)+SUM('Assumptions'!I123,'Assumptions'!I125:I126)))*'Responsibilities'!$E$8+('Production schedule'!E11*(IF('Sites'!D6="Annual staff",SUM('Assumptions'!I112,'Assumptions'!I114),0)+SUM('Assumptions'!I113,'Assumptions'!I115:I116)))*(1-'Responsibilities'!$E$6)+('Production schedule'!E47*(IF('Sites'!D7="Annual staff",SUM('Assumptions'!I117,'Assumptions'!I119),0)+SUM('Assumptions'!I118,'Assumptions'!I120:I121)))*(1-'Responsibilities'!$E$7)+('Production schedule'!E83*(IF('Sites'!D8="Annual staff",SUM('Assumptions'!I122,'Assumptions'!I124),0)+SUM('Assumptions'!I123,'Assumptions'!I125:I126)))*(1-'Responsibilities'!$E$8)+(IF(AND('Production schedule'!E11=1,6=MAX(('Sites'!F6),1),ISNUMBER('Sites'!O6)),'Sites'!O6*'Assumptions'!$B$44,0))*'Responsibilities'!$F$6+(IF(AND('Production schedule'!E47=1,6=MAX(('Sites'!F7+'Cases'!G6),1),ISNUMBER('Sites'!O7)),'Sites'!O7*'Assumptions'!$B$44,0))*'Responsibilities'!$F$7+(IF(AND('Production schedule'!E83=1,6=MAX(('Sites'!F8+'Cases'!G6),1),ISNUMBER('Sites'!O8)),'Sites'!O8*'Assumptions'!$B$44,0))*'Responsibilities'!$F$8+(IF(AND('Production schedule'!E11=1,6=MAX(('Sites'!F6),1),ISNUMBER('Sites'!O6)),'Sites'!O6*'Assumptions'!$B$44,0))*(1-'Responsibilities'!$F$6)+(IF(AND('Production schedule'!E47=1,6=MAX(('Sites'!F7+'Cases'!G6),1),ISNUMBER('Sites'!O7)),'Sites'!O7*'Assumptions'!$B$44,0))*(1-'Responsibilities'!$F$7)+(IF(AND('Production schedule'!E83=1,6=MAX(('Sites'!F8+'Cases'!G6),1),ISNUMBER('Sites'!O8)),'Sites'!O8*'Assumptions'!$B$44,0))*(1-'Responsibilities'!$F$8)+('Sites'!E6*'Capital'!E6*(IF(6='Capital'!G6,'Capital'!F6,0)+IF(6='Capital'!H6,1-'Capital'!F6,0)))*'Responsibilities'!$G$6+('Sites'!E7*'Capital'!E7*(IF(6='Capital'!G7+'Cases'!G6,'Capital'!F7,0)+IF(6='Capital'!H7+'Cases'!G6,1-'Capital'!F7,0)))*'Responsibilities'!$G$7+('Sites'!E8*'Cases'!F6*'Capital'!E8*(IF(6='Capital'!G8+'Cases'!G6,'Capital'!F8,0)+IF(6='Capital'!H8+'Cases'!G6,1-'Capital'!F8,0)))*'Responsibilities'!$G$8+('Sites'!E6*'Capital'!E6*(IF(6='Capital'!G6,'Capital'!F6,0)+IF(6='Capital'!H6,1-'Capital'!F6,0)))*(1-'Responsibilities'!$G$6)+('Sites'!E7*'Capital'!E7*(IF(6='Capital'!G7+'Cases'!G6,'Capital'!F7,0)+IF(6='Capital'!H7+'Cases'!G6,1-'Capital'!F7,0)))*(1-'Responsibilities'!$G$7)+('Sites'!E8*'Cases'!F6*'Capital'!E8*(IF(6='Capital'!G8+'Cases'!G6,'Capital'!F8,0)+IF(6='Capital'!H8+'Cases'!G6,1-'Capital'!F8,0)))*(1-'Responsibilities'!$G$8)+I11+SUMPRODUCT('Costs'!$E$36:$E$40,'Costs'!$F$36:$F$40)/12+BZ11)</f>
        <v/>
      </c>
      <c r="BZ11">
        <f>SUMIFS('Responsibilities'!$B$31:$B$35,'Responsibilities'!$C$31:$C$35,6,'Responsibilities'!$D$31:$D$35,"Yes")</f>
        <v/>
      </c>
    </row>
    <row r="12" ht="28" customHeight="1">
      <c r="A12" s="4" t="inlineStr">
        <is>
          <t>Full</t>
        </is>
      </c>
      <c r="B12" s="4" t="n">
        <v>7</v>
      </c>
      <c r="C12" s="4">
        <f>ROUNDUP(B12/12,0)</f>
        <v/>
      </c>
      <c r="D12" s="137">
        <f>SUMIFS('Production schedule'!$N$6:$N$113,'Production schedule'!$C$6:$C$113,7)</f>
        <v/>
      </c>
      <c r="E12" s="137">
        <f>SUMIFS('Production schedule'!$Y$6:$Y$113,'Production schedule'!$C$6:$C$113,7)</f>
        <v/>
      </c>
      <c r="F12" s="137">
        <f>SUMIFS('Production schedule'!$Z$6:$Z$113,'Production schedule'!$C$6:$C$113,7)</f>
        <v/>
      </c>
      <c r="G12" s="137">
        <f>('Production schedule'!AJ12)*'Responsibilities'!$C$6+('Production schedule'!AJ48)*'Responsibilities'!$C$7+('Production schedule'!AJ84)*'Responsibilities'!$C$8</f>
        <v/>
      </c>
      <c r="H12" s="137">
        <f>('Production schedule'!AI12)*'Responsibilities'!$D$6+('Production schedule'!AI48)*'Responsibilities'!$D$7+('Production schedule'!AI84)*'Responsibilities'!$D$8</f>
        <v/>
      </c>
      <c r="I12" s="137">
        <f>SUM('Assumptions'!J58:J65)</f>
        <v/>
      </c>
      <c r="J12" s="137">
        <f>('Production schedule'!E12*(IF('Sites'!D6="Annual staff",SUM('Assumptions'!J112,'Assumptions'!J114),0)+SUM('Assumptions'!J113,'Assumptions'!J115:J116)))*'Responsibilities'!$E$6+('Production schedule'!E48*(IF('Sites'!D7="Annual staff",SUM('Assumptions'!J117,'Assumptions'!J119),0)+SUM('Assumptions'!J118,'Assumptions'!J120:J121)))*'Responsibilities'!$E$7+('Production schedule'!E84*(IF('Sites'!D8="Annual staff",SUM('Assumptions'!J122,'Assumptions'!J124),0)+SUM('Assumptions'!J123,'Assumptions'!J125:J126)))*'Responsibilities'!$E$8</f>
        <v/>
      </c>
      <c r="K12" s="137">
        <f>(IF(AND('Production schedule'!E12=1,7=MAX(('Sites'!F6),1),ISNUMBER('Sites'!O6)),'Sites'!O6*'Assumptions'!$B$44,0))*'Responsibilities'!$F$6+(IF(AND('Production schedule'!E48=1,7=MAX(('Sites'!F7+'Cases'!G6),1),ISNUMBER('Sites'!O7)),'Sites'!O7*'Assumptions'!$B$44,0))*'Responsibilities'!$F$7+(IF(AND('Production schedule'!E84=1,7=MAX(('Sites'!F8+'Cases'!G6),1),ISNUMBER('Sites'!O8)),'Sites'!O8*'Assumptions'!$B$44,0))*'Responsibilities'!$F$8</f>
        <v/>
      </c>
      <c r="L12" s="137">
        <f>SUM('Costs'!E36)*'Costs'!F36/12*'Responsibilities'!$C$12+SUM('Costs'!E37)*'Costs'!F37/12*'Responsibilities'!$C$13+SUM('Costs'!E38)*'Costs'!F38/12*'Responsibilities'!$C$14+SUM('Costs'!E39)*'Costs'!F39/12*'Responsibilities'!$C$15+SUM('Costs'!E40)*'Costs'!F40/12*'Responsibilities'!$C$16+BZ12</f>
        <v/>
      </c>
      <c r="M12" s="137">
        <f>('Sites'!E6*'Capital'!E6*(IF(7='Capital'!G6,'Capital'!F6,0)+IF(7='Capital'!H6,1-'Capital'!F6,0)))*'Responsibilities'!$G$6+('Sites'!E7*'Capital'!E7*(IF(7='Capital'!G7+'Cases'!G6,'Capital'!F7,0)+IF(7='Capital'!H7+'Cases'!G6,1-'Capital'!F7,0)))*'Responsibilities'!$G$7+('Sites'!E8*'Cases'!F6*'Capital'!E8*(IF(7='Capital'!G8+'Cases'!G6,'Capital'!F8,0)+IF(7='Capital'!H8+'Cases'!G6,1-'Capital'!F8,0)))*'Responsibilities'!$G$8</f>
        <v/>
      </c>
      <c r="N12" s="137">
        <f>SUM(G12:M12)</f>
        <v/>
      </c>
      <c r="O12" s="137">
        <f>SUMIFS(FundingTranches[Secured amount],FundingTranches[Instrument],"Grant",FundingTranches[Secured month],7)</f>
        <v/>
      </c>
      <c r="P12" s="137">
        <f>SUMIFS(FundingTranches[Full possible],FundingTranches[Instrument],"Grant",FundingTranches[Scenario month],7-'Cases'!$D$6)</f>
        <v/>
      </c>
      <c r="Q12" s="137">
        <f>SUMIFS(FundingTranches[Secured amount],FundingTranches[Instrument],"Loan",FundingTranches[Secured month],7)</f>
        <v/>
      </c>
      <c r="R12" s="137">
        <f>SUMIFS(FundingTranches[Full possible],FundingTranches[Instrument],"Loan",FundingTranches[Scenario month],7-'Cases'!$D$6)</f>
        <v/>
      </c>
      <c r="S12" s="137">
        <f>IF(7&lt;='Assumptions'!$B$34,0,SUMIFS('Production schedule'!$AL$6:$AL$113,'Production schedule'!$C$6:$C$113,7-'Assumptions'!$B$34))</f>
        <v/>
      </c>
      <c r="T12" s="137">
        <f>'Assumptions'!J70</f>
        <v/>
      </c>
      <c r="U12" s="137">
        <f>'Assumptions'!J78</f>
        <v/>
      </c>
      <c r="V12" s="137">
        <f>SUM(O12:U12)</f>
        <v/>
      </c>
      <c r="W12" s="137">
        <f>AA11</f>
        <v/>
      </c>
      <c r="X12" s="137">
        <f>SUM(Q12:R12)</f>
        <v/>
      </c>
      <c r="Y12" s="137">
        <f>SUM(W12,X12)*'Assumptions'!$B$39/12</f>
        <v/>
      </c>
      <c r="Z12" s="137">
        <f>IF(SUM(W12,X12)&gt;0,MIN(SUM(W12,X12),MAX(0,BP12-Y12)),0)</f>
        <v/>
      </c>
      <c r="AA12" s="137">
        <f>SUM(W12,X12)-Z12</f>
        <v/>
      </c>
      <c r="AB12" s="137">
        <f>SUM(Y12:Z12)</f>
        <v/>
      </c>
      <c r="AC12" s="137">
        <f>'Assumptions'!J72</f>
        <v/>
      </c>
      <c r="AD12" s="137">
        <f>'Assumptions'!J73</f>
        <v/>
      </c>
      <c r="AE12" s="137">
        <f>IF(X12&gt;0,SUM('Assumptions'!$B$42),0)</f>
        <v/>
      </c>
      <c r="AF12" s="137">
        <f>'Assumptions'!J71</f>
        <v/>
      </c>
      <c r="AG12" s="137">
        <f>'Assumptions'!J74</f>
        <v/>
      </c>
      <c r="AH12" s="137">
        <f>'Assumptions'!J75</f>
        <v/>
      </c>
      <c r="AI12" s="137">
        <f>'Assumptions'!J77</f>
        <v/>
      </c>
      <c r="AJ12" s="137">
        <f>V12-N12-SUM(AB12:AI12)</f>
        <v/>
      </c>
      <c r="AK12" s="137">
        <f>SUM(AJ6:AJ12)</f>
        <v/>
      </c>
      <c r="AL12" s="137">
        <f>IF(ISNUMBER('Assumptions'!$B$10),'Assumptions'!$B$10+AK12,"")</f>
        <v/>
      </c>
      <c r="AM12" s="137">
        <f>SUM(O12,Q12,T12)-N12-SUM(AC12:AI12)+IF('Funding'!$N$11=0,AE12,0)-IF('Funding'!$N$11&gt;0,AB12,0)</f>
        <v/>
      </c>
      <c r="AN12" s="137">
        <f>SUM(AM6:AM12)</f>
        <v/>
      </c>
      <c r="AO12" s="137">
        <f>IF(ISNUMBER('Assumptions'!$B$10),'Assumptions'!$B$10+AN12,"")</f>
        <v/>
      </c>
      <c r="AP12" s="137">
        <f>('Production schedule'!AK12)*'Responsibilities'!$C$6+('Production schedule'!AK48)*'Responsibilities'!$C$7+('Production schedule'!AK84)*'Responsibilities'!$C$8</f>
        <v/>
      </c>
      <c r="AQ12" s="137">
        <f>SUMIFS('Production schedule'!$AL$6:$AL$113,'Production schedule'!$C$6:$C$113,7)</f>
        <v/>
      </c>
      <c r="AR12" s="137">
        <f>IF(ISNUMBER('Assumptions'!J76),'Assumptions'!J76,SUM(O12:P12))</f>
        <v/>
      </c>
      <c r="AS12" s="137">
        <f>IF(ISNUMBER('Assumptions'!$B$13),MIN('Assumptions'!$B$13/'Assumptions'!$B$18/12,MAX(0,'Assumptions'!$B$13-(7-1)*'Assumptions'!$B$13/'Assumptions'!$B$18/12)),0)+IF(AND('Sites'!E6=1,7&gt;=('Sites'!F6),7&lt;('Sites'!F6)+'Assumptions'!$B$18*12),'Capital'!E6/'Assumptions'!$B$18/12,0)+IF(AND('Sites'!E7=1,7&gt;=('Sites'!F7+'Cases'!G6),7&lt;('Sites'!F7+'Cases'!G6)+'Assumptions'!$B$18*12),'Capital'!E7/'Assumptions'!$B$18/12,0)+IF(AND('Sites'!E8*'Cases'!F6=1,7&gt;=('Sites'!F8+'Cases'!G6),7&lt;('Sites'!F8+'Cases'!G6)+'Assumptions'!$B$18*12),'Capital'!E8/'Assumptions'!$B$18/12,0)</f>
        <v/>
      </c>
      <c r="AT12" s="137">
        <f>SUM(AQ12,AR12,U12)-AP12-SUM(H12:L12)-AS12-SUM(Y12,AD12,AE12,AH12)</f>
        <v/>
      </c>
      <c r="AU12" s="137">
        <f>IF(ISNUMBER('Assumptions'!$B$19),MAX(0,SUM(AT6:AT12))*'Assumptions'!$B$19-SUM(AU6:AU11),"")</f>
        <v/>
      </c>
      <c r="AV12" s="137">
        <f>IF(ISNUMBER(AU12),AT12-AU12,"")</f>
        <v/>
      </c>
      <c r="AW12" s="137">
        <f>IF(ISNUMBER('Assumptions'!$B$11),'Assumptions'!$B$11+SUM(AQ6:AQ12)-SUM(S6:S12)-SUM(T6:T12),"")</f>
        <v/>
      </c>
      <c r="AX12" s="137">
        <f>IF(ISNUMBER('Assumptions'!$B$12),'Assumptions'!$B$12+SUM(G6:G12)-SUM(AP6:AP12),"")</f>
        <v/>
      </c>
      <c r="AY12" s="137">
        <f>IF(ISNUMBER('Assumptions'!$B$13),'Assumptions'!$B$13+SUM(M6:M12)-SUM(AS6:AS12),"")</f>
        <v/>
      </c>
      <c r="AZ12" s="137">
        <f>IF(ISNUMBER('Assumptions'!$B$14),'Assumptions'!$B$14+-SUM(AF6:AF12),"")</f>
        <v/>
      </c>
      <c r="BA12" s="137">
        <f>IF(ISNUMBER('Assumptions'!$B$15),'Assumptions'!$B$15+SUM(O6:O12)+SUM(P6:P12)-SUM(AR6:AR12),"")</f>
        <v/>
      </c>
      <c r="BB12" s="137">
        <f>IF(ISNUMBER('Assumptions'!$B$16),'Assumptions'!$B$16+-SUM(AC6:AC12),"")</f>
        <v/>
      </c>
      <c r="BC12" s="137">
        <f>IF(AND(ISNUMBER('Assumptions'!$B$21),ISNUMBER('Assumptions'!$B$19)),'Assumptions'!$B$21+SUM(AU6:AU12)-SUM(AG6:AG12),"")</f>
        <v/>
      </c>
      <c r="BD12" s="137">
        <f>IF(ISNUMBER('Assumptions'!$B$20),'Assumptions'!$B$20+-SUM(AI6:AI12),"")</f>
        <v/>
      </c>
      <c r="BE12" s="137">
        <f>IF(AND(ISNUMBER('Assumptions'!$B$17),COUNT(AV6:AV12)=7),'Assumptions'!$B$17+SUM(AV6:AV12),"")</f>
        <v/>
      </c>
      <c r="BF12" s="137">
        <f>IF(COUNT(AL12,AW12:AY12)=4,SUM(AL12,AW12:AY12),"")</f>
        <v/>
      </c>
      <c r="BG12" s="137">
        <f>IF(COUNT(AZ12:BD12)=5,SUM(AZ12:BD12,AA12),"")</f>
        <v/>
      </c>
      <c r="BH12" s="137">
        <f>IF(COUNT(BF12,BG12,BE12)=3,BF12-BG12-BE12,"")</f>
        <v/>
      </c>
      <c r="BI12" s="137">
        <f>SUM(W12,X12)-Z12-AA12</f>
        <v/>
      </c>
      <c r="BJ12" s="137">
        <f>8-COUNT('Assumptions'!J58:J65)+COUNTBLANK('NM Play'!B33:B34)+'Costs'!E44+IF(AND('Sites'!E6=1,('Sites'!F6)&lt;=12,'Sites'!G6&gt;=1),IF(ISNUMBER('Sites'!O6),0,1)+'Capital'!I6+COUNTBLANK('Sites'!R6)+IF('Sites'!D6="NM crew",COUNTBLANK('NM Play'!B25)+1,5-COUNT('Assumptions'!J112:J116)),0)+IF(AND('Sites'!E7=1,('Sites'!F7+'Cases'!G6)&lt;=12,'Sites'!G7&gt;=1),IF(ISNUMBER('Sites'!O7),0,1)+'Capital'!I7+COUNTBLANK('Sites'!R7)+IF('Sites'!D7="NM crew",COUNTBLANK('NM Play'!B25)+1,5-COUNT('Assumptions'!J117:J121)),0)+IF(AND('Sites'!E8*'Cases'!F6=1,('Sites'!F8+'Cases'!G6)&lt;=12,'Sites'!G8&gt;=1),IF(ISNUMBER('Sites'!O8),0,1)+'Capital'!I8+COUNTBLANK('Sites'!R8)+IF('Sites'!D8="NM crew",COUNTBLANK('NM Play'!B25)+1,5-COUNT('Assumptions'!J122:J126)),0)+IF(AND('Cases'!C6&gt;0,NOT(ISNUMBER('Assumptions'!B42))),1,0)+'Responsibilities'!$B$39</f>
        <v/>
      </c>
      <c r="BK12" s="137">
        <f>'Assumptions'!$B$50+'NM Play'!$B$83+'Funding'!$F$20+SUMIFS('Production schedule'!$AN$6:$AN$113,'Production schedule'!$C$6:$C$113,7)+IF(OR('Cases'!E6&lt;0,'Cases'!E6&gt;1,'Cases'!C6&lt;0,'Cases'!D6&lt;0,ABS(SUM('Sites'!S6:S8)-1)&gt;0.0001,MIN('Capital'!F6:F8)&lt;0,MAX('Capital'!F6:F8)&gt;1,MIN(AX12,AZ12,BB12,BA12)&lt;-0.01),1,0)+'Responsibilities'!$B$40</f>
        <v/>
      </c>
      <c r="BL12" s="137">
        <f>SUMIFS('Production schedule'!$T$6:$T$113,'Production schedule'!$C$6:$C$113,7)</f>
        <v/>
      </c>
      <c r="BM12" s="137">
        <f>D12*'NM Play'!$B$38</f>
        <v/>
      </c>
      <c r="BN12" s="137">
        <f>SUMIFS('Production schedule'!$AM$6:$AM$113,'Production schedule'!$C$6:$C$113,7)</f>
        <v/>
      </c>
      <c r="BO12" s="137">
        <f>AK12-AK11-AJ12</f>
        <v/>
      </c>
      <c r="BP12" s="137">
        <f>IF(AND('Assumptions'!$B$39&gt;=0,'Assumptions'!$B$40&gt;0),-PMT('Assumptions'!$B$39/12,'Assumptions'!$B$40*12,IF('Funding'!$N$11&gt;0,'Funding'!$N$11,'Funding'!$R$11)),"")</f>
        <v/>
      </c>
      <c r="BQ12">
        <f>('Production schedule'!AJ12)*(1-'Responsibilities'!$C$6)+('Production schedule'!AJ48)*(1-'Responsibilities'!$C$7)+('Production schedule'!AJ84)*(1-'Responsibilities'!$C$8)</f>
        <v/>
      </c>
      <c r="BR12">
        <f>('Production schedule'!AI12)*(1-'Responsibilities'!$D$6)+('Production schedule'!AI48)*(1-'Responsibilities'!$D$7)+('Production schedule'!AI84)*(1-'Responsibilities'!$D$8)</f>
        <v/>
      </c>
      <c r="BS12">
        <f>('Production schedule'!E12*(IF('Sites'!D6="Annual staff",SUM('Assumptions'!J112,'Assumptions'!J114),0)+SUM('Assumptions'!J113,'Assumptions'!J115:J116)))*(1-'Responsibilities'!$E$6)+('Production schedule'!E48*(IF('Sites'!D7="Annual staff",SUM('Assumptions'!J117,'Assumptions'!J119),0)+SUM('Assumptions'!J118,'Assumptions'!J120:J121)))*(1-'Responsibilities'!$E$7)+('Production schedule'!E84*(IF('Sites'!D8="Annual staff",SUM('Assumptions'!J122,'Assumptions'!J124),0)+SUM('Assumptions'!J123,'Assumptions'!J125:J126)))*(1-'Responsibilities'!$E$8)</f>
        <v/>
      </c>
      <c r="BT12">
        <f>(IF(AND('Production schedule'!E12=1,7=MAX(('Sites'!F6),1),ISNUMBER('Sites'!O6)),'Sites'!O6*'Assumptions'!$B$44,0))*(1-'Responsibilities'!$F$6)+(IF(AND('Production schedule'!E48=1,7=MAX(('Sites'!F7+'Cases'!G6),1),ISNUMBER('Sites'!O7)),'Sites'!O7*'Assumptions'!$B$44,0))*(1-'Responsibilities'!$F$7)+(IF(AND('Production schedule'!E84=1,7=MAX(('Sites'!F8+'Cases'!G6),1),ISNUMBER('Sites'!O8)),'Sites'!O8*'Assumptions'!$B$44,0))*(1-'Responsibilities'!$F$8)</f>
        <v/>
      </c>
      <c r="BU12">
        <f>SUM('Costs'!E36)*'Costs'!F36/12*(1-'Responsibilities'!$C$12)+SUM('Costs'!E37)*'Costs'!F37/12*(1-'Responsibilities'!$C$13)+SUM('Costs'!E38)*'Costs'!F38/12*(1-'Responsibilities'!$C$14)+SUM('Costs'!E39)*'Costs'!F39/12*(1-'Responsibilities'!$C$15)+SUM('Costs'!E40)*'Costs'!F40/12*(1-'Responsibilities'!$C$16)</f>
        <v/>
      </c>
      <c r="BV12">
        <f>('Sites'!E6*'Capital'!E6*(IF(7='Capital'!G6,'Capital'!F6,0)+IF(7='Capital'!H6,1-'Capital'!F6,0)))*(1-'Responsibilities'!$G$6)+('Sites'!E7*'Capital'!E7*(IF(7='Capital'!G7+'Cases'!G6,'Capital'!F7,0)+IF(7='Capital'!H7+'Cases'!G6,1-'Capital'!F7,0)))*(1-'Responsibilities'!$G$7)+('Sites'!E8*'Cases'!F6*'Capital'!E8*(IF(7='Capital'!G8+'Cases'!G6,'Capital'!F8,0)+IF(7='Capital'!H8+'Cases'!G6,1-'Capital'!F8,0)))*(1-'Responsibilities'!$G$8)</f>
        <v/>
      </c>
      <c r="BW12">
        <f>SUM(BQ12:BV12)</f>
        <v/>
      </c>
      <c r="BX12">
        <f>N12+BW12</f>
        <v/>
      </c>
      <c r="BY12">
        <f>BX12-(('Production schedule'!AJ12)*'Responsibilities'!$C$6+('Production schedule'!AJ48)*'Responsibilities'!$C$7+('Production schedule'!AJ84)*'Responsibilities'!$C$8+('Production schedule'!AJ12)*(1-'Responsibilities'!$C$6)+('Production schedule'!AJ48)*(1-'Responsibilities'!$C$7)+('Production schedule'!AJ84)*(1-'Responsibilities'!$C$8)+('Production schedule'!AI12)*'Responsibilities'!$D$6+('Production schedule'!AI48)*'Responsibilities'!$D$7+('Production schedule'!AI84)*'Responsibilities'!$D$8+('Production schedule'!AI12)*(1-'Responsibilities'!$D$6)+('Production schedule'!AI48)*(1-'Responsibilities'!$D$7)+('Production schedule'!AI84)*(1-'Responsibilities'!$D$8)+('Production schedule'!E12*(IF('Sites'!D6="Annual staff",SUM('Assumptions'!J112,'Assumptions'!J114),0)+SUM('Assumptions'!J113,'Assumptions'!J115:J116)))*'Responsibilities'!$E$6+('Production schedule'!E48*(IF('Sites'!D7="Annual staff",SUM('Assumptions'!J117,'Assumptions'!J119),0)+SUM('Assumptions'!J118,'Assumptions'!J120:J121)))*'Responsibilities'!$E$7+('Production schedule'!E84*(IF('Sites'!D8="Annual staff",SUM('Assumptions'!J122,'Assumptions'!J124),0)+SUM('Assumptions'!J123,'Assumptions'!J125:J126)))*'Responsibilities'!$E$8+('Production schedule'!E12*(IF('Sites'!D6="Annual staff",SUM('Assumptions'!J112,'Assumptions'!J114),0)+SUM('Assumptions'!J113,'Assumptions'!J115:J116)))*(1-'Responsibilities'!$E$6)+('Production schedule'!E48*(IF('Sites'!D7="Annual staff",SUM('Assumptions'!J117,'Assumptions'!J119),0)+SUM('Assumptions'!J118,'Assumptions'!J120:J121)))*(1-'Responsibilities'!$E$7)+('Production schedule'!E84*(IF('Sites'!D8="Annual staff",SUM('Assumptions'!J122,'Assumptions'!J124),0)+SUM('Assumptions'!J123,'Assumptions'!J125:J126)))*(1-'Responsibilities'!$E$8)+(IF(AND('Production schedule'!E12=1,7=MAX(('Sites'!F6),1),ISNUMBER('Sites'!O6)),'Sites'!O6*'Assumptions'!$B$44,0))*'Responsibilities'!$F$6+(IF(AND('Production schedule'!E48=1,7=MAX(('Sites'!F7+'Cases'!G6),1),ISNUMBER('Sites'!O7)),'Sites'!O7*'Assumptions'!$B$44,0))*'Responsibilities'!$F$7+(IF(AND('Production schedule'!E84=1,7=MAX(('Sites'!F8+'Cases'!G6),1),ISNUMBER('Sites'!O8)),'Sites'!O8*'Assumptions'!$B$44,0))*'Responsibilities'!$F$8+(IF(AND('Production schedule'!E12=1,7=MAX(('Sites'!F6),1),ISNUMBER('Sites'!O6)),'Sites'!O6*'Assumptions'!$B$44,0))*(1-'Responsibilities'!$F$6)+(IF(AND('Production schedule'!E48=1,7=MAX(('Sites'!F7+'Cases'!G6),1),ISNUMBER('Sites'!O7)),'Sites'!O7*'Assumptions'!$B$44,0))*(1-'Responsibilities'!$F$7)+(IF(AND('Production schedule'!E84=1,7=MAX(('Sites'!F8+'Cases'!G6),1),ISNUMBER('Sites'!O8)),'Sites'!O8*'Assumptions'!$B$44,0))*(1-'Responsibilities'!$F$8)+('Sites'!E6*'Capital'!E6*(IF(7='Capital'!G6,'Capital'!F6,0)+IF(7='Capital'!H6,1-'Capital'!F6,0)))*'Responsibilities'!$G$6+('Sites'!E7*'Capital'!E7*(IF(7='Capital'!G7+'Cases'!G6,'Capital'!F7,0)+IF(7='Capital'!H7+'Cases'!G6,1-'Capital'!F7,0)))*'Responsibilities'!$G$7+('Sites'!E8*'Cases'!F6*'Capital'!E8*(IF(7='Capital'!G8+'Cases'!G6,'Capital'!F8,0)+IF(7='Capital'!H8+'Cases'!G6,1-'Capital'!F8,0)))*'Responsibilities'!$G$8+('Sites'!E6*'Capital'!E6*(IF(7='Capital'!G6,'Capital'!F6,0)+IF(7='Capital'!H6,1-'Capital'!F6,0)))*(1-'Responsibilities'!$G$6)+('Sites'!E7*'Capital'!E7*(IF(7='Capital'!G7+'Cases'!G6,'Capital'!F7,0)+IF(7='Capital'!H7+'Cases'!G6,1-'Capital'!F7,0)))*(1-'Responsibilities'!$G$7)+('Sites'!E8*'Cases'!F6*'Capital'!E8*(IF(7='Capital'!G8+'Cases'!G6,'Capital'!F8,0)+IF(7='Capital'!H8+'Cases'!G6,1-'Capital'!F8,0)))*(1-'Responsibilities'!$G$8)+I12+SUMPRODUCT('Costs'!$E$36:$E$40,'Costs'!$F$36:$F$40)/12+BZ12)</f>
        <v/>
      </c>
      <c r="BZ12">
        <f>SUMIFS('Responsibilities'!$B$31:$B$35,'Responsibilities'!$C$31:$C$35,7,'Responsibilities'!$D$31:$D$35,"Yes")</f>
        <v/>
      </c>
    </row>
    <row r="13" ht="28" customHeight="1">
      <c r="A13" s="4" t="inlineStr">
        <is>
          <t>Full</t>
        </is>
      </c>
      <c r="B13" s="4" t="n">
        <v>8</v>
      </c>
      <c r="C13" s="4">
        <f>ROUNDUP(B13/12,0)</f>
        <v/>
      </c>
      <c r="D13" s="137">
        <f>SUMIFS('Production schedule'!$N$6:$N$113,'Production schedule'!$C$6:$C$113,8)</f>
        <v/>
      </c>
      <c r="E13" s="137">
        <f>SUMIFS('Production schedule'!$Y$6:$Y$113,'Production schedule'!$C$6:$C$113,8)</f>
        <v/>
      </c>
      <c r="F13" s="137">
        <f>SUMIFS('Production schedule'!$Z$6:$Z$113,'Production schedule'!$C$6:$C$113,8)</f>
        <v/>
      </c>
      <c r="G13" s="137">
        <f>('Production schedule'!AJ13)*'Responsibilities'!$C$6+('Production schedule'!AJ49)*'Responsibilities'!$C$7+('Production schedule'!AJ85)*'Responsibilities'!$C$8</f>
        <v/>
      </c>
      <c r="H13" s="137">
        <f>('Production schedule'!AI13)*'Responsibilities'!$D$6+('Production schedule'!AI49)*'Responsibilities'!$D$7+('Production schedule'!AI85)*'Responsibilities'!$D$8</f>
        <v/>
      </c>
      <c r="I13" s="137">
        <f>SUM('Assumptions'!K58:K65)</f>
        <v/>
      </c>
      <c r="J13" s="137">
        <f>('Production schedule'!E13*(IF('Sites'!D6="Annual staff",SUM('Assumptions'!K112,'Assumptions'!K114),0)+SUM('Assumptions'!K113,'Assumptions'!K115:K116)))*'Responsibilities'!$E$6+('Production schedule'!E49*(IF('Sites'!D7="Annual staff",SUM('Assumptions'!K117,'Assumptions'!K119),0)+SUM('Assumptions'!K118,'Assumptions'!K120:K121)))*'Responsibilities'!$E$7+('Production schedule'!E85*(IF('Sites'!D8="Annual staff",SUM('Assumptions'!K122,'Assumptions'!K124),0)+SUM('Assumptions'!K123,'Assumptions'!K125:K126)))*'Responsibilities'!$E$8</f>
        <v/>
      </c>
      <c r="K13" s="137">
        <f>(IF(AND('Production schedule'!E13=1,8=MAX(('Sites'!F6),1),ISNUMBER('Sites'!O6)),'Sites'!O6*'Assumptions'!$B$44,0))*'Responsibilities'!$F$6+(IF(AND('Production schedule'!E49=1,8=MAX(('Sites'!F7+'Cases'!G6),1),ISNUMBER('Sites'!O7)),'Sites'!O7*'Assumptions'!$B$44,0))*'Responsibilities'!$F$7+(IF(AND('Production schedule'!E85=1,8=MAX(('Sites'!F8+'Cases'!G6),1),ISNUMBER('Sites'!O8)),'Sites'!O8*'Assumptions'!$B$44,0))*'Responsibilities'!$F$8</f>
        <v/>
      </c>
      <c r="L13" s="137">
        <f>SUM('Costs'!E36)*'Costs'!F36/12*'Responsibilities'!$C$12+SUM('Costs'!E37)*'Costs'!F37/12*'Responsibilities'!$C$13+SUM('Costs'!E38)*'Costs'!F38/12*'Responsibilities'!$C$14+SUM('Costs'!E39)*'Costs'!F39/12*'Responsibilities'!$C$15+SUM('Costs'!E40)*'Costs'!F40/12*'Responsibilities'!$C$16+BZ13</f>
        <v/>
      </c>
      <c r="M13" s="137">
        <f>('Sites'!E6*'Capital'!E6*(IF(8='Capital'!G6,'Capital'!F6,0)+IF(8='Capital'!H6,1-'Capital'!F6,0)))*'Responsibilities'!$G$6+('Sites'!E7*'Capital'!E7*(IF(8='Capital'!G7+'Cases'!G6,'Capital'!F7,0)+IF(8='Capital'!H7+'Cases'!G6,1-'Capital'!F7,0)))*'Responsibilities'!$G$7+('Sites'!E8*'Cases'!F6*'Capital'!E8*(IF(8='Capital'!G8+'Cases'!G6,'Capital'!F8,0)+IF(8='Capital'!H8+'Cases'!G6,1-'Capital'!F8,0)))*'Responsibilities'!$G$8</f>
        <v/>
      </c>
      <c r="N13" s="137">
        <f>SUM(G13:M13)</f>
        <v/>
      </c>
      <c r="O13" s="137">
        <f>SUMIFS(FundingTranches[Secured amount],FundingTranches[Instrument],"Grant",FundingTranches[Secured month],8)</f>
        <v/>
      </c>
      <c r="P13" s="137">
        <f>SUMIFS(FundingTranches[Full possible],FundingTranches[Instrument],"Grant",FundingTranches[Scenario month],8-'Cases'!$D$6)</f>
        <v/>
      </c>
      <c r="Q13" s="137">
        <f>SUMIFS(FundingTranches[Secured amount],FundingTranches[Instrument],"Loan",FundingTranches[Secured month],8)</f>
        <v/>
      </c>
      <c r="R13" s="137">
        <f>SUMIFS(FundingTranches[Full possible],FundingTranches[Instrument],"Loan",FundingTranches[Scenario month],8-'Cases'!$D$6)</f>
        <v/>
      </c>
      <c r="S13" s="137">
        <f>IF(8&lt;='Assumptions'!$B$34,0,SUMIFS('Production schedule'!$AL$6:$AL$113,'Production schedule'!$C$6:$C$113,8-'Assumptions'!$B$34))</f>
        <v/>
      </c>
      <c r="T13" s="137">
        <f>'Assumptions'!K70</f>
        <v/>
      </c>
      <c r="U13" s="137">
        <f>'Assumptions'!K78</f>
        <v/>
      </c>
      <c r="V13" s="137">
        <f>SUM(O13:U13)</f>
        <v/>
      </c>
      <c r="W13" s="137">
        <f>AA12</f>
        <v/>
      </c>
      <c r="X13" s="137">
        <f>SUM(Q13:R13)</f>
        <v/>
      </c>
      <c r="Y13" s="137">
        <f>SUM(W13,X13)*'Assumptions'!$B$39/12</f>
        <v/>
      </c>
      <c r="Z13" s="137">
        <f>IF(SUM(W13,X13)&gt;0,MIN(SUM(W13,X13),MAX(0,BP13-Y13)),0)</f>
        <v/>
      </c>
      <c r="AA13" s="137">
        <f>SUM(W13,X13)-Z13</f>
        <v/>
      </c>
      <c r="AB13" s="137">
        <f>SUM(Y13:Z13)</f>
        <v/>
      </c>
      <c r="AC13" s="137">
        <f>'Assumptions'!K72</f>
        <v/>
      </c>
      <c r="AD13" s="137">
        <f>'Assumptions'!K73</f>
        <v/>
      </c>
      <c r="AE13" s="137">
        <f>IF(X13&gt;0,SUM('Assumptions'!$B$42),0)</f>
        <v/>
      </c>
      <c r="AF13" s="137">
        <f>'Assumptions'!K71</f>
        <v/>
      </c>
      <c r="AG13" s="137">
        <f>'Assumptions'!K74</f>
        <v/>
      </c>
      <c r="AH13" s="137">
        <f>'Assumptions'!K75</f>
        <v/>
      </c>
      <c r="AI13" s="137">
        <f>'Assumptions'!K77</f>
        <v/>
      </c>
      <c r="AJ13" s="137">
        <f>V13-N13-SUM(AB13:AI13)</f>
        <v/>
      </c>
      <c r="AK13" s="137">
        <f>SUM(AJ6:AJ13)</f>
        <v/>
      </c>
      <c r="AL13" s="137">
        <f>IF(ISNUMBER('Assumptions'!$B$10),'Assumptions'!$B$10+AK13,"")</f>
        <v/>
      </c>
      <c r="AM13" s="137">
        <f>SUM(O13,Q13,T13)-N13-SUM(AC13:AI13)+IF('Funding'!$N$11=0,AE13,0)-IF('Funding'!$N$11&gt;0,AB13,0)</f>
        <v/>
      </c>
      <c r="AN13" s="137">
        <f>SUM(AM6:AM13)</f>
        <v/>
      </c>
      <c r="AO13" s="137">
        <f>IF(ISNUMBER('Assumptions'!$B$10),'Assumptions'!$B$10+AN13,"")</f>
        <v/>
      </c>
      <c r="AP13" s="137">
        <f>('Production schedule'!AK13)*'Responsibilities'!$C$6+('Production schedule'!AK49)*'Responsibilities'!$C$7+('Production schedule'!AK85)*'Responsibilities'!$C$8</f>
        <v/>
      </c>
      <c r="AQ13" s="137">
        <f>SUMIFS('Production schedule'!$AL$6:$AL$113,'Production schedule'!$C$6:$C$113,8)</f>
        <v/>
      </c>
      <c r="AR13" s="137">
        <f>IF(ISNUMBER('Assumptions'!K76),'Assumptions'!K76,SUM(O13:P13))</f>
        <v/>
      </c>
      <c r="AS13" s="137">
        <f>IF(ISNUMBER('Assumptions'!$B$13),MIN('Assumptions'!$B$13/'Assumptions'!$B$18/12,MAX(0,'Assumptions'!$B$13-(8-1)*'Assumptions'!$B$13/'Assumptions'!$B$18/12)),0)+IF(AND('Sites'!E6=1,8&gt;=('Sites'!F6),8&lt;('Sites'!F6)+'Assumptions'!$B$18*12),'Capital'!E6/'Assumptions'!$B$18/12,0)+IF(AND('Sites'!E7=1,8&gt;=('Sites'!F7+'Cases'!G6),8&lt;('Sites'!F7+'Cases'!G6)+'Assumptions'!$B$18*12),'Capital'!E7/'Assumptions'!$B$18/12,0)+IF(AND('Sites'!E8*'Cases'!F6=1,8&gt;=('Sites'!F8+'Cases'!G6),8&lt;('Sites'!F8+'Cases'!G6)+'Assumptions'!$B$18*12),'Capital'!E8/'Assumptions'!$B$18/12,0)</f>
        <v/>
      </c>
      <c r="AT13" s="137">
        <f>SUM(AQ13,AR13,U13)-AP13-SUM(H13:L13)-AS13-SUM(Y13,AD13,AE13,AH13)</f>
        <v/>
      </c>
      <c r="AU13" s="137">
        <f>IF(ISNUMBER('Assumptions'!$B$19),MAX(0,SUM(AT6:AT13))*'Assumptions'!$B$19-SUM(AU6:AU12),"")</f>
        <v/>
      </c>
      <c r="AV13" s="137">
        <f>IF(ISNUMBER(AU13),AT13-AU13,"")</f>
        <v/>
      </c>
      <c r="AW13" s="137">
        <f>IF(ISNUMBER('Assumptions'!$B$11),'Assumptions'!$B$11+SUM(AQ6:AQ13)-SUM(S6:S13)-SUM(T6:T13),"")</f>
        <v/>
      </c>
      <c r="AX13" s="137">
        <f>IF(ISNUMBER('Assumptions'!$B$12),'Assumptions'!$B$12+SUM(G6:G13)-SUM(AP6:AP13),"")</f>
        <v/>
      </c>
      <c r="AY13" s="137">
        <f>IF(ISNUMBER('Assumptions'!$B$13),'Assumptions'!$B$13+SUM(M6:M13)-SUM(AS6:AS13),"")</f>
        <v/>
      </c>
      <c r="AZ13" s="137">
        <f>IF(ISNUMBER('Assumptions'!$B$14),'Assumptions'!$B$14+-SUM(AF6:AF13),"")</f>
        <v/>
      </c>
      <c r="BA13" s="137">
        <f>IF(ISNUMBER('Assumptions'!$B$15),'Assumptions'!$B$15+SUM(O6:O13)+SUM(P6:P13)-SUM(AR6:AR13),"")</f>
        <v/>
      </c>
      <c r="BB13" s="137">
        <f>IF(ISNUMBER('Assumptions'!$B$16),'Assumptions'!$B$16+-SUM(AC6:AC13),"")</f>
        <v/>
      </c>
      <c r="BC13" s="137">
        <f>IF(AND(ISNUMBER('Assumptions'!$B$21),ISNUMBER('Assumptions'!$B$19)),'Assumptions'!$B$21+SUM(AU6:AU13)-SUM(AG6:AG13),"")</f>
        <v/>
      </c>
      <c r="BD13" s="137">
        <f>IF(ISNUMBER('Assumptions'!$B$20),'Assumptions'!$B$20+-SUM(AI6:AI13),"")</f>
        <v/>
      </c>
      <c r="BE13" s="137">
        <f>IF(AND(ISNUMBER('Assumptions'!$B$17),COUNT(AV6:AV13)=8),'Assumptions'!$B$17+SUM(AV6:AV13),"")</f>
        <v/>
      </c>
      <c r="BF13" s="137">
        <f>IF(COUNT(AL13,AW13:AY13)=4,SUM(AL13,AW13:AY13),"")</f>
        <v/>
      </c>
      <c r="BG13" s="137">
        <f>IF(COUNT(AZ13:BD13)=5,SUM(AZ13:BD13,AA13),"")</f>
        <v/>
      </c>
      <c r="BH13" s="137">
        <f>IF(COUNT(BF13,BG13,BE13)=3,BF13-BG13-BE13,"")</f>
        <v/>
      </c>
      <c r="BI13" s="137">
        <f>SUM(W13,X13)-Z13-AA13</f>
        <v/>
      </c>
      <c r="BJ13" s="137">
        <f>8-COUNT('Assumptions'!K58:K65)+COUNTBLANK('NM Play'!B33:B34)+'Costs'!E44+IF(AND('Sites'!E6=1,('Sites'!F6)&lt;=12,'Sites'!G6&gt;=1),IF(ISNUMBER('Sites'!O6),0,1)+'Capital'!I6+COUNTBLANK('Sites'!R6)+IF('Sites'!D6="NM crew",COUNTBLANK('NM Play'!B25)+1,5-COUNT('Assumptions'!K112:K116)),0)+IF(AND('Sites'!E7=1,('Sites'!F7+'Cases'!G6)&lt;=12,'Sites'!G7&gt;=1),IF(ISNUMBER('Sites'!O7),0,1)+'Capital'!I7+COUNTBLANK('Sites'!R7)+IF('Sites'!D7="NM crew",COUNTBLANK('NM Play'!B25)+1,5-COUNT('Assumptions'!K117:K121)),0)+IF(AND('Sites'!E8*'Cases'!F6=1,('Sites'!F8+'Cases'!G6)&lt;=12,'Sites'!G8&gt;=1),IF(ISNUMBER('Sites'!O8),0,1)+'Capital'!I8+COUNTBLANK('Sites'!R8)+IF('Sites'!D8="NM crew",COUNTBLANK('NM Play'!B25)+1,5-COUNT('Assumptions'!K122:K126)),0)+IF(AND('Cases'!C6&gt;0,NOT(ISNUMBER('Assumptions'!B42))),1,0)+'Responsibilities'!$B$39</f>
        <v/>
      </c>
      <c r="BK13" s="137">
        <f>'Assumptions'!$B$50+'NM Play'!$B$83+'Funding'!$F$20+SUMIFS('Production schedule'!$AN$6:$AN$113,'Production schedule'!$C$6:$C$113,8)+IF(OR('Cases'!E6&lt;0,'Cases'!E6&gt;1,'Cases'!C6&lt;0,'Cases'!D6&lt;0,ABS(SUM('Sites'!S6:S8)-1)&gt;0.0001,MIN('Capital'!F6:F8)&lt;0,MAX('Capital'!F6:F8)&gt;1,MIN(AX13,AZ13,BB13,BA13)&lt;-0.01),1,0)+'Responsibilities'!$B$40</f>
        <v/>
      </c>
      <c r="BL13" s="137">
        <f>SUMIFS('Production schedule'!$T$6:$T$113,'Production schedule'!$C$6:$C$113,8)</f>
        <v/>
      </c>
      <c r="BM13" s="137">
        <f>D13*'NM Play'!$B$38</f>
        <v/>
      </c>
      <c r="BN13" s="137">
        <f>SUMIFS('Production schedule'!$AM$6:$AM$113,'Production schedule'!$C$6:$C$113,8)</f>
        <v/>
      </c>
      <c r="BO13" s="137">
        <f>AK13-AK12-AJ13</f>
        <v/>
      </c>
      <c r="BP13" s="137">
        <f>IF(AND('Assumptions'!$B$39&gt;=0,'Assumptions'!$B$40&gt;0),-PMT('Assumptions'!$B$39/12,'Assumptions'!$B$40*12,IF('Funding'!$N$11&gt;0,'Funding'!$N$11,'Funding'!$R$11)),"")</f>
        <v/>
      </c>
      <c r="BQ13">
        <f>('Production schedule'!AJ13)*(1-'Responsibilities'!$C$6)+('Production schedule'!AJ49)*(1-'Responsibilities'!$C$7)+('Production schedule'!AJ85)*(1-'Responsibilities'!$C$8)</f>
        <v/>
      </c>
      <c r="BR13">
        <f>('Production schedule'!AI13)*(1-'Responsibilities'!$D$6)+('Production schedule'!AI49)*(1-'Responsibilities'!$D$7)+('Production schedule'!AI85)*(1-'Responsibilities'!$D$8)</f>
        <v/>
      </c>
      <c r="BS13">
        <f>('Production schedule'!E13*(IF('Sites'!D6="Annual staff",SUM('Assumptions'!K112,'Assumptions'!K114),0)+SUM('Assumptions'!K113,'Assumptions'!K115:K116)))*(1-'Responsibilities'!$E$6)+('Production schedule'!E49*(IF('Sites'!D7="Annual staff",SUM('Assumptions'!K117,'Assumptions'!K119),0)+SUM('Assumptions'!K118,'Assumptions'!K120:K121)))*(1-'Responsibilities'!$E$7)+('Production schedule'!E85*(IF('Sites'!D8="Annual staff",SUM('Assumptions'!K122,'Assumptions'!K124),0)+SUM('Assumptions'!K123,'Assumptions'!K125:K126)))*(1-'Responsibilities'!$E$8)</f>
        <v/>
      </c>
      <c r="BT13">
        <f>(IF(AND('Production schedule'!E13=1,8=MAX(('Sites'!F6),1),ISNUMBER('Sites'!O6)),'Sites'!O6*'Assumptions'!$B$44,0))*(1-'Responsibilities'!$F$6)+(IF(AND('Production schedule'!E49=1,8=MAX(('Sites'!F7+'Cases'!G6),1),ISNUMBER('Sites'!O7)),'Sites'!O7*'Assumptions'!$B$44,0))*(1-'Responsibilities'!$F$7)+(IF(AND('Production schedule'!E85=1,8=MAX(('Sites'!F8+'Cases'!G6),1),ISNUMBER('Sites'!O8)),'Sites'!O8*'Assumptions'!$B$44,0))*(1-'Responsibilities'!$F$8)</f>
        <v/>
      </c>
      <c r="BU13">
        <f>SUM('Costs'!E36)*'Costs'!F36/12*(1-'Responsibilities'!$C$12)+SUM('Costs'!E37)*'Costs'!F37/12*(1-'Responsibilities'!$C$13)+SUM('Costs'!E38)*'Costs'!F38/12*(1-'Responsibilities'!$C$14)+SUM('Costs'!E39)*'Costs'!F39/12*(1-'Responsibilities'!$C$15)+SUM('Costs'!E40)*'Costs'!F40/12*(1-'Responsibilities'!$C$16)</f>
        <v/>
      </c>
      <c r="BV13">
        <f>('Sites'!E6*'Capital'!E6*(IF(8='Capital'!G6,'Capital'!F6,0)+IF(8='Capital'!H6,1-'Capital'!F6,0)))*(1-'Responsibilities'!$G$6)+('Sites'!E7*'Capital'!E7*(IF(8='Capital'!G7+'Cases'!G6,'Capital'!F7,0)+IF(8='Capital'!H7+'Cases'!G6,1-'Capital'!F7,0)))*(1-'Responsibilities'!$G$7)+('Sites'!E8*'Cases'!F6*'Capital'!E8*(IF(8='Capital'!G8+'Cases'!G6,'Capital'!F8,0)+IF(8='Capital'!H8+'Cases'!G6,1-'Capital'!F8,0)))*(1-'Responsibilities'!$G$8)</f>
        <v/>
      </c>
      <c r="BW13">
        <f>SUM(BQ13:BV13)</f>
        <v/>
      </c>
      <c r="BX13">
        <f>N13+BW13</f>
        <v/>
      </c>
      <c r="BY13">
        <f>BX13-(('Production schedule'!AJ13)*'Responsibilities'!$C$6+('Production schedule'!AJ49)*'Responsibilities'!$C$7+('Production schedule'!AJ85)*'Responsibilities'!$C$8+('Production schedule'!AJ13)*(1-'Responsibilities'!$C$6)+('Production schedule'!AJ49)*(1-'Responsibilities'!$C$7)+('Production schedule'!AJ85)*(1-'Responsibilities'!$C$8)+('Production schedule'!AI13)*'Responsibilities'!$D$6+('Production schedule'!AI49)*'Responsibilities'!$D$7+('Production schedule'!AI85)*'Responsibilities'!$D$8+('Production schedule'!AI13)*(1-'Responsibilities'!$D$6)+('Production schedule'!AI49)*(1-'Responsibilities'!$D$7)+('Production schedule'!AI85)*(1-'Responsibilities'!$D$8)+('Production schedule'!E13*(IF('Sites'!D6="Annual staff",SUM('Assumptions'!K112,'Assumptions'!K114),0)+SUM('Assumptions'!K113,'Assumptions'!K115:K116)))*'Responsibilities'!$E$6+('Production schedule'!E49*(IF('Sites'!D7="Annual staff",SUM('Assumptions'!K117,'Assumptions'!K119),0)+SUM('Assumptions'!K118,'Assumptions'!K120:K121)))*'Responsibilities'!$E$7+('Production schedule'!E85*(IF('Sites'!D8="Annual staff",SUM('Assumptions'!K122,'Assumptions'!K124),0)+SUM('Assumptions'!K123,'Assumptions'!K125:K126)))*'Responsibilities'!$E$8+('Production schedule'!E13*(IF('Sites'!D6="Annual staff",SUM('Assumptions'!K112,'Assumptions'!K114),0)+SUM('Assumptions'!K113,'Assumptions'!K115:K116)))*(1-'Responsibilities'!$E$6)+('Production schedule'!E49*(IF('Sites'!D7="Annual staff",SUM('Assumptions'!K117,'Assumptions'!K119),0)+SUM('Assumptions'!K118,'Assumptions'!K120:K121)))*(1-'Responsibilities'!$E$7)+('Production schedule'!E85*(IF('Sites'!D8="Annual staff",SUM('Assumptions'!K122,'Assumptions'!K124),0)+SUM('Assumptions'!K123,'Assumptions'!K125:K126)))*(1-'Responsibilities'!$E$8)+(IF(AND('Production schedule'!E13=1,8=MAX(('Sites'!F6),1),ISNUMBER('Sites'!O6)),'Sites'!O6*'Assumptions'!$B$44,0))*'Responsibilities'!$F$6+(IF(AND('Production schedule'!E49=1,8=MAX(('Sites'!F7+'Cases'!G6),1),ISNUMBER('Sites'!O7)),'Sites'!O7*'Assumptions'!$B$44,0))*'Responsibilities'!$F$7+(IF(AND('Production schedule'!E85=1,8=MAX(('Sites'!F8+'Cases'!G6),1),ISNUMBER('Sites'!O8)),'Sites'!O8*'Assumptions'!$B$44,0))*'Responsibilities'!$F$8+(IF(AND('Production schedule'!E13=1,8=MAX(('Sites'!F6),1),ISNUMBER('Sites'!O6)),'Sites'!O6*'Assumptions'!$B$44,0))*(1-'Responsibilities'!$F$6)+(IF(AND('Production schedule'!E49=1,8=MAX(('Sites'!F7+'Cases'!G6),1),ISNUMBER('Sites'!O7)),'Sites'!O7*'Assumptions'!$B$44,0))*(1-'Responsibilities'!$F$7)+(IF(AND('Production schedule'!E85=1,8=MAX(('Sites'!F8+'Cases'!G6),1),ISNUMBER('Sites'!O8)),'Sites'!O8*'Assumptions'!$B$44,0))*(1-'Responsibilities'!$F$8)+('Sites'!E6*'Capital'!E6*(IF(8='Capital'!G6,'Capital'!F6,0)+IF(8='Capital'!H6,1-'Capital'!F6,0)))*'Responsibilities'!$G$6+('Sites'!E7*'Capital'!E7*(IF(8='Capital'!G7+'Cases'!G6,'Capital'!F7,0)+IF(8='Capital'!H7+'Cases'!G6,1-'Capital'!F7,0)))*'Responsibilities'!$G$7+('Sites'!E8*'Cases'!F6*'Capital'!E8*(IF(8='Capital'!G8+'Cases'!G6,'Capital'!F8,0)+IF(8='Capital'!H8+'Cases'!G6,1-'Capital'!F8,0)))*'Responsibilities'!$G$8+('Sites'!E6*'Capital'!E6*(IF(8='Capital'!G6,'Capital'!F6,0)+IF(8='Capital'!H6,1-'Capital'!F6,0)))*(1-'Responsibilities'!$G$6)+('Sites'!E7*'Capital'!E7*(IF(8='Capital'!G7+'Cases'!G6,'Capital'!F7,0)+IF(8='Capital'!H7+'Cases'!G6,1-'Capital'!F7,0)))*(1-'Responsibilities'!$G$7)+('Sites'!E8*'Cases'!F6*'Capital'!E8*(IF(8='Capital'!G8+'Cases'!G6,'Capital'!F8,0)+IF(8='Capital'!H8+'Cases'!G6,1-'Capital'!F8,0)))*(1-'Responsibilities'!$G$8)+I13+SUMPRODUCT('Costs'!$E$36:$E$40,'Costs'!$F$36:$F$40)/12+BZ13)</f>
        <v/>
      </c>
      <c r="BZ13">
        <f>SUMIFS('Responsibilities'!$B$31:$B$35,'Responsibilities'!$C$31:$C$35,8,'Responsibilities'!$D$31:$D$35,"Yes")</f>
        <v/>
      </c>
    </row>
    <row r="14" ht="28" customHeight="1">
      <c r="A14" s="4" t="inlineStr">
        <is>
          <t>Full</t>
        </is>
      </c>
      <c r="B14" s="4" t="n">
        <v>9</v>
      </c>
      <c r="C14" s="4">
        <f>ROUNDUP(B14/12,0)</f>
        <v/>
      </c>
      <c r="D14" s="137">
        <f>SUMIFS('Production schedule'!$N$6:$N$113,'Production schedule'!$C$6:$C$113,9)</f>
        <v/>
      </c>
      <c r="E14" s="137">
        <f>SUMIFS('Production schedule'!$Y$6:$Y$113,'Production schedule'!$C$6:$C$113,9)</f>
        <v/>
      </c>
      <c r="F14" s="137">
        <f>SUMIFS('Production schedule'!$Z$6:$Z$113,'Production schedule'!$C$6:$C$113,9)</f>
        <v/>
      </c>
      <c r="G14" s="137">
        <f>('Production schedule'!AJ14)*'Responsibilities'!$C$6+('Production schedule'!AJ50)*'Responsibilities'!$C$7+('Production schedule'!AJ86)*'Responsibilities'!$C$8</f>
        <v/>
      </c>
      <c r="H14" s="137">
        <f>('Production schedule'!AI14)*'Responsibilities'!$D$6+('Production schedule'!AI50)*'Responsibilities'!$D$7+('Production schedule'!AI86)*'Responsibilities'!$D$8</f>
        <v/>
      </c>
      <c r="I14" s="137">
        <f>SUM('Assumptions'!L58:L65)</f>
        <v/>
      </c>
      <c r="J14" s="137">
        <f>('Production schedule'!E14*(IF('Sites'!D6="Annual staff",SUM('Assumptions'!L112,'Assumptions'!L114),0)+SUM('Assumptions'!L113,'Assumptions'!L115:L116)))*'Responsibilities'!$E$6+('Production schedule'!E50*(IF('Sites'!D7="Annual staff",SUM('Assumptions'!L117,'Assumptions'!L119),0)+SUM('Assumptions'!L118,'Assumptions'!L120:L121)))*'Responsibilities'!$E$7+('Production schedule'!E86*(IF('Sites'!D8="Annual staff",SUM('Assumptions'!L122,'Assumptions'!L124),0)+SUM('Assumptions'!L123,'Assumptions'!L125:L126)))*'Responsibilities'!$E$8</f>
        <v/>
      </c>
      <c r="K14" s="137">
        <f>(IF(AND('Production schedule'!E14=1,9=MAX(('Sites'!F6),1),ISNUMBER('Sites'!O6)),'Sites'!O6*'Assumptions'!$B$44,0))*'Responsibilities'!$F$6+(IF(AND('Production schedule'!E50=1,9=MAX(('Sites'!F7+'Cases'!G6),1),ISNUMBER('Sites'!O7)),'Sites'!O7*'Assumptions'!$B$44,0))*'Responsibilities'!$F$7+(IF(AND('Production schedule'!E86=1,9=MAX(('Sites'!F8+'Cases'!G6),1),ISNUMBER('Sites'!O8)),'Sites'!O8*'Assumptions'!$B$44,0))*'Responsibilities'!$F$8</f>
        <v/>
      </c>
      <c r="L14" s="137">
        <f>SUM('Costs'!E36)*'Costs'!F36/12*'Responsibilities'!$C$12+SUM('Costs'!E37)*'Costs'!F37/12*'Responsibilities'!$C$13+SUM('Costs'!E38)*'Costs'!F38/12*'Responsibilities'!$C$14+SUM('Costs'!E39)*'Costs'!F39/12*'Responsibilities'!$C$15+SUM('Costs'!E40)*'Costs'!F40/12*'Responsibilities'!$C$16+BZ14</f>
        <v/>
      </c>
      <c r="M14" s="137">
        <f>('Sites'!E6*'Capital'!E6*(IF(9='Capital'!G6,'Capital'!F6,0)+IF(9='Capital'!H6,1-'Capital'!F6,0)))*'Responsibilities'!$G$6+('Sites'!E7*'Capital'!E7*(IF(9='Capital'!G7+'Cases'!G6,'Capital'!F7,0)+IF(9='Capital'!H7+'Cases'!G6,1-'Capital'!F7,0)))*'Responsibilities'!$G$7+('Sites'!E8*'Cases'!F6*'Capital'!E8*(IF(9='Capital'!G8+'Cases'!G6,'Capital'!F8,0)+IF(9='Capital'!H8+'Cases'!G6,1-'Capital'!F8,0)))*'Responsibilities'!$G$8</f>
        <v/>
      </c>
      <c r="N14" s="137">
        <f>SUM(G14:M14)</f>
        <v/>
      </c>
      <c r="O14" s="137">
        <f>SUMIFS(FundingTranches[Secured amount],FundingTranches[Instrument],"Grant",FundingTranches[Secured month],9)</f>
        <v/>
      </c>
      <c r="P14" s="137">
        <f>SUMIFS(FundingTranches[Full possible],FundingTranches[Instrument],"Grant",FundingTranches[Scenario month],9-'Cases'!$D$6)</f>
        <v/>
      </c>
      <c r="Q14" s="137">
        <f>SUMIFS(FundingTranches[Secured amount],FundingTranches[Instrument],"Loan",FundingTranches[Secured month],9)</f>
        <v/>
      </c>
      <c r="R14" s="137">
        <f>SUMIFS(FundingTranches[Full possible],FundingTranches[Instrument],"Loan",FundingTranches[Scenario month],9-'Cases'!$D$6)</f>
        <v/>
      </c>
      <c r="S14" s="137">
        <f>IF(9&lt;='Assumptions'!$B$34,0,SUMIFS('Production schedule'!$AL$6:$AL$113,'Production schedule'!$C$6:$C$113,9-'Assumptions'!$B$34))</f>
        <v/>
      </c>
      <c r="T14" s="137">
        <f>'Assumptions'!L70</f>
        <v/>
      </c>
      <c r="U14" s="137">
        <f>'Assumptions'!L78</f>
        <v/>
      </c>
      <c r="V14" s="137">
        <f>SUM(O14:U14)</f>
        <v/>
      </c>
      <c r="W14" s="137">
        <f>AA13</f>
        <v/>
      </c>
      <c r="X14" s="137">
        <f>SUM(Q14:R14)</f>
        <v/>
      </c>
      <c r="Y14" s="137">
        <f>SUM(W14,X14)*'Assumptions'!$B$39/12</f>
        <v/>
      </c>
      <c r="Z14" s="137">
        <f>IF(SUM(W14,X14)&gt;0,MIN(SUM(W14,X14),MAX(0,BP14-Y14)),0)</f>
        <v/>
      </c>
      <c r="AA14" s="137">
        <f>SUM(W14,X14)-Z14</f>
        <v/>
      </c>
      <c r="AB14" s="137">
        <f>SUM(Y14:Z14)</f>
        <v/>
      </c>
      <c r="AC14" s="137">
        <f>'Assumptions'!L72</f>
        <v/>
      </c>
      <c r="AD14" s="137">
        <f>'Assumptions'!L73</f>
        <v/>
      </c>
      <c r="AE14" s="137">
        <f>IF(X14&gt;0,SUM('Assumptions'!$B$42),0)</f>
        <v/>
      </c>
      <c r="AF14" s="137">
        <f>'Assumptions'!L71</f>
        <v/>
      </c>
      <c r="AG14" s="137">
        <f>'Assumptions'!L74</f>
        <v/>
      </c>
      <c r="AH14" s="137">
        <f>'Assumptions'!L75</f>
        <v/>
      </c>
      <c r="AI14" s="137">
        <f>'Assumptions'!L77</f>
        <v/>
      </c>
      <c r="AJ14" s="137">
        <f>V14-N14-SUM(AB14:AI14)</f>
        <v/>
      </c>
      <c r="AK14" s="137">
        <f>SUM(AJ6:AJ14)</f>
        <v/>
      </c>
      <c r="AL14" s="137">
        <f>IF(ISNUMBER('Assumptions'!$B$10),'Assumptions'!$B$10+AK14,"")</f>
        <v/>
      </c>
      <c r="AM14" s="137">
        <f>SUM(O14,Q14,T14)-N14-SUM(AC14:AI14)+IF('Funding'!$N$11=0,AE14,0)-IF('Funding'!$N$11&gt;0,AB14,0)</f>
        <v/>
      </c>
      <c r="AN14" s="137">
        <f>SUM(AM6:AM14)</f>
        <v/>
      </c>
      <c r="AO14" s="137">
        <f>IF(ISNUMBER('Assumptions'!$B$10),'Assumptions'!$B$10+AN14,"")</f>
        <v/>
      </c>
      <c r="AP14" s="137">
        <f>('Production schedule'!AK14)*'Responsibilities'!$C$6+('Production schedule'!AK50)*'Responsibilities'!$C$7+('Production schedule'!AK86)*'Responsibilities'!$C$8</f>
        <v/>
      </c>
      <c r="AQ14" s="137">
        <f>SUMIFS('Production schedule'!$AL$6:$AL$113,'Production schedule'!$C$6:$C$113,9)</f>
        <v/>
      </c>
      <c r="AR14" s="137">
        <f>IF(ISNUMBER('Assumptions'!L76),'Assumptions'!L76,SUM(O14:P14))</f>
        <v/>
      </c>
      <c r="AS14" s="137">
        <f>IF(ISNUMBER('Assumptions'!$B$13),MIN('Assumptions'!$B$13/'Assumptions'!$B$18/12,MAX(0,'Assumptions'!$B$13-(9-1)*'Assumptions'!$B$13/'Assumptions'!$B$18/12)),0)+IF(AND('Sites'!E6=1,9&gt;=('Sites'!F6),9&lt;('Sites'!F6)+'Assumptions'!$B$18*12),'Capital'!E6/'Assumptions'!$B$18/12,0)+IF(AND('Sites'!E7=1,9&gt;=('Sites'!F7+'Cases'!G6),9&lt;('Sites'!F7+'Cases'!G6)+'Assumptions'!$B$18*12),'Capital'!E7/'Assumptions'!$B$18/12,0)+IF(AND('Sites'!E8*'Cases'!F6=1,9&gt;=('Sites'!F8+'Cases'!G6),9&lt;('Sites'!F8+'Cases'!G6)+'Assumptions'!$B$18*12),'Capital'!E8/'Assumptions'!$B$18/12,0)</f>
        <v/>
      </c>
      <c r="AT14" s="137">
        <f>SUM(AQ14,AR14,U14)-AP14-SUM(H14:L14)-AS14-SUM(Y14,AD14,AE14,AH14)</f>
        <v/>
      </c>
      <c r="AU14" s="137">
        <f>IF(ISNUMBER('Assumptions'!$B$19),MAX(0,SUM(AT6:AT14))*'Assumptions'!$B$19-SUM(AU6:AU13),"")</f>
        <v/>
      </c>
      <c r="AV14" s="137">
        <f>IF(ISNUMBER(AU14),AT14-AU14,"")</f>
        <v/>
      </c>
      <c r="AW14" s="137">
        <f>IF(ISNUMBER('Assumptions'!$B$11),'Assumptions'!$B$11+SUM(AQ6:AQ14)-SUM(S6:S14)-SUM(T6:T14),"")</f>
        <v/>
      </c>
      <c r="AX14" s="137">
        <f>IF(ISNUMBER('Assumptions'!$B$12),'Assumptions'!$B$12+SUM(G6:G14)-SUM(AP6:AP14),"")</f>
        <v/>
      </c>
      <c r="AY14" s="137">
        <f>IF(ISNUMBER('Assumptions'!$B$13),'Assumptions'!$B$13+SUM(M6:M14)-SUM(AS6:AS14),"")</f>
        <v/>
      </c>
      <c r="AZ14" s="137">
        <f>IF(ISNUMBER('Assumptions'!$B$14),'Assumptions'!$B$14+-SUM(AF6:AF14),"")</f>
        <v/>
      </c>
      <c r="BA14" s="137">
        <f>IF(ISNUMBER('Assumptions'!$B$15),'Assumptions'!$B$15+SUM(O6:O14)+SUM(P6:P14)-SUM(AR6:AR14),"")</f>
        <v/>
      </c>
      <c r="BB14" s="137">
        <f>IF(ISNUMBER('Assumptions'!$B$16),'Assumptions'!$B$16+-SUM(AC6:AC14),"")</f>
        <v/>
      </c>
      <c r="BC14" s="137">
        <f>IF(AND(ISNUMBER('Assumptions'!$B$21),ISNUMBER('Assumptions'!$B$19)),'Assumptions'!$B$21+SUM(AU6:AU14)-SUM(AG6:AG14),"")</f>
        <v/>
      </c>
      <c r="BD14" s="137">
        <f>IF(ISNUMBER('Assumptions'!$B$20),'Assumptions'!$B$20+-SUM(AI6:AI14),"")</f>
        <v/>
      </c>
      <c r="BE14" s="137">
        <f>IF(AND(ISNUMBER('Assumptions'!$B$17),COUNT(AV6:AV14)=9),'Assumptions'!$B$17+SUM(AV6:AV14),"")</f>
        <v/>
      </c>
      <c r="BF14" s="137">
        <f>IF(COUNT(AL14,AW14:AY14)=4,SUM(AL14,AW14:AY14),"")</f>
        <v/>
      </c>
      <c r="BG14" s="137">
        <f>IF(COUNT(AZ14:BD14)=5,SUM(AZ14:BD14,AA14),"")</f>
        <v/>
      </c>
      <c r="BH14" s="137">
        <f>IF(COUNT(BF14,BG14,BE14)=3,BF14-BG14-BE14,"")</f>
        <v/>
      </c>
      <c r="BI14" s="137">
        <f>SUM(W14,X14)-Z14-AA14</f>
        <v/>
      </c>
      <c r="BJ14" s="137">
        <f>8-COUNT('Assumptions'!L58:L65)+COUNTBLANK('NM Play'!B33:B34)+'Costs'!E44+IF(AND('Sites'!E6=1,('Sites'!F6)&lt;=12,'Sites'!G6&gt;=1),IF(ISNUMBER('Sites'!O6),0,1)+'Capital'!I6+COUNTBLANK('Sites'!R6)+IF('Sites'!D6="NM crew",COUNTBLANK('NM Play'!B25)+1,5-COUNT('Assumptions'!L112:L116)),0)+IF(AND('Sites'!E7=1,('Sites'!F7+'Cases'!G6)&lt;=12,'Sites'!G7&gt;=1),IF(ISNUMBER('Sites'!O7),0,1)+'Capital'!I7+COUNTBLANK('Sites'!R7)+IF('Sites'!D7="NM crew",COUNTBLANK('NM Play'!B25)+1,5-COUNT('Assumptions'!L117:L121)),0)+IF(AND('Sites'!E8*'Cases'!F6=1,('Sites'!F8+'Cases'!G6)&lt;=12,'Sites'!G8&gt;=1),IF(ISNUMBER('Sites'!O8),0,1)+'Capital'!I8+COUNTBLANK('Sites'!R8)+IF('Sites'!D8="NM crew",COUNTBLANK('NM Play'!B25)+1,5-COUNT('Assumptions'!L122:L126)),0)+IF(AND('Cases'!C6&gt;0,NOT(ISNUMBER('Assumptions'!B42))),1,0)+'Responsibilities'!$B$39</f>
        <v/>
      </c>
      <c r="BK14" s="137">
        <f>'Assumptions'!$B$50+'NM Play'!$B$83+'Funding'!$F$20+SUMIFS('Production schedule'!$AN$6:$AN$113,'Production schedule'!$C$6:$C$113,9)+IF(OR('Cases'!E6&lt;0,'Cases'!E6&gt;1,'Cases'!C6&lt;0,'Cases'!D6&lt;0,ABS(SUM('Sites'!S6:S8)-1)&gt;0.0001,MIN('Capital'!F6:F8)&lt;0,MAX('Capital'!F6:F8)&gt;1,MIN(AX14,AZ14,BB14,BA14)&lt;-0.01),1,0)+'Responsibilities'!$B$40</f>
        <v/>
      </c>
      <c r="BL14" s="137">
        <f>SUMIFS('Production schedule'!$T$6:$T$113,'Production schedule'!$C$6:$C$113,9)</f>
        <v/>
      </c>
      <c r="BM14" s="137">
        <f>D14*'NM Play'!$B$38</f>
        <v/>
      </c>
      <c r="BN14" s="137">
        <f>SUMIFS('Production schedule'!$AM$6:$AM$113,'Production schedule'!$C$6:$C$113,9)</f>
        <v/>
      </c>
      <c r="BO14" s="137">
        <f>AK14-AK13-AJ14</f>
        <v/>
      </c>
      <c r="BP14" s="137">
        <f>IF(AND('Assumptions'!$B$39&gt;=0,'Assumptions'!$B$40&gt;0),-PMT('Assumptions'!$B$39/12,'Assumptions'!$B$40*12,IF('Funding'!$N$11&gt;0,'Funding'!$N$11,'Funding'!$R$11)),"")</f>
        <v/>
      </c>
      <c r="BQ14">
        <f>('Production schedule'!AJ14)*(1-'Responsibilities'!$C$6)+('Production schedule'!AJ50)*(1-'Responsibilities'!$C$7)+('Production schedule'!AJ86)*(1-'Responsibilities'!$C$8)</f>
        <v/>
      </c>
      <c r="BR14">
        <f>('Production schedule'!AI14)*(1-'Responsibilities'!$D$6)+('Production schedule'!AI50)*(1-'Responsibilities'!$D$7)+('Production schedule'!AI86)*(1-'Responsibilities'!$D$8)</f>
        <v/>
      </c>
      <c r="BS14">
        <f>('Production schedule'!E14*(IF('Sites'!D6="Annual staff",SUM('Assumptions'!L112,'Assumptions'!L114),0)+SUM('Assumptions'!L113,'Assumptions'!L115:L116)))*(1-'Responsibilities'!$E$6)+('Production schedule'!E50*(IF('Sites'!D7="Annual staff",SUM('Assumptions'!L117,'Assumptions'!L119),0)+SUM('Assumptions'!L118,'Assumptions'!L120:L121)))*(1-'Responsibilities'!$E$7)+('Production schedule'!E86*(IF('Sites'!D8="Annual staff",SUM('Assumptions'!L122,'Assumptions'!L124),0)+SUM('Assumptions'!L123,'Assumptions'!L125:L126)))*(1-'Responsibilities'!$E$8)</f>
        <v/>
      </c>
      <c r="BT14">
        <f>(IF(AND('Production schedule'!E14=1,9=MAX(('Sites'!F6),1),ISNUMBER('Sites'!O6)),'Sites'!O6*'Assumptions'!$B$44,0))*(1-'Responsibilities'!$F$6)+(IF(AND('Production schedule'!E50=1,9=MAX(('Sites'!F7+'Cases'!G6),1),ISNUMBER('Sites'!O7)),'Sites'!O7*'Assumptions'!$B$44,0))*(1-'Responsibilities'!$F$7)+(IF(AND('Production schedule'!E86=1,9=MAX(('Sites'!F8+'Cases'!G6),1),ISNUMBER('Sites'!O8)),'Sites'!O8*'Assumptions'!$B$44,0))*(1-'Responsibilities'!$F$8)</f>
        <v/>
      </c>
      <c r="BU14">
        <f>SUM('Costs'!E36)*'Costs'!F36/12*(1-'Responsibilities'!$C$12)+SUM('Costs'!E37)*'Costs'!F37/12*(1-'Responsibilities'!$C$13)+SUM('Costs'!E38)*'Costs'!F38/12*(1-'Responsibilities'!$C$14)+SUM('Costs'!E39)*'Costs'!F39/12*(1-'Responsibilities'!$C$15)+SUM('Costs'!E40)*'Costs'!F40/12*(1-'Responsibilities'!$C$16)</f>
        <v/>
      </c>
      <c r="BV14">
        <f>('Sites'!E6*'Capital'!E6*(IF(9='Capital'!G6,'Capital'!F6,0)+IF(9='Capital'!H6,1-'Capital'!F6,0)))*(1-'Responsibilities'!$G$6)+('Sites'!E7*'Capital'!E7*(IF(9='Capital'!G7+'Cases'!G6,'Capital'!F7,0)+IF(9='Capital'!H7+'Cases'!G6,1-'Capital'!F7,0)))*(1-'Responsibilities'!$G$7)+('Sites'!E8*'Cases'!F6*'Capital'!E8*(IF(9='Capital'!G8+'Cases'!G6,'Capital'!F8,0)+IF(9='Capital'!H8+'Cases'!G6,1-'Capital'!F8,0)))*(1-'Responsibilities'!$G$8)</f>
        <v/>
      </c>
      <c r="BW14">
        <f>SUM(BQ14:BV14)</f>
        <v/>
      </c>
      <c r="BX14">
        <f>N14+BW14</f>
        <v/>
      </c>
      <c r="BY14">
        <f>BX14-(('Production schedule'!AJ14)*'Responsibilities'!$C$6+('Production schedule'!AJ50)*'Responsibilities'!$C$7+('Production schedule'!AJ86)*'Responsibilities'!$C$8+('Production schedule'!AJ14)*(1-'Responsibilities'!$C$6)+('Production schedule'!AJ50)*(1-'Responsibilities'!$C$7)+('Production schedule'!AJ86)*(1-'Responsibilities'!$C$8)+('Production schedule'!AI14)*'Responsibilities'!$D$6+('Production schedule'!AI50)*'Responsibilities'!$D$7+('Production schedule'!AI86)*'Responsibilities'!$D$8+('Production schedule'!AI14)*(1-'Responsibilities'!$D$6)+('Production schedule'!AI50)*(1-'Responsibilities'!$D$7)+('Production schedule'!AI86)*(1-'Responsibilities'!$D$8)+('Production schedule'!E14*(IF('Sites'!D6="Annual staff",SUM('Assumptions'!L112,'Assumptions'!L114),0)+SUM('Assumptions'!L113,'Assumptions'!L115:L116)))*'Responsibilities'!$E$6+('Production schedule'!E50*(IF('Sites'!D7="Annual staff",SUM('Assumptions'!L117,'Assumptions'!L119),0)+SUM('Assumptions'!L118,'Assumptions'!L120:L121)))*'Responsibilities'!$E$7+('Production schedule'!E86*(IF('Sites'!D8="Annual staff",SUM('Assumptions'!L122,'Assumptions'!L124),0)+SUM('Assumptions'!L123,'Assumptions'!L125:L126)))*'Responsibilities'!$E$8+('Production schedule'!E14*(IF('Sites'!D6="Annual staff",SUM('Assumptions'!L112,'Assumptions'!L114),0)+SUM('Assumptions'!L113,'Assumptions'!L115:L116)))*(1-'Responsibilities'!$E$6)+('Production schedule'!E50*(IF('Sites'!D7="Annual staff",SUM('Assumptions'!L117,'Assumptions'!L119),0)+SUM('Assumptions'!L118,'Assumptions'!L120:L121)))*(1-'Responsibilities'!$E$7)+('Production schedule'!E86*(IF('Sites'!D8="Annual staff",SUM('Assumptions'!L122,'Assumptions'!L124),0)+SUM('Assumptions'!L123,'Assumptions'!L125:L126)))*(1-'Responsibilities'!$E$8)+(IF(AND('Production schedule'!E14=1,9=MAX(('Sites'!F6),1),ISNUMBER('Sites'!O6)),'Sites'!O6*'Assumptions'!$B$44,0))*'Responsibilities'!$F$6+(IF(AND('Production schedule'!E50=1,9=MAX(('Sites'!F7+'Cases'!G6),1),ISNUMBER('Sites'!O7)),'Sites'!O7*'Assumptions'!$B$44,0))*'Responsibilities'!$F$7+(IF(AND('Production schedule'!E86=1,9=MAX(('Sites'!F8+'Cases'!G6),1),ISNUMBER('Sites'!O8)),'Sites'!O8*'Assumptions'!$B$44,0))*'Responsibilities'!$F$8+(IF(AND('Production schedule'!E14=1,9=MAX(('Sites'!F6),1),ISNUMBER('Sites'!O6)),'Sites'!O6*'Assumptions'!$B$44,0))*(1-'Responsibilities'!$F$6)+(IF(AND('Production schedule'!E50=1,9=MAX(('Sites'!F7+'Cases'!G6),1),ISNUMBER('Sites'!O7)),'Sites'!O7*'Assumptions'!$B$44,0))*(1-'Responsibilities'!$F$7)+(IF(AND('Production schedule'!E86=1,9=MAX(('Sites'!F8+'Cases'!G6),1),ISNUMBER('Sites'!O8)),'Sites'!O8*'Assumptions'!$B$44,0))*(1-'Responsibilities'!$F$8)+('Sites'!E6*'Capital'!E6*(IF(9='Capital'!G6,'Capital'!F6,0)+IF(9='Capital'!H6,1-'Capital'!F6,0)))*'Responsibilities'!$G$6+('Sites'!E7*'Capital'!E7*(IF(9='Capital'!G7+'Cases'!G6,'Capital'!F7,0)+IF(9='Capital'!H7+'Cases'!G6,1-'Capital'!F7,0)))*'Responsibilities'!$G$7+('Sites'!E8*'Cases'!F6*'Capital'!E8*(IF(9='Capital'!G8+'Cases'!G6,'Capital'!F8,0)+IF(9='Capital'!H8+'Cases'!G6,1-'Capital'!F8,0)))*'Responsibilities'!$G$8+('Sites'!E6*'Capital'!E6*(IF(9='Capital'!G6,'Capital'!F6,0)+IF(9='Capital'!H6,1-'Capital'!F6,0)))*(1-'Responsibilities'!$G$6)+('Sites'!E7*'Capital'!E7*(IF(9='Capital'!G7+'Cases'!G6,'Capital'!F7,0)+IF(9='Capital'!H7+'Cases'!G6,1-'Capital'!F7,0)))*(1-'Responsibilities'!$G$7)+('Sites'!E8*'Cases'!F6*'Capital'!E8*(IF(9='Capital'!G8+'Cases'!G6,'Capital'!F8,0)+IF(9='Capital'!H8+'Cases'!G6,1-'Capital'!F8,0)))*(1-'Responsibilities'!$G$8)+I14+SUMPRODUCT('Costs'!$E$36:$E$40,'Costs'!$F$36:$F$40)/12+BZ14)</f>
        <v/>
      </c>
      <c r="BZ14">
        <f>SUMIFS('Responsibilities'!$B$31:$B$35,'Responsibilities'!$C$31:$C$35,9,'Responsibilities'!$D$31:$D$35,"Yes")</f>
        <v/>
      </c>
    </row>
    <row r="15" ht="28" customHeight="1">
      <c r="A15" s="4" t="inlineStr">
        <is>
          <t>Full</t>
        </is>
      </c>
      <c r="B15" s="4" t="n">
        <v>10</v>
      </c>
      <c r="C15" s="4">
        <f>ROUNDUP(B15/12,0)</f>
        <v/>
      </c>
      <c r="D15" s="137">
        <f>SUMIFS('Production schedule'!$N$6:$N$113,'Production schedule'!$C$6:$C$113,10)</f>
        <v/>
      </c>
      <c r="E15" s="137">
        <f>SUMIFS('Production schedule'!$Y$6:$Y$113,'Production schedule'!$C$6:$C$113,10)</f>
        <v/>
      </c>
      <c r="F15" s="137">
        <f>SUMIFS('Production schedule'!$Z$6:$Z$113,'Production schedule'!$C$6:$C$113,10)</f>
        <v/>
      </c>
      <c r="G15" s="137">
        <f>('Production schedule'!AJ15)*'Responsibilities'!$C$6+('Production schedule'!AJ51)*'Responsibilities'!$C$7+('Production schedule'!AJ87)*'Responsibilities'!$C$8</f>
        <v/>
      </c>
      <c r="H15" s="137">
        <f>('Production schedule'!AI15)*'Responsibilities'!$D$6+('Production schedule'!AI51)*'Responsibilities'!$D$7+('Production schedule'!AI87)*'Responsibilities'!$D$8</f>
        <v/>
      </c>
      <c r="I15" s="137">
        <f>SUM('Assumptions'!M58:M65)</f>
        <v/>
      </c>
      <c r="J15" s="137">
        <f>('Production schedule'!E15*(IF('Sites'!D6="Annual staff",SUM('Assumptions'!M112,'Assumptions'!M114),0)+SUM('Assumptions'!M113,'Assumptions'!M115:M116)))*'Responsibilities'!$E$6+('Production schedule'!E51*(IF('Sites'!D7="Annual staff",SUM('Assumptions'!M117,'Assumptions'!M119),0)+SUM('Assumptions'!M118,'Assumptions'!M120:M121)))*'Responsibilities'!$E$7+('Production schedule'!E87*(IF('Sites'!D8="Annual staff",SUM('Assumptions'!M122,'Assumptions'!M124),0)+SUM('Assumptions'!M123,'Assumptions'!M125:M126)))*'Responsibilities'!$E$8</f>
        <v/>
      </c>
      <c r="K15" s="137">
        <f>(IF(AND('Production schedule'!E15=1,10=MAX(('Sites'!F6),1),ISNUMBER('Sites'!O6)),'Sites'!O6*'Assumptions'!$B$44,0))*'Responsibilities'!$F$6+(IF(AND('Production schedule'!E51=1,10=MAX(('Sites'!F7+'Cases'!G6),1),ISNUMBER('Sites'!O7)),'Sites'!O7*'Assumptions'!$B$44,0))*'Responsibilities'!$F$7+(IF(AND('Production schedule'!E87=1,10=MAX(('Sites'!F8+'Cases'!G6),1),ISNUMBER('Sites'!O8)),'Sites'!O8*'Assumptions'!$B$44,0))*'Responsibilities'!$F$8</f>
        <v/>
      </c>
      <c r="L15" s="137">
        <f>SUM('Costs'!E36)*'Costs'!F36/12*'Responsibilities'!$C$12+SUM('Costs'!E37)*'Costs'!F37/12*'Responsibilities'!$C$13+SUM('Costs'!E38)*'Costs'!F38/12*'Responsibilities'!$C$14+SUM('Costs'!E39)*'Costs'!F39/12*'Responsibilities'!$C$15+SUM('Costs'!E40)*'Costs'!F40/12*'Responsibilities'!$C$16+BZ15</f>
        <v/>
      </c>
      <c r="M15" s="137">
        <f>('Sites'!E6*'Capital'!E6*(IF(10='Capital'!G6,'Capital'!F6,0)+IF(10='Capital'!H6,1-'Capital'!F6,0)))*'Responsibilities'!$G$6+('Sites'!E7*'Capital'!E7*(IF(10='Capital'!G7+'Cases'!G6,'Capital'!F7,0)+IF(10='Capital'!H7+'Cases'!G6,1-'Capital'!F7,0)))*'Responsibilities'!$G$7+('Sites'!E8*'Cases'!F6*'Capital'!E8*(IF(10='Capital'!G8+'Cases'!G6,'Capital'!F8,0)+IF(10='Capital'!H8+'Cases'!G6,1-'Capital'!F8,0)))*'Responsibilities'!$G$8</f>
        <v/>
      </c>
      <c r="N15" s="137">
        <f>SUM(G15:M15)</f>
        <v/>
      </c>
      <c r="O15" s="137">
        <f>SUMIFS(FundingTranches[Secured amount],FundingTranches[Instrument],"Grant",FundingTranches[Secured month],10)</f>
        <v/>
      </c>
      <c r="P15" s="137">
        <f>SUMIFS(FundingTranches[Full possible],FundingTranches[Instrument],"Grant",FundingTranches[Scenario month],10-'Cases'!$D$6)</f>
        <v/>
      </c>
      <c r="Q15" s="137">
        <f>SUMIFS(FundingTranches[Secured amount],FundingTranches[Instrument],"Loan",FundingTranches[Secured month],10)</f>
        <v/>
      </c>
      <c r="R15" s="137">
        <f>SUMIFS(FundingTranches[Full possible],FundingTranches[Instrument],"Loan",FundingTranches[Scenario month],10-'Cases'!$D$6)</f>
        <v/>
      </c>
      <c r="S15" s="137">
        <f>IF(10&lt;='Assumptions'!$B$34,0,SUMIFS('Production schedule'!$AL$6:$AL$113,'Production schedule'!$C$6:$C$113,10-'Assumptions'!$B$34))</f>
        <v/>
      </c>
      <c r="T15" s="137">
        <f>'Assumptions'!M70</f>
        <v/>
      </c>
      <c r="U15" s="137">
        <f>'Assumptions'!M78</f>
        <v/>
      </c>
      <c r="V15" s="137">
        <f>SUM(O15:U15)</f>
        <v/>
      </c>
      <c r="W15" s="137">
        <f>AA14</f>
        <v/>
      </c>
      <c r="X15" s="137">
        <f>SUM(Q15:R15)</f>
        <v/>
      </c>
      <c r="Y15" s="137">
        <f>SUM(W15,X15)*'Assumptions'!$B$39/12</f>
        <v/>
      </c>
      <c r="Z15" s="137">
        <f>IF(SUM(W15,X15)&gt;0,MIN(SUM(W15,X15),MAX(0,BP15-Y15)),0)</f>
        <v/>
      </c>
      <c r="AA15" s="137">
        <f>SUM(W15,X15)-Z15</f>
        <v/>
      </c>
      <c r="AB15" s="137">
        <f>SUM(Y15:Z15)</f>
        <v/>
      </c>
      <c r="AC15" s="137">
        <f>'Assumptions'!M72</f>
        <v/>
      </c>
      <c r="AD15" s="137">
        <f>'Assumptions'!M73</f>
        <v/>
      </c>
      <c r="AE15" s="137">
        <f>IF(X15&gt;0,SUM('Assumptions'!$B$42),0)</f>
        <v/>
      </c>
      <c r="AF15" s="137">
        <f>'Assumptions'!M71</f>
        <v/>
      </c>
      <c r="AG15" s="137">
        <f>'Assumptions'!M74</f>
        <v/>
      </c>
      <c r="AH15" s="137">
        <f>'Assumptions'!M75</f>
        <v/>
      </c>
      <c r="AI15" s="137">
        <f>'Assumptions'!M77</f>
        <v/>
      </c>
      <c r="AJ15" s="137">
        <f>V15-N15-SUM(AB15:AI15)</f>
        <v/>
      </c>
      <c r="AK15" s="137">
        <f>SUM(AJ6:AJ15)</f>
        <v/>
      </c>
      <c r="AL15" s="137">
        <f>IF(ISNUMBER('Assumptions'!$B$10),'Assumptions'!$B$10+AK15,"")</f>
        <v/>
      </c>
      <c r="AM15" s="137">
        <f>SUM(O15,Q15,T15)-N15-SUM(AC15:AI15)+IF('Funding'!$N$11=0,AE15,0)-IF('Funding'!$N$11&gt;0,AB15,0)</f>
        <v/>
      </c>
      <c r="AN15" s="137">
        <f>SUM(AM6:AM15)</f>
        <v/>
      </c>
      <c r="AO15" s="137">
        <f>IF(ISNUMBER('Assumptions'!$B$10),'Assumptions'!$B$10+AN15,"")</f>
        <v/>
      </c>
      <c r="AP15" s="137">
        <f>('Production schedule'!AK15)*'Responsibilities'!$C$6+('Production schedule'!AK51)*'Responsibilities'!$C$7+('Production schedule'!AK87)*'Responsibilities'!$C$8</f>
        <v/>
      </c>
      <c r="AQ15" s="137">
        <f>SUMIFS('Production schedule'!$AL$6:$AL$113,'Production schedule'!$C$6:$C$113,10)</f>
        <v/>
      </c>
      <c r="AR15" s="137">
        <f>IF(ISNUMBER('Assumptions'!M76),'Assumptions'!M76,SUM(O15:P15))</f>
        <v/>
      </c>
      <c r="AS15" s="137">
        <f>IF(ISNUMBER('Assumptions'!$B$13),MIN('Assumptions'!$B$13/'Assumptions'!$B$18/12,MAX(0,'Assumptions'!$B$13-(10-1)*'Assumptions'!$B$13/'Assumptions'!$B$18/12)),0)+IF(AND('Sites'!E6=1,10&gt;=('Sites'!F6),10&lt;('Sites'!F6)+'Assumptions'!$B$18*12),'Capital'!E6/'Assumptions'!$B$18/12,0)+IF(AND('Sites'!E7=1,10&gt;=('Sites'!F7+'Cases'!G6),10&lt;('Sites'!F7+'Cases'!G6)+'Assumptions'!$B$18*12),'Capital'!E7/'Assumptions'!$B$18/12,0)+IF(AND('Sites'!E8*'Cases'!F6=1,10&gt;=('Sites'!F8+'Cases'!G6),10&lt;('Sites'!F8+'Cases'!G6)+'Assumptions'!$B$18*12),'Capital'!E8/'Assumptions'!$B$18/12,0)</f>
        <v/>
      </c>
      <c r="AT15" s="137">
        <f>SUM(AQ15,AR15,U15)-AP15-SUM(H15:L15)-AS15-SUM(Y15,AD15,AE15,AH15)</f>
        <v/>
      </c>
      <c r="AU15" s="137">
        <f>IF(ISNUMBER('Assumptions'!$B$19),MAX(0,SUM(AT6:AT15))*'Assumptions'!$B$19-SUM(AU6:AU14),"")</f>
        <v/>
      </c>
      <c r="AV15" s="137">
        <f>IF(ISNUMBER(AU15),AT15-AU15,"")</f>
        <v/>
      </c>
      <c r="AW15" s="137">
        <f>IF(ISNUMBER('Assumptions'!$B$11),'Assumptions'!$B$11+SUM(AQ6:AQ15)-SUM(S6:S15)-SUM(T6:T15),"")</f>
        <v/>
      </c>
      <c r="AX15" s="137">
        <f>IF(ISNUMBER('Assumptions'!$B$12),'Assumptions'!$B$12+SUM(G6:G15)-SUM(AP6:AP15),"")</f>
        <v/>
      </c>
      <c r="AY15" s="137">
        <f>IF(ISNUMBER('Assumptions'!$B$13),'Assumptions'!$B$13+SUM(M6:M15)-SUM(AS6:AS15),"")</f>
        <v/>
      </c>
      <c r="AZ15" s="137">
        <f>IF(ISNUMBER('Assumptions'!$B$14),'Assumptions'!$B$14+-SUM(AF6:AF15),"")</f>
        <v/>
      </c>
      <c r="BA15" s="137">
        <f>IF(ISNUMBER('Assumptions'!$B$15),'Assumptions'!$B$15+SUM(O6:O15)+SUM(P6:P15)-SUM(AR6:AR15),"")</f>
        <v/>
      </c>
      <c r="BB15" s="137">
        <f>IF(ISNUMBER('Assumptions'!$B$16),'Assumptions'!$B$16+-SUM(AC6:AC15),"")</f>
        <v/>
      </c>
      <c r="BC15" s="137">
        <f>IF(AND(ISNUMBER('Assumptions'!$B$21),ISNUMBER('Assumptions'!$B$19)),'Assumptions'!$B$21+SUM(AU6:AU15)-SUM(AG6:AG15),"")</f>
        <v/>
      </c>
      <c r="BD15" s="137">
        <f>IF(ISNUMBER('Assumptions'!$B$20),'Assumptions'!$B$20+-SUM(AI6:AI15),"")</f>
        <v/>
      </c>
      <c r="BE15" s="137">
        <f>IF(AND(ISNUMBER('Assumptions'!$B$17),COUNT(AV6:AV15)=10),'Assumptions'!$B$17+SUM(AV6:AV15),"")</f>
        <v/>
      </c>
      <c r="BF15" s="137">
        <f>IF(COUNT(AL15,AW15:AY15)=4,SUM(AL15,AW15:AY15),"")</f>
        <v/>
      </c>
      <c r="BG15" s="137">
        <f>IF(COUNT(AZ15:BD15)=5,SUM(AZ15:BD15,AA15),"")</f>
        <v/>
      </c>
      <c r="BH15" s="137">
        <f>IF(COUNT(BF15,BG15,BE15)=3,BF15-BG15-BE15,"")</f>
        <v/>
      </c>
      <c r="BI15" s="137">
        <f>SUM(W15,X15)-Z15-AA15</f>
        <v/>
      </c>
      <c r="BJ15" s="137">
        <f>8-COUNT('Assumptions'!M58:M65)+COUNTBLANK('NM Play'!B33:B34)+'Costs'!E44+IF(AND('Sites'!E6=1,('Sites'!F6)&lt;=12,'Sites'!G6&gt;=1),IF(ISNUMBER('Sites'!O6),0,1)+'Capital'!I6+COUNTBLANK('Sites'!R6)+IF('Sites'!D6="NM crew",COUNTBLANK('NM Play'!B25)+1,5-COUNT('Assumptions'!M112:M116)),0)+IF(AND('Sites'!E7=1,('Sites'!F7+'Cases'!G6)&lt;=12,'Sites'!G7&gt;=1),IF(ISNUMBER('Sites'!O7),0,1)+'Capital'!I7+COUNTBLANK('Sites'!R7)+IF('Sites'!D7="NM crew",COUNTBLANK('NM Play'!B25)+1,5-COUNT('Assumptions'!M117:M121)),0)+IF(AND('Sites'!E8*'Cases'!F6=1,('Sites'!F8+'Cases'!G6)&lt;=12,'Sites'!G8&gt;=1),IF(ISNUMBER('Sites'!O8),0,1)+'Capital'!I8+COUNTBLANK('Sites'!R8)+IF('Sites'!D8="NM crew",COUNTBLANK('NM Play'!B25)+1,5-COUNT('Assumptions'!M122:M126)),0)+IF(AND('Cases'!C6&gt;0,NOT(ISNUMBER('Assumptions'!B42))),1,0)+'Responsibilities'!$B$39</f>
        <v/>
      </c>
      <c r="BK15" s="137">
        <f>'Assumptions'!$B$50+'NM Play'!$B$83+'Funding'!$F$20+SUMIFS('Production schedule'!$AN$6:$AN$113,'Production schedule'!$C$6:$C$113,10)+IF(OR('Cases'!E6&lt;0,'Cases'!E6&gt;1,'Cases'!C6&lt;0,'Cases'!D6&lt;0,ABS(SUM('Sites'!S6:S8)-1)&gt;0.0001,MIN('Capital'!F6:F8)&lt;0,MAX('Capital'!F6:F8)&gt;1,MIN(AX15,AZ15,BB15,BA15)&lt;-0.01),1,0)+'Responsibilities'!$B$40</f>
        <v/>
      </c>
      <c r="BL15" s="137">
        <f>SUMIFS('Production schedule'!$T$6:$T$113,'Production schedule'!$C$6:$C$113,10)</f>
        <v/>
      </c>
      <c r="BM15" s="137">
        <f>D15*'NM Play'!$B$38</f>
        <v/>
      </c>
      <c r="BN15" s="137">
        <f>SUMIFS('Production schedule'!$AM$6:$AM$113,'Production schedule'!$C$6:$C$113,10)</f>
        <v/>
      </c>
      <c r="BO15" s="137">
        <f>AK15-AK14-AJ15</f>
        <v/>
      </c>
      <c r="BP15" s="137">
        <f>IF(AND('Assumptions'!$B$39&gt;=0,'Assumptions'!$B$40&gt;0),-PMT('Assumptions'!$B$39/12,'Assumptions'!$B$40*12,IF('Funding'!$N$11&gt;0,'Funding'!$N$11,'Funding'!$R$11)),"")</f>
        <v/>
      </c>
      <c r="BQ15">
        <f>('Production schedule'!AJ15)*(1-'Responsibilities'!$C$6)+('Production schedule'!AJ51)*(1-'Responsibilities'!$C$7)+('Production schedule'!AJ87)*(1-'Responsibilities'!$C$8)</f>
        <v/>
      </c>
      <c r="BR15">
        <f>('Production schedule'!AI15)*(1-'Responsibilities'!$D$6)+('Production schedule'!AI51)*(1-'Responsibilities'!$D$7)+('Production schedule'!AI87)*(1-'Responsibilities'!$D$8)</f>
        <v/>
      </c>
      <c r="BS15">
        <f>('Production schedule'!E15*(IF('Sites'!D6="Annual staff",SUM('Assumptions'!M112,'Assumptions'!M114),0)+SUM('Assumptions'!M113,'Assumptions'!M115:M116)))*(1-'Responsibilities'!$E$6)+('Production schedule'!E51*(IF('Sites'!D7="Annual staff",SUM('Assumptions'!M117,'Assumptions'!M119),0)+SUM('Assumptions'!M118,'Assumptions'!M120:M121)))*(1-'Responsibilities'!$E$7)+('Production schedule'!E87*(IF('Sites'!D8="Annual staff",SUM('Assumptions'!M122,'Assumptions'!M124),0)+SUM('Assumptions'!M123,'Assumptions'!M125:M126)))*(1-'Responsibilities'!$E$8)</f>
        <v/>
      </c>
      <c r="BT15">
        <f>(IF(AND('Production schedule'!E15=1,10=MAX(('Sites'!F6),1),ISNUMBER('Sites'!O6)),'Sites'!O6*'Assumptions'!$B$44,0))*(1-'Responsibilities'!$F$6)+(IF(AND('Production schedule'!E51=1,10=MAX(('Sites'!F7+'Cases'!G6),1),ISNUMBER('Sites'!O7)),'Sites'!O7*'Assumptions'!$B$44,0))*(1-'Responsibilities'!$F$7)+(IF(AND('Production schedule'!E87=1,10=MAX(('Sites'!F8+'Cases'!G6),1),ISNUMBER('Sites'!O8)),'Sites'!O8*'Assumptions'!$B$44,0))*(1-'Responsibilities'!$F$8)</f>
        <v/>
      </c>
      <c r="BU15">
        <f>SUM('Costs'!E36)*'Costs'!F36/12*(1-'Responsibilities'!$C$12)+SUM('Costs'!E37)*'Costs'!F37/12*(1-'Responsibilities'!$C$13)+SUM('Costs'!E38)*'Costs'!F38/12*(1-'Responsibilities'!$C$14)+SUM('Costs'!E39)*'Costs'!F39/12*(1-'Responsibilities'!$C$15)+SUM('Costs'!E40)*'Costs'!F40/12*(1-'Responsibilities'!$C$16)</f>
        <v/>
      </c>
      <c r="BV15">
        <f>('Sites'!E6*'Capital'!E6*(IF(10='Capital'!G6,'Capital'!F6,0)+IF(10='Capital'!H6,1-'Capital'!F6,0)))*(1-'Responsibilities'!$G$6)+('Sites'!E7*'Capital'!E7*(IF(10='Capital'!G7+'Cases'!G6,'Capital'!F7,0)+IF(10='Capital'!H7+'Cases'!G6,1-'Capital'!F7,0)))*(1-'Responsibilities'!$G$7)+('Sites'!E8*'Cases'!F6*'Capital'!E8*(IF(10='Capital'!G8+'Cases'!G6,'Capital'!F8,0)+IF(10='Capital'!H8+'Cases'!G6,1-'Capital'!F8,0)))*(1-'Responsibilities'!$G$8)</f>
        <v/>
      </c>
      <c r="BW15">
        <f>SUM(BQ15:BV15)</f>
        <v/>
      </c>
      <c r="BX15">
        <f>N15+BW15</f>
        <v/>
      </c>
      <c r="BY15">
        <f>BX15-(('Production schedule'!AJ15)*'Responsibilities'!$C$6+('Production schedule'!AJ51)*'Responsibilities'!$C$7+('Production schedule'!AJ87)*'Responsibilities'!$C$8+('Production schedule'!AJ15)*(1-'Responsibilities'!$C$6)+('Production schedule'!AJ51)*(1-'Responsibilities'!$C$7)+('Production schedule'!AJ87)*(1-'Responsibilities'!$C$8)+('Production schedule'!AI15)*'Responsibilities'!$D$6+('Production schedule'!AI51)*'Responsibilities'!$D$7+('Production schedule'!AI87)*'Responsibilities'!$D$8+('Production schedule'!AI15)*(1-'Responsibilities'!$D$6)+('Production schedule'!AI51)*(1-'Responsibilities'!$D$7)+('Production schedule'!AI87)*(1-'Responsibilities'!$D$8)+('Production schedule'!E15*(IF('Sites'!D6="Annual staff",SUM('Assumptions'!M112,'Assumptions'!M114),0)+SUM('Assumptions'!M113,'Assumptions'!M115:M116)))*'Responsibilities'!$E$6+('Production schedule'!E51*(IF('Sites'!D7="Annual staff",SUM('Assumptions'!M117,'Assumptions'!M119),0)+SUM('Assumptions'!M118,'Assumptions'!M120:M121)))*'Responsibilities'!$E$7+('Production schedule'!E87*(IF('Sites'!D8="Annual staff",SUM('Assumptions'!M122,'Assumptions'!M124),0)+SUM('Assumptions'!M123,'Assumptions'!M125:M126)))*'Responsibilities'!$E$8+('Production schedule'!E15*(IF('Sites'!D6="Annual staff",SUM('Assumptions'!M112,'Assumptions'!M114),0)+SUM('Assumptions'!M113,'Assumptions'!M115:M116)))*(1-'Responsibilities'!$E$6)+('Production schedule'!E51*(IF('Sites'!D7="Annual staff",SUM('Assumptions'!M117,'Assumptions'!M119),0)+SUM('Assumptions'!M118,'Assumptions'!M120:M121)))*(1-'Responsibilities'!$E$7)+('Production schedule'!E87*(IF('Sites'!D8="Annual staff",SUM('Assumptions'!M122,'Assumptions'!M124),0)+SUM('Assumptions'!M123,'Assumptions'!M125:M126)))*(1-'Responsibilities'!$E$8)+(IF(AND('Production schedule'!E15=1,10=MAX(('Sites'!F6),1),ISNUMBER('Sites'!O6)),'Sites'!O6*'Assumptions'!$B$44,0))*'Responsibilities'!$F$6+(IF(AND('Production schedule'!E51=1,10=MAX(('Sites'!F7+'Cases'!G6),1),ISNUMBER('Sites'!O7)),'Sites'!O7*'Assumptions'!$B$44,0))*'Responsibilities'!$F$7+(IF(AND('Production schedule'!E87=1,10=MAX(('Sites'!F8+'Cases'!G6),1),ISNUMBER('Sites'!O8)),'Sites'!O8*'Assumptions'!$B$44,0))*'Responsibilities'!$F$8+(IF(AND('Production schedule'!E15=1,10=MAX(('Sites'!F6),1),ISNUMBER('Sites'!O6)),'Sites'!O6*'Assumptions'!$B$44,0))*(1-'Responsibilities'!$F$6)+(IF(AND('Production schedule'!E51=1,10=MAX(('Sites'!F7+'Cases'!G6),1),ISNUMBER('Sites'!O7)),'Sites'!O7*'Assumptions'!$B$44,0))*(1-'Responsibilities'!$F$7)+(IF(AND('Production schedule'!E87=1,10=MAX(('Sites'!F8+'Cases'!G6),1),ISNUMBER('Sites'!O8)),'Sites'!O8*'Assumptions'!$B$44,0))*(1-'Responsibilities'!$F$8)+('Sites'!E6*'Capital'!E6*(IF(10='Capital'!G6,'Capital'!F6,0)+IF(10='Capital'!H6,1-'Capital'!F6,0)))*'Responsibilities'!$G$6+('Sites'!E7*'Capital'!E7*(IF(10='Capital'!G7+'Cases'!G6,'Capital'!F7,0)+IF(10='Capital'!H7+'Cases'!G6,1-'Capital'!F7,0)))*'Responsibilities'!$G$7+('Sites'!E8*'Cases'!F6*'Capital'!E8*(IF(10='Capital'!G8+'Cases'!G6,'Capital'!F8,0)+IF(10='Capital'!H8+'Cases'!G6,1-'Capital'!F8,0)))*'Responsibilities'!$G$8+('Sites'!E6*'Capital'!E6*(IF(10='Capital'!G6,'Capital'!F6,0)+IF(10='Capital'!H6,1-'Capital'!F6,0)))*(1-'Responsibilities'!$G$6)+('Sites'!E7*'Capital'!E7*(IF(10='Capital'!G7+'Cases'!G6,'Capital'!F7,0)+IF(10='Capital'!H7+'Cases'!G6,1-'Capital'!F7,0)))*(1-'Responsibilities'!$G$7)+('Sites'!E8*'Cases'!F6*'Capital'!E8*(IF(10='Capital'!G8+'Cases'!G6,'Capital'!F8,0)+IF(10='Capital'!H8+'Cases'!G6,1-'Capital'!F8,0)))*(1-'Responsibilities'!$G$8)+I15+SUMPRODUCT('Costs'!$E$36:$E$40,'Costs'!$F$36:$F$40)/12+BZ15)</f>
        <v/>
      </c>
      <c r="BZ15">
        <f>SUMIFS('Responsibilities'!$B$31:$B$35,'Responsibilities'!$C$31:$C$35,10,'Responsibilities'!$D$31:$D$35,"Yes")</f>
        <v/>
      </c>
    </row>
    <row r="16" ht="28" customHeight="1">
      <c r="A16" s="4" t="inlineStr">
        <is>
          <t>Full</t>
        </is>
      </c>
      <c r="B16" s="4" t="n">
        <v>11</v>
      </c>
      <c r="C16" s="4">
        <f>ROUNDUP(B16/12,0)</f>
        <v/>
      </c>
      <c r="D16" s="137">
        <f>SUMIFS('Production schedule'!$N$6:$N$113,'Production schedule'!$C$6:$C$113,11)</f>
        <v/>
      </c>
      <c r="E16" s="137">
        <f>SUMIFS('Production schedule'!$Y$6:$Y$113,'Production schedule'!$C$6:$C$113,11)</f>
        <v/>
      </c>
      <c r="F16" s="137">
        <f>SUMIFS('Production schedule'!$Z$6:$Z$113,'Production schedule'!$C$6:$C$113,11)</f>
        <v/>
      </c>
      <c r="G16" s="137">
        <f>('Production schedule'!AJ16)*'Responsibilities'!$C$6+('Production schedule'!AJ52)*'Responsibilities'!$C$7+('Production schedule'!AJ88)*'Responsibilities'!$C$8</f>
        <v/>
      </c>
      <c r="H16" s="137">
        <f>('Production schedule'!AI16)*'Responsibilities'!$D$6+('Production schedule'!AI52)*'Responsibilities'!$D$7+('Production schedule'!AI88)*'Responsibilities'!$D$8</f>
        <v/>
      </c>
      <c r="I16" s="137">
        <f>SUM('Assumptions'!N58:N65)</f>
        <v/>
      </c>
      <c r="J16" s="137">
        <f>('Production schedule'!E16*(IF('Sites'!D6="Annual staff",SUM('Assumptions'!N112,'Assumptions'!N114),0)+SUM('Assumptions'!N113,'Assumptions'!N115:N116)))*'Responsibilities'!$E$6+('Production schedule'!E52*(IF('Sites'!D7="Annual staff",SUM('Assumptions'!N117,'Assumptions'!N119),0)+SUM('Assumptions'!N118,'Assumptions'!N120:N121)))*'Responsibilities'!$E$7+('Production schedule'!E88*(IF('Sites'!D8="Annual staff",SUM('Assumptions'!N122,'Assumptions'!N124),0)+SUM('Assumptions'!N123,'Assumptions'!N125:N126)))*'Responsibilities'!$E$8</f>
        <v/>
      </c>
      <c r="K16" s="137">
        <f>(IF(AND('Production schedule'!E16=1,11=MAX(('Sites'!F6),1),ISNUMBER('Sites'!O6)),'Sites'!O6*'Assumptions'!$B$44,0))*'Responsibilities'!$F$6+(IF(AND('Production schedule'!E52=1,11=MAX(('Sites'!F7+'Cases'!G6),1),ISNUMBER('Sites'!O7)),'Sites'!O7*'Assumptions'!$B$44,0))*'Responsibilities'!$F$7+(IF(AND('Production schedule'!E88=1,11=MAX(('Sites'!F8+'Cases'!G6),1),ISNUMBER('Sites'!O8)),'Sites'!O8*'Assumptions'!$B$44,0))*'Responsibilities'!$F$8</f>
        <v/>
      </c>
      <c r="L16" s="137">
        <f>SUM('Costs'!E36)*'Costs'!F36/12*'Responsibilities'!$C$12+SUM('Costs'!E37)*'Costs'!F37/12*'Responsibilities'!$C$13+SUM('Costs'!E38)*'Costs'!F38/12*'Responsibilities'!$C$14+SUM('Costs'!E39)*'Costs'!F39/12*'Responsibilities'!$C$15+SUM('Costs'!E40)*'Costs'!F40/12*'Responsibilities'!$C$16+BZ16</f>
        <v/>
      </c>
      <c r="M16" s="137">
        <f>('Sites'!E6*'Capital'!E6*(IF(11='Capital'!G6,'Capital'!F6,0)+IF(11='Capital'!H6,1-'Capital'!F6,0)))*'Responsibilities'!$G$6+('Sites'!E7*'Capital'!E7*(IF(11='Capital'!G7+'Cases'!G6,'Capital'!F7,0)+IF(11='Capital'!H7+'Cases'!G6,1-'Capital'!F7,0)))*'Responsibilities'!$G$7+('Sites'!E8*'Cases'!F6*'Capital'!E8*(IF(11='Capital'!G8+'Cases'!G6,'Capital'!F8,0)+IF(11='Capital'!H8+'Cases'!G6,1-'Capital'!F8,0)))*'Responsibilities'!$G$8</f>
        <v/>
      </c>
      <c r="N16" s="137">
        <f>SUM(G16:M16)</f>
        <v/>
      </c>
      <c r="O16" s="137">
        <f>SUMIFS(FundingTranches[Secured amount],FundingTranches[Instrument],"Grant",FundingTranches[Secured month],11)</f>
        <v/>
      </c>
      <c r="P16" s="137">
        <f>SUMIFS(FundingTranches[Full possible],FundingTranches[Instrument],"Grant",FundingTranches[Scenario month],11-'Cases'!$D$6)</f>
        <v/>
      </c>
      <c r="Q16" s="137">
        <f>SUMIFS(FundingTranches[Secured amount],FundingTranches[Instrument],"Loan",FundingTranches[Secured month],11)</f>
        <v/>
      </c>
      <c r="R16" s="137">
        <f>SUMIFS(FundingTranches[Full possible],FundingTranches[Instrument],"Loan",FundingTranches[Scenario month],11-'Cases'!$D$6)</f>
        <v/>
      </c>
      <c r="S16" s="137">
        <f>IF(11&lt;='Assumptions'!$B$34,0,SUMIFS('Production schedule'!$AL$6:$AL$113,'Production schedule'!$C$6:$C$113,11-'Assumptions'!$B$34))</f>
        <v/>
      </c>
      <c r="T16" s="137">
        <f>'Assumptions'!N70</f>
        <v/>
      </c>
      <c r="U16" s="137">
        <f>'Assumptions'!N78</f>
        <v/>
      </c>
      <c r="V16" s="137">
        <f>SUM(O16:U16)</f>
        <v/>
      </c>
      <c r="W16" s="137">
        <f>AA15</f>
        <v/>
      </c>
      <c r="X16" s="137">
        <f>SUM(Q16:R16)</f>
        <v/>
      </c>
      <c r="Y16" s="137">
        <f>SUM(W16,X16)*'Assumptions'!$B$39/12</f>
        <v/>
      </c>
      <c r="Z16" s="137">
        <f>IF(SUM(W16,X16)&gt;0,MIN(SUM(W16,X16),MAX(0,BP16-Y16)),0)</f>
        <v/>
      </c>
      <c r="AA16" s="137">
        <f>SUM(W16,X16)-Z16</f>
        <v/>
      </c>
      <c r="AB16" s="137">
        <f>SUM(Y16:Z16)</f>
        <v/>
      </c>
      <c r="AC16" s="137">
        <f>'Assumptions'!N72</f>
        <v/>
      </c>
      <c r="AD16" s="137">
        <f>'Assumptions'!N73</f>
        <v/>
      </c>
      <c r="AE16" s="137">
        <f>IF(X16&gt;0,SUM('Assumptions'!$B$42),0)</f>
        <v/>
      </c>
      <c r="AF16" s="137">
        <f>'Assumptions'!N71</f>
        <v/>
      </c>
      <c r="AG16" s="137">
        <f>'Assumptions'!N74</f>
        <v/>
      </c>
      <c r="AH16" s="137">
        <f>'Assumptions'!N75</f>
        <v/>
      </c>
      <c r="AI16" s="137">
        <f>'Assumptions'!N77</f>
        <v/>
      </c>
      <c r="AJ16" s="137">
        <f>V16-N16-SUM(AB16:AI16)</f>
        <v/>
      </c>
      <c r="AK16" s="137">
        <f>SUM(AJ6:AJ16)</f>
        <v/>
      </c>
      <c r="AL16" s="137">
        <f>IF(ISNUMBER('Assumptions'!$B$10),'Assumptions'!$B$10+AK16,"")</f>
        <v/>
      </c>
      <c r="AM16" s="137">
        <f>SUM(O16,Q16,T16)-N16-SUM(AC16:AI16)+IF('Funding'!$N$11=0,AE16,0)-IF('Funding'!$N$11&gt;0,AB16,0)</f>
        <v/>
      </c>
      <c r="AN16" s="137">
        <f>SUM(AM6:AM16)</f>
        <v/>
      </c>
      <c r="AO16" s="137">
        <f>IF(ISNUMBER('Assumptions'!$B$10),'Assumptions'!$B$10+AN16,"")</f>
        <v/>
      </c>
      <c r="AP16" s="137">
        <f>('Production schedule'!AK16)*'Responsibilities'!$C$6+('Production schedule'!AK52)*'Responsibilities'!$C$7+('Production schedule'!AK88)*'Responsibilities'!$C$8</f>
        <v/>
      </c>
      <c r="AQ16" s="137">
        <f>SUMIFS('Production schedule'!$AL$6:$AL$113,'Production schedule'!$C$6:$C$113,11)</f>
        <v/>
      </c>
      <c r="AR16" s="137">
        <f>IF(ISNUMBER('Assumptions'!N76),'Assumptions'!N76,SUM(O16:P16))</f>
        <v/>
      </c>
      <c r="AS16" s="137">
        <f>IF(ISNUMBER('Assumptions'!$B$13),MIN('Assumptions'!$B$13/'Assumptions'!$B$18/12,MAX(0,'Assumptions'!$B$13-(11-1)*'Assumptions'!$B$13/'Assumptions'!$B$18/12)),0)+IF(AND('Sites'!E6=1,11&gt;=('Sites'!F6),11&lt;('Sites'!F6)+'Assumptions'!$B$18*12),'Capital'!E6/'Assumptions'!$B$18/12,0)+IF(AND('Sites'!E7=1,11&gt;=('Sites'!F7+'Cases'!G6),11&lt;('Sites'!F7+'Cases'!G6)+'Assumptions'!$B$18*12),'Capital'!E7/'Assumptions'!$B$18/12,0)+IF(AND('Sites'!E8*'Cases'!F6=1,11&gt;=('Sites'!F8+'Cases'!G6),11&lt;('Sites'!F8+'Cases'!G6)+'Assumptions'!$B$18*12),'Capital'!E8/'Assumptions'!$B$18/12,0)</f>
        <v/>
      </c>
      <c r="AT16" s="137">
        <f>SUM(AQ16,AR16,U16)-AP16-SUM(H16:L16)-AS16-SUM(Y16,AD16,AE16,AH16)</f>
        <v/>
      </c>
      <c r="AU16" s="137">
        <f>IF(ISNUMBER('Assumptions'!$B$19),MAX(0,SUM(AT6:AT16))*'Assumptions'!$B$19-SUM(AU6:AU15),"")</f>
        <v/>
      </c>
      <c r="AV16" s="137">
        <f>IF(ISNUMBER(AU16),AT16-AU16,"")</f>
        <v/>
      </c>
      <c r="AW16" s="137">
        <f>IF(ISNUMBER('Assumptions'!$B$11),'Assumptions'!$B$11+SUM(AQ6:AQ16)-SUM(S6:S16)-SUM(T6:T16),"")</f>
        <v/>
      </c>
      <c r="AX16" s="137">
        <f>IF(ISNUMBER('Assumptions'!$B$12),'Assumptions'!$B$12+SUM(G6:G16)-SUM(AP6:AP16),"")</f>
        <v/>
      </c>
      <c r="AY16" s="137">
        <f>IF(ISNUMBER('Assumptions'!$B$13),'Assumptions'!$B$13+SUM(M6:M16)-SUM(AS6:AS16),"")</f>
        <v/>
      </c>
      <c r="AZ16" s="137">
        <f>IF(ISNUMBER('Assumptions'!$B$14),'Assumptions'!$B$14+-SUM(AF6:AF16),"")</f>
        <v/>
      </c>
      <c r="BA16" s="137">
        <f>IF(ISNUMBER('Assumptions'!$B$15),'Assumptions'!$B$15+SUM(O6:O16)+SUM(P6:P16)-SUM(AR6:AR16),"")</f>
        <v/>
      </c>
      <c r="BB16" s="137">
        <f>IF(ISNUMBER('Assumptions'!$B$16),'Assumptions'!$B$16+-SUM(AC6:AC16),"")</f>
        <v/>
      </c>
      <c r="BC16" s="137">
        <f>IF(AND(ISNUMBER('Assumptions'!$B$21),ISNUMBER('Assumptions'!$B$19)),'Assumptions'!$B$21+SUM(AU6:AU16)-SUM(AG6:AG16),"")</f>
        <v/>
      </c>
      <c r="BD16" s="137">
        <f>IF(ISNUMBER('Assumptions'!$B$20),'Assumptions'!$B$20+-SUM(AI6:AI16),"")</f>
        <v/>
      </c>
      <c r="BE16" s="137">
        <f>IF(AND(ISNUMBER('Assumptions'!$B$17),COUNT(AV6:AV16)=11),'Assumptions'!$B$17+SUM(AV6:AV16),"")</f>
        <v/>
      </c>
      <c r="BF16" s="137">
        <f>IF(COUNT(AL16,AW16:AY16)=4,SUM(AL16,AW16:AY16),"")</f>
        <v/>
      </c>
      <c r="BG16" s="137">
        <f>IF(COUNT(AZ16:BD16)=5,SUM(AZ16:BD16,AA16),"")</f>
        <v/>
      </c>
      <c r="BH16" s="137">
        <f>IF(COUNT(BF16,BG16,BE16)=3,BF16-BG16-BE16,"")</f>
        <v/>
      </c>
      <c r="BI16" s="137">
        <f>SUM(W16,X16)-Z16-AA16</f>
        <v/>
      </c>
      <c r="BJ16" s="137">
        <f>8-COUNT('Assumptions'!N58:N65)+COUNTBLANK('NM Play'!B33:B34)+'Costs'!E44+IF(AND('Sites'!E6=1,('Sites'!F6)&lt;=12,'Sites'!G6&gt;=1),IF(ISNUMBER('Sites'!O6),0,1)+'Capital'!I6+COUNTBLANK('Sites'!R6)+IF('Sites'!D6="NM crew",COUNTBLANK('NM Play'!B25)+1,5-COUNT('Assumptions'!N112:N116)),0)+IF(AND('Sites'!E7=1,('Sites'!F7+'Cases'!G6)&lt;=12,'Sites'!G7&gt;=1),IF(ISNUMBER('Sites'!O7),0,1)+'Capital'!I7+COUNTBLANK('Sites'!R7)+IF('Sites'!D7="NM crew",COUNTBLANK('NM Play'!B25)+1,5-COUNT('Assumptions'!N117:N121)),0)+IF(AND('Sites'!E8*'Cases'!F6=1,('Sites'!F8+'Cases'!G6)&lt;=12,'Sites'!G8&gt;=1),IF(ISNUMBER('Sites'!O8),0,1)+'Capital'!I8+COUNTBLANK('Sites'!R8)+IF('Sites'!D8="NM crew",COUNTBLANK('NM Play'!B25)+1,5-COUNT('Assumptions'!N122:N126)),0)+IF(AND('Cases'!C6&gt;0,NOT(ISNUMBER('Assumptions'!B42))),1,0)+'Responsibilities'!$B$39</f>
        <v/>
      </c>
      <c r="BK16" s="137">
        <f>'Assumptions'!$B$50+'NM Play'!$B$83+'Funding'!$F$20+SUMIFS('Production schedule'!$AN$6:$AN$113,'Production schedule'!$C$6:$C$113,11)+IF(OR('Cases'!E6&lt;0,'Cases'!E6&gt;1,'Cases'!C6&lt;0,'Cases'!D6&lt;0,ABS(SUM('Sites'!S6:S8)-1)&gt;0.0001,MIN('Capital'!F6:F8)&lt;0,MAX('Capital'!F6:F8)&gt;1,MIN(AX16,AZ16,BB16,BA16)&lt;-0.01),1,0)+'Responsibilities'!$B$40</f>
        <v/>
      </c>
      <c r="BL16" s="137">
        <f>SUMIFS('Production schedule'!$T$6:$T$113,'Production schedule'!$C$6:$C$113,11)</f>
        <v/>
      </c>
      <c r="BM16" s="137">
        <f>D16*'NM Play'!$B$38</f>
        <v/>
      </c>
      <c r="BN16" s="137">
        <f>SUMIFS('Production schedule'!$AM$6:$AM$113,'Production schedule'!$C$6:$C$113,11)</f>
        <v/>
      </c>
      <c r="BO16" s="137">
        <f>AK16-AK15-AJ16</f>
        <v/>
      </c>
      <c r="BP16" s="137">
        <f>IF(AND('Assumptions'!$B$39&gt;=0,'Assumptions'!$B$40&gt;0),-PMT('Assumptions'!$B$39/12,'Assumptions'!$B$40*12,IF('Funding'!$N$11&gt;0,'Funding'!$N$11,'Funding'!$R$11)),"")</f>
        <v/>
      </c>
      <c r="BQ16">
        <f>('Production schedule'!AJ16)*(1-'Responsibilities'!$C$6)+('Production schedule'!AJ52)*(1-'Responsibilities'!$C$7)+('Production schedule'!AJ88)*(1-'Responsibilities'!$C$8)</f>
        <v/>
      </c>
      <c r="BR16">
        <f>('Production schedule'!AI16)*(1-'Responsibilities'!$D$6)+('Production schedule'!AI52)*(1-'Responsibilities'!$D$7)+('Production schedule'!AI88)*(1-'Responsibilities'!$D$8)</f>
        <v/>
      </c>
      <c r="BS16">
        <f>('Production schedule'!E16*(IF('Sites'!D6="Annual staff",SUM('Assumptions'!N112,'Assumptions'!N114),0)+SUM('Assumptions'!N113,'Assumptions'!N115:N116)))*(1-'Responsibilities'!$E$6)+('Production schedule'!E52*(IF('Sites'!D7="Annual staff",SUM('Assumptions'!N117,'Assumptions'!N119),0)+SUM('Assumptions'!N118,'Assumptions'!N120:N121)))*(1-'Responsibilities'!$E$7)+('Production schedule'!E88*(IF('Sites'!D8="Annual staff",SUM('Assumptions'!N122,'Assumptions'!N124),0)+SUM('Assumptions'!N123,'Assumptions'!N125:N126)))*(1-'Responsibilities'!$E$8)</f>
        <v/>
      </c>
      <c r="BT16">
        <f>(IF(AND('Production schedule'!E16=1,11=MAX(('Sites'!F6),1),ISNUMBER('Sites'!O6)),'Sites'!O6*'Assumptions'!$B$44,0))*(1-'Responsibilities'!$F$6)+(IF(AND('Production schedule'!E52=1,11=MAX(('Sites'!F7+'Cases'!G6),1),ISNUMBER('Sites'!O7)),'Sites'!O7*'Assumptions'!$B$44,0))*(1-'Responsibilities'!$F$7)+(IF(AND('Production schedule'!E88=1,11=MAX(('Sites'!F8+'Cases'!G6),1),ISNUMBER('Sites'!O8)),'Sites'!O8*'Assumptions'!$B$44,0))*(1-'Responsibilities'!$F$8)</f>
        <v/>
      </c>
      <c r="BU16">
        <f>SUM('Costs'!E36)*'Costs'!F36/12*(1-'Responsibilities'!$C$12)+SUM('Costs'!E37)*'Costs'!F37/12*(1-'Responsibilities'!$C$13)+SUM('Costs'!E38)*'Costs'!F38/12*(1-'Responsibilities'!$C$14)+SUM('Costs'!E39)*'Costs'!F39/12*(1-'Responsibilities'!$C$15)+SUM('Costs'!E40)*'Costs'!F40/12*(1-'Responsibilities'!$C$16)</f>
        <v/>
      </c>
      <c r="BV16">
        <f>('Sites'!E6*'Capital'!E6*(IF(11='Capital'!G6,'Capital'!F6,0)+IF(11='Capital'!H6,1-'Capital'!F6,0)))*(1-'Responsibilities'!$G$6)+('Sites'!E7*'Capital'!E7*(IF(11='Capital'!G7+'Cases'!G6,'Capital'!F7,0)+IF(11='Capital'!H7+'Cases'!G6,1-'Capital'!F7,0)))*(1-'Responsibilities'!$G$7)+('Sites'!E8*'Cases'!F6*'Capital'!E8*(IF(11='Capital'!G8+'Cases'!G6,'Capital'!F8,0)+IF(11='Capital'!H8+'Cases'!G6,1-'Capital'!F8,0)))*(1-'Responsibilities'!$G$8)</f>
        <v/>
      </c>
      <c r="BW16">
        <f>SUM(BQ16:BV16)</f>
        <v/>
      </c>
      <c r="BX16">
        <f>N16+BW16</f>
        <v/>
      </c>
      <c r="BY16">
        <f>BX16-(('Production schedule'!AJ16)*'Responsibilities'!$C$6+('Production schedule'!AJ52)*'Responsibilities'!$C$7+('Production schedule'!AJ88)*'Responsibilities'!$C$8+('Production schedule'!AJ16)*(1-'Responsibilities'!$C$6)+('Production schedule'!AJ52)*(1-'Responsibilities'!$C$7)+('Production schedule'!AJ88)*(1-'Responsibilities'!$C$8)+('Production schedule'!AI16)*'Responsibilities'!$D$6+('Production schedule'!AI52)*'Responsibilities'!$D$7+('Production schedule'!AI88)*'Responsibilities'!$D$8+('Production schedule'!AI16)*(1-'Responsibilities'!$D$6)+('Production schedule'!AI52)*(1-'Responsibilities'!$D$7)+('Production schedule'!AI88)*(1-'Responsibilities'!$D$8)+('Production schedule'!E16*(IF('Sites'!D6="Annual staff",SUM('Assumptions'!N112,'Assumptions'!N114),0)+SUM('Assumptions'!N113,'Assumptions'!N115:N116)))*'Responsibilities'!$E$6+('Production schedule'!E52*(IF('Sites'!D7="Annual staff",SUM('Assumptions'!N117,'Assumptions'!N119),0)+SUM('Assumptions'!N118,'Assumptions'!N120:N121)))*'Responsibilities'!$E$7+('Production schedule'!E88*(IF('Sites'!D8="Annual staff",SUM('Assumptions'!N122,'Assumptions'!N124),0)+SUM('Assumptions'!N123,'Assumptions'!N125:N126)))*'Responsibilities'!$E$8+('Production schedule'!E16*(IF('Sites'!D6="Annual staff",SUM('Assumptions'!N112,'Assumptions'!N114),0)+SUM('Assumptions'!N113,'Assumptions'!N115:N116)))*(1-'Responsibilities'!$E$6)+('Production schedule'!E52*(IF('Sites'!D7="Annual staff",SUM('Assumptions'!N117,'Assumptions'!N119),0)+SUM('Assumptions'!N118,'Assumptions'!N120:N121)))*(1-'Responsibilities'!$E$7)+('Production schedule'!E88*(IF('Sites'!D8="Annual staff",SUM('Assumptions'!N122,'Assumptions'!N124),0)+SUM('Assumptions'!N123,'Assumptions'!N125:N126)))*(1-'Responsibilities'!$E$8)+(IF(AND('Production schedule'!E16=1,11=MAX(('Sites'!F6),1),ISNUMBER('Sites'!O6)),'Sites'!O6*'Assumptions'!$B$44,0))*'Responsibilities'!$F$6+(IF(AND('Production schedule'!E52=1,11=MAX(('Sites'!F7+'Cases'!G6),1),ISNUMBER('Sites'!O7)),'Sites'!O7*'Assumptions'!$B$44,0))*'Responsibilities'!$F$7+(IF(AND('Production schedule'!E88=1,11=MAX(('Sites'!F8+'Cases'!G6),1),ISNUMBER('Sites'!O8)),'Sites'!O8*'Assumptions'!$B$44,0))*'Responsibilities'!$F$8+(IF(AND('Production schedule'!E16=1,11=MAX(('Sites'!F6),1),ISNUMBER('Sites'!O6)),'Sites'!O6*'Assumptions'!$B$44,0))*(1-'Responsibilities'!$F$6)+(IF(AND('Production schedule'!E52=1,11=MAX(('Sites'!F7+'Cases'!G6),1),ISNUMBER('Sites'!O7)),'Sites'!O7*'Assumptions'!$B$44,0))*(1-'Responsibilities'!$F$7)+(IF(AND('Production schedule'!E88=1,11=MAX(('Sites'!F8+'Cases'!G6),1),ISNUMBER('Sites'!O8)),'Sites'!O8*'Assumptions'!$B$44,0))*(1-'Responsibilities'!$F$8)+('Sites'!E6*'Capital'!E6*(IF(11='Capital'!G6,'Capital'!F6,0)+IF(11='Capital'!H6,1-'Capital'!F6,0)))*'Responsibilities'!$G$6+('Sites'!E7*'Capital'!E7*(IF(11='Capital'!G7+'Cases'!G6,'Capital'!F7,0)+IF(11='Capital'!H7+'Cases'!G6,1-'Capital'!F7,0)))*'Responsibilities'!$G$7+('Sites'!E8*'Cases'!F6*'Capital'!E8*(IF(11='Capital'!G8+'Cases'!G6,'Capital'!F8,0)+IF(11='Capital'!H8+'Cases'!G6,1-'Capital'!F8,0)))*'Responsibilities'!$G$8+('Sites'!E6*'Capital'!E6*(IF(11='Capital'!G6,'Capital'!F6,0)+IF(11='Capital'!H6,1-'Capital'!F6,0)))*(1-'Responsibilities'!$G$6)+('Sites'!E7*'Capital'!E7*(IF(11='Capital'!G7+'Cases'!G6,'Capital'!F7,0)+IF(11='Capital'!H7+'Cases'!G6,1-'Capital'!F7,0)))*(1-'Responsibilities'!$G$7)+('Sites'!E8*'Cases'!F6*'Capital'!E8*(IF(11='Capital'!G8+'Cases'!G6,'Capital'!F8,0)+IF(11='Capital'!H8+'Cases'!G6,1-'Capital'!F8,0)))*(1-'Responsibilities'!$G$8)+I16+SUMPRODUCT('Costs'!$E$36:$E$40,'Costs'!$F$36:$F$40)/12+BZ16)</f>
        <v/>
      </c>
      <c r="BZ16">
        <f>SUMIFS('Responsibilities'!$B$31:$B$35,'Responsibilities'!$C$31:$C$35,11,'Responsibilities'!$D$31:$D$35,"Yes")</f>
        <v/>
      </c>
    </row>
    <row r="17" ht="28" customHeight="1">
      <c r="A17" s="4" t="inlineStr">
        <is>
          <t>Full</t>
        </is>
      </c>
      <c r="B17" s="4" t="n">
        <v>12</v>
      </c>
      <c r="C17" s="4">
        <f>ROUNDUP(B17/12,0)</f>
        <v/>
      </c>
      <c r="D17" s="137">
        <f>SUMIFS('Production schedule'!$N$6:$N$113,'Production schedule'!$C$6:$C$113,12)</f>
        <v/>
      </c>
      <c r="E17" s="137">
        <f>SUMIFS('Production schedule'!$Y$6:$Y$113,'Production schedule'!$C$6:$C$113,12)</f>
        <v/>
      </c>
      <c r="F17" s="137">
        <f>SUMIFS('Production schedule'!$Z$6:$Z$113,'Production schedule'!$C$6:$C$113,12)</f>
        <v/>
      </c>
      <c r="G17" s="137">
        <f>('Production schedule'!AJ17)*'Responsibilities'!$C$6+('Production schedule'!AJ53)*'Responsibilities'!$C$7+('Production schedule'!AJ89)*'Responsibilities'!$C$8</f>
        <v/>
      </c>
      <c r="H17" s="137">
        <f>('Production schedule'!AI17)*'Responsibilities'!$D$6+('Production schedule'!AI53)*'Responsibilities'!$D$7+('Production schedule'!AI89)*'Responsibilities'!$D$8</f>
        <v/>
      </c>
      <c r="I17" s="137">
        <f>SUM('Assumptions'!O58:O65)</f>
        <v/>
      </c>
      <c r="J17" s="137">
        <f>('Production schedule'!E17*(IF('Sites'!D6="Annual staff",SUM('Assumptions'!O112,'Assumptions'!O114),0)+SUM('Assumptions'!O113,'Assumptions'!O115:O116)))*'Responsibilities'!$E$6+('Production schedule'!E53*(IF('Sites'!D7="Annual staff",SUM('Assumptions'!O117,'Assumptions'!O119),0)+SUM('Assumptions'!O118,'Assumptions'!O120:O121)))*'Responsibilities'!$E$7+('Production schedule'!E89*(IF('Sites'!D8="Annual staff",SUM('Assumptions'!O122,'Assumptions'!O124),0)+SUM('Assumptions'!O123,'Assumptions'!O125:O126)))*'Responsibilities'!$E$8</f>
        <v/>
      </c>
      <c r="K17" s="137">
        <f>(IF(AND('Production schedule'!E17=1,12=MAX(('Sites'!F6),1),ISNUMBER('Sites'!O6)),'Sites'!O6*'Assumptions'!$B$44,0))*'Responsibilities'!$F$6+(IF(AND('Production schedule'!E53=1,12=MAX(('Sites'!F7+'Cases'!G6),1),ISNUMBER('Sites'!O7)),'Sites'!O7*'Assumptions'!$B$44,0))*'Responsibilities'!$F$7+(IF(AND('Production schedule'!E89=1,12=MAX(('Sites'!F8+'Cases'!G6),1),ISNUMBER('Sites'!O8)),'Sites'!O8*'Assumptions'!$B$44,0))*'Responsibilities'!$F$8</f>
        <v/>
      </c>
      <c r="L17" s="137">
        <f>SUM('Costs'!E36)*'Costs'!F36/12*'Responsibilities'!$C$12+SUM('Costs'!E37)*'Costs'!F37/12*'Responsibilities'!$C$13+SUM('Costs'!E38)*'Costs'!F38/12*'Responsibilities'!$C$14+SUM('Costs'!E39)*'Costs'!F39/12*'Responsibilities'!$C$15+SUM('Costs'!E40)*'Costs'!F40/12*'Responsibilities'!$C$16+BZ17</f>
        <v/>
      </c>
      <c r="M17" s="137">
        <f>('Sites'!E6*'Capital'!E6*(IF(12='Capital'!G6,'Capital'!F6,0)+IF(12='Capital'!H6,1-'Capital'!F6,0)))*'Responsibilities'!$G$6+('Sites'!E7*'Capital'!E7*(IF(12='Capital'!G7+'Cases'!G6,'Capital'!F7,0)+IF(12='Capital'!H7+'Cases'!G6,1-'Capital'!F7,0)))*'Responsibilities'!$G$7+('Sites'!E8*'Cases'!F6*'Capital'!E8*(IF(12='Capital'!G8+'Cases'!G6,'Capital'!F8,0)+IF(12='Capital'!H8+'Cases'!G6,1-'Capital'!F8,0)))*'Responsibilities'!$G$8</f>
        <v/>
      </c>
      <c r="N17" s="137">
        <f>SUM(G17:M17)</f>
        <v/>
      </c>
      <c r="O17" s="137">
        <f>SUMIFS(FundingTranches[Secured amount],FundingTranches[Instrument],"Grant",FundingTranches[Secured month],12)</f>
        <v/>
      </c>
      <c r="P17" s="137">
        <f>SUMIFS(FundingTranches[Full possible],FundingTranches[Instrument],"Grant",FundingTranches[Scenario month],12-'Cases'!$D$6)</f>
        <v/>
      </c>
      <c r="Q17" s="137">
        <f>SUMIFS(FundingTranches[Secured amount],FundingTranches[Instrument],"Loan",FundingTranches[Secured month],12)</f>
        <v/>
      </c>
      <c r="R17" s="137">
        <f>SUMIFS(FundingTranches[Full possible],FundingTranches[Instrument],"Loan",FundingTranches[Scenario month],12-'Cases'!$D$6)</f>
        <v/>
      </c>
      <c r="S17" s="137">
        <f>IF(12&lt;='Assumptions'!$B$34,0,SUMIFS('Production schedule'!$AL$6:$AL$113,'Production schedule'!$C$6:$C$113,12-'Assumptions'!$B$34))</f>
        <v/>
      </c>
      <c r="T17" s="137">
        <f>'Assumptions'!O70</f>
        <v/>
      </c>
      <c r="U17" s="137">
        <f>'Assumptions'!O78</f>
        <v/>
      </c>
      <c r="V17" s="137">
        <f>SUM(O17:U17)</f>
        <v/>
      </c>
      <c r="W17" s="137">
        <f>AA16</f>
        <v/>
      </c>
      <c r="X17" s="137">
        <f>SUM(Q17:R17)</f>
        <v/>
      </c>
      <c r="Y17" s="137">
        <f>SUM(W17,X17)*'Assumptions'!$B$39/12</f>
        <v/>
      </c>
      <c r="Z17" s="137">
        <f>IF(SUM(W17,X17)&gt;0,MIN(SUM(W17,X17),MAX(0,BP17-Y17)),0)</f>
        <v/>
      </c>
      <c r="AA17" s="137">
        <f>SUM(W17,X17)-Z17</f>
        <v/>
      </c>
      <c r="AB17" s="137">
        <f>SUM(Y17:Z17)</f>
        <v/>
      </c>
      <c r="AC17" s="137">
        <f>'Assumptions'!O72</f>
        <v/>
      </c>
      <c r="AD17" s="137">
        <f>'Assumptions'!O73</f>
        <v/>
      </c>
      <c r="AE17" s="137">
        <f>IF(X17&gt;0,SUM('Assumptions'!$B$42),0)</f>
        <v/>
      </c>
      <c r="AF17" s="137">
        <f>'Assumptions'!O71</f>
        <v/>
      </c>
      <c r="AG17" s="137">
        <f>'Assumptions'!O74</f>
        <v/>
      </c>
      <c r="AH17" s="137">
        <f>'Assumptions'!O75</f>
        <v/>
      </c>
      <c r="AI17" s="137">
        <f>'Assumptions'!O77</f>
        <v/>
      </c>
      <c r="AJ17" s="137">
        <f>V17-N17-SUM(AB17:AI17)</f>
        <v/>
      </c>
      <c r="AK17" s="137">
        <f>SUM(AJ6:AJ17)</f>
        <v/>
      </c>
      <c r="AL17" s="137">
        <f>IF(ISNUMBER('Assumptions'!$B$10),'Assumptions'!$B$10+AK17,"")</f>
        <v/>
      </c>
      <c r="AM17" s="137">
        <f>SUM(O17,Q17,T17)-N17-SUM(AC17:AI17)+IF('Funding'!$N$11=0,AE17,0)-IF('Funding'!$N$11&gt;0,AB17,0)</f>
        <v/>
      </c>
      <c r="AN17" s="137">
        <f>SUM(AM6:AM17)</f>
        <v/>
      </c>
      <c r="AO17" s="137">
        <f>IF(ISNUMBER('Assumptions'!$B$10),'Assumptions'!$B$10+AN17,"")</f>
        <v/>
      </c>
      <c r="AP17" s="137">
        <f>('Production schedule'!AK17)*'Responsibilities'!$C$6+('Production schedule'!AK53)*'Responsibilities'!$C$7+('Production schedule'!AK89)*'Responsibilities'!$C$8</f>
        <v/>
      </c>
      <c r="AQ17" s="137">
        <f>SUMIFS('Production schedule'!$AL$6:$AL$113,'Production schedule'!$C$6:$C$113,12)</f>
        <v/>
      </c>
      <c r="AR17" s="137">
        <f>IF(ISNUMBER('Assumptions'!O76),'Assumptions'!O76,SUM(O17:P17))</f>
        <v/>
      </c>
      <c r="AS17" s="137">
        <f>IF(ISNUMBER('Assumptions'!$B$13),MIN('Assumptions'!$B$13/'Assumptions'!$B$18/12,MAX(0,'Assumptions'!$B$13-(12-1)*'Assumptions'!$B$13/'Assumptions'!$B$18/12)),0)+IF(AND('Sites'!E6=1,12&gt;=('Sites'!F6),12&lt;('Sites'!F6)+'Assumptions'!$B$18*12),'Capital'!E6/'Assumptions'!$B$18/12,0)+IF(AND('Sites'!E7=1,12&gt;=('Sites'!F7+'Cases'!G6),12&lt;('Sites'!F7+'Cases'!G6)+'Assumptions'!$B$18*12),'Capital'!E7/'Assumptions'!$B$18/12,0)+IF(AND('Sites'!E8*'Cases'!F6=1,12&gt;=('Sites'!F8+'Cases'!G6),12&lt;('Sites'!F8+'Cases'!G6)+'Assumptions'!$B$18*12),'Capital'!E8/'Assumptions'!$B$18/12,0)</f>
        <v/>
      </c>
      <c r="AT17" s="137">
        <f>SUM(AQ17,AR17,U17)-AP17-SUM(H17:L17)-AS17-SUM(Y17,AD17,AE17,AH17)</f>
        <v/>
      </c>
      <c r="AU17" s="137">
        <f>IF(ISNUMBER('Assumptions'!$B$19),MAX(0,SUM(AT6:AT17))*'Assumptions'!$B$19-SUM(AU6:AU16),"")</f>
        <v/>
      </c>
      <c r="AV17" s="137">
        <f>IF(ISNUMBER(AU17),AT17-AU17,"")</f>
        <v/>
      </c>
      <c r="AW17" s="137">
        <f>IF(ISNUMBER('Assumptions'!$B$11),'Assumptions'!$B$11+SUM(AQ6:AQ17)-SUM(S6:S17)-SUM(T6:T17),"")</f>
        <v/>
      </c>
      <c r="AX17" s="137">
        <f>IF(ISNUMBER('Assumptions'!$B$12),'Assumptions'!$B$12+SUM(G6:G17)-SUM(AP6:AP17),"")</f>
        <v/>
      </c>
      <c r="AY17" s="137">
        <f>IF(ISNUMBER('Assumptions'!$B$13),'Assumptions'!$B$13+SUM(M6:M17)-SUM(AS6:AS17),"")</f>
        <v/>
      </c>
      <c r="AZ17" s="137">
        <f>IF(ISNUMBER('Assumptions'!$B$14),'Assumptions'!$B$14+-SUM(AF6:AF17),"")</f>
        <v/>
      </c>
      <c r="BA17" s="137">
        <f>IF(ISNUMBER('Assumptions'!$B$15),'Assumptions'!$B$15+SUM(O6:O17)+SUM(P6:P17)-SUM(AR6:AR17),"")</f>
        <v/>
      </c>
      <c r="BB17" s="137">
        <f>IF(ISNUMBER('Assumptions'!$B$16),'Assumptions'!$B$16+-SUM(AC6:AC17),"")</f>
        <v/>
      </c>
      <c r="BC17" s="137">
        <f>IF(AND(ISNUMBER('Assumptions'!$B$21),ISNUMBER('Assumptions'!$B$19)),'Assumptions'!$B$21+SUM(AU6:AU17)-SUM(AG6:AG17),"")</f>
        <v/>
      </c>
      <c r="BD17" s="137">
        <f>IF(ISNUMBER('Assumptions'!$B$20),'Assumptions'!$B$20+-SUM(AI6:AI17),"")</f>
        <v/>
      </c>
      <c r="BE17" s="137">
        <f>IF(AND(ISNUMBER('Assumptions'!$B$17),COUNT(AV6:AV17)=12),'Assumptions'!$B$17+SUM(AV6:AV17),"")</f>
        <v/>
      </c>
      <c r="BF17" s="137">
        <f>IF(COUNT(AL17,AW17:AY17)=4,SUM(AL17,AW17:AY17),"")</f>
        <v/>
      </c>
      <c r="BG17" s="137">
        <f>IF(COUNT(AZ17:BD17)=5,SUM(AZ17:BD17,AA17),"")</f>
        <v/>
      </c>
      <c r="BH17" s="137">
        <f>IF(COUNT(BF17,BG17,BE17)=3,BF17-BG17-BE17,"")</f>
        <v/>
      </c>
      <c r="BI17" s="137">
        <f>SUM(W17,X17)-Z17-AA17</f>
        <v/>
      </c>
      <c r="BJ17" s="137">
        <f>8-COUNT('Assumptions'!O58:O65)+COUNTBLANK('NM Play'!B33:B34)+'Costs'!E44+IF(AND('Sites'!E6=1,('Sites'!F6)&lt;=12,'Sites'!G6&gt;=1),IF(ISNUMBER('Sites'!O6),0,1)+'Capital'!I6+COUNTBLANK('Sites'!R6)+IF('Sites'!D6="NM crew",COUNTBLANK('NM Play'!B25)+1,5-COUNT('Assumptions'!O112:O116)),0)+IF(AND('Sites'!E7=1,('Sites'!F7+'Cases'!G6)&lt;=12,'Sites'!G7&gt;=1),IF(ISNUMBER('Sites'!O7),0,1)+'Capital'!I7+COUNTBLANK('Sites'!R7)+IF('Sites'!D7="NM crew",COUNTBLANK('NM Play'!B25)+1,5-COUNT('Assumptions'!O117:O121)),0)+IF(AND('Sites'!E8*'Cases'!F6=1,('Sites'!F8+'Cases'!G6)&lt;=12,'Sites'!G8&gt;=1),IF(ISNUMBER('Sites'!O8),0,1)+'Capital'!I8+COUNTBLANK('Sites'!R8)+IF('Sites'!D8="NM crew",COUNTBLANK('NM Play'!B25)+1,5-COUNT('Assumptions'!O122:O126)),0)+IF(AND('Cases'!C6&gt;0,NOT(ISNUMBER('Assumptions'!B42))),1,0)+'Responsibilities'!$B$39</f>
        <v/>
      </c>
      <c r="BK17" s="137">
        <f>'Assumptions'!$B$50+'NM Play'!$B$83+'Funding'!$F$20+SUMIFS('Production schedule'!$AN$6:$AN$113,'Production schedule'!$C$6:$C$113,12)+IF(OR('Cases'!E6&lt;0,'Cases'!E6&gt;1,'Cases'!C6&lt;0,'Cases'!D6&lt;0,ABS(SUM('Sites'!S6:S8)-1)&gt;0.0001,MIN('Capital'!F6:F8)&lt;0,MAX('Capital'!F6:F8)&gt;1,MIN(AX17,AZ17,BB17,BA17)&lt;-0.01),1,0)+'Responsibilities'!$B$40</f>
        <v/>
      </c>
      <c r="BL17" s="137">
        <f>SUMIFS('Production schedule'!$T$6:$T$113,'Production schedule'!$C$6:$C$113,12)</f>
        <v/>
      </c>
      <c r="BM17" s="137">
        <f>D17*'NM Play'!$B$38</f>
        <v/>
      </c>
      <c r="BN17" s="137">
        <f>SUMIFS('Production schedule'!$AM$6:$AM$113,'Production schedule'!$C$6:$C$113,12)</f>
        <v/>
      </c>
      <c r="BO17" s="137">
        <f>AK17-AK16-AJ17</f>
        <v/>
      </c>
      <c r="BP17" s="137">
        <f>IF(AND('Assumptions'!$B$39&gt;=0,'Assumptions'!$B$40&gt;0),-PMT('Assumptions'!$B$39/12,'Assumptions'!$B$40*12,IF('Funding'!$N$11&gt;0,'Funding'!$N$11,'Funding'!$R$11)),"")</f>
        <v/>
      </c>
      <c r="BQ17">
        <f>('Production schedule'!AJ17)*(1-'Responsibilities'!$C$6)+('Production schedule'!AJ53)*(1-'Responsibilities'!$C$7)+('Production schedule'!AJ89)*(1-'Responsibilities'!$C$8)</f>
        <v/>
      </c>
      <c r="BR17">
        <f>('Production schedule'!AI17)*(1-'Responsibilities'!$D$6)+('Production schedule'!AI53)*(1-'Responsibilities'!$D$7)+('Production schedule'!AI89)*(1-'Responsibilities'!$D$8)</f>
        <v/>
      </c>
      <c r="BS17">
        <f>('Production schedule'!E17*(IF('Sites'!D6="Annual staff",SUM('Assumptions'!O112,'Assumptions'!O114),0)+SUM('Assumptions'!O113,'Assumptions'!O115:O116)))*(1-'Responsibilities'!$E$6)+('Production schedule'!E53*(IF('Sites'!D7="Annual staff",SUM('Assumptions'!O117,'Assumptions'!O119),0)+SUM('Assumptions'!O118,'Assumptions'!O120:O121)))*(1-'Responsibilities'!$E$7)+('Production schedule'!E89*(IF('Sites'!D8="Annual staff",SUM('Assumptions'!O122,'Assumptions'!O124),0)+SUM('Assumptions'!O123,'Assumptions'!O125:O126)))*(1-'Responsibilities'!$E$8)</f>
        <v/>
      </c>
      <c r="BT17">
        <f>(IF(AND('Production schedule'!E17=1,12=MAX(('Sites'!F6),1),ISNUMBER('Sites'!O6)),'Sites'!O6*'Assumptions'!$B$44,0))*(1-'Responsibilities'!$F$6)+(IF(AND('Production schedule'!E53=1,12=MAX(('Sites'!F7+'Cases'!G6),1),ISNUMBER('Sites'!O7)),'Sites'!O7*'Assumptions'!$B$44,0))*(1-'Responsibilities'!$F$7)+(IF(AND('Production schedule'!E89=1,12=MAX(('Sites'!F8+'Cases'!G6),1),ISNUMBER('Sites'!O8)),'Sites'!O8*'Assumptions'!$B$44,0))*(1-'Responsibilities'!$F$8)</f>
        <v/>
      </c>
      <c r="BU17">
        <f>SUM('Costs'!E36)*'Costs'!F36/12*(1-'Responsibilities'!$C$12)+SUM('Costs'!E37)*'Costs'!F37/12*(1-'Responsibilities'!$C$13)+SUM('Costs'!E38)*'Costs'!F38/12*(1-'Responsibilities'!$C$14)+SUM('Costs'!E39)*'Costs'!F39/12*(1-'Responsibilities'!$C$15)+SUM('Costs'!E40)*'Costs'!F40/12*(1-'Responsibilities'!$C$16)</f>
        <v/>
      </c>
      <c r="BV17">
        <f>('Sites'!E6*'Capital'!E6*(IF(12='Capital'!G6,'Capital'!F6,0)+IF(12='Capital'!H6,1-'Capital'!F6,0)))*(1-'Responsibilities'!$G$6)+('Sites'!E7*'Capital'!E7*(IF(12='Capital'!G7+'Cases'!G6,'Capital'!F7,0)+IF(12='Capital'!H7+'Cases'!G6,1-'Capital'!F7,0)))*(1-'Responsibilities'!$G$7)+('Sites'!E8*'Cases'!F6*'Capital'!E8*(IF(12='Capital'!G8+'Cases'!G6,'Capital'!F8,0)+IF(12='Capital'!H8+'Cases'!G6,1-'Capital'!F8,0)))*(1-'Responsibilities'!$G$8)</f>
        <v/>
      </c>
      <c r="BW17">
        <f>SUM(BQ17:BV17)</f>
        <v/>
      </c>
      <c r="BX17">
        <f>N17+BW17</f>
        <v/>
      </c>
      <c r="BY17">
        <f>BX17-(('Production schedule'!AJ17)*'Responsibilities'!$C$6+('Production schedule'!AJ53)*'Responsibilities'!$C$7+('Production schedule'!AJ89)*'Responsibilities'!$C$8+('Production schedule'!AJ17)*(1-'Responsibilities'!$C$6)+('Production schedule'!AJ53)*(1-'Responsibilities'!$C$7)+('Production schedule'!AJ89)*(1-'Responsibilities'!$C$8)+('Production schedule'!AI17)*'Responsibilities'!$D$6+('Production schedule'!AI53)*'Responsibilities'!$D$7+('Production schedule'!AI89)*'Responsibilities'!$D$8+('Production schedule'!AI17)*(1-'Responsibilities'!$D$6)+('Production schedule'!AI53)*(1-'Responsibilities'!$D$7)+('Production schedule'!AI89)*(1-'Responsibilities'!$D$8)+('Production schedule'!E17*(IF('Sites'!D6="Annual staff",SUM('Assumptions'!O112,'Assumptions'!O114),0)+SUM('Assumptions'!O113,'Assumptions'!O115:O116)))*'Responsibilities'!$E$6+('Production schedule'!E53*(IF('Sites'!D7="Annual staff",SUM('Assumptions'!O117,'Assumptions'!O119),0)+SUM('Assumptions'!O118,'Assumptions'!O120:O121)))*'Responsibilities'!$E$7+('Production schedule'!E89*(IF('Sites'!D8="Annual staff",SUM('Assumptions'!O122,'Assumptions'!O124),0)+SUM('Assumptions'!O123,'Assumptions'!O125:O126)))*'Responsibilities'!$E$8+('Production schedule'!E17*(IF('Sites'!D6="Annual staff",SUM('Assumptions'!O112,'Assumptions'!O114),0)+SUM('Assumptions'!O113,'Assumptions'!O115:O116)))*(1-'Responsibilities'!$E$6)+('Production schedule'!E53*(IF('Sites'!D7="Annual staff",SUM('Assumptions'!O117,'Assumptions'!O119),0)+SUM('Assumptions'!O118,'Assumptions'!O120:O121)))*(1-'Responsibilities'!$E$7)+('Production schedule'!E89*(IF('Sites'!D8="Annual staff",SUM('Assumptions'!O122,'Assumptions'!O124),0)+SUM('Assumptions'!O123,'Assumptions'!O125:O126)))*(1-'Responsibilities'!$E$8)+(IF(AND('Production schedule'!E17=1,12=MAX(('Sites'!F6),1),ISNUMBER('Sites'!O6)),'Sites'!O6*'Assumptions'!$B$44,0))*'Responsibilities'!$F$6+(IF(AND('Production schedule'!E53=1,12=MAX(('Sites'!F7+'Cases'!G6),1),ISNUMBER('Sites'!O7)),'Sites'!O7*'Assumptions'!$B$44,0))*'Responsibilities'!$F$7+(IF(AND('Production schedule'!E89=1,12=MAX(('Sites'!F8+'Cases'!G6),1),ISNUMBER('Sites'!O8)),'Sites'!O8*'Assumptions'!$B$44,0))*'Responsibilities'!$F$8+(IF(AND('Production schedule'!E17=1,12=MAX(('Sites'!F6),1),ISNUMBER('Sites'!O6)),'Sites'!O6*'Assumptions'!$B$44,0))*(1-'Responsibilities'!$F$6)+(IF(AND('Production schedule'!E53=1,12=MAX(('Sites'!F7+'Cases'!G6),1),ISNUMBER('Sites'!O7)),'Sites'!O7*'Assumptions'!$B$44,0))*(1-'Responsibilities'!$F$7)+(IF(AND('Production schedule'!E89=1,12=MAX(('Sites'!F8+'Cases'!G6),1),ISNUMBER('Sites'!O8)),'Sites'!O8*'Assumptions'!$B$44,0))*(1-'Responsibilities'!$F$8)+('Sites'!E6*'Capital'!E6*(IF(12='Capital'!G6,'Capital'!F6,0)+IF(12='Capital'!H6,1-'Capital'!F6,0)))*'Responsibilities'!$G$6+('Sites'!E7*'Capital'!E7*(IF(12='Capital'!G7+'Cases'!G6,'Capital'!F7,0)+IF(12='Capital'!H7+'Cases'!G6,1-'Capital'!F7,0)))*'Responsibilities'!$G$7+('Sites'!E8*'Cases'!F6*'Capital'!E8*(IF(12='Capital'!G8+'Cases'!G6,'Capital'!F8,0)+IF(12='Capital'!H8+'Cases'!G6,1-'Capital'!F8,0)))*'Responsibilities'!$G$8+('Sites'!E6*'Capital'!E6*(IF(12='Capital'!G6,'Capital'!F6,0)+IF(12='Capital'!H6,1-'Capital'!F6,0)))*(1-'Responsibilities'!$G$6)+('Sites'!E7*'Capital'!E7*(IF(12='Capital'!G7+'Cases'!G6,'Capital'!F7,0)+IF(12='Capital'!H7+'Cases'!G6,1-'Capital'!F7,0)))*(1-'Responsibilities'!$G$7)+('Sites'!E8*'Cases'!F6*'Capital'!E8*(IF(12='Capital'!G8+'Cases'!G6,'Capital'!F8,0)+IF(12='Capital'!H8+'Cases'!G6,1-'Capital'!F8,0)))*(1-'Responsibilities'!$G$8)+I17+SUMPRODUCT('Costs'!$E$36:$E$40,'Costs'!$F$36:$F$40)/12+BZ17)</f>
        <v/>
      </c>
      <c r="BZ17">
        <f>SUMIFS('Responsibilities'!$B$31:$B$35,'Responsibilities'!$C$31:$C$35,12,'Responsibilities'!$D$31:$D$35,"Yes")</f>
        <v/>
      </c>
    </row>
    <row r="18" ht="28" customHeight="1">
      <c r="A18" s="4" t="inlineStr">
        <is>
          <t>Full</t>
        </is>
      </c>
      <c r="B18" s="4" t="n">
        <v>13</v>
      </c>
      <c r="C18" s="4">
        <f>ROUNDUP(B18/12,0)</f>
        <v/>
      </c>
      <c r="D18" s="137">
        <f>SUMIFS('Production schedule'!$N$6:$N$113,'Production schedule'!$C$6:$C$113,13)</f>
        <v/>
      </c>
      <c r="E18" s="137">
        <f>SUMIFS('Production schedule'!$Y$6:$Y$113,'Production schedule'!$C$6:$C$113,13)</f>
        <v/>
      </c>
      <c r="F18" s="137">
        <f>SUMIFS('Production schedule'!$Z$6:$Z$113,'Production schedule'!$C$6:$C$113,13)</f>
        <v/>
      </c>
      <c r="G18" s="137">
        <f>('Production schedule'!AJ18)*'Responsibilities'!$C$6+('Production schedule'!AJ54)*'Responsibilities'!$C$7+('Production schedule'!AJ90)*'Responsibilities'!$C$8</f>
        <v/>
      </c>
      <c r="H18" s="137">
        <f>('Production schedule'!AI18)*'Responsibilities'!$D$6+('Production schedule'!AI54)*'Responsibilities'!$D$7+('Production schedule'!AI90)*'Responsibilities'!$D$8</f>
        <v/>
      </c>
      <c r="I18" s="137">
        <f>SUM('Assumptions'!P58:P65)</f>
        <v/>
      </c>
      <c r="J18" s="137">
        <f>('Production schedule'!E18*(IF('Sites'!D6="Annual staff",SUM('Assumptions'!P112,'Assumptions'!P114),0)+SUM('Assumptions'!P113,'Assumptions'!P115:P116)))*'Responsibilities'!$E$6+('Production schedule'!E54*(IF('Sites'!D7="Annual staff",SUM('Assumptions'!P117,'Assumptions'!P119),0)+SUM('Assumptions'!P118,'Assumptions'!P120:P121)))*'Responsibilities'!$E$7+('Production schedule'!E90*(IF('Sites'!D8="Annual staff",SUM('Assumptions'!P122,'Assumptions'!P124),0)+SUM('Assumptions'!P123,'Assumptions'!P125:P126)))*'Responsibilities'!$E$8</f>
        <v/>
      </c>
      <c r="K18" s="137">
        <f>(IF(AND('Production schedule'!E18=1,13=MAX(('Sites'!F6),13),ISNUMBER('Sites'!P6)),'Sites'!P6*'Assumptions'!$B$44,0))*'Responsibilities'!$F$6+(IF(AND('Production schedule'!E54=1,13=MAX(('Sites'!F7+'Cases'!G6),13),ISNUMBER('Sites'!P7)),'Sites'!P7*'Assumptions'!$B$44,0))*'Responsibilities'!$F$7+(IF(AND('Production schedule'!E90=1,13=MAX(('Sites'!F8+'Cases'!G6),13),ISNUMBER('Sites'!P8)),'Sites'!P8*'Assumptions'!$B$44,0))*'Responsibilities'!$F$8</f>
        <v/>
      </c>
      <c r="L18" s="137">
        <f>SUM('Costs'!E36)*'Costs'!F36/12*'Responsibilities'!$C$12+SUM('Costs'!E37)*'Costs'!F37/12*'Responsibilities'!$C$13+SUM('Costs'!E38)*'Costs'!F38/12*'Responsibilities'!$C$14+SUM('Costs'!E39)*'Costs'!F39/12*'Responsibilities'!$C$15+SUM('Costs'!E40)*'Costs'!F40/12*'Responsibilities'!$C$16+BZ18</f>
        <v/>
      </c>
      <c r="M18" s="137">
        <f>('Sites'!E6*'Capital'!E6*(IF(13='Capital'!G6,'Capital'!F6,0)+IF(13='Capital'!H6,1-'Capital'!F6,0)))*'Responsibilities'!$G$6+('Sites'!E7*'Capital'!E7*(IF(13='Capital'!G7+'Cases'!G6,'Capital'!F7,0)+IF(13='Capital'!H7+'Cases'!G6,1-'Capital'!F7,0)))*'Responsibilities'!$G$7+('Sites'!E8*'Cases'!F6*'Capital'!E8*(IF(13='Capital'!G8+'Cases'!G6,'Capital'!F8,0)+IF(13='Capital'!H8+'Cases'!G6,1-'Capital'!F8,0)))*'Responsibilities'!$G$8</f>
        <v/>
      </c>
      <c r="N18" s="137">
        <f>SUM(G18:M18)</f>
        <v/>
      </c>
      <c r="O18" s="137">
        <f>SUMIFS(FundingTranches[Secured amount],FundingTranches[Instrument],"Grant",FundingTranches[Secured month],13)</f>
        <v/>
      </c>
      <c r="P18" s="137">
        <f>SUMIFS(FundingTranches[Full possible],FundingTranches[Instrument],"Grant",FundingTranches[Scenario month],13-'Cases'!$D$6)</f>
        <v/>
      </c>
      <c r="Q18" s="137">
        <f>SUMIFS(FundingTranches[Secured amount],FundingTranches[Instrument],"Loan",FundingTranches[Secured month],13)</f>
        <v/>
      </c>
      <c r="R18" s="137">
        <f>SUMIFS(FundingTranches[Full possible],FundingTranches[Instrument],"Loan",FundingTranches[Scenario month],13-'Cases'!$D$6)</f>
        <v/>
      </c>
      <c r="S18" s="137">
        <f>IF(13&lt;='Assumptions'!$B$34,0,SUMIFS('Production schedule'!$AL$6:$AL$113,'Production schedule'!$C$6:$C$113,13-'Assumptions'!$B$34))</f>
        <v/>
      </c>
      <c r="T18" s="137">
        <f>'Assumptions'!P70</f>
        <v/>
      </c>
      <c r="U18" s="137">
        <f>'Assumptions'!P78</f>
        <v/>
      </c>
      <c r="V18" s="137">
        <f>SUM(O18:U18)</f>
        <v/>
      </c>
      <c r="W18" s="137">
        <f>AA17</f>
        <v/>
      </c>
      <c r="X18" s="137">
        <f>SUM(Q18:R18)</f>
        <v/>
      </c>
      <c r="Y18" s="137">
        <f>SUM(W18,X18)*'Assumptions'!$B$39/12</f>
        <v/>
      </c>
      <c r="Z18" s="137">
        <f>IF(SUM(W18,X18)&gt;0,MIN(SUM(W18,X18),MAX(0,BP18-Y18)),0)</f>
        <v/>
      </c>
      <c r="AA18" s="137">
        <f>SUM(W18,X18)-Z18</f>
        <v/>
      </c>
      <c r="AB18" s="137">
        <f>SUM(Y18:Z18)</f>
        <v/>
      </c>
      <c r="AC18" s="137">
        <f>'Assumptions'!P72</f>
        <v/>
      </c>
      <c r="AD18" s="137">
        <f>'Assumptions'!P73</f>
        <v/>
      </c>
      <c r="AE18" s="137">
        <f>IF(X18&gt;0,SUM('Assumptions'!$B$42),0)</f>
        <v/>
      </c>
      <c r="AF18" s="137">
        <f>'Assumptions'!P71</f>
        <v/>
      </c>
      <c r="AG18" s="137">
        <f>'Assumptions'!P74</f>
        <v/>
      </c>
      <c r="AH18" s="137">
        <f>'Assumptions'!P75</f>
        <v/>
      </c>
      <c r="AI18" s="137">
        <f>'Assumptions'!P77</f>
        <v/>
      </c>
      <c r="AJ18" s="137">
        <f>V18-N18-SUM(AB18:AI18)</f>
        <v/>
      </c>
      <c r="AK18" s="137">
        <f>SUM(AJ6:AJ18)</f>
        <v/>
      </c>
      <c r="AL18" s="137">
        <f>IF(ISNUMBER('Assumptions'!$B$10),'Assumptions'!$B$10+AK18,"")</f>
        <v/>
      </c>
      <c r="AM18" s="137">
        <f>SUM(O18,Q18,T18)-N18-SUM(AC18:AI18)+IF('Funding'!$N$11=0,AE18,0)-IF('Funding'!$N$11&gt;0,AB18,0)</f>
        <v/>
      </c>
      <c r="AN18" s="137">
        <f>SUM(AM6:AM18)</f>
        <v/>
      </c>
      <c r="AO18" s="137">
        <f>IF(ISNUMBER('Assumptions'!$B$10),'Assumptions'!$B$10+AN18,"")</f>
        <v/>
      </c>
      <c r="AP18" s="137">
        <f>('Production schedule'!AK18)*'Responsibilities'!$C$6+('Production schedule'!AK54)*'Responsibilities'!$C$7+('Production schedule'!AK90)*'Responsibilities'!$C$8</f>
        <v/>
      </c>
      <c r="AQ18" s="137">
        <f>SUMIFS('Production schedule'!$AL$6:$AL$113,'Production schedule'!$C$6:$C$113,13)</f>
        <v/>
      </c>
      <c r="AR18" s="137">
        <f>IF(ISNUMBER('Assumptions'!P76),'Assumptions'!P76,SUM(O18:P18))</f>
        <v/>
      </c>
      <c r="AS18" s="137">
        <f>IF(ISNUMBER('Assumptions'!$B$13),MIN('Assumptions'!$B$13/'Assumptions'!$B$18/12,MAX(0,'Assumptions'!$B$13-(13-1)*'Assumptions'!$B$13/'Assumptions'!$B$18/12)),0)+IF(AND('Sites'!E6=1,13&gt;=('Sites'!F6),13&lt;('Sites'!F6)+'Assumptions'!$B$18*12),'Capital'!E6/'Assumptions'!$B$18/12,0)+IF(AND('Sites'!E7=1,13&gt;=('Sites'!F7+'Cases'!G6),13&lt;('Sites'!F7+'Cases'!G6)+'Assumptions'!$B$18*12),'Capital'!E7/'Assumptions'!$B$18/12,0)+IF(AND('Sites'!E8*'Cases'!F6=1,13&gt;=('Sites'!F8+'Cases'!G6),13&lt;('Sites'!F8+'Cases'!G6)+'Assumptions'!$B$18*12),'Capital'!E8/'Assumptions'!$B$18/12,0)</f>
        <v/>
      </c>
      <c r="AT18" s="137">
        <f>SUM(AQ18,AR18,U18)-AP18-SUM(H18:L18)-AS18-SUM(Y18,AD18,AE18,AH18)</f>
        <v/>
      </c>
      <c r="AU18" s="137">
        <f>IF(ISNUMBER('Assumptions'!$B$19),MAX(0,SUM(AT18:AT18))*'Assumptions'!$B$19-0,"")</f>
        <v/>
      </c>
      <c r="AV18" s="137">
        <f>IF(ISNUMBER(AU18),AT18-AU18,"")</f>
        <v/>
      </c>
      <c r="AW18" s="137">
        <f>IF(ISNUMBER('Assumptions'!$B$11),'Assumptions'!$B$11+SUM(AQ6:AQ18)-SUM(S6:S18)-SUM(T6:T18),"")</f>
        <v/>
      </c>
      <c r="AX18" s="137">
        <f>IF(ISNUMBER('Assumptions'!$B$12),'Assumptions'!$B$12+SUM(G6:G18)-SUM(AP6:AP18),"")</f>
        <v/>
      </c>
      <c r="AY18" s="137">
        <f>IF(ISNUMBER('Assumptions'!$B$13),'Assumptions'!$B$13+SUM(M6:M18)-SUM(AS6:AS18),"")</f>
        <v/>
      </c>
      <c r="AZ18" s="137">
        <f>IF(ISNUMBER('Assumptions'!$B$14),'Assumptions'!$B$14+-SUM(AF6:AF18),"")</f>
        <v/>
      </c>
      <c r="BA18" s="137">
        <f>IF(ISNUMBER('Assumptions'!$B$15),'Assumptions'!$B$15+SUM(O6:O18)+SUM(P6:P18)-SUM(AR6:AR18),"")</f>
        <v/>
      </c>
      <c r="BB18" s="137">
        <f>IF(ISNUMBER('Assumptions'!$B$16),'Assumptions'!$B$16+-SUM(AC6:AC18),"")</f>
        <v/>
      </c>
      <c r="BC18" s="137">
        <f>IF(AND(ISNUMBER('Assumptions'!$B$21),ISNUMBER('Assumptions'!$B$19)),'Assumptions'!$B$21+SUM(AU6:AU18)-SUM(AG6:AG18),"")</f>
        <v/>
      </c>
      <c r="BD18" s="137">
        <f>IF(ISNUMBER('Assumptions'!$B$20),'Assumptions'!$B$20+-SUM(AI6:AI18),"")</f>
        <v/>
      </c>
      <c r="BE18" s="137">
        <f>IF(AND(ISNUMBER('Assumptions'!$B$17),COUNT(AV6:AV18)=13),'Assumptions'!$B$17+SUM(AV6:AV18),"")</f>
        <v/>
      </c>
      <c r="BF18" s="137">
        <f>IF(COUNT(AL18,AW18:AY18)=4,SUM(AL18,AW18:AY18),"")</f>
        <v/>
      </c>
      <c r="BG18" s="137">
        <f>IF(COUNT(AZ18:BD18)=5,SUM(AZ18:BD18,AA18),"")</f>
        <v/>
      </c>
      <c r="BH18" s="137">
        <f>IF(COUNT(BF18,BG18,BE18)=3,BF18-BG18-BE18,"")</f>
        <v/>
      </c>
      <c r="BI18" s="137">
        <f>SUM(W18,X18)-Z18-AA18</f>
        <v/>
      </c>
      <c r="BJ18" s="137">
        <f>8-COUNT('Assumptions'!P58:P65)+COUNTBLANK('NM Play'!B33:B34)+'Costs'!E44+IF(AND('Sites'!E6=1,('Sites'!F6)&lt;=24,'Sites'!G6&gt;=13),IF(ISNUMBER('Sites'!P6),0,1)+'Capital'!I6+COUNTBLANK('Sites'!R6)+IF('Sites'!D6="NM crew",COUNTBLANK('NM Play'!B25)+1,5-COUNT('Assumptions'!P112:P116)),0)+IF(AND('Sites'!E7=1,('Sites'!F7+'Cases'!G6)&lt;=24,'Sites'!G7&gt;=13),IF(ISNUMBER('Sites'!P7),0,1)+'Capital'!I7+COUNTBLANK('Sites'!R7)+IF('Sites'!D7="NM crew",COUNTBLANK('NM Play'!B25)+1,5-COUNT('Assumptions'!P117:P121)),0)+IF(AND('Sites'!E8*'Cases'!F6=1,('Sites'!F8+'Cases'!G6)&lt;=24,'Sites'!G8&gt;=13),IF(ISNUMBER('Sites'!P8),0,1)+'Capital'!I8+COUNTBLANK('Sites'!R8)+IF('Sites'!D8="NM crew",COUNTBLANK('NM Play'!B25)+1,5-COUNT('Assumptions'!P122:P126)),0)+IF(AND('Cases'!C6&gt;0,NOT(ISNUMBER('Assumptions'!B42))),1,0)+'Responsibilities'!$B$39</f>
        <v/>
      </c>
      <c r="BK18" s="137">
        <f>'Assumptions'!$B$50+'NM Play'!$B$83+'Funding'!$F$20+SUMIFS('Production schedule'!$AN$6:$AN$113,'Production schedule'!$C$6:$C$113,13)+IF(OR('Cases'!E6&lt;0,'Cases'!E6&gt;1,'Cases'!C6&lt;0,'Cases'!D6&lt;0,ABS(SUM('Sites'!S6:S8)-1)&gt;0.0001,MIN('Capital'!F6:F8)&lt;0,MAX('Capital'!F6:F8)&gt;1,MIN(AX18,AZ18,BB18,BA18)&lt;-0.01),1,0)+'Responsibilities'!$B$40</f>
        <v/>
      </c>
      <c r="BL18" s="137">
        <f>SUMIFS('Production schedule'!$T$6:$T$113,'Production schedule'!$C$6:$C$113,13)</f>
        <v/>
      </c>
      <c r="BM18" s="137">
        <f>D18*'NM Play'!$B$38</f>
        <v/>
      </c>
      <c r="BN18" s="137">
        <f>SUMIFS('Production schedule'!$AM$6:$AM$113,'Production schedule'!$C$6:$C$113,13)</f>
        <v/>
      </c>
      <c r="BO18" s="137">
        <f>AK18-AK17-AJ18</f>
        <v/>
      </c>
      <c r="BP18" s="137">
        <f>IF(AND('Assumptions'!$B$39&gt;=0,'Assumptions'!$B$40&gt;0),-PMT('Assumptions'!$B$39/12,'Assumptions'!$B$40*12,IF('Funding'!$N$11&gt;0,'Funding'!$N$11,'Funding'!$R$11)),"")</f>
        <v/>
      </c>
      <c r="BQ18">
        <f>('Production schedule'!AJ18)*(1-'Responsibilities'!$C$6)+('Production schedule'!AJ54)*(1-'Responsibilities'!$C$7)+('Production schedule'!AJ90)*(1-'Responsibilities'!$C$8)</f>
        <v/>
      </c>
      <c r="BR18">
        <f>('Production schedule'!AI18)*(1-'Responsibilities'!$D$6)+('Production schedule'!AI54)*(1-'Responsibilities'!$D$7)+('Production schedule'!AI90)*(1-'Responsibilities'!$D$8)</f>
        <v/>
      </c>
      <c r="BS18">
        <f>('Production schedule'!E18*(IF('Sites'!D6="Annual staff",SUM('Assumptions'!P112,'Assumptions'!P114),0)+SUM('Assumptions'!P113,'Assumptions'!P115:P116)))*(1-'Responsibilities'!$E$6)+('Production schedule'!E54*(IF('Sites'!D7="Annual staff",SUM('Assumptions'!P117,'Assumptions'!P119),0)+SUM('Assumptions'!P118,'Assumptions'!P120:P121)))*(1-'Responsibilities'!$E$7)+('Production schedule'!E90*(IF('Sites'!D8="Annual staff",SUM('Assumptions'!P122,'Assumptions'!P124),0)+SUM('Assumptions'!P123,'Assumptions'!P125:P126)))*(1-'Responsibilities'!$E$8)</f>
        <v/>
      </c>
      <c r="BT18">
        <f>(IF(AND('Production schedule'!E18=1,13=MAX(('Sites'!F6),13),ISNUMBER('Sites'!P6)),'Sites'!P6*'Assumptions'!$B$44,0))*(1-'Responsibilities'!$F$6)+(IF(AND('Production schedule'!E54=1,13=MAX(('Sites'!F7+'Cases'!G6),13),ISNUMBER('Sites'!P7)),'Sites'!P7*'Assumptions'!$B$44,0))*(1-'Responsibilities'!$F$7)+(IF(AND('Production schedule'!E90=1,13=MAX(('Sites'!F8+'Cases'!G6),13),ISNUMBER('Sites'!P8)),'Sites'!P8*'Assumptions'!$B$44,0))*(1-'Responsibilities'!$F$8)</f>
        <v/>
      </c>
      <c r="BU18">
        <f>SUM('Costs'!E36)*'Costs'!F36/12*(1-'Responsibilities'!$C$12)+SUM('Costs'!E37)*'Costs'!F37/12*(1-'Responsibilities'!$C$13)+SUM('Costs'!E38)*'Costs'!F38/12*(1-'Responsibilities'!$C$14)+SUM('Costs'!E39)*'Costs'!F39/12*(1-'Responsibilities'!$C$15)+SUM('Costs'!E40)*'Costs'!F40/12*(1-'Responsibilities'!$C$16)</f>
        <v/>
      </c>
      <c r="BV18">
        <f>('Sites'!E6*'Capital'!E6*(IF(13='Capital'!G6,'Capital'!F6,0)+IF(13='Capital'!H6,1-'Capital'!F6,0)))*(1-'Responsibilities'!$G$6)+('Sites'!E7*'Capital'!E7*(IF(13='Capital'!G7+'Cases'!G6,'Capital'!F7,0)+IF(13='Capital'!H7+'Cases'!G6,1-'Capital'!F7,0)))*(1-'Responsibilities'!$G$7)+('Sites'!E8*'Cases'!F6*'Capital'!E8*(IF(13='Capital'!G8+'Cases'!G6,'Capital'!F8,0)+IF(13='Capital'!H8+'Cases'!G6,1-'Capital'!F8,0)))*(1-'Responsibilities'!$G$8)</f>
        <v/>
      </c>
      <c r="BW18">
        <f>SUM(BQ18:BV18)</f>
        <v/>
      </c>
      <c r="BX18">
        <f>N18+BW18</f>
        <v/>
      </c>
      <c r="BY18">
        <f>BX18-(('Production schedule'!AJ18)*'Responsibilities'!$C$6+('Production schedule'!AJ54)*'Responsibilities'!$C$7+('Production schedule'!AJ90)*'Responsibilities'!$C$8+('Production schedule'!AJ18)*(1-'Responsibilities'!$C$6)+('Production schedule'!AJ54)*(1-'Responsibilities'!$C$7)+('Production schedule'!AJ90)*(1-'Responsibilities'!$C$8)+('Production schedule'!AI18)*'Responsibilities'!$D$6+('Production schedule'!AI54)*'Responsibilities'!$D$7+('Production schedule'!AI90)*'Responsibilities'!$D$8+('Production schedule'!AI18)*(1-'Responsibilities'!$D$6)+('Production schedule'!AI54)*(1-'Responsibilities'!$D$7)+('Production schedule'!AI90)*(1-'Responsibilities'!$D$8)+('Production schedule'!E18*(IF('Sites'!D6="Annual staff",SUM('Assumptions'!P112,'Assumptions'!P114),0)+SUM('Assumptions'!P113,'Assumptions'!P115:P116)))*'Responsibilities'!$E$6+('Production schedule'!E54*(IF('Sites'!D7="Annual staff",SUM('Assumptions'!P117,'Assumptions'!P119),0)+SUM('Assumptions'!P118,'Assumptions'!P120:P121)))*'Responsibilities'!$E$7+('Production schedule'!E90*(IF('Sites'!D8="Annual staff",SUM('Assumptions'!P122,'Assumptions'!P124),0)+SUM('Assumptions'!P123,'Assumptions'!P125:P126)))*'Responsibilities'!$E$8+('Production schedule'!E18*(IF('Sites'!D6="Annual staff",SUM('Assumptions'!P112,'Assumptions'!P114),0)+SUM('Assumptions'!P113,'Assumptions'!P115:P116)))*(1-'Responsibilities'!$E$6)+('Production schedule'!E54*(IF('Sites'!D7="Annual staff",SUM('Assumptions'!P117,'Assumptions'!P119),0)+SUM('Assumptions'!P118,'Assumptions'!P120:P121)))*(1-'Responsibilities'!$E$7)+('Production schedule'!E90*(IF('Sites'!D8="Annual staff",SUM('Assumptions'!P122,'Assumptions'!P124),0)+SUM('Assumptions'!P123,'Assumptions'!P125:P126)))*(1-'Responsibilities'!$E$8)+(IF(AND('Production schedule'!E18=1,13=MAX(('Sites'!F6),13),ISNUMBER('Sites'!P6)),'Sites'!P6*'Assumptions'!$B$44,0))*'Responsibilities'!$F$6+(IF(AND('Production schedule'!E54=1,13=MAX(('Sites'!F7+'Cases'!G6),13),ISNUMBER('Sites'!P7)),'Sites'!P7*'Assumptions'!$B$44,0))*'Responsibilities'!$F$7+(IF(AND('Production schedule'!E90=1,13=MAX(('Sites'!F8+'Cases'!G6),13),ISNUMBER('Sites'!P8)),'Sites'!P8*'Assumptions'!$B$44,0))*'Responsibilities'!$F$8+(IF(AND('Production schedule'!E18=1,13=MAX(('Sites'!F6),13),ISNUMBER('Sites'!P6)),'Sites'!P6*'Assumptions'!$B$44,0))*(1-'Responsibilities'!$F$6)+(IF(AND('Production schedule'!E54=1,13=MAX(('Sites'!F7+'Cases'!G6),13),ISNUMBER('Sites'!P7)),'Sites'!P7*'Assumptions'!$B$44,0))*(1-'Responsibilities'!$F$7)+(IF(AND('Production schedule'!E90=1,13=MAX(('Sites'!F8+'Cases'!G6),13),ISNUMBER('Sites'!P8)),'Sites'!P8*'Assumptions'!$B$44,0))*(1-'Responsibilities'!$F$8)+('Sites'!E6*'Capital'!E6*(IF(13='Capital'!G6,'Capital'!F6,0)+IF(13='Capital'!H6,1-'Capital'!F6,0)))*'Responsibilities'!$G$6+('Sites'!E7*'Capital'!E7*(IF(13='Capital'!G7+'Cases'!G6,'Capital'!F7,0)+IF(13='Capital'!H7+'Cases'!G6,1-'Capital'!F7,0)))*'Responsibilities'!$G$7+('Sites'!E8*'Cases'!F6*'Capital'!E8*(IF(13='Capital'!G8+'Cases'!G6,'Capital'!F8,0)+IF(13='Capital'!H8+'Cases'!G6,1-'Capital'!F8,0)))*'Responsibilities'!$G$8+('Sites'!E6*'Capital'!E6*(IF(13='Capital'!G6,'Capital'!F6,0)+IF(13='Capital'!H6,1-'Capital'!F6,0)))*(1-'Responsibilities'!$G$6)+('Sites'!E7*'Capital'!E7*(IF(13='Capital'!G7+'Cases'!G6,'Capital'!F7,0)+IF(13='Capital'!H7+'Cases'!G6,1-'Capital'!F7,0)))*(1-'Responsibilities'!$G$7)+('Sites'!E8*'Cases'!F6*'Capital'!E8*(IF(13='Capital'!G8+'Cases'!G6,'Capital'!F8,0)+IF(13='Capital'!H8+'Cases'!G6,1-'Capital'!F8,0)))*(1-'Responsibilities'!$G$8)+I18+SUMPRODUCT('Costs'!$E$36:$E$40,'Costs'!$F$36:$F$40)/12+BZ18)</f>
        <v/>
      </c>
      <c r="BZ18">
        <f>SUMIFS('Responsibilities'!$B$31:$B$35,'Responsibilities'!$C$31:$C$35,13,'Responsibilities'!$D$31:$D$35,"Yes")</f>
        <v/>
      </c>
    </row>
    <row r="19" ht="28" customHeight="1">
      <c r="A19" s="4" t="inlineStr">
        <is>
          <t>Full</t>
        </is>
      </c>
      <c r="B19" s="4" t="n">
        <v>14</v>
      </c>
      <c r="C19" s="4">
        <f>ROUNDUP(B19/12,0)</f>
        <v/>
      </c>
      <c r="D19" s="137">
        <f>SUMIFS('Production schedule'!$N$6:$N$113,'Production schedule'!$C$6:$C$113,14)</f>
        <v/>
      </c>
      <c r="E19" s="137">
        <f>SUMIFS('Production schedule'!$Y$6:$Y$113,'Production schedule'!$C$6:$C$113,14)</f>
        <v/>
      </c>
      <c r="F19" s="137">
        <f>SUMIFS('Production schedule'!$Z$6:$Z$113,'Production schedule'!$C$6:$C$113,14)</f>
        <v/>
      </c>
      <c r="G19" s="137">
        <f>('Production schedule'!AJ19)*'Responsibilities'!$C$6+('Production schedule'!AJ55)*'Responsibilities'!$C$7+('Production schedule'!AJ91)*'Responsibilities'!$C$8</f>
        <v/>
      </c>
      <c r="H19" s="137">
        <f>('Production schedule'!AI19)*'Responsibilities'!$D$6+('Production schedule'!AI55)*'Responsibilities'!$D$7+('Production schedule'!AI91)*'Responsibilities'!$D$8</f>
        <v/>
      </c>
      <c r="I19" s="137">
        <f>SUM('Assumptions'!Q58:Q65)</f>
        <v/>
      </c>
      <c r="J19" s="137">
        <f>('Production schedule'!E19*(IF('Sites'!D6="Annual staff",SUM('Assumptions'!Q112,'Assumptions'!Q114),0)+SUM('Assumptions'!Q113,'Assumptions'!Q115:Q116)))*'Responsibilities'!$E$6+('Production schedule'!E55*(IF('Sites'!D7="Annual staff",SUM('Assumptions'!Q117,'Assumptions'!Q119),0)+SUM('Assumptions'!Q118,'Assumptions'!Q120:Q121)))*'Responsibilities'!$E$7+('Production schedule'!E91*(IF('Sites'!D8="Annual staff",SUM('Assumptions'!Q122,'Assumptions'!Q124),0)+SUM('Assumptions'!Q123,'Assumptions'!Q125:Q126)))*'Responsibilities'!$E$8</f>
        <v/>
      </c>
      <c r="K19" s="137">
        <f>(IF(AND('Production schedule'!E19=1,14=MAX(('Sites'!F6),13),ISNUMBER('Sites'!P6)),'Sites'!P6*'Assumptions'!$B$44,0))*'Responsibilities'!$F$6+(IF(AND('Production schedule'!E55=1,14=MAX(('Sites'!F7+'Cases'!G6),13),ISNUMBER('Sites'!P7)),'Sites'!P7*'Assumptions'!$B$44,0))*'Responsibilities'!$F$7+(IF(AND('Production schedule'!E91=1,14=MAX(('Sites'!F8+'Cases'!G6),13),ISNUMBER('Sites'!P8)),'Sites'!P8*'Assumptions'!$B$44,0))*'Responsibilities'!$F$8</f>
        <v/>
      </c>
      <c r="L19" s="137">
        <f>SUM('Costs'!E36)*'Costs'!F36/12*'Responsibilities'!$C$12+SUM('Costs'!E37)*'Costs'!F37/12*'Responsibilities'!$C$13+SUM('Costs'!E38)*'Costs'!F38/12*'Responsibilities'!$C$14+SUM('Costs'!E39)*'Costs'!F39/12*'Responsibilities'!$C$15+SUM('Costs'!E40)*'Costs'!F40/12*'Responsibilities'!$C$16+BZ19</f>
        <v/>
      </c>
      <c r="M19" s="137">
        <f>('Sites'!E6*'Capital'!E6*(IF(14='Capital'!G6,'Capital'!F6,0)+IF(14='Capital'!H6,1-'Capital'!F6,0)))*'Responsibilities'!$G$6+('Sites'!E7*'Capital'!E7*(IF(14='Capital'!G7+'Cases'!G6,'Capital'!F7,0)+IF(14='Capital'!H7+'Cases'!G6,1-'Capital'!F7,0)))*'Responsibilities'!$G$7+('Sites'!E8*'Cases'!F6*'Capital'!E8*(IF(14='Capital'!G8+'Cases'!G6,'Capital'!F8,0)+IF(14='Capital'!H8+'Cases'!G6,1-'Capital'!F8,0)))*'Responsibilities'!$G$8</f>
        <v/>
      </c>
      <c r="N19" s="137">
        <f>SUM(G19:M19)</f>
        <v/>
      </c>
      <c r="O19" s="137">
        <f>SUMIFS(FundingTranches[Secured amount],FundingTranches[Instrument],"Grant",FundingTranches[Secured month],14)</f>
        <v/>
      </c>
      <c r="P19" s="137">
        <f>SUMIFS(FundingTranches[Full possible],FundingTranches[Instrument],"Grant",FundingTranches[Scenario month],14-'Cases'!$D$6)</f>
        <v/>
      </c>
      <c r="Q19" s="137">
        <f>SUMIFS(FundingTranches[Secured amount],FundingTranches[Instrument],"Loan",FundingTranches[Secured month],14)</f>
        <v/>
      </c>
      <c r="R19" s="137">
        <f>SUMIFS(FundingTranches[Full possible],FundingTranches[Instrument],"Loan",FundingTranches[Scenario month],14-'Cases'!$D$6)</f>
        <v/>
      </c>
      <c r="S19" s="137">
        <f>IF(14&lt;='Assumptions'!$B$34,0,SUMIFS('Production schedule'!$AL$6:$AL$113,'Production schedule'!$C$6:$C$113,14-'Assumptions'!$B$34))</f>
        <v/>
      </c>
      <c r="T19" s="137">
        <f>'Assumptions'!Q70</f>
        <v/>
      </c>
      <c r="U19" s="137">
        <f>'Assumptions'!Q78</f>
        <v/>
      </c>
      <c r="V19" s="137">
        <f>SUM(O19:U19)</f>
        <v/>
      </c>
      <c r="W19" s="137">
        <f>AA18</f>
        <v/>
      </c>
      <c r="X19" s="137">
        <f>SUM(Q19:R19)</f>
        <v/>
      </c>
      <c r="Y19" s="137">
        <f>SUM(W19,X19)*'Assumptions'!$B$39/12</f>
        <v/>
      </c>
      <c r="Z19" s="137">
        <f>IF(SUM(W19,X19)&gt;0,MIN(SUM(W19,X19),MAX(0,BP19-Y19)),0)</f>
        <v/>
      </c>
      <c r="AA19" s="137">
        <f>SUM(W19,X19)-Z19</f>
        <v/>
      </c>
      <c r="AB19" s="137">
        <f>SUM(Y19:Z19)</f>
        <v/>
      </c>
      <c r="AC19" s="137">
        <f>'Assumptions'!Q72</f>
        <v/>
      </c>
      <c r="AD19" s="137">
        <f>'Assumptions'!Q73</f>
        <v/>
      </c>
      <c r="AE19" s="137">
        <f>IF(X19&gt;0,SUM('Assumptions'!$B$42),0)</f>
        <v/>
      </c>
      <c r="AF19" s="137">
        <f>'Assumptions'!Q71</f>
        <v/>
      </c>
      <c r="AG19" s="137">
        <f>'Assumptions'!Q74</f>
        <v/>
      </c>
      <c r="AH19" s="137">
        <f>'Assumptions'!Q75</f>
        <v/>
      </c>
      <c r="AI19" s="137">
        <f>'Assumptions'!Q77</f>
        <v/>
      </c>
      <c r="AJ19" s="137">
        <f>V19-N19-SUM(AB19:AI19)</f>
        <v/>
      </c>
      <c r="AK19" s="137">
        <f>SUM(AJ6:AJ19)</f>
        <v/>
      </c>
      <c r="AL19" s="137">
        <f>IF(ISNUMBER('Assumptions'!$B$10),'Assumptions'!$B$10+AK19,"")</f>
        <v/>
      </c>
      <c r="AM19" s="137">
        <f>SUM(O19,Q19,T19)-N19-SUM(AC19:AI19)+IF('Funding'!$N$11=0,AE19,0)-IF('Funding'!$N$11&gt;0,AB19,0)</f>
        <v/>
      </c>
      <c r="AN19" s="137">
        <f>SUM(AM6:AM19)</f>
        <v/>
      </c>
      <c r="AO19" s="137">
        <f>IF(ISNUMBER('Assumptions'!$B$10),'Assumptions'!$B$10+AN19,"")</f>
        <v/>
      </c>
      <c r="AP19" s="137">
        <f>('Production schedule'!AK19)*'Responsibilities'!$C$6+('Production schedule'!AK55)*'Responsibilities'!$C$7+('Production schedule'!AK91)*'Responsibilities'!$C$8</f>
        <v/>
      </c>
      <c r="AQ19" s="137">
        <f>SUMIFS('Production schedule'!$AL$6:$AL$113,'Production schedule'!$C$6:$C$113,14)</f>
        <v/>
      </c>
      <c r="AR19" s="137">
        <f>IF(ISNUMBER('Assumptions'!Q76),'Assumptions'!Q76,SUM(O19:P19))</f>
        <v/>
      </c>
      <c r="AS19" s="137">
        <f>IF(ISNUMBER('Assumptions'!$B$13),MIN('Assumptions'!$B$13/'Assumptions'!$B$18/12,MAX(0,'Assumptions'!$B$13-(14-1)*'Assumptions'!$B$13/'Assumptions'!$B$18/12)),0)+IF(AND('Sites'!E6=1,14&gt;=('Sites'!F6),14&lt;('Sites'!F6)+'Assumptions'!$B$18*12),'Capital'!E6/'Assumptions'!$B$18/12,0)+IF(AND('Sites'!E7=1,14&gt;=('Sites'!F7+'Cases'!G6),14&lt;('Sites'!F7+'Cases'!G6)+'Assumptions'!$B$18*12),'Capital'!E7/'Assumptions'!$B$18/12,0)+IF(AND('Sites'!E8*'Cases'!F6=1,14&gt;=('Sites'!F8+'Cases'!G6),14&lt;('Sites'!F8+'Cases'!G6)+'Assumptions'!$B$18*12),'Capital'!E8/'Assumptions'!$B$18/12,0)</f>
        <v/>
      </c>
      <c r="AT19" s="137">
        <f>SUM(AQ19,AR19,U19)-AP19-SUM(H19:L19)-AS19-SUM(Y19,AD19,AE19,AH19)</f>
        <v/>
      </c>
      <c r="AU19" s="137">
        <f>IF(ISNUMBER('Assumptions'!$B$19),MAX(0,SUM(AT18:AT19))*'Assumptions'!$B$19-SUM(AU18:AU18),"")</f>
        <v/>
      </c>
      <c r="AV19" s="137">
        <f>IF(ISNUMBER(AU19),AT19-AU19,"")</f>
        <v/>
      </c>
      <c r="AW19" s="137">
        <f>IF(ISNUMBER('Assumptions'!$B$11),'Assumptions'!$B$11+SUM(AQ6:AQ19)-SUM(S6:S19)-SUM(T6:T19),"")</f>
        <v/>
      </c>
      <c r="AX19" s="137">
        <f>IF(ISNUMBER('Assumptions'!$B$12),'Assumptions'!$B$12+SUM(G6:G19)-SUM(AP6:AP19),"")</f>
        <v/>
      </c>
      <c r="AY19" s="137">
        <f>IF(ISNUMBER('Assumptions'!$B$13),'Assumptions'!$B$13+SUM(M6:M19)-SUM(AS6:AS19),"")</f>
        <v/>
      </c>
      <c r="AZ19" s="137">
        <f>IF(ISNUMBER('Assumptions'!$B$14),'Assumptions'!$B$14+-SUM(AF6:AF19),"")</f>
        <v/>
      </c>
      <c r="BA19" s="137">
        <f>IF(ISNUMBER('Assumptions'!$B$15),'Assumptions'!$B$15+SUM(O6:O19)+SUM(P6:P19)-SUM(AR6:AR19),"")</f>
        <v/>
      </c>
      <c r="BB19" s="137">
        <f>IF(ISNUMBER('Assumptions'!$B$16),'Assumptions'!$B$16+-SUM(AC6:AC19),"")</f>
        <v/>
      </c>
      <c r="BC19" s="137">
        <f>IF(AND(ISNUMBER('Assumptions'!$B$21),ISNUMBER('Assumptions'!$B$19)),'Assumptions'!$B$21+SUM(AU6:AU19)-SUM(AG6:AG19),"")</f>
        <v/>
      </c>
      <c r="BD19" s="137">
        <f>IF(ISNUMBER('Assumptions'!$B$20),'Assumptions'!$B$20+-SUM(AI6:AI19),"")</f>
        <v/>
      </c>
      <c r="BE19" s="137">
        <f>IF(AND(ISNUMBER('Assumptions'!$B$17),COUNT(AV6:AV19)=14),'Assumptions'!$B$17+SUM(AV6:AV19),"")</f>
        <v/>
      </c>
      <c r="BF19" s="137">
        <f>IF(COUNT(AL19,AW19:AY19)=4,SUM(AL19,AW19:AY19),"")</f>
        <v/>
      </c>
      <c r="BG19" s="137">
        <f>IF(COUNT(AZ19:BD19)=5,SUM(AZ19:BD19,AA19),"")</f>
        <v/>
      </c>
      <c r="BH19" s="137">
        <f>IF(COUNT(BF19,BG19,BE19)=3,BF19-BG19-BE19,"")</f>
        <v/>
      </c>
      <c r="BI19" s="137">
        <f>SUM(W19,X19)-Z19-AA19</f>
        <v/>
      </c>
      <c r="BJ19" s="137">
        <f>8-COUNT('Assumptions'!Q58:Q65)+COUNTBLANK('NM Play'!B33:B34)+'Costs'!E44+IF(AND('Sites'!E6=1,('Sites'!F6)&lt;=24,'Sites'!G6&gt;=13),IF(ISNUMBER('Sites'!P6),0,1)+'Capital'!I6+COUNTBLANK('Sites'!R6)+IF('Sites'!D6="NM crew",COUNTBLANK('NM Play'!B25)+1,5-COUNT('Assumptions'!Q112:Q116)),0)+IF(AND('Sites'!E7=1,('Sites'!F7+'Cases'!G6)&lt;=24,'Sites'!G7&gt;=13),IF(ISNUMBER('Sites'!P7),0,1)+'Capital'!I7+COUNTBLANK('Sites'!R7)+IF('Sites'!D7="NM crew",COUNTBLANK('NM Play'!B25)+1,5-COUNT('Assumptions'!Q117:Q121)),0)+IF(AND('Sites'!E8*'Cases'!F6=1,('Sites'!F8+'Cases'!G6)&lt;=24,'Sites'!G8&gt;=13),IF(ISNUMBER('Sites'!P8),0,1)+'Capital'!I8+COUNTBLANK('Sites'!R8)+IF('Sites'!D8="NM crew",COUNTBLANK('NM Play'!B25)+1,5-COUNT('Assumptions'!Q122:Q126)),0)+IF(AND('Cases'!C6&gt;0,NOT(ISNUMBER('Assumptions'!B42))),1,0)+'Responsibilities'!$B$39</f>
        <v/>
      </c>
      <c r="BK19" s="137">
        <f>'Assumptions'!$B$50+'NM Play'!$B$83+'Funding'!$F$20+SUMIFS('Production schedule'!$AN$6:$AN$113,'Production schedule'!$C$6:$C$113,14)+IF(OR('Cases'!E6&lt;0,'Cases'!E6&gt;1,'Cases'!C6&lt;0,'Cases'!D6&lt;0,ABS(SUM('Sites'!S6:S8)-1)&gt;0.0001,MIN('Capital'!F6:F8)&lt;0,MAX('Capital'!F6:F8)&gt;1,MIN(AX19,AZ19,BB19,BA19)&lt;-0.01),1,0)+'Responsibilities'!$B$40</f>
        <v/>
      </c>
      <c r="BL19" s="137">
        <f>SUMIFS('Production schedule'!$T$6:$T$113,'Production schedule'!$C$6:$C$113,14)</f>
        <v/>
      </c>
      <c r="BM19" s="137">
        <f>D19*'NM Play'!$B$38</f>
        <v/>
      </c>
      <c r="BN19" s="137">
        <f>SUMIFS('Production schedule'!$AM$6:$AM$113,'Production schedule'!$C$6:$C$113,14)</f>
        <v/>
      </c>
      <c r="BO19" s="137">
        <f>AK19-AK18-AJ19</f>
        <v/>
      </c>
      <c r="BP19" s="137">
        <f>IF(AND('Assumptions'!$B$39&gt;=0,'Assumptions'!$B$40&gt;0),-PMT('Assumptions'!$B$39/12,'Assumptions'!$B$40*12,IF('Funding'!$N$11&gt;0,'Funding'!$N$11,'Funding'!$R$11)),"")</f>
        <v/>
      </c>
      <c r="BQ19">
        <f>('Production schedule'!AJ19)*(1-'Responsibilities'!$C$6)+('Production schedule'!AJ55)*(1-'Responsibilities'!$C$7)+('Production schedule'!AJ91)*(1-'Responsibilities'!$C$8)</f>
        <v/>
      </c>
      <c r="BR19">
        <f>('Production schedule'!AI19)*(1-'Responsibilities'!$D$6)+('Production schedule'!AI55)*(1-'Responsibilities'!$D$7)+('Production schedule'!AI91)*(1-'Responsibilities'!$D$8)</f>
        <v/>
      </c>
      <c r="BS19">
        <f>('Production schedule'!E19*(IF('Sites'!D6="Annual staff",SUM('Assumptions'!Q112,'Assumptions'!Q114),0)+SUM('Assumptions'!Q113,'Assumptions'!Q115:Q116)))*(1-'Responsibilities'!$E$6)+('Production schedule'!E55*(IF('Sites'!D7="Annual staff",SUM('Assumptions'!Q117,'Assumptions'!Q119),0)+SUM('Assumptions'!Q118,'Assumptions'!Q120:Q121)))*(1-'Responsibilities'!$E$7)+('Production schedule'!E91*(IF('Sites'!D8="Annual staff",SUM('Assumptions'!Q122,'Assumptions'!Q124),0)+SUM('Assumptions'!Q123,'Assumptions'!Q125:Q126)))*(1-'Responsibilities'!$E$8)</f>
        <v/>
      </c>
      <c r="BT19">
        <f>(IF(AND('Production schedule'!E19=1,14=MAX(('Sites'!F6),13),ISNUMBER('Sites'!P6)),'Sites'!P6*'Assumptions'!$B$44,0))*(1-'Responsibilities'!$F$6)+(IF(AND('Production schedule'!E55=1,14=MAX(('Sites'!F7+'Cases'!G6),13),ISNUMBER('Sites'!P7)),'Sites'!P7*'Assumptions'!$B$44,0))*(1-'Responsibilities'!$F$7)+(IF(AND('Production schedule'!E91=1,14=MAX(('Sites'!F8+'Cases'!G6),13),ISNUMBER('Sites'!P8)),'Sites'!P8*'Assumptions'!$B$44,0))*(1-'Responsibilities'!$F$8)</f>
        <v/>
      </c>
      <c r="BU19">
        <f>SUM('Costs'!E36)*'Costs'!F36/12*(1-'Responsibilities'!$C$12)+SUM('Costs'!E37)*'Costs'!F37/12*(1-'Responsibilities'!$C$13)+SUM('Costs'!E38)*'Costs'!F38/12*(1-'Responsibilities'!$C$14)+SUM('Costs'!E39)*'Costs'!F39/12*(1-'Responsibilities'!$C$15)+SUM('Costs'!E40)*'Costs'!F40/12*(1-'Responsibilities'!$C$16)</f>
        <v/>
      </c>
      <c r="BV19">
        <f>('Sites'!E6*'Capital'!E6*(IF(14='Capital'!G6,'Capital'!F6,0)+IF(14='Capital'!H6,1-'Capital'!F6,0)))*(1-'Responsibilities'!$G$6)+('Sites'!E7*'Capital'!E7*(IF(14='Capital'!G7+'Cases'!G6,'Capital'!F7,0)+IF(14='Capital'!H7+'Cases'!G6,1-'Capital'!F7,0)))*(1-'Responsibilities'!$G$7)+('Sites'!E8*'Cases'!F6*'Capital'!E8*(IF(14='Capital'!G8+'Cases'!G6,'Capital'!F8,0)+IF(14='Capital'!H8+'Cases'!G6,1-'Capital'!F8,0)))*(1-'Responsibilities'!$G$8)</f>
        <v/>
      </c>
      <c r="BW19">
        <f>SUM(BQ19:BV19)</f>
        <v/>
      </c>
      <c r="BX19">
        <f>N19+BW19</f>
        <v/>
      </c>
      <c r="BY19">
        <f>BX19-(('Production schedule'!AJ19)*'Responsibilities'!$C$6+('Production schedule'!AJ55)*'Responsibilities'!$C$7+('Production schedule'!AJ91)*'Responsibilities'!$C$8+('Production schedule'!AJ19)*(1-'Responsibilities'!$C$6)+('Production schedule'!AJ55)*(1-'Responsibilities'!$C$7)+('Production schedule'!AJ91)*(1-'Responsibilities'!$C$8)+('Production schedule'!AI19)*'Responsibilities'!$D$6+('Production schedule'!AI55)*'Responsibilities'!$D$7+('Production schedule'!AI91)*'Responsibilities'!$D$8+('Production schedule'!AI19)*(1-'Responsibilities'!$D$6)+('Production schedule'!AI55)*(1-'Responsibilities'!$D$7)+('Production schedule'!AI91)*(1-'Responsibilities'!$D$8)+('Production schedule'!E19*(IF('Sites'!D6="Annual staff",SUM('Assumptions'!Q112,'Assumptions'!Q114),0)+SUM('Assumptions'!Q113,'Assumptions'!Q115:Q116)))*'Responsibilities'!$E$6+('Production schedule'!E55*(IF('Sites'!D7="Annual staff",SUM('Assumptions'!Q117,'Assumptions'!Q119),0)+SUM('Assumptions'!Q118,'Assumptions'!Q120:Q121)))*'Responsibilities'!$E$7+('Production schedule'!E91*(IF('Sites'!D8="Annual staff",SUM('Assumptions'!Q122,'Assumptions'!Q124),0)+SUM('Assumptions'!Q123,'Assumptions'!Q125:Q126)))*'Responsibilities'!$E$8+('Production schedule'!E19*(IF('Sites'!D6="Annual staff",SUM('Assumptions'!Q112,'Assumptions'!Q114),0)+SUM('Assumptions'!Q113,'Assumptions'!Q115:Q116)))*(1-'Responsibilities'!$E$6)+('Production schedule'!E55*(IF('Sites'!D7="Annual staff",SUM('Assumptions'!Q117,'Assumptions'!Q119),0)+SUM('Assumptions'!Q118,'Assumptions'!Q120:Q121)))*(1-'Responsibilities'!$E$7)+('Production schedule'!E91*(IF('Sites'!D8="Annual staff",SUM('Assumptions'!Q122,'Assumptions'!Q124),0)+SUM('Assumptions'!Q123,'Assumptions'!Q125:Q126)))*(1-'Responsibilities'!$E$8)+(IF(AND('Production schedule'!E19=1,14=MAX(('Sites'!F6),13),ISNUMBER('Sites'!P6)),'Sites'!P6*'Assumptions'!$B$44,0))*'Responsibilities'!$F$6+(IF(AND('Production schedule'!E55=1,14=MAX(('Sites'!F7+'Cases'!G6),13),ISNUMBER('Sites'!P7)),'Sites'!P7*'Assumptions'!$B$44,0))*'Responsibilities'!$F$7+(IF(AND('Production schedule'!E91=1,14=MAX(('Sites'!F8+'Cases'!G6),13),ISNUMBER('Sites'!P8)),'Sites'!P8*'Assumptions'!$B$44,0))*'Responsibilities'!$F$8+(IF(AND('Production schedule'!E19=1,14=MAX(('Sites'!F6),13),ISNUMBER('Sites'!P6)),'Sites'!P6*'Assumptions'!$B$44,0))*(1-'Responsibilities'!$F$6)+(IF(AND('Production schedule'!E55=1,14=MAX(('Sites'!F7+'Cases'!G6),13),ISNUMBER('Sites'!P7)),'Sites'!P7*'Assumptions'!$B$44,0))*(1-'Responsibilities'!$F$7)+(IF(AND('Production schedule'!E91=1,14=MAX(('Sites'!F8+'Cases'!G6),13),ISNUMBER('Sites'!P8)),'Sites'!P8*'Assumptions'!$B$44,0))*(1-'Responsibilities'!$F$8)+('Sites'!E6*'Capital'!E6*(IF(14='Capital'!G6,'Capital'!F6,0)+IF(14='Capital'!H6,1-'Capital'!F6,0)))*'Responsibilities'!$G$6+('Sites'!E7*'Capital'!E7*(IF(14='Capital'!G7+'Cases'!G6,'Capital'!F7,0)+IF(14='Capital'!H7+'Cases'!G6,1-'Capital'!F7,0)))*'Responsibilities'!$G$7+('Sites'!E8*'Cases'!F6*'Capital'!E8*(IF(14='Capital'!G8+'Cases'!G6,'Capital'!F8,0)+IF(14='Capital'!H8+'Cases'!G6,1-'Capital'!F8,0)))*'Responsibilities'!$G$8+('Sites'!E6*'Capital'!E6*(IF(14='Capital'!G6,'Capital'!F6,0)+IF(14='Capital'!H6,1-'Capital'!F6,0)))*(1-'Responsibilities'!$G$6)+('Sites'!E7*'Capital'!E7*(IF(14='Capital'!G7+'Cases'!G6,'Capital'!F7,0)+IF(14='Capital'!H7+'Cases'!G6,1-'Capital'!F7,0)))*(1-'Responsibilities'!$G$7)+('Sites'!E8*'Cases'!F6*'Capital'!E8*(IF(14='Capital'!G8+'Cases'!G6,'Capital'!F8,0)+IF(14='Capital'!H8+'Cases'!G6,1-'Capital'!F8,0)))*(1-'Responsibilities'!$G$8)+I19+SUMPRODUCT('Costs'!$E$36:$E$40,'Costs'!$F$36:$F$40)/12+BZ19)</f>
        <v/>
      </c>
      <c r="BZ19">
        <f>SUMIFS('Responsibilities'!$B$31:$B$35,'Responsibilities'!$C$31:$C$35,14,'Responsibilities'!$D$31:$D$35,"Yes")</f>
        <v/>
      </c>
    </row>
    <row r="20" ht="28" customHeight="1">
      <c r="A20" s="4" t="inlineStr">
        <is>
          <t>Full</t>
        </is>
      </c>
      <c r="B20" s="4" t="n">
        <v>15</v>
      </c>
      <c r="C20" s="4">
        <f>ROUNDUP(B20/12,0)</f>
        <v/>
      </c>
      <c r="D20" s="137">
        <f>SUMIFS('Production schedule'!$N$6:$N$113,'Production schedule'!$C$6:$C$113,15)</f>
        <v/>
      </c>
      <c r="E20" s="137">
        <f>SUMIFS('Production schedule'!$Y$6:$Y$113,'Production schedule'!$C$6:$C$113,15)</f>
        <v/>
      </c>
      <c r="F20" s="137">
        <f>SUMIFS('Production schedule'!$Z$6:$Z$113,'Production schedule'!$C$6:$C$113,15)</f>
        <v/>
      </c>
      <c r="G20" s="137">
        <f>('Production schedule'!AJ20)*'Responsibilities'!$C$6+('Production schedule'!AJ56)*'Responsibilities'!$C$7+('Production schedule'!AJ92)*'Responsibilities'!$C$8</f>
        <v/>
      </c>
      <c r="H20" s="137">
        <f>('Production schedule'!AI20)*'Responsibilities'!$D$6+('Production schedule'!AI56)*'Responsibilities'!$D$7+('Production schedule'!AI92)*'Responsibilities'!$D$8</f>
        <v/>
      </c>
      <c r="I20" s="137">
        <f>SUM('Assumptions'!R58:R65)</f>
        <v/>
      </c>
      <c r="J20" s="137">
        <f>('Production schedule'!E20*(IF('Sites'!D6="Annual staff",SUM('Assumptions'!R112,'Assumptions'!R114),0)+SUM('Assumptions'!R113,'Assumptions'!R115:R116)))*'Responsibilities'!$E$6+('Production schedule'!E56*(IF('Sites'!D7="Annual staff",SUM('Assumptions'!R117,'Assumptions'!R119),0)+SUM('Assumptions'!R118,'Assumptions'!R120:R121)))*'Responsibilities'!$E$7+('Production schedule'!E92*(IF('Sites'!D8="Annual staff",SUM('Assumptions'!R122,'Assumptions'!R124),0)+SUM('Assumptions'!R123,'Assumptions'!R125:R126)))*'Responsibilities'!$E$8</f>
        <v/>
      </c>
      <c r="K20" s="137">
        <f>(IF(AND('Production schedule'!E20=1,15=MAX(('Sites'!F6),13),ISNUMBER('Sites'!P6)),'Sites'!P6*'Assumptions'!$B$44,0))*'Responsibilities'!$F$6+(IF(AND('Production schedule'!E56=1,15=MAX(('Sites'!F7+'Cases'!G6),13),ISNUMBER('Sites'!P7)),'Sites'!P7*'Assumptions'!$B$44,0))*'Responsibilities'!$F$7+(IF(AND('Production schedule'!E92=1,15=MAX(('Sites'!F8+'Cases'!G6),13),ISNUMBER('Sites'!P8)),'Sites'!P8*'Assumptions'!$B$44,0))*'Responsibilities'!$F$8</f>
        <v/>
      </c>
      <c r="L20" s="137">
        <f>SUM('Costs'!E36)*'Costs'!F36/12*'Responsibilities'!$C$12+SUM('Costs'!E37)*'Costs'!F37/12*'Responsibilities'!$C$13+SUM('Costs'!E38)*'Costs'!F38/12*'Responsibilities'!$C$14+SUM('Costs'!E39)*'Costs'!F39/12*'Responsibilities'!$C$15+SUM('Costs'!E40)*'Costs'!F40/12*'Responsibilities'!$C$16+BZ20</f>
        <v/>
      </c>
      <c r="M20" s="137">
        <f>('Sites'!E6*'Capital'!E6*(IF(15='Capital'!G6,'Capital'!F6,0)+IF(15='Capital'!H6,1-'Capital'!F6,0)))*'Responsibilities'!$G$6+('Sites'!E7*'Capital'!E7*(IF(15='Capital'!G7+'Cases'!G6,'Capital'!F7,0)+IF(15='Capital'!H7+'Cases'!G6,1-'Capital'!F7,0)))*'Responsibilities'!$G$7+('Sites'!E8*'Cases'!F6*'Capital'!E8*(IF(15='Capital'!G8+'Cases'!G6,'Capital'!F8,0)+IF(15='Capital'!H8+'Cases'!G6,1-'Capital'!F8,0)))*'Responsibilities'!$G$8</f>
        <v/>
      </c>
      <c r="N20" s="137">
        <f>SUM(G20:M20)</f>
        <v/>
      </c>
      <c r="O20" s="137">
        <f>SUMIFS(FundingTranches[Secured amount],FundingTranches[Instrument],"Grant",FundingTranches[Secured month],15)</f>
        <v/>
      </c>
      <c r="P20" s="137">
        <f>SUMIFS(FundingTranches[Full possible],FundingTranches[Instrument],"Grant",FundingTranches[Scenario month],15-'Cases'!$D$6)</f>
        <v/>
      </c>
      <c r="Q20" s="137">
        <f>SUMIFS(FundingTranches[Secured amount],FundingTranches[Instrument],"Loan",FundingTranches[Secured month],15)</f>
        <v/>
      </c>
      <c r="R20" s="137">
        <f>SUMIFS(FundingTranches[Full possible],FundingTranches[Instrument],"Loan",FundingTranches[Scenario month],15-'Cases'!$D$6)</f>
        <v/>
      </c>
      <c r="S20" s="137">
        <f>IF(15&lt;='Assumptions'!$B$34,0,SUMIFS('Production schedule'!$AL$6:$AL$113,'Production schedule'!$C$6:$C$113,15-'Assumptions'!$B$34))</f>
        <v/>
      </c>
      <c r="T20" s="137">
        <f>'Assumptions'!R70</f>
        <v/>
      </c>
      <c r="U20" s="137">
        <f>'Assumptions'!R78</f>
        <v/>
      </c>
      <c r="V20" s="137">
        <f>SUM(O20:U20)</f>
        <v/>
      </c>
      <c r="W20" s="137">
        <f>AA19</f>
        <v/>
      </c>
      <c r="X20" s="137">
        <f>SUM(Q20:R20)</f>
        <v/>
      </c>
      <c r="Y20" s="137">
        <f>SUM(W20,X20)*'Assumptions'!$B$39/12</f>
        <v/>
      </c>
      <c r="Z20" s="137">
        <f>IF(SUM(W20,X20)&gt;0,MIN(SUM(W20,X20),MAX(0,BP20-Y20)),0)</f>
        <v/>
      </c>
      <c r="AA20" s="137">
        <f>SUM(W20,X20)-Z20</f>
        <v/>
      </c>
      <c r="AB20" s="137">
        <f>SUM(Y20:Z20)</f>
        <v/>
      </c>
      <c r="AC20" s="137">
        <f>'Assumptions'!R72</f>
        <v/>
      </c>
      <c r="AD20" s="137">
        <f>'Assumptions'!R73</f>
        <v/>
      </c>
      <c r="AE20" s="137">
        <f>IF(X20&gt;0,SUM('Assumptions'!$B$42),0)</f>
        <v/>
      </c>
      <c r="AF20" s="137">
        <f>'Assumptions'!R71</f>
        <v/>
      </c>
      <c r="AG20" s="137">
        <f>'Assumptions'!R74</f>
        <v/>
      </c>
      <c r="AH20" s="137">
        <f>'Assumptions'!R75</f>
        <v/>
      </c>
      <c r="AI20" s="137">
        <f>'Assumptions'!R77</f>
        <v/>
      </c>
      <c r="AJ20" s="137">
        <f>V20-N20-SUM(AB20:AI20)</f>
        <v/>
      </c>
      <c r="AK20" s="137">
        <f>SUM(AJ6:AJ20)</f>
        <v/>
      </c>
      <c r="AL20" s="137">
        <f>IF(ISNUMBER('Assumptions'!$B$10),'Assumptions'!$B$10+AK20,"")</f>
        <v/>
      </c>
      <c r="AM20" s="137">
        <f>SUM(O20,Q20,T20)-N20-SUM(AC20:AI20)+IF('Funding'!$N$11=0,AE20,0)-IF('Funding'!$N$11&gt;0,AB20,0)</f>
        <v/>
      </c>
      <c r="AN20" s="137">
        <f>SUM(AM6:AM20)</f>
        <v/>
      </c>
      <c r="AO20" s="137">
        <f>IF(ISNUMBER('Assumptions'!$B$10),'Assumptions'!$B$10+AN20,"")</f>
        <v/>
      </c>
      <c r="AP20" s="137">
        <f>('Production schedule'!AK20)*'Responsibilities'!$C$6+('Production schedule'!AK56)*'Responsibilities'!$C$7+('Production schedule'!AK92)*'Responsibilities'!$C$8</f>
        <v/>
      </c>
      <c r="AQ20" s="137">
        <f>SUMIFS('Production schedule'!$AL$6:$AL$113,'Production schedule'!$C$6:$C$113,15)</f>
        <v/>
      </c>
      <c r="AR20" s="137">
        <f>IF(ISNUMBER('Assumptions'!R76),'Assumptions'!R76,SUM(O20:P20))</f>
        <v/>
      </c>
      <c r="AS20" s="137">
        <f>IF(ISNUMBER('Assumptions'!$B$13),MIN('Assumptions'!$B$13/'Assumptions'!$B$18/12,MAX(0,'Assumptions'!$B$13-(15-1)*'Assumptions'!$B$13/'Assumptions'!$B$18/12)),0)+IF(AND('Sites'!E6=1,15&gt;=('Sites'!F6),15&lt;('Sites'!F6)+'Assumptions'!$B$18*12),'Capital'!E6/'Assumptions'!$B$18/12,0)+IF(AND('Sites'!E7=1,15&gt;=('Sites'!F7+'Cases'!G6),15&lt;('Sites'!F7+'Cases'!G6)+'Assumptions'!$B$18*12),'Capital'!E7/'Assumptions'!$B$18/12,0)+IF(AND('Sites'!E8*'Cases'!F6=1,15&gt;=('Sites'!F8+'Cases'!G6),15&lt;('Sites'!F8+'Cases'!G6)+'Assumptions'!$B$18*12),'Capital'!E8/'Assumptions'!$B$18/12,0)</f>
        <v/>
      </c>
      <c r="AT20" s="137">
        <f>SUM(AQ20,AR20,U20)-AP20-SUM(H20:L20)-AS20-SUM(Y20,AD20,AE20,AH20)</f>
        <v/>
      </c>
      <c r="AU20" s="137">
        <f>IF(ISNUMBER('Assumptions'!$B$19),MAX(0,SUM(AT18:AT20))*'Assumptions'!$B$19-SUM(AU18:AU19),"")</f>
        <v/>
      </c>
      <c r="AV20" s="137">
        <f>IF(ISNUMBER(AU20),AT20-AU20,"")</f>
        <v/>
      </c>
      <c r="AW20" s="137">
        <f>IF(ISNUMBER('Assumptions'!$B$11),'Assumptions'!$B$11+SUM(AQ6:AQ20)-SUM(S6:S20)-SUM(T6:T20),"")</f>
        <v/>
      </c>
      <c r="AX20" s="137">
        <f>IF(ISNUMBER('Assumptions'!$B$12),'Assumptions'!$B$12+SUM(G6:G20)-SUM(AP6:AP20),"")</f>
        <v/>
      </c>
      <c r="AY20" s="137">
        <f>IF(ISNUMBER('Assumptions'!$B$13),'Assumptions'!$B$13+SUM(M6:M20)-SUM(AS6:AS20),"")</f>
        <v/>
      </c>
      <c r="AZ20" s="137">
        <f>IF(ISNUMBER('Assumptions'!$B$14),'Assumptions'!$B$14+-SUM(AF6:AF20),"")</f>
        <v/>
      </c>
      <c r="BA20" s="137">
        <f>IF(ISNUMBER('Assumptions'!$B$15),'Assumptions'!$B$15+SUM(O6:O20)+SUM(P6:P20)-SUM(AR6:AR20),"")</f>
        <v/>
      </c>
      <c r="BB20" s="137">
        <f>IF(ISNUMBER('Assumptions'!$B$16),'Assumptions'!$B$16+-SUM(AC6:AC20),"")</f>
        <v/>
      </c>
      <c r="BC20" s="137">
        <f>IF(AND(ISNUMBER('Assumptions'!$B$21),ISNUMBER('Assumptions'!$B$19)),'Assumptions'!$B$21+SUM(AU6:AU20)-SUM(AG6:AG20),"")</f>
        <v/>
      </c>
      <c r="BD20" s="137">
        <f>IF(ISNUMBER('Assumptions'!$B$20),'Assumptions'!$B$20+-SUM(AI6:AI20),"")</f>
        <v/>
      </c>
      <c r="BE20" s="137">
        <f>IF(AND(ISNUMBER('Assumptions'!$B$17),COUNT(AV6:AV20)=15),'Assumptions'!$B$17+SUM(AV6:AV20),"")</f>
        <v/>
      </c>
      <c r="BF20" s="137">
        <f>IF(COUNT(AL20,AW20:AY20)=4,SUM(AL20,AW20:AY20),"")</f>
        <v/>
      </c>
      <c r="BG20" s="137">
        <f>IF(COUNT(AZ20:BD20)=5,SUM(AZ20:BD20,AA20),"")</f>
        <v/>
      </c>
      <c r="BH20" s="137">
        <f>IF(COUNT(BF20,BG20,BE20)=3,BF20-BG20-BE20,"")</f>
        <v/>
      </c>
      <c r="BI20" s="137">
        <f>SUM(W20,X20)-Z20-AA20</f>
        <v/>
      </c>
      <c r="BJ20" s="137">
        <f>8-COUNT('Assumptions'!R58:R65)+COUNTBLANK('NM Play'!B33:B34)+'Costs'!E44+IF(AND('Sites'!E6=1,('Sites'!F6)&lt;=24,'Sites'!G6&gt;=13),IF(ISNUMBER('Sites'!P6),0,1)+'Capital'!I6+COUNTBLANK('Sites'!R6)+IF('Sites'!D6="NM crew",COUNTBLANK('NM Play'!B25)+1,5-COUNT('Assumptions'!R112:R116)),0)+IF(AND('Sites'!E7=1,('Sites'!F7+'Cases'!G6)&lt;=24,'Sites'!G7&gt;=13),IF(ISNUMBER('Sites'!P7),0,1)+'Capital'!I7+COUNTBLANK('Sites'!R7)+IF('Sites'!D7="NM crew",COUNTBLANK('NM Play'!B25)+1,5-COUNT('Assumptions'!R117:R121)),0)+IF(AND('Sites'!E8*'Cases'!F6=1,('Sites'!F8+'Cases'!G6)&lt;=24,'Sites'!G8&gt;=13),IF(ISNUMBER('Sites'!P8),0,1)+'Capital'!I8+COUNTBLANK('Sites'!R8)+IF('Sites'!D8="NM crew",COUNTBLANK('NM Play'!B25)+1,5-COUNT('Assumptions'!R122:R126)),0)+IF(AND('Cases'!C6&gt;0,NOT(ISNUMBER('Assumptions'!B42))),1,0)+'Responsibilities'!$B$39</f>
        <v/>
      </c>
      <c r="BK20" s="137">
        <f>'Assumptions'!$B$50+'NM Play'!$B$83+'Funding'!$F$20+SUMIFS('Production schedule'!$AN$6:$AN$113,'Production schedule'!$C$6:$C$113,15)+IF(OR('Cases'!E6&lt;0,'Cases'!E6&gt;1,'Cases'!C6&lt;0,'Cases'!D6&lt;0,ABS(SUM('Sites'!S6:S8)-1)&gt;0.0001,MIN('Capital'!F6:F8)&lt;0,MAX('Capital'!F6:F8)&gt;1,MIN(AX20,AZ20,BB20,BA20)&lt;-0.01),1,0)+'Responsibilities'!$B$40</f>
        <v/>
      </c>
      <c r="BL20" s="137">
        <f>SUMIFS('Production schedule'!$T$6:$T$113,'Production schedule'!$C$6:$C$113,15)</f>
        <v/>
      </c>
      <c r="BM20" s="137">
        <f>D20*'NM Play'!$B$38</f>
        <v/>
      </c>
      <c r="BN20" s="137">
        <f>SUMIFS('Production schedule'!$AM$6:$AM$113,'Production schedule'!$C$6:$C$113,15)</f>
        <v/>
      </c>
      <c r="BO20" s="137">
        <f>AK20-AK19-AJ20</f>
        <v/>
      </c>
      <c r="BP20" s="137">
        <f>IF(AND('Assumptions'!$B$39&gt;=0,'Assumptions'!$B$40&gt;0),-PMT('Assumptions'!$B$39/12,'Assumptions'!$B$40*12,IF('Funding'!$N$11&gt;0,'Funding'!$N$11,'Funding'!$R$11)),"")</f>
        <v/>
      </c>
      <c r="BQ20">
        <f>('Production schedule'!AJ20)*(1-'Responsibilities'!$C$6)+('Production schedule'!AJ56)*(1-'Responsibilities'!$C$7)+('Production schedule'!AJ92)*(1-'Responsibilities'!$C$8)</f>
        <v/>
      </c>
      <c r="BR20">
        <f>('Production schedule'!AI20)*(1-'Responsibilities'!$D$6)+('Production schedule'!AI56)*(1-'Responsibilities'!$D$7)+('Production schedule'!AI92)*(1-'Responsibilities'!$D$8)</f>
        <v/>
      </c>
      <c r="BS20">
        <f>('Production schedule'!E20*(IF('Sites'!D6="Annual staff",SUM('Assumptions'!R112,'Assumptions'!R114),0)+SUM('Assumptions'!R113,'Assumptions'!R115:R116)))*(1-'Responsibilities'!$E$6)+('Production schedule'!E56*(IF('Sites'!D7="Annual staff",SUM('Assumptions'!R117,'Assumptions'!R119),0)+SUM('Assumptions'!R118,'Assumptions'!R120:R121)))*(1-'Responsibilities'!$E$7)+('Production schedule'!E92*(IF('Sites'!D8="Annual staff",SUM('Assumptions'!R122,'Assumptions'!R124),0)+SUM('Assumptions'!R123,'Assumptions'!R125:R126)))*(1-'Responsibilities'!$E$8)</f>
        <v/>
      </c>
      <c r="BT20">
        <f>(IF(AND('Production schedule'!E20=1,15=MAX(('Sites'!F6),13),ISNUMBER('Sites'!P6)),'Sites'!P6*'Assumptions'!$B$44,0))*(1-'Responsibilities'!$F$6)+(IF(AND('Production schedule'!E56=1,15=MAX(('Sites'!F7+'Cases'!G6),13),ISNUMBER('Sites'!P7)),'Sites'!P7*'Assumptions'!$B$44,0))*(1-'Responsibilities'!$F$7)+(IF(AND('Production schedule'!E92=1,15=MAX(('Sites'!F8+'Cases'!G6),13),ISNUMBER('Sites'!P8)),'Sites'!P8*'Assumptions'!$B$44,0))*(1-'Responsibilities'!$F$8)</f>
        <v/>
      </c>
      <c r="BU20">
        <f>SUM('Costs'!E36)*'Costs'!F36/12*(1-'Responsibilities'!$C$12)+SUM('Costs'!E37)*'Costs'!F37/12*(1-'Responsibilities'!$C$13)+SUM('Costs'!E38)*'Costs'!F38/12*(1-'Responsibilities'!$C$14)+SUM('Costs'!E39)*'Costs'!F39/12*(1-'Responsibilities'!$C$15)+SUM('Costs'!E40)*'Costs'!F40/12*(1-'Responsibilities'!$C$16)</f>
        <v/>
      </c>
      <c r="BV20">
        <f>('Sites'!E6*'Capital'!E6*(IF(15='Capital'!G6,'Capital'!F6,0)+IF(15='Capital'!H6,1-'Capital'!F6,0)))*(1-'Responsibilities'!$G$6)+('Sites'!E7*'Capital'!E7*(IF(15='Capital'!G7+'Cases'!G6,'Capital'!F7,0)+IF(15='Capital'!H7+'Cases'!G6,1-'Capital'!F7,0)))*(1-'Responsibilities'!$G$7)+('Sites'!E8*'Cases'!F6*'Capital'!E8*(IF(15='Capital'!G8+'Cases'!G6,'Capital'!F8,0)+IF(15='Capital'!H8+'Cases'!G6,1-'Capital'!F8,0)))*(1-'Responsibilities'!$G$8)</f>
        <v/>
      </c>
      <c r="BW20">
        <f>SUM(BQ20:BV20)</f>
        <v/>
      </c>
      <c r="BX20">
        <f>N20+BW20</f>
        <v/>
      </c>
      <c r="BY20">
        <f>BX20-(('Production schedule'!AJ20)*'Responsibilities'!$C$6+('Production schedule'!AJ56)*'Responsibilities'!$C$7+('Production schedule'!AJ92)*'Responsibilities'!$C$8+('Production schedule'!AJ20)*(1-'Responsibilities'!$C$6)+('Production schedule'!AJ56)*(1-'Responsibilities'!$C$7)+('Production schedule'!AJ92)*(1-'Responsibilities'!$C$8)+('Production schedule'!AI20)*'Responsibilities'!$D$6+('Production schedule'!AI56)*'Responsibilities'!$D$7+('Production schedule'!AI92)*'Responsibilities'!$D$8+('Production schedule'!AI20)*(1-'Responsibilities'!$D$6)+('Production schedule'!AI56)*(1-'Responsibilities'!$D$7)+('Production schedule'!AI92)*(1-'Responsibilities'!$D$8)+('Production schedule'!E20*(IF('Sites'!D6="Annual staff",SUM('Assumptions'!R112,'Assumptions'!R114),0)+SUM('Assumptions'!R113,'Assumptions'!R115:R116)))*'Responsibilities'!$E$6+('Production schedule'!E56*(IF('Sites'!D7="Annual staff",SUM('Assumptions'!R117,'Assumptions'!R119),0)+SUM('Assumptions'!R118,'Assumptions'!R120:R121)))*'Responsibilities'!$E$7+('Production schedule'!E92*(IF('Sites'!D8="Annual staff",SUM('Assumptions'!R122,'Assumptions'!R124),0)+SUM('Assumptions'!R123,'Assumptions'!R125:R126)))*'Responsibilities'!$E$8+('Production schedule'!E20*(IF('Sites'!D6="Annual staff",SUM('Assumptions'!R112,'Assumptions'!R114),0)+SUM('Assumptions'!R113,'Assumptions'!R115:R116)))*(1-'Responsibilities'!$E$6)+('Production schedule'!E56*(IF('Sites'!D7="Annual staff",SUM('Assumptions'!R117,'Assumptions'!R119),0)+SUM('Assumptions'!R118,'Assumptions'!R120:R121)))*(1-'Responsibilities'!$E$7)+('Production schedule'!E92*(IF('Sites'!D8="Annual staff",SUM('Assumptions'!R122,'Assumptions'!R124),0)+SUM('Assumptions'!R123,'Assumptions'!R125:R126)))*(1-'Responsibilities'!$E$8)+(IF(AND('Production schedule'!E20=1,15=MAX(('Sites'!F6),13),ISNUMBER('Sites'!P6)),'Sites'!P6*'Assumptions'!$B$44,0))*'Responsibilities'!$F$6+(IF(AND('Production schedule'!E56=1,15=MAX(('Sites'!F7+'Cases'!G6),13),ISNUMBER('Sites'!P7)),'Sites'!P7*'Assumptions'!$B$44,0))*'Responsibilities'!$F$7+(IF(AND('Production schedule'!E92=1,15=MAX(('Sites'!F8+'Cases'!G6),13),ISNUMBER('Sites'!P8)),'Sites'!P8*'Assumptions'!$B$44,0))*'Responsibilities'!$F$8+(IF(AND('Production schedule'!E20=1,15=MAX(('Sites'!F6),13),ISNUMBER('Sites'!P6)),'Sites'!P6*'Assumptions'!$B$44,0))*(1-'Responsibilities'!$F$6)+(IF(AND('Production schedule'!E56=1,15=MAX(('Sites'!F7+'Cases'!G6),13),ISNUMBER('Sites'!P7)),'Sites'!P7*'Assumptions'!$B$44,0))*(1-'Responsibilities'!$F$7)+(IF(AND('Production schedule'!E92=1,15=MAX(('Sites'!F8+'Cases'!G6),13),ISNUMBER('Sites'!P8)),'Sites'!P8*'Assumptions'!$B$44,0))*(1-'Responsibilities'!$F$8)+('Sites'!E6*'Capital'!E6*(IF(15='Capital'!G6,'Capital'!F6,0)+IF(15='Capital'!H6,1-'Capital'!F6,0)))*'Responsibilities'!$G$6+('Sites'!E7*'Capital'!E7*(IF(15='Capital'!G7+'Cases'!G6,'Capital'!F7,0)+IF(15='Capital'!H7+'Cases'!G6,1-'Capital'!F7,0)))*'Responsibilities'!$G$7+('Sites'!E8*'Cases'!F6*'Capital'!E8*(IF(15='Capital'!G8+'Cases'!G6,'Capital'!F8,0)+IF(15='Capital'!H8+'Cases'!G6,1-'Capital'!F8,0)))*'Responsibilities'!$G$8+('Sites'!E6*'Capital'!E6*(IF(15='Capital'!G6,'Capital'!F6,0)+IF(15='Capital'!H6,1-'Capital'!F6,0)))*(1-'Responsibilities'!$G$6)+('Sites'!E7*'Capital'!E7*(IF(15='Capital'!G7+'Cases'!G6,'Capital'!F7,0)+IF(15='Capital'!H7+'Cases'!G6,1-'Capital'!F7,0)))*(1-'Responsibilities'!$G$7)+('Sites'!E8*'Cases'!F6*'Capital'!E8*(IF(15='Capital'!G8+'Cases'!G6,'Capital'!F8,0)+IF(15='Capital'!H8+'Cases'!G6,1-'Capital'!F8,0)))*(1-'Responsibilities'!$G$8)+I20+SUMPRODUCT('Costs'!$E$36:$E$40,'Costs'!$F$36:$F$40)/12+BZ20)</f>
        <v/>
      </c>
      <c r="BZ20">
        <f>SUMIFS('Responsibilities'!$B$31:$B$35,'Responsibilities'!$C$31:$C$35,15,'Responsibilities'!$D$31:$D$35,"Yes")</f>
        <v/>
      </c>
    </row>
    <row r="21" ht="28" customHeight="1">
      <c r="A21" s="4" t="inlineStr">
        <is>
          <t>Full</t>
        </is>
      </c>
      <c r="B21" s="4" t="n">
        <v>16</v>
      </c>
      <c r="C21" s="4">
        <f>ROUNDUP(B21/12,0)</f>
        <v/>
      </c>
      <c r="D21" s="137">
        <f>SUMIFS('Production schedule'!$N$6:$N$113,'Production schedule'!$C$6:$C$113,16)</f>
        <v/>
      </c>
      <c r="E21" s="137">
        <f>SUMIFS('Production schedule'!$Y$6:$Y$113,'Production schedule'!$C$6:$C$113,16)</f>
        <v/>
      </c>
      <c r="F21" s="137">
        <f>SUMIFS('Production schedule'!$Z$6:$Z$113,'Production schedule'!$C$6:$C$113,16)</f>
        <v/>
      </c>
      <c r="G21" s="137">
        <f>('Production schedule'!AJ21)*'Responsibilities'!$C$6+('Production schedule'!AJ57)*'Responsibilities'!$C$7+('Production schedule'!AJ93)*'Responsibilities'!$C$8</f>
        <v/>
      </c>
      <c r="H21" s="137">
        <f>('Production schedule'!AI21)*'Responsibilities'!$D$6+('Production schedule'!AI57)*'Responsibilities'!$D$7+('Production schedule'!AI93)*'Responsibilities'!$D$8</f>
        <v/>
      </c>
      <c r="I21" s="137">
        <f>SUM('Assumptions'!S58:S65)</f>
        <v/>
      </c>
      <c r="J21" s="137">
        <f>('Production schedule'!E21*(IF('Sites'!D6="Annual staff",SUM('Assumptions'!S112,'Assumptions'!S114),0)+SUM('Assumptions'!S113,'Assumptions'!S115:S116)))*'Responsibilities'!$E$6+('Production schedule'!E57*(IF('Sites'!D7="Annual staff",SUM('Assumptions'!S117,'Assumptions'!S119),0)+SUM('Assumptions'!S118,'Assumptions'!S120:S121)))*'Responsibilities'!$E$7+('Production schedule'!E93*(IF('Sites'!D8="Annual staff",SUM('Assumptions'!S122,'Assumptions'!S124),0)+SUM('Assumptions'!S123,'Assumptions'!S125:S126)))*'Responsibilities'!$E$8</f>
        <v/>
      </c>
      <c r="K21" s="137">
        <f>(IF(AND('Production schedule'!E21=1,16=MAX(('Sites'!F6),13),ISNUMBER('Sites'!P6)),'Sites'!P6*'Assumptions'!$B$44,0))*'Responsibilities'!$F$6+(IF(AND('Production schedule'!E57=1,16=MAX(('Sites'!F7+'Cases'!G6),13),ISNUMBER('Sites'!P7)),'Sites'!P7*'Assumptions'!$B$44,0))*'Responsibilities'!$F$7+(IF(AND('Production schedule'!E93=1,16=MAX(('Sites'!F8+'Cases'!G6),13),ISNUMBER('Sites'!P8)),'Sites'!P8*'Assumptions'!$B$44,0))*'Responsibilities'!$F$8</f>
        <v/>
      </c>
      <c r="L21" s="137">
        <f>SUM('Costs'!E36)*'Costs'!F36/12*'Responsibilities'!$C$12+SUM('Costs'!E37)*'Costs'!F37/12*'Responsibilities'!$C$13+SUM('Costs'!E38)*'Costs'!F38/12*'Responsibilities'!$C$14+SUM('Costs'!E39)*'Costs'!F39/12*'Responsibilities'!$C$15+SUM('Costs'!E40)*'Costs'!F40/12*'Responsibilities'!$C$16+BZ21</f>
        <v/>
      </c>
      <c r="M21" s="137">
        <f>('Sites'!E6*'Capital'!E6*(IF(16='Capital'!G6,'Capital'!F6,0)+IF(16='Capital'!H6,1-'Capital'!F6,0)))*'Responsibilities'!$G$6+('Sites'!E7*'Capital'!E7*(IF(16='Capital'!G7+'Cases'!G6,'Capital'!F7,0)+IF(16='Capital'!H7+'Cases'!G6,1-'Capital'!F7,0)))*'Responsibilities'!$G$7+('Sites'!E8*'Cases'!F6*'Capital'!E8*(IF(16='Capital'!G8+'Cases'!G6,'Capital'!F8,0)+IF(16='Capital'!H8+'Cases'!G6,1-'Capital'!F8,0)))*'Responsibilities'!$G$8</f>
        <v/>
      </c>
      <c r="N21" s="137">
        <f>SUM(G21:M21)</f>
        <v/>
      </c>
      <c r="O21" s="137">
        <f>SUMIFS(FundingTranches[Secured amount],FundingTranches[Instrument],"Grant",FundingTranches[Secured month],16)</f>
        <v/>
      </c>
      <c r="P21" s="137">
        <f>SUMIFS(FundingTranches[Full possible],FundingTranches[Instrument],"Grant",FundingTranches[Scenario month],16-'Cases'!$D$6)</f>
        <v/>
      </c>
      <c r="Q21" s="137">
        <f>SUMIFS(FundingTranches[Secured amount],FundingTranches[Instrument],"Loan",FundingTranches[Secured month],16)</f>
        <v/>
      </c>
      <c r="R21" s="137">
        <f>SUMIFS(FundingTranches[Full possible],FundingTranches[Instrument],"Loan",FundingTranches[Scenario month],16-'Cases'!$D$6)</f>
        <v/>
      </c>
      <c r="S21" s="137">
        <f>IF(16&lt;='Assumptions'!$B$34,0,SUMIFS('Production schedule'!$AL$6:$AL$113,'Production schedule'!$C$6:$C$113,16-'Assumptions'!$B$34))</f>
        <v/>
      </c>
      <c r="T21" s="137">
        <f>'Assumptions'!S70</f>
        <v/>
      </c>
      <c r="U21" s="137">
        <f>'Assumptions'!S78</f>
        <v/>
      </c>
      <c r="V21" s="137">
        <f>SUM(O21:U21)</f>
        <v/>
      </c>
      <c r="W21" s="137">
        <f>AA20</f>
        <v/>
      </c>
      <c r="X21" s="137">
        <f>SUM(Q21:R21)</f>
        <v/>
      </c>
      <c r="Y21" s="137">
        <f>SUM(W21,X21)*'Assumptions'!$B$39/12</f>
        <v/>
      </c>
      <c r="Z21" s="137">
        <f>IF(SUM(W21,X21)&gt;0,MIN(SUM(W21,X21),MAX(0,BP21-Y21)),0)</f>
        <v/>
      </c>
      <c r="AA21" s="137">
        <f>SUM(W21,X21)-Z21</f>
        <v/>
      </c>
      <c r="AB21" s="137">
        <f>SUM(Y21:Z21)</f>
        <v/>
      </c>
      <c r="AC21" s="137">
        <f>'Assumptions'!S72</f>
        <v/>
      </c>
      <c r="AD21" s="137">
        <f>'Assumptions'!S73</f>
        <v/>
      </c>
      <c r="AE21" s="137">
        <f>IF(X21&gt;0,SUM('Assumptions'!$B$42),0)</f>
        <v/>
      </c>
      <c r="AF21" s="137">
        <f>'Assumptions'!S71</f>
        <v/>
      </c>
      <c r="AG21" s="137">
        <f>'Assumptions'!S74</f>
        <v/>
      </c>
      <c r="AH21" s="137">
        <f>'Assumptions'!S75</f>
        <v/>
      </c>
      <c r="AI21" s="137">
        <f>'Assumptions'!S77</f>
        <v/>
      </c>
      <c r="AJ21" s="137">
        <f>V21-N21-SUM(AB21:AI21)</f>
        <v/>
      </c>
      <c r="AK21" s="137">
        <f>SUM(AJ6:AJ21)</f>
        <v/>
      </c>
      <c r="AL21" s="137">
        <f>IF(ISNUMBER('Assumptions'!$B$10),'Assumptions'!$B$10+AK21,"")</f>
        <v/>
      </c>
      <c r="AM21" s="137">
        <f>SUM(O21,Q21,T21)-N21-SUM(AC21:AI21)+IF('Funding'!$N$11=0,AE21,0)-IF('Funding'!$N$11&gt;0,AB21,0)</f>
        <v/>
      </c>
      <c r="AN21" s="137">
        <f>SUM(AM6:AM21)</f>
        <v/>
      </c>
      <c r="AO21" s="137">
        <f>IF(ISNUMBER('Assumptions'!$B$10),'Assumptions'!$B$10+AN21,"")</f>
        <v/>
      </c>
      <c r="AP21" s="137">
        <f>('Production schedule'!AK21)*'Responsibilities'!$C$6+('Production schedule'!AK57)*'Responsibilities'!$C$7+('Production schedule'!AK93)*'Responsibilities'!$C$8</f>
        <v/>
      </c>
      <c r="AQ21" s="137">
        <f>SUMIFS('Production schedule'!$AL$6:$AL$113,'Production schedule'!$C$6:$C$113,16)</f>
        <v/>
      </c>
      <c r="AR21" s="137">
        <f>IF(ISNUMBER('Assumptions'!S76),'Assumptions'!S76,SUM(O21:P21))</f>
        <v/>
      </c>
      <c r="AS21" s="137">
        <f>IF(ISNUMBER('Assumptions'!$B$13),MIN('Assumptions'!$B$13/'Assumptions'!$B$18/12,MAX(0,'Assumptions'!$B$13-(16-1)*'Assumptions'!$B$13/'Assumptions'!$B$18/12)),0)+IF(AND('Sites'!E6=1,16&gt;=('Sites'!F6),16&lt;('Sites'!F6)+'Assumptions'!$B$18*12),'Capital'!E6/'Assumptions'!$B$18/12,0)+IF(AND('Sites'!E7=1,16&gt;=('Sites'!F7+'Cases'!G6),16&lt;('Sites'!F7+'Cases'!G6)+'Assumptions'!$B$18*12),'Capital'!E7/'Assumptions'!$B$18/12,0)+IF(AND('Sites'!E8*'Cases'!F6=1,16&gt;=('Sites'!F8+'Cases'!G6),16&lt;('Sites'!F8+'Cases'!G6)+'Assumptions'!$B$18*12),'Capital'!E8/'Assumptions'!$B$18/12,0)</f>
        <v/>
      </c>
      <c r="AT21" s="137">
        <f>SUM(AQ21,AR21,U21)-AP21-SUM(H21:L21)-AS21-SUM(Y21,AD21,AE21,AH21)</f>
        <v/>
      </c>
      <c r="AU21" s="137">
        <f>IF(ISNUMBER('Assumptions'!$B$19),MAX(0,SUM(AT18:AT21))*'Assumptions'!$B$19-SUM(AU18:AU20),"")</f>
        <v/>
      </c>
      <c r="AV21" s="137">
        <f>IF(ISNUMBER(AU21),AT21-AU21,"")</f>
        <v/>
      </c>
      <c r="AW21" s="137">
        <f>IF(ISNUMBER('Assumptions'!$B$11),'Assumptions'!$B$11+SUM(AQ6:AQ21)-SUM(S6:S21)-SUM(T6:T21),"")</f>
        <v/>
      </c>
      <c r="AX21" s="137">
        <f>IF(ISNUMBER('Assumptions'!$B$12),'Assumptions'!$B$12+SUM(G6:G21)-SUM(AP6:AP21),"")</f>
        <v/>
      </c>
      <c r="AY21" s="137">
        <f>IF(ISNUMBER('Assumptions'!$B$13),'Assumptions'!$B$13+SUM(M6:M21)-SUM(AS6:AS21),"")</f>
        <v/>
      </c>
      <c r="AZ21" s="137">
        <f>IF(ISNUMBER('Assumptions'!$B$14),'Assumptions'!$B$14+-SUM(AF6:AF21),"")</f>
        <v/>
      </c>
      <c r="BA21" s="137">
        <f>IF(ISNUMBER('Assumptions'!$B$15),'Assumptions'!$B$15+SUM(O6:O21)+SUM(P6:P21)-SUM(AR6:AR21),"")</f>
        <v/>
      </c>
      <c r="BB21" s="137">
        <f>IF(ISNUMBER('Assumptions'!$B$16),'Assumptions'!$B$16+-SUM(AC6:AC21),"")</f>
        <v/>
      </c>
      <c r="BC21" s="137">
        <f>IF(AND(ISNUMBER('Assumptions'!$B$21),ISNUMBER('Assumptions'!$B$19)),'Assumptions'!$B$21+SUM(AU6:AU21)-SUM(AG6:AG21),"")</f>
        <v/>
      </c>
      <c r="BD21" s="137">
        <f>IF(ISNUMBER('Assumptions'!$B$20),'Assumptions'!$B$20+-SUM(AI6:AI21),"")</f>
        <v/>
      </c>
      <c r="BE21" s="137">
        <f>IF(AND(ISNUMBER('Assumptions'!$B$17),COUNT(AV6:AV21)=16),'Assumptions'!$B$17+SUM(AV6:AV21),"")</f>
        <v/>
      </c>
      <c r="BF21" s="137">
        <f>IF(COUNT(AL21,AW21:AY21)=4,SUM(AL21,AW21:AY21),"")</f>
        <v/>
      </c>
      <c r="BG21" s="137">
        <f>IF(COUNT(AZ21:BD21)=5,SUM(AZ21:BD21,AA21),"")</f>
        <v/>
      </c>
      <c r="BH21" s="137">
        <f>IF(COUNT(BF21,BG21,BE21)=3,BF21-BG21-BE21,"")</f>
        <v/>
      </c>
      <c r="BI21" s="137">
        <f>SUM(W21,X21)-Z21-AA21</f>
        <v/>
      </c>
      <c r="BJ21" s="137">
        <f>8-COUNT('Assumptions'!S58:S65)+COUNTBLANK('NM Play'!B33:B34)+'Costs'!E44+IF(AND('Sites'!E6=1,('Sites'!F6)&lt;=24,'Sites'!G6&gt;=13),IF(ISNUMBER('Sites'!P6),0,1)+'Capital'!I6+COUNTBLANK('Sites'!R6)+IF('Sites'!D6="NM crew",COUNTBLANK('NM Play'!B25)+1,5-COUNT('Assumptions'!S112:S116)),0)+IF(AND('Sites'!E7=1,('Sites'!F7+'Cases'!G6)&lt;=24,'Sites'!G7&gt;=13),IF(ISNUMBER('Sites'!P7),0,1)+'Capital'!I7+COUNTBLANK('Sites'!R7)+IF('Sites'!D7="NM crew",COUNTBLANK('NM Play'!B25)+1,5-COUNT('Assumptions'!S117:S121)),0)+IF(AND('Sites'!E8*'Cases'!F6=1,('Sites'!F8+'Cases'!G6)&lt;=24,'Sites'!G8&gt;=13),IF(ISNUMBER('Sites'!P8),0,1)+'Capital'!I8+COUNTBLANK('Sites'!R8)+IF('Sites'!D8="NM crew",COUNTBLANK('NM Play'!B25)+1,5-COUNT('Assumptions'!S122:S126)),0)+IF(AND('Cases'!C6&gt;0,NOT(ISNUMBER('Assumptions'!B42))),1,0)+'Responsibilities'!$B$39</f>
        <v/>
      </c>
      <c r="BK21" s="137">
        <f>'Assumptions'!$B$50+'NM Play'!$B$83+'Funding'!$F$20+SUMIFS('Production schedule'!$AN$6:$AN$113,'Production schedule'!$C$6:$C$113,16)+IF(OR('Cases'!E6&lt;0,'Cases'!E6&gt;1,'Cases'!C6&lt;0,'Cases'!D6&lt;0,ABS(SUM('Sites'!S6:S8)-1)&gt;0.0001,MIN('Capital'!F6:F8)&lt;0,MAX('Capital'!F6:F8)&gt;1,MIN(AX21,AZ21,BB21,BA21)&lt;-0.01),1,0)+'Responsibilities'!$B$40</f>
        <v/>
      </c>
      <c r="BL21" s="137">
        <f>SUMIFS('Production schedule'!$T$6:$T$113,'Production schedule'!$C$6:$C$113,16)</f>
        <v/>
      </c>
      <c r="BM21" s="137">
        <f>D21*'NM Play'!$B$38</f>
        <v/>
      </c>
      <c r="BN21" s="137">
        <f>SUMIFS('Production schedule'!$AM$6:$AM$113,'Production schedule'!$C$6:$C$113,16)</f>
        <v/>
      </c>
      <c r="BO21" s="137">
        <f>AK21-AK20-AJ21</f>
        <v/>
      </c>
      <c r="BP21" s="137">
        <f>IF(AND('Assumptions'!$B$39&gt;=0,'Assumptions'!$B$40&gt;0),-PMT('Assumptions'!$B$39/12,'Assumptions'!$B$40*12,IF('Funding'!$N$11&gt;0,'Funding'!$N$11,'Funding'!$R$11)),"")</f>
        <v/>
      </c>
      <c r="BQ21">
        <f>('Production schedule'!AJ21)*(1-'Responsibilities'!$C$6)+('Production schedule'!AJ57)*(1-'Responsibilities'!$C$7)+('Production schedule'!AJ93)*(1-'Responsibilities'!$C$8)</f>
        <v/>
      </c>
      <c r="BR21">
        <f>('Production schedule'!AI21)*(1-'Responsibilities'!$D$6)+('Production schedule'!AI57)*(1-'Responsibilities'!$D$7)+('Production schedule'!AI93)*(1-'Responsibilities'!$D$8)</f>
        <v/>
      </c>
      <c r="BS21">
        <f>('Production schedule'!E21*(IF('Sites'!D6="Annual staff",SUM('Assumptions'!S112,'Assumptions'!S114),0)+SUM('Assumptions'!S113,'Assumptions'!S115:S116)))*(1-'Responsibilities'!$E$6)+('Production schedule'!E57*(IF('Sites'!D7="Annual staff",SUM('Assumptions'!S117,'Assumptions'!S119),0)+SUM('Assumptions'!S118,'Assumptions'!S120:S121)))*(1-'Responsibilities'!$E$7)+('Production schedule'!E93*(IF('Sites'!D8="Annual staff",SUM('Assumptions'!S122,'Assumptions'!S124),0)+SUM('Assumptions'!S123,'Assumptions'!S125:S126)))*(1-'Responsibilities'!$E$8)</f>
        <v/>
      </c>
      <c r="BT21">
        <f>(IF(AND('Production schedule'!E21=1,16=MAX(('Sites'!F6),13),ISNUMBER('Sites'!P6)),'Sites'!P6*'Assumptions'!$B$44,0))*(1-'Responsibilities'!$F$6)+(IF(AND('Production schedule'!E57=1,16=MAX(('Sites'!F7+'Cases'!G6),13),ISNUMBER('Sites'!P7)),'Sites'!P7*'Assumptions'!$B$44,0))*(1-'Responsibilities'!$F$7)+(IF(AND('Production schedule'!E93=1,16=MAX(('Sites'!F8+'Cases'!G6),13),ISNUMBER('Sites'!P8)),'Sites'!P8*'Assumptions'!$B$44,0))*(1-'Responsibilities'!$F$8)</f>
        <v/>
      </c>
      <c r="BU21">
        <f>SUM('Costs'!E36)*'Costs'!F36/12*(1-'Responsibilities'!$C$12)+SUM('Costs'!E37)*'Costs'!F37/12*(1-'Responsibilities'!$C$13)+SUM('Costs'!E38)*'Costs'!F38/12*(1-'Responsibilities'!$C$14)+SUM('Costs'!E39)*'Costs'!F39/12*(1-'Responsibilities'!$C$15)+SUM('Costs'!E40)*'Costs'!F40/12*(1-'Responsibilities'!$C$16)</f>
        <v/>
      </c>
      <c r="BV21">
        <f>('Sites'!E6*'Capital'!E6*(IF(16='Capital'!G6,'Capital'!F6,0)+IF(16='Capital'!H6,1-'Capital'!F6,0)))*(1-'Responsibilities'!$G$6)+('Sites'!E7*'Capital'!E7*(IF(16='Capital'!G7+'Cases'!G6,'Capital'!F7,0)+IF(16='Capital'!H7+'Cases'!G6,1-'Capital'!F7,0)))*(1-'Responsibilities'!$G$7)+('Sites'!E8*'Cases'!F6*'Capital'!E8*(IF(16='Capital'!G8+'Cases'!G6,'Capital'!F8,0)+IF(16='Capital'!H8+'Cases'!G6,1-'Capital'!F8,0)))*(1-'Responsibilities'!$G$8)</f>
        <v/>
      </c>
      <c r="BW21">
        <f>SUM(BQ21:BV21)</f>
        <v/>
      </c>
      <c r="BX21">
        <f>N21+BW21</f>
        <v/>
      </c>
      <c r="BY21">
        <f>BX21-(('Production schedule'!AJ21)*'Responsibilities'!$C$6+('Production schedule'!AJ57)*'Responsibilities'!$C$7+('Production schedule'!AJ93)*'Responsibilities'!$C$8+('Production schedule'!AJ21)*(1-'Responsibilities'!$C$6)+('Production schedule'!AJ57)*(1-'Responsibilities'!$C$7)+('Production schedule'!AJ93)*(1-'Responsibilities'!$C$8)+('Production schedule'!AI21)*'Responsibilities'!$D$6+('Production schedule'!AI57)*'Responsibilities'!$D$7+('Production schedule'!AI93)*'Responsibilities'!$D$8+('Production schedule'!AI21)*(1-'Responsibilities'!$D$6)+('Production schedule'!AI57)*(1-'Responsibilities'!$D$7)+('Production schedule'!AI93)*(1-'Responsibilities'!$D$8)+('Production schedule'!E21*(IF('Sites'!D6="Annual staff",SUM('Assumptions'!S112,'Assumptions'!S114),0)+SUM('Assumptions'!S113,'Assumptions'!S115:S116)))*'Responsibilities'!$E$6+('Production schedule'!E57*(IF('Sites'!D7="Annual staff",SUM('Assumptions'!S117,'Assumptions'!S119),0)+SUM('Assumptions'!S118,'Assumptions'!S120:S121)))*'Responsibilities'!$E$7+('Production schedule'!E93*(IF('Sites'!D8="Annual staff",SUM('Assumptions'!S122,'Assumptions'!S124),0)+SUM('Assumptions'!S123,'Assumptions'!S125:S126)))*'Responsibilities'!$E$8+('Production schedule'!E21*(IF('Sites'!D6="Annual staff",SUM('Assumptions'!S112,'Assumptions'!S114),0)+SUM('Assumptions'!S113,'Assumptions'!S115:S116)))*(1-'Responsibilities'!$E$6)+('Production schedule'!E57*(IF('Sites'!D7="Annual staff",SUM('Assumptions'!S117,'Assumptions'!S119),0)+SUM('Assumptions'!S118,'Assumptions'!S120:S121)))*(1-'Responsibilities'!$E$7)+('Production schedule'!E93*(IF('Sites'!D8="Annual staff",SUM('Assumptions'!S122,'Assumptions'!S124),0)+SUM('Assumptions'!S123,'Assumptions'!S125:S126)))*(1-'Responsibilities'!$E$8)+(IF(AND('Production schedule'!E21=1,16=MAX(('Sites'!F6),13),ISNUMBER('Sites'!P6)),'Sites'!P6*'Assumptions'!$B$44,0))*'Responsibilities'!$F$6+(IF(AND('Production schedule'!E57=1,16=MAX(('Sites'!F7+'Cases'!G6),13),ISNUMBER('Sites'!P7)),'Sites'!P7*'Assumptions'!$B$44,0))*'Responsibilities'!$F$7+(IF(AND('Production schedule'!E93=1,16=MAX(('Sites'!F8+'Cases'!G6),13),ISNUMBER('Sites'!P8)),'Sites'!P8*'Assumptions'!$B$44,0))*'Responsibilities'!$F$8+(IF(AND('Production schedule'!E21=1,16=MAX(('Sites'!F6),13),ISNUMBER('Sites'!P6)),'Sites'!P6*'Assumptions'!$B$44,0))*(1-'Responsibilities'!$F$6)+(IF(AND('Production schedule'!E57=1,16=MAX(('Sites'!F7+'Cases'!G6),13),ISNUMBER('Sites'!P7)),'Sites'!P7*'Assumptions'!$B$44,0))*(1-'Responsibilities'!$F$7)+(IF(AND('Production schedule'!E93=1,16=MAX(('Sites'!F8+'Cases'!G6),13),ISNUMBER('Sites'!P8)),'Sites'!P8*'Assumptions'!$B$44,0))*(1-'Responsibilities'!$F$8)+('Sites'!E6*'Capital'!E6*(IF(16='Capital'!G6,'Capital'!F6,0)+IF(16='Capital'!H6,1-'Capital'!F6,0)))*'Responsibilities'!$G$6+('Sites'!E7*'Capital'!E7*(IF(16='Capital'!G7+'Cases'!G6,'Capital'!F7,0)+IF(16='Capital'!H7+'Cases'!G6,1-'Capital'!F7,0)))*'Responsibilities'!$G$7+('Sites'!E8*'Cases'!F6*'Capital'!E8*(IF(16='Capital'!G8+'Cases'!G6,'Capital'!F8,0)+IF(16='Capital'!H8+'Cases'!G6,1-'Capital'!F8,0)))*'Responsibilities'!$G$8+('Sites'!E6*'Capital'!E6*(IF(16='Capital'!G6,'Capital'!F6,0)+IF(16='Capital'!H6,1-'Capital'!F6,0)))*(1-'Responsibilities'!$G$6)+('Sites'!E7*'Capital'!E7*(IF(16='Capital'!G7+'Cases'!G6,'Capital'!F7,0)+IF(16='Capital'!H7+'Cases'!G6,1-'Capital'!F7,0)))*(1-'Responsibilities'!$G$7)+('Sites'!E8*'Cases'!F6*'Capital'!E8*(IF(16='Capital'!G8+'Cases'!G6,'Capital'!F8,0)+IF(16='Capital'!H8+'Cases'!G6,1-'Capital'!F8,0)))*(1-'Responsibilities'!$G$8)+I21+SUMPRODUCT('Costs'!$E$36:$E$40,'Costs'!$F$36:$F$40)/12+BZ21)</f>
        <v/>
      </c>
      <c r="BZ21">
        <f>SUMIFS('Responsibilities'!$B$31:$B$35,'Responsibilities'!$C$31:$C$35,16,'Responsibilities'!$D$31:$D$35,"Yes")</f>
        <v/>
      </c>
    </row>
    <row r="22" ht="28" customHeight="1">
      <c r="A22" s="4" t="inlineStr">
        <is>
          <t>Full</t>
        </is>
      </c>
      <c r="B22" s="4" t="n">
        <v>17</v>
      </c>
      <c r="C22" s="4">
        <f>ROUNDUP(B22/12,0)</f>
        <v/>
      </c>
      <c r="D22" s="137">
        <f>SUMIFS('Production schedule'!$N$6:$N$113,'Production schedule'!$C$6:$C$113,17)</f>
        <v/>
      </c>
      <c r="E22" s="137">
        <f>SUMIFS('Production schedule'!$Y$6:$Y$113,'Production schedule'!$C$6:$C$113,17)</f>
        <v/>
      </c>
      <c r="F22" s="137">
        <f>SUMIFS('Production schedule'!$Z$6:$Z$113,'Production schedule'!$C$6:$C$113,17)</f>
        <v/>
      </c>
      <c r="G22" s="137">
        <f>('Production schedule'!AJ22)*'Responsibilities'!$C$6+('Production schedule'!AJ58)*'Responsibilities'!$C$7+('Production schedule'!AJ94)*'Responsibilities'!$C$8</f>
        <v/>
      </c>
      <c r="H22" s="137">
        <f>('Production schedule'!AI22)*'Responsibilities'!$D$6+('Production schedule'!AI58)*'Responsibilities'!$D$7+('Production schedule'!AI94)*'Responsibilities'!$D$8</f>
        <v/>
      </c>
      <c r="I22" s="137">
        <f>SUM('Assumptions'!T58:T65)</f>
        <v/>
      </c>
      <c r="J22" s="137">
        <f>('Production schedule'!E22*(IF('Sites'!D6="Annual staff",SUM('Assumptions'!T112,'Assumptions'!T114),0)+SUM('Assumptions'!T113,'Assumptions'!T115:T116)))*'Responsibilities'!$E$6+('Production schedule'!E58*(IF('Sites'!D7="Annual staff",SUM('Assumptions'!T117,'Assumptions'!T119),0)+SUM('Assumptions'!T118,'Assumptions'!T120:T121)))*'Responsibilities'!$E$7+('Production schedule'!E94*(IF('Sites'!D8="Annual staff",SUM('Assumptions'!T122,'Assumptions'!T124),0)+SUM('Assumptions'!T123,'Assumptions'!T125:T126)))*'Responsibilities'!$E$8</f>
        <v/>
      </c>
      <c r="K22" s="137">
        <f>(IF(AND('Production schedule'!E22=1,17=MAX(('Sites'!F6),13),ISNUMBER('Sites'!P6)),'Sites'!P6*'Assumptions'!$B$44,0))*'Responsibilities'!$F$6+(IF(AND('Production schedule'!E58=1,17=MAX(('Sites'!F7+'Cases'!G6),13),ISNUMBER('Sites'!P7)),'Sites'!P7*'Assumptions'!$B$44,0))*'Responsibilities'!$F$7+(IF(AND('Production schedule'!E94=1,17=MAX(('Sites'!F8+'Cases'!G6),13),ISNUMBER('Sites'!P8)),'Sites'!P8*'Assumptions'!$B$44,0))*'Responsibilities'!$F$8</f>
        <v/>
      </c>
      <c r="L22" s="137">
        <f>SUM('Costs'!E36)*'Costs'!F36/12*'Responsibilities'!$C$12+SUM('Costs'!E37)*'Costs'!F37/12*'Responsibilities'!$C$13+SUM('Costs'!E38)*'Costs'!F38/12*'Responsibilities'!$C$14+SUM('Costs'!E39)*'Costs'!F39/12*'Responsibilities'!$C$15+SUM('Costs'!E40)*'Costs'!F40/12*'Responsibilities'!$C$16+BZ22</f>
        <v/>
      </c>
      <c r="M22" s="137">
        <f>('Sites'!E6*'Capital'!E6*(IF(17='Capital'!G6,'Capital'!F6,0)+IF(17='Capital'!H6,1-'Capital'!F6,0)))*'Responsibilities'!$G$6+('Sites'!E7*'Capital'!E7*(IF(17='Capital'!G7+'Cases'!G6,'Capital'!F7,0)+IF(17='Capital'!H7+'Cases'!G6,1-'Capital'!F7,0)))*'Responsibilities'!$G$7+('Sites'!E8*'Cases'!F6*'Capital'!E8*(IF(17='Capital'!G8+'Cases'!G6,'Capital'!F8,0)+IF(17='Capital'!H8+'Cases'!G6,1-'Capital'!F8,0)))*'Responsibilities'!$G$8</f>
        <v/>
      </c>
      <c r="N22" s="137">
        <f>SUM(G22:M22)</f>
        <v/>
      </c>
      <c r="O22" s="137">
        <f>SUMIFS(FundingTranches[Secured amount],FundingTranches[Instrument],"Grant",FundingTranches[Secured month],17)</f>
        <v/>
      </c>
      <c r="P22" s="137">
        <f>SUMIFS(FundingTranches[Full possible],FundingTranches[Instrument],"Grant",FundingTranches[Scenario month],17-'Cases'!$D$6)</f>
        <v/>
      </c>
      <c r="Q22" s="137">
        <f>SUMIFS(FundingTranches[Secured amount],FundingTranches[Instrument],"Loan",FundingTranches[Secured month],17)</f>
        <v/>
      </c>
      <c r="R22" s="137">
        <f>SUMIFS(FundingTranches[Full possible],FundingTranches[Instrument],"Loan",FundingTranches[Scenario month],17-'Cases'!$D$6)</f>
        <v/>
      </c>
      <c r="S22" s="137">
        <f>IF(17&lt;='Assumptions'!$B$34,0,SUMIFS('Production schedule'!$AL$6:$AL$113,'Production schedule'!$C$6:$C$113,17-'Assumptions'!$B$34))</f>
        <v/>
      </c>
      <c r="T22" s="137">
        <f>'Assumptions'!T70</f>
        <v/>
      </c>
      <c r="U22" s="137">
        <f>'Assumptions'!T78</f>
        <v/>
      </c>
      <c r="V22" s="137">
        <f>SUM(O22:U22)</f>
        <v/>
      </c>
      <c r="W22" s="137">
        <f>AA21</f>
        <v/>
      </c>
      <c r="X22" s="137">
        <f>SUM(Q22:R22)</f>
        <v/>
      </c>
      <c r="Y22" s="137">
        <f>SUM(W22,X22)*'Assumptions'!$B$39/12</f>
        <v/>
      </c>
      <c r="Z22" s="137">
        <f>IF(SUM(W22,X22)&gt;0,MIN(SUM(W22,X22),MAX(0,BP22-Y22)),0)</f>
        <v/>
      </c>
      <c r="AA22" s="137">
        <f>SUM(W22,X22)-Z22</f>
        <v/>
      </c>
      <c r="AB22" s="137">
        <f>SUM(Y22:Z22)</f>
        <v/>
      </c>
      <c r="AC22" s="137">
        <f>'Assumptions'!T72</f>
        <v/>
      </c>
      <c r="AD22" s="137">
        <f>'Assumptions'!T73</f>
        <v/>
      </c>
      <c r="AE22" s="137">
        <f>IF(X22&gt;0,SUM('Assumptions'!$B$42),0)</f>
        <v/>
      </c>
      <c r="AF22" s="137">
        <f>'Assumptions'!T71</f>
        <v/>
      </c>
      <c r="AG22" s="137">
        <f>'Assumptions'!T74</f>
        <v/>
      </c>
      <c r="AH22" s="137">
        <f>'Assumptions'!T75</f>
        <v/>
      </c>
      <c r="AI22" s="137">
        <f>'Assumptions'!T77</f>
        <v/>
      </c>
      <c r="AJ22" s="137">
        <f>V22-N22-SUM(AB22:AI22)</f>
        <v/>
      </c>
      <c r="AK22" s="137">
        <f>SUM(AJ6:AJ22)</f>
        <v/>
      </c>
      <c r="AL22" s="137">
        <f>IF(ISNUMBER('Assumptions'!$B$10),'Assumptions'!$B$10+AK22,"")</f>
        <v/>
      </c>
      <c r="AM22" s="137">
        <f>SUM(O22,Q22,T22)-N22-SUM(AC22:AI22)+IF('Funding'!$N$11=0,AE22,0)-IF('Funding'!$N$11&gt;0,AB22,0)</f>
        <v/>
      </c>
      <c r="AN22" s="137">
        <f>SUM(AM6:AM22)</f>
        <v/>
      </c>
      <c r="AO22" s="137">
        <f>IF(ISNUMBER('Assumptions'!$B$10),'Assumptions'!$B$10+AN22,"")</f>
        <v/>
      </c>
      <c r="AP22" s="137">
        <f>('Production schedule'!AK22)*'Responsibilities'!$C$6+('Production schedule'!AK58)*'Responsibilities'!$C$7+('Production schedule'!AK94)*'Responsibilities'!$C$8</f>
        <v/>
      </c>
      <c r="AQ22" s="137">
        <f>SUMIFS('Production schedule'!$AL$6:$AL$113,'Production schedule'!$C$6:$C$113,17)</f>
        <v/>
      </c>
      <c r="AR22" s="137">
        <f>IF(ISNUMBER('Assumptions'!T76),'Assumptions'!T76,SUM(O22:P22))</f>
        <v/>
      </c>
      <c r="AS22" s="137">
        <f>IF(ISNUMBER('Assumptions'!$B$13),MIN('Assumptions'!$B$13/'Assumptions'!$B$18/12,MAX(0,'Assumptions'!$B$13-(17-1)*'Assumptions'!$B$13/'Assumptions'!$B$18/12)),0)+IF(AND('Sites'!E6=1,17&gt;=('Sites'!F6),17&lt;('Sites'!F6)+'Assumptions'!$B$18*12),'Capital'!E6/'Assumptions'!$B$18/12,0)+IF(AND('Sites'!E7=1,17&gt;=('Sites'!F7+'Cases'!G6),17&lt;('Sites'!F7+'Cases'!G6)+'Assumptions'!$B$18*12),'Capital'!E7/'Assumptions'!$B$18/12,0)+IF(AND('Sites'!E8*'Cases'!F6=1,17&gt;=('Sites'!F8+'Cases'!G6),17&lt;('Sites'!F8+'Cases'!G6)+'Assumptions'!$B$18*12),'Capital'!E8/'Assumptions'!$B$18/12,0)</f>
        <v/>
      </c>
      <c r="AT22" s="137">
        <f>SUM(AQ22,AR22,U22)-AP22-SUM(H22:L22)-AS22-SUM(Y22,AD22,AE22,AH22)</f>
        <v/>
      </c>
      <c r="AU22" s="137">
        <f>IF(ISNUMBER('Assumptions'!$B$19),MAX(0,SUM(AT18:AT22))*'Assumptions'!$B$19-SUM(AU18:AU21),"")</f>
        <v/>
      </c>
      <c r="AV22" s="137">
        <f>IF(ISNUMBER(AU22),AT22-AU22,"")</f>
        <v/>
      </c>
      <c r="AW22" s="137">
        <f>IF(ISNUMBER('Assumptions'!$B$11),'Assumptions'!$B$11+SUM(AQ6:AQ22)-SUM(S6:S22)-SUM(T6:T22),"")</f>
        <v/>
      </c>
      <c r="AX22" s="137">
        <f>IF(ISNUMBER('Assumptions'!$B$12),'Assumptions'!$B$12+SUM(G6:G22)-SUM(AP6:AP22),"")</f>
        <v/>
      </c>
      <c r="AY22" s="137">
        <f>IF(ISNUMBER('Assumptions'!$B$13),'Assumptions'!$B$13+SUM(M6:M22)-SUM(AS6:AS22),"")</f>
        <v/>
      </c>
      <c r="AZ22" s="137">
        <f>IF(ISNUMBER('Assumptions'!$B$14),'Assumptions'!$B$14+-SUM(AF6:AF22),"")</f>
        <v/>
      </c>
      <c r="BA22" s="137">
        <f>IF(ISNUMBER('Assumptions'!$B$15),'Assumptions'!$B$15+SUM(O6:O22)+SUM(P6:P22)-SUM(AR6:AR22),"")</f>
        <v/>
      </c>
      <c r="BB22" s="137">
        <f>IF(ISNUMBER('Assumptions'!$B$16),'Assumptions'!$B$16+-SUM(AC6:AC22),"")</f>
        <v/>
      </c>
      <c r="BC22" s="137">
        <f>IF(AND(ISNUMBER('Assumptions'!$B$21),ISNUMBER('Assumptions'!$B$19)),'Assumptions'!$B$21+SUM(AU6:AU22)-SUM(AG6:AG22),"")</f>
        <v/>
      </c>
      <c r="BD22" s="137">
        <f>IF(ISNUMBER('Assumptions'!$B$20),'Assumptions'!$B$20+-SUM(AI6:AI22),"")</f>
        <v/>
      </c>
      <c r="BE22" s="137">
        <f>IF(AND(ISNUMBER('Assumptions'!$B$17),COUNT(AV6:AV22)=17),'Assumptions'!$B$17+SUM(AV6:AV22),"")</f>
        <v/>
      </c>
      <c r="BF22" s="137">
        <f>IF(COUNT(AL22,AW22:AY22)=4,SUM(AL22,AW22:AY22),"")</f>
        <v/>
      </c>
      <c r="BG22" s="137">
        <f>IF(COUNT(AZ22:BD22)=5,SUM(AZ22:BD22,AA22),"")</f>
        <v/>
      </c>
      <c r="BH22" s="137">
        <f>IF(COUNT(BF22,BG22,BE22)=3,BF22-BG22-BE22,"")</f>
        <v/>
      </c>
      <c r="BI22" s="137">
        <f>SUM(W22,X22)-Z22-AA22</f>
        <v/>
      </c>
      <c r="BJ22" s="137">
        <f>8-COUNT('Assumptions'!T58:T65)+COUNTBLANK('NM Play'!B33:B34)+'Costs'!E44+IF(AND('Sites'!E6=1,('Sites'!F6)&lt;=24,'Sites'!G6&gt;=13),IF(ISNUMBER('Sites'!P6),0,1)+'Capital'!I6+COUNTBLANK('Sites'!R6)+IF('Sites'!D6="NM crew",COUNTBLANK('NM Play'!B25)+1,5-COUNT('Assumptions'!T112:T116)),0)+IF(AND('Sites'!E7=1,('Sites'!F7+'Cases'!G6)&lt;=24,'Sites'!G7&gt;=13),IF(ISNUMBER('Sites'!P7),0,1)+'Capital'!I7+COUNTBLANK('Sites'!R7)+IF('Sites'!D7="NM crew",COUNTBLANK('NM Play'!B25)+1,5-COUNT('Assumptions'!T117:T121)),0)+IF(AND('Sites'!E8*'Cases'!F6=1,('Sites'!F8+'Cases'!G6)&lt;=24,'Sites'!G8&gt;=13),IF(ISNUMBER('Sites'!P8),0,1)+'Capital'!I8+COUNTBLANK('Sites'!R8)+IF('Sites'!D8="NM crew",COUNTBLANK('NM Play'!B25)+1,5-COUNT('Assumptions'!T122:T126)),0)+IF(AND('Cases'!C6&gt;0,NOT(ISNUMBER('Assumptions'!B42))),1,0)+'Responsibilities'!$B$39</f>
        <v/>
      </c>
      <c r="BK22" s="137">
        <f>'Assumptions'!$B$50+'NM Play'!$B$83+'Funding'!$F$20+SUMIFS('Production schedule'!$AN$6:$AN$113,'Production schedule'!$C$6:$C$113,17)+IF(OR('Cases'!E6&lt;0,'Cases'!E6&gt;1,'Cases'!C6&lt;0,'Cases'!D6&lt;0,ABS(SUM('Sites'!S6:S8)-1)&gt;0.0001,MIN('Capital'!F6:F8)&lt;0,MAX('Capital'!F6:F8)&gt;1,MIN(AX22,AZ22,BB22,BA22)&lt;-0.01),1,0)+'Responsibilities'!$B$40</f>
        <v/>
      </c>
      <c r="BL22" s="137">
        <f>SUMIFS('Production schedule'!$T$6:$T$113,'Production schedule'!$C$6:$C$113,17)</f>
        <v/>
      </c>
      <c r="BM22" s="137">
        <f>D22*'NM Play'!$B$38</f>
        <v/>
      </c>
      <c r="BN22" s="137">
        <f>SUMIFS('Production schedule'!$AM$6:$AM$113,'Production schedule'!$C$6:$C$113,17)</f>
        <v/>
      </c>
      <c r="BO22" s="137">
        <f>AK22-AK21-AJ22</f>
        <v/>
      </c>
      <c r="BP22" s="137">
        <f>IF(AND('Assumptions'!$B$39&gt;=0,'Assumptions'!$B$40&gt;0),-PMT('Assumptions'!$B$39/12,'Assumptions'!$B$40*12,IF('Funding'!$N$11&gt;0,'Funding'!$N$11,'Funding'!$R$11)),"")</f>
        <v/>
      </c>
      <c r="BQ22">
        <f>('Production schedule'!AJ22)*(1-'Responsibilities'!$C$6)+('Production schedule'!AJ58)*(1-'Responsibilities'!$C$7)+('Production schedule'!AJ94)*(1-'Responsibilities'!$C$8)</f>
        <v/>
      </c>
      <c r="BR22">
        <f>('Production schedule'!AI22)*(1-'Responsibilities'!$D$6)+('Production schedule'!AI58)*(1-'Responsibilities'!$D$7)+('Production schedule'!AI94)*(1-'Responsibilities'!$D$8)</f>
        <v/>
      </c>
      <c r="BS22">
        <f>('Production schedule'!E22*(IF('Sites'!D6="Annual staff",SUM('Assumptions'!T112,'Assumptions'!T114),0)+SUM('Assumptions'!T113,'Assumptions'!T115:T116)))*(1-'Responsibilities'!$E$6)+('Production schedule'!E58*(IF('Sites'!D7="Annual staff",SUM('Assumptions'!T117,'Assumptions'!T119),0)+SUM('Assumptions'!T118,'Assumptions'!T120:T121)))*(1-'Responsibilities'!$E$7)+('Production schedule'!E94*(IF('Sites'!D8="Annual staff",SUM('Assumptions'!T122,'Assumptions'!T124),0)+SUM('Assumptions'!T123,'Assumptions'!T125:T126)))*(1-'Responsibilities'!$E$8)</f>
        <v/>
      </c>
      <c r="BT22">
        <f>(IF(AND('Production schedule'!E22=1,17=MAX(('Sites'!F6),13),ISNUMBER('Sites'!P6)),'Sites'!P6*'Assumptions'!$B$44,0))*(1-'Responsibilities'!$F$6)+(IF(AND('Production schedule'!E58=1,17=MAX(('Sites'!F7+'Cases'!G6),13),ISNUMBER('Sites'!P7)),'Sites'!P7*'Assumptions'!$B$44,0))*(1-'Responsibilities'!$F$7)+(IF(AND('Production schedule'!E94=1,17=MAX(('Sites'!F8+'Cases'!G6),13),ISNUMBER('Sites'!P8)),'Sites'!P8*'Assumptions'!$B$44,0))*(1-'Responsibilities'!$F$8)</f>
        <v/>
      </c>
      <c r="BU22">
        <f>SUM('Costs'!E36)*'Costs'!F36/12*(1-'Responsibilities'!$C$12)+SUM('Costs'!E37)*'Costs'!F37/12*(1-'Responsibilities'!$C$13)+SUM('Costs'!E38)*'Costs'!F38/12*(1-'Responsibilities'!$C$14)+SUM('Costs'!E39)*'Costs'!F39/12*(1-'Responsibilities'!$C$15)+SUM('Costs'!E40)*'Costs'!F40/12*(1-'Responsibilities'!$C$16)</f>
        <v/>
      </c>
      <c r="BV22">
        <f>('Sites'!E6*'Capital'!E6*(IF(17='Capital'!G6,'Capital'!F6,0)+IF(17='Capital'!H6,1-'Capital'!F6,0)))*(1-'Responsibilities'!$G$6)+('Sites'!E7*'Capital'!E7*(IF(17='Capital'!G7+'Cases'!G6,'Capital'!F7,0)+IF(17='Capital'!H7+'Cases'!G6,1-'Capital'!F7,0)))*(1-'Responsibilities'!$G$7)+('Sites'!E8*'Cases'!F6*'Capital'!E8*(IF(17='Capital'!G8+'Cases'!G6,'Capital'!F8,0)+IF(17='Capital'!H8+'Cases'!G6,1-'Capital'!F8,0)))*(1-'Responsibilities'!$G$8)</f>
        <v/>
      </c>
      <c r="BW22">
        <f>SUM(BQ22:BV22)</f>
        <v/>
      </c>
      <c r="BX22">
        <f>N22+BW22</f>
        <v/>
      </c>
      <c r="BY22">
        <f>BX22-(('Production schedule'!AJ22)*'Responsibilities'!$C$6+('Production schedule'!AJ58)*'Responsibilities'!$C$7+('Production schedule'!AJ94)*'Responsibilities'!$C$8+('Production schedule'!AJ22)*(1-'Responsibilities'!$C$6)+('Production schedule'!AJ58)*(1-'Responsibilities'!$C$7)+('Production schedule'!AJ94)*(1-'Responsibilities'!$C$8)+('Production schedule'!AI22)*'Responsibilities'!$D$6+('Production schedule'!AI58)*'Responsibilities'!$D$7+('Production schedule'!AI94)*'Responsibilities'!$D$8+('Production schedule'!AI22)*(1-'Responsibilities'!$D$6)+('Production schedule'!AI58)*(1-'Responsibilities'!$D$7)+('Production schedule'!AI94)*(1-'Responsibilities'!$D$8)+('Production schedule'!E22*(IF('Sites'!D6="Annual staff",SUM('Assumptions'!T112,'Assumptions'!T114),0)+SUM('Assumptions'!T113,'Assumptions'!T115:T116)))*'Responsibilities'!$E$6+('Production schedule'!E58*(IF('Sites'!D7="Annual staff",SUM('Assumptions'!T117,'Assumptions'!T119),0)+SUM('Assumptions'!T118,'Assumptions'!T120:T121)))*'Responsibilities'!$E$7+('Production schedule'!E94*(IF('Sites'!D8="Annual staff",SUM('Assumptions'!T122,'Assumptions'!T124),0)+SUM('Assumptions'!T123,'Assumptions'!T125:T126)))*'Responsibilities'!$E$8+('Production schedule'!E22*(IF('Sites'!D6="Annual staff",SUM('Assumptions'!T112,'Assumptions'!T114),0)+SUM('Assumptions'!T113,'Assumptions'!T115:T116)))*(1-'Responsibilities'!$E$6)+('Production schedule'!E58*(IF('Sites'!D7="Annual staff",SUM('Assumptions'!T117,'Assumptions'!T119),0)+SUM('Assumptions'!T118,'Assumptions'!T120:T121)))*(1-'Responsibilities'!$E$7)+('Production schedule'!E94*(IF('Sites'!D8="Annual staff",SUM('Assumptions'!T122,'Assumptions'!T124),0)+SUM('Assumptions'!T123,'Assumptions'!T125:T126)))*(1-'Responsibilities'!$E$8)+(IF(AND('Production schedule'!E22=1,17=MAX(('Sites'!F6),13),ISNUMBER('Sites'!P6)),'Sites'!P6*'Assumptions'!$B$44,0))*'Responsibilities'!$F$6+(IF(AND('Production schedule'!E58=1,17=MAX(('Sites'!F7+'Cases'!G6),13),ISNUMBER('Sites'!P7)),'Sites'!P7*'Assumptions'!$B$44,0))*'Responsibilities'!$F$7+(IF(AND('Production schedule'!E94=1,17=MAX(('Sites'!F8+'Cases'!G6),13),ISNUMBER('Sites'!P8)),'Sites'!P8*'Assumptions'!$B$44,0))*'Responsibilities'!$F$8+(IF(AND('Production schedule'!E22=1,17=MAX(('Sites'!F6),13),ISNUMBER('Sites'!P6)),'Sites'!P6*'Assumptions'!$B$44,0))*(1-'Responsibilities'!$F$6)+(IF(AND('Production schedule'!E58=1,17=MAX(('Sites'!F7+'Cases'!G6),13),ISNUMBER('Sites'!P7)),'Sites'!P7*'Assumptions'!$B$44,0))*(1-'Responsibilities'!$F$7)+(IF(AND('Production schedule'!E94=1,17=MAX(('Sites'!F8+'Cases'!G6),13),ISNUMBER('Sites'!P8)),'Sites'!P8*'Assumptions'!$B$44,0))*(1-'Responsibilities'!$F$8)+('Sites'!E6*'Capital'!E6*(IF(17='Capital'!G6,'Capital'!F6,0)+IF(17='Capital'!H6,1-'Capital'!F6,0)))*'Responsibilities'!$G$6+('Sites'!E7*'Capital'!E7*(IF(17='Capital'!G7+'Cases'!G6,'Capital'!F7,0)+IF(17='Capital'!H7+'Cases'!G6,1-'Capital'!F7,0)))*'Responsibilities'!$G$7+('Sites'!E8*'Cases'!F6*'Capital'!E8*(IF(17='Capital'!G8+'Cases'!G6,'Capital'!F8,0)+IF(17='Capital'!H8+'Cases'!G6,1-'Capital'!F8,0)))*'Responsibilities'!$G$8+('Sites'!E6*'Capital'!E6*(IF(17='Capital'!G6,'Capital'!F6,0)+IF(17='Capital'!H6,1-'Capital'!F6,0)))*(1-'Responsibilities'!$G$6)+('Sites'!E7*'Capital'!E7*(IF(17='Capital'!G7+'Cases'!G6,'Capital'!F7,0)+IF(17='Capital'!H7+'Cases'!G6,1-'Capital'!F7,0)))*(1-'Responsibilities'!$G$7)+('Sites'!E8*'Cases'!F6*'Capital'!E8*(IF(17='Capital'!G8+'Cases'!G6,'Capital'!F8,0)+IF(17='Capital'!H8+'Cases'!G6,1-'Capital'!F8,0)))*(1-'Responsibilities'!$G$8)+I22+SUMPRODUCT('Costs'!$E$36:$E$40,'Costs'!$F$36:$F$40)/12+BZ22)</f>
        <v/>
      </c>
      <c r="BZ22">
        <f>SUMIFS('Responsibilities'!$B$31:$B$35,'Responsibilities'!$C$31:$C$35,17,'Responsibilities'!$D$31:$D$35,"Yes")</f>
        <v/>
      </c>
    </row>
    <row r="23" ht="28" customHeight="1">
      <c r="A23" s="4" t="inlineStr">
        <is>
          <t>Full</t>
        </is>
      </c>
      <c r="B23" s="4" t="n">
        <v>18</v>
      </c>
      <c r="C23" s="4">
        <f>ROUNDUP(B23/12,0)</f>
        <v/>
      </c>
      <c r="D23" s="137">
        <f>SUMIFS('Production schedule'!$N$6:$N$113,'Production schedule'!$C$6:$C$113,18)</f>
        <v/>
      </c>
      <c r="E23" s="137">
        <f>SUMIFS('Production schedule'!$Y$6:$Y$113,'Production schedule'!$C$6:$C$113,18)</f>
        <v/>
      </c>
      <c r="F23" s="137">
        <f>SUMIFS('Production schedule'!$Z$6:$Z$113,'Production schedule'!$C$6:$C$113,18)</f>
        <v/>
      </c>
      <c r="G23" s="137">
        <f>('Production schedule'!AJ23)*'Responsibilities'!$C$6+('Production schedule'!AJ59)*'Responsibilities'!$C$7+('Production schedule'!AJ95)*'Responsibilities'!$C$8</f>
        <v/>
      </c>
      <c r="H23" s="137">
        <f>('Production schedule'!AI23)*'Responsibilities'!$D$6+('Production schedule'!AI59)*'Responsibilities'!$D$7+('Production schedule'!AI95)*'Responsibilities'!$D$8</f>
        <v/>
      </c>
      <c r="I23" s="137">
        <f>SUM('Assumptions'!U58:U65)</f>
        <v/>
      </c>
      <c r="J23" s="137">
        <f>('Production schedule'!E23*(IF('Sites'!D6="Annual staff",SUM('Assumptions'!U112,'Assumptions'!U114),0)+SUM('Assumptions'!U113,'Assumptions'!U115:U116)))*'Responsibilities'!$E$6+('Production schedule'!E59*(IF('Sites'!D7="Annual staff",SUM('Assumptions'!U117,'Assumptions'!U119),0)+SUM('Assumptions'!U118,'Assumptions'!U120:U121)))*'Responsibilities'!$E$7+('Production schedule'!E95*(IF('Sites'!D8="Annual staff",SUM('Assumptions'!U122,'Assumptions'!U124),0)+SUM('Assumptions'!U123,'Assumptions'!U125:U126)))*'Responsibilities'!$E$8</f>
        <v/>
      </c>
      <c r="K23" s="137">
        <f>(IF(AND('Production schedule'!E23=1,18=MAX(('Sites'!F6),13),ISNUMBER('Sites'!P6)),'Sites'!P6*'Assumptions'!$B$44,0))*'Responsibilities'!$F$6+(IF(AND('Production schedule'!E59=1,18=MAX(('Sites'!F7+'Cases'!G6),13),ISNUMBER('Sites'!P7)),'Sites'!P7*'Assumptions'!$B$44,0))*'Responsibilities'!$F$7+(IF(AND('Production schedule'!E95=1,18=MAX(('Sites'!F8+'Cases'!G6),13),ISNUMBER('Sites'!P8)),'Sites'!P8*'Assumptions'!$B$44,0))*'Responsibilities'!$F$8</f>
        <v/>
      </c>
      <c r="L23" s="137">
        <f>SUM('Costs'!E36)*'Costs'!F36/12*'Responsibilities'!$C$12+SUM('Costs'!E37)*'Costs'!F37/12*'Responsibilities'!$C$13+SUM('Costs'!E38)*'Costs'!F38/12*'Responsibilities'!$C$14+SUM('Costs'!E39)*'Costs'!F39/12*'Responsibilities'!$C$15+SUM('Costs'!E40)*'Costs'!F40/12*'Responsibilities'!$C$16+BZ23</f>
        <v/>
      </c>
      <c r="M23" s="137">
        <f>('Sites'!E6*'Capital'!E6*(IF(18='Capital'!G6,'Capital'!F6,0)+IF(18='Capital'!H6,1-'Capital'!F6,0)))*'Responsibilities'!$G$6+('Sites'!E7*'Capital'!E7*(IF(18='Capital'!G7+'Cases'!G6,'Capital'!F7,0)+IF(18='Capital'!H7+'Cases'!G6,1-'Capital'!F7,0)))*'Responsibilities'!$G$7+('Sites'!E8*'Cases'!F6*'Capital'!E8*(IF(18='Capital'!G8+'Cases'!G6,'Capital'!F8,0)+IF(18='Capital'!H8+'Cases'!G6,1-'Capital'!F8,0)))*'Responsibilities'!$G$8</f>
        <v/>
      </c>
      <c r="N23" s="137">
        <f>SUM(G23:M23)</f>
        <v/>
      </c>
      <c r="O23" s="137">
        <f>SUMIFS(FundingTranches[Secured amount],FundingTranches[Instrument],"Grant",FundingTranches[Secured month],18)</f>
        <v/>
      </c>
      <c r="P23" s="137">
        <f>SUMIFS(FundingTranches[Full possible],FundingTranches[Instrument],"Grant",FundingTranches[Scenario month],18-'Cases'!$D$6)</f>
        <v/>
      </c>
      <c r="Q23" s="137">
        <f>SUMIFS(FundingTranches[Secured amount],FundingTranches[Instrument],"Loan",FundingTranches[Secured month],18)</f>
        <v/>
      </c>
      <c r="R23" s="137">
        <f>SUMIFS(FundingTranches[Full possible],FundingTranches[Instrument],"Loan",FundingTranches[Scenario month],18-'Cases'!$D$6)</f>
        <v/>
      </c>
      <c r="S23" s="137">
        <f>IF(18&lt;='Assumptions'!$B$34,0,SUMIFS('Production schedule'!$AL$6:$AL$113,'Production schedule'!$C$6:$C$113,18-'Assumptions'!$B$34))</f>
        <v/>
      </c>
      <c r="T23" s="137">
        <f>'Assumptions'!U70</f>
        <v/>
      </c>
      <c r="U23" s="137">
        <f>'Assumptions'!U78</f>
        <v/>
      </c>
      <c r="V23" s="137">
        <f>SUM(O23:U23)</f>
        <v/>
      </c>
      <c r="W23" s="137">
        <f>AA22</f>
        <v/>
      </c>
      <c r="X23" s="137">
        <f>SUM(Q23:R23)</f>
        <v/>
      </c>
      <c r="Y23" s="137">
        <f>SUM(W23,X23)*'Assumptions'!$B$39/12</f>
        <v/>
      </c>
      <c r="Z23" s="137">
        <f>IF(SUM(W23,X23)&gt;0,MIN(SUM(W23,X23),MAX(0,BP23-Y23)),0)</f>
        <v/>
      </c>
      <c r="AA23" s="137">
        <f>SUM(W23,X23)-Z23</f>
        <v/>
      </c>
      <c r="AB23" s="137">
        <f>SUM(Y23:Z23)</f>
        <v/>
      </c>
      <c r="AC23" s="137">
        <f>'Assumptions'!U72</f>
        <v/>
      </c>
      <c r="AD23" s="137">
        <f>'Assumptions'!U73</f>
        <v/>
      </c>
      <c r="AE23" s="137">
        <f>IF(X23&gt;0,SUM('Assumptions'!$B$42),0)</f>
        <v/>
      </c>
      <c r="AF23" s="137">
        <f>'Assumptions'!U71</f>
        <v/>
      </c>
      <c r="AG23" s="137">
        <f>'Assumptions'!U74</f>
        <v/>
      </c>
      <c r="AH23" s="137">
        <f>'Assumptions'!U75</f>
        <v/>
      </c>
      <c r="AI23" s="137">
        <f>'Assumptions'!U77</f>
        <v/>
      </c>
      <c r="AJ23" s="137">
        <f>V23-N23-SUM(AB23:AI23)</f>
        <v/>
      </c>
      <c r="AK23" s="137">
        <f>SUM(AJ6:AJ23)</f>
        <v/>
      </c>
      <c r="AL23" s="137">
        <f>IF(ISNUMBER('Assumptions'!$B$10),'Assumptions'!$B$10+AK23,"")</f>
        <v/>
      </c>
      <c r="AM23" s="137">
        <f>SUM(O23,Q23,T23)-N23-SUM(AC23:AI23)+IF('Funding'!$N$11=0,AE23,0)-IF('Funding'!$N$11&gt;0,AB23,0)</f>
        <v/>
      </c>
      <c r="AN23" s="137">
        <f>SUM(AM6:AM23)</f>
        <v/>
      </c>
      <c r="AO23" s="137">
        <f>IF(ISNUMBER('Assumptions'!$B$10),'Assumptions'!$B$10+AN23,"")</f>
        <v/>
      </c>
      <c r="AP23" s="137">
        <f>('Production schedule'!AK23)*'Responsibilities'!$C$6+('Production schedule'!AK59)*'Responsibilities'!$C$7+('Production schedule'!AK95)*'Responsibilities'!$C$8</f>
        <v/>
      </c>
      <c r="AQ23" s="137">
        <f>SUMIFS('Production schedule'!$AL$6:$AL$113,'Production schedule'!$C$6:$C$113,18)</f>
        <v/>
      </c>
      <c r="AR23" s="137">
        <f>IF(ISNUMBER('Assumptions'!U76),'Assumptions'!U76,SUM(O23:P23))</f>
        <v/>
      </c>
      <c r="AS23" s="137">
        <f>IF(ISNUMBER('Assumptions'!$B$13),MIN('Assumptions'!$B$13/'Assumptions'!$B$18/12,MAX(0,'Assumptions'!$B$13-(18-1)*'Assumptions'!$B$13/'Assumptions'!$B$18/12)),0)+IF(AND('Sites'!E6=1,18&gt;=('Sites'!F6),18&lt;('Sites'!F6)+'Assumptions'!$B$18*12),'Capital'!E6/'Assumptions'!$B$18/12,0)+IF(AND('Sites'!E7=1,18&gt;=('Sites'!F7+'Cases'!G6),18&lt;('Sites'!F7+'Cases'!G6)+'Assumptions'!$B$18*12),'Capital'!E7/'Assumptions'!$B$18/12,0)+IF(AND('Sites'!E8*'Cases'!F6=1,18&gt;=('Sites'!F8+'Cases'!G6),18&lt;('Sites'!F8+'Cases'!G6)+'Assumptions'!$B$18*12),'Capital'!E8/'Assumptions'!$B$18/12,0)</f>
        <v/>
      </c>
      <c r="AT23" s="137">
        <f>SUM(AQ23,AR23,U23)-AP23-SUM(H23:L23)-AS23-SUM(Y23,AD23,AE23,AH23)</f>
        <v/>
      </c>
      <c r="AU23" s="137">
        <f>IF(ISNUMBER('Assumptions'!$B$19),MAX(0,SUM(AT18:AT23))*'Assumptions'!$B$19-SUM(AU18:AU22),"")</f>
        <v/>
      </c>
      <c r="AV23" s="137">
        <f>IF(ISNUMBER(AU23),AT23-AU23,"")</f>
        <v/>
      </c>
      <c r="AW23" s="137">
        <f>IF(ISNUMBER('Assumptions'!$B$11),'Assumptions'!$B$11+SUM(AQ6:AQ23)-SUM(S6:S23)-SUM(T6:T23),"")</f>
        <v/>
      </c>
      <c r="AX23" s="137">
        <f>IF(ISNUMBER('Assumptions'!$B$12),'Assumptions'!$B$12+SUM(G6:G23)-SUM(AP6:AP23),"")</f>
        <v/>
      </c>
      <c r="AY23" s="137">
        <f>IF(ISNUMBER('Assumptions'!$B$13),'Assumptions'!$B$13+SUM(M6:M23)-SUM(AS6:AS23),"")</f>
        <v/>
      </c>
      <c r="AZ23" s="137">
        <f>IF(ISNUMBER('Assumptions'!$B$14),'Assumptions'!$B$14+-SUM(AF6:AF23),"")</f>
        <v/>
      </c>
      <c r="BA23" s="137">
        <f>IF(ISNUMBER('Assumptions'!$B$15),'Assumptions'!$B$15+SUM(O6:O23)+SUM(P6:P23)-SUM(AR6:AR23),"")</f>
        <v/>
      </c>
      <c r="BB23" s="137">
        <f>IF(ISNUMBER('Assumptions'!$B$16),'Assumptions'!$B$16+-SUM(AC6:AC23),"")</f>
        <v/>
      </c>
      <c r="BC23" s="137">
        <f>IF(AND(ISNUMBER('Assumptions'!$B$21),ISNUMBER('Assumptions'!$B$19)),'Assumptions'!$B$21+SUM(AU6:AU23)-SUM(AG6:AG23),"")</f>
        <v/>
      </c>
      <c r="BD23" s="137">
        <f>IF(ISNUMBER('Assumptions'!$B$20),'Assumptions'!$B$20+-SUM(AI6:AI23),"")</f>
        <v/>
      </c>
      <c r="BE23" s="137">
        <f>IF(AND(ISNUMBER('Assumptions'!$B$17),COUNT(AV6:AV23)=18),'Assumptions'!$B$17+SUM(AV6:AV23),"")</f>
        <v/>
      </c>
      <c r="BF23" s="137">
        <f>IF(COUNT(AL23,AW23:AY23)=4,SUM(AL23,AW23:AY23),"")</f>
        <v/>
      </c>
      <c r="BG23" s="137">
        <f>IF(COUNT(AZ23:BD23)=5,SUM(AZ23:BD23,AA23),"")</f>
        <v/>
      </c>
      <c r="BH23" s="137">
        <f>IF(COUNT(BF23,BG23,BE23)=3,BF23-BG23-BE23,"")</f>
        <v/>
      </c>
      <c r="BI23" s="137">
        <f>SUM(W23,X23)-Z23-AA23</f>
        <v/>
      </c>
      <c r="BJ23" s="137">
        <f>8-COUNT('Assumptions'!U58:U65)+COUNTBLANK('NM Play'!B33:B34)+'Costs'!E44+IF(AND('Sites'!E6=1,('Sites'!F6)&lt;=24,'Sites'!G6&gt;=13),IF(ISNUMBER('Sites'!P6),0,1)+'Capital'!I6+COUNTBLANK('Sites'!R6)+IF('Sites'!D6="NM crew",COUNTBLANK('NM Play'!B25)+1,5-COUNT('Assumptions'!U112:U116)),0)+IF(AND('Sites'!E7=1,('Sites'!F7+'Cases'!G6)&lt;=24,'Sites'!G7&gt;=13),IF(ISNUMBER('Sites'!P7),0,1)+'Capital'!I7+COUNTBLANK('Sites'!R7)+IF('Sites'!D7="NM crew",COUNTBLANK('NM Play'!B25)+1,5-COUNT('Assumptions'!U117:U121)),0)+IF(AND('Sites'!E8*'Cases'!F6=1,('Sites'!F8+'Cases'!G6)&lt;=24,'Sites'!G8&gt;=13),IF(ISNUMBER('Sites'!P8),0,1)+'Capital'!I8+COUNTBLANK('Sites'!R8)+IF('Sites'!D8="NM crew",COUNTBLANK('NM Play'!B25)+1,5-COUNT('Assumptions'!U122:U126)),0)+IF(AND('Cases'!C6&gt;0,NOT(ISNUMBER('Assumptions'!B42))),1,0)+'Responsibilities'!$B$39</f>
        <v/>
      </c>
      <c r="BK23" s="137">
        <f>'Assumptions'!$B$50+'NM Play'!$B$83+'Funding'!$F$20+SUMIFS('Production schedule'!$AN$6:$AN$113,'Production schedule'!$C$6:$C$113,18)+IF(OR('Cases'!E6&lt;0,'Cases'!E6&gt;1,'Cases'!C6&lt;0,'Cases'!D6&lt;0,ABS(SUM('Sites'!S6:S8)-1)&gt;0.0001,MIN('Capital'!F6:F8)&lt;0,MAX('Capital'!F6:F8)&gt;1,MIN(AX23,AZ23,BB23,BA23)&lt;-0.01),1,0)+'Responsibilities'!$B$40</f>
        <v/>
      </c>
      <c r="BL23" s="137">
        <f>SUMIFS('Production schedule'!$T$6:$T$113,'Production schedule'!$C$6:$C$113,18)</f>
        <v/>
      </c>
      <c r="BM23" s="137">
        <f>D23*'NM Play'!$B$38</f>
        <v/>
      </c>
      <c r="BN23" s="137">
        <f>SUMIFS('Production schedule'!$AM$6:$AM$113,'Production schedule'!$C$6:$C$113,18)</f>
        <v/>
      </c>
      <c r="BO23" s="137">
        <f>AK23-AK22-AJ23</f>
        <v/>
      </c>
      <c r="BP23" s="137">
        <f>IF(AND('Assumptions'!$B$39&gt;=0,'Assumptions'!$B$40&gt;0),-PMT('Assumptions'!$B$39/12,'Assumptions'!$B$40*12,IF('Funding'!$N$11&gt;0,'Funding'!$N$11,'Funding'!$R$11)),"")</f>
        <v/>
      </c>
      <c r="BQ23">
        <f>('Production schedule'!AJ23)*(1-'Responsibilities'!$C$6)+('Production schedule'!AJ59)*(1-'Responsibilities'!$C$7)+('Production schedule'!AJ95)*(1-'Responsibilities'!$C$8)</f>
        <v/>
      </c>
      <c r="BR23">
        <f>('Production schedule'!AI23)*(1-'Responsibilities'!$D$6)+('Production schedule'!AI59)*(1-'Responsibilities'!$D$7)+('Production schedule'!AI95)*(1-'Responsibilities'!$D$8)</f>
        <v/>
      </c>
      <c r="BS23">
        <f>('Production schedule'!E23*(IF('Sites'!D6="Annual staff",SUM('Assumptions'!U112,'Assumptions'!U114),0)+SUM('Assumptions'!U113,'Assumptions'!U115:U116)))*(1-'Responsibilities'!$E$6)+('Production schedule'!E59*(IF('Sites'!D7="Annual staff",SUM('Assumptions'!U117,'Assumptions'!U119),0)+SUM('Assumptions'!U118,'Assumptions'!U120:U121)))*(1-'Responsibilities'!$E$7)+('Production schedule'!E95*(IF('Sites'!D8="Annual staff",SUM('Assumptions'!U122,'Assumptions'!U124),0)+SUM('Assumptions'!U123,'Assumptions'!U125:U126)))*(1-'Responsibilities'!$E$8)</f>
        <v/>
      </c>
      <c r="BT23">
        <f>(IF(AND('Production schedule'!E23=1,18=MAX(('Sites'!F6),13),ISNUMBER('Sites'!P6)),'Sites'!P6*'Assumptions'!$B$44,0))*(1-'Responsibilities'!$F$6)+(IF(AND('Production schedule'!E59=1,18=MAX(('Sites'!F7+'Cases'!G6),13),ISNUMBER('Sites'!P7)),'Sites'!P7*'Assumptions'!$B$44,0))*(1-'Responsibilities'!$F$7)+(IF(AND('Production schedule'!E95=1,18=MAX(('Sites'!F8+'Cases'!G6),13),ISNUMBER('Sites'!P8)),'Sites'!P8*'Assumptions'!$B$44,0))*(1-'Responsibilities'!$F$8)</f>
        <v/>
      </c>
      <c r="BU23">
        <f>SUM('Costs'!E36)*'Costs'!F36/12*(1-'Responsibilities'!$C$12)+SUM('Costs'!E37)*'Costs'!F37/12*(1-'Responsibilities'!$C$13)+SUM('Costs'!E38)*'Costs'!F38/12*(1-'Responsibilities'!$C$14)+SUM('Costs'!E39)*'Costs'!F39/12*(1-'Responsibilities'!$C$15)+SUM('Costs'!E40)*'Costs'!F40/12*(1-'Responsibilities'!$C$16)</f>
        <v/>
      </c>
      <c r="BV23">
        <f>('Sites'!E6*'Capital'!E6*(IF(18='Capital'!G6,'Capital'!F6,0)+IF(18='Capital'!H6,1-'Capital'!F6,0)))*(1-'Responsibilities'!$G$6)+('Sites'!E7*'Capital'!E7*(IF(18='Capital'!G7+'Cases'!G6,'Capital'!F7,0)+IF(18='Capital'!H7+'Cases'!G6,1-'Capital'!F7,0)))*(1-'Responsibilities'!$G$7)+('Sites'!E8*'Cases'!F6*'Capital'!E8*(IF(18='Capital'!G8+'Cases'!G6,'Capital'!F8,0)+IF(18='Capital'!H8+'Cases'!G6,1-'Capital'!F8,0)))*(1-'Responsibilities'!$G$8)</f>
        <v/>
      </c>
      <c r="BW23">
        <f>SUM(BQ23:BV23)</f>
        <v/>
      </c>
      <c r="BX23">
        <f>N23+BW23</f>
        <v/>
      </c>
      <c r="BY23">
        <f>BX23-(('Production schedule'!AJ23)*'Responsibilities'!$C$6+('Production schedule'!AJ59)*'Responsibilities'!$C$7+('Production schedule'!AJ95)*'Responsibilities'!$C$8+('Production schedule'!AJ23)*(1-'Responsibilities'!$C$6)+('Production schedule'!AJ59)*(1-'Responsibilities'!$C$7)+('Production schedule'!AJ95)*(1-'Responsibilities'!$C$8)+('Production schedule'!AI23)*'Responsibilities'!$D$6+('Production schedule'!AI59)*'Responsibilities'!$D$7+('Production schedule'!AI95)*'Responsibilities'!$D$8+('Production schedule'!AI23)*(1-'Responsibilities'!$D$6)+('Production schedule'!AI59)*(1-'Responsibilities'!$D$7)+('Production schedule'!AI95)*(1-'Responsibilities'!$D$8)+('Production schedule'!E23*(IF('Sites'!D6="Annual staff",SUM('Assumptions'!U112,'Assumptions'!U114),0)+SUM('Assumptions'!U113,'Assumptions'!U115:U116)))*'Responsibilities'!$E$6+('Production schedule'!E59*(IF('Sites'!D7="Annual staff",SUM('Assumptions'!U117,'Assumptions'!U119),0)+SUM('Assumptions'!U118,'Assumptions'!U120:U121)))*'Responsibilities'!$E$7+('Production schedule'!E95*(IF('Sites'!D8="Annual staff",SUM('Assumptions'!U122,'Assumptions'!U124),0)+SUM('Assumptions'!U123,'Assumptions'!U125:U126)))*'Responsibilities'!$E$8+('Production schedule'!E23*(IF('Sites'!D6="Annual staff",SUM('Assumptions'!U112,'Assumptions'!U114),0)+SUM('Assumptions'!U113,'Assumptions'!U115:U116)))*(1-'Responsibilities'!$E$6)+('Production schedule'!E59*(IF('Sites'!D7="Annual staff",SUM('Assumptions'!U117,'Assumptions'!U119),0)+SUM('Assumptions'!U118,'Assumptions'!U120:U121)))*(1-'Responsibilities'!$E$7)+('Production schedule'!E95*(IF('Sites'!D8="Annual staff",SUM('Assumptions'!U122,'Assumptions'!U124),0)+SUM('Assumptions'!U123,'Assumptions'!U125:U126)))*(1-'Responsibilities'!$E$8)+(IF(AND('Production schedule'!E23=1,18=MAX(('Sites'!F6),13),ISNUMBER('Sites'!P6)),'Sites'!P6*'Assumptions'!$B$44,0))*'Responsibilities'!$F$6+(IF(AND('Production schedule'!E59=1,18=MAX(('Sites'!F7+'Cases'!G6),13),ISNUMBER('Sites'!P7)),'Sites'!P7*'Assumptions'!$B$44,0))*'Responsibilities'!$F$7+(IF(AND('Production schedule'!E95=1,18=MAX(('Sites'!F8+'Cases'!G6),13),ISNUMBER('Sites'!P8)),'Sites'!P8*'Assumptions'!$B$44,0))*'Responsibilities'!$F$8+(IF(AND('Production schedule'!E23=1,18=MAX(('Sites'!F6),13),ISNUMBER('Sites'!P6)),'Sites'!P6*'Assumptions'!$B$44,0))*(1-'Responsibilities'!$F$6)+(IF(AND('Production schedule'!E59=1,18=MAX(('Sites'!F7+'Cases'!G6),13),ISNUMBER('Sites'!P7)),'Sites'!P7*'Assumptions'!$B$44,0))*(1-'Responsibilities'!$F$7)+(IF(AND('Production schedule'!E95=1,18=MAX(('Sites'!F8+'Cases'!G6),13),ISNUMBER('Sites'!P8)),'Sites'!P8*'Assumptions'!$B$44,0))*(1-'Responsibilities'!$F$8)+('Sites'!E6*'Capital'!E6*(IF(18='Capital'!G6,'Capital'!F6,0)+IF(18='Capital'!H6,1-'Capital'!F6,0)))*'Responsibilities'!$G$6+('Sites'!E7*'Capital'!E7*(IF(18='Capital'!G7+'Cases'!G6,'Capital'!F7,0)+IF(18='Capital'!H7+'Cases'!G6,1-'Capital'!F7,0)))*'Responsibilities'!$G$7+('Sites'!E8*'Cases'!F6*'Capital'!E8*(IF(18='Capital'!G8+'Cases'!G6,'Capital'!F8,0)+IF(18='Capital'!H8+'Cases'!G6,1-'Capital'!F8,0)))*'Responsibilities'!$G$8+('Sites'!E6*'Capital'!E6*(IF(18='Capital'!G6,'Capital'!F6,0)+IF(18='Capital'!H6,1-'Capital'!F6,0)))*(1-'Responsibilities'!$G$6)+('Sites'!E7*'Capital'!E7*(IF(18='Capital'!G7+'Cases'!G6,'Capital'!F7,0)+IF(18='Capital'!H7+'Cases'!G6,1-'Capital'!F7,0)))*(1-'Responsibilities'!$G$7)+('Sites'!E8*'Cases'!F6*'Capital'!E8*(IF(18='Capital'!G8+'Cases'!G6,'Capital'!F8,0)+IF(18='Capital'!H8+'Cases'!G6,1-'Capital'!F8,0)))*(1-'Responsibilities'!$G$8)+I23+SUMPRODUCT('Costs'!$E$36:$E$40,'Costs'!$F$36:$F$40)/12+BZ23)</f>
        <v/>
      </c>
      <c r="BZ23">
        <f>SUMIFS('Responsibilities'!$B$31:$B$35,'Responsibilities'!$C$31:$C$35,18,'Responsibilities'!$D$31:$D$35,"Yes")</f>
        <v/>
      </c>
    </row>
    <row r="24" ht="28" customHeight="1">
      <c r="A24" s="4" t="inlineStr">
        <is>
          <t>Full</t>
        </is>
      </c>
      <c r="B24" s="4" t="n">
        <v>19</v>
      </c>
      <c r="C24" s="4">
        <f>ROUNDUP(B24/12,0)</f>
        <v/>
      </c>
      <c r="D24" s="137">
        <f>SUMIFS('Production schedule'!$N$6:$N$113,'Production schedule'!$C$6:$C$113,19)</f>
        <v/>
      </c>
      <c r="E24" s="137">
        <f>SUMIFS('Production schedule'!$Y$6:$Y$113,'Production schedule'!$C$6:$C$113,19)</f>
        <v/>
      </c>
      <c r="F24" s="137">
        <f>SUMIFS('Production schedule'!$Z$6:$Z$113,'Production schedule'!$C$6:$C$113,19)</f>
        <v/>
      </c>
      <c r="G24" s="137">
        <f>('Production schedule'!AJ24)*'Responsibilities'!$C$6+('Production schedule'!AJ60)*'Responsibilities'!$C$7+('Production schedule'!AJ96)*'Responsibilities'!$C$8</f>
        <v/>
      </c>
      <c r="H24" s="137">
        <f>('Production schedule'!AI24)*'Responsibilities'!$D$6+('Production schedule'!AI60)*'Responsibilities'!$D$7+('Production schedule'!AI96)*'Responsibilities'!$D$8</f>
        <v/>
      </c>
      <c r="I24" s="137">
        <f>SUM('Assumptions'!V58:V65)</f>
        <v/>
      </c>
      <c r="J24" s="137">
        <f>('Production schedule'!E24*(IF('Sites'!D6="Annual staff",SUM('Assumptions'!V112,'Assumptions'!V114),0)+SUM('Assumptions'!V113,'Assumptions'!V115:V116)))*'Responsibilities'!$E$6+('Production schedule'!E60*(IF('Sites'!D7="Annual staff",SUM('Assumptions'!V117,'Assumptions'!V119),0)+SUM('Assumptions'!V118,'Assumptions'!V120:V121)))*'Responsibilities'!$E$7+('Production schedule'!E96*(IF('Sites'!D8="Annual staff",SUM('Assumptions'!V122,'Assumptions'!V124),0)+SUM('Assumptions'!V123,'Assumptions'!V125:V126)))*'Responsibilities'!$E$8</f>
        <v/>
      </c>
      <c r="K24" s="137">
        <f>(IF(AND('Production schedule'!E24=1,19=MAX(('Sites'!F6),13),ISNUMBER('Sites'!P6)),'Sites'!P6*'Assumptions'!$B$44,0))*'Responsibilities'!$F$6+(IF(AND('Production schedule'!E60=1,19=MAX(('Sites'!F7+'Cases'!G6),13),ISNUMBER('Sites'!P7)),'Sites'!P7*'Assumptions'!$B$44,0))*'Responsibilities'!$F$7+(IF(AND('Production schedule'!E96=1,19=MAX(('Sites'!F8+'Cases'!G6),13),ISNUMBER('Sites'!P8)),'Sites'!P8*'Assumptions'!$B$44,0))*'Responsibilities'!$F$8</f>
        <v/>
      </c>
      <c r="L24" s="137">
        <f>SUM('Costs'!E36)*'Costs'!F36/12*'Responsibilities'!$C$12+SUM('Costs'!E37)*'Costs'!F37/12*'Responsibilities'!$C$13+SUM('Costs'!E38)*'Costs'!F38/12*'Responsibilities'!$C$14+SUM('Costs'!E39)*'Costs'!F39/12*'Responsibilities'!$C$15+SUM('Costs'!E40)*'Costs'!F40/12*'Responsibilities'!$C$16+BZ24</f>
        <v/>
      </c>
      <c r="M24" s="137">
        <f>('Sites'!E6*'Capital'!E6*(IF(19='Capital'!G6,'Capital'!F6,0)+IF(19='Capital'!H6,1-'Capital'!F6,0)))*'Responsibilities'!$G$6+('Sites'!E7*'Capital'!E7*(IF(19='Capital'!G7+'Cases'!G6,'Capital'!F7,0)+IF(19='Capital'!H7+'Cases'!G6,1-'Capital'!F7,0)))*'Responsibilities'!$G$7+('Sites'!E8*'Cases'!F6*'Capital'!E8*(IF(19='Capital'!G8+'Cases'!G6,'Capital'!F8,0)+IF(19='Capital'!H8+'Cases'!G6,1-'Capital'!F8,0)))*'Responsibilities'!$G$8</f>
        <v/>
      </c>
      <c r="N24" s="137">
        <f>SUM(G24:M24)</f>
        <v/>
      </c>
      <c r="O24" s="137">
        <f>SUMIFS(FundingTranches[Secured amount],FundingTranches[Instrument],"Grant",FundingTranches[Secured month],19)</f>
        <v/>
      </c>
      <c r="P24" s="137">
        <f>SUMIFS(FundingTranches[Full possible],FundingTranches[Instrument],"Grant",FundingTranches[Scenario month],19-'Cases'!$D$6)</f>
        <v/>
      </c>
      <c r="Q24" s="137">
        <f>SUMIFS(FundingTranches[Secured amount],FundingTranches[Instrument],"Loan",FundingTranches[Secured month],19)</f>
        <v/>
      </c>
      <c r="R24" s="137">
        <f>SUMIFS(FundingTranches[Full possible],FundingTranches[Instrument],"Loan",FundingTranches[Scenario month],19-'Cases'!$D$6)</f>
        <v/>
      </c>
      <c r="S24" s="137">
        <f>IF(19&lt;='Assumptions'!$B$34,0,SUMIFS('Production schedule'!$AL$6:$AL$113,'Production schedule'!$C$6:$C$113,19-'Assumptions'!$B$34))</f>
        <v/>
      </c>
      <c r="T24" s="137">
        <f>'Assumptions'!V70</f>
        <v/>
      </c>
      <c r="U24" s="137">
        <f>'Assumptions'!V78</f>
        <v/>
      </c>
      <c r="V24" s="137">
        <f>SUM(O24:U24)</f>
        <v/>
      </c>
      <c r="W24" s="137">
        <f>AA23</f>
        <v/>
      </c>
      <c r="X24" s="137">
        <f>SUM(Q24:R24)</f>
        <v/>
      </c>
      <c r="Y24" s="137">
        <f>SUM(W24,X24)*'Assumptions'!$B$39/12</f>
        <v/>
      </c>
      <c r="Z24" s="137">
        <f>IF(SUM(W24,X24)&gt;0,MIN(SUM(W24,X24),MAX(0,BP24-Y24)),0)</f>
        <v/>
      </c>
      <c r="AA24" s="137">
        <f>SUM(W24,X24)-Z24</f>
        <v/>
      </c>
      <c r="AB24" s="137">
        <f>SUM(Y24:Z24)</f>
        <v/>
      </c>
      <c r="AC24" s="137">
        <f>'Assumptions'!V72</f>
        <v/>
      </c>
      <c r="AD24" s="137">
        <f>'Assumptions'!V73</f>
        <v/>
      </c>
      <c r="AE24" s="137">
        <f>IF(X24&gt;0,SUM('Assumptions'!$B$42),0)</f>
        <v/>
      </c>
      <c r="AF24" s="137">
        <f>'Assumptions'!V71</f>
        <v/>
      </c>
      <c r="AG24" s="137">
        <f>'Assumptions'!V74</f>
        <v/>
      </c>
      <c r="AH24" s="137">
        <f>'Assumptions'!V75</f>
        <v/>
      </c>
      <c r="AI24" s="137">
        <f>'Assumptions'!V77</f>
        <v/>
      </c>
      <c r="AJ24" s="137">
        <f>V24-N24-SUM(AB24:AI24)</f>
        <v/>
      </c>
      <c r="AK24" s="137">
        <f>SUM(AJ6:AJ24)</f>
        <v/>
      </c>
      <c r="AL24" s="137">
        <f>IF(ISNUMBER('Assumptions'!$B$10),'Assumptions'!$B$10+AK24,"")</f>
        <v/>
      </c>
      <c r="AM24" s="137">
        <f>SUM(O24,Q24,T24)-N24-SUM(AC24:AI24)+IF('Funding'!$N$11=0,AE24,0)-IF('Funding'!$N$11&gt;0,AB24,0)</f>
        <v/>
      </c>
      <c r="AN24" s="137">
        <f>SUM(AM6:AM24)</f>
        <v/>
      </c>
      <c r="AO24" s="137">
        <f>IF(ISNUMBER('Assumptions'!$B$10),'Assumptions'!$B$10+AN24,"")</f>
        <v/>
      </c>
      <c r="AP24" s="137">
        <f>('Production schedule'!AK24)*'Responsibilities'!$C$6+('Production schedule'!AK60)*'Responsibilities'!$C$7+('Production schedule'!AK96)*'Responsibilities'!$C$8</f>
        <v/>
      </c>
      <c r="AQ24" s="137">
        <f>SUMIFS('Production schedule'!$AL$6:$AL$113,'Production schedule'!$C$6:$C$113,19)</f>
        <v/>
      </c>
      <c r="AR24" s="137">
        <f>IF(ISNUMBER('Assumptions'!V76),'Assumptions'!V76,SUM(O24:P24))</f>
        <v/>
      </c>
      <c r="AS24" s="137">
        <f>IF(ISNUMBER('Assumptions'!$B$13),MIN('Assumptions'!$B$13/'Assumptions'!$B$18/12,MAX(0,'Assumptions'!$B$13-(19-1)*'Assumptions'!$B$13/'Assumptions'!$B$18/12)),0)+IF(AND('Sites'!E6=1,19&gt;=('Sites'!F6),19&lt;('Sites'!F6)+'Assumptions'!$B$18*12),'Capital'!E6/'Assumptions'!$B$18/12,0)+IF(AND('Sites'!E7=1,19&gt;=('Sites'!F7+'Cases'!G6),19&lt;('Sites'!F7+'Cases'!G6)+'Assumptions'!$B$18*12),'Capital'!E7/'Assumptions'!$B$18/12,0)+IF(AND('Sites'!E8*'Cases'!F6=1,19&gt;=('Sites'!F8+'Cases'!G6),19&lt;('Sites'!F8+'Cases'!G6)+'Assumptions'!$B$18*12),'Capital'!E8/'Assumptions'!$B$18/12,0)</f>
        <v/>
      </c>
      <c r="AT24" s="137">
        <f>SUM(AQ24,AR24,U24)-AP24-SUM(H24:L24)-AS24-SUM(Y24,AD24,AE24,AH24)</f>
        <v/>
      </c>
      <c r="AU24" s="137">
        <f>IF(ISNUMBER('Assumptions'!$B$19),MAX(0,SUM(AT18:AT24))*'Assumptions'!$B$19-SUM(AU18:AU23),"")</f>
        <v/>
      </c>
      <c r="AV24" s="137">
        <f>IF(ISNUMBER(AU24),AT24-AU24,"")</f>
        <v/>
      </c>
      <c r="AW24" s="137">
        <f>IF(ISNUMBER('Assumptions'!$B$11),'Assumptions'!$B$11+SUM(AQ6:AQ24)-SUM(S6:S24)-SUM(T6:T24),"")</f>
        <v/>
      </c>
      <c r="AX24" s="137">
        <f>IF(ISNUMBER('Assumptions'!$B$12),'Assumptions'!$B$12+SUM(G6:G24)-SUM(AP6:AP24),"")</f>
        <v/>
      </c>
      <c r="AY24" s="137">
        <f>IF(ISNUMBER('Assumptions'!$B$13),'Assumptions'!$B$13+SUM(M6:M24)-SUM(AS6:AS24),"")</f>
        <v/>
      </c>
      <c r="AZ24" s="137">
        <f>IF(ISNUMBER('Assumptions'!$B$14),'Assumptions'!$B$14+-SUM(AF6:AF24),"")</f>
        <v/>
      </c>
      <c r="BA24" s="137">
        <f>IF(ISNUMBER('Assumptions'!$B$15),'Assumptions'!$B$15+SUM(O6:O24)+SUM(P6:P24)-SUM(AR6:AR24),"")</f>
        <v/>
      </c>
      <c r="BB24" s="137">
        <f>IF(ISNUMBER('Assumptions'!$B$16),'Assumptions'!$B$16+-SUM(AC6:AC24),"")</f>
        <v/>
      </c>
      <c r="BC24" s="137">
        <f>IF(AND(ISNUMBER('Assumptions'!$B$21),ISNUMBER('Assumptions'!$B$19)),'Assumptions'!$B$21+SUM(AU6:AU24)-SUM(AG6:AG24),"")</f>
        <v/>
      </c>
      <c r="BD24" s="137">
        <f>IF(ISNUMBER('Assumptions'!$B$20),'Assumptions'!$B$20+-SUM(AI6:AI24),"")</f>
        <v/>
      </c>
      <c r="BE24" s="137">
        <f>IF(AND(ISNUMBER('Assumptions'!$B$17),COUNT(AV6:AV24)=19),'Assumptions'!$B$17+SUM(AV6:AV24),"")</f>
        <v/>
      </c>
      <c r="BF24" s="137">
        <f>IF(COUNT(AL24,AW24:AY24)=4,SUM(AL24,AW24:AY24),"")</f>
        <v/>
      </c>
      <c r="BG24" s="137">
        <f>IF(COUNT(AZ24:BD24)=5,SUM(AZ24:BD24,AA24),"")</f>
        <v/>
      </c>
      <c r="BH24" s="137">
        <f>IF(COUNT(BF24,BG24,BE24)=3,BF24-BG24-BE24,"")</f>
        <v/>
      </c>
      <c r="BI24" s="137">
        <f>SUM(W24,X24)-Z24-AA24</f>
        <v/>
      </c>
      <c r="BJ24" s="137">
        <f>8-COUNT('Assumptions'!V58:V65)+COUNTBLANK('NM Play'!B33:B34)+'Costs'!E44+IF(AND('Sites'!E6=1,('Sites'!F6)&lt;=24,'Sites'!G6&gt;=13),IF(ISNUMBER('Sites'!P6),0,1)+'Capital'!I6+COUNTBLANK('Sites'!R6)+IF('Sites'!D6="NM crew",COUNTBLANK('NM Play'!B25)+1,5-COUNT('Assumptions'!V112:V116)),0)+IF(AND('Sites'!E7=1,('Sites'!F7+'Cases'!G6)&lt;=24,'Sites'!G7&gt;=13),IF(ISNUMBER('Sites'!P7),0,1)+'Capital'!I7+COUNTBLANK('Sites'!R7)+IF('Sites'!D7="NM crew",COUNTBLANK('NM Play'!B25)+1,5-COUNT('Assumptions'!V117:V121)),0)+IF(AND('Sites'!E8*'Cases'!F6=1,('Sites'!F8+'Cases'!G6)&lt;=24,'Sites'!G8&gt;=13),IF(ISNUMBER('Sites'!P8),0,1)+'Capital'!I8+COUNTBLANK('Sites'!R8)+IF('Sites'!D8="NM crew",COUNTBLANK('NM Play'!B25)+1,5-COUNT('Assumptions'!V122:V126)),0)+IF(AND('Cases'!C6&gt;0,NOT(ISNUMBER('Assumptions'!B42))),1,0)+'Responsibilities'!$B$39</f>
        <v/>
      </c>
      <c r="BK24" s="137">
        <f>'Assumptions'!$B$50+'NM Play'!$B$83+'Funding'!$F$20+SUMIFS('Production schedule'!$AN$6:$AN$113,'Production schedule'!$C$6:$C$113,19)+IF(OR('Cases'!E6&lt;0,'Cases'!E6&gt;1,'Cases'!C6&lt;0,'Cases'!D6&lt;0,ABS(SUM('Sites'!S6:S8)-1)&gt;0.0001,MIN('Capital'!F6:F8)&lt;0,MAX('Capital'!F6:F8)&gt;1,MIN(AX24,AZ24,BB24,BA24)&lt;-0.01),1,0)+'Responsibilities'!$B$40</f>
        <v/>
      </c>
      <c r="BL24" s="137">
        <f>SUMIFS('Production schedule'!$T$6:$T$113,'Production schedule'!$C$6:$C$113,19)</f>
        <v/>
      </c>
      <c r="BM24" s="137">
        <f>D24*'NM Play'!$B$38</f>
        <v/>
      </c>
      <c r="BN24" s="137">
        <f>SUMIFS('Production schedule'!$AM$6:$AM$113,'Production schedule'!$C$6:$C$113,19)</f>
        <v/>
      </c>
      <c r="BO24" s="137">
        <f>AK24-AK23-AJ24</f>
        <v/>
      </c>
      <c r="BP24" s="137">
        <f>IF(AND('Assumptions'!$B$39&gt;=0,'Assumptions'!$B$40&gt;0),-PMT('Assumptions'!$B$39/12,'Assumptions'!$B$40*12,IF('Funding'!$N$11&gt;0,'Funding'!$N$11,'Funding'!$R$11)),"")</f>
        <v/>
      </c>
      <c r="BQ24">
        <f>('Production schedule'!AJ24)*(1-'Responsibilities'!$C$6)+('Production schedule'!AJ60)*(1-'Responsibilities'!$C$7)+('Production schedule'!AJ96)*(1-'Responsibilities'!$C$8)</f>
        <v/>
      </c>
      <c r="BR24">
        <f>('Production schedule'!AI24)*(1-'Responsibilities'!$D$6)+('Production schedule'!AI60)*(1-'Responsibilities'!$D$7)+('Production schedule'!AI96)*(1-'Responsibilities'!$D$8)</f>
        <v/>
      </c>
      <c r="BS24">
        <f>('Production schedule'!E24*(IF('Sites'!D6="Annual staff",SUM('Assumptions'!V112,'Assumptions'!V114),0)+SUM('Assumptions'!V113,'Assumptions'!V115:V116)))*(1-'Responsibilities'!$E$6)+('Production schedule'!E60*(IF('Sites'!D7="Annual staff",SUM('Assumptions'!V117,'Assumptions'!V119),0)+SUM('Assumptions'!V118,'Assumptions'!V120:V121)))*(1-'Responsibilities'!$E$7)+('Production schedule'!E96*(IF('Sites'!D8="Annual staff",SUM('Assumptions'!V122,'Assumptions'!V124),0)+SUM('Assumptions'!V123,'Assumptions'!V125:V126)))*(1-'Responsibilities'!$E$8)</f>
        <v/>
      </c>
      <c r="BT24">
        <f>(IF(AND('Production schedule'!E24=1,19=MAX(('Sites'!F6),13),ISNUMBER('Sites'!P6)),'Sites'!P6*'Assumptions'!$B$44,0))*(1-'Responsibilities'!$F$6)+(IF(AND('Production schedule'!E60=1,19=MAX(('Sites'!F7+'Cases'!G6),13),ISNUMBER('Sites'!P7)),'Sites'!P7*'Assumptions'!$B$44,0))*(1-'Responsibilities'!$F$7)+(IF(AND('Production schedule'!E96=1,19=MAX(('Sites'!F8+'Cases'!G6),13),ISNUMBER('Sites'!P8)),'Sites'!P8*'Assumptions'!$B$44,0))*(1-'Responsibilities'!$F$8)</f>
        <v/>
      </c>
      <c r="BU24">
        <f>SUM('Costs'!E36)*'Costs'!F36/12*(1-'Responsibilities'!$C$12)+SUM('Costs'!E37)*'Costs'!F37/12*(1-'Responsibilities'!$C$13)+SUM('Costs'!E38)*'Costs'!F38/12*(1-'Responsibilities'!$C$14)+SUM('Costs'!E39)*'Costs'!F39/12*(1-'Responsibilities'!$C$15)+SUM('Costs'!E40)*'Costs'!F40/12*(1-'Responsibilities'!$C$16)</f>
        <v/>
      </c>
      <c r="BV24">
        <f>('Sites'!E6*'Capital'!E6*(IF(19='Capital'!G6,'Capital'!F6,0)+IF(19='Capital'!H6,1-'Capital'!F6,0)))*(1-'Responsibilities'!$G$6)+('Sites'!E7*'Capital'!E7*(IF(19='Capital'!G7+'Cases'!G6,'Capital'!F7,0)+IF(19='Capital'!H7+'Cases'!G6,1-'Capital'!F7,0)))*(1-'Responsibilities'!$G$7)+('Sites'!E8*'Cases'!F6*'Capital'!E8*(IF(19='Capital'!G8+'Cases'!G6,'Capital'!F8,0)+IF(19='Capital'!H8+'Cases'!G6,1-'Capital'!F8,0)))*(1-'Responsibilities'!$G$8)</f>
        <v/>
      </c>
      <c r="BW24">
        <f>SUM(BQ24:BV24)</f>
        <v/>
      </c>
      <c r="BX24">
        <f>N24+BW24</f>
        <v/>
      </c>
      <c r="BY24">
        <f>BX24-(('Production schedule'!AJ24)*'Responsibilities'!$C$6+('Production schedule'!AJ60)*'Responsibilities'!$C$7+('Production schedule'!AJ96)*'Responsibilities'!$C$8+('Production schedule'!AJ24)*(1-'Responsibilities'!$C$6)+('Production schedule'!AJ60)*(1-'Responsibilities'!$C$7)+('Production schedule'!AJ96)*(1-'Responsibilities'!$C$8)+('Production schedule'!AI24)*'Responsibilities'!$D$6+('Production schedule'!AI60)*'Responsibilities'!$D$7+('Production schedule'!AI96)*'Responsibilities'!$D$8+('Production schedule'!AI24)*(1-'Responsibilities'!$D$6)+('Production schedule'!AI60)*(1-'Responsibilities'!$D$7)+('Production schedule'!AI96)*(1-'Responsibilities'!$D$8)+('Production schedule'!E24*(IF('Sites'!D6="Annual staff",SUM('Assumptions'!V112,'Assumptions'!V114),0)+SUM('Assumptions'!V113,'Assumptions'!V115:V116)))*'Responsibilities'!$E$6+('Production schedule'!E60*(IF('Sites'!D7="Annual staff",SUM('Assumptions'!V117,'Assumptions'!V119),0)+SUM('Assumptions'!V118,'Assumptions'!V120:V121)))*'Responsibilities'!$E$7+('Production schedule'!E96*(IF('Sites'!D8="Annual staff",SUM('Assumptions'!V122,'Assumptions'!V124),0)+SUM('Assumptions'!V123,'Assumptions'!V125:V126)))*'Responsibilities'!$E$8+('Production schedule'!E24*(IF('Sites'!D6="Annual staff",SUM('Assumptions'!V112,'Assumptions'!V114),0)+SUM('Assumptions'!V113,'Assumptions'!V115:V116)))*(1-'Responsibilities'!$E$6)+('Production schedule'!E60*(IF('Sites'!D7="Annual staff",SUM('Assumptions'!V117,'Assumptions'!V119),0)+SUM('Assumptions'!V118,'Assumptions'!V120:V121)))*(1-'Responsibilities'!$E$7)+('Production schedule'!E96*(IF('Sites'!D8="Annual staff",SUM('Assumptions'!V122,'Assumptions'!V124),0)+SUM('Assumptions'!V123,'Assumptions'!V125:V126)))*(1-'Responsibilities'!$E$8)+(IF(AND('Production schedule'!E24=1,19=MAX(('Sites'!F6),13),ISNUMBER('Sites'!P6)),'Sites'!P6*'Assumptions'!$B$44,0))*'Responsibilities'!$F$6+(IF(AND('Production schedule'!E60=1,19=MAX(('Sites'!F7+'Cases'!G6),13),ISNUMBER('Sites'!P7)),'Sites'!P7*'Assumptions'!$B$44,0))*'Responsibilities'!$F$7+(IF(AND('Production schedule'!E96=1,19=MAX(('Sites'!F8+'Cases'!G6),13),ISNUMBER('Sites'!P8)),'Sites'!P8*'Assumptions'!$B$44,0))*'Responsibilities'!$F$8+(IF(AND('Production schedule'!E24=1,19=MAX(('Sites'!F6),13),ISNUMBER('Sites'!P6)),'Sites'!P6*'Assumptions'!$B$44,0))*(1-'Responsibilities'!$F$6)+(IF(AND('Production schedule'!E60=1,19=MAX(('Sites'!F7+'Cases'!G6),13),ISNUMBER('Sites'!P7)),'Sites'!P7*'Assumptions'!$B$44,0))*(1-'Responsibilities'!$F$7)+(IF(AND('Production schedule'!E96=1,19=MAX(('Sites'!F8+'Cases'!G6),13),ISNUMBER('Sites'!P8)),'Sites'!P8*'Assumptions'!$B$44,0))*(1-'Responsibilities'!$F$8)+('Sites'!E6*'Capital'!E6*(IF(19='Capital'!G6,'Capital'!F6,0)+IF(19='Capital'!H6,1-'Capital'!F6,0)))*'Responsibilities'!$G$6+('Sites'!E7*'Capital'!E7*(IF(19='Capital'!G7+'Cases'!G6,'Capital'!F7,0)+IF(19='Capital'!H7+'Cases'!G6,1-'Capital'!F7,0)))*'Responsibilities'!$G$7+('Sites'!E8*'Cases'!F6*'Capital'!E8*(IF(19='Capital'!G8+'Cases'!G6,'Capital'!F8,0)+IF(19='Capital'!H8+'Cases'!G6,1-'Capital'!F8,0)))*'Responsibilities'!$G$8+('Sites'!E6*'Capital'!E6*(IF(19='Capital'!G6,'Capital'!F6,0)+IF(19='Capital'!H6,1-'Capital'!F6,0)))*(1-'Responsibilities'!$G$6)+('Sites'!E7*'Capital'!E7*(IF(19='Capital'!G7+'Cases'!G6,'Capital'!F7,0)+IF(19='Capital'!H7+'Cases'!G6,1-'Capital'!F7,0)))*(1-'Responsibilities'!$G$7)+('Sites'!E8*'Cases'!F6*'Capital'!E8*(IF(19='Capital'!G8+'Cases'!G6,'Capital'!F8,0)+IF(19='Capital'!H8+'Cases'!G6,1-'Capital'!F8,0)))*(1-'Responsibilities'!$G$8)+I24+SUMPRODUCT('Costs'!$E$36:$E$40,'Costs'!$F$36:$F$40)/12+BZ24)</f>
        <v/>
      </c>
      <c r="BZ24">
        <f>SUMIFS('Responsibilities'!$B$31:$B$35,'Responsibilities'!$C$31:$C$35,19,'Responsibilities'!$D$31:$D$35,"Yes")</f>
        <v/>
      </c>
    </row>
    <row r="25" ht="28" customHeight="1">
      <c r="A25" s="4" t="inlineStr">
        <is>
          <t>Full</t>
        </is>
      </c>
      <c r="B25" s="4" t="n">
        <v>20</v>
      </c>
      <c r="C25" s="4">
        <f>ROUNDUP(B25/12,0)</f>
        <v/>
      </c>
      <c r="D25" s="137">
        <f>SUMIFS('Production schedule'!$N$6:$N$113,'Production schedule'!$C$6:$C$113,20)</f>
        <v/>
      </c>
      <c r="E25" s="137">
        <f>SUMIFS('Production schedule'!$Y$6:$Y$113,'Production schedule'!$C$6:$C$113,20)</f>
        <v/>
      </c>
      <c r="F25" s="137">
        <f>SUMIFS('Production schedule'!$Z$6:$Z$113,'Production schedule'!$C$6:$C$113,20)</f>
        <v/>
      </c>
      <c r="G25" s="137">
        <f>('Production schedule'!AJ25)*'Responsibilities'!$C$6+('Production schedule'!AJ61)*'Responsibilities'!$C$7+('Production schedule'!AJ97)*'Responsibilities'!$C$8</f>
        <v/>
      </c>
      <c r="H25" s="137">
        <f>('Production schedule'!AI25)*'Responsibilities'!$D$6+('Production schedule'!AI61)*'Responsibilities'!$D$7+('Production schedule'!AI97)*'Responsibilities'!$D$8</f>
        <v/>
      </c>
      <c r="I25" s="137">
        <f>SUM('Assumptions'!W58:W65)</f>
        <v/>
      </c>
      <c r="J25" s="137">
        <f>('Production schedule'!E25*(IF('Sites'!D6="Annual staff",SUM('Assumptions'!W112,'Assumptions'!W114),0)+SUM('Assumptions'!W113,'Assumptions'!W115:W116)))*'Responsibilities'!$E$6+('Production schedule'!E61*(IF('Sites'!D7="Annual staff",SUM('Assumptions'!W117,'Assumptions'!W119),0)+SUM('Assumptions'!W118,'Assumptions'!W120:W121)))*'Responsibilities'!$E$7+('Production schedule'!E97*(IF('Sites'!D8="Annual staff",SUM('Assumptions'!W122,'Assumptions'!W124),0)+SUM('Assumptions'!W123,'Assumptions'!W125:W126)))*'Responsibilities'!$E$8</f>
        <v/>
      </c>
      <c r="K25" s="137">
        <f>(IF(AND('Production schedule'!E25=1,20=MAX(('Sites'!F6),13),ISNUMBER('Sites'!P6)),'Sites'!P6*'Assumptions'!$B$44,0))*'Responsibilities'!$F$6+(IF(AND('Production schedule'!E61=1,20=MAX(('Sites'!F7+'Cases'!G6),13),ISNUMBER('Sites'!P7)),'Sites'!P7*'Assumptions'!$B$44,0))*'Responsibilities'!$F$7+(IF(AND('Production schedule'!E97=1,20=MAX(('Sites'!F8+'Cases'!G6),13),ISNUMBER('Sites'!P8)),'Sites'!P8*'Assumptions'!$B$44,0))*'Responsibilities'!$F$8</f>
        <v/>
      </c>
      <c r="L25" s="137">
        <f>SUM('Costs'!E36)*'Costs'!F36/12*'Responsibilities'!$C$12+SUM('Costs'!E37)*'Costs'!F37/12*'Responsibilities'!$C$13+SUM('Costs'!E38)*'Costs'!F38/12*'Responsibilities'!$C$14+SUM('Costs'!E39)*'Costs'!F39/12*'Responsibilities'!$C$15+SUM('Costs'!E40)*'Costs'!F40/12*'Responsibilities'!$C$16+BZ25</f>
        <v/>
      </c>
      <c r="M25" s="137">
        <f>('Sites'!E6*'Capital'!E6*(IF(20='Capital'!G6,'Capital'!F6,0)+IF(20='Capital'!H6,1-'Capital'!F6,0)))*'Responsibilities'!$G$6+('Sites'!E7*'Capital'!E7*(IF(20='Capital'!G7+'Cases'!G6,'Capital'!F7,0)+IF(20='Capital'!H7+'Cases'!G6,1-'Capital'!F7,0)))*'Responsibilities'!$G$7+('Sites'!E8*'Cases'!F6*'Capital'!E8*(IF(20='Capital'!G8+'Cases'!G6,'Capital'!F8,0)+IF(20='Capital'!H8+'Cases'!G6,1-'Capital'!F8,0)))*'Responsibilities'!$G$8</f>
        <v/>
      </c>
      <c r="N25" s="137">
        <f>SUM(G25:M25)</f>
        <v/>
      </c>
      <c r="O25" s="137">
        <f>SUMIFS(FundingTranches[Secured amount],FundingTranches[Instrument],"Grant",FundingTranches[Secured month],20)</f>
        <v/>
      </c>
      <c r="P25" s="137">
        <f>SUMIFS(FundingTranches[Full possible],FundingTranches[Instrument],"Grant",FundingTranches[Scenario month],20-'Cases'!$D$6)</f>
        <v/>
      </c>
      <c r="Q25" s="137">
        <f>SUMIFS(FundingTranches[Secured amount],FundingTranches[Instrument],"Loan",FundingTranches[Secured month],20)</f>
        <v/>
      </c>
      <c r="R25" s="137">
        <f>SUMIFS(FundingTranches[Full possible],FundingTranches[Instrument],"Loan",FundingTranches[Scenario month],20-'Cases'!$D$6)</f>
        <v/>
      </c>
      <c r="S25" s="137">
        <f>IF(20&lt;='Assumptions'!$B$34,0,SUMIFS('Production schedule'!$AL$6:$AL$113,'Production schedule'!$C$6:$C$113,20-'Assumptions'!$B$34))</f>
        <v/>
      </c>
      <c r="T25" s="137">
        <f>'Assumptions'!W70</f>
        <v/>
      </c>
      <c r="U25" s="137">
        <f>'Assumptions'!W78</f>
        <v/>
      </c>
      <c r="V25" s="137">
        <f>SUM(O25:U25)</f>
        <v/>
      </c>
      <c r="W25" s="137">
        <f>AA24</f>
        <v/>
      </c>
      <c r="X25" s="137">
        <f>SUM(Q25:R25)</f>
        <v/>
      </c>
      <c r="Y25" s="137">
        <f>SUM(W25,X25)*'Assumptions'!$B$39/12</f>
        <v/>
      </c>
      <c r="Z25" s="137">
        <f>IF(SUM(W25,X25)&gt;0,MIN(SUM(W25,X25),MAX(0,BP25-Y25)),0)</f>
        <v/>
      </c>
      <c r="AA25" s="137">
        <f>SUM(W25,X25)-Z25</f>
        <v/>
      </c>
      <c r="AB25" s="137">
        <f>SUM(Y25:Z25)</f>
        <v/>
      </c>
      <c r="AC25" s="137">
        <f>'Assumptions'!W72</f>
        <v/>
      </c>
      <c r="AD25" s="137">
        <f>'Assumptions'!W73</f>
        <v/>
      </c>
      <c r="AE25" s="137">
        <f>IF(X25&gt;0,SUM('Assumptions'!$B$42),0)</f>
        <v/>
      </c>
      <c r="AF25" s="137">
        <f>'Assumptions'!W71</f>
        <v/>
      </c>
      <c r="AG25" s="137">
        <f>'Assumptions'!W74</f>
        <v/>
      </c>
      <c r="AH25" s="137">
        <f>'Assumptions'!W75</f>
        <v/>
      </c>
      <c r="AI25" s="137">
        <f>'Assumptions'!W77</f>
        <v/>
      </c>
      <c r="AJ25" s="137">
        <f>V25-N25-SUM(AB25:AI25)</f>
        <v/>
      </c>
      <c r="AK25" s="137">
        <f>SUM(AJ6:AJ25)</f>
        <v/>
      </c>
      <c r="AL25" s="137">
        <f>IF(ISNUMBER('Assumptions'!$B$10),'Assumptions'!$B$10+AK25,"")</f>
        <v/>
      </c>
      <c r="AM25" s="137">
        <f>SUM(O25,Q25,T25)-N25-SUM(AC25:AI25)+IF('Funding'!$N$11=0,AE25,0)-IF('Funding'!$N$11&gt;0,AB25,0)</f>
        <v/>
      </c>
      <c r="AN25" s="137">
        <f>SUM(AM6:AM25)</f>
        <v/>
      </c>
      <c r="AO25" s="137">
        <f>IF(ISNUMBER('Assumptions'!$B$10),'Assumptions'!$B$10+AN25,"")</f>
        <v/>
      </c>
      <c r="AP25" s="137">
        <f>('Production schedule'!AK25)*'Responsibilities'!$C$6+('Production schedule'!AK61)*'Responsibilities'!$C$7+('Production schedule'!AK97)*'Responsibilities'!$C$8</f>
        <v/>
      </c>
      <c r="AQ25" s="137">
        <f>SUMIFS('Production schedule'!$AL$6:$AL$113,'Production schedule'!$C$6:$C$113,20)</f>
        <v/>
      </c>
      <c r="AR25" s="137">
        <f>IF(ISNUMBER('Assumptions'!W76),'Assumptions'!W76,SUM(O25:P25))</f>
        <v/>
      </c>
      <c r="AS25" s="137">
        <f>IF(ISNUMBER('Assumptions'!$B$13),MIN('Assumptions'!$B$13/'Assumptions'!$B$18/12,MAX(0,'Assumptions'!$B$13-(20-1)*'Assumptions'!$B$13/'Assumptions'!$B$18/12)),0)+IF(AND('Sites'!E6=1,20&gt;=('Sites'!F6),20&lt;('Sites'!F6)+'Assumptions'!$B$18*12),'Capital'!E6/'Assumptions'!$B$18/12,0)+IF(AND('Sites'!E7=1,20&gt;=('Sites'!F7+'Cases'!G6),20&lt;('Sites'!F7+'Cases'!G6)+'Assumptions'!$B$18*12),'Capital'!E7/'Assumptions'!$B$18/12,0)+IF(AND('Sites'!E8*'Cases'!F6=1,20&gt;=('Sites'!F8+'Cases'!G6),20&lt;('Sites'!F8+'Cases'!G6)+'Assumptions'!$B$18*12),'Capital'!E8/'Assumptions'!$B$18/12,0)</f>
        <v/>
      </c>
      <c r="AT25" s="137">
        <f>SUM(AQ25,AR25,U25)-AP25-SUM(H25:L25)-AS25-SUM(Y25,AD25,AE25,AH25)</f>
        <v/>
      </c>
      <c r="AU25" s="137">
        <f>IF(ISNUMBER('Assumptions'!$B$19),MAX(0,SUM(AT18:AT25))*'Assumptions'!$B$19-SUM(AU18:AU24),"")</f>
        <v/>
      </c>
      <c r="AV25" s="137">
        <f>IF(ISNUMBER(AU25),AT25-AU25,"")</f>
        <v/>
      </c>
      <c r="AW25" s="137">
        <f>IF(ISNUMBER('Assumptions'!$B$11),'Assumptions'!$B$11+SUM(AQ6:AQ25)-SUM(S6:S25)-SUM(T6:T25),"")</f>
        <v/>
      </c>
      <c r="AX25" s="137">
        <f>IF(ISNUMBER('Assumptions'!$B$12),'Assumptions'!$B$12+SUM(G6:G25)-SUM(AP6:AP25),"")</f>
        <v/>
      </c>
      <c r="AY25" s="137">
        <f>IF(ISNUMBER('Assumptions'!$B$13),'Assumptions'!$B$13+SUM(M6:M25)-SUM(AS6:AS25),"")</f>
        <v/>
      </c>
      <c r="AZ25" s="137">
        <f>IF(ISNUMBER('Assumptions'!$B$14),'Assumptions'!$B$14+-SUM(AF6:AF25),"")</f>
        <v/>
      </c>
      <c r="BA25" s="137">
        <f>IF(ISNUMBER('Assumptions'!$B$15),'Assumptions'!$B$15+SUM(O6:O25)+SUM(P6:P25)-SUM(AR6:AR25),"")</f>
        <v/>
      </c>
      <c r="BB25" s="137">
        <f>IF(ISNUMBER('Assumptions'!$B$16),'Assumptions'!$B$16+-SUM(AC6:AC25),"")</f>
        <v/>
      </c>
      <c r="BC25" s="137">
        <f>IF(AND(ISNUMBER('Assumptions'!$B$21),ISNUMBER('Assumptions'!$B$19)),'Assumptions'!$B$21+SUM(AU6:AU25)-SUM(AG6:AG25),"")</f>
        <v/>
      </c>
      <c r="BD25" s="137">
        <f>IF(ISNUMBER('Assumptions'!$B$20),'Assumptions'!$B$20+-SUM(AI6:AI25),"")</f>
        <v/>
      </c>
      <c r="BE25" s="137">
        <f>IF(AND(ISNUMBER('Assumptions'!$B$17),COUNT(AV6:AV25)=20),'Assumptions'!$B$17+SUM(AV6:AV25),"")</f>
        <v/>
      </c>
      <c r="BF25" s="137">
        <f>IF(COUNT(AL25,AW25:AY25)=4,SUM(AL25,AW25:AY25),"")</f>
        <v/>
      </c>
      <c r="BG25" s="137">
        <f>IF(COUNT(AZ25:BD25)=5,SUM(AZ25:BD25,AA25),"")</f>
        <v/>
      </c>
      <c r="BH25" s="137">
        <f>IF(COUNT(BF25,BG25,BE25)=3,BF25-BG25-BE25,"")</f>
        <v/>
      </c>
      <c r="BI25" s="137">
        <f>SUM(W25,X25)-Z25-AA25</f>
        <v/>
      </c>
      <c r="BJ25" s="137">
        <f>8-COUNT('Assumptions'!W58:W65)+COUNTBLANK('NM Play'!B33:B34)+'Costs'!E44+IF(AND('Sites'!E6=1,('Sites'!F6)&lt;=24,'Sites'!G6&gt;=13),IF(ISNUMBER('Sites'!P6),0,1)+'Capital'!I6+COUNTBLANK('Sites'!R6)+IF('Sites'!D6="NM crew",COUNTBLANK('NM Play'!B25)+1,5-COUNT('Assumptions'!W112:W116)),0)+IF(AND('Sites'!E7=1,('Sites'!F7+'Cases'!G6)&lt;=24,'Sites'!G7&gt;=13),IF(ISNUMBER('Sites'!P7),0,1)+'Capital'!I7+COUNTBLANK('Sites'!R7)+IF('Sites'!D7="NM crew",COUNTBLANK('NM Play'!B25)+1,5-COUNT('Assumptions'!W117:W121)),0)+IF(AND('Sites'!E8*'Cases'!F6=1,('Sites'!F8+'Cases'!G6)&lt;=24,'Sites'!G8&gt;=13),IF(ISNUMBER('Sites'!P8),0,1)+'Capital'!I8+COUNTBLANK('Sites'!R8)+IF('Sites'!D8="NM crew",COUNTBLANK('NM Play'!B25)+1,5-COUNT('Assumptions'!W122:W126)),0)+IF(AND('Cases'!C6&gt;0,NOT(ISNUMBER('Assumptions'!B42))),1,0)+'Responsibilities'!$B$39</f>
        <v/>
      </c>
      <c r="BK25" s="137">
        <f>'Assumptions'!$B$50+'NM Play'!$B$83+'Funding'!$F$20+SUMIFS('Production schedule'!$AN$6:$AN$113,'Production schedule'!$C$6:$C$113,20)+IF(OR('Cases'!E6&lt;0,'Cases'!E6&gt;1,'Cases'!C6&lt;0,'Cases'!D6&lt;0,ABS(SUM('Sites'!S6:S8)-1)&gt;0.0001,MIN('Capital'!F6:F8)&lt;0,MAX('Capital'!F6:F8)&gt;1,MIN(AX25,AZ25,BB25,BA25)&lt;-0.01),1,0)+'Responsibilities'!$B$40</f>
        <v/>
      </c>
      <c r="BL25" s="137">
        <f>SUMIFS('Production schedule'!$T$6:$T$113,'Production schedule'!$C$6:$C$113,20)</f>
        <v/>
      </c>
      <c r="BM25" s="137">
        <f>D25*'NM Play'!$B$38</f>
        <v/>
      </c>
      <c r="BN25" s="137">
        <f>SUMIFS('Production schedule'!$AM$6:$AM$113,'Production schedule'!$C$6:$C$113,20)</f>
        <v/>
      </c>
      <c r="BO25" s="137">
        <f>AK25-AK24-AJ25</f>
        <v/>
      </c>
      <c r="BP25" s="137">
        <f>IF(AND('Assumptions'!$B$39&gt;=0,'Assumptions'!$B$40&gt;0),-PMT('Assumptions'!$B$39/12,'Assumptions'!$B$40*12,IF('Funding'!$N$11&gt;0,'Funding'!$N$11,'Funding'!$R$11)),"")</f>
        <v/>
      </c>
      <c r="BQ25">
        <f>('Production schedule'!AJ25)*(1-'Responsibilities'!$C$6)+('Production schedule'!AJ61)*(1-'Responsibilities'!$C$7)+('Production schedule'!AJ97)*(1-'Responsibilities'!$C$8)</f>
        <v/>
      </c>
      <c r="BR25">
        <f>('Production schedule'!AI25)*(1-'Responsibilities'!$D$6)+('Production schedule'!AI61)*(1-'Responsibilities'!$D$7)+('Production schedule'!AI97)*(1-'Responsibilities'!$D$8)</f>
        <v/>
      </c>
      <c r="BS25">
        <f>('Production schedule'!E25*(IF('Sites'!D6="Annual staff",SUM('Assumptions'!W112,'Assumptions'!W114),0)+SUM('Assumptions'!W113,'Assumptions'!W115:W116)))*(1-'Responsibilities'!$E$6)+('Production schedule'!E61*(IF('Sites'!D7="Annual staff",SUM('Assumptions'!W117,'Assumptions'!W119),0)+SUM('Assumptions'!W118,'Assumptions'!W120:W121)))*(1-'Responsibilities'!$E$7)+('Production schedule'!E97*(IF('Sites'!D8="Annual staff",SUM('Assumptions'!W122,'Assumptions'!W124),0)+SUM('Assumptions'!W123,'Assumptions'!W125:W126)))*(1-'Responsibilities'!$E$8)</f>
        <v/>
      </c>
      <c r="BT25">
        <f>(IF(AND('Production schedule'!E25=1,20=MAX(('Sites'!F6),13),ISNUMBER('Sites'!P6)),'Sites'!P6*'Assumptions'!$B$44,0))*(1-'Responsibilities'!$F$6)+(IF(AND('Production schedule'!E61=1,20=MAX(('Sites'!F7+'Cases'!G6),13),ISNUMBER('Sites'!P7)),'Sites'!P7*'Assumptions'!$B$44,0))*(1-'Responsibilities'!$F$7)+(IF(AND('Production schedule'!E97=1,20=MAX(('Sites'!F8+'Cases'!G6),13),ISNUMBER('Sites'!P8)),'Sites'!P8*'Assumptions'!$B$44,0))*(1-'Responsibilities'!$F$8)</f>
        <v/>
      </c>
      <c r="BU25">
        <f>SUM('Costs'!E36)*'Costs'!F36/12*(1-'Responsibilities'!$C$12)+SUM('Costs'!E37)*'Costs'!F37/12*(1-'Responsibilities'!$C$13)+SUM('Costs'!E38)*'Costs'!F38/12*(1-'Responsibilities'!$C$14)+SUM('Costs'!E39)*'Costs'!F39/12*(1-'Responsibilities'!$C$15)+SUM('Costs'!E40)*'Costs'!F40/12*(1-'Responsibilities'!$C$16)</f>
        <v/>
      </c>
      <c r="BV25">
        <f>('Sites'!E6*'Capital'!E6*(IF(20='Capital'!G6,'Capital'!F6,0)+IF(20='Capital'!H6,1-'Capital'!F6,0)))*(1-'Responsibilities'!$G$6)+('Sites'!E7*'Capital'!E7*(IF(20='Capital'!G7+'Cases'!G6,'Capital'!F7,0)+IF(20='Capital'!H7+'Cases'!G6,1-'Capital'!F7,0)))*(1-'Responsibilities'!$G$7)+('Sites'!E8*'Cases'!F6*'Capital'!E8*(IF(20='Capital'!G8+'Cases'!G6,'Capital'!F8,0)+IF(20='Capital'!H8+'Cases'!G6,1-'Capital'!F8,0)))*(1-'Responsibilities'!$G$8)</f>
        <v/>
      </c>
      <c r="BW25">
        <f>SUM(BQ25:BV25)</f>
        <v/>
      </c>
      <c r="BX25">
        <f>N25+BW25</f>
        <v/>
      </c>
      <c r="BY25">
        <f>BX25-(('Production schedule'!AJ25)*'Responsibilities'!$C$6+('Production schedule'!AJ61)*'Responsibilities'!$C$7+('Production schedule'!AJ97)*'Responsibilities'!$C$8+('Production schedule'!AJ25)*(1-'Responsibilities'!$C$6)+('Production schedule'!AJ61)*(1-'Responsibilities'!$C$7)+('Production schedule'!AJ97)*(1-'Responsibilities'!$C$8)+('Production schedule'!AI25)*'Responsibilities'!$D$6+('Production schedule'!AI61)*'Responsibilities'!$D$7+('Production schedule'!AI97)*'Responsibilities'!$D$8+('Production schedule'!AI25)*(1-'Responsibilities'!$D$6)+('Production schedule'!AI61)*(1-'Responsibilities'!$D$7)+('Production schedule'!AI97)*(1-'Responsibilities'!$D$8)+('Production schedule'!E25*(IF('Sites'!D6="Annual staff",SUM('Assumptions'!W112,'Assumptions'!W114),0)+SUM('Assumptions'!W113,'Assumptions'!W115:W116)))*'Responsibilities'!$E$6+('Production schedule'!E61*(IF('Sites'!D7="Annual staff",SUM('Assumptions'!W117,'Assumptions'!W119),0)+SUM('Assumptions'!W118,'Assumptions'!W120:W121)))*'Responsibilities'!$E$7+('Production schedule'!E97*(IF('Sites'!D8="Annual staff",SUM('Assumptions'!W122,'Assumptions'!W124),0)+SUM('Assumptions'!W123,'Assumptions'!W125:W126)))*'Responsibilities'!$E$8+('Production schedule'!E25*(IF('Sites'!D6="Annual staff",SUM('Assumptions'!W112,'Assumptions'!W114),0)+SUM('Assumptions'!W113,'Assumptions'!W115:W116)))*(1-'Responsibilities'!$E$6)+('Production schedule'!E61*(IF('Sites'!D7="Annual staff",SUM('Assumptions'!W117,'Assumptions'!W119),0)+SUM('Assumptions'!W118,'Assumptions'!W120:W121)))*(1-'Responsibilities'!$E$7)+('Production schedule'!E97*(IF('Sites'!D8="Annual staff",SUM('Assumptions'!W122,'Assumptions'!W124),0)+SUM('Assumptions'!W123,'Assumptions'!W125:W126)))*(1-'Responsibilities'!$E$8)+(IF(AND('Production schedule'!E25=1,20=MAX(('Sites'!F6),13),ISNUMBER('Sites'!P6)),'Sites'!P6*'Assumptions'!$B$44,0))*'Responsibilities'!$F$6+(IF(AND('Production schedule'!E61=1,20=MAX(('Sites'!F7+'Cases'!G6),13),ISNUMBER('Sites'!P7)),'Sites'!P7*'Assumptions'!$B$44,0))*'Responsibilities'!$F$7+(IF(AND('Production schedule'!E97=1,20=MAX(('Sites'!F8+'Cases'!G6),13),ISNUMBER('Sites'!P8)),'Sites'!P8*'Assumptions'!$B$44,0))*'Responsibilities'!$F$8+(IF(AND('Production schedule'!E25=1,20=MAX(('Sites'!F6),13),ISNUMBER('Sites'!P6)),'Sites'!P6*'Assumptions'!$B$44,0))*(1-'Responsibilities'!$F$6)+(IF(AND('Production schedule'!E61=1,20=MAX(('Sites'!F7+'Cases'!G6),13),ISNUMBER('Sites'!P7)),'Sites'!P7*'Assumptions'!$B$44,0))*(1-'Responsibilities'!$F$7)+(IF(AND('Production schedule'!E97=1,20=MAX(('Sites'!F8+'Cases'!G6),13),ISNUMBER('Sites'!P8)),'Sites'!P8*'Assumptions'!$B$44,0))*(1-'Responsibilities'!$F$8)+('Sites'!E6*'Capital'!E6*(IF(20='Capital'!G6,'Capital'!F6,0)+IF(20='Capital'!H6,1-'Capital'!F6,0)))*'Responsibilities'!$G$6+('Sites'!E7*'Capital'!E7*(IF(20='Capital'!G7+'Cases'!G6,'Capital'!F7,0)+IF(20='Capital'!H7+'Cases'!G6,1-'Capital'!F7,0)))*'Responsibilities'!$G$7+('Sites'!E8*'Cases'!F6*'Capital'!E8*(IF(20='Capital'!G8+'Cases'!G6,'Capital'!F8,0)+IF(20='Capital'!H8+'Cases'!G6,1-'Capital'!F8,0)))*'Responsibilities'!$G$8+('Sites'!E6*'Capital'!E6*(IF(20='Capital'!G6,'Capital'!F6,0)+IF(20='Capital'!H6,1-'Capital'!F6,0)))*(1-'Responsibilities'!$G$6)+('Sites'!E7*'Capital'!E7*(IF(20='Capital'!G7+'Cases'!G6,'Capital'!F7,0)+IF(20='Capital'!H7+'Cases'!G6,1-'Capital'!F7,0)))*(1-'Responsibilities'!$G$7)+('Sites'!E8*'Cases'!F6*'Capital'!E8*(IF(20='Capital'!G8+'Cases'!G6,'Capital'!F8,0)+IF(20='Capital'!H8+'Cases'!G6,1-'Capital'!F8,0)))*(1-'Responsibilities'!$G$8)+I25+SUMPRODUCT('Costs'!$E$36:$E$40,'Costs'!$F$36:$F$40)/12+BZ25)</f>
        <v/>
      </c>
      <c r="BZ25">
        <f>SUMIFS('Responsibilities'!$B$31:$B$35,'Responsibilities'!$C$31:$C$35,20,'Responsibilities'!$D$31:$D$35,"Yes")</f>
        <v/>
      </c>
    </row>
    <row r="26" ht="28" customHeight="1">
      <c r="A26" s="4" t="inlineStr">
        <is>
          <t>Full</t>
        </is>
      </c>
      <c r="B26" s="4" t="n">
        <v>21</v>
      </c>
      <c r="C26" s="4">
        <f>ROUNDUP(B26/12,0)</f>
        <v/>
      </c>
      <c r="D26" s="137">
        <f>SUMIFS('Production schedule'!$N$6:$N$113,'Production schedule'!$C$6:$C$113,21)</f>
        <v/>
      </c>
      <c r="E26" s="137">
        <f>SUMIFS('Production schedule'!$Y$6:$Y$113,'Production schedule'!$C$6:$C$113,21)</f>
        <v/>
      </c>
      <c r="F26" s="137">
        <f>SUMIFS('Production schedule'!$Z$6:$Z$113,'Production schedule'!$C$6:$C$113,21)</f>
        <v/>
      </c>
      <c r="G26" s="137">
        <f>('Production schedule'!AJ26)*'Responsibilities'!$C$6+('Production schedule'!AJ62)*'Responsibilities'!$C$7+('Production schedule'!AJ98)*'Responsibilities'!$C$8</f>
        <v/>
      </c>
      <c r="H26" s="137">
        <f>('Production schedule'!AI26)*'Responsibilities'!$D$6+('Production schedule'!AI62)*'Responsibilities'!$D$7+('Production schedule'!AI98)*'Responsibilities'!$D$8</f>
        <v/>
      </c>
      <c r="I26" s="137">
        <f>SUM('Assumptions'!X58:X65)</f>
        <v/>
      </c>
      <c r="J26" s="137">
        <f>('Production schedule'!E26*(IF('Sites'!D6="Annual staff",SUM('Assumptions'!X112,'Assumptions'!X114),0)+SUM('Assumptions'!X113,'Assumptions'!X115:X116)))*'Responsibilities'!$E$6+('Production schedule'!E62*(IF('Sites'!D7="Annual staff",SUM('Assumptions'!X117,'Assumptions'!X119),0)+SUM('Assumptions'!X118,'Assumptions'!X120:X121)))*'Responsibilities'!$E$7+('Production schedule'!E98*(IF('Sites'!D8="Annual staff",SUM('Assumptions'!X122,'Assumptions'!X124),0)+SUM('Assumptions'!X123,'Assumptions'!X125:X126)))*'Responsibilities'!$E$8</f>
        <v/>
      </c>
      <c r="K26" s="137">
        <f>(IF(AND('Production schedule'!E26=1,21=MAX(('Sites'!F6),13),ISNUMBER('Sites'!P6)),'Sites'!P6*'Assumptions'!$B$44,0))*'Responsibilities'!$F$6+(IF(AND('Production schedule'!E62=1,21=MAX(('Sites'!F7+'Cases'!G6),13),ISNUMBER('Sites'!P7)),'Sites'!P7*'Assumptions'!$B$44,0))*'Responsibilities'!$F$7+(IF(AND('Production schedule'!E98=1,21=MAX(('Sites'!F8+'Cases'!G6),13),ISNUMBER('Sites'!P8)),'Sites'!P8*'Assumptions'!$B$44,0))*'Responsibilities'!$F$8</f>
        <v/>
      </c>
      <c r="L26" s="137">
        <f>SUM('Costs'!E36)*'Costs'!F36/12*'Responsibilities'!$C$12+SUM('Costs'!E37)*'Costs'!F37/12*'Responsibilities'!$C$13+SUM('Costs'!E38)*'Costs'!F38/12*'Responsibilities'!$C$14+SUM('Costs'!E39)*'Costs'!F39/12*'Responsibilities'!$C$15+SUM('Costs'!E40)*'Costs'!F40/12*'Responsibilities'!$C$16+BZ26</f>
        <v/>
      </c>
      <c r="M26" s="137">
        <f>('Sites'!E6*'Capital'!E6*(IF(21='Capital'!G6,'Capital'!F6,0)+IF(21='Capital'!H6,1-'Capital'!F6,0)))*'Responsibilities'!$G$6+('Sites'!E7*'Capital'!E7*(IF(21='Capital'!G7+'Cases'!G6,'Capital'!F7,0)+IF(21='Capital'!H7+'Cases'!G6,1-'Capital'!F7,0)))*'Responsibilities'!$G$7+('Sites'!E8*'Cases'!F6*'Capital'!E8*(IF(21='Capital'!G8+'Cases'!G6,'Capital'!F8,0)+IF(21='Capital'!H8+'Cases'!G6,1-'Capital'!F8,0)))*'Responsibilities'!$G$8</f>
        <v/>
      </c>
      <c r="N26" s="137">
        <f>SUM(G26:M26)</f>
        <v/>
      </c>
      <c r="O26" s="137">
        <f>SUMIFS(FundingTranches[Secured amount],FundingTranches[Instrument],"Grant",FundingTranches[Secured month],21)</f>
        <v/>
      </c>
      <c r="P26" s="137">
        <f>SUMIFS(FundingTranches[Full possible],FundingTranches[Instrument],"Grant",FundingTranches[Scenario month],21-'Cases'!$D$6)</f>
        <v/>
      </c>
      <c r="Q26" s="137">
        <f>SUMIFS(FundingTranches[Secured amount],FundingTranches[Instrument],"Loan",FundingTranches[Secured month],21)</f>
        <v/>
      </c>
      <c r="R26" s="137">
        <f>SUMIFS(FundingTranches[Full possible],FundingTranches[Instrument],"Loan",FundingTranches[Scenario month],21-'Cases'!$D$6)</f>
        <v/>
      </c>
      <c r="S26" s="137">
        <f>IF(21&lt;='Assumptions'!$B$34,0,SUMIFS('Production schedule'!$AL$6:$AL$113,'Production schedule'!$C$6:$C$113,21-'Assumptions'!$B$34))</f>
        <v/>
      </c>
      <c r="T26" s="137">
        <f>'Assumptions'!X70</f>
        <v/>
      </c>
      <c r="U26" s="137">
        <f>'Assumptions'!X78</f>
        <v/>
      </c>
      <c r="V26" s="137">
        <f>SUM(O26:U26)</f>
        <v/>
      </c>
      <c r="W26" s="137">
        <f>AA25</f>
        <v/>
      </c>
      <c r="X26" s="137">
        <f>SUM(Q26:R26)</f>
        <v/>
      </c>
      <c r="Y26" s="137">
        <f>SUM(W26,X26)*'Assumptions'!$B$39/12</f>
        <v/>
      </c>
      <c r="Z26" s="137">
        <f>IF(SUM(W26,X26)&gt;0,MIN(SUM(W26,X26),MAX(0,BP26-Y26)),0)</f>
        <v/>
      </c>
      <c r="AA26" s="137">
        <f>SUM(W26,X26)-Z26</f>
        <v/>
      </c>
      <c r="AB26" s="137">
        <f>SUM(Y26:Z26)</f>
        <v/>
      </c>
      <c r="AC26" s="137">
        <f>'Assumptions'!X72</f>
        <v/>
      </c>
      <c r="AD26" s="137">
        <f>'Assumptions'!X73</f>
        <v/>
      </c>
      <c r="AE26" s="137">
        <f>IF(X26&gt;0,SUM('Assumptions'!$B$42),0)</f>
        <v/>
      </c>
      <c r="AF26" s="137">
        <f>'Assumptions'!X71</f>
        <v/>
      </c>
      <c r="AG26" s="137">
        <f>'Assumptions'!X74</f>
        <v/>
      </c>
      <c r="AH26" s="137">
        <f>'Assumptions'!X75</f>
        <v/>
      </c>
      <c r="AI26" s="137">
        <f>'Assumptions'!X77</f>
        <v/>
      </c>
      <c r="AJ26" s="137">
        <f>V26-N26-SUM(AB26:AI26)</f>
        <v/>
      </c>
      <c r="AK26" s="137">
        <f>SUM(AJ6:AJ26)</f>
        <v/>
      </c>
      <c r="AL26" s="137">
        <f>IF(ISNUMBER('Assumptions'!$B$10),'Assumptions'!$B$10+AK26,"")</f>
        <v/>
      </c>
      <c r="AM26" s="137">
        <f>SUM(O26,Q26,T26)-N26-SUM(AC26:AI26)+IF('Funding'!$N$11=0,AE26,0)-IF('Funding'!$N$11&gt;0,AB26,0)</f>
        <v/>
      </c>
      <c r="AN26" s="137">
        <f>SUM(AM6:AM26)</f>
        <v/>
      </c>
      <c r="AO26" s="137">
        <f>IF(ISNUMBER('Assumptions'!$B$10),'Assumptions'!$B$10+AN26,"")</f>
        <v/>
      </c>
      <c r="AP26" s="137">
        <f>('Production schedule'!AK26)*'Responsibilities'!$C$6+('Production schedule'!AK62)*'Responsibilities'!$C$7+('Production schedule'!AK98)*'Responsibilities'!$C$8</f>
        <v/>
      </c>
      <c r="AQ26" s="137">
        <f>SUMIFS('Production schedule'!$AL$6:$AL$113,'Production schedule'!$C$6:$C$113,21)</f>
        <v/>
      </c>
      <c r="AR26" s="137">
        <f>IF(ISNUMBER('Assumptions'!X76),'Assumptions'!X76,SUM(O26:P26))</f>
        <v/>
      </c>
      <c r="AS26" s="137">
        <f>IF(ISNUMBER('Assumptions'!$B$13),MIN('Assumptions'!$B$13/'Assumptions'!$B$18/12,MAX(0,'Assumptions'!$B$13-(21-1)*'Assumptions'!$B$13/'Assumptions'!$B$18/12)),0)+IF(AND('Sites'!E6=1,21&gt;=('Sites'!F6),21&lt;('Sites'!F6)+'Assumptions'!$B$18*12),'Capital'!E6/'Assumptions'!$B$18/12,0)+IF(AND('Sites'!E7=1,21&gt;=('Sites'!F7+'Cases'!G6),21&lt;('Sites'!F7+'Cases'!G6)+'Assumptions'!$B$18*12),'Capital'!E7/'Assumptions'!$B$18/12,0)+IF(AND('Sites'!E8*'Cases'!F6=1,21&gt;=('Sites'!F8+'Cases'!G6),21&lt;('Sites'!F8+'Cases'!G6)+'Assumptions'!$B$18*12),'Capital'!E8/'Assumptions'!$B$18/12,0)</f>
        <v/>
      </c>
      <c r="AT26" s="137">
        <f>SUM(AQ26,AR26,U26)-AP26-SUM(H26:L26)-AS26-SUM(Y26,AD26,AE26,AH26)</f>
        <v/>
      </c>
      <c r="AU26" s="137">
        <f>IF(ISNUMBER('Assumptions'!$B$19),MAX(0,SUM(AT18:AT26))*'Assumptions'!$B$19-SUM(AU18:AU25),"")</f>
        <v/>
      </c>
      <c r="AV26" s="137">
        <f>IF(ISNUMBER(AU26),AT26-AU26,"")</f>
        <v/>
      </c>
      <c r="AW26" s="137">
        <f>IF(ISNUMBER('Assumptions'!$B$11),'Assumptions'!$B$11+SUM(AQ6:AQ26)-SUM(S6:S26)-SUM(T6:T26),"")</f>
        <v/>
      </c>
      <c r="AX26" s="137">
        <f>IF(ISNUMBER('Assumptions'!$B$12),'Assumptions'!$B$12+SUM(G6:G26)-SUM(AP6:AP26),"")</f>
        <v/>
      </c>
      <c r="AY26" s="137">
        <f>IF(ISNUMBER('Assumptions'!$B$13),'Assumptions'!$B$13+SUM(M6:M26)-SUM(AS6:AS26),"")</f>
        <v/>
      </c>
      <c r="AZ26" s="137">
        <f>IF(ISNUMBER('Assumptions'!$B$14),'Assumptions'!$B$14+-SUM(AF6:AF26),"")</f>
        <v/>
      </c>
      <c r="BA26" s="137">
        <f>IF(ISNUMBER('Assumptions'!$B$15),'Assumptions'!$B$15+SUM(O6:O26)+SUM(P6:P26)-SUM(AR6:AR26),"")</f>
        <v/>
      </c>
      <c r="BB26" s="137">
        <f>IF(ISNUMBER('Assumptions'!$B$16),'Assumptions'!$B$16+-SUM(AC6:AC26),"")</f>
        <v/>
      </c>
      <c r="BC26" s="137">
        <f>IF(AND(ISNUMBER('Assumptions'!$B$21),ISNUMBER('Assumptions'!$B$19)),'Assumptions'!$B$21+SUM(AU6:AU26)-SUM(AG6:AG26),"")</f>
        <v/>
      </c>
      <c r="BD26" s="137">
        <f>IF(ISNUMBER('Assumptions'!$B$20),'Assumptions'!$B$20+-SUM(AI6:AI26),"")</f>
        <v/>
      </c>
      <c r="BE26" s="137">
        <f>IF(AND(ISNUMBER('Assumptions'!$B$17),COUNT(AV6:AV26)=21),'Assumptions'!$B$17+SUM(AV6:AV26),"")</f>
        <v/>
      </c>
      <c r="BF26" s="137">
        <f>IF(COUNT(AL26,AW26:AY26)=4,SUM(AL26,AW26:AY26),"")</f>
        <v/>
      </c>
      <c r="BG26" s="137">
        <f>IF(COUNT(AZ26:BD26)=5,SUM(AZ26:BD26,AA26),"")</f>
        <v/>
      </c>
      <c r="BH26" s="137">
        <f>IF(COUNT(BF26,BG26,BE26)=3,BF26-BG26-BE26,"")</f>
        <v/>
      </c>
      <c r="BI26" s="137">
        <f>SUM(W26,X26)-Z26-AA26</f>
        <v/>
      </c>
      <c r="BJ26" s="137">
        <f>8-COUNT('Assumptions'!X58:X65)+COUNTBLANK('NM Play'!B33:B34)+'Costs'!E44+IF(AND('Sites'!E6=1,('Sites'!F6)&lt;=24,'Sites'!G6&gt;=13),IF(ISNUMBER('Sites'!P6),0,1)+'Capital'!I6+COUNTBLANK('Sites'!R6)+IF('Sites'!D6="NM crew",COUNTBLANK('NM Play'!B25)+1,5-COUNT('Assumptions'!X112:X116)),0)+IF(AND('Sites'!E7=1,('Sites'!F7+'Cases'!G6)&lt;=24,'Sites'!G7&gt;=13),IF(ISNUMBER('Sites'!P7),0,1)+'Capital'!I7+COUNTBLANK('Sites'!R7)+IF('Sites'!D7="NM crew",COUNTBLANK('NM Play'!B25)+1,5-COUNT('Assumptions'!X117:X121)),0)+IF(AND('Sites'!E8*'Cases'!F6=1,('Sites'!F8+'Cases'!G6)&lt;=24,'Sites'!G8&gt;=13),IF(ISNUMBER('Sites'!P8),0,1)+'Capital'!I8+COUNTBLANK('Sites'!R8)+IF('Sites'!D8="NM crew",COUNTBLANK('NM Play'!B25)+1,5-COUNT('Assumptions'!X122:X126)),0)+IF(AND('Cases'!C6&gt;0,NOT(ISNUMBER('Assumptions'!B42))),1,0)+'Responsibilities'!$B$39</f>
        <v/>
      </c>
      <c r="BK26" s="137">
        <f>'Assumptions'!$B$50+'NM Play'!$B$83+'Funding'!$F$20+SUMIFS('Production schedule'!$AN$6:$AN$113,'Production schedule'!$C$6:$C$113,21)+IF(OR('Cases'!E6&lt;0,'Cases'!E6&gt;1,'Cases'!C6&lt;0,'Cases'!D6&lt;0,ABS(SUM('Sites'!S6:S8)-1)&gt;0.0001,MIN('Capital'!F6:F8)&lt;0,MAX('Capital'!F6:F8)&gt;1,MIN(AX26,AZ26,BB26,BA26)&lt;-0.01),1,0)+'Responsibilities'!$B$40</f>
        <v/>
      </c>
      <c r="BL26" s="137">
        <f>SUMIFS('Production schedule'!$T$6:$T$113,'Production schedule'!$C$6:$C$113,21)</f>
        <v/>
      </c>
      <c r="BM26" s="137">
        <f>D26*'NM Play'!$B$38</f>
        <v/>
      </c>
      <c r="BN26" s="137">
        <f>SUMIFS('Production schedule'!$AM$6:$AM$113,'Production schedule'!$C$6:$C$113,21)</f>
        <v/>
      </c>
      <c r="BO26" s="137">
        <f>AK26-AK25-AJ26</f>
        <v/>
      </c>
      <c r="BP26" s="137">
        <f>IF(AND('Assumptions'!$B$39&gt;=0,'Assumptions'!$B$40&gt;0),-PMT('Assumptions'!$B$39/12,'Assumptions'!$B$40*12,IF('Funding'!$N$11&gt;0,'Funding'!$N$11,'Funding'!$R$11)),"")</f>
        <v/>
      </c>
      <c r="BQ26">
        <f>('Production schedule'!AJ26)*(1-'Responsibilities'!$C$6)+('Production schedule'!AJ62)*(1-'Responsibilities'!$C$7)+('Production schedule'!AJ98)*(1-'Responsibilities'!$C$8)</f>
        <v/>
      </c>
      <c r="BR26">
        <f>('Production schedule'!AI26)*(1-'Responsibilities'!$D$6)+('Production schedule'!AI62)*(1-'Responsibilities'!$D$7)+('Production schedule'!AI98)*(1-'Responsibilities'!$D$8)</f>
        <v/>
      </c>
      <c r="BS26">
        <f>('Production schedule'!E26*(IF('Sites'!D6="Annual staff",SUM('Assumptions'!X112,'Assumptions'!X114),0)+SUM('Assumptions'!X113,'Assumptions'!X115:X116)))*(1-'Responsibilities'!$E$6)+('Production schedule'!E62*(IF('Sites'!D7="Annual staff",SUM('Assumptions'!X117,'Assumptions'!X119),0)+SUM('Assumptions'!X118,'Assumptions'!X120:X121)))*(1-'Responsibilities'!$E$7)+('Production schedule'!E98*(IF('Sites'!D8="Annual staff",SUM('Assumptions'!X122,'Assumptions'!X124),0)+SUM('Assumptions'!X123,'Assumptions'!X125:X126)))*(1-'Responsibilities'!$E$8)</f>
        <v/>
      </c>
      <c r="BT26">
        <f>(IF(AND('Production schedule'!E26=1,21=MAX(('Sites'!F6),13),ISNUMBER('Sites'!P6)),'Sites'!P6*'Assumptions'!$B$44,0))*(1-'Responsibilities'!$F$6)+(IF(AND('Production schedule'!E62=1,21=MAX(('Sites'!F7+'Cases'!G6),13),ISNUMBER('Sites'!P7)),'Sites'!P7*'Assumptions'!$B$44,0))*(1-'Responsibilities'!$F$7)+(IF(AND('Production schedule'!E98=1,21=MAX(('Sites'!F8+'Cases'!G6),13),ISNUMBER('Sites'!P8)),'Sites'!P8*'Assumptions'!$B$44,0))*(1-'Responsibilities'!$F$8)</f>
        <v/>
      </c>
      <c r="BU26">
        <f>SUM('Costs'!E36)*'Costs'!F36/12*(1-'Responsibilities'!$C$12)+SUM('Costs'!E37)*'Costs'!F37/12*(1-'Responsibilities'!$C$13)+SUM('Costs'!E38)*'Costs'!F38/12*(1-'Responsibilities'!$C$14)+SUM('Costs'!E39)*'Costs'!F39/12*(1-'Responsibilities'!$C$15)+SUM('Costs'!E40)*'Costs'!F40/12*(1-'Responsibilities'!$C$16)</f>
        <v/>
      </c>
      <c r="BV26">
        <f>('Sites'!E6*'Capital'!E6*(IF(21='Capital'!G6,'Capital'!F6,0)+IF(21='Capital'!H6,1-'Capital'!F6,0)))*(1-'Responsibilities'!$G$6)+('Sites'!E7*'Capital'!E7*(IF(21='Capital'!G7+'Cases'!G6,'Capital'!F7,0)+IF(21='Capital'!H7+'Cases'!G6,1-'Capital'!F7,0)))*(1-'Responsibilities'!$G$7)+('Sites'!E8*'Cases'!F6*'Capital'!E8*(IF(21='Capital'!G8+'Cases'!G6,'Capital'!F8,0)+IF(21='Capital'!H8+'Cases'!G6,1-'Capital'!F8,0)))*(1-'Responsibilities'!$G$8)</f>
        <v/>
      </c>
      <c r="BW26">
        <f>SUM(BQ26:BV26)</f>
        <v/>
      </c>
      <c r="BX26">
        <f>N26+BW26</f>
        <v/>
      </c>
      <c r="BY26">
        <f>BX26-(('Production schedule'!AJ26)*'Responsibilities'!$C$6+('Production schedule'!AJ62)*'Responsibilities'!$C$7+('Production schedule'!AJ98)*'Responsibilities'!$C$8+('Production schedule'!AJ26)*(1-'Responsibilities'!$C$6)+('Production schedule'!AJ62)*(1-'Responsibilities'!$C$7)+('Production schedule'!AJ98)*(1-'Responsibilities'!$C$8)+('Production schedule'!AI26)*'Responsibilities'!$D$6+('Production schedule'!AI62)*'Responsibilities'!$D$7+('Production schedule'!AI98)*'Responsibilities'!$D$8+('Production schedule'!AI26)*(1-'Responsibilities'!$D$6)+('Production schedule'!AI62)*(1-'Responsibilities'!$D$7)+('Production schedule'!AI98)*(1-'Responsibilities'!$D$8)+('Production schedule'!E26*(IF('Sites'!D6="Annual staff",SUM('Assumptions'!X112,'Assumptions'!X114),0)+SUM('Assumptions'!X113,'Assumptions'!X115:X116)))*'Responsibilities'!$E$6+('Production schedule'!E62*(IF('Sites'!D7="Annual staff",SUM('Assumptions'!X117,'Assumptions'!X119),0)+SUM('Assumptions'!X118,'Assumptions'!X120:X121)))*'Responsibilities'!$E$7+('Production schedule'!E98*(IF('Sites'!D8="Annual staff",SUM('Assumptions'!X122,'Assumptions'!X124),0)+SUM('Assumptions'!X123,'Assumptions'!X125:X126)))*'Responsibilities'!$E$8+('Production schedule'!E26*(IF('Sites'!D6="Annual staff",SUM('Assumptions'!X112,'Assumptions'!X114),0)+SUM('Assumptions'!X113,'Assumptions'!X115:X116)))*(1-'Responsibilities'!$E$6)+('Production schedule'!E62*(IF('Sites'!D7="Annual staff",SUM('Assumptions'!X117,'Assumptions'!X119),0)+SUM('Assumptions'!X118,'Assumptions'!X120:X121)))*(1-'Responsibilities'!$E$7)+('Production schedule'!E98*(IF('Sites'!D8="Annual staff",SUM('Assumptions'!X122,'Assumptions'!X124),0)+SUM('Assumptions'!X123,'Assumptions'!X125:X126)))*(1-'Responsibilities'!$E$8)+(IF(AND('Production schedule'!E26=1,21=MAX(('Sites'!F6),13),ISNUMBER('Sites'!P6)),'Sites'!P6*'Assumptions'!$B$44,0))*'Responsibilities'!$F$6+(IF(AND('Production schedule'!E62=1,21=MAX(('Sites'!F7+'Cases'!G6),13),ISNUMBER('Sites'!P7)),'Sites'!P7*'Assumptions'!$B$44,0))*'Responsibilities'!$F$7+(IF(AND('Production schedule'!E98=1,21=MAX(('Sites'!F8+'Cases'!G6),13),ISNUMBER('Sites'!P8)),'Sites'!P8*'Assumptions'!$B$44,0))*'Responsibilities'!$F$8+(IF(AND('Production schedule'!E26=1,21=MAX(('Sites'!F6),13),ISNUMBER('Sites'!P6)),'Sites'!P6*'Assumptions'!$B$44,0))*(1-'Responsibilities'!$F$6)+(IF(AND('Production schedule'!E62=1,21=MAX(('Sites'!F7+'Cases'!G6),13),ISNUMBER('Sites'!P7)),'Sites'!P7*'Assumptions'!$B$44,0))*(1-'Responsibilities'!$F$7)+(IF(AND('Production schedule'!E98=1,21=MAX(('Sites'!F8+'Cases'!G6),13),ISNUMBER('Sites'!P8)),'Sites'!P8*'Assumptions'!$B$44,0))*(1-'Responsibilities'!$F$8)+('Sites'!E6*'Capital'!E6*(IF(21='Capital'!G6,'Capital'!F6,0)+IF(21='Capital'!H6,1-'Capital'!F6,0)))*'Responsibilities'!$G$6+('Sites'!E7*'Capital'!E7*(IF(21='Capital'!G7+'Cases'!G6,'Capital'!F7,0)+IF(21='Capital'!H7+'Cases'!G6,1-'Capital'!F7,0)))*'Responsibilities'!$G$7+('Sites'!E8*'Cases'!F6*'Capital'!E8*(IF(21='Capital'!G8+'Cases'!G6,'Capital'!F8,0)+IF(21='Capital'!H8+'Cases'!G6,1-'Capital'!F8,0)))*'Responsibilities'!$G$8+('Sites'!E6*'Capital'!E6*(IF(21='Capital'!G6,'Capital'!F6,0)+IF(21='Capital'!H6,1-'Capital'!F6,0)))*(1-'Responsibilities'!$G$6)+('Sites'!E7*'Capital'!E7*(IF(21='Capital'!G7+'Cases'!G6,'Capital'!F7,0)+IF(21='Capital'!H7+'Cases'!G6,1-'Capital'!F7,0)))*(1-'Responsibilities'!$G$7)+('Sites'!E8*'Cases'!F6*'Capital'!E8*(IF(21='Capital'!G8+'Cases'!G6,'Capital'!F8,0)+IF(21='Capital'!H8+'Cases'!G6,1-'Capital'!F8,0)))*(1-'Responsibilities'!$G$8)+I26+SUMPRODUCT('Costs'!$E$36:$E$40,'Costs'!$F$36:$F$40)/12+BZ26)</f>
        <v/>
      </c>
      <c r="BZ26">
        <f>SUMIFS('Responsibilities'!$B$31:$B$35,'Responsibilities'!$C$31:$C$35,21,'Responsibilities'!$D$31:$D$35,"Yes")</f>
        <v/>
      </c>
    </row>
    <row r="27" ht="28" customHeight="1">
      <c r="A27" s="4" t="inlineStr">
        <is>
          <t>Full</t>
        </is>
      </c>
      <c r="B27" s="4" t="n">
        <v>22</v>
      </c>
      <c r="C27" s="4">
        <f>ROUNDUP(B27/12,0)</f>
        <v/>
      </c>
      <c r="D27" s="137">
        <f>SUMIFS('Production schedule'!$N$6:$N$113,'Production schedule'!$C$6:$C$113,22)</f>
        <v/>
      </c>
      <c r="E27" s="137">
        <f>SUMIFS('Production schedule'!$Y$6:$Y$113,'Production schedule'!$C$6:$C$113,22)</f>
        <v/>
      </c>
      <c r="F27" s="137">
        <f>SUMIFS('Production schedule'!$Z$6:$Z$113,'Production schedule'!$C$6:$C$113,22)</f>
        <v/>
      </c>
      <c r="G27" s="137">
        <f>('Production schedule'!AJ27)*'Responsibilities'!$C$6+('Production schedule'!AJ63)*'Responsibilities'!$C$7+('Production schedule'!AJ99)*'Responsibilities'!$C$8</f>
        <v/>
      </c>
      <c r="H27" s="137">
        <f>('Production schedule'!AI27)*'Responsibilities'!$D$6+('Production schedule'!AI63)*'Responsibilities'!$D$7+('Production schedule'!AI99)*'Responsibilities'!$D$8</f>
        <v/>
      </c>
      <c r="I27" s="137">
        <f>SUM('Assumptions'!Y58:Y65)</f>
        <v/>
      </c>
      <c r="J27" s="137">
        <f>('Production schedule'!E27*(IF('Sites'!D6="Annual staff",SUM('Assumptions'!Y112,'Assumptions'!Y114),0)+SUM('Assumptions'!Y113,'Assumptions'!Y115:Y116)))*'Responsibilities'!$E$6+('Production schedule'!E63*(IF('Sites'!D7="Annual staff",SUM('Assumptions'!Y117,'Assumptions'!Y119),0)+SUM('Assumptions'!Y118,'Assumptions'!Y120:Y121)))*'Responsibilities'!$E$7+('Production schedule'!E99*(IF('Sites'!D8="Annual staff",SUM('Assumptions'!Y122,'Assumptions'!Y124),0)+SUM('Assumptions'!Y123,'Assumptions'!Y125:Y126)))*'Responsibilities'!$E$8</f>
        <v/>
      </c>
      <c r="K27" s="137">
        <f>(IF(AND('Production schedule'!E27=1,22=MAX(('Sites'!F6),13),ISNUMBER('Sites'!P6)),'Sites'!P6*'Assumptions'!$B$44,0))*'Responsibilities'!$F$6+(IF(AND('Production schedule'!E63=1,22=MAX(('Sites'!F7+'Cases'!G6),13),ISNUMBER('Sites'!P7)),'Sites'!P7*'Assumptions'!$B$44,0))*'Responsibilities'!$F$7+(IF(AND('Production schedule'!E99=1,22=MAX(('Sites'!F8+'Cases'!G6),13),ISNUMBER('Sites'!P8)),'Sites'!P8*'Assumptions'!$B$44,0))*'Responsibilities'!$F$8</f>
        <v/>
      </c>
      <c r="L27" s="137">
        <f>SUM('Costs'!E36)*'Costs'!F36/12*'Responsibilities'!$C$12+SUM('Costs'!E37)*'Costs'!F37/12*'Responsibilities'!$C$13+SUM('Costs'!E38)*'Costs'!F38/12*'Responsibilities'!$C$14+SUM('Costs'!E39)*'Costs'!F39/12*'Responsibilities'!$C$15+SUM('Costs'!E40)*'Costs'!F40/12*'Responsibilities'!$C$16+BZ27</f>
        <v/>
      </c>
      <c r="M27" s="137">
        <f>('Sites'!E6*'Capital'!E6*(IF(22='Capital'!G6,'Capital'!F6,0)+IF(22='Capital'!H6,1-'Capital'!F6,0)))*'Responsibilities'!$G$6+('Sites'!E7*'Capital'!E7*(IF(22='Capital'!G7+'Cases'!G6,'Capital'!F7,0)+IF(22='Capital'!H7+'Cases'!G6,1-'Capital'!F7,0)))*'Responsibilities'!$G$7+('Sites'!E8*'Cases'!F6*'Capital'!E8*(IF(22='Capital'!G8+'Cases'!G6,'Capital'!F8,0)+IF(22='Capital'!H8+'Cases'!G6,1-'Capital'!F8,0)))*'Responsibilities'!$G$8</f>
        <v/>
      </c>
      <c r="N27" s="137">
        <f>SUM(G27:M27)</f>
        <v/>
      </c>
      <c r="O27" s="137">
        <f>SUMIFS(FundingTranches[Secured amount],FundingTranches[Instrument],"Grant",FundingTranches[Secured month],22)</f>
        <v/>
      </c>
      <c r="P27" s="137">
        <f>SUMIFS(FundingTranches[Full possible],FundingTranches[Instrument],"Grant",FundingTranches[Scenario month],22-'Cases'!$D$6)</f>
        <v/>
      </c>
      <c r="Q27" s="137">
        <f>SUMIFS(FundingTranches[Secured amount],FundingTranches[Instrument],"Loan",FundingTranches[Secured month],22)</f>
        <v/>
      </c>
      <c r="R27" s="137">
        <f>SUMIFS(FundingTranches[Full possible],FundingTranches[Instrument],"Loan",FundingTranches[Scenario month],22-'Cases'!$D$6)</f>
        <v/>
      </c>
      <c r="S27" s="137">
        <f>IF(22&lt;='Assumptions'!$B$34,0,SUMIFS('Production schedule'!$AL$6:$AL$113,'Production schedule'!$C$6:$C$113,22-'Assumptions'!$B$34))</f>
        <v/>
      </c>
      <c r="T27" s="137">
        <f>'Assumptions'!Y70</f>
        <v/>
      </c>
      <c r="U27" s="137">
        <f>'Assumptions'!Y78</f>
        <v/>
      </c>
      <c r="V27" s="137">
        <f>SUM(O27:U27)</f>
        <v/>
      </c>
      <c r="W27" s="137">
        <f>AA26</f>
        <v/>
      </c>
      <c r="X27" s="137">
        <f>SUM(Q27:R27)</f>
        <v/>
      </c>
      <c r="Y27" s="137">
        <f>SUM(W27,X27)*'Assumptions'!$B$39/12</f>
        <v/>
      </c>
      <c r="Z27" s="137">
        <f>IF(SUM(W27,X27)&gt;0,MIN(SUM(W27,X27),MAX(0,BP27-Y27)),0)</f>
        <v/>
      </c>
      <c r="AA27" s="137">
        <f>SUM(W27,X27)-Z27</f>
        <v/>
      </c>
      <c r="AB27" s="137">
        <f>SUM(Y27:Z27)</f>
        <v/>
      </c>
      <c r="AC27" s="137">
        <f>'Assumptions'!Y72</f>
        <v/>
      </c>
      <c r="AD27" s="137">
        <f>'Assumptions'!Y73</f>
        <v/>
      </c>
      <c r="AE27" s="137">
        <f>IF(X27&gt;0,SUM('Assumptions'!$B$42),0)</f>
        <v/>
      </c>
      <c r="AF27" s="137">
        <f>'Assumptions'!Y71</f>
        <v/>
      </c>
      <c r="AG27" s="137">
        <f>'Assumptions'!Y74</f>
        <v/>
      </c>
      <c r="AH27" s="137">
        <f>'Assumptions'!Y75</f>
        <v/>
      </c>
      <c r="AI27" s="137">
        <f>'Assumptions'!Y77</f>
        <v/>
      </c>
      <c r="AJ27" s="137">
        <f>V27-N27-SUM(AB27:AI27)</f>
        <v/>
      </c>
      <c r="AK27" s="137">
        <f>SUM(AJ6:AJ27)</f>
        <v/>
      </c>
      <c r="AL27" s="137">
        <f>IF(ISNUMBER('Assumptions'!$B$10),'Assumptions'!$B$10+AK27,"")</f>
        <v/>
      </c>
      <c r="AM27" s="137">
        <f>SUM(O27,Q27,T27)-N27-SUM(AC27:AI27)+IF('Funding'!$N$11=0,AE27,0)-IF('Funding'!$N$11&gt;0,AB27,0)</f>
        <v/>
      </c>
      <c r="AN27" s="137">
        <f>SUM(AM6:AM27)</f>
        <v/>
      </c>
      <c r="AO27" s="137">
        <f>IF(ISNUMBER('Assumptions'!$B$10),'Assumptions'!$B$10+AN27,"")</f>
        <v/>
      </c>
      <c r="AP27" s="137">
        <f>('Production schedule'!AK27)*'Responsibilities'!$C$6+('Production schedule'!AK63)*'Responsibilities'!$C$7+('Production schedule'!AK99)*'Responsibilities'!$C$8</f>
        <v/>
      </c>
      <c r="AQ27" s="137">
        <f>SUMIFS('Production schedule'!$AL$6:$AL$113,'Production schedule'!$C$6:$C$113,22)</f>
        <v/>
      </c>
      <c r="AR27" s="137">
        <f>IF(ISNUMBER('Assumptions'!Y76),'Assumptions'!Y76,SUM(O27:P27))</f>
        <v/>
      </c>
      <c r="AS27" s="137">
        <f>IF(ISNUMBER('Assumptions'!$B$13),MIN('Assumptions'!$B$13/'Assumptions'!$B$18/12,MAX(0,'Assumptions'!$B$13-(22-1)*'Assumptions'!$B$13/'Assumptions'!$B$18/12)),0)+IF(AND('Sites'!E6=1,22&gt;=('Sites'!F6),22&lt;('Sites'!F6)+'Assumptions'!$B$18*12),'Capital'!E6/'Assumptions'!$B$18/12,0)+IF(AND('Sites'!E7=1,22&gt;=('Sites'!F7+'Cases'!G6),22&lt;('Sites'!F7+'Cases'!G6)+'Assumptions'!$B$18*12),'Capital'!E7/'Assumptions'!$B$18/12,0)+IF(AND('Sites'!E8*'Cases'!F6=1,22&gt;=('Sites'!F8+'Cases'!G6),22&lt;('Sites'!F8+'Cases'!G6)+'Assumptions'!$B$18*12),'Capital'!E8/'Assumptions'!$B$18/12,0)</f>
        <v/>
      </c>
      <c r="AT27" s="137">
        <f>SUM(AQ27,AR27,U27)-AP27-SUM(H27:L27)-AS27-SUM(Y27,AD27,AE27,AH27)</f>
        <v/>
      </c>
      <c r="AU27" s="137">
        <f>IF(ISNUMBER('Assumptions'!$B$19),MAX(0,SUM(AT18:AT27))*'Assumptions'!$B$19-SUM(AU18:AU26),"")</f>
        <v/>
      </c>
      <c r="AV27" s="137">
        <f>IF(ISNUMBER(AU27),AT27-AU27,"")</f>
        <v/>
      </c>
      <c r="AW27" s="137">
        <f>IF(ISNUMBER('Assumptions'!$B$11),'Assumptions'!$B$11+SUM(AQ6:AQ27)-SUM(S6:S27)-SUM(T6:T27),"")</f>
        <v/>
      </c>
      <c r="AX27" s="137">
        <f>IF(ISNUMBER('Assumptions'!$B$12),'Assumptions'!$B$12+SUM(G6:G27)-SUM(AP6:AP27),"")</f>
        <v/>
      </c>
      <c r="AY27" s="137">
        <f>IF(ISNUMBER('Assumptions'!$B$13),'Assumptions'!$B$13+SUM(M6:M27)-SUM(AS6:AS27),"")</f>
        <v/>
      </c>
      <c r="AZ27" s="137">
        <f>IF(ISNUMBER('Assumptions'!$B$14),'Assumptions'!$B$14+-SUM(AF6:AF27),"")</f>
        <v/>
      </c>
      <c r="BA27" s="137">
        <f>IF(ISNUMBER('Assumptions'!$B$15),'Assumptions'!$B$15+SUM(O6:O27)+SUM(P6:P27)-SUM(AR6:AR27),"")</f>
        <v/>
      </c>
      <c r="BB27" s="137">
        <f>IF(ISNUMBER('Assumptions'!$B$16),'Assumptions'!$B$16+-SUM(AC6:AC27),"")</f>
        <v/>
      </c>
      <c r="BC27" s="137">
        <f>IF(AND(ISNUMBER('Assumptions'!$B$21),ISNUMBER('Assumptions'!$B$19)),'Assumptions'!$B$21+SUM(AU6:AU27)-SUM(AG6:AG27),"")</f>
        <v/>
      </c>
      <c r="BD27" s="137">
        <f>IF(ISNUMBER('Assumptions'!$B$20),'Assumptions'!$B$20+-SUM(AI6:AI27),"")</f>
        <v/>
      </c>
      <c r="BE27" s="137">
        <f>IF(AND(ISNUMBER('Assumptions'!$B$17),COUNT(AV6:AV27)=22),'Assumptions'!$B$17+SUM(AV6:AV27),"")</f>
        <v/>
      </c>
      <c r="BF27" s="137">
        <f>IF(COUNT(AL27,AW27:AY27)=4,SUM(AL27,AW27:AY27),"")</f>
        <v/>
      </c>
      <c r="BG27" s="137">
        <f>IF(COUNT(AZ27:BD27)=5,SUM(AZ27:BD27,AA27),"")</f>
        <v/>
      </c>
      <c r="BH27" s="137">
        <f>IF(COUNT(BF27,BG27,BE27)=3,BF27-BG27-BE27,"")</f>
        <v/>
      </c>
      <c r="BI27" s="137">
        <f>SUM(W27,X27)-Z27-AA27</f>
        <v/>
      </c>
      <c r="BJ27" s="137">
        <f>8-COUNT('Assumptions'!Y58:Y65)+COUNTBLANK('NM Play'!B33:B34)+'Costs'!E44+IF(AND('Sites'!E6=1,('Sites'!F6)&lt;=24,'Sites'!G6&gt;=13),IF(ISNUMBER('Sites'!P6),0,1)+'Capital'!I6+COUNTBLANK('Sites'!R6)+IF('Sites'!D6="NM crew",COUNTBLANK('NM Play'!B25)+1,5-COUNT('Assumptions'!Y112:Y116)),0)+IF(AND('Sites'!E7=1,('Sites'!F7+'Cases'!G6)&lt;=24,'Sites'!G7&gt;=13),IF(ISNUMBER('Sites'!P7),0,1)+'Capital'!I7+COUNTBLANK('Sites'!R7)+IF('Sites'!D7="NM crew",COUNTBLANK('NM Play'!B25)+1,5-COUNT('Assumptions'!Y117:Y121)),0)+IF(AND('Sites'!E8*'Cases'!F6=1,('Sites'!F8+'Cases'!G6)&lt;=24,'Sites'!G8&gt;=13),IF(ISNUMBER('Sites'!P8),0,1)+'Capital'!I8+COUNTBLANK('Sites'!R8)+IF('Sites'!D8="NM crew",COUNTBLANK('NM Play'!B25)+1,5-COUNT('Assumptions'!Y122:Y126)),0)+IF(AND('Cases'!C6&gt;0,NOT(ISNUMBER('Assumptions'!B42))),1,0)+'Responsibilities'!$B$39</f>
        <v/>
      </c>
      <c r="BK27" s="137">
        <f>'Assumptions'!$B$50+'NM Play'!$B$83+'Funding'!$F$20+SUMIFS('Production schedule'!$AN$6:$AN$113,'Production schedule'!$C$6:$C$113,22)+IF(OR('Cases'!E6&lt;0,'Cases'!E6&gt;1,'Cases'!C6&lt;0,'Cases'!D6&lt;0,ABS(SUM('Sites'!S6:S8)-1)&gt;0.0001,MIN('Capital'!F6:F8)&lt;0,MAX('Capital'!F6:F8)&gt;1,MIN(AX27,AZ27,BB27,BA27)&lt;-0.01),1,0)+'Responsibilities'!$B$40</f>
        <v/>
      </c>
      <c r="BL27" s="137">
        <f>SUMIFS('Production schedule'!$T$6:$T$113,'Production schedule'!$C$6:$C$113,22)</f>
        <v/>
      </c>
      <c r="BM27" s="137">
        <f>D27*'NM Play'!$B$38</f>
        <v/>
      </c>
      <c r="BN27" s="137">
        <f>SUMIFS('Production schedule'!$AM$6:$AM$113,'Production schedule'!$C$6:$C$113,22)</f>
        <v/>
      </c>
      <c r="BO27" s="137">
        <f>AK27-AK26-AJ27</f>
        <v/>
      </c>
      <c r="BP27" s="137">
        <f>IF(AND('Assumptions'!$B$39&gt;=0,'Assumptions'!$B$40&gt;0),-PMT('Assumptions'!$B$39/12,'Assumptions'!$B$40*12,IF('Funding'!$N$11&gt;0,'Funding'!$N$11,'Funding'!$R$11)),"")</f>
        <v/>
      </c>
      <c r="BQ27">
        <f>('Production schedule'!AJ27)*(1-'Responsibilities'!$C$6)+('Production schedule'!AJ63)*(1-'Responsibilities'!$C$7)+('Production schedule'!AJ99)*(1-'Responsibilities'!$C$8)</f>
        <v/>
      </c>
      <c r="BR27">
        <f>('Production schedule'!AI27)*(1-'Responsibilities'!$D$6)+('Production schedule'!AI63)*(1-'Responsibilities'!$D$7)+('Production schedule'!AI99)*(1-'Responsibilities'!$D$8)</f>
        <v/>
      </c>
      <c r="BS27">
        <f>('Production schedule'!E27*(IF('Sites'!D6="Annual staff",SUM('Assumptions'!Y112,'Assumptions'!Y114),0)+SUM('Assumptions'!Y113,'Assumptions'!Y115:Y116)))*(1-'Responsibilities'!$E$6)+('Production schedule'!E63*(IF('Sites'!D7="Annual staff",SUM('Assumptions'!Y117,'Assumptions'!Y119),0)+SUM('Assumptions'!Y118,'Assumptions'!Y120:Y121)))*(1-'Responsibilities'!$E$7)+('Production schedule'!E99*(IF('Sites'!D8="Annual staff",SUM('Assumptions'!Y122,'Assumptions'!Y124),0)+SUM('Assumptions'!Y123,'Assumptions'!Y125:Y126)))*(1-'Responsibilities'!$E$8)</f>
        <v/>
      </c>
      <c r="BT27">
        <f>(IF(AND('Production schedule'!E27=1,22=MAX(('Sites'!F6),13),ISNUMBER('Sites'!P6)),'Sites'!P6*'Assumptions'!$B$44,0))*(1-'Responsibilities'!$F$6)+(IF(AND('Production schedule'!E63=1,22=MAX(('Sites'!F7+'Cases'!G6),13),ISNUMBER('Sites'!P7)),'Sites'!P7*'Assumptions'!$B$44,0))*(1-'Responsibilities'!$F$7)+(IF(AND('Production schedule'!E99=1,22=MAX(('Sites'!F8+'Cases'!G6),13),ISNUMBER('Sites'!P8)),'Sites'!P8*'Assumptions'!$B$44,0))*(1-'Responsibilities'!$F$8)</f>
        <v/>
      </c>
      <c r="BU27">
        <f>SUM('Costs'!E36)*'Costs'!F36/12*(1-'Responsibilities'!$C$12)+SUM('Costs'!E37)*'Costs'!F37/12*(1-'Responsibilities'!$C$13)+SUM('Costs'!E38)*'Costs'!F38/12*(1-'Responsibilities'!$C$14)+SUM('Costs'!E39)*'Costs'!F39/12*(1-'Responsibilities'!$C$15)+SUM('Costs'!E40)*'Costs'!F40/12*(1-'Responsibilities'!$C$16)</f>
        <v/>
      </c>
      <c r="BV27">
        <f>('Sites'!E6*'Capital'!E6*(IF(22='Capital'!G6,'Capital'!F6,0)+IF(22='Capital'!H6,1-'Capital'!F6,0)))*(1-'Responsibilities'!$G$6)+('Sites'!E7*'Capital'!E7*(IF(22='Capital'!G7+'Cases'!G6,'Capital'!F7,0)+IF(22='Capital'!H7+'Cases'!G6,1-'Capital'!F7,0)))*(1-'Responsibilities'!$G$7)+('Sites'!E8*'Cases'!F6*'Capital'!E8*(IF(22='Capital'!G8+'Cases'!G6,'Capital'!F8,0)+IF(22='Capital'!H8+'Cases'!G6,1-'Capital'!F8,0)))*(1-'Responsibilities'!$G$8)</f>
        <v/>
      </c>
      <c r="BW27">
        <f>SUM(BQ27:BV27)</f>
        <v/>
      </c>
      <c r="BX27">
        <f>N27+BW27</f>
        <v/>
      </c>
      <c r="BY27">
        <f>BX27-(('Production schedule'!AJ27)*'Responsibilities'!$C$6+('Production schedule'!AJ63)*'Responsibilities'!$C$7+('Production schedule'!AJ99)*'Responsibilities'!$C$8+('Production schedule'!AJ27)*(1-'Responsibilities'!$C$6)+('Production schedule'!AJ63)*(1-'Responsibilities'!$C$7)+('Production schedule'!AJ99)*(1-'Responsibilities'!$C$8)+('Production schedule'!AI27)*'Responsibilities'!$D$6+('Production schedule'!AI63)*'Responsibilities'!$D$7+('Production schedule'!AI99)*'Responsibilities'!$D$8+('Production schedule'!AI27)*(1-'Responsibilities'!$D$6)+('Production schedule'!AI63)*(1-'Responsibilities'!$D$7)+('Production schedule'!AI99)*(1-'Responsibilities'!$D$8)+('Production schedule'!E27*(IF('Sites'!D6="Annual staff",SUM('Assumptions'!Y112,'Assumptions'!Y114),0)+SUM('Assumptions'!Y113,'Assumptions'!Y115:Y116)))*'Responsibilities'!$E$6+('Production schedule'!E63*(IF('Sites'!D7="Annual staff",SUM('Assumptions'!Y117,'Assumptions'!Y119),0)+SUM('Assumptions'!Y118,'Assumptions'!Y120:Y121)))*'Responsibilities'!$E$7+('Production schedule'!E99*(IF('Sites'!D8="Annual staff",SUM('Assumptions'!Y122,'Assumptions'!Y124),0)+SUM('Assumptions'!Y123,'Assumptions'!Y125:Y126)))*'Responsibilities'!$E$8+('Production schedule'!E27*(IF('Sites'!D6="Annual staff",SUM('Assumptions'!Y112,'Assumptions'!Y114),0)+SUM('Assumptions'!Y113,'Assumptions'!Y115:Y116)))*(1-'Responsibilities'!$E$6)+('Production schedule'!E63*(IF('Sites'!D7="Annual staff",SUM('Assumptions'!Y117,'Assumptions'!Y119),0)+SUM('Assumptions'!Y118,'Assumptions'!Y120:Y121)))*(1-'Responsibilities'!$E$7)+('Production schedule'!E99*(IF('Sites'!D8="Annual staff",SUM('Assumptions'!Y122,'Assumptions'!Y124),0)+SUM('Assumptions'!Y123,'Assumptions'!Y125:Y126)))*(1-'Responsibilities'!$E$8)+(IF(AND('Production schedule'!E27=1,22=MAX(('Sites'!F6),13),ISNUMBER('Sites'!P6)),'Sites'!P6*'Assumptions'!$B$44,0))*'Responsibilities'!$F$6+(IF(AND('Production schedule'!E63=1,22=MAX(('Sites'!F7+'Cases'!G6),13),ISNUMBER('Sites'!P7)),'Sites'!P7*'Assumptions'!$B$44,0))*'Responsibilities'!$F$7+(IF(AND('Production schedule'!E99=1,22=MAX(('Sites'!F8+'Cases'!G6),13),ISNUMBER('Sites'!P8)),'Sites'!P8*'Assumptions'!$B$44,0))*'Responsibilities'!$F$8+(IF(AND('Production schedule'!E27=1,22=MAX(('Sites'!F6),13),ISNUMBER('Sites'!P6)),'Sites'!P6*'Assumptions'!$B$44,0))*(1-'Responsibilities'!$F$6)+(IF(AND('Production schedule'!E63=1,22=MAX(('Sites'!F7+'Cases'!G6),13),ISNUMBER('Sites'!P7)),'Sites'!P7*'Assumptions'!$B$44,0))*(1-'Responsibilities'!$F$7)+(IF(AND('Production schedule'!E99=1,22=MAX(('Sites'!F8+'Cases'!G6),13),ISNUMBER('Sites'!P8)),'Sites'!P8*'Assumptions'!$B$44,0))*(1-'Responsibilities'!$F$8)+('Sites'!E6*'Capital'!E6*(IF(22='Capital'!G6,'Capital'!F6,0)+IF(22='Capital'!H6,1-'Capital'!F6,0)))*'Responsibilities'!$G$6+('Sites'!E7*'Capital'!E7*(IF(22='Capital'!G7+'Cases'!G6,'Capital'!F7,0)+IF(22='Capital'!H7+'Cases'!G6,1-'Capital'!F7,0)))*'Responsibilities'!$G$7+('Sites'!E8*'Cases'!F6*'Capital'!E8*(IF(22='Capital'!G8+'Cases'!G6,'Capital'!F8,0)+IF(22='Capital'!H8+'Cases'!G6,1-'Capital'!F8,0)))*'Responsibilities'!$G$8+('Sites'!E6*'Capital'!E6*(IF(22='Capital'!G6,'Capital'!F6,0)+IF(22='Capital'!H6,1-'Capital'!F6,0)))*(1-'Responsibilities'!$G$6)+('Sites'!E7*'Capital'!E7*(IF(22='Capital'!G7+'Cases'!G6,'Capital'!F7,0)+IF(22='Capital'!H7+'Cases'!G6,1-'Capital'!F7,0)))*(1-'Responsibilities'!$G$7)+('Sites'!E8*'Cases'!F6*'Capital'!E8*(IF(22='Capital'!G8+'Cases'!G6,'Capital'!F8,0)+IF(22='Capital'!H8+'Cases'!G6,1-'Capital'!F8,0)))*(1-'Responsibilities'!$G$8)+I27+SUMPRODUCT('Costs'!$E$36:$E$40,'Costs'!$F$36:$F$40)/12+BZ27)</f>
        <v/>
      </c>
      <c r="BZ27">
        <f>SUMIFS('Responsibilities'!$B$31:$B$35,'Responsibilities'!$C$31:$C$35,22,'Responsibilities'!$D$31:$D$35,"Yes")</f>
        <v/>
      </c>
    </row>
    <row r="28" ht="28" customHeight="1">
      <c r="A28" s="4" t="inlineStr">
        <is>
          <t>Full</t>
        </is>
      </c>
      <c r="B28" s="4" t="n">
        <v>23</v>
      </c>
      <c r="C28" s="4">
        <f>ROUNDUP(B28/12,0)</f>
        <v/>
      </c>
      <c r="D28" s="137">
        <f>SUMIFS('Production schedule'!$N$6:$N$113,'Production schedule'!$C$6:$C$113,23)</f>
        <v/>
      </c>
      <c r="E28" s="137">
        <f>SUMIFS('Production schedule'!$Y$6:$Y$113,'Production schedule'!$C$6:$C$113,23)</f>
        <v/>
      </c>
      <c r="F28" s="137">
        <f>SUMIFS('Production schedule'!$Z$6:$Z$113,'Production schedule'!$C$6:$C$113,23)</f>
        <v/>
      </c>
      <c r="G28" s="137">
        <f>('Production schedule'!AJ28)*'Responsibilities'!$C$6+('Production schedule'!AJ64)*'Responsibilities'!$C$7+('Production schedule'!AJ100)*'Responsibilities'!$C$8</f>
        <v/>
      </c>
      <c r="H28" s="137">
        <f>('Production schedule'!AI28)*'Responsibilities'!$D$6+('Production schedule'!AI64)*'Responsibilities'!$D$7+('Production schedule'!AI100)*'Responsibilities'!$D$8</f>
        <v/>
      </c>
      <c r="I28" s="137">
        <f>SUM('Assumptions'!Z58:Z65)</f>
        <v/>
      </c>
      <c r="J28" s="137">
        <f>('Production schedule'!E28*(IF('Sites'!D6="Annual staff",SUM('Assumptions'!Z112,'Assumptions'!Z114),0)+SUM('Assumptions'!Z113,'Assumptions'!Z115:Z116)))*'Responsibilities'!$E$6+('Production schedule'!E64*(IF('Sites'!D7="Annual staff",SUM('Assumptions'!Z117,'Assumptions'!Z119),0)+SUM('Assumptions'!Z118,'Assumptions'!Z120:Z121)))*'Responsibilities'!$E$7+('Production schedule'!E100*(IF('Sites'!D8="Annual staff",SUM('Assumptions'!Z122,'Assumptions'!Z124),0)+SUM('Assumptions'!Z123,'Assumptions'!Z125:Z126)))*'Responsibilities'!$E$8</f>
        <v/>
      </c>
      <c r="K28" s="137">
        <f>(IF(AND('Production schedule'!E28=1,23=MAX(('Sites'!F6),13),ISNUMBER('Sites'!P6)),'Sites'!P6*'Assumptions'!$B$44,0))*'Responsibilities'!$F$6+(IF(AND('Production schedule'!E64=1,23=MAX(('Sites'!F7+'Cases'!G6),13),ISNUMBER('Sites'!P7)),'Sites'!P7*'Assumptions'!$B$44,0))*'Responsibilities'!$F$7+(IF(AND('Production schedule'!E100=1,23=MAX(('Sites'!F8+'Cases'!G6),13),ISNUMBER('Sites'!P8)),'Sites'!P8*'Assumptions'!$B$44,0))*'Responsibilities'!$F$8</f>
        <v/>
      </c>
      <c r="L28" s="137">
        <f>SUM('Costs'!E36)*'Costs'!F36/12*'Responsibilities'!$C$12+SUM('Costs'!E37)*'Costs'!F37/12*'Responsibilities'!$C$13+SUM('Costs'!E38)*'Costs'!F38/12*'Responsibilities'!$C$14+SUM('Costs'!E39)*'Costs'!F39/12*'Responsibilities'!$C$15+SUM('Costs'!E40)*'Costs'!F40/12*'Responsibilities'!$C$16+BZ28</f>
        <v/>
      </c>
      <c r="M28" s="137">
        <f>('Sites'!E6*'Capital'!E6*(IF(23='Capital'!G6,'Capital'!F6,0)+IF(23='Capital'!H6,1-'Capital'!F6,0)))*'Responsibilities'!$G$6+('Sites'!E7*'Capital'!E7*(IF(23='Capital'!G7+'Cases'!G6,'Capital'!F7,0)+IF(23='Capital'!H7+'Cases'!G6,1-'Capital'!F7,0)))*'Responsibilities'!$G$7+('Sites'!E8*'Cases'!F6*'Capital'!E8*(IF(23='Capital'!G8+'Cases'!G6,'Capital'!F8,0)+IF(23='Capital'!H8+'Cases'!G6,1-'Capital'!F8,0)))*'Responsibilities'!$G$8</f>
        <v/>
      </c>
      <c r="N28" s="137">
        <f>SUM(G28:M28)</f>
        <v/>
      </c>
      <c r="O28" s="137">
        <f>SUMIFS(FundingTranches[Secured amount],FundingTranches[Instrument],"Grant",FundingTranches[Secured month],23)</f>
        <v/>
      </c>
      <c r="P28" s="137">
        <f>SUMIFS(FundingTranches[Full possible],FundingTranches[Instrument],"Grant",FundingTranches[Scenario month],23-'Cases'!$D$6)</f>
        <v/>
      </c>
      <c r="Q28" s="137">
        <f>SUMIFS(FundingTranches[Secured amount],FundingTranches[Instrument],"Loan",FundingTranches[Secured month],23)</f>
        <v/>
      </c>
      <c r="R28" s="137">
        <f>SUMIFS(FundingTranches[Full possible],FundingTranches[Instrument],"Loan",FundingTranches[Scenario month],23-'Cases'!$D$6)</f>
        <v/>
      </c>
      <c r="S28" s="137">
        <f>IF(23&lt;='Assumptions'!$B$34,0,SUMIFS('Production schedule'!$AL$6:$AL$113,'Production schedule'!$C$6:$C$113,23-'Assumptions'!$B$34))</f>
        <v/>
      </c>
      <c r="T28" s="137">
        <f>'Assumptions'!Z70</f>
        <v/>
      </c>
      <c r="U28" s="137">
        <f>'Assumptions'!Z78</f>
        <v/>
      </c>
      <c r="V28" s="137">
        <f>SUM(O28:U28)</f>
        <v/>
      </c>
      <c r="W28" s="137">
        <f>AA27</f>
        <v/>
      </c>
      <c r="X28" s="137">
        <f>SUM(Q28:R28)</f>
        <v/>
      </c>
      <c r="Y28" s="137">
        <f>SUM(W28,X28)*'Assumptions'!$B$39/12</f>
        <v/>
      </c>
      <c r="Z28" s="137">
        <f>IF(SUM(W28,X28)&gt;0,MIN(SUM(W28,X28),MAX(0,BP28-Y28)),0)</f>
        <v/>
      </c>
      <c r="AA28" s="137">
        <f>SUM(W28,X28)-Z28</f>
        <v/>
      </c>
      <c r="AB28" s="137">
        <f>SUM(Y28:Z28)</f>
        <v/>
      </c>
      <c r="AC28" s="137">
        <f>'Assumptions'!Z72</f>
        <v/>
      </c>
      <c r="AD28" s="137">
        <f>'Assumptions'!Z73</f>
        <v/>
      </c>
      <c r="AE28" s="137">
        <f>IF(X28&gt;0,SUM('Assumptions'!$B$42),0)</f>
        <v/>
      </c>
      <c r="AF28" s="137">
        <f>'Assumptions'!Z71</f>
        <v/>
      </c>
      <c r="AG28" s="137">
        <f>'Assumptions'!Z74</f>
        <v/>
      </c>
      <c r="AH28" s="137">
        <f>'Assumptions'!Z75</f>
        <v/>
      </c>
      <c r="AI28" s="137">
        <f>'Assumptions'!Z77</f>
        <v/>
      </c>
      <c r="AJ28" s="137">
        <f>V28-N28-SUM(AB28:AI28)</f>
        <v/>
      </c>
      <c r="AK28" s="137">
        <f>SUM(AJ6:AJ28)</f>
        <v/>
      </c>
      <c r="AL28" s="137">
        <f>IF(ISNUMBER('Assumptions'!$B$10),'Assumptions'!$B$10+AK28,"")</f>
        <v/>
      </c>
      <c r="AM28" s="137">
        <f>SUM(O28,Q28,T28)-N28-SUM(AC28:AI28)+IF('Funding'!$N$11=0,AE28,0)-IF('Funding'!$N$11&gt;0,AB28,0)</f>
        <v/>
      </c>
      <c r="AN28" s="137">
        <f>SUM(AM6:AM28)</f>
        <v/>
      </c>
      <c r="AO28" s="137">
        <f>IF(ISNUMBER('Assumptions'!$B$10),'Assumptions'!$B$10+AN28,"")</f>
        <v/>
      </c>
      <c r="AP28" s="137">
        <f>('Production schedule'!AK28)*'Responsibilities'!$C$6+('Production schedule'!AK64)*'Responsibilities'!$C$7+('Production schedule'!AK100)*'Responsibilities'!$C$8</f>
        <v/>
      </c>
      <c r="AQ28" s="137">
        <f>SUMIFS('Production schedule'!$AL$6:$AL$113,'Production schedule'!$C$6:$C$113,23)</f>
        <v/>
      </c>
      <c r="AR28" s="137">
        <f>IF(ISNUMBER('Assumptions'!Z76),'Assumptions'!Z76,SUM(O28:P28))</f>
        <v/>
      </c>
      <c r="AS28" s="137">
        <f>IF(ISNUMBER('Assumptions'!$B$13),MIN('Assumptions'!$B$13/'Assumptions'!$B$18/12,MAX(0,'Assumptions'!$B$13-(23-1)*'Assumptions'!$B$13/'Assumptions'!$B$18/12)),0)+IF(AND('Sites'!E6=1,23&gt;=('Sites'!F6),23&lt;('Sites'!F6)+'Assumptions'!$B$18*12),'Capital'!E6/'Assumptions'!$B$18/12,0)+IF(AND('Sites'!E7=1,23&gt;=('Sites'!F7+'Cases'!G6),23&lt;('Sites'!F7+'Cases'!G6)+'Assumptions'!$B$18*12),'Capital'!E7/'Assumptions'!$B$18/12,0)+IF(AND('Sites'!E8*'Cases'!F6=1,23&gt;=('Sites'!F8+'Cases'!G6),23&lt;('Sites'!F8+'Cases'!G6)+'Assumptions'!$B$18*12),'Capital'!E8/'Assumptions'!$B$18/12,0)</f>
        <v/>
      </c>
      <c r="AT28" s="137">
        <f>SUM(AQ28,AR28,U28)-AP28-SUM(H28:L28)-AS28-SUM(Y28,AD28,AE28,AH28)</f>
        <v/>
      </c>
      <c r="AU28" s="137">
        <f>IF(ISNUMBER('Assumptions'!$B$19),MAX(0,SUM(AT18:AT28))*'Assumptions'!$B$19-SUM(AU18:AU27),"")</f>
        <v/>
      </c>
      <c r="AV28" s="137">
        <f>IF(ISNUMBER(AU28),AT28-AU28,"")</f>
        <v/>
      </c>
      <c r="AW28" s="137">
        <f>IF(ISNUMBER('Assumptions'!$B$11),'Assumptions'!$B$11+SUM(AQ6:AQ28)-SUM(S6:S28)-SUM(T6:T28),"")</f>
        <v/>
      </c>
      <c r="AX28" s="137">
        <f>IF(ISNUMBER('Assumptions'!$B$12),'Assumptions'!$B$12+SUM(G6:G28)-SUM(AP6:AP28),"")</f>
        <v/>
      </c>
      <c r="AY28" s="137">
        <f>IF(ISNUMBER('Assumptions'!$B$13),'Assumptions'!$B$13+SUM(M6:M28)-SUM(AS6:AS28),"")</f>
        <v/>
      </c>
      <c r="AZ28" s="137">
        <f>IF(ISNUMBER('Assumptions'!$B$14),'Assumptions'!$B$14+-SUM(AF6:AF28),"")</f>
        <v/>
      </c>
      <c r="BA28" s="137">
        <f>IF(ISNUMBER('Assumptions'!$B$15),'Assumptions'!$B$15+SUM(O6:O28)+SUM(P6:P28)-SUM(AR6:AR28),"")</f>
        <v/>
      </c>
      <c r="BB28" s="137">
        <f>IF(ISNUMBER('Assumptions'!$B$16),'Assumptions'!$B$16+-SUM(AC6:AC28),"")</f>
        <v/>
      </c>
      <c r="BC28" s="137">
        <f>IF(AND(ISNUMBER('Assumptions'!$B$21),ISNUMBER('Assumptions'!$B$19)),'Assumptions'!$B$21+SUM(AU6:AU28)-SUM(AG6:AG28),"")</f>
        <v/>
      </c>
      <c r="BD28" s="137">
        <f>IF(ISNUMBER('Assumptions'!$B$20),'Assumptions'!$B$20+-SUM(AI6:AI28),"")</f>
        <v/>
      </c>
      <c r="BE28" s="137">
        <f>IF(AND(ISNUMBER('Assumptions'!$B$17),COUNT(AV6:AV28)=23),'Assumptions'!$B$17+SUM(AV6:AV28),"")</f>
        <v/>
      </c>
      <c r="BF28" s="137">
        <f>IF(COUNT(AL28,AW28:AY28)=4,SUM(AL28,AW28:AY28),"")</f>
        <v/>
      </c>
      <c r="BG28" s="137">
        <f>IF(COUNT(AZ28:BD28)=5,SUM(AZ28:BD28,AA28),"")</f>
        <v/>
      </c>
      <c r="BH28" s="137">
        <f>IF(COUNT(BF28,BG28,BE28)=3,BF28-BG28-BE28,"")</f>
        <v/>
      </c>
      <c r="BI28" s="137">
        <f>SUM(W28,X28)-Z28-AA28</f>
        <v/>
      </c>
      <c r="BJ28" s="137">
        <f>8-COUNT('Assumptions'!Z58:Z65)+COUNTBLANK('NM Play'!B33:B34)+'Costs'!E44+IF(AND('Sites'!E6=1,('Sites'!F6)&lt;=24,'Sites'!G6&gt;=13),IF(ISNUMBER('Sites'!P6),0,1)+'Capital'!I6+COUNTBLANK('Sites'!R6)+IF('Sites'!D6="NM crew",COUNTBLANK('NM Play'!B25)+1,5-COUNT('Assumptions'!Z112:Z116)),0)+IF(AND('Sites'!E7=1,('Sites'!F7+'Cases'!G6)&lt;=24,'Sites'!G7&gt;=13),IF(ISNUMBER('Sites'!P7),0,1)+'Capital'!I7+COUNTBLANK('Sites'!R7)+IF('Sites'!D7="NM crew",COUNTBLANK('NM Play'!B25)+1,5-COUNT('Assumptions'!Z117:Z121)),0)+IF(AND('Sites'!E8*'Cases'!F6=1,('Sites'!F8+'Cases'!G6)&lt;=24,'Sites'!G8&gt;=13),IF(ISNUMBER('Sites'!P8),0,1)+'Capital'!I8+COUNTBLANK('Sites'!R8)+IF('Sites'!D8="NM crew",COUNTBLANK('NM Play'!B25)+1,5-COUNT('Assumptions'!Z122:Z126)),0)+IF(AND('Cases'!C6&gt;0,NOT(ISNUMBER('Assumptions'!B42))),1,0)+'Responsibilities'!$B$39</f>
        <v/>
      </c>
      <c r="BK28" s="137">
        <f>'Assumptions'!$B$50+'NM Play'!$B$83+'Funding'!$F$20+SUMIFS('Production schedule'!$AN$6:$AN$113,'Production schedule'!$C$6:$C$113,23)+IF(OR('Cases'!E6&lt;0,'Cases'!E6&gt;1,'Cases'!C6&lt;0,'Cases'!D6&lt;0,ABS(SUM('Sites'!S6:S8)-1)&gt;0.0001,MIN('Capital'!F6:F8)&lt;0,MAX('Capital'!F6:F8)&gt;1,MIN(AX28,AZ28,BB28,BA28)&lt;-0.01),1,0)+'Responsibilities'!$B$40</f>
        <v/>
      </c>
      <c r="BL28" s="137">
        <f>SUMIFS('Production schedule'!$T$6:$T$113,'Production schedule'!$C$6:$C$113,23)</f>
        <v/>
      </c>
      <c r="BM28" s="137">
        <f>D28*'NM Play'!$B$38</f>
        <v/>
      </c>
      <c r="BN28" s="137">
        <f>SUMIFS('Production schedule'!$AM$6:$AM$113,'Production schedule'!$C$6:$C$113,23)</f>
        <v/>
      </c>
      <c r="BO28" s="137">
        <f>AK28-AK27-AJ28</f>
        <v/>
      </c>
      <c r="BP28" s="137">
        <f>IF(AND('Assumptions'!$B$39&gt;=0,'Assumptions'!$B$40&gt;0),-PMT('Assumptions'!$B$39/12,'Assumptions'!$B$40*12,IF('Funding'!$N$11&gt;0,'Funding'!$N$11,'Funding'!$R$11)),"")</f>
        <v/>
      </c>
      <c r="BQ28">
        <f>('Production schedule'!AJ28)*(1-'Responsibilities'!$C$6)+('Production schedule'!AJ64)*(1-'Responsibilities'!$C$7)+('Production schedule'!AJ100)*(1-'Responsibilities'!$C$8)</f>
        <v/>
      </c>
      <c r="BR28">
        <f>('Production schedule'!AI28)*(1-'Responsibilities'!$D$6)+('Production schedule'!AI64)*(1-'Responsibilities'!$D$7)+('Production schedule'!AI100)*(1-'Responsibilities'!$D$8)</f>
        <v/>
      </c>
      <c r="BS28">
        <f>('Production schedule'!E28*(IF('Sites'!D6="Annual staff",SUM('Assumptions'!Z112,'Assumptions'!Z114),0)+SUM('Assumptions'!Z113,'Assumptions'!Z115:Z116)))*(1-'Responsibilities'!$E$6)+('Production schedule'!E64*(IF('Sites'!D7="Annual staff",SUM('Assumptions'!Z117,'Assumptions'!Z119),0)+SUM('Assumptions'!Z118,'Assumptions'!Z120:Z121)))*(1-'Responsibilities'!$E$7)+('Production schedule'!E100*(IF('Sites'!D8="Annual staff",SUM('Assumptions'!Z122,'Assumptions'!Z124),0)+SUM('Assumptions'!Z123,'Assumptions'!Z125:Z126)))*(1-'Responsibilities'!$E$8)</f>
        <v/>
      </c>
      <c r="BT28">
        <f>(IF(AND('Production schedule'!E28=1,23=MAX(('Sites'!F6),13),ISNUMBER('Sites'!P6)),'Sites'!P6*'Assumptions'!$B$44,0))*(1-'Responsibilities'!$F$6)+(IF(AND('Production schedule'!E64=1,23=MAX(('Sites'!F7+'Cases'!G6),13),ISNUMBER('Sites'!P7)),'Sites'!P7*'Assumptions'!$B$44,0))*(1-'Responsibilities'!$F$7)+(IF(AND('Production schedule'!E100=1,23=MAX(('Sites'!F8+'Cases'!G6),13),ISNUMBER('Sites'!P8)),'Sites'!P8*'Assumptions'!$B$44,0))*(1-'Responsibilities'!$F$8)</f>
        <v/>
      </c>
      <c r="BU28">
        <f>SUM('Costs'!E36)*'Costs'!F36/12*(1-'Responsibilities'!$C$12)+SUM('Costs'!E37)*'Costs'!F37/12*(1-'Responsibilities'!$C$13)+SUM('Costs'!E38)*'Costs'!F38/12*(1-'Responsibilities'!$C$14)+SUM('Costs'!E39)*'Costs'!F39/12*(1-'Responsibilities'!$C$15)+SUM('Costs'!E40)*'Costs'!F40/12*(1-'Responsibilities'!$C$16)</f>
        <v/>
      </c>
      <c r="BV28">
        <f>('Sites'!E6*'Capital'!E6*(IF(23='Capital'!G6,'Capital'!F6,0)+IF(23='Capital'!H6,1-'Capital'!F6,0)))*(1-'Responsibilities'!$G$6)+('Sites'!E7*'Capital'!E7*(IF(23='Capital'!G7+'Cases'!G6,'Capital'!F7,0)+IF(23='Capital'!H7+'Cases'!G6,1-'Capital'!F7,0)))*(1-'Responsibilities'!$G$7)+('Sites'!E8*'Cases'!F6*'Capital'!E8*(IF(23='Capital'!G8+'Cases'!G6,'Capital'!F8,0)+IF(23='Capital'!H8+'Cases'!G6,1-'Capital'!F8,0)))*(1-'Responsibilities'!$G$8)</f>
        <v/>
      </c>
      <c r="BW28">
        <f>SUM(BQ28:BV28)</f>
        <v/>
      </c>
      <c r="BX28">
        <f>N28+BW28</f>
        <v/>
      </c>
      <c r="BY28">
        <f>BX28-(('Production schedule'!AJ28)*'Responsibilities'!$C$6+('Production schedule'!AJ64)*'Responsibilities'!$C$7+('Production schedule'!AJ100)*'Responsibilities'!$C$8+('Production schedule'!AJ28)*(1-'Responsibilities'!$C$6)+('Production schedule'!AJ64)*(1-'Responsibilities'!$C$7)+('Production schedule'!AJ100)*(1-'Responsibilities'!$C$8)+('Production schedule'!AI28)*'Responsibilities'!$D$6+('Production schedule'!AI64)*'Responsibilities'!$D$7+('Production schedule'!AI100)*'Responsibilities'!$D$8+('Production schedule'!AI28)*(1-'Responsibilities'!$D$6)+('Production schedule'!AI64)*(1-'Responsibilities'!$D$7)+('Production schedule'!AI100)*(1-'Responsibilities'!$D$8)+('Production schedule'!E28*(IF('Sites'!D6="Annual staff",SUM('Assumptions'!Z112,'Assumptions'!Z114),0)+SUM('Assumptions'!Z113,'Assumptions'!Z115:Z116)))*'Responsibilities'!$E$6+('Production schedule'!E64*(IF('Sites'!D7="Annual staff",SUM('Assumptions'!Z117,'Assumptions'!Z119),0)+SUM('Assumptions'!Z118,'Assumptions'!Z120:Z121)))*'Responsibilities'!$E$7+('Production schedule'!E100*(IF('Sites'!D8="Annual staff",SUM('Assumptions'!Z122,'Assumptions'!Z124),0)+SUM('Assumptions'!Z123,'Assumptions'!Z125:Z126)))*'Responsibilities'!$E$8+('Production schedule'!E28*(IF('Sites'!D6="Annual staff",SUM('Assumptions'!Z112,'Assumptions'!Z114),0)+SUM('Assumptions'!Z113,'Assumptions'!Z115:Z116)))*(1-'Responsibilities'!$E$6)+('Production schedule'!E64*(IF('Sites'!D7="Annual staff",SUM('Assumptions'!Z117,'Assumptions'!Z119),0)+SUM('Assumptions'!Z118,'Assumptions'!Z120:Z121)))*(1-'Responsibilities'!$E$7)+('Production schedule'!E100*(IF('Sites'!D8="Annual staff",SUM('Assumptions'!Z122,'Assumptions'!Z124),0)+SUM('Assumptions'!Z123,'Assumptions'!Z125:Z126)))*(1-'Responsibilities'!$E$8)+(IF(AND('Production schedule'!E28=1,23=MAX(('Sites'!F6),13),ISNUMBER('Sites'!P6)),'Sites'!P6*'Assumptions'!$B$44,0))*'Responsibilities'!$F$6+(IF(AND('Production schedule'!E64=1,23=MAX(('Sites'!F7+'Cases'!G6),13),ISNUMBER('Sites'!P7)),'Sites'!P7*'Assumptions'!$B$44,0))*'Responsibilities'!$F$7+(IF(AND('Production schedule'!E100=1,23=MAX(('Sites'!F8+'Cases'!G6),13),ISNUMBER('Sites'!P8)),'Sites'!P8*'Assumptions'!$B$44,0))*'Responsibilities'!$F$8+(IF(AND('Production schedule'!E28=1,23=MAX(('Sites'!F6),13),ISNUMBER('Sites'!P6)),'Sites'!P6*'Assumptions'!$B$44,0))*(1-'Responsibilities'!$F$6)+(IF(AND('Production schedule'!E64=1,23=MAX(('Sites'!F7+'Cases'!G6),13),ISNUMBER('Sites'!P7)),'Sites'!P7*'Assumptions'!$B$44,0))*(1-'Responsibilities'!$F$7)+(IF(AND('Production schedule'!E100=1,23=MAX(('Sites'!F8+'Cases'!G6),13),ISNUMBER('Sites'!P8)),'Sites'!P8*'Assumptions'!$B$44,0))*(1-'Responsibilities'!$F$8)+('Sites'!E6*'Capital'!E6*(IF(23='Capital'!G6,'Capital'!F6,0)+IF(23='Capital'!H6,1-'Capital'!F6,0)))*'Responsibilities'!$G$6+('Sites'!E7*'Capital'!E7*(IF(23='Capital'!G7+'Cases'!G6,'Capital'!F7,0)+IF(23='Capital'!H7+'Cases'!G6,1-'Capital'!F7,0)))*'Responsibilities'!$G$7+('Sites'!E8*'Cases'!F6*'Capital'!E8*(IF(23='Capital'!G8+'Cases'!G6,'Capital'!F8,0)+IF(23='Capital'!H8+'Cases'!G6,1-'Capital'!F8,0)))*'Responsibilities'!$G$8+('Sites'!E6*'Capital'!E6*(IF(23='Capital'!G6,'Capital'!F6,0)+IF(23='Capital'!H6,1-'Capital'!F6,0)))*(1-'Responsibilities'!$G$6)+('Sites'!E7*'Capital'!E7*(IF(23='Capital'!G7+'Cases'!G6,'Capital'!F7,0)+IF(23='Capital'!H7+'Cases'!G6,1-'Capital'!F7,0)))*(1-'Responsibilities'!$G$7)+('Sites'!E8*'Cases'!F6*'Capital'!E8*(IF(23='Capital'!G8+'Cases'!G6,'Capital'!F8,0)+IF(23='Capital'!H8+'Cases'!G6,1-'Capital'!F8,0)))*(1-'Responsibilities'!$G$8)+I28+SUMPRODUCT('Costs'!$E$36:$E$40,'Costs'!$F$36:$F$40)/12+BZ28)</f>
        <v/>
      </c>
      <c r="BZ28">
        <f>SUMIFS('Responsibilities'!$B$31:$B$35,'Responsibilities'!$C$31:$C$35,23,'Responsibilities'!$D$31:$D$35,"Yes")</f>
        <v/>
      </c>
    </row>
    <row r="29" ht="28" customHeight="1">
      <c r="A29" s="4" t="inlineStr">
        <is>
          <t>Full</t>
        </is>
      </c>
      <c r="B29" s="4" t="n">
        <v>24</v>
      </c>
      <c r="C29" s="4">
        <f>ROUNDUP(B29/12,0)</f>
        <v/>
      </c>
      <c r="D29" s="137">
        <f>SUMIFS('Production schedule'!$N$6:$N$113,'Production schedule'!$C$6:$C$113,24)</f>
        <v/>
      </c>
      <c r="E29" s="137">
        <f>SUMIFS('Production schedule'!$Y$6:$Y$113,'Production schedule'!$C$6:$C$113,24)</f>
        <v/>
      </c>
      <c r="F29" s="137">
        <f>SUMIFS('Production schedule'!$Z$6:$Z$113,'Production schedule'!$C$6:$C$113,24)</f>
        <v/>
      </c>
      <c r="G29" s="137">
        <f>('Production schedule'!AJ29)*'Responsibilities'!$C$6+('Production schedule'!AJ65)*'Responsibilities'!$C$7+('Production schedule'!AJ101)*'Responsibilities'!$C$8</f>
        <v/>
      </c>
      <c r="H29" s="137">
        <f>('Production schedule'!AI29)*'Responsibilities'!$D$6+('Production schedule'!AI65)*'Responsibilities'!$D$7+('Production schedule'!AI101)*'Responsibilities'!$D$8</f>
        <v/>
      </c>
      <c r="I29" s="137">
        <f>SUM('Assumptions'!AA58:AA65)</f>
        <v/>
      </c>
      <c r="J29" s="137">
        <f>('Production schedule'!E29*(IF('Sites'!D6="Annual staff",SUM('Assumptions'!AA112,'Assumptions'!AA114),0)+SUM('Assumptions'!AA113,'Assumptions'!AA115:AA116)))*'Responsibilities'!$E$6+('Production schedule'!E65*(IF('Sites'!D7="Annual staff",SUM('Assumptions'!AA117,'Assumptions'!AA119),0)+SUM('Assumptions'!AA118,'Assumptions'!AA120:AA121)))*'Responsibilities'!$E$7+('Production schedule'!E101*(IF('Sites'!D8="Annual staff",SUM('Assumptions'!AA122,'Assumptions'!AA124),0)+SUM('Assumptions'!AA123,'Assumptions'!AA125:AA126)))*'Responsibilities'!$E$8</f>
        <v/>
      </c>
      <c r="K29" s="137">
        <f>(IF(AND('Production schedule'!E29=1,24=MAX(('Sites'!F6),13),ISNUMBER('Sites'!P6)),'Sites'!P6*'Assumptions'!$B$44,0))*'Responsibilities'!$F$6+(IF(AND('Production schedule'!E65=1,24=MAX(('Sites'!F7+'Cases'!G6),13),ISNUMBER('Sites'!P7)),'Sites'!P7*'Assumptions'!$B$44,0))*'Responsibilities'!$F$7+(IF(AND('Production schedule'!E101=1,24=MAX(('Sites'!F8+'Cases'!G6),13),ISNUMBER('Sites'!P8)),'Sites'!P8*'Assumptions'!$B$44,0))*'Responsibilities'!$F$8</f>
        <v/>
      </c>
      <c r="L29" s="137">
        <f>SUM('Costs'!E36)*'Costs'!F36/12*'Responsibilities'!$C$12+SUM('Costs'!E37)*'Costs'!F37/12*'Responsibilities'!$C$13+SUM('Costs'!E38)*'Costs'!F38/12*'Responsibilities'!$C$14+SUM('Costs'!E39)*'Costs'!F39/12*'Responsibilities'!$C$15+SUM('Costs'!E40)*'Costs'!F40/12*'Responsibilities'!$C$16+BZ29</f>
        <v/>
      </c>
      <c r="M29" s="137">
        <f>('Sites'!E6*'Capital'!E6*(IF(24='Capital'!G6,'Capital'!F6,0)+IF(24='Capital'!H6,1-'Capital'!F6,0)))*'Responsibilities'!$G$6+('Sites'!E7*'Capital'!E7*(IF(24='Capital'!G7+'Cases'!G6,'Capital'!F7,0)+IF(24='Capital'!H7+'Cases'!G6,1-'Capital'!F7,0)))*'Responsibilities'!$G$7+('Sites'!E8*'Cases'!F6*'Capital'!E8*(IF(24='Capital'!G8+'Cases'!G6,'Capital'!F8,0)+IF(24='Capital'!H8+'Cases'!G6,1-'Capital'!F8,0)))*'Responsibilities'!$G$8</f>
        <v/>
      </c>
      <c r="N29" s="137">
        <f>SUM(G29:M29)</f>
        <v/>
      </c>
      <c r="O29" s="137">
        <f>SUMIFS(FundingTranches[Secured amount],FundingTranches[Instrument],"Grant",FundingTranches[Secured month],24)</f>
        <v/>
      </c>
      <c r="P29" s="137">
        <f>SUMIFS(FundingTranches[Full possible],FundingTranches[Instrument],"Grant",FundingTranches[Scenario month],24-'Cases'!$D$6)</f>
        <v/>
      </c>
      <c r="Q29" s="137">
        <f>SUMIFS(FundingTranches[Secured amount],FundingTranches[Instrument],"Loan",FundingTranches[Secured month],24)</f>
        <v/>
      </c>
      <c r="R29" s="137">
        <f>SUMIFS(FundingTranches[Full possible],FundingTranches[Instrument],"Loan",FundingTranches[Scenario month],24-'Cases'!$D$6)</f>
        <v/>
      </c>
      <c r="S29" s="137">
        <f>IF(24&lt;='Assumptions'!$B$34,0,SUMIFS('Production schedule'!$AL$6:$AL$113,'Production schedule'!$C$6:$C$113,24-'Assumptions'!$B$34))</f>
        <v/>
      </c>
      <c r="T29" s="137">
        <f>'Assumptions'!AA70</f>
        <v/>
      </c>
      <c r="U29" s="137">
        <f>'Assumptions'!AA78</f>
        <v/>
      </c>
      <c r="V29" s="137">
        <f>SUM(O29:U29)</f>
        <v/>
      </c>
      <c r="W29" s="137">
        <f>AA28</f>
        <v/>
      </c>
      <c r="X29" s="137">
        <f>SUM(Q29:R29)</f>
        <v/>
      </c>
      <c r="Y29" s="137">
        <f>SUM(W29,X29)*'Assumptions'!$B$39/12</f>
        <v/>
      </c>
      <c r="Z29" s="137">
        <f>IF(SUM(W29,X29)&gt;0,MIN(SUM(W29,X29),MAX(0,BP29-Y29)),0)</f>
        <v/>
      </c>
      <c r="AA29" s="137">
        <f>SUM(W29,X29)-Z29</f>
        <v/>
      </c>
      <c r="AB29" s="137">
        <f>SUM(Y29:Z29)</f>
        <v/>
      </c>
      <c r="AC29" s="137">
        <f>'Assumptions'!AA72</f>
        <v/>
      </c>
      <c r="AD29" s="137">
        <f>'Assumptions'!AA73</f>
        <v/>
      </c>
      <c r="AE29" s="137">
        <f>IF(X29&gt;0,SUM('Assumptions'!$B$42),0)</f>
        <v/>
      </c>
      <c r="AF29" s="137">
        <f>'Assumptions'!AA71</f>
        <v/>
      </c>
      <c r="AG29" s="137">
        <f>'Assumptions'!AA74</f>
        <v/>
      </c>
      <c r="AH29" s="137">
        <f>'Assumptions'!AA75</f>
        <v/>
      </c>
      <c r="AI29" s="137">
        <f>'Assumptions'!AA77</f>
        <v/>
      </c>
      <c r="AJ29" s="137">
        <f>V29-N29-SUM(AB29:AI29)</f>
        <v/>
      </c>
      <c r="AK29" s="137">
        <f>SUM(AJ6:AJ29)</f>
        <v/>
      </c>
      <c r="AL29" s="137">
        <f>IF(ISNUMBER('Assumptions'!$B$10),'Assumptions'!$B$10+AK29,"")</f>
        <v/>
      </c>
      <c r="AM29" s="137">
        <f>SUM(O29,Q29,T29)-N29-SUM(AC29:AI29)+IF('Funding'!$N$11=0,AE29,0)-IF('Funding'!$N$11&gt;0,AB29,0)</f>
        <v/>
      </c>
      <c r="AN29" s="137">
        <f>SUM(AM6:AM29)</f>
        <v/>
      </c>
      <c r="AO29" s="137">
        <f>IF(ISNUMBER('Assumptions'!$B$10),'Assumptions'!$B$10+AN29,"")</f>
        <v/>
      </c>
      <c r="AP29" s="137">
        <f>('Production schedule'!AK29)*'Responsibilities'!$C$6+('Production schedule'!AK65)*'Responsibilities'!$C$7+('Production schedule'!AK101)*'Responsibilities'!$C$8</f>
        <v/>
      </c>
      <c r="AQ29" s="137">
        <f>SUMIFS('Production schedule'!$AL$6:$AL$113,'Production schedule'!$C$6:$C$113,24)</f>
        <v/>
      </c>
      <c r="AR29" s="137">
        <f>IF(ISNUMBER('Assumptions'!AA76),'Assumptions'!AA76,SUM(O29:P29))</f>
        <v/>
      </c>
      <c r="AS29" s="137">
        <f>IF(ISNUMBER('Assumptions'!$B$13),MIN('Assumptions'!$B$13/'Assumptions'!$B$18/12,MAX(0,'Assumptions'!$B$13-(24-1)*'Assumptions'!$B$13/'Assumptions'!$B$18/12)),0)+IF(AND('Sites'!E6=1,24&gt;=('Sites'!F6),24&lt;('Sites'!F6)+'Assumptions'!$B$18*12),'Capital'!E6/'Assumptions'!$B$18/12,0)+IF(AND('Sites'!E7=1,24&gt;=('Sites'!F7+'Cases'!G6),24&lt;('Sites'!F7+'Cases'!G6)+'Assumptions'!$B$18*12),'Capital'!E7/'Assumptions'!$B$18/12,0)+IF(AND('Sites'!E8*'Cases'!F6=1,24&gt;=('Sites'!F8+'Cases'!G6),24&lt;('Sites'!F8+'Cases'!G6)+'Assumptions'!$B$18*12),'Capital'!E8/'Assumptions'!$B$18/12,0)</f>
        <v/>
      </c>
      <c r="AT29" s="137">
        <f>SUM(AQ29,AR29,U29)-AP29-SUM(H29:L29)-AS29-SUM(Y29,AD29,AE29,AH29)</f>
        <v/>
      </c>
      <c r="AU29" s="137">
        <f>IF(ISNUMBER('Assumptions'!$B$19),MAX(0,SUM(AT18:AT29))*'Assumptions'!$B$19-SUM(AU18:AU28),"")</f>
        <v/>
      </c>
      <c r="AV29" s="137">
        <f>IF(ISNUMBER(AU29),AT29-AU29,"")</f>
        <v/>
      </c>
      <c r="AW29" s="137">
        <f>IF(ISNUMBER('Assumptions'!$B$11),'Assumptions'!$B$11+SUM(AQ6:AQ29)-SUM(S6:S29)-SUM(T6:T29),"")</f>
        <v/>
      </c>
      <c r="AX29" s="137">
        <f>IF(ISNUMBER('Assumptions'!$B$12),'Assumptions'!$B$12+SUM(G6:G29)-SUM(AP6:AP29),"")</f>
        <v/>
      </c>
      <c r="AY29" s="137">
        <f>IF(ISNUMBER('Assumptions'!$B$13),'Assumptions'!$B$13+SUM(M6:M29)-SUM(AS6:AS29),"")</f>
        <v/>
      </c>
      <c r="AZ29" s="137">
        <f>IF(ISNUMBER('Assumptions'!$B$14),'Assumptions'!$B$14+-SUM(AF6:AF29),"")</f>
        <v/>
      </c>
      <c r="BA29" s="137">
        <f>IF(ISNUMBER('Assumptions'!$B$15),'Assumptions'!$B$15+SUM(O6:O29)+SUM(P6:P29)-SUM(AR6:AR29),"")</f>
        <v/>
      </c>
      <c r="BB29" s="137">
        <f>IF(ISNUMBER('Assumptions'!$B$16),'Assumptions'!$B$16+-SUM(AC6:AC29),"")</f>
        <v/>
      </c>
      <c r="BC29" s="137">
        <f>IF(AND(ISNUMBER('Assumptions'!$B$21),ISNUMBER('Assumptions'!$B$19)),'Assumptions'!$B$21+SUM(AU6:AU29)-SUM(AG6:AG29),"")</f>
        <v/>
      </c>
      <c r="BD29" s="137">
        <f>IF(ISNUMBER('Assumptions'!$B$20),'Assumptions'!$B$20+-SUM(AI6:AI29),"")</f>
        <v/>
      </c>
      <c r="BE29" s="137">
        <f>IF(AND(ISNUMBER('Assumptions'!$B$17),COUNT(AV6:AV29)=24),'Assumptions'!$B$17+SUM(AV6:AV29),"")</f>
        <v/>
      </c>
      <c r="BF29" s="137">
        <f>IF(COUNT(AL29,AW29:AY29)=4,SUM(AL29,AW29:AY29),"")</f>
        <v/>
      </c>
      <c r="BG29" s="137">
        <f>IF(COUNT(AZ29:BD29)=5,SUM(AZ29:BD29,AA29),"")</f>
        <v/>
      </c>
      <c r="BH29" s="137">
        <f>IF(COUNT(BF29,BG29,BE29)=3,BF29-BG29-BE29,"")</f>
        <v/>
      </c>
      <c r="BI29" s="137">
        <f>SUM(W29,X29)-Z29-AA29</f>
        <v/>
      </c>
      <c r="BJ29" s="137">
        <f>8-COUNT('Assumptions'!AA58:AA65)+COUNTBLANK('NM Play'!B33:B34)+'Costs'!E44+IF(AND('Sites'!E6=1,('Sites'!F6)&lt;=24,'Sites'!G6&gt;=13),IF(ISNUMBER('Sites'!P6),0,1)+'Capital'!I6+COUNTBLANK('Sites'!R6)+IF('Sites'!D6="NM crew",COUNTBLANK('NM Play'!B25)+1,5-COUNT('Assumptions'!AA112:AA116)),0)+IF(AND('Sites'!E7=1,('Sites'!F7+'Cases'!G6)&lt;=24,'Sites'!G7&gt;=13),IF(ISNUMBER('Sites'!P7),0,1)+'Capital'!I7+COUNTBLANK('Sites'!R7)+IF('Sites'!D7="NM crew",COUNTBLANK('NM Play'!B25)+1,5-COUNT('Assumptions'!AA117:AA121)),0)+IF(AND('Sites'!E8*'Cases'!F6=1,('Sites'!F8+'Cases'!G6)&lt;=24,'Sites'!G8&gt;=13),IF(ISNUMBER('Sites'!P8),0,1)+'Capital'!I8+COUNTBLANK('Sites'!R8)+IF('Sites'!D8="NM crew",COUNTBLANK('NM Play'!B25)+1,5-COUNT('Assumptions'!AA122:AA126)),0)+IF(AND('Cases'!C6&gt;0,NOT(ISNUMBER('Assumptions'!B42))),1,0)+'Responsibilities'!$B$39</f>
        <v/>
      </c>
      <c r="BK29" s="137">
        <f>'Assumptions'!$B$50+'NM Play'!$B$83+'Funding'!$F$20+SUMIFS('Production schedule'!$AN$6:$AN$113,'Production schedule'!$C$6:$C$113,24)+IF(OR('Cases'!E6&lt;0,'Cases'!E6&gt;1,'Cases'!C6&lt;0,'Cases'!D6&lt;0,ABS(SUM('Sites'!S6:S8)-1)&gt;0.0001,MIN('Capital'!F6:F8)&lt;0,MAX('Capital'!F6:F8)&gt;1,MIN(AX29,AZ29,BB29,BA29)&lt;-0.01),1,0)+'Responsibilities'!$B$40</f>
        <v/>
      </c>
      <c r="BL29" s="137">
        <f>SUMIFS('Production schedule'!$T$6:$T$113,'Production schedule'!$C$6:$C$113,24)</f>
        <v/>
      </c>
      <c r="BM29" s="137">
        <f>D29*'NM Play'!$B$38</f>
        <v/>
      </c>
      <c r="BN29" s="137">
        <f>SUMIFS('Production schedule'!$AM$6:$AM$113,'Production schedule'!$C$6:$C$113,24)</f>
        <v/>
      </c>
      <c r="BO29" s="137">
        <f>AK29-AK28-AJ29</f>
        <v/>
      </c>
      <c r="BP29" s="137">
        <f>IF(AND('Assumptions'!$B$39&gt;=0,'Assumptions'!$B$40&gt;0),-PMT('Assumptions'!$B$39/12,'Assumptions'!$B$40*12,IF('Funding'!$N$11&gt;0,'Funding'!$N$11,'Funding'!$R$11)),"")</f>
        <v/>
      </c>
      <c r="BQ29">
        <f>('Production schedule'!AJ29)*(1-'Responsibilities'!$C$6)+('Production schedule'!AJ65)*(1-'Responsibilities'!$C$7)+('Production schedule'!AJ101)*(1-'Responsibilities'!$C$8)</f>
        <v/>
      </c>
      <c r="BR29">
        <f>('Production schedule'!AI29)*(1-'Responsibilities'!$D$6)+('Production schedule'!AI65)*(1-'Responsibilities'!$D$7)+('Production schedule'!AI101)*(1-'Responsibilities'!$D$8)</f>
        <v/>
      </c>
      <c r="BS29">
        <f>('Production schedule'!E29*(IF('Sites'!D6="Annual staff",SUM('Assumptions'!AA112,'Assumptions'!AA114),0)+SUM('Assumptions'!AA113,'Assumptions'!AA115:AA116)))*(1-'Responsibilities'!$E$6)+('Production schedule'!E65*(IF('Sites'!D7="Annual staff",SUM('Assumptions'!AA117,'Assumptions'!AA119),0)+SUM('Assumptions'!AA118,'Assumptions'!AA120:AA121)))*(1-'Responsibilities'!$E$7)+('Production schedule'!E101*(IF('Sites'!D8="Annual staff",SUM('Assumptions'!AA122,'Assumptions'!AA124),0)+SUM('Assumptions'!AA123,'Assumptions'!AA125:AA126)))*(1-'Responsibilities'!$E$8)</f>
        <v/>
      </c>
      <c r="BT29">
        <f>(IF(AND('Production schedule'!E29=1,24=MAX(('Sites'!F6),13),ISNUMBER('Sites'!P6)),'Sites'!P6*'Assumptions'!$B$44,0))*(1-'Responsibilities'!$F$6)+(IF(AND('Production schedule'!E65=1,24=MAX(('Sites'!F7+'Cases'!G6),13),ISNUMBER('Sites'!P7)),'Sites'!P7*'Assumptions'!$B$44,0))*(1-'Responsibilities'!$F$7)+(IF(AND('Production schedule'!E101=1,24=MAX(('Sites'!F8+'Cases'!G6),13),ISNUMBER('Sites'!P8)),'Sites'!P8*'Assumptions'!$B$44,0))*(1-'Responsibilities'!$F$8)</f>
        <v/>
      </c>
      <c r="BU29">
        <f>SUM('Costs'!E36)*'Costs'!F36/12*(1-'Responsibilities'!$C$12)+SUM('Costs'!E37)*'Costs'!F37/12*(1-'Responsibilities'!$C$13)+SUM('Costs'!E38)*'Costs'!F38/12*(1-'Responsibilities'!$C$14)+SUM('Costs'!E39)*'Costs'!F39/12*(1-'Responsibilities'!$C$15)+SUM('Costs'!E40)*'Costs'!F40/12*(1-'Responsibilities'!$C$16)</f>
        <v/>
      </c>
      <c r="BV29">
        <f>('Sites'!E6*'Capital'!E6*(IF(24='Capital'!G6,'Capital'!F6,0)+IF(24='Capital'!H6,1-'Capital'!F6,0)))*(1-'Responsibilities'!$G$6)+('Sites'!E7*'Capital'!E7*(IF(24='Capital'!G7+'Cases'!G6,'Capital'!F7,0)+IF(24='Capital'!H7+'Cases'!G6,1-'Capital'!F7,0)))*(1-'Responsibilities'!$G$7)+('Sites'!E8*'Cases'!F6*'Capital'!E8*(IF(24='Capital'!G8+'Cases'!G6,'Capital'!F8,0)+IF(24='Capital'!H8+'Cases'!G6,1-'Capital'!F8,0)))*(1-'Responsibilities'!$G$8)</f>
        <v/>
      </c>
      <c r="BW29">
        <f>SUM(BQ29:BV29)</f>
        <v/>
      </c>
      <c r="BX29">
        <f>N29+BW29</f>
        <v/>
      </c>
      <c r="BY29">
        <f>BX29-(('Production schedule'!AJ29)*'Responsibilities'!$C$6+('Production schedule'!AJ65)*'Responsibilities'!$C$7+('Production schedule'!AJ101)*'Responsibilities'!$C$8+('Production schedule'!AJ29)*(1-'Responsibilities'!$C$6)+('Production schedule'!AJ65)*(1-'Responsibilities'!$C$7)+('Production schedule'!AJ101)*(1-'Responsibilities'!$C$8)+('Production schedule'!AI29)*'Responsibilities'!$D$6+('Production schedule'!AI65)*'Responsibilities'!$D$7+('Production schedule'!AI101)*'Responsibilities'!$D$8+('Production schedule'!AI29)*(1-'Responsibilities'!$D$6)+('Production schedule'!AI65)*(1-'Responsibilities'!$D$7)+('Production schedule'!AI101)*(1-'Responsibilities'!$D$8)+('Production schedule'!E29*(IF('Sites'!D6="Annual staff",SUM('Assumptions'!AA112,'Assumptions'!AA114),0)+SUM('Assumptions'!AA113,'Assumptions'!AA115:AA116)))*'Responsibilities'!$E$6+('Production schedule'!E65*(IF('Sites'!D7="Annual staff",SUM('Assumptions'!AA117,'Assumptions'!AA119),0)+SUM('Assumptions'!AA118,'Assumptions'!AA120:AA121)))*'Responsibilities'!$E$7+('Production schedule'!E101*(IF('Sites'!D8="Annual staff",SUM('Assumptions'!AA122,'Assumptions'!AA124),0)+SUM('Assumptions'!AA123,'Assumptions'!AA125:AA126)))*'Responsibilities'!$E$8+('Production schedule'!E29*(IF('Sites'!D6="Annual staff",SUM('Assumptions'!AA112,'Assumptions'!AA114),0)+SUM('Assumptions'!AA113,'Assumptions'!AA115:AA116)))*(1-'Responsibilities'!$E$6)+('Production schedule'!E65*(IF('Sites'!D7="Annual staff",SUM('Assumptions'!AA117,'Assumptions'!AA119),0)+SUM('Assumptions'!AA118,'Assumptions'!AA120:AA121)))*(1-'Responsibilities'!$E$7)+('Production schedule'!E101*(IF('Sites'!D8="Annual staff",SUM('Assumptions'!AA122,'Assumptions'!AA124),0)+SUM('Assumptions'!AA123,'Assumptions'!AA125:AA126)))*(1-'Responsibilities'!$E$8)+(IF(AND('Production schedule'!E29=1,24=MAX(('Sites'!F6),13),ISNUMBER('Sites'!P6)),'Sites'!P6*'Assumptions'!$B$44,0))*'Responsibilities'!$F$6+(IF(AND('Production schedule'!E65=1,24=MAX(('Sites'!F7+'Cases'!G6),13),ISNUMBER('Sites'!P7)),'Sites'!P7*'Assumptions'!$B$44,0))*'Responsibilities'!$F$7+(IF(AND('Production schedule'!E101=1,24=MAX(('Sites'!F8+'Cases'!G6),13),ISNUMBER('Sites'!P8)),'Sites'!P8*'Assumptions'!$B$44,0))*'Responsibilities'!$F$8+(IF(AND('Production schedule'!E29=1,24=MAX(('Sites'!F6),13),ISNUMBER('Sites'!P6)),'Sites'!P6*'Assumptions'!$B$44,0))*(1-'Responsibilities'!$F$6)+(IF(AND('Production schedule'!E65=1,24=MAX(('Sites'!F7+'Cases'!G6),13),ISNUMBER('Sites'!P7)),'Sites'!P7*'Assumptions'!$B$44,0))*(1-'Responsibilities'!$F$7)+(IF(AND('Production schedule'!E101=1,24=MAX(('Sites'!F8+'Cases'!G6),13),ISNUMBER('Sites'!P8)),'Sites'!P8*'Assumptions'!$B$44,0))*(1-'Responsibilities'!$F$8)+('Sites'!E6*'Capital'!E6*(IF(24='Capital'!G6,'Capital'!F6,0)+IF(24='Capital'!H6,1-'Capital'!F6,0)))*'Responsibilities'!$G$6+('Sites'!E7*'Capital'!E7*(IF(24='Capital'!G7+'Cases'!G6,'Capital'!F7,0)+IF(24='Capital'!H7+'Cases'!G6,1-'Capital'!F7,0)))*'Responsibilities'!$G$7+('Sites'!E8*'Cases'!F6*'Capital'!E8*(IF(24='Capital'!G8+'Cases'!G6,'Capital'!F8,0)+IF(24='Capital'!H8+'Cases'!G6,1-'Capital'!F8,0)))*'Responsibilities'!$G$8+('Sites'!E6*'Capital'!E6*(IF(24='Capital'!G6,'Capital'!F6,0)+IF(24='Capital'!H6,1-'Capital'!F6,0)))*(1-'Responsibilities'!$G$6)+('Sites'!E7*'Capital'!E7*(IF(24='Capital'!G7+'Cases'!G6,'Capital'!F7,0)+IF(24='Capital'!H7+'Cases'!G6,1-'Capital'!F7,0)))*(1-'Responsibilities'!$G$7)+('Sites'!E8*'Cases'!F6*'Capital'!E8*(IF(24='Capital'!G8+'Cases'!G6,'Capital'!F8,0)+IF(24='Capital'!H8+'Cases'!G6,1-'Capital'!F8,0)))*(1-'Responsibilities'!$G$8)+I29+SUMPRODUCT('Costs'!$E$36:$E$40,'Costs'!$F$36:$F$40)/12+BZ29)</f>
        <v/>
      </c>
      <c r="BZ29">
        <f>SUMIFS('Responsibilities'!$B$31:$B$35,'Responsibilities'!$C$31:$C$35,24,'Responsibilities'!$D$31:$D$35,"Yes")</f>
        <v/>
      </c>
    </row>
    <row r="30" ht="28" customHeight="1">
      <c r="A30" s="4" t="inlineStr">
        <is>
          <t>Full</t>
        </is>
      </c>
      <c r="B30" s="4" t="n">
        <v>25</v>
      </c>
      <c r="C30" s="4">
        <f>ROUNDUP(B30/12,0)</f>
        <v/>
      </c>
      <c r="D30" s="137">
        <f>SUMIFS('Production schedule'!$N$6:$N$113,'Production schedule'!$C$6:$C$113,25)</f>
        <v/>
      </c>
      <c r="E30" s="137">
        <f>SUMIFS('Production schedule'!$Y$6:$Y$113,'Production schedule'!$C$6:$C$113,25)</f>
        <v/>
      </c>
      <c r="F30" s="137">
        <f>SUMIFS('Production schedule'!$Z$6:$Z$113,'Production schedule'!$C$6:$C$113,25)</f>
        <v/>
      </c>
      <c r="G30" s="137">
        <f>('Production schedule'!AJ30)*'Responsibilities'!$C$6+('Production schedule'!AJ66)*'Responsibilities'!$C$7+('Production schedule'!AJ102)*'Responsibilities'!$C$8</f>
        <v/>
      </c>
      <c r="H30" s="137">
        <f>('Production schedule'!AI30)*'Responsibilities'!$D$6+('Production schedule'!AI66)*'Responsibilities'!$D$7+('Production schedule'!AI102)*'Responsibilities'!$D$8</f>
        <v/>
      </c>
      <c r="I30" s="137">
        <f>SUM('Assumptions'!AB58:AB65)</f>
        <v/>
      </c>
      <c r="J30" s="137">
        <f>('Production schedule'!E30*(IF('Sites'!D6="Annual staff",SUM('Assumptions'!AB112,'Assumptions'!AB114),0)+SUM('Assumptions'!AB113,'Assumptions'!AB115:AB116)))*'Responsibilities'!$E$6+('Production schedule'!E66*(IF('Sites'!D7="Annual staff",SUM('Assumptions'!AB117,'Assumptions'!AB119),0)+SUM('Assumptions'!AB118,'Assumptions'!AB120:AB121)))*'Responsibilities'!$E$7+('Production schedule'!E102*(IF('Sites'!D8="Annual staff",SUM('Assumptions'!AB122,'Assumptions'!AB124),0)+SUM('Assumptions'!AB123,'Assumptions'!AB125:AB126)))*'Responsibilities'!$E$8</f>
        <v/>
      </c>
      <c r="K30" s="137">
        <f>(IF(AND('Production schedule'!E30=1,25=MAX(('Sites'!F6),25),ISNUMBER('Sites'!Q6)),'Sites'!Q6*'Assumptions'!$B$44,0))*'Responsibilities'!$F$6+(IF(AND('Production schedule'!E66=1,25=MAX(('Sites'!F7+'Cases'!G6),25),ISNUMBER('Sites'!Q7)),'Sites'!Q7*'Assumptions'!$B$44,0))*'Responsibilities'!$F$7+(IF(AND('Production schedule'!E102=1,25=MAX(('Sites'!F8+'Cases'!G6),25),ISNUMBER('Sites'!Q8)),'Sites'!Q8*'Assumptions'!$B$44,0))*'Responsibilities'!$F$8</f>
        <v/>
      </c>
      <c r="L30" s="137">
        <f>SUM('Costs'!E36)*'Costs'!F36/12*'Responsibilities'!$C$12+SUM('Costs'!E37)*'Costs'!F37/12*'Responsibilities'!$C$13+SUM('Costs'!E38)*'Costs'!F38/12*'Responsibilities'!$C$14+SUM('Costs'!E39)*'Costs'!F39/12*'Responsibilities'!$C$15+SUM('Costs'!E40)*'Costs'!F40/12*'Responsibilities'!$C$16+BZ30</f>
        <v/>
      </c>
      <c r="M30" s="137">
        <f>('Sites'!E6*'Capital'!E6*(IF(25='Capital'!G6,'Capital'!F6,0)+IF(25='Capital'!H6,1-'Capital'!F6,0)))*'Responsibilities'!$G$6+('Sites'!E7*'Capital'!E7*(IF(25='Capital'!G7+'Cases'!G6,'Capital'!F7,0)+IF(25='Capital'!H7+'Cases'!G6,1-'Capital'!F7,0)))*'Responsibilities'!$G$7+('Sites'!E8*'Cases'!F6*'Capital'!E8*(IF(25='Capital'!G8+'Cases'!G6,'Capital'!F8,0)+IF(25='Capital'!H8+'Cases'!G6,1-'Capital'!F8,0)))*'Responsibilities'!$G$8</f>
        <v/>
      </c>
      <c r="N30" s="137">
        <f>SUM(G30:M30)</f>
        <v/>
      </c>
      <c r="O30" s="137">
        <f>SUMIFS(FundingTranches[Secured amount],FundingTranches[Instrument],"Grant",FundingTranches[Secured month],25)</f>
        <v/>
      </c>
      <c r="P30" s="137">
        <f>SUMIFS(FundingTranches[Full possible],FundingTranches[Instrument],"Grant",FundingTranches[Scenario month],25-'Cases'!$D$6)</f>
        <v/>
      </c>
      <c r="Q30" s="137">
        <f>SUMIFS(FundingTranches[Secured amount],FundingTranches[Instrument],"Loan",FundingTranches[Secured month],25)</f>
        <v/>
      </c>
      <c r="R30" s="137">
        <f>SUMIFS(FundingTranches[Full possible],FundingTranches[Instrument],"Loan",FundingTranches[Scenario month],25-'Cases'!$D$6)</f>
        <v/>
      </c>
      <c r="S30" s="137">
        <f>IF(25&lt;='Assumptions'!$B$34,0,SUMIFS('Production schedule'!$AL$6:$AL$113,'Production schedule'!$C$6:$C$113,25-'Assumptions'!$B$34))</f>
        <v/>
      </c>
      <c r="T30" s="137">
        <f>'Assumptions'!AB70</f>
        <v/>
      </c>
      <c r="U30" s="137">
        <f>'Assumptions'!AB78</f>
        <v/>
      </c>
      <c r="V30" s="137">
        <f>SUM(O30:U30)</f>
        <v/>
      </c>
      <c r="W30" s="137">
        <f>AA29</f>
        <v/>
      </c>
      <c r="X30" s="137">
        <f>SUM(Q30:R30)</f>
        <v/>
      </c>
      <c r="Y30" s="137">
        <f>SUM(W30,X30)*'Assumptions'!$B$39/12</f>
        <v/>
      </c>
      <c r="Z30" s="137">
        <f>IF(SUM(W30,X30)&gt;0,MIN(SUM(W30,X30),MAX(0,BP30-Y30)),0)</f>
        <v/>
      </c>
      <c r="AA30" s="137">
        <f>SUM(W30,X30)-Z30</f>
        <v/>
      </c>
      <c r="AB30" s="137">
        <f>SUM(Y30:Z30)</f>
        <v/>
      </c>
      <c r="AC30" s="137">
        <f>'Assumptions'!AB72</f>
        <v/>
      </c>
      <c r="AD30" s="137">
        <f>'Assumptions'!AB73</f>
        <v/>
      </c>
      <c r="AE30" s="137">
        <f>IF(X30&gt;0,SUM('Assumptions'!$B$42),0)</f>
        <v/>
      </c>
      <c r="AF30" s="137">
        <f>'Assumptions'!AB71</f>
        <v/>
      </c>
      <c r="AG30" s="137">
        <f>'Assumptions'!AB74</f>
        <v/>
      </c>
      <c r="AH30" s="137">
        <f>'Assumptions'!AB75</f>
        <v/>
      </c>
      <c r="AI30" s="137">
        <f>'Assumptions'!AB77</f>
        <v/>
      </c>
      <c r="AJ30" s="137">
        <f>V30-N30-SUM(AB30:AI30)</f>
        <v/>
      </c>
      <c r="AK30" s="137">
        <f>SUM(AJ6:AJ30)</f>
        <v/>
      </c>
      <c r="AL30" s="137">
        <f>IF(ISNUMBER('Assumptions'!$B$10),'Assumptions'!$B$10+AK30,"")</f>
        <v/>
      </c>
      <c r="AM30" s="137">
        <f>SUM(O30,Q30,T30)-N30-SUM(AC30:AI30)+IF('Funding'!$N$11=0,AE30,0)-IF('Funding'!$N$11&gt;0,AB30,0)</f>
        <v/>
      </c>
      <c r="AN30" s="137">
        <f>SUM(AM6:AM30)</f>
        <v/>
      </c>
      <c r="AO30" s="137">
        <f>IF(ISNUMBER('Assumptions'!$B$10),'Assumptions'!$B$10+AN30,"")</f>
        <v/>
      </c>
      <c r="AP30" s="137">
        <f>('Production schedule'!AK30)*'Responsibilities'!$C$6+('Production schedule'!AK66)*'Responsibilities'!$C$7+('Production schedule'!AK102)*'Responsibilities'!$C$8</f>
        <v/>
      </c>
      <c r="AQ30" s="137">
        <f>SUMIFS('Production schedule'!$AL$6:$AL$113,'Production schedule'!$C$6:$C$113,25)</f>
        <v/>
      </c>
      <c r="AR30" s="137">
        <f>IF(ISNUMBER('Assumptions'!AB76),'Assumptions'!AB76,SUM(O30:P30))</f>
        <v/>
      </c>
      <c r="AS30" s="137">
        <f>IF(ISNUMBER('Assumptions'!$B$13),MIN('Assumptions'!$B$13/'Assumptions'!$B$18/12,MAX(0,'Assumptions'!$B$13-(25-1)*'Assumptions'!$B$13/'Assumptions'!$B$18/12)),0)+IF(AND('Sites'!E6=1,25&gt;=('Sites'!F6),25&lt;('Sites'!F6)+'Assumptions'!$B$18*12),'Capital'!E6/'Assumptions'!$B$18/12,0)+IF(AND('Sites'!E7=1,25&gt;=('Sites'!F7+'Cases'!G6),25&lt;('Sites'!F7+'Cases'!G6)+'Assumptions'!$B$18*12),'Capital'!E7/'Assumptions'!$B$18/12,0)+IF(AND('Sites'!E8*'Cases'!F6=1,25&gt;=('Sites'!F8+'Cases'!G6),25&lt;('Sites'!F8+'Cases'!G6)+'Assumptions'!$B$18*12),'Capital'!E8/'Assumptions'!$B$18/12,0)</f>
        <v/>
      </c>
      <c r="AT30" s="137">
        <f>SUM(AQ30,AR30,U30)-AP30-SUM(H30:L30)-AS30-SUM(Y30,AD30,AE30,AH30)</f>
        <v/>
      </c>
      <c r="AU30" s="137">
        <f>IF(ISNUMBER('Assumptions'!$B$19),MAX(0,SUM(AT30:AT30))*'Assumptions'!$B$19-0,"")</f>
        <v/>
      </c>
      <c r="AV30" s="137">
        <f>IF(ISNUMBER(AU30),AT30-AU30,"")</f>
        <v/>
      </c>
      <c r="AW30" s="137">
        <f>IF(ISNUMBER('Assumptions'!$B$11),'Assumptions'!$B$11+SUM(AQ6:AQ30)-SUM(S6:S30)-SUM(T6:T30),"")</f>
        <v/>
      </c>
      <c r="AX30" s="137">
        <f>IF(ISNUMBER('Assumptions'!$B$12),'Assumptions'!$B$12+SUM(G6:G30)-SUM(AP6:AP30),"")</f>
        <v/>
      </c>
      <c r="AY30" s="137">
        <f>IF(ISNUMBER('Assumptions'!$B$13),'Assumptions'!$B$13+SUM(M6:M30)-SUM(AS6:AS30),"")</f>
        <v/>
      </c>
      <c r="AZ30" s="137">
        <f>IF(ISNUMBER('Assumptions'!$B$14),'Assumptions'!$B$14+-SUM(AF6:AF30),"")</f>
        <v/>
      </c>
      <c r="BA30" s="137">
        <f>IF(ISNUMBER('Assumptions'!$B$15),'Assumptions'!$B$15+SUM(O6:O30)+SUM(P6:P30)-SUM(AR6:AR30),"")</f>
        <v/>
      </c>
      <c r="BB30" s="137">
        <f>IF(ISNUMBER('Assumptions'!$B$16),'Assumptions'!$B$16+-SUM(AC6:AC30),"")</f>
        <v/>
      </c>
      <c r="BC30" s="137">
        <f>IF(AND(ISNUMBER('Assumptions'!$B$21),ISNUMBER('Assumptions'!$B$19)),'Assumptions'!$B$21+SUM(AU6:AU30)-SUM(AG6:AG30),"")</f>
        <v/>
      </c>
      <c r="BD30" s="137">
        <f>IF(ISNUMBER('Assumptions'!$B$20),'Assumptions'!$B$20+-SUM(AI6:AI30),"")</f>
        <v/>
      </c>
      <c r="BE30" s="137">
        <f>IF(AND(ISNUMBER('Assumptions'!$B$17),COUNT(AV6:AV30)=25),'Assumptions'!$B$17+SUM(AV6:AV30),"")</f>
        <v/>
      </c>
      <c r="BF30" s="137">
        <f>IF(COUNT(AL30,AW30:AY30)=4,SUM(AL30,AW30:AY30),"")</f>
        <v/>
      </c>
      <c r="BG30" s="137">
        <f>IF(COUNT(AZ30:BD30)=5,SUM(AZ30:BD30,AA30),"")</f>
        <v/>
      </c>
      <c r="BH30" s="137">
        <f>IF(COUNT(BF30,BG30,BE30)=3,BF30-BG30-BE30,"")</f>
        <v/>
      </c>
      <c r="BI30" s="137">
        <f>SUM(W30,X30)-Z30-AA30</f>
        <v/>
      </c>
      <c r="BJ30" s="137">
        <f>8-COUNT('Assumptions'!AB58:AB65)+COUNTBLANK('NM Play'!B33:B34)+'Costs'!E44+IF(AND('Sites'!E6=1,('Sites'!F6)&lt;=36,'Sites'!G6&gt;=25),IF(ISNUMBER('Sites'!Q6),0,1)+'Capital'!I6+COUNTBLANK('Sites'!R6)+IF('Sites'!D6="NM crew",COUNTBLANK('NM Play'!B25)+1,5-COUNT('Assumptions'!AB112:AB116)),0)+IF(AND('Sites'!E7=1,('Sites'!F7+'Cases'!G6)&lt;=36,'Sites'!G7&gt;=25),IF(ISNUMBER('Sites'!Q7),0,1)+'Capital'!I7+COUNTBLANK('Sites'!R7)+IF('Sites'!D7="NM crew",COUNTBLANK('NM Play'!B25)+1,5-COUNT('Assumptions'!AB117:AB121)),0)+IF(AND('Sites'!E8*'Cases'!F6=1,('Sites'!F8+'Cases'!G6)&lt;=36,'Sites'!G8&gt;=25),IF(ISNUMBER('Sites'!Q8),0,1)+'Capital'!I8+COUNTBLANK('Sites'!R8)+IF('Sites'!D8="NM crew",COUNTBLANK('NM Play'!B25)+1,5-COUNT('Assumptions'!AB122:AB126)),0)+IF(AND('Cases'!C6&gt;0,NOT(ISNUMBER('Assumptions'!B42))),1,0)+'Responsibilities'!$B$39</f>
        <v/>
      </c>
      <c r="BK30" s="137">
        <f>'Assumptions'!$B$50+'NM Play'!$B$83+'Funding'!$F$20+SUMIFS('Production schedule'!$AN$6:$AN$113,'Production schedule'!$C$6:$C$113,25)+IF(OR('Cases'!E6&lt;0,'Cases'!E6&gt;1,'Cases'!C6&lt;0,'Cases'!D6&lt;0,ABS(SUM('Sites'!S6:S8)-1)&gt;0.0001,MIN('Capital'!F6:F8)&lt;0,MAX('Capital'!F6:F8)&gt;1,MIN(AX30,AZ30,BB30,BA30)&lt;-0.01),1,0)+'Responsibilities'!$B$40</f>
        <v/>
      </c>
      <c r="BL30" s="137">
        <f>SUMIFS('Production schedule'!$T$6:$T$113,'Production schedule'!$C$6:$C$113,25)</f>
        <v/>
      </c>
      <c r="BM30" s="137">
        <f>D30*'NM Play'!$B$38</f>
        <v/>
      </c>
      <c r="BN30" s="137">
        <f>SUMIFS('Production schedule'!$AM$6:$AM$113,'Production schedule'!$C$6:$C$113,25)</f>
        <v/>
      </c>
      <c r="BO30" s="137">
        <f>AK30-AK29-AJ30</f>
        <v/>
      </c>
      <c r="BP30" s="137">
        <f>IF(AND('Assumptions'!$B$39&gt;=0,'Assumptions'!$B$40&gt;0),-PMT('Assumptions'!$B$39/12,'Assumptions'!$B$40*12,IF('Funding'!$N$11&gt;0,'Funding'!$N$11,'Funding'!$R$11)),"")</f>
        <v/>
      </c>
      <c r="BQ30">
        <f>('Production schedule'!AJ30)*(1-'Responsibilities'!$C$6)+('Production schedule'!AJ66)*(1-'Responsibilities'!$C$7)+('Production schedule'!AJ102)*(1-'Responsibilities'!$C$8)</f>
        <v/>
      </c>
      <c r="BR30">
        <f>('Production schedule'!AI30)*(1-'Responsibilities'!$D$6)+('Production schedule'!AI66)*(1-'Responsibilities'!$D$7)+('Production schedule'!AI102)*(1-'Responsibilities'!$D$8)</f>
        <v/>
      </c>
      <c r="BS30">
        <f>('Production schedule'!E30*(IF('Sites'!D6="Annual staff",SUM('Assumptions'!AB112,'Assumptions'!AB114),0)+SUM('Assumptions'!AB113,'Assumptions'!AB115:AB116)))*(1-'Responsibilities'!$E$6)+('Production schedule'!E66*(IF('Sites'!D7="Annual staff",SUM('Assumptions'!AB117,'Assumptions'!AB119),0)+SUM('Assumptions'!AB118,'Assumptions'!AB120:AB121)))*(1-'Responsibilities'!$E$7)+('Production schedule'!E102*(IF('Sites'!D8="Annual staff",SUM('Assumptions'!AB122,'Assumptions'!AB124),0)+SUM('Assumptions'!AB123,'Assumptions'!AB125:AB126)))*(1-'Responsibilities'!$E$8)</f>
        <v/>
      </c>
      <c r="BT30">
        <f>(IF(AND('Production schedule'!E30=1,25=MAX(('Sites'!F6),25),ISNUMBER('Sites'!Q6)),'Sites'!Q6*'Assumptions'!$B$44,0))*(1-'Responsibilities'!$F$6)+(IF(AND('Production schedule'!E66=1,25=MAX(('Sites'!F7+'Cases'!G6),25),ISNUMBER('Sites'!Q7)),'Sites'!Q7*'Assumptions'!$B$44,0))*(1-'Responsibilities'!$F$7)+(IF(AND('Production schedule'!E102=1,25=MAX(('Sites'!F8+'Cases'!G6),25),ISNUMBER('Sites'!Q8)),'Sites'!Q8*'Assumptions'!$B$44,0))*(1-'Responsibilities'!$F$8)</f>
        <v/>
      </c>
      <c r="BU30">
        <f>SUM('Costs'!E36)*'Costs'!F36/12*(1-'Responsibilities'!$C$12)+SUM('Costs'!E37)*'Costs'!F37/12*(1-'Responsibilities'!$C$13)+SUM('Costs'!E38)*'Costs'!F38/12*(1-'Responsibilities'!$C$14)+SUM('Costs'!E39)*'Costs'!F39/12*(1-'Responsibilities'!$C$15)+SUM('Costs'!E40)*'Costs'!F40/12*(1-'Responsibilities'!$C$16)</f>
        <v/>
      </c>
      <c r="BV30">
        <f>('Sites'!E6*'Capital'!E6*(IF(25='Capital'!G6,'Capital'!F6,0)+IF(25='Capital'!H6,1-'Capital'!F6,0)))*(1-'Responsibilities'!$G$6)+('Sites'!E7*'Capital'!E7*(IF(25='Capital'!G7+'Cases'!G6,'Capital'!F7,0)+IF(25='Capital'!H7+'Cases'!G6,1-'Capital'!F7,0)))*(1-'Responsibilities'!$G$7)+('Sites'!E8*'Cases'!F6*'Capital'!E8*(IF(25='Capital'!G8+'Cases'!G6,'Capital'!F8,0)+IF(25='Capital'!H8+'Cases'!G6,1-'Capital'!F8,0)))*(1-'Responsibilities'!$G$8)</f>
        <v/>
      </c>
      <c r="BW30">
        <f>SUM(BQ30:BV30)</f>
        <v/>
      </c>
      <c r="BX30">
        <f>N30+BW30</f>
        <v/>
      </c>
      <c r="BY30">
        <f>BX30-(('Production schedule'!AJ30)*'Responsibilities'!$C$6+('Production schedule'!AJ66)*'Responsibilities'!$C$7+('Production schedule'!AJ102)*'Responsibilities'!$C$8+('Production schedule'!AJ30)*(1-'Responsibilities'!$C$6)+('Production schedule'!AJ66)*(1-'Responsibilities'!$C$7)+('Production schedule'!AJ102)*(1-'Responsibilities'!$C$8)+('Production schedule'!AI30)*'Responsibilities'!$D$6+('Production schedule'!AI66)*'Responsibilities'!$D$7+('Production schedule'!AI102)*'Responsibilities'!$D$8+('Production schedule'!AI30)*(1-'Responsibilities'!$D$6)+('Production schedule'!AI66)*(1-'Responsibilities'!$D$7)+('Production schedule'!AI102)*(1-'Responsibilities'!$D$8)+('Production schedule'!E30*(IF('Sites'!D6="Annual staff",SUM('Assumptions'!AB112,'Assumptions'!AB114),0)+SUM('Assumptions'!AB113,'Assumptions'!AB115:AB116)))*'Responsibilities'!$E$6+('Production schedule'!E66*(IF('Sites'!D7="Annual staff",SUM('Assumptions'!AB117,'Assumptions'!AB119),0)+SUM('Assumptions'!AB118,'Assumptions'!AB120:AB121)))*'Responsibilities'!$E$7+('Production schedule'!E102*(IF('Sites'!D8="Annual staff",SUM('Assumptions'!AB122,'Assumptions'!AB124),0)+SUM('Assumptions'!AB123,'Assumptions'!AB125:AB126)))*'Responsibilities'!$E$8+('Production schedule'!E30*(IF('Sites'!D6="Annual staff",SUM('Assumptions'!AB112,'Assumptions'!AB114),0)+SUM('Assumptions'!AB113,'Assumptions'!AB115:AB116)))*(1-'Responsibilities'!$E$6)+('Production schedule'!E66*(IF('Sites'!D7="Annual staff",SUM('Assumptions'!AB117,'Assumptions'!AB119),0)+SUM('Assumptions'!AB118,'Assumptions'!AB120:AB121)))*(1-'Responsibilities'!$E$7)+('Production schedule'!E102*(IF('Sites'!D8="Annual staff",SUM('Assumptions'!AB122,'Assumptions'!AB124),0)+SUM('Assumptions'!AB123,'Assumptions'!AB125:AB126)))*(1-'Responsibilities'!$E$8)+(IF(AND('Production schedule'!E30=1,25=MAX(('Sites'!F6),25),ISNUMBER('Sites'!Q6)),'Sites'!Q6*'Assumptions'!$B$44,0))*'Responsibilities'!$F$6+(IF(AND('Production schedule'!E66=1,25=MAX(('Sites'!F7+'Cases'!G6),25),ISNUMBER('Sites'!Q7)),'Sites'!Q7*'Assumptions'!$B$44,0))*'Responsibilities'!$F$7+(IF(AND('Production schedule'!E102=1,25=MAX(('Sites'!F8+'Cases'!G6),25),ISNUMBER('Sites'!Q8)),'Sites'!Q8*'Assumptions'!$B$44,0))*'Responsibilities'!$F$8+(IF(AND('Production schedule'!E30=1,25=MAX(('Sites'!F6),25),ISNUMBER('Sites'!Q6)),'Sites'!Q6*'Assumptions'!$B$44,0))*(1-'Responsibilities'!$F$6)+(IF(AND('Production schedule'!E66=1,25=MAX(('Sites'!F7+'Cases'!G6),25),ISNUMBER('Sites'!Q7)),'Sites'!Q7*'Assumptions'!$B$44,0))*(1-'Responsibilities'!$F$7)+(IF(AND('Production schedule'!E102=1,25=MAX(('Sites'!F8+'Cases'!G6),25),ISNUMBER('Sites'!Q8)),'Sites'!Q8*'Assumptions'!$B$44,0))*(1-'Responsibilities'!$F$8)+('Sites'!E6*'Capital'!E6*(IF(25='Capital'!G6,'Capital'!F6,0)+IF(25='Capital'!H6,1-'Capital'!F6,0)))*'Responsibilities'!$G$6+('Sites'!E7*'Capital'!E7*(IF(25='Capital'!G7+'Cases'!G6,'Capital'!F7,0)+IF(25='Capital'!H7+'Cases'!G6,1-'Capital'!F7,0)))*'Responsibilities'!$G$7+('Sites'!E8*'Cases'!F6*'Capital'!E8*(IF(25='Capital'!G8+'Cases'!G6,'Capital'!F8,0)+IF(25='Capital'!H8+'Cases'!G6,1-'Capital'!F8,0)))*'Responsibilities'!$G$8+('Sites'!E6*'Capital'!E6*(IF(25='Capital'!G6,'Capital'!F6,0)+IF(25='Capital'!H6,1-'Capital'!F6,0)))*(1-'Responsibilities'!$G$6)+('Sites'!E7*'Capital'!E7*(IF(25='Capital'!G7+'Cases'!G6,'Capital'!F7,0)+IF(25='Capital'!H7+'Cases'!G6,1-'Capital'!F7,0)))*(1-'Responsibilities'!$G$7)+('Sites'!E8*'Cases'!F6*'Capital'!E8*(IF(25='Capital'!G8+'Cases'!G6,'Capital'!F8,0)+IF(25='Capital'!H8+'Cases'!G6,1-'Capital'!F8,0)))*(1-'Responsibilities'!$G$8)+I30+SUMPRODUCT('Costs'!$E$36:$E$40,'Costs'!$F$36:$F$40)/12+BZ30)</f>
        <v/>
      </c>
      <c r="BZ30">
        <f>SUMIFS('Responsibilities'!$B$31:$B$35,'Responsibilities'!$C$31:$C$35,25,'Responsibilities'!$D$31:$D$35,"Yes")</f>
        <v/>
      </c>
    </row>
    <row r="31" ht="28" customHeight="1">
      <c r="A31" s="4" t="inlineStr">
        <is>
          <t>Full</t>
        </is>
      </c>
      <c r="B31" s="4" t="n">
        <v>26</v>
      </c>
      <c r="C31" s="4">
        <f>ROUNDUP(B31/12,0)</f>
        <v/>
      </c>
      <c r="D31" s="137">
        <f>SUMIFS('Production schedule'!$N$6:$N$113,'Production schedule'!$C$6:$C$113,26)</f>
        <v/>
      </c>
      <c r="E31" s="137">
        <f>SUMIFS('Production schedule'!$Y$6:$Y$113,'Production schedule'!$C$6:$C$113,26)</f>
        <v/>
      </c>
      <c r="F31" s="137">
        <f>SUMIFS('Production schedule'!$Z$6:$Z$113,'Production schedule'!$C$6:$C$113,26)</f>
        <v/>
      </c>
      <c r="G31" s="137">
        <f>('Production schedule'!AJ31)*'Responsibilities'!$C$6+('Production schedule'!AJ67)*'Responsibilities'!$C$7+('Production schedule'!AJ103)*'Responsibilities'!$C$8</f>
        <v/>
      </c>
      <c r="H31" s="137">
        <f>('Production schedule'!AI31)*'Responsibilities'!$D$6+('Production schedule'!AI67)*'Responsibilities'!$D$7+('Production schedule'!AI103)*'Responsibilities'!$D$8</f>
        <v/>
      </c>
      <c r="I31" s="137">
        <f>SUM('Assumptions'!AC58:AC65)</f>
        <v/>
      </c>
      <c r="J31" s="137">
        <f>('Production schedule'!E31*(IF('Sites'!D6="Annual staff",SUM('Assumptions'!AC112,'Assumptions'!AC114),0)+SUM('Assumptions'!AC113,'Assumptions'!AC115:AC116)))*'Responsibilities'!$E$6+('Production schedule'!E67*(IF('Sites'!D7="Annual staff",SUM('Assumptions'!AC117,'Assumptions'!AC119),0)+SUM('Assumptions'!AC118,'Assumptions'!AC120:AC121)))*'Responsibilities'!$E$7+('Production schedule'!E103*(IF('Sites'!D8="Annual staff",SUM('Assumptions'!AC122,'Assumptions'!AC124),0)+SUM('Assumptions'!AC123,'Assumptions'!AC125:AC126)))*'Responsibilities'!$E$8</f>
        <v/>
      </c>
      <c r="K31" s="137">
        <f>(IF(AND('Production schedule'!E31=1,26=MAX(('Sites'!F6),25),ISNUMBER('Sites'!Q6)),'Sites'!Q6*'Assumptions'!$B$44,0))*'Responsibilities'!$F$6+(IF(AND('Production schedule'!E67=1,26=MAX(('Sites'!F7+'Cases'!G6),25),ISNUMBER('Sites'!Q7)),'Sites'!Q7*'Assumptions'!$B$44,0))*'Responsibilities'!$F$7+(IF(AND('Production schedule'!E103=1,26=MAX(('Sites'!F8+'Cases'!G6),25),ISNUMBER('Sites'!Q8)),'Sites'!Q8*'Assumptions'!$B$44,0))*'Responsibilities'!$F$8</f>
        <v/>
      </c>
      <c r="L31" s="137">
        <f>SUM('Costs'!E36)*'Costs'!F36/12*'Responsibilities'!$C$12+SUM('Costs'!E37)*'Costs'!F37/12*'Responsibilities'!$C$13+SUM('Costs'!E38)*'Costs'!F38/12*'Responsibilities'!$C$14+SUM('Costs'!E39)*'Costs'!F39/12*'Responsibilities'!$C$15+SUM('Costs'!E40)*'Costs'!F40/12*'Responsibilities'!$C$16+BZ31</f>
        <v/>
      </c>
      <c r="M31" s="137">
        <f>('Sites'!E6*'Capital'!E6*(IF(26='Capital'!G6,'Capital'!F6,0)+IF(26='Capital'!H6,1-'Capital'!F6,0)))*'Responsibilities'!$G$6+('Sites'!E7*'Capital'!E7*(IF(26='Capital'!G7+'Cases'!G6,'Capital'!F7,0)+IF(26='Capital'!H7+'Cases'!G6,1-'Capital'!F7,0)))*'Responsibilities'!$G$7+('Sites'!E8*'Cases'!F6*'Capital'!E8*(IF(26='Capital'!G8+'Cases'!G6,'Capital'!F8,0)+IF(26='Capital'!H8+'Cases'!G6,1-'Capital'!F8,0)))*'Responsibilities'!$G$8</f>
        <v/>
      </c>
      <c r="N31" s="137">
        <f>SUM(G31:M31)</f>
        <v/>
      </c>
      <c r="O31" s="137">
        <f>SUMIFS(FundingTranches[Secured amount],FundingTranches[Instrument],"Grant",FundingTranches[Secured month],26)</f>
        <v/>
      </c>
      <c r="P31" s="137">
        <f>SUMIFS(FundingTranches[Full possible],FundingTranches[Instrument],"Grant",FundingTranches[Scenario month],26-'Cases'!$D$6)</f>
        <v/>
      </c>
      <c r="Q31" s="137">
        <f>SUMIFS(FundingTranches[Secured amount],FundingTranches[Instrument],"Loan",FundingTranches[Secured month],26)</f>
        <v/>
      </c>
      <c r="R31" s="137">
        <f>SUMIFS(FundingTranches[Full possible],FundingTranches[Instrument],"Loan",FundingTranches[Scenario month],26-'Cases'!$D$6)</f>
        <v/>
      </c>
      <c r="S31" s="137">
        <f>IF(26&lt;='Assumptions'!$B$34,0,SUMIFS('Production schedule'!$AL$6:$AL$113,'Production schedule'!$C$6:$C$113,26-'Assumptions'!$B$34))</f>
        <v/>
      </c>
      <c r="T31" s="137">
        <f>'Assumptions'!AC70</f>
        <v/>
      </c>
      <c r="U31" s="137">
        <f>'Assumptions'!AC78</f>
        <v/>
      </c>
      <c r="V31" s="137">
        <f>SUM(O31:U31)</f>
        <v/>
      </c>
      <c r="W31" s="137">
        <f>AA30</f>
        <v/>
      </c>
      <c r="X31" s="137">
        <f>SUM(Q31:R31)</f>
        <v/>
      </c>
      <c r="Y31" s="137">
        <f>SUM(W31,X31)*'Assumptions'!$B$39/12</f>
        <v/>
      </c>
      <c r="Z31" s="137">
        <f>IF(SUM(W31,X31)&gt;0,MIN(SUM(W31,X31),MAX(0,BP31-Y31)),0)</f>
        <v/>
      </c>
      <c r="AA31" s="137">
        <f>SUM(W31,X31)-Z31</f>
        <v/>
      </c>
      <c r="AB31" s="137">
        <f>SUM(Y31:Z31)</f>
        <v/>
      </c>
      <c r="AC31" s="137">
        <f>'Assumptions'!AC72</f>
        <v/>
      </c>
      <c r="AD31" s="137">
        <f>'Assumptions'!AC73</f>
        <v/>
      </c>
      <c r="AE31" s="137">
        <f>IF(X31&gt;0,SUM('Assumptions'!$B$42),0)</f>
        <v/>
      </c>
      <c r="AF31" s="137">
        <f>'Assumptions'!AC71</f>
        <v/>
      </c>
      <c r="AG31" s="137">
        <f>'Assumptions'!AC74</f>
        <v/>
      </c>
      <c r="AH31" s="137">
        <f>'Assumptions'!AC75</f>
        <v/>
      </c>
      <c r="AI31" s="137">
        <f>'Assumptions'!AC77</f>
        <v/>
      </c>
      <c r="AJ31" s="137">
        <f>V31-N31-SUM(AB31:AI31)</f>
        <v/>
      </c>
      <c r="AK31" s="137">
        <f>SUM(AJ6:AJ31)</f>
        <v/>
      </c>
      <c r="AL31" s="137">
        <f>IF(ISNUMBER('Assumptions'!$B$10),'Assumptions'!$B$10+AK31,"")</f>
        <v/>
      </c>
      <c r="AM31" s="137">
        <f>SUM(O31,Q31,T31)-N31-SUM(AC31:AI31)+IF('Funding'!$N$11=0,AE31,0)-IF('Funding'!$N$11&gt;0,AB31,0)</f>
        <v/>
      </c>
      <c r="AN31" s="137">
        <f>SUM(AM6:AM31)</f>
        <v/>
      </c>
      <c r="AO31" s="137">
        <f>IF(ISNUMBER('Assumptions'!$B$10),'Assumptions'!$B$10+AN31,"")</f>
        <v/>
      </c>
      <c r="AP31" s="137">
        <f>('Production schedule'!AK31)*'Responsibilities'!$C$6+('Production schedule'!AK67)*'Responsibilities'!$C$7+('Production schedule'!AK103)*'Responsibilities'!$C$8</f>
        <v/>
      </c>
      <c r="AQ31" s="137">
        <f>SUMIFS('Production schedule'!$AL$6:$AL$113,'Production schedule'!$C$6:$C$113,26)</f>
        <v/>
      </c>
      <c r="AR31" s="137">
        <f>IF(ISNUMBER('Assumptions'!AC76),'Assumptions'!AC76,SUM(O31:P31))</f>
        <v/>
      </c>
      <c r="AS31" s="137">
        <f>IF(ISNUMBER('Assumptions'!$B$13),MIN('Assumptions'!$B$13/'Assumptions'!$B$18/12,MAX(0,'Assumptions'!$B$13-(26-1)*'Assumptions'!$B$13/'Assumptions'!$B$18/12)),0)+IF(AND('Sites'!E6=1,26&gt;=('Sites'!F6),26&lt;('Sites'!F6)+'Assumptions'!$B$18*12),'Capital'!E6/'Assumptions'!$B$18/12,0)+IF(AND('Sites'!E7=1,26&gt;=('Sites'!F7+'Cases'!G6),26&lt;('Sites'!F7+'Cases'!G6)+'Assumptions'!$B$18*12),'Capital'!E7/'Assumptions'!$B$18/12,0)+IF(AND('Sites'!E8*'Cases'!F6=1,26&gt;=('Sites'!F8+'Cases'!G6),26&lt;('Sites'!F8+'Cases'!G6)+'Assumptions'!$B$18*12),'Capital'!E8/'Assumptions'!$B$18/12,0)</f>
        <v/>
      </c>
      <c r="AT31" s="137">
        <f>SUM(AQ31,AR31,U31)-AP31-SUM(H31:L31)-AS31-SUM(Y31,AD31,AE31,AH31)</f>
        <v/>
      </c>
      <c r="AU31" s="137">
        <f>IF(ISNUMBER('Assumptions'!$B$19),MAX(0,SUM(AT30:AT31))*'Assumptions'!$B$19-SUM(AU30:AU30),"")</f>
        <v/>
      </c>
      <c r="AV31" s="137">
        <f>IF(ISNUMBER(AU31),AT31-AU31,"")</f>
        <v/>
      </c>
      <c r="AW31" s="137">
        <f>IF(ISNUMBER('Assumptions'!$B$11),'Assumptions'!$B$11+SUM(AQ6:AQ31)-SUM(S6:S31)-SUM(T6:T31),"")</f>
        <v/>
      </c>
      <c r="AX31" s="137">
        <f>IF(ISNUMBER('Assumptions'!$B$12),'Assumptions'!$B$12+SUM(G6:G31)-SUM(AP6:AP31),"")</f>
        <v/>
      </c>
      <c r="AY31" s="137">
        <f>IF(ISNUMBER('Assumptions'!$B$13),'Assumptions'!$B$13+SUM(M6:M31)-SUM(AS6:AS31),"")</f>
        <v/>
      </c>
      <c r="AZ31" s="137">
        <f>IF(ISNUMBER('Assumptions'!$B$14),'Assumptions'!$B$14+-SUM(AF6:AF31),"")</f>
        <v/>
      </c>
      <c r="BA31" s="137">
        <f>IF(ISNUMBER('Assumptions'!$B$15),'Assumptions'!$B$15+SUM(O6:O31)+SUM(P6:P31)-SUM(AR6:AR31),"")</f>
        <v/>
      </c>
      <c r="BB31" s="137">
        <f>IF(ISNUMBER('Assumptions'!$B$16),'Assumptions'!$B$16+-SUM(AC6:AC31),"")</f>
        <v/>
      </c>
      <c r="BC31" s="137">
        <f>IF(AND(ISNUMBER('Assumptions'!$B$21),ISNUMBER('Assumptions'!$B$19)),'Assumptions'!$B$21+SUM(AU6:AU31)-SUM(AG6:AG31),"")</f>
        <v/>
      </c>
      <c r="BD31" s="137">
        <f>IF(ISNUMBER('Assumptions'!$B$20),'Assumptions'!$B$20+-SUM(AI6:AI31),"")</f>
        <v/>
      </c>
      <c r="BE31" s="137">
        <f>IF(AND(ISNUMBER('Assumptions'!$B$17),COUNT(AV6:AV31)=26),'Assumptions'!$B$17+SUM(AV6:AV31),"")</f>
        <v/>
      </c>
      <c r="BF31" s="137">
        <f>IF(COUNT(AL31,AW31:AY31)=4,SUM(AL31,AW31:AY31),"")</f>
        <v/>
      </c>
      <c r="BG31" s="137">
        <f>IF(COUNT(AZ31:BD31)=5,SUM(AZ31:BD31,AA31),"")</f>
        <v/>
      </c>
      <c r="BH31" s="137">
        <f>IF(COUNT(BF31,BG31,BE31)=3,BF31-BG31-BE31,"")</f>
        <v/>
      </c>
      <c r="BI31" s="137">
        <f>SUM(W31,X31)-Z31-AA31</f>
        <v/>
      </c>
      <c r="BJ31" s="137">
        <f>8-COUNT('Assumptions'!AC58:AC65)+COUNTBLANK('NM Play'!B33:B34)+'Costs'!E44+IF(AND('Sites'!E6=1,('Sites'!F6)&lt;=36,'Sites'!G6&gt;=25),IF(ISNUMBER('Sites'!Q6),0,1)+'Capital'!I6+COUNTBLANK('Sites'!R6)+IF('Sites'!D6="NM crew",COUNTBLANK('NM Play'!B25)+1,5-COUNT('Assumptions'!AC112:AC116)),0)+IF(AND('Sites'!E7=1,('Sites'!F7+'Cases'!G6)&lt;=36,'Sites'!G7&gt;=25),IF(ISNUMBER('Sites'!Q7),0,1)+'Capital'!I7+COUNTBLANK('Sites'!R7)+IF('Sites'!D7="NM crew",COUNTBLANK('NM Play'!B25)+1,5-COUNT('Assumptions'!AC117:AC121)),0)+IF(AND('Sites'!E8*'Cases'!F6=1,('Sites'!F8+'Cases'!G6)&lt;=36,'Sites'!G8&gt;=25),IF(ISNUMBER('Sites'!Q8),0,1)+'Capital'!I8+COUNTBLANK('Sites'!R8)+IF('Sites'!D8="NM crew",COUNTBLANK('NM Play'!B25)+1,5-COUNT('Assumptions'!AC122:AC126)),0)+IF(AND('Cases'!C6&gt;0,NOT(ISNUMBER('Assumptions'!B42))),1,0)+'Responsibilities'!$B$39</f>
        <v/>
      </c>
      <c r="BK31" s="137">
        <f>'Assumptions'!$B$50+'NM Play'!$B$83+'Funding'!$F$20+SUMIFS('Production schedule'!$AN$6:$AN$113,'Production schedule'!$C$6:$C$113,26)+IF(OR('Cases'!E6&lt;0,'Cases'!E6&gt;1,'Cases'!C6&lt;0,'Cases'!D6&lt;0,ABS(SUM('Sites'!S6:S8)-1)&gt;0.0001,MIN('Capital'!F6:F8)&lt;0,MAX('Capital'!F6:F8)&gt;1,MIN(AX31,AZ31,BB31,BA31)&lt;-0.01),1,0)+'Responsibilities'!$B$40</f>
        <v/>
      </c>
      <c r="BL31" s="137">
        <f>SUMIFS('Production schedule'!$T$6:$T$113,'Production schedule'!$C$6:$C$113,26)</f>
        <v/>
      </c>
      <c r="BM31" s="137">
        <f>D31*'NM Play'!$B$38</f>
        <v/>
      </c>
      <c r="BN31" s="137">
        <f>SUMIFS('Production schedule'!$AM$6:$AM$113,'Production schedule'!$C$6:$C$113,26)</f>
        <v/>
      </c>
      <c r="BO31" s="137">
        <f>AK31-AK30-AJ31</f>
        <v/>
      </c>
      <c r="BP31" s="137">
        <f>IF(AND('Assumptions'!$B$39&gt;=0,'Assumptions'!$B$40&gt;0),-PMT('Assumptions'!$B$39/12,'Assumptions'!$B$40*12,IF('Funding'!$N$11&gt;0,'Funding'!$N$11,'Funding'!$R$11)),"")</f>
        <v/>
      </c>
      <c r="BQ31">
        <f>('Production schedule'!AJ31)*(1-'Responsibilities'!$C$6)+('Production schedule'!AJ67)*(1-'Responsibilities'!$C$7)+('Production schedule'!AJ103)*(1-'Responsibilities'!$C$8)</f>
        <v/>
      </c>
      <c r="BR31">
        <f>('Production schedule'!AI31)*(1-'Responsibilities'!$D$6)+('Production schedule'!AI67)*(1-'Responsibilities'!$D$7)+('Production schedule'!AI103)*(1-'Responsibilities'!$D$8)</f>
        <v/>
      </c>
      <c r="BS31">
        <f>('Production schedule'!E31*(IF('Sites'!D6="Annual staff",SUM('Assumptions'!AC112,'Assumptions'!AC114),0)+SUM('Assumptions'!AC113,'Assumptions'!AC115:AC116)))*(1-'Responsibilities'!$E$6)+('Production schedule'!E67*(IF('Sites'!D7="Annual staff",SUM('Assumptions'!AC117,'Assumptions'!AC119),0)+SUM('Assumptions'!AC118,'Assumptions'!AC120:AC121)))*(1-'Responsibilities'!$E$7)+('Production schedule'!E103*(IF('Sites'!D8="Annual staff",SUM('Assumptions'!AC122,'Assumptions'!AC124),0)+SUM('Assumptions'!AC123,'Assumptions'!AC125:AC126)))*(1-'Responsibilities'!$E$8)</f>
        <v/>
      </c>
      <c r="BT31">
        <f>(IF(AND('Production schedule'!E31=1,26=MAX(('Sites'!F6),25),ISNUMBER('Sites'!Q6)),'Sites'!Q6*'Assumptions'!$B$44,0))*(1-'Responsibilities'!$F$6)+(IF(AND('Production schedule'!E67=1,26=MAX(('Sites'!F7+'Cases'!G6),25),ISNUMBER('Sites'!Q7)),'Sites'!Q7*'Assumptions'!$B$44,0))*(1-'Responsibilities'!$F$7)+(IF(AND('Production schedule'!E103=1,26=MAX(('Sites'!F8+'Cases'!G6),25),ISNUMBER('Sites'!Q8)),'Sites'!Q8*'Assumptions'!$B$44,0))*(1-'Responsibilities'!$F$8)</f>
        <v/>
      </c>
      <c r="BU31">
        <f>SUM('Costs'!E36)*'Costs'!F36/12*(1-'Responsibilities'!$C$12)+SUM('Costs'!E37)*'Costs'!F37/12*(1-'Responsibilities'!$C$13)+SUM('Costs'!E38)*'Costs'!F38/12*(1-'Responsibilities'!$C$14)+SUM('Costs'!E39)*'Costs'!F39/12*(1-'Responsibilities'!$C$15)+SUM('Costs'!E40)*'Costs'!F40/12*(1-'Responsibilities'!$C$16)</f>
        <v/>
      </c>
      <c r="BV31">
        <f>('Sites'!E6*'Capital'!E6*(IF(26='Capital'!G6,'Capital'!F6,0)+IF(26='Capital'!H6,1-'Capital'!F6,0)))*(1-'Responsibilities'!$G$6)+('Sites'!E7*'Capital'!E7*(IF(26='Capital'!G7+'Cases'!G6,'Capital'!F7,0)+IF(26='Capital'!H7+'Cases'!G6,1-'Capital'!F7,0)))*(1-'Responsibilities'!$G$7)+('Sites'!E8*'Cases'!F6*'Capital'!E8*(IF(26='Capital'!G8+'Cases'!G6,'Capital'!F8,0)+IF(26='Capital'!H8+'Cases'!G6,1-'Capital'!F8,0)))*(1-'Responsibilities'!$G$8)</f>
        <v/>
      </c>
      <c r="BW31">
        <f>SUM(BQ31:BV31)</f>
        <v/>
      </c>
      <c r="BX31">
        <f>N31+BW31</f>
        <v/>
      </c>
      <c r="BY31">
        <f>BX31-(('Production schedule'!AJ31)*'Responsibilities'!$C$6+('Production schedule'!AJ67)*'Responsibilities'!$C$7+('Production schedule'!AJ103)*'Responsibilities'!$C$8+('Production schedule'!AJ31)*(1-'Responsibilities'!$C$6)+('Production schedule'!AJ67)*(1-'Responsibilities'!$C$7)+('Production schedule'!AJ103)*(1-'Responsibilities'!$C$8)+('Production schedule'!AI31)*'Responsibilities'!$D$6+('Production schedule'!AI67)*'Responsibilities'!$D$7+('Production schedule'!AI103)*'Responsibilities'!$D$8+('Production schedule'!AI31)*(1-'Responsibilities'!$D$6)+('Production schedule'!AI67)*(1-'Responsibilities'!$D$7)+('Production schedule'!AI103)*(1-'Responsibilities'!$D$8)+('Production schedule'!E31*(IF('Sites'!D6="Annual staff",SUM('Assumptions'!AC112,'Assumptions'!AC114),0)+SUM('Assumptions'!AC113,'Assumptions'!AC115:AC116)))*'Responsibilities'!$E$6+('Production schedule'!E67*(IF('Sites'!D7="Annual staff",SUM('Assumptions'!AC117,'Assumptions'!AC119),0)+SUM('Assumptions'!AC118,'Assumptions'!AC120:AC121)))*'Responsibilities'!$E$7+('Production schedule'!E103*(IF('Sites'!D8="Annual staff",SUM('Assumptions'!AC122,'Assumptions'!AC124),0)+SUM('Assumptions'!AC123,'Assumptions'!AC125:AC126)))*'Responsibilities'!$E$8+('Production schedule'!E31*(IF('Sites'!D6="Annual staff",SUM('Assumptions'!AC112,'Assumptions'!AC114),0)+SUM('Assumptions'!AC113,'Assumptions'!AC115:AC116)))*(1-'Responsibilities'!$E$6)+('Production schedule'!E67*(IF('Sites'!D7="Annual staff",SUM('Assumptions'!AC117,'Assumptions'!AC119),0)+SUM('Assumptions'!AC118,'Assumptions'!AC120:AC121)))*(1-'Responsibilities'!$E$7)+('Production schedule'!E103*(IF('Sites'!D8="Annual staff",SUM('Assumptions'!AC122,'Assumptions'!AC124),0)+SUM('Assumptions'!AC123,'Assumptions'!AC125:AC126)))*(1-'Responsibilities'!$E$8)+(IF(AND('Production schedule'!E31=1,26=MAX(('Sites'!F6),25),ISNUMBER('Sites'!Q6)),'Sites'!Q6*'Assumptions'!$B$44,0))*'Responsibilities'!$F$6+(IF(AND('Production schedule'!E67=1,26=MAX(('Sites'!F7+'Cases'!G6),25),ISNUMBER('Sites'!Q7)),'Sites'!Q7*'Assumptions'!$B$44,0))*'Responsibilities'!$F$7+(IF(AND('Production schedule'!E103=1,26=MAX(('Sites'!F8+'Cases'!G6),25),ISNUMBER('Sites'!Q8)),'Sites'!Q8*'Assumptions'!$B$44,0))*'Responsibilities'!$F$8+(IF(AND('Production schedule'!E31=1,26=MAX(('Sites'!F6),25),ISNUMBER('Sites'!Q6)),'Sites'!Q6*'Assumptions'!$B$44,0))*(1-'Responsibilities'!$F$6)+(IF(AND('Production schedule'!E67=1,26=MAX(('Sites'!F7+'Cases'!G6),25),ISNUMBER('Sites'!Q7)),'Sites'!Q7*'Assumptions'!$B$44,0))*(1-'Responsibilities'!$F$7)+(IF(AND('Production schedule'!E103=1,26=MAX(('Sites'!F8+'Cases'!G6),25),ISNUMBER('Sites'!Q8)),'Sites'!Q8*'Assumptions'!$B$44,0))*(1-'Responsibilities'!$F$8)+('Sites'!E6*'Capital'!E6*(IF(26='Capital'!G6,'Capital'!F6,0)+IF(26='Capital'!H6,1-'Capital'!F6,0)))*'Responsibilities'!$G$6+('Sites'!E7*'Capital'!E7*(IF(26='Capital'!G7+'Cases'!G6,'Capital'!F7,0)+IF(26='Capital'!H7+'Cases'!G6,1-'Capital'!F7,0)))*'Responsibilities'!$G$7+('Sites'!E8*'Cases'!F6*'Capital'!E8*(IF(26='Capital'!G8+'Cases'!G6,'Capital'!F8,0)+IF(26='Capital'!H8+'Cases'!G6,1-'Capital'!F8,0)))*'Responsibilities'!$G$8+('Sites'!E6*'Capital'!E6*(IF(26='Capital'!G6,'Capital'!F6,0)+IF(26='Capital'!H6,1-'Capital'!F6,0)))*(1-'Responsibilities'!$G$6)+('Sites'!E7*'Capital'!E7*(IF(26='Capital'!G7+'Cases'!G6,'Capital'!F7,0)+IF(26='Capital'!H7+'Cases'!G6,1-'Capital'!F7,0)))*(1-'Responsibilities'!$G$7)+('Sites'!E8*'Cases'!F6*'Capital'!E8*(IF(26='Capital'!G8+'Cases'!G6,'Capital'!F8,0)+IF(26='Capital'!H8+'Cases'!G6,1-'Capital'!F8,0)))*(1-'Responsibilities'!$G$8)+I31+SUMPRODUCT('Costs'!$E$36:$E$40,'Costs'!$F$36:$F$40)/12+BZ31)</f>
        <v/>
      </c>
      <c r="BZ31">
        <f>SUMIFS('Responsibilities'!$B$31:$B$35,'Responsibilities'!$C$31:$C$35,26,'Responsibilities'!$D$31:$D$35,"Yes")</f>
        <v/>
      </c>
    </row>
    <row r="32" ht="28" customHeight="1">
      <c r="A32" s="4" t="inlineStr">
        <is>
          <t>Full</t>
        </is>
      </c>
      <c r="B32" s="4" t="n">
        <v>27</v>
      </c>
      <c r="C32" s="4">
        <f>ROUNDUP(B32/12,0)</f>
        <v/>
      </c>
      <c r="D32" s="137">
        <f>SUMIFS('Production schedule'!$N$6:$N$113,'Production schedule'!$C$6:$C$113,27)</f>
        <v/>
      </c>
      <c r="E32" s="137">
        <f>SUMIFS('Production schedule'!$Y$6:$Y$113,'Production schedule'!$C$6:$C$113,27)</f>
        <v/>
      </c>
      <c r="F32" s="137">
        <f>SUMIFS('Production schedule'!$Z$6:$Z$113,'Production schedule'!$C$6:$C$113,27)</f>
        <v/>
      </c>
      <c r="G32" s="137">
        <f>('Production schedule'!AJ32)*'Responsibilities'!$C$6+('Production schedule'!AJ68)*'Responsibilities'!$C$7+('Production schedule'!AJ104)*'Responsibilities'!$C$8</f>
        <v/>
      </c>
      <c r="H32" s="137">
        <f>('Production schedule'!AI32)*'Responsibilities'!$D$6+('Production schedule'!AI68)*'Responsibilities'!$D$7+('Production schedule'!AI104)*'Responsibilities'!$D$8</f>
        <v/>
      </c>
      <c r="I32" s="137">
        <f>SUM('Assumptions'!AD58:AD65)</f>
        <v/>
      </c>
      <c r="J32" s="137">
        <f>('Production schedule'!E32*(IF('Sites'!D6="Annual staff",SUM('Assumptions'!AD112,'Assumptions'!AD114),0)+SUM('Assumptions'!AD113,'Assumptions'!AD115:AD116)))*'Responsibilities'!$E$6+('Production schedule'!E68*(IF('Sites'!D7="Annual staff",SUM('Assumptions'!AD117,'Assumptions'!AD119),0)+SUM('Assumptions'!AD118,'Assumptions'!AD120:AD121)))*'Responsibilities'!$E$7+('Production schedule'!E104*(IF('Sites'!D8="Annual staff",SUM('Assumptions'!AD122,'Assumptions'!AD124),0)+SUM('Assumptions'!AD123,'Assumptions'!AD125:AD126)))*'Responsibilities'!$E$8</f>
        <v/>
      </c>
      <c r="K32" s="137">
        <f>(IF(AND('Production schedule'!E32=1,27=MAX(('Sites'!F6),25),ISNUMBER('Sites'!Q6)),'Sites'!Q6*'Assumptions'!$B$44,0))*'Responsibilities'!$F$6+(IF(AND('Production schedule'!E68=1,27=MAX(('Sites'!F7+'Cases'!G6),25),ISNUMBER('Sites'!Q7)),'Sites'!Q7*'Assumptions'!$B$44,0))*'Responsibilities'!$F$7+(IF(AND('Production schedule'!E104=1,27=MAX(('Sites'!F8+'Cases'!G6),25),ISNUMBER('Sites'!Q8)),'Sites'!Q8*'Assumptions'!$B$44,0))*'Responsibilities'!$F$8</f>
        <v/>
      </c>
      <c r="L32" s="137">
        <f>SUM('Costs'!E36)*'Costs'!F36/12*'Responsibilities'!$C$12+SUM('Costs'!E37)*'Costs'!F37/12*'Responsibilities'!$C$13+SUM('Costs'!E38)*'Costs'!F38/12*'Responsibilities'!$C$14+SUM('Costs'!E39)*'Costs'!F39/12*'Responsibilities'!$C$15+SUM('Costs'!E40)*'Costs'!F40/12*'Responsibilities'!$C$16+BZ32</f>
        <v/>
      </c>
      <c r="M32" s="137">
        <f>('Sites'!E6*'Capital'!E6*(IF(27='Capital'!G6,'Capital'!F6,0)+IF(27='Capital'!H6,1-'Capital'!F6,0)))*'Responsibilities'!$G$6+('Sites'!E7*'Capital'!E7*(IF(27='Capital'!G7+'Cases'!G6,'Capital'!F7,0)+IF(27='Capital'!H7+'Cases'!G6,1-'Capital'!F7,0)))*'Responsibilities'!$G$7+('Sites'!E8*'Cases'!F6*'Capital'!E8*(IF(27='Capital'!G8+'Cases'!G6,'Capital'!F8,0)+IF(27='Capital'!H8+'Cases'!G6,1-'Capital'!F8,0)))*'Responsibilities'!$G$8</f>
        <v/>
      </c>
      <c r="N32" s="137">
        <f>SUM(G32:M32)</f>
        <v/>
      </c>
      <c r="O32" s="137">
        <f>SUMIFS(FundingTranches[Secured amount],FundingTranches[Instrument],"Grant",FundingTranches[Secured month],27)</f>
        <v/>
      </c>
      <c r="P32" s="137">
        <f>SUMIFS(FundingTranches[Full possible],FundingTranches[Instrument],"Grant",FundingTranches[Scenario month],27-'Cases'!$D$6)</f>
        <v/>
      </c>
      <c r="Q32" s="137">
        <f>SUMIFS(FundingTranches[Secured amount],FundingTranches[Instrument],"Loan",FundingTranches[Secured month],27)</f>
        <v/>
      </c>
      <c r="R32" s="137">
        <f>SUMIFS(FundingTranches[Full possible],FundingTranches[Instrument],"Loan",FundingTranches[Scenario month],27-'Cases'!$D$6)</f>
        <v/>
      </c>
      <c r="S32" s="137">
        <f>IF(27&lt;='Assumptions'!$B$34,0,SUMIFS('Production schedule'!$AL$6:$AL$113,'Production schedule'!$C$6:$C$113,27-'Assumptions'!$B$34))</f>
        <v/>
      </c>
      <c r="T32" s="137">
        <f>'Assumptions'!AD70</f>
        <v/>
      </c>
      <c r="U32" s="137">
        <f>'Assumptions'!AD78</f>
        <v/>
      </c>
      <c r="V32" s="137">
        <f>SUM(O32:U32)</f>
        <v/>
      </c>
      <c r="W32" s="137">
        <f>AA31</f>
        <v/>
      </c>
      <c r="X32" s="137">
        <f>SUM(Q32:R32)</f>
        <v/>
      </c>
      <c r="Y32" s="137">
        <f>SUM(W32,X32)*'Assumptions'!$B$39/12</f>
        <v/>
      </c>
      <c r="Z32" s="137">
        <f>IF(SUM(W32,X32)&gt;0,MIN(SUM(W32,X32),MAX(0,BP32-Y32)),0)</f>
        <v/>
      </c>
      <c r="AA32" s="137">
        <f>SUM(W32,X32)-Z32</f>
        <v/>
      </c>
      <c r="AB32" s="137">
        <f>SUM(Y32:Z32)</f>
        <v/>
      </c>
      <c r="AC32" s="137">
        <f>'Assumptions'!AD72</f>
        <v/>
      </c>
      <c r="AD32" s="137">
        <f>'Assumptions'!AD73</f>
        <v/>
      </c>
      <c r="AE32" s="137">
        <f>IF(X32&gt;0,SUM('Assumptions'!$B$42),0)</f>
        <v/>
      </c>
      <c r="AF32" s="137">
        <f>'Assumptions'!AD71</f>
        <v/>
      </c>
      <c r="AG32" s="137">
        <f>'Assumptions'!AD74</f>
        <v/>
      </c>
      <c r="AH32" s="137">
        <f>'Assumptions'!AD75</f>
        <v/>
      </c>
      <c r="AI32" s="137">
        <f>'Assumptions'!AD77</f>
        <v/>
      </c>
      <c r="AJ32" s="137">
        <f>V32-N32-SUM(AB32:AI32)</f>
        <v/>
      </c>
      <c r="AK32" s="137">
        <f>SUM(AJ6:AJ32)</f>
        <v/>
      </c>
      <c r="AL32" s="137">
        <f>IF(ISNUMBER('Assumptions'!$B$10),'Assumptions'!$B$10+AK32,"")</f>
        <v/>
      </c>
      <c r="AM32" s="137">
        <f>SUM(O32,Q32,T32)-N32-SUM(AC32:AI32)+IF('Funding'!$N$11=0,AE32,0)-IF('Funding'!$N$11&gt;0,AB32,0)</f>
        <v/>
      </c>
      <c r="AN32" s="137">
        <f>SUM(AM6:AM32)</f>
        <v/>
      </c>
      <c r="AO32" s="137">
        <f>IF(ISNUMBER('Assumptions'!$B$10),'Assumptions'!$B$10+AN32,"")</f>
        <v/>
      </c>
      <c r="AP32" s="137">
        <f>('Production schedule'!AK32)*'Responsibilities'!$C$6+('Production schedule'!AK68)*'Responsibilities'!$C$7+('Production schedule'!AK104)*'Responsibilities'!$C$8</f>
        <v/>
      </c>
      <c r="AQ32" s="137">
        <f>SUMIFS('Production schedule'!$AL$6:$AL$113,'Production schedule'!$C$6:$C$113,27)</f>
        <v/>
      </c>
      <c r="AR32" s="137">
        <f>IF(ISNUMBER('Assumptions'!AD76),'Assumptions'!AD76,SUM(O32:P32))</f>
        <v/>
      </c>
      <c r="AS32" s="137">
        <f>IF(ISNUMBER('Assumptions'!$B$13),MIN('Assumptions'!$B$13/'Assumptions'!$B$18/12,MAX(0,'Assumptions'!$B$13-(27-1)*'Assumptions'!$B$13/'Assumptions'!$B$18/12)),0)+IF(AND('Sites'!E6=1,27&gt;=('Sites'!F6),27&lt;('Sites'!F6)+'Assumptions'!$B$18*12),'Capital'!E6/'Assumptions'!$B$18/12,0)+IF(AND('Sites'!E7=1,27&gt;=('Sites'!F7+'Cases'!G6),27&lt;('Sites'!F7+'Cases'!G6)+'Assumptions'!$B$18*12),'Capital'!E7/'Assumptions'!$B$18/12,0)+IF(AND('Sites'!E8*'Cases'!F6=1,27&gt;=('Sites'!F8+'Cases'!G6),27&lt;('Sites'!F8+'Cases'!G6)+'Assumptions'!$B$18*12),'Capital'!E8/'Assumptions'!$B$18/12,0)</f>
        <v/>
      </c>
      <c r="AT32" s="137">
        <f>SUM(AQ32,AR32,U32)-AP32-SUM(H32:L32)-AS32-SUM(Y32,AD32,AE32,AH32)</f>
        <v/>
      </c>
      <c r="AU32" s="137">
        <f>IF(ISNUMBER('Assumptions'!$B$19),MAX(0,SUM(AT30:AT32))*'Assumptions'!$B$19-SUM(AU30:AU31),"")</f>
        <v/>
      </c>
      <c r="AV32" s="137">
        <f>IF(ISNUMBER(AU32),AT32-AU32,"")</f>
        <v/>
      </c>
      <c r="AW32" s="137">
        <f>IF(ISNUMBER('Assumptions'!$B$11),'Assumptions'!$B$11+SUM(AQ6:AQ32)-SUM(S6:S32)-SUM(T6:T32),"")</f>
        <v/>
      </c>
      <c r="AX32" s="137">
        <f>IF(ISNUMBER('Assumptions'!$B$12),'Assumptions'!$B$12+SUM(G6:G32)-SUM(AP6:AP32),"")</f>
        <v/>
      </c>
      <c r="AY32" s="137">
        <f>IF(ISNUMBER('Assumptions'!$B$13),'Assumptions'!$B$13+SUM(M6:M32)-SUM(AS6:AS32),"")</f>
        <v/>
      </c>
      <c r="AZ32" s="137">
        <f>IF(ISNUMBER('Assumptions'!$B$14),'Assumptions'!$B$14+-SUM(AF6:AF32),"")</f>
        <v/>
      </c>
      <c r="BA32" s="137">
        <f>IF(ISNUMBER('Assumptions'!$B$15),'Assumptions'!$B$15+SUM(O6:O32)+SUM(P6:P32)-SUM(AR6:AR32),"")</f>
        <v/>
      </c>
      <c r="BB32" s="137">
        <f>IF(ISNUMBER('Assumptions'!$B$16),'Assumptions'!$B$16+-SUM(AC6:AC32),"")</f>
        <v/>
      </c>
      <c r="BC32" s="137">
        <f>IF(AND(ISNUMBER('Assumptions'!$B$21),ISNUMBER('Assumptions'!$B$19)),'Assumptions'!$B$21+SUM(AU6:AU32)-SUM(AG6:AG32),"")</f>
        <v/>
      </c>
      <c r="BD32" s="137">
        <f>IF(ISNUMBER('Assumptions'!$B$20),'Assumptions'!$B$20+-SUM(AI6:AI32),"")</f>
        <v/>
      </c>
      <c r="BE32" s="137">
        <f>IF(AND(ISNUMBER('Assumptions'!$B$17),COUNT(AV6:AV32)=27),'Assumptions'!$B$17+SUM(AV6:AV32),"")</f>
        <v/>
      </c>
      <c r="BF32" s="137">
        <f>IF(COUNT(AL32,AW32:AY32)=4,SUM(AL32,AW32:AY32),"")</f>
        <v/>
      </c>
      <c r="BG32" s="137">
        <f>IF(COUNT(AZ32:BD32)=5,SUM(AZ32:BD32,AA32),"")</f>
        <v/>
      </c>
      <c r="BH32" s="137">
        <f>IF(COUNT(BF32,BG32,BE32)=3,BF32-BG32-BE32,"")</f>
        <v/>
      </c>
      <c r="BI32" s="137">
        <f>SUM(W32,X32)-Z32-AA32</f>
        <v/>
      </c>
      <c r="BJ32" s="137">
        <f>8-COUNT('Assumptions'!AD58:AD65)+COUNTBLANK('NM Play'!B33:B34)+'Costs'!E44+IF(AND('Sites'!E6=1,('Sites'!F6)&lt;=36,'Sites'!G6&gt;=25),IF(ISNUMBER('Sites'!Q6),0,1)+'Capital'!I6+COUNTBLANK('Sites'!R6)+IF('Sites'!D6="NM crew",COUNTBLANK('NM Play'!B25)+1,5-COUNT('Assumptions'!AD112:AD116)),0)+IF(AND('Sites'!E7=1,('Sites'!F7+'Cases'!G6)&lt;=36,'Sites'!G7&gt;=25),IF(ISNUMBER('Sites'!Q7),0,1)+'Capital'!I7+COUNTBLANK('Sites'!R7)+IF('Sites'!D7="NM crew",COUNTBLANK('NM Play'!B25)+1,5-COUNT('Assumptions'!AD117:AD121)),0)+IF(AND('Sites'!E8*'Cases'!F6=1,('Sites'!F8+'Cases'!G6)&lt;=36,'Sites'!G8&gt;=25),IF(ISNUMBER('Sites'!Q8),0,1)+'Capital'!I8+COUNTBLANK('Sites'!R8)+IF('Sites'!D8="NM crew",COUNTBLANK('NM Play'!B25)+1,5-COUNT('Assumptions'!AD122:AD126)),0)+IF(AND('Cases'!C6&gt;0,NOT(ISNUMBER('Assumptions'!B42))),1,0)+'Responsibilities'!$B$39</f>
        <v/>
      </c>
      <c r="BK32" s="137">
        <f>'Assumptions'!$B$50+'NM Play'!$B$83+'Funding'!$F$20+SUMIFS('Production schedule'!$AN$6:$AN$113,'Production schedule'!$C$6:$C$113,27)+IF(OR('Cases'!E6&lt;0,'Cases'!E6&gt;1,'Cases'!C6&lt;0,'Cases'!D6&lt;0,ABS(SUM('Sites'!S6:S8)-1)&gt;0.0001,MIN('Capital'!F6:F8)&lt;0,MAX('Capital'!F6:F8)&gt;1,MIN(AX32,AZ32,BB32,BA32)&lt;-0.01),1,0)+'Responsibilities'!$B$40</f>
        <v/>
      </c>
      <c r="BL32" s="137">
        <f>SUMIFS('Production schedule'!$T$6:$T$113,'Production schedule'!$C$6:$C$113,27)</f>
        <v/>
      </c>
      <c r="BM32" s="137">
        <f>D32*'NM Play'!$B$38</f>
        <v/>
      </c>
      <c r="BN32" s="137">
        <f>SUMIFS('Production schedule'!$AM$6:$AM$113,'Production schedule'!$C$6:$C$113,27)</f>
        <v/>
      </c>
      <c r="BO32" s="137">
        <f>AK32-AK31-AJ32</f>
        <v/>
      </c>
      <c r="BP32" s="137">
        <f>IF(AND('Assumptions'!$B$39&gt;=0,'Assumptions'!$B$40&gt;0),-PMT('Assumptions'!$B$39/12,'Assumptions'!$B$40*12,IF('Funding'!$N$11&gt;0,'Funding'!$N$11,'Funding'!$R$11)),"")</f>
        <v/>
      </c>
      <c r="BQ32">
        <f>('Production schedule'!AJ32)*(1-'Responsibilities'!$C$6)+('Production schedule'!AJ68)*(1-'Responsibilities'!$C$7)+('Production schedule'!AJ104)*(1-'Responsibilities'!$C$8)</f>
        <v/>
      </c>
      <c r="BR32">
        <f>('Production schedule'!AI32)*(1-'Responsibilities'!$D$6)+('Production schedule'!AI68)*(1-'Responsibilities'!$D$7)+('Production schedule'!AI104)*(1-'Responsibilities'!$D$8)</f>
        <v/>
      </c>
      <c r="BS32">
        <f>('Production schedule'!E32*(IF('Sites'!D6="Annual staff",SUM('Assumptions'!AD112,'Assumptions'!AD114),0)+SUM('Assumptions'!AD113,'Assumptions'!AD115:AD116)))*(1-'Responsibilities'!$E$6)+('Production schedule'!E68*(IF('Sites'!D7="Annual staff",SUM('Assumptions'!AD117,'Assumptions'!AD119),0)+SUM('Assumptions'!AD118,'Assumptions'!AD120:AD121)))*(1-'Responsibilities'!$E$7)+('Production schedule'!E104*(IF('Sites'!D8="Annual staff",SUM('Assumptions'!AD122,'Assumptions'!AD124),0)+SUM('Assumptions'!AD123,'Assumptions'!AD125:AD126)))*(1-'Responsibilities'!$E$8)</f>
        <v/>
      </c>
      <c r="BT32">
        <f>(IF(AND('Production schedule'!E32=1,27=MAX(('Sites'!F6),25),ISNUMBER('Sites'!Q6)),'Sites'!Q6*'Assumptions'!$B$44,0))*(1-'Responsibilities'!$F$6)+(IF(AND('Production schedule'!E68=1,27=MAX(('Sites'!F7+'Cases'!G6),25),ISNUMBER('Sites'!Q7)),'Sites'!Q7*'Assumptions'!$B$44,0))*(1-'Responsibilities'!$F$7)+(IF(AND('Production schedule'!E104=1,27=MAX(('Sites'!F8+'Cases'!G6),25),ISNUMBER('Sites'!Q8)),'Sites'!Q8*'Assumptions'!$B$44,0))*(1-'Responsibilities'!$F$8)</f>
        <v/>
      </c>
      <c r="BU32">
        <f>SUM('Costs'!E36)*'Costs'!F36/12*(1-'Responsibilities'!$C$12)+SUM('Costs'!E37)*'Costs'!F37/12*(1-'Responsibilities'!$C$13)+SUM('Costs'!E38)*'Costs'!F38/12*(1-'Responsibilities'!$C$14)+SUM('Costs'!E39)*'Costs'!F39/12*(1-'Responsibilities'!$C$15)+SUM('Costs'!E40)*'Costs'!F40/12*(1-'Responsibilities'!$C$16)</f>
        <v/>
      </c>
      <c r="BV32">
        <f>('Sites'!E6*'Capital'!E6*(IF(27='Capital'!G6,'Capital'!F6,0)+IF(27='Capital'!H6,1-'Capital'!F6,0)))*(1-'Responsibilities'!$G$6)+('Sites'!E7*'Capital'!E7*(IF(27='Capital'!G7+'Cases'!G6,'Capital'!F7,0)+IF(27='Capital'!H7+'Cases'!G6,1-'Capital'!F7,0)))*(1-'Responsibilities'!$G$7)+('Sites'!E8*'Cases'!F6*'Capital'!E8*(IF(27='Capital'!G8+'Cases'!G6,'Capital'!F8,0)+IF(27='Capital'!H8+'Cases'!G6,1-'Capital'!F8,0)))*(1-'Responsibilities'!$G$8)</f>
        <v/>
      </c>
      <c r="BW32">
        <f>SUM(BQ32:BV32)</f>
        <v/>
      </c>
      <c r="BX32">
        <f>N32+BW32</f>
        <v/>
      </c>
      <c r="BY32">
        <f>BX32-(('Production schedule'!AJ32)*'Responsibilities'!$C$6+('Production schedule'!AJ68)*'Responsibilities'!$C$7+('Production schedule'!AJ104)*'Responsibilities'!$C$8+('Production schedule'!AJ32)*(1-'Responsibilities'!$C$6)+('Production schedule'!AJ68)*(1-'Responsibilities'!$C$7)+('Production schedule'!AJ104)*(1-'Responsibilities'!$C$8)+('Production schedule'!AI32)*'Responsibilities'!$D$6+('Production schedule'!AI68)*'Responsibilities'!$D$7+('Production schedule'!AI104)*'Responsibilities'!$D$8+('Production schedule'!AI32)*(1-'Responsibilities'!$D$6)+('Production schedule'!AI68)*(1-'Responsibilities'!$D$7)+('Production schedule'!AI104)*(1-'Responsibilities'!$D$8)+('Production schedule'!E32*(IF('Sites'!D6="Annual staff",SUM('Assumptions'!AD112,'Assumptions'!AD114),0)+SUM('Assumptions'!AD113,'Assumptions'!AD115:AD116)))*'Responsibilities'!$E$6+('Production schedule'!E68*(IF('Sites'!D7="Annual staff",SUM('Assumptions'!AD117,'Assumptions'!AD119),0)+SUM('Assumptions'!AD118,'Assumptions'!AD120:AD121)))*'Responsibilities'!$E$7+('Production schedule'!E104*(IF('Sites'!D8="Annual staff",SUM('Assumptions'!AD122,'Assumptions'!AD124),0)+SUM('Assumptions'!AD123,'Assumptions'!AD125:AD126)))*'Responsibilities'!$E$8+('Production schedule'!E32*(IF('Sites'!D6="Annual staff",SUM('Assumptions'!AD112,'Assumptions'!AD114),0)+SUM('Assumptions'!AD113,'Assumptions'!AD115:AD116)))*(1-'Responsibilities'!$E$6)+('Production schedule'!E68*(IF('Sites'!D7="Annual staff",SUM('Assumptions'!AD117,'Assumptions'!AD119),0)+SUM('Assumptions'!AD118,'Assumptions'!AD120:AD121)))*(1-'Responsibilities'!$E$7)+('Production schedule'!E104*(IF('Sites'!D8="Annual staff",SUM('Assumptions'!AD122,'Assumptions'!AD124),0)+SUM('Assumptions'!AD123,'Assumptions'!AD125:AD126)))*(1-'Responsibilities'!$E$8)+(IF(AND('Production schedule'!E32=1,27=MAX(('Sites'!F6),25),ISNUMBER('Sites'!Q6)),'Sites'!Q6*'Assumptions'!$B$44,0))*'Responsibilities'!$F$6+(IF(AND('Production schedule'!E68=1,27=MAX(('Sites'!F7+'Cases'!G6),25),ISNUMBER('Sites'!Q7)),'Sites'!Q7*'Assumptions'!$B$44,0))*'Responsibilities'!$F$7+(IF(AND('Production schedule'!E104=1,27=MAX(('Sites'!F8+'Cases'!G6),25),ISNUMBER('Sites'!Q8)),'Sites'!Q8*'Assumptions'!$B$44,0))*'Responsibilities'!$F$8+(IF(AND('Production schedule'!E32=1,27=MAX(('Sites'!F6),25),ISNUMBER('Sites'!Q6)),'Sites'!Q6*'Assumptions'!$B$44,0))*(1-'Responsibilities'!$F$6)+(IF(AND('Production schedule'!E68=1,27=MAX(('Sites'!F7+'Cases'!G6),25),ISNUMBER('Sites'!Q7)),'Sites'!Q7*'Assumptions'!$B$44,0))*(1-'Responsibilities'!$F$7)+(IF(AND('Production schedule'!E104=1,27=MAX(('Sites'!F8+'Cases'!G6),25),ISNUMBER('Sites'!Q8)),'Sites'!Q8*'Assumptions'!$B$44,0))*(1-'Responsibilities'!$F$8)+('Sites'!E6*'Capital'!E6*(IF(27='Capital'!G6,'Capital'!F6,0)+IF(27='Capital'!H6,1-'Capital'!F6,0)))*'Responsibilities'!$G$6+('Sites'!E7*'Capital'!E7*(IF(27='Capital'!G7+'Cases'!G6,'Capital'!F7,0)+IF(27='Capital'!H7+'Cases'!G6,1-'Capital'!F7,0)))*'Responsibilities'!$G$7+('Sites'!E8*'Cases'!F6*'Capital'!E8*(IF(27='Capital'!G8+'Cases'!G6,'Capital'!F8,0)+IF(27='Capital'!H8+'Cases'!G6,1-'Capital'!F8,0)))*'Responsibilities'!$G$8+('Sites'!E6*'Capital'!E6*(IF(27='Capital'!G6,'Capital'!F6,0)+IF(27='Capital'!H6,1-'Capital'!F6,0)))*(1-'Responsibilities'!$G$6)+('Sites'!E7*'Capital'!E7*(IF(27='Capital'!G7+'Cases'!G6,'Capital'!F7,0)+IF(27='Capital'!H7+'Cases'!G6,1-'Capital'!F7,0)))*(1-'Responsibilities'!$G$7)+('Sites'!E8*'Cases'!F6*'Capital'!E8*(IF(27='Capital'!G8+'Cases'!G6,'Capital'!F8,0)+IF(27='Capital'!H8+'Cases'!G6,1-'Capital'!F8,0)))*(1-'Responsibilities'!$G$8)+I32+SUMPRODUCT('Costs'!$E$36:$E$40,'Costs'!$F$36:$F$40)/12+BZ32)</f>
        <v/>
      </c>
      <c r="BZ32">
        <f>SUMIFS('Responsibilities'!$B$31:$B$35,'Responsibilities'!$C$31:$C$35,27,'Responsibilities'!$D$31:$D$35,"Yes")</f>
        <v/>
      </c>
    </row>
    <row r="33" ht="28" customHeight="1">
      <c r="A33" s="4" t="inlineStr">
        <is>
          <t>Full</t>
        </is>
      </c>
      <c r="B33" s="4" t="n">
        <v>28</v>
      </c>
      <c r="C33" s="4">
        <f>ROUNDUP(B33/12,0)</f>
        <v/>
      </c>
      <c r="D33" s="137">
        <f>SUMIFS('Production schedule'!$N$6:$N$113,'Production schedule'!$C$6:$C$113,28)</f>
        <v/>
      </c>
      <c r="E33" s="137">
        <f>SUMIFS('Production schedule'!$Y$6:$Y$113,'Production schedule'!$C$6:$C$113,28)</f>
        <v/>
      </c>
      <c r="F33" s="137">
        <f>SUMIFS('Production schedule'!$Z$6:$Z$113,'Production schedule'!$C$6:$C$113,28)</f>
        <v/>
      </c>
      <c r="G33" s="137">
        <f>('Production schedule'!AJ33)*'Responsibilities'!$C$6+('Production schedule'!AJ69)*'Responsibilities'!$C$7+('Production schedule'!AJ105)*'Responsibilities'!$C$8</f>
        <v/>
      </c>
      <c r="H33" s="137">
        <f>('Production schedule'!AI33)*'Responsibilities'!$D$6+('Production schedule'!AI69)*'Responsibilities'!$D$7+('Production schedule'!AI105)*'Responsibilities'!$D$8</f>
        <v/>
      </c>
      <c r="I33" s="137">
        <f>SUM('Assumptions'!AE58:AE65)</f>
        <v/>
      </c>
      <c r="J33" s="137">
        <f>('Production schedule'!E33*(IF('Sites'!D6="Annual staff",SUM('Assumptions'!AE112,'Assumptions'!AE114),0)+SUM('Assumptions'!AE113,'Assumptions'!AE115:AE116)))*'Responsibilities'!$E$6+('Production schedule'!E69*(IF('Sites'!D7="Annual staff",SUM('Assumptions'!AE117,'Assumptions'!AE119),0)+SUM('Assumptions'!AE118,'Assumptions'!AE120:AE121)))*'Responsibilities'!$E$7+('Production schedule'!E105*(IF('Sites'!D8="Annual staff",SUM('Assumptions'!AE122,'Assumptions'!AE124),0)+SUM('Assumptions'!AE123,'Assumptions'!AE125:AE126)))*'Responsibilities'!$E$8</f>
        <v/>
      </c>
      <c r="K33" s="137">
        <f>(IF(AND('Production schedule'!E33=1,28=MAX(('Sites'!F6),25),ISNUMBER('Sites'!Q6)),'Sites'!Q6*'Assumptions'!$B$44,0))*'Responsibilities'!$F$6+(IF(AND('Production schedule'!E69=1,28=MAX(('Sites'!F7+'Cases'!G6),25),ISNUMBER('Sites'!Q7)),'Sites'!Q7*'Assumptions'!$B$44,0))*'Responsibilities'!$F$7+(IF(AND('Production schedule'!E105=1,28=MAX(('Sites'!F8+'Cases'!G6),25),ISNUMBER('Sites'!Q8)),'Sites'!Q8*'Assumptions'!$B$44,0))*'Responsibilities'!$F$8</f>
        <v/>
      </c>
      <c r="L33" s="137">
        <f>SUM('Costs'!E36)*'Costs'!F36/12*'Responsibilities'!$C$12+SUM('Costs'!E37)*'Costs'!F37/12*'Responsibilities'!$C$13+SUM('Costs'!E38)*'Costs'!F38/12*'Responsibilities'!$C$14+SUM('Costs'!E39)*'Costs'!F39/12*'Responsibilities'!$C$15+SUM('Costs'!E40)*'Costs'!F40/12*'Responsibilities'!$C$16+BZ33</f>
        <v/>
      </c>
      <c r="M33" s="137">
        <f>('Sites'!E6*'Capital'!E6*(IF(28='Capital'!G6,'Capital'!F6,0)+IF(28='Capital'!H6,1-'Capital'!F6,0)))*'Responsibilities'!$G$6+('Sites'!E7*'Capital'!E7*(IF(28='Capital'!G7+'Cases'!G6,'Capital'!F7,0)+IF(28='Capital'!H7+'Cases'!G6,1-'Capital'!F7,0)))*'Responsibilities'!$G$7+('Sites'!E8*'Cases'!F6*'Capital'!E8*(IF(28='Capital'!G8+'Cases'!G6,'Capital'!F8,0)+IF(28='Capital'!H8+'Cases'!G6,1-'Capital'!F8,0)))*'Responsibilities'!$G$8</f>
        <v/>
      </c>
      <c r="N33" s="137">
        <f>SUM(G33:M33)</f>
        <v/>
      </c>
      <c r="O33" s="137">
        <f>SUMIFS(FundingTranches[Secured amount],FundingTranches[Instrument],"Grant",FundingTranches[Secured month],28)</f>
        <v/>
      </c>
      <c r="P33" s="137">
        <f>SUMIFS(FundingTranches[Full possible],FundingTranches[Instrument],"Grant",FundingTranches[Scenario month],28-'Cases'!$D$6)</f>
        <v/>
      </c>
      <c r="Q33" s="137">
        <f>SUMIFS(FundingTranches[Secured amount],FundingTranches[Instrument],"Loan",FundingTranches[Secured month],28)</f>
        <v/>
      </c>
      <c r="R33" s="137">
        <f>SUMIFS(FundingTranches[Full possible],FundingTranches[Instrument],"Loan",FundingTranches[Scenario month],28-'Cases'!$D$6)</f>
        <v/>
      </c>
      <c r="S33" s="137">
        <f>IF(28&lt;='Assumptions'!$B$34,0,SUMIFS('Production schedule'!$AL$6:$AL$113,'Production schedule'!$C$6:$C$113,28-'Assumptions'!$B$34))</f>
        <v/>
      </c>
      <c r="T33" s="137">
        <f>'Assumptions'!AE70</f>
        <v/>
      </c>
      <c r="U33" s="137">
        <f>'Assumptions'!AE78</f>
        <v/>
      </c>
      <c r="V33" s="137">
        <f>SUM(O33:U33)</f>
        <v/>
      </c>
      <c r="W33" s="137">
        <f>AA32</f>
        <v/>
      </c>
      <c r="X33" s="137">
        <f>SUM(Q33:R33)</f>
        <v/>
      </c>
      <c r="Y33" s="137">
        <f>SUM(W33,X33)*'Assumptions'!$B$39/12</f>
        <v/>
      </c>
      <c r="Z33" s="137">
        <f>IF(SUM(W33,X33)&gt;0,MIN(SUM(W33,X33),MAX(0,BP33-Y33)),0)</f>
        <v/>
      </c>
      <c r="AA33" s="137">
        <f>SUM(W33,X33)-Z33</f>
        <v/>
      </c>
      <c r="AB33" s="137">
        <f>SUM(Y33:Z33)</f>
        <v/>
      </c>
      <c r="AC33" s="137">
        <f>'Assumptions'!AE72</f>
        <v/>
      </c>
      <c r="AD33" s="137">
        <f>'Assumptions'!AE73</f>
        <v/>
      </c>
      <c r="AE33" s="137">
        <f>IF(X33&gt;0,SUM('Assumptions'!$B$42),0)</f>
        <v/>
      </c>
      <c r="AF33" s="137">
        <f>'Assumptions'!AE71</f>
        <v/>
      </c>
      <c r="AG33" s="137">
        <f>'Assumptions'!AE74</f>
        <v/>
      </c>
      <c r="AH33" s="137">
        <f>'Assumptions'!AE75</f>
        <v/>
      </c>
      <c r="AI33" s="137">
        <f>'Assumptions'!AE77</f>
        <v/>
      </c>
      <c r="AJ33" s="137">
        <f>V33-N33-SUM(AB33:AI33)</f>
        <v/>
      </c>
      <c r="AK33" s="137">
        <f>SUM(AJ6:AJ33)</f>
        <v/>
      </c>
      <c r="AL33" s="137">
        <f>IF(ISNUMBER('Assumptions'!$B$10),'Assumptions'!$B$10+AK33,"")</f>
        <v/>
      </c>
      <c r="AM33" s="137">
        <f>SUM(O33,Q33,T33)-N33-SUM(AC33:AI33)+IF('Funding'!$N$11=0,AE33,0)-IF('Funding'!$N$11&gt;0,AB33,0)</f>
        <v/>
      </c>
      <c r="AN33" s="137">
        <f>SUM(AM6:AM33)</f>
        <v/>
      </c>
      <c r="AO33" s="137">
        <f>IF(ISNUMBER('Assumptions'!$B$10),'Assumptions'!$B$10+AN33,"")</f>
        <v/>
      </c>
      <c r="AP33" s="137">
        <f>('Production schedule'!AK33)*'Responsibilities'!$C$6+('Production schedule'!AK69)*'Responsibilities'!$C$7+('Production schedule'!AK105)*'Responsibilities'!$C$8</f>
        <v/>
      </c>
      <c r="AQ33" s="137">
        <f>SUMIFS('Production schedule'!$AL$6:$AL$113,'Production schedule'!$C$6:$C$113,28)</f>
        <v/>
      </c>
      <c r="AR33" s="137">
        <f>IF(ISNUMBER('Assumptions'!AE76),'Assumptions'!AE76,SUM(O33:P33))</f>
        <v/>
      </c>
      <c r="AS33" s="137">
        <f>IF(ISNUMBER('Assumptions'!$B$13),MIN('Assumptions'!$B$13/'Assumptions'!$B$18/12,MAX(0,'Assumptions'!$B$13-(28-1)*'Assumptions'!$B$13/'Assumptions'!$B$18/12)),0)+IF(AND('Sites'!E6=1,28&gt;=('Sites'!F6),28&lt;('Sites'!F6)+'Assumptions'!$B$18*12),'Capital'!E6/'Assumptions'!$B$18/12,0)+IF(AND('Sites'!E7=1,28&gt;=('Sites'!F7+'Cases'!G6),28&lt;('Sites'!F7+'Cases'!G6)+'Assumptions'!$B$18*12),'Capital'!E7/'Assumptions'!$B$18/12,0)+IF(AND('Sites'!E8*'Cases'!F6=1,28&gt;=('Sites'!F8+'Cases'!G6),28&lt;('Sites'!F8+'Cases'!G6)+'Assumptions'!$B$18*12),'Capital'!E8/'Assumptions'!$B$18/12,0)</f>
        <v/>
      </c>
      <c r="AT33" s="137">
        <f>SUM(AQ33,AR33,U33)-AP33-SUM(H33:L33)-AS33-SUM(Y33,AD33,AE33,AH33)</f>
        <v/>
      </c>
      <c r="AU33" s="137">
        <f>IF(ISNUMBER('Assumptions'!$B$19),MAX(0,SUM(AT30:AT33))*'Assumptions'!$B$19-SUM(AU30:AU32),"")</f>
        <v/>
      </c>
      <c r="AV33" s="137">
        <f>IF(ISNUMBER(AU33),AT33-AU33,"")</f>
        <v/>
      </c>
      <c r="AW33" s="137">
        <f>IF(ISNUMBER('Assumptions'!$B$11),'Assumptions'!$B$11+SUM(AQ6:AQ33)-SUM(S6:S33)-SUM(T6:T33),"")</f>
        <v/>
      </c>
      <c r="AX33" s="137">
        <f>IF(ISNUMBER('Assumptions'!$B$12),'Assumptions'!$B$12+SUM(G6:G33)-SUM(AP6:AP33),"")</f>
        <v/>
      </c>
      <c r="AY33" s="137">
        <f>IF(ISNUMBER('Assumptions'!$B$13),'Assumptions'!$B$13+SUM(M6:M33)-SUM(AS6:AS33),"")</f>
        <v/>
      </c>
      <c r="AZ33" s="137">
        <f>IF(ISNUMBER('Assumptions'!$B$14),'Assumptions'!$B$14+-SUM(AF6:AF33),"")</f>
        <v/>
      </c>
      <c r="BA33" s="137">
        <f>IF(ISNUMBER('Assumptions'!$B$15),'Assumptions'!$B$15+SUM(O6:O33)+SUM(P6:P33)-SUM(AR6:AR33),"")</f>
        <v/>
      </c>
      <c r="BB33" s="137">
        <f>IF(ISNUMBER('Assumptions'!$B$16),'Assumptions'!$B$16+-SUM(AC6:AC33),"")</f>
        <v/>
      </c>
      <c r="BC33" s="137">
        <f>IF(AND(ISNUMBER('Assumptions'!$B$21),ISNUMBER('Assumptions'!$B$19)),'Assumptions'!$B$21+SUM(AU6:AU33)-SUM(AG6:AG33),"")</f>
        <v/>
      </c>
      <c r="BD33" s="137">
        <f>IF(ISNUMBER('Assumptions'!$B$20),'Assumptions'!$B$20+-SUM(AI6:AI33),"")</f>
        <v/>
      </c>
      <c r="BE33" s="137">
        <f>IF(AND(ISNUMBER('Assumptions'!$B$17),COUNT(AV6:AV33)=28),'Assumptions'!$B$17+SUM(AV6:AV33),"")</f>
        <v/>
      </c>
      <c r="BF33" s="137">
        <f>IF(COUNT(AL33,AW33:AY33)=4,SUM(AL33,AW33:AY33),"")</f>
        <v/>
      </c>
      <c r="BG33" s="137">
        <f>IF(COUNT(AZ33:BD33)=5,SUM(AZ33:BD33,AA33),"")</f>
        <v/>
      </c>
      <c r="BH33" s="137">
        <f>IF(COUNT(BF33,BG33,BE33)=3,BF33-BG33-BE33,"")</f>
        <v/>
      </c>
      <c r="BI33" s="137">
        <f>SUM(W33,X33)-Z33-AA33</f>
        <v/>
      </c>
      <c r="BJ33" s="137">
        <f>8-COUNT('Assumptions'!AE58:AE65)+COUNTBLANK('NM Play'!B33:B34)+'Costs'!E44+IF(AND('Sites'!E6=1,('Sites'!F6)&lt;=36,'Sites'!G6&gt;=25),IF(ISNUMBER('Sites'!Q6),0,1)+'Capital'!I6+COUNTBLANK('Sites'!R6)+IF('Sites'!D6="NM crew",COUNTBLANK('NM Play'!B25)+1,5-COUNT('Assumptions'!AE112:AE116)),0)+IF(AND('Sites'!E7=1,('Sites'!F7+'Cases'!G6)&lt;=36,'Sites'!G7&gt;=25),IF(ISNUMBER('Sites'!Q7),0,1)+'Capital'!I7+COUNTBLANK('Sites'!R7)+IF('Sites'!D7="NM crew",COUNTBLANK('NM Play'!B25)+1,5-COUNT('Assumptions'!AE117:AE121)),0)+IF(AND('Sites'!E8*'Cases'!F6=1,('Sites'!F8+'Cases'!G6)&lt;=36,'Sites'!G8&gt;=25),IF(ISNUMBER('Sites'!Q8),0,1)+'Capital'!I8+COUNTBLANK('Sites'!R8)+IF('Sites'!D8="NM crew",COUNTBLANK('NM Play'!B25)+1,5-COUNT('Assumptions'!AE122:AE126)),0)+IF(AND('Cases'!C6&gt;0,NOT(ISNUMBER('Assumptions'!B42))),1,0)+'Responsibilities'!$B$39</f>
        <v/>
      </c>
      <c r="BK33" s="137">
        <f>'Assumptions'!$B$50+'NM Play'!$B$83+'Funding'!$F$20+SUMIFS('Production schedule'!$AN$6:$AN$113,'Production schedule'!$C$6:$C$113,28)+IF(OR('Cases'!E6&lt;0,'Cases'!E6&gt;1,'Cases'!C6&lt;0,'Cases'!D6&lt;0,ABS(SUM('Sites'!S6:S8)-1)&gt;0.0001,MIN('Capital'!F6:F8)&lt;0,MAX('Capital'!F6:F8)&gt;1,MIN(AX33,AZ33,BB33,BA33)&lt;-0.01),1,0)+'Responsibilities'!$B$40</f>
        <v/>
      </c>
      <c r="BL33" s="137">
        <f>SUMIFS('Production schedule'!$T$6:$T$113,'Production schedule'!$C$6:$C$113,28)</f>
        <v/>
      </c>
      <c r="BM33" s="137">
        <f>D33*'NM Play'!$B$38</f>
        <v/>
      </c>
      <c r="BN33" s="137">
        <f>SUMIFS('Production schedule'!$AM$6:$AM$113,'Production schedule'!$C$6:$C$113,28)</f>
        <v/>
      </c>
      <c r="BO33" s="137">
        <f>AK33-AK32-AJ33</f>
        <v/>
      </c>
      <c r="BP33" s="137">
        <f>IF(AND('Assumptions'!$B$39&gt;=0,'Assumptions'!$B$40&gt;0),-PMT('Assumptions'!$B$39/12,'Assumptions'!$B$40*12,IF('Funding'!$N$11&gt;0,'Funding'!$N$11,'Funding'!$R$11)),"")</f>
        <v/>
      </c>
      <c r="BQ33">
        <f>('Production schedule'!AJ33)*(1-'Responsibilities'!$C$6)+('Production schedule'!AJ69)*(1-'Responsibilities'!$C$7)+('Production schedule'!AJ105)*(1-'Responsibilities'!$C$8)</f>
        <v/>
      </c>
      <c r="BR33">
        <f>('Production schedule'!AI33)*(1-'Responsibilities'!$D$6)+('Production schedule'!AI69)*(1-'Responsibilities'!$D$7)+('Production schedule'!AI105)*(1-'Responsibilities'!$D$8)</f>
        <v/>
      </c>
      <c r="BS33">
        <f>('Production schedule'!E33*(IF('Sites'!D6="Annual staff",SUM('Assumptions'!AE112,'Assumptions'!AE114),0)+SUM('Assumptions'!AE113,'Assumptions'!AE115:AE116)))*(1-'Responsibilities'!$E$6)+('Production schedule'!E69*(IF('Sites'!D7="Annual staff",SUM('Assumptions'!AE117,'Assumptions'!AE119),0)+SUM('Assumptions'!AE118,'Assumptions'!AE120:AE121)))*(1-'Responsibilities'!$E$7)+('Production schedule'!E105*(IF('Sites'!D8="Annual staff",SUM('Assumptions'!AE122,'Assumptions'!AE124),0)+SUM('Assumptions'!AE123,'Assumptions'!AE125:AE126)))*(1-'Responsibilities'!$E$8)</f>
        <v/>
      </c>
      <c r="BT33">
        <f>(IF(AND('Production schedule'!E33=1,28=MAX(('Sites'!F6),25),ISNUMBER('Sites'!Q6)),'Sites'!Q6*'Assumptions'!$B$44,0))*(1-'Responsibilities'!$F$6)+(IF(AND('Production schedule'!E69=1,28=MAX(('Sites'!F7+'Cases'!G6),25),ISNUMBER('Sites'!Q7)),'Sites'!Q7*'Assumptions'!$B$44,0))*(1-'Responsibilities'!$F$7)+(IF(AND('Production schedule'!E105=1,28=MAX(('Sites'!F8+'Cases'!G6),25),ISNUMBER('Sites'!Q8)),'Sites'!Q8*'Assumptions'!$B$44,0))*(1-'Responsibilities'!$F$8)</f>
        <v/>
      </c>
      <c r="BU33">
        <f>SUM('Costs'!E36)*'Costs'!F36/12*(1-'Responsibilities'!$C$12)+SUM('Costs'!E37)*'Costs'!F37/12*(1-'Responsibilities'!$C$13)+SUM('Costs'!E38)*'Costs'!F38/12*(1-'Responsibilities'!$C$14)+SUM('Costs'!E39)*'Costs'!F39/12*(1-'Responsibilities'!$C$15)+SUM('Costs'!E40)*'Costs'!F40/12*(1-'Responsibilities'!$C$16)</f>
        <v/>
      </c>
      <c r="BV33">
        <f>('Sites'!E6*'Capital'!E6*(IF(28='Capital'!G6,'Capital'!F6,0)+IF(28='Capital'!H6,1-'Capital'!F6,0)))*(1-'Responsibilities'!$G$6)+('Sites'!E7*'Capital'!E7*(IF(28='Capital'!G7+'Cases'!G6,'Capital'!F7,0)+IF(28='Capital'!H7+'Cases'!G6,1-'Capital'!F7,0)))*(1-'Responsibilities'!$G$7)+('Sites'!E8*'Cases'!F6*'Capital'!E8*(IF(28='Capital'!G8+'Cases'!G6,'Capital'!F8,0)+IF(28='Capital'!H8+'Cases'!G6,1-'Capital'!F8,0)))*(1-'Responsibilities'!$G$8)</f>
        <v/>
      </c>
      <c r="BW33">
        <f>SUM(BQ33:BV33)</f>
        <v/>
      </c>
      <c r="BX33">
        <f>N33+BW33</f>
        <v/>
      </c>
      <c r="BY33">
        <f>BX33-(('Production schedule'!AJ33)*'Responsibilities'!$C$6+('Production schedule'!AJ69)*'Responsibilities'!$C$7+('Production schedule'!AJ105)*'Responsibilities'!$C$8+('Production schedule'!AJ33)*(1-'Responsibilities'!$C$6)+('Production schedule'!AJ69)*(1-'Responsibilities'!$C$7)+('Production schedule'!AJ105)*(1-'Responsibilities'!$C$8)+('Production schedule'!AI33)*'Responsibilities'!$D$6+('Production schedule'!AI69)*'Responsibilities'!$D$7+('Production schedule'!AI105)*'Responsibilities'!$D$8+('Production schedule'!AI33)*(1-'Responsibilities'!$D$6)+('Production schedule'!AI69)*(1-'Responsibilities'!$D$7)+('Production schedule'!AI105)*(1-'Responsibilities'!$D$8)+('Production schedule'!E33*(IF('Sites'!D6="Annual staff",SUM('Assumptions'!AE112,'Assumptions'!AE114),0)+SUM('Assumptions'!AE113,'Assumptions'!AE115:AE116)))*'Responsibilities'!$E$6+('Production schedule'!E69*(IF('Sites'!D7="Annual staff",SUM('Assumptions'!AE117,'Assumptions'!AE119),0)+SUM('Assumptions'!AE118,'Assumptions'!AE120:AE121)))*'Responsibilities'!$E$7+('Production schedule'!E105*(IF('Sites'!D8="Annual staff",SUM('Assumptions'!AE122,'Assumptions'!AE124),0)+SUM('Assumptions'!AE123,'Assumptions'!AE125:AE126)))*'Responsibilities'!$E$8+('Production schedule'!E33*(IF('Sites'!D6="Annual staff",SUM('Assumptions'!AE112,'Assumptions'!AE114),0)+SUM('Assumptions'!AE113,'Assumptions'!AE115:AE116)))*(1-'Responsibilities'!$E$6)+('Production schedule'!E69*(IF('Sites'!D7="Annual staff",SUM('Assumptions'!AE117,'Assumptions'!AE119),0)+SUM('Assumptions'!AE118,'Assumptions'!AE120:AE121)))*(1-'Responsibilities'!$E$7)+('Production schedule'!E105*(IF('Sites'!D8="Annual staff",SUM('Assumptions'!AE122,'Assumptions'!AE124),0)+SUM('Assumptions'!AE123,'Assumptions'!AE125:AE126)))*(1-'Responsibilities'!$E$8)+(IF(AND('Production schedule'!E33=1,28=MAX(('Sites'!F6),25),ISNUMBER('Sites'!Q6)),'Sites'!Q6*'Assumptions'!$B$44,0))*'Responsibilities'!$F$6+(IF(AND('Production schedule'!E69=1,28=MAX(('Sites'!F7+'Cases'!G6),25),ISNUMBER('Sites'!Q7)),'Sites'!Q7*'Assumptions'!$B$44,0))*'Responsibilities'!$F$7+(IF(AND('Production schedule'!E105=1,28=MAX(('Sites'!F8+'Cases'!G6),25),ISNUMBER('Sites'!Q8)),'Sites'!Q8*'Assumptions'!$B$44,0))*'Responsibilities'!$F$8+(IF(AND('Production schedule'!E33=1,28=MAX(('Sites'!F6),25),ISNUMBER('Sites'!Q6)),'Sites'!Q6*'Assumptions'!$B$44,0))*(1-'Responsibilities'!$F$6)+(IF(AND('Production schedule'!E69=1,28=MAX(('Sites'!F7+'Cases'!G6),25),ISNUMBER('Sites'!Q7)),'Sites'!Q7*'Assumptions'!$B$44,0))*(1-'Responsibilities'!$F$7)+(IF(AND('Production schedule'!E105=1,28=MAX(('Sites'!F8+'Cases'!G6),25),ISNUMBER('Sites'!Q8)),'Sites'!Q8*'Assumptions'!$B$44,0))*(1-'Responsibilities'!$F$8)+('Sites'!E6*'Capital'!E6*(IF(28='Capital'!G6,'Capital'!F6,0)+IF(28='Capital'!H6,1-'Capital'!F6,0)))*'Responsibilities'!$G$6+('Sites'!E7*'Capital'!E7*(IF(28='Capital'!G7+'Cases'!G6,'Capital'!F7,0)+IF(28='Capital'!H7+'Cases'!G6,1-'Capital'!F7,0)))*'Responsibilities'!$G$7+('Sites'!E8*'Cases'!F6*'Capital'!E8*(IF(28='Capital'!G8+'Cases'!G6,'Capital'!F8,0)+IF(28='Capital'!H8+'Cases'!G6,1-'Capital'!F8,0)))*'Responsibilities'!$G$8+('Sites'!E6*'Capital'!E6*(IF(28='Capital'!G6,'Capital'!F6,0)+IF(28='Capital'!H6,1-'Capital'!F6,0)))*(1-'Responsibilities'!$G$6)+('Sites'!E7*'Capital'!E7*(IF(28='Capital'!G7+'Cases'!G6,'Capital'!F7,0)+IF(28='Capital'!H7+'Cases'!G6,1-'Capital'!F7,0)))*(1-'Responsibilities'!$G$7)+('Sites'!E8*'Cases'!F6*'Capital'!E8*(IF(28='Capital'!G8+'Cases'!G6,'Capital'!F8,0)+IF(28='Capital'!H8+'Cases'!G6,1-'Capital'!F8,0)))*(1-'Responsibilities'!$G$8)+I33+SUMPRODUCT('Costs'!$E$36:$E$40,'Costs'!$F$36:$F$40)/12+BZ33)</f>
        <v/>
      </c>
      <c r="BZ33">
        <f>SUMIFS('Responsibilities'!$B$31:$B$35,'Responsibilities'!$C$31:$C$35,28,'Responsibilities'!$D$31:$D$35,"Yes")</f>
        <v/>
      </c>
    </row>
    <row r="34" ht="28" customHeight="1">
      <c r="A34" s="4" t="inlineStr">
        <is>
          <t>Full</t>
        </is>
      </c>
      <c r="B34" s="4" t="n">
        <v>29</v>
      </c>
      <c r="C34" s="4">
        <f>ROUNDUP(B34/12,0)</f>
        <v/>
      </c>
      <c r="D34" s="137">
        <f>SUMIFS('Production schedule'!$N$6:$N$113,'Production schedule'!$C$6:$C$113,29)</f>
        <v/>
      </c>
      <c r="E34" s="137">
        <f>SUMIFS('Production schedule'!$Y$6:$Y$113,'Production schedule'!$C$6:$C$113,29)</f>
        <v/>
      </c>
      <c r="F34" s="137">
        <f>SUMIFS('Production schedule'!$Z$6:$Z$113,'Production schedule'!$C$6:$C$113,29)</f>
        <v/>
      </c>
      <c r="G34" s="137">
        <f>('Production schedule'!AJ34)*'Responsibilities'!$C$6+('Production schedule'!AJ70)*'Responsibilities'!$C$7+('Production schedule'!AJ106)*'Responsibilities'!$C$8</f>
        <v/>
      </c>
      <c r="H34" s="137">
        <f>('Production schedule'!AI34)*'Responsibilities'!$D$6+('Production schedule'!AI70)*'Responsibilities'!$D$7+('Production schedule'!AI106)*'Responsibilities'!$D$8</f>
        <v/>
      </c>
      <c r="I34" s="137">
        <f>SUM('Assumptions'!AF58:AF65)</f>
        <v/>
      </c>
      <c r="J34" s="137">
        <f>('Production schedule'!E34*(IF('Sites'!D6="Annual staff",SUM('Assumptions'!AF112,'Assumptions'!AF114),0)+SUM('Assumptions'!AF113,'Assumptions'!AF115:AF116)))*'Responsibilities'!$E$6+('Production schedule'!E70*(IF('Sites'!D7="Annual staff",SUM('Assumptions'!AF117,'Assumptions'!AF119),0)+SUM('Assumptions'!AF118,'Assumptions'!AF120:AF121)))*'Responsibilities'!$E$7+('Production schedule'!E106*(IF('Sites'!D8="Annual staff",SUM('Assumptions'!AF122,'Assumptions'!AF124),0)+SUM('Assumptions'!AF123,'Assumptions'!AF125:AF126)))*'Responsibilities'!$E$8</f>
        <v/>
      </c>
      <c r="K34" s="137">
        <f>(IF(AND('Production schedule'!E34=1,29=MAX(('Sites'!F6),25),ISNUMBER('Sites'!Q6)),'Sites'!Q6*'Assumptions'!$B$44,0))*'Responsibilities'!$F$6+(IF(AND('Production schedule'!E70=1,29=MAX(('Sites'!F7+'Cases'!G6),25),ISNUMBER('Sites'!Q7)),'Sites'!Q7*'Assumptions'!$B$44,0))*'Responsibilities'!$F$7+(IF(AND('Production schedule'!E106=1,29=MAX(('Sites'!F8+'Cases'!G6),25),ISNUMBER('Sites'!Q8)),'Sites'!Q8*'Assumptions'!$B$44,0))*'Responsibilities'!$F$8</f>
        <v/>
      </c>
      <c r="L34" s="137">
        <f>SUM('Costs'!E36)*'Costs'!F36/12*'Responsibilities'!$C$12+SUM('Costs'!E37)*'Costs'!F37/12*'Responsibilities'!$C$13+SUM('Costs'!E38)*'Costs'!F38/12*'Responsibilities'!$C$14+SUM('Costs'!E39)*'Costs'!F39/12*'Responsibilities'!$C$15+SUM('Costs'!E40)*'Costs'!F40/12*'Responsibilities'!$C$16+BZ34</f>
        <v/>
      </c>
      <c r="M34" s="137">
        <f>('Sites'!E6*'Capital'!E6*(IF(29='Capital'!G6,'Capital'!F6,0)+IF(29='Capital'!H6,1-'Capital'!F6,0)))*'Responsibilities'!$G$6+('Sites'!E7*'Capital'!E7*(IF(29='Capital'!G7+'Cases'!G6,'Capital'!F7,0)+IF(29='Capital'!H7+'Cases'!G6,1-'Capital'!F7,0)))*'Responsibilities'!$G$7+('Sites'!E8*'Cases'!F6*'Capital'!E8*(IF(29='Capital'!G8+'Cases'!G6,'Capital'!F8,0)+IF(29='Capital'!H8+'Cases'!G6,1-'Capital'!F8,0)))*'Responsibilities'!$G$8</f>
        <v/>
      </c>
      <c r="N34" s="137">
        <f>SUM(G34:M34)</f>
        <v/>
      </c>
      <c r="O34" s="137">
        <f>SUMIFS(FundingTranches[Secured amount],FundingTranches[Instrument],"Grant",FundingTranches[Secured month],29)</f>
        <v/>
      </c>
      <c r="P34" s="137">
        <f>SUMIFS(FundingTranches[Full possible],FundingTranches[Instrument],"Grant",FundingTranches[Scenario month],29-'Cases'!$D$6)</f>
        <v/>
      </c>
      <c r="Q34" s="137">
        <f>SUMIFS(FundingTranches[Secured amount],FundingTranches[Instrument],"Loan",FundingTranches[Secured month],29)</f>
        <v/>
      </c>
      <c r="R34" s="137">
        <f>SUMIFS(FundingTranches[Full possible],FundingTranches[Instrument],"Loan",FundingTranches[Scenario month],29-'Cases'!$D$6)</f>
        <v/>
      </c>
      <c r="S34" s="137">
        <f>IF(29&lt;='Assumptions'!$B$34,0,SUMIFS('Production schedule'!$AL$6:$AL$113,'Production schedule'!$C$6:$C$113,29-'Assumptions'!$B$34))</f>
        <v/>
      </c>
      <c r="T34" s="137">
        <f>'Assumptions'!AF70</f>
        <v/>
      </c>
      <c r="U34" s="137">
        <f>'Assumptions'!AF78</f>
        <v/>
      </c>
      <c r="V34" s="137">
        <f>SUM(O34:U34)</f>
        <v/>
      </c>
      <c r="W34" s="137">
        <f>AA33</f>
        <v/>
      </c>
      <c r="X34" s="137">
        <f>SUM(Q34:R34)</f>
        <v/>
      </c>
      <c r="Y34" s="137">
        <f>SUM(W34,X34)*'Assumptions'!$B$39/12</f>
        <v/>
      </c>
      <c r="Z34" s="137">
        <f>IF(SUM(W34,X34)&gt;0,MIN(SUM(W34,X34),MAX(0,BP34-Y34)),0)</f>
        <v/>
      </c>
      <c r="AA34" s="137">
        <f>SUM(W34,X34)-Z34</f>
        <v/>
      </c>
      <c r="AB34" s="137">
        <f>SUM(Y34:Z34)</f>
        <v/>
      </c>
      <c r="AC34" s="137">
        <f>'Assumptions'!AF72</f>
        <v/>
      </c>
      <c r="AD34" s="137">
        <f>'Assumptions'!AF73</f>
        <v/>
      </c>
      <c r="AE34" s="137">
        <f>IF(X34&gt;0,SUM('Assumptions'!$B$42),0)</f>
        <v/>
      </c>
      <c r="AF34" s="137">
        <f>'Assumptions'!AF71</f>
        <v/>
      </c>
      <c r="AG34" s="137">
        <f>'Assumptions'!AF74</f>
        <v/>
      </c>
      <c r="AH34" s="137">
        <f>'Assumptions'!AF75</f>
        <v/>
      </c>
      <c r="AI34" s="137">
        <f>'Assumptions'!AF77</f>
        <v/>
      </c>
      <c r="AJ34" s="137">
        <f>V34-N34-SUM(AB34:AI34)</f>
        <v/>
      </c>
      <c r="AK34" s="137">
        <f>SUM(AJ6:AJ34)</f>
        <v/>
      </c>
      <c r="AL34" s="137">
        <f>IF(ISNUMBER('Assumptions'!$B$10),'Assumptions'!$B$10+AK34,"")</f>
        <v/>
      </c>
      <c r="AM34" s="137">
        <f>SUM(O34,Q34,T34)-N34-SUM(AC34:AI34)+IF('Funding'!$N$11=0,AE34,0)-IF('Funding'!$N$11&gt;0,AB34,0)</f>
        <v/>
      </c>
      <c r="AN34" s="137">
        <f>SUM(AM6:AM34)</f>
        <v/>
      </c>
      <c r="AO34" s="137">
        <f>IF(ISNUMBER('Assumptions'!$B$10),'Assumptions'!$B$10+AN34,"")</f>
        <v/>
      </c>
      <c r="AP34" s="137">
        <f>('Production schedule'!AK34)*'Responsibilities'!$C$6+('Production schedule'!AK70)*'Responsibilities'!$C$7+('Production schedule'!AK106)*'Responsibilities'!$C$8</f>
        <v/>
      </c>
      <c r="AQ34" s="137">
        <f>SUMIFS('Production schedule'!$AL$6:$AL$113,'Production schedule'!$C$6:$C$113,29)</f>
        <v/>
      </c>
      <c r="AR34" s="137">
        <f>IF(ISNUMBER('Assumptions'!AF76),'Assumptions'!AF76,SUM(O34:P34))</f>
        <v/>
      </c>
      <c r="AS34" s="137">
        <f>IF(ISNUMBER('Assumptions'!$B$13),MIN('Assumptions'!$B$13/'Assumptions'!$B$18/12,MAX(0,'Assumptions'!$B$13-(29-1)*'Assumptions'!$B$13/'Assumptions'!$B$18/12)),0)+IF(AND('Sites'!E6=1,29&gt;=('Sites'!F6),29&lt;('Sites'!F6)+'Assumptions'!$B$18*12),'Capital'!E6/'Assumptions'!$B$18/12,0)+IF(AND('Sites'!E7=1,29&gt;=('Sites'!F7+'Cases'!G6),29&lt;('Sites'!F7+'Cases'!G6)+'Assumptions'!$B$18*12),'Capital'!E7/'Assumptions'!$B$18/12,0)+IF(AND('Sites'!E8*'Cases'!F6=1,29&gt;=('Sites'!F8+'Cases'!G6),29&lt;('Sites'!F8+'Cases'!G6)+'Assumptions'!$B$18*12),'Capital'!E8/'Assumptions'!$B$18/12,0)</f>
        <v/>
      </c>
      <c r="AT34" s="137">
        <f>SUM(AQ34,AR34,U34)-AP34-SUM(H34:L34)-AS34-SUM(Y34,AD34,AE34,AH34)</f>
        <v/>
      </c>
      <c r="AU34" s="137">
        <f>IF(ISNUMBER('Assumptions'!$B$19),MAX(0,SUM(AT30:AT34))*'Assumptions'!$B$19-SUM(AU30:AU33),"")</f>
        <v/>
      </c>
      <c r="AV34" s="137">
        <f>IF(ISNUMBER(AU34),AT34-AU34,"")</f>
        <v/>
      </c>
      <c r="AW34" s="137">
        <f>IF(ISNUMBER('Assumptions'!$B$11),'Assumptions'!$B$11+SUM(AQ6:AQ34)-SUM(S6:S34)-SUM(T6:T34),"")</f>
        <v/>
      </c>
      <c r="AX34" s="137">
        <f>IF(ISNUMBER('Assumptions'!$B$12),'Assumptions'!$B$12+SUM(G6:G34)-SUM(AP6:AP34),"")</f>
        <v/>
      </c>
      <c r="AY34" s="137">
        <f>IF(ISNUMBER('Assumptions'!$B$13),'Assumptions'!$B$13+SUM(M6:M34)-SUM(AS6:AS34),"")</f>
        <v/>
      </c>
      <c r="AZ34" s="137">
        <f>IF(ISNUMBER('Assumptions'!$B$14),'Assumptions'!$B$14+-SUM(AF6:AF34),"")</f>
        <v/>
      </c>
      <c r="BA34" s="137">
        <f>IF(ISNUMBER('Assumptions'!$B$15),'Assumptions'!$B$15+SUM(O6:O34)+SUM(P6:P34)-SUM(AR6:AR34),"")</f>
        <v/>
      </c>
      <c r="BB34" s="137">
        <f>IF(ISNUMBER('Assumptions'!$B$16),'Assumptions'!$B$16+-SUM(AC6:AC34),"")</f>
        <v/>
      </c>
      <c r="BC34" s="137">
        <f>IF(AND(ISNUMBER('Assumptions'!$B$21),ISNUMBER('Assumptions'!$B$19)),'Assumptions'!$B$21+SUM(AU6:AU34)-SUM(AG6:AG34),"")</f>
        <v/>
      </c>
      <c r="BD34" s="137">
        <f>IF(ISNUMBER('Assumptions'!$B$20),'Assumptions'!$B$20+-SUM(AI6:AI34),"")</f>
        <v/>
      </c>
      <c r="BE34" s="137">
        <f>IF(AND(ISNUMBER('Assumptions'!$B$17),COUNT(AV6:AV34)=29),'Assumptions'!$B$17+SUM(AV6:AV34),"")</f>
        <v/>
      </c>
      <c r="BF34" s="137">
        <f>IF(COUNT(AL34,AW34:AY34)=4,SUM(AL34,AW34:AY34),"")</f>
        <v/>
      </c>
      <c r="BG34" s="137">
        <f>IF(COUNT(AZ34:BD34)=5,SUM(AZ34:BD34,AA34),"")</f>
        <v/>
      </c>
      <c r="BH34" s="137">
        <f>IF(COUNT(BF34,BG34,BE34)=3,BF34-BG34-BE34,"")</f>
        <v/>
      </c>
      <c r="BI34" s="137">
        <f>SUM(W34,X34)-Z34-AA34</f>
        <v/>
      </c>
      <c r="BJ34" s="137">
        <f>8-COUNT('Assumptions'!AF58:AF65)+COUNTBLANK('NM Play'!B33:B34)+'Costs'!E44+IF(AND('Sites'!E6=1,('Sites'!F6)&lt;=36,'Sites'!G6&gt;=25),IF(ISNUMBER('Sites'!Q6),0,1)+'Capital'!I6+COUNTBLANK('Sites'!R6)+IF('Sites'!D6="NM crew",COUNTBLANK('NM Play'!B25)+1,5-COUNT('Assumptions'!AF112:AF116)),0)+IF(AND('Sites'!E7=1,('Sites'!F7+'Cases'!G6)&lt;=36,'Sites'!G7&gt;=25),IF(ISNUMBER('Sites'!Q7),0,1)+'Capital'!I7+COUNTBLANK('Sites'!R7)+IF('Sites'!D7="NM crew",COUNTBLANK('NM Play'!B25)+1,5-COUNT('Assumptions'!AF117:AF121)),0)+IF(AND('Sites'!E8*'Cases'!F6=1,('Sites'!F8+'Cases'!G6)&lt;=36,'Sites'!G8&gt;=25),IF(ISNUMBER('Sites'!Q8),0,1)+'Capital'!I8+COUNTBLANK('Sites'!R8)+IF('Sites'!D8="NM crew",COUNTBLANK('NM Play'!B25)+1,5-COUNT('Assumptions'!AF122:AF126)),0)+IF(AND('Cases'!C6&gt;0,NOT(ISNUMBER('Assumptions'!B42))),1,0)+'Responsibilities'!$B$39</f>
        <v/>
      </c>
      <c r="BK34" s="137">
        <f>'Assumptions'!$B$50+'NM Play'!$B$83+'Funding'!$F$20+SUMIFS('Production schedule'!$AN$6:$AN$113,'Production schedule'!$C$6:$C$113,29)+IF(OR('Cases'!E6&lt;0,'Cases'!E6&gt;1,'Cases'!C6&lt;0,'Cases'!D6&lt;0,ABS(SUM('Sites'!S6:S8)-1)&gt;0.0001,MIN('Capital'!F6:F8)&lt;0,MAX('Capital'!F6:F8)&gt;1,MIN(AX34,AZ34,BB34,BA34)&lt;-0.01),1,0)+'Responsibilities'!$B$40</f>
        <v/>
      </c>
      <c r="BL34" s="137">
        <f>SUMIFS('Production schedule'!$T$6:$T$113,'Production schedule'!$C$6:$C$113,29)</f>
        <v/>
      </c>
      <c r="BM34" s="137">
        <f>D34*'NM Play'!$B$38</f>
        <v/>
      </c>
      <c r="BN34" s="137">
        <f>SUMIFS('Production schedule'!$AM$6:$AM$113,'Production schedule'!$C$6:$C$113,29)</f>
        <v/>
      </c>
      <c r="BO34" s="137">
        <f>AK34-AK33-AJ34</f>
        <v/>
      </c>
      <c r="BP34" s="137">
        <f>IF(AND('Assumptions'!$B$39&gt;=0,'Assumptions'!$B$40&gt;0),-PMT('Assumptions'!$B$39/12,'Assumptions'!$B$40*12,IF('Funding'!$N$11&gt;0,'Funding'!$N$11,'Funding'!$R$11)),"")</f>
        <v/>
      </c>
      <c r="BQ34">
        <f>('Production schedule'!AJ34)*(1-'Responsibilities'!$C$6)+('Production schedule'!AJ70)*(1-'Responsibilities'!$C$7)+('Production schedule'!AJ106)*(1-'Responsibilities'!$C$8)</f>
        <v/>
      </c>
      <c r="BR34">
        <f>('Production schedule'!AI34)*(1-'Responsibilities'!$D$6)+('Production schedule'!AI70)*(1-'Responsibilities'!$D$7)+('Production schedule'!AI106)*(1-'Responsibilities'!$D$8)</f>
        <v/>
      </c>
      <c r="BS34">
        <f>('Production schedule'!E34*(IF('Sites'!D6="Annual staff",SUM('Assumptions'!AF112,'Assumptions'!AF114),0)+SUM('Assumptions'!AF113,'Assumptions'!AF115:AF116)))*(1-'Responsibilities'!$E$6)+('Production schedule'!E70*(IF('Sites'!D7="Annual staff",SUM('Assumptions'!AF117,'Assumptions'!AF119),0)+SUM('Assumptions'!AF118,'Assumptions'!AF120:AF121)))*(1-'Responsibilities'!$E$7)+('Production schedule'!E106*(IF('Sites'!D8="Annual staff",SUM('Assumptions'!AF122,'Assumptions'!AF124),0)+SUM('Assumptions'!AF123,'Assumptions'!AF125:AF126)))*(1-'Responsibilities'!$E$8)</f>
        <v/>
      </c>
      <c r="BT34">
        <f>(IF(AND('Production schedule'!E34=1,29=MAX(('Sites'!F6),25),ISNUMBER('Sites'!Q6)),'Sites'!Q6*'Assumptions'!$B$44,0))*(1-'Responsibilities'!$F$6)+(IF(AND('Production schedule'!E70=1,29=MAX(('Sites'!F7+'Cases'!G6),25),ISNUMBER('Sites'!Q7)),'Sites'!Q7*'Assumptions'!$B$44,0))*(1-'Responsibilities'!$F$7)+(IF(AND('Production schedule'!E106=1,29=MAX(('Sites'!F8+'Cases'!G6),25),ISNUMBER('Sites'!Q8)),'Sites'!Q8*'Assumptions'!$B$44,0))*(1-'Responsibilities'!$F$8)</f>
        <v/>
      </c>
      <c r="BU34">
        <f>SUM('Costs'!E36)*'Costs'!F36/12*(1-'Responsibilities'!$C$12)+SUM('Costs'!E37)*'Costs'!F37/12*(1-'Responsibilities'!$C$13)+SUM('Costs'!E38)*'Costs'!F38/12*(1-'Responsibilities'!$C$14)+SUM('Costs'!E39)*'Costs'!F39/12*(1-'Responsibilities'!$C$15)+SUM('Costs'!E40)*'Costs'!F40/12*(1-'Responsibilities'!$C$16)</f>
        <v/>
      </c>
      <c r="BV34">
        <f>('Sites'!E6*'Capital'!E6*(IF(29='Capital'!G6,'Capital'!F6,0)+IF(29='Capital'!H6,1-'Capital'!F6,0)))*(1-'Responsibilities'!$G$6)+('Sites'!E7*'Capital'!E7*(IF(29='Capital'!G7+'Cases'!G6,'Capital'!F7,0)+IF(29='Capital'!H7+'Cases'!G6,1-'Capital'!F7,0)))*(1-'Responsibilities'!$G$7)+('Sites'!E8*'Cases'!F6*'Capital'!E8*(IF(29='Capital'!G8+'Cases'!G6,'Capital'!F8,0)+IF(29='Capital'!H8+'Cases'!G6,1-'Capital'!F8,0)))*(1-'Responsibilities'!$G$8)</f>
        <v/>
      </c>
      <c r="BW34">
        <f>SUM(BQ34:BV34)</f>
        <v/>
      </c>
      <c r="BX34">
        <f>N34+BW34</f>
        <v/>
      </c>
      <c r="BY34">
        <f>BX34-(('Production schedule'!AJ34)*'Responsibilities'!$C$6+('Production schedule'!AJ70)*'Responsibilities'!$C$7+('Production schedule'!AJ106)*'Responsibilities'!$C$8+('Production schedule'!AJ34)*(1-'Responsibilities'!$C$6)+('Production schedule'!AJ70)*(1-'Responsibilities'!$C$7)+('Production schedule'!AJ106)*(1-'Responsibilities'!$C$8)+('Production schedule'!AI34)*'Responsibilities'!$D$6+('Production schedule'!AI70)*'Responsibilities'!$D$7+('Production schedule'!AI106)*'Responsibilities'!$D$8+('Production schedule'!AI34)*(1-'Responsibilities'!$D$6)+('Production schedule'!AI70)*(1-'Responsibilities'!$D$7)+('Production schedule'!AI106)*(1-'Responsibilities'!$D$8)+('Production schedule'!E34*(IF('Sites'!D6="Annual staff",SUM('Assumptions'!AF112,'Assumptions'!AF114),0)+SUM('Assumptions'!AF113,'Assumptions'!AF115:AF116)))*'Responsibilities'!$E$6+('Production schedule'!E70*(IF('Sites'!D7="Annual staff",SUM('Assumptions'!AF117,'Assumptions'!AF119),0)+SUM('Assumptions'!AF118,'Assumptions'!AF120:AF121)))*'Responsibilities'!$E$7+('Production schedule'!E106*(IF('Sites'!D8="Annual staff",SUM('Assumptions'!AF122,'Assumptions'!AF124),0)+SUM('Assumptions'!AF123,'Assumptions'!AF125:AF126)))*'Responsibilities'!$E$8+('Production schedule'!E34*(IF('Sites'!D6="Annual staff",SUM('Assumptions'!AF112,'Assumptions'!AF114),0)+SUM('Assumptions'!AF113,'Assumptions'!AF115:AF116)))*(1-'Responsibilities'!$E$6)+('Production schedule'!E70*(IF('Sites'!D7="Annual staff",SUM('Assumptions'!AF117,'Assumptions'!AF119),0)+SUM('Assumptions'!AF118,'Assumptions'!AF120:AF121)))*(1-'Responsibilities'!$E$7)+('Production schedule'!E106*(IF('Sites'!D8="Annual staff",SUM('Assumptions'!AF122,'Assumptions'!AF124),0)+SUM('Assumptions'!AF123,'Assumptions'!AF125:AF126)))*(1-'Responsibilities'!$E$8)+(IF(AND('Production schedule'!E34=1,29=MAX(('Sites'!F6),25),ISNUMBER('Sites'!Q6)),'Sites'!Q6*'Assumptions'!$B$44,0))*'Responsibilities'!$F$6+(IF(AND('Production schedule'!E70=1,29=MAX(('Sites'!F7+'Cases'!G6),25),ISNUMBER('Sites'!Q7)),'Sites'!Q7*'Assumptions'!$B$44,0))*'Responsibilities'!$F$7+(IF(AND('Production schedule'!E106=1,29=MAX(('Sites'!F8+'Cases'!G6),25),ISNUMBER('Sites'!Q8)),'Sites'!Q8*'Assumptions'!$B$44,0))*'Responsibilities'!$F$8+(IF(AND('Production schedule'!E34=1,29=MAX(('Sites'!F6),25),ISNUMBER('Sites'!Q6)),'Sites'!Q6*'Assumptions'!$B$44,0))*(1-'Responsibilities'!$F$6)+(IF(AND('Production schedule'!E70=1,29=MAX(('Sites'!F7+'Cases'!G6),25),ISNUMBER('Sites'!Q7)),'Sites'!Q7*'Assumptions'!$B$44,0))*(1-'Responsibilities'!$F$7)+(IF(AND('Production schedule'!E106=1,29=MAX(('Sites'!F8+'Cases'!G6),25),ISNUMBER('Sites'!Q8)),'Sites'!Q8*'Assumptions'!$B$44,0))*(1-'Responsibilities'!$F$8)+('Sites'!E6*'Capital'!E6*(IF(29='Capital'!G6,'Capital'!F6,0)+IF(29='Capital'!H6,1-'Capital'!F6,0)))*'Responsibilities'!$G$6+('Sites'!E7*'Capital'!E7*(IF(29='Capital'!G7+'Cases'!G6,'Capital'!F7,0)+IF(29='Capital'!H7+'Cases'!G6,1-'Capital'!F7,0)))*'Responsibilities'!$G$7+('Sites'!E8*'Cases'!F6*'Capital'!E8*(IF(29='Capital'!G8+'Cases'!G6,'Capital'!F8,0)+IF(29='Capital'!H8+'Cases'!G6,1-'Capital'!F8,0)))*'Responsibilities'!$G$8+('Sites'!E6*'Capital'!E6*(IF(29='Capital'!G6,'Capital'!F6,0)+IF(29='Capital'!H6,1-'Capital'!F6,0)))*(1-'Responsibilities'!$G$6)+('Sites'!E7*'Capital'!E7*(IF(29='Capital'!G7+'Cases'!G6,'Capital'!F7,0)+IF(29='Capital'!H7+'Cases'!G6,1-'Capital'!F7,0)))*(1-'Responsibilities'!$G$7)+('Sites'!E8*'Cases'!F6*'Capital'!E8*(IF(29='Capital'!G8+'Cases'!G6,'Capital'!F8,0)+IF(29='Capital'!H8+'Cases'!G6,1-'Capital'!F8,0)))*(1-'Responsibilities'!$G$8)+I34+SUMPRODUCT('Costs'!$E$36:$E$40,'Costs'!$F$36:$F$40)/12+BZ34)</f>
        <v/>
      </c>
      <c r="BZ34">
        <f>SUMIFS('Responsibilities'!$B$31:$B$35,'Responsibilities'!$C$31:$C$35,29,'Responsibilities'!$D$31:$D$35,"Yes")</f>
        <v/>
      </c>
    </row>
    <row r="35" ht="28" customHeight="1">
      <c r="A35" s="4" t="inlineStr">
        <is>
          <t>Full</t>
        </is>
      </c>
      <c r="B35" s="4" t="n">
        <v>30</v>
      </c>
      <c r="C35" s="4">
        <f>ROUNDUP(B35/12,0)</f>
        <v/>
      </c>
      <c r="D35" s="137">
        <f>SUMIFS('Production schedule'!$N$6:$N$113,'Production schedule'!$C$6:$C$113,30)</f>
        <v/>
      </c>
      <c r="E35" s="137">
        <f>SUMIFS('Production schedule'!$Y$6:$Y$113,'Production schedule'!$C$6:$C$113,30)</f>
        <v/>
      </c>
      <c r="F35" s="137">
        <f>SUMIFS('Production schedule'!$Z$6:$Z$113,'Production schedule'!$C$6:$C$113,30)</f>
        <v/>
      </c>
      <c r="G35" s="137">
        <f>('Production schedule'!AJ35)*'Responsibilities'!$C$6+('Production schedule'!AJ71)*'Responsibilities'!$C$7+('Production schedule'!AJ107)*'Responsibilities'!$C$8</f>
        <v/>
      </c>
      <c r="H35" s="137">
        <f>('Production schedule'!AI35)*'Responsibilities'!$D$6+('Production schedule'!AI71)*'Responsibilities'!$D$7+('Production schedule'!AI107)*'Responsibilities'!$D$8</f>
        <v/>
      </c>
      <c r="I35" s="137">
        <f>SUM('Assumptions'!AG58:AG65)</f>
        <v/>
      </c>
      <c r="J35" s="137">
        <f>('Production schedule'!E35*(IF('Sites'!D6="Annual staff",SUM('Assumptions'!AG112,'Assumptions'!AG114),0)+SUM('Assumptions'!AG113,'Assumptions'!AG115:AG116)))*'Responsibilities'!$E$6+('Production schedule'!E71*(IF('Sites'!D7="Annual staff",SUM('Assumptions'!AG117,'Assumptions'!AG119),0)+SUM('Assumptions'!AG118,'Assumptions'!AG120:AG121)))*'Responsibilities'!$E$7+('Production schedule'!E107*(IF('Sites'!D8="Annual staff",SUM('Assumptions'!AG122,'Assumptions'!AG124),0)+SUM('Assumptions'!AG123,'Assumptions'!AG125:AG126)))*'Responsibilities'!$E$8</f>
        <v/>
      </c>
      <c r="K35" s="137">
        <f>(IF(AND('Production schedule'!E35=1,30=MAX(('Sites'!F6),25),ISNUMBER('Sites'!Q6)),'Sites'!Q6*'Assumptions'!$B$44,0))*'Responsibilities'!$F$6+(IF(AND('Production schedule'!E71=1,30=MAX(('Sites'!F7+'Cases'!G6),25),ISNUMBER('Sites'!Q7)),'Sites'!Q7*'Assumptions'!$B$44,0))*'Responsibilities'!$F$7+(IF(AND('Production schedule'!E107=1,30=MAX(('Sites'!F8+'Cases'!G6),25),ISNUMBER('Sites'!Q8)),'Sites'!Q8*'Assumptions'!$B$44,0))*'Responsibilities'!$F$8</f>
        <v/>
      </c>
      <c r="L35" s="137">
        <f>SUM('Costs'!E36)*'Costs'!F36/12*'Responsibilities'!$C$12+SUM('Costs'!E37)*'Costs'!F37/12*'Responsibilities'!$C$13+SUM('Costs'!E38)*'Costs'!F38/12*'Responsibilities'!$C$14+SUM('Costs'!E39)*'Costs'!F39/12*'Responsibilities'!$C$15+SUM('Costs'!E40)*'Costs'!F40/12*'Responsibilities'!$C$16+BZ35</f>
        <v/>
      </c>
      <c r="M35" s="137">
        <f>('Sites'!E6*'Capital'!E6*(IF(30='Capital'!G6,'Capital'!F6,0)+IF(30='Capital'!H6,1-'Capital'!F6,0)))*'Responsibilities'!$G$6+('Sites'!E7*'Capital'!E7*(IF(30='Capital'!G7+'Cases'!G6,'Capital'!F7,0)+IF(30='Capital'!H7+'Cases'!G6,1-'Capital'!F7,0)))*'Responsibilities'!$G$7+('Sites'!E8*'Cases'!F6*'Capital'!E8*(IF(30='Capital'!G8+'Cases'!G6,'Capital'!F8,0)+IF(30='Capital'!H8+'Cases'!G6,1-'Capital'!F8,0)))*'Responsibilities'!$G$8</f>
        <v/>
      </c>
      <c r="N35" s="137">
        <f>SUM(G35:M35)</f>
        <v/>
      </c>
      <c r="O35" s="137">
        <f>SUMIFS(FundingTranches[Secured amount],FundingTranches[Instrument],"Grant",FundingTranches[Secured month],30)</f>
        <v/>
      </c>
      <c r="P35" s="137">
        <f>SUMIFS(FundingTranches[Full possible],FundingTranches[Instrument],"Grant",FundingTranches[Scenario month],30-'Cases'!$D$6)</f>
        <v/>
      </c>
      <c r="Q35" s="137">
        <f>SUMIFS(FundingTranches[Secured amount],FundingTranches[Instrument],"Loan",FundingTranches[Secured month],30)</f>
        <v/>
      </c>
      <c r="R35" s="137">
        <f>SUMIFS(FundingTranches[Full possible],FundingTranches[Instrument],"Loan",FundingTranches[Scenario month],30-'Cases'!$D$6)</f>
        <v/>
      </c>
      <c r="S35" s="137">
        <f>IF(30&lt;='Assumptions'!$B$34,0,SUMIFS('Production schedule'!$AL$6:$AL$113,'Production schedule'!$C$6:$C$113,30-'Assumptions'!$B$34))</f>
        <v/>
      </c>
      <c r="T35" s="137">
        <f>'Assumptions'!AG70</f>
        <v/>
      </c>
      <c r="U35" s="137">
        <f>'Assumptions'!AG78</f>
        <v/>
      </c>
      <c r="V35" s="137">
        <f>SUM(O35:U35)</f>
        <v/>
      </c>
      <c r="W35" s="137">
        <f>AA34</f>
        <v/>
      </c>
      <c r="X35" s="137">
        <f>SUM(Q35:R35)</f>
        <v/>
      </c>
      <c r="Y35" s="137">
        <f>SUM(W35,X35)*'Assumptions'!$B$39/12</f>
        <v/>
      </c>
      <c r="Z35" s="137">
        <f>IF(SUM(W35,X35)&gt;0,MIN(SUM(W35,X35),MAX(0,BP35-Y35)),0)</f>
        <v/>
      </c>
      <c r="AA35" s="137">
        <f>SUM(W35,X35)-Z35</f>
        <v/>
      </c>
      <c r="AB35" s="137">
        <f>SUM(Y35:Z35)</f>
        <v/>
      </c>
      <c r="AC35" s="137">
        <f>'Assumptions'!AG72</f>
        <v/>
      </c>
      <c r="AD35" s="137">
        <f>'Assumptions'!AG73</f>
        <v/>
      </c>
      <c r="AE35" s="137">
        <f>IF(X35&gt;0,SUM('Assumptions'!$B$42),0)</f>
        <v/>
      </c>
      <c r="AF35" s="137">
        <f>'Assumptions'!AG71</f>
        <v/>
      </c>
      <c r="AG35" s="137">
        <f>'Assumptions'!AG74</f>
        <v/>
      </c>
      <c r="AH35" s="137">
        <f>'Assumptions'!AG75</f>
        <v/>
      </c>
      <c r="AI35" s="137">
        <f>'Assumptions'!AG77</f>
        <v/>
      </c>
      <c r="AJ35" s="137">
        <f>V35-N35-SUM(AB35:AI35)</f>
        <v/>
      </c>
      <c r="AK35" s="137">
        <f>SUM(AJ6:AJ35)</f>
        <v/>
      </c>
      <c r="AL35" s="137">
        <f>IF(ISNUMBER('Assumptions'!$B$10),'Assumptions'!$B$10+AK35,"")</f>
        <v/>
      </c>
      <c r="AM35" s="137">
        <f>SUM(O35,Q35,T35)-N35-SUM(AC35:AI35)+IF('Funding'!$N$11=0,AE35,0)-IF('Funding'!$N$11&gt;0,AB35,0)</f>
        <v/>
      </c>
      <c r="AN35" s="137">
        <f>SUM(AM6:AM35)</f>
        <v/>
      </c>
      <c r="AO35" s="137">
        <f>IF(ISNUMBER('Assumptions'!$B$10),'Assumptions'!$B$10+AN35,"")</f>
        <v/>
      </c>
      <c r="AP35" s="137">
        <f>('Production schedule'!AK35)*'Responsibilities'!$C$6+('Production schedule'!AK71)*'Responsibilities'!$C$7+('Production schedule'!AK107)*'Responsibilities'!$C$8</f>
        <v/>
      </c>
      <c r="AQ35" s="137">
        <f>SUMIFS('Production schedule'!$AL$6:$AL$113,'Production schedule'!$C$6:$C$113,30)</f>
        <v/>
      </c>
      <c r="AR35" s="137">
        <f>IF(ISNUMBER('Assumptions'!AG76),'Assumptions'!AG76,SUM(O35:P35))</f>
        <v/>
      </c>
      <c r="AS35" s="137">
        <f>IF(ISNUMBER('Assumptions'!$B$13),MIN('Assumptions'!$B$13/'Assumptions'!$B$18/12,MAX(0,'Assumptions'!$B$13-(30-1)*'Assumptions'!$B$13/'Assumptions'!$B$18/12)),0)+IF(AND('Sites'!E6=1,30&gt;=('Sites'!F6),30&lt;('Sites'!F6)+'Assumptions'!$B$18*12),'Capital'!E6/'Assumptions'!$B$18/12,0)+IF(AND('Sites'!E7=1,30&gt;=('Sites'!F7+'Cases'!G6),30&lt;('Sites'!F7+'Cases'!G6)+'Assumptions'!$B$18*12),'Capital'!E7/'Assumptions'!$B$18/12,0)+IF(AND('Sites'!E8*'Cases'!F6=1,30&gt;=('Sites'!F8+'Cases'!G6),30&lt;('Sites'!F8+'Cases'!G6)+'Assumptions'!$B$18*12),'Capital'!E8/'Assumptions'!$B$18/12,0)</f>
        <v/>
      </c>
      <c r="AT35" s="137">
        <f>SUM(AQ35,AR35,U35)-AP35-SUM(H35:L35)-AS35-SUM(Y35,AD35,AE35,AH35)</f>
        <v/>
      </c>
      <c r="AU35" s="137">
        <f>IF(ISNUMBER('Assumptions'!$B$19),MAX(0,SUM(AT30:AT35))*'Assumptions'!$B$19-SUM(AU30:AU34),"")</f>
        <v/>
      </c>
      <c r="AV35" s="137">
        <f>IF(ISNUMBER(AU35),AT35-AU35,"")</f>
        <v/>
      </c>
      <c r="AW35" s="137">
        <f>IF(ISNUMBER('Assumptions'!$B$11),'Assumptions'!$B$11+SUM(AQ6:AQ35)-SUM(S6:S35)-SUM(T6:T35),"")</f>
        <v/>
      </c>
      <c r="AX35" s="137">
        <f>IF(ISNUMBER('Assumptions'!$B$12),'Assumptions'!$B$12+SUM(G6:G35)-SUM(AP6:AP35),"")</f>
        <v/>
      </c>
      <c r="AY35" s="137">
        <f>IF(ISNUMBER('Assumptions'!$B$13),'Assumptions'!$B$13+SUM(M6:M35)-SUM(AS6:AS35),"")</f>
        <v/>
      </c>
      <c r="AZ35" s="137">
        <f>IF(ISNUMBER('Assumptions'!$B$14),'Assumptions'!$B$14+-SUM(AF6:AF35),"")</f>
        <v/>
      </c>
      <c r="BA35" s="137">
        <f>IF(ISNUMBER('Assumptions'!$B$15),'Assumptions'!$B$15+SUM(O6:O35)+SUM(P6:P35)-SUM(AR6:AR35),"")</f>
        <v/>
      </c>
      <c r="BB35" s="137">
        <f>IF(ISNUMBER('Assumptions'!$B$16),'Assumptions'!$B$16+-SUM(AC6:AC35),"")</f>
        <v/>
      </c>
      <c r="BC35" s="137">
        <f>IF(AND(ISNUMBER('Assumptions'!$B$21),ISNUMBER('Assumptions'!$B$19)),'Assumptions'!$B$21+SUM(AU6:AU35)-SUM(AG6:AG35),"")</f>
        <v/>
      </c>
      <c r="BD35" s="137">
        <f>IF(ISNUMBER('Assumptions'!$B$20),'Assumptions'!$B$20+-SUM(AI6:AI35),"")</f>
        <v/>
      </c>
      <c r="BE35" s="137">
        <f>IF(AND(ISNUMBER('Assumptions'!$B$17),COUNT(AV6:AV35)=30),'Assumptions'!$B$17+SUM(AV6:AV35),"")</f>
        <v/>
      </c>
      <c r="BF35" s="137">
        <f>IF(COUNT(AL35,AW35:AY35)=4,SUM(AL35,AW35:AY35),"")</f>
        <v/>
      </c>
      <c r="BG35" s="137">
        <f>IF(COUNT(AZ35:BD35)=5,SUM(AZ35:BD35,AA35),"")</f>
        <v/>
      </c>
      <c r="BH35" s="137">
        <f>IF(COUNT(BF35,BG35,BE35)=3,BF35-BG35-BE35,"")</f>
        <v/>
      </c>
      <c r="BI35" s="137">
        <f>SUM(W35,X35)-Z35-AA35</f>
        <v/>
      </c>
      <c r="BJ35" s="137">
        <f>8-COUNT('Assumptions'!AG58:AG65)+COUNTBLANK('NM Play'!B33:B34)+'Costs'!E44+IF(AND('Sites'!E6=1,('Sites'!F6)&lt;=36,'Sites'!G6&gt;=25),IF(ISNUMBER('Sites'!Q6),0,1)+'Capital'!I6+COUNTBLANK('Sites'!R6)+IF('Sites'!D6="NM crew",COUNTBLANK('NM Play'!B25)+1,5-COUNT('Assumptions'!AG112:AG116)),0)+IF(AND('Sites'!E7=1,('Sites'!F7+'Cases'!G6)&lt;=36,'Sites'!G7&gt;=25),IF(ISNUMBER('Sites'!Q7),0,1)+'Capital'!I7+COUNTBLANK('Sites'!R7)+IF('Sites'!D7="NM crew",COUNTBLANK('NM Play'!B25)+1,5-COUNT('Assumptions'!AG117:AG121)),0)+IF(AND('Sites'!E8*'Cases'!F6=1,('Sites'!F8+'Cases'!G6)&lt;=36,'Sites'!G8&gt;=25),IF(ISNUMBER('Sites'!Q8),0,1)+'Capital'!I8+COUNTBLANK('Sites'!R8)+IF('Sites'!D8="NM crew",COUNTBLANK('NM Play'!B25)+1,5-COUNT('Assumptions'!AG122:AG126)),0)+IF(AND('Cases'!C6&gt;0,NOT(ISNUMBER('Assumptions'!B42))),1,0)+'Responsibilities'!$B$39</f>
        <v/>
      </c>
      <c r="BK35" s="137">
        <f>'Assumptions'!$B$50+'NM Play'!$B$83+'Funding'!$F$20+SUMIFS('Production schedule'!$AN$6:$AN$113,'Production schedule'!$C$6:$C$113,30)+IF(OR('Cases'!E6&lt;0,'Cases'!E6&gt;1,'Cases'!C6&lt;0,'Cases'!D6&lt;0,ABS(SUM('Sites'!S6:S8)-1)&gt;0.0001,MIN('Capital'!F6:F8)&lt;0,MAX('Capital'!F6:F8)&gt;1,MIN(AX35,AZ35,BB35,BA35)&lt;-0.01),1,0)+'Responsibilities'!$B$40</f>
        <v/>
      </c>
      <c r="BL35" s="137">
        <f>SUMIFS('Production schedule'!$T$6:$T$113,'Production schedule'!$C$6:$C$113,30)</f>
        <v/>
      </c>
      <c r="BM35" s="137">
        <f>D35*'NM Play'!$B$38</f>
        <v/>
      </c>
      <c r="BN35" s="137">
        <f>SUMIFS('Production schedule'!$AM$6:$AM$113,'Production schedule'!$C$6:$C$113,30)</f>
        <v/>
      </c>
      <c r="BO35" s="137">
        <f>AK35-AK34-AJ35</f>
        <v/>
      </c>
      <c r="BP35" s="137">
        <f>IF(AND('Assumptions'!$B$39&gt;=0,'Assumptions'!$B$40&gt;0),-PMT('Assumptions'!$B$39/12,'Assumptions'!$B$40*12,IF('Funding'!$N$11&gt;0,'Funding'!$N$11,'Funding'!$R$11)),"")</f>
        <v/>
      </c>
      <c r="BQ35">
        <f>('Production schedule'!AJ35)*(1-'Responsibilities'!$C$6)+('Production schedule'!AJ71)*(1-'Responsibilities'!$C$7)+('Production schedule'!AJ107)*(1-'Responsibilities'!$C$8)</f>
        <v/>
      </c>
      <c r="BR35">
        <f>('Production schedule'!AI35)*(1-'Responsibilities'!$D$6)+('Production schedule'!AI71)*(1-'Responsibilities'!$D$7)+('Production schedule'!AI107)*(1-'Responsibilities'!$D$8)</f>
        <v/>
      </c>
      <c r="BS35">
        <f>('Production schedule'!E35*(IF('Sites'!D6="Annual staff",SUM('Assumptions'!AG112,'Assumptions'!AG114),0)+SUM('Assumptions'!AG113,'Assumptions'!AG115:AG116)))*(1-'Responsibilities'!$E$6)+('Production schedule'!E71*(IF('Sites'!D7="Annual staff",SUM('Assumptions'!AG117,'Assumptions'!AG119),0)+SUM('Assumptions'!AG118,'Assumptions'!AG120:AG121)))*(1-'Responsibilities'!$E$7)+('Production schedule'!E107*(IF('Sites'!D8="Annual staff",SUM('Assumptions'!AG122,'Assumptions'!AG124),0)+SUM('Assumptions'!AG123,'Assumptions'!AG125:AG126)))*(1-'Responsibilities'!$E$8)</f>
        <v/>
      </c>
      <c r="BT35">
        <f>(IF(AND('Production schedule'!E35=1,30=MAX(('Sites'!F6),25),ISNUMBER('Sites'!Q6)),'Sites'!Q6*'Assumptions'!$B$44,0))*(1-'Responsibilities'!$F$6)+(IF(AND('Production schedule'!E71=1,30=MAX(('Sites'!F7+'Cases'!G6),25),ISNUMBER('Sites'!Q7)),'Sites'!Q7*'Assumptions'!$B$44,0))*(1-'Responsibilities'!$F$7)+(IF(AND('Production schedule'!E107=1,30=MAX(('Sites'!F8+'Cases'!G6),25),ISNUMBER('Sites'!Q8)),'Sites'!Q8*'Assumptions'!$B$44,0))*(1-'Responsibilities'!$F$8)</f>
        <v/>
      </c>
      <c r="BU35">
        <f>SUM('Costs'!E36)*'Costs'!F36/12*(1-'Responsibilities'!$C$12)+SUM('Costs'!E37)*'Costs'!F37/12*(1-'Responsibilities'!$C$13)+SUM('Costs'!E38)*'Costs'!F38/12*(1-'Responsibilities'!$C$14)+SUM('Costs'!E39)*'Costs'!F39/12*(1-'Responsibilities'!$C$15)+SUM('Costs'!E40)*'Costs'!F40/12*(1-'Responsibilities'!$C$16)</f>
        <v/>
      </c>
      <c r="BV35">
        <f>('Sites'!E6*'Capital'!E6*(IF(30='Capital'!G6,'Capital'!F6,0)+IF(30='Capital'!H6,1-'Capital'!F6,0)))*(1-'Responsibilities'!$G$6)+('Sites'!E7*'Capital'!E7*(IF(30='Capital'!G7+'Cases'!G6,'Capital'!F7,0)+IF(30='Capital'!H7+'Cases'!G6,1-'Capital'!F7,0)))*(1-'Responsibilities'!$G$7)+('Sites'!E8*'Cases'!F6*'Capital'!E8*(IF(30='Capital'!G8+'Cases'!G6,'Capital'!F8,0)+IF(30='Capital'!H8+'Cases'!G6,1-'Capital'!F8,0)))*(1-'Responsibilities'!$G$8)</f>
        <v/>
      </c>
      <c r="BW35">
        <f>SUM(BQ35:BV35)</f>
        <v/>
      </c>
      <c r="BX35">
        <f>N35+BW35</f>
        <v/>
      </c>
      <c r="BY35">
        <f>BX35-(('Production schedule'!AJ35)*'Responsibilities'!$C$6+('Production schedule'!AJ71)*'Responsibilities'!$C$7+('Production schedule'!AJ107)*'Responsibilities'!$C$8+('Production schedule'!AJ35)*(1-'Responsibilities'!$C$6)+('Production schedule'!AJ71)*(1-'Responsibilities'!$C$7)+('Production schedule'!AJ107)*(1-'Responsibilities'!$C$8)+('Production schedule'!AI35)*'Responsibilities'!$D$6+('Production schedule'!AI71)*'Responsibilities'!$D$7+('Production schedule'!AI107)*'Responsibilities'!$D$8+('Production schedule'!AI35)*(1-'Responsibilities'!$D$6)+('Production schedule'!AI71)*(1-'Responsibilities'!$D$7)+('Production schedule'!AI107)*(1-'Responsibilities'!$D$8)+('Production schedule'!E35*(IF('Sites'!D6="Annual staff",SUM('Assumptions'!AG112,'Assumptions'!AG114),0)+SUM('Assumptions'!AG113,'Assumptions'!AG115:AG116)))*'Responsibilities'!$E$6+('Production schedule'!E71*(IF('Sites'!D7="Annual staff",SUM('Assumptions'!AG117,'Assumptions'!AG119),0)+SUM('Assumptions'!AG118,'Assumptions'!AG120:AG121)))*'Responsibilities'!$E$7+('Production schedule'!E107*(IF('Sites'!D8="Annual staff",SUM('Assumptions'!AG122,'Assumptions'!AG124),0)+SUM('Assumptions'!AG123,'Assumptions'!AG125:AG126)))*'Responsibilities'!$E$8+('Production schedule'!E35*(IF('Sites'!D6="Annual staff",SUM('Assumptions'!AG112,'Assumptions'!AG114),0)+SUM('Assumptions'!AG113,'Assumptions'!AG115:AG116)))*(1-'Responsibilities'!$E$6)+('Production schedule'!E71*(IF('Sites'!D7="Annual staff",SUM('Assumptions'!AG117,'Assumptions'!AG119),0)+SUM('Assumptions'!AG118,'Assumptions'!AG120:AG121)))*(1-'Responsibilities'!$E$7)+('Production schedule'!E107*(IF('Sites'!D8="Annual staff",SUM('Assumptions'!AG122,'Assumptions'!AG124),0)+SUM('Assumptions'!AG123,'Assumptions'!AG125:AG126)))*(1-'Responsibilities'!$E$8)+(IF(AND('Production schedule'!E35=1,30=MAX(('Sites'!F6),25),ISNUMBER('Sites'!Q6)),'Sites'!Q6*'Assumptions'!$B$44,0))*'Responsibilities'!$F$6+(IF(AND('Production schedule'!E71=1,30=MAX(('Sites'!F7+'Cases'!G6),25),ISNUMBER('Sites'!Q7)),'Sites'!Q7*'Assumptions'!$B$44,0))*'Responsibilities'!$F$7+(IF(AND('Production schedule'!E107=1,30=MAX(('Sites'!F8+'Cases'!G6),25),ISNUMBER('Sites'!Q8)),'Sites'!Q8*'Assumptions'!$B$44,0))*'Responsibilities'!$F$8+(IF(AND('Production schedule'!E35=1,30=MAX(('Sites'!F6),25),ISNUMBER('Sites'!Q6)),'Sites'!Q6*'Assumptions'!$B$44,0))*(1-'Responsibilities'!$F$6)+(IF(AND('Production schedule'!E71=1,30=MAX(('Sites'!F7+'Cases'!G6),25),ISNUMBER('Sites'!Q7)),'Sites'!Q7*'Assumptions'!$B$44,0))*(1-'Responsibilities'!$F$7)+(IF(AND('Production schedule'!E107=1,30=MAX(('Sites'!F8+'Cases'!G6),25),ISNUMBER('Sites'!Q8)),'Sites'!Q8*'Assumptions'!$B$44,0))*(1-'Responsibilities'!$F$8)+('Sites'!E6*'Capital'!E6*(IF(30='Capital'!G6,'Capital'!F6,0)+IF(30='Capital'!H6,1-'Capital'!F6,0)))*'Responsibilities'!$G$6+('Sites'!E7*'Capital'!E7*(IF(30='Capital'!G7+'Cases'!G6,'Capital'!F7,0)+IF(30='Capital'!H7+'Cases'!G6,1-'Capital'!F7,0)))*'Responsibilities'!$G$7+('Sites'!E8*'Cases'!F6*'Capital'!E8*(IF(30='Capital'!G8+'Cases'!G6,'Capital'!F8,0)+IF(30='Capital'!H8+'Cases'!G6,1-'Capital'!F8,0)))*'Responsibilities'!$G$8+('Sites'!E6*'Capital'!E6*(IF(30='Capital'!G6,'Capital'!F6,0)+IF(30='Capital'!H6,1-'Capital'!F6,0)))*(1-'Responsibilities'!$G$6)+('Sites'!E7*'Capital'!E7*(IF(30='Capital'!G7+'Cases'!G6,'Capital'!F7,0)+IF(30='Capital'!H7+'Cases'!G6,1-'Capital'!F7,0)))*(1-'Responsibilities'!$G$7)+('Sites'!E8*'Cases'!F6*'Capital'!E8*(IF(30='Capital'!G8+'Cases'!G6,'Capital'!F8,0)+IF(30='Capital'!H8+'Cases'!G6,1-'Capital'!F8,0)))*(1-'Responsibilities'!$G$8)+I35+SUMPRODUCT('Costs'!$E$36:$E$40,'Costs'!$F$36:$F$40)/12+BZ35)</f>
        <v/>
      </c>
      <c r="BZ35">
        <f>SUMIFS('Responsibilities'!$B$31:$B$35,'Responsibilities'!$C$31:$C$35,30,'Responsibilities'!$D$31:$D$35,"Yes")</f>
        <v/>
      </c>
    </row>
    <row r="36" ht="28" customHeight="1">
      <c r="A36" s="4" t="inlineStr">
        <is>
          <t>Full</t>
        </is>
      </c>
      <c r="B36" s="4" t="n">
        <v>31</v>
      </c>
      <c r="C36" s="4">
        <f>ROUNDUP(B36/12,0)</f>
        <v/>
      </c>
      <c r="D36" s="137">
        <f>SUMIFS('Production schedule'!$N$6:$N$113,'Production schedule'!$C$6:$C$113,31)</f>
        <v/>
      </c>
      <c r="E36" s="137">
        <f>SUMIFS('Production schedule'!$Y$6:$Y$113,'Production schedule'!$C$6:$C$113,31)</f>
        <v/>
      </c>
      <c r="F36" s="137">
        <f>SUMIFS('Production schedule'!$Z$6:$Z$113,'Production schedule'!$C$6:$C$113,31)</f>
        <v/>
      </c>
      <c r="G36" s="137">
        <f>('Production schedule'!AJ36)*'Responsibilities'!$C$6+('Production schedule'!AJ72)*'Responsibilities'!$C$7+('Production schedule'!AJ108)*'Responsibilities'!$C$8</f>
        <v/>
      </c>
      <c r="H36" s="137">
        <f>('Production schedule'!AI36)*'Responsibilities'!$D$6+('Production schedule'!AI72)*'Responsibilities'!$D$7+('Production schedule'!AI108)*'Responsibilities'!$D$8</f>
        <v/>
      </c>
      <c r="I36" s="137">
        <f>SUM('Assumptions'!AH58:AH65)</f>
        <v/>
      </c>
      <c r="J36" s="137">
        <f>('Production schedule'!E36*(IF('Sites'!D6="Annual staff",SUM('Assumptions'!AH112,'Assumptions'!AH114),0)+SUM('Assumptions'!AH113,'Assumptions'!AH115:AH116)))*'Responsibilities'!$E$6+('Production schedule'!E72*(IF('Sites'!D7="Annual staff",SUM('Assumptions'!AH117,'Assumptions'!AH119),0)+SUM('Assumptions'!AH118,'Assumptions'!AH120:AH121)))*'Responsibilities'!$E$7+('Production schedule'!E108*(IF('Sites'!D8="Annual staff",SUM('Assumptions'!AH122,'Assumptions'!AH124),0)+SUM('Assumptions'!AH123,'Assumptions'!AH125:AH126)))*'Responsibilities'!$E$8</f>
        <v/>
      </c>
      <c r="K36" s="137">
        <f>(IF(AND('Production schedule'!E36=1,31=MAX(('Sites'!F6),25),ISNUMBER('Sites'!Q6)),'Sites'!Q6*'Assumptions'!$B$44,0))*'Responsibilities'!$F$6+(IF(AND('Production schedule'!E72=1,31=MAX(('Sites'!F7+'Cases'!G6),25),ISNUMBER('Sites'!Q7)),'Sites'!Q7*'Assumptions'!$B$44,0))*'Responsibilities'!$F$7+(IF(AND('Production schedule'!E108=1,31=MAX(('Sites'!F8+'Cases'!G6),25),ISNUMBER('Sites'!Q8)),'Sites'!Q8*'Assumptions'!$B$44,0))*'Responsibilities'!$F$8</f>
        <v/>
      </c>
      <c r="L36" s="137">
        <f>SUM('Costs'!E36)*'Costs'!F36/12*'Responsibilities'!$C$12+SUM('Costs'!E37)*'Costs'!F37/12*'Responsibilities'!$C$13+SUM('Costs'!E38)*'Costs'!F38/12*'Responsibilities'!$C$14+SUM('Costs'!E39)*'Costs'!F39/12*'Responsibilities'!$C$15+SUM('Costs'!E40)*'Costs'!F40/12*'Responsibilities'!$C$16+BZ36</f>
        <v/>
      </c>
      <c r="M36" s="137">
        <f>('Sites'!E6*'Capital'!E6*(IF(31='Capital'!G6,'Capital'!F6,0)+IF(31='Capital'!H6,1-'Capital'!F6,0)))*'Responsibilities'!$G$6+('Sites'!E7*'Capital'!E7*(IF(31='Capital'!G7+'Cases'!G6,'Capital'!F7,0)+IF(31='Capital'!H7+'Cases'!G6,1-'Capital'!F7,0)))*'Responsibilities'!$G$7+('Sites'!E8*'Cases'!F6*'Capital'!E8*(IF(31='Capital'!G8+'Cases'!G6,'Capital'!F8,0)+IF(31='Capital'!H8+'Cases'!G6,1-'Capital'!F8,0)))*'Responsibilities'!$G$8</f>
        <v/>
      </c>
      <c r="N36" s="137">
        <f>SUM(G36:M36)</f>
        <v/>
      </c>
      <c r="O36" s="137">
        <f>SUMIFS(FundingTranches[Secured amount],FundingTranches[Instrument],"Grant",FundingTranches[Secured month],31)</f>
        <v/>
      </c>
      <c r="P36" s="137">
        <f>SUMIFS(FundingTranches[Full possible],FundingTranches[Instrument],"Grant",FundingTranches[Scenario month],31-'Cases'!$D$6)</f>
        <v/>
      </c>
      <c r="Q36" s="137">
        <f>SUMIFS(FundingTranches[Secured amount],FundingTranches[Instrument],"Loan",FundingTranches[Secured month],31)</f>
        <v/>
      </c>
      <c r="R36" s="137">
        <f>SUMIFS(FundingTranches[Full possible],FundingTranches[Instrument],"Loan",FundingTranches[Scenario month],31-'Cases'!$D$6)</f>
        <v/>
      </c>
      <c r="S36" s="137">
        <f>IF(31&lt;='Assumptions'!$B$34,0,SUMIFS('Production schedule'!$AL$6:$AL$113,'Production schedule'!$C$6:$C$113,31-'Assumptions'!$B$34))</f>
        <v/>
      </c>
      <c r="T36" s="137">
        <f>'Assumptions'!AH70</f>
        <v/>
      </c>
      <c r="U36" s="137">
        <f>'Assumptions'!AH78</f>
        <v/>
      </c>
      <c r="V36" s="137">
        <f>SUM(O36:U36)</f>
        <v/>
      </c>
      <c r="W36" s="137">
        <f>AA35</f>
        <v/>
      </c>
      <c r="X36" s="137">
        <f>SUM(Q36:R36)</f>
        <v/>
      </c>
      <c r="Y36" s="137">
        <f>SUM(W36,X36)*'Assumptions'!$B$39/12</f>
        <v/>
      </c>
      <c r="Z36" s="137">
        <f>IF(SUM(W36,X36)&gt;0,MIN(SUM(W36,X36),MAX(0,BP36-Y36)),0)</f>
        <v/>
      </c>
      <c r="AA36" s="137">
        <f>SUM(W36,X36)-Z36</f>
        <v/>
      </c>
      <c r="AB36" s="137">
        <f>SUM(Y36:Z36)</f>
        <v/>
      </c>
      <c r="AC36" s="137">
        <f>'Assumptions'!AH72</f>
        <v/>
      </c>
      <c r="AD36" s="137">
        <f>'Assumptions'!AH73</f>
        <v/>
      </c>
      <c r="AE36" s="137">
        <f>IF(X36&gt;0,SUM('Assumptions'!$B$42),0)</f>
        <v/>
      </c>
      <c r="AF36" s="137">
        <f>'Assumptions'!AH71</f>
        <v/>
      </c>
      <c r="AG36" s="137">
        <f>'Assumptions'!AH74</f>
        <v/>
      </c>
      <c r="AH36" s="137">
        <f>'Assumptions'!AH75</f>
        <v/>
      </c>
      <c r="AI36" s="137">
        <f>'Assumptions'!AH77</f>
        <v/>
      </c>
      <c r="AJ36" s="137">
        <f>V36-N36-SUM(AB36:AI36)</f>
        <v/>
      </c>
      <c r="AK36" s="137">
        <f>SUM(AJ6:AJ36)</f>
        <v/>
      </c>
      <c r="AL36" s="137">
        <f>IF(ISNUMBER('Assumptions'!$B$10),'Assumptions'!$B$10+AK36,"")</f>
        <v/>
      </c>
      <c r="AM36" s="137">
        <f>SUM(O36,Q36,T36)-N36-SUM(AC36:AI36)+IF('Funding'!$N$11=0,AE36,0)-IF('Funding'!$N$11&gt;0,AB36,0)</f>
        <v/>
      </c>
      <c r="AN36" s="137">
        <f>SUM(AM6:AM36)</f>
        <v/>
      </c>
      <c r="AO36" s="137">
        <f>IF(ISNUMBER('Assumptions'!$B$10),'Assumptions'!$B$10+AN36,"")</f>
        <v/>
      </c>
      <c r="AP36" s="137">
        <f>('Production schedule'!AK36)*'Responsibilities'!$C$6+('Production schedule'!AK72)*'Responsibilities'!$C$7+('Production schedule'!AK108)*'Responsibilities'!$C$8</f>
        <v/>
      </c>
      <c r="AQ36" s="137">
        <f>SUMIFS('Production schedule'!$AL$6:$AL$113,'Production schedule'!$C$6:$C$113,31)</f>
        <v/>
      </c>
      <c r="AR36" s="137">
        <f>IF(ISNUMBER('Assumptions'!AH76),'Assumptions'!AH76,SUM(O36:P36))</f>
        <v/>
      </c>
      <c r="AS36" s="137">
        <f>IF(ISNUMBER('Assumptions'!$B$13),MIN('Assumptions'!$B$13/'Assumptions'!$B$18/12,MAX(0,'Assumptions'!$B$13-(31-1)*'Assumptions'!$B$13/'Assumptions'!$B$18/12)),0)+IF(AND('Sites'!E6=1,31&gt;=('Sites'!F6),31&lt;('Sites'!F6)+'Assumptions'!$B$18*12),'Capital'!E6/'Assumptions'!$B$18/12,0)+IF(AND('Sites'!E7=1,31&gt;=('Sites'!F7+'Cases'!G6),31&lt;('Sites'!F7+'Cases'!G6)+'Assumptions'!$B$18*12),'Capital'!E7/'Assumptions'!$B$18/12,0)+IF(AND('Sites'!E8*'Cases'!F6=1,31&gt;=('Sites'!F8+'Cases'!G6),31&lt;('Sites'!F8+'Cases'!G6)+'Assumptions'!$B$18*12),'Capital'!E8/'Assumptions'!$B$18/12,0)</f>
        <v/>
      </c>
      <c r="AT36" s="137">
        <f>SUM(AQ36,AR36,U36)-AP36-SUM(H36:L36)-AS36-SUM(Y36,AD36,AE36,AH36)</f>
        <v/>
      </c>
      <c r="AU36" s="137">
        <f>IF(ISNUMBER('Assumptions'!$B$19),MAX(0,SUM(AT30:AT36))*'Assumptions'!$B$19-SUM(AU30:AU35),"")</f>
        <v/>
      </c>
      <c r="AV36" s="137">
        <f>IF(ISNUMBER(AU36),AT36-AU36,"")</f>
        <v/>
      </c>
      <c r="AW36" s="137">
        <f>IF(ISNUMBER('Assumptions'!$B$11),'Assumptions'!$B$11+SUM(AQ6:AQ36)-SUM(S6:S36)-SUM(T6:T36),"")</f>
        <v/>
      </c>
      <c r="AX36" s="137">
        <f>IF(ISNUMBER('Assumptions'!$B$12),'Assumptions'!$B$12+SUM(G6:G36)-SUM(AP6:AP36),"")</f>
        <v/>
      </c>
      <c r="AY36" s="137">
        <f>IF(ISNUMBER('Assumptions'!$B$13),'Assumptions'!$B$13+SUM(M6:M36)-SUM(AS6:AS36),"")</f>
        <v/>
      </c>
      <c r="AZ36" s="137">
        <f>IF(ISNUMBER('Assumptions'!$B$14),'Assumptions'!$B$14+-SUM(AF6:AF36),"")</f>
        <v/>
      </c>
      <c r="BA36" s="137">
        <f>IF(ISNUMBER('Assumptions'!$B$15),'Assumptions'!$B$15+SUM(O6:O36)+SUM(P6:P36)-SUM(AR6:AR36),"")</f>
        <v/>
      </c>
      <c r="BB36" s="137">
        <f>IF(ISNUMBER('Assumptions'!$B$16),'Assumptions'!$B$16+-SUM(AC6:AC36),"")</f>
        <v/>
      </c>
      <c r="BC36" s="137">
        <f>IF(AND(ISNUMBER('Assumptions'!$B$21),ISNUMBER('Assumptions'!$B$19)),'Assumptions'!$B$21+SUM(AU6:AU36)-SUM(AG6:AG36),"")</f>
        <v/>
      </c>
      <c r="BD36" s="137">
        <f>IF(ISNUMBER('Assumptions'!$B$20),'Assumptions'!$B$20+-SUM(AI6:AI36),"")</f>
        <v/>
      </c>
      <c r="BE36" s="137">
        <f>IF(AND(ISNUMBER('Assumptions'!$B$17),COUNT(AV6:AV36)=31),'Assumptions'!$B$17+SUM(AV6:AV36),"")</f>
        <v/>
      </c>
      <c r="BF36" s="137">
        <f>IF(COUNT(AL36,AW36:AY36)=4,SUM(AL36,AW36:AY36),"")</f>
        <v/>
      </c>
      <c r="BG36" s="137">
        <f>IF(COUNT(AZ36:BD36)=5,SUM(AZ36:BD36,AA36),"")</f>
        <v/>
      </c>
      <c r="BH36" s="137">
        <f>IF(COUNT(BF36,BG36,BE36)=3,BF36-BG36-BE36,"")</f>
        <v/>
      </c>
      <c r="BI36" s="137">
        <f>SUM(W36,X36)-Z36-AA36</f>
        <v/>
      </c>
      <c r="BJ36" s="137">
        <f>8-COUNT('Assumptions'!AH58:AH65)+COUNTBLANK('NM Play'!B33:B34)+'Costs'!E44+IF(AND('Sites'!E6=1,('Sites'!F6)&lt;=36,'Sites'!G6&gt;=25),IF(ISNUMBER('Sites'!Q6),0,1)+'Capital'!I6+COUNTBLANK('Sites'!R6)+IF('Sites'!D6="NM crew",COUNTBLANK('NM Play'!B25)+1,5-COUNT('Assumptions'!AH112:AH116)),0)+IF(AND('Sites'!E7=1,('Sites'!F7+'Cases'!G6)&lt;=36,'Sites'!G7&gt;=25),IF(ISNUMBER('Sites'!Q7),0,1)+'Capital'!I7+COUNTBLANK('Sites'!R7)+IF('Sites'!D7="NM crew",COUNTBLANK('NM Play'!B25)+1,5-COUNT('Assumptions'!AH117:AH121)),0)+IF(AND('Sites'!E8*'Cases'!F6=1,('Sites'!F8+'Cases'!G6)&lt;=36,'Sites'!G8&gt;=25),IF(ISNUMBER('Sites'!Q8),0,1)+'Capital'!I8+COUNTBLANK('Sites'!R8)+IF('Sites'!D8="NM crew",COUNTBLANK('NM Play'!B25)+1,5-COUNT('Assumptions'!AH122:AH126)),0)+IF(AND('Cases'!C6&gt;0,NOT(ISNUMBER('Assumptions'!B42))),1,0)+'Responsibilities'!$B$39</f>
        <v/>
      </c>
      <c r="BK36" s="137">
        <f>'Assumptions'!$B$50+'NM Play'!$B$83+'Funding'!$F$20+SUMIFS('Production schedule'!$AN$6:$AN$113,'Production schedule'!$C$6:$C$113,31)+IF(OR('Cases'!E6&lt;0,'Cases'!E6&gt;1,'Cases'!C6&lt;0,'Cases'!D6&lt;0,ABS(SUM('Sites'!S6:S8)-1)&gt;0.0001,MIN('Capital'!F6:F8)&lt;0,MAX('Capital'!F6:F8)&gt;1,MIN(AX36,AZ36,BB36,BA36)&lt;-0.01),1,0)+'Responsibilities'!$B$40</f>
        <v/>
      </c>
      <c r="BL36" s="137">
        <f>SUMIFS('Production schedule'!$T$6:$T$113,'Production schedule'!$C$6:$C$113,31)</f>
        <v/>
      </c>
      <c r="BM36" s="137">
        <f>D36*'NM Play'!$B$38</f>
        <v/>
      </c>
      <c r="BN36" s="137">
        <f>SUMIFS('Production schedule'!$AM$6:$AM$113,'Production schedule'!$C$6:$C$113,31)</f>
        <v/>
      </c>
      <c r="BO36" s="137">
        <f>AK36-AK35-AJ36</f>
        <v/>
      </c>
      <c r="BP36" s="137">
        <f>IF(AND('Assumptions'!$B$39&gt;=0,'Assumptions'!$B$40&gt;0),-PMT('Assumptions'!$B$39/12,'Assumptions'!$B$40*12,IF('Funding'!$N$11&gt;0,'Funding'!$N$11,'Funding'!$R$11)),"")</f>
        <v/>
      </c>
      <c r="BQ36">
        <f>('Production schedule'!AJ36)*(1-'Responsibilities'!$C$6)+('Production schedule'!AJ72)*(1-'Responsibilities'!$C$7)+('Production schedule'!AJ108)*(1-'Responsibilities'!$C$8)</f>
        <v/>
      </c>
      <c r="BR36">
        <f>('Production schedule'!AI36)*(1-'Responsibilities'!$D$6)+('Production schedule'!AI72)*(1-'Responsibilities'!$D$7)+('Production schedule'!AI108)*(1-'Responsibilities'!$D$8)</f>
        <v/>
      </c>
      <c r="BS36">
        <f>('Production schedule'!E36*(IF('Sites'!D6="Annual staff",SUM('Assumptions'!AH112,'Assumptions'!AH114),0)+SUM('Assumptions'!AH113,'Assumptions'!AH115:AH116)))*(1-'Responsibilities'!$E$6)+('Production schedule'!E72*(IF('Sites'!D7="Annual staff",SUM('Assumptions'!AH117,'Assumptions'!AH119),0)+SUM('Assumptions'!AH118,'Assumptions'!AH120:AH121)))*(1-'Responsibilities'!$E$7)+('Production schedule'!E108*(IF('Sites'!D8="Annual staff",SUM('Assumptions'!AH122,'Assumptions'!AH124),0)+SUM('Assumptions'!AH123,'Assumptions'!AH125:AH126)))*(1-'Responsibilities'!$E$8)</f>
        <v/>
      </c>
      <c r="BT36">
        <f>(IF(AND('Production schedule'!E36=1,31=MAX(('Sites'!F6),25),ISNUMBER('Sites'!Q6)),'Sites'!Q6*'Assumptions'!$B$44,0))*(1-'Responsibilities'!$F$6)+(IF(AND('Production schedule'!E72=1,31=MAX(('Sites'!F7+'Cases'!G6),25),ISNUMBER('Sites'!Q7)),'Sites'!Q7*'Assumptions'!$B$44,0))*(1-'Responsibilities'!$F$7)+(IF(AND('Production schedule'!E108=1,31=MAX(('Sites'!F8+'Cases'!G6),25),ISNUMBER('Sites'!Q8)),'Sites'!Q8*'Assumptions'!$B$44,0))*(1-'Responsibilities'!$F$8)</f>
        <v/>
      </c>
      <c r="BU36">
        <f>SUM('Costs'!E36)*'Costs'!F36/12*(1-'Responsibilities'!$C$12)+SUM('Costs'!E37)*'Costs'!F37/12*(1-'Responsibilities'!$C$13)+SUM('Costs'!E38)*'Costs'!F38/12*(1-'Responsibilities'!$C$14)+SUM('Costs'!E39)*'Costs'!F39/12*(1-'Responsibilities'!$C$15)+SUM('Costs'!E40)*'Costs'!F40/12*(1-'Responsibilities'!$C$16)</f>
        <v/>
      </c>
      <c r="BV36">
        <f>('Sites'!E6*'Capital'!E6*(IF(31='Capital'!G6,'Capital'!F6,0)+IF(31='Capital'!H6,1-'Capital'!F6,0)))*(1-'Responsibilities'!$G$6)+('Sites'!E7*'Capital'!E7*(IF(31='Capital'!G7+'Cases'!G6,'Capital'!F7,0)+IF(31='Capital'!H7+'Cases'!G6,1-'Capital'!F7,0)))*(1-'Responsibilities'!$G$7)+('Sites'!E8*'Cases'!F6*'Capital'!E8*(IF(31='Capital'!G8+'Cases'!G6,'Capital'!F8,0)+IF(31='Capital'!H8+'Cases'!G6,1-'Capital'!F8,0)))*(1-'Responsibilities'!$G$8)</f>
        <v/>
      </c>
      <c r="BW36">
        <f>SUM(BQ36:BV36)</f>
        <v/>
      </c>
      <c r="BX36">
        <f>N36+BW36</f>
        <v/>
      </c>
      <c r="BY36">
        <f>BX36-(('Production schedule'!AJ36)*'Responsibilities'!$C$6+('Production schedule'!AJ72)*'Responsibilities'!$C$7+('Production schedule'!AJ108)*'Responsibilities'!$C$8+('Production schedule'!AJ36)*(1-'Responsibilities'!$C$6)+('Production schedule'!AJ72)*(1-'Responsibilities'!$C$7)+('Production schedule'!AJ108)*(1-'Responsibilities'!$C$8)+('Production schedule'!AI36)*'Responsibilities'!$D$6+('Production schedule'!AI72)*'Responsibilities'!$D$7+('Production schedule'!AI108)*'Responsibilities'!$D$8+('Production schedule'!AI36)*(1-'Responsibilities'!$D$6)+('Production schedule'!AI72)*(1-'Responsibilities'!$D$7)+('Production schedule'!AI108)*(1-'Responsibilities'!$D$8)+('Production schedule'!E36*(IF('Sites'!D6="Annual staff",SUM('Assumptions'!AH112,'Assumptions'!AH114),0)+SUM('Assumptions'!AH113,'Assumptions'!AH115:AH116)))*'Responsibilities'!$E$6+('Production schedule'!E72*(IF('Sites'!D7="Annual staff",SUM('Assumptions'!AH117,'Assumptions'!AH119),0)+SUM('Assumptions'!AH118,'Assumptions'!AH120:AH121)))*'Responsibilities'!$E$7+('Production schedule'!E108*(IF('Sites'!D8="Annual staff",SUM('Assumptions'!AH122,'Assumptions'!AH124),0)+SUM('Assumptions'!AH123,'Assumptions'!AH125:AH126)))*'Responsibilities'!$E$8+('Production schedule'!E36*(IF('Sites'!D6="Annual staff",SUM('Assumptions'!AH112,'Assumptions'!AH114),0)+SUM('Assumptions'!AH113,'Assumptions'!AH115:AH116)))*(1-'Responsibilities'!$E$6)+('Production schedule'!E72*(IF('Sites'!D7="Annual staff",SUM('Assumptions'!AH117,'Assumptions'!AH119),0)+SUM('Assumptions'!AH118,'Assumptions'!AH120:AH121)))*(1-'Responsibilities'!$E$7)+('Production schedule'!E108*(IF('Sites'!D8="Annual staff",SUM('Assumptions'!AH122,'Assumptions'!AH124),0)+SUM('Assumptions'!AH123,'Assumptions'!AH125:AH126)))*(1-'Responsibilities'!$E$8)+(IF(AND('Production schedule'!E36=1,31=MAX(('Sites'!F6),25),ISNUMBER('Sites'!Q6)),'Sites'!Q6*'Assumptions'!$B$44,0))*'Responsibilities'!$F$6+(IF(AND('Production schedule'!E72=1,31=MAX(('Sites'!F7+'Cases'!G6),25),ISNUMBER('Sites'!Q7)),'Sites'!Q7*'Assumptions'!$B$44,0))*'Responsibilities'!$F$7+(IF(AND('Production schedule'!E108=1,31=MAX(('Sites'!F8+'Cases'!G6),25),ISNUMBER('Sites'!Q8)),'Sites'!Q8*'Assumptions'!$B$44,0))*'Responsibilities'!$F$8+(IF(AND('Production schedule'!E36=1,31=MAX(('Sites'!F6),25),ISNUMBER('Sites'!Q6)),'Sites'!Q6*'Assumptions'!$B$44,0))*(1-'Responsibilities'!$F$6)+(IF(AND('Production schedule'!E72=1,31=MAX(('Sites'!F7+'Cases'!G6),25),ISNUMBER('Sites'!Q7)),'Sites'!Q7*'Assumptions'!$B$44,0))*(1-'Responsibilities'!$F$7)+(IF(AND('Production schedule'!E108=1,31=MAX(('Sites'!F8+'Cases'!G6),25),ISNUMBER('Sites'!Q8)),'Sites'!Q8*'Assumptions'!$B$44,0))*(1-'Responsibilities'!$F$8)+('Sites'!E6*'Capital'!E6*(IF(31='Capital'!G6,'Capital'!F6,0)+IF(31='Capital'!H6,1-'Capital'!F6,0)))*'Responsibilities'!$G$6+('Sites'!E7*'Capital'!E7*(IF(31='Capital'!G7+'Cases'!G6,'Capital'!F7,0)+IF(31='Capital'!H7+'Cases'!G6,1-'Capital'!F7,0)))*'Responsibilities'!$G$7+('Sites'!E8*'Cases'!F6*'Capital'!E8*(IF(31='Capital'!G8+'Cases'!G6,'Capital'!F8,0)+IF(31='Capital'!H8+'Cases'!G6,1-'Capital'!F8,0)))*'Responsibilities'!$G$8+('Sites'!E6*'Capital'!E6*(IF(31='Capital'!G6,'Capital'!F6,0)+IF(31='Capital'!H6,1-'Capital'!F6,0)))*(1-'Responsibilities'!$G$6)+('Sites'!E7*'Capital'!E7*(IF(31='Capital'!G7+'Cases'!G6,'Capital'!F7,0)+IF(31='Capital'!H7+'Cases'!G6,1-'Capital'!F7,0)))*(1-'Responsibilities'!$G$7)+('Sites'!E8*'Cases'!F6*'Capital'!E8*(IF(31='Capital'!G8+'Cases'!G6,'Capital'!F8,0)+IF(31='Capital'!H8+'Cases'!G6,1-'Capital'!F8,0)))*(1-'Responsibilities'!$G$8)+I36+SUMPRODUCT('Costs'!$E$36:$E$40,'Costs'!$F$36:$F$40)/12+BZ36)</f>
        <v/>
      </c>
      <c r="BZ36">
        <f>SUMIFS('Responsibilities'!$B$31:$B$35,'Responsibilities'!$C$31:$C$35,31,'Responsibilities'!$D$31:$D$35,"Yes")</f>
        <v/>
      </c>
    </row>
    <row r="37" ht="28" customHeight="1">
      <c r="A37" s="4" t="inlineStr">
        <is>
          <t>Full</t>
        </is>
      </c>
      <c r="B37" s="4" t="n">
        <v>32</v>
      </c>
      <c r="C37" s="4">
        <f>ROUNDUP(B37/12,0)</f>
        <v/>
      </c>
      <c r="D37" s="137">
        <f>SUMIFS('Production schedule'!$N$6:$N$113,'Production schedule'!$C$6:$C$113,32)</f>
        <v/>
      </c>
      <c r="E37" s="137">
        <f>SUMIFS('Production schedule'!$Y$6:$Y$113,'Production schedule'!$C$6:$C$113,32)</f>
        <v/>
      </c>
      <c r="F37" s="137">
        <f>SUMIFS('Production schedule'!$Z$6:$Z$113,'Production schedule'!$C$6:$C$113,32)</f>
        <v/>
      </c>
      <c r="G37" s="137">
        <f>('Production schedule'!AJ37)*'Responsibilities'!$C$6+('Production schedule'!AJ73)*'Responsibilities'!$C$7+('Production schedule'!AJ109)*'Responsibilities'!$C$8</f>
        <v/>
      </c>
      <c r="H37" s="137">
        <f>('Production schedule'!AI37)*'Responsibilities'!$D$6+('Production schedule'!AI73)*'Responsibilities'!$D$7+('Production schedule'!AI109)*'Responsibilities'!$D$8</f>
        <v/>
      </c>
      <c r="I37" s="137">
        <f>SUM('Assumptions'!AI58:AI65)</f>
        <v/>
      </c>
      <c r="J37" s="137">
        <f>('Production schedule'!E37*(IF('Sites'!D6="Annual staff",SUM('Assumptions'!AI112,'Assumptions'!AI114),0)+SUM('Assumptions'!AI113,'Assumptions'!AI115:AI116)))*'Responsibilities'!$E$6+('Production schedule'!E73*(IF('Sites'!D7="Annual staff",SUM('Assumptions'!AI117,'Assumptions'!AI119),0)+SUM('Assumptions'!AI118,'Assumptions'!AI120:AI121)))*'Responsibilities'!$E$7+('Production schedule'!E109*(IF('Sites'!D8="Annual staff",SUM('Assumptions'!AI122,'Assumptions'!AI124),0)+SUM('Assumptions'!AI123,'Assumptions'!AI125:AI126)))*'Responsibilities'!$E$8</f>
        <v/>
      </c>
      <c r="K37" s="137">
        <f>(IF(AND('Production schedule'!E37=1,32=MAX(('Sites'!F6),25),ISNUMBER('Sites'!Q6)),'Sites'!Q6*'Assumptions'!$B$44,0))*'Responsibilities'!$F$6+(IF(AND('Production schedule'!E73=1,32=MAX(('Sites'!F7+'Cases'!G6),25),ISNUMBER('Sites'!Q7)),'Sites'!Q7*'Assumptions'!$B$44,0))*'Responsibilities'!$F$7+(IF(AND('Production schedule'!E109=1,32=MAX(('Sites'!F8+'Cases'!G6),25),ISNUMBER('Sites'!Q8)),'Sites'!Q8*'Assumptions'!$B$44,0))*'Responsibilities'!$F$8</f>
        <v/>
      </c>
      <c r="L37" s="137">
        <f>SUM('Costs'!E36)*'Costs'!F36/12*'Responsibilities'!$C$12+SUM('Costs'!E37)*'Costs'!F37/12*'Responsibilities'!$C$13+SUM('Costs'!E38)*'Costs'!F38/12*'Responsibilities'!$C$14+SUM('Costs'!E39)*'Costs'!F39/12*'Responsibilities'!$C$15+SUM('Costs'!E40)*'Costs'!F40/12*'Responsibilities'!$C$16+BZ37</f>
        <v/>
      </c>
      <c r="M37" s="137">
        <f>('Sites'!E6*'Capital'!E6*(IF(32='Capital'!G6,'Capital'!F6,0)+IF(32='Capital'!H6,1-'Capital'!F6,0)))*'Responsibilities'!$G$6+('Sites'!E7*'Capital'!E7*(IF(32='Capital'!G7+'Cases'!G6,'Capital'!F7,0)+IF(32='Capital'!H7+'Cases'!G6,1-'Capital'!F7,0)))*'Responsibilities'!$G$7+('Sites'!E8*'Cases'!F6*'Capital'!E8*(IF(32='Capital'!G8+'Cases'!G6,'Capital'!F8,0)+IF(32='Capital'!H8+'Cases'!G6,1-'Capital'!F8,0)))*'Responsibilities'!$G$8</f>
        <v/>
      </c>
      <c r="N37" s="137">
        <f>SUM(G37:M37)</f>
        <v/>
      </c>
      <c r="O37" s="137">
        <f>SUMIFS(FundingTranches[Secured amount],FundingTranches[Instrument],"Grant",FundingTranches[Secured month],32)</f>
        <v/>
      </c>
      <c r="P37" s="137">
        <f>SUMIFS(FundingTranches[Full possible],FundingTranches[Instrument],"Grant",FundingTranches[Scenario month],32-'Cases'!$D$6)</f>
        <v/>
      </c>
      <c r="Q37" s="137">
        <f>SUMIFS(FundingTranches[Secured amount],FundingTranches[Instrument],"Loan",FundingTranches[Secured month],32)</f>
        <v/>
      </c>
      <c r="R37" s="137">
        <f>SUMIFS(FundingTranches[Full possible],FundingTranches[Instrument],"Loan",FundingTranches[Scenario month],32-'Cases'!$D$6)</f>
        <v/>
      </c>
      <c r="S37" s="137">
        <f>IF(32&lt;='Assumptions'!$B$34,0,SUMIFS('Production schedule'!$AL$6:$AL$113,'Production schedule'!$C$6:$C$113,32-'Assumptions'!$B$34))</f>
        <v/>
      </c>
      <c r="T37" s="137">
        <f>'Assumptions'!AI70</f>
        <v/>
      </c>
      <c r="U37" s="137">
        <f>'Assumptions'!AI78</f>
        <v/>
      </c>
      <c r="V37" s="137">
        <f>SUM(O37:U37)</f>
        <v/>
      </c>
      <c r="W37" s="137">
        <f>AA36</f>
        <v/>
      </c>
      <c r="X37" s="137">
        <f>SUM(Q37:R37)</f>
        <v/>
      </c>
      <c r="Y37" s="137">
        <f>SUM(W37,X37)*'Assumptions'!$B$39/12</f>
        <v/>
      </c>
      <c r="Z37" s="137">
        <f>IF(SUM(W37,X37)&gt;0,MIN(SUM(W37,X37),MAX(0,BP37-Y37)),0)</f>
        <v/>
      </c>
      <c r="AA37" s="137">
        <f>SUM(W37,X37)-Z37</f>
        <v/>
      </c>
      <c r="AB37" s="137">
        <f>SUM(Y37:Z37)</f>
        <v/>
      </c>
      <c r="AC37" s="137">
        <f>'Assumptions'!AI72</f>
        <v/>
      </c>
      <c r="AD37" s="137">
        <f>'Assumptions'!AI73</f>
        <v/>
      </c>
      <c r="AE37" s="137">
        <f>IF(X37&gt;0,SUM('Assumptions'!$B$42),0)</f>
        <v/>
      </c>
      <c r="AF37" s="137">
        <f>'Assumptions'!AI71</f>
        <v/>
      </c>
      <c r="AG37" s="137">
        <f>'Assumptions'!AI74</f>
        <v/>
      </c>
      <c r="AH37" s="137">
        <f>'Assumptions'!AI75</f>
        <v/>
      </c>
      <c r="AI37" s="137">
        <f>'Assumptions'!AI77</f>
        <v/>
      </c>
      <c r="AJ37" s="137">
        <f>V37-N37-SUM(AB37:AI37)</f>
        <v/>
      </c>
      <c r="AK37" s="137">
        <f>SUM(AJ6:AJ37)</f>
        <v/>
      </c>
      <c r="AL37" s="137">
        <f>IF(ISNUMBER('Assumptions'!$B$10),'Assumptions'!$B$10+AK37,"")</f>
        <v/>
      </c>
      <c r="AM37" s="137">
        <f>SUM(O37,Q37,T37)-N37-SUM(AC37:AI37)+IF('Funding'!$N$11=0,AE37,0)-IF('Funding'!$N$11&gt;0,AB37,0)</f>
        <v/>
      </c>
      <c r="AN37" s="137">
        <f>SUM(AM6:AM37)</f>
        <v/>
      </c>
      <c r="AO37" s="137">
        <f>IF(ISNUMBER('Assumptions'!$B$10),'Assumptions'!$B$10+AN37,"")</f>
        <v/>
      </c>
      <c r="AP37" s="137">
        <f>('Production schedule'!AK37)*'Responsibilities'!$C$6+('Production schedule'!AK73)*'Responsibilities'!$C$7+('Production schedule'!AK109)*'Responsibilities'!$C$8</f>
        <v/>
      </c>
      <c r="AQ37" s="137">
        <f>SUMIFS('Production schedule'!$AL$6:$AL$113,'Production schedule'!$C$6:$C$113,32)</f>
        <v/>
      </c>
      <c r="AR37" s="137">
        <f>IF(ISNUMBER('Assumptions'!AI76),'Assumptions'!AI76,SUM(O37:P37))</f>
        <v/>
      </c>
      <c r="AS37" s="137">
        <f>IF(ISNUMBER('Assumptions'!$B$13),MIN('Assumptions'!$B$13/'Assumptions'!$B$18/12,MAX(0,'Assumptions'!$B$13-(32-1)*'Assumptions'!$B$13/'Assumptions'!$B$18/12)),0)+IF(AND('Sites'!E6=1,32&gt;=('Sites'!F6),32&lt;('Sites'!F6)+'Assumptions'!$B$18*12),'Capital'!E6/'Assumptions'!$B$18/12,0)+IF(AND('Sites'!E7=1,32&gt;=('Sites'!F7+'Cases'!G6),32&lt;('Sites'!F7+'Cases'!G6)+'Assumptions'!$B$18*12),'Capital'!E7/'Assumptions'!$B$18/12,0)+IF(AND('Sites'!E8*'Cases'!F6=1,32&gt;=('Sites'!F8+'Cases'!G6),32&lt;('Sites'!F8+'Cases'!G6)+'Assumptions'!$B$18*12),'Capital'!E8/'Assumptions'!$B$18/12,0)</f>
        <v/>
      </c>
      <c r="AT37" s="137">
        <f>SUM(AQ37,AR37,U37)-AP37-SUM(H37:L37)-AS37-SUM(Y37,AD37,AE37,AH37)</f>
        <v/>
      </c>
      <c r="AU37" s="137">
        <f>IF(ISNUMBER('Assumptions'!$B$19),MAX(0,SUM(AT30:AT37))*'Assumptions'!$B$19-SUM(AU30:AU36),"")</f>
        <v/>
      </c>
      <c r="AV37" s="137">
        <f>IF(ISNUMBER(AU37),AT37-AU37,"")</f>
        <v/>
      </c>
      <c r="AW37" s="137">
        <f>IF(ISNUMBER('Assumptions'!$B$11),'Assumptions'!$B$11+SUM(AQ6:AQ37)-SUM(S6:S37)-SUM(T6:T37),"")</f>
        <v/>
      </c>
      <c r="AX37" s="137">
        <f>IF(ISNUMBER('Assumptions'!$B$12),'Assumptions'!$B$12+SUM(G6:G37)-SUM(AP6:AP37),"")</f>
        <v/>
      </c>
      <c r="AY37" s="137">
        <f>IF(ISNUMBER('Assumptions'!$B$13),'Assumptions'!$B$13+SUM(M6:M37)-SUM(AS6:AS37),"")</f>
        <v/>
      </c>
      <c r="AZ37" s="137">
        <f>IF(ISNUMBER('Assumptions'!$B$14),'Assumptions'!$B$14+-SUM(AF6:AF37),"")</f>
        <v/>
      </c>
      <c r="BA37" s="137">
        <f>IF(ISNUMBER('Assumptions'!$B$15),'Assumptions'!$B$15+SUM(O6:O37)+SUM(P6:P37)-SUM(AR6:AR37),"")</f>
        <v/>
      </c>
      <c r="BB37" s="137">
        <f>IF(ISNUMBER('Assumptions'!$B$16),'Assumptions'!$B$16+-SUM(AC6:AC37),"")</f>
        <v/>
      </c>
      <c r="BC37" s="137">
        <f>IF(AND(ISNUMBER('Assumptions'!$B$21),ISNUMBER('Assumptions'!$B$19)),'Assumptions'!$B$21+SUM(AU6:AU37)-SUM(AG6:AG37),"")</f>
        <v/>
      </c>
      <c r="BD37" s="137">
        <f>IF(ISNUMBER('Assumptions'!$B$20),'Assumptions'!$B$20+-SUM(AI6:AI37),"")</f>
        <v/>
      </c>
      <c r="BE37" s="137">
        <f>IF(AND(ISNUMBER('Assumptions'!$B$17),COUNT(AV6:AV37)=32),'Assumptions'!$B$17+SUM(AV6:AV37),"")</f>
        <v/>
      </c>
      <c r="BF37" s="137">
        <f>IF(COUNT(AL37,AW37:AY37)=4,SUM(AL37,AW37:AY37),"")</f>
        <v/>
      </c>
      <c r="BG37" s="137">
        <f>IF(COUNT(AZ37:BD37)=5,SUM(AZ37:BD37,AA37),"")</f>
        <v/>
      </c>
      <c r="BH37" s="137">
        <f>IF(COUNT(BF37,BG37,BE37)=3,BF37-BG37-BE37,"")</f>
        <v/>
      </c>
      <c r="BI37" s="137">
        <f>SUM(W37,X37)-Z37-AA37</f>
        <v/>
      </c>
      <c r="BJ37" s="137">
        <f>8-COUNT('Assumptions'!AI58:AI65)+COUNTBLANK('NM Play'!B33:B34)+'Costs'!E44+IF(AND('Sites'!E6=1,('Sites'!F6)&lt;=36,'Sites'!G6&gt;=25),IF(ISNUMBER('Sites'!Q6),0,1)+'Capital'!I6+COUNTBLANK('Sites'!R6)+IF('Sites'!D6="NM crew",COUNTBLANK('NM Play'!B25)+1,5-COUNT('Assumptions'!AI112:AI116)),0)+IF(AND('Sites'!E7=1,('Sites'!F7+'Cases'!G6)&lt;=36,'Sites'!G7&gt;=25),IF(ISNUMBER('Sites'!Q7),0,1)+'Capital'!I7+COUNTBLANK('Sites'!R7)+IF('Sites'!D7="NM crew",COUNTBLANK('NM Play'!B25)+1,5-COUNT('Assumptions'!AI117:AI121)),0)+IF(AND('Sites'!E8*'Cases'!F6=1,('Sites'!F8+'Cases'!G6)&lt;=36,'Sites'!G8&gt;=25),IF(ISNUMBER('Sites'!Q8),0,1)+'Capital'!I8+COUNTBLANK('Sites'!R8)+IF('Sites'!D8="NM crew",COUNTBLANK('NM Play'!B25)+1,5-COUNT('Assumptions'!AI122:AI126)),0)+IF(AND('Cases'!C6&gt;0,NOT(ISNUMBER('Assumptions'!B42))),1,0)+'Responsibilities'!$B$39</f>
        <v/>
      </c>
      <c r="BK37" s="137">
        <f>'Assumptions'!$B$50+'NM Play'!$B$83+'Funding'!$F$20+SUMIFS('Production schedule'!$AN$6:$AN$113,'Production schedule'!$C$6:$C$113,32)+IF(OR('Cases'!E6&lt;0,'Cases'!E6&gt;1,'Cases'!C6&lt;0,'Cases'!D6&lt;0,ABS(SUM('Sites'!S6:S8)-1)&gt;0.0001,MIN('Capital'!F6:F8)&lt;0,MAX('Capital'!F6:F8)&gt;1,MIN(AX37,AZ37,BB37,BA37)&lt;-0.01),1,0)+'Responsibilities'!$B$40</f>
        <v/>
      </c>
      <c r="BL37" s="137">
        <f>SUMIFS('Production schedule'!$T$6:$T$113,'Production schedule'!$C$6:$C$113,32)</f>
        <v/>
      </c>
      <c r="BM37" s="137">
        <f>D37*'NM Play'!$B$38</f>
        <v/>
      </c>
      <c r="BN37" s="137">
        <f>SUMIFS('Production schedule'!$AM$6:$AM$113,'Production schedule'!$C$6:$C$113,32)</f>
        <v/>
      </c>
      <c r="BO37" s="137">
        <f>AK37-AK36-AJ37</f>
        <v/>
      </c>
      <c r="BP37" s="137">
        <f>IF(AND('Assumptions'!$B$39&gt;=0,'Assumptions'!$B$40&gt;0),-PMT('Assumptions'!$B$39/12,'Assumptions'!$B$40*12,IF('Funding'!$N$11&gt;0,'Funding'!$N$11,'Funding'!$R$11)),"")</f>
        <v/>
      </c>
      <c r="BQ37">
        <f>('Production schedule'!AJ37)*(1-'Responsibilities'!$C$6)+('Production schedule'!AJ73)*(1-'Responsibilities'!$C$7)+('Production schedule'!AJ109)*(1-'Responsibilities'!$C$8)</f>
        <v/>
      </c>
      <c r="BR37">
        <f>('Production schedule'!AI37)*(1-'Responsibilities'!$D$6)+('Production schedule'!AI73)*(1-'Responsibilities'!$D$7)+('Production schedule'!AI109)*(1-'Responsibilities'!$D$8)</f>
        <v/>
      </c>
      <c r="BS37">
        <f>('Production schedule'!E37*(IF('Sites'!D6="Annual staff",SUM('Assumptions'!AI112,'Assumptions'!AI114),0)+SUM('Assumptions'!AI113,'Assumptions'!AI115:AI116)))*(1-'Responsibilities'!$E$6)+('Production schedule'!E73*(IF('Sites'!D7="Annual staff",SUM('Assumptions'!AI117,'Assumptions'!AI119),0)+SUM('Assumptions'!AI118,'Assumptions'!AI120:AI121)))*(1-'Responsibilities'!$E$7)+('Production schedule'!E109*(IF('Sites'!D8="Annual staff",SUM('Assumptions'!AI122,'Assumptions'!AI124),0)+SUM('Assumptions'!AI123,'Assumptions'!AI125:AI126)))*(1-'Responsibilities'!$E$8)</f>
        <v/>
      </c>
      <c r="BT37">
        <f>(IF(AND('Production schedule'!E37=1,32=MAX(('Sites'!F6),25),ISNUMBER('Sites'!Q6)),'Sites'!Q6*'Assumptions'!$B$44,0))*(1-'Responsibilities'!$F$6)+(IF(AND('Production schedule'!E73=1,32=MAX(('Sites'!F7+'Cases'!G6),25),ISNUMBER('Sites'!Q7)),'Sites'!Q7*'Assumptions'!$B$44,0))*(1-'Responsibilities'!$F$7)+(IF(AND('Production schedule'!E109=1,32=MAX(('Sites'!F8+'Cases'!G6),25),ISNUMBER('Sites'!Q8)),'Sites'!Q8*'Assumptions'!$B$44,0))*(1-'Responsibilities'!$F$8)</f>
        <v/>
      </c>
      <c r="BU37">
        <f>SUM('Costs'!E36)*'Costs'!F36/12*(1-'Responsibilities'!$C$12)+SUM('Costs'!E37)*'Costs'!F37/12*(1-'Responsibilities'!$C$13)+SUM('Costs'!E38)*'Costs'!F38/12*(1-'Responsibilities'!$C$14)+SUM('Costs'!E39)*'Costs'!F39/12*(1-'Responsibilities'!$C$15)+SUM('Costs'!E40)*'Costs'!F40/12*(1-'Responsibilities'!$C$16)</f>
        <v/>
      </c>
      <c r="BV37">
        <f>('Sites'!E6*'Capital'!E6*(IF(32='Capital'!G6,'Capital'!F6,0)+IF(32='Capital'!H6,1-'Capital'!F6,0)))*(1-'Responsibilities'!$G$6)+('Sites'!E7*'Capital'!E7*(IF(32='Capital'!G7+'Cases'!G6,'Capital'!F7,0)+IF(32='Capital'!H7+'Cases'!G6,1-'Capital'!F7,0)))*(1-'Responsibilities'!$G$7)+('Sites'!E8*'Cases'!F6*'Capital'!E8*(IF(32='Capital'!G8+'Cases'!G6,'Capital'!F8,0)+IF(32='Capital'!H8+'Cases'!G6,1-'Capital'!F8,0)))*(1-'Responsibilities'!$G$8)</f>
        <v/>
      </c>
      <c r="BW37">
        <f>SUM(BQ37:BV37)</f>
        <v/>
      </c>
      <c r="BX37">
        <f>N37+BW37</f>
        <v/>
      </c>
      <c r="BY37">
        <f>BX37-(('Production schedule'!AJ37)*'Responsibilities'!$C$6+('Production schedule'!AJ73)*'Responsibilities'!$C$7+('Production schedule'!AJ109)*'Responsibilities'!$C$8+('Production schedule'!AJ37)*(1-'Responsibilities'!$C$6)+('Production schedule'!AJ73)*(1-'Responsibilities'!$C$7)+('Production schedule'!AJ109)*(1-'Responsibilities'!$C$8)+('Production schedule'!AI37)*'Responsibilities'!$D$6+('Production schedule'!AI73)*'Responsibilities'!$D$7+('Production schedule'!AI109)*'Responsibilities'!$D$8+('Production schedule'!AI37)*(1-'Responsibilities'!$D$6)+('Production schedule'!AI73)*(1-'Responsibilities'!$D$7)+('Production schedule'!AI109)*(1-'Responsibilities'!$D$8)+('Production schedule'!E37*(IF('Sites'!D6="Annual staff",SUM('Assumptions'!AI112,'Assumptions'!AI114),0)+SUM('Assumptions'!AI113,'Assumptions'!AI115:AI116)))*'Responsibilities'!$E$6+('Production schedule'!E73*(IF('Sites'!D7="Annual staff",SUM('Assumptions'!AI117,'Assumptions'!AI119),0)+SUM('Assumptions'!AI118,'Assumptions'!AI120:AI121)))*'Responsibilities'!$E$7+('Production schedule'!E109*(IF('Sites'!D8="Annual staff",SUM('Assumptions'!AI122,'Assumptions'!AI124),0)+SUM('Assumptions'!AI123,'Assumptions'!AI125:AI126)))*'Responsibilities'!$E$8+('Production schedule'!E37*(IF('Sites'!D6="Annual staff",SUM('Assumptions'!AI112,'Assumptions'!AI114),0)+SUM('Assumptions'!AI113,'Assumptions'!AI115:AI116)))*(1-'Responsibilities'!$E$6)+('Production schedule'!E73*(IF('Sites'!D7="Annual staff",SUM('Assumptions'!AI117,'Assumptions'!AI119),0)+SUM('Assumptions'!AI118,'Assumptions'!AI120:AI121)))*(1-'Responsibilities'!$E$7)+('Production schedule'!E109*(IF('Sites'!D8="Annual staff",SUM('Assumptions'!AI122,'Assumptions'!AI124),0)+SUM('Assumptions'!AI123,'Assumptions'!AI125:AI126)))*(1-'Responsibilities'!$E$8)+(IF(AND('Production schedule'!E37=1,32=MAX(('Sites'!F6),25),ISNUMBER('Sites'!Q6)),'Sites'!Q6*'Assumptions'!$B$44,0))*'Responsibilities'!$F$6+(IF(AND('Production schedule'!E73=1,32=MAX(('Sites'!F7+'Cases'!G6),25),ISNUMBER('Sites'!Q7)),'Sites'!Q7*'Assumptions'!$B$44,0))*'Responsibilities'!$F$7+(IF(AND('Production schedule'!E109=1,32=MAX(('Sites'!F8+'Cases'!G6),25),ISNUMBER('Sites'!Q8)),'Sites'!Q8*'Assumptions'!$B$44,0))*'Responsibilities'!$F$8+(IF(AND('Production schedule'!E37=1,32=MAX(('Sites'!F6),25),ISNUMBER('Sites'!Q6)),'Sites'!Q6*'Assumptions'!$B$44,0))*(1-'Responsibilities'!$F$6)+(IF(AND('Production schedule'!E73=1,32=MAX(('Sites'!F7+'Cases'!G6),25),ISNUMBER('Sites'!Q7)),'Sites'!Q7*'Assumptions'!$B$44,0))*(1-'Responsibilities'!$F$7)+(IF(AND('Production schedule'!E109=1,32=MAX(('Sites'!F8+'Cases'!G6),25),ISNUMBER('Sites'!Q8)),'Sites'!Q8*'Assumptions'!$B$44,0))*(1-'Responsibilities'!$F$8)+('Sites'!E6*'Capital'!E6*(IF(32='Capital'!G6,'Capital'!F6,0)+IF(32='Capital'!H6,1-'Capital'!F6,0)))*'Responsibilities'!$G$6+('Sites'!E7*'Capital'!E7*(IF(32='Capital'!G7+'Cases'!G6,'Capital'!F7,0)+IF(32='Capital'!H7+'Cases'!G6,1-'Capital'!F7,0)))*'Responsibilities'!$G$7+('Sites'!E8*'Cases'!F6*'Capital'!E8*(IF(32='Capital'!G8+'Cases'!G6,'Capital'!F8,0)+IF(32='Capital'!H8+'Cases'!G6,1-'Capital'!F8,0)))*'Responsibilities'!$G$8+('Sites'!E6*'Capital'!E6*(IF(32='Capital'!G6,'Capital'!F6,0)+IF(32='Capital'!H6,1-'Capital'!F6,0)))*(1-'Responsibilities'!$G$6)+('Sites'!E7*'Capital'!E7*(IF(32='Capital'!G7+'Cases'!G6,'Capital'!F7,0)+IF(32='Capital'!H7+'Cases'!G6,1-'Capital'!F7,0)))*(1-'Responsibilities'!$G$7)+('Sites'!E8*'Cases'!F6*'Capital'!E8*(IF(32='Capital'!G8+'Cases'!G6,'Capital'!F8,0)+IF(32='Capital'!H8+'Cases'!G6,1-'Capital'!F8,0)))*(1-'Responsibilities'!$G$8)+I37+SUMPRODUCT('Costs'!$E$36:$E$40,'Costs'!$F$36:$F$40)/12+BZ37)</f>
        <v/>
      </c>
      <c r="BZ37">
        <f>SUMIFS('Responsibilities'!$B$31:$B$35,'Responsibilities'!$C$31:$C$35,32,'Responsibilities'!$D$31:$D$35,"Yes")</f>
        <v/>
      </c>
    </row>
    <row r="38" ht="28" customHeight="1">
      <c r="A38" s="4" t="inlineStr">
        <is>
          <t>Full</t>
        </is>
      </c>
      <c r="B38" s="4" t="n">
        <v>33</v>
      </c>
      <c r="C38" s="4">
        <f>ROUNDUP(B38/12,0)</f>
        <v/>
      </c>
      <c r="D38" s="137">
        <f>SUMIFS('Production schedule'!$N$6:$N$113,'Production schedule'!$C$6:$C$113,33)</f>
        <v/>
      </c>
      <c r="E38" s="137">
        <f>SUMIFS('Production schedule'!$Y$6:$Y$113,'Production schedule'!$C$6:$C$113,33)</f>
        <v/>
      </c>
      <c r="F38" s="137">
        <f>SUMIFS('Production schedule'!$Z$6:$Z$113,'Production schedule'!$C$6:$C$113,33)</f>
        <v/>
      </c>
      <c r="G38" s="137">
        <f>('Production schedule'!AJ38)*'Responsibilities'!$C$6+('Production schedule'!AJ74)*'Responsibilities'!$C$7+('Production schedule'!AJ110)*'Responsibilities'!$C$8</f>
        <v/>
      </c>
      <c r="H38" s="137">
        <f>('Production schedule'!AI38)*'Responsibilities'!$D$6+('Production schedule'!AI74)*'Responsibilities'!$D$7+('Production schedule'!AI110)*'Responsibilities'!$D$8</f>
        <v/>
      </c>
      <c r="I38" s="137">
        <f>SUM('Assumptions'!AJ58:AJ65)</f>
        <v/>
      </c>
      <c r="J38" s="137">
        <f>('Production schedule'!E38*(IF('Sites'!D6="Annual staff",SUM('Assumptions'!AJ112,'Assumptions'!AJ114),0)+SUM('Assumptions'!AJ113,'Assumptions'!AJ115:AJ116)))*'Responsibilities'!$E$6+('Production schedule'!E74*(IF('Sites'!D7="Annual staff",SUM('Assumptions'!AJ117,'Assumptions'!AJ119),0)+SUM('Assumptions'!AJ118,'Assumptions'!AJ120:AJ121)))*'Responsibilities'!$E$7+('Production schedule'!E110*(IF('Sites'!D8="Annual staff",SUM('Assumptions'!AJ122,'Assumptions'!AJ124),0)+SUM('Assumptions'!AJ123,'Assumptions'!AJ125:AJ126)))*'Responsibilities'!$E$8</f>
        <v/>
      </c>
      <c r="K38" s="137">
        <f>(IF(AND('Production schedule'!E38=1,33=MAX(('Sites'!F6),25),ISNUMBER('Sites'!Q6)),'Sites'!Q6*'Assumptions'!$B$44,0))*'Responsibilities'!$F$6+(IF(AND('Production schedule'!E74=1,33=MAX(('Sites'!F7+'Cases'!G6),25),ISNUMBER('Sites'!Q7)),'Sites'!Q7*'Assumptions'!$B$44,0))*'Responsibilities'!$F$7+(IF(AND('Production schedule'!E110=1,33=MAX(('Sites'!F8+'Cases'!G6),25),ISNUMBER('Sites'!Q8)),'Sites'!Q8*'Assumptions'!$B$44,0))*'Responsibilities'!$F$8</f>
        <v/>
      </c>
      <c r="L38" s="137">
        <f>SUM('Costs'!E36)*'Costs'!F36/12*'Responsibilities'!$C$12+SUM('Costs'!E37)*'Costs'!F37/12*'Responsibilities'!$C$13+SUM('Costs'!E38)*'Costs'!F38/12*'Responsibilities'!$C$14+SUM('Costs'!E39)*'Costs'!F39/12*'Responsibilities'!$C$15+SUM('Costs'!E40)*'Costs'!F40/12*'Responsibilities'!$C$16+BZ38</f>
        <v/>
      </c>
      <c r="M38" s="137">
        <f>('Sites'!E6*'Capital'!E6*(IF(33='Capital'!G6,'Capital'!F6,0)+IF(33='Capital'!H6,1-'Capital'!F6,0)))*'Responsibilities'!$G$6+('Sites'!E7*'Capital'!E7*(IF(33='Capital'!G7+'Cases'!G6,'Capital'!F7,0)+IF(33='Capital'!H7+'Cases'!G6,1-'Capital'!F7,0)))*'Responsibilities'!$G$7+('Sites'!E8*'Cases'!F6*'Capital'!E8*(IF(33='Capital'!G8+'Cases'!G6,'Capital'!F8,0)+IF(33='Capital'!H8+'Cases'!G6,1-'Capital'!F8,0)))*'Responsibilities'!$G$8</f>
        <v/>
      </c>
      <c r="N38" s="137">
        <f>SUM(G38:M38)</f>
        <v/>
      </c>
      <c r="O38" s="137">
        <f>SUMIFS(FundingTranches[Secured amount],FundingTranches[Instrument],"Grant",FundingTranches[Secured month],33)</f>
        <v/>
      </c>
      <c r="P38" s="137">
        <f>SUMIFS(FundingTranches[Full possible],FundingTranches[Instrument],"Grant",FundingTranches[Scenario month],33-'Cases'!$D$6)</f>
        <v/>
      </c>
      <c r="Q38" s="137">
        <f>SUMIFS(FundingTranches[Secured amount],FundingTranches[Instrument],"Loan",FundingTranches[Secured month],33)</f>
        <v/>
      </c>
      <c r="R38" s="137">
        <f>SUMIFS(FundingTranches[Full possible],FundingTranches[Instrument],"Loan",FundingTranches[Scenario month],33-'Cases'!$D$6)</f>
        <v/>
      </c>
      <c r="S38" s="137">
        <f>IF(33&lt;='Assumptions'!$B$34,0,SUMIFS('Production schedule'!$AL$6:$AL$113,'Production schedule'!$C$6:$C$113,33-'Assumptions'!$B$34))</f>
        <v/>
      </c>
      <c r="T38" s="137">
        <f>'Assumptions'!AJ70</f>
        <v/>
      </c>
      <c r="U38" s="137">
        <f>'Assumptions'!AJ78</f>
        <v/>
      </c>
      <c r="V38" s="137">
        <f>SUM(O38:U38)</f>
        <v/>
      </c>
      <c r="W38" s="137">
        <f>AA37</f>
        <v/>
      </c>
      <c r="X38" s="137">
        <f>SUM(Q38:R38)</f>
        <v/>
      </c>
      <c r="Y38" s="137">
        <f>SUM(W38,X38)*'Assumptions'!$B$39/12</f>
        <v/>
      </c>
      <c r="Z38" s="137">
        <f>IF(SUM(W38,X38)&gt;0,MIN(SUM(W38,X38),MAX(0,BP38-Y38)),0)</f>
        <v/>
      </c>
      <c r="AA38" s="137">
        <f>SUM(W38,X38)-Z38</f>
        <v/>
      </c>
      <c r="AB38" s="137">
        <f>SUM(Y38:Z38)</f>
        <v/>
      </c>
      <c r="AC38" s="137">
        <f>'Assumptions'!AJ72</f>
        <v/>
      </c>
      <c r="AD38" s="137">
        <f>'Assumptions'!AJ73</f>
        <v/>
      </c>
      <c r="AE38" s="137">
        <f>IF(X38&gt;0,SUM('Assumptions'!$B$42),0)</f>
        <v/>
      </c>
      <c r="AF38" s="137">
        <f>'Assumptions'!AJ71</f>
        <v/>
      </c>
      <c r="AG38" s="137">
        <f>'Assumptions'!AJ74</f>
        <v/>
      </c>
      <c r="AH38" s="137">
        <f>'Assumptions'!AJ75</f>
        <v/>
      </c>
      <c r="AI38" s="137">
        <f>'Assumptions'!AJ77</f>
        <v/>
      </c>
      <c r="AJ38" s="137">
        <f>V38-N38-SUM(AB38:AI38)</f>
        <v/>
      </c>
      <c r="AK38" s="137">
        <f>SUM(AJ6:AJ38)</f>
        <v/>
      </c>
      <c r="AL38" s="137">
        <f>IF(ISNUMBER('Assumptions'!$B$10),'Assumptions'!$B$10+AK38,"")</f>
        <v/>
      </c>
      <c r="AM38" s="137">
        <f>SUM(O38,Q38,T38)-N38-SUM(AC38:AI38)+IF('Funding'!$N$11=0,AE38,0)-IF('Funding'!$N$11&gt;0,AB38,0)</f>
        <v/>
      </c>
      <c r="AN38" s="137">
        <f>SUM(AM6:AM38)</f>
        <v/>
      </c>
      <c r="AO38" s="137">
        <f>IF(ISNUMBER('Assumptions'!$B$10),'Assumptions'!$B$10+AN38,"")</f>
        <v/>
      </c>
      <c r="AP38" s="137">
        <f>('Production schedule'!AK38)*'Responsibilities'!$C$6+('Production schedule'!AK74)*'Responsibilities'!$C$7+('Production schedule'!AK110)*'Responsibilities'!$C$8</f>
        <v/>
      </c>
      <c r="AQ38" s="137">
        <f>SUMIFS('Production schedule'!$AL$6:$AL$113,'Production schedule'!$C$6:$C$113,33)</f>
        <v/>
      </c>
      <c r="AR38" s="137">
        <f>IF(ISNUMBER('Assumptions'!AJ76),'Assumptions'!AJ76,SUM(O38:P38))</f>
        <v/>
      </c>
      <c r="AS38" s="137">
        <f>IF(ISNUMBER('Assumptions'!$B$13),MIN('Assumptions'!$B$13/'Assumptions'!$B$18/12,MAX(0,'Assumptions'!$B$13-(33-1)*'Assumptions'!$B$13/'Assumptions'!$B$18/12)),0)+IF(AND('Sites'!E6=1,33&gt;=('Sites'!F6),33&lt;('Sites'!F6)+'Assumptions'!$B$18*12),'Capital'!E6/'Assumptions'!$B$18/12,0)+IF(AND('Sites'!E7=1,33&gt;=('Sites'!F7+'Cases'!G6),33&lt;('Sites'!F7+'Cases'!G6)+'Assumptions'!$B$18*12),'Capital'!E7/'Assumptions'!$B$18/12,0)+IF(AND('Sites'!E8*'Cases'!F6=1,33&gt;=('Sites'!F8+'Cases'!G6),33&lt;('Sites'!F8+'Cases'!G6)+'Assumptions'!$B$18*12),'Capital'!E8/'Assumptions'!$B$18/12,0)</f>
        <v/>
      </c>
      <c r="AT38" s="137">
        <f>SUM(AQ38,AR38,U38)-AP38-SUM(H38:L38)-AS38-SUM(Y38,AD38,AE38,AH38)</f>
        <v/>
      </c>
      <c r="AU38" s="137">
        <f>IF(ISNUMBER('Assumptions'!$B$19),MAX(0,SUM(AT30:AT38))*'Assumptions'!$B$19-SUM(AU30:AU37),"")</f>
        <v/>
      </c>
      <c r="AV38" s="137">
        <f>IF(ISNUMBER(AU38),AT38-AU38,"")</f>
        <v/>
      </c>
      <c r="AW38" s="137">
        <f>IF(ISNUMBER('Assumptions'!$B$11),'Assumptions'!$B$11+SUM(AQ6:AQ38)-SUM(S6:S38)-SUM(T6:T38),"")</f>
        <v/>
      </c>
      <c r="AX38" s="137">
        <f>IF(ISNUMBER('Assumptions'!$B$12),'Assumptions'!$B$12+SUM(G6:G38)-SUM(AP6:AP38),"")</f>
        <v/>
      </c>
      <c r="AY38" s="137">
        <f>IF(ISNUMBER('Assumptions'!$B$13),'Assumptions'!$B$13+SUM(M6:M38)-SUM(AS6:AS38),"")</f>
        <v/>
      </c>
      <c r="AZ38" s="137">
        <f>IF(ISNUMBER('Assumptions'!$B$14),'Assumptions'!$B$14+-SUM(AF6:AF38),"")</f>
        <v/>
      </c>
      <c r="BA38" s="137">
        <f>IF(ISNUMBER('Assumptions'!$B$15),'Assumptions'!$B$15+SUM(O6:O38)+SUM(P6:P38)-SUM(AR6:AR38),"")</f>
        <v/>
      </c>
      <c r="BB38" s="137">
        <f>IF(ISNUMBER('Assumptions'!$B$16),'Assumptions'!$B$16+-SUM(AC6:AC38),"")</f>
        <v/>
      </c>
      <c r="BC38" s="137">
        <f>IF(AND(ISNUMBER('Assumptions'!$B$21),ISNUMBER('Assumptions'!$B$19)),'Assumptions'!$B$21+SUM(AU6:AU38)-SUM(AG6:AG38),"")</f>
        <v/>
      </c>
      <c r="BD38" s="137">
        <f>IF(ISNUMBER('Assumptions'!$B$20),'Assumptions'!$B$20+-SUM(AI6:AI38),"")</f>
        <v/>
      </c>
      <c r="BE38" s="137">
        <f>IF(AND(ISNUMBER('Assumptions'!$B$17),COUNT(AV6:AV38)=33),'Assumptions'!$B$17+SUM(AV6:AV38),"")</f>
        <v/>
      </c>
      <c r="BF38" s="137">
        <f>IF(COUNT(AL38,AW38:AY38)=4,SUM(AL38,AW38:AY38),"")</f>
        <v/>
      </c>
      <c r="BG38" s="137">
        <f>IF(COUNT(AZ38:BD38)=5,SUM(AZ38:BD38,AA38),"")</f>
        <v/>
      </c>
      <c r="BH38" s="137">
        <f>IF(COUNT(BF38,BG38,BE38)=3,BF38-BG38-BE38,"")</f>
        <v/>
      </c>
      <c r="BI38" s="137">
        <f>SUM(W38,X38)-Z38-AA38</f>
        <v/>
      </c>
      <c r="BJ38" s="137">
        <f>8-COUNT('Assumptions'!AJ58:AJ65)+COUNTBLANK('NM Play'!B33:B34)+'Costs'!E44+IF(AND('Sites'!E6=1,('Sites'!F6)&lt;=36,'Sites'!G6&gt;=25),IF(ISNUMBER('Sites'!Q6),0,1)+'Capital'!I6+COUNTBLANK('Sites'!R6)+IF('Sites'!D6="NM crew",COUNTBLANK('NM Play'!B25)+1,5-COUNT('Assumptions'!AJ112:AJ116)),0)+IF(AND('Sites'!E7=1,('Sites'!F7+'Cases'!G6)&lt;=36,'Sites'!G7&gt;=25),IF(ISNUMBER('Sites'!Q7),0,1)+'Capital'!I7+COUNTBLANK('Sites'!R7)+IF('Sites'!D7="NM crew",COUNTBLANK('NM Play'!B25)+1,5-COUNT('Assumptions'!AJ117:AJ121)),0)+IF(AND('Sites'!E8*'Cases'!F6=1,('Sites'!F8+'Cases'!G6)&lt;=36,'Sites'!G8&gt;=25),IF(ISNUMBER('Sites'!Q8),0,1)+'Capital'!I8+COUNTBLANK('Sites'!R8)+IF('Sites'!D8="NM crew",COUNTBLANK('NM Play'!B25)+1,5-COUNT('Assumptions'!AJ122:AJ126)),0)+IF(AND('Cases'!C6&gt;0,NOT(ISNUMBER('Assumptions'!B42))),1,0)+'Responsibilities'!$B$39</f>
        <v/>
      </c>
      <c r="BK38" s="137">
        <f>'Assumptions'!$B$50+'NM Play'!$B$83+'Funding'!$F$20+SUMIFS('Production schedule'!$AN$6:$AN$113,'Production schedule'!$C$6:$C$113,33)+IF(OR('Cases'!E6&lt;0,'Cases'!E6&gt;1,'Cases'!C6&lt;0,'Cases'!D6&lt;0,ABS(SUM('Sites'!S6:S8)-1)&gt;0.0001,MIN('Capital'!F6:F8)&lt;0,MAX('Capital'!F6:F8)&gt;1,MIN(AX38,AZ38,BB38,BA38)&lt;-0.01),1,0)+'Responsibilities'!$B$40</f>
        <v/>
      </c>
      <c r="BL38" s="137">
        <f>SUMIFS('Production schedule'!$T$6:$T$113,'Production schedule'!$C$6:$C$113,33)</f>
        <v/>
      </c>
      <c r="BM38" s="137">
        <f>D38*'NM Play'!$B$38</f>
        <v/>
      </c>
      <c r="BN38" s="137">
        <f>SUMIFS('Production schedule'!$AM$6:$AM$113,'Production schedule'!$C$6:$C$113,33)</f>
        <v/>
      </c>
      <c r="BO38" s="137">
        <f>AK38-AK37-AJ38</f>
        <v/>
      </c>
      <c r="BP38" s="137">
        <f>IF(AND('Assumptions'!$B$39&gt;=0,'Assumptions'!$B$40&gt;0),-PMT('Assumptions'!$B$39/12,'Assumptions'!$B$40*12,IF('Funding'!$N$11&gt;0,'Funding'!$N$11,'Funding'!$R$11)),"")</f>
        <v/>
      </c>
      <c r="BQ38">
        <f>('Production schedule'!AJ38)*(1-'Responsibilities'!$C$6)+('Production schedule'!AJ74)*(1-'Responsibilities'!$C$7)+('Production schedule'!AJ110)*(1-'Responsibilities'!$C$8)</f>
        <v/>
      </c>
      <c r="BR38">
        <f>('Production schedule'!AI38)*(1-'Responsibilities'!$D$6)+('Production schedule'!AI74)*(1-'Responsibilities'!$D$7)+('Production schedule'!AI110)*(1-'Responsibilities'!$D$8)</f>
        <v/>
      </c>
      <c r="BS38">
        <f>('Production schedule'!E38*(IF('Sites'!D6="Annual staff",SUM('Assumptions'!AJ112,'Assumptions'!AJ114),0)+SUM('Assumptions'!AJ113,'Assumptions'!AJ115:AJ116)))*(1-'Responsibilities'!$E$6)+('Production schedule'!E74*(IF('Sites'!D7="Annual staff",SUM('Assumptions'!AJ117,'Assumptions'!AJ119),0)+SUM('Assumptions'!AJ118,'Assumptions'!AJ120:AJ121)))*(1-'Responsibilities'!$E$7)+('Production schedule'!E110*(IF('Sites'!D8="Annual staff",SUM('Assumptions'!AJ122,'Assumptions'!AJ124),0)+SUM('Assumptions'!AJ123,'Assumptions'!AJ125:AJ126)))*(1-'Responsibilities'!$E$8)</f>
        <v/>
      </c>
      <c r="BT38">
        <f>(IF(AND('Production schedule'!E38=1,33=MAX(('Sites'!F6),25),ISNUMBER('Sites'!Q6)),'Sites'!Q6*'Assumptions'!$B$44,0))*(1-'Responsibilities'!$F$6)+(IF(AND('Production schedule'!E74=1,33=MAX(('Sites'!F7+'Cases'!G6),25),ISNUMBER('Sites'!Q7)),'Sites'!Q7*'Assumptions'!$B$44,0))*(1-'Responsibilities'!$F$7)+(IF(AND('Production schedule'!E110=1,33=MAX(('Sites'!F8+'Cases'!G6),25),ISNUMBER('Sites'!Q8)),'Sites'!Q8*'Assumptions'!$B$44,0))*(1-'Responsibilities'!$F$8)</f>
        <v/>
      </c>
      <c r="BU38">
        <f>SUM('Costs'!E36)*'Costs'!F36/12*(1-'Responsibilities'!$C$12)+SUM('Costs'!E37)*'Costs'!F37/12*(1-'Responsibilities'!$C$13)+SUM('Costs'!E38)*'Costs'!F38/12*(1-'Responsibilities'!$C$14)+SUM('Costs'!E39)*'Costs'!F39/12*(1-'Responsibilities'!$C$15)+SUM('Costs'!E40)*'Costs'!F40/12*(1-'Responsibilities'!$C$16)</f>
        <v/>
      </c>
      <c r="BV38">
        <f>('Sites'!E6*'Capital'!E6*(IF(33='Capital'!G6,'Capital'!F6,0)+IF(33='Capital'!H6,1-'Capital'!F6,0)))*(1-'Responsibilities'!$G$6)+('Sites'!E7*'Capital'!E7*(IF(33='Capital'!G7+'Cases'!G6,'Capital'!F7,0)+IF(33='Capital'!H7+'Cases'!G6,1-'Capital'!F7,0)))*(1-'Responsibilities'!$G$7)+('Sites'!E8*'Cases'!F6*'Capital'!E8*(IF(33='Capital'!G8+'Cases'!G6,'Capital'!F8,0)+IF(33='Capital'!H8+'Cases'!G6,1-'Capital'!F8,0)))*(1-'Responsibilities'!$G$8)</f>
        <v/>
      </c>
      <c r="BW38">
        <f>SUM(BQ38:BV38)</f>
        <v/>
      </c>
      <c r="BX38">
        <f>N38+BW38</f>
        <v/>
      </c>
      <c r="BY38">
        <f>BX38-(('Production schedule'!AJ38)*'Responsibilities'!$C$6+('Production schedule'!AJ74)*'Responsibilities'!$C$7+('Production schedule'!AJ110)*'Responsibilities'!$C$8+('Production schedule'!AJ38)*(1-'Responsibilities'!$C$6)+('Production schedule'!AJ74)*(1-'Responsibilities'!$C$7)+('Production schedule'!AJ110)*(1-'Responsibilities'!$C$8)+('Production schedule'!AI38)*'Responsibilities'!$D$6+('Production schedule'!AI74)*'Responsibilities'!$D$7+('Production schedule'!AI110)*'Responsibilities'!$D$8+('Production schedule'!AI38)*(1-'Responsibilities'!$D$6)+('Production schedule'!AI74)*(1-'Responsibilities'!$D$7)+('Production schedule'!AI110)*(1-'Responsibilities'!$D$8)+('Production schedule'!E38*(IF('Sites'!D6="Annual staff",SUM('Assumptions'!AJ112,'Assumptions'!AJ114),0)+SUM('Assumptions'!AJ113,'Assumptions'!AJ115:AJ116)))*'Responsibilities'!$E$6+('Production schedule'!E74*(IF('Sites'!D7="Annual staff",SUM('Assumptions'!AJ117,'Assumptions'!AJ119),0)+SUM('Assumptions'!AJ118,'Assumptions'!AJ120:AJ121)))*'Responsibilities'!$E$7+('Production schedule'!E110*(IF('Sites'!D8="Annual staff",SUM('Assumptions'!AJ122,'Assumptions'!AJ124),0)+SUM('Assumptions'!AJ123,'Assumptions'!AJ125:AJ126)))*'Responsibilities'!$E$8+('Production schedule'!E38*(IF('Sites'!D6="Annual staff",SUM('Assumptions'!AJ112,'Assumptions'!AJ114),0)+SUM('Assumptions'!AJ113,'Assumptions'!AJ115:AJ116)))*(1-'Responsibilities'!$E$6)+('Production schedule'!E74*(IF('Sites'!D7="Annual staff",SUM('Assumptions'!AJ117,'Assumptions'!AJ119),0)+SUM('Assumptions'!AJ118,'Assumptions'!AJ120:AJ121)))*(1-'Responsibilities'!$E$7)+('Production schedule'!E110*(IF('Sites'!D8="Annual staff",SUM('Assumptions'!AJ122,'Assumptions'!AJ124),0)+SUM('Assumptions'!AJ123,'Assumptions'!AJ125:AJ126)))*(1-'Responsibilities'!$E$8)+(IF(AND('Production schedule'!E38=1,33=MAX(('Sites'!F6),25),ISNUMBER('Sites'!Q6)),'Sites'!Q6*'Assumptions'!$B$44,0))*'Responsibilities'!$F$6+(IF(AND('Production schedule'!E74=1,33=MAX(('Sites'!F7+'Cases'!G6),25),ISNUMBER('Sites'!Q7)),'Sites'!Q7*'Assumptions'!$B$44,0))*'Responsibilities'!$F$7+(IF(AND('Production schedule'!E110=1,33=MAX(('Sites'!F8+'Cases'!G6),25),ISNUMBER('Sites'!Q8)),'Sites'!Q8*'Assumptions'!$B$44,0))*'Responsibilities'!$F$8+(IF(AND('Production schedule'!E38=1,33=MAX(('Sites'!F6),25),ISNUMBER('Sites'!Q6)),'Sites'!Q6*'Assumptions'!$B$44,0))*(1-'Responsibilities'!$F$6)+(IF(AND('Production schedule'!E74=1,33=MAX(('Sites'!F7+'Cases'!G6),25),ISNUMBER('Sites'!Q7)),'Sites'!Q7*'Assumptions'!$B$44,0))*(1-'Responsibilities'!$F$7)+(IF(AND('Production schedule'!E110=1,33=MAX(('Sites'!F8+'Cases'!G6),25),ISNUMBER('Sites'!Q8)),'Sites'!Q8*'Assumptions'!$B$44,0))*(1-'Responsibilities'!$F$8)+('Sites'!E6*'Capital'!E6*(IF(33='Capital'!G6,'Capital'!F6,0)+IF(33='Capital'!H6,1-'Capital'!F6,0)))*'Responsibilities'!$G$6+('Sites'!E7*'Capital'!E7*(IF(33='Capital'!G7+'Cases'!G6,'Capital'!F7,0)+IF(33='Capital'!H7+'Cases'!G6,1-'Capital'!F7,0)))*'Responsibilities'!$G$7+('Sites'!E8*'Cases'!F6*'Capital'!E8*(IF(33='Capital'!G8+'Cases'!G6,'Capital'!F8,0)+IF(33='Capital'!H8+'Cases'!G6,1-'Capital'!F8,0)))*'Responsibilities'!$G$8+('Sites'!E6*'Capital'!E6*(IF(33='Capital'!G6,'Capital'!F6,0)+IF(33='Capital'!H6,1-'Capital'!F6,0)))*(1-'Responsibilities'!$G$6)+('Sites'!E7*'Capital'!E7*(IF(33='Capital'!G7+'Cases'!G6,'Capital'!F7,0)+IF(33='Capital'!H7+'Cases'!G6,1-'Capital'!F7,0)))*(1-'Responsibilities'!$G$7)+('Sites'!E8*'Cases'!F6*'Capital'!E8*(IF(33='Capital'!G8+'Cases'!G6,'Capital'!F8,0)+IF(33='Capital'!H8+'Cases'!G6,1-'Capital'!F8,0)))*(1-'Responsibilities'!$G$8)+I38+SUMPRODUCT('Costs'!$E$36:$E$40,'Costs'!$F$36:$F$40)/12+BZ38)</f>
        <v/>
      </c>
      <c r="BZ38">
        <f>SUMIFS('Responsibilities'!$B$31:$B$35,'Responsibilities'!$C$31:$C$35,33,'Responsibilities'!$D$31:$D$35,"Yes")</f>
        <v/>
      </c>
    </row>
    <row r="39" ht="28" customHeight="1">
      <c r="A39" s="4" t="inlineStr">
        <is>
          <t>Full</t>
        </is>
      </c>
      <c r="B39" s="4" t="n">
        <v>34</v>
      </c>
      <c r="C39" s="4">
        <f>ROUNDUP(B39/12,0)</f>
        <v/>
      </c>
      <c r="D39" s="137">
        <f>SUMIFS('Production schedule'!$N$6:$N$113,'Production schedule'!$C$6:$C$113,34)</f>
        <v/>
      </c>
      <c r="E39" s="137">
        <f>SUMIFS('Production schedule'!$Y$6:$Y$113,'Production schedule'!$C$6:$C$113,34)</f>
        <v/>
      </c>
      <c r="F39" s="137">
        <f>SUMIFS('Production schedule'!$Z$6:$Z$113,'Production schedule'!$C$6:$C$113,34)</f>
        <v/>
      </c>
      <c r="G39" s="137">
        <f>('Production schedule'!AJ39)*'Responsibilities'!$C$6+('Production schedule'!AJ75)*'Responsibilities'!$C$7+('Production schedule'!AJ111)*'Responsibilities'!$C$8</f>
        <v/>
      </c>
      <c r="H39" s="137">
        <f>('Production schedule'!AI39)*'Responsibilities'!$D$6+('Production schedule'!AI75)*'Responsibilities'!$D$7+('Production schedule'!AI111)*'Responsibilities'!$D$8</f>
        <v/>
      </c>
      <c r="I39" s="137">
        <f>SUM('Assumptions'!AK58:AK65)</f>
        <v/>
      </c>
      <c r="J39" s="137">
        <f>('Production schedule'!E39*(IF('Sites'!D6="Annual staff",SUM('Assumptions'!AK112,'Assumptions'!AK114),0)+SUM('Assumptions'!AK113,'Assumptions'!AK115:AK116)))*'Responsibilities'!$E$6+('Production schedule'!E75*(IF('Sites'!D7="Annual staff",SUM('Assumptions'!AK117,'Assumptions'!AK119),0)+SUM('Assumptions'!AK118,'Assumptions'!AK120:AK121)))*'Responsibilities'!$E$7+('Production schedule'!E111*(IF('Sites'!D8="Annual staff",SUM('Assumptions'!AK122,'Assumptions'!AK124),0)+SUM('Assumptions'!AK123,'Assumptions'!AK125:AK126)))*'Responsibilities'!$E$8</f>
        <v/>
      </c>
      <c r="K39" s="137">
        <f>(IF(AND('Production schedule'!E39=1,34=MAX(('Sites'!F6),25),ISNUMBER('Sites'!Q6)),'Sites'!Q6*'Assumptions'!$B$44,0))*'Responsibilities'!$F$6+(IF(AND('Production schedule'!E75=1,34=MAX(('Sites'!F7+'Cases'!G6),25),ISNUMBER('Sites'!Q7)),'Sites'!Q7*'Assumptions'!$B$44,0))*'Responsibilities'!$F$7+(IF(AND('Production schedule'!E111=1,34=MAX(('Sites'!F8+'Cases'!G6),25),ISNUMBER('Sites'!Q8)),'Sites'!Q8*'Assumptions'!$B$44,0))*'Responsibilities'!$F$8</f>
        <v/>
      </c>
      <c r="L39" s="137">
        <f>SUM('Costs'!E36)*'Costs'!F36/12*'Responsibilities'!$C$12+SUM('Costs'!E37)*'Costs'!F37/12*'Responsibilities'!$C$13+SUM('Costs'!E38)*'Costs'!F38/12*'Responsibilities'!$C$14+SUM('Costs'!E39)*'Costs'!F39/12*'Responsibilities'!$C$15+SUM('Costs'!E40)*'Costs'!F40/12*'Responsibilities'!$C$16+BZ39</f>
        <v/>
      </c>
      <c r="M39" s="137">
        <f>('Sites'!E6*'Capital'!E6*(IF(34='Capital'!G6,'Capital'!F6,0)+IF(34='Capital'!H6,1-'Capital'!F6,0)))*'Responsibilities'!$G$6+('Sites'!E7*'Capital'!E7*(IF(34='Capital'!G7+'Cases'!G6,'Capital'!F7,0)+IF(34='Capital'!H7+'Cases'!G6,1-'Capital'!F7,0)))*'Responsibilities'!$G$7+('Sites'!E8*'Cases'!F6*'Capital'!E8*(IF(34='Capital'!G8+'Cases'!G6,'Capital'!F8,0)+IF(34='Capital'!H8+'Cases'!G6,1-'Capital'!F8,0)))*'Responsibilities'!$G$8</f>
        <v/>
      </c>
      <c r="N39" s="137">
        <f>SUM(G39:M39)</f>
        <v/>
      </c>
      <c r="O39" s="137">
        <f>SUMIFS(FundingTranches[Secured amount],FundingTranches[Instrument],"Grant",FundingTranches[Secured month],34)</f>
        <v/>
      </c>
      <c r="P39" s="137">
        <f>SUMIFS(FundingTranches[Full possible],FundingTranches[Instrument],"Grant",FundingTranches[Scenario month],34-'Cases'!$D$6)</f>
        <v/>
      </c>
      <c r="Q39" s="137">
        <f>SUMIFS(FundingTranches[Secured amount],FundingTranches[Instrument],"Loan",FundingTranches[Secured month],34)</f>
        <v/>
      </c>
      <c r="R39" s="137">
        <f>SUMIFS(FundingTranches[Full possible],FundingTranches[Instrument],"Loan",FundingTranches[Scenario month],34-'Cases'!$D$6)</f>
        <v/>
      </c>
      <c r="S39" s="137">
        <f>IF(34&lt;='Assumptions'!$B$34,0,SUMIFS('Production schedule'!$AL$6:$AL$113,'Production schedule'!$C$6:$C$113,34-'Assumptions'!$B$34))</f>
        <v/>
      </c>
      <c r="T39" s="137">
        <f>'Assumptions'!AK70</f>
        <v/>
      </c>
      <c r="U39" s="137">
        <f>'Assumptions'!AK78</f>
        <v/>
      </c>
      <c r="V39" s="137">
        <f>SUM(O39:U39)</f>
        <v/>
      </c>
      <c r="W39" s="137">
        <f>AA38</f>
        <v/>
      </c>
      <c r="X39" s="137">
        <f>SUM(Q39:R39)</f>
        <v/>
      </c>
      <c r="Y39" s="137">
        <f>SUM(W39,X39)*'Assumptions'!$B$39/12</f>
        <v/>
      </c>
      <c r="Z39" s="137">
        <f>IF(SUM(W39,X39)&gt;0,MIN(SUM(W39,X39),MAX(0,BP39-Y39)),0)</f>
        <v/>
      </c>
      <c r="AA39" s="137">
        <f>SUM(W39,X39)-Z39</f>
        <v/>
      </c>
      <c r="AB39" s="137">
        <f>SUM(Y39:Z39)</f>
        <v/>
      </c>
      <c r="AC39" s="137">
        <f>'Assumptions'!AK72</f>
        <v/>
      </c>
      <c r="AD39" s="137">
        <f>'Assumptions'!AK73</f>
        <v/>
      </c>
      <c r="AE39" s="137">
        <f>IF(X39&gt;0,SUM('Assumptions'!$B$42),0)</f>
        <v/>
      </c>
      <c r="AF39" s="137">
        <f>'Assumptions'!AK71</f>
        <v/>
      </c>
      <c r="AG39" s="137">
        <f>'Assumptions'!AK74</f>
        <v/>
      </c>
      <c r="AH39" s="137">
        <f>'Assumptions'!AK75</f>
        <v/>
      </c>
      <c r="AI39" s="137">
        <f>'Assumptions'!AK77</f>
        <v/>
      </c>
      <c r="AJ39" s="137">
        <f>V39-N39-SUM(AB39:AI39)</f>
        <v/>
      </c>
      <c r="AK39" s="137">
        <f>SUM(AJ6:AJ39)</f>
        <v/>
      </c>
      <c r="AL39" s="137">
        <f>IF(ISNUMBER('Assumptions'!$B$10),'Assumptions'!$B$10+AK39,"")</f>
        <v/>
      </c>
      <c r="AM39" s="137">
        <f>SUM(O39,Q39,T39)-N39-SUM(AC39:AI39)+IF('Funding'!$N$11=0,AE39,0)-IF('Funding'!$N$11&gt;0,AB39,0)</f>
        <v/>
      </c>
      <c r="AN39" s="137">
        <f>SUM(AM6:AM39)</f>
        <v/>
      </c>
      <c r="AO39" s="137">
        <f>IF(ISNUMBER('Assumptions'!$B$10),'Assumptions'!$B$10+AN39,"")</f>
        <v/>
      </c>
      <c r="AP39" s="137">
        <f>('Production schedule'!AK39)*'Responsibilities'!$C$6+('Production schedule'!AK75)*'Responsibilities'!$C$7+('Production schedule'!AK111)*'Responsibilities'!$C$8</f>
        <v/>
      </c>
      <c r="AQ39" s="137">
        <f>SUMIFS('Production schedule'!$AL$6:$AL$113,'Production schedule'!$C$6:$C$113,34)</f>
        <v/>
      </c>
      <c r="AR39" s="137">
        <f>IF(ISNUMBER('Assumptions'!AK76),'Assumptions'!AK76,SUM(O39:P39))</f>
        <v/>
      </c>
      <c r="AS39" s="137">
        <f>IF(ISNUMBER('Assumptions'!$B$13),MIN('Assumptions'!$B$13/'Assumptions'!$B$18/12,MAX(0,'Assumptions'!$B$13-(34-1)*'Assumptions'!$B$13/'Assumptions'!$B$18/12)),0)+IF(AND('Sites'!E6=1,34&gt;=('Sites'!F6),34&lt;('Sites'!F6)+'Assumptions'!$B$18*12),'Capital'!E6/'Assumptions'!$B$18/12,0)+IF(AND('Sites'!E7=1,34&gt;=('Sites'!F7+'Cases'!G6),34&lt;('Sites'!F7+'Cases'!G6)+'Assumptions'!$B$18*12),'Capital'!E7/'Assumptions'!$B$18/12,0)+IF(AND('Sites'!E8*'Cases'!F6=1,34&gt;=('Sites'!F8+'Cases'!G6),34&lt;('Sites'!F8+'Cases'!G6)+'Assumptions'!$B$18*12),'Capital'!E8/'Assumptions'!$B$18/12,0)</f>
        <v/>
      </c>
      <c r="AT39" s="137">
        <f>SUM(AQ39,AR39,U39)-AP39-SUM(H39:L39)-AS39-SUM(Y39,AD39,AE39,AH39)</f>
        <v/>
      </c>
      <c r="AU39" s="137">
        <f>IF(ISNUMBER('Assumptions'!$B$19),MAX(0,SUM(AT30:AT39))*'Assumptions'!$B$19-SUM(AU30:AU38),"")</f>
        <v/>
      </c>
      <c r="AV39" s="137">
        <f>IF(ISNUMBER(AU39),AT39-AU39,"")</f>
        <v/>
      </c>
      <c r="AW39" s="137">
        <f>IF(ISNUMBER('Assumptions'!$B$11),'Assumptions'!$B$11+SUM(AQ6:AQ39)-SUM(S6:S39)-SUM(T6:T39),"")</f>
        <v/>
      </c>
      <c r="AX39" s="137">
        <f>IF(ISNUMBER('Assumptions'!$B$12),'Assumptions'!$B$12+SUM(G6:G39)-SUM(AP6:AP39),"")</f>
        <v/>
      </c>
      <c r="AY39" s="137">
        <f>IF(ISNUMBER('Assumptions'!$B$13),'Assumptions'!$B$13+SUM(M6:M39)-SUM(AS6:AS39),"")</f>
        <v/>
      </c>
      <c r="AZ39" s="137">
        <f>IF(ISNUMBER('Assumptions'!$B$14),'Assumptions'!$B$14+-SUM(AF6:AF39),"")</f>
        <v/>
      </c>
      <c r="BA39" s="137">
        <f>IF(ISNUMBER('Assumptions'!$B$15),'Assumptions'!$B$15+SUM(O6:O39)+SUM(P6:P39)-SUM(AR6:AR39),"")</f>
        <v/>
      </c>
      <c r="BB39" s="137">
        <f>IF(ISNUMBER('Assumptions'!$B$16),'Assumptions'!$B$16+-SUM(AC6:AC39),"")</f>
        <v/>
      </c>
      <c r="BC39" s="137">
        <f>IF(AND(ISNUMBER('Assumptions'!$B$21),ISNUMBER('Assumptions'!$B$19)),'Assumptions'!$B$21+SUM(AU6:AU39)-SUM(AG6:AG39),"")</f>
        <v/>
      </c>
      <c r="BD39" s="137">
        <f>IF(ISNUMBER('Assumptions'!$B$20),'Assumptions'!$B$20+-SUM(AI6:AI39),"")</f>
        <v/>
      </c>
      <c r="BE39" s="137">
        <f>IF(AND(ISNUMBER('Assumptions'!$B$17),COUNT(AV6:AV39)=34),'Assumptions'!$B$17+SUM(AV6:AV39),"")</f>
        <v/>
      </c>
      <c r="BF39" s="137">
        <f>IF(COUNT(AL39,AW39:AY39)=4,SUM(AL39,AW39:AY39),"")</f>
        <v/>
      </c>
      <c r="BG39" s="137">
        <f>IF(COUNT(AZ39:BD39)=5,SUM(AZ39:BD39,AA39),"")</f>
        <v/>
      </c>
      <c r="BH39" s="137">
        <f>IF(COUNT(BF39,BG39,BE39)=3,BF39-BG39-BE39,"")</f>
        <v/>
      </c>
      <c r="BI39" s="137">
        <f>SUM(W39,X39)-Z39-AA39</f>
        <v/>
      </c>
      <c r="BJ39" s="137">
        <f>8-COUNT('Assumptions'!AK58:AK65)+COUNTBLANK('NM Play'!B33:B34)+'Costs'!E44+IF(AND('Sites'!E6=1,('Sites'!F6)&lt;=36,'Sites'!G6&gt;=25),IF(ISNUMBER('Sites'!Q6),0,1)+'Capital'!I6+COUNTBLANK('Sites'!R6)+IF('Sites'!D6="NM crew",COUNTBLANK('NM Play'!B25)+1,5-COUNT('Assumptions'!AK112:AK116)),0)+IF(AND('Sites'!E7=1,('Sites'!F7+'Cases'!G6)&lt;=36,'Sites'!G7&gt;=25),IF(ISNUMBER('Sites'!Q7),0,1)+'Capital'!I7+COUNTBLANK('Sites'!R7)+IF('Sites'!D7="NM crew",COUNTBLANK('NM Play'!B25)+1,5-COUNT('Assumptions'!AK117:AK121)),0)+IF(AND('Sites'!E8*'Cases'!F6=1,('Sites'!F8+'Cases'!G6)&lt;=36,'Sites'!G8&gt;=25),IF(ISNUMBER('Sites'!Q8),0,1)+'Capital'!I8+COUNTBLANK('Sites'!R8)+IF('Sites'!D8="NM crew",COUNTBLANK('NM Play'!B25)+1,5-COUNT('Assumptions'!AK122:AK126)),0)+IF(AND('Cases'!C6&gt;0,NOT(ISNUMBER('Assumptions'!B42))),1,0)+'Responsibilities'!$B$39</f>
        <v/>
      </c>
      <c r="BK39" s="137">
        <f>'Assumptions'!$B$50+'NM Play'!$B$83+'Funding'!$F$20+SUMIFS('Production schedule'!$AN$6:$AN$113,'Production schedule'!$C$6:$C$113,34)+IF(OR('Cases'!E6&lt;0,'Cases'!E6&gt;1,'Cases'!C6&lt;0,'Cases'!D6&lt;0,ABS(SUM('Sites'!S6:S8)-1)&gt;0.0001,MIN('Capital'!F6:F8)&lt;0,MAX('Capital'!F6:F8)&gt;1,MIN(AX39,AZ39,BB39,BA39)&lt;-0.01),1,0)+'Responsibilities'!$B$40</f>
        <v/>
      </c>
      <c r="BL39" s="137">
        <f>SUMIFS('Production schedule'!$T$6:$T$113,'Production schedule'!$C$6:$C$113,34)</f>
        <v/>
      </c>
      <c r="BM39" s="137">
        <f>D39*'NM Play'!$B$38</f>
        <v/>
      </c>
      <c r="BN39" s="137">
        <f>SUMIFS('Production schedule'!$AM$6:$AM$113,'Production schedule'!$C$6:$C$113,34)</f>
        <v/>
      </c>
      <c r="BO39" s="137">
        <f>AK39-AK38-AJ39</f>
        <v/>
      </c>
      <c r="BP39" s="137">
        <f>IF(AND('Assumptions'!$B$39&gt;=0,'Assumptions'!$B$40&gt;0),-PMT('Assumptions'!$B$39/12,'Assumptions'!$B$40*12,IF('Funding'!$N$11&gt;0,'Funding'!$N$11,'Funding'!$R$11)),"")</f>
        <v/>
      </c>
      <c r="BQ39">
        <f>('Production schedule'!AJ39)*(1-'Responsibilities'!$C$6)+('Production schedule'!AJ75)*(1-'Responsibilities'!$C$7)+('Production schedule'!AJ111)*(1-'Responsibilities'!$C$8)</f>
        <v/>
      </c>
      <c r="BR39">
        <f>('Production schedule'!AI39)*(1-'Responsibilities'!$D$6)+('Production schedule'!AI75)*(1-'Responsibilities'!$D$7)+('Production schedule'!AI111)*(1-'Responsibilities'!$D$8)</f>
        <v/>
      </c>
      <c r="BS39">
        <f>('Production schedule'!E39*(IF('Sites'!D6="Annual staff",SUM('Assumptions'!AK112,'Assumptions'!AK114),0)+SUM('Assumptions'!AK113,'Assumptions'!AK115:AK116)))*(1-'Responsibilities'!$E$6)+('Production schedule'!E75*(IF('Sites'!D7="Annual staff",SUM('Assumptions'!AK117,'Assumptions'!AK119),0)+SUM('Assumptions'!AK118,'Assumptions'!AK120:AK121)))*(1-'Responsibilities'!$E$7)+('Production schedule'!E111*(IF('Sites'!D8="Annual staff",SUM('Assumptions'!AK122,'Assumptions'!AK124),0)+SUM('Assumptions'!AK123,'Assumptions'!AK125:AK126)))*(1-'Responsibilities'!$E$8)</f>
        <v/>
      </c>
      <c r="BT39">
        <f>(IF(AND('Production schedule'!E39=1,34=MAX(('Sites'!F6),25),ISNUMBER('Sites'!Q6)),'Sites'!Q6*'Assumptions'!$B$44,0))*(1-'Responsibilities'!$F$6)+(IF(AND('Production schedule'!E75=1,34=MAX(('Sites'!F7+'Cases'!G6),25),ISNUMBER('Sites'!Q7)),'Sites'!Q7*'Assumptions'!$B$44,0))*(1-'Responsibilities'!$F$7)+(IF(AND('Production schedule'!E111=1,34=MAX(('Sites'!F8+'Cases'!G6),25),ISNUMBER('Sites'!Q8)),'Sites'!Q8*'Assumptions'!$B$44,0))*(1-'Responsibilities'!$F$8)</f>
        <v/>
      </c>
      <c r="BU39">
        <f>SUM('Costs'!E36)*'Costs'!F36/12*(1-'Responsibilities'!$C$12)+SUM('Costs'!E37)*'Costs'!F37/12*(1-'Responsibilities'!$C$13)+SUM('Costs'!E38)*'Costs'!F38/12*(1-'Responsibilities'!$C$14)+SUM('Costs'!E39)*'Costs'!F39/12*(1-'Responsibilities'!$C$15)+SUM('Costs'!E40)*'Costs'!F40/12*(1-'Responsibilities'!$C$16)</f>
        <v/>
      </c>
      <c r="BV39">
        <f>('Sites'!E6*'Capital'!E6*(IF(34='Capital'!G6,'Capital'!F6,0)+IF(34='Capital'!H6,1-'Capital'!F6,0)))*(1-'Responsibilities'!$G$6)+('Sites'!E7*'Capital'!E7*(IF(34='Capital'!G7+'Cases'!G6,'Capital'!F7,0)+IF(34='Capital'!H7+'Cases'!G6,1-'Capital'!F7,0)))*(1-'Responsibilities'!$G$7)+('Sites'!E8*'Cases'!F6*'Capital'!E8*(IF(34='Capital'!G8+'Cases'!G6,'Capital'!F8,0)+IF(34='Capital'!H8+'Cases'!G6,1-'Capital'!F8,0)))*(1-'Responsibilities'!$G$8)</f>
        <v/>
      </c>
      <c r="BW39">
        <f>SUM(BQ39:BV39)</f>
        <v/>
      </c>
      <c r="BX39">
        <f>N39+BW39</f>
        <v/>
      </c>
      <c r="BY39">
        <f>BX39-(('Production schedule'!AJ39)*'Responsibilities'!$C$6+('Production schedule'!AJ75)*'Responsibilities'!$C$7+('Production schedule'!AJ111)*'Responsibilities'!$C$8+('Production schedule'!AJ39)*(1-'Responsibilities'!$C$6)+('Production schedule'!AJ75)*(1-'Responsibilities'!$C$7)+('Production schedule'!AJ111)*(1-'Responsibilities'!$C$8)+('Production schedule'!AI39)*'Responsibilities'!$D$6+('Production schedule'!AI75)*'Responsibilities'!$D$7+('Production schedule'!AI111)*'Responsibilities'!$D$8+('Production schedule'!AI39)*(1-'Responsibilities'!$D$6)+('Production schedule'!AI75)*(1-'Responsibilities'!$D$7)+('Production schedule'!AI111)*(1-'Responsibilities'!$D$8)+('Production schedule'!E39*(IF('Sites'!D6="Annual staff",SUM('Assumptions'!AK112,'Assumptions'!AK114),0)+SUM('Assumptions'!AK113,'Assumptions'!AK115:AK116)))*'Responsibilities'!$E$6+('Production schedule'!E75*(IF('Sites'!D7="Annual staff",SUM('Assumptions'!AK117,'Assumptions'!AK119),0)+SUM('Assumptions'!AK118,'Assumptions'!AK120:AK121)))*'Responsibilities'!$E$7+('Production schedule'!E111*(IF('Sites'!D8="Annual staff",SUM('Assumptions'!AK122,'Assumptions'!AK124),0)+SUM('Assumptions'!AK123,'Assumptions'!AK125:AK126)))*'Responsibilities'!$E$8+('Production schedule'!E39*(IF('Sites'!D6="Annual staff",SUM('Assumptions'!AK112,'Assumptions'!AK114),0)+SUM('Assumptions'!AK113,'Assumptions'!AK115:AK116)))*(1-'Responsibilities'!$E$6)+('Production schedule'!E75*(IF('Sites'!D7="Annual staff",SUM('Assumptions'!AK117,'Assumptions'!AK119),0)+SUM('Assumptions'!AK118,'Assumptions'!AK120:AK121)))*(1-'Responsibilities'!$E$7)+('Production schedule'!E111*(IF('Sites'!D8="Annual staff",SUM('Assumptions'!AK122,'Assumptions'!AK124),0)+SUM('Assumptions'!AK123,'Assumptions'!AK125:AK126)))*(1-'Responsibilities'!$E$8)+(IF(AND('Production schedule'!E39=1,34=MAX(('Sites'!F6),25),ISNUMBER('Sites'!Q6)),'Sites'!Q6*'Assumptions'!$B$44,0))*'Responsibilities'!$F$6+(IF(AND('Production schedule'!E75=1,34=MAX(('Sites'!F7+'Cases'!G6),25),ISNUMBER('Sites'!Q7)),'Sites'!Q7*'Assumptions'!$B$44,0))*'Responsibilities'!$F$7+(IF(AND('Production schedule'!E111=1,34=MAX(('Sites'!F8+'Cases'!G6),25),ISNUMBER('Sites'!Q8)),'Sites'!Q8*'Assumptions'!$B$44,0))*'Responsibilities'!$F$8+(IF(AND('Production schedule'!E39=1,34=MAX(('Sites'!F6),25),ISNUMBER('Sites'!Q6)),'Sites'!Q6*'Assumptions'!$B$44,0))*(1-'Responsibilities'!$F$6)+(IF(AND('Production schedule'!E75=1,34=MAX(('Sites'!F7+'Cases'!G6),25),ISNUMBER('Sites'!Q7)),'Sites'!Q7*'Assumptions'!$B$44,0))*(1-'Responsibilities'!$F$7)+(IF(AND('Production schedule'!E111=1,34=MAX(('Sites'!F8+'Cases'!G6),25),ISNUMBER('Sites'!Q8)),'Sites'!Q8*'Assumptions'!$B$44,0))*(1-'Responsibilities'!$F$8)+('Sites'!E6*'Capital'!E6*(IF(34='Capital'!G6,'Capital'!F6,0)+IF(34='Capital'!H6,1-'Capital'!F6,0)))*'Responsibilities'!$G$6+('Sites'!E7*'Capital'!E7*(IF(34='Capital'!G7+'Cases'!G6,'Capital'!F7,0)+IF(34='Capital'!H7+'Cases'!G6,1-'Capital'!F7,0)))*'Responsibilities'!$G$7+('Sites'!E8*'Cases'!F6*'Capital'!E8*(IF(34='Capital'!G8+'Cases'!G6,'Capital'!F8,0)+IF(34='Capital'!H8+'Cases'!G6,1-'Capital'!F8,0)))*'Responsibilities'!$G$8+('Sites'!E6*'Capital'!E6*(IF(34='Capital'!G6,'Capital'!F6,0)+IF(34='Capital'!H6,1-'Capital'!F6,0)))*(1-'Responsibilities'!$G$6)+('Sites'!E7*'Capital'!E7*(IF(34='Capital'!G7+'Cases'!G6,'Capital'!F7,0)+IF(34='Capital'!H7+'Cases'!G6,1-'Capital'!F7,0)))*(1-'Responsibilities'!$G$7)+('Sites'!E8*'Cases'!F6*'Capital'!E8*(IF(34='Capital'!G8+'Cases'!G6,'Capital'!F8,0)+IF(34='Capital'!H8+'Cases'!G6,1-'Capital'!F8,0)))*(1-'Responsibilities'!$G$8)+I39+SUMPRODUCT('Costs'!$E$36:$E$40,'Costs'!$F$36:$F$40)/12+BZ39)</f>
        <v/>
      </c>
      <c r="BZ39">
        <f>SUMIFS('Responsibilities'!$B$31:$B$35,'Responsibilities'!$C$31:$C$35,34,'Responsibilities'!$D$31:$D$35,"Yes")</f>
        <v/>
      </c>
    </row>
    <row r="40" ht="28" customHeight="1">
      <c r="A40" s="4" t="inlineStr">
        <is>
          <t>Full</t>
        </is>
      </c>
      <c r="B40" s="4" t="n">
        <v>35</v>
      </c>
      <c r="C40" s="4">
        <f>ROUNDUP(B40/12,0)</f>
        <v/>
      </c>
      <c r="D40" s="137">
        <f>SUMIFS('Production schedule'!$N$6:$N$113,'Production schedule'!$C$6:$C$113,35)</f>
        <v/>
      </c>
      <c r="E40" s="137">
        <f>SUMIFS('Production schedule'!$Y$6:$Y$113,'Production schedule'!$C$6:$C$113,35)</f>
        <v/>
      </c>
      <c r="F40" s="137">
        <f>SUMIFS('Production schedule'!$Z$6:$Z$113,'Production schedule'!$C$6:$C$113,35)</f>
        <v/>
      </c>
      <c r="G40" s="137">
        <f>('Production schedule'!AJ40)*'Responsibilities'!$C$6+('Production schedule'!AJ76)*'Responsibilities'!$C$7+('Production schedule'!AJ112)*'Responsibilities'!$C$8</f>
        <v/>
      </c>
      <c r="H40" s="137">
        <f>('Production schedule'!AI40)*'Responsibilities'!$D$6+('Production schedule'!AI76)*'Responsibilities'!$D$7+('Production schedule'!AI112)*'Responsibilities'!$D$8</f>
        <v/>
      </c>
      <c r="I40" s="137">
        <f>SUM('Assumptions'!AL58:AL65)</f>
        <v/>
      </c>
      <c r="J40" s="137">
        <f>('Production schedule'!E40*(IF('Sites'!D6="Annual staff",SUM('Assumptions'!AL112,'Assumptions'!AL114),0)+SUM('Assumptions'!AL113,'Assumptions'!AL115:AL116)))*'Responsibilities'!$E$6+('Production schedule'!E76*(IF('Sites'!D7="Annual staff",SUM('Assumptions'!AL117,'Assumptions'!AL119),0)+SUM('Assumptions'!AL118,'Assumptions'!AL120:AL121)))*'Responsibilities'!$E$7+('Production schedule'!E112*(IF('Sites'!D8="Annual staff",SUM('Assumptions'!AL122,'Assumptions'!AL124),0)+SUM('Assumptions'!AL123,'Assumptions'!AL125:AL126)))*'Responsibilities'!$E$8</f>
        <v/>
      </c>
      <c r="K40" s="137">
        <f>(IF(AND('Production schedule'!E40=1,35=MAX(('Sites'!F6),25),ISNUMBER('Sites'!Q6)),'Sites'!Q6*'Assumptions'!$B$44,0))*'Responsibilities'!$F$6+(IF(AND('Production schedule'!E76=1,35=MAX(('Sites'!F7+'Cases'!G6),25),ISNUMBER('Sites'!Q7)),'Sites'!Q7*'Assumptions'!$B$44,0))*'Responsibilities'!$F$7+(IF(AND('Production schedule'!E112=1,35=MAX(('Sites'!F8+'Cases'!G6),25),ISNUMBER('Sites'!Q8)),'Sites'!Q8*'Assumptions'!$B$44,0))*'Responsibilities'!$F$8</f>
        <v/>
      </c>
      <c r="L40" s="137">
        <f>SUM('Costs'!E36)*'Costs'!F36/12*'Responsibilities'!$C$12+SUM('Costs'!E37)*'Costs'!F37/12*'Responsibilities'!$C$13+SUM('Costs'!E38)*'Costs'!F38/12*'Responsibilities'!$C$14+SUM('Costs'!E39)*'Costs'!F39/12*'Responsibilities'!$C$15+SUM('Costs'!E40)*'Costs'!F40/12*'Responsibilities'!$C$16+BZ40</f>
        <v/>
      </c>
      <c r="M40" s="137">
        <f>('Sites'!E6*'Capital'!E6*(IF(35='Capital'!G6,'Capital'!F6,0)+IF(35='Capital'!H6,1-'Capital'!F6,0)))*'Responsibilities'!$G$6+('Sites'!E7*'Capital'!E7*(IF(35='Capital'!G7+'Cases'!G6,'Capital'!F7,0)+IF(35='Capital'!H7+'Cases'!G6,1-'Capital'!F7,0)))*'Responsibilities'!$G$7+('Sites'!E8*'Cases'!F6*'Capital'!E8*(IF(35='Capital'!G8+'Cases'!G6,'Capital'!F8,0)+IF(35='Capital'!H8+'Cases'!G6,1-'Capital'!F8,0)))*'Responsibilities'!$G$8</f>
        <v/>
      </c>
      <c r="N40" s="137">
        <f>SUM(G40:M40)</f>
        <v/>
      </c>
      <c r="O40" s="137">
        <f>SUMIFS(FundingTranches[Secured amount],FundingTranches[Instrument],"Grant",FundingTranches[Secured month],35)</f>
        <v/>
      </c>
      <c r="P40" s="137">
        <f>SUMIFS(FundingTranches[Full possible],FundingTranches[Instrument],"Grant",FundingTranches[Scenario month],35-'Cases'!$D$6)</f>
        <v/>
      </c>
      <c r="Q40" s="137">
        <f>SUMIFS(FundingTranches[Secured amount],FundingTranches[Instrument],"Loan",FundingTranches[Secured month],35)</f>
        <v/>
      </c>
      <c r="R40" s="137">
        <f>SUMIFS(FundingTranches[Full possible],FundingTranches[Instrument],"Loan",FundingTranches[Scenario month],35-'Cases'!$D$6)</f>
        <v/>
      </c>
      <c r="S40" s="137">
        <f>IF(35&lt;='Assumptions'!$B$34,0,SUMIFS('Production schedule'!$AL$6:$AL$113,'Production schedule'!$C$6:$C$113,35-'Assumptions'!$B$34))</f>
        <v/>
      </c>
      <c r="T40" s="137">
        <f>'Assumptions'!AL70</f>
        <v/>
      </c>
      <c r="U40" s="137">
        <f>'Assumptions'!AL78</f>
        <v/>
      </c>
      <c r="V40" s="137">
        <f>SUM(O40:U40)</f>
        <v/>
      </c>
      <c r="W40" s="137">
        <f>AA39</f>
        <v/>
      </c>
      <c r="X40" s="137">
        <f>SUM(Q40:R40)</f>
        <v/>
      </c>
      <c r="Y40" s="137">
        <f>SUM(W40,X40)*'Assumptions'!$B$39/12</f>
        <v/>
      </c>
      <c r="Z40" s="137">
        <f>IF(SUM(W40,X40)&gt;0,MIN(SUM(W40,X40),MAX(0,BP40-Y40)),0)</f>
        <v/>
      </c>
      <c r="AA40" s="137">
        <f>SUM(W40,X40)-Z40</f>
        <v/>
      </c>
      <c r="AB40" s="137">
        <f>SUM(Y40:Z40)</f>
        <v/>
      </c>
      <c r="AC40" s="137">
        <f>'Assumptions'!AL72</f>
        <v/>
      </c>
      <c r="AD40" s="137">
        <f>'Assumptions'!AL73</f>
        <v/>
      </c>
      <c r="AE40" s="137">
        <f>IF(X40&gt;0,SUM('Assumptions'!$B$42),0)</f>
        <v/>
      </c>
      <c r="AF40" s="137">
        <f>'Assumptions'!AL71</f>
        <v/>
      </c>
      <c r="AG40" s="137">
        <f>'Assumptions'!AL74</f>
        <v/>
      </c>
      <c r="AH40" s="137">
        <f>'Assumptions'!AL75</f>
        <v/>
      </c>
      <c r="AI40" s="137">
        <f>'Assumptions'!AL77</f>
        <v/>
      </c>
      <c r="AJ40" s="137">
        <f>V40-N40-SUM(AB40:AI40)</f>
        <v/>
      </c>
      <c r="AK40" s="137">
        <f>SUM(AJ6:AJ40)</f>
        <v/>
      </c>
      <c r="AL40" s="137">
        <f>IF(ISNUMBER('Assumptions'!$B$10),'Assumptions'!$B$10+AK40,"")</f>
        <v/>
      </c>
      <c r="AM40" s="137">
        <f>SUM(O40,Q40,T40)-N40-SUM(AC40:AI40)+IF('Funding'!$N$11=0,AE40,0)-IF('Funding'!$N$11&gt;0,AB40,0)</f>
        <v/>
      </c>
      <c r="AN40" s="137">
        <f>SUM(AM6:AM40)</f>
        <v/>
      </c>
      <c r="AO40" s="137">
        <f>IF(ISNUMBER('Assumptions'!$B$10),'Assumptions'!$B$10+AN40,"")</f>
        <v/>
      </c>
      <c r="AP40" s="137">
        <f>('Production schedule'!AK40)*'Responsibilities'!$C$6+('Production schedule'!AK76)*'Responsibilities'!$C$7+('Production schedule'!AK112)*'Responsibilities'!$C$8</f>
        <v/>
      </c>
      <c r="AQ40" s="137">
        <f>SUMIFS('Production schedule'!$AL$6:$AL$113,'Production schedule'!$C$6:$C$113,35)</f>
        <v/>
      </c>
      <c r="AR40" s="137">
        <f>IF(ISNUMBER('Assumptions'!AL76),'Assumptions'!AL76,SUM(O40:P40))</f>
        <v/>
      </c>
      <c r="AS40" s="137">
        <f>IF(ISNUMBER('Assumptions'!$B$13),MIN('Assumptions'!$B$13/'Assumptions'!$B$18/12,MAX(0,'Assumptions'!$B$13-(35-1)*'Assumptions'!$B$13/'Assumptions'!$B$18/12)),0)+IF(AND('Sites'!E6=1,35&gt;=('Sites'!F6),35&lt;('Sites'!F6)+'Assumptions'!$B$18*12),'Capital'!E6/'Assumptions'!$B$18/12,0)+IF(AND('Sites'!E7=1,35&gt;=('Sites'!F7+'Cases'!G6),35&lt;('Sites'!F7+'Cases'!G6)+'Assumptions'!$B$18*12),'Capital'!E7/'Assumptions'!$B$18/12,0)+IF(AND('Sites'!E8*'Cases'!F6=1,35&gt;=('Sites'!F8+'Cases'!G6),35&lt;('Sites'!F8+'Cases'!G6)+'Assumptions'!$B$18*12),'Capital'!E8/'Assumptions'!$B$18/12,0)</f>
        <v/>
      </c>
      <c r="AT40" s="137">
        <f>SUM(AQ40,AR40,U40)-AP40-SUM(H40:L40)-AS40-SUM(Y40,AD40,AE40,AH40)</f>
        <v/>
      </c>
      <c r="AU40" s="137">
        <f>IF(ISNUMBER('Assumptions'!$B$19),MAX(0,SUM(AT30:AT40))*'Assumptions'!$B$19-SUM(AU30:AU39),"")</f>
        <v/>
      </c>
      <c r="AV40" s="137">
        <f>IF(ISNUMBER(AU40),AT40-AU40,"")</f>
        <v/>
      </c>
      <c r="AW40" s="137">
        <f>IF(ISNUMBER('Assumptions'!$B$11),'Assumptions'!$B$11+SUM(AQ6:AQ40)-SUM(S6:S40)-SUM(T6:T40),"")</f>
        <v/>
      </c>
      <c r="AX40" s="137">
        <f>IF(ISNUMBER('Assumptions'!$B$12),'Assumptions'!$B$12+SUM(G6:G40)-SUM(AP6:AP40),"")</f>
        <v/>
      </c>
      <c r="AY40" s="137">
        <f>IF(ISNUMBER('Assumptions'!$B$13),'Assumptions'!$B$13+SUM(M6:M40)-SUM(AS6:AS40),"")</f>
        <v/>
      </c>
      <c r="AZ40" s="137">
        <f>IF(ISNUMBER('Assumptions'!$B$14),'Assumptions'!$B$14+-SUM(AF6:AF40),"")</f>
        <v/>
      </c>
      <c r="BA40" s="137">
        <f>IF(ISNUMBER('Assumptions'!$B$15),'Assumptions'!$B$15+SUM(O6:O40)+SUM(P6:P40)-SUM(AR6:AR40),"")</f>
        <v/>
      </c>
      <c r="BB40" s="137">
        <f>IF(ISNUMBER('Assumptions'!$B$16),'Assumptions'!$B$16+-SUM(AC6:AC40),"")</f>
        <v/>
      </c>
      <c r="BC40" s="137">
        <f>IF(AND(ISNUMBER('Assumptions'!$B$21),ISNUMBER('Assumptions'!$B$19)),'Assumptions'!$B$21+SUM(AU6:AU40)-SUM(AG6:AG40),"")</f>
        <v/>
      </c>
      <c r="BD40" s="137">
        <f>IF(ISNUMBER('Assumptions'!$B$20),'Assumptions'!$B$20+-SUM(AI6:AI40),"")</f>
        <v/>
      </c>
      <c r="BE40" s="137">
        <f>IF(AND(ISNUMBER('Assumptions'!$B$17),COUNT(AV6:AV40)=35),'Assumptions'!$B$17+SUM(AV6:AV40),"")</f>
        <v/>
      </c>
      <c r="BF40" s="137">
        <f>IF(COUNT(AL40,AW40:AY40)=4,SUM(AL40,AW40:AY40),"")</f>
        <v/>
      </c>
      <c r="BG40" s="137">
        <f>IF(COUNT(AZ40:BD40)=5,SUM(AZ40:BD40,AA40),"")</f>
        <v/>
      </c>
      <c r="BH40" s="137">
        <f>IF(COUNT(BF40,BG40,BE40)=3,BF40-BG40-BE40,"")</f>
        <v/>
      </c>
      <c r="BI40" s="137">
        <f>SUM(W40,X40)-Z40-AA40</f>
        <v/>
      </c>
      <c r="BJ40" s="137">
        <f>8-COUNT('Assumptions'!AL58:AL65)+COUNTBLANK('NM Play'!B33:B34)+'Costs'!E44+IF(AND('Sites'!E6=1,('Sites'!F6)&lt;=36,'Sites'!G6&gt;=25),IF(ISNUMBER('Sites'!Q6),0,1)+'Capital'!I6+COUNTBLANK('Sites'!R6)+IF('Sites'!D6="NM crew",COUNTBLANK('NM Play'!B25)+1,5-COUNT('Assumptions'!AL112:AL116)),0)+IF(AND('Sites'!E7=1,('Sites'!F7+'Cases'!G6)&lt;=36,'Sites'!G7&gt;=25),IF(ISNUMBER('Sites'!Q7),0,1)+'Capital'!I7+COUNTBLANK('Sites'!R7)+IF('Sites'!D7="NM crew",COUNTBLANK('NM Play'!B25)+1,5-COUNT('Assumptions'!AL117:AL121)),0)+IF(AND('Sites'!E8*'Cases'!F6=1,('Sites'!F8+'Cases'!G6)&lt;=36,'Sites'!G8&gt;=25),IF(ISNUMBER('Sites'!Q8),0,1)+'Capital'!I8+COUNTBLANK('Sites'!R8)+IF('Sites'!D8="NM crew",COUNTBLANK('NM Play'!B25)+1,5-COUNT('Assumptions'!AL122:AL126)),0)+IF(AND('Cases'!C6&gt;0,NOT(ISNUMBER('Assumptions'!B42))),1,0)+'Responsibilities'!$B$39</f>
        <v/>
      </c>
      <c r="BK40" s="137">
        <f>'Assumptions'!$B$50+'NM Play'!$B$83+'Funding'!$F$20+SUMIFS('Production schedule'!$AN$6:$AN$113,'Production schedule'!$C$6:$C$113,35)+IF(OR('Cases'!E6&lt;0,'Cases'!E6&gt;1,'Cases'!C6&lt;0,'Cases'!D6&lt;0,ABS(SUM('Sites'!S6:S8)-1)&gt;0.0001,MIN('Capital'!F6:F8)&lt;0,MAX('Capital'!F6:F8)&gt;1,MIN(AX40,AZ40,BB40,BA40)&lt;-0.01),1,0)+'Responsibilities'!$B$40</f>
        <v/>
      </c>
      <c r="BL40" s="137">
        <f>SUMIFS('Production schedule'!$T$6:$T$113,'Production schedule'!$C$6:$C$113,35)</f>
        <v/>
      </c>
      <c r="BM40" s="137">
        <f>D40*'NM Play'!$B$38</f>
        <v/>
      </c>
      <c r="BN40" s="137">
        <f>SUMIFS('Production schedule'!$AM$6:$AM$113,'Production schedule'!$C$6:$C$113,35)</f>
        <v/>
      </c>
      <c r="BO40" s="137">
        <f>AK40-AK39-AJ40</f>
        <v/>
      </c>
      <c r="BP40" s="137">
        <f>IF(AND('Assumptions'!$B$39&gt;=0,'Assumptions'!$B$40&gt;0),-PMT('Assumptions'!$B$39/12,'Assumptions'!$B$40*12,IF('Funding'!$N$11&gt;0,'Funding'!$N$11,'Funding'!$R$11)),"")</f>
        <v/>
      </c>
      <c r="BQ40">
        <f>('Production schedule'!AJ40)*(1-'Responsibilities'!$C$6)+('Production schedule'!AJ76)*(1-'Responsibilities'!$C$7)+('Production schedule'!AJ112)*(1-'Responsibilities'!$C$8)</f>
        <v/>
      </c>
      <c r="BR40">
        <f>('Production schedule'!AI40)*(1-'Responsibilities'!$D$6)+('Production schedule'!AI76)*(1-'Responsibilities'!$D$7)+('Production schedule'!AI112)*(1-'Responsibilities'!$D$8)</f>
        <v/>
      </c>
      <c r="BS40">
        <f>('Production schedule'!E40*(IF('Sites'!D6="Annual staff",SUM('Assumptions'!AL112,'Assumptions'!AL114),0)+SUM('Assumptions'!AL113,'Assumptions'!AL115:AL116)))*(1-'Responsibilities'!$E$6)+('Production schedule'!E76*(IF('Sites'!D7="Annual staff",SUM('Assumptions'!AL117,'Assumptions'!AL119),0)+SUM('Assumptions'!AL118,'Assumptions'!AL120:AL121)))*(1-'Responsibilities'!$E$7)+('Production schedule'!E112*(IF('Sites'!D8="Annual staff",SUM('Assumptions'!AL122,'Assumptions'!AL124),0)+SUM('Assumptions'!AL123,'Assumptions'!AL125:AL126)))*(1-'Responsibilities'!$E$8)</f>
        <v/>
      </c>
      <c r="BT40">
        <f>(IF(AND('Production schedule'!E40=1,35=MAX(('Sites'!F6),25),ISNUMBER('Sites'!Q6)),'Sites'!Q6*'Assumptions'!$B$44,0))*(1-'Responsibilities'!$F$6)+(IF(AND('Production schedule'!E76=1,35=MAX(('Sites'!F7+'Cases'!G6),25),ISNUMBER('Sites'!Q7)),'Sites'!Q7*'Assumptions'!$B$44,0))*(1-'Responsibilities'!$F$7)+(IF(AND('Production schedule'!E112=1,35=MAX(('Sites'!F8+'Cases'!G6),25),ISNUMBER('Sites'!Q8)),'Sites'!Q8*'Assumptions'!$B$44,0))*(1-'Responsibilities'!$F$8)</f>
        <v/>
      </c>
      <c r="BU40">
        <f>SUM('Costs'!E36)*'Costs'!F36/12*(1-'Responsibilities'!$C$12)+SUM('Costs'!E37)*'Costs'!F37/12*(1-'Responsibilities'!$C$13)+SUM('Costs'!E38)*'Costs'!F38/12*(1-'Responsibilities'!$C$14)+SUM('Costs'!E39)*'Costs'!F39/12*(1-'Responsibilities'!$C$15)+SUM('Costs'!E40)*'Costs'!F40/12*(1-'Responsibilities'!$C$16)</f>
        <v/>
      </c>
      <c r="BV40">
        <f>('Sites'!E6*'Capital'!E6*(IF(35='Capital'!G6,'Capital'!F6,0)+IF(35='Capital'!H6,1-'Capital'!F6,0)))*(1-'Responsibilities'!$G$6)+('Sites'!E7*'Capital'!E7*(IF(35='Capital'!G7+'Cases'!G6,'Capital'!F7,0)+IF(35='Capital'!H7+'Cases'!G6,1-'Capital'!F7,0)))*(1-'Responsibilities'!$G$7)+('Sites'!E8*'Cases'!F6*'Capital'!E8*(IF(35='Capital'!G8+'Cases'!G6,'Capital'!F8,0)+IF(35='Capital'!H8+'Cases'!G6,1-'Capital'!F8,0)))*(1-'Responsibilities'!$G$8)</f>
        <v/>
      </c>
      <c r="BW40">
        <f>SUM(BQ40:BV40)</f>
        <v/>
      </c>
      <c r="BX40">
        <f>N40+BW40</f>
        <v/>
      </c>
      <c r="BY40">
        <f>BX40-(('Production schedule'!AJ40)*'Responsibilities'!$C$6+('Production schedule'!AJ76)*'Responsibilities'!$C$7+('Production schedule'!AJ112)*'Responsibilities'!$C$8+('Production schedule'!AJ40)*(1-'Responsibilities'!$C$6)+('Production schedule'!AJ76)*(1-'Responsibilities'!$C$7)+('Production schedule'!AJ112)*(1-'Responsibilities'!$C$8)+('Production schedule'!AI40)*'Responsibilities'!$D$6+('Production schedule'!AI76)*'Responsibilities'!$D$7+('Production schedule'!AI112)*'Responsibilities'!$D$8+('Production schedule'!AI40)*(1-'Responsibilities'!$D$6)+('Production schedule'!AI76)*(1-'Responsibilities'!$D$7)+('Production schedule'!AI112)*(1-'Responsibilities'!$D$8)+('Production schedule'!E40*(IF('Sites'!D6="Annual staff",SUM('Assumptions'!AL112,'Assumptions'!AL114),0)+SUM('Assumptions'!AL113,'Assumptions'!AL115:AL116)))*'Responsibilities'!$E$6+('Production schedule'!E76*(IF('Sites'!D7="Annual staff",SUM('Assumptions'!AL117,'Assumptions'!AL119),0)+SUM('Assumptions'!AL118,'Assumptions'!AL120:AL121)))*'Responsibilities'!$E$7+('Production schedule'!E112*(IF('Sites'!D8="Annual staff",SUM('Assumptions'!AL122,'Assumptions'!AL124),0)+SUM('Assumptions'!AL123,'Assumptions'!AL125:AL126)))*'Responsibilities'!$E$8+('Production schedule'!E40*(IF('Sites'!D6="Annual staff",SUM('Assumptions'!AL112,'Assumptions'!AL114),0)+SUM('Assumptions'!AL113,'Assumptions'!AL115:AL116)))*(1-'Responsibilities'!$E$6)+('Production schedule'!E76*(IF('Sites'!D7="Annual staff",SUM('Assumptions'!AL117,'Assumptions'!AL119),0)+SUM('Assumptions'!AL118,'Assumptions'!AL120:AL121)))*(1-'Responsibilities'!$E$7)+('Production schedule'!E112*(IF('Sites'!D8="Annual staff",SUM('Assumptions'!AL122,'Assumptions'!AL124),0)+SUM('Assumptions'!AL123,'Assumptions'!AL125:AL126)))*(1-'Responsibilities'!$E$8)+(IF(AND('Production schedule'!E40=1,35=MAX(('Sites'!F6),25),ISNUMBER('Sites'!Q6)),'Sites'!Q6*'Assumptions'!$B$44,0))*'Responsibilities'!$F$6+(IF(AND('Production schedule'!E76=1,35=MAX(('Sites'!F7+'Cases'!G6),25),ISNUMBER('Sites'!Q7)),'Sites'!Q7*'Assumptions'!$B$44,0))*'Responsibilities'!$F$7+(IF(AND('Production schedule'!E112=1,35=MAX(('Sites'!F8+'Cases'!G6),25),ISNUMBER('Sites'!Q8)),'Sites'!Q8*'Assumptions'!$B$44,0))*'Responsibilities'!$F$8+(IF(AND('Production schedule'!E40=1,35=MAX(('Sites'!F6),25),ISNUMBER('Sites'!Q6)),'Sites'!Q6*'Assumptions'!$B$44,0))*(1-'Responsibilities'!$F$6)+(IF(AND('Production schedule'!E76=1,35=MAX(('Sites'!F7+'Cases'!G6),25),ISNUMBER('Sites'!Q7)),'Sites'!Q7*'Assumptions'!$B$44,0))*(1-'Responsibilities'!$F$7)+(IF(AND('Production schedule'!E112=1,35=MAX(('Sites'!F8+'Cases'!G6),25),ISNUMBER('Sites'!Q8)),'Sites'!Q8*'Assumptions'!$B$44,0))*(1-'Responsibilities'!$F$8)+('Sites'!E6*'Capital'!E6*(IF(35='Capital'!G6,'Capital'!F6,0)+IF(35='Capital'!H6,1-'Capital'!F6,0)))*'Responsibilities'!$G$6+('Sites'!E7*'Capital'!E7*(IF(35='Capital'!G7+'Cases'!G6,'Capital'!F7,0)+IF(35='Capital'!H7+'Cases'!G6,1-'Capital'!F7,0)))*'Responsibilities'!$G$7+('Sites'!E8*'Cases'!F6*'Capital'!E8*(IF(35='Capital'!G8+'Cases'!G6,'Capital'!F8,0)+IF(35='Capital'!H8+'Cases'!G6,1-'Capital'!F8,0)))*'Responsibilities'!$G$8+('Sites'!E6*'Capital'!E6*(IF(35='Capital'!G6,'Capital'!F6,0)+IF(35='Capital'!H6,1-'Capital'!F6,0)))*(1-'Responsibilities'!$G$6)+('Sites'!E7*'Capital'!E7*(IF(35='Capital'!G7+'Cases'!G6,'Capital'!F7,0)+IF(35='Capital'!H7+'Cases'!G6,1-'Capital'!F7,0)))*(1-'Responsibilities'!$G$7)+('Sites'!E8*'Cases'!F6*'Capital'!E8*(IF(35='Capital'!G8+'Cases'!G6,'Capital'!F8,0)+IF(35='Capital'!H8+'Cases'!G6,1-'Capital'!F8,0)))*(1-'Responsibilities'!$G$8)+I40+SUMPRODUCT('Costs'!$E$36:$E$40,'Costs'!$F$36:$F$40)/12+BZ40)</f>
        <v/>
      </c>
      <c r="BZ40">
        <f>SUMIFS('Responsibilities'!$B$31:$B$35,'Responsibilities'!$C$31:$C$35,35,'Responsibilities'!$D$31:$D$35,"Yes")</f>
        <v/>
      </c>
    </row>
    <row r="41" ht="28" customHeight="1">
      <c r="A41" s="4" t="inlineStr">
        <is>
          <t>Full</t>
        </is>
      </c>
      <c r="B41" s="4" t="n">
        <v>36</v>
      </c>
      <c r="C41" s="4">
        <f>ROUNDUP(B41/12,0)</f>
        <v/>
      </c>
      <c r="D41" s="137">
        <f>SUMIFS('Production schedule'!$N$6:$N$113,'Production schedule'!$C$6:$C$113,36)</f>
        <v/>
      </c>
      <c r="E41" s="137">
        <f>SUMIFS('Production schedule'!$Y$6:$Y$113,'Production schedule'!$C$6:$C$113,36)</f>
        <v/>
      </c>
      <c r="F41" s="137">
        <f>SUMIFS('Production schedule'!$Z$6:$Z$113,'Production schedule'!$C$6:$C$113,36)</f>
        <v/>
      </c>
      <c r="G41" s="137">
        <f>('Production schedule'!AJ41)*'Responsibilities'!$C$6+('Production schedule'!AJ77)*'Responsibilities'!$C$7+('Production schedule'!AJ113)*'Responsibilities'!$C$8</f>
        <v/>
      </c>
      <c r="H41" s="137">
        <f>('Production schedule'!AI41)*'Responsibilities'!$D$6+('Production schedule'!AI77)*'Responsibilities'!$D$7+('Production schedule'!AI113)*'Responsibilities'!$D$8</f>
        <v/>
      </c>
      <c r="I41" s="137">
        <f>SUM('Assumptions'!AM58:AM65)</f>
        <v/>
      </c>
      <c r="J41" s="137">
        <f>('Production schedule'!E41*(IF('Sites'!D6="Annual staff",SUM('Assumptions'!AM112,'Assumptions'!AM114),0)+SUM('Assumptions'!AM113,'Assumptions'!AM115:AM116)))*'Responsibilities'!$E$6+('Production schedule'!E77*(IF('Sites'!D7="Annual staff",SUM('Assumptions'!AM117,'Assumptions'!AM119),0)+SUM('Assumptions'!AM118,'Assumptions'!AM120:AM121)))*'Responsibilities'!$E$7+('Production schedule'!E113*(IF('Sites'!D8="Annual staff",SUM('Assumptions'!AM122,'Assumptions'!AM124),0)+SUM('Assumptions'!AM123,'Assumptions'!AM125:AM126)))*'Responsibilities'!$E$8</f>
        <v/>
      </c>
      <c r="K41" s="137">
        <f>(IF(AND('Production schedule'!E41=1,36=MAX(('Sites'!F6),25),ISNUMBER('Sites'!Q6)),'Sites'!Q6*'Assumptions'!$B$44,0))*'Responsibilities'!$F$6+(IF(AND('Production schedule'!E77=1,36=MAX(('Sites'!F7+'Cases'!G6),25),ISNUMBER('Sites'!Q7)),'Sites'!Q7*'Assumptions'!$B$44,0))*'Responsibilities'!$F$7+(IF(AND('Production schedule'!E113=1,36=MAX(('Sites'!F8+'Cases'!G6),25),ISNUMBER('Sites'!Q8)),'Sites'!Q8*'Assumptions'!$B$44,0))*'Responsibilities'!$F$8</f>
        <v/>
      </c>
      <c r="L41" s="137">
        <f>SUM('Costs'!E36)*'Costs'!F36/12*'Responsibilities'!$C$12+SUM('Costs'!E37)*'Costs'!F37/12*'Responsibilities'!$C$13+SUM('Costs'!E38)*'Costs'!F38/12*'Responsibilities'!$C$14+SUM('Costs'!E39)*'Costs'!F39/12*'Responsibilities'!$C$15+SUM('Costs'!E40)*'Costs'!F40/12*'Responsibilities'!$C$16+BZ41</f>
        <v/>
      </c>
      <c r="M41" s="137">
        <f>('Sites'!E6*'Capital'!E6*(IF(36='Capital'!G6,'Capital'!F6,0)+IF(36='Capital'!H6,1-'Capital'!F6,0)))*'Responsibilities'!$G$6+('Sites'!E7*'Capital'!E7*(IF(36='Capital'!G7+'Cases'!G6,'Capital'!F7,0)+IF(36='Capital'!H7+'Cases'!G6,1-'Capital'!F7,0)))*'Responsibilities'!$G$7+('Sites'!E8*'Cases'!F6*'Capital'!E8*(IF(36='Capital'!G8+'Cases'!G6,'Capital'!F8,0)+IF(36='Capital'!H8+'Cases'!G6,1-'Capital'!F8,0)))*'Responsibilities'!$G$8</f>
        <v/>
      </c>
      <c r="N41" s="137">
        <f>SUM(G41:M41)</f>
        <v/>
      </c>
      <c r="O41" s="137">
        <f>SUMIFS(FundingTranches[Secured amount],FundingTranches[Instrument],"Grant",FundingTranches[Secured month],36)</f>
        <v/>
      </c>
      <c r="P41" s="137">
        <f>SUMIFS(FundingTranches[Full possible],FundingTranches[Instrument],"Grant",FundingTranches[Scenario month],36-'Cases'!$D$6)</f>
        <v/>
      </c>
      <c r="Q41" s="137">
        <f>SUMIFS(FundingTranches[Secured amount],FundingTranches[Instrument],"Loan",FundingTranches[Secured month],36)</f>
        <v/>
      </c>
      <c r="R41" s="137">
        <f>SUMIFS(FundingTranches[Full possible],FundingTranches[Instrument],"Loan",FundingTranches[Scenario month],36-'Cases'!$D$6)</f>
        <v/>
      </c>
      <c r="S41" s="137">
        <f>IF(36&lt;='Assumptions'!$B$34,0,SUMIFS('Production schedule'!$AL$6:$AL$113,'Production schedule'!$C$6:$C$113,36-'Assumptions'!$B$34))</f>
        <v/>
      </c>
      <c r="T41" s="137">
        <f>'Assumptions'!AM70</f>
        <v/>
      </c>
      <c r="U41" s="137">
        <f>'Assumptions'!AM78</f>
        <v/>
      </c>
      <c r="V41" s="137">
        <f>SUM(O41:U41)</f>
        <v/>
      </c>
      <c r="W41" s="137">
        <f>AA40</f>
        <v/>
      </c>
      <c r="X41" s="137">
        <f>SUM(Q41:R41)</f>
        <v/>
      </c>
      <c r="Y41" s="137">
        <f>SUM(W41,X41)*'Assumptions'!$B$39/12</f>
        <v/>
      </c>
      <c r="Z41" s="137">
        <f>IF(SUM(W41,X41)&gt;0,MIN(SUM(W41,X41),MAX(0,BP41-Y41)),0)</f>
        <v/>
      </c>
      <c r="AA41" s="137">
        <f>SUM(W41,X41)-Z41</f>
        <v/>
      </c>
      <c r="AB41" s="137">
        <f>SUM(Y41:Z41)</f>
        <v/>
      </c>
      <c r="AC41" s="137">
        <f>'Assumptions'!AM72</f>
        <v/>
      </c>
      <c r="AD41" s="137">
        <f>'Assumptions'!AM73</f>
        <v/>
      </c>
      <c r="AE41" s="137">
        <f>IF(X41&gt;0,SUM('Assumptions'!$B$42),0)</f>
        <v/>
      </c>
      <c r="AF41" s="137">
        <f>'Assumptions'!AM71</f>
        <v/>
      </c>
      <c r="AG41" s="137">
        <f>'Assumptions'!AM74</f>
        <v/>
      </c>
      <c r="AH41" s="137">
        <f>'Assumptions'!AM75</f>
        <v/>
      </c>
      <c r="AI41" s="137">
        <f>'Assumptions'!AM77</f>
        <v/>
      </c>
      <c r="AJ41" s="137">
        <f>V41-N41-SUM(AB41:AI41)</f>
        <v/>
      </c>
      <c r="AK41" s="137">
        <f>SUM(AJ6:AJ41)</f>
        <v/>
      </c>
      <c r="AL41" s="137">
        <f>IF(ISNUMBER('Assumptions'!$B$10),'Assumptions'!$B$10+AK41,"")</f>
        <v/>
      </c>
      <c r="AM41" s="137">
        <f>SUM(O41,Q41,T41)-N41-SUM(AC41:AI41)+IF('Funding'!$N$11=0,AE41,0)-IF('Funding'!$N$11&gt;0,AB41,0)</f>
        <v/>
      </c>
      <c r="AN41" s="137">
        <f>SUM(AM6:AM41)</f>
        <v/>
      </c>
      <c r="AO41" s="137">
        <f>IF(ISNUMBER('Assumptions'!$B$10),'Assumptions'!$B$10+AN41,"")</f>
        <v/>
      </c>
      <c r="AP41" s="137">
        <f>('Production schedule'!AK41)*'Responsibilities'!$C$6+('Production schedule'!AK77)*'Responsibilities'!$C$7+('Production schedule'!AK113)*'Responsibilities'!$C$8</f>
        <v/>
      </c>
      <c r="AQ41" s="137">
        <f>SUMIFS('Production schedule'!$AL$6:$AL$113,'Production schedule'!$C$6:$C$113,36)</f>
        <v/>
      </c>
      <c r="AR41" s="137">
        <f>IF(ISNUMBER('Assumptions'!AM76),'Assumptions'!AM76,SUM(O41:P41))</f>
        <v/>
      </c>
      <c r="AS41" s="137">
        <f>IF(ISNUMBER('Assumptions'!$B$13),MIN('Assumptions'!$B$13/'Assumptions'!$B$18/12,MAX(0,'Assumptions'!$B$13-(36-1)*'Assumptions'!$B$13/'Assumptions'!$B$18/12)),0)+IF(AND('Sites'!E6=1,36&gt;=('Sites'!F6),36&lt;('Sites'!F6)+'Assumptions'!$B$18*12),'Capital'!E6/'Assumptions'!$B$18/12,0)+IF(AND('Sites'!E7=1,36&gt;=('Sites'!F7+'Cases'!G6),36&lt;('Sites'!F7+'Cases'!G6)+'Assumptions'!$B$18*12),'Capital'!E7/'Assumptions'!$B$18/12,0)+IF(AND('Sites'!E8*'Cases'!F6=1,36&gt;=('Sites'!F8+'Cases'!G6),36&lt;('Sites'!F8+'Cases'!G6)+'Assumptions'!$B$18*12),'Capital'!E8/'Assumptions'!$B$18/12,0)</f>
        <v/>
      </c>
      <c r="AT41" s="137">
        <f>SUM(AQ41,AR41,U41)-AP41-SUM(H41:L41)-AS41-SUM(Y41,AD41,AE41,AH41)</f>
        <v/>
      </c>
      <c r="AU41" s="137">
        <f>IF(ISNUMBER('Assumptions'!$B$19),MAX(0,SUM(AT30:AT41))*'Assumptions'!$B$19-SUM(AU30:AU40),"")</f>
        <v/>
      </c>
      <c r="AV41" s="137">
        <f>IF(ISNUMBER(AU41),AT41-AU41,"")</f>
        <v/>
      </c>
      <c r="AW41" s="137">
        <f>IF(ISNUMBER('Assumptions'!$B$11),'Assumptions'!$B$11+SUM(AQ6:AQ41)-SUM(S6:S41)-SUM(T6:T41),"")</f>
        <v/>
      </c>
      <c r="AX41" s="137">
        <f>IF(ISNUMBER('Assumptions'!$B$12),'Assumptions'!$B$12+SUM(G6:G41)-SUM(AP6:AP41),"")</f>
        <v/>
      </c>
      <c r="AY41" s="137">
        <f>IF(ISNUMBER('Assumptions'!$B$13),'Assumptions'!$B$13+SUM(M6:M41)-SUM(AS6:AS41),"")</f>
        <v/>
      </c>
      <c r="AZ41" s="137">
        <f>IF(ISNUMBER('Assumptions'!$B$14),'Assumptions'!$B$14+-SUM(AF6:AF41),"")</f>
        <v/>
      </c>
      <c r="BA41" s="137">
        <f>IF(ISNUMBER('Assumptions'!$B$15),'Assumptions'!$B$15+SUM(O6:O41)+SUM(P6:P41)-SUM(AR6:AR41),"")</f>
        <v/>
      </c>
      <c r="BB41" s="137">
        <f>IF(ISNUMBER('Assumptions'!$B$16),'Assumptions'!$B$16+-SUM(AC6:AC41),"")</f>
        <v/>
      </c>
      <c r="BC41" s="137">
        <f>IF(AND(ISNUMBER('Assumptions'!$B$21),ISNUMBER('Assumptions'!$B$19)),'Assumptions'!$B$21+SUM(AU6:AU41)-SUM(AG6:AG41),"")</f>
        <v/>
      </c>
      <c r="BD41" s="137">
        <f>IF(ISNUMBER('Assumptions'!$B$20),'Assumptions'!$B$20+-SUM(AI6:AI41),"")</f>
        <v/>
      </c>
      <c r="BE41" s="137">
        <f>IF(AND(ISNUMBER('Assumptions'!$B$17),COUNT(AV6:AV41)=36),'Assumptions'!$B$17+SUM(AV6:AV41),"")</f>
        <v/>
      </c>
      <c r="BF41" s="137">
        <f>IF(COUNT(AL41,AW41:AY41)=4,SUM(AL41,AW41:AY41),"")</f>
        <v/>
      </c>
      <c r="BG41" s="137">
        <f>IF(COUNT(AZ41:BD41)=5,SUM(AZ41:BD41,AA41),"")</f>
        <v/>
      </c>
      <c r="BH41" s="137">
        <f>IF(COUNT(BF41,BG41,BE41)=3,BF41-BG41-BE41,"")</f>
        <v/>
      </c>
      <c r="BI41" s="137">
        <f>SUM(W41,X41)-Z41-AA41</f>
        <v/>
      </c>
      <c r="BJ41" s="137">
        <f>8-COUNT('Assumptions'!AM58:AM65)+COUNTBLANK('NM Play'!B33:B34)+'Costs'!E44+IF(AND('Sites'!E6=1,('Sites'!F6)&lt;=36,'Sites'!G6&gt;=25),IF(ISNUMBER('Sites'!Q6),0,1)+'Capital'!I6+COUNTBLANK('Sites'!R6)+IF('Sites'!D6="NM crew",COUNTBLANK('NM Play'!B25)+1,5-COUNT('Assumptions'!AM112:AM116)),0)+IF(AND('Sites'!E7=1,('Sites'!F7+'Cases'!G6)&lt;=36,'Sites'!G7&gt;=25),IF(ISNUMBER('Sites'!Q7),0,1)+'Capital'!I7+COUNTBLANK('Sites'!R7)+IF('Sites'!D7="NM crew",COUNTBLANK('NM Play'!B25)+1,5-COUNT('Assumptions'!AM117:AM121)),0)+IF(AND('Sites'!E8*'Cases'!F6=1,('Sites'!F8+'Cases'!G6)&lt;=36,'Sites'!G8&gt;=25),IF(ISNUMBER('Sites'!Q8),0,1)+'Capital'!I8+COUNTBLANK('Sites'!R8)+IF('Sites'!D8="NM crew",COUNTBLANK('NM Play'!B25)+1,5-COUNT('Assumptions'!AM122:AM126)),0)+IF(AND('Cases'!C6&gt;0,NOT(ISNUMBER('Assumptions'!B42))),1,0)+'Responsibilities'!$B$39</f>
        <v/>
      </c>
      <c r="BK41" s="137">
        <f>'Assumptions'!$B$50+'NM Play'!$B$83+'Funding'!$F$20+SUMIFS('Production schedule'!$AN$6:$AN$113,'Production schedule'!$C$6:$C$113,36)+IF(OR('Cases'!E6&lt;0,'Cases'!E6&gt;1,'Cases'!C6&lt;0,'Cases'!D6&lt;0,ABS(SUM('Sites'!S6:S8)-1)&gt;0.0001,MIN('Capital'!F6:F8)&lt;0,MAX('Capital'!F6:F8)&gt;1,MIN(AX41,AZ41,BB41,BA41)&lt;-0.01),1,0)+'Responsibilities'!$B$40</f>
        <v/>
      </c>
      <c r="BL41" s="137">
        <f>SUMIFS('Production schedule'!$T$6:$T$113,'Production schedule'!$C$6:$C$113,36)</f>
        <v/>
      </c>
      <c r="BM41" s="137">
        <f>D41*'NM Play'!$B$38</f>
        <v/>
      </c>
      <c r="BN41" s="137">
        <f>SUMIFS('Production schedule'!$AM$6:$AM$113,'Production schedule'!$C$6:$C$113,36)</f>
        <v/>
      </c>
      <c r="BO41" s="137">
        <f>AK41-AK40-AJ41</f>
        <v/>
      </c>
      <c r="BP41" s="137">
        <f>IF(AND('Assumptions'!$B$39&gt;=0,'Assumptions'!$B$40&gt;0),-PMT('Assumptions'!$B$39/12,'Assumptions'!$B$40*12,IF('Funding'!$N$11&gt;0,'Funding'!$N$11,'Funding'!$R$11)),"")</f>
        <v/>
      </c>
      <c r="BQ41">
        <f>('Production schedule'!AJ41)*(1-'Responsibilities'!$C$6)+('Production schedule'!AJ77)*(1-'Responsibilities'!$C$7)+('Production schedule'!AJ113)*(1-'Responsibilities'!$C$8)</f>
        <v/>
      </c>
      <c r="BR41">
        <f>('Production schedule'!AI41)*(1-'Responsibilities'!$D$6)+('Production schedule'!AI77)*(1-'Responsibilities'!$D$7)+('Production schedule'!AI113)*(1-'Responsibilities'!$D$8)</f>
        <v/>
      </c>
      <c r="BS41">
        <f>('Production schedule'!E41*(IF('Sites'!D6="Annual staff",SUM('Assumptions'!AM112,'Assumptions'!AM114),0)+SUM('Assumptions'!AM113,'Assumptions'!AM115:AM116)))*(1-'Responsibilities'!$E$6)+('Production schedule'!E77*(IF('Sites'!D7="Annual staff",SUM('Assumptions'!AM117,'Assumptions'!AM119),0)+SUM('Assumptions'!AM118,'Assumptions'!AM120:AM121)))*(1-'Responsibilities'!$E$7)+('Production schedule'!E113*(IF('Sites'!D8="Annual staff",SUM('Assumptions'!AM122,'Assumptions'!AM124),0)+SUM('Assumptions'!AM123,'Assumptions'!AM125:AM126)))*(1-'Responsibilities'!$E$8)</f>
        <v/>
      </c>
      <c r="BT41">
        <f>(IF(AND('Production schedule'!E41=1,36=MAX(('Sites'!F6),25),ISNUMBER('Sites'!Q6)),'Sites'!Q6*'Assumptions'!$B$44,0))*(1-'Responsibilities'!$F$6)+(IF(AND('Production schedule'!E77=1,36=MAX(('Sites'!F7+'Cases'!G6),25),ISNUMBER('Sites'!Q7)),'Sites'!Q7*'Assumptions'!$B$44,0))*(1-'Responsibilities'!$F$7)+(IF(AND('Production schedule'!E113=1,36=MAX(('Sites'!F8+'Cases'!G6),25),ISNUMBER('Sites'!Q8)),'Sites'!Q8*'Assumptions'!$B$44,0))*(1-'Responsibilities'!$F$8)</f>
        <v/>
      </c>
      <c r="BU41">
        <f>SUM('Costs'!E36)*'Costs'!F36/12*(1-'Responsibilities'!$C$12)+SUM('Costs'!E37)*'Costs'!F37/12*(1-'Responsibilities'!$C$13)+SUM('Costs'!E38)*'Costs'!F38/12*(1-'Responsibilities'!$C$14)+SUM('Costs'!E39)*'Costs'!F39/12*(1-'Responsibilities'!$C$15)+SUM('Costs'!E40)*'Costs'!F40/12*(1-'Responsibilities'!$C$16)</f>
        <v/>
      </c>
      <c r="BV41">
        <f>('Sites'!E6*'Capital'!E6*(IF(36='Capital'!G6,'Capital'!F6,0)+IF(36='Capital'!H6,1-'Capital'!F6,0)))*(1-'Responsibilities'!$G$6)+('Sites'!E7*'Capital'!E7*(IF(36='Capital'!G7+'Cases'!G6,'Capital'!F7,0)+IF(36='Capital'!H7+'Cases'!G6,1-'Capital'!F7,0)))*(1-'Responsibilities'!$G$7)+('Sites'!E8*'Cases'!F6*'Capital'!E8*(IF(36='Capital'!G8+'Cases'!G6,'Capital'!F8,0)+IF(36='Capital'!H8+'Cases'!G6,1-'Capital'!F8,0)))*(1-'Responsibilities'!$G$8)</f>
        <v/>
      </c>
      <c r="BW41">
        <f>SUM(BQ41:BV41)</f>
        <v/>
      </c>
      <c r="BX41">
        <f>N41+BW41</f>
        <v/>
      </c>
      <c r="BY41">
        <f>BX41-(('Production schedule'!AJ41)*'Responsibilities'!$C$6+('Production schedule'!AJ77)*'Responsibilities'!$C$7+('Production schedule'!AJ113)*'Responsibilities'!$C$8+('Production schedule'!AJ41)*(1-'Responsibilities'!$C$6)+('Production schedule'!AJ77)*(1-'Responsibilities'!$C$7)+('Production schedule'!AJ113)*(1-'Responsibilities'!$C$8)+('Production schedule'!AI41)*'Responsibilities'!$D$6+('Production schedule'!AI77)*'Responsibilities'!$D$7+('Production schedule'!AI113)*'Responsibilities'!$D$8+('Production schedule'!AI41)*(1-'Responsibilities'!$D$6)+('Production schedule'!AI77)*(1-'Responsibilities'!$D$7)+('Production schedule'!AI113)*(1-'Responsibilities'!$D$8)+('Production schedule'!E41*(IF('Sites'!D6="Annual staff",SUM('Assumptions'!AM112,'Assumptions'!AM114),0)+SUM('Assumptions'!AM113,'Assumptions'!AM115:AM116)))*'Responsibilities'!$E$6+('Production schedule'!E77*(IF('Sites'!D7="Annual staff",SUM('Assumptions'!AM117,'Assumptions'!AM119),0)+SUM('Assumptions'!AM118,'Assumptions'!AM120:AM121)))*'Responsibilities'!$E$7+('Production schedule'!E113*(IF('Sites'!D8="Annual staff",SUM('Assumptions'!AM122,'Assumptions'!AM124),0)+SUM('Assumptions'!AM123,'Assumptions'!AM125:AM126)))*'Responsibilities'!$E$8+('Production schedule'!E41*(IF('Sites'!D6="Annual staff",SUM('Assumptions'!AM112,'Assumptions'!AM114),0)+SUM('Assumptions'!AM113,'Assumptions'!AM115:AM116)))*(1-'Responsibilities'!$E$6)+('Production schedule'!E77*(IF('Sites'!D7="Annual staff",SUM('Assumptions'!AM117,'Assumptions'!AM119),0)+SUM('Assumptions'!AM118,'Assumptions'!AM120:AM121)))*(1-'Responsibilities'!$E$7)+('Production schedule'!E113*(IF('Sites'!D8="Annual staff",SUM('Assumptions'!AM122,'Assumptions'!AM124),0)+SUM('Assumptions'!AM123,'Assumptions'!AM125:AM126)))*(1-'Responsibilities'!$E$8)+(IF(AND('Production schedule'!E41=1,36=MAX(('Sites'!F6),25),ISNUMBER('Sites'!Q6)),'Sites'!Q6*'Assumptions'!$B$44,0))*'Responsibilities'!$F$6+(IF(AND('Production schedule'!E77=1,36=MAX(('Sites'!F7+'Cases'!G6),25),ISNUMBER('Sites'!Q7)),'Sites'!Q7*'Assumptions'!$B$44,0))*'Responsibilities'!$F$7+(IF(AND('Production schedule'!E113=1,36=MAX(('Sites'!F8+'Cases'!G6),25),ISNUMBER('Sites'!Q8)),'Sites'!Q8*'Assumptions'!$B$44,0))*'Responsibilities'!$F$8+(IF(AND('Production schedule'!E41=1,36=MAX(('Sites'!F6),25),ISNUMBER('Sites'!Q6)),'Sites'!Q6*'Assumptions'!$B$44,0))*(1-'Responsibilities'!$F$6)+(IF(AND('Production schedule'!E77=1,36=MAX(('Sites'!F7+'Cases'!G6),25),ISNUMBER('Sites'!Q7)),'Sites'!Q7*'Assumptions'!$B$44,0))*(1-'Responsibilities'!$F$7)+(IF(AND('Production schedule'!E113=1,36=MAX(('Sites'!F8+'Cases'!G6),25),ISNUMBER('Sites'!Q8)),'Sites'!Q8*'Assumptions'!$B$44,0))*(1-'Responsibilities'!$F$8)+('Sites'!E6*'Capital'!E6*(IF(36='Capital'!G6,'Capital'!F6,0)+IF(36='Capital'!H6,1-'Capital'!F6,0)))*'Responsibilities'!$G$6+('Sites'!E7*'Capital'!E7*(IF(36='Capital'!G7+'Cases'!G6,'Capital'!F7,0)+IF(36='Capital'!H7+'Cases'!G6,1-'Capital'!F7,0)))*'Responsibilities'!$G$7+('Sites'!E8*'Cases'!F6*'Capital'!E8*(IF(36='Capital'!G8+'Cases'!G6,'Capital'!F8,0)+IF(36='Capital'!H8+'Cases'!G6,1-'Capital'!F8,0)))*'Responsibilities'!$G$8+('Sites'!E6*'Capital'!E6*(IF(36='Capital'!G6,'Capital'!F6,0)+IF(36='Capital'!H6,1-'Capital'!F6,0)))*(1-'Responsibilities'!$G$6)+('Sites'!E7*'Capital'!E7*(IF(36='Capital'!G7+'Cases'!G6,'Capital'!F7,0)+IF(36='Capital'!H7+'Cases'!G6,1-'Capital'!F7,0)))*(1-'Responsibilities'!$G$7)+('Sites'!E8*'Cases'!F6*'Capital'!E8*(IF(36='Capital'!G8+'Cases'!G6,'Capital'!F8,0)+IF(36='Capital'!H8+'Cases'!G6,1-'Capital'!F8,0)))*(1-'Responsibilities'!$G$8)+I41+SUMPRODUCT('Costs'!$E$36:$E$40,'Costs'!$F$36:$F$40)/12+BZ41)</f>
        <v/>
      </c>
      <c r="BZ41">
        <f>SUMIFS('Responsibilities'!$B$31:$B$35,'Responsibilities'!$C$31:$C$35,36,'Responsibilities'!$D$31:$D$35,"Yes")</f>
        <v/>
      </c>
    </row>
    <row r="42" ht="28" customHeight="1">
      <c r="A42" s="4" t="inlineStr">
        <is>
          <t>Smaller</t>
        </is>
      </c>
      <c r="B42" s="4" t="n">
        <v>1</v>
      </c>
      <c r="C42" s="4">
        <f>ROUNDUP(B42/12,0)</f>
        <v/>
      </c>
      <c r="D42" s="137">
        <f>SUMIFS('Production schedule'!$N$114:$N$221,'Production schedule'!$C$114:$C$221,1)</f>
        <v/>
      </c>
      <c r="E42" s="137">
        <f>SUMIFS('Production schedule'!$Y$114:$Y$221,'Production schedule'!$C$114:$C$221,1)</f>
        <v/>
      </c>
      <c r="F42" s="137">
        <f>SUMIFS('Production schedule'!$Z$114:$Z$221,'Production schedule'!$C$114:$C$221,1)</f>
        <v/>
      </c>
      <c r="G42" s="137">
        <f>('Production schedule'!AJ114)*'Responsibilities'!$C$6+('Production schedule'!AJ150)*'Responsibilities'!$C$7+('Production schedule'!AJ186)*'Responsibilities'!$C$8</f>
        <v/>
      </c>
      <c r="H42" s="137">
        <f>('Production schedule'!AI114)*'Responsibilities'!$D$6+('Production schedule'!AI150)*'Responsibilities'!$D$7+('Production schedule'!AI186)*'Responsibilities'!$D$8</f>
        <v/>
      </c>
      <c r="I42" s="137">
        <f>SUM('Assumptions'!D58:D65)</f>
        <v/>
      </c>
      <c r="J42" s="137">
        <f>('Production schedule'!E114*(IF('Sites'!D6="Annual staff",SUM('Assumptions'!D112,'Assumptions'!D114),0)+SUM('Assumptions'!D113,'Assumptions'!D115:D116)))*'Responsibilities'!$E$6+('Production schedule'!E150*(IF('Sites'!D7="Annual staff",SUM('Assumptions'!D117,'Assumptions'!D119),0)+SUM('Assumptions'!D118,'Assumptions'!D120:D121)))*'Responsibilities'!$E$7+('Production schedule'!E186*(IF('Sites'!D8="Annual staff",SUM('Assumptions'!D122,'Assumptions'!D124),0)+SUM('Assumptions'!D123,'Assumptions'!D125:D126)))*'Responsibilities'!$E$8</f>
        <v/>
      </c>
      <c r="K42" s="137">
        <f>(IF(AND('Production schedule'!E114=1,1=MAX(('Sites'!F6),1),ISNUMBER('Sites'!O6)),'Sites'!O6*'Assumptions'!$B$44,0))*'Responsibilities'!$F$6+(IF(AND('Production schedule'!E150=1,1=MAX(('Sites'!F7+'Cases'!G7),1),ISNUMBER('Sites'!O7)),'Sites'!O7*'Assumptions'!$B$44,0))*'Responsibilities'!$F$7+(IF(AND('Production schedule'!E186=1,1=MAX(('Sites'!F8+'Cases'!G7),1),ISNUMBER('Sites'!O8)),'Sites'!O8*'Assumptions'!$B$44,0))*'Responsibilities'!$F$8</f>
        <v/>
      </c>
      <c r="L42" s="137">
        <f>SUM('Costs'!E36)*'Costs'!F36/12*'Responsibilities'!$C$12+SUM('Costs'!E37)*'Costs'!F37/12*'Responsibilities'!$C$13+SUM('Costs'!E38)*'Costs'!F38/12*'Responsibilities'!$C$14+SUM('Costs'!E39)*'Costs'!F39/12*'Responsibilities'!$C$15+SUM('Costs'!E40)*'Costs'!F40/12*'Responsibilities'!$C$16+BZ42</f>
        <v/>
      </c>
      <c r="M42" s="137">
        <f>('Sites'!E6*'Capital'!E6*(IF(1='Capital'!G6,'Capital'!F6,0)+IF(1='Capital'!H6,1-'Capital'!F6,0)))*'Responsibilities'!$G$6+('Sites'!E7*'Capital'!E7*(IF(1='Capital'!G7+'Cases'!G7,'Capital'!F7,0)+IF(1='Capital'!H7+'Cases'!G7,1-'Capital'!F7,0)))*'Responsibilities'!$G$7+('Sites'!E8*'Cases'!F7*'Capital'!E8*(IF(1='Capital'!G8+'Cases'!G7,'Capital'!F8,0)+IF(1='Capital'!H8+'Cases'!G7,1-'Capital'!F8,0)))*'Responsibilities'!$G$8</f>
        <v/>
      </c>
      <c r="N42" s="137">
        <f>SUM(G42:M42)</f>
        <v/>
      </c>
      <c r="O42" s="137">
        <f>SUMIFS(FundingTranches[Secured amount],FundingTranches[Instrument],"Grant",FundingTranches[Secured month],1)</f>
        <v/>
      </c>
      <c r="P42" s="137">
        <f>SUMIFS(FundingTranches[Smaller possible],FundingTranches[Instrument],"Grant",FundingTranches[Scenario month],1-'Cases'!$D$7)</f>
        <v/>
      </c>
      <c r="Q42" s="137">
        <f>SUMIFS(FundingTranches[Secured amount],FundingTranches[Instrument],"Loan",FundingTranches[Secured month],1)</f>
        <v/>
      </c>
      <c r="R42" s="137">
        <f>SUMIFS(FundingTranches[Smaller possible],FundingTranches[Instrument],"Loan",FundingTranches[Scenario month],1-'Cases'!$D$7)</f>
        <v/>
      </c>
      <c r="S42" s="137">
        <f>IF(1&lt;='Assumptions'!$B$34,0,SUMIFS('Production schedule'!$AL$114:$AL$221,'Production schedule'!$C$114:$C$221,1-'Assumptions'!$B$34))</f>
        <v/>
      </c>
      <c r="T42" s="137">
        <f>'Assumptions'!D70</f>
        <v/>
      </c>
      <c r="U42" s="137">
        <f>'Assumptions'!D78</f>
        <v/>
      </c>
      <c r="V42" s="137">
        <f>SUM(O42:U42)</f>
        <v/>
      </c>
      <c r="W42" s="137">
        <f>0</f>
        <v/>
      </c>
      <c r="X42" s="137">
        <f>SUM(Q42:R42)</f>
        <v/>
      </c>
      <c r="Y42" s="137">
        <f>SUM(W42,X42)*'Assumptions'!$B$39/12</f>
        <v/>
      </c>
      <c r="Z42" s="137">
        <f>IF(SUM(W42,X42)&gt;0,MIN(SUM(W42,X42),MAX(0,BP42-Y42)),0)</f>
        <v/>
      </c>
      <c r="AA42" s="137">
        <f>SUM(W42,X42)-Z42</f>
        <v/>
      </c>
      <c r="AB42" s="137">
        <f>SUM(Y42:Z42)</f>
        <v/>
      </c>
      <c r="AC42" s="137">
        <f>'Assumptions'!D72</f>
        <v/>
      </c>
      <c r="AD42" s="137">
        <f>'Assumptions'!D73</f>
        <v/>
      </c>
      <c r="AE42" s="137">
        <f>IF(X42&gt;0,SUM('Assumptions'!$B$42),0)</f>
        <v/>
      </c>
      <c r="AF42" s="137">
        <f>'Assumptions'!D71</f>
        <v/>
      </c>
      <c r="AG42" s="137">
        <f>'Assumptions'!D74</f>
        <v/>
      </c>
      <c r="AH42" s="137">
        <f>'Assumptions'!D75</f>
        <v/>
      </c>
      <c r="AI42" s="137">
        <f>'Assumptions'!D77</f>
        <v/>
      </c>
      <c r="AJ42" s="137">
        <f>V42-N42-SUM(AB42:AI42)</f>
        <v/>
      </c>
      <c r="AK42" s="137">
        <f>SUM(AJ42:AJ42)</f>
        <v/>
      </c>
      <c r="AL42" s="137">
        <f>IF(ISNUMBER('Assumptions'!$B$10),'Assumptions'!$B$10+AK42,"")</f>
        <v/>
      </c>
      <c r="AM42" s="137">
        <f>SUM(O42,Q42,T42)-N42-SUM(AC42:AI42)+IF('Funding'!$N$11=0,AE42,0)-IF('Funding'!$N$11&gt;0,AB42,0)</f>
        <v/>
      </c>
      <c r="AN42" s="137">
        <f>SUM(AM42:AM42)</f>
        <v/>
      </c>
      <c r="AO42" s="137">
        <f>IF(ISNUMBER('Assumptions'!$B$10),'Assumptions'!$B$10+AN42,"")</f>
        <v/>
      </c>
      <c r="AP42" s="137">
        <f>('Production schedule'!AK114)*'Responsibilities'!$C$6+('Production schedule'!AK150)*'Responsibilities'!$C$7+('Production schedule'!AK186)*'Responsibilities'!$C$8</f>
        <v/>
      </c>
      <c r="AQ42" s="137">
        <f>SUMIFS('Production schedule'!$AL$114:$AL$221,'Production schedule'!$C$114:$C$221,1)</f>
        <v/>
      </c>
      <c r="AR42" s="137">
        <f>IF(ISNUMBER('Assumptions'!D76),'Assumptions'!D76,SUM(O42:P42))</f>
        <v/>
      </c>
      <c r="AS42" s="137">
        <f>IF(ISNUMBER('Assumptions'!$B$13),MIN('Assumptions'!$B$13/'Assumptions'!$B$18/12,MAX(0,'Assumptions'!$B$13-(1-1)*'Assumptions'!$B$13/'Assumptions'!$B$18/12)),0)+IF(AND('Sites'!E6=1,1&gt;=('Sites'!F6),1&lt;('Sites'!F6)+'Assumptions'!$B$18*12),'Capital'!E6/'Assumptions'!$B$18/12,0)+IF(AND('Sites'!E7=1,1&gt;=('Sites'!F7+'Cases'!G7),1&lt;('Sites'!F7+'Cases'!G7)+'Assumptions'!$B$18*12),'Capital'!E7/'Assumptions'!$B$18/12,0)+IF(AND('Sites'!E8*'Cases'!F7=1,1&gt;=('Sites'!F8+'Cases'!G7),1&lt;('Sites'!F8+'Cases'!G7)+'Assumptions'!$B$18*12),'Capital'!E8/'Assumptions'!$B$18/12,0)</f>
        <v/>
      </c>
      <c r="AT42" s="137">
        <f>SUM(AQ42,AR42,U42)-AP42-SUM(H42:L42)-AS42-SUM(Y42,AD42,AE42,AH42)</f>
        <v/>
      </c>
      <c r="AU42" s="137">
        <f>IF(ISNUMBER('Assumptions'!$B$19),MAX(0,SUM(AT42:AT42))*'Assumptions'!$B$19-0,"")</f>
        <v/>
      </c>
      <c r="AV42" s="137">
        <f>IF(ISNUMBER(AU42),AT42-AU42,"")</f>
        <v/>
      </c>
      <c r="AW42" s="137">
        <f>IF(ISNUMBER('Assumptions'!$B$11),'Assumptions'!$B$11+SUM(AQ42:AQ42)-SUM(S42:S42)-SUM(T42:T42),"")</f>
        <v/>
      </c>
      <c r="AX42" s="137">
        <f>IF(ISNUMBER('Assumptions'!$B$12),'Assumptions'!$B$12+SUM(G42:G42)-SUM(AP42:AP42),"")</f>
        <v/>
      </c>
      <c r="AY42" s="137">
        <f>IF(ISNUMBER('Assumptions'!$B$13),'Assumptions'!$B$13+SUM(M42:M42)-SUM(AS42:AS42),"")</f>
        <v/>
      </c>
      <c r="AZ42" s="137">
        <f>IF(ISNUMBER('Assumptions'!$B$14),'Assumptions'!$B$14+-SUM(AF42:AF42),"")</f>
        <v/>
      </c>
      <c r="BA42" s="137">
        <f>IF(ISNUMBER('Assumptions'!$B$15),'Assumptions'!$B$15+SUM(O42:O42)+SUM(P42:P42)-SUM(AR42:AR42),"")</f>
        <v/>
      </c>
      <c r="BB42" s="137">
        <f>IF(ISNUMBER('Assumptions'!$B$16),'Assumptions'!$B$16+-SUM(AC42:AC42),"")</f>
        <v/>
      </c>
      <c r="BC42" s="137">
        <f>IF(AND(ISNUMBER('Assumptions'!$B$21),ISNUMBER('Assumptions'!$B$19)),'Assumptions'!$B$21+SUM(AU42:AU42)-SUM(AG42:AG42),"")</f>
        <v/>
      </c>
      <c r="BD42" s="137">
        <f>IF(ISNUMBER('Assumptions'!$B$20),'Assumptions'!$B$20+-SUM(AI42:AI42),"")</f>
        <v/>
      </c>
      <c r="BE42" s="137">
        <f>IF(AND(ISNUMBER('Assumptions'!$B$17),COUNT(AV42:AV42)=1),'Assumptions'!$B$17+SUM(AV42:AV42),"")</f>
        <v/>
      </c>
      <c r="BF42" s="137">
        <f>IF(COUNT(AL42,AW42:AY42)=4,SUM(AL42,AW42:AY42),"")</f>
        <v/>
      </c>
      <c r="BG42" s="137">
        <f>IF(COUNT(AZ42:BD42)=5,SUM(AZ42:BD42,AA42),"")</f>
        <v/>
      </c>
      <c r="BH42" s="137">
        <f>IF(COUNT(BF42,BG42,BE42)=3,BF42-BG42-BE42,"")</f>
        <v/>
      </c>
      <c r="BI42" s="137">
        <f>SUM(W42,X42)-Z42-AA42</f>
        <v/>
      </c>
      <c r="BJ42" s="137">
        <f>8-COUNT('Assumptions'!D58:D65)+COUNTBLANK('NM Play'!B33:B34)+'Costs'!E44+IF(AND('Sites'!E6=1,('Sites'!F6)&lt;=12,'Sites'!G6&gt;=1),IF(ISNUMBER('Sites'!O6),0,1)+'Capital'!I6+COUNTBLANK('Sites'!R6)+IF('Sites'!D6="NM crew",COUNTBLANK('NM Play'!B25)+1,5-COUNT('Assumptions'!D112:D116)),0)+IF(AND('Sites'!E7=1,('Sites'!F7+'Cases'!G7)&lt;=12,'Sites'!G7&gt;=1),IF(ISNUMBER('Sites'!O7),0,1)+'Capital'!I7+COUNTBLANK('Sites'!R7)+IF('Sites'!D7="NM crew",COUNTBLANK('NM Play'!B25)+1,5-COUNT('Assumptions'!D117:D121)),0)+IF(AND('Sites'!E8*'Cases'!F7=1,('Sites'!F8+'Cases'!G7)&lt;=12,'Sites'!G8&gt;=1),IF(ISNUMBER('Sites'!O8),0,1)+'Capital'!I8+COUNTBLANK('Sites'!R8)+IF('Sites'!D8="NM crew",COUNTBLANK('NM Play'!B25)+1,5-COUNT('Assumptions'!D122:D126)),0)+IF(AND('Cases'!C7&gt;0,NOT(ISNUMBER('Assumptions'!B42))),1,0)+'Responsibilities'!$B$39</f>
        <v/>
      </c>
      <c r="BK42" s="137">
        <f>'Assumptions'!$B$50+'NM Play'!$B$83+'Funding'!$F$20+SUMIFS('Production schedule'!$AN$114:$AN$221,'Production schedule'!$C$114:$C$221,1)+IF(OR('Cases'!E7&lt;0,'Cases'!E7&gt;1,'Cases'!C7&lt;0,'Cases'!D7&lt;0,ABS(SUM('Sites'!S6:S8)-1)&gt;0.0001,MIN('Capital'!F6:F8)&lt;0,MAX('Capital'!F6:F8)&gt;1,MIN(AX42,AZ42,BB42,BA42)&lt;-0.01),1,0)+'Responsibilities'!$B$40</f>
        <v/>
      </c>
      <c r="BL42" s="137">
        <f>SUMIFS('Production schedule'!$T$114:$T$221,'Production schedule'!$C$114:$C$221,1)</f>
        <v/>
      </c>
      <c r="BM42" s="137">
        <f>D42*'NM Play'!$B$38</f>
        <v/>
      </c>
      <c r="BN42" s="137">
        <f>SUMIFS('Production schedule'!$AM$114:$AM$221,'Production schedule'!$C$114:$C$221,1)</f>
        <v/>
      </c>
      <c r="BO42" s="137">
        <f>AK42-0-AJ42</f>
        <v/>
      </c>
      <c r="BP42" s="137">
        <f>IF(AND('Assumptions'!$B$39&gt;=0,'Assumptions'!$B$40&gt;0),-PMT('Assumptions'!$B$39/12,'Assumptions'!$B$40*12,IF('Funding'!$N$11&gt;0,'Funding'!$N$11,'Funding'!$S$11)),"")</f>
        <v/>
      </c>
      <c r="BQ42">
        <f>('Production schedule'!AJ114)*(1-'Responsibilities'!$C$6)+('Production schedule'!AJ150)*(1-'Responsibilities'!$C$7)+('Production schedule'!AJ186)*(1-'Responsibilities'!$C$8)</f>
        <v/>
      </c>
      <c r="BR42">
        <f>('Production schedule'!AI114)*(1-'Responsibilities'!$D$6)+('Production schedule'!AI150)*(1-'Responsibilities'!$D$7)+('Production schedule'!AI186)*(1-'Responsibilities'!$D$8)</f>
        <v/>
      </c>
      <c r="BS42">
        <f>('Production schedule'!E114*(IF('Sites'!D6="Annual staff",SUM('Assumptions'!D112,'Assumptions'!D114),0)+SUM('Assumptions'!D113,'Assumptions'!D115:D116)))*(1-'Responsibilities'!$E$6)+('Production schedule'!E150*(IF('Sites'!D7="Annual staff",SUM('Assumptions'!D117,'Assumptions'!D119),0)+SUM('Assumptions'!D118,'Assumptions'!D120:D121)))*(1-'Responsibilities'!$E$7)+('Production schedule'!E186*(IF('Sites'!D8="Annual staff",SUM('Assumptions'!D122,'Assumptions'!D124),0)+SUM('Assumptions'!D123,'Assumptions'!D125:D126)))*(1-'Responsibilities'!$E$8)</f>
        <v/>
      </c>
      <c r="BT42">
        <f>(IF(AND('Production schedule'!E114=1,1=MAX(('Sites'!F6),1),ISNUMBER('Sites'!O6)),'Sites'!O6*'Assumptions'!$B$44,0))*(1-'Responsibilities'!$F$6)+(IF(AND('Production schedule'!E150=1,1=MAX(('Sites'!F7+'Cases'!G7),1),ISNUMBER('Sites'!O7)),'Sites'!O7*'Assumptions'!$B$44,0))*(1-'Responsibilities'!$F$7)+(IF(AND('Production schedule'!E186=1,1=MAX(('Sites'!F8+'Cases'!G7),1),ISNUMBER('Sites'!O8)),'Sites'!O8*'Assumptions'!$B$44,0))*(1-'Responsibilities'!$F$8)</f>
        <v/>
      </c>
      <c r="BU42">
        <f>SUM('Costs'!E36)*'Costs'!F36/12*(1-'Responsibilities'!$C$12)+SUM('Costs'!E37)*'Costs'!F37/12*(1-'Responsibilities'!$C$13)+SUM('Costs'!E38)*'Costs'!F38/12*(1-'Responsibilities'!$C$14)+SUM('Costs'!E39)*'Costs'!F39/12*(1-'Responsibilities'!$C$15)+SUM('Costs'!E40)*'Costs'!F40/12*(1-'Responsibilities'!$C$16)</f>
        <v/>
      </c>
      <c r="BV42">
        <f>('Sites'!E6*'Capital'!E6*(IF(1='Capital'!G6,'Capital'!F6,0)+IF(1='Capital'!H6,1-'Capital'!F6,0)))*(1-'Responsibilities'!$G$6)+('Sites'!E7*'Capital'!E7*(IF(1='Capital'!G7+'Cases'!G7,'Capital'!F7,0)+IF(1='Capital'!H7+'Cases'!G7,1-'Capital'!F7,0)))*(1-'Responsibilities'!$G$7)+('Sites'!E8*'Cases'!F7*'Capital'!E8*(IF(1='Capital'!G8+'Cases'!G7,'Capital'!F8,0)+IF(1='Capital'!H8+'Cases'!G7,1-'Capital'!F8,0)))*(1-'Responsibilities'!$G$8)</f>
        <v/>
      </c>
      <c r="BW42">
        <f>SUM(BQ42:BV42)</f>
        <v/>
      </c>
      <c r="BX42">
        <f>N42+BW42</f>
        <v/>
      </c>
      <c r="BY42">
        <f>BX42-(('Production schedule'!AJ114)*'Responsibilities'!$C$6+('Production schedule'!AJ150)*'Responsibilities'!$C$7+('Production schedule'!AJ186)*'Responsibilities'!$C$8+('Production schedule'!AJ114)*(1-'Responsibilities'!$C$6)+('Production schedule'!AJ150)*(1-'Responsibilities'!$C$7)+('Production schedule'!AJ186)*(1-'Responsibilities'!$C$8)+('Production schedule'!AI114)*'Responsibilities'!$D$6+('Production schedule'!AI150)*'Responsibilities'!$D$7+('Production schedule'!AI186)*'Responsibilities'!$D$8+('Production schedule'!AI114)*(1-'Responsibilities'!$D$6)+('Production schedule'!AI150)*(1-'Responsibilities'!$D$7)+('Production schedule'!AI186)*(1-'Responsibilities'!$D$8)+('Production schedule'!E114*(IF('Sites'!D6="Annual staff",SUM('Assumptions'!D112,'Assumptions'!D114),0)+SUM('Assumptions'!D113,'Assumptions'!D115:D116)))*'Responsibilities'!$E$6+('Production schedule'!E150*(IF('Sites'!D7="Annual staff",SUM('Assumptions'!D117,'Assumptions'!D119),0)+SUM('Assumptions'!D118,'Assumptions'!D120:D121)))*'Responsibilities'!$E$7+('Production schedule'!E186*(IF('Sites'!D8="Annual staff",SUM('Assumptions'!D122,'Assumptions'!D124),0)+SUM('Assumptions'!D123,'Assumptions'!D125:D126)))*'Responsibilities'!$E$8+('Production schedule'!E114*(IF('Sites'!D6="Annual staff",SUM('Assumptions'!D112,'Assumptions'!D114),0)+SUM('Assumptions'!D113,'Assumptions'!D115:D116)))*(1-'Responsibilities'!$E$6)+('Production schedule'!E150*(IF('Sites'!D7="Annual staff",SUM('Assumptions'!D117,'Assumptions'!D119),0)+SUM('Assumptions'!D118,'Assumptions'!D120:D121)))*(1-'Responsibilities'!$E$7)+('Production schedule'!E186*(IF('Sites'!D8="Annual staff",SUM('Assumptions'!D122,'Assumptions'!D124),0)+SUM('Assumptions'!D123,'Assumptions'!D125:D126)))*(1-'Responsibilities'!$E$8)+(IF(AND('Production schedule'!E114=1,1=MAX(('Sites'!F6),1),ISNUMBER('Sites'!O6)),'Sites'!O6*'Assumptions'!$B$44,0))*'Responsibilities'!$F$6+(IF(AND('Production schedule'!E150=1,1=MAX(('Sites'!F7+'Cases'!G7),1),ISNUMBER('Sites'!O7)),'Sites'!O7*'Assumptions'!$B$44,0))*'Responsibilities'!$F$7+(IF(AND('Production schedule'!E186=1,1=MAX(('Sites'!F8+'Cases'!G7),1),ISNUMBER('Sites'!O8)),'Sites'!O8*'Assumptions'!$B$44,0))*'Responsibilities'!$F$8+(IF(AND('Production schedule'!E114=1,1=MAX(('Sites'!F6),1),ISNUMBER('Sites'!O6)),'Sites'!O6*'Assumptions'!$B$44,0))*(1-'Responsibilities'!$F$6)+(IF(AND('Production schedule'!E150=1,1=MAX(('Sites'!F7+'Cases'!G7),1),ISNUMBER('Sites'!O7)),'Sites'!O7*'Assumptions'!$B$44,0))*(1-'Responsibilities'!$F$7)+(IF(AND('Production schedule'!E186=1,1=MAX(('Sites'!F8+'Cases'!G7),1),ISNUMBER('Sites'!O8)),'Sites'!O8*'Assumptions'!$B$44,0))*(1-'Responsibilities'!$F$8)+('Sites'!E6*'Capital'!E6*(IF(1='Capital'!G6,'Capital'!F6,0)+IF(1='Capital'!H6,1-'Capital'!F6,0)))*'Responsibilities'!$G$6+('Sites'!E7*'Capital'!E7*(IF(1='Capital'!G7+'Cases'!G7,'Capital'!F7,0)+IF(1='Capital'!H7+'Cases'!G7,1-'Capital'!F7,0)))*'Responsibilities'!$G$7+('Sites'!E8*'Cases'!F7*'Capital'!E8*(IF(1='Capital'!G8+'Cases'!G7,'Capital'!F8,0)+IF(1='Capital'!H8+'Cases'!G7,1-'Capital'!F8,0)))*'Responsibilities'!$G$8+('Sites'!E6*'Capital'!E6*(IF(1='Capital'!G6,'Capital'!F6,0)+IF(1='Capital'!H6,1-'Capital'!F6,0)))*(1-'Responsibilities'!$G$6)+('Sites'!E7*'Capital'!E7*(IF(1='Capital'!G7+'Cases'!G7,'Capital'!F7,0)+IF(1='Capital'!H7+'Cases'!G7,1-'Capital'!F7,0)))*(1-'Responsibilities'!$G$7)+('Sites'!E8*'Cases'!F7*'Capital'!E8*(IF(1='Capital'!G8+'Cases'!G7,'Capital'!F8,0)+IF(1='Capital'!H8+'Cases'!G7,1-'Capital'!F8,0)))*(1-'Responsibilities'!$G$8)+I42+SUMPRODUCT('Costs'!$E$36:$E$40,'Costs'!$F$36:$F$40)/12+BZ42)</f>
        <v/>
      </c>
      <c r="BZ42">
        <f>SUMIFS('Responsibilities'!$B$31:$B$35,'Responsibilities'!$C$31:$C$35,1,'Responsibilities'!$D$31:$D$35,"Yes")</f>
        <v/>
      </c>
    </row>
    <row r="43" ht="28" customHeight="1">
      <c r="A43" s="4" t="inlineStr">
        <is>
          <t>Smaller</t>
        </is>
      </c>
      <c r="B43" s="4" t="n">
        <v>2</v>
      </c>
      <c r="C43" s="4">
        <f>ROUNDUP(B43/12,0)</f>
        <v/>
      </c>
      <c r="D43" s="137">
        <f>SUMIFS('Production schedule'!$N$114:$N$221,'Production schedule'!$C$114:$C$221,2)</f>
        <v/>
      </c>
      <c r="E43" s="137">
        <f>SUMIFS('Production schedule'!$Y$114:$Y$221,'Production schedule'!$C$114:$C$221,2)</f>
        <v/>
      </c>
      <c r="F43" s="137">
        <f>SUMIFS('Production schedule'!$Z$114:$Z$221,'Production schedule'!$C$114:$C$221,2)</f>
        <v/>
      </c>
      <c r="G43" s="137">
        <f>('Production schedule'!AJ115)*'Responsibilities'!$C$6+('Production schedule'!AJ151)*'Responsibilities'!$C$7+('Production schedule'!AJ187)*'Responsibilities'!$C$8</f>
        <v/>
      </c>
      <c r="H43" s="137">
        <f>('Production schedule'!AI115)*'Responsibilities'!$D$6+('Production schedule'!AI151)*'Responsibilities'!$D$7+('Production schedule'!AI187)*'Responsibilities'!$D$8</f>
        <v/>
      </c>
      <c r="I43" s="137">
        <f>SUM('Assumptions'!E58:E65)</f>
        <v/>
      </c>
      <c r="J43" s="137">
        <f>('Production schedule'!E115*(IF('Sites'!D6="Annual staff",SUM('Assumptions'!E112,'Assumptions'!E114),0)+SUM('Assumptions'!E113,'Assumptions'!E115:E116)))*'Responsibilities'!$E$6+('Production schedule'!E151*(IF('Sites'!D7="Annual staff",SUM('Assumptions'!E117,'Assumptions'!E119),0)+SUM('Assumptions'!E118,'Assumptions'!E120:E121)))*'Responsibilities'!$E$7+('Production schedule'!E187*(IF('Sites'!D8="Annual staff",SUM('Assumptions'!E122,'Assumptions'!E124),0)+SUM('Assumptions'!E123,'Assumptions'!E125:E126)))*'Responsibilities'!$E$8</f>
        <v/>
      </c>
      <c r="K43" s="137">
        <f>(IF(AND('Production schedule'!E115=1,2=MAX(('Sites'!F6),1),ISNUMBER('Sites'!O6)),'Sites'!O6*'Assumptions'!$B$44,0))*'Responsibilities'!$F$6+(IF(AND('Production schedule'!E151=1,2=MAX(('Sites'!F7+'Cases'!G7),1),ISNUMBER('Sites'!O7)),'Sites'!O7*'Assumptions'!$B$44,0))*'Responsibilities'!$F$7+(IF(AND('Production schedule'!E187=1,2=MAX(('Sites'!F8+'Cases'!G7),1),ISNUMBER('Sites'!O8)),'Sites'!O8*'Assumptions'!$B$44,0))*'Responsibilities'!$F$8</f>
        <v/>
      </c>
      <c r="L43" s="137">
        <f>SUM('Costs'!E36)*'Costs'!F36/12*'Responsibilities'!$C$12+SUM('Costs'!E37)*'Costs'!F37/12*'Responsibilities'!$C$13+SUM('Costs'!E38)*'Costs'!F38/12*'Responsibilities'!$C$14+SUM('Costs'!E39)*'Costs'!F39/12*'Responsibilities'!$C$15+SUM('Costs'!E40)*'Costs'!F40/12*'Responsibilities'!$C$16+BZ43</f>
        <v/>
      </c>
      <c r="M43" s="137">
        <f>('Sites'!E6*'Capital'!E6*(IF(2='Capital'!G6,'Capital'!F6,0)+IF(2='Capital'!H6,1-'Capital'!F6,0)))*'Responsibilities'!$G$6+('Sites'!E7*'Capital'!E7*(IF(2='Capital'!G7+'Cases'!G7,'Capital'!F7,0)+IF(2='Capital'!H7+'Cases'!G7,1-'Capital'!F7,0)))*'Responsibilities'!$G$7+('Sites'!E8*'Cases'!F7*'Capital'!E8*(IF(2='Capital'!G8+'Cases'!G7,'Capital'!F8,0)+IF(2='Capital'!H8+'Cases'!G7,1-'Capital'!F8,0)))*'Responsibilities'!$G$8</f>
        <v/>
      </c>
      <c r="N43" s="137">
        <f>SUM(G43:M43)</f>
        <v/>
      </c>
      <c r="O43" s="137">
        <f>SUMIFS(FundingTranches[Secured amount],FundingTranches[Instrument],"Grant",FundingTranches[Secured month],2)</f>
        <v/>
      </c>
      <c r="P43" s="137">
        <f>SUMIFS(FundingTranches[Smaller possible],FundingTranches[Instrument],"Grant",FundingTranches[Scenario month],2-'Cases'!$D$7)</f>
        <v/>
      </c>
      <c r="Q43" s="137">
        <f>SUMIFS(FundingTranches[Secured amount],FundingTranches[Instrument],"Loan",FundingTranches[Secured month],2)</f>
        <v/>
      </c>
      <c r="R43" s="137">
        <f>SUMIFS(FundingTranches[Smaller possible],FundingTranches[Instrument],"Loan",FundingTranches[Scenario month],2-'Cases'!$D$7)</f>
        <v/>
      </c>
      <c r="S43" s="137">
        <f>IF(2&lt;='Assumptions'!$B$34,0,SUMIFS('Production schedule'!$AL$114:$AL$221,'Production schedule'!$C$114:$C$221,2-'Assumptions'!$B$34))</f>
        <v/>
      </c>
      <c r="T43" s="137">
        <f>'Assumptions'!E70</f>
        <v/>
      </c>
      <c r="U43" s="137">
        <f>'Assumptions'!E78</f>
        <v/>
      </c>
      <c r="V43" s="137">
        <f>SUM(O43:U43)</f>
        <v/>
      </c>
      <c r="W43" s="137">
        <f>AA42</f>
        <v/>
      </c>
      <c r="X43" s="137">
        <f>SUM(Q43:R43)</f>
        <v/>
      </c>
      <c r="Y43" s="137">
        <f>SUM(W43,X43)*'Assumptions'!$B$39/12</f>
        <v/>
      </c>
      <c r="Z43" s="137">
        <f>IF(SUM(W43,X43)&gt;0,MIN(SUM(W43,X43),MAX(0,BP43-Y43)),0)</f>
        <v/>
      </c>
      <c r="AA43" s="137">
        <f>SUM(W43,X43)-Z43</f>
        <v/>
      </c>
      <c r="AB43" s="137">
        <f>SUM(Y43:Z43)</f>
        <v/>
      </c>
      <c r="AC43" s="137">
        <f>'Assumptions'!E72</f>
        <v/>
      </c>
      <c r="AD43" s="137">
        <f>'Assumptions'!E73</f>
        <v/>
      </c>
      <c r="AE43" s="137">
        <f>IF(X43&gt;0,SUM('Assumptions'!$B$42),0)</f>
        <v/>
      </c>
      <c r="AF43" s="137">
        <f>'Assumptions'!E71</f>
        <v/>
      </c>
      <c r="AG43" s="137">
        <f>'Assumptions'!E74</f>
        <v/>
      </c>
      <c r="AH43" s="137">
        <f>'Assumptions'!E75</f>
        <v/>
      </c>
      <c r="AI43" s="137">
        <f>'Assumptions'!E77</f>
        <v/>
      </c>
      <c r="AJ43" s="137">
        <f>V43-N43-SUM(AB43:AI43)</f>
        <v/>
      </c>
      <c r="AK43" s="137">
        <f>SUM(AJ42:AJ43)</f>
        <v/>
      </c>
      <c r="AL43" s="137">
        <f>IF(ISNUMBER('Assumptions'!$B$10),'Assumptions'!$B$10+AK43,"")</f>
        <v/>
      </c>
      <c r="AM43" s="137">
        <f>SUM(O43,Q43,T43)-N43-SUM(AC43:AI43)+IF('Funding'!$N$11=0,AE43,0)-IF('Funding'!$N$11&gt;0,AB43,0)</f>
        <v/>
      </c>
      <c r="AN43" s="137">
        <f>SUM(AM42:AM43)</f>
        <v/>
      </c>
      <c r="AO43" s="137">
        <f>IF(ISNUMBER('Assumptions'!$B$10),'Assumptions'!$B$10+AN43,"")</f>
        <v/>
      </c>
      <c r="AP43" s="137">
        <f>('Production schedule'!AK115)*'Responsibilities'!$C$6+('Production schedule'!AK151)*'Responsibilities'!$C$7+('Production schedule'!AK187)*'Responsibilities'!$C$8</f>
        <v/>
      </c>
      <c r="AQ43" s="137">
        <f>SUMIFS('Production schedule'!$AL$114:$AL$221,'Production schedule'!$C$114:$C$221,2)</f>
        <v/>
      </c>
      <c r="AR43" s="137">
        <f>IF(ISNUMBER('Assumptions'!E76),'Assumptions'!E76,SUM(O43:P43))</f>
        <v/>
      </c>
      <c r="AS43" s="137">
        <f>IF(ISNUMBER('Assumptions'!$B$13),MIN('Assumptions'!$B$13/'Assumptions'!$B$18/12,MAX(0,'Assumptions'!$B$13-(2-1)*'Assumptions'!$B$13/'Assumptions'!$B$18/12)),0)+IF(AND('Sites'!E6=1,2&gt;=('Sites'!F6),2&lt;('Sites'!F6)+'Assumptions'!$B$18*12),'Capital'!E6/'Assumptions'!$B$18/12,0)+IF(AND('Sites'!E7=1,2&gt;=('Sites'!F7+'Cases'!G7),2&lt;('Sites'!F7+'Cases'!G7)+'Assumptions'!$B$18*12),'Capital'!E7/'Assumptions'!$B$18/12,0)+IF(AND('Sites'!E8*'Cases'!F7=1,2&gt;=('Sites'!F8+'Cases'!G7),2&lt;('Sites'!F8+'Cases'!G7)+'Assumptions'!$B$18*12),'Capital'!E8/'Assumptions'!$B$18/12,0)</f>
        <v/>
      </c>
      <c r="AT43" s="137">
        <f>SUM(AQ43,AR43,U43)-AP43-SUM(H43:L43)-AS43-SUM(Y43,AD43,AE43,AH43)</f>
        <v/>
      </c>
      <c r="AU43" s="137">
        <f>IF(ISNUMBER('Assumptions'!$B$19),MAX(0,SUM(AT42:AT43))*'Assumptions'!$B$19-SUM(AU42:AU42),"")</f>
        <v/>
      </c>
      <c r="AV43" s="137">
        <f>IF(ISNUMBER(AU43),AT43-AU43,"")</f>
        <v/>
      </c>
      <c r="AW43" s="137">
        <f>IF(ISNUMBER('Assumptions'!$B$11),'Assumptions'!$B$11+SUM(AQ42:AQ43)-SUM(S42:S43)-SUM(T42:T43),"")</f>
        <v/>
      </c>
      <c r="AX43" s="137">
        <f>IF(ISNUMBER('Assumptions'!$B$12),'Assumptions'!$B$12+SUM(G42:G43)-SUM(AP42:AP43),"")</f>
        <v/>
      </c>
      <c r="AY43" s="137">
        <f>IF(ISNUMBER('Assumptions'!$B$13),'Assumptions'!$B$13+SUM(M42:M43)-SUM(AS42:AS43),"")</f>
        <v/>
      </c>
      <c r="AZ43" s="137">
        <f>IF(ISNUMBER('Assumptions'!$B$14),'Assumptions'!$B$14+-SUM(AF42:AF43),"")</f>
        <v/>
      </c>
      <c r="BA43" s="137">
        <f>IF(ISNUMBER('Assumptions'!$B$15),'Assumptions'!$B$15+SUM(O42:O43)+SUM(P42:P43)-SUM(AR42:AR43),"")</f>
        <v/>
      </c>
      <c r="BB43" s="137">
        <f>IF(ISNUMBER('Assumptions'!$B$16),'Assumptions'!$B$16+-SUM(AC42:AC43),"")</f>
        <v/>
      </c>
      <c r="BC43" s="137">
        <f>IF(AND(ISNUMBER('Assumptions'!$B$21),ISNUMBER('Assumptions'!$B$19)),'Assumptions'!$B$21+SUM(AU42:AU43)-SUM(AG42:AG43),"")</f>
        <v/>
      </c>
      <c r="BD43" s="137">
        <f>IF(ISNUMBER('Assumptions'!$B$20),'Assumptions'!$B$20+-SUM(AI42:AI43),"")</f>
        <v/>
      </c>
      <c r="BE43" s="137">
        <f>IF(AND(ISNUMBER('Assumptions'!$B$17),COUNT(AV42:AV43)=2),'Assumptions'!$B$17+SUM(AV42:AV43),"")</f>
        <v/>
      </c>
      <c r="BF43" s="137">
        <f>IF(COUNT(AL43,AW43:AY43)=4,SUM(AL43,AW43:AY43),"")</f>
        <v/>
      </c>
      <c r="BG43" s="137">
        <f>IF(COUNT(AZ43:BD43)=5,SUM(AZ43:BD43,AA43),"")</f>
        <v/>
      </c>
      <c r="BH43" s="137">
        <f>IF(COUNT(BF43,BG43,BE43)=3,BF43-BG43-BE43,"")</f>
        <v/>
      </c>
      <c r="BI43" s="137">
        <f>SUM(W43,X43)-Z43-AA43</f>
        <v/>
      </c>
      <c r="BJ43" s="137">
        <f>8-COUNT('Assumptions'!E58:E65)+COUNTBLANK('NM Play'!B33:B34)+'Costs'!E44+IF(AND('Sites'!E6=1,('Sites'!F6)&lt;=12,'Sites'!G6&gt;=1),IF(ISNUMBER('Sites'!O6),0,1)+'Capital'!I6+COUNTBLANK('Sites'!R6)+IF('Sites'!D6="NM crew",COUNTBLANK('NM Play'!B25)+1,5-COUNT('Assumptions'!E112:E116)),0)+IF(AND('Sites'!E7=1,('Sites'!F7+'Cases'!G7)&lt;=12,'Sites'!G7&gt;=1),IF(ISNUMBER('Sites'!O7),0,1)+'Capital'!I7+COUNTBLANK('Sites'!R7)+IF('Sites'!D7="NM crew",COUNTBLANK('NM Play'!B25)+1,5-COUNT('Assumptions'!E117:E121)),0)+IF(AND('Sites'!E8*'Cases'!F7=1,('Sites'!F8+'Cases'!G7)&lt;=12,'Sites'!G8&gt;=1),IF(ISNUMBER('Sites'!O8),0,1)+'Capital'!I8+COUNTBLANK('Sites'!R8)+IF('Sites'!D8="NM crew",COUNTBLANK('NM Play'!B25)+1,5-COUNT('Assumptions'!E122:E126)),0)+IF(AND('Cases'!C7&gt;0,NOT(ISNUMBER('Assumptions'!B42))),1,0)+'Responsibilities'!$B$39</f>
        <v/>
      </c>
      <c r="BK43" s="137">
        <f>'Assumptions'!$B$50+'NM Play'!$B$83+'Funding'!$F$20+SUMIFS('Production schedule'!$AN$114:$AN$221,'Production schedule'!$C$114:$C$221,2)+IF(OR('Cases'!E7&lt;0,'Cases'!E7&gt;1,'Cases'!C7&lt;0,'Cases'!D7&lt;0,ABS(SUM('Sites'!S6:S8)-1)&gt;0.0001,MIN('Capital'!F6:F8)&lt;0,MAX('Capital'!F6:F8)&gt;1,MIN(AX43,AZ43,BB43,BA43)&lt;-0.01),1,0)+'Responsibilities'!$B$40</f>
        <v/>
      </c>
      <c r="BL43" s="137">
        <f>SUMIFS('Production schedule'!$T$114:$T$221,'Production schedule'!$C$114:$C$221,2)</f>
        <v/>
      </c>
      <c r="BM43" s="137">
        <f>D43*'NM Play'!$B$38</f>
        <v/>
      </c>
      <c r="BN43" s="137">
        <f>SUMIFS('Production schedule'!$AM$114:$AM$221,'Production schedule'!$C$114:$C$221,2)</f>
        <v/>
      </c>
      <c r="BO43" s="137">
        <f>AK43-AK42-AJ43</f>
        <v/>
      </c>
      <c r="BP43" s="137">
        <f>IF(AND('Assumptions'!$B$39&gt;=0,'Assumptions'!$B$40&gt;0),-PMT('Assumptions'!$B$39/12,'Assumptions'!$B$40*12,IF('Funding'!$N$11&gt;0,'Funding'!$N$11,'Funding'!$S$11)),"")</f>
        <v/>
      </c>
      <c r="BQ43">
        <f>('Production schedule'!AJ115)*(1-'Responsibilities'!$C$6)+('Production schedule'!AJ151)*(1-'Responsibilities'!$C$7)+('Production schedule'!AJ187)*(1-'Responsibilities'!$C$8)</f>
        <v/>
      </c>
      <c r="BR43">
        <f>('Production schedule'!AI115)*(1-'Responsibilities'!$D$6)+('Production schedule'!AI151)*(1-'Responsibilities'!$D$7)+('Production schedule'!AI187)*(1-'Responsibilities'!$D$8)</f>
        <v/>
      </c>
      <c r="BS43">
        <f>('Production schedule'!E115*(IF('Sites'!D6="Annual staff",SUM('Assumptions'!E112,'Assumptions'!E114),0)+SUM('Assumptions'!E113,'Assumptions'!E115:E116)))*(1-'Responsibilities'!$E$6)+('Production schedule'!E151*(IF('Sites'!D7="Annual staff",SUM('Assumptions'!E117,'Assumptions'!E119),0)+SUM('Assumptions'!E118,'Assumptions'!E120:E121)))*(1-'Responsibilities'!$E$7)+('Production schedule'!E187*(IF('Sites'!D8="Annual staff",SUM('Assumptions'!E122,'Assumptions'!E124),0)+SUM('Assumptions'!E123,'Assumptions'!E125:E126)))*(1-'Responsibilities'!$E$8)</f>
        <v/>
      </c>
      <c r="BT43">
        <f>(IF(AND('Production schedule'!E115=1,2=MAX(('Sites'!F6),1),ISNUMBER('Sites'!O6)),'Sites'!O6*'Assumptions'!$B$44,0))*(1-'Responsibilities'!$F$6)+(IF(AND('Production schedule'!E151=1,2=MAX(('Sites'!F7+'Cases'!G7),1),ISNUMBER('Sites'!O7)),'Sites'!O7*'Assumptions'!$B$44,0))*(1-'Responsibilities'!$F$7)+(IF(AND('Production schedule'!E187=1,2=MAX(('Sites'!F8+'Cases'!G7),1),ISNUMBER('Sites'!O8)),'Sites'!O8*'Assumptions'!$B$44,0))*(1-'Responsibilities'!$F$8)</f>
        <v/>
      </c>
      <c r="BU43">
        <f>SUM('Costs'!E36)*'Costs'!F36/12*(1-'Responsibilities'!$C$12)+SUM('Costs'!E37)*'Costs'!F37/12*(1-'Responsibilities'!$C$13)+SUM('Costs'!E38)*'Costs'!F38/12*(1-'Responsibilities'!$C$14)+SUM('Costs'!E39)*'Costs'!F39/12*(1-'Responsibilities'!$C$15)+SUM('Costs'!E40)*'Costs'!F40/12*(1-'Responsibilities'!$C$16)</f>
        <v/>
      </c>
      <c r="BV43">
        <f>('Sites'!E6*'Capital'!E6*(IF(2='Capital'!G6,'Capital'!F6,0)+IF(2='Capital'!H6,1-'Capital'!F6,0)))*(1-'Responsibilities'!$G$6)+('Sites'!E7*'Capital'!E7*(IF(2='Capital'!G7+'Cases'!G7,'Capital'!F7,0)+IF(2='Capital'!H7+'Cases'!G7,1-'Capital'!F7,0)))*(1-'Responsibilities'!$G$7)+('Sites'!E8*'Cases'!F7*'Capital'!E8*(IF(2='Capital'!G8+'Cases'!G7,'Capital'!F8,0)+IF(2='Capital'!H8+'Cases'!G7,1-'Capital'!F8,0)))*(1-'Responsibilities'!$G$8)</f>
        <v/>
      </c>
      <c r="BW43">
        <f>SUM(BQ43:BV43)</f>
        <v/>
      </c>
      <c r="BX43">
        <f>N43+BW43</f>
        <v/>
      </c>
      <c r="BY43">
        <f>BX43-(('Production schedule'!AJ115)*'Responsibilities'!$C$6+('Production schedule'!AJ151)*'Responsibilities'!$C$7+('Production schedule'!AJ187)*'Responsibilities'!$C$8+('Production schedule'!AJ115)*(1-'Responsibilities'!$C$6)+('Production schedule'!AJ151)*(1-'Responsibilities'!$C$7)+('Production schedule'!AJ187)*(1-'Responsibilities'!$C$8)+('Production schedule'!AI115)*'Responsibilities'!$D$6+('Production schedule'!AI151)*'Responsibilities'!$D$7+('Production schedule'!AI187)*'Responsibilities'!$D$8+('Production schedule'!AI115)*(1-'Responsibilities'!$D$6)+('Production schedule'!AI151)*(1-'Responsibilities'!$D$7)+('Production schedule'!AI187)*(1-'Responsibilities'!$D$8)+('Production schedule'!E115*(IF('Sites'!D6="Annual staff",SUM('Assumptions'!E112,'Assumptions'!E114),0)+SUM('Assumptions'!E113,'Assumptions'!E115:E116)))*'Responsibilities'!$E$6+('Production schedule'!E151*(IF('Sites'!D7="Annual staff",SUM('Assumptions'!E117,'Assumptions'!E119),0)+SUM('Assumptions'!E118,'Assumptions'!E120:E121)))*'Responsibilities'!$E$7+('Production schedule'!E187*(IF('Sites'!D8="Annual staff",SUM('Assumptions'!E122,'Assumptions'!E124),0)+SUM('Assumptions'!E123,'Assumptions'!E125:E126)))*'Responsibilities'!$E$8+('Production schedule'!E115*(IF('Sites'!D6="Annual staff",SUM('Assumptions'!E112,'Assumptions'!E114),0)+SUM('Assumptions'!E113,'Assumptions'!E115:E116)))*(1-'Responsibilities'!$E$6)+('Production schedule'!E151*(IF('Sites'!D7="Annual staff",SUM('Assumptions'!E117,'Assumptions'!E119),0)+SUM('Assumptions'!E118,'Assumptions'!E120:E121)))*(1-'Responsibilities'!$E$7)+('Production schedule'!E187*(IF('Sites'!D8="Annual staff",SUM('Assumptions'!E122,'Assumptions'!E124),0)+SUM('Assumptions'!E123,'Assumptions'!E125:E126)))*(1-'Responsibilities'!$E$8)+(IF(AND('Production schedule'!E115=1,2=MAX(('Sites'!F6),1),ISNUMBER('Sites'!O6)),'Sites'!O6*'Assumptions'!$B$44,0))*'Responsibilities'!$F$6+(IF(AND('Production schedule'!E151=1,2=MAX(('Sites'!F7+'Cases'!G7),1),ISNUMBER('Sites'!O7)),'Sites'!O7*'Assumptions'!$B$44,0))*'Responsibilities'!$F$7+(IF(AND('Production schedule'!E187=1,2=MAX(('Sites'!F8+'Cases'!G7),1),ISNUMBER('Sites'!O8)),'Sites'!O8*'Assumptions'!$B$44,0))*'Responsibilities'!$F$8+(IF(AND('Production schedule'!E115=1,2=MAX(('Sites'!F6),1),ISNUMBER('Sites'!O6)),'Sites'!O6*'Assumptions'!$B$44,0))*(1-'Responsibilities'!$F$6)+(IF(AND('Production schedule'!E151=1,2=MAX(('Sites'!F7+'Cases'!G7),1),ISNUMBER('Sites'!O7)),'Sites'!O7*'Assumptions'!$B$44,0))*(1-'Responsibilities'!$F$7)+(IF(AND('Production schedule'!E187=1,2=MAX(('Sites'!F8+'Cases'!G7),1),ISNUMBER('Sites'!O8)),'Sites'!O8*'Assumptions'!$B$44,0))*(1-'Responsibilities'!$F$8)+('Sites'!E6*'Capital'!E6*(IF(2='Capital'!G6,'Capital'!F6,0)+IF(2='Capital'!H6,1-'Capital'!F6,0)))*'Responsibilities'!$G$6+('Sites'!E7*'Capital'!E7*(IF(2='Capital'!G7+'Cases'!G7,'Capital'!F7,0)+IF(2='Capital'!H7+'Cases'!G7,1-'Capital'!F7,0)))*'Responsibilities'!$G$7+('Sites'!E8*'Cases'!F7*'Capital'!E8*(IF(2='Capital'!G8+'Cases'!G7,'Capital'!F8,0)+IF(2='Capital'!H8+'Cases'!G7,1-'Capital'!F8,0)))*'Responsibilities'!$G$8+('Sites'!E6*'Capital'!E6*(IF(2='Capital'!G6,'Capital'!F6,0)+IF(2='Capital'!H6,1-'Capital'!F6,0)))*(1-'Responsibilities'!$G$6)+('Sites'!E7*'Capital'!E7*(IF(2='Capital'!G7+'Cases'!G7,'Capital'!F7,0)+IF(2='Capital'!H7+'Cases'!G7,1-'Capital'!F7,0)))*(1-'Responsibilities'!$G$7)+('Sites'!E8*'Cases'!F7*'Capital'!E8*(IF(2='Capital'!G8+'Cases'!G7,'Capital'!F8,0)+IF(2='Capital'!H8+'Cases'!G7,1-'Capital'!F8,0)))*(1-'Responsibilities'!$G$8)+I43+SUMPRODUCT('Costs'!$E$36:$E$40,'Costs'!$F$36:$F$40)/12+BZ43)</f>
        <v/>
      </c>
      <c r="BZ43">
        <f>SUMIFS('Responsibilities'!$B$31:$B$35,'Responsibilities'!$C$31:$C$35,2,'Responsibilities'!$D$31:$D$35,"Yes")</f>
        <v/>
      </c>
    </row>
    <row r="44" ht="28" customHeight="1">
      <c r="A44" s="4" t="inlineStr">
        <is>
          <t>Smaller</t>
        </is>
      </c>
      <c r="B44" s="4" t="n">
        <v>3</v>
      </c>
      <c r="C44" s="4">
        <f>ROUNDUP(B44/12,0)</f>
        <v/>
      </c>
      <c r="D44" s="137">
        <f>SUMIFS('Production schedule'!$N$114:$N$221,'Production schedule'!$C$114:$C$221,3)</f>
        <v/>
      </c>
      <c r="E44" s="137">
        <f>SUMIFS('Production schedule'!$Y$114:$Y$221,'Production schedule'!$C$114:$C$221,3)</f>
        <v/>
      </c>
      <c r="F44" s="137">
        <f>SUMIFS('Production schedule'!$Z$114:$Z$221,'Production schedule'!$C$114:$C$221,3)</f>
        <v/>
      </c>
      <c r="G44" s="137">
        <f>('Production schedule'!AJ116)*'Responsibilities'!$C$6+('Production schedule'!AJ152)*'Responsibilities'!$C$7+('Production schedule'!AJ188)*'Responsibilities'!$C$8</f>
        <v/>
      </c>
      <c r="H44" s="137">
        <f>('Production schedule'!AI116)*'Responsibilities'!$D$6+('Production schedule'!AI152)*'Responsibilities'!$D$7+('Production schedule'!AI188)*'Responsibilities'!$D$8</f>
        <v/>
      </c>
      <c r="I44" s="137">
        <f>SUM('Assumptions'!F58:F65)</f>
        <v/>
      </c>
      <c r="J44" s="137">
        <f>('Production schedule'!E116*(IF('Sites'!D6="Annual staff",SUM('Assumptions'!F112,'Assumptions'!F114),0)+SUM('Assumptions'!F113,'Assumptions'!F115:F116)))*'Responsibilities'!$E$6+('Production schedule'!E152*(IF('Sites'!D7="Annual staff",SUM('Assumptions'!F117,'Assumptions'!F119),0)+SUM('Assumptions'!F118,'Assumptions'!F120:F121)))*'Responsibilities'!$E$7+('Production schedule'!E188*(IF('Sites'!D8="Annual staff",SUM('Assumptions'!F122,'Assumptions'!F124),0)+SUM('Assumptions'!F123,'Assumptions'!F125:F126)))*'Responsibilities'!$E$8</f>
        <v/>
      </c>
      <c r="K44" s="137">
        <f>(IF(AND('Production schedule'!E116=1,3=MAX(('Sites'!F6),1),ISNUMBER('Sites'!O6)),'Sites'!O6*'Assumptions'!$B$44,0))*'Responsibilities'!$F$6+(IF(AND('Production schedule'!E152=1,3=MAX(('Sites'!F7+'Cases'!G7),1),ISNUMBER('Sites'!O7)),'Sites'!O7*'Assumptions'!$B$44,0))*'Responsibilities'!$F$7+(IF(AND('Production schedule'!E188=1,3=MAX(('Sites'!F8+'Cases'!G7),1),ISNUMBER('Sites'!O8)),'Sites'!O8*'Assumptions'!$B$44,0))*'Responsibilities'!$F$8</f>
        <v/>
      </c>
      <c r="L44" s="137">
        <f>SUM('Costs'!E36)*'Costs'!F36/12*'Responsibilities'!$C$12+SUM('Costs'!E37)*'Costs'!F37/12*'Responsibilities'!$C$13+SUM('Costs'!E38)*'Costs'!F38/12*'Responsibilities'!$C$14+SUM('Costs'!E39)*'Costs'!F39/12*'Responsibilities'!$C$15+SUM('Costs'!E40)*'Costs'!F40/12*'Responsibilities'!$C$16+BZ44</f>
        <v/>
      </c>
      <c r="M44" s="137">
        <f>('Sites'!E6*'Capital'!E6*(IF(3='Capital'!G6,'Capital'!F6,0)+IF(3='Capital'!H6,1-'Capital'!F6,0)))*'Responsibilities'!$G$6+('Sites'!E7*'Capital'!E7*(IF(3='Capital'!G7+'Cases'!G7,'Capital'!F7,0)+IF(3='Capital'!H7+'Cases'!G7,1-'Capital'!F7,0)))*'Responsibilities'!$G$7+('Sites'!E8*'Cases'!F7*'Capital'!E8*(IF(3='Capital'!G8+'Cases'!G7,'Capital'!F8,0)+IF(3='Capital'!H8+'Cases'!G7,1-'Capital'!F8,0)))*'Responsibilities'!$G$8</f>
        <v/>
      </c>
      <c r="N44" s="137">
        <f>SUM(G44:M44)</f>
        <v/>
      </c>
      <c r="O44" s="137">
        <f>SUMIFS(FundingTranches[Secured amount],FundingTranches[Instrument],"Grant",FundingTranches[Secured month],3)</f>
        <v/>
      </c>
      <c r="P44" s="137">
        <f>SUMIFS(FundingTranches[Smaller possible],FundingTranches[Instrument],"Grant",FundingTranches[Scenario month],3-'Cases'!$D$7)</f>
        <v/>
      </c>
      <c r="Q44" s="137">
        <f>SUMIFS(FundingTranches[Secured amount],FundingTranches[Instrument],"Loan",FundingTranches[Secured month],3)</f>
        <v/>
      </c>
      <c r="R44" s="137">
        <f>SUMIFS(FundingTranches[Smaller possible],FundingTranches[Instrument],"Loan",FundingTranches[Scenario month],3-'Cases'!$D$7)</f>
        <v/>
      </c>
      <c r="S44" s="137">
        <f>IF(3&lt;='Assumptions'!$B$34,0,SUMIFS('Production schedule'!$AL$114:$AL$221,'Production schedule'!$C$114:$C$221,3-'Assumptions'!$B$34))</f>
        <v/>
      </c>
      <c r="T44" s="137">
        <f>'Assumptions'!F70</f>
        <v/>
      </c>
      <c r="U44" s="137">
        <f>'Assumptions'!F78</f>
        <v/>
      </c>
      <c r="V44" s="137">
        <f>SUM(O44:U44)</f>
        <v/>
      </c>
      <c r="W44" s="137">
        <f>AA43</f>
        <v/>
      </c>
      <c r="X44" s="137">
        <f>SUM(Q44:R44)</f>
        <v/>
      </c>
      <c r="Y44" s="137">
        <f>SUM(W44,X44)*'Assumptions'!$B$39/12</f>
        <v/>
      </c>
      <c r="Z44" s="137">
        <f>IF(SUM(W44,X44)&gt;0,MIN(SUM(W44,X44),MAX(0,BP44-Y44)),0)</f>
        <v/>
      </c>
      <c r="AA44" s="137">
        <f>SUM(W44,X44)-Z44</f>
        <v/>
      </c>
      <c r="AB44" s="137">
        <f>SUM(Y44:Z44)</f>
        <v/>
      </c>
      <c r="AC44" s="137">
        <f>'Assumptions'!F72</f>
        <v/>
      </c>
      <c r="AD44" s="137">
        <f>'Assumptions'!F73</f>
        <v/>
      </c>
      <c r="AE44" s="137">
        <f>IF(X44&gt;0,SUM('Assumptions'!$B$42),0)</f>
        <v/>
      </c>
      <c r="AF44" s="137">
        <f>'Assumptions'!F71</f>
        <v/>
      </c>
      <c r="AG44" s="137">
        <f>'Assumptions'!F74</f>
        <v/>
      </c>
      <c r="AH44" s="137">
        <f>'Assumptions'!F75</f>
        <v/>
      </c>
      <c r="AI44" s="137">
        <f>'Assumptions'!F77</f>
        <v/>
      </c>
      <c r="AJ44" s="137">
        <f>V44-N44-SUM(AB44:AI44)</f>
        <v/>
      </c>
      <c r="AK44" s="137">
        <f>SUM(AJ42:AJ44)</f>
        <v/>
      </c>
      <c r="AL44" s="137">
        <f>IF(ISNUMBER('Assumptions'!$B$10),'Assumptions'!$B$10+AK44,"")</f>
        <v/>
      </c>
      <c r="AM44" s="137">
        <f>SUM(O44,Q44,T44)-N44-SUM(AC44:AI44)+IF('Funding'!$N$11=0,AE44,0)-IF('Funding'!$N$11&gt;0,AB44,0)</f>
        <v/>
      </c>
      <c r="AN44" s="137">
        <f>SUM(AM42:AM44)</f>
        <v/>
      </c>
      <c r="AO44" s="137">
        <f>IF(ISNUMBER('Assumptions'!$B$10),'Assumptions'!$B$10+AN44,"")</f>
        <v/>
      </c>
      <c r="AP44" s="137">
        <f>('Production schedule'!AK116)*'Responsibilities'!$C$6+('Production schedule'!AK152)*'Responsibilities'!$C$7+('Production schedule'!AK188)*'Responsibilities'!$C$8</f>
        <v/>
      </c>
      <c r="AQ44" s="137">
        <f>SUMIFS('Production schedule'!$AL$114:$AL$221,'Production schedule'!$C$114:$C$221,3)</f>
        <v/>
      </c>
      <c r="AR44" s="137">
        <f>IF(ISNUMBER('Assumptions'!F76),'Assumptions'!F76,SUM(O44:P44))</f>
        <v/>
      </c>
      <c r="AS44" s="137">
        <f>IF(ISNUMBER('Assumptions'!$B$13),MIN('Assumptions'!$B$13/'Assumptions'!$B$18/12,MAX(0,'Assumptions'!$B$13-(3-1)*'Assumptions'!$B$13/'Assumptions'!$B$18/12)),0)+IF(AND('Sites'!E6=1,3&gt;=('Sites'!F6),3&lt;('Sites'!F6)+'Assumptions'!$B$18*12),'Capital'!E6/'Assumptions'!$B$18/12,0)+IF(AND('Sites'!E7=1,3&gt;=('Sites'!F7+'Cases'!G7),3&lt;('Sites'!F7+'Cases'!G7)+'Assumptions'!$B$18*12),'Capital'!E7/'Assumptions'!$B$18/12,0)+IF(AND('Sites'!E8*'Cases'!F7=1,3&gt;=('Sites'!F8+'Cases'!G7),3&lt;('Sites'!F8+'Cases'!G7)+'Assumptions'!$B$18*12),'Capital'!E8/'Assumptions'!$B$18/12,0)</f>
        <v/>
      </c>
      <c r="AT44" s="137">
        <f>SUM(AQ44,AR44,U44)-AP44-SUM(H44:L44)-AS44-SUM(Y44,AD44,AE44,AH44)</f>
        <v/>
      </c>
      <c r="AU44" s="137">
        <f>IF(ISNUMBER('Assumptions'!$B$19),MAX(0,SUM(AT42:AT44))*'Assumptions'!$B$19-SUM(AU42:AU43),"")</f>
        <v/>
      </c>
      <c r="AV44" s="137">
        <f>IF(ISNUMBER(AU44),AT44-AU44,"")</f>
        <v/>
      </c>
      <c r="AW44" s="137">
        <f>IF(ISNUMBER('Assumptions'!$B$11),'Assumptions'!$B$11+SUM(AQ42:AQ44)-SUM(S42:S44)-SUM(T42:T44),"")</f>
        <v/>
      </c>
      <c r="AX44" s="137">
        <f>IF(ISNUMBER('Assumptions'!$B$12),'Assumptions'!$B$12+SUM(G42:G44)-SUM(AP42:AP44),"")</f>
        <v/>
      </c>
      <c r="AY44" s="137">
        <f>IF(ISNUMBER('Assumptions'!$B$13),'Assumptions'!$B$13+SUM(M42:M44)-SUM(AS42:AS44),"")</f>
        <v/>
      </c>
      <c r="AZ44" s="137">
        <f>IF(ISNUMBER('Assumptions'!$B$14),'Assumptions'!$B$14+-SUM(AF42:AF44),"")</f>
        <v/>
      </c>
      <c r="BA44" s="137">
        <f>IF(ISNUMBER('Assumptions'!$B$15),'Assumptions'!$B$15+SUM(O42:O44)+SUM(P42:P44)-SUM(AR42:AR44),"")</f>
        <v/>
      </c>
      <c r="BB44" s="137">
        <f>IF(ISNUMBER('Assumptions'!$B$16),'Assumptions'!$B$16+-SUM(AC42:AC44),"")</f>
        <v/>
      </c>
      <c r="BC44" s="137">
        <f>IF(AND(ISNUMBER('Assumptions'!$B$21),ISNUMBER('Assumptions'!$B$19)),'Assumptions'!$B$21+SUM(AU42:AU44)-SUM(AG42:AG44),"")</f>
        <v/>
      </c>
      <c r="BD44" s="137">
        <f>IF(ISNUMBER('Assumptions'!$B$20),'Assumptions'!$B$20+-SUM(AI42:AI44),"")</f>
        <v/>
      </c>
      <c r="BE44" s="137">
        <f>IF(AND(ISNUMBER('Assumptions'!$B$17),COUNT(AV42:AV44)=3),'Assumptions'!$B$17+SUM(AV42:AV44),"")</f>
        <v/>
      </c>
      <c r="BF44" s="137">
        <f>IF(COUNT(AL44,AW44:AY44)=4,SUM(AL44,AW44:AY44),"")</f>
        <v/>
      </c>
      <c r="BG44" s="137">
        <f>IF(COUNT(AZ44:BD44)=5,SUM(AZ44:BD44,AA44),"")</f>
        <v/>
      </c>
      <c r="BH44" s="137">
        <f>IF(COUNT(BF44,BG44,BE44)=3,BF44-BG44-BE44,"")</f>
        <v/>
      </c>
      <c r="BI44" s="137">
        <f>SUM(W44,X44)-Z44-AA44</f>
        <v/>
      </c>
      <c r="BJ44" s="137">
        <f>8-COUNT('Assumptions'!F58:F65)+COUNTBLANK('NM Play'!B33:B34)+'Costs'!E44+IF(AND('Sites'!E6=1,('Sites'!F6)&lt;=12,'Sites'!G6&gt;=1),IF(ISNUMBER('Sites'!O6),0,1)+'Capital'!I6+COUNTBLANK('Sites'!R6)+IF('Sites'!D6="NM crew",COUNTBLANK('NM Play'!B25)+1,5-COUNT('Assumptions'!F112:F116)),0)+IF(AND('Sites'!E7=1,('Sites'!F7+'Cases'!G7)&lt;=12,'Sites'!G7&gt;=1),IF(ISNUMBER('Sites'!O7),0,1)+'Capital'!I7+COUNTBLANK('Sites'!R7)+IF('Sites'!D7="NM crew",COUNTBLANK('NM Play'!B25)+1,5-COUNT('Assumptions'!F117:F121)),0)+IF(AND('Sites'!E8*'Cases'!F7=1,('Sites'!F8+'Cases'!G7)&lt;=12,'Sites'!G8&gt;=1),IF(ISNUMBER('Sites'!O8),0,1)+'Capital'!I8+COUNTBLANK('Sites'!R8)+IF('Sites'!D8="NM crew",COUNTBLANK('NM Play'!B25)+1,5-COUNT('Assumptions'!F122:F126)),0)+IF(AND('Cases'!C7&gt;0,NOT(ISNUMBER('Assumptions'!B42))),1,0)+'Responsibilities'!$B$39</f>
        <v/>
      </c>
      <c r="BK44" s="137">
        <f>'Assumptions'!$B$50+'NM Play'!$B$83+'Funding'!$F$20+SUMIFS('Production schedule'!$AN$114:$AN$221,'Production schedule'!$C$114:$C$221,3)+IF(OR('Cases'!E7&lt;0,'Cases'!E7&gt;1,'Cases'!C7&lt;0,'Cases'!D7&lt;0,ABS(SUM('Sites'!S6:S8)-1)&gt;0.0001,MIN('Capital'!F6:F8)&lt;0,MAX('Capital'!F6:F8)&gt;1,MIN(AX44,AZ44,BB44,BA44)&lt;-0.01),1,0)+'Responsibilities'!$B$40</f>
        <v/>
      </c>
      <c r="BL44" s="137">
        <f>SUMIFS('Production schedule'!$T$114:$T$221,'Production schedule'!$C$114:$C$221,3)</f>
        <v/>
      </c>
      <c r="BM44" s="137">
        <f>D44*'NM Play'!$B$38</f>
        <v/>
      </c>
      <c r="BN44" s="137">
        <f>SUMIFS('Production schedule'!$AM$114:$AM$221,'Production schedule'!$C$114:$C$221,3)</f>
        <v/>
      </c>
      <c r="BO44" s="137">
        <f>AK44-AK43-AJ44</f>
        <v/>
      </c>
      <c r="BP44" s="137">
        <f>IF(AND('Assumptions'!$B$39&gt;=0,'Assumptions'!$B$40&gt;0),-PMT('Assumptions'!$B$39/12,'Assumptions'!$B$40*12,IF('Funding'!$N$11&gt;0,'Funding'!$N$11,'Funding'!$S$11)),"")</f>
        <v/>
      </c>
      <c r="BQ44">
        <f>('Production schedule'!AJ116)*(1-'Responsibilities'!$C$6)+('Production schedule'!AJ152)*(1-'Responsibilities'!$C$7)+('Production schedule'!AJ188)*(1-'Responsibilities'!$C$8)</f>
        <v/>
      </c>
      <c r="BR44">
        <f>('Production schedule'!AI116)*(1-'Responsibilities'!$D$6)+('Production schedule'!AI152)*(1-'Responsibilities'!$D$7)+('Production schedule'!AI188)*(1-'Responsibilities'!$D$8)</f>
        <v/>
      </c>
      <c r="BS44">
        <f>('Production schedule'!E116*(IF('Sites'!D6="Annual staff",SUM('Assumptions'!F112,'Assumptions'!F114),0)+SUM('Assumptions'!F113,'Assumptions'!F115:F116)))*(1-'Responsibilities'!$E$6)+('Production schedule'!E152*(IF('Sites'!D7="Annual staff",SUM('Assumptions'!F117,'Assumptions'!F119),0)+SUM('Assumptions'!F118,'Assumptions'!F120:F121)))*(1-'Responsibilities'!$E$7)+('Production schedule'!E188*(IF('Sites'!D8="Annual staff",SUM('Assumptions'!F122,'Assumptions'!F124),0)+SUM('Assumptions'!F123,'Assumptions'!F125:F126)))*(1-'Responsibilities'!$E$8)</f>
        <v/>
      </c>
      <c r="BT44">
        <f>(IF(AND('Production schedule'!E116=1,3=MAX(('Sites'!F6),1),ISNUMBER('Sites'!O6)),'Sites'!O6*'Assumptions'!$B$44,0))*(1-'Responsibilities'!$F$6)+(IF(AND('Production schedule'!E152=1,3=MAX(('Sites'!F7+'Cases'!G7),1),ISNUMBER('Sites'!O7)),'Sites'!O7*'Assumptions'!$B$44,0))*(1-'Responsibilities'!$F$7)+(IF(AND('Production schedule'!E188=1,3=MAX(('Sites'!F8+'Cases'!G7),1),ISNUMBER('Sites'!O8)),'Sites'!O8*'Assumptions'!$B$44,0))*(1-'Responsibilities'!$F$8)</f>
        <v/>
      </c>
      <c r="BU44">
        <f>SUM('Costs'!E36)*'Costs'!F36/12*(1-'Responsibilities'!$C$12)+SUM('Costs'!E37)*'Costs'!F37/12*(1-'Responsibilities'!$C$13)+SUM('Costs'!E38)*'Costs'!F38/12*(1-'Responsibilities'!$C$14)+SUM('Costs'!E39)*'Costs'!F39/12*(1-'Responsibilities'!$C$15)+SUM('Costs'!E40)*'Costs'!F40/12*(1-'Responsibilities'!$C$16)</f>
        <v/>
      </c>
      <c r="BV44">
        <f>('Sites'!E6*'Capital'!E6*(IF(3='Capital'!G6,'Capital'!F6,0)+IF(3='Capital'!H6,1-'Capital'!F6,0)))*(1-'Responsibilities'!$G$6)+('Sites'!E7*'Capital'!E7*(IF(3='Capital'!G7+'Cases'!G7,'Capital'!F7,0)+IF(3='Capital'!H7+'Cases'!G7,1-'Capital'!F7,0)))*(1-'Responsibilities'!$G$7)+('Sites'!E8*'Cases'!F7*'Capital'!E8*(IF(3='Capital'!G8+'Cases'!G7,'Capital'!F8,0)+IF(3='Capital'!H8+'Cases'!G7,1-'Capital'!F8,0)))*(1-'Responsibilities'!$G$8)</f>
        <v/>
      </c>
      <c r="BW44">
        <f>SUM(BQ44:BV44)</f>
        <v/>
      </c>
      <c r="BX44">
        <f>N44+BW44</f>
        <v/>
      </c>
      <c r="BY44">
        <f>BX44-(('Production schedule'!AJ116)*'Responsibilities'!$C$6+('Production schedule'!AJ152)*'Responsibilities'!$C$7+('Production schedule'!AJ188)*'Responsibilities'!$C$8+('Production schedule'!AJ116)*(1-'Responsibilities'!$C$6)+('Production schedule'!AJ152)*(1-'Responsibilities'!$C$7)+('Production schedule'!AJ188)*(1-'Responsibilities'!$C$8)+('Production schedule'!AI116)*'Responsibilities'!$D$6+('Production schedule'!AI152)*'Responsibilities'!$D$7+('Production schedule'!AI188)*'Responsibilities'!$D$8+('Production schedule'!AI116)*(1-'Responsibilities'!$D$6)+('Production schedule'!AI152)*(1-'Responsibilities'!$D$7)+('Production schedule'!AI188)*(1-'Responsibilities'!$D$8)+('Production schedule'!E116*(IF('Sites'!D6="Annual staff",SUM('Assumptions'!F112,'Assumptions'!F114),0)+SUM('Assumptions'!F113,'Assumptions'!F115:F116)))*'Responsibilities'!$E$6+('Production schedule'!E152*(IF('Sites'!D7="Annual staff",SUM('Assumptions'!F117,'Assumptions'!F119),0)+SUM('Assumptions'!F118,'Assumptions'!F120:F121)))*'Responsibilities'!$E$7+('Production schedule'!E188*(IF('Sites'!D8="Annual staff",SUM('Assumptions'!F122,'Assumptions'!F124),0)+SUM('Assumptions'!F123,'Assumptions'!F125:F126)))*'Responsibilities'!$E$8+('Production schedule'!E116*(IF('Sites'!D6="Annual staff",SUM('Assumptions'!F112,'Assumptions'!F114),0)+SUM('Assumptions'!F113,'Assumptions'!F115:F116)))*(1-'Responsibilities'!$E$6)+('Production schedule'!E152*(IF('Sites'!D7="Annual staff",SUM('Assumptions'!F117,'Assumptions'!F119),0)+SUM('Assumptions'!F118,'Assumptions'!F120:F121)))*(1-'Responsibilities'!$E$7)+('Production schedule'!E188*(IF('Sites'!D8="Annual staff",SUM('Assumptions'!F122,'Assumptions'!F124),0)+SUM('Assumptions'!F123,'Assumptions'!F125:F126)))*(1-'Responsibilities'!$E$8)+(IF(AND('Production schedule'!E116=1,3=MAX(('Sites'!F6),1),ISNUMBER('Sites'!O6)),'Sites'!O6*'Assumptions'!$B$44,0))*'Responsibilities'!$F$6+(IF(AND('Production schedule'!E152=1,3=MAX(('Sites'!F7+'Cases'!G7),1),ISNUMBER('Sites'!O7)),'Sites'!O7*'Assumptions'!$B$44,0))*'Responsibilities'!$F$7+(IF(AND('Production schedule'!E188=1,3=MAX(('Sites'!F8+'Cases'!G7),1),ISNUMBER('Sites'!O8)),'Sites'!O8*'Assumptions'!$B$44,0))*'Responsibilities'!$F$8+(IF(AND('Production schedule'!E116=1,3=MAX(('Sites'!F6),1),ISNUMBER('Sites'!O6)),'Sites'!O6*'Assumptions'!$B$44,0))*(1-'Responsibilities'!$F$6)+(IF(AND('Production schedule'!E152=1,3=MAX(('Sites'!F7+'Cases'!G7),1),ISNUMBER('Sites'!O7)),'Sites'!O7*'Assumptions'!$B$44,0))*(1-'Responsibilities'!$F$7)+(IF(AND('Production schedule'!E188=1,3=MAX(('Sites'!F8+'Cases'!G7),1),ISNUMBER('Sites'!O8)),'Sites'!O8*'Assumptions'!$B$44,0))*(1-'Responsibilities'!$F$8)+('Sites'!E6*'Capital'!E6*(IF(3='Capital'!G6,'Capital'!F6,0)+IF(3='Capital'!H6,1-'Capital'!F6,0)))*'Responsibilities'!$G$6+('Sites'!E7*'Capital'!E7*(IF(3='Capital'!G7+'Cases'!G7,'Capital'!F7,0)+IF(3='Capital'!H7+'Cases'!G7,1-'Capital'!F7,0)))*'Responsibilities'!$G$7+('Sites'!E8*'Cases'!F7*'Capital'!E8*(IF(3='Capital'!G8+'Cases'!G7,'Capital'!F8,0)+IF(3='Capital'!H8+'Cases'!G7,1-'Capital'!F8,0)))*'Responsibilities'!$G$8+('Sites'!E6*'Capital'!E6*(IF(3='Capital'!G6,'Capital'!F6,0)+IF(3='Capital'!H6,1-'Capital'!F6,0)))*(1-'Responsibilities'!$G$6)+('Sites'!E7*'Capital'!E7*(IF(3='Capital'!G7+'Cases'!G7,'Capital'!F7,0)+IF(3='Capital'!H7+'Cases'!G7,1-'Capital'!F7,0)))*(1-'Responsibilities'!$G$7)+('Sites'!E8*'Cases'!F7*'Capital'!E8*(IF(3='Capital'!G8+'Cases'!G7,'Capital'!F8,0)+IF(3='Capital'!H8+'Cases'!G7,1-'Capital'!F8,0)))*(1-'Responsibilities'!$G$8)+I44+SUMPRODUCT('Costs'!$E$36:$E$40,'Costs'!$F$36:$F$40)/12+BZ44)</f>
        <v/>
      </c>
      <c r="BZ44">
        <f>SUMIFS('Responsibilities'!$B$31:$B$35,'Responsibilities'!$C$31:$C$35,3,'Responsibilities'!$D$31:$D$35,"Yes")</f>
        <v/>
      </c>
    </row>
    <row r="45" ht="28" customHeight="1">
      <c r="A45" s="4" t="inlineStr">
        <is>
          <t>Smaller</t>
        </is>
      </c>
      <c r="B45" s="4" t="n">
        <v>4</v>
      </c>
      <c r="C45" s="4">
        <f>ROUNDUP(B45/12,0)</f>
        <v/>
      </c>
      <c r="D45" s="137">
        <f>SUMIFS('Production schedule'!$N$114:$N$221,'Production schedule'!$C$114:$C$221,4)</f>
        <v/>
      </c>
      <c r="E45" s="137">
        <f>SUMIFS('Production schedule'!$Y$114:$Y$221,'Production schedule'!$C$114:$C$221,4)</f>
        <v/>
      </c>
      <c r="F45" s="137">
        <f>SUMIFS('Production schedule'!$Z$114:$Z$221,'Production schedule'!$C$114:$C$221,4)</f>
        <v/>
      </c>
      <c r="G45" s="137">
        <f>('Production schedule'!AJ117)*'Responsibilities'!$C$6+('Production schedule'!AJ153)*'Responsibilities'!$C$7+('Production schedule'!AJ189)*'Responsibilities'!$C$8</f>
        <v/>
      </c>
      <c r="H45" s="137">
        <f>('Production schedule'!AI117)*'Responsibilities'!$D$6+('Production schedule'!AI153)*'Responsibilities'!$D$7+('Production schedule'!AI189)*'Responsibilities'!$D$8</f>
        <v/>
      </c>
      <c r="I45" s="137">
        <f>SUM('Assumptions'!G58:G65)</f>
        <v/>
      </c>
      <c r="J45" s="137">
        <f>('Production schedule'!E117*(IF('Sites'!D6="Annual staff",SUM('Assumptions'!G112,'Assumptions'!G114),0)+SUM('Assumptions'!G113,'Assumptions'!G115:G116)))*'Responsibilities'!$E$6+('Production schedule'!E153*(IF('Sites'!D7="Annual staff",SUM('Assumptions'!G117,'Assumptions'!G119),0)+SUM('Assumptions'!G118,'Assumptions'!G120:G121)))*'Responsibilities'!$E$7+('Production schedule'!E189*(IF('Sites'!D8="Annual staff",SUM('Assumptions'!G122,'Assumptions'!G124),0)+SUM('Assumptions'!G123,'Assumptions'!G125:G126)))*'Responsibilities'!$E$8</f>
        <v/>
      </c>
      <c r="K45" s="137">
        <f>(IF(AND('Production schedule'!E117=1,4=MAX(('Sites'!F6),1),ISNUMBER('Sites'!O6)),'Sites'!O6*'Assumptions'!$B$44,0))*'Responsibilities'!$F$6+(IF(AND('Production schedule'!E153=1,4=MAX(('Sites'!F7+'Cases'!G7),1),ISNUMBER('Sites'!O7)),'Sites'!O7*'Assumptions'!$B$44,0))*'Responsibilities'!$F$7+(IF(AND('Production schedule'!E189=1,4=MAX(('Sites'!F8+'Cases'!G7),1),ISNUMBER('Sites'!O8)),'Sites'!O8*'Assumptions'!$B$44,0))*'Responsibilities'!$F$8</f>
        <v/>
      </c>
      <c r="L45" s="137">
        <f>SUM('Costs'!E36)*'Costs'!F36/12*'Responsibilities'!$C$12+SUM('Costs'!E37)*'Costs'!F37/12*'Responsibilities'!$C$13+SUM('Costs'!E38)*'Costs'!F38/12*'Responsibilities'!$C$14+SUM('Costs'!E39)*'Costs'!F39/12*'Responsibilities'!$C$15+SUM('Costs'!E40)*'Costs'!F40/12*'Responsibilities'!$C$16+BZ45</f>
        <v/>
      </c>
      <c r="M45" s="137">
        <f>('Sites'!E6*'Capital'!E6*(IF(4='Capital'!G6,'Capital'!F6,0)+IF(4='Capital'!H6,1-'Capital'!F6,0)))*'Responsibilities'!$G$6+('Sites'!E7*'Capital'!E7*(IF(4='Capital'!G7+'Cases'!G7,'Capital'!F7,0)+IF(4='Capital'!H7+'Cases'!G7,1-'Capital'!F7,0)))*'Responsibilities'!$G$7+('Sites'!E8*'Cases'!F7*'Capital'!E8*(IF(4='Capital'!G8+'Cases'!G7,'Capital'!F8,0)+IF(4='Capital'!H8+'Cases'!G7,1-'Capital'!F8,0)))*'Responsibilities'!$G$8</f>
        <v/>
      </c>
      <c r="N45" s="137">
        <f>SUM(G45:M45)</f>
        <v/>
      </c>
      <c r="O45" s="137">
        <f>SUMIFS(FundingTranches[Secured amount],FundingTranches[Instrument],"Grant",FundingTranches[Secured month],4)</f>
        <v/>
      </c>
      <c r="P45" s="137">
        <f>SUMIFS(FundingTranches[Smaller possible],FundingTranches[Instrument],"Grant",FundingTranches[Scenario month],4-'Cases'!$D$7)</f>
        <v/>
      </c>
      <c r="Q45" s="137">
        <f>SUMIFS(FundingTranches[Secured amount],FundingTranches[Instrument],"Loan",FundingTranches[Secured month],4)</f>
        <v/>
      </c>
      <c r="R45" s="137">
        <f>SUMIFS(FundingTranches[Smaller possible],FundingTranches[Instrument],"Loan",FundingTranches[Scenario month],4-'Cases'!$D$7)</f>
        <v/>
      </c>
      <c r="S45" s="137">
        <f>IF(4&lt;='Assumptions'!$B$34,0,SUMIFS('Production schedule'!$AL$114:$AL$221,'Production schedule'!$C$114:$C$221,4-'Assumptions'!$B$34))</f>
        <v/>
      </c>
      <c r="T45" s="137">
        <f>'Assumptions'!G70</f>
        <v/>
      </c>
      <c r="U45" s="137">
        <f>'Assumptions'!G78</f>
        <v/>
      </c>
      <c r="V45" s="137">
        <f>SUM(O45:U45)</f>
        <v/>
      </c>
      <c r="W45" s="137">
        <f>AA44</f>
        <v/>
      </c>
      <c r="X45" s="137">
        <f>SUM(Q45:R45)</f>
        <v/>
      </c>
      <c r="Y45" s="137">
        <f>SUM(W45,X45)*'Assumptions'!$B$39/12</f>
        <v/>
      </c>
      <c r="Z45" s="137">
        <f>IF(SUM(W45,X45)&gt;0,MIN(SUM(W45,X45),MAX(0,BP45-Y45)),0)</f>
        <v/>
      </c>
      <c r="AA45" s="137">
        <f>SUM(W45,X45)-Z45</f>
        <v/>
      </c>
      <c r="AB45" s="137">
        <f>SUM(Y45:Z45)</f>
        <v/>
      </c>
      <c r="AC45" s="137">
        <f>'Assumptions'!G72</f>
        <v/>
      </c>
      <c r="AD45" s="137">
        <f>'Assumptions'!G73</f>
        <v/>
      </c>
      <c r="AE45" s="137">
        <f>IF(X45&gt;0,SUM('Assumptions'!$B$42),0)</f>
        <v/>
      </c>
      <c r="AF45" s="137">
        <f>'Assumptions'!G71</f>
        <v/>
      </c>
      <c r="AG45" s="137">
        <f>'Assumptions'!G74</f>
        <v/>
      </c>
      <c r="AH45" s="137">
        <f>'Assumptions'!G75</f>
        <v/>
      </c>
      <c r="AI45" s="137">
        <f>'Assumptions'!G77</f>
        <v/>
      </c>
      <c r="AJ45" s="137">
        <f>V45-N45-SUM(AB45:AI45)</f>
        <v/>
      </c>
      <c r="AK45" s="137">
        <f>SUM(AJ42:AJ45)</f>
        <v/>
      </c>
      <c r="AL45" s="137">
        <f>IF(ISNUMBER('Assumptions'!$B$10),'Assumptions'!$B$10+AK45,"")</f>
        <v/>
      </c>
      <c r="AM45" s="137">
        <f>SUM(O45,Q45,T45)-N45-SUM(AC45:AI45)+IF('Funding'!$N$11=0,AE45,0)-IF('Funding'!$N$11&gt;0,AB45,0)</f>
        <v/>
      </c>
      <c r="AN45" s="137">
        <f>SUM(AM42:AM45)</f>
        <v/>
      </c>
      <c r="AO45" s="137">
        <f>IF(ISNUMBER('Assumptions'!$B$10),'Assumptions'!$B$10+AN45,"")</f>
        <v/>
      </c>
      <c r="AP45" s="137">
        <f>('Production schedule'!AK117)*'Responsibilities'!$C$6+('Production schedule'!AK153)*'Responsibilities'!$C$7+('Production schedule'!AK189)*'Responsibilities'!$C$8</f>
        <v/>
      </c>
      <c r="AQ45" s="137">
        <f>SUMIFS('Production schedule'!$AL$114:$AL$221,'Production schedule'!$C$114:$C$221,4)</f>
        <v/>
      </c>
      <c r="AR45" s="137">
        <f>IF(ISNUMBER('Assumptions'!G76),'Assumptions'!G76,SUM(O45:P45))</f>
        <v/>
      </c>
      <c r="AS45" s="137">
        <f>IF(ISNUMBER('Assumptions'!$B$13),MIN('Assumptions'!$B$13/'Assumptions'!$B$18/12,MAX(0,'Assumptions'!$B$13-(4-1)*'Assumptions'!$B$13/'Assumptions'!$B$18/12)),0)+IF(AND('Sites'!E6=1,4&gt;=('Sites'!F6),4&lt;('Sites'!F6)+'Assumptions'!$B$18*12),'Capital'!E6/'Assumptions'!$B$18/12,0)+IF(AND('Sites'!E7=1,4&gt;=('Sites'!F7+'Cases'!G7),4&lt;('Sites'!F7+'Cases'!G7)+'Assumptions'!$B$18*12),'Capital'!E7/'Assumptions'!$B$18/12,0)+IF(AND('Sites'!E8*'Cases'!F7=1,4&gt;=('Sites'!F8+'Cases'!G7),4&lt;('Sites'!F8+'Cases'!G7)+'Assumptions'!$B$18*12),'Capital'!E8/'Assumptions'!$B$18/12,0)</f>
        <v/>
      </c>
      <c r="AT45" s="137">
        <f>SUM(AQ45,AR45,U45)-AP45-SUM(H45:L45)-AS45-SUM(Y45,AD45,AE45,AH45)</f>
        <v/>
      </c>
      <c r="AU45" s="137">
        <f>IF(ISNUMBER('Assumptions'!$B$19),MAX(0,SUM(AT42:AT45))*'Assumptions'!$B$19-SUM(AU42:AU44),"")</f>
        <v/>
      </c>
      <c r="AV45" s="137">
        <f>IF(ISNUMBER(AU45),AT45-AU45,"")</f>
        <v/>
      </c>
      <c r="AW45" s="137">
        <f>IF(ISNUMBER('Assumptions'!$B$11),'Assumptions'!$B$11+SUM(AQ42:AQ45)-SUM(S42:S45)-SUM(T42:T45),"")</f>
        <v/>
      </c>
      <c r="AX45" s="137">
        <f>IF(ISNUMBER('Assumptions'!$B$12),'Assumptions'!$B$12+SUM(G42:G45)-SUM(AP42:AP45),"")</f>
        <v/>
      </c>
      <c r="AY45" s="137">
        <f>IF(ISNUMBER('Assumptions'!$B$13),'Assumptions'!$B$13+SUM(M42:M45)-SUM(AS42:AS45),"")</f>
        <v/>
      </c>
      <c r="AZ45" s="137">
        <f>IF(ISNUMBER('Assumptions'!$B$14),'Assumptions'!$B$14+-SUM(AF42:AF45),"")</f>
        <v/>
      </c>
      <c r="BA45" s="137">
        <f>IF(ISNUMBER('Assumptions'!$B$15),'Assumptions'!$B$15+SUM(O42:O45)+SUM(P42:P45)-SUM(AR42:AR45),"")</f>
        <v/>
      </c>
      <c r="BB45" s="137">
        <f>IF(ISNUMBER('Assumptions'!$B$16),'Assumptions'!$B$16+-SUM(AC42:AC45),"")</f>
        <v/>
      </c>
      <c r="BC45" s="137">
        <f>IF(AND(ISNUMBER('Assumptions'!$B$21),ISNUMBER('Assumptions'!$B$19)),'Assumptions'!$B$21+SUM(AU42:AU45)-SUM(AG42:AG45),"")</f>
        <v/>
      </c>
      <c r="BD45" s="137">
        <f>IF(ISNUMBER('Assumptions'!$B$20),'Assumptions'!$B$20+-SUM(AI42:AI45),"")</f>
        <v/>
      </c>
      <c r="BE45" s="137">
        <f>IF(AND(ISNUMBER('Assumptions'!$B$17),COUNT(AV42:AV45)=4),'Assumptions'!$B$17+SUM(AV42:AV45),"")</f>
        <v/>
      </c>
      <c r="BF45" s="137">
        <f>IF(COUNT(AL45,AW45:AY45)=4,SUM(AL45,AW45:AY45),"")</f>
        <v/>
      </c>
      <c r="BG45" s="137">
        <f>IF(COUNT(AZ45:BD45)=5,SUM(AZ45:BD45,AA45),"")</f>
        <v/>
      </c>
      <c r="BH45" s="137">
        <f>IF(COUNT(BF45,BG45,BE45)=3,BF45-BG45-BE45,"")</f>
        <v/>
      </c>
      <c r="BI45" s="137">
        <f>SUM(W45,X45)-Z45-AA45</f>
        <v/>
      </c>
      <c r="BJ45" s="137">
        <f>8-COUNT('Assumptions'!G58:G65)+COUNTBLANK('NM Play'!B33:B34)+'Costs'!E44+IF(AND('Sites'!E6=1,('Sites'!F6)&lt;=12,'Sites'!G6&gt;=1),IF(ISNUMBER('Sites'!O6),0,1)+'Capital'!I6+COUNTBLANK('Sites'!R6)+IF('Sites'!D6="NM crew",COUNTBLANK('NM Play'!B25)+1,5-COUNT('Assumptions'!G112:G116)),0)+IF(AND('Sites'!E7=1,('Sites'!F7+'Cases'!G7)&lt;=12,'Sites'!G7&gt;=1),IF(ISNUMBER('Sites'!O7),0,1)+'Capital'!I7+COUNTBLANK('Sites'!R7)+IF('Sites'!D7="NM crew",COUNTBLANK('NM Play'!B25)+1,5-COUNT('Assumptions'!G117:G121)),0)+IF(AND('Sites'!E8*'Cases'!F7=1,('Sites'!F8+'Cases'!G7)&lt;=12,'Sites'!G8&gt;=1),IF(ISNUMBER('Sites'!O8),0,1)+'Capital'!I8+COUNTBLANK('Sites'!R8)+IF('Sites'!D8="NM crew",COUNTBLANK('NM Play'!B25)+1,5-COUNT('Assumptions'!G122:G126)),0)+IF(AND('Cases'!C7&gt;0,NOT(ISNUMBER('Assumptions'!B42))),1,0)+'Responsibilities'!$B$39</f>
        <v/>
      </c>
      <c r="BK45" s="137">
        <f>'Assumptions'!$B$50+'NM Play'!$B$83+'Funding'!$F$20+SUMIFS('Production schedule'!$AN$114:$AN$221,'Production schedule'!$C$114:$C$221,4)+IF(OR('Cases'!E7&lt;0,'Cases'!E7&gt;1,'Cases'!C7&lt;0,'Cases'!D7&lt;0,ABS(SUM('Sites'!S6:S8)-1)&gt;0.0001,MIN('Capital'!F6:F8)&lt;0,MAX('Capital'!F6:F8)&gt;1,MIN(AX45,AZ45,BB45,BA45)&lt;-0.01),1,0)+'Responsibilities'!$B$40</f>
        <v/>
      </c>
      <c r="BL45" s="137">
        <f>SUMIFS('Production schedule'!$T$114:$T$221,'Production schedule'!$C$114:$C$221,4)</f>
        <v/>
      </c>
      <c r="BM45" s="137">
        <f>D45*'NM Play'!$B$38</f>
        <v/>
      </c>
      <c r="BN45" s="137">
        <f>SUMIFS('Production schedule'!$AM$114:$AM$221,'Production schedule'!$C$114:$C$221,4)</f>
        <v/>
      </c>
      <c r="BO45" s="137">
        <f>AK45-AK44-AJ45</f>
        <v/>
      </c>
      <c r="BP45" s="137">
        <f>IF(AND('Assumptions'!$B$39&gt;=0,'Assumptions'!$B$40&gt;0),-PMT('Assumptions'!$B$39/12,'Assumptions'!$B$40*12,IF('Funding'!$N$11&gt;0,'Funding'!$N$11,'Funding'!$S$11)),"")</f>
        <v/>
      </c>
      <c r="BQ45">
        <f>('Production schedule'!AJ117)*(1-'Responsibilities'!$C$6)+('Production schedule'!AJ153)*(1-'Responsibilities'!$C$7)+('Production schedule'!AJ189)*(1-'Responsibilities'!$C$8)</f>
        <v/>
      </c>
      <c r="BR45">
        <f>('Production schedule'!AI117)*(1-'Responsibilities'!$D$6)+('Production schedule'!AI153)*(1-'Responsibilities'!$D$7)+('Production schedule'!AI189)*(1-'Responsibilities'!$D$8)</f>
        <v/>
      </c>
      <c r="BS45">
        <f>('Production schedule'!E117*(IF('Sites'!D6="Annual staff",SUM('Assumptions'!G112,'Assumptions'!G114),0)+SUM('Assumptions'!G113,'Assumptions'!G115:G116)))*(1-'Responsibilities'!$E$6)+('Production schedule'!E153*(IF('Sites'!D7="Annual staff",SUM('Assumptions'!G117,'Assumptions'!G119),0)+SUM('Assumptions'!G118,'Assumptions'!G120:G121)))*(1-'Responsibilities'!$E$7)+('Production schedule'!E189*(IF('Sites'!D8="Annual staff",SUM('Assumptions'!G122,'Assumptions'!G124),0)+SUM('Assumptions'!G123,'Assumptions'!G125:G126)))*(1-'Responsibilities'!$E$8)</f>
        <v/>
      </c>
      <c r="BT45">
        <f>(IF(AND('Production schedule'!E117=1,4=MAX(('Sites'!F6),1),ISNUMBER('Sites'!O6)),'Sites'!O6*'Assumptions'!$B$44,0))*(1-'Responsibilities'!$F$6)+(IF(AND('Production schedule'!E153=1,4=MAX(('Sites'!F7+'Cases'!G7),1),ISNUMBER('Sites'!O7)),'Sites'!O7*'Assumptions'!$B$44,0))*(1-'Responsibilities'!$F$7)+(IF(AND('Production schedule'!E189=1,4=MAX(('Sites'!F8+'Cases'!G7),1),ISNUMBER('Sites'!O8)),'Sites'!O8*'Assumptions'!$B$44,0))*(1-'Responsibilities'!$F$8)</f>
        <v/>
      </c>
      <c r="BU45">
        <f>SUM('Costs'!E36)*'Costs'!F36/12*(1-'Responsibilities'!$C$12)+SUM('Costs'!E37)*'Costs'!F37/12*(1-'Responsibilities'!$C$13)+SUM('Costs'!E38)*'Costs'!F38/12*(1-'Responsibilities'!$C$14)+SUM('Costs'!E39)*'Costs'!F39/12*(1-'Responsibilities'!$C$15)+SUM('Costs'!E40)*'Costs'!F40/12*(1-'Responsibilities'!$C$16)</f>
        <v/>
      </c>
      <c r="BV45">
        <f>('Sites'!E6*'Capital'!E6*(IF(4='Capital'!G6,'Capital'!F6,0)+IF(4='Capital'!H6,1-'Capital'!F6,0)))*(1-'Responsibilities'!$G$6)+('Sites'!E7*'Capital'!E7*(IF(4='Capital'!G7+'Cases'!G7,'Capital'!F7,0)+IF(4='Capital'!H7+'Cases'!G7,1-'Capital'!F7,0)))*(1-'Responsibilities'!$G$7)+('Sites'!E8*'Cases'!F7*'Capital'!E8*(IF(4='Capital'!G8+'Cases'!G7,'Capital'!F8,0)+IF(4='Capital'!H8+'Cases'!G7,1-'Capital'!F8,0)))*(1-'Responsibilities'!$G$8)</f>
        <v/>
      </c>
      <c r="BW45">
        <f>SUM(BQ45:BV45)</f>
        <v/>
      </c>
      <c r="BX45">
        <f>N45+BW45</f>
        <v/>
      </c>
      <c r="BY45">
        <f>BX45-(('Production schedule'!AJ117)*'Responsibilities'!$C$6+('Production schedule'!AJ153)*'Responsibilities'!$C$7+('Production schedule'!AJ189)*'Responsibilities'!$C$8+('Production schedule'!AJ117)*(1-'Responsibilities'!$C$6)+('Production schedule'!AJ153)*(1-'Responsibilities'!$C$7)+('Production schedule'!AJ189)*(1-'Responsibilities'!$C$8)+('Production schedule'!AI117)*'Responsibilities'!$D$6+('Production schedule'!AI153)*'Responsibilities'!$D$7+('Production schedule'!AI189)*'Responsibilities'!$D$8+('Production schedule'!AI117)*(1-'Responsibilities'!$D$6)+('Production schedule'!AI153)*(1-'Responsibilities'!$D$7)+('Production schedule'!AI189)*(1-'Responsibilities'!$D$8)+('Production schedule'!E117*(IF('Sites'!D6="Annual staff",SUM('Assumptions'!G112,'Assumptions'!G114),0)+SUM('Assumptions'!G113,'Assumptions'!G115:G116)))*'Responsibilities'!$E$6+('Production schedule'!E153*(IF('Sites'!D7="Annual staff",SUM('Assumptions'!G117,'Assumptions'!G119),0)+SUM('Assumptions'!G118,'Assumptions'!G120:G121)))*'Responsibilities'!$E$7+('Production schedule'!E189*(IF('Sites'!D8="Annual staff",SUM('Assumptions'!G122,'Assumptions'!G124),0)+SUM('Assumptions'!G123,'Assumptions'!G125:G126)))*'Responsibilities'!$E$8+('Production schedule'!E117*(IF('Sites'!D6="Annual staff",SUM('Assumptions'!G112,'Assumptions'!G114),0)+SUM('Assumptions'!G113,'Assumptions'!G115:G116)))*(1-'Responsibilities'!$E$6)+('Production schedule'!E153*(IF('Sites'!D7="Annual staff",SUM('Assumptions'!G117,'Assumptions'!G119),0)+SUM('Assumptions'!G118,'Assumptions'!G120:G121)))*(1-'Responsibilities'!$E$7)+('Production schedule'!E189*(IF('Sites'!D8="Annual staff",SUM('Assumptions'!G122,'Assumptions'!G124),0)+SUM('Assumptions'!G123,'Assumptions'!G125:G126)))*(1-'Responsibilities'!$E$8)+(IF(AND('Production schedule'!E117=1,4=MAX(('Sites'!F6),1),ISNUMBER('Sites'!O6)),'Sites'!O6*'Assumptions'!$B$44,0))*'Responsibilities'!$F$6+(IF(AND('Production schedule'!E153=1,4=MAX(('Sites'!F7+'Cases'!G7),1),ISNUMBER('Sites'!O7)),'Sites'!O7*'Assumptions'!$B$44,0))*'Responsibilities'!$F$7+(IF(AND('Production schedule'!E189=1,4=MAX(('Sites'!F8+'Cases'!G7),1),ISNUMBER('Sites'!O8)),'Sites'!O8*'Assumptions'!$B$44,0))*'Responsibilities'!$F$8+(IF(AND('Production schedule'!E117=1,4=MAX(('Sites'!F6),1),ISNUMBER('Sites'!O6)),'Sites'!O6*'Assumptions'!$B$44,0))*(1-'Responsibilities'!$F$6)+(IF(AND('Production schedule'!E153=1,4=MAX(('Sites'!F7+'Cases'!G7),1),ISNUMBER('Sites'!O7)),'Sites'!O7*'Assumptions'!$B$44,0))*(1-'Responsibilities'!$F$7)+(IF(AND('Production schedule'!E189=1,4=MAX(('Sites'!F8+'Cases'!G7),1),ISNUMBER('Sites'!O8)),'Sites'!O8*'Assumptions'!$B$44,0))*(1-'Responsibilities'!$F$8)+('Sites'!E6*'Capital'!E6*(IF(4='Capital'!G6,'Capital'!F6,0)+IF(4='Capital'!H6,1-'Capital'!F6,0)))*'Responsibilities'!$G$6+('Sites'!E7*'Capital'!E7*(IF(4='Capital'!G7+'Cases'!G7,'Capital'!F7,0)+IF(4='Capital'!H7+'Cases'!G7,1-'Capital'!F7,0)))*'Responsibilities'!$G$7+('Sites'!E8*'Cases'!F7*'Capital'!E8*(IF(4='Capital'!G8+'Cases'!G7,'Capital'!F8,0)+IF(4='Capital'!H8+'Cases'!G7,1-'Capital'!F8,0)))*'Responsibilities'!$G$8+('Sites'!E6*'Capital'!E6*(IF(4='Capital'!G6,'Capital'!F6,0)+IF(4='Capital'!H6,1-'Capital'!F6,0)))*(1-'Responsibilities'!$G$6)+('Sites'!E7*'Capital'!E7*(IF(4='Capital'!G7+'Cases'!G7,'Capital'!F7,0)+IF(4='Capital'!H7+'Cases'!G7,1-'Capital'!F7,0)))*(1-'Responsibilities'!$G$7)+('Sites'!E8*'Cases'!F7*'Capital'!E8*(IF(4='Capital'!G8+'Cases'!G7,'Capital'!F8,0)+IF(4='Capital'!H8+'Cases'!G7,1-'Capital'!F8,0)))*(1-'Responsibilities'!$G$8)+I45+SUMPRODUCT('Costs'!$E$36:$E$40,'Costs'!$F$36:$F$40)/12+BZ45)</f>
        <v/>
      </c>
      <c r="BZ45">
        <f>SUMIFS('Responsibilities'!$B$31:$B$35,'Responsibilities'!$C$31:$C$35,4,'Responsibilities'!$D$31:$D$35,"Yes")</f>
        <v/>
      </c>
    </row>
    <row r="46" ht="28" customHeight="1">
      <c r="A46" s="4" t="inlineStr">
        <is>
          <t>Smaller</t>
        </is>
      </c>
      <c r="B46" s="4" t="n">
        <v>5</v>
      </c>
      <c r="C46" s="4">
        <f>ROUNDUP(B46/12,0)</f>
        <v/>
      </c>
      <c r="D46" s="137">
        <f>SUMIFS('Production schedule'!$N$114:$N$221,'Production schedule'!$C$114:$C$221,5)</f>
        <v/>
      </c>
      <c r="E46" s="137">
        <f>SUMIFS('Production schedule'!$Y$114:$Y$221,'Production schedule'!$C$114:$C$221,5)</f>
        <v/>
      </c>
      <c r="F46" s="137">
        <f>SUMIFS('Production schedule'!$Z$114:$Z$221,'Production schedule'!$C$114:$C$221,5)</f>
        <v/>
      </c>
      <c r="G46" s="137">
        <f>('Production schedule'!AJ118)*'Responsibilities'!$C$6+('Production schedule'!AJ154)*'Responsibilities'!$C$7+('Production schedule'!AJ190)*'Responsibilities'!$C$8</f>
        <v/>
      </c>
      <c r="H46" s="137">
        <f>('Production schedule'!AI118)*'Responsibilities'!$D$6+('Production schedule'!AI154)*'Responsibilities'!$D$7+('Production schedule'!AI190)*'Responsibilities'!$D$8</f>
        <v/>
      </c>
      <c r="I46" s="137">
        <f>SUM('Assumptions'!H58:H65)</f>
        <v/>
      </c>
      <c r="J46" s="137">
        <f>('Production schedule'!E118*(IF('Sites'!D6="Annual staff",SUM('Assumptions'!H112,'Assumptions'!H114),0)+SUM('Assumptions'!H113,'Assumptions'!H115:H116)))*'Responsibilities'!$E$6+('Production schedule'!E154*(IF('Sites'!D7="Annual staff",SUM('Assumptions'!H117,'Assumptions'!H119),0)+SUM('Assumptions'!H118,'Assumptions'!H120:H121)))*'Responsibilities'!$E$7+('Production schedule'!E190*(IF('Sites'!D8="Annual staff",SUM('Assumptions'!H122,'Assumptions'!H124),0)+SUM('Assumptions'!H123,'Assumptions'!H125:H126)))*'Responsibilities'!$E$8</f>
        <v/>
      </c>
      <c r="K46" s="137">
        <f>(IF(AND('Production schedule'!E118=1,5=MAX(('Sites'!F6),1),ISNUMBER('Sites'!O6)),'Sites'!O6*'Assumptions'!$B$44,0))*'Responsibilities'!$F$6+(IF(AND('Production schedule'!E154=1,5=MAX(('Sites'!F7+'Cases'!G7),1),ISNUMBER('Sites'!O7)),'Sites'!O7*'Assumptions'!$B$44,0))*'Responsibilities'!$F$7+(IF(AND('Production schedule'!E190=1,5=MAX(('Sites'!F8+'Cases'!G7),1),ISNUMBER('Sites'!O8)),'Sites'!O8*'Assumptions'!$B$44,0))*'Responsibilities'!$F$8</f>
        <v/>
      </c>
      <c r="L46" s="137">
        <f>SUM('Costs'!E36)*'Costs'!F36/12*'Responsibilities'!$C$12+SUM('Costs'!E37)*'Costs'!F37/12*'Responsibilities'!$C$13+SUM('Costs'!E38)*'Costs'!F38/12*'Responsibilities'!$C$14+SUM('Costs'!E39)*'Costs'!F39/12*'Responsibilities'!$C$15+SUM('Costs'!E40)*'Costs'!F40/12*'Responsibilities'!$C$16+BZ46</f>
        <v/>
      </c>
      <c r="M46" s="137">
        <f>('Sites'!E6*'Capital'!E6*(IF(5='Capital'!G6,'Capital'!F6,0)+IF(5='Capital'!H6,1-'Capital'!F6,0)))*'Responsibilities'!$G$6+('Sites'!E7*'Capital'!E7*(IF(5='Capital'!G7+'Cases'!G7,'Capital'!F7,0)+IF(5='Capital'!H7+'Cases'!G7,1-'Capital'!F7,0)))*'Responsibilities'!$G$7+('Sites'!E8*'Cases'!F7*'Capital'!E8*(IF(5='Capital'!G8+'Cases'!G7,'Capital'!F8,0)+IF(5='Capital'!H8+'Cases'!G7,1-'Capital'!F8,0)))*'Responsibilities'!$G$8</f>
        <v/>
      </c>
      <c r="N46" s="137">
        <f>SUM(G46:M46)</f>
        <v/>
      </c>
      <c r="O46" s="137">
        <f>SUMIFS(FundingTranches[Secured amount],FundingTranches[Instrument],"Grant",FundingTranches[Secured month],5)</f>
        <v/>
      </c>
      <c r="P46" s="137">
        <f>SUMIFS(FundingTranches[Smaller possible],FundingTranches[Instrument],"Grant",FundingTranches[Scenario month],5-'Cases'!$D$7)</f>
        <v/>
      </c>
      <c r="Q46" s="137">
        <f>SUMIFS(FundingTranches[Secured amount],FundingTranches[Instrument],"Loan",FundingTranches[Secured month],5)</f>
        <v/>
      </c>
      <c r="R46" s="137">
        <f>SUMIFS(FundingTranches[Smaller possible],FundingTranches[Instrument],"Loan",FundingTranches[Scenario month],5-'Cases'!$D$7)</f>
        <v/>
      </c>
      <c r="S46" s="137">
        <f>IF(5&lt;='Assumptions'!$B$34,0,SUMIFS('Production schedule'!$AL$114:$AL$221,'Production schedule'!$C$114:$C$221,5-'Assumptions'!$B$34))</f>
        <v/>
      </c>
      <c r="T46" s="137">
        <f>'Assumptions'!H70</f>
        <v/>
      </c>
      <c r="U46" s="137">
        <f>'Assumptions'!H78</f>
        <v/>
      </c>
      <c r="V46" s="137">
        <f>SUM(O46:U46)</f>
        <v/>
      </c>
      <c r="W46" s="137">
        <f>AA45</f>
        <v/>
      </c>
      <c r="X46" s="137">
        <f>SUM(Q46:R46)</f>
        <v/>
      </c>
      <c r="Y46" s="137">
        <f>SUM(W46,X46)*'Assumptions'!$B$39/12</f>
        <v/>
      </c>
      <c r="Z46" s="137">
        <f>IF(SUM(W46,X46)&gt;0,MIN(SUM(W46,X46),MAX(0,BP46-Y46)),0)</f>
        <v/>
      </c>
      <c r="AA46" s="137">
        <f>SUM(W46,X46)-Z46</f>
        <v/>
      </c>
      <c r="AB46" s="137">
        <f>SUM(Y46:Z46)</f>
        <v/>
      </c>
      <c r="AC46" s="137">
        <f>'Assumptions'!H72</f>
        <v/>
      </c>
      <c r="AD46" s="137">
        <f>'Assumptions'!H73</f>
        <v/>
      </c>
      <c r="AE46" s="137">
        <f>IF(X46&gt;0,SUM('Assumptions'!$B$42),0)</f>
        <v/>
      </c>
      <c r="AF46" s="137">
        <f>'Assumptions'!H71</f>
        <v/>
      </c>
      <c r="AG46" s="137">
        <f>'Assumptions'!H74</f>
        <v/>
      </c>
      <c r="AH46" s="137">
        <f>'Assumptions'!H75</f>
        <v/>
      </c>
      <c r="AI46" s="137">
        <f>'Assumptions'!H77</f>
        <v/>
      </c>
      <c r="AJ46" s="137">
        <f>V46-N46-SUM(AB46:AI46)</f>
        <v/>
      </c>
      <c r="AK46" s="137">
        <f>SUM(AJ42:AJ46)</f>
        <v/>
      </c>
      <c r="AL46" s="137">
        <f>IF(ISNUMBER('Assumptions'!$B$10),'Assumptions'!$B$10+AK46,"")</f>
        <v/>
      </c>
      <c r="AM46" s="137">
        <f>SUM(O46,Q46,T46)-N46-SUM(AC46:AI46)+IF('Funding'!$N$11=0,AE46,0)-IF('Funding'!$N$11&gt;0,AB46,0)</f>
        <v/>
      </c>
      <c r="AN46" s="137">
        <f>SUM(AM42:AM46)</f>
        <v/>
      </c>
      <c r="AO46" s="137">
        <f>IF(ISNUMBER('Assumptions'!$B$10),'Assumptions'!$B$10+AN46,"")</f>
        <v/>
      </c>
      <c r="AP46" s="137">
        <f>('Production schedule'!AK118)*'Responsibilities'!$C$6+('Production schedule'!AK154)*'Responsibilities'!$C$7+('Production schedule'!AK190)*'Responsibilities'!$C$8</f>
        <v/>
      </c>
      <c r="AQ46" s="137">
        <f>SUMIFS('Production schedule'!$AL$114:$AL$221,'Production schedule'!$C$114:$C$221,5)</f>
        <v/>
      </c>
      <c r="AR46" s="137">
        <f>IF(ISNUMBER('Assumptions'!H76),'Assumptions'!H76,SUM(O46:P46))</f>
        <v/>
      </c>
      <c r="AS46" s="137">
        <f>IF(ISNUMBER('Assumptions'!$B$13),MIN('Assumptions'!$B$13/'Assumptions'!$B$18/12,MAX(0,'Assumptions'!$B$13-(5-1)*'Assumptions'!$B$13/'Assumptions'!$B$18/12)),0)+IF(AND('Sites'!E6=1,5&gt;=('Sites'!F6),5&lt;('Sites'!F6)+'Assumptions'!$B$18*12),'Capital'!E6/'Assumptions'!$B$18/12,0)+IF(AND('Sites'!E7=1,5&gt;=('Sites'!F7+'Cases'!G7),5&lt;('Sites'!F7+'Cases'!G7)+'Assumptions'!$B$18*12),'Capital'!E7/'Assumptions'!$B$18/12,0)+IF(AND('Sites'!E8*'Cases'!F7=1,5&gt;=('Sites'!F8+'Cases'!G7),5&lt;('Sites'!F8+'Cases'!G7)+'Assumptions'!$B$18*12),'Capital'!E8/'Assumptions'!$B$18/12,0)</f>
        <v/>
      </c>
      <c r="AT46" s="137">
        <f>SUM(AQ46,AR46,U46)-AP46-SUM(H46:L46)-AS46-SUM(Y46,AD46,AE46,AH46)</f>
        <v/>
      </c>
      <c r="AU46" s="137">
        <f>IF(ISNUMBER('Assumptions'!$B$19),MAX(0,SUM(AT42:AT46))*'Assumptions'!$B$19-SUM(AU42:AU45),"")</f>
        <v/>
      </c>
      <c r="AV46" s="137">
        <f>IF(ISNUMBER(AU46),AT46-AU46,"")</f>
        <v/>
      </c>
      <c r="AW46" s="137">
        <f>IF(ISNUMBER('Assumptions'!$B$11),'Assumptions'!$B$11+SUM(AQ42:AQ46)-SUM(S42:S46)-SUM(T42:T46),"")</f>
        <v/>
      </c>
      <c r="AX46" s="137">
        <f>IF(ISNUMBER('Assumptions'!$B$12),'Assumptions'!$B$12+SUM(G42:G46)-SUM(AP42:AP46),"")</f>
        <v/>
      </c>
      <c r="AY46" s="137">
        <f>IF(ISNUMBER('Assumptions'!$B$13),'Assumptions'!$B$13+SUM(M42:M46)-SUM(AS42:AS46),"")</f>
        <v/>
      </c>
      <c r="AZ46" s="137">
        <f>IF(ISNUMBER('Assumptions'!$B$14),'Assumptions'!$B$14+-SUM(AF42:AF46),"")</f>
        <v/>
      </c>
      <c r="BA46" s="137">
        <f>IF(ISNUMBER('Assumptions'!$B$15),'Assumptions'!$B$15+SUM(O42:O46)+SUM(P42:P46)-SUM(AR42:AR46),"")</f>
        <v/>
      </c>
      <c r="BB46" s="137">
        <f>IF(ISNUMBER('Assumptions'!$B$16),'Assumptions'!$B$16+-SUM(AC42:AC46),"")</f>
        <v/>
      </c>
      <c r="BC46" s="137">
        <f>IF(AND(ISNUMBER('Assumptions'!$B$21),ISNUMBER('Assumptions'!$B$19)),'Assumptions'!$B$21+SUM(AU42:AU46)-SUM(AG42:AG46),"")</f>
        <v/>
      </c>
      <c r="BD46" s="137">
        <f>IF(ISNUMBER('Assumptions'!$B$20),'Assumptions'!$B$20+-SUM(AI42:AI46),"")</f>
        <v/>
      </c>
      <c r="BE46" s="137">
        <f>IF(AND(ISNUMBER('Assumptions'!$B$17),COUNT(AV42:AV46)=5),'Assumptions'!$B$17+SUM(AV42:AV46),"")</f>
        <v/>
      </c>
      <c r="BF46" s="137">
        <f>IF(COUNT(AL46,AW46:AY46)=4,SUM(AL46,AW46:AY46),"")</f>
        <v/>
      </c>
      <c r="BG46" s="137">
        <f>IF(COUNT(AZ46:BD46)=5,SUM(AZ46:BD46,AA46),"")</f>
        <v/>
      </c>
      <c r="BH46" s="137">
        <f>IF(COUNT(BF46,BG46,BE46)=3,BF46-BG46-BE46,"")</f>
        <v/>
      </c>
      <c r="BI46" s="137">
        <f>SUM(W46,X46)-Z46-AA46</f>
        <v/>
      </c>
      <c r="BJ46" s="137">
        <f>8-COUNT('Assumptions'!H58:H65)+COUNTBLANK('NM Play'!B33:B34)+'Costs'!E44+IF(AND('Sites'!E6=1,('Sites'!F6)&lt;=12,'Sites'!G6&gt;=1),IF(ISNUMBER('Sites'!O6),0,1)+'Capital'!I6+COUNTBLANK('Sites'!R6)+IF('Sites'!D6="NM crew",COUNTBLANK('NM Play'!B25)+1,5-COUNT('Assumptions'!H112:H116)),0)+IF(AND('Sites'!E7=1,('Sites'!F7+'Cases'!G7)&lt;=12,'Sites'!G7&gt;=1),IF(ISNUMBER('Sites'!O7),0,1)+'Capital'!I7+COUNTBLANK('Sites'!R7)+IF('Sites'!D7="NM crew",COUNTBLANK('NM Play'!B25)+1,5-COUNT('Assumptions'!H117:H121)),0)+IF(AND('Sites'!E8*'Cases'!F7=1,('Sites'!F8+'Cases'!G7)&lt;=12,'Sites'!G8&gt;=1),IF(ISNUMBER('Sites'!O8),0,1)+'Capital'!I8+COUNTBLANK('Sites'!R8)+IF('Sites'!D8="NM crew",COUNTBLANK('NM Play'!B25)+1,5-COUNT('Assumptions'!H122:H126)),0)+IF(AND('Cases'!C7&gt;0,NOT(ISNUMBER('Assumptions'!B42))),1,0)+'Responsibilities'!$B$39</f>
        <v/>
      </c>
      <c r="BK46" s="137">
        <f>'Assumptions'!$B$50+'NM Play'!$B$83+'Funding'!$F$20+SUMIFS('Production schedule'!$AN$114:$AN$221,'Production schedule'!$C$114:$C$221,5)+IF(OR('Cases'!E7&lt;0,'Cases'!E7&gt;1,'Cases'!C7&lt;0,'Cases'!D7&lt;0,ABS(SUM('Sites'!S6:S8)-1)&gt;0.0001,MIN('Capital'!F6:F8)&lt;0,MAX('Capital'!F6:F8)&gt;1,MIN(AX46,AZ46,BB46,BA46)&lt;-0.01),1,0)+'Responsibilities'!$B$40</f>
        <v/>
      </c>
      <c r="BL46" s="137">
        <f>SUMIFS('Production schedule'!$T$114:$T$221,'Production schedule'!$C$114:$C$221,5)</f>
        <v/>
      </c>
      <c r="BM46" s="137">
        <f>D46*'NM Play'!$B$38</f>
        <v/>
      </c>
      <c r="BN46" s="137">
        <f>SUMIFS('Production schedule'!$AM$114:$AM$221,'Production schedule'!$C$114:$C$221,5)</f>
        <v/>
      </c>
      <c r="BO46" s="137">
        <f>AK46-AK45-AJ46</f>
        <v/>
      </c>
      <c r="BP46" s="137">
        <f>IF(AND('Assumptions'!$B$39&gt;=0,'Assumptions'!$B$40&gt;0),-PMT('Assumptions'!$B$39/12,'Assumptions'!$B$40*12,IF('Funding'!$N$11&gt;0,'Funding'!$N$11,'Funding'!$S$11)),"")</f>
        <v/>
      </c>
      <c r="BQ46">
        <f>('Production schedule'!AJ118)*(1-'Responsibilities'!$C$6)+('Production schedule'!AJ154)*(1-'Responsibilities'!$C$7)+('Production schedule'!AJ190)*(1-'Responsibilities'!$C$8)</f>
        <v/>
      </c>
      <c r="BR46">
        <f>('Production schedule'!AI118)*(1-'Responsibilities'!$D$6)+('Production schedule'!AI154)*(1-'Responsibilities'!$D$7)+('Production schedule'!AI190)*(1-'Responsibilities'!$D$8)</f>
        <v/>
      </c>
      <c r="BS46">
        <f>('Production schedule'!E118*(IF('Sites'!D6="Annual staff",SUM('Assumptions'!H112,'Assumptions'!H114),0)+SUM('Assumptions'!H113,'Assumptions'!H115:H116)))*(1-'Responsibilities'!$E$6)+('Production schedule'!E154*(IF('Sites'!D7="Annual staff",SUM('Assumptions'!H117,'Assumptions'!H119),0)+SUM('Assumptions'!H118,'Assumptions'!H120:H121)))*(1-'Responsibilities'!$E$7)+('Production schedule'!E190*(IF('Sites'!D8="Annual staff",SUM('Assumptions'!H122,'Assumptions'!H124),0)+SUM('Assumptions'!H123,'Assumptions'!H125:H126)))*(1-'Responsibilities'!$E$8)</f>
        <v/>
      </c>
      <c r="BT46">
        <f>(IF(AND('Production schedule'!E118=1,5=MAX(('Sites'!F6),1),ISNUMBER('Sites'!O6)),'Sites'!O6*'Assumptions'!$B$44,0))*(1-'Responsibilities'!$F$6)+(IF(AND('Production schedule'!E154=1,5=MAX(('Sites'!F7+'Cases'!G7),1),ISNUMBER('Sites'!O7)),'Sites'!O7*'Assumptions'!$B$44,0))*(1-'Responsibilities'!$F$7)+(IF(AND('Production schedule'!E190=1,5=MAX(('Sites'!F8+'Cases'!G7),1),ISNUMBER('Sites'!O8)),'Sites'!O8*'Assumptions'!$B$44,0))*(1-'Responsibilities'!$F$8)</f>
        <v/>
      </c>
      <c r="BU46">
        <f>SUM('Costs'!E36)*'Costs'!F36/12*(1-'Responsibilities'!$C$12)+SUM('Costs'!E37)*'Costs'!F37/12*(1-'Responsibilities'!$C$13)+SUM('Costs'!E38)*'Costs'!F38/12*(1-'Responsibilities'!$C$14)+SUM('Costs'!E39)*'Costs'!F39/12*(1-'Responsibilities'!$C$15)+SUM('Costs'!E40)*'Costs'!F40/12*(1-'Responsibilities'!$C$16)</f>
        <v/>
      </c>
      <c r="BV46">
        <f>('Sites'!E6*'Capital'!E6*(IF(5='Capital'!G6,'Capital'!F6,0)+IF(5='Capital'!H6,1-'Capital'!F6,0)))*(1-'Responsibilities'!$G$6)+('Sites'!E7*'Capital'!E7*(IF(5='Capital'!G7+'Cases'!G7,'Capital'!F7,0)+IF(5='Capital'!H7+'Cases'!G7,1-'Capital'!F7,0)))*(1-'Responsibilities'!$G$7)+('Sites'!E8*'Cases'!F7*'Capital'!E8*(IF(5='Capital'!G8+'Cases'!G7,'Capital'!F8,0)+IF(5='Capital'!H8+'Cases'!G7,1-'Capital'!F8,0)))*(1-'Responsibilities'!$G$8)</f>
        <v/>
      </c>
      <c r="BW46">
        <f>SUM(BQ46:BV46)</f>
        <v/>
      </c>
      <c r="BX46">
        <f>N46+BW46</f>
        <v/>
      </c>
      <c r="BY46">
        <f>BX46-(('Production schedule'!AJ118)*'Responsibilities'!$C$6+('Production schedule'!AJ154)*'Responsibilities'!$C$7+('Production schedule'!AJ190)*'Responsibilities'!$C$8+('Production schedule'!AJ118)*(1-'Responsibilities'!$C$6)+('Production schedule'!AJ154)*(1-'Responsibilities'!$C$7)+('Production schedule'!AJ190)*(1-'Responsibilities'!$C$8)+('Production schedule'!AI118)*'Responsibilities'!$D$6+('Production schedule'!AI154)*'Responsibilities'!$D$7+('Production schedule'!AI190)*'Responsibilities'!$D$8+('Production schedule'!AI118)*(1-'Responsibilities'!$D$6)+('Production schedule'!AI154)*(1-'Responsibilities'!$D$7)+('Production schedule'!AI190)*(1-'Responsibilities'!$D$8)+('Production schedule'!E118*(IF('Sites'!D6="Annual staff",SUM('Assumptions'!H112,'Assumptions'!H114),0)+SUM('Assumptions'!H113,'Assumptions'!H115:H116)))*'Responsibilities'!$E$6+('Production schedule'!E154*(IF('Sites'!D7="Annual staff",SUM('Assumptions'!H117,'Assumptions'!H119),0)+SUM('Assumptions'!H118,'Assumptions'!H120:H121)))*'Responsibilities'!$E$7+('Production schedule'!E190*(IF('Sites'!D8="Annual staff",SUM('Assumptions'!H122,'Assumptions'!H124),0)+SUM('Assumptions'!H123,'Assumptions'!H125:H126)))*'Responsibilities'!$E$8+('Production schedule'!E118*(IF('Sites'!D6="Annual staff",SUM('Assumptions'!H112,'Assumptions'!H114),0)+SUM('Assumptions'!H113,'Assumptions'!H115:H116)))*(1-'Responsibilities'!$E$6)+('Production schedule'!E154*(IF('Sites'!D7="Annual staff",SUM('Assumptions'!H117,'Assumptions'!H119),0)+SUM('Assumptions'!H118,'Assumptions'!H120:H121)))*(1-'Responsibilities'!$E$7)+('Production schedule'!E190*(IF('Sites'!D8="Annual staff",SUM('Assumptions'!H122,'Assumptions'!H124),0)+SUM('Assumptions'!H123,'Assumptions'!H125:H126)))*(1-'Responsibilities'!$E$8)+(IF(AND('Production schedule'!E118=1,5=MAX(('Sites'!F6),1),ISNUMBER('Sites'!O6)),'Sites'!O6*'Assumptions'!$B$44,0))*'Responsibilities'!$F$6+(IF(AND('Production schedule'!E154=1,5=MAX(('Sites'!F7+'Cases'!G7),1),ISNUMBER('Sites'!O7)),'Sites'!O7*'Assumptions'!$B$44,0))*'Responsibilities'!$F$7+(IF(AND('Production schedule'!E190=1,5=MAX(('Sites'!F8+'Cases'!G7),1),ISNUMBER('Sites'!O8)),'Sites'!O8*'Assumptions'!$B$44,0))*'Responsibilities'!$F$8+(IF(AND('Production schedule'!E118=1,5=MAX(('Sites'!F6),1),ISNUMBER('Sites'!O6)),'Sites'!O6*'Assumptions'!$B$44,0))*(1-'Responsibilities'!$F$6)+(IF(AND('Production schedule'!E154=1,5=MAX(('Sites'!F7+'Cases'!G7),1),ISNUMBER('Sites'!O7)),'Sites'!O7*'Assumptions'!$B$44,0))*(1-'Responsibilities'!$F$7)+(IF(AND('Production schedule'!E190=1,5=MAX(('Sites'!F8+'Cases'!G7),1),ISNUMBER('Sites'!O8)),'Sites'!O8*'Assumptions'!$B$44,0))*(1-'Responsibilities'!$F$8)+('Sites'!E6*'Capital'!E6*(IF(5='Capital'!G6,'Capital'!F6,0)+IF(5='Capital'!H6,1-'Capital'!F6,0)))*'Responsibilities'!$G$6+('Sites'!E7*'Capital'!E7*(IF(5='Capital'!G7+'Cases'!G7,'Capital'!F7,0)+IF(5='Capital'!H7+'Cases'!G7,1-'Capital'!F7,0)))*'Responsibilities'!$G$7+('Sites'!E8*'Cases'!F7*'Capital'!E8*(IF(5='Capital'!G8+'Cases'!G7,'Capital'!F8,0)+IF(5='Capital'!H8+'Cases'!G7,1-'Capital'!F8,0)))*'Responsibilities'!$G$8+('Sites'!E6*'Capital'!E6*(IF(5='Capital'!G6,'Capital'!F6,0)+IF(5='Capital'!H6,1-'Capital'!F6,0)))*(1-'Responsibilities'!$G$6)+('Sites'!E7*'Capital'!E7*(IF(5='Capital'!G7+'Cases'!G7,'Capital'!F7,0)+IF(5='Capital'!H7+'Cases'!G7,1-'Capital'!F7,0)))*(1-'Responsibilities'!$G$7)+('Sites'!E8*'Cases'!F7*'Capital'!E8*(IF(5='Capital'!G8+'Cases'!G7,'Capital'!F8,0)+IF(5='Capital'!H8+'Cases'!G7,1-'Capital'!F8,0)))*(1-'Responsibilities'!$G$8)+I46+SUMPRODUCT('Costs'!$E$36:$E$40,'Costs'!$F$36:$F$40)/12+BZ46)</f>
        <v/>
      </c>
      <c r="BZ46">
        <f>SUMIFS('Responsibilities'!$B$31:$B$35,'Responsibilities'!$C$31:$C$35,5,'Responsibilities'!$D$31:$D$35,"Yes")</f>
        <v/>
      </c>
    </row>
    <row r="47" ht="28" customHeight="1">
      <c r="A47" s="4" t="inlineStr">
        <is>
          <t>Smaller</t>
        </is>
      </c>
      <c r="B47" s="4" t="n">
        <v>6</v>
      </c>
      <c r="C47" s="4">
        <f>ROUNDUP(B47/12,0)</f>
        <v/>
      </c>
      <c r="D47" s="137">
        <f>SUMIFS('Production schedule'!$N$114:$N$221,'Production schedule'!$C$114:$C$221,6)</f>
        <v/>
      </c>
      <c r="E47" s="137">
        <f>SUMIFS('Production schedule'!$Y$114:$Y$221,'Production schedule'!$C$114:$C$221,6)</f>
        <v/>
      </c>
      <c r="F47" s="137">
        <f>SUMIFS('Production schedule'!$Z$114:$Z$221,'Production schedule'!$C$114:$C$221,6)</f>
        <v/>
      </c>
      <c r="G47" s="137">
        <f>('Production schedule'!AJ119)*'Responsibilities'!$C$6+('Production schedule'!AJ155)*'Responsibilities'!$C$7+('Production schedule'!AJ191)*'Responsibilities'!$C$8</f>
        <v/>
      </c>
      <c r="H47" s="137">
        <f>('Production schedule'!AI119)*'Responsibilities'!$D$6+('Production schedule'!AI155)*'Responsibilities'!$D$7+('Production schedule'!AI191)*'Responsibilities'!$D$8</f>
        <v/>
      </c>
      <c r="I47" s="137">
        <f>SUM('Assumptions'!I58:I65)</f>
        <v/>
      </c>
      <c r="J47" s="137">
        <f>('Production schedule'!E119*(IF('Sites'!D6="Annual staff",SUM('Assumptions'!I112,'Assumptions'!I114),0)+SUM('Assumptions'!I113,'Assumptions'!I115:I116)))*'Responsibilities'!$E$6+('Production schedule'!E155*(IF('Sites'!D7="Annual staff",SUM('Assumptions'!I117,'Assumptions'!I119),0)+SUM('Assumptions'!I118,'Assumptions'!I120:I121)))*'Responsibilities'!$E$7+('Production schedule'!E191*(IF('Sites'!D8="Annual staff",SUM('Assumptions'!I122,'Assumptions'!I124),0)+SUM('Assumptions'!I123,'Assumptions'!I125:I126)))*'Responsibilities'!$E$8</f>
        <v/>
      </c>
      <c r="K47" s="137">
        <f>(IF(AND('Production schedule'!E119=1,6=MAX(('Sites'!F6),1),ISNUMBER('Sites'!O6)),'Sites'!O6*'Assumptions'!$B$44,0))*'Responsibilities'!$F$6+(IF(AND('Production schedule'!E155=1,6=MAX(('Sites'!F7+'Cases'!G7),1),ISNUMBER('Sites'!O7)),'Sites'!O7*'Assumptions'!$B$44,0))*'Responsibilities'!$F$7+(IF(AND('Production schedule'!E191=1,6=MAX(('Sites'!F8+'Cases'!G7),1),ISNUMBER('Sites'!O8)),'Sites'!O8*'Assumptions'!$B$44,0))*'Responsibilities'!$F$8</f>
        <v/>
      </c>
      <c r="L47" s="137">
        <f>SUM('Costs'!E36)*'Costs'!F36/12*'Responsibilities'!$C$12+SUM('Costs'!E37)*'Costs'!F37/12*'Responsibilities'!$C$13+SUM('Costs'!E38)*'Costs'!F38/12*'Responsibilities'!$C$14+SUM('Costs'!E39)*'Costs'!F39/12*'Responsibilities'!$C$15+SUM('Costs'!E40)*'Costs'!F40/12*'Responsibilities'!$C$16+BZ47</f>
        <v/>
      </c>
      <c r="M47" s="137">
        <f>('Sites'!E6*'Capital'!E6*(IF(6='Capital'!G6,'Capital'!F6,0)+IF(6='Capital'!H6,1-'Capital'!F6,0)))*'Responsibilities'!$G$6+('Sites'!E7*'Capital'!E7*(IF(6='Capital'!G7+'Cases'!G7,'Capital'!F7,0)+IF(6='Capital'!H7+'Cases'!G7,1-'Capital'!F7,0)))*'Responsibilities'!$G$7+('Sites'!E8*'Cases'!F7*'Capital'!E8*(IF(6='Capital'!G8+'Cases'!G7,'Capital'!F8,0)+IF(6='Capital'!H8+'Cases'!G7,1-'Capital'!F8,0)))*'Responsibilities'!$G$8</f>
        <v/>
      </c>
      <c r="N47" s="137">
        <f>SUM(G47:M47)</f>
        <v/>
      </c>
      <c r="O47" s="137">
        <f>SUMIFS(FundingTranches[Secured amount],FundingTranches[Instrument],"Grant",FundingTranches[Secured month],6)</f>
        <v/>
      </c>
      <c r="P47" s="137">
        <f>SUMIFS(FundingTranches[Smaller possible],FundingTranches[Instrument],"Grant",FundingTranches[Scenario month],6-'Cases'!$D$7)</f>
        <v/>
      </c>
      <c r="Q47" s="137">
        <f>SUMIFS(FundingTranches[Secured amount],FundingTranches[Instrument],"Loan",FundingTranches[Secured month],6)</f>
        <v/>
      </c>
      <c r="R47" s="137">
        <f>SUMIFS(FundingTranches[Smaller possible],FundingTranches[Instrument],"Loan",FundingTranches[Scenario month],6-'Cases'!$D$7)</f>
        <v/>
      </c>
      <c r="S47" s="137">
        <f>IF(6&lt;='Assumptions'!$B$34,0,SUMIFS('Production schedule'!$AL$114:$AL$221,'Production schedule'!$C$114:$C$221,6-'Assumptions'!$B$34))</f>
        <v/>
      </c>
      <c r="T47" s="137">
        <f>'Assumptions'!I70</f>
        <v/>
      </c>
      <c r="U47" s="137">
        <f>'Assumptions'!I78</f>
        <v/>
      </c>
      <c r="V47" s="137">
        <f>SUM(O47:U47)</f>
        <v/>
      </c>
      <c r="W47" s="137">
        <f>AA46</f>
        <v/>
      </c>
      <c r="X47" s="137">
        <f>SUM(Q47:R47)</f>
        <v/>
      </c>
      <c r="Y47" s="137">
        <f>SUM(W47,X47)*'Assumptions'!$B$39/12</f>
        <v/>
      </c>
      <c r="Z47" s="137">
        <f>IF(SUM(W47,X47)&gt;0,MIN(SUM(W47,X47),MAX(0,BP47-Y47)),0)</f>
        <v/>
      </c>
      <c r="AA47" s="137">
        <f>SUM(W47,X47)-Z47</f>
        <v/>
      </c>
      <c r="AB47" s="137">
        <f>SUM(Y47:Z47)</f>
        <v/>
      </c>
      <c r="AC47" s="137">
        <f>'Assumptions'!I72</f>
        <v/>
      </c>
      <c r="AD47" s="137">
        <f>'Assumptions'!I73</f>
        <v/>
      </c>
      <c r="AE47" s="137">
        <f>IF(X47&gt;0,SUM('Assumptions'!$B$42),0)</f>
        <v/>
      </c>
      <c r="AF47" s="137">
        <f>'Assumptions'!I71</f>
        <v/>
      </c>
      <c r="AG47" s="137">
        <f>'Assumptions'!I74</f>
        <v/>
      </c>
      <c r="AH47" s="137">
        <f>'Assumptions'!I75</f>
        <v/>
      </c>
      <c r="AI47" s="137">
        <f>'Assumptions'!I77</f>
        <v/>
      </c>
      <c r="AJ47" s="137">
        <f>V47-N47-SUM(AB47:AI47)</f>
        <v/>
      </c>
      <c r="AK47" s="137">
        <f>SUM(AJ42:AJ47)</f>
        <v/>
      </c>
      <c r="AL47" s="137">
        <f>IF(ISNUMBER('Assumptions'!$B$10),'Assumptions'!$B$10+AK47,"")</f>
        <v/>
      </c>
      <c r="AM47" s="137">
        <f>SUM(O47,Q47,T47)-N47-SUM(AC47:AI47)+IF('Funding'!$N$11=0,AE47,0)-IF('Funding'!$N$11&gt;0,AB47,0)</f>
        <v/>
      </c>
      <c r="AN47" s="137">
        <f>SUM(AM42:AM47)</f>
        <v/>
      </c>
      <c r="AO47" s="137">
        <f>IF(ISNUMBER('Assumptions'!$B$10),'Assumptions'!$B$10+AN47,"")</f>
        <v/>
      </c>
      <c r="AP47" s="137">
        <f>('Production schedule'!AK119)*'Responsibilities'!$C$6+('Production schedule'!AK155)*'Responsibilities'!$C$7+('Production schedule'!AK191)*'Responsibilities'!$C$8</f>
        <v/>
      </c>
      <c r="AQ47" s="137">
        <f>SUMIFS('Production schedule'!$AL$114:$AL$221,'Production schedule'!$C$114:$C$221,6)</f>
        <v/>
      </c>
      <c r="AR47" s="137">
        <f>IF(ISNUMBER('Assumptions'!I76),'Assumptions'!I76,SUM(O47:P47))</f>
        <v/>
      </c>
      <c r="AS47" s="137">
        <f>IF(ISNUMBER('Assumptions'!$B$13),MIN('Assumptions'!$B$13/'Assumptions'!$B$18/12,MAX(0,'Assumptions'!$B$13-(6-1)*'Assumptions'!$B$13/'Assumptions'!$B$18/12)),0)+IF(AND('Sites'!E6=1,6&gt;=('Sites'!F6),6&lt;('Sites'!F6)+'Assumptions'!$B$18*12),'Capital'!E6/'Assumptions'!$B$18/12,0)+IF(AND('Sites'!E7=1,6&gt;=('Sites'!F7+'Cases'!G7),6&lt;('Sites'!F7+'Cases'!G7)+'Assumptions'!$B$18*12),'Capital'!E7/'Assumptions'!$B$18/12,0)+IF(AND('Sites'!E8*'Cases'!F7=1,6&gt;=('Sites'!F8+'Cases'!G7),6&lt;('Sites'!F8+'Cases'!G7)+'Assumptions'!$B$18*12),'Capital'!E8/'Assumptions'!$B$18/12,0)</f>
        <v/>
      </c>
      <c r="AT47" s="137">
        <f>SUM(AQ47,AR47,U47)-AP47-SUM(H47:L47)-AS47-SUM(Y47,AD47,AE47,AH47)</f>
        <v/>
      </c>
      <c r="AU47" s="137">
        <f>IF(ISNUMBER('Assumptions'!$B$19),MAX(0,SUM(AT42:AT47))*'Assumptions'!$B$19-SUM(AU42:AU46),"")</f>
        <v/>
      </c>
      <c r="AV47" s="137">
        <f>IF(ISNUMBER(AU47),AT47-AU47,"")</f>
        <v/>
      </c>
      <c r="AW47" s="137">
        <f>IF(ISNUMBER('Assumptions'!$B$11),'Assumptions'!$B$11+SUM(AQ42:AQ47)-SUM(S42:S47)-SUM(T42:T47),"")</f>
        <v/>
      </c>
      <c r="AX47" s="137">
        <f>IF(ISNUMBER('Assumptions'!$B$12),'Assumptions'!$B$12+SUM(G42:G47)-SUM(AP42:AP47),"")</f>
        <v/>
      </c>
      <c r="AY47" s="137">
        <f>IF(ISNUMBER('Assumptions'!$B$13),'Assumptions'!$B$13+SUM(M42:M47)-SUM(AS42:AS47),"")</f>
        <v/>
      </c>
      <c r="AZ47" s="137">
        <f>IF(ISNUMBER('Assumptions'!$B$14),'Assumptions'!$B$14+-SUM(AF42:AF47),"")</f>
        <v/>
      </c>
      <c r="BA47" s="137">
        <f>IF(ISNUMBER('Assumptions'!$B$15),'Assumptions'!$B$15+SUM(O42:O47)+SUM(P42:P47)-SUM(AR42:AR47),"")</f>
        <v/>
      </c>
      <c r="BB47" s="137">
        <f>IF(ISNUMBER('Assumptions'!$B$16),'Assumptions'!$B$16+-SUM(AC42:AC47),"")</f>
        <v/>
      </c>
      <c r="BC47" s="137">
        <f>IF(AND(ISNUMBER('Assumptions'!$B$21),ISNUMBER('Assumptions'!$B$19)),'Assumptions'!$B$21+SUM(AU42:AU47)-SUM(AG42:AG47),"")</f>
        <v/>
      </c>
      <c r="BD47" s="137">
        <f>IF(ISNUMBER('Assumptions'!$B$20),'Assumptions'!$B$20+-SUM(AI42:AI47),"")</f>
        <v/>
      </c>
      <c r="BE47" s="137">
        <f>IF(AND(ISNUMBER('Assumptions'!$B$17),COUNT(AV42:AV47)=6),'Assumptions'!$B$17+SUM(AV42:AV47),"")</f>
        <v/>
      </c>
      <c r="BF47" s="137">
        <f>IF(COUNT(AL47,AW47:AY47)=4,SUM(AL47,AW47:AY47),"")</f>
        <v/>
      </c>
      <c r="BG47" s="137">
        <f>IF(COUNT(AZ47:BD47)=5,SUM(AZ47:BD47,AA47),"")</f>
        <v/>
      </c>
      <c r="BH47" s="137">
        <f>IF(COUNT(BF47,BG47,BE47)=3,BF47-BG47-BE47,"")</f>
        <v/>
      </c>
      <c r="BI47" s="137">
        <f>SUM(W47,X47)-Z47-AA47</f>
        <v/>
      </c>
      <c r="BJ47" s="137">
        <f>8-COUNT('Assumptions'!I58:I65)+COUNTBLANK('NM Play'!B33:B34)+'Costs'!E44+IF(AND('Sites'!E6=1,('Sites'!F6)&lt;=12,'Sites'!G6&gt;=1),IF(ISNUMBER('Sites'!O6),0,1)+'Capital'!I6+COUNTBLANK('Sites'!R6)+IF('Sites'!D6="NM crew",COUNTBLANK('NM Play'!B25)+1,5-COUNT('Assumptions'!I112:I116)),0)+IF(AND('Sites'!E7=1,('Sites'!F7+'Cases'!G7)&lt;=12,'Sites'!G7&gt;=1),IF(ISNUMBER('Sites'!O7),0,1)+'Capital'!I7+COUNTBLANK('Sites'!R7)+IF('Sites'!D7="NM crew",COUNTBLANK('NM Play'!B25)+1,5-COUNT('Assumptions'!I117:I121)),0)+IF(AND('Sites'!E8*'Cases'!F7=1,('Sites'!F8+'Cases'!G7)&lt;=12,'Sites'!G8&gt;=1),IF(ISNUMBER('Sites'!O8),0,1)+'Capital'!I8+COUNTBLANK('Sites'!R8)+IF('Sites'!D8="NM crew",COUNTBLANK('NM Play'!B25)+1,5-COUNT('Assumptions'!I122:I126)),0)+IF(AND('Cases'!C7&gt;0,NOT(ISNUMBER('Assumptions'!B42))),1,0)+'Responsibilities'!$B$39</f>
        <v/>
      </c>
      <c r="BK47" s="137">
        <f>'Assumptions'!$B$50+'NM Play'!$B$83+'Funding'!$F$20+SUMIFS('Production schedule'!$AN$114:$AN$221,'Production schedule'!$C$114:$C$221,6)+IF(OR('Cases'!E7&lt;0,'Cases'!E7&gt;1,'Cases'!C7&lt;0,'Cases'!D7&lt;0,ABS(SUM('Sites'!S6:S8)-1)&gt;0.0001,MIN('Capital'!F6:F8)&lt;0,MAX('Capital'!F6:F8)&gt;1,MIN(AX47,AZ47,BB47,BA47)&lt;-0.01),1,0)+'Responsibilities'!$B$40</f>
        <v/>
      </c>
      <c r="BL47" s="137">
        <f>SUMIFS('Production schedule'!$T$114:$T$221,'Production schedule'!$C$114:$C$221,6)</f>
        <v/>
      </c>
      <c r="BM47" s="137">
        <f>D47*'NM Play'!$B$38</f>
        <v/>
      </c>
      <c r="BN47" s="137">
        <f>SUMIFS('Production schedule'!$AM$114:$AM$221,'Production schedule'!$C$114:$C$221,6)</f>
        <v/>
      </c>
      <c r="BO47" s="137">
        <f>AK47-AK46-AJ47</f>
        <v/>
      </c>
      <c r="BP47" s="137">
        <f>IF(AND('Assumptions'!$B$39&gt;=0,'Assumptions'!$B$40&gt;0),-PMT('Assumptions'!$B$39/12,'Assumptions'!$B$40*12,IF('Funding'!$N$11&gt;0,'Funding'!$N$11,'Funding'!$S$11)),"")</f>
        <v/>
      </c>
      <c r="BQ47">
        <f>('Production schedule'!AJ119)*(1-'Responsibilities'!$C$6)+('Production schedule'!AJ155)*(1-'Responsibilities'!$C$7)+('Production schedule'!AJ191)*(1-'Responsibilities'!$C$8)</f>
        <v/>
      </c>
      <c r="BR47">
        <f>('Production schedule'!AI119)*(1-'Responsibilities'!$D$6)+('Production schedule'!AI155)*(1-'Responsibilities'!$D$7)+('Production schedule'!AI191)*(1-'Responsibilities'!$D$8)</f>
        <v/>
      </c>
      <c r="BS47">
        <f>('Production schedule'!E119*(IF('Sites'!D6="Annual staff",SUM('Assumptions'!I112,'Assumptions'!I114),0)+SUM('Assumptions'!I113,'Assumptions'!I115:I116)))*(1-'Responsibilities'!$E$6)+('Production schedule'!E155*(IF('Sites'!D7="Annual staff",SUM('Assumptions'!I117,'Assumptions'!I119),0)+SUM('Assumptions'!I118,'Assumptions'!I120:I121)))*(1-'Responsibilities'!$E$7)+('Production schedule'!E191*(IF('Sites'!D8="Annual staff",SUM('Assumptions'!I122,'Assumptions'!I124),0)+SUM('Assumptions'!I123,'Assumptions'!I125:I126)))*(1-'Responsibilities'!$E$8)</f>
        <v/>
      </c>
      <c r="BT47">
        <f>(IF(AND('Production schedule'!E119=1,6=MAX(('Sites'!F6),1),ISNUMBER('Sites'!O6)),'Sites'!O6*'Assumptions'!$B$44,0))*(1-'Responsibilities'!$F$6)+(IF(AND('Production schedule'!E155=1,6=MAX(('Sites'!F7+'Cases'!G7),1),ISNUMBER('Sites'!O7)),'Sites'!O7*'Assumptions'!$B$44,0))*(1-'Responsibilities'!$F$7)+(IF(AND('Production schedule'!E191=1,6=MAX(('Sites'!F8+'Cases'!G7),1),ISNUMBER('Sites'!O8)),'Sites'!O8*'Assumptions'!$B$44,0))*(1-'Responsibilities'!$F$8)</f>
        <v/>
      </c>
      <c r="BU47">
        <f>SUM('Costs'!E36)*'Costs'!F36/12*(1-'Responsibilities'!$C$12)+SUM('Costs'!E37)*'Costs'!F37/12*(1-'Responsibilities'!$C$13)+SUM('Costs'!E38)*'Costs'!F38/12*(1-'Responsibilities'!$C$14)+SUM('Costs'!E39)*'Costs'!F39/12*(1-'Responsibilities'!$C$15)+SUM('Costs'!E40)*'Costs'!F40/12*(1-'Responsibilities'!$C$16)</f>
        <v/>
      </c>
      <c r="BV47">
        <f>('Sites'!E6*'Capital'!E6*(IF(6='Capital'!G6,'Capital'!F6,0)+IF(6='Capital'!H6,1-'Capital'!F6,0)))*(1-'Responsibilities'!$G$6)+('Sites'!E7*'Capital'!E7*(IF(6='Capital'!G7+'Cases'!G7,'Capital'!F7,0)+IF(6='Capital'!H7+'Cases'!G7,1-'Capital'!F7,0)))*(1-'Responsibilities'!$G$7)+('Sites'!E8*'Cases'!F7*'Capital'!E8*(IF(6='Capital'!G8+'Cases'!G7,'Capital'!F8,0)+IF(6='Capital'!H8+'Cases'!G7,1-'Capital'!F8,0)))*(1-'Responsibilities'!$G$8)</f>
        <v/>
      </c>
      <c r="BW47">
        <f>SUM(BQ47:BV47)</f>
        <v/>
      </c>
      <c r="BX47">
        <f>N47+BW47</f>
        <v/>
      </c>
      <c r="BY47">
        <f>BX47-(('Production schedule'!AJ119)*'Responsibilities'!$C$6+('Production schedule'!AJ155)*'Responsibilities'!$C$7+('Production schedule'!AJ191)*'Responsibilities'!$C$8+('Production schedule'!AJ119)*(1-'Responsibilities'!$C$6)+('Production schedule'!AJ155)*(1-'Responsibilities'!$C$7)+('Production schedule'!AJ191)*(1-'Responsibilities'!$C$8)+('Production schedule'!AI119)*'Responsibilities'!$D$6+('Production schedule'!AI155)*'Responsibilities'!$D$7+('Production schedule'!AI191)*'Responsibilities'!$D$8+('Production schedule'!AI119)*(1-'Responsibilities'!$D$6)+('Production schedule'!AI155)*(1-'Responsibilities'!$D$7)+('Production schedule'!AI191)*(1-'Responsibilities'!$D$8)+('Production schedule'!E119*(IF('Sites'!D6="Annual staff",SUM('Assumptions'!I112,'Assumptions'!I114),0)+SUM('Assumptions'!I113,'Assumptions'!I115:I116)))*'Responsibilities'!$E$6+('Production schedule'!E155*(IF('Sites'!D7="Annual staff",SUM('Assumptions'!I117,'Assumptions'!I119),0)+SUM('Assumptions'!I118,'Assumptions'!I120:I121)))*'Responsibilities'!$E$7+('Production schedule'!E191*(IF('Sites'!D8="Annual staff",SUM('Assumptions'!I122,'Assumptions'!I124),0)+SUM('Assumptions'!I123,'Assumptions'!I125:I126)))*'Responsibilities'!$E$8+('Production schedule'!E119*(IF('Sites'!D6="Annual staff",SUM('Assumptions'!I112,'Assumptions'!I114),0)+SUM('Assumptions'!I113,'Assumptions'!I115:I116)))*(1-'Responsibilities'!$E$6)+('Production schedule'!E155*(IF('Sites'!D7="Annual staff",SUM('Assumptions'!I117,'Assumptions'!I119),0)+SUM('Assumptions'!I118,'Assumptions'!I120:I121)))*(1-'Responsibilities'!$E$7)+('Production schedule'!E191*(IF('Sites'!D8="Annual staff",SUM('Assumptions'!I122,'Assumptions'!I124),0)+SUM('Assumptions'!I123,'Assumptions'!I125:I126)))*(1-'Responsibilities'!$E$8)+(IF(AND('Production schedule'!E119=1,6=MAX(('Sites'!F6),1),ISNUMBER('Sites'!O6)),'Sites'!O6*'Assumptions'!$B$44,0))*'Responsibilities'!$F$6+(IF(AND('Production schedule'!E155=1,6=MAX(('Sites'!F7+'Cases'!G7),1),ISNUMBER('Sites'!O7)),'Sites'!O7*'Assumptions'!$B$44,0))*'Responsibilities'!$F$7+(IF(AND('Production schedule'!E191=1,6=MAX(('Sites'!F8+'Cases'!G7),1),ISNUMBER('Sites'!O8)),'Sites'!O8*'Assumptions'!$B$44,0))*'Responsibilities'!$F$8+(IF(AND('Production schedule'!E119=1,6=MAX(('Sites'!F6),1),ISNUMBER('Sites'!O6)),'Sites'!O6*'Assumptions'!$B$44,0))*(1-'Responsibilities'!$F$6)+(IF(AND('Production schedule'!E155=1,6=MAX(('Sites'!F7+'Cases'!G7),1),ISNUMBER('Sites'!O7)),'Sites'!O7*'Assumptions'!$B$44,0))*(1-'Responsibilities'!$F$7)+(IF(AND('Production schedule'!E191=1,6=MAX(('Sites'!F8+'Cases'!G7),1),ISNUMBER('Sites'!O8)),'Sites'!O8*'Assumptions'!$B$44,0))*(1-'Responsibilities'!$F$8)+('Sites'!E6*'Capital'!E6*(IF(6='Capital'!G6,'Capital'!F6,0)+IF(6='Capital'!H6,1-'Capital'!F6,0)))*'Responsibilities'!$G$6+('Sites'!E7*'Capital'!E7*(IF(6='Capital'!G7+'Cases'!G7,'Capital'!F7,0)+IF(6='Capital'!H7+'Cases'!G7,1-'Capital'!F7,0)))*'Responsibilities'!$G$7+('Sites'!E8*'Cases'!F7*'Capital'!E8*(IF(6='Capital'!G8+'Cases'!G7,'Capital'!F8,0)+IF(6='Capital'!H8+'Cases'!G7,1-'Capital'!F8,0)))*'Responsibilities'!$G$8+('Sites'!E6*'Capital'!E6*(IF(6='Capital'!G6,'Capital'!F6,0)+IF(6='Capital'!H6,1-'Capital'!F6,0)))*(1-'Responsibilities'!$G$6)+('Sites'!E7*'Capital'!E7*(IF(6='Capital'!G7+'Cases'!G7,'Capital'!F7,0)+IF(6='Capital'!H7+'Cases'!G7,1-'Capital'!F7,0)))*(1-'Responsibilities'!$G$7)+('Sites'!E8*'Cases'!F7*'Capital'!E8*(IF(6='Capital'!G8+'Cases'!G7,'Capital'!F8,0)+IF(6='Capital'!H8+'Cases'!G7,1-'Capital'!F8,0)))*(1-'Responsibilities'!$G$8)+I47+SUMPRODUCT('Costs'!$E$36:$E$40,'Costs'!$F$36:$F$40)/12+BZ47)</f>
        <v/>
      </c>
      <c r="BZ47">
        <f>SUMIFS('Responsibilities'!$B$31:$B$35,'Responsibilities'!$C$31:$C$35,6,'Responsibilities'!$D$31:$D$35,"Yes")</f>
        <v/>
      </c>
    </row>
    <row r="48" ht="28" customHeight="1">
      <c r="A48" s="4" t="inlineStr">
        <is>
          <t>Smaller</t>
        </is>
      </c>
      <c r="B48" s="4" t="n">
        <v>7</v>
      </c>
      <c r="C48" s="4">
        <f>ROUNDUP(B48/12,0)</f>
        <v/>
      </c>
      <c r="D48" s="137">
        <f>SUMIFS('Production schedule'!$N$114:$N$221,'Production schedule'!$C$114:$C$221,7)</f>
        <v/>
      </c>
      <c r="E48" s="137">
        <f>SUMIFS('Production schedule'!$Y$114:$Y$221,'Production schedule'!$C$114:$C$221,7)</f>
        <v/>
      </c>
      <c r="F48" s="137">
        <f>SUMIFS('Production schedule'!$Z$114:$Z$221,'Production schedule'!$C$114:$C$221,7)</f>
        <v/>
      </c>
      <c r="G48" s="137">
        <f>('Production schedule'!AJ120)*'Responsibilities'!$C$6+('Production schedule'!AJ156)*'Responsibilities'!$C$7+('Production schedule'!AJ192)*'Responsibilities'!$C$8</f>
        <v/>
      </c>
      <c r="H48" s="137">
        <f>('Production schedule'!AI120)*'Responsibilities'!$D$6+('Production schedule'!AI156)*'Responsibilities'!$D$7+('Production schedule'!AI192)*'Responsibilities'!$D$8</f>
        <v/>
      </c>
      <c r="I48" s="137">
        <f>SUM('Assumptions'!J58:J65)</f>
        <v/>
      </c>
      <c r="J48" s="137">
        <f>('Production schedule'!E120*(IF('Sites'!D6="Annual staff",SUM('Assumptions'!J112,'Assumptions'!J114),0)+SUM('Assumptions'!J113,'Assumptions'!J115:J116)))*'Responsibilities'!$E$6+('Production schedule'!E156*(IF('Sites'!D7="Annual staff",SUM('Assumptions'!J117,'Assumptions'!J119),0)+SUM('Assumptions'!J118,'Assumptions'!J120:J121)))*'Responsibilities'!$E$7+('Production schedule'!E192*(IF('Sites'!D8="Annual staff",SUM('Assumptions'!J122,'Assumptions'!J124),0)+SUM('Assumptions'!J123,'Assumptions'!J125:J126)))*'Responsibilities'!$E$8</f>
        <v/>
      </c>
      <c r="K48" s="137">
        <f>(IF(AND('Production schedule'!E120=1,7=MAX(('Sites'!F6),1),ISNUMBER('Sites'!O6)),'Sites'!O6*'Assumptions'!$B$44,0))*'Responsibilities'!$F$6+(IF(AND('Production schedule'!E156=1,7=MAX(('Sites'!F7+'Cases'!G7),1),ISNUMBER('Sites'!O7)),'Sites'!O7*'Assumptions'!$B$44,0))*'Responsibilities'!$F$7+(IF(AND('Production schedule'!E192=1,7=MAX(('Sites'!F8+'Cases'!G7),1),ISNUMBER('Sites'!O8)),'Sites'!O8*'Assumptions'!$B$44,0))*'Responsibilities'!$F$8</f>
        <v/>
      </c>
      <c r="L48" s="137">
        <f>SUM('Costs'!E36)*'Costs'!F36/12*'Responsibilities'!$C$12+SUM('Costs'!E37)*'Costs'!F37/12*'Responsibilities'!$C$13+SUM('Costs'!E38)*'Costs'!F38/12*'Responsibilities'!$C$14+SUM('Costs'!E39)*'Costs'!F39/12*'Responsibilities'!$C$15+SUM('Costs'!E40)*'Costs'!F40/12*'Responsibilities'!$C$16+BZ48</f>
        <v/>
      </c>
      <c r="M48" s="137">
        <f>('Sites'!E6*'Capital'!E6*(IF(7='Capital'!G6,'Capital'!F6,0)+IF(7='Capital'!H6,1-'Capital'!F6,0)))*'Responsibilities'!$G$6+('Sites'!E7*'Capital'!E7*(IF(7='Capital'!G7+'Cases'!G7,'Capital'!F7,0)+IF(7='Capital'!H7+'Cases'!G7,1-'Capital'!F7,0)))*'Responsibilities'!$G$7+('Sites'!E8*'Cases'!F7*'Capital'!E8*(IF(7='Capital'!G8+'Cases'!G7,'Capital'!F8,0)+IF(7='Capital'!H8+'Cases'!G7,1-'Capital'!F8,0)))*'Responsibilities'!$G$8</f>
        <v/>
      </c>
      <c r="N48" s="137">
        <f>SUM(G48:M48)</f>
        <v/>
      </c>
      <c r="O48" s="137">
        <f>SUMIFS(FundingTranches[Secured amount],FundingTranches[Instrument],"Grant",FundingTranches[Secured month],7)</f>
        <v/>
      </c>
      <c r="P48" s="137">
        <f>SUMIFS(FundingTranches[Smaller possible],FundingTranches[Instrument],"Grant",FundingTranches[Scenario month],7-'Cases'!$D$7)</f>
        <v/>
      </c>
      <c r="Q48" s="137">
        <f>SUMIFS(FundingTranches[Secured amount],FundingTranches[Instrument],"Loan",FundingTranches[Secured month],7)</f>
        <v/>
      </c>
      <c r="R48" s="137">
        <f>SUMIFS(FundingTranches[Smaller possible],FundingTranches[Instrument],"Loan",FundingTranches[Scenario month],7-'Cases'!$D$7)</f>
        <v/>
      </c>
      <c r="S48" s="137">
        <f>IF(7&lt;='Assumptions'!$B$34,0,SUMIFS('Production schedule'!$AL$114:$AL$221,'Production schedule'!$C$114:$C$221,7-'Assumptions'!$B$34))</f>
        <v/>
      </c>
      <c r="T48" s="137">
        <f>'Assumptions'!J70</f>
        <v/>
      </c>
      <c r="U48" s="137">
        <f>'Assumptions'!J78</f>
        <v/>
      </c>
      <c r="V48" s="137">
        <f>SUM(O48:U48)</f>
        <v/>
      </c>
      <c r="W48" s="137">
        <f>AA47</f>
        <v/>
      </c>
      <c r="X48" s="137">
        <f>SUM(Q48:R48)</f>
        <v/>
      </c>
      <c r="Y48" s="137">
        <f>SUM(W48,X48)*'Assumptions'!$B$39/12</f>
        <v/>
      </c>
      <c r="Z48" s="137">
        <f>IF(SUM(W48,X48)&gt;0,MIN(SUM(W48,X48),MAX(0,BP48-Y48)),0)</f>
        <v/>
      </c>
      <c r="AA48" s="137">
        <f>SUM(W48,X48)-Z48</f>
        <v/>
      </c>
      <c r="AB48" s="137">
        <f>SUM(Y48:Z48)</f>
        <v/>
      </c>
      <c r="AC48" s="137">
        <f>'Assumptions'!J72</f>
        <v/>
      </c>
      <c r="AD48" s="137">
        <f>'Assumptions'!J73</f>
        <v/>
      </c>
      <c r="AE48" s="137">
        <f>IF(X48&gt;0,SUM('Assumptions'!$B$42),0)</f>
        <v/>
      </c>
      <c r="AF48" s="137">
        <f>'Assumptions'!J71</f>
        <v/>
      </c>
      <c r="AG48" s="137">
        <f>'Assumptions'!J74</f>
        <v/>
      </c>
      <c r="AH48" s="137">
        <f>'Assumptions'!J75</f>
        <v/>
      </c>
      <c r="AI48" s="137">
        <f>'Assumptions'!J77</f>
        <v/>
      </c>
      <c r="AJ48" s="137">
        <f>V48-N48-SUM(AB48:AI48)</f>
        <v/>
      </c>
      <c r="AK48" s="137">
        <f>SUM(AJ42:AJ48)</f>
        <v/>
      </c>
      <c r="AL48" s="137">
        <f>IF(ISNUMBER('Assumptions'!$B$10),'Assumptions'!$B$10+AK48,"")</f>
        <v/>
      </c>
      <c r="AM48" s="137">
        <f>SUM(O48,Q48,T48)-N48-SUM(AC48:AI48)+IF('Funding'!$N$11=0,AE48,0)-IF('Funding'!$N$11&gt;0,AB48,0)</f>
        <v/>
      </c>
      <c r="AN48" s="137">
        <f>SUM(AM42:AM48)</f>
        <v/>
      </c>
      <c r="AO48" s="137">
        <f>IF(ISNUMBER('Assumptions'!$B$10),'Assumptions'!$B$10+AN48,"")</f>
        <v/>
      </c>
      <c r="AP48" s="137">
        <f>('Production schedule'!AK120)*'Responsibilities'!$C$6+('Production schedule'!AK156)*'Responsibilities'!$C$7+('Production schedule'!AK192)*'Responsibilities'!$C$8</f>
        <v/>
      </c>
      <c r="AQ48" s="137">
        <f>SUMIFS('Production schedule'!$AL$114:$AL$221,'Production schedule'!$C$114:$C$221,7)</f>
        <v/>
      </c>
      <c r="AR48" s="137">
        <f>IF(ISNUMBER('Assumptions'!J76),'Assumptions'!J76,SUM(O48:P48))</f>
        <v/>
      </c>
      <c r="AS48" s="137">
        <f>IF(ISNUMBER('Assumptions'!$B$13),MIN('Assumptions'!$B$13/'Assumptions'!$B$18/12,MAX(0,'Assumptions'!$B$13-(7-1)*'Assumptions'!$B$13/'Assumptions'!$B$18/12)),0)+IF(AND('Sites'!E6=1,7&gt;=('Sites'!F6),7&lt;('Sites'!F6)+'Assumptions'!$B$18*12),'Capital'!E6/'Assumptions'!$B$18/12,0)+IF(AND('Sites'!E7=1,7&gt;=('Sites'!F7+'Cases'!G7),7&lt;('Sites'!F7+'Cases'!G7)+'Assumptions'!$B$18*12),'Capital'!E7/'Assumptions'!$B$18/12,0)+IF(AND('Sites'!E8*'Cases'!F7=1,7&gt;=('Sites'!F8+'Cases'!G7),7&lt;('Sites'!F8+'Cases'!G7)+'Assumptions'!$B$18*12),'Capital'!E8/'Assumptions'!$B$18/12,0)</f>
        <v/>
      </c>
      <c r="AT48" s="137">
        <f>SUM(AQ48,AR48,U48)-AP48-SUM(H48:L48)-AS48-SUM(Y48,AD48,AE48,AH48)</f>
        <v/>
      </c>
      <c r="AU48" s="137">
        <f>IF(ISNUMBER('Assumptions'!$B$19),MAX(0,SUM(AT42:AT48))*'Assumptions'!$B$19-SUM(AU42:AU47),"")</f>
        <v/>
      </c>
      <c r="AV48" s="137">
        <f>IF(ISNUMBER(AU48),AT48-AU48,"")</f>
        <v/>
      </c>
      <c r="AW48" s="137">
        <f>IF(ISNUMBER('Assumptions'!$B$11),'Assumptions'!$B$11+SUM(AQ42:AQ48)-SUM(S42:S48)-SUM(T42:T48),"")</f>
        <v/>
      </c>
      <c r="AX48" s="137">
        <f>IF(ISNUMBER('Assumptions'!$B$12),'Assumptions'!$B$12+SUM(G42:G48)-SUM(AP42:AP48),"")</f>
        <v/>
      </c>
      <c r="AY48" s="137">
        <f>IF(ISNUMBER('Assumptions'!$B$13),'Assumptions'!$B$13+SUM(M42:M48)-SUM(AS42:AS48),"")</f>
        <v/>
      </c>
      <c r="AZ48" s="137">
        <f>IF(ISNUMBER('Assumptions'!$B$14),'Assumptions'!$B$14+-SUM(AF42:AF48),"")</f>
        <v/>
      </c>
      <c r="BA48" s="137">
        <f>IF(ISNUMBER('Assumptions'!$B$15),'Assumptions'!$B$15+SUM(O42:O48)+SUM(P42:P48)-SUM(AR42:AR48),"")</f>
        <v/>
      </c>
      <c r="BB48" s="137">
        <f>IF(ISNUMBER('Assumptions'!$B$16),'Assumptions'!$B$16+-SUM(AC42:AC48),"")</f>
        <v/>
      </c>
      <c r="BC48" s="137">
        <f>IF(AND(ISNUMBER('Assumptions'!$B$21),ISNUMBER('Assumptions'!$B$19)),'Assumptions'!$B$21+SUM(AU42:AU48)-SUM(AG42:AG48),"")</f>
        <v/>
      </c>
      <c r="BD48" s="137">
        <f>IF(ISNUMBER('Assumptions'!$B$20),'Assumptions'!$B$20+-SUM(AI42:AI48),"")</f>
        <v/>
      </c>
      <c r="BE48" s="137">
        <f>IF(AND(ISNUMBER('Assumptions'!$B$17),COUNT(AV42:AV48)=7),'Assumptions'!$B$17+SUM(AV42:AV48),"")</f>
        <v/>
      </c>
      <c r="BF48" s="137">
        <f>IF(COUNT(AL48,AW48:AY48)=4,SUM(AL48,AW48:AY48),"")</f>
        <v/>
      </c>
      <c r="BG48" s="137">
        <f>IF(COUNT(AZ48:BD48)=5,SUM(AZ48:BD48,AA48),"")</f>
        <v/>
      </c>
      <c r="BH48" s="137">
        <f>IF(COUNT(BF48,BG48,BE48)=3,BF48-BG48-BE48,"")</f>
        <v/>
      </c>
      <c r="BI48" s="137">
        <f>SUM(W48,X48)-Z48-AA48</f>
        <v/>
      </c>
      <c r="BJ48" s="137">
        <f>8-COUNT('Assumptions'!J58:J65)+COUNTBLANK('NM Play'!B33:B34)+'Costs'!E44+IF(AND('Sites'!E6=1,('Sites'!F6)&lt;=12,'Sites'!G6&gt;=1),IF(ISNUMBER('Sites'!O6),0,1)+'Capital'!I6+COUNTBLANK('Sites'!R6)+IF('Sites'!D6="NM crew",COUNTBLANK('NM Play'!B25)+1,5-COUNT('Assumptions'!J112:J116)),0)+IF(AND('Sites'!E7=1,('Sites'!F7+'Cases'!G7)&lt;=12,'Sites'!G7&gt;=1),IF(ISNUMBER('Sites'!O7),0,1)+'Capital'!I7+COUNTBLANK('Sites'!R7)+IF('Sites'!D7="NM crew",COUNTBLANK('NM Play'!B25)+1,5-COUNT('Assumptions'!J117:J121)),0)+IF(AND('Sites'!E8*'Cases'!F7=1,('Sites'!F8+'Cases'!G7)&lt;=12,'Sites'!G8&gt;=1),IF(ISNUMBER('Sites'!O8),0,1)+'Capital'!I8+COUNTBLANK('Sites'!R8)+IF('Sites'!D8="NM crew",COUNTBLANK('NM Play'!B25)+1,5-COUNT('Assumptions'!J122:J126)),0)+IF(AND('Cases'!C7&gt;0,NOT(ISNUMBER('Assumptions'!B42))),1,0)+'Responsibilities'!$B$39</f>
        <v/>
      </c>
      <c r="BK48" s="137">
        <f>'Assumptions'!$B$50+'NM Play'!$B$83+'Funding'!$F$20+SUMIFS('Production schedule'!$AN$114:$AN$221,'Production schedule'!$C$114:$C$221,7)+IF(OR('Cases'!E7&lt;0,'Cases'!E7&gt;1,'Cases'!C7&lt;0,'Cases'!D7&lt;0,ABS(SUM('Sites'!S6:S8)-1)&gt;0.0001,MIN('Capital'!F6:F8)&lt;0,MAX('Capital'!F6:F8)&gt;1,MIN(AX48,AZ48,BB48,BA48)&lt;-0.01),1,0)+'Responsibilities'!$B$40</f>
        <v/>
      </c>
      <c r="BL48" s="137">
        <f>SUMIFS('Production schedule'!$T$114:$T$221,'Production schedule'!$C$114:$C$221,7)</f>
        <v/>
      </c>
      <c r="BM48" s="137">
        <f>D48*'NM Play'!$B$38</f>
        <v/>
      </c>
      <c r="BN48" s="137">
        <f>SUMIFS('Production schedule'!$AM$114:$AM$221,'Production schedule'!$C$114:$C$221,7)</f>
        <v/>
      </c>
      <c r="BO48" s="137">
        <f>AK48-AK47-AJ48</f>
        <v/>
      </c>
      <c r="BP48" s="137">
        <f>IF(AND('Assumptions'!$B$39&gt;=0,'Assumptions'!$B$40&gt;0),-PMT('Assumptions'!$B$39/12,'Assumptions'!$B$40*12,IF('Funding'!$N$11&gt;0,'Funding'!$N$11,'Funding'!$S$11)),"")</f>
        <v/>
      </c>
      <c r="BQ48">
        <f>('Production schedule'!AJ120)*(1-'Responsibilities'!$C$6)+('Production schedule'!AJ156)*(1-'Responsibilities'!$C$7)+('Production schedule'!AJ192)*(1-'Responsibilities'!$C$8)</f>
        <v/>
      </c>
      <c r="BR48">
        <f>('Production schedule'!AI120)*(1-'Responsibilities'!$D$6)+('Production schedule'!AI156)*(1-'Responsibilities'!$D$7)+('Production schedule'!AI192)*(1-'Responsibilities'!$D$8)</f>
        <v/>
      </c>
      <c r="BS48">
        <f>('Production schedule'!E120*(IF('Sites'!D6="Annual staff",SUM('Assumptions'!J112,'Assumptions'!J114),0)+SUM('Assumptions'!J113,'Assumptions'!J115:J116)))*(1-'Responsibilities'!$E$6)+('Production schedule'!E156*(IF('Sites'!D7="Annual staff",SUM('Assumptions'!J117,'Assumptions'!J119),0)+SUM('Assumptions'!J118,'Assumptions'!J120:J121)))*(1-'Responsibilities'!$E$7)+('Production schedule'!E192*(IF('Sites'!D8="Annual staff",SUM('Assumptions'!J122,'Assumptions'!J124),0)+SUM('Assumptions'!J123,'Assumptions'!J125:J126)))*(1-'Responsibilities'!$E$8)</f>
        <v/>
      </c>
      <c r="BT48">
        <f>(IF(AND('Production schedule'!E120=1,7=MAX(('Sites'!F6),1),ISNUMBER('Sites'!O6)),'Sites'!O6*'Assumptions'!$B$44,0))*(1-'Responsibilities'!$F$6)+(IF(AND('Production schedule'!E156=1,7=MAX(('Sites'!F7+'Cases'!G7),1),ISNUMBER('Sites'!O7)),'Sites'!O7*'Assumptions'!$B$44,0))*(1-'Responsibilities'!$F$7)+(IF(AND('Production schedule'!E192=1,7=MAX(('Sites'!F8+'Cases'!G7),1),ISNUMBER('Sites'!O8)),'Sites'!O8*'Assumptions'!$B$44,0))*(1-'Responsibilities'!$F$8)</f>
        <v/>
      </c>
      <c r="BU48">
        <f>SUM('Costs'!E36)*'Costs'!F36/12*(1-'Responsibilities'!$C$12)+SUM('Costs'!E37)*'Costs'!F37/12*(1-'Responsibilities'!$C$13)+SUM('Costs'!E38)*'Costs'!F38/12*(1-'Responsibilities'!$C$14)+SUM('Costs'!E39)*'Costs'!F39/12*(1-'Responsibilities'!$C$15)+SUM('Costs'!E40)*'Costs'!F40/12*(1-'Responsibilities'!$C$16)</f>
        <v/>
      </c>
      <c r="BV48">
        <f>('Sites'!E6*'Capital'!E6*(IF(7='Capital'!G6,'Capital'!F6,0)+IF(7='Capital'!H6,1-'Capital'!F6,0)))*(1-'Responsibilities'!$G$6)+('Sites'!E7*'Capital'!E7*(IF(7='Capital'!G7+'Cases'!G7,'Capital'!F7,0)+IF(7='Capital'!H7+'Cases'!G7,1-'Capital'!F7,0)))*(1-'Responsibilities'!$G$7)+('Sites'!E8*'Cases'!F7*'Capital'!E8*(IF(7='Capital'!G8+'Cases'!G7,'Capital'!F8,0)+IF(7='Capital'!H8+'Cases'!G7,1-'Capital'!F8,0)))*(1-'Responsibilities'!$G$8)</f>
        <v/>
      </c>
      <c r="BW48">
        <f>SUM(BQ48:BV48)</f>
        <v/>
      </c>
      <c r="BX48">
        <f>N48+BW48</f>
        <v/>
      </c>
      <c r="BY48">
        <f>BX48-(('Production schedule'!AJ120)*'Responsibilities'!$C$6+('Production schedule'!AJ156)*'Responsibilities'!$C$7+('Production schedule'!AJ192)*'Responsibilities'!$C$8+('Production schedule'!AJ120)*(1-'Responsibilities'!$C$6)+('Production schedule'!AJ156)*(1-'Responsibilities'!$C$7)+('Production schedule'!AJ192)*(1-'Responsibilities'!$C$8)+('Production schedule'!AI120)*'Responsibilities'!$D$6+('Production schedule'!AI156)*'Responsibilities'!$D$7+('Production schedule'!AI192)*'Responsibilities'!$D$8+('Production schedule'!AI120)*(1-'Responsibilities'!$D$6)+('Production schedule'!AI156)*(1-'Responsibilities'!$D$7)+('Production schedule'!AI192)*(1-'Responsibilities'!$D$8)+('Production schedule'!E120*(IF('Sites'!D6="Annual staff",SUM('Assumptions'!J112,'Assumptions'!J114),0)+SUM('Assumptions'!J113,'Assumptions'!J115:J116)))*'Responsibilities'!$E$6+('Production schedule'!E156*(IF('Sites'!D7="Annual staff",SUM('Assumptions'!J117,'Assumptions'!J119),0)+SUM('Assumptions'!J118,'Assumptions'!J120:J121)))*'Responsibilities'!$E$7+('Production schedule'!E192*(IF('Sites'!D8="Annual staff",SUM('Assumptions'!J122,'Assumptions'!J124),0)+SUM('Assumptions'!J123,'Assumptions'!J125:J126)))*'Responsibilities'!$E$8+('Production schedule'!E120*(IF('Sites'!D6="Annual staff",SUM('Assumptions'!J112,'Assumptions'!J114),0)+SUM('Assumptions'!J113,'Assumptions'!J115:J116)))*(1-'Responsibilities'!$E$6)+('Production schedule'!E156*(IF('Sites'!D7="Annual staff",SUM('Assumptions'!J117,'Assumptions'!J119),0)+SUM('Assumptions'!J118,'Assumptions'!J120:J121)))*(1-'Responsibilities'!$E$7)+('Production schedule'!E192*(IF('Sites'!D8="Annual staff",SUM('Assumptions'!J122,'Assumptions'!J124),0)+SUM('Assumptions'!J123,'Assumptions'!J125:J126)))*(1-'Responsibilities'!$E$8)+(IF(AND('Production schedule'!E120=1,7=MAX(('Sites'!F6),1),ISNUMBER('Sites'!O6)),'Sites'!O6*'Assumptions'!$B$44,0))*'Responsibilities'!$F$6+(IF(AND('Production schedule'!E156=1,7=MAX(('Sites'!F7+'Cases'!G7),1),ISNUMBER('Sites'!O7)),'Sites'!O7*'Assumptions'!$B$44,0))*'Responsibilities'!$F$7+(IF(AND('Production schedule'!E192=1,7=MAX(('Sites'!F8+'Cases'!G7),1),ISNUMBER('Sites'!O8)),'Sites'!O8*'Assumptions'!$B$44,0))*'Responsibilities'!$F$8+(IF(AND('Production schedule'!E120=1,7=MAX(('Sites'!F6),1),ISNUMBER('Sites'!O6)),'Sites'!O6*'Assumptions'!$B$44,0))*(1-'Responsibilities'!$F$6)+(IF(AND('Production schedule'!E156=1,7=MAX(('Sites'!F7+'Cases'!G7),1),ISNUMBER('Sites'!O7)),'Sites'!O7*'Assumptions'!$B$44,0))*(1-'Responsibilities'!$F$7)+(IF(AND('Production schedule'!E192=1,7=MAX(('Sites'!F8+'Cases'!G7),1),ISNUMBER('Sites'!O8)),'Sites'!O8*'Assumptions'!$B$44,0))*(1-'Responsibilities'!$F$8)+('Sites'!E6*'Capital'!E6*(IF(7='Capital'!G6,'Capital'!F6,0)+IF(7='Capital'!H6,1-'Capital'!F6,0)))*'Responsibilities'!$G$6+('Sites'!E7*'Capital'!E7*(IF(7='Capital'!G7+'Cases'!G7,'Capital'!F7,0)+IF(7='Capital'!H7+'Cases'!G7,1-'Capital'!F7,0)))*'Responsibilities'!$G$7+('Sites'!E8*'Cases'!F7*'Capital'!E8*(IF(7='Capital'!G8+'Cases'!G7,'Capital'!F8,0)+IF(7='Capital'!H8+'Cases'!G7,1-'Capital'!F8,0)))*'Responsibilities'!$G$8+('Sites'!E6*'Capital'!E6*(IF(7='Capital'!G6,'Capital'!F6,0)+IF(7='Capital'!H6,1-'Capital'!F6,0)))*(1-'Responsibilities'!$G$6)+('Sites'!E7*'Capital'!E7*(IF(7='Capital'!G7+'Cases'!G7,'Capital'!F7,0)+IF(7='Capital'!H7+'Cases'!G7,1-'Capital'!F7,0)))*(1-'Responsibilities'!$G$7)+('Sites'!E8*'Cases'!F7*'Capital'!E8*(IF(7='Capital'!G8+'Cases'!G7,'Capital'!F8,0)+IF(7='Capital'!H8+'Cases'!G7,1-'Capital'!F8,0)))*(1-'Responsibilities'!$G$8)+I48+SUMPRODUCT('Costs'!$E$36:$E$40,'Costs'!$F$36:$F$40)/12+BZ48)</f>
        <v/>
      </c>
      <c r="BZ48">
        <f>SUMIFS('Responsibilities'!$B$31:$B$35,'Responsibilities'!$C$31:$C$35,7,'Responsibilities'!$D$31:$D$35,"Yes")</f>
        <v/>
      </c>
    </row>
    <row r="49" ht="28" customHeight="1">
      <c r="A49" s="4" t="inlineStr">
        <is>
          <t>Smaller</t>
        </is>
      </c>
      <c r="B49" s="4" t="n">
        <v>8</v>
      </c>
      <c r="C49" s="4">
        <f>ROUNDUP(B49/12,0)</f>
        <v/>
      </c>
      <c r="D49" s="137">
        <f>SUMIFS('Production schedule'!$N$114:$N$221,'Production schedule'!$C$114:$C$221,8)</f>
        <v/>
      </c>
      <c r="E49" s="137">
        <f>SUMIFS('Production schedule'!$Y$114:$Y$221,'Production schedule'!$C$114:$C$221,8)</f>
        <v/>
      </c>
      <c r="F49" s="137">
        <f>SUMIFS('Production schedule'!$Z$114:$Z$221,'Production schedule'!$C$114:$C$221,8)</f>
        <v/>
      </c>
      <c r="G49" s="137">
        <f>('Production schedule'!AJ121)*'Responsibilities'!$C$6+('Production schedule'!AJ157)*'Responsibilities'!$C$7+('Production schedule'!AJ193)*'Responsibilities'!$C$8</f>
        <v/>
      </c>
      <c r="H49" s="137">
        <f>('Production schedule'!AI121)*'Responsibilities'!$D$6+('Production schedule'!AI157)*'Responsibilities'!$D$7+('Production schedule'!AI193)*'Responsibilities'!$D$8</f>
        <v/>
      </c>
      <c r="I49" s="137">
        <f>SUM('Assumptions'!K58:K65)</f>
        <v/>
      </c>
      <c r="J49" s="137">
        <f>('Production schedule'!E121*(IF('Sites'!D6="Annual staff",SUM('Assumptions'!K112,'Assumptions'!K114),0)+SUM('Assumptions'!K113,'Assumptions'!K115:K116)))*'Responsibilities'!$E$6+('Production schedule'!E157*(IF('Sites'!D7="Annual staff",SUM('Assumptions'!K117,'Assumptions'!K119),0)+SUM('Assumptions'!K118,'Assumptions'!K120:K121)))*'Responsibilities'!$E$7+('Production schedule'!E193*(IF('Sites'!D8="Annual staff",SUM('Assumptions'!K122,'Assumptions'!K124),0)+SUM('Assumptions'!K123,'Assumptions'!K125:K126)))*'Responsibilities'!$E$8</f>
        <v/>
      </c>
      <c r="K49" s="137">
        <f>(IF(AND('Production schedule'!E121=1,8=MAX(('Sites'!F6),1),ISNUMBER('Sites'!O6)),'Sites'!O6*'Assumptions'!$B$44,0))*'Responsibilities'!$F$6+(IF(AND('Production schedule'!E157=1,8=MAX(('Sites'!F7+'Cases'!G7),1),ISNUMBER('Sites'!O7)),'Sites'!O7*'Assumptions'!$B$44,0))*'Responsibilities'!$F$7+(IF(AND('Production schedule'!E193=1,8=MAX(('Sites'!F8+'Cases'!G7),1),ISNUMBER('Sites'!O8)),'Sites'!O8*'Assumptions'!$B$44,0))*'Responsibilities'!$F$8</f>
        <v/>
      </c>
      <c r="L49" s="137">
        <f>SUM('Costs'!E36)*'Costs'!F36/12*'Responsibilities'!$C$12+SUM('Costs'!E37)*'Costs'!F37/12*'Responsibilities'!$C$13+SUM('Costs'!E38)*'Costs'!F38/12*'Responsibilities'!$C$14+SUM('Costs'!E39)*'Costs'!F39/12*'Responsibilities'!$C$15+SUM('Costs'!E40)*'Costs'!F40/12*'Responsibilities'!$C$16+BZ49</f>
        <v/>
      </c>
      <c r="M49" s="137">
        <f>('Sites'!E6*'Capital'!E6*(IF(8='Capital'!G6,'Capital'!F6,0)+IF(8='Capital'!H6,1-'Capital'!F6,0)))*'Responsibilities'!$G$6+('Sites'!E7*'Capital'!E7*(IF(8='Capital'!G7+'Cases'!G7,'Capital'!F7,0)+IF(8='Capital'!H7+'Cases'!G7,1-'Capital'!F7,0)))*'Responsibilities'!$G$7+('Sites'!E8*'Cases'!F7*'Capital'!E8*(IF(8='Capital'!G8+'Cases'!G7,'Capital'!F8,0)+IF(8='Capital'!H8+'Cases'!G7,1-'Capital'!F8,0)))*'Responsibilities'!$G$8</f>
        <v/>
      </c>
      <c r="N49" s="137">
        <f>SUM(G49:M49)</f>
        <v/>
      </c>
      <c r="O49" s="137">
        <f>SUMIFS(FundingTranches[Secured amount],FundingTranches[Instrument],"Grant",FundingTranches[Secured month],8)</f>
        <v/>
      </c>
      <c r="P49" s="137">
        <f>SUMIFS(FundingTranches[Smaller possible],FundingTranches[Instrument],"Grant",FundingTranches[Scenario month],8-'Cases'!$D$7)</f>
        <v/>
      </c>
      <c r="Q49" s="137">
        <f>SUMIFS(FundingTranches[Secured amount],FundingTranches[Instrument],"Loan",FundingTranches[Secured month],8)</f>
        <v/>
      </c>
      <c r="R49" s="137">
        <f>SUMIFS(FundingTranches[Smaller possible],FundingTranches[Instrument],"Loan",FundingTranches[Scenario month],8-'Cases'!$D$7)</f>
        <v/>
      </c>
      <c r="S49" s="137">
        <f>IF(8&lt;='Assumptions'!$B$34,0,SUMIFS('Production schedule'!$AL$114:$AL$221,'Production schedule'!$C$114:$C$221,8-'Assumptions'!$B$34))</f>
        <v/>
      </c>
      <c r="T49" s="137">
        <f>'Assumptions'!K70</f>
        <v/>
      </c>
      <c r="U49" s="137">
        <f>'Assumptions'!K78</f>
        <v/>
      </c>
      <c r="V49" s="137">
        <f>SUM(O49:U49)</f>
        <v/>
      </c>
      <c r="W49" s="137">
        <f>AA48</f>
        <v/>
      </c>
      <c r="X49" s="137">
        <f>SUM(Q49:R49)</f>
        <v/>
      </c>
      <c r="Y49" s="137">
        <f>SUM(W49,X49)*'Assumptions'!$B$39/12</f>
        <v/>
      </c>
      <c r="Z49" s="137">
        <f>IF(SUM(W49,X49)&gt;0,MIN(SUM(W49,X49),MAX(0,BP49-Y49)),0)</f>
        <v/>
      </c>
      <c r="AA49" s="137">
        <f>SUM(W49,X49)-Z49</f>
        <v/>
      </c>
      <c r="AB49" s="137">
        <f>SUM(Y49:Z49)</f>
        <v/>
      </c>
      <c r="AC49" s="137">
        <f>'Assumptions'!K72</f>
        <v/>
      </c>
      <c r="AD49" s="137">
        <f>'Assumptions'!K73</f>
        <v/>
      </c>
      <c r="AE49" s="137">
        <f>IF(X49&gt;0,SUM('Assumptions'!$B$42),0)</f>
        <v/>
      </c>
      <c r="AF49" s="137">
        <f>'Assumptions'!K71</f>
        <v/>
      </c>
      <c r="AG49" s="137">
        <f>'Assumptions'!K74</f>
        <v/>
      </c>
      <c r="AH49" s="137">
        <f>'Assumptions'!K75</f>
        <v/>
      </c>
      <c r="AI49" s="137">
        <f>'Assumptions'!K77</f>
        <v/>
      </c>
      <c r="AJ49" s="137">
        <f>V49-N49-SUM(AB49:AI49)</f>
        <v/>
      </c>
      <c r="AK49" s="137">
        <f>SUM(AJ42:AJ49)</f>
        <v/>
      </c>
      <c r="AL49" s="137">
        <f>IF(ISNUMBER('Assumptions'!$B$10),'Assumptions'!$B$10+AK49,"")</f>
        <v/>
      </c>
      <c r="AM49" s="137">
        <f>SUM(O49,Q49,T49)-N49-SUM(AC49:AI49)+IF('Funding'!$N$11=0,AE49,0)-IF('Funding'!$N$11&gt;0,AB49,0)</f>
        <v/>
      </c>
      <c r="AN49" s="137">
        <f>SUM(AM42:AM49)</f>
        <v/>
      </c>
      <c r="AO49" s="137">
        <f>IF(ISNUMBER('Assumptions'!$B$10),'Assumptions'!$B$10+AN49,"")</f>
        <v/>
      </c>
      <c r="AP49" s="137">
        <f>('Production schedule'!AK121)*'Responsibilities'!$C$6+('Production schedule'!AK157)*'Responsibilities'!$C$7+('Production schedule'!AK193)*'Responsibilities'!$C$8</f>
        <v/>
      </c>
      <c r="AQ49" s="137">
        <f>SUMIFS('Production schedule'!$AL$114:$AL$221,'Production schedule'!$C$114:$C$221,8)</f>
        <v/>
      </c>
      <c r="AR49" s="137">
        <f>IF(ISNUMBER('Assumptions'!K76),'Assumptions'!K76,SUM(O49:P49))</f>
        <v/>
      </c>
      <c r="AS49" s="137">
        <f>IF(ISNUMBER('Assumptions'!$B$13),MIN('Assumptions'!$B$13/'Assumptions'!$B$18/12,MAX(0,'Assumptions'!$B$13-(8-1)*'Assumptions'!$B$13/'Assumptions'!$B$18/12)),0)+IF(AND('Sites'!E6=1,8&gt;=('Sites'!F6),8&lt;('Sites'!F6)+'Assumptions'!$B$18*12),'Capital'!E6/'Assumptions'!$B$18/12,0)+IF(AND('Sites'!E7=1,8&gt;=('Sites'!F7+'Cases'!G7),8&lt;('Sites'!F7+'Cases'!G7)+'Assumptions'!$B$18*12),'Capital'!E7/'Assumptions'!$B$18/12,0)+IF(AND('Sites'!E8*'Cases'!F7=1,8&gt;=('Sites'!F8+'Cases'!G7),8&lt;('Sites'!F8+'Cases'!G7)+'Assumptions'!$B$18*12),'Capital'!E8/'Assumptions'!$B$18/12,0)</f>
        <v/>
      </c>
      <c r="AT49" s="137">
        <f>SUM(AQ49,AR49,U49)-AP49-SUM(H49:L49)-AS49-SUM(Y49,AD49,AE49,AH49)</f>
        <v/>
      </c>
      <c r="AU49" s="137">
        <f>IF(ISNUMBER('Assumptions'!$B$19),MAX(0,SUM(AT42:AT49))*'Assumptions'!$B$19-SUM(AU42:AU48),"")</f>
        <v/>
      </c>
      <c r="AV49" s="137">
        <f>IF(ISNUMBER(AU49),AT49-AU49,"")</f>
        <v/>
      </c>
      <c r="AW49" s="137">
        <f>IF(ISNUMBER('Assumptions'!$B$11),'Assumptions'!$B$11+SUM(AQ42:AQ49)-SUM(S42:S49)-SUM(T42:T49),"")</f>
        <v/>
      </c>
      <c r="AX49" s="137">
        <f>IF(ISNUMBER('Assumptions'!$B$12),'Assumptions'!$B$12+SUM(G42:G49)-SUM(AP42:AP49),"")</f>
        <v/>
      </c>
      <c r="AY49" s="137">
        <f>IF(ISNUMBER('Assumptions'!$B$13),'Assumptions'!$B$13+SUM(M42:M49)-SUM(AS42:AS49),"")</f>
        <v/>
      </c>
      <c r="AZ49" s="137">
        <f>IF(ISNUMBER('Assumptions'!$B$14),'Assumptions'!$B$14+-SUM(AF42:AF49),"")</f>
        <v/>
      </c>
      <c r="BA49" s="137">
        <f>IF(ISNUMBER('Assumptions'!$B$15),'Assumptions'!$B$15+SUM(O42:O49)+SUM(P42:P49)-SUM(AR42:AR49),"")</f>
        <v/>
      </c>
      <c r="BB49" s="137">
        <f>IF(ISNUMBER('Assumptions'!$B$16),'Assumptions'!$B$16+-SUM(AC42:AC49),"")</f>
        <v/>
      </c>
      <c r="BC49" s="137">
        <f>IF(AND(ISNUMBER('Assumptions'!$B$21),ISNUMBER('Assumptions'!$B$19)),'Assumptions'!$B$21+SUM(AU42:AU49)-SUM(AG42:AG49),"")</f>
        <v/>
      </c>
      <c r="BD49" s="137">
        <f>IF(ISNUMBER('Assumptions'!$B$20),'Assumptions'!$B$20+-SUM(AI42:AI49),"")</f>
        <v/>
      </c>
      <c r="BE49" s="137">
        <f>IF(AND(ISNUMBER('Assumptions'!$B$17),COUNT(AV42:AV49)=8),'Assumptions'!$B$17+SUM(AV42:AV49),"")</f>
        <v/>
      </c>
      <c r="BF49" s="137">
        <f>IF(COUNT(AL49,AW49:AY49)=4,SUM(AL49,AW49:AY49),"")</f>
        <v/>
      </c>
      <c r="BG49" s="137">
        <f>IF(COUNT(AZ49:BD49)=5,SUM(AZ49:BD49,AA49),"")</f>
        <v/>
      </c>
      <c r="BH49" s="137">
        <f>IF(COUNT(BF49,BG49,BE49)=3,BF49-BG49-BE49,"")</f>
        <v/>
      </c>
      <c r="BI49" s="137">
        <f>SUM(W49,X49)-Z49-AA49</f>
        <v/>
      </c>
      <c r="BJ49" s="137">
        <f>8-COUNT('Assumptions'!K58:K65)+COUNTBLANK('NM Play'!B33:B34)+'Costs'!E44+IF(AND('Sites'!E6=1,('Sites'!F6)&lt;=12,'Sites'!G6&gt;=1),IF(ISNUMBER('Sites'!O6),0,1)+'Capital'!I6+COUNTBLANK('Sites'!R6)+IF('Sites'!D6="NM crew",COUNTBLANK('NM Play'!B25)+1,5-COUNT('Assumptions'!K112:K116)),0)+IF(AND('Sites'!E7=1,('Sites'!F7+'Cases'!G7)&lt;=12,'Sites'!G7&gt;=1),IF(ISNUMBER('Sites'!O7),0,1)+'Capital'!I7+COUNTBLANK('Sites'!R7)+IF('Sites'!D7="NM crew",COUNTBLANK('NM Play'!B25)+1,5-COUNT('Assumptions'!K117:K121)),0)+IF(AND('Sites'!E8*'Cases'!F7=1,('Sites'!F8+'Cases'!G7)&lt;=12,'Sites'!G8&gt;=1),IF(ISNUMBER('Sites'!O8),0,1)+'Capital'!I8+COUNTBLANK('Sites'!R8)+IF('Sites'!D8="NM crew",COUNTBLANK('NM Play'!B25)+1,5-COUNT('Assumptions'!K122:K126)),0)+IF(AND('Cases'!C7&gt;0,NOT(ISNUMBER('Assumptions'!B42))),1,0)+'Responsibilities'!$B$39</f>
        <v/>
      </c>
      <c r="BK49" s="137">
        <f>'Assumptions'!$B$50+'NM Play'!$B$83+'Funding'!$F$20+SUMIFS('Production schedule'!$AN$114:$AN$221,'Production schedule'!$C$114:$C$221,8)+IF(OR('Cases'!E7&lt;0,'Cases'!E7&gt;1,'Cases'!C7&lt;0,'Cases'!D7&lt;0,ABS(SUM('Sites'!S6:S8)-1)&gt;0.0001,MIN('Capital'!F6:F8)&lt;0,MAX('Capital'!F6:F8)&gt;1,MIN(AX49,AZ49,BB49,BA49)&lt;-0.01),1,0)+'Responsibilities'!$B$40</f>
        <v/>
      </c>
      <c r="BL49" s="137">
        <f>SUMIFS('Production schedule'!$T$114:$T$221,'Production schedule'!$C$114:$C$221,8)</f>
        <v/>
      </c>
      <c r="BM49" s="137">
        <f>D49*'NM Play'!$B$38</f>
        <v/>
      </c>
      <c r="BN49" s="137">
        <f>SUMIFS('Production schedule'!$AM$114:$AM$221,'Production schedule'!$C$114:$C$221,8)</f>
        <v/>
      </c>
      <c r="BO49" s="137">
        <f>AK49-AK48-AJ49</f>
        <v/>
      </c>
      <c r="BP49" s="137">
        <f>IF(AND('Assumptions'!$B$39&gt;=0,'Assumptions'!$B$40&gt;0),-PMT('Assumptions'!$B$39/12,'Assumptions'!$B$40*12,IF('Funding'!$N$11&gt;0,'Funding'!$N$11,'Funding'!$S$11)),"")</f>
        <v/>
      </c>
      <c r="BQ49">
        <f>('Production schedule'!AJ121)*(1-'Responsibilities'!$C$6)+('Production schedule'!AJ157)*(1-'Responsibilities'!$C$7)+('Production schedule'!AJ193)*(1-'Responsibilities'!$C$8)</f>
        <v/>
      </c>
      <c r="BR49">
        <f>('Production schedule'!AI121)*(1-'Responsibilities'!$D$6)+('Production schedule'!AI157)*(1-'Responsibilities'!$D$7)+('Production schedule'!AI193)*(1-'Responsibilities'!$D$8)</f>
        <v/>
      </c>
      <c r="BS49">
        <f>('Production schedule'!E121*(IF('Sites'!D6="Annual staff",SUM('Assumptions'!K112,'Assumptions'!K114),0)+SUM('Assumptions'!K113,'Assumptions'!K115:K116)))*(1-'Responsibilities'!$E$6)+('Production schedule'!E157*(IF('Sites'!D7="Annual staff",SUM('Assumptions'!K117,'Assumptions'!K119),0)+SUM('Assumptions'!K118,'Assumptions'!K120:K121)))*(1-'Responsibilities'!$E$7)+('Production schedule'!E193*(IF('Sites'!D8="Annual staff",SUM('Assumptions'!K122,'Assumptions'!K124),0)+SUM('Assumptions'!K123,'Assumptions'!K125:K126)))*(1-'Responsibilities'!$E$8)</f>
        <v/>
      </c>
      <c r="BT49">
        <f>(IF(AND('Production schedule'!E121=1,8=MAX(('Sites'!F6),1),ISNUMBER('Sites'!O6)),'Sites'!O6*'Assumptions'!$B$44,0))*(1-'Responsibilities'!$F$6)+(IF(AND('Production schedule'!E157=1,8=MAX(('Sites'!F7+'Cases'!G7),1),ISNUMBER('Sites'!O7)),'Sites'!O7*'Assumptions'!$B$44,0))*(1-'Responsibilities'!$F$7)+(IF(AND('Production schedule'!E193=1,8=MAX(('Sites'!F8+'Cases'!G7),1),ISNUMBER('Sites'!O8)),'Sites'!O8*'Assumptions'!$B$44,0))*(1-'Responsibilities'!$F$8)</f>
        <v/>
      </c>
      <c r="BU49">
        <f>SUM('Costs'!E36)*'Costs'!F36/12*(1-'Responsibilities'!$C$12)+SUM('Costs'!E37)*'Costs'!F37/12*(1-'Responsibilities'!$C$13)+SUM('Costs'!E38)*'Costs'!F38/12*(1-'Responsibilities'!$C$14)+SUM('Costs'!E39)*'Costs'!F39/12*(1-'Responsibilities'!$C$15)+SUM('Costs'!E40)*'Costs'!F40/12*(1-'Responsibilities'!$C$16)</f>
        <v/>
      </c>
      <c r="BV49">
        <f>('Sites'!E6*'Capital'!E6*(IF(8='Capital'!G6,'Capital'!F6,0)+IF(8='Capital'!H6,1-'Capital'!F6,0)))*(1-'Responsibilities'!$G$6)+('Sites'!E7*'Capital'!E7*(IF(8='Capital'!G7+'Cases'!G7,'Capital'!F7,0)+IF(8='Capital'!H7+'Cases'!G7,1-'Capital'!F7,0)))*(1-'Responsibilities'!$G$7)+('Sites'!E8*'Cases'!F7*'Capital'!E8*(IF(8='Capital'!G8+'Cases'!G7,'Capital'!F8,0)+IF(8='Capital'!H8+'Cases'!G7,1-'Capital'!F8,0)))*(1-'Responsibilities'!$G$8)</f>
        <v/>
      </c>
      <c r="BW49">
        <f>SUM(BQ49:BV49)</f>
        <v/>
      </c>
      <c r="BX49">
        <f>N49+BW49</f>
        <v/>
      </c>
      <c r="BY49">
        <f>BX49-(('Production schedule'!AJ121)*'Responsibilities'!$C$6+('Production schedule'!AJ157)*'Responsibilities'!$C$7+('Production schedule'!AJ193)*'Responsibilities'!$C$8+('Production schedule'!AJ121)*(1-'Responsibilities'!$C$6)+('Production schedule'!AJ157)*(1-'Responsibilities'!$C$7)+('Production schedule'!AJ193)*(1-'Responsibilities'!$C$8)+('Production schedule'!AI121)*'Responsibilities'!$D$6+('Production schedule'!AI157)*'Responsibilities'!$D$7+('Production schedule'!AI193)*'Responsibilities'!$D$8+('Production schedule'!AI121)*(1-'Responsibilities'!$D$6)+('Production schedule'!AI157)*(1-'Responsibilities'!$D$7)+('Production schedule'!AI193)*(1-'Responsibilities'!$D$8)+('Production schedule'!E121*(IF('Sites'!D6="Annual staff",SUM('Assumptions'!K112,'Assumptions'!K114),0)+SUM('Assumptions'!K113,'Assumptions'!K115:K116)))*'Responsibilities'!$E$6+('Production schedule'!E157*(IF('Sites'!D7="Annual staff",SUM('Assumptions'!K117,'Assumptions'!K119),0)+SUM('Assumptions'!K118,'Assumptions'!K120:K121)))*'Responsibilities'!$E$7+('Production schedule'!E193*(IF('Sites'!D8="Annual staff",SUM('Assumptions'!K122,'Assumptions'!K124),0)+SUM('Assumptions'!K123,'Assumptions'!K125:K126)))*'Responsibilities'!$E$8+('Production schedule'!E121*(IF('Sites'!D6="Annual staff",SUM('Assumptions'!K112,'Assumptions'!K114),0)+SUM('Assumptions'!K113,'Assumptions'!K115:K116)))*(1-'Responsibilities'!$E$6)+('Production schedule'!E157*(IF('Sites'!D7="Annual staff",SUM('Assumptions'!K117,'Assumptions'!K119),0)+SUM('Assumptions'!K118,'Assumptions'!K120:K121)))*(1-'Responsibilities'!$E$7)+('Production schedule'!E193*(IF('Sites'!D8="Annual staff",SUM('Assumptions'!K122,'Assumptions'!K124),0)+SUM('Assumptions'!K123,'Assumptions'!K125:K126)))*(1-'Responsibilities'!$E$8)+(IF(AND('Production schedule'!E121=1,8=MAX(('Sites'!F6),1),ISNUMBER('Sites'!O6)),'Sites'!O6*'Assumptions'!$B$44,0))*'Responsibilities'!$F$6+(IF(AND('Production schedule'!E157=1,8=MAX(('Sites'!F7+'Cases'!G7),1),ISNUMBER('Sites'!O7)),'Sites'!O7*'Assumptions'!$B$44,0))*'Responsibilities'!$F$7+(IF(AND('Production schedule'!E193=1,8=MAX(('Sites'!F8+'Cases'!G7),1),ISNUMBER('Sites'!O8)),'Sites'!O8*'Assumptions'!$B$44,0))*'Responsibilities'!$F$8+(IF(AND('Production schedule'!E121=1,8=MAX(('Sites'!F6),1),ISNUMBER('Sites'!O6)),'Sites'!O6*'Assumptions'!$B$44,0))*(1-'Responsibilities'!$F$6)+(IF(AND('Production schedule'!E157=1,8=MAX(('Sites'!F7+'Cases'!G7),1),ISNUMBER('Sites'!O7)),'Sites'!O7*'Assumptions'!$B$44,0))*(1-'Responsibilities'!$F$7)+(IF(AND('Production schedule'!E193=1,8=MAX(('Sites'!F8+'Cases'!G7),1),ISNUMBER('Sites'!O8)),'Sites'!O8*'Assumptions'!$B$44,0))*(1-'Responsibilities'!$F$8)+('Sites'!E6*'Capital'!E6*(IF(8='Capital'!G6,'Capital'!F6,0)+IF(8='Capital'!H6,1-'Capital'!F6,0)))*'Responsibilities'!$G$6+('Sites'!E7*'Capital'!E7*(IF(8='Capital'!G7+'Cases'!G7,'Capital'!F7,0)+IF(8='Capital'!H7+'Cases'!G7,1-'Capital'!F7,0)))*'Responsibilities'!$G$7+('Sites'!E8*'Cases'!F7*'Capital'!E8*(IF(8='Capital'!G8+'Cases'!G7,'Capital'!F8,0)+IF(8='Capital'!H8+'Cases'!G7,1-'Capital'!F8,0)))*'Responsibilities'!$G$8+('Sites'!E6*'Capital'!E6*(IF(8='Capital'!G6,'Capital'!F6,0)+IF(8='Capital'!H6,1-'Capital'!F6,0)))*(1-'Responsibilities'!$G$6)+('Sites'!E7*'Capital'!E7*(IF(8='Capital'!G7+'Cases'!G7,'Capital'!F7,0)+IF(8='Capital'!H7+'Cases'!G7,1-'Capital'!F7,0)))*(1-'Responsibilities'!$G$7)+('Sites'!E8*'Cases'!F7*'Capital'!E8*(IF(8='Capital'!G8+'Cases'!G7,'Capital'!F8,0)+IF(8='Capital'!H8+'Cases'!G7,1-'Capital'!F8,0)))*(1-'Responsibilities'!$G$8)+I49+SUMPRODUCT('Costs'!$E$36:$E$40,'Costs'!$F$36:$F$40)/12+BZ49)</f>
        <v/>
      </c>
      <c r="BZ49">
        <f>SUMIFS('Responsibilities'!$B$31:$B$35,'Responsibilities'!$C$31:$C$35,8,'Responsibilities'!$D$31:$D$35,"Yes")</f>
        <v/>
      </c>
    </row>
    <row r="50" ht="28" customHeight="1">
      <c r="A50" s="4" t="inlineStr">
        <is>
          <t>Smaller</t>
        </is>
      </c>
      <c r="B50" s="4" t="n">
        <v>9</v>
      </c>
      <c r="C50" s="4">
        <f>ROUNDUP(B50/12,0)</f>
        <v/>
      </c>
      <c r="D50" s="137">
        <f>SUMIFS('Production schedule'!$N$114:$N$221,'Production schedule'!$C$114:$C$221,9)</f>
        <v/>
      </c>
      <c r="E50" s="137">
        <f>SUMIFS('Production schedule'!$Y$114:$Y$221,'Production schedule'!$C$114:$C$221,9)</f>
        <v/>
      </c>
      <c r="F50" s="137">
        <f>SUMIFS('Production schedule'!$Z$114:$Z$221,'Production schedule'!$C$114:$C$221,9)</f>
        <v/>
      </c>
      <c r="G50" s="137">
        <f>('Production schedule'!AJ122)*'Responsibilities'!$C$6+('Production schedule'!AJ158)*'Responsibilities'!$C$7+('Production schedule'!AJ194)*'Responsibilities'!$C$8</f>
        <v/>
      </c>
      <c r="H50" s="137">
        <f>('Production schedule'!AI122)*'Responsibilities'!$D$6+('Production schedule'!AI158)*'Responsibilities'!$D$7+('Production schedule'!AI194)*'Responsibilities'!$D$8</f>
        <v/>
      </c>
      <c r="I50" s="137">
        <f>SUM('Assumptions'!L58:L65)</f>
        <v/>
      </c>
      <c r="J50" s="137">
        <f>('Production schedule'!E122*(IF('Sites'!D6="Annual staff",SUM('Assumptions'!L112,'Assumptions'!L114),0)+SUM('Assumptions'!L113,'Assumptions'!L115:L116)))*'Responsibilities'!$E$6+('Production schedule'!E158*(IF('Sites'!D7="Annual staff",SUM('Assumptions'!L117,'Assumptions'!L119),0)+SUM('Assumptions'!L118,'Assumptions'!L120:L121)))*'Responsibilities'!$E$7+('Production schedule'!E194*(IF('Sites'!D8="Annual staff",SUM('Assumptions'!L122,'Assumptions'!L124),0)+SUM('Assumptions'!L123,'Assumptions'!L125:L126)))*'Responsibilities'!$E$8</f>
        <v/>
      </c>
      <c r="K50" s="137">
        <f>(IF(AND('Production schedule'!E122=1,9=MAX(('Sites'!F6),1),ISNUMBER('Sites'!O6)),'Sites'!O6*'Assumptions'!$B$44,0))*'Responsibilities'!$F$6+(IF(AND('Production schedule'!E158=1,9=MAX(('Sites'!F7+'Cases'!G7),1),ISNUMBER('Sites'!O7)),'Sites'!O7*'Assumptions'!$B$44,0))*'Responsibilities'!$F$7+(IF(AND('Production schedule'!E194=1,9=MAX(('Sites'!F8+'Cases'!G7),1),ISNUMBER('Sites'!O8)),'Sites'!O8*'Assumptions'!$B$44,0))*'Responsibilities'!$F$8</f>
        <v/>
      </c>
      <c r="L50" s="137">
        <f>SUM('Costs'!E36)*'Costs'!F36/12*'Responsibilities'!$C$12+SUM('Costs'!E37)*'Costs'!F37/12*'Responsibilities'!$C$13+SUM('Costs'!E38)*'Costs'!F38/12*'Responsibilities'!$C$14+SUM('Costs'!E39)*'Costs'!F39/12*'Responsibilities'!$C$15+SUM('Costs'!E40)*'Costs'!F40/12*'Responsibilities'!$C$16+BZ50</f>
        <v/>
      </c>
      <c r="M50" s="137">
        <f>('Sites'!E6*'Capital'!E6*(IF(9='Capital'!G6,'Capital'!F6,0)+IF(9='Capital'!H6,1-'Capital'!F6,0)))*'Responsibilities'!$G$6+('Sites'!E7*'Capital'!E7*(IF(9='Capital'!G7+'Cases'!G7,'Capital'!F7,0)+IF(9='Capital'!H7+'Cases'!G7,1-'Capital'!F7,0)))*'Responsibilities'!$G$7+('Sites'!E8*'Cases'!F7*'Capital'!E8*(IF(9='Capital'!G8+'Cases'!G7,'Capital'!F8,0)+IF(9='Capital'!H8+'Cases'!G7,1-'Capital'!F8,0)))*'Responsibilities'!$G$8</f>
        <v/>
      </c>
      <c r="N50" s="137">
        <f>SUM(G50:M50)</f>
        <v/>
      </c>
      <c r="O50" s="137">
        <f>SUMIFS(FundingTranches[Secured amount],FundingTranches[Instrument],"Grant",FundingTranches[Secured month],9)</f>
        <v/>
      </c>
      <c r="P50" s="137">
        <f>SUMIFS(FundingTranches[Smaller possible],FundingTranches[Instrument],"Grant",FundingTranches[Scenario month],9-'Cases'!$D$7)</f>
        <v/>
      </c>
      <c r="Q50" s="137">
        <f>SUMIFS(FundingTranches[Secured amount],FundingTranches[Instrument],"Loan",FundingTranches[Secured month],9)</f>
        <v/>
      </c>
      <c r="R50" s="137">
        <f>SUMIFS(FundingTranches[Smaller possible],FundingTranches[Instrument],"Loan",FundingTranches[Scenario month],9-'Cases'!$D$7)</f>
        <v/>
      </c>
      <c r="S50" s="137">
        <f>IF(9&lt;='Assumptions'!$B$34,0,SUMIFS('Production schedule'!$AL$114:$AL$221,'Production schedule'!$C$114:$C$221,9-'Assumptions'!$B$34))</f>
        <v/>
      </c>
      <c r="T50" s="137">
        <f>'Assumptions'!L70</f>
        <v/>
      </c>
      <c r="U50" s="137">
        <f>'Assumptions'!L78</f>
        <v/>
      </c>
      <c r="V50" s="137">
        <f>SUM(O50:U50)</f>
        <v/>
      </c>
      <c r="W50" s="137">
        <f>AA49</f>
        <v/>
      </c>
      <c r="X50" s="137">
        <f>SUM(Q50:R50)</f>
        <v/>
      </c>
      <c r="Y50" s="137">
        <f>SUM(W50,X50)*'Assumptions'!$B$39/12</f>
        <v/>
      </c>
      <c r="Z50" s="137">
        <f>IF(SUM(W50,X50)&gt;0,MIN(SUM(W50,X50),MAX(0,BP50-Y50)),0)</f>
        <v/>
      </c>
      <c r="AA50" s="137">
        <f>SUM(W50,X50)-Z50</f>
        <v/>
      </c>
      <c r="AB50" s="137">
        <f>SUM(Y50:Z50)</f>
        <v/>
      </c>
      <c r="AC50" s="137">
        <f>'Assumptions'!L72</f>
        <v/>
      </c>
      <c r="AD50" s="137">
        <f>'Assumptions'!L73</f>
        <v/>
      </c>
      <c r="AE50" s="137">
        <f>IF(X50&gt;0,SUM('Assumptions'!$B$42),0)</f>
        <v/>
      </c>
      <c r="AF50" s="137">
        <f>'Assumptions'!L71</f>
        <v/>
      </c>
      <c r="AG50" s="137">
        <f>'Assumptions'!L74</f>
        <v/>
      </c>
      <c r="AH50" s="137">
        <f>'Assumptions'!L75</f>
        <v/>
      </c>
      <c r="AI50" s="137">
        <f>'Assumptions'!L77</f>
        <v/>
      </c>
      <c r="AJ50" s="137">
        <f>V50-N50-SUM(AB50:AI50)</f>
        <v/>
      </c>
      <c r="AK50" s="137">
        <f>SUM(AJ42:AJ50)</f>
        <v/>
      </c>
      <c r="AL50" s="137">
        <f>IF(ISNUMBER('Assumptions'!$B$10),'Assumptions'!$B$10+AK50,"")</f>
        <v/>
      </c>
      <c r="AM50" s="137">
        <f>SUM(O50,Q50,T50)-N50-SUM(AC50:AI50)+IF('Funding'!$N$11=0,AE50,0)-IF('Funding'!$N$11&gt;0,AB50,0)</f>
        <v/>
      </c>
      <c r="AN50" s="137">
        <f>SUM(AM42:AM50)</f>
        <v/>
      </c>
      <c r="AO50" s="137">
        <f>IF(ISNUMBER('Assumptions'!$B$10),'Assumptions'!$B$10+AN50,"")</f>
        <v/>
      </c>
      <c r="AP50" s="137">
        <f>('Production schedule'!AK122)*'Responsibilities'!$C$6+('Production schedule'!AK158)*'Responsibilities'!$C$7+('Production schedule'!AK194)*'Responsibilities'!$C$8</f>
        <v/>
      </c>
      <c r="AQ50" s="137">
        <f>SUMIFS('Production schedule'!$AL$114:$AL$221,'Production schedule'!$C$114:$C$221,9)</f>
        <v/>
      </c>
      <c r="AR50" s="137">
        <f>IF(ISNUMBER('Assumptions'!L76),'Assumptions'!L76,SUM(O50:P50))</f>
        <v/>
      </c>
      <c r="AS50" s="137">
        <f>IF(ISNUMBER('Assumptions'!$B$13),MIN('Assumptions'!$B$13/'Assumptions'!$B$18/12,MAX(0,'Assumptions'!$B$13-(9-1)*'Assumptions'!$B$13/'Assumptions'!$B$18/12)),0)+IF(AND('Sites'!E6=1,9&gt;=('Sites'!F6),9&lt;('Sites'!F6)+'Assumptions'!$B$18*12),'Capital'!E6/'Assumptions'!$B$18/12,0)+IF(AND('Sites'!E7=1,9&gt;=('Sites'!F7+'Cases'!G7),9&lt;('Sites'!F7+'Cases'!G7)+'Assumptions'!$B$18*12),'Capital'!E7/'Assumptions'!$B$18/12,0)+IF(AND('Sites'!E8*'Cases'!F7=1,9&gt;=('Sites'!F8+'Cases'!G7),9&lt;('Sites'!F8+'Cases'!G7)+'Assumptions'!$B$18*12),'Capital'!E8/'Assumptions'!$B$18/12,0)</f>
        <v/>
      </c>
      <c r="AT50" s="137">
        <f>SUM(AQ50,AR50,U50)-AP50-SUM(H50:L50)-AS50-SUM(Y50,AD50,AE50,AH50)</f>
        <v/>
      </c>
      <c r="AU50" s="137">
        <f>IF(ISNUMBER('Assumptions'!$B$19),MAX(0,SUM(AT42:AT50))*'Assumptions'!$B$19-SUM(AU42:AU49),"")</f>
        <v/>
      </c>
      <c r="AV50" s="137">
        <f>IF(ISNUMBER(AU50),AT50-AU50,"")</f>
        <v/>
      </c>
      <c r="AW50" s="137">
        <f>IF(ISNUMBER('Assumptions'!$B$11),'Assumptions'!$B$11+SUM(AQ42:AQ50)-SUM(S42:S50)-SUM(T42:T50),"")</f>
        <v/>
      </c>
      <c r="AX50" s="137">
        <f>IF(ISNUMBER('Assumptions'!$B$12),'Assumptions'!$B$12+SUM(G42:G50)-SUM(AP42:AP50),"")</f>
        <v/>
      </c>
      <c r="AY50" s="137">
        <f>IF(ISNUMBER('Assumptions'!$B$13),'Assumptions'!$B$13+SUM(M42:M50)-SUM(AS42:AS50),"")</f>
        <v/>
      </c>
      <c r="AZ50" s="137">
        <f>IF(ISNUMBER('Assumptions'!$B$14),'Assumptions'!$B$14+-SUM(AF42:AF50),"")</f>
        <v/>
      </c>
      <c r="BA50" s="137">
        <f>IF(ISNUMBER('Assumptions'!$B$15),'Assumptions'!$B$15+SUM(O42:O50)+SUM(P42:P50)-SUM(AR42:AR50),"")</f>
        <v/>
      </c>
      <c r="BB50" s="137">
        <f>IF(ISNUMBER('Assumptions'!$B$16),'Assumptions'!$B$16+-SUM(AC42:AC50),"")</f>
        <v/>
      </c>
      <c r="BC50" s="137">
        <f>IF(AND(ISNUMBER('Assumptions'!$B$21),ISNUMBER('Assumptions'!$B$19)),'Assumptions'!$B$21+SUM(AU42:AU50)-SUM(AG42:AG50),"")</f>
        <v/>
      </c>
      <c r="BD50" s="137">
        <f>IF(ISNUMBER('Assumptions'!$B$20),'Assumptions'!$B$20+-SUM(AI42:AI50),"")</f>
        <v/>
      </c>
      <c r="BE50" s="137">
        <f>IF(AND(ISNUMBER('Assumptions'!$B$17),COUNT(AV42:AV50)=9),'Assumptions'!$B$17+SUM(AV42:AV50),"")</f>
        <v/>
      </c>
      <c r="BF50" s="137">
        <f>IF(COUNT(AL50,AW50:AY50)=4,SUM(AL50,AW50:AY50),"")</f>
        <v/>
      </c>
      <c r="BG50" s="137">
        <f>IF(COUNT(AZ50:BD50)=5,SUM(AZ50:BD50,AA50),"")</f>
        <v/>
      </c>
      <c r="BH50" s="137">
        <f>IF(COUNT(BF50,BG50,BE50)=3,BF50-BG50-BE50,"")</f>
        <v/>
      </c>
      <c r="BI50" s="137">
        <f>SUM(W50,X50)-Z50-AA50</f>
        <v/>
      </c>
      <c r="BJ50" s="137">
        <f>8-COUNT('Assumptions'!L58:L65)+COUNTBLANK('NM Play'!B33:B34)+'Costs'!E44+IF(AND('Sites'!E6=1,('Sites'!F6)&lt;=12,'Sites'!G6&gt;=1),IF(ISNUMBER('Sites'!O6),0,1)+'Capital'!I6+COUNTBLANK('Sites'!R6)+IF('Sites'!D6="NM crew",COUNTBLANK('NM Play'!B25)+1,5-COUNT('Assumptions'!L112:L116)),0)+IF(AND('Sites'!E7=1,('Sites'!F7+'Cases'!G7)&lt;=12,'Sites'!G7&gt;=1),IF(ISNUMBER('Sites'!O7),0,1)+'Capital'!I7+COUNTBLANK('Sites'!R7)+IF('Sites'!D7="NM crew",COUNTBLANK('NM Play'!B25)+1,5-COUNT('Assumptions'!L117:L121)),0)+IF(AND('Sites'!E8*'Cases'!F7=1,('Sites'!F8+'Cases'!G7)&lt;=12,'Sites'!G8&gt;=1),IF(ISNUMBER('Sites'!O8),0,1)+'Capital'!I8+COUNTBLANK('Sites'!R8)+IF('Sites'!D8="NM crew",COUNTBLANK('NM Play'!B25)+1,5-COUNT('Assumptions'!L122:L126)),0)+IF(AND('Cases'!C7&gt;0,NOT(ISNUMBER('Assumptions'!B42))),1,0)+'Responsibilities'!$B$39</f>
        <v/>
      </c>
      <c r="BK50" s="137">
        <f>'Assumptions'!$B$50+'NM Play'!$B$83+'Funding'!$F$20+SUMIFS('Production schedule'!$AN$114:$AN$221,'Production schedule'!$C$114:$C$221,9)+IF(OR('Cases'!E7&lt;0,'Cases'!E7&gt;1,'Cases'!C7&lt;0,'Cases'!D7&lt;0,ABS(SUM('Sites'!S6:S8)-1)&gt;0.0001,MIN('Capital'!F6:F8)&lt;0,MAX('Capital'!F6:F8)&gt;1,MIN(AX50,AZ50,BB50,BA50)&lt;-0.01),1,0)+'Responsibilities'!$B$40</f>
        <v/>
      </c>
      <c r="BL50" s="137">
        <f>SUMIFS('Production schedule'!$T$114:$T$221,'Production schedule'!$C$114:$C$221,9)</f>
        <v/>
      </c>
      <c r="BM50" s="137">
        <f>D50*'NM Play'!$B$38</f>
        <v/>
      </c>
      <c r="BN50" s="137">
        <f>SUMIFS('Production schedule'!$AM$114:$AM$221,'Production schedule'!$C$114:$C$221,9)</f>
        <v/>
      </c>
      <c r="BO50" s="137">
        <f>AK50-AK49-AJ50</f>
        <v/>
      </c>
      <c r="BP50" s="137">
        <f>IF(AND('Assumptions'!$B$39&gt;=0,'Assumptions'!$B$40&gt;0),-PMT('Assumptions'!$B$39/12,'Assumptions'!$B$40*12,IF('Funding'!$N$11&gt;0,'Funding'!$N$11,'Funding'!$S$11)),"")</f>
        <v/>
      </c>
      <c r="BQ50">
        <f>('Production schedule'!AJ122)*(1-'Responsibilities'!$C$6)+('Production schedule'!AJ158)*(1-'Responsibilities'!$C$7)+('Production schedule'!AJ194)*(1-'Responsibilities'!$C$8)</f>
        <v/>
      </c>
      <c r="BR50">
        <f>('Production schedule'!AI122)*(1-'Responsibilities'!$D$6)+('Production schedule'!AI158)*(1-'Responsibilities'!$D$7)+('Production schedule'!AI194)*(1-'Responsibilities'!$D$8)</f>
        <v/>
      </c>
      <c r="BS50">
        <f>('Production schedule'!E122*(IF('Sites'!D6="Annual staff",SUM('Assumptions'!L112,'Assumptions'!L114),0)+SUM('Assumptions'!L113,'Assumptions'!L115:L116)))*(1-'Responsibilities'!$E$6)+('Production schedule'!E158*(IF('Sites'!D7="Annual staff",SUM('Assumptions'!L117,'Assumptions'!L119),0)+SUM('Assumptions'!L118,'Assumptions'!L120:L121)))*(1-'Responsibilities'!$E$7)+('Production schedule'!E194*(IF('Sites'!D8="Annual staff",SUM('Assumptions'!L122,'Assumptions'!L124),0)+SUM('Assumptions'!L123,'Assumptions'!L125:L126)))*(1-'Responsibilities'!$E$8)</f>
        <v/>
      </c>
      <c r="BT50">
        <f>(IF(AND('Production schedule'!E122=1,9=MAX(('Sites'!F6),1),ISNUMBER('Sites'!O6)),'Sites'!O6*'Assumptions'!$B$44,0))*(1-'Responsibilities'!$F$6)+(IF(AND('Production schedule'!E158=1,9=MAX(('Sites'!F7+'Cases'!G7),1),ISNUMBER('Sites'!O7)),'Sites'!O7*'Assumptions'!$B$44,0))*(1-'Responsibilities'!$F$7)+(IF(AND('Production schedule'!E194=1,9=MAX(('Sites'!F8+'Cases'!G7),1),ISNUMBER('Sites'!O8)),'Sites'!O8*'Assumptions'!$B$44,0))*(1-'Responsibilities'!$F$8)</f>
        <v/>
      </c>
      <c r="BU50">
        <f>SUM('Costs'!E36)*'Costs'!F36/12*(1-'Responsibilities'!$C$12)+SUM('Costs'!E37)*'Costs'!F37/12*(1-'Responsibilities'!$C$13)+SUM('Costs'!E38)*'Costs'!F38/12*(1-'Responsibilities'!$C$14)+SUM('Costs'!E39)*'Costs'!F39/12*(1-'Responsibilities'!$C$15)+SUM('Costs'!E40)*'Costs'!F40/12*(1-'Responsibilities'!$C$16)</f>
        <v/>
      </c>
      <c r="BV50">
        <f>('Sites'!E6*'Capital'!E6*(IF(9='Capital'!G6,'Capital'!F6,0)+IF(9='Capital'!H6,1-'Capital'!F6,0)))*(1-'Responsibilities'!$G$6)+('Sites'!E7*'Capital'!E7*(IF(9='Capital'!G7+'Cases'!G7,'Capital'!F7,0)+IF(9='Capital'!H7+'Cases'!G7,1-'Capital'!F7,0)))*(1-'Responsibilities'!$G$7)+('Sites'!E8*'Cases'!F7*'Capital'!E8*(IF(9='Capital'!G8+'Cases'!G7,'Capital'!F8,0)+IF(9='Capital'!H8+'Cases'!G7,1-'Capital'!F8,0)))*(1-'Responsibilities'!$G$8)</f>
        <v/>
      </c>
      <c r="BW50">
        <f>SUM(BQ50:BV50)</f>
        <v/>
      </c>
      <c r="BX50">
        <f>N50+BW50</f>
        <v/>
      </c>
      <c r="BY50">
        <f>BX50-(('Production schedule'!AJ122)*'Responsibilities'!$C$6+('Production schedule'!AJ158)*'Responsibilities'!$C$7+('Production schedule'!AJ194)*'Responsibilities'!$C$8+('Production schedule'!AJ122)*(1-'Responsibilities'!$C$6)+('Production schedule'!AJ158)*(1-'Responsibilities'!$C$7)+('Production schedule'!AJ194)*(1-'Responsibilities'!$C$8)+('Production schedule'!AI122)*'Responsibilities'!$D$6+('Production schedule'!AI158)*'Responsibilities'!$D$7+('Production schedule'!AI194)*'Responsibilities'!$D$8+('Production schedule'!AI122)*(1-'Responsibilities'!$D$6)+('Production schedule'!AI158)*(1-'Responsibilities'!$D$7)+('Production schedule'!AI194)*(1-'Responsibilities'!$D$8)+('Production schedule'!E122*(IF('Sites'!D6="Annual staff",SUM('Assumptions'!L112,'Assumptions'!L114),0)+SUM('Assumptions'!L113,'Assumptions'!L115:L116)))*'Responsibilities'!$E$6+('Production schedule'!E158*(IF('Sites'!D7="Annual staff",SUM('Assumptions'!L117,'Assumptions'!L119),0)+SUM('Assumptions'!L118,'Assumptions'!L120:L121)))*'Responsibilities'!$E$7+('Production schedule'!E194*(IF('Sites'!D8="Annual staff",SUM('Assumptions'!L122,'Assumptions'!L124),0)+SUM('Assumptions'!L123,'Assumptions'!L125:L126)))*'Responsibilities'!$E$8+('Production schedule'!E122*(IF('Sites'!D6="Annual staff",SUM('Assumptions'!L112,'Assumptions'!L114),0)+SUM('Assumptions'!L113,'Assumptions'!L115:L116)))*(1-'Responsibilities'!$E$6)+('Production schedule'!E158*(IF('Sites'!D7="Annual staff",SUM('Assumptions'!L117,'Assumptions'!L119),0)+SUM('Assumptions'!L118,'Assumptions'!L120:L121)))*(1-'Responsibilities'!$E$7)+('Production schedule'!E194*(IF('Sites'!D8="Annual staff",SUM('Assumptions'!L122,'Assumptions'!L124),0)+SUM('Assumptions'!L123,'Assumptions'!L125:L126)))*(1-'Responsibilities'!$E$8)+(IF(AND('Production schedule'!E122=1,9=MAX(('Sites'!F6),1),ISNUMBER('Sites'!O6)),'Sites'!O6*'Assumptions'!$B$44,0))*'Responsibilities'!$F$6+(IF(AND('Production schedule'!E158=1,9=MAX(('Sites'!F7+'Cases'!G7),1),ISNUMBER('Sites'!O7)),'Sites'!O7*'Assumptions'!$B$44,0))*'Responsibilities'!$F$7+(IF(AND('Production schedule'!E194=1,9=MAX(('Sites'!F8+'Cases'!G7),1),ISNUMBER('Sites'!O8)),'Sites'!O8*'Assumptions'!$B$44,0))*'Responsibilities'!$F$8+(IF(AND('Production schedule'!E122=1,9=MAX(('Sites'!F6),1),ISNUMBER('Sites'!O6)),'Sites'!O6*'Assumptions'!$B$44,0))*(1-'Responsibilities'!$F$6)+(IF(AND('Production schedule'!E158=1,9=MAX(('Sites'!F7+'Cases'!G7),1),ISNUMBER('Sites'!O7)),'Sites'!O7*'Assumptions'!$B$44,0))*(1-'Responsibilities'!$F$7)+(IF(AND('Production schedule'!E194=1,9=MAX(('Sites'!F8+'Cases'!G7),1),ISNUMBER('Sites'!O8)),'Sites'!O8*'Assumptions'!$B$44,0))*(1-'Responsibilities'!$F$8)+('Sites'!E6*'Capital'!E6*(IF(9='Capital'!G6,'Capital'!F6,0)+IF(9='Capital'!H6,1-'Capital'!F6,0)))*'Responsibilities'!$G$6+('Sites'!E7*'Capital'!E7*(IF(9='Capital'!G7+'Cases'!G7,'Capital'!F7,0)+IF(9='Capital'!H7+'Cases'!G7,1-'Capital'!F7,0)))*'Responsibilities'!$G$7+('Sites'!E8*'Cases'!F7*'Capital'!E8*(IF(9='Capital'!G8+'Cases'!G7,'Capital'!F8,0)+IF(9='Capital'!H8+'Cases'!G7,1-'Capital'!F8,0)))*'Responsibilities'!$G$8+('Sites'!E6*'Capital'!E6*(IF(9='Capital'!G6,'Capital'!F6,0)+IF(9='Capital'!H6,1-'Capital'!F6,0)))*(1-'Responsibilities'!$G$6)+('Sites'!E7*'Capital'!E7*(IF(9='Capital'!G7+'Cases'!G7,'Capital'!F7,0)+IF(9='Capital'!H7+'Cases'!G7,1-'Capital'!F7,0)))*(1-'Responsibilities'!$G$7)+('Sites'!E8*'Cases'!F7*'Capital'!E8*(IF(9='Capital'!G8+'Cases'!G7,'Capital'!F8,0)+IF(9='Capital'!H8+'Cases'!G7,1-'Capital'!F8,0)))*(1-'Responsibilities'!$G$8)+I50+SUMPRODUCT('Costs'!$E$36:$E$40,'Costs'!$F$36:$F$40)/12+BZ50)</f>
        <v/>
      </c>
      <c r="BZ50">
        <f>SUMIFS('Responsibilities'!$B$31:$B$35,'Responsibilities'!$C$31:$C$35,9,'Responsibilities'!$D$31:$D$35,"Yes")</f>
        <v/>
      </c>
    </row>
    <row r="51" ht="28" customHeight="1">
      <c r="A51" s="4" t="inlineStr">
        <is>
          <t>Smaller</t>
        </is>
      </c>
      <c r="B51" s="4" t="n">
        <v>10</v>
      </c>
      <c r="C51" s="4">
        <f>ROUNDUP(B51/12,0)</f>
        <v/>
      </c>
      <c r="D51" s="137">
        <f>SUMIFS('Production schedule'!$N$114:$N$221,'Production schedule'!$C$114:$C$221,10)</f>
        <v/>
      </c>
      <c r="E51" s="137">
        <f>SUMIFS('Production schedule'!$Y$114:$Y$221,'Production schedule'!$C$114:$C$221,10)</f>
        <v/>
      </c>
      <c r="F51" s="137">
        <f>SUMIFS('Production schedule'!$Z$114:$Z$221,'Production schedule'!$C$114:$C$221,10)</f>
        <v/>
      </c>
      <c r="G51" s="137">
        <f>('Production schedule'!AJ123)*'Responsibilities'!$C$6+('Production schedule'!AJ159)*'Responsibilities'!$C$7+('Production schedule'!AJ195)*'Responsibilities'!$C$8</f>
        <v/>
      </c>
      <c r="H51" s="137">
        <f>('Production schedule'!AI123)*'Responsibilities'!$D$6+('Production schedule'!AI159)*'Responsibilities'!$D$7+('Production schedule'!AI195)*'Responsibilities'!$D$8</f>
        <v/>
      </c>
      <c r="I51" s="137">
        <f>SUM('Assumptions'!M58:M65)</f>
        <v/>
      </c>
      <c r="J51" s="137">
        <f>('Production schedule'!E123*(IF('Sites'!D6="Annual staff",SUM('Assumptions'!M112,'Assumptions'!M114),0)+SUM('Assumptions'!M113,'Assumptions'!M115:M116)))*'Responsibilities'!$E$6+('Production schedule'!E159*(IF('Sites'!D7="Annual staff",SUM('Assumptions'!M117,'Assumptions'!M119),0)+SUM('Assumptions'!M118,'Assumptions'!M120:M121)))*'Responsibilities'!$E$7+('Production schedule'!E195*(IF('Sites'!D8="Annual staff",SUM('Assumptions'!M122,'Assumptions'!M124),0)+SUM('Assumptions'!M123,'Assumptions'!M125:M126)))*'Responsibilities'!$E$8</f>
        <v/>
      </c>
      <c r="K51" s="137">
        <f>(IF(AND('Production schedule'!E123=1,10=MAX(('Sites'!F6),1),ISNUMBER('Sites'!O6)),'Sites'!O6*'Assumptions'!$B$44,0))*'Responsibilities'!$F$6+(IF(AND('Production schedule'!E159=1,10=MAX(('Sites'!F7+'Cases'!G7),1),ISNUMBER('Sites'!O7)),'Sites'!O7*'Assumptions'!$B$44,0))*'Responsibilities'!$F$7+(IF(AND('Production schedule'!E195=1,10=MAX(('Sites'!F8+'Cases'!G7),1),ISNUMBER('Sites'!O8)),'Sites'!O8*'Assumptions'!$B$44,0))*'Responsibilities'!$F$8</f>
        <v/>
      </c>
      <c r="L51" s="137">
        <f>SUM('Costs'!E36)*'Costs'!F36/12*'Responsibilities'!$C$12+SUM('Costs'!E37)*'Costs'!F37/12*'Responsibilities'!$C$13+SUM('Costs'!E38)*'Costs'!F38/12*'Responsibilities'!$C$14+SUM('Costs'!E39)*'Costs'!F39/12*'Responsibilities'!$C$15+SUM('Costs'!E40)*'Costs'!F40/12*'Responsibilities'!$C$16+BZ51</f>
        <v/>
      </c>
      <c r="M51" s="137">
        <f>('Sites'!E6*'Capital'!E6*(IF(10='Capital'!G6,'Capital'!F6,0)+IF(10='Capital'!H6,1-'Capital'!F6,0)))*'Responsibilities'!$G$6+('Sites'!E7*'Capital'!E7*(IF(10='Capital'!G7+'Cases'!G7,'Capital'!F7,0)+IF(10='Capital'!H7+'Cases'!G7,1-'Capital'!F7,0)))*'Responsibilities'!$G$7+('Sites'!E8*'Cases'!F7*'Capital'!E8*(IF(10='Capital'!G8+'Cases'!G7,'Capital'!F8,0)+IF(10='Capital'!H8+'Cases'!G7,1-'Capital'!F8,0)))*'Responsibilities'!$G$8</f>
        <v/>
      </c>
      <c r="N51" s="137">
        <f>SUM(G51:M51)</f>
        <v/>
      </c>
      <c r="O51" s="137">
        <f>SUMIFS(FundingTranches[Secured amount],FundingTranches[Instrument],"Grant",FundingTranches[Secured month],10)</f>
        <v/>
      </c>
      <c r="P51" s="137">
        <f>SUMIFS(FundingTranches[Smaller possible],FundingTranches[Instrument],"Grant",FundingTranches[Scenario month],10-'Cases'!$D$7)</f>
        <v/>
      </c>
      <c r="Q51" s="137">
        <f>SUMIFS(FundingTranches[Secured amount],FundingTranches[Instrument],"Loan",FundingTranches[Secured month],10)</f>
        <v/>
      </c>
      <c r="R51" s="137">
        <f>SUMIFS(FundingTranches[Smaller possible],FundingTranches[Instrument],"Loan",FundingTranches[Scenario month],10-'Cases'!$D$7)</f>
        <v/>
      </c>
      <c r="S51" s="137">
        <f>IF(10&lt;='Assumptions'!$B$34,0,SUMIFS('Production schedule'!$AL$114:$AL$221,'Production schedule'!$C$114:$C$221,10-'Assumptions'!$B$34))</f>
        <v/>
      </c>
      <c r="T51" s="137">
        <f>'Assumptions'!M70</f>
        <v/>
      </c>
      <c r="U51" s="137">
        <f>'Assumptions'!M78</f>
        <v/>
      </c>
      <c r="V51" s="137">
        <f>SUM(O51:U51)</f>
        <v/>
      </c>
      <c r="W51" s="137">
        <f>AA50</f>
        <v/>
      </c>
      <c r="X51" s="137">
        <f>SUM(Q51:R51)</f>
        <v/>
      </c>
      <c r="Y51" s="137">
        <f>SUM(W51,X51)*'Assumptions'!$B$39/12</f>
        <v/>
      </c>
      <c r="Z51" s="137">
        <f>IF(SUM(W51,X51)&gt;0,MIN(SUM(W51,X51),MAX(0,BP51-Y51)),0)</f>
        <v/>
      </c>
      <c r="AA51" s="137">
        <f>SUM(W51,X51)-Z51</f>
        <v/>
      </c>
      <c r="AB51" s="137">
        <f>SUM(Y51:Z51)</f>
        <v/>
      </c>
      <c r="AC51" s="137">
        <f>'Assumptions'!M72</f>
        <v/>
      </c>
      <c r="AD51" s="137">
        <f>'Assumptions'!M73</f>
        <v/>
      </c>
      <c r="AE51" s="137">
        <f>IF(X51&gt;0,SUM('Assumptions'!$B$42),0)</f>
        <v/>
      </c>
      <c r="AF51" s="137">
        <f>'Assumptions'!M71</f>
        <v/>
      </c>
      <c r="AG51" s="137">
        <f>'Assumptions'!M74</f>
        <v/>
      </c>
      <c r="AH51" s="137">
        <f>'Assumptions'!M75</f>
        <v/>
      </c>
      <c r="AI51" s="137">
        <f>'Assumptions'!M77</f>
        <v/>
      </c>
      <c r="AJ51" s="137">
        <f>V51-N51-SUM(AB51:AI51)</f>
        <v/>
      </c>
      <c r="AK51" s="137">
        <f>SUM(AJ42:AJ51)</f>
        <v/>
      </c>
      <c r="AL51" s="137">
        <f>IF(ISNUMBER('Assumptions'!$B$10),'Assumptions'!$B$10+AK51,"")</f>
        <v/>
      </c>
      <c r="AM51" s="137">
        <f>SUM(O51,Q51,T51)-N51-SUM(AC51:AI51)+IF('Funding'!$N$11=0,AE51,0)-IF('Funding'!$N$11&gt;0,AB51,0)</f>
        <v/>
      </c>
      <c r="AN51" s="137">
        <f>SUM(AM42:AM51)</f>
        <v/>
      </c>
      <c r="AO51" s="137">
        <f>IF(ISNUMBER('Assumptions'!$B$10),'Assumptions'!$B$10+AN51,"")</f>
        <v/>
      </c>
      <c r="AP51" s="137">
        <f>('Production schedule'!AK123)*'Responsibilities'!$C$6+('Production schedule'!AK159)*'Responsibilities'!$C$7+('Production schedule'!AK195)*'Responsibilities'!$C$8</f>
        <v/>
      </c>
      <c r="AQ51" s="137">
        <f>SUMIFS('Production schedule'!$AL$114:$AL$221,'Production schedule'!$C$114:$C$221,10)</f>
        <v/>
      </c>
      <c r="AR51" s="137">
        <f>IF(ISNUMBER('Assumptions'!M76),'Assumptions'!M76,SUM(O51:P51))</f>
        <v/>
      </c>
      <c r="AS51" s="137">
        <f>IF(ISNUMBER('Assumptions'!$B$13),MIN('Assumptions'!$B$13/'Assumptions'!$B$18/12,MAX(0,'Assumptions'!$B$13-(10-1)*'Assumptions'!$B$13/'Assumptions'!$B$18/12)),0)+IF(AND('Sites'!E6=1,10&gt;=('Sites'!F6),10&lt;('Sites'!F6)+'Assumptions'!$B$18*12),'Capital'!E6/'Assumptions'!$B$18/12,0)+IF(AND('Sites'!E7=1,10&gt;=('Sites'!F7+'Cases'!G7),10&lt;('Sites'!F7+'Cases'!G7)+'Assumptions'!$B$18*12),'Capital'!E7/'Assumptions'!$B$18/12,0)+IF(AND('Sites'!E8*'Cases'!F7=1,10&gt;=('Sites'!F8+'Cases'!G7),10&lt;('Sites'!F8+'Cases'!G7)+'Assumptions'!$B$18*12),'Capital'!E8/'Assumptions'!$B$18/12,0)</f>
        <v/>
      </c>
      <c r="AT51" s="137">
        <f>SUM(AQ51,AR51,U51)-AP51-SUM(H51:L51)-AS51-SUM(Y51,AD51,AE51,AH51)</f>
        <v/>
      </c>
      <c r="AU51" s="137">
        <f>IF(ISNUMBER('Assumptions'!$B$19),MAX(0,SUM(AT42:AT51))*'Assumptions'!$B$19-SUM(AU42:AU50),"")</f>
        <v/>
      </c>
      <c r="AV51" s="137">
        <f>IF(ISNUMBER(AU51),AT51-AU51,"")</f>
        <v/>
      </c>
      <c r="AW51" s="137">
        <f>IF(ISNUMBER('Assumptions'!$B$11),'Assumptions'!$B$11+SUM(AQ42:AQ51)-SUM(S42:S51)-SUM(T42:T51),"")</f>
        <v/>
      </c>
      <c r="AX51" s="137">
        <f>IF(ISNUMBER('Assumptions'!$B$12),'Assumptions'!$B$12+SUM(G42:G51)-SUM(AP42:AP51),"")</f>
        <v/>
      </c>
      <c r="AY51" s="137">
        <f>IF(ISNUMBER('Assumptions'!$B$13),'Assumptions'!$B$13+SUM(M42:M51)-SUM(AS42:AS51),"")</f>
        <v/>
      </c>
      <c r="AZ51" s="137">
        <f>IF(ISNUMBER('Assumptions'!$B$14),'Assumptions'!$B$14+-SUM(AF42:AF51),"")</f>
        <v/>
      </c>
      <c r="BA51" s="137">
        <f>IF(ISNUMBER('Assumptions'!$B$15),'Assumptions'!$B$15+SUM(O42:O51)+SUM(P42:P51)-SUM(AR42:AR51),"")</f>
        <v/>
      </c>
      <c r="BB51" s="137">
        <f>IF(ISNUMBER('Assumptions'!$B$16),'Assumptions'!$B$16+-SUM(AC42:AC51),"")</f>
        <v/>
      </c>
      <c r="BC51" s="137">
        <f>IF(AND(ISNUMBER('Assumptions'!$B$21),ISNUMBER('Assumptions'!$B$19)),'Assumptions'!$B$21+SUM(AU42:AU51)-SUM(AG42:AG51),"")</f>
        <v/>
      </c>
      <c r="BD51" s="137">
        <f>IF(ISNUMBER('Assumptions'!$B$20),'Assumptions'!$B$20+-SUM(AI42:AI51),"")</f>
        <v/>
      </c>
      <c r="BE51" s="137">
        <f>IF(AND(ISNUMBER('Assumptions'!$B$17),COUNT(AV42:AV51)=10),'Assumptions'!$B$17+SUM(AV42:AV51),"")</f>
        <v/>
      </c>
      <c r="BF51" s="137">
        <f>IF(COUNT(AL51,AW51:AY51)=4,SUM(AL51,AW51:AY51),"")</f>
        <v/>
      </c>
      <c r="BG51" s="137">
        <f>IF(COUNT(AZ51:BD51)=5,SUM(AZ51:BD51,AA51),"")</f>
        <v/>
      </c>
      <c r="BH51" s="137">
        <f>IF(COUNT(BF51,BG51,BE51)=3,BF51-BG51-BE51,"")</f>
        <v/>
      </c>
      <c r="BI51" s="137">
        <f>SUM(W51,X51)-Z51-AA51</f>
        <v/>
      </c>
      <c r="BJ51" s="137">
        <f>8-COUNT('Assumptions'!M58:M65)+COUNTBLANK('NM Play'!B33:B34)+'Costs'!E44+IF(AND('Sites'!E6=1,('Sites'!F6)&lt;=12,'Sites'!G6&gt;=1),IF(ISNUMBER('Sites'!O6),0,1)+'Capital'!I6+COUNTBLANK('Sites'!R6)+IF('Sites'!D6="NM crew",COUNTBLANK('NM Play'!B25)+1,5-COUNT('Assumptions'!M112:M116)),0)+IF(AND('Sites'!E7=1,('Sites'!F7+'Cases'!G7)&lt;=12,'Sites'!G7&gt;=1),IF(ISNUMBER('Sites'!O7),0,1)+'Capital'!I7+COUNTBLANK('Sites'!R7)+IF('Sites'!D7="NM crew",COUNTBLANK('NM Play'!B25)+1,5-COUNT('Assumptions'!M117:M121)),0)+IF(AND('Sites'!E8*'Cases'!F7=1,('Sites'!F8+'Cases'!G7)&lt;=12,'Sites'!G8&gt;=1),IF(ISNUMBER('Sites'!O8),0,1)+'Capital'!I8+COUNTBLANK('Sites'!R8)+IF('Sites'!D8="NM crew",COUNTBLANK('NM Play'!B25)+1,5-COUNT('Assumptions'!M122:M126)),0)+IF(AND('Cases'!C7&gt;0,NOT(ISNUMBER('Assumptions'!B42))),1,0)+'Responsibilities'!$B$39</f>
        <v/>
      </c>
      <c r="BK51" s="137">
        <f>'Assumptions'!$B$50+'NM Play'!$B$83+'Funding'!$F$20+SUMIFS('Production schedule'!$AN$114:$AN$221,'Production schedule'!$C$114:$C$221,10)+IF(OR('Cases'!E7&lt;0,'Cases'!E7&gt;1,'Cases'!C7&lt;0,'Cases'!D7&lt;0,ABS(SUM('Sites'!S6:S8)-1)&gt;0.0001,MIN('Capital'!F6:F8)&lt;0,MAX('Capital'!F6:F8)&gt;1,MIN(AX51,AZ51,BB51,BA51)&lt;-0.01),1,0)+'Responsibilities'!$B$40</f>
        <v/>
      </c>
      <c r="BL51" s="137">
        <f>SUMIFS('Production schedule'!$T$114:$T$221,'Production schedule'!$C$114:$C$221,10)</f>
        <v/>
      </c>
      <c r="BM51" s="137">
        <f>D51*'NM Play'!$B$38</f>
        <v/>
      </c>
      <c r="BN51" s="137">
        <f>SUMIFS('Production schedule'!$AM$114:$AM$221,'Production schedule'!$C$114:$C$221,10)</f>
        <v/>
      </c>
      <c r="BO51" s="137">
        <f>AK51-AK50-AJ51</f>
        <v/>
      </c>
      <c r="BP51" s="137">
        <f>IF(AND('Assumptions'!$B$39&gt;=0,'Assumptions'!$B$40&gt;0),-PMT('Assumptions'!$B$39/12,'Assumptions'!$B$40*12,IF('Funding'!$N$11&gt;0,'Funding'!$N$11,'Funding'!$S$11)),"")</f>
        <v/>
      </c>
      <c r="BQ51">
        <f>('Production schedule'!AJ123)*(1-'Responsibilities'!$C$6)+('Production schedule'!AJ159)*(1-'Responsibilities'!$C$7)+('Production schedule'!AJ195)*(1-'Responsibilities'!$C$8)</f>
        <v/>
      </c>
      <c r="BR51">
        <f>('Production schedule'!AI123)*(1-'Responsibilities'!$D$6)+('Production schedule'!AI159)*(1-'Responsibilities'!$D$7)+('Production schedule'!AI195)*(1-'Responsibilities'!$D$8)</f>
        <v/>
      </c>
      <c r="BS51">
        <f>('Production schedule'!E123*(IF('Sites'!D6="Annual staff",SUM('Assumptions'!M112,'Assumptions'!M114),0)+SUM('Assumptions'!M113,'Assumptions'!M115:M116)))*(1-'Responsibilities'!$E$6)+('Production schedule'!E159*(IF('Sites'!D7="Annual staff",SUM('Assumptions'!M117,'Assumptions'!M119),0)+SUM('Assumptions'!M118,'Assumptions'!M120:M121)))*(1-'Responsibilities'!$E$7)+('Production schedule'!E195*(IF('Sites'!D8="Annual staff",SUM('Assumptions'!M122,'Assumptions'!M124),0)+SUM('Assumptions'!M123,'Assumptions'!M125:M126)))*(1-'Responsibilities'!$E$8)</f>
        <v/>
      </c>
      <c r="BT51">
        <f>(IF(AND('Production schedule'!E123=1,10=MAX(('Sites'!F6),1),ISNUMBER('Sites'!O6)),'Sites'!O6*'Assumptions'!$B$44,0))*(1-'Responsibilities'!$F$6)+(IF(AND('Production schedule'!E159=1,10=MAX(('Sites'!F7+'Cases'!G7),1),ISNUMBER('Sites'!O7)),'Sites'!O7*'Assumptions'!$B$44,0))*(1-'Responsibilities'!$F$7)+(IF(AND('Production schedule'!E195=1,10=MAX(('Sites'!F8+'Cases'!G7),1),ISNUMBER('Sites'!O8)),'Sites'!O8*'Assumptions'!$B$44,0))*(1-'Responsibilities'!$F$8)</f>
        <v/>
      </c>
      <c r="BU51">
        <f>SUM('Costs'!E36)*'Costs'!F36/12*(1-'Responsibilities'!$C$12)+SUM('Costs'!E37)*'Costs'!F37/12*(1-'Responsibilities'!$C$13)+SUM('Costs'!E38)*'Costs'!F38/12*(1-'Responsibilities'!$C$14)+SUM('Costs'!E39)*'Costs'!F39/12*(1-'Responsibilities'!$C$15)+SUM('Costs'!E40)*'Costs'!F40/12*(1-'Responsibilities'!$C$16)</f>
        <v/>
      </c>
      <c r="BV51">
        <f>('Sites'!E6*'Capital'!E6*(IF(10='Capital'!G6,'Capital'!F6,0)+IF(10='Capital'!H6,1-'Capital'!F6,0)))*(1-'Responsibilities'!$G$6)+('Sites'!E7*'Capital'!E7*(IF(10='Capital'!G7+'Cases'!G7,'Capital'!F7,0)+IF(10='Capital'!H7+'Cases'!G7,1-'Capital'!F7,0)))*(1-'Responsibilities'!$G$7)+('Sites'!E8*'Cases'!F7*'Capital'!E8*(IF(10='Capital'!G8+'Cases'!G7,'Capital'!F8,0)+IF(10='Capital'!H8+'Cases'!G7,1-'Capital'!F8,0)))*(1-'Responsibilities'!$G$8)</f>
        <v/>
      </c>
      <c r="BW51">
        <f>SUM(BQ51:BV51)</f>
        <v/>
      </c>
      <c r="BX51">
        <f>N51+BW51</f>
        <v/>
      </c>
      <c r="BY51">
        <f>BX51-(('Production schedule'!AJ123)*'Responsibilities'!$C$6+('Production schedule'!AJ159)*'Responsibilities'!$C$7+('Production schedule'!AJ195)*'Responsibilities'!$C$8+('Production schedule'!AJ123)*(1-'Responsibilities'!$C$6)+('Production schedule'!AJ159)*(1-'Responsibilities'!$C$7)+('Production schedule'!AJ195)*(1-'Responsibilities'!$C$8)+('Production schedule'!AI123)*'Responsibilities'!$D$6+('Production schedule'!AI159)*'Responsibilities'!$D$7+('Production schedule'!AI195)*'Responsibilities'!$D$8+('Production schedule'!AI123)*(1-'Responsibilities'!$D$6)+('Production schedule'!AI159)*(1-'Responsibilities'!$D$7)+('Production schedule'!AI195)*(1-'Responsibilities'!$D$8)+('Production schedule'!E123*(IF('Sites'!D6="Annual staff",SUM('Assumptions'!M112,'Assumptions'!M114),0)+SUM('Assumptions'!M113,'Assumptions'!M115:M116)))*'Responsibilities'!$E$6+('Production schedule'!E159*(IF('Sites'!D7="Annual staff",SUM('Assumptions'!M117,'Assumptions'!M119),0)+SUM('Assumptions'!M118,'Assumptions'!M120:M121)))*'Responsibilities'!$E$7+('Production schedule'!E195*(IF('Sites'!D8="Annual staff",SUM('Assumptions'!M122,'Assumptions'!M124),0)+SUM('Assumptions'!M123,'Assumptions'!M125:M126)))*'Responsibilities'!$E$8+('Production schedule'!E123*(IF('Sites'!D6="Annual staff",SUM('Assumptions'!M112,'Assumptions'!M114),0)+SUM('Assumptions'!M113,'Assumptions'!M115:M116)))*(1-'Responsibilities'!$E$6)+('Production schedule'!E159*(IF('Sites'!D7="Annual staff",SUM('Assumptions'!M117,'Assumptions'!M119),0)+SUM('Assumptions'!M118,'Assumptions'!M120:M121)))*(1-'Responsibilities'!$E$7)+('Production schedule'!E195*(IF('Sites'!D8="Annual staff",SUM('Assumptions'!M122,'Assumptions'!M124),0)+SUM('Assumptions'!M123,'Assumptions'!M125:M126)))*(1-'Responsibilities'!$E$8)+(IF(AND('Production schedule'!E123=1,10=MAX(('Sites'!F6),1),ISNUMBER('Sites'!O6)),'Sites'!O6*'Assumptions'!$B$44,0))*'Responsibilities'!$F$6+(IF(AND('Production schedule'!E159=1,10=MAX(('Sites'!F7+'Cases'!G7),1),ISNUMBER('Sites'!O7)),'Sites'!O7*'Assumptions'!$B$44,0))*'Responsibilities'!$F$7+(IF(AND('Production schedule'!E195=1,10=MAX(('Sites'!F8+'Cases'!G7),1),ISNUMBER('Sites'!O8)),'Sites'!O8*'Assumptions'!$B$44,0))*'Responsibilities'!$F$8+(IF(AND('Production schedule'!E123=1,10=MAX(('Sites'!F6),1),ISNUMBER('Sites'!O6)),'Sites'!O6*'Assumptions'!$B$44,0))*(1-'Responsibilities'!$F$6)+(IF(AND('Production schedule'!E159=1,10=MAX(('Sites'!F7+'Cases'!G7),1),ISNUMBER('Sites'!O7)),'Sites'!O7*'Assumptions'!$B$44,0))*(1-'Responsibilities'!$F$7)+(IF(AND('Production schedule'!E195=1,10=MAX(('Sites'!F8+'Cases'!G7),1),ISNUMBER('Sites'!O8)),'Sites'!O8*'Assumptions'!$B$44,0))*(1-'Responsibilities'!$F$8)+('Sites'!E6*'Capital'!E6*(IF(10='Capital'!G6,'Capital'!F6,0)+IF(10='Capital'!H6,1-'Capital'!F6,0)))*'Responsibilities'!$G$6+('Sites'!E7*'Capital'!E7*(IF(10='Capital'!G7+'Cases'!G7,'Capital'!F7,0)+IF(10='Capital'!H7+'Cases'!G7,1-'Capital'!F7,0)))*'Responsibilities'!$G$7+('Sites'!E8*'Cases'!F7*'Capital'!E8*(IF(10='Capital'!G8+'Cases'!G7,'Capital'!F8,0)+IF(10='Capital'!H8+'Cases'!G7,1-'Capital'!F8,0)))*'Responsibilities'!$G$8+('Sites'!E6*'Capital'!E6*(IF(10='Capital'!G6,'Capital'!F6,0)+IF(10='Capital'!H6,1-'Capital'!F6,0)))*(1-'Responsibilities'!$G$6)+('Sites'!E7*'Capital'!E7*(IF(10='Capital'!G7+'Cases'!G7,'Capital'!F7,0)+IF(10='Capital'!H7+'Cases'!G7,1-'Capital'!F7,0)))*(1-'Responsibilities'!$G$7)+('Sites'!E8*'Cases'!F7*'Capital'!E8*(IF(10='Capital'!G8+'Cases'!G7,'Capital'!F8,0)+IF(10='Capital'!H8+'Cases'!G7,1-'Capital'!F8,0)))*(1-'Responsibilities'!$G$8)+I51+SUMPRODUCT('Costs'!$E$36:$E$40,'Costs'!$F$36:$F$40)/12+BZ51)</f>
        <v/>
      </c>
      <c r="BZ51">
        <f>SUMIFS('Responsibilities'!$B$31:$B$35,'Responsibilities'!$C$31:$C$35,10,'Responsibilities'!$D$31:$D$35,"Yes")</f>
        <v/>
      </c>
    </row>
    <row r="52" ht="28" customHeight="1">
      <c r="A52" s="4" t="inlineStr">
        <is>
          <t>Smaller</t>
        </is>
      </c>
      <c r="B52" s="4" t="n">
        <v>11</v>
      </c>
      <c r="C52" s="4">
        <f>ROUNDUP(B52/12,0)</f>
        <v/>
      </c>
      <c r="D52" s="137">
        <f>SUMIFS('Production schedule'!$N$114:$N$221,'Production schedule'!$C$114:$C$221,11)</f>
        <v/>
      </c>
      <c r="E52" s="137">
        <f>SUMIFS('Production schedule'!$Y$114:$Y$221,'Production schedule'!$C$114:$C$221,11)</f>
        <v/>
      </c>
      <c r="F52" s="137">
        <f>SUMIFS('Production schedule'!$Z$114:$Z$221,'Production schedule'!$C$114:$C$221,11)</f>
        <v/>
      </c>
      <c r="G52" s="137">
        <f>('Production schedule'!AJ124)*'Responsibilities'!$C$6+('Production schedule'!AJ160)*'Responsibilities'!$C$7+('Production schedule'!AJ196)*'Responsibilities'!$C$8</f>
        <v/>
      </c>
      <c r="H52" s="137">
        <f>('Production schedule'!AI124)*'Responsibilities'!$D$6+('Production schedule'!AI160)*'Responsibilities'!$D$7+('Production schedule'!AI196)*'Responsibilities'!$D$8</f>
        <v/>
      </c>
      <c r="I52" s="137">
        <f>SUM('Assumptions'!N58:N65)</f>
        <v/>
      </c>
      <c r="J52" s="137">
        <f>('Production schedule'!E124*(IF('Sites'!D6="Annual staff",SUM('Assumptions'!N112,'Assumptions'!N114),0)+SUM('Assumptions'!N113,'Assumptions'!N115:N116)))*'Responsibilities'!$E$6+('Production schedule'!E160*(IF('Sites'!D7="Annual staff",SUM('Assumptions'!N117,'Assumptions'!N119),0)+SUM('Assumptions'!N118,'Assumptions'!N120:N121)))*'Responsibilities'!$E$7+('Production schedule'!E196*(IF('Sites'!D8="Annual staff",SUM('Assumptions'!N122,'Assumptions'!N124),0)+SUM('Assumptions'!N123,'Assumptions'!N125:N126)))*'Responsibilities'!$E$8</f>
        <v/>
      </c>
      <c r="K52" s="137">
        <f>(IF(AND('Production schedule'!E124=1,11=MAX(('Sites'!F6),1),ISNUMBER('Sites'!O6)),'Sites'!O6*'Assumptions'!$B$44,0))*'Responsibilities'!$F$6+(IF(AND('Production schedule'!E160=1,11=MAX(('Sites'!F7+'Cases'!G7),1),ISNUMBER('Sites'!O7)),'Sites'!O7*'Assumptions'!$B$44,0))*'Responsibilities'!$F$7+(IF(AND('Production schedule'!E196=1,11=MAX(('Sites'!F8+'Cases'!G7),1),ISNUMBER('Sites'!O8)),'Sites'!O8*'Assumptions'!$B$44,0))*'Responsibilities'!$F$8</f>
        <v/>
      </c>
      <c r="L52" s="137">
        <f>SUM('Costs'!E36)*'Costs'!F36/12*'Responsibilities'!$C$12+SUM('Costs'!E37)*'Costs'!F37/12*'Responsibilities'!$C$13+SUM('Costs'!E38)*'Costs'!F38/12*'Responsibilities'!$C$14+SUM('Costs'!E39)*'Costs'!F39/12*'Responsibilities'!$C$15+SUM('Costs'!E40)*'Costs'!F40/12*'Responsibilities'!$C$16+BZ52</f>
        <v/>
      </c>
      <c r="M52" s="137">
        <f>('Sites'!E6*'Capital'!E6*(IF(11='Capital'!G6,'Capital'!F6,0)+IF(11='Capital'!H6,1-'Capital'!F6,0)))*'Responsibilities'!$G$6+('Sites'!E7*'Capital'!E7*(IF(11='Capital'!G7+'Cases'!G7,'Capital'!F7,0)+IF(11='Capital'!H7+'Cases'!G7,1-'Capital'!F7,0)))*'Responsibilities'!$G$7+('Sites'!E8*'Cases'!F7*'Capital'!E8*(IF(11='Capital'!G8+'Cases'!G7,'Capital'!F8,0)+IF(11='Capital'!H8+'Cases'!G7,1-'Capital'!F8,0)))*'Responsibilities'!$G$8</f>
        <v/>
      </c>
      <c r="N52" s="137">
        <f>SUM(G52:M52)</f>
        <v/>
      </c>
      <c r="O52" s="137">
        <f>SUMIFS(FundingTranches[Secured amount],FundingTranches[Instrument],"Grant",FundingTranches[Secured month],11)</f>
        <v/>
      </c>
      <c r="P52" s="137">
        <f>SUMIFS(FundingTranches[Smaller possible],FundingTranches[Instrument],"Grant",FundingTranches[Scenario month],11-'Cases'!$D$7)</f>
        <v/>
      </c>
      <c r="Q52" s="137">
        <f>SUMIFS(FundingTranches[Secured amount],FundingTranches[Instrument],"Loan",FundingTranches[Secured month],11)</f>
        <v/>
      </c>
      <c r="R52" s="137">
        <f>SUMIFS(FundingTranches[Smaller possible],FundingTranches[Instrument],"Loan",FundingTranches[Scenario month],11-'Cases'!$D$7)</f>
        <v/>
      </c>
      <c r="S52" s="137">
        <f>IF(11&lt;='Assumptions'!$B$34,0,SUMIFS('Production schedule'!$AL$114:$AL$221,'Production schedule'!$C$114:$C$221,11-'Assumptions'!$B$34))</f>
        <v/>
      </c>
      <c r="T52" s="137">
        <f>'Assumptions'!N70</f>
        <v/>
      </c>
      <c r="U52" s="137">
        <f>'Assumptions'!N78</f>
        <v/>
      </c>
      <c r="V52" s="137">
        <f>SUM(O52:U52)</f>
        <v/>
      </c>
      <c r="W52" s="137">
        <f>AA51</f>
        <v/>
      </c>
      <c r="X52" s="137">
        <f>SUM(Q52:R52)</f>
        <v/>
      </c>
      <c r="Y52" s="137">
        <f>SUM(W52,X52)*'Assumptions'!$B$39/12</f>
        <v/>
      </c>
      <c r="Z52" s="137">
        <f>IF(SUM(W52,X52)&gt;0,MIN(SUM(W52,X52),MAX(0,BP52-Y52)),0)</f>
        <v/>
      </c>
      <c r="AA52" s="137">
        <f>SUM(W52,X52)-Z52</f>
        <v/>
      </c>
      <c r="AB52" s="137">
        <f>SUM(Y52:Z52)</f>
        <v/>
      </c>
      <c r="AC52" s="137">
        <f>'Assumptions'!N72</f>
        <v/>
      </c>
      <c r="AD52" s="137">
        <f>'Assumptions'!N73</f>
        <v/>
      </c>
      <c r="AE52" s="137">
        <f>IF(X52&gt;0,SUM('Assumptions'!$B$42),0)</f>
        <v/>
      </c>
      <c r="AF52" s="137">
        <f>'Assumptions'!N71</f>
        <v/>
      </c>
      <c r="AG52" s="137">
        <f>'Assumptions'!N74</f>
        <v/>
      </c>
      <c r="AH52" s="137">
        <f>'Assumptions'!N75</f>
        <v/>
      </c>
      <c r="AI52" s="137">
        <f>'Assumptions'!N77</f>
        <v/>
      </c>
      <c r="AJ52" s="137">
        <f>V52-N52-SUM(AB52:AI52)</f>
        <v/>
      </c>
      <c r="AK52" s="137">
        <f>SUM(AJ42:AJ52)</f>
        <v/>
      </c>
      <c r="AL52" s="137">
        <f>IF(ISNUMBER('Assumptions'!$B$10),'Assumptions'!$B$10+AK52,"")</f>
        <v/>
      </c>
      <c r="AM52" s="137">
        <f>SUM(O52,Q52,T52)-N52-SUM(AC52:AI52)+IF('Funding'!$N$11=0,AE52,0)-IF('Funding'!$N$11&gt;0,AB52,0)</f>
        <v/>
      </c>
      <c r="AN52" s="137">
        <f>SUM(AM42:AM52)</f>
        <v/>
      </c>
      <c r="AO52" s="137">
        <f>IF(ISNUMBER('Assumptions'!$B$10),'Assumptions'!$B$10+AN52,"")</f>
        <v/>
      </c>
      <c r="AP52" s="137">
        <f>('Production schedule'!AK124)*'Responsibilities'!$C$6+('Production schedule'!AK160)*'Responsibilities'!$C$7+('Production schedule'!AK196)*'Responsibilities'!$C$8</f>
        <v/>
      </c>
      <c r="AQ52" s="137">
        <f>SUMIFS('Production schedule'!$AL$114:$AL$221,'Production schedule'!$C$114:$C$221,11)</f>
        <v/>
      </c>
      <c r="AR52" s="137">
        <f>IF(ISNUMBER('Assumptions'!N76),'Assumptions'!N76,SUM(O52:P52))</f>
        <v/>
      </c>
      <c r="AS52" s="137">
        <f>IF(ISNUMBER('Assumptions'!$B$13),MIN('Assumptions'!$B$13/'Assumptions'!$B$18/12,MAX(0,'Assumptions'!$B$13-(11-1)*'Assumptions'!$B$13/'Assumptions'!$B$18/12)),0)+IF(AND('Sites'!E6=1,11&gt;=('Sites'!F6),11&lt;('Sites'!F6)+'Assumptions'!$B$18*12),'Capital'!E6/'Assumptions'!$B$18/12,0)+IF(AND('Sites'!E7=1,11&gt;=('Sites'!F7+'Cases'!G7),11&lt;('Sites'!F7+'Cases'!G7)+'Assumptions'!$B$18*12),'Capital'!E7/'Assumptions'!$B$18/12,0)+IF(AND('Sites'!E8*'Cases'!F7=1,11&gt;=('Sites'!F8+'Cases'!G7),11&lt;('Sites'!F8+'Cases'!G7)+'Assumptions'!$B$18*12),'Capital'!E8/'Assumptions'!$B$18/12,0)</f>
        <v/>
      </c>
      <c r="AT52" s="137">
        <f>SUM(AQ52,AR52,U52)-AP52-SUM(H52:L52)-AS52-SUM(Y52,AD52,AE52,AH52)</f>
        <v/>
      </c>
      <c r="AU52" s="137">
        <f>IF(ISNUMBER('Assumptions'!$B$19),MAX(0,SUM(AT42:AT52))*'Assumptions'!$B$19-SUM(AU42:AU51),"")</f>
        <v/>
      </c>
      <c r="AV52" s="137">
        <f>IF(ISNUMBER(AU52),AT52-AU52,"")</f>
        <v/>
      </c>
      <c r="AW52" s="137">
        <f>IF(ISNUMBER('Assumptions'!$B$11),'Assumptions'!$B$11+SUM(AQ42:AQ52)-SUM(S42:S52)-SUM(T42:T52),"")</f>
        <v/>
      </c>
      <c r="AX52" s="137">
        <f>IF(ISNUMBER('Assumptions'!$B$12),'Assumptions'!$B$12+SUM(G42:G52)-SUM(AP42:AP52),"")</f>
        <v/>
      </c>
      <c r="AY52" s="137">
        <f>IF(ISNUMBER('Assumptions'!$B$13),'Assumptions'!$B$13+SUM(M42:M52)-SUM(AS42:AS52),"")</f>
        <v/>
      </c>
      <c r="AZ52" s="137">
        <f>IF(ISNUMBER('Assumptions'!$B$14),'Assumptions'!$B$14+-SUM(AF42:AF52),"")</f>
        <v/>
      </c>
      <c r="BA52" s="137">
        <f>IF(ISNUMBER('Assumptions'!$B$15),'Assumptions'!$B$15+SUM(O42:O52)+SUM(P42:P52)-SUM(AR42:AR52),"")</f>
        <v/>
      </c>
      <c r="BB52" s="137">
        <f>IF(ISNUMBER('Assumptions'!$B$16),'Assumptions'!$B$16+-SUM(AC42:AC52),"")</f>
        <v/>
      </c>
      <c r="BC52" s="137">
        <f>IF(AND(ISNUMBER('Assumptions'!$B$21),ISNUMBER('Assumptions'!$B$19)),'Assumptions'!$B$21+SUM(AU42:AU52)-SUM(AG42:AG52),"")</f>
        <v/>
      </c>
      <c r="BD52" s="137">
        <f>IF(ISNUMBER('Assumptions'!$B$20),'Assumptions'!$B$20+-SUM(AI42:AI52),"")</f>
        <v/>
      </c>
      <c r="BE52" s="137">
        <f>IF(AND(ISNUMBER('Assumptions'!$B$17),COUNT(AV42:AV52)=11),'Assumptions'!$B$17+SUM(AV42:AV52),"")</f>
        <v/>
      </c>
      <c r="BF52" s="137">
        <f>IF(COUNT(AL52,AW52:AY52)=4,SUM(AL52,AW52:AY52),"")</f>
        <v/>
      </c>
      <c r="BG52" s="137">
        <f>IF(COUNT(AZ52:BD52)=5,SUM(AZ52:BD52,AA52),"")</f>
        <v/>
      </c>
      <c r="BH52" s="137">
        <f>IF(COUNT(BF52,BG52,BE52)=3,BF52-BG52-BE52,"")</f>
        <v/>
      </c>
      <c r="BI52" s="137">
        <f>SUM(W52,X52)-Z52-AA52</f>
        <v/>
      </c>
      <c r="BJ52" s="137">
        <f>8-COUNT('Assumptions'!N58:N65)+COUNTBLANK('NM Play'!B33:B34)+'Costs'!E44+IF(AND('Sites'!E6=1,('Sites'!F6)&lt;=12,'Sites'!G6&gt;=1),IF(ISNUMBER('Sites'!O6),0,1)+'Capital'!I6+COUNTBLANK('Sites'!R6)+IF('Sites'!D6="NM crew",COUNTBLANK('NM Play'!B25)+1,5-COUNT('Assumptions'!N112:N116)),0)+IF(AND('Sites'!E7=1,('Sites'!F7+'Cases'!G7)&lt;=12,'Sites'!G7&gt;=1),IF(ISNUMBER('Sites'!O7),0,1)+'Capital'!I7+COUNTBLANK('Sites'!R7)+IF('Sites'!D7="NM crew",COUNTBLANK('NM Play'!B25)+1,5-COUNT('Assumptions'!N117:N121)),0)+IF(AND('Sites'!E8*'Cases'!F7=1,('Sites'!F8+'Cases'!G7)&lt;=12,'Sites'!G8&gt;=1),IF(ISNUMBER('Sites'!O8),0,1)+'Capital'!I8+COUNTBLANK('Sites'!R8)+IF('Sites'!D8="NM crew",COUNTBLANK('NM Play'!B25)+1,5-COUNT('Assumptions'!N122:N126)),0)+IF(AND('Cases'!C7&gt;0,NOT(ISNUMBER('Assumptions'!B42))),1,0)+'Responsibilities'!$B$39</f>
        <v/>
      </c>
      <c r="BK52" s="137">
        <f>'Assumptions'!$B$50+'NM Play'!$B$83+'Funding'!$F$20+SUMIFS('Production schedule'!$AN$114:$AN$221,'Production schedule'!$C$114:$C$221,11)+IF(OR('Cases'!E7&lt;0,'Cases'!E7&gt;1,'Cases'!C7&lt;0,'Cases'!D7&lt;0,ABS(SUM('Sites'!S6:S8)-1)&gt;0.0001,MIN('Capital'!F6:F8)&lt;0,MAX('Capital'!F6:F8)&gt;1,MIN(AX52,AZ52,BB52,BA52)&lt;-0.01),1,0)+'Responsibilities'!$B$40</f>
        <v/>
      </c>
      <c r="BL52" s="137">
        <f>SUMIFS('Production schedule'!$T$114:$T$221,'Production schedule'!$C$114:$C$221,11)</f>
        <v/>
      </c>
      <c r="BM52" s="137">
        <f>D52*'NM Play'!$B$38</f>
        <v/>
      </c>
      <c r="BN52" s="137">
        <f>SUMIFS('Production schedule'!$AM$114:$AM$221,'Production schedule'!$C$114:$C$221,11)</f>
        <v/>
      </c>
      <c r="BO52" s="137">
        <f>AK52-AK51-AJ52</f>
        <v/>
      </c>
      <c r="BP52" s="137">
        <f>IF(AND('Assumptions'!$B$39&gt;=0,'Assumptions'!$B$40&gt;0),-PMT('Assumptions'!$B$39/12,'Assumptions'!$B$40*12,IF('Funding'!$N$11&gt;0,'Funding'!$N$11,'Funding'!$S$11)),"")</f>
        <v/>
      </c>
      <c r="BQ52">
        <f>('Production schedule'!AJ124)*(1-'Responsibilities'!$C$6)+('Production schedule'!AJ160)*(1-'Responsibilities'!$C$7)+('Production schedule'!AJ196)*(1-'Responsibilities'!$C$8)</f>
        <v/>
      </c>
      <c r="BR52">
        <f>('Production schedule'!AI124)*(1-'Responsibilities'!$D$6)+('Production schedule'!AI160)*(1-'Responsibilities'!$D$7)+('Production schedule'!AI196)*(1-'Responsibilities'!$D$8)</f>
        <v/>
      </c>
      <c r="BS52">
        <f>('Production schedule'!E124*(IF('Sites'!D6="Annual staff",SUM('Assumptions'!N112,'Assumptions'!N114),0)+SUM('Assumptions'!N113,'Assumptions'!N115:N116)))*(1-'Responsibilities'!$E$6)+('Production schedule'!E160*(IF('Sites'!D7="Annual staff",SUM('Assumptions'!N117,'Assumptions'!N119),0)+SUM('Assumptions'!N118,'Assumptions'!N120:N121)))*(1-'Responsibilities'!$E$7)+('Production schedule'!E196*(IF('Sites'!D8="Annual staff",SUM('Assumptions'!N122,'Assumptions'!N124),0)+SUM('Assumptions'!N123,'Assumptions'!N125:N126)))*(1-'Responsibilities'!$E$8)</f>
        <v/>
      </c>
      <c r="BT52">
        <f>(IF(AND('Production schedule'!E124=1,11=MAX(('Sites'!F6),1),ISNUMBER('Sites'!O6)),'Sites'!O6*'Assumptions'!$B$44,0))*(1-'Responsibilities'!$F$6)+(IF(AND('Production schedule'!E160=1,11=MAX(('Sites'!F7+'Cases'!G7),1),ISNUMBER('Sites'!O7)),'Sites'!O7*'Assumptions'!$B$44,0))*(1-'Responsibilities'!$F$7)+(IF(AND('Production schedule'!E196=1,11=MAX(('Sites'!F8+'Cases'!G7),1),ISNUMBER('Sites'!O8)),'Sites'!O8*'Assumptions'!$B$44,0))*(1-'Responsibilities'!$F$8)</f>
        <v/>
      </c>
      <c r="BU52">
        <f>SUM('Costs'!E36)*'Costs'!F36/12*(1-'Responsibilities'!$C$12)+SUM('Costs'!E37)*'Costs'!F37/12*(1-'Responsibilities'!$C$13)+SUM('Costs'!E38)*'Costs'!F38/12*(1-'Responsibilities'!$C$14)+SUM('Costs'!E39)*'Costs'!F39/12*(1-'Responsibilities'!$C$15)+SUM('Costs'!E40)*'Costs'!F40/12*(1-'Responsibilities'!$C$16)</f>
        <v/>
      </c>
      <c r="BV52">
        <f>('Sites'!E6*'Capital'!E6*(IF(11='Capital'!G6,'Capital'!F6,0)+IF(11='Capital'!H6,1-'Capital'!F6,0)))*(1-'Responsibilities'!$G$6)+('Sites'!E7*'Capital'!E7*(IF(11='Capital'!G7+'Cases'!G7,'Capital'!F7,0)+IF(11='Capital'!H7+'Cases'!G7,1-'Capital'!F7,0)))*(1-'Responsibilities'!$G$7)+('Sites'!E8*'Cases'!F7*'Capital'!E8*(IF(11='Capital'!G8+'Cases'!G7,'Capital'!F8,0)+IF(11='Capital'!H8+'Cases'!G7,1-'Capital'!F8,0)))*(1-'Responsibilities'!$G$8)</f>
        <v/>
      </c>
      <c r="BW52">
        <f>SUM(BQ52:BV52)</f>
        <v/>
      </c>
      <c r="BX52">
        <f>N52+BW52</f>
        <v/>
      </c>
      <c r="BY52">
        <f>BX52-(('Production schedule'!AJ124)*'Responsibilities'!$C$6+('Production schedule'!AJ160)*'Responsibilities'!$C$7+('Production schedule'!AJ196)*'Responsibilities'!$C$8+('Production schedule'!AJ124)*(1-'Responsibilities'!$C$6)+('Production schedule'!AJ160)*(1-'Responsibilities'!$C$7)+('Production schedule'!AJ196)*(1-'Responsibilities'!$C$8)+('Production schedule'!AI124)*'Responsibilities'!$D$6+('Production schedule'!AI160)*'Responsibilities'!$D$7+('Production schedule'!AI196)*'Responsibilities'!$D$8+('Production schedule'!AI124)*(1-'Responsibilities'!$D$6)+('Production schedule'!AI160)*(1-'Responsibilities'!$D$7)+('Production schedule'!AI196)*(1-'Responsibilities'!$D$8)+('Production schedule'!E124*(IF('Sites'!D6="Annual staff",SUM('Assumptions'!N112,'Assumptions'!N114),0)+SUM('Assumptions'!N113,'Assumptions'!N115:N116)))*'Responsibilities'!$E$6+('Production schedule'!E160*(IF('Sites'!D7="Annual staff",SUM('Assumptions'!N117,'Assumptions'!N119),0)+SUM('Assumptions'!N118,'Assumptions'!N120:N121)))*'Responsibilities'!$E$7+('Production schedule'!E196*(IF('Sites'!D8="Annual staff",SUM('Assumptions'!N122,'Assumptions'!N124),0)+SUM('Assumptions'!N123,'Assumptions'!N125:N126)))*'Responsibilities'!$E$8+('Production schedule'!E124*(IF('Sites'!D6="Annual staff",SUM('Assumptions'!N112,'Assumptions'!N114),0)+SUM('Assumptions'!N113,'Assumptions'!N115:N116)))*(1-'Responsibilities'!$E$6)+('Production schedule'!E160*(IF('Sites'!D7="Annual staff",SUM('Assumptions'!N117,'Assumptions'!N119),0)+SUM('Assumptions'!N118,'Assumptions'!N120:N121)))*(1-'Responsibilities'!$E$7)+('Production schedule'!E196*(IF('Sites'!D8="Annual staff",SUM('Assumptions'!N122,'Assumptions'!N124),0)+SUM('Assumptions'!N123,'Assumptions'!N125:N126)))*(1-'Responsibilities'!$E$8)+(IF(AND('Production schedule'!E124=1,11=MAX(('Sites'!F6),1),ISNUMBER('Sites'!O6)),'Sites'!O6*'Assumptions'!$B$44,0))*'Responsibilities'!$F$6+(IF(AND('Production schedule'!E160=1,11=MAX(('Sites'!F7+'Cases'!G7),1),ISNUMBER('Sites'!O7)),'Sites'!O7*'Assumptions'!$B$44,0))*'Responsibilities'!$F$7+(IF(AND('Production schedule'!E196=1,11=MAX(('Sites'!F8+'Cases'!G7),1),ISNUMBER('Sites'!O8)),'Sites'!O8*'Assumptions'!$B$44,0))*'Responsibilities'!$F$8+(IF(AND('Production schedule'!E124=1,11=MAX(('Sites'!F6),1),ISNUMBER('Sites'!O6)),'Sites'!O6*'Assumptions'!$B$44,0))*(1-'Responsibilities'!$F$6)+(IF(AND('Production schedule'!E160=1,11=MAX(('Sites'!F7+'Cases'!G7),1),ISNUMBER('Sites'!O7)),'Sites'!O7*'Assumptions'!$B$44,0))*(1-'Responsibilities'!$F$7)+(IF(AND('Production schedule'!E196=1,11=MAX(('Sites'!F8+'Cases'!G7),1),ISNUMBER('Sites'!O8)),'Sites'!O8*'Assumptions'!$B$44,0))*(1-'Responsibilities'!$F$8)+('Sites'!E6*'Capital'!E6*(IF(11='Capital'!G6,'Capital'!F6,0)+IF(11='Capital'!H6,1-'Capital'!F6,0)))*'Responsibilities'!$G$6+('Sites'!E7*'Capital'!E7*(IF(11='Capital'!G7+'Cases'!G7,'Capital'!F7,0)+IF(11='Capital'!H7+'Cases'!G7,1-'Capital'!F7,0)))*'Responsibilities'!$G$7+('Sites'!E8*'Cases'!F7*'Capital'!E8*(IF(11='Capital'!G8+'Cases'!G7,'Capital'!F8,0)+IF(11='Capital'!H8+'Cases'!G7,1-'Capital'!F8,0)))*'Responsibilities'!$G$8+('Sites'!E6*'Capital'!E6*(IF(11='Capital'!G6,'Capital'!F6,0)+IF(11='Capital'!H6,1-'Capital'!F6,0)))*(1-'Responsibilities'!$G$6)+('Sites'!E7*'Capital'!E7*(IF(11='Capital'!G7+'Cases'!G7,'Capital'!F7,0)+IF(11='Capital'!H7+'Cases'!G7,1-'Capital'!F7,0)))*(1-'Responsibilities'!$G$7)+('Sites'!E8*'Cases'!F7*'Capital'!E8*(IF(11='Capital'!G8+'Cases'!G7,'Capital'!F8,0)+IF(11='Capital'!H8+'Cases'!G7,1-'Capital'!F8,0)))*(1-'Responsibilities'!$G$8)+I52+SUMPRODUCT('Costs'!$E$36:$E$40,'Costs'!$F$36:$F$40)/12+BZ52)</f>
        <v/>
      </c>
      <c r="BZ52">
        <f>SUMIFS('Responsibilities'!$B$31:$B$35,'Responsibilities'!$C$31:$C$35,11,'Responsibilities'!$D$31:$D$35,"Yes")</f>
        <v/>
      </c>
    </row>
    <row r="53" ht="28" customHeight="1">
      <c r="A53" s="4" t="inlineStr">
        <is>
          <t>Smaller</t>
        </is>
      </c>
      <c r="B53" s="4" t="n">
        <v>12</v>
      </c>
      <c r="C53" s="4">
        <f>ROUNDUP(B53/12,0)</f>
        <v/>
      </c>
      <c r="D53" s="137">
        <f>SUMIFS('Production schedule'!$N$114:$N$221,'Production schedule'!$C$114:$C$221,12)</f>
        <v/>
      </c>
      <c r="E53" s="137">
        <f>SUMIFS('Production schedule'!$Y$114:$Y$221,'Production schedule'!$C$114:$C$221,12)</f>
        <v/>
      </c>
      <c r="F53" s="137">
        <f>SUMIFS('Production schedule'!$Z$114:$Z$221,'Production schedule'!$C$114:$C$221,12)</f>
        <v/>
      </c>
      <c r="G53" s="137">
        <f>('Production schedule'!AJ125)*'Responsibilities'!$C$6+('Production schedule'!AJ161)*'Responsibilities'!$C$7+('Production schedule'!AJ197)*'Responsibilities'!$C$8</f>
        <v/>
      </c>
      <c r="H53" s="137">
        <f>('Production schedule'!AI125)*'Responsibilities'!$D$6+('Production schedule'!AI161)*'Responsibilities'!$D$7+('Production schedule'!AI197)*'Responsibilities'!$D$8</f>
        <v/>
      </c>
      <c r="I53" s="137">
        <f>SUM('Assumptions'!O58:O65)</f>
        <v/>
      </c>
      <c r="J53" s="137">
        <f>('Production schedule'!E125*(IF('Sites'!D6="Annual staff",SUM('Assumptions'!O112,'Assumptions'!O114),0)+SUM('Assumptions'!O113,'Assumptions'!O115:O116)))*'Responsibilities'!$E$6+('Production schedule'!E161*(IF('Sites'!D7="Annual staff",SUM('Assumptions'!O117,'Assumptions'!O119),0)+SUM('Assumptions'!O118,'Assumptions'!O120:O121)))*'Responsibilities'!$E$7+('Production schedule'!E197*(IF('Sites'!D8="Annual staff",SUM('Assumptions'!O122,'Assumptions'!O124),0)+SUM('Assumptions'!O123,'Assumptions'!O125:O126)))*'Responsibilities'!$E$8</f>
        <v/>
      </c>
      <c r="K53" s="137">
        <f>(IF(AND('Production schedule'!E125=1,12=MAX(('Sites'!F6),1),ISNUMBER('Sites'!O6)),'Sites'!O6*'Assumptions'!$B$44,0))*'Responsibilities'!$F$6+(IF(AND('Production schedule'!E161=1,12=MAX(('Sites'!F7+'Cases'!G7),1),ISNUMBER('Sites'!O7)),'Sites'!O7*'Assumptions'!$B$44,0))*'Responsibilities'!$F$7+(IF(AND('Production schedule'!E197=1,12=MAX(('Sites'!F8+'Cases'!G7),1),ISNUMBER('Sites'!O8)),'Sites'!O8*'Assumptions'!$B$44,0))*'Responsibilities'!$F$8</f>
        <v/>
      </c>
      <c r="L53" s="137">
        <f>SUM('Costs'!E36)*'Costs'!F36/12*'Responsibilities'!$C$12+SUM('Costs'!E37)*'Costs'!F37/12*'Responsibilities'!$C$13+SUM('Costs'!E38)*'Costs'!F38/12*'Responsibilities'!$C$14+SUM('Costs'!E39)*'Costs'!F39/12*'Responsibilities'!$C$15+SUM('Costs'!E40)*'Costs'!F40/12*'Responsibilities'!$C$16+BZ53</f>
        <v/>
      </c>
      <c r="M53" s="137">
        <f>('Sites'!E6*'Capital'!E6*(IF(12='Capital'!G6,'Capital'!F6,0)+IF(12='Capital'!H6,1-'Capital'!F6,0)))*'Responsibilities'!$G$6+('Sites'!E7*'Capital'!E7*(IF(12='Capital'!G7+'Cases'!G7,'Capital'!F7,0)+IF(12='Capital'!H7+'Cases'!G7,1-'Capital'!F7,0)))*'Responsibilities'!$G$7+('Sites'!E8*'Cases'!F7*'Capital'!E8*(IF(12='Capital'!G8+'Cases'!G7,'Capital'!F8,0)+IF(12='Capital'!H8+'Cases'!G7,1-'Capital'!F8,0)))*'Responsibilities'!$G$8</f>
        <v/>
      </c>
      <c r="N53" s="137">
        <f>SUM(G53:M53)</f>
        <v/>
      </c>
      <c r="O53" s="137">
        <f>SUMIFS(FundingTranches[Secured amount],FundingTranches[Instrument],"Grant",FundingTranches[Secured month],12)</f>
        <v/>
      </c>
      <c r="P53" s="137">
        <f>SUMIFS(FundingTranches[Smaller possible],FundingTranches[Instrument],"Grant",FundingTranches[Scenario month],12-'Cases'!$D$7)</f>
        <v/>
      </c>
      <c r="Q53" s="137">
        <f>SUMIFS(FundingTranches[Secured amount],FundingTranches[Instrument],"Loan",FundingTranches[Secured month],12)</f>
        <v/>
      </c>
      <c r="R53" s="137">
        <f>SUMIFS(FundingTranches[Smaller possible],FundingTranches[Instrument],"Loan",FundingTranches[Scenario month],12-'Cases'!$D$7)</f>
        <v/>
      </c>
      <c r="S53" s="137">
        <f>IF(12&lt;='Assumptions'!$B$34,0,SUMIFS('Production schedule'!$AL$114:$AL$221,'Production schedule'!$C$114:$C$221,12-'Assumptions'!$B$34))</f>
        <v/>
      </c>
      <c r="T53" s="137">
        <f>'Assumptions'!O70</f>
        <v/>
      </c>
      <c r="U53" s="137">
        <f>'Assumptions'!O78</f>
        <v/>
      </c>
      <c r="V53" s="137">
        <f>SUM(O53:U53)</f>
        <v/>
      </c>
      <c r="W53" s="137">
        <f>AA52</f>
        <v/>
      </c>
      <c r="X53" s="137">
        <f>SUM(Q53:R53)</f>
        <v/>
      </c>
      <c r="Y53" s="137">
        <f>SUM(W53,X53)*'Assumptions'!$B$39/12</f>
        <v/>
      </c>
      <c r="Z53" s="137">
        <f>IF(SUM(W53,X53)&gt;0,MIN(SUM(W53,X53),MAX(0,BP53-Y53)),0)</f>
        <v/>
      </c>
      <c r="AA53" s="137">
        <f>SUM(W53,X53)-Z53</f>
        <v/>
      </c>
      <c r="AB53" s="137">
        <f>SUM(Y53:Z53)</f>
        <v/>
      </c>
      <c r="AC53" s="137">
        <f>'Assumptions'!O72</f>
        <v/>
      </c>
      <c r="AD53" s="137">
        <f>'Assumptions'!O73</f>
        <v/>
      </c>
      <c r="AE53" s="137">
        <f>IF(X53&gt;0,SUM('Assumptions'!$B$42),0)</f>
        <v/>
      </c>
      <c r="AF53" s="137">
        <f>'Assumptions'!O71</f>
        <v/>
      </c>
      <c r="AG53" s="137">
        <f>'Assumptions'!O74</f>
        <v/>
      </c>
      <c r="AH53" s="137">
        <f>'Assumptions'!O75</f>
        <v/>
      </c>
      <c r="AI53" s="137">
        <f>'Assumptions'!O77</f>
        <v/>
      </c>
      <c r="AJ53" s="137">
        <f>V53-N53-SUM(AB53:AI53)</f>
        <v/>
      </c>
      <c r="AK53" s="137">
        <f>SUM(AJ42:AJ53)</f>
        <v/>
      </c>
      <c r="AL53" s="137">
        <f>IF(ISNUMBER('Assumptions'!$B$10),'Assumptions'!$B$10+AK53,"")</f>
        <v/>
      </c>
      <c r="AM53" s="137">
        <f>SUM(O53,Q53,T53)-N53-SUM(AC53:AI53)+IF('Funding'!$N$11=0,AE53,0)-IF('Funding'!$N$11&gt;0,AB53,0)</f>
        <v/>
      </c>
      <c r="AN53" s="137">
        <f>SUM(AM42:AM53)</f>
        <v/>
      </c>
      <c r="AO53" s="137">
        <f>IF(ISNUMBER('Assumptions'!$B$10),'Assumptions'!$B$10+AN53,"")</f>
        <v/>
      </c>
      <c r="AP53" s="137">
        <f>('Production schedule'!AK125)*'Responsibilities'!$C$6+('Production schedule'!AK161)*'Responsibilities'!$C$7+('Production schedule'!AK197)*'Responsibilities'!$C$8</f>
        <v/>
      </c>
      <c r="AQ53" s="137">
        <f>SUMIFS('Production schedule'!$AL$114:$AL$221,'Production schedule'!$C$114:$C$221,12)</f>
        <v/>
      </c>
      <c r="AR53" s="137">
        <f>IF(ISNUMBER('Assumptions'!O76),'Assumptions'!O76,SUM(O53:P53))</f>
        <v/>
      </c>
      <c r="AS53" s="137">
        <f>IF(ISNUMBER('Assumptions'!$B$13),MIN('Assumptions'!$B$13/'Assumptions'!$B$18/12,MAX(0,'Assumptions'!$B$13-(12-1)*'Assumptions'!$B$13/'Assumptions'!$B$18/12)),0)+IF(AND('Sites'!E6=1,12&gt;=('Sites'!F6),12&lt;('Sites'!F6)+'Assumptions'!$B$18*12),'Capital'!E6/'Assumptions'!$B$18/12,0)+IF(AND('Sites'!E7=1,12&gt;=('Sites'!F7+'Cases'!G7),12&lt;('Sites'!F7+'Cases'!G7)+'Assumptions'!$B$18*12),'Capital'!E7/'Assumptions'!$B$18/12,0)+IF(AND('Sites'!E8*'Cases'!F7=1,12&gt;=('Sites'!F8+'Cases'!G7),12&lt;('Sites'!F8+'Cases'!G7)+'Assumptions'!$B$18*12),'Capital'!E8/'Assumptions'!$B$18/12,0)</f>
        <v/>
      </c>
      <c r="AT53" s="137">
        <f>SUM(AQ53,AR53,U53)-AP53-SUM(H53:L53)-AS53-SUM(Y53,AD53,AE53,AH53)</f>
        <v/>
      </c>
      <c r="AU53" s="137">
        <f>IF(ISNUMBER('Assumptions'!$B$19),MAX(0,SUM(AT42:AT53))*'Assumptions'!$B$19-SUM(AU42:AU52),"")</f>
        <v/>
      </c>
      <c r="AV53" s="137">
        <f>IF(ISNUMBER(AU53),AT53-AU53,"")</f>
        <v/>
      </c>
      <c r="AW53" s="137">
        <f>IF(ISNUMBER('Assumptions'!$B$11),'Assumptions'!$B$11+SUM(AQ42:AQ53)-SUM(S42:S53)-SUM(T42:T53),"")</f>
        <v/>
      </c>
      <c r="AX53" s="137">
        <f>IF(ISNUMBER('Assumptions'!$B$12),'Assumptions'!$B$12+SUM(G42:G53)-SUM(AP42:AP53),"")</f>
        <v/>
      </c>
      <c r="AY53" s="137">
        <f>IF(ISNUMBER('Assumptions'!$B$13),'Assumptions'!$B$13+SUM(M42:M53)-SUM(AS42:AS53),"")</f>
        <v/>
      </c>
      <c r="AZ53" s="137">
        <f>IF(ISNUMBER('Assumptions'!$B$14),'Assumptions'!$B$14+-SUM(AF42:AF53),"")</f>
        <v/>
      </c>
      <c r="BA53" s="137">
        <f>IF(ISNUMBER('Assumptions'!$B$15),'Assumptions'!$B$15+SUM(O42:O53)+SUM(P42:P53)-SUM(AR42:AR53),"")</f>
        <v/>
      </c>
      <c r="BB53" s="137">
        <f>IF(ISNUMBER('Assumptions'!$B$16),'Assumptions'!$B$16+-SUM(AC42:AC53),"")</f>
        <v/>
      </c>
      <c r="BC53" s="137">
        <f>IF(AND(ISNUMBER('Assumptions'!$B$21),ISNUMBER('Assumptions'!$B$19)),'Assumptions'!$B$21+SUM(AU42:AU53)-SUM(AG42:AG53),"")</f>
        <v/>
      </c>
      <c r="BD53" s="137">
        <f>IF(ISNUMBER('Assumptions'!$B$20),'Assumptions'!$B$20+-SUM(AI42:AI53),"")</f>
        <v/>
      </c>
      <c r="BE53" s="137">
        <f>IF(AND(ISNUMBER('Assumptions'!$B$17),COUNT(AV42:AV53)=12),'Assumptions'!$B$17+SUM(AV42:AV53),"")</f>
        <v/>
      </c>
      <c r="BF53" s="137">
        <f>IF(COUNT(AL53,AW53:AY53)=4,SUM(AL53,AW53:AY53),"")</f>
        <v/>
      </c>
      <c r="BG53" s="137">
        <f>IF(COUNT(AZ53:BD53)=5,SUM(AZ53:BD53,AA53),"")</f>
        <v/>
      </c>
      <c r="BH53" s="137">
        <f>IF(COUNT(BF53,BG53,BE53)=3,BF53-BG53-BE53,"")</f>
        <v/>
      </c>
      <c r="BI53" s="137">
        <f>SUM(W53,X53)-Z53-AA53</f>
        <v/>
      </c>
      <c r="BJ53" s="137">
        <f>8-COUNT('Assumptions'!O58:O65)+COUNTBLANK('NM Play'!B33:B34)+'Costs'!E44+IF(AND('Sites'!E6=1,('Sites'!F6)&lt;=12,'Sites'!G6&gt;=1),IF(ISNUMBER('Sites'!O6),0,1)+'Capital'!I6+COUNTBLANK('Sites'!R6)+IF('Sites'!D6="NM crew",COUNTBLANK('NM Play'!B25)+1,5-COUNT('Assumptions'!O112:O116)),0)+IF(AND('Sites'!E7=1,('Sites'!F7+'Cases'!G7)&lt;=12,'Sites'!G7&gt;=1),IF(ISNUMBER('Sites'!O7),0,1)+'Capital'!I7+COUNTBLANK('Sites'!R7)+IF('Sites'!D7="NM crew",COUNTBLANK('NM Play'!B25)+1,5-COUNT('Assumptions'!O117:O121)),0)+IF(AND('Sites'!E8*'Cases'!F7=1,('Sites'!F8+'Cases'!G7)&lt;=12,'Sites'!G8&gt;=1),IF(ISNUMBER('Sites'!O8),0,1)+'Capital'!I8+COUNTBLANK('Sites'!R8)+IF('Sites'!D8="NM crew",COUNTBLANK('NM Play'!B25)+1,5-COUNT('Assumptions'!O122:O126)),0)+IF(AND('Cases'!C7&gt;0,NOT(ISNUMBER('Assumptions'!B42))),1,0)+'Responsibilities'!$B$39</f>
        <v/>
      </c>
      <c r="BK53" s="137">
        <f>'Assumptions'!$B$50+'NM Play'!$B$83+'Funding'!$F$20+SUMIFS('Production schedule'!$AN$114:$AN$221,'Production schedule'!$C$114:$C$221,12)+IF(OR('Cases'!E7&lt;0,'Cases'!E7&gt;1,'Cases'!C7&lt;0,'Cases'!D7&lt;0,ABS(SUM('Sites'!S6:S8)-1)&gt;0.0001,MIN('Capital'!F6:F8)&lt;0,MAX('Capital'!F6:F8)&gt;1,MIN(AX53,AZ53,BB53,BA53)&lt;-0.01),1,0)+'Responsibilities'!$B$40</f>
        <v/>
      </c>
      <c r="BL53" s="137">
        <f>SUMIFS('Production schedule'!$T$114:$T$221,'Production schedule'!$C$114:$C$221,12)</f>
        <v/>
      </c>
      <c r="BM53" s="137">
        <f>D53*'NM Play'!$B$38</f>
        <v/>
      </c>
      <c r="BN53" s="137">
        <f>SUMIFS('Production schedule'!$AM$114:$AM$221,'Production schedule'!$C$114:$C$221,12)</f>
        <v/>
      </c>
      <c r="BO53" s="137">
        <f>AK53-AK52-AJ53</f>
        <v/>
      </c>
      <c r="BP53" s="137">
        <f>IF(AND('Assumptions'!$B$39&gt;=0,'Assumptions'!$B$40&gt;0),-PMT('Assumptions'!$B$39/12,'Assumptions'!$B$40*12,IF('Funding'!$N$11&gt;0,'Funding'!$N$11,'Funding'!$S$11)),"")</f>
        <v/>
      </c>
      <c r="BQ53">
        <f>('Production schedule'!AJ125)*(1-'Responsibilities'!$C$6)+('Production schedule'!AJ161)*(1-'Responsibilities'!$C$7)+('Production schedule'!AJ197)*(1-'Responsibilities'!$C$8)</f>
        <v/>
      </c>
      <c r="BR53">
        <f>('Production schedule'!AI125)*(1-'Responsibilities'!$D$6)+('Production schedule'!AI161)*(1-'Responsibilities'!$D$7)+('Production schedule'!AI197)*(1-'Responsibilities'!$D$8)</f>
        <v/>
      </c>
      <c r="BS53">
        <f>('Production schedule'!E125*(IF('Sites'!D6="Annual staff",SUM('Assumptions'!O112,'Assumptions'!O114),0)+SUM('Assumptions'!O113,'Assumptions'!O115:O116)))*(1-'Responsibilities'!$E$6)+('Production schedule'!E161*(IF('Sites'!D7="Annual staff",SUM('Assumptions'!O117,'Assumptions'!O119),0)+SUM('Assumptions'!O118,'Assumptions'!O120:O121)))*(1-'Responsibilities'!$E$7)+('Production schedule'!E197*(IF('Sites'!D8="Annual staff",SUM('Assumptions'!O122,'Assumptions'!O124),0)+SUM('Assumptions'!O123,'Assumptions'!O125:O126)))*(1-'Responsibilities'!$E$8)</f>
        <v/>
      </c>
      <c r="BT53">
        <f>(IF(AND('Production schedule'!E125=1,12=MAX(('Sites'!F6),1),ISNUMBER('Sites'!O6)),'Sites'!O6*'Assumptions'!$B$44,0))*(1-'Responsibilities'!$F$6)+(IF(AND('Production schedule'!E161=1,12=MAX(('Sites'!F7+'Cases'!G7),1),ISNUMBER('Sites'!O7)),'Sites'!O7*'Assumptions'!$B$44,0))*(1-'Responsibilities'!$F$7)+(IF(AND('Production schedule'!E197=1,12=MAX(('Sites'!F8+'Cases'!G7),1),ISNUMBER('Sites'!O8)),'Sites'!O8*'Assumptions'!$B$44,0))*(1-'Responsibilities'!$F$8)</f>
        <v/>
      </c>
      <c r="BU53">
        <f>SUM('Costs'!E36)*'Costs'!F36/12*(1-'Responsibilities'!$C$12)+SUM('Costs'!E37)*'Costs'!F37/12*(1-'Responsibilities'!$C$13)+SUM('Costs'!E38)*'Costs'!F38/12*(1-'Responsibilities'!$C$14)+SUM('Costs'!E39)*'Costs'!F39/12*(1-'Responsibilities'!$C$15)+SUM('Costs'!E40)*'Costs'!F40/12*(1-'Responsibilities'!$C$16)</f>
        <v/>
      </c>
      <c r="BV53">
        <f>('Sites'!E6*'Capital'!E6*(IF(12='Capital'!G6,'Capital'!F6,0)+IF(12='Capital'!H6,1-'Capital'!F6,0)))*(1-'Responsibilities'!$G$6)+('Sites'!E7*'Capital'!E7*(IF(12='Capital'!G7+'Cases'!G7,'Capital'!F7,0)+IF(12='Capital'!H7+'Cases'!G7,1-'Capital'!F7,0)))*(1-'Responsibilities'!$G$7)+('Sites'!E8*'Cases'!F7*'Capital'!E8*(IF(12='Capital'!G8+'Cases'!G7,'Capital'!F8,0)+IF(12='Capital'!H8+'Cases'!G7,1-'Capital'!F8,0)))*(1-'Responsibilities'!$G$8)</f>
        <v/>
      </c>
      <c r="BW53">
        <f>SUM(BQ53:BV53)</f>
        <v/>
      </c>
      <c r="BX53">
        <f>N53+BW53</f>
        <v/>
      </c>
      <c r="BY53">
        <f>BX53-(('Production schedule'!AJ125)*'Responsibilities'!$C$6+('Production schedule'!AJ161)*'Responsibilities'!$C$7+('Production schedule'!AJ197)*'Responsibilities'!$C$8+('Production schedule'!AJ125)*(1-'Responsibilities'!$C$6)+('Production schedule'!AJ161)*(1-'Responsibilities'!$C$7)+('Production schedule'!AJ197)*(1-'Responsibilities'!$C$8)+('Production schedule'!AI125)*'Responsibilities'!$D$6+('Production schedule'!AI161)*'Responsibilities'!$D$7+('Production schedule'!AI197)*'Responsibilities'!$D$8+('Production schedule'!AI125)*(1-'Responsibilities'!$D$6)+('Production schedule'!AI161)*(1-'Responsibilities'!$D$7)+('Production schedule'!AI197)*(1-'Responsibilities'!$D$8)+('Production schedule'!E125*(IF('Sites'!D6="Annual staff",SUM('Assumptions'!O112,'Assumptions'!O114),0)+SUM('Assumptions'!O113,'Assumptions'!O115:O116)))*'Responsibilities'!$E$6+('Production schedule'!E161*(IF('Sites'!D7="Annual staff",SUM('Assumptions'!O117,'Assumptions'!O119),0)+SUM('Assumptions'!O118,'Assumptions'!O120:O121)))*'Responsibilities'!$E$7+('Production schedule'!E197*(IF('Sites'!D8="Annual staff",SUM('Assumptions'!O122,'Assumptions'!O124),0)+SUM('Assumptions'!O123,'Assumptions'!O125:O126)))*'Responsibilities'!$E$8+('Production schedule'!E125*(IF('Sites'!D6="Annual staff",SUM('Assumptions'!O112,'Assumptions'!O114),0)+SUM('Assumptions'!O113,'Assumptions'!O115:O116)))*(1-'Responsibilities'!$E$6)+('Production schedule'!E161*(IF('Sites'!D7="Annual staff",SUM('Assumptions'!O117,'Assumptions'!O119),0)+SUM('Assumptions'!O118,'Assumptions'!O120:O121)))*(1-'Responsibilities'!$E$7)+('Production schedule'!E197*(IF('Sites'!D8="Annual staff",SUM('Assumptions'!O122,'Assumptions'!O124),0)+SUM('Assumptions'!O123,'Assumptions'!O125:O126)))*(1-'Responsibilities'!$E$8)+(IF(AND('Production schedule'!E125=1,12=MAX(('Sites'!F6),1),ISNUMBER('Sites'!O6)),'Sites'!O6*'Assumptions'!$B$44,0))*'Responsibilities'!$F$6+(IF(AND('Production schedule'!E161=1,12=MAX(('Sites'!F7+'Cases'!G7),1),ISNUMBER('Sites'!O7)),'Sites'!O7*'Assumptions'!$B$44,0))*'Responsibilities'!$F$7+(IF(AND('Production schedule'!E197=1,12=MAX(('Sites'!F8+'Cases'!G7),1),ISNUMBER('Sites'!O8)),'Sites'!O8*'Assumptions'!$B$44,0))*'Responsibilities'!$F$8+(IF(AND('Production schedule'!E125=1,12=MAX(('Sites'!F6),1),ISNUMBER('Sites'!O6)),'Sites'!O6*'Assumptions'!$B$44,0))*(1-'Responsibilities'!$F$6)+(IF(AND('Production schedule'!E161=1,12=MAX(('Sites'!F7+'Cases'!G7),1),ISNUMBER('Sites'!O7)),'Sites'!O7*'Assumptions'!$B$44,0))*(1-'Responsibilities'!$F$7)+(IF(AND('Production schedule'!E197=1,12=MAX(('Sites'!F8+'Cases'!G7),1),ISNUMBER('Sites'!O8)),'Sites'!O8*'Assumptions'!$B$44,0))*(1-'Responsibilities'!$F$8)+('Sites'!E6*'Capital'!E6*(IF(12='Capital'!G6,'Capital'!F6,0)+IF(12='Capital'!H6,1-'Capital'!F6,0)))*'Responsibilities'!$G$6+('Sites'!E7*'Capital'!E7*(IF(12='Capital'!G7+'Cases'!G7,'Capital'!F7,0)+IF(12='Capital'!H7+'Cases'!G7,1-'Capital'!F7,0)))*'Responsibilities'!$G$7+('Sites'!E8*'Cases'!F7*'Capital'!E8*(IF(12='Capital'!G8+'Cases'!G7,'Capital'!F8,0)+IF(12='Capital'!H8+'Cases'!G7,1-'Capital'!F8,0)))*'Responsibilities'!$G$8+('Sites'!E6*'Capital'!E6*(IF(12='Capital'!G6,'Capital'!F6,0)+IF(12='Capital'!H6,1-'Capital'!F6,0)))*(1-'Responsibilities'!$G$6)+('Sites'!E7*'Capital'!E7*(IF(12='Capital'!G7+'Cases'!G7,'Capital'!F7,0)+IF(12='Capital'!H7+'Cases'!G7,1-'Capital'!F7,0)))*(1-'Responsibilities'!$G$7)+('Sites'!E8*'Cases'!F7*'Capital'!E8*(IF(12='Capital'!G8+'Cases'!G7,'Capital'!F8,0)+IF(12='Capital'!H8+'Cases'!G7,1-'Capital'!F8,0)))*(1-'Responsibilities'!$G$8)+I53+SUMPRODUCT('Costs'!$E$36:$E$40,'Costs'!$F$36:$F$40)/12+BZ53)</f>
        <v/>
      </c>
      <c r="BZ53">
        <f>SUMIFS('Responsibilities'!$B$31:$B$35,'Responsibilities'!$C$31:$C$35,12,'Responsibilities'!$D$31:$D$35,"Yes")</f>
        <v/>
      </c>
    </row>
    <row r="54" ht="28" customHeight="1">
      <c r="A54" s="4" t="inlineStr">
        <is>
          <t>Smaller</t>
        </is>
      </c>
      <c r="B54" s="4" t="n">
        <v>13</v>
      </c>
      <c r="C54" s="4">
        <f>ROUNDUP(B54/12,0)</f>
        <v/>
      </c>
      <c r="D54" s="137">
        <f>SUMIFS('Production schedule'!$N$114:$N$221,'Production schedule'!$C$114:$C$221,13)</f>
        <v/>
      </c>
      <c r="E54" s="137">
        <f>SUMIFS('Production schedule'!$Y$114:$Y$221,'Production schedule'!$C$114:$C$221,13)</f>
        <v/>
      </c>
      <c r="F54" s="137">
        <f>SUMIFS('Production schedule'!$Z$114:$Z$221,'Production schedule'!$C$114:$C$221,13)</f>
        <v/>
      </c>
      <c r="G54" s="137">
        <f>('Production schedule'!AJ126)*'Responsibilities'!$C$6+('Production schedule'!AJ162)*'Responsibilities'!$C$7+('Production schedule'!AJ198)*'Responsibilities'!$C$8</f>
        <v/>
      </c>
      <c r="H54" s="137">
        <f>('Production schedule'!AI126)*'Responsibilities'!$D$6+('Production schedule'!AI162)*'Responsibilities'!$D$7+('Production schedule'!AI198)*'Responsibilities'!$D$8</f>
        <v/>
      </c>
      <c r="I54" s="137">
        <f>SUM('Assumptions'!P58:P65)</f>
        <v/>
      </c>
      <c r="J54" s="137">
        <f>('Production schedule'!E126*(IF('Sites'!D6="Annual staff",SUM('Assumptions'!P112,'Assumptions'!P114),0)+SUM('Assumptions'!P113,'Assumptions'!P115:P116)))*'Responsibilities'!$E$6+('Production schedule'!E162*(IF('Sites'!D7="Annual staff",SUM('Assumptions'!P117,'Assumptions'!P119),0)+SUM('Assumptions'!P118,'Assumptions'!P120:P121)))*'Responsibilities'!$E$7+('Production schedule'!E198*(IF('Sites'!D8="Annual staff",SUM('Assumptions'!P122,'Assumptions'!P124),0)+SUM('Assumptions'!P123,'Assumptions'!P125:P126)))*'Responsibilities'!$E$8</f>
        <v/>
      </c>
      <c r="K54" s="137">
        <f>(IF(AND('Production schedule'!E126=1,13=MAX(('Sites'!F6),13),ISNUMBER('Sites'!P6)),'Sites'!P6*'Assumptions'!$B$44,0))*'Responsibilities'!$F$6+(IF(AND('Production schedule'!E162=1,13=MAX(('Sites'!F7+'Cases'!G7),13),ISNUMBER('Sites'!P7)),'Sites'!P7*'Assumptions'!$B$44,0))*'Responsibilities'!$F$7+(IF(AND('Production schedule'!E198=1,13=MAX(('Sites'!F8+'Cases'!G7),13),ISNUMBER('Sites'!P8)),'Sites'!P8*'Assumptions'!$B$44,0))*'Responsibilities'!$F$8</f>
        <v/>
      </c>
      <c r="L54" s="137">
        <f>SUM('Costs'!E36)*'Costs'!F36/12*'Responsibilities'!$C$12+SUM('Costs'!E37)*'Costs'!F37/12*'Responsibilities'!$C$13+SUM('Costs'!E38)*'Costs'!F38/12*'Responsibilities'!$C$14+SUM('Costs'!E39)*'Costs'!F39/12*'Responsibilities'!$C$15+SUM('Costs'!E40)*'Costs'!F40/12*'Responsibilities'!$C$16+BZ54</f>
        <v/>
      </c>
      <c r="M54" s="137">
        <f>('Sites'!E6*'Capital'!E6*(IF(13='Capital'!G6,'Capital'!F6,0)+IF(13='Capital'!H6,1-'Capital'!F6,0)))*'Responsibilities'!$G$6+('Sites'!E7*'Capital'!E7*(IF(13='Capital'!G7+'Cases'!G7,'Capital'!F7,0)+IF(13='Capital'!H7+'Cases'!G7,1-'Capital'!F7,0)))*'Responsibilities'!$G$7+('Sites'!E8*'Cases'!F7*'Capital'!E8*(IF(13='Capital'!G8+'Cases'!G7,'Capital'!F8,0)+IF(13='Capital'!H8+'Cases'!G7,1-'Capital'!F8,0)))*'Responsibilities'!$G$8</f>
        <v/>
      </c>
      <c r="N54" s="137">
        <f>SUM(G54:M54)</f>
        <v/>
      </c>
      <c r="O54" s="137">
        <f>SUMIFS(FundingTranches[Secured amount],FundingTranches[Instrument],"Grant",FundingTranches[Secured month],13)</f>
        <v/>
      </c>
      <c r="P54" s="137">
        <f>SUMIFS(FundingTranches[Smaller possible],FundingTranches[Instrument],"Grant",FundingTranches[Scenario month],13-'Cases'!$D$7)</f>
        <v/>
      </c>
      <c r="Q54" s="137">
        <f>SUMIFS(FundingTranches[Secured amount],FundingTranches[Instrument],"Loan",FundingTranches[Secured month],13)</f>
        <v/>
      </c>
      <c r="R54" s="137">
        <f>SUMIFS(FundingTranches[Smaller possible],FundingTranches[Instrument],"Loan",FundingTranches[Scenario month],13-'Cases'!$D$7)</f>
        <v/>
      </c>
      <c r="S54" s="137">
        <f>IF(13&lt;='Assumptions'!$B$34,0,SUMIFS('Production schedule'!$AL$114:$AL$221,'Production schedule'!$C$114:$C$221,13-'Assumptions'!$B$34))</f>
        <v/>
      </c>
      <c r="T54" s="137">
        <f>'Assumptions'!P70</f>
        <v/>
      </c>
      <c r="U54" s="137">
        <f>'Assumptions'!P78</f>
        <v/>
      </c>
      <c r="V54" s="137">
        <f>SUM(O54:U54)</f>
        <v/>
      </c>
      <c r="W54" s="137">
        <f>AA53</f>
        <v/>
      </c>
      <c r="X54" s="137">
        <f>SUM(Q54:R54)</f>
        <v/>
      </c>
      <c r="Y54" s="137">
        <f>SUM(W54,X54)*'Assumptions'!$B$39/12</f>
        <v/>
      </c>
      <c r="Z54" s="137">
        <f>IF(SUM(W54,X54)&gt;0,MIN(SUM(W54,X54),MAX(0,BP54-Y54)),0)</f>
        <v/>
      </c>
      <c r="AA54" s="137">
        <f>SUM(W54,X54)-Z54</f>
        <v/>
      </c>
      <c r="AB54" s="137">
        <f>SUM(Y54:Z54)</f>
        <v/>
      </c>
      <c r="AC54" s="137">
        <f>'Assumptions'!P72</f>
        <v/>
      </c>
      <c r="AD54" s="137">
        <f>'Assumptions'!P73</f>
        <v/>
      </c>
      <c r="AE54" s="137">
        <f>IF(X54&gt;0,SUM('Assumptions'!$B$42),0)</f>
        <v/>
      </c>
      <c r="AF54" s="137">
        <f>'Assumptions'!P71</f>
        <v/>
      </c>
      <c r="AG54" s="137">
        <f>'Assumptions'!P74</f>
        <v/>
      </c>
      <c r="AH54" s="137">
        <f>'Assumptions'!P75</f>
        <v/>
      </c>
      <c r="AI54" s="137">
        <f>'Assumptions'!P77</f>
        <v/>
      </c>
      <c r="AJ54" s="137">
        <f>V54-N54-SUM(AB54:AI54)</f>
        <v/>
      </c>
      <c r="AK54" s="137">
        <f>SUM(AJ42:AJ54)</f>
        <v/>
      </c>
      <c r="AL54" s="137">
        <f>IF(ISNUMBER('Assumptions'!$B$10),'Assumptions'!$B$10+AK54,"")</f>
        <v/>
      </c>
      <c r="AM54" s="137">
        <f>SUM(O54,Q54,T54)-N54-SUM(AC54:AI54)+IF('Funding'!$N$11=0,AE54,0)-IF('Funding'!$N$11&gt;0,AB54,0)</f>
        <v/>
      </c>
      <c r="AN54" s="137">
        <f>SUM(AM42:AM54)</f>
        <v/>
      </c>
      <c r="AO54" s="137">
        <f>IF(ISNUMBER('Assumptions'!$B$10),'Assumptions'!$B$10+AN54,"")</f>
        <v/>
      </c>
      <c r="AP54" s="137">
        <f>('Production schedule'!AK126)*'Responsibilities'!$C$6+('Production schedule'!AK162)*'Responsibilities'!$C$7+('Production schedule'!AK198)*'Responsibilities'!$C$8</f>
        <v/>
      </c>
      <c r="AQ54" s="137">
        <f>SUMIFS('Production schedule'!$AL$114:$AL$221,'Production schedule'!$C$114:$C$221,13)</f>
        <v/>
      </c>
      <c r="AR54" s="137">
        <f>IF(ISNUMBER('Assumptions'!P76),'Assumptions'!P76,SUM(O54:P54))</f>
        <v/>
      </c>
      <c r="AS54" s="137">
        <f>IF(ISNUMBER('Assumptions'!$B$13),MIN('Assumptions'!$B$13/'Assumptions'!$B$18/12,MAX(0,'Assumptions'!$B$13-(13-1)*'Assumptions'!$B$13/'Assumptions'!$B$18/12)),0)+IF(AND('Sites'!E6=1,13&gt;=('Sites'!F6),13&lt;('Sites'!F6)+'Assumptions'!$B$18*12),'Capital'!E6/'Assumptions'!$B$18/12,0)+IF(AND('Sites'!E7=1,13&gt;=('Sites'!F7+'Cases'!G7),13&lt;('Sites'!F7+'Cases'!G7)+'Assumptions'!$B$18*12),'Capital'!E7/'Assumptions'!$B$18/12,0)+IF(AND('Sites'!E8*'Cases'!F7=1,13&gt;=('Sites'!F8+'Cases'!G7),13&lt;('Sites'!F8+'Cases'!G7)+'Assumptions'!$B$18*12),'Capital'!E8/'Assumptions'!$B$18/12,0)</f>
        <v/>
      </c>
      <c r="AT54" s="137">
        <f>SUM(AQ54,AR54,U54)-AP54-SUM(H54:L54)-AS54-SUM(Y54,AD54,AE54,AH54)</f>
        <v/>
      </c>
      <c r="AU54" s="137">
        <f>IF(ISNUMBER('Assumptions'!$B$19),MAX(0,SUM(AT54:AT54))*'Assumptions'!$B$19-0,"")</f>
        <v/>
      </c>
      <c r="AV54" s="137">
        <f>IF(ISNUMBER(AU54),AT54-AU54,"")</f>
        <v/>
      </c>
      <c r="AW54" s="137">
        <f>IF(ISNUMBER('Assumptions'!$B$11),'Assumptions'!$B$11+SUM(AQ42:AQ54)-SUM(S42:S54)-SUM(T42:T54),"")</f>
        <v/>
      </c>
      <c r="AX54" s="137">
        <f>IF(ISNUMBER('Assumptions'!$B$12),'Assumptions'!$B$12+SUM(G42:G54)-SUM(AP42:AP54),"")</f>
        <v/>
      </c>
      <c r="AY54" s="137">
        <f>IF(ISNUMBER('Assumptions'!$B$13),'Assumptions'!$B$13+SUM(M42:M54)-SUM(AS42:AS54),"")</f>
        <v/>
      </c>
      <c r="AZ54" s="137">
        <f>IF(ISNUMBER('Assumptions'!$B$14),'Assumptions'!$B$14+-SUM(AF42:AF54),"")</f>
        <v/>
      </c>
      <c r="BA54" s="137">
        <f>IF(ISNUMBER('Assumptions'!$B$15),'Assumptions'!$B$15+SUM(O42:O54)+SUM(P42:P54)-SUM(AR42:AR54),"")</f>
        <v/>
      </c>
      <c r="BB54" s="137">
        <f>IF(ISNUMBER('Assumptions'!$B$16),'Assumptions'!$B$16+-SUM(AC42:AC54),"")</f>
        <v/>
      </c>
      <c r="BC54" s="137">
        <f>IF(AND(ISNUMBER('Assumptions'!$B$21),ISNUMBER('Assumptions'!$B$19)),'Assumptions'!$B$21+SUM(AU42:AU54)-SUM(AG42:AG54),"")</f>
        <v/>
      </c>
      <c r="BD54" s="137">
        <f>IF(ISNUMBER('Assumptions'!$B$20),'Assumptions'!$B$20+-SUM(AI42:AI54),"")</f>
        <v/>
      </c>
      <c r="BE54" s="137">
        <f>IF(AND(ISNUMBER('Assumptions'!$B$17),COUNT(AV42:AV54)=13),'Assumptions'!$B$17+SUM(AV42:AV54),"")</f>
        <v/>
      </c>
      <c r="BF54" s="137">
        <f>IF(COUNT(AL54,AW54:AY54)=4,SUM(AL54,AW54:AY54),"")</f>
        <v/>
      </c>
      <c r="BG54" s="137">
        <f>IF(COUNT(AZ54:BD54)=5,SUM(AZ54:BD54,AA54),"")</f>
        <v/>
      </c>
      <c r="BH54" s="137">
        <f>IF(COUNT(BF54,BG54,BE54)=3,BF54-BG54-BE54,"")</f>
        <v/>
      </c>
      <c r="BI54" s="137">
        <f>SUM(W54,X54)-Z54-AA54</f>
        <v/>
      </c>
      <c r="BJ54" s="137">
        <f>8-COUNT('Assumptions'!P58:P65)+COUNTBLANK('NM Play'!B33:B34)+'Costs'!E44+IF(AND('Sites'!E6=1,('Sites'!F6)&lt;=24,'Sites'!G6&gt;=13),IF(ISNUMBER('Sites'!P6),0,1)+'Capital'!I6+COUNTBLANK('Sites'!R6)+IF('Sites'!D6="NM crew",COUNTBLANK('NM Play'!B25)+1,5-COUNT('Assumptions'!P112:P116)),0)+IF(AND('Sites'!E7=1,('Sites'!F7+'Cases'!G7)&lt;=24,'Sites'!G7&gt;=13),IF(ISNUMBER('Sites'!P7),0,1)+'Capital'!I7+COUNTBLANK('Sites'!R7)+IF('Sites'!D7="NM crew",COUNTBLANK('NM Play'!B25)+1,5-COUNT('Assumptions'!P117:P121)),0)+IF(AND('Sites'!E8*'Cases'!F7=1,('Sites'!F8+'Cases'!G7)&lt;=24,'Sites'!G8&gt;=13),IF(ISNUMBER('Sites'!P8),0,1)+'Capital'!I8+COUNTBLANK('Sites'!R8)+IF('Sites'!D8="NM crew",COUNTBLANK('NM Play'!B25)+1,5-COUNT('Assumptions'!P122:P126)),0)+IF(AND('Cases'!C7&gt;0,NOT(ISNUMBER('Assumptions'!B42))),1,0)+'Responsibilities'!$B$39</f>
        <v/>
      </c>
      <c r="BK54" s="137">
        <f>'Assumptions'!$B$50+'NM Play'!$B$83+'Funding'!$F$20+SUMIFS('Production schedule'!$AN$114:$AN$221,'Production schedule'!$C$114:$C$221,13)+IF(OR('Cases'!E7&lt;0,'Cases'!E7&gt;1,'Cases'!C7&lt;0,'Cases'!D7&lt;0,ABS(SUM('Sites'!S6:S8)-1)&gt;0.0001,MIN('Capital'!F6:F8)&lt;0,MAX('Capital'!F6:F8)&gt;1,MIN(AX54,AZ54,BB54,BA54)&lt;-0.01),1,0)+'Responsibilities'!$B$40</f>
        <v/>
      </c>
      <c r="BL54" s="137">
        <f>SUMIFS('Production schedule'!$T$114:$T$221,'Production schedule'!$C$114:$C$221,13)</f>
        <v/>
      </c>
      <c r="BM54" s="137">
        <f>D54*'NM Play'!$B$38</f>
        <v/>
      </c>
      <c r="BN54" s="137">
        <f>SUMIFS('Production schedule'!$AM$114:$AM$221,'Production schedule'!$C$114:$C$221,13)</f>
        <v/>
      </c>
      <c r="BO54" s="137">
        <f>AK54-AK53-AJ54</f>
        <v/>
      </c>
      <c r="BP54" s="137">
        <f>IF(AND('Assumptions'!$B$39&gt;=0,'Assumptions'!$B$40&gt;0),-PMT('Assumptions'!$B$39/12,'Assumptions'!$B$40*12,IF('Funding'!$N$11&gt;0,'Funding'!$N$11,'Funding'!$S$11)),"")</f>
        <v/>
      </c>
      <c r="BQ54">
        <f>('Production schedule'!AJ126)*(1-'Responsibilities'!$C$6)+('Production schedule'!AJ162)*(1-'Responsibilities'!$C$7)+('Production schedule'!AJ198)*(1-'Responsibilities'!$C$8)</f>
        <v/>
      </c>
      <c r="BR54">
        <f>('Production schedule'!AI126)*(1-'Responsibilities'!$D$6)+('Production schedule'!AI162)*(1-'Responsibilities'!$D$7)+('Production schedule'!AI198)*(1-'Responsibilities'!$D$8)</f>
        <v/>
      </c>
      <c r="BS54">
        <f>('Production schedule'!E126*(IF('Sites'!D6="Annual staff",SUM('Assumptions'!P112,'Assumptions'!P114),0)+SUM('Assumptions'!P113,'Assumptions'!P115:P116)))*(1-'Responsibilities'!$E$6)+('Production schedule'!E162*(IF('Sites'!D7="Annual staff",SUM('Assumptions'!P117,'Assumptions'!P119),0)+SUM('Assumptions'!P118,'Assumptions'!P120:P121)))*(1-'Responsibilities'!$E$7)+('Production schedule'!E198*(IF('Sites'!D8="Annual staff",SUM('Assumptions'!P122,'Assumptions'!P124),0)+SUM('Assumptions'!P123,'Assumptions'!P125:P126)))*(1-'Responsibilities'!$E$8)</f>
        <v/>
      </c>
      <c r="BT54">
        <f>(IF(AND('Production schedule'!E126=1,13=MAX(('Sites'!F6),13),ISNUMBER('Sites'!P6)),'Sites'!P6*'Assumptions'!$B$44,0))*(1-'Responsibilities'!$F$6)+(IF(AND('Production schedule'!E162=1,13=MAX(('Sites'!F7+'Cases'!G7),13),ISNUMBER('Sites'!P7)),'Sites'!P7*'Assumptions'!$B$44,0))*(1-'Responsibilities'!$F$7)+(IF(AND('Production schedule'!E198=1,13=MAX(('Sites'!F8+'Cases'!G7),13),ISNUMBER('Sites'!P8)),'Sites'!P8*'Assumptions'!$B$44,0))*(1-'Responsibilities'!$F$8)</f>
        <v/>
      </c>
      <c r="BU54">
        <f>SUM('Costs'!E36)*'Costs'!F36/12*(1-'Responsibilities'!$C$12)+SUM('Costs'!E37)*'Costs'!F37/12*(1-'Responsibilities'!$C$13)+SUM('Costs'!E38)*'Costs'!F38/12*(1-'Responsibilities'!$C$14)+SUM('Costs'!E39)*'Costs'!F39/12*(1-'Responsibilities'!$C$15)+SUM('Costs'!E40)*'Costs'!F40/12*(1-'Responsibilities'!$C$16)</f>
        <v/>
      </c>
      <c r="BV54">
        <f>('Sites'!E6*'Capital'!E6*(IF(13='Capital'!G6,'Capital'!F6,0)+IF(13='Capital'!H6,1-'Capital'!F6,0)))*(1-'Responsibilities'!$G$6)+('Sites'!E7*'Capital'!E7*(IF(13='Capital'!G7+'Cases'!G7,'Capital'!F7,0)+IF(13='Capital'!H7+'Cases'!G7,1-'Capital'!F7,0)))*(1-'Responsibilities'!$G$7)+('Sites'!E8*'Cases'!F7*'Capital'!E8*(IF(13='Capital'!G8+'Cases'!G7,'Capital'!F8,0)+IF(13='Capital'!H8+'Cases'!G7,1-'Capital'!F8,0)))*(1-'Responsibilities'!$G$8)</f>
        <v/>
      </c>
      <c r="BW54">
        <f>SUM(BQ54:BV54)</f>
        <v/>
      </c>
      <c r="BX54">
        <f>N54+BW54</f>
        <v/>
      </c>
      <c r="BY54">
        <f>BX54-(('Production schedule'!AJ126)*'Responsibilities'!$C$6+('Production schedule'!AJ162)*'Responsibilities'!$C$7+('Production schedule'!AJ198)*'Responsibilities'!$C$8+('Production schedule'!AJ126)*(1-'Responsibilities'!$C$6)+('Production schedule'!AJ162)*(1-'Responsibilities'!$C$7)+('Production schedule'!AJ198)*(1-'Responsibilities'!$C$8)+('Production schedule'!AI126)*'Responsibilities'!$D$6+('Production schedule'!AI162)*'Responsibilities'!$D$7+('Production schedule'!AI198)*'Responsibilities'!$D$8+('Production schedule'!AI126)*(1-'Responsibilities'!$D$6)+('Production schedule'!AI162)*(1-'Responsibilities'!$D$7)+('Production schedule'!AI198)*(1-'Responsibilities'!$D$8)+('Production schedule'!E126*(IF('Sites'!D6="Annual staff",SUM('Assumptions'!P112,'Assumptions'!P114),0)+SUM('Assumptions'!P113,'Assumptions'!P115:P116)))*'Responsibilities'!$E$6+('Production schedule'!E162*(IF('Sites'!D7="Annual staff",SUM('Assumptions'!P117,'Assumptions'!P119),0)+SUM('Assumptions'!P118,'Assumptions'!P120:P121)))*'Responsibilities'!$E$7+('Production schedule'!E198*(IF('Sites'!D8="Annual staff",SUM('Assumptions'!P122,'Assumptions'!P124),0)+SUM('Assumptions'!P123,'Assumptions'!P125:P126)))*'Responsibilities'!$E$8+('Production schedule'!E126*(IF('Sites'!D6="Annual staff",SUM('Assumptions'!P112,'Assumptions'!P114),0)+SUM('Assumptions'!P113,'Assumptions'!P115:P116)))*(1-'Responsibilities'!$E$6)+('Production schedule'!E162*(IF('Sites'!D7="Annual staff",SUM('Assumptions'!P117,'Assumptions'!P119),0)+SUM('Assumptions'!P118,'Assumptions'!P120:P121)))*(1-'Responsibilities'!$E$7)+('Production schedule'!E198*(IF('Sites'!D8="Annual staff",SUM('Assumptions'!P122,'Assumptions'!P124),0)+SUM('Assumptions'!P123,'Assumptions'!P125:P126)))*(1-'Responsibilities'!$E$8)+(IF(AND('Production schedule'!E126=1,13=MAX(('Sites'!F6),13),ISNUMBER('Sites'!P6)),'Sites'!P6*'Assumptions'!$B$44,0))*'Responsibilities'!$F$6+(IF(AND('Production schedule'!E162=1,13=MAX(('Sites'!F7+'Cases'!G7),13),ISNUMBER('Sites'!P7)),'Sites'!P7*'Assumptions'!$B$44,0))*'Responsibilities'!$F$7+(IF(AND('Production schedule'!E198=1,13=MAX(('Sites'!F8+'Cases'!G7),13),ISNUMBER('Sites'!P8)),'Sites'!P8*'Assumptions'!$B$44,0))*'Responsibilities'!$F$8+(IF(AND('Production schedule'!E126=1,13=MAX(('Sites'!F6),13),ISNUMBER('Sites'!P6)),'Sites'!P6*'Assumptions'!$B$44,0))*(1-'Responsibilities'!$F$6)+(IF(AND('Production schedule'!E162=1,13=MAX(('Sites'!F7+'Cases'!G7),13),ISNUMBER('Sites'!P7)),'Sites'!P7*'Assumptions'!$B$44,0))*(1-'Responsibilities'!$F$7)+(IF(AND('Production schedule'!E198=1,13=MAX(('Sites'!F8+'Cases'!G7),13),ISNUMBER('Sites'!P8)),'Sites'!P8*'Assumptions'!$B$44,0))*(1-'Responsibilities'!$F$8)+('Sites'!E6*'Capital'!E6*(IF(13='Capital'!G6,'Capital'!F6,0)+IF(13='Capital'!H6,1-'Capital'!F6,0)))*'Responsibilities'!$G$6+('Sites'!E7*'Capital'!E7*(IF(13='Capital'!G7+'Cases'!G7,'Capital'!F7,0)+IF(13='Capital'!H7+'Cases'!G7,1-'Capital'!F7,0)))*'Responsibilities'!$G$7+('Sites'!E8*'Cases'!F7*'Capital'!E8*(IF(13='Capital'!G8+'Cases'!G7,'Capital'!F8,0)+IF(13='Capital'!H8+'Cases'!G7,1-'Capital'!F8,0)))*'Responsibilities'!$G$8+('Sites'!E6*'Capital'!E6*(IF(13='Capital'!G6,'Capital'!F6,0)+IF(13='Capital'!H6,1-'Capital'!F6,0)))*(1-'Responsibilities'!$G$6)+('Sites'!E7*'Capital'!E7*(IF(13='Capital'!G7+'Cases'!G7,'Capital'!F7,0)+IF(13='Capital'!H7+'Cases'!G7,1-'Capital'!F7,0)))*(1-'Responsibilities'!$G$7)+('Sites'!E8*'Cases'!F7*'Capital'!E8*(IF(13='Capital'!G8+'Cases'!G7,'Capital'!F8,0)+IF(13='Capital'!H8+'Cases'!G7,1-'Capital'!F8,0)))*(1-'Responsibilities'!$G$8)+I54+SUMPRODUCT('Costs'!$E$36:$E$40,'Costs'!$F$36:$F$40)/12+BZ54)</f>
        <v/>
      </c>
      <c r="BZ54">
        <f>SUMIFS('Responsibilities'!$B$31:$B$35,'Responsibilities'!$C$31:$C$35,13,'Responsibilities'!$D$31:$D$35,"Yes")</f>
        <v/>
      </c>
    </row>
    <row r="55" ht="28" customHeight="1">
      <c r="A55" s="4" t="inlineStr">
        <is>
          <t>Smaller</t>
        </is>
      </c>
      <c r="B55" s="4" t="n">
        <v>14</v>
      </c>
      <c r="C55" s="4">
        <f>ROUNDUP(B55/12,0)</f>
        <v/>
      </c>
      <c r="D55" s="137">
        <f>SUMIFS('Production schedule'!$N$114:$N$221,'Production schedule'!$C$114:$C$221,14)</f>
        <v/>
      </c>
      <c r="E55" s="137">
        <f>SUMIFS('Production schedule'!$Y$114:$Y$221,'Production schedule'!$C$114:$C$221,14)</f>
        <v/>
      </c>
      <c r="F55" s="137">
        <f>SUMIFS('Production schedule'!$Z$114:$Z$221,'Production schedule'!$C$114:$C$221,14)</f>
        <v/>
      </c>
      <c r="G55" s="137">
        <f>('Production schedule'!AJ127)*'Responsibilities'!$C$6+('Production schedule'!AJ163)*'Responsibilities'!$C$7+('Production schedule'!AJ199)*'Responsibilities'!$C$8</f>
        <v/>
      </c>
      <c r="H55" s="137">
        <f>('Production schedule'!AI127)*'Responsibilities'!$D$6+('Production schedule'!AI163)*'Responsibilities'!$D$7+('Production schedule'!AI199)*'Responsibilities'!$D$8</f>
        <v/>
      </c>
      <c r="I55" s="137">
        <f>SUM('Assumptions'!Q58:Q65)</f>
        <v/>
      </c>
      <c r="J55" s="137">
        <f>('Production schedule'!E127*(IF('Sites'!D6="Annual staff",SUM('Assumptions'!Q112,'Assumptions'!Q114),0)+SUM('Assumptions'!Q113,'Assumptions'!Q115:Q116)))*'Responsibilities'!$E$6+('Production schedule'!E163*(IF('Sites'!D7="Annual staff",SUM('Assumptions'!Q117,'Assumptions'!Q119),0)+SUM('Assumptions'!Q118,'Assumptions'!Q120:Q121)))*'Responsibilities'!$E$7+('Production schedule'!E199*(IF('Sites'!D8="Annual staff",SUM('Assumptions'!Q122,'Assumptions'!Q124),0)+SUM('Assumptions'!Q123,'Assumptions'!Q125:Q126)))*'Responsibilities'!$E$8</f>
        <v/>
      </c>
      <c r="K55" s="137">
        <f>(IF(AND('Production schedule'!E127=1,14=MAX(('Sites'!F6),13),ISNUMBER('Sites'!P6)),'Sites'!P6*'Assumptions'!$B$44,0))*'Responsibilities'!$F$6+(IF(AND('Production schedule'!E163=1,14=MAX(('Sites'!F7+'Cases'!G7),13),ISNUMBER('Sites'!P7)),'Sites'!P7*'Assumptions'!$B$44,0))*'Responsibilities'!$F$7+(IF(AND('Production schedule'!E199=1,14=MAX(('Sites'!F8+'Cases'!G7),13),ISNUMBER('Sites'!P8)),'Sites'!P8*'Assumptions'!$B$44,0))*'Responsibilities'!$F$8</f>
        <v/>
      </c>
      <c r="L55" s="137">
        <f>SUM('Costs'!E36)*'Costs'!F36/12*'Responsibilities'!$C$12+SUM('Costs'!E37)*'Costs'!F37/12*'Responsibilities'!$C$13+SUM('Costs'!E38)*'Costs'!F38/12*'Responsibilities'!$C$14+SUM('Costs'!E39)*'Costs'!F39/12*'Responsibilities'!$C$15+SUM('Costs'!E40)*'Costs'!F40/12*'Responsibilities'!$C$16+BZ55</f>
        <v/>
      </c>
      <c r="M55" s="137">
        <f>('Sites'!E6*'Capital'!E6*(IF(14='Capital'!G6,'Capital'!F6,0)+IF(14='Capital'!H6,1-'Capital'!F6,0)))*'Responsibilities'!$G$6+('Sites'!E7*'Capital'!E7*(IF(14='Capital'!G7+'Cases'!G7,'Capital'!F7,0)+IF(14='Capital'!H7+'Cases'!G7,1-'Capital'!F7,0)))*'Responsibilities'!$G$7+('Sites'!E8*'Cases'!F7*'Capital'!E8*(IF(14='Capital'!G8+'Cases'!G7,'Capital'!F8,0)+IF(14='Capital'!H8+'Cases'!G7,1-'Capital'!F8,0)))*'Responsibilities'!$G$8</f>
        <v/>
      </c>
      <c r="N55" s="137">
        <f>SUM(G55:M55)</f>
        <v/>
      </c>
      <c r="O55" s="137">
        <f>SUMIFS(FundingTranches[Secured amount],FundingTranches[Instrument],"Grant",FundingTranches[Secured month],14)</f>
        <v/>
      </c>
      <c r="P55" s="137">
        <f>SUMIFS(FundingTranches[Smaller possible],FundingTranches[Instrument],"Grant",FundingTranches[Scenario month],14-'Cases'!$D$7)</f>
        <v/>
      </c>
      <c r="Q55" s="137">
        <f>SUMIFS(FundingTranches[Secured amount],FundingTranches[Instrument],"Loan",FundingTranches[Secured month],14)</f>
        <v/>
      </c>
      <c r="R55" s="137">
        <f>SUMIFS(FundingTranches[Smaller possible],FundingTranches[Instrument],"Loan",FundingTranches[Scenario month],14-'Cases'!$D$7)</f>
        <v/>
      </c>
      <c r="S55" s="137">
        <f>IF(14&lt;='Assumptions'!$B$34,0,SUMIFS('Production schedule'!$AL$114:$AL$221,'Production schedule'!$C$114:$C$221,14-'Assumptions'!$B$34))</f>
        <v/>
      </c>
      <c r="T55" s="137">
        <f>'Assumptions'!Q70</f>
        <v/>
      </c>
      <c r="U55" s="137">
        <f>'Assumptions'!Q78</f>
        <v/>
      </c>
      <c r="V55" s="137">
        <f>SUM(O55:U55)</f>
        <v/>
      </c>
      <c r="W55" s="137">
        <f>AA54</f>
        <v/>
      </c>
      <c r="X55" s="137">
        <f>SUM(Q55:R55)</f>
        <v/>
      </c>
      <c r="Y55" s="137">
        <f>SUM(W55,X55)*'Assumptions'!$B$39/12</f>
        <v/>
      </c>
      <c r="Z55" s="137">
        <f>IF(SUM(W55,X55)&gt;0,MIN(SUM(W55,X55),MAX(0,BP55-Y55)),0)</f>
        <v/>
      </c>
      <c r="AA55" s="137">
        <f>SUM(W55,X55)-Z55</f>
        <v/>
      </c>
      <c r="AB55" s="137">
        <f>SUM(Y55:Z55)</f>
        <v/>
      </c>
      <c r="AC55" s="137">
        <f>'Assumptions'!Q72</f>
        <v/>
      </c>
      <c r="AD55" s="137">
        <f>'Assumptions'!Q73</f>
        <v/>
      </c>
      <c r="AE55" s="137">
        <f>IF(X55&gt;0,SUM('Assumptions'!$B$42),0)</f>
        <v/>
      </c>
      <c r="AF55" s="137">
        <f>'Assumptions'!Q71</f>
        <v/>
      </c>
      <c r="AG55" s="137">
        <f>'Assumptions'!Q74</f>
        <v/>
      </c>
      <c r="AH55" s="137">
        <f>'Assumptions'!Q75</f>
        <v/>
      </c>
      <c r="AI55" s="137">
        <f>'Assumptions'!Q77</f>
        <v/>
      </c>
      <c r="AJ55" s="137">
        <f>V55-N55-SUM(AB55:AI55)</f>
        <v/>
      </c>
      <c r="AK55" s="137">
        <f>SUM(AJ42:AJ55)</f>
        <v/>
      </c>
      <c r="AL55" s="137">
        <f>IF(ISNUMBER('Assumptions'!$B$10),'Assumptions'!$B$10+AK55,"")</f>
        <v/>
      </c>
      <c r="AM55" s="137">
        <f>SUM(O55,Q55,T55)-N55-SUM(AC55:AI55)+IF('Funding'!$N$11=0,AE55,0)-IF('Funding'!$N$11&gt;0,AB55,0)</f>
        <v/>
      </c>
      <c r="AN55" s="137">
        <f>SUM(AM42:AM55)</f>
        <v/>
      </c>
      <c r="AO55" s="137">
        <f>IF(ISNUMBER('Assumptions'!$B$10),'Assumptions'!$B$10+AN55,"")</f>
        <v/>
      </c>
      <c r="AP55" s="137">
        <f>('Production schedule'!AK127)*'Responsibilities'!$C$6+('Production schedule'!AK163)*'Responsibilities'!$C$7+('Production schedule'!AK199)*'Responsibilities'!$C$8</f>
        <v/>
      </c>
      <c r="AQ55" s="137">
        <f>SUMIFS('Production schedule'!$AL$114:$AL$221,'Production schedule'!$C$114:$C$221,14)</f>
        <v/>
      </c>
      <c r="AR55" s="137">
        <f>IF(ISNUMBER('Assumptions'!Q76),'Assumptions'!Q76,SUM(O55:P55))</f>
        <v/>
      </c>
      <c r="AS55" s="137">
        <f>IF(ISNUMBER('Assumptions'!$B$13),MIN('Assumptions'!$B$13/'Assumptions'!$B$18/12,MAX(0,'Assumptions'!$B$13-(14-1)*'Assumptions'!$B$13/'Assumptions'!$B$18/12)),0)+IF(AND('Sites'!E6=1,14&gt;=('Sites'!F6),14&lt;('Sites'!F6)+'Assumptions'!$B$18*12),'Capital'!E6/'Assumptions'!$B$18/12,0)+IF(AND('Sites'!E7=1,14&gt;=('Sites'!F7+'Cases'!G7),14&lt;('Sites'!F7+'Cases'!G7)+'Assumptions'!$B$18*12),'Capital'!E7/'Assumptions'!$B$18/12,0)+IF(AND('Sites'!E8*'Cases'!F7=1,14&gt;=('Sites'!F8+'Cases'!G7),14&lt;('Sites'!F8+'Cases'!G7)+'Assumptions'!$B$18*12),'Capital'!E8/'Assumptions'!$B$18/12,0)</f>
        <v/>
      </c>
      <c r="AT55" s="137">
        <f>SUM(AQ55,AR55,U55)-AP55-SUM(H55:L55)-AS55-SUM(Y55,AD55,AE55,AH55)</f>
        <v/>
      </c>
      <c r="AU55" s="137">
        <f>IF(ISNUMBER('Assumptions'!$B$19),MAX(0,SUM(AT54:AT55))*'Assumptions'!$B$19-SUM(AU54:AU54),"")</f>
        <v/>
      </c>
      <c r="AV55" s="137">
        <f>IF(ISNUMBER(AU55),AT55-AU55,"")</f>
        <v/>
      </c>
      <c r="AW55" s="137">
        <f>IF(ISNUMBER('Assumptions'!$B$11),'Assumptions'!$B$11+SUM(AQ42:AQ55)-SUM(S42:S55)-SUM(T42:T55),"")</f>
        <v/>
      </c>
      <c r="AX55" s="137">
        <f>IF(ISNUMBER('Assumptions'!$B$12),'Assumptions'!$B$12+SUM(G42:G55)-SUM(AP42:AP55),"")</f>
        <v/>
      </c>
      <c r="AY55" s="137">
        <f>IF(ISNUMBER('Assumptions'!$B$13),'Assumptions'!$B$13+SUM(M42:M55)-SUM(AS42:AS55),"")</f>
        <v/>
      </c>
      <c r="AZ55" s="137">
        <f>IF(ISNUMBER('Assumptions'!$B$14),'Assumptions'!$B$14+-SUM(AF42:AF55),"")</f>
        <v/>
      </c>
      <c r="BA55" s="137">
        <f>IF(ISNUMBER('Assumptions'!$B$15),'Assumptions'!$B$15+SUM(O42:O55)+SUM(P42:P55)-SUM(AR42:AR55),"")</f>
        <v/>
      </c>
      <c r="BB55" s="137">
        <f>IF(ISNUMBER('Assumptions'!$B$16),'Assumptions'!$B$16+-SUM(AC42:AC55),"")</f>
        <v/>
      </c>
      <c r="BC55" s="137">
        <f>IF(AND(ISNUMBER('Assumptions'!$B$21),ISNUMBER('Assumptions'!$B$19)),'Assumptions'!$B$21+SUM(AU42:AU55)-SUM(AG42:AG55),"")</f>
        <v/>
      </c>
      <c r="BD55" s="137">
        <f>IF(ISNUMBER('Assumptions'!$B$20),'Assumptions'!$B$20+-SUM(AI42:AI55),"")</f>
        <v/>
      </c>
      <c r="BE55" s="137">
        <f>IF(AND(ISNUMBER('Assumptions'!$B$17),COUNT(AV42:AV55)=14),'Assumptions'!$B$17+SUM(AV42:AV55),"")</f>
        <v/>
      </c>
      <c r="BF55" s="137">
        <f>IF(COUNT(AL55,AW55:AY55)=4,SUM(AL55,AW55:AY55),"")</f>
        <v/>
      </c>
      <c r="BG55" s="137">
        <f>IF(COUNT(AZ55:BD55)=5,SUM(AZ55:BD55,AA55),"")</f>
        <v/>
      </c>
      <c r="BH55" s="137">
        <f>IF(COUNT(BF55,BG55,BE55)=3,BF55-BG55-BE55,"")</f>
        <v/>
      </c>
      <c r="BI55" s="137">
        <f>SUM(W55,X55)-Z55-AA55</f>
        <v/>
      </c>
      <c r="BJ55" s="137">
        <f>8-COUNT('Assumptions'!Q58:Q65)+COUNTBLANK('NM Play'!B33:B34)+'Costs'!E44+IF(AND('Sites'!E6=1,('Sites'!F6)&lt;=24,'Sites'!G6&gt;=13),IF(ISNUMBER('Sites'!P6),0,1)+'Capital'!I6+COUNTBLANK('Sites'!R6)+IF('Sites'!D6="NM crew",COUNTBLANK('NM Play'!B25)+1,5-COUNT('Assumptions'!Q112:Q116)),0)+IF(AND('Sites'!E7=1,('Sites'!F7+'Cases'!G7)&lt;=24,'Sites'!G7&gt;=13),IF(ISNUMBER('Sites'!P7),0,1)+'Capital'!I7+COUNTBLANK('Sites'!R7)+IF('Sites'!D7="NM crew",COUNTBLANK('NM Play'!B25)+1,5-COUNT('Assumptions'!Q117:Q121)),0)+IF(AND('Sites'!E8*'Cases'!F7=1,('Sites'!F8+'Cases'!G7)&lt;=24,'Sites'!G8&gt;=13),IF(ISNUMBER('Sites'!P8),0,1)+'Capital'!I8+COUNTBLANK('Sites'!R8)+IF('Sites'!D8="NM crew",COUNTBLANK('NM Play'!B25)+1,5-COUNT('Assumptions'!Q122:Q126)),0)+IF(AND('Cases'!C7&gt;0,NOT(ISNUMBER('Assumptions'!B42))),1,0)+'Responsibilities'!$B$39</f>
        <v/>
      </c>
      <c r="BK55" s="137">
        <f>'Assumptions'!$B$50+'NM Play'!$B$83+'Funding'!$F$20+SUMIFS('Production schedule'!$AN$114:$AN$221,'Production schedule'!$C$114:$C$221,14)+IF(OR('Cases'!E7&lt;0,'Cases'!E7&gt;1,'Cases'!C7&lt;0,'Cases'!D7&lt;0,ABS(SUM('Sites'!S6:S8)-1)&gt;0.0001,MIN('Capital'!F6:F8)&lt;0,MAX('Capital'!F6:F8)&gt;1,MIN(AX55,AZ55,BB55,BA55)&lt;-0.01),1,0)+'Responsibilities'!$B$40</f>
        <v/>
      </c>
      <c r="BL55" s="137">
        <f>SUMIFS('Production schedule'!$T$114:$T$221,'Production schedule'!$C$114:$C$221,14)</f>
        <v/>
      </c>
      <c r="BM55" s="137">
        <f>D55*'NM Play'!$B$38</f>
        <v/>
      </c>
      <c r="BN55" s="137">
        <f>SUMIFS('Production schedule'!$AM$114:$AM$221,'Production schedule'!$C$114:$C$221,14)</f>
        <v/>
      </c>
      <c r="BO55" s="137">
        <f>AK55-AK54-AJ55</f>
        <v/>
      </c>
      <c r="BP55" s="137">
        <f>IF(AND('Assumptions'!$B$39&gt;=0,'Assumptions'!$B$40&gt;0),-PMT('Assumptions'!$B$39/12,'Assumptions'!$B$40*12,IF('Funding'!$N$11&gt;0,'Funding'!$N$11,'Funding'!$S$11)),"")</f>
        <v/>
      </c>
      <c r="BQ55">
        <f>('Production schedule'!AJ127)*(1-'Responsibilities'!$C$6)+('Production schedule'!AJ163)*(1-'Responsibilities'!$C$7)+('Production schedule'!AJ199)*(1-'Responsibilities'!$C$8)</f>
        <v/>
      </c>
      <c r="BR55">
        <f>('Production schedule'!AI127)*(1-'Responsibilities'!$D$6)+('Production schedule'!AI163)*(1-'Responsibilities'!$D$7)+('Production schedule'!AI199)*(1-'Responsibilities'!$D$8)</f>
        <v/>
      </c>
      <c r="BS55">
        <f>('Production schedule'!E127*(IF('Sites'!D6="Annual staff",SUM('Assumptions'!Q112,'Assumptions'!Q114),0)+SUM('Assumptions'!Q113,'Assumptions'!Q115:Q116)))*(1-'Responsibilities'!$E$6)+('Production schedule'!E163*(IF('Sites'!D7="Annual staff",SUM('Assumptions'!Q117,'Assumptions'!Q119),0)+SUM('Assumptions'!Q118,'Assumptions'!Q120:Q121)))*(1-'Responsibilities'!$E$7)+('Production schedule'!E199*(IF('Sites'!D8="Annual staff",SUM('Assumptions'!Q122,'Assumptions'!Q124),0)+SUM('Assumptions'!Q123,'Assumptions'!Q125:Q126)))*(1-'Responsibilities'!$E$8)</f>
        <v/>
      </c>
      <c r="BT55">
        <f>(IF(AND('Production schedule'!E127=1,14=MAX(('Sites'!F6),13),ISNUMBER('Sites'!P6)),'Sites'!P6*'Assumptions'!$B$44,0))*(1-'Responsibilities'!$F$6)+(IF(AND('Production schedule'!E163=1,14=MAX(('Sites'!F7+'Cases'!G7),13),ISNUMBER('Sites'!P7)),'Sites'!P7*'Assumptions'!$B$44,0))*(1-'Responsibilities'!$F$7)+(IF(AND('Production schedule'!E199=1,14=MAX(('Sites'!F8+'Cases'!G7),13),ISNUMBER('Sites'!P8)),'Sites'!P8*'Assumptions'!$B$44,0))*(1-'Responsibilities'!$F$8)</f>
        <v/>
      </c>
      <c r="BU55">
        <f>SUM('Costs'!E36)*'Costs'!F36/12*(1-'Responsibilities'!$C$12)+SUM('Costs'!E37)*'Costs'!F37/12*(1-'Responsibilities'!$C$13)+SUM('Costs'!E38)*'Costs'!F38/12*(1-'Responsibilities'!$C$14)+SUM('Costs'!E39)*'Costs'!F39/12*(1-'Responsibilities'!$C$15)+SUM('Costs'!E40)*'Costs'!F40/12*(1-'Responsibilities'!$C$16)</f>
        <v/>
      </c>
      <c r="BV55">
        <f>('Sites'!E6*'Capital'!E6*(IF(14='Capital'!G6,'Capital'!F6,0)+IF(14='Capital'!H6,1-'Capital'!F6,0)))*(1-'Responsibilities'!$G$6)+('Sites'!E7*'Capital'!E7*(IF(14='Capital'!G7+'Cases'!G7,'Capital'!F7,0)+IF(14='Capital'!H7+'Cases'!G7,1-'Capital'!F7,0)))*(1-'Responsibilities'!$G$7)+('Sites'!E8*'Cases'!F7*'Capital'!E8*(IF(14='Capital'!G8+'Cases'!G7,'Capital'!F8,0)+IF(14='Capital'!H8+'Cases'!G7,1-'Capital'!F8,0)))*(1-'Responsibilities'!$G$8)</f>
        <v/>
      </c>
      <c r="BW55">
        <f>SUM(BQ55:BV55)</f>
        <v/>
      </c>
      <c r="BX55">
        <f>N55+BW55</f>
        <v/>
      </c>
      <c r="BY55">
        <f>BX55-(('Production schedule'!AJ127)*'Responsibilities'!$C$6+('Production schedule'!AJ163)*'Responsibilities'!$C$7+('Production schedule'!AJ199)*'Responsibilities'!$C$8+('Production schedule'!AJ127)*(1-'Responsibilities'!$C$6)+('Production schedule'!AJ163)*(1-'Responsibilities'!$C$7)+('Production schedule'!AJ199)*(1-'Responsibilities'!$C$8)+('Production schedule'!AI127)*'Responsibilities'!$D$6+('Production schedule'!AI163)*'Responsibilities'!$D$7+('Production schedule'!AI199)*'Responsibilities'!$D$8+('Production schedule'!AI127)*(1-'Responsibilities'!$D$6)+('Production schedule'!AI163)*(1-'Responsibilities'!$D$7)+('Production schedule'!AI199)*(1-'Responsibilities'!$D$8)+('Production schedule'!E127*(IF('Sites'!D6="Annual staff",SUM('Assumptions'!Q112,'Assumptions'!Q114),0)+SUM('Assumptions'!Q113,'Assumptions'!Q115:Q116)))*'Responsibilities'!$E$6+('Production schedule'!E163*(IF('Sites'!D7="Annual staff",SUM('Assumptions'!Q117,'Assumptions'!Q119),0)+SUM('Assumptions'!Q118,'Assumptions'!Q120:Q121)))*'Responsibilities'!$E$7+('Production schedule'!E199*(IF('Sites'!D8="Annual staff",SUM('Assumptions'!Q122,'Assumptions'!Q124),0)+SUM('Assumptions'!Q123,'Assumptions'!Q125:Q126)))*'Responsibilities'!$E$8+('Production schedule'!E127*(IF('Sites'!D6="Annual staff",SUM('Assumptions'!Q112,'Assumptions'!Q114),0)+SUM('Assumptions'!Q113,'Assumptions'!Q115:Q116)))*(1-'Responsibilities'!$E$6)+('Production schedule'!E163*(IF('Sites'!D7="Annual staff",SUM('Assumptions'!Q117,'Assumptions'!Q119),0)+SUM('Assumptions'!Q118,'Assumptions'!Q120:Q121)))*(1-'Responsibilities'!$E$7)+('Production schedule'!E199*(IF('Sites'!D8="Annual staff",SUM('Assumptions'!Q122,'Assumptions'!Q124),0)+SUM('Assumptions'!Q123,'Assumptions'!Q125:Q126)))*(1-'Responsibilities'!$E$8)+(IF(AND('Production schedule'!E127=1,14=MAX(('Sites'!F6),13),ISNUMBER('Sites'!P6)),'Sites'!P6*'Assumptions'!$B$44,0))*'Responsibilities'!$F$6+(IF(AND('Production schedule'!E163=1,14=MAX(('Sites'!F7+'Cases'!G7),13),ISNUMBER('Sites'!P7)),'Sites'!P7*'Assumptions'!$B$44,0))*'Responsibilities'!$F$7+(IF(AND('Production schedule'!E199=1,14=MAX(('Sites'!F8+'Cases'!G7),13),ISNUMBER('Sites'!P8)),'Sites'!P8*'Assumptions'!$B$44,0))*'Responsibilities'!$F$8+(IF(AND('Production schedule'!E127=1,14=MAX(('Sites'!F6),13),ISNUMBER('Sites'!P6)),'Sites'!P6*'Assumptions'!$B$44,0))*(1-'Responsibilities'!$F$6)+(IF(AND('Production schedule'!E163=1,14=MAX(('Sites'!F7+'Cases'!G7),13),ISNUMBER('Sites'!P7)),'Sites'!P7*'Assumptions'!$B$44,0))*(1-'Responsibilities'!$F$7)+(IF(AND('Production schedule'!E199=1,14=MAX(('Sites'!F8+'Cases'!G7),13),ISNUMBER('Sites'!P8)),'Sites'!P8*'Assumptions'!$B$44,0))*(1-'Responsibilities'!$F$8)+('Sites'!E6*'Capital'!E6*(IF(14='Capital'!G6,'Capital'!F6,0)+IF(14='Capital'!H6,1-'Capital'!F6,0)))*'Responsibilities'!$G$6+('Sites'!E7*'Capital'!E7*(IF(14='Capital'!G7+'Cases'!G7,'Capital'!F7,0)+IF(14='Capital'!H7+'Cases'!G7,1-'Capital'!F7,0)))*'Responsibilities'!$G$7+('Sites'!E8*'Cases'!F7*'Capital'!E8*(IF(14='Capital'!G8+'Cases'!G7,'Capital'!F8,0)+IF(14='Capital'!H8+'Cases'!G7,1-'Capital'!F8,0)))*'Responsibilities'!$G$8+('Sites'!E6*'Capital'!E6*(IF(14='Capital'!G6,'Capital'!F6,0)+IF(14='Capital'!H6,1-'Capital'!F6,0)))*(1-'Responsibilities'!$G$6)+('Sites'!E7*'Capital'!E7*(IF(14='Capital'!G7+'Cases'!G7,'Capital'!F7,0)+IF(14='Capital'!H7+'Cases'!G7,1-'Capital'!F7,0)))*(1-'Responsibilities'!$G$7)+('Sites'!E8*'Cases'!F7*'Capital'!E8*(IF(14='Capital'!G8+'Cases'!G7,'Capital'!F8,0)+IF(14='Capital'!H8+'Cases'!G7,1-'Capital'!F8,0)))*(1-'Responsibilities'!$G$8)+I55+SUMPRODUCT('Costs'!$E$36:$E$40,'Costs'!$F$36:$F$40)/12+BZ55)</f>
        <v/>
      </c>
      <c r="BZ55">
        <f>SUMIFS('Responsibilities'!$B$31:$B$35,'Responsibilities'!$C$31:$C$35,14,'Responsibilities'!$D$31:$D$35,"Yes")</f>
        <v/>
      </c>
    </row>
    <row r="56" ht="28" customHeight="1">
      <c r="A56" s="4" t="inlineStr">
        <is>
          <t>Smaller</t>
        </is>
      </c>
      <c r="B56" s="4" t="n">
        <v>15</v>
      </c>
      <c r="C56" s="4">
        <f>ROUNDUP(B56/12,0)</f>
        <v/>
      </c>
      <c r="D56" s="137">
        <f>SUMIFS('Production schedule'!$N$114:$N$221,'Production schedule'!$C$114:$C$221,15)</f>
        <v/>
      </c>
      <c r="E56" s="137">
        <f>SUMIFS('Production schedule'!$Y$114:$Y$221,'Production schedule'!$C$114:$C$221,15)</f>
        <v/>
      </c>
      <c r="F56" s="137">
        <f>SUMIFS('Production schedule'!$Z$114:$Z$221,'Production schedule'!$C$114:$C$221,15)</f>
        <v/>
      </c>
      <c r="G56" s="137">
        <f>('Production schedule'!AJ128)*'Responsibilities'!$C$6+('Production schedule'!AJ164)*'Responsibilities'!$C$7+('Production schedule'!AJ200)*'Responsibilities'!$C$8</f>
        <v/>
      </c>
      <c r="H56" s="137">
        <f>('Production schedule'!AI128)*'Responsibilities'!$D$6+('Production schedule'!AI164)*'Responsibilities'!$D$7+('Production schedule'!AI200)*'Responsibilities'!$D$8</f>
        <v/>
      </c>
      <c r="I56" s="137">
        <f>SUM('Assumptions'!R58:R65)</f>
        <v/>
      </c>
      <c r="J56" s="137">
        <f>('Production schedule'!E128*(IF('Sites'!D6="Annual staff",SUM('Assumptions'!R112,'Assumptions'!R114),0)+SUM('Assumptions'!R113,'Assumptions'!R115:R116)))*'Responsibilities'!$E$6+('Production schedule'!E164*(IF('Sites'!D7="Annual staff",SUM('Assumptions'!R117,'Assumptions'!R119),0)+SUM('Assumptions'!R118,'Assumptions'!R120:R121)))*'Responsibilities'!$E$7+('Production schedule'!E200*(IF('Sites'!D8="Annual staff",SUM('Assumptions'!R122,'Assumptions'!R124),0)+SUM('Assumptions'!R123,'Assumptions'!R125:R126)))*'Responsibilities'!$E$8</f>
        <v/>
      </c>
      <c r="K56" s="137">
        <f>(IF(AND('Production schedule'!E128=1,15=MAX(('Sites'!F6),13),ISNUMBER('Sites'!P6)),'Sites'!P6*'Assumptions'!$B$44,0))*'Responsibilities'!$F$6+(IF(AND('Production schedule'!E164=1,15=MAX(('Sites'!F7+'Cases'!G7),13),ISNUMBER('Sites'!P7)),'Sites'!P7*'Assumptions'!$B$44,0))*'Responsibilities'!$F$7+(IF(AND('Production schedule'!E200=1,15=MAX(('Sites'!F8+'Cases'!G7),13),ISNUMBER('Sites'!P8)),'Sites'!P8*'Assumptions'!$B$44,0))*'Responsibilities'!$F$8</f>
        <v/>
      </c>
      <c r="L56" s="137">
        <f>SUM('Costs'!E36)*'Costs'!F36/12*'Responsibilities'!$C$12+SUM('Costs'!E37)*'Costs'!F37/12*'Responsibilities'!$C$13+SUM('Costs'!E38)*'Costs'!F38/12*'Responsibilities'!$C$14+SUM('Costs'!E39)*'Costs'!F39/12*'Responsibilities'!$C$15+SUM('Costs'!E40)*'Costs'!F40/12*'Responsibilities'!$C$16+BZ56</f>
        <v/>
      </c>
      <c r="M56" s="137">
        <f>('Sites'!E6*'Capital'!E6*(IF(15='Capital'!G6,'Capital'!F6,0)+IF(15='Capital'!H6,1-'Capital'!F6,0)))*'Responsibilities'!$G$6+('Sites'!E7*'Capital'!E7*(IF(15='Capital'!G7+'Cases'!G7,'Capital'!F7,0)+IF(15='Capital'!H7+'Cases'!G7,1-'Capital'!F7,0)))*'Responsibilities'!$G$7+('Sites'!E8*'Cases'!F7*'Capital'!E8*(IF(15='Capital'!G8+'Cases'!G7,'Capital'!F8,0)+IF(15='Capital'!H8+'Cases'!G7,1-'Capital'!F8,0)))*'Responsibilities'!$G$8</f>
        <v/>
      </c>
      <c r="N56" s="137">
        <f>SUM(G56:M56)</f>
        <v/>
      </c>
      <c r="O56" s="137">
        <f>SUMIFS(FundingTranches[Secured amount],FundingTranches[Instrument],"Grant",FundingTranches[Secured month],15)</f>
        <v/>
      </c>
      <c r="P56" s="137">
        <f>SUMIFS(FundingTranches[Smaller possible],FundingTranches[Instrument],"Grant",FundingTranches[Scenario month],15-'Cases'!$D$7)</f>
        <v/>
      </c>
      <c r="Q56" s="137">
        <f>SUMIFS(FundingTranches[Secured amount],FundingTranches[Instrument],"Loan",FundingTranches[Secured month],15)</f>
        <v/>
      </c>
      <c r="R56" s="137">
        <f>SUMIFS(FundingTranches[Smaller possible],FundingTranches[Instrument],"Loan",FundingTranches[Scenario month],15-'Cases'!$D$7)</f>
        <v/>
      </c>
      <c r="S56" s="137">
        <f>IF(15&lt;='Assumptions'!$B$34,0,SUMIFS('Production schedule'!$AL$114:$AL$221,'Production schedule'!$C$114:$C$221,15-'Assumptions'!$B$34))</f>
        <v/>
      </c>
      <c r="T56" s="137">
        <f>'Assumptions'!R70</f>
        <v/>
      </c>
      <c r="U56" s="137">
        <f>'Assumptions'!R78</f>
        <v/>
      </c>
      <c r="V56" s="137">
        <f>SUM(O56:U56)</f>
        <v/>
      </c>
      <c r="W56" s="137">
        <f>AA55</f>
        <v/>
      </c>
      <c r="X56" s="137">
        <f>SUM(Q56:R56)</f>
        <v/>
      </c>
      <c r="Y56" s="137">
        <f>SUM(W56,X56)*'Assumptions'!$B$39/12</f>
        <v/>
      </c>
      <c r="Z56" s="137">
        <f>IF(SUM(W56,X56)&gt;0,MIN(SUM(W56,X56),MAX(0,BP56-Y56)),0)</f>
        <v/>
      </c>
      <c r="AA56" s="137">
        <f>SUM(W56,X56)-Z56</f>
        <v/>
      </c>
      <c r="AB56" s="137">
        <f>SUM(Y56:Z56)</f>
        <v/>
      </c>
      <c r="AC56" s="137">
        <f>'Assumptions'!R72</f>
        <v/>
      </c>
      <c r="AD56" s="137">
        <f>'Assumptions'!R73</f>
        <v/>
      </c>
      <c r="AE56" s="137">
        <f>IF(X56&gt;0,SUM('Assumptions'!$B$42),0)</f>
        <v/>
      </c>
      <c r="AF56" s="137">
        <f>'Assumptions'!R71</f>
        <v/>
      </c>
      <c r="AG56" s="137">
        <f>'Assumptions'!R74</f>
        <v/>
      </c>
      <c r="AH56" s="137">
        <f>'Assumptions'!R75</f>
        <v/>
      </c>
      <c r="AI56" s="137">
        <f>'Assumptions'!R77</f>
        <v/>
      </c>
      <c r="AJ56" s="137">
        <f>V56-N56-SUM(AB56:AI56)</f>
        <v/>
      </c>
      <c r="AK56" s="137">
        <f>SUM(AJ42:AJ56)</f>
        <v/>
      </c>
      <c r="AL56" s="137">
        <f>IF(ISNUMBER('Assumptions'!$B$10),'Assumptions'!$B$10+AK56,"")</f>
        <v/>
      </c>
      <c r="AM56" s="137">
        <f>SUM(O56,Q56,T56)-N56-SUM(AC56:AI56)+IF('Funding'!$N$11=0,AE56,0)-IF('Funding'!$N$11&gt;0,AB56,0)</f>
        <v/>
      </c>
      <c r="AN56" s="137">
        <f>SUM(AM42:AM56)</f>
        <v/>
      </c>
      <c r="AO56" s="137">
        <f>IF(ISNUMBER('Assumptions'!$B$10),'Assumptions'!$B$10+AN56,"")</f>
        <v/>
      </c>
      <c r="AP56" s="137">
        <f>('Production schedule'!AK128)*'Responsibilities'!$C$6+('Production schedule'!AK164)*'Responsibilities'!$C$7+('Production schedule'!AK200)*'Responsibilities'!$C$8</f>
        <v/>
      </c>
      <c r="AQ56" s="137">
        <f>SUMIFS('Production schedule'!$AL$114:$AL$221,'Production schedule'!$C$114:$C$221,15)</f>
        <v/>
      </c>
      <c r="AR56" s="137">
        <f>IF(ISNUMBER('Assumptions'!R76),'Assumptions'!R76,SUM(O56:P56))</f>
        <v/>
      </c>
      <c r="AS56" s="137">
        <f>IF(ISNUMBER('Assumptions'!$B$13),MIN('Assumptions'!$B$13/'Assumptions'!$B$18/12,MAX(0,'Assumptions'!$B$13-(15-1)*'Assumptions'!$B$13/'Assumptions'!$B$18/12)),0)+IF(AND('Sites'!E6=1,15&gt;=('Sites'!F6),15&lt;('Sites'!F6)+'Assumptions'!$B$18*12),'Capital'!E6/'Assumptions'!$B$18/12,0)+IF(AND('Sites'!E7=1,15&gt;=('Sites'!F7+'Cases'!G7),15&lt;('Sites'!F7+'Cases'!G7)+'Assumptions'!$B$18*12),'Capital'!E7/'Assumptions'!$B$18/12,0)+IF(AND('Sites'!E8*'Cases'!F7=1,15&gt;=('Sites'!F8+'Cases'!G7),15&lt;('Sites'!F8+'Cases'!G7)+'Assumptions'!$B$18*12),'Capital'!E8/'Assumptions'!$B$18/12,0)</f>
        <v/>
      </c>
      <c r="AT56" s="137">
        <f>SUM(AQ56,AR56,U56)-AP56-SUM(H56:L56)-AS56-SUM(Y56,AD56,AE56,AH56)</f>
        <v/>
      </c>
      <c r="AU56" s="137">
        <f>IF(ISNUMBER('Assumptions'!$B$19),MAX(0,SUM(AT54:AT56))*'Assumptions'!$B$19-SUM(AU54:AU55),"")</f>
        <v/>
      </c>
      <c r="AV56" s="137">
        <f>IF(ISNUMBER(AU56),AT56-AU56,"")</f>
        <v/>
      </c>
      <c r="AW56" s="137">
        <f>IF(ISNUMBER('Assumptions'!$B$11),'Assumptions'!$B$11+SUM(AQ42:AQ56)-SUM(S42:S56)-SUM(T42:T56),"")</f>
        <v/>
      </c>
      <c r="AX56" s="137">
        <f>IF(ISNUMBER('Assumptions'!$B$12),'Assumptions'!$B$12+SUM(G42:G56)-SUM(AP42:AP56),"")</f>
        <v/>
      </c>
      <c r="AY56" s="137">
        <f>IF(ISNUMBER('Assumptions'!$B$13),'Assumptions'!$B$13+SUM(M42:M56)-SUM(AS42:AS56),"")</f>
        <v/>
      </c>
      <c r="AZ56" s="137">
        <f>IF(ISNUMBER('Assumptions'!$B$14),'Assumptions'!$B$14+-SUM(AF42:AF56),"")</f>
        <v/>
      </c>
      <c r="BA56" s="137">
        <f>IF(ISNUMBER('Assumptions'!$B$15),'Assumptions'!$B$15+SUM(O42:O56)+SUM(P42:P56)-SUM(AR42:AR56),"")</f>
        <v/>
      </c>
      <c r="BB56" s="137">
        <f>IF(ISNUMBER('Assumptions'!$B$16),'Assumptions'!$B$16+-SUM(AC42:AC56),"")</f>
        <v/>
      </c>
      <c r="BC56" s="137">
        <f>IF(AND(ISNUMBER('Assumptions'!$B$21),ISNUMBER('Assumptions'!$B$19)),'Assumptions'!$B$21+SUM(AU42:AU56)-SUM(AG42:AG56),"")</f>
        <v/>
      </c>
      <c r="BD56" s="137">
        <f>IF(ISNUMBER('Assumptions'!$B$20),'Assumptions'!$B$20+-SUM(AI42:AI56),"")</f>
        <v/>
      </c>
      <c r="BE56" s="137">
        <f>IF(AND(ISNUMBER('Assumptions'!$B$17),COUNT(AV42:AV56)=15),'Assumptions'!$B$17+SUM(AV42:AV56),"")</f>
        <v/>
      </c>
      <c r="BF56" s="137">
        <f>IF(COUNT(AL56,AW56:AY56)=4,SUM(AL56,AW56:AY56),"")</f>
        <v/>
      </c>
      <c r="BG56" s="137">
        <f>IF(COUNT(AZ56:BD56)=5,SUM(AZ56:BD56,AA56),"")</f>
        <v/>
      </c>
      <c r="BH56" s="137">
        <f>IF(COUNT(BF56,BG56,BE56)=3,BF56-BG56-BE56,"")</f>
        <v/>
      </c>
      <c r="BI56" s="137">
        <f>SUM(W56,X56)-Z56-AA56</f>
        <v/>
      </c>
      <c r="BJ56" s="137">
        <f>8-COUNT('Assumptions'!R58:R65)+COUNTBLANK('NM Play'!B33:B34)+'Costs'!E44+IF(AND('Sites'!E6=1,('Sites'!F6)&lt;=24,'Sites'!G6&gt;=13),IF(ISNUMBER('Sites'!P6),0,1)+'Capital'!I6+COUNTBLANK('Sites'!R6)+IF('Sites'!D6="NM crew",COUNTBLANK('NM Play'!B25)+1,5-COUNT('Assumptions'!R112:R116)),0)+IF(AND('Sites'!E7=1,('Sites'!F7+'Cases'!G7)&lt;=24,'Sites'!G7&gt;=13),IF(ISNUMBER('Sites'!P7),0,1)+'Capital'!I7+COUNTBLANK('Sites'!R7)+IF('Sites'!D7="NM crew",COUNTBLANK('NM Play'!B25)+1,5-COUNT('Assumptions'!R117:R121)),0)+IF(AND('Sites'!E8*'Cases'!F7=1,('Sites'!F8+'Cases'!G7)&lt;=24,'Sites'!G8&gt;=13),IF(ISNUMBER('Sites'!P8),0,1)+'Capital'!I8+COUNTBLANK('Sites'!R8)+IF('Sites'!D8="NM crew",COUNTBLANK('NM Play'!B25)+1,5-COUNT('Assumptions'!R122:R126)),0)+IF(AND('Cases'!C7&gt;0,NOT(ISNUMBER('Assumptions'!B42))),1,0)+'Responsibilities'!$B$39</f>
        <v/>
      </c>
      <c r="BK56" s="137">
        <f>'Assumptions'!$B$50+'NM Play'!$B$83+'Funding'!$F$20+SUMIFS('Production schedule'!$AN$114:$AN$221,'Production schedule'!$C$114:$C$221,15)+IF(OR('Cases'!E7&lt;0,'Cases'!E7&gt;1,'Cases'!C7&lt;0,'Cases'!D7&lt;0,ABS(SUM('Sites'!S6:S8)-1)&gt;0.0001,MIN('Capital'!F6:F8)&lt;0,MAX('Capital'!F6:F8)&gt;1,MIN(AX56,AZ56,BB56,BA56)&lt;-0.01),1,0)+'Responsibilities'!$B$40</f>
        <v/>
      </c>
      <c r="BL56" s="137">
        <f>SUMIFS('Production schedule'!$T$114:$T$221,'Production schedule'!$C$114:$C$221,15)</f>
        <v/>
      </c>
      <c r="BM56" s="137">
        <f>D56*'NM Play'!$B$38</f>
        <v/>
      </c>
      <c r="BN56" s="137">
        <f>SUMIFS('Production schedule'!$AM$114:$AM$221,'Production schedule'!$C$114:$C$221,15)</f>
        <v/>
      </c>
      <c r="BO56" s="137">
        <f>AK56-AK55-AJ56</f>
        <v/>
      </c>
      <c r="BP56" s="137">
        <f>IF(AND('Assumptions'!$B$39&gt;=0,'Assumptions'!$B$40&gt;0),-PMT('Assumptions'!$B$39/12,'Assumptions'!$B$40*12,IF('Funding'!$N$11&gt;0,'Funding'!$N$11,'Funding'!$S$11)),"")</f>
        <v/>
      </c>
      <c r="BQ56">
        <f>('Production schedule'!AJ128)*(1-'Responsibilities'!$C$6)+('Production schedule'!AJ164)*(1-'Responsibilities'!$C$7)+('Production schedule'!AJ200)*(1-'Responsibilities'!$C$8)</f>
        <v/>
      </c>
      <c r="BR56">
        <f>('Production schedule'!AI128)*(1-'Responsibilities'!$D$6)+('Production schedule'!AI164)*(1-'Responsibilities'!$D$7)+('Production schedule'!AI200)*(1-'Responsibilities'!$D$8)</f>
        <v/>
      </c>
      <c r="BS56">
        <f>('Production schedule'!E128*(IF('Sites'!D6="Annual staff",SUM('Assumptions'!R112,'Assumptions'!R114),0)+SUM('Assumptions'!R113,'Assumptions'!R115:R116)))*(1-'Responsibilities'!$E$6)+('Production schedule'!E164*(IF('Sites'!D7="Annual staff",SUM('Assumptions'!R117,'Assumptions'!R119),0)+SUM('Assumptions'!R118,'Assumptions'!R120:R121)))*(1-'Responsibilities'!$E$7)+('Production schedule'!E200*(IF('Sites'!D8="Annual staff",SUM('Assumptions'!R122,'Assumptions'!R124),0)+SUM('Assumptions'!R123,'Assumptions'!R125:R126)))*(1-'Responsibilities'!$E$8)</f>
        <v/>
      </c>
      <c r="BT56">
        <f>(IF(AND('Production schedule'!E128=1,15=MAX(('Sites'!F6),13),ISNUMBER('Sites'!P6)),'Sites'!P6*'Assumptions'!$B$44,0))*(1-'Responsibilities'!$F$6)+(IF(AND('Production schedule'!E164=1,15=MAX(('Sites'!F7+'Cases'!G7),13),ISNUMBER('Sites'!P7)),'Sites'!P7*'Assumptions'!$B$44,0))*(1-'Responsibilities'!$F$7)+(IF(AND('Production schedule'!E200=1,15=MAX(('Sites'!F8+'Cases'!G7),13),ISNUMBER('Sites'!P8)),'Sites'!P8*'Assumptions'!$B$44,0))*(1-'Responsibilities'!$F$8)</f>
        <v/>
      </c>
      <c r="BU56">
        <f>SUM('Costs'!E36)*'Costs'!F36/12*(1-'Responsibilities'!$C$12)+SUM('Costs'!E37)*'Costs'!F37/12*(1-'Responsibilities'!$C$13)+SUM('Costs'!E38)*'Costs'!F38/12*(1-'Responsibilities'!$C$14)+SUM('Costs'!E39)*'Costs'!F39/12*(1-'Responsibilities'!$C$15)+SUM('Costs'!E40)*'Costs'!F40/12*(1-'Responsibilities'!$C$16)</f>
        <v/>
      </c>
      <c r="BV56">
        <f>('Sites'!E6*'Capital'!E6*(IF(15='Capital'!G6,'Capital'!F6,0)+IF(15='Capital'!H6,1-'Capital'!F6,0)))*(1-'Responsibilities'!$G$6)+('Sites'!E7*'Capital'!E7*(IF(15='Capital'!G7+'Cases'!G7,'Capital'!F7,0)+IF(15='Capital'!H7+'Cases'!G7,1-'Capital'!F7,0)))*(1-'Responsibilities'!$G$7)+('Sites'!E8*'Cases'!F7*'Capital'!E8*(IF(15='Capital'!G8+'Cases'!G7,'Capital'!F8,0)+IF(15='Capital'!H8+'Cases'!G7,1-'Capital'!F8,0)))*(1-'Responsibilities'!$G$8)</f>
        <v/>
      </c>
      <c r="BW56">
        <f>SUM(BQ56:BV56)</f>
        <v/>
      </c>
      <c r="BX56">
        <f>N56+BW56</f>
        <v/>
      </c>
      <c r="BY56">
        <f>BX56-(('Production schedule'!AJ128)*'Responsibilities'!$C$6+('Production schedule'!AJ164)*'Responsibilities'!$C$7+('Production schedule'!AJ200)*'Responsibilities'!$C$8+('Production schedule'!AJ128)*(1-'Responsibilities'!$C$6)+('Production schedule'!AJ164)*(1-'Responsibilities'!$C$7)+('Production schedule'!AJ200)*(1-'Responsibilities'!$C$8)+('Production schedule'!AI128)*'Responsibilities'!$D$6+('Production schedule'!AI164)*'Responsibilities'!$D$7+('Production schedule'!AI200)*'Responsibilities'!$D$8+('Production schedule'!AI128)*(1-'Responsibilities'!$D$6)+('Production schedule'!AI164)*(1-'Responsibilities'!$D$7)+('Production schedule'!AI200)*(1-'Responsibilities'!$D$8)+('Production schedule'!E128*(IF('Sites'!D6="Annual staff",SUM('Assumptions'!R112,'Assumptions'!R114),0)+SUM('Assumptions'!R113,'Assumptions'!R115:R116)))*'Responsibilities'!$E$6+('Production schedule'!E164*(IF('Sites'!D7="Annual staff",SUM('Assumptions'!R117,'Assumptions'!R119),0)+SUM('Assumptions'!R118,'Assumptions'!R120:R121)))*'Responsibilities'!$E$7+('Production schedule'!E200*(IF('Sites'!D8="Annual staff",SUM('Assumptions'!R122,'Assumptions'!R124),0)+SUM('Assumptions'!R123,'Assumptions'!R125:R126)))*'Responsibilities'!$E$8+('Production schedule'!E128*(IF('Sites'!D6="Annual staff",SUM('Assumptions'!R112,'Assumptions'!R114),0)+SUM('Assumptions'!R113,'Assumptions'!R115:R116)))*(1-'Responsibilities'!$E$6)+('Production schedule'!E164*(IF('Sites'!D7="Annual staff",SUM('Assumptions'!R117,'Assumptions'!R119),0)+SUM('Assumptions'!R118,'Assumptions'!R120:R121)))*(1-'Responsibilities'!$E$7)+('Production schedule'!E200*(IF('Sites'!D8="Annual staff",SUM('Assumptions'!R122,'Assumptions'!R124),0)+SUM('Assumptions'!R123,'Assumptions'!R125:R126)))*(1-'Responsibilities'!$E$8)+(IF(AND('Production schedule'!E128=1,15=MAX(('Sites'!F6),13),ISNUMBER('Sites'!P6)),'Sites'!P6*'Assumptions'!$B$44,0))*'Responsibilities'!$F$6+(IF(AND('Production schedule'!E164=1,15=MAX(('Sites'!F7+'Cases'!G7),13),ISNUMBER('Sites'!P7)),'Sites'!P7*'Assumptions'!$B$44,0))*'Responsibilities'!$F$7+(IF(AND('Production schedule'!E200=1,15=MAX(('Sites'!F8+'Cases'!G7),13),ISNUMBER('Sites'!P8)),'Sites'!P8*'Assumptions'!$B$44,0))*'Responsibilities'!$F$8+(IF(AND('Production schedule'!E128=1,15=MAX(('Sites'!F6),13),ISNUMBER('Sites'!P6)),'Sites'!P6*'Assumptions'!$B$44,0))*(1-'Responsibilities'!$F$6)+(IF(AND('Production schedule'!E164=1,15=MAX(('Sites'!F7+'Cases'!G7),13),ISNUMBER('Sites'!P7)),'Sites'!P7*'Assumptions'!$B$44,0))*(1-'Responsibilities'!$F$7)+(IF(AND('Production schedule'!E200=1,15=MAX(('Sites'!F8+'Cases'!G7),13),ISNUMBER('Sites'!P8)),'Sites'!P8*'Assumptions'!$B$44,0))*(1-'Responsibilities'!$F$8)+('Sites'!E6*'Capital'!E6*(IF(15='Capital'!G6,'Capital'!F6,0)+IF(15='Capital'!H6,1-'Capital'!F6,0)))*'Responsibilities'!$G$6+('Sites'!E7*'Capital'!E7*(IF(15='Capital'!G7+'Cases'!G7,'Capital'!F7,0)+IF(15='Capital'!H7+'Cases'!G7,1-'Capital'!F7,0)))*'Responsibilities'!$G$7+('Sites'!E8*'Cases'!F7*'Capital'!E8*(IF(15='Capital'!G8+'Cases'!G7,'Capital'!F8,0)+IF(15='Capital'!H8+'Cases'!G7,1-'Capital'!F8,0)))*'Responsibilities'!$G$8+('Sites'!E6*'Capital'!E6*(IF(15='Capital'!G6,'Capital'!F6,0)+IF(15='Capital'!H6,1-'Capital'!F6,0)))*(1-'Responsibilities'!$G$6)+('Sites'!E7*'Capital'!E7*(IF(15='Capital'!G7+'Cases'!G7,'Capital'!F7,0)+IF(15='Capital'!H7+'Cases'!G7,1-'Capital'!F7,0)))*(1-'Responsibilities'!$G$7)+('Sites'!E8*'Cases'!F7*'Capital'!E8*(IF(15='Capital'!G8+'Cases'!G7,'Capital'!F8,0)+IF(15='Capital'!H8+'Cases'!G7,1-'Capital'!F8,0)))*(1-'Responsibilities'!$G$8)+I56+SUMPRODUCT('Costs'!$E$36:$E$40,'Costs'!$F$36:$F$40)/12+BZ56)</f>
        <v/>
      </c>
      <c r="BZ56">
        <f>SUMIFS('Responsibilities'!$B$31:$B$35,'Responsibilities'!$C$31:$C$35,15,'Responsibilities'!$D$31:$D$35,"Yes")</f>
        <v/>
      </c>
    </row>
    <row r="57" ht="28" customHeight="1">
      <c r="A57" s="4" t="inlineStr">
        <is>
          <t>Smaller</t>
        </is>
      </c>
      <c r="B57" s="4" t="n">
        <v>16</v>
      </c>
      <c r="C57" s="4">
        <f>ROUNDUP(B57/12,0)</f>
        <v/>
      </c>
      <c r="D57" s="137">
        <f>SUMIFS('Production schedule'!$N$114:$N$221,'Production schedule'!$C$114:$C$221,16)</f>
        <v/>
      </c>
      <c r="E57" s="137">
        <f>SUMIFS('Production schedule'!$Y$114:$Y$221,'Production schedule'!$C$114:$C$221,16)</f>
        <v/>
      </c>
      <c r="F57" s="137">
        <f>SUMIFS('Production schedule'!$Z$114:$Z$221,'Production schedule'!$C$114:$C$221,16)</f>
        <v/>
      </c>
      <c r="G57" s="137">
        <f>('Production schedule'!AJ129)*'Responsibilities'!$C$6+('Production schedule'!AJ165)*'Responsibilities'!$C$7+('Production schedule'!AJ201)*'Responsibilities'!$C$8</f>
        <v/>
      </c>
      <c r="H57" s="137">
        <f>('Production schedule'!AI129)*'Responsibilities'!$D$6+('Production schedule'!AI165)*'Responsibilities'!$D$7+('Production schedule'!AI201)*'Responsibilities'!$D$8</f>
        <v/>
      </c>
      <c r="I57" s="137">
        <f>SUM('Assumptions'!S58:S65)</f>
        <v/>
      </c>
      <c r="J57" s="137">
        <f>('Production schedule'!E129*(IF('Sites'!D6="Annual staff",SUM('Assumptions'!S112,'Assumptions'!S114),0)+SUM('Assumptions'!S113,'Assumptions'!S115:S116)))*'Responsibilities'!$E$6+('Production schedule'!E165*(IF('Sites'!D7="Annual staff",SUM('Assumptions'!S117,'Assumptions'!S119),0)+SUM('Assumptions'!S118,'Assumptions'!S120:S121)))*'Responsibilities'!$E$7+('Production schedule'!E201*(IF('Sites'!D8="Annual staff",SUM('Assumptions'!S122,'Assumptions'!S124),0)+SUM('Assumptions'!S123,'Assumptions'!S125:S126)))*'Responsibilities'!$E$8</f>
        <v/>
      </c>
      <c r="K57" s="137">
        <f>(IF(AND('Production schedule'!E129=1,16=MAX(('Sites'!F6),13),ISNUMBER('Sites'!P6)),'Sites'!P6*'Assumptions'!$B$44,0))*'Responsibilities'!$F$6+(IF(AND('Production schedule'!E165=1,16=MAX(('Sites'!F7+'Cases'!G7),13),ISNUMBER('Sites'!P7)),'Sites'!P7*'Assumptions'!$B$44,0))*'Responsibilities'!$F$7+(IF(AND('Production schedule'!E201=1,16=MAX(('Sites'!F8+'Cases'!G7),13),ISNUMBER('Sites'!P8)),'Sites'!P8*'Assumptions'!$B$44,0))*'Responsibilities'!$F$8</f>
        <v/>
      </c>
      <c r="L57" s="137">
        <f>SUM('Costs'!E36)*'Costs'!F36/12*'Responsibilities'!$C$12+SUM('Costs'!E37)*'Costs'!F37/12*'Responsibilities'!$C$13+SUM('Costs'!E38)*'Costs'!F38/12*'Responsibilities'!$C$14+SUM('Costs'!E39)*'Costs'!F39/12*'Responsibilities'!$C$15+SUM('Costs'!E40)*'Costs'!F40/12*'Responsibilities'!$C$16+BZ57</f>
        <v/>
      </c>
      <c r="M57" s="137">
        <f>('Sites'!E6*'Capital'!E6*(IF(16='Capital'!G6,'Capital'!F6,0)+IF(16='Capital'!H6,1-'Capital'!F6,0)))*'Responsibilities'!$G$6+('Sites'!E7*'Capital'!E7*(IF(16='Capital'!G7+'Cases'!G7,'Capital'!F7,0)+IF(16='Capital'!H7+'Cases'!G7,1-'Capital'!F7,0)))*'Responsibilities'!$G$7+('Sites'!E8*'Cases'!F7*'Capital'!E8*(IF(16='Capital'!G8+'Cases'!G7,'Capital'!F8,0)+IF(16='Capital'!H8+'Cases'!G7,1-'Capital'!F8,0)))*'Responsibilities'!$G$8</f>
        <v/>
      </c>
      <c r="N57" s="137">
        <f>SUM(G57:M57)</f>
        <v/>
      </c>
      <c r="O57" s="137">
        <f>SUMIFS(FundingTranches[Secured amount],FundingTranches[Instrument],"Grant",FundingTranches[Secured month],16)</f>
        <v/>
      </c>
      <c r="P57" s="137">
        <f>SUMIFS(FundingTranches[Smaller possible],FundingTranches[Instrument],"Grant",FundingTranches[Scenario month],16-'Cases'!$D$7)</f>
        <v/>
      </c>
      <c r="Q57" s="137">
        <f>SUMIFS(FundingTranches[Secured amount],FundingTranches[Instrument],"Loan",FundingTranches[Secured month],16)</f>
        <v/>
      </c>
      <c r="R57" s="137">
        <f>SUMIFS(FundingTranches[Smaller possible],FundingTranches[Instrument],"Loan",FundingTranches[Scenario month],16-'Cases'!$D$7)</f>
        <v/>
      </c>
      <c r="S57" s="137">
        <f>IF(16&lt;='Assumptions'!$B$34,0,SUMIFS('Production schedule'!$AL$114:$AL$221,'Production schedule'!$C$114:$C$221,16-'Assumptions'!$B$34))</f>
        <v/>
      </c>
      <c r="T57" s="137">
        <f>'Assumptions'!S70</f>
        <v/>
      </c>
      <c r="U57" s="137">
        <f>'Assumptions'!S78</f>
        <v/>
      </c>
      <c r="V57" s="137">
        <f>SUM(O57:U57)</f>
        <v/>
      </c>
      <c r="W57" s="137">
        <f>AA56</f>
        <v/>
      </c>
      <c r="X57" s="137">
        <f>SUM(Q57:R57)</f>
        <v/>
      </c>
      <c r="Y57" s="137">
        <f>SUM(W57,X57)*'Assumptions'!$B$39/12</f>
        <v/>
      </c>
      <c r="Z57" s="137">
        <f>IF(SUM(W57,X57)&gt;0,MIN(SUM(W57,X57),MAX(0,BP57-Y57)),0)</f>
        <v/>
      </c>
      <c r="AA57" s="137">
        <f>SUM(W57,X57)-Z57</f>
        <v/>
      </c>
      <c r="AB57" s="137">
        <f>SUM(Y57:Z57)</f>
        <v/>
      </c>
      <c r="AC57" s="137">
        <f>'Assumptions'!S72</f>
        <v/>
      </c>
      <c r="AD57" s="137">
        <f>'Assumptions'!S73</f>
        <v/>
      </c>
      <c r="AE57" s="137">
        <f>IF(X57&gt;0,SUM('Assumptions'!$B$42),0)</f>
        <v/>
      </c>
      <c r="AF57" s="137">
        <f>'Assumptions'!S71</f>
        <v/>
      </c>
      <c r="AG57" s="137">
        <f>'Assumptions'!S74</f>
        <v/>
      </c>
      <c r="AH57" s="137">
        <f>'Assumptions'!S75</f>
        <v/>
      </c>
      <c r="AI57" s="137">
        <f>'Assumptions'!S77</f>
        <v/>
      </c>
      <c r="AJ57" s="137">
        <f>V57-N57-SUM(AB57:AI57)</f>
        <v/>
      </c>
      <c r="AK57" s="137">
        <f>SUM(AJ42:AJ57)</f>
        <v/>
      </c>
      <c r="AL57" s="137">
        <f>IF(ISNUMBER('Assumptions'!$B$10),'Assumptions'!$B$10+AK57,"")</f>
        <v/>
      </c>
      <c r="AM57" s="137">
        <f>SUM(O57,Q57,T57)-N57-SUM(AC57:AI57)+IF('Funding'!$N$11=0,AE57,0)-IF('Funding'!$N$11&gt;0,AB57,0)</f>
        <v/>
      </c>
      <c r="AN57" s="137">
        <f>SUM(AM42:AM57)</f>
        <v/>
      </c>
      <c r="AO57" s="137">
        <f>IF(ISNUMBER('Assumptions'!$B$10),'Assumptions'!$B$10+AN57,"")</f>
        <v/>
      </c>
      <c r="AP57" s="137">
        <f>('Production schedule'!AK129)*'Responsibilities'!$C$6+('Production schedule'!AK165)*'Responsibilities'!$C$7+('Production schedule'!AK201)*'Responsibilities'!$C$8</f>
        <v/>
      </c>
      <c r="AQ57" s="137">
        <f>SUMIFS('Production schedule'!$AL$114:$AL$221,'Production schedule'!$C$114:$C$221,16)</f>
        <v/>
      </c>
      <c r="AR57" s="137">
        <f>IF(ISNUMBER('Assumptions'!S76),'Assumptions'!S76,SUM(O57:P57))</f>
        <v/>
      </c>
      <c r="AS57" s="137">
        <f>IF(ISNUMBER('Assumptions'!$B$13),MIN('Assumptions'!$B$13/'Assumptions'!$B$18/12,MAX(0,'Assumptions'!$B$13-(16-1)*'Assumptions'!$B$13/'Assumptions'!$B$18/12)),0)+IF(AND('Sites'!E6=1,16&gt;=('Sites'!F6),16&lt;('Sites'!F6)+'Assumptions'!$B$18*12),'Capital'!E6/'Assumptions'!$B$18/12,0)+IF(AND('Sites'!E7=1,16&gt;=('Sites'!F7+'Cases'!G7),16&lt;('Sites'!F7+'Cases'!G7)+'Assumptions'!$B$18*12),'Capital'!E7/'Assumptions'!$B$18/12,0)+IF(AND('Sites'!E8*'Cases'!F7=1,16&gt;=('Sites'!F8+'Cases'!G7),16&lt;('Sites'!F8+'Cases'!G7)+'Assumptions'!$B$18*12),'Capital'!E8/'Assumptions'!$B$18/12,0)</f>
        <v/>
      </c>
      <c r="AT57" s="137">
        <f>SUM(AQ57,AR57,U57)-AP57-SUM(H57:L57)-AS57-SUM(Y57,AD57,AE57,AH57)</f>
        <v/>
      </c>
      <c r="AU57" s="137">
        <f>IF(ISNUMBER('Assumptions'!$B$19),MAX(0,SUM(AT54:AT57))*'Assumptions'!$B$19-SUM(AU54:AU56),"")</f>
        <v/>
      </c>
      <c r="AV57" s="137">
        <f>IF(ISNUMBER(AU57),AT57-AU57,"")</f>
        <v/>
      </c>
      <c r="AW57" s="137">
        <f>IF(ISNUMBER('Assumptions'!$B$11),'Assumptions'!$B$11+SUM(AQ42:AQ57)-SUM(S42:S57)-SUM(T42:T57),"")</f>
        <v/>
      </c>
      <c r="AX57" s="137">
        <f>IF(ISNUMBER('Assumptions'!$B$12),'Assumptions'!$B$12+SUM(G42:G57)-SUM(AP42:AP57),"")</f>
        <v/>
      </c>
      <c r="AY57" s="137">
        <f>IF(ISNUMBER('Assumptions'!$B$13),'Assumptions'!$B$13+SUM(M42:M57)-SUM(AS42:AS57),"")</f>
        <v/>
      </c>
      <c r="AZ57" s="137">
        <f>IF(ISNUMBER('Assumptions'!$B$14),'Assumptions'!$B$14+-SUM(AF42:AF57),"")</f>
        <v/>
      </c>
      <c r="BA57" s="137">
        <f>IF(ISNUMBER('Assumptions'!$B$15),'Assumptions'!$B$15+SUM(O42:O57)+SUM(P42:P57)-SUM(AR42:AR57),"")</f>
        <v/>
      </c>
      <c r="BB57" s="137">
        <f>IF(ISNUMBER('Assumptions'!$B$16),'Assumptions'!$B$16+-SUM(AC42:AC57),"")</f>
        <v/>
      </c>
      <c r="BC57" s="137">
        <f>IF(AND(ISNUMBER('Assumptions'!$B$21),ISNUMBER('Assumptions'!$B$19)),'Assumptions'!$B$21+SUM(AU42:AU57)-SUM(AG42:AG57),"")</f>
        <v/>
      </c>
      <c r="BD57" s="137">
        <f>IF(ISNUMBER('Assumptions'!$B$20),'Assumptions'!$B$20+-SUM(AI42:AI57),"")</f>
        <v/>
      </c>
      <c r="BE57" s="137">
        <f>IF(AND(ISNUMBER('Assumptions'!$B$17),COUNT(AV42:AV57)=16),'Assumptions'!$B$17+SUM(AV42:AV57),"")</f>
        <v/>
      </c>
      <c r="BF57" s="137">
        <f>IF(COUNT(AL57,AW57:AY57)=4,SUM(AL57,AW57:AY57),"")</f>
        <v/>
      </c>
      <c r="BG57" s="137">
        <f>IF(COUNT(AZ57:BD57)=5,SUM(AZ57:BD57,AA57),"")</f>
        <v/>
      </c>
      <c r="BH57" s="137">
        <f>IF(COUNT(BF57,BG57,BE57)=3,BF57-BG57-BE57,"")</f>
        <v/>
      </c>
      <c r="BI57" s="137">
        <f>SUM(W57,X57)-Z57-AA57</f>
        <v/>
      </c>
      <c r="BJ57" s="137">
        <f>8-COUNT('Assumptions'!S58:S65)+COUNTBLANK('NM Play'!B33:B34)+'Costs'!E44+IF(AND('Sites'!E6=1,('Sites'!F6)&lt;=24,'Sites'!G6&gt;=13),IF(ISNUMBER('Sites'!P6),0,1)+'Capital'!I6+COUNTBLANK('Sites'!R6)+IF('Sites'!D6="NM crew",COUNTBLANK('NM Play'!B25)+1,5-COUNT('Assumptions'!S112:S116)),0)+IF(AND('Sites'!E7=1,('Sites'!F7+'Cases'!G7)&lt;=24,'Sites'!G7&gt;=13),IF(ISNUMBER('Sites'!P7),0,1)+'Capital'!I7+COUNTBLANK('Sites'!R7)+IF('Sites'!D7="NM crew",COUNTBLANK('NM Play'!B25)+1,5-COUNT('Assumptions'!S117:S121)),0)+IF(AND('Sites'!E8*'Cases'!F7=1,('Sites'!F8+'Cases'!G7)&lt;=24,'Sites'!G8&gt;=13),IF(ISNUMBER('Sites'!P8),0,1)+'Capital'!I8+COUNTBLANK('Sites'!R8)+IF('Sites'!D8="NM crew",COUNTBLANK('NM Play'!B25)+1,5-COUNT('Assumptions'!S122:S126)),0)+IF(AND('Cases'!C7&gt;0,NOT(ISNUMBER('Assumptions'!B42))),1,0)+'Responsibilities'!$B$39</f>
        <v/>
      </c>
      <c r="BK57" s="137">
        <f>'Assumptions'!$B$50+'NM Play'!$B$83+'Funding'!$F$20+SUMIFS('Production schedule'!$AN$114:$AN$221,'Production schedule'!$C$114:$C$221,16)+IF(OR('Cases'!E7&lt;0,'Cases'!E7&gt;1,'Cases'!C7&lt;0,'Cases'!D7&lt;0,ABS(SUM('Sites'!S6:S8)-1)&gt;0.0001,MIN('Capital'!F6:F8)&lt;0,MAX('Capital'!F6:F8)&gt;1,MIN(AX57,AZ57,BB57,BA57)&lt;-0.01),1,0)+'Responsibilities'!$B$40</f>
        <v/>
      </c>
      <c r="BL57" s="137">
        <f>SUMIFS('Production schedule'!$T$114:$T$221,'Production schedule'!$C$114:$C$221,16)</f>
        <v/>
      </c>
      <c r="BM57" s="137">
        <f>D57*'NM Play'!$B$38</f>
        <v/>
      </c>
      <c r="BN57" s="137">
        <f>SUMIFS('Production schedule'!$AM$114:$AM$221,'Production schedule'!$C$114:$C$221,16)</f>
        <v/>
      </c>
      <c r="BO57" s="137">
        <f>AK57-AK56-AJ57</f>
        <v/>
      </c>
      <c r="BP57" s="137">
        <f>IF(AND('Assumptions'!$B$39&gt;=0,'Assumptions'!$B$40&gt;0),-PMT('Assumptions'!$B$39/12,'Assumptions'!$B$40*12,IF('Funding'!$N$11&gt;0,'Funding'!$N$11,'Funding'!$S$11)),"")</f>
        <v/>
      </c>
      <c r="BQ57">
        <f>('Production schedule'!AJ129)*(1-'Responsibilities'!$C$6)+('Production schedule'!AJ165)*(1-'Responsibilities'!$C$7)+('Production schedule'!AJ201)*(1-'Responsibilities'!$C$8)</f>
        <v/>
      </c>
      <c r="BR57">
        <f>('Production schedule'!AI129)*(1-'Responsibilities'!$D$6)+('Production schedule'!AI165)*(1-'Responsibilities'!$D$7)+('Production schedule'!AI201)*(1-'Responsibilities'!$D$8)</f>
        <v/>
      </c>
      <c r="BS57">
        <f>('Production schedule'!E129*(IF('Sites'!D6="Annual staff",SUM('Assumptions'!S112,'Assumptions'!S114),0)+SUM('Assumptions'!S113,'Assumptions'!S115:S116)))*(1-'Responsibilities'!$E$6)+('Production schedule'!E165*(IF('Sites'!D7="Annual staff",SUM('Assumptions'!S117,'Assumptions'!S119),0)+SUM('Assumptions'!S118,'Assumptions'!S120:S121)))*(1-'Responsibilities'!$E$7)+('Production schedule'!E201*(IF('Sites'!D8="Annual staff",SUM('Assumptions'!S122,'Assumptions'!S124),0)+SUM('Assumptions'!S123,'Assumptions'!S125:S126)))*(1-'Responsibilities'!$E$8)</f>
        <v/>
      </c>
      <c r="BT57">
        <f>(IF(AND('Production schedule'!E129=1,16=MAX(('Sites'!F6),13),ISNUMBER('Sites'!P6)),'Sites'!P6*'Assumptions'!$B$44,0))*(1-'Responsibilities'!$F$6)+(IF(AND('Production schedule'!E165=1,16=MAX(('Sites'!F7+'Cases'!G7),13),ISNUMBER('Sites'!P7)),'Sites'!P7*'Assumptions'!$B$44,0))*(1-'Responsibilities'!$F$7)+(IF(AND('Production schedule'!E201=1,16=MAX(('Sites'!F8+'Cases'!G7),13),ISNUMBER('Sites'!P8)),'Sites'!P8*'Assumptions'!$B$44,0))*(1-'Responsibilities'!$F$8)</f>
        <v/>
      </c>
      <c r="BU57">
        <f>SUM('Costs'!E36)*'Costs'!F36/12*(1-'Responsibilities'!$C$12)+SUM('Costs'!E37)*'Costs'!F37/12*(1-'Responsibilities'!$C$13)+SUM('Costs'!E38)*'Costs'!F38/12*(1-'Responsibilities'!$C$14)+SUM('Costs'!E39)*'Costs'!F39/12*(1-'Responsibilities'!$C$15)+SUM('Costs'!E40)*'Costs'!F40/12*(1-'Responsibilities'!$C$16)</f>
        <v/>
      </c>
      <c r="BV57">
        <f>('Sites'!E6*'Capital'!E6*(IF(16='Capital'!G6,'Capital'!F6,0)+IF(16='Capital'!H6,1-'Capital'!F6,0)))*(1-'Responsibilities'!$G$6)+('Sites'!E7*'Capital'!E7*(IF(16='Capital'!G7+'Cases'!G7,'Capital'!F7,0)+IF(16='Capital'!H7+'Cases'!G7,1-'Capital'!F7,0)))*(1-'Responsibilities'!$G$7)+('Sites'!E8*'Cases'!F7*'Capital'!E8*(IF(16='Capital'!G8+'Cases'!G7,'Capital'!F8,0)+IF(16='Capital'!H8+'Cases'!G7,1-'Capital'!F8,0)))*(1-'Responsibilities'!$G$8)</f>
        <v/>
      </c>
      <c r="BW57">
        <f>SUM(BQ57:BV57)</f>
        <v/>
      </c>
      <c r="BX57">
        <f>N57+BW57</f>
        <v/>
      </c>
      <c r="BY57">
        <f>BX57-(('Production schedule'!AJ129)*'Responsibilities'!$C$6+('Production schedule'!AJ165)*'Responsibilities'!$C$7+('Production schedule'!AJ201)*'Responsibilities'!$C$8+('Production schedule'!AJ129)*(1-'Responsibilities'!$C$6)+('Production schedule'!AJ165)*(1-'Responsibilities'!$C$7)+('Production schedule'!AJ201)*(1-'Responsibilities'!$C$8)+('Production schedule'!AI129)*'Responsibilities'!$D$6+('Production schedule'!AI165)*'Responsibilities'!$D$7+('Production schedule'!AI201)*'Responsibilities'!$D$8+('Production schedule'!AI129)*(1-'Responsibilities'!$D$6)+('Production schedule'!AI165)*(1-'Responsibilities'!$D$7)+('Production schedule'!AI201)*(1-'Responsibilities'!$D$8)+('Production schedule'!E129*(IF('Sites'!D6="Annual staff",SUM('Assumptions'!S112,'Assumptions'!S114),0)+SUM('Assumptions'!S113,'Assumptions'!S115:S116)))*'Responsibilities'!$E$6+('Production schedule'!E165*(IF('Sites'!D7="Annual staff",SUM('Assumptions'!S117,'Assumptions'!S119),0)+SUM('Assumptions'!S118,'Assumptions'!S120:S121)))*'Responsibilities'!$E$7+('Production schedule'!E201*(IF('Sites'!D8="Annual staff",SUM('Assumptions'!S122,'Assumptions'!S124),0)+SUM('Assumptions'!S123,'Assumptions'!S125:S126)))*'Responsibilities'!$E$8+('Production schedule'!E129*(IF('Sites'!D6="Annual staff",SUM('Assumptions'!S112,'Assumptions'!S114),0)+SUM('Assumptions'!S113,'Assumptions'!S115:S116)))*(1-'Responsibilities'!$E$6)+('Production schedule'!E165*(IF('Sites'!D7="Annual staff",SUM('Assumptions'!S117,'Assumptions'!S119),0)+SUM('Assumptions'!S118,'Assumptions'!S120:S121)))*(1-'Responsibilities'!$E$7)+('Production schedule'!E201*(IF('Sites'!D8="Annual staff",SUM('Assumptions'!S122,'Assumptions'!S124),0)+SUM('Assumptions'!S123,'Assumptions'!S125:S126)))*(1-'Responsibilities'!$E$8)+(IF(AND('Production schedule'!E129=1,16=MAX(('Sites'!F6),13),ISNUMBER('Sites'!P6)),'Sites'!P6*'Assumptions'!$B$44,0))*'Responsibilities'!$F$6+(IF(AND('Production schedule'!E165=1,16=MAX(('Sites'!F7+'Cases'!G7),13),ISNUMBER('Sites'!P7)),'Sites'!P7*'Assumptions'!$B$44,0))*'Responsibilities'!$F$7+(IF(AND('Production schedule'!E201=1,16=MAX(('Sites'!F8+'Cases'!G7),13),ISNUMBER('Sites'!P8)),'Sites'!P8*'Assumptions'!$B$44,0))*'Responsibilities'!$F$8+(IF(AND('Production schedule'!E129=1,16=MAX(('Sites'!F6),13),ISNUMBER('Sites'!P6)),'Sites'!P6*'Assumptions'!$B$44,0))*(1-'Responsibilities'!$F$6)+(IF(AND('Production schedule'!E165=1,16=MAX(('Sites'!F7+'Cases'!G7),13),ISNUMBER('Sites'!P7)),'Sites'!P7*'Assumptions'!$B$44,0))*(1-'Responsibilities'!$F$7)+(IF(AND('Production schedule'!E201=1,16=MAX(('Sites'!F8+'Cases'!G7),13),ISNUMBER('Sites'!P8)),'Sites'!P8*'Assumptions'!$B$44,0))*(1-'Responsibilities'!$F$8)+('Sites'!E6*'Capital'!E6*(IF(16='Capital'!G6,'Capital'!F6,0)+IF(16='Capital'!H6,1-'Capital'!F6,0)))*'Responsibilities'!$G$6+('Sites'!E7*'Capital'!E7*(IF(16='Capital'!G7+'Cases'!G7,'Capital'!F7,0)+IF(16='Capital'!H7+'Cases'!G7,1-'Capital'!F7,0)))*'Responsibilities'!$G$7+('Sites'!E8*'Cases'!F7*'Capital'!E8*(IF(16='Capital'!G8+'Cases'!G7,'Capital'!F8,0)+IF(16='Capital'!H8+'Cases'!G7,1-'Capital'!F8,0)))*'Responsibilities'!$G$8+('Sites'!E6*'Capital'!E6*(IF(16='Capital'!G6,'Capital'!F6,0)+IF(16='Capital'!H6,1-'Capital'!F6,0)))*(1-'Responsibilities'!$G$6)+('Sites'!E7*'Capital'!E7*(IF(16='Capital'!G7+'Cases'!G7,'Capital'!F7,0)+IF(16='Capital'!H7+'Cases'!G7,1-'Capital'!F7,0)))*(1-'Responsibilities'!$G$7)+('Sites'!E8*'Cases'!F7*'Capital'!E8*(IF(16='Capital'!G8+'Cases'!G7,'Capital'!F8,0)+IF(16='Capital'!H8+'Cases'!G7,1-'Capital'!F8,0)))*(1-'Responsibilities'!$G$8)+I57+SUMPRODUCT('Costs'!$E$36:$E$40,'Costs'!$F$36:$F$40)/12+BZ57)</f>
        <v/>
      </c>
      <c r="BZ57">
        <f>SUMIFS('Responsibilities'!$B$31:$B$35,'Responsibilities'!$C$31:$C$35,16,'Responsibilities'!$D$31:$D$35,"Yes")</f>
        <v/>
      </c>
    </row>
    <row r="58" ht="28" customHeight="1">
      <c r="A58" s="4" t="inlineStr">
        <is>
          <t>Smaller</t>
        </is>
      </c>
      <c r="B58" s="4" t="n">
        <v>17</v>
      </c>
      <c r="C58" s="4">
        <f>ROUNDUP(B58/12,0)</f>
        <v/>
      </c>
      <c r="D58" s="137">
        <f>SUMIFS('Production schedule'!$N$114:$N$221,'Production schedule'!$C$114:$C$221,17)</f>
        <v/>
      </c>
      <c r="E58" s="137">
        <f>SUMIFS('Production schedule'!$Y$114:$Y$221,'Production schedule'!$C$114:$C$221,17)</f>
        <v/>
      </c>
      <c r="F58" s="137">
        <f>SUMIFS('Production schedule'!$Z$114:$Z$221,'Production schedule'!$C$114:$C$221,17)</f>
        <v/>
      </c>
      <c r="G58" s="137">
        <f>('Production schedule'!AJ130)*'Responsibilities'!$C$6+('Production schedule'!AJ166)*'Responsibilities'!$C$7+('Production schedule'!AJ202)*'Responsibilities'!$C$8</f>
        <v/>
      </c>
      <c r="H58" s="137">
        <f>('Production schedule'!AI130)*'Responsibilities'!$D$6+('Production schedule'!AI166)*'Responsibilities'!$D$7+('Production schedule'!AI202)*'Responsibilities'!$D$8</f>
        <v/>
      </c>
      <c r="I58" s="137">
        <f>SUM('Assumptions'!T58:T65)</f>
        <v/>
      </c>
      <c r="J58" s="137">
        <f>('Production schedule'!E130*(IF('Sites'!D6="Annual staff",SUM('Assumptions'!T112,'Assumptions'!T114),0)+SUM('Assumptions'!T113,'Assumptions'!T115:T116)))*'Responsibilities'!$E$6+('Production schedule'!E166*(IF('Sites'!D7="Annual staff",SUM('Assumptions'!T117,'Assumptions'!T119),0)+SUM('Assumptions'!T118,'Assumptions'!T120:T121)))*'Responsibilities'!$E$7+('Production schedule'!E202*(IF('Sites'!D8="Annual staff",SUM('Assumptions'!T122,'Assumptions'!T124),0)+SUM('Assumptions'!T123,'Assumptions'!T125:T126)))*'Responsibilities'!$E$8</f>
        <v/>
      </c>
      <c r="K58" s="137">
        <f>(IF(AND('Production schedule'!E130=1,17=MAX(('Sites'!F6),13),ISNUMBER('Sites'!P6)),'Sites'!P6*'Assumptions'!$B$44,0))*'Responsibilities'!$F$6+(IF(AND('Production schedule'!E166=1,17=MAX(('Sites'!F7+'Cases'!G7),13),ISNUMBER('Sites'!P7)),'Sites'!P7*'Assumptions'!$B$44,0))*'Responsibilities'!$F$7+(IF(AND('Production schedule'!E202=1,17=MAX(('Sites'!F8+'Cases'!G7),13),ISNUMBER('Sites'!P8)),'Sites'!P8*'Assumptions'!$B$44,0))*'Responsibilities'!$F$8</f>
        <v/>
      </c>
      <c r="L58" s="137">
        <f>SUM('Costs'!E36)*'Costs'!F36/12*'Responsibilities'!$C$12+SUM('Costs'!E37)*'Costs'!F37/12*'Responsibilities'!$C$13+SUM('Costs'!E38)*'Costs'!F38/12*'Responsibilities'!$C$14+SUM('Costs'!E39)*'Costs'!F39/12*'Responsibilities'!$C$15+SUM('Costs'!E40)*'Costs'!F40/12*'Responsibilities'!$C$16+BZ58</f>
        <v/>
      </c>
      <c r="M58" s="137">
        <f>('Sites'!E6*'Capital'!E6*(IF(17='Capital'!G6,'Capital'!F6,0)+IF(17='Capital'!H6,1-'Capital'!F6,0)))*'Responsibilities'!$G$6+('Sites'!E7*'Capital'!E7*(IF(17='Capital'!G7+'Cases'!G7,'Capital'!F7,0)+IF(17='Capital'!H7+'Cases'!G7,1-'Capital'!F7,0)))*'Responsibilities'!$G$7+('Sites'!E8*'Cases'!F7*'Capital'!E8*(IF(17='Capital'!G8+'Cases'!G7,'Capital'!F8,0)+IF(17='Capital'!H8+'Cases'!G7,1-'Capital'!F8,0)))*'Responsibilities'!$G$8</f>
        <v/>
      </c>
      <c r="N58" s="137">
        <f>SUM(G58:M58)</f>
        <v/>
      </c>
      <c r="O58" s="137">
        <f>SUMIFS(FundingTranches[Secured amount],FundingTranches[Instrument],"Grant",FundingTranches[Secured month],17)</f>
        <v/>
      </c>
      <c r="P58" s="137">
        <f>SUMIFS(FundingTranches[Smaller possible],FundingTranches[Instrument],"Grant",FundingTranches[Scenario month],17-'Cases'!$D$7)</f>
        <v/>
      </c>
      <c r="Q58" s="137">
        <f>SUMIFS(FundingTranches[Secured amount],FundingTranches[Instrument],"Loan",FundingTranches[Secured month],17)</f>
        <v/>
      </c>
      <c r="R58" s="137">
        <f>SUMIFS(FundingTranches[Smaller possible],FundingTranches[Instrument],"Loan",FundingTranches[Scenario month],17-'Cases'!$D$7)</f>
        <v/>
      </c>
      <c r="S58" s="137">
        <f>IF(17&lt;='Assumptions'!$B$34,0,SUMIFS('Production schedule'!$AL$114:$AL$221,'Production schedule'!$C$114:$C$221,17-'Assumptions'!$B$34))</f>
        <v/>
      </c>
      <c r="T58" s="137">
        <f>'Assumptions'!T70</f>
        <v/>
      </c>
      <c r="U58" s="137">
        <f>'Assumptions'!T78</f>
        <v/>
      </c>
      <c r="V58" s="137">
        <f>SUM(O58:U58)</f>
        <v/>
      </c>
      <c r="W58" s="137">
        <f>AA57</f>
        <v/>
      </c>
      <c r="X58" s="137">
        <f>SUM(Q58:R58)</f>
        <v/>
      </c>
      <c r="Y58" s="137">
        <f>SUM(W58,X58)*'Assumptions'!$B$39/12</f>
        <v/>
      </c>
      <c r="Z58" s="137">
        <f>IF(SUM(W58,X58)&gt;0,MIN(SUM(W58,X58),MAX(0,BP58-Y58)),0)</f>
        <v/>
      </c>
      <c r="AA58" s="137">
        <f>SUM(W58,X58)-Z58</f>
        <v/>
      </c>
      <c r="AB58" s="137">
        <f>SUM(Y58:Z58)</f>
        <v/>
      </c>
      <c r="AC58" s="137">
        <f>'Assumptions'!T72</f>
        <v/>
      </c>
      <c r="AD58" s="137">
        <f>'Assumptions'!T73</f>
        <v/>
      </c>
      <c r="AE58" s="137">
        <f>IF(X58&gt;0,SUM('Assumptions'!$B$42),0)</f>
        <v/>
      </c>
      <c r="AF58" s="137">
        <f>'Assumptions'!T71</f>
        <v/>
      </c>
      <c r="AG58" s="137">
        <f>'Assumptions'!T74</f>
        <v/>
      </c>
      <c r="AH58" s="137">
        <f>'Assumptions'!T75</f>
        <v/>
      </c>
      <c r="AI58" s="137">
        <f>'Assumptions'!T77</f>
        <v/>
      </c>
      <c r="AJ58" s="137">
        <f>V58-N58-SUM(AB58:AI58)</f>
        <v/>
      </c>
      <c r="AK58" s="137">
        <f>SUM(AJ42:AJ58)</f>
        <v/>
      </c>
      <c r="AL58" s="137">
        <f>IF(ISNUMBER('Assumptions'!$B$10),'Assumptions'!$B$10+AK58,"")</f>
        <v/>
      </c>
      <c r="AM58" s="137">
        <f>SUM(O58,Q58,T58)-N58-SUM(AC58:AI58)+IF('Funding'!$N$11=0,AE58,0)-IF('Funding'!$N$11&gt;0,AB58,0)</f>
        <v/>
      </c>
      <c r="AN58" s="137">
        <f>SUM(AM42:AM58)</f>
        <v/>
      </c>
      <c r="AO58" s="137">
        <f>IF(ISNUMBER('Assumptions'!$B$10),'Assumptions'!$B$10+AN58,"")</f>
        <v/>
      </c>
      <c r="AP58" s="137">
        <f>('Production schedule'!AK130)*'Responsibilities'!$C$6+('Production schedule'!AK166)*'Responsibilities'!$C$7+('Production schedule'!AK202)*'Responsibilities'!$C$8</f>
        <v/>
      </c>
      <c r="AQ58" s="137">
        <f>SUMIFS('Production schedule'!$AL$114:$AL$221,'Production schedule'!$C$114:$C$221,17)</f>
        <v/>
      </c>
      <c r="AR58" s="137">
        <f>IF(ISNUMBER('Assumptions'!T76),'Assumptions'!T76,SUM(O58:P58))</f>
        <v/>
      </c>
      <c r="AS58" s="137">
        <f>IF(ISNUMBER('Assumptions'!$B$13),MIN('Assumptions'!$B$13/'Assumptions'!$B$18/12,MAX(0,'Assumptions'!$B$13-(17-1)*'Assumptions'!$B$13/'Assumptions'!$B$18/12)),0)+IF(AND('Sites'!E6=1,17&gt;=('Sites'!F6),17&lt;('Sites'!F6)+'Assumptions'!$B$18*12),'Capital'!E6/'Assumptions'!$B$18/12,0)+IF(AND('Sites'!E7=1,17&gt;=('Sites'!F7+'Cases'!G7),17&lt;('Sites'!F7+'Cases'!G7)+'Assumptions'!$B$18*12),'Capital'!E7/'Assumptions'!$B$18/12,0)+IF(AND('Sites'!E8*'Cases'!F7=1,17&gt;=('Sites'!F8+'Cases'!G7),17&lt;('Sites'!F8+'Cases'!G7)+'Assumptions'!$B$18*12),'Capital'!E8/'Assumptions'!$B$18/12,0)</f>
        <v/>
      </c>
      <c r="AT58" s="137">
        <f>SUM(AQ58,AR58,U58)-AP58-SUM(H58:L58)-AS58-SUM(Y58,AD58,AE58,AH58)</f>
        <v/>
      </c>
      <c r="AU58" s="137">
        <f>IF(ISNUMBER('Assumptions'!$B$19),MAX(0,SUM(AT54:AT58))*'Assumptions'!$B$19-SUM(AU54:AU57),"")</f>
        <v/>
      </c>
      <c r="AV58" s="137">
        <f>IF(ISNUMBER(AU58),AT58-AU58,"")</f>
        <v/>
      </c>
      <c r="AW58" s="137">
        <f>IF(ISNUMBER('Assumptions'!$B$11),'Assumptions'!$B$11+SUM(AQ42:AQ58)-SUM(S42:S58)-SUM(T42:T58),"")</f>
        <v/>
      </c>
      <c r="AX58" s="137">
        <f>IF(ISNUMBER('Assumptions'!$B$12),'Assumptions'!$B$12+SUM(G42:G58)-SUM(AP42:AP58),"")</f>
        <v/>
      </c>
      <c r="AY58" s="137">
        <f>IF(ISNUMBER('Assumptions'!$B$13),'Assumptions'!$B$13+SUM(M42:M58)-SUM(AS42:AS58),"")</f>
        <v/>
      </c>
      <c r="AZ58" s="137">
        <f>IF(ISNUMBER('Assumptions'!$B$14),'Assumptions'!$B$14+-SUM(AF42:AF58),"")</f>
        <v/>
      </c>
      <c r="BA58" s="137">
        <f>IF(ISNUMBER('Assumptions'!$B$15),'Assumptions'!$B$15+SUM(O42:O58)+SUM(P42:P58)-SUM(AR42:AR58),"")</f>
        <v/>
      </c>
      <c r="BB58" s="137">
        <f>IF(ISNUMBER('Assumptions'!$B$16),'Assumptions'!$B$16+-SUM(AC42:AC58),"")</f>
        <v/>
      </c>
      <c r="BC58" s="137">
        <f>IF(AND(ISNUMBER('Assumptions'!$B$21),ISNUMBER('Assumptions'!$B$19)),'Assumptions'!$B$21+SUM(AU42:AU58)-SUM(AG42:AG58),"")</f>
        <v/>
      </c>
      <c r="BD58" s="137">
        <f>IF(ISNUMBER('Assumptions'!$B$20),'Assumptions'!$B$20+-SUM(AI42:AI58),"")</f>
        <v/>
      </c>
      <c r="BE58" s="137">
        <f>IF(AND(ISNUMBER('Assumptions'!$B$17),COUNT(AV42:AV58)=17),'Assumptions'!$B$17+SUM(AV42:AV58),"")</f>
        <v/>
      </c>
      <c r="BF58" s="137">
        <f>IF(COUNT(AL58,AW58:AY58)=4,SUM(AL58,AW58:AY58),"")</f>
        <v/>
      </c>
      <c r="BG58" s="137">
        <f>IF(COUNT(AZ58:BD58)=5,SUM(AZ58:BD58,AA58),"")</f>
        <v/>
      </c>
      <c r="BH58" s="137">
        <f>IF(COUNT(BF58,BG58,BE58)=3,BF58-BG58-BE58,"")</f>
        <v/>
      </c>
      <c r="BI58" s="137">
        <f>SUM(W58,X58)-Z58-AA58</f>
        <v/>
      </c>
      <c r="BJ58" s="137">
        <f>8-COUNT('Assumptions'!T58:T65)+COUNTBLANK('NM Play'!B33:B34)+'Costs'!E44+IF(AND('Sites'!E6=1,('Sites'!F6)&lt;=24,'Sites'!G6&gt;=13),IF(ISNUMBER('Sites'!P6),0,1)+'Capital'!I6+COUNTBLANK('Sites'!R6)+IF('Sites'!D6="NM crew",COUNTBLANK('NM Play'!B25)+1,5-COUNT('Assumptions'!T112:T116)),0)+IF(AND('Sites'!E7=1,('Sites'!F7+'Cases'!G7)&lt;=24,'Sites'!G7&gt;=13),IF(ISNUMBER('Sites'!P7),0,1)+'Capital'!I7+COUNTBLANK('Sites'!R7)+IF('Sites'!D7="NM crew",COUNTBLANK('NM Play'!B25)+1,5-COUNT('Assumptions'!T117:T121)),0)+IF(AND('Sites'!E8*'Cases'!F7=1,('Sites'!F8+'Cases'!G7)&lt;=24,'Sites'!G8&gt;=13),IF(ISNUMBER('Sites'!P8),0,1)+'Capital'!I8+COUNTBLANK('Sites'!R8)+IF('Sites'!D8="NM crew",COUNTBLANK('NM Play'!B25)+1,5-COUNT('Assumptions'!T122:T126)),0)+IF(AND('Cases'!C7&gt;0,NOT(ISNUMBER('Assumptions'!B42))),1,0)+'Responsibilities'!$B$39</f>
        <v/>
      </c>
      <c r="BK58" s="137">
        <f>'Assumptions'!$B$50+'NM Play'!$B$83+'Funding'!$F$20+SUMIFS('Production schedule'!$AN$114:$AN$221,'Production schedule'!$C$114:$C$221,17)+IF(OR('Cases'!E7&lt;0,'Cases'!E7&gt;1,'Cases'!C7&lt;0,'Cases'!D7&lt;0,ABS(SUM('Sites'!S6:S8)-1)&gt;0.0001,MIN('Capital'!F6:F8)&lt;0,MAX('Capital'!F6:F8)&gt;1,MIN(AX58,AZ58,BB58,BA58)&lt;-0.01),1,0)+'Responsibilities'!$B$40</f>
        <v/>
      </c>
      <c r="BL58" s="137">
        <f>SUMIFS('Production schedule'!$T$114:$T$221,'Production schedule'!$C$114:$C$221,17)</f>
        <v/>
      </c>
      <c r="BM58" s="137">
        <f>D58*'NM Play'!$B$38</f>
        <v/>
      </c>
      <c r="BN58" s="137">
        <f>SUMIFS('Production schedule'!$AM$114:$AM$221,'Production schedule'!$C$114:$C$221,17)</f>
        <v/>
      </c>
      <c r="BO58" s="137">
        <f>AK58-AK57-AJ58</f>
        <v/>
      </c>
      <c r="BP58" s="137">
        <f>IF(AND('Assumptions'!$B$39&gt;=0,'Assumptions'!$B$40&gt;0),-PMT('Assumptions'!$B$39/12,'Assumptions'!$B$40*12,IF('Funding'!$N$11&gt;0,'Funding'!$N$11,'Funding'!$S$11)),"")</f>
        <v/>
      </c>
      <c r="BQ58">
        <f>('Production schedule'!AJ130)*(1-'Responsibilities'!$C$6)+('Production schedule'!AJ166)*(1-'Responsibilities'!$C$7)+('Production schedule'!AJ202)*(1-'Responsibilities'!$C$8)</f>
        <v/>
      </c>
      <c r="BR58">
        <f>('Production schedule'!AI130)*(1-'Responsibilities'!$D$6)+('Production schedule'!AI166)*(1-'Responsibilities'!$D$7)+('Production schedule'!AI202)*(1-'Responsibilities'!$D$8)</f>
        <v/>
      </c>
      <c r="BS58">
        <f>('Production schedule'!E130*(IF('Sites'!D6="Annual staff",SUM('Assumptions'!T112,'Assumptions'!T114),0)+SUM('Assumptions'!T113,'Assumptions'!T115:T116)))*(1-'Responsibilities'!$E$6)+('Production schedule'!E166*(IF('Sites'!D7="Annual staff",SUM('Assumptions'!T117,'Assumptions'!T119),0)+SUM('Assumptions'!T118,'Assumptions'!T120:T121)))*(1-'Responsibilities'!$E$7)+('Production schedule'!E202*(IF('Sites'!D8="Annual staff",SUM('Assumptions'!T122,'Assumptions'!T124),0)+SUM('Assumptions'!T123,'Assumptions'!T125:T126)))*(1-'Responsibilities'!$E$8)</f>
        <v/>
      </c>
      <c r="BT58">
        <f>(IF(AND('Production schedule'!E130=1,17=MAX(('Sites'!F6),13),ISNUMBER('Sites'!P6)),'Sites'!P6*'Assumptions'!$B$44,0))*(1-'Responsibilities'!$F$6)+(IF(AND('Production schedule'!E166=1,17=MAX(('Sites'!F7+'Cases'!G7),13),ISNUMBER('Sites'!P7)),'Sites'!P7*'Assumptions'!$B$44,0))*(1-'Responsibilities'!$F$7)+(IF(AND('Production schedule'!E202=1,17=MAX(('Sites'!F8+'Cases'!G7),13),ISNUMBER('Sites'!P8)),'Sites'!P8*'Assumptions'!$B$44,0))*(1-'Responsibilities'!$F$8)</f>
        <v/>
      </c>
      <c r="BU58">
        <f>SUM('Costs'!E36)*'Costs'!F36/12*(1-'Responsibilities'!$C$12)+SUM('Costs'!E37)*'Costs'!F37/12*(1-'Responsibilities'!$C$13)+SUM('Costs'!E38)*'Costs'!F38/12*(1-'Responsibilities'!$C$14)+SUM('Costs'!E39)*'Costs'!F39/12*(1-'Responsibilities'!$C$15)+SUM('Costs'!E40)*'Costs'!F40/12*(1-'Responsibilities'!$C$16)</f>
        <v/>
      </c>
      <c r="BV58">
        <f>('Sites'!E6*'Capital'!E6*(IF(17='Capital'!G6,'Capital'!F6,0)+IF(17='Capital'!H6,1-'Capital'!F6,0)))*(1-'Responsibilities'!$G$6)+('Sites'!E7*'Capital'!E7*(IF(17='Capital'!G7+'Cases'!G7,'Capital'!F7,0)+IF(17='Capital'!H7+'Cases'!G7,1-'Capital'!F7,0)))*(1-'Responsibilities'!$G$7)+('Sites'!E8*'Cases'!F7*'Capital'!E8*(IF(17='Capital'!G8+'Cases'!G7,'Capital'!F8,0)+IF(17='Capital'!H8+'Cases'!G7,1-'Capital'!F8,0)))*(1-'Responsibilities'!$G$8)</f>
        <v/>
      </c>
      <c r="BW58">
        <f>SUM(BQ58:BV58)</f>
        <v/>
      </c>
      <c r="BX58">
        <f>N58+BW58</f>
        <v/>
      </c>
      <c r="BY58">
        <f>BX58-(('Production schedule'!AJ130)*'Responsibilities'!$C$6+('Production schedule'!AJ166)*'Responsibilities'!$C$7+('Production schedule'!AJ202)*'Responsibilities'!$C$8+('Production schedule'!AJ130)*(1-'Responsibilities'!$C$6)+('Production schedule'!AJ166)*(1-'Responsibilities'!$C$7)+('Production schedule'!AJ202)*(1-'Responsibilities'!$C$8)+('Production schedule'!AI130)*'Responsibilities'!$D$6+('Production schedule'!AI166)*'Responsibilities'!$D$7+('Production schedule'!AI202)*'Responsibilities'!$D$8+('Production schedule'!AI130)*(1-'Responsibilities'!$D$6)+('Production schedule'!AI166)*(1-'Responsibilities'!$D$7)+('Production schedule'!AI202)*(1-'Responsibilities'!$D$8)+('Production schedule'!E130*(IF('Sites'!D6="Annual staff",SUM('Assumptions'!T112,'Assumptions'!T114),0)+SUM('Assumptions'!T113,'Assumptions'!T115:T116)))*'Responsibilities'!$E$6+('Production schedule'!E166*(IF('Sites'!D7="Annual staff",SUM('Assumptions'!T117,'Assumptions'!T119),0)+SUM('Assumptions'!T118,'Assumptions'!T120:T121)))*'Responsibilities'!$E$7+('Production schedule'!E202*(IF('Sites'!D8="Annual staff",SUM('Assumptions'!T122,'Assumptions'!T124),0)+SUM('Assumptions'!T123,'Assumptions'!T125:T126)))*'Responsibilities'!$E$8+('Production schedule'!E130*(IF('Sites'!D6="Annual staff",SUM('Assumptions'!T112,'Assumptions'!T114),0)+SUM('Assumptions'!T113,'Assumptions'!T115:T116)))*(1-'Responsibilities'!$E$6)+('Production schedule'!E166*(IF('Sites'!D7="Annual staff",SUM('Assumptions'!T117,'Assumptions'!T119),0)+SUM('Assumptions'!T118,'Assumptions'!T120:T121)))*(1-'Responsibilities'!$E$7)+('Production schedule'!E202*(IF('Sites'!D8="Annual staff",SUM('Assumptions'!T122,'Assumptions'!T124),0)+SUM('Assumptions'!T123,'Assumptions'!T125:T126)))*(1-'Responsibilities'!$E$8)+(IF(AND('Production schedule'!E130=1,17=MAX(('Sites'!F6),13),ISNUMBER('Sites'!P6)),'Sites'!P6*'Assumptions'!$B$44,0))*'Responsibilities'!$F$6+(IF(AND('Production schedule'!E166=1,17=MAX(('Sites'!F7+'Cases'!G7),13),ISNUMBER('Sites'!P7)),'Sites'!P7*'Assumptions'!$B$44,0))*'Responsibilities'!$F$7+(IF(AND('Production schedule'!E202=1,17=MAX(('Sites'!F8+'Cases'!G7),13),ISNUMBER('Sites'!P8)),'Sites'!P8*'Assumptions'!$B$44,0))*'Responsibilities'!$F$8+(IF(AND('Production schedule'!E130=1,17=MAX(('Sites'!F6),13),ISNUMBER('Sites'!P6)),'Sites'!P6*'Assumptions'!$B$44,0))*(1-'Responsibilities'!$F$6)+(IF(AND('Production schedule'!E166=1,17=MAX(('Sites'!F7+'Cases'!G7),13),ISNUMBER('Sites'!P7)),'Sites'!P7*'Assumptions'!$B$44,0))*(1-'Responsibilities'!$F$7)+(IF(AND('Production schedule'!E202=1,17=MAX(('Sites'!F8+'Cases'!G7),13),ISNUMBER('Sites'!P8)),'Sites'!P8*'Assumptions'!$B$44,0))*(1-'Responsibilities'!$F$8)+('Sites'!E6*'Capital'!E6*(IF(17='Capital'!G6,'Capital'!F6,0)+IF(17='Capital'!H6,1-'Capital'!F6,0)))*'Responsibilities'!$G$6+('Sites'!E7*'Capital'!E7*(IF(17='Capital'!G7+'Cases'!G7,'Capital'!F7,0)+IF(17='Capital'!H7+'Cases'!G7,1-'Capital'!F7,0)))*'Responsibilities'!$G$7+('Sites'!E8*'Cases'!F7*'Capital'!E8*(IF(17='Capital'!G8+'Cases'!G7,'Capital'!F8,0)+IF(17='Capital'!H8+'Cases'!G7,1-'Capital'!F8,0)))*'Responsibilities'!$G$8+('Sites'!E6*'Capital'!E6*(IF(17='Capital'!G6,'Capital'!F6,0)+IF(17='Capital'!H6,1-'Capital'!F6,0)))*(1-'Responsibilities'!$G$6)+('Sites'!E7*'Capital'!E7*(IF(17='Capital'!G7+'Cases'!G7,'Capital'!F7,0)+IF(17='Capital'!H7+'Cases'!G7,1-'Capital'!F7,0)))*(1-'Responsibilities'!$G$7)+('Sites'!E8*'Cases'!F7*'Capital'!E8*(IF(17='Capital'!G8+'Cases'!G7,'Capital'!F8,0)+IF(17='Capital'!H8+'Cases'!G7,1-'Capital'!F8,0)))*(1-'Responsibilities'!$G$8)+I58+SUMPRODUCT('Costs'!$E$36:$E$40,'Costs'!$F$36:$F$40)/12+BZ58)</f>
        <v/>
      </c>
      <c r="BZ58">
        <f>SUMIFS('Responsibilities'!$B$31:$B$35,'Responsibilities'!$C$31:$C$35,17,'Responsibilities'!$D$31:$D$35,"Yes")</f>
        <v/>
      </c>
    </row>
    <row r="59" ht="28" customHeight="1">
      <c r="A59" s="4" t="inlineStr">
        <is>
          <t>Smaller</t>
        </is>
      </c>
      <c r="B59" s="4" t="n">
        <v>18</v>
      </c>
      <c r="C59" s="4">
        <f>ROUNDUP(B59/12,0)</f>
        <v/>
      </c>
      <c r="D59" s="137">
        <f>SUMIFS('Production schedule'!$N$114:$N$221,'Production schedule'!$C$114:$C$221,18)</f>
        <v/>
      </c>
      <c r="E59" s="137">
        <f>SUMIFS('Production schedule'!$Y$114:$Y$221,'Production schedule'!$C$114:$C$221,18)</f>
        <v/>
      </c>
      <c r="F59" s="137">
        <f>SUMIFS('Production schedule'!$Z$114:$Z$221,'Production schedule'!$C$114:$C$221,18)</f>
        <v/>
      </c>
      <c r="G59" s="137">
        <f>('Production schedule'!AJ131)*'Responsibilities'!$C$6+('Production schedule'!AJ167)*'Responsibilities'!$C$7+('Production schedule'!AJ203)*'Responsibilities'!$C$8</f>
        <v/>
      </c>
      <c r="H59" s="137">
        <f>('Production schedule'!AI131)*'Responsibilities'!$D$6+('Production schedule'!AI167)*'Responsibilities'!$D$7+('Production schedule'!AI203)*'Responsibilities'!$D$8</f>
        <v/>
      </c>
      <c r="I59" s="137">
        <f>SUM('Assumptions'!U58:U65)</f>
        <v/>
      </c>
      <c r="J59" s="137">
        <f>('Production schedule'!E131*(IF('Sites'!D6="Annual staff",SUM('Assumptions'!U112,'Assumptions'!U114),0)+SUM('Assumptions'!U113,'Assumptions'!U115:U116)))*'Responsibilities'!$E$6+('Production schedule'!E167*(IF('Sites'!D7="Annual staff",SUM('Assumptions'!U117,'Assumptions'!U119),0)+SUM('Assumptions'!U118,'Assumptions'!U120:U121)))*'Responsibilities'!$E$7+('Production schedule'!E203*(IF('Sites'!D8="Annual staff",SUM('Assumptions'!U122,'Assumptions'!U124),0)+SUM('Assumptions'!U123,'Assumptions'!U125:U126)))*'Responsibilities'!$E$8</f>
        <v/>
      </c>
      <c r="K59" s="137">
        <f>(IF(AND('Production schedule'!E131=1,18=MAX(('Sites'!F6),13),ISNUMBER('Sites'!P6)),'Sites'!P6*'Assumptions'!$B$44,0))*'Responsibilities'!$F$6+(IF(AND('Production schedule'!E167=1,18=MAX(('Sites'!F7+'Cases'!G7),13),ISNUMBER('Sites'!P7)),'Sites'!P7*'Assumptions'!$B$44,0))*'Responsibilities'!$F$7+(IF(AND('Production schedule'!E203=1,18=MAX(('Sites'!F8+'Cases'!G7),13),ISNUMBER('Sites'!P8)),'Sites'!P8*'Assumptions'!$B$44,0))*'Responsibilities'!$F$8</f>
        <v/>
      </c>
      <c r="L59" s="137">
        <f>SUM('Costs'!E36)*'Costs'!F36/12*'Responsibilities'!$C$12+SUM('Costs'!E37)*'Costs'!F37/12*'Responsibilities'!$C$13+SUM('Costs'!E38)*'Costs'!F38/12*'Responsibilities'!$C$14+SUM('Costs'!E39)*'Costs'!F39/12*'Responsibilities'!$C$15+SUM('Costs'!E40)*'Costs'!F40/12*'Responsibilities'!$C$16+BZ59</f>
        <v/>
      </c>
      <c r="M59" s="137">
        <f>('Sites'!E6*'Capital'!E6*(IF(18='Capital'!G6,'Capital'!F6,0)+IF(18='Capital'!H6,1-'Capital'!F6,0)))*'Responsibilities'!$G$6+('Sites'!E7*'Capital'!E7*(IF(18='Capital'!G7+'Cases'!G7,'Capital'!F7,0)+IF(18='Capital'!H7+'Cases'!G7,1-'Capital'!F7,0)))*'Responsibilities'!$G$7+('Sites'!E8*'Cases'!F7*'Capital'!E8*(IF(18='Capital'!G8+'Cases'!G7,'Capital'!F8,0)+IF(18='Capital'!H8+'Cases'!G7,1-'Capital'!F8,0)))*'Responsibilities'!$G$8</f>
        <v/>
      </c>
      <c r="N59" s="137">
        <f>SUM(G59:M59)</f>
        <v/>
      </c>
      <c r="O59" s="137">
        <f>SUMIFS(FundingTranches[Secured amount],FundingTranches[Instrument],"Grant",FundingTranches[Secured month],18)</f>
        <v/>
      </c>
      <c r="P59" s="137">
        <f>SUMIFS(FundingTranches[Smaller possible],FundingTranches[Instrument],"Grant",FundingTranches[Scenario month],18-'Cases'!$D$7)</f>
        <v/>
      </c>
      <c r="Q59" s="137">
        <f>SUMIFS(FundingTranches[Secured amount],FundingTranches[Instrument],"Loan",FundingTranches[Secured month],18)</f>
        <v/>
      </c>
      <c r="R59" s="137">
        <f>SUMIFS(FundingTranches[Smaller possible],FundingTranches[Instrument],"Loan",FundingTranches[Scenario month],18-'Cases'!$D$7)</f>
        <v/>
      </c>
      <c r="S59" s="137">
        <f>IF(18&lt;='Assumptions'!$B$34,0,SUMIFS('Production schedule'!$AL$114:$AL$221,'Production schedule'!$C$114:$C$221,18-'Assumptions'!$B$34))</f>
        <v/>
      </c>
      <c r="T59" s="137">
        <f>'Assumptions'!U70</f>
        <v/>
      </c>
      <c r="U59" s="137">
        <f>'Assumptions'!U78</f>
        <v/>
      </c>
      <c r="V59" s="137">
        <f>SUM(O59:U59)</f>
        <v/>
      </c>
      <c r="W59" s="137">
        <f>AA58</f>
        <v/>
      </c>
      <c r="X59" s="137">
        <f>SUM(Q59:R59)</f>
        <v/>
      </c>
      <c r="Y59" s="137">
        <f>SUM(W59,X59)*'Assumptions'!$B$39/12</f>
        <v/>
      </c>
      <c r="Z59" s="137">
        <f>IF(SUM(W59,X59)&gt;0,MIN(SUM(W59,X59),MAX(0,BP59-Y59)),0)</f>
        <v/>
      </c>
      <c r="AA59" s="137">
        <f>SUM(W59,X59)-Z59</f>
        <v/>
      </c>
      <c r="AB59" s="137">
        <f>SUM(Y59:Z59)</f>
        <v/>
      </c>
      <c r="AC59" s="137">
        <f>'Assumptions'!U72</f>
        <v/>
      </c>
      <c r="AD59" s="137">
        <f>'Assumptions'!U73</f>
        <v/>
      </c>
      <c r="AE59" s="137">
        <f>IF(X59&gt;0,SUM('Assumptions'!$B$42),0)</f>
        <v/>
      </c>
      <c r="AF59" s="137">
        <f>'Assumptions'!U71</f>
        <v/>
      </c>
      <c r="AG59" s="137">
        <f>'Assumptions'!U74</f>
        <v/>
      </c>
      <c r="AH59" s="137">
        <f>'Assumptions'!U75</f>
        <v/>
      </c>
      <c r="AI59" s="137">
        <f>'Assumptions'!U77</f>
        <v/>
      </c>
      <c r="AJ59" s="137">
        <f>V59-N59-SUM(AB59:AI59)</f>
        <v/>
      </c>
      <c r="AK59" s="137">
        <f>SUM(AJ42:AJ59)</f>
        <v/>
      </c>
      <c r="AL59" s="137">
        <f>IF(ISNUMBER('Assumptions'!$B$10),'Assumptions'!$B$10+AK59,"")</f>
        <v/>
      </c>
      <c r="AM59" s="137">
        <f>SUM(O59,Q59,T59)-N59-SUM(AC59:AI59)+IF('Funding'!$N$11=0,AE59,0)-IF('Funding'!$N$11&gt;0,AB59,0)</f>
        <v/>
      </c>
      <c r="AN59" s="137">
        <f>SUM(AM42:AM59)</f>
        <v/>
      </c>
      <c r="AO59" s="137">
        <f>IF(ISNUMBER('Assumptions'!$B$10),'Assumptions'!$B$10+AN59,"")</f>
        <v/>
      </c>
      <c r="AP59" s="137">
        <f>('Production schedule'!AK131)*'Responsibilities'!$C$6+('Production schedule'!AK167)*'Responsibilities'!$C$7+('Production schedule'!AK203)*'Responsibilities'!$C$8</f>
        <v/>
      </c>
      <c r="AQ59" s="137">
        <f>SUMIFS('Production schedule'!$AL$114:$AL$221,'Production schedule'!$C$114:$C$221,18)</f>
        <v/>
      </c>
      <c r="AR59" s="137">
        <f>IF(ISNUMBER('Assumptions'!U76),'Assumptions'!U76,SUM(O59:P59))</f>
        <v/>
      </c>
      <c r="AS59" s="137">
        <f>IF(ISNUMBER('Assumptions'!$B$13),MIN('Assumptions'!$B$13/'Assumptions'!$B$18/12,MAX(0,'Assumptions'!$B$13-(18-1)*'Assumptions'!$B$13/'Assumptions'!$B$18/12)),0)+IF(AND('Sites'!E6=1,18&gt;=('Sites'!F6),18&lt;('Sites'!F6)+'Assumptions'!$B$18*12),'Capital'!E6/'Assumptions'!$B$18/12,0)+IF(AND('Sites'!E7=1,18&gt;=('Sites'!F7+'Cases'!G7),18&lt;('Sites'!F7+'Cases'!G7)+'Assumptions'!$B$18*12),'Capital'!E7/'Assumptions'!$B$18/12,0)+IF(AND('Sites'!E8*'Cases'!F7=1,18&gt;=('Sites'!F8+'Cases'!G7),18&lt;('Sites'!F8+'Cases'!G7)+'Assumptions'!$B$18*12),'Capital'!E8/'Assumptions'!$B$18/12,0)</f>
        <v/>
      </c>
      <c r="AT59" s="137">
        <f>SUM(AQ59,AR59,U59)-AP59-SUM(H59:L59)-AS59-SUM(Y59,AD59,AE59,AH59)</f>
        <v/>
      </c>
      <c r="AU59" s="137">
        <f>IF(ISNUMBER('Assumptions'!$B$19),MAX(0,SUM(AT54:AT59))*'Assumptions'!$B$19-SUM(AU54:AU58),"")</f>
        <v/>
      </c>
      <c r="AV59" s="137">
        <f>IF(ISNUMBER(AU59),AT59-AU59,"")</f>
        <v/>
      </c>
      <c r="AW59" s="137">
        <f>IF(ISNUMBER('Assumptions'!$B$11),'Assumptions'!$B$11+SUM(AQ42:AQ59)-SUM(S42:S59)-SUM(T42:T59),"")</f>
        <v/>
      </c>
      <c r="AX59" s="137">
        <f>IF(ISNUMBER('Assumptions'!$B$12),'Assumptions'!$B$12+SUM(G42:G59)-SUM(AP42:AP59),"")</f>
        <v/>
      </c>
      <c r="AY59" s="137">
        <f>IF(ISNUMBER('Assumptions'!$B$13),'Assumptions'!$B$13+SUM(M42:M59)-SUM(AS42:AS59),"")</f>
        <v/>
      </c>
      <c r="AZ59" s="137">
        <f>IF(ISNUMBER('Assumptions'!$B$14),'Assumptions'!$B$14+-SUM(AF42:AF59),"")</f>
        <v/>
      </c>
      <c r="BA59" s="137">
        <f>IF(ISNUMBER('Assumptions'!$B$15),'Assumptions'!$B$15+SUM(O42:O59)+SUM(P42:P59)-SUM(AR42:AR59),"")</f>
        <v/>
      </c>
      <c r="BB59" s="137">
        <f>IF(ISNUMBER('Assumptions'!$B$16),'Assumptions'!$B$16+-SUM(AC42:AC59),"")</f>
        <v/>
      </c>
      <c r="BC59" s="137">
        <f>IF(AND(ISNUMBER('Assumptions'!$B$21),ISNUMBER('Assumptions'!$B$19)),'Assumptions'!$B$21+SUM(AU42:AU59)-SUM(AG42:AG59),"")</f>
        <v/>
      </c>
      <c r="BD59" s="137">
        <f>IF(ISNUMBER('Assumptions'!$B$20),'Assumptions'!$B$20+-SUM(AI42:AI59),"")</f>
        <v/>
      </c>
      <c r="BE59" s="137">
        <f>IF(AND(ISNUMBER('Assumptions'!$B$17),COUNT(AV42:AV59)=18),'Assumptions'!$B$17+SUM(AV42:AV59),"")</f>
        <v/>
      </c>
      <c r="BF59" s="137">
        <f>IF(COUNT(AL59,AW59:AY59)=4,SUM(AL59,AW59:AY59),"")</f>
        <v/>
      </c>
      <c r="BG59" s="137">
        <f>IF(COUNT(AZ59:BD59)=5,SUM(AZ59:BD59,AA59),"")</f>
        <v/>
      </c>
      <c r="BH59" s="137">
        <f>IF(COUNT(BF59,BG59,BE59)=3,BF59-BG59-BE59,"")</f>
        <v/>
      </c>
      <c r="BI59" s="137">
        <f>SUM(W59,X59)-Z59-AA59</f>
        <v/>
      </c>
      <c r="BJ59" s="137">
        <f>8-COUNT('Assumptions'!U58:U65)+COUNTBLANK('NM Play'!B33:B34)+'Costs'!E44+IF(AND('Sites'!E6=1,('Sites'!F6)&lt;=24,'Sites'!G6&gt;=13),IF(ISNUMBER('Sites'!P6),0,1)+'Capital'!I6+COUNTBLANK('Sites'!R6)+IF('Sites'!D6="NM crew",COUNTBLANK('NM Play'!B25)+1,5-COUNT('Assumptions'!U112:U116)),0)+IF(AND('Sites'!E7=1,('Sites'!F7+'Cases'!G7)&lt;=24,'Sites'!G7&gt;=13),IF(ISNUMBER('Sites'!P7),0,1)+'Capital'!I7+COUNTBLANK('Sites'!R7)+IF('Sites'!D7="NM crew",COUNTBLANK('NM Play'!B25)+1,5-COUNT('Assumptions'!U117:U121)),0)+IF(AND('Sites'!E8*'Cases'!F7=1,('Sites'!F8+'Cases'!G7)&lt;=24,'Sites'!G8&gt;=13),IF(ISNUMBER('Sites'!P8),0,1)+'Capital'!I8+COUNTBLANK('Sites'!R8)+IF('Sites'!D8="NM crew",COUNTBLANK('NM Play'!B25)+1,5-COUNT('Assumptions'!U122:U126)),0)+IF(AND('Cases'!C7&gt;0,NOT(ISNUMBER('Assumptions'!B42))),1,0)+'Responsibilities'!$B$39</f>
        <v/>
      </c>
      <c r="BK59" s="137">
        <f>'Assumptions'!$B$50+'NM Play'!$B$83+'Funding'!$F$20+SUMIFS('Production schedule'!$AN$114:$AN$221,'Production schedule'!$C$114:$C$221,18)+IF(OR('Cases'!E7&lt;0,'Cases'!E7&gt;1,'Cases'!C7&lt;0,'Cases'!D7&lt;0,ABS(SUM('Sites'!S6:S8)-1)&gt;0.0001,MIN('Capital'!F6:F8)&lt;0,MAX('Capital'!F6:F8)&gt;1,MIN(AX59,AZ59,BB59,BA59)&lt;-0.01),1,0)+'Responsibilities'!$B$40</f>
        <v/>
      </c>
      <c r="BL59" s="137">
        <f>SUMIFS('Production schedule'!$T$114:$T$221,'Production schedule'!$C$114:$C$221,18)</f>
        <v/>
      </c>
      <c r="BM59" s="137">
        <f>D59*'NM Play'!$B$38</f>
        <v/>
      </c>
      <c r="BN59" s="137">
        <f>SUMIFS('Production schedule'!$AM$114:$AM$221,'Production schedule'!$C$114:$C$221,18)</f>
        <v/>
      </c>
      <c r="BO59" s="137">
        <f>AK59-AK58-AJ59</f>
        <v/>
      </c>
      <c r="BP59" s="137">
        <f>IF(AND('Assumptions'!$B$39&gt;=0,'Assumptions'!$B$40&gt;0),-PMT('Assumptions'!$B$39/12,'Assumptions'!$B$40*12,IF('Funding'!$N$11&gt;0,'Funding'!$N$11,'Funding'!$S$11)),"")</f>
        <v/>
      </c>
      <c r="BQ59">
        <f>('Production schedule'!AJ131)*(1-'Responsibilities'!$C$6)+('Production schedule'!AJ167)*(1-'Responsibilities'!$C$7)+('Production schedule'!AJ203)*(1-'Responsibilities'!$C$8)</f>
        <v/>
      </c>
      <c r="BR59">
        <f>('Production schedule'!AI131)*(1-'Responsibilities'!$D$6)+('Production schedule'!AI167)*(1-'Responsibilities'!$D$7)+('Production schedule'!AI203)*(1-'Responsibilities'!$D$8)</f>
        <v/>
      </c>
      <c r="BS59">
        <f>('Production schedule'!E131*(IF('Sites'!D6="Annual staff",SUM('Assumptions'!U112,'Assumptions'!U114),0)+SUM('Assumptions'!U113,'Assumptions'!U115:U116)))*(1-'Responsibilities'!$E$6)+('Production schedule'!E167*(IF('Sites'!D7="Annual staff",SUM('Assumptions'!U117,'Assumptions'!U119),0)+SUM('Assumptions'!U118,'Assumptions'!U120:U121)))*(1-'Responsibilities'!$E$7)+('Production schedule'!E203*(IF('Sites'!D8="Annual staff",SUM('Assumptions'!U122,'Assumptions'!U124),0)+SUM('Assumptions'!U123,'Assumptions'!U125:U126)))*(1-'Responsibilities'!$E$8)</f>
        <v/>
      </c>
      <c r="BT59">
        <f>(IF(AND('Production schedule'!E131=1,18=MAX(('Sites'!F6),13),ISNUMBER('Sites'!P6)),'Sites'!P6*'Assumptions'!$B$44,0))*(1-'Responsibilities'!$F$6)+(IF(AND('Production schedule'!E167=1,18=MAX(('Sites'!F7+'Cases'!G7),13),ISNUMBER('Sites'!P7)),'Sites'!P7*'Assumptions'!$B$44,0))*(1-'Responsibilities'!$F$7)+(IF(AND('Production schedule'!E203=1,18=MAX(('Sites'!F8+'Cases'!G7),13),ISNUMBER('Sites'!P8)),'Sites'!P8*'Assumptions'!$B$44,0))*(1-'Responsibilities'!$F$8)</f>
        <v/>
      </c>
      <c r="BU59">
        <f>SUM('Costs'!E36)*'Costs'!F36/12*(1-'Responsibilities'!$C$12)+SUM('Costs'!E37)*'Costs'!F37/12*(1-'Responsibilities'!$C$13)+SUM('Costs'!E38)*'Costs'!F38/12*(1-'Responsibilities'!$C$14)+SUM('Costs'!E39)*'Costs'!F39/12*(1-'Responsibilities'!$C$15)+SUM('Costs'!E40)*'Costs'!F40/12*(1-'Responsibilities'!$C$16)</f>
        <v/>
      </c>
      <c r="BV59">
        <f>('Sites'!E6*'Capital'!E6*(IF(18='Capital'!G6,'Capital'!F6,0)+IF(18='Capital'!H6,1-'Capital'!F6,0)))*(1-'Responsibilities'!$G$6)+('Sites'!E7*'Capital'!E7*(IF(18='Capital'!G7+'Cases'!G7,'Capital'!F7,0)+IF(18='Capital'!H7+'Cases'!G7,1-'Capital'!F7,0)))*(1-'Responsibilities'!$G$7)+('Sites'!E8*'Cases'!F7*'Capital'!E8*(IF(18='Capital'!G8+'Cases'!G7,'Capital'!F8,0)+IF(18='Capital'!H8+'Cases'!G7,1-'Capital'!F8,0)))*(1-'Responsibilities'!$G$8)</f>
        <v/>
      </c>
      <c r="BW59">
        <f>SUM(BQ59:BV59)</f>
        <v/>
      </c>
      <c r="BX59">
        <f>N59+BW59</f>
        <v/>
      </c>
      <c r="BY59">
        <f>BX59-(('Production schedule'!AJ131)*'Responsibilities'!$C$6+('Production schedule'!AJ167)*'Responsibilities'!$C$7+('Production schedule'!AJ203)*'Responsibilities'!$C$8+('Production schedule'!AJ131)*(1-'Responsibilities'!$C$6)+('Production schedule'!AJ167)*(1-'Responsibilities'!$C$7)+('Production schedule'!AJ203)*(1-'Responsibilities'!$C$8)+('Production schedule'!AI131)*'Responsibilities'!$D$6+('Production schedule'!AI167)*'Responsibilities'!$D$7+('Production schedule'!AI203)*'Responsibilities'!$D$8+('Production schedule'!AI131)*(1-'Responsibilities'!$D$6)+('Production schedule'!AI167)*(1-'Responsibilities'!$D$7)+('Production schedule'!AI203)*(1-'Responsibilities'!$D$8)+('Production schedule'!E131*(IF('Sites'!D6="Annual staff",SUM('Assumptions'!U112,'Assumptions'!U114),0)+SUM('Assumptions'!U113,'Assumptions'!U115:U116)))*'Responsibilities'!$E$6+('Production schedule'!E167*(IF('Sites'!D7="Annual staff",SUM('Assumptions'!U117,'Assumptions'!U119),0)+SUM('Assumptions'!U118,'Assumptions'!U120:U121)))*'Responsibilities'!$E$7+('Production schedule'!E203*(IF('Sites'!D8="Annual staff",SUM('Assumptions'!U122,'Assumptions'!U124),0)+SUM('Assumptions'!U123,'Assumptions'!U125:U126)))*'Responsibilities'!$E$8+('Production schedule'!E131*(IF('Sites'!D6="Annual staff",SUM('Assumptions'!U112,'Assumptions'!U114),0)+SUM('Assumptions'!U113,'Assumptions'!U115:U116)))*(1-'Responsibilities'!$E$6)+('Production schedule'!E167*(IF('Sites'!D7="Annual staff",SUM('Assumptions'!U117,'Assumptions'!U119),0)+SUM('Assumptions'!U118,'Assumptions'!U120:U121)))*(1-'Responsibilities'!$E$7)+('Production schedule'!E203*(IF('Sites'!D8="Annual staff",SUM('Assumptions'!U122,'Assumptions'!U124),0)+SUM('Assumptions'!U123,'Assumptions'!U125:U126)))*(1-'Responsibilities'!$E$8)+(IF(AND('Production schedule'!E131=1,18=MAX(('Sites'!F6),13),ISNUMBER('Sites'!P6)),'Sites'!P6*'Assumptions'!$B$44,0))*'Responsibilities'!$F$6+(IF(AND('Production schedule'!E167=1,18=MAX(('Sites'!F7+'Cases'!G7),13),ISNUMBER('Sites'!P7)),'Sites'!P7*'Assumptions'!$B$44,0))*'Responsibilities'!$F$7+(IF(AND('Production schedule'!E203=1,18=MAX(('Sites'!F8+'Cases'!G7),13),ISNUMBER('Sites'!P8)),'Sites'!P8*'Assumptions'!$B$44,0))*'Responsibilities'!$F$8+(IF(AND('Production schedule'!E131=1,18=MAX(('Sites'!F6),13),ISNUMBER('Sites'!P6)),'Sites'!P6*'Assumptions'!$B$44,0))*(1-'Responsibilities'!$F$6)+(IF(AND('Production schedule'!E167=1,18=MAX(('Sites'!F7+'Cases'!G7),13),ISNUMBER('Sites'!P7)),'Sites'!P7*'Assumptions'!$B$44,0))*(1-'Responsibilities'!$F$7)+(IF(AND('Production schedule'!E203=1,18=MAX(('Sites'!F8+'Cases'!G7),13),ISNUMBER('Sites'!P8)),'Sites'!P8*'Assumptions'!$B$44,0))*(1-'Responsibilities'!$F$8)+('Sites'!E6*'Capital'!E6*(IF(18='Capital'!G6,'Capital'!F6,0)+IF(18='Capital'!H6,1-'Capital'!F6,0)))*'Responsibilities'!$G$6+('Sites'!E7*'Capital'!E7*(IF(18='Capital'!G7+'Cases'!G7,'Capital'!F7,0)+IF(18='Capital'!H7+'Cases'!G7,1-'Capital'!F7,0)))*'Responsibilities'!$G$7+('Sites'!E8*'Cases'!F7*'Capital'!E8*(IF(18='Capital'!G8+'Cases'!G7,'Capital'!F8,0)+IF(18='Capital'!H8+'Cases'!G7,1-'Capital'!F8,0)))*'Responsibilities'!$G$8+('Sites'!E6*'Capital'!E6*(IF(18='Capital'!G6,'Capital'!F6,0)+IF(18='Capital'!H6,1-'Capital'!F6,0)))*(1-'Responsibilities'!$G$6)+('Sites'!E7*'Capital'!E7*(IF(18='Capital'!G7+'Cases'!G7,'Capital'!F7,0)+IF(18='Capital'!H7+'Cases'!G7,1-'Capital'!F7,0)))*(1-'Responsibilities'!$G$7)+('Sites'!E8*'Cases'!F7*'Capital'!E8*(IF(18='Capital'!G8+'Cases'!G7,'Capital'!F8,0)+IF(18='Capital'!H8+'Cases'!G7,1-'Capital'!F8,0)))*(1-'Responsibilities'!$G$8)+I59+SUMPRODUCT('Costs'!$E$36:$E$40,'Costs'!$F$36:$F$40)/12+BZ59)</f>
        <v/>
      </c>
      <c r="BZ59">
        <f>SUMIFS('Responsibilities'!$B$31:$B$35,'Responsibilities'!$C$31:$C$35,18,'Responsibilities'!$D$31:$D$35,"Yes")</f>
        <v/>
      </c>
    </row>
    <row r="60" ht="28" customHeight="1">
      <c r="A60" s="4" t="inlineStr">
        <is>
          <t>Smaller</t>
        </is>
      </c>
      <c r="B60" s="4" t="n">
        <v>19</v>
      </c>
      <c r="C60" s="4">
        <f>ROUNDUP(B60/12,0)</f>
        <v/>
      </c>
      <c r="D60" s="137">
        <f>SUMIFS('Production schedule'!$N$114:$N$221,'Production schedule'!$C$114:$C$221,19)</f>
        <v/>
      </c>
      <c r="E60" s="137">
        <f>SUMIFS('Production schedule'!$Y$114:$Y$221,'Production schedule'!$C$114:$C$221,19)</f>
        <v/>
      </c>
      <c r="F60" s="137">
        <f>SUMIFS('Production schedule'!$Z$114:$Z$221,'Production schedule'!$C$114:$C$221,19)</f>
        <v/>
      </c>
      <c r="G60" s="137">
        <f>('Production schedule'!AJ132)*'Responsibilities'!$C$6+('Production schedule'!AJ168)*'Responsibilities'!$C$7+('Production schedule'!AJ204)*'Responsibilities'!$C$8</f>
        <v/>
      </c>
      <c r="H60" s="137">
        <f>('Production schedule'!AI132)*'Responsibilities'!$D$6+('Production schedule'!AI168)*'Responsibilities'!$D$7+('Production schedule'!AI204)*'Responsibilities'!$D$8</f>
        <v/>
      </c>
      <c r="I60" s="137">
        <f>SUM('Assumptions'!V58:V65)</f>
        <v/>
      </c>
      <c r="J60" s="137">
        <f>('Production schedule'!E132*(IF('Sites'!D6="Annual staff",SUM('Assumptions'!V112,'Assumptions'!V114),0)+SUM('Assumptions'!V113,'Assumptions'!V115:V116)))*'Responsibilities'!$E$6+('Production schedule'!E168*(IF('Sites'!D7="Annual staff",SUM('Assumptions'!V117,'Assumptions'!V119),0)+SUM('Assumptions'!V118,'Assumptions'!V120:V121)))*'Responsibilities'!$E$7+('Production schedule'!E204*(IF('Sites'!D8="Annual staff",SUM('Assumptions'!V122,'Assumptions'!V124),0)+SUM('Assumptions'!V123,'Assumptions'!V125:V126)))*'Responsibilities'!$E$8</f>
        <v/>
      </c>
      <c r="K60" s="137">
        <f>(IF(AND('Production schedule'!E132=1,19=MAX(('Sites'!F6),13),ISNUMBER('Sites'!P6)),'Sites'!P6*'Assumptions'!$B$44,0))*'Responsibilities'!$F$6+(IF(AND('Production schedule'!E168=1,19=MAX(('Sites'!F7+'Cases'!G7),13),ISNUMBER('Sites'!P7)),'Sites'!P7*'Assumptions'!$B$44,0))*'Responsibilities'!$F$7+(IF(AND('Production schedule'!E204=1,19=MAX(('Sites'!F8+'Cases'!G7),13),ISNUMBER('Sites'!P8)),'Sites'!P8*'Assumptions'!$B$44,0))*'Responsibilities'!$F$8</f>
        <v/>
      </c>
      <c r="L60" s="137">
        <f>SUM('Costs'!E36)*'Costs'!F36/12*'Responsibilities'!$C$12+SUM('Costs'!E37)*'Costs'!F37/12*'Responsibilities'!$C$13+SUM('Costs'!E38)*'Costs'!F38/12*'Responsibilities'!$C$14+SUM('Costs'!E39)*'Costs'!F39/12*'Responsibilities'!$C$15+SUM('Costs'!E40)*'Costs'!F40/12*'Responsibilities'!$C$16+BZ60</f>
        <v/>
      </c>
      <c r="M60" s="137">
        <f>('Sites'!E6*'Capital'!E6*(IF(19='Capital'!G6,'Capital'!F6,0)+IF(19='Capital'!H6,1-'Capital'!F6,0)))*'Responsibilities'!$G$6+('Sites'!E7*'Capital'!E7*(IF(19='Capital'!G7+'Cases'!G7,'Capital'!F7,0)+IF(19='Capital'!H7+'Cases'!G7,1-'Capital'!F7,0)))*'Responsibilities'!$G$7+('Sites'!E8*'Cases'!F7*'Capital'!E8*(IF(19='Capital'!G8+'Cases'!G7,'Capital'!F8,0)+IF(19='Capital'!H8+'Cases'!G7,1-'Capital'!F8,0)))*'Responsibilities'!$G$8</f>
        <v/>
      </c>
      <c r="N60" s="137">
        <f>SUM(G60:M60)</f>
        <v/>
      </c>
      <c r="O60" s="137">
        <f>SUMIFS(FundingTranches[Secured amount],FundingTranches[Instrument],"Grant",FundingTranches[Secured month],19)</f>
        <v/>
      </c>
      <c r="P60" s="137">
        <f>SUMIFS(FundingTranches[Smaller possible],FundingTranches[Instrument],"Grant",FundingTranches[Scenario month],19-'Cases'!$D$7)</f>
        <v/>
      </c>
      <c r="Q60" s="137">
        <f>SUMIFS(FundingTranches[Secured amount],FundingTranches[Instrument],"Loan",FundingTranches[Secured month],19)</f>
        <v/>
      </c>
      <c r="R60" s="137">
        <f>SUMIFS(FundingTranches[Smaller possible],FundingTranches[Instrument],"Loan",FundingTranches[Scenario month],19-'Cases'!$D$7)</f>
        <v/>
      </c>
      <c r="S60" s="137">
        <f>IF(19&lt;='Assumptions'!$B$34,0,SUMIFS('Production schedule'!$AL$114:$AL$221,'Production schedule'!$C$114:$C$221,19-'Assumptions'!$B$34))</f>
        <v/>
      </c>
      <c r="T60" s="137">
        <f>'Assumptions'!V70</f>
        <v/>
      </c>
      <c r="U60" s="137">
        <f>'Assumptions'!V78</f>
        <v/>
      </c>
      <c r="V60" s="137">
        <f>SUM(O60:U60)</f>
        <v/>
      </c>
      <c r="W60" s="137">
        <f>AA59</f>
        <v/>
      </c>
      <c r="X60" s="137">
        <f>SUM(Q60:R60)</f>
        <v/>
      </c>
      <c r="Y60" s="137">
        <f>SUM(W60,X60)*'Assumptions'!$B$39/12</f>
        <v/>
      </c>
      <c r="Z60" s="137">
        <f>IF(SUM(W60,X60)&gt;0,MIN(SUM(W60,X60),MAX(0,BP60-Y60)),0)</f>
        <v/>
      </c>
      <c r="AA60" s="137">
        <f>SUM(W60,X60)-Z60</f>
        <v/>
      </c>
      <c r="AB60" s="137">
        <f>SUM(Y60:Z60)</f>
        <v/>
      </c>
      <c r="AC60" s="137">
        <f>'Assumptions'!V72</f>
        <v/>
      </c>
      <c r="AD60" s="137">
        <f>'Assumptions'!V73</f>
        <v/>
      </c>
      <c r="AE60" s="137">
        <f>IF(X60&gt;0,SUM('Assumptions'!$B$42),0)</f>
        <v/>
      </c>
      <c r="AF60" s="137">
        <f>'Assumptions'!V71</f>
        <v/>
      </c>
      <c r="AG60" s="137">
        <f>'Assumptions'!V74</f>
        <v/>
      </c>
      <c r="AH60" s="137">
        <f>'Assumptions'!V75</f>
        <v/>
      </c>
      <c r="AI60" s="137">
        <f>'Assumptions'!V77</f>
        <v/>
      </c>
      <c r="AJ60" s="137">
        <f>V60-N60-SUM(AB60:AI60)</f>
        <v/>
      </c>
      <c r="AK60" s="137">
        <f>SUM(AJ42:AJ60)</f>
        <v/>
      </c>
      <c r="AL60" s="137">
        <f>IF(ISNUMBER('Assumptions'!$B$10),'Assumptions'!$B$10+AK60,"")</f>
        <v/>
      </c>
      <c r="AM60" s="137">
        <f>SUM(O60,Q60,T60)-N60-SUM(AC60:AI60)+IF('Funding'!$N$11=0,AE60,0)-IF('Funding'!$N$11&gt;0,AB60,0)</f>
        <v/>
      </c>
      <c r="AN60" s="137">
        <f>SUM(AM42:AM60)</f>
        <v/>
      </c>
      <c r="AO60" s="137">
        <f>IF(ISNUMBER('Assumptions'!$B$10),'Assumptions'!$B$10+AN60,"")</f>
        <v/>
      </c>
      <c r="AP60" s="137">
        <f>('Production schedule'!AK132)*'Responsibilities'!$C$6+('Production schedule'!AK168)*'Responsibilities'!$C$7+('Production schedule'!AK204)*'Responsibilities'!$C$8</f>
        <v/>
      </c>
      <c r="AQ60" s="137">
        <f>SUMIFS('Production schedule'!$AL$114:$AL$221,'Production schedule'!$C$114:$C$221,19)</f>
        <v/>
      </c>
      <c r="AR60" s="137">
        <f>IF(ISNUMBER('Assumptions'!V76),'Assumptions'!V76,SUM(O60:P60))</f>
        <v/>
      </c>
      <c r="AS60" s="137">
        <f>IF(ISNUMBER('Assumptions'!$B$13),MIN('Assumptions'!$B$13/'Assumptions'!$B$18/12,MAX(0,'Assumptions'!$B$13-(19-1)*'Assumptions'!$B$13/'Assumptions'!$B$18/12)),0)+IF(AND('Sites'!E6=1,19&gt;=('Sites'!F6),19&lt;('Sites'!F6)+'Assumptions'!$B$18*12),'Capital'!E6/'Assumptions'!$B$18/12,0)+IF(AND('Sites'!E7=1,19&gt;=('Sites'!F7+'Cases'!G7),19&lt;('Sites'!F7+'Cases'!G7)+'Assumptions'!$B$18*12),'Capital'!E7/'Assumptions'!$B$18/12,0)+IF(AND('Sites'!E8*'Cases'!F7=1,19&gt;=('Sites'!F8+'Cases'!G7),19&lt;('Sites'!F8+'Cases'!G7)+'Assumptions'!$B$18*12),'Capital'!E8/'Assumptions'!$B$18/12,0)</f>
        <v/>
      </c>
      <c r="AT60" s="137">
        <f>SUM(AQ60,AR60,U60)-AP60-SUM(H60:L60)-AS60-SUM(Y60,AD60,AE60,AH60)</f>
        <v/>
      </c>
      <c r="AU60" s="137">
        <f>IF(ISNUMBER('Assumptions'!$B$19),MAX(0,SUM(AT54:AT60))*'Assumptions'!$B$19-SUM(AU54:AU59),"")</f>
        <v/>
      </c>
      <c r="AV60" s="137">
        <f>IF(ISNUMBER(AU60),AT60-AU60,"")</f>
        <v/>
      </c>
      <c r="AW60" s="137">
        <f>IF(ISNUMBER('Assumptions'!$B$11),'Assumptions'!$B$11+SUM(AQ42:AQ60)-SUM(S42:S60)-SUM(T42:T60),"")</f>
        <v/>
      </c>
      <c r="AX60" s="137">
        <f>IF(ISNUMBER('Assumptions'!$B$12),'Assumptions'!$B$12+SUM(G42:G60)-SUM(AP42:AP60),"")</f>
        <v/>
      </c>
      <c r="AY60" s="137">
        <f>IF(ISNUMBER('Assumptions'!$B$13),'Assumptions'!$B$13+SUM(M42:M60)-SUM(AS42:AS60),"")</f>
        <v/>
      </c>
      <c r="AZ60" s="137">
        <f>IF(ISNUMBER('Assumptions'!$B$14),'Assumptions'!$B$14+-SUM(AF42:AF60),"")</f>
        <v/>
      </c>
      <c r="BA60" s="137">
        <f>IF(ISNUMBER('Assumptions'!$B$15),'Assumptions'!$B$15+SUM(O42:O60)+SUM(P42:P60)-SUM(AR42:AR60),"")</f>
        <v/>
      </c>
      <c r="BB60" s="137">
        <f>IF(ISNUMBER('Assumptions'!$B$16),'Assumptions'!$B$16+-SUM(AC42:AC60),"")</f>
        <v/>
      </c>
      <c r="BC60" s="137">
        <f>IF(AND(ISNUMBER('Assumptions'!$B$21),ISNUMBER('Assumptions'!$B$19)),'Assumptions'!$B$21+SUM(AU42:AU60)-SUM(AG42:AG60),"")</f>
        <v/>
      </c>
      <c r="BD60" s="137">
        <f>IF(ISNUMBER('Assumptions'!$B$20),'Assumptions'!$B$20+-SUM(AI42:AI60),"")</f>
        <v/>
      </c>
      <c r="BE60" s="137">
        <f>IF(AND(ISNUMBER('Assumptions'!$B$17),COUNT(AV42:AV60)=19),'Assumptions'!$B$17+SUM(AV42:AV60),"")</f>
        <v/>
      </c>
      <c r="BF60" s="137">
        <f>IF(COUNT(AL60,AW60:AY60)=4,SUM(AL60,AW60:AY60),"")</f>
        <v/>
      </c>
      <c r="BG60" s="137">
        <f>IF(COUNT(AZ60:BD60)=5,SUM(AZ60:BD60,AA60),"")</f>
        <v/>
      </c>
      <c r="BH60" s="137">
        <f>IF(COUNT(BF60,BG60,BE60)=3,BF60-BG60-BE60,"")</f>
        <v/>
      </c>
      <c r="BI60" s="137">
        <f>SUM(W60,X60)-Z60-AA60</f>
        <v/>
      </c>
      <c r="BJ60" s="137">
        <f>8-COUNT('Assumptions'!V58:V65)+COUNTBLANK('NM Play'!B33:B34)+'Costs'!E44+IF(AND('Sites'!E6=1,('Sites'!F6)&lt;=24,'Sites'!G6&gt;=13),IF(ISNUMBER('Sites'!P6),0,1)+'Capital'!I6+COUNTBLANK('Sites'!R6)+IF('Sites'!D6="NM crew",COUNTBLANK('NM Play'!B25)+1,5-COUNT('Assumptions'!V112:V116)),0)+IF(AND('Sites'!E7=1,('Sites'!F7+'Cases'!G7)&lt;=24,'Sites'!G7&gt;=13),IF(ISNUMBER('Sites'!P7),0,1)+'Capital'!I7+COUNTBLANK('Sites'!R7)+IF('Sites'!D7="NM crew",COUNTBLANK('NM Play'!B25)+1,5-COUNT('Assumptions'!V117:V121)),0)+IF(AND('Sites'!E8*'Cases'!F7=1,('Sites'!F8+'Cases'!G7)&lt;=24,'Sites'!G8&gt;=13),IF(ISNUMBER('Sites'!P8),0,1)+'Capital'!I8+COUNTBLANK('Sites'!R8)+IF('Sites'!D8="NM crew",COUNTBLANK('NM Play'!B25)+1,5-COUNT('Assumptions'!V122:V126)),0)+IF(AND('Cases'!C7&gt;0,NOT(ISNUMBER('Assumptions'!B42))),1,0)+'Responsibilities'!$B$39</f>
        <v/>
      </c>
      <c r="BK60" s="137">
        <f>'Assumptions'!$B$50+'NM Play'!$B$83+'Funding'!$F$20+SUMIFS('Production schedule'!$AN$114:$AN$221,'Production schedule'!$C$114:$C$221,19)+IF(OR('Cases'!E7&lt;0,'Cases'!E7&gt;1,'Cases'!C7&lt;0,'Cases'!D7&lt;0,ABS(SUM('Sites'!S6:S8)-1)&gt;0.0001,MIN('Capital'!F6:F8)&lt;0,MAX('Capital'!F6:F8)&gt;1,MIN(AX60,AZ60,BB60,BA60)&lt;-0.01),1,0)+'Responsibilities'!$B$40</f>
        <v/>
      </c>
      <c r="BL60" s="137">
        <f>SUMIFS('Production schedule'!$T$114:$T$221,'Production schedule'!$C$114:$C$221,19)</f>
        <v/>
      </c>
      <c r="BM60" s="137">
        <f>D60*'NM Play'!$B$38</f>
        <v/>
      </c>
      <c r="BN60" s="137">
        <f>SUMIFS('Production schedule'!$AM$114:$AM$221,'Production schedule'!$C$114:$C$221,19)</f>
        <v/>
      </c>
      <c r="BO60" s="137">
        <f>AK60-AK59-AJ60</f>
        <v/>
      </c>
      <c r="BP60" s="137">
        <f>IF(AND('Assumptions'!$B$39&gt;=0,'Assumptions'!$B$40&gt;0),-PMT('Assumptions'!$B$39/12,'Assumptions'!$B$40*12,IF('Funding'!$N$11&gt;0,'Funding'!$N$11,'Funding'!$S$11)),"")</f>
        <v/>
      </c>
      <c r="BQ60">
        <f>('Production schedule'!AJ132)*(1-'Responsibilities'!$C$6)+('Production schedule'!AJ168)*(1-'Responsibilities'!$C$7)+('Production schedule'!AJ204)*(1-'Responsibilities'!$C$8)</f>
        <v/>
      </c>
      <c r="BR60">
        <f>('Production schedule'!AI132)*(1-'Responsibilities'!$D$6)+('Production schedule'!AI168)*(1-'Responsibilities'!$D$7)+('Production schedule'!AI204)*(1-'Responsibilities'!$D$8)</f>
        <v/>
      </c>
      <c r="BS60">
        <f>('Production schedule'!E132*(IF('Sites'!D6="Annual staff",SUM('Assumptions'!V112,'Assumptions'!V114),0)+SUM('Assumptions'!V113,'Assumptions'!V115:V116)))*(1-'Responsibilities'!$E$6)+('Production schedule'!E168*(IF('Sites'!D7="Annual staff",SUM('Assumptions'!V117,'Assumptions'!V119),0)+SUM('Assumptions'!V118,'Assumptions'!V120:V121)))*(1-'Responsibilities'!$E$7)+('Production schedule'!E204*(IF('Sites'!D8="Annual staff",SUM('Assumptions'!V122,'Assumptions'!V124),0)+SUM('Assumptions'!V123,'Assumptions'!V125:V126)))*(1-'Responsibilities'!$E$8)</f>
        <v/>
      </c>
      <c r="BT60">
        <f>(IF(AND('Production schedule'!E132=1,19=MAX(('Sites'!F6),13),ISNUMBER('Sites'!P6)),'Sites'!P6*'Assumptions'!$B$44,0))*(1-'Responsibilities'!$F$6)+(IF(AND('Production schedule'!E168=1,19=MAX(('Sites'!F7+'Cases'!G7),13),ISNUMBER('Sites'!P7)),'Sites'!P7*'Assumptions'!$B$44,0))*(1-'Responsibilities'!$F$7)+(IF(AND('Production schedule'!E204=1,19=MAX(('Sites'!F8+'Cases'!G7),13),ISNUMBER('Sites'!P8)),'Sites'!P8*'Assumptions'!$B$44,0))*(1-'Responsibilities'!$F$8)</f>
        <v/>
      </c>
      <c r="BU60">
        <f>SUM('Costs'!E36)*'Costs'!F36/12*(1-'Responsibilities'!$C$12)+SUM('Costs'!E37)*'Costs'!F37/12*(1-'Responsibilities'!$C$13)+SUM('Costs'!E38)*'Costs'!F38/12*(1-'Responsibilities'!$C$14)+SUM('Costs'!E39)*'Costs'!F39/12*(1-'Responsibilities'!$C$15)+SUM('Costs'!E40)*'Costs'!F40/12*(1-'Responsibilities'!$C$16)</f>
        <v/>
      </c>
      <c r="BV60">
        <f>('Sites'!E6*'Capital'!E6*(IF(19='Capital'!G6,'Capital'!F6,0)+IF(19='Capital'!H6,1-'Capital'!F6,0)))*(1-'Responsibilities'!$G$6)+('Sites'!E7*'Capital'!E7*(IF(19='Capital'!G7+'Cases'!G7,'Capital'!F7,0)+IF(19='Capital'!H7+'Cases'!G7,1-'Capital'!F7,0)))*(1-'Responsibilities'!$G$7)+('Sites'!E8*'Cases'!F7*'Capital'!E8*(IF(19='Capital'!G8+'Cases'!G7,'Capital'!F8,0)+IF(19='Capital'!H8+'Cases'!G7,1-'Capital'!F8,0)))*(1-'Responsibilities'!$G$8)</f>
        <v/>
      </c>
      <c r="BW60">
        <f>SUM(BQ60:BV60)</f>
        <v/>
      </c>
      <c r="BX60">
        <f>N60+BW60</f>
        <v/>
      </c>
      <c r="BY60">
        <f>BX60-(('Production schedule'!AJ132)*'Responsibilities'!$C$6+('Production schedule'!AJ168)*'Responsibilities'!$C$7+('Production schedule'!AJ204)*'Responsibilities'!$C$8+('Production schedule'!AJ132)*(1-'Responsibilities'!$C$6)+('Production schedule'!AJ168)*(1-'Responsibilities'!$C$7)+('Production schedule'!AJ204)*(1-'Responsibilities'!$C$8)+('Production schedule'!AI132)*'Responsibilities'!$D$6+('Production schedule'!AI168)*'Responsibilities'!$D$7+('Production schedule'!AI204)*'Responsibilities'!$D$8+('Production schedule'!AI132)*(1-'Responsibilities'!$D$6)+('Production schedule'!AI168)*(1-'Responsibilities'!$D$7)+('Production schedule'!AI204)*(1-'Responsibilities'!$D$8)+('Production schedule'!E132*(IF('Sites'!D6="Annual staff",SUM('Assumptions'!V112,'Assumptions'!V114),0)+SUM('Assumptions'!V113,'Assumptions'!V115:V116)))*'Responsibilities'!$E$6+('Production schedule'!E168*(IF('Sites'!D7="Annual staff",SUM('Assumptions'!V117,'Assumptions'!V119),0)+SUM('Assumptions'!V118,'Assumptions'!V120:V121)))*'Responsibilities'!$E$7+('Production schedule'!E204*(IF('Sites'!D8="Annual staff",SUM('Assumptions'!V122,'Assumptions'!V124),0)+SUM('Assumptions'!V123,'Assumptions'!V125:V126)))*'Responsibilities'!$E$8+('Production schedule'!E132*(IF('Sites'!D6="Annual staff",SUM('Assumptions'!V112,'Assumptions'!V114),0)+SUM('Assumptions'!V113,'Assumptions'!V115:V116)))*(1-'Responsibilities'!$E$6)+('Production schedule'!E168*(IF('Sites'!D7="Annual staff",SUM('Assumptions'!V117,'Assumptions'!V119),0)+SUM('Assumptions'!V118,'Assumptions'!V120:V121)))*(1-'Responsibilities'!$E$7)+('Production schedule'!E204*(IF('Sites'!D8="Annual staff",SUM('Assumptions'!V122,'Assumptions'!V124),0)+SUM('Assumptions'!V123,'Assumptions'!V125:V126)))*(1-'Responsibilities'!$E$8)+(IF(AND('Production schedule'!E132=1,19=MAX(('Sites'!F6),13),ISNUMBER('Sites'!P6)),'Sites'!P6*'Assumptions'!$B$44,0))*'Responsibilities'!$F$6+(IF(AND('Production schedule'!E168=1,19=MAX(('Sites'!F7+'Cases'!G7),13),ISNUMBER('Sites'!P7)),'Sites'!P7*'Assumptions'!$B$44,0))*'Responsibilities'!$F$7+(IF(AND('Production schedule'!E204=1,19=MAX(('Sites'!F8+'Cases'!G7),13),ISNUMBER('Sites'!P8)),'Sites'!P8*'Assumptions'!$B$44,0))*'Responsibilities'!$F$8+(IF(AND('Production schedule'!E132=1,19=MAX(('Sites'!F6),13),ISNUMBER('Sites'!P6)),'Sites'!P6*'Assumptions'!$B$44,0))*(1-'Responsibilities'!$F$6)+(IF(AND('Production schedule'!E168=1,19=MAX(('Sites'!F7+'Cases'!G7),13),ISNUMBER('Sites'!P7)),'Sites'!P7*'Assumptions'!$B$44,0))*(1-'Responsibilities'!$F$7)+(IF(AND('Production schedule'!E204=1,19=MAX(('Sites'!F8+'Cases'!G7),13),ISNUMBER('Sites'!P8)),'Sites'!P8*'Assumptions'!$B$44,0))*(1-'Responsibilities'!$F$8)+('Sites'!E6*'Capital'!E6*(IF(19='Capital'!G6,'Capital'!F6,0)+IF(19='Capital'!H6,1-'Capital'!F6,0)))*'Responsibilities'!$G$6+('Sites'!E7*'Capital'!E7*(IF(19='Capital'!G7+'Cases'!G7,'Capital'!F7,0)+IF(19='Capital'!H7+'Cases'!G7,1-'Capital'!F7,0)))*'Responsibilities'!$G$7+('Sites'!E8*'Cases'!F7*'Capital'!E8*(IF(19='Capital'!G8+'Cases'!G7,'Capital'!F8,0)+IF(19='Capital'!H8+'Cases'!G7,1-'Capital'!F8,0)))*'Responsibilities'!$G$8+('Sites'!E6*'Capital'!E6*(IF(19='Capital'!G6,'Capital'!F6,0)+IF(19='Capital'!H6,1-'Capital'!F6,0)))*(1-'Responsibilities'!$G$6)+('Sites'!E7*'Capital'!E7*(IF(19='Capital'!G7+'Cases'!G7,'Capital'!F7,0)+IF(19='Capital'!H7+'Cases'!G7,1-'Capital'!F7,0)))*(1-'Responsibilities'!$G$7)+('Sites'!E8*'Cases'!F7*'Capital'!E8*(IF(19='Capital'!G8+'Cases'!G7,'Capital'!F8,0)+IF(19='Capital'!H8+'Cases'!G7,1-'Capital'!F8,0)))*(1-'Responsibilities'!$G$8)+I60+SUMPRODUCT('Costs'!$E$36:$E$40,'Costs'!$F$36:$F$40)/12+BZ60)</f>
        <v/>
      </c>
      <c r="BZ60">
        <f>SUMIFS('Responsibilities'!$B$31:$B$35,'Responsibilities'!$C$31:$C$35,19,'Responsibilities'!$D$31:$D$35,"Yes")</f>
        <v/>
      </c>
    </row>
    <row r="61" ht="28" customHeight="1">
      <c r="A61" s="4" t="inlineStr">
        <is>
          <t>Smaller</t>
        </is>
      </c>
      <c r="B61" s="4" t="n">
        <v>20</v>
      </c>
      <c r="C61" s="4">
        <f>ROUNDUP(B61/12,0)</f>
        <v/>
      </c>
      <c r="D61" s="137">
        <f>SUMIFS('Production schedule'!$N$114:$N$221,'Production schedule'!$C$114:$C$221,20)</f>
        <v/>
      </c>
      <c r="E61" s="137">
        <f>SUMIFS('Production schedule'!$Y$114:$Y$221,'Production schedule'!$C$114:$C$221,20)</f>
        <v/>
      </c>
      <c r="F61" s="137">
        <f>SUMIFS('Production schedule'!$Z$114:$Z$221,'Production schedule'!$C$114:$C$221,20)</f>
        <v/>
      </c>
      <c r="G61" s="137">
        <f>('Production schedule'!AJ133)*'Responsibilities'!$C$6+('Production schedule'!AJ169)*'Responsibilities'!$C$7+('Production schedule'!AJ205)*'Responsibilities'!$C$8</f>
        <v/>
      </c>
      <c r="H61" s="137">
        <f>('Production schedule'!AI133)*'Responsibilities'!$D$6+('Production schedule'!AI169)*'Responsibilities'!$D$7+('Production schedule'!AI205)*'Responsibilities'!$D$8</f>
        <v/>
      </c>
      <c r="I61" s="137">
        <f>SUM('Assumptions'!W58:W65)</f>
        <v/>
      </c>
      <c r="J61" s="137">
        <f>('Production schedule'!E133*(IF('Sites'!D6="Annual staff",SUM('Assumptions'!W112,'Assumptions'!W114),0)+SUM('Assumptions'!W113,'Assumptions'!W115:W116)))*'Responsibilities'!$E$6+('Production schedule'!E169*(IF('Sites'!D7="Annual staff",SUM('Assumptions'!W117,'Assumptions'!W119),0)+SUM('Assumptions'!W118,'Assumptions'!W120:W121)))*'Responsibilities'!$E$7+('Production schedule'!E205*(IF('Sites'!D8="Annual staff",SUM('Assumptions'!W122,'Assumptions'!W124),0)+SUM('Assumptions'!W123,'Assumptions'!W125:W126)))*'Responsibilities'!$E$8</f>
        <v/>
      </c>
      <c r="K61" s="137">
        <f>(IF(AND('Production schedule'!E133=1,20=MAX(('Sites'!F6),13),ISNUMBER('Sites'!P6)),'Sites'!P6*'Assumptions'!$B$44,0))*'Responsibilities'!$F$6+(IF(AND('Production schedule'!E169=1,20=MAX(('Sites'!F7+'Cases'!G7),13),ISNUMBER('Sites'!P7)),'Sites'!P7*'Assumptions'!$B$44,0))*'Responsibilities'!$F$7+(IF(AND('Production schedule'!E205=1,20=MAX(('Sites'!F8+'Cases'!G7),13),ISNUMBER('Sites'!P8)),'Sites'!P8*'Assumptions'!$B$44,0))*'Responsibilities'!$F$8</f>
        <v/>
      </c>
      <c r="L61" s="137">
        <f>SUM('Costs'!E36)*'Costs'!F36/12*'Responsibilities'!$C$12+SUM('Costs'!E37)*'Costs'!F37/12*'Responsibilities'!$C$13+SUM('Costs'!E38)*'Costs'!F38/12*'Responsibilities'!$C$14+SUM('Costs'!E39)*'Costs'!F39/12*'Responsibilities'!$C$15+SUM('Costs'!E40)*'Costs'!F40/12*'Responsibilities'!$C$16+BZ61</f>
        <v/>
      </c>
      <c r="M61" s="137">
        <f>('Sites'!E6*'Capital'!E6*(IF(20='Capital'!G6,'Capital'!F6,0)+IF(20='Capital'!H6,1-'Capital'!F6,0)))*'Responsibilities'!$G$6+('Sites'!E7*'Capital'!E7*(IF(20='Capital'!G7+'Cases'!G7,'Capital'!F7,0)+IF(20='Capital'!H7+'Cases'!G7,1-'Capital'!F7,0)))*'Responsibilities'!$G$7+('Sites'!E8*'Cases'!F7*'Capital'!E8*(IF(20='Capital'!G8+'Cases'!G7,'Capital'!F8,0)+IF(20='Capital'!H8+'Cases'!G7,1-'Capital'!F8,0)))*'Responsibilities'!$G$8</f>
        <v/>
      </c>
      <c r="N61" s="137">
        <f>SUM(G61:M61)</f>
        <v/>
      </c>
      <c r="O61" s="137">
        <f>SUMIFS(FundingTranches[Secured amount],FundingTranches[Instrument],"Grant",FundingTranches[Secured month],20)</f>
        <v/>
      </c>
      <c r="P61" s="137">
        <f>SUMIFS(FundingTranches[Smaller possible],FundingTranches[Instrument],"Grant",FundingTranches[Scenario month],20-'Cases'!$D$7)</f>
        <v/>
      </c>
      <c r="Q61" s="137">
        <f>SUMIFS(FundingTranches[Secured amount],FundingTranches[Instrument],"Loan",FundingTranches[Secured month],20)</f>
        <v/>
      </c>
      <c r="R61" s="137">
        <f>SUMIFS(FundingTranches[Smaller possible],FundingTranches[Instrument],"Loan",FundingTranches[Scenario month],20-'Cases'!$D$7)</f>
        <v/>
      </c>
      <c r="S61" s="137">
        <f>IF(20&lt;='Assumptions'!$B$34,0,SUMIFS('Production schedule'!$AL$114:$AL$221,'Production schedule'!$C$114:$C$221,20-'Assumptions'!$B$34))</f>
        <v/>
      </c>
      <c r="T61" s="137">
        <f>'Assumptions'!W70</f>
        <v/>
      </c>
      <c r="U61" s="137">
        <f>'Assumptions'!W78</f>
        <v/>
      </c>
      <c r="V61" s="137">
        <f>SUM(O61:U61)</f>
        <v/>
      </c>
      <c r="W61" s="137">
        <f>AA60</f>
        <v/>
      </c>
      <c r="X61" s="137">
        <f>SUM(Q61:R61)</f>
        <v/>
      </c>
      <c r="Y61" s="137">
        <f>SUM(W61,X61)*'Assumptions'!$B$39/12</f>
        <v/>
      </c>
      <c r="Z61" s="137">
        <f>IF(SUM(W61,X61)&gt;0,MIN(SUM(W61,X61),MAX(0,BP61-Y61)),0)</f>
        <v/>
      </c>
      <c r="AA61" s="137">
        <f>SUM(W61,X61)-Z61</f>
        <v/>
      </c>
      <c r="AB61" s="137">
        <f>SUM(Y61:Z61)</f>
        <v/>
      </c>
      <c r="AC61" s="137">
        <f>'Assumptions'!W72</f>
        <v/>
      </c>
      <c r="AD61" s="137">
        <f>'Assumptions'!W73</f>
        <v/>
      </c>
      <c r="AE61" s="137">
        <f>IF(X61&gt;0,SUM('Assumptions'!$B$42),0)</f>
        <v/>
      </c>
      <c r="AF61" s="137">
        <f>'Assumptions'!W71</f>
        <v/>
      </c>
      <c r="AG61" s="137">
        <f>'Assumptions'!W74</f>
        <v/>
      </c>
      <c r="AH61" s="137">
        <f>'Assumptions'!W75</f>
        <v/>
      </c>
      <c r="AI61" s="137">
        <f>'Assumptions'!W77</f>
        <v/>
      </c>
      <c r="AJ61" s="137">
        <f>V61-N61-SUM(AB61:AI61)</f>
        <v/>
      </c>
      <c r="AK61" s="137">
        <f>SUM(AJ42:AJ61)</f>
        <v/>
      </c>
      <c r="AL61" s="137">
        <f>IF(ISNUMBER('Assumptions'!$B$10),'Assumptions'!$B$10+AK61,"")</f>
        <v/>
      </c>
      <c r="AM61" s="137">
        <f>SUM(O61,Q61,T61)-N61-SUM(AC61:AI61)+IF('Funding'!$N$11=0,AE61,0)-IF('Funding'!$N$11&gt;0,AB61,0)</f>
        <v/>
      </c>
      <c r="AN61" s="137">
        <f>SUM(AM42:AM61)</f>
        <v/>
      </c>
      <c r="AO61" s="137">
        <f>IF(ISNUMBER('Assumptions'!$B$10),'Assumptions'!$B$10+AN61,"")</f>
        <v/>
      </c>
      <c r="AP61" s="137">
        <f>('Production schedule'!AK133)*'Responsibilities'!$C$6+('Production schedule'!AK169)*'Responsibilities'!$C$7+('Production schedule'!AK205)*'Responsibilities'!$C$8</f>
        <v/>
      </c>
      <c r="AQ61" s="137">
        <f>SUMIFS('Production schedule'!$AL$114:$AL$221,'Production schedule'!$C$114:$C$221,20)</f>
        <v/>
      </c>
      <c r="AR61" s="137">
        <f>IF(ISNUMBER('Assumptions'!W76),'Assumptions'!W76,SUM(O61:P61))</f>
        <v/>
      </c>
      <c r="AS61" s="137">
        <f>IF(ISNUMBER('Assumptions'!$B$13),MIN('Assumptions'!$B$13/'Assumptions'!$B$18/12,MAX(0,'Assumptions'!$B$13-(20-1)*'Assumptions'!$B$13/'Assumptions'!$B$18/12)),0)+IF(AND('Sites'!E6=1,20&gt;=('Sites'!F6),20&lt;('Sites'!F6)+'Assumptions'!$B$18*12),'Capital'!E6/'Assumptions'!$B$18/12,0)+IF(AND('Sites'!E7=1,20&gt;=('Sites'!F7+'Cases'!G7),20&lt;('Sites'!F7+'Cases'!G7)+'Assumptions'!$B$18*12),'Capital'!E7/'Assumptions'!$B$18/12,0)+IF(AND('Sites'!E8*'Cases'!F7=1,20&gt;=('Sites'!F8+'Cases'!G7),20&lt;('Sites'!F8+'Cases'!G7)+'Assumptions'!$B$18*12),'Capital'!E8/'Assumptions'!$B$18/12,0)</f>
        <v/>
      </c>
      <c r="AT61" s="137">
        <f>SUM(AQ61,AR61,U61)-AP61-SUM(H61:L61)-AS61-SUM(Y61,AD61,AE61,AH61)</f>
        <v/>
      </c>
      <c r="AU61" s="137">
        <f>IF(ISNUMBER('Assumptions'!$B$19),MAX(0,SUM(AT54:AT61))*'Assumptions'!$B$19-SUM(AU54:AU60),"")</f>
        <v/>
      </c>
      <c r="AV61" s="137">
        <f>IF(ISNUMBER(AU61),AT61-AU61,"")</f>
        <v/>
      </c>
      <c r="AW61" s="137">
        <f>IF(ISNUMBER('Assumptions'!$B$11),'Assumptions'!$B$11+SUM(AQ42:AQ61)-SUM(S42:S61)-SUM(T42:T61),"")</f>
        <v/>
      </c>
      <c r="AX61" s="137">
        <f>IF(ISNUMBER('Assumptions'!$B$12),'Assumptions'!$B$12+SUM(G42:G61)-SUM(AP42:AP61),"")</f>
        <v/>
      </c>
      <c r="AY61" s="137">
        <f>IF(ISNUMBER('Assumptions'!$B$13),'Assumptions'!$B$13+SUM(M42:M61)-SUM(AS42:AS61),"")</f>
        <v/>
      </c>
      <c r="AZ61" s="137">
        <f>IF(ISNUMBER('Assumptions'!$B$14),'Assumptions'!$B$14+-SUM(AF42:AF61),"")</f>
        <v/>
      </c>
      <c r="BA61" s="137">
        <f>IF(ISNUMBER('Assumptions'!$B$15),'Assumptions'!$B$15+SUM(O42:O61)+SUM(P42:P61)-SUM(AR42:AR61),"")</f>
        <v/>
      </c>
      <c r="BB61" s="137">
        <f>IF(ISNUMBER('Assumptions'!$B$16),'Assumptions'!$B$16+-SUM(AC42:AC61),"")</f>
        <v/>
      </c>
      <c r="BC61" s="137">
        <f>IF(AND(ISNUMBER('Assumptions'!$B$21),ISNUMBER('Assumptions'!$B$19)),'Assumptions'!$B$21+SUM(AU42:AU61)-SUM(AG42:AG61),"")</f>
        <v/>
      </c>
      <c r="BD61" s="137">
        <f>IF(ISNUMBER('Assumptions'!$B$20),'Assumptions'!$B$20+-SUM(AI42:AI61),"")</f>
        <v/>
      </c>
      <c r="BE61" s="137">
        <f>IF(AND(ISNUMBER('Assumptions'!$B$17),COUNT(AV42:AV61)=20),'Assumptions'!$B$17+SUM(AV42:AV61),"")</f>
        <v/>
      </c>
      <c r="BF61" s="137">
        <f>IF(COUNT(AL61,AW61:AY61)=4,SUM(AL61,AW61:AY61),"")</f>
        <v/>
      </c>
      <c r="BG61" s="137">
        <f>IF(COUNT(AZ61:BD61)=5,SUM(AZ61:BD61,AA61),"")</f>
        <v/>
      </c>
      <c r="BH61" s="137">
        <f>IF(COUNT(BF61,BG61,BE61)=3,BF61-BG61-BE61,"")</f>
        <v/>
      </c>
      <c r="BI61" s="137">
        <f>SUM(W61,X61)-Z61-AA61</f>
        <v/>
      </c>
      <c r="BJ61" s="137">
        <f>8-COUNT('Assumptions'!W58:W65)+COUNTBLANK('NM Play'!B33:B34)+'Costs'!E44+IF(AND('Sites'!E6=1,('Sites'!F6)&lt;=24,'Sites'!G6&gt;=13),IF(ISNUMBER('Sites'!P6),0,1)+'Capital'!I6+COUNTBLANK('Sites'!R6)+IF('Sites'!D6="NM crew",COUNTBLANK('NM Play'!B25)+1,5-COUNT('Assumptions'!W112:W116)),0)+IF(AND('Sites'!E7=1,('Sites'!F7+'Cases'!G7)&lt;=24,'Sites'!G7&gt;=13),IF(ISNUMBER('Sites'!P7),0,1)+'Capital'!I7+COUNTBLANK('Sites'!R7)+IF('Sites'!D7="NM crew",COUNTBLANK('NM Play'!B25)+1,5-COUNT('Assumptions'!W117:W121)),0)+IF(AND('Sites'!E8*'Cases'!F7=1,('Sites'!F8+'Cases'!G7)&lt;=24,'Sites'!G8&gt;=13),IF(ISNUMBER('Sites'!P8),0,1)+'Capital'!I8+COUNTBLANK('Sites'!R8)+IF('Sites'!D8="NM crew",COUNTBLANK('NM Play'!B25)+1,5-COUNT('Assumptions'!W122:W126)),0)+IF(AND('Cases'!C7&gt;0,NOT(ISNUMBER('Assumptions'!B42))),1,0)+'Responsibilities'!$B$39</f>
        <v/>
      </c>
      <c r="BK61" s="137">
        <f>'Assumptions'!$B$50+'NM Play'!$B$83+'Funding'!$F$20+SUMIFS('Production schedule'!$AN$114:$AN$221,'Production schedule'!$C$114:$C$221,20)+IF(OR('Cases'!E7&lt;0,'Cases'!E7&gt;1,'Cases'!C7&lt;0,'Cases'!D7&lt;0,ABS(SUM('Sites'!S6:S8)-1)&gt;0.0001,MIN('Capital'!F6:F8)&lt;0,MAX('Capital'!F6:F8)&gt;1,MIN(AX61,AZ61,BB61,BA61)&lt;-0.01),1,0)+'Responsibilities'!$B$40</f>
        <v/>
      </c>
      <c r="BL61" s="137">
        <f>SUMIFS('Production schedule'!$T$114:$T$221,'Production schedule'!$C$114:$C$221,20)</f>
        <v/>
      </c>
      <c r="BM61" s="137">
        <f>D61*'NM Play'!$B$38</f>
        <v/>
      </c>
      <c r="BN61" s="137">
        <f>SUMIFS('Production schedule'!$AM$114:$AM$221,'Production schedule'!$C$114:$C$221,20)</f>
        <v/>
      </c>
      <c r="BO61" s="137">
        <f>AK61-AK60-AJ61</f>
        <v/>
      </c>
      <c r="BP61" s="137">
        <f>IF(AND('Assumptions'!$B$39&gt;=0,'Assumptions'!$B$40&gt;0),-PMT('Assumptions'!$B$39/12,'Assumptions'!$B$40*12,IF('Funding'!$N$11&gt;0,'Funding'!$N$11,'Funding'!$S$11)),"")</f>
        <v/>
      </c>
      <c r="BQ61">
        <f>('Production schedule'!AJ133)*(1-'Responsibilities'!$C$6)+('Production schedule'!AJ169)*(1-'Responsibilities'!$C$7)+('Production schedule'!AJ205)*(1-'Responsibilities'!$C$8)</f>
        <v/>
      </c>
      <c r="BR61">
        <f>('Production schedule'!AI133)*(1-'Responsibilities'!$D$6)+('Production schedule'!AI169)*(1-'Responsibilities'!$D$7)+('Production schedule'!AI205)*(1-'Responsibilities'!$D$8)</f>
        <v/>
      </c>
      <c r="BS61">
        <f>('Production schedule'!E133*(IF('Sites'!D6="Annual staff",SUM('Assumptions'!W112,'Assumptions'!W114),0)+SUM('Assumptions'!W113,'Assumptions'!W115:W116)))*(1-'Responsibilities'!$E$6)+('Production schedule'!E169*(IF('Sites'!D7="Annual staff",SUM('Assumptions'!W117,'Assumptions'!W119),0)+SUM('Assumptions'!W118,'Assumptions'!W120:W121)))*(1-'Responsibilities'!$E$7)+('Production schedule'!E205*(IF('Sites'!D8="Annual staff",SUM('Assumptions'!W122,'Assumptions'!W124),0)+SUM('Assumptions'!W123,'Assumptions'!W125:W126)))*(1-'Responsibilities'!$E$8)</f>
        <v/>
      </c>
      <c r="BT61">
        <f>(IF(AND('Production schedule'!E133=1,20=MAX(('Sites'!F6),13),ISNUMBER('Sites'!P6)),'Sites'!P6*'Assumptions'!$B$44,0))*(1-'Responsibilities'!$F$6)+(IF(AND('Production schedule'!E169=1,20=MAX(('Sites'!F7+'Cases'!G7),13),ISNUMBER('Sites'!P7)),'Sites'!P7*'Assumptions'!$B$44,0))*(1-'Responsibilities'!$F$7)+(IF(AND('Production schedule'!E205=1,20=MAX(('Sites'!F8+'Cases'!G7),13),ISNUMBER('Sites'!P8)),'Sites'!P8*'Assumptions'!$B$44,0))*(1-'Responsibilities'!$F$8)</f>
        <v/>
      </c>
      <c r="BU61">
        <f>SUM('Costs'!E36)*'Costs'!F36/12*(1-'Responsibilities'!$C$12)+SUM('Costs'!E37)*'Costs'!F37/12*(1-'Responsibilities'!$C$13)+SUM('Costs'!E38)*'Costs'!F38/12*(1-'Responsibilities'!$C$14)+SUM('Costs'!E39)*'Costs'!F39/12*(1-'Responsibilities'!$C$15)+SUM('Costs'!E40)*'Costs'!F40/12*(1-'Responsibilities'!$C$16)</f>
        <v/>
      </c>
      <c r="BV61">
        <f>('Sites'!E6*'Capital'!E6*(IF(20='Capital'!G6,'Capital'!F6,0)+IF(20='Capital'!H6,1-'Capital'!F6,0)))*(1-'Responsibilities'!$G$6)+('Sites'!E7*'Capital'!E7*(IF(20='Capital'!G7+'Cases'!G7,'Capital'!F7,0)+IF(20='Capital'!H7+'Cases'!G7,1-'Capital'!F7,0)))*(1-'Responsibilities'!$G$7)+('Sites'!E8*'Cases'!F7*'Capital'!E8*(IF(20='Capital'!G8+'Cases'!G7,'Capital'!F8,0)+IF(20='Capital'!H8+'Cases'!G7,1-'Capital'!F8,0)))*(1-'Responsibilities'!$G$8)</f>
        <v/>
      </c>
      <c r="BW61">
        <f>SUM(BQ61:BV61)</f>
        <v/>
      </c>
      <c r="BX61">
        <f>N61+BW61</f>
        <v/>
      </c>
      <c r="BY61">
        <f>BX61-(('Production schedule'!AJ133)*'Responsibilities'!$C$6+('Production schedule'!AJ169)*'Responsibilities'!$C$7+('Production schedule'!AJ205)*'Responsibilities'!$C$8+('Production schedule'!AJ133)*(1-'Responsibilities'!$C$6)+('Production schedule'!AJ169)*(1-'Responsibilities'!$C$7)+('Production schedule'!AJ205)*(1-'Responsibilities'!$C$8)+('Production schedule'!AI133)*'Responsibilities'!$D$6+('Production schedule'!AI169)*'Responsibilities'!$D$7+('Production schedule'!AI205)*'Responsibilities'!$D$8+('Production schedule'!AI133)*(1-'Responsibilities'!$D$6)+('Production schedule'!AI169)*(1-'Responsibilities'!$D$7)+('Production schedule'!AI205)*(1-'Responsibilities'!$D$8)+('Production schedule'!E133*(IF('Sites'!D6="Annual staff",SUM('Assumptions'!W112,'Assumptions'!W114),0)+SUM('Assumptions'!W113,'Assumptions'!W115:W116)))*'Responsibilities'!$E$6+('Production schedule'!E169*(IF('Sites'!D7="Annual staff",SUM('Assumptions'!W117,'Assumptions'!W119),0)+SUM('Assumptions'!W118,'Assumptions'!W120:W121)))*'Responsibilities'!$E$7+('Production schedule'!E205*(IF('Sites'!D8="Annual staff",SUM('Assumptions'!W122,'Assumptions'!W124),0)+SUM('Assumptions'!W123,'Assumptions'!W125:W126)))*'Responsibilities'!$E$8+('Production schedule'!E133*(IF('Sites'!D6="Annual staff",SUM('Assumptions'!W112,'Assumptions'!W114),0)+SUM('Assumptions'!W113,'Assumptions'!W115:W116)))*(1-'Responsibilities'!$E$6)+('Production schedule'!E169*(IF('Sites'!D7="Annual staff",SUM('Assumptions'!W117,'Assumptions'!W119),0)+SUM('Assumptions'!W118,'Assumptions'!W120:W121)))*(1-'Responsibilities'!$E$7)+('Production schedule'!E205*(IF('Sites'!D8="Annual staff",SUM('Assumptions'!W122,'Assumptions'!W124),0)+SUM('Assumptions'!W123,'Assumptions'!W125:W126)))*(1-'Responsibilities'!$E$8)+(IF(AND('Production schedule'!E133=1,20=MAX(('Sites'!F6),13),ISNUMBER('Sites'!P6)),'Sites'!P6*'Assumptions'!$B$44,0))*'Responsibilities'!$F$6+(IF(AND('Production schedule'!E169=1,20=MAX(('Sites'!F7+'Cases'!G7),13),ISNUMBER('Sites'!P7)),'Sites'!P7*'Assumptions'!$B$44,0))*'Responsibilities'!$F$7+(IF(AND('Production schedule'!E205=1,20=MAX(('Sites'!F8+'Cases'!G7),13),ISNUMBER('Sites'!P8)),'Sites'!P8*'Assumptions'!$B$44,0))*'Responsibilities'!$F$8+(IF(AND('Production schedule'!E133=1,20=MAX(('Sites'!F6),13),ISNUMBER('Sites'!P6)),'Sites'!P6*'Assumptions'!$B$44,0))*(1-'Responsibilities'!$F$6)+(IF(AND('Production schedule'!E169=1,20=MAX(('Sites'!F7+'Cases'!G7),13),ISNUMBER('Sites'!P7)),'Sites'!P7*'Assumptions'!$B$44,0))*(1-'Responsibilities'!$F$7)+(IF(AND('Production schedule'!E205=1,20=MAX(('Sites'!F8+'Cases'!G7),13),ISNUMBER('Sites'!P8)),'Sites'!P8*'Assumptions'!$B$44,0))*(1-'Responsibilities'!$F$8)+('Sites'!E6*'Capital'!E6*(IF(20='Capital'!G6,'Capital'!F6,0)+IF(20='Capital'!H6,1-'Capital'!F6,0)))*'Responsibilities'!$G$6+('Sites'!E7*'Capital'!E7*(IF(20='Capital'!G7+'Cases'!G7,'Capital'!F7,0)+IF(20='Capital'!H7+'Cases'!G7,1-'Capital'!F7,0)))*'Responsibilities'!$G$7+('Sites'!E8*'Cases'!F7*'Capital'!E8*(IF(20='Capital'!G8+'Cases'!G7,'Capital'!F8,0)+IF(20='Capital'!H8+'Cases'!G7,1-'Capital'!F8,0)))*'Responsibilities'!$G$8+('Sites'!E6*'Capital'!E6*(IF(20='Capital'!G6,'Capital'!F6,0)+IF(20='Capital'!H6,1-'Capital'!F6,0)))*(1-'Responsibilities'!$G$6)+('Sites'!E7*'Capital'!E7*(IF(20='Capital'!G7+'Cases'!G7,'Capital'!F7,0)+IF(20='Capital'!H7+'Cases'!G7,1-'Capital'!F7,0)))*(1-'Responsibilities'!$G$7)+('Sites'!E8*'Cases'!F7*'Capital'!E8*(IF(20='Capital'!G8+'Cases'!G7,'Capital'!F8,0)+IF(20='Capital'!H8+'Cases'!G7,1-'Capital'!F8,0)))*(1-'Responsibilities'!$G$8)+I61+SUMPRODUCT('Costs'!$E$36:$E$40,'Costs'!$F$36:$F$40)/12+BZ61)</f>
        <v/>
      </c>
      <c r="BZ61">
        <f>SUMIFS('Responsibilities'!$B$31:$B$35,'Responsibilities'!$C$31:$C$35,20,'Responsibilities'!$D$31:$D$35,"Yes")</f>
        <v/>
      </c>
    </row>
    <row r="62" ht="28" customHeight="1">
      <c r="A62" s="4" t="inlineStr">
        <is>
          <t>Smaller</t>
        </is>
      </c>
      <c r="B62" s="4" t="n">
        <v>21</v>
      </c>
      <c r="C62" s="4">
        <f>ROUNDUP(B62/12,0)</f>
        <v/>
      </c>
      <c r="D62" s="137">
        <f>SUMIFS('Production schedule'!$N$114:$N$221,'Production schedule'!$C$114:$C$221,21)</f>
        <v/>
      </c>
      <c r="E62" s="137">
        <f>SUMIFS('Production schedule'!$Y$114:$Y$221,'Production schedule'!$C$114:$C$221,21)</f>
        <v/>
      </c>
      <c r="F62" s="137">
        <f>SUMIFS('Production schedule'!$Z$114:$Z$221,'Production schedule'!$C$114:$C$221,21)</f>
        <v/>
      </c>
      <c r="G62" s="137">
        <f>('Production schedule'!AJ134)*'Responsibilities'!$C$6+('Production schedule'!AJ170)*'Responsibilities'!$C$7+('Production schedule'!AJ206)*'Responsibilities'!$C$8</f>
        <v/>
      </c>
      <c r="H62" s="137">
        <f>('Production schedule'!AI134)*'Responsibilities'!$D$6+('Production schedule'!AI170)*'Responsibilities'!$D$7+('Production schedule'!AI206)*'Responsibilities'!$D$8</f>
        <v/>
      </c>
      <c r="I62" s="137">
        <f>SUM('Assumptions'!X58:X65)</f>
        <v/>
      </c>
      <c r="J62" s="137">
        <f>('Production schedule'!E134*(IF('Sites'!D6="Annual staff",SUM('Assumptions'!X112,'Assumptions'!X114),0)+SUM('Assumptions'!X113,'Assumptions'!X115:X116)))*'Responsibilities'!$E$6+('Production schedule'!E170*(IF('Sites'!D7="Annual staff",SUM('Assumptions'!X117,'Assumptions'!X119),0)+SUM('Assumptions'!X118,'Assumptions'!X120:X121)))*'Responsibilities'!$E$7+('Production schedule'!E206*(IF('Sites'!D8="Annual staff",SUM('Assumptions'!X122,'Assumptions'!X124),0)+SUM('Assumptions'!X123,'Assumptions'!X125:X126)))*'Responsibilities'!$E$8</f>
        <v/>
      </c>
      <c r="K62" s="137">
        <f>(IF(AND('Production schedule'!E134=1,21=MAX(('Sites'!F6),13),ISNUMBER('Sites'!P6)),'Sites'!P6*'Assumptions'!$B$44,0))*'Responsibilities'!$F$6+(IF(AND('Production schedule'!E170=1,21=MAX(('Sites'!F7+'Cases'!G7),13),ISNUMBER('Sites'!P7)),'Sites'!P7*'Assumptions'!$B$44,0))*'Responsibilities'!$F$7+(IF(AND('Production schedule'!E206=1,21=MAX(('Sites'!F8+'Cases'!G7),13),ISNUMBER('Sites'!P8)),'Sites'!P8*'Assumptions'!$B$44,0))*'Responsibilities'!$F$8</f>
        <v/>
      </c>
      <c r="L62" s="137">
        <f>SUM('Costs'!E36)*'Costs'!F36/12*'Responsibilities'!$C$12+SUM('Costs'!E37)*'Costs'!F37/12*'Responsibilities'!$C$13+SUM('Costs'!E38)*'Costs'!F38/12*'Responsibilities'!$C$14+SUM('Costs'!E39)*'Costs'!F39/12*'Responsibilities'!$C$15+SUM('Costs'!E40)*'Costs'!F40/12*'Responsibilities'!$C$16+BZ62</f>
        <v/>
      </c>
      <c r="M62" s="137">
        <f>('Sites'!E6*'Capital'!E6*(IF(21='Capital'!G6,'Capital'!F6,0)+IF(21='Capital'!H6,1-'Capital'!F6,0)))*'Responsibilities'!$G$6+('Sites'!E7*'Capital'!E7*(IF(21='Capital'!G7+'Cases'!G7,'Capital'!F7,0)+IF(21='Capital'!H7+'Cases'!G7,1-'Capital'!F7,0)))*'Responsibilities'!$G$7+('Sites'!E8*'Cases'!F7*'Capital'!E8*(IF(21='Capital'!G8+'Cases'!G7,'Capital'!F8,0)+IF(21='Capital'!H8+'Cases'!G7,1-'Capital'!F8,0)))*'Responsibilities'!$G$8</f>
        <v/>
      </c>
      <c r="N62" s="137">
        <f>SUM(G62:M62)</f>
        <v/>
      </c>
      <c r="O62" s="137">
        <f>SUMIFS(FundingTranches[Secured amount],FundingTranches[Instrument],"Grant",FundingTranches[Secured month],21)</f>
        <v/>
      </c>
      <c r="P62" s="137">
        <f>SUMIFS(FundingTranches[Smaller possible],FundingTranches[Instrument],"Grant",FundingTranches[Scenario month],21-'Cases'!$D$7)</f>
        <v/>
      </c>
      <c r="Q62" s="137">
        <f>SUMIFS(FundingTranches[Secured amount],FundingTranches[Instrument],"Loan",FundingTranches[Secured month],21)</f>
        <v/>
      </c>
      <c r="R62" s="137">
        <f>SUMIFS(FundingTranches[Smaller possible],FundingTranches[Instrument],"Loan",FundingTranches[Scenario month],21-'Cases'!$D$7)</f>
        <v/>
      </c>
      <c r="S62" s="137">
        <f>IF(21&lt;='Assumptions'!$B$34,0,SUMIFS('Production schedule'!$AL$114:$AL$221,'Production schedule'!$C$114:$C$221,21-'Assumptions'!$B$34))</f>
        <v/>
      </c>
      <c r="T62" s="137">
        <f>'Assumptions'!X70</f>
        <v/>
      </c>
      <c r="U62" s="137">
        <f>'Assumptions'!X78</f>
        <v/>
      </c>
      <c r="V62" s="137">
        <f>SUM(O62:U62)</f>
        <v/>
      </c>
      <c r="W62" s="137">
        <f>AA61</f>
        <v/>
      </c>
      <c r="X62" s="137">
        <f>SUM(Q62:R62)</f>
        <v/>
      </c>
      <c r="Y62" s="137">
        <f>SUM(W62,X62)*'Assumptions'!$B$39/12</f>
        <v/>
      </c>
      <c r="Z62" s="137">
        <f>IF(SUM(W62,X62)&gt;0,MIN(SUM(W62,X62),MAX(0,BP62-Y62)),0)</f>
        <v/>
      </c>
      <c r="AA62" s="137">
        <f>SUM(W62,X62)-Z62</f>
        <v/>
      </c>
      <c r="AB62" s="137">
        <f>SUM(Y62:Z62)</f>
        <v/>
      </c>
      <c r="AC62" s="137">
        <f>'Assumptions'!X72</f>
        <v/>
      </c>
      <c r="AD62" s="137">
        <f>'Assumptions'!X73</f>
        <v/>
      </c>
      <c r="AE62" s="137">
        <f>IF(X62&gt;0,SUM('Assumptions'!$B$42),0)</f>
        <v/>
      </c>
      <c r="AF62" s="137">
        <f>'Assumptions'!X71</f>
        <v/>
      </c>
      <c r="AG62" s="137">
        <f>'Assumptions'!X74</f>
        <v/>
      </c>
      <c r="AH62" s="137">
        <f>'Assumptions'!X75</f>
        <v/>
      </c>
      <c r="AI62" s="137">
        <f>'Assumptions'!X77</f>
        <v/>
      </c>
      <c r="AJ62" s="137">
        <f>V62-N62-SUM(AB62:AI62)</f>
        <v/>
      </c>
      <c r="AK62" s="137">
        <f>SUM(AJ42:AJ62)</f>
        <v/>
      </c>
      <c r="AL62" s="137">
        <f>IF(ISNUMBER('Assumptions'!$B$10),'Assumptions'!$B$10+AK62,"")</f>
        <v/>
      </c>
      <c r="AM62" s="137">
        <f>SUM(O62,Q62,T62)-N62-SUM(AC62:AI62)+IF('Funding'!$N$11=0,AE62,0)-IF('Funding'!$N$11&gt;0,AB62,0)</f>
        <v/>
      </c>
      <c r="AN62" s="137">
        <f>SUM(AM42:AM62)</f>
        <v/>
      </c>
      <c r="AO62" s="137">
        <f>IF(ISNUMBER('Assumptions'!$B$10),'Assumptions'!$B$10+AN62,"")</f>
        <v/>
      </c>
      <c r="AP62" s="137">
        <f>('Production schedule'!AK134)*'Responsibilities'!$C$6+('Production schedule'!AK170)*'Responsibilities'!$C$7+('Production schedule'!AK206)*'Responsibilities'!$C$8</f>
        <v/>
      </c>
      <c r="AQ62" s="137">
        <f>SUMIFS('Production schedule'!$AL$114:$AL$221,'Production schedule'!$C$114:$C$221,21)</f>
        <v/>
      </c>
      <c r="AR62" s="137">
        <f>IF(ISNUMBER('Assumptions'!X76),'Assumptions'!X76,SUM(O62:P62))</f>
        <v/>
      </c>
      <c r="AS62" s="137">
        <f>IF(ISNUMBER('Assumptions'!$B$13),MIN('Assumptions'!$B$13/'Assumptions'!$B$18/12,MAX(0,'Assumptions'!$B$13-(21-1)*'Assumptions'!$B$13/'Assumptions'!$B$18/12)),0)+IF(AND('Sites'!E6=1,21&gt;=('Sites'!F6),21&lt;('Sites'!F6)+'Assumptions'!$B$18*12),'Capital'!E6/'Assumptions'!$B$18/12,0)+IF(AND('Sites'!E7=1,21&gt;=('Sites'!F7+'Cases'!G7),21&lt;('Sites'!F7+'Cases'!G7)+'Assumptions'!$B$18*12),'Capital'!E7/'Assumptions'!$B$18/12,0)+IF(AND('Sites'!E8*'Cases'!F7=1,21&gt;=('Sites'!F8+'Cases'!G7),21&lt;('Sites'!F8+'Cases'!G7)+'Assumptions'!$B$18*12),'Capital'!E8/'Assumptions'!$B$18/12,0)</f>
        <v/>
      </c>
      <c r="AT62" s="137">
        <f>SUM(AQ62,AR62,U62)-AP62-SUM(H62:L62)-AS62-SUM(Y62,AD62,AE62,AH62)</f>
        <v/>
      </c>
      <c r="AU62" s="137">
        <f>IF(ISNUMBER('Assumptions'!$B$19),MAX(0,SUM(AT54:AT62))*'Assumptions'!$B$19-SUM(AU54:AU61),"")</f>
        <v/>
      </c>
      <c r="AV62" s="137">
        <f>IF(ISNUMBER(AU62),AT62-AU62,"")</f>
        <v/>
      </c>
      <c r="AW62" s="137">
        <f>IF(ISNUMBER('Assumptions'!$B$11),'Assumptions'!$B$11+SUM(AQ42:AQ62)-SUM(S42:S62)-SUM(T42:T62),"")</f>
        <v/>
      </c>
      <c r="AX62" s="137">
        <f>IF(ISNUMBER('Assumptions'!$B$12),'Assumptions'!$B$12+SUM(G42:G62)-SUM(AP42:AP62),"")</f>
        <v/>
      </c>
      <c r="AY62" s="137">
        <f>IF(ISNUMBER('Assumptions'!$B$13),'Assumptions'!$B$13+SUM(M42:M62)-SUM(AS42:AS62),"")</f>
        <v/>
      </c>
      <c r="AZ62" s="137">
        <f>IF(ISNUMBER('Assumptions'!$B$14),'Assumptions'!$B$14+-SUM(AF42:AF62),"")</f>
        <v/>
      </c>
      <c r="BA62" s="137">
        <f>IF(ISNUMBER('Assumptions'!$B$15),'Assumptions'!$B$15+SUM(O42:O62)+SUM(P42:P62)-SUM(AR42:AR62),"")</f>
        <v/>
      </c>
      <c r="BB62" s="137">
        <f>IF(ISNUMBER('Assumptions'!$B$16),'Assumptions'!$B$16+-SUM(AC42:AC62),"")</f>
        <v/>
      </c>
      <c r="BC62" s="137">
        <f>IF(AND(ISNUMBER('Assumptions'!$B$21),ISNUMBER('Assumptions'!$B$19)),'Assumptions'!$B$21+SUM(AU42:AU62)-SUM(AG42:AG62),"")</f>
        <v/>
      </c>
      <c r="BD62" s="137">
        <f>IF(ISNUMBER('Assumptions'!$B$20),'Assumptions'!$B$20+-SUM(AI42:AI62),"")</f>
        <v/>
      </c>
      <c r="BE62" s="137">
        <f>IF(AND(ISNUMBER('Assumptions'!$B$17),COUNT(AV42:AV62)=21),'Assumptions'!$B$17+SUM(AV42:AV62),"")</f>
        <v/>
      </c>
      <c r="BF62" s="137">
        <f>IF(COUNT(AL62,AW62:AY62)=4,SUM(AL62,AW62:AY62),"")</f>
        <v/>
      </c>
      <c r="BG62" s="137">
        <f>IF(COUNT(AZ62:BD62)=5,SUM(AZ62:BD62,AA62),"")</f>
        <v/>
      </c>
      <c r="BH62" s="137">
        <f>IF(COUNT(BF62,BG62,BE62)=3,BF62-BG62-BE62,"")</f>
        <v/>
      </c>
      <c r="BI62" s="137">
        <f>SUM(W62,X62)-Z62-AA62</f>
        <v/>
      </c>
      <c r="BJ62" s="137">
        <f>8-COUNT('Assumptions'!X58:X65)+COUNTBLANK('NM Play'!B33:B34)+'Costs'!E44+IF(AND('Sites'!E6=1,('Sites'!F6)&lt;=24,'Sites'!G6&gt;=13),IF(ISNUMBER('Sites'!P6),0,1)+'Capital'!I6+COUNTBLANK('Sites'!R6)+IF('Sites'!D6="NM crew",COUNTBLANK('NM Play'!B25)+1,5-COUNT('Assumptions'!X112:X116)),0)+IF(AND('Sites'!E7=1,('Sites'!F7+'Cases'!G7)&lt;=24,'Sites'!G7&gt;=13),IF(ISNUMBER('Sites'!P7),0,1)+'Capital'!I7+COUNTBLANK('Sites'!R7)+IF('Sites'!D7="NM crew",COUNTBLANK('NM Play'!B25)+1,5-COUNT('Assumptions'!X117:X121)),0)+IF(AND('Sites'!E8*'Cases'!F7=1,('Sites'!F8+'Cases'!G7)&lt;=24,'Sites'!G8&gt;=13),IF(ISNUMBER('Sites'!P8),0,1)+'Capital'!I8+COUNTBLANK('Sites'!R8)+IF('Sites'!D8="NM crew",COUNTBLANK('NM Play'!B25)+1,5-COUNT('Assumptions'!X122:X126)),0)+IF(AND('Cases'!C7&gt;0,NOT(ISNUMBER('Assumptions'!B42))),1,0)+'Responsibilities'!$B$39</f>
        <v/>
      </c>
      <c r="BK62" s="137">
        <f>'Assumptions'!$B$50+'NM Play'!$B$83+'Funding'!$F$20+SUMIFS('Production schedule'!$AN$114:$AN$221,'Production schedule'!$C$114:$C$221,21)+IF(OR('Cases'!E7&lt;0,'Cases'!E7&gt;1,'Cases'!C7&lt;0,'Cases'!D7&lt;0,ABS(SUM('Sites'!S6:S8)-1)&gt;0.0001,MIN('Capital'!F6:F8)&lt;0,MAX('Capital'!F6:F8)&gt;1,MIN(AX62,AZ62,BB62,BA62)&lt;-0.01),1,0)+'Responsibilities'!$B$40</f>
        <v/>
      </c>
      <c r="BL62" s="137">
        <f>SUMIFS('Production schedule'!$T$114:$T$221,'Production schedule'!$C$114:$C$221,21)</f>
        <v/>
      </c>
      <c r="BM62" s="137">
        <f>D62*'NM Play'!$B$38</f>
        <v/>
      </c>
      <c r="BN62" s="137">
        <f>SUMIFS('Production schedule'!$AM$114:$AM$221,'Production schedule'!$C$114:$C$221,21)</f>
        <v/>
      </c>
      <c r="BO62" s="137">
        <f>AK62-AK61-AJ62</f>
        <v/>
      </c>
      <c r="BP62" s="137">
        <f>IF(AND('Assumptions'!$B$39&gt;=0,'Assumptions'!$B$40&gt;0),-PMT('Assumptions'!$B$39/12,'Assumptions'!$B$40*12,IF('Funding'!$N$11&gt;0,'Funding'!$N$11,'Funding'!$S$11)),"")</f>
        <v/>
      </c>
      <c r="BQ62">
        <f>('Production schedule'!AJ134)*(1-'Responsibilities'!$C$6)+('Production schedule'!AJ170)*(1-'Responsibilities'!$C$7)+('Production schedule'!AJ206)*(1-'Responsibilities'!$C$8)</f>
        <v/>
      </c>
      <c r="BR62">
        <f>('Production schedule'!AI134)*(1-'Responsibilities'!$D$6)+('Production schedule'!AI170)*(1-'Responsibilities'!$D$7)+('Production schedule'!AI206)*(1-'Responsibilities'!$D$8)</f>
        <v/>
      </c>
      <c r="BS62">
        <f>('Production schedule'!E134*(IF('Sites'!D6="Annual staff",SUM('Assumptions'!X112,'Assumptions'!X114),0)+SUM('Assumptions'!X113,'Assumptions'!X115:X116)))*(1-'Responsibilities'!$E$6)+('Production schedule'!E170*(IF('Sites'!D7="Annual staff",SUM('Assumptions'!X117,'Assumptions'!X119),0)+SUM('Assumptions'!X118,'Assumptions'!X120:X121)))*(1-'Responsibilities'!$E$7)+('Production schedule'!E206*(IF('Sites'!D8="Annual staff",SUM('Assumptions'!X122,'Assumptions'!X124),0)+SUM('Assumptions'!X123,'Assumptions'!X125:X126)))*(1-'Responsibilities'!$E$8)</f>
        <v/>
      </c>
      <c r="BT62">
        <f>(IF(AND('Production schedule'!E134=1,21=MAX(('Sites'!F6),13),ISNUMBER('Sites'!P6)),'Sites'!P6*'Assumptions'!$B$44,0))*(1-'Responsibilities'!$F$6)+(IF(AND('Production schedule'!E170=1,21=MAX(('Sites'!F7+'Cases'!G7),13),ISNUMBER('Sites'!P7)),'Sites'!P7*'Assumptions'!$B$44,0))*(1-'Responsibilities'!$F$7)+(IF(AND('Production schedule'!E206=1,21=MAX(('Sites'!F8+'Cases'!G7),13),ISNUMBER('Sites'!P8)),'Sites'!P8*'Assumptions'!$B$44,0))*(1-'Responsibilities'!$F$8)</f>
        <v/>
      </c>
      <c r="BU62">
        <f>SUM('Costs'!E36)*'Costs'!F36/12*(1-'Responsibilities'!$C$12)+SUM('Costs'!E37)*'Costs'!F37/12*(1-'Responsibilities'!$C$13)+SUM('Costs'!E38)*'Costs'!F38/12*(1-'Responsibilities'!$C$14)+SUM('Costs'!E39)*'Costs'!F39/12*(1-'Responsibilities'!$C$15)+SUM('Costs'!E40)*'Costs'!F40/12*(1-'Responsibilities'!$C$16)</f>
        <v/>
      </c>
      <c r="BV62">
        <f>('Sites'!E6*'Capital'!E6*(IF(21='Capital'!G6,'Capital'!F6,0)+IF(21='Capital'!H6,1-'Capital'!F6,0)))*(1-'Responsibilities'!$G$6)+('Sites'!E7*'Capital'!E7*(IF(21='Capital'!G7+'Cases'!G7,'Capital'!F7,0)+IF(21='Capital'!H7+'Cases'!G7,1-'Capital'!F7,0)))*(1-'Responsibilities'!$G$7)+('Sites'!E8*'Cases'!F7*'Capital'!E8*(IF(21='Capital'!G8+'Cases'!G7,'Capital'!F8,0)+IF(21='Capital'!H8+'Cases'!G7,1-'Capital'!F8,0)))*(1-'Responsibilities'!$G$8)</f>
        <v/>
      </c>
      <c r="BW62">
        <f>SUM(BQ62:BV62)</f>
        <v/>
      </c>
      <c r="BX62">
        <f>N62+BW62</f>
        <v/>
      </c>
      <c r="BY62">
        <f>BX62-(('Production schedule'!AJ134)*'Responsibilities'!$C$6+('Production schedule'!AJ170)*'Responsibilities'!$C$7+('Production schedule'!AJ206)*'Responsibilities'!$C$8+('Production schedule'!AJ134)*(1-'Responsibilities'!$C$6)+('Production schedule'!AJ170)*(1-'Responsibilities'!$C$7)+('Production schedule'!AJ206)*(1-'Responsibilities'!$C$8)+('Production schedule'!AI134)*'Responsibilities'!$D$6+('Production schedule'!AI170)*'Responsibilities'!$D$7+('Production schedule'!AI206)*'Responsibilities'!$D$8+('Production schedule'!AI134)*(1-'Responsibilities'!$D$6)+('Production schedule'!AI170)*(1-'Responsibilities'!$D$7)+('Production schedule'!AI206)*(1-'Responsibilities'!$D$8)+('Production schedule'!E134*(IF('Sites'!D6="Annual staff",SUM('Assumptions'!X112,'Assumptions'!X114),0)+SUM('Assumptions'!X113,'Assumptions'!X115:X116)))*'Responsibilities'!$E$6+('Production schedule'!E170*(IF('Sites'!D7="Annual staff",SUM('Assumptions'!X117,'Assumptions'!X119),0)+SUM('Assumptions'!X118,'Assumptions'!X120:X121)))*'Responsibilities'!$E$7+('Production schedule'!E206*(IF('Sites'!D8="Annual staff",SUM('Assumptions'!X122,'Assumptions'!X124),0)+SUM('Assumptions'!X123,'Assumptions'!X125:X126)))*'Responsibilities'!$E$8+('Production schedule'!E134*(IF('Sites'!D6="Annual staff",SUM('Assumptions'!X112,'Assumptions'!X114),0)+SUM('Assumptions'!X113,'Assumptions'!X115:X116)))*(1-'Responsibilities'!$E$6)+('Production schedule'!E170*(IF('Sites'!D7="Annual staff",SUM('Assumptions'!X117,'Assumptions'!X119),0)+SUM('Assumptions'!X118,'Assumptions'!X120:X121)))*(1-'Responsibilities'!$E$7)+('Production schedule'!E206*(IF('Sites'!D8="Annual staff",SUM('Assumptions'!X122,'Assumptions'!X124),0)+SUM('Assumptions'!X123,'Assumptions'!X125:X126)))*(1-'Responsibilities'!$E$8)+(IF(AND('Production schedule'!E134=1,21=MAX(('Sites'!F6),13),ISNUMBER('Sites'!P6)),'Sites'!P6*'Assumptions'!$B$44,0))*'Responsibilities'!$F$6+(IF(AND('Production schedule'!E170=1,21=MAX(('Sites'!F7+'Cases'!G7),13),ISNUMBER('Sites'!P7)),'Sites'!P7*'Assumptions'!$B$44,0))*'Responsibilities'!$F$7+(IF(AND('Production schedule'!E206=1,21=MAX(('Sites'!F8+'Cases'!G7),13),ISNUMBER('Sites'!P8)),'Sites'!P8*'Assumptions'!$B$44,0))*'Responsibilities'!$F$8+(IF(AND('Production schedule'!E134=1,21=MAX(('Sites'!F6),13),ISNUMBER('Sites'!P6)),'Sites'!P6*'Assumptions'!$B$44,0))*(1-'Responsibilities'!$F$6)+(IF(AND('Production schedule'!E170=1,21=MAX(('Sites'!F7+'Cases'!G7),13),ISNUMBER('Sites'!P7)),'Sites'!P7*'Assumptions'!$B$44,0))*(1-'Responsibilities'!$F$7)+(IF(AND('Production schedule'!E206=1,21=MAX(('Sites'!F8+'Cases'!G7),13),ISNUMBER('Sites'!P8)),'Sites'!P8*'Assumptions'!$B$44,0))*(1-'Responsibilities'!$F$8)+('Sites'!E6*'Capital'!E6*(IF(21='Capital'!G6,'Capital'!F6,0)+IF(21='Capital'!H6,1-'Capital'!F6,0)))*'Responsibilities'!$G$6+('Sites'!E7*'Capital'!E7*(IF(21='Capital'!G7+'Cases'!G7,'Capital'!F7,0)+IF(21='Capital'!H7+'Cases'!G7,1-'Capital'!F7,0)))*'Responsibilities'!$G$7+('Sites'!E8*'Cases'!F7*'Capital'!E8*(IF(21='Capital'!G8+'Cases'!G7,'Capital'!F8,0)+IF(21='Capital'!H8+'Cases'!G7,1-'Capital'!F8,0)))*'Responsibilities'!$G$8+('Sites'!E6*'Capital'!E6*(IF(21='Capital'!G6,'Capital'!F6,0)+IF(21='Capital'!H6,1-'Capital'!F6,0)))*(1-'Responsibilities'!$G$6)+('Sites'!E7*'Capital'!E7*(IF(21='Capital'!G7+'Cases'!G7,'Capital'!F7,0)+IF(21='Capital'!H7+'Cases'!G7,1-'Capital'!F7,0)))*(1-'Responsibilities'!$G$7)+('Sites'!E8*'Cases'!F7*'Capital'!E8*(IF(21='Capital'!G8+'Cases'!G7,'Capital'!F8,0)+IF(21='Capital'!H8+'Cases'!G7,1-'Capital'!F8,0)))*(1-'Responsibilities'!$G$8)+I62+SUMPRODUCT('Costs'!$E$36:$E$40,'Costs'!$F$36:$F$40)/12+BZ62)</f>
        <v/>
      </c>
      <c r="BZ62">
        <f>SUMIFS('Responsibilities'!$B$31:$B$35,'Responsibilities'!$C$31:$C$35,21,'Responsibilities'!$D$31:$D$35,"Yes")</f>
        <v/>
      </c>
    </row>
    <row r="63" ht="28" customHeight="1">
      <c r="A63" s="4" t="inlineStr">
        <is>
          <t>Smaller</t>
        </is>
      </c>
      <c r="B63" s="4" t="n">
        <v>22</v>
      </c>
      <c r="C63" s="4">
        <f>ROUNDUP(B63/12,0)</f>
        <v/>
      </c>
      <c r="D63" s="137">
        <f>SUMIFS('Production schedule'!$N$114:$N$221,'Production schedule'!$C$114:$C$221,22)</f>
        <v/>
      </c>
      <c r="E63" s="137">
        <f>SUMIFS('Production schedule'!$Y$114:$Y$221,'Production schedule'!$C$114:$C$221,22)</f>
        <v/>
      </c>
      <c r="F63" s="137">
        <f>SUMIFS('Production schedule'!$Z$114:$Z$221,'Production schedule'!$C$114:$C$221,22)</f>
        <v/>
      </c>
      <c r="G63" s="137">
        <f>('Production schedule'!AJ135)*'Responsibilities'!$C$6+('Production schedule'!AJ171)*'Responsibilities'!$C$7+('Production schedule'!AJ207)*'Responsibilities'!$C$8</f>
        <v/>
      </c>
      <c r="H63" s="137">
        <f>('Production schedule'!AI135)*'Responsibilities'!$D$6+('Production schedule'!AI171)*'Responsibilities'!$D$7+('Production schedule'!AI207)*'Responsibilities'!$D$8</f>
        <v/>
      </c>
      <c r="I63" s="137">
        <f>SUM('Assumptions'!Y58:Y65)</f>
        <v/>
      </c>
      <c r="J63" s="137">
        <f>('Production schedule'!E135*(IF('Sites'!D6="Annual staff",SUM('Assumptions'!Y112,'Assumptions'!Y114),0)+SUM('Assumptions'!Y113,'Assumptions'!Y115:Y116)))*'Responsibilities'!$E$6+('Production schedule'!E171*(IF('Sites'!D7="Annual staff",SUM('Assumptions'!Y117,'Assumptions'!Y119),0)+SUM('Assumptions'!Y118,'Assumptions'!Y120:Y121)))*'Responsibilities'!$E$7+('Production schedule'!E207*(IF('Sites'!D8="Annual staff",SUM('Assumptions'!Y122,'Assumptions'!Y124),0)+SUM('Assumptions'!Y123,'Assumptions'!Y125:Y126)))*'Responsibilities'!$E$8</f>
        <v/>
      </c>
      <c r="K63" s="137">
        <f>(IF(AND('Production schedule'!E135=1,22=MAX(('Sites'!F6),13),ISNUMBER('Sites'!P6)),'Sites'!P6*'Assumptions'!$B$44,0))*'Responsibilities'!$F$6+(IF(AND('Production schedule'!E171=1,22=MAX(('Sites'!F7+'Cases'!G7),13),ISNUMBER('Sites'!P7)),'Sites'!P7*'Assumptions'!$B$44,0))*'Responsibilities'!$F$7+(IF(AND('Production schedule'!E207=1,22=MAX(('Sites'!F8+'Cases'!G7),13),ISNUMBER('Sites'!P8)),'Sites'!P8*'Assumptions'!$B$44,0))*'Responsibilities'!$F$8</f>
        <v/>
      </c>
      <c r="L63" s="137">
        <f>SUM('Costs'!E36)*'Costs'!F36/12*'Responsibilities'!$C$12+SUM('Costs'!E37)*'Costs'!F37/12*'Responsibilities'!$C$13+SUM('Costs'!E38)*'Costs'!F38/12*'Responsibilities'!$C$14+SUM('Costs'!E39)*'Costs'!F39/12*'Responsibilities'!$C$15+SUM('Costs'!E40)*'Costs'!F40/12*'Responsibilities'!$C$16+BZ63</f>
        <v/>
      </c>
      <c r="M63" s="137">
        <f>('Sites'!E6*'Capital'!E6*(IF(22='Capital'!G6,'Capital'!F6,0)+IF(22='Capital'!H6,1-'Capital'!F6,0)))*'Responsibilities'!$G$6+('Sites'!E7*'Capital'!E7*(IF(22='Capital'!G7+'Cases'!G7,'Capital'!F7,0)+IF(22='Capital'!H7+'Cases'!G7,1-'Capital'!F7,0)))*'Responsibilities'!$G$7+('Sites'!E8*'Cases'!F7*'Capital'!E8*(IF(22='Capital'!G8+'Cases'!G7,'Capital'!F8,0)+IF(22='Capital'!H8+'Cases'!G7,1-'Capital'!F8,0)))*'Responsibilities'!$G$8</f>
        <v/>
      </c>
      <c r="N63" s="137">
        <f>SUM(G63:M63)</f>
        <v/>
      </c>
      <c r="O63" s="137">
        <f>SUMIFS(FundingTranches[Secured amount],FundingTranches[Instrument],"Grant",FundingTranches[Secured month],22)</f>
        <v/>
      </c>
      <c r="P63" s="137">
        <f>SUMIFS(FundingTranches[Smaller possible],FundingTranches[Instrument],"Grant",FundingTranches[Scenario month],22-'Cases'!$D$7)</f>
        <v/>
      </c>
      <c r="Q63" s="137">
        <f>SUMIFS(FundingTranches[Secured amount],FundingTranches[Instrument],"Loan",FundingTranches[Secured month],22)</f>
        <v/>
      </c>
      <c r="R63" s="137">
        <f>SUMIFS(FundingTranches[Smaller possible],FundingTranches[Instrument],"Loan",FundingTranches[Scenario month],22-'Cases'!$D$7)</f>
        <v/>
      </c>
      <c r="S63" s="137">
        <f>IF(22&lt;='Assumptions'!$B$34,0,SUMIFS('Production schedule'!$AL$114:$AL$221,'Production schedule'!$C$114:$C$221,22-'Assumptions'!$B$34))</f>
        <v/>
      </c>
      <c r="T63" s="137">
        <f>'Assumptions'!Y70</f>
        <v/>
      </c>
      <c r="U63" s="137">
        <f>'Assumptions'!Y78</f>
        <v/>
      </c>
      <c r="V63" s="137">
        <f>SUM(O63:U63)</f>
        <v/>
      </c>
      <c r="W63" s="137">
        <f>AA62</f>
        <v/>
      </c>
      <c r="X63" s="137">
        <f>SUM(Q63:R63)</f>
        <v/>
      </c>
      <c r="Y63" s="137">
        <f>SUM(W63,X63)*'Assumptions'!$B$39/12</f>
        <v/>
      </c>
      <c r="Z63" s="137">
        <f>IF(SUM(W63,X63)&gt;0,MIN(SUM(W63,X63),MAX(0,BP63-Y63)),0)</f>
        <v/>
      </c>
      <c r="AA63" s="137">
        <f>SUM(W63,X63)-Z63</f>
        <v/>
      </c>
      <c r="AB63" s="137">
        <f>SUM(Y63:Z63)</f>
        <v/>
      </c>
      <c r="AC63" s="137">
        <f>'Assumptions'!Y72</f>
        <v/>
      </c>
      <c r="AD63" s="137">
        <f>'Assumptions'!Y73</f>
        <v/>
      </c>
      <c r="AE63" s="137">
        <f>IF(X63&gt;0,SUM('Assumptions'!$B$42),0)</f>
        <v/>
      </c>
      <c r="AF63" s="137">
        <f>'Assumptions'!Y71</f>
        <v/>
      </c>
      <c r="AG63" s="137">
        <f>'Assumptions'!Y74</f>
        <v/>
      </c>
      <c r="AH63" s="137">
        <f>'Assumptions'!Y75</f>
        <v/>
      </c>
      <c r="AI63" s="137">
        <f>'Assumptions'!Y77</f>
        <v/>
      </c>
      <c r="AJ63" s="137">
        <f>V63-N63-SUM(AB63:AI63)</f>
        <v/>
      </c>
      <c r="AK63" s="137">
        <f>SUM(AJ42:AJ63)</f>
        <v/>
      </c>
      <c r="AL63" s="137">
        <f>IF(ISNUMBER('Assumptions'!$B$10),'Assumptions'!$B$10+AK63,"")</f>
        <v/>
      </c>
      <c r="AM63" s="137">
        <f>SUM(O63,Q63,T63)-N63-SUM(AC63:AI63)+IF('Funding'!$N$11=0,AE63,0)-IF('Funding'!$N$11&gt;0,AB63,0)</f>
        <v/>
      </c>
      <c r="AN63" s="137">
        <f>SUM(AM42:AM63)</f>
        <v/>
      </c>
      <c r="AO63" s="137">
        <f>IF(ISNUMBER('Assumptions'!$B$10),'Assumptions'!$B$10+AN63,"")</f>
        <v/>
      </c>
      <c r="AP63" s="137">
        <f>('Production schedule'!AK135)*'Responsibilities'!$C$6+('Production schedule'!AK171)*'Responsibilities'!$C$7+('Production schedule'!AK207)*'Responsibilities'!$C$8</f>
        <v/>
      </c>
      <c r="AQ63" s="137">
        <f>SUMIFS('Production schedule'!$AL$114:$AL$221,'Production schedule'!$C$114:$C$221,22)</f>
        <v/>
      </c>
      <c r="AR63" s="137">
        <f>IF(ISNUMBER('Assumptions'!Y76),'Assumptions'!Y76,SUM(O63:P63))</f>
        <v/>
      </c>
      <c r="AS63" s="137">
        <f>IF(ISNUMBER('Assumptions'!$B$13),MIN('Assumptions'!$B$13/'Assumptions'!$B$18/12,MAX(0,'Assumptions'!$B$13-(22-1)*'Assumptions'!$B$13/'Assumptions'!$B$18/12)),0)+IF(AND('Sites'!E6=1,22&gt;=('Sites'!F6),22&lt;('Sites'!F6)+'Assumptions'!$B$18*12),'Capital'!E6/'Assumptions'!$B$18/12,0)+IF(AND('Sites'!E7=1,22&gt;=('Sites'!F7+'Cases'!G7),22&lt;('Sites'!F7+'Cases'!G7)+'Assumptions'!$B$18*12),'Capital'!E7/'Assumptions'!$B$18/12,0)+IF(AND('Sites'!E8*'Cases'!F7=1,22&gt;=('Sites'!F8+'Cases'!G7),22&lt;('Sites'!F8+'Cases'!G7)+'Assumptions'!$B$18*12),'Capital'!E8/'Assumptions'!$B$18/12,0)</f>
        <v/>
      </c>
      <c r="AT63" s="137">
        <f>SUM(AQ63,AR63,U63)-AP63-SUM(H63:L63)-AS63-SUM(Y63,AD63,AE63,AH63)</f>
        <v/>
      </c>
      <c r="AU63" s="137">
        <f>IF(ISNUMBER('Assumptions'!$B$19),MAX(0,SUM(AT54:AT63))*'Assumptions'!$B$19-SUM(AU54:AU62),"")</f>
        <v/>
      </c>
      <c r="AV63" s="137">
        <f>IF(ISNUMBER(AU63),AT63-AU63,"")</f>
        <v/>
      </c>
      <c r="AW63" s="137">
        <f>IF(ISNUMBER('Assumptions'!$B$11),'Assumptions'!$B$11+SUM(AQ42:AQ63)-SUM(S42:S63)-SUM(T42:T63),"")</f>
        <v/>
      </c>
      <c r="AX63" s="137">
        <f>IF(ISNUMBER('Assumptions'!$B$12),'Assumptions'!$B$12+SUM(G42:G63)-SUM(AP42:AP63),"")</f>
        <v/>
      </c>
      <c r="AY63" s="137">
        <f>IF(ISNUMBER('Assumptions'!$B$13),'Assumptions'!$B$13+SUM(M42:M63)-SUM(AS42:AS63),"")</f>
        <v/>
      </c>
      <c r="AZ63" s="137">
        <f>IF(ISNUMBER('Assumptions'!$B$14),'Assumptions'!$B$14+-SUM(AF42:AF63),"")</f>
        <v/>
      </c>
      <c r="BA63" s="137">
        <f>IF(ISNUMBER('Assumptions'!$B$15),'Assumptions'!$B$15+SUM(O42:O63)+SUM(P42:P63)-SUM(AR42:AR63),"")</f>
        <v/>
      </c>
      <c r="BB63" s="137">
        <f>IF(ISNUMBER('Assumptions'!$B$16),'Assumptions'!$B$16+-SUM(AC42:AC63),"")</f>
        <v/>
      </c>
      <c r="BC63" s="137">
        <f>IF(AND(ISNUMBER('Assumptions'!$B$21),ISNUMBER('Assumptions'!$B$19)),'Assumptions'!$B$21+SUM(AU42:AU63)-SUM(AG42:AG63),"")</f>
        <v/>
      </c>
      <c r="BD63" s="137">
        <f>IF(ISNUMBER('Assumptions'!$B$20),'Assumptions'!$B$20+-SUM(AI42:AI63),"")</f>
        <v/>
      </c>
      <c r="BE63" s="137">
        <f>IF(AND(ISNUMBER('Assumptions'!$B$17),COUNT(AV42:AV63)=22),'Assumptions'!$B$17+SUM(AV42:AV63),"")</f>
        <v/>
      </c>
      <c r="BF63" s="137">
        <f>IF(COUNT(AL63,AW63:AY63)=4,SUM(AL63,AW63:AY63),"")</f>
        <v/>
      </c>
      <c r="BG63" s="137">
        <f>IF(COUNT(AZ63:BD63)=5,SUM(AZ63:BD63,AA63),"")</f>
        <v/>
      </c>
      <c r="BH63" s="137">
        <f>IF(COUNT(BF63,BG63,BE63)=3,BF63-BG63-BE63,"")</f>
        <v/>
      </c>
      <c r="BI63" s="137">
        <f>SUM(W63,X63)-Z63-AA63</f>
        <v/>
      </c>
      <c r="BJ63" s="137">
        <f>8-COUNT('Assumptions'!Y58:Y65)+COUNTBLANK('NM Play'!B33:B34)+'Costs'!E44+IF(AND('Sites'!E6=1,('Sites'!F6)&lt;=24,'Sites'!G6&gt;=13),IF(ISNUMBER('Sites'!P6),0,1)+'Capital'!I6+COUNTBLANK('Sites'!R6)+IF('Sites'!D6="NM crew",COUNTBLANK('NM Play'!B25)+1,5-COUNT('Assumptions'!Y112:Y116)),0)+IF(AND('Sites'!E7=1,('Sites'!F7+'Cases'!G7)&lt;=24,'Sites'!G7&gt;=13),IF(ISNUMBER('Sites'!P7),0,1)+'Capital'!I7+COUNTBLANK('Sites'!R7)+IF('Sites'!D7="NM crew",COUNTBLANK('NM Play'!B25)+1,5-COUNT('Assumptions'!Y117:Y121)),0)+IF(AND('Sites'!E8*'Cases'!F7=1,('Sites'!F8+'Cases'!G7)&lt;=24,'Sites'!G8&gt;=13),IF(ISNUMBER('Sites'!P8),0,1)+'Capital'!I8+COUNTBLANK('Sites'!R8)+IF('Sites'!D8="NM crew",COUNTBLANK('NM Play'!B25)+1,5-COUNT('Assumptions'!Y122:Y126)),0)+IF(AND('Cases'!C7&gt;0,NOT(ISNUMBER('Assumptions'!B42))),1,0)+'Responsibilities'!$B$39</f>
        <v/>
      </c>
      <c r="BK63" s="137">
        <f>'Assumptions'!$B$50+'NM Play'!$B$83+'Funding'!$F$20+SUMIFS('Production schedule'!$AN$114:$AN$221,'Production schedule'!$C$114:$C$221,22)+IF(OR('Cases'!E7&lt;0,'Cases'!E7&gt;1,'Cases'!C7&lt;0,'Cases'!D7&lt;0,ABS(SUM('Sites'!S6:S8)-1)&gt;0.0001,MIN('Capital'!F6:F8)&lt;0,MAX('Capital'!F6:F8)&gt;1,MIN(AX63,AZ63,BB63,BA63)&lt;-0.01),1,0)+'Responsibilities'!$B$40</f>
        <v/>
      </c>
      <c r="BL63" s="137">
        <f>SUMIFS('Production schedule'!$T$114:$T$221,'Production schedule'!$C$114:$C$221,22)</f>
        <v/>
      </c>
      <c r="BM63" s="137">
        <f>D63*'NM Play'!$B$38</f>
        <v/>
      </c>
      <c r="BN63" s="137">
        <f>SUMIFS('Production schedule'!$AM$114:$AM$221,'Production schedule'!$C$114:$C$221,22)</f>
        <v/>
      </c>
      <c r="BO63" s="137">
        <f>AK63-AK62-AJ63</f>
        <v/>
      </c>
      <c r="BP63" s="137">
        <f>IF(AND('Assumptions'!$B$39&gt;=0,'Assumptions'!$B$40&gt;0),-PMT('Assumptions'!$B$39/12,'Assumptions'!$B$40*12,IF('Funding'!$N$11&gt;0,'Funding'!$N$11,'Funding'!$S$11)),"")</f>
        <v/>
      </c>
      <c r="BQ63">
        <f>('Production schedule'!AJ135)*(1-'Responsibilities'!$C$6)+('Production schedule'!AJ171)*(1-'Responsibilities'!$C$7)+('Production schedule'!AJ207)*(1-'Responsibilities'!$C$8)</f>
        <v/>
      </c>
      <c r="BR63">
        <f>('Production schedule'!AI135)*(1-'Responsibilities'!$D$6)+('Production schedule'!AI171)*(1-'Responsibilities'!$D$7)+('Production schedule'!AI207)*(1-'Responsibilities'!$D$8)</f>
        <v/>
      </c>
      <c r="BS63">
        <f>('Production schedule'!E135*(IF('Sites'!D6="Annual staff",SUM('Assumptions'!Y112,'Assumptions'!Y114),0)+SUM('Assumptions'!Y113,'Assumptions'!Y115:Y116)))*(1-'Responsibilities'!$E$6)+('Production schedule'!E171*(IF('Sites'!D7="Annual staff",SUM('Assumptions'!Y117,'Assumptions'!Y119),0)+SUM('Assumptions'!Y118,'Assumptions'!Y120:Y121)))*(1-'Responsibilities'!$E$7)+('Production schedule'!E207*(IF('Sites'!D8="Annual staff",SUM('Assumptions'!Y122,'Assumptions'!Y124),0)+SUM('Assumptions'!Y123,'Assumptions'!Y125:Y126)))*(1-'Responsibilities'!$E$8)</f>
        <v/>
      </c>
      <c r="BT63">
        <f>(IF(AND('Production schedule'!E135=1,22=MAX(('Sites'!F6),13),ISNUMBER('Sites'!P6)),'Sites'!P6*'Assumptions'!$B$44,0))*(1-'Responsibilities'!$F$6)+(IF(AND('Production schedule'!E171=1,22=MAX(('Sites'!F7+'Cases'!G7),13),ISNUMBER('Sites'!P7)),'Sites'!P7*'Assumptions'!$B$44,0))*(1-'Responsibilities'!$F$7)+(IF(AND('Production schedule'!E207=1,22=MAX(('Sites'!F8+'Cases'!G7),13),ISNUMBER('Sites'!P8)),'Sites'!P8*'Assumptions'!$B$44,0))*(1-'Responsibilities'!$F$8)</f>
        <v/>
      </c>
      <c r="BU63">
        <f>SUM('Costs'!E36)*'Costs'!F36/12*(1-'Responsibilities'!$C$12)+SUM('Costs'!E37)*'Costs'!F37/12*(1-'Responsibilities'!$C$13)+SUM('Costs'!E38)*'Costs'!F38/12*(1-'Responsibilities'!$C$14)+SUM('Costs'!E39)*'Costs'!F39/12*(1-'Responsibilities'!$C$15)+SUM('Costs'!E40)*'Costs'!F40/12*(1-'Responsibilities'!$C$16)</f>
        <v/>
      </c>
      <c r="BV63">
        <f>('Sites'!E6*'Capital'!E6*(IF(22='Capital'!G6,'Capital'!F6,0)+IF(22='Capital'!H6,1-'Capital'!F6,0)))*(1-'Responsibilities'!$G$6)+('Sites'!E7*'Capital'!E7*(IF(22='Capital'!G7+'Cases'!G7,'Capital'!F7,0)+IF(22='Capital'!H7+'Cases'!G7,1-'Capital'!F7,0)))*(1-'Responsibilities'!$G$7)+('Sites'!E8*'Cases'!F7*'Capital'!E8*(IF(22='Capital'!G8+'Cases'!G7,'Capital'!F8,0)+IF(22='Capital'!H8+'Cases'!G7,1-'Capital'!F8,0)))*(1-'Responsibilities'!$G$8)</f>
        <v/>
      </c>
      <c r="BW63">
        <f>SUM(BQ63:BV63)</f>
        <v/>
      </c>
      <c r="BX63">
        <f>N63+BW63</f>
        <v/>
      </c>
      <c r="BY63">
        <f>BX63-(('Production schedule'!AJ135)*'Responsibilities'!$C$6+('Production schedule'!AJ171)*'Responsibilities'!$C$7+('Production schedule'!AJ207)*'Responsibilities'!$C$8+('Production schedule'!AJ135)*(1-'Responsibilities'!$C$6)+('Production schedule'!AJ171)*(1-'Responsibilities'!$C$7)+('Production schedule'!AJ207)*(1-'Responsibilities'!$C$8)+('Production schedule'!AI135)*'Responsibilities'!$D$6+('Production schedule'!AI171)*'Responsibilities'!$D$7+('Production schedule'!AI207)*'Responsibilities'!$D$8+('Production schedule'!AI135)*(1-'Responsibilities'!$D$6)+('Production schedule'!AI171)*(1-'Responsibilities'!$D$7)+('Production schedule'!AI207)*(1-'Responsibilities'!$D$8)+('Production schedule'!E135*(IF('Sites'!D6="Annual staff",SUM('Assumptions'!Y112,'Assumptions'!Y114),0)+SUM('Assumptions'!Y113,'Assumptions'!Y115:Y116)))*'Responsibilities'!$E$6+('Production schedule'!E171*(IF('Sites'!D7="Annual staff",SUM('Assumptions'!Y117,'Assumptions'!Y119),0)+SUM('Assumptions'!Y118,'Assumptions'!Y120:Y121)))*'Responsibilities'!$E$7+('Production schedule'!E207*(IF('Sites'!D8="Annual staff",SUM('Assumptions'!Y122,'Assumptions'!Y124),0)+SUM('Assumptions'!Y123,'Assumptions'!Y125:Y126)))*'Responsibilities'!$E$8+('Production schedule'!E135*(IF('Sites'!D6="Annual staff",SUM('Assumptions'!Y112,'Assumptions'!Y114),0)+SUM('Assumptions'!Y113,'Assumptions'!Y115:Y116)))*(1-'Responsibilities'!$E$6)+('Production schedule'!E171*(IF('Sites'!D7="Annual staff",SUM('Assumptions'!Y117,'Assumptions'!Y119),0)+SUM('Assumptions'!Y118,'Assumptions'!Y120:Y121)))*(1-'Responsibilities'!$E$7)+('Production schedule'!E207*(IF('Sites'!D8="Annual staff",SUM('Assumptions'!Y122,'Assumptions'!Y124),0)+SUM('Assumptions'!Y123,'Assumptions'!Y125:Y126)))*(1-'Responsibilities'!$E$8)+(IF(AND('Production schedule'!E135=1,22=MAX(('Sites'!F6),13),ISNUMBER('Sites'!P6)),'Sites'!P6*'Assumptions'!$B$44,0))*'Responsibilities'!$F$6+(IF(AND('Production schedule'!E171=1,22=MAX(('Sites'!F7+'Cases'!G7),13),ISNUMBER('Sites'!P7)),'Sites'!P7*'Assumptions'!$B$44,0))*'Responsibilities'!$F$7+(IF(AND('Production schedule'!E207=1,22=MAX(('Sites'!F8+'Cases'!G7),13),ISNUMBER('Sites'!P8)),'Sites'!P8*'Assumptions'!$B$44,0))*'Responsibilities'!$F$8+(IF(AND('Production schedule'!E135=1,22=MAX(('Sites'!F6),13),ISNUMBER('Sites'!P6)),'Sites'!P6*'Assumptions'!$B$44,0))*(1-'Responsibilities'!$F$6)+(IF(AND('Production schedule'!E171=1,22=MAX(('Sites'!F7+'Cases'!G7),13),ISNUMBER('Sites'!P7)),'Sites'!P7*'Assumptions'!$B$44,0))*(1-'Responsibilities'!$F$7)+(IF(AND('Production schedule'!E207=1,22=MAX(('Sites'!F8+'Cases'!G7),13),ISNUMBER('Sites'!P8)),'Sites'!P8*'Assumptions'!$B$44,0))*(1-'Responsibilities'!$F$8)+('Sites'!E6*'Capital'!E6*(IF(22='Capital'!G6,'Capital'!F6,0)+IF(22='Capital'!H6,1-'Capital'!F6,0)))*'Responsibilities'!$G$6+('Sites'!E7*'Capital'!E7*(IF(22='Capital'!G7+'Cases'!G7,'Capital'!F7,0)+IF(22='Capital'!H7+'Cases'!G7,1-'Capital'!F7,0)))*'Responsibilities'!$G$7+('Sites'!E8*'Cases'!F7*'Capital'!E8*(IF(22='Capital'!G8+'Cases'!G7,'Capital'!F8,0)+IF(22='Capital'!H8+'Cases'!G7,1-'Capital'!F8,0)))*'Responsibilities'!$G$8+('Sites'!E6*'Capital'!E6*(IF(22='Capital'!G6,'Capital'!F6,0)+IF(22='Capital'!H6,1-'Capital'!F6,0)))*(1-'Responsibilities'!$G$6)+('Sites'!E7*'Capital'!E7*(IF(22='Capital'!G7+'Cases'!G7,'Capital'!F7,0)+IF(22='Capital'!H7+'Cases'!G7,1-'Capital'!F7,0)))*(1-'Responsibilities'!$G$7)+('Sites'!E8*'Cases'!F7*'Capital'!E8*(IF(22='Capital'!G8+'Cases'!G7,'Capital'!F8,0)+IF(22='Capital'!H8+'Cases'!G7,1-'Capital'!F8,0)))*(1-'Responsibilities'!$G$8)+I63+SUMPRODUCT('Costs'!$E$36:$E$40,'Costs'!$F$36:$F$40)/12+BZ63)</f>
        <v/>
      </c>
      <c r="BZ63">
        <f>SUMIFS('Responsibilities'!$B$31:$B$35,'Responsibilities'!$C$31:$C$35,22,'Responsibilities'!$D$31:$D$35,"Yes")</f>
        <v/>
      </c>
    </row>
    <row r="64" ht="28" customHeight="1">
      <c r="A64" s="4" t="inlineStr">
        <is>
          <t>Smaller</t>
        </is>
      </c>
      <c r="B64" s="4" t="n">
        <v>23</v>
      </c>
      <c r="C64" s="4">
        <f>ROUNDUP(B64/12,0)</f>
        <v/>
      </c>
      <c r="D64" s="137">
        <f>SUMIFS('Production schedule'!$N$114:$N$221,'Production schedule'!$C$114:$C$221,23)</f>
        <v/>
      </c>
      <c r="E64" s="137">
        <f>SUMIFS('Production schedule'!$Y$114:$Y$221,'Production schedule'!$C$114:$C$221,23)</f>
        <v/>
      </c>
      <c r="F64" s="137">
        <f>SUMIFS('Production schedule'!$Z$114:$Z$221,'Production schedule'!$C$114:$C$221,23)</f>
        <v/>
      </c>
      <c r="G64" s="137">
        <f>('Production schedule'!AJ136)*'Responsibilities'!$C$6+('Production schedule'!AJ172)*'Responsibilities'!$C$7+('Production schedule'!AJ208)*'Responsibilities'!$C$8</f>
        <v/>
      </c>
      <c r="H64" s="137">
        <f>('Production schedule'!AI136)*'Responsibilities'!$D$6+('Production schedule'!AI172)*'Responsibilities'!$D$7+('Production schedule'!AI208)*'Responsibilities'!$D$8</f>
        <v/>
      </c>
      <c r="I64" s="137">
        <f>SUM('Assumptions'!Z58:Z65)</f>
        <v/>
      </c>
      <c r="J64" s="137">
        <f>('Production schedule'!E136*(IF('Sites'!D6="Annual staff",SUM('Assumptions'!Z112,'Assumptions'!Z114),0)+SUM('Assumptions'!Z113,'Assumptions'!Z115:Z116)))*'Responsibilities'!$E$6+('Production schedule'!E172*(IF('Sites'!D7="Annual staff",SUM('Assumptions'!Z117,'Assumptions'!Z119),0)+SUM('Assumptions'!Z118,'Assumptions'!Z120:Z121)))*'Responsibilities'!$E$7+('Production schedule'!E208*(IF('Sites'!D8="Annual staff",SUM('Assumptions'!Z122,'Assumptions'!Z124),0)+SUM('Assumptions'!Z123,'Assumptions'!Z125:Z126)))*'Responsibilities'!$E$8</f>
        <v/>
      </c>
      <c r="K64" s="137">
        <f>(IF(AND('Production schedule'!E136=1,23=MAX(('Sites'!F6),13),ISNUMBER('Sites'!P6)),'Sites'!P6*'Assumptions'!$B$44,0))*'Responsibilities'!$F$6+(IF(AND('Production schedule'!E172=1,23=MAX(('Sites'!F7+'Cases'!G7),13),ISNUMBER('Sites'!P7)),'Sites'!P7*'Assumptions'!$B$44,0))*'Responsibilities'!$F$7+(IF(AND('Production schedule'!E208=1,23=MAX(('Sites'!F8+'Cases'!G7),13),ISNUMBER('Sites'!P8)),'Sites'!P8*'Assumptions'!$B$44,0))*'Responsibilities'!$F$8</f>
        <v/>
      </c>
      <c r="L64" s="137">
        <f>SUM('Costs'!E36)*'Costs'!F36/12*'Responsibilities'!$C$12+SUM('Costs'!E37)*'Costs'!F37/12*'Responsibilities'!$C$13+SUM('Costs'!E38)*'Costs'!F38/12*'Responsibilities'!$C$14+SUM('Costs'!E39)*'Costs'!F39/12*'Responsibilities'!$C$15+SUM('Costs'!E40)*'Costs'!F40/12*'Responsibilities'!$C$16+BZ64</f>
        <v/>
      </c>
      <c r="M64" s="137">
        <f>('Sites'!E6*'Capital'!E6*(IF(23='Capital'!G6,'Capital'!F6,0)+IF(23='Capital'!H6,1-'Capital'!F6,0)))*'Responsibilities'!$G$6+('Sites'!E7*'Capital'!E7*(IF(23='Capital'!G7+'Cases'!G7,'Capital'!F7,0)+IF(23='Capital'!H7+'Cases'!G7,1-'Capital'!F7,0)))*'Responsibilities'!$G$7+('Sites'!E8*'Cases'!F7*'Capital'!E8*(IF(23='Capital'!G8+'Cases'!G7,'Capital'!F8,0)+IF(23='Capital'!H8+'Cases'!G7,1-'Capital'!F8,0)))*'Responsibilities'!$G$8</f>
        <v/>
      </c>
      <c r="N64" s="137">
        <f>SUM(G64:M64)</f>
        <v/>
      </c>
      <c r="O64" s="137">
        <f>SUMIFS(FundingTranches[Secured amount],FundingTranches[Instrument],"Grant",FundingTranches[Secured month],23)</f>
        <v/>
      </c>
      <c r="P64" s="137">
        <f>SUMIFS(FundingTranches[Smaller possible],FundingTranches[Instrument],"Grant",FundingTranches[Scenario month],23-'Cases'!$D$7)</f>
        <v/>
      </c>
      <c r="Q64" s="137">
        <f>SUMIFS(FundingTranches[Secured amount],FundingTranches[Instrument],"Loan",FundingTranches[Secured month],23)</f>
        <v/>
      </c>
      <c r="R64" s="137">
        <f>SUMIFS(FundingTranches[Smaller possible],FundingTranches[Instrument],"Loan",FundingTranches[Scenario month],23-'Cases'!$D$7)</f>
        <v/>
      </c>
      <c r="S64" s="137">
        <f>IF(23&lt;='Assumptions'!$B$34,0,SUMIFS('Production schedule'!$AL$114:$AL$221,'Production schedule'!$C$114:$C$221,23-'Assumptions'!$B$34))</f>
        <v/>
      </c>
      <c r="T64" s="137">
        <f>'Assumptions'!Z70</f>
        <v/>
      </c>
      <c r="U64" s="137">
        <f>'Assumptions'!Z78</f>
        <v/>
      </c>
      <c r="V64" s="137">
        <f>SUM(O64:U64)</f>
        <v/>
      </c>
      <c r="W64" s="137">
        <f>AA63</f>
        <v/>
      </c>
      <c r="X64" s="137">
        <f>SUM(Q64:R64)</f>
        <v/>
      </c>
      <c r="Y64" s="137">
        <f>SUM(W64,X64)*'Assumptions'!$B$39/12</f>
        <v/>
      </c>
      <c r="Z64" s="137">
        <f>IF(SUM(W64,X64)&gt;0,MIN(SUM(W64,X64),MAX(0,BP64-Y64)),0)</f>
        <v/>
      </c>
      <c r="AA64" s="137">
        <f>SUM(W64,X64)-Z64</f>
        <v/>
      </c>
      <c r="AB64" s="137">
        <f>SUM(Y64:Z64)</f>
        <v/>
      </c>
      <c r="AC64" s="137">
        <f>'Assumptions'!Z72</f>
        <v/>
      </c>
      <c r="AD64" s="137">
        <f>'Assumptions'!Z73</f>
        <v/>
      </c>
      <c r="AE64" s="137">
        <f>IF(X64&gt;0,SUM('Assumptions'!$B$42),0)</f>
        <v/>
      </c>
      <c r="AF64" s="137">
        <f>'Assumptions'!Z71</f>
        <v/>
      </c>
      <c r="AG64" s="137">
        <f>'Assumptions'!Z74</f>
        <v/>
      </c>
      <c r="AH64" s="137">
        <f>'Assumptions'!Z75</f>
        <v/>
      </c>
      <c r="AI64" s="137">
        <f>'Assumptions'!Z77</f>
        <v/>
      </c>
      <c r="AJ64" s="137">
        <f>V64-N64-SUM(AB64:AI64)</f>
        <v/>
      </c>
      <c r="AK64" s="137">
        <f>SUM(AJ42:AJ64)</f>
        <v/>
      </c>
      <c r="AL64" s="137">
        <f>IF(ISNUMBER('Assumptions'!$B$10),'Assumptions'!$B$10+AK64,"")</f>
        <v/>
      </c>
      <c r="AM64" s="137">
        <f>SUM(O64,Q64,T64)-N64-SUM(AC64:AI64)+IF('Funding'!$N$11=0,AE64,0)-IF('Funding'!$N$11&gt;0,AB64,0)</f>
        <v/>
      </c>
      <c r="AN64" s="137">
        <f>SUM(AM42:AM64)</f>
        <v/>
      </c>
      <c r="AO64" s="137">
        <f>IF(ISNUMBER('Assumptions'!$B$10),'Assumptions'!$B$10+AN64,"")</f>
        <v/>
      </c>
      <c r="AP64" s="137">
        <f>('Production schedule'!AK136)*'Responsibilities'!$C$6+('Production schedule'!AK172)*'Responsibilities'!$C$7+('Production schedule'!AK208)*'Responsibilities'!$C$8</f>
        <v/>
      </c>
      <c r="AQ64" s="137">
        <f>SUMIFS('Production schedule'!$AL$114:$AL$221,'Production schedule'!$C$114:$C$221,23)</f>
        <v/>
      </c>
      <c r="AR64" s="137">
        <f>IF(ISNUMBER('Assumptions'!Z76),'Assumptions'!Z76,SUM(O64:P64))</f>
        <v/>
      </c>
      <c r="AS64" s="137">
        <f>IF(ISNUMBER('Assumptions'!$B$13),MIN('Assumptions'!$B$13/'Assumptions'!$B$18/12,MAX(0,'Assumptions'!$B$13-(23-1)*'Assumptions'!$B$13/'Assumptions'!$B$18/12)),0)+IF(AND('Sites'!E6=1,23&gt;=('Sites'!F6),23&lt;('Sites'!F6)+'Assumptions'!$B$18*12),'Capital'!E6/'Assumptions'!$B$18/12,0)+IF(AND('Sites'!E7=1,23&gt;=('Sites'!F7+'Cases'!G7),23&lt;('Sites'!F7+'Cases'!G7)+'Assumptions'!$B$18*12),'Capital'!E7/'Assumptions'!$B$18/12,0)+IF(AND('Sites'!E8*'Cases'!F7=1,23&gt;=('Sites'!F8+'Cases'!G7),23&lt;('Sites'!F8+'Cases'!G7)+'Assumptions'!$B$18*12),'Capital'!E8/'Assumptions'!$B$18/12,0)</f>
        <v/>
      </c>
      <c r="AT64" s="137">
        <f>SUM(AQ64,AR64,U64)-AP64-SUM(H64:L64)-AS64-SUM(Y64,AD64,AE64,AH64)</f>
        <v/>
      </c>
      <c r="AU64" s="137">
        <f>IF(ISNUMBER('Assumptions'!$B$19),MAX(0,SUM(AT54:AT64))*'Assumptions'!$B$19-SUM(AU54:AU63),"")</f>
        <v/>
      </c>
      <c r="AV64" s="137">
        <f>IF(ISNUMBER(AU64),AT64-AU64,"")</f>
        <v/>
      </c>
      <c r="AW64" s="137">
        <f>IF(ISNUMBER('Assumptions'!$B$11),'Assumptions'!$B$11+SUM(AQ42:AQ64)-SUM(S42:S64)-SUM(T42:T64),"")</f>
        <v/>
      </c>
      <c r="AX64" s="137">
        <f>IF(ISNUMBER('Assumptions'!$B$12),'Assumptions'!$B$12+SUM(G42:G64)-SUM(AP42:AP64),"")</f>
        <v/>
      </c>
      <c r="AY64" s="137">
        <f>IF(ISNUMBER('Assumptions'!$B$13),'Assumptions'!$B$13+SUM(M42:M64)-SUM(AS42:AS64),"")</f>
        <v/>
      </c>
      <c r="AZ64" s="137">
        <f>IF(ISNUMBER('Assumptions'!$B$14),'Assumptions'!$B$14+-SUM(AF42:AF64),"")</f>
        <v/>
      </c>
      <c r="BA64" s="137">
        <f>IF(ISNUMBER('Assumptions'!$B$15),'Assumptions'!$B$15+SUM(O42:O64)+SUM(P42:P64)-SUM(AR42:AR64),"")</f>
        <v/>
      </c>
      <c r="BB64" s="137">
        <f>IF(ISNUMBER('Assumptions'!$B$16),'Assumptions'!$B$16+-SUM(AC42:AC64),"")</f>
        <v/>
      </c>
      <c r="BC64" s="137">
        <f>IF(AND(ISNUMBER('Assumptions'!$B$21),ISNUMBER('Assumptions'!$B$19)),'Assumptions'!$B$21+SUM(AU42:AU64)-SUM(AG42:AG64),"")</f>
        <v/>
      </c>
      <c r="BD64" s="137">
        <f>IF(ISNUMBER('Assumptions'!$B$20),'Assumptions'!$B$20+-SUM(AI42:AI64),"")</f>
        <v/>
      </c>
      <c r="BE64" s="137">
        <f>IF(AND(ISNUMBER('Assumptions'!$B$17),COUNT(AV42:AV64)=23),'Assumptions'!$B$17+SUM(AV42:AV64),"")</f>
        <v/>
      </c>
      <c r="BF64" s="137">
        <f>IF(COUNT(AL64,AW64:AY64)=4,SUM(AL64,AW64:AY64),"")</f>
        <v/>
      </c>
      <c r="BG64" s="137">
        <f>IF(COUNT(AZ64:BD64)=5,SUM(AZ64:BD64,AA64),"")</f>
        <v/>
      </c>
      <c r="BH64" s="137">
        <f>IF(COUNT(BF64,BG64,BE64)=3,BF64-BG64-BE64,"")</f>
        <v/>
      </c>
      <c r="BI64" s="137">
        <f>SUM(W64,X64)-Z64-AA64</f>
        <v/>
      </c>
      <c r="BJ64" s="137">
        <f>8-COUNT('Assumptions'!Z58:Z65)+COUNTBLANK('NM Play'!B33:B34)+'Costs'!E44+IF(AND('Sites'!E6=1,('Sites'!F6)&lt;=24,'Sites'!G6&gt;=13),IF(ISNUMBER('Sites'!P6),0,1)+'Capital'!I6+COUNTBLANK('Sites'!R6)+IF('Sites'!D6="NM crew",COUNTBLANK('NM Play'!B25)+1,5-COUNT('Assumptions'!Z112:Z116)),0)+IF(AND('Sites'!E7=1,('Sites'!F7+'Cases'!G7)&lt;=24,'Sites'!G7&gt;=13),IF(ISNUMBER('Sites'!P7),0,1)+'Capital'!I7+COUNTBLANK('Sites'!R7)+IF('Sites'!D7="NM crew",COUNTBLANK('NM Play'!B25)+1,5-COUNT('Assumptions'!Z117:Z121)),0)+IF(AND('Sites'!E8*'Cases'!F7=1,('Sites'!F8+'Cases'!G7)&lt;=24,'Sites'!G8&gt;=13),IF(ISNUMBER('Sites'!P8),0,1)+'Capital'!I8+COUNTBLANK('Sites'!R8)+IF('Sites'!D8="NM crew",COUNTBLANK('NM Play'!B25)+1,5-COUNT('Assumptions'!Z122:Z126)),0)+IF(AND('Cases'!C7&gt;0,NOT(ISNUMBER('Assumptions'!B42))),1,0)+'Responsibilities'!$B$39</f>
        <v/>
      </c>
      <c r="BK64" s="137">
        <f>'Assumptions'!$B$50+'NM Play'!$B$83+'Funding'!$F$20+SUMIFS('Production schedule'!$AN$114:$AN$221,'Production schedule'!$C$114:$C$221,23)+IF(OR('Cases'!E7&lt;0,'Cases'!E7&gt;1,'Cases'!C7&lt;0,'Cases'!D7&lt;0,ABS(SUM('Sites'!S6:S8)-1)&gt;0.0001,MIN('Capital'!F6:F8)&lt;0,MAX('Capital'!F6:F8)&gt;1,MIN(AX64,AZ64,BB64,BA64)&lt;-0.01),1,0)+'Responsibilities'!$B$40</f>
        <v/>
      </c>
      <c r="BL64" s="137">
        <f>SUMIFS('Production schedule'!$T$114:$T$221,'Production schedule'!$C$114:$C$221,23)</f>
        <v/>
      </c>
      <c r="BM64" s="137">
        <f>D64*'NM Play'!$B$38</f>
        <v/>
      </c>
      <c r="BN64" s="137">
        <f>SUMIFS('Production schedule'!$AM$114:$AM$221,'Production schedule'!$C$114:$C$221,23)</f>
        <v/>
      </c>
      <c r="BO64" s="137">
        <f>AK64-AK63-AJ64</f>
        <v/>
      </c>
      <c r="BP64" s="137">
        <f>IF(AND('Assumptions'!$B$39&gt;=0,'Assumptions'!$B$40&gt;0),-PMT('Assumptions'!$B$39/12,'Assumptions'!$B$40*12,IF('Funding'!$N$11&gt;0,'Funding'!$N$11,'Funding'!$S$11)),"")</f>
        <v/>
      </c>
      <c r="BQ64">
        <f>('Production schedule'!AJ136)*(1-'Responsibilities'!$C$6)+('Production schedule'!AJ172)*(1-'Responsibilities'!$C$7)+('Production schedule'!AJ208)*(1-'Responsibilities'!$C$8)</f>
        <v/>
      </c>
      <c r="BR64">
        <f>('Production schedule'!AI136)*(1-'Responsibilities'!$D$6)+('Production schedule'!AI172)*(1-'Responsibilities'!$D$7)+('Production schedule'!AI208)*(1-'Responsibilities'!$D$8)</f>
        <v/>
      </c>
      <c r="BS64">
        <f>('Production schedule'!E136*(IF('Sites'!D6="Annual staff",SUM('Assumptions'!Z112,'Assumptions'!Z114),0)+SUM('Assumptions'!Z113,'Assumptions'!Z115:Z116)))*(1-'Responsibilities'!$E$6)+('Production schedule'!E172*(IF('Sites'!D7="Annual staff",SUM('Assumptions'!Z117,'Assumptions'!Z119),0)+SUM('Assumptions'!Z118,'Assumptions'!Z120:Z121)))*(1-'Responsibilities'!$E$7)+('Production schedule'!E208*(IF('Sites'!D8="Annual staff",SUM('Assumptions'!Z122,'Assumptions'!Z124),0)+SUM('Assumptions'!Z123,'Assumptions'!Z125:Z126)))*(1-'Responsibilities'!$E$8)</f>
        <v/>
      </c>
      <c r="BT64">
        <f>(IF(AND('Production schedule'!E136=1,23=MAX(('Sites'!F6),13),ISNUMBER('Sites'!P6)),'Sites'!P6*'Assumptions'!$B$44,0))*(1-'Responsibilities'!$F$6)+(IF(AND('Production schedule'!E172=1,23=MAX(('Sites'!F7+'Cases'!G7),13),ISNUMBER('Sites'!P7)),'Sites'!P7*'Assumptions'!$B$44,0))*(1-'Responsibilities'!$F$7)+(IF(AND('Production schedule'!E208=1,23=MAX(('Sites'!F8+'Cases'!G7),13),ISNUMBER('Sites'!P8)),'Sites'!P8*'Assumptions'!$B$44,0))*(1-'Responsibilities'!$F$8)</f>
        <v/>
      </c>
      <c r="BU64">
        <f>SUM('Costs'!E36)*'Costs'!F36/12*(1-'Responsibilities'!$C$12)+SUM('Costs'!E37)*'Costs'!F37/12*(1-'Responsibilities'!$C$13)+SUM('Costs'!E38)*'Costs'!F38/12*(1-'Responsibilities'!$C$14)+SUM('Costs'!E39)*'Costs'!F39/12*(1-'Responsibilities'!$C$15)+SUM('Costs'!E40)*'Costs'!F40/12*(1-'Responsibilities'!$C$16)</f>
        <v/>
      </c>
      <c r="BV64">
        <f>('Sites'!E6*'Capital'!E6*(IF(23='Capital'!G6,'Capital'!F6,0)+IF(23='Capital'!H6,1-'Capital'!F6,0)))*(1-'Responsibilities'!$G$6)+('Sites'!E7*'Capital'!E7*(IF(23='Capital'!G7+'Cases'!G7,'Capital'!F7,0)+IF(23='Capital'!H7+'Cases'!G7,1-'Capital'!F7,0)))*(1-'Responsibilities'!$G$7)+('Sites'!E8*'Cases'!F7*'Capital'!E8*(IF(23='Capital'!G8+'Cases'!G7,'Capital'!F8,0)+IF(23='Capital'!H8+'Cases'!G7,1-'Capital'!F8,0)))*(1-'Responsibilities'!$G$8)</f>
        <v/>
      </c>
      <c r="BW64">
        <f>SUM(BQ64:BV64)</f>
        <v/>
      </c>
      <c r="BX64">
        <f>N64+BW64</f>
        <v/>
      </c>
      <c r="BY64">
        <f>BX64-(('Production schedule'!AJ136)*'Responsibilities'!$C$6+('Production schedule'!AJ172)*'Responsibilities'!$C$7+('Production schedule'!AJ208)*'Responsibilities'!$C$8+('Production schedule'!AJ136)*(1-'Responsibilities'!$C$6)+('Production schedule'!AJ172)*(1-'Responsibilities'!$C$7)+('Production schedule'!AJ208)*(1-'Responsibilities'!$C$8)+('Production schedule'!AI136)*'Responsibilities'!$D$6+('Production schedule'!AI172)*'Responsibilities'!$D$7+('Production schedule'!AI208)*'Responsibilities'!$D$8+('Production schedule'!AI136)*(1-'Responsibilities'!$D$6)+('Production schedule'!AI172)*(1-'Responsibilities'!$D$7)+('Production schedule'!AI208)*(1-'Responsibilities'!$D$8)+('Production schedule'!E136*(IF('Sites'!D6="Annual staff",SUM('Assumptions'!Z112,'Assumptions'!Z114),0)+SUM('Assumptions'!Z113,'Assumptions'!Z115:Z116)))*'Responsibilities'!$E$6+('Production schedule'!E172*(IF('Sites'!D7="Annual staff",SUM('Assumptions'!Z117,'Assumptions'!Z119),0)+SUM('Assumptions'!Z118,'Assumptions'!Z120:Z121)))*'Responsibilities'!$E$7+('Production schedule'!E208*(IF('Sites'!D8="Annual staff",SUM('Assumptions'!Z122,'Assumptions'!Z124),0)+SUM('Assumptions'!Z123,'Assumptions'!Z125:Z126)))*'Responsibilities'!$E$8+('Production schedule'!E136*(IF('Sites'!D6="Annual staff",SUM('Assumptions'!Z112,'Assumptions'!Z114),0)+SUM('Assumptions'!Z113,'Assumptions'!Z115:Z116)))*(1-'Responsibilities'!$E$6)+('Production schedule'!E172*(IF('Sites'!D7="Annual staff",SUM('Assumptions'!Z117,'Assumptions'!Z119),0)+SUM('Assumptions'!Z118,'Assumptions'!Z120:Z121)))*(1-'Responsibilities'!$E$7)+('Production schedule'!E208*(IF('Sites'!D8="Annual staff",SUM('Assumptions'!Z122,'Assumptions'!Z124),0)+SUM('Assumptions'!Z123,'Assumptions'!Z125:Z126)))*(1-'Responsibilities'!$E$8)+(IF(AND('Production schedule'!E136=1,23=MAX(('Sites'!F6),13),ISNUMBER('Sites'!P6)),'Sites'!P6*'Assumptions'!$B$44,0))*'Responsibilities'!$F$6+(IF(AND('Production schedule'!E172=1,23=MAX(('Sites'!F7+'Cases'!G7),13),ISNUMBER('Sites'!P7)),'Sites'!P7*'Assumptions'!$B$44,0))*'Responsibilities'!$F$7+(IF(AND('Production schedule'!E208=1,23=MAX(('Sites'!F8+'Cases'!G7),13),ISNUMBER('Sites'!P8)),'Sites'!P8*'Assumptions'!$B$44,0))*'Responsibilities'!$F$8+(IF(AND('Production schedule'!E136=1,23=MAX(('Sites'!F6),13),ISNUMBER('Sites'!P6)),'Sites'!P6*'Assumptions'!$B$44,0))*(1-'Responsibilities'!$F$6)+(IF(AND('Production schedule'!E172=1,23=MAX(('Sites'!F7+'Cases'!G7),13),ISNUMBER('Sites'!P7)),'Sites'!P7*'Assumptions'!$B$44,0))*(1-'Responsibilities'!$F$7)+(IF(AND('Production schedule'!E208=1,23=MAX(('Sites'!F8+'Cases'!G7),13),ISNUMBER('Sites'!P8)),'Sites'!P8*'Assumptions'!$B$44,0))*(1-'Responsibilities'!$F$8)+('Sites'!E6*'Capital'!E6*(IF(23='Capital'!G6,'Capital'!F6,0)+IF(23='Capital'!H6,1-'Capital'!F6,0)))*'Responsibilities'!$G$6+('Sites'!E7*'Capital'!E7*(IF(23='Capital'!G7+'Cases'!G7,'Capital'!F7,0)+IF(23='Capital'!H7+'Cases'!G7,1-'Capital'!F7,0)))*'Responsibilities'!$G$7+('Sites'!E8*'Cases'!F7*'Capital'!E8*(IF(23='Capital'!G8+'Cases'!G7,'Capital'!F8,0)+IF(23='Capital'!H8+'Cases'!G7,1-'Capital'!F8,0)))*'Responsibilities'!$G$8+('Sites'!E6*'Capital'!E6*(IF(23='Capital'!G6,'Capital'!F6,0)+IF(23='Capital'!H6,1-'Capital'!F6,0)))*(1-'Responsibilities'!$G$6)+('Sites'!E7*'Capital'!E7*(IF(23='Capital'!G7+'Cases'!G7,'Capital'!F7,0)+IF(23='Capital'!H7+'Cases'!G7,1-'Capital'!F7,0)))*(1-'Responsibilities'!$G$7)+('Sites'!E8*'Cases'!F7*'Capital'!E8*(IF(23='Capital'!G8+'Cases'!G7,'Capital'!F8,0)+IF(23='Capital'!H8+'Cases'!G7,1-'Capital'!F8,0)))*(1-'Responsibilities'!$G$8)+I64+SUMPRODUCT('Costs'!$E$36:$E$40,'Costs'!$F$36:$F$40)/12+BZ64)</f>
        <v/>
      </c>
      <c r="BZ64">
        <f>SUMIFS('Responsibilities'!$B$31:$B$35,'Responsibilities'!$C$31:$C$35,23,'Responsibilities'!$D$31:$D$35,"Yes")</f>
        <v/>
      </c>
    </row>
    <row r="65" ht="28" customHeight="1">
      <c r="A65" s="4" t="inlineStr">
        <is>
          <t>Smaller</t>
        </is>
      </c>
      <c r="B65" s="4" t="n">
        <v>24</v>
      </c>
      <c r="C65" s="4">
        <f>ROUNDUP(B65/12,0)</f>
        <v/>
      </c>
      <c r="D65" s="137">
        <f>SUMIFS('Production schedule'!$N$114:$N$221,'Production schedule'!$C$114:$C$221,24)</f>
        <v/>
      </c>
      <c r="E65" s="137">
        <f>SUMIFS('Production schedule'!$Y$114:$Y$221,'Production schedule'!$C$114:$C$221,24)</f>
        <v/>
      </c>
      <c r="F65" s="137">
        <f>SUMIFS('Production schedule'!$Z$114:$Z$221,'Production schedule'!$C$114:$C$221,24)</f>
        <v/>
      </c>
      <c r="G65" s="137">
        <f>('Production schedule'!AJ137)*'Responsibilities'!$C$6+('Production schedule'!AJ173)*'Responsibilities'!$C$7+('Production schedule'!AJ209)*'Responsibilities'!$C$8</f>
        <v/>
      </c>
      <c r="H65" s="137">
        <f>('Production schedule'!AI137)*'Responsibilities'!$D$6+('Production schedule'!AI173)*'Responsibilities'!$D$7+('Production schedule'!AI209)*'Responsibilities'!$D$8</f>
        <v/>
      </c>
      <c r="I65" s="137">
        <f>SUM('Assumptions'!AA58:AA65)</f>
        <v/>
      </c>
      <c r="J65" s="137">
        <f>('Production schedule'!E137*(IF('Sites'!D6="Annual staff",SUM('Assumptions'!AA112,'Assumptions'!AA114),0)+SUM('Assumptions'!AA113,'Assumptions'!AA115:AA116)))*'Responsibilities'!$E$6+('Production schedule'!E173*(IF('Sites'!D7="Annual staff",SUM('Assumptions'!AA117,'Assumptions'!AA119),0)+SUM('Assumptions'!AA118,'Assumptions'!AA120:AA121)))*'Responsibilities'!$E$7+('Production schedule'!E209*(IF('Sites'!D8="Annual staff",SUM('Assumptions'!AA122,'Assumptions'!AA124),0)+SUM('Assumptions'!AA123,'Assumptions'!AA125:AA126)))*'Responsibilities'!$E$8</f>
        <v/>
      </c>
      <c r="K65" s="137">
        <f>(IF(AND('Production schedule'!E137=1,24=MAX(('Sites'!F6),13),ISNUMBER('Sites'!P6)),'Sites'!P6*'Assumptions'!$B$44,0))*'Responsibilities'!$F$6+(IF(AND('Production schedule'!E173=1,24=MAX(('Sites'!F7+'Cases'!G7),13),ISNUMBER('Sites'!P7)),'Sites'!P7*'Assumptions'!$B$44,0))*'Responsibilities'!$F$7+(IF(AND('Production schedule'!E209=1,24=MAX(('Sites'!F8+'Cases'!G7),13),ISNUMBER('Sites'!P8)),'Sites'!P8*'Assumptions'!$B$44,0))*'Responsibilities'!$F$8</f>
        <v/>
      </c>
      <c r="L65" s="137">
        <f>SUM('Costs'!E36)*'Costs'!F36/12*'Responsibilities'!$C$12+SUM('Costs'!E37)*'Costs'!F37/12*'Responsibilities'!$C$13+SUM('Costs'!E38)*'Costs'!F38/12*'Responsibilities'!$C$14+SUM('Costs'!E39)*'Costs'!F39/12*'Responsibilities'!$C$15+SUM('Costs'!E40)*'Costs'!F40/12*'Responsibilities'!$C$16+BZ65</f>
        <v/>
      </c>
      <c r="M65" s="137">
        <f>('Sites'!E6*'Capital'!E6*(IF(24='Capital'!G6,'Capital'!F6,0)+IF(24='Capital'!H6,1-'Capital'!F6,0)))*'Responsibilities'!$G$6+('Sites'!E7*'Capital'!E7*(IF(24='Capital'!G7+'Cases'!G7,'Capital'!F7,0)+IF(24='Capital'!H7+'Cases'!G7,1-'Capital'!F7,0)))*'Responsibilities'!$G$7+('Sites'!E8*'Cases'!F7*'Capital'!E8*(IF(24='Capital'!G8+'Cases'!G7,'Capital'!F8,0)+IF(24='Capital'!H8+'Cases'!G7,1-'Capital'!F8,0)))*'Responsibilities'!$G$8</f>
        <v/>
      </c>
      <c r="N65" s="137">
        <f>SUM(G65:M65)</f>
        <v/>
      </c>
      <c r="O65" s="137">
        <f>SUMIFS(FundingTranches[Secured amount],FundingTranches[Instrument],"Grant",FundingTranches[Secured month],24)</f>
        <v/>
      </c>
      <c r="P65" s="137">
        <f>SUMIFS(FundingTranches[Smaller possible],FundingTranches[Instrument],"Grant",FundingTranches[Scenario month],24-'Cases'!$D$7)</f>
        <v/>
      </c>
      <c r="Q65" s="137">
        <f>SUMIFS(FundingTranches[Secured amount],FundingTranches[Instrument],"Loan",FundingTranches[Secured month],24)</f>
        <v/>
      </c>
      <c r="R65" s="137">
        <f>SUMIFS(FundingTranches[Smaller possible],FundingTranches[Instrument],"Loan",FundingTranches[Scenario month],24-'Cases'!$D$7)</f>
        <v/>
      </c>
      <c r="S65" s="137">
        <f>IF(24&lt;='Assumptions'!$B$34,0,SUMIFS('Production schedule'!$AL$114:$AL$221,'Production schedule'!$C$114:$C$221,24-'Assumptions'!$B$34))</f>
        <v/>
      </c>
      <c r="T65" s="137">
        <f>'Assumptions'!AA70</f>
        <v/>
      </c>
      <c r="U65" s="137">
        <f>'Assumptions'!AA78</f>
        <v/>
      </c>
      <c r="V65" s="137">
        <f>SUM(O65:U65)</f>
        <v/>
      </c>
      <c r="W65" s="137">
        <f>AA64</f>
        <v/>
      </c>
      <c r="X65" s="137">
        <f>SUM(Q65:R65)</f>
        <v/>
      </c>
      <c r="Y65" s="137">
        <f>SUM(W65,X65)*'Assumptions'!$B$39/12</f>
        <v/>
      </c>
      <c r="Z65" s="137">
        <f>IF(SUM(W65,X65)&gt;0,MIN(SUM(W65,X65),MAX(0,BP65-Y65)),0)</f>
        <v/>
      </c>
      <c r="AA65" s="137">
        <f>SUM(W65,X65)-Z65</f>
        <v/>
      </c>
      <c r="AB65" s="137">
        <f>SUM(Y65:Z65)</f>
        <v/>
      </c>
      <c r="AC65" s="137">
        <f>'Assumptions'!AA72</f>
        <v/>
      </c>
      <c r="AD65" s="137">
        <f>'Assumptions'!AA73</f>
        <v/>
      </c>
      <c r="AE65" s="137">
        <f>IF(X65&gt;0,SUM('Assumptions'!$B$42),0)</f>
        <v/>
      </c>
      <c r="AF65" s="137">
        <f>'Assumptions'!AA71</f>
        <v/>
      </c>
      <c r="AG65" s="137">
        <f>'Assumptions'!AA74</f>
        <v/>
      </c>
      <c r="AH65" s="137">
        <f>'Assumptions'!AA75</f>
        <v/>
      </c>
      <c r="AI65" s="137">
        <f>'Assumptions'!AA77</f>
        <v/>
      </c>
      <c r="AJ65" s="137">
        <f>V65-N65-SUM(AB65:AI65)</f>
        <v/>
      </c>
      <c r="AK65" s="137">
        <f>SUM(AJ42:AJ65)</f>
        <v/>
      </c>
      <c r="AL65" s="137">
        <f>IF(ISNUMBER('Assumptions'!$B$10),'Assumptions'!$B$10+AK65,"")</f>
        <v/>
      </c>
      <c r="AM65" s="137">
        <f>SUM(O65,Q65,T65)-N65-SUM(AC65:AI65)+IF('Funding'!$N$11=0,AE65,0)-IF('Funding'!$N$11&gt;0,AB65,0)</f>
        <v/>
      </c>
      <c r="AN65" s="137">
        <f>SUM(AM42:AM65)</f>
        <v/>
      </c>
      <c r="AO65" s="137">
        <f>IF(ISNUMBER('Assumptions'!$B$10),'Assumptions'!$B$10+AN65,"")</f>
        <v/>
      </c>
      <c r="AP65" s="137">
        <f>('Production schedule'!AK137)*'Responsibilities'!$C$6+('Production schedule'!AK173)*'Responsibilities'!$C$7+('Production schedule'!AK209)*'Responsibilities'!$C$8</f>
        <v/>
      </c>
      <c r="AQ65" s="137">
        <f>SUMIFS('Production schedule'!$AL$114:$AL$221,'Production schedule'!$C$114:$C$221,24)</f>
        <v/>
      </c>
      <c r="AR65" s="137">
        <f>IF(ISNUMBER('Assumptions'!AA76),'Assumptions'!AA76,SUM(O65:P65))</f>
        <v/>
      </c>
      <c r="AS65" s="137">
        <f>IF(ISNUMBER('Assumptions'!$B$13),MIN('Assumptions'!$B$13/'Assumptions'!$B$18/12,MAX(0,'Assumptions'!$B$13-(24-1)*'Assumptions'!$B$13/'Assumptions'!$B$18/12)),0)+IF(AND('Sites'!E6=1,24&gt;=('Sites'!F6),24&lt;('Sites'!F6)+'Assumptions'!$B$18*12),'Capital'!E6/'Assumptions'!$B$18/12,0)+IF(AND('Sites'!E7=1,24&gt;=('Sites'!F7+'Cases'!G7),24&lt;('Sites'!F7+'Cases'!G7)+'Assumptions'!$B$18*12),'Capital'!E7/'Assumptions'!$B$18/12,0)+IF(AND('Sites'!E8*'Cases'!F7=1,24&gt;=('Sites'!F8+'Cases'!G7),24&lt;('Sites'!F8+'Cases'!G7)+'Assumptions'!$B$18*12),'Capital'!E8/'Assumptions'!$B$18/12,0)</f>
        <v/>
      </c>
      <c r="AT65" s="137">
        <f>SUM(AQ65,AR65,U65)-AP65-SUM(H65:L65)-AS65-SUM(Y65,AD65,AE65,AH65)</f>
        <v/>
      </c>
      <c r="AU65" s="137">
        <f>IF(ISNUMBER('Assumptions'!$B$19),MAX(0,SUM(AT54:AT65))*'Assumptions'!$B$19-SUM(AU54:AU64),"")</f>
        <v/>
      </c>
      <c r="AV65" s="137">
        <f>IF(ISNUMBER(AU65),AT65-AU65,"")</f>
        <v/>
      </c>
      <c r="AW65" s="137">
        <f>IF(ISNUMBER('Assumptions'!$B$11),'Assumptions'!$B$11+SUM(AQ42:AQ65)-SUM(S42:S65)-SUM(T42:T65),"")</f>
        <v/>
      </c>
      <c r="AX65" s="137">
        <f>IF(ISNUMBER('Assumptions'!$B$12),'Assumptions'!$B$12+SUM(G42:G65)-SUM(AP42:AP65),"")</f>
        <v/>
      </c>
      <c r="AY65" s="137">
        <f>IF(ISNUMBER('Assumptions'!$B$13),'Assumptions'!$B$13+SUM(M42:M65)-SUM(AS42:AS65),"")</f>
        <v/>
      </c>
      <c r="AZ65" s="137">
        <f>IF(ISNUMBER('Assumptions'!$B$14),'Assumptions'!$B$14+-SUM(AF42:AF65),"")</f>
        <v/>
      </c>
      <c r="BA65" s="137">
        <f>IF(ISNUMBER('Assumptions'!$B$15),'Assumptions'!$B$15+SUM(O42:O65)+SUM(P42:P65)-SUM(AR42:AR65),"")</f>
        <v/>
      </c>
      <c r="BB65" s="137">
        <f>IF(ISNUMBER('Assumptions'!$B$16),'Assumptions'!$B$16+-SUM(AC42:AC65),"")</f>
        <v/>
      </c>
      <c r="BC65" s="137">
        <f>IF(AND(ISNUMBER('Assumptions'!$B$21),ISNUMBER('Assumptions'!$B$19)),'Assumptions'!$B$21+SUM(AU42:AU65)-SUM(AG42:AG65),"")</f>
        <v/>
      </c>
      <c r="BD65" s="137">
        <f>IF(ISNUMBER('Assumptions'!$B$20),'Assumptions'!$B$20+-SUM(AI42:AI65),"")</f>
        <v/>
      </c>
      <c r="BE65" s="137">
        <f>IF(AND(ISNUMBER('Assumptions'!$B$17),COUNT(AV42:AV65)=24),'Assumptions'!$B$17+SUM(AV42:AV65),"")</f>
        <v/>
      </c>
      <c r="BF65" s="137">
        <f>IF(COUNT(AL65,AW65:AY65)=4,SUM(AL65,AW65:AY65),"")</f>
        <v/>
      </c>
      <c r="BG65" s="137">
        <f>IF(COUNT(AZ65:BD65)=5,SUM(AZ65:BD65,AA65),"")</f>
        <v/>
      </c>
      <c r="BH65" s="137">
        <f>IF(COUNT(BF65,BG65,BE65)=3,BF65-BG65-BE65,"")</f>
        <v/>
      </c>
      <c r="BI65" s="137">
        <f>SUM(W65,X65)-Z65-AA65</f>
        <v/>
      </c>
      <c r="BJ65" s="137">
        <f>8-COUNT('Assumptions'!AA58:AA65)+COUNTBLANK('NM Play'!B33:B34)+'Costs'!E44+IF(AND('Sites'!E6=1,('Sites'!F6)&lt;=24,'Sites'!G6&gt;=13),IF(ISNUMBER('Sites'!P6),0,1)+'Capital'!I6+COUNTBLANK('Sites'!R6)+IF('Sites'!D6="NM crew",COUNTBLANK('NM Play'!B25)+1,5-COUNT('Assumptions'!AA112:AA116)),0)+IF(AND('Sites'!E7=1,('Sites'!F7+'Cases'!G7)&lt;=24,'Sites'!G7&gt;=13),IF(ISNUMBER('Sites'!P7),0,1)+'Capital'!I7+COUNTBLANK('Sites'!R7)+IF('Sites'!D7="NM crew",COUNTBLANK('NM Play'!B25)+1,5-COUNT('Assumptions'!AA117:AA121)),0)+IF(AND('Sites'!E8*'Cases'!F7=1,('Sites'!F8+'Cases'!G7)&lt;=24,'Sites'!G8&gt;=13),IF(ISNUMBER('Sites'!P8),0,1)+'Capital'!I8+COUNTBLANK('Sites'!R8)+IF('Sites'!D8="NM crew",COUNTBLANK('NM Play'!B25)+1,5-COUNT('Assumptions'!AA122:AA126)),0)+IF(AND('Cases'!C7&gt;0,NOT(ISNUMBER('Assumptions'!B42))),1,0)+'Responsibilities'!$B$39</f>
        <v/>
      </c>
      <c r="BK65" s="137">
        <f>'Assumptions'!$B$50+'NM Play'!$B$83+'Funding'!$F$20+SUMIFS('Production schedule'!$AN$114:$AN$221,'Production schedule'!$C$114:$C$221,24)+IF(OR('Cases'!E7&lt;0,'Cases'!E7&gt;1,'Cases'!C7&lt;0,'Cases'!D7&lt;0,ABS(SUM('Sites'!S6:S8)-1)&gt;0.0001,MIN('Capital'!F6:F8)&lt;0,MAX('Capital'!F6:F8)&gt;1,MIN(AX65,AZ65,BB65,BA65)&lt;-0.01),1,0)+'Responsibilities'!$B$40</f>
        <v/>
      </c>
      <c r="BL65" s="137">
        <f>SUMIFS('Production schedule'!$T$114:$T$221,'Production schedule'!$C$114:$C$221,24)</f>
        <v/>
      </c>
      <c r="BM65" s="137">
        <f>D65*'NM Play'!$B$38</f>
        <v/>
      </c>
      <c r="BN65" s="137">
        <f>SUMIFS('Production schedule'!$AM$114:$AM$221,'Production schedule'!$C$114:$C$221,24)</f>
        <v/>
      </c>
      <c r="BO65" s="137">
        <f>AK65-AK64-AJ65</f>
        <v/>
      </c>
      <c r="BP65" s="137">
        <f>IF(AND('Assumptions'!$B$39&gt;=0,'Assumptions'!$B$40&gt;0),-PMT('Assumptions'!$B$39/12,'Assumptions'!$B$40*12,IF('Funding'!$N$11&gt;0,'Funding'!$N$11,'Funding'!$S$11)),"")</f>
        <v/>
      </c>
      <c r="BQ65">
        <f>('Production schedule'!AJ137)*(1-'Responsibilities'!$C$6)+('Production schedule'!AJ173)*(1-'Responsibilities'!$C$7)+('Production schedule'!AJ209)*(1-'Responsibilities'!$C$8)</f>
        <v/>
      </c>
      <c r="BR65">
        <f>('Production schedule'!AI137)*(1-'Responsibilities'!$D$6)+('Production schedule'!AI173)*(1-'Responsibilities'!$D$7)+('Production schedule'!AI209)*(1-'Responsibilities'!$D$8)</f>
        <v/>
      </c>
      <c r="BS65">
        <f>('Production schedule'!E137*(IF('Sites'!D6="Annual staff",SUM('Assumptions'!AA112,'Assumptions'!AA114),0)+SUM('Assumptions'!AA113,'Assumptions'!AA115:AA116)))*(1-'Responsibilities'!$E$6)+('Production schedule'!E173*(IF('Sites'!D7="Annual staff",SUM('Assumptions'!AA117,'Assumptions'!AA119),0)+SUM('Assumptions'!AA118,'Assumptions'!AA120:AA121)))*(1-'Responsibilities'!$E$7)+('Production schedule'!E209*(IF('Sites'!D8="Annual staff",SUM('Assumptions'!AA122,'Assumptions'!AA124),0)+SUM('Assumptions'!AA123,'Assumptions'!AA125:AA126)))*(1-'Responsibilities'!$E$8)</f>
        <v/>
      </c>
      <c r="BT65">
        <f>(IF(AND('Production schedule'!E137=1,24=MAX(('Sites'!F6),13),ISNUMBER('Sites'!P6)),'Sites'!P6*'Assumptions'!$B$44,0))*(1-'Responsibilities'!$F$6)+(IF(AND('Production schedule'!E173=1,24=MAX(('Sites'!F7+'Cases'!G7),13),ISNUMBER('Sites'!P7)),'Sites'!P7*'Assumptions'!$B$44,0))*(1-'Responsibilities'!$F$7)+(IF(AND('Production schedule'!E209=1,24=MAX(('Sites'!F8+'Cases'!G7),13),ISNUMBER('Sites'!P8)),'Sites'!P8*'Assumptions'!$B$44,0))*(1-'Responsibilities'!$F$8)</f>
        <v/>
      </c>
      <c r="BU65">
        <f>SUM('Costs'!E36)*'Costs'!F36/12*(1-'Responsibilities'!$C$12)+SUM('Costs'!E37)*'Costs'!F37/12*(1-'Responsibilities'!$C$13)+SUM('Costs'!E38)*'Costs'!F38/12*(1-'Responsibilities'!$C$14)+SUM('Costs'!E39)*'Costs'!F39/12*(1-'Responsibilities'!$C$15)+SUM('Costs'!E40)*'Costs'!F40/12*(1-'Responsibilities'!$C$16)</f>
        <v/>
      </c>
      <c r="BV65">
        <f>('Sites'!E6*'Capital'!E6*(IF(24='Capital'!G6,'Capital'!F6,0)+IF(24='Capital'!H6,1-'Capital'!F6,0)))*(1-'Responsibilities'!$G$6)+('Sites'!E7*'Capital'!E7*(IF(24='Capital'!G7+'Cases'!G7,'Capital'!F7,0)+IF(24='Capital'!H7+'Cases'!G7,1-'Capital'!F7,0)))*(1-'Responsibilities'!$G$7)+('Sites'!E8*'Cases'!F7*'Capital'!E8*(IF(24='Capital'!G8+'Cases'!G7,'Capital'!F8,0)+IF(24='Capital'!H8+'Cases'!G7,1-'Capital'!F8,0)))*(1-'Responsibilities'!$G$8)</f>
        <v/>
      </c>
      <c r="BW65">
        <f>SUM(BQ65:BV65)</f>
        <v/>
      </c>
      <c r="BX65">
        <f>N65+BW65</f>
        <v/>
      </c>
      <c r="BY65">
        <f>BX65-(('Production schedule'!AJ137)*'Responsibilities'!$C$6+('Production schedule'!AJ173)*'Responsibilities'!$C$7+('Production schedule'!AJ209)*'Responsibilities'!$C$8+('Production schedule'!AJ137)*(1-'Responsibilities'!$C$6)+('Production schedule'!AJ173)*(1-'Responsibilities'!$C$7)+('Production schedule'!AJ209)*(1-'Responsibilities'!$C$8)+('Production schedule'!AI137)*'Responsibilities'!$D$6+('Production schedule'!AI173)*'Responsibilities'!$D$7+('Production schedule'!AI209)*'Responsibilities'!$D$8+('Production schedule'!AI137)*(1-'Responsibilities'!$D$6)+('Production schedule'!AI173)*(1-'Responsibilities'!$D$7)+('Production schedule'!AI209)*(1-'Responsibilities'!$D$8)+('Production schedule'!E137*(IF('Sites'!D6="Annual staff",SUM('Assumptions'!AA112,'Assumptions'!AA114),0)+SUM('Assumptions'!AA113,'Assumptions'!AA115:AA116)))*'Responsibilities'!$E$6+('Production schedule'!E173*(IF('Sites'!D7="Annual staff",SUM('Assumptions'!AA117,'Assumptions'!AA119),0)+SUM('Assumptions'!AA118,'Assumptions'!AA120:AA121)))*'Responsibilities'!$E$7+('Production schedule'!E209*(IF('Sites'!D8="Annual staff",SUM('Assumptions'!AA122,'Assumptions'!AA124),0)+SUM('Assumptions'!AA123,'Assumptions'!AA125:AA126)))*'Responsibilities'!$E$8+('Production schedule'!E137*(IF('Sites'!D6="Annual staff",SUM('Assumptions'!AA112,'Assumptions'!AA114),0)+SUM('Assumptions'!AA113,'Assumptions'!AA115:AA116)))*(1-'Responsibilities'!$E$6)+('Production schedule'!E173*(IF('Sites'!D7="Annual staff",SUM('Assumptions'!AA117,'Assumptions'!AA119),0)+SUM('Assumptions'!AA118,'Assumptions'!AA120:AA121)))*(1-'Responsibilities'!$E$7)+('Production schedule'!E209*(IF('Sites'!D8="Annual staff",SUM('Assumptions'!AA122,'Assumptions'!AA124),0)+SUM('Assumptions'!AA123,'Assumptions'!AA125:AA126)))*(1-'Responsibilities'!$E$8)+(IF(AND('Production schedule'!E137=1,24=MAX(('Sites'!F6),13),ISNUMBER('Sites'!P6)),'Sites'!P6*'Assumptions'!$B$44,0))*'Responsibilities'!$F$6+(IF(AND('Production schedule'!E173=1,24=MAX(('Sites'!F7+'Cases'!G7),13),ISNUMBER('Sites'!P7)),'Sites'!P7*'Assumptions'!$B$44,0))*'Responsibilities'!$F$7+(IF(AND('Production schedule'!E209=1,24=MAX(('Sites'!F8+'Cases'!G7),13),ISNUMBER('Sites'!P8)),'Sites'!P8*'Assumptions'!$B$44,0))*'Responsibilities'!$F$8+(IF(AND('Production schedule'!E137=1,24=MAX(('Sites'!F6),13),ISNUMBER('Sites'!P6)),'Sites'!P6*'Assumptions'!$B$44,0))*(1-'Responsibilities'!$F$6)+(IF(AND('Production schedule'!E173=1,24=MAX(('Sites'!F7+'Cases'!G7),13),ISNUMBER('Sites'!P7)),'Sites'!P7*'Assumptions'!$B$44,0))*(1-'Responsibilities'!$F$7)+(IF(AND('Production schedule'!E209=1,24=MAX(('Sites'!F8+'Cases'!G7),13),ISNUMBER('Sites'!P8)),'Sites'!P8*'Assumptions'!$B$44,0))*(1-'Responsibilities'!$F$8)+('Sites'!E6*'Capital'!E6*(IF(24='Capital'!G6,'Capital'!F6,0)+IF(24='Capital'!H6,1-'Capital'!F6,0)))*'Responsibilities'!$G$6+('Sites'!E7*'Capital'!E7*(IF(24='Capital'!G7+'Cases'!G7,'Capital'!F7,0)+IF(24='Capital'!H7+'Cases'!G7,1-'Capital'!F7,0)))*'Responsibilities'!$G$7+('Sites'!E8*'Cases'!F7*'Capital'!E8*(IF(24='Capital'!G8+'Cases'!G7,'Capital'!F8,0)+IF(24='Capital'!H8+'Cases'!G7,1-'Capital'!F8,0)))*'Responsibilities'!$G$8+('Sites'!E6*'Capital'!E6*(IF(24='Capital'!G6,'Capital'!F6,0)+IF(24='Capital'!H6,1-'Capital'!F6,0)))*(1-'Responsibilities'!$G$6)+('Sites'!E7*'Capital'!E7*(IF(24='Capital'!G7+'Cases'!G7,'Capital'!F7,0)+IF(24='Capital'!H7+'Cases'!G7,1-'Capital'!F7,0)))*(1-'Responsibilities'!$G$7)+('Sites'!E8*'Cases'!F7*'Capital'!E8*(IF(24='Capital'!G8+'Cases'!G7,'Capital'!F8,0)+IF(24='Capital'!H8+'Cases'!G7,1-'Capital'!F8,0)))*(1-'Responsibilities'!$G$8)+I65+SUMPRODUCT('Costs'!$E$36:$E$40,'Costs'!$F$36:$F$40)/12+BZ65)</f>
        <v/>
      </c>
      <c r="BZ65">
        <f>SUMIFS('Responsibilities'!$B$31:$B$35,'Responsibilities'!$C$31:$C$35,24,'Responsibilities'!$D$31:$D$35,"Yes")</f>
        <v/>
      </c>
    </row>
    <row r="66" ht="28" customHeight="1">
      <c r="A66" s="4" t="inlineStr">
        <is>
          <t>Smaller</t>
        </is>
      </c>
      <c r="B66" s="4" t="n">
        <v>25</v>
      </c>
      <c r="C66" s="4">
        <f>ROUNDUP(B66/12,0)</f>
        <v/>
      </c>
      <c r="D66" s="137">
        <f>SUMIFS('Production schedule'!$N$114:$N$221,'Production schedule'!$C$114:$C$221,25)</f>
        <v/>
      </c>
      <c r="E66" s="137">
        <f>SUMIFS('Production schedule'!$Y$114:$Y$221,'Production schedule'!$C$114:$C$221,25)</f>
        <v/>
      </c>
      <c r="F66" s="137">
        <f>SUMIFS('Production schedule'!$Z$114:$Z$221,'Production schedule'!$C$114:$C$221,25)</f>
        <v/>
      </c>
      <c r="G66" s="137">
        <f>('Production schedule'!AJ138)*'Responsibilities'!$C$6+('Production schedule'!AJ174)*'Responsibilities'!$C$7+('Production schedule'!AJ210)*'Responsibilities'!$C$8</f>
        <v/>
      </c>
      <c r="H66" s="137">
        <f>('Production schedule'!AI138)*'Responsibilities'!$D$6+('Production schedule'!AI174)*'Responsibilities'!$D$7+('Production schedule'!AI210)*'Responsibilities'!$D$8</f>
        <v/>
      </c>
      <c r="I66" s="137">
        <f>SUM('Assumptions'!AB58:AB65)</f>
        <v/>
      </c>
      <c r="J66" s="137">
        <f>('Production schedule'!E138*(IF('Sites'!D6="Annual staff",SUM('Assumptions'!AB112,'Assumptions'!AB114),0)+SUM('Assumptions'!AB113,'Assumptions'!AB115:AB116)))*'Responsibilities'!$E$6+('Production schedule'!E174*(IF('Sites'!D7="Annual staff",SUM('Assumptions'!AB117,'Assumptions'!AB119),0)+SUM('Assumptions'!AB118,'Assumptions'!AB120:AB121)))*'Responsibilities'!$E$7+('Production schedule'!E210*(IF('Sites'!D8="Annual staff",SUM('Assumptions'!AB122,'Assumptions'!AB124),0)+SUM('Assumptions'!AB123,'Assumptions'!AB125:AB126)))*'Responsibilities'!$E$8</f>
        <v/>
      </c>
      <c r="K66" s="137">
        <f>(IF(AND('Production schedule'!E138=1,25=MAX(('Sites'!F6),25),ISNUMBER('Sites'!Q6)),'Sites'!Q6*'Assumptions'!$B$44,0))*'Responsibilities'!$F$6+(IF(AND('Production schedule'!E174=1,25=MAX(('Sites'!F7+'Cases'!G7),25),ISNUMBER('Sites'!Q7)),'Sites'!Q7*'Assumptions'!$B$44,0))*'Responsibilities'!$F$7+(IF(AND('Production schedule'!E210=1,25=MAX(('Sites'!F8+'Cases'!G7),25),ISNUMBER('Sites'!Q8)),'Sites'!Q8*'Assumptions'!$B$44,0))*'Responsibilities'!$F$8</f>
        <v/>
      </c>
      <c r="L66" s="137">
        <f>SUM('Costs'!E36)*'Costs'!F36/12*'Responsibilities'!$C$12+SUM('Costs'!E37)*'Costs'!F37/12*'Responsibilities'!$C$13+SUM('Costs'!E38)*'Costs'!F38/12*'Responsibilities'!$C$14+SUM('Costs'!E39)*'Costs'!F39/12*'Responsibilities'!$C$15+SUM('Costs'!E40)*'Costs'!F40/12*'Responsibilities'!$C$16+BZ66</f>
        <v/>
      </c>
      <c r="M66" s="137">
        <f>('Sites'!E6*'Capital'!E6*(IF(25='Capital'!G6,'Capital'!F6,0)+IF(25='Capital'!H6,1-'Capital'!F6,0)))*'Responsibilities'!$G$6+('Sites'!E7*'Capital'!E7*(IF(25='Capital'!G7+'Cases'!G7,'Capital'!F7,0)+IF(25='Capital'!H7+'Cases'!G7,1-'Capital'!F7,0)))*'Responsibilities'!$G$7+('Sites'!E8*'Cases'!F7*'Capital'!E8*(IF(25='Capital'!G8+'Cases'!G7,'Capital'!F8,0)+IF(25='Capital'!H8+'Cases'!G7,1-'Capital'!F8,0)))*'Responsibilities'!$G$8</f>
        <v/>
      </c>
      <c r="N66" s="137">
        <f>SUM(G66:M66)</f>
        <v/>
      </c>
      <c r="O66" s="137">
        <f>SUMIFS(FundingTranches[Secured amount],FundingTranches[Instrument],"Grant",FundingTranches[Secured month],25)</f>
        <v/>
      </c>
      <c r="P66" s="137">
        <f>SUMIFS(FundingTranches[Smaller possible],FundingTranches[Instrument],"Grant",FundingTranches[Scenario month],25-'Cases'!$D$7)</f>
        <v/>
      </c>
      <c r="Q66" s="137">
        <f>SUMIFS(FundingTranches[Secured amount],FundingTranches[Instrument],"Loan",FundingTranches[Secured month],25)</f>
        <v/>
      </c>
      <c r="R66" s="137">
        <f>SUMIFS(FundingTranches[Smaller possible],FundingTranches[Instrument],"Loan",FundingTranches[Scenario month],25-'Cases'!$D$7)</f>
        <v/>
      </c>
      <c r="S66" s="137">
        <f>IF(25&lt;='Assumptions'!$B$34,0,SUMIFS('Production schedule'!$AL$114:$AL$221,'Production schedule'!$C$114:$C$221,25-'Assumptions'!$B$34))</f>
        <v/>
      </c>
      <c r="T66" s="137">
        <f>'Assumptions'!AB70</f>
        <v/>
      </c>
      <c r="U66" s="137">
        <f>'Assumptions'!AB78</f>
        <v/>
      </c>
      <c r="V66" s="137">
        <f>SUM(O66:U66)</f>
        <v/>
      </c>
      <c r="W66" s="137">
        <f>AA65</f>
        <v/>
      </c>
      <c r="X66" s="137">
        <f>SUM(Q66:R66)</f>
        <v/>
      </c>
      <c r="Y66" s="137">
        <f>SUM(W66,X66)*'Assumptions'!$B$39/12</f>
        <v/>
      </c>
      <c r="Z66" s="137">
        <f>IF(SUM(W66,X66)&gt;0,MIN(SUM(W66,X66),MAX(0,BP66-Y66)),0)</f>
        <v/>
      </c>
      <c r="AA66" s="137">
        <f>SUM(W66,X66)-Z66</f>
        <v/>
      </c>
      <c r="AB66" s="137">
        <f>SUM(Y66:Z66)</f>
        <v/>
      </c>
      <c r="AC66" s="137">
        <f>'Assumptions'!AB72</f>
        <v/>
      </c>
      <c r="AD66" s="137">
        <f>'Assumptions'!AB73</f>
        <v/>
      </c>
      <c r="AE66" s="137">
        <f>IF(X66&gt;0,SUM('Assumptions'!$B$42),0)</f>
        <v/>
      </c>
      <c r="AF66" s="137">
        <f>'Assumptions'!AB71</f>
        <v/>
      </c>
      <c r="AG66" s="137">
        <f>'Assumptions'!AB74</f>
        <v/>
      </c>
      <c r="AH66" s="137">
        <f>'Assumptions'!AB75</f>
        <v/>
      </c>
      <c r="AI66" s="137">
        <f>'Assumptions'!AB77</f>
        <v/>
      </c>
      <c r="AJ66" s="137">
        <f>V66-N66-SUM(AB66:AI66)</f>
        <v/>
      </c>
      <c r="AK66" s="137">
        <f>SUM(AJ42:AJ66)</f>
        <v/>
      </c>
      <c r="AL66" s="137">
        <f>IF(ISNUMBER('Assumptions'!$B$10),'Assumptions'!$B$10+AK66,"")</f>
        <v/>
      </c>
      <c r="AM66" s="137">
        <f>SUM(O66,Q66,T66)-N66-SUM(AC66:AI66)+IF('Funding'!$N$11=0,AE66,0)-IF('Funding'!$N$11&gt;0,AB66,0)</f>
        <v/>
      </c>
      <c r="AN66" s="137">
        <f>SUM(AM42:AM66)</f>
        <v/>
      </c>
      <c r="AO66" s="137">
        <f>IF(ISNUMBER('Assumptions'!$B$10),'Assumptions'!$B$10+AN66,"")</f>
        <v/>
      </c>
      <c r="AP66" s="137">
        <f>('Production schedule'!AK138)*'Responsibilities'!$C$6+('Production schedule'!AK174)*'Responsibilities'!$C$7+('Production schedule'!AK210)*'Responsibilities'!$C$8</f>
        <v/>
      </c>
      <c r="AQ66" s="137">
        <f>SUMIFS('Production schedule'!$AL$114:$AL$221,'Production schedule'!$C$114:$C$221,25)</f>
        <v/>
      </c>
      <c r="AR66" s="137">
        <f>IF(ISNUMBER('Assumptions'!AB76),'Assumptions'!AB76,SUM(O66:P66))</f>
        <v/>
      </c>
      <c r="AS66" s="137">
        <f>IF(ISNUMBER('Assumptions'!$B$13),MIN('Assumptions'!$B$13/'Assumptions'!$B$18/12,MAX(0,'Assumptions'!$B$13-(25-1)*'Assumptions'!$B$13/'Assumptions'!$B$18/12)),0)+IF(AND('Sites'!E6=1,25&gt;=('Sites'!F6),25&lt;('Sites'!F6)+'Assumptions'!$B$18*12),'Capital'!E6/'Assumptions'!$B$18/12,0)+IF(AND('Sites'!E7=1,25&gt;=('Sites'!F7+'Cases'!G7),25&lt;('Sites'!F7+'Cases'!G7)+'Assumptions'!$B$18*12),'Capital'!E7/'Assumptions'!$B$18/12,0)+IF(AND('Sites'!E8*'Cases'!F7=1,25&gt;=('Sites'!F8+'Cases'!G7),25&lt;('Sites'!F8+'Cases'!G7)+'Assumptions'!$B$18*12),'Capital'!E8/'Assumptions'!$B$18/12,0)</f>
        <v/>
      </c>
      <c r="AT66" s="137">
        <f>SUM(AQ66,AR66,U66)-AP66-SUM(H66:L66)-AS66-SUM(Y66,AD66,AE66,AH66)</f>
        <v/>
      </c>
      <c r="AU66" s="137">
        <f>IF(ISNUMBER('Assumptions'!$B$19),MAX(0,SUM(AT66:AT66))*'Assumptions'!$B$19-0,"")</f>
        <v/>
      </c>
      <c r="AV66" s="137">
        <f>IF(ISNUMBER(AU66),AT66-AU66,"")</f>
        <v/>
      </c>
      <c r="AW66" s="137">
        <f>IF(ISNUMBER('Assumptions'!$B$11),'Assumptions'!$B$11+SUM(AQ42:AQ66)-SUM(S42:S66)-SUM(T42:T66),"")</f>
        <v/>
      </c>
      <c r="AX66" s="137">
        <f>IF(ISNUMBER('Assumptions'!$B$12),'Assumptions'!$B$12+SUM(G42:G66)-SUM(AP42:AP66),"")</f>
        <v/>
      </c>
      <c r="AY66" s="137">
        <f>IF(ISNUMBER('Assumptions'!$B$13),'Assumptions'!$B$13+SUM(M42:M66)-SUM(AS42:AS66),"")</f>
        <v/>
      </c>
      <c r="AZ66" s="137">
        <f>IF(ISNUMBER('Assumptions'!$B$14),'Assumptions'!$B$14+-SUM(AF42:AF66),"")</f>
        <v/>
      </c>
      <c r="BA66" s="137">
        <f>IF(ISNUMBER('Assumptions'!$B$15),'Assumptions'!$B$15+SUM(O42:O66)+SUM(P42:P66)-SUM(AR42:AR66),"")</f>
        <v/>
      </c>
      <c r="BB66" s="137">
        <f>IF(ISNUMBER('Assumptions'!$B$16),'Assumptions'!$B$16+-SUM(AC42:AC66),"")</f>
        <v/>
      </c>
      <c r="BC66" s="137">
        <f>IF(AND(ISNUMBER('Assumptions'!$B$21),ISNUMBER('Assumptions'!$B$19)),'Assumptions'!$B$21+SUM(AU42:AU66)-SUM(AG42:AG66),"")</f>
        <v/>
      </c>
      <c r="BD66" s="137">
        <f>IF(ISNUMBER('Assumptions'!$B$20),'Assumptions'!$B$20+-SUM(AI42:AI66),"")</f>
        <v/>
      </c>
      <c r="BE66" s="137">
        <f>IF(AND(ISNUMBER('Assumptions'!$B$17),COUNT(AV42:AV66)=25),'Assumptions'!$B$17+SUM(AV42:AV66),"")</f>
        <v/>
      </c>
      <c r="BF66" s="137">
        <f>IF(COUNT(AL66,AW66:AY66)=4,SUM(AL66,AW66:AY66),"")</f>
        <v/>
      </c>
      <c r="BG66" s="137">
        <f>IF(COUNT(AZ66:BD66)=5,SUM(AZ66:BD66,AA66),"")</f>
        <v/>
      </c>
      <c r="BH66" s="137">
        <f>IF(COUNT(BF66,BG66,BE66)=3,BF66-BG66-BE66,"")</f>
        <v/>
      </c>
      <c r="BI66" s="137">
        <f>SUM(W66,X66)-Z66-AA66</f>
        <v/>
      </c>
      <c r="BJ66" s="137">
        <f>8-COUNT('Assumptions'!AB58:AB65)+COUNTBLANK('NM Play'!B33:B34)+'Costs'!E44+IF(AND('Sites'!E6=1,('Sites'!F6)&lt;=36,'Sites'!G6&gt;=25),IF(ISNUMBER('Sites'!Q6),0,1)+'Capital'!I6+COUNTBLANK('Sites'!R6)+IF('Sites'!D6="NM crew",COUNTBLANK('NM Play'!B25)+1,5-COUNT('Assumptions'!AB112:AB116)),0)+IF(AND('Sites'!E7=1,('Sites'!F7+'Cases'!G7)&lt;=36,'Sites'!G7&gt;=25),IF(ISNUMBER('Sites'!Q7),0,1)+'Capital'!I7+COUNTBLANK('Sites'!R7)+IF('Sites'!D7="NM crew",COUNTBLANK('NM Play'!B25)+1,5-COUNT('Assumptions'!AB117:AB121)),0)+IF(AND('Sites'!E8*'Cases'!F7=1,('Sites'!F8+'Cases'!G7)&lt;=36,'Sites'!G8&gt;=25),IF(ISNUMBER('Sites'!Q8),0,1)+'Capital'!I8+COUNTBLANK('Sites'!R8)+IF('Sites'!D8="NM crew",COUNTBLANK('NM Play'!B25)+1,5-COUNT('Assumptions'!AB122:AB126)),0)+IF(AND('Cases'!C7&gt;0,NOT(ISNUMBER('Assumptions'!B42))),1,0)+'Responsibilities'!$B$39</f>
        <v/>
      </c>
      <c r="BK66" s="137">
        <f>'Assumptions'!$B$50+'NM Play'!$B$83+'Funding'!$F$20+SUMIFS('Production schedule'!$AN$114:$AN$221,'Production schedule'!$C$114:$C$221,25)+IF(OR('Cases'!E7&lt;0,'Cases'!E7&gt;1,'Cases'!C7&lt;0,'Cases'!D7&lt;0,ABS(SUM('Sites'!S6:S8)-1)&gt;0.0001,MIN('Capital'!F6:F8)&lt;0,MAX('Capital'!F6:F8)&gt;1,MIN(AX66,AZ66,BB66,BA66)&lt;-0.01),1,0)+'Responsibilities'!$B$40</f>
        <v/>
      </c>
      <c r="BL66" s="137">
        <f>SUMIFS('Production schedule'!$T$114:$T$221,'Production schedule'!$C$114:$C$221,25)</f>
        <v/>
      </c>
      <c r="BM66" s="137">
        <f>D66*'NM Play'!$B$38</f>
        <v/>
      </c>
      <c r="BN66" s="137">
        <f>SUMIFS('Production schedule'!$AM$114:$AM$221,'Production schedule'!$C$114:$C$221,25)</f>
        <v/>
      </c>
      <c r="BO66" s="137">
        <f>AK66-AK65-AJ66</f>
        <v/>
      </c>
      <c r="BP66" s="137">
        <f>IF(AND('Assumptions'!$B$39&gt;=0,'Assumptions'!$B$40&gt;0),-PMT('Assumptions'!$B$39/12,'Assumptions'!$B$40*12,IF('Funding'!$N$11&gt;0,'Funding'!$N$11,'Funding'!$S$11)),"")</f>
        <v/>
      </c>
      <c r="BQ66">
        <f>('Production schedule'!AJ138)*(1-'Responsibilities'!$C$6)+('Production schedule'!AJ174)*(1-'Responsibilities'!$C$7)+('Production schedule'!AJ210)*(1-'Responsibilities'!$C$8)</f>
        <v/>
      </c>
      <c r="BR66">
        <f>('Production schedule'!AI138)*(1-'Responsibilities'!$D$6)+('Production schedule'!AI174)*(1-'Responsibilities'!$D$7)+('Production schedule'!AI210)*(1-'Responsibilities'!$D$8)</f>
        <v/>
      </c>
      <c r="BS66">
        <f>('Production schedule'!E138*(IF('Sites'!D6="Annual staff",SUM('Assumptions'!AB112,'Assumptions'!AB114),0)+SUM('Assumptions'!AB113,'Assumptions'!AB115:AB116)))*(1-'Responsibilities'!$E$6)+('Production schedule'!E174*(IF('Sites'!D7="Annual staff",SUM('Assumptions'!AB117,'Assumptions'!AB119),0)+SUM('Assumptions'!AB118,'Assumptions'!AB120:AB121)))*(1-'Responsibilities'!$E$7)+('Production schedule'!E210*(IF('Sites'!D8="Annual staff",SUM('Assumptions'!AB122,'Assumptions'!AB124),0)+SUM('Assumptions'!AB123,'Assumptions'!AB125:AB126)))*(1-'Responsibilities'!$E$8)</f>
        <v/>
      </c>
      <c r="BT66">
        <f>(IF(AND('Production schedule'!E138=1,25=MAX(('Sites'!F6),25),ISNUMBER('Sites'!Q6)),'Sites'!Q6*'Assumptions'!$B$44,0))*(1-'Responsibilities'!$F$6)+(IF(AND('Production schedule'!E174=1,25=MAX(('Sites'!F7+'Cases'!G7),25),ISNUMBER('Sites'!Q7)),'Sites'!Q7*'Assumptions'!$B$44,0))*(1-'Responsibilities'!$F$7)+(IF(AND('Production schedule'!E210=1,25=MAX(('Sites'!F8+'Cases'!G7),25),ISNUMBER('Sites'!Q8)),'Sites'!Q8*'Assumptions'!$B$44,0))*(1-'Responsibilities'!$F$8)</f>
        <v/>
      </c>
      <c r="BU66">
        <f>SUM('Costs'!E36)*'Costs'!F36/12*(1-'Responsibilities'!$C$12)+SUM('Costs'!E37)*'Costs'!F37/12*(1-'Responsibilities'!$C$13)+SUM('Costs'!E38)*'Costs'!F38/12*(1-'Responsibilities'!$C$14)+SUM('Costs'!E39)*'Costs'!F39/12*(1-'Responsibilities'!$C$15)+SUM('Costs'!E40)*'Costs'!F40/12*(1-'Responsibilities'!$C$16)</f>
        <v/>
      </c>
      <c r="BV66">
        <f>('Sites'!E6*'Capital'!E6*(IF(25='Capital'!G6,'Capital'!F6,0)+IF(25='Capital'!H6,1-'Capital'!F6,0)))*(1-'Responsibilities'!$G$6)+('Sites'!E7*'Capital'!E7*(IF(25='Capital'!G7+'Cases'!G7,'Capital'!F7,0)+IF(25='Capital'!H7+'Cases'!G7,1-'Capital'!F7,0)))*(1-'Responsibilities'!$G$7)+('Sites'!E8*'Cases'!F7*'Capital'!E8*(IF(25='Capital'!G8+'Cases'!G7,'Capital'!F8,0)+IF(25='Capital'!H8+'Cases'!G7,1-'Capital'!F8,0)))*(1-'Responsibilities'!$G$8)</f>
        <v/>
      </c>
      <c r="BW66">
        <f>SUM(BQ66:BV66)</f>
        <v/>
      </c>
      <c r="BX66">
        <f>N66+BW66</f>
        <v/>
      </c>
      <c r="BY66">
        <f>BX66-(('Production schedule'!AJ138)*'Responsibilities'!$C$6+('Production schedule'!AJ174)*'Responsibilities'!$C$7+('Production schedule'!AJ210)*'Responsibilities'!$C$8+('Production schedule'!AJ138)*(1-'Responsibilities'!$C$6)+('Production schedule'!AJ174)*(1-'Responsibilities'!$C$7)+('Production schedule'!AJ210)*(1-'Responsibilities'!$C$8)+('Production schedule'!AI138)*'Responsibilities'!$D$6+('Production schedule'!AI174)*'Responsibilities'!$D$7+('Production schedule'!AI210)*'Responsibilities'!$D$8+('Production schedule'!AI138)*(1-'Responsibilities'!$D$6)+('Production schedule'!AI174)*(1-'Responsibilities'!$D$7)+('Production schedule'!AI210)*(1-'Responsibilities'!$D$8)+('Production schedule'!E138*(IF('Sites'!D6="Annual staff",SUM('Assumptions'!AB112,'Assumptions'!AB114),0)+SUM('Assumptions'!AB113,'Assumptions'!AB115:AB116)))*'Responsibilities'!$E$6+('Production schedule'!E174*(IF('Sites'!D7="Annual staff",SUM('Assumptions'!AB117,'Assumptions'!AB119),0)+SUM('Assumptions'!AB118,'Assumptions'!AB120:AB121)))*'Responsibilities'!$E$7+('Production schedule'!E210*(IF('Sites'!D8="Annual staff",SUM('Assumptions'!AB122,'Assumptions'!AB124),0)+SUM('Assumptions'!AB123,'Assumptions'!AB125:AB126)))*'Responsibilities'!$E$8+('Production schedule'!E138*(IF('Sites'!D6="Annual staff",SUM('Assumptions'!AB112,'Assumptions'!AB114),0)+SUM('Assumptions'!AB113,'Assumptions'!AB115:AB116)))*(1-'Responsibilities'!$E$6)+('Production schedule'!E174*(IF('Sites'!D7="Annual staff",SUM('Assumptions'!AB117,'Assumptions'!AB119),0)+SUM('Assumptions'!AB118,'Assumptions'!AB120:AB121)))*(1-'Responsibilities'!$E$7)+('Production schedule'!E210*(IF('Sites'!D8="Annual staff",SUM('Assumptions'!AB122,'Assumptions'!AB124),0)+SUM('Assumptions'!AB123,'Assumptions'!AB125:AB126)))*(1-'Responsibilities'!$E$8)+(IF(AND('Production schedule'!E138=1,25=MAX(('Sites'!F6),25),ISNUMBER('Sites'!Q6)),'Sites'!Q6*'Assumptions'!$B$44,0))*'Responsibilities'!$F$6+(IF(AND('Production schedule'!E174=1,25=MAX(('Sites'!F7+'Cases'!G7),25),ISNUMBER('Sites'!Q7)),'Sites'!Q7*'Assumptions'!$B$44,0))*'Responsibilities'!$F$7+(IF(AND('Production schedule'!E210=1,25=MAX(('Sites'!F8+'Cases'!G7),25),ISNUMBER('Sites'!Q8)),'Sites'!Q8*'Assumptions'!$B$44,0))*'Responsibilities'!$F$8+(IF(AND('Production schedule'!E138=1,25=MAX(('Sites'!F6),25),ISNUMBER('Sites'!Q6)),'Sites'!Q6*'Assumptions'!$B$44,0))*(1-'Responsibilities'!$F$6)+(IF(AND('Production schedule'!E174=1,25=MAX(('Sites'!F7+'Cases'!G7),25),ISNUMBER('Sites'!Q7)),'Sites'!Q7*'Assumptions'!$B$44,0))*(1-'Responsibilities'!$F$7)+(IF(AND('Production schedule'!E210=1,25=MAX(('Sites'!F8+'Cases'!G7),25),ISNUMBER('Sites'!Q8)),'Sites'!Q8*'Assumptions'!$B$44,0))*(1-'Responsibilities'!$F$8)+('Sites'!E6*'Capital'!E6*(IF(25='Capital'!G6,'Capital'!F6,0)+IF(25='Capital'!H6,1-'Capital'!F6,0)))*'Responsibilities'!$G$6+('Sites'!E7*'Capital'!E7*(IF(25='Capital'!G7+'Cases'!G7,'Capital'!F7,0)+IF(25='Capital'!H7+'Cases'!G7,1-'Capital'!F7,0)))*'Responsibilities'!$G$7+('Sites'!E8*'Cases'!F7*'Capital'!E8*(IF(25='Capital'!G8+'Cases'!G7,'Capital'!F8,0)+IF(25='Capital'!H8+'Cases'!G7,1-'Capital'!F8,0)))*'Responsibilities'!$G$8+('Sites'!E6*'Capital'!E6*(IF(25='Capital'!G6,'Capital'!F6,0)+IF(25='Capital'!H6,1-'Capital'!F6,0)))*(1-'Responsibilities'!$G$6)+('Sites'!E7*'Capital'!E7*(IF(25='Capital'!G7+'Cases'!G7,'Capital'!F7,0)+IF(25='Capital'!H7+'Cases'!G7,1-'Capital'!F7,0)))*(1-'Responsibilities'!$G$7)+('Sites'!E8*'Cases'!F7*'Capital'!E8*(IF(25='Capital'!G8+'Cases'!G7,'Capital'!F8,0)+IF(25='Capital'!H8+'Cases'!G7,1-'Capital'!F8,0)))*(1-'Responsibilities'!$G$8)+I66+SUMPRODUCT('Costs'!$E$36:$E$40,'Costs'!$F$36:$F$40)/12+BZ66)</f>
        <v/>
      </c>
      <c r="BZ66">
        <f>SUMIFS('Responsibilities'!$B$31:$B$35,'Responsibilities'!$C$31:$C$35,25,'Responsibilities'!$D$31:$D$35,"Yes")</f>
        <v/>
      </c>
    </row>
    <row r="67" ht="28" customHeight="1">
      <c r="A67" s="4" t="inlineStr">
        <is>
          <t>Smaller</t>
        </is>
      </c>
      <c r="B67" s="4" t="n">
        <v>26</v>
      </c>
      <c r="C67" s="4">
        <f>ROUNDUP(B67/12,0)</f>
        <v/>
      </c>
      <c r="D67" s="137">
        <f>SUMIFS('Production schedule'!$N$114:$N$221,'Production schedule'!$C$114:$C$221,26)</f>
        <v/>
      </c>
      <c r="E67" s="137">
        <f>SUMIFS('Production schedule'!$Y$114:$Y$221,'Production schedule'!$C$114:$C$221,26)</f>
        <v/>
      </c>
      <c r="F67" s="137">
        <f>SUMIFS('Production schedule'!$Z$114:$Z$221,'Production schedule'!$C$114:$C$221,26)</f>
        <v/>
      </c>
      <c r="G67" s="137">
        <f>('Production schedule'!AJ139)*'Responsibilities'!$C$6+('Production schedule'!AJ175)*'Responsibilities'!$C$7+('Production schedule'!AJ211)*'Responsibilities'!$C$8</f>
        <v/>
      </c>
      <c r="H67" s="137">
        <f>('Production schedule'!AI139)*'Responsibilities'!$D$6+('Production schedule'!AI175)*'Responsibilities'!$D$7+('Production schedule'!AI211)*'Responsibilities'!$D$8</f>
        <v/>
      </c>
      <c r="I67" s="137">
        <f>SUM('Assumptions'!AC58:AC65)</f>
        <v/>
      </c>
      <c r="J67" s="137">
        <f>('Production schedule'!E139*(IF('Sites'!D6="Annual staff",SUM('Assumptions'!AC112,'Assumptions'!AC114),0)+SUM('Assumptions'!AC113,'Assumptions'!AC115:AC116)))*'Responsibilities'!$E$6+('Production schedule'!E175*(IF('Sites'!D7="Annual staff",SUM('Assumptions'!AC117,'Assumptions'!AC119),0)+SUM('Assumptions'!AC118,'Assumptions'!AC120:AC121)))*'Responsibilities'!$E$7+('Production schedule'!E211*(IF('Sites'!D8="Annual staff",SUM('Assumptions'!AC122,'Assumptions'!AC124),0)+SUM('Assumptions'!AC123,'Assumptions'!AC125:AC126)))*'Responsibilities'!$E$8</f>
        <v/>
      </c>
      <c r="K67" s="137">
        <f>(IF(AND('Production schedule'!E139=1,26=MAX(('Sites'!F6),25),ISNUMBER('Sites'!Q6)),'Sites'!Q6*'Assumptions'!$B$44,0))*'Responsibilities'!$F$6+(IF(AND('Production schedule'!E175=1,26=MAX(('Sites'!F7+'Cases'!G7),25),ISNUMBER('Sites'!Q7)),'Sites'!Q7*'Assumptions'!$B$44,0))*'Responsibilities'!$F$7+(IF(AND('Production schedule'!E211=1,26=MAX(('Sites'!F8+'Cases'!G7),25),ISNUMBER('Sites'!Q8)),'Sites'!Q8*'Assumptions'!$B$44,0))*'Responsibilities'!$F$8</f>
        <v/>
      </c>
      <c r="L67" s="137">
        <f>SUM('Costs'!E36)*'Costs'!F36/12*'Responsibilities'!$C$12+SUM('Costs'!E37)*'Costs'!F37/12*'Responsibilities'!$C$13+SUM('Costs'!E38)*'Costs'!F38/12*'Responsibilities'!$C$14+SUM('Costs'!E39)*'Costs'!F39/12*'Responsibilities'!$C$15+SUM('Costs'!E40)*'Costs'!F40/12*'Responsibilities'!$C$16+BZ67</f>
        <v/>
      </c>
      <c r="M67" s="137">
        <f>('Sites'!E6*'Capital'!E6*(IF(26='Capital'!G6,'Capital'!F6,0)+IF(26='Capital'!H6,1-'Capital'!F6,0)))*'Responsibilities'!$G$6+('Sites'!E7*'Capital'!E7*(IF(26='Capital'!G7+'Cases'!G7,'Capital'!F7,0)+IF(26='Capital'!H7+'Cases'!G7,1-'Capital'!F7,0)))*'Responsibilities'!$G$7+('Sites'!E8*'Cases'!F7*'Capital'!E8*(IF(26='Capital'!G8+'Cases'!G7,'Capital'!F8,0)+IF(26='Capital'!H8+'Cases'!G7,1-'Capital'!F8,0)))*'Responsibilities'!$G$8</f>
        <v/>
      </c>
      <c r="N67" s="137">
        <f>SUM(G67:M67)</f>
        <v/>
      </c>
      <c r="O67" s="137">
        <f>SUMIFS(FundingTranches[Secured amount],FundingTranches[Instrument],"Grant",FundingTranches[Secured month],26)</f>
        <v/>
      </c>
      <c r="P67" s="137">
        <f>SUMIFS(FundingTranches[Smaller possible],FundingTranches[Instrument],"Grant",FundingTranches[Scenario month],26-'Cases'!$D$7)</f>
        <v/>
      </c>
      <c r="Q67" s="137">
        <f>SUMIFS(FundingTranches[Secured amount],FundingTranches[Instrument],"Loan",FundingTranches[Secured month],26)</f>
        <v/>
      </c>
      <c r="R67" s="137">
        <f>SUMIFS(FundingTranches[Smaller possible],FundingTranches[Instrument],"Loan",FundingTranches[Scenario month],26-'Cases'!$D$7)</f>
        <v/>
      </c>
      <c r="S67" s="137">
        <f>IF(26&lt;='Assumptions'!$B$34,0,SUMIFS('Production schedule'!$AL$114:$AL$221,'Production schedule'!$C$114:$C$221,26-'Assumptions'!$B$34))</f>
        <v/>
      </c>
      <c r="T67" s="137">
        <f>'Assumptions'!AC70</f>
        <v/>
      </c>
      <c r="U67" s="137">
        <f>'Assumptions'!AC78</f>
        <v/>
      </c>
      <c r="V67" s="137">
        <f>SUM(O67:U67)</f>
        <v/>
      </c>
      <c r="W67" s="137">
        <f>AA66</f>
        <v/>
      </c>
      <c r="X67" s="137">
        <f>SUM(Q67:R67)</f>
        <v/>
      </c>
      <c r="Y67" s="137">
        <f>SUM(W67,X67)*'Assumptions'!$B$39/12</f>
        <v/>
      </c>
      <c r="Z67" s="137">
        <f>IF(SUM(W67,X67)&gt;0,MIN(SUM(W67,X67),MAX(0,BP67-Y67)),0)</f>
        <v/>
      </c>
      <c r="AA67" s="137">
        <f>SUM(W67,X67)-Z67</f>
        <v/>
      </c>
      <c r="AB67" s="137">
        <f>SUM(Y67:Z67)</f>
        <v/>
      </c>
      <c r="AC67" s="137">
        <f>'Assumptions'!AC72</f>
        <v/>
      </c>
      <c r="AD67" s="137">
        <f>'Assumptions'!AC73</f>
        <v/>
      </c>
      <c r="AE67" s="137">
        <f>IF(X67&gt;0,SUM('Assumptions'!$B$42),0)</f>
        <v/>
      </c>
      <c r="AF67" s="137">
        <f>'Assumptions'!AC71</f>
        <v/>
      </c>
      <c r="AG67" s="137">
        <f>'Assumptions'!AC74</f>
        <v/>
      </c>
      <c r="AH67" s="137">
        <f>'Assumptions'!AC75</f>
        <v/>
      </c>
      <c r="AI67" s="137">
        <f>'Assumptions'!AC77</f>
        <v/>
      </c>
      <c r="AJ67" s="137">
        <f>V67-N67-SUM(AB67:AI67)</f>
        <v/>
      </c>
      <c r="AK67" s="137">
        <f>SUM(AJ42:AJ67)</f>
        <v/>
      </c>
      <c r="AL67" s="137">
        <f>IF(ISNUMBER('Assumptions'!$B$10),'Assumptions'!$B$10+AK67,"")</f>
        <v/>
      </c>
      <c r="AM67" s="137">
        <f>SUM(O67,Q67,T67)-N67-SUM(AC67:AI67)+IF('Funding'!$N$11=0,AE67,0)-IF('Funding'!$N$11&gt;0,AB67,0)</f>
        <v/>
      </c>
      <c r="AN67" s="137">
        <f>SUM(AM42:AM67)</f>
        <v/>
      </c>
      <c r="AO67" s="137">
        <f>IF(ISNUMBER('Assumptions'!$B$10),'Assumptions'!$B$10+AN67,"")</f>
        <v/>
      </c>
      <c r="AP67" s="137">
        <f>('Production schedule'!AK139)*'Responsibilities'!$C$6+('Production schedule'!AK175)*'Responsibilities'!$C$7+('Production schedule'!AK211)*'Responsibilities'!$C$8</f>
        <v/>
      </c>
      <c r="AQ67" s="137">
        <f>SUMIFS('Production schedule'!$AL$114:$AL$221,'Production schedule'!$C$114:$C$221,26)</f>
        <v/>
      </c>
      <c r="AR67" s="137">
        <f>IF(ISNUMBER('Assumptions'!AC76),'Assumptions'!AC76,SUM(O67:P67))</f>
        <v/>
      </c>
      <c r="AS67" s="137">
        <f>IF(ISNUMBER('Assumptions'!$B$13),MIN('Assumptions'!$B$13/'Assumptions'!$B$18/12,MAX(0,'Assumptions'!$B$13-(26-1)*'Assumptions'!$B$13/'Assumptions'!$B$18/12)),0)+IF(AND('Sites'!E6=1,26&gt;=('Sites'!F6),26&lt;('Sites'!F6)+'Assumptions'!$B$18*12),'Capital'!E6/'Assumptions'!$B$18/12,0)+IF(AND('Sites'!E7=1,26&gt;=('Sites'!F7+'Cases'!G7),26&lt;('Sites'!F7+'Cases'!G7)+'Assumptions'!$B$18*12),'Capital'!E7/'Assumptions'!$B$18/12,0)+IF(AND('Sites'!E8*'Cases'!F7=1,26&gt;=('Sites'!F8+'Cases'!G7),26&lt;('Sites'!F8+'Cases'!G7)+'Assumptions'!$B$18*12),'Capital'!E8/'Assumptions'!$B$18/12,0)</f>
        <v/>
      </c>
      <c r="AT67" s="137">
        <f>SUM(AQ67,AR67,U67)-AP67-SUM(H67:L67)-AS67-SUM(Y67,AD67,AE67,AH67)</f>
        <v/>
      </c>
      <c r="AU67" s="137">
        <f>IF(ISNUMBER('Assumptions'!$B$19),MAX(0,SUM(AT66:AT67))*'Assumptions'!$B$19-SUM(AU66:AU66),"")</f>
        <v/>
      </c>
      <c r="AV67" s="137">
        <f>IF(ISNUMBER(AU67),AT67-AU67,"")</f>
        <v/>
      </c>
      <c r="AW67" s="137">
        <f>IF(ISNUMBER('Assumptions'!$B$11),'Assumptions'!$B$11+SUM(AQ42:AQ67)-SUM(S42:S67)-SUM(T42:T67),"")</f>
        <v/>
      </c>
      <c r="AX67" s="137">
        <f>IF(ISNUMBER('Assumptions'!$B$12),'Assumptions'!$B$12+SUM(G42:G67)-SUM(AP42:AP67),"")</f>
        <v/>
      </c>
      <c r="AY67" s="137">
        <f>IF(ISNUMBER('Assumptions'!$B$13),'Assumptions'!$B$13+SUM(M42:M67)-SUM(AS42:AS67),"")</f>
        <v/>
      </c>
      <c r="AZ67" s="137">
        <f>IF(ISNUMBER('Assumptions'!$B$14),'Assumptions'!$B$14+-SUM(AF42:AF67),"")</f>
        <v/>
      </c>
      <c r="BA67" s="137">
        <f>IF(ISNUMBER('Assumptions'!$B$15),'Assumptions'!$B$15+SUM(O42:O67)+SUM(P42:P67)-SUM(AR42:AR67),"")</f>
        <v/>
      </c>
      <c r="BB67" s="137">
        <f>IF(ISNUMBER('Assumptions'!$B$16),'Assumptions'!$B$16+-SUM(AC42:AC67),"")</f>
        <v/>
      </c>
      <c r="BC67" s="137">
        <f>IF(AND(ISNUMBER('Assumptions'!$B$21),ISNUMBER('Assumptions'!$B$19)),'Assumptions'!$B$21+SUM(AU42:AU67)-SUM(AG42:AG67),"")</f>
        <v/>
      </c>
      <c r="BD67" s="137">
        <f>IF(ISNUMBER('Assumptions'!$B$20),'Assumptions'!$B$20+-SUM(AI42:AI67),"")</f>
        <v/>
      </c>
      <c r="BE67" s="137">
        <f>IF(AND(ISNUMBER('Assumptions'!$B$17),COUNT(AV42:AV67)=26),'Assumptions'!$B$17+SUM(AV42:AV67),"")</f>
        <v/>
      </c>
      <c r="BF67" s="137">
        <f>IF(COUNT(AL67,AW67:AY67)=4,SUM(AL67,AW67:AY67),"")</f>
        <v/>
      </c>
      <c r="BG67" s="137">
        <f>IF(COUNT(AZ67:BD67)=5,SUM(AZ67:BD67,AA67),"")</f>
        <v/>
      </c>
      <c r="BH67" s="137">
        <f>IF(COUNT(BF67,BG67,BE67)=3,BF67-BG67-BE67,"")</f>
        <v/>
      </c>
      <c r="BI67" s="137">
        <f>SUM(W67,X67)-Z67-AA67</f>
        <v/>
      </c>
      <c r="BJ67" s="137">
        <f>8-COUNT('Assumptions'!AC58:AC65)+COUNTBLANK('NM Play'!B33:B34)+'Costs'!E44+IF(AND('Sites'!E6=1,('Sites'!F6)&lt;=36,'Sites'!G6&gt;=25),IF(ISNUMBER('Sites'!Q6),0,1)+'Capital'!I6+COUNTBLANK('Sites'!R6)+IF('Sites'!D6="NM crew",COUNTBLANK('NM Play'!B25)+1,5-COUNT('Assumptions'!AC112:AC116)),0)+IF(AND('Sites'!E7=1,('Sites'!F7+'Cases'!G7)&lt;=36,'Sites'!G7&gt;=25),IF(ISNUMBER('Sites'!Q7),0,1)+'Capital'!I7+COUNTBLANK('Sites'!R7)+IF('Sites'!D7="NM crew",COUNTBLANK('NM Play'!B25)+1,5-COUNT('Assumptions'!AC117:AC121)),0)+IF(AND('Sites'!E8*'Cases'!F7=1,('Sites'!F8+'Cases'!G7)&lt;=36,'Sites'!G8&gt;=25),IF(ISNUMBER('Sites'!Q8),0,1)+'Capital'!I8+COUNTBLANK('Sites'!R8)+IF('Sites'!D8="NM crew",COUNTBLANK('NM Play'!B25)+1,5-COUNT('Assumptions'!AC122:AC126)),0)+IF(AND('Cases'!C7&gt;0,NOT(ISNUMBER('Assumptions'!B42))),1,0)+'Responsibilities'!$B$39</f>
        <v/>
      </c>
      <c r="BK67" s="137">
        <f>'Assumptions'!$B$50+'NM Play'!$B$83+'Funding'!$F$20+SUMIFS('Production schedule'!$AN$114:$AN$221,'Production schedule'!$C$114:$C$221,26)+IF(OR('Cases'!E7&lt;0,'Cases'!E7&gt;1,'Cases'!C7&lt;0,'Cases'!D7&lt;0,ABS(SUM('Sites'!S6:S8)-1)&gt;0.0001,MIN('Capital'!F6:F8)&lt;0,MAX('Capital'!F6:F8)&gt;1,MIN(AX67,AZ67,BB67,BA67)&lt;-0.01),1,0)+'Responsibilities'!$B$40</f>
        <v/>
      </c>
      <c r="BL67" s="137">
        <f>SUMIFS('Production schedule'!$T$114:$T$221,'Production schedule'!$C$114:$C$221,26)</f>
        <v/>
      </c>
      <c r="BM67" s="137">
        <f>D67*'NM Play'!$B$38</f>
        <v/>
      </c>
      <c r="BN67" s="137">
        <f>SUMIFS('Production schedule'!$AM$114:$AM$221,'Production schedule'!$C$114:$C$221,26)</f>
        <v/>
      </c>
      <c r="BO67" s="137">
        <f>AK67-AK66-AJ67</f>
        <v/>
      </c>
      <c r="BP67" s="137">
        <f>IF(AND('Assumptions'!$B$39&gt;=0,'Assumptions'!$B$40&gt;0),-PMT('Assumptions'!$B$39/12,'Assumptions'!$B$40*12,IF('Funding'!$N$11&gt;0,'Funding'!$N$11,'Funding'!$S$11)),"")</f>
        <v/>
      </c>
      <c r="BQ67">
        <f>('Production schedule'!AJ139)*(1-'Responsibilities'!$C$6)+('Production schedule'!AJ175)*(1-'Responsibilities'!$C$7)+('Production schedule'!AJ211)*(1-'Responsibilities'!$C$8)</f>
        <v/>
      </c>
      <c r="BR67">
        <f>('Production schedule'!AI139)*(1-'Responsibilities'!$D$6)+('Production schedule'!AI175)*(1-'Responsibilities'!$D$7)+('Production schedule'!AI211)*(1-'Responsibilities'!$D$8)</f>
        <v/>
      </c>
      <c r="BS67">
        <f>('Production schedule'!E139*(IF('Sites'!D6="Annual staff",SUM('Assumptions'!AC112,'Assumptions'!AC114),0)+SUM('Assumptions'!AC113,'Assumptions'!AC115:AC116)))*(1-'Responsibilities'!$E$6)+('Production schedule'!E175*(IF('Sites'!D7="Annual staff",SUM('Assumptions'!AC117,'Assumptions'!AC119),0)+SUM('Assumptions'!AC118,'Assumptions'!AC120:AC121)))*(1-'Responsibilities'!$E$7)+('Production schedule'!E211*(IF('Sites'!D8="Annual staff",SUM('Assumptions'!AC122,'Assumptions'!AC124),0)+SUM('Assumptions'!AC123,'Assumptions'!AC125:AC126)))*(1-'Responsibilities'!$E$8)</f>
        <v/>
      </c>
      <c r="BT67">
        <f>(IF(AND('Production schedule'!E139=1,26=MAX(('Sites'!F6),25),ISNUMBER('Sites'!Q6)),'Sites'!Q6*'Assumptions'!$B$44,0))*(1-'Responsibilities'!$F$6)+(IF(AND('Production schedule'!E175=1,26=MAX(('Sites'!F7+'Cases'!G7),25),ISNUMBER('Sites'!Q7)),'Sites'!Q7*'Assumptions'!$B$44,0))*(1-'Responsibilities'!$F$7)+(IF(AND('Production schedule'!E211=1,26=MAX(('Sites'!F8+'Cases'!G7),25),ISNUMBER('Sites'!Q8)),'Sites'!Q8*'Assumptions'!$B$44,0))*(1-'Responsibilities'!$F$8)</f>
        <v/>
      </c>
      <c r="BU67">
        <f>SUM('Costs'!E36)*'Costs'!F36/12*(1-'Responsibilities'!$C$12)+SUM('Costs'!E37)*'Costs'!F37/12*(1-'Responsibilities'!$C$13)+SUM('Costs'!E38)*'Costs'!F38/12*(1-'Responsibilities'!$C$14)+SUM('Costs'!E39)*'Costs'!F39/12*(1-'Responsibilities'!$C$15)+SUM('Costs'!E40)*'Costs'!F40/12*(1-'Responsibilities'!$C$16)</f>
        <v/>
      </c>
      <c r="BV67">
        <f>('Sites'!E6*'Capital'!E6*(IF(26='Capital'!G6,'Capital'!F6,0)+IF(26='Capital'!H6,1-'Capital'!F6,0)))*(1-'Responsibilities'!$G$6)+('Sites'!E7*'Capital'!E7*(IF(26='Capital'!G7+'Cases'!G7,'Capital'!F7,0)+IF(26='Capital'!H7+'Cases'!G7,1-'Capital'!F7,0)))*(1-'Responsibilities'!$G$7)+('Sites'!E8*'Cases'!F7*'Capital'!E8*(IF(26='Capital'!G8+'Cases'!G7,'Capital'!F8,0)+IF(26='Capital'!H8+'Cases'!G7,1-'Capital'!F8,0)))*(1-'Responsibilities'!$G$8)</f>
        <v/>
      </c>
      <c r="BW67">
        <f>SUM(BQ67:BV67)</f>
        <v/>
      </c>
      <c r="BX67">
        <f>N67+BW67</f>
        <v/>
      </c>
      <c r="BY67">
        <f>BX67-(('Production schedule'!AJ139)*'Responsibilities'!$C$6+('Production schedule'!AJ175)*'Responsibilities'!$C$7+('Production schedule'!AJ211)*'Responsibilities'!$C$8+('Production schedule'!AJ139)*(1-'Responsibilities'!$C$6)+('Production schedule'!AJ175)*(1-'Responsibilities'!$C$7)+('Production schedule'!AJ211)*(1-'Responsibilities'!$C$8)+('Production schedule'!AI139)*'Responsibilities'!$D$6+('Production schedule'!AI175)*'Responsibilities'!$D$7+('Production schedule'!AI211)*'Responsibilities'!$D$8+('Production schedule'!AI139)*(1-'Responsibilities'!$D$6)+('Production schedule'!AI175)*(1-'Responsibilities'!$D$7)+('Production schedule'!AI211)*(1-'Responsibilities'!$D$8)+('Production schedule'!E139*(IF('Sites'!D6="Annual staff",SUM('Assumptions'!AC112,'Assumptions'!AC114),0)+SUM('Assumptions'!AC113,'Assumptions'!AC115:AC116)))*'Responsibilities'!$E$6+('Production schedule'!E175*(IF('Sites'!D7="Annual staff",SUM('Assumptions'!AC117,'Assumptions'!AC119),0)+SUM('Assumptions'!AC118,'Assumptions'!AC120:AC121)))*'Responsibilities'!$E$7+('Production schedule'!E211*(IF('Sites'!D8="Annual staff",SUM('Assumptions'!AC122,'Assumptions'!AC124),0)+SUM('Assumptions'!AC123,'Assumptions'!AC125:AC126)))*'Responsibilities'!$E$8+('Production schedule'!E139*(IF('Sites'!D6="Annual staff",SUM('Assumptions'!AC112,'Assumptions'!AC114),0)+SUM('Assumptions'!AC113,'Assumptions'!AC115:AC116)))*(1-'Responsibilities'!$E$6)+('Production schedule'!E175*(IF('Sites'!D7="Annual staff",SUM('Assumptions'!AC117,'Assumptions'!AC119),0)+SUM('Assumptions'!AC118,'Assumptions'!AC120:AC121)))*(1-'Responsibilities'!$E$7)+('Production schedule'!E211*(IF('Sites'!D8="Annual staff",SUM('Assumptions'!AC122,'Assumptions'!AC124),0)+SUM('Assumptions'!AC123,'Assumptions'!AC125:AC126)))*(1-'Responsibilities'!$E$8)+(IF(AND('Production schedule'!E139=1,26=MAX(('Sites'!F6),25),ISNUMBER('Sites'!Q6)),'Sites'!Q6*'Assumptions'!$B$44,0))*'Responsibilities'!$F$6+(IF(AND('Production schedule'!E175=1,26=MAX(('Sites'!F7+'Cases'!G7),25),ISNUMBER('Sites'!Q7)),'Sites'!Q7*'Assumptions'!$B$44,0))*'Responsibilities'!$F$7+(IF(AND('Production schedule'!E211=1,26=MAX(('Sites'!F8+'Cases'!G7),25),ISNUMBER('Sites'!Q8)),'Sites'!Q8*'Assumptions'!$B$44,0))*'Responsibilities'!$F$8+(IF(AND('Production schedule'!E139=1,26=MAX(('Sites'!F6),25),ISNUMBER('Sites'!Q6)),'Sites'!Q6*'Assumptions'!$B$44,0))*(1-'Responsibilities'!$F$6)+(IF(AND('Production schedule'!E175=1,26=MAX(('Sites'!F7+'Cases'!G7),25),ISNUMBER('Sites'!Q7)),'Sites'!Q7*'Assumptions'!$B$44,0))*(1-'Responsibilities'!$F$7)+(IF(AND('Production schedule'!E211=1,26=MAX(('Sites'!F8+'Cases'!G7),25),ISNUMBER('Sites'!Q8)),'Sites'!Q8*'Assumptions'!$B$44,0))*(1-'Responsibilities'!$F$8)+('Sites'!E6*'Capital'!E6*(IF(26='Capital'!G6,'Capital'!F6,0)+IF(26='Capital'!H6,1-'Capital'!F6,0)))*'Responsibilities'!$G$6+('Sites'!E7*'Capital'!E7*(IF(26='Capital'!G7+'Cases'!G7,'Capital'!F7,0)+IF(26='Capital'!H7+'Cases'!G7,1-'Capital'!F7,0)))*'Responsibilities'!$G$7+('Sites'!E8*'Cases'!F7*'Capital'!E8*(IF(26='Capital'!G8+'Cases'!G7,'Capital'!F8,0)+IF(26='Capital'!H8+'Cases'!G7,1-'Capital'!F8,0)))*'Responsibilities'!$G$8+('Sites'!E6*'Capital'!E6*(IF(26='Capital'!G6,'Capital'!F6,0)+IF(26='Capital'!H6,1-'Capital'!F6,0)))*(1-'Responsibilities'!$G$6)+('Sites'!E7*'Capital'!E7*(IF(26='Capital'!G7+'Cases'!G7,'Capital'!F7,0)+IF(26='Capital'!H7+'Cases'!G7,1-'Capital'!F7,0)))*(1-'Responsibilities'!$G$7)+('Sites'!E8*'Cases'!F7*'Capital'!E8*(IF(26='Capital'!G8+'Cases'!G7,'Capital'!F8,0)+IF(26='Capital'!H8+'Cases'!G7,1-'Capital'!F8,0)))*(1-'Responsibilities'!$G$8)+I67+SUMPRODUCT('Costs'!$E$36:$E$40,'Costs'!$F$36:$F$40)/12+BZ67)</f>
        <v/>
      </c>
      <c r="BZ67">
        <f>SUMIFS('Responsibilities'!$B$31:$B$35,'Responsibilities'!$C$31:$C$35,26,'Responsibilities'!$D$31:$D$35,"Yes")</f>
        <v/>
      </c>
    </row>
    <row r="68" ht="28" customHeight="1">
      <c r="A68" s="4" t="inlineStr">
        <is>
          <t>Smaller</t>
        </is>
      </c>
      <c r="B68" s="4" t="n">
        <v>27</v>
      </c>
      <c r="C68" s="4">
        <f>ROUNDUP(B68/12,0)</f>
        <v/>
      </c>
      <c r="D68" s="137">
        <f>SUMIFS('Production schedule'!$N$114:$N$221,'Production schedule'!$C$114:$C$221,27)</f>
        <v/>
      </c>
      <c r="E68" s="137">
        <f>SUMIFS('Production schedule'!$Y$114:$Y$221,'Production schedule'!$C$114:$C$221,27)</f>
        <v/>
      </c>
      <c r="F68" s="137">
        <f>SUMIFS('Production schedule'!$Z$114:$Z$221,'Production schedule'!$C$114:$C$221,27)</f>
        <v/>
      </c>
      <c r="G68" s="137">
        <f>('Production schedule'!AJ140)*'Responsibilities'!$C$6+('Production schedule'!AJ176)*'Responsibilities'!$C$7+('Production schedule'!AJ212)*'Responsibilities'!$C$8</f>
        <v/>
      </c>
      <c r="H68" s="137">
        <f>('Production schedule'!AI140)*'Responsibilities'!$D$6+('Production schedule'!AI176)*'Responsibilities'!$D$7+('Production schedule'!AI212)*'Responsibilities'!$D$8</f>
        <v/>
      </c>
      <c r="I68" s="137">
        <f>SUM('Assumptions'!AD58:AD65)</f>
        <v/>
      </c>
      <c r="J68" s="137">
        <f>('Production schedule'!E140*(IF('Sites'!D6="Annual staff",SUM('Assumptions'!AD112,'Assumptions'!AD114),0)+SUM('Assumptions'!AD113,'Assumptions'!AD115:AD116)))*'Responsibilities'!$E$6+('Production schedule'!E176*(IF('Sites'!D7="Annual staff",SUM('Assumptions'!AD117,'Assumptions'!AD119),0)+SUM('Assumptions'!AD118,'Assumptions'!AD120:AD121)))*'Responsibilities'!$E$7+('Production schedule'!E212*(IF('Sites'!D8="Annual staff",SUM('Assumptions'!AD122,'Assumptions'!AD124),0)+SUM('Assumptions'!AD123,'Assumptions'!AD125:AD126)))*'Responsibilities'!$E$8</f>
        <v/>
      </c>
      <c r="K68" s="137">
        <f>(IF(AND('Production schedule'!E140=1,27=MAX(('Sites'!F6),25),ISNUMBER('Sites'!Q6)),'Sites'!Q6*'Assumptions'!$B$44,0))*'Responsibilities'!$F$6+(IF(AND('Production schedule'!E176=1,27=MAX(('Sites'!F7+'Cases'!G7),25),ISNUMBER('Sites'!Q7)),'Sites'!Q7*'Assumptions'!$B$44,0))*'Responsibilities'!$F$7+(IF(AND('Production schedule'!E212=1,27=MAX(('Sites'!F8+'Cases'!G7),25),ISNUMBER('Sites'!Q8)),'Sites'!Q8*'Assumptions'!$B$44,0))*'Responsibilities'!$F$8</f>
        <v/>
      </c>
      <c r="L68" s="137">
        <f>SUM('Costs'!E36)*'Costs'!F36/12*'Responsibilities'!$C$12+SUM('Costs'!E37)*'Costs'!F37/12*'Responsibilities'!$C$13+SUM('Costs'!E38)*'Costs'!F38/12*'Responsibilities'!$C$14+SUM('Costs'!E39)*'Costs'!F39/12*'Responsibilities'!$C$15+SUM('Costs'!E40)*'Costs'!F40/12*'Responsibilities'!$C$16+BZ68</f>
        <v/>
      </c>
      <c r="M68" s="137">
        <f>('Sites'!E6*'Capital'!E6*(IF(27='Capital'!G6,'Capital'!F6,0)+IF(27='Capital'!H6,1-'Capital'!F6,0)))*'Responsibilities'!$G$6+('Sites'!E7*'Capital'!E7*(IF(27='Capital'!G7+'Cases'!G7,'Capital'!F7,0)+IF(27='Capital'!H7+'Cases'!G7,1-'Capital'!F7,0)))*'Responsibilities'!$G$7+('Sites'!E8*'Cases'!F7*'Capital'!E8*(IF(27='Capital'!G8+'Cases'!G7,'Capital'!F8,0)+IF(27='Capital'!H8+'Cases'!G7,1-'Capital'!F8,0)))*'Responsibilities'!$G$8</f>
        <v/>
      </c>
      <c r="N68" s="137">
        <f>SUM(G68:M68)</f>
        <v/>
      </c>
      <c r="O68" s="137">
        <f>SUMIFS(FundingTranches[Secured amount],FundingTranches[Instrument],"Grant",FundingTranches[Secured month],27)</f>
        <v/>
      </c>
      <c r="P68" s="137">
        <f>SUMIFS(FundingTranches[Smaller possible],FundingTranches[Instrument],"Grant",FundingTranches[Scenario month],27-'Cases'!$D$7)</f>
        <v/>
      </c>
      <c r="Q68" s="137">
        <f>SUMIFS(FundingTranches[Secured amount],FundingTranches[Instrument],"Loan",FundingTranches[Secured month],27)</f>
        <v/>
      </c>
      <c r="R68" s="137">
        <f>SUMIFS(FundingTranches[Smaller possible],FundingTranches[Instrument],"Loan",FundingTranches[Scenario month],27-'Cases'!$D$7)</f>
        <v/>
      </c>
      <c r="S68" s="137">
        <f>IF(27&lt;='Assumptions'!$B$34,0,SUMIFS('Production schedule'!$AL$114:$AL$221,'Production schedule'!$C$114:$C$221,27-'Assumptions'!$B$34))</f>
        <v/>
      </c>
      <c r="T68" s="137">
        <f>'Assumptions'!AD70</f>
        <v/>
      </c>
      <c r="U68" s="137">
        <f>'Assumptions'!AD78</f>
        <v/>
      </c>
      <c r="V68" s="137">
        <f>SUM(O68:U68)</f>
        <v/>
      </c>
      <c r="W68" s="137">
        <f>AA67</f>
        <v/>
      </c>
      <c r="X68" s="137">
        <f>SUM(Q68:R68)</f>
        <v/>
      </c>
      <c r="Y68" s="137">
        <f>SUM(W68,X68)*'Assumptions'!$B$39/12</f>
        <v/>
      </c>
      <c r="Z68" s="137">
        <f>IF(SUM(W68,X68)&gt;0,MIN(SUM(W68,X68),MAX(0,BP68-Y68)),0)</f>
        <v/>
      </c>
      <c r="AA68" s="137">
        <f>SUM(W68,X68)-Z68</f>
        <v/>
      </c>
      <c r="AB68" s="137">
        <f>SUM(Y68:Z68)</f>
        <v/>
      </c>
      <c r="AC68" s="137">
        <f>'Assumptions'!AD72</f>
        <v/>
      </c>
      <c r="AD68" s="137">
        <f>'Assumptions'!AD73</f>
        <v/>
      </c>
      <c r="AE68" s="137">
        <f>IF(X68&gt;0,SUM('Assumptions'!$B$42),0)</f>
        <v/>
      </c>
      <c r="AF68" s="137">
        <f>'Assumptions'!AD71</f>
        <v/>
      </c>
      <c r="AG68" s="137">
        <f>'Assumptions'!AD74</f>
        <v/>
      </c>
      <c r="AH68" s="137">
        <f>'Assumptions'!AD75</f>
        <v/>
      </c>
      <c r="AI68" s="137">
        <f>'Assumptions'!AD77</f>
        <v/>
      </c>
      <c r="AJ68" s="137">
        <f>V68-N68-SUM(AB68:AI68)</f>
        <v/>
      </c>
      <c r="AK68" s="137">
        <f>SUM(AJ42:AJ68)</f>
        <v/>
      </c>
      <c r="AL68" s="137">
        <f>IF(ISNUMBER('Assumptions'!$B$10),'Assumptions'!$B$10+AK68,"")</f>
        <v/>
      </c>
      <c r="AM68" s="137">
        <f>SUM(O68,Q68,T68)-N68-SUM(AC68:AI68)+IF('Funding'!$N$11=0,AE68,0)-IF('Funding'!$N$11&gt;0,AB68,0)</f>
        <v/>
      </c>
      <c r="AN68" s="137">
        <f>SUM(AM42:AM68)</f>
        <v/>
      </c>
      <c r="AO68" s="137">
        <f>IF(ISNUMBER('Assumptions'!$B$10),'Assumptions'!$B$10+AN68,"")</f>
        <v/>
      </c>
      <c r="AP68" s="137">
        <f>('Production schedule'!AK140)*'Responsibilities'!$C$6+('Production schedule'!AK176)*'Responsibilities'!$C$7+('Production schedule'!AK212)*'Responsibilities'!$C$8</f>
        <v/>
      </c>
      <c r="AQ68" s="137">
        <f>SUMIFS('Production schedule'!$AL$114:$AL$221,'Production schedule'!$C$114:$C$221,27)</f>
        <v/>
      </c>
      <c r="AR68" s="137">
        <f>IF(ISNUMBER('Assumptions'!AD76),'Assumptions'!AD76,SUM(O68:P68))</f>
        <v/>
      </c>
      <c r="AS68" s="137">
        <f>IF(ISNUMBER('Assumptions'!$B$13),MIN('Assumptions'!$B$13/'Assumptions'!$B$18/12,MAX(0,'Assumptions'!$B$13-(27-1)*'Assumptions'!$B$13/'Assumptions'!$B$18/12)),0)+IF(AND('Sites'!E6=1,27&gt;=('Sites'!F6),27&lt;('Sites'!F6)+'Assumptions'!$B$18*12),'Capital'!E6/'Assumptions'!$B$18/12,0)+IF(AND('Sites'!E7=1,27&gt;=('Sites'!F7+'Cases'!G7),27&lt;('Sites'!F7+'Cases'!G7)+'Assumptions'!$B$18*12),'Capital'!E7/'Assumptions'!$B$18/12,0)+IF(AND('Sites'!E8*'Cases'!F7=1,27&gt;=('Sites'!F8+'Cases'!G7),27&lt;('Sites'!F8+'Cases'!G7)+'Assumptions'!$B$18*12),'Capital'!E8/'Assumptions'!$B$18/12,0)</f>
        <v/>
      </c>
      <c r="AT68" s="137">
        <f>SUM(AQ68,AR68,U68)-AP68-SUM(H68:L68)-AS68-SUM(Y68,AD68,AE68,AH68)</f>
        <v/>
      </c>
      <c r="AU68" s="137">
        <f>IF(ISNUMBER('Assumptions'!$B$19),MAX(0,SUM(AT66:AT68))*'Assumptions'!$B$19-SUM(AU66:AU67),"")</f>
        <v/>
      </c>
      <c r="AV68" s="137">
        <f>IF(ISNUMBER(AU68),AT68-AU68,"")</f>
        <v/>
      </c>
      <c r="AW68" s="137">
        <f>IF(ISNUMBER('Assumptions'!$B$11),'Assumptions'!$B$11+SUM(AQ42:AQ68)-SUM(S42:S68)-SUM(T42:T68),"")</f>
        <v/>
      </c>
      <c r="AX68" s="137">
        <f>IF(ISNUMBER('Assumptions'!$B$12),'Assumptions'!$B$12+SUM(G42:G68)-SUM(AP42:AP68),"")</f>
        <v/>
      </c>
      <c r="AY68" s="137">
        <f>IF(ISNUMBER('Assumptions'!$B$13),'Assumptions'!$B$13+SUM(M42:M68)-SUM(AS42:AS68),"")</f>
        <v/>
      </c>
      <c r="AZ68" s="137">
        <f>IF(ISNUMBER('Assumptions'!$B$14),'Assumptions'!$B$14+-SUM(AF42:AF68),"")</f>
        <v/>
      </c>
      <c r="BA68" s="137">
        <f>IF(ISNUMBER('Assumptions'!$B$15),'Assumptions'!$B$15+SUM(O42:O68)+SUM(P42:P68)-SUM(AR42:AR68),"")</f>
        <v/>
      </c>
      <c r="BB68" s="137">
        <f>IF(ISNUMBER('Assumptions'!$B$16),'Assumptions'!$B$16+-SUM(AC42:AC68),"")</f>
        <v/>
      </c>
      <c r="BC68" s="137">
        <f>IF(AND(ISNUMBER('Assumptions'!$B$21),ISNUMBER('Assumptions'!$B$19)),'Assumptions'!$B$21+SUM(AU42:AU68)-SUM(AG42:AG68),"")</f>
        <v/>
      </c>
      <c r="BD68" s="137">
        <f>IF(ISNUMBER('Assumptions'!$B$20),'Assumptions'!$B$20+-SUM(AI42:AI68),"")</f>
        <v/>
      </c>
      <c r="BE68" s="137">
        <f>IF(AND(ISNUMBER('Assumptions'!$B$17),COUNT(AV42:AV68)=27),'Assumptions'!$B$17+SUM(AV42:AV68),"")</f>
        <v/>
      </c>
      <c r="BF68" s="137">
        <f>IF(COUNT(AL68,AW68:AY68)=4,SUM(AL68,AW68:AY68),"")</f>
        <v/>
      </c>
      <c r="BG68" s="137">
        <f>IF(COUNT(AZ68:BD68)=5,SUM(AZ68:BD68,AA68),"")</f>
        <v/>
      </c>
      <c r="BH68" s="137">
        <f>IF(COUNT(BF68,BG68,BE68)=3,BF68-BG68-BE68,"")</f>
        <v/>
      </c>
      <c r="BI68" s="137">
        <f>SUM(W68,X68)-Z68-AA68</f>
        <v/>
      </c>
      <c r="BJ68" s="137">
        <f>8-COUNT('Assumptions'!AD58:AD65)+COUNTBLANK('NM Play'!B33:B34)+'Costs'!E44+IF(AND('Sites'!E6=1,('Sites'!F6)&lt;=36,'Sites'!G6&gt;=25),IF(ISNUMBER('Sites'!Q6),0,1)+'Capital'!I6+COUNTBLANK('Sites'!R6)+IF('Sites'!D6="NM crew",COUNTBLANK('NM Play'!B25)+1,5-COUNT('Assumptions'!AD112:AD116)),0)+IF(AND('Sites'!E7=1,('Sites'!F7+'Cases'!G7)&lt;=36,'Sites'!G7&gt;=25),IF(ISNUMBER('Sites'!Q7),0,1)+'Capital'!I7+COUNTBLANK('Sites'!R7)+IF('Sites'!D7="NM crew",COUNTBLANK('NM Play'!B25)+1,5-COUNT('Assumptions'!AD117:AD121)),0)+IF(AND('Sites'!E8*'Cases'!F7=1,('Sites'!F8+'Cases'!G7)&lt;=36,'Sites'!G8&gt;=25),IF(ISNUMBER('Sites'!Q8),0,1)+'Capital'!I8+COUNTBLANK('Sites'!R8)+IF('Sites'!D8="NM crew",COUNTBLANK('NM Play'!B25)+1,5-COUNT('Assumptions'!AD122:AD126)),0)+IF(AND('Cases'!C7&gt;0,NOT(ISNUMBER('Assumptions'!B42))),1,0)+'Responsibilities'!$B$39</f>
        <v/>
      </c>
      <c r="BK68" s="137">
        <f>'Assumptions'!$B$50+'NM Play'!$B$83+'Funding'!$F$20+SUMIFS('Production schedule'!$AN$114:$AN$221,'Production schedule'!$C$114:$C$221,27)+IF(OR('Cases'!E7&lt;0,'Cases'!E7&gt;1,'Cases'!C7&lt;0,'Cases'!D7&lt;0,ABS(SUM('Sites'!S6:S8)-1)&gt;0.0001,MIN('Capital'!F6:F8)&lt;0,MAX('Capital'!F6:F8)&gt;1,MIN(AX68,AZ68,BB68,BA68)&lt;-0.01),1,0)+'Responsibilities'!$B$40</f>
        <v/>
      </c>
      <c r="BL68" s="137">
        <f>SUMIFS('Production schedule'!$T$114:$T$221,'Production schedule'!$C$114:$C$221,27)</f>
        <v/>
      </c>
      <c r="BM68" s="137">
        <f>D68*'NM Play'!$B$38</f>
        <v/>
      </c>
      <c r="BN68" s="137">
        <f>SUMIFS('Production schedule'!$AM$114:$AM$221,'Production schedule'!$C$114:$C$221,27)</f>
        <v/>
      </c>
      <c r="BO68" s="137">
        <f>AK68-AK67-AJ68</f>
        <v/>
      </c>
      <c r="BP68" s="137">
        <f>IF(AND('Assumptions'!$B$39&gt;=0,'Assumptions'!$B$40&gt;0),-PMT('Assumptions'!$B$39/12,'Assumptions'!$B$40*12,IF('Funding'!$N$11&gt;0,'Funding'!$N$11,'Funding'!$S$11)),"")</f>
        <v/>
      </c>
      <c r="BQ68">
        <f>('Production schedule'!AJ140)*(1-'Responsibilities'!$C$6)+('Production schedule'!AJ176)*(1-'Responsibilities'!$C$7)+('Production schedule'!AJ212)*(1-'Responsibilities'!$C$8)</f>
        <v/>
      </c>
      <c r="BR68">
        <f>('Production schedule'!AI140)*(1-'Responsibilities'!$D$6)+('Production schedule'!AI176)*(1-'Responsibilities'!$D$7)+('Production schedule'!AI212)*(1-'Responsibilities'!$D$8)</f>
        <v/>
      </c>
      <c r="BS68">
        <f>('Production schedule'!E140*(IF('Sites'!D6="Annual staff",SUM('Assumptions'!AD112,'Assumptions'!AD114),0)+SUM('Assumptions'!AD113,'Assumptions'!AD115:AD116)))*(1-'Responsibilities'!$E$6)+('Production schedule'!E176*(IF('Sites'!D7="Annual staff",SUM('Assumptions'!AD117,'Assumptions'!AD119),0)+SUM('Assumptions'!AD118,'Assumptions'!AD120:AD121)))*(1-'Responsibilities'!$E$7)+('Production schedule'!E212*(IF('Sites'!D8="Annual staff",SUM('Assumptions'!AD122,'Assumptions'!AD124),0)+SUM('Assumptions'!AD123,'Assumptions'!AD125:AD126)))*(1-'Responsibilities'!$E$8)</f>
        <v/>
      </c>
      <c r="BT68">
        <f>(IF(AND('Production schedule'!E140=1,27=MAX(('Sites'!F6),25),ISNUMBER('Sites'!Q6)),'Sites'!Q6*'Assumptions'!$B$44,0))*(1-'Responsibilities'!$F$6)+(IF(AND('Production schedule'!E176=1,27=MAX(('Sites'!F7+'Cases'!G7),25),ISNUMBER('Sites'!Q7)),'Sites'!Q7*'Assumptions'!$B$44,0))*(1-'Responsibilities'!$F$7)+(IF(AND('Production schedule'!E212=1,27=MAX(('Sites'!F8+'Cases'!G7),25),ISNUMBER('Sites'!Q8)),'Sites'!Q8*'Assumptions'!$B$44,0))*(1-'Responsibilities'!$F$8)</f>
        <v/>
      </c>
      <c r="BU68">
        <f>SUM('Costs'!E36)*'Costs'!F36/12*(1-'Responsibilities'!$C$12)+SUM('Costs'!E37)*'Costs'!F37/12*(1-'Responsibilities'!$C$13)+SUM('Costs'!E38)*'Costs'!F38/12*(1-'Responsibilities'!$C$14)+SUM('Costs'!E39)*'Costs'!F39/12*(1-'Responsibilities'!$C$15)+SUM('Costs'!E40)*'Costs'!F40/12*(1-'Responsibilities'!$C$16)</f>
        <v/>
      </c>
      <c r="BV68">
        <f>('Sites'!E6*'Capital'!E6*(IF(27='Capital'!G6,'Capital'!F6,0)+IF(27='Capital'!H6,1-'Capital'!F6,0)))*(1-'Responsibilities'!$G$6)+('Sites'!E7*'Capital'!E7*(IF(27='Capital'!G7+'Cases'!G7,'Capital'!F7,0)+IF(27='Capital'!H7+'Cases'!G7,1-'Capital'!F7,0)))*(1-'Responsibilities'!$G$7)+('Sites'!E8*'Cases'!F7*'Capital'!E8*(IF(27='Capital'!G8+'Cases'!G7,'Capital'!F8,0)+IF(27='Capital'!H8+'Cases'!G7,1-'Capital'!F8,0)))*(1-'Responsibilities'!$G$8)</f>
        <v/>
      </c>
      <c r="BW68">
        <f>SUM(BQ68:BV68)</f>
        <v/>
      </c>
      <c r="BX68">
        <f>N68+BW68</f>
        <v/>
      </c>
      <c r="BY68">
        <f>BX68-(('Production schedule'!AJ140)*'Responsibilities'!$C$6+('Production schedule'!AJ176)*'Responsibilities'!$C$7+('Production schedule'!AJ212)*'Responsibilities'!$C$8+('Production schedule'!AJ140)*(1-'Responsibilities'!$C$6)+('Production schedule'!AJ176)*(1-'Responsibilities'!$C$7)+('Production schedule'!AJ212)*(1-'Responsibilities'!$C$8)+('Production schedule'!AI140)*'Responsibilities'!$D$6+('Production schedule'!AI176)*'Responsibilities'!$D$7+('Production schedule'!AI212)*'Responsibilities'!$D$8+('Production schedule'!AI140)*(1-'Responsibilities'!$D$6)+('Production schedule'!AI176)*(1-'Responsibilities'!$D$7)+('Production schedule'!AI212)*(1-'Responsibilities'!$D$8)+('Production schedule'!E140*(IF('Sites'!D6="Annual staff",SUM('Assumptions'!AD112,'Assumptions'!AD114),0)+SUM('Assumptions'!AD113,'Assumptions'!AD115:AD116)))*'Responsibilities'!$E$6+('Production schedule'!E176*(IF('Sites'!D7="Annual staff",SUM('Assumptions'!AD117,'Assumptions'!AD119),0)+SUM('Assumptions'!AD118,'Assumptions'!AD120:AD121)))*'Responsibilities'!$E$7+('Production schedule'!E212*(IF('Sites'!D8="Annual staff",SUM('Assumptions'!AD122,'Assumptions'!AD124),0)+SUM('Assumptions'!AD123,'Assumptions'!AD125:AD126)))*'Responsibilities'!$E$8+('Production schedule'!E140*(IF('Sites'!D6="Annual staff",SUM('Assumptions'!AD112,'Assumptions'!AD114),0)+SUM('Assumptions'!AD113,'Assumptions'!AD115:AD116)))*(1-'Responsibilities'!$E$6)+('Production schedule'!E176*(IF('Sites'!D7="Annual staff",SUM('Assumptions'!AD117,'Assumptions'!AD119),0)+SUM('Assumptions'!AD118,'Assumptions'!AD120:AD121)))*(1-'Responsibilities'!$E$7)+('Production schedule'!E212*(IF('Sites'!D8="Annual staff",SUM('Assumptions'!AD122,'Assumptions'!AD124),0)+SUM('Assumptions'!AD123,'Assumptions'!AD125:AD126)))*(1-'Responsibilities'!$E$8)+(IF(AND('Production schedule'!E140=1,27=MAX(('Sites'!F6),25),ISNUMBER('Sites'!Q6)),'Sites'!Q6*'Assumptions'!$B$44,0))*'Responsibilities'!$F$6+(IF(AND('Production schedule'!E176=1,27=MAX(('Sites'!F7+'Cases'!G7),25),ISNUMBER('Sites'!Q7)),'Sites'!Q7*'Assumptions'!$B$44,0))*'Responsibilities'!$F$7+(IF(AND('Production schedule'!E212=1,27=MAX(('Sites'!F8+'Cases'!G7),25),ISNUMBER('Sites'!Q8)),'Sites'!Q8*'Assumptions'!$B$44,0))*'Responsibilities'!$F$8+(IF(AND('Production schedule'!E140=1,27=MAX(('Sites'!F6),25),ISNUMBER('Sites'!Q6)),'Sites'!Q6*'Assumptions'!$B$44,0))*(1-'Responsibilities'!$F$6)+(IF(AND('Production schedule'!E176=1,27=MAX(('Sites'!F7+'Cases'!G7),25),ISNUMBER('Sites'!Q7)),'Sites'!Q7*'Assumptions'!$B$44,0))*(1-'Responsibilities'!$F$7)+(IF(AND('Production schedule'!E212=1,27=MAX(('Sites'!F8+'Cases'!G7),25),ISNUMBER('Sites'!Q8)),'Sites'!Q8*'Assumptions'!$B$44,0))*(1-'Responsibilities'!$F$8)+('Sites'!E6*'Capital'!E6*(IF(27='Capital'!G6,'Capital'!F6,0)+IF(27='Capital'!H6,1-'Capital'!F6,0)))*'Responsibilities'!$G$6+('Sites'!E7*'Capital'!E7*(IF(27='Capital'!G7+'Cases'!G7,'Capital'!F7,0)+IF(27='Capital'!H7+'Cases'!G7,1-'Capital'!F7,0)))*'Responsibilities'!$G$7+('Sites'!E8*'Cases'!F7*'Capital'!E8*(IF(27='Capital'!G8+'Cases'!G7,'Capital'!F8,0)+IF(27='Capital'!H8+'Cases'!G7,1-'Capital'!F8,0)))*'Responsibilities'!$G$8+('Sites'!E6*'Capital'!E6*(IF(27='Capital'!G6,'Capital'!F6,0)+IF(27='Capital'!H6,1-'Capital'!F6,0)))*(1-'Responsibilities'!$G$6)+('Sites'!E7*'Capital'!E7*(IF(27='Capital'!G7+'Cases'!G7,'Capital'!F7,0)+IF(27='Capital'!H7+'Cases'!G7,1-'Capital'!F7,0)))*(1-'Responsibilities'!$G$7)+('Sites'!E8*'Cases'!F7*'Capital'!E8*(IF(27='Capital'!G8+'Cases'!G7,'Capital'!F8,0)+IF(27='Capital'!H8+'Cases'!G7,1-'Capital'!F8,0)))*(1-'Responsibilities'!$G$8)+I68+SUMPRODUCT('Costs'!$E$36:$E$40,'Costs'!$F$36:$F$40)/12+BZ68)</f>
        <v/>
      </c>
      <c r="BZ68">
        <f>SUMIFS('Responsibilities'!$B$31:$B$35,'Responsibilities'!$C$31:$C$35,27,'Responsibilities'!$D$31:$D$35,"Yes")</f>
        <v/>
      </c>
    </row>
    <row r="69" ht="28" customHeight="1">
      <c r="A69" s="4" t="inlineStr">
        <is>
          <t>Smaller</t>
        </is>
      </c>
      <c r="B69" s="4" t="n">
        <v>28</v>
      </c>
      <c r="C69" s="4">
        <f>ROUNDUP(B69/12,0)</f>
        <v/>
      </c>
      <c r="D69" s="137">
        <f>SUMIFS('Production schedule'!$N$114:$N$221,'Production schedule'!$C$114:$C$221,28)</f>
        <v/>
      </c>
      <c r="E69" s="137">
        <f>SUMIFS('Production schedule'!$Y$114:$Y$221,'Production schedule'!$C$114:$C$221,28)</f>
        <v/>
      </c>
      <c r="F69" s="137">
        <f>SUMIFS('Production schedule'!$Z$114:$Z$221,'Production schedule'!$C$114:$C$221,28)</f>
        <v/>
      </c>
      <c r="G69" s="137">
        <f>('Production schedule'!AJ141)*'Responsibilities'!$C$6+('Production schedule'!AJ177)*'Responsibilities'!$C$7+('Production schedule'!AJ213)*'Responsibilities'!$C$8</f>
        <v/>
      </c>
      <c r="H69" s="137">
        <f>('Production schedule'!AI141)*'Responsibilities'!$D$6+('Production schedule'!AI177)*'Responsibilities'!$D$7+('Production schedule'!AI213)*'Responsibilities'!$D$8</f>
        <v/>
      </c>
      <c r="I69" s="137">
        <f>SUM('Assumptions'!AE58:AE65)</f>
        <v/>
      </c>
      <c r="J69" s="137">
        <f>('Production schedule'!E141*(IF('Sites'!D6="Annual staff",SUM('Assumptions'!AE112,'Assumptions'!AE114),0)+SUM('Assumptions'!AE113,'Assumptions'!AE115:AE116)))*'Responsibilities'!$E$6+('Production schedule'!E177*(IF('Sites'!D7="Annual staff",SUM('Assumptions'!AE117,'Assumptions'!AE119),0)+SUM('Assumptions'!AE118,'Assumptions'!AE120:AE121)))*'Responsibilities'!$E$7+('Production schedule'!E213*(IF('Sites'!D8="Annual staff",SUM('Assumptions'!AE122,'Assumptions'!AE124),0)+SUM('Assumptions'!AE123,'Assumptions'!AE125:AE126)))*'Responsibilities'!$E$8</f>
        <v/>
      </c>
      <c r="K69" s="137">
        <f>(IF(AND('Production schedule'!E141=1,28=MAX(('Sites'!F6),25),ISNUMBER('Sites'!Q6)),'Sites'!Q6*'Assumptions'!$B$44,0))*'Responsibilities'!$F$6+(IF(AND('Production schedule'!E177=1,28=MAX(('Sites'!F7+'Cases'!G7),25),ISNUMBER('Sites'!Q7)),'Sites'!Q7*'Assumptions'!$B$44,0))*'Responsibilities'!$F$7+(IF(AND('Production schedule'!E213=1,28=MAX(('Sites'!F8+'Cases'!G7),25),ISNUMBER('Sites'!Q8)),'Sites'!Q8*'Assumptions'!$B$44,0))*'Responsibilities'!$F$8</f>
        <v/>
      </c>
      <c r="L69" s="137">
        <f>SUM('Costs'!E36)*'Costs'!F36/12*'Responsibilities'!$C$12+SUM('Costs'!E37)*'Costs'!F37/12*'Responsibilities'!$C$13+SUM('Costs'!E38)*'Costs'!F38/12*'Responsibilities'!$C$14+SUM('Costs'!E39)*'Costs'!F39/12*'Responsibilities'!$C$15+SUM('Costs'!E40)*'Costs'!F40/12*'Responsibilities'!$C$16+BZ69</f>
        <v/>
      </c>
      <c r="M69" s="137">
        <f>('Sites'!E6*'Capital'!E6*(IF(28='Capital'!G6,'Capital'!F6,0)+IF(28='Capital'!H6,1-'Capital'!F6,0)))*'Responsibilities'!$G$6+('Sites'!E7*'Capital'!E7*(IF(28='Capital'!G7+'Cases'!G7,'Capital'!F7,0)+IF(28='Capital'!H7+'Cases'!G7,1-'Capital'!F7,0)))*'Responsibilities'!$G$7+('Sites'!E8*'Cases'!F7*'Capital'!E8*(IF(28='Capital'!G8+'Cases'!G7,'Capital'!F8,0)+IF(28='Capital'!H8+'Cases'!G7,1-'Capital'!F8,0)))*'Responsibilities'!$G$8</f>
        <v/>
      </c>
      <c r="N69" s="137">
        <f>SUM(G69:M69)</f>
        <v/>
      </c>
      <c r="O69" s="137">
        <f>SUMIFS(FundingTranches[Secured amount],FundingTranches[Instrument],"Grant",FundingTranches[Secured month],28)</f>
        <v/>
      </c>
      <c r="P69" s="137">
        <f>SUMIFS(FundingTranches[Smaller possible],FundingTranches[Instrument],"Grant",FundingTranches[Scenario month],28-'Cases'!$D$7)</f>
        <v/>
      </c>
      <c r="Q69" s="137">
        <f>SUMIFS(FundingTranches[Secured amount],FundingTranches[Instrument],"Loan",FundingTranches[Secured month],28)</f>
        <v/>
      </c>
      <c r="R69" s="137">
        <f>SUMIFS(FundingTranches[Smaller possible],FundingTranches[Instrument],"Loan",FundingTranches[Scenario month],28-'Cases'!$D$7)</f>
        <v/>
      </c>
      <c r="S69" s="137">
        <f>IF(28&lt;='Assumptions'!$B$34,0,SUMIFS('Production schedule'!$AL$114:$AL$221,'Production schedule'!$C$114:$C$221,28-'Assumptions'!$B$34))</f>
        <v/>
      </c>
      <c r="T69" s="137">
        <f>'Assumptions'!AE70</f>
        <v/>
      </c>
      <c r="U69" s="137">
        <f>'Assumptions'!AE78</f>
        <v/>
      </c>
      <c r="V69" s="137">
        <f>SUM(O69:U69)</f>
        <v/>
      </c>
      <c r="W69" s="137">
        <f>AA68</f>
        <v/>
      </c>
      <c r="X69" s="137">
        <f>SUM(Q69:R69)</f>
        <v/>
      </c>
      <c r="Y69" s="137">
        <f>SUM(W69,X69)*'Assumptions'!$B$39/12</f>
        <v/>
      </c>
      <c r="Z69" s="137">
        <f>IF(SUM(W69,X69)&gt;0,MIN(SUM(W69,X69),MAX(0,BP69-Y69)),0)</f>
        <v/>
      </c>
      <c r="AA69" s="137">
        <f>SUM(W69,X69)-Z69</f>
        <v/>
      </c>
      <c r="AB69" s="137">
        <f>SUM(Y69:Z69)</f>
        <v/>
      </c>
      <c r="AC69" s="137">
        <f>'Assumptions'!AE72</f>
        <v/>
      </c>
      <c r="AD69" s="137">
        <f>'Assumptions'!AE73</f>
        <v/>
      </c>
      <c r="AE69" s="137">
        <f>IF(X69&gt;0,SUM('Assumptions'!$B$42),0)</f>
        <v/>
      </c>
      <c r="AF69" s="137">
        <f>'Assumptions'!AE71</f>
        <v/>
      </c>
      <c r="AG69" s="137">
        <f>'Assumptions'!AE74</f>
        <v/>
      </c>
      <c r="AH69" s="137">
        <f>'Assumptions'!AE75</f>
        <v/>
      </c>
      <c r="AI69" s="137">
        <f>'Assumptions'!AE77</f>
        <v/>
      </c>
      <c r="AJ69" s="137">
        <f>V69-N69-SUM(AB69:AI69)</f>
        <v/>
      </c>
      <c r="AK69" s="137">
        <f>SUM(AJ42:AJ69)</f>
        <v/>
      </c>
      <c r="AL69" s="137">
        <f>IF(ISNUMBER('Assumptions'!$B$10),'Assumptions'!$B$10+AK69,"")</f>
        <v/>
      </c>
      <c r="AM69" s="137">
        <f>SUM(O69,Q69,T69)-N69-SUM(AC69:AI69)+IF('Funding'!$N$11=0,AE69,0)-IF('Funding'!$N$11&gt;0,AB69,0)</f>
        <v/>
      </c>
      <c r="AN69" s="137">
        <f>SUM(AM42:AM69)</f>
        <v/>
      </c>
      <c r="AO69" s="137">
        <f>IF(ISNUMBER('Assumptions'!$B$10),'Assumptions'!$B$10+AN69,"")</f>
        <v/>
      </c>
      <c r="AP69" s="137">
        <f>('Production schedule'!AK141)*'Responsibilities'!$C$6+('Production schedule'!AK177)*'Responsibilities'!$C$7+('Production schedule'!AK213)*'Responsibilities'!$C$8</f>
        <v/>
      </c>
      <c r="AQ69" s="137">
        <f>SUMIFS('Production schedule'!$AL$114:$AL$221,'Production schedule'!$C$114:$C$221,28)</f>
        <v/>
      </c>
      <c r="AR69" s="137">
        <f>IF(ISNUMBER('Assumptions'!AE76),'Assumptions'!AE76,SUM(O69:P69))</f>
        <v/>
      </c>
      <c r="AS69" s="137">
        <f>IF(ISNUMBER('Assumptions'!$B$13),MIN('Assumptions'!$B$13/'Assumptions'!$B$18/12,MAX(0,'Assumptions'!$B$13-(28-1)*'Assumptions'!$B$13/'Assumptions'!$B$18/12)),0)+IF(AND('Sites'!E6=1,28&gt;=('Sites'!F6),28&lt;('Sites'!F6)+'Assumptions'!$B$18*12),'Capital'!E6/'Assumptions'!$B$18/12,0)+IF(AND('Sites'!E7=1,28&gt;=('Sites'!F7+'Cases'!G7),28&lt;('Sites'!F7+'Cases'!G7)+'Assumptions'!$B$18*12),'Capital'!E7/'Assumptions'!$B$18/12,0)+IF(AND('Sites'!E8*'Cases'!F7=1,28&gt;=('Sites'!F8+'Cases'!G7),28&lt;('Sites'!F8+'Cases'!G7)+'Assumptions'!$B$18*12),'Capital'!E8/'Assumptions'!$B$18/12,0)</f>
        <v/>
      </c>
      <c r="AT69" s="137">
        <f>SUM(AQ69,AR69,U69)-AP69-SUM(H69:L69)-AS69-SUM(Y69,AD69,AE69,AH69)</f>
        <v/>
      </c>
      <c r="AU69" s="137">
        <f>IF(ISNUMBER('Assumptions'!$B$19),MAX(0,SUM(AT66:AT69))*'Assumptions'!$B$19-SUM(AU66:AU68),"")</f>
        <v/>
      </c>
      <c r="AV69" s="137">
        <f>IF(ISNUMBER(AU69),AT69-AU69,"")</f>
        <v/>
      </c>
      <c r="AW69" s="137">
        <f>IF(ISNUMBER('Assumptions'!$B$11),'Assumptions'!$B$11+SUM(AQ42:AQ69)-SUM(S42:S69)-SUM(T42:T69),"")</f>
        <v/>
      </c>
      <c r="AX69" s="137">
        <f>IF(ISNUMBER('Assumptions'!$B$12),'Assumptions'!$B$12+SUM(G42:G69)-SUM(AP42:AP69),"")</f>
        <v/>
      </c>
      <c r="AY69" s="137">
        <f>IF(ISNUMBER('Assumptions'!$B$13),'Assumptions'!$B$13+SUM(M42:M69)-SUM(AS42:AS69),"")</f>
        <v/>
      </c>
      <c r="AZ69" s="137">
        <f>IF(ISNUMBER('Assumptions'!$B$14),'Assumptions'!$B$14+-SUM(AF42:AF69),"")</f>
        <v/>
      </c>
      <c r="BA69" s="137">
        <f>IF(ISNUMBER('Assumptions'!$B$15),'Assumptions'!$B$15+SUM(O42:O69)+SUM(P42:P69)-SUM(AR42:AR69),"")</f>
        <v/>
      </c>
      <c r="BB69" s="137">
        <f>IF(ISNUMBER('Assumptions'!$B$16),'Assumptions'!$B$16+-SUM(AC42:AC69),"")</f>
        <v/>
      </c>
      <c r="BC69" s="137">
        <f>IF(AND(ISNUMBER('Assumptions'!$B$21),ISNUMBER('Assumptions'!$B$19)),'Assumptions'!$B$21+SUM(AU42:AU69)-SUM(AG42:AG69),"")</f>
        <v/>
      </c>
      <c r="BD69" s="137">
        <f>IF(ISNUMBER('Assumptions'!$B$20),'Assumptions'!$B$20+-SUM(AI42:AI69),"")</f>
        <v/>
      </c>
      <c r="BE69" s="137">
        <f>IF(AND(ISNUMBER('Assumptions'!$B$17),COUNT(AV42:AV69)=28),'Assumptions'!$B$17+SUM(AV42:AV69),"")</f>
        <v/>
      </c>
      <c r="BF69" s="137">
        <f>IF(COUNT(AL69,AW69:AY69)=4,SUM(AL69,AW69:AY69),"")</f>
        <v/>
      </c>
      <c r="BG69" s="137">
        <f>IF(COUNT(AZ69:BD69)=5,SUM(AZ69:BD69,AA69),"")</f>
        <v/>
      </c>
      <c r="BH69" s="137">
        <f>IF(COUNT(BF69,BG69,BE69)=3,BF69-BG69-BE69,"")</f>
        <v/>
      </c>
      <c r="BI69" s="137">
        <f>SUM(W69,X69)-Z69-AA69</f>
        <v/>
      </c>
      <c r="BJ69" s="137">
        <f>8-COUNT('Assumptions'!AE58:AE65)+COUNTBLANK('NM Play'!B33:B34)+'Costs'!E44+IF(AND('Sites'!E6=1,('Sites'!F6)&lt;=36,'Sites'!G6&gt;=25),IF(ISNUMBER('Sites'!Q6),0,1)+'Capital'!I6+COUNTBLANK('Sites'!R6)+IF('Sites'!D6="NM crew",COUNTBLANK('NM Play'!B25)+1,5-COUNT('Assumptions'!AE112:AE116)),0)+IF(AND('Sites'!E7=1,('Sites'!F7+'Cases'!G7)&lt;=36,'Sites'!G7&gt;=25),IF(ISNUMBER('Sites'!Q7),0,1)+'Capital'!I7+COUNTBLANK('Sites'!R7)+IF('Sites'!D7="NM crew",COUNTBLANK('NM Play'!B25)+1,5-COUNT('Assumptions'!AE117:AE121)),0)+IF(AND('Sites'!E8*'Cases'!F7=1,('Sites'!F8+'Cases'!G7)&lt;=36,'Sites'!G8&gt;=25),IF(ISNUMBER('Sites'!Q8),0,1)+'Capital'!I8+COUNTBLANK('Sites'!R8)+IF('Sites'!D8="NM crew",COUNTBLANK('NM Play'!B25)+1,5-COUNT('Assumptions'!AE122:AE126)),0)+IF(AND('Cases'!C7&gt;0,NOT(ISNUMBER('Assumptions'!B42))),1,0)+'Responsibilities'!$B$39</f>
        <v/>
      </c>
      <c r="BK69" s="137">
        <f>'Assumptions'!$B$50+'NM Play'!$B$83+'Funding'!$F$20+SUMIFS('Production schedule'!$AN$114:$AN$221,'Production schedule'!$C$114:$C$221,28)+IF(OR('Cases'!E7&lt;0,'Cases'!E7&gt;1,'Cases'!C7&lt;0,'Cases'!D7&lt;0,ABS(SUM('Sites'!S6:S8)-1)&gt;0.0001,MIN('Capital'!F6:F8)&lt;0,MAX('Capital'!F6:F8)&gt;1,MIN(AX69,AZ69,BB69,BA69)&lt;-0.01),1,0)+'Responsibilities'!$B$40</f>
        <v/>
      </c>
      <c r="BL69" s="137">
        <f>SUMIFS('Production schedule'!$T$114:$T$221,'Production schedule'!$C$114:$C$221,28)</f>
        <v/>
      </c>
      <c r="BM69" s="137">
        <f>D69*'NM Play'!$B$38</f>
        <v/>
      </c>
      <c r="BN69" s="137">
        <f>SUMIFS('Production schedule'!$AM$114:$AM$221,'Production schedule'!$C$114:$C$221,28)</f>
        <v/>
      </c>
      <c r="BO69" s="137">
        <f>AK69-AK68-AJ69</f>
        <v/>
      </c>
      <c r="BP69" s="137">
        <f>IF(AND('Assumptions'!$B$39&gt;=0,'Assumptions'!$B$40&gt;0),-PMT('Assumptions'!$B$39/12,'Assumptions'!$B$40*12,IF('Funding'!$N$11&gt;0,'Funding'!$N$11,'Funding'!$S$11)),"")</f>
        <v/>
      </c>
      <c r="BQ69">
        <f>('Production schedule'!AJ141)*(1-'Responsibilities'!$C$6)+('Production schedule'!AJ177)*(1-'Responsibilities'!$C$7)+('Production schedule'!AJ213)*(1-'Responsibilities'!$C$8)</f>
        <v/>
      </c>
      <c r="BR69">
        <f>('Production schedule'!AI141)*(1-'Responsibilities'!$D$6)+('Production schedule'!AI177)*(1-'Responsibilities'!$D$7)+('Production schedule'!AI213)*(1-'Responsibilities'!$D$8)</f>
        <v/>
      </c>
      <c r="BS69">
        <f>('Production schedule'!E141*(IF('Sites'!D6="Annual staff",SUM('Assumptions'!AE112,'Assumptions'!AE114),0)+SUM('Assumptions'!AE113,'Assumptions'!AE115:AE116)))*(1-'Responsibilities'!$E$6)+('Production schedule'!E177*(IF('Sites'!D7="Annual staff",SUM('Assumptions'!AE117,'Assumptions'!AE119),0)+SUM('Assumptions'!AE118,'Assumptions'!AE120:AE121)))*(1-'Responsibilities'!$E$7)+('Production schedule'!E213*(IF('Sites'!D8="Annual staff",SUM('Assumptions'!AE122,'Assumptions'!AE124),0)+SUM('Assumptions'!AE123,'Assumptions'!AE125:AE126)))*(1-'Responsibilities'!$E$8)</f>
        <v/>
      </c>
      <c r="BT69">
        <f>(IF(AND('Production schedule'!E141=1,28=MAX(('Sites'!F6),25),ISNUMBER('Sites'!Q6)),'Sites'!Q6*'Assumptions'!$B$44,0))*(1-'Responsibilities'!$F$6)+(IF(AND('Production schedule'!E177=1,28=MAX(('Sites'!F7+'Cases'!G7),25),ISNUMBER('Sites'!Q7)),'Sites'!Q7*'Assumptions'!$B$44,0))*(1-'Responsibilities'!$F$7)+(IF(AND('Production schedule'!E213=1,28=MAX(('Sites'!F8+'Cases'!G7),25),ISNUMBER('Sites'!Q8)),'Sites'!Q8*'Assumptions'!$B$44,0))*(1-'Responsibilities'!$F$8)</f>
        <v/>
      </c>
      <c r="BU69">
        <f>SUM('Costs'!E36)*'Costs'!F36/12*(1-'Responsibilities'!$C$12)+SUM('Costs'!E37)*'Costs'!F37/12*(1-'Responsibilities'!$C$13)+SUM('Costs'!E38)*'Costs'!F38/12*(1-'Responsibilities'!$C$14)+SUM('Costs'!E39)*'Costs'!F39/12*(1-'Responsibilities'!$C$15)+SUM('Costs'!E40)*'Costs'!F40/12*(1-'Responsibilities'!$C$16)</f>
        <v/>
      </c>
      <c r="BV69">
        <f>('Sites'!E6*'Capital'!E6*(IF(28='Capital'!G6,'Capital'!F6,0)+IF(28='Capital'!H6,1-'Capital'!F6,0)))*(1-'Responsibilities'!$G$6)+('Sites'!E7*'Capital'!E7*(IF(28='Capital'!G7+'Cases'!G7,'Capital'!F7,0)+IF(28='Capital'!H7+'Cases'!G7,1-'Capital'!F7,0)))*(1-'Responsibilities'!$G$7)+('Sites'!E8*'Cases'!F7*'Capital'!E8*(IF(28='Capital'!G8+'Cases'!G7,'Capital'!F8,0)+IF(28='Capital'!H8+'Cases'!G7,1-'Capital'!F8,0)))*(1-'Responsibilities'!$G$8)</f>
        <v/>
      </c>
      <c r="BW69">
        <f>SUM(BQ69:BV69)</f>
        <v/>
      </c>
      <c r="BX69">
        <f>N69+BW69</f>
        <v/>
      </c>
      <c r="BY69">
        <f>BX69-(('Production schedule'!AJ141)*'Responsibilities'!$C$6+('Production schedule'!AJ177)*'Responsibilities'!$C$7+('Production schedule'!AJ213)*'Responsibilities'!$C$8+('Production schedule'!AJ141)*(1-'Responsibilities'!$C$6)+('Production schedule'!AJ177)*(1-'Responsibilities'!$C$7)+('Production schedule'!AJ213)*(1-'Responsibilities'!$C$8)+('Production schedule'!AI141)*'Responsibilities'!$D$6+('Production schedule'!AI177)*'Responsibilities'!$D$7+('Production schedule'!AI213)*'Responsibilities'!$D$8+('Production schedule'!AI141)*(1-'Responsibilities'!$D$6)+('Production schedule'!AI177)*(1-'Responsibilities'!$D$7)+('Production schedule'!AI213)*(1-'Responsibilities'!$D$8)+('Production schedule'!E141*(IF('Sites'!D6="Annual staff",SUM('Assumptions'!AE112,'Assumptions'!AE114),0)+SUM('Assumptions'!AE113,'Assumptions'!AE115:AE116)))*'Responsibilities'!$E$6+('Production schedule'!E177*(IF('Sites'!D7="Annual staff",SUM('Assumptions'!AE117,'Assumptions'!AE119),0)+SUM('Assumptions'!AE118,'Assumptions'!AE120:AE121)))*'Responsibilities'!$E$7+('Production schedule'!E213*(IF('Sites'!D8="Annual staff",SUM('Assumptions'!AE122,'Assumptions'!AE124),0)+SUM('Assumptions'!AE123,'Assumptions'!AE125:AE126)))*'Responsibilities'!$E$8+('Production schedule'!E141*(IF('Sites'!D6="Annual staff",SUM('Assumptions'!AE112,'Assumptions'!AE114),0)+SUM('Assumptions'!AE113,'Assumptions'!AE115:AE116)))*(1-'Responsibilities'!$E$6)+('Production schedule'!E177*(IF('Sites'!D7="Annual staff",SUM('Assumptions'!AE117,'Assumptions'!AE119),0)+SUM('Assumptions'!AE118,'Assumptions'!AE120:AE121)))*(1-'Responsibilities'!$E$7)+('Production schedule'!E213*(IF('Sites'!D8="Annual staff",SUM('Assumptions'!AE122,'Assumptions'!AE124),0)+SUM('Assumptions'!AE123,'Assumptions'!AE125:AE126)))*(1-'Responsibilities'!$E$8)+(IF(AND('Production schedule'!E141=1,28=MAX(('Sites'!F6),25),ISNUMBER('Sites'!Q6)),'Sites'!Q6*'Assumptions'!$B$44,0))*'Responsibilities'!$F$6+(IF(AND('Production schedule'!E177=1,28=MAX(('Sites'!F7+'Cases'!G7),25),ISNUMBER('Sites'!Q7)),'Sites'!Q7*'Assumptions'!$B$44,0))*'Responsibilities'!$F$7+(IF(AND('Production schedule'!E213=1,28=MAX(('Sites'!F8+'Cases'!G7),25),ISNUMBER('Sites'!Q8)),'Sites'!Q8*'Assumptions'!$B$44,0))*'Responsibilities'!$F$8+(IF(AND('Production schedule'!E141=1,28=MAX(('Sites'!F6),25),ISNUMBER('Sites'!Q6)),'Sites'!Q6*'Assumptions'!$B$44,0))*(1-'Responsibilities'!$F$6)+(IF(AND('Production schedule'!E177=1,28=MAX(('Sites'!F7+'Cases'!G7),25),ISNUMBER('Sites'!Q7)),'Sites'!Q7*'Assumptions'!$B$44,0))*(1-'Responsibilities'!$F$7)+(IF(AND('Production schedule'!E213=1,28=MAX(('Sites'!F8+'Cases'!G7),25),ISNUMBER('Sites'!Q8)),'Sites'!Q8*'Assumptions'!$B$44,0))*(1-'Responsibilities'!$F$8)+('Sites'!E6*'Capital'!E6*(IF(28='Capital'!G6,'Capital'!F6,0)+IF(28='Capital'!H6,1-'Capital'!F6,0)))*'Responsibilities'!$G$6+('Sites'!E7*'Capital'!E7*(IF(28='Capital'!G7+'Cases'!G7,'Capital'!F7,0)+IF(28='Capital'!H7+'Cases'!G7,1-'Capital'!F7,0)))*'Responsibilities'!$G$7+('Sites'!E8*'Cases'!F7*'Capital'!E8*(IF(28='Capital'!G8+'Cases'!G7,'Capital'!F8,0)+IF(28='Capital'!H8+'Cases'!G7,1-'Capital'!F8,0)))*'Responsibilities'!$G$8+('Sites'!E6*'Capital'!E6*(IF(28='Capital'!G6,'Capital'!F6,0)+IF(28='Capital'!H6,1-'Capital'!F6,0)))*(1-'Responsibilities'!$G$6)+('Sites'!E7*'Capital'!E7*(IF(28='Capital'!G7+'Cases'!G7,'Capital'!F7,0)+IF(28='Capital'!H7+'Cases'!G7,1-'Capital'!F7,0)))*(1-'Responsibilities'!$G$7)+('Sites'!E8*'Cases'!F7*'Capital'!E8*(IF(28='Capital'!G8+'Cases'!G7,'Capital'!F8,0)+IF(28='Capital'!H8+'Cases'!G7,1-'Capital'!F8,0)))*(1-'Responsibilities'!$G$8)+I69+SUMPRODUCT('Costs'!$E$36:$E$40,'Costs'!$F$36:$F$40)/12+BZ69)</f>
        <v/>
      </c>
      <c r="BZ69">
        <f>SUMIFS('Responsibilities'!$B$31:$B$35,'Responsibilities'!$C$31:$C$35,28,'Responsibilities'!$D$31:$D$35,"Yes")</f>
        <v/>
      </c>
    </row>
    <row r="70" ht="28" customHeight="1">
      <c r="A70" s="4" t="inlineStr">
        <is>
          <t>Smaller</t>
        </is>
      </c>
      <c r="B70" s="4" t="n">
        <v>29</v>
      </c>
      <c r="C70" s="4">
        <f>ROUNDUP(B70/12,0)</f>
        <v/>
      </c>
      <c r="D70" s="137">
        <f>SUMIFS('Production schedule'!$N$114:$N$221,'Production schedule'!$C$114:$C$221,29)</f>
        <v/>
      </c>
      <c r="E70" s="137">
        <f>SUMIFS('Production schedule'!$Y$114:$Y$221,'Production schedule'!$C$114:$C$221,29)</f>
        <v/>
      </c>
      <c r="F70" s="137">
        <f>SUMIFS('Production schedule'!$Z$114:$Z$221,'Production schedule'!$C$114:$C$221,29)</f>
        <v/>
      </c>
      <c r="G70" s="137">
        <f>('Production schedule'!AJ142)*'Responsibilities'!$C$6+('Production schedule'!AJ178)*'Responsibilities'!$C$7+('Production schedule'!AJ214)*'Responsibilities'!$C$8</f>
        <v/>
      </c>
      <c r="H70" s="137">
        <f>('Production schedule'!AI142)*'Responsibilities'!$D$6+('Production schedule'!AI178)*'Responsibilities'!$D$7+('Production schedule'!AI214)*'Responsibilities'!$D$8</f>
        <v/>
      </c>
      <c r="I70" s="137">
        <f>SUM('Assumptions'!AF58:AF65)</f>
        <v/>
      </c>
      <c r="J70" s="137">
        <f>('Production schedule'!E142*(IF('Sites'!D6="Annual staff",SUM('Assumptions'!AF112,'Assumptions'!AF114),0)+SUM('Assumptions'!AF113,'Assumptions'!AF115:AF116)))*'Responsibilities'!$E$6+('Production schedule'!E178*(IF('Sites'!D7="Annual staff",SUM('Assumptions'!AF117,'Assumptions'!AF119),0)+SUM('Assumptions'!AF118,'Assumptions'!AF120:AF121)))*'Responsibilities'!$E$7+('Production schedule'!E214*(IF('Sites'!D8="Annual staff",SUM('Assumptions'!AF122,'Assumptions'!AF124),0)+SUM('Assumptions'!AF123,'Assumptions'!AF125:AF126)))*'Responsibilities'!$E$8</f>
        <v/>
      </c>
      <c r="K70" s="137">
        <f>(IF(AND('Production schedule'!E142=1,29=MAX(('Sites'!F6),25),ISNUMBER('Sites'!Q6)),'Sites'!Q6*'Assumptions'!$B$44,0))*'Responsibilities'!$F$6+(IF(AND('Production schedule'!E178=1,29=MAX(('Sites'!F7+'Cases'!G7),25),ISNUMBER('Sites'!Q7)),'Sites'!Q7*'Assumptions'!$B$44,0))*'Responsibilities'!$F$7+(IF(AND('Production schedule'!E214=1,29=MAX(('Sites'!F8+'Cases'!G7),25),ISNUMBER('Sites'!Q8)),'Sites'!Q8*'Assumptions'!$B$44,0))*'Responsibilities'!$F$8</f>
        <v/>
      </c>
      <c r="L70" s="137">
        <f>SUM('Costs'!E36)*'Costs'!F36/12*'Responsibilities'!$C$12+SUM('Costs'!E37)*'Costs'!F37/12*'Responsibilities'!$C$13+SUM('Costs'!E38)*'Costs'!F38/12*'Responsibilities'!$C$14+SUM('Costs'!E39)*'Costs'!F39/12*'Responsibilities'!$C$15+SUM('Costs'!E40)*'Costs'!F40/12*'Responsibilities'!$C$16+BZ70</f>
        <v/>
      </c>
      <c r="M70" s="137">
        <f>('Sites'!E6*'Capital'!E6*(IF(29='Capital'!G6,'Capital'!F6,0)+IF(29='Capital'!H6,1-'Capital'!F6,0)))*'Responsibilities'!$G$6+('Sites'!E7*'Capital'!E7*(IF(29='Capital'!G7+'Cases'!G7,'Capital'!F7,0)+IF(29='Capital'!H7+'Cases'!G7,1-'Capital'!F7,0)))*'Responsibilities'!$G$7+('Sites'!E8*'Cases'!F7*'Capital'!E8*(IF(29='Capital'!G8+'Cases'!G7,'Capital'!F8,0)+IF(29='Capital'!H8+'Cases'!G7,1-'Capital'!F8,0)))*'Responsibilities'!$G$8</f>
        <v/>
      </c>
      <c r="N70" s="137">
        <f>SUM(G70:M70)</f>
        <v/>
      </c>
      <c r="O70" s="137">
        <f>SUMIFS(FundingTranches[Secured amount],FundingTranches[Instrument],"Grant",FundingTranches[Secured month],29)</f>
        <v/>
      </c>
      <c r="P70" s="137">
        <f>SUMIFS(FundingTranches[Smaller possible],FundingTranches[Instrument],"Grant",FundingTranches[Scenario month],29-'Cases'!$D$7)</f>
        <v/>
      </c>
      <c r="Q70" s="137">
        <f>SUMIFS(FundingTranches[Secured amount],FundingTranches[Instrument],"Loan",FundingTranches[Secured month],29)</f>
        <v/>
      </c>
      <c r="R70" s="137">
        <f>SUMIFS(FundingTranches[Smaller possible],FundingTranches[Instrument],"Loan",FundingTranches[Scenario month],29-'Cases'!$D$7)</f>
        <v/>
      </c>
      <c r="S70" s="137">
        <f>IF(29&lt;='Assumptions'!$B$34,0,SUMIFS('Production schedule'!$AL$114:$AL$221,'Production schedule'!$C$114:$C$221,29-'Assumptions'!$B$34))</f>
        <v/>
      </c>
      <c r="T70" s="137">
        <f>'Assumptions'!AF70</f>
        <v/>
      </c>
      <c r="U70" s="137">
        <f>'Assumptions'!AF78</f>
        <v/>
      </c>
      <c r="V70" s="137">
        <f>SUM(O70:U70)</f>
        <v/>
      </c>
      <c r="W70" s="137">
        <f>AA69</f>
        <v/>
      </c>
      <c r="X70" s="137">
        <f>SUM(Q70:R70)</f>
        <v/>
      </c>
      <c r="Y70" s="137">
        <f>SUM(W70,X70)*'Assumptions'!$B$39/12</f>
        <v/>
      </c>
      <c r="Z70" s="137">
        <f>IF(SUM(W70,X70)&gt;0,MIN(SUM(W70,X70),MAX(0,BP70-Y70)),0)</f>
        <v/>
      </c>
      <c r="AA70" s="137">
        <f>SUM(W70,X70)-Z70</f>
        <v/>
      </c>
      <c r="AB70" s="137">
        <f>SUM(Y70:Z70)</f>
        <v/>
      </c>
      <c r="AC70" s="137">
        <f>'Assumptions'!AF72</f>
        <v/>
      </c>
      <c r="AD70" s="137">
        <f>'Assumptions'!AF73</f>
        <v/>
      </c>
      <c r="AE70" s="137">
        <f>IF(X70&gt;0,SUM('Assumptions'!$B$42),0)</f>
        <v/>
      </c>
      <c r="AF70" s="137">
        <f>'Assumptions'!AF71</f>
        <v/>
      </c>
      <c r="AG70" s="137">
        <f>'Assumptions'!AF74</f>
        <v/>
      </c>
      <c r="AH70" s="137">
        <f>'Assumptions'!AF75</f>
        <v/>
      </c>
      <c r="AI70" s="137">
        <f>'Assumptions'!AF77</f>
        <v/>
      </c>
      <c r="AJ70" s="137">
        <f>V70-N70-SUM(AB70:AI70)</f>
        <v/>
      </c>
      <c r="AK70" s="137">
        <f>SUM(AJ42:AJ70)</f>
        <v/>
      </c>
      <c r="AL70" s="137">
        <f>IF(ISNUMBER('Assumptions'!$B$10),'Assumptions'!$B$10+AK70,"")</f>
        <v/>
      </c>
      <c r="AM70" s="137">
        <f>SUM(O70,Q70,T70)-N70-SUM(AC70:AI70)+IF('Funding'!$N$11=0,AE70,0)-IF('Funding'!$N$11&gt;0,AB70,0)</f>
        <v/>
      </c>
      <c r="AN70" s="137">
        <f>SUM(AM42:AM70)</f>
        <v/>
      </c>
      <c r="AO70" s="137">
        <f>IF(ISNUMBER('Assumptions'!$B$10),'Assumptions'!$B$10+AN70,"")</f>
        <v/>
      </c>
      <c r="AP70" s="137">
        <f>('Production schedule'!AK142)*'Responsibilities'!$C$6+('Production schedule'!AK178)*'Responsibilities'!$C$7+('Production schedule'!AK214)*'Responsibilities'!$C$8</f>
        <v/>
      </c>
      <c r="AQ70" s="137">
        <f>SUMIFS('Production schedule'!$AL$114:$AL$221,'Production schedule'!$C$114:$C$221,29)</f>
        <v/>
      </c>
      <c r="AR70" s="137">
        <f>IF(ISNUMBER('Assumptions'!AF76),'Assumptions'!AF76,SUM(O70:P70))</f>
        <v/>
      </c>
      <c r="AS70" s="137">
        <f>IF(ISNUMBER('Assumptions'!$B$13),MIN('Assumptions'!$B$13/'Assumptions'!$B$18/12,MAX(0,'Assumptions'!$B$13-(29-1)*'Assumptions'!$B$13/'Assumptions'!$B$18/12)),0)+IF(AND('Sites'!E6=1,29&gt;=('Sites'!F6),29&lt;('Sites'!F6)+'Assumptions'!$B$18*12),'Capital'!E6/'Assumptions'!$B$18/12,0)+IF(AND('Sites'!E7=1,29&gt;=('Sites'!F7+'Cases'!G7),29&lt;('Sites'!F7+'Cases'!G7)+'Assumptions'!$B$18*12),'Capital'!E7/'Assumptions'!$B$18/12,0)+IF(AND('Sites'!E8*'Cases'!F7=1,29&gt;=('Sites'!F8+'Cases'!G7),29&lt;('Sites'!F8+'Cases'!G7)+'Assumptions'!$B$18*12),'Capital'!E8/'Assumptions'!$B$18/12,0)</f>
        <v/>
      </c>
      <c r="AT70" s="137">
        <f>SUM(AQ70,AR70,U70)-AP70-SUM(H70:L70)-AS70-SUM(Y70,AD70,AE70,AH70)</f>
        <v/>
      </c>
      <c r="AU70" s="137">
        <f>IF(ISNUMBER('Assumptions'!$B$19),MAX(0,SUM(AT66:AT70))*'Assumptions'!$B$19-SUM(AU66:AU69),"")</f>
        <v/>
      </c>
      <c r="AV70" s="137">
        <f>IF(ISNUMBER(AU70),AT70-AU70,"")</f>
        <v/>
      </c>
      <c r="AW70" s="137">
        <f>IF(ISNUMBER('Assumptions'!$B$11),'Assumptions'!$B$11+SUM(AQ42:AQ70)-SUM(S42:S70)-SUM(T42:T70),"")</f>
        <v/>
      </c>
      <c r="AX70" s="137">
        <f>IF(ISNUMBER('Assumptions'!$B$12),'Assumptions'!$B$12+SUM(G42:G70)-SUM(AP42:AP70),"")</f>
        <v/>
      </c>
      <c r="AY70" s="137">
        <f>IF(ISNUMBER('Assumptions'!$B$13),'Assumptions'!$B$13+SUM(M42:M70)-SUM(AS42:AS70),"")</f>
        <v/>
      </c>
      <c r="AZ70" s="137">
        <f>IF(ISNUMBER('Assumptions'!$B$14),'Assumptions'!$B$14+-SUM(AF42:AF70),"")</f>
        <v/>
      </c>
      <c r="BA70" s="137">
        <f>IF(ISNUMBER('Assumptions'!$B$15),'Assumptions'!$B$15+SUM(O42:O70)+SUM(P42:P70)-SUM(AR42:AR70),"")</f>
        <v/>
      </c>
      <c r="BB70" s="137">
        <f>IF(ISNUMBER('Assumptions'!$B$16),'Assumptions'!$B$16+-SUM(AC42:AC70),"")</f>
        <v/>
      </c>
      <c r="BC70" s="137">
        <f>IF(AND(ISNUMBER('Assumptions'!$B$21),ISNUMBER('Assumptions'!$B$19)),'Assumptions'!$B$21+SUM(AU42:AU70)-SUM(AG42:AG70),"")</f>
        <v/>
      </c>
      <c r="BD70" s="137">
        <f>IF(ISNUMBER('Assumptions'!$B$20),'Assumptions'!$B$20+-SUM(AI42:AI70),"")</f>
        <v/>
      </c>
      <c r="BE70" s="137">
        <f>IF(AND(ISNUMBER('Assumptions'!$B$17),COUNT(AV42:AV70)=29),'Assumptions'!$B$17+SUM(AV42:AV70),"")</f>
        <v/>
      </c>
      <c r="BF70" s="137">
        <f>IF(COUNT(AL70,AW70:AY70)=4,SUM(AL70,AW70:AY70),"")</f>
        <v/>
      </c>
      <c r="BG70" s="137">
        <f>IF(COUNT(AZ70:BD70)=5,SUM(AZ70:BD70,AA70),"")</f>
        <v/>
      </c>
      <c r="BH70" s="137">
        <f>IF(COUNT(BF70,BG70,BE70)=3,BF70-BG70-BE70,"")</f>
        <v/>
      </c>
      <c r="BI70" s="137">
        <f>SUM(W70,X70)-Z70-AA70</f>
        <v/>
      </c>
      <c r="BJ70" s="137">
        <f>8-COUNT('Assumptions'!AF58:AF65)+COUNTBLANK('NM Play'!B33:B34)+'Costs'!E44+IF(AND('Sites'!E6=1,('Sites'!F6)&lt;=36,'Sites'!G6&gt;=25),IF(ISNUMBER('Sites'!Q6),0,1)+'Capital'!I6+COUNTBLANK('Sites'!R6)+IF('Sites'!D6="NM crew",COUNTBLANK('NM Play'!B25)+1,5-COUNT('Assumptions'!AF112:AF116)),0)+IF(AND('Sites'!E7=1,('Sites'!F7+'Cases'!G7)&lt;=36,'Sites'!G7&gt;=25),IF(ISNUMBER('Sites'!Q7),0,1)+'Capital'!I7+COUNTBLANK('Sites'!R7)+IF('Sites'!D7="NM crew",COUNTBLANK('NM Play'!B25)+1,5-COUNT('Assumptions'!AF117:AF121)),0)+IF(AND('Sites'!E8*'Cases'!F7=1,('Sites'!F8+'Cases'!G7)&lt;=36,'Sites'!G8&gt;=25),IF(ISNUMBER('Sites'!Q8),0,1)+'Capital'!I8+COUNTBLANK('Sites'!R8)+IF('Sites'!D8="NM crew",COUNTBLANK('NM Play'!B25)+1,5-COUNT('Assumptions'!AF122:AF126)),0)+IF(AND('Cases'!C7&gt;0,NOT(ISNUMBER('Assumptions'!B42))),1,0)+'Responsibilities'!$B$39</f>
        <v/>
      </c>
      <c r="BK70" s="137">
        <f>'Assumptions'!$B$50+'NM Play'!$B$83+'Funding'!$F$20+SUMIFS('Production schedule'!$AN$114:$AN$221,'Production schedule'!$C$114:$C$221,29)+IF(OR('Cases'!E7&lt;0,'Cases'!E7&gt;1,'Cases'!C7&lt;0,'Cases'!D7&lt;0,ABS(SUM('Sites'!S6:S8)-1)&gt;0.0001,MIN('Capital'!F6:F8)&lt;0,MAX('Capital'!F6:F8)&gt;1,MIN(AX70,AZ70,BB70,BA70)&lt;-0.01),1,0)+'Responsibilities'!$B$40</f>
        <v/>
      </c>
      <c r="BL70" s="137">
        <f>SUMIFS('Production schedule'!$T$114:$T$221,'Production schedule'!$C$114:$C$221,29)</f>
        <v/>
      </c>
      <c r="BM70" s="137">
        <f>D70*'NM Play'!$B$38</f>
        <v/>
      </c>
      <c r="BN70" s="137">
        <f>SUMIFS('Production schedule'!$AM$114:$AM$221,'Production schedule'!$C$114:$C$221,29)</f>
        <v/>
      </c>
      <c r="BO70" s="137">
        <f>AK70-AK69-AJ70</f>
        <v/>
      </c>
      <c r="BP70" s="137">
        <f>IF(AND('Assumptions'!$B$39&gt;=0,'Assumptions'!$B$40&gt;0),-PMT('Assumptions'!$B$39/12,'Assumptions'!$B$40*12,IF('Funding'!$N$11&gt;0,'Funding'!$N$11,'Funding'!$S$11)),"")</f>
        <v/>
      </c>
      <c r="BQ70">
        <f>('Production schedule'!AJ142)*(1-'Responsibilities'!$C$6)+('Production schedule'!AJ178)*(1-'Responsibilities'!$C$7)+('Production schedule'!AJ214)*(1-'Responsibilities'!$C$8)</f>
        <v/>
      </c>
      <c r="BR70">
        <f>('Production schedule'!AI142)*(1-'Responsibilities'!$D$6)+('Production schedule'!AI178)*(1-'Responsibilities'!$D$7)+('Production schedule'!AI214)*(1-'Responsibilities'!$D$8)</f>
        <v/>
      </c>
      <c r="BS70">
        <f>('Production schedule'!E142*(IF('Sites'!D6="Annual staff",SUM('Assumptions'!AF112,'Assumptions'!AF114),0)+SUM('Assumptions'!AF113,'Assumptions'!AF115:AF116)))*(1-'Responsibilities'!$E$6)+('Production schedule'!E178*(IF('Sites'!D7="Annual staff",SUM('Assumptions'!AF117,'Assumptions'!AF119),0)+SUM('Assumptions'!AF118,'Assumptions'!AF120:AF121)))*(1-'Responsibilities'!$E$7)+('Production schedule'!E214*(IF('Sites'!D8="Annual staff",SUM('Assumptions'!AF122,'Assumptions'!AF124),0)+SUM('Assumptions'!AF123,'Assumptions'!AF125:AF126)))*(1-'Responsibilities'!$E$8)</f>
        <v/>
      </c>
      <c r="BT70">
        <f>(IF(AND('Production schedule'!E142=1,29=MAX(('Sites'!F6),25),ISNUMBER('Sites'!Q6)),'Sites'!Q6*'Assumptions'!$B$44,0))*(1-'Responsibilities'!$F$6)+(IF(AND('Production schedule'!E178=1,29=MAX(('Sites'!F7+'Cases'!G7),25),ISNUMBER('Sites'!Q7)),'Sites'!Q7*'Assumptions'!$B$44,0))*(1-'Responsibilities'!$F$7)+(IF(AND('Production schedule'!E214=1,29=MAX(('Sites'!F8+'Cases'!G7),25),ISNUMBER('Sites'!Q8)),'Sites'!Q8*'Assumptions'!$B$44,0))*(1-'Responsibilities'!$F$8)</f>
        <v/>
      </c>
      <c r="BU70">
        <f>SUM('Costs'!E36)*'Costs'!F36/12*(1-'Responsibilities'!$C$12)+SUM('Costs'!E37)*'Costs'!F37/12*(1-'Responsibilities'!$C$13)+SUM('Costs'!E38)*'Costs'!F38/12*(1-'Responsibilities'!$C$14)+SUM('Costs'!E39)*'Costs'!F39/12*(1-'Responsibilities'!$C$15)+SUM('Costs'!E40)*'Costs'!F40/12*(1-'Responsibilities'!$C$16)</f>
        <v/>
      </c>
      <c r="BV70">
        <f>('Sites'!E6*'Capital'!E6*(IF(29='Capital'!G6,'Capital'!F6,0)+IF(29='Capital'!H6,1-'Capital'!F6,0)))*(1-'Responsibilities'!$G$6)+('Sites'!E7*'Capital'!E7*(IF(29='Capital'!G7+'Cases'!G7,'Capital'!F7,0)+IF(29='Capital'!H7+'Cases'!G7,1-'Capital'!F7,0)))*(1-'Responsibilities'!$G$7)+('Sites'!E8*'Cases'!F7*'Capital'!E8*(IF(29='Capital'!G8+'Cases'!G7,'Capital'!F8,0)+IF(29='Capital'!H8+'Cases'!G7,1-'Capital'!F8,0)))*(1-'Responsibilities'!$G$8)</f>
        <v/>
      </c>
      <c r="BW70">
        <f>SUM(BQ70:BV70)</f>
        <v/>
      </c>
      <c r="BX70">
        <f>N70+BW70</f>
        <v/>
      </c>
      <c r="BY70">
        <f>BX70-(('Production schedule'!AJ142)*'Responsibilities'!$C$6+('Production schedule'!AJ178)*'Responsibilities'!$C$7+('Production schedule'!AJ214)*'Responsibilities'!$C$8+('Production schedule'!AJ142)*(1-'Responsibilities'!$C$6)+('Production schedule'!AJ178)*(1-'Responsibilities'!$C$7)+('Production schedule'!AJ214)*(1-'Responsibilities'!$C$8)+('Production schedule'!AI142)*'Responsibilities'!$D$6+('Production schedule'!AI178)*'Responsibilities'!$D$7+('Production schedule'!AI214)*'Responsibilities'!$D$8+('Production schedule'!AI142)*(1-'Responsibilities'!$D$6)+('Production schedule'!AI178)*(1-'Responsibilities'!$D$7)+('Production schedule'!AI214)*(1-'Responsibilities'!$D$8)+('Production schedule'!E142*(IF('Sites'!D6="Annual staff",SUM('Assumptions'!AF112,'Assumptions'!AF114),0)+SUM('Assumptions'!AF113,'Assumptions'!AF115:AF116)))*'Responsibilities'!$E$6+('Production schedule'!E178*(IF('Sites'!D7="Annual staff",SUM('Assumptions'!AF117,'Assumptions'!AF119),0)+SUM('Assumptions'!AF118,'Assumptions'!AF120:AF121)))*'Responsibilities'!$E$7+('Production schedule'!E214*(IF('Sites'!D8="Annual staff",SUM('Assumptions'!AF122,'Assumptions'!AF124),0)+SUM('Assumptions'!AF123,'Assumptions'!AF125:AF126)))*'Responsibilities'!$E$8+('Production schedule'!E142*(IF('Sites'!D6="Annual staff",SUM('Assumptions'!AF112,'Assumptions'!AF114),0)+SUM('Assumptions'!AF113,'Assumptions'!AF115:AF116)))*(1-'Responsibilities'!$E$6)+('Production schedule'!E178*(IF('Sites'!D7="Annual staff",SUM('Assumptions'!AF117,'Assumptions'!AF119),0)+SUM('Assumptions'!AF118,'Assumptions'!AF120:AF121)))*(1-'Responsibilities'!$E$7)+('Production schedule'!E214*(IF('Sites'!D8="Annual staff",SUM('Assumptions'!AF122,'Assumptions'!AF124),0)+SUM('Assumptions'!AF123,'Assumptions'!AF125:AF126)))*(1-'Responsibilities'!$E$8)+(IF(AND('Production schedule'!E142=1,29=MAX(('Sites'!F6),25),ISNUMBER('Sites'!Q6)),'Sites'!Q6*'Assumptions'!$B$44,0))*'Responsibilities'!$F$6+(IF(AND('Production schedule'!E178=1,29=MAX(('Sites'!F7+'Cases'!G7),25),ISNUMBER('Sites'!Q7)),'Sites'!Q7*'Assumptions'!$B$44,0))*'Responsibilities'!$F$7+(IF(AND('Production schedule'!E214=1,29=MAX(('Sites'!F8+'Cases'!G7),25),ISNUMBER('Sites'!Q8)),'Sites'!Q8*'Assumptions'!$B$44,0))*'Responsibilities'!$F$8+(IF(AND('Production schedule'!E142=1,29=MAX(('Sites'!F6),25),ISNUMBER('Sites'!Q6)),'Sites'!Q6*'Assumptions'!$B$44,0))*(1-'Responsibilities'!$F$6)+(IF(AND('Production schedule'!E178=1,29=MAX(('Sites'!F7+'Cases'!G7),25),ISNUMBER('Sites'!Q7)),'Sites'!Q7*'Assumptions'!$B$44,0))*(1-'Responsibilities'!$F$7)+(IF(AND('Production schedule'!E214=1,29=MAX(('Sites'!F8+'Cases'!G7),25),ISNUMBER('Sites'!Q8)),'Sites'!Q8*'Assumptions'!$B$44,0))*(1-'Responsibilities'!$F$8)+('Sites'!E6*'Capital'!E6*(IF(29='Capital'!G6,'Capital'!F6,0)+IF(29='Capital'!H6,1-'Capital'!F6,0)))*'Responsibilities'!$G$6+('Sites'!E7*'Capital'!E7*(IF(29='Capital'!G7+'Cases'!G7,'Capital'!F7,0)+IF(29='Capital'!H7+'Cases'!G7,1-'Capital'!F7,0)))*'Responsibilities'!$G$7+('Sites'!E8*'Cases'!F7*'Capital'!E8*(IF(29='Capital'!G8+'Cases'!G7,'Capital'!F8,0)+IF(29='Capital'!H8+'Cases'!G7,1-'Capital'!F8,0)))*'Responsibilities'!$G$8+('Sites'!E6*'Capital'!E6*(IF(29='Capital'!G6,'Capital'!F6,0)+IF(29='Capital'!H6,1-'Capital'!F6,0)))*(1-'Responsibilities'!$G$6)+('Sites'!E7*'Capital'!E7*(IF(29='Capital'!G7+'Cases'!G7,'Capital'!F7,0)+IF(29='Capital'!H7+'Cases'!G7,1-'Capital'!F7,0)))*(1-'Responsibilities'!$G$7)+('Sites'!E8*'Cases'!F7*'Capital'!E8*(IF(29='Capital'!G8+'Cases'!G7,'Capital'!F8,0)+IF(29='Capital'!H8+'Cases'!G7,1-'Capital'!F8,0)))*(1-'Responsibilities'!$G$8)+I70+SUMPRODUCT('Costs'!$E$36:$E$40,'Costs'!$F$36:$F$40)/12+BZ70)</f>
        <v/>
      </c>
      <c r="BZ70">
        <f>SUMIFS('Responsibilities'!$B$31:$B$35,'Responsibilities'!$C$31:$C$35,29,'Responsibilities'!$D$31:$D$35,"Yes")</f>
        <v/>
      </c>
    </row>
    <row r="71" ht="28" customHeight="1">
      <c r="A71" s="4" t="inlineStr">
        <is>
          <t>Smaller</t>
        </is>
      </c>
      <c r="B71" s="4" t="n">
        <v>30</v>
      </c>
      <c r="C71" s="4">
        <f>ROUNDUP(B71/12,0)</f>
        <v/>
      </c>
      <c r="D71" s="137">
        <f>SUMIFS('Production schedule'!$N$114:$N$221,'Production schedule'!$C$114:$C$221,30)</f>
        <v/>
      </c>
      <c r="E71" s="137">
        <f>SUMIFS('Production schedule'!$Y$114:$Y$221,'Production schedule'!$C$114:$C$221,30)</f>
        <v/>
      </c>
      <c r="F71" s="137">
        <f>SUMIFS('Production schedule'!$Z$114:$Z$221,'Production schedule'!$C$114:$C$221,30)</f>
        <v/>
      </c>
      <c r="G71" s="137">
        <f>('Production schedule'!AJ143)*'Responsibilities'!$C$6+('Production schedule'!AJ179)*'Responsibilities'!$C$7+('Production schedule'!AJ215)*'Responsibilities'!$C$8</f>
        <v/>
      </c>
      <c r="H71" s="137">
        <f>('Production schedule'!AI143)*'Responsibilities'!$D$6+('Production schedule'!AI179)*'Responsibilities'!$D$7+('Production schedule'!AI215)*'Responsibilities'!$D$8</f>
        <v/>
      </c>
      <c r="I71" s="137">
        <f>SUM('Assumptions'!AG58:AG65)</f>
        <v/>
      </c>
      <c r="J71" s="137">
        <f>('Production schedule'!E143*(IF('Sites'!D6="Annual staff",SUM('Assumptions'!AG112,'Assumptions'!AG114),0)+SUM('Assumptions'!AG113,'Assumptions'!AG115:AG116)))*'Responsibilities'!$E$6+('Production schedule'!E179*(IF('Sites'!D7="Annual staff",SUM('Assumptions'!AG117,'Assumptions'!AG119),0)+SUM('Assumptions'!AG118,'Assumptions'!AG120:AG121)))*'Responsibilities'!$E$7+('Production schedule'!E215*(IF('Sites'!D8="Annual staff",SUM('Assumptions'!AG122,'Assumptions'!AG124),0)+SUM('Assumptions'!AG123,'Assumptions'!AG125:AG126)))*'Responsibilities'!$E$8</f>
        <v/>
      </c>
      <c r="K71" s="137">
        <f>(IF(AND('Production schedule'!E143=1,30=MAX(('Sites'!F6),25),ISNUMBER('Sites'!Q6)),'Sites'!Q6*'Assumptions'!$B$44,0))*'Responsibilities'!$F$6+(IF(AND('Production schedule'!E179=1,30=MAX(('Sites'!F7+'Cases'!G7),25),ISNUMBER('Sites'!Q7)),'Sites'!Q7*'Assumptions'!$B$44,0))*'Responsibilities'!$F$7+(IF(AND('Production schedule'!E215=1,30=MAX(('Sites'!F8+'Cases'!G7),25),ISNUMBER('Sites'!Q8)),'Sites'!Q8*'Assumptions'!$B$44,0))*'Responsibilities'!$F$8</f>
        <v/>
      </c>
      <c r="L71" s="137">
        <f>SUM('Costs'!E36)*'Costs'!F36/12*'Responsibilities'!$C$12+SUM('Costs'!E37)*'Costs'!F37/12*'Responsibilities'!$C$13+SUM('Costs'!E38)*'Costs'!F38/12*'Responsibilities'!$C$14+SUM('Costs'!E39)*'Costs'!F39/12*'Responsibilities'!$C$15+SUM('Costs'!E40)*'Costs'!F40/12*'Responsibilities'!$C$16+BZ71</f>
        <v/>
      </c>
      <c r="M71" s="137">
        <f>('Sites'!E6*'Capital'!E6*(IF(30='Capital'!G6,'Capital'!F6,0)+IF(30='Capital'!H6,1-'Capital'!F6,0)))*'Responsibilities'!$G$6+('Sites'!E7*'Capital'!E7*(IF(30='Capital'!G7+'Cases'!G7,'Capital'!F7,0)+IF(30='Capital'!H7+'Cases'!G7,1-'Capital'!F7,0)))*'Responsibilities'!$G$7+('Sites'!E8*'Cases'!F7*'Capital'!E8*(IF(30='Capital'!G8+'Cases'!G7,'Capital'!F8,0)+IF(30='Capital'!H8+'Cases'!G7,1-'Capital'!F8,0)))*'Responsibilities'!$G$8</f>
        <v/>
      </c>
      <c r="N71" s="137">
        <f>SUM(G71:M71)</f>
        <v/>
      </c>
      <c r="O71" s="137">
        <f>SUMIFS(FundingTranches[Secured amount],FundingTranches[Instrument],"Grant",FundingTranches[Secured month],30)</f>
        <v/>
      </c>
      <c r="P71" s="137">
        <f>SUMIFS(FundingTranches[Smaller possible],FundingTranches[Instrument],"Grant",FundingTranches[Scenario month],30-'Cases'!$D$7)</f>
        <v/>
      </c>
      <c r="Q71" s="137">
        <f>SUMIFS(FundingTranches[Secured amount],FundingTranches[Instrument],"Loan",FundingTranches[Secured month],30)</f>
        <v/>
      </c>
      <c r="R71" s="137">
        <f>SUMIFS(FundingTranches[Smaller possible],FundingTranches[Instrument],"Loan",FundingTranches[Scenario month],30-'Cases'!$D$7)</f>
        <v/>
      </c>
      <c r="S71" s="137">
        <f>IF(30&lt;='Assumptions'!$B$34,0,SUMIFS('Production schedule'!$AL$114:$AL$221,'Production schedule'!$C$114:$C$221,30-'Assumptions'!$B$34))</f>
        <v/>
      </c>
      <c r="T71" s="137">
        <f>'Assumptions'!AG70</f>
        <v/>
      </c>
      <c r="U71" s="137">
        <f>'Assumptions'!AG78</f>
        <v/>
      </c>
      <c r="V71" s="137">
        <f>SUM(O71:U71)</f>
        <v/>
      </c>
      <c r="W71" s="137">
        <f>AA70</f>
        <v/>
      </c>
      <c r="X71" s="137">
        <f>SUM(Q71:R71)</f>
        <v/>
      </c>
      <c r="Y71" s="137">
        <f>SUM(W71,X71)*'Assumptions'!$B$39/12</f>
        <v/>
      </c>
      <c r="Z71" s="137">
        <f>IF(SUM(W71,X71)&gt;0,MIN(SUM(W71,X71),MAX(0,BP71-Y71)),0)</f>
        <v/>
      </c>
      <c r="AA71" s="137">
        <f>SUM(W71,X71)-Z71</f>
        <v/>
      </c>
      <c r="AB71" s="137">
        <f>SUM(Y71:Z71)</f>
        <v/>
      </c>
      <c r="AC71" s="137">
        <f>'Assumptions'!AG72</f>
        <v/>
      </c>
      <c r="AD71" s="137">
        <f>'Assumptions'!AG73</f>
        <v/>
      </c>
      <c r="AE71" s="137">
        <f>IF(X71&gt;0,SUM('Assumptions'!$B$42),0)</f>
        <v/>
      </c>
      <c r="AF71" s="137">
        <f>'Assumptions'!AG71</f>
        <v/>
      </c>
      <c r="AG71" s="137">
        <f>'Assumptions'!AG74</f>
        <v/>
      </c>
      <c r="AH71" s="137">
        <f>'Assumptions'!AG75</f>
        <v/>
      </c>
      <c r="AI71" s="137">
        <f>'Assumptions'!AG77</f>
        <v/>
      </c>
      <c r="AJ71" s="137">
        <f>V71-N71-SUM(AB71:AI71)</f>
        <v/>
      </c>
      <c r="AK71" s="137">
        <f>SUM(AJ42:AJ71)</f>
        <v/>
      </c>
      <c r="AL71" s="137">
        <f>IF(ISNUMBER('Assumptions'!$B$10),'Assumptions'!$B$10+AK71,"")</f>
        <v/>
      </c>
      <c r="AM71" s="137">
        <f>SUM(O71,Q71,T71)-N71-SUM(AC71:AI71)+IF('Funding'!$N$11=0,AE71,0)-IF('Funding'!$N$11&gt;0,AB71,0)</f>
        <v/>
      </c>
      <c r="AN71" s="137">
        <f>SUM(AM42:AM71)</f>
        <v/>
      </c>
      <c r="AO71" s="137">
        <f>IF(ISNUMBER('Assumptions'!$B$10),'Assumptions'!$B$10+AN71,"")</f>
        <v/>
      </c>
      <c r="AP71" s="137">
        <f>('Production schedule'!AK143)*'Responsibilities'!$C$6+('Production schedule'!AK179)*'Responsibilities'!$C$7+('Production schedule'!AK215)*'Responsibilities'!$C$8</f>
        <v/>
      </c>
      <c r="AQ71" s="137">
        <f>SUMIFS('Production schedule'!$AL$114:$AL$221,'Production schedule'!$C$114:$C$221,30)</f>
        <v/>
      </c>
      <c r="AR71" s="137">
        <f>IF(ISNUMBER('Assumptions'!AG76),'Assumptions'!AG76,SUM(O71:P71))</f>
        <v/>
      </c>
      <c r="AS71" s="137">
        <f>IF(ISNUMBER('Assumptions'!$B$13),MIN('Assumptions'!$B$13/'Assumptions'!$B$18/12,MAX(0,'Assumptions'!$B$13-(30-1)*'Assumptions'!$B$13/'Assumptions'!$B$18/12)),0)+IF(AND('Sites'!E6=1,30&gt;=('Sites'!F6),30&lt;('Sites'!F6)+'Assumptions'!$B$18*12),'Capital'!E6/'Assumptions'!$B$18/12,0)+IF(AND('Sites'!E7=1,30&gt;=('Sites'!F7+'Cases'!G7),30&lt;('Sites'!F7+'Cases'!G7)+'Assumptions'!$B$18*12),'Capital'!E7/'Assumptions'!$B$18/12,0)+IF(AND('Sites'!E8*'Cases'!F7=1,30&gt;=('Sites'!F8+'Cases'!G7),30&lt;('Sites'!F8+'Cases'!G7)+'Assumptions'!$B$18*12),'Capital'!E8/'Assumptions'!$B$18/12,0)</f>
        <v/>
      </c>
      <c r="AT71" s="137">
        <f>SUM(AQ71,AR71,U71)-AP71-SUM(H71:L71)-AS71-SUM(Y71,AD71,AE71,AH71)</f>
        <v/>
      </c>
      <c r="AU71" s="137">
        <f>IF(ISNUMBER('Assumptions'!$B$19),MAX(0,SUM(AT66:AT71))*'Assumptions'!$B$19-SUM(AU66:AU70),"")</f>
        <v/>
      </c>
      <c r="AV71" s="137">
        <f>IF(ISNUMBER(AU71),AT71-AU71,"")</f>
        <v/>
      </c>
      <c r="AW71" s="137">
        <f>IF(ISNUMBER('Assumptions'!$B$11),'Assumptions'!$B$11+SUM(AQ42:AQ71)-SUM(S42:S71)-SUM(T42:T71),"")</f>
        <v/>
      </c>
      <c r="AX71" s="137">
        <f>IF(ISNUMBER('Assumptions'!$B$12),'Assumptions'!$B$12+SUM(G42:G71)-SUM(AP42:AP71),"")</f>
        <v/>
      </c>
      <c r="AY71" s="137">
        <f>IF(ISNUMBER('Assumptions'!$B$13),'Assumptions'!$B$13+SUM(M42:M71)-SUM(AS42:AS71),"")</f>
        <v/>
      </c>
      <c r="AZ71" s="137">
        <f>IF(ISNUMBER('Assumptions'!$B$14),'Assumptions'!$B$14+-SUM(AF42:AF71),"")</f>
        <v/>
      </c>
      <c r="BA71" s="137">
        <f>IF(ISNUMBER('Assumptions'!$B$15),'Assumptions'!$B$15+SUM(O42:O71)+SUM(P42:P71)-SUM(AR42:AR71),"")</f>
        <v/>
      </c>
      <c r="BB71" s="137">
        <f>IF(ISNUMBER('Assumptions'!$B$16),'Assumptions'!$B$16+-SUM(AC42:AC71),"")</f>
        <v/>
      </c>
      <c r="BC71" s="137">
        <f>IF(AND(ISNUMBER('Assumptions'!$B$21),ISNUMBER('Assumptions'!$B$19)),'Assumptions'!$B$21+SUM(AU42:AU71)-SUM(AG42:AG71),"")</f>
        <v/>
      </c>
      <c r="BD71" s="137">
        <f>IF(ISNUMBER('Assumptions'!$B$20),'Assumptions'!$B$20+-SUM(AI42:AI71),"")</f>
        <v/>
      </c>
      <c r="BE71" s="137">
        <f>IF(AND(ISNUMBER('Assumptions'!$B$17),COUNT(AV42:AV71)=30),'Assumptions'!$B$17+SUM(AV42:AV71),"")</f>
        <v/>
      </c>
      <c r="BF71" s="137">
        <f>IF(COUNT(AL71,AW71:AY71)=4,SUM(AL71,AW71:AY71),"")</f>
        <v/>
      </c>
      <c r="BG71" s="137">
        <f>IF(COUNT(AZ71:BD71)=5,SUM(AZ71:BD71,AA71),"")</f>
        <v/>
      </c>
      <c r="BH71" s="137">
        <f>IF(COUNT(BF71,BG71,BE71)=3,BF71-BG71-BE71,"")</f>
        <v/>
      </c>
      <c r="BI71" s="137">
        <f>SUM(W71,X71)-Z71-AA71</f>
        <v/>
      </c>
      <c r="BJ71" s="137">
        <f>8-COUNT('Assumptions'!AG58:AG65)+COUNTBLANK('NM Play'!B33:B34)+'Costs'!E44+IF(AND('Sites'!E6=1,('Sites'!F6)&lt;=36,'Sites'!G6&gt;=25),IF(ISNUMBER('Sites'!Q6),0,1)+'Capital'!I6+COUNTBLANK('Sites'!R6)+IF('Sites'!D6="NM crew",COUNTBLANK('NM Play'!B25)+1,5-COUNT('Assumptions'!AG112:AG116)),0)+IF(AND('Sites'!E7=1,('Sites'!F7+'Cases'!G7)&lt;=36,'Sites'!G7&gt;=25),IF(ISNUMBER('Sites'!Q7),0,1)+'Capital'!I7+COUNTBLANK('Sites'!R7)+IF('Sites'!D7="NM crew",COUNTBLANK('NM Play'!B25)+1,5-COUNT('Assumptions'!AG117:AG121)),0)+IF(AND('Sites'!E8*'Cases'!F7=1,('Sites'!F8+'Cases'!G7)&lt;=36,'Sites'!G8&gt;=25),IF(ISNUMBER('Sites'!Q8),0,1)+'Capital'!I8+COUNTBLANK('Sites'!R8)+IF('Sites'!D8="NM crew",COUNTBLANK('NM Play'!B25)+1,5-COUNT('Assumptions'!AG122:AG126)),0)+IF(AND('Cases'!C7&gt;0,NOT(ISNUMBER('Assumptions'!B42))),1,0)+'Responsibilities'!$B$39</f>
        <v/>
      </c>
      <c r="BK71" s="137">
        <f>'Assumptions'!$B$50+'NM Play'!$B$83+'Funding'!$F$20+SUMIFS('Production schedule'!$AN$114:$AN$221,'Production schedule'!$C$114:$C$221,30)+IF(OR('Cases'!E7&lt;0,'Cases'!E7&gt;1,'Cases'!C7&lt;0,'Cases'!D7&lt;0,ABS(SUM('Sites'!S6:S8)-1)&gt;0.0001,MIN('Capital'!F6:F8)&lt;0,MAX('Capital'!F6:F8)&gt;1,MIN(AX71,AZ71,BB71,BA71)&lt;-0.01),1,0)+'Responsibilities'!$B$40</f>
        <v/>
      </c>
      <c r="BL71" s="137">
        <f>SUMIFS('Production schedule'!$T$114:$T$221,'Production schedule'!$C$114:$C$221,30)</f>
        <v/>
      </c>
      <c r="BM71" s="137">
        <f>D71*'NM Play'!$B$38</f>
        <v/>
      </c>
      <c r="BN71" s="137">
        <f>SUMIFS('Production schedule'!$AM$114:$AM$221,'Production schedule'!$C$114:$C$221,30)</f>
        <v/>
      </c>
      <c r="BO71" s="137">
        <f>AK71-AK70-AJ71</f>
        <v/>
      </c>
      <c r="BP71" s="137">
        <f>IF(AND('Assumptions'!$B$39&gt;=0,'Assumptions'!$B$40&gt;0),-PMT('Assumptions'!$B$39/12,'Assumptions'!$B$40*12,IF('Funding'!$N$11&gt;0,'Funding'!$N$11,'Funding'!$S$11)),"")</f>
        <v/>
      </c>
      <c r="BQ71">
        <f>('Production schedule'!AJ143)*(1-'Responsibilities'!$C$6)+('Production schedule'!AJ179)*(1-'Responsibilities'!$C$7)+('Production schedule'!AJ215)*(1-'Responsibilities'!$C$8)</f>
        <v/>
      </c>
      <c r="BR71">
        <f>('Production schedule'!AI143)*(1-'Responsibilities'!$D$6)+('Production schedule'!AI179)*(1-'Responsibilities'!$D$7)+('Production schedule'!AI215)*(1-'Responsibilities'!$D$8)</f>
        <v/>
      </c>
      <c r="BS71">
        <f>('Production schedule'!E143*(IF('Sites'!D6="Annual staff",SUM('Assumptions'!AG112,'Assumptions'!AG114),0)+SUM('Assumptions'!AG113,'Assumptions'!AG115:AG116)))*(1-'Responsibilities'!$E$6)+('Production schedule'!E179*(IF('Sites'!D7="Annual staff",SUM('Assumptions'!AG117,'Assumptions'!AG119),0)+SUM('Assumptions'!AG118,'Assumptions'!AG120:AG121)))*(1-'Responsibilities'!$E$7)+('Production schedule'!E215*(IF('Sites'!D8="Annual staff",SUM('Assumptions'!AG122,'Assumptions'!AG124),0)+SUM('Assumptions'!AG123,'Assumptions'!AG125:AG126)))*(1-'Responsibilities'!$E$8)</f>
        <v/>
      </c>
      <c r="BT71">
        <f>(IF(AND('Production schedule'!E143=1,30=MAX(('Sites'!F6),25),ISNUMBER('Sites'!Q6)),'Sites'!Q6*'Assumptions'!$B$44,0))*(1-'Responsibilities'!$F$6)+(IF(AND('Production schedule'!E179=1,30=MAX(('Sites'!F7+'Cases'!G7),25),ISNUMBER('Sites'!Q7)),'Sites'!Q7*'Assumptions'!$B$44,0))*(1-'Responsibilities'!$F$7)+(IF(AND('Production schedule'!E215=1,30=MAX(('Sites'!F8+'Cases'!G7),25),ISNUMBER('Sites'!Q8)),'Sites'!Q8*'Assumptions'!$B$44,0))*(1-'Responsibilities'!$F$8)</f>
        <v/>
      </c>
      <c r="BU71">
        <f>SUM('Costs'!E36)*'Costs'!F36/12*(1-'Responsibilities'!$C$12)+SUM('Costs'!E37)*'Costs'!F37/12*(1-'Responsibilities'!$C$13)+SUM('Costs'!E38)*'Costs'!F38/12*(1-'Responsibilities'!$C$14)+SUM('Costs'!E39)*'Costs'!F39/12*(1-'Responsibilities'!$C$15)+SUM('Costs'!E40)*'Costs'!F40/12*(1-'Responsibilities'!$C$16)</f>
        <v/>
      </c>
      <c r="BV71">
        <f>('Sites'!E6*'Capital'!E6*(IF(30='Capital'!G6,'Capital'!F6,0)+IF(30='Capital'!H6,1-'Capital'!F6,0)))*(1-'Responsibilities'!$G$6)+('Sites'!E7*'Capital'!E7*(IF(30='Capital'!G7+'Cases'!G7,'Capital'!F7,0)+IF(30='Capital'!H7+'Cases'!G7,1-'Capital'!F7,0)))*(1-'Responsibilities'!$G$7)+('Sites'!E8*'Cases'!F7*'Capital'!E8*(IF(30='Capital'!G8+'Cases'!G7,'Capital'!F8,0)+IF(30='Capital'!H8+'Cases'!G7,1-'Capital'!F8,0)))*(1-'Responsibilities'!$G$8)</f>
        <v/>
      </c>
      <c r="BW71">
        <f>SUM(BQ71:BV71)</f>
        <v/>
      </c>
      <c r="BX71">
        <f>N71+BW71</f>
        <v/>
      </c>
      <c r="BY71">
        <f>BX71-(('Production schedule'!AJ143)*'Responsibilities'!$C$6+('Production schedule'!AJ179)*'Responsibilities'!$C$7+('Production schedule'!AJ215)*'Responsibilities'!$C$8+('Production schedule'!AJ143)*(1-'Responsibilities'!$C$6)+('Production schedule'!AJ179)*(1-'Responsibilities'!$C$7)+('Production schedule'!AJ215)*(1-'Responsibilities'!$C$8)+('Production schedule'!AI143)*'Responsibilities'!$D$6+('Production schedule'!AI179)*'Responsibilities'!$D$7+('Production schedule'!AI215)*'Responsibilities'!$D$8+('Production schedule'!AI143)*(1-'Responsibilities'!$D$6)+('Production schedule'!AI179)*(1-'Responsibilities'!$D$7)+('Production schedule'!AI215)*(1-'Responsibilities'!$D$8)+('Production schedule'!E143*(IF('Sites'!D6="Annual staff",SUM('Assumptions'!AG112,'Assumptions'!AG114),0)+SUM('Assumptions'!AG113,'Assumptions'!AG115:AG116)))*'Responsibilities'!$E$6+('Production schedule'!E179*(IF('Sites'!D7="Annual staff",SUM('Assumptions'!AG117,'Assumptions'!AG119),0)+SUM('Assumptions'!AG118,'Assumptions'!AG120:AG121)))*'Responsibilities'!$E$7+('Production schedule'!E215*(IF('Sites'!D8="Annual staff",SUM('Assumptions'!AG122,'Assumptions'!AG124),0)+SUM('Assumptions'!AG123,'Assumptions'!AG125:AG126)))*'Responsibilities'!$E$8+('Production schedule'!E143*(IF('Sites'!D6="Annual staff",SUM('Assumptions'!AG112,'Assumptions'!AG114),0)+SUM('Assumptions'!AG113,'Assumptions'!AG115:AG116)))*(1-'Responsibilities'!$E$6)+('Production schedule'!E179*(IF('Sites'!D7="Annual staff",SUM('Assumptions'!AG117,'Assumptions'!AG119),0)+SUM('Assumptions'!AG118,'Assumptions'!AG120:AG121)))*(1-'Responsibilities'!$E$7)+('Production schedule'!E215*(IF('Sites'!D8="Annual staff",SUM('Assumptions'!AG122,'Assumptions'!AG124),0)+SUM('Assumptions'!AG123,'Assumptions'!AG125:AG126)))*(1-'Responsibilities'!$E$8)+(IF(AND('Production schedule'!E143=1,30=MAX(('Sites'!F6),25),ISNUMBER('Sites'!Q6)),'Sites'!Q6*'Assumptions'!$B$44,0))*'Responsibilities'!$F$6+(IF(AND('Production schedule'!E179=1,30=MAX(('Sites'!F7+'Cases'!G7),25),ISNUMBER('Sites'!Q7)),'Sites'!Q7*'Assumptions'!$B$44,0))*'Responsibilities'!$F$7+(IF(AND('Production schedule'!E215=1,30=MAX(('Sites'!F8+'Cases'!G7),25),ISNUMBER('Sites'!Q8)),'Sites'!Q8*'Assumptions'!$B$44,0))*'Responsibilities'!$F$8+(IF(AND('Production schedule'!E143=1,30=MAX(('Sites'!F6),25),ISNUMBER('Sites'!Q6)),'Sites'!Q6*'Assumptions'!$B$44,0))*(1-'Responsibilities'!$F$6)+(IF(AND('Production schedule'!E179=1,30=MAX(('Sites'!F7+'Cases'!G7),25),ISNUMBER('Sites'!Q7)),'Sites'!Q7*'Assumptions'!$B$44,0))*(1-'Responsibilities'!$F$7)+(IF(AND('Production schedule'!E215=1,30=MAX(('Sites'!F8+'Cases'!G7),25),ISNUMBER('Sites'!Q8)),'Sites'!Q8*'Assumptions'!$B$44,0))*(1-'Responsibilities'!$F$8)+('Sites'!E6*'Capital'!E6*(IF(30='Capital'!G6,'Capital'!F6,0)+IF(30='Capital'!H6,1-'Capital'!F6,0)))*'Responsibilities'!$G$6+('Sites'!E7*'Capital'!E7*(IF(30='Capital'!G7+'Cases'!G7,'Capital'!F7,0)+IF(30='Capital'!H7+'Cases'!G7,1-'Capital'!F7,0)))*'Responsibilities'!$G$7+('Sites'!E8*'Cases'!F7*'Capital'!E8*(IF(30='Capital'!G8+'Cases'!G7,'Capital'!F8,0)+IF(30='Capital'!H8+'Cases'!G7,1-'Capital'!F8,0)))*'Responsibilities'!$G$8+('Sites'!E6*'Capital'!E6*(IF(30='Capital'!G6,'Capital'!F6,0)+IF(30='Capital'!H6,1-'Capital'!F6,0)))*(1-'Responsibilities'!$G$6)+('Sites'!E7*'Capital'!E7*(IF(30='Capital'!G7+'Cases'!G7,'Capital'!F7,0)+IF(30='Capital'!H7+'Cases'!G7,1-'Capital'!F7,0)))*(1-'Responsibilities'!$G$7)+('Sites'!E8*'Cases'!F7*'Capital'!E8*(IF(30='Capital'!G8+'Cases'!G7,'Capital'!F8,0)+IF(30='Capital'!H8+'Cases'!G7,1-'Capital'!F8,0)))*(1-'Responsibilities'!$G$8)+I71+SUMPRODUCT('Costs'!$E$36:$E$40,'Costs'!$F$36:$F$40)/12+BZ71)</f>
        <v/>
      </c>
      <c r="BZ71">
        <f>SUMIFS('Responsibilities'!$B$31:$B$35,'Responsibilities'!$C$31:$C$35,30,'Responsibilities'!$D$31:$D$35,"Yes")</f>
        <v/>
      </c>
    </row>
    <row r="72" ht="28" customHeight="1">
      <c r="A72" s="4" t="inlineStr">
        <is>
          <t>Smaller</t>
        </is>
      </c>
      <c r="B72" s="4" t="n">
        <v>31</v>
      </c>
      <c r="C72" s="4">
        <f>ROUNDUP(B72/12,0)</f>
        <v/>
      </c>
      <c r="D72" s="137">
        <f>SUMIFS('Production schedule'!$N$114:$N$221,'Production schedule'!$C$114:$C$221,31)</f>
        <v/>
      </c>
      <c r="E72" s="137">
        <f>SUMIFS('Production schedule'!$Y$114:$Y$221,'Production schedule'!$C$114:$C$221,31)</f>
        <v/>
      </c>
      <c r="F72" s="137">
        <f>SUMIFS('Production schedule'!$Z$114:$Z$221,'Production schedule'!$C$114:$C$221,31)</f>
        <v/>
      </c>
      <c r="G72" s="137">
        <f>('Production schedule'!AJ144)*'Responsibilities'!$C$6+('Production schedule'!AJ180)*'Responsibilities'!$C$7+('Production schedule'!AJ216)*'Responsibilities'!$C$8</f>
        <v/>
      </c>
      <c r="H72" s="137">
        <f>('Production schedule'!AI144)*'Responsibilities'!$D$6+('Production schedule'!AI180)*'Responsibilities'!$D$7+('Production schedule'!AI216)*'Responsibilities'!$D$8</f>
        <v/>
      </c>
      <c r="I72" s="137">
        <f>SUM('Assumptions'!AH58:AH65)</f>
        <v/>
      </c>
      <c r="J72" s="137">
        <f>('Production schedule'!E144*(IF('Sites'!D6="Annual staff",SUM('Assumptions'!AH112,'Assumptions'!AH114),0)+SUM('Assumptions'!AH113,'Assumptions'!AH115:AH116)))*'Responsibilities'!$E$6+('Production schedule'!E180*(IF('Sites'!D7="Annual staff",SUM('Assumptions'!AH117,'Assumptions'!AH119),0)+SUM('Assumptions'!AH118,'Assumptions'!AH120:AH121)))*'Responsibilities'!$E$7+('Production schedule'!E216*(IF('Sites'!D8="Annual staff",SUM('Assumptions'!AH122,'Assumptions'!AH124),0)+SUM('Assumptions'!AH123,'Assumptions'!AH125:AH126)))*'Responsibilities'!$E$8</f>
        <v/>
      </c>
      <c r="K72" s="137">
        <f>(IF(AND('Production schedule'!E144=1,31=MAX(('Sites'!F6),25),ISNUMBER('Sites'!Q6)),'Sites'!Q6*'Assumptions'!$B$44,0))*'Responsibilities'!$F$6+(IF(AND('Production schedule'!E180=1,31=MAX(('Sites'!F7+'Cases'!G7),25),ISNUMBER('Sites'!Q7)),'Sites'!Q7*'Assumptions'!$B$44,0))*'Responsibilities'!$F$7+(IF(AND('Production schedule'!E216=1,31=MAX(('Sites'!F8+'Cases'!G7),25),ISNUMBER('Sites'!Q8)),'Sites'!Q8*'Assumptions'!$B$44,0))*'Responsibilities'!$F$8</f>
        <v/>
      </c>
      <c r="L72" s="137">
        <f>SUM('Costs'!E36)*'Costs'!F36/12*'Responsibilities'!$C$12+SUM('Costs'!E37)*'Costs'!F37/12*'Responsibilities'!$C$13+SUM('Costs'!E38)*'Costs'!F38/12*'Responsibilities'!$C$14+SUM('Costs'!E39)*'Costs'!F39/12*'Responsibilities'!$C$15+SUM('Costs'!E40)*'Costs'!F40/12*'Responsibilities'!$C$16+BZ72</f>
        <v/>
      </c>
      <c r="M72" s="137">
        <f>('Sites'!E6*'Capital'!E6*(IF(31='Capital'!G6,'Capital'!F6,0)+IF(31='Capital'!H6,1-'Capital'!F6,0)))*'Responsibilities'!$G$6+('Sites'!E7*'Capital'!E7*(IF(31='Capital'!G7+'Cases'!G7,'Capital'!F7,0)+IF(31='Capital'!H7+'Cases'!G7,1-'Capital'!F7,0)))*'Responsibilities'!$G$7+('Sites'!E8*'Cases'!F7*'Capital'!E8*(IF(31='Capital'!G8+'Cases'!G7,'Capital'!F8,0)+IF(31='Capital'!H8+'Cases'!G7,1-'Capital'!F8,0)))*'Responsibilities'!$G$8</f>
        <v/>
      </c>
      <c r="N72" s="137">
        <f>SUM(G72:M72)</f>
        <v/>
      </c>
      <c r="O72" s="137">
        <f>SUMIFS(FundingTranches[Secured amount],FundingTranches[Instrument],"Grant",FundingTranches[Secured month],31)</f>
        <v/>
      </c>
      <c r="P72" s="137">
        <f>SUMIFS(FundingTranches[Smaller possible],FundingTranches[Instrument],"Grant",FundingTranches[Scenario month],31-'Cases'!$D$7)</f>
        <v/>
      </c>
      <c r="Q72" s="137">
        <f>SUMIFS(FundingTranches[Secured amount],FundingTranches[Instrument],"Loan",FundingTranches[Secured month],31)</f>
        <v/>
      </c>
      <c r="R72" s="137">
        <f>SUMIFS(FundingTranches[Smaller possible],FundingTranches[Instrument],"Loan",FundingTranches[Scenario month],31-'Cases'!$D$7)</f>
        <v/>
      </c>
      <c r="S72" s="137">
        <f>IF(31&lt;='Assumptions'!$B$34,0,SUMIFS('Production schedule'!$AL$114:$AL$221,'Production schedule'!$C$114:$C$221,31-'Assumptions'!$B$34))</f>
        <v/>
      </c>
      <c r="T72" s="137">
        <f>'Assumptions'!AH70</f>
        <v/>
      </c>
      <c r="U72" s="137">
        <f>'Assumptions'!AH78</f>
        <v/>
      </c>
      <c r="V72" s="137">
        <f>SUM(O72:U72)</f>
        <v/>
      </c>
      <c r="W72" s="137">
        <f>AA71</f>
        <v/>
      </c>
      <c r="X72" s="137">
        <f>SUM(Q72:R72)</f>
        <v/>
      </c>
      <c r="Y72" s="137">
        <f>SUM(W72,X72)*'Assumptions'!$B$39/12</f>
        <v/>
      </c>
      <c r="Z72" s="137">
        <f>IF(SUM(W72,X72)&gt;0,MIN(SUM(W72,X72),MAX(0,BP72-Y72)),0)</f>
        <v/>
      </c>
      <c r="AA72" s="137">
        <f>SUM(W72,X72)-Z72</f>
        <v/>
      </c>
      <c r="AB72" s="137">
        <f>SUM(Y72:Z72)</f>
        <v/>
      </c>
      <c r="AC72" s="137">
        <f>'Assumptions'!AH72</f>
        <v/>
      </c>
      <c r="AD72" s="137">
        <f>'Assumptions'!AH73</f>
        <v/>
      </c>
      <c r="AE72" s="137">
        <f>IF(X72&gt;0,SUM('Assumptions'!$B$42),0)</f>
        <v/>
      </c>
      <c r="AF72" s="137">
        <f>'Assumptions'!AH71</f>
        <v/>
      </c>
      <c r="AG72" s="137">
        <f>'Assumptions'!AH74</f>
        <v/>
      </c>
      <c r="AH72" s="137">
        <f>'Assumptions'!AH75</f>
        <v/>
      </c>
      <c r="AI72" s="137">
        <f>'Assumptions'!AH77</f>
        <v/>
      </c>
      <c r="AJ72" s="137">
        <f>V72-N72-SUM(AB72:AI72)</f>
        <v/>
      </c>
      <c r="AK72" s="137">
        <f>SUM(AJ42:AJ72)</f>
        <v/>
      </c>
      <c r="AL72" s="137">
        <f>IF(ISNUMBER('Assumptions'!$B$10),'Assumptions'!$B$10+AK72,"")</f>
        <v/>
      </c>
      <c r="AM72" s="137">
        <f>SUM(O72,Q72,T72)-N72-SUM(AC72:AI72)+IF('Funding'!$N$11=0,AE72,0)-IF('Funding'!$N$11&gt;0,AB72,0)</f>
        <v/>
      </c>
      <c r="AN72" s="137">
        <f>SUM(AM42:AM72)</f>
        <v/>
      </c>
      <c r="AO72" s="137">
        <f>IF(ISNUMBER('Assumptions'!$B$10),'Assumptions'!$B$10+AN72,"")</f>
        <v/>
      </c>
      <c r="AP72" s="137">
        <f>('Production schedule'!AK144)*'Responsibilities'!$C$6+('Production schedule'!AK180)*'Responsibilities'!$C$7+('Production schedule'!AK216)*'Responsibilities'!$C$8</f>
        <v/>
      </c>
      <c r="AQ72" s="137">
        <f>SUMIFS('Production schedule'!$AL$114:$AL$221,'Production schedule'!$C$114:$C$221,31)</f>
        <v/>
      </c>
      <c r="AR72" s="137">
        <f>IF(ISNUMBER('Assumptions'!AH76),'Assumptions'!AH76,SUM(O72:P72))</f>
        <v/>
      </c>
      <c r="AS72" s="137">
        <f>IF(ISNUMBER('Assumptions'!$B$13),MIN('Assumptions'!$B$13/'Assumptions'!$B$18/12,MAX(0,'Assumptions'!$B$13-(31-1)*'Assumptions'!$B$13/'Assumptions'!$B$18/12)),0)+IF(AND('Sites'!E6=1,31&gt;=('Sites'!F6),31&lt;('Sites'!F6)+'Assumptions'!$B$18*12),'Capital'!E6/'Assumptions'!$B$18/12,0)+IF(AND('Sites'!E7=1,31&gt;=('Sites'!F7+'Cases'!G7),31&lt;('Sites'!F7+'Cases'!G7)+'Assumptions'!$B$18*12),'Capital'!E7/'Assumptions'!$B$18/12,0)+IF(AND('Sites'!E8*'Cases'!F7=1,31&gt;=('Sites'!F8+'Cases'!G7),31&lt;('Sites'!F8+'Cases'!G7)+'Assumptions'!$B$18*12),'Capital'!E8/'Assumptions'!$B$18/12,0)</f>
        <v/>
      </c>
      <c r="AT72" s="137">
        <f>SUM(AQ72,AR72,U72)-AP72-SUM(H72:L72)-AS72-SUM(Y72,AD72,AE72,AH72)</f>
        <v/>
      </c>
      <c r="AU72" s="137">
        <f>IF(ISNUMBER('Assumptions'!$B$19),MAX(0,SUM(AT66:AT72))*'Assumptions'!$B$19-SUM(AU66:AU71),"")</f>
        <v/>
      </c>
      <c r="AV72" s="137">
        <f>IF(ISNUMBER(AU72),AT72-AU72,"")</f>
        <v/>
      </c>
      <c r="AW72" s="137">
        <f>IF(ISNUMBER('Assumptions'!$B$11),'Assumptions'!$B$11+SUM(AQ42:AQ72)-SUM(S42:S72)-SUM(T42:T72),"")</f>
        <v/>
      </c>
      <c r="AX72" s="137">
        <f>IF(ISNUMBER('Assumptions'!$B$12),'Assumptions'!$B$12+SUM(G42:G72)-SUM(AP42:AP72),"")</f>
        <v/>
      </c>
      <c r="AY72" s="137">
        <f>IF(ISNUMBER('Assumptions'!$B$13),'Assumptions'!$B$13+SUM(M42:M72)-SUM(AS42:AS72),"")</f>
        <v/>
      </c>
      <c r="AZ72" s="137">
        <f>IF(ISNUMBER('Assumptions'!$B$14),'Assumptions'!$B$14+-SUM(AF42:AF72),"")</f>
        <v/>
      </c>
      <c r="BA72" s="137">
        <f>IF(ISNUMBER('Assumptions'!$B$15),'Assumptions'!$B$15+SUM(O42:O72)+SUM(P42:P72)-SUM(AR42:AR72),"")</f>
        <v/>
      </c>
      <c r="BB72" s="137">
        <f>IF(ISNUMBER('Assumptions'!$B$16),'Assumptions'!$B$16+-SUM(AC42:AC72),"")</f>
        <v/>
      </c>
      <c r="BC72" s="137">
        <f>IF(AND(ISNUMBER('Assumptions'!$B$21),ISNUMBER('Assumptions'!$B$19)),'Assumptions'!$B$21+SUM(AU42:AU72)-SUM(AG42:AG72),"")</f>
        <v/>
      </c>
      <c r="BD72" s="137">
        <f>IF(ISNUMBER('Assumptions'!$B$20),'Assumptions'!$B$20+-SUM(AI42:AI72),"")</f>
        <v/>
      </c>
      <c r="BE72" s="137">
        <f>IF(AND(ISNUMBER('Assumptions'!$B$17),COUNT(AV42:AV72)=31),'Assumptions'!$B$17+SUM(AV42:AV72),"")</f>
        <v/>
      </c>
      <c r="BF72" s="137">
        <f>IF(COUNT(AL72,AW72:AY72)=4,SUM(AL72,AW72:AY72),"")</f>
        <v/>
      </c>
      <c r="BG72" s="137">
        <f>IF(COUNT(AZ72:BD72)=5,SUM(AZ72:BD72,AA72),"")</f>
        <v/>
      </c>
      <c r="BH72" s="137">
        <f>IF(COUNT(BF72,BG72,BE72)=3,BF72-BG72-BE72,"")</f>
        <v/>
      </c>
      <c r="BI72" s="137">
        <f>SUM(W72,X72)-Z72-AA72</f>
        <v/>
      </c>
      <c r="BJ72" s="137">
        <f>8-COUNT('Assumptions'!AH58:AH65)+COUNTBLANK('NM Play'!B33:B34)+'Costs'!E44+IF(AND('Sites'!E6=1,('Sites'!F6)&lt;=36,'Sites'!G6&gt;=25),IF(ISNUMBER('Sites'!Q6),0,1)+'Capital'!I6+COUNTBLANK('Sites'!R6)+IF('Sites'!D6="NM crew",COUNTBLANK('NM Play'!B25)+1,5-COUNT('Assumptions'!AH112:AH116)),0)+IF(AND('Sites'!E7=1,('Sites'!F7+'Cases'!G7)&lt;=36,'Sites'!G7&gt;=25),IF(ISNUMBER('Sites'!Q7),0,1)+'Capital'!I7+COUNTBLANK('Sites'!R7)+IF('Sites'!D7="NM crew",COUNTBLANK('NM Play'!B25)+1,5-COUNT('Assumptions'!AH117:AH121)),0)+IF(AND('Sites'!E8*'Cases'!F7=1,('Sites'!F8+'Cases'!G7)&lt;=36,'Sites'!G8&gt;=25),IF(ISNUMBER('Sites'!Q8),0,1)+'Capital'!I8+COUNTBLANK('Sites'!R8)+IF('Sites'!D8="NM crew",COUNTBLANK('NM Play'!B25)+1,5-COUNT('Assumptions'!AH122:AH126)),0)+IF(AND('Cases'!C7&gt;0,NOT(ISNUMBER('Assumptions'!B42))),1,0)+'Responsibilities'!$B$39</f>
        <v/>
      </c>
      <c r="BK72" s="137">
        <f>'Assumptions'!$B$50+'NM Play'!$B$83+'Funding'!$F$20+SUMIFS('Production schedule'!$AN$114:$AN$221,'Production schedule'!$C$114:$C$221,31)+IF(OR('Cases'!E7&lt;0,'Cases'!E7&gt;1,'Cases'!C7&lt;0,'Cases'!D7&lt;0,ABS(SUM('Sites'!S6:S8)-1)&gt;0.0001,MIN('Capital'!F6:F8)&lt;0,MAX('Capital'!F6:F8)&gt;1,MIN(AX72,AZ72,BB72,BA72)&lt;-0.01),1,0)+'Responsibilities'!$B$40</f>
        <v/>
      </c>
      <c r="BL72" s="137">
        <f>SUMIFS('Production schedule'!$T$114:$T$221,'Production schedule'!$C$114:$C$221,31)</f>
        <v/>
      </c>
      <c r="BM72" s="137">
        <f>D72*'NM Play'!$B$38</f>
        <v/>
      </c>
      <c r="BN72" s="137">
        <f>SUMIFS('Production schedule'!$AM$114:$AM$221,'Production schedule'!$C$114:$C$221,31)</f>
        <v/>
      </c>
      <c r="BO72" s="137">
        <f>AK72-AK71-AJ72</f>
        <v/>
      </c>
      <c r="BP72" s="137">
        <f>IF(AND('Assumptions'!$B$39&gt;=0,'Assumptions'!$B$40&gt;0),-PMT('Assumptions'!$B$39/12,'Assumptions'!$B$40*12,IF('Funding'!$N$11&gt;0,'Funding'!$N$11,'Funding'!$S$11)),"")</f>
        <v/>
      </c>
      <c r="BQ72">
        <f>('Production schedule'!AJ144)*(1-'Responsibilities'!$C$6)+('Production schedule'!AJ180)*(1-'Responsibilities'!$C$7)+('Production schedule'!AJ216)*(1-'Responsibilities'!$C$8)</f>
        <v/>
      </c>
      <c r="BR72">
        <f>('Production schedule'!AI144)*(1-'Responsibilities'!$D$6)+('Production schedule'!AI180)*(1-'Responsibilities'!$D$7)+('Production schedule'!AI216)*(1-'Responsibilities'!$D$8)</f>
        <v/>
      </c>
      <c r="BS72">
        <f>('Production schedule'!E144*(IF('Sites'!D6="Annual staff",SUM('Assumptions'!AH112,'Assumptions'!AH114),0)+SUM('Assumptions'!AH113,'Assumptions'!AH115:AH116)))*(1-'Responsibilities'!$E$6)+('Production schedule'!E180*(IF('Sites'!D7="Annual staff",SUM('Assumptions'!AH117,'Assumptions'!AH119),0)+SUM('Assumptions'!AH118,'Assumptions'!AH120:AH121)))*(1-'Responsibilities'!$E$7)+('Production schedule'!E216*(IF('Sites'!D8="Annual staff",SUM('Assumptions'!AH122,'Assumptions'!AH124),0)+SUM('Assumptions'!AH123,'Assumptions'!AH125:AH126)))*(1-'Responsibilities'!$E$8)</f>
        <v/>
      </c>
      <c r="BT72">
        <f>(IF(AND('Production schedule'!E144=1,31=MAX(('Sites'!F6),25),ISNUMBER('Sites'!Q6)),'Sites'!Q6*'Assumptions'!$B$44,0))*(1-'Responsibilities'!$F$6)+(IF(AND('Production schedule'!E180=1,31=MAX(('Sites'!F7+'Cases'!G7),25),ISNUMBER('Sites'!Q7)),'Sites'!Q7*'Assumptions'!$B$44,0))*(1-'Responsibilities'!$F$7)+(IF(AND('Production schedule'!E216=1,31=MAX(('Sites'!F8+'Cases'!G7),25),ISNUMBER('Sites'!Q8)),'Sites'!Q8*'Assumptions'!$B$44,0))*(1-'Responsibilities'!$F$8)</f>
        <v/>
      </c>
      <c r="BU72">
        <f>SUM('Costs'!E36)*'Costs'!F36/12*(1-'Responsibilities'!$C$12)+SUM('Costs'!E37)*'Costs'!F37/12*(1-'Responsibilities'!$C$13)+SUM('Costs'!E38)*'Costs'!F38/12*(1-'Responsibilities'!$C$14)+SUM('Costs'!E39)*'Costs'!F39/12*(1-'Responsibilities'!$C$15)+SUM('Costs'!E40)*'Costs'!F40/12*(1-'Responsibilities'!$C$16)</f>
        <v/>
      </c>
      <c r="BV72">
        <f>('Sites'!E6*'Capital'!E6*(IF(31='Capital'!G6,'Capital'!F6,0)+IF(31='Capital'!H6,1-'Capital'!F6,0)))*(1-'Responsibilities'!$G$6)+('Sites'!E7*'Capital'!E7*(IF(31='Capital'!G7+'Cases'!G7,'Capital'!F7,0)+IF(31='Capital'!H7+'Cases'!G7,1-'Capital'!F7,0)))*(1-'Responsibilities'!$G$7)+('Sites'!E8*'Cases'!F7*'Capital'!E8*(IF(31='Capital'!G8+'Cases'!G7,'Capital'!F8,0)+IF(31='Capital'!H8+'Cases'!G7,1-'Capital'!F8,0)))*(1-'Responsibilities'!$G$8)</f>
        <v/>
      </c>
      <c r="BW72">
        <f>SUM(BQ72:BV72)</f>
        <v/>
      </c>
      <c r="BX72">
        <f>N72+BW72</f>
        <v/>
      </c>
      <c r="BY72">
        <f>BX72-(('Production schedule'!AJ144)*'Responsibilities'!$C$6+('Production schedule'!AJ180)*'Responsibilities'!$C$7+('Production schedule'!AJ216)*'Responsibilities'!$C$8+('Production schedule'!AJ144)*(1-'Responsibilities'!$C$6)+('Production schedule'!AJ180)*(1-'Responsibilities'!$C$7)+('Production schedule'!AJ216)*(1-'Responsibilities'!$C$8)+('Production schedule'!AI144)*'Responsibilities'!$D$6+('Production schedule'!AI180)*'Responsibilities'!$D$7+('Production schedule'!AI216)*'Responsibilities'!$D$8+('Production schedule'!AI144)*(1-'Responsibilities'!$D$6)+('Production schedule'!AI180)*(1-'Responsibilities'!$D$7)+('Production schedule'!AI216)*(1-'Responsibilities'!$D$8)+('Production schedule'!E144*(IF('Sites'!D6="Annual staff",SUM('Assumptions'!AH112,'Assumptions'!AH114),0)+SUM('Assumptions'!AH113,'Assumptions'!AH115:AH116)))*'Responsibilities'!$E$6+('Production schedule'!E180*(IF('Sites'!D7="Annual staff",SUM('Assumptions'!AH117,'Assumptions'!AH119),0)+SUM('Assumptions'!AH118,'Assumptions'!AH120:AH121)))*'Responsibilities'!$E$7+('Production schedule'!E216*(IF('Sites'!D8="Annual staff",SUM('Assumptions'!AH122,'Assumptions'!AH124),0)+SUM('Assumptions'!AH123,'Assumptions'!AH125:AH126)))*'Responsibilities'!$E$8+('Production schedule'!E144*(IF('Sites'!D6="Annual staff",SUM('Assumptions'!AH112,'Assumptions'!AH114),0)+SUM('Assumptions'!AH113,'Assumptions'!AH115:AH116)))*(1-'Responsibilities'!$E$6)+('Production schedule'!E180*(IF('Sites'!D7="Annual staff",SUM('Assumptions'!AH117,'Assumptions'!AH119),0)+SUM('Assumptions'!AH118,'Assumptions'!AH120:AH121)))*(1-'Responsibilities'!$E$7)+('Production schedule'!E216*(IF('Sites'!D8="Annual staff",SUM('Assumptions'!AH122,'Assumptions'!AH124),0)+SUM('Assumptions'!AH123,'Assumptions'!AH125:AH126)))*(1-'Responsibilities'!$E$8)+(IF(AND('Production schedule'!E144=1,31=MAX(('Sites'!F6),25),ISNUMBER('Sites'!Q6)),'Sites'!Q6*'Assumptions'!$B$44,0))*'Responsibilities'!$F$6+(IF(AND('Production schedule'!E180=1,31=MAX(('Sites'!F7+'Cases'!G7),25),ISNUMBER('Sites'!Q7)),'Sites'!Q7*'Assumptions'!$B$44,0))*'Responsibilities'!$F$7+(IF(AND('Production schedule'!E216=1,31=MAX(('Sites'!F8+'Cases'!G7),25),ISNUMBER('Sites'!Q8)),'Sites'!Q8*'Assumptions'!$B$44,0))*'Responsibilities'!$F$8+(IF(AND('Production schedule'!E144=1,31=MAX(('Sites'!F6),25),ISNUMBER('Sites'!Q6)),'Sites'!Q6*'Assumptions'!$B$44,0))*(1-'Responsibilities'!$F$6)+(IF(AND('Production schedule'!E180=1,31=MAX(('Sites'!F7+'Cases'!G7),25),ISNUMBER('Sites'!Q7)),'Sites'!Q7*'Assumptions'!$B$44,0))*(1-'Responsibilities'!$F$7)+(IF(AND('Production schedule'!E216=1,31=MAX(('Sites'!F8+'Cases'!G7),25),ISNUMBER('Sites'!Q8)),'Sites'!Q8*'Assumptions'!$B$44,0))*(1-'Responsibilities'!$F$8)+('Sites'!E6*'Capital'!E6*(IF(31='Capital'!G6,'Capital'!F6,0)+IF(31='Capital'!H6,1-'Capital'!F6,0)))*'Responsibilities'!$G$6+('Sites'!E7*'Capital'!E7*(IF(31='Capital'!G7+'Cases'!G7,'Capital'!F7,0)+IF(31='Capital'!H7+'Cases'!G7,1-'Capital'!F7,0)))*'Responsibilities'!$G$7+('Sites'!E8*'Cases'!F7*'Capital'!E8*(IF(31='Capital'!G8+'Cases'!G7,'Capital'!F8,0)+IF(31='Capital'!H8+'Cases'!G7,1-'Capital'!F8,0)))*'Responsibilities'!$G$8+('Sites'!E6*'Capital'!E6*(IF(31='Capital'!G6,'Capital'!F6,0)+IF(31='Capital'!H6,1-'Capital'!F6,0)))*(1-'Responsibilities'!$G$6)+('Sites'!E7*'Capital'!E7*(IF(31='Capital'!G7+'Cases'!G7,'Capital'!F7,0)+IF(31='Capital'!H7+'Cases'!G7,1-'Capital'!F7,0)))*(1-'Responsibilities'!$G$7)+('Sites'!E8*'Cases'!F7*'Capital'!E8*(IF(31='Capital'!G8+'Cases'!G7,'Capital'!F8,0)+IF(31='Capital'!H8+'Cases'!G7,1-'Capital'!F8,0)))*(1-'Responsibilities'!$G$8)+I72+SUMPRODUCT('Costs'!$E$36:$E$40,'Costs'!$F$36:$F$40)/12+BZ72)</f>
        <v/>
      </c>
      <c r="BZ72">
        <f>SUMIFS('Responsibilities'!$B$31:$B$35,'Responsibilities'!$C$31:$C$35,31,'Responsibilities'!$D$31:$D$35,"Yes")</f>
        <v/>
      </c>
    </row>
    <row r="73" ht="28" customHeight="1">
      <c r="A73" s="4" t="inlineStr">
        <is>
          <t>Smaller</t>
        </is>
      </c>
      <c r="B73" s="4" t="n">
        <v>32</v>
      </c>
      <c r="C73" s="4">
        <f>ROUNDUP(B73/12,0)</f>
        <v/>
      </c>
      <c r="D73" s="137">
        <f>SUMIFS('Production schedule'!$N$114:$N$221,'Production schedule'!$C$114:$C$221,32)</f>
        <v/>
      </c>
      <c r="E73" s="137">
        <f>SUMIFS('Production schedule'!$Y$114:$Y$221,'Production schedule'!$C$114:$C$221,32)</f>
        <v/>
      </c>
      <c r="F73" s="137">
        <f>SUMIFS('Production schedule'!$Z$114:$Z$221,'Production schedule'!$C$114:$C$221,32)</f>
        <v/>
      </c>
      <c r="G73" s="137">
        <f>('Production schedule'!AJ145)*'Responsibilities'!$C$6+('Production schedule'!AJ181)*'Responsibilities'!$C$7+('Production schedule'!AJ217)*'Responsibilities'!$C$8</f>
        <v/>
      </c>
      <c r="H73" s="137">
        <f>('Production schedule'!AI145)*'Responsibilities'!$D$6+('Production schedule'!AI181)*'Responsibilities'!$D$7+('Production schedule'!AI217)*'Responsibilities'!$D$8</f>
        <v/>
      </c>
      <c r="I73" s="137">
        <f>SUM('Assumptions'!AI58:AI65)</f>
        <v/>
      </c>
      <c r="J73" s="137">
        <f>('Production schedule'!E145*(IF('Sites'!D6="Annual staff",SUM('Assumptions'!AI112,'Assumptions'!AI114),0)+SUM('Assumptions'!AI113,'Assumptions'!AI115:AI116)))*'Responsibilities'!$E$6+('Production schedule'!E181*(IF('Sites'!D7="Annual staff",SUM('Assumptions'!AI117,'Assumptions'!AI119),0)+SUM('Assumptions'!AI118,'Assumptions'!AI120:AI121)))*'Responsibilities'!$E$7+('Production schedule'!E217*(IF('Sites'!D8="Annual staff",SUM('Assumptions'!AI122,'Assumptions'!AI124),0)+SUM('Assumptions'!AI123,'Assumptions'!AI125:AI126)))*'Responsibilities'!$E$8</f>
        <v/>
      </c>
      <c r="K73" s="137">
        <f>(IF(AND('Production schedule'!E145=1,32=MAX(('Sites'!F6),25),ISNUMBER('Sites'!Q6)),'Sites'!Q6*'Assumptions'!$B$44,0))*'Responsibilities'!$F$6+(IF(AND('Production schedule'!E181=1,32=MAX(('Sites'!F7+'Cases'!G7),25),ISNUMBER('Sites'!Q7)),'Sites'!Q7*'Assumptions'!$B$44,0))*'Responsibilities'!$F$7+(IF(AND('Production schedule'!E217=1,32=MAX(('Sites'!F8+'Cases'!G7),25),ISNUMBER('Sites'!Q8)),'Sites'!Q8*'Assumptions'!$B$44,0))*'Responsibilities'!$F$8</f>
        <v/>
      </c>
      <c r="L73" s="137">
        <f>SUM('Costs'!E36)*'Costs'!F36/12*'Responsibilities'!$C$12+SUM('Costs'!E37)*'Costs'!F37/12*'Responsibilities'!$C$13+SUM('Costs'!E38)*'Costs'!F38/12*'Responsibilities'!$C$14+SUM('Costs'!E39)*'Costs'!F39/12*'Responsibilities'!$C$15+SUM('Costs'!E40)*'Costs'!F40/12*'Responsibilities'!$C$16+BZ73</f>
        <v/>
      </c>
      <c r="M73" s="137">
        <f>('Sites'!E6*'Capital'!E6*(IF(32='Capital'!G6,'Capital'!F6,0)+IF(32='Capital'!H6,1-'Capital'!F6,0)))*'Responsibilities'!$G$6+('Sites'!E7*'Capital'!E7*(IF(32='Capital'!G7+'Cases'!G7,'Capital'!F7,0)+IF(32='Capital'!H7+'Cases'!G7,1-'Capital'!F7,0)))*'Responsibilities'!$G$7+('Sites'!E8*'Cases'!F7*'Capital'!E8*(IF(32='Capital'!G8+'Cases'!G7,'Capital'!F8,0)+IF(32='Capital'!H8+'Cases'!G7,1-'Capital'!F8,0)))*'Responsibilities'!$G$8</f>
        <v/>
      </c>
      <c r="N73" s="137">
        <f>SUM(G73:M73)</f>
        <v/>
      </c>
      <c r="O73" s="137">
        <f>SUMIFS(FundingTranches[Secured amount],FundingTranches[Instrument],"Grant",FundingTranches[Secured month],32)</f>
        <v/>
      </c>
      <c r="P73" s="137">
        <f>SUMIFS(FundingTranches[Smaller possible],FundingTranches[Instrument],"Grant",FundingTranches[Scenario month],32-'Cases'!$D$7)</f>
        <v/>
      </c>
      <c r="Q73" s="137">
        <f>SUMIFS(FundingTranches[Secured amount],FundingTranches[Instrument],"Loan",FundingTranches[Secured month],32)</f>
        <v/>
      </c>
      <c r="R73" s="137">
        <f>SUMIFS(FundingTranches[Smaller possible],FundingTranches[Instrument],"Loan",FundingTranches[Scenario month],32-'Cases'!$D$7)</f>
        <v/>
      </c>
      <c r="S73" s="137">
        <f>IF(32&lt;='Assumptions'!$B$34,0,SUMIFS('Production schedule'!$AL$114:$AL$221,'Production schedule'!$C$114:$C$221,32-'Assumptions'!$B$34))</f>
        <v/>
      </c>
      <c r="T73" s="137">
        <f>'Assumptions'!AI70</f>
        <v/>
      </c>
      <c r="U73" s="137">
        <f>'Assumptions'!AI78</f>
        <v/>
      </c>
      <c r="V73" s="137">
        <f>SUM(O73:U73)</f>
        <v/>
      </c>
      <c r="W73" s="137">
        <f>AA72</f>
        <v/>
      </c>
      <c r="X73" s="137">
        <f>SUM(Q73:R73)</f>
        <v/>
      </c>
      <c r="Y73" s="137">
        <f>SUM(W73,X73)*'Assumptions'!$B$39/12</f>
        <v/>
      </c>
      <c r="Z73" s="137">
        <f>IF(SUM(W73,X73)&gt;0,MIN(SUM(W73,X73),MAX(0,BP73-Y73)),0)</f>
        <v/>
      </c>
      <c r="AA73" s="137">
        <f>SUM(W73,X73)-Z73</f>
        <v/>
      </c>
      <c r="AB73" s="137">
        <f>SUM(Y73:Z73)</f>
        <v/>
      </c>
      <c r="AC73" s="137">
        <f>'Assumptions'!AI72</f>
        <v/>
      </c>
      <c r="AD73" s="137">
        <f>'Assumptions'!AI73</f>
        <v/>
      </c>
      <c r="AE73" s="137">
        <f>IF(X73&gt;0,SUM('Assumptions'!$B$42),0)</f>
        <v/>
      </c>
      <c r="AF73" s="137">
        <f>'Assumptions'!AI71</f>
        <v/>
      </c>
      <c r="AG73" s="137">
        <f>'Assumptions'!AI74</f>
        <v/>
      </c>
      <c r="AH73" s="137">
        <f>'Assumptions'!AI75</f>
        <v/>
      </c>
      <c r="AI73" s="137">
        <f>'Assumptions'!AI77</f>
        <v/>
      </c>
      <c r="AJ73" s="137">
        <f>V73-N73-SUM(AB73:AI73)</f>
        <v/>
      </c>
      <c r="AK73" s="137">
        <f>SUM(AJ42:AJ73)</f>
        <v/>
      </c>
      <c r="AL73" s="137">
        <f>IF(ISNUMBER('Assumptions'!$B$10),'Assumptions'!$B$10+AK73,"")</f>
        <v/>
      </c>
      <c r="AM73" s="137">
        <f>SUM(O73,Q73,T73)-N73-SUM(AC73:AI73)+IF('Funding'!$N$11=0,AE73,0)-IF('Funding'!$N$11&gt;0,AB73,0)</f>
        <v/>
      </c>
      <c r="AN73" s="137">
        <f>SUM(AM42:AM73)</f>
        <v/>
      </c>
      <c r="AO73" s="137">
        <f>IF(ISNUMBER('Assumptions'!$B$10),'Assumptions'!$B$10+AN73,"")</f>
        <v/>
      </c>
      <c r="AP73" s="137">
        <f>('Production schedule'!AK145)*'Responsibilities'!$C$6+('Production schedule'!AK181)*'Responsibilities'!$C$7+('Production schedule'!AK217)*'Responsibilities'!$C$8</f>
        <v/>
      </c>
      <c r="AQ73" s="137">
        <f>SUMIFS('Production schedule'!$AL$114:$AL$221,'Production schedule'!$C$114:$C$221,32)</f>
        <v/>
      </c>
      <c r="AR73" s="137">
        <f>IF(ISNUMBER('Assumptions'!AI76),'Assumptions'!AI76,SUM(O73:P73))</f>
        <v/>
      </c>
      <c r="AS73" s="137">
        <f>IF(ISNUMBER('Assumptions'!$B$13),MIN('Assumptions'!$B$13/'Assumptions'!$B$18/12,MAX(0,'Assumptions'!$B$13-(32-1)*'Assumptions'!$B$13/'Assumptions'!$B$18/12)),0)+IF(AND('Sites'!E6=1,32&gt;=('Sites'!F6),32&lt;('Sites'!F6)+'Assumptions'!$B$18*12),'Capital'!E6/'Assumptions'!$B$18/12,0)+IF(AND('Sites'!E7=1,32&gt;=('Sites'!F7+'Cases'!G7),32&lt;('Sites'!F7+'Cases'!G7)+'Assumptions'!$B$18*12),'Capital'!E7/'Assumptions'!$B$18/12,0)+IF(AND('Sites'!E8*'Cases'!F7=1,32&gt;=('Sites'!F8+'Cases'!G7),32&lt;('Sites'!F8+'Cases'!G7)+'Assumptions'!$B$18*12),'Capital'!E8/'Assumptions'!$B$18/12,0)</f>
        <v/>
      </c>
      <c r="AT73" s="137">
        <f>SUM(AQ73,AR73,U73)-AP73-SUM(H73:L73)-AS73-SUM(Y73,AD73,AE73,AH73)</f>
        <v/>
      </c>
      <c r="AU73" s="137">
        <f>IF(ISNUMBER('Assumptions'!$B$19),MAX(0,SUM(AT66:AT73))*'Assumptions'!$B$19-SUM(AU66:AU72),"")</f>
        <v/>
      </c>
      <c r="AV73" s="137">
        <f>IF(ISNUMBER(AU73),AT73-AU73,"")</f>
        <v/>
      </c>
      <c r="AW73" s="137">
        <f>IF(ISNUMBER('Assumptions'!$B$11),'Assumptions'!$B$11+SUM(AQ42:AQ73)-SUM(S42:S73)-SUM(T42:T73),"")</f>
        <v/>
      </c>
      <c r="AX73" s="137">
        <f>IF(ISNUMBER('Assumptions'!$B$12),'Assumptions'!$B$12+SUM(G42:G73)-SUM(AP42:AP73),"")</f>
        <v/>
      </c>
      <c r="AY73" s="137">
        <f>IF(ISNUMBER('Assumptions'!$B$13),'Assumptions'!$B$13+SUM(M42:M73)-SUM(AS42:AS73),"")</f>
        <v/>
      </c>
      <c r="AZ73" s="137">
        <f>IF(ISNUMBER('Assumptions'!$B$14),'Assumptions'!$B$14+-SUM(AF42:AF73),"")</f>
        <v/>
      </c>
      <c r="BA73" s="137">
        <f>IF(ISNUMBER('Assumptions'!$B$15),'Assumptions'!$B$15+SUM(O42:O73)+SUM(P42:P73)-SUM(AR42:AR73),"")</f>
        <v/>
      </c>
      <c r="BB73" s="137">
        <f>IF(ISNUMBER('Assumptions'!$B$16),'Assumptions'!$B$16+-SUM(AC42:AC73),"")</f>
        <v/>
      </c>
      <c r="BC73" s="137">
        <f>IF(AND(ISNUMBER('Assumptions'!$B$21),ISNUMBER('Assumptions'!$B$19)),'Assumptions'!$B$21+SUM(AU42:AU73)-SUM(AG42:AG73),"")</f>
        <v/>
      </c>
      <c r="BD73" s="137">
        <f>IF(ISNUMBER('Assumptions'!$B$20),'Assumptions'!$B$20+-SUM(AI42:AI73),"")</f>
        <v/>
      </c>
      <c r="BE73" s="137">
        <f>IF(AND(ISNUMBER('Assumptions'!$B$17),COUNT(AV42:AV73)=32),'Assumptions'!$B$17+SUM(AV42:AV73),"")</f>
        <v/>
      </c>
      <c r="BF73" s="137">
        <f>IF(COUNT(AL73,AW73:AY73)=4,SUM(AL73,AW73:AY73),"")</f>
        <v/>
      </c>
      <c r="BG73" s="137">
        <f>IF(COUNT(AZ73:BD73)=5,SUM(AZ73:BD73,AA73),"")</f>
        <v/>
      </c>
      <c r="BH73" s="137">
        <f>IF(COUNT(BF73,BG73,BE73)=3,BF73-BG73-BE73,"")</f>
        <v/>
      </c>
      <c r="BI73" s="137">
        <f>SUM(W73,X73)-Z73-AA73</f>
        <v/>
      </c>
      <c r="BJ73" s="137">
        <f>8-COUNT('Assumptions'!AI58:AI65)+COUNTBLANK('NM Play'!B33:B34)+'Costs'!E44+IF(AND('Sites'!E6=1,('Sites'!F6)&lt;=36,'Sites'!G6&gt;=25),IF(ISNUMBER('Sites'!Q6),0,1)+'Capital'!I6+COUNTBLANK('Sites'!R6)+IF('Sites'!D6="NM crew",COUNTBLANK('NM Play'!B25)+1,5-COUNT('Assumptions'!AI112:AI116)),0)+IF(AND('Sites'!E7=1,('Sites'!F7+'Cases'!G7)&lt;=36,'Sites'!G7&gt;=25),IF(ISNUMBER('Sites'!Q7),0,1)+'Capital'!I7+COUNTBLANK('Sites'!R7)+IF('Sites'!D7="NM crew",COUNTBLANK('NM Play'!B25)+1,5-COUNT('Assumptions'!AI117:AI121)),0)+IF(AND('Sites'!E8*'Cases'!F7=1,('Sites'!F8+'Cases'!G7)&lt;=36,'Sites'!G8&gt;=25),IF(ISNUMBER('Sites'!Q8),0,1)+'Capital'!I8+COUNTBLANK('Sites'!R8)+IF('Sites'!D8="NM crew",COUNTBLANK('NM Play'!B25)+1,5-COUNT('Assumptions'!AI122:AI126)),0)+IF(AND('Cases'!C7&gt;0,NOT(ISNUMBER('Assumptions'!B42))),1,0)+'Responsibilities'!$B$39</f>
        <v/>
      </c>
      <c r="BK73" s="137">
        <f>'Assumptions'!$B$50+'NM Play'!$B$83+'Funding'!$F$20+SUMIFS('Production schedule'!$AN$114:$AN$221,'Production schedule'!$C$114:$C$221,32)+IF(OR('Cases'!E7&lt;0,'Cases'!E7&gt;1,'Cases'!C7&lt;0,'Cases'!D7&lt;0,ABS(SUM('Sites'!S6:S8)-1)&gt;0.0001,MIN('Capital'!F6:F8)&lt;0,MAX('Capital'!F6:F8)&gt;1,MIN(AX73,AZ73,BB73,BA73)&lt;-0.01),1,0)+'Responsibilities'!$B$40</f>
        <v/>
      </c>
      <c r="BL73" s="137">
        <f>SUMIFS('Production schedule'!$T$114:$T$221,'Production schedule'!$C$114:$C$221,32)</f>
        <v/>
      </c>
      <c r="BM73" s="137">
        <f>D73*'NM Play'!$B$38</f>
        <v/>
      </c>
      <c r="BN73" s="137">
        <f>SUMIFS('Production schedule'!$AM$114:$AM$221,'Production schedule'!$C$114:$C$221,32)</f>
        <v/>
      </c>
      <c r="BO73" s="137">
        <f>AK73-AK72-AJ73</f>
        <v/>
      </c>
      <c r="BP73" s="137">
        <f>IF(AND('Assumptions'!$B$39&gt;=0,'Assumptions'!$B$40&gt;0),-PMT('Assumptions'!$B$39/12,'Assumptions'!$B$40*12,IF('Funding'!$N$11&gt;0,'Funding'!$N$11,'Funding'!$S$11)),"")</f>
        <v/>
      </c>
      <c r="BQ73">
        <f>('Production schedule'!AJ145)*(1-'Responsibilities'!$C$6)+('Production schedule'!AJ181)*(1-'Responsibilities'!$C$7)+('Production schedule'!AJ217)*(1-'Responsibilities'!$C$8)</f>
        <v/>
      </c>
      <c r="BR73">
        <f>('Production schedule'!AI145)*(1-'Responsibilities'!$D$6)+('Production schedule'!AI181)*(1-'Responsibilities'!$D$7)+('Production schedule'!AI217)*(1-'Responsibilities'!$D$8)</f>
        <v/>
      </c>
      <c r="BS73">
        <f>('Production schedule'!E145*(IF('Sites'!D6="Annual staff",SUM('Assumptions'!AI112,'Assumptions'!AI114),0)+SUM('Assumptions'!AI113,'Assumptions'!AI115:AI116)))*(1-'Responsibilities'!$E$6)+('Production schedule'!E181*(IF('Sites'!D7="Annual staff",SUM('Assumptions'!AI117,'Assumptions'!AI119),0)+SUM('Assumptions'!AI118,'Assumptions'!AI120:AI121)))*(1-'Responsibilities'!$E$7)+('Production schedule'!E217*(IF('Sites'!D8="Annual staff",SUM('Assumptions'!AI122,'Assumptions'!AI124),0)+SUM('Assumptions'!AI123,'Assumptions'!AI125:AI126)))*(1-'Responsibilities'!$E$8)</f>
        <v/>
      </c>
      <c r="BT73">
        <f>(IF(AND('Production schedule'!E145=1,32=MAX(('Sites'!F6),25),ISNUMBER('Sites'!Q6)),'Sites'!Q6*'Assumptions'!$B$44,0))*(1-'Responsibilities'!$F$6)+(IF(AND('Production schedule'!E181=1,32=MAX(('Sites'!F7+'Cases'!G7),25),ISNUMBER('Sites'!Q7)),'Sites'!Q7*'Assumptions'!$B$44,0))*(1-'Responsibilities'!$F$7)+(IF(AND('Production schedule'!E217=1,32=MAX(('Sites'!F8+'Cases'!G7),25),ISNUMBER('Sites'!Q8)),'Sites'!Q8*'Assumptions'!$B$44,0))*(1-'Responsibilities'!$F$8)</f>
        <v/>
      </c>
      <c r="BU73">
        <f>SUM('Costs'!E36)*'Costs'!F36/12*(1-'Responsibilities'!$C$12)+SUM('Costs'!E37)*'Costs'!F37/12*(1-'Responsibilities'!$C$13)+SUM('Costs'!E38)*'Costs'!F38/12*(1-'Responsibilities'!$C$14)+SUM('Costs'!E39)*'Costs'!F39/12*(1-'Responsibilities'!$C$15)+SUM('Costs'!E40)*'Costs'!F40/12*(1-'Responsibilities'!$C$16)</f>
        <v/>
      </c>
      <c r="BV73">
        <f>('Sites'!E6*'Capital'!E6*(IF(32='Capital'!G6,'Capital'!F6,0)+IF(32='Capital'!H6,1-'Capital'!F6,0)))*(1-'Responsibilities'!$G$6)+('Sites'!E7*'Capital'!E7*(IF(32='Capital'!G7+'Cases'!G7,'Capital'!F7,0)+IF(32='Capital'!H7+'Cases'!G7,1-'Capital'!F7,0)))*(1-'Responsibilities'!$G$7)+('Sites'!E8*'Cases'!F7*'Capital'!E8*(IF(32='Capital'!G8+'Cases'!G7,'Capital'!F8,0)+IF(32='Capital'!H8+'Cases'!G7,1-'Capital'!F8,0)))*(1-'Responsibilities'!$G$8)</f>
        <v/>
      </c>
      <c r="BW73">
        <f>SUM(BQ73:BV73)</f>
        <v/>
      </c>
      <c r="BX73">
        <f>N73+BW73</f>
        <v/>
      </c>
      <c r="BY73">
        <f>BX73-(('Production schedule'!AJ145)*'Responsibilities'!$C$6+('Production schedule'!AJ181)*'Responsibilities'!$C$7+('Production schedule'!AJ217)*'Responsibilities'!$C$8+('Production schedule'!AJ145)*(1-'Responsibilities'!$C$6)+('Production schedule'!AJ181)*(1-'Responsibilities'!$C$7)+('Production schedule'!AJ217)*(1-'Responsibilities'!$C$8)+('Production schedule'!AI145)*'Responsibilities'!$D$6+('Production schedule'!AI181)*'Responsibilities'!$D$7+('Production schedule'!AI217)*'Responsibilities'!$D$8+('Production schedule'!AI145)*(1-'Responsibilities'!$D$6)+('Production schedule'!AI181)*(1-'Responsibilities'!$D$7)+('Production schedule'!AI217)*(1-'Responsibilities'!$D$8)+('Production schedule'!E145*(IF('Sites'!D6="Annual staff",SUM('Assumptions'!AI112,'Assumptions'!AI114),0)+SUM('Assumptions'!AI113,'Assumptions'!AI115:AI116)))*'Responsibilities'!$E$6+('Production schedule'!E181*(IF('Sites'!D7="Annual staff",SUM('Assumptions'!AI117,'Assumptions'!AI119),0)+SUM('Assumptions'!AI118,'Assumptions'!AI120:AI121)))*'Responsibilities'!$E$7+('Production schedule'!E217*(IF('Sites'!D8="Annual staff",SUM('Assumptions'!AI122,'Assumptions'!AI124),0)+SUM('Assumptions'!AI123,'Assumptions'!AI125:AI126)))*'Responsibilities'!$E$8+('Production schedule'!E145*(IF('Sites'!D6="Annual staff",SUM('Assumptions'!AI112,'Assumptions'!AI114),0)+SUM('Assumptions'!AI113,'Assumptions'!AI115:AI116)))*(1-'Responsibilities'!$E$6)+('Production schedule'!E181*(IF('Sites'!D7="Annual staff",SUM('Assumptions'!AI117,'Assumptions'!AI119),0)+SUM('Assumptions'!AI118,'Assumptions'!AI120:AI121)))*(1-'Responsibilities'!$E$7)+('Production schedule'!E217*(IF('Sites'!D8="Annual staff",SUM('Assumptions'!AI122,'Assumptions'!AI124),0)+SUM('Assumptions'!AI123,'Assumptions'!AI125:AI126)))*(1-'Responsibilities'!$E$8)+(IF(AND('Production schedule'!E145=1,32=MAX(('Sites'!F6),25),ISNUMBER('Sites'!Q6)),'Sites'!Q6*'Assumptions'!$B$44,0))*'Responsibilities'!$F$6+(IF(AND('Production schedule'!E181=1,32=MAX(('Sites'!F7+'Cases'!G7),25),ISNUMBER('Sites'!Q7)),'Sites'!Q7*'Assumptions'!$B$44,0))*'Responsibilities'!$F$7+(IF(AND('Production schedule'!E217=1,32=MAX(('Sites'!F8+'Cases'!G7),25),ISNUMBER('Sites'!Q8)),'Sites'!Q8*'Assumptions'!$B$44,0))*'Responsibilities'!$F$8+(IF(AND('Production schedule'!E145=1,32=MAX(('Sites'!F6),25),ISNUMBER('Sites'!Q6)),'Sites'!Q6*'Assumptions'!$B$44,0))*(1-'Responsibilities'!$F$6)+(IF(AND('Production schedule'!E181=1,32=MAX(('Sites'!F7+'Cases'!G7),25),ISNUMBER('Sites'!Q7)),'Sites'!Q7*'Assumptions'!$B$44,0))*(1-'Responsibilities'!$F$7)+(IF(AND('Production schedule'!E217=1,32=MAX(('Sites'!F8+'Cases'!G7),25),ISNUMBER('Sites'!Q8)),'Sites'!Q8*'Assumptions'!$B$44,0))*(1-'Responsibilities'!$F$8)+('Sites'!E6*'Capital'!E6*(IF(32='Capital'!G6,'Capital'!F6,0)+IF(32='Capital'!H6,1-'Capital'!F6,0)))*'Responsibilities'!$G$6+('Sites'!E7*'Capital'!E7*(IF(32='Capital'!G7+'Cases'!G7,'Capital'!F7,0)+IF(32='Capital'!H7+'Cases'!G7,1-'Capital'!F7,0)))*'Responsibilities'!$G$7+('Sites'!E8*'Cases'!F7*'Capital'!E8*(IF(32='Capital'!G8+'Cases'!G7,'Capital'!F8,0)+IF(32='Capital'!H8+'Cases'!G7,1-'Capital'!F8,0)))*'Responsibilities'!$G$8+('Sites'!E6*'Capital'!E6*(IF(32='Capital'!G6,'Capital'!F6,0)+IF(32='Capital'!H6,1-'Capital'!F6,0)))*(1-'Responsibilities'!$G$6)+('Sites'!E7*'Capital'!E7*(IF(32='Capital'!G7+'Cases'!G7,'Capital'!F7,0)+IF(32='Capital'!H7+'Cases'!G7,1-'Capital'!F7,0)))*(1-'Responsibilities'!$G$7)+('Sites'!E8*'Cases'!F7*'Capital'!E8*(IF(32='Capital'!G8+'Cases'!G7,'Capital'!F8,0)+IF(32='Capital'!H8+'Cases'!G7,1-'Capital'!F8,0)))*(1-'Responsibilities'!$G$8)+I73+SUMPRODUCT('Costs'!$E$36:$E$40,'Costs'!$F$36:$F$40)/12+BZ73)</f>
        <v/>
      </c>
      <c r="BZ73">
        <f>SUMIFS('Responsibilities'!$B$31:$B$35,'Responsibilities'!$C$31:$C$35,32,'Responsibilities'!$D$31:$D$35,"Yes")</f>
        <v/>
      </c>
    </row>
    <row r="74" ht="28" customHeight="1">
      <c r="A74" s="4" t="inlineStr">
        <is>
          <t>Smaller</t>
        </is>
      </c>
      <c r="B74" s="4" t="n">
        <v>33</v>
      </c>
      <c r="C74" s="4">
        <f>ROUNDUP(B74/12,0)</f>
        <v/>
      </c>
      <c r="D74" s="137">
        <f>SUMIFS('Production schedule'!$N$114:$N$221,'Production schedule'!$C$114:$C$221,33)</f>
        <v/>
      </c>
      <c r="E74" s="137">
        <f>SUMIFS('Production schedule'!$Y$114:$Y$221,'Production schedule'!$C$114:$C$221,33)</f>
        <v/>
      </c>
      <c r="F74" s="137">
        <f>SUMIFS('Production schedule'!$Z$114:$Z$221,'Production schedule'!$C$114:$C$221,33)</f>
        <v/>
      </c>
      <c r="G74" s="137">
        <f>('Production schedule'!AJ146)*'Responsibilities'!$C$6+('Production schedule'!AJ182)*'Responsibilities'!$C$7+('Production schedule'!AJ218)*'Responsibilities'!$C$8</f>
        <v/>
      </c>
      <c r="H74" s="137">
        <f>('Production schedule'!AI146)*'Responsibilities'!$D$6+('Production schedule'!AI182)*'Responsibilities'!$D$7+('Production schedule'!AI218)*'Responsibilities'!$D$8</f>
        <v/>
      </c>
      <c r="I74" s="137">
        <f>SUM('Assumptions'!AJ58:AJ65)</f>
        <v/>
      </c>
      <c r="J74" s="137">
        <f>('Production schedule'!E146*(IF('Sites'!D6="Annual staff",SUM('Assumptions'!AJ112,'Assumptions'!AJ114),0)+SUM('Assumptions'!AJ113,'Assumptions'!AJ115:AJ116)))*'Responsibilities'!$E$6+('Production schedule'!E182*(IF('Sites'!D7="Annual staff",SUM('Assumptions'!AJ117,'Assumptions'!AJ119),0)+SUM('Assumptions'!AJ118,'Assumptions'!AJ120:AJ121)))*'Responsibilities'!$E$7+('Production schedule'!E218*(IF('Sites'!D8="Annual staff",SUM('Assumptions'!AJ122,'Assumptions'!AJ124),0)+SUM('Assumptions'!AJ123,'Assumptions'!AJ125:AJ126)))*'Responsibilities'!$E$8</f>
        <v/>
      </c>
      <c r="K74" s="137">
        <f>(IF(AND('Production schedule'!E146=1,33=MAX(('Sites'!F6),25),ISNUMBER('Sites'!Q6)),'Sites'!Q6*'Assumptions'!$B$44,0))*'Responsibilities'!$F$6+(IF(AND('Production schedule'!E182=1,33=MAX(('Sites'!F7+'Cases'!G7),25),ISNUMBER('Sites'!Q7)),'Sites'!Q7*'Assumptions'!$B$44,0))*'Responsibilities'!$F$7+(IF(AND('Production schedule'!E218=1,33=MAX(('Sites'!F8+'Cases'!G7),25),ISNUMBER('Sites'!Q8)),'Sites'!Q8*'Assumptions'!$B$44,0))*'Responsibilities'!$F$8</f>
        <v/>
      </c>
      <c r="L74" s="137">
        <f>SUM('Costs'!E36)*'Costs'!F36/12*'Responsibilities'!$C$12+SUM('Costs'!E37)*'Costs'!F37/12*'Responsibilities'!$C$13+SUM('Costs'!E38)*'Costs'!F38/12*'Responsibilities'!$C$14+SUM('Costs'!E39)*'Costs'!F39/12*'Responsibilities'!$C$15+SUM('Costs'!E40)*'Costs'!F40/12*'Responsibilities'!$C$16+BZ74</f>
        <v/>
      </c>
      <c r="M74" s="137">
        <f>('Sites'!E6*'Capital'!E6*(IF(33='Capital'!G6,'Capital'!F6,0)+IF(33='Capital'!H6,1-'Capital'!F6,0)))*'Responsibilities'!$G$6+('Sites'!E7*'Capital'!E7*(IF(33='Capital'!G7+'Cases'!G7,'Capital'!F7,0)+IF(33='Capital'!H7+'Cases'!G7,1-'Capital'!F7,0)))*'Responsibilities'!$G$7+('Sites'!E8*'Cases'!F7*'Capital'!E8*(IF(33='Capital'!G8+'Cases'!G7,'Capital'!F8,0)+IF(33='Capital'!H8+'Cases'!G7,1-'Capital'!F8,0)))*'Responsibilities'!$G$8</f>
        <v/>
      </c>
      <c r="N74" s="137">
        <f>SUM(G74:M74)</f>
        <v/>
      </c>
      <c r="O74" s="137">
        <f>SUMIFS(FundingTranches[Secured amount],FundingTranches[Instrument],"Grant",FundingTranches[Secured month],33)</f>
        <v/>
      </c>
      <c r="P74" s="137">
        <f>SUMIFS(FundingTranches[Smaller possible],FundingTranches[Instrument],"Grant",FundingTranches[Scenario month],33-'Cases'!$D$7)</f>
        <v/>
      </c>
      <c r="Q74" s="137">
        <f>SUMIFS(FundingTranches[Secured amount],FundingTranches[Instrument],"Loan",FundingTranches[Secured month],33)</f>
        <v/>
      </c>
      <c r="R74" s="137">
        <f>SUMIFS(FundingTranches[Smaller possible],FundingTranches[Instrument],"Loan",FundingTranches[Scenario month],33-'Cases'!$D$7)</f>
        <v/>
      </c>
      <c r="S74" s="137">
        <f>IF(33&lt;='Assumptions'!$B$34,0,SUMIFS('Production schedule'!$AL$114:$AL$221,'Production schedule'!$C$114:$C$221,33-'Assumptions'!$B$34))</f>
        <v/>
      </c>
      <c r="T74" s="137">
        <f>'Assumptions'!AJ70</f>
        <v/>
      </c>
      <c r="U74" s="137">
        <f>'Assumptions'!AJ78</f>
        <v/>
      </c>
      <c r="V74" s="137">
        <f>SUM(O74:U74)</f>
        <v/>
      </c>
      <c r="W74" s="137">
        <f>AA73</f>
        <v/>
      </c>
      <c r="X74" s="137">
        <f>SUM(Q74:R74)</f>
        <v/>
      </c>
      <c r="Y74" s="137">
        <f>SUM(W74,X74)*'Assumptions'!$B$39/12</f>
        <v/>
      </c>
      <c r="Z74" s="137">
        <f>IF(SUM(W74,X74)&gt;0,MIN(SUM(W74,X74),MAX(0,BP74-Y74)),0)</f>
        <v/>
      </c>
      <c r="AA74" s="137">
        <f>SUM(W74,X74)-Z74</f>
        <v/>
      </c>
      <c r="AB74" s="137">
        <f>SUM(Y74:Z74)</f>
        <v/>
      </c>
      <c r="AC74" s="137">
        <f>'Assumptions'!AJ72</f>
        <v/>
      </c>
      <c r="AD74" s="137">
        <f>'Assumptions'!AJ73</f>
        <v/>
      </c>
      <c r="AE74" s="137">
        <f>IF(X74&gt;0,SUM('Assumptions'!$B$42),0)</f>
        <v/>
      </c>
      <c r="AF74" s="137">
        <f>'Assumptions'!AJ71</f>
        <v/>
      </c>
      <c r="AG74" s="137">
        <f>'Assumptions'!AJ74</f>
        <v/>
      </c>
      <c r="AH74" s="137">
        <f>'Assumptions'!AJ75</f>
        <v/>
      </c>
      <c r="AI74" s="137">
        <f>'Assumptions'!AJ77</f>
        <v/>
      </c>
      <c r="AJ74" s="137">
        <f>V74-N74-SUM(AB74:AI74)</f>
        <v/>
      </c>
      <c r="AK74" s="137">
        <f>SUM(AJ42:AJ74)</f>
        <v/>
      </c>
      <c r="AL74" s="137">
        <f>IF(ISNUMBER('Assumptions'!$B$10),'Assumptions'!$B$10+AK74,"")</f>
        <v/>
      </c>
      <c r="AM74" s="137">
        <f>SUM(O74,Q74,T74)-N74-SUM(AC74:AI74)+IF('Funding'!$N$11=0,AE74,0)-IF('Funding'!$N$11&gt;0,AB74,0)</f>
        <v/>
      </c>
      <c r="AN74" s="137">
        <f>SUM(AM42:AM74)</f>
        <v/>
      </c>
      <c r="AO74" s="137">
        <f>IF(ISNUMBER('Assumptions'!$B$10),'Assumptions'!$B$10+AN74,"")</f>
        <v/>
      </c>
      <c r="AP74" s="137">
        <f>('Production schedule'!AK146)*'Responsibilities'!$C$6+('Production schedule'!AK182)*'Responsibilities'!$C$7+('Production schedule'!AK218)*'Responsibilities'!$C$8</f>
        <v/>
      </c>
      <c r="AQ74" s="137">
        <f>SUMIFS('Production schedule'!$AL$114:$AL$221,'Production schedule'!$C$114:$C$221,33)</f>
        <v/>
      </c>
      <c r="AR74" s="137">
        <f>IF(ISNUMBER('Assumptions'!AJ76),'Assumptions'!AJ76,SUM(O74:P74))</f>
        <v/>
      </c>
      <c r="AS74" s="137">
        <f>IF(ISNUMBER('Assumptions'!$B$13),MIN('Assumptions'!$B$13/'Assumptions'!$B$18/12,MAX(0,'Assumptions'!$B$13-(33-1)*'Assumptions'!$B$13/'Assumptions'!$B$18/12)),0)+IF(AND('Sites'!E6=1,33&gt;=('Sites'!F6),33&lt;('Sites'!F6)+'Assumptions'!$B$18*12),'Capital'!E6/'Assumptions'!$B$18/12,0)+IF(AND('Sites'!E7=1,33&gt;=('Sites'!F7+'Cases'!G7),33&lt;('Sites'!F7+'Cases'!G7)+'Assumptions'!$B$18*12),'Capital'!E7/'Assumptions'!$B$18/12,0)+IF(AND('Sites'!E8*'Cases'!F7=1,33&gt;=('Sites'!F8+'Cases'!G7),33&lt;('Sites'!F8+'Cases'!G7)+'Assumptions'!$B$18*12),'Capital'!E8/'Assumptions'!$B$18/12,0)</f>
        <v/>
      </c>
      <c r="AT74" s="137">
        <f>SUM(AQ74,AR74,U74)-AP74-SUM(H74:L74)-AS74-SUM(Y74,AD74,AE74,AH74)</f>
        <v/>
      </c>
      <c r="AU74" s="137">
        <f>IF(ISNUMBER('Assumptions'!$B$19),MAX(0,SUM(AT66:AT74))*'Assumptions'!$B$19-SUM(AU66:AU73),"")</f>
        <v/>
      </c>
      <c r="AV74" s="137">
        <f>IF(ISNUMBER(AU74),AT74-AU74,"")</f>
        <v/>
      </c>
      <c r="AW74" s="137">
        <f>IF(ISNUMBER('Assumptions'!$B$11),'Assumptions'!$B$11+SUM(AQ42:AQ74)-SUM(S42:S74)-SUM(T42:T74),"")</f>
        <v/>
      </c>
      <c r="AX74" s="137">
        <f>IF(ISNUMBER('Assumptions'!$B$12),'Assumptions'!$B$12+SUM(G42:G74)-SUM(AP42:AP74),"")</f>
        <v/>
      </c>
      <c r="AY74" s="137">
        <f>IF(ISNUMBER('Assumptions'!$B$13),'Assumptions'!$B$13+SUM(M42:M74)-SUM(AS42:AS74),"")</f>
        <v/>
      </c>
      <c r="AZ74" s="137">
        <f>IF(ISNUMBER('Assumptions'!$B$14),'Assumptions'!$B$14+-SUM(AF42:AF74),"")</f>
        <v/>
      </c>
      <c r="BA74" s="137">
        <f>IF(ISNUMBER('Assumptions'!$B$15),'Assumptions'!$B$15+SUM(O42:O74)+SUM(P42:P74)-SUM(AR42:AR74),"")</f>
        <v/>
      </c>
      <c r="BB74" s="137">
        <f>IF(ISNUMBER('Assumptions'!$B$16),'Assumptions'!$B$16+-SUM(AC42:AC74),"")</f>
        <v/>
      </c>
      <c r="BC74" s="137">
        <f>IF(AND(ISNUMBER('Assumptions'!$B$21),ISNUMBER('Assumptions'!$B$19)),'Assumptions'!$B$21+SUM(AU42:AU74)-SUM(AG42:AG74),"")</f>
        <v/>
      </c>
      <c r="BD74" s="137">
        <f>IF(ISNUMBER('Assumptions'!$B$20),'Assumptions'!$B$20+-SUM(AI42:AI74),"")</f>
        <v/>
      </c>
      <c r="BE74" s="137">
        <f>IF(AND(ISNUMBER('Assumptions'!$B$17),COUNT(AV42:AV74)=33),'Assumptions'!$B$17+SUM(AV42:AV74),"")</f>
        <v/>
      </c>
      <c r="BF74" s="137">
        <f>IF(COUNT(AL74,AW74:AY74)=4,SUM(AL74,AW74:AY74),"")</f>
        <v/>
      </c>
      <c r="BG74" s="137">
        <f>IF(COUNT(AZ74:BD74)=5,SUM(AZ74:BD74,AA74),"")</f>
        <v/>
      </c>
      <c r="BH74" s="137">
        <f>IF(COUNT(BF74,BG74,BE74)=3,BF74-BG74-BE74,"")</f>
        <v/>
      </c>
      <c r="BI74" s="137">
        <f>SUM(W74,X74)-Z74-AA74</f>
        <v/>
      </c>
      <c r="BJ74" s="137">
        <f>8-COUNT('Assumptions'!AJ58:AJ65)+COUNTBLANK('NM Play'!B33:B34)+'Costs'!E44+IF(AND('Sites'!E6=1,('Sites'!F6)&lt;=36,'Sites'!G6&gt;=25),IF(ISNUMBER('Sites'!Q6),0,1)+'Capital'!I6+COUNTBLANK('Sites'!R6)+IF('Sites'!D6="NM crew",COUNTBLANK('NM Play'!B25)+1,5-COUNT('Assumptions'!AJ112:AJ116)),0)+IF(AND('Sites'!E7=1,('Sites'!F7+'Cases'!G7)&lt;=36,'Sites'!G7&gt;=25),IF(ISNUMBER('Sites'!Q7),0,1)+'Capital'!I7+COUNTBLANK('Sites'!R7)+IF('Sites'!D7="NM crew",COUNTBLANK('NM Play'!B25)+1,5-COUNT('Assumptions'!AJ117:AJ121)),0)+IF(AND('Sites'!E8*'Cases'!F7=1,('Sites'!F8+'Cases'!G7)&lt;=36,'Sites'!G8&gt;=25),IF(ISNUMBER('Sites'!Q8),0,1)+'Capital'!I8+COUNTBLANK('Sites'!R8)+IF('Sites'!D8="NM crew",COUNTBLANK('NM Play'!B25)+1,5-COUNT('Assumptions'!AJ122:AJ126)),0)+IF(AND('Cases'!C7&gt;0,NOT(ISNUMBER('Assumptions'!B42))),1,0)+'Responsibilities'!$B$39</f>
        <v/>
      </c>
      <c r="BK74" s="137">
        <f>'Assumptions'!$B$50+'NM Play'!$B$83+'Funding'!$F$20+SUMIFS('Production schedule'!$AN$114:$AN$221,'Production schedule'!$C$114:$C$221,33)+IF(OR('Cases'!E7&lt;0,'Cases'!E7&gt;1,'Cases'!C7&lt;0,'Cases'!D7&lt;0,ABS(SUM('Sites'!S6:S8)-1)&gt;0.0001,MIN('Capital'!F6:F8)&lt;0,MAX('Capital'!F6:F8)&gt;1,MIN(AX74,AZ74,BB74,BA74)&lt;-0.01),1,0)+'Responsibilities'!$B$40</f>
        <v/>
      </c>
      <c r="BL74" s="137">
        <f>SUMIFS('Production schedule'!$T$114:$T$221,'Production schedule'!$C$114:$C$221,33)</f>
        <v/>
      </c>
      <c r="BM74" s="137">
        <f>D74*'NM Play'!$B$38</f>
        <v/>
      </c>
      <c r="BN74" s="137">
        <f>SUMIFS('Production schedule'!$AM$114:$AM$221,'Production schedule'!$C$114:$C$221,33)</f>
        <v/>
      </c>
      <c r="BO74" s="137">
        <f>AK74-AK73-AJ74</f>
        <v/>
      </c>
      <c r="BP74" s="137">
        <f>IF(AND('Assumptions'!$B$39&gt;=0,'Assumptions'!$B$40&gt;0),-PMT('Assumptions'!$B$39/12,'Assumptions'!$B$40*12,IF('Funding'!$N$11&gt;0,'Funding'!$N$11,'Funding'!$S$11)),"")</f>
        <v/>
      </c>
      <c r="BQ74">
        <f>('Production schedule'!AJ146)*(1-'Responsibilities'!$C$6)+('Production schedule'!AJ182)*(1-'Responsibilities'!$C$7)+('Production schedule'!AJ218)*(1-'Responsibilities'!$C$8)</f>
        <v/>
      </c>
      <c r="BR74">
        <f>('Production schedule'!AI146)*(1-'Responsibilities'!$D$6)+('Production schedule'!AI182)*(1-'Responsibilities'!$D$7)+('Production schedule'!AI218)*(1-'Responsibilities'!$D$8)</f>
        <v/>
      </c>
      <c r="BS74">
        <f>('Production schedule'!E146*(IF('Sites'!D6="Annual staff",SUM('Assumptions'!AJ112,'Assumptions'!AJ114),0)+SUM('Assumptions'!AJ113,'Assumptions'!AJ115:AJ116)))*(1-'Responsibilities'!$E$6)+('Production schedule'!E182*(IF('Sites'!D7="Annual staff",SUM('Assumptions'!AJ117,'Assumptions'!AJ119),0)+SUM('Assumptions'!AJ118,'Assumptions'!AJ120:AJ121)))*(1-'Responsibilities'!$E$7)+('Production schedule'!E218*(IF('Sites'!D8="Annual staff",SUM('Assumptions'!AJ122,'Assumptions'!AJ124),0)+SUM('Assumptions'!AJ123,'Assumptions'!AJ125:AJ126)))*(1-'Responsibilities'!$E$8)</f>
        <v/>
      </c>
      <c r="BT74">
        <f>(IF(AND('Production schedule'!E146=1,33=MAX(('Sites'!F6),25),ISNUMBER('Sites'!Q6)),'Sites'!Q6*'Assumptions'!$B$44,0))*(1-'Responsibilities'!$F$6)+(IF(AND('Production schedule'!E182=1,33=MAX(('Sites'!F7+'Cases'!G7),25),ISNUMBER('Sites'!Q7)),'Sites'!Q7*'Assumptions'!$B$44,0))*(1-'Responsibilities'!$F$7)+(IF(AND('Production schedule'!E218=1,33=MAX(('Sites'!F8+'Cases'!G7),25),ISNUMBER('Sites'!Q8)),'Sites'!Q8*'Assumptions'!$B$44,0))*(1-'Responsibilities'!$F$8)</f>
        <v/>
      </c>
      <c r="BU74">
        <f>SUM('Costs'!E36)*'Costs'!F36/12*(1-'Responsibilities'!$C$12)+SUM('Costs'!E37)*'Costs'!F37/12*(1-'Responsibilities'!$C$13)+SUM('Costs'!E38)*'Costs'!F38/12*(1-'Responsibilities'!$C$14)+SUM('Costs'!E39)*'Costs'!F39/12*(1-'Responsibilities'!$C$15)+SUM('Costs'!E40)*'Costs'!F40/12*(1-'Responsibilities'!$C$16)</f>
        <v/>
      </c>
      <c r="BV74">
        <f>('Sites'!E6*'Capital'!E6*(IF(33='Capital'!G6,'Capital'!F6,0)+IF(33='Capital'!H6,1-'Capital'!F6,0)))*(1-'Responsibilities'!$G$6)+('Sites'!E7*'Capital'!E7*(IF(33='Capital'!G7+'Cases'!G7,'Capital'!F7,0)+IF(33='Capital'!H7+'Cases'!G7,1-'Capital'!F7,0)))*(1-'Responsibilities'!$G$7)+('Sites'!E8*'Cases'!F7*'Capital'!E8*(IF(33='Capital'!G8+'Cases'!G7,'Capital'!F8,0)+IF(33='Capital'!H8+'Cases'!G7,1-'Capital'!F8,0)))*(1-'Responsibilities'!$G$8)</f>
        <v/>
      </c>
      <c r="BW74">
        <f>SUM(BQ74:BV74)</f>
        <v/>
      </c>
      <c r="BX74">
        <f>N74+BW74</f>
        <v/>
      </c>
      <c r="BY74">
        <f>BX74-(('Production schedule'!AJ146)*'Responsibilities'!$C$6+('Production schedule'!AJ182)*'Responsibilities'!$C$7+('Production schedule'!AJ218)*'Responsibilities'!$C$8+('Production schedule'!AJ146)*(1-'Responsibilities'!$C$6)+('Production schedule'!AJ182)*(1-'Responsibilities'!$C$7)+('Production schedule'!AJ218)*(1-'Responsibilities'!$C$8)+('Production schedule'!AI146)*'Responsibilities'!$D$6+('Production schedule'!AI182)*'Responsibilities'!$D$7+('Production schedule'!AI218)*'Responsibilities'!$D$8+('Production schedule'!AI146)*(1-'Responsibilities'!$D$6)+('Production schedule'!AI182)*(1-'Responsibilities'!$D$7)+('Production schedule'!AI218)*(1-'Responsibilities'!$D$8)+('Production schedule'!E146*(IF('Sites'!D6="Annual staff",SUM('Assumptions'!AJ112,'Assumptions'!AJ114),0)+SUM('Assumptions'!AJ113,'Assumptions'!AJ115:AJ116)))*'Responsibilities'!$E$6+('Production schedule'!E182*(IF('Sites'!D7="Annual staff",SUM('Assumptions'!AJ117,'Assumptions'!AJ119),0)+SUM('Assumptions'!AJ118,'Assumptions'!AJ120:AJ121)))*'Responsibilities'!$E$7+('Production schedule'!E218*(IF('Sites'!D8="Annual staff",SUM('Assumptions'!AJ122,'Assumptions'!AJ124),0)+SUM('Assumptions'!AJ123,'Assumptions'!AJ125:AJ126)))*'Responsibilities'!$E$8+('Production schedule'!E146*(IF('Sites'!D6="Annual staff",SUM('Assumptions'!AJ112,'Assumptions'!AJ114),0)+SUM('Assumptions'!AJ113,'Assumptions'!AJ115:AJ116)))*(1-'Responsibilities'!$E$6)+('Production schedule'!E182*(IF('Sites'!D7="Annual staff",SUM('Assumptions'!AJ117,'Assumptions'!AJ119),0)+SUM('Assumptions'!AJ118,'Assumptions'!AJ120:AJ121)))*(1-'Responsibilities'!$E$7)+('Production schedule'!E218*(IF('Sites'!D8="Annual staff",SUM('Assumptions'!AJ122,'Assumptions'!AJ124),0)+SUM('Assumptions'!AJ123,'Assumptions'!AJ125:AJ126)))*(1-'Responsibilities'!$E$8)+(IF(AND('Production schedule'!E146=1,33=MAX(('Sites'!F6),25),ISNUMBER('Sites'!Q6)),'Sites'!Q6*'Assumptions'!$B$44,0))*'Responsibilities'!$F$6+(IF(AND('Production schedule'!E182=1,33=MAX(('Sites'!F7+'Cases'!G7),25),ISNUMBER('Sites'!Q7)),'Sites'!Q7*'Assumptions'!$B$44,0))*'Responsibilities'!$F$7+(IF(AND('Production schedule'!E218=1,33=MAX(('Sites'!F8+'Cases'!G7),25),ISNUMBER('Sites'!Q8)),'Sites'!Q8*'Assumptions'!$B$44,0))*'Responsibilities'!$F$8+(IF(AND('Production schedule'!E146=1,33=MAX(('Sites'!F6),25),ISNUMBER('Sites'!Q6)),'Sites'!Q6*'Assumptions'!$B$44,0))*(1-'Responsibilities'!$F$6)+(IF(AND('Production schedule'!E182=1,33=MAX(('Sites'!F7+'Cases'!G7),25),ISNUMBER('Sites'!Q7)),'Sites'!Q7*'Assumptions'!$B$44,0))*(1-'Responsibilities'!$F$7)+(IF(AND('Production schedule'!E218=1,33=MAX(('Sites'!F8+'Cases'!G7),25),ISNUMBER('Sites'!Q8)),'Sites'!Q8*'Assumptions'!$B$44,0))*(1-'Responsibilities'!$F$8)+('Sites'!E6*'Capital'!E6*(IF(33='Capital'!G6,'Capital'!F6,0)+IF(33='Capital'!H6,1-'Capital'!F6,0)))*'Responsibilities'!$G$6+('Sites'!E7*'Capital'!E7*(IF(33='Capital'!G7+'Cases'!G7,'Capital'!F7,0)+IF(33='Capital'!H7+'Cases'!G7,1-'Capital'!F7,0)))*'Responsibilities'!$G$7+('Sites'!E8*'Cases'!F7*'Capital'!E8*(IF(33='Capital'!G8+'Cases'!G7,'Capital'!F8,0)+IF(33='Capital'!H8+'Cases'!G7,1-'Capital'!F8,0)))*'Responsibilities'!$G$8+('Sites'!E6*'Capital'!E6*(IF(33='Capital'!G6,'Capital'!F6,0)+IF(33='Capital'!H6,1-'Capital'!F6,0)))*(1-'Responsibilities'!$G$6)+('Sites'!E7*'Capital'!E7*(IF(33='Capital'!G7+'Cases'!G7,'Capital'!F7,0)+IF(33='Capital'!H7+'Cases'!G7,1-'Capital'!F7,0)))*(1-'Responsibilities'!$G$7)+('Sites'!E8*'Cases'!F7*'Capital'!E8*(IF(33='Capital'!G8+'Cases'!G7,'Capital'!F8,0)+IF(33='Capital'!H8+'Cases'!G7,1-'Capital'!F8,0)))*(1-'Responsibilities'!$G$8)+I74+SUMPRODUCT('Costs'!$E$36:$E$40,'Costs'!$F$36:$F$40)/12+BZ74)</f>
        <v/>
      </c>
      <c r="BZ74">
        <f>SUMIFS('Responsibilities'!$B$31:$B$35,'Responsibilities'!$C$31:$C$35,33,'Responsibilities'!$D$31:$D$35,"Yes")</f>
        <v/>
      </c>
    </row>
    <row r="75" ht="28" customHeight="1">
      <c r="A75" s="4" t="inlineStr">
        <is>
          <t>Smaller</t>
        </is>
      </c>
      <c r="B75" s="4" t="n">
        <v>34</v>
      </c>
      <c r="C75" s="4">
        <f>ROUNDUP(B75/12,0)</f>
        <v/>
      </c>
      <c r="D75" s="137">
        <f>SUMIFS('Production schedule'!$N$114:$N$221,'Production schedule'!$C$114:$C$221,34)</f>
        <v/>
      </c>
      <c r="E75" s="137">
        <f>SUMIFS('Production schedule'!$Y$114:$Y$221,'Production schedule'!$C$114:$C$221,34)</f>
        <v/>
      </c>
      <c r="F75" s="137">
        <f>SUMIFS('Production schedule'!$Z$114:$Z$221,'Production schedule'!$C$114:$C$221,34)</f>
        <v/>
      </c>
      <c r="G75" s="137">
        <f>('Production schedule'!AJ147)*'Responsibilities'!$C$6+('Production schedule'!AJ183)*'Responsibilities'!$C$7+('Production schedule'!AJ219)*'Responsibilities'!$C$8</f>
        <v/>
      </c>
      <c r="H75" s="137">
        <f>('Production schedule'!AI147)*'Responsibilities'!$D$6+('Production schedule'!AI183)*'Responsibilities'!$D$7+('Production schedule'!AI219)*'Responsibilities'!$D$8</f>
        <v/>
      </c>
      <c r="I75" s="137">
        <f>SUM('Assumptions'!AK58:AK65)</f>
        <v/>
      </c>
      <c r="J75" s="137">
        <f>('Production schedule'!E147*(IF('Sites'!D6="Annual staff",SUM('Assumptions'!AK112,'Assumptions'!AK114),0)+SUM('Assumptions'!AK113,'Assumptions'!AK115:AK116)))*'Responsibilities'!$E$6+('Production schedule'!E183*(IF('Sites'!D7="Annual staff",SUM('Assumptions'!AK117,'Assumptions'!AK119),0)+SUM('Assumptions'!AK118,'Assumptions'!AK120:AK121)))*'Responsibilities'!$E$7+('Production schedule'!E219*(IF('Sites'!D8="Annual staff",SUM('Assumptions'!AK122,'Assumptions'!AK124),0)+SUM('Assumptions'!AK123,'Assumptions'!AK125:AK126)))*'Responsibilities'!$E$8</f>
        <v/>
      </c>
      <c r="K75" s="137">
        <f>(IF(AND('Production schedule'!E147=1,34=MAX(('Sites'!F6),25),ISNUMBER('Sites'!Q6)),'Sites'!Q6*'Assumptions'!$B$44,0))*'Responsibilities'!$F$6+(IF(AND('Production schedule'!E183=1,34=MAX(('Sites'!F7+'Cases'!G7),25),ISNUMBER('Sites'!Q7)),'Sites'!Q7*'Assumptions'!$B$44,0))*'Responsibilities'!$F$7+(IF(AND('Production schedule'!E219=1,34=MAX(('Sites'!F8+'Cases'!G7),25),ISNUMBER('Sites'!Q8)),'Sites'!Q8*'Assumptions'!$B$44,0))*'Responsibilities'!$F$8</f>
        <v/>
      </c>
      <c r="L75" s="137">
        <f>SUM('Costs'!E36)*'Costs'!F36/12*'Responsibilities'!$C$12+SUM('Costs'!E37)*'Costs'!F37/12*'Responsibilities'!$C$13+SUM('Costs'!E38)*'Costs'!F38/12*'Responsibilities'!$C$14+SUM('Costs'!E39)*'Costs'!F39/12*'Responsibilities'!$C$15+SUM('Costs'!E40)*'Costs'!F40/12*'Responsibilities'!$C$16+BZ75</f>
        <v/>
      </c>
      <c r="M75" s="137">
        <f>('Sites'!E6*'Capital'!E6*(IF(34='Capital'!G6,'Capital'!F6,0)+IF(34='Capital'!H6,1-'Capital'!F6,0)))*'Responsibilities'!$G$6+('Sites'!E7*'Capital'!E7*(IF(34='Capital'!G7+'Cases'!G7,'Capital'!F7,0)+IF(34='Capital'!H7+'Cases'!G7,1-'Capital'!F7,0)))*'Responsibilities'!$G$7+('Sites'!E8*'Cases'!F7*'Capital'!E8*(IF(34='Capital'!G8+'Cases'!G7,'Capital'!F8,0)+IF(34='Capital'!H8+'Cases'!G7,1-'Capital'!F8,0)))*'Responsibilities'!$G$8</f>
        <v/>
      </c>
      <c r="N75" s="137">
        <f>SUM(G75:M75)</f>
        <v/>
      </c>
      <c r="O75" s="137">
        <f>SUMIFS(FundingTranches[Secured amount],FundingTranches[Instrument],"Grant",FundingTranches[Secured month],34)</f>
        <v/>
      </c>
      <c r="P75" s="137">
        <f>SUMIFS(FundingTranches[Smaller possible],FundingTranches[Instrument],"Grant",FundingTranches[Scenario month],34-'Cases'!$D$7)</f>
        <v/>
      </c>
      <c r="Q75" s="137">
        <f>SUMIFS(FundingTranches[Secured amount],FundingTranches[Instrument],"Loan",FundingTranches[Secured month],34)</f>
        <v/>
      </c>
      <c r="R75" s="137">
        <f>SUMIFS(FundingTranches[Smaller possible],FundingTranches[Instrument],"Loan",FundingTranches[Scenario month],34-'Cases'!$D$7)</f>
        <v/>
      </c>
      <c r="S75" s="137">
        <f>IF(34&lt;='Assumptions'!$B$34,0,SUMIFS('Production schedule'!$AL$114:$AL$221,'Production schedule'!$C$114:$C$221,34-'Assumptions'!$B$34))</f>
        <v/>
      </c>
      <c r="T75" s="137">
        <f>'Assumptions'!AK70</f>
        <v/>
      </c>
      <c r="U75" s="137">
        <f>'Assumptions'!AK78</f>
        <v/>
      </c>
      <c r="V75" s="137">
        <f>SUM(O75:U75)</f>
        <v/>
      </c>
      <c r="W75" s="137">
        <f>AA74</f>
        <v/>
      </c>
      <c r="X75" s="137">
        <f>SUM(Q75:R75)</f>
        <v/>
      </c>
      <c r="Y75" s="137">
        <f>SUM(W75,X75)*'Assumptions'!$B$39/12</f>
        <v/>
      </c>
      <c r="Z75" s="137">
        <f>IF(SUM(W75,X75)&gt;0,MIN(SUM(W75,X75),MAX(0,BP75-Y75)),0)</f>
        <v/>
      </c>
      <c r="AA75" s="137">
        <f>SUM(W75,X75)-Z75</f>
        <v/>
      </c>
      <c r="AB75" s="137">
        <f>SUM(Y75:Z75)</f>
        <v/>
      </c>
      <c r="AC75" s="137">
        <f>'Assumptions'!AK72</f>
        <v/>
      </c>
      <c r="AD75" s="137">
        <f>'Assumptions'!AK73</f>
        <v/>
      </c>
      <c r="AE75" s="137">
        <f>IF(X75&gt;0,SUM('Assumptions'!$B$42),0)</f>
        <v/>
      </c>
      <c r="AF75" s="137">
        <f>'Assumptions'!AK71</f>
        <v/>
      </c>
      <c r="AG75" s="137">
        <f>'Assumptions'!AK74</f>
        <v/>
      </c>
      <c r="AH75" s="137">
        <f>'Assumptions'!AK75</f>
        <v/>
      </c>
      <c r="AI75" s="137">
        <f>'Assumptions'!AK77</f>
        <v/>
      </c>
      <c r="AJ75" s="137">
        <f>V75-N75-SUM(AB75:AI75)</f>
        <v/>
      </c>
      <c r="AK75" s="137">
        <f>SUM(AJ42:AJ75)</f>
        <v/>
      </c>
      <c r="AL75" s="137">
        <f>IF(ISNUMBER('Assumptions'!$B$10),'Assumptions'!$B$10+AK75,"")</f>
        <v/>
      </c>
      <c r="AM75" s="137">
        <f>SUM(O75,Q75,T75)-N75-SUM(AC75:AI75)+IF('Funding'!$N$11=0,AE75,0)-IF('Funding'!$N$11&gt;0,AB75,0)</f>
        <v/>
      </c>
      <c r="AN75" s="137">
        <f>SUM(AM42:AM75)</f>
        <v/>
      </c>
      <c r="AO75" s="137">
        <f>IF(ISNUMBER('Assumptions'!$B$10),'Assumptions'!$B$10+AN75,"")</f>
        <v/>
      </c>
      <c r="AP75" s="137">
        <f>('Production schedule'!AK147)*'Responsibilities'!$C$6+('Production schedule'!AK183)*'Responsibilities'!$C$7+('Production schedule'!AK219)*'Responsibilities'!$C$8</f>
        <v/>
      </c>
      <c r="AQ75" s="137">
        <f>SUMIFS('Production schedule'!$AL$114:$AL$221,'Production schedule'!$C$114:$C$221,34)</f>
        <v/>
      </c>
      <c r="AR75" s="137">
        <f>IF(ISNUMBER('Assumptions'!AK76),'Assumptions'!AK76,SUM(O75:P75))</f>
        <v/>
      </c>
      <c r="AS75" s="137">
        <f>IF(ISNUMBER('Assumptions'!$B$13),MIN('Assumptions'!$B$13/'Assumptions'!$B$18/12,MAX(0,'Assumptions'!$B$13-(34-1)*'Assumptions'!$B$13/'Assumptions'!$B$18/12)),0)+IF(AND('Sites'!E6=1,34&gt;=('Sites'!F6),34&lt;('Sites'!F6)+'Assumptions'!$B$18*12),'Capital'!E6/'Assumptions'!$B$18/12,0)+IF(AND('Sites'!E7=1,34&gt;=('Sites'!F7+'Cases'!G7),34&lt;('Sites'!F7+'Cases'!G7)+'Assumptions'!$B$18*12),'Capital'!E7/'Assumptions'!$B$18/12,0)+IF(AND('Sites'!E8*'Cases'!F7=1,34&gt;=('Sites'!F8+'Cases'!G7),34&lt;('Sites'!F8+'Cases'!G7)+'Assumptions'!$B$18*12),'Capital'!E8/'Assumptions'!$B$18/12,0)</f>
        <v/>
      </c>
      <c r="AT75" s="137">
        <f>SUM(AQ75,AR75,U75)-AP75-SUM(H75:L75)-AS75-SUM(Y75,AD75,AE75,AH75)</f>
        <v/>
      </c>
      <c r="AU75" s="137">
        <f>IF(ISNUMBER('Assumptions'!$B$19),MAX(0,SUM(AT66:AT75))*'Assumptions'!$B$19-SUM(AU66:AU74),"")</f>
        <v/>
      </c>
      <c r="AV75" s="137">
        <f>IF(ISNUMBER(AU75),AT75-AU75,"")</f>
        <v/>
      </c>
      <c r="AW75" s="137">
        <f>IF(ISNUMBER('Assumptions'!$B$11),'Assumptions'!$B$11+SUM(AQ42:AQ75)-SUM(S42:S75)-SUM(T42:T75),"")</f>
        <v/>
      </c>
      <c r="AX75" s="137">
        <f>IF(ISNUMBER('Assumptions'!$B$12),'Assumptions'!$B$12+SUM(G42:G75)-SUM(AP42:AP75),"")</f>
        <v/>
      </c>
      <c r="AY75" s="137">
        <f>IF(ISNUMBER('Assumptions'!$B$13),'Assumptions'!$B$13+SUM(M42:M75)-SUM(AS42:AS75),"")</f>
        <v/>
      </c>
      <c r="AZ75" s="137">
        <f>IF(ISNUMBER('Assumptions'!$B$14),'Assumptions'!$B$14+-SUM(AF42:AF75),"")</f>
        <v/>
      </c>
      <c r="BA75" s="137">
        <f>IF(ISNUMBER('Assumptions'!$B$15),'Assumptions'!$B$15+SUM(O42:O75)+SUM(P42:P75)-SUM(AR42:AR75),"")</f>
        <v/>
      </c>
      <c r="BB75" s="137">
        <f>IF(ISNUMBER('Assumptions'!$B$16),'Assumptions'!$B$16+-SUM(AC42:AC75),"")</f>
        <v/>
      </c>
      <c r="BC75" s="137">
        <f>IF(AND(ISNUMBER('Assumptions'!$B$21),ISNUMBER('Assumptions'!$B$19)),'Assumptions'!$B$21+SUM(AU42:AU75)-SUM(AG42:AG75),"")</f>
        <v/>
      </c>
      <c r="BD75" s="137">
        <f>IF(ISNUMBER('Assumptions'!$B$20),'Assumptions'!$B$20+-SUM(AI42:AI75),"")</f>
        <v/>
      </c>
      <c r="BE75" s="137">
        <f>IF(AND(ISNUMBER('Assumptions'!$B$17),COUNT(AV42:AV75)=34),'Assumptions'!$B$17+SUM(AV42:AV75),"")</f>
        <v/>
      </c>
      <c r="BF75" s="137">
        <f>IF(COUNT(AL75,AW75:AY75)=4,SUM(AL75,AW75:AY75),"")</f>
        <v/>
      </c>
      <c r="BG75" s="137">
        <f>IF(COUNT(AZ75:BD75)=5,SUM(AZ75:BD75,AA75),"")</f>
        <v/>
      </c>
      <c r="BH75" s="137">
        <f>IF(COUNT(BF75,BG75,BE75)=3,BF75-BG75-BE75,"")</f>
        <v/>
      </c>
      <c r="BI75" s="137">
        <f>SUM(W75,X75)-Z75-AA75</f>
        <v/>
      </c>
      <c r="BJ75" s="137">
        <f>8-COUNT('Assumptions'!AK58:AK65)+COUNTBLANK('NM Play'!B33:B34)+'Costs'!E44+IF(AND('Sites'!E6=1,('Sites'!F6)&lt;=36,'Sites'!G6&gt;=25),IF(ISNUMBER('Sites'!Q6),0,1)+'Capital'!I6+COUNTBLANK('Sites'!R6)+IF('Sites'!D6="NM crew",COUNTBLANK('NM Play'!B25)+1,5-COUNT('Assumptions'!AK112:AK116)),0)+IF(AND('Sites'!E7=1,('Sites'!F7+'Cases'!G7)&lt;=36,'Sites'!G7&gt;=25),IF(ISNUMBER('Sites'!Q7),0,1)+'Capital'!I7+COUNTBLANK('Sites'!R7)+IF('Sites'!D7="NM crew",COUNTBLANK('NM Play'!B25)+1,5-COUNT('Assumptions'!AK117:AK121)),0)+IF(AND('Sites'!E8*'Cases'!F7=1,('Sites'!F8+'Cases'!G7)&lt;=36,'Sites'!G8&gt;=25),IF(ISNUMBER('Sites'!Q8),0,1)+'Capital'!I8+COUNTBLANK('Sites'!R8)+IF('Sites'!D8="NM crew",COUNTBLANK('NM Play'!B25)+1,5-COUNT('Assumptions'!AK122:AK126)),0)+IF(AND('Cases'!C7&gt;0,NOT(ISNUMBER('Assumptions'!B42))),1,0)+'Responsibilities'!$B$39</f>
        <v/>
      </c>
      <c r="BK75" s="137">
        <f>'Assumptions'!$B$50+'NM Play'!$B$83+'Funding'!$F$20+SUMIFS('Production schedule'!$AN$114:$AN$221,'Production schedule'!$C$114:$C$221,34)+IF(OR('Cases'!E7&lt;0,'Cases'!E7&gt;1,'Cases'!C7&lt;0,'Cases'!D7&lt;0,ABS(SUM('Sites'!S6:S8)-1)&gt;0.0001,MIN('Capital'!F6:F8)&lt;0,MAX('Capital'!F6:F8)&gt;1,MIN(AX75,AZ75,BB75,BA75)&lt;-0.01),1,0)+'Responsibilities'!$B$40</f>
        <v/>
      </c>
      <c r="BL75" s="137">
        <f>SUMIFS('Production schedule'!$T$114:$T$221,'Production schedule'!$C$114:$C$221,34)</f>
        <v/>
      </c>
      <c r="BM75" s="137">
        <f>D75*'NM Play'!$B$38</f>
        <v/>
      </c>
      <c r="BN75" s="137">
        <f>SUMIFS('Production schedule'!$AM$114:$AM$221,'Production schedule'!$C$114:$C$221,34)</f>
        <v/>
      </c>
      <c r="BO75" s="137">
        <f>AK75-AK74-AJ75</f>
        <v/>
      </c>
      <c r="BP75" s="137">
        <f>IF(AND('Assumptions'!$B$39&gt;=0,'Assumptions'!$B$40&gt;0),-PMT('Assumptions'!$B$39/12,'Assumptions'!$B$40*12,IF('Funding'!$N$11&gt;0,'Funding'!$N$11,'Funding'!$S$11)),"")</f>
        <v/>
      </c>
      <c r="BQ75">
        <f>('Production schedule'!AJ147)*(1-'Responsibilities'!$C$6)+('Production schedule'!AJ183)*(1-'Responsibilities'!$C$7)+('Production schedule'!AJ219)*(1-'Responsibilities'!$C$8)</f>
        <v/>
      </c>
      <c r="BR75">
        <f>('Production schedule'!AI147)*(1-'Responsibilities'!$D$6)+('Production schedule'!AI183)*(1-'Responsibilities'!$D$7)+('Production schedule'!AI219)*(1-'Responsibilities'!$D$8)</f>
        <v/>
      </c>
      <c r="BS75">
        <f>('Production schedule'!E147*(IF('Sites'!D6="Annual staff",SUM('Assumptions'!AK112,'Assumptions'!AK114),0)+SUM('Assumptions'!AK113,'Assumptions'!AK115:AK116)))*(1-'Responsibilities'!$E$6)+('Production schedule'!E183*(IF('Sites'!D7="Annual staff",SUM('Assumptions'!AK117,'Assumptions'!AK119),0)+SUM('Assumptions'!AK118,'Assumptions'!AK120:AK121)))*(1-'Responsibilities'!$E$7)+('Production schedule'!E219*(IF('Sites'!D8="Annual staff",SUM('Assumptions'!AK122,'Assumptions'!AK124),0)+SUM('Assumptions'!AK123,'Assumptions'!AK125:AK126)))*(1-'Responsibilities'!$E$8)</f>
        <v/>
      </c>
      <c r="BT75">
        <f>(IF(AND('Production schedule'!E147=1,34=MAX(('Sites'!F6),25),ISNUMBER('Sites'!Q6)),'Sites'!Q6*'Assumptions'!$B$44,0))*(1-'Responsibilities'!$F$6)+(IF(AND('Production schedule'!E183=1,34=MAX(('Sites'!F7+'Cases'!G7),25),ISNUMBER('Sites'!Q7)),'Sites'!Q7*'Assumptions'!$B$44,0))*(1-'Responsibilities'!$F$7)+(IF(AND('Production schedule'!E219=1,34=MAX(('Sites'!F8+'Cases'!G7),25),ISNUMBER('Sites'!Q8)),'Sites'!Q8*'Assumptions'!$B$44,0))*(1-'Responsibilities'!$F$8)</f>
        <v/>
      </c>
      <c r="BU75">
        <f>SUM('Costs'!E36)*'Costs'!F36/12*(1-'Responsibilities'!$C$12)+SUM('Costs'!E37)*'Costs'!F37/12*(1-'Responsibilities'!$C$13)+SUM('Costs'!E38)*'Costs'!F38/12*(1-'Responsibilities'!$C$14)+SUM('Costs'!E39)*'Costs'!F39/12*(1-'Responsibilities'!$C$15)+SUM('Costs'!E40)*'Costs'!F40/12*(1-'Responsibilities'!$C$16)</f>
        <v/>
      </c>
      <c r="BV75">
        <f>('Sites'!E6*'Capital'!E6*(IF(34='Capital'!G6,'Capital'!F6,0)+IF(34='Capital'!H6,1-'Capital'!F6,0)))*(1-'Responsibilities'!$G$6)+('Sites'!E7*'Capital'!E7*(IF(34='Capital'!G7+'Cases'!G7,'Capital'!F7,0)+IF(34='Capital'!H7+'Cases'!G7,1-'Capital'!F7,0)))*(1-'Responsibilities'!$G$7)+('Sites'!E8*'Cases'!F7*'Capital'!E8*(IF(34='Capital'!G8+'Cases'!G7,'Capital'!F8,0)+IF(34='Capital'!H8+'Cases'!G7,1-'Capital'!F8,0)))*(1-'Responsibilities'!$G$8)</f>
        <v/>
      </c>
      <c r="BW75">
        <f>SUM(BQ75:BV75)</f>
        <v/>
      </c>
      <c r="BX75">
        <f>N75+BW75</f>
        <v/>
      </c>
      <c r="BY75">
        <f>BX75-(('Production schedule'!AJ147)*'Responsibilities'!$C$6+('Production schedule'!AJ183)*'Responsibilities'!$C$7+('Production schedule'!AJ219)*'Responsibilities'!$C$8+('Production schedule'!AJ147)*(1-'Responsibilities'!$C$6)+('Production schedule'!AJ183)*(1-'Responsibilities'!$C$7)+('Production schedule'!AJ219)*(1-'Responsibilities'!$C$8)+('Production schedule'!AI147)*'Responsibilities'!$D$6+('Production schedule'!AI183)*'Responsibilities'!$D$7+('Production schedule'!AI219)*'Responsibilities'!$D$8+('Production schedule'!AI147)*(1-'Responsibilities'!$D$6)+('Production schedule'!AI183)*(1-'Responsibilities'!$D$7)+('Production schedule'!AI219)*(1-'Responsibilities'!$D$8)+('Production schedule'!E147*(IF('Sites'!D6="Annual staff",SUM('Assumptions'!AK112,'Assumptions'!AK114),0)+SUM('Assumptions'!AK113,'Assumptions'!AK115:AK116)))*'Responsibilities'!$E$6+('Production schedule'!E183*(IF('Sites'!D7="Annual staff",SUM('Assumptions'!AK117,'Assumptions'!AK119),0)+SUM('Assumptions'!AK118,'Assumptions'!AK120:AK121)))*'Responsibilities'!$E$7+('Production schedule'!E219*(IF('Sites'!D8="Annual staff",SUM('Assumptions'!AK122,'Assumptions'!AK124),0)+SUM('Assumptions'!AK123,'Assumptions'!AK125:AK126)))*'Responsibilities'!$E$8+('Production schedule'!E147*(IF('Sites'!D6="Annual staff",SUM('Assumptions'!AK112,'Assumptions'!AK114),0)+SUM('Assumptions'!AK113,'Assumptions'!AK115:AK116)))*(1-'Responsibilities'!$E$6)+('Production schedule'!E183*(IF('Sites'!D7="Annual staff",SUM('Assumptions'!AK117,'Assumptions'!AK119),0)+SUM('Assumptions'!AK118,'Assumptions'!AK120:AK121)))*(1-'Responsibilities'!$E$7)+('Production schedule'!E219*(IF('Sites'!D8="Annual staff",SUM('Assumptions'!AK122,'Assumptions'!AK124),0)+SUM('Assumptions'!AK123,'Assumptions'!AK125:AK126)))*(1-'Responsibilities'!$E$8)+(IF(AND('Production schedule'!E147=1,34=MAX(('Sites'!F6),25),ISNUMBER('Sites'!Q6)),'Sites'!Q6*'Assumptions'!$B$44,0))*'Responsibilities'!$F$6+(IF(AND('Production schedule'!E183=1,34=MAX(('Sites'!F7+'Cases'!G7),25),ISNUMBER('Sites'!Q7)),'Sites'!Q7*'Assumptions'!$B$44,0))*'Responsibilities'!$F$7+(IF(AND('Production schedule'!E219=1,34=MAX(('Sites'!F8+'Cases'!G7),25),ISNUMBER('Sites'!Q8)),'Sites'!Q8*'Assumptions'!$B$44,0))*'Responsibilities'!$F$8+(IF(AND('Production schedule'!E147=1,34=MAX(('Sites'!F6),25),ISNUMBER('Sites'!Q6)),'Sites'!Q6*'Assumptions'!$B$44,0))*(1-'Responsibilities'!$F$6)+(IF(AND('Production schedule'!E183=1,34=MAX(('Sites'!F7+'Cases'!G7),25),ISNUMBER('Sites'!Q7)),'Sites'!Q7*'Assumptions'!$B$44,0))*(1-'Responsibilities'!$F$7)+(IF(AND('Production schedule'!E219=1,34=MAX(('Sites'!F8+'Cases'!G7),25),ISNUMBER('Sites'!Q8)),'Sites'!Q8*'Assumptions'!$B$44,0))*(1-'Responsibilities'!$F$8)+('Sites'!E6*'Capital'!E6*(IF(34='Capital'!G6,'Capital'!F6,0)+IF(34='Capital'!H6,1-'Capital'!F6,0)))*'Responsibilities'!$G$6+('Sites'!E7*'Capital'!E7*(IF(34='Capital'!G7+'Cases'!G7,'Capital'!F7,0)+IF(34='Capital'!H7+'Cases'!G7,1-'Capital'!F7,0)))*'Responsibilities'!$G$7+('Sites'!E8*'Cases'!F7*'Capital'!E8*(IF(34='Capital'!G8+'Cases'!G7,'Capital'!F8,0)+IF(34='Capital'!H8+'Cases'!G7,1-'Capital'!F8,0)))*'Responsibilities'!$G$8+('Sites'!E6*'Capital'!E6*(IF(34='Capital'!G6,'Capital'!F6,0)+IF(34='Capital'!H6,1-'Capital'!F6,0)))*(1-'Responsibilities'!$G$6)+('Sites'!E7*'Capital'!E7*(IF(34='Capital'!G7+'Cases'!G7,'Capital'!F7,0)+IF(34='Capital'!H7+'Cases'!G7,1-'Capital'!F7,0)))*(1-'Responsibilities'!$G$7)+('Sites'!E8*'Cases'!F7*'Capital'!E8*(IF(34='Capital'!G8+'Cases'!G7,'Capital'!F8,0)+IF(34='Capital'!H8+'Cases'!G7,1-'Capital'!F8,0)))*(1-'Responsibilities'!$G$8)+I75+SUMPRODUCT('Costs'!$E$36:$E$40,'Costs'!$F$36:$F$40)/12+BZ75)</f>
        <v/>
      </c>
      <c r="BZ75">
        <f>SUMIFS('Responsibilities'!$B$31:$B$35,'Responsibilities'!$C$31:$C$35,34,'Responsibilities'!$D$31:$D$35,"Yes")</f>
        <v/>
      </c>
    </row>
    <row r="76" ht="28" customHeight="1">
      <c r="A76" s="4" t="inlineStr">
        <is>
          <t>Smaller</t>
        </is>
      </c>
      <c r="B76" s="4" t="n">
        <v>35</v>
      </c>
      <c r="C76" s="4">
        <f>ROUNDUP(B76/12,0)</f>
        <v/>
      </c>
      <c r="D76" s="137">
        <f>SUMIFS('Production schedule'!$N$114:$N$221,'Production schedule'!$C$114:$C$221,35)</f>
        <v/>
      </c>
      <c r="E76" s="137">
        <f>SUMIFS('Production schedule'!$Y$114:$Y$221,'Production schedule'!$C$114:$C$221,35)</f>
        <v/>
      </c>
      <c r="F76" s="137">
        <f>SUMIFS('Production schedule'!$Z$114:$Z$221,'Production schedule'!$C$114:$C$221,35)</f>
        <v/>
      </c>
      <c r="G76" s="137">
        <f>('Production schedule'!AJ148)*'Responsibilities'!$C$6+('Production schedule'!AJ184)*'Responsibilities'!$C$7+('Production schedule'!AJ220)*'Responsibilities'!$C$8</f>
        <v/>
      </c>
      <c r="H76" s="137">
        <f>('Production schedule'!AI148)*'Responsibilities'!$D$6+('Production schedule'!AI184)*'Responsibilities'!$D$7+('Production schedule'!AI220)*'Responsibilities'!$D$8</f>
        <v/>
      </c>
      <c r="I76" s="137">
        <f>SUM('Assumptions'!AL58:AL65)</f>
        <v/>
      </c>
      <c r="J76" s="137">
        <f>('Production schedule'!E148*(IF('Sites'!D6="Annual staff",SUM('Assumptions'!AL112,'Assumptions'!AL114),0)+SUM('Assumptions'!AL113,'Assumptions'!AL115:AL116)))*'Responsibilities'!$E$6+('Production schedule'!E184*(IF('Sites'!D7="Annual staff",SUM('Assumptions'!AL117,'Assumptions'!AL119),0)+SUM('Assumptions'!AL118,'Assumptions'!AL120:AL121)))*'Responsibilities'!$E$7+('Production schedule'!E220*(IF('Sites'!D8="Annual staff",SUM('Assumptions'!AL122,'Assumptions'!AL124),0)+SUM('Assumptions'!AL123,'Assumptions'!AL125:AL126)))*'Responsibilities'!$E$8</f>
        <v/>
      </c>
      <c r="K76" s="137">
        <f>(IF(AND('Production schedule'!E148=1,35=MAX(('Sites'!F6),25),ISNUMBER('Sites'!Q6)),'Sites'!Q6*'Assumptions'!$B$44,0))*'Responsibilities'!$F$6+(IF(AND('Production schedule'!E184=1,35=MAX(('Sites'!F7+'Cases'!G7),25),ISNUMBER('Sites'!Q7)),'Sites'!Q7*'Assumptions'!$B$44,0))*'Responsibilities'!$F$7+(IF(AND('Production schedule'!E220=1,35=MAX(('Sites'!F8+'Cases'!G7),25),ISNUMBER('Sites'!Q8)),'Sites'!Q8*'Assumptions'!$B$44,0))*'Responsibilities'!$F$8</f>
        <v/>
      </c>
      <c r="L76" s="137">
        <f>SUM('Costs'!E36)*'Costs'!F36/12*'Responsibilities'!$C$12+SUM('Costs'!E37)*'Costs'!F37/12*'Responsibilities'!$C$13+SUM('Costs'!E38)*'Costs'!F38/12*'Responsibilities'!$C$14+SUM('Costs'!E39)*'Costs'!F39/12*'Responsibilities'!$C$15+SUM('Costs'!E40)*'Costs'!F40/12*'Responsibilities'!$C$16+BZ76</f>
        <v/>
      </c>
      <c r="M76" s="137">
        <f>('Sites'!E6*'Capital'!E6*(IF(35='Capital'!G6,'Capital'!F6,0)+IF(35='Capital'!H6,1-'Capital'!F6,0)))*'Responsibilities'!$G$6+('Sites'!E7*'Capital'!E7*(IF(35='Capital'!G7+'Cases'!G7,'Capital'!F7,0)+IF(35='Capital'!H7+'Cases'!G7,1-'Capital'!F7,0)))*'Responsibilities'!$G$7+('Sites'!E8*'Cases'!F7*'Capital'!E8*(IF(35='Capital'!G8+'Cases'!G7,'Capital'!F8,0)+IF(35='Capital'!H8+'Cases'!G7,1-'Capital'!F8,0)))*'Responsibilities'!$G$8</f>
        <v/>
      </c>
      <c r="N76" s="137">
        <f>SUM(G76:M76)</f>
        <v/>
      </c>
      <c r="O76" s="137">
        <f>SUMIFS(FundingTranches[Secured amount],FundingTranches[Instrument],"Grant",FundingTranches[Secured month],35)</f>
        <v/>
      </c>
      <c r="P76" s="137">
        <f>SUMIFS(FundingTranches[Smaller possible],FundingTranches[Instrument],"Grant",FundingTranches[Scenario month],35-'Cases'!$D$7)</f>
        <v/>
      </c>
      <c r="Q76" s="137">
        <f>SUMIFS(FundingTranches[Secured amount],FundingTranches[Instrument],"Loan",FundingTranches[Secured month],35)</f>
        <v/>
      </c>
      <c r="R76" s="137">
        <f>SUMIFS(FundingTranches[Smaller possible],FundingTranches[Instrument],"Loan",FundingTranches[Scenario month],35-'Cases'!$D$7)</f>
        <v/>
      </c>
      <c r="S76" s="137">
        <f>IF(35&lt;='Assumptions'!$B$34,0,SUMIFS('Production schedule'!$AL$114:$AL$221,'Production schedule'!$C$114:$C$221,35-'Assumptions'!$B$34))</f>
        <v/>
      </c>
      <c r="T76" s="137">
        <f>'Assumptions'!AL70</f>
        <v/>
      </c>
      <c r="U76" s="137">
        <f>'Assumptions'!AL78</f>
        <v/>
      </c>
      <c r="V76" s="137">
        <f>SUM(O76:U76)</f>
        <v/>
      </c>
      <c r="W76" s="137">
        <f>AA75</f>
        <v/>
      </c>
      <c r="X76" s="137">
        <f>SUM(Q76:R76)</f>
        <v/>
      </c>
      <c r="Y76" s="137">
        <f>SUM(W76,X76)*'Assumptions'!$B$39/12</f>
        <v/>
      </c>
      <c r="Z76" s="137">
        <f>IF(SUM(W76,X76)&gt;0,MIN(SUM(W76,X76),MAX(0,BP76-Y76)),0)</f>
        <v/>
      </c>
      <c r="AA76" s="137">
        <f>SUM(W76,X76)-Z76</f>
        <v/>
      </c>
      <c r="AB76" s="137">
        <f>SUM(Y76:Z76)</f>
        <v/>
      </c>
      <c r="AC76" s="137">
        <f>'Assumptions'!AL72</f>
        <v/>
      </c>
      <c r="AD76" s="137">
        <f>'Assumptions'!AL73</f>
        <v/>
      </c>
      <c r="AE76" s="137">
        <f>IF(X76&gt;0,SUM('Assumptions'!$B$42),0)</f>
        <v/>
      </c>
      <c r="AF76" s="137">
        <f>'Assumptions'!AL71</f>
        <v/>
      </c>
      <c r="AG76" s="137">
        <f>'Assumptions'!AL74</f>
        <v/>
      </c>
      <c r="AH76" s="137">
        <f>'Assumptions'!AL75</f>
        <v/>
      </c>
      <c r="AI76" s="137">
        <f>'Assumptions'!AL77</f>
        <v/>
      </c>
      <c r="AJ76" s="137">
        <f>V76-N76-SUM(AB76:AI76)</f>
        <v/>
      </c>
      <c r="AK76" s="137">
        <f>SUM(AJ42:AJ76)</f>
        <v/>
      </c>
      <c r="AL76" s="137">
        <f>IF(ISNUMBER('Assumptions'!$B$10),'Assumptions'!$B$10+AK76,"")</f>
        <v/>
      </c>
      <c r="AM76" s="137">
        <f>SUM(O76,Q76,T76)-N76-SUM(AC76:AI76)+IF('Funding'!$N$11=0,AE76,0)-IF('Funding'!$N$11&gt;0,AB76,0)</f>
        <v/>
      </c>
      <c r="AN76" s="137">
        <f>SUM(AM42:AM76)</f>
        <v/>
      </c>
      <c r="AO76" s="137">
        <f>IF(ISNUMBER('Assumptions'!$B$10),'Assumptions'!$B$10+AN76,"")</f>
        <v/>
      </c>
      <c r="AP76" s="137">
        <f>('Production schedule'!AK148)*'Responsibilities'!$C$6+('Production schedule'!AK184)*'Responsibilities'!$C$7+('Production schedule'!AK220)*'Responsibilities'!$C$8</f>
        <v/>
      </c>
      <c r="AQ76" s="137">
        <f>SUMIFS('Production schedule'!$AL$114:$AL$221,'Production schedule'!$C$114:$C$221,35)</f>
        <v/>
      </c>
      <c r="AR76" s="137">
        <f>IF(ISNUMBER('Assumptions'!AL76),'Assumptions'!AL76,SUM(O76:P76))</f>
        <v/>
      </c>
      <c r="AS76" s="137">
        <f>IF(ISNUMBER('Assumptions'!$B$13),MIN('Assumptions'!$B$13/'Assumptions'!$B$18/12,MAX(0,'Assumptions'!$B$13-(35-1)*'Assumptions'!$B$13/'Assumptions'!$B$18/12)),0)+IF(AND('Sites'!E6=1,35&gt;=('Sites'!F6),35&lt;('Sites'!F6)+'Assumptions'!$B$18*12),'Capital'!E6/'Assumptions'!$B$18/12,0)+IF(AND('Sites'!E7=1,35&gt;=('Sites'!F7+'Cases'!G7),35&lt;('Sites'!F7+'Cases'!G7)+'Assumptions'!$B$18*12),'Capital'!E7/'Assumptions'!$B$18/12,0)+IF(AND('Sites'!E8*'Cases'!F7=1,35&gt;=('Sites'!F8+'Cases'!G7),35&lt;('Sites'!F8+'Cases'!G7)+'Assumptions'!$B$18*12),'Capital'!E8/'Assumptions'!$B$18/12,0)</f>
        <v/>
      </c>
      <c r="AT76" s="137">
        <f>SUM(AQ76,AR76,U76)-AP76-SUM(H76:L76)-AS76-SUM(Y76,AD76,AE76,AH76)</f>
        <v/>
      </c>
      <c r="AU76" s="137">
        <f>IF(ISNUMBER('Assumptions'!$B$19),MAX(0,SUM(AT66:AT76))*'Assumptions'!$B$19-SUM(AU66:AU75),"")</f>
        <v/>
      </c>
      <c r="AV76" s="137">
        <f>IF(ISNUMBER(AU76),AT76-AU76,"")</f>
        <v/>
      </c>
      <c r="AW76" s="137">
        <f>IF(ISNUMBER('Assumptions'!$B$11),'Assumptions'!$B$11+SUM(AQ42:AQ76)-SUM(S42:S76)-SUM(T42:T76),"")</f>
        <v/>
      </c>
      <c r="AX76" s="137">
        <f>IF(ISNUMBER('Assumptions'!$B$12),'Assumptions'!$B$12+SUM(G42:G76)-SUM(AP42:AP76),"")</f>
        <v/>
      </c>
      <c r="AY76" s="137">
        <f>IF(ISNUMBER('Assumptions'!$B$13),'Assumptions'!$B$13+SUM(M42:M76)-SUM(AS42:AS76),"")</f>
        <v/>
      </c>
      <c r="AZ76" s="137">
        <f>IF(ISNUMBER('Assumptions'!$B$14),'Assumptions'!$B$14+-SUM(AF42:AF76),"")</f>
        <v/>
      </c>
      <c r="BA76" s="137">
        <f>IF(ISNUMBER('Assumptions'!$B$15),'Assumptions'!$B$15+SUM(O42:O76)+SUM(P42:P76)-SUM(AR42:AR76),"")</f>
        <v/>
      </c>
      <c r="BB76" s="137">
        <f>IF(ISNUMBER('Assumptions'!$B$16),'Assumptions'!$B$16+-SUM(AC42:AC76),"")</f>
        <v/>
      </c>
      <c r="BC76" s="137">
        <f>IF(AND(ISNUMBER('Assumptions'!$B$21),ISNUMBER('Assumptions'!$B$19)),'Assumptions'!$B$21+SUM(AU42:AU76)-SUM(AG42:AG76),"")</f>
        <v/>
      </c>
      <c r="BD76" s="137">
        <f>IF(ISNUMBER('Assumptions'!$B$20),'Assumptions'!$B$20+-SUM(AI42:AI76),"")</f>
        <v/>
      </c>
      <c r="BE76" s="137">
        <f>IF(AND(ISNUMBER('Assumptions'!$B$17),COUNT(AV42:AV76)=35),'Assumptions'!$B$17+SUM(AV42:AV76),"")</f>
        <v/>
      </c>
      <c r="BF76" s="137">
        <f>IF(COUNT(AL76,AW76:AY76)=4,SUM(AL76,AW76:AY76),"")</f>
        <v/>
      </c>
      <c r="BG76" s="137">
        <f>IF(COUNT(AZ76:BD76)=5,SUM(AZ76:BD76,AA76),"")</f>
        <v/>
      </c>
      <c r="BH76" s="137">
        <f>IF(COUNT(BF76,BG76,BE76)=3,BF76-BG76-BE76,"")</f>
        <v/>
      </c>
      <c r="BI76" s="137">
        <f>SUM(W76,X76)-Z76-AA76</f>
        <v/>
      </c>
      <c r="BJ76" s="137">
        <f>8-COUNT('Assumptions'!AL58:AL65)+COUNTBLANK('NM Play'!B33:B34)+'Costs'!E44+IF(AND('Sites'!E6=1,('Sites'!F6)&lt;=36,'Sites'!G6&gt;=25),IF(ISNUMBER('Sites'!Q6),0,1)+'Capital'!I6+COUNTBLANK('Sites'!R6)+IF('Sites'!D6="NM crew",COUNTBLANK('NM Play'!B25)+1,5-COUNT('Assumptions'!AL112:AL116)),0)+IF(AND('Sites'!E7=1,('Sites'!F7+'Cases'!G7)&lt;=36,'Sites'!G7&gt;=25),IF(ISNUMBER('Sites'!Q7),0,1)+'Capital'!I7+COUNTBLANK('Sites'!R7)+IF('Sites'!D7="NM crew",COUNTBLANK('NM Play'!B25)+1,5-COUNT('Assumptions'!AL117:AL121)),0)+IF(AND('Sites'!E8*'Cases'!F7=1,('Sites'!F8+'Cases'!G7)&lt;=36,'Sites'!G8&gt;=25),IF(ISNUMBER('Sites'!Q8),0,1)+'Capital'!I8+COUNTBLANK('Sites'!R8)+IF('Sites'!D8="NM crew",COUNTBLANK('NM Play'!B25)+1,5-COUNT('Assumptions'!AL122:AL126)),0)+IF(AND('Cases'!C7&gt;0,NOT(ISNUMBER('Assumptions'!B42))),1,0)+'Responsibilities'!$B$39</f>
        <v/>
      </c>
      <c r="BK76" s="137">
        <f>'Assumptions'!$B$50+'NM Play'!$B$83+'Funding'!$F$20+SUMIFS('Production schedule'!$AN$114:$AN$221,'Production schedule'!$C$114:$C$221,35)+IF(OR('Cases'!E7&lt;0,'Cases'!E7&gt;1,'Cases'!C7&lt;0,'Cases'!D7&lt;0,ABS(SUM('Sites'!S6:S8)-1)&gt;0.0001,MIN('Capital'!F6:F8)&lt;0,MAX('Capital'!F6:F8)&gt;1,MIN(AX76,AZ76,BB76,BA76)&lt;-0.01),1,0)+'Responsibilities'!$B$40</f>
        <v/>
      </c>
      <c r="BL76" s="137">
        <f>SUMIFS('Production schedule'!$T$114:$T$221,'Production schedule'!$C$114:$C$221,35)</f>
        <v/>
      </c>
      <c r="BM76" s="137">
        <f>D76*'NM Play'!$B$38</f>
        <v/>
      </c>
      <c r="BN76" s="137">
        <f>SUMIFS('Production schedule'!$AM$114:$AM$221,'Production schedule'!$C$114:$C$221,35)</f>
        <v/>
      </c>
      <c r="BO76" s="137">
        <f>AK76-AK75-AJ76</f>
        <v/>
      </c>
      <c r="BP76" s="137">
        <f>IF(AND('Assumptions'!$B$39&gt;=0,'Assumptions'!$B$40&gt;0),-PMT('Assumptions'!$B$39/12,'Assumptions'!$B$40*12,IF('Funding'!$N$11&gt;0,'Funding'!$N$11,'Funding'!$S$11)),"")</f>
        <v/>
      </c>
      <c r="BQ76">
        <f>('Production schedule'!AJ148)*(1-'Responsibilities'!$C$6)+('Production schedule'!AJ184)*(1-'Responsibilities'!$C$7)+('Production schedule'!AJ220)*(1-'Responsibilities'!$C$8)</f>
        <v/>
      </c>
      <c r="BR76">
        <f>('Production schedule'!AI148)*(1-'Responsibilities'!$D$6)+('Production schedule'!AI184)*(1-'Responsibilities'!$D$7)+('Production schedule'!AI220)*(1-'Responsibilities'!$D$8)</f>
        <v/>
      </c>
      <c r="BS76">
        <f>('Production schedule'!E148*(IF('Sites'!D6="Annual staff",SUM('Assumptions'!AL112,'Assumptions'!AL114),0)+SUM('Assumptions'!AL113,'Assumptions'!AL115:AL116)))*(1-'Responsibilities'!$E$6)+('Production schedule'!E184*(IF('Sites'!D7="Annual staff",SUM('Assumptions'!AL117,'Assumptions'!AL119),0)+SUM('Assumptions'!AL118,'Assumptions'!AL120:AL121)))*(1-'Responsibilities'!$E$7)+('Production schedule'!E220*(IF('Sites'!D8="Annual staff",SUM('Assumptions'!AL122,'Assumptions'!AL124),0)+SUM('Assumptions'!AL123,'Assumptions'!AL125:AL126)))*(1-'Responsibilities'!$E$8)</f>
        <v/>
      </c>
      <c r="BT76">
        <f>(IF(AND('Production schedule'!E148=1,35=MAX(('Sites'!F6),25),ISNUMBER('Sites'!Q6)),'Sites'!Q6*'Assumptions'!$B$44,0))*(1-'Responsibilities'!$F$6)+(IF(AND('Production schedule'!E184=1,35=MAX(('Sites'!F7+'Cases'!G7),25),ISNUMBER('Sites'!Q7)),'Sites'!Q7*'Assumptions'!$B$44,0))*(1-'Responsibilities'!$F$7)+(IF(AND('Production schedule'!E220=1,35=MAX(('Sites'!F8+'Cases'!G7),25),ISNUMBER('Sites'!Q8)),'Sites'!Q8*'Assumptions'!$B$44,0))*(1-'Responsibilities'!$F$8)</f>
        <v/>
      </c>
      <c r="BU76">
        <f>SUM('Costs'!E36)*'Costs'!F36/12*(1-'Responsibilities'!$C$12)+SUM('Costs'!E37)*'Costs'!F37/12*(1-'Responsibilities'!$C$13)+SUM('Costs'!E38)*'Costs'!F38/12*(1-'Responsibilities'!$C$14)+SUM('Costs'!E39)*'Costs'!F39/12*(1-'Responsibilities'!$C$15)+SUM('Costs'!E40)*'Costs'!F40/12*(1-'Responsibilities'!$C$16)</f>
        <v/>
      </c>
      <c r="BV76">
        <f>('Sites'!E6*'Capital'!E6*(IF(35='Capital'!G6,'Capital'!F6,0)+IF(35='Capital'!H6,1-'Capital'!F6,0)))*(1-'Responsibilities'!$G$6)+('Sites'!E7*'Capital'!E7*(IF(35='Capital'!G7+'Cases'!G7,'Capital'!F7,0)+IF(35='Capital'!H7+'Cases'!G7,1-'Capital'!F7,0)))*(1-'Responsibilities'!$G$7)+('Sites'!E8*'Cases'!F7*'Capital'!E8*(IF(35='Capital'!G8+'Cases'!G7,'Capital'!F8,0)+IF(35='Capital'!H8+'Cases'!G7,1-'Capital'!F8,0)))*(1-'Responsibilities'!$G$8)</f>
        <v/>
      </c>
      <c r="BW76">
        <f>SUM(BQ76:BV76)</f>
        <v/>
      </c>
      <c r="BX76">
        <f>N76+BW76</f>
        <v/>
      </c>
      <c r="BY76">
        <f>BX76-(('Production schedule'!AJ148)*'Responsibilities'!$C$6+('Production schedule'!AJ184)*'Responsibilities'!$C$7+('Production schedule'!AJ220)*'Responsibilities'!$C$8+('Production schedule'!AJ148)*(1-'Responsibilities'!$C$6)+('Production schedule'!AJ184)*(1-'Responsibilities'!$C$7)+('Production schedule'!AJ220)*(1-'Responsibilities'!$C$8)+('Production schedule'!AI148)*'Responsibilities'!$D$6+('Production schedule'!AI184)*'Responsibilities'!$D$7+('Production schedule'!AI220)*'Responsibilities'!$D$8+('Production schedule'!AI148)*(1-'Responsibilities'!$D$6)+('Production schedule'!AI184)*(1-'Responsibilities'!$D$7)+('Production schedule'!AI220)*(1-'Responsibilities'!$D$8)+('Production schedule'!E148*(IF('Sites'!D6="Annual staff",SUM('Assumptions'!AL112,'Assumptions'!AL114),0)+SUM('Assumptions'!AL113,'Assumptions'!AL115:AL116)))*'Responsibilities'!$E$6+('Production schedule'!E184*(IF('Sites'!D7="Annual staff",SUM('Assumptions'!AL117,'Assumptions'!AL119),0)+SUM('Assumptions'!AL118,'Assumptions'!AL120:AL121)))*'Responsibilities'!$E$7+('Production schedule'!E220*(IF('Sites'!D8="Annual staff",SUM('Assumptions'!AL122,'Assumptions'!AL124),0)+SUM('Assumptions'!AL123,'Assumptions'!AL125:AL126)))*'Responsibilities'!$E$8+('Production schedule'!E148*(IF('Sites'!D6="Annual staff",SUM('Assumptions'!AL112,'Assumptions'!AL114),0)+SUM('Assumptions'!AL113,'Assumptions'!AL115:AL116)))*(1-'Responsibilities'!$E$6)+('Production schedule'!E184*(IF('Sites'!D7="Annual staff",SUM('Assumptions'!AL117,'Assumptions'!AL119),0)+SUM('Assumptions'!AL118,'Assumptions'!AL120:AL121)))*(1-'Responsibilities'!$E$7)+('Production schedule'!E220*(IF('Sites'!D8="Annual staff",SUM('Assumptions'!AL122,'Assumptions'!AL124),0)+SUM('Assumptions'!AL123,'Assumptions'!AL125:AL126)))*(1-'Responsibilities'!$E$8)+(IF(AND('Production schedule'!E148=1,35=MAX(('Sites'!F6),25),ISNUMBER('Sites'!Q6)),'Sites'!Q6*'Assumptions'!$B$44,0))*'Responsibilities'!$F$6+(IF(AND('Production schedule'!E184=1,35=MAX(('Sites'!F7+'Cases'!G7),25),ISNUMBER('Sites'!Q7)),'Sites'!Q7*'Assumptions'!$B$44,0))*'Responsibilities'!$F$7+(IF(AND('Production schedule'!E220=1,35=MAX(('Sites'!F8+'Cases'!G7),25),ISNUMBER('Sites'!Q8)),'Sites'!Q8*'Assumptions'!$B$44,0))*'Responsibilities'!$F$8+(IF(AND('Production schedule'!E148=1,35=MAX(('Sites'!F6),25),ISNUMBER('Sites'!Q6)),'Sites'!Q6*'Assumptions'!$B$44,0))*(1-'Responsibilities'!$F$6)+(IF(AND('Production schedule'!E184=1,35=MAX(('Sites'!F7+'Cases'!G7),25),ISNUMBER('Sites'!Q7)),'Sites'!Q7*'Assumptions'!$B$44,0))*(1-'Responsibilities'!$F$7)+(IF(AND('Production schedule'!E220=1,35=MAX(('Sites'!F8+'Cases'!G7),25),ISNUMBER('Sites'!Q8)),'Sites'!Q8*'Assumptions'!$B$44,0))*(1-'Responsibilities'!$F$8)+('Sites'!E6*'Capital'!E6*(IF(35='Capital'!G6,'Capital'!F6,0)+IF(35='Capital'!H6,1-'Capital'!F6,0)))*'Responsibilities'!$G$6+('Sites'!E7*'Capital'!E7*(IF(35='Capital'!G7+'Cases'!G7,'Capital'!F7,0)+IF(35='Capital'!H7+'Cases'!G7,1-'Capital'!F7,0)))*'Responsibilities'!$G$7+('Sites'!E8*'Cases'!F7*'Capital'!E8*(IF(35='Capital'!G8+'Cases'!G7,'Capital'!F8,0)+IF(35='Capital'!H8+'Cases'!G7,1-'Capital'!F8,0)))*'Responsibilities'!$G$8+('Sites'!E6*'Capital'!E6*(IF(35='Capital'!G6,'Capital'!F6,0)+IF(35='Capital'!H6,1-'Capital'!F6,0)))*(1-'Responsibilities'!$G$6)+('Sites'!E7*'Capital'!E7*(IF(35='Capital'!G7+'Cases'!G7,'Capital'!F7,0)+IF(35='Capital'!H7+'Cases'!G7,1-'Capital'!F7,0)))*(1-'Responsibilities'!$G$7)+('Sites'!E8*'Cases'!F7*'Capital'!E8*(IF(35='Capital'!G8+'Cases'!G7,'Capital'!F8,0)+IF(35='Capital'!H8+'Cases'!G7,1-'Capital'!F8,0)))*(1-'Responsibilities'!$G$8)+I76+SUMPRODUCT('Costs'!$E$36:$E$40,'Costs'!$F$36:$F$40)/12+BZ76)</f>
        <v/>
      </c>
      <c r="BZ76">
        <f>SUMIFS('Responsibilities'!$B$31:$B$35,'Responsibilities'!$C$31:$C$35,35,'Responsibilities'!$D$31:$D$35,"Yes")</f>
        <v/>
      </c>
    </row>
    <row r="77" ht="28" customHeight="1">
      <c r="A77" s="4" t="inlineStr">
        <is>
          <t>Smaller</t>
        </is>
      </c>
      <c r="B77" s="4" t="n">
        <v>36</v>
      </c>
      <c r="C77" s="4">
        <f>ROUNDUP(B77/12,0)</f>
        <v/>
      </c>
      <c r="D77" s="137">
        <f>SUMIFS('Production schedule'!$N$114:$N$221,'Production schedule'!$C$114:$C$221,36)</f>
        <v/>
      </c>
      <c r="E77" s="137">
        <f>SUMIFS('Production schedule'!$Y$114:$Y$221,'Production schedule'!$C$114:$C$221,36)</f>
        <v/>
      </c>
      <c r="F77" s="137">
        <f>SUMIFS('Production schedule'!$Z$114:$Z$221,'Production schedule'!$C$114:$C$221,36)</f>
        <v/>
      </c>
      <c r="G77" s="137">
        <f>('Production schedule'!AJ149)*'Responsibilities'!$C$6+('Production schedule'!AJ185)*'Responsibilities'!$C$7+('Production schedule'!AJ221)*'Responsibilities'!$C$8</f>
        <v/>
      </c>
      <c r="H77" s="137">
        <f>('Production schedule'!AI149)*'Responsibilities'!$D$6+('Production schedule'!AI185)*'Responsibilities'!$D$7+('Production schedule'!AI221)*'Responsibilities'!$D$8</f>
        <v/>
      </c>
      <c r="I77" s="137">
        <f>SUM('Assumptions'!AM58:AM65)</f>
        <v/>
      </c>
      <c r="J77" s="137">
        <f>('Production schedule'!E149*(IF('Sites'!D6="Annual staff",SUM('Assumptions'!AM112,'Assumptions'!AM114),0)+SUM('Assumptions'!AM113,'Assumptions'!AM115:AM116)))*'Responsibilities'!$E$6+('Production schedule'!E185*(IF('Sites'!D7="Annual staff",SUM('Assumptions'!AM117,'Assumptions'!AM119),0)+SUM('Assumptions'!AM118,'Assumptions'!AM120:AM121)))*'Responsibilities'!$E$7+('Production schedule'!E221*(IF('Sites'!D8="Annual staff",SUM('Assumptions'!AM122,'Assumptions'!AM124),0)+SUM('Assumptions'!AM123,'Assumptions'!AM125:AM126)))*'Responsibilities'!$E$8</f>
        <v/>
      </c>
      <c r="K77" s="137">
        <f>(IF(AND('Production schedule'!E149=1,36=MAX(('Sites'!F6),25),ISNUMBER('Sites'!Q6)),'Sites'!Q6*'Assumptions'!$B$44,0))*'Responsibilities'!$F$6+(IF(AND('Production schedule'!E185=1,36=MAX(('Sites'!F7+'Cases'!G7),25),ISNUMBER('Sites'!Q7)),'Sites'!Q7*'Assumptions'!$B$44,0))*'Responsibilities'!$F$7+(IF(AND('Production schedule'!E221=1,36=MAX(('Sites'!F8+'Cases'!G7),25),ISNUMBER('Sites'!Q8)),'Sites'!Q8*'Assumptions'!$B$44,0))*'Responsibilities'!$F$8</f>
        <v/>
      </c>
      <c r="L77" s="137">
        <f>SUM('Costs'!E36)*'Costs'!F36/12*'Responsibilities'!$C$12+SUM('Costs'!E37)*'Costs'!F37/12*'Responsibilities'!$C$13+SUM('Costs'!E38)*'Costs'!F38/12*'Responsibilities'!$C$14+SUM('Costs'!E39)*'Costs'!F39/12*'Responsibilities'!$C$15+SUM('Costs'!E40)*'Costs'!F40/12*'Responsibilities'!$C$16+BZ77</f>
        <v/>
      </c>
      <c r="M77" s="137">
        <f>('Sites'!E6*'Capital'!E6*(IF(36='Capital'!G6,'Capital'!F6,0)+IF(36='Capital'!H6,1-'Capital'!F6,0)))*'Responsibilities'!$G$6+('Sites'!E7*'Capital'!E7*(IF(36='Capital'!G7+'Cases'!G7,'Capital'!F7,0)+IF(36='Capital'!H7+'Cases'!G7,1-'Capital'!F7,0)))*'Responsibilities'!$G$7+('Sites'!E8*'Cases'!F7*'Capital'!E8*(IF(36='Capital'!G8+'Cases'!G7,'Capital'!F8,0)+IF(36='Capital'!H8+'Cases'!G7,1-'Capital'!F8,0)))*'Responsibilities'!$G$8</f>
        <v/>
      </c>
      <c r="N77" s="137">
        <f>SUM(G77:M77)</f>
        <v/>
      </c>
      <c r="O77" s="137">
        <f>SUMIFS(FundingTranches[Secured amount],FundingTranches[Instrument],"Grant",FundingTranches[Secured month],36)</f>
        <v/>
      </c>
      <c r="P77" s="137">
        <f>SUMIFS(FundingTranches[Smaller possible],FundingTranches[Instrument],"Grant",FundingTranches[Scenario month],36-'Cases'!$D$7)</f>
        <v/>
      </c>
      <c r="Q77" s="137">
        <f>SUMIFS(FundingTranches[Secured amount],FundingTranches[Instrument],"Loan",FundingTranches[Secured month],36)</f>
        <v/>
      </c>
      <c r="R77" s="137">
        <f>SUMIFS(FundingTranches[Smaller possible],FundingTranches[Instrument],"Loan",FundingTranches[Scenario month],36-'Cases'!$D$7)</f>
        <v/>
      </c>
      <c r="S77" s="137">
        <f>IF(36&lt;='Assumptions'!$B$34,0,SUMIFS('Production schedule'!$AL$114:$AL$221,'Production schedule'!$C$114:$C$221,36-'Assumptions'!$B$34))</f>
        <v/>
      </c>
      <c r="T77" s="137">
        <f>'Assumptions'!AM70</f>
        <v/>
      </c>
      <c r="U77" s="137">
        <f>'Assumptions'!AM78</f>
        <v/>
      </c>
      <c r="V77" s="137">
        <f>SUM(O77:U77)</f>
        <v/>
      </c>
      <c r="W77" s="137">
        <f>AA76</f>
        <v/>
      </c>
      <c r="X77" s="137">
        <f>SUM(Q77:R77)</f>
        <v/>
      </c>
      <c r="Y77" s="137">
        <f>SUM(W77,X77)*'Assumptions'!$B$39/12</f>
        <v/>
      </c>
      <c r="Z77" s="137">
        <f>IF(SUM(W77,X77)&gt;0,MIN(SUM(W77,X77),MAX(0,BP77-Y77)),0)</f>
        <v/>
      </c>
      <c r="AA77" s="137">
        <f>SUM(W77,X77)-Z77</f>
        <v/>
      </c>
      <c r="AB77" s="137">
        <f>SUM(Y77:Z77)</f>
        <v/>
      </c>
      <c r="AC77" s="137">
        <f>'Assumptions'!AM72</f>
        <v/>
      </c>
      <c r="AD77" s="137">
        <f>'Assumptions'!AM73</f>
        <v/>
      </c>
      <c r="AE77" s="137">
        <f>IF(X77&gt;0,SUM('Assumptions'!$B$42),0)</f>
        <v/>
      </c>
      <c r="AF77" s="137">
        <f>'Assumptions'!AM71</f>
        <v/>
      </c>
      <c r="AG77" s="137">
        <f>'Assumptions'!AM74</f>
        <v/>
      </c>
      <c r="AH77" s="137">
        <f>'Assumptions'!AM75</f>
        <v/>
      </c>
      <c r="AI77" s="137">
        <f>'Assumptions'!AM77</f>
        <v/>
      </c>
      <c r="AJ77" s="137">
        <f>V77-N77-SUM(AB77:AI77)</f>
        <v/>
      </c>
      <c r="AK77" s="137">
        <f>SUM(AJ42:AJ77)</f>
        <v/>
      </c>
      <c r="AL77" s="137">
        <f>IF(ISNUMBER('Assumptions'!$B$10),'Assumptions'!$B$10+AK77,"")</f>
        <v/>
      </c>
      <c r="AM77" s="137">
        <f>SUM(O77,Q77,T77)-N77-SUM(AC77:AI77)+IF('Funding'!$N$11=0,AE77,0)-IF('Funding'!$N$11&gt;0,AB77,0)</f>
        <v/>
      </c>
      <c r="AN77" s="137">
        <f>SUM(AM42:AM77)</f>
        <v/>
      </c>
      <c r="AO77" s="137">
        <f>IF(ISNUMBER('Assumptions'!$B$10),'Assumptions'!$B$10+AN77,"")</f>
        <v/>
      </c>
      <c r="AP77" s="137">
        <f>('Production schedule'!AK149)*'Responsibilities'!$C$6+('Production schedule'!AK185)*'Responsibilities'!$C$7+('Production schedule'!AK221)*'Responsibilities'!$C$8</f>
        <v/>
      </c>
      <c r="AQ77" s="137">
        <f>SUMIFS('Production schedule'!$AL$114:$AL$221,'Production schedule'!$C$114:$C$221,36)</f>
        <v/>
      </c>
      <c r="AR77" s="137">
        <f>IF(ISNUMBER('Assumptions'!AM76),'Assumptions'!AM76,SUM(O77:P77))</f>
        <v/>
      </c>
      <c r="AS77" s="137">
        <f>IF(ISNUMBER('Assumptions'!$B$13),MIN('Assumptions'!$B$13/'Assumptions'!$B$18/12,MAX(0,'Assumptions'!$B$13-(36-1)*'Assumptions'!$B$13/'Assumptions'!$B$18/12)),0)+IF(AND('Sites'!E6=1,36&gt;=('Sites'!F6),36&lt;('Sites'!F6)+'Assumptions'!$B$18*12),'Capital'!E6/'Assumptions'!$B$18/12,0)+IF(AND('Sites'!E7=1,36&gt;=('Sites'!F7+'Cases'!G7),36&lt;('Sites'!F7+'Cases'!G7)+'Assumptions'!$B$18*12),'Capital'!E7/'Assumptions'!$B$18/12,0)+IF(AND('Sites'!E8*'Cases'!F7=1,36&gt;=('Sites'!F8+'Cases'!G7),36&lt;('Sites'!F8+'Cases'!G7)+'Assumptions'!$B$18*12),'Capital'!E8/'Assumptions'!$B$18/12,0)</f>
        <v/>
      </c>
      <c r="AT77" s="137">
        <f>SUM(AQ77,AR77,U77)-AP77-SUM(H77:L77)-AS77-SUM(Y77,AD77,AE77,AH77)</f>
        <v/>
      </c>
      <c r="AU77" s="137">
        <f>IF(ISNUMBER('Assumptions'!$B$19),MAX(0,SUM(AT66:AT77))*'Assumptions'!$B$19-SUM(AU66:AU76),"")</f>
        <v/>
      </c>
      <c r="AV77" s="137">
        <f>IF(ISNUMBER(AU77),AT77-AU77,"")</f>
        <v/>
      </c>
      <c r="AW77" s="137">
        <f>IF(ISNUMBER('Assumptions'!$B$11),'Assumptions'!$B$11+SUM(AQ42:AQ77)-SUM(S42:S77)-SUM(T42:T77),"")</f>
        <v/>
      </c>
      <c r="AX77" s="137">
        <f>IF(ISNUMBER('Assumptions'!$B$12),'Assumptions'!$B$12+SUM(G42:G77)-SUM(AP42:AP77),"")</f>
        <v/>
      </c>
      <c r="AY77" s="137">
        <f>IF(ISNUMBER('Assumptions'!$B$13),'Assumptions'!$B$13+SUM(M42:M77)-SUM(AS42:AS77),"")</f>
        <v/>
      </c>
      <c r="AZ77" s="137">
        <f>IF(ISNUMBER('Assumptions'!$B$14),'Assumptions'!$B$14+-SUM(AF42:AF77),"")</f>
        <v/>
      </c>
      <c r="BA77" s="137">
        <f>IF(ISNUMBER('Assumptions'!$B$15),'Assumptions'!$B$15+SUM(O42:O77)+SUM(P42:P77)-SUM(AR42:AR77),"")</f>
        <v/>
      </c>
      <c r="BB77" s="137">
        <f>IF(ISNUMBER('Assumptions'!$B$16),'Assumptions'!$B$16+-SUM(AC42:AC77),"")</f>
        <v/>
      </c>
      <c r="BC77" s="137">
        <f>IF(AND(ISNUMBER('Assumptions'!$B$21),ISNUMBER('Assumptions'!$B$19)),'Assumptions'!$B$21+SUM(AU42:AU77)-SUM(AG42:AG77),"")</f>
        <v/>
      </c>
      <c r="BD77" s="137">
        <f>IF(ISNUMBER('Assumptions'!$B$20),'Assumptions'!$B$20+-SUM(AI42:AI77),"")</f>
        <v/>
      </c>
      <c r="BE77" s="137">
        <f>IF(AND(ISNUMBER('Assumptions'!$B$17),COUNT(AV42:AV77)=36),'Assumptions'!$B$17+SUM(AV42:AV77),"")</f>
        <v/>
      </c>
      <c r="BF77" s="137">
        <f>IF(COUNT(AL77,AW77:AY77)=4,SUM(AL77,AW77:AY77),"")</f>
        <v/>
      </c>
      <c r="BG77" s="137">
        <f>IF(COUNT(AZ77:BD77)=5,SUM(AZ77:BD77,AA77),"")</f>
        <v/>
      </c>
      <c r="BH77" s="137">
        <f>IF(COUNT(BF77,BG77,BE77)=3,BF77-BG77-BE77,"")</f>
        <v/>
      </c>
      <c r="BI77" s="137">
        <f>SUM(W77,X77)-Z77-AA77</f>
        <v/>
      </c>
      <c r="BJ77" s="137">
        <f>8-COUNT('Assumptions'!AM58:AM65)+COUNTBLANK('NM Play'!B33:B34)+'Costs'!E44+IF(AND('Sites'!E6=1,('Sites'!F6)&lt;=36,'Sites'!G6&gt;=25),IF(ISNUMBER('Sites'!Q6),0,1)+'Capital'!I6+COUNTBLANK('Sites'!R6)+IF('Sites'!D6="NM crew",COUNTBLANK('NM Play'!B25)+1,5-COUNT('Assumptions'!AM112:AM116)),0)+IF(AND('Sites'!E7=1,('Sites'!F7+'Cases'!G7)&lt;=36,'Sites'!G7&gt;=25),IF(ISNUMBER('Sites'!Q7),0,1)+'Capital'!I7+COUNTBLANK('Sites'!R7)+IF('Sites'!D7="NM crew",COUNTBLANK('NM Play'!B25)+1,5-COUNT('Assumptions'!AM117:AM121)),0)+IF(AND('Sites'!E8*'Cases'!F7=1,('Sites'!F8+'Cases'!G7)&lt;=36,'Sites'!G8&gt;=25),IF(ISNUMBER('Sites'!Q8),0,1)+'Capital'!I8+COUNTBLANK('Sites'!R8)+IF('Sites'!D8="NM crew",COUNTBLANK('NM Play'!B25)+1,5-COUNT('Assumptions'!AM122:AM126)),0)+IF(AND('Cases'!C7&gt;0,NOT(ISNUMBER('Assumptions'!B42))),1,0)+'Responsibilities'!$B$39</f>
        <v/>
      </c>
      <c r="BK77" s="137">
        <f>'Assumptions'!$B$50+'NM Play'!$B$83+'Funding'!$F$20+SUMIFS('Production schedule'!$AN$114:$AN$221,'Production schedule'!$C$114:$C$221,36)+IF(OR('Cases'!E7&lt;0,'Cases'!E7&gt;1,'Cases'!C7&lt;0,'Cases'!D7&lt;0,ABS(SUM('Sites'!S6:S8)-1)&gt;0.0001,MIN('Capital'!F6:F8)&lt;0,MAX('Capital'!F6:F8)&gt;1,MIN(AX77,AZ77,BB77,BA77)&lt;-0.01),1,0)+'Responsibilities'!$B$40</f>
        <v/>
      </c>
      <c r="BL77" s="137">
        <f>SUMIFS('Production schedule'!$T$114:$T$221,'Production schedule'!$C$114:$C$221,36)</f>
        <v/>
      </c>
      <c r="BM77" s="137">
        <f>D77*'NM Play'!$B$38</f>
        <v/>
      </c>
      <c r="BN77" s="137">
        <f>SUMIFS('Production schedule'!$AM$114:$AM$221,'Production schedule'!$C$114:$C$221,36)</f>
        <v/>
      </c>
      <c r="BO77" s="137">
        <f>AK77-AK76-AJ77</f>
        <v/>
      </c>
      <c r="BP77" s="137">
        <f>IF(AND('Assumptions'!$B$39&gt;=0,'Assumptions'!$B$40&gt;0),-PMT('Assumptions'!$B$39/12,'Assumptions'!$B$40*12,IF('Funding'!$N$11&gt;0,'Funding'!$N$11,'Funding'!$S$11)),"")</f>
        <v/>
      </c>
      <c r="BQ77">
        <f>('Production schedule'!AJ149)*(1-'Responsibilities'!$C$6)+('Production schedule'!AJ185)*(1-'Responsibilities'!$C$7)+('Production schedule'!AJ221)*(1-'Responsibilities'!$C$8)</f>
        <v/>
      </c>
      <c r="BR77">
        <f>('Production schedule'!AI149)*(1-'Responsibilities'!$D$6)+('Production schedule'!AI185)*(1-'Responsibilities'!$D$7)+('Production schedule'!AI221)*(1-'Responsibilities'!$D$8)</f>
        <v/>
      </c>
      <c r="BS77">
        <f>('Production schedule'!E149*(IF('Sites'!D6="Annual staff",SUM('Assumptions'!AM112,'Assumptions'!AM114),0)+SUM('Assumptions'!AM113,'Assumptions'!AM115:AM116)))*(1-'Responsibilities'!$E$6)+('Production schedule'!E185*(IF('Sites'!D7="Annual staff",SUM('Assumptions'!AM117,'Assumptions'!AM119),0)+SUM('Assumptions'!AM118,'Assumptions'!AM120:AM121)))*(1-'Responsibilities'!$E$7)+('Production schedule'!E221*(IF('Sites'!D8="Annual staff",SUM('Assumptions'!AM122,'Assumptions'!AM124),0)+SUM('Assumptions'!AM123,'Assumptions'!AM125:AM126)))*(1-'Responsibilities'!$E$8)</f>
        <v/>
      </c>
      <c r="BT77">
        <f>(IF(AND('Production schedule'!E149=1,36=MAX(('Sites'!F6),25),ISNUMBER('Sites'!Q6)),'Sites'!Q6*'Assumptions'!$B$44,0))*(1-'Responsibilities'!$F$6)+(IF(AND('Production schedule'!E185=1,36=MAX(('Sites'!F7+'Cases'!G7),25),ISNUMBER('Sites'!Q7)),'Sites'!Q7*'Assumptions'!$B$44,0))*(1-'Responsibilities'!$F$7)+(IF(AND('Production schedule'!E221=1,36=MAX(('Sites'!F8+'Cases'!G7),25),ISNUMBER('Sites'!Q8)),'Sites'!Q8*'Assumptions'!$B$44,0))*(1-'Responsibilities'!$F$8)</f>
        <v/>
      </c>
      <c r="BU77">
        <f>SUM('Costs'!E36)*'Costs'!F36/12*(1-'Responsibilities'!$C$12)+SUM('Costs'!E37)*'Costs'!F37/12*(1-'Responsibilities'!$C$13)+SUM('Costs'!E38)*'Costs'!F38/12*(1-'Responsibilities'!$C$14)+SUM('Costs'!E39)*'Costs'!F39/12*(1-'Responsibilities'!$C$15)+SUM('Costs'!E40)*'Costs'!F40/12*(1-'Responsibilities'!$C$16)</f>
        <v/>
      </c>
      <c r="BV77">
        <f>('Sites'!E6*'Capital'!E6*(IF(36='Capital'!G6,'Capital'!F6,0)+IF(36='Capital'!H6,1-'Capital'!F6,0)))*(1-'Responsibilities'!$G$6)+('Sites'!E7*'Capital'!E7*(IF(36='Capital'!G7+'Cases'!G7,'Capital'!F7,0)+IF(36='Capital'!H7+'Cases'!G7,1-'Capital'!F7,0)))*(1-'Responsibilities'!$G$7)+('Sites'!E8*'Cases'!F7*'Capital'!E8*(IF(36='Capital'!G8+'Cases'!G7,'Capital'!F8,0)+IF(36='Capital'!H8+'Cases'!G7,1-'Capital'!F8,0)))*(1-'Responsibilities'!$G$8)</f>
        <v/>
      </c>
      <c r="BW77">
        <f>SUM(BQ77:BV77)</f>
        <v/>
      </c>
      <c r="BX77">
        <f>N77+BW77</f>
        <v/>
      </c>
      <c r="BY77">
        <f>BX77-(('Production schedule'!AJ149)*'Responsibilities'!$C$6+('Production schedule'!AJ185)*'Responsibilities'!$C$7+('Production schedule'!AJ221)*'Responsibilities'!$C$8+('Production schedule'!AJ149)*(1-'Responsibilities'!$C$6)+('Production schedule'!AJ185)*(1-'Responsibilities'!$C$7)+('Production schedule'!AJ221)*(1-'Responsibilities'!$C$8)+('Production schedule'!AI149)*'Responsibilities'!$D$6+('Production schedule'!AI185)*'Responsibilities'!$D$7+('Production schedule'!AI221)*'Responsibilities'!$D$8+('Production schedule'!AI149)*(1-'Responsibilities'!$D$6)+('Production schedule'!AI185)*(1-'Responsibilities'!$D$7)+('Production schedule'!AI221)*(1-'Responsibilities'!$D$8)+('Production schedule'!E149*(IF('Sites'!D6="Annual staff",SUM('Assumptions'!AM112,'Assumptions'!AM114),0)+SUM('Assumptions'!AM113,'Assumptions'!AM115:AM116)))*'Responsibilities'!$E$6+('Production schedule'!E185*(IF('Sites'!D7="Annual staff",SUM('Assumptions'!AM117,'Assumptions'!AM119),0)+SUM('Assumptions'!AM118,'Assumptions'!AM120:AM121)))*'Responsibilities'!$E$7+('Production schedule'!E221*(IF('Sites'!D8="Annual staff",SUM('Assumptions'!AM122,'Assumptions'!AM124),0)+SUM('Assumptions'!AM123,'Assumptions'!AM125:AM126)))*'Responsibilities'!$E$8+('Production schedule'!E149*(IF('Sites'!D6="Annual staff",SUM('Assumptions'!AM112,'Assumptions'!AM114),0)+SUM('Assumptions'!AM113,'Assumptions'!AM115:AM116)))*(1-'Responsibilities'!$E$6)+('Production schedule'!E185*(IF('Sites'!D7="Annual staff",SUM('Assumptions'!AM117,'Assumptions'!AM119),0)+SUM('Assumptions'!AM118,'Assumptions'!AM120:AM121)))*(1-'Responsibilities'!$E$7)+('Production schedule'!E221*(IF('Sites'!D8="Annual staff",SUM('Assumptions'!AM122,'Assumptions'!AM124),0)+SUM('Assumptions'!AM123,'Assumptions'!AM125:AM126)))*(1-'Responsibilities'!$E$8)+(IF(AND('Production schedule'!E149=1,36=MAX(('Sites'!F6),25),ISNUMBER('Sites'!Q6)),'Sites'!Q6*'Assumptions'!$B$44,0))*'Responsibilities'!$F$6+(IF(AND('Production schedule'!E185=1,36=MAX(('Sites'!F7+'Cases'!G7),25),ISNUMBER('Sites'!Q7)),'Sites'!Q7*'Assumptions'!$B$44,0))*'Responsibilities'!$F$7+(IF(AND('Production schedule'!E221=1,36=MAX(('Sites'!F8+'Cases'!G7),25),ISNUMBER('Sites'!Q8)),'Sites'!Q8*'Assumptions'!$B$44,0))*'Responsibilities'!$F$8+(IF(AND('Production schedule'!E149=1,36=MAX(('Sites'!F6),25),ISNUMBER('Sites'!Q6)),'Sites'!Q6*'Assumptions'!$B$44,0))*(1-'Responsibilities'!$F$6)+(IF(AND('Production schedule'!E185=1,36=MAX(('Sites'!F7+'Cases'!G7),25),ISNUMBER('Sites'!Q7)),'Sites'!Q7*'Assumptions'!$B$44,0))*(1-'Responsibilities'!$F$7)+(IF(AND('Production schedule'!E221=1,36=MAX(('Sites'!F8+'Cases'!G7),25),ISNUMBER('Sites'!Q8)),'Sites'!Q8*'Assumptions'!$B$44,0))*(1-'Responsibilities'!$F$8)+('Sites'!E6*'Capital'!E6*(IF(36='Capital'!G6,'Capital'!F6,0)+IF(36='Capital'!H6,1-'Capital'!F6,0)))*'Responsibilities'!$G$6+('Sites'!E7*'Capital'!E7*(IF(36='Capital'!G7+'Cases'!G7,'Capital'!F7,0)+IF(36='Capital'!H7+'Cases'!G7,1-'Capital'!F7,0)))*'Responsibilities'!$G$7+('Sites'!E8*'Cases'!F7*'Capital'!E8*(IF(36='Capital'!G8+'Cases'!G7,'Capital'!F8,0)+IF(36='Capital'!H8+'Cases'!G7,1-'Capital'!F8,0)))*'Responsibilities'!$G$8+('Sites'!E6*'Capital'!E6*(IF(36='Capital'!G6,'Capital'!F6,0)+IF(36='Capital'!H6,1-'Capital'!F6,0)))*(1-'Responsibilities'!$G$6)+('Sites'!E7*'Capital'!E7*(IF(36='Capital'!G7+'Cases'!G7,'Capital'!F7,0)+IF(36='Capital'!H7+'Cases'!G7,1-'Capital'!F7,0)))*(1-'Responsibilities'!$G$7)+('Sites'!E8*'Cases'!F7*'Capital'!E8*(IF(36='Capital'!G8+'Cases'!G7,'Capital'!F8,0)+IF(36='Capital'!H8+'Cases'!G7,1-'Capital'!F8,0)))*(1-'Responsibilities'!$G$8)+I77+SUMPRODUCT('Costs'!$E$36:$E$40,'Costs'!$F$36:$F$40)/12+BZ77)</f>
        <v/>
      </c>
      <c r="BZ77">
        <f>SUMIFS('Responsibilities'!$B$31:$B$35,'Responsibilities'!$C$31:$C$35,36,'Responsibilities'!$D$31:$D$35,"Yes")</f>
        <v/>
      </c>
    </row>
    <row r="78" ht="28" customHeight="1">
      <c r="A78" s="4" t="inlineStr">
        <is>
          <t>No QBE</t>
        </is>
      </c>
      <c r="B78" s="4" t="n">
        <v>1</v>
      </c>
      <c r="C78" s="4">
        <f>ROUNDUP(B78/12,0)</f>
        <v/>
      </c>
      <c r="D78" s="137">
        <f>SUMIFS('Production schedule'!$N$222:$N$329,'Production schedule'!$C$222:$C$329,1)</f>
        <v/>
      </c>
      <c r="E78" s="137">
        <f>SUMIFS('Production schedule'!$Y$222:$Y$329,'Production schedule'!$C$222:$C$329,1)</f>
        <v/>
      </c>
      <c r="F78" s="137">
        <f>SUMIFS('Production schedule'!$Z$222:$Z$329,'Production schedule'!$C$222:$C$329,1)</f>
        <v/>
      </c>
      <c r="G78" s="137">
        <f>('Production schedule'!AJ222)*'Responsibilities'!$C$6+('Production schedule'!AJ258)*'Responsibilities'!$C$7+('Production schedule'!AJ294)*'Responsibilities'!$C$8</f>
        <v/>
      </c>
      <c r="H78" s="137">
        <f>('Production schedule'!AI222)*'Responsibilities'!$D$6+('Production schedule'!AI258)*'Responsibilities'!$D$7+('Production schedule'!AI294)*'Responsibilities'!$D$8</f>
        <v/>
      </c>
      <c r="I78" s="137">
        <f>SUM('Assumptions'!D58:D65)</f>
        <v/>
      </c>
      <c r="J78" s="137">
        <f>('Production schedule'!E222*(IF('Sites'!D6="Annual staff",SUM('Assumptions'!D112,'Assumptions'!D114),0)+SUM('Assumptions'!D113,'Assumptions'!D115:D116)))*'Responsibilities'!$E$6+('Production schedule'!E258*(IF('Sites'!D7="Annual staff",SUM('Assumptions'!D117,'Assumptions'!D119),0)+SUM('Assumptions'!D118,'Assumptions'!D120:D121)))*'Responsibilities'!$E$7+('Production schedule'!E294*(IF('Sites'!D8="Annual staff",SUM('Assumptions'!D122,'Assumptions'!D124),0)+SUM('Assumptions'!D123,'Assumptions'!D125:D126)))*'Responsibilities'!$E$8</f>
        <v/>
      </c>
      <c r="K78" s="137">
        <f>(IF(AND('Production schedule'!E222=1,1=MAX(('Sites'!F6),1),ISNUMBER('Sites'!O6)),'Sites'!O6*'Assumptions'!$B$44,0))*'Responsibilities'!$F$6+(IF(AND('Production schedule'!E258=1,1=MAX(('Sites'!F7+'Cases'!G8),1),ISNUMBER('Sites'!O7)),'Sites'!O7*'Assumptions'!$B$44,0))*'Responsibilities'!$F$7+(IF(AND('Production schedule'!E294=1,1=MAX(('Sites'!F8+'Cases'!G8),1),ISNUMBER('Sites'!O8)),'Sites'!O8*'Assumptions'!$B$44,0))*'Responsibilities'!$F$8</f>
        <v/>
      </c>
      <c r="L78" s="137">
        <f>SUM('Costs'!E36)*'Costs'!F36/12*'Responsibilities'!$C$12+SUM('Costs'!E37)*'Costs'!F37/12*'Responsibilities'!$C$13+SUM('Costs'!E38)*'Costs'!F38/12*'Responsibilities'!$C$14+SUM('Costs'!E39)*'Costs'!F39/12*'Responsibilities'!$C$15+SUM('Costs'!E40)*'Costs'!F40/12*'Responsibilities'!$C$16+BZ78</f>
        <v/>
      </c>
      <c r="M78" s="137">
        <f>('Sites'!E6*'Capital'!E6*(IF(1='Capital'!G6,'Capital'!F6,0)+IF(1='Capital'!H6,1-'Capital'!F6,0)))*'Responsibilities'!$G$6+('Sites'!E7*'Capital'!E7*(IF(1='Capital'!G7+'Cases'!G8,'Capital'!F7,0)+IF(1='Capital'!H7+'Cases'!G8,1-'Capital'!F7,0)))*'Responsibilities'!$G$7+('Sites'!E8*'Cases'!F8*'Capital'!E8*(IF(1='Capital'!G8+'Cases'!G8,'Capital'!F8,0)+IF(1='Capital'!H8+'Cases'!G8,1-'Capital'!F8,0)))*'Responsibilities'!$G$8</f>
        <v/>
      </c>
      <c r="N78" s="137">
        <f>SUM(G78:M78)</f>
        <v/>
      </c>
      <c r="O78" s="137">
        <f>SUMIFS(FundingTranches[Secured amount],FundingTranches[Instrument],"Grant",FundingTranches[Secured month],1)</f>
        <v/>
      </c>
      <c r="P78" s="137">
        <f>SUMIFS(FundingTranches[No QBE possible],FundingTranches[Instrument],"Grant",FundingTranches[Scenario month],1-'Cases'!$D$8)</f>
        <v/>
      </c>
      <c r="Q78" s="137">
        <f>SUMIFS(FundingTranches[Secured amount],FundingTranches[Instrument],"Loan",FundingTranches[Secured month],1)</f>
        <v/>
      </c>
      <c r="R78" s="137">
        <f>SUMIFS(FundingTranches[No QBE possible],FundingTranches[Instrument],"Loan",FundingTranches[Scenario month],1-'Cases'!$D$8)</f>
        <v/>
      </c>
      <c r="S78" s="137">
        <f>IF(1&lt;='Assumptions'!$B$34,0,SUMIFS('Production schedule'!$AL$222:$AL$329,'Production schedule'!$C$222:$C$329,1-'Assumptions'!$B$34))</f>
        <v/>
      </c>
      <c r="T78" s="137">
        <f>'Assumptions'!D70</f>
        <v/>
      </c>
      <c r="U78" s="137">
        <f>'Assumptions'!D78</f>
        <v/>
      </c>
      <c r="V78" s="137">
        <f>SUM(O78:U78)</f>
        <v/>
      </c>
      <c r="W78" s="137">
        <f>0</f>
        <v/>
      </c>
      <c r="X78" s="137">
        <f>SUM(Q78:R78)</f>
        <v/>
      </c>
      <c r="Y78" s="137">
        <f>SUM(W78,X78)*'Assumptions'!$B$39/12</f>
        <v/>
      </c>
      <c r="Z78" s="137">
        <f>IF(SUM(W78,X78)&gt;0,MIN(SUM(W78,X78),MAX(0,BP78-Y78)),0)</f>
        <v/>
      </c>
      <c r="AA78" s="137">
        <f>SUM(W78,X78)-Z78</f>
        <v/>
      </c>
      <c r="AB78" s="137">
        <f>SUM(Y78:Z78)</f>
        <v/>
      </c>
      <c r="AC78" s="137">
        <f>'Assumptions'!D72</f>
        <v/>
      </c>
      <c r="AD78" s="137">
        <f>'Assumptions'!D73</f>
        <v/>
      </c>
      <c r="AE78" s="137">
        <f>IF(X78&gt;0,SUM('Assumptions'!$B$42),0)</f>
        <v/>
      </c>
      <c r="AF78" s="137">
        <f>'Assumptions'!D71</f>
        <v/>
      </c>
      <c r="AG78" s="137">
        <f>'Assumptions'!D74</f>
        <v/>
      </c>
      <c r="AH78" s="137">
        <f>'Assumptions'!D75</f>
        <v/>
      </c>
      <c r="AI78" s="137">
        <f>'Assumptions'!D77</f>
        <v/>
      </c>
      <c r="AJ78" s="137">
        <f>V78-N78-SUM(AB78:AI78)</f>
        <v/>
      </c>
      <c r="AK78" s="137">
        <f>SUM(AJ78:AJ78)</f>
        <v/>
      </c>
      <c r="AL78" s="137">
        <f>IF(ISNUMBER('Assumptions'!$B$10),'Assumptions'!$B$10+AK78,"")</f>
        <v/>
      </c>
      <c r="AM78" s="137">
        <f>SUM(O78,Q78,T78)-N78-SUM(AC78:AI78)+IF('Funding'!$N$11=0,AE78,0)-IF('Funding'!$N$11&gt;0,AB78,0)</f>
        <v/>
      </c>
      <c r="AN78" s="137">
        <f>SUM(AM78:AM78)</f>
        <v/>
      </c>
      <c r="AO78" s="137">
        <f>IF(ISNUMBER('Assumptions'!$B$10),'Assumptions'!$B$10+AN78,"")</f>
        <v/>
      </c>
      <c r="AP78" s="137">
        <f>('Production schedule'!AK222)*'Responsibilities'!$C$6+('Production schedule'!AK258)*'Responsibilities'!$C$7+('Production schedule'!AK294)*'Responsibilities'!$C$8</f>
        <v/>
      </c>
      <c r="AQ78" s="137">
        <f>SUMIFS('Production schedule'!$AL$222:$AL$329,'Production schedule'!$C$222:$C$329,1)</f>
        <v/>
      </c>
      <c r="AR78" s="137">
        <f>IF(ISNUMBER('Assumptions'!D76),'Assumptions'!D76,SUM(O78:P78))</f>
        <v/>
      </c>
      <c r="AS78" s="137">
        <f>IF(ISNUMBER('Assumptions'!$B$13),MIN('Assumptions'!$B$13/'Assumptions'!$B$18/12,MAX(0,'Assumptions'!$B$13-(1-1)*'Assumptions'!$B$13/'Assumptions'!$B$18/12)),0)+IF(AND('Sites'!E6=1,1&gt;=('Sites'!F6),1&lt;('Sites'!F6)+'Assumptions'!$B$18*12),'Capital'!E6/'Assumptions'!$B$18/12,0)+IF(AND('Sites'!E7=1,1&gt;=('Sites'!F7+'Cases'!G8),1&lt;('Sites'!F7+'Cases'!G8)+'Assumptions'!$B$18*12),'Capital'!E7/'Assumptions'!$B$18/12,0)+IF(AND('Sites'!E8*'Cases'!F8=1,1&gt;=('Sites'!F8+'Cases'!G8),1&lt;('Sites'!F8+'Cases'!G8)+'Assumptions'!$B$18*12),'Capital'!E8/'Assumptions'!$B$18/12,0)</f>
        <v/>
      </c>
      <c r="AT78" s="137">
        <f>SUM(AQ78,AR78,U78)-AP78-SUM(H78:L78)-AS78-SUM(Y78,AD78,AE78,AH78)</f>
        <v/>
      </c>
      <c r="AU78" s="137">
        <f>IF(ISNUMBER('Assumptions'!$B$19),MAX(0,SUM(AT78:AT78))*'Assumptions'!$B$19-0,"")</f>
        <v/>
      </c>
      <c r="AV78" s="137">
        <f>IF(ISNUMBER(AU78),AT78-AU78,"")</f>
        <v/>
      </c>
      <c r="AW78" s="137">
        <f>IF(ISNUMBER('Assumptions'!$B$11),'Assumptions'!$B$11+SUM(AQ78:AQ78)-SUM(S78:S78)-SUM(T78:T78),"")</f>
        <v/>
      </c>
      <c r="AX78" s="137">
        <f>IF(ISNUMBER('Assumptions'!$B$12),'Assumptions'!$B$12+SUM(G78:G78)-SUM(AP78:AP78),"")</f>
        <v/>
      </c>
      <c r="AY78" s="137">
        <f>IF(ISNUMBER('Assumptions'!$B$13),'Assumptions'!$B$13+SUM(M78:M78)-SUM(AS78:AS78),"")</f>
        <v/>
      </c>
      <c r="AZ78" s="137">
        <f>IF(ISNUMBER('Assumptions'!$B$14),'Assumptions'!$B$14+-SUM(AF78:AF78),"")</f>
        <v/>
      </c>
      <c r="BA78" s="137">
        <f>IF(ISNUMBER('Assumptions'!$B$15),'Assumptions'!$B$15+SUM(O78:O78)+SUM(P78:P78)-SUM(AR78:AR78),"")</f>
        <v/>
      </c>
      <c r="BB78" s="137">
        <f>IF(ISNUMBER('Assumptions'!$B$16),'Assumptions'!$B$16+-SUM(AC78:AC78),"")</f>
        <v/>
      </c>
      <c r="BC78" s="137">
        <f>IF(AND(ISNUMBER('Assumptions'!$B$21),ISNUMBER('Assumptions'!$B$19)),'Assumptions'!$B$21+SUM(AU78:AU78)-SUM(AG78:AG78),"")</f>
        <v/>
      </c>
      <c r="BD78" s="137">
        <f>IF(ISNUMBER('Assumptions'!$B$20),'Assumptions'!$B$20+-SUM(AI78:AI78),"")</f>
        <v/>
      </c>
      <c r="BE78" s="137">
        <f>IF(AND(ISNUMBER('Assumptions'!$B$17),COUNT(AV78:AV78)=1),'Assumptions'!$B$17+SUM(AV78:AV78),"")</f>
        <v/>
      </c>
      <c r="BF78" s="137">
        <f>IF(COUNT(AL78,AW78:AY78)=4,SUM(AL78,AW78:AY78),"")</f>
        <v/>
      </c>
      <c r="BG78" s="137">
        <f>IF(COUNT(AZ78:BD78)=5,SUM(AZ78:BD78,AA78),"")</f>
        <v/>
      </c>
      <c r="BH78" s="137">
        <f>IF(COUNT(BF78,BG78,BE78)=3,BF78-BG78-BE78,"")</f>
        <v/>
      </c>
      <c r="BI78" s="137">
        <f>SUM(W78,X78)-Z78-AA78</f>
        <v/>
      </c>
      <c r="BJ78" s="137">
        <f>8-COUNT('Assumptions'!D58:D65)+COUNTBLANK('NM Play'!B33:B34)+'Costs'!E44+IF(AND('Sites'!E6=1,('Sites'!F6)&lt;=12,'Sites'!G6&gt;=1),IF(ISNUMBER('Sites'!O6),0,1)+'Capital'!I6+COUNTBLANK('Sites'!R6)+IF('Sites'!D6="NM crew",COUNTBLANK('NM Play'!B25)+1,5-COUNT('Assumptions'!D112:D116)),0)+IF(AND('Sites'!E7=1,('Sites'!F7+'Cases'!G8)&lt;=12,'Sites'!G7&gt;=1),IF(ISNUMBER('Sites'!O7),0,1)+'Capital'!I7+COUNTBLANK('Sites'!R7)+IF('Sites'!D7="NM crew",COUNTBLANK('NM Play'!B25)+1,5-COUNT('Assumptions'!D117:D121)),0)+IF(AND('Sites'!E8*'Cases'!F8=1,('Sites'!F8+'Cases'!G8)&lt;=12,'Sites'!G8&gt;=1),IF(ISNUMBER('Sites'!O8),0,1)+'Capital'!I8+COUNTBLANK('Sites'!R8)+IF('Sites'!D8="NM crew",COUNTBLANK('NM Play'!B25)+1,5-COUNT('Assumptions'!D122:D126)),0)+IF(AND('Cases'!C8&gt;0,NOT(ISNUMBER('Assumptions'!B42))),1,0)+'Responsibilities'!$B$39</f>
        <v/>
      </c>
      <c r="BK78" s="137">
        <f>'Assumptions'!$B$50+'NM Play'!$B$83+'Funding'!$F$20+SUMIFS('Production schedule'!$AN$222:$AN$329,'Production schedule'!$C$222:$C$329,1)+IF(OR('Cases'!E8&lt;0,'Cases'!E8&gt;1,'Cases'!C8&lt;0,'Cases'!D8&lt;0,ABS(SUM('Sites'!S6:S8)-1)&gt;0.0001,MIN('Capital'!F6:F8)&lt;0,MAX('Capital'!F6:F8)&gt;1,MIN(AX78,AZ78,BB78,BA78)&lt;-0.01),1,0)+'Responsibilities'!$B$40</f>
        <v/>
      </c>
      <c r="BL78" s="137">
        <f>SUMIFS('Production schedule'!$T$222:$T$329,'Production schedule'!$C$222:$C$329,1)</f>
        <v/>
      </c>
      <c r="BM78" s="137">
        <f>D78*'NM Play'!$B$38</f>
        <v/>
      </c>
      <c r="BN78" s="137">
        <f>SUMIFS('Production schedule'!$AM$222:$AM$329,'Production schedule'!$C$222:$C$329,1)</f>
        <v/>
      </c>
      <c r="BO78" s="137">
        <f>AK78-0-AJ78</f>
        <v/>
      </c>
      <c r="BP78" s="137">
        <f>IF(AND('Assumptions'!$B$39&gt;=0,'Assumptions'!$B$40&gt;0),-PMT('Assumptions'!$B$39/12,'Assumptions'!$B$40*12,IF('Funding'!$N$11&gt;0,'Funding'!$N$11,'Funding'!$T$11)),"")</f>
        <v/>
      </c>
      <c r="BQ78">
        <f>('Production schedule'!AJ222)*(1-'Responsibilities'!$C$6)+('Production schedule'!AJ258)*(1-'Responsibilities'!$C$7)+('Production schedule'!AJ294)*(1-'Responsibilities'!$C$8)</f>
        <v/>
      </c>
      <c r="BR78">
        <f>('Production schedule'!AI222)*(1-'Responsibilities'!$D$6)+('Production schedule'!AI258)*(1-'Responsibilities'!$D$7)+('Production schedule'!AI294)*(1-'Responsibilities'!$D$8)</f>
        <v/>
      </c>
      <c r="BS78">
        <f>('Production schedule'!E222*(IF('Sites'!D6="Annual staff",SUM('Assumptions'!D112,'Assumptions'!D114),0)+SUM('Assumptions'!D113,'Assumptions'!D115:D116)))*(1-'Responsibilities'!$E$6)+('Production schedule'!E258*(IF('Sites'!D7="Annual staff",SUM('Assumptions'!D117,'Assumptions'!D119),0)+SUM('Assumptions'!D118,'Assumptions'!D120:D121)))*(1-'Responsibilities'!$E$7)+('Production schedule'!E294*(IF('Sites'!D8="Annual staff",SUM('Assumptions'!D122,'Assumptions'!D124),0)+SUM('Assumptions'!D123,'Assumptions'!D125:D126)))*(1-'Responsibilities'!$E$8)</f>
        <v/>
      </c>
      <c r="BT78">
        <f>(IF(AND('Production schedule'!E222=1,1=MAX(('Sites'!F6),1),ISNUMBER('Sites'!O6)),'Sites'!O6*'Assumptions'!$B$44,0))*(1-'Responsibilities'!$F$6)+(IF(AND('Production schedule'!E258=1,1=MAX(('Sites'!F7+'Cases'!G8),1),ISNUMBER('Sites'!O7)),'Sites'!O7*'Assumptions'!$B$44,0))*(1-'Responsibilities'!$F$7)+(IF(AND('Production schedule'!E294=1,1=MAX(('Sites'!F8+'Cases'!G8),1),ISNUMBER('Sites'!O8)),'Sites'!O8*'Assumptions'!$B$44,0))*(1-'Responsibilities'!$F$8)</f>
        <v/>
      </c>
      <c r="BU78">
        <f>SUM('Costs'!E36)*'Costs'!F36/12*(1-'Responsibilities'!$C$12)+SUM('Costs'!E37)*'Costs'!F37/12*(1-'Responsibilities'!$C$13)+SUM('Costs'!E38)*'Costs'!F38/12*(1-'Responsibilities'!$C$14)+SUM('Costs'!E39)*'Costs'!F39/12*(1-'Responsibilities'!$C$15)+SUM('Costs'!E40)*'Costs'!F40/12*(1-'Responsibilities'!$C$16)</f>
        <v/>
      </c>
      <c r="BV78">
        <f>('Sites'!E6*'Capital'!E6*(IF(1='Capital'!G6,'Capital'!F6,0)+IF(1='Capital'!H6,1-'Capital'!F6,0)))*(1-'Responsibilities'!$G$6)+('Sites'!E7*'Capital'!E7*(IF(1='Capital'!G7+'Cases'!G8,'Capital'!F7,0)+IF(1='Capital'!H7+'Cases'!G8,1-'Capital'!F7,0)))*(1-'Responsibilities'!$G$7)+('Sites'!E8*'Cases'!F8*'Capital'!E8*(IF(1='Capital'!G8+'Cases'!G8,'Capital'!F8,0)+IF(1='Capital'!H8+'Cases'!G8,1-'Capital'!F8,0)))*(1-'Responsibilities'!$G$8)</f>
        <v/>
      </c>
      <c r="BW78">
        <f>SUM(BQ78:BV78)</f>
        <v/>
      </c>
      <c r="BX78">
        <f>N78+BW78</f>
        <v/>
      </c>
      <c r="BY78">
        <f>BX78-(('Production schedule'!AJ222)*'Responsibilities'!$C$6+('Production schedule'!AJ258)*'Responsibilities'!$C$7+('Production schedule'!AJ294)*'Responsibilities'!$C$8+('Production schedule'!AJ222)*(1-'Responsibilities'!$C$6)+('Production schedule'!AJ258)*(1-'Responsibilities'!$C$7)+('Production schedule'!AJ294)*(1-'Responsibilities'!$C$8)+('Production schedule'!AI222)*'Responsibilities'!$D$6+('Production schedule'!AI258)*'Responsibilities'!$D$7+('Production schedule'!AI294)*'Responsibilities'!$D$8+('Production schedule'!AI222)*(1-'Responsibilities'!$D$6)+('Production schedule'!AI258)*(1-'Responsibilities'!$D$7)+('Production schedule'!AI294)*(1-'Responsibilities'!$D$8)+('Production schedule'!E222*(IF('Sites'!D6="Annual staff",SUM('Assumptions'!D112,'Assumptions'!D114),0)+SUM('Assumptions'!D113,'Assumptions'!D115:D116)))*'Responsibilities'!$E$6+('Production schedule'!E258*(IF('Sites'!D7="Annual staff",SUM('Assumptions'!D117,'Assumptions'!D119),0)+SUM('Assumptions'!D118,'Assumptions'!D120:D121)))*'Responsibilities'!$E$7+('Production schedule'!E294*(IF('Sites'!D8="Annual staff",SUM('Assumptions'!D122,'Assumptions'!D124),0)+SUM('Assumptions'!D123,'Assumptions'!D125:D126)))*'Responsibilities'!$E$8+('Production schedule'!E222*(IF('Sites'!D6="Annual staff",SUM('Assumptions'!D112,'Assumptions'!D114),0)+SUM('Assumptions'!D113,'Assumptions'!D115:D116)))*(1-'Responsibilities'!$E$6)+('Production schedule'!E258*(IF('Sites'!D7="Annual staff",SUM('Assumptions'!D117,'Assumptions'!D119),0)+SUM('Assumptions'!D118,'Assumptions'!D120:D121)))*(1-'Responsibilities'!$E$7)+('Production schedule'!E294*(IF('Sites'!D8="Annual staff",SUM('Assumptions'!D122,'Assumptions'!D124),0)+SUM('Assumptions'!D123,'Assumptions'!D125:D126)))*(1-'Responsibilities'!$E$8)+(IF(AND('Production schedule'!E222=1,1=MAX(('Sites'!F6),1),ISNUMBER('Sites'!O6)),'Sites'!O6*'Assumptions'!$B$44,0))*'Responsibilities'!$F$6+(IF(AND('Production schedule'!E258=1,1=MAX(('Sites'!F7+'Cases'!G8),1),ISNUMBER('Sites'!O7)),'Sites'!O7*'Assumptions'!$B$44,0))*'Responsibilities'!$F$7+(IF(AND('Production schedule'!E294=1,1=MAX(('Sites'!F8+'Cases'!G8),1),ISNUMBER('Sites'!O8)),'Sites'!O8*'Assumptions'!$B$44,0))*'Responsibilities'!$F$8+(IF(AND('Production schedule'!E222=1,1=MAX(('Sites'!F6),1),ISNUMBER('Sites'!O6)),'Sites'!O6*'Assumptions'!$B$44,0))*(1-'Responsibilities'!$F$6)+(IF(AND('Production schedule'!E258=1,1=MAX(('Sites'!F7+'Cases'!G8),1),ISNUMBER('Sites'!O7)),'Sites'!O7*'Assumptions'!$B$44,0))*(1-'Responsibilities'!$F$7)+(IF(AND('Production schedule'!E294=1,1=MAX(('Sites'!F8+'Cases'!G8),1),ISNUMBER('Sites'!O8)),'Sites'!O8*'Assumptions'!$B$44,0))*(1-'Responsibilities'!$F$8)+('Sites'!E6*'Capital'!E6*(IF(1='Capital'!G6,'Capital'!F6,0)+IF(1='Capital'!H6,1-'Capital'!F6,0)))*'Responsibilities'!$G$6+('Sites'!E7*'Capital'!E7*(IF(1='Capital'!G7+'Cases'!G8,'Capital'!F7,0)+IF(1='Capital'!H7+'Cases'!G8,1-'Capital'!F7,0)))*'Responsibilities'!$G$7+('Sites'!E8*'Cases'!F8*'Capital'!E8*(IF(1='Capital'!G8+'Cases'!G8,'Capital'!F8,0)+IF(1='Capital'!H8+'Cases'!G8,1-'Capital'!F8,0)))*'Responsibilities'!$G$8+('Sites'!E6*'Capital'!E6*(IF(1='Capital'!G6,'Capital'!F6,0)+IF(1='Capital'!H6,1-'Capital'!F6,0)))*(1-'Responsibilities'!$G$6)+('Sites'!E7*'Capital'!E7*(IF(1='Capital'!G7+'Cases'!G8,'Capital'!F7,0)+IF(1='Capital'!H7+'Cases'!G8,1-'Capital'!F7,0)))*(1-'Responsibilities'!$G$7)+('Sites'!E8*'Cases'!F8*'Capital'!E8*(IF(1='Capital'!G8+'Cases'!G8,'Capital'!F8,0)+IF(1='Capital'!H8+'Cases'!G8,1-'Capital'!F8,0)))*(1-'Responsibilities'!$G$8)+I78+SUMPRODUCT('Costs'!$E$36:$E$40,'Costs'!$F$36:$F$40)/12+BZ78)</f>
        <v/>
      </c>
      <c r="BZ78">
        <f>SUMIFS('Responsibilities'!$B$31:$B$35,'Responsibilities'!$C$31:$C$35,1,'Responsibilities'!$D$31:$D$35,"Yes")</f>
        <v/>
      </c>
    </row>
    <row r="79" ht="28" customHeight="1">
      <c r="A79" s="4" t="inlineStr">
        <is>
          <t>No QBE</t>
        </is>
      </c>
      <c r="B79" s="4" t="n">
        <v>2</v>
      </c>
      <c r="C79" s="4">
        <f>ROUNDUP(B79/12,0)</f>
        <v/>
      </c>
      <c r="D79" s="137">
        <f>SUMIFS('Production schedule'!$N$222:$N$329,'Production schedule'!$C$222:$C$329,2)</f>
        <v/>
      </c>
      <c r="E79" s="137">
        <f>SUMIFS('Production schedule'!$Y$222:$Y$329,'Production schedule'!$C$222:$C$329,2)</f>
        <v/>
      </c>
      <c r="F79" s="137">
        <f>SUMIFS('Production schedule'!$Z$222:$Z$329,'Production schedule'!$C$222:$C$329,2)</f>
        <v/>
      </c>
      <c r="G79" s="137">
        <f>('Production schedule'!AJ223)*'Responsibilities'!$C$6+('Production schedule'!AJ259)*'Responsibilities'!$C$7+('Production schedule'!AJ295)*'Responsibilities'!$C$8</f>
        <v/>
      </c>
      <c r="H79" s="137">
        <f>('Production schedule'!AI223)*'Responsibilities'!$D$6+('Production schedule'!AI259)*'Responsibilities'!$D$7+('Production schedule'!AI295)*'Responsibilities'!$D$8</f>
        <v/>
      </c>
      <c r="I79" s="137">
        <f>SUM('Assumptions'!E58:E65)</f>
        <v/>
      </c>
      <c r="J79" s="137">
        <f>('Production schedule'!E223*(IF('Sites'!D6="Annual staff",SUM('Assumptions'!E112,'Assumptions'!E114),0)+SUM('Assumptions'!E113,'Assumptions'!E115:E116)))*'Responsibilities'!$E$6+('Production schedule'!E259*(IF('Sites'!D7="Annual staff",SUM('Assumptions'!E117,'Assumptions'!E119),0)+SUM('Assumptions'!E118,'Assumptions'!E120:E121)))*'Responsibilities'!$E$7+('Production schedule'!E295*(IF('Sites'!D8="Annual staff",SUM('Assumptions'!E122,'Assumptions'!E124),0)+SUM('Assumptions'!E123,'Assumptions'!E125:E126)))*'Responsibilities'!$E$8</f>
        <v/>
      </c>
      <c r="K79" s="137">
        <f>(IF(AND('Production schedule'!E223=1,2=MAX(('Sites'!F6),1),ISNUMBER('Sites'!O6)),'Sites'!O6*'Assumptions'!$B$44,0))*'Responsibilities'!$F$6+(IF(AND('Production schedule'!E259=1,2=MAX(('Sites'!F7+'Cases'!G8),1),ISNUMBER('Sites'!O7)),'Sites'!O7*'Assumptions'!$B$44,0))*'Responsibilities'!$F$7+(IF(AND('Production schedule'!E295=1,2=MAX(('Sites'!F8+'Cases'!G8),1),ISNUMBER('Sites'!O8)),'Sites'!O8*'Assumptions'!$B$44,0))*'Responsibilities'!$F$8</f>
        <v/>
      </c>
      <c r="L79" s="137">
        <f>SUM('Costs'!E36)*'Costs'!F36/12*'Responsibilities'!$C$12+SUM('Costs'!E37)*'Costs'!F37/12*'Responsibilities'!$C$13+SUM('Costs'!E38)*'Costs'!F38/12*'Responsibilities'!$C$14+SUM('Costs'!E39)*'Costs'!F39/12*'Responsibilities'!$C$15+SUM('Costs'!E40)*'Costs'!F40/12*'Responsibilities'!$C$16+BZ79</f>
        <v/>
      </c>
      <c r="M79" s="137">
        <f>('Sites'!E6*'Capital'!E6*(IF(2='Capital'!G6,'Capital'!F6,0)+IF(2='Capital'!H6,1-'Capital'!F6,0)))*'Responsibilities'!$G$6+('Sites'!E7*'Capital'!E7*(IF(2='Capital'!G7+'Cases'!G8,'Capital'!F7,0)+IF(2='Capital'!H7+'Cases'!G8,1-'Capital'!F7,0)))*'Responsibilities'!$G$7+('Sites'!E8*'Cases'!F8*'Capital'!E8*(IF(2='Capital'!G8+'Cases'!G8,'Capital'!F8,0)+IF(2='Capital'!H8+'Cases'!G8,1-'Capital'!F8,0)))*'Responsibilities'!$G$8</f>
        <v/>
      </c>
      <c r="N79" s="137">
        <f>SUM(G79:M79)</f>
        <v/>
      </c>
      <c r="O79" s="137">
        <f>SUMIFS(FundingTranches[Secured amount],FundingTranches[Instrument],"Grant",FundingTranches[Secured month],2)</f>
        <v/>
      </c>
      <c r="P79" s="137">
        <f>SUMIFS(FundingTranches[No QBE possible],FundingTranches[Instrument],"Grant",FundingTranches[Scenario month],2-'Cases'!$D$8)</f>
        <v/>
      </c>
      <c r="Q79" s="137">
        <f>SUMIFS(FundingTranches[Secured amount],FundingTranches[Instrument],"Loan",FundingTranches[Secured month],2)</f>
        <v/>
      </c>
      <c r="R79" s="137">
        <f>SUMIFS(FundingTranches[No QBE possible],FundingTranches[Instrument],"Loan",FundingTranches[Scenario month],2-'Cases'!$D$8)</f>
        <v/>
      </c>
      <c r="S79" s="137">
        <f>IF(2&lt;='Assumptions'!$B$34,0,SUMIFS('Production schedule'!$AL$222:$AL$329,'Production schedule'!$C$222:$C$329,2-'Assumptions'!$B$34))</f>
        <v/>
      </c>
      <c r="T79" s="137">
        <f>'Assumptions'!E70</f>
        <v/>
      </c>
      <c r="U79" s="137">
        <f>'Assumptions'!E78</f>
        <v/>
      </c>
      <c r="V79" s="137">
        <f>SUM(O79:U79)</f>
        <v/>
      </c>
      <c r="W79" s="137">
        <f>AA78</f>
        <v/>
      </c>
      <c r="X79" s="137">
        <f>SUM(Q79:R79)</f>
        <v/>
      </c>
      <c r="Y79" s="137">
        <f>SUM(W79,X79)*'Assumptions'!$B$39/12</f>
        <v/>
      </c>
      <c r="Z79" s="137">
        <f>IF(SUM(W79,X79)&gt;0,MIN(SUM(W79,X79),MAX(0,BP79-Y79)),0)</f>
        <v/>
      </c>
      <c r="AA79" s="137">
        <f>SUM(W79,X79)-Z79</f>
        <v/>
      </c>
      <c r="AB79" s="137">
        <f>SUM(Y79:Z79)</f>
        <v/>
      </c>
      <c r="AC79" s="137">
        <f>'Assumptions'!E72</f>
        <v/>
      </c>
      <c r="AD79" s="137">
        <f>'Assumptions'!E73</f>
        <v/>
      </c>
      <c r="AE79" s="137">
        <f>IF(X79&gt;0,SUM('Assumptions'!$B$42),0)</f>
        <v/>
      </c>
      <c r="AF79" s="137">
        <f>'Assumptions'!E71</f>
        <v/>
      </c>
      <c r="AG79" s="137">
        <f>'Assumptions'!E74</f>
        <v/>
      </c>
      <c r="AH79" s="137">
        <f>'Assumptions'!E75</f>
        <v/>
      </c>
      <c r="AI79" s="137">
        <f>'Assumptions'!E77</f>
        <v/>
      </c>
      <c r="AJ79" s="137">
        <f>V79-N79-SUM(AB79:AI79)</f>
        <v/>
      </c>
      <c r="AK79" s="137">
        <f>SUM(AJ78:AJ79)</f>
        <v/>
      </c>
      <c r="AL79" s="137">
        <f>IF(ISNUMBER('Assumptions'!$B$10),'Assumptions'!$B$10+AK79,"")</f>
        <v/>
      </c>
      <c r="AM79" s="137">
        <f>SUM(O79,Q79,T79)-N79-SUM(AC79:AI79)+IF('Funding'!$N$11=0,AE79,0)-IF('Funding'!$N$11&gt;0,AB79,0)</f>
        <v/>
      </c>
      <c r="AN79" s="137">
        <f>SUM(AM78:AM79)</f>
        <v/>
      </c>
      <c r="AO79" s="137">
        <f>IF(ISNUMBER('Assumptions'!$B$10),'Assumptions'!$B$10+AN79,"")</f>
        <v/>
      </c>
      <c r="AP79" s="137">
        <f>('Production schedule'!AK223)*'Responsibilities'!$C$6+('Production schedule'!AK259)*'Responsibilities'!$C$7+('Production schedule'!AK295)*'Responsibilities'!$C$8</f>
        <v/>
      </c>
      <c r="AQ79" s="137">
        <f>SUMIFS('Production schedule'!$AL$222:$AL$329,'Production schedule'!$C$222:$C$329,2)</f>
        <v/>
      </c>
      <c r="AR79" s="137">
        <f>IF(ISNUMBER('Assumptions'!E76),'Assumptions'!E76,SUM(O79:P79))</f>
        <v/>
      </c>
      <c r="AS79" s="137">
        <f>IF(ISNUMBER('Assumptions'!$B$13),MIN('Assumptions'!$B$13/'Assumptions'!$B$18/12,MAX(0,'Assumptions'!$B$13-(2-1)*'Assumptions'!$B$13/'Assumptions'!$B$18/12)),0)+IF(AND('Sites'!E6=1,2&gt;=('Sites'!F6),2&lt;('Sites'!F6)+'Assumptions'!$B$18*12),'Capital'!E6/'Assumptions'!$B$18/12,0)+IF(AND('Sites'!E7=1,2&gt;=('Sites'!F7+'Cases'!G8),2&lt;('Sites'!F7+'Cases'!G8)+'Assumptions'!$B$18*12),'Capital'!E7/'Assumptions'!$B$18/12,0)+IF(AND('Sites'!E8*'Cases'!F8=1,2&gt;=('Sites'!F8+'Cases'!G8),2&lt;('Sites'!F8+'Cases'!G8)+'Assumptions'!$B$18*12),'Capital'!E8/'Assumptions'!$B$18/12,0)</f>
        <v/>
      </c>
      <c r="AT79" s="137">
        <f>SUM(AQ79,AR79,U79)-AP79-SUM(H79:L79)-AS79-SUM(Y79,AD79,AE79,AH79)</f>
        <v/>
      </c>
      <c r="AU79" s="137">
        <f>IF(ISNUMBER('Assumptions'!$B$19),MAX(0,SUM(AT78:AT79))*'Assumptions'!$B$19-SUM(AU78:AU78),"")</f>
        <v/>
      </c>
      <c r="AV79" s="137">
        <f>IF(ISNUMBER(AU79),AT79-AU79,"")</f>
        <v/>
      </c>
      <c r="AW79" s="137">
        <f>IF(ISNUMBER('Assumptions'!$B$11),'Assumptions'!$B$11+SUM(AQ78:AQ79)-SUM(S78:S79)-SUM(T78:T79),"")</f>
        <v/>
      </c>
      <c r="AX79" s="137">
        <f>IF(ISNUMBER('Assumptions'!$B$12),'Assumptions'!$B$12+SUM(G78:G79)-SUM(AP78:AP79),"")</f>
        <v/>
      </c>
      <c r="AY79" s="137">
        <f>IF(ISNUMBER('Assumptions'!$B$13),'Assumptions'!$B$13+SUM(M78:M79)-SUM(AS78:AS79),"")</f>
        <v/>
      </c>
      <c r="AZ79" s="137">
        <f>IF(ISNUMBER('Assumptions'!$B$14),'Assumptions'!$B$14+-SUM(AF78:AF79),"")</f>
        <v/>
      </c>
      <c r="BA79" s="137">
        <f>IF(ISNUMBER('Assumptions'!$B$15),'Assumptions'!$B$15+SUM(O78:O79)+SUM(P78:P79)-SUM(AR78:AR79),"")</f>
        <v/>
      </c>
      <c r="BB79" s="137">
        <f>IF(ISNUMBER('Assumptions'!$B$16),'Assumptions'!$B$16+-SUM(AC78:AC79),"")</f>
        <v/>
      </c>
      <c r="BC79" s="137">
        <f>IF(AND(ISNUMBER('Assumptions'!$B$21),ISNUMBER('Assumptions'!$B$19)),'Assumptions'!$B$21+SUM(AU78:AU79)-SUM(AG78:AG79),"")</f>
        <v/>
      </c>
      <c r="BD79" s="137">
        <f>IF(ISNUMBER('Assumptions'!$B$20),'Assumptions'!$B$20+-SUM(AI78:AI79),"")</f>
        <v/>
      </c>
      <c r="BE79" s="137">
        <f>IF(AND(ISNUMBER('Assumptions'!$B$17),COUNT(AV78:AV79)=2),'Assumptions'!$B$17+SUM(AV78:AV79),"")</f>
        <v/>
      </c>
      <c r="BF79" s="137">
        <f>IF(COUNT(AL79,AW79:AY79)=4,SUM(AL79,AW79:AY79),"")</f>
        <v/>
      </c>
      <c r="BG79" s="137">
        <f>IF(COUNT(AZ79:BD79)=5,SUM(AZ79:BD79,AA79),"")</f>
        <v/>
      </c>
      <c r="BH79" s="137">
        <f>IF(COUNT(BF79,BG79,BE79)=3,BF79-BG79-BE79,"")</f>
        <v/>
      </c>
      <c r="BI79" s="137">
        <f>SUM(W79,X79)-Z79-AA79</f>
        <v/>
      </c>
      <c r="BJ79" s="137">
        <f>8-COUNT('Assumptions'!E58:E65)+COUNTBLANK('NM Play'!B33:B34)+'Costs'!E44+IF(AND('Sites'!E6=1,('Sites'!F6)&lt;=12,'Sites'!G6&gt;=1),IF(ISNUMBER('Sites'!O6),0,1)+'Capital'!I6+COUNTBLANK('Sites'!R6)+IF('Sites'!D6="NM crew",COUNTBLANK('NM Play'!B25)+1,5-COUNT('Assumptions'!E112:E116)),0)+IF(AND('Sites'!E7=1,('Sites'!F7+'Cases'!G8)&lt;=12,'Sites'!G7&gt;=1),IF(ISNUMBER('Sites'!O7),0,1)+'Capital'!I7+COUNTBLANK('Sites'!R7)+IF('Sites'!D7="NM crew",COUNTBLANK('NM Play'!B25)+1,5-COUNT('Assumptions'!E117:E121)),0)+IF(AND('Sites'!E8*'Cases'!F8=1,('Sites'!F8+'Cases'!G8)&lt;=12,'Sites'!G8&gt;=1),IF(ISNUMBER('Sites'!O8),0,1)+'Capital'!I8+COUNTBLANK('Sites'!R8)+IF('Sites'!D8="NM crew",COUNTBLANK('NM Play'!B25)+1,5-COUNT('Assumptions'!E122:E126)),0)+IF(AND('Cases'!C8&gt;0,NOT(ISNUMBER('Assumptions'!B42))),1,0)+'Responsibilities'!$B$39</f>
        <v/>
      </c>
      <c r="BK79" s="137">
        <f>'Assumptions'!$B$50+'NM Play'!$B$83+'Funding'!$F$20+SUMIFS('Production schedule'!$AN$222:$AN$329,'Production schedule'!$C$222:$C$329,2)+IF(OR('Cases'!E8&lt;0,'Cases'!E8&gt;1,'Cases'!C8&lt;0,'Cases'!D8&lt;0,ABS(SUM('Sites'!S6:S8)-1)&gt;0.0001,MIN('Capital'!F6:F8)&lt;0,MAX('Capital'!F6:F8)&gt;1,MIN(AX79,AZ79,BB79,BA79)&lt;-0.01),1,0)+'Responsibilities'!$B$40</f>
        <v/>
      </c>
      <c r="BL79" s="137">
        <f>SUMIFS('Production schedule'!$T$222:$T$329,'Production schedule'!$C$222:$C$329,2)</f>
        <v/>
      </c>
      <c r="BM79" s="137">
        <f>D79*'NM Play'!$B$38</f>
        <v/>
      </c>
      <c r="BN79" s="137">
        <f>SUMIFS('Production schedule'!$AM$222:$AM$329,'Production schedule'!$C$222:$C$329,2)</f>
        <v/>
      </c>
      <c r="BO79" s="137">
        <f>AK79-AK78-AJ79</f>
        <v/>
      </c>
      <c r="BP79" s="137">
        <f>IF(AND('Assumptions'!$B$39&gt;=0,'Assumptions'!$B$40&gt;0),-PMT('Assumptions'!$B$39/12,'Assumptions'!$B$40*12,IF('Funding'!$N$11&gt;0,'Funding'!$N$11,'Funding'!$T$11)),"")</f>
        <v/>
      </c>
      <c r="BQ79">
        <f>('Production schedule'!AJ223)*(1-'Responsibilities'!$C$6)+('Production schedule'!AJ259)*(1-'Responsibilities'!$C$7)+('Production schedule'!AJ295)*(1-'Responsibilities'!$C$8)</f>
        <v/>
      </c>
      <c r="BR79">
        <f>('Production schedule'!AI223)*(1-'Responsibilities'!$D$6)+('Production schedule'!AI259)*(1-'Responsibilities'!$D$7)+('Production schedule'!AI295)*(1-'Responsibilities'!$D$8)</f>
        <v/>
      </c>
      <c r="BS79">
        <f>('Production schedule'!E223*(IF('Sites'!D6="Annual staff",SUM('Assumptions'!E112,'Assumptions'!E114),0)+SUM('Assumptions'!E113,'Assumptions'!E115:E116)))*(1-'Responsibilities'!$E$6)+('Production schedule'!E259*(IF('Sites'!D7="Annual staff",SUM('Assumptions'!E117,'Assumptions'!E119),0)+SUM('Assumptions'!E118,'Assumptions'!E120:E121)))*(1-'Responsibilities'!$E$7)+('Production schedule'!E295*(IF('Sites'!D8="Annual staff",SUM('Assumptions'!E122,'Assumptions'!E124),0)+SUM('Assumptions'!E123,'Assumptions'!E125:E126)))*(1-'Responsibilities'!$E$8)</f>
        <v/>
      </c>
      <c r="BT79">
        <f>(IF(AND('Production schedule'!E223=1,2=MAX(('Sites'!F6),1),ISNUMBER('Sites'!O6)),'Sites'!O6*'Assumptions'!$B$44,0))*(1-'Responsibilities'!$F$6)+(IF(AND('Production schedule'!E259=1,2=MAX(('Sites'!F7+'Cases'!G8),1),ISNUMBER('Sites'!O7)),'Sites'!O7*'Assumptions'!$B$44,0))*(1-'Responsibilities'!$F$7)+(IF(AND('Production schedule'!E295=1,2=MAX(('Sites'!F8+'Cases'!G8),1),ISNUMBER('Sites'!O8)),'Sites'!O8*'Assumptions'!$B$44,0))*(1-'Responsibilities'!$F$8)</f>
        <v/>
      </c>
      <c r="BU79">
        <f>SUM('Costs'!E36)*'Costs'!F36/12*(1-'Responsibilities'!$C$12)+SUM('Costs'!E37)*'Costs'!F37/12*(1-'Responsibilities'!$C$13)+SUM('Costs'!E38)*'Costs'!F38/12*(1-'Responsibilities'!$C$14)+SUM('Costs'!E39)*'Costs'!F39/12*(1-'Responsibilities'!$C$15)+SUM('Costs'!E40)*'Costs'!F40/12*(1-'Responsibilities'!$C$16)</f>
        <v/>
      </c>
      <c r="BV79">
        <f>('Sites'!E6*'Capital'!E6*(IF(2='Capital'!G6,'Capital'!F6,0)+IF(2='Capital'!H6,1-'Capital'!F6,0)))*(1-'Responsibilities'!$G$6)+('Sites'!E7*'Capital'!E7*(IF(2='Capital'!G7+'Cases'!G8,'Capital'!F7,0)+IF(2='Capital'!H7+'Cases'!G8,1-'Capital'!F7,0)))*(1-'Responsibilities'!$G$7)+('Sites'!E8*'Cases'!F8*'Capital'!E8*(IF(2='Capital'!G8+'Cases'!G8,'Capital'!F8,0)+IF(2='Capital'!H8+'Cases'!G8,1-'Capital'!F8,0)))*(1-'Responsibilities'!$G$8)</f>
        <v/>
      </c>
      <c r="BW79">
        <f>SUM(BQ79:BV79)</f>
        <v/>
      </c>
      <c r="BX79">
        <f>N79+BW79</f>
        <v/>
      </c>
      <c r="BY79">
        <f>BX79-(('Production schedule'!AJ223)*'Responsibilities'!$C$6+('Production schedule'!AJ259)*'Responsibilities'!$C$7+('Production schedule'!AJ295)*'Responsibilities'!$C$8+('Production schedule'!AJ223)*(1-'Responsibilities'!$C$6)+('Production schedule'!AJ259)*(1-'Responsibilities'!$C$7)+('Production schedule'!AJ295)*(1-'Responsibilities'!$C$8)+('Production schedule'!AI223)*'Responsibilities'!$D$6+('Production schedule'!AI259)*'Responsibilities'!$D$7+('Production schedule'!AI295)*'Responsibilities'!$D$8+('Production schedule'!AI223)*(1-'Responsibilities'!$D$6)+('Production schedule'!AI259)*(1-'Responsibilities'!$D$7)+('Production schedule'!AI295)*(1-'Responsibilities'!$D$8)+('Production schedule'!E223*(IF('Sites'!D6="Annual staff",SUM('Assumptions'!E112,'Assumptions'!E114),0)+SUM('Assumptions'!E113,'Assumptions'!E115:E116)))*'Responsibilities'!$E$6+('Production schedule'!E259*(IF('Sites'!D7="Annual staff",SUM('Assumptions'!E117,'Assumptions'!E119),0)+SUM('Assumptions'!E118,'Assumptions'!E120:E121)))*'Responsibilities'!$E$7+('Production schedule'!E295*(IF('Sites'!D8="Annual staff",SUM('Assumptions'!E122,'Assumptions'!E124),0)+SUM('Assumptions'!E123,'Assumptions'!E125:E126)))*'Responsibilities'!$E$8+('Production schedule'!E223*(IF('Sites'!D6="Annual staff",SUM('Assumptions'!E112,'Assumptions'!E114),0)+SUM('Assumptions'!E113,'Assumptions'!E115:E116)))*(1-'Responsibilities'!$E$6)+('Production schedule'!E259*(IF('Sites'!D7="Annual staff",SUM('Assumptions'!E117,'Assumptions'!E119),0)+SUM('Assumptions'!E118,'Assumptions'!E120:E121)))*(1-'Responsibilities'!$E$7)+('Production schedule'!E295*(IF('Sites'!D8="Annual staff",SUM('Assumptions'!E122,'Assumptions'!E124),0)+SUM('Assumptions'!E123,'Assumptions'!E125:E126)))*(1-'Responsibilities'!$E$8)+(IF(AND('Production schedule'!E223=1,2=MAX(('Sites'!F6),1),ISNUMBER('Sites'!O6)),'Sites'!O6*'Assumptions'!$B$44,0))*'Responsibilities'!$F$6+(IF(AND('Production schedule'!E259=1,2=MAX(('Sites'!F7+'Cases'!G8),1),ISNUMBER('Sites'!O7)),'Sites'!O7*'Assumptions'!$B$44,0))*'Responsibilities'!$F$7+(IF(AND('Production schedule'!E295=1,2=MAX(('Sites'!F8+'Cases'!G8),1),ISNUMBER('Sites'!O8)),'Sites'!O8*'Assumptions'!$B$44,0))*'Responsibilities'!$F$8+(IF(AND('Production schedule'!E223=1,2=MAX(('Sites'!F6),1),ISNUMBER('Sites'!O6)),'Sites'!O6*'Assumptions'!$B$44,0))*(1-'Responsibilities'!$F$6)+(IF(AND('Production schedule'!E259=1,2=MAX(('Sites'!F7+'Cases'!G8),1),ISNUMBER('Sites'!O7)),'Sites'!O7*'Assumptions'!$B$44,0))*(1-'Responsibilities'!$F$7)+(IF(AND('Production schedule'!E295=1,2=MAX(('Sites'!F8+'Cases'!G8),1),ISNUMBER('Sites'!O8)),'Sites'!O8*'Assumptions'!$B$44,0))*(1-'Responsibilities'!$F$8)+('Sites'!E6*'Capital'!E6*(IF(2='Capital'!G6,'Capital'!F6,0)+IF(2='Capital'!H6,1-'Capital'!F6,0)))*'Responsibilities'!$G$6+('Sites'!E7*'Capital'!E7*(IF(2='Capital'!G7+'Cases'!G8,'Capital'!F7,0)+IF(2='Capital'!H7+'Cases'!G8,1-'Capital'!F7,0)))*'Responsibilities'!$G$7+('Sites'!E8*'Cases'!F8*'Capital'!E8*(IF(2='Capital'!G8+'Cases'!G8,'Capital'!F8,0)+IF(2='Capital'!H8+'Cases'!G8,1-'Capital'!F8,0)))*'Responsibilities'!$G$8+('Sites'!E6*'Capital'!E6*(IF(2='Capital'!G6,'Capital'!F6,0)+IF(2='Capital'!H6,1-'Capital'!F6,0)))*(1-'Responsibilities'!$G$6)+('Sites'!E7*'Capital'!E7*(IF(2='Capital'!G7+'Cases'!G8,'Capital'!F7,0)+IF(2='Capital'!H7+'Cases'!G8,1-'Capital'!F7,0)))*(1-'Responsibilities'!$G$7)+('Sites'!E8*'Cases'!F8*'Capital'!E8*(IF(2='Capital'!G8+'Cases'!G8,'Capital'!F8,0)+IF(2='Capital'!H8+'Cases'!G8,1-'Capital'!F8,0)))*(1-'Responsibilities'!$G$8)+I79+SUMPRODUCT('Costs'!$E$36:$E$40,'Costs'!$F$36:$F$40)/12+BZ79)</f>
        <v/>
      </c>
      <c r="BZ79">
        <f>SUMIFS('Responsibilities'!$B$31:$B$35,'Responsibilities'!$C$31:$C$35,2,'Responsibilities'!$D$31:$D$35,"Yes")</f>
        <v/>
      </c>
    </row>
    <row r="80" ht="28" customHeight="1">
      <c r="A80" s="4" t="inlineStr">
        <is>
          <t>No QBE</t>
        </is>
      </c>
      <c r="B80" s="4" t="n">
        <v>3</v>
      </c>
      <c r="C80" s="4">
        <f>ROUNDUP(B80/12,0)</f>
        <v/>
      </c>
      <c r="D80" s="137">
        <f>SUMIFS('Production schedule'!$N$222:$N$329,'Production schedule'!$C$222:$C$329,3)</f>
        <v/>
      </c>
      <c r="E80" s="137">
        <f>SUMIFS('Production schedule'!$Y$222:$Y$329,'Production schedule'!$C$222:$C$329,3)</f>
        <v/>
      </c>
      <c r="F80" s="137">
        <f>SUMIFS('Production schedule'!$Z$222:$Z$329,'Production schedule'!$C$222:$C$329,3)</f>
        <v/>
      </c>
      <c r="G80" s="137">
        <f>('Production schedule'!AJ224)*'Responsibilities'!$C$6+('Production schedule'!AJ260)*'Responsibilities'!$C$7+('Production schedule'!AJ296)*'Responsibilities'!$C$8</f>
        <v/>
      </c>
      <c r="H80" s="137">
        <f>('Production schedule'!AI224)*'Responsibilities'!$D$6+('Production schedule'!AI260)*'Responsibilities'!$D$7+('Production schedule'!AI296)*'Responsibilities'!$D$8</f>
        <v/>
      </c>
      <c r="I80" s="137">
        <f>SUM('Assumptions'!F58:F65)</f>
        <v/>
      </c>
      <c r="J80" s="137">
        <f>('Production schedule'!E224*(IF('Sites'!D6="Annual staff",SUM('Assumptions'!F112,'Assumptions'!F114),0)+SUM('Assumptions'!F113,'Assumptions'!F115:F116)))*'Responsibilities'!$E$6+('Production schedule'!E260*(IF('Sites'!D7="Annual staff",SUM('Assumptions'!F117,'Assumptions'!F119),0)+SUM('Assumptions'!F118,'Assumptions'!F120:F121)))*'Responsibilities'!$E$7+('Production schedule'!E296*(IF('Sites'!D8="Annual staff",SUM('Assumptions'!F122,'Assumptions'!F124),0)+SUM('Assumptions'!F123,'Assumptions'!F125:F126)))*'Responsibilities'!$E$8</f>
        <v/>
      </c>
      <c r="K80" s="137">
        <f>(IF(AND('Production schedule'!E224=1,3=MAX(('Sites'!F6),1),ISNUMBER('Sites'!O6)),'Sites'!O6*'Assumptions'!$B$44,0))*'Responsibilities'!$F$6+(IF(AND('Production schedule'!E260=1,3=MAX(('Sites'!F7+'Cases'!G8),1),ISNUMBER('Sites'!O7)),'Sites'!O7*'Assumptions'!$B$44,0))*'Responsibilities'!$F$7+(IF(AND('Production schedule'!E296=1,3=MAX(('Sites'!F8+'Cases'!G8),1),ISNUMBER('Sites'!O8)),'Sites'!O8*'Assumptions'!$B$44,0))*'Responsibilities'!$F$8</f>
        <v/>
      </c>
      <c r="L80" s="137">
        <f>SUM('Costs'!E36)*'Costs'!F36/12*'Responsibilities'!$C$12+SUM('Costs'!E37)*'Costs'!F37/12*'Responsibilities'!$C$13+SUM('Costs'!E38)*'Costs'!F38/12*'Responsibilities'!$C$14+SUM('Costs'!E39)*'Costs'!F39/12*'Responsibilities'!$C$15+SUM('Costs'!E40)*'Costs'!F40/12*'Responsibilities'!$C$16+BZ80</f>
        <v/>
      </c>
      <c r="M80" s="137">
        <f>('Sites'!E6*'Capital'!E6*(IF(3='Capital'!G6,'Capital'!F6,0)+IF(3='Capital'!H6,1-'Capital'!F6,0)))*'Responsibilities'!$G$6+('Sites'!E7*'Capital'!E7*(IF(3='Capital'!G7+'Cases'!G8,'Capital'!F7,0)+IF(3='Capital'!H7+'Cases'!G8,1-'Capital'!F7,0)))*'Responsibilities'!$G$7+('Sites'!E8*'Cases'!F8*'Capital'!E8*(IF(3='Capital'!G8+'Cases'!G8,'Capital'!F8,0)+IF(3='Capital'!H8+'Cases'!G8,1-'Capital'!F8,0)))*'Responsibilities'!$G$8</f>
        <v/>
      </c>
      <c r="N80" s="137">
        <f>SUM(G80:M80)</f>
        <v/>
      </c>
      <c r="O80" s="137">
        <f>SUMIFS(FundingTranches[Secured amount],FundingTranches[Instrument],"Grant",FundingTranches[Secured month],3)</f>
        <v/>
      </c>
      <c r="P80" s="137">
        <f>SUMIFS(FundingTranches[No QBE possible],FundingTranches[Instrument],"Grant",FundingTranches[Scenario month],3-'Cases'!$D$8)</f>
        <v/>
      </c>
      <c r="Q80" s="137">
        <f>SUMIFS(FundingTranches[Secured amount],FundingTranches[Instrument],"Loan",FundingTranches[Secured month],3)</f>
        <v/>
      </c>
      <c r="R80" s="137">
        <f>SUMIFS(FundingTranches[No QBE possible],FundingTranches[Instrument],"Loan",FundingTranches[Scenario month],3-'Cases'!$D$8)</f>
        <v/>
      </c>
      <c r="S80" s="137">
        <f>IF(3&lt;='Assumptions'!$B$34,0,SUMIFS('Production schedule'!$AL$222:$AL$329,'Production schedule'!$C$222:$C$329,3-'Assumptions'!$B$34))</f>
        <v/>
      </c>
      <c r="T80" s="137">
        <f>'Assumptions'!F70</f>
        <v/>
      </c>
      <c r="U80" s="137">
        <f>'Assumptions'!F78</f>
        <v/>
      </c>
      <c r="V80" s="137">
        <f>SUM(O80:U80)</f>
        <v/>
      </c>
      <c r="W80" s="137">
        <f>AA79</f>
        <v/>
      </c>
      <c r="X80" s="137">
        <f>SUM(Q80:R80)</f>
        <v/>
      </c>
      <c r="Y80" s="137">
        <f>SUM(W80,X80)*'Assumptions'!$B$39/12</f>
        <v/>
      </c>
      <c r="Z80" s="137">
        <f>IF(SUM(W80,X80)&gt;0,MIN(SUM(W80,X80),MAX(0,BP80-Y80)),0)</f>
        <v/>
      </c>
      <c r="AA80" s="137">
        <f>SUM(W80,X80)-Z80</f>
        <v/>
      </c>
      <c r="AB80" s="137">
        <f>SUM(Y80:Z80)</f>
        <v/>
      </c>
      <c r="AC80" s="137">
        <f>'Assumptions'!F72</f>
        <v/>
      </c>
      <c r="AD80" s="137">
        <f>'Assumptions'!F73</f>
        <v/>
      </c>
      <c r="AE80" s="137">
        <f>IF(X80&gt;0,SUM('Assumptions'!$B$42),0)</f>
        <v/>
      </c>
      <c r="AF80" s="137">
        <f>'Assumptions'!F71</f>
        <v/>
      </c>
      <c r="AG80" s="137">
        <f>'Assumptions'!F74</f>
        <v/>
      </c>
      <c r="AH80" s="137">
        <f>'Assumptions'!F75</f>
        <v/>
      </c>
      <c r="AI80" s="137">
        <f>'Assumptions'!F77</f>
        <v/>
      </c>
      <c r="AJ80" s="137">
        <f>V80-N80-SUM(AB80:AI80)</f>
        <v/>
      </c>
      <c r="AK80" s="137">
        <f>SUM(AJ78:AJ80)</f>
        <v/>
      </c>
      <c r="AL80" s="137">
        <f>IF(ISNUMBER('Assumptions'!$B$10),'Assumptions'!$B$10+AK80,"")</f>
        <v/>
      </c>
      <c r="AM80" s="137">
        <f>SUM(O80,Q80,T80)-N80-SUM(AC80:AI80)+IF('Funding'!$N$11=0,AE80,0)-IF('Funding'!$N$11&gt;0,AB80,0)</f>
        <v/>
      </c>
      <c r="AN80" s="137">
        <f>SUM(AM78:AM80)</f>
        <v/>
      </c>
      <c r="AO80" s="137">
        <f>IF(ISNUMBER('Assumptions'!$B$10),'Assumptions'!$B$10+AN80,"")</f>
        <v/>
      </c>
      <c r="AP80" s="137">
        <f>('Production schedule'!AK224)*'Responsibilities'!$C$6+('Production schedule'!AK260)*'Responsibilities'!$C$7+('Production schedule'!AK296)*'Responsibilities'!$C$8</f>
        <v/>
      </c>
      <c r="AQ80" s="137">
        <f>SUMIFS('Production schedule'!$AL$222:$AL$329,'Production schedule'!$C$222:$C$329,3)</f>
        <v/>
      </c>
      <c r="AR80" s="137">
        <f>IF(ISNUMBER('Assumptions'!F76),'Assumptions'!F76,SUM(O80:P80))</f>
        <v/>
      </c>
      <c r="AS80" s="137">
        <f>IF(ISNUMBER('Assumptions'!$B$13),MIN('Assumptions'!$B$13/'Assumptions'!$B$18/12,MAX(0,'Assumptions'!$B$13-(3-1)*'Assumptions'!$B$13/'Assumptions'!$B$18/12)),0)+IF(AND('Sites'!E6=1,3&gt;=('Sites'!F6),3&lt;('Sites'!F6)+'Assumptions'!$B$18*12),'Capital'!E6/'Assumptions'!$B$18/12,0)+IF(AND('Sites'!E7=1,3&gt;=('Sites'!F7+'Cases'!G8),3&lt;('Sites'!F7+'Cases'!G8)+'Assumptions'!$B$18*12),'Capital'!E7/'Assumptions'!$B$18/12,0)+IF(AND('Sites'!E8*'Cases'!F8=1,3&gt;=('Sites'!F8+'Cases'!G8),3&lt;('Sites'!F8+'Cases'!G8)+'Assumptions'!$B$18*12),'Capital'!E8/'Assumptions'!$B$18/12,0)</f>
        <v/>
      </c>
      <c r="AT80" s="137">
        <f>SUM(AQ80,AR80,U80)-AP80-SUM(H80:L80)-AS80-SUM(Y80,AD80,AE80,AH80)</f>
        <v/>
      </c>
      <c r="AU80" s="137">
        <f>IF(ISNUMBER('Assumptions'!$B$19),MAX(0,SUM(AT78:AT80))*'Assumptions'!$B$19-SUM(AU78:AU79),"")</f>
        <v/>
      </c>
      <c r="AV80" s="137">
        <f>IF(ISNUMBER(AU80),AT80-AU80,"")</f>
        <v/>
      </c>
      <c r="AW80" s="137">
        <f>IF(ISNUMBER('Assumptions'!$B$11),'Assumptions'!$B$11+SUM(AQ78:AQ80)-SUM(S78:S80)-SUM(T78:T80),"")</f>
        <v/>
      </c>
      <c r="AX80" s="137">
        <f>IF(ISNUMBER('Assumptions'!$B$12),'Assumptions'!$B$12+SUM(G78:G80)-SUM(AP78:AP80),"")</f>
        <v/>
      </c>
      <c r="AY80" s="137">
        <f>IF(ISNUMBER('Assumptions'!$B$13),'Assumptions'!$B$13+SUM(M78:M80)-SUM(AS78:AS80),"")</f>
        <v/>
      </c>
      <c r="AZ80" s="137">
        <f>IF(ISNUMBER('Assumptions'!$B$14),'Assumptions'!$B$14+-SUM(AF78:AF80),"")</f>
        <v/>
      </c>
      <c r="BA80" s="137">
        <f>IF(ISNUMBER('Assumptions'!$B$15),'Assumptions'!$B$15+SUM(O78:O80)+SUM(P78:P80)-SUM(AR78:AR80),"")</f>
        <v/>
      </c>
      <c r="BB80" s="137">
        <f>IF(ISNUMBER('Assumptions'!$B$16),'Assumptions'!$B$16+-SUM(AC78:AC80),"")</f>
        <v/>
      </c>
      <c r="BC80" s="137">
        <f>IF(AND(ISNUMBER('Assumptions'!$B$21),ISNUMBER('Assumptions'!$B$19)),'Assumptions'!$B$21+SUM(AU78:AU80)-SUM(AG78:AG80),"")</f>
        <v/>
      </c>
      <c r="BD80" s="137">
        <f>IF(ISNUMBER('Assumptions'!$B$20),'Assumptions'!$B$20+-SUM(AI78:AI80),"")</f>
        <v/>
      </c>
      <c r="BE80" s="137">
        <f>IF(AND(ISNUMBER('Assumptions'!$B$17),COUNT(AV78:AV80)=3),'Assumptions'!$B$17+SUM(AV78:AV80),"")</f>
        <v/>
      </c>
      <c r="BF80" s="137">
        <f>IF(COUNT(AL80,AW80:AY80)=4,SUM(AL80,AW80:AY80),"")</f>
        <v/>
      </c>
      <c r="BG80" s="137">
        <f>IF(COUNT(AZ80:BD80)=5,SUM(AZ80:BD80,AA80),"")</f>
        <v/>
      </c>
      <c r="BH80" s="137">
        <f>IF(COUNT(BF80,BG80,BE80)=3,BF80-BG80-BE80,"")</f>
        <v/>
      </c>
      <c r="BI80" s="137">
        <f>SUM(W80,X80)-Z80-AA80</f>
        <v/>
      </c>
      <c r="BJ80" s="137">
        <f>8-COUNT('Assumptions'!F58:F65)+COUNTBLANK('NM Play'!B33:B34)+'Costs'!E44+IF(AND('Sites'!E6=1,('Sites'!F6)&lt;=12,'Sites'!G6&gt;=1),IF(ISNUMBER('Sites'!O6),0,1)+'Capital'!I6+COUNTBLANK('Sites'!R6)+IF('Sites'!D6="NM crew",COUNTBLANK('NM Play'!B25)+1,5-COUNT('Assumptions'!F112:F116)),0)+IF(AND('Sites'!E7=1,('Sites'!F7+'Cases'!G8)&lt;=12,'Sites'!G7&gt;=1),IF(ISNUMBER('Sites'!O7),0,1)+'Capital'!I7+COUNTBLANK('Sites'!R7)+IF('Sites'!D7="NM crew",COUNTBLANK('NM Play'!B25)+1,5-COUNT('Assumptions'!F117:F121)),0)+IF(AND('Sites'!E8*'Cases'!F8=1,('Sites'!F8+'Cases'!G8)&lt;=12,'Sites'!G8&gt;=1),IF(ISNUMBER('Sites'!O8),0,1)+'Capital'!I8+COUNTBLANK('Sites'!R8)+IF('Sites'!D8="NM crew",COUNTBLANK('NM Play'!B25)+1,5-COUNT('Assumptions'!F122:F126)),0)+IF(AND('Cases'!C8&gt;0,NOT(ISNUMBER('Assumptions'!B42))),1,0)+'Responsibilities'!$B$39</f>
        <v/>
      </c>
      <c r="BK80" s="137">
        <f>'Assumptions'!$B$50+'NM Play'!$B$83+'Funding'!$F$20+SUMIFS('Production schedule'!$AN$222:$AN$329,'Production schedule'!$C$222:$C$329,3)+IF(OR('Cases'!E8&lt;0,'Cases'!E8&gt;1,'Cases'!C8&lt;0,'Cases'!D8&lt;0,ABS(SUM('Sites'!S6:S8)-1)&gt;0.0001,MIN('Capital'!F6:F8)&lt;0,MAX('Capital'!F6:F8)&gt;1,MIN(AX80,AZ80,BB80,BA80)&lt;-0.01),1,0)+'Responsibilities'!$B$40</f>
        <v/>
      </c>
      <c r="BL80" s="137">
        <f>SUMIFS('Production schedule'!$T$222:$T$329,'Production schedule'!$C$222:$C$329,3)</f>
        <v/>
      </c>
      <c r="BM80" s="137">
        <f>D80*'NM Play'!$B$38</f>
        <v/>
      </c>
      <c r="BN80" s="137">
        <f>SUMIFS('Production schedule'!$AM$222:$AM$329,'Production schedule'!$C$222:$C$329,3)</f>
        <v/>
      </c>
      <c r="BO80" s="137">
        <f>AK80-AK79-AJ80</f>
        <v/>
      </c>
      <c r="BP80" s="137">
        <f>IF(AND('Assumptions'!$B$39&gt;=0,'Assumptions'!$B$40&gt;0),-PMT('Assumptions'!$B$39/12,'Assumptions'!$B$40*12,IF('Funding'!$N$11&gt;0,'Funding'!$N$11,'Funding'!$T$11)),"")</f>
        <v/>
      </c>
      <c r="BQ80">
        <f>('Production schedule'!AJ224)*(1-'Responsibilities'!$C$6)+('Production schedule'!AJ260)*(1-'Responsibilities'!$C$7)+('Production schedule'!AJ296)*(1-'Responsibilities'!$C$8)</f>
        <v/>
      </c>
      <c r="BR80">
        <f>('Production schedule'!AI224)*(1-'Responsibilities'!$D$6)+('Production schedule'!AI260)*(1-'Responsibilities'!$D$7)+('Production schedule'!AI296)*(1-'Responsibilities'!$D$8)</f>
        <v/>
      </c>
      <c r="BS80">
        <f>('Production schedule'!E224*(IF('Sites'!D6="Annual staff",SUM('Assumptions'!F112,'Assumptions'!F114),0)+SUM('Assumptions'!F113,'Assumptions'!F115:F116)))*(1-'Responsibilities'!$E$6)+('Production schedule'!E260*(IF('Sites'!D7="Annual staff",SUM('Assumptions'!F117,'Assumptions'!F119),0)+SUM('Assumptions'!F118,'Assumptions'!F120:F121)))*(1-'Responsibilities'!$E$7)+('Production schedule'!E296*(IF('Sites'!D8="Annual staff",SUM('Assumptions'!F122,'Assumptions'!F124),0)+SUM('Assumptions'!F123,'Assumptions'!F125:F126)))*(1-'Responsibilities'!$E$8)</f>
        <v/>
      </c>
      <c r="BT80">
        <f>(IF(AND('Production schedule'!E224=1,3=MAX(('Sites'!F6),1),ISNUMBER('Sites'!O6)),'Sites'!O6*'Assumptions'!$B$44,0))*(1-'Responsibilities'!$F$6)+(IF(AND('Production schedule'!E260=1,3=MAX(('Sites'!F7+'Cases'!G8),1),ISNUMBER('Sites'!O7)),'Sites'!O7*'Assumptions'!$B$44,0))*(1-'Responsibilities'!$F$7)+(IF(AND('Production schedule'!E296=1,3=MAX(('Sites'!F8+'Cases'!G8),1),ISNUMBER('Sites'!O8)),'Sites'!O8*'Assumptions'!$B$44,0))*(1-'Responsibilities'!$F$8)</f>
        <v/>
      </c>
      <c r="BU80">
        <f>SUM('Costs'!E36)*'Costs'!F36/12*(1-'Responsibilities'!$C$12)+SUM('Costs'!E37)*'Costs'!F37/12*(1-'Responsibilities'!$C$13)+SUM('Costs'!E38)*'Costs'!F38/12*(1-'Responsibilities'!$C$14)+SUM('Costs'!E39)*'Costs'!F39/12*(1-'Responsibilities'!$C$15)+SUM('Costs'!E40)*'Costs'!F40/12*(1-'Responsibilities'!$C$16)</f>
        <v/>
      </c>
      <c r="BV80">
        <f>('Sites'!E6*'Capital'!E6*(IF(3='Capital'!G6,'Capital'!F6,0)+IF(3='Capital'!H6,1-'Capital'!F6,0)))*(1-'Responsibilities'!$G$6)+('Sites'!E7*'Capital'!E7*(IF(3='Capital'!G7+'Cases'!G8,'Capital'!F7,0)+IF(3='Capital'!H7+'Cases'!G8,1-'Capital'!F7,0)))*(1-'Responsibilities'!$G$7)+('Sites'!E8*'Cases'!F8*'Capital'!E8*(IF(3='Capital'!G8+'Cases'!G8,'Capital'!F8,0)+IF(3='Capital'!H8+'Cases'!G8,1-'Capital'!F8,0)))*(1-'Responsibilities'!$G$8)</f>
        <v/>
      </c>
      <c r="BW80">
        <f>SUM(BQ80:BV80)</f>
        <v/>
      </c>
      <c r="BX80">
        <f>N80+BW80</f>
        <v/>
      </c>
      <c r="BY80">
        <f>BX80-(('Production schedule'!AJ224)*'Responsibilities'!$C$6+('Production schedule'!AJ260)*'Responsibilities'!$C$7+('Production schedule'!AJ296)*'Responsibilities'!$C$8+('Production schedule'!AJ224)*(1-'Responsibilities'!$C$6)+('Production schedule'!AJ260)*(1-'Responsibilities'!$C$7)+('Production schedule'!AJ296)*(1-'Responsibilities'!$C$8)+('Production schedule'!AI224)*'Responsibilities'!$D$6+('Production schedule'!AI260)*'Responsibilities'!$D$7+('Production schedule'!AI296)*'Responsibilities'!$D$8+('Production schedule'!AI224)*(1-'Responsibilities'!$D$6)+('Production schedule'!AI260)*(1-'Responsibilities'!$D$7)+('Production schedule'!AI296)*(1-'Responsibilities'!$D$8)+('Production schedule'!E224*(IF('Sites'!D6="Annual staff",SUM('Assumptions'!F112,'Assumptions'!F114),0)+SUM('Assumptions'!F113,'Assumptions'!F115:F116)))*'Responsibilities'!$E$6+('Production schedule'!E260*(IF('Sites'!D7="Annual staff",SUM('Assumptions'!F117,'Assumptions'!F119),0)+SUM('Assumptions'!F118,'Assumptions'!F120:F121)))*'Responsibilities'!$E$7+('Production schedule'!E296*(IF('Sites'!D8="Annual staff",SUM('Assumptions'!F122,'Assumptions'!F124),0)+SUM('Assumptions'!F123,'Assumptions'!F125:F126)))*'Responsibilities'!$E$8+('Production schedule'!E224*(IF('Sites'!D6="Annual staff",SUM('Assumptions'!F112,'Assumptions'!F114),0)+SUM('Assumptions'!F113,'Assumptions'!F115:F116)))*(1-'Responsibilities'!$E$6)+('Production schedule'!E260*(IF('Sites'!D7="Annual staff",SUM('Assumptions'!F117,'Assumptions'!F119),0)+SUM('Assumptions'!F118,'Assumptions'!F120:F121)))*(1-'Responsibilities'!$E$7)+('Production schedule'!E296*(IF('Sites'!D8="Annual staff",SUM('Assumptions'!F122,'Assumptions'!F124),0)+SUM('Assumptions'!F123,'Assumptions'!F125:F126)))*(1-'Responsibilities'!$E$8)+(IF(AND('Production schedule'!E224=1,3=MAX(('Sites'!F6),1),ISNUMBER('Sites'!O6)),'Sites'!O6*'Assumptions'!$B$44,0))*'Responsibilities'!$F$6+(IF(AND('Production schedule'!E260=1,3=MAX(('Sites'!F7+'Cases'!G8),1),ISNUMBER('Sites'!O7)),'Sites'!O7*'Assumptions'!$B$44,0))*'Responsibilities'!$F$7+(IF(AND('Production schedule'!E296=1,3=MAX(('Sites'!F8+'Cases'!G8),1),ISNUMBER('Sites'!O8)),'Sites'!O8*'Assumptions'!$B$44,0))*'Responsibilities'!$F$8+(IF(AND('Production schedule'!E224=1,3=MAX(('Sites'!F6),1),ISNUMBER('Sites'!O6)),'Sites'!O6*'Assumptions'!$B$44,0))*(1-'Responsibilities'!$F$6)+(IF(AND('Production schedule'!E260=1,3=MAX(('Sites'!F7+'Cases'!G8),1),ISNUMBER('Sites'!O7)),'Sites'!O7*'Assumptions'!$B$44,0))*(1-'Responsibilities'!$F$7)+(IF(AND('Production schedule'!E296=1,3=MAX(('Sites'!F8+'Cases'!G8),1),ISNUMBER('Sites'!O8)),'Sites'!O8*'Assumptions'!$B$44,0))*(1-'Responsibilities'!$F$8)+('Sites'!E6*'Capital'!E6*(IF(3='Capital'!G6,'Capital'!F6,0)+IF(3='Capital'!H6,1-'Capital'!F6,0)))*'Responsibilities'!$G$6+('Sites'!E7*'Capital'!E7*(IF(3='Capital'!G7+'Cases'!G8,'Capital'!F7,0)+IF(3='Capital'!H7+'Cases'!G8,1-'Capital'!F7,0)))*'Responsibilities'!$G$7+('Sites'!E8*'Cases'!F8*'Capital'!E8*(IF(3='Capital'!G8+'Cases'!G8,'Capital'!F8,0)+IF(3='Capital'!H8+'Cases'!G8,1-'Capital'!F8,0)))*'Responsibilities'!$G$8+('Sites'!E6*'Capital'!E6*(IF(3='Capital'!G6,'Capital'!F6,0)+IF(3='Capital'!H6,1-'Capital'!F6,0)))*(1-'Responsibilities'!$G$6)+('Sites'!E7*'Capital'!E7*(IF(3='Capital'!G7+'Cases'!G8,'Capital'!F7,0)+IF(3='Capital'!H7+'Cases'!G8,1-'Capital'!F7,0)))*(1-'Responsibilities'!$G$7)+('Sites'!E8*'Cases'!F8*'Capital'!E8*(IF(3='Capital'!G8+'Cases'!G8,'Capital'!F8,0)+IF(3='Capital'!H8+'Cases'!G8,1-'Capital'!F8,0)))*(1-'Responsibilities'!$G$8)+I80+SUMPRODUCT('Costs'!$E$36:$E$40,'Costs'!$F$36:$F$40)/12+BZ80)</f>
        <v/>
      </c>
      <c r="BZ80">
        <f>SUMIFS('Responsibilities'!$B$31:$B$35,'Responsibilities'!$C$31:$C$35,3,'Responsibilities'!$D$31:$D$35,"Yes")</f>
        <v/>
      </c>
    </row>
    <row r="81" ht="28" customHeight="1">
      <c r="A81" s="4" t="inlineStr">
        <is>
          <t>No QBE</t>
        </is>
      </c>
      <c r="B81" s="4" t="n">
        <v>4</v>
      </c>
      <c r="C81" s="4">
        <f>ROUNDUP(B81/12,0)</f>
        <v/>
      </c>
      <c r="D81" s="137">
        <f>SUMIFS('Production schedule'!$N$222:$N$329,'Production schedule'!$C$222:$C$329,4)</f>
        <v/>
      </c>
      <c r="E81" s="137">
        <f>SUMIFS('Production schedule'!$Y$222:$Y$329,'Production schedule'!$C$222:$C$329,4)</f>
        <v/>
      </c>
      <c r="F81" s="137">
        <f>SUMIFS('Production schedule'!$Z$222:$Z$329,'Production schedule'!$C$222:$C$329,4)</f>
        <v/>
      </c>
      <c r="G81" s="137">
        <f>('Production schedule'!AJ225)*'Responsibilities'!$C$6+('Production schedule'!AJ261)*'Responsibilities'!$C$7+('Production schedule'!AJ297)*'Responsibilities'!$C$8</f>
        <v/>
      </c>
      <c r="H81" s="137">
        <f>('Production schedule'!AI225)*'Responsibilities'!$D$6+('Production schedule'!AI261)*'Responsibilities'!$D$7+('Production schedule'!AI297)*'Responsibilities'!$D$8</f>
        <v/>
      </c>
      <c r="I81" s="137">
        <f>SUM('Assumptions'!G58:G65)</f>
        <v/>
      </c>
      <c r="J81" s="137">
        <f>('Production schedule'!E225*(IF('Sites'!D6="Annual staff",SUM('Assumptions'!G112,'Assumptions'!G114),0)+SUM('Assumptions'!G113,'Assumptions'!G115:G116)))*'Responsibilities'!$E$6+('Production schedule'!E261*(IF('Sites'!D7="Annual staff",SUM('Assumptions'!G117,'Assumptions'!G119),0)+SUM('Assumptions'!G118,'Assumptions'!G120:G121)))*'Responsibilities'!$E$7+('Production schedule'!E297*(IF('Sites'!D8="Annual staff",SUM('Assumptions'!G122,'Assumptions'!G124),0)+SUM('Assumptions'!G123,'Assumptions'!G125:G126)))*'Responsibilities'!$E$8</f>
        <v/>
      </c>
      <c r="K81" s="137">
        <f>(IF(AND('Production schedule'!E225=1,4=MAX(('Sites'!F6),1),ISNUMBER('Sites'!O6)),'Sites'!O6*'Assumptions'!$B$44,0))*'Responsibilities'!$F$6+(IF(AND('Production schedule'!E261=1,4=MAX(('Sites'!F7+'Cases'!G8),1),ISNUMBER('Sites'!O7)),'Sites'!O7*'Assumptions'!$B$44,0))*'Responsibilities'!$F$7+(IF(AND('Production schedule'!E297=1,4=MAX(('Sites'!F8+'Cases'!G8),1),ISNUMBER('Sites'!O8)),'Sites'!O8*'Assumptions'!$B$44,0))*'Responsibilities'!$F$8</f>
        <v/>
      </c>
      <c r="L81" s="137">
        <f>SUM('Costs'!E36)*'Costs'!F36/12*'Responsibilities'!$C$12+SUM('Costs'!E37)*'Costs'!F37/12*'Responsibilities'!$C$13+SUM('Costs'!E38)*'Costs'!F38/12*'Responsibilities'!$C$14+SUM('Costs'!E39)*'Costs'!F39/12*'Responsibilities'!$C$15+SUM('Costs'!E40)*'Costs'!F40/12*'Responsibilities'!$C$16+BZ81</f>
        <v/>
      </c>
      <c r="M81" s="137">
        <f>('Sites'!E6*'Capital'!E6*(IF(4='Capital'!G6,'Capital'!F6,0)+IF(4='Capital'!H6,1-'Capital'!F6,0)))*'Responsibilities'!$G$6+('Sites'!E7*'Capital'!E7*(IF(4='Capital'!G7+'Cases'!G8,'Capital'!F7,0)+IF(4='Capital'!H7+'Cases'!G8,1-'Capital'!F7,0)))*'Responsibilities'!$G$7+('Sites'!E8*'Cases'!F8*'Capital'!E8*(IF(4='Capital'!G8+'Cases'!G8,'Capital'!F8,0)+IF(4='Capital'!H8+'Cases'!G8,1-'Capital'!F8,0)))*'Responsibilities'!$G$8</f>
        <v/>
      </c>
      <c r="N81" s="137">
        <f>SUM(G81:M81)</f>
        <v/>
      </c>
      <c r="O81" s="137">
        <f>SUMIFS(FundingTranches[Secured amount],FundingTranches[Instrument],"Grant",FundingTranches[Secured month],4)</f>
        <v/>
      </c>
      <c r="P81" s="137">
        <f>SUMIFS(FundingTranches[No QBE possible],FundingTranches[Instrument],"Grant",FundingTranches[Scenario month],4-'Cases'!$D$8)</f>
        <v/>
      </c>
      <c r="Q81" s="137">
        <f>SUMIFS(FundingTranches[Secured amount],FundingTranches[Instrument],"Loan",FundingTranches[Secured month],4)</f>
        <v/>
      </c>
      <c r="R81" s="137">
        <f>SUMIFS(FundingTranches[No QBE possible],FundingTranches[Instrument],"Loan",FundingTranches[Scenario month],4-'Cases'!$D$8)</f>
        <v/>
      </c>
      <c r="S81" s="137">
        <f>IF(4&lt;='Assumptions'!$B$34,0,SUMIFS('Production schedule'!$AL$222:$AL$329,'Production schedule'!$C$222:$C$329,4-'Assumptions'!$B$34))</f>
        <v/>
      </c>
      <c r="T81" s="137">
        <f>'Assumptions'!G70</f>
        <v/>
      </c>
      <c r="U81" s="137">
        <f>'Assumptions'!G78</f>
        <v/>
      </c>
      <c r="V81" s="137">
        <f>SUM(O81:U81)</f>
        <v/>
      </c>
      <c r="W81" s="137">
        <f>AA80</f>
        <v/>
      </c>
      <c r="X81" s="137">
        <f>SUM(Q81:R81)</f>
        <v/>
      </c>
      <c r="Y81" s="137">
        <f>SUM(W81,X81)*'Assumptions'!$B$39/12</f>
        <v/>
      </c>
      <c r="Z81" s="137">
        <f>IF(SUM(W81,X81)&gt;0,MIN(SUM(W81,X81),MAX(0,BP81-Y81)),0)</f>
        <v/>
      </c>
      <c r="AA81" s="137">
        <f>SUM(W81,X81)-Z81</f>
        <v/>
      </c>
      <c r="AB81" s="137">
        <f>SUM(Y81:Z81)</f>
        <v/>
      </c>
      <c r="AC81" s="137">
        <f>'Assumptions'!G72</f>
        <v/>
      </c>
      <c r="AD81" s="137">
        <f>'Assumptions'!G73</f>
        <v/>
      </c>
      <c r="AE81" s="137">
        <f>IF(X81&gt;0,SUM('Assumptions'!$B$42),0)</f>
        <v/>
      </c>
      <c r="AF81" s="137">
        <f>'Assumptions'!G71</f>
        <v/>
      </c>
      <c r="AG81" s="137">
        <f>'Assumptions'!G74</f>
        <v/>
      </c>
      <c r="AH81" s="137">
        <f>'Assumptions'!G75</f>
        <v/>
      </c>
      <c r="AI81" s="137">
        <f>'Assumptions'!G77</f>
        <v/>
      </c>
      <c r="AJ81" s="137">
        <f>V81-N81-SUM(AB81:AI81)</f>
        <v/>
      </c>
      <c r="AK81" s="137">
        <f>SUM(AJ78:AJ81)</f>
        <v/>
      </c>
      <c r="AL81" s="137">
        <f>IF(ISNUMBER('Assumptions'!$B$10),'Assumptions'!$B$10+AK81,"")</f>
        <v/>
      </c>
      <c r="AM81" s="137">
        <f>SUM(O81,Q81,T81)-N81-SUM(AC81:AI81)+IF('Funding'!$N$11=0,AE81,0)-IF('Funding'!$N$11&gt;0,AB81,0)</f>
        <v/>
      </c>
      <c r="AN81" s="137">
        <f>SUM(AM78:AM81)</f>
        <v/>
      </c>
      <c r="AO81" s="137">
        <f>IF(ISNUMBER('Assumptions'!$B$10),'Assumptions'!$B$10+AN81,"")</f>
        <v/>
      </c>
      <c r="AP81" s="137">
        <f>('Production schedule'!AK225)*'Responsibilities'!$C$6+('Production schedule'!AK261)*'Responsibilities'!$C$7+('Production schedule'!AK297)*'Responsibilities'!$C$8</f>
        <v/>
      </c>
      <c r="AQ81" s="137">
        <f>SUMIFS('Production schedule'!$AL$222:$AL$329,'Production schedule'!$C$222:$C$329,4)</f>
        <v/>
      </c>
      <c r="AR81" s="137">
        <f>IF(ISNUMBER('Assumptions'!G76),'Assumptions'!G76,SUM(O81:P81))</f>
        <v/>
      </c>
      <c r="AS81" s="137">
        <f>IF(ISNUMBER('Assumptions'!$B$13),MIN('Assumptions'!$B$13/'Assumptions'!$B$18/12,MAX(0,'Assumptions'!$B$13-(4-1)*'Assumptions'!$B$13/'Assumptions'!$B$18/12)),0)+IF(AND('Sites'!E6=1,4&gt;=('Sites'!F6),4&lt;('Sites'!F6)+'Assumptions'!$B$18*12),'Capital'!E6/'Assumptions'!$B$18/12,0)+IF(AND('Sites'!E7=1,4&gt;=('Sites'!F7+'Cases'!G8),4&lt;('Sites'!F7+'Cases'!G8)+'Assumptions'!$B$18*12),'Capital'!E7/'Assumptions'!$B$18/12,0)+IF(AND('Sites'!E8*'Cases'!F8=1,4&gt;=('Sites'!F8+'Cases'!G8),4&lt;('Sites'!F8+'Cases'!G8)+'Assumptions'!$B$18*12),'Capital'!E8/'Assumptions'!$B$18/12,0)</f>
        <v/>
      </c>
      <c r="AT81" s="137">
        <f>SUM(AQ81,AR81,U81)-AP81-SUM(H81:L81)-AS81-SUM(Y81,AD81,AE81,AH81)</f>
        <v/>
      </c>
      <c r="AU81" s="137">
        <f>IF(ISNUMBER('Assumptions'!$B$19),MAX(0,SUM(AT78:AT81))*'Assumptions'!$B$19-SUM(AU78:AU80),"")</f>
        <v/>
      </c>
      <c r="AV81" s="137">
        <f>IF(ISNUMBER(AU81),AT81-AU81,"")</f>
        <v/>
      </c>
      <c r="AW81" s="137">
        <f>IF(ISNUMBER('Assumptions'!$B$11),'Assumptions'!$B$11+SUM(AQ78:AQ81)-SUM(S78:S81)-SUM(T78:T81),"")</f>
        <v/>
      </c>
      <c r="AX81" s="137">
        <f>IF(ISNUMBER('Assumptions'!$B$12),'Assumptions'!$B$12+SUM(G78:G81)-SUM(AP78:AP81),"")</f>
        <v/>
      </c>
      <c r="AY81" s="137">
        <f>IF(ISNUMBER('Assumptions'!$B$13),'Assumptions'!$B$13+SUM(M78:M81)-SUM(AS78:AS81),"")</f>
        <v/>
      </c>
      <c r="AZ81" s="137">
        <f>IF(ISNUMBER('Assumptions'!$B$14),'Assumptions'!$B$14+-SUM(AF78:AF81),"")</f>
        <v/>
      </c>
      <c r="BA81" s="137">
        <f>IF(ISNUMBER('Assumptions'!$B$15),'Assumptions'!$B$15+SUM(O78:O81)+SUM(P78:P81)-SUM(AR78:AR81),"")</f>
        <v/>
      </c>
      <c r="BB81" s="137">
        <f>IF(ISNUMBER('Assumptions'!$B$16),'Assumptions'!$B$16+-SUM(AC78:AC81),"")</f>
        <v/>
      </c>
      <c r="BC81" s="137">
        <f>IF(AND(ISNUMBER('Assumptions'!$B$21),ISNUMBER('Assumptions'!$B$19)),'Assumptions'!$B$21+SUM(AU78:AU81)-SUM(AG78:AG81),"")</f>
        <v/>
      </c>
      <c r="BD81" s="137">
        <f>IF(ISNUMBER('Assumptions'!$B$20),'Assumptions'!$B$20+-SUM(AI78:AI81),"")</f>
        <v/>
      </c>
      <c r="BE81" s="137">
        <f>IF(AND(ISNUMBER('Assumptions'!$B$17),COUNT(AV78:AV81)=4),'Assumptions'!$B$17+SUM(AV78:AV81),"")</f>
        <v/>
      </c>
      <c r="BF81" s="137">
        <f>IF(COUNT(AL81,AW81:AY81)=4,SUM(AL81,AW81:AY81),"")</f>
        <v/>
      </c>
      <c r="BG81" s="137">
        <f>IF(COUNT(AZ81:BD81)=5,SUM(AZ81:BD81,AA81),"")</f>
        <v/>
      </c>
      <c r="BH81" s="137">
        <f>IF(COUNT(BF81,BG81,BE81)=3,BF81-BG81-BE81,"")</f>
        <v/>
      </c>
      <c r="BI81" s="137">
        <f>SUM(W81,X81)-Z81-AA81</f>
        <v/>
      </c>
      <c r="BJ81" s="137">
        <f>8-COUNT('Assumptions'!G58:G65)+COUNTBLANK('NM Play'!B33:B34)+'Costs'!E44+IF(AND('Sites'!E6=1,('Sites'!F6)&lt;=12,'Sites'!G6&gt;=1),IF(ISNUMBER('Sites'!O6),0,1)+'Capital'!I6+COUNTBLANK('Sites'!R6)+IF('Sites'!D6="NM crew",COUNTBLANK('NM Play'!B25)+1,5-COUNT('Assumptions'!G112:G116)),0)+IF(AND('Sites'!E7=1,('Sites'!F7+'Cases'!G8)&lt;=12,'Sites'!G7&gt;=1),IF(ISNUMBER('Sites'!O7),0,1)+'Capital'!I7+COUNTBLANK('Sites'!R7)+IF('Sites'!D7="NM crew",COUNTBLANK('NM Play'!B25)+1,5-COUNT('Assumptions'!G117:G121)),0)+IF(AND('Sites'!E8*'Cases'!F8=1,('Sites'!F8+'Cases'!G8)&lt;=12,'Sites'!G8&gt;=1),IF(ISNUMBER('Sites'!O8),0,1)+'Capital'!I8+COUNTBLANK('Sites'!R8)+IF('Sites'!D8="NM crew",COUNTBLANK('NM Play'!B25)+1,5-COUNT('Assumptions'!G122:G126)),0)+IF(AND('Cases'!C8&gt;0,NOT(ISNUMBER('Assumptions'!B42))),1,0)+'Responsibilities'!$B$39</f>
        <v/>
      </c>
      <c r="BK81" s="137">
        <f>'Assumptions'!$B$50+'NM Play'!$B$83+'Funding'!$F$20+SUMIFS('Production schedule'!$AN$222:$AN$329,'Production schedule'!$C$222:$C$329,4)+IF(OR('Cases'!E8&lt;0,'Cases'!E8&gt;1,'Cases'!C8&lt;0,'Cases'!D8&lt;0,ABS(SUM('Sites'!S6:S8)-1)&gt;0.0001,MIN('Capital'!F6:F8)&lt;0,MAX('Capital'!F6:F8)&gt;1,MIN(AX81,AZ81,BB81,BA81)&lt;-0.01),1,0)+'Responsibilities'!$B$40</f>
        <v/>
      </c>
      <c r="BL81" s="137">
        <f>SUMIFS('Production schedule'!$T$222:$T$329,'Production schedule'!$C$222:$C$329,4)</f>
        <v/>
      </c>
      <c r="BM81" s="137">
        <f>D81*'NM Play'!$B$38</f>
        <v/>
      </c>
      <c r="BN81" s="137">
        <f>SUMIFS('Production schedule'!$AM$222:$AM$329,'Production schedule'!$C$222:$C$329,4)</f>
        <v/>
      </c>
      <c r="BO81" s="137">
        <f>AK81-AK80-AJ81</f>
        <v/>
      </c>
      <c r="BP81" s="137">
        <f>IF(AND('Assumptions'!$B$39&gt;=0,'Assumptions'!$B$40&gt;0),-PMT('Assumptions'!$B$39/12,'Assumptions'!$B$40*12,IF('Funding'!$N$11&gt;0,'Funding'!$N$11,'Funding'!$T$11)),"")</f>
        <v/>
      </c>
      <c r="BQ81">
        <f>('Production schedule'!AJ225)*(1-'Responsibilities'!$C$6)+('Production schedule'!AJ261)*(1-'Responsibilities'!$C$7)+('Production schedule'!AJ297)*(1-'Responsibilities'!$C$8)</f>
        <v/>
      </c>
      <c r="BR81">
        <f>('Production schedule'!AI225)*(1-'Responsibilities'!$D$6)+('Production schedule'!AI261)*(1-'Responsibilities'!$D$7)+('Production schedule'!AI297)*(1-'Responsibilities'!$D$8)</f>
        <v/>
      </c>
      <c r="BS81">
        <f>('Production schedule'!E225*(IF('Sites'!D6="Annual staff",SUM('Assumptions'!G112,'Assumptions'!G114),0)+SUM('Assumptions'!G113,'Assumptions'!G115:G116)))*(1-'Responsibilities'!$E$6)+('Production schedule'!E261*(IF('Sites'!D7="Annual staff",SUM('Assumptions'!G117,'Assumptions'!G119),0)+SUM('Assumptions'!G118,'Assumptions'!G120:G121)))*(1-'Responsibilities'!$E$7)+('Production schedule'!E297*(IF('Sites'!D8="Annual staff",SUM('Assumptions'!G122,'Assumptions'!G124),0)+SUM('Assumptions'!G123,'Assumptions'!G125:G126)))*(1-'Responsibilities'!$E$8)</f>
        <v/>
      </c>
      <c r="BT81">
        <f>(IF(AND('Production schedule'!E225=1,4=MAX(('Sites'!F6),1),ISNUMBER('Sites'!O6)),'Sites'!O6*'Assumptions'!$B$44,0))*(1-'Responsibilities'!$F$6)+(IF(AND('Production schedule'!E261=1,4=MAX(('Sites'!F7+'Cases'!G8),1),ISNUMBER('Sites'!O7)),'Sites'!O7*'Assumptions'!$B$44,0))*(1-'Responsibilities'!$F$7)+(IF(AND('Production schedule'!E297=1,4=MAX(('Sites'!F8+'Cases'!G8),1),ISNUMBER('Sites'!O8)),'Sites'!O8*'Assumptions'!$B$44,0))*(1-'Responsibilities'!$F$8)</f>
        <v/>
      </c>
      <c r="BU81">
        <f>SUM('Costs'!E36)*'Costs'!F36/12*(1-'Responsibilities'!$C$12)+SUM('Costs'!E37)*'Costs'!F37/12*(1-'Responsibilities'!$C$13)+SUM('Costs'!E38)*'Costs'!F38/12*(1-'Responsibilities'!$C$14)+SUM('Costs'!E39)*'Costs'!F39/12*(1-'Responsibilities'!$C$15)+SUM('Costs'!E40)*'Costs'!F40/12*(1-'Responsibilities'!$C$16)</f>
        <v/>
      </c>
      <c r="BV81">
        <f>('Sites'!E6*'Capital'!E6*(IF(4='Capital'!G6,'Capital'!F6,0)+IF(4='Capital'!H6,1-'Capital'!F6,0)))*(1-'Responsibilities'!$G$6)+('Sites'!E7*'Capital'!E7*(IF(4='Capital'!G7+'Cases'!G8,'Capital'!F7,0)+IF(4='Capital'!H7+'Cases'!G8,1-'Capital'!F7,0)))*(1-'Responsibilities'!$G$7)+('Sites'!E8*'Cases'!F8*'Capital'!E8*(IF(4='Capital'!G8+'Cases'!G8,'Capital'!F8,0)+IF(4='Capital'!H8+'Cases'!G8,1-'Capital'!F8,0)))*(1-'Responsibilities'!$G$8)</f>
        <v/>
      </c>
      <c r="BW81">
        <f>SUM(BQ81:BV81)</f>
        <v/>
      </c>
      <c r="BX81">
        <f>N81+BW81</f>
        <v/>
      </c>
      <c r="BY81">
        <f>BX81-(('Production schedule'!AJ225)*'Responsibilities'!$C$6+('Production schedule'!AJ261)*'Responsibilities'!$C$7+('Production schedule'!AJ297)*'Responsibilities'!$C$8+('Production schedule'!AJ225)*(1-'Responsibilities'!$C$6)+('Production schedule'!AJ261)*(1-'Responsibilities'!$C$7)+('Production schedule'!AJ297)*(1-'Responsibilities'!$C$8)+('Production schedule'!AI225)*'Responsibilities'!$D$6+('Production schedule'!AI261)*'Responsibilities'!$D$7+('Production schedule'!AI297)*'Responsibilities'!$D$8+('Production schedule'!AI225)*(1-'Responsibilities'!$D$6)+('Production schedule'!AI261)*(1-'Responsibilities'!$D$7)+('Production schedule'!AI297)*(1-'Responsibilities'!$D$8)+('Production schedule'!E225*(IF('Sites'!D6="Annual staff",SUM('Assumptions'!G112,'Assumptions'!G114),0)+SUM('Assumptions'!G113,'Assumptions'!G115:G116)))*'Responsibilities'!$E$6+('Production schedule'!E261*(IF('Sites'!D7="Annual staff",SUM('Assumptions'!G117,'Assumptions'!G119),0)+SUM('Assumptions'!G118,'Assumptions'!G120:G121)))*'Responsibilities'!$E$7+('Production schedule'!E297*(IF('Sites'!D8="Annual staff",SUM('Assumptions'!G122,'Assumptions'!G124),0)+SUM('Assumptions'!G123,'Assumptions'!G125:G126)))*'Responsibilities'!$E$8+('Production schedule'!E225*(IF('Sites'!D6="Annual staff",SUM('Assumptions'!G112,'Assumptions'!G114),0)+SUM('Assumptions'!G113,'Assumptions'!G115:G116)))*(1-'Responsibilities'!$E$6)+('Production schedule'!E261*(IF('Sites'!D7="Annual staff",SUM('Assumptions'!G117,'Assumptions'!G119),0)+SUM('Assumptions'!G118,'Assumptions'!G120:G121)))*(1-'Responsibilities'!$E$7)+('Production schedule'!E297*(IF('Sites'!D8="Annual staff",SUM('Assumptions'!G122,'Assumptions'!G124),0)+SUM('Assumptions'!G123,'Assumptions'!G125:G126)))*(1-'Responsibilities'!$E$8)+(IF(AND('Production schedule'!E225=1,4=MAX(('Sites'!F6),1),ISNUMBER('Sites'!O6)),'Sites'!O6*'Assumptions'!$B$44,0))*'Responsibilities'!$F$6+(IF(AND('Production schedule'!E261=1,4=MAX(('Sites'!F7+'Cases'!G8),1),ISNUMBER('Sites'!O7)),'Sites'!O7*'Assumptions'!$B$44,0))*'Responsibilities'!$F$7+(IF(AND('Production schedule'!E297=1,4=MAX(('Sites'!F8+'Cases'!G8),1),ISNUMBER('Sites'!O8)),'Sites'!O8*'Assumptions'!$B$44,0))*'Responsibilities'!$F$8+(IF(AND('Production schedule'!E225=1,4=MAX(('Sites'!F6),1),ISNUMBER('Sites'!O6)),'Sites'!O6*'Assumptions'!$B$44,0))*(1-'Responsibilities'!$F$6)+(IF(AND('Production schedule'!E261=1,4=MAX(('Sites'!F7+'Cases'!G8),1),ISNUMBER('Sites'!O7)),'Sites'!O7*'Assumptions'!$B$44,0))*(1-'Responsibilities'!$F$7)+(IF(AND('Production schedule'!E297=1,4=MAX(('Sites'!F8+'Cases'!G8),1),ISNUMBER('Sites'!O8)),'Sites'!O8*'Assumptions'!$B$44,0))*(1-'Responsibilities'!$F$8)+('Sites'!E6*'Capital'!E6*(IF(4='Capital'!G6,'Capital'!F6,0)+IF(4='Capital'!H6,1-'Capital'!F6,0)))*'Responsibilities'!$G$6+('Sites'!E7*'Capital'!E7*(IF(4='Capital'!G7+'Cases'!G8,'Capital'!F7,0)+IF(4='Capital'!H7+'Cases'!G8,1-'Capital'!F7,0)))*'Responsibilities'!$G$7+('Sites'!E8*'Cases'!F8*'Capital'!E8*(IF(4='Capital'!G8+'Cases'!G8,'Capital'!F8,0)+IF(4='Capital'!H8+'Cases'!G8,1-'Capital'!F8,0)))*'Responsibilities'!$G$8+('Sites'!E6*'Capital'!E6*(IF(4='Capital'!G6,'Capital'!F6,0)+IF(4='Capital'!H6,1-'Capital'!F6,0)))*(1-'Responsibilities'!$G$6)+('Sites'!E7*'Capital'!E7*(IF(4='Capital'!G7+'Cases'!G8,'Capital'!F7,0)+IF(4='Capital'!H7+'Cases'!G8,1-'Capital'!F7,0)))*(1-'Responsibilities'!$G$7)+('Sites'!E8*'Cases'!F8*'Capital'!E8*(IF(4='Capital'!G8+'Cases'!G8,'Capital'!F8,0)+IF(4='Capital'!H8+'Cases'!G8,1-'Capital'!F8,0)))*(1-'Responsibilities'!$G$8)+I81+SUMPRODUCT('Costs'!$E$36:$E$40,'Costs'!$F$36:$F$40)/12+BZ81)</f>
        <v/>
      </c>
      <c r="BZ81">
        <f>SUMIFS('Responsibilities'!$B$31:$B$35,'Responsibilities'!$C$31:$C$35,4,'Responsibilities'!$D$31:$D$35,"Yes")</f>
        <v/>
      </c>
    </row>
    <row r="82" ht="28" customHeight="1">
      <c r="A82" s="4" t="inlineStr">
        <is>
          <t>No QBE</t>
        </is>
      </c>
      <c r="B82" s="4" t="n">
        <v>5</v>
      </c>
      <c r="C82" s="4">
        <f>ROUNDUP(B82/12,0)</f>
        <v/>
      </c>
      <c r="D82" s="137">
        <f>SUMIFS('Production schedule'!$N$222:$N$329,'Production schedule'!$C$222:$C$329,5)</f>
        <v/>
      </c>
      <c r="E82" s="137">
        <f>SUMIFS('Production schedule'!$Y$222:$Y$329,'Production schedule'!$C$222:$C$329,5)</f>
        <v/>
      </c>
      <c r="F82" s="137">
        <f>SUMIFS('Production schedule'!$Z$222:$Z$329,'Production schedule'!$C$222:$C$329,5)</f>
        <v/>
      </c>
      <c r="G82" s="137">
        <f>('Production schedule'!AJ226)*'Responsibilities'!$C$6+('Production schedule'!AJ262)*'Responsibilities'!$C$7+('Production schedule'!AJ298)*'Responsibilities'!$C$8</f>
        <v/>
      </c>
      <c r="H82" s="137">
        <f>('Production schedule'!AI226)*'Responsibilities'!$D$6+('Production schedule'!AI262)*'Responsibilities'!$D$7+('Production schedule'!AI298)*'Responsibilities'!$D$8</f>
        <v/>
      </c>
      <c r="I82" s="137">
        <f>SUM('Assumptions'!H58:H65)</f>
        <v/>
      </c>
      <c r="J82" s="137">
        <f>('Production schedule'!E226*(IF('Sites'!D6="Annual staff",SUM('Assumptions'!H112,'Assumptions'!H114),0)+SUM('Assumptions'!H113,'Assumptions'!H115:H116)))*'Responsibilities'!$E$6+('Production schedule'!E262*(IF('Sites'!D7="Annual staff",SUM('Assumptions'!H117,'Assumptions'!H119),0)+SUM('Assumptions'!H118,'Assumptions'!H120:H121)))*'Responsibilities'!$E$7+('Production schedule'!E298*(IF('Sites'!D8="Annual staff",SUM('Assumptions'!H122,'Assumptions'!H124),0)+SUM('Assumptions'!H123,'Assumptions'!H125:H126)))*'Responsibilities'!$E$8</f>
        <v/>
      </c>
      <c r="K82" s="137">
        <f>(IF(AND('Production schedule'!E226=1,5=MAX(('Sites'!F6),1),ISNUMBER('Sites'!O6)),'Sites'!O6*'Assumptions'!$B$44,0))*'Responsibilities'!$F$6+(IF(AND('Production schedule'!E262=1,5=MAX(('Sites'!F7+'Cases'!G8),1),ISNUMBER('Sites'!O7)),'Sites'!O7*'Assumptions'!$B$44,0))*'Responsibilities'!$F$7+(IF(AND('Production schedule'!E298=1,5=MAX(('Sites'!F8+'Cases'!G8),1),ISNUMBER('Sites'!O8)),'Sites'!O8*'Assumptions'!$B$44,0))*'Responsibilities'!$F$8</f>
        <v/>
      </c>
      <c r="L82" s="137">
        <f>SUM('Costs'!E36)*'Costs'!F36/12*'Responsibilities'!$C$12+SUM('Costs'!E37)*'Costs'!F37/12*'Responsibilities'!$C$13+SUM('Costs'!E38)*'Costs'!F38/12*'Responsibilities'!$C$14+SUM('Costs'!E39)*'Costs'!F39/12*'Responsibilities'!$C$15+SUM('Costs'!E40)*'Costs'!F40/12*'Responsibilities'!$C$16+BZ82</f>
        <v/>
      </c>
      <c r="M82" s="137">
        <f>('Sites'!E6*'Capital'!E6*(IF(5='Capital'!G6,'Capital'!F6,0)+IF(5='Capital'!H6,1-'Capital'!F6,0)))*'Responsibilities'!$G$6+('Sites'!E7*'Capital'!E7*(IF(5='Capital'!G7+'Cases'!G8,'Capital'!F7,0)+IF(5='Capital'!H7+'Cases'!G8,1-'Capital'!F7,0)))*'Responsibilities'!$G$7+('Sites'!E8*'Cases'!F8*'Capital'!E8*(IF(5='Capital'!G8+'Cases'!G8,'Capital'!F8,0)+IF(5='Capital'!H8+'Cases'!G8,1-'Capital'!F8,0)))*'Responsibilities'!$G$8</f>
        <v/>
      </c>
      <c r="N82" s="137">
        <f>SUM(G82:M82)</f>
        <v/>
      </c>
      <c r="O82" s="137">
        <f>SUMIFS(FundingTranches[Secured amount],FundingTranches[Instrument],"Grant",FundingTranches[Secured month],5)</f>
        <v/>
      </c>
      <c r="P82" s="137">
        <f>SUMIFS(FundingTranches[No QBE possible],FundingTranches[Instrument],"Grant",FundingTranches[Scenario month],5-'Cases'!$D$8)</f>
        <v/>
      </c>
      <c r="Q82" s="137">
        <f>SUMIFS(FundingTranches[Secured amount],FundingTranches[Instrument],"Loan",FundingTranches[Secured month],5)</f>
        <v/>
      </c>
      <c r="R82" s="137">
        <f>SUMIFS(FundingTranches[No QBE possible],FundingTranches[Instrument],"Loan",FundingTranches[Scenario month],5-'Cases'!$D$8)</f>
        <v/>
      </c>
      <c r="S82" s="137">
        <f>IF(5&lt;='Assumptions'!$B$34,0,SUMIFS('Production schedule'!$AL$222:$AL$329,'Production schedule'!$C$222:$C$329,5-'Assumptions'!$B$34))</f>
        <v/>
      </c>
      <c r="T82" s="137">
        <f>'Assumptions'!H70</f>
        <v/>
      </c>
      <c r="U82" s="137">
        <f>'Assumptions'!H78</f>
        <v/>
      </c>
      <c r="V82" s="137">
        <f>SUM(O82:U82)</f>
        <v/>
      </c>
      <c r="W82" s="137">
        <f>AA81</f>
        <v/>
      </c>
      <c r="X82" s="137">
        <f>SUM(Q82:R82)</f>
        <v/>
      </c>
      <c r="Y82" s="137">
        <f>SUM(W82,X82)*'Assumptions'!$B$39/12</f>
        <v/>
      </c>
      <c r="Z82" s="137">
        <f>IF(SUM(W82,X82)&gt;0,MIN(SUM(W82,X82),MAX(0,BP82-Y82)),0)</f>
        <v/>
      </c>
      <c r="AA82" s="137">
        <f>SUM(W82,X82)-Z82</f>
        <v/>
      </c>
      <c r="AB82" s="137">
        <f>SUM(Y82:Z82)</f>
        <v/>
      </c>
      <c r="AC82" s="137">
        <f>'Assumptions'!H72</f>
        <v/>
      </c>
      <c r="AD82" s="137">
        <f>'Assumptions'!H73</f>
        <v/>
      </c>
      <c r="AE82" s="137">
        <f>IF(X82&gt;0,SUM('Assumptions'!$B$42),0)</f>
        <v/>
      </c>
      <c r="AF82" s="137">
        <f>'Assumptions'!H71</f>
        <v/>
      </c>
      <c r="AG82" s="137">
        <f>'Assumptions'!H74</f>
        <v/>
      </c>
      <c r="AH82" s="137">
        <f>'Assumptions'!H75</f>
        <v/>
      </c>
      <c r="AI82" s="137">
        <f>'Assumptions'!H77</f>
        <v/>
      </c>
      <c r="AJ82" s="137">
        <f>V82-N82-SUM(AB82:AI82)</f>
        <v/>
      </c>
      <c r="AK82" s="137">
        <f>SUM(AJ78:AJ82)</f>
        <v/>
      </c>
      <c r="AL82" s="137">
        <f>IF(ISNUMBER('Assumptions'!$B$10),'Assumptions'!$B$10+AK82,"")</f>
        <v/>
      </c>
      <c r="AM82" s="137">
        <f>SUM(O82,Q82,T82)-N82-SUM(AC82:AI82)+IF('Funding'!$N$11=0,AE82,0)-IF('Funding'!$N$11&gt;0,AB82,0)</f>
        <v/>
      </c>
      <c r="AN82" s="137">
        <f>SUM(AM78:AM82)</f>
        <v/>
      </c>
      <c r="AO82" s="137">
        <f>IF(ISNUMBER('Assumptions'!$B$10),'Assumptions'!$B$10+AN82,"")</f>
        <v/>
      </c>
      <c r="AP82" s="137">
        <f>('Production schedule'!AK226)*'Responsibilities'!$C$6+('Production schedule'!AK262)*'Responsibilities'!$C$7+('Production schedule'!AK298)*'Responsibilities'!$C$8</f>
        <v/>
      </c>
      <c r="AQ82" s="137">
        <f>SUMIFS('Production schedule'!$AL$222:$AL$329,'Production schedule'!$C$222:$C$329,5)</f>
        <v/>
      </c>
      <c r="AR82" s="137">
        <f>IF(ISNUMBER('Assumptions'!H76),'Assumptions'!H76,SUM(O82:P82))</f>
        <v/>
      </c>
      <c r="AS82" s="137">
        <f>IF(ISNUMBER('Assumptions'!$B$13),MIN('Assumptions'!$B$13/'Assumptions'!$B$18/12,MAX(0,'Assumptions'!$B$13-(5-1)*'Assumptions'!$B$13/'Assumptions'!$B$18/12)),0)+IF(AND('Sites'!E6=1,5&gt;=('Sites'!F6),5&lt;('Sites'!F6)+'Assumptions'!$B$18*12),'Capital'!E6/'Assumptions'!$B$18/12,0)+IF(AND('Sites'!E7=1,5&gt;=('Sites'!F7+'Cases'!G8),5&lt;('Sites'!F7+'Cases'!G8)+'Assumptions'!$B$18*12),'Capital'!E7/'Assumptions'!$B$18/12,0)+IF(AND('Sites'!E8*'Cases'!F8=1,5&gt;=('Sites'!F8+'Cases'!G8),5&lt;('Sites'!F8+'Cases'!G8)+'Assumptions'!$B$18*12),'Capital'!E8/'Assumptions'!$B$18/12,0)</f>
        <v/>
      </c>
      <c r="AT82" s="137">
        <f>SUM(AQ82,AR82,U82)-AP82-SUM(H82:L82)-AS82-SUM(Y82,AD82,AE82,AH82)</f>
        <v/>
      </c>
      <c r="AU82" s="137">
        <f>IF(ISNUMBER('Assumptions'!$B$19),MAX(0,SUM(AT78:AT82))*'Assumptions'!$B$19-SUM(AU78:AU81),"")</f>
        <v/>
      </c>
      <c r="AV82" s="137">
        <f>IF(ISNUMBER(AU82),AT82-AU82,"")</f>
        <v/>
      </c>
      <c r="AW82" s="137">
        <f>IF(ISNUMBER('Assumptions'!$B$11),'Assumptions'!$B$11+SUM(AQ78:AQ82)-SUM(S78:S82)-SUM(T78:T82),"")</f>
        <v/>
      </c>
      <c r="AX82" s="137">
        <f>IF(ISNUMBER('Assumptions'!$B$12),'Assumptions'!$B$12+SUM(G78:G82)-SUM(AP78:AP82),"")</f>
        <v/>
      </c>
      <c r="AY82" s="137">
        <f>IF(ISNUMBER('Assumptions'!$B$13),'Assumptions'!$B$13+SUM(M78:M82)-SUM(AS78:AS82),"")</f>
        <v/>
      </c>
      <c r="AZ82" s="137">
        <f>IF(ISNUMBER('Assumptions'!$B$14),'Assumptions'!$B$14+-SUM(AF78:AF82),"")</f>
        <v/>
      </c>
      <c r="BA82" s="137">
        <f>IF(ISNUMBER('Assumptions'!$B$15),'Assumptions'!$B$15+SUM(O78:O82)+SUM(P78:P82)-SUM(AR78:AR82),"")</f>
        <v/>
      </c>
      <c r="BB82" s="137">
        <f>IF(ISNUMBER('Assumptions'!$B$16),'Assumptions'!$B$16+-SUM(AC78:AC82),"")</f>
        <v/>
      </c>
      <c r="BC82" s="137">
        <f>IF(AND(ISNUMBER('Assumptions'!$B$21),ISNUMBER('Assumptions'!$B$19)),'Assumptions'!$B$21+SUM(AU78:AU82)-SUM(AG78:AG82),"")</f>
        <v/>
      </c>
      <c r="BD82" s="137">
        <f>IF(ISNUMBER('Assumptions'!$B$20),'Assumptions'!$B$20+-SUM(AI78:AI82),"")</f>
        <v/>
      </c>
      <c r="BE82" s="137">
        <f>IF(AND(ISNUMBER('Assumptions'!$B$17),COUNT(AV78:AV82)=5),'Assumptions'!$B$17+SUM(AV78:AV82),"")</f>
        <v/>
      </c>
      <c r="BF82" s="137">
        <f>IF(COUNT(AL82,AW82:AY82)=4,SUM(AL82,AW82:AY82),"")</f>
        <v/>
      </c>
      <c r="BG82" s="137">
        <f>IF(COUNT(AZ82:BD82)=5,SUM(AZ82:BD82,AA82),"")</f>
        <v/>
      </c>
      <c r="BH82" s="137">
        <f>IF(COUNT(BF82,BG82,BE82)=3,BF82-BG82-BE82,"")</f>
        <v/>
      </c>
      <c r="BI82" s="137">
        <f>SUM(W82,X82)-Z82-AA82</f>
        <v/>
      </c>
      <c r="BJ82" s="137">
        <f>8-COUNT('Assumptions'!H58:H65)+COUNTBLANK('NM Play'!B33:B34)+'Costs'!E44+IF(AND('Sites'!E6=1,('Sites'!F6)&lt;=12,'Sites'!G6&gt;=1),IF(ISNUMBER('Sites'!O6),0,1)+'Capital'!I6+COUNTBLANK('Sites'!R6)+IF('Sites'!D6="NM crew",COUNTBLANK('NM Play'!B25)+1,5-COUNT('Assumptions'!H112:H116)),0)+IF(AND('Sites'!E7=1,('Sites'!F7+'Cases'!G8)&lt;=12,'Sites'!G7&gt;=1),IF(ISNUMBER('Sites'!O7),0,1)+'Capital'!I7+COUNTBLANK('Sites'!R7)+IF('Sites'!D7="NM crew",COUNTBLANK('NM Play'!B25)+1,5-COUNT('Assumptions'!H117:H121)),0)+IF(AND('Sites'!E8*'Cases'!F8=1,('Sites'!F8+'Cases'!G8)&lt;=12,'Sites'!G8&gt;=1),IF(ISNUMBER('Sites'!O8),0,1)+'Capital'!I8+COUNTBLANK('Sites'!R8)+IF('Sites'!D8="NM crew",COUNTBLANK('NM Play'!B25)+1,5-COUNT('Assumptions'!H122:H126)),0)+IF(AND('Cases'!C8&gt;0,NOT(ISNUMBER('Assumptions'!B42))),1,0)+'Responsibilities'!$B$39</f>
        <v/>
      </c>
      <c r="BK82" s="137">
        <f>'Assumptions'!$B$50+'NM Play'!$B$83+'Funding'!$F$20+SUMIFS('Production schedule'!$AN$222:$AN$329,'Production schedule'!$C$222:$C$329,5)+IF(OR('Cases'!E8&lt;0,'Cases'!E8&gt;1,'Cases'!C8&lt;0,'Cases'!D8&lt;0,ABS(SUM('Sites'!S6:S8)-1)&gt;0.0001,MIN('Capital'!F6:F8)&lt;0,MAX('Capital'!F6:F8)&gt;1,MIN(AX82,AZ82,BB82,BA82)&lt;-0.01),1,0)+'Responsibilities'!$B$40</f>
        <v/>
      </c>
      <c r="BL82" s="137">
        <f>SUMIFS('Production schedule'!$T$222:$T$329,'Production schedule'!$C$222:$C$329,5)</f>
        <v/>
      </c>
      <c r="BM82" s="137">
        <f>D82*'NM Play'!$B$38</f>
        <v/>
      </c>
      <c r="BN82" s="137">
        <f>SUMIFS('Production schedule'!$AM$222:$AM$329,'Production schedule'!$C$222:$C$329,5)</f>
        <v/>
      </c>
      <c r="BO82" s="137">
        <f>AK82-AK81-AJ82</f>
        <v/>
      </c>
      <c r="BP82" s="137">
        <f>IF(AND('Assumptions'!$B$39&gt;=0,'Assumptions'!$B$40&gt;0),-PMT('Assumptions'!$B$39/12,'Assumptions'!$B$40*12,IF('Funding'!$N$11&gt;0,'Funding'!$N$11,'Funding'!$T$11)),"")</f>
        <v/>
      </c>
      <c r="BQ82">
        <f>('Production schedule'!AJ226)*(1-'Responsibilities'!$C$6)+('Production schedule'!AJ262)*(1-'Responsibilities'!$C$7)+('Production schedule'!AJ298)*(1-'Responsibilities'!$C$8)</f>
        <v/>
      </c>
      <c r="BR82">
        <f>('Production schedule'!AI226)*(1-'Responsibilities'!$D$6)+('Production schedule'!AI262)*(1-'Responsibilities'!$D$7)+('Production schedule'!AI298)*(1-'Responsibilities'!$D$8)</f>
        <v/>
      </c>
      <c r="BS82">
        <f>('Production schedule'!E226*(IF('Sites'!D6="Annual staff",SUM('Assumptions'!H112,'Assumptions'!H114),0)+SUM('Assumptions'!H113,'Assumptions'!H115:H116)))*(1-'Responsibilities'!$E$6)+('Production schedule'!E262*(IF('Sites'!D7="Annual staff",SUM('Assumptions'!H117,'Assumptions'!H119),0)+SUM('Assumptions'!H118,'Assumptions'!H120:H121)))*(1-'Responsibilities'!$E$7)+('Production schedule'!E298*(IF('Sites'!D8="Annual staff",SUM('Assumptions'!H122,'Assumptions'!H124),0)+SUM('Assumptions'!H123,'Assumptions'!H125:H126)))*(1-'Responsibilities'!$E$8)</f>
        <v/>
      </c>
      <c r="BT82">
        <f>(IF(AND('Production schedule'!E226=1,5=MAX(('Sites'!F6),1),ISNUMBER('Sites'!O6)),'Sites'!O6*'Assumptions'!$B$44,0))*(1-'Responsibilities'!$F$6)+(IF(AND('Production schedule'!E262=1,5=MAX(('Sites'!F7+'Cases'!G8),1),ISNUMBER('Sites'!O7)),'Sites'!O7*'Assumptions'!$B$44,0))*(1-'Responsibilities'!$F$7)+(IF(AND('Production schedule'!E298=1,5=MAX(('Sites'!F8+'Cases'!G8),1),ISNUMBER('Sites'!O8)),'Sites'!O8*'Assumptions'!$B$44,0))*(1-'Responsibilities'!$F$8)</f>
        <v/>
      </c>
      <c r="BU82">
        <f>SUM('Costs'!E36)*'Costs'!F36/12*(1-'Responsibilities'!$C$12)+SUM('Costs'!E37)*'Costs'!F37/12*(1-'Responsibilities'!$C$13)+SUM('Costs'!E38)*'Costs'!F38/12*(1-'Responsibilities'!$C$14)+SUM('Costs'!E39)*'Costs'!F39/12*(1-'Responsibilities'!$C$15)+SUM('Costs'!E40)*'Costs'!F40/12*(1-'Responsibilities'!$C$16)</f>
        <v/>
      </c>
      <c r="BV82">
        <f>('Sites'!E6*'Capital'!E6*(IF(5='Capital'!G6,'Capital'!F6,0)+IF(5='Capital'!H6,1-'Capital'!F6,0)))*(1-'Responsibilities'!$G$6)+('Sites'!E7*'Capital'!E7*(IF(5='Capital'!G7+'Cases'!G8,'Capital'!F7,0)+IF(5='Capital'!H7+'Cases'!G8,1-'Capital'!F7,0)))*(1-'Responsibilities'!$G$7)+('Sites'!E8*'Cases'!F8*'Capital'!E8*(IF(5='Capital'!G8+'Cases'!G8,'Capital'!F8,0)+IF(5='Capital'!H8+'Cases'!G8,1-'Capital'!F8,0)))*(1-'Responsibilities'!$G$8)</f>
        <v/>
      </c>
      <c r="BW82">
        <f>SUM(BQ82:BV82)</f>
        <v/>
      </c>
      <c r="BX82">
        <f>N82+BW82</f>
        <v/>
      </c>
      <c r="BY82">
        <f>BX82-(('Production schedule'!AJ226)*'Responsibilities'!$C$6+('Production schedule'!AJ262)*'Responsibilities'!$C$7+('Production schedule'!AJ298)*'Responsibilities'!$C$8+('Production schedule'!AJ226)*(1-'Responsibilities'!$C$6)+('Production schedule'!AJ262)*(1-'Responsibilities'!$C$7)+('Production schedule'!AJ298)*(1-'Responsibilities'!$C$8)+('Production schedule'!AI226)*'Responsibilities'!$D$6+('Production schedule'!AI262)*'Responsibilities'!$D$7+('Production schedule'!AI298)*'Responsibilities'!$D$8+('Production schedule'!AI226)*(1-'Responsibilities'!$D$6)+('Production schedule'!AI262)*(1-'Responsibilities'!$D$7)+('Production schedule'!AI298)*(1-'Responsibilities'!$D$8)+('Production schedule'!E226*(IF('Sites'!D6="Annual staff",SUM('Assumptions'!H112,'Assumptions'!H114),0)+SUM('Assumptions'!H113,'Assumptions'!H115:H116)))*'Responsibilities'!$E$6+('Production schedule'!E262*(IF('Sites'!D7="Annual staff",SUM('Assumptions'!H117,'Assumptions'!H119),0)+SUM('Assumptions'!H118,'Assumptions'!H120:H121)))*'Responsibilities'!$E$7+('Production schedule'!E298*(IF('Sites'!D8="Annual staff",SUM('Assumptions'!H122,'Assumptions'!H124),0)+SUM('Assumptions'!H123,'Assumptions'!H125:H126)))*'Responsibilities'!$E$8+('Production schedule'!E226*(IF('Sites'!D6="Annual staff",SUM('Assumptions'!H112,'Assumptions'!H114),0)+SUM('Assumptions'!H113,'Assumptions'!H115:H116)))*(1-'Responsibilities'!$E$6)+('Production schedule'!E262*(IF('Sites'!D7="Annual staff",SUM('Assumptions'!H117,'Assumptions'!H119),0)+SUM('Assumptions'!H118,'Assumptions'!H120:H121)))*(1-'Responsibilities'!$E$7)+('Production schedule'!E298*(IF('Sites'!D8="Annual staff",SUM('Assumptions'!H122,'Assumptions'!H124),0)+SUM('Assumptions'!H123,'Assumptions'!H125:H126)))*(1-'Responsibilities'!$E$8)+(IF(AND('Production schedule'!E226=1,5=MAX(('Sites'!F6),1),ISNUMBER('Sites'!O6)),'Sites'!O6*'Assumptions'!$B$44,0))*'Responsibilities'!$F$6+(IF(AND('Production schedule'!E262=1,5=MAX(('Sites'!F7+'Cases'!G8),1),ISNUMBER('Sites'!O7)),'Sites'!O7*'Assumptions'!$B$44,0))*'Responsibilities'!$F$7+(IF(AND('Production schedule'!E298=1,5=MAX(('Sites'!F8+'Cases'!G8),1),ISNUMBER('Sites'!O8)),'Sites'!O8*'Assumptions'!$B$44,0))*'Responsibilities'!$F$8+(IF(AND('Production schedule'!E226=1,5=MAX(('Sites'!F6),1),ISNUMBER('Sites'!O6)),'Sites'!O6*'Assumptions'!$B$44,0))*(1-'Responsibilities'!$F$6)+(IF(AND('Production schedule'!E262=1,5=MAX(('Sites'!F7+'Cases'!G8),1),ISNUMBER('Sites'!O7)),'Sites'!O7*'Assumptions'!$B$44,0))*(1-'Responsibilities'!$F$7)+(IF(AND('Production schedule'!E298=1,5=MAX(('Sites'!F8+'Cases'!G8),1),ISNUMBER('Sites'!O8)),'Sites'!O8*'Assumptions'!$B$44,0))*(1-'Responsibilities'!$F$8)+('Sites'!E6*'Capital'!E6*(IF(5='Capital'!G6,'Capital'!F6,0)+IF(5='Capital'!H6,1-'Capital'!F6,0)))*'Responsibilities'!$G$6+('Sites'!E7*'Capital'!E7*(IF(5='Capital'!G7+'Cases'!G8,'Capital'!F7,0)+IF(5='Capital'!H7+'Cases'!G8,1-'Capital'!F7,0)))*'Responsibilities'!$G$7+('Sites'!E8*'Cases'!F8*'Capital'!E8*(IF(5='Capital'!G8+'Cases'!G8,'Capital'!F8,0)+IF(5='Capital'!H8+'Cases'!G8,1-'Capital'!F8,0)))*'Responsibilities'!$G$8+('Sites'!E6*'Capital'!E6*(IF(5='Capital'!G6,'Capital'!F6,0)+IF(5='Capital'!H6,1-'Capital'!F6,0)))*(1-'Responsibilities'!$G$6)+('Sites'!E7*'Capital'!E7*(IF(5='Capital'!G7+'Cases'!G8,'Capital'!F7,0)+IF(5='Capital'!H7+'Cases'!G8,1-'Capital'!F7,0)))*(1-'Responsibilities'!$G$7)+('Sites'!E8*'Cases'!F8*'Capital'!E8*(IF(5='Capital'!G8+'Cases'!G8,'Capital'!F8,0)+IF(5='Capital'!H8+'Cases'!G8,1-'Capital'!F8,0)))*(1-'Responsibilities'!$G$8)+I82+SUMPRODUCT('Costs'!$E$36:$E$40,'Costs'!$F$36:$F$40)/12+BZ82)</f>
        <v/>
      </c>
      <c r="BZ82">
        <f>SUMIFS('Responsibilities'!$B$31:$B$35,'Responsibilities'!$C$31:$C$35,5,'Responsibilities'!$D$31:$D$35,"Yes")</f>
        <v/>
      </c>
    </row>
    <row r="83" ht="28" customHeight="1">
      <c r="A83" s="4" t="inlineStr">
        <is>
          <t>No QBE</t>
        </is>
      </c>
      <c r="B83" s="4" t="n">
        <v>6</v>
      </c>
      <c r="C83" s="4">
        <f>ROUNDUP(B83/12,0)</f>
        <v/>
      </c>
      <c r="D83" s="137">
        <f>SUMIFS('Production schedule'!$N$222:$N$329,'Production schedule'!$C$222:$C$329,6)</f>
        <v/>
      </c>
      <c r="E83" s="137">
        <f>SUMIFS('Production schedule'!$Y$222:$Y$329,'Production schedule'!$C$222:$C$329,6)</f>
        <v/>
      </c>
      <c r="F83" s="137">
        <f>SUMIFS('Production schedule'!$Z$222:$Z$329,'Production schedule'!$C$222:$C$329,6)</f>
        <v/>
      </c>
      <c r="G83" s="137">
        <f>('Production schedule'!AJ227)*'Responsibilities'!$C$6+('Production schedule'!AJ263)*'Responsibilities'!$C$7+('Production schedule'!AJ299)*'Responsibilities'!$C$8</f>
        <v/>
      </c>
      <c r="H83" s="137">
        <f>('Production schedule'!AI227)*'Responsibilities'!$D$6+('Production schedule'!AI263)*'Responsibilities'!$D$7+('Production schedule'!AI299)*'Responsibilities'!$D$8</f>
        <v/>
      </c>
      <c r="I83" s="137">
        <f>SUM('Assumptions'!I58:I65)</f>
        <v/>
      </c>
      <c r="J83" s="137">
        <f>('Production schedule'!E227*(IF('Sites'!D6="Annual staff",SUM('Assumptions'!I112,'Assumptions'!I114),0)+SUM('Assumptions'!I113,'Assumptions'!I115:I116)))*'Responsibilities'!$E$6+('Production schedule'!E263*(IF('Sites'!D7="Annual staff",SUM('Assumptions'!I117,'Assumptions'!I119),0)+SUM('Assumptions'!I118,'Assumptions'!I120:I121)))*'Responsibilities'!$E$7+('Production schedule'!E299*(IF('Sites'!D8="Annual staff",SUM('Assumptions'!I122,'Assumptions'!I124),0)+SUM('Assumptions'!I123,'Assumptions'!I125:I126)))*'Responsibilities'!$E$8</f>
        <v/>
      </c>
      <c r="K83" s="137">
        <f>(IF(AND('Production schedule'!E227=1,6=MAX(('Sites'!F6),1),ISNUMBER('Sites'!O6)),'Sites'!O6*'Assumptions'!$B$44,0))*'Responsibilities'!$F$6+(IF(AND('Production schedule'!E263=1,6=MAX(('Sites'!F7+'Cases'!G8),1),ISNUMBER('Sites'!O7)),'Sites'!O7*'Assumptions'!$B$44,0))*'Responsibilities'!$F$7+(IF(AND('Production schedule'!E299=1,6=MAX(('Sites'!F8+'Cases'!G8),1),ISNUMBER('Sites'!O8)),'Sites'!O8*'Assumptions'!$B$44,0))*'Responsibilities'!$F$8</f>
        <v/>
      </c>
      <c r="L83" s="137">
        <f>SUM('Costs'!E36)*'Costs'!F36/12*'Responsibilities'!$C$12+SUM('Costs'!E37)*'Costs'!F37/12*'Responsibilities'!$C$13+SUM('Costs'!E38)*'Costs'!F38/12*'Responsibilities'!$C$14+SUM('Costs'!E39)*'Costs'!F39/12*'Responsibilities'!$C$15+SUM('Costs'!E40)*'Costs'!F40/12*'Responsibilities'!$C$16+BZ83</f>
        <v/>
      </c>
      <c r="M83" s="137">
        <f>('Sites'!E6*'Capital'!E6*(IF(6='Capital'!G6,'Capital'!F6,0)+IF(6='Capital'!H6,1-'Capital'!F6,0)))*'Responsibilities'!$G$6+('Sites'!E7*'Capital'!E7*(IF(6='Capital'!G7+'Cases'!G8,'Capital'!F7,0)+IF(6='Capital'!H7+'Cases'!G8,1-'Capital'!F7,0)))*'Responsibilities'!$G$7+('Sites'!E8*'Cases'!F8*'Capital'!E8*(IF(6='Capital'!G8+'Cases'!G8,'Capital'!F8,0)+IF(6='Capital'!H8+'Cases'!G8,1-'Capital'!F8,0)))*'Responsibilities'!$G$8</f>
        <v/>
      </c>
      <c r="N83" s="137">
        <f>SUM(G83:M83)</f>
        <v/>
      </c>
      <c r="O83" s="137">
        <f>SUMIFS(FundingTranches[Secured amount],FundingTranches[Instrument],"Grant",FundingTranches[Secured month],6)</f>
        <v/>
      </c>
      <c r="P83" s="137">
        <f>SUMIFS(FundingTranches[No QBE possible],FundingTranches[Instrument],"Grant",FundingTranches[Scenario month],6-'Cases'!$D$8)</f>
        <v/>
      </c>
      <c r="Q83" s="137">
        <f>SUMIFS(FundingTranches[Secured amount],FundingTranches[Instrument],"Loan",FundingTranches[Secured month],6)</f>
        <v/>
      </c>
      <c r="R83" s="137">
        <f>SUMIFS(FundingTranches[No QBE possible],FundingTranches[Instrument],"Loan",FundingTranches[Scenario month],6-'Cases'!$D$8)</f>
        <v/>
      </c>
      <c r="S83" s="137">
        <f>IF(6&lt;='Assumptions'!$B$34,0,SUMIFS('Production schedule'!$AL$222:$AL$329,'Production schedule'!$C$222:$C$329,6-'Assumptions'!$B$34))</f>
        <v/>
      </c>
      <c r="T83" s="137">
        <f>'Assumptions'!I70</f>
        <v/>
      </c>
      <c r="U83" s="137">
        <f>'Assumptions'!I78</f>
        <v/>
      </c>
      <c r="V83" s="137">
        <f>SUM(O83:U83)</f>
        <v/>
      </c>
      <c r="W83" s="137">
        <f>AA82</f>
        <v/>
      </c>
      <c r="X83" s="137">
        <f>SUM(Q83:R83)</f>
        <v/>
      </c>
      <c r="Y83" s="137">
        <f>SUM(W83,X83)*'Assumptions'!$B$39/12</f>
        <v/>
      </c>
      <c r="Z83" s="137">
        <f>IF(SUM(W83,X83)&gt;0,MIN(SUM(W83,X83),MAX(0,BP83-Y83)),0)</f>
        <v/>
      </c>
      <c r="AA83" s="137">
        <f>SUM(W83,X83)-Z83</f>
        <v/>
      </c>
      <c r="AB83" s="137">
        <f>SUM(Y83:Z83)</f>
        <v/>
      </c>
      <c r="AC83" s="137">
        <f>'Assumptions'!I72</f>
        <v/>
      </c>
      <c r="AD83" s="137">
        <f>'Assumptions'!I73</f>
        <v/>
      </c>
      <c r="AE83" s="137">
        <f>IF(X83&gt;0,SUM('Assumptions'!$B$42),0)</f>
        <v/>
      </c>
      <c r="AF83" s="137">
        <f>'Assumptions'!I71</f>
        <v/>
      </c>
      <c r="AG83" s="137">
        <f>'Assumptions'!I74</f>
        <v/>
      </c>
      <c r="AH83" s="137">
        <f>'Assumptions'!I75</f>
        <v/>
      </c>
      <c r="AI83" s="137">
        <f>'Assumptions'!I77</f>
        <v/>
      </c>
      <c r="AJ83" s="137">
        <f>V83-N83-SUM(AB83:AI83)</f>
        <v/>
      </c>
      <c r="AK83" s="137">
        <f>SUM(AJ78:AJ83)</f>
        <v/>
      </c>
      <c r="AL83" s="137">
        <f>IF(ISNUMBER('Assumptions'!$B$10),'Assumptions'!$B$10+AK83,"")</f>
        <v/>
      </c>
      <c r="AM83" s="137">
        <f>SUM(O83,Q83,T83)-N83-SUM(AC83:AI83)+IF('Funding'!$N$11=0,AE83,0)-IF('Funding'!$N$11&gt;0,AB83,0)</f>
        <v/>
      </c>
      <c r="AN83" s="137">
        <f>SUM(AM78:AM83)</f>
        <v/>
      </c>
      <c r="AO83" s="137">
        <f>IF(ISNUMBER('Assumptions'!$B$10),'Assumptions'!$B$10+AN83,"")</f>
        <v/>
      </c>
      <c r="AP83" s="137">
        <f>('Production schedule'!AK227)*'Responsibilities'!$C$6+('Production schedule'!AK263)*'Responsibilities'!$C$7+('Production schedule'!AK299)*'Responsibilities'!$C$8</f>
        <v/>
      </c>
      <c r="AQ83" s="137">
        <f>SUMIFS('Production schedule'!$AL$222:$AL$329,'Production schedule'!$C$222:$C$329,6)</f>
        <v/>
      </c>
      <c r="AR83" s="137">
        <f>IF(ISNUMBER('Assumptions'!I76),'Assumptions'!I76,SUM(O83:P83))</f>
        <v/>
      </c>
      <c r="AS83" s="137">
        <f>IF(ISNUMBER('Assumptions'!$B$13),MIN('Assumptions'!$B$13/'Assumptions'!$B$18/12,MAX(0,'Assumptions'!$B$13-(6-1)*'Assumptions'!$B$13/'Assumptions'!$B$18/12)),0)+IF(AND('Sites'!E6=1,6&gt;=('Sites'!F6),6&lt;('Sites'!F6)+'Assumptions'!$B$18*12),'Capital'!E6/'Assumptions'!$B$18/12,0)+IF(AND('Sites'!E7=1,6&gt;=('Sites'!F7+'Cases'!G8),6&lt;('Sites'!F7+'Cases'!G8)+'Assumptions'!$B$18*12),'Capital'!E7/'Assumptions'!$B$18/12,0)+IF(AND('Sites'!E8*'Cases'!F8=1,6&gt;=('Sites'!F8+'Cases'!G8),6&lt;('Sites'!F8+'Cases'!G8)+'Assumptions'!$B$18*12),'Capital'!E8/'Assumptions'!$B$18/12,0)</f>
        <v/>
      </c>
      <c r="AT83" s="137">
        <f>SUM(AQ83,AR83,U83)-AP83-SUM(H83:L83)-AS83-SUM(Y83,AD83,AE83,AH83)</f>
        <v/>
      </c>
      <c r="AU83" s="137">
        <f>IF(ISNUMBER('Assumptions'!$B$19),MAX(0,SUM(AT78:AT83))*'Assumptions'!$B$19-SUM(AU78:AU82),"")</f>
        <v/>
      </c>
      <c r="AV83" s="137">
        <f>IF(ISNUMBER(AU83),AT83-AU83,"")</f>
        <v/>
      </c>
      <c r="AW83" s="137">
        <f>IF(ISNUMBER('Assumptions'!$B$11),'Assumptions'!$B$11+SUM(AQ78:AQ83)-SUM(S78:S83)-SUM(T78:T83),"")</f>
        <v/>
      </c>
      <c r="AX83" s="137">
        <f>IF(ISNUMBER('Assumptions'!$B$12),'Assumptions'!$B$12+SUM(G78:G83)-SUM(AP78:AP83),"")</f>
        <v/>
      </c>
      <c r="AY83" s="137">
        <f>IF(ISNUMBER('Assumptions'!$B$13),'Assumptions'!$B$13+SUM(M78:M83)-SUM(AS78:AS83),"")</f>
        <v/>
      </c>
      <c r="AZ83" s="137">
        <f>IF(ISNUMBER('Assumptions'!$B$14),'Assumptions'!$B$14+-SUM(AF78:AF83),"")</f>
        <v/>
      </c>
      <c r="BA83" s="137">
        <f>IF(ISNUMBER('Assumptions'!$B$15),'Assumptions'!$B$15+SUM(O78:O83)+SUM(P78:P83)-SUM(AR78:AR83),"")</f>
        <v/>
      </c>
      <c r="BB83" s="137">
        <f>IF(ISNUMBER('Assumptions'!$B$16),'Assumptions'!$B$16+-SUM(AC78:AC83),"")</f>
        <v/>
      </c>
      <c r="BC83" s="137">
        <f>IF(AND(ISNUMBER('Assumptions'!$B$21),ISNUMBER('Assumptions'!$B$19)),'Assumptions'!$B$21+SUM(AU78:AU83)-SUM(AG78:AG83),"")</f>
        <v/>
      </c>
      <c r="BD83" s="137">
        <f>IF(ISNUMBER('Assumptions'!$B$20),'Assumptions'!$B$20+-SUM(AI78:AI83),"")</f>
        <v/>
      </c>
      <c r="BE83" s="137">
        <f>IF(AND(ISNUMBER('Assumptions'!$B$17),COUNT(AV78:AV83)=6),'Assumptions'!$B$17+SUM(AV78:AV83),"")</f>
        <v/>
      </c>
      <c r="BF83" s="137">
        <f>IF(COUNT(AL83,AW83:AY83)=4,SUM(AL83,AW83:AY83),"")</f>
        <v/>
      </c>
      <c r="BG83" s="137">
        <f>IF(COUNT(AZ83:BD83)=5,SUM(AZ83:BD83,AA83),"")</f>
        <v/>
      </c>
      <c r="BH83" s="137">
        <f>IF(COUNT(BF83,BG83,BE83)=3,BF83-BG83-BE83,"")</f>
        <v/>
      </c>
      <c r="BI83" s="137">
        <f>SUM(W83,X83)-Z83-AA83</f>
        <v/>
      </c>
      <c r="BJ83" s="137">
        <f>8-COUNT('Assumptions'!I58:I65)+COUNTBLANK('NM Play'!B33:B34)+'Costs'!E44+IF(AND('Sites'!E6=1,('Sites'!F6)&lt;=12,'Sites'!G6&gt;=1),IF(ISNUMBER('Sites'!O6),0,1)+'Capital'!I6+COUNTBLANK('Sites'!R6)+IF('Sites'!D6="NM crew",COUNTBLANK('NM Play'!B25)+1,5-COUNT('Assumptions'!I112:I116)),0)+IF(AND('Sites'!E7=1,('Sites'!F7+'Cases'!G8)&lt;=12,'Sites'!G7&gt;=1),IF(ISNUMBER('Sites'!O7),0,1)+'Capital'!I7+COUNTBLANK('Sites'!R7)+IF('Sites'!D7="NM crew",COUNTBLANK('NM Play'!B25)+1,5-COUNT('Assumptions'!I117:I121)),0)+IF(AND('Sites'!E8*'Cases'!F8=1,('Sites'!F8+'Cases'!G8)&lt;=12,'Sites'!G8&gt;=1),IF(ISNUMBER('Sites'!O8),0,1)+'Capital'!I8+COUNTBLANK('Sites'!R8)+IF('Sites'!D8="NM crew",COUNTBLANK('NM Play'!B25)+1,5-COUNT('Assumptions'!I122:I126)),0)+IF(AND('Cases'!C8&gt;0,NOT(ISNUMBER('Assumptions'!B42))),1,0)+'Responsibilities'!$B$39</f>
        <v/>
      </c>
      <c r="BK83" s="137">
        <f>'Assumptions'!$B$50+'NM Play'!$B$83+'Funding'!$F$20+SUMIFS('Production schedule'!$AN$222:$AN$329,'Production schedule'!$C$222:$C$329,6)+IF(OR('Cases'!E8&lt;0,'Cases'!E8&gt;1,'Cases'!C8&lt;0,'Cases'!D8&lt;0,ABS(SUM('Sites'!S6:S8)-1)&gt;0.0001,MIN('Capital'!F6:F8)&lt;0,MAX('Capital'!F6:F8)&gt;1,MIN(AX83,AZ83,BB83,BA83)&lt;-0.01),1,0)+'Responsibilities'!$B$40</f>
        <v/>
      </c>
      <c r="BL83" s="137">
        <f>SUMIFS('Production schedule'!$T$222:$T$329,'Production schedule'!$C$222:$C$329,6)</f>
        <v/>
      </c>
      <c r="BM83" s="137">
        <f>D83*'NM Play'!$B$38</f>
        <v/>
      </c>
      <c r="BN83" s="137">
        <f>SUMIFS('Production schedule'!$AM$222:$AM$329,'Production schedule'!$C$222:$C$329,6)</f>
        <v/>
      </c>
      <c r="BO83" s="137">
        <f>AK83-AK82-AJ83</f>
        <v/>
      </c>
      <c r="BP83" s="137">
        <f>IF(AND('Assumptions'!$B$39&gt;=0,'Assumptions'!$B$40&gt;0),-PMT('Assumptions'!$B$39/12,'Assumptions'!$B$40*12,IF('Funding'!$N$11&gt;0,'Funding'!$N$11,'Funding'!$T$11)),"")</f>
        <v/>
      </c>
      <c r="BQ83">
        <f>('Production schedule'!AJ227)*(1-'Responsibilities'!$C$6)+('Production schedule'!AJ263)*(1-'Responsibilities'!$C$7)+('Production schedule'!AJ299)*(1-'Responsibilities'!$C$8)</f>
        <v/>
      </c>
      <c r="BR83">
        <f>('Production schedule'!AI227)*(1-'Responsibilities'!$D$6)+('Production schedule'!AI263)*(1-'Responsibilities'!$D$7)+('Production schedule'!AI299)*(1-'Responsibilities'!$D$8)</f>
        <v/>
      </c>
      <c r="BS83">
        <f>('Production schedule'!E227*(IF('Sites'!D6="Annual staff",SUM('Assumptions'!I112,'Assumptions'!I114),0)+SUM('Assumptions'!I113,'Assumptions'!I115:I116)))*(1-'Responsibilities'!$E$6)+('Production schedule'!E263*(IF('Sites'!D7="Annual staff",SUM('Assumptions'!I117,'Assumptions'!I119),0)+SUM('Assumptions'!I118,'Assumptions'!I120:I121)))*(1-'Responsibilities'!$E$7)+('Production schedule'!E299*(IF('Sites'!D8="Annual staff",SUM('Assumptions'!I122,'Assumptions'!I124),0)+SUM('Assumptions'!I123,'Assumptions'!I125:I126)))*(1-'Responsibilities'!$E$8)</f>
        <v/>
      </c>
      <c r="BT83">
        <f>(IF(AND('Production schedule'!E227=1,6=MAX(('Sites'!F6),1),ISNUMBER('Sites'!O6)),'Sites'!O6*'Assumptions'!$B$44,0))*(1-'Responsibilities'!$F$6)+(IF(AND('Production schedule'!E263=1,6=MAX(('Sites'!F7+'Cases'!G8),1),ISNUMBER('Sites'!O7)),'Sites'!O7*'Assumptions'!$B$44,0))*(1-'Responsibilities'!$F$7)+(IF(AND('Production schedule'!E299=1,6=MAX(('Sites'!F8+'Cases'!G8),1),ISNUMBER('Sites'!O8)),'Sites'!O8*'Assumptions'!$B$44,0))*(1-'Responsibilities'!$F$8)</f>
        <v/>
      </c>
      <c r="BU83">
        <f>SUM('Costs'!E36)*'Costs'!F36/12*(1-'Responsibilities'!$C$12)+SUM('Costs'!E37)*'Costs'!F37/12*(1-'Responsibilities'!$C$13)+SUM('Costs'!E38)*'Costs'!F38/12*(1-'Responsibilities'!$C$14)+SUM('Costs'!E39)*'Costs'!F39/12*(1-'Responsibilities'!$C$15)+SUM('Costs'!E40)*'Costs'!F40/12*(1-'Responsibilities'!$C$16)</f>
        <v/>
      </c>
      <c r="BV83">
        <f>('Sites'!E6*'Capital'!E6*(IF(6='Capital'!G6,'Capital'!F6,0)+IF(6='Capital'!H6,1-'Capital'!F6,0)))*(1-'Responsibilities'!$G$6)+('Sites'!E7*'Capital'!E7*(IF(6='Capital'!G7+'Cases'!G8,'Capital'!F7,0)+IF(6='Capital'!H7+'Cases'!G8,1-'Capital'!F7,0)))*(1-'Responsibilities'!$G$7)+('Sites'!E8*'Cases'!F8*'Capital'!E8*(IF(6='Capital'!G8+'Cases'!G8,'Capital'!F8,0)+IF(6='Capital'!H8+'Cases'!G8,1-'Capital'!F8,0)))*(1-'Responsibilities'!$G$8)</f>
        <v/>
      </c>
      <c r="BW83">
        <f>SUM(BQ83:BV83)</f>
        <v/>
      </c>
      <c r="BX83">
        <f>N83+BW83</f>
        <v/>
      </c>
      <c r="BY83">
        <f>BX83-(('Production schedule'!AJ227)*'Responsibilities'!$C$6+('Production schedule'!AJ263)*'Responsibilities'!$C$7+('Production schedule'!AJ299)*'Responsibilities'!$C$8+('Production schedule'!AJ227)*(1-'Responsibilities'!$C$6)+('Production schedule'!AJ263)*(1-'Responsibilities'!$C$7)+('Production schedule'!AJ299)*(1-'Responsibilities'!$C$8)+('Production schedule'!AI227)*'Responsibilities'!$D$6+('Production schedule'!AI263)*'Responsibilities'!$D$7+('Production schedule'!AI299)*'Responsibilities'!$D$8+('Production schedule'!AI227)*(1-'Responsibilities'!$D$6)+('Production schedule'!AI263)*(1-'Responsibilities'!$D$7)+('Production schedule'!AI299)*(1-'Responsibilities'!$D$8)+('Production schedule'!E227*(IF('Sites'!D6="Annual staff",SUM('Assumptions'!I112,'Assumptions'!I114),0)+SUM('Assumptions'!I113,'Assumptions'!I115:I116)))*'Responsibilities'!$E$6+('Production schedule'!E263*(IF('Sites'!D7="Annual staff",SUM('Assumptions'!I117,'Assumptions'!I119),0)+SUM('Assumptions'!I118,'Assumptions'!I120:I121)))*'Responsibilities'!$E$7+('Production schedule'!E299*(IF('Sites'!D8="Annual staff",SUM('Assumptions'!I122,'Assumptions'!I124),0)+SUM('Assumptions'!I123,'Assumptions'!I125:I126)))*'Responsibilities'!$E$8+('Production schedule'!E227*(IF('Sites'!D6="Annual staff",SUM('Assumptions'!I112,'Assumptions'!I114),0)+SUM('Assumptions'!I113,'Assumptions'!I115:I116)))*(1-'Responsibilities'!$E$6)+('Production schedule'!E263*(IF('Sites'!D7="Annual staff",SUM('Assumptions'!I117,'Assumptions'!I119),0)+SUM('Assumptions'!I118,'Assumptions'!I120:I121)))*(1-'Responsibilities'!$E$7)+('Production schedule'!E299*(IF('Sites'!D8="Annual staff",SUM('Assumptions'!I122,'Assumptions'!I124),0)+SUM('Assumptions'!I123,'Assumptions'!I125:I126)))*(1-'Responsibilities'!$E$8)+(IF(AND('Production schedule'!E227=1,6=MAX(('Sites'!F6),1),ISNUMBER('Sites'!O6)),'Sites'!O6*'Assumptions'!$B$44,0))*'Responsibilities'!$F$6+(IF(AND('Production schedule'!E263=1,6=MAX(('Sites'!F7+'Cases'!G8),1),ISNUMBER('Sites'!O7)),'Sites'!O7*'Assumptions'!$B$44,0))*'Responsibilities'!$F$7+(IF(AND('Production schedule'!E299=1,6=MAX(('Sites'!F8+'Cases'!G8),1),ISNUMBER('Sites'!O8)),'Sites'!O8*'Assumptions'!$B$44,0))*'Responsibilities'!$F$8+(IF(AND('Production schedule'!E227=1,6=MAX(('Sites'!F6),1),ISNUMBER('Sites'!O6)),'Sites'!O6*'Assumptions'!$B$44,0))*(1-'Responsibilities'!$F$6)+(IF(AND('Production schedule'!E263=1,6=MAX(('Sites'!F7+'Cases'!G8),1),ISNUMBER('Sites'!O7)),'Sites'!O7*'Assumptions'!$B$44,0))*(1-'Responsibilities'!$F$7)+(IF(AND('Production schedule'!E299=1,6=MAX(('Sites'!F8+'Cases'!G8),1),ISNUMBER('Sites'!O8)),'Sites'!O8*'Assumptions'!$B$44,0))*(1-'Responsibilities'!$F$8)+('Sites'!E6*'Capital'!E6*(IF(6='Capital'!G6,'Capital'!F6,0)+IF(6='Capital'!H6,1-'Capital'!F6,0)))*'Responsibilities'!$G$6+('Sites'!E7*'Capital'!E7*(IF(6='Capital'!G7+'Cases'!G8,'Capital'!F7,0)+IF(6='Capital'!H7+'Cases'!G8,1-'Capital'!F7,0)))*'Responsibilities'!$G$7+('Sites'!E8*'Cases'!F8*'Capital'!E8*(IF(6='Capital'!G8+'Cases'!G8,'Capital'!F8,0)+IF(6='Capital'!H8+'Cases'!G8,1-'Capital'!F8,0)))*'Responsibilities'!$G$8+('Sites'!E6*'Capital'!E6*(IF(6='Capital'!G6,'Capital'!F6,0)+IF(6='Capital'!H6,1-'Capital'!F6,0)))*(1-'Responsibilities'!$G$6)+('Sites'!E7*'Capital'!E7*(IF(6='Capital'!G7+'Cases'!G8,'Capital'!F7,0)+IF(6='Capital'!H7+'Cases'!G8,1-'Capital'!F7,0)))*(1-'Responsibilities'!$G$7)+('Sites'!E8*'Cases'!F8*'Capital'!E8*(IF(6='Capital'!G8+'Cases'!G8,'Capital'!F8,0)+IF(6='Capital'!H8+'Cases'!G8,1-'Capital'!F8,0)))*(1-'Responsibilities'!$G$8)+I83+SUMPRODUCT('Costs'!$E$36:$E$40,'Costs'!$F$36:$F$40)/12+BZ83)</f>
        <v/>
      </c>
      <c r="BZ83">
        <f>SUMIFS('Responsibilities'!$B$31:$B$35,'Responsibilities'!$C$31:$C$35,6,'Responsibilities'!$D$31:$D$35,"Yes")</f>
        <v/>
      </c>
    </row>
    <row r="84" ht="28" customHeight="1">
      <c r="A84" s="4" t="inlineStr">
        <is>
          <t>No QBE</t>
        </is>
      </c>
      <c r="B84" s="4" t="n">
        <v>7</v>
      </c>
      <c r="C84" s="4">
        <f>ROUNDUP(B84/12,0)</f>
        <v/>
      </c>
      <c r="D84" s="137">
        <f>SUMIFS('Production schedule'!$N$222:$N$329,'Production schedule'!$C$222:$C$329,7)</f>
        <v/>
      </c>
      <c r="E84" s="137">
        <f>SUMIFS('Production schedule'!$Y$222:$Y$329,'Production schedule'!$C$222:$C$329,7)</f>
        <v/>
      </c>
      <c r="F84" s="137">
        <f>SUMIFS('Production schedule'!$Z$222:$Z$329,'Production schedule'!$C$222:$C$329,7)</f>
        <v/>
      </c>
      <c r="G84" s="137">
        <f>('Production schedule'!AJ228)*'Responsibilities'!$C$6+('Production schedule'!AJ264)*'Responsibilities'!$C$7+('Production schedule'!AJ300)*'Responsibilities'!$C$8</f>
        <v/>
      </c>
      <c r="H84" s="137">
        <f>('Production schedule'!AI228)*'Responsibilities'!$D$6+('Production schedule'!AI264)*'Responsibilities'!$D$7+('Production schedule'!AI300)*'Responsibilities'!$D$8</f>
        <v/>
      </c>
      <c r="I84" s="137">
        <f>SUM('Assumptions'!J58:J65)</f>
        <v/>
      </c>
      <c r="J84" s="137">
        <f>('Production schedule'!E228*(IF('Sites'!D6="Annual staff",SUM('Assumptions'!J112,'Assumptions'!J114),0)+SUM('Assumptions'!J113,'Assumptions'!J115:J116)))*'Responsibilities'!$E$6+('Production schedule'!E264*(IF('Sites'!D7="Annual staff",SUM('Assumptions'!J117,'Assumptions'!J119),0)+SUM('Assumptions'!J118,'Assumptions'!J120:J121)))*'Responsibilities'!$E$7+('Production schedule'!E300*(IF('Sites'!D8="Annual staff",SUM('Assumptions'!J122,'Assumptions'!J124),0)+SUM('Assumptions'!J123,'Assumptions'!J125:J126)))*'Responsibilities'!$E$8</f>
        <v/>
      </c>
      <c r="K84" s="137">
        <f>(IF(AND('Production schedule'!E228=1,7=MAX(('Sites'!F6),1),ISNUMBER('Sites'!O6)),'Sites'!O6*'Assumptions'!$B$44,0))*'Responsibilities'!$F$6+(IF(AND('Production schedule'!E264=1,7=MAX(('Sites'!F7+'Cases'!G8),1),ISNUMBER('Sites'!O7)),'Sites'!O7*'Assumptions'!$B$44,0))*'Responsibilities'!$F$7+(IF(AND('Production schedule'!E300=1,7=MAX(('Sites'!F8+'Cases'!G8),1),ISNUMBER('Sites'!O8)),'Sites'!O8*'Assumptions'!$B$44,0))*'Responsibilities'!$F$8</f>
        <v/>
      </c>
      <c r="L84" s="137">
        <f>SUM('Costs'!E36)*'Costs'!F36/12*'Responsibilities'!$C$12+SUM('Costs'!E37)*'Costs'!F37/12*'Responsibilities'!$C$13+SUM('Costs'!E38)*'Costs'!F38/12*'Responsibilities'!$C$14+SUM('Costs'!E39)*'Costs'!F39/12*'Responsibilities'!$C$15+SUM('Costs'!E40)*'Costs'!F40/12*'Responsibilities'!$C$16+BZ84</f>
        <v/>
      </c>
      <c r="M84" s="137">
        <f>('Sites'!E6*'Capital'!E6*(IF(7='Capital'!G6,'Capital'!F6,0)+IF(7='Capital'!H6,1-'Capital'!F6,0)))*'Responsibilities'!$G$6+('Sites'!E7*'Capital'!E7*(IF(7='Capital'!G7+'Cases'!G8,'Capital'!F7,0)+IF(7='Capital'!H7+'Cases'!G8,1-'Capital'!F7,0)))*'Responsibilities'!$G$7+('Sites'!E8*'Cases'!F8*'Capital'!E8*(IF(7='Capital'!G8+'Cases'!G8,'Capital'!F8,0)+IF(7='Capital'!H8+'Cases'!G8,1-'Capital'!F8,0)))*'Responsibilities'!$G$8</f>
        <v/>
      </c>
      <c r="N84" s="137">
        <f>SUM(G84:M84)</f>
        <v/>
      </c>
      <c r="O84" s="137">
        <f>SUMIFS(FundingTranches[Secured amount],FundingTranches[Instrument],"Grant",FundingTranches[Secured month],7)</f>
        <v/>
      </c>
      <c r="P84" s="137">
        <f>SUMIFS(FundingTranches[No QBE possible],FundingTranches[Instrument],"Grant",FundingTranches[Scenario month],7-'Cases'!$D$8)</f>
        <v/>
      </c>
      <c r="Q84" s="137">
        <f>SUMIFS(FundingTranches[Secured amount],FundingTranches[Instrument],"Loan",FundingTranches[Secured month],7)</f>
        <v/>
      </c>
      <c r="R84" s="137">
        <f>SUMIFS(FundingTranches[No QBE possible],FundingTranches[Instrument],"Loan",FundingTranches[Scenario month],7-'Cases'!$D$8)</f>
        <v/>
      </c>
      <c r="S84" s="137">
        <f>IF(7&lt;='Assumptions'!$B$34,0,SUMIFS('Production schedule'!$AL$222:$AL$329,'Production schedule'!$C$222:$C$329,7-'Assumptions'!$B$34))</f>
        <v/>
      </c>
      <c r="T84" s="137">
        <f>'Assumptions'!J70</f>
        <v/>
      </c>
      <c r="U84" s="137">
        <f>'Assumptions'!J78</f>
        <v/>
      </c>
      <c r="V84" s="137">
        <f>SUM(O84:U84)</f>
        <v/>
      </c>
      <c r="W84" s="137">
        <f>AA83</f>
        <v/>
      </c>
      <c r="X84" s="137">
        <f>SUM(Q84:R84)</f>
        <v/>
      </c>
      <c r="Y84" s="137">
        <f>SUM(W84,X84)*'Assumptions'!$B$39/12</f>
        <v/>
      </c>
      <c r="Z84" s="137">
        <f>IF(SUM(W84,X84)&gt;0,MIN(SUM(W84,X84),MAX(0,BP84-Y84)),0)</f>
        <v/>
      </c>
      <c r="AA84" s="137">
        <f>SUM(W84,X84)-Z84</f>
        <v/>
      </c>
      <c r="AB84" s="137">
        <f>SUM(Y84:Z84)</f>
        <v/>
      </c>
      <c r="AC84" s="137">
        <f>'Assumptions'!J72</f>
        <v/>
      </c>
      <c r="AD84" s="137">
        <f>'Assumptions'!J73</f>
        <v/>
      </c>
      <c r="AE84" s="137">
        <f>IF(X84&gt;0,SUM('Assumptions'!$B$42),0)</f>
        <v/>
      </c>
      <c r="AF84" s="137">
        <f>'Assumptions'!J71</f>
        <v/>
      </c>
      <c r="AG84" s="137">
        <f>'Assumptions'!J74</f>
        <v/>
      </c>
      <c r="AH84" s="137">
        <f>'Assumptions'!J75</f>
        <v/>
      </c>
      <c r="AI84" s="137">
        <f>'Assumptions'!J77</f>
        <v/>
      </c>
      <c r="AJ84" s="137">
        <f>V84-N84-SUM(AB84:AI84)</f>
        <v/>
      </c>
      <c r="AK84" s="137">
        <f>SUM(AJ78:AJ84)</f>
        <v/>
      </c>
      <c r="AL84" s="137">
        <f>IF(ISNUMBER('Assumptions'!$B$10),'Assumptions'!$B$10+AK84,"")</f>
        <v/>
      </c>
      <c r="AM84" s="137">
        <f>SUM(O84,Q84,T84)-N84-SUM(AC84:AI84)+IF('Funding'!$N$11=0,AE84,0)-IF('Funding'!$N$11&gt;0,AB84,0)</f>
        <v/>
      </c>
      <c r="AN84" s="137">
        <f>SUM(AM78:AM84)</f>
        <v/>
      </c>
      <c r="AO84" s="137">
        <f>IF(ISNUMBER('Assumptions'!$B$10),'Assumptions'!$B$10+AN84,"")</f>
        <v/>
      </c>
      <c r="AP84" s="137">
        <f>('Production schedule'!AK228)*'Responsibilities'!$C$6+('Production schedule'!AK264)*'Responsibilities'!$C$7+('Production schedule'!AK300)*'Responsibilities'!$C$8</f>
        <v/>
      </c>
      <c r="AQ84" s="137">
        <f>SUMIFS('Production schedule'!$AL$222:$AL$329,'Production schedule'!$C$222:$C$329,7)</f>
        <v/>
      </c>
      <c r="AR84" s="137">
        <f>IF(ISNUMBER('Assumptions'!J76),'Assumptions'!J76,SUM(O84:P84))</f>
        <v/>
      </c>
      <c r="AS84" s="137">
        <f>IF(ISNUMBER('Assumptions'!$B$13),MIN('Assumptions'!$B$13/'Assumptions'!$B$18/12,MAX(0,'Assumptions'!$B$13-(7-1)*'Assumptions'!$B$13/'Assumptions'!$B$18/12)),0)+IF(AND('Sites'!E6=1,7&gt;=('Sites'!F6),7&lt;('Sites'!F6)+'Assumptions'!$B$18*12),'Capital'!E6/'Assumptions'!$B$18/12,0)+IF(AND('Sites'!E7=1,7&gt;=('Sites'!F7+'Cases'!G8),7&lt;('Sites'!F7+'Cases'!G8)+'Assumptions'!$B$18*12),'Capital'!E7/'Assumptions'!$B$18/12,0)+IF(AND('Sites'!E8*'Cases'!F8=1,7&gt;=('Sites'!F8+'Cases'!G8),7&lt;('Sites'!F8+'Cases'!G8)+'Assumptions'!$B$18*12),'Capital'!E8/'Assumptions'!$B$18/12,0)</f>
        <v/>
      </c>
      <c r="AT84" s="137">
        <f>SUM(AQ84,AR84,U84)-AP84-SUM(H84:L84)-AS84-SUM(Y84,AD84,AE84,AH84)</f>
        <v/>
      </c>
      <c r="AU84" s="137">
        <f>IF(ISNUMBER('Assumptions'!$B$19),MAX(0,SUM(AT78:AT84))*'Assumptions'!$B$19-SUM(AU78:AU83),"")</f>
        <v/>
      </c>
      <c r="AV84" s="137">
        <f>IF(ISNUMBER(AU84),AT84-AU84,"")</f>
        <v/>
      </c>
      <c r="AW84" s="137">
        <f>IF(ISNUMBER('Assumptions'!$B$11),'Assumptions'!$B$11+SUM(AQ78:AQ84)-SUM(S78:S84)-SUM(T78:T84),"")</f>
        <v/>
      </c>
      <c r="AX84" s="137">
        <f>IF(ISNUMBER('Assumptions'!$B$12),'Assumptions'!$B$12+SUM(G78:G84)-SUM(AP78:AP84),"")</f>
        <v/>
      </c>
      <c r="AY84" s="137">
        <f>IF(ISNUMBER('Assumptions'!$B$13),'Assumptions'!$B$13+SUM(M78:M84)-SUM(AS78:AS84),"")</f>
        <v/>
      </c>
      <c r="AZ84" s="137">
        <f>IF(ISNUMBER('Assumptions'!$B$14),'Assumptions'!$B$14+-SUM(AF78:AF84),"")</f>
        <v/>
      </c>
      <c r="BA84" s="137">
        <f>IF(ISNUMBER('Assumptions'!$B$15),'Assumptions'!$B$15+SUM(O78:O84)+SUM(P78:P84)-SUM(AR78:AR84),"")</f>
        <v/>
      </c>
      <c r="BB84" s="137">
        <f>IF(ISNUMBER('Assumptions'!$B$16),'Assumptions'!$B$16+-SUM(AC78:AC84),"")</f>
        <v/>
      </c>
      <c r="BC84" s="137">
        <f>IF(AND(ISNUMBER('Assumptions'!$B$21),ISNUMBER('Assumptions'!$B$19)),'Assumptions'!$B$21+SUM(AU78:AU84)-SUM(AG78:AG84),"")</f>
        <v/>
      </c>
      <c r="BD84" s="137">
        <f>IF(ISNUMBER('Assumptions'!$B$20),'Assumptions'!$B$20+-SUM(AI78:AI84),"")</f>
        <v/>
      </c>
      <c r="BE84" s="137">
        <f>IF(AND(ISNUMBER('Assumptions'!$B$17),COUNT(AV78:AV84)=7),'Assumptions'!$B$17+SUM(AV78:AV84),"")</f>
        <v/>
      </c>
      <c r="BF84" s="137">
        <f>IF(COUNT(AL84,AW84:AY84)=4,SUM(AL84,AW84:AY84),"")</f>
        <v/>
      </c>
      <c r="BG84" s="137">
        <f>IF(COUNT(AZ84:BD84)=5,SUM(AZ84:BD84,AA84),"")</f>
        <v/>
      </c>
      <c r="BH84" s="137">
        <f>IF(COUNT(BF84,BG84,BE84)=3,BF84-BG84-BE84,"")</f>
        <v/>
      </c>
      <c r="BI84" s="137">
        <f>SUM(W84,X84)-Z84-AA84</f>
        <v/>
      </c>
      <c r="BJ84" s="137">
        <f>8-COUNT('Assumptions'!J58:J65)+COUNTBLANK('NM Play'!B33:B34)+'Costs'!E44+IF(AND('Sites'!E6=1,('Sites'!F6)&lt;=12,'Sites'!G6&gt;=1),IF(ISNUMBER('Sites'!O6),0,1)+'Capital'!I6+COUNTBLANK('Sites'!R6)+IF('Sites'!D6="NM crew",COUNTBLANK('NM Play'!B25)+1,5-COUNT('Assumptions'!J112:J116)),0)+IF(AND('Sites'!E7=1,('Sites'!F7+'Cases'!G8)&lt;=12,'Sites'!G7&gt;=1),IF(ISNUMBER('Sites'!O7),0,1)+'Capital'!I7+COUNTBLANK('Sites'!R7)+IF('Sites'!D7="NM crew",COUNTBLANK('NM Play'!B25)+1,5-COUNT('Assumptions'!J117:J121)),0)+IF(AND('Sites'!E8*'Cases'!F8=1,('Sites'!F8+'Cases'!G8)&lt;=12,'Sites'!G8&gt;=1),IF(ISNUMBER('Sites'!O8),0,1)+'Capital'!I8+COUNTBLANK('Sites'!R8)+IF('Sites'!D8="NM crew",COUNTBLANK('NM Play'!B25)+1,5-COUNT('Assumptions'!J122:J126)),0)+IF(AND('Cases'!C8&gt;0,NOT(ISNUMBER('Assumptions'!B42))),1,0)+'Responsibilities'!$B$39</f>
        <v/>
      </c>
      <c r="BK84" s="137">
        <f>'Assumptions'!$B$50+'NM Play'!$B$83+'Funding'!$F$20+SUMIFS('Production schedule'!$AN$222:$AN$329,'Production schedule'!$C$222:$C$329,7)+IF(OR('Cases'!E8&lt;0,'Cases'!E8&gt;1,'Cases'!C8&lt;0,'Cases'!D8&lt;0,ABS(SUM('Sites'!S6:S8)-1)&gt;0.0001,MIN('Capital'!F6:F8)&lt;0,MAX('Capital'!F6:F8)&gt;1,MIN(AX84,AZ84,BB84,BA84)&lt;-0.01),1,0)+'Responsibilities'!$B$40</f>
        <v/>
      </c>
      <c r="BL84" s="137">
        <f>SUMIFS('Production schedule'!$T$222:$T$329,'Production schedule'!$C$222:$C$329,7)</f>
        <v/>
      </c>
      <c r="BM84" s="137">
        <f>D84*'NM Play'!$B$38</f>
        <v/>
      </c>
      <c r="BN84" s="137">
        <f>SUMIFS('Production schedule'!$AM$222:$AM$329,'Production schedule'!$C$222:$C$329,7)</f>
        <v/>
      </c>
      <c r="BO84" s="137">
        <f>AK84-AK83-AJ84</f>
        <v/>
      </c>
      <c r="BP84" s="137">
        <f>IF(AND('Assumptions'!$B$39&gt;=0,'Assumptions'!$B$40&gt;0),-PMT('Assumptions'!$B$39/12,'Assumptions'!$B$40*12,IF('Funding'!$N$11&gt;0,'Funding'!$N$11,'Funding'!$T$11)),"")</f>
        <v/>
      </c>
      <c r="BQ84">
        <f>('Production schedule'!AJ228)*(1-'Responsibilities'!$C$6)+('Production schedule'!AJ264)*(1-'Responsibilities'!$C$7)+('Production schedule'!AJ300)*(1-'Responsibilities'!$C$8)</f>
        <v/>
      </c>
      <c r="BR84">
        <f>('Production schedule'!AI228)*(1-'Responsibilities'!$D$6)+('Production schedule'!AI264)*(1-'Responsibilities'!$D$7)+('Production schedule'!AI300)*(1-'Responsibilities'!$D$8)</f>
        <v/>
      </c>
      <c r="BS84">
        <f>('Production schedule'!E228*(IF('Sites'!D6="Annual staff",SUM('Assumptions'!J112,'Assumptions'!J114),0)+SUM('Assumptions'!J113,'Assumptions'!J115:J116)))*(1-'Responsibilities'!$E$6)+('Production schedule'!E264*(IF('Sites'!D7="Annual staff",SUM('Assumptions'!J117,'Assumptions'!J119),0)+SUM('Assumptions'!J118,'Assumptions'!J120:J121)))*(1-'Responsibilities'!$E$7)+('Production schedule'!E300*(IF('Sites'!D8="Annual staff",SUM('Assumptions'!J122,'Assumptions'!J124),0)+SUM('Assumptions'!J123,'Assumptions'!J125:J126)))*(1-'Responsibilities'!$E$8)</f>
        <v/>
      </c>
      <c r="BT84">
        <f>(IF(AND('Production schedule'!E228=1,7=MAX(('Sites'!F6),1),ISNUMBER('Sites'!O6)),'Sites'!O6*'Assumptions'!$B$44,0))*(1-'Responsibilities'!$F$6)+(IF(AND('Production schedule'!E264=1,7=MAX(('Sites'!F7+'Cases'!G8),1),ISNUMBER('Sites'!O7)),'Sites'!O7*'Assumptions'!$B$44,0))*(1-'Responsibilities'!$F$7)+(IF(AND('Production schedule'!E300=1,7=MAX(('Sites'!F8+'Cases'!G8),1),ISNUMBER('Sites'!O8)),'Sites'!O8*'Assumptions'!$B$44,0))*(1-'Responsibilities'!$F$8)</f>
        <v/>
      </c>
      <c r="BU84">
        <f>SUM('Costs'!E36)*'Costs'!F36/12*(1-'Responsibilities'!$C$12)+SUM('Costs'!E37)*'Costs'!F37/12*(1-'Responsibilities'!$C$13)+SUM('Costs'!E38)*'Costs'!F38/12*(1-'Responsibilities'!$C$14)+SUM('Costs'!E39)*'Costs'!F39/12*(1-'Responsibilities'!$C$15)+SUM('Costs'!E40)*'Costs'!F40/12*(1-'Responsibilities'!$C$16)</f>
        <v/>
      </c>
      <c r="BV84">
        <f>('Sites'!E6*'Capital'!E6*(IF(7='Capital'!G6,'Capital'!F6,0)+IF(7='Capital'!H6,1-'Capital'!F6,0)))*(1-'Responsibilities'!$G$6)+('Sites'!E7*'Capital'!E7*(IF(7='Capital'!G7+'Cases'!G8,'Capital'!F7,0)+IF(7='Capital'!H7+'Cases'!G8,1-'Capital'!F7,0)))*(1-'Responsibilities'!$G$7)+('Sites'!E8*'Cases'!F8*'Capital'!E8*(IF(7='Capital'!G8+'Cases'!G8,'Capital'!F8,0)+IF(7='Capital'!H8+'Cases'!G8,1-'Capital'!F8,0)))*(1-'Responsibilities'!$G$8)</f>
        <v/>
      </c>
      <c r="BW84">
        <f>SUM(BQ84:BV84)</f>
        <v/>
      </c>
      <c r="BX84">
        <f>N84+BW84</f>
        <v/>
      </c>
      <c r="BY84">
        <f>BX84-(('Production schedule'!AJ228)*'Responsibilities'!$C$6+('Production schedule'!AJ264)*'Responsibilities'!$C$7+('Production schedule'!AJ300)*'Responsibilities'!$C$8+('Production schedule'!AJ228)*(1-'Responsibilities'!$C$6)+('Production schedule'!AJ264)*(1-'Responsibilities'!$C$7)+('Production schedule'!AJ300)*(1-'Responsibilities'!$C$8)+('Production schedule'!AI228)*'Responsibilities'!$D$6+('Production schedule'!AI264)*'Responsibilities'!$D$7+('Production schedule'!AI300)*'Responsibilities'!$D$8+('Production schedule'!AI228)*(1-'Responsibilities'!$D$6)+('Production schedule'!AI264)*(1-'Responsibilities'!$D$7)+('Production schedule'!AI300)*(1-'Responsibilities'!$D$8)+('Production schedule'!E228*(IF('Sites'!D6="Annual staff",SUM('Assumptions'!J112,'Assumptions'!J114),0)+SUM('Assumptions'!J113,'Assumptions'!J115:J116)))*'Responsibilities'!$E$6+('Production schedule'!E264*(IF('Sites'!D7="Annual staff",SUM('Assumptions'!J117,'Assumptions'!J119),0)+SUM('Assumptions'!J118,'Assumptions'!J120:J121)))*'Responsibilities'!$E$7+('Production schedule'!E300*(IF('Sites'!D8="Annual staff",SUM('Assumptions'!J122,'Assumptions'!J124),0)+SUM('Assumptions'!J123,'Assumptions'!J125:J126)))*'Responsibilities'!$E$8+('Production schedule'!E228*(IF('Sites'!D6="Annual staff",SUM('Assumptions'!J112,'Assumptions'!J114),0)+SUM('Assumptions'!J113,'Assumptions'!J115:J116)))*(1-'Responsibilities'!$E$6)+('Production schedule'!E264*(IF('Sites'!D7="Annual staff",SUM('Assumptions'!J117,'Assumptions'!J119),0)+SUM('Assumptions'!J118,'Assumptions'!J120:J121)))*(1-'Responsibilities'!$E$7)+('Production schedule'!E300*(IF('Sites'!D8="Annual staff",SUM('Assumptions'!J122,'Assumptions'!J124),0)+SUM('Assumptions'!J123,'Assumptions'!J125:J126)))*(1-'Responsibilities'!$E$8)+(IF(AND('Production schedule'!E228=1,7=MAX(('Sites'!F6),1),ISNUMBER('Sites'!O6)),'Sites'!O6*'Assumptions'!$B$44,0))*'Responsibilities'!$F$6+(IF(AND('Production schedule'!E264=1,7=MAX(('Sites'!F7+'Cases'!G8),1),ISNUMBER('Sites'!O7)),'Sites'!O7*'Assumptions'!$B$44,0))*'Responsibilities'!$F$7+(IF(AND('Production schedule'!E300=1,7=MAX(('Sites'!F8+'Cases'!G8),1),ISNUMBER('Sites'!O8)),'Sites'!O8*'Assumptions'!$B$44,0))*'Responsibilities'!$F$8+(IF(AND('Production schedule'!E228=1,7=MAX(('Sites'!F6),1),ISNUMBER('Sites'!O6)),'Sites'!O6*'Assumptions'!$B$44,0))*(1-'Responsibilities'!$F$6)+(IF(AND('Production schedule'!E264=1,7=MAX(('Sites'!F7+'Cases'!G8),1),ISNUMBER('Sites'!O7)),'Sites'!O7*'Assumptions'!$B$44,0))*(1-'Responsibilities'!$F$7)+(IF(AND('Production schedule'!E300=1,7=MAX(('Sites'!F8+'Cases'!G8),1),ISNUMBER('Sites'!O8)),'Sites'!O8*'Assumptions'!$B$44,0))*(1-'Responsibilities'!$F$8)+('Sites'!E6*'Capital'!E6*(IF(7='Capital'!G6,'Capital'!F6,0)+IF(7='Capital'!H6,1-'Capital'!F6,0)))*'Responsibilities'!$G$6+('Sites'!E7*'Capital'!E7*(IF(7='Capital'!G7+'Cases'!G8,'Capital'!F7,0)+IF(7='Capital'!H7+'Cases'!G8,1-'Capital'!F7,0)))*'Responsibilities'!$G$7+('Sites'!E8*'Cases'!F8*'Capital'!E8*(IF(7='Capital'!G8+'Cases'!G8,'Capital'!F8,0)+IF(7='Capital'!H8+'Cases'!G8,1-'Capital'!F8,0)))*'Responsibilities'!$G$8+('Sites'!E6*'Capital'!E6*(IF(7='Capital'!G6,'Capital'!F6,0)+IF(7='Capital'!H6,1-'Capital'!F6,0)))*(1-'Responsibilities'!$G$6)+('Sites'!E7*'Capital'!E7*(IF(7='Capital'!G7+'Cases'!G8,'Capital'!F7,0)+IF(7='Capital'!H7+'Cases'!G8,1-'Capital'!F7,0)))*(1-'Responsibilities'!$G$7)+('Sites'!E8*'Cases'!F8*'Capital'!E8*(IF(7='Capital'!G8+'Cases'!G8,'Capital'!F8,0)+IF(7='Capital'!H8+'Cases'!G8,1-'Capital'!F8,0)))*(1-'Responsibilities'!$G$8)+I84+SUMPRODUCT('Costs'!$E$36:$E$40,'Costs'!$F$36:$F$40)/12+BZ84)</f>
        <v/>
      </c>
      <c r="BZ84">
        <f>SUMIFS('Responsibilities'!$B$31:$B$35,'Responsibilities'!$C$31:$C$35,7,'Responsibilities'!$D$31:$D$35,"Yes")</f>
        <v/>
      </c>
    </row>
    <row r="85" ht="28" customHeight="1">
      <c r="A85" s="4" t="inlineStr">
        <is>
          <t>No QBE</t>
        </is>
      </c>
      <c r="B85" s="4" t="n">
        <v>8</v>
      </c>
      <c r="C85" s="4">
        <f>ROUNDUP(B85/12,0)</f>
        <v/>
      </c>
      <c r="D85" s="137">
        <f>SUMIFS('Production schedule'!$N$222:$N$329,'Production schedule'!$C$222:$C$329,8)</f>
        <v/>
      </c>
      <c r="E85" s="137">
        <f>SUMIFS('Production schedule'!$Y$222:$Y$329,'Production schedule'!$C$222:$C$329,8)</f>
        <v/>
      </c>
      <c r="F85" s="137">
        <f>SUMIFS('Production schedule'!$Z$222:$Z$329,'Production schedule'!$C$222:$C$329,8)</f>
        <v/>
      </c>
      <c r="G85" s="137">
        <f>('Production schedule'!AJ229)*'Responsibilities'!$C$6+('Production schedule'!AJ265)*'Responsibilities'!$C$7+('Production schedule'!AJ301)*'Responsibilities'!$C$8</f>
        <v/>
      </c>
      <c r="H85" s="137">
        <f>('Production schedule'!AI229)*'Responsibilities'!$D$6+('Production schedule'!AI265)*'Responsibilities'!$D$7+('Production schedule'!AI301)*'Responsibilities'!$D$8</f>
        <v/>
      </c>
      <c r="I85" s="137">
        <f>SUM('Assumptions'!K58:K65)</f>
        <v/>
      </c>
      <c r="J85" s="137">
        <f>('Production schedule'!E229*(IF('Sites'!D6="Annual staff",SUM('Assumptions'!K112,'Assumptions'!K114),0)+SUM('Assumptions'!K113,'Assumptions'!K115:K116)))*'Responsibilities'!$E$6+('Production schedule'!E265*(IF('Sites'!D7="Annual staff",SUM('Assumptions'!K117,'Assumptions'!K119),0)+SUM('Assumptions'!K118,'Assumptions'!K120:K121)))*'Responsibilities'!$E$7+('Production schedule'!E301*(IF('Sites'!D8="Annual staff",SUM('Assumptions'!K122,'Assumptions'!K124),0)+SUM('Assumptions'!K123,'Assumptions'!K125:K126)))*'Responsibilities'!$E$8</f>
        <v/>
      </c>
      <c r="K85" s="137">
        <f>(IF(AND('Production schedule'!E229=1,8=MAX(('Sites'!F6),1),ISNUMBER('Sites'!O6)),'Sites'!O6*'Assumptions'!$B$44,0))*'Responsibilities'!$F$6+(IF(AND('Production schedule'!E265=1,8=MAX(('Sites'!F7+'Cases'!G8),1),ISNUMBER('Sites'!O7)),'Sites'!O7*'Assumptions'!$B$44,0))*'Responsibilities'!$F$7+(IF(AND('Production schedule'!E301=1,8=MAX(('Sites'!F8+'Cases'!G8),1),ISNUMBER('Sites'!O8)),'Sites'!O8*'Assumptions'!$B$44,0))*'Responsibilities'!$F$8</f>
        <v/>
      </c>
      <c r="L85" s="137">
        <f>SUM('Costs'!E36)*'Costs'!F36/12*'Responsibilities'!$C$12+SUM('Costs'!E37)*'Costs'!F37/12*'Responsibilities'!$C$13+SUM('Costs'!E38)*'Costs'!F38/12*'Responsibilities'!$C$14+SUM('Costs'!E39)*'Costs'!F39/12*'Responsibilities'!$C$15+SUM('Costs'!E40)*'Costs'!F40/12*'Responsibilities'!$C$16+BZ85</f>
        <v/>
      </c>
      <c r="M85" s="137">
        <f>('Sites'!E6*'Capital'!E6*(IF(8='Capital'!G6,'Capital'!F6,0)+IF(8='Capital'!H6,1-'Capital'!F6,0)))*'Responsibilities'!$G$6+('Sites'!E7*'Capital'!E7*(IF(8='Capital'!G7+'Cases'!G8,'Capital'!F7,0)+IF(8='Capital'!H7+'Cases'!G8,1-'Capital'!F7,0)))*'Responsibilities'!$G$7+('Sites'!E8*'Cases'!F8*'Capital'!E8*(IF(8='Capital'!G8+'Cases'!G8,'Capital'!F8,0)+IF(8='Capital'!H8+'Cases'!G8,1-'Capital'!F8,0)))*'Responsibilities'!$G$8</f>
        <v/>
      </c>
      <c r="N85" s="137">
        <f>SUM(G85:M85)</f>
        <v/>
      </c>
      <c r="O85" s="137">
        <f>SUMIFS(FundingTranches[Secured amount],FundingTranches[Instrument],"Grant",FundingTranches[Secured month],8)</f>
        <v/>
      </c>
      <c r="P85" s="137">
        <f>SUMIFS(FundingTranches[No QBE possible],FundingTranches[Instrument],"Grant",FundingTranches[Scenario month],8-'Cases'!$D$8)</f>
        <v/>
      </c>
      <c r="Q85" s="137">
        <f>SUMIFS(FundingTranches[Secured amount],FundingTranches[Instrument],"Loan",FundingTranches[Secured month],8)</f>
        <v/>
      </c>
      <c r="R85" s="137">
        <f>SUMIFS(FundingTranches[No QBE possible],FundingTranches[Instrument],"Loan",FundingTranches[Scenario month],8-'Cases'!$D$8)</f>
        <v/>
      </c>
      <c r="S85" s="137">
        <f>IF(8&lt;='Assumptions'!$B$34,0,SUMIFS('Production schedule'!$AL$222:$AL$329,'Production schedule'!$C$222:$C$329,8-'Assumptions'!$B$34))</f>
        <v/>
      </c>
      <c r="T85" s="137">
        <f>'Assumptions'!K70</f>
        <v/>
      </c>
      <c r="U85" s="137">
        <f>'Assumptions'!K78</f>
        <v/>
      </c>
      <c r="V85" s="137">
        <f>SUM(O85:U85)</f>
        <v/>
      </c>
      <c r="W85" s="137">
        <f>AA84</f>
        <v/>
      </c>
      <c r="X85" s="137">
        <f>SUM(Q85:R85)</f>
        <v/>
      </c>
      <c r="Y85" s="137">
        <f>SUM(W85,X85)*'Assumptions'!$B$39/12</f>
        <v/>
      </c>
      <c r="Z85" s="137">
        <f>IF(SUM(W85,X85)&gt;0,MIN(SUM(W85,X85),MAX(0,BP85-Y85)),0)</f>
        <v/>
      </c>
      <c r="AA85" s="137">
        <f>SUM(W85,X85)-Z85</f>
        <v/>
      </c>
      <c r="AB85" s="137">
        <f>SUM(Y85:Z85)</f>
        <v/>
      </c>
      <c r="AC85" s="137">
        <f>'Assumptions'!K72</f>
        <v/>
      </c>
      <c r="AD85" s="137">
        <f>'Assumptions'!K73</f>
        <v/>
      </c>
      <c r="AE85" s="137">
        <f>IF(X85&gt;0,SUM('Assumptions'!$B$42),0)</f>
        <v/>
      </c>
      <c r="AF85" s="137">
        <f>'Assumptions'!K71</f>
        <v/>
      </c>
      <c r="AG85" s="137">
        <f>'Assumptions'!K74</f>
        <v/>
      </c>
      <c r="AH85" s="137">
        <f>'Assumptions'!K75</f>
        <v/>
      </c>
      <c r="AI85" s="137">
        <f>'Assumptions'!K77</f>
        <v/>
      </c>
      <c r="AJ85" s="137">
        <f>V85-N85-SUM(AB85:AI85)</f>
        <v/>
      </c>
      <c r="AK85" s="137">
        <f>SUM(AJ78:AJ85)</f>
        <v/>
      </c>
      <c r="AL85" s="137">
        <f>IF(ISNUMBER('Assumptions'!$B$10),'Assumptions'!$B$10+AK85,"")</f>
        <v/>
      </c>
      <c r="AM85" s="137">
        <f>SUM(O85,Q85,T85)-N85-SUM(AC85:AI85)+IF('Funding'!$N$11=0,AE85,0)-IF('Funding'!$N$11&gt;0,AB85,0)</f>
        <v/>
      </c>
      <c r="AN85" s="137">
        <f>SUM(AM78:AM85)</f>
        <v/>
      </c>
      <c r="AO85" s="137">
        <f>IF(ISNUMBER('Assumptions'!$B$10),'Assumptions'!$B$10+AN85,"")</f>
        <v/>
      </c>
      <c r="AP85" s="137">
        <f>('Production schedule'!AK229)*'Responsibilities'!$C$6+('Production schedule'!AK265)*'Responsibilities'!$C$7+('Production schedule'!AK301)*'Responsibilities'!$C$8</f>
        <v/>
      </c>
      <c r="AQ85" s="137">
        <f>SUMIFS('Production schedule'!$AL$222:$AL$329,'Production schedule'!$C$222:$C$329,8)</f>
        <v/>
      </c>
      <c r="AR85" s="137">
        <f>IF(ISNUMBER('Assumptions'!K76),'Assumptions'!K76,SUM(O85:P85))</f>
        <v/>
      </c>
      <c r="AS85" s="137">
        <f>IF(ISNUMBER('Assumptions'!$B$13),MIN('Assumptions'!$B$13/'Assumptions'!$B$18/12,MAX(0,'Assumptions'!$B$13-(8-1)*'Assumptions'!$B$13/'Assumptions'!$B$18/12)),0)+IF(AND('Sites'!E6=1,8&gt;=('Sites'!F6),8&lt;('Sites'!F6)+'Assumptions'!$B$18*12),'Capital'!E6/'Assumptions'!$B$18/12,0)+IF(AND('Sites'!E7=1,8&gt;=('Sites'!F7+'Cases'!G8),8&lt;('Sites'!F7+'Cases'!G8)+'Assumptions'!$B$18*12),'Capital'!E7/'Assumptions'!$B$18/12,0)+IF(AND('Sites'!E8*'Cases'!F8=1,8&gt;=('Sites'!F8+'Cases'!G8),8&lt;('Sites'!F8+'Cases'!G8)+'Assumptions'!$B$18*12),'Capital'!E8/'Assumptions'!$B$18/12,0)</f>
        <v/>
      </c>
      <c r="AT85" s="137">
        <f>SUM(AQ85,AR85,U85)-AP85-SUM(H85:L85)-AS85-SUM(Y85,AD85,AE85,AH85)</f>
        <v/>
      </c>
      <c r="AU85" s="137">
        <f>IF(ISNUMBER('Assumptions'!$B$19),MAX(0,SUM(AT78:AT85))*'Assumptions'!$B$19-SUM(AU78:AU84),"")</f>
        <v/>
      </c>
      <c r="AV85" s="137">
        <f>IF(ISNUMBER(AU85),AT85-AU85,"")</f>
        <v/>
      </c>
      <c r="AW85" s="137">
        <f>IF(ISNUMBER('Assumptions'!$B$11),'Assumptions'!$B$11+SUM(AQ78:AQ85)-SUM(S78:S85)-SUM(T78:T85),"")</f>
        <v/>
      </c>
      <c r="AX85" s="137">
        <f>IF(ISNUMBER('Assumptions'!$B$12),'Assumptions'!$B$12+SUM(G78:G85)-SUM(AP78:AP85),"")</f>
        <v/>
      </c>
      <c r="AY85" s="137">
        <f>IF(ISNUMBER('Assumptions'!$B$13),'Assumptions'!$B$13+SUM(M78:M85)-SUM(AS78:AS85),"")</f>
        <v/>
      </c>
      <c r="AZ85" s="137">
        <f>IF(ISNUMBER('Assumptions'!$B$14),'Assumptions'!$B$14+-SUM(AF78:AF85),"")</f>
        <v/>
      </c>
      <c r="BA85" s="137">
        <f>IF(ISNUMBER('Assumptions'!$B$15),'Assumptions'!$B$15+SUM(O78:O85)+SUM(P78:P85)-SUM(AR78:AR85),"")</f>
        <v/>
      </c>
      <c r="BB85" s="137">
        <f>IF(ISNUMBER('Assumptions'!$B$16),'Assumptions'!$B$16+-SUM(AC78:AC85),"")</f>
        <v/>
      </c>
      <c r="BC85" s="137">
        <f>IF(AND(ISNUMBER('Assumptions'!$B$21),ISNUMBER('Assumptions'!$B$19)),'Assumptions'!$B$21+SUM(AU78:AU85)-SUM(AG78:AG85),"")</f>
        <v/>
      </c>
      <c r="BD85" s="137">
        <f>IF(ISNUMBER('Assumptions'!$B$20),'Assumptions'!$B$20+-SUM(AI78:AI85),"")</f>
        <v/>
      </c>
      <c r="BE85" s="137">
        <f>IF(AND(ISNUMBER('Assumptions'!$B$17),COUNT(AV78:AV85)=8),'Assumptions'!$B$17+SUM(AV78:AV85),"")</f>
        <v/>
      </c>
      <c r="BF85" s="137">
        <f>IF(COUNT(AL85,AW85:AY85)=4,SUM(AL85,AW85:AY85),"")</f>
        <v/>
      </c>
      <c r="BG85" s="137">
        <f>IF(COUNT(AZ85:BD85)=5,SUM(AZ85:BD85,AA85),"")</f>
        <v/>
      </c>
      <c r="BH85" s="137">
        <f>IF(COUNT(BF85,BG85,BE85)=3,BF85-BG85-BE85,"")</f>
        <v/>
      </c>
      <c r="BI85" s="137">
        <f>SUM(W85,X85)-Z85-AA85</f>
        <v/>
      </c>
      <c r="BJ85" s="137">
        <f>8-COUNT('Assumptions'!K58:K65)+COUNTBLANK('NM Play'!B33:B34)+'Costs'!E44+IF(AND('Sites'!E6=1,('Sites'!F6)&lt;=12,'Sites'!G6&gt;=1),IF(ISNUMBER('Sites'!O6),0,1)+'Capital'!I6+COUNTBLANK('Sites'!R6)+IF('Sites'!D6="NM crew",COUNTBLANK('NM Play'!B25)+1,5-COUNT('Assumptions'!K112:K116)),0)+IF(AND('Sites'!E7=1,('Sites'!F7+'Cases'!G8)&lt;=12,'Sites'!G7&gt;=1),IF(ISNUMBER('Sites'!O7),0,1)+'Capital'!I7+COUNTBLANK('Sites'!R7)+IF('Sites'!D7="NM crew",COUNTBLANK('NM Play'!B25)+1,5-COUNT('Assumptions'!K117:K121)),0)+IF(AND('Sites'!E8*'Cases'!F8=1,('Sites'!F8+'Cases'!G8)&lt;=12,'Sites'!G8&gt;=1),IF(ISNUMBER('Sites'!O8),0,1)+'Capital'!I8+COUNTBLANK('Sites'!R8)+IF('Sites'!D8="NM crew",COUNTBLANK('NM Play'!B25)+1,5-COUNT('Assumptions'!K122:K126)),0)+IF(AND('Cases'!C8&gt;0,NOT(ISNUMBER('Assumptions'!B42))),1,0)+'Responsibilities'!$B$39</f>
        <v/>
      </c>
      <c r="BK85" s="137">
        <f>'Assumptions'!$B$50+'NM Play'!$B$83+'Funding'!$F$20+SUMIFS('Production schedule'!$AN$222:$AN$329,'Production schedule'!$C$222:$C$329,8)+IF(OR('Cases'!E8&lt;0,'Cases'!E8&gt;1,'Cases'!C8&lt;0,'Cases'!D8&lt;0,ABS(SUM('Sites'!S6:S8)-1)&gt;0.0001,MIN('Capital'!F6:F8)&lt;0,MAX('Capital'!F6:F8)&gt;1,MIN(AX85,AZ85,BB85,BA85)&lt;-0.01),1,0)+'Responsibilities'!$B$40</f>
        <v/>
      </c>
      <c r="BL85" s="137">
        <f>SUMIFS('Production schedule'!$T$222:$T$329,'Production schedule'!$C$222:$C$329,8)</f>
        <v/>
      </c>
      <c r="BM85" s="137">
        <f>D85*'NM Play'!$B$38</f>
        <v/>
      </c>
      <c r="BN85" s="137">
        <f>SUMIFS('Production schedule'!$AM$222:$AM$329,'Production schedule'!$C$222:$C$329,8)</f>
        <v/>
      </c>
      <c r="BO85" s="137">
        <f>AK85-AK84-AJ85</f>
        <v/>
      </c>
      <c r="BP85" s="137">
        <f>IF(AND('Assumptions'!$B$39&gt;=0,'Assumptions'!$B$40&gt;0),-PMT('Assumptions'!$B$39/12,'Assumptions'!$B$40*12,IF('Funding'!$N$11&gt;0,'Funding'!$N$11,'Funding'!$T$11)),"")</f>
        <v/>
      </c>
      <c r="BQ85">
        <f>('Production schedule'!AJ229)*(1-'Responsibilities'!$C$6)+('Production schedule'!AJ265)*(1-'Responsibilities'!$C$7)+('Production schedule'!AJ301)*(1-'Responsibilities'!$C$8)</f>
        <v/>
      </c>
      <c r="BR85">
        <f>('Production schedule'!AI229)*(1-'Responsibilities'!$D$6)+('Production schedule'!AI265)*(1-'Responsibilities'!$D$7)+('Production schedule'!AI301)*(1-'Responsibilities'!$D$8)</f>
        <v/>
      </c>
      <c r="BS85">
        <f>('Production schedule'!E229*(IF('Sites'!D6="Annual staff",SUM('Assumptions'!K112,'Assumptions'!K114),0)+SUM('Assumptions'!K113,'Assumptions'!K115:K116)))*(1-'Responsibilities'!$E$6)+('Production schedule'!E265*(IF('Sites'!D7="Annual staff",SUM('Assumptions'!K117,'Assumptions'!K119),0)+SUM('Assumptions'!K118,'Assumptions'!K120:K121)))*(1-'Responsibilities'!$E$7)+('Production schedule'!E301*(IF('Sites'!D8="Annual staff",SUM('Assumptions'!K122,'Assumptions'!K124),0)+SUM('Assumptions'!K123,'Assumptions'!K125:K126)))*(1-'Responsibilities'!$E$8)</f>
        <v/>
      </c>
      <c r="BT85">
        <f>(IF(AND('Production schedule'!E229=1,8=MAX(('Sites'!F6),1),ISNUMBER('Sites'!O6)),'Sites'!O6*'Assumptions'!$B$44,0))*(1-'Responsibilities'!$F$6)+(IF(AND('Production schedule'!E265=1,8=MAX(('Sites'!F7+'Cases'!G8),1),ISNUMBER('Sites'!O7)),'Sites'!O7*'Assumptions'!$B$44,0))*(1-'Responsibilities'!$F$7)+(IF(AND('Production schedule'!E301=1,8=MAX(('Sites'!F8+'Cases'!G8),1),ISNUMBER('Sites'!O8)),'Sites'!O8*'Assumptions'!$B$44,0))*(1-'Responsibilities'!$F$8)</f>
        <v/>
      </c>
      <c r="BU85">
        <f>SUM('Costs'!E36)*'Costs'!F36/12*(1-'Responsibilities'!$C$12)+SUM('Costs'!E37)*'Costs'!F37/12*(1-'Responsibilities'!$C$13)+SUM('Costs'!E38)*'Costs'!F38/12*(1-'Responsibilities'!$C$14)+SUM('Costs'!E39)*'Costs'!F39/12*(1-'Responsibilities'!$C$15)+SUM('Costs'!E40)*'Costs'!F40/12*(1-'Responsibilities'!$C$16)</f>
        <v/>
      </c>
      <c r="BV85">
        <f>('Sites'!E6*'Capital'!E6*(IF(8='Capital'!G6,'Capital'!F6,0)+IF(8='Capital'!H6,1-'Capital'!F6,0)))*(1-'Responsibilities'!$G$6)+('Sites'!E7*'Capital'!E7*(IF(8='Capital'!G7+'Cases'!G8,'Capital'!F7,0)+IF(8='Capital'!H7+'Cases'!G8,1-'Capital'!F7,0)))*(1-'Responsibilities'!$G$7)+('Sites'!E8*'Cases'!F8*'Capital'!E8*(IF(8='Capital'!G8+'Cases'!G8,'Capital'!F8,0)+IF(8='Capital'!H8+'Cases'!G8,1-'Capital'!F8,0)))*(1-'Responsibilities'!$G$8)</f>
        <v/>
      </c>
      <c r="BW85">
        <f>SUM(BQ85:BV85)</f>
        <v/>
      </c>
      <c r="BX85">
        <f>N85+BW85</f>
        <v/>
      </c>
      <c r="BY85">
        <f>BX85-(('Production schedule'!AJ229)*'Responsibilities'!$C$6+('Production schedule'!AJ265)*'Responsibilities'!$C$7+('Production schedule'!AJ301)*'Responsibilities'!$C$8+('Production schedule'!AJ229)*(1-'Responsibilities'!$C$6)+('Production schedule'!AJ265)*(1-'Responsibilities'!$C$7)+('Production schedule'!AJ301)*(1-'Responsibilities'!$C$8)+('Production schedule'!AI229)*'Responsibilities'!$D$6+('Production schedule'!AI265)*'Responsibilities'!$D$7+('Production schedule'!AI301)*'Responsibilities'!$D$8+('Production schedule'!AI229)*(1-'Responsibilities'!$D$6)+('Production schedule'!AI265)*(1-'Responsibilities'!$D$7)+('Production schedule'!AI301)*(1-'Responsibilities'!$D$8)+('Production schedule'!E229*(IF('Sites'!D6="Annual staff",SUM('Assumptions'!K112,'Assumptions'!K114),0)+SUM('Assumptions'!K113,'Assumptions'!K115:K116)))*'Responsibilities'!$E$6+('Production schedule'!E265*(IF('Sites'!D7="Annual staff",SUM('Assumptions'!K117,'Assumptions'!K119),0)+SUM('Assumptions'!K118,'Assumptions'!K120:K121)))*'Responsibilities'!$E$7+('Production schedule'!E301*(IF('Sites'!D8="Annual staff",SUM('Assumptions'!K122,'Assumptions'!K124),0)+SUM('Assumptions'!K123,'Assumptions'!K125:K126)))*'Responsibilities'!$E$8+('Production schedule'!E229*(IF('Sites'!D6="Annual staff",SUM('Assumptions'!K112,'Assumptions'!K114),0)+SUM('Assumptions'!K113,'Assumptions'!K115:K116)))*(1-'Responsibilities'!$E$6)+('Production schedule'!E265*(IF('Sites'!D7="Annual staff",SUM('Assumptions'!K117,'Assumptions'!K119),0)+SUM('Assumptions'!K118,'Assumptions'!K120:K121)))*(1-'Responsibilities'!$E$7)+('Production schedule'!E301*(IF('Sites'!D8="Annual staff",SUM('Assumptions'!K122,'Assumptions'!K124),0)+SUM('Assumptions'!K123,'Assumptions'!K125:K126)))*(1-'Responsibilities'!$E$8)+(IF(AND('Production schedule'!E229=1,8=MAX(('Sites'!F6),1),ISNUMBER('Sites'!O6)),'Sites'!O6*'Assumptions'!$B$44,0))*'Responsibilities'!$F$6+(IF(AND('Production schedule'!E265=1,8=MAX(('Sites'!F7+'Cases'!G8),1),ISNUMBER('Sites'!O7)),'Sites'!O7*'Assumptions'!$B$44,0))*'Responsibilities'!$F$7+(IF(AND('Production schedule'!E301=1,8=MAX(('Sites'!F8+'Cases'!G8),1),ISNUMBER('Sites'!O8)),'Sites'!O8*'Assumptions'!$B$44,0))*'Responsibilities'!$F$8+(IF(AND('Production schedule'!E229=1,8=MAX(('Sites'!F6),1),ISNUMBER('Sites'!O6)),'Sites'!O6*'Assumptions'!$B$44,0))*(1-'Responsibilities'!$F$6)+(IF(AND('Production schedule'!E265=1,8=MAX(('Sites'!F7+'Cases'!G8),1),ISNUMBER('Sites'!O7)),'Sites'!O7*'Assumptions'!$B$44,0))*(1-'Responsibilities'!$F$7)+(IF(AND('Production schedule'!E301=1,8=MAX(('Sites'!F8+'Cases'!G8),1),ISNUMBER('Sites'!O8)),'Sites'!O8*'Assumptions'!$B$44,0))*(1-'Responsibilities'!$F$8)+('Sites'!E6*'Capital'!E6*(IF(8='Capital'!G6,'Capital'!F6,0)+IF(8='Capital'!H6,1-'Capital'!F6,0)))*'Responsibilities'!$G$6+('Sites'!E7*'Capital'!E7*(IF(8='Capital'!G7+'Cases'!G8,'Capital'!F7,0)+IF(8='Capital'!H7+'Cases'!G8,1-'Capital'!F7,0)))*'Responsibilities'!$G$7+('Sites'!E8*'Cases'!F8*'Capital'!E8*(IF(8='Capital'!G8+'Cases'!G8,'Capital'!F8,0)+IF(8='Capital'!H8+'Cases'!G8,1-'Capital'!F8,0)))*'Responsibilities'!$G$8+('Sites'!E6*'Capital'!E6*(IF(8='Capital'!G6,'Capital'!F6,0)+IF(8='Capital'!H6,1-'Capital'!F6,0)))*(1-'Responsibilities'!$G$6)+('Sites'!E7*'Capital'!E7*(IF(8='Capital'!G7+'Cases'!G8,'Capital'!F7,0)+IF(8='Capital'!H7+'Cases'!G8,1-'Capital'!F7,0)))*(1-'Responsibilities'!$G$7)+('Sites'!E8*'Cases'!F8*'Capital'!E8*(IF(8='Capital'!G8+'Cases'!G8,'Capital'!F8,0)+IF(8='Capital'!H8+'Cases'!G8,1-'Capital'!F8,0)))*(1-'Responsibilities'!$G$8)+I85+SUMPRODUCT('Costs'!$E$36:$E$40,'Costs'!$F$36:$F$40)/12+BZ85)</f>
        <v/>
      </c>
      <c r="BZ85">
        <f>SUMIFS('Responsibilities'!$B$31:$B$35,'Responsibilities'!$C$31:$C$35,8,'Responsibilities'!$D$31:$D$35,"Yes")</f>
        <v/>
      </c>
    </row>
    <row r="86" ht="28" customHeight="1">
      <c r="A86" s="4" t="inlineStr">
        <is>
          <t>No QBE</t>
        </is>
      </c>
      <c r="B86" s="4" t="n">
        <v>9</v>
      </c>
      <c r="C86" s="4">
        <f>ROUNDUP(B86/12,0)</f>
        <v/>
      </c>
      <c r="D86" s="137">
        <f>SUMIFS('Production schedule'!$N$222:$N$329,'Production schedule'!$C$222:$C$329,9)</f>
        <v/>
      </c>
      <c r="E86" s="137">
        <f>SUMIFS('Production schedule'!$Y$222:$Y$329,'Production schedule'!$C$222:$C$329,9)</f>
        <v/>
      </c>
      <c r="F86" s="137">
        <f>SUMIFS('Production schedule'!$Z$222:$Z$329,'Production schedule'!$C$222:$C$329,9)</f>
        <v/>
      </c>
      <c r="G86" s="137">
        <f>('Production schedule'!AJ230)*'Responsibilities'!$C$6+('Production schedule'!AJ266)*'Responsibilities'!$C$7+('Production schedule'!AJ302)*'Responsibilities'!$C$8</f>
        <v/>
      </c>
      <c r="H86" s="137">
        <f>('Production schedule'!AI230)*'Responsibilities'!$D$6+('Production schedule'!AI266)*'Responsibilities'!$D$7+('Production schedule'!AI302)*'Responsibilities'!$D$8</f>
        <v/>
      </c>
      <c r="I86" s="137">
        <f>SUM('Assumptions'!L58:L65)</f>
        <v/>
      </c>
      <c r="J86" s="137">
        <f>('Production schedule'!E230*(IF('Sites'!D6="Annual staff",SUM('Assumptions'!L112,'Assumptions'!L114),0)+SUM('Assumptions'!L113,'Assumptions'!L115:L116)))*'Responsibilities'!$E$6+('Production schedule'!E266*(IF('Sites'!D7="Annual staff",SUM('Assumptions'!L117,'Assumptions'!L119),0)+SUM('Assumptions'!L118,'Assumptions'!L120:L121)))*'Responsibilities'!$E$7+('Production schedule'!E302*(IF('Sites'!D8="Annual staff",SUM('Assumptions'!L122,'Assumptions'!L124),0)+SUM('Assumptions'!L123,'Assumptions'!L125:L126)))*'Responsibilities'!$E$8</f>
        <v/>
      </c>
      <c r="K86" s="137">
        <f>(IF(AND('Production schedule'!E230=1,9=MAX(('Sites'!F6),1),ISNUMBER('Sites'!O6)),'Sites'!O6*'Assumptions'!$B$44,0))*'Responsibilities'!$F$6+(IF(AND('Production schedule'!E266=1,9=MAX(('Sites'!F7+'Cases'!G8),1),ISNUMBER('Sites'!O7)),'Sites'!O7*'Assumptions'!$B$44,0))*'Responsibilities'!$F$7+(IF(AND('Production schedule'!E302=1,9=MAX(('Sites'!F8+'Cases'!G8),1),ISNUMBER('Sites'!O8)),'Sites'!O8*'Assumptions'!$B$44,0))*'Responsibilities'!$F$8</f>
        <v/>
      </c>
      <c r="L86" s="137">
        <f>SUM('Costs'!E36)*'Costs'!F36/12*'Responsibilities'!$C$12+SUM('Costs'!E37)*'Costs'!F37/12*'Responsibilities'!$C$13+SUM('Costs'!E38)*'Costs'!F38/12*'Responsibilities'!$C$14+SUM('Costs'!E39)*'Costs'!F39/12*'Responsibilities'!$C$15+SUM('Costs'!E40)*'Costs'!F40/12*'Responsibilities'!$C$16+BZ86</f>
        <v/>
      </c>
      <c r="M86" s="137">
        <f>('Sites'!E6*'Capital'!E6*(IF(9='Capital'!G6,'Capital'!F6,0)+IF(9='Capital'!H6,1-'Capital'!F6,0)))*'Responsibilities'!$G$6+('Sites'!E7*'Capital'!E7*(IF(9='Capital'!G7+'Cases'!G8,'Capital'!F7,0)+IF(9='Capital'!H7+'Cases'!G8,1-'Capital'!F7,0)))*'Responsibilities'!$G$7+('Sites'!E8*'Cases'!F8*'Capital'!E8*(IF(9='Capital'!G8+'Cases'!G8,'Capital'!F8,0)+IF(9='Capital'!H8+'Cases'!G8,1-'Capital'!F8,0)))*'Responsibilities'!$G$8</f>
        <v/>
      </c>
      <c r="N86" s="137">
        <f>SUM(G86:M86)</f>
        <v/>
      </c>
      <c r="O86" s="137">
        <f>SUMIFS(FundingTranches[Secured amount],FundingTranches[Instrument],"Grant",FundingTranches[Secured month],9)</f>
        <v/>
      </c>
      <c r="P86" s="137">
        <f>SUMIFS(FundingTranches[No QBE possible],FundingTranches[Instrument],"Grant",FundingTranches[Scenario month],9-'Cases'!$D$8)</f>
        <v/>
      </c>
      <c r="Q86" s="137">
        <f>SUMIFS(FundingTranches[Secured amount],FundingTranches[Instrument],"Loan",FundingTranches[Secured month],9)</f>
        <v/>
      </c>
      <c r="R86" s="137">
        <f>SUMIFS(FundingTranches[No QBE possible],FundingTranches[Instrument],"Loan",FundingTranches[Scenario month],9-'Cases'!$D$8)</f>
        <v/>
      </c>
      <c r="S86" s="137">
        <f>IF(9&lt;='Assumptions'!$B$34,0,SUMIFS('Production schedule'!$AL$222:$AL$329,'Production schedule'!$C$222:$C$329,9-'Assumptions'!$B$34))</f>
        <v/>
      </c>
      <c r="T86" s="137">
        <f>'Assumptions'!L70</f>
        <v/>
      </c>
      <c r="U86" s="137">
        <f>'Assumptions'!L78</f>
        <v/>
      </c>
      <c r="V86" s="137">
        <f>SUM(O86:U86)</f>
        <v/>
      </c>
      <c r="W86" s="137">
        <f>AA85</f>
        <v/>
      </c>
      <c r="X86" s="137">
        <f>SUM(Q86:R86)</f>
        <v/>
      </c>
      <c r="Y86" s="137">
        <f>SUM(W86,X86)*'Assumptions'!$B$39/12</f>
        <v/>
      </c>
      <c r="Z86" s="137">
        <f>IF(SUM(W86,X86)&gt;0,MIN(SUM(W86,X86),MAX(0,BP86-Y86)),0)</f>
        <v/>
      </c>
      <c r="AA86" s="137">
        <f>SUM(W86,X86)-Z86</f>
        <v/>
      </c>
      <c r="AB86" s="137">
        <f>SUM(Y86:Z86)</f>
        <v/>
      </c>
      <c r="AC86" s="137">
        <f>'Assumptions'!L72</f>
        <v/>
      </c>
      <c r="AD86" s="137">
        <f>'Assumptions'!L73</f>
        <v/>
      </c>
      <c r="AE86" s="137">
        <f>IF(X86&gt;0,SUM('Assumptions'!$B$42),0)</f>
        <v/>
      </c>
      <c r="AF86" s="137">
        <f>'Assumptions'!L71</f>
        <v/>
      </c>
      <c r="AG86" s="137">
        <f>'Assumptions'!L74</f>
        <v/>
      </c>
      <c r="AH86" s="137">
        <f>'Assumptions'!L75</f>
        <v/>
      </c>
      <c r="AI86" s="137">
        <f>'Assumptions'!L77</f>
        <v/>
      </c>
      <c r="AJ86" s="137">
        <f>V86-N86-SUM(AB86:AI86)</f>
        <v/>
      </c>
      <c r="AK86" s="137">
        <f>SUM(AJ78:AJ86)</f>
        <v/>
      </c>
      <c r="AL86" s="137">
        <f>IF(ISNUMBER('Assumptions'!$B$10),'Assumptions'!$B$10+AK86,"")</f>
        <v/>
      </c>
      <c r="AM86" s="137">
        <f>SUM(O86,Q86,T86)-N86-SUM(AC86:AI86)+IF('Funding'!$N$11=0,AE86,0)-IF('Funding'!$N$11&gt;0,AB86,0)</f>
        <v/>
      </c>
      <c r="AN86" s="137">
        <f>SUM(AM78:AM86)</f>
        <v/>
      </c>
      <c r="AO86" s="137">
        <f>IF(ISNUMBER('Assumptions'!$B$10),'Assumptions'!$B$10+AN86,"")</f>
        <v/>
      </c>
      <c r="AP86" s="137">
        <f>('Production schedule'!AK230)*'Responsibilities'!$C$6+('Production schedule'!AK266)*'Responsibilities'!$C$7+('Production schedule'!AK302)*'Responsibilities'!$C$8</f>
        <v/>
      </c>
      <c r="AQ86" s="137">
        <f>SUMIFS('Production schedule'!$AL$222:$AL$329,'Production schedule'!$C$222:$C$329,9)</f>
        <v/>
      </c>
      <c r="AR86" s="137">
        <f>IF(ISNUMBER('Assumptions'!L76),'Assumptions'!L76,SUM(O86:P86))</f>
        <v/>
      </c>
      <c r="AS86" s="137">
        <f>IF(ISNUMBER('Assumptions'!$B$13),MIN('Assumptions'!$B$13/'Assumptions'!$B$18/12,MAX(0,'Assumptions'!$B$13-(9-1)*'Assumptions'!$B$13/'Assumptions'!$B$18/12)),0)+IF(AND('Sites'!E6=1,9&gt;=('Sites'!F6),9&lt;('Sites'!F6)+'Assumptions'!$B$18*12),'Capital'!E6/'Assumptions'!$B$18/12,0)+IF(AND('Sites'!E7=1,9&gt;=('Sites'!F7+'Cases'!G8),9&lt;('Sites'!F7+'Cases'!G8)+'Assumptions'!$B$18*12),'Capital'!E7/'Assumptions'!$B$18/12,0)+IF(AND('Sites'!E8*'Cases'!F8=1,9&gt;=('Sites'!F8+'Cases'!G8),9&lt;('Sites'!F8+'Cases'!G8)+'Assumptions'!$B$18*12),'Capital'!E8/'Assumptions'!$B$18/12,0)</f>
        <v/>
      </c>
      <c r="AT86" s="137">
        <f>SUM(AQ86,AR86,U86)-AP86-SUM(H86:L86)-AS86-SUM(Y86,AD86,AE86,AH86)</f>
        <v/>
      </c>
      <c r="AU86" s="137">
        <f>IF(ISNUMBER('Assumptions'!$B$19),MAX(0,SUM(AT78:AT86))*'Assumptions'!$B$19-SUM(AU78:AU85),"")</f>
        <v/>
      </c>
      <c r="AV86" s="137">
        <f>IF(ISNUMBER(AU86),AT86-AU86,"")</f>
        <v/>
      </c>
      <c r="AW86" s="137">
        <f>IF(ISNUMBER('Assumptions'!$B$11),'Assumptions'!$B$11+SUM(AQ78:AQ86)-SUM(S78:S86)-SUM(T78:T86),"")</f>
        <v/>
      </c>
      <c r="AX86" s="137">
        <f>IF(ISNUMBER('Assumptions'!$B$12),'Assumptions'!$B$12+SUM(G78:G86)-SUM(AP78:AP86),"")</f>
        <v/>
      </c>
      <c r="AY86" s="137">
        <f>IF(ISNUMBER('Assumptions'!$B$13),'Assumptions'!$B$13+SUM(M78:M86)-SUM(AS78:AS86),"")</f>
        <v/>
      </c>
      <c r="AZ86" s="137">
        <f>IF(ISNUMBER('Assumptions'!$B$14),'Assumptions'!$B$14+-SUM(AF78:AF86),"")</f>
        <v/>
      </c>
      <c r="BA86" s="137">
        <f>IF(ISNUMBER('Assumptions'!$B$15),'Assumptions'!$B$15+SUM(O78:O86)+SUM(P78:P86)-SUM(AR78:AR86),"")</f>
        <v/>
      </c>
      <c r="BB86" s="137">
        <f>IF(ISNUMBER('Assumptions'!$B$16),'Assumptions'!$B$16+-SUM(AC78:AC86),"")</f>
        <v/>
      </c>
      <c r="BC86" s="137">
        <f>IF(AND(ISNUMBER('Assumptions'!$B$21),ISNUMBER('Assumptions'!$B$19)),'Assumptions'!$B$21+SUM(AU78:AU86)-SUM(AG78:AG86),"")</f>
        <v/>
      </c>
      <c r="BD86" s="137">
        <f>IF(ISNUMBER('Assumptions'!$B$20),'Assumptions'!$B$20+-SUM(AI78:AI86),"")</f>
        <v/>
      </c>
      <c r="BE86" s="137">
        <f>IF(AND(ISNUMBER('Assumptions'!$B$17),COUNT(AV78:AV86)=9),'Assumptions'!$B$17+SUM(AV78:AV86),"")</f>
        <v/>
      </c>
      <c r="BF86" s="137">
        <f>IF(COUNT(AL86,AW86:AY86)=4,SUM(AL86,AW86:AY86),"")</f>
        <v/>
      </c>
      <c r="BG86" s="137">
        <f>IF(COUNT(AZ86:BD86)=5,SUM(AZ86:BD86,AA86),"")</f>
        <v/>
      </c>
      <c r="BH86" s="137">
        <f>IF(COUNT(BF86,BG86,BE86)=3,BF86-BG86-BE86,"")</f>
        <v/>
      </c>
      <c r="BI86" s="137">
        <f>SUM(W86,X86)-Z86-AA86</f>
        <v/>
      </c>
      <c r="BJ86" s="137">
        <f>8-COUNT('Assumptions'!L58:L65)+COUNTBLANK('NM Play'!B33:B34)+'Costs'!E44+IF(AND('Sites'!E6=1,('Sites'!F6)&lt;=12,'Sites'!G6&gt;=1),IF(ISNUMBER('Sites'!O6),0,1)+'Capital'!I6+COUNTBLANK('Sites'!R6)+IF('Sites'!D6="NM crew",COUNTBLANK('NM Play'!B25)+1,5-COUNT('Assumptions'!L112:L116)),0)+IF(AND('Sites'!E7=1,('Sites'!F7+'Cases'!G8)&lt;=12,'Sites'!G7&gt;=1),IF(ISNUMBER('Sites'!O7),0,1)+'Capital'!I7+COUNTBLANK('Sites'!R7)+IF('Sites'!D7="NM crew",COUNTBLANK('NM Play'!B25)+1,5-COUNT('Assumptions'!L117:L121)),0)+IF(AND('Sites'!E8*'Cases'!F8=1,('Sites'!F8+'Cases'!G8)&lt;=12,'Sites'!G8&gt;=1),IF(ISNUMBER('Sites'!O8),0,1)+'Capital'!I8+COUNTBLANK('Sites'!R8)+IF('Sites'!D8="NM crew",COUNTBLANK('NM Play'!B25)+1,5-COUNT('Assumptions'!L122:L126)),0)+IF(AND('Cases'!C8&gt;0,NOT(ISNUMBER('Assumptions'!B42))),1,0)+'Responsibilities'!$B$39</f>
        <v/>
      </c>
      <c r="BK86" s="137">
        <f>'Assumptions'!$B$50+'NM Play'!$B$83+'Funding'!$F$20+SUMIFS('Production schedule'!$AN$222:$AN$329,'Production schedule'!$C$222:$C$329,9)+IF(OR('Cases'!E8&lt;0,'Cases'!E8&gt;1,'Cases'!C8&lt;0,'Cases'!D8&lt;0,ABS(SUM('Sites'!S6:S8)-1)&gt;0.0001,MIN('Capital'!F6:F8)&lt;0,MAX('Capital'!F6:F8)&gt;1,MIN(AX86,AZ86,BB86,BA86)&lt;-0.01),1,0)+'Responsibilities'!$B$40</f>
        <v/>
      </c>
      <c r="BL86" s="137">
        <f>SUMIFS('Production schedule'!$T$222:$T$329,'Production schedule'!$C$222:$C$329,9)</f>
        <v/>
      </c>
      <c r="BM86" s="137">
        <f>D86*'NM Play'!$B$38</f>
        <v/>
      </c>
      <c r="BN86" s="137">
        <f>SUMIFS('Production schedule'!$AM$222:$AM$329,'Production schedule'!$C$222:$C$329,9)</f>
        <v/>
      </c>
      <c r="BO86" s="137">
        <f>AK86-AK85-AJ86</f>
        <v/>
      </c>
      <c r="BP86" s="137">
        <f>IF(AND('Assumptions'!$B$39&gt;=0,'Assumptions'!$B$40&gt;0),-PMT('Assumptions'!$B$39/12,'Assumptions'!$B$40*12,IF('Funding'!$N$11&gt;0,'Funding'!$N$11,'Funding'!$T$11)),"")</f>
        <v/>
      </c>
      <c r="BQ86">
        <f>('Production schedule'!AJ230)*(1-'Responsibilities'!$C$6)+('Production schedule'!AJ266)*(1-'Responsibilities'!$C$7)+('Production schedule'!AJ302)*(1-'Responsibilities'!$C$8)</f>
        <v/>
      </c>
      <c r="BR86">
        <f>('Production schedule'!AI230)*(1-'Responsibilities'!$D$6)+('Production schedule'!AI266)*(1-'Responsibilities'!$D$7)+('Production schedule'!AI302)*(1-'Responsibilities'!$D$8)</f>
        <v/>
      </c>
      <c r="BS86">
        <f>('Production schedule'!E230*(IF('Sites'!D6="Annual staff",SUM('Assumptions'!L112,'Assumptions'!L114),0)+SUM('Assumptions'!L113,'Assumptions'!L115:L116)))*(1-'Responsibilities'!$E$6)+('Production schedule'!E266*(IF('Sites'!D7="Annual staff",SUM('Assumptions'!L117,'Assumptions'!L119),0)+SUM('Assumptions'!L118,'Assumptions'!L120:L121)))*(1-'Responsibilities'!$E$7)+('Production schedule'!E302*(IF('Sites'!D8="Annual staff",SUM('Assumptions'!L122,'Assumptions'!L124),0)+SUM('Assumptions'!L123,'Assumptions'!L125:L126)))*(1-'Responsibilities'!$E$8)</f>
        <v/>
      </c>
      <c r="BT86">
        <f>(IF(AND('Production schedule'!E230=1,9=MAX(('Sites'!F6),1),ISNUMBER('Sites'!O6)),'Sites'!O6*'Assumptions'!$B$44,0))*(1-'Responsibilities'!$F$6)+(IF(AND('Production schedule'!E266=1,9=MAX(('Sites'!F7+'Cases'!G8),1),ISNUMBER('Sites'!O7)),'Sites'!O7*'Assumptions'!$B$44,0))*(1-'Responsibilities'!$F$7)+(IF(AND('Production schedule'!E302=1,9=MAX(('Sites'!F8+'Cases'!G8),1),ISNUMBER('Sites'!O8)),'Sites'!O8*'Assumptions'!$B$44,0))*(1-'Responsibilities'!$F$8)</f>
        <v/>
      </c>
      <c r="BU86">
        <f>SUM('Costs'!E36)*'Costs'!F36/12*(1-'Responsibilities'!$C$12)+SUM('Costs'!E37)*'Costs'!F37/12*(1-'Responsibilities'!$C$13)+SUM('Costs'!E38)*'Costs'!F38/12*(1-'Responsibilities'!$C$14)+SUM('Costs'!E39)*'Costs'!F39/12*(1-'Responsibilities'!$C$15)+SUM('Costs'!E40)*'Costs'!F40/12*(1-'Responsibilities'!$C$16)</f>
        <v/>
      </c>
      <c r="BV86">
        <f>('Sites'!E6*'Capital'!E6*(IF(9='Capital'!G6,'Capital'!F6,0)+IF(9='Capital'!H6,1-'Capital'!F6,0)))*(1-'Responsibilities'!$G$6)+('Sites'!E7*'Capital'!E7*(IF(9='Capital'!G7+'Cases'!G8,'Capital'!F7,0)+IF(9='Capital'!H7+'Cases'!G8,1-'Capital'!F7,0)))*(1-'Responsibilities'!$G$7)+('Sites'!E8*'Cases'!F8*'Capital'!E8*(IF(9='Capital'!G8+'Cases'!G8,'Capital'!F8,0)+IF(9='Capital'!H8+'Cases'!G8,1-'Capital'!F8,0)))*(1-'Responsibilities'!$G$8)</f>
        <v/>
      </c>
      <c r="BW86">
        <f>SUM(BQ86:BV86)</f>
        <v/>
      </c>
      <c r="BX86">
        <f>N86+BW86</f>
        <v/>
      </c>
      <c r="BY86">
        <f>BX86-(('Production schedule'!AJ230)*'Responsibilities'!$C$6+('Production schedule'!AJ266)*'Responsibilities'!$C$7+('Production schedule'!AJ302)*'Responsibilities'!$C$8+('Production schedule'!AJ230)*(1-'Responsibilities'!$C$6)+('Production schedule'!AJ266)*(1-'Responsibilities'!$C$7)+('Production schedule'!AJ302)*(1-'Responsibilities'!$C$8)+('Production schedule'!AI230)*'Responsibilities'!$D$6+('Production schedule'!AI266)*'Responsibilities'!$D$7+('Production schedule'!AI302)*'Responsibilities'!$D$8+('Production schedule'!AI230)*(1-'Responsibilities'!$D$6)+('Production schedule'!AI266)*(1-'Responsibilities'!$D$7)+('Production schedule'!AI302)*(1-'Responsibilities'!$D$8)+('Production schedule'!E230*(IF('Sites'!D6="Annual staff",SUM('Assumptions'!L112,'Assumptions'!L114),0)+SUM('Assumptions'!L113,'Assumptions'!L115:L116)))*'Responsibilities'!$E$6+('Production schedule'!E266*(IF('Sites'!D7="Annual staff",SUM('Assumptions'!L117,'Assumptions'!L119),0)+SUM('Assumptions'!L118,'Assumptions'!L120:L121)))*'Responsibilities'!$E$7+('Production schedule'!E302*(IF('Sites'!D8="Annual staff",SUM('Assumptions'!L122,'Assumptions'!L124),0)+SUM('Assumptions'!L123,'Assumptions'!L125:L126)))*'Responsibilities'!$E$8+('Production schedule'!E230*(IF('Sites'!D6="Annual staff",SUM('Assumptions'!L112,'Assumptions'!L114),0)+SUM('Assumptions'!L113,'Assumptions'!L115:L116)))*(1-'Responsibilities'!$E$6)+('Production schedule'!E266*(IF('Sites'!D7="Annual staff",SUM('Assumptions'!L117,'Assumptions'!L119),0)+SUM('Assumptions'!L118,'Assumptions'!L120:L121)))*(1-'Responsibilities'!$E$7)+('Production schedule'!E302*(IF('Sites'!D8="Annual staff",SUM('Assumptions'!L122,'Assumptions'!L124),0)+SUM('Assumptions'!L123,'Assumptions'!L125:L126)))*(1-'Responsibilities'!$E$8)+(IF(AND('Production schedule'!E230=1,9=MAX(('Sites'!F6),1),ISNUMBER('Sites'!O6)),'Sites'!O6*'Assumptions'!$B$44,0))*'Responsibilities'!$F$6+(IF(AND('Production schedule'!E266=1,9=MAX(('Sites'!F7+'Cases'!G8),1),ISNUMBER('Sites'!O7)),'Sites'!O7*'Assumptions'!$B$44,0))*'Responsibilities'!$F$7+(IF(AND('Production schedule'!E302=1,9=MAX(('Sites'!F8+'Cases'!G8),1),ISNUMBER('Sites'!O8)),'Sites'!O8*'Assumptions'!$B$44,0))*'Responsibilities'!$F$8+(IF(AND('Production schedule'!E230=1,9=MAX(('Sites'!F6),1),ISNUMBER('Sites'!O6)),'Sites'!O6*'Assumptions'!$B$44,0))*(1-'Responsibilities'!$F$6)+(IF(AND('Production schedule'!E266=1,9=MAX(('Sites'!F7+'Cases'!G8),1),ISNUMBER('Sites'!O7)),'Sites'!O7*'Assumptions'!$B$44,0))*(1-'Responsibilities'!$F$7)+(IF(AND('Production schedule'!E302=1,9=MAX(('Sites'!F8+'Cases'!G8),1),ISNUMBER('Sites'!O8)),'Sites'!O8*'Assumptions'!$B$44,0))*(1-'Responsibilities'!$F$8)+('Sites'!E6*'Capital'!E6*(IF(9='Capital'!G6,'Capital'!F6,0)+IF(9='Capital'!H6,1-'Capital'!F6,0)))*'Responsibilities'!$G$6+('Sites'!E7*'Capital'!E7*(IF(9='Capital'!G7+'Cases'!G8,'Capital'!F7,0)+IF(9='Capital'!H7+'Cases'!G8,1-'Capital'!F7,0)))*'Responsibilities'!$G$7+('Sites'!E8*'Cases'!F8*'Capital'!E8*(IF(9='Capital'!G8+'Cases'!G8,'Capital'!F8,0)+IF(9='Capital'!H8+'Cases'!G8,1-'Capital'!F8,0)))*'Responsibilities'!$G$8+('Sites'!E6*'Capital'!E6*(IF(9='Capital'!G6,'Capital'!F6,0)+IF(9='Capital'!H6,1-'Capital'!F6,0)))*(1-'Responsibilities'!$G$6)+('Sites'!E7*'Capital'!E7*(IF(9='Capital'!G7+'Cases'!G8,'Capital'!F7,0)+IF(9='Capital'!H7+'Cases'!G8,1-'Capital'!F7,0)))*(1-'Responsibilities'!$G$7)+('Sites'!E8*'Cases'!F8*'Capital'!E8*(IF(9='Capital'!G8+'Cases'!G8,'Capital'!F8,0)+IF(9='Capital'!H8+'Cases'!G8,1-'Capital'!F8,0)))*(1-'Responsibilities'!$G$8)+I86+SUMPRODUCT('Costs'!$E$36:$E$40,'Costs'!$F$36:$F$40)/12+BZ86)</f>
        <v/>
      </c>
      <c r="BZ86">
        <f>SUMIFS('Responsibilities'!$B$31:$B$35,'Responsibilities'!$C$31:$C$35,9,'Responsibilities'!$D$31:$D$35,"Yes")</f>
        <v/>
      </c>
    </row>
    <row r="87" ht="28" customHeight="1">
      <c r="A87" s="4" t="inlineStr">
        <is>
          <t>No QBE</t>
        </is>
      </c>
      <c r="B87" s="4" t="n">
        <v>10</v>
      </c>
      <c r="C87" s="4">
        <f>ROUNDUP(B87/12,0)</f>
        <v/>
      </c>
      <c r="D87" s="137">
        <f>SUMIFS('Production schedule'!$N$222:$N$329,'Production schedule'!$C$222:$C$329,10)</f>
        <v/>
      </c>
      <c r="E87" s="137">
        <f>SUMIFS('Production schedule'!$Y$222:$Y$329,'Production schedule'!$C$222:$C$329,10)</f>
        <v/>
      </c>
      <c r="F87" s="137">
        <f>SUMIFS('Production schedule'!$Z$222:$Z$329,'Production schedule'!$C$222:$C$329,10)</f>
        <v/>
      </c>
      <c r="G87" s="137">
        <f>('Production schedule'!AJ231)*'Responsibilities'!$C$6+('Production schedule'!AJ267)*'Responsibilities'!$C$7+('Production schedule'!AJ303)*'Responsibilities'!$C$8</f>
        <v/>
      </c>
      <c r="H87" s="137">
        <f>('Production schedule'!AI231)*'Responsibilities'!$D$6+('Production schedule'!AI267)*'Responsibilities'!$D$7+('Production schedule'!AI303)*'Responsibilities'!$D$8</f>
        <v/>
      </c>
      <c r="I87" s="137">
        <f>SUM('Assumptions'!M58:M65)</f>
        <v/>
      </c>
      <c r="J87" s="137">
        <f>('Production schedule'!E231*(IF('Sites'!D6="Annual staff",SUM('Assumptions'!M112,'Assumptions'!M114),0)+SUM('Assumptions'!M113,'Assumptions'!M115:M116)))*'Responsibilities'!$E$6+('Production schedule'!E267*(IF('Sites'!D7="Annual staff",SUM('Assumptions'!M117,'Assumptions'!M119),0)+SUM('Assumptions'!M118,'Assumptions'!M120:M121)))*'Responsibilities'!$E$7+('Production schedule'!E303*(IF('Sites'!D8="Annual staff",SUM('Assumptions'!M122,'Assumptions'!M124),0)+SUM('Assumptions'!M123,'Assumptions'!M125:M126)))*'Responsibilities'!$E$8</f>
        <v/>
      </c>
      <c r="K87" s="137">
        <f>(IF(AND('Production schedule'!E231=1,10=MAX(('Sites'!F6),1),ISNUMBER('Sites'!O6)),'Sites'!O6*'Assumptions'!$B$44,0))*'Responsibilities'!$F$6+(IF(AND('Production schedule'!E267=1,10=MAX(('Sites'!F7+'Cases'!G8),1),ISNUMBER('Sites'!O7)),'Sites'!O7*'Assumptions'!$B$44,0))*'Responsibilities'!$F$7+(IF(AND('Production schedule'!E303=1,10=MAX(('Sites'!F8+'Cases'!G8),1),ISNUMBER('Sites'!O8)),'Sites'!O8*'Assumptions'!$B$44,0))*'Responsibilities'!$F$8</f>
        <v/>
      </c>
      <c r="L87" s="137">
        <f>SUM('Costs'!E36)*'Costs'!F36/12*'Responsibilities'!$C$12+SUM('Costs'!E37)*'Costs'!F37/12*'Responsibilities'!$C$13+SUM('Costs'!E38)*'Costs'!F38/12*'Responsibilities'!$C$14+SUM('Costs'!E39)*'Costs'!F39/12*'Responsibilities'!$C$15+SUM('Costs'!E40)*'Costs'!F40/12*'Responsibilities'!$C$16+BZ87</f>
        <v/>
      </c>
      <c r="M87" s="137">
        <f>('Sites'!E6*'Capital'!E6*(IF(10='Capital'!G6,'Capital'!F6,0)+IF(10='Capital'!H6,1-'Capital'!F6,0)))*'Responsibilities'!$G$6+('Sites'!E7*'Capital'!E7*(IF(10='Capital'!G7+'Cases'!G8,'Capital'!F7,0)+IF(10='Capital'!H7+'Cases'!G8,1-'Capital'!F7,0)))*'Responsibilities'!$G$7+('Sites'!E8*'Cases'!F8*'Capital'!E8*(IF(10='Capital'!G8+'Cases'!G8,'Capital'!F8,0)+IF(10='Capital'!H8+'Cases'!G8,1-'Capital'!F8,0)))*'Responsibilities'!$G$8</f>
        <v/>
      </c>
      <c r="N87" s="137">
        <f>SUM(G87:M87)</f>
        <v/>
      </c>
      <c r="O87" s="137">
        <f>SUMIFS(FundingTranches[Secured amount],FundingTranches[Instrument],"Grant",FundingTranches[Secured month],10)</f>
        <v/>
      </c>
      <c r="P87" s="137">
        <f>SUMIFS(FundingTranches[No QBE possible],FundingTranches[Instrument],"Grant",FundingTranches[Scenario month],10-'Cases'!$D$8)</f>
        <v/>
      </c>
      <c r="Q87" s="137">
        <f>SUMIFS(FundingTranches[Secured amount],FundingTranches[Instrument],"Loan",FundingTranches[Secured month],10)</f>
        <v/>
      </c>
      <c r="R87" s="137">
        <f>SUMIFS(FundingTranches[No QBE possible],FundingTranches[Instrument],"Loan",FundingTranches[Scenario month],10-'Cases'!$D$8)</f>
        <v/>
      </c>
      <c r="S87" s="137">
        <f>IF(10&lt;='Assumptions'!$B$34,0,SUMIFS('Production schedule'!$AL$222:$AL$329,'Production schedule'!$C$222:$C$329,10-'Assumptions'!$B$34))</f>
        <v/>
      </c>
      <c r="T87" s="137">
        <f>'Assumptions'!M70</f>
        <v/>
      </c>
      <c r="U87" s="137">
        <f>'Assumptions'!M78</f>
        <v/>
      </c>
      <c r="V87" s="137">
        <f>SUM(O87:U87)</f>
        <v/>
      </c>
      <c r="W87" s="137">
        <f>AA86</f>
        <v/>
      </c>
      <c r="X87" s="137">
        <f>SUM(Q87:R87)</f>
        <v/>
      </c>
      <c r="Y87" s="137">
        <f>SUM(W87,X87)*'Assumptions'!$B$39/12</f>
        <v/>
      </c>
      <c r="Z87" s="137">
        <f>IF(SUM(W87,X87)&gt;0,MIN(SUM(W87,X87),MAX(0,BP87-Y87)),0)</f>
        <v/>
      </c>
      <c r="AA87" s="137">
        <f>SUM(W87,X87)-Z87</f>
        <v/>
      </c>
      <c r="AB87" s="137">
        <f>SUM(Y87:Z87)</f>
        <v/>
      </c>
      <c r="AC87" s="137">
        <f>'Assumptions'!M72</f>
        <v/>
      </c>
      <c r="AD87" s="137">
        <f>'Assumptions'!M73</f>
        <v/>
      </c>
      <c r="AE87" s="137">
        <f>IF(X87&gt;0,SUM('Assumptions'!$B$42),0)</f>
        <v/>
      </c>
      <c r="AF87" s="137">
        <f>'Assumptions'!M71</f>
        <v/>
      </c>
      <c r="AG87" s="137">
        <f>'Assumptions'!M74</f>
        <v/>
      </c>
      <c r="AH87" s="137">
        <f>'Assumptions'!M75</f>
        <v/>
      </c>
      <c r="AI87" s="137">
        <f>'Assumptions'!M77</f>
        <v/>
      </c>
      <c r="AJ87" s="137">
        <f>V87-N87-SUM(AB87:AI87)</f>
        <v/>
      </c>
      <c r="AK87" s="137">
        <f>SUM(AJ78:AJ87)</f>
        <v/>
      </c>
      <c r="AL87" s="137">
        <f>IF(ISNUMBER('Assumptions'!$B$10),'Assumptions'!$B$10+AK87,"")</f>
        <v/>
      </c>
      <c r="AM87" s="137">
        <f>SUM(O87,Q87,T87)-N87-SUM(AC87:AI87)+IF('Funding'!$N$11=0,AE87,0)-IF('Funding'!$N$11&gt;0,AB87,0)</f>
        <v/>
      </c>
      <c r="AN87" s="137">
        <f>SUM(AM78:AM87)</f>
        <v/>
      </c>
      <c r="AO87" s="137">
        <f>IF(ISNUMBER('Assumptions'!$B$10),'Assumptions'!$B$10+AN87,"")</f>
        <v/>
      </c>
      <c r="AP87" s="137">
        <f>('Production schedule'!AK231)*'Responsibilities'!$C$6+('Production schedule'!AK267)*'Responsibilities'!$C$7+('Production schedule'!AK303)*'Responsibilities'!$C$8</f>
        <v/>
      </c>
      <c r="AQ87" s="137">
        <f>SUMIFS('Production schedule'!$AL$222:$AL$329,'Production schedule'!$C$222:$C$329,10)</f>
        <v/>
      </c>
      <c r="AR87" s="137">
        <f>IF(ISNUMBER('Assumptions'!M76),'Assumptions'!M76,SUM(O87:P87))</f>
        <v/>
      </c>
      <c r="AS87" s="137">
        <f>IF(ISNUMBER('Assumptions'!$B$13),MIN('Assumptions'!$B$13/'Assumptions'!$B$18/12,MAX(0,'Assumptions'!$B$13-(10-1)*'Assumptions'!$B$13/'Assumptions'!$B$18/12)),0)+IF(AND('Sites'!E6=1,10&gt;=('Sites'!F6),10&lt;('Sites'!F6)+'Assumptions'!$B$18*12),'Capital'!E6/'Assumptions'!$B$18/12,0)+IF(AND('Sites'!E7=1,10&gt;=('Sites'!F7+'Cases'!G8),10&lt;('Sites'!F7+'Cases'!G8)+'Assumptions'!$B$18*12),'Capital'!E7/'Assumptions'!$B$18/12,0)+IF(AND('Sites'!E8*'Cases'!F8=1,10&gt;=('Sites'!F8+'Cases'!G8),10&lt;('Sites'!F8+'Cases'!G8)+'Assumptions'!$B$18*12),'Capital'!E8/'Assumptions'!$B$18/12,0)</f>
        <v/>
      </c>
      <c r="AT87" s="137">
        <f>SUM(AQ87,AR87,U87)-AP87-SUM(H87:L87)-AS87-SUM(Y87,AD87,AE87,AH87)</f>
        <v/>
      </c>
      <c r="AU87" s="137">
        <f>IF(ISNUMBER('Assumptions'!$B$19),MAX(0,SUM(AT78:AT87))*'Assumptions'!$B$19-SUM(AU78:AU86),"")</f>
        <v/>
      </c>
      <c r="AV87" s="137">
        <f>IF(ISNUMBER(AU87),AT87-AU87,"")</f>
        <v/>
      </c>
      <c r="AW87" s="137">
        <f>IF(ISNUMBER('Assumptions'!$B$11),'Assumptions'!$B$11+SUM(AQ78:AQ87)-SUM(S78:S87)-SUM(T78:T87),"")</f>
        <v/>
      </c>
      <c r="AX87" s="137">
        <f>IF(ISNUMBER('Assumptions'!$B$12),'Assumptions'!$B$12+SUM(G78:G87)-SUM(AP78:AP87),"")</f>
        <v/>
      </c>
      <c r="AY87" s="137">
        <f>IF(ISNUMBER('Assumptions'!$B$13),'Assumptions'!$B$13+SUM(M78:M87)-SUM(AS78:AS87),"")</f>
        <v/>
      </c>
      <c r="AZ87" s="137">
        <f>IF(ISNUMBER('Assumptions'!$B$14),'Assumptions'!$B$14+-SUM(AF78:AF87),"")</f>
        <v/>
      </c>
      <c r="BA87" s="137">
        <f>IF(ISNUMBER('Assumptions'!$B$15),'Assumptions'!$B$15+SUM(O78:O87)+SUM(P78:P87)-SUM(AR78:AR87),"")</f>
        <v/>
      </c>
      <c r="BB87" s="137">
        <f>IF(ISNUMBER('Assumptions'!$B$16),'Assumptions'!$B$16+-SUM(AC78:AC87),"")</f>
        <v/>
      </c>
      <c r="BC87" s="137">
        <f>IF(AND(ISNUMBER('Assumptions'!$B$21),ISNUMBER('Assumptions'!$B$19)),'Assumptions'!$B$21+SUM(AU78:AU87)-SUM(AG78:AG87),"")</f>
        <v/>
      </c>
      <c r="BD87" s="137">
        <f>IF(ISNUMBER('Assumptions'!$B$20),'Assumptions'!$B$20+-SUM(AI78:AI87),"")</f>
        <v/>
      </c>
      <c r="BE87" s="137">
        <f>IF(AND(ISNUMBER('Assumptions'!$B$17),COUNT(AV78:AV87)=10),'Assumptions'!$B$17+SUM(AV78:AV87),"")</f>
        <v/>
      </c>
      <c r="BF87" s="137">
        <f>IF(COUNT(AL87,AW87:AY87)=4,SUM(AL87,AW87:AY87),"")</f>
        <v/>
      </c>
      <c r="BG87" s="137">
        <f>IF(COUNT(AZ87:BD87)=5,SUM(AZ87:BD87,AA87),"")</f>
        <v/>
      </c>
      <c r="BH87" s="137">
        <f>IF(COUNT(BF87,BG87,BE87)=3,BF87-BG87-BE87,"")</f>
        <v/>
      </c>
      <c r="BI87" s="137">
        <f>SUM(W87,X87)-Z87-AA87</f>
        <v/>
      </c>
      <c r="BJ87" s="137">
        <f>8-COUNT('Assumptions'!M58:M65)+COUNTBLANK('NM Play'!B33:B34)+'Costs'!E44+IF(AND('Sites'!E6=1,('Sites'!F6)&lt;=12,'Sites'!G6&gt;=1),IF(ISNUMBER('Sites'!O6),0,1)+'Capital'!I6+COUNTBLANK('Sites'!R6)+IF('Sites'!D6="NM crew",COUNTBLANK('NM Play'!B25)+1,5-COUNT('Assumptions'!M112:M116)),0)+IF(AND('Sites'!E7=1,('Sites'!F7+'Cases'!G8)&lt;=12,'Sites'!G7&gt;=1),IF(ISNUMBER('Sites'!O7),0,1)+'Capital'!I7+COUNTBLANK('Sites'!R7)+IF('Sites'!D7="NM crew",COUNTBLANK('NM Play'!B25)+1,5-COUNT('Assumptions'!M117:M121)),0)+IF(AND('Sites'!E8*'Cases'!F8=1,('Sites'!F8+'Cases'!G8)&lt;=12,'Sites'!G8&gt;=1),IF(ISNUMBER('Sites'!O8),0,1)+'Capital'!I8+COUNTBLANK('Sites'!R8)+IF('Sites'!D8="NM crew",COUNTBLANK('NM Play'!B25)+1,5-COUNT('Assumptions'!M122:M126)),0)+IF(AND('Cases'!C8&gt;0,NOT(ISNUMBER('Assumptions'!B42))),1,0)+'Responsibilities'!$B$39</f>
        <v/>
      </c>
      <c r="BK87" s="137">
        <f>'Assumptions'!$B$50+'NM Play'!$B$83+'Funding'!$F$20+SUMIFS('Production schedule'!$AN$222:$AN$329,'Production schedule'!$C$222:$C$329,10)+IF(OR('Cases'!E8&lt;0,'Cases'!E8&gt;1,'Cases'!C8&lt;0,'Cases'!D8&lt;0,ABS(SUM('Sites'!S6:S8)-1)&gt;0.0001,MIN('Capital'!F6:F8)&lt;0,MAX('Capital'!F6:F8)&gt;1,MIN(AX87,AZ87,BB87,BA87)&lt;-0.01),1,0)+'Responsibilities'!$B$40</f>
        <v/>
      </c>
      <c r="BL87" s="137">
        <f>SUMIFS('Production schedule'!$T$222:$T$329,'Production schedule'!$C$222:$C$329,10)</f>
        <v/>
      </c>
      <c r="BM87" s="137">
        <f>D87*'NM Play'!$B$38</f>
        <v/>
      </c>
      <c r="BN87" s="137">
        <f>SUMIFS('Production schedule'!$AM$222:$AM$329,'Production schedule'!$C$222:$C$329,10)</f>
        <v/>
      </c>
      <c r="BO87" s="137">
        <f>AK87-AK86-AJ87</f>
        <v/>
      </c>
      <c r="BP87" s="137">
        <f>IF(AND('Assumptions'!$B$39&gt;=0,'Assumptions'!$B$40&gt;0),-PMT('Assumptions'!$B$39/12,'Assumptions'!$B$40*12,IF('Funding'!$N$11&gt;0,'Funding'!$N$11,'Funding'!$T$11)),"")</f>
        <v/>
      </c>
      <c r="BQ87">
        <f>('Production schedule'!AJ231)*(1-'Responsibilities'!$C$6)+('Production schedule'!AJ267)*(1-'Responsibilities'!$C$7)+('Production schedule'!AJ303)*(1-'Responsibilities'!$C$8)</f>
        <v/>
      </c>
      <c r="BR87">
        <f>('Production schedule'!AI231)*(1-'Responsibilities'!$D$6)+('Production schedule'!AI267)*(1-'Responsibilities'!$D$7)+('Production schedule'!AI303)*(1-'Responsibilities'!$D$8)</f>
        <v/>
      </c>
      <c r="BS87">
        <f>('Production schedule'!E231*(IF('Sites'!D6="Annual staff",SUM('Assumptions'!M112,'Assumptions'!M114),0)+SUM('Assumptions'!M113,'Assumptions'!M115:M116)))*(1-'Responsibilities'!$E$6)+('Production schedule'!E267*(IF('Sites'!D7="Annual staff",SUM('Assumptions'!M117,'Assumptions'!M119),0)+SUM('Assumptions'!M118,'Assumptions'!M120:M121)))*(1-'Responsibilities'!$E$7)+('Production schedule'!E303*(IF('Sites'!D8="Annual staff",SUM('Assumptions'!M122,'Assumptions'!M124),0)+SUM('Assumptions'!M123,'Assumptions'!M125:M126)))*(1-'Responsibilities'!$E$8)</f>
        <v/>
      </c>
      <c r="BT87">
        <f>(IF(AND('Production schedule'!E231=1,10=MAX(('Sites'!F6),1),ISNUMBER('Sites'!O6)),'Sites'!O6*'Assumptions'!$B$44,0))*(1-'Responsibilities'!$F$6)+(IF(AND('Production schedule'!E267=1,10=MAX(('Sites'!F7+'Cases'!G8),1),ISNUMBER('Sites'!O7)),'Sites'!O7*'Assumptions'!$B$44,0))*(1-'Responsibilities'!$F$7)+(IF(AND('Production schedule'!E303=1,10=MAX(('Sites'!F8+'Cases'!G8),1),ISNUMBER('Sites'!O8)),'Sites'!O8*'Assumptions'!$B$44,0))*(1-'Responsibilities'!$F$8)</f>
        <v/>
      </c>
      <c r="BU87">
        <f>SUM('Costs'!E36)*'Costs'!F36/12*(1-'Responsibilities'!$C$12)+SUM('Costs'!E37)*'Costs'!F37/12*(1-'Responsibilities'!$C$13)+SUM('Costs'!E38)*'Costs'!F38/12*(1-'Responsibilities'!$C$14)+SUM('Costs'!E39)*'Costs'!F39/12*(1-'Responsibilities'!$C$15)+SUM('Costs'!E40)*'Costs'!F40/12*(1-'Responsibilities'!$C$16)</f>
        <v/>
      </c>
      <c r="BV87">
        <f>('Sites'!E6*'Capital'!E6*(IF(10='Capital'!G6,'Capital'!F6,0)+IF(10='Capital'!H6,1-'Capital'!F6,0)))*(1-'Responsibilities'!$G$6)+('Sites'!E7*'Capital'!E7*(IF(10='Capital'!G7+'Cases'!G8,'Capital'!F7,0)+IF(10='Capital'!H7+'Cases'!G8,1-'Capital'!F7,0)))*(1-'Responsibilities'!$G$7)+('Sites'!E8*'Cases'!F8*'Capital'!E8*(IF(10='Capital'!G8+'Cases'!G8,'Capital'!F8,0)+IF(10='Capital'!H8+'Cases'!G8,1-'Capital'!F8,0)))*(1-'Responsibilities'!$G$8)</f>
        <v/>
      </c>
      <c r="BW87">
        <f>SUM(BQ87:BV87)</f>
        <v/>
      </c>
      <c r="BX87">
        <f>N87+BW87</f>
        <v/>
      </c>
      <c r="BY87">
        <f>BX87-(('Production schedule'!AJ231)*'Responsibilities'!$C$6+('Production schedule'!AJ267)*'Responsibilities'!$C$7+('Production schedule'!AJ303)*'Responsibilities'!$C$8+('Production schedule'!AJ231)*(1-'Responsibilities'!$C$6)+('Production schedule'!AJ267)*(1-'Responsibilities'!$C$7)+('Production schedule'!AJ303)*(1-'Responsibilities'!$C$8)+('Production schedule'!AI231)*'Responsibilities'!$D$6+('Production schedule'!AI267)*'Responsibilities'!$D$7+('Production schedule'!AI303)*'Responsibilities'!$D$8+('Production schedule'!AI231)*(1-'Responsibilities'!$D$6)+('Production schedule'!AI267)*(1-'Responsibilities'!$D$7)+('Production schedule'!AI303)*(1-'Responsibilities'!$D$8)+('Production schedule'!E231*(IF('Sites'!D6="Annual staff",SUM('Assumptions'!M112,'Assumptions'!M114),0)+SUM('Assumptions'!M113,'Assumptions'!M115:M116)))*'Responsibilities'!$E$6+('Production schedule'!E267*(IF('Sites'!D7="Annual staff",SUM('Assumptions'!M117,'Assumptions'!M119),0)+SUM('Assumptions'!M118,'Assumptions'!M120:M121)))*'Responsibilities'!$E$7+('Production schedule'!E303*(IF('Sites'!D8="Annual staff",SUM('Assumptions'!M122,'Assumptions'!M124),0)+SUM('Assumptions'!M123,'Assumptions'!M125:M126)))*'Responsibilities'!$E$8+('Production schedule'!E231*(IF('Sites'!D6="Annual staff",SUM('Assumptions'!M112,'Assumptions'!M114),0)+SUM('Assumptions'!M113,'Assumptions'!M115:M116)))*(1-'Responsibilities'!$E$6)+('Production schedule'!E267*(IF('Sites'!D7="Annual staff",SUM('Assumptions'!M117,'Assumptions'!M119),0)+SUM('Assumptions'!M118,'Assumptions'!M120:M121)))*(1-'Responsibilities'!$E$7)+('Production schedule'!E303*(IF('Sites'!D8="Annual staff",SUM('Assumptions'!M122,'Assumptions'!M124),0)+SUM('Assumptions'!M123,'Assumptions'!M125:M126)))*(1-'Responsibilities'!$E$8)+(IF(AND('Production schedule'!E231=1,10=MAX(('Sites'!F6),1),ISNUMBER('Sites'!O6)),'Sites'!O6*'Assumptions'!$B$44,0))*'Responsibilities'!$F$6+(IF(AND('Production schedule'!E267=1,10=MAX(('Sites'!F7+'Cases'!G8),1),ISNUMBER('Sites'!O7)),'Sites'!O7*'Assumptions'!$B$44,0))*'Responsibilities'!$F$7+(IF(AND('Production schedule'!E303=1,10=MAX(('Sites'!F8+'Cases'!G8),1),ISNUMBER('Sites'!O8)),'Sites'!O8*'Assumptions'!$B$44,0))*'Responsibilities'!$F$8+(IF(AND('Production schedule'!E231=1,10=MAX(('Sites'!F6),1),ISNUMBER('Sites'!O6)),'Sites'!O6*'Assumptions'!$B$44,0))*(1-'Responsibilities'!$F$6)+(IF(AND('Production schedule'!E267=1,10=MAX(('Sites'!F7+'Cases'!G8),1),ISNUMBER('Sites'!O7)),'Sites'!O7*'Assumptions'!$B$44,0))*(1-'Responsibilities'!$F$7)+(IF(AND('Production schedule'!E303=1,10=MAX(('Sites'!F8+'Cases'!G8),1),ISNUMBER('Sites'!O8)),'Sites'!O8*'Assumptions'!$B$44,0))*(1-'Responsibilities'!$F$8)+('Sites'!E6*'Capital'!E6*(IF(10='Capital'!G6,'Capital'!F6,0)+IF(10='Capital'!H6,1-'Capital'!F6,0)))*'Responsibilities'!$G$6+('Sites'!E7*'Capital'!E7*(IF(10='Capital'!G7+'Cases'!G8,'Capital'!F7,0)+IF(10='Capital'!H7+'Cases'!G8,1-'Capital'!F7,0)))*'Responsibilities'!$G$7+('Sites'!E8*'Cases'!F8*'Capital'!E8*(IF(10='Capital'!G8+'Cases'!G8,'Capital'!F8,0)+IF(10='Capital'!H8+'Cases'!G8,1-'Capital'!F8,0)))*'Responsibilities'!$G$8+('Sites'!E6*'Capital'!E6*(IF(10='Capital'!G6,'Capital'!F6,0)+IF(10='Capital'!H6,1-'Capital'!F6,0)))*(1-'Responsibilities'!$G$6)+('Sites'!E7*'Capital'!E7*(IF(10='Capital'!G7+'Cases'!G8,'Capital'!F7,0)+IF(10='Capital'!H7+'Cases'!G8,1-'Capital'!F7,0)))*(1-'Responsibilities'!$G$7)+('Sites'!E8*'Cases'!F8*'Capital'!E8*(IF(10='Capital'!G8+'Cases'!G8,'Capital'!F8,0)+IF(10='Capital'!H8+'Cases'!G8,1-'Capital'!F8,0)))*(1-'Responsibilities'!$G$8)+I87+SUMPRODUCT('Costs'!$E$36:$E$40,'Costs'!$F$36:$F$40)/12+BZ87)</f>
        <v/>
      </c>
      <c r="BZ87">
        <f>SUMIFS('Responsibilities'!$B$31:$B$35,'Responsibilities'!$C$31:$C$35,10,'Responsibilities'!$D$31:$D$35,"Yes")</f>
        <v/>
      </c>
    </row>
    <row r="88" ht="28" customHeight="1">
      <c r="A88" s="4" t="inlineStr">
        <is>
          <t>No QBE</t>
        </is>
      </c>
      <c r="B88" s="4" t="n">
        <v>11</v>
      </c>
      <c r="C88" s="4">
        <f>ROUNDUP(B88/12,0)</f>
        <v/>
      </c>
      <c r="D88" s="137">
        <f>SUMIFS('Production schedule'!$N$222:$N$329,'Production schedule'!$C$222:$C$329,11)</f>
        <v/>
      </c>
      <c r="E88" s="137">
        <f>SUMIFS('Production schedule'!$Y$222:$Y$329,'Production schedule'!$C$222:$C$329,11)</f>
        <v/>
      </c>
      <c r="F88" s="137">
        <f>SUMIFS('Production schedule'!$Z$222:$Z$329,'Production schedule'!$C$222:$C$329,11)</f>
        <v/>
      </c>
      <c r="G88" s="137">
        <f>('Production schedule'!AJ232)*'Responsibilities'!$C$6+('Production schedule'!AJ268)*'Responsibilities'!$C$7+('Production schedule'!AJ304)*'Responsibilities'!$C$8</f>
        <v/>
      </c>
      <c r="H88" s="137">
        <f>('Production schedule'!AI232)*'Responsibilities'!$D$6+('Production schedule'!AI268)*'Responsibilities'!$D$7+('Production schedule'!AI304)*'Responsibilities'!$D$8</f>
        <v/>
      </c>
      <c r="I88" s="137">
        <f>SUM('Assumptions'!N58:N65)</f>
        <v/>
      </c>
      <c r="J88" s="137">
        <f>('Production schedule'!E232*(IF('Sites'!D6="Annual staff",SUM('Assumptions'!N112,'Assumptions'!N114),0)+SUM('Assumptions'!N113,'Assumptions'!N115:N116)))*'Responsibilities'!$E$6+('Production schedule'!E268*(IF('Sites'!D7="Annual staff",SUM('Assumptions'!N117,'Assumptions'!N119),0)+SUM('Assumptions'!N118,'Assumptions'!N120:N121)))*'Responsibilities'!$E$7+('Production schedule'!E304*(IF('Sites'!D8="Annual staff",SUM('Assumptions'!N122,'Assumptions'!N124),0)+SUM('Assumptions'!N123,'Assumptions'!N125:N126)))*'Responsibilities'!$E$8</f>
        <v/>
      </c>
      <c r="K88" s="137">
        <f>(IF(AND('Production schedule'!E232=1,11=MAX(('Sites'!F6),1),ISNUMBER('Sites'!O6)),'Sites'!O6*'Assumptions'!$B$44,0))*'Responsibilities'!$F$6+(IF(AND('Production schedule'!E268=1,11=MAX(('Sites'!F7+'Cases'!G8),1),ISNUMBER('Sites'!O7)),'Sites'!O7*'Assumptions'!$B$44,0))*'Responsibilities'!$F$7+(IF(AND('Production schedule'!E304=1,11=MAX(('Sites'!F8+'Cases'!G8),1),ISNUMBER('Sites'!O8)),'Sites'!O8*'Assumptions'!$B$44,0))*'Responsibilities'!$F$8</f>
        <v/>
      </c>
      <c r="L88" s="137">
        <f>SUM('Costs'!E36)*'Costs'!F36/12*'Responsibilities'!$C$12+SUM('Costs'!E37)*'Costs'!F37/12*'Responsibilities'!$C$13+SUM('Costs'!E38)*'Costs'!F38/12*'Responsibilities'!$C$14+SUM('Costs'!E39)*'Costs'!F39/12*'Responsibilities'!$C$15+SUM('Costs'!E40)*'Costs'!F40/12*'Responsibilities'!$C$16+BZ88</f>
        <v/>
      </c>
      <c r="M88" s="137">
        <f>('Sites'!E6*'Capital'!E6*(IF(11='Capital'!G6,'Capital'!F6,0)+IF(11='Capital'!H6,1-'Capital'!F6,0)))*'Responsibilities'!$G$6+('Sites'!E7*'Capital'!E7*(IF(11='Capital'!G7+'Cases'!G8,'Capital'!F7,0)+IF(11='Capital'!H7+'Cases'!G8,1-'Capital'!F7,0)))*'Responsibilities'!$G$7+('Sites'!E8*'Cases'!F8*'Capital'!E8*(IF(11='Capital'!G8+'Cases'!G8,'Capital'!F8,0)+IF(11='Capital'!H8+'Cases'!G8,1-'Capital'!F8,0)))*'Responsibilities'!$G$8</f>
        <v/>
      </c>
      <c r="N88" s="137">
        <f>SUM(G88:M88)</f>
        <v/>
      </c>
      <c r="O88" s="137">
        <f>SUMIFS(FundingTranches[Secured amount],FundingTranches[Instrument],"Grant",FundingTranches[Secured month],11)</f>
        <v/>
      </c>
      <c r="P88" s="137">
        <f>SUMIFS(FundingTranches[No QBE possible],FundingTranches[Instrument],"Grant",FundingTranches[Scenario month],11-'Cases'!$D$8)</f>
        <v/>
      </c>
      <c r="Q88" s="137">
        <f>SUMIFS(FundingTranches[Secured amount],FundingTranches[Instrument],"Loan",FundingTranches[Secured month],11)</f>
        <v/>
      </c>
      <c r="R88" s="137">
        <f>SUMIFS(FundingTranches[No QBE possible],FundingTranches[Instrument],"Loan",FundingTranches[Scenario month],11-'Cases'!$D$8)</f>
        <v/>
      </c>
      <c r="S88" s="137">
        <f>IF(11&lt;='Assumptions'!$B$34,0,SUMIFS('Production schedule'!$AL$222:$AL$329,'Production schedule'!$C$222:$C$329,11-'Assumptions'!$B$34))</f>
        <v/>
      </c>
      <c r="T88" s="137">
        <f>'Assumptions'!N70</f>
        <v/>
      </c>
      <c r="U88" s="137">
        <f>'Assumptions'!N78</f>
        <v/>
      </c>
      <c r="V88" s="137">
        <f>SUM(O88:U88)</f>
        <v/>
      </c>
      <c r="W88" s="137">
        <f>AA87</f>
        <v/>
      </c>
      <c r="X88" s="137">
        <f>SUM(Q88:R88)</f>
        <v/>
      </c>
      <c r="Y88" s="137">
        <f>SUM(W88,X88)*'Assumptions'!$B$39/12</f>
        <v/>
      </c>
      <c r="Z88" s="137">
        <f>IF(SUM(W88,X88)&gt;0,MIN(SUM(W88,X88),MAX(0,BP88-Y88)),0)</f>
        <v/>
      </c>
      <c r="AA88" s="137">
        <f>SUM(W88,X88)-Z88</f>
        <v/>
      </c>
      <c r="AB88" s="137">
        <f>SUM(Y88:Z88)</f>
        <v/>
      </c>
      <c r="AC88" s="137">
        <f>'Assumptions'!N72</f>
        <v/>
      </c>
      <c r="AD88" s="137">
        <f>'Assumptions'!N73</f>
        <v/>
      </c>
      <c r="AE88" s="137">
        <f>IF(X88&gt;0,SUM('Assumptions'!$B$42),0)</f>
        <v/>
      </c>
      <c r="AF88" s="137">
        <f>'Assumptions'!N71</f>
        <v/>
      </c>
      <c r="AG88" s="137">
        <f>'Assumptions'!N74</f>
        <v/>
      </c>
      <c r="AH88" s="137">
        <f>'Assumptions'!N75</f>
        <v/>
      </c>
      <c r="AI88" s="137">
        <f>'Assumptions'!N77</f>
        <v/>
      </c>
      <c r="AJ88" s="137">
        <f>V88-N88-SUM(AB88:AI88)</f>
        <v/>
      </c>
      <c r="AK88" s="137">
        <f>SUM(AJ78:AJ88)</f>
        <v/>
      </c>
      <c r="AL88" s="137">
        <f>IF(ISNUMBER('Assumptions'!$B$10),'Assumptions'!$B$10+AK88,"")</f>
        <v/>
      </c>
      <c r="AM88" s="137">
        <f>SUM(O88,Q88,T88)-N88-SUM(AC88:AI88)+IF('Funding'!$N$11=0,AE88,0)-IF('Funding'!$N$11&gt;0,AB88,0)</f>
        <v/>
      </c>
      <c r="AN88" s="137">
        <f>SUM(AM78:AM88)</f>
        <v/>
      </c>
      <c r="AO88" s="137">
        <f>IF(ISNUMBER('Assumptions'!$B$10),'Assumptions'!$B$10+AN88,"")</f>
        <v/>
      </c>
      <c r="AP88" s="137">
        <f>('Production schedule'!AK232)*'Responsibilities'!$C$6+('Production schedule'!AK268)*'Responsibilities'!$C$7+('Production schedule'!AK304)*'Responsibilities'!$C$8</f>
        <v/>
      </c>
      <c r="AQ88" s="137">
        <f>SUMIFS('Production schedule'!$AL$222:$AL$329,'Production schedule'!$C$222:$C$329,11)</f>
        <v/>
      </c>
      <c r="AR88" s="137">
        <f>IF(ISNUMBER('Assumptions'!N76),'Assumptions'!N76,SUM(O88:P88))</f>
        <v/>
      </c>
      <c r="AS88" s="137">
        <f>IF(ISNUMBER('Assumptions'!$B$13),MIN('Assumptions'!$B$13/'Assumptions'!$B$18/12,MAX(0,'Assumptions'!$B$13-(11-1)*'Assumptions'!$B$13/'Assumptions'!$B$18/12)),0)+IF(AND('Sites'!E6=1,11&gt;=('Sites'!F6),11&lt;('Sites'!F6)+'Assumptions'!$B$18*12),'Capital'!E6/'Assumptions'!$B$18/12,0)+IF(AND('Sites'!E7=1,11&gt;=('Sites'!F7+'Cases'!G8),11&lt;('Sites'!F7+'Cases'!G8)+'Assumptions'!$B$18*12),'Capital'!E7/'Assumptions'!$B$18/12,0)+IF(AND('Sites'!E8*'Cases'!F8=1,11&gt;=('Sites'!F8+'Cases'!G8),11&lt;('Sites'!F8+'Cases'!G8)+'Assumptions'!$B$18*12),'Capital'!E8/'Assumptions'!$B$18/12,0)</f>
        <v/>
      </c>
      <c r="AT88" s="137">
        <f>SUM(AQ88,AR88,U88)-AP88-SUM(H88:L88)-AS88-SUM(Y88,AD88,AE88,AH88)</f>
        <v/>
      </c>
      <c r="AU88" s="137">
        <f>IF(ISNUMBER('Assumptions'!$B$19),MAX(0,SUM(AT78:AT88))*'Assumptions'!$B$19-SUM(AU78:AU87),"")</f>
        <v/>
      </c>
      <c r="AV88" s="137">
        <f>IF(ISNUMBER(AU88),AT88-AU88,"")</f>
        <v/>
      </c>
      <c r="AW88" s="137">
        <f>IF(ISNUMBER('Assumptions'!$B$11),'Assumptions'!$B$11+SUM(AQ78:AQ88)-SUM(S78:S88)-SUM(T78:T88),"")</f>
        <v/>
      </c>
      <c r="AX88" s="137">
        <f>IF(ISNUMBER('Assumptions'!$B$12),'Assumptions'!$B$12+SUM(G78:G88)-SUM(AP78:AP88),"")</f>
        <v/>
      </c>
      <c r="AY88" s="137">
        <f>IF(ISNUMBER('Assumptions'!$B$13),'Assumptions'!$B$13+SUM(M78:M88)-SUM(AS78:AS88),"")</f>
        <v/>
      </c>
      <c r="AZ88" s="137">
        <f>IF(ISNUMBER('Assumptions'!$B$14),'Assumptions'!$B$14+-SUM(AF78:AF88),"")</f>
        <v/>
      </c>
      <c r="BA88" s="137">
        <f>IF(ISNUMBER('Assumptions'!$B$15),'Assumptions'!$B$15+SUM(O78:O88)+SUM(P78:P88)-SUM(AR78:AR88),"")</f>
        <v/>
      </c>
      <c r="BB88" s="137">
        <f>IF(ISNUMBER('Assumptions'!$B$16),'Assumptions'!$B$16+-SUM(AC78:AC88),"")</f>
        <v/>
      </c>
      <c r="BC88" s="137">
        <f>IF(AND(ISNUMBER('Assumptions'!$B$21),ISNUMBER('Assumptions'!$B$19)),'Assumptions'!$B$21+SUM(AU78:AU88)-SUM(AG78:AG88),"")</f>
        <v/>
      </c>
      <c r="BD88" s="137">
        <f>IF(ISNUMBER('Assumptions'!$B$20),'Assumptions'!$B$20+-SUM(AI78:AI88),"")</f>
        <v/>
      </c>
      <c r="BE88" s="137">
        <f>IF(AND(ISNUMBER('Assumptions'!$B$17),COUNT(AV78:AV88)=11),'Assumptions'!$B$17+SUM(AV78:AV88),"")</f>
        <v/>
      </c>
      <c r="BF88" s="137">
        <f>IF(COUNT(AL88,AW88:AY88)=4,SUM(AL88,AW88:AY88),"")</f>
        <v/>
      </c>
      <c r="BG88" s="137">
        <f>IF(COUNT(AZ88:BD88)=5,SUM(AZ88:BD88,AA88),"")</f>
        <v/>
      </c>
      <c r="BH88" s="137">
        <f>IF(COUNT(BF88,BG88,BE88)=3,BF88-BG88-BE88,"")</f>
        <v/>
      </c>
      <c r="BI88" s="137">
        <f>SUM(W88,X88)-Z88-AA88</f>
        <v/>
      </c>
      <c r="BJ88" s="137">
        <f>8-COUNT('Assumptions'!N58:N65)+COUNTBLANK('NM Play'!B33:B34)+'Costs'!E44+IF(AND('Sites'!E6=1,('Sites'!F6)&lt;=12,'Sites'!G6&gt;=1),IF(ISNUMBER('Sites'!O6),0,1)+'Capital'!I6+COUNTBLANK('Sites'!R6)+IF('Sites'!D6="NM crew",COUNTBLANK('NM Play'!B25)+1,5-COUNT('Assumptions'!N112:N116)),0)+IF(AND('Sites'!E7=1,('Sites'!F7+'Cases'!G8)&lt;=12,'Sites'!G7&gt;=1),IF(ISNUMBER('Sites'!O7),0,1)+'Capital'!I7+COUNTBLANK('Sites'!R7)+IF('Sites'!D7="NM crew",COUNTBLANK('NM Play'!B25)+1,5-COUNT('Assumptions'!N117:N121)),0)+IF(AND('Sites'!E8*'Cases'!F8=1,('Sites'!F8+'Cases'!G8)&lt;=12,'Sites'!G8&gt;=1),IF(ISNUMBER('Sites'!O8),0,1)+'Capital'!I8+COUNTBLANK('Sites'!R8)+IF('Sites'!D8="NM crew",COUNTBLANK('NM Play'!B25)+1,5-COUNT('Assumptions'!N122:N126)),0)+IF(AND('Cases'!C8&gt;0,NOT(ISNUMBER('Assumptions'!B42))),1,0)+'Responsibilities'!$B$39</f>
        <v/>
      </c>
      <c r="BK88" s="137">
        <f>'Assumptions'!$B$50+'NM Play'!$B$83+'Funding'!$F$20+SUMIFS('Production schedule'!$AN$222:$AN$329,'Production schedule'!$C$222:$C$329,11)+IF(OR('Cases'!E8&lt;0,'Cases'!E8&gt;1,'Cases'!C8&lt;0,'Cases'!D8&lt;0,ABS(SUM('Sites'!S6:S8)-1)&gt;0.0001,MIN('Capital'!F6:F8)&lt;0,MAX('Capital'!F6:F8)&gt;1,MIN(AX88,AZ88,BB88,BA88)&lt;-0.01),1,0)+'Responsibilities'!$B$40</f>
        <v/>
      </c>
      <c r="BL88" s="137">
        <f>SUMIFS('Production schedule'!$T$222:$T$329,'Production schedule'!$C$222:$C$329,11)</f>
        <v/>
      </c>
      <c r="BM88" s="137">
        <f>D88*'NM Play'!$B$38</f>
        <v/>
      </c>
      <c r="BN88" s="137">
        <f>SUMIFS('Production schedule'!$AM$222:$AM$329,'Production schedule'!$C$222:$C$329,11)</f>
        <v/>
      </c>
      <c r="BO88" s="137">
        <f>AK88-AK87-AJ88</f>
        <v/>
      </c>
      <c r="BP88" s="137">
        <f>IF(AND('Assumptions'!$B$39&gt;=0,'Assumptions'!$B$40&gt;0),-PMT('Assumptions'!$B$39/12,'Assumptions'!$B$40*12,IF('Funding'!$N$11&gt;0,'Funding'!$N$11,'Funding'!$T$11)),"")</f>
        <v/>
      </c>
      <c r="BQ88">
        <f>('Production schedule'!AJ232)*(1-'Responsibilities'!$C$6)+('Production schedule'!AJ268)*(1-'Responsibilities'!$C$7)+('Production schedule'!AJ304)*(1-'Responsibilities'!$C$8)</f>
        <v/>
      </c>
      <c r="BR88">
        <f>('Production schedule'!AI232)*(1-'Responsibilities'!$D$6)+('Production schedule'!AI268)*(1-'Responsibilities'!$D$7)+('Production schedule'!AI304)*(1-'Responsibilities'!$D$8)</f>
        <v/>
      </c>
      <c r="BS88">
        <f>('Production schedule'!E232*(IF('Sites'!D6="Annual staff",SUM('Assumptions'!N112,'Assumptions'!N114),0)+SUM('Assumptions'!N113,'Assumptions'!N115:N116)))*(1-'Responsibilities'!$E$6)+('Production schedule'!E268*(IF('Sites'!D7="Annual staff",SUM('Assumptions'!N117,'Assumptions'!N119),0)+SUM('Assumptions'!N118,'Assumptions'!N120:N121)))*(1-'Responsibilities'!$E$7)+('Production schedule'!E304*(IF('Sites'!D8="Annual staff",SUM('Assumptions'!N122,'Assumptions'!N124),0)+SUM('Assumptions'!N123,'Assumptions'!N125:N126)))*(1-'Responsibilities'!$E$8)</f>
        <v/>
      </c>
      <c r="BT88">
        <f>(IF(AND('Production schedule'!E232=1,11=MAX(('Sites'!F6),1),ISNUMBER('Sites'!O6)),'Sites'!O6*'Assumptions'!$B$44,0))*(1-'Responsibilities'!$F$6)+(IF(AND('Production schedule'!E268=1,11=MAX(('Sites'!F7+'Cases'!G8),1),ISNUMBER('Sites'!O7)),'Sites'!O7*'Assumptions'!$B$44,0))*(1-'Responsibilities'!$F$7)+(IF(AND('Production schedule'!E304=1,11=MAX(('Sites'!F8+'Cases'!G8),1),ISNUMBER('Sites'!O8)),'Sites'!O8*'Assumptions'!$B$44,0))*(1-'Responsibilities'!$F$8)</f>
        <v/>
      </c>
      <c r="BU88">
        <f>SUM('Costs'!E36)*'Costs'!F36/12*(1-'Responsibilities'!$C$12)+SUM('Costs'!E37)*'Costs'!F37/12*(1-'Responsibilities'!$C$13)+SUM('Costs'!E38)*'Costs'!F38/12*(1-'Responsibilities'!$C$14)+SUM('Costs'!E39)*'Costs'!F39/12*(1-'Responsibilities'!$C$15)+SUM('Costs'!E40)*'Costs'!F40/12*(1-'Responsibilities'!$C$16)</f>
        <v/>
      </c>
      <c r="BV88">
        <f>('Sites'!E6*'Capital'!E6*(IF(11='Capital'!G6,'Capital'!F6,0)+IF(11='Capital'!H6,1-'Capital'!F6,0)))*(1-'Responsibilities'!$G$6)+('Sites'!E7*'Capital'!E7*(IF(11='Capital'!G7+'Cases'!G8,'Capital'!F7,0)+IF(11='Capital'!H7+'Cases'!G8,1-'Capital'!F7,0)))*(1-'Responsibilities'!$G$7)+('Sites'!E8*'Cases'!F8*'Capital'!E8*(IF(11='Capital'!G8+'Cases'!G8,'Capital'!F8,0)+IF(11='Capital'!H8+'Cases'!G8,1-'Capital'!F8,0)))*(1-'Responsibilities'!$G$8)</f>
        <v/>
      </c>
      <c r="BW88">
        <f>SUM(BQ88:BV88)</f>
        <v/>
      </c>
      <c r="BX88">
        <f>N88+BW88</f>
        <v/>
      </c>
      <c r="BY88">
        <f>BX88-(('Production schedule'!AJ232)*'Responsibilities'!$C$6+('Production schedule'!AJ268)*'Responsibilities'!$C$7+('Production schedule'!AJ304)*'Responsibilities'!$C$8+('Production schedule'!AJ232)*(1-'Responsibilities'!$C$6)+('Production schedule'!AJ268)*(1-'Responsibilities'!$C$7)+('Production schedule'!AJ304)*(1-'Responsibilities'!$C$8)+('Production schedule'!AI232)*'Responsibilities'!$D$6+('Production schedule'!AI268)*'Responsibilities'!$D$7+('Production schedule'!AI304)*'Responsibilities'!$D$8+('Production schedule'!AI232)*(1-'Responsibilities'!$D$6)+('Production schedule'!AI268)*(1-'Responsibilities'!$D$7)+('Production schedule'!AI304)*(1-'Responsibilities'!$D$8)+('Production schedule'!E232*(IF('Sites'!D6="Annual staff",SUM('Assumptions'!N112,'Assumptions'!N114),0)+SUM('Assumptions'!N113,'Assumptions'!N115:N116)))*'Responsibilities'!$E$6+('Production schedule'!E268*(IF('Sites'!D7="Annual staff",SUM('Assumptions'!N117,'Assumptions'!N119),0)+SUM('Assumptions'!N118,'Assumptions'!N120:N121)))*'Responsibilities'!$E$7+('Production schedule'!E304*(IF('Sites'!D8="Annual staff",SUM('Assumptions'!N122,'Assumptions'!N124),0)+SUM('Assumptions'!N123,'Assumptions'!N125:N126)))*'Responsibilities'!$E$8+('Production schedule'!E232*(IF('Sites'!D6="Annual staff",SUM('Assumptions'!N112,'Assumptions'!N114),0)+SUM('Assumptions'!N113,'Assumptions'!N115:N116)))*(1-'Responsibilities'!$E$6)+('Production schedule'!E268*(IF('Sites'!D7="Annual staff",SUM('Assumptions'!N117,'Assumptions'!N119),0)+SUM('Assumptions'!N118,'Assumptions'!N120:N121)))*(1-'Responsibilities'!$E$7)+('Production schedule'!E304*(IF('Sites'!D8="Annual staff",SUM('Assumptions'!N122,'Assumptions'!N124),0)+SUM('Assumptions'!N123,'Assumptions'!N125:N126)))*(1-'Responsibilities'!$E$8)+(IF(AND('Production schedule'!E232=1,11=MAX(('Sites'!F6),1),ISNUMBER('Sites'!O6)),'Sites'!O6*'Assumptions'!$B$44,0))*'Responsibilities'!$F$6+(IF(AND('Production schedule'!E268=1,11=MAX(('Sites'!F7+'Cases'!G8),1),ISNUMBER('Sites'!O7)),'Sites'!O7*'Assumptions'!$B$44,0))*'Responsibilities'!$F$7+(IF(AND('Production schedule'!E304=1,11=MAX(('Sites'!F8+'Cases'!G8),1),ISNUMBER('Sites'!O8)),'Sites'!O8*'Assumptions'!$B$44,0))*'Responsibilities'!$F$8+(IF(AND('Production schedule'!E232=1,11=MAX(('Sites'!F6),1),ISNUMBER('Sites'!O6)),'Sites'!O6*'Assumptions'!$B$44,0))*(1-'Responsibilities'!$F$6)+(IF(AND('Production schedule'!E268=1,11=MAX(('Sites'!F7+'Cases'!G8),1),ISNUMBER('Sites'!O7)),'Sites'!O7*'Assumptions'!$B$44,0))*(1-'Responsibilities'!$F$7)+(IF(AND('Production schedule'!E304=1,11=MAX(('Sites'!F8+'Cases'!G8),1),ISNUMBER('Sites'!O8)),'Sites'!O8*'Assumptions'!$B$44,0))*(1-'Responsibilities'!$F$8)+('Sites'!E6*'Capital'!E6*(IF(11='Capital'!G6,'Capital'!F6,0)+IF(11='Capital'!H6,1-'Capital'!F6,0)))*'Responsibilities'!$G$6+('Sites'!E7*'Capital'!E7*(IF(11='Capital'!G7+'Cases'!G8,'Capital'!F7,0)+IF(11='Capital'!H7+'Cases'!G8,1-'Capital'!F7,0)))*'Responsibilities'!$G$7+('Sites'!E8*'Cases'!F8*'Capital'!E8*(IF(11='Capital'!G8+'Cases'!G8,'Capital'!F8,0)+IF(11='Capital'!H8+'Cases'!G8,1-'Capital'!F8,0)))*'Responsibilities'!$G$8+('Sites'!E6*'Capital'!E6*(IF(11='Capital'!G6,'Capital'!F6,0)+IF(11='Capital'!H6,1-'Capital'!F6,0)))*(1-'Responsibilities'!$G$6)+('Sites'!E7*'Capital'!E7*(IF(11='Capital'!G7+'Cases'!G8,'Capital'!F7,0)+IF(11='Capital'!H7+'Cases'!G8,1-'Capital'!F7,0)))*(1-'Responsibilities'!$G$7)+('Sites'!E8*'Cases'!F8*'Capital'!E8*(IF(11='Capital'!G8+'Cases'!G8,'Capital'!F8,0)+IF(11='Capital'!H8+'Cases'!G8,1-'Capital'!F8,0)))*(1-'Responsibilities'!$G$8)+I88+SUMPRODUCT('Costs'!$E$36:$E$40,'Costs'!$F$36:$F$40)/12+BZ88)</f>
        <v/>
      </c>
      <c r="BZ88">
        <f>SUMIFS('Responsibilities'!$B$31:$B$35,'Responsibilities'!$C$31:$C$35,11,'Responsibilities'!$D$31:$D$35,"Yes")</f>
        <v/>
      </c>
    </row>
    <row r="89" ht="28" customHeight="1">
      <c r="A89" s="4" t="inlineStr">
        <is>
          <t>No QBE</t>
        </is>
      </c>
      <c r="B89" s="4" t="n">
        <v>12</v>
      </c>
      <c r="C89" s="4">
        <f>ROUNDUP(B89/12,0)</f>
        <v/>
      </c>
      <c r="D89" s="137">
        <f>SUMIFS('Production schedule'!$N$222:$N$329,'Production schedule'!$C$222:$C$329,12)</f>
        <v/>
      </c>
      <c r="E89" s="137">
        <f>SUMIFS('Production schedule'!$Y$222:$Y$329,'Production schedule'!$C$222:$C$329,12)</f>
        <v/>
      </c>
      <c r="F89" s="137">
        <f>SUMIFS('Production schedule'!$Z$222:$Z$329,'Production schedule'!$C$222:$C$329,12)</f>
        <v/>
      </c>
      <c r="G89" s="137">
        <f>('Production schedule'!AJ233)*'Responsibilities'!$C$6+('Production schedule'!AJ269)*'Responsibilities'!$C$7+('Production schedule'!AJ305)*'Responsibilities'!$C$8</f>
        <v/>
      </c>
      <c r="H89" s="137">
        <f>('Production schedule'!AI233)*'Responsibilities'!$D$6+('Production schedule'!AI269)*'Responsibilities'!$D$7+('Production schedule'!AI305)*'Responsibilities'!$D$8</f>
        <v/>
      </c>
      <c r="I89" s="137">
        <f>SUM('Assumptions'!O58:O65)</f>
        <v/>
      </c>
      <c r="J89" s="137">
        <f>('Production schedule'!E233*(IF('Sites'!D6="Annual staff",SUM('Assumptions'!O112,'Assumptions'!O114),0)+SUM('Assumptions'!O113,'Assumptions'!O115:O116)))*'Responsibilities'!$E$6+('Production schedule'!E269*(IF('Sites'!D7="Annual staff",SUM('Assumptions'!O117,'Assumptions'!O119),0)+SUM('Assumptions'!O118,'Assumptions'!O120:O121)))*'Responsibilities'!$E$7+('Production schedule'!E305*(IF('Sites'!D8="Annual staff",SUM('Assumptions'!O122,'Assumptions'!O124),0)+SUM('Assumptions'!O123,'Assumptions'!O125:O126)))*'Responsibilities'!$E$8</f>
        <v/>
      </c>
      <c r="K89" s="137">
        <f>(IF(AND('Production schedule'!E233=1,12=MAX(('Sites'!F6),1),ISNUMBER('Sites'!O6)),'Sites'!O6*'Assumptions'!$B$44,0))*'Responsibilities'!$F$6+(IF(AND('Production schedule'!E269=1,12=MAX(('Sites'!F7+'Cases'!G8),1),ISNUMBER('Sites'!O7)),'Sites'!O7*'Assumptions'!$B$44,0))*'Responsibilities'!$F$7+(IF(AND('Production schedule'!E305=1,12=MAX(('Sites'!F8+'Cases'!G8),1),ISNUMBER('Sites'!O8)),'Sites'!O8*'Assumptions'!$B$44,0))*'Responsibilities'!$F$8</f>
        <v/>
      </c>
      <c r="L89" s="137">
        <f>SUM('Costs'!E36)*'Costs'!F36/12*'Responsibilities'!$C$12+SUM('Costs'!E37)*'Costs'!F37/12*'Responsibilities'!$C$13+SUM('Costs'!E38)*'Costs'!F38/12*'Responsibilities'!$C$14+SUM('Costs'!E39)*'Costs'!F39/12*'Responsibilities'!$C$15+SUM('Costs'!E40)*'Costs'!F40/12*'Responsibilities'!$C$16+BZ89</f>
        <v/>
      </c>
      <c r="M89" s="137">
        <f>('Sites'!E6*'Capital'!E6*(IF(12='Capital'!G6,'Capital'!F6,0)+IF(12='Capital'!H6,1-'Capital'!F6,0)))*'Responsibilities'!$G$6+('Sites'!E7*'Capital'!E7*(IF(12='Capital'!G7+'Cases'!G8,'Capital'!F7,0)+IF(12='Capital'!H7+'Cases'!G8,1-'Capital'!F7,0)))*'Responsibilities'!$G$7+('Sites'!E8*'Cases'!F8*'Capital'!E8*(IF(12='Capital'!G8+'Cases'!G8,'Capital'!F8,0)+IF(12='Capital'!H8+'Cases'!G8,1-'Capital'!F8,0)))*'Responsibilities'!$G$8</f>
        <v/>
      </c>
      <c r="N89" s="137">
        <f>SUM(G89:M89)</f>
        <v/>
      </c>
      <c r="O89" s="137">
        <f>SUMIFS(FundingTranches[Secured amount],FundingTranches[Instrument],"Grant",FundingTranches[Secured month],12)</f>
        <v/>
      </c>
      <c r="P89" s="137">
        <f>SUMIFS(FundingTranches[No QBE possible],FundingTranches[Instrument],"Grant",FundingTranches[Scenario month],12-'Cases'!$D$8)</f>
        <v/>
      </c>
      <c r="Q89" s="137">
        <f>SUMIFS(FundingTranches[Secured amount],FundingTranches[Instrument],"Loan",FundingTranches[Secured month],12)</f>
        <v/>
      </c>
      <c r="R89" s="137">
        <f>SUMIFS(FundingTranches[No QBE possible],FundingTranches[Instrument],"Loan",FundingTranches[Scenario month],12-'Cases'!$D$8)</f>
        <v/>
      </c>
      <c r="S89" s="137">
        <f>IF(12&lt;='Assumptions'!$B$34,0,SUMIFS('Production schedule'!$AL$222:$AL$329,'Production schedule'!$C$222:$C$329,12-'Assumptions'!$B$34))</f>
        <v/>
      </c>
      <c r="T89" s="137">
        <f>'Assumptions'!O70</f>
        <v/>
      </c>
      <c r="U89" s="137">
        <f>'Assumptions'!O78</f>
        <v/>
      </c>
      <c r="V89" s="137">
        <f>SUM(O89:U89)</f>
        <v/>
      </c>
      <c r="W89" s="137">
        <f>AA88</f>
        <v/>
      </c>
      <c r="X89" s="137">
        <f>SUM(Q89:R89)</f>
        <v/>
      </c>
      <c r="Y89" s="137">
        <f>SUM(W89,X89)*'Assumptions'!$B$39/12</f>
        <v/>
      </c>
      <c r="Z89" s="137">
        <f>IF(SUM(W89,X89)&gt;0,MIN(SUM(W89,X89),MAX(0,BP89-Y89)),0)</f>
        <v/>
      </c>
      <c r="AA89" s="137">
        <f>SUM(W89,X89)-Z89</f>
        <v/>
      </c>
      <c r="AB89" s="137">
        <f>SUM(Y89:Z89)</f>
        <v/>
      </c>
      <c r="AC89" s="137">
        <f>'Assumptions'!O72</f>
        <v/>
      </c>
      <c r="AD89" s="137">
        <f>'Assumptions'!O73</f>
        <v/>
      </c>
      <c r="AE89" s="137">
        <f>IF(X89&gt;0,SUM('Assumptions'!$B$42),0)</f>
        <v/>
      </c>
      <c r="AF89" s="137">
        <f>'Assumptions'!O71</f>
        <v/>
      </c>
      <c r="AG89" s="137">
        <f>'Assumptions'!O74</f>
        <v/>
      </c>
      <c r="AH89" s="137">
        <f>'Assumptions'!O75</f>
        <v/>
      </c>
      <c r="AI89" s="137">
        <f>'Assumptions'!O77</f>
        <v/>
      </c>
      <c r="AJ89" s="137">
        <f>V89-N89-SUM(AB89:AI89)</f>
        <v/>
      </c>
      <c r="AK89" s="137">
        <f>SUM(AJ78:AJ89)</f>
        <v/>
      </c>
      <c r="AL89" s="137">
        <f>IF(ISNUMBER('Assumptions'!$B$10),'Assumptions'!$B$10+AK89,"")</f>
        <v/>
      </c>
      <c r="AM89" s="137">
        <f>SUM(O89,Q89,T89)-N89-SUM(AC89:AI89)+IF('Funding'!$N$11=0,AE89,0)-IF('Funding'!$N$11&gt;0,AB89,0)</f>
        <v/>
      </c>
      <c r="AN89" s="137">
        <f>SUM(AM78:AM89)</f>
        <v/>
      </c>
      <c r="AO89" s="137">
        <f>IF(ISNUMBER('Assumptions'!$B$10),'Assumptions'!$B$10+AN89,"")</f>
        <v/>
      </c>
      <c r="AP89" s="137">
        <f>('Production schedule'!AK233)*'Responsibilities'!$C$6+('Production schedule'!AK269)*'Responsibilities'!$C$7+('Production schedule'!AK305)*'Responsibilities'!$C$8</f>
        <v/>
      </c>
      <c r="AQ89" s="137">
        <f>SUMIFS('Production schedule'!$AL$222:$AL$329,'Production schedule'!$C$222:$C$329,12)</f>
        <v/>
      </c>
      <c r="AR89" s="137">
        <f>IF(ISNUMBER('Assumptions'!O76),'Assumptions'!O76,SUM(O89:P89))</f>
        <v/>
      </c>
      <c r="AS89" s="137">
        <f>IF(ISNUMBER('Assumptions'!$B$13),MIN('Assumptions'!$B$13/'Assumptions'!$B$18/12,MAX(0,'Assumptions'!$B$13-(12-1)*'Assumptions'!$B$13/'Assumptions'!$B$18/12)),0)+IF(AND('Sites'!E6=1,12&gt;=('Sites'!F6),12&lt;('Sites'!F6)+'Assumptions'!$B$18*12),'Capital'!E6/'Assumptions'!$B$18/12,0)+IF(AND('Sites'!E7=1,12&gt;=('Sites'!F7+'Cases'!G8),12&lt;('Sites'!F7+'Cases'!G8)+'Assumptions'!$B$18*12),'Capital'!E7/'Assumptions'!$B$18/12,0)+IF(AND('Sites'!E8*'Cases'!F8=1,12&gt;=('Sites'!F8+'Cases'!G8),12&lt;('Sites'!F8+'Cases'!G8)+'Assumptions'!$B$18*12),'Capital'!E8/'Assumptions'!$B$18/12,0)</f>
        <v/>
      </c>
      <c r="AT89" s="137">
        <f>SUM(AQ89,AR89,U89)-AP89-SUM(H89:L89)-AS89-SUM(Y89,AD89,AE89,AH89)</f>
        <v/>
      </c>
      <c r="AU89" s="137">
        <f>IF(ISNUMBER('Assumptions'!$B$19),MAX(0,SUM(AT78:AT89))*'Assumptions'!$B$19-SUM(AU78:AU88),"")</f>
        <v/>
      </c>
      <c r="AV89" s="137">
        <f>IF(ISNUMBER(AU89),AT89-AU89,"")</f>
        <v/>
      </c>
      <c r="AW89" s="137">
        <f>IF(ISNUMBER('Assumptions'!$B$11),'Assumptions'!$B$11+SUM(AQ78:AQ89)-SUM(S78:S89)-SUM(T78:T89),"")</f>
        <v/>
      </c>
      <c r="AX89" s="137">
        <f>IF(ISNUMBER('Assumptions'!$B$12),'Assumptions'!$B$12+SUM(G78:G89)-SUM(AP78:AP89),"")</f>
        <v/>
      </c>
      <c r="AY89" s="137">
        <f>IF(ISNUMBER('Assumptions'!$B$13),'Assumptions'!$B$13+SUM(M78:M89)-SUM(AS78:AS89),"")</f>
        <v/>
      </c>
      <c r="AZ89" s="137">
        <f>IF(ISNUMBER('Assumptions'!$B$14),'Assumptions'!$B$14+-SUM(AF78:AF89),"")</f>
        <v/>
      </c>
      <c r="BA89" s="137">
        <f>IF(ISNUMBER('Assumptions'!$B$15),'Assumptions'!$B$15+SUM(O78:O89)+SUM(P78:P89)-SUM(AR78:AR89),"")</f>
        <v/>
      </c>
      <c r="BB89" s="137">
        <f>IF(ISNUMBER('Assumptions'!$B$16),'Assumptions'!$B$16+-SUM(AC78:AC89),"")</f>
        <v/>
      </c>
      <c r="BC89" s="137">
        <f>IF(AND(ISNUMBER('Assumptions'!$B$21),ISNUMBER('Assumptions'!$B$19)),'Assumptions'!$B$21+SUM(AU78:AU89)-SUM(AG78:AG89),"")</f>
        <v/>
      </c>
      <c r="BD89" s="137">
        <f>IF(ISNUMBER('Assumptions'!$B$20),'Assumptions'!$B$20+-SUM(AI78:AI89),"")</f>
        <v/>
      </c>
      <c r="BE89" s="137">
        <f>IF(AND(ISNUMBER('Assumptions'!$B$17),COUNT(AV78:AV89)=12),'Assumptions'!$B$17+SUM(AV78:AV89),"")</f>
        <v/>
      </c>
      <c r="BF89" s="137">
        <f>IF(COUNT(AL89,AW89:AY89)=4,SUM(AL89,AW89:AY89),"")</f>
        <v/>
      </c>
      <c r="BG89" s="137">
        <f>IF(COUNT(AZ89:BD89)=5,SUM(AZ89:BD89,AA89),"")</f>
        <v/>
      </c>
      <c r="BH89" s="137">
        <f>IF(COUNT(BF89,BG89,BE89)=3,BF89-BG89-BE89,"")</f>
        <v/>
      </c>
      <c r="BI89" s="137">
        <f>SUM(W89,X89)-Z89-AA89</f>
        <v/>
      </c>
      <c r="BJ89" s="137">
        <f>8-COUNT('Assumptions'!O58:O65)+COUNTBLANK('NM Play'!B33:B34)+'Costs'!E44+IF(AND('Sites'!E6=1,('Sites'!F6)&lt;=12,'Sites'!G6&gt;=1),IF(ISNUMBER('Sites'!O6),0,1)+'Capital'!I6+COUNTBLANK('Sites'!R6)+IF('Sites'!D6="NM crew",COUNTBLANK('NM Play'!B25)+1,5-COUNT('Assumptions'!O112:O116)),0)+IF(AND('Sites'!E7=1,('Sites'!F7+'Cases'!G8)&lt;=12,'Sites'!G7&gt;=1),IF(ISNUMBER('Sites'!O7),0,1)+'Capital'!I7+COUNTBLANK('Sites'!R7)+IF('Sites'!D7="NM crew",COUNTBLANK('NM Play'!B25)+1,5-COUNT('Assumptions'!O117:O121)),0)+IF(AND('Sites'!E8*'Cases'!F8=1,('Sites'!F8+'Cases'!G8)&lt;=12,'Sites'!G8&gt;=1),IF(ISNUMBER('Sites'!O8),0,1)+'Capital'!I8+COUNTBLANK('Sites'!R8)+IF('Sites'!D8="NM crew",COUNTBLANK('NM Play'!B25)+1,5-COUNT('Assumptions'!O122:O126)),0)+IF(AND('Cases'!C8&gt;0,NOT(ISNUMBER('Assumptions'!B42))),1,0)+'Responsibilities'!$B$39</f>
        <v/>
      </c>
      <c r="BK89" s="137">
        <f>'Assumptions'!$B$50+'NM Play'!$B$83+'Funding'!$F$20+SUMIFS('Production schedule'!$AN$222:$AN$329,'Production schedule'!$C$222:$C$329,12)+IF(OR('Cases'!E8&lt;0,'Cases'!E8&gt;1,'Cases'!C8&lt;0,'Cases'!D8&lt;0,ABS(SUM('Sites'!S6:S8)-1)&gt;0.0001,MIN('Capital'!F6:F8)&lt;0,MAX('Capital'!F6:F8)&gt;1,MIN(AX89,AZ89,BB89,BA89)&lt;-0.01),1,0)+'Responsibilities'!$B$40</f>
        <v/>
      </c>
      <c r="BL89" s="137">
        <f>SUMIFS('Production schedule'!$T$222:$T$329,'Production schedule'!$C$222:$C$329,12)</f>
        <v/>
      </c>
      <c r="BM89" s="137">
        <f>D89*'NM Play'!$B$38</f>
        <v/>
      </c>
      <c r="BN89" s="137">
        <f>SUMIFS('Production schedule'!$AM$222:$AM$329,'Production schedule'!$C$222:$C$329,12)</f>
        <v/>
      </c>
      <c r="BO89" s="137">
        <f>AK89-AK88-AJ89</f>
        <v/>
      </c>
      <c r="BP89" s="137">
        <f>IF(AND('Assumptions'!$B$39&gt;=0,'Assumptions'!$B$40&gt;0),-PMT('Assumptions'!$B$39/12,'Assumptions'!$B$40*12,IF('Funding'!$N$11&gt;0,'Funding'!$N$11,'Funding'!$T$11)),"")</f>
        <v/>
      </c>
      <c r="BQ89">
        <f>('Production schedule'!AJ233)*(1-'Responsibilities'!$C$6)+('Production schedule'!AJ269)*(1-'Responsibilities'!$C$7)+('Production schedule'!AJ305)*(1-'Responsibilities'!$C$8)</f>
        <v/>
      </c>
      <c r="BR89">
        <f>('Production schedule'!AI233)*(1-'Responsibilities'!$D$6)+('Production schedule'!AI269)*(1-'Responsibilities'!$D$7)+('Production schedule'!AI305)*(1-'Responsibilities'!$D$8)</f>
        <v/>
      </c>
      <c r="BS89">
        <f>('Production schedule'!E233*(IF('Sites'!D6="Annual staff",SUM('Assumptions'!O112,'Assumptions'!O114),0)+SUM('Assumptions'!O113,'Assumptions'!O115:O116)))*(1-'Responsibilities'!$E$6)+('Production schedule'!E269*(IF('Sites'!D7="Annual staff",SUM('Assumptions'!O117,'Assumptions'!O119),0)+SUM('Assumptions'!O118,'Assumptions'!O120:O121)))*(1-'Responsibilities'!$E$7)+('Production schedule'!E305*(IF('Sites'!D8="Annual staff",SUM('Assumptions'!O122,'Assumptions'!O124),0)+SUM('Assumptions'!O123,'Assumptions'!O125:O126)))*(1-'Responsibilities'!$E$8)</f>
        <v/>
      </c>
      <c r="BT89">
        <f>(IF(AND('Production schedule'!E233=1,12=MAX(('Sites'!F6),1),ISNUMBER('Sites'!O6)),'Sites'!O6*'Assumptions'!$B$44,0))*(1-'Responsibilities'!$F$6)+(IF(AND('Production schedule'!E269=1,12=MAX(('Sites'!F7+'Cases'!G8),1),ISNUMBER('Sites'!O7)),'Sites'!O7*'Assumptions'!$B$44,0))*(1-'Responsibilities'!$F$7)+(IF(AND('Production schedule'!E305=1,12=MAX(('Sites'!F8+'Cases'!G8),1),ISNUMBER('Sites'!O8)),'Sites'!O8*'Assumptions'!$B$44,0))*(1-'Responsibilities'!$F$8)</f>
        <v/>
      </c>
      <c r="BU89">
        <f>SUM('Costs'!E36)*'Costs'!F36/12*(1-'Responsibilities'!$C$12)+SUM('Costs'!E37)*'Costs'!F37/12*(1-'Responsibilities'!$C$13)+SUM('Costs'!E38)*'Costs'!F38/12*(1-'Responsibilities'!$C$14)+SUM('Costs'!E39)*'Costs'!F39/12*(1-'Responsibilities'!$C$15)+SUM('Costs'!E40)*'Costs'!F40/12*(1-'Responsibilities'!$C$16)</f>
        <v/>
      </c>
      <c r="BV89">
        <f>('Sites'!E6*'Capital'!E6*(IF(12='Capital'!G6,'Capital'!F6,0)+IF(12='Capital'!H6,1-'Capital'!F6,0)))*(1-'Responsibilities'!$G$6)+('Sites'!E7*'Capital'!E7*(IF(12='Capital'!G7+'Cases'!G8,'Capital'!F7,0)+IF(12='Capital'!H7+'Cases'!G8,1-'Capital'!F7,0)))*(1-'Responsibilities'!$G$7)+('Sites'!E8*'Cases'!F8*'Capital'!E8*(IF(12='Capital'!G8+'Cases'!G8,'Capital'!F8,0)+IF(12='Capital'!H8+'Cases'!G8,1-'Capital'!F8,0)))*(1-'Responsibilities'!$G$8)</f>
        <v/>
      </c>
      <c r="BW89">
        <f>SUM(BQ89:BV89)</f>
        <v/>
      </c>
      <c r="BX89">
        <f>N89+BW89</f>
        <v/>
      </c>
      <c r="BY89">
        <f>BX89-(('Production schedule'!AJ233)*'Responsibilities'!$C$6+('Production schedule'!AJ269)*'Responsibilities'!$C$7+('Production schedule'!AJ305)*'Responsibilities'!$C$8+('Production schedule'!AJ233)*(1-'Responsibilities'!$C$6)+('Production schedule'!AJ269)*(1-'Responsibilities'!$C$7)+('Production schedule'!AJ305)*(1-'Responsibilities'!$C$8)+('Production schedule'!AI233)*'Responsibilities'!$D$6+('Production schedule'!AI269)*'Responsibilities'!$D$7+('Production schedule'!AI305)*'Responsibilities'!$D$8+('Production schedule'!AI233)*(1-'Responsibilities'!$D$6)+('Production schedule'!AI269)*(1-'Responsibilities'!$D$7)+('Production schedule'!AI305)*(1-'Responsibilities'!$D$8)+('Production schedule'!E233*(IF('Sites'!D6="Annual staff",SUM('Assumptions'!O112,'Assumptions'!O114),0)+SUM('Assumptions'!O113,'Assumptions'!O115:O116)))*'Responsibilities'!$E$6+('Production schedule'!E269*(IF('Sites'!D7="Annual staff",SUM('Assumptions'!O117,'Assumptions'!O119),0)+SUM('Assumptions'!O118,'Assumptions'!O120:O121)))*'Responsibilities'!$E$7+('Production schedule'!E305*(IF('Sites'!D8="Annual staff",SUM('Assumptions'!O122,'Assumptions'!O124),0)+SUM('Assumptions'!O123,'Assumptions'!O125:O126)))*'Responsibilities'!$E$8+('Production schedule'!E233*(IF('Sites'!D6="Annual staff",SUM('Assumptions'!O112,'Assumptions'!O114),0)+SUM('Assumptions'!O113,'Assumptions'!O115:O116)))*(1-'Responsibilities'!$E$6)+('Production schedule'!E269*(IF('Sites'!D7="Annual staff",SUM('Assumptions'!O117,'Assumptions'!O119),0)+SUM('Assumptions'!O118,'Assumptions'!O120:O121)))*(1-'Responsibilities'!$E$7)+('Production schedule'!E305*(IF('Sites'!D8="Annual staff",SUM('Assumptions'!O122,'Assumptions'!O124),0)+SUM('Assumptions'!O123,'Assumptions'!O125:O126)))*(1-'Responsibilities'!$E$8)+(IF(AND('Production schedule'!E233=1,12=MAX(('Sites'!F6),1),ISNUMBER('Sites'!O6)),'Sites'!O6*'Assumptions'!$B$44,0))*'Responsibilities'!$F$6+(IF(AND('Production schedule'!E269=1,12=MAX(('Sites'!F7+'Cases'!G8),1),ISNUMBER('Sites'!O7)),'Sites'!O7*'Assumptions'!$B$44,0))*'Responsibilities'!$F$7+(IF(AND('Production schedule'!E305=1,12=MAX(('Sites'!F8+'Cases'!G8),1),ISNUMBER('Sites'!O8)),'Sites'!O8*'Assumptions'!$B$44,0))*'Responsibilities'!$F$8+(IF(AND('Production schedule'!E233=1,12=MAX(('Sites'!F6),1),ISNUMBER('Sites'!O6)),'Sites'!O6*'Assumptions'!$B$44,0))*(1-'Responsibilities'!$F$6)+(IF(AND('Production schedule'!E269=1,12=MAX(('Sites'!F7+'Cases'!G8),1),ISNUMBER('Sites'!O7)),'Sites'!O7*'Assumptions'!$B$44,0))*(1-'Responsibilities'!$F$7)+(IF(AND('Production schedule'!E305=1,12=MAX(('Sites'!F8+'Cases'!G8),1),ISNUMBER('Sites'!O8)),'Sites'!O8*'Assumptions'!$B$44,0))*(1-'Responsibilities'!$F$8)+('Sites'!E6*'Capital'!E6*(IF(12='Capital'!G6,'Capital'!F6,0)+IF(12='Capital'!H6,1-'Capital'!F6,0)))*'Responsibilities'!$G$6+('Sites'!E7*'Capital'!E7*(IF(12='Capital'!G7+'Cases'!G8,'Capital'!F7,0)+IF(12='Capital'!H7+'Cases'!G8,1-'Capital'!F7,0)))*'Responsibilities'!$G$7+('Sites'!E8*'Cases'!F8*'Capital'!E8*(IF(12='Capital'!G8+'Cases'!G8,'Capital'!F8,0)+IF(12='Capital'!H8+'Cases'!G8,1-'Capital'!F8,0)))*'Responsibilities'!$G$8+('Sites'!E6*'Capital'!E6*(IF(12='Capital'!G6,'Capital'!F6,0)+IF(12='Capital'!H6,1-'Capital'!F6,0)))*(1-'Responsibilities'!$G$6)+('Sites'!E7*'Capital'!E7*(IF(12='Capital'!G7+'Cases'!G8,'Capital'!F7,0)+IF(12='Capital'!H7+'Cases'!G8,1-'Capital'!F7,0)))*(1-'Responsibilities'!$G$7)+('Sites'!E8*'Cases'!F8*'Capital'!E8*(IF(12='Capital'!G8+'Cases'!G8,'Capital'!F8,0)+IF(12='Capital'!H8+'Cases'!G8,1-'Capital'!F8,0)))*(1-'Responsibilities'!$G$8)+I89+SUMPRODUCT('Costs'!$E$36:$E$40,'Costs'!$F$36:$F$40)/12+BZ89)</f>
        <v/>
      </c>
      <c r="BZ89">
        <f>SUMIFS('Responsibilities'!$B$31:$B$35,'Responsibilities'!$C$31:$C$35,12,'Responsibilities'!$D$31:$D$35,"Yes")</f>
        <v/>
      </c>
    </row>
    <row r="90" ht="28" customHeight="1">
      <c r="A90" s="4" t="inlineStr">
        <is>
          <t>No QBE</t>
        </is>
      </c>
      <c r="B90" s="4" t="n">
        <v>13</v>
      </c>
      <c r="C90" s="4">
        <f>ROUNDUP(B90/12,0)</f>
        <v/>
      </c>
      <c r="D90" s="137">
        <f>SUMIFS('Production schedule'!$N$222:$N$329,'Production schedule'!$C$222:$C$329,13)</f>
        <v/>
      </c>
      <c r="E90" s="137">
        <f>SUMIFS('Production schedule'!$Y$222:$Y$329,'Production schedule'!$C$222:$C$329,13)</f>
        <v/>
      </c>
      <c r="F90" s="137">
        <f>SUMIFS('Production schedule'!$Z$222:$Z$329,'Production schedule'!$C$222:$C$329,13)</f>
        <v/>
      </c>
      <c r="G90" s="137">
        <f>('Production schedule'!AJ234)*'Responsibilities'!$C$6+('Production schedule'!AJ270)*'Responsibilities'!$C$7+('Production schedule'!AJ306)*'Responsibilities'!$C$8</f>
        <v/>
      </c>
      <c r="H90" s="137">
        <f>('Production schedule'!AI234)*'Responsibilities'!$D$6+('Production schedule'!AI270)*'Responsibilities'!$D$7+('Production schedule'!AI306)*'Responsibilities'!$D$8</f>
        <v/>
      </c>
      <c r="I90" s="137">
        <f>SUM('Assumptions'!P58:P65)</f>
        <v/>
      </c>
      <c r="J90" s="137">
        <f>('Production schedule'!E234*(IF('Sites'!D6="Annual staff",SUM('Assumptions'!P112,'Assumptions'!P114),0)+SUM('Assumptions'!P113,'Assumptions'!P115:P116)))*'Responsibilities'!$E$6+('Production schedule'!E270*(IF('Sites'!D7="Annual staff",SUM('Assumptions'!P117,'Assumptions'!P119),0)+SUM('Assumptions'!P118,'Assumptions'!P120:P121)))*'Responsibilities'!$E$7+('Production schedule'!E306*(IF('Sites'!D8="Annual staff",SUM('Assumptions'!P122,'Assumptions'!P124),0)+SUM('Assumptions'!P123,'Assumptions'!P125:P126)))*'Responsibilities'!$E$8</f>
        <v/>
      </c>
      <c r="K90" s="137">
        <f>(IF(AND('Production schedule'!E234=1,13=MAX(('Sites'!F6),13),ISNUMBER('Sites'!P6)),'Sites'!P6*'Assumptions'!$B$44,0))*'Responsibilities'!$F$6+(IF(AND('Production schedule'!E270=1,13=MAX(('Sites'!F7+'Cases'!G8),13),ISNUMBER('Sites'!P7)),'Sites'!P7*'Assumptions'!$B$44,0))*'Responsibilities'!$F$7+(IF(AND('Production schedule'!E306=1,13=MAX(('Sites'!F8+'Cases'!G8),13),ISNUMBER('Sites'!P8)),'Sites'!P8*'Assumptions'!$B$44,0))*'Responsibilities'!$F$8</f>
        <v/>
      </c>
      <c r="L90" s="137">
        <f>SUM('Costs'!E36)*'Costs'!F36/12*'Responsibilities'!$C$12+SUM('Costs'!E37)*'Costs'!F37/12*'Responsibilities'!$C$13+SUM('Costs'!E38)*'Costs'!F38/12*'Responsibilities'!$C$14+SUM('Costs'!E39)*'Costs'!F39/12*'Responsibilities'!$C$15+SUM('Costs'!E40)*'Costs'!F40/12*'Responsibilities'!$C$16+BZ90</f>
        <v/>
      </c>
      <c r="M90" s="137">
        <f>('Sites'!E6*'Capital'!E6*(IF(13='Capital'!G6,'Capital'!F6,0)+IF(13='Capital'!H6,1-'Capital'!F6,0)))*'Responsibilities'!$G$6+('Sites'!E7*'Capital'!E7*(IF(13='Capital'!G7+'Cases'!G8,'Capital'!F7,0)+IF(13='Capital'!H7+'Cases'!G8,1-'Capital'!F7,0)))*'Responsibilities'!$G$7+('Sites'!E8*'Cases'!F8*'Capital'!E8*(IF(13='Capital'!G8+'Cases'!G8,'Capital'!F8,0)+IF(13='Capital'!H8+'Cases'!G8,1-'Capital'!F8,0)))*'Responsibilities'!$G$8</f>
        <v/>
      </c>
      <c r="N90" s="137">
        <f>SUM(G90:M90)</f>
        <v/>
      </c>
      <c r="O90" s="137">
        <f>SUMIFS(FundingTranches[Secured amount],FundingTranches[Instrument],"Grant",FundingTranches[Secured month],13)</f>
        <v/>
      </c>
      <c r="P90" s="137">
        <f>SUMIFS(FundingTranches[No QBE possible],FundingTranches[Instrument],"Grant",FundingTranches[Scenario month],13-'Cases'!$D$8)</f>
        <v/>
      </c>
      <c r="Q90" s="137">
        <f>SUMIFS(FundingTranches[Secured amount],FundingTranches[Instrument],"Loan",FundingTranches[Secured month],13)</f>
        <v/>
      </c>
      <c r="R90" s="137">
        <f>SUMIFS(FundingTranches[No QBE possible],FundingTranches[Instrument],"Loan",FundingTranches[Scenario month],13-'Cases'!$D$8)</f>
        <v/>
      </c>
      <c r="S90" s="137">
        <f>IF(13&lt;='Assumptions'!$B$34,0,SUMIFS('Production schedule'!$AL$222:$AL$329,'Production schedule'!$C$222:$C$329,13-'Assumptions'!$B$34))</f>
        <v/>
      </c>
      <c r="T90" s="137">
        <f>'Assumptions'!P70</f>
        <v/>
      </c>
      <c r="U90" s="137">
        <f>'Assumptions'!P78</f>
        <v/>
      </c>
      <c r="V90" s="137">
        <f>SUM(O90:U90)</f>
        <v/>
      </c>
      <c r="W90" s="137">
        <f>AA89</f>
        <v/>
      </c>
      <c r="X90" s="137">
        <f>SUM(Q90:R90)</f>
        <v/>
      </c>
      <c r="Y90" s="137">
        <f>SUM(W90,X90)*'Assumptions'!$B$39/12</f>
        <v/>
      </c>
      <c r="Z90" s="137">
        <f>IF(SUM(W90,X90)&gt;0,MIN(SUM(W90,X90),MAX(0,BP90-Y90)),0)</f>
        <v/>
      </c>
      <c r="AA90" s="137">
        <f>SUM(W90,X90)-Z90</f>
        <v/>
      </c>
      <c r="AB90" s="137">
        <f>SUM(Y90:Z90)</f>
        <v/>
      </c>
      <c r="AC90" s="137">
        <f>'Assumptions'!P72</f>
        <v/>
      </c>
      <c r="AD90" s="137">
        <f>'Assumptions'!P73</f>
        <v/>
      </c>
      <c r="AE90" s="137">
        <f>IF(X90&gt;0,SUM('Assumptions'!$B$42),0)</f>
        <v/>
      </c>
      <c r="AF90" s="137">
        <f>'Assumptions'!P71</f>
        <v/>
      </c>
      <c r="AG90" s="137">
        <f>'Assumptions'!P74</f>
        <v/>
      </c>
      <c r="AH90" s="137">
        <f>'Assumptions'!P75</f>
        <v/>
      </c>
      <c r="AI90" s="137">
        <f>'Assumptions'!P77</f>
        <v/>
      </c>
      <c r="AJ90" s="137">
        <f>V90-N90-SUM(AB90:AI90)</f>
        <v/>
      </c>
      <c r="AK90" s="137">
        <f>SUM(AJ78:AJ90)</f>
        <v/>
      </c>
      <c r="AL90" s="137">
        <f>IF(ISNUMBER('Assumptions'!$B$10),'Assumptions'!$B$10+AK90,"")</f>
        <v/>
      </c>
      <c r="AM90" s="137">
        <f>SUM(O90,Q90,T90)-N90-SUM(AC90:AI90)+IF('Funding'!$N$11=0,AE90,0)-IF('Funding'!$N$11&gt;0,AB90,0)</f>
        <v/>
      </c>
      <c r="AN90" s="137">
        <f>SUM(AM78:AM90)</f>
        <v/>
      </c>
      <c r="AO90" s="137">
        <f>IF(ISNUMBER('Assumptions'!$B$10),'Assumptions'!$B$10+AN90,"")</f>
        <v/>
      </c>
      <c r="AP90" s="137">
        <f>('Production schedule'!AK234)*'Responsibilities'!$C$6+('Production schedule'!AK270)*'Responsibilities'!$C$7+('Production schedule'!AK306)*'Responsibilities'!$C$8</f>
        <v/>
      </c>
      <c r="AQ90" s="137">
        <f>SUMIFS('Production schedule'!$AL$222:$AL$329,'Production schedule'!$C$222:$C$329,13)</f>
        <v/>
      </c>
      <c r="AR90" s="137">
        <f>IF(ISNUMBER('Assumptions'!P76),'Assumptions'!P76,SUM(O90:P90))</f>
        <v/>
      </c>
      <c r="AS90" s="137">
        <f>IF(ISNUMBER('Assumptions'!$B$13),MIN('Assumptions'!$B$13/'Assumptions'!$B$18/12,MAX(0,'Assumptions'!$B$13-(13-1)*'Assumptions'!$B$13/'Assumptions'!$B$18/12)),0)+IF(AND('Sites'!E6=1,13&gt;=('Sites'!F6),13&lt;('Sites'!F6)+'Assumptions'!$B$18*12),'Capital'!E6/'Assumptions'!$B$18/12,0)+IF(AND('Sites'!E7=1,13&gt;=('Sites'!F7+'Cases'!G8),13&lt;('Sites'!F7+'Cases'!G8)+'Assumptions'!$B$18*12),'Capital'!E7/'Assumptions'!$B$18/12,0)+IF(AND('Sites'!E8*'Cases'!F8=1,13&gt;=('Sites'!F8+'Cases'!G8),13&lt;('Sites'!F8+'Cases'!G8)+'Assumptions'!$B$18*12),'Capital'!E8/'Assumptions'!$B$18/12,0)</f>
        <v/>
      </c>
      <c r="AT90" s="137">
        <f>SUM(AQ90,AR90,U90)-AP90-SUM(H90:L90)-AS90-SUM(Y90,AD90,AE90,AH90)</f>
        <v/>
      </c>
      <c r="AU90" s="137">
        <f>IF(ISNUMBER('Assumptions'!$B$19),MAX(0,SUM(AT90:AT90))*'Assumptions'!$B$19-0,"")</f>
        <v/>
      </c>
      <c r="AV90" s="137">
        <f>IF(ISNUMBER(AU90),AT90-AU90,"")</f>
        <v/>
      </c>
      <c r="AW90" s="137">
        <f>IF(ISNUMBER('Assumptions'!$B$11),'Assumptions'!$B$11+SUM(AQ78:AQ90)-SUM(S78:S90)-SUM(T78:T90),"")</f>
        <v/>
      </c>
      <c r="AX90" s="137">
        <f>IF(ISNUMBER('Assumptions'!$B$12),'Assumptions'!$B$12+SUM(G78:G90)-SUM(AP78:AP90),"")</f>
        <v/>
      </c>
      <c r="AY90" s="137">
        <f>IF(ISNUMBER('Assumptions'!$B$13),'Assumptions'!$B$13+SUM(M78:M90)-SUM(AS78:AS90),"")</f>
        <v/>
      </c>
      <c r="AZ90" s="137">
        <f>IF(ISNUMBER('Assumptions'!$B$14),'Assumptions'!$B$14+-SUM(AF78:AF90),"")</f>
        <v/>
      </c>
      <c r="BA90" s="137">
        <f>IF(ISNUMBER('Assumptions'!$B$15),'Assumptions'!$B$15+SUM(O78:O90)+SUM(P78:P90)-SUM(AR78:AR90),"")</f>
        <v/>
      </c>
      <c r="BB90" s="137">
        <f>IF(ISNUMBER('Assumptions'!$B$16),'Assumptions'!$B$16+-SUM(AC78:AC90),"")</f>
        <v/>
      </c>
      <c r="BC90" s="137">
        <f>IF(AND(ISNUMBER('Assumptions'!$B$21),ISNUMBER('Assumptions'!$B$19)),'Assumptions'!$B$21+SUM(AU78:AU90)-SUM(AG78:AG90),"")</f>
        <v/>
      </c>
      <c r="BD90" s="137">
        <f>IF(ISNUMBER('Assumptions'!$B$20),'Assumptions'!$B$20+-SUM(AI78:AI90),"")</f>
        <v/>
      </c>
      <c r="BE90" s="137">
        <f>IF(AND(ISNUMBER('Assumptions'!$B$17),COUNT(AV78:AV90)=13),'Assumptions'!$B$17+SUM(AV78:AV90),"")</f>
        <v/>
      </c>
      <c r="BF90" s="137">
        <f>IF(COUNT(AL90,AW90:AY90)=4,SUM(AL90,AW90:AY90),"")</f>
        <v/>
      </c>
      <c r="BG90" s="137">
        <f>IF(COUNT(AZ90:BD90)=5,SUM(AZ90:BD90,AA90),"")</f>
        <v/>
      </c>
      <c r="BH90" s="137">
        <f>IF(COUNT(BF90,BG90,BE90)=3,BF90-BG90-BE90,"")</f>
        <v/>
      </c>
      <c r="BI90" s="137">
        <f>SUM(W90,X90)-Z90-AA90</f>
        <v/>
      </c>
      <c r="BJ90" s="137">
        <f>8-COUNT('Assumptions'!P58:P65)+COUNTBLANK('NM Play'!B33:B34)+'Costs'!E44+IF(AND('Sites'!E6=1,('Sites'!F6)&lt;=24,'Sites'!G6&gt;=13),IF(ISNUMBER('Sites'!P6),0,1)+'Capital'!I6+COUNTBLANK('Sites'!R6)+IF('Sites'!D6="NM crew",COUNTBLANK('NM Play'!B25)+1,5-COUNT('Assumptions'!P112:P116)),0)+IF(AND('Sites'!E7=1,('Sites'!F7+'Cases'!G8)&lt;=24,'Sites'!G7&gt;=13),IF(ISNUMBER('Sites'!P7),0,1)+'Capital'!I7+COUNTBLANK('Sites'!R7)+IF('Sites'!D7="NM crew",COUNTBLANK('NM Play'!B25)+1,5-COUNT('Assumptions'!P117:P121)),0)+IF(AND('Sites'!E8*'Cases'!F8=1,('Sites'!F8+'Cases'!G8)&lt;=24,'Sites'!G8&gt;=13),IF(ISNUMBER('Sites'!P8),0,1)+'Capital'!I8+COUNTBLANK('Sites'!R8)+IF('Sites'!D8="NM crew",COUNTBLANK('NM Play'!B25)+1,5-COUNT('Assumptions'!P122:P126)),0)+IF(AND('Cases'!C8&gt;0,NOT(ISNUMBER('Assumptions'!B42))),1,0)+'Responsibilities'!$B$39</f>
        <v/>
      </c>
      <c r="BK90" s="137">
        <f>'Assumptions'!$B$50+'NM Play'!$B$83+'Funding'!$F$20+SUMIFS('Production schedule'!$AN$222:$AN$329,'Production schedule'!$C$222:$C$329,13)+IF(OR('Cases'!E8&lt;0,'Cases'!E8&gt;1,'Cases'!C8&lt;0,'Cases'!D8&lt;0,ABS(SUM('Sites'!S6:S8)-1)&gt;0.0001,MIN('Capital'!F6:F8)&lt;0,MAX('Capital'!F6:F8)&gt;1,MIN(AX90,AZ90,BB90,BA90)&lt;-0.01),1,0)+'Responsibilities'!$B$40</f>
        <v/>
      </c>
      <c r="BL90" s="137">
        <f>SUMIFS('Production schedule'!$T$222:$T$329,'Production schedule'!$C$222:$C$329,13)</f>
        <v/>
      </c>
      <c r="BM90" s="137">
        <f>D90*'NM Play'!$B$38</f>
        <v/>
      </c>
      <c r="BN90" s="137">
        <f>SUMIFS('Production schedule'!$AM$222:$AM$329,'Production schedule'!$C$222:$C$329,13)</f>
        <v/>
      </c>
      <c r="BO90" s="137">
        <f>AK90-AK89-AJ90</f>
        <v/>
      </c>
      <c r="BP90" s="137">
        <f>IF(AND('Assumptions'!$B$39&gt;=0,'Assumptions'!$B$40&gt;0),-PMT('Assumptions'!$B$39/12,'Assumptions'!$B$40*12,IF('Funding'!$N$11&gt;0,'Funding'!$N$11,'Funding'!$T$11)),"")</f>
        <v/>
      </c>
      <c r="BQ90">
        <f>('Production schedule'!AJ234)*(1-'Responsibilities'!$C$6)+('Production schedule'!AJ270)*(1-'Responsibilities'!$C$7)+('Production schedule'!AJ306)*(1-'Responsibilities'!$C$8)</f>
        <v/>
      </c>
      <c r="BR90">
        <f>('Production schedule'!AI234)*(1-'Responsibilities'!$D$6)+('Production schedule'!AI270)*(1-'Responsibilities'!$D$7)+('Production schedule'!AI306)*(1-'Responsibilities'!$D$8)</f>
        <v/>
      </c>
      <c r="BS90">
        <f>('Production schedule'!E234*(IF('Sites'!D6="Annual staff",SUM('Assumptions'!P112,'Assumptions'!P114),0)+SUM('Assumptions'!P113,'Assumptions'!P115:P116)))*(1-'Responsibilities'!$E$6)+('Production schedule'!E270*(IF('Sites'!D7="Annual staff",SUM('Assumptions'!P117,'Assumptions'!P119),0)+SUM('Assumptions'!P118,'Assumptions'!P120:P121)))*(1-'Responsibilities'!$E$7)+('Production schedule'!E306*(IF('Sites'!D8="Annual staff",SUM('Assumptions'!P122,'Assumptions'!P124),0)+SUM('Assumptions'!P123,'Assumptions'!P125:P126)))*(1-'Responsibilities'!$E$8)</f>
        <v/>
      </c>
      <c r="BT90">
        <f>(IF(AND('Production schedule'!E234=1,13=MAX(('Sites'!F6),13),ISNUMBER('Sites'!P6)),'Sites'!P6*'Assumptions'!$B$44,0))*(1-'Responsibilities'!$F$6)+(IF(AND('Production schedule'!E270=1,13=MAX(('Sites'!F7+'Cases'!G8),13),ISNUMBER('Sites'!P7)),'Sites'!P7*'Assumptions'!$B$44,0))*(1-'Responsibilities'!$F$7)+(IF(AND('Production schedule'!E306=1,13=MAX(('Sites'!F8+'Cases'!G8),13),ISNUMBER('Sites'!P8)),'Sites'!P8*'Assumptions'!$B$44,0))*(1-'Responsibilities'!$F$8)</f>
        <v/>
      </c>
      <c r="BU90">
        <f>SUM('Costs'!E36)*'Costs'!F36/12*(1-'Responsibilities'!$C$12)+SUM('Costs'!E37)*'Costs'!F37/12*(1-'Responsibilities'!$C$13)+SUM('Costs'!E38)*'Costs'!F38/12*(1-'Responsibilities'!$C$14)+SUM('Costs'!E39)*'Costs'!F39/12*(1-'Responsibilities'!$C$15)+SUM('Costs'!E40)*'Costs'!F40/12*(1-'Responsibilities'!$C$16)</f>
        <v/>
      </c>
      <c r="BV90">
        <f>('Sites'!E6*'Capital'!E6*(IF(13='Capital'!G6,'Capital'!F6,0)+IF(13='Capital'!H6,1-'Capital'!F6,0)))*(1-'Responsibilities'!$G$6)+('Sites'!E7*'Capital'!E7*(IF(13='Capital'!G7+'Cases'!G8,'Capital'!F7,0)+IF(13='Capital'!H7+'Cases'!G8,1-'Capital'!F7,0)))*(1-'Responsibilities'!$G$7)+('Sites'!E8*'Cases'!F8*'Capital'!E8*(IF(13='Capital'!G8+'Cases'!G8,'Capital'!F8,0)+IF(13='Capital'!H8+'Cases'!G8,1-'Capital'!F8,0)))*(1-'Responsibilities'!$G$8)</f>
        <v/>
      </c>
      <c r="BW90">
        <f>SUM(BQ90:BV90)</f>
        <v/>
      </c>
      <c r="BX90">
        <f>N90+BW90</f>
        <v/>
      </c>
      <c r="BY90">
        <f>BX90-(('Production schedule'!AJ234)*'Responsibilities'!$C$6+('Production schedule'!AJ270)*'Responsibilities'!$C$7+('Production schedule'!AJ306)*'Responsibilities'!$C$8+('Production schedule'!AJ234)*(1-'Responsibilities'!$C$6)+('Production schedule'!AJ270)*(1-'Responsibilities'!$C$7)+('Production schedule'!AJ306)*(1-'Responsibilities'!$C$8)+('Production schedule'!AI234)*'Responsibilities'!$D$6+('Production schedule'!AI270)*'Responsibilities'!$D$7+('Production schedule'!AI306)*'Responsibilities'!$D$8+('Production schedule'!AI234)*(1-'Responsibilities'!$D$6)+('Production schedule'!AI270)*(1-'Responsibilities'!$D$7)+('Production schedule'!AI306)*(1-'Responsibilities'!$D$8)+('Production schedule'!E234*(IF('Sites'!D6="Annual staff",SUM('Assumptions'!P112,'Assumptions'!P114),0)+SUM('Assumptions'!P113,'Assumptions'!P115:P116)))*'Responsibilities'!$E$6+('Production schedule'!E270*(IF('Sites'!D7="Annual staff",SUM('Assumptions'!P117,'Assumptions'!P119),0)+SUM('Assumptions'!P118,'Assumptions'!P120:P121)))*'Responsibilities'!$E$7+('Production schedule'!E306*(IF('Sites'!D8="Annual staff",SUM('Assumptions'!P122,'Assumptions'!P124),0)+SUM('Assumptions'!P123,'Assumptions'!P125:P126)))*'Responsibilities'!$E$8+('Production schedule'!E234*(IF('Sites'!D6="Annual staff",SUM('Assumptions'!P112,'Assumptions'!P114),0)+SUM('Assumptions'!P113,'Assumptions'!P115:P116)))*(1-'Responsibilities'!$E$6)+('Production schedule'!E270*(IF('Sites'!D7="Annual staff",SUM('Assumptions'!P117,'Assumptions'!P119),0)+SUM('Assumptions'!P118,'Assumptions'!P120:P121)))*(1-'Responsibilities'!$E$7)+('Production schedule'!E306*(IF('Sites'!D8="Annual staff",SUM('Assumptions'!P122,'Assumptions'!P124),0)+SUM('Assumptions'!P123,'Assumptions'!P125:P126)))*(1-'Responsibilities'!$E$8)+(IF(AND('Production schedule'!E234=1,13=MAX(('Sites'!F6),13),ISNUMBER('Sites'!P6)),'Sites'!P6*'Assumptions'!$B$44,0))*'Responsibilities'!$F$6+(IF(AND('Production schedule'!E270=1,13=MAX(('Sites'!F7+'Cases'!G8),13),ISNUMBER('Sites'!P7)),'Sites'!P7*'Assumptions'!$B$44,0))*'Responsibilities'!$F$7+(IF(AND('Production schedule'!E306=1,13=MAX(('Sites'!F8+'Cases'!G8),13),ISNUMBER('Sites'!P8)),'Sites'!P8*'Assumptions'!$B$44,0))*'Responsibilities'!$F$8+(IF(AND('Production schedule'!E234=1,13=MAX(('Sites'!F6),13),ISNUMBER('Sites'!P6)),'Sites'!P6*'Assumptions'!$B$44,0))*(1-'Responsibilities'!$F$6)+(IF(AND('Production schedule'!E270=1,13=MAX(('Sites'!F7+'Cases'!G8),13),ISNUMBER('Sites'!P7)),'Sites'!P7*'Assumptions'!$B$44,0))*(1-'Responsibilities'!$F$7)+(IF(AND('Production schedule'!E306=1,13=MAX(('Sites'!F8+'Cases'!G8),13),ISNUMBER('Sites'!P8)),'Sites'!P8*'Assumptions'!$B$44,0))*(1-'Responsibilities'!$F$8)+('Sites'!E6*'Capital'!E6*(IF(13='Capital'!G6,'Capital'!F6,0)+IF(13='Capital'!H6,1-'Capital'!F6,0)))*'Responsibilities'!$G$6+('Sites'!E7*'Capital'!E7*(IF(13='Capital'!G7+'Cases'!G8,'Capital'!F7,0)+IF(13='Capital'!H7+'Cases'!G8,1-'Capital'!F7,0)))*'Responsibilities'!$G$7+('Sites'!E8*'Cases'!F8*'Capital'!E8*(IF(13='Capital'!G8+'Cases'!G8,'Capital'!F8,0)+IF(13='Capital'!H8+'Cases'!G8,1-'Capital'!F8,0)))*'Responsibilities'!$G$8+('Sites'!E6*'Capital'!E6*(IF(13='Capital'!G6,'Capital'!F6,0)+IF(13='Capital'!H6,1-'Capital'!F6,0)))*(1-'Responsibilities'!$G$6)+('Sites'!E7*'Capital'!E7*(IF(13='Capital'!G7+'Cases'!G8,'Capital'!F7,0)+IF(13='Capital'!H7+'Cases'!G8,1-'Capital'!F7,0)))*(1-'Responsibilities'!$G$7)+('Sites'!E8*'Cases'!F8*'Capital'!E8*(IF(13='Capital'!G8+'Cases'!G8,'Capital'!F8,0)+IF(13='Capital'!H8+'Cases'!G8,1-'Capital'!F8,0)))*(1-'Responsibilities'!$G$8)+I90+SUMPRODUCT('Costs'!$E$36:$E$40,'Costs'!$F$36:$F$40)/12+BZ90)</f>
        <v/>
      </c>
      <c r="BZ90">
        <f>SUMIFS('Responsibilities'!$B$31:$B$35,'Responsibilities'!$C$31:$C$35,13,'Responsibilities'!$D$31:$D$35,"Yes")</f>
        <v/>
      </c>
    </row>
    <row r="91" ht="28" customHeight="1">
      <c r="A91" s="4" t="inlineStr">
        <is>
          <t>No QBE</t>
        </is>
      </c>
      <c r="B91" s="4" t="n">
        <v>14</v>
      </c>
      <c r="C91" s="4">
        <f>ROUNDUP(B91/12,0)</f>
        <v/>
      </c>
      <c r="D91" s="137">
        <f>SUMIFS('Production schedule'!$N$222:$N$329,'Production schedule'!$C$222:$C$329,14)</f>
        <v/>
      </c>
      <c r="E91" s="137">
        <f>SUMIFS('Production schedule'!$Y$222:$Y$329,'Production schedule'!$C$222:$C$329,14)</f>
        <v/>
      </c>
      <c r="F91" s="137">
        <f>SUMIFS('Production schedule'!$Z$222:$Z$329,'Production schedule'!$C$222:$C$329,14)</f>
        <v/>
      </c>
      <c r="G91" s="137">
        <f>('Production schedule'!AJ235)*'Responsibilities'!$C$6+('Production schedule'!AJ271)*'Responsibilities'!$C$7+('Production schedule'!AJ307)*'Responsibilities'!$C$8</f>
        <v/>
      </c>
      <c r="H91" s="137">
        <f>('Production schedule'!AI235)*'Responsibilities'!$D$6+('Production schedule'!AI271)*'Responsibilities'!$D$7+('Production schedule'!AI307)*'Responsibilities'!$D$8</f>
        <v/>
      </c>
      <c r="I91" s="137">
        <f>SUM('Assumptions'!Q58:Q65)</f>
        <v/>
      </c>
      <c r="J91" s="137">
        <f>('Production schedule'!E235*(IF('Sites'!D6="Annual staff",SUM('Assumptions'!Q112,'Assumptions'!Q114),0)+SUM('Assumptions'!Q113,'Assumptions'!Q115:Q116)))*'Responsibilities'!$E$6+('Production schedule'!E271*(IF('Sites'!D7="Annual staff",SUM('Assumptions'!Q117,'Assumptions'!Q119),0)+SUM('Assumptions'!Q118,'Assumptions'!Q120:Q121)))*'Responsibilities'!$E$7+('Production schedule'!E307*(IF('Sites'!D8="Annual staff",SUM('Assumptions'!Q122,'Assumptions'!Q124),0)+SUM('Assumptions'!Q123,'Assumptions'!Q125:Q126)))*'Responsibilities'!$E$8</f>
        <v/>
      </c>
      <c r="K91" s="137">
        <f>(IF(AND('Production schedule'!E235=1,14=MAX(('Sites'!F6),13),ISNUMBER('Sites'!P6)),'Sites'!P6*'Assumptions'!$B$44,0))*'Responsibilities'!$F$6+(IF(AND('Production schedule'!E271=1,14=MAX(('Sites'!F7+'Cases'!G8),13),ISNUMBER('Sites'!P7)),'Sites'!P7*'Assumptions'!$B$44,0))*'Responsibilities'!$F$7+(IF(AND('Production schedule'!E307=1,14=MAX(('Sites'!F8+'Cases'!G8),13),ISNUMBER('Sites'!P8)),'Sites'!P8*'Assumptions'!$B$44,0))*'Responsibilities'!$F$8</f>
        <v/>
      </c>
      <c r="L91" s="137">
        <f>SUM('Costs'!E36)*'Costs'!F36/12*'Responsibilities'!$C$12+SUM('Costs'!E37)*'Costs'!F37/12*'Responsibilities'!$C$13+SUM('Costs'!E38)*'Costs'!F38/12*'Responsibilities'!$C$14+SUM('Costs'!E39)*'Costs'!F39/12*'Responsibilities'!$C$15+SUM('Costs'!E40)*'Costs'!F40/12*'Responsibilities'!$C$16+BZ91</f>
        <v/>
      </c>
      <c r="M91" s="137">
        <f>('Sites'!E6*'Capital'!E6*(IF(14='Capital'!G6,'Capital'!F6,0)+IF(14='Capital'!H6,1-'Capital'!F6,0)))*'Responsibilities'!$G$6+('Sites'!E7*'Capital'!E7*(IF(14='Capital'!G7+'Cases'!G8,'Capital'!F7,0)+IF(14='Capital'!H7+'Cases'!G8,1-'Capital'!F7,0)))*'Responsibilities'!$G$7+('Sites'!E8*'Cases'!F8*'Capital'!E8*(IF(14='Capital'!G8+'Cases'!G8,'Capital'!F8,0)+IF(14='Capital'!H8+'Cases'!G8,1-'Capital'!F8,0)))*'Responsibilities'!$G$8</f>
        <v/>
      </c>
      <c r="N91" s="137">
        <f>SUM(G91:M91)</f>
        <v/>
      </c>
      <c r="O91" s="137">
        <f>SUMIFS(FundingTranches[Secured amount],FundingTranches[Instrument],"Grant",FundingTranches[Secured month],14)</f>
        <v/>
      </c>
      <c r="P91" s="137">
        <f>SUMIFS(FundingTranches[No QBE possible],FundingTranches[Instrument],"Grant",FundingTranches[Scenario month],14-'Cases'!$D$8)</f>
        <v/>
      </c>
      <c r="Q91" s="137">
        <f>SUMIFS(FundingTranches[Secured amount],FundingTranches[Instrument],"Loan",FundingTranches[Secured month],14)</f>
        <v/>
      </c>
      <c r="R91" s="137">
        <f>SUMIFS(FundingTranches[No QBE possible],FundingTranches[Instrument],"Loan",FundingTranches[Scenario month],14-'Cases'!$D$8)</f>
        <v/>
      </c>
      <c r="S91" s="137">
        <f>IF(14&lt;='Assumptions'!$B$34,0,SUMIFS('Production schedule'!$AL$222:$AL$329,'Production schedule'!$C$222:$C$329,14-'Assumptions'!$B$34))</f>
        <v/>
      </c>
      <c r="T91" s="137">
        <f>'Assumptions'!Q70</f>
        <v/>
      </c>
      <c r="U91" s="137">
        <f>'Assumptions'!Q78</f>
        <v/>
      </c>
      <c r="V91" s="137">
        <f>SUM(O91:U91)</f>
        <v/>
      </c>
      <c r="W91" s="137">
        <f>AA90</f>
        <v/>
      </c>
      <c r="X91" s="137">
        <f>SUM(Q91:R91)</f>
        <v/>
      </c>
      <c r="Y91" s="137">
        <f>SUM(W91,X91)*'Assumptions'!$B$39/12</f>
        <v/>
      </c>
      <c r="Z91" s="137">
        <f>IF(SUM(W91,X91)&gt;0,MIN(SUM(W91,X91),MAX(0,BP91-Y91)),0)</f>
        <v/>
      </c>
      <c r="AA91" s="137">
        <f>SUM(W91,X91)-Z91</f>
        <v/>
      </c>
      <c r="AB91" s="137">
        <f>SUM(Y91:Z91)</f>
        <v/>
      </c>
      <c r="AC91" s="137">
        <f>'Assumptions'!Q72</f>
        <v/>
      </c>
      <c r="AD91" s="137">
        <f>'Assumptions'!Q73</f>
        <v/>
      </c>
      <c r="AE91" s="137">
        <f>IF(X91&gt;0,SUM('Assumptions'!$B$42),0)</f>
        <v/>
      </c>
      <c r="AF91" s="137">
        <f>'Assumptions'!Q71</f>
        <v/>
      </c>
      <c r="AG91" s="137">
        <f>'Assumptions'!Q74</f>
        <v/>
      </c>
      <c r="AH91" s="137">
        <f>'Assumptions'!Q75</f>
        <v/>
      </c>
      <c r="AI91" s="137">
        <f>'Assumptions'!Q77</f>
        <v/>
      </c>
      <c r="AJ91" s="137">
        <f>V91-N91-SUM(AB91:AI91)</f>
        <v/>
      </c>
      <c r="AK91" s="137">
        <f>SUM(AJ78:AJ91)</f>
        <v/>
      </c>
      <c r="AL91" s="137">
        <f>IF(ISNUMBER('Assumptions'!$B$10),'Assumptions'!$B$10+AK91,"")</f>
        <v/>
      </c>
      <c r="AM91" s="137">
        <f>SUM(O91,Q91,T91)-N91-SUM(AC91:AI91)+IF('Funding'!$N$11=0,AE91,0)-IF('Funding'!$N$11&gt;0,AB91,0)</f>
        <v/>
      </c>
      <c r="AN91" s="137">
        <f>SUM(AM78:AM91)</f>
        <v/>
      </c>
      <c r="AO91" s="137">
        <f>IF(ISNUMBER('Assumptions'!$B$10),'Assumptions'!$B$10+AN91,"")</f>
        <v/>
      </c>
      <c r="AP91" s="137">
        <f>('Production schedule'!AK235)*'Responsibilities'!$C$6+('Production schedule'!AK271)*'Responsibilities'!$C$7+('Production schedule'!AK307)*'Responsibilities'!$C$8</f>
        <v/>
      </c>
      <c r="AQ91" s="137">
        <f>SUMIFS('Production schedule'!$AL$222:$AL$329,'Production schedule'!$C$222:$C$329,14)</f>
        <v/>
      </c>
      <c r="AR91" s="137">
        <f>IF(ISNUMBER('Assumptions'!Q76),'Assumptions'!Q76,SUM(O91:P91))</f>
        <v/>
      </c>
      <c r="AS91" s="137">
        <f>IF(ISNUMBER('Assumptions'!$B$13),MIN('Assumptions'!$B$13/'Assumptions'!$B$18/12,MAX(0,'Assumptions'!$B$13-(14-1)*'Assumptions'!$B$13/'Assumptions'!$B$18/12)),0)+IF(AND('Sites'!E6=1,14&gt;=('Sites'!F6),14&lt;('Sites'!F6)+'Assumptions'!$B$18*12),'Capital'!E6/'Assumptions'!$B$18/12,0)+IF(AND('Sites'!E7=1,14&gt;=('Sites'!F7+'Cases'!G8),14&lt;('Sites'!F7+'Cases'!G8)+'Assumptions'!$B$18*12),'Capital'!E7/'Assumptions'!$B$18/12,0)+IF(AND('Sites'!E8*'Cases'!F8=1,14&gt;=('Sites'!F8+'Cases'!G8),14&lt;('Sites'!F8+'Cases'!G8)+'Assumptions'!$B$18*12),'Capital'!E8/'Assumptions'!$B$18/12,0)</f>
        <v/>
      </c>
      <c r="AT91" s="137">
        <f>SUM(AQ91,AR91,U91)-AP91-SUM(H91:L91)-AS91-SUM(Y91,AD91,AE91,AH91)</f>
        <v/>
      </c>
      <c r="AU91" s="137">
        <f>IF(ISNUMBER('Assumptions'!$B$19),MAX(0,SUM(AT90:AT91))*'Assumptions'!$B$19-SUM(AU90:AU90),"")</f>
        <v/>
      </c>
      <c r="AV91" s="137">
        <f>IF(ISNUMBER(AU91),AT91-AU91,"")</f>
        <v/>
      </c>
      <c r="AW91" s="137">
        <f>IF(ISNUMBER('Assumptions'!$B$11),'Assumptions'!$B$11+SUM(AQ78:AQ91)-SUM(S78:S91)-SUM(T78:T91),"")</f>
        <v/>
      </c>
      <c r="AX91" s="137">
        <f>IF(ISNUMBER('Assumptions'!$B$12),'Assumptions'!$B$12+SUM(G78:G91)-SUM(AP78:AP91),"")</f>
        <v/>
      </c>
      <c r="AY91" s="137">
        <f>IF(ISNUMBER('Assumptions'!$B$13),'Assumptions'!$B$13+SUM(M78:M91)-SUM(AS78:AS91),"")</f>
        <v/>
      </c>
      <c r="AZ91" s="137">
        <f>IF(ISNUMBER('Assumptions'!$B$14),'Assumptions'!$B$14+-SUM(AF78:AF91),"")</f>
        <v/>
      </c>
      <c r="BA91" s="137">
        <f>IF(ISNUMBER('Assumptions'!$B$15),'Assumptions'!$B$15+SUM(O78:O91)+SUM(P78:P91)-SUM(AR78:AR91),"")</f>
        <v/>
      </c>
      <c r="BB91" s="137">
        <f>IF(ISNUMBER('Assumptions'!$B$16),'Assumptions'!$B$16+-SUM(AC78:AC91),"")</f>
        <v/>
      </c>
      <c r="BC91" s="137">
        <f>IF(AND(ISNUMBER('Assumptions'!$B$21),ISNUMBER('Assumptions'!$B$19)),'Assumptions'!$B$21+SUM(AU78:AU91)-SUM(AG78:AG91),"")</f>
        <v/>
      </c>
      <c r="BD91" s="137">
        <f>IF(ISNUMBER('Assumptions'!$B$20),'Assumptions'!$B$20+-SUM(AI78:AI91),"")</f>
        <v/>
      </c>
      <c r="BE91" s="137">
        <f>IF(AND(ISNUMBER('Assumptions'!$B$17),COUNT(AV78:AV91)=14),'Assumptions'!$B$17+SUM(AV78:AV91),"")</f>
        <v/>
      </c>
      <c r="BF91" s="137">
        <f>IF(COUNT(AL91,AW91:AY91)=4,SUM(AL91,AW91:AY91),"")</f>
        <v/>
      </c>
      <c r="BG91" s="137">
        <f>IF(COUNT(AZ91:BD91)=5,SUM(AZ91:BD91,AA91),"")</f>
        <v/>
      </c>
      <c r="BH91" s="137">
        <f>IF(COUNT(BF91,BG91,BE91)=3,BF91-BG91-BE91,"")</f>
        <v/>
      </c>
      <c r="BI91" s="137">
        <f>SUM(W91,X91)-Z91-AA91</f>
        <v/>
      </c>
      <c r="BJ91" s="137">
        <f>8-COUNT('Assumptions'!Q58:Q65)+COUNTBLANK('NM Play'!B33:B34)+'Costs'!E44+IF(AND('Sites'!E6=1,('Sites'!F6)&lt;=24,'Sites'!G6&gt;=13),IF(ISNUMBER('Sites'!P6),0,1)+'Capital'!I6+COUNTBLANK('Sites'!R6)+IF('Sites'!D6="NM crew",COUNTBLANK('NM Play'!B25)+1,5-COUNT('Assumptions'!Q112:Q116)),0)+IF(AND('Sites'!E7=1,('Sites'!F7+'Cases'!G8)&lt;=24,'Sites'!G7&gt;=13),IF(ISNUMBER('Sites'!P7),0,1)+'Capital'!I7+COUNTBLANK('Sites'!R7)+IF('Sites'!D7="NM crew",COUNTBLANK('NM Play'!B25)+1,5-COUNT('Assumptions'!Q117:Q121)),0)+IF(AND('Sites'!E8*'Cases'!F8=1,('Sites'!F8+'Cases'!G8)&lt;=24,'Sites'!G8&gt;=13),IF(ISNUMBER('Sites'!P8),0,1)+'Capital'!I8+COUNTBLANK('Sites'!R8)+IF('Sites'!D8="NM crew",COUNTBLANK('NM Play'!B25)+1,5-COUNT('Assumptions'!Q122:Q126)),0)+IF(AND('Cases'!C8&gt;0,NOT(ISNUMBER('Assumptions'!B42))),1,0)+'Responsibilities'!$B$39</f>
        <v/>
      </c>
      <c r="BK91" s="137">
        <f>'Assumptions'!$B$50+'NM Play'!$B$83+'Funding'!$F$20+SUMIFS('Production schedule'!$AN$222:$AN$329,'Production schedule'!$C$222:$C$329,14)+IF(OR('Cases'!E8&lt;0,'Cases'!E8&gt;1,'Cases'!C8&lt;0,'Cases'!D8&lt;0,ABS(SUM('Sites'!S6:S8)-1)&gt;0.0001,MIN('Capital'!F6:F8)&lt;0,MAX('Capital'!F6:F8)&gt;1,MIN(AX91,AZ91,BB91,BA91)&lt;-0.01),1,0)+'Responsibilities'!$B$40</f>
        <v/>
      </c>
      <c r="BL91" s="137">
        <f>SUMIFS('Production schedule'!$T$222:$T$329,'Production schedule'!$C$222:$C$329,14)</f>
        <v/>
      </c>
      <c r="BM91" s="137">
        <f>D91*'NM Play'!$B$38</f>
        <v/>
      </c>
      <c r="BN91" s="137">
        <f>SUMIFS('Production schedule'!$AM$222:$AM$329,'Production schedule'!$C$222:$C$329,14)</f>
        <v/>
      </c>
      <c r="BO91" s="137">
        <f>AK91-AK90-AJ91</f>
        <v/>
      </c>
      <c r="BP91" s="137">
        <f>IF(AND('Assumptions'!$B$39&gt;=0,'Assumptions'!$B$40&gt;0),-PMT('Assumptions'!$B$39/12,'Assumptions'!$B$40*12,IF('Funding'!$N$11&gt;0,'Funding'!$N$11,'Funding'!$T$11)),"")</f>
        <v/>
      </c>
      <c r="BQ91">
        <f>('Production schedule'!AJ235)*(1-'Responsibilities'!$C$6)+('Production schedule'!AJ271)*(1-'Responsibilities'!$C$7)+('Production schedule'!AJ307)*(1-'Responsibilities'!$C$8)</f>
        <v/>
      </c>
      <c r="BR91">
        <f>('Production schedule'!AI235)*(1-'Responsibilities'!$D$6)+('Production schedule'!AI271)*(1-'Responsibilities'!$D$7)+('Production schedule'!AI307)*(1-'Responsibilities'!$D$8)</f>
        <v/>
      </c>
      <c r="BS91">
        <f>('Production schedule'!E235*(IF('Sites'!D6="Annual staff",SUM('Assumptions'!Q112,'Assumptions'!Q114),0)+SUM('Assumptions'!Q113,'Assumptions'!Q115:Q116)))*(1-'Responsibilities'!$E$6)+('Production schedule'!E271*(IF('Sites'!D7="Annual staff",SUM('Assumptions'!Q117,'Assumptions'!Q119),0)+SUM('Assumptions'!Q118,'Assumptions'!Q120:Q121)))*(1-'Responsibilities'!$E$7)+('Production schedule'!E307*(IF('Sites'!D8="Annual staff",SUM('Assumptions'!Q122,'Assumptions'!Q124),0)+SUM('Assumptions'!Q123,'Assumptions'!Q125:Q126)))*(1-'Responsibilities'!$E$8)</f>
        <v/>
      </c>
      <c r="BT91">
        <f>(IF(AND('Production schedule'!E235=1,14=MAX(('Sites'!F6),13),ISNUMBER('Sites'!P6)),'Sites'!P6*'Assumptions'!$B$44,0))*(1-'Responsibilities'!$F$6)+(IF(AND('Production schedule'!E271=1,14=MAX(('Sites'!F7+'Cases'!G8),13),ISNUMBER('Sites'!P7)),'Sites'!P7*'Assumptions'!$B$44,0))*(1-'Responsibilities'!$F$7)+(IF(AND('Production schedule'!E307=1,14=MAX(('Sites'!F8+'Cases'!G8),13),ISNUMBER('Sites'!P8)),'Sites'!P8*'Assumptions'!$B$44,0))*(1-'Responsibilities'!$F$8)</f>
        <v/>
      </c>
      <c r="BU91">
        <f>SUM('Costs'!E36)*'Costs'!F36/12*(1-'Responsibilities'!$C$12)+SUM('Costs'!E37)*'Costs'!F37/12*(1-'Responsibilities'!$C$13)+SUM('Costs'!E38)*'Costs'!F38/12*(1-'Responsibilities'!$C$14)+SUM('Costs'!E39)*'Costs'!F39/12*(1-'Responsibilities'!$C$15)+SUM('Costs'!E40)*'Costs'!F40/12*(1-'Responsibilities'!$C$16)</f>
        <v/>
      </c>
      <c r="BV91">
        <f>('Sites'!E6*'Capital'!E6*(IF(14='Capital'!G6,'Capital'!F6,0)+IF(14='Capital'!H6,1-'Capital'!F6,0)))*(1-'Responsibilities'!$G$6)+('Sites'!E7*'Capital'!E7*(IF(14='Capital'!G7+'Cases'!G8,'Capital'!F7,0)+IF(14='Capital'!H7+'Cases'!G8,1-'Capital'!F7,0)))*(1-'Responsibilities'!$G$7)+('Sites'!E8*'Cases'!F8*'Capital'!E8*(IF(14='Capital'!G8+'Cases'!G8,'Capital'!F8,0)+IF(14='Capital'!H8+'Cases'!G8,1-'Capital'!F8,0)))*(1-'Responsibilities'!$G$8)</f>
        <v/>
      </c>
      <c r="BW91">
        <f>SUM(BQ91:BV91)</f>
        <v/>
      </c>
      <c r="BX91">
        <f>N91+BW91</f>
        <v/>
      </c>
      <c r="BY91">
        <f>BX91-(('Production schedule'!AJ235)*'Responsibilities'!$C$6+('Production schedule'!AJ271)*'Responsibilities'!$C$7+('Production schedule'!AJ307)*'Responsibilities'!$C$8+('Production schedule'!AJ235)*(1-'Responsibilities'!$C$6)+('Production schedule'!AJ271)*(1-'Responsibilities'!$C$7)+('Production schedule'!AJ307)*(1-'Responsibilities'!$C$8)+('Production schedule'!AI235)*'Responsibilities'!$D$6+('Production schedule'!AI271)*'Responsibilities'!$D$7+('Production schedule'!AI307)*'Responsibilities'!$D$8+('Production schedule'!AI235)*(1-'Responsibilities'!$D$6)+('Production schedule'!AI271)*(1-'Responsibilities'!$D$7)+('Production schedule'!AI307)*(1-'Responsibilities'!$D$8)+('Production schedule'!E235*(IF('Sites'!D6="Annual staff",SUM('Assumptions'!Q112,'Assumptions'!Q114),0)+SUM('Assumptions'!Q113,'Assumptions'!Q115:Q116)))*'Responsibilities'!$E$6+('Production schedule'!E271*(IF('Sites'!D7="Annual staff",SUM('Assumptions'!Q117,'Assumptions'!Q119),0)+SUM('Assumptions'!Q118,'Assumptions'!Q120:Q121)))*'Responsibilities'!$E$7+('Production schedule'!E307*(IF('Sites'!D8="Annual staff",SUM('Assumptions'!Q122,'Assumptions'!Q124),0)+SUM('Assumptions'!Q123,'Assumptions'!Q125:Q126)))*'Responsibilities'!$E$8+('Production schedule'!E235*(IF('Sites'!D6="Annual staff",SUM('Assumptions'!Q112,'Assumptions'!Q114),0)+SUM('Assumptions'!Q113,'Assumptions'!Q115:Q116)))*(1-'Responsibilities'!$E$6)+('Production schedule'!E271*(IF('Sites'!D7="Annual staff",SUM('Assumptions'!Q117,'Assumptions'!Q119),0)+SUM('Assumptions'!Q118,'Assumptions'!Q120:Q121)))*(1-'Responsibilities'!$E$7)+('Production schedule'!E307*(IF('Sites'!D8="Annual staff",SUM('Assumptions'!Q122,'Assumptions'!Q124),0)+SUM('Assumptions'!Q123,'Assumptions'!Q125:Q126)))*(1-'Responsibilities'!$E$8)+(IF(AND('Production schedule'!E235=1,14=MAX(('Sites'!F6),13),ISNUMBER('Sites'!P6)),'Sites'!P6*'Assumptions'!$B$44,0))*'Responsibilities'!$F$6+(IF(AND('Production schedule'!E271=1,14=MAX(('Sites'!F7+'Cases'!G8),13),ISNUMBER('Sites'!P7)),'Sites'!P7*'Assumptions'!$B$44,0))*'Responsibilities'!$F$7+(IF(AND('Production schedule'!E307=1,14=MAX(('Sites'!F8+'Cases'!G8),13),ISNUMBER('Sites'!P8)),'Sites'!P8*'Assumptions'!$B$44,0))*'Responsibilities'!$F$8+(IF(AND('Production schedule'!E235=1,14=MAX(('Sites'!F6),13),ISNUMBER('Sites'!P6)),'Sites'!P6*'Assumptions'!$B$44,0))*(1-'Responsibilities'!$F$6)+(IF(AND('Production schedule'!E271=1,14=MAX(('Sites'!F7+'Cases'!G8),13),ISNUMBER('Sites'!P7)),'Sites'!P7*'Assumptions'!$B$44,0))*(1-'Responsibilities'!$F$7)+(IF(AND('Production schedule'!E307=1,14=MAX(('Sites'!F8+'Cases'!G8),13),ISNUMBER('Sites'!P8)),'Sites'!P8*'Assumptions'!$B$44,0))*(1-'Responsibilities'!$F$8)+('Sites'!E6*'Capital'!E6*(IF(14='Capital'!G6,'Capital'!F6,0)+IF(14='Capital'!H6,1-'Capital'!F6,0)))*'Responsibilities'!$G$6+('Sites'!E7*'Capital'!E7*(IF(14='Capital'!G7+'Cases'!G8,'Capital'!F7,0)+IF(14='Capital'!H7+'Cases'!G8,1-'Capital'!F7,0)))*'Responsibilities'!$G$7+('Sites'!E8*'Cases'!F8*'Capital'!E8*(IF(14='Capital'!G8+'Cases'!G8,'Capital'!F8,0)+IF(14='Capital'!H8+'Cases'!G8,1-'Capital'!F8,0)))*'Responsibilities'!$G$8+('Sites'!E6*'Capital'!E6*(IF(14='Capital'!G6,'Capital'!F6,0)+IF(14='Capital'!H6,1-'Capital'!F6,0)))*(1-'Responsibilities'!$G$6)+('Sites'!E7*'Capital'!E7*(IF(14='Capital'!G7+'Cases'!G8,'Capital'!F7,0)+IF(14='Capital'!H7+'Cases'!G8,1-'Capital'!F7,0)))*(1-'Responsibilities'!$G$7)+('Sites'!E8*'Cases'!F8*'Capital'!E8*(IF(14='Capital'!G8+'Cases'!G8,'Capital'!F8,0)+IF(14='Capital'!H8+'Cases'!G8,1-'Capital'!F8,0)))*(1-'Responsibilities'!$G$8)+I91+SUMPRODUCT('Costs'!$E$36:$E$40,'Costs'!$F$36:$F$40)/12+BZ91)</f>
        <v/>
      </c>
      <c r="BZ91">
        <f>SUMIFS('Responsibilities'!$B$31:$B$35,'Responsibilities'!$C$31:$C$35,14,'Responsibilities'!$D$31:$D$35,"Yes")</f>
        <v/>
      </c>
    </row>
    <row r="92" ht="28" customHeight="1">
      <c r="A92" s="4" t="inlineStr">
        <is>
          <t>No QBE</t>
        </is>
      </c>
      <c r="B92" s="4" t="n">
        <v>15</v>
      </c>
      <c r="C92" s="4">
        <f>ROUNDUP(B92/12,0)</f>
        <v/>
      </c>
      <c r="D92" s="137">
        <f>SUMIFS('Production schedule'!$N$222:$N$329,'Production schedule'!$C$222:$C$329,15)</f>
        <v/>
      </c>
      <c r="E92" s="137">
        <f>SUMIFS('Production schedule'!$Y$222:$Y$329,'Production schedule'!$C$222:$C$329,15)</f>
        <v/>
      </c>
      <c r="F92" s="137">
        <f>SUMIFS('Production schedule'!$Z$222:$Z$329,'Production schedule'!$C$222:$C$329,15)</f>
        <v/>
      </c>
      <c r="G92" s="137">
        <f>('Production schedule'!AJ236)*'Responsibilities'!$C$6+('Production schedule'!AJ272)*'Responsibilities'!$C$7+('Production schedule'!AJ308)*'Responsibilities'!$C$8</f>
        <v/>
      </c>
      <c r="H92" s="137">
        <f>('Production schedule'!AI236)*'Responsibilities'!$D$6+('Production schedule'!AI272)*'Responsibilities'!$D$7+('Production schedule'!AI308)*'Responsibilities'!$D$8</f>
        <v/>
      </c>
      <c r="I92" s="137">
        <f>SUM('Assumptions'!R58:R65)</f>
        <v/>
      </c>
      <c r="J92" s="137">
        <f>('Production schedule'!E236*(IF('Sites'!D6="Annual staff",SUM('Assumptions'!R112,'Assumptions'!R114),0)+SUM('Assumptions'!R113,'Assumptions'!R115:R116)))*'Responsibilities'!$E$6+('Production schedule'!E272*(IF('Sites'!D7="Annual staff",SUM('Assumptions'!R117,'Assumptions'!R119),0)+SUM('Assumptions'!R118,'Assumptions'!R120:R121)))*'Responsibilities'!$E$7+('Production schedule'!E308*(IF('Sites'!D8="Annual staff",SUM('Assumptions'!R122,'Assumptions'!R124),0)+SUM('Assumptions'!R123,'Assumptions'!R125:R126)))*'Responsibilities'!$E$8</f>
        <v/>
      </c>
      <c r="K92" s="137">
        <f>(IF(AND('Production schedule'!E236=1,15=MAX(('Sites'!F6),13),ISNUMBER('Sites'!P6)),'Sites'!P6*'Assumptions'!$B$44,0))*'Responsibilities'!$F$6+(IF(AND('Production schedule'!E272=1,15=MAX(('Sites'!F7+'Cases'!G8),13),ISNUMBER('Sites'!P7)),'Sites'!P7*'Assumptions'!$B$44,0))*'Responsibilities'!$F$7+(IF(AND('Production schedule'!E308=1,15=MAX(('Sites'!F8+'Cases'!G8),13),ISNUMBER('Sites'!P8)),'Sites'!P8*'Assumptions'!$B$44,0))*'Responsibilities'!$F$8</f>
        <v/>
      </c>
      <c r="L92" s="137">
        <f>SUM('Costs'!E36)*'Costs'!F36/12*'Responsibilities'!$C$12+SUM('Costs'!E37)*'Costs'!F37/12*'Responsibilities'!$C$13+SUM('Costs'!E38)*'Costs'!F38/12*'Responsibilities'!$C$14+SUM('Costs'!E39)*'Costs'!F39/12*'Responsibilities'!$C$15+SUM('Costs'!E40)*'Costs'!F40/12*'Responsibilities'!$C$16+BZ92</f>
        <v/>
      </c>
      <c r="M92" s="137">
        <f>('Sites'!E6*'Capital'!E6*(IF(15='Capital'!G6,'Capital'!F6,0)+IF(15='Capital'!H6,1-'Capital'!F6,0)))*'Responsibilities'!$G$6+('Sites'!E7*'Capital'!E7*(IF(15='Capital'!G7+'Cases'!G8,'Capital'!F7,0)+IF(15='Capital'!H7+'Cases'!G8,1-'Capital'!F7,0)))*'Responsibilities'!$G$7+('Sites'!E8*'Cases'!F8*'Capital'!E8*(IF(15='Capital'!G8+'Cases'!G8,'Capital'!F8,0)+IF(15='Capital'!H8+'Cases'!G8,1-'Capital'!F8,0)))*'Responsibilities'!$G$8</f>
        <v/>
      </c>
      <c r="N92" s="137">
        <f>SUM(G92:M92)</f>
        <v/>
      </c>
      <c r="O92" s="137">
        <f>SUMIFS(FundingTranches[Secured amount],FundingTranches[Instrument],"Grant",FundingTranches[Secured month],15)</f>
        <v/>
      </c>
      <c r="P92" s="137">
        <f>SUMIFS(FundingTranches[No QBE possible],FundingTranches[Instrument],"Grant",FundingTranches[Scenario month],15-'Cases'!$D$8)</f>
        <v/>
      </c>
      <c r="Q92" s="137">
        <f>SUMIFS(FundingTranches[Secured amount],FundingTranches[Instrument],"Loan",FundingTranches[Secured month],15)</f>
        <v/>
      </c>
      <c r="R92" s="137">
        <f>SUMIFS(FundingTranches[No QBE possible],FundingTranches[Instrument],"Loan",FundingTranches[Scenario month],15-'Cases'!$D$8)</f>
        <v/>
      </c>
      <c r="S92" s="137">
        <f>IF(15&lt;='Assumptions'!$B$34,0,SUMIFS('Production schedule'!$AL$222:$AL$329,'Production schedule'!$C$222:$C$329,15-'Assumptions'!$B$34))</f>
        <v/>
      </c>
      <c r="T92" s="137">
        <f>'Assumptions'!R70</f>
        <v/>
      </c>
      <c r="U92" s="137">
        <f>'Assumptions'!R78</f>
        <v/>
      </c>
      <c r="V92" s="137">
        <f>SUM(O92:U92)</f>
        <v/>
      </c>
      <c r="W92" s="137">
        <f>AA91</f>
        <v/>
      </c>
      <c r="X92" s="137">
        <f>SUM(Q92:R92)</f>
        <v/>
      </c>
      <c r="Y92" s="137">
        <f>SUM(W92,X92)*'Assumptions'!$B$39/12</f>
        <v/>
      </c>
      <c r="Z92" s="137">
        <f>IF(SUM(W92,X92)&gt;0,MIN(SUM(W92,X92),MAX(0,BP92-Y92)),0)</f>
        <v/>
      </c>
      <c r="AA92" s="137">
        <f>SUM(W92,X92)-Z92</f>
        <v/>
      </c>
      <c r="AB92" s="137">
        <f>SUM(Y92:Z92)</f>
        <v/>
      </c>
      <c r="AC92" s="137">
        <f>'Assumptions'!R72</f>
        <v/>
      </c>
      <c r="AD92" s="137">
        <f>'Assumptions'!R73</f>
        <v/>
      </c>
      <c r="AE92" s="137">
        <f>IF(X92&gt;0,SUM('Assumptions'!$B$42),0)</f>
        <v/>
      </c>
      <c r="AF92" s="137">
        <f>'Assumptions'!R71</f>
        <v/>
      </c>
      <c r="AG92" s="137">
        <f>'Assumptions'!R74</f>
        <v/>
      </c>
      <c r="AH92" s="137">
        <f>'Assumptions'!R75</f>
        <v/>
      </c>
      <c r="AI92" s="137">
        <f>'Assumptions'!R77</f>
        <v/>
      </c>
      <c r="AJ92" s="137">
        <f>V92-N92-SUM(AB92:AI92)</f>
        <v/>
      </c>
      <c r="AK92" s="137">
        <f>SUM(AJ78:AJ92)</f>
        <v/>
      </c>
      <c r="AL92" s="137">
        <f>IF(ISNUMBER('Assumptions'!$B$10),'Assumptions'!$B$10+AK92,"")</f>
        <v/>
      </c>
      <c r="AM92" s="137">
        <f>SUM(O92,Q92,T92)-N92-SUM(AC92:AI92)+IF('Funding'!$N$11=0,AE92,0)-IF('Funding'!$N$11&gt;0,AB92,0)</f>
        <v/>
      </c>
      <c r="AN92" s="137">
        <f>SUM(AM78:AM92)</f>
        <v/>
      </c>
      <c r="AO92" s="137">
        <f>IF(ISNUMBER('Assumptions'!$B$10),'Assumptions'!$B$10+AN92,"")</f>
        <v/>
      </c>
      <c r="AP92" s="137">
        <f>('Production schedule'!AK236)*'Responsibilities'!$C$6+('Production schedule'!AK272)*'Responsibilities'!$C$7+('Production schedule'!AK308)*'Responsibilities'!$C$8</f>
        <v/>
      </c>
      <c r="AQ92" s="137">
        <f>SUMIFS('Production schedule'!$AL$222:$AL$329,'Production schedule'!$C$222:$C$329,15)</f>
        <v/>
      </c>
      <c r="AR92" s="137">
        <f>IF(ISNUMBER('Assumptions'!R76),'Assumptions'!R76,SUM(O92:P92))</f>
        <v/>
      </c>
      <c r="AS92" s="137">
        <f>IF(ISNUMBER('Assumptions'!$B$13),MIN('Assumptions'!$B$13/'Assumptions'!$B$18/12,MAX(0,'Assumptions'!$B$13-(15-1)*'Assumptions'!$B$13/'Assumptions'!$B$18/12)),0)+IF(AND('Sites'!E6=1,15&gt;=('Sites'!F6),15&lt;('Sites'!F6)+'Assumptions'!$B$18*12),'Capital'!E6/'Assumptions'!$B$18/12,0)+IF(AND('Sites'!E7=1,15&gt;=('Sites'!F7+'Cases'!G8),15&lt;('Sites'!F7+'Cases'!G8)+'Assumptions'!$B$18*12),'Capital'!E7/'Assumptions'!$B$18/12,0)+IF(AND('Sites'!E8*'Cases'!F8=1,15&gt;=('Sites'!F8+'Cases'!G8),15&lt;('Sites'!F8+'Cases'!G8)+'Assumptions'!$B$18*12),'Capital'!E8/'Assumptions'!$B$18/12,0)</f>
        <v/>
      </c>
      <c r="AT92" s="137">
        <f>SUM(AQ92,AR92,U92)-AP92-SUM(H92:L92)-AS92-SUM(Y92,AD92,AE92,AH92)</f>
        <v/>
      </c>
      <c r="AU92" s="137">
        <f>IF(ISNUMBER('Assumptions'!$B$19),MAX(0,SUM(AT90:AT92))*'Assumptions'!$B$19-SUM(AU90:AU91),"")</f>
        <v/>
      </c>
      <c r="AV92" s="137">
        <f>IF(ISNUMBER(AU92),AT92-AU92,"")</f>
        <v/>
      </c>
      <c r="AW92" s="137">
        <f>IF(ISNUMBER('Assumptions'!$B$11),'Assumptions'!$B$11+SUM(AQ78:AQ92)-SUM(S78:S92)-SUM(T78:T92),"")</f>
        <v/>
      </c>
      <c r="AX92" s="137">
        <f>IF(ISNUMBER('Assumptions'!$B$12),'Assumptions'!$B$12+SUM(G78:G92)-SUM(AP78:AP92),"")</f>
        <v/>
      </c>
      <c r="AY92" s="137">
        <f>IF(ISNUMBER('Assumptions'!$B$13),'Assumptions'!$B$13+SUM(M78:M92)-SUM(AS78:AS92),"")</f>
        <v/>
      </c>
      <c r="AZ92" s="137">
        <f>IF(ISNUMBER('Assumptions'!$B$14),'Assumptions'!$B$14+-SUM(AF78:AF92),"")</f>
        <v/>
      </c>
      <c r="BA92" s="137">
        <f>IF(ISNUMBER('Assumptions'!$B$15),'Assumptions'!$B$15+SUM(O78:O92)+SUM(P78:P92)-SUM(AR78:AR92),"")</f>
        <v/>
      </c>
      <c r="BB92" s="137">
        <f>IF(ISNUMBER('Assumptions'!$B$16),'Assumptions'!$B$16+-SUM(AC78:AC92),"")</f>
        <v/>
      </c>
      <c r="BC92" s="137">
        <f>IF(AND(ISNUMBER('Assumptions'!$B$21),ISNUMBER('Assumptions'!$B$19)),'Assumptions'!$B$21+SUM(AU78:AU92)-SUM(AG78:AG92),"")</f>
        <v/>
      </c>
      <c r="BD92" s="137">
        <f>IF(ISNUMBER('Assumptions'!$B$20),'Assumptions'!$B$20+-SUM(AI78:AI92),"")</f>
        <v/>
      </c>
      <c r="BE92" s="137">
        <f>IF(AND(ISNUMBER('Assumptions'!$B$17),COUNT(AV78:AV92)=15),'Assumptions'!$B$17+SUM(AV78:AV92),"")</f>
        <v/>
      </c>
      <c r="BF92" s="137">
        <f>IF(COUNT(AL92,AW92:AY92)=4,SUM(AL92,AW92:AY92),"")</f>
        <v/>
      </c>
      <c r="BG92" s="137">
        <f>IF(COUNT(AZ92:BD92)=5,SUM(AZ92:BD92,AA92),"")</f>
        <v/>
      </c>
      <c r="BH92" s="137">
        <f>IF(COUNT(BF92,BG92,BE92)=3,BF92-BG92-BE92,"")</f>
        <v/>
      </c>
      <c r="BI92" s="137">
        <f>SUM(W92,X92)-Z92-AA92</f>
        <v/>
      </c>
      <c r="BJ92" s="137">
        <f>8-COUNT('Assumptions'!R58:R65)+COUNTBLANK('NM Play'!B33:B34)+'Costs'!E44+IF(AND('Sites'!E6=1,('Sites'!F6)&lt;=24,'Sites'!G6&gt;=13),IF(ISNUMBER('Sites'!P6),0,1)+'Capital'!I6+COUNTBLANK('Sites'!R6)+IF('Sites'!D6="NM crew",COUNTBLANK('NM Play'!B25)+1,5-COUNT('Assumptions'!R112:R116)),0)+IF(AND('Sites'!E7=1,('Sites'!F7+'Cases'!G8)&lt;=24,'Sites'!G7&gt;=13),IF(ISNUMBER('Sites'!P7),0,1)+'Capital'!I7+COUNTBLANK('Sites'!R7)+IF('Sites'!D7="NM crew",COUNTBLANK('NM Play'!B25)+1,5-COUNT('Assumptions'!R117:R121)),0)+IF(AND('Sites'!E8*'Cases'!F8=1,('Sites'!F8+'Cases'!G8)&lt;=24,'Sites'!G8&gt;=13),IF(ISNUMBER('Sites'!P8),0,1)+'Capital'!I8+COUNTBLANK('Sites'!R8)+IF('Sites'!D8="NM crew",COUNTBLANK('NM Play'!B25)+1,5-COUNT('Assumptions'!R122:R126)),0)+IF(AND('Cases'!C8&gt;0,NOT(ISNUMBER('Assumptions'!B42))),1,0)+'Responsibilities'!$B$39</f>
        <v/>
      </c>
      <c r="BK92" s="137">
        <f>'Assumptions'!$B$50+'NM Play'!$B$83+'Funding'!$F$20+SUMIFS('Production schedule'!$AN$222:$AN$329,'Production schedule'!$C$222:$C$329,15)+IF(OR('Cases'!E8&lt;0,'Cases'!E8&gt;1,'Cases'!C8&lt;0,'Cases'!D8&lt;0,ABS(SUM('Sites'!S6:S8)-1)&gt;0.0001,MIN('Capital'!F6:F8)&lt;0,MAX('Capital'!F6:F8)&gt;1,MIN(AX92,AZ92,BB92,BA92)&lt;-0.01),1,0)+'Responsibilities'!$B$40</f>
        <v/>
      </c>
      <c r="BL92" s="137">
        <f>SUMIFS('Production schedule'!$T$222:$T$329,'Production schedule'!$C$222:$C$329,15)</f>
        <v/>
      </c>
      <c r="BM92" s="137">
        <f>D92*'NM Play'!$B$38</f>
        <v/>
      </c>
      <c r="BN92" s="137">
        <f>SUMIFS('Production schedule'!$AM$222:$AM$329,'Production schedule'!$C$222:$C$329,15)</f>
        <v/>
      </c>
      <c r="BO92" s="137">
        <f>AK92-AK91-AJ92</f>
        <v/>
      </c>
      <c r="BP92" s="137">
        <f>IF(AND('Assumptions'!$B$39&gt;=0,'Assumptions'!$B$40&gt;0),-PMT('Assumptions'!$B$39/12,'Assumptions'!$B$40*12,IF('Funding'!$N$11&gt;0,'Funding'!$N$11,'Funding'!$T$11)),"")</f>
        <v/>
      </c>
      <c r="BQ92">
        <f>('Production schedule'!AJ236)*(1-'Responsibilities'!$C$6)+('Production schedule'!AJ272)*(1-'Responsibilities'!$C$7)+('Production schedule'!AJ308)*(1-'Responsibilities'!$C$8)</f>
        <v/>
      </c>
      <c r="BR92">
        <f>('Production schedule'!AI236)*(1-'Responsibilities'!$D$6)+('Production schedule'!AI272)*(1-'Responsibilities'!$D$7)+('Production schedule'!AI308)*(1-'Responsibilities'!$D$8)</f>
        <v/>
      </c>
      <c r="BS92">
        <f>('Production schedule'!E236*(IF('Sites'!D6="Annual staff",SUM('Assumptions'!R112,'Assumptions'!R114),0)+SUM('Assumptions'!R113,'Assumptions'!R115:R116)))*(1-'Responsibilities'!$E$6)+('Production schedule'!E272*(IF('Sites'!D7="Annual staff",SUM('Assumptions'!R117,'Assumptions'!R119),0)+SUM('Assumptions'!R118,'Assumptions'!R120:R121)))*(1-'Responsibilities'!$E$7)+('Production schedule'!E308*(IF('Sites'!D8="Annual staff",SUM('Assumptions'!R122,'Assumptions'!R124),0)+SUM('Assumptions'!R123,'Assumptions'!R125:R126)))*(1-'Responsibilities'!$E$8)</f>
        <v/>
      </c>
      <c r="BT92">
        <f>(IF(AND('Production schedule'!E236=1,15=MAX(('Sites'!F6),13),ISNUMBER('Sites'!P6)),'Sites'!P6*'Assumptions'!$B$44,0))*(1-'Responsibilities'!$F$6)+(IF(AND('Production schedule'!E272=1,15=MAX(('Sites'!F7+'Cases'!G8),13),ISNUMBER('Sites'!P7)),'Sites'!P7*'Assumptions'!$B$44,0))*(1-'Responsibilities'!$F$7)+(IF(AND('Production schedule'!E308=1,15=MAX(('Sites'!F8+'Cases'!G8),13),ISNUMBER('Sites'!P8)),'Sites'!P8*'Assumptions'!$B$44,0))*(1-'Responsibilities'!$F$8)</f>
        <v/>
      </c>
      <c r="BU92">
        <f>SUM('Costs'!E36)*'Costs'!F36/12*(1-'Responsibilities'!$C$12)+SUM('Costs'!E37)*'Costs'!F37/12*(1-'Responsibilities'!$C$13)+SUM('Costs'!E38)*'Costs'!F38/12*(1-'Responsibilities'!$C$14)+SUM('Costs'!E39)*'Costs'!F39/12*(1-'Responsibilities'!$C$15)+SUM('Costs'!E40)*'Costs'!F40/12*(1-'Responsibilities'!$C$16)</f>
        <v/>
      </c>
      <c r="BV92">
        <f>('Sites'!E6*'Capital'!E6*(IF(15='Capital'!G6,'Capital'!F6,0)+IF(15='Capital'!H6,1-'Capital'!F6,0)))*(1-'Responsibilities'!$G$6)+('Sites'!E7*'Capital'!E7*(IF(15='Capital'!G7+'Cases'!G8,'Capital'!F7,0)+IF(15='Capital'!H7+'Cases'!G8,1-'Capital'!F7,0)))*(1-'Responsibilities'!$G$7)+('Sites'!E8*'Cases'!F8*'Capital'!E8*(IF(15='Capital'!G8+'Cases'!G8,'Capital'!F8,0)+IF(15='Capital'!H8+'Cases'!G8,1-'Capital'!F8,0)))*(1-'Responsibilities'!$G$8)</f>
        <v/>
      </c>
      <c r="BW92">
        <f>SUM(BQ92:BV92)</f>
        <v/>
      </c>
      <c r="BX92">
        <f>N92+BW92</f>
        <v/>
      </c>
      <c r="BY92">
        <f>BX92-(('Production schedule'!AJ236)*'Responsibilities'!$C$6+('Production schedule'!AJ272)*'Responsibilities'!$C$7+('Production schedule'!AJ308)*'Responsibilities'!$C$8+('Production schedule'!AJ236)*(1-'Responsibilities'!$C$6)+('Production schedule'!AJ272)*(1-'Responsibilities'!$C$7)+('Production schedule'!AJ308)*(1-'Responsibilities'!$C$8)+('Production schedule'!AI236)*'Responsibilities'!$D$6+('Production schedule'!AI272)*'Responsibilities'!$D$7+('Production schedule'!AI308)*'Responsibilities'!$D$8+('Production schedule'!AI236)*(1-'Responsibilities'!$D$6)+('Production schedule'!AI272)*(1-'Responsibilities'!$D$7)+('Production schedule'!AI308)*(1-'Responsibilities'!$D$8)+('Production schedule'!E236*(IF('Sites'!D6="Annual staff",SUM('Assumptions'!R112,'Assumptions'!R114),0)+SUM('Assumptions'!R113,'Assumptions'!R115:R116)))*'Responsibilities'!$E$6+('Production schedule'!E272*(IF('Sites'!D7="Annual staff",SUM('Assumptions'!R117,'Assumptions'!R119),0)+SUM('Assumptions'!R118,'Assumptions'!R120:R121)))*'Responsibilities'!$E$7+('Production schedule'!E308*(IF('Sites'!D8="Annual staff",SUM('Assumptions'!R122,'Assumptions'!R124),0)+SUM('Assumptions'!R123,'Assumptions'!R125:R126)))*'Responsibilities'!$E$8+('Production schedule'!E236*(IF('Sites'!D6="Annual staff",SUM('Assumptions'!R112,'Assumptions'!R114),0)+SUM('Assumptions'!R113,'Assumptions'!R115:R116)))*(1-'Responsibilities'!$E$6)+('Production schedule'!E272*(IF('Sites'!D7="Annual staff",SUM('Assumptions'!R117,'Assumptions'!R119),0)+SUM('Assumptions'!R118,'Assumptions'!R120:R121)))*(1-'Responsibilities'!$E$7)+('Production schedule'!E308*(IF('Sites'!D8="Annual staff",SUM('Assumptions'!R122,'Assumptions'!R124),0)+SUM('Assumptions'!R123,'Assumptions'!R125:R126)))*(1-'Responsibilities'!$E$8)+(IF(AND('Production schedule'!E236=1,15=MAX(('Sites'!F6),13),ISNUMBER('Sites'!P6)),'Sites'!P6*'Assumptions'!$B$44,0))*'Responsibilities'!$F$6+(IF(AND('Production schedule'!E272=1,15=MAX(('Sites'!F7+'Cases'!G8),13),ISNUMBER('Sites'!P7)),'Sites'!P7*'Assumptions'!$B$44,0))*'Responsibilities'!$F$7+(IF(AND('Production schedule'!E308=1,15=MAX(('Sites'!F8+'Cases'!G8),13),ISNUMBER('Sites'!P8)),'Sites'!P8*'Assumptions'!$B$44,0))*'Responsibilities'!$F$8+(IF(AND('Production schedule'!E236=1,15=MAX(('Sites'!F6),13),ISNUMBER('Sites'!P6)),'Sites'!P6*'Assumptions'!$B$44,0))*(1-'Responsibilities'!$F$6)+(IF(AND('Production schedule'!E272=1,15=MAX(('Sites'!F7+'Cases'!G8),13),ISNUMBER('Sites'!P7)),'Sites'!P7*'Assumptions'!$B$44,0))*(1-'Responsibilities'!$F$7)+(IF(AND('Production schedule'!E308=1,15=MAX(('Sites'!F8+'Cases'!G8),13),ISNUMBER('Sites'!P8)),'Sites'!P8*'Assumptions'!$B$44,0))*(1-'Responsibilities'!$F$8)+('Sites'!E6*'Capital'!E6*(IF(15='Capital'!G6,'Capital'!F6,0)+IF(15='Capital'!H6,1-'Capital'!F6,0)))*'Responsibilities'!$G$6+('Sites'!E7*'Capital'!E7*(IF(15='Capital'!G7+'Cases'!G8,'Capital'!F7,0)+IF(15='Capital'!H7+'Cases'!G8,1-'Capital'!F7,0)))*'Responsibilities'!$G$7+('Sites'!E8*'Cases'!F8*'Capital'!E8*(IF(15='Capital'!G8+'Cases'!G8,'Capital'!F8,0)+IF(15='Capital'!H8+'Cases'!G8,1-'Capital'!F8,0)))*'Responsibilities'!$G$8+('Sites'!E6*'Capital'!E6*(IF(15='Capital'!G6,'Capital'!F6,0)+IF(15='Capital'!H6,1-'Capital'!F6,0)))*(1-'Responsibilities'!$G$6)+('Sites'!E7*'Capital'!E7*(IF(15='Capital'!G7+'Cases'!G8,'Capital'!F7,0)+IF(15='Capital'!H7+'Cases'!G8,1-'Capital'!F7,0)))*(1-'Responsibilities'!$G$7)+('Sites'!E8*'Cases'!F8*'Capital'!E8*(IF(15='Capital'!G8+'Cases'!G8,'Capital'!F8,0)+IF(15='Capital'!H8+'Cases'!G8,1-'Capital'!F8,0)))*(1-'Responsibilities'!$G$8)+I92+SUMPRODUCT('Costs'!$E$36:$E$40,'Costs'!$F$36:$F$40)/12+BZ92)</f>
        <v/>
      </c>
      <c r="BZ92">
        <f>SUMIFS('Responsibilities'!$B$31:$B$35,'Responsibilities'!$C$31:$C$35,15,'Responsibilities'!$D$31:$D$35,"Yes")</f>
        <v/>
      </c>
    </row>
    <row r="93" ht="28" customHeight="1">
      <c r="A93" s="4" t="inlineStr">
        <is>
          <t>No QBE</t>
        </is>
      </c>
      <c r="B93" s="4" t="n">
        <v>16</v>
      </c>
      <c r="C93" s="4">
        <f>ROUNDUP(B93/12,0)</f>
        <v/>
      </c>
      <c r="D93" s="137">
        <f>SUMIFS('Production schedule'!$N$222:$N$329,'Production schedule'!$C$222:$C$329,16)</f>
        <v/>
      </c>
      <c r="E93" s="137">
        <f>SUMIFS('Production schedule'!$Y$222:$Y$329,'Production schedule'!$C$222:$C$329,16)</f>
        <v/>
      </c>
      <c r="F93" s="137">
        <f>SUMIFS('Production schedule'!$Z$222:$Z$329,'Production schedule'!$C$222:$C$329,16)</f>
        <v/>
      </c>
      <c r="G93" s="137">
        <f>('Production schedule'!AJ237)*'Responsibilities'!$C$6+('Production schedule'!AJ273)*'Responsibilities'!$C$7+('Production schedule'!AJ309)*'Responsibilities'!$C$8</f>
        <v/>
      </c>
      <c r="H93" s="137">
        <f>('Production schedule'!AI237)*'Responsibilities'!$D$6+('Production schedule'!AI273)*'Responsibilities'!$D$7+('Production schedule'!AI309)*'Responsibilities'!$D$8</f>
        <v/>
      </c>
      <c r="I93" s="137">
        <f>SUM('Assumptions'!S58:S65)</f>
        <v/>
      </c>
      <c r="J93" s="137">
        <f>('Production schedule'!E237*(IF('Sites'!D6="Annual staff",SUM('Assumptions'!S112,'Assumptions'!S114),0)+SUM('Assumptions'!S113,'Assumptions'!S115:S116)))*'Responsibilities'!$E$6+('Production schedule'!E273*(IF('Sites'!D7="Annual staff",SUM('Assumptions'!S117,'Assumptions'!S119),0)+SUM('Assumptions'!S118,'Assumptions'!S120:S121)))*'Responsibilities'!$E$7+('Production schedule'!E309*(IF('Sites'!D8="Annual staff",SUM('Assumptions'!S122,'Assumptions'!S124),0)+SUM('Assumptions'!S123,'Assumptions'!S125:S126)))*'Responsibilities'!$E$8</f>
        <v/>
      </c>
      <c r="K93" s="137">
        <f>(IF(AND('Production schedule'!E237=1,16=MAX(('Sites'!F6),13),ISNUMBER('Sites'!P6)),'Sites'!P6*'Assumptions'!$B$44,0))*'Responsibilities'!$F$6+(IF(AND('Production schedule'!E273=1,16=MAX(('Sites'!F7+'Cases'!G8),13),ISNUMBER('Sites'!P7)),'Sites'!P7*'Assumptions'!$B$44,0))*'Responsibilities'!$F$7+(IF(AND('Production schedule'!E309=1,16=MAX(('Sites'!F8+'Cases'!G8),13),ISNUMBER('Sites'!P8)),'Sites'!P8*'Assumptions'!$B$44,0))*'Responsibilities'!$F$8</f>
        <v/>
      </c>
      <c r="L93" s="137">
        <f>SUM('Costs'!E36)*'Costs'!F36/12*'Responsibilities'!$C$12+SUM('Costs'!E37)*'Costs'!F37/12*'Responsibilities'!$C$13+SUM('Costs'!E38)*'Costs'!F38/12*'Responsibilities'!$C$14+SUM('Costs'!E39)*'Costs'!F39/12*'Responsibilities'!$C$15+SUM('Costs'!E40)*'Costs'!F40/12*'Responsibilities'!$C$16+BZ93</f>
        <v/>
      </c>
      <c r="M93" s="137">
        <f>('Sites'!E6*'Capital'!E6*(IF(16='Capital'!G6,'Capital'!F6,0)+IF(16='Capital'!H6,1-'Capital'!F6,0)))*'Responsibilities'!$G$6+('Sites'!E7*'Capital'!E7*(IF(16='Capital'!G7+'Cases'!G8,'Capital'!F7,0)+IF(16='Capital'!H7+'Cases'!G8,1-'Capital'!F7,0)))*'Responsibilities'!$G$7+('Sites'!E8*'Cases'!F8*'Capital'!E8*(IF(16='Capital'!G8+'Cases'!G8,'Capital'!F8,0)+IF(16='Capital'!H8+'Cases'!G8,1-'Capital'!F8,0)))*'Responsibilities'!$G$8</f>
        <v/>
      </c>
      <c r="N93" s="137">
        <f>SUM(G93:M93)</f>
        <v/>
      </c>
      <c r="O93" s="137">
        <f>SUMIFS(FundingTranches[Secured amount],FundingTranches[Instrument],"Grant",FundingTranches[Secured month],16)</f>
        <v/>
      </c>
      <c r="P93" s="137">
        <f>SUMIFS(FundingTranches[No QBE possible],FundingTranches[Instrument],"Grant",FundingTranches[Scenario month],16-'Cases'!$D$8)</f>
        <v/>
      </c>
      <c r="Q93" s="137">
        <f>SUMIFS(FundingTranches[Secured amount],FundingTranches[Instrument],"Loan",FundingTranches[Secured month],16)</f>
        <v/>
      </c>
      <c r="R93" s="137">
        <f>SUMIFS(FundingTranches[No QBE possible],FundingTranches[Instrument],"Loan",FundingTranches[Scenario month],16-'Cases'!$D$8)</f>
        <v/>
      </c>
      <c r="S93" s="137">
        <f>IF(16&lt;='Assumptions'!$B$34,0,SUMIFS('Production schedule'!$AL$222:$AL$329,'Production schedule'!$C$222:$C$329,16-'Assumptions'!$B$34))</f>
        <v/>
      </c>
      <c r="T93" s="137">
        <f>'Assumptions'!S70</f>
        <v/>
      </c>
      <c r="U93" s="137">
        <f>'Assumptions'!S78</f>
        <v/>
      </c>
      <c r="V93" s="137">
        <f>SUM(O93:U93)</f>
        <v/>
      </c>
      <c r="W93" s="137">
        <f>AA92</f>
        <v/>
      </c>
      <c r="X93" s="137">
        <f>SUM(Q93:R93)</f>
        <v/>
      </c>
      <c r="Y93" s="137">
        <f>SUM(W93,X93)*'Assumptions'!$B$39/12</f>
        <v/>
      </c>
      <c r="Z93" s="137">
        <f>IF(SUM(W93,X93)&gt;0,MIN(SUM(W93,X93),MAX(0,BP93-Y93)),0)</f>
        <v/>
      </c>
      <c r="AA93" s="137">
        <f>SUM(W93,X93)-Z93</f>
        <v/>
      </c>
      <c r="AB93" s="137">
        <f>SUM(Y93:Z93)</f>
        <v/>
      </c>
      <c r="AC93" s="137">
        <f>'Assumptions'!S72</f>
        <v/>
      </c>
      <c r="AD93" s="137">
        <f>'Assumptions'!S73</f>
        <v/>
      </c>
      <c r="AE93" s="137">
        <f>IF(X93&gt;0,SUM('Assumptions'!$B$42),0)</f>
        <v/>
      </c>
      <c r="AF93" s="137">
        <f>'Assumptions'!S71</f>
        <v/>
      </c>
      <c r="AG93" s="137">
        <f>'Assumptions'!S74</f>
        <v/>
      </c>
      <c r="AH93" s="137">
        <f>'Assumptions'!S75</f>
        <v/>
      </c>
      <c r="AI93" s="137">
        <f>'Assumptions'!S77</f>
        <v/>
      </c>
      <c r="AJ93" s="137">
        <f>V93-N93-SUM(AB93:AI93)</f>
        <v/>
      </c>
      <c r="AK93" s="137">
        <f>SUM(AJ78:AJ93)</f>
        <v/>
      </c>
      <c r="AL93" s="137">
        <f>IF(ISNUMBER('Assumptions'!$B$10),'Assumptions'!$B$10+AK93,"")</f>
        <v/>
      </c>
      <c r="AM93" s="137">
        <f>SUM(O93,Q93,T93)-N93-SUM(AC93:AI93)+IF('Funding'!$N$11=0,AE93,0)-IF('Funding'!$N$11&gt;0,AB93,0)</f>
        <v/>
      </c>
      <c r="AN93" s="137">
        <f>SUM(AM78:AM93)</f>
        <v/>
      </c>
      <c r="AO93" s="137">
        <f>IF(ISNUMBER('Assumptions'!$B$10),'Assumptions'!$B$10+AN93,"")</f>
        <v/>
      </c>
      <c r="AP93" s="137">
        <f>('Production schedule'!AK237)*'Responsibilities'!$C$6+('Production schedule'!AK273)*'Responsibilities'!$C$7+('Production schedule'!AK309)*'Responsibilities'!$C$8</f>
        <v/>
      </c>
      <c r="AQ93" s="137">
        <f>SUMIFS('Production schedule'!$AL$222:$AL$329,'Production schedule'!$C$222:$C$329,16)</f>
        <v/>
      </c>
      <c r="AR93" s="137">
        <f>IF(ISNUMBER('Assumptions'!S76),'Assumptions'!S76,SUM(O93:P93))</f>
        <v/>
      </c>
      <c r="AS93" s="137">
        <f>IF(ISNUMBER('Assumptions'!$B$13),MIN('Assumptions'!$B$13/'Assumptions'!$B$18/12,MAX(0,'Assumptions'!$B$13-(16-1)*'Assumptions'!$B$13/'Assumptions'!$B$18/12)),0)+IF(AND('Sites'!E6=1,16&gt;=('Sites'!F6),16&lt;('Sites'!F6)+'Assumptions'!$B$18*12),'Capital'!E6/'Assumptions'!$B$18/12,0)+IF(AND('Sites'!E7=1,16&gt;=('Sites'!F7+'Cases'!G8),16&lt;('Sites'!F7+'Cases'!G8)+'Assumptions'!$B$18*12),'Capital'!E7/'Assumptions'!$B$18/12,0)+IF(AND('Sites'!E8*'Cases'!F8=1,16&gt;=('Sites'!F8+'Cases'!G8),16&lt;('Sites'!F8+'Cases'!G8)+'Assumptions'!$B$18*12),'Capital'!E8/'Assumptions'!$B$18/12,0)</f>
        <v/>
      </c>
      <c r="AT93" s="137">
        <f>SUM(AQ93,AR93,U93)-AP93-SUM(H93:L93)-AS93-SUM(Y93,AD93,AE93,AH93)</f>
        <v/>
      </c>
      <c r="AU93" s="137">
        <f>IF(ISNUMBER('Assumptions'!$B$19),MAX(0,SUM(AT90:AT93))*'Assumptions'!$B$19-SUM(AU90:AU92),"")</f>
        <v/>
      </c>
      <c r="AV93" s="137">
        <f>IF(ISNUMBER(AU93),AT93-AU93,"")</f>
        <v/>
      </c>
      <c r="AW93" s="137">
        <f>IF(ISNUMBER('Assumptions'!$B$11),'Assumptions'!$B$11+SUM(AQ78:AQ93)-SUM(S78:S93)-SUM(T78:T93),"")</f>
        <v/>
      </c>
      <c r="AX93" s="137">
        <f>IF(ISNUMBER('Assumptions'!$B$12),'Assumptions'!$B$12+SUM(G78:G93)-SUM(AP78:AP93),"")</f>
        <v/>
      </c>
      <c r="AY93" s="137">
        <f>IF(ISNUMBER('Assumptions'!$B$13),'Assumptions'!$B$13+SUM(M78:M93)-SUM(AS78:AS93),"")</f>
        <v/>
      </c>
      <c r="AZ93" s="137">
        <f>IF(ISNUMBER('Assumptions'!$B$14),'Assumptions'!$B$14+-SUM(AF78:AF93),"")</f>
        <v/>
      </c>
      <c r="BA93" s="137">
        <f>IF(ISNUMBER('Assumptions'!$B$15),'Assumptions'!$B$15+SUM(O78:O93)+SUM(P78:P93)-SUM(AR78:AR93),"")</f>
        <v/>
      </c>
      <c r="BB93" s="137">
        <f>IF(ISNUMBER('Assumptions'!$B$16),'Assumptions'!$B$16+-SUM(AC78:AC93),"")</f>
        <v/>
      </c>
      <c r="BC93" s="137">
        <f>IF(AND(ISNUMBER('Assumptions'!$B$21),ISNUMBER('Assumptions'!$B$19)),'Assumptions'!$B$21+SUM(AU78:AU93)-SUM(AG78:AG93),"")</f>
        <v/>
      </c>
      <c r="BD93" s="137">
        <f>IF(ISNUMBER('Assumptions'!$B$20),'Assumptions'!$B$20+-SUM(AI78:AI93),"")</f>
        <v/>
      </c>
      <c r="BE93" s="137">
        <f>IF(AND(ISNUMBER('Assumptions'!$B$17),COUNT(AV78:AV93)=16),'Assumptions'!$B$17+SUM(AV78:AV93),"")</f>
        <v/>
      </c>
      <c r="BF93" s="137">
        <f>IF(COUNT(AL93,AW93:AY93)=4,SUM(AL93,AW93:AY93),"")</f>
        <v/>
      </c>
      <c r="BG93" s="137">
        <f>IF(COUNT(AZ93:BD93)=5,SUM(AZ93:BD93,AA93),"")</f>
        <v/>
      </c>
      <c r="BH93" s="137">
        <f>IF(COUNT(BF93,BG93,BE93)=3,BF93-BG93-BE93,"")</f>
        <v/>
      </c>
      <c r="BI93" s="137">
        <f>SUM(W93,X93)-Z93-AA93</f>
        <v/>
      </c>
      <c r="BJ93" s="137">
        <f>8-COUNT('Assumptions'!S58:S65)+COUNTBLANK('NM Play'!B33:B34)+'Costs'!E44+IF(AND('Sites'!E6=1,('Sites'!F6)&lt;=24,'Sites'!G6&gt;=13),IF(ISNUMBER('Sites'!P6),0,1)+'Capital'!I6+COUNTBLANK('Sites'!R6)+IF('Sites'!D6="NM crew",COUNTBLANK('NM Play'!B25)+1,5-COUNT('Assumptions'!S112:S116)),0)+IF(AND('Sites'!E7=1,('Sites'!F7+'Cases'!G8)&lt;=24,'Sites'!G7&gt;=13),IF(ISNUMBER('Sites'!P7),0,1)+'Capital'!I7+COUNTBLANK('Sites'!R7)+IF('Sites'!D7="NM crew",COUNTBLANK('NM Play'!B25)+1,5-COUNT('Assumptions'!S117:S121)),0)+IF(AND('Sites'!E8*'Cases'!F8=1,('Sites'!F8+'Cases'!G8)&lt;=24,'Sites'!G8&gt;=13),IF(ISNUMBER('Sites'!P8),0,1)+'Capital'!I8+COUNTBLANK('Sites'!R8)+IF('Sites'!D8="NM crew",COUNTBLANK('NM Play'!B25)+1,5-COUNT('Assumptions'!S122:S126)),0)+IF(AND('Cases'!C8&gt;0,NOT(ISNUMBER('Assumptions'!B42))),1,0)+'Responsibilities'!$B$39</f>
        <v/>
      </c>
      <c r="BK93" s="137">
        <f>'Assumptions'!$B$50+'NM Play'!$B$83+'Funding'!$F$20+SUMIFS('Production schedule'!$AN$222:$AN$329,'Production schedule'!$C$222:$C$329,16)+IF(OR('Cases'!E8&lt;0,'Cases'!E8&gt;1,'Cases'!C8&lt;0,'Cases'!D8&lt;0,ABS(SUM('Sites'!S6:S8)-1)&gt;0.0001,MIN('Capital'!F6:F8)&lt;0,MAX('Capital'!F6:F8)&gt;1,MIN(AX93,AZ93,BB93,BA93)&lt;-0.01),1,0)+'Responsibilities'!$B$40</f>
        <v/>
      </c>
      <c r="BL93" s="137">
        <f>SUMIFS('Production schedule'!$T$222:$T$329,'Production schedule'!$C$222:$C$329,16)</f>
        <v/>
      </c>
      <c r="BM93" s="137">
        <f>D93*'NM Play'!$B$38</f>
        <v/>
      </c>
      <c r="BN93" s="137">
        <f>SUMIFS('Production schedule'!$AM$222:$AM$329,'Production schedule'!$C$222:$C$329,16)</f>
        <v/>
      </c>
      <c r="BO93" s="137">
        <f>AK93-AK92-AJ93</f>
        <v/>
      </c>
      <c r="BP93" s="137">
        <f>IF(AND('Assumptions'!$B$39&gt;=0,'Assumptions'!$B$40&gt;0),-PMT('Assumptions'!$B$39/12,'Assumptions'!$B$40*12,IF('Funding'!$N$11&gt;0,'Funding'!$N$11,'Funding'!$T$11)),"")</f>
        <v/>
      </c>
      <c r="BQ93">
        <f>('Production schedule'!AJ237)*(1-'Responsibilities'!$C$6)+('Production schedule'!AJ273)*(1-'Responsibilities'!$C$7)+('Production schedule'!AJ309)*(1-'Responsibilities'!$C$8)</f>
        <v/>
      </c>
      <c r="BR93">
        <f>('Production schedule'!AI237)*(1-'Responsibilities'!$D$6)+('Production schedule'!AI273)*(1-'Responsibilities'!$D$7)+('Production schedule'!AI309)*(1-'Responsibilities'!$D$8)</f>
        <v/>
      </c>
      <c r="BS93">
        <f>('Production schedule'!E237*(IF('Sites'!D6="Annual staff",SUM('Assumptions'!S112,'Assumptions'!S114),0)+SUM('Assumptions'!S113,'Assumptions'!S115:S116)))*(1-'Responsibilities'!$E$6)+('Production schedule'!E273*(IF('Sites'!D7="Annual staff",SUM('Assumptions'!S117,'Assumptions'!S119),0)+SUM('Assumptions'!S118,'Assumptions'!S120:S121)))*(1-'Responsibilities'!$E$7)+('Production schedule'!E309*(IF('Sites'!D8="Annual staff",SUM('Assumptions'!S122,'Assumptions'!S124),0)+SUM('Assumptions'!S123,'Assumptions'!S125:S126)))*(1-'Responsibilities'!$E$8)</f>
        <v/>
      </c>
      <c r="BT93">
        <f>(IF(AND('Production schedule'!E237=1,16=MAX(('Sites'!F6),13),ISNUMBER('Sites'!P6)),'Sites'!P6*'Assumptions'!$B$44,0))*(1-'Responsibilities'!$F$6)+(IF(AND('Production schedule'!E273=1,16=MAX(('Sites'!F7+'Cases'!G8),13),ISNUMBER('Sites'!P7)),'Sites'!P7*'Assumptions'!$B$44,0))*(1-'Responsibilities'!$F$7)+(IF(AND('Production schedule'!E309=1,16=MAX(('Sites'!F8+'Cases'!G8),13),ISNUMBER('Sites'!P8)),'Sites'!P8*'Assumptions'!$B$44,0))*(1-'Responsibilities'!$F$8)</f>
        <v/>
      </c>
      <c r="BU93">
        <f>SUM('Costs'!E36)*'Costs'!F36/12*(1-'Responsibilities'!$C$12)+SUM('Costs'!E37)*'Costs'!F37/12*(1-'Responsibilities'!$C$13)+SUM('Costs'!E38)*'Costs'!F38/12*(1-'Responsibilities'!$C$14)+SUM('Costs'!E39)*'Costs'!F39/12*(1-'Responsibilities'!$C$15)+SUM('Costs'!E40)*'Costs'!F40/12*(1-'Responsibilities'!$C$16)</f>
        <v/>
      </c>
      <c r="BV93">
        <f>('Sites'!E6*'Capital'!E6*(IF(16='Capital'!G6,'Capital'!F6,0)+IF(16='Capital'!H6,1-'Capital'!F6,0)))*(1-'Responsibilities'!$G$6)+('Sites'!E7*'Capital'!E7*(IF(16='Capital'!G7+'Cases'!G8,'Capital'!F7,0)+IF(16='Capital'!H7+'Cases'!G8,1-'Capital'!F7,0)))*(1-'Responsibilities'!$G$7)+('Sites'!E8*'Cases'!F8*'Capital'!E8*(IF(16='Capital'!G8+'Cases'!G8,'Capital'!F8,0)+IF(16='Capital'!H8+'Cases'!G8,1-'Capital'!F8,0)))*(1-'Responsibilities'!$G$8)</f>
        <v/>
      </c>
      <c r="BW93">
        <f>SUM(BQ93:BV93)</f>
        <v/>
      </c>
      <c r="BX93">
        <f>N93+BW93</f>
        <v/>
      </c>
      <c r="BY93">
        <f>BX93-(('Production schedule'!AJ237)*'Responsibilities'!$C$6+('Production schedule'!AJ273)*'Responsibilities'!$C$7+('Production schedule'!AJ309)*'Responsibilities'!$C$8+('Production schedule'!AJ237)*(1-'Responsibilities'!$C$6)+('Production schedule'!AJ273)*(1-'Responsibilities'!$C$7)+('Production schedule'!AJ309)*(1-'Responsibilities'!$C$8)+('Production schedule'!AI237)*'Responsibilities'!$D$6+('Production schedule'!AI273)*'Responsibilities'!$D$7+('Production schedule'!AI309)*'Responsibilities'!$D$8+('Production schedule'!AI237)*(1-'Responsibilities'!$D$6)+('Production schedule'!AI273)*(1-'Responsibilities'!$D$7)+('Production schedule'!AI309)*(1-'Responsibilities'!$D$8)+('Production schedule'!E237*(IF('Sites'!D6="Annual staff",SUM('Assumptions'!S112,'Assumptions'!S114),0)+SUM('Assumptions'!S113,'Assumptions'!S115:S116)))*'Responsibilities'!$E$6+('Production schedule'!E273*(IF('Sites'!D7="Annual staff",SUM('Assumptions'!S117,'Assumptions'!S119),0)+SUM('Assumptions'!S118,'Assumptions'!S120:S121)))*'Responsibilities'!$E$7+('Production schedule'!E309*(IF('Sites'!D8="Annual staff",SUM('Assumptions'!S122,'Assumptions'!S124),0)+SUM('Assumptions'!S123,'Assumptions'!S125:S126)))*'Responsibilities'!$E$8+('Production schedule'!E237*(IF('Sites'!D6="Annual staff",SUM('Assumptions'!S112,'Assumptions'!S114),0)+SUM('Assumptions'!S113,'Assumptions'!S115:S116)))*(1-'Responsibilities'!$E$6)+('Production schedule'!E273*(IF('Sites'!D7="Annual staff",SUM('Assumptions'!S117,'Assumptions'!S119),0)+SUM('Assumptions'!S118,'Assumptions'!S120:S121)))*(1-'Responsibilities'!$E$7)+('Production schedule'!E309*(IF('Sites'!D8="Annual staff",SUM('Assumptions'!S122,'Assumptions'!S124),0)+SUM('Assumptions'!S123,'Assumptions'!S125:S126)))*(1-'Responsibilities'!$E$8)+(IF(AND('Production schedule'!E237=1,16=MAX(('Sites'!F6),13),ISNUMBER('Sites'!P6)),'Sites'!P6*'Assumptions'!$B$44,0))*'Responsibilities'!$F$6+(IF(AND('Production schedule'!E273=1,16=MAX(('Sites'!F7+'Cases'!G8),13),ISNUMBER('Sites'!P7)),'Sites'!P7*'Assumptions'!$B$44,0))*'Responsibilities'!$F$7+(IF(AND('Production schedule'!E309=1,16=MAX(('Sites'!F8+'Cases'!G8),13),ISNUMBER('Sites'!P8)),'Sites'!P8*'Assumptions'!$B$44,0))*'Responsibilities'!$F$8+(IF(AND('Production schedule'!E237=1,16=MAX(('Sites'!F6),13),ISNUMBER('Sites'!P6)),'Sites'!P6*'Assumptions'!$B$44,0))*(1-'Responsibilities'!$F$6)+(IF(AND('Production schedule'!E273=1,16=MAX(('Sites'!F7+'Cases'!G8),13),ISNUMBER('Sites'!P7)),'Sites'!P7*'Assumptions'!$B$44,0))*(1-'Responsibilities'!$F$7)+(IF(AND('Production schedule'!E309=1,16=MAX(('Sites'!F8+'Cases'!G8),13),ISNUMBER('Sites'!P8)),'Sites'!P8*'Assumptions'!$B$44,0))*(1-'Responsibilities'!$F$8)+('Sites'!E6*'Capital'!E6*(IF(16='Capital'!G6,'Capital'!F6,0)+IF(16='Capital'!H6,1-'Capital'!F6,0)))*'Responsibilities'!$G$6+('Sites'!E7*'Capital'!E7*(IF(16='Capital'!G7+'Cases'!G8,'Capital'!F7,0)+IF(16='Capital'!H7+'Cases'!G8,1-'Capital'!F7,0)))*'Responsibilities'!$G$7+('Sites'!E8*'Cases'!F8*'Capital'!E8*(IF(16='Capital'!G8+'Cases'!G8,'Capital'!F8,0)+IF(16='Capital'!H8+'Cases'!G8,1-'Capital'!F8,0)))*'Responsibilities'!$G$8+('Sites'!E6*'Capital'!E6*(IF(16='Capital'!G6,'Capital'!F6,0)+IF(16='Capital'!H6,1-'Capital'!F6,0)))*(1-'Responsibilities'!$G$6)+('Sites'!E7*'Capital'!E7*(IF(16='Capital'!G7+'Cases'!G8,'Capital'!F7,0)+IF(16='Capital'!H7+'Cases'!G8,1-'Capital'!F7,0)))*(1-'Responsibilities'!$G$7)+('Sites'!E8*'Cases'!F8*'Capital'!E8*(IF(16='Capital'!G8+'Cases'!G8,'Capital'!F8,0)+IF(16='Capital'!H8+'Cases'!G8,1-'Capital'!F8,0)))*(1-'Responsibilities'!$G$8)+I93+SUMPRODUCT('Costs'!$E$36:$E$40,'Costs'!$F$36:$F$40)/12+BZ93)</f>
        <v/>
      </c>
      <c r="BZ93">
        <f>SUMIFS('Responsibilities'!$B$31:$B$35,'Responsibilities'!$C$31:$C$35,16,'Responsibilities'!$D$31:$D$35,"Yes")</f>
        <v/>
      </c>
    </row>
    <row r="94" ht="28" customHeight="1">
      <c r="A94" s="4" t="inlineStr">
        <is>
          <t>No QBE</t>
        </is>
      </c>
      <c r="B94" s="4" t="n">
        <v>17</v>
      </c>
      <c r="C94" s="4">
        <f>ROUNDUP(B94/12,0)</f>
        <v/>
      </c>
      <c r="D94" s="137">
        <f>SUMIFS('Production schedule'!$N$222:$N$329,'Production schedule'!$C$222:$C$329,17)</f>
        <v/>
      </c>
      <c r="E94" s="137">
        <f>SUMIFS('Production schedule'!$Y$222:$Y$329,'Production schedule'!$C$222:$C$329,17)</f>
        <v/>
      </c>
      <c r="F94" s="137">
        <f>SUMIFS('Production schedule'!$Z$222:$Z$329,'Production schedule'!$C$222:$C$329,17)</f>
        <v/>
      </c>
      <c r="G94" s="137">
        <f>('Production schedule'!AJ238)*'Responsibilities'!$C$6+('Production schedule'!AJ274)*'Responsibilities'!$C$7+('Production schedule'!AJ310)*'Responsibilities'!$C$8</f>
        <v/>
      </c>
      <c r="H94" s="137">
        <f>('Production schedule'!AI238)*'Responsibilities'!$D$6+('Production schedule'!AI274)*'Responsibilities'!$D$7+('Production schedule'!AI310)*'Responsibilities'!$D$8</f>
        <v/>
      </c>
      <c r="I94" s="137">
        <f>SUM('Assumptions'!T58:T65)</f>
        <v/>
      </c>
      <c r="J94" s="137">
        <f>('Production schedule'!E238*(IF('Sites'!D6="Annual staff",SUM('Assumptions'!T112,'Assumptions'!T114),0)+SUM('Assumptions'!T113,'Assumptions'!T115:T116)))*'Responsibilities'!$E$6+('Production schedule'!E274*(IF('Sites'!D7="Annual staff",SUM('Assumptions'!T117,'Assumptions'!T119),0)+SUM('Assumptions'!T118,'Assumptions'!T120:T121)))*'Responsibilities'!$E$7+('Production schedule'!E310*(IF('Sites'!D8="Annual staff",SUM('Assumptions'!T122,'Assumptions'!T124),0)+SUM('Assumptions'!T123,'Assumptions'!T125:T126)))*'Responsibilities'!$E$8</f>
        <v/>
      </c>
      <c r="K94" s="137">
        <f>(IF(AND('Production schedule'!E238=1,17=MAX(('Sites'!F6),13),ISNUMBER('Sites'!P6)),'Sites'!P6*'Assumptions'!$B$44,0))*'Responsibilities'!$F$6+(IF(AND('Production schedule'!E274=1,17=MAX(('Sites'!F7+'Cases'!G8),13),ISNUMBER('Sites'!P7)),'Sites'!P7*'Assumptions'!$B$44,0))*'Responsibilities'!$F$7+(IF(AND('Production schedule'!E310=1,17=MAX(('Sites'!F8+'Cases'!G8),13),ISNUMBER('Sites'!P8)),'Sites'!P8*'Assumptions'!$B$44,0))*'Responsibilities'!$F$8</f>
        <v/>
      </c>
      <c r="L94" s="137">
        <f>SUM('Costs'!E36)*'Costs'!F36/12*'Responsibilities'!$C$12+SUM('Costs'!E37)*'Costs'!F37/12*'Responsibilities'!$C$13+SUM('Costs'!E38)*'Costs'!F38/12*'Responsibilities'!$C$14+SUM('Costs'!E39)*'Costs'!F39/12*'Responsibilities'!$C$15+SUM('Costs'!E40)*'Costs'!F40/12*'Responsibilities'!$C$16+BZ94</f>
        <v/>
      </c>
      <c r="M94" s="137">
        <f>('Sites'!E6*'Capital'!E6*(IF(17='Capital'!G6,'Capital'!F6,0)+IF(17='Capital'!H6,1-'Capital'!F6,0)))*'Responsibilities'!$G$6+('Sites'!E7*'Capital'!E7*(IF(17='Capital'!G7+'Cases'!G8,'Capital'!F7,0)+IF(17='Capital'!H7+'Cases'!G8,1-'Capital'!F7,0)))*'Responsibilities'!$G$7+('Sites'!E8*'Cases'!F8*'Capital'!E8*(IF(17='Capital'!G8+'Cases'!G8,'Capital'!F8,0)+IF(17='Capital'!H8+'Cases'!G8,1-'Capital'!F8,0)))*'Responsibilities'!$G$8</f>
        <v/>
      </c>
      <c r="N94" s="137">
        <f>SUM(G94:M94)</f>
        <v/>
      </c>
      <c r="O94" s="137">
        <f>SUMIFS(FundingTranches[Secured amount],FundingTranches[Instrument],"Grant",FundingTranches[Secured month],17)</f>
        <v/>
      </c>
      <c r="P94" s="137">
        <f>SUMIFS(FundingTranches[No QBE possible],FundingTranches[Instrument],"Grant",FundingTranches[Scenario month],17-'Cases'!$D$8)</f>
        <v/>
      </c>
      <c r="Q94" s="137">
        <f>SUMIFS(FundingTranches[Secured amount],FundingTranches[Instrument],"Loan",FundingTranches[Secured month],17)</f>
        <v/>
      </c>
      <c r="R94" s="137">
        <f>SUMIFS(FundingTranches[No QBE possible],FundingTranches[Instrument],"Loan",FundingTranches[Scenario month],17-'Cases'!$D$8)</f>
        <v/>
      </c>
      <c r="S94" s="137">
        <f>IF(17&lt;='Assumptions'!$B$34,0,SUMIFS('Production schedule'!$AL$222:$AL$329,'Production schedule'!$C$222:$C$329,17-'Assumptions'!$B$34))</f>
        <v/>
      </c>
      <c r="T94" s="137">
        <f>'Assumptions'!T70</f>
        <v/>
      </c>
      <c r="U94" s="137">
        <f>'Assumptions'!T78</f>
        <v/>
      </c>
      <c r="V94" s="137">
        <f>SUM(O94:U94)</f>
        <v/>
      </c>
      <c r="W94" s="137">
        <f>AA93</f>
        <v/>
      </c>
      <c r="X94" s="137">
        <f>SUM(Q94:R94)</f>
        <v/>
      </c>
      <c r="Y94" s="137">
        <f>SUM(W94,X94)*'Assumptions'!$B$39/12</f>
        <v/>
      </c>
      <c r="Z94" s="137">
        <f>IF(SUM(W94,X94)&gt;0,MIN(SUM(W94,X94),MAX(0,BP94-Y94)),0)</f>
        <v/>
      </c>
      <c r="AA94" s="137">
        <f>SUM(W94,X94)-Z94</f>
        <v/>
      </c>
      <c r="AB94" s="137">
        <f>SUM(Y94:Z94)</f>
        <v/>
      </c>
      <c r="AC94" s="137">
        <f>'Assumptions'!T72</f>
        <v/>
      </c>
      <c r="AD94" s="137">
        <f>'Assumptions'!T73</f>
        <v/>
      </c>
      <c r="AE94" s="137">
        <f>IF(X94&gt;0,SUM('Assumptions'!$B$42),0)</f>
        <v/>
      </c>
      <c r="AF94" s="137">
        <f>'Assumptions'!T71</f>
        <v/>
      </c>
      <c r="AG94" s="137">
        <f>'Assumptions'!T74</f>
        <v/>
      </c>
      <c r="AH94" s="137">
        <f>'Assumptions'!T75</f>
        <v/>
      </c>
      <c r="AI94" s="137">
        <f>'Assumptions'!T77</f>
        <v/>
      </c>
      <c r="AJ94" s="137">
        <f>V94-N94-SUM(AB94:AI94)</f>
        <v/>
      </c>
      <c r="AK94" s="137">
        <f>SUM(AJ78:AJ94)</f>
        <v/>
      </c>
      <c r="AL94" s="137">
        <f>IF(ISNUMBER('Assumptions'!$B$10),'Assumptions'!$B$10+AK94,"")</f>
        <v/>
      </c>
      <c r="AM94" s="137">
        <f>SUM(O94,Q94,T94)-N94-SUM(AC94:AI94)+IF('Funding'!$N$11=0,AE94,0)-IF('Funding'!$N$11&gt;0,AB94,0)</f>
        <v/>
      </c>
      <c r="AN94" s="137">
        <f>SUM(AM78:AM94)</f>
        <v/>
      </c>
      <c r="AO94" s="137">
        <f>IF(ISNUMBER('Assumptions'!$B$10),'Assumptions'!$B$10+AN94,"")</f>
        <v/>
      </c>
      <c r="AP94" s="137">
        <f>('Production schedule'!AK238)*'Responsibilities'!$C$6+('Production schedule'!AK274)*'Responsibilities'!$C$7+('Production schedule'!AK310)*'Responsibilities'!$C$8</f>
        <v/>
      </c>
      <c r="AQ94" s="137">
        <f>SUMIFS('Production schedule'!$AL$222:$AL$329,'Production schedule'!$C$222:$C$329,17)</f>
        <v/>
      </c>
      <c r="AR94" s="137">
        <f>IF(ISNUMBER('Assumptions'!T76),'Assumptions'!T76,SUM(O94:P94))</f>
        <v/>
      </c>
      <c r="AS94" s="137">
        <f>IF(ISNUMBER('Assumptions'!$B$13),MIN('Assumptions'!$B$13/'Assumptions'!$B$18/12,MAX(0,'Assumptions'!$B$13-(17-1)*'Assumptions'!$B$13/'Assumptions'!$B$18/12)),0)+IF(AND('Sites'!E6=1,17&gt;=('Sites'!F6),17&lt;('Sites'!F6)+'Assumptions'!$B$18*12),'Capital'!E6/'Assumptions'!$B$18/12,0)+IF(AND('Sites'!E7=1,17&gt;=('Sites'!F7+'Cases'!G8),17&lt;('Sites'!F7+'Cases'!G8)+'Assumptions'!$B$18*12),'Capital'!E7/'Assumptions'!$B$18/12,0)+IF(AND('Sites'!E8*'Cases'!F8=1,17&gt;=('Sites'!F8+'Cases'!G8),17&lt;('Sites'!F8+'Cases'!G8)+'Assumptions'!$B$18*12),'Capital'!E8/'Assumptions'!$B$18/12,0)</f>
        <v/>
      </c>
      <c r="AT94" s="137">
        <f>SUM(AQ94,AR94,U94)-AP94-SUM(H94:L94)-AS94-SUM(Y94,AD94,AE94,AH94)</f>
        <v/>
      </c>
      <c r="AU94" s="137">
        <f>IF(ISNUMBER('Assumptions'!$B$19),MAX(0,SUM(AT90:AT94))*'Assumptions'!$B$19-SUM(AU90:AU93),"")</f>
        <v/>
      </c>
      <c r="AV94" s="137">
        <f>IF(ISNUMBER(AU94),AT94-AU94,"")</f>
        <v/>
      </c>
      <c r="AW94" s="137">
        <f>IF(ISNUMBER('Assumptions'!$B$11),'Assumptions'!$B$11+SUM(AQ78:AQ94)-SUM(S78:S94)-SUM(T78:T94),"")</f>
        <v/>
      </c>
      <c r="AX94" s="137">
        <f>IF(ISNUMBER('Assumptions'!$B$12),'Assumptions'!$B$12+SUM(G78:G94)-SUM(AP78:AP94),"")</f>
        <v/>
      </c>
      <c r="AY94" s="137">
        <f>IF(ISNUMBER('Assumptions'!$B$13),'Assumptions'!$B$13+SUM(M78:M94)-SUM(AS78:AS94),"")</f>
        <v/>
      </c>
      <c r="AZ94" s="137">
        <f>IF(ISNUMBER('Assumptions'!$B$14),'Assumptions'!$B$14+-SUM(AF78:AF94),"")</f>
        <v/>
      </c>
      <c r="BA94" s="137">
        <f>IF(ISNUMBER('Assumptions'!$B$15),'Assumptions'!$B$15+SUM(O78:O94)+SUM(P78:P94)-SUM(AR78:AR94),"")</f>
        <v/>
      </c>
      <c r="BB94" s="137">
        <f>IF(ISNUMBER('Assumptions'!$B$16),'Assumptions'!$B$16+-SUM(AC78:AC94),"")</f>
        <v/>
      </c>
      <c r="BC94" s="137">
        <f>IF(AND(ISNUMBER('Assumptions'!$B$21),ISNUMBER('Assumptions'!$B$19)),'Assumptions'!$B$21+SUM(AU78:AU94)-SUM(AG78:AG94),"")</f>
        <v/>
      </c>
      <c r="BD94" s="137">
        <f>IF(ISNUMBER('Assumptions'!$B$20),'Assumptions'!$B$20+-SUM(AI78:AI94),"")</f>
        <v/>
      </c>
      <c r="BE94" s="137">
        <f>IF(AND(ISNUMBER('Assumptions'!$B$17),COUNT(AV78:AV94)=17),'Assumptions'!$B$17+SUM(AV78:AV94),"")</f>
        <v/>
      </c>
      <c r="BF94" s="137">
        <f>IF(COUNT(AL94,AW94:AY94)=4,SUM(AL94,AW94:AY94),"")</f>
        <v/>
      </c>
      <c r="BG94" s="137">
        <f>IF(COUNT(AZ94:BD94)=5,SUM(AZ94:BD94,AA94),"")</f>
        <v/>
      </c>
      <c r="BH94" s="137">
        <f>IF(COUNT(BF94,BG94,BE94)=3,BF94-BG94-BE94,"")</f>
        <v/>
      </c>
      <c r="BI94" s="137">
        <f>SUM(W94,X94)-Z94-AA94</f>
        <v/>
      </c>
      <c r="BJ94" s="137">
        <f>8-COUNT('Assumptions'!T58:T65)+COUNTBLANK('NM Play'!B33:B34)+'Costs'!E44+IF(AND('Sites'!E6=1,('Sites'!F6)&lt;=24,'Sites'!G6&gt;=13),IF(ISNUMBER('Sites'!P6),0,1)+'Capital'!I6+COUNTBLANK('Sites'!R6)+IF('Sites'!D6="NM crew",COUNTBLANK('NM Play'!B25)+1,5-COUNT('Assumptions'!T112:T116)),0)+IF(AND('Sites'!E7=1,('Sites'!F7+'Cases'!G8)&lt;=24,'Sites'!G7&gt;=13),IF(ISNUMBER('Sites'!P7),0,1)+'Capital'!I7+COUNTBLANK('Sites'!R7)+IF('Sites'!D7="NM crew",COUNTBLANK('NM Play'!B25)+1,5-COUNT('Assumptions'!T117:T121)),0)+IF(AND('Sites'!E8*'Cases'!F8=1,('Sites'!F8+'Cases'!G8)&lt;=24,'Sites'!G8&gt;=13),IF(ISNUMBER('Sites'!P8),0,1)+'Capital'!I8+COUNTBLANK('Sites'!R8)+IF('Sites'!D8="NM crew",COUNTBLANK('NM Play'!B25)+1,5-COUNT('Assumptions'!T122:T126)),0)+IF(AND('Cases'!C8&gt;0,NOT(ISNUMBER('Assumptions'!B42))),1,0)+'Responsibilities'!$B$39</f>
        <v/>
      </c>
      <c r="BK94" s="137">
        <f>'Assumptions'!$B$50+'NM Play'!$B$83+'Funding'!$F$20+SUMIFS('Production schedule'!$AN$222:$AN$329,'Production schedule'!$C$222:$C$329,17)+IF(OR('Cases'!E8&lt;0,'Cases'!E8&gt;1,'Cases'!C8&lt;0,'Cases'!D8&lt;0,ABS(SUM('Sites'!S6:S8)-1)&gt;0.0001,MIN('Capital'!F6:F8)&lt;0,MAX('Capital'!F6:F8)&gt;1,MIN(AX94,AZ94,BB94,BA94)&lt;-0.01),1,0)+'Responsibilities'!$B$40</f>
        <v/>
      </c>
      <c r="BL94" s="137">
        <f>SUMIFS('Production schedule'!$T$222:$T$329,'Production schedule'!$C$222:$C$329,17)</f>
        <v/>
      </c>
      <c r="BM94" s="137">
        <f>D94*'NM Play'!$B$38</f>
        <v/>
      </c>
      <c r="BN94" s="137">
        <f>SUMIFS('Production schedule'!$AM$222:$AM$329,'Production schedule'!$C$222:$C$329,17)</f>
        <v/>
      </c>
      <c r="BO94" s="137">
        <f>AK94-AK93-AJ94</f>
        <v/>
      </c>
      <c r="BP94" s="137">
        <f>IF(AND('Assumptions'!$B$39&gt;=0,'Assumptions'!$B$40&gt;0),-PMT('Assumptions'!$B$39/12,'Assumptions'!$B$40*12,IF('Funding'!$N$11&gt;0,'Funding'!$N$11,'Funding'!$T$11)),"")</f>
        <v/>
      </c>
      <c r="BQ94">
        <f>('Production schedule'!AJ238)*(1-'Responsibilities'!$C$6)+('Production schedule'!AJ274)*(1-'Responsibilities'!$C$7)+('Production schedule'!AJ310)*(1-'Responsibilities'!$C$8)</f>
        <v/>
      </c>
      <c r="BR94">
        <f>('Production schedule'!AI238)*(1-'Responsibilities'!$D$6)+('Production schedule'!AI274)*(1-'Responsibilities'!$D$7)+('Production schedule'!AI310)*(1-'Responsibilities'!$D$8)</f>
        <v/>
      </c>
      <c r="BS94">
        <f>('Production schedule'!E238*(IF('Sites'!D6="Annual staff",SUM('Assumptions'!T112,'Assumptions'!T114),0)+SUM('Assumptions'!T113,'Assumptions'!T115:T116)))*(1-'Responsibilities'!$E$6)+('Production schedule'!E274*(IF('Sites'!D7="Annual staff",SUM('Assumptions'!T117,'Assumptions'!T119),0)+SUM('Assumptions'!T118,'Assumptions'!T120:T121)))*(1-'Responsibilities'!$E$7)+('Production schedule'!E310*(IF('Sites'!D8="Annual staff",SUM('Assumptions'!T122,'Assumptions'!T124),0)+SUM('Assumptions'!T123,'Assumptions'!T125:T126)))*(1-'Responsibilities'!$E$8)</f>
        <v/>
      </c>
      <c r="BT94">
        <f>(IF(AND('Production schedule'!E238=1,17=MAX(('Sites'!F6),13),ISNUMBER('Sites'!P6)),'Sites'!P6*'Assumptions'!$B$44,0))*(1-'Responsibilities'!$F$6)+(IF(AND('Production schedule'!E274=1,17=MAX(('Sites'!F7+'Cases'!G8),13),ISNUMBER('Sites'!P7)),'Sites'!P7*'Assumptions'!$B$44,0))*(1-'Responsibilities'!$F$7)+(IF(AND('Production schedule'!E310=1,17=MAX(('Sites'!F8+'Cases'!G8),13),ISNUMBER('Sites'!P8)),'Sites'!P8*'Assumptions'!$B$44,0))*(1-'Responsibilities'!$F$8)</f>
        <v/>
      </c>
      <c r="BU94">
        <f>SUM('Costs'!E36)*'Costs'!F36/12*(1-'Responsibilities'!$C$12)+SUM('Costs'!E37)*'Costs'!F37/12*(1-'Responsibilities'!$C$13)+SUM('Costs'!E38)*'Costs'!F38/12*(1-'Responsibilities'!$C$14)+SUM('Costs'!E39)*'Costs'!F39/12*(1-'Responsibilities'!$C$15)+SUM('Costs'!E40)*'Costs'!F40/12*(1-'Responsibilities'!$C$16)</f>
        <v/>
      </c>
      <c r="BV94">
        <f>('Sites'!E6*'Capital'!E6*(IF(17='Capital'!G6,'Capital'!F6,0)+IF(17='Capital'!H6,1-'Capital'!F6,0)))*(1-'Responsibilities'!$G$6)+('Sites'!E7*'Capital'!E7*(IF(17='Capital'!G7+'Cases'!G8,'Capital'!F7,0)+IF(17='Capital'!H7+'Cases'!G8,1-'Capital'!F7,0)))*(1-'Responsibilities'!$G$7)+('Sites'!E8*'Cases'!F8*'Capital'!E8*(IF(17='Capital'!G8+'Cases'!G8,'Capital'!F8,0)+IF(17='Capital'!H8+'Cases'!G8,1-'Capital'!F8,0)))*(1-'Responsibilities'!$G$8)</f>
        <v/>
      </c>
      <c r="BW94">
        <f>SUM(BQ94:BV94)</f>
        <v/>
      </c>
      <c r="BX94">
        <f>N94+BW94</f>
        <v/>
      </c>
      <c r="BY94">
        <f>BX94-(('Production schedule'!AJ238)*'Responsibilities'!$C$6+('Production schedule'!AJ274)*'Responsibilities'!$C$7+('Production schedule'!AJ310)*'Responsibilities'!$C$8+('Production schedule'!AJ238)*(1-'Responsibilities'!$C$6)+('Production schedule'!AJ274)*(1-'Responsibilities'!$C$7)+('Production schedule'!AJ310)*(1-'Responsibilities'!$C$8)+('Production schedule'!AI238)*'Responsibilities'!$D$6+('Production schedule'!AI274)*'Responsibilities'!$D$7+('Production schedule'!AI310)*'Responsibilities'!$D$8+('Production schedule'!AI238)*(1-'Responsibilities'!$D$6)+('Production schedule'!AI274)*(1-'Responsibilities'!$D$7)+('Production schedule'!AI310)*(1-'Responsibilities'!$D$8)+('Production schedule'!E238*(IF('Sites'!D6="Annual staff",SUM('Assumptions'!T112,'Assumptions'!T114),0)+SUM('Assumptions'!T113,'Assumptions'!T115:T116)))*'Responsibilities'!$E$6+('Production schedule'!E274*(IF('Sites'!D7="Annual staff",SUM('Assumptions'!T117,'Assumptions'!T119),0)+SUM('Assumptions'!T118,'Assumptions'!T120:T121)))*'Responsibilities'!$E$7+('Production schedule'!E310*(IF('Sites'!D8="Annual staff",SUM('Assumptions'!T122,'Assumptions'!T124),0)+SUM('Assumptions'!T123,'Assumptions'!T125:T126)))*'Responsibilities'!$E$8+('Production schedule'!E238*(IF('Sites'!D6="Annual staff",SUM('Assumptions'!T112,'Assumptions'!T114),0)+SUM('Assumptions'!T113,'Assumptions'!T115:T116)))*(1-'Responsibilities'!$E$6)+('Production schedule'!E274*(IF('Sites'!D7="Annual staff",SUM('Assumptions'!T117,'Assumptions'!T119),0)+SUM('Assumptions'!T118,'Assumptions'!T120:T121)))*(1-'Responsibilities'!$E$7)+('Production schedule'!E310*(IF('Sites'!D8="Annual staff",SUM('Assumptions'!T122,'Assumptions'!T124),0)+SUM('Assumptions'!T123,'Assumptions'!T125:T126)))*(1-'Responsibilities'!$E$8)+(IF(AND('Production schedule'!E238=1,17=MAX(('Sites'!F6),13),ISNUMBER('Sites'!P6)),'Sites'!P6*'Assumptions'!$B$44,0))*'Responsibilities'!$F$6+(IF(AND('Production schedule'!E274=1,17=MAX(('Sites'!F7+'Cases'!G8),13),ISNUMBER('Sites'!P7)),'Sites'!P7*'Assumptions'!$B$44,0))*'Responsibilities'!$F$7+(IF(AND('Production schedule'!E310=1,17=MAX(('Sites'!F8+'Cases'!G8),13),ISNUMBER('Sites'!P8)),'Sites'!P8*'Assumptions'!$B$44,0))*'Responsibilities'!$F$8+(IF(AND('Production schedule'!E238=1,17=MAX(('Sites'!F6),13),ISNUMBER('Sites'!P6)),'Sites'!P6*'Assumptions'!$B$44,0))*(1-'Responsibilities'!$F$6)+(IF(AND('Production schedule'!E274=1,17=MAX(('Sites'!F7+'Cases'!G8),13),ISNUMBER('Sites'!P7)),'Sites'!P7*'Assumptions'!$B$44,0))*(1-'Responsibilities'!$F$7)+(IF(AND('Production schedule'!E310=1,17=MAX(('Sites'!F8+'Cases'!G8),13),ISNUMBER('Sites'!P8)),'Sites'!P8*'Assumptions'!$B$44,0))*(1-'Responsibilities'!$F$8)+('Sites'!E6*'Capital'!E6*(IF(17='Capital'!G6,'Capital'!F6,0)+IF(17='Capital'!H6,1-'Capital'!F6,0)))*'Responsibilities'!$G$6+('Sites'!E7*'Capital'!E7*(IF(17='Capital'!G7+'Cases'!G8,'Capital'!F7,0)+IF(17='Capital'!H7+'Cases'!G8,1-'Capital'!F7,0)))*'Responsibilities'!$G$7+('Sites'!E8*'Cases'!F8*'Capital'!E8*(IF(17='Capital'!G8+'Cases'!G8,'Capital'!F8,0)+IF(17='Capital'!H8+'Cases'!G8,1-'Capital'!F8,0)))*'Responsibilities'!$G$8+('Sites'!E6*'Capital'!E6*(IF(17='Capital'!G6,'Capital'!F6,0)+IF(17='Capital'!H6,1-'Capital'!F6,0)))*(1-'Responsibilities'!$G$6)+('Sites'!E7*'Capital'!E7*(IF(17='Capital'!G7+'Cases'!G8,'Capital'!F7,0)+IF(17='Capital'!H7+'Cases'!G8,1-'Capital'!F7,0)))*(1-'Responsibilities'!$G$7)+('Sites'!E8*'Cases'!F8*'Capital'!E8*(IF(17='Capital'!G8+'Cases'!G8,'Capital'!F8,0)+IF(17='Capital'!H8+'Cases'!G8,1-'Capital'!F8,0)))*(1-'Responsibilities'!$G$8)+I94+SUMPRODUCT('Costs'!$E$36:$E$40,'Costs'!$F$36:$F$40)/12+BZ94)</f>
        <v/>
      </c>
      <c r="BZ94">
        <f>SUMIFS('Responsibilities'!$B$31:$B$35,'Responsibilities'!$C$31:$C$35,17,'Responsibilities'!$D$31:$D$35,"Yes")</f>
        <v/>
      </c>
    </row>
    <row r="95" ht="28" customHeight="1">
      <c r="A95" s="4" t="inlineStr">
        <is>
          <t>No QBE</t>
        </is>
      </c>
      <c r="B95" s="4" t="n">
        <v>18</v>
      </c>
      <c r="C95" s="4">
        <f>ROUNDUP(B95/12,0)</f>
        <v/>
      </c>
      <c r="D95" s="137">
        <f>SUMIFS('Production schedule'!$N$222:$N$329,'Production schedule'!$C$222:$C$329,18)</f>
        <v/>
      </c>
      <c r="E95" s="137">
        <f>SUMIFS('Production schedule'!$Y$222:$Y$329,'Production schedule'!$C$222:$C$329,18)</f>
        <v/>
      </c>
      <c r="F95" s="137">
        <f>SUMIFS('Production schedule'!$Z$222:$Z$329,'Production schedule'!$C$222:$C$329,18)</f>
        <v/>
      </c>
      <c r="G95" s="137">
        <f>('Production schedule'!AJ239)*'Responsibilities'!$C$6+('Production schedule'!AJ275)*'Responsibilities'!$C$7+('Production schedule'!AJ311)*'Responsibilities'!$C$8</f>
        <v/>
      </c>
      <c r="H95" s="137">
        <f>('Production schedule'!AI239)*'Responsibilities'!$D$6+('Production schedule'!AI275)*'Responsibilities'!$D$7+('Production schedule'!AI311)*'Responsibilities'!$D$8</f>
        <v/>
      </c>
      <c r="I95" s="137">
        <f>SUM('Assumptions'!U58:U65)</f>
        <v/>
      </c>
      <c r="J95" s="137">
        <f>('Production schedule'!E239*(IF('Sites'!D6="Annual staff",SUM('Assumptions'!U112,'Assumptions'!U114),0)+SUM('Assumptions'!U113,'Assumptions'!U115:U116)))*'Responsibilities'!$E$6+('Production schedule'!E275*(IF('Sites'!D7="Annual staff",SUM('Assumptions'!U117,'Assumptions'!U119),0)+SUM('Assumptions'!U118,'Assumptions'!U120:U121)))*'Responsibilities'!$E$7+('Production schedule'!E311*(IF('Sites'!D8="Annual staff",SUM('Assumptions'!U122,'Assumptions'!U124),0)+SUM('Assumptions'!U123,'Assumptions'!U125:U126)))*'Responsibilities'!$E$8</f>
        <v/>
      </c>
      <c r="K95" s="137">
        <f>(IF(AND('Production schedule'!E239=1,18=MAX(('Sites'!F6),13),ISNUMBER('Sites'!P6)),'Sites'!P6*'Assumptions'!$B$44,0))*'Responsibilities'!$F$6+(IF(AND('Production schedule'!E275=1,18=MAX(('Sites'!F7+'Cases'!G8),13),ISNUMBER('Sites'!P7)),'Sites'!P7*'Assumptions'!$B$44,0))*'Responsibilities'!$F$7+(IF(AND('Production schedule'!E311=1,18=MAX(('Sites'!F8+'Cases'!G8),13),ISNUMBER('Sites'!P8)),'Sites'!P8*'Assumptions'!$B$44,0))*'Responsibilities'!$F$8</f>
        <v/>
      </c>
      <c r="L95" s="137">
        <f>SUM('Costs'!E36)*'Costs'!F36/12*'Responsibilities'!$C$12+SUM('Costs'!E37)*'Costs'!F37/12*'Responsibilities'!$C$13+SUM('Costs'!E38)*'Costs'!F38/12*'Responsibilities'!$C$14+SUM('Costs'!E39)*'Costs'!F39/12*'Responsibilities'!$C$15+SUM('Costs'!E40)*'Costs'!F40/12*'Responsibilities'!$C$16+BZ95</f>
        <v/>
      </c>
      <c r="M95" s="137">
        <f>('Sites'!E6*'Capital'!E6*(IF(18='Capital'!G6,'Capital'!F6,0)+IF(18='Capital'!H6,1-'Capital'!F6,0)))*'Responsibilities'!$G$6+('Sites'!E7*'Capital'!E7*(IF(18='Capital'!G7+'Cases'!G8,'Capital'!F7,0)+IF(18='Capital'!H7+'Cases'!G8,1-'Capital'!F7,0)))*'Responsibilities'!$G$7+('Sites'!E8*'Cases'!F8*'Capital'!E8*(IF(18='Capital'!G8+'Cases'!G8,'Capital'!F8,0)+IF(18='Capital'!H8+'Cases'!G8,1-'Capital'!F8,0)))*'Responsibilities'!$G$8</f>
        <v/>
      </c>
      <c r="N95" s="137">
        <f>SUM(G95:M95)</f>
        <v/>
      </c>
      <c r="O95" s="137">
        <f>SUMIFS(FundingTranches[Secured amount],FundingTranches[Instrument],"Grant",FundingTranches[Secured month],18)</f>
        <v/>
      </c>
      <c r="P95" s="137">
        <f>SUMIFS(FundingTranches[No QBE possible],FundingTranches[Instrument],"Grant",FundingTranches[Scenario month],18-'Cases'!$D$8)</f>
        <v/>
      </c>
      <c r="Q95" s="137">
        <f>SUMIFS(FundingTranches[Secured amount],FundingTranches[Instrument],"Loan",FundingTranches[Secured month],18)</f>
        <v/>
      </c>
      <c r="R95" s="137">
        <f>SUMIFS(FundingTranches[No QBE possible],FundingTranches[Instrument],"Loan",FundingTranches[Scenario month],18-'Cases'!$D$8)</f>
        <v/>
      </c>
      <c r="S95" s="137">
        <f>IF(18&lt;='Assumptions'!$B$34,0,SUMIFS('Production schedule'!$AL$222:$AL$329,'Production schedule'!$C$222:$C$329,18-'Assumptions'!$B$34))</f>
        <v/>
      </c>
      <c r="T95" s="137">
        <f>'Assumptions'!U70</f>
        <v/>
      </c>
      <c r="U95" s="137">
        <f>'Assumptions'!U78</f>
        <v/>
      </c>
      <c r="V95" s="137">
        <f>SUM(O95:U95)</f>
        <v/>
      </c>
      <c r="W95" s="137">
        <f>AA94</f>
        <v/>
      </c>
      <c r="X95" s="137">
        <f>SUM(Q95:R95)</f>
        <v/>
      </c>
      <c r="Y95" s="137">
        <f>SUM(W95,X95)*'Assumptions'!$B$39/12</f>
        <v/>
      </c>
      <c r="Z95" s="137">
        <f>IF(SUM(W95,X95)&gt;0,MIN(SUM(W95,X95),MAX(0,BP95-Y95)),0)</f>
        <v/>
      </c>
      <c r="AA95" s="137">
        <f>SUM(W95,X95)-Z95</f>
        <v/>
      </c>
      <c r="AB95" s="137">
        <f>SUM(Y95:Z95)</f>
        <v/>
      </c>
      <c r="AC95" s="137">
        <f>'Assumptions'!U72</f>
        <v/>
      </c>
      <c r="AD95" s="137">
        <f>'Assumptions'!U73</f>
        <v/>
      </c>
      <c r="AE95" s="137">
        <f>IF(X95&gt;0,SUM('Assumptions'!$B$42),0)</f>
        <v/>
      </c>
      <c r="AF95" s="137">
        <f>'Assumptions'!U71</f>
        <v/>
      </c>
      <c r="AG95" s="137">
        <f>'Assumptions'!U74</f>
        <v/>
      </c>
      <c r="AH95" s="137">
        <f>'Assumptions'!U75</f>
        <v/>
      </c>
      <c r="AI95" s="137">
        <f>'Assumptions'!U77</f>
        <v/>
      </c>
      <c r="AJ95" s="137">
        <f>V95-N95-SUM(AB95:AI95)</f>
        <v/>
      </c>
      <c r="AK95" s="137">
        <f>SUM(AJ78:AJ95)</f>
        <v/>
      </c>
      <c r="AL95" s="137">
        <f>IF(ISNUMBER('Assumptions'!$B$10),'Assumptions'!$B$10+AK95,"")</f>
        <v/>
      </c>
      <c r="AM95" s="137">
        <f>SUM(O95,Q95,T95)-N95-SUM(AC95:AI95)+IF('Funding'!$N$11=0,AE95,0)-IF('Funding'!$N$11&gt;0,AB95,0)</f>
        <v/>
      </c>
      <c r="AN95" s="137">
        <f>SUM(AM78:AM95)</f>
        <v/>
      </c>
      <c r="AO95" s="137">
        <f>IF(ISNUMBER('Assumptions'!$B$10),'Assumptions'!$B$10+AN95,"")</f>
        <v/>
      </c>
      <c r="AP95" s="137">
        <f>('Production schedule'!AK239)*'Responsibilities'!$C$6+('Production schedule'!AK275)*'Responsibilities'!$C$7+('Production schedule'!AK311)*'Responsibilities'!$C$8</f>
        <v/>
      </c>
      <c r="AQ95" s="137">
        <f>SUMIFS('Production schedule'!$AL$222:$AL$329,'Production schedule'!$C$222:$C$329,18)</f>
        <v/>
      </c>
      <c r="AR95" s="137">
        <f>IF(ISNUMBER('Assumptions'!U76),'Assumptions'!U76,SUM(O95:P95))</f>
        <v/>
      </c>
      <c r="AS95" s="137">
        <f>IF(ISNUMBER('Assumptions'!$B$13),MIN('Assumptions'!$B$13/'Assumptions'!$B$18/12,MAX(0,'Assumptions'!$B$13-(18-1)*'Assumptions'!$B$13/'Assumptions'!$B$18/12)),0)+IF(AND('Sites'!E6=1,18&gt;=('Sites'!F6),18&lt;('Sites'!F6)+'Assumptions'!$B$18*12),'Capital'!E6/'Assumptions'!$B$18/12,0)+IF(AND('Sites'!E7=1,18&gt;=('Sites'!F7+'Cases'!G8),18&lt;('Sites'!F7+'Cases'!G8)+'Assumptions'!$B$18*12),'Capital'!E7/'Assumptions'!$B$18/12,0)+IF(AND('Sites'!E8*'Cases'!F8=1,18&gt;=('Sites'!F8+'Cases'!G8),18&lt;('Sites'!F8+'Cases'!G8)+'Assumptions'!$B$18*12),'Capital'!E8/'Assumptions'!$B$18/12,0)</f>
        <v/>
      </c>
      <c r="AT95" s="137">
        <f>SUM(AQ95,AR95,U95)-AP95-SUM(H95:L95)-AS95-SUM(Y95,AD95,AE95,AH95)</f>
        <v/>
      </c>
      <c r="AU95" s="137">
        <f>IF(ISNUMBER('Assumptions'!$B$19),MAX(0,SUM(AT90:AT95))*'Assumptions'!$B$19-SUM(AU90:AU94),"")</f>
        <v/>
      </c>
      <c r="AV95" s="137">
        <f>IF(ISNUMBER(AU95),AT95-AU95,"")</f>
        <v/>
      </c>
      <c r="AW95" s="137">
        <f>IF(ISNUMBER('Assumptions'!$B$11),'Assumptions'!$B$11+SUM(AQ78:AQ95)-SUM(S78:S95)-SUM(T78:T95),"")</f>
        <v/>
      </c>
      <c r="AX95" s="137">
        <f>IF(ISNUMBER('Assumptions'!$B$12),'Assumptions'!$B$12+SUM(G78:G95)-SUM(AP78:AP95),"")</f>
        <v/>
      </c>
      <c r="AY95" s="137">
        <f>IF(ISNUMBER('Assumptions'!$B$13),'Assumptions'!$B$13+SUM(M78:M95)-SUM(AS78:AS95),"")</f>
        <v/>
      </c>
      <c r="AZ95" s="137">
        <f>IF(ISNUMBER('Assumptions'!$B$14),'Assumptions'!$B$14+-SUM(AF78:AF95),"")</f>
        <v/>
      </c>
      <c r="BA95" s="137">
        <f>IF(ISNUMBER('Assumptions'!$B$15),'Assumptions'!$B$15+SUM(O78:O95)+SUM(P78:P95)-SUM(AR78:AR95),"")</f>
        <v/>
      </c>
      <c r="BB95" s="137">
        <f>IF(ISNUMBER('Assumptions'!$B$16),'Assumptions'!$B$16+-SUM(AC78:AC95),"")</f>
        <v/>
      </c>
      <c r="BC95" s="137">
        <f>IF(AND(ISNUMBER('Assumptions'!$B$21),ISNUMBER('Assumptions'!$B$19)),'Assumptions'!$B$21+SUM(AU78:AU95)-SUM(AG78:AG95),"")</f>
        <v/>
      </c>
      <c r="BD95" s="137">
        <f>IF(ISNUMBER('Assumptions'!$B$20),'Assumptions'!$B$20+-SUM(AI78:AI95),"")</f>
        <v/>
      </c>
      <c r="BE95" s="137">
        <f>IF(AND(ISNUMBER('Assumptions'!$B$17),COUNT(AV78:AV95)=18),'Assumptions'!$B$17+SUM(AV78:AV95),"")</f>
        <v/>
      </c>
      <c r="BF95" s="137">
        <f>IF(COUNT(AL95,AW95:AY95)=4,SUM(AL95,AW95:AY95),"")</f>
        <v/>
      </c>
      <c r="BG95" s="137">
        <f>IF(COUNT(AZ95:BD95)=5,SUM(AZ95:BD95,AA95),"")</f>
        <v/>
      </c>
      <c r="BH95" s="137">
        <f>IF(COUNT(BF95,BG95,BE95)=3,BF95-BG95-BE95,"")</f>
        <v/>
      </c>
      <c r="BI95" s="137">
        <f>SUM(W95,X95)-Z95-AA95</f>
        <v/>
      </c>
      <c r="BJ95" s="137">
        <f>8-COUNT('Assumptions'!U58:U65)+COUNTBLANK('NM Play'!B33:B34)+'Costs'!E44+IF(AND('Sites'!E6=1,('Sites'!F6)&lt;=24,'Sites'!G6&gt;=13),IF(ISNUMBER('Sites'!P6),0,1)+'Capital'!I6+COUNTBLANK('Sites'!R6)+IF('Sites'!D6="NM crew",COUNTBLANK('NM Play'!B25)+1,5-COUNT('Assumptions'!U112:U116)),0)+IF(AND('Sites'!E7=1,('Sites'!F7+'Cases'!G8)&lt;=24,'Sites'!G7&gt;=13),IF(ISNUMBER('Sites'!P7),0,1)+'Capital'!I7+COUNTBLANK('Sites'!R7)+IF('Sites'!D7="NM crew",COUNTBLANK('NM Play'!B25)+1,5-COUNT('Assumptions'!U117:U121)),0)+IF(AND('Sites'!E8*'Cases'!F8=1,('Sites'!F8+'Cases'!G8)&lt;=24,'Sites'!G8&gt;=13),IF(ISNUMBER('Sites'!P8),0,1)+'Capital'!I8+COUNTBLANK('Sites'!R8)+IF('Sites'!D8="NM crew",COUNTBLANK('NM Play'!B25)+1,5-COUNT('Assumptions'!U122:U126)),0)+IF(AND('Cases'!C8&gt;0,NOT(ISNUMBER('Assumptions'!B42))),1,0)+'Responsibilities'!$B$39</f>
        <v/>
      </c>
      <c r="BK95" s="137">
        <f>'Assumptions'!$B$50+'NM Play'!$B$83+'Funding'!$F$20+SUMIFS('Production schedule'!$AN$222:$AN$329,'Production schedule'!$C$222:$C$329,18)+IF(OR('Cases'!E8&lt;0,'Cases'!E8&gt;1,'Cases'!C8&lt;0,'Cases'!D8&lt;0,ABS(SUM('Sites'!S6:S8)-1)&gt;0.0001,MIN('Capital'!F6:F8)&lt;0,MAX('Capital'!F6:F8)&gt;1,MIN(AX95,AZ95,BB95,BA95)&lt;-0.01),1,0)+'Responsibilities'!$B$40</f>
        <v/>
      </c>
      <c r="BL95" s="137">
        <f>SUMIFS('Production schedule'!$T$222:$T$329,'Production schedule'!$C$222:$C$329,18)</f>
        <v/>
      </c>
      <c r="BM95" s="137">
        <f>D95*'NM Play'!$B$38</f>
        <v/>
      </c>
      <c r="BN95" s="137">
        <f>SUMIFS('Production schedule'!$AM$222:$AM$329,'Production schedule'!$C$222:$C$329,18)</f>
        <v/>
      </c>
      <c r="BO95" s="137">
        <f>AK95-AK94-AJ95</f>
        <v/>
      </c>
      <c r="BP95" s="137">
        <f>IF(AND('Assumptions'!$B$39&gt;=0,'Assumptions'!$B$40&gt;0),-PMT('Assumptions'!$B$39/12,'Assumptions'!$B$40*12,IF('Funding'!$N$11&gt;0,'Funding'!$N$11,'Funding'!$T$11)),"")</f>
        <v/>
      </c>
      <c r="BQ95">
        <f>('Production schedule'!AJ239)*(1-'Responsibilities'!$C$6)+('Production schedule'!AJ275)*(1-'Responsibilities'!$C$7)+('Production schedule'!AJ311)*(1-'Responsibilities'!$C$8)</f>
        <v/>
      </c>
      <c r="BR95">
        <f>('Production schedule'!AI239)*(1-'Responsibilities'!$D$6)+('Production schedule'!AI275)*(1-'Responsibilities'!$D$7)+('Production schedule'!AI311)*(1-'Responsibilities'!$D$8)</f>
        <v/>
      </c>
      <c r="BS95">
        <f>('Production schedule'!E239*(IF('Sites'!D6="Annual staff",SUM('Assumptions'!U112,'Assumptions'!U114),0)+SUM('Assumptions'!U113,'Assumptions'!U115:U116)))*(1-'Responsibilities'!$E$6)+('Production schedule'!E275*(IF('Sites'!D7="Annual staff",SUM('Assumptions'!U117,'Assumptions'!U119),0)+SUM('Assumptions'!U118,'Assumptions'!U120:U121)))*(1-'Responsibilities'!$E$7)+('Production schedule'!E311*(IF('Sites'!D8="Annual staff",SUM('Assumptions'!U122,'Assumptions'!U124),0)+SUM('Assumptions'!U123,'Assumptions'!U125:U126)))*(1-'Responsibilities'!$E$8)</f>
        <v/>
      </c>
      <c r="BT95">
        <f>(IF(AND('Production schedule'!E239=1,18=MAX(('Sites'!F6),13),ISNUMBER('Sites'!P6)),'Sites'!P6*'Assumptions'!$B$44,0))*(1-'Responsibilities'!$F$6)+(IF(AND('Production schedule'!E275=1,18=MAX(('Sites'!F7+'Cases'!G8),13),ISNUMBER('Sites'!P7)),'Sites'!P7*'Assumptions'!$B$44,0))*(1-'Responsibilities'!$F$7)+(IF(AND('Production schedule'!E311=1,18=MAX(('Sites'!F8+'Cases'!G8),13),ISNUMBER('Sites'!P8)),'Sites'!P8*'Assumptions'!$B$44,0))*(1-'Responsibilities'!$F$8)</f>
        <v/>
      </c>
      <c r="BU95">
        <f>SUM('Costs'!E36)*'Costs'!F36/12*(1-'Responsibilities'!$C$12)+SUM('Costs'!E37)*'Costs'!F37/12*(1-'Responsibilities'!$C$13)+SUM('Costs'!E38)*'Costs'!F38/12*(1-'Responsibilities'!$C$14)+SUM('Costs'!E39)*'Costs'!F39/12*(1-'Responsibilities'!$C$15)+SUM('Costs'!E40)*'Costs'!F40/12*(1-'Responsibilities'!$C$16)</f>
        <v/>
      </c>
      <c r="BV95">
        <f>('Sites'!E6*'Capital'!E6*(IF(18='Capital'!G6,'Capital'!F6,0)+IF(18='Capital'!H6,1-'Capital'!F6,0)))*(1-'Responsibilities'!$G$6)+('Sites'!E7*'Capital'!E7*(IF(18='Capital'!G7+'Cases'!G8,'Capital'!F7,0)+IF(18='Capital'!H7+'Cases'!G8,1-'Capital'!F7,0)))*(1-'Responsibilities'!$G$7)+('Sites'!E8*'Cases'!F8*'Capital'!E8*(IF(18='Capital'!G8+'Cases'!G8,'Capital'!F8,0)+IF(18='Capital'!H8+'Cases'!G8,1-'Capital'!F8,0)))*(1-'Responsibilities'!$G$8)</f>
        <v/>
      </c>
      <c r="BW95">
        <f>SUM(BQ95:BV95)</f>
        <v/>
      </c>
      <c r="BX95">
        <f>N95+BW95</f>
        <v/>
      </c>
      <c r="BY95">
        <f>BX95-(('Production schedule'!AJ239)*'Responsibilities'!$C$6+('Production schedule'!AJ275)*'Responsibilities'!$C$7+('Production schedule'!AJ311)*'Responsibilities'!$C$8+('Production schedule'!AJ239)*(1-'Responsibilities'!$C$6)+('Production schedule'!AJ275)*(1-'Responsibilities'!$C$7)+('Production schedule'!AJ311)*(1-'Responsibilities'!$C$8)+('Production schedule'!AI239)*'Responsibilities'!$D$6+('Production schedule'!AI275)*'Responsibilities'!$D$7+('Production schedule'!AI311)*'Responsibilities'!$D$8+('Production schedule'!AI239)*(1-'Responsibilities'!$D$6)+('Production schedule'!AI275)*(1-'Responsibilities'!$D$7)+('Production schedule'!AI311)*(1-'Responsibilities'!$D$8)+('Production schedule'!E239*(IF('Sites'!D6="Annual staff",SUM('Assumptions'!U112,'Assumptions'!U114),0)+SUM('Assumptions'!U113,'Assumptions'!U115:U116)))*'Responsibilities'!$E$6+('Production schedule'!E275*(IF('Sites'!D7="Annual staff",SUM('Assumptions'!U117,'Assumptions'!U119),0)+SUM('Assumptions'!U118,'Assumptions'!U120:U121)))*'Responsibilities'!$E$7+('Production schedule'!E311*(IF('Sites'!D8="Annual staff",SUM('Assumptions'!U122,'Assumptions'!U124),0)+SUM('Assumptions'!U123,'Assumptions'!U125:U126)))*'Responsibilities'!$E$8+('Production schedule'!E239*(IF('Sites'!D6="Annual staff",SUM('Assumptions'!U112,'Assumptions'!U114),0)+SUM('Assumptions'!U113,'Assumptions'!U115:U116)))*(1-'Responsibilities'!$E$6)+('Production schedule'!E275*(IF('Sites'!D7="Annual staff",SUM('Assumptions'!U117,'Assumptions'!U119),0)+SUM('Assumptions'!U118,'Assumptions'!U120:U121)))*(1-'Responsibilities'!$E$7)+('Production schedule'!E311*(IF('Sites'!D8="Annual staff",SUM('Assumptions'!U122,'Assumptions'!U124),0)+SUM('Assumptions'!U123,'Assumptions'!U125:U126)))*(1-'Responsibilities'!$E$8)+(IF(AND('Production schedule'!E239=1,18=MAX(('Sites'!F6),13),ISNUMBER('Sites'!P6)),'Sites'!P6*'Assumptions'!$B$44,0))*'Responsibilities'!$F$6+(IF(AND('Production schedule'!E275=1,18=MAX(('Sites'!F7+'Cases'!G8),13),ISNUMBER('Sites'!P7)),'Sites'!P7*'Assumptions'!$B$44,0))*'Responsibilities'!$F$7+(IF(AND('Production schedule'!E311=1,18=MAX(('Sites'!F8+'Cases'!G8),13),ISNUMBER('Sites'!P8)),'Sites'!P8*'Assumptions'!$B$44,0))*'Responsibilities'!$F$8+(IF(AND('Production schedule'!E239=1,18=MAX(('Sites'!F6),13),ISNUMBER('Sites'!P6)),'Sites'!P6*'Assumptions'!$B$44,0))*(1-'Responsibilities'!$F$6)+(IF(AND('Production schedule'!E275=1,18=MAX(('Sites'!F7+'Cases'!G8),13),ISNUMBER('Sites'!P7)),'Sites'!P7*'Assumptions'!$B$44,0))*(1-'Responsibilities'!$F$7)+(IF(AND('Production schedule'!E311=1,18=MAX(('Sites'!F8+'Cases'!G8),13),ISNUMBER('Sites'!P8)),'Sites'!P8*'Assumptions'!$B$44,0))*(1-'Responsibilities'!$F$8)+('Sites'!E6*'Capital'!E6*(IF(18='Capital'!G6,'Capital'!F6,0)+IF(18='Capital'!H6,1-'Capital'!F6,0)))*'Responsibilities'!$G$6+('Sites'!E7*'Capital'!E7*(IF(18='Capital'!G7+'Cases'!G8,'Capital'!F7,0)+IF(18='Capital'!H7+'Cases'!G8,1-'Capital'!F7,0)))*'Responsibilities'!$G$7+('Sites'!E8*'Cases'!F8*'Capital'!E8*(IF(18='Capital'!G8+'Cases'!G8,'Capital'!F8,0)+IF(18='Capital'!H8+'Cases'!G8,1-'Capital'!F8,0)))*'Responsibilities'!$G$8+('Sites'!E6*'Capital'!E6*(IF(18='Capital'!G6,'Capital'!F6,0)+IF(18='Capital'!H6,1-'Capital'!F6,0)))*(1-'Responsibilities'!$G$6)+('Sites'!E7*'Capital'!E7*(IF(18='Capital'!G7+'Cases'!G8,'Capital'!F7,0)+IF(18='Capital'!H7+'Cases'!G8,1-'Capital'!F7,0)))*(1-'Responsibilities'!$G$7)+('Sites'!E8*'Cases'!F8*'Capital'!E8*(IF(18='Capital'!G8+'Cases'!G8,'Capital'!F8,0)+IF(18='Capital'!H8+'Cases'!G8,1-'Capital'!F8,0)))*(1-'Responsibilities'!$G$8)+I95+SUMPRODUCT('Costs'!$E$36:$E$40,'Costs'!$F$36:$F$40)/12+BZ95)</f>
        <v/>
      </c>
      <c r="BZ95">
        <f>SUMIFS('Responsibilities'!$B$31:$B$35,'Responsibilities'!$C$31:$C$35,18,'Responsibilities'!$D$31:$D$35,"Yes")</f>
        <v/>
      </c>
    </row>
    <row r="96" ht="28" customHeight="1">
      <c r="A96" s="4" t="inlineStr">
        <is>
          <t>No QBE</t>
        </is>
      </c>
      <c r="B96" s="4" t="n">
        <v>19</v>
      </c>
      <c r="C96" s="4">
        <f>ROUNDUP(B96/12,0)</f>
        <v/>
      </c>
      <c r="D96" s="137">
        <f>SUMIFS('Production schedule'!$N$222:$N$329,'Production schedule'!$C$222:$C$329,19)</f>
        <v/>
      </c>
      <c r="E96" s="137">
        <f>SUMIFS('Production schedule'!$Y$222:$Y$329,'Production schedule'!$C$222:$C$329,19)</f>
        <v/>
      </c>
      <c r="F96" s="137">
        <f>SUMIFS('Production schedule'!$Z$222:$Z$329,'Production schedule'!$C$222:$C$329,19)</f>
        <v/>
      </c>
      <c r="G96" s="137">
        <f>('Production schedule'!AJ240)*'Responsibilities'!$C$6+('Production schedule'!AJ276)*'Responsibilities'!$C$7+('Production schedule'!AJ312)*'Responsibilities'!$C$8</f>
        <v/>
      </c>
      <c r="H96" s="137">
        <f>('Production schedule'!AI240)*'Responsibilities'!$D$6+('Production schedule'!AI276)*'Responsibilities'!$D$7+('Production schedule'!AI312)*'Responsibilities'!$D$8</f>
        <v/>
      </c>
      <c r="I96" s="137">
        <f>SUM('Assumptions'!V58:V65)</f>
        <v/>
      </c>
      <c r="J96" s="137">
        <f>('Production schedule'!E240*(IF('Sites'!D6="Annual staff",SUM('Assumptions'!V112,'Assumptions'!V114),0)+SUM('Assumptions'!V113,'Assumptions'!V115:V116)))*'Responsibilities'!$E$6+('Production schedule'!E276*(IF('Sites'!D7="Annual staff",SUM('Assumptions'!V117,'Assumptions'!V119),0)+SUM('Assumptions'!V118,'Assumptions'!V120:V121)))*'Responsibilities'!$E$7+('Production schedule'!E312*(IF('Sites'!D8="Annual staff",SUM('Assumptions'!V122,'Assumptions'!V124),0)+SUM('Assumptions'!V123,'Assumptions'!V125:V126)))*'Responsibilities'!$E$8</f>
        <v/>
      </c>
      <c r="K96" s="137">
        <f>(IF(AND('Production schedule'!E240=1,19=MAX(('Sites'!F6),13),ISNUMBER('Sites'!P6)),'Sites'!P6*'Assumptions'!$B$44,0))*'Responsibilities'!$F$6+(IF(AND('Production schedule'!E276=1,19=MAX(('Sites'!F7+'Cases'!G8),13),ISNUMBER('Sites'!P7)),'Sites'!P7*'Assumptions'!$B$44,0))*'Responsibilities'!$F$7+(IF(AND('Production schedule'!E312=1,19=MAX(('Sites'!F8+'Cases'!G8),13),ISNUMBER('Sites'!P8)),'Sites'!P8*'Assumptions'!$B$44,0))*'Responsibilities'!$F$8</f>
        <v/>
      </c>
      <c r="L96" s="137">
        <f>SUM('Costs'!E36)*'Costs'!F36/12*'Responsibilities'!$C$12+SUM('Costs'!E37)*'Costs'!F37/12*'Responsibilities'!$C$13+SUM('Costs'!E38)*'Costs'!F38/12*'Responsibilities'!$C$14+SUM('Costs'!E39)*'Costs'!F39/12*'Responsibilities'!$C$15+SUM('Costs'!E40)*'Costs'!F40/12*'Responsibilities'!$C$16+BZ96</f>
        <v/>
      </c>
      <c r="M96" s="137">
        <f>('Sites'!E6*'Capital'!E6*(IF(19='Capital'!G6,'Capital'!F6,0)+IF(19='Capital'!H6,1-'Capital'!F6,0)))*'Responsibilities'!$G$6+('Sites'!E7*'Capital'!E7*(IF(19='Capital'!G7+'Cases'!G8,'Capital'!F7,0)+IF(19='Capital'!H7+'Cases'!G8,1-'Capital'!F7,0)))*'Responsibilities'!$G$7+('Sites'!E8*'Cases'!F8*'Capital'!E8*(IF(19='Capital'!G8+'Cases'!G8,'Capital'!F8,0)+IF(19='Capital'!H8+'Cases'!G8,1-'Capital'!F8,0)))*'Responsibilities'!$G$8</f>
        <v/>
      </c>
      <c r="N96" s="137">
        <f>SUM(G96:M96)</f>
        <v/>
      </c>
      <c r="O96" s="137">
        <f>SUMIFS(FundingTranches[Secured amount],FundingTranches[Instrument],"Grant",FundingTranches[Secured month],19)</f>
        <v/>
      </c>
      <c r="P96" s="137">
        <f>SUMIFS(FundingTranches[No QBE possible],FundingTranches[Instrument],"Grant",FundingTranches[Scenario month],19-'Cases'!$D$8)</f>
        <v/>
      </c>
      <c r="Q96" s="137">
        <f>SUMIFS(FundingTranches[Secured amount],FundingTranches[Instrument],"Loan",FundingTranches[Secured month],19)</f>
        <v/>
      </c>
      <c r="R96" s="137">
        <f>SUMIFS(FundingTranches[No QBE possible],FundingTranches[Instrument],"Loan",FundingTranches[Scenario month],19-'Cases'!$D$8)</f>
        <v/>
      </c>
      <c r="S96" s="137">
        <f>IF(19&lt;='Assumptions'!$B$34,0,SUMIFS('Production schedule'!$AL$222:$AL$329,'Production schedule'!$C$222:$C$329,19-'Assumptions'!$B$34))</f>
        <v/>
      </c>
      <c r="T96" s="137">
        <f>'Assumptions'!V70</f>
        <v/>
      </c>
      <c r="U96" s="137">
        <f>'Assumptions'!V78</f>
        <v/>
      </c>
      <c r="V96" s="137">
        <f>SUM(O96:U96)</f>
        <v/>
      </c>
      <c r="W96" s="137">
        <f>AA95</f>
        <v/>
      </c>
      <c r="X96" s="137">
        <f>SUM(Q96:R96)</f>
        <v/>
      </c>
      <c r="Y96" s="137">
        <f>SUM(W96,X96)*'Assumptions'!$B$39/12</f>
        <v/>
      </c>
      <c r="Z96" s="137">
        <f>IF(SUM(W96,X96)&gt;0,MIN(SUM(W96,X96),MAX(0,BP96-Y96)),0)</f>
        <v/>
      </c>
      <c r="AA96" s="137">
        <f>SUM(W96,X96)-Z96</f>
        <v/>
      </c>
      <c r="AB96" s="137">
        <f>SUM(Y96:Z96)</f>
        <v/>
      </c>
      <c r="AC96" s="137">
        <f>'Assumptions'!V72</f>
        <v/>
      </c>
      <c r="AD96" s="137">
        <f>'Assumptions'!V73</f>
        <v/>
      </c>
      <c r="AE96" s="137">
        <f>IF(X96&gt;0,SUM('Assumptions'!$B$42),0)</f>
        <v/>
      </c>
      <c r="AF96" s="137">
        <f>'Assumptions'!V71</f>
        <v/>
      </c>
      <c r="AG96" s="137">
        <f>'Assumptions'!V74</f>
        <v/>
      </c>
      <c r="AH96" s="137">
        <f>'Assumptions'!V75</f>
        <v/>
      </c>
      <c r="AI96" s="137">
        <f>'Assumptions'!V77</f>
        <v/>
      </c>
      <c r="AJ96" s="137">
        <f>V96-N96-SUM(AB96:AI96)</f>
        <v/>
      </c>
      <c r="AK96" s="137">
        <f>SUM(AJ78:AJ96)</f>
        <v/>
      </c>
      <c r="AL96" s="137">
        <f>IF(ISNUMBER('Assumptions'!$B$10),'Assumptions'!$B$10+AK96,"")</f>
        <v/>
      </c>
      <c r="AM96" s="137">
        <f>SUM(O96,Q96,T96)-N96-SUM(AC96:AI96)+IF('Funding'!$N$11=0,AE96,0)-IF('Funding'!$N$11&gt;0,AB96,0)</f>
        <v/>
      </c>
      <c r="AN96" s="137">
        <f>SUM(AM78:AM96)</f>
        <v/>
      </c>
      <c r="AO96" s="137">
        <f>IF(ISNUMBER('Assumptions'!$B$10),'Assumptions'!$B$10+AN96,"")</f>
        <v/>
      </c>
      <c r="AP96" s="137">
        <f>('Production schedule'!AK240)*'Responsibilities'!$C$6+('Production schedule'!AK276)*'Responsibilities'!$C$7+('Production schedule'!AK312)*'Responsibilities'!$C$8</f>
        <v/>
      </c>
      <c r="AQ96" s="137">
        <f>SUMIFS('Production schedule'!$AL$222:$AL$329,'Production schedule'!$C$222:$C$329,19)</f>
        <v/>
      </c>
      <c r="AR96" s="137">
        <f>IF(ISNUMBER('Assumptions'!V76),'Assumptions'!V76,SUM(O96:P96))</f>
        <v/>
      </c>
      <c r="AS96" s="137">
        <f>IF(ISNUMBER('Assumptions'!$B$13),MIN('Assumptions'!$B$13/'Assumptions'!$B$18/12,MAX(0,'Assumptions'!$B$13-(19-1)*'Assumptions'!$B$13/'Assumptions'!$B$18/12)),0)+IF(AND('Sites'!E6=1,19&gt;=('Sites'!F6),19&lt;('Sites'!F6)+'Assumptions'!$B$18*12),'Capital'!E6/'Assumptions'!$B$18/12,0)+IF(AND('Sites'!E7=1,19&gt;=('Sites'!F7+'Cases'!G8),19&lt;('Sites'!F7+'Cases'!G8)+'Assumptions'!$B$18*12),'Capital'!E7/'Assumptions'!$B$18/12,0)+IF(AND('Sites'!E8*'Cases'!F8=1,19&gt;=('Sites'!F8+'Cases'!G8),19&lt;('Sites'!F8+'Cases'!G8)+'Assumptions'!$B$18*12),'Capital'!E8/'Assumptions'!$B$18/12,0)</f>
        <v/>
      </c>
      <c r="AT96" s="137">
        <f>SUM(AQ96,AR96,U96)-AP96-SUM(H96:L96)-AS96-SUM(Y96,AD96,AE96,AH96)</f>
        <v/>
      </c>
      <c r="AU96" s="137">
        <f>IF(ISNUMBER('Assumptions'!$B$19),MAX(0,SUM(AT90:AT96))*'Assumptions'!$B$19-SUM(AU90:AU95),"")</f>
        <v/>
      </c>
      <c r="AV96" s="137">
        <f>IF(ISNUMBER(AU96),AT96-AU96,"")</f>
        <v/>
      </c>
      <c r="AW96" s="137">
        <f>IF(ISNUMBER('Assumptions'!$B$11),'Assumptions'!$B$11+SUM(AQ78:AQ96)-SUM(S78:S96)-SUM(T78:T96),"")</f>
        <v/>
      </c>
      <c r="AX96" s="137">
        <f>IF(ISNUMBER('Assumptions'!$B$12),'Assumptions'!$B$12+SUM(G78:G96)-SUM(AP78:AP96),"")</f>
        <v/>
      </c>
      <c r="AY96" s="137">
        <f>IF(ISNUMBER('Assumptions'!$B$13),'Assumptions'!$B$13+SUM(M78:M96)-SUM(AS78:AS96),"")</f>
        <v/>
      </c>
      <c r="AZ96" s="137">
        <f>IF(ISNUMBER('Assumptions'!$B$14),'Assumptions'!$B$14+-SUM(AF78:AF96),"")</f>
        <v/>
      </c>
      <c r="BA96" s="137">
        <f>IF(ISNUMBER('Assumptions'!$B$15),'Assumptions'!$B$15+SUM(O78:O96)+SUM(P78:P96)-SUM(AR78:AR96),"")</f>
        <v/>
      </c>
      <c r="BB96" s="137">
        <f>IF(ISNUMBER('Assumptions'!$B$16),'Assumptions'!$B$16+-SUM(AC78:AC96),"")</f>
        <v/>
      </c>
      <c r="BC96" s="137">
        <f>IF(AND(ISNUMBER('Assumptions'!$B$21),ISNUMBER('Assumptions'!$B$19)),'Assumptions'!$B$21+SUM(AU78:AU96)-SUM(AG78:AG96),"")</f>
        <v/>
      </c>
      <c r="BD96" s="137">
        <f>IF(ISNUMBER('Assumptions'!$B$20),'Assumptions'!$B$20+-SUM(AI78:AI96),"")</f>
        <v/>
      </c>
      <c r="BE96" s="137">
        <f>IF(AND(ISNUMBER('Assumptions'!$B$17),COUNT(AV78:AV96)=19),'Assumptions'!$B$17+SUM(AV78:AV96),"")</f>
        <v/>
      </c>
      <c r="BF96" s="137">
        <f>IF(COUNT(AL96,AW96:AY96)=4,SUM(AL96,AW96:AY96),"")</f>
        <v/>
      </c>
      <c r="BG96" s="137">
        <f>IF(COUNT(AZ96:BD96)=5,SUM(AZ96:BD96,AA96),"")</f>
        <v/>
      </c>
      <c r="BH96" s="137">
        <f>IF(COUNT(BF96,BG96,BE96)=3,BF96-BG96-BE96,"")</f>
        <v/>
      </c>
      <c r="BI96" s="137">
        <f>SUM(W96,X96)-Z96-AA96</f>
        <v/>
      </c>
      <c r="BJ96" s="137">
        <f>8-COUNT('Assumptions'!V58:V65)+COUNTBLANK('NM Play'!B33:B34)+'Costs'!E44+IF(AND('Sites'!E6=1,('Sites'!F6)&lt;=24,'Sites'!G6&gt;=13),IF(ISNUMBER('Sites'!P6),0,1)+'Capital'!I6+COUNTBLANK('Sites'!R6)+IF('Sites'!D6="NM crew",COUNTBLANK('NM Play'!B25)+1,5-COUNT('Assumptions'!V112:V116)),0)+IF(AND('Sites'!E7=1,('Sites'!F7+'Cases'!G8)&lt;=24,'Sites'!G7&gt;=13),IF(ISNUMBER('Sites'!P7),0,1)+'Capital'!I7+COUNTBLANK('Sites'!R7)+IF('Sites'!D7="NM crew",COUNTBLANK('NM Play'!B25)+1,5-COUNT('Assumptions'!V117:V121)),0)+IF(AND('Sites'!E8*'Cases'!F8=1,('Sites'!F8+'Cases'!G8)&lt;=24,'Sites'!G8&gt;=13),IF(ISNUMBER('Sites'!P8),0,1)+'Capital'!I8+COUNTBLANK('Sites'!R8)+IF('Sites'!D8="NM crew",COUNTBLANK('NM Play'!B25)+1,5-COUNT('Assumptions'!V122:V126)),0)+IF(AND('Cases'!C8&gt;0,NOT(ISNUMBER('Assumptions'!B42))),1,0)+'Responsibilities'!$B$39</f>
        <v/>
      </c>
      <c r="BK96" s="137">
        <f>'Assumptions'!$B$50+'NM Play'!$B$83+'Funding'!$F$20+SUMIFS('Production schedule'!$AN$222:$AN$329,'Production schedule'!$C$222:$C$329,19)+IF(OR('Cases'!E8&lt;0,'Cases'!E8&gt;1,'Cases'!C8&lt;0,'Cases'!D8&lt;0,ABS(SUM('Sites'!S6:S8)-1)&gt;0.0001,MIN('Capital'!F6:F8)&lt;0,MAX('Capital'!F6:F8)&gt;1,MIN(AX96,AZ96,BB96,BA96)&lt;-0.01),1,0)+'Responsibilities'!$B$40</f>
        <v/>
      </c>
      <c r="BL96" s="137">
        <f>SUMIFS('Production schedule'!$T$222:$T$329,'Production schedule'!$C$222:$C$329,19)</f>
        <v/>
      </c>
      <c r="BM96" s="137">
        <f>D96*'NM Play'!$B$38</f>
        <v/>
      </c>
      <c r="BN96" s="137">
        <f>SUMIFS('Production schedule'!$AM$222:$AM$329,'Production schedule'!$C$222:$C$329,19)</f>
        <v/>
      </c>
      <c r="BO96" s="137">
        <f>AK96-AK95-AJ96</f>
        <v/>
      </c>
      <c r="BP96" s="137">
        <f>IF(AND('Assumptions'!$B$39&gt;=0,'Assumptions'!$B$40&gt;0),-PMT('Assumptions'!$B$39/12,'Assumptions'!$B$40*12,IF('Funding'!$N$11&gt;0,'Funding'!$N$11,'Funding'!$T$11)),"")</f>
        <v/>
      </c>
      <c r="BQ96">
        <f>('Production schedule'!AJ240)*(1-'Responsibilities'!$C$6)+('Production schedule'!AJ276)*(1-'Responsibilities'!$C$7)+('Production schedule'!AJ312)*(1-'Responsibilities'!$C$8)</f>
        <v/>
      </c>
      <c r="BR96">
        <f>('Production schedule'!AI240)*(1-'Responsibilities'!$D$6)+('Production schedule'!AI276)*(1-'Responsibilities'!$D$7)+('Production schedule'!AI312)*(1-'Responsibilities'!$D$8)</f>
        <v/>
      </c>
      <c r="BS96">
        <f>('Production schedule'!E240*(IF('Sites'!D6="Annual staff",SUM('Assumptions'!V112,'Assumptions'!V114),0)+SUM('Assumptions'!V113,'Assumptions'!V115:V116)))*(1-'Responsibilities'!$E$6)+('Production schedule'!E276*(IF('Sites'!D7="Annual staff",SUM('Assumptions'!V117,'Assumptions'!V119),0)+SUM('Assumptions'!V118,'Assumptions'!V120:V121)))*(1-'Responsibilities'!$E$7)+('Production schedule'!E312*(IF('Sites'!D8="Annual staff",SUM('Assumptions'!V122,'Assumptions'!V124),0)+SUM('Assumptions'!V123,'Assumptions'!V125:V126)))*(1-'Responsibilities'!$E$8)</f>
        <v/>
      </c>
      <c r="BT96">
        <f>(IF(AND('Production schedule'!E240=1,19=MAX(('Sites'!F6),13),ISNUMBER('Sites'!P6)),'Sites'!P6*'Assumptions'!$B$44,0))*(1-'Responsibilities'!$F$6)+(IF(AND('Production schedule'!E276=1,19=MAX(('Sites'!F7+'Cases'!G8),13),ISNUMBER('Sites'!P7)),'Sites'!P7*'Assumptions'!$B$44,0))*(1-'Responsibilities'!$F$7)+(IF(AND('Production schedule'!E312=1,19=MAX(('Sites'!F8+'Cases'!G8),13),ISNUMBER('Sites'!P8)),'Sites'!P8*'Assumptions'!$B$44,0))*(1-'Responsibilities'!$F$8)</f>
        <v/>
      </c>
      <c r="BU96">
        <f>SUM('Costs'!E36)*'Costs'!F36/12*(1-'Responsibilities'!$C$12)+SUM('Costs'!E37)*'Costs'!F37/12*(1-'Responsibilities'!$C$13)+SUM('Costs'!E38)*'Costs'!F38/12*(1-'Responsibilities'!$C$14)+SUM('Costs'!E39)*'Costs'!F39/12*(1-'Responsibilities'!$C$15)+SUM('Costs'!E40)*'Costs'!F40/12*(1-'Responsibilities'!$C$16)</f>
        <v/>
      </c>
      <c r="BV96">
        <f>('Sites'!E6*'Capital'!E6*(IF(19='Capital'!G6,'Capital'!F6,0)+IF(19='Capital'!H6,1-'Capital'!F6,0)))*(1-'Responsibilities'!$G$6)+('Sites'!E7*'Capital'!E7*(IF(19='Capital'!G7+'Cases'!G8,'Capital'!F7,0)+IF(19='Capital'!H7+'Cases'!G8,1-'Capital'!F7,0)))*(1-'Responsibilities'!$G$7)+('Sites'!E8*'Cases'!F8*'Capital'!E8*(IF(19='Capital'!G8+'Cases'!G8,'Capital'!F8,0)+IF(19='Capital'!H8+'Cases'!G8,1-'Capital'!F8,0)))*(1-'Responsibilities'!$G$8)</f>
        <v/>
      </c>
      <c r="BW96">
        <f>SUM(BQ96:BV96)</f>
        <v/>
      </c>
      <c r="BX96">
        <f>N96+BW96</f>
        <v/>
      </c>
      <c r="BY96">
        <f>BX96-(('Production schedule'!AJ240)*'Responsibilities'!$C$6+('Production schedule'!AJ276)*'Responsibilities'!$C$7+('Production schedule'!AJ312)*'Responsibilities'!$C$8+('Production schedule'!AJ240)*(1-'Responsibilities'!$C$6)+('Production schedule'!AJ276)*(1-'Responsibilities'!$C$7)+('Production schedule'!AJ312)*(1-'Responsibilities'!$C$8)+('Production schedule'!AI240)*'Responsibilities'!$D$6+('Production schedule'!AI276)*'Responsibilities'!$D$7+('Production schedule'!AI312)*'Responsibilities'!$D$8+('Production schedule'!AI240)*(1-'Responsibilities'!$D$6)+('Production schedule'!AI276)*(1-'Responsibilities'!$D$7)+('Production schedule'!AI312)*(1-'Responsibilities'!$D$8)+('Production schedule'!E240*(IF('Sites'!D6="Annual staff",SUM('Assumptions'!V112,'Assumptions'!V114),0)+SUM('Assumptions'!V113,'Assumptions'!V115:V116)))*'Responsibilities'!$E$6+('Production schedule'!E276*(IF('Sites'!D7="Annual staff",SUM('Assumptions'!V117,'Assumptions'!V119),0)+SUM('Assumptions'!V118,'Assumptions'!V120:V121)))*'Responsibilities'!$E$7+('Production schedule'!E312*(IF('Sites'!D8="Annual staff",SUM('Assumptions'!V122,'Assumptions'!V124),0)+SUM('Assumptions'!V123,'Assumptions'!V125:V126)))*'Responsibilities'!$E$8+('Production schedule'!E240*(IF('Sites'!D6="Annual staff",SUM('Assumptions'!V112,'Assumptions'!V114),0)+SUM('Assumptions'!V113,'Assumptions'!V115:V116)))*(1-'Responsibilities'!$E$6)+('Production schedule'!E276*(IF('Sites'!D7="Annual staff",SUM('Assumptions'!V117,'Assumptions'!V119),0)+SUM('Assumptions'!V118,'Assumptions'!V120:V121)))*(1-'Responsibilities'!$E$7)+('Production schedule'!E312*(IF('Sites'!D8="Annual staff",SUM('Assumptions'!V122,'Assumptions'!V124),0)+SUM('Assumptions'!V123,'Assumptions'!V125:V126)))*(1-'Responsibilities'!$E$8)+(IF(AND('Production schedule'!E240=1,19=MAX(('Sites'!F6),13),ISNUMBER('Sites'!P6)),'Sites'!P6*'Assumptions'!$B$44,0))*'Responsibilities'!$F$6+(IF(AND('Production schedule'!E276=1,19=MAX(('Sites'!F7+'Cases'!G8),13),ISNUMBER('Sites'!P7)),'Sites'!P7*'Assumptions'!$B$44,0))*'Responsibilities'!$F$7+(IF(AND('Production schedule'!E312=1,19=MAX(('Sites'!F8+'Cases'!G8),13),ISNUMBER('Sites'!P8)),'Sites'!P8*'Assumptions'!$B$44,0))*'Responsibilities'!$F$8+(IF(AND('Production schedule'!E240=1,19=MAX(('Sites'!F6),13),ISNUMBER('Sites'!P6)),'Sites'!P6*'Assumptions'!$B$44,0))*(1-'Responsibilities'!$F$6)+(IF(AND('Production schedule'!E276=1,19=MAX(('Sites'!F7+'Cases'!G8),13),ISNUMBER('Sites'!P7)),'Sites'!P7*'Assumptions'!$B$44,0))*(1-'Responsibilities'!$F$7)+(IF(AND('Production schedule'!E312=1,19=MAX(('Sites'!F8+'Cases'!G8),13),ISNUMBER('Sites'!P8)),'Sites'!P8*'Assumptions'!$B$44,0))*(1-'Responsibilities'!$F$8)+('Sites'!E6*'Capital'!E6*(IF(19='Capital'!G6,'Capital'!F6,0)+IF(19='Capital'!H6,1-'Capital'!F6,0)))*'Responsibilities'!$G$6+('Sites'!E7*'Capital'!E7*(IF(19='Capital'!G7+'Cases'!G8,'Capital'!F7,0)+IF(19='Capital'!H7+'Cases'!G8,1-'Capital'!F7,0)))*'Responsibilities'!$G$7+('Sites'!E8*'Cases'!F8*'Capital'!E8*(IF(19='Capital'!G8+'Cases'!G8,'Capital'!F8,0)+IF(19='Capital'!H8+'Cases'!G8,1-'Capital'!F8,0)))*'Responsibilities'!$G$8+('Sites'!E6*'Capital'!E6*(IF(19='Capital'!G6,'Capital'!F6,0)+IF(19='Capital'!H6,1-'Capital'!F6,0)))*(1-'Responsibilities'!$G$6)+('Sites'!E7*'Capital'!E7*(IF(19='Capital'!G7+'Cases'!G8,'Capital'!F7,0)+IF(19='Capital'!H7+'Cases'!G8,1-'Capital'!F7,0)))*(1-'Responsibilities'!$G$7)+('Sites'!E8*'Cases'!F8*'Capital'!E8*(IF(19='Capital'!G8+'Cases'!G8,'Capital'!F8,0)+IF(19='Capital'!H8+'Cases'!G8,1-'Capital'!F8,0)))*(1-'Responsibilities'!$G$8)+I96+SUMPRODUCT('Costs'!$E$36:$E$40,'Costs'!$F$36:$F$40)/12+BZ96)</f>
        <v/>
      </c>
      <c r="BZ96">
        <f>SUMIFS('Responsibilities'!$B$31:$B$35,'Responsibilities'!$C$31:$C$35,19,'Responsibilities'!$D$31:$D$35,"Yes")</f>
        <v/>
      </c>
    </row>
    <row r="97" ht="28" customHeight="1">
      <c r="A97" s="4" t="inlineStr">
        <is>
          <t>No QBE</t>
        </is>
      </c>
      <c r="B97" s="4" t="n">
        <v>20</v>
      </c>
      <c r="C97" s="4">
        <f>ROUNDUP(B97/12,0)</f>
        <v/>
      </c>
      <c r="D97" s="137">
        <f>SUMIFS('Production schedule'!$N$222:$N$329,'Production schedule'!$C$222:$C$329,20)</f>
        <v/>
      </c>
      <c r="E97" s="137">
        <f>SUMIFS('Production schedule'!$Y$222:$Y$329,'Production schedule'!$C$222:$C$329,20)</f>
        <v/>
      </c>
      <c r="F97" s="137">
        <f>SUMIFS('Production schedule'!$Z$222:$Z$329,'Production schedule'!$C$222:$C$329,20)</f>
        <v/>
      </c>
      <c r="G97" s="137">
        <f>('Production schedule'!AJ241)*'Responsibilities'!$C$6+('Production schedule'!AJ277)*'Responsibilities'!$C$7+('Production schedule'!AJ313)*'Responsibilities'!$C$8</f>
        <v/>
      </c>
      <c r="H97" s="137">
        <f>('Production schedule'!AI241)*'Responsibilities'!$D$6+('Production schedule'!AI277)*'Responsibilities'!$D$7+('Production schedule'!AI313)*'Responsibilities'!$D$8</f>
        <v/>
      </c>
      <c r="I97" s="137">
        <f>SUM('Assumptions'!W58:W65)</f>
        <v/>
      </c>
      <c r="J97" s="137">
        <f>('Production schedule'!E241*(IF('Sites'!D6="Annual staff",SUM('Assumptions'!W112,'Assumptions'!W114),0)+SUM('Assumptions'!W113,'Assumptions'!W115:W116)))*'Responsibilities'!$E$6+('Production schedule'!E277*(IF('Sites'!D7="Annual staff",SUM('Assumptions'!W117,'Assumptions'!W119),0)+SUM('Assumptions'!W118,'Assumptions'!W120:W121)))*'Responsibilities'!$E$7+('Production schedule'!E313*(IF('Sites'!D8="Annual staff",SUM('Assumptions'!W122,'Assumptions'!W124),0)+SUM('Assumptions'!W123,'Assumptions'!W125:W126)))*'Responsibilities'!$E$8</f>
        <v/>
      </c>
      <c r="K97" s="137">
        <f>(IF(AND('Production schedule'!E241=1,20=MAX(('Sites'!F6),13),ISNUMBER('Sites'!P6)),'Sites'!P6*'Assumptions'!$B$44,0))*'Responsibilities'!$F$6+(IF(AND('Production schedule'!E277=1,20=MAX(('Sites'!F7+'Cases'!G8),13),ISNUMBER('Sites'!P7)),'Sites'!P7*'Assumptions'!$B$44,0))*'Responsibilities'!$F$7+(IF(AND('Production schedule'!E313=1,20=MAX(('Sites'!F8+'Cases'!G8),13),ISNUMBER('Sites'!P8)),'Sites'!P8*'Assumptions'!$B$44,0))*'Responsibilities'!$F$8</f>
        <v/>
      </c>
      <c r="L97" s="137">
        <f>SUM('Costs'!E36)*'Costs'!F36/12*'Responsibilities'!$C$12+SUM('Costs'!E37)*'Costs'!F37/12*'Responsibilities'!$C$13+SUM('Costs'!E38)*'Costs'!F38/12*'Responsibilities'!$C$14+SUM('Costs'!E39)*'Costs'!F39/12*'Responsibilities'!$C$15+SUM('Costs'!E40)*'Costs'!F40/12*'Responsibilities'!$C$16+BZ97</f>
        <v/>
      </c>
      <c r="M97" s="137">
        <f>('Sites'!E6*'Capital'!E6*(IF(20='Capital'!G6,'Capital'!F6,0)+IF(20='Capital'!H6,1-'Capital'!F6,0)))*'Responsibilities'!$G$6+('Sites'!E7*'Capital'!E7*(IF(20='Capital'!G7+'Cases'!G8,'Capital'!F7,0)+IF(20='Capital'!H7+'Cases'!G8,1-'Capital'!F7,0)))*'Responsibilities'!$G$7+('Sites'!E8*'Cases'!F8*'Capital'!E8*(IF(20='Capital'!G8+'Cases'!G8,'Capital'!F8,0)+IF(20='Capital'!H8+'Cases'!G8,1-'Capital'!F8,0)))*'Responsibilities'!$G$8</f>
        <v/>
      </c>
      <c r="N97" s="137">
        <f>SUM(G97:M97)</f>
        <v/>
      </c>
      <c r="O97" s="137">
        <f>SUMIFS(FundingTranches[Secured amount],FundingTranches[Instrument],"Grant",FundingTranches[Secured month],20)</f>
        <v/>
      </c>
      <c r="P97" s="137">
        <f>SUMIFS(FundingTranches[No QBE possible],FundingTranches[Instrument],"Grant",FundingTranches[Scenario month],20-'Cases'!$D$8)</f>
        <v/>
      </c>
      <c r="Q97" s="137">
        <f>SUMIFS(FundingTranches[Secured amount],FundingTranches[Instrument],"Loan",FundingTranches[Secured month],20)</f>
        <v/>
      </c>
      <c r="R97" s="137">
        <f>SUMIFS(FundingTranches[No QBE possible],FundingTranches[Instrument],"Loan",FundingTranches[Scenario month],20-'Cases'!$D$8)</f>
        <v/>
      </c>
      <c r="S97" s="137">
        <f>IF(20&lt;='Assumptions'!$B$34,0,SUMIFS('Production schedule'!$AL$222:$AL$329,'Production schedule'!$C$222:$C$329,20-'Assumptions'!$B$34))</f>
        <v/>
      </c>
      <c r="T97" s="137">
        <f>'Assumptions'!W70</f>
        <v/>
      </c>
      <c r="U97" s="137">
        <f>'Assumptions'!W78</f>
        <v/>
      </c>
      <c r="V97" s="137">
        <f>SUM(O97:U97)</f>
        <v/>
      </c>
      <c r="W97" s="137">
        <f>AA96</f>
        <v/>
      </c>
      <c r="X97" s="137">
        <f>SUM(Q97:R97)</f>
        <v/>
      </c>
      <c r="Y97" s="137">
        <f>SUM(W97,X97)*'Assumptions'!$B$39/12</f>
        <v/>
      </c>
      <c r="Z97" s="137">
        <f>IF(SUM(W97,X97)&gt;0,MIN(SUM(W97,X97),MAX(0,BP97-Y97)),0)</f>
        <v/>
      </c>
      <c r="AA97" s="137">
        <f>SUM(W97,X97)-Z97</f>
        <v/>
      </c>
      <c r="AB97" s="137">
        <f>SUM(Y97:Z97)</f>
        <v/>
      </c>
      <c r="AC97" s="137">
        <f>'Assumptions'!W72</f>
        <v/>
      </c>
      <c r="AD97" s="137">
        <f>'Assumptions'!W73</f>
        <v/>
      </c>
      <c r="AE97" s="137">
        <f>IF(X97&gt;0,SUM('Assumptions'!$B$42),0)</f>
        <v/>
      </c>
      <c r="AF97" s="137">
        <f>'Assumptions'!W71</f>
        <v/>
      </c>
      <c r="AG97" s="137">
        <f>'Assumptions'!W74</f>
        <v/>
      </c>
      <c r="AH97" s="137">
        <f>'Assumptions'!W75</f>
        <v/>
      </c>
      <c r="AI97" s="137">
        <f>'Assumptions'!W77</f>
        <v/>
      </c>
      <c r="AJ97" s="137">
        <f>V97-N97-SUM(AB97:AI97)</f>
        <v/>
      </c>
      <c r="AK97" s="137">
        <f>SUM(AJ78:AJ97)</f>
        <v/>
      </c>
      <c r="AL97" s="137">
        <f>IF(ISNUMBER('Assumptions'!$B$10),'Assumptions'!$B$10+AK97,"")</f>
        <v/>
      </c>
      <c r="AM97" s="137">
        <f>SUM(O97,Q97,T97)-N97-SUM(AC97:AI97)+IF('Funding'!$N$11=0,AE97,0)-IF('Funding'!$N$11&gt;0,AB97,0)</f>
        <v/>
      </c>
      <c r="AN97" s="137">
        <f>SUM(AM78:AM97)</f>
        <v/>
      </c>
      <c r="AO97" s="137">
        <f>IF(ISNUMBER('Assumptions'!$B$10),'Assumptions'!$B$10+AN97,"")</f>
        <v/>
      </c>
      <c r="AP97" s="137">
        <f>('Production schedule'!AK241)*'Responsibilities'!$C$6+('Production schedule'!AK277)*'Responsibilities'!$C$7+('Production schedule'!AK313)*'Responsibilities'!$C$8</f>
        <v/>
      </c>
      <c r="AQ97" s="137">
        <f>SUMIFS('Production schedule'!$AL$222:$AL$329,'Production schedule'!$C$222:$C$329,20)</f>
        <v/>
      </c>
      <c r="AR97" s="137">
        <f>IF(ISNUMBER('Assumptions'!W76),'Assumptions'!W76,SUM(O97:P97))</f>
        <v/>
      </c>
      <c r="AS97" s="137">
        <f>IF(ISNUMBER('Assumptions'!$B$13),MIN('Assumptions'!$B$13/'Assumptions'!$B$18/12,MAX(0,'Assumptions'!$B$13-(20-1)*'Assumptions'!$B$13/'Assumptions'!$B$18/12)),0)+IF(AND('Sites'!E6=1,20&gt;=('Sites'!F6),20&lt;('Sites'!F6)+'Assumptions'!$B$18*12),'Capital'!E6/'Assumptions'!$B$18/12,0)+IF(AND('Sites'!E7=1,20&gt;=('Sites'!F7+'Cases'!G8),20&lt;('Sites'!F7+'Cases'!G8)+'Assumptions'!$B$18*12),'Capital'!E7/'Assumptions'!$B$18/12,0)+IF(AND('Sites'!E8*'Cases'!F8=1,20&gt;=('Sites'!F8+'Cases'!G8),20&lt;('Sites'!F8+'Cases'!G8)+'Assumptions'!$B$18*12),'Capital'!E8/'Assumptions'!$B$18/12,0)</f>
        <v/>
      </c>
      <c r="AT97" s="137">
        <f>SUM(AQ97,AR97,U97)-AP97-SUM(H97:L97)-AS97-SUM(Y97,AD97,AE97,AH97)</f>
        <v/>
      </c>
      <c r="AU97" s="137">
        <f>IF(ISNUMBER('Assumptions'!$B$19),MAX(0,SUM(AT90:AT97))*'Assumptions'!$B$19-SUM(AU90:AU96),"")</f>
        <v/>
      </c>
      <c r="AV97" s="137">
        <f>IF(ISNUMBER(AU97),AT97-AU97,"")</f>
        <v/>
      </c>
      <c r="AW97" s="137">
        <f>IF(ISNUMBER('Assumptions'!$B$11),'Assumptions'!$B$11+SUM(AQ78:AQ97)-SUM(S78:S97)-SUM(T78:T97),"")</f>
        <v/>
      </c>
      <c r="AX97" s="137">
        <f>IF(ISNUMBER('Assumptions'!$B$12),'Assumptions'!$B$12+SUM(G78:G97)-SUM(AP78:AP97),"")</f>
        <v/>
      </c>
      <c r="AY97" s="137">
        <f>IF(ISNUMBER('Assumptions'!$B$13),'Assumptions'!$B$13+SUM(M78:M97)-SUM(AS78:AS97),"")</f>
        <v/>
      </c>
      <c r="AZ97" s="137">
        <f>IF(ISNUMBER('Assumptions'!$B$14),'Assumptions'!$B$14+-SUM(AF78:AF97),"")</f>
        <v/>
      </c>
      <c r="BA97" s="137">
        <f>IF(ISNUMBER('Assumptions'!$B$15),'Assumptions'!$B$15+SUM(O78:O97)+SUM(P78:P97)-SUM(AR78:AR97),"")</f>
        <v/>
      </c>
      <c r="BB97" s="137">
        <f>IF(ISNUMBER('Assumptions'!$B$16),'Assumptions'!$B$16+-SUM(AC78:AC97),"")</f>
        <v/>
      </c>
      <c r="BC97" s="137">
        <f>IF(AND(ISNUMBER('Assumptions'!$B$21),ISNUMBER('Assumptions'!$B$19)),'Assumptions'!$B$21+SUM(AU78:AU97)-SUM(AG78:AG97),"")</f>
        <v/>
      </c>
      <c r="BD97" s="137">
        <f>IF(ISNUMBER('Assumptions'!$B$20),'Assumptions'!$B$20+-SUM(AI78:AI97),"")</f>
        <v/>
      </c>
      <c r="BE97" s="137">
        <f>IF(AND(ISNUMBER('Assumptions'!$B$17),COUNT(AV78:AV97)=20),'Assumptions'!$B$17+SUM(AV78:AV97),"")</f>
        <v/>
      </c>
      <c r="BF97" s="137">
        <f>IF(COUNT(AL97,AW97:AY97)=4,SUM(AL97,AW97:AY97),"")</f>
        <v/>
      </c>
      <c r="BG97" s="137">
        <f>IF(COUNT(AZ97:BD97)=5,SUM(AZ97:BD97,AA97),"")</f>
        <v/>
      </c>
      <c r="BH97" s="137">
        <f>IF(COUNT(BF97,BG97,BE97)=3,BF97-BG97-BE97,"")</f>
        <v/>
      </c>
      <c r="BI97" s="137">
        <f>SUM(W97,X97)-Z97-AA97</f>
        <v/>
      </c>
      <c r="BJ97" s="137">
        <f>8-COUNT('Assumptions'!W58:W65)+COUNTBLANK('NM Play'!B33:B34)+'Costs'!E44+IF(AND('Sites'!E6=1,('Sites'!F6)&lt;=24,'Sites'!G6&gt;=13),IF(ISNUMBER('Sites'!P6),0,1)+'Capital'!I6+COUNTBLANK('Sites'!R6)+IF('Sites'!D6="NM crew",COUNTBLANK('NM Play'!B25)+1,5-COUNT('Assumptions'!W112:W116)),0)+IF(AND('Sites'!E7=1,('Sites'!F7+'Cases'!G8)&lt;=24,'Sites'!G7&gt;=13),IF(ISNUMBER('Sites'!P7),0,1)+'Capital'!I7+COUNTBLANK('Sites'!R7)+IF('Sites'!D7="NM crew",COUNTBLANK('NM Play'!B25)+1,5-COUNT('Assumptions'!W117:W121)),0)+IF(AND('Sites'!E8*'Cases'!F8=1,('Sites'!F8+'Cases'!G8)&lt;=24,'Sites'!G8&gt;=13),IF(ISNUMBER('Sites'!P8),0,1)+'Capital'!I8+COUNTBLANK('Sites'!R8)+IF('Sites'!D8="NM crew",COUNTBLANK('NM Play'!B25)+1,5-COUNT('Assumptions'!W122:W126)),0)+IF(AND('Cases'!C8&gt;0,NOT(ISNUMBER('Assumptions'!B42))),1,0)+'Responsibilities'!$B$39</f>
        <v/>
      </c>
      <c r="BK97" s="137">
        <f>'Assumptions'!$B$50+'NM Play'!$B$83+'Funding'!$F$20+SUMIFS('Production schedule'!$AN$222:$AN$329,'Production schedule'!$C$222:$C$329,20)+IF(OR('Cases'!E8&lt;0,'Cases'!E8&gt;1,'Cases'!C8&lt;0,'Cases'!D8&lt;0,ABS(SUM('Sites'!S6:S8)-1)&gt;0.0001,MIN('Capital'!F6:F8)&lt;0,MAX('Capital'!F6:F8)&gt;1,MIN(AX97,AZ97,BB97,BA97)&lt;-0.01),1,0)+'Responsibilities'!$B$40</f>
        <v/>
      </c>
      <c r="BL97" s="137">
        <f>SUMIFS('Production schedule'!$T$222:$T$329,'Production schedule'!$C$222:$C$329,20)</f>
        <v/>
      </c>
      <c r="BM97" s="137">
        <f>D97*'NM Play'!$B$38</f>
        <v/>
      </c>
      <c r="BN97" s="137">
        <f>SUMIFS('Production schedule'!$AM$222:$AM$329,'Production schedule'!$C$222:$C$329,20)</f>
        <v/>
      </c>
      <c r="BO97" s="137">
        <f>AK97-AK96-AJ97</f>
        <v/>
      </c>
      <c r="BP97" s="137">
        <f>IF(AND('Assumptions'!$B$39&gt;=0,'Assumptions'!$B$40&gt;0),-PMT('Assumptions'!$B$39/12,'Assumptions'!$B$40*12,IF('Funding'!$N$11&gt;0,'Funding'!$N$11,'Funding'!$T$11)),"")</f>
        <v/>
      </c>
      <c r="BQ97">
        <f>('Production schedule'!AJ241)*(1-'Responsibilities'!$C$6)+('Production schedule'!AJ277)*(1-'Responsibilities'!$C$7)+('Production schedule'!AJ313)*(1-'Responsibilities'!$C$8)</f>
        <v/>
      </c>
      <c r="BR97">
        <f>('Production schedule'!AI241)*(1-'Responsibilities'!$D$6)+('Production schedule'!AI277)*(1-'Responsibilities'!$D$7)+('Production schedule'!AI313)*(1-'Responsibilities'!$D$8)</f>
        <v/>
      </c>
      <c r="BS97">
        <f>('Production schedule'!E241*(IF('Sites'!D6="Annual staff",SUM('Assumptions'!W112,'Assumptions'!W114),0)+SUM('Assumptions'!W113,'Assumptions'!W115:W116)))*(1-'Responsibilities'!$E$6)+('Production schedule'!E277*(IF('Sites'!D7="Annual staff",SUM('Assumptions'!W117,'Assumptions'!W119),0)+SUM('Assumptions'!W118,'Assumptions'!W120:W121)))*(1-'Responsibilities'!$E$7)+('Production schedule'!E313*(IF('Sites'!D8="Annual staff",SUM('Assumptions'!W122,'Assumptions'!W124),0)+SUM('Assumptions'!W123,'Assumptions'!W125:W126)))*(1-'Responsibilities'!$E$8)</f>
        <v/>
      </c>
      <c r="BT97">
        <f>(IF(AND('Production schedule'!E241=1,20=MAX(('Sites'!F6),13),ISNUMBER('Sites'!P6)),'Sites'!P6*'Assumptions'!$B$44,0))*(1-'Responsibilities'!$F$6)+(IF(AND('Production schedule'!E277=1,20=MAX(('Sites'!F7+'Cases'!G8),13),ISNUMBER('Sites'!P7)),'Sites'!P7*'Assumptions'!$B$44,0))*(1-'Responsibilities'!$F$7)+(IF(AND('Production schedule'!E313=1,20=MAX(('Sites'!F8+'Cases'!G8),13),ISNUMBER('Sites'!P8)),'Sites'!P8*'Assumptions'!$B$44,0))*(1-'Responsibilities'!$F$8)</f>
        <v/>
      </c>
      <c r="BU97">
        <f>SUM('Costs'!E36)*'Costs'!F36/12*(1-'Responsibilities'!$C$12)+SUM('Costs'!E37)*'Costs'!F37/12*(1-'Responsibilities'!$C$13)+SUM('Costs'!E38)*'Costs'!F38/12*(1-'Responsibilities'!$C$14)+SUM('Costs'!E39)*'Costs'!F39/12*(1-'Responsibilities'!$C$15)+SUM('Costs'!E40)*'Costs'!F40/12*(1-'Responsibilities'!$C$16)</f>
        <v/>
      </c>
      <c r="BV97">
        <f>('Sites'!E6*'Capital'!E6*(IF(20='Capital'!G6,'Capital'!F6,0)+IF(20='Capital'!H6,1-'Capital'!F6,0)))*(1-'Responsibilities'!$G$6)+('Sites'!E7*'Capital'!E7*(IF(20='Capital'!G7+'Cases'!G8,'Capital'!F7,0)+IF(20='Capital'!H7+'Cases'!G8,1-'Capital'!F7,0)))*(1-'Responsibilities'!$G$7)+('Sites'!E8*'Cases'!F8*'Capital'!E8*(IF(20='Capital'!G8+'Cases'!G8,'Capital'!F8,0)+IF(20='Capital'!H8+'Cases'!G8,1-'Capital'!F8,0)))*(1-'Responsibilities'!$G$8)</f>
        <v/>
      </c>
      <c r="BW97">
        <f>SUM(BQ97:BV97)</f>
        <v/>
      </c>
      <c r="BX97">
        <f>N97+BW97</f>
        <v/>
      </c>
      <c r="BY97">
        <f>BX97-(('Production schedule'!AJ241)*'Responsibilities'!$C$6+('Production schedule'!AJ277)*'Responsibilities'!$C$7+('Production schedule'!AJ313)*'Responsibilities'!$C$8+('Production schedule'!AJ241)*(1-'Responsibilities'!$C$6)+('Production schedule'!AJ277)*(1-'Responsibilities'!$C$7)+('Production schedule'!AJ313)*(1-'Responsibilities'!$C$8)+('Production schedule'!AI241)*'Responsibilities'!$D$6+('Production schedule'!AI277)*'Responsibilities'!$D$7+('Production schedule'!AI313)*'Responsibilities'!$D$8+('Production schedule'!AI241)*(1-'Responsibilities'!$D$6)+('Production schedule'!AI277)*(1-'Responsibilities'!$D$7)+('Production schedule'!AI313)*(1-'Responsibilities'!$D$8)+('Production schedule'!E241*(IF('Sites'!D6="Annual staff",SUM('Assumptions'!W112,'Assumptions'!W114),0)+SUM('Assumptions'!W113,'Assumptions'!W115:W116)))*'Responsibilities'!$E$6+('Production schedule'!E277*(IF('Sites'!D7="Annual staff",SUM('Assumptions'!W117,'Assumptions'!W119),0)+SUM('Assumptions'!W118,'Assumptions'!W120:W121)))*'Responsibilities'!$E$7+('Production schedule'!E313*(IF('Sites'!D8="Annual staff",SUM('Assumptions'!W122,'Assumptions'!W124),0)+SUM('Assumptions'!W123,'Assumptions'!W125:W126)))*'Responsibilities'!$E$8+('Production schedule'!E241*(IF('Sites'!D6="Annual staff",SUM('Assumptions'!W112,'Assumptions'!W114),0)+SUM('Assumptions'!W113,'Assumptions'!W115:W116)))*(1-'Responsibilities'!$E$6)+('Production schedule'!E277*(IF('Sites'!D7="Annual staff",SUM('Assumptions'!W117,'Assumptions'!W119),0)+SUM('Assumptions'!W118,'Assumptions'!W120:W121)))*(1-'Responsibilities'!$E$7)+('Production schedule'!E313*(IF('Sites'!D8="Annual staff",SUM('Assumptions'!W122,'Assumptions'!W124),0)+SUM('Assumptions'!W123,'Assumptions'!W125:W126)))*(1-'Responsibilities'!$E$8)+(IF(AND('Production schedule'!E241=1,20=MAX(('Sites'!F6),13),ISNUMBER('Sites'!P6)),'Sites'!P6*'Assumptions'!$B$44,0))*'Responsibilities'!$F$6+(IF(AND('Production schedule'!E277=1,20=MAX(('Sites'!F7+'Cases'!G8),13),ISNUMBER('Sites'!P7)),'Sites'!P7*'Assumptions'!$B$44,0))*'Responsibilities'!$F$7+(IF(AND('Production schedule'!E313=1,20=MAX(('Sites'!F8+'Cases'!G8),13),ISNUMBER('Sites'!P8)),'Sites'!P8*'Assumptions'!$B$44,0))*'Responsibilities'!$F$8+(IF(AND('Production schedule'!E241=1,20=MAX(('Sites'!F6),13),ISNUMBER('Sites'!P6)),'Sites'!P6*'Assumptions'!$B$44,0))*(1-'Responsibilities'!$F$6)+(IF(AND('Production schedule'!E277=1,20=MAX(('Sites'!F7+'Cases'!G8),13),ISNUMBER('Sites'!P7)),'Sites'!P7*'Assumptions'!$B$44,0))*(1-'Responsibilities'!$F$7)+(IF(AND('Production schedule'!E313=1,20=MAX(('Sites'!F8+'Cases'!G8),13),ISNUMBER('Sites'!P8)),'Sites'!P8*'Assumptions'!$B$44,0))*(1-'Responsibilities'!$F$8)+('Sites'!E6*'Capital'!E6*(IF(20='Capital'!G6,'Capital'!F6,0)+IF(20='Capital'!H6,1-'Capital'!F6,0)))*'Responsibilities'!$G$6+('Sites'!E7*'Capital'!E7*(IF(20='Capital'!G7+'Cases'!G8,'Capital'!F7,0)+IF(20='Capital'!H7+'Cases'!G8,1-'Capital'!F7,0)))*'Responsibilities'!$G$7+('Sites'!E8*'Cases'!F8*'Capital'!E8*(IF(20='Capital'!G8+'Cases'!G8,'Capital'!F8,0)+IF(20='Capital'!H8+'Cases'!G8,1-'Capital'!F8,0)))*'Responsibilities'!$G$8+('Sites'!E6*'Capital'!E6*(IF(20='Capital'!G6,'Capital'!F6,0)+IF(20='Capital'!H6,1-'Capital'!F6,0)))*(1-'Responsibilities'!$G$6)+('Sites'!E7*'Capital'!E7*(IF(20='Capital'!G7+'Cases'!G8,'Capital'!F7,0)+IF(20='Capital'!H7+'Cases'!G8,1-'Capital'!F7,0)))*(1-'Responsibilities'!$G$7)+('Sites'!E8*'Cases'!F8*'Capital'!E8*(IF(20='Capital'!G8+'Cases'!G8,'Capital'!F8,0)+IF(20='Capital'!H8+'Cases'!G8,1-'Capital'!F8,0)))*(1-'Responsibilities'!$G$8)+I97+SUMPRODUCT('Costs'!$E$36:$E$40,'Costs'!$F$36:$F$40)/12+BZ97)</f>
        <v/>
      </c>
      <c r="BZ97">
        <f>SUMIFS('Responsibilities'!$B$31:$B$35,'Responsibilities'!$C$31:$C$35,20,'Responsibilities'!$D$31:$D$35,"Yes")</f>
        <v/>
      </c>
    </row>
    <row r="98" ht="28" customHeight="1">
      <c r="A98" s="4" t="inlineStr">
        <is>
          <t>No QBE</t>
        </is>
      </c>
      <c r="B98" s="4" t="n">
        <v>21</v>
      </c>
      <c r="C98" s="4">
        <f>ROUNDUP(B98/12,0)</f>
        <v/>
      </c>
      <c r="D98" s="137">
        <f>SUMIFS('Production schedule'!$N$222:$N$329,'Production schedule'!$C$222:$C$329,21)</f>
        <v/>
      </c>
      <c r="E98" s="137">
        <f>SUMIFS('Production schedule'!$Y$222:$Y$329,'Production schedule'!$C$222:$C$329,21)</f>
        <v/>
      </c>
      <c r="F98" s="137">
        <f>SUMIFS('Production schedule'!$Z$222:$Z$329,'Production schedule'!$C$222:$C$329,21)</f>
        <v/>
      </c>
      <c r="G98" s="137">
        <f>('Production schedule'!AJ242)*'Responsibilities'!$C$6+('Production schedule'!AJ278)*'Responsibilities'!$C$7+('Production schedule'!AJ314)*'Responsibilities'!$C$8</f>
        <v/>
      </c>
      <c r="H98" s="137">
        <f>('Production schedule'!AI242)*'Responsibilities'!$D$6+('Production schedule'!AI278)*'Responsibilities'!$D$7+('Production schedule'!AI314)*'Responsibilities'!$D$8</f>
        <v/>
      </c>
      <c r="I98" s="137">
        <f>SUM('Assumptions'!X58:X65)</f>
        <v/>
      </c>
      <c r="J98" s="137">
        <f>('Production schedule'!E242*(IF('Sites'!D6="Annual staff",SUM('Assumptions'!X112,'Assumptions'!X114),0)+SUM('Assumptions'!X113,'Assumptions'!X115:X116)))*'Responsibilities'!$E$6+('Production schedule'!E278*(IF('Sites'!D7="Annual staff",SUM('Assumptions'!X117,'Assumptions'!X119),0)+SUM('Assumptions'!X118,'Assumptions'!X120:X121)))*'Responsibilities'!$E$7+('Production schedule'!E314*(IF('Sites'!D8="Annual staff",SUM('Assumptions'!X122,'Assumptions'!X124),0)+SUM('Assumptions'!X123,'Assumptions'!X125:X126)))*'Responsibilities'!$E$8</f>
        <v/>
      </c>
      <c r="K98" s="137">
        <f>(IF(AND('Production schedule'!E242=1,21=MAX(('Sites'!F6),13),ISNUMBER('Sites'!P6)),'Sites'!P6*'Assumptions'!$B$44,0))*'Responsibilities'!$F$6+(IF(AND('Production schedule'!E278=1,21=MAX(('Sites'!F7+'Cases'!G8),13),ISNUMBER('Sites'!P7)),'Sites'!P7*'Assumptions'!$B$44,0))*'Responsibilities'!$F$7+(IF(AND('Production schedule'!E314=1,21=MAX(('Sites'!F8+'Cases'!G8),13),ISNUMBER('Sites'!P8)),'Sites'!P8*'Assumptions'!$B$44,0))*'Responsibilities'!$F$8</f>
        <v/>
      </c>
      <c r="L98" s="137">
        <f>SUM('Costs'!E36)*'Costs'!F36/12*'Responsibilities'!$C$12+SUM('Costs'!E37)*'Costs'!F37/12*'Responsibilities'!$C$13+SUM('Costs'!E38)*'Costs'!F38/12*'Responsibilities'!$C$14+SUM('Costs'!E39)*'Costs'!F39/12*'Responsibilities'!$C$15+SUM('Costs'!E40)*'Costs'!F40/12*'Responsibilities'!$C$16+BZ98</f>
        <v/>
      </c>
      <c r="M98" s="137">
        <f>('Sites'!E6*'Capital'!E6*(IF(21='Capital'!G6,'Capital'!F6,0)+IF(21='Capital'!H6,1-'Capital'!F6,0)))*'Responsibilities'!$G$6+('Sites'!E7*'Capital'!E7*(IF(21='Capital'!G7+'Cases'!G8,'Capital'!F7,0)+IF(21='Capital'!H7+'Cases'!G8,1-'Capital'!F7,0)))*'Responsibilities'!$G$7+('Sites'!E8*'Cases'!F8*'Capital'!E8*(IF(21='Capital'!G8+'Cases'!G8,'Capital'!F8,0)+IF(21='Capital'!H8+'Cases'!G8,1-'Capital'!F8,0)))*'Responsibilities'!$G$8</f>
        <v/>
      </c>
      <c r="N98" s="137">
        <f>SUM(G98:M98)</f>
        <v/>
      </c>
      <c r="O98" s="137">
        <f>SUMIFS(FundingTranches[Secured amount],FundingTranches[Instrument],"Grant",FundingTranches[Secured month],21)</f>
        <v/>
      </c>
      <c r="P98" s="137">
        <f>SUMIFS(FundingTranches[No QBE possible],FundingTranches[Instrument],"Grant",FundingTranches[Scenario month],21-'Cases'!$D$8)</f>
        <v/>
      </c>
      <c r="Q98" s="137">
        <f>SUMIFS(FundingTranches[Secured amount],FundingTranches[Instrument],"Loan",FundingTranches[Secured month],21)</f>
        <v/>
      </c>
      <c r="R98" s="137">
        <f>SUMIFS(FundingTranches[No QBE possible],FundingTranches[Instrument],"Loan",FundingTranches[Scenario month],21-'Cases'!$D$8)</f>
        <v/>
      </c>
      <c r="S98" s="137">
        <f>IF(21&lt;='Assumptions'!$B$34,0,SUMIFS('Production schedule'!$AL$222:$AL$329,'Production schedule'!$C$222:$C$329,21-'Assumptions'!$B$34))</f>
        <v/>
      </c>
      <c r="T98" s="137">
        <f>'Assumptions'!X70</f>
        <v/>
      </c>
      <c r="U98" s="137">
        <f>'Assumptions'!X78</f>
        <v/>
      </c>
      <c r="V98" s="137">
        <f>SUM(O98:U98)</f>
        <v/>
      </c>
      <c r="W98" s="137">
        <f>AA97</f>
        <v/>
      </c>
      <c r="X98" s="137">
        <f>SUM(Q98:R98)</f>
        <v/>
      </c>
      <c r="Y98" s="137">
        <f>SUM(W98,X98)*'Assumptions'!$B$39/12</f>
        <v/>
      </c>
      <c r="Z98" s="137">
        <f>IF(SUM(W98,X98)&gt;0,MIN(SUM(W98,X98),MAX(0,BP98-Y98)),0)</f>
        <v/>
      </c>
      <c r="AA98" s="137">
        <f>SUM(W98,X98)-Z98</f>
        <v/>
      </c>
      <c r="AB98" s="137">
        <f>SUM(Y98:Z98)</f>
        <v/>
      </c>
      <c r="AC98" s="137">
        <f>'Assumptions'!X72</f>
        <v/>
      </c>
      <c r="AD98" s="137">
        <f>'Assumptions'!X73</f>
        <v/>
      </c>
      <c r="AE98" s="137">
        <f>IF(X98&gt;0,SUM('Assumptions'!$B$42),0)</f>
        <v/>
      </c>
      <c r="AF98" s="137">
        <f>'Assumptions'!X71</f>
        <v/>
      </c>
      <c r="AG98" s="137">
        <f>'Assumptions'!X74</f>
        <v/>
      </c>
      <c r="AH98" s="137">
        <f>'Assumptions'!X75</f>
        <v/>
      </c>
      <c r="AI98" s="137">
        <f>'Assumptions'!X77</f>
        <v/>
      </c>
      <c r="AJ98" s="137">
        <f>V98-N98-SUM(AB98:AI98)</f>
        <v/>
      </c>
      <c r="AK98" s="137">
        <f>SUM(AJ78:AJ98)</f>
        <v/>
      </c>
      <c r="AL98" s="137">
        <f>IF(ISNUMBER('Assumptions'!$B$10),'Assumptions'!$B$10+AK98,"")</f>
        <v/>
      </c>
      <c r="AM98" s="137">
        <f>SUM(O98,Q98,T98)-N98-SUM(AC98:AI98)+IF('Funding'!$N$11=0,AE98,0)-IF('Funding'!$N$11&gt;0,AB98,0)</f>
        <v/>
      </c>
      <c r="AN98" s="137">
        <f>SUM(AM78:AM98)</f>
        <v/>
      </c>
      <c r="AO98" s="137">
        <f>IF(ISNUMBER('Assumptions'!$B$10),'Assumptions'!$B$10+AN98,"")</f>
        <v/>
      </c>
      <c r="AP98" s="137">
        <f>('Production schedule'!AK242)*'Responsibilities'!$C$6+('Production schedule'!AK278)*'Responsibilities'!$C$7+('Production schedule'!AK314)*'Responsibilities'!$C$8</f>
        <v/>
      </c>
      <c r="AQ98" s="137">
        <f>SUMIFS('Production schedule'!$AL$222:$AL$329,'Production schedule'!$C$222:$C$329,21)</f>
        <v/>
      </c>
      <c r="AR98" s="137">
        <f>IF(ISNUMBER('Assumptions'!X76),'Assumptions'!X76,SUM(O98:P98))</f>
        <v/>
      </c>
      <c r="AS98" s="137">
        <f>IF(ISNUMBER('Assumptions'!$B$13),MIN('Assumptions'!$B$13/'Assumptions'!$B$18/12,MAX(0,'Assumptions'!$B$13-(21-1)*'Assumptions'!$B$13/'Assumptions'!$B$18/12)),0)+IF(AND('Sites'!E6=1,21&gt;=('Sites'!F6),21&lt;('Sites'!F6)+'Assumptions'!$B$18*12),'Capital'!E6/'Assumptions'!$B$18/12,0)+IF(AND('Sites'!E7=1,21&gt;=('Sites'!F7+'Cases'!G8),21&lt;('Sites'!F7+'Cases'!G8)+'Assumptions'!$B$18*12),'Capital'!E7/'Assumptions'!$B$18/12,0)+IF(AND('Sites'!E8*'Cases'!F8=1,21&gt;=('Sites'!F8+'Cases'!G8),21&lt;('Sites'!F8+'Cases'!G8)+'Assumptions'!$B$18*12),'Capital'!E8/'Assumptions'!$B$18/12,0)</f>
        <v/>
      </c>
      <c r="AT98" s="137">
        <f>SUM(AQ98,AR98,U98)-AP98-SUM(H98:L98)-AS98-SUM(Y98,AD98,AE98,AH98)</f>
        <v/>
      </c>
      <c r="AU98" s="137">
        <f>IF(ISNUMBER('Assumptions'!$B$19),MAX(0,SUM(AT90:AT98))*'Assumptions'!$B$19-SUM(AU90:AU97),"")</f>
        <v/>
      </c>
      <c r="AV98" s="137">
        <f>IF(ISNUMBER(AU98),AT98-AU98,"")</f>
        <v/>
      </c>
      <c r="AW98" s="137">
        <f>IF(ISNUMBER('Assumptions'!$B$11),'Assumptions'!$B$11+SUM(AQ78:AQ98)-SUM(S78:S98)-SUM(T78:T98),"")</f>
        <v/>
      </c>
      <c r="AX98" s="137">
        <f>IF(ISNUMBER('Assumptions'!$B$12),'Assumptions'!$B$12+SUM(G78:G98)-SUM(AP78:AP98),"")</f>
        <v/>
      </c>
      <c r="AY98" s="137">
        <f>IF(ISNUMBER('Assumptions'!$B$13),'Assumptions'!$B$13+SUM(M78:M98)-SUM(AS78:AS98),"")</f>
        <v/>
      </c>
      <c r="AZ98" s="137">
        <f>IF(ISNUMBER('Assumptions'!$B$14),'Assumptions'!$B$14+-SUM(AF78:AF98),"")</f>
        <v/>
      </c>
      <c r="BA98" s="137">
        <f>IF(ISNUMBER('Assumptions'!$B$15),'Assumptions'!$B$15+SUM(O78:O98)+SUM(P78:P98)-SUM(AR78:AR98),"")</f>
        <v/>
      </c>
      <c r="BB98" s="137">
        <f>IF(ISNUMBER('Assumptions'!$B$16),'Assumptions'!$B$16+-SUM(AC78:AC98),"")</f>
        <v/>
      </c>
      <c r="BC98" s="137">
        <f>IF(AND(ISNUMBER('Assumptions'!$B$21),ISNUMBER('Assumptions'!$B$19)),'Assumptions'!$B$21+SUM(AU78:AU98)-SUM(AG78:AG98),"")</f>
        <v/>
      </c>
      <c r="BD98" s="137">
        <f>IF(ISNUMBER('Assumptions'!$B$20),'Assumptions'!$B$20+-SUM(AI78:AI98),"")</f>
        <v/>
      </c>
      <c r="BE98" s="137">
        <f>IF(AND(ISNUMBER('Assumptions'!$B$17),COUNT(AV78:AV98)=21),'Assumptions'!$B$17+SUM(AV78:AV98),"")</f>
        <v/>
      </c>
      <c r="BF98" s="137">
        <f>IF(COUNT(AL98,AW98:AY98)=4,SUM(AL98,AW98:AY98),"")</f>
        <v/>
      </c>
      <c r="BG98" s="137">
        <f>IF(COUNT(AZ98:BD98)=5,SUM(AZ98:BD98,AA98),"")</f>
        <v/>
      </c>
      <c r="BH98" s="137">
        <f>IF(COUNT(BF98,BG98,BE98)=3,BF98-BG98-BE98,"")</f>
        <v/>
      </c>
      <c r="BI98" s="137">
        <f>SUM(W98,X98)-Z98-AA98</f>
        <v/>
      </c>
      <c r="BJ98" s="137">
        <f>8-COUNT('Assumptions'!X58:X65)+COUNTBLANK('NM Play'!B33:B34)+'Costs'!E44+IF(AND('Sites'!E6=1,('Sites'!F6)&lt;=24,'Sites'!G6&gt;=13),IF(ISNUMBER('Sites'!P6),0,1)+'Capital'!I6+COUNTBLANK('Sites'!R6)+IF('Sites'!D6="NM crew",COUNTBLANK('NM Play'!B25)+1,5-COUNT('Assumptions'!X112:X116)),0)+IF(AND('Sites'!E7=1,('Sites'!F7+'Cases'!G8)&lt;=24,'Sites'!G7&gt;=13),IF(ISNUMBER('Sites'!P7),0,1)+'Capital'!I7+COUNTBLANK('Sites'!R7)+IF('Sites'!D7="NM crew",COUNTBLANK('NM Play'!B25)+1,5-COUNT('Assumptions'!X117:X121)),0)+IF(AND('Sites'!E8*'Cases'!F8=1,('Sites'!F8+'Cases'!G8)&lt;=24,'Sites'!G8&gt;=13),IF(ISNUMBER('Sites'!P8),0,1)+'Capital'!I8+COUNTBLANK('Sites'!R8)+IF('Sites'!D8="NM crew",COUNTBLANK('NM Play'!B25)+1,5-COUNT('Assumptions'!X122:X126)),0)+IF(AND('Cases'!C8&gt;0,NOT(ISNUMBER('Assumptions'!B42))),1,0)+'Responsibilities'!$B$39</f>
        <v/>
      </c>
      <c r="BK98" s="137">
        <f>'Assumptions'!$B$50+'NM Play'!$B$83+'Funding'!$F$20+SUMIFS('Production schedule'!$AN$222:$AN$329,'Production schedule'!$C$222:$C$329,21)+IF(OR('Cases'!E8&lt;0,'Cases'!E8&gt;1,'Cases'!C8&lt;0,'Cases'!D8&lt;0,ABS(SUM('Sites'!S6:S8)-1)&gt;0.0001,MIN('Capital'!F6:F8)&lt;0,MAX('Capital'!F6:F8)&gt;1,MIN(AX98,AZ98,BB98,BA98)&lt;-0.01),1,0)+'Responsibilities'!$B$40</f>
        <v/>
      </c>
      <c r="BL98" s="137">
        <f>SUMIFS('Production schedule'!$T$222:$T$329,'Production schedule'!$C$222:$C$329,21)</f>
        <v/>
      </c>
      <c r="BM98" s="137">
        <f>D98*'NM Play'!$B$38</f>
        <v/>
      </c>
      <c r="BN98" s="137">
        <f>SUMIFS('Production schedule'!$AM$222:$AM$329,'Production schedule'!$C$222:$C$329,21)</f>
        <v/>
      </c>
      <c r="BO98" s="137">
        <f>AK98-AK97-AJ98</f>
        <v/>
      </c>
      <c r="BP98" s="137">
        <f>IF(AND('Assumptions'!$B$39&gt;=0,'Assumptions'!$B$40&gt;0),-PMT('Assumptions'!$B$39/12,'Assumptions'!$B$40*12,IF('Funding'!$N$11&gt;0,'Funding'!$N$11,'Funding'!$T$11)),"")</f>
        <v/>
      </c>
      <c r="BQ98">
        <f>('Production schedule'!AJ242)*(1-'Responsibilities'!$C$6)+('Production schedule'!AJ278)*(1-'Responsibilities'!$C$7)+('Production schedule'!AJ314)*(1-'Responsibilities'!$C$8)</f>
        <v/>
      </c>
      <c r="BR98">
        <f>('Production schedule'!AI242)*(1-'Responsibilities'!$D$6)+('Production schedule'!AI278)*(1-'Responsibilities'!$D$7)+('Production schedule'!AI314)*(1-'Responsibilities'!$D$8)</f>
        <v/>
      </c>
      <c r="BS98">
        <f>('Production schedule'!E242*(IF('Sites'!D6="Annual staff",SUM('Assumptions'!X112,'Assumptions'!X114),0)+SUM('Assumptions'!X113,'Assumptions'!X115:X116)))*(1-'Responsibilities'!$E$6)+('Production schedule'!E278*(IF('Sites'!D7="Annual staff",SUM('Assumptions'!X117,'Assumptions'!X119),0)+SUM('Assumptions'!X118,'Assumptions'!X120:X121)))*(1-'Responsibilities'!$E$7)+('Production schedule'!E314*(IF('Sites'!D8="Annual staff",SUM('Assumptions'!X122,'Assumptions'!X124),0)+SUM('Assumptions'!X123,'Assumptions'!X125:X126)))*(1-'Responsibilities'!$E$8)</f>
        <v/>
      </c>
      <c r="BT98">
        <f>(IF(AND('Production schedule'!E242=1,21=MAX(('Sites'!F6),13),ISNUMBER('Sites'!P6)),'Sites'!P6*'Assumptions'!$B$44,0))*(1-'Responsibilities'!$F$6)+(IF(AND('Production schedule'!E278=1,21=MAX(('Sites'!F7+'Cases'!G8),13),ISNUMBER('Sites'!P7)),'Sites'!P7*'Assumptions'!$B$44,0))*(1-'Responsibilities'!$F$7)+(IF(AND('Production schedule'!E314=1,21=MAX(('Sites'!F8+'Cases'!G8),13),ISNUMBER('Sites'!P8)),'Sites'!P8*'Assumptions'!$B$44,0))*(1-'Responsibilities'!$F$8)</f>
        <v/>
      </c>
      <c r="BU98">
        <f>SUM('Costs'!E36)*'Costs'!F36/12*(1-'Responsibilities'!$C$12)+SUM('Costs'!E37)*'Costs'!F37/12*(1-'Responsibilities'!$C$13)+SUM('Costs'!E38)*'Costs'!F38/12*(1-'Responsibilities'!$C$14)+SUM('Costs'!E39)*'Costs'!F39/12*(1-'Responsibilities'!$C$15)+SUM('Costs'!E40)*'Costs'!F40/12*(1-'Responsibilities'!$C$16)</f>
        <v/>
      </c>
      <c r="BV98">
        <f>('Sites'!E6*'Capital'!E6*(IF(21='Capital'!G6,'Capital'!F6,0)+IF(21='Capital'!H6,1-'Capital'!F6,0)))*(1-'Responsibilities'!$G$6)+('Sites'!E7*'Capital'!E7*(IF(21='Capital'!G7+'Cases'!G8,'Capital'!F7,0)+IF(21='Capital'!H7+'Cases'!G8,1-'Capital'!F7,0)))*(1-'Responsibilities'!$G$7)+('Sites'!E8*'Cases'!F8*'Capital'!E8*(IF(21='Capital'!G8+'Cases'!G8,'Capital'!F8,0)+IF(21='Capital'!H8+'Cases'!G8,1-'Capital'!F8,0)))*(1-'Responsibilities'!$G$8)</f>
        <v/>
      </c>
      <c r="BW98">
        <f>SUM(BQ98:BV98)</f>
        <v/>
      </c>
      <c r="BX98">
        <f>N98+BW98</f>
        <v/>
      </c>
      <c r="BY98">
        <f>BX98-(('Production schedule'!AJ242)*'Responsibilities'!$C$6+('Production schedule'!AJ278)*'Responsibilities'!$C$7+('Production schedule'!AJ314)*'Responsibilities'!$C$8+('Production schedule'!AJ242)*(1-'Responsibilities'!$C$6)+('Production schedule'!AJ278)*(1-'Responsibilities'!$C$7)+('Production schedule'!AJ314)*(1-'Responsibilities'!$C$8)+('Production schedule'!AI242)*'Responsibilities'!$D$6+('Production schedule'!AI278)*'Responsibilities'!$D$7+('Production schedule'!AI314)*'Responsibilities'!$D$8+('Production schedule'!AI242)*(1-'Responsibilities'!$D$6)+('Production schedule'!AI278)*(1-'Responsibilities'!$D$7)+('Production schedule'!AI314)*(1-'Responsibilities'!$D$8)+('Production schedule'!E242*(IF('Sites'!D6="Annual staff",SUM('Assumptions'!X112,'Assumptions'!X114),0)+SUM('Assumptions'!X113,'Assumptions'!X115:X116)))*'Responsibilities'!$E$6+('Production schedule'!E278*(IF('Sites'!D7="Annual staff",SUM('Assumptions'!X117,'Assumptions'!X119),0)+SUM('Assumptions'!X118,'Assumptions'!X120:X121)))*'Responsibilities'!$E$7+('Production schedule'!E314*(IF('Sites'!D8="Annual staff",SUM('Assumptions'!X122,'Assumptions'!X124),0)+SUM('Assumptions'!X123,'Assumptions'!X125:X126)))*'Responsibilities'!$E$8+('Production schedule'!E242*(IF('Sites'!D6="Annual staff",SUM('Assumptions'!X112,'Assumptions'!X114),0)+SUM('Assumptions'!X113,'Assumptions'!X115:X116)))*(1-'Responsibilities'!$E$6)+('Production schedule'!E278*(IF('Sites'!D7="Annual staff",SUM('Assumptions'!X117,'Assumptions'!X119),0)+SUM('Assumptions'!X118,'Assumptions'!X120:X121)))*(1-'Responsibilities'!$E$7)+('Production schedule'!E314*(IF('Sites'!D8="Annual staff",SUM('Assumptions'!X122,'Assumptions'!X124),0)+SUM('Assumptions'!X123,'Assumptions'!X125:X126)))*(1-'Responsibilities'!$E$8)+(IF(AND('Production schedule'!E242=1,21=MAX(('Sites'!F6),13),ISNUMBER('Sites'!P6)),'Sites'!P6*'Assumptions'!$B$44,0))*'Responsibilities'!$F$6+(IF(AND('Production schedule'!E278=1,21=MAX(('Sites'!F7+'Cases'!G8),13),ISNUMBER('Sites'!P7)),'Sites'!P7*'Assumptions'!$B$44,0))*'Responsibilities'!$F$7+(IF(AND('Production schedule'!E314=1,21=MAX(('Sites'!F8+'Cases'!G8),13),ISNUMBER('Sites'!P8)),'Sites'!P8*'Assumptions'!$B$44,0))*'Responsibilities'!$F$8+(IF(AND('Production schedule'!E242=1,21=MAX(('Sites'!F6),13),ISNUMBER('Sites'!P6)),'Sites'!P6*'Assumptions'!$B$44,0))*(1-'Responsibilities'!$F$6)+(IF(AND('Production schedule'!E278=1,21=MAX(('Sites'!F7+'Cases'!G8),13),ISNUMBER('Sites'!P7)),'Sites'!P7*'Assumptions'!$B$44,0))*(1-'Responsibilities'!$F$7)+(IF(AND('Production schedule'!E314=1,21=MAX(('Sites'!F8+'Cases'!G8),13),ISNUMBER('Sites'!P8)),'Sites'!P8*'Assumptions'!$B$44,0))*(1-'Responsibilities'!$F$8)+('Sites'!E6*'Capital'!E6*(IF(21='Capital'!G6,'Capital'!F6,0)+IF(21='Capital'!H6,1-'Capital'!F6,0)))*'Responsibilities'!$G$6+('Sites'!E7*'Capital'!E7*(IF(21='Capital'!G7+'Cases'!G8,'Capital'!F7,0)+IF(21='Capital'!H7+'Cases'!G8,1-'Capital'!F7,0)))*'Responsibilities'!$G$7+('Sites'!E8*'Cases'!F8*'Capital'!E8*(IF(21='Capital'!G8+'Cases'!G8,'Capital'!F8,0)+IF(21='Capital'!H8+'Cases'!G8,1-'Capital'!F8,0)))*'Responsibilities'!$G$8+('Sites'!E6*'Capital'!E6*(IF(21='Capital'!G6,'Capital'!F6,0)+IF(21='Capital'!H6,1-'Capital'!F6,0)))*(1-'Responsibilities'!$G$6)+('Sites'!E7*'Capital'!E7*(IF(21='Capital'!G7+'Cases'!G8,'Capital'!F7,0)+IF(21='Capital'!H7+'Cases'!G8,1-'Capital'!F7,0)))*(1-'Responsibilities'!$G$7)+('Sites'!E8*'Cases'!F8*'Capital'!E8*(IF(21='Capital'!G8+'Cases'!G8,'Capital'!F8,0)+IF(21='Capital'!H8+'Cases'!G8,1-'Capital'!F8,0)))*(1-'Responsibilities'!$G$8)+I98+SUMPRODUCT('Costs'!$E$36:$E$40,'Costs'!$F$36:$F$40)/12+BZ98)</f>
        <v/>
      </c>
      <c r="BZ98">
        <f>SUMIFS('Responsibilities'!$B$31:$B$35,'Responsibilities'!$C$31:$C$35,21,'Responsibilities'!$D$31:$D$35,"Yes")</f>
        <v/>
      </c>
    </row>
    <row r="99" ht="28" customHeight="1">
      <c r="A99" s="4" t="inlineStr">
        <is>
          <t>No QBE</t>
        </is>
      </c>
      <c r="B99" s="4" t="n">
        <v>22</v>
      </c>
      <c r="C99" s="4">
        <f>ROUNDUP(B99/12,0)</f>
        <v/>
      </c>
      <c r="D99" s="137">
        <f>SUMIFS('Production schedule'!$N$222:$N$329,'Production schedule'!$C$222:$C$329,22)</f>
        <v/>
      </c>
      <c r="E99" s="137">
        <f>SUMIFS('Production schedule'!$Y$222:$Y$329,'Production schedule'!$C$222:$C$329,22)</f>
        <v/>
      </c>
      <c r="F99" s="137">
        <f>SUMIFS('Production schedule'!$Z$222:$Z$329,'Production schedule'!$C$222:$C$329,22)</f>
        <v/>
      </c>
      <c r="G99" s="137">
        <f>('Production schedule'!AJ243)*'Responsibilities'!$C$6+('Production schedule'!AJ279)*'Responsibilities'!$C$7+('Production schedule'!AJ315)*'Responsibilities'!$C$8</f>
        <v/>
      </c>
      <c r="H99" s="137">
        <f>('Production schedule'!AI243)*'Responsibilities'!$D$6+('Production schedule'!AI279)*'Responsibilities'!$D$7+('Production schedule'!AI315)*'Responsibilities'!$D$8</f>
        <v/>
      </c>
      <c r="I99" s="137">
        <f>SUM('Assumptions'!Y58:Y65)</f>
        <v/>
      </c>
      <c r="J99" s="137">
        <f>('Production schedule'!E243*(IF('Sites'!D6="Annual staff",SUM('Assumptions'!Y112,'Assumptions'!Y114),0)+SUM('Assumptions'!Y113,'Assumptions'!Y115:Y116)))*'Responsibilities'!$E$6+('Production schedule'!E279*(IF('Sites'!D7="Annual staff",SUM('Assumptions'!Y117,'Assumptions'!Y119),0)+SUM('Assumptions'!Y118,'Assumptions'!Y120:Y121)))*'Responsibilities'!$E$7+('Production schedule'!E315*(IF('Sites'!D8="Annual staff",SUM('Assumptions'!Y122,'Assumptions'!Y124),0)+SUM('Assumptions'!Y123,'Assumptions'!Y125:Y126)))*'Responsibilities'!$E$8</f>
        <v/>
      </c>
      <c r="K99" s="137">
        <f>(IF(AND('Production schedule'!E243=1,22=MAX(('Sites'!F6),13),ISNUMBER('Sites'!P6)),'Sites'!P6*'Assumptions'!$B$44,0))*'Responsibilities'!$F$6+(IF(AND('Production schedule'!E279=1,22=MAX(('Sites'!F7+'Cases'!G8),13),ISNUMBER('Sites'!P7)),'Sites'!P7*'Assumptions'!$B$44,0))*'Responsibilities'!$F$7+(IF(AND('Production schedule'!E315=1,22=MAX(('Sites'!F8+'Cases'!G8),13),ISNUMBER('Sites'!P8)),'Sites'!P8*'Assumptions'!$B$44,0))*'Responsibilities'!$F$8</f>
        <v/>
      </c>
      <c r="L99" s="137">
        <f>SUM('Costs'!E36)*'Costs'!F36/12*'Responsibilities'!$C$12+SUM('Costs'!E37)*'Costs'!F37/12*'Responsibilities'!$C$13+SUM('Costs'!E38)*'Costs'!F38/12*'Responsibilities'!$C$14+SUM('Costs'!E39)*'Costs'!F39/12*'Responsibilities'!$C$15+SUM('Costs'!E40)*'Costs'!F40/12*'Responsibilities'!$C$16+BZ99</f>
        <v/>
      </c>
      <c r="M99" s="137">
        <f>('Sites'!E6*'Capital'!E6*(IF(22='Capital'!G6,'Capital'!F6,0)+IF(22='Capital'!H6,1-'Capital'!F6,0)))*'Responsibilities'!$G$6+('Sites'!E7*'Capital'!E7*(IF(22='Capital'!G7+'Cases'!G8,'Capital'!F7,0)+IF(22='Capital'!H7+'Cases'!G8,1-'Capital'!F7,0)))*'Responsibilities'!$G$7+('Sites'!E8*'Cases'!F8*'Capital'!E8*(IF(22='Capital'!G8+'Cases'!G8,'Capital'!F8,0)+IF(22='Capital'!H8+'Cases'!G8,1-'Capital'!F8,0)))*'Responsibilities'!$G$8</f>
        <v/>
      </c>
      <c r="N99" s="137">
        <f>SUM(G99:M99)</f>
        <v/>
      </c>
      <c r="O99" s="137">
        <f>SUMIFS(FundingTranches[Secured amount],FundingTranches[Instrument],"Grant",FundingTranches[Secured month],22)</f>
        <v/>
      </c>
      <c r="P99" s="137">
        <f>SUMIFS(FundingTranches[No QBE possible],FundingTranches[Instrument],"Grant",FundingTranches[Scenario month],22-'Cases'!$D$8)</f>
        <v/>
      </c>
      <c r="Q99" s="137">
        <f>SUMIFS(FundingTranches[Secured amount],FundingTranches[Instrument],"Loan",FundingTranches[Secured month],22)</f>
        <v/>
      </c>
      <c r="R99" s="137">
        <f>SUMIFS(FundingTranches[No QBE possible],FundingTranches[Instrument],"Loan",FundingTranches[Scenario month],22-'Cases'!$D$8)</f>
        <v/>
      </c>
      <c r="S99" s="137">
        <f>IF(22&lt;='Assumptions'!$B$34,0,SUMIFS('Production schedule'!$AL$222:$AL$329,'Production schedule'!$C$222:$C$329,22-'Assumptions'!$B$34))</f>
        <v/>
      </c>
      <c r="T99" s="137">
        <f>'Assumptions'!Y70</f>
        <v/>
      </c>
      <c r="U99" s="137">
        <f>'Assumptions'!Y78</f>
        <v/>
      </c>
      <c r="V99" s="137">
        <f>SUM(O99:U99)</f>
        <v/>
      </c>
      <c r="W99" s="137">
        <f>AA98</f>
        <v/>
      </c>
      <c r="X99" s="137">
        <f>SUM(Q99:R99)</f>
        <v/>
      </c>
      <c r="Y99" s="137">
        <f>SUM(W99,X99)*'Assumptions'!$B$39/12</f>
        <v/>
      </c>
      <c r="Z99" s="137">
        <f>IF(SUM(W99,X99)&gt;0,MIN(SUM(W99,X99),MAX(0,BP99-Y99)),0)</f>
        <v/>
      </c>
      <c r="AA99" s="137">
        <f>SUM(W99,X99)-Z99</f>
        <v/>
      </c>
      <c r="AB99" s="137">
        <f>SUM(Y99:Z99)</f>
        <v/>
      </c>
      <c r="AC99" s="137">
        <f>'Assumptions'!Y72</f>
        <v/>
      </c>
      <c r="AD99" s="137">
        <f>'Assumptions'!Y73</f>
        <v/>
      </c>
      <c r="AE99" s="137">
        <f>IF(X99&gt;0,SUM('Assumptions'!$B$42),0)</f>
        <v/>
      </c>
      <c r="AF99" s="137">
        <f>'Assumptions'!Y71</f>
        <v/>
      </c>
      <c r="AG99" s="137">
        <f>'Assumptions'!Y74</f>
        <v/>
      </c>
      <c r="AH99" s="137">
        <f>'Assumptions'!Y75</f>
        <v/>
      </c>
      <c r="AI99" s="137">
        <f>'Assumptions'!Y77</f>
        <v/>
      </c>
      <c r="AJ99" s="137">
        <f>V99-N99-SUM(AB99:AI99)</f>
        <v/>
      </c>
      <c r="AK99" s="137">
        <f>SUM(AJ78:AJ99)</f>
        <v/>
      </c>
      <c r="AL99" s="137">
        <f>IF(ISNUMBER('Assumptions'!$B$10),'Assumptions'!$B$10+AK99,"")</f>
        <v/>
      </c>
      <c r="AM99" s="137">
        <f>SUM(O99,Q99,T99)-N99-SUM(AC99:AI99)+IF('Funding'!$N$11=0,AE99,0)-IF('Funding'!$N$11&gt;0,AB99,0)</f>
        <v/>
      </c>
      <c r="AN99" s="137">
        <f>SUM(AM78:AM99)</f>
        <v/>
      </c>
      <c r="AO99" s="137">
        <f>IF(ISNUMBER('Assumptions'!$B$10),'Assumptions'!$B$10+AN99,"")</f>
        <v/>
      </c>
      <c r="AP99" s="137">
        <f>('Production schedule'!AK243)*'Responsibilities'!$C$6+('Production schedule'!AK279)*'Responsibilities'!$C$7+('Production schedule'!AK315)*'Responsibilities'!$C$8</f>
        <v/>
      </c>
      <c r="AQ99" s="137">
        <f>SUMIFS('Production schedule'!$AL$222:$AL$329,'Production schedule'!$C$222:$C$329,22)</f>
        <v/>
      </c>
      <c r="AR99" s="137">
        <f>IF(ISNUMBER('Assumptions'!Y76),'Assumptions'!Y76,SUM(O99:P99))</f>
        <v/>
      </c>
      <c r="AS99" s="137">
        <f>IF(ISNUMBER('Assumptions'!$B$13),MIN('Assumptions'!$B$13/'Assumptions'!$B$18/12,MAX(0,'Assumptions'!$B$13-(22-1)*'Assumptions'!$B$13/'Assumptions'!$B$18/12)),0)+IF(AND('Sites'!E6=1,22&gt;=('Sites'!F6),22&lt;('Sites'!F6)+'Assumptions'!$B$18*12),'Capital'!E6/'Assumptions'!$B$18/12,0)+IF(AND('Sites'!E7=1,22&gt;=('Sites'!F7+'Cases'!G8),22&lt;('Sites'!F7+'Cases'!G8)+'Assumptions'!$B$18*12),'Capital'!E7/'Assumptions'!$B$18/12,0)+IF(AND('Sites'!E8*'Cases'!F8=1,22&gt;=('Sites'!F8+'Cases'!G8),22&lt;('Sites'!F8+'Cases'!G8)+'Assumptions'!$B$18*12),'Capital'!E8/'Assumptions'!$B$18/12,0)</f>
        <v/>
      </c>
      <c r="AT99" s="137">
        <f>SUM(AQ99,AR99,U99)-AP99-SUM(H99:L99)-AS99-SUM(Y99,AD99,AE99,AH99)</f>
        <v/>
      </c>
      <c r="AU99" s="137">
        <f>IF(ISNUMBER('Assumptions'!$B$19),MAX(0,SUM(AT90:AT99))*'Assumptions'!$B$19-SUM(AU90:AU98),"")</f>
        <v/>
      </c>
      <c r="AV99" s="137">
        <f>IF(ISNUMBER(AU99),AT99-AU99,"")</f>
        <v/>
      </c>
      <c r="AW99" s="137">
        <f>IF(ISNUMBER('Assumptions'!$B$11),'Assumptions'!$B$11+SUM(AQ78:AQ99)-SUM(S78:S99)-SUM(T78:T99),"")</f>
        <v/>
      </c>
      <c r="AX99" s="137">
        <f>IF(ISNUMBER('Assumptions'!$B$12),'Assumptions'!$B$12+SUM(G78:G99)-SUM(AP78:AP99),"")</f>
        <v/>
      </c>
      <c r="AY99" s="137">
        <f>IF(ISNUMBER('Assumptions'!$B$13),'Assumptions'!$B$13+SUM(M78:M99)-SUM(AS78:AS99),"")</f>
        <v/>
      </c>
      <c r="AZ99" s="137">
        <f>IF(ISNUMBER('Assumptions'!$B$14),'Assumptions'!$B$14+-SUM(AF78:AF99),"")</f>
        <v/>
      </c>
      <c r="BA99" s="137">
        <f>IF(ISNUMBER('Assumptions'!$B$15),'Assumptions'!$B$15+SUM(O78:O99)+SUM(P78:P99)-SUM(AR78:AR99),"")</f>
        <v/>
      </c>
      <c r="BB99" s="137">
        <f>IF(ISNUMBER('Assumptions'!$B$16),'Assumptions'!$B$16+-SUM(AC78:AC99),"")</f>
        <v/>
      </c>
      <c r="BC99" s="137">
        <f>IF(AND(ISNUMBER('Assumptions'!$B$21),ISNUMBER('Assumptions'!$B$19)),'Assumptions'!$B$21+SUM(AU78:AU99)-SUM(AG78:AG99),"")</f>
        <v/>
      </c>
      <c r="BD99" s="137">
        <f>IF(ISNUMBER('Assumptions'!$B$20),'Assumptions'!$B$20+-SUM(AI78:AI99),"")</f>
        <v/>
      </c>
      <c r="BE99" s="137">
        <f>IF(AND(ISNUMBER('Assumptions'!$B$17),COUNT(AV78:AV99)=22),'Assumptions'!$B$17+SUM(AV78:AV99),"")</f>
        <v/>
      </c>
      <c r="BF99" s="137">
        <f>IF(COUNT(AL99,AW99:AY99)=4,SUM(AL99,AW99:AY99),"")</f>
        <v/>
      </c>
      <c r="BG99" s="137">
        <f>IF(COUNT(AZ99:BD99)=5,SUM(AZ99:BD99,AA99),"")</f>
        <v/>
      </c>
      <c r="BH99" s="137">
        <f>IF(COUNT(BF99,BG99,BE99)=3,BF99-BG99-BE99,"")</f>
        <v/>
      </c>
      <c r="BI99" s="137">
        <f>SUM(W99,X99)-Z99-AA99</f>
        <v/>
      </c>
      <c r="BJ99" s="137">
        <f>8-COUNT('Assumptions'!Y58:Y65)+COUNTBLANK('NM Play'!B33:B34)+'Costs'!E44+IF(AND('Sites'!E6=1,('Sites'!F6)&lt;=24,'Sites'!G6&gt;=13),IF(ISNUMBER('Sites'!P6),0,1)+'Capital'!I6+COUNTBLANK('Sites'!R6)+IF('Sites'!D6="NM crew",COUNTBLANK('NM Play'!B25)+1,5-COUNT('Assumptions'!Y112:Y116)),0)+IF(AND('Sites'!E7=1,('Sites'!F7+'Cases'!G8)&lt;=24,'Sites'!G7&gt;=13),IF(ISNUMBER('Sites'!P7),0,1)+'Capital'!I7+COUNTBLANK('Sites'!R7)+IF('Sites'!D7="NM crew",COUNTBLANK('NM Play'!B25)+1,5-COUNT('Assumptions'!Y117:Y121)),0)+IF(AND('Sites'!E8*'Cases'!F8=1,('Sites'!F8+'Cases'!G8)&lt;=24,'Sites'!G8&gt;=13),IF(ISNUMBER('Sites'!P8),0,1)+'Capital'!I8+COUNTBLANK('Sites'!R8)+IF('Sites'!D8="NM crew",COUNTBLANK('NM Play'!B25)+1,5-COUNT('Assumptions'!Y122:Y126)),0)+IF(AND('Cases'!C8&gt;0,NOT(ISNUMBER('Assumptions'!B42))),1,0)+'Responsibilities'!$B$39</f>
        <v/>
      </c>
      <c r="BK99" s="137">
        <f>'Assumptions'!$B$50+'NM Play'!$B$83+'Funding'!$F$20+SUMIFS('Production schedule'!$AN$222:$AN$329,'Production schedule'!$C$222:$C$329,22)+IF(OR('Cases'!E8&lt;0,'Cases'!E8&gt;1,'Cases'!C8&lt;0,'Cases'!D8&lt;0,ABS(SUM('Sites'!S6:S8)-1)&gt;0.0001,MIN('Capital'!F6:F8)&lt;0,MAX('Capital'!F6:F8)&gt;1,MIN(AX99,AZ99,BB99,BA99)&lt;-0.01),1,0)+'Responsibilities'!$B$40</f>
        <v/>
      </c>
      <c r="BL99" s="137">
        <f>SUMIFS('Production schedule'!$T$222:$T$329,'Production schedule'!$C$222:$C$329,22)</f>
        <v/>
      </c>
      <c r="BM99" s="137">
        <f>D99*'NM Play'!$B$38</f>
        <v/>
      </c>
      <c r="BN99" s="137">
        <f>SUMIFS('Production schedule'!$AM$222:$AM$329,'Production schedule'!$C$222:$C$329,22)</f>
        <v/>
      </c>
      <c r="BO99" s="137">
        <f>AK99-AK98-AJ99</f>
        <v/>
      </c>
      <c r="BP99" s="137">
        <f>IF(AND('Assumptions'!$B$39&gt;=0,'Assumptions'!$B$40&gt;0),-PMT('Assumptions'!$B$39/12,'Assumptions'!$B$40*12,IF('Funding'!$N$11&gt;0,'Funding'!$N$11,'Funding'!$T$11)),"")</f>
        <v/>
      </c>
      <c r="BQ99">
        <f>('Production schedule'!AJ243)*(1-'Responsibilities'!$C$6)+('Production schedule'!AJ279)*(1-'Responsibilities'!$C$7)+('Production schedule'!AJ315)*(1-'Responsibilities'!$C$8)</f>
        <v/>
      </c>
      <c r="BR99">
        <f>('Production schedule'!AI243)*(1-'Responsibilities'!$D$6)+('Production schedule'!AI279)*(1-'Responsibilities'!$D$7)+('Production schedule'!AI315)*(1-'Responsibilities'!$D$8)</f>
        <v/>
      </c>
      <c r="BS99">
        <f>('Production schedule'!E243*(IF('Sites'!D6="Annual staff",SUM('Assumptions'!Y112,'Assumptions'!Y114),0)+SUM('Assumptions'!Y113,'Assumptions'!Y115:Y116)))*(1-'Responsibilities'!$E$6)+('Production schedule'!E279*(IF('Sites'!D7="Annual staff",SUM('Assumptions'!Y117,'Assumptions'!Y119),0)+SUM('Assumptions'!Y118,'Assumptions'!Y120:Y121)))*(1-'Responsibilities'!$E$7)+('Production schedule'!E315*(IF('Sites'!D8="Annual staff",SUM('Assumptions'!Y122,'Assumptions'!Y124),0)+SUM('Assumptions'!Y123,'Assumptions'!Y125:Y126)))*(1-'Responsibilities'!$E$8)</f>
        <v/>
      </c>
      <c r="BT99">
        <f>(IF(AND('Production schedule'!E243=1,22=MAX(('Sites'!F6),13),ISNUMBER('Sites'!P6)),'Sites'!P6*'Assumptions'!$B$44,0))*(1-'Responsibilities'!$F$6)+(IF(AND('Production schedule'!E279=1,22=MAX(('Sites'!F7+'Cases'!G8),13),ISNUMBER('Sites'!P7)),'Sites'!P7*'Assumptions'!$B$44,0))*(1-'Responsibilities'!$F$7)+(IF(AND('Production schedule'!E315=1,22=MAX(('Sites'!F8+'Cases'!G8),13),ISNUMBER('Sites'!P8)),'Sites'!P8*'Assumptions'!$B$44,0))*(1-'Responsibilities'!$F$8)</f>
        <v/>
      </c>
      <c r="BU99">
        <f>SUM('Costs'!E36)*'Costs'!F36/12*(1-'Responsibilities'!$C$12)+SUM('Costs'!E37)*'Costs'!F37/12*(1-'Responsibilities'!$C$13)+SUM('Costs'!E38)*'Costs'!F38/12*(1-'Responsibilities'!$C$14)+SUM('Costs'!E39)*'Costs'!F39/12*(1-'Responsibilities'!$C$15)+SUM('Costs'!E40)*'Costs'!F40/12*(1-'Responsibilities'!$C$16)</f>
        <v/>
      </c>
      <c r="BV99">
        <f>('Sites'!E6*'Capital'!E6*(IF(22='Capital'!G6,'Capital'!F6,0)+IF(22='Capital'!H6,1-'Capital'!F6,0)))*(1-'Responsibilities'!$G$6)+('Sites'!E7*'Capital'!E7*(IF(22='Capital'!G7+'Cases'!G8,'Capital'!F7,0)+IF(22='Capital'!H7+'Cases'!G8,1-'Capital'!F7,0)))*(1-'Responsibilities'!$G$7)+('Sites'!E8*'Cases'!F8*'Capital'!E8*(IF(22='Capital'!G8+'Cases'!G8,'Capital'!F8,0)+IF(22='Capital'!H8+'Cases'!G8,1-'Capital'!F8,0)))*(1-'Responsibilities'!$G$8)</f>
        <v/>
      </c>
      <c r="BW99">
        <f>SUM(BQ99:BV99)</f>
        <v/>
      </c>
      <c r="BX99">
        <f>N99+BW99</f>
        <v/>
      </c>
      <c r="BY99">
        <f>BX99-(('Production schedule'!AJ243)*'Responsibilities'!$C$6+('Production schedule'!AJ279)*'Responsibilities'!$C$7+('Production schedule'!AJ315)*'Responsibilities'!$C$8+('Production schedule'!AJ243)*(1-'Responsibilities'!$C$6)+('Production schedule'!AJ279)*(1-'Responsibilities'!$C$7)+('Production schedule'!AJ315)*(1-'Responsibilities'!$C$8)+('Production schedule'!AI243)*'Responsibilities'!$D$6+('Production schedule'!AI279)*'Responsibilities'!$D$7+('Production schedule'!AI315)*'Responsibilities'!$D$8+('Production schedule'!AI243)*(1-'Responsibilities'!$D$6)+('Production schedule'!AI279)*(1-'Responsibilities'!$D$7)+('Production schedule'!AI315)*(1-'Responsibilities'!$D$8)+('Production schedule'!E243*(IF('Sites'!D6="Annual staff",SUM('Assumptions'!Y112,'Assumptions'!Y114),0)+SUM('Assumptions'!Y113,'Assumptions'!Y115:Y116)))*'Responsibilities'!$E$6+('Production schedule'!E279*(IF('Sites'!D7="Annual staff",SUM('Assumptions'!Y117,'Assumptions'!Y119),0)+SUM('Assumptions'!Y118,'Assumptions'!Y120:Y121)))*'Responsibilities'!$E$7+('Production schedule'!E315*(IF('Sites'!D8="Annual staff",SUM('Assumptions'!Y122,'Assumptions'!Y124),0)+SUM('Assumptions'!Y123,'Assumptions'!Y125:Y126)))*'Responsibilities'!$E$8+('Production schedule'!E243*(IF('Sites'!D6="Annual staff",SUM('Assumptions'!Y112,'Assumptions'!Y114),0)+SUM('Assumptions'!Y113,'Assumptions'!Y115:Y116)))*(1-'Responsibilities'!$E$6)+('Production schedule'!E279*(IF('Sites'!D7="Annual staff",SUM('Assumptions'!Y117,'Assumptions'!Y119),0)+SUM('Assumptions'!Y118,'Assumptions'!Y120:Y121)))*(1-'Responsibilities'!$E$7)+('Production schedule'!E315*(IF('Sites'!D8="Annual staff",SUM('Assumptions'!Y122,'Assumptions'!Y124),0)+SUM('Assumptions'!Y123,'Assumptions'!Y125:Y126)))*(1-'Responsibilities'!$E$8)+(IF(AND('Production schedule'!E243=1,22=MAX(('Sites'!F6),13),ISNUMBER('Sites'!P6)),'Sites'!P6*'Assumptions'!$B$44,0))*'Responsibilities'!$F$6+(IF(AND('Production schedule'!E279=1,22=MAX(('Sites'!F7+'Cases'!G8),13),ISNUMBER('Sites'!P7)),'Sites'!P7*'Assumptions'!$B$44,0))*'Responsibilities'!$F$7+(IF(AND('Production schedule'!E315=1,22=MAX(('Sites'!F8+'Cases'!G8),13),ISNUMBER('Sites'!P8)),'Sites'!P8*'Assumptions'!$B$44,0))*'Responsibilities'!$F$8+(IF(AND('Production schedule'!E243=1,22=MAX(('Sites'!F6),13),ISNUMBER('Sites'!P6)),'Sites'!P6*'Assumptions'!$B$44,0))*(1-'Responsibilities'!$F$6)+(IF(AND('Production schedule'!E279=1,22=MAX(('Sites'!F7+'Cases'!G8),13),ISNUMBER('Sites'!P7)),'Sites'!P7*'Assumptions'!$B$44,0))*(1-'Responsibilities'!$F$7)+(IF(AND('Production schedule'!E315=1,22=MAX(('Sites'!F8+'Cases'!G8),13),ISNUMBER('Sites'!P8)),'Sites'!P8*'Assumptions'!$B$44,0))*(1-'Responsibilities'!$F$8)+('Sites'!E6*'Capital'!E6*(IF(22='Capital'!G6,'Capital'!F6,0)+IF(22='Capital'!H6,1-'Capital'!F6,0)))*'Responsibilities'!$G$6+('Sites'!E7*'Capital'!E7*(IF(22='Capital'!G7+'Cases'!G8,'Capital'!F7,0)+IF(22='Capital'!H7+'Cases'!G8,1-'Capital'!F7,0)))*'Responsibilities'!$G$7+('Sites'!E8*'Cases'!F8*'Capital'!E8*(IF(22='Capital'!G8+'Cases'!G8,'Capital'!F8,0)+IF(22='Capital'!H8+'Cases'!G8,1-'Capital'!F8,0)))*'Responsibilities'!$G$8+('Sites'!E6*'Capital'!E6*(IF(22='Capital'!G6,'Capital'!F6,0)+IF(22='Capital'!H6,1-'Capital'!F6,0)))*(1-'Responsibilities'!$G$6)+('Sites'!E7*'Capital'!E7*(IF(22='Capital'!G7+'Cases'!G8,'Capital'!F7,0)+IF(22='Capital'!H7+'Cases'!G8,1-'Capital'!F7,0)))*(1-'Responsibilities'!$G$7)+('Sites'!E8*'Cases'!F8*'Capital'!E8*(IF(22='Capital'!G8+'Cases'!G8,'Capital'!F8,0)+IF(22='Capital'!H8+'Cases'!G8,1-'Capital'!F8,0)))*(1-'Responsibilities'!$G$8)+I99+SUMPRODUCT('Costs'!$E$36:$E$40,'Costs'!$F$36:$F$40)/12+BZ99)</f>
        <v/>
      </c>
      <c r="BZ99">
        <f>SUMIFS('Responsibilities'!$B$31:$B$35,'Responsibilities'!$C$31:$C$35,22,'Responsibilities'!$D$31:$D$35,"Yes")</f>
        <v/>
      </c>
    </row>
    <row r="100" ht="28" customHeight="1">
      <c r="A100" s="4" t="inlineStr">
        <is>
          <t>No QBE</t>
        </is>
      </c>
      <c r="B100" s="4" t="n">
        <v>23</v>
      </c>
      <c r="C100" s="4">
        <f>ROUNDUP(B100/12,0)</f>
        <v/>
      </c>
      <c r="D100" s="137">
        <f>SUMIFS('Production schedule'!$N$222:$N$329,'Production schedule'!$C$222:$C$329,23)</f>
        <v/>
      </c>
      <c r="E100" s="137">
        <f>SUMIFS('Production schedule'!$Y$222:$Y$329,'Production schedule'!$C$222:$C$329,23)</f>
        <v/>
      </c>
      <c r="F100" s="137">
        <f>SUMIFS('Production schedule'!$Z$222:$Z$329,'Production schedule'!$C$222:$C$329,23)</f>
        <v/>
      </c>
      <c r="G100" s="137">
        <f>('Production schedule'!AJ244)*'Responsibilities'!$C$6+('Production schedule'!AJ280)*'Responsibilities'!$C$7+('Production schedule'!AJ316)*'Responsibilities'!$C$8</f>
        <v/>
      </c>
      <c r="H100" s="137">
        <f>('Production schedule'!AI244)*'Responsibilities'!$D$6+('Production schedule'!AI280)*'Responsibilities'!$D$7+('Production schedule'!AI316)*'Responsibilities'!$D$8</f>
        <v/>
      </c>
      <c r="I100" s="137">
        <f>SUM('Assumptions'!Z58:Z65)</f>
        <v/>
      </c>
      <c r="J100" s="137">
        <f>('Production schedule'!E244*(IF('Sites'!D6="Annual staff",SUM('Assumptions'!Z112,'Assumptions'!Z114),0)+SUM('Assumptions'!Z113,'Assumptions'!Z115:Z116)))*'Responsibilities'!$E$6+('Production schedule'!E280*(IF('Sites'!D7="Annual staff",SUM('Assumptions'!Z117,'Assumptions'!Z119),0)+SUM('Assumptions'!Z118,'Assumptions'!Z120:Z121)))*'Responsibilities'!$E$7+('Production schedule'!E316*(IF('Sites'!D8="Annual staff",SUM('Assumptions'!Z122,'Assumptions'!Z124),0)+SUM('Assumptions'!Z123,'Assumptions'!Z125:Z126)))*'Responsibilities'!$E$8</f>
        <v/>
      </c>
      <c r="K100" s="137">
        <f>(IF(AND('Production schedule'!E244=1,23=MAX(('Sites'!F6),13),ISNUMBER('Sites'!P6)),'Sites'!P6*'Assumptions'!$B$44,0))*'Responsibilities'!$F$6+(IF(AND('Production schedule'!E280=1,23=MAX(('Sites'!F7+'Cases'!G8),13),ISNUMBER('Sites'!P7)),'Sites'!P7*'Assumptions'!$B$44,0))*'Responsibilities'!$F$7+(IF(AND('Production schedule'!E316=1,23=MAX(('Sites'!F8+'Cases'!G8),13),ISNUMBER('Sites'!P8)),'Sites'!P8*'Assumptions'!$B$44,0))*'Responsibilities'!$F$8</f>
        <v/>
      </c>
      <c r="L100" s="137">
        <f>SUM('Costs'!E36)*'Costs'!F36/12*'Responsibilities'!$C$12+SUM('Costs'!E37)*'Costs'!F37/12*'Responsibilities'!$C$13+SUM('Costs'!E38)*'Costs'!F38/12*'Responsibilities'!$C$14+SUM('Costs'!E39)*'Costs'!F39/12*'Responsibilities'!$C$15+SUM('Costs'!E40)*'Costs'!F40/12*'Responsibilities'!$C$16+BZ100</f>
        <v/>
      </c>
      <c r="M100" s="137">
        <f>('Sites'!E6*'Capital'!E6*(IF(23='Capital'!G6,'Capital'!F6,0)+IF(23='Capital'!H6,1-'Capital'!F6,0)))*'Responsibilities'!$G$6+('Sites'!E7*'Capital'!E7*(IF(23='Capital'!G7+'Cases'!G8,'Capital'!F7,0)+IF(23='Capital'!H7+'Cases'!G8,1-'Capital'!F7,0)))*'Responsibilities'!$G$7+('Sites'!E8*'Cases'!F8*'Capital'!E8*(IF(23='Capital'!G8+'Cases'!G8,'Capital'!F8,0)+IF(23='Capital'!H8+'Cases'!G8,1-'Capital'!F8,0)))*'Responsibilities'!$G$8</f>
        <v/>
      </c>
      <c r="N100" s="137">
        <f>SUM(G100:M100)</f>
        <v/>
      </c>
      <c r="O100" s="137">
        <f>SUMIFS(FundingTranches[Secured amount],FundingTranches[Instrument],"Grant",FundingTranches[Secured month],23)</f>
        <v/>
      </c>
      <c r="P100" s="137">
        <f>SUMIFS(FundingTranches[No QBE possible],FundingTranches[Instrument],"Grant",FundingTranches[Scenario month],23-'Cases'!$D$8)</f>
        <v/>
      </c>
      <c r="Q100" s="137">
        <f>SUMIFS(FundingTranches[Secured amount],FundingTranches[Instrument],"Loan",FundingTranches[Secured month],23)</f>
        <v/>
      </c>
      <c r="R100" s="137">
        <f>SUMIFS(FundingTranches[No QBE possible],FundingTranches[Instrument],"Loan",FundingTranches[Scenario month],23-'Cases'!$D$8)</f>
        <v/>
      </c>
      <c r="S100" s="137">
        <f>IF(23&lt;='Assumptions'!$B$34,0,SUMIFS('Production schedule'!$AL$222:$AL$329,'Production schedule'!$C$222:$C$329,23-'Assumptions'!$B$34))</f>
        <v/>
      </c>
      <c r="T100" s="137">
        <f>'Assumptions'!Z70</f>
        <v/>
      </c>
      <c r="U100" s="137">
        <f>'Assumptions'!Z78</f>
        <v/>
      </c>
      <c r="V100" s="137">
        <f>SUM(O100:U100)</f>
        <v/>
      </c>
      <c r="W100" s="137">
        <f>AA99</f>
        <v/>
      </c>
      <c r="X100" s="137">
        <f>SUM(Q100:R100)</f>
        <v/>
      </c>
      <c r="Y100" s="137">
        <f>SUM(W100,X100)*'Assumptions'!$B$39/12</f>
        <v/>
      </c>
      <c r="Z100" s="137">
        <f>IF(SUM(W100,X100)&gt;0,MIN(SUM(W100,X100),MAX(0,BP100-Y100)),0)</f>
        <v/>
      </c>
      <c r="AA100" s="137">
        <f>SUM(W100,X100)-Z100</f>
        <v/>
      </c>
      <c r="AB100" s="137">
        <f>SUM(Y100:Z100)</f>
        <v/>
      </c>
      <c r="AC100" s="137">
        <f>'Assumptions'!Z72</f>
        <v/>
      </c>
      <c r="AD100" s="137">
        <f>'Assumptions'!Z73</f>
        <v/>
      </c>
      <c r="AE100" s="137">
        <f>IF(X100&gt;0,SUM('Assumptions'!$B$42),0)</f>
        <v/>
      </c>
      <c r="AF100" s="137">
        <f>'Assumptions'!Z71</f>
        <v/>
      </c>
      <c r="AG100" s="137">
        <f>'Assumptions'!Z74</f>
        <v/>
      </c>
      <c r="AH100" s="137">
        <f>'Assumptions'!Z75</f>
        <v/>
      </c>
      <c r="AI100" s="137">
        <f>'Assumptions'!Z77</f>
        <v/>
      </c>
      <c r="AJ100" s="137">
        <f>V100-N100-SUM(AB100:AI100)</f>
        <v/>
      </c>
      <c r="AK100" s="137">
        <f>SUM(AJ78:AJ100)</f>
        <v/>
      </c>
      <c r="AL100" s="137">
        <f>IF(ISNUMBER('Assumptions'!$B$10),'Assumptions'!$B$10+AK100,"")</f>
        <v/>
      </c>
      <c r="AM100" s="137">
        <f>SUM(O100,Q100,T100)-N100-SUM(AC100:AI100)+IF('Funding'!$N$11=0,AE100,0)-IF('Funding'!$N$11&gt;0,AB100,0)</f>
        <v/>
      </c>
      <c r="AN100" s="137">
        <f>SUM(AM78:AM100)</f>
        <v/>
      </c>
      <c r="AO100" s="137">
        <f>IF(ISNUMBER('Assumptions'!$B$10),'Assumptions'!$B$10+AN100,"")</f>
        <v/>
      </c>
      <c r="AP100" s="137">
        <f>('Production schedule'!AK244)*'Responsibilities'!$C$6+('Production schedule'!AK280)*'Responsibilities'!$C$7+('Production schedule'!AK316)*'Responsibilities'!$C$8</f>
        <v/>
      </c>
      <c r="AQ100" s="137">
        <f>SUMIFS('Production schedule'!$AL$222:$AL$329,'Production schedule'!$C$222:$C$329,23)</f>
        <v/>
      </c>
      <c r="AR100" s="137">
        <f>IF(ISNUMBER('Assumptions'!Z76),'Assumptions'!Z76,SUM(O100:P100))</f>
        <v/>
      </c>
      <c r="AS100" s="137">
        <f>IF(ISNUMBER('Assumptions'!$B$13),MIN('Assumptions'!$B$13/'Assumptions'!$B$18/12,MAX(0,'Assumptions'!$B$13-(23-1)*'Assumptions'!$B$13/'Assumptions'!$B$18/12)),0)+IF(AND('Sites'!E6=1,23&gt;=('Sites'!F6),23&lt;('Sites'!F6)+'Assumptions'!$B$18*12),'Capital'!E6/'Assumptions'!$B$18/12,0)+IF(AND('Sites'!E7=1,23&gt;=('Sites'!F7+'Cases'!G8),23&lt;('Sites'!F7+'Cases'!G8)+'Assumptions'!$B$18*12),'Capital'!E7/'Assumptions'!$B$18/12,0)+IF(AND('Sites'!E8*'Cases'!F8=1,23&gt;=('Sites'!F8+'Cases'!G8),23&lt;('Sites'!F8+'Cases'!G8)+'Assumptions'!$B$18*12),'Capital'!E8/'Assumptions'!$B$18/12,0)</f>
        <v/>
      </c>
      <c r="AT100" s="137">
        <f>SUM(AQ100,AR100,U100)-AP100-SUM(H100:L100)-AS100-SUM(Y100,AD100,AE100,AH100)</f>
        <v/>
      </c>
      <c r="AU100" s="137">
        <f>IF(ISNUMBER('Assumptions'!$B$19),MAX(0,SUM(AT90:AT100))*'Assumptions'!$B$19-SUM(AU90:AU99),"")</f>
        <v/>
      </c>
      <c r="AV100" s="137">
        <f>IF(ISNUMBER(AU100),AT100-AU100,"")</f>
        <v/>
      </c>
      <c r="AW100" s="137">
        <f>IF(ISNUMBER('Assumptions'!$B$11),'Assumptions'!$B$11+SUM(AQ78:AQ100)-SUM(S78:S100)-SUM(T78:T100),"")</f>
        <v/>
      </c>
      <c r="AX100" s="137">
        <f>IF(ISNUMBER('Assumptions'!$B$12),'Assumptions'!$B$12+SUM(G78:G100)-SUM(AP78:AP100),"")</f>
        <v/>
      </c>
      <c r="AY100" s="137">
        <f>IF(ISNUMBER('Assumptions'!$B$13),'Assumptions'!$B$13+SUM(M78:M100)-SUM(AS78:AS100),"")</f>
        <v/>
      </c>
      <c r="AZ100" s="137">
        <f>IF(ISNUMBER('Assumptions'!$B$14),'Assumptions'!$B$14+-SUM(AF78:AF100),"")</f>
        <v/>
      </c>
      <c r="BA100" s="137">
        <f>IF(ISNUMBER('Assumptions'!$B$15),'Assumptions'!$B$15+SUM(O78:O100)+SUM(P78:P100)-SUM(AR78:AR100),"")</f>
        <v/>
      </c>
      <c r="BB100" s="137">
        <f>IF(ISNUMBER('Assumptions'!$B$16),'Assumptions'!$B$16+-SUM(AC78:AC100),"")</f>
        <v/>
      </c>
      <c r="BC100" s="137">
        <f>IF(AND(ISNUMBER('Assumptions'!$B$21),ISNUMBER('Assumptions'!$B$19)),'Assumptions'!$B$21+SUM(AU78:AU100)-SUM(AG78:AG100),"")</f>
        <v/>
      </c>
      <c r="BD100" s="137">
        <f>IF(ISNUMBER('Assumptions'!$B$20),'Assumptions'!$B$20+-SUM(AI78:AI100),"")</f>
        <v/>
      </c>
      <c r="BE100" s="137">
        <f>IF(AND(ISNUMBER('Assumptions'!$B$17),COUNT(AV78:AV100)=23),'Assumptions'!$B$17+SUM(AV78:AV100),"")</f>
        <v/>
      </c>
      <c r="BF100" s="137">
        <f>IF(COUNT(AL100,AW100:AY100)=4,SUM(AL100,AW100:AY100),"")</f>
        <v/>
      </c>
      <c r="BG100" s="137">
        <f>IF(COUNT(AZ100:BD100)=5,SUM(AZ100:BD100,AA100),"")</f>
        <v/>
      </c>
      <c r="BH100" s="137">
        <f>IF(COUNT(BF100,BG100,BE100)=3,BF100-BG100-BE100,"")</f>
        <v/>
      </c>
      <c r="BI100" s="137">
        <f>SUM(W100,X100)-Z100-AA100</f>
        <v/>
      </c>
      <c r="BJ100" s="137">
        <f>8-COUNT('Assumptions'!Z58:Z65)+COUNTBLANK('NM Play'!B33:B34)+'Costs'!E44+IF(AND('Sites'!E6=1,('Sites'!F6)&lt;=24,'Sites'!G6&gt;=13),IF(ISNUMBER('Sites'!P6),0,1)+'Capital'!I6+COUNTBLANK('Sites'!R6)+IF('Sites'!D6="NM crew",COUNTBLANK('NM Play'!B25)+1,5-COUNT('Assumptions'!Z112:Z116)),0)+IF(AND('Sites'!E7=1,('Sites'!F7+'Cases'!G8)&lt;=24,'Sites'!G7&gt;=13),IF(ISNUMBER('Sites'!P7),0,1)+'Capital'!I7+COUNTBLANK('Sites'!R7)+IF('Sites'!D7="NM crew",COUNTBLANK('NM Play'!B25)+1,5-COUNT('Assumptions'!Z117:Z121)),0)+IF(AND('Sites'!E8*'Cases'!F8=1,('Sites'!F8+'Cases'!G8)&lt;=24,'Sites'!G8&gt;=13),IF(ISNUMBER('Sites'!P8),0,1)+'Capital'!I8+COUNTBLANK('Sites'!R8)+IF('Sites'!D8="NM crew",COUNTBLANK('NM Play'!B25)+1,5-COUNT('Assumptions'!Z122:Z126)),0)+IF(AND('Cases'!C8&gt;0,NOT(ISNUMBER('Assumptions'!B42))),1,0)+'Responsibilities'!$B$39</f>
        <v/>
      </c>
      <c r="BK100" s="137">
        <f>'Assumptions'!$B$50+'NM Play'!$B$83+'Funding'!$F$20+SUMIFS('Production schedule'!$AN$222:$AN$329,'Production schedule'!$C$222:$C$329,23)+IF(OR('Cases'!E8&lt;0,'Cases'!E8&gt;1,'Cases'!C8&lt;0,'Cases'!D8&lt;0,ABS(SUM('Sites'!S6:S8)-1)&gt;0.0001,MIN('Capital'!F6:F8)&lt;0,MAX('Capital'!F6:F8)&gt;1,MIN(AX100,AZ100,BB100,BA100)&lt;-0.01),1,0)+'Responsibilities'!$B$40</f>
        <v/>
      </c>
      <c r="BL100" s="137">
        <f>SUMIFS('Production schedule'!$T$222:$T$329,'Production schedule'!$C$222:$C$329,23)</f>
        <v/>
      </c>
      <c r="BM100" s="137">
        <f>D100*'NM Play'!$B$38</f>
        <v/>
      </c>
      <c r="BN100" s="137">
        <f>SUMIFS('Production schedule'!$AM$222:$AM$329,'Production schedule'!$C$222:$C$329,23)</f>
        <v/>
      </c>
      <c r="BO100" s="137">
        <f>AK100-AK99-AJ100</f>
        <v/>
      </c>
      <c r="BP100" s="137">
        <f>IF(AND('Assumptions'!$B$39&gt;=0,'Assumptions'!$B$40&gt;0),-PMT('Assumptions'!$B$39/12,'Assumptions'!$B$40*12,IF('Funding'!$N$11&gt;0,'Funding'!$N$11,'Funding'!$T$11)),"")</f>
        <v/>
      </c>
      <c r="BQ100">
        <f>('Production schedule'!AJ244)*(1-'Responsibilities'!$C$6)+('Production schedule'!AJ280)*(1-'Responsibilities'!$C$7)+('Production schedule'!AJ316)*(1-'Responsibilities'!$C$8)</f>
        <v/>
      </c>
      <c r="BR100">
        <f>('Production schedule'!AI244)*(1-'Responsibilities'!$D$6)+('Production schedule'!AI280)*(1-'Responsibilities'!$D$7)+('Production schedule'!AI316)*(1-'Responsibilities'!$D$8)</f>
        <v/>
      </c>
      <c r="BS100">
        <f>('Production schedule'!E244*(IF('Sites'!D6="Annual staff",SUM('Assumptions'!Z112,'Assumptions'!Z114),0)+SUM('Assumptions'!Z113,'Assumptions'!Z115:Z116)))*(1-'Responsibilities'!$E$6)+('Production schedule'!E280*(IF('Sites'!D7="Annual staff",SUM('Assumptions'!Z117,'Assumptions'!Z119),0)+SUM('Assumptions'!Z118,'Assumptions'!Z120:Z121)))*(1-'Responsibilities'!$E$7)+('Production schedule'!E316*(IF('Sites'!D8="Annual staff",SUM('Assumptions'!Z122,'Assumptions'!Z124),0)+SUM('Assumptions'!Z123,'Assumptions'!Z125:Z126)))*(1-'Responsibilities'!$E$8)</f>
        <v/>
      </c>
      <c r="BT100">
        <f>(IF(AND('Production schedule'!E244=1,23=MAX(('Sites'!F6),13),ISNUMBER('Sites'!P6)),'Sites'!P6*'Assumptions'!$B$44,0))*(1-'Responsibilities'!$F$6)+(IF(AND('Production schedule'!E280=1,23=MAX(('Sites'!F7+'Cases'!G8),13),ISNUMBER('Sites'!P7)),'Sites'!P7*'Assumptions'!$B$44,0))*(1-'Responsibilities'!$F$7)+(IF(AND('Production schedule'!E316=1,23=MAX(('Sites'!F8+'Cases'!G8),13),ISNUMBER('Sites'!P8)),'Sites'!P8*'Assumptions'!$B$44,0))*(1-'Responsibilities'!$F$8)</f>
        <v/>
      </c>
      <c r="BU100">
        <f>SUM('Costs'!E36)*'Costs'!F36/12*(1-'Responsibilities'!$C$12)+SUM('Costs'!E37)*'Costs'!F37/12*(1-'Responsibilities'!$C$13)+SUM('Costs'!E38)*'Costs'!F38/12*(1-'Responsibilities'!$C$14)+SUM('Costs'!E39)*'Costs'!F39/12*(1-'Responsibilities'!$C$15)+SUM('Costs'!E40)*'Costs'!F40/12*(1-'Responsibilities'!$C$16)</f>
        <v/>
      </c>
      <c r="BV100">
        <f>('Sites'!E6*'Capital'!E6*(IF(23='Capital'!G6,'Capital'!F6,0)+IF(23='Capital'!H6,1-'Capital'!F6,0)))*(1-'Responsibilities'!$G$6)+('Sites'!E7*'Capital'!E7*(IF(23='Capital'!G7+'Cases'!G8,'Capital'!F7,0)+IF(23='Capital'!H7+'Cases'!G8,1-'Capital'!F7,0)))*(1-'Responsibilities'!$G$7)+('Sites'!E8*'Cases'!F8*'Capital'!E8*(IF(23='Capital'!G8+'Cases'!G8,'Capital'!F8,0)+IF(23='Capital'!H8+'Cases'!G8,1-'Capital'!F8,0)))*(1-'Responsibilities'!$G$8)</f>
        <v/>
      </c>
      <c r="BW100">
        <f>SUM(BQ100:BV100)</f>
        <v/>
      </c>
      <c r="BX100">
        <f>N100+BW100</f>
        <v/>
      </c>
      <c r="BY100">
        <f>BX100-(('Production schedule'!AJ244)*'Responsibilities'!$C$6+('Production schedule'!AJ280)*'Responsibilities'!$C$7+('Production schedule'!AJ316)*'Responsibilities'!$C$8+('Production schedule'!AJ244)*(1-'Responsibilities'!$C$6)+('Production schedule'!AJ280)*(1-'Responsibilities'!$C$7)+('Production schedule'!AJ316)*(1-'Responsibilities'!$C$8)+('Production schedule'!AI244)*'Responsibilities'!$D$6+('Production schedule'!AI280)*'Responsibilities'!$D$7+('Production schedule'!AI316)*'Responsibilities'!$D$8+('Production schedule'!AI244)*(1-'Responsibilities'!$D$6)+('Production schedule'!AI280)*(1-'Responsibilities'!$D$7)+('Production schedule'!AI316)*(1-'Responsibilities'!$D$8)+('Production schedule'!E244*(IF('Sites'!D6="Annual staff",SUM('Assumptions'!Z112,'Assumptions'!Z114),0)+SUM('Assumptions'!Z113,'Assumptions'!Z115:Z116)))*'Responsibilities'!$E$6+('Production schedule'!E280*(IF('Sites'!D7="Annual staff",SUM('Assumptions'!Z117,'Assumptions'!Z119),0)+SUM('Assumptions'!Z118,'Assumptions'!Z120:Z121)))*'Responsibilities'!$E$7+('Production schedule'!E316*(IF('Sites'!D8="Annual staff",SUM('Assumptions'!Z122,'Assumptions'!Z124),0)+SUM('Assumptions'!Z123,'Assumptions'!Z125:Z126)))*'Responsibilities'!$E$8+('Production schedule'!E244*(IF('Sites'!D6="Annual staff",SUM('Assumptions'!Z112,'Assumptions'!Z114),0)+SUM('Assumptions'!Z113,'Assumptions'!Z115:Z116)))*(1-'Responsibilities'!$E$6)+('Production schedule'!E280*(IF('Sites'!D7="Annual staff",SUM('Assumptions'!Z117,'Assumptions'!Z119),0)+SUM('Assumptions'!Z118,'Assumptions'!Z120:Z121)))*(1-'Responsibilities'!$E$7)+('Production schedule'!E316*(IF('Sites'!D8="Annual staff",SUM('Assumptions'!Z122,'Assumptions'!Z124),0)+SUM('Assumptions'!Z123,'Assumptions'!Z125:Z126)))*(1-'Responsibilities'!$E$8)+(IF(AND('Production schedule'!E244=1,23=MAX(('Sites'!F6),13),ISNUMBER('Sites'!P6)),'Sites'!P6*'Assumptions'!$B$44,0))*'Responsibilities'!$F$6+(IF(AND('Production schedule'!E280=1,23=MAX(('Sites'!F7+'Cases'!G8),13),ISNUMBER('Sites'!P7)),'Sites'!P7*'Assumptions'!$B$44,0))*'Responsibilities'!$F$7+(IF(AND('Production schedule'!E316=1,23=MAX(('Sites'!F8+'Cases'!G8),13),ISNUMBER('Sites'!P8)),'Sites'!P8*'Assumptions'!$B$44,0))*'Responsibilities'!$F$8+(IF(AND('Production schedule'!E244=1,23=MAX(('Sites'!F6),13),ISNUMBER('Sites'!P6)),'Sites'!P6*'Assumptions'!$B$44,0))*(1-'Responsibilities'!$F$6)+(IF(AND('Production schedule'!E280=1,23=MAX(('Sites'!F7+'Cases'!G8),13),ISNUMBER('Sites'!P7)),'Sites'!P7*'Assumptions'!$B$44,0))*(1-'Responsibilities'!$F$7)+(IF(AND('Production schedule'!E316=1,23=MAX(('Sites'!F8+'Cases'!G8),13),ISNUMBER('Sites'!P8)),'Sites'!P8*'Assumptions'!$B$44,0))*(1-'Responsibilities'!$F$8)+('Sites'!E6*'Capital'!E6*(IF(23='Capital'!G6,'Capital'!F6,0)+IF(23='Capital'!H6,1-'Capital'!F6,0)))*'Responsibilities'!$G$6+('Sites'!E7*'Capital'!E7*(IF(23='Capital'!G7+'Cases'!G8,'Capital'!F7,0)+IF(23='Capital'!H7+'Cases'!G8,1-'Capital'!F7,0)))*'Responsibilities'!$G$7+('Sites'!E8*'Cases'!F8*'Capital'!E8*(IF(23='Capital'!G8+'Cases'!G8,'Capital'!F8,0)+IF(23='Capital'!H8+'Cases'!G8,1-'Capital'!F8,0)))*'Responsibilities'!$G$8+('Sites'!E6*'Capital'!E6*(IF(23='Capital'!G6,'Capital'!F6,0)+IF(23='Capital'!H6,1-'Capital'!F6,0)))*(1-'Responsibilities'!$G$6)+('Sites'!E7*'Capital'!E7*(IF(23='Capital'!G7+'Cases'!G8,'Capital'!F7,0)+IF(23='Capital'!H7+'Cases'!G8,1-'Capital'!F7,0)))*(1-'Responsibilities'!$G$7)+('Sites'!E8*'Cases'!F8*'Capital'!E8*(IF(23='Capital'!G8+'Cases'!G8,'Capital'!F8,0)+IF(23='Capital'!H8+'Cases'!G8,1-'Capital'!F8,0)))*(1-'Responsibilities'!$G$8)+I100+SUMPRODUCT('Costs'!$E$36:$E$40,'Costs'!$F$36:$F$40)/12+BZ100)</f>
        <v/>
      </c>
      <c r="BZ100">
        <f>SUMIFS('Responsibilities'!$B$31:$B$35,'Responsibilities'!$C$31:$C$35,23,'Responsibilities'!$D$31:$D$35,"Yes")</f>
        <v/>
      </c>
    </row>
    <row r="101" ht="28" customHeight="1">
      <c r="A101" s="4" t="inlineStr">
        <is>
          <t>No QBE</t>
        </is>
      </c>
      <c r="B101" s="4" t="n">
        <v>24</v>
      </c>
      <c r="C101" s="4">
        <f>ROUNDUP(B101/12,0)</f>
        <v/>
      </c>
      <c r="D101" s="137">
        <f>SUMIFS('Production schedule'!$N$222:$N$329,'Production schedule'!$C$222:$C$329,24)</f>
        <v/>
      </c>
      <c r="E101" s="137">
        <f>SUMIFS('Production schedule'!$Y$222:$Y$329,'Production schedule'!$C$222:$C$329,24)</f>
        <v/>
      </c>
      <c r="F101" s="137">
        <f>SUMIFS('Production schedule'!$Z$222:$Z$329,'Production schedule'!$C$222:$C$329,24)</f>
        <v/>
      </c>
      <c r="G101" s="137">
        <f>('Production schedule'!AJ245)*'Responsibilities'!$C$6+('Production schedule'!AJ281)*'Responsibilities'!$C$7+('Production schedule'!AJ317)*'Responsibilities'!$C$8</f>
        <v/>
      </c>
      <c r="H101" s="137">
        <f>('Production schedule'!AI245)*'Responsibilities'!$D$6+('Production schedule'!AI281)*'Responsibilities'!$D$7+('Production schedule'!AI317)*'Responsibilities'!$D$8</f>
        <v/>
      </c>
      <c r="I101" s="137">
        <f>SUM('Assumptions'!AA58:AA65)</f>
        <v/>
      </c>
      <c r="J101" s="137">
        <f>('Production schedule'!E245*(IF('Sites'!D6="Annual staff",SUM('Assumptions'!AA112,'Assumptions'!AA114),0)+SUM('Assumptions'!AA113,'Assumptions'!AA115:AA116)))*'Responsibilities'!$E$6+('Production schedule'!E281*(IF('Sites'!D7="Annual staff",SUM('Assumptions'!AA117,'Assumptions'!AA119),0)+SUM('Assumptions'!AA118,'Assumptions'!AA120:AA121)))*'Responsibilities'!$E$7+('Production schedule'!E317*(IF('Sites'!D8="Annual staff",SUM('Assumptions'!AA122,'Assumptions'!AA124),0)+SUM('Assumptions'!AA123,'Assumptions'!AA125:AA126)))*'Responsibilities'!$E$8</f>
        <v/>
      </c>
      <c r="K101" s="137">
        <f>(IF(AND('Production schedule'!E245=1,24=MAX(('Sites'!F6),13),ISNUMBER('Sites'!P6)),'Sites'!P6*'Assumptions'!$B$44,0))*'Responsibilities'!$F$6+(IF(AND('Production schedule'!E281=1,24=MAX(('Sites'!F7+'Cases'!G8),13),ISNUMBER('Sites'!P7)),'Sites'!P7*'Assumptions'!$B$44,0))*'Responsibilities'!$F$7+(IF(AND('Production schedule'!E317=1,24=MAX(('Sites'!F8+'Cases'!G8),13),ISNUMBER('Sites'!P8)),'Sites'!P8*'Assumptions'!$B$44,0))*'Responsibilities'!$F$8</f>
        <v/>
      </c>
      <c r="L101" s="137">
        <f>SUM('Costs'!E36)*'Costs'!F36/12*'Responsibilities'!$C$12+SUM('Costs'!E37)*'Costs'!F37/12*'Responsibilities'!$C$13+SUM('Costs'!E38)*'Costs'!F38/12*'Responsibilities'!$C$14+SUM('Costs'!E39)*'Costs'!F39/12*'Responsibilities'!$C$15+SUM('Costs'!E40)*'Costs'!F40/12*'Responsibilities'!$C$16+BZ101</f>
        <v/>
      </c>
      <c r="M101" s="137">
        <f>('Sites'!E6*'Capital'!E6*(IF(24='Capital'!G6,'Capital'!F6,0)+IF(24='Capital'!H6,1-'Capital'!F6,0)))*'Responsibilities'!$G$6+('Sites'!E7*'Capital'!E7*(IF(24='Capital'!G7+'Cases'!G8,'Capital'!F7,0)+IF(24='Capital'!H7+'Cases'!G8,1-'Capital'!F7,0)))*'Responsibilities'!$G$7+('Sites'!E8*'Cases'!F8*'Capital'!E8*(IF(24='Capital'!G8+'Cases'!G8,'Capital'!F8,0)+IF(24='Capital'!H8+'Cases'!G8,1-'Capital'!F8,0)))*'Responsibilities'!$G$8</f>
        <v/>
      </c>
      <c r="N101" s="137">
        <f>SUM(G101:M101)</f>
        <v/>
      </c>
      <c r="O101" s="137">
        <f>SUMIFS(FundingTranches[Secured amount],FundingTranches[Instrument],"Grant",FundingTranches[Secured month],24)</f>
        <v/>
      </c>
      <c r="P101" s="137">
        <f>SUMIFS(FundingTranches[No QBE possible],FundingTranches[Instrument],"Grant",FundingTranches[Scenario month],24-'Cases'!$D$8)</f>
        <v/>
      </c>
      <c r="Q101" s="137">
        <f>SUMIFS(FundingTranches[Secured amount],FundingTranches[Instrument],"Loan",FundingTranches[Secured month],24)</f>
        <v/>
      </c>
      <c r="R101" s="137">
        <f>SUMIFS(FundingTranches[No QBE possible],FundingTranches[Instrument],"Loan",FundingTranches[Scenario month],24-'Cases'!$D$8)</f>
        <v/>
      </c>
      <c r="S101" s="137">
        <f>IF(24&lt;='Assumptions'!$B$34,0,SUMIFS('Production schedule'!$AL$222:$AL$329,'Production schedule'!$C$222:$C$329,24-'Assumptions'!$B$34))</f>
        <v/>
      </c>
      <c r="T101" s="137">
        <f>'Assumptions'!AA70</f>
        <v/>
      </c>
      <c r="U101" s="137">
        <f>'Assumptions'!AA78</f>
        <v/>
      </c>
      <c r="V101" s="137">
        <f>SUM(O101:U101)</f>
        <v/>
      </c>
      <c r="W101" s="137">
        <f>AA100</f>
        <v/>
      </c>
      <c r="X101" s="137">
        <f>SUM(Q101:R101)</f>
        <v/>
      </c>
      <c r="Y101" s="137">
        <f>SUM(W101,X101)*'Assumptions'!$B$39/12</f>
        <v/>
      </c>
      <c r="Z101" s="137">
        <f>IF(SUM(W101,X101)&gt;0,MIN(SUM(W101,X101),MAX(0,BP101-Y101)),0)</f>
        <v/>
      </c>
      <c r="AA101" s="137">
        <f>SUM(W101,X101)-Z101</f>
        <v/>
      </c>
      <c r="AB101" s="137">
        <f>SUM(Y101:Z101)</f>
        <v/>
      </c>
      <c r="AC101" s="137">
        <f>'Assumptions'!AA72</f>
        <v/>
      </c>
      <c r="AD101" s="137">
        <f>'Assumptions'!AA73</f>
        <v/>
      </c>
      <c r="AE101" s="137">
        <f>IF(X101&gt;0,SUM('Assumptions'!$B$42),0)</f>
        <v/>
      </c>
      <c r="AF101" s="137">
        <f>'Assumptions'!AA71</f>
        <v/>
      </c>
      <c r="AG101" s="137">
        <f>'Assumptions'!AA74</f>
        <v/>
      </c>
      <c r="AH101" s="137">
        <f>'Assumptions'!AA75</f>
        <v/>
      </c>
      <c r="AI101" s="137">
        <f>'Assumptions'!AA77</f>
        <v/>
      </c>
      <c r="AJ101" s="137">
        <f>V101-N101-SUM(AB101:AI101)</f>
        <v/>
      </c>
      <c r="AK101" s="137">
        <f>SUM(AJ78:AJ101)</f>
        <v/>
      </c>
      <c r="AL101" s="137">
        <f>IF(ISNUMBER('Assumptions'!$B$10),'Assumptions'!$B$10+AK101,"")</f>
        <v/>
      </c>
      <c r="AM101" s="137">
        <f>SUM(O101,Q101,T101)-N101-SUM(AC101:AI101)+IF('Funding'!$N$11=0,AE101,0)-IF('Funding'!$N$11&gt;0,AB101,0)</f>
        <v/>
      </c>
      <c r="AN101" s="137">
        <f>SUM(AM78:AM101)</f>
        <v/>
      </c>
      <c r="AO101" s="137">
        <f>IF(ISNUMBER('Assumptions'!$B$10),'Assumptions'!$B$10+AN101,"")</f>
        <v/>
      </c>
      <c r="AP101" s="137">
        <f>('Production schedule'!AK245)*'Responsibilities'!$C$6+('Production schedule'!AK281)*'Responsibilities'!$C$7+('Production schedule'!AK317)*'Responsibilities'!$C$8</f>
        <v/>
      </c>
      <c r="AQ101" s="137">
        <f>SUMIFS('Production schedule'!$AL$222:$AL$329,'Production schedule'!$C$222:$C$329,24)</f>
        <v/>
      </c>
      <c r="AR101" s="137">
        <f>IF(ISNUMBER('Assumptions'!AA76),'Assumptions'!AA76,SUM(O101:P101))</f>
        <v/>
      </c>
      <c r="AS101" s="137">
        <f>IF(ISNUMBER('Assumptions'!$B$13),MIN('Assumptions'!$B$13/'Assumptions'!$B$18/12,MAX(0,'Assumptions'!$B$13-(24-1)*'Assumptions'!$B$13/'Assumptions'!$B$18/12)),0)+IF(AND('Sites'!E6=1,24&gt;=('Sites'!F6),24&lt;('Sites'!F6)+'Assumptions'!$B$18*12),'Capital'!E6/'Assumptions'!$B$18/12,0)+IF(AND('Sites'!E7=1,24&gt;=('Sites'!F7+'Cases'!G8),24&lt;('Sites'!F7+'Cases'!G8)+'Assumptions'!$B$18*12),'Capital'!E7/'Assumptions'!$B$18/12,0)+IF(AND('Sites'!E8*'Cases'!F8=1,24&gt;=('Sites'!F8+'Cases'!G8),24&lt;('Sites'!F8+'Cases'!G8)+'Assumptions'!$B$18*12),'Capital'!E8/'Assumptions'!$B$18/12,0)</f>
        <v/>
      </c>
      <c r="AT101" s="137">
        <f>SUM(AQ101,AR101,U101)-AP101-SUM(H101:L101)-AS101-SUM(Y101,AD101,AE101,AH101)</f>
        <v/>
      </c>
      <c r="AU101" s="137">
        <f>IF(ISNUMBER('Assumptions'!$B$19),MAX(0,SUM(AT90:AT101))*'Assumptions'!$B$19-SUM(AU90:AU100),"")</f>
        <v/>
      </c>
      <c r="AV101" s="137">
        <f>IF(ISNUMBER(AU101),AT101-AU101,"")</f>
        <v/>
      </c>
      <c r="AW101" s="137">
        <f>IF(ISNUMBER('Assumptions'!$B$11),'Assumptions'!$B$11+SUM(AQ78:AQ101)-SUM(S78:S101)-SUM(T78:T101),"")</f>
        <v/>
      </c>
      <c r="AX101" s="137">
        <f>IF(ISNUMBER('Assumptions'!$B$12),'Assumptions'!$B$12+SUM(G78:G101)-SUM(AP78:AP101),"")</f>
        <v/>
      </c>
      <c r="AY101" s="137">
        <f>IF(ISNUMBER('Assumptions'!$B$13),'Assumptions'!$B$13+SUM(M78:M101)-SUM(AS78:AS101),"")</f>
        <v/>
      </c>
      <c r="AZ101" s="137">
        <f>IF(ISNUMBER('Assumptions'!$B$14),'Assumptions'!$B$14+-SUM(AF78:AF101),"")</f>
        <v/>
      </c>
      <c r="BA101" s="137">
        <f>IF(ISNUMBER('Assumptions'!$B$15),'Assumptions'!$B$15+SUM(O78:O101)+SUM(P78:P101)-SUM(AR78:AR101),"")</f>
        <v/>
      </c>
      <c r="BB101" s="137">
        <f>IF(ISNUMBER('Assumptions'!$B$16),'Assumptions'!$B$16+-SUM(AC78:AC101),"")</f>
        <v/>
      </c>
      <c r="BC101" s="137">
        <f>IF(AND(ISNUMBER('Assumptions'!$B$21),ISNUMBER('Assumptions'!$B$19)),'Assumptions'!$B$21+SUM(AU78:AU101)-SUM(AG78:AG101),"")</f>
        <v/>
      </c>
      <c r="BD101" s="137">
        <f>IF(ISNUMBER('Assumptions'!$B$20),'Assumptions'!$B$20+-SUM(AI78:AI101),"")</f>
        <v/>
      </c>
      <c r="BE101" s="137">
        <f>IF(AND(ISNUMBER('Assumptions'!$B$17),COUNT(AV78:AV101)=24),'Assumptions'!$B$17+SUM(AV78:AV101),"")</f>
        <v/>
      </c>
      <c r="BF101" s="137">
        <f>IF(COUNT(AL101,AW101:AY101)=4,SUM(AL101,AW101:AY101),"")</f>
        <v/>
      </c>
      <c r="BG101" s="137">
        <f>IF(COUNT(AZ101:BD101)=5,SUM(AZ101:BD101,AA101),"")</f>
        <v/>
      </c>
      <c r="BH101" s="137">
        <f>IF(COUNT(BF101,BG101,BE101)=3,BF101-BG101-BE101,"")</f>
        <v/>
      </c>
      <c r="BI101" s="137">
        <f>SUM(W101,X101)-Z101-AA101</f>
        <v/>
      </c>
      <c r="BJ101" s="137">
        <f>8-COUNT('Assumptions'!AA58:AA65)+COUNTBLANK('NM Play'!B33:B34)+'Costs'!E44+IF(AND('Sites'!E6=1,('Sites'!F6)&lt;=24,'Sites'!G6&gt;=13),IF(ISNUMBER('Sites'!P6),0,1)+'Capital'!I6+COUNTBLANK('Sites'!R6)+IF('Sites'!D6="NM crew",COUNTBLANK('NM Play'!B25)+1,5-COUNT('Assumptions'!AA112:AA116)),0)+IF(AND('Sites'!E7=1,('Sites'!F7+'Cases'!G8)&lt;=24,'Sites'!G7&gt;=13),IF(ISNUMBER('Sites'!P7),0,1)+'Capital'!I7+COUNTBLANK('Sites'!R7)+IF('Sites'!D7="NM crew",COUNTBLANK('NM Play'!B25)+1,5-COUNT('Assumptions'!AA117:AA121)),0)+IF(AND('Sites'!E8*'Cases'!F8=1,('Sites'!F8+'Cases'!G8)&lt;=24,'Sites'!G8&gt;=13),IF(ISNUMBER('Sites'!P8),0,1)+'Capital'!I8+COUNTBLANK('Sites'!R8)+IF('Sites'!D8="NM crew",COUNTBLANK('NM Play'!B25)+1,5-COUNT('Assumptions'!AA122:AA126)),0)+IF(AND('Cases'!C8&gt;0,NOT(ISNUMBER('Assumptions'!B42))),1,0)+'Responsibilities'!$B$39</f>
        <v/>
      </c>
      <c r="BK101" s="137">
        <f>'Assumptions'!$B$50+'NM Play'!$B$83+'Funding'!$F$20+SUMIFS('Production schedule'!$AN$222:$AN$329,'Production schedule'!$C$222:$C$329,24)+IF(OR('Cases'!E8&lt;0,'Cases'!E8&gt;1,'Cases'!C8&lt;0,'Cases'!D8&lt;0,ABS(SUM('Sites'!S6:S8)-1)&gt;0.0001,MIN('Capital'!F6:F8)&lt;0,MAX('Capital'!F6:F8)&gt;1,MIN(AX101,AZ101,BB101,BA101)&lt;-0.01),1,0)+'Responsibilities'!$B$40</f>
        <v/>
      </c>
      <c r="BL101" s="137">
        <f>SUMIFS('Production schedule'!$T$222:$T$329,'Production schedule'!$C$222:$C$329,24)</f>
        <v/>
      </c>
      <c r="BM101" s="137">
        <f>D101*'NM Play'!$B$38</f>
        <v/>
      </c>
      <c r="BN101" s="137">
        <f>SUMIFS('Production schedule'!$AM$222:$AM$329,'Production schedule'!$C$222:$C$329,24)</f>
        <v/>
      </c>
      <c r="BO101" s="137">
        <f>AK101-AK100-AJ101</f>
        <v/>
      </c>
      <c r="BP101" s="137">
        <f>IF(AND('Assumptions'!$B$39&gt;=0,'Assumptions'!$B$40&gt;0),-PMT('Assumptions'!$B$39/12,'Assumptions'!$B$40*12,IF('Funding'!$N$11&gt;0,'Funding'!$N$11,'Funding'!$T$11)),"")</f>
        <v/>
      </c>
      <c r="BQ101">
        <f>('Production schedule'!AJ245)*(1-'Responsibilities'!$C$6)+('Production schedule'!AJ281)*(1-'Responsibilities'!$C$7)+('Production schedule'!AJ317)*(1-'Responsibilities'!$C$8)</f>
        <v/>
      </c>
      <c r="BR101">
        <f>('Production schedule'!AI245)*(1-'Responsibilities'!$D$6)+('Production schedule'!AI281)*(1-'Responsibilities'!$D$7)+('Production schedule'!AI317)*(1-'Responsibilities'!$D$8)</f>
        <v/>
      </c>
      <c r="BS101">
        <f>('Production schedule'!E245*(IF('Sites'!D6="Annual staff",SUM('Assumptions'!AA112,'Assumptions'!AA114),0)+SUM('Assumptions'!AA113,'Assumptions'!AA115:AA116)))*(1-'Responsibilities'!$E$6)+('Production schedule'!E281*(IF('Sites'!D7="Annual staff",SUM('Assumptions'!AA117,'Assumptions'!AA119),0)+SUM('Assumptions'!AA118,'Assumptions'!AA120:AA121)))*(1-'Responsibilities'!$E$7)+('Production schedule'!E317*(IF('Sites'!D8="Annual staff",SUM('Assumptions'!AA122,'Assumptions'!AA124),0)+SUM('Assumptions'!AA123,'Assumptions'!AA125:AA126)))*(1-'Responsibilities'!$E$8)</f>
        <v/>
      </c>
      <c r="BT101">
        <f>(IF(AND('Production schedule'!E245=1,24=MAX(('Sites'!F6),13),ISNUMBER('Sites'!P6)),'Sites'!P6*'Assumptions'!$B$44,0))*(1-'Responsibilities'!$F$6)+(IF(AND('Production schedule'!E281=1,24=MAX(('Sites'!F7+'Cases'!G8),13),ISNUMBER('Sites'!P7)),'Sites'!P7*'Assumptions'!$B$44,0))*(1-'Responsibilities'!$F$7)+(IF(AND('Production schedule'!E317=1,24=MAX(('Sites'!F8+'Cases'!G8),13),ISNUMBER('Sites'!P8)),'Sites'!P8*'Assumptions'!$B$44,0))*(1-'Responsibilities'!$F$8)</f>
        <v/>
      </c>
      <c r="BU101">
        <f>SUM('Costs'!E36)*'Costs'!F36/12*(1-'Responsibilities'!$C$12)+SUM('Costs'!E37)*'Costs'!F37/12*(1-'Responsibilities'!$C$13)+SUM('Costs'!E38)*'Costs'!F38/12*(1-'Responsibilities'!$C$14)+SUM('Costs'!E39)*'Costs'!F39/12*(1-'Responsibilities'!$C$15)+SUM('Costs'!E40)*'Costs'!F40/12*(1-'Responsibilities'!$C$16)</f>
        <v/>
      </c>
      <c r="BV101">
        <f>('Sites'!E6*'Capital'!E6*(IF(24='Capital'!G6,'Capital'!F6,0)+IF(24='Capital'!H6,1-'Capital'!F6,0)))*(1-'Responsibilities'!$G$6)+('Sites'!E7*'Capital'!E7*(IF(24='Capital'!G7+'Cases'!G8,'Capital'!F7,0)+IF(24='Capital'!H7+'Cases'!G8,1-'Capital'!F7,0)))*(1-'Responsibilities'!$G$7)+('Sites'!E8*'Cases'!F8*'Capital'!E8*(IF(24='Capital'!G8+'Cases'!G8,'Capital'!F8,0)+IF(24='Capital'!H8+'Cases'!G8,1-'Capital'!F8,0)))*(1-'Responsibilities'!$G$8)</f>
        <v/>
      </c>
      <c r="BW101">
        <f>SUM(BQ101:BV101)</f>
        <v/>
      </c>
      <c r="BX101">
        <f>N101+BW101</f>
        <v/>
      </c>
      <c r="BY101">
        <f>BX101-(('Production schedule'!AJ245)*'Responsibilities'!$C$6+('Production schedule'!AJ281)*'Responsibilities'!$C$7+('Production schedule'!AJ317)*'Responsibilities'!$C$8+('Production schedule'!AJ245)*(1-'Responsibilities'!$C$6)+('Production schedule'!AJ281)*(1-'Responsibilities'!$C$7)+('Production schedule'!AJ317)*(1-'Responsibilities'!$C$8)+('Production schedule'!AI245)*'Responsibilities'!$D$6+('Production schedule'!AI281)*'Responsibilities'!$D$7+('Production schedule'!AI317)*'Responsibilities'!$D$8+('Production schedule'!AI245)*(1-'Responsibilities'!$D$6)+('Production schedule'!AI281)*(1-'Responsibilities'!$D$7)+('Production schedule'!AI317)*(1-'Responsibilities'!$D$8)+('Production schedule'!E245*(IF('Sites'!D6="Annual staff",SUM('Assumptions'!AA112,'Assumptions'!AA114),0)+SUM('Assumptions'!AA113,'Assumptions'!AA115:AA116)))*'Responsibilities'!$E$6+('Production schedule'!E281*(IF('Sites'!D7="Annual staff",SUM('Assumptions'!AA117,'Assumptions'!AA119),0)+SUM('Assumptions'!AA118,'Assumptions'!AA120:AA121)))*'Responsibilities'!$E$7+('Production schedule'!E317*(IF('Sites'!D8="Annual staff",SUM('Assumptions'!AA122,'Assumptions'!AA124),0)+SUM('Assumptions'!AA123,'Assumptions'!AA125:AA126)))*'Responsibilities'!$E$8+('Production schedule'!E245*(IF('Sites'!D6="Annual staff",SUM('Assumptions'!AA112,'Assumptions'!AA114),0)+SUM('Assumptions'!AA113,'Assumptions'!AA115:AA116)))*(1-'Responsibilities'!$E$6)+('Production schedule'!E281*(IF('Sites'!D7="Annual staff",SUM('Assumptions'!AA117,'Assumptions'!AA119),0)+SUM('Assumptions'!AA118,'Assumptions'!AA120:AA121)))*(1-'Responsibilities'!$E$7)+('Production schedule'!E317*(IF('Sites'!D8="Annual staff",SUM('Assumptions'!AA122,'Assumptions'!AA124),0)+SUM('Assumptions'!AA123,'Assumptions'!AA125:AA126)))*(1-'Responsibilities'!$E$8)+(IF(AND('Production schedule'!E245=1,24=MAX(('Sites'!F6),13),ISNUMBER('Sites'!P6)),'Sites'!P6*'Assumptions'!$B$44,0))*'Responsibilities'!$F$6+(IF(AND('Production schedule'!E281=1,24=MAX(('Sites'!F7+'Cases'!G8),13),ISNUMBER('Sites'!P7)),'Sites'!P7*'Assumptions'!$B$44,0))*'Responsibilities'!$F$7+(IF(AND('Production schedule'!E317=1,24=MAX(('Sites'!F8+'Cases'!G8),13),ISNUMBER('Sites'!P8)),'Sites'!P8*'Assumptions'!$B$44,0))*'Responsibilities'!$F$8+(IF(AND('Production schedule'!E245=1,24=MAX(('Sites'!F6),13),ISNUMBER('Sites'!P6)),'Sites'!P6*'Assumptions'!$B$44,0))*(1-'Responsibilities'!$F$6)+(IF(AND('Production schedule'!E281=1,24=MAX(('Sites'!F7+'Cases'!G8),13),ISNUMBER('Sites'!P7)),'Sites'!P7*'Assumptions'!$B$44,0))*(1-'Responsibilities'!$F$7)+(IF(AND('Production schedule'!E317=1,24=MAX(('Sites'!F8+'Cases'!G8),13),ISNUMBER('Sites'!P8)),'Sites'!P8*'Assumptions'!$B$44,0))*(1-'Responsibilities'!$F$8)+('Sites'!E6*'Capital'!E6*(IF(24='Capital'!G6,'Capital'!F6,0)+IF(24='Capital'!H6,1-'Capital'!F6,0)))*'Responsibilities'!$G$6+('Sites'!E7*'Capital'!E7*(IF(24='Capital'!G7+'Cases'!G8,'Capital'!F7,0)+IF(24='Capital'!H7+'Cases'!G8,1-'Capital'!F7,0)))*'Responsibilities'!$G$7+('Sites'!E8*'Cases'!F8*'Capital'!E8*(IF(24='Capital'!G8+'Cases'!G8,'Capital'!F8,0)+IF(24='Capital'!H8+'Cases'!G8,1-'Capital'!F8,0)))*'Responsibilities'!$G$8+('Sites'!E6*'Capital'!E6*(IF(24='Capital'!G6,'Capital'!F6,0)+IF(24='Capital'!H6,1-'Capital'!F6,0)))*(1-'Responsibilities'!$G$6)+('Sites'!E7*'Capital'!E7*(IF(24='Capital'!G7+'Cases'!G8,'Capital'!F7,0)+IF(24='Capital'!H7+'Cases'!G8,1-'Capital'!F7,0)))*(1-'Responsibilities'!$G$7)+('Sites'!E8*'Cases'!F8*'Capital'!E8*(IF(24='Capital'!G8+'Cases'!G8,'Capital'!F8,0)+IF(24='Capital'!H8+'Cases'!G8,1-'Capital'!F8,0)))*(1-'Responsibilities'!$G$8)+I101+SUMPRODUCT('Costs'!$E$36:$E$40,'Costs'!$F$36:$F$40)/12+BZ101)</f>
        <v/>
      </c>
      <c r="BZ101">
        <f>SUMIFS('Responsibilities'!$B$31:$B$35,'Responsibilities'!$C$31:$C$35,24,'Responsibilities'!$D$31:$D$35,"Yes")</f>
        <v/>
      </c>
    </row>
    <row r="102" ht="28" customHeight="1">
      <c r="A102" s="4" t="inlineStr">
        <is>
          <t>No QBE</t>
        </is>
      </c>
      <c r="B102" s="4" t="n">
        <v>25</v>
      </c>
      <c r="C102" s="4">
        <f>ROUNDUP(B102/12,0)</f>
        <v/>
      </c>
      <c r="D102" s="137">
        <f>SUMIFS('Production schedule'!$N$222:$N$329,'Production schedule'!$C$222:$C$329,25)</f>
        <v/>
      </c>
      <c r="E102" s="137">
        <f>SUMIFS('Production schedule'!$Y$222:$Y$329,'Production schedule'!$C$222:$C$329,25)</f>
        <v/>
      </c>
      <c r="F102" s="137">
        <f>SUMIFS('Production schedule'!$Z$222:$Z$329,'Production schedule'!$C$222:$C$329,25)</f>
        <v/>
      </c>
      <c r="G102" s="137">
        <f>('Production schedule'!AJ246)*'Responsibilities'!$C$6+('Production schedule'!AJ282)*'Responsibilities'!$C$7+('Production schedule'!AJ318)*'Responsibilities'!$C$8</f>
        <v/>
      </c>
      <c r="H102" s="137">
        <f>('Production schedule'!AI246)*'Responsibilities'!$D$6+('Production schedule'!AI282)*'Responsibilities'!$D$7+('Production schedule'!AI318)*'Responsibilities'!$D$8</f>
        <v/>
      </c>
      <c r="I102" s="137">
        <f>SUM('Assumptions'!AB58:AB65)</f>
        <v/>
      </c>
      <c r="J102" s="137">
        <f>('Production schedule'!E246*(IF('Sites'!D6="Annual staff",SUM('Assumptions'!AB112,'Assumptions'!AB114),0)+SUM('Assumptions'!AB113,'Assumptions'!AB115:AB116)))*'Responsibilities'!$E$6+('Production schedule'!E282*(IF('Sites'!D7="Annual staff",SUM('Assumptions'!AB117,'Assumptions'!AB119),0)+SUM('Assumptions'!AB118,'Assumptions'!AB120:AB121)))*'Responsibilities'!$E$7+('Production schedule'!E318*(IF('Sites'!D8="Annual staff",SUM('Assumptions'!AB122,'Assumptions'!AB124),0)+SUM('Assumptions'!AB123,'Assumptions'!AB125:AB126)))*'Responsibilities'!$E$8</f>
        <v/>
      </c>
      <c r="K102" s="137">
        <f>(IF(AND('Production schedule'!E246=1,25=MAX(('Sites'!F6),25),ISNUMBER('Sites'!Q6)),'Sites'!Q6*'Assumptions'!$B$44,0))*'Responsibilities'!$F$6+(IF(AND('Production schedule'!E282=1,25=MAX(('Sites'!F7+'Cases'!G8),25),ISNUMBER('Sites'!Q7)),'Sites'!Q7*'Assumptions'!$B$44,0))*'Responsibilities'!$F$7+(IF(AND('Production schedule'!E318=1,25=MAX(('Sites'!F8+'Cases'!G8),25),ISNUMBER('Sites'!Q8)),'Sites'!Q8*'Assumptions'!$B$44,0))*'Responsibilities'!$F$8</f>
        <v/>
      </c>
      <c r="L102" s="137">
        <f>SUM('Costs'!E36)*'Costs'!F36/12*'Responsibilities'!$C$12+SUM('Costs'!E37)*'Costs'!F37/12*'Responsibilities'!$C$13+SUM('Costs'!E38)*'Costs'!F38/12*'Responsibilities'!$C$14+SUM('Costs'!E39)*'Costs'!F39/12*'Responsibilities'!$C$15+SUM('Costs'!E40)*'Costs'!F40/12*'Responsibilities'!$C$16+BZ102</f>
        <v/>
      </c>
      <c r="M102" s="137">
        <f>('Sites'!E6*'Capital'!E6*(IF(25='Capital'!G6,'Capital'!F6,0)+IF(25='Capital'!H6,1-'Capital'!F6,0)))*'Responsibilities'!$G$6+('Sites'!E7*'Capital'!E7*(IF(25='Capital'!G7+'Cases'!G8,'Capital'!F7,0)+IF(25='Capital'!H7+'Cases'!G8,1-'Capital'!F7,0)))*'Responsibilities'!$G$7+('Sites'!E8*'Cases'!F8*'Capital'!E8*(IF(25='Capital'!G8+'Cases'!G8,'Capital'!F8,0)+IF(25='Capital'!H8+'Cases'!G8,1-'Capital'!F8,0)))*'Responsibilities'!$G$8</f>
        <v/>
      </c>
      <c r="N102" s="137">
        <f>SUM(G102:M102)</f>
        <v/>
      </c>
      <c r="O102" s="137">
        <f>SUMIFS(FundingTranches[Secured amount],FundingTranches[Instrument],"Grant",FundingTranches[Secured month],25)</f>
        <v/>
      </c>
      <c r="P102" s="137">
        <f>SUMIFS(FundingTranches[No QBE possible],FundingTranches[Instrument],"Grant",FundingTranches[Scenario month],25-'Cases'!$D$8)</f>
        <v/>
      </c>
      <c r="Q102" s="137">
        <f>SUMIFS(FundingTranches[Secured amount],FundingTranches[Instrument],"Loan",FundingTranches[Secured month],25)</f>
        <v/>
      </c>
      <c r="R102" s="137">
        <f>SUMIFS(FundingTranches[No QBE possible],FundingTranches[Instrument],"Loan",FundingTranches[Scenario month],25-'Cases'!$D$8)</f>
        <v/>
      </c>
      <c r="S102" s="137">
        <f>IF(25&lt;='Assumptions'!$B$34,0,SUMIFS('Production schedule'!$AL$222:$AL$329,'Production schedule'!$C$222:$C$329,25-'Assumptions'!$B$34))</f>
        <v/>
      </c>
      <c r="T102" s="137">
        <f>'Assumptions'!AB70</f>
        <v/>
      </c>
      <c r="U102" s="137">
        <f>'Assumptions'!AB78</f>
        <v/>
      </c>
      <c r="V102" s="137">
        <f>SUM(O102:U102)</f>
        <v/>
      </c>
      <c r="W102" s="137">
        <f>AA101</f>
        <v/>
      </c>
      <c r="X102" s="137">
        <f>SUM(Q102:R102)</f>
        <v/>
      </c>
      <c r="Y102" s="137">
        <f>SUM(W102,X102)*'Assumptions'!$B$39/12</f>
        <v/>
      </c>
      <c r="Z102" s="137">
        <f>IF(SUM(W102,X102)&gt;0,MIN(SUM(W102,X102),MAX(0,BP102-Y102)),0)</f>
        <v/>
      </c>
      <c r="AA102" s="137">
        <f>SUM(W102,X102)-Z102</f>
        <v/>
      </c>
      <c r="AB102" s="137">
        <f>SUM(Y102:Z102)</f>
        <v/>
      </c>
      <c r="AC102" s="137">
        <f>'Assumptions'!AB72</f>
        <v/>
      </c>
      <c r="AD102" s="137">
        <f>'Assumptions'!AB73</f>
        <v/>
      </c>
      <c r="AE102" s="137">
        <f>IF(X102&gt;0,SUM('Assumptions'!$B$42),0)</f>
        <v/>
      </c>
      <c r="AF102" s="137">
        <f>'Assumptions'!AB71</f>
        <v/>
      </c>
      <c r="AG102" s="137">
        <f>'Assumptions'!AB74</f>
        <v/>
      </c>
      <c r="AH102" s="137">
        <f>'Assumptions'!AB75</f>
        <v/>
      </c>
      <c r="AI102" s="137">
        <f>'Assumptions'!AB77</f>
        <v/>
      </c>
      <c r="AJ102" s="137">
        <f>V102-N102-SUM(AB102:AI102)</f>
        <v/>
      </c>
      <c r="AK102" s="137">
        <f>SUM(AJ78:AJ102)</f>
        <v/>
      </c>
      <c r="AL102" s="137">
        <f>IF(ISNUMBER('Assumptions'!$B$10),'Assumptions'!$B$10+AK102,"")</f>
        <v/>
      </c>
      <c r="AM102" s="137">
        <f>SUM(O102,Q102,T102)-N102-SUM(AC102:AI102)+IF('Funding'!$N$11=0,AE102,0)-IF('Funding'!$N$11&gt;0,AB102,0)</f>
        <v/>
      </c>
      <c r="AN102" s="137">
        <f>SUM(AM78:AM102)</f>
        <v/>
      </c>
      <c r="AO102" s="137">
        <f>IF(ISNUMBER('Assumptions'!$B$10),'Assumptions'!$B$10+AN102,"")</f>
        <v/>
      </c>
      <c r="AP102" s="137">
        <f>('Production schedule'!AK246)*'Responsibilities'!$C$6+('Production schedule'!AK282)*'Responsibilities'!$C$7+('Production schedule'!AK318)*'Responsibilities'!$C$8</f>
        <v/>
      </c>
      <c r="AQ102" s="137">
        <f>SUMIFS('Production schedule'!$AL$222:$AL$329,'Production schedule'!$C$222:$C$329,25)</f>
        <v/>
      </c>
      <c r="AR102" s="137">
        <f>IF(ISNUMBER('Assumptions'!AB76),'Assumptions'!AB76,SUM(O102:P102))</f>
        <v/>
      </c>
      <c r="AS102" s="137">
        <f>IF(ISNUMBER('Assumptions'!$B$13),MIN('Assumptions'!$B$13/'Assumptions'!$B$18/12,MAX(0,'Assumptions'!$B$13-(25-1)*'Assumptions'!$B$13/'Assumptions'!$B$18/12)),0)+IF(AND('Sites'!E6=1,25&gt;=('Sites'!F6),25&lt;('Sites'!F6)+'Assumptions'!$B$18*12),'Capital'!E6/'Assumptions'!$B$18/12,0)+IF(AND('Sites'!E7=1,25&gt;=('Sites'!F7+'Cases'!G8),25&lt;('Sites'!F7+'Cases'!G8)+'Assumptions'!$B$18*12),'Capital'!E7/'Assumptions'!$B$18/12,0)+IF(AND('Sites'!E8*'Cases'!F8=1,25&gt;=('Sites'!F8+'Cases'!G8),25&lt;('Sites'!F8+'Cases'!G8)+'Assumptions'!$B$18*12),'Capital'!E8/'Assumptions'!$B$18/12,0)</f>
        <v/>
      </c>
      <c r="AT102" s="137">
        <f>SUM(AQ102,AR102,U102)-AP102-SUM(H102:L102)-AS102-SUM(Y102,AD102,AE102,AH102)</f>
        <v/>
      </c>
      <c r="AU102" s="137">
        <f>IF(ISNUMBER('Assumptions'!$B$19),MAX(0,SUM(AT102:AT102))*'Assumptions'!$B$19-0,"")</f>
        <v/>
      </c>
      <c r="AV102" s="137">
        <f>IF(ISNUMBER(AU102),AT102-AU102,"")</f>
        <v/>
      </c>
      <c r="AW102" s="137">
        <f>IF(ISNUMBER('Assumptions'!$B$11),'Assumptions'!$B$11+SUM(AQ78:AQ102)-SUM(S78:S102)-SUM(T78:T102),"")</f>
        <v/>
      </c>
      <c r="AX102" s="137">
        <f>IF(ISNUMBER('Assumptions'!$B$12),'Assumptions'!$B$12+SUM(G78:G102)-SUM(AP78:AP102),"")</f>
        <v/>
      </c>
      <c r="AY102" s="137">
        <f>IF(ISNUMBER('Assumptions'!$B$13),'Assumptions'!$B$13+SUM(M78:M102)-SUM(AS78:AS102),"")</f>
        <v/>
      </c>
      <c r="AZ102" s="137">
        <f>IF(ISNUMBER('Assumptions'!$B$14),'Assumptions'!$B$14+-SUM(AF78:AF102),"")</f>
        <v/>
      </c>
      <c r="BA102" s="137">
        <f>IF(ISNUMBER('Assumptions'!$B$15),'Assumptions'!$B$15+SUM(O78:O102)+SUM(P78:P102)-SUM(AR78:AR102),"")</f>
        <v/>
      </c>
      <c r="BB102" s="137">
        <f>IF(ISNUMBER('Assumptions'!$B$16),'Assumptions'!$B$16+-SUM(AC78:AC102),"")</f>
        <v/>
      </c>
      <c r="BC102" s="137">
        <f>IF(AND(ISNUMBER('Assumptions'!$B$21),ISNUMBER('Assumptions'!$B$19)),'Assumptions'!$B$21+SUM(AU78:AU102)-SUM(AG78:AG102),"")</f>
        <v/>
      </c>
      <c r="BD102" s="137">
        <f>IF(ISNUMBER('Assumptions'!$B$20),'Assumptions'!$B$20+-SUM(AI78:AI102),"")</f>
        <v/>
      </c>
      <c r="BE102" s="137">
        <f>IF(AND(ISNUMBER('Assumptions'!$B$17),COUNT(AV78:AV102)=25),'Assumptions'!$B$17+SUM(AV78:AV102),"")</f>
        <v/>
      </c>
      <c r="BF102" s="137">
        <f>IF(COUNT(AL102,AW102:AY102)=4,SUM(AL102,AW102:AY102),"")</f>
        <v/>
      </c>
      <c r="BG102" s="137">
        <f>IF(COUNT(AZ102:BD102)=5,SUM(AZ102:BD102,AA102),"")</f>
        <v/>
      </c>
      <c r="BH102" s="137">
        <f>IF(COUNT(BF102,BG102,BE102)=3,BF102-BG102-BE102,"")</f>
        <v/>
      </c>
      <c r="BI102" s="137">
        <f>SUM(W102,X102)-Z102-AA102</f>
        <v/>
      </c>
      <c r="BJ102" s="137">
        <f>8-COUNT('Assumptions'!AB58:AB65)+COUNTBLANK('NM Play'!B33:B34)+'Costs'!E44+IF(AND('Sites'!E6=1,('Sites'!F6)&lt;=36,'Sites'!G6&gt;=25),IF(ISNUMBER('Sites'!Q6),0,1)+'Capital'!I6+COUNTBLANK('Sites'!R6)+IF('Sites'!D6="NM crew",COUNTBLANK('NM Play'!B25)+1,5-COUNT('Assumptions'!AB112:AB116)),0)+IF(AND('Sites'!E7=1,('Sites'!F7+'Cases'!G8)&lt;=36,'Sites'!G7&gt;=25),IF(ISNUMBER('Sites'!Q7),0,1)+'Capital'!I7+COUNTBLANK('Sites'!R7)+IF('Sites'!D7="NM crew",COUNTBLANK('NM Play'!B25)+1,5-COUNT('Assumptions'!AB117:AB121)),0)+IF(AND('Sites'!E8*'Cases'!F8=1,('Sites'!F8+'Cases'!G8)&lt;=36,'Sites'!G8&gt;=25),IF(ISNUMBER('Sites'!Q8),0,1)+'Capital'!I8+COUNTBLANK('Sites'!R8)+IF('Sites'!D8="NM crew",COUNTBLANK('NM Play'!B25)+1,5-COUNT('Assumptions'!AB122:AB126)),0)+IF(AND('Cases'!C8&gt;0,NOT(ISNUMBER('Assumptions'!B42))),1,0)+'Responsibilities'!$B$39</f>
        <v/>
      </c>
      <c r="BK102" s="137">
        <f>'Assumptions'!$B$50+'NM Play'!$B$83+'Funding'!$F$20+SUMIFS('Production schedule'!$AN$222:$AN$329,'Production schedule'!$C$222:$C$329,25)+IF(OR('Cases'!E8&lt;0,'Cases'!E8&gt;1,'Cases'!C8&lt;0,'Cases'!D8&lt;0,ABS(SUM('Sites'!S6:S8)-1)&gt;0.0001,MIN('Capital'!F6:F8)&lt;0,MAX('Capital'!F6:F8)&gt;1,MIN(AX102,AZ102,BB102,BA102)&lt;-0.01),1,0)+'Responsibilities'!$B$40</f>
        <v/>
      </c>
      <c r="BL102" s="137">
        <f>SUMIFS('Production schedule'!$T$222:$T$329,'Production schedule'!$C$222:$C$329,25)</f>
        <v/>
      </c>
      <c r="BM102" s="137">
        <f>D102*'NM Play'!$B$38</f>
        <v/>
      </c>
      <c r="BN102" s="137">
        <f>SUMIFS('Production schedule'!$AM$222:$AM$329,'Production schedule'!$C$222:$C$329,25)</f>
        <v/>
      </c>
      <c r="BO102" s="137">
        <f>AK102-AK101-AJ102</f>
        <v/>
      </c>
      <c r="BP102" s="137">
        <f>IF(AND('Assumptions'!$B$39&gt;=0,'Assumptions'!$B$40&gt;0),-PMT('Assumptions'!$B$39/12,'Assumptions'!$B$40*12,IF('Funding'!$N$11&gt;0,'Funding'!$N$11,'Funding'!$T$11)),"")</f>
        <v/>
      </c>
      <c r="BQ102">
        <f>('Production schedule'!AJ246)*(1-'Responsibilities'!$C$6)+('Production schedule'!AJ282)*(1-'Responsibilities'!$C$7)+('Production schedule'!AJ318)*(1-'Responsibilities'!$C$8)</f>
        <v/>
      </c>
      <c r="BR102">
        <f>('Production schedule'!AI246)*(1-'Responsibilities'!$D$6)+('Production schedule'!AI282)*(1-'Responsibilities'!$D$7)+('Production schedule'!AI318)*(1-'Responsibilities'!$D$8)</f>
        <v/>
      </c>
      <c r="BS102">
        <f>('Production schedule'!E246*(IF('Sites'!D6="Annual staff",SUM('Assumptions'!AB112,'Assumptions'!AB114),0)+SUM('Assumptions'!AB113,'Assumptions'!AB115:AB116)))*(1-'Responsibilities'!$E$6)+('Production schedule'!E282*(IF('Sites'!D7="Annual staff",SUM('Assumptions'!AB117,'Assumptions'!AB119),0)+SUM('Assumptions'!AB118,'Assumptions'!AB120:AB121)))*(1-'Responsibilities'!$E$7)+('Production schedule'!E318*(IF('Sites'!D8="Annual staff",SUM('Assumptions'!AB122,'Assumptions'!AB124),0)+SUM('Assumptions'!AB123,'Assumptions'!AB125:AB126)))*(1-'Responsibilities'!$E$8)</f>
        <v/>
      </c>
      <c r="BT102">
        <f>(IF(AND('Production schedule'!E246=1,25=MAX(('Sites'!F6),25),ISNUMBER('Sites'!Q6)),'Sites'!Q6*'Assumptions'!$B$44,0))*(1-'Responsibilities'!$F$6)+(IF(AND('Production schedule'!E282=1,25=MAX(('Sites'!F7+'Cases'!G8),25),ISNUMBER('Sites'!Q7)),'Sites'!Q7*'Assumptions'!$B$44,0))*(1-'Responsibilities'!$F$7)+(IF(AND('Production schedule'!E318=1,25=MAX(('Sites'!F8+'Cases'!G8),25),ISNUMBER('Sites'!Q8)),'Sites'!Q8*'Assumptions'!$B$44,0))*(1-'Responsibilities'!$F$8)</f>
        <v/>
      </c>
      <c r="BU102">
        <f>SUM('Costs'!E36)*'Costs'!F36/12*(1-'Responsibilities'!$C$12)+SUM('Costs'!E37)*'Costs'!F37/12*(1-'Responsibilities'!$C$13)+SUM('Costs'!E38)*'Costs'!F38/12*(1-'Responsibilities'!$C$14)+SUM('Costs'!E39)*'Costs'!F39/12*(1-'Responsibilities'!$C$15)+SUM('Costs'!E40)*'Costs'!F40/12*(1-'Responsibilities'!$C$16)</f>
        <v/>
      </c>
      <c r="BV102">
        <f>('Sites'!E6*'Capital'!E6*(IF(25='Capital'!G6,'Capital'!F6,0)+IF(25='Capital'!H6,1-'Capital'!F6,0)))*(1-'Responsibilities'!$G$6)+('Sites'!E7*'Capital'!E7*(IF(25='Capital'!G7+'Cases'!G8,'Capital'!F7,0)+IF(25='Capital'!H7+'Cases'!G8,1-'Capital'!F7,0)))*(1-'Responsibilities'!$G$7)+('Sites'!E8*'Cases'!F8*'Capital'!E8*(IF(25='Capital'!G8+'Cases'!G8,'Capital'!F8,0)+IF(25='Capital'!H8+'Cases'!G8,1-'Capital'!F8,0)))*(1-'Responsibilities'!$G$8)</f>
        <v/>
      </c>
      <c r="BW102">
        <f>SUM(BQ102:BV102)</f>
        <v/>
      </c>
      <c r="BX102">
        <f>N102+BW102</f>
        <v/>
      </c>
      <c r="BY102">
        <f>BX102-(('Production schedule'!AJ246)*'Responsibilities'!$C$6+('Production schedule'!AJ282)*'Responsibilities'!$C$7+('Production schedule'!AJ318)*'Responsibilities'!$C$8+('Production schedule'!AJ246)*(1-'Responsibilities'!$C$6)+('Production schedule'!AJ282)*(1-'Responsibilities'!$C$7)+('Production schedule'!AJ318)*(1-'Responsibilities'!$C$8)+('Production schedule'!AI246)*'Responsibilities'!$D$6+('Production schedule'!AI282)*'Responsibilities'!$D$7+('Production schedule'!AI318)*'Responsibilities'!$D$8+('Production schedule'!AI246)*(1-'Responsibilities'!$D$6)+('Production schedule'!AI282)*(1-'Responsibilities'!$D$7)+('Production schedule'!AI318)*(1-'Responsibilities'!$D$8)+('Production schedule'!E246*(IF('Sites'!D6="Annual staff",SUM('Assumptions'!AB112,'Assumptions'!AB114),0)+SUM('Assumptions'!AB113,'Assumptions'!AB115:AB116)))*'Responsibilities'!$E$6+('Production schedule'!E282*(IF('Sites'!D7="Annual staff",SUM('Assumptions'!AB117,'Assumptions'!AB119),0)+SUM('Assumptions'!AB118,'Assumptions'!AB120:AB121)))*'Responsibilities'!$E$7+('Production schedule'!E318*(IF('Sites'!D8="Annual staff",SUM('Assumptions'!AB122,'Assumptions'!AB124),0)+SUM('Assumptions'!AB123,'Assumptions'!AB125:AB126)))*'Responsibilities'!$E$8+('Production schedule'!E246*(IF('Sites'!D6="Annual staff",SUM('Assumptions'!AB112,'Assumptions'!AB114),0)+SUM('Assumptions'!AB113,'Assumptions'!AB115:AB116)))*(1-'Responsibilities'!$E$6)+('Production schedule'!E282*(IF('Sites'!D7="Annual staff",SUM('Assumptions'!AB117,'Assumptions'!AB119),0)+SUM('Assumptions'!AB118,'Assumptions'!AB120:AB121)))*(1-'Responsibilities'!$E$7)+('Production schedule'!E318*(IF('Sites'!D8="Annual staff",SUM('Assumptions'!AB122,'Assumptions'!AB124),0)+SUM('Assumptions'!AB123,'Assumptions'!AB125:AB126)))*(1-'Responsibilities'!$E$8)+(IF(AND('Production schedule'!E246=1,25=MAX(('Sites'!F6),25),ISNUMBER('Sites'!Q6)),'Sites'!Q6*'Assumptions'!$B$44,0))*'Responsibilities'!$F$6+(IF(AND('Production schedule'!E282=1,25=MAX(('Sites'!F7+'Cases'!G8),25),ISNUMBER('Sites'!Q7)),'Sites'!Q7*'Assumptions'!$B$44,0))*'Responsibilities'!$F$7+(IF(AND('Production schedule'!E318=1,25=MAX(('Sites'!F8+'Cases'!G8),25),ISNUMBER('Sites'!Q8)),'Sites'!Q8*'Assumptions'!$B$44,0))*'Responsibilities'!$F$8+(IF(AND('Production schedule'!E246=1,25=MAX(('Sites'!F6),25),ISNUMBER('Sites'!Q6)),'Sites'!Q6*'Assumptions'!$B$44,0))*(1-'Responsibilities'!$F$6)+(IF(AND('Production schedule'!E282=1,25=MAX(('Sites'!F7+'Cases'!G8),25),ISNUMBER('Sites'!Q7)),'Sites'!Q7*'Assumptions'!$B$44,0))*(1-'Responsibilities'!$F$7)+(IF(AND('Production schedule'!E318=1,25=MAX(('Sites'!F8+'Cases'!G8),25),ISNUMBER('Sites'!Q8)),'Sites'!Q8*'Assumptions'!$B$44,0))*(1-'Responsibilities'!$F$8)+('Sites'!E6*'Capital'!E6*(IF(25='Capital'!G6,'Capital'!F6,0)+IF(25='Capital'!H6,1-'Capital'!F6,0)))*'Responsibilities'!$G$6+('Sites'!E7*'Capital'!E7*(IF(25='Capital'!G7+'Cases'!G8,'Capital'!F7,0)+IF(25='Capital'!H7+'Cases'!G8,1-'Capital'!F7,0)))*'Responsibilities'!$G$7+('Sites'!E8*'Cases'!F8*'Capital'!E8*(IF(25='Capital'!G8+'Cases'!G8,'Capital'!F8,0)+IF(25='Capital'!H8+'Cases'!G8,1-'Capital'!F8,0)))*'Responsibilities'!$G$8+('Sites'!E6*'Capital'!E6*(IF(25='Capital'!G6,'Capital'!F6,0)+IF(25='Capital'!H6,1-'Capital'!F6,0)))*(1-'Responsibilities'!$G$6)+('Sites'!E7*'Capital'!E7*(IF(25='Capital'!G7+'Cases'!G8,'Capital'!F7,0)+IF(25='Capital'!H7+'Cases'!G8,1-'Capital'!F7,0)))*(1-'Responsibilities'!$G$7)+('Sites'!E8*'Cases'!F8*'Capital'!E8*(IF(25='Capital'!G8+'Cases'!G8,'Capital'!F8,0)+IF(25='Capital'!H8+'Cases'!G8,1-'Capital'!F8,0)))*(1-'Responsibilities'!$G$8)+I102+SUMPRODUCT('Costs'!$E$36:$E$40,'Costs'!$F$36:$F$40)/12+BZ102)</f>
        <v/>
      </c>
      <c r="BZ102">
        <f>SUMIFS('Responsibilities'!$B$31:$B$35,'Responsibilities'!$C$31:$C$35,25,'Responsibilities'!$D$31:$D$35,"Yes")</f>
        <v/>
      </c>
    </row>
    <row r="103" ht="28" customHeight="1">
      <c r="A103" s="4" t="inlineStr">
        <is>
          <t>No QBE</t>
        </is>
      </c>
      <c r="B103" s="4" t="n">
        <v>26</v>
      </c>
      <c r="C103" s="4">
        <f>ROUNDUP(B103/12,0)</f>
        <v/>
      </c>
      <c r="D103" s="137">
        <f>SUMIFS('Production schedule'!$N$222:$N$329,'Production schedule'!$C$222:$C$329,26)</f>
        <v/>
      </c>
      <c r="E103" s="137">
        <f>SUMIFS('Production schedule'!$Y$222:$Y$329,'Production schedule'!$C$222:$C$329,26)</f>
        <v/>
      </c>
      <c r="F103" s="137">
        <f>SUMIFS('Production schedule'!$Z$222:$Z$329,'Production schedule'!$C$222:$C$329,26)</f>
        <v/>
      </c>
      <c r="G103" s="137">
        <f>('Production schedule'!AJ247)*'Responsibilities'!$C$6+('Production schedule'!AJ283)*'Responsibilities'!$C$7+('Production schedule'!AJ319)*'Responsibilities'!$C$8</f>
        <v/>
      </c>
      <c r="H103" s="137">
        <f>('Production schedule'!AI247)*'Responsibilities'!$D$6+('Production schedule'!AI283)*'Responsibilities'!$D$7+('Production schedule'!AI319)*'Responsibilities'!$D$8</f>
        <v/>
      </c>
      <c r="I103" s="137">
        <f>SUM('Assumptions'!AC58:AC65)</f>
        <v/>
      </c>
      <c r="J103" s="137">
        <f>('Production schedule'!E247*(IF('Sites'!D6="Annual staff",SUM('Assumptions'!AC112,'Assumptions'!AC114),0)+SUM('Assumptions'!AC113,'Assumptions'!AC115:AC116)))*'Responsibilities'!$E$6+('Production schedule'!E283*(IF('Sites'!D7="Annual staff",SUM('Assumptions'!AC117,'Assumptions'!AC119),0)+SUM('Assumptions'!AC118,'Assumptions'!AC120:AC121)))*'Responsibilities'!$E$7+('Production schedule'!E319*(IF('Sites'!D8="Annual staff",SUM('Assumptions'!AC122,'Assumptions'!AC124),0)+SUM('Assumptions'!AC123,'Assumptions'!AC125:AC126)))*'Responsibilities'!$E$8</f>
        <v/>
      </c>
      <c r="K103" s="137">
        <f>(IF(AND('Production schedule'!E247=1,26=MAX(('Sites'!F6),25),ISNUMBER('Sites'!Q6)),'Sites'!Q6*'Assumptions'!$B$44,0))*'Responsibilities'!$F$6+(IF(AND('Production schedule'!E283=1,26=MAX(('Sites'!F7+'Cases'!G8),25),ISNUMBER('Sites'!Q7)),'Sites'!Q7*'Assumptions'!$B$44,0))*'Responsibilities'!$F$7+(IF(AND('Production schedule'!E319=1,26=MAX(('Sites'!F8+'Cases'!G8),25),ISNUMBER('Sites'!Q8)),'Sites'!Q8*'Assumptions'!$B$44,0))*'Responsibilities'!$F$8</f>
        <v/>
      </c>
      <c r="L103" s="137">
        <f>SUM('Costs'!E36)*'Costs'!F36/12*'Responsibilities'!$C$12+SUM('Costs'!E37)*'Costs'!F37/12*'Responsibilities'!$C$13+SUM('Costs'!E38)*'Costs'!F38/12*'Responsibilities'!$C$14+SUM('Costs'!E39)*'Costs'!F39/12*'Responsibilities'!$C$15+SUM('Costs'!E40)*'Costs'!F40/12*'Responsibilities'!$C$16+BZ103</f>
        <v/>
      </c>
      <c r="M103" s="137">
        <f>('Sites'!E6*'Capital'!E6*(IF(26='Capital'!G6,'Capital'!F6,0)+IF(26='Capital'!H6,1-'Capital'!F6,0)))*'Responsibilities'!$G$6+('Sites'!E7*'Capital'!E7*(IF(26='Capital'!G7+'Cases'!G8,'Capital'!F7,0)+IF(26='Capital'!H7+'Cases'!G8,1-'Capital'!F7,0)))*'Responsibilities'!$G$7+('Sites'!E8*'Cases'!F8*'Capital'!E8*(IF(26='Capital'!G8+'Cases'!G8,'Capital'!F8,0)+IF(26='Capital'!H8+'Cases'!G8,1-'Capital'!F8,0)))*'Responsibilities'!$G$8</f>
        <v/>
      </c>
      <c r="N103" s="137">
        <f>SUM(G103:M103)</f>
        <v/>
      </c>
      <c r="O103" s="137">
        <f>SUMIFS(FundingTranches[Secured amount],FundingTranches[Instrument],"Grant",FundingTranches[Secured month],26)</f>
        <v/>
      </c>
      <c r="P103" s="137">
        <f>SUMIFS(FundingTranches[No QBE possible],FundingTranches[Instrument],"Grant",FundingTranches[Scenario month],26-'Cases'!$D$8)</f>
        <v/>
      </c>
      <c r="Q103" s="137">
        <f>SUMIFS(FundingTranches[Secured amount],FundingTranches[Instrument],"Loan",FundingTranches[Secured month],26)</f>
        <v/>
      </c>
      <c r="R103" s="137">
        <f>SUMIFS(FundingTranches[No QBE possible],FundingTranches[Instrument],"Loan",FundingTranches[Scenario month],26-'Cases'!$D$8)</f>
        <v/>
      </c>
      <c r="S103" s="137">
        <f>IF(26&lt;='Assumptions'!$B$34,0,SUMIFS('Production schedule'!$AL$222:$AL$329,'Production schedule'!$C$222:$C$329,26-'Assumptions'!$B$34))</f>
        <v/>
      </c>
      <c r="T103" s="137">
        <f>'Assumptions'!AC70</f>
        <v/>
      </c>
      <c r="U103" s="137">
        <f>'Assumptions'!AC78</f>
        <v/>
      </c>
      <c r="V103" s="137">
        <f>SUM(O103:U103)</f>
        <v/>
      </c>
      <c r="W103" s="137">
        <f>AA102</f>
        <v/>
      </c>
      <c r="X103" s="137">
        <f>SUM(Q103:R103)</f>
        <v/>
      </c>
      <c r="Y103" s="137">
        <f>SUM(W103,X103)*'Assumptions'!$B$39/12</f>
        <v/>
      </c>
      <c r="Z103" s="137">
        <f>IF(SUM(W103,X103)&gt;0,MIN(SUM(W103,X103),MAX(0,BP103-Y103)),0)</f>
        <v/>
      </c>
      <c r="AA103" s="137">
        <f>SUM(W103,X103)-Z103</f>
        <v/>
      </c>
      <c r="AB103" s="137">
        <f>SUM(Y103:Z103)</f>
        <v/>
      </c>
      <c r="AC103" s="137">
        <f>'Assumptions'!AC72</f>
        <v/>
      </c>
      <c r="AD103" s="137">
        <f>'Assumptions'!AC73</f>
        <v/>
      </c>
      <c r="AE103" s="137">
        <f>IF(X103&gt;0,SUM('Assumptions'!$B$42),0)</f>
        <v/>
      </c>
      <c r="AF103" s="137">
        <f>'Assumptions'!AC71</f>
        <v/>
      </c>
      <c r="AG103" s="137">
        <f>'Assumptions'!AC74</f>
        <v/>
      </c>
      <c r="AH103" s="137">
        <f>'Assumptions'!AC75</f>
        <v/>
      </c>
      <c r="AI103" s="137">
        <f>'Assumptions'!AC77</f>
        <v/>
      </c>
      <c r="AJ103" s="137">
        <f>V103-N103-SUM(AB103:AI103)</f>
        <v/>
      </c>
      <c r="AK103" s="137">
        <f>SUM(AJ78:AJ103)</f>
        <v/>
      </c>
      <c r="AL103" s="137">
        <f>IF(ISNUMBER('Assumptions'!$B$10),'Assumptions'!$B$10+AK103,"")</f>
        <v/>
      </c>
      <c r="AM103" s="137">
        <f>SUM(O103,Q103,T103)-N103-SUM(AC103:AI103)+IF('Funding'!$N$11=0,AE103,0)-IF('Funding'!$N$11&gt;0,AB103,0)</f>
        <v/>
      </c>
      <c r="AN103" s="137">
        <f>SUM(AM78:AM103)</f>
        <v/>
      </c>
      <c r="AO103" s="137">
        <f>IF(ISNUMBER('Assumptions'!$B$10),'Assumptions'!$B$10+AN103,"")</f>
        <v/>
      </c>
      <c r="AP103" s="137">
        <f>('Production schedule'!AK247)*'Responsibilities'!$C$6+('Production schedule'!AK283)*'Responsibilities'!$C$7+('Production schedule'!AK319)*'Responsibilities'!$C$8</f>
        <v/>
      </c>
      <c r="AQ103" s="137">
        <f>SUMIFS('Production schedule'!$AL$222:$AL$329,'Production schedule'!$C$222:$C$329,26)</f>
        <v/>
      </c>
      <c r="AR103" s="137">
        <f>IF(ISNUMBER('Assumptions'!AC76),'Assumptions'!AC76,SUM(O103:P103))</f>
        <v/>
      </c>
      <c r="AS103" s="137">
        <f>IF(ISNUMBER('Assumptions'!$B$13),MIN('Assumptions'!$B$13/'Assumptions'!$B$18/12,MAX(0,'Assumptions'!$B$13-(26-1)*'Assumptions'!$B$13/'Assumptions'!$B$18/12)),0)+IF(AND('Sites'!E6=1,26&gt;=('Sites'!F6),26&lt;('Sites'!F6)+'Assumptions'!$B$18*12),'Capital'!E6/'Assumptions'!$B$18/12,0)+IF(AND('Sites'!E7=1,26&gt;=('Sites'!F7+'Cases'!G8),26&lt;('Sites'!F7+'Cases'!G8)+'Assumptions'!$B$18*12),'Capital'!E7/'Assumptions'!$B$18/12,0)+IF(AND('Sites'!E8*'Cases'!F8=1,26&gt;=('Sites'!F8+'Cases'!G8),26&lt;('Sites'!F8+'Cases'!G8)+'Assumptions'!$B$18*12),'Capital'!E8/'Assumptions'!$B$18/12,0)</f>
        <v/>
      </c>
      <c r="AT103" s="137">
        <f>SUM(AQ103,AR103,U103)-AP103-SUM(H103:L103)-AS103-SUM(Y103,AD103,AE103,AH103)</f>
        <v/>
      </c>
      <c r="AU103" s="137">
        <f>IF(ISNUMBER('Assumptions'!$B$19),MAX(0,SUM(AT102:AT103))*'Assumptions'!$B$19-SUM(AU102:AU102),"")</f>
        <v/>
      </c>
      <c r="AV103" s="137">
        <f>IF(ISNUMBER(AU103),AT103-AU103,"")</f>
        <v/>
      </c>
      <c r="AW103" s="137">
        <f>IF(ISNUMBER('Assumptions'!$B$11),'Assumptions'!$B$11+SUM(AQ78:AQ103)-SUM(S78:S103)-SUM(T78:T103),"")</f>
        <v/>
      </c>
      <c r="AX103" s="137">
        <f>IF(ISNUMBER('Assumptions'!$B$12),'Assumptions'!$B$12+SUM(G78:G103)-SUM(AP78:AP103),"")</f>
        <v/>
      </c>
      <c r="AY103" s="137">
        <f>IF(ISNUMBER('Assumptions'!$B$13),'Assumptions'!$B$13+SUM(M78:M103)-SUM(AS78:AS103),"")</f>
        <v/>
      </c>
      <c r="AZ103" s="137">
        <f>IF(ISNUMBER('Assumptions'!$B$14),'Assumptions'!$B$14+-SUM(AF78:AF103),"")</f>
        <v/>
      </c>
      <c r="BA103" s="137">
        <f>IF(ISNUMBER('Assumptions'!$B$15),'Assumptions'!$B$15+SUM(O78:O103)+SUM(P78:P103)-SUM(AR78:AR103),"")</f>
        <v/>
      </c>
      <c r="BB103" s="137">
        <f>IF(ISNUMBER('Assumptions'!$B$16),'Assumptions'!$B$16+-SUM(AC78:AC103),"")</f>
        <v/>
      </c>
      <c r="BC103" s="137">
        <f>IF(AND(ISNUMBER('Assumptions'!$B$21),ISNUMBER('Assumptions'!$B$19)),'Assumptions'!$B$21+SUM(AU78:AU103)-SUM(AG78:AG103),"")</f>
        <v/>
      </c>
      <c r="BD103" s="137">
        <f>IF(ISNUMBER('Assumptions'!$B$20),'Assumptions'!$B$20+-SUM(AI78:AI103),"")</f>
        <v/>
      </c>
      <c r="BE103" s="137">
        <f>IF(AND(ISNUMBER('Assumptions'!$B$17),COUNT(AV78:AV103)=26),'Assumptions'!$B$17+SUM(AV78:AV103),"")</f>
        <v/>
      </c>
      <c r="BF103" s="137">
        <f>IF(COUNT(AL103,AW103:AY103)=4,SUM(AL103,AW103:AY103),"")</f>
        <v/>
      </c>
      <c r="BG103" s="137">
        <f>IF(COUNT(AZ103:BD103)=5,SUM(AZ103:BD103,AA103),"")</f>
        <v/>
      </c>
      <c r="BH103" s="137">
        <f>IF(COUNT(BF103,BG103,BE103)=3,BF103-BG103-BE103,"")</f>
        <v/>
      </c>
      <c r="BI103" s="137">
        <f>SUM(W103,X103)-Z103-AA103</f>
        <v/>
      </c>
      <c r="BJ103" s="137">
        <f>8-COUNT('Assumptions'!AC58:AC65)+COUNTBLANK('NM Play'!B33:B34)+'Costs'!E44+IF(AND('Sites'!E6=1,('Sites'!F6)&lt;=36,'Sites'!G6&gt;=25),IF(ISNUMBER('Sites'!Q6),0,1)+'Capital'!I6+COUNTBLANK('Sites'!R6)+IF('Sites'!D6="NM crew",COUNTBLANK('NM Play'!B25)+1,5-COUNT('Assumptions'!AC112:AC116)),0)+IF(AND('Sites'!E7=1,('Sites'!F7+'Cases'!G8)&lt;=36,'Sites'!G7&gt;=25),IF(ISNUMBER('Sites'!Q7),0,1)+'Capital'!I7+COUNTBLANK('Sites'!R7)+IF('Sites'!D7="NM crew",COUNTBLANK('NM Play'!B25)+1,5-COUNT('Assumptions'!AC117:AC121)),0)+IF(AND('Sites'!E8*'Cases'!F8=1,('Sites'!F8+'Cases'!G8)&lt;=36,'Sites'!G8&gt;=25),IF(ISNUMBER('Sites'!Q8),0,1)+'Capital'!I8+COUNTBLANK('Sites'!R8)+IF('Sites'!D8="NM crew",COUNTBLANK('NM Play'!B25)+1,5-COUNT('Assumptions'!AC122:AC126)),0)+IF(AND('Cases'!C8&gt;0,NOT(ISNUMBER('Assumptions'!B42))),1,0)+'Responsibilities'!$B$39</f>
        <v/>
      </c>
      <c r="BK103" s="137">
        <f>'Assumptions'!$B$50+'NM Play'!$B$83+'Funding'!$F$20+SUMIFS('Production schedule'!$AN$222:$AN$329,'Production schedule'!$C$222:$C$329,26)+IF(OR('Cases'!E8&lt;0,'Cases'!E8&gt;1,'Cases'!C8&lt;0,'Cases'!D8&lt;0,ABS(SUM('Sites'!S6:S8)-1)&gt;0.0001,MIN('Capital'!F6:F8)&lt;0,MAX('Capital'!F6:F8)&gt;1,MIN(AX103,AZ103,BB103,BA103)&lt;-0.01),1,0)+'Responsibilities'!$B$40</f>
        <v/>
      </c>
      <c r="BL103" s="137">
        <f>SUMIFS('Production schedule'!$T$222:$T$329,'Production schedule'!$C$222:$C$329,26)</f>
        <v/>
      </c>
      <c r="BM103" s="137">
        <f>D103*'NM Play'!$B$38</f>
        <v/>
      </c>
      <c r="BN103" s="137">
        <f>SUMIFS('Production schedule'!$AM$222:$AM$329,'Production schedule'!$C$222:$C$329,26)</f>
        <v/>
      </c>
      <c r="BO103" s="137">
        <f>AK103-AK102-AJ103</f>
        <v/>
      </c>
      <c r="BP103" s="137">
        <f>IF(AND('Assumptions'!$B$39&gt;=0,'Assumptions'!$B$40&gt;0),-PMT('Assumptions'!$B$39/12,'Assumptions'!$B$40*12,IF('Funding'!$N$11&gt;0,'Funding'!$N$11,'Funding'!$T$11)),"")</f>
        <v/>
      </c>
      <c r="BQ103">
        <f>('Production schedule'!AJ247)*(1-'Responsibilities'!$C$6)+('Production schedule'!AJ283)*(1-'Responsibilities'!$C$7)+('Production schedule'!AJ319)*(1-'Responsibilities'!$C$8)</f>
        <v/>
      </c>
      <c r="BR103">
        <f>('Production schedule'!AI247)*(1-'Responsibilities'!$D$6)+('Production schedule'!AI283)*(1-'Responsibilities'!$D$7)+('Production schedule'!AI319)*(1-'Responsibilities'!$D$8)</f>
        <v/>
      </c>
      <c r="BS103">
        <f>('Production schedule'!E247*(IF('Sites'!D6="Annual staff",SUM('Assumptions'!AC112,'Assumptions'!AC114),0)+SUM('Assumptions'!AC113,'Assumptions'!AC115:AC116)))*(1-'Responsibilities'!$E$6)+('Production schedule'!E283*(IF('Sites'!D7="Annual staff",SUM('Assumptions'!AC117,'Assumptions'!AC119),0)+SUM('Assumptions'!AC118,'Assumptions'!AC120:AC121)))*(1-'Responsibilities'!$E$7)+('Production schedule'!E319*(IF('Sites'!D8="Annual staff",SUM('Assumptions'!AC122,'Assumptions'!AC124),0)+SUM('Assumptions'!AC123,'Assumptions'!AC125:AC126)))*(1-'Responsibilities'!$E$8)</f>
        <v/>
      </c>
      <c r="BT103">
        <f>(IF(AND('Production schedule'!E247=1,26=MAX(('Sites'!F6),25),ISNUMBER('Sites'!Q6)),'Sites'!Q6*'Assumptions'!$B$44,0))*(1-'Responsibilities'!$F$6)+(IF(AND('Production schedule'!E283=1,26=MAX(('Sites'!F7+'Cases'!G8),25),ISNUMBER('Sites'!Q7)),'Sites'!Q7*'Assumptions'!$B$44,0))*(1-'Responsibilities'!$F$7)+(IF(AND('Production schedule'!E319=1,26=MAX(('Sites'!F8+'Cases'!G8),25),ISNUMBER('Sites'!Q8)),'Sites'!Q8*'Assumptions'!$B$44,0))*(1-'Responsibilities'!$F$8)</f>
        <v/>
      </c>
      <c r="BU103">
        <f>SUM('Costs'!E36)*'Costs'!F36/12*(1-'Responsibilities'!$C$12)+SUM('Costs'!E37)*'Costs'!F37/12*(1-'Responsibilities'!$C$13)+SUM('Costs'!E38)*'Costs'!F38/12*(1-'Responsibilities'!$C$14)+SUM('Costs'!E39)*'Costs'!F39/12*(1-'Responsibilities'!$C$15)+SUM('Costs'!E40)*'Costs'!F40/12*(1-'Responsibilities'!$C$16)</f>
        <v/>
      </c>
      <c r="BV103">
        <f>('Sites'!E6*'Capital'!E6*(IF(26='Capital'!G6,'Capital'!F6,0)+IF(26='Capital'!H6,1-'Capital'!F6,0)))*(1-'Responsibilities'!$G$6)+('Sites'!E7*'Capital'!E7*(IF(26='Capital'!G7+'Cases'!G8,'Capital'!F7,0)+IF(26='Capital'!H7+'Cases'!G8,1-'Capital'!F7,0)))*(1-'Responsibilities'!$G$7)+('Sites'!E8*'Cases'!F8*'Capital'!E8*(IF(26='Capital'!G8+'Cases'!G8,'Capital'!F8,0)+IF(26='Capital'!H8+'Cases'!G8,1-'Capital'!F8,0)))*(1-'Responsibilities'!$G$8)</f>
        <v/>
      </c>
      <c r="BW103">
        <f>SUM(BQ103:BV103)</f>
        <v/>
      </c>
      <c r="BX103">
        <f>N103+BW103</f>
        <v/>
      </c>
      <c r="BY103">
        <f>BX103-(('Production schedule'!AJ247)*'Responsibilities'!$C$6+('Production schedule'!AJ283)*'Responsibilities'!$C$7+('Production schedule'!AJ319)*'Responsibilities'!$C$8+('Production schedule'!AJ247)*(1-'Responsibilities'!$C$6)+('Production schedule'!AJ283)*(1-'Responsibilities'!$C$7)+('Production schedule'!AJ319)*(1-'Responsibilities'!$C$8)+('Production schedule'!AI247)*'Responsibilities'!$D$6+('Production schedule'!AI283)*'Responsibilities'!$D$7+('Production schedule'!AI319)*'Responsibilities'!$D$8+('Production schedule'!AI247)*(1-'Responsibilities'!$D$6)+('Production schedule'!AI283)*(1-'Responsibilities'!$D$7)+('Production schedule'!AI319)*(1-'Responsibilities'!$D$8)+('Production schedule'!E247*(IF('Sites'!D6="Annual staff",SUM('Assumptions'!AC112,'Assumptions'!AC114),0)+SUM('Assumptions'!AC113,'Assumptions'!AC115:AC116)))*'Responsibilities'!$E$6+('Production schedule'!E283*(IF('Sites'!D7="Annual staff",SUM('Assumptions'!AC117,'Assumptions'!AC119),0)+SUM('Assumptions'!AC118,'Assumptions'!AC120:AC121)))*'Responsibilities'!$E$7+('Production schedule'!E319*(IF('Sites'!D8="Annual staff",SUM('Assumptions'!AC122,'Assumptions'!AC124),0)+SUM('Assumptions'!AC123,'Assumptions'!AC125:AC126)))*'Responsibilities'!$E$8+('Production schedule'!E247*(IF('Sites'!D6="Annual staff",SUM('Assumptions'!AC112,'Assumptions'!AC114),0)+SUM('Assumptions'!AC113,'Assumptions'!AC115:AC116)))*(1-'Responsibilities'!$E$6)+('Production schedule'!E283*(IF('Sites'!D7="Annual staff",SUM('Assumptions'!AC117,'Assumptions'!AC119),0)+SUM('Assumptions'!AC118,'Assumptions'!AC120:AC121)))*(1-'Responsibilities'!$E$7)+('Production schedule'!E319*(IF('Sites'!D8="Annual staff",SUM('Assumptions'!AC122,'Assumptions'!AC124),0)+SUM('Assumptions'!AC123,'Assumptions'!AC125:AC126)))*(1-'Responsibilities'!$E$8)+(IF(AND('Production schedule'!E247=1,26=MAX(('Sites'!F6),25),ISNUMBER('Sites'!Q6)),'Sites'!Q6*'Assumptions'!$B$44,0))*'Responsibilities'!$F$6+(IF(AND('Production schedule'!E283=1,26=MAX(('Sites'!F7+'Cases'!G8),25),ISNUMBER('Sites'!Q7)),'Sites'!Q7*'Assumptions'!$B$44,0))*'Responsibilities'!$F$7+(IF(AND('Production schedule'!E319=1,26=MAX(('Sites'!F8+'Cases'!G8),25),ISNUMBER('Sites'!Q8)),'Sites'!Q8*'Assumptions'!$B$44,0))*'Responsibilities'!$F$8+(IF(AND('Production schedule'!E247=1,26=MAX(('Sites'!F6),25),ISNUMBER('Sites'!Q6)),'Sites'!Q6*'Assumptions'!$B$44,0))*(1-'Responsibilities'!$F$6)+(IF(AND('Production schedule'!E283=1,26=MAX(('Sites'!F7+'Cases'!G8),25),ISNUMBER('Sites'!Q7)),'Sites'!Q7*'Assumptions'!$B$44,0))*(1-'Responsibilities'!$F$7)+(IF(AND('Production schedule'!E319=1,26=MAX(('Sites'!F8+'Cases'!G8),25),ISNUMBER('Sites'!Q8)),'Sites'!Q8*'Assumptions'!$B$44,0))*(1-'Responsibilities'!$F$8)+('Sites'!E6*'Capital'!E6*(IF(26='Capital'!G6,'Capital'!F6,0)+IF(26='Capital'!H6,1-'Capital'!F6,0)))*'Responsibilities'!$G$6+('Sites'!E7*'Capital'!E7*(IF(26='Capital'!G7+'Cases'!G8,'Capital'!F7,0)+IF(26='Capital'!H7+'Cases'!G8,1-'Capital'!F7,0)))*'Responsibilities'!$G$7+('Sites'!E8*'Cases'!F8*'Capital'!E8*(IF(26='Capital'!G8+'Cases'!G8,'Capital'!F8,0)+IF(26='Capital'!H8+'Cases'!G8,1-'Capital'!F8,0)))*'Responsibilities'!$G$8+('Sites'!E6*'Capital'!E6*(IF(26='Capital'!G6,'Capital'!F6,0)+IF(26='Capital'!H6,1-'Capital'!F6,0)))*(1-'Responsibilities'!$G$6)+('Sites'!E7*'Capital'!E7*(IF(26='Capital'!G7+'Cases'!G8,'Capital'!F7,0)+IF(26='Capital'!H7+'Cases'!G8,1-'Capital'!F7,0)))*(1-'Responsibilities'!$G$7)+('Sites'!E8*'Cases'!F8*'Capital'!E8*(IF(26='Capital'!G8+'Cases'!G8,'Capital'!F8,0)+IF(26='Capital'!H8+'Cases'!G8,1-'Capital'!F8,0)))*(1-'Responsibilities'!$G$8)+I103+SUMPRODUCT('Costs'!$E$36:$E$40,'Costs'!$F$36:$F$40)/12+BZ103)</f>
        <v/>
      </c>
      <c r="BZ103">
        <f>SUMIFS('Responsibilities'!$B$31:$B$35,'Responsibilities'!$C$31:$C$35,26,'Responsibilities'!$D$31:$D$35,"Yes")</f>
        <v/>
      </c>
    </row>
    <row r="104" ht="28" customHeight="1">
      <c r="A104" s="4" t="inlineStr">
        <is>
          <t>No QBE</t>
        </is>
      </c>
      <c r="B104" s="4" t="n">
        <v>27</v>
      </c>
      <c r="C104" s="4">
        <f>ROUNDUP(B104/12,0)</f>
        <v/>
      </c>
      <c r="D104" s="137">
        <f>SUMIFS('Production schedule'!$N$222:$N$329,'Production schedule'!$C$222:$C$329,27)</f>
        <v/>
      </c>
      <c r="E104" s="137">
        <f>SUMIFS('Production schedule'!$Y$222:$Y$329,'Production schedule'!$C$222:$C$329,27)</f>
        <v/>
      </c>
      <c r="F104" s="137">
        <f>SUMIFS('Production schedule'!$Z$222:$Z$329,'Production schedule'!$C$222:$C$329,27)</f>
        <v/>
      </c>
      <c r="G104" s="137">
        <f>('Production schedule'!AJ248)*'Responsibilities'!$C$6+('Production schedule'!AJ284)*'Responsibilities'!$C$7+('Production schedule'!AJ320)*'Responsibilities'!$C$8</f>
        <v/>
      </c>
      <c r="H104" s="137">
        <f>('Production schedule'!AI248)*'Responsibilities'!$D$6+('Production schedule'!AI284)*'Responsibilities'!$D$7+('Production schedule'!AI320)*'Responsibilities'!$D$8</f>
        <v/>
      </c>
      <c r="I104" s="137">
        <f>SUM('Assumptions'!AD58:AD65)</f>
        <v/>
      </c>
      <c r="J104" s="137">
        <f>('Production schedule'!E248*(IF('Sites'!D6="Annual staff",SUM('Assumptions'!AD112,'Assumptions'!AD114),0)+SUM('Assumptions'!AD113,'Assumptions'!AD115:AD116)))*'Responsibilities'!$E$6+('Production schedule'!E284*(IF('Sites'!D7="Annual staff",SUM('Assumptions'!AD117,'Assumptions'!AD119),0)+SUM('Assumptions'!AD118,'Assumptions'!AD120:AD121)))*'Responsibilities'!$E$7+('Production schedule'!E320*(IF('Sites'!D8="Annual staff",SUM('Assumptions'!AD122,'Assumptions'!AD124),0)+SUM('Assumptions'!AD123,'Assumptions'!AD125:AD126)))*'Responsibilities'!$E$8</f>
        <v/>
      </c>
      <c r="K104" s="137">
        <f>(IF(AND('Production schedule'!E248=1,27=MAX(('Sites'!F6),25),ISNUMBER('Sites'!Q6)),'Sites'!Q6*'Assumptions'!$B$44,0))*'Responsibilities'!$F$6+(IF(AND('Production schedule'!E284=1,27=MAX(('Sites'!F7+'Cases'!G8),25),ISNUMBER('Sites'!Q7)),'Sites'!Q7*'Assumptions'!$B$44,0))*'Responsibilities'!$F$7+(IF(AND('Production schedule'!E320=1,27=MAX(('Sites'!F8+'Cases'!G8),25),ISNUMBER('Sites'!Q8)),'Sites'!Q8*'Assumptions'!$B$44,0))*'Responsibilities'!$F$8</f>
        <v/>
      </c>
      <c r="L104" s="137">
        <f>SUM('Costs'!E36)*'Costs'!F36/12*'Responsibilities'!$C$12+SUM('Costs'!E37)*'Costs'!F37/12*'Responsibilities'!$C$13+SUM('Costs'!E38)*'Costs'!F38/12*'Responsibilities'!$C$14+SUM('Costs'!E39)*'Costs'!F39/12*'Responsibilities'!$C$15+SUM('Costs'!E40)*'Costs'!F40/12*'Responsibilities'!$C$16+BZ104</f>
        <v/>
      </c>
      <c r="M104" s="137">
        <f>('Sites'!E6*'Capital'!E6*(IF(27='Capital'!G6,'Capital'!F6,0)+IF(27='Capital'!H6,1-'Capital'!F6,0)))*'Responsibilities'!$G$6+('Sites'!E7*'Capital'!E7*(IF(27='Capital'!G7+'Cases'!G8,'Capital'!F7,0)+IF(27='Capital'!H7+'Cases'!G8,1-'Capital'!F7,0)))*'Responsibilities'!$G$7+('Sites'!E8*'Cases'!F8*'Capital'!E8*(IF(27='Capital'!G8+'Cases'!G8,'Capital'!F8,0)+IF(27='Capital'!H8+'Cases'!G8,1-'Capital'!F8,0)))*'Responsibilities'!$G$8</f>
        <v/>
      </c>
      <c r="N104" s="137">
        <f>SUM(G104:M104)</f>
        <v/>
      </c>
      <c r="O104" s="137">
        <f>SUMIFS(FundingTranches[Secured amount],FundingTranches[Instrument],"Grant",FundingTranches[Secured month],27)</f>
        <v/>
      </c>
      <c r="P104" s="137">
        <f>SUMIFS(FundingTranches[No QBE possible],FundingTranches[Instrument],"Grant",FundingTranches[Scenario month],27-'Cases'!$D$8)</f>
        <v/>
      </c>
      <c r="Q104" s="137">
        <f>SUMIFS(FundingTranches[Secured amount],FundingTranches[Instrument],"Loan",FundingTranches[Secured month],27)</f>
        <v/>
      </c>
      <c r="R104" s="137">
        <f>SUMIFS(FundingTranches[No QBE possible],FundingTranches[Instrument],"Loan",FundingTranches[Scenario month],27-'Cases'!$D$8)</f>
        <v/>
      </c>
      <c r="S104" s="137">
        <f>IF(27&lt;='Assumptions'!$B$34,0,SUMIFS('Production schedule'!$AL$222:$AL$329,'Production schedule'!$C$222:$C$329,27-'Assumptions'!$B$34))</f>
        <v/>
      </c>
      <c r="T104" s="137">
        <f>'Assumptions'!AD70</f>
        <v/>
      </c>
      <c r="U104" s="137">
        <f>'Assumptions'!AD78</f>
        <v/>
      </c>
      <c r="V104" s="137">
        <f>SUM(O104:U104)</f>
        <v/>
      </c>
      <c r="W104" s="137">
        <f>AA103</f>
        <v/>
      </c>
      <c r="X104" s="137">
        <f>SUM(Q104:R104)</f>
        <v/>
      </c>
      <c r="Y104" s="137">
        <f>SUM(W104,X104)*'Assumptions'!$B$39/12</f>
        <v/>
      </c>
      <c r="Z104" s="137">
        <f>IF(SUM(W104,X104)&gt;0,MIN(SUM(W104,X104),MAX(0,BP104-Y104)),0)</f>
        <v/>
      </c>
      <c r="AA104" s="137">
        <f>SUM(W104,X104)-Z104</f>
        <v/>
      </c>
      <c r="AB104" s="137">
        <f>SUM(Y104:Z104)</f>
        <v/>
      </c>
      <c r="AC104" s="137">
        <f>'Assumptions'!AD72</f>
        <v/>
      </c>
      <c r="AD104" s="137">
        <f>'Assumptions'!AD73</f>
        <v/>
      </c>
      <c r="AE104" s="137">
        <f>IF(X104&gt;0,SUM('Assumptions'!$B$42),0)</f>
        <v/>
      </c>
      <c r="AF104" s="137">
        <f>'Assumptions'!AD71</f>
        <v/>
      </c>
      <c r="AG104" s="137">
        <f>'Assumptions'!AD74</f>
        <v/>
      </c>
      <c r="AH104" s="137">
        <f>'Assumptions'!AD75</f>
        <v/>
      </c>
      <c r="AI104" s="137">
        <f>'Assumptions'!AD77</f>
        <v/>
      </c>
      <c r="AJ104" s="137">
        <f>V104-N104-SUM(AB104:AI104)</f>
        <v/>
      </c>
      <c r="AK104" s="137">
        <f>SUM(AJ78:AJ104)</f>
        <v/>
      </c>
      <c r="AL104" s="137">
        <f>IF(ISNUMBER('Assumptions'!$B$10),'Assumptions'!$B$10+AK104,"")</f>
        <v/>
      </c>
      <c r="AM104" s="137">
        <f>SUM(O104,Q104,T104)-N104-SUM(AC104:AI104)+IF('Funding'!$N$11=0,AE104,0)-IF('Funding'!$N$11&gt;0,AB104,0)</f>
        <v/>
      </c>
      <c r="AN104" s="137">
        <f>SUM(AM78:AM104)</f>
        <v/>
      </c>
      <c r="AO104" s="137">
        <f>IF(ISNUMBER('Assumptions'!$B$10),'Assumptions'!$B$10+AN104,"")</f>
        <v/>
      </c>
      <c r="AP104" s="137">
        <f>('Production schedule'!AK248)*'Responsibilities'!$C$6+('Production schedule'!AK284)*'Responsibilities'!$C$7+('Production schedule'!AK320)*'Responsibilities'!$C$8</f>
        <v/>
      </c>
      <c r="AQ104" s="137">
        <f>SUMIFS('Production schedule'!$AL$222:$AL$329,'Production schedule'!$C$222:$C$329,27)</f>
        <v/>
      </c>
      <c r="AR104" s="137">
        <f>IF(ISNUMBER('Assumptions'!AD76),'Assumptions'!AD76,SUM(O104:P104))</f>
        <v/>
      </c>
      <c r="AS104" s="137">
        <f>IF(ISNUMBER('Assumptions'!$B$13),MIN('Assumptions'!$B$13/'Assumptions'!$B$18/12,MAX(0,'Assumptions'!$B$13-(27-1)*'Assumptions'!$B$13/'Assumptions'!$B$18/12)),0)+IF(AND('Sites'!E6=1,27&gt;=('Sites'!F6),27&lt;('Sites'!F6)+'Assumptions'!$B$18*12),'Capital'!E6/'Assumptions'!$B$18/12,0)+IF(AND('Sites'!E7=1,27&gt;=('Sites'!F7+'Cases'!G8),27&lt;('Sites'!F7+'Cases'!G8)+'Assumptions'!$B$18*12),'Capital'!E7/'Assumptions'!$B$18/12,0)+IF(AND('Sites'!E8*'Cases'!F8=1,27&gt;=('Sites'!F8+'Cases'!G8),27&lt;('Sites'!F8+'Cases'!G8)+'Assumptions'!$B$18*12),'Capital'!E8/'Assumptions'!$B$18/12,0)</f>
        <v/>
      </c>
      <c r="AT104" s="137">
        <f>SUM(AQ104,AR104,U104)-AP104-SUM(H104:L104)-AS104-SUM(Y104,AD104,AE104,AH104)</f>
        <v/>
      </c>
      <c r="AU104" s="137">
        <f>IF(ISNUMBER('Assumptions'!$B$19),MAX(0,SUM(AT102:AT104))*'Assumptions'!$B$19-SUM(AU102:AU103),"")</f>
        <v/>
      </c>
      <c r="AV104" s="137">
        <f>IF(ISNUMBER(AU104),AT104-AU104,"")</f>
        <v/>
      </c>
      <c r="AW104" s="137">
        <f>IF(ISNUMBER('Assumptions'!$B$11),'Assumptions'!$B$11+SUM(AQ78:AQ104)-SUM(S78:S104)-SUM(T78:T104),"")</f>
        <v/>
      </c>
      <c r="AX104" s="137">
        <f>IF(ISNUMBER('Assumptions'!$B$12),'Assumptions'!$B$12+SUM(G78:G104)-SUM(AP78:AP104),"")</f>
        <v/>
      </c>
      <c r="AY104" s="137">
        <f>IF(ISNUMBER('Assumptions'!$B$13),'Assumptions'!$B$13+SUM(M78:M104)-SUM(AS78:AS104),"")</f>
        <v/>
      </c>
      <c r="AZ104" s="137">
        <f>IF(ISNUMBER('Assumptions'!$B$14),'Assumptions'!$B$14+-SUM(AF78:AF104),"")</f>
        <v/>
      </c>
      <c r="BA104" s="137">
        <f>IF(ISNUMBER('Assumptions'!$B$15),'Assumptions'!$B$15+SUM(O78:O104)+SUM(P78:P104)-SUM(AR78:AR104),"")</f>
        <v/>
      </c>
      <c r="BB104" s="137">
        <f>IF(ISNUMBER('Assumptions'!$B$16),'Assumptions'!$B$16+-SUM(AC78:AC104),"")</f>
        <v/>
      </c>
      <c r="BC104" s="137">
        <f>IF(AND(ISNUMBER('Assumptions'!$B$21),ISNUMBER('Assumptions'!$B$19)),'Assumptions'!$B$21+SUM(AU78:AU104)-SUM(AG78:AG104),"")</f>
        <v/>
      </c>
      <c r="BD104" s="137">
        <f>IF(ISNUMBER('Assumptions'!$B$20),'Assumptions'!$B$20+-SUM(AI78:AI104),"")</f>
        <v/>
      </c>
      <c r="BE104" s="137">
        <f>IF(AND(ISNUMBER('Assumptions'!$B$17),COUNT(AV78:AV104)=27),'Assumptions'!$B$17+SUM(AV78:AV104),"")</f>
        <v/>
      </c>
      <c r="BF104" s="137">
        <f>IF(COUNT(AL104,AW104:AY104)=4,SUM(AL104,AW104:AY104),"")</f>
        <v/>
      </c>
      <c r="BG104" s="137">
        <f>IF(COUNT(AZ104:BD104)=5,SUM(AZ104:BD104,AA104),"")</f>
        <v/>
      </c>
      <c r="BH104" s="137">
        <f>IF(COUNT(BF104,BG104,BE104)=3,BF104-BG104-BE104,"")</f>
        <v/>
      </c>
      <c r="BI104" s="137">
        <f>SUM(W104,X104)-Z104-AA104</f>
        <v/>
      </c>
      <c r="BJ104" s="137">
        <f>8-COUNT('Assumptions'!AD58:AD65)+COUNTBLANK('NM Play'!B33:B34)+'Costs'!E44+IF(AND('Sites'!E6=1,('Sites'!F6)&lt;=36,'Sites'!G6&gt;=25),IF(ISNUMBER('Sites'!Q6),0,1)+'Capital'!I6+COUNTBLANK('Sites'!R6)+IF('Sites'!D6="NM crew",COUNTBLANK('NM Play'!B25)+1,5-COUNT('Assumptions'!AD112:AD116)),0)+IF(AND('Sites'!E7=1,('Sites'!F7+'Cases'!G8)&lt;=36,'Sites'!G7&gt;=25),IF(ISNUMBER('Sites'!Q7),0,1)+'Capital'!I7+COUNTBLANK('Sites'!R7)+IF('Sites'!D7="NM crew",COUNTBLANK('NM Play'!B25)+1,5-COUNT('Assumptions'!AD117:AD121)),0)+IF(AND('Sites'!E8*'Cases'!F8=1,('Sites'!F8+'Cases'!G8)&lt;=36,'Sites'!G8&gt;=25),IF(ISNUMBER('Sites'!Q8),0,1)+'Capital'!I8+COUNTBLANK('Sites'!R8)+IF('Sites'!D8="NM crew",COUNTBLANK('NM Play'!B25)+1,5-COUNT('Assumptions'!AD122:AD126)),0)+IF(AND('Cases'!C8&gt;0,NOT(ISNUMBER('Assumptions'!B42))),1,0)+'Responsibilities'!$B$39</f>
        <v/>
      </c>
      <c r="BK104" s="137">
        <f>'Assumptions'!$B$50+'NM Play'!$B$83+'Funding'!$F$20+SUMIFS('Production schedule'!$AN$222:$AN$329,'Production schedule'!$C$222:$C$329,27)+IF(OR('Cases'!E8&lt;0,'Cases'!E8&gt;1,'Cases'!C8&lt;0,'Cases'!D8&lt;0,ABS(SUM('Sites'!S6:S8)-1)&gt;0.0001,MIN('Capital'!F6:F8)&lt;0,MAX('Capital'!F6:F8)&gt;1,MIN(AX104,AZ104,BB104,BA104)&lt;-0.01),1,0)+'Responsibilities'!$B$40</f>
        <v/>
      </c>
      <c r="BL104" s="137">
        <f>SUMIFS('Production schedule'!$T$222:$T$329,'Production schedule'!$C$222:$C$329,27)</f>
        <v/>
      </c>
      <c r="BM104" s="137">
        <f>D104*'NM Play'!$B$38</f>
        <v/>
      </c>
      <c r="BN104" s="137">
        <f>SUMIFS('Production schedule'!$AM$222:$AM$329,'Production schedule'!$C$222:$C$329,27)</f>
        <v/>
      </c>
      <c r="BO104" s="137">
        <f>AK104-AK103-AJ104</f>
        <v/>
      </c>
      <c r="BP104" s="137">
        <f>IF(AND('Assumptions'!$B$39&gt;=0,'Assumptions'!$B$40&gt;0),-PMT('Assumptions'!$B$39/12,'Assumptions'!$B$40*12,IF('Funding'!$N$11&gt;0,'Funding'!$N$11,'Funding'!$T$11)),"")</f>
        <v/>
      </c>
      <c r="BQ104">
        <f>('Production schedule'!AJ248)*(1-'Responsibilities'!$C$6)+('Production schedule'!AJ284)*(1-'Responsibilities'!$C$7)+('Production schedule'!AJ320)*(1-'Responsibilities'!$C$8)</f>
        <v/>
      </c>
      <c r="BR104">
        <f>('Production schedule'!AI248)*(1-'Responsibilities'!$D$6)+('Production schedule'!AI284)*(1-'Responsibilities'!$D$7)+('Production schedule'!AI320)*(1-'Responsibilities'!$D$8)</f>
        <v/>
      </c>
      <c r="BS104">
        <f>('Production schedule'!E248*(IF('Sites'!D6="Annual staff",SUM('Assumptions'!AD112,'Assumptions'!AD114),0)+SUM('Assumptions'!AD113,'Assumptions'!AD115:AD116)))*(1-'Responsibilities'!$E$6)+('Production schedule'!E284*(IF('Sites'!D7="Annual staff",SUM('Assumptions'!AD117,'Assumptions'!AD119),0)+SUM('Assumptions'!AD118,'Assumptions'!AD120:AD121)))*(1-'Responsibilities'!$E$7)+('Production schedule'!E320*(IF('Sites'!D8="Annual staff",SUM('Assumptions'!AD122,'Assumptions'!AD124),0)+SUM('Assumptions'!AD123,'Assumptions'!AD125:AD126)))*(1-'Responsibilities'!$E$8)</f>
        <v/>
      </c>
      <c r="BT104">
        <f>(IF(AND('Production schedule'!E248=1,27=MAX(('Sites'!F6),25),ISNUMBER('Sites'!Q6)),'Sites'!Q6*'Assumptions'!$B$44,0))*(1-'Responsibilities'!$F$6)+(IF(AND('Production schedule'!E284=1,27=MAX(('Sites'!F7+'Cases'!G8),25),ISNUMBER('Sites'!Q7)),'Sites'!Q7*'Assumptions'!$B$44,0))*(1-'Responsibilities'!$F$7)+(IF(AND('Production schedule'!E320=1,27=MAX(('Sites'!F8+'Cases'!G8),25),ISNUMBER('Sites'!Q8)),'Sites'!Q8*'Assumptions'!$B$44,0))*(1-'Responsibilities'!$F$8)</f>
        <v/>
      </c>
      <c r="BU104">
        <f>SUM('Costs'!E36)*'Costs'!F36/12*(1-'Responsibilities'!$C$12)+SUM('Costs'!E37)*'Costs'!F37/12*(1-'Responsibilities'!$C$13)+SUM('Costs'!E38)*'Costs'!F38/12*(1-'Responsibilities'!$C$14)+SUM('Costs'!E39)*'Costs'!F39/12*(1-'Responsibilities'!$C$15)+SUM('Costs'!E40)*'Costs'!F40/12*(1-'Responsibilities'!$C$16)</f>
        <v/>
      </c>
      <c r="BV104">
        <f>('Sites'!E6*'Capital'!E6*(IF(27='Capital'!G6,'Capital'!F6,0)+IF(27='Capital'!H6,1-'Capital'!F6,0)))*(1-'Responsibilities'!$G$6)+('Sites'!E7*'Capital'!E7*(IF(27='Capital'!G7+'Cases'!G8,'Capital'!F7,0)+IF(27='Capital'!H7+'Cases'!G8,1-'Capital'!F7,0)))*(1-'Responsibilities'!$G$7)+('Sites'!E8*'Cases'!F8*'Capital'!E8*(IF(27='Capital'!G8+'Cases'!G8,'Capital'!F8,0)+IF(27='Capital'!H8+'Cases'!G8,1-'Capital'!F8,0)))*(1-'Responsibilities'!$G$8)</f>
        <v/>
      </c>
      <c r="BW104">
        <f>SUM(BQ104:BV104)</f>
        <v/>
      </c>
      <c r="BX104">
        <f>N104+BW104</f>
        <v/>
      </c>
      <c r="BY104">
        <f>BX104-(('Production schedule'!AJ248)*'Responsibilities'!$C$6+('Production schedule'!AJ284)*'Responsibilities'!$C$7+('Production schedule'!AJ320)*'Responsibilities'!$C$8+('Production schedule'!AJ248)*(1-'Responsibilities'!$C$6)+('Production schedule'!AJ284)*(1-'Responsibilities'!$C$7)+('Production schedule'!AJ320)*(1-'Responsibilities'!$C$8)+('Production schedule'!AI248)*'Responsibilities'!$D$6+('Production schedule'!AI284)*'Responsibilities'!$D$7+('Production schedule'!AI320)*'Responsibilities'!$D$8+('Production schedule'!AI248)*(1-'Responsibilities'!$D$6)+('Production schedule'!AI284)*(1-'Responsibilities'!$D$7)+('Production schedule'!AI320)*(1-'Responsibilities'!$D$8)+('Production schedule'!E248*(IF('Sites'!D6="Annual staff",SUM('Assumptions'!AD112,'Assumptions'!AD114),0)+SUM('Assumptions'!AD113,'Assumptions'!AD115:AD116)))*'Responsibilities'!$E$6+('Production schedule'!E284*(IF('Sites'!D7="Annual staff",SUM('Assumptions'!AD117,'Assumptions'!AD119),0)+SUM('Assumptions'!AD118,'Assumptions'!AD120:AD121)))*'Responsibilities'!$E$7+('Production schedule'!E320*(IF('Sites'!D8="Annual staff",SUM('Assumptions'!AD122,'Assumptions'!AD124),0)+SUM('Assumptions'!AD123,'Assumptions'!AD125:AD126)))*'Responsibilities'!$E$8+('Production schedule'!E248*(IF('Sites'!D6="Annual staff",SUM('Assumptions'!AD112,'Assumptions'!AD114),0)+SUM('Assumptions'!AD113,'Assumptions'!AD115:AD116)))*(1-'Responsibilities'!$E$6)+('Production schedule'!E284*(IF('Sites'!D7="Annual staff",SUM('Assumptions'!AD117,'Assumptions'!AD119),0)+SUM('Assumptions'!AD118,'Assumptions'!AD120:AD121)))*(1-'Responsibilities'!$E$7)+('Production schedule'!E320*(IF('Sites'!D8="Annual staff",SUM('Assumptions'!AD122,'Assumptions'!AD124),0)+SUM('Assumptions'!AD123,'Assumptions'!AD125:AD126)))*(1-'Responsibilities'!$E$8)+(IF(AND('Production schedule'!E248=1,27=MAX(('Sites'!F6),25),ISNUMBER('Sites'!Q6)),'Sites'!Q6*'Assumptions'!$B$44,0))*'Responsibilities'!$F$6+(IF(AND('Production schedule'!E284=1,27=MAX(('Sites'!F7+'Cases'!G8),25),ISNUMBER('Sites'!Q7)),'Sites'!Q7*'Assumptions'!$B$44,0))*'Responsibilities'!$F$7+(IF(AND('Production schedule'!E320=1,27=MAX(('Sites'!F8+'Cases'!G8),25),ISNUMBER('Sites'!Q8)),'Sites'!Q8*'Assumptions'!$B$44,0))*'Responsibilities'!$F$8+(IF(AND('Production schedule'!E248=1,27=MAX(('Sites'!F6),25),ISNUMBER('Sites'!Q6)),'Sites'!Q6*'Assumptions'!$B$44,0))*(1-'Responsibilities'!$F$6)+(IF(AND('Production schedule'!E284=1,27=MAX(('Sites'!F7+'Cases'!G8),25),ISNUMBER('Sites'!Q7)),'Sites'!Q7*'Assumptions'!$B$44,0))*(1-'Responsibilities'!$F$7)+(IF(AND('Production schedule'!E320=1,27=MAX(('Sites'!F8+'Cases'!G8),25),ISNUMBER('Sites'!Q8)),'Sites'!Q8*'Assumptions'!$B$44,0))*(1-'Responsibilities'!$F$8)+('Sites'!E6*'Capital'!E6*(IF(27='Capital'!G6,'Capital'!F6,0)+IF(27='Capital'!H6,1-'Capital'!F6,0)))*'Responsibilities'!$G$6+('Sites'!E7*'Capital'!E7*(IF(27='Capital'!G7+'Cases'!G8,'Capital'!F7,0)+IF(27='Capital'!H7+'Cases'!G8,1-'Capital'!F7,0)))*'Responsibilities'!$G$7+('Sites'!E8*'Cases'!F8*'Capital'!E8*(IF(27='Capital'!G8+'Cases'!G8,'Capital'!F8,0)+IF(27='Capital'!H8+'Cases'!G8,1-'Capital'!F8,0)))*'Responsibilities'!$G$8+('Sites'!E6*'Capital'!E6*(IF(27='Capital'!G6,'Capital'!F6,0)+IF(27='Capital'!H6,1-'Capital'!F6,0)))*(1-'Responsibilities'!$G$6)+('Sites'!E7*'Capital'!E7*(IF(27='Capital'!G7+'Cases'!G8,'Capital'!F7,0)+IF(27='Capital'!H7+'Cases'!G8,1-'Capital'!F7,0)))*(1-'Responsibilities'!$G$7)+('Sites'!E8*'Cases'!F8*'Capital'!E8*(IF(27='Capital'!G8+'Cases'!G8,'Capital'!F8,0)+IF(27='Capital'!H8+'Cases'!G8,1-'Capital'!F8,0)))*(1-'Responsibilities'!$G$8)+I104+SUMPRODUCT('Costs'!$E$36:$E$40,'Costs'!$F$36:$F$40)/12+BZ104)</f>
        <v/>
      </c>
      <c r="BZ104">
        <f>SUMIFS('Responsibilities'!$B$31:$B$35,'Responsibilities'!$C$31:$C$35,27,'Responsibilities'!$D$31:$D$35,"Yes")</f>
        <v/>
      </c>
    </row>
    <row r="105" ht="28" customHeight="1">
      <c r="A105" s="4" t="inlineStr">
        <is>
          <t>No QBE</t>
        </is>
      </c>
      <c r="B105" s="4" t="n">
        <v>28</v>
      </c>
      <c r="C105" s="4">
        <f>ROUNDUP(B105/12,0)</f>
        <v/>
      </c>
      <c r="D105" s="137">
        <f>SUMIFS('Production schedule'!$N$222:$N$329,'Production schedule'!$C$222:$C$329,28)</f>
        <v/>
      </c>
      <c r="E105" s="137">
        <f>SUMIFS('Production schedule'!$Y$222:$Y$329,'Production schedule'!$C$222:$C$329,28)</f>
        <v/>
      </c>
      <c r="F105" s="137">
        <f>SUMIFS('Production schedule'!$Z$222:$Z$329,'Production schedule'!$C$222:$C$329,28)</f>
        <v/>
      </c>
      <c r="G105" s="137">
        <f>('Production schedule'!AJ249)*'Responsibilities'!$C$6+('Production schedule'!AJ285)*'Responsibilities'!$C$7+('Production schedule'!AJ321)*'Responsibilities'!$C$8</f>
        <v/>
      </c>
      <c r="H105" s="137">
        <f>('Production schedule'!AI249)*'Responsibilities'!$D$6+('Production schedule'!AI285)*'Responsibilities'!$D$7+('Production schedule'!AI321)*'Responsibilities'!$D$8</f>
        <v/>
      </c>
      <c r="I105" s="137">
        <f>SUM('Assumptions'!AE58:AE65)</f>
        <v/>
      </c>
      <c r="J105" s="137">
        <f>('Production schedule'!E249*(IF('Sites'!D6="Annual staff",SUM('Assumptions'!AE112,'Assumptions'!AE114),0)+SUM('Assumptions'!AE113,'Assumptions'!AE115:AE116)))*'Responsibilities'!$E$6+('Production schedule'!E285*(IF('Sites'!D7="Annual staff",SUM('Assumptions'!AE117,'Assumptions'!AE119),0)+SUM('Assumptions'!AE118,'Assumptions'!AE120:AE121)))*'Responsibilities'!$E$7+('Production schedule'!E321*(IF('Sites'!D8="Annual staff",SUM('Assumptions'!AE122,'Assumptions'!AE124),0)+SUM('Assumptions'!AE123,'Assumptions'!AE125:AE126)))*'Responsibilities'!$E$8</f>
        <v/>
      </c>
      <c r="K105" s="137">
        <f>(IF(AND('Production schedule'!E249=1,28=MAX(('Sites'!F6),25),ISNUMBER('Sites'!Q6)),'Sites'!Q6*'Assumptions'!$B$44,0))*'Responsibilities'!$F$6+(IF(AND('Production schedule'!E285=1,28=MAX(('Sites'!F7+'Cases'!G8),25),ISNUMBER('Sites'!Q7)),'Sites'!Q7*'Assumptions'!$B$44,0))*'Responsibilities'!$F$7+(IF(AND('Production schedule'!E321=1,28=MAX(('Sites'!F8+'Cases'!G8),25),ISNUMBER('Sites'!Q8)),'Sites'!Q8*'Assumptions'!$B$44,0))*'Responsibilities'!$F$8</f>
        <v/>
      </c>
      <c r="L105" s="137">
        <f>SUM('Costs'!E36)*'Costs'!F36/12*'Responsibilities'!$C$12+SUM('Costs'!E37)*'Costs'!F37/12*'Responsibilities'!$C$13+SUM('Costs'!E38)*'Costs'!F38/12*'Responsibilities'!$C$14+SUM('Costs'!E39)*'Costs'!F39/12*'Responsibilities'!$C$15+SUM('Costs'!E40)*'Costs'!F40/12*'Responsibilities'!$C$16+BZ105</f>
        <v/>
      </c>
      <c r="M105" s="137">
        <f>('Sites'!E6*'Capital'!E6*(IF(28='Capital'!G6,'Capital'!F6,0)+IF(28='Capital'!H6,1-'Capital'!F6,0)))*'Responsibilities'!$G$6+('Sites'!E7*'Capital'!E7*(IF(28='Capital'!G7+'Cases'!G8,'Capital'!F7,0)+IF(28='Capital'!H7+'Cases'!G8,1-'Capital'!F7,0)))*'Responsibilities'!$G$7+('Sites'!E8*'Cases'!F8*'Capital'!E8*(IF(28='Capital'!G8+'Cases'!G8,'Capital'!F8,0)+IF(28='Capital'!H8+'Cases'!G8,1-'Capital'!F8,0)))*'Responsibilities'!$G$8</f>
        <v/>
      </c>
      <c r="N105" s="137">
        <f>SUM(G105:M105)</f>
        <v/>
      </c>
      <c r="O105" s="137">
        <f>SUMIFS(FundingTranches[Secured amount],FundingTranches[Instrument],"Grant",FundingTranches[Secured month],28)</f>
        <v/>
      </c>
      <c r="P105" s="137">
        <f>SUMIFS(FundingTranches[No QBE possible],FundingTranches[Instrument],"Grant",FundingTranches[Scenario month],28-'Cases'!$D$8)</f>
        <v/>
      </c>
      <c r="Q105" s="137">
        <f>SUMIFS(FundingTranches[Secured amount],FundingTranches[Instrument],"Loan",FundingTranches[Secured month],28)</f>
        <v/>
      </c>
      <c r="R105" s="137">
        <f>SUMIFS(FundingTranches[No QBE possible],FundingTranches[Instrument],"Loan",FundingTranches[Scenario month],28-'Cases'!$D$8)</f>
        <v/>
      </c>
      <c r="S105" s="137">
        <f>IF(28&lt;='Assumptions'!$B$34,0,SUMIFS('Production schedule'!$AL$222:$AL$329,'Production schedule'!$C$222:$C$329,28-'Assumptions'!$B$34))</f>
        <v/>
      </c>
      <c r="T105" s="137">
        <f>'Assumptions'!AE70</f>
        <v/>
      </c>
      <c r="U105" s="137">
        <f>'Assumptions'!AE78</f>
        <v/>
      </c>
      <c r="V105" s="137">
        <f>SUM(O105:U105)</f>
        <v/>
      </c>
      <c r="W105" s="137">
        <f>AA104</f>
        <v/>
      </c>
      <c r="X105" s="137">
        <f>SUM(Q105:R105)</f>
        <v/>
      </c>
      <c r="Y105" s="137">
        <f>SUM(W105,X105)*'Assumptions'!$B$39/12</f>
        <v/>
      </c>
      <c r="Z105" s="137">
        <f>IF(SUM(W105,X105)&gt;0,MIN(SUM(W105,X105),MAX(0,BP105-Y105)),0)</f>
        <v/>
      </c>
      <c r="AA105" s="137">
        <f>SUM(W105,X105)-Z105</f>
        <v/>
      </c>
      <c r="AB105" s="137">
        <f>SUM(Y105:Z105)</f>
        <v/>
      </c>
      <c r="AC105" s="137">
        <f>'Assumptions'!AE72</f>
        <v/>
      </c>
      <c r="AD105" s="137">
        <f>'Assumptions'!AE73</f>
        <v/>
      </c>
      <c r="AE105" s="137">
        <f>IF(X105&gt;0,SUM('Assumptions'!$B$42),0)</f>
        <v/>
      </c>
      <c r="AF105" s="137">
        <f>'Assumptions'!AE71</f>
        <v/>
      </c>
      <c r="AG105" s="137">
        <f>'Assumptions'!AE74</f>
        <v/>
      </c>
      <c r="AH105" s="137">
        <f>'Assumptions'!AE75</f>
        <v/>
      </c>
      <c r="AI105" s="137">
        <f>'Assumptions'!AE77</f>
        <v/>
      </c>
      <c r="AJ105" s="137">
        <f>V105-N105-SUM(AB105:AI105)</f>
        <v/>
      </c>
      <c r="AK105" s="137">
        <f>SUM(AJ78:AJ105)</f>
        <v/>
      </c>
      <c r="AL105" s="137">
        <f>IF(ISNUMBER('Assumptions'!$B$10),'Assumptions'!$B$10+AK105,"")</f>
        <v/>
      </c>
      <c r="AM105" s="137">
        <f>SUM(O105,Q105,T105)-N105-SUM(AC105:AI105)+IF('Funding'!$N$11=0,AE105,0)-IF('Funding'!$N$11&gt;0,AB105,0)</f>
        <v/>
      </c>
      <c r="AN105" s="137">
        <f>SUM(AM78:AM105)</f>
        <v/>
      </c>
      <c r="AO105" s="137">
        <f>IF(ISNUMBER('Assumptions'!$B$10),'Assumptions'!$B$10+AN105,"")</f>
        <v/>
      </c>
      <c r="AP105" s="137">
        <f>('Production schedule'!AK249)*'Responsibilities'!$C$6+('Production schedule'!AK285)*'Responsibilities'!$C$7+('Production schedule'!AK321)*'Responsibilities'!$C$8</f>
        <v/>
      </c>
      <c r="AQ105" s="137">
        <f>SUMIFS('Production schedule'!$AL$222:$AL$329,'Production schedule'!$C$222:$C$329,28)</f>
        <v/>
      </c>
      <c r="AR105" s="137">
        <f>IF(ISNUMBER('Assumptions'!AE76),'Assumptions'!AE76,SUM(O105:P105))</f>
        <v/>
      </c>
      <c r="AS105" s="137">
        <f>IF(ISNUMBER('Assumptions'!$B$13),MIN('Assumptions'!$B$13/'Assumptions'!$B$18/12,MAX(0,'Assumptions'!$B$13-(28-1)*'Assumptions'!$B$13/'Assumptions'!$B$18/12)),0)+IF(AND('Sites'!E6=1,28&gt;=('Sites'!F6),28&lt;('Sites'!F6)+'Assumptions'!$B$18*12),'Capital'!E6/'Assumptions'!$B$18/12,0)+IF(AND('Sites'!E7=1,28&gt;=('Sites'!F7+'Cases'!G8),28&lt;('Sites'!F7+'Cases'!G8)+'Assumptions'!$B$18*12),'Capital'!E7/'Assumptions'!$B$18/12,0)+IF(AND('Sites'!E8*'Cases'!F8=1,28&gt;=('Sites'!F8+'Cases'!G8),28&lt;('Sites'!F8+'Cases'!G8)+'Assumptions'!$B$18*12),'Capital'!E8/'Assumptions'!$B$18/12,0)</f>
        <v/>
      </c>
      <c r="AT105" s="137">
        <f>SUM(AQ105,AR105,U105)-AP105-SUM(H105:L105)-AS105-SUM(Y105,AD105,AE105,AH105)</f>
        <v/>
      </c>
      <c r="AU105" s="137">
        <f>IF(ISNUMBER('Assumptions'!$B$19),MAX(0,SUM(AT102:AT105))*'Assumptions'!$B$19-SUM(AU102:AU104),"")</f>
        <v/>
      </c>
      <c r="AV105" s="137">
        <f>IF(ISNUMBER(AU105),AT105-AU105,"")</f>
        <v/>
      </c>
      <c r="AW105" s="137">
        <f>IF(ISNUMBER('Assumptions'!$B$11),'Assumptions'!$B$11+SUM(AQ78:AQ105)-SUM(S78:S105)-SUM(T78:T105),"")</f>
        <v/>
      </c>
      <c r="AX105" s="137">
        <f>IF(ISNUMBER('Assumptions'!$B$12),'Assumptions'!$B$12+SUM(G78:G105)-SUM(AP78:AP105),"")</f>
        <v/>
      </c>
      <c r="AY105" s="137">
        <f>IF(ISNUMBER('Assumptions'!$B$13),'Assumptions'!$B$13+SUM(M78:M105)-SUM(AS78:AS105),"")</f>
        <v/>
      </c>
      <c r="AZ105" s="137">
        <f>IF(ISNUMBER('Assumptions'!$B$14),'Assumptions'!$B$14+-SUM(AF78:AF105),"")</f>
        <v/>
      </c>
      <c r="BA105" s="137">
        <f>IF(ISNUMBER('Assumptions'!$B$15),'Assumptions'!$B$15+SUM(O78:O105)+SUM(P78:P105)-SUM(AR78:AR105),"")</f>
        <v/>
      </c>
      <c r="BB105" s="137">
        <f>IF(ISNUMBER('Assumptions'!$B$16),'Assumptions'!$B$16+-SUM(AC78:AC105),"")</f>
        <v/>
      </c>
      <c r="BC105" s="137">
        <f>IF(AND(ISNUMBER('Assumptions'!$B$21),ISNUMBER('Assumptions'!$B$19)),'Assumptions'!$B$21+SUM(AU78:AU105)-SUM(AG78:AG105),"")</f>
        <v/>
      </c>
      <c r="BD105" s="137">
        <f>IF(ISNUMBER('Assumptions'!$B$20),'Assumptions'!$B$20+-SUM(AI78:AI105),"")</f>
        <v/>
      </c>
      <c r="BE105" s="137">
        <f>IF(AND(ISNUMBER('Assumptions'!$B$17),COUNT(AV78:AV105)=28),'Assumptions'!$B$17+SUM(AV78:AV105),"")</f>
        <v/>
      </c>
      <c r="BF105" s="137">
        <f>IF(COUNT(AL105,AW105:AY105)=4,SUM(AL105,AW105:AY105),"")</f>
        <v/>
      </c>
      <c r="BG105" s="137">
        <f>IF(COUNT(AZ105:BD105)=5,SUM(AZ105:BD105,AA105),"")</f>
        <v/>
      </c>
      <c r="BH105" s="137">
        <f>IF(COUNT(BF105,BG105,BE105)=3,BF105-BG105-BE105,"")</f>
        <v/>
      </c>
      <c r="BI105" s="137">
        <f>SUM(W105,X105)-Z105-AA105</f>
        <v/>
      </c>
      <c r="BJ105" s="137">
        <f>8-COUNT('Assumptions'!AE58:AE65)+COUNTBLANK('NM Play'!B33:B34)+'Costs'!E44+IF(AND('Sites'!E6=1,('Sites'!F6)&lt;=36,'Sites'!G6&gt;=25),IF(ISNUMBER('Sites'!Q6),0,1)+'Capital'!I6+COUNTBLANK('Sites'!R6)+IF('Sites'!D6="NM crew",COUNTBLANK('NM Play'!B25)+1,5-COUNT('Assumptions'!AE112:AE116)),0)+IF(AND('Sites'!E7=1,('Sites'!F7+'Cases'!G8)&lt;=36,'Sites'!G7&gt;=25),IF(ISNUMBER('Sites'!Q7),0,1)+'Capital'!I7+COUNTBLANK('Sites'!R7)+IF('Sites'!D7="NM crew",COUNTBLANK('NM Play'!B25)+1,5-COUNT('Assumptions'!AE117:AE121)),0)+IF(AND('Sites'!E8*'Cases'!F8=1,('Sites'!F8+'Cases'!G8)&lt;=36,'Sites'!G8&gt;=25),IF(ISNUMBER('Sites'!Q8),0,1)+'Capital'!I8+COUNTBLANK('Sites'!R8)+IF('Sites'!D8="NM crew",COUNTBLANK('NM Play'!B25)+1,5-COUNT('Assumptions'!AE122:AE126)),0)+IF(AND('Cases'!C8&gt;0,NOT(ISNUMBER('Assumptions'!B42))),1,0)+'Responsibilities'!$B$39</f>
        <v/>
      </c>
      <c r="BK105" s="137">
        <f>'Assumptions'!$B$50+'NM Play'!$B$83+'Funding'!$F$20+SUMIFS('Production schedule'!$AN$222:$AN$329,'Production schedule'!$C$222:$C$329,28)+IF(OR('Cases'!E8&lt;0,'Cases'!E8&gt;1,'Cases'!C8&lt;0,'Cases'!D8&lt;0,ABS(SUM('Sites'!S6:S8)-1)&gt;0.0001,MIN('Capital'!F6:F8)&lt;0,MAX('Capital'!F6:F8)&gt;1,MIN(AX105,AZ105,BB105,BA105)&lt;-0.01),1,0)+'Responsibilities'!$B$40</f>
        <v/>
      </c>
      <c r="BL105" s="137">
        <f>SUMIFS('Production schedule'!$T$222:$T$329,'Production schedule'!$C$222:$C$329,28)</f>
        <v/>
      </c>
      <c r="BM105" s="137">
        <f>D105*'NM Play'!$B$38</f>
        <v/>
      </c>
      <c r="BN105" s="137">
        <f>SUMIFS('Production schedule'!$AM$222:$AM$329,'Production schedule'!$C$222:$C$329,28)</f>
        <v/>
      </c>
      <c r="BO105" s="137">
        <f>AK105-AK104-AJ105</f>
        <v/>
      </c>
      <c r="BP105" s="137">
        <f>IF(AND('Assumptions'!$B$39&gt;=0,'Assumptions'!$B$40&gt;0),-PMT('Assumptions'!$B$39/12,'Assumptions'!$B$40*12,IF('Funding'!$N$11&gt;0,'Funding'!$N$11,'Funding'!$T$11)),"")</f>
        <v/>
      </c>
      <c r="BQ105">
        <f>('Production schedule'!AJ249)*(1-'Responsibilities'!$C$6)+('Production schedule'!AJ285)*(1-'Responsibilities'!$C$7)+('Production schedule'!AJ321)*(1-'Responsibilities'!$C$8)</f>
        <v/>
      </c>
      <c r="BR105">
        <f>('Production schedule'!AI249)*(1-'Responsibilities'!$D$6)+('Production schedule'!AI285)*(1-'Responsibilities'!$D$7)+('Production schedule'!AI321)*(1-'Responsibilities'!$D$8)</f>
        <v/>
      </c>
      <c r="BS105">
        <f>('Production schedule'!E249*(IF('Sites'!D6="Annual staff",SUM('Assumptions'!AE112,'Assumptions'!AE114),0)+SUM('Assumptions'!AE113,'Assumptions'!AE115:AE116)))*(1-'Responsibilities'!$E$6)+('Production schedule'!E285*(IF('Sites'!D7="Annual staff",SUM('Assumptions'!AE117,'Assumptions'!AE119),0)+SUM('Assumptions'!AE118,'Assumptions'!AE120:AE121)))*(1-'Responsibilities'!$E$7)+('Production schedule'!E321*(IF('Sites'!D8="Annual staff",SUM('Assumptions'!AE122,'Assumptions'!AE124),0)+SUM('Assumptions'!AE123,'Assumptions'!AE125:AE126)))*(1-'Responsibilities'!$E$8)</f>
        <v/>
      </c>
      <c r="BT105">
        <f>(IF(AND('Production schedule'!E249=1,28=MAX(('Sites'!F6),25),ISNUMBER('Sites'!Q6)),'Sites'!Q6*'Assumptions'!$B$44,0))*(1-'Responsibilities'!$F$6)+(IF(AND('Production schedule'!E285=1,28=MAX(('Sites'!F7+'Cases'!G8),25),ISNUMBER('Sites'!Q7)),'Sites'!Q7*'Assumptions'!$B$44,0))*(1-'Responsibilities'!$F$7)+(IF(AND('Production schedule'!E321=1,28=MAX(('Sites'!F8+'Cases'!G8),25),ISNUMBER('Sites'!Q8)),'Sites'!Q8*'Assumptions'!$B$44,0))*(1-'Responsibilities'!$F$8)</f>
        <v/>
      </c>
      <c r="BU105">
        <f>SUM('Costs'!E36)*'Costs'!F36/12*(1-'Responsibilities'!$C$12)+SUM('Costs'!E37)*'Costs'!F37/12*(1-'Responsibilities'!$C$13)+SUM('Costs'!E38)*'Costs'!F38/12*(1-'Responsibilities'!$C$14)+SUM('Costs'!E39)*'Costs'!F39/12*(1-'Responsibilities'!$C$15)+SUM('Costs'!E40)*'Costs'!F40/12*(1-'Responsibilities'!$C$16)</f>
        <v/>
      </c>
      <c r="BV105">
        <f>('Sites'!E6*'Capital'!E6*(IF(28='Capital'!G6,'Capital'!F6,0)+IF(28='Capital'!H6,1-'Capital'!F6,0)))*(1-'Responsibilities'!$G$6)+('Sites'!E7*'Capital'!E7*(IF(28='Capital'!G7+'Cases'!G8,'Capital'!F7,0)+IF(28='Capital'!H7+'Cases'!G8,1-'Capital'!F7,0)))*(1-'Responsibilities'!$G$7)+('Sites'!E8*'Cases'!F8*'Capital'!E8*(IF(28='Capital'!G8+'Cases'!G8,'Capital'!F8,0)+IF(28='Capital'!H8+'Cases'!G8,1-'Capital'!F8,0)))*(1-'Responsibilities'!$G$8)</f>
        <v/>
      </c>
      <c r="BW105">
        <f>SUM(BQ105:BV105)</f>
        <v/>
      </c>
      <c r="BX105">
        <f>N105+BW105</f>
        <v/>
      </c>
      <c r="BY105">
        <f>BX105-(('Production schedule'!AJ249)*'Responsibilities'!$C$6+('Production schedule'!AJ285)*'Responsibilities'!$C$7+('Production schedule'!AJ321)*'Responsibilities'!$C$8+('Production schedule'!AJ249)*(1-'Responsibilities'!$C$6)+('Production schedule'!AJ285)*(1-'Responsibilities'!$C$7)+('Production schedule'!AJ321)*(1-'Responsibilities'!$C$8)+('Production schedule'!AI249)*'Responsibilities'!$D$6+('Production schedule'!AI285)*'Responsibilities'!$D$7+('Production schedule'!AI321)*'Responsibilities'!$D$8+('Production schedule'!AI249)*(1-'Responsibilities'!$D$6)+('Production schedule'!AI285)*(1-'Responsibilities'!$D$7)+('Production schedule'!AI321)*(1-'Responsibilities'!$D$8)+('Production schedule'!E249*(IF('Sites'!D6="Annual staff",SUM('Assumptions'!AE112,'Assumptions'!AE114),0)+SUM('Assumptions'!AE113,'Assumptions'!AE115:AE116)))*'Responsibilities'!$E$6+('Production schedule'!E285*(IF('Sites'!D7="Annual staff",SUM('Assumptions'!AE117,'Assumptions'!AE119),0)+SUM('Assumptions'!AE118,'Assumptions'!AE120:AE121)))*'Responsibilities'!$E$7+('Production schedule'!E321*(IF('Sites'!D8="Annual staff",SUM('Assumptions'!AE122,'Assumptions'!AE124),0)+SUM('Assumptions'!AE123,'Assumptions'!AE125:AE126)))*'Responsibilities'!$E$8+('Production schedule'!E249*(IF('Sites'!D6="Annual staff",SUM('Assumptions'!AE112,'Assumptions'!AE114),0)+SUM('Assumptions'!AE113,'Assumptions'!AE115:AE116)))*(1-'Responsibilities'!$E$6)+('Production schedule'!E285*(IF('Sites'!D7="Annual staff",SUM('Assumptions'!AE117,'Assumptions'!AE119),0)+SUM('Assumptions'!AE118,'Assumptions'!AE120:AE121)))*(1-'Responsibilities'!$E$7)+('Production schedule'!E321*(IF('Sites'!D8="Annual staff",SUM('Assumptions'!AE122,'Assumptions'!AE124),0)+SUM('Assumptions'!AE123,'Assumptions'!AE125:AE126)))*(1-'Responsibilities'!$E$8)+(IF(AND('Production schedule'!E249=1,28=MAX(('Sites'!F6),25),ISNUMBER('Sites'!Q6)),'Sites'!Q6*'Assumptions'!$B$44,0))*'Responsibilities'!$F$6+(IF(AND('Production schedule'!E285=1,28=MAX(('Sites'!F7+'Cases'!G8),25),ISNUMBER('Sites'!Q7)),'Sites'!Q7*'Assumptions'!$B$44,0))*'Responsibilities'!$F$7+(IF(AND('Production schedule'!E321=1,28=MAX(('Sites'!F8+'Cases'!G8),25),ISNUMBER('Sites'!Q8)),'Sites'!Q8*'Assumptions'!$B$44,0))*'Responsibilities'!$F$8+(IF(AND('Production schedule'!E249=1,28=MAX(('Sites'!F6),25),ISNUMBER('Sites'!Q6)),'Sites'!Q6*'Assumptions'!$B$44,0))*(1-'Responsibilities'!$F$6)+(IF(AND('Production schedule'!E285=1,28=MAX(('Sites'!F7+'Cases'!G8),25),ISNUMBER('Sites'!Q7)),'Sites'!Q7*'Assumptions'!$B$44,0))*(1-'Responsibilities'!$F$7)+(IF(AND('Production schedule'!E321=1,28=MAX(('Sites'!F8+'Cases'!G8),25),ISNUMBER('Sites'!Q8)),'Sites'!Q8*'Assumptions'!$B$44,0))*(1-'Responsibilities'!$F$8)+('Sites'!E6*'Capital'!E6*(IF(28='Capital'!G6,'Capital'!F6,0)+IF(28='Capital'!H6,1-'Capital'!F6,0)))*'Responsibilities'!$G$6+('Sites'!E7*'Capital'!E7*(IF(28='Capital'!G7+'Cases'!G8,'Capital'!F7,0)+IF(28='Capital'!H7+'Cases'!G8,1-'Capital'!F7,0)))*'Responsibilities'!$G$7+('Sites'!E8*'Cases'!F8*'Capital'!E8*(IF(28='Capital'!G8+'Cases'!G8,'Capital'!F8,0)+IF(28='Capital'!H8+'Cases'!G8,1-'Capital'!F8,0)))*'Responsibilities'!$G$8+('Sites'!E6*'Capital'!E6*(IF(28='Capital'!G6,'Capital'!F6,0)+IF(28='Capital'!H6,1-'Capital'!F6,0)))*(1-'Responsibilities'!$G$6)+('Sites'!E7*'Capital'!E7*(IF(28='Capital'!G7+'Cases'!G8,'Capital'!F7,0)+IF(28='Capital'!H7+'Cases'!G8,1-'Capital'!F7,0)))*(1-'Responsibilities'!$G$7)+('Sites'!E8*'Cases'!F8*'Capital'!E8*(IF(28='Capital'!G8+'Cases'!G8,'Capital'!F8,0)+IF(28='Capital'!H8+'Cases'!G8,1-'Capital'!F8,0)))*(1-'Responsibilities'!$G$8)+I105+SUMPRODUCT('Costs'!$E$36:$E$40,'Costs'!$F$36:$F$40)/12+BZ105)</f>
        <v/>
      </c>
      <c r="BZ105">
        <f>SUMIFS('Responsibilities'!$B$31:$B$35,'Responsibilities'!$C$31:$C$35,28,'Responsibilities'!$D$31:$D$35,"Yes")</f>
        <v/>
      </c>
    </row>
    <row r="106" ht="28" customHeight="1">
      <c r="A106" s="4" t="inlineStr">
        <is>
          <t>No QBE</t>
        </is>
      </c>
      <c r="B106" s="4" t="n">
        <v>29</v>
      </c>
      <c r="C106" s="4">
        <f>ROUNDUP(B106/12,0)</f>
        <v/>
      </c>
      <c r="D106" s="137">
        <f>SUMIFS('Production schedule'!$N$222:$N$329,'Production schedule'!$C$222:$C$329,29)</f>
        <v/>
      </c>
      <c r="E106" s="137">
        <f>SUMIFS('Production schedule'!$Y$222:$Y$329,'Production schedule'!$C$222:$C$329,29)</f>
        <v/>
      </c>
      <c r="F106" s="137">
        <f>SUMIFS('Production schedule'!$Z$222:$Z$329,'Production schedule'!$C$222:$C$329,29)</f>
        <v/>
      </c>
      <c r="G106" s="137">
        <f>('Production schedule'!AJ250)*'Responsibilities'!$C$6+('Production schedule'!AJ286)*'Responsibilities'!$C$7+('Production schedule'!AJ322)*'Responsibilities'!$C$8</f>
        <v/>
      </c>
      <c r="H106" s="137">
        <f>('Production schedule'!AI250)*'Responsibilities'!$D$6+('Production schedule'!AI286)*'Responsibilities'!$D$7+('Production schedule'!AI322)*'Responsibilities'!$D$8</f>
        <v/>
      </c>
      <c r="I106" s="137">
        <f>SUM('Assumptions'!AF58:AF65)</f>
        <v/>
      </c>
      <c r="J106" s="137">
        <f>('Production schedule'!E250*(IF('Sites'!D6="Annual staff",SUM('Assumptions'!AF112,'Assumptions'!AF114),0)+SUM('Assumptions'!AF113,'Assumptions'!AF115:AF116)))*'Responsibilities'!$E$6+('Production schedule'!E286*(IF('Sites'!D7="Annual staff",SUM('Assumptions'!AF117,'Assumptions'!AF119),0)+SUM('Assumptions'!AF118,'Assumptions'!AF120:AF121)))*'Responsibilities'!$E$7+('Production schedule'!E322*(IF('Sites'!D8="Annual staff",SUM('Assumptions'!AF122,'Assumptions'!AF124),0)+SUM('Assumptions'!AF123,'Assumptions'!AF125:AF126)))*'Responsibilities'!$E$8</f>
        <v/>
      </c>
      <c r="K106" s="137">
        <f>(IF(AND('Production schedule'!E250=1,29=MAX(('Sites'!F6),25),ISNUMBER('Sites'!Q6)),'Sites'!Q6*'Assumptions'!$B$44,0))*'Responsibilities'!$F$6+(IF(AND('Production schedule'!E286=1,29=MAX(('Sites'!F7+'Cases'!G8),25),ISNUMBER('Sites'!Q7)),'Sites'!Q7*'Assumptions'!$B$44,0))*'Responsibilities'!$F$7+(IF(AND('Production schedule'!E322=1,29=MAX(('Sites'!F8+'Cases'!G8),25),ISNUMBER('Sites'!Q8)),'Sites'!Q8*'Assumptions'!$B$44,0))*'Responsibilities'!$F$8</f>
        <v/>
      </c>
      <c r="L106" s="137">
        <f>SUM('Costs'!E36)*'Costs'!F36/12*'Responsibilities'!$C$12+SUM('Costs'!E37)*'Costs'!F37/12*'Responsibilities'!$C$13+SUM('Costs'!E38)*'Costs'!F38/12*'Responsibilities'!$C$14+SUM('Costs'!E39)*'Costs'!F39/12*'Responsibilities'!$C$15+SUM('Costs'!E40)*'Costs'!F40/12*'Responsibilities'!$C$16+BZ106</f>
        <v/>
      </c>
      <c r="M106" s="137">
        <f>('Sites'!E6*'Capital'!E6*(IF(29='Capital'!G6,'Capital'!F6,0)+IF(29='Capital'!H6,1-'Capital'!F6,0)))*'Responsibilities'!$G$6+('Sites'!E7*'Capital'!E7*(IF(29='Capital'!G7+'Cases'!G8,'Capital'!F7,0)+IF(29='Capital'!H7+'Cases'!G8,1-'Capital'!F7,0)))*'Responsibilities'!$G$7+('Sites'!E8*'Cases'!F8*'Capital'!E8*(IF(29='Capital'!G8+'Cases'!G8,'Capital'!F8,0)+IF(29='Capital'!H8+'Cases'!G8,1-'Capital'!F8,0)))*'Responsibilities'!$G$8</f>
        <v/>
      </c>
      <c r="N106" s="137">
        <f>SUM(G106:M106)</f>
        <v/>
      </c>
      <c r="O106" s="137">
        <f>SUMIFS(FundingTranches[Secured amount],FundingTranches[Instrument],"Grant",FundingTranches[Secured month],29)</f>
        <v/>
      </c>
      <c r="P106" s="137">
        <f>SUMIFS(FundingTranches[No QBE possible],FundingTranches[Instrument],"Grant",FundingTranches[Scenario month],29-'Cases'!$D$8)</f>
        <v/>
      </c>
      <c r="Q106" s="137">
        <f>SUMIFS(FundingTranches[Secured amount],FundingTranches[Instrument],"Loan",FundingTranches[Secured month],29)</f>
        <v/>
      </c>
      <c r="R106" s="137">
        <f>SUMIFS(FundingTranches[No QBE possible],FundingTranches[Instrument],"Loan",FundingTranches[Scenario month],29-'Cases'!$D$8)</f>
        <v/>
      </c>
      <c r="S106" s="137">
        <f>IF(29&lt;='Assumptions'!$B$34,0,SUMIFS('Production schedule'!$AL$222:$AL$329,'Production schedule'!$C$222:$C$329,29-'Assumptions'!$B$34))</f>
        <v/>
      </c>
      <c r="T106" s="137">
        <f>'Assumptions'!AF70</f>
        <v/>
      </c>
      <c r="U106" s="137">
        <f>'Assumptions'!AF78</f>
        <v/>
      </c>
      <c r="V106" s="137">
        <f>SUM(O106:U106)</f>
        <v/>
      </c>
      <c r="W106" s="137">
        <f>AA105</f>
        <v/>
      </c>
      <c r="X106" s="137">
        <f>SUM(Q106:R106)</f>
        <v/>
      </c>
      <c r="Y106" s="137">
        <f>SUM(W106,X106)*'Assumptions'!$B$39/12</f>
        <v/>
      </c>
      <c r="Z106" s="137">
        <f>IF(SUM(W106,X106)&gt;0,MIN(SUM(W106,X106),MAX(0,BP106-Y106)),0)</f>
        <v/>
      </c>
      <c r="AA106" s="137">
        <f>SUM(W106,X106)-Z106</f>
        <v/>
      </c>
      <c r="AB106" s="137">
        <f>SUM(Y106:Z106)</f>
        <v/>
      </c>
      <c r="AC106" s="137">
        <f>'Assumptions'!AF72</f>
        <v/>
      </c>
      <c r="AD106" s="137">
        <f>'Assumptions'!AF73</f>
        <v/>
      </c>
      <c r="AE106" s="137">
        <f>IF(X106&gt;0,SUM('Assumptions'!$B$42),0)</f>
        <v/>
      </c>
      <c r="AF106" s="137">
        <f>'Assumptions'!AF71</f>
        <v/>
      </c>
      <c r="AG106" s="137">
        <f>'Assumptions'!AF74</f>
        <v/>
      </c>
      <c r="AH106" s="137">
        <f>'Assumptions'!AF75</f>
        <v/>
      </c>
      <c r="AI106" s="137">
        <f>'Assumptions'!AF77</f>
        <v/>
      </c>
      <c r="AJ106" s="137">
        <f>V106-N106-SUM(AB106:AI106)</f>
        <v/>
      </c>
      <c r="AK106" s="137">
        <f>SUM(AJ78:AJ106)</f>
        <v/>
      </c>
      <c r="AL106" s="137">
        <f>IF(ISNUMBER('Assumptions'!$B$10),'Assumptions'!$B$10+AK106,"")</f>
        <v/>
      </c>
      <c r="AM106" s="137">
        <f>SUM(O106,Q106,T106)-N106-SUM(AC106:AI106)+IF('Funding'!$N$11=0,AE106,0)-IF('Funding'!$N$11&gt;0,AB106,0)</f>
        <v/>
      </c>
      <c r="AN106" s="137">
        <f>SUM(AM78:AM106)</f>
        <v/>
      </c>
      <c r="AO106" s="137">
        <f>IF(ISNUMBER('Assumptions'!$B$10),'Assumptions'!$B$10+AN106,"")</f>
        <v/>
      </c>
      <c r="AP106" s="137">
        <f>('Production schedule'!AK250)*'Responsibilities'!$C$6+('Production schedule'!AK286)*'Responsibilities'!$C$7+('Production schedule'!AK322)*'Responsibilities'!$C$8</f>
        <v/>
      </c>
      <c r="AQ106" s="137">
        <f>SUMIFS('Production schedule'!$AL$222:$AL$329,'Production schedule'!$C$222:$C$329,29)</f>
        <v/>
      </c>
      <c r="AR106" s="137">
        <f>IF(ISNUMBER('Assumptions'!AF76),'Assumptions'!AF76,SUM(O106:P106))</f>
        <v/>
      </c>
      <c r="AS106" s="137">
        <f>IF(ISNUMBER('Assumptions'!$B$13),MIN('Assumptions'!$B$13/'Assumptions'!$B$18/12,MAX(0,'Assumptions'!$B$13-(29-1)*'Assumptions'!$B$13/'Assumptions'!$B$18/12)),0)+IF(AND('Sites'!E6=1,29&gt;=('Sites'!F6),29&lt;('Sites'!F6)+'Assumptions'!$B$18*12),'Capital'!E6/'Assumptions'!$B$18/12,0)+IF(AND('Sites'!E7=1,29&gt;=('Sites'!F7+'Cases'!G8),29&lt;('Sites'!F7+'Cases'!G8)+'Assumptions'!$B$18*12),'Capital'!E7/'Assumptions'!$B$18/12,0)+IF(AND('Sites'!E8*'Cases'!F8=1,29&gt;=('Sites'!F8+'Cases'!G8),29&lt;('Sites'!F8+'Cases'!G8)+'Assumptions'!$B$18*12),'Capital'!E8/'Assumptions'!$B$18/12,0)</f>
        <v/>
      </c>
      <c r="AT106" s="137">
        <f>SUM(AQ106,AR106,U106)-AP106-SUM(H106:L106)-AS106-SUM(Y106,AD106,AE106,AH106)</f>
        <v/>
      </c>
      <c r="AU106" s="137">
        <f>IF(ISNUMBER('Assumptions'!$B$19),MAX(0,SUM(AT102:AT106))*'Assumptions'!$B$19-SUM(AU102:AU105),"")</f>
        <v/>
      </c>
      <c r="AV106" s="137">
        <f>IF(ISNUMBER(AU106),AT106-AU106,"")</f>
        <v/>
      </c>
      <c r="AW106" s="137">
        <f>IF(ISNUMBER('Assumptions'!$B$11),'Assumptions'!$B$11+SUM(AQ78:AQ106)-SUM(S78:S106)-SUM(T78:T106),"")</f>
        <v/>
      </c>
      <c r="AX106" s="137">
        <f>IF(ISNUMBER('Assumptions'!$B$12),'Assumptions'!$B$12+SUM(G78:G106)-SUM(AP78:AP106),"")</f>
        <v/>
      </c>
      <c r="AY106" s="137">
        <f>IF(ISNUMBER('Assumptions'!$B$13),'Assumptions'!$B$13+SUM(M78:M106)-SUM(AS78:AS106),"")</f>
        <v/>
      </c>
      <c r="AZ106" s="137">
        <f>IF(ISNUMBER('Assumptions'!$B$14),'Assumptions'!$B$14+-SUM(AF78:AF106),"")</f>
        <v/>
      </c>
      <c r="BA106" s="137">
        <f>IF(ISNUMBER('Assumptions'!$B$15),'Assumptions'!$B$15+SUM(O78:O106)+SUM(P78:P106)-SUM(AR78:AR106),"")</f>
        <v/>
      </c>
      <c r="BB106" s="137">
        <f>IF(ISNUMBER('Assumptions'!$B$16),'Assumptions'!$B$16+-SUM(AC78:AC106),"")</f>
        <v/>
      </c>
      <c r="BC106" s="137">
        <f>IF(AND(ISNUMBER('Assumptions'!$B$21),ISNUMBER('Assumptions'!$B$19)),'Assumptions'!$B$21+SUM(AU78:AU106)-SUM(AG78:AG106),"")</f>
        <v/>
      </c>
      <c r="BD106" s="137">
        <f>IF(ISNUMBER('Assumptions'!$B$20),'Assumptions'!$B$20+-SUM(AI78:AI106),"")</f>
        <v/>
      </c>
      <c r="BE106" s="137">
        <f>IF(AND(ISNUMBER('Assumptions'!$B$17),COUNT(AV78:AV106)=29),'Assumptions'!$B$17+SUM(AV78:AV106),"")</f>
        <v/>
      </c>
      <c r="BF106" s="137">
        <f>IF(COUNT(AL106,AW106:AY106)=4,SUM(AL106,AW106:AY106),"")</f>
        <v/>
      </c>
      <c r="BG106" s="137">
        <f>IF(COUNT(AZ106:BD106)=5,SUM(AZ106:BD106,AA106),"")</f>
        <v/>
      </c>
      <c r="BH106" s="137">
        <f>IF(COUNT(BF106,BG106,BE106)=3,BF106-BG106-BE106,"")</f>
        <v/>
      </c>
      <c r="BI106" s="137">
        <f>SUM(W106,X106)-Z106-AA106</f>
        <v/>
      </c>
      <c r="BJ106" s="137">
        <f>8-COUNT('Assumptions'!AF58:AF65)+COUNTBLANK('NM Play'!B33:B34)+'Costs'!E44+IF(AND('Sites'!E6=1,('Sites'!F6)&lt;=36,'Sites'!G6&gt;=25),IF(ISNUMBER('Sites'!Q6),0,1)+'Capital'!I6+COUNTBLANK('Sites'!R6)+IF('Sites'!D6="NM crew",COUNTBLANK('NM Play'!B25)+1,5-COUNT('Assumptions'!AF112:AF116)),0)+IF(AND('Sites'!E7=1,('Sites'!F7+'Cases'!G8)&lt;=36,'Sites'!G7&gt;=25),IF(ISNUMBER('Sites'!Q7),0,1)+'Capital'!I7+COUNTBLANK('Sites'!R7)+IF('Sites'!D7="NM crew",COUNTBLANK('NM Play'!B25)+1,5-COUNT('Assumptions'!AF117:AF121)),0)+IF(AND('Sites'!E8*'Cases'!F8=1,('Sites'!F8+'Cases'!G8)&lt;=36,'Sites'!G8&gt;=25),IF(ISNUMBER('Sites'!Q8),0,1)+'Capital'!I8+COUNTBLANK('Sites'!R8)+IF('Sites'!D8="NM crew",COUNTBLANK('NM Play'!B25)+1,5-COUNT('Assumptions'!AF122:AF126)),0)+IF(AND('Cases'!C8&gt;0,NOT(ISNUMBER('Assumptions'!B42))),1,0)+'Responsibilities'!$B$39</f>
        <v/>
      </c>
      <c r="BK106" s="137">
        <f>'Assumptions'!$B$50+'NM Play'!$B$83+'Funding'!$F$20+SUMIFS('Production schedule'!$AN$222:$AN$329,'Production schedule'!$C$222:$C$329,29)+IF(OR('Cases'!E8&lt;0,'Cases'!E8&gt;1,'Cases'!C8&lt;0,'Cases'!D8&lt;0,ABS(SUM('Sites'!S6:S8)-1)&gt;0.0001,MIN('Capital'!F6:F8)&lt;0,MAX('Capital'!F6:F8)&gt;1,MIN(AX106,AZ106,BB106,BA106)&lt;-0.01),1,0)+'Responsibilities'!$B$40</f>
        <v/>
      </c>
      <c r="BL106" s="137">
        <f>SUMIFS('Production schedule'!$T$222:$T$329,'Production schedule'!$C$222:$C$329,29)</f>
        <v/>
      </c>
      <c r="BM106" s="137">
        <f>D106*'NM Play'!$B$38</f>
        <v/>
      </c>
      <c r="BN106" s="137">
        <f>SUMIFS('Production schedule'!$AM$222:$AM$329,'Production schedule'!$C$222:$C$329,29)</f>
        <v/>
      </c>
      <c r="BO106" s="137">
        <f>AK106-AK105-AJ106</f>
        <v/>
      </c>
      <c r="BP106" s="137">
        <f>IF(AND('Assumptions'!$B$39&gt;=0,'Assumptions'!$B$40&gt;0),-PMT('Assumptions'!$B$39/12,'Assumptions'!$B$40*12,IF('Funding'!$N$11&gt;0,'Funding'!$N$11,'Funding'!$T$11)),"")</f>
        <v/>
      </c>
      <c r="BQ106">
        <f>('Production schedule'!AJ250)*(1-'Responsibilities'!$C$6)+('Production schedule'!AJ286)*(1-'Responsibilities'!$C$7)+('Production schedule'!AJ322)*(1-'Responsibilities'!$C$8)</f>
        <v/>
      </c>
      <c r="BR106">
        <f>('Production schedule'!AI250)*(1-'Responsibilities'!$D$6)+('Production schedule'!AI286)*(1-'Responsibilities'!$D$7)+('Production schedule'!AI322)*(1-'Responsibilities'!$D$8)</f>
        <v/>
      </c>
      <c r="BS106">
        <f>('Production schedule'!E250*(IF('Sites'!D6="Annual staff",SUM('Assumptions'!AF112,'Assumptions'!AF114),0)+SUM('Assumptions'!AF113,'Assumptions'!AF115:AF116)))*(1-'Responsibilities'!$E$6)+('Production schedule'!E286*(IF('Sites'!D7="Annual staff",SUM('Assumptions'!AF117,'Assumptions'!AF119),0)+SUM('Assumptions'!AF118,'Assumptions'!AF120:AF121)))*(1-'Responsibilities'!$E$7)+('Production schedule'!E322*(IF('Sites'!D8="Annual staff",SUM('Assumptions'!AF122,'Assumptions'!AF124),0)+SUM('Assumptions'!AF123,'Assumptions'!AF125:AF126)))*(1-'Responsibilities'!$E$8)</f>
        <v/>
      </c>
      <c r="BT106">
        <f>(IF(AND('Production schedule'!E250=1,29=MAX(('Sites'!F6),25),ISNUMBER('Sites'!Q6)),'Sites'!Q6*'Assumptions'!$B$44,0))*(1-'Responsibilities'!$F$6)+(IF(AND('Production schedule'!E286=1,29=MAX(('Sites'!F7+'Cases'!G8),25),ISNUMBER('Sites'!Q7)),'Sites'!Q7*'Assumptions'!$B$44,0))*(1-'Responsibilities'!$F$7)+(IF(AND('Production schedule'!E322=1,29=MAX(('Sites'!F8+'Cases'!G8),25),ISNUMBER('Sites'!Q8)),'Sites'!Q8*'Assumptions'!$B$44,0))*(1-'Responsibilities'!$F$8)</f>
        <v/>
      </c>
      <c r="BU106">
        <f>SUM('Costs'!E36)*'Costs'!F36/12*(1-'Responsibilities'!$C$12)+SUM('Costs'!E37)*'Costs'!F37/12*(1-'Responsibilities'!$C$13)+SUM('Costs'!E38)*'Costs'!F38/12*(1-'Responsibilities'!$C$14)+SUM('Costs'!E39)*'Costs'!F39/12*(1-'Responsibilities'!$C$15)+SUM('Costs'!E40)*'Costs'!F40/12*(1-'Responsibilities'!$C$16)</f>
        <v/>
      </c>
      <c r="BV106">
        <f>('Sites'!E6*'Capital'!E6*(IF(29='Capital'!G6,'Capital'!F6,0)+IF(29='Capital'!H6,1-'Capital'!F6,0)))*(1-'Responsibilities'!$G$6)+('Sites'!E7*'Capital'!E7*(IF(29='Capital'!G7+'Cases'!G8,'Capital'!F7,0)+IF(29='Capital'!H7+'Cases'!G8,1-'Capital'!F7,0)))*(1-'Responsibilities'!$G$7)+('Sites'!E8*'Cases'!F8*'Capital'!E8*(IF(29='Capital'!G8+'Cases'!G8,'Capital'!F8,0)+IF(29='Capital'!H8+'Cases'!G8,1-'Capital'!F8,0)))*(1-'Responsibilities'!$G$8)</f>
        <v/>
      </c>
      <c r="BW106">
        <f>SUM(BQ106:BV106)</f>
        <v/>
      </c>
      <c r="BX106">
        <f>N106+BW106</f>
        <v/>
      </c>
      <c r="BY106">
        <f>BX106-(('Production schedule'!AJ250)*'Responsibilities'!$C$6+('Production schedule'!AJ286)*'Responsibilities'!$C$7+('Production schedule'!AJ322)*'Responsibilities'!$C$8+('Production schedule'!AJ250)*(1-'Responsibilities'!$C$6)+('Production schedule'!AJ286)*(1-'Responsibilities'!$C$7)+('Production schedule'!AJ322)*(1-'Responsibilities'!$C$8)+('Production schedule'!AI250)*'Responsibilities'!$D$6+('Production schedule'!AI286)*'Responsibilities'!$D$7+('Production schedule'!AI322)*'Responsibilities'!$D$8+('Production schedule'!AI250)*(1-'Responsibilities'!$D$6)+('Production schedule'!AI286)*(1-'Responsibilities'!$D$7)+('Production schedule'!AI322)*(1-'Responsibilities'!$D$8)+('Production schedule'!E250*(IF('Sites'!D6="Annual staff",SUM('Assumptions'!AF112,'Assumptions'!AF114),0)+SUM('Assumptions'!AF113,'Assumptions'!AF115:AF116)))*'Responsibilities'!$E$6+('Production schedule'!E286*(IF('Sites'!D7="Annual staff",SUM('Assumptions'!AF117,'Assumptions'!AF119),0)+SUM('Assumptions'!AF118,'Assumptions'!AF120:AF121)))*'Responsibilities'!$E$7+('Production schedule'!E322*(IF('Sites'!D8="Annual staff",SUM('Assumptions'!AF122,'Assumptions'!AF124),0)+SUM('Assumptions'!AF123,'Assumptions'!AF125:AF126)))*'Responsibilities'!$E$8+('Production schedule'!E250*(IF('Sites'!D6="Annual staff",SUM('Assumptions'!AF112,'Assumptions'!AF114),0)+SUM('Assumptions'!AF113,'Assumptions'!AF115:AF116)))*(1-'Responsibilities'!$E$6)+('Production schedule'!E286*(IF('Sites'!D7="Annual staff",SUM('Assumptions'!AF117,'Assumptions'!AF119),0)+SUM('Assumptions'!AF118,'Assumptions'!AF120:AF121)))*(1-'Responsibilities'!$E$7)+('Production schedule'!E322*(IF('Sites'!D8="Annual staff",SUM('Assumptions'!AF122,'Assumptions'!AF124),0)+SUM('Assumptions'!AF123,'Assumptions'!AF125:AF126)))*(1-'Responsibilities'!$E$8)+(IF(AND('Production schedule'!E250=1,29=MAX(('Sites'!F6),25),ISNUMBER('Sites'!Q6)),'Sites'!Q6*'Assumptions'!$B$44,0))*'Responsibilities'!$F$6+(IF(AND('Production schedule'!E286=1,29=MAX(('Sites'!F7+'Cases'!G8),25),ISNUMBER('Sites'!Q7)),'Sites'!Q7*'Assumptions'!$B$44,0))*'Responsibilities'!$F$7+(IF(AND('Production schedule'!E322=1,29=MAX(('Sites'!F8+'Cases'!G8),25),ISNUMBER('Sites'!Q8)),'Sites'!Q8*'Assumptions'!$B$44,0))*'Responsibilities'!$F$8+(IF(AND('Production schedule'!E250=1,29=MAX(('Sites'!F6),25),ISNUMBER('Sites'!Q6)),'Sites'!Q6*'Assumptions'!$B$44,0))*(1-'Responsibilities'!$F$6)+(IF(AND('Production schedule'!E286=1,29=MAX(('Sites'!F7+'Cases'!G8),25),ISNUMBER('Sites'!Q7)),'Sites'!Q7*'Assumptions'!$B$44,0))*(1-'Responsibilities'!$F$7)+(IF(AND('Production schedule'!E322=1,29=MAX(('Sites'!F8+'Cases'!G8),25),ISNUMBER('Sites'!Q8)),'Sites'!Q8*'Assumptions'!$B$44,0))*(1-'Responsibilities'!$F$8)+('Sites'!E6*'Capital'!E6*(IF(29='Capital'!G6,'Capital'!F6,0)+IF(29='Capital'!H6,1-'Capital'!F6,0)))*'Responsibilities'!$G$6+('Sites'!E7*'Capital'!E7*(IF(29='Capital'!G7+'Cases'!G8,'Capital'!F7,0)+IF(29='Capital'!H7+'Cases'!G8,1-'Capital'!F7,0)))*'Responsibilities'!$G$7+('Sites'!E8*'Cases'!F8*'Capital'!E8*(IF(29='Capital'!G8+'Cases'!G8,'Capital'!F8,0)+IF(29='Capital'!H8+'Cases'!G8,1-'Capital'!F8,0)))*'Responsibilities'!$G$8+('Sites'!E6*'Capital'!E6*(IF(29='Capital'!G6,'Capital'!F6,0)+IF(29='Capital'!H6,1-'Capital'!F6,0)))*(1-'Responsibilities'!$G$6)+('Sites'!E7*'Capital'!E7*(IF(29='Capital'!G7+'Cases'!G8,'Capital'!F7,0)+IF(29='Capital'!H7+'Cases'!G8,1-'Capital'!F7,0)))*(1-'Responsibilities'!$G$7)+('Sites'!E8*'Cases'!F8*'Capital'!E8*(IF(29='Capital'!G8+'Cases'!G8,'Capital'!F8,0)+IF(29='Capital'!H8+'Cases'!G8,1-'Capital'!F8,0)))*(1-'Responsibilities'!$G$8)+I106+SUMPRODUCT('Costs'!$E$36:$E$40,'Costs'!$F$36:$F$40)/12+BZ106)</f>
        <v/>
      </c>
      <c r="BZ106">
        <f>SUMIFS('Responsibilities'!$B$31:$B$35,'Responsibilities'!$C$31:$C$35,29,'Responsibilities'!$D$31:$D$35,"Yes")</f>
        <v/>
      </c>
    </row>
    <row r="107" ht="28" customHeight="1">
      <c r="A107" s="4" t="inlineStr">
        <is>
          <t>No QBE</t>
        </is>
      </c>
      <c r="B107" s="4" t="n">
        <v>30</v>
      </c>
      <c r="C107" s="4">
        <f>ROUNDUP(B107/12,0)</f>
        <v/>
      </c>
      <c r="D107" s="137">
        <f>SUMIFS('Production schedule'!$N$222:$N$329,'Production schedule'!$C$222:$C$329,30)</f>
        <v/>
      </c>
      <c r="E107" s="137">
        <f>SUMIFS('Production schedule'!$Y$222:$Y$329,'Production schedule'!$C$222:$C$329,30)</f>
        <v/>
      </c>
      <c r="F107" s="137">
        <f>SUMIFS('Production schedule'!$Z$222:$Z$329,'Production schedule'!$C$222:$C$329,30)</f>
        <v/>
      </c>
      <c r="G107" s="137">
        <f>('Production schedule'!AJ251)*'Responsibilities'!$C$6+('Production schedule'!AJ287)*'Responsibilities'!$C$7+('Production schedule'!AJ323)*'Responsibilities'!$C$8</f>
        <v/>
      </c>
      <c r="H107" s="137">
        <f>('Production schedule'!AI251)*'Responsibilities'!$D$6+('Production schedule'!AI287)*'Responsibilities'!$D$7+('Production schedule'!AI323)*'Responsibilities'!$D$8</f>
        <v/>
      </c>
      <c r="I107" s="137">
        <f>SUM('Assumptions'!AG58:AG65)</f>
        <v/>
      </c>
      <c r="J107" s="137">
        <f>('Production schedule'!E251*(IF('Sites'!D6="Annual staff",SUM('Assumptions'!AG112,'Assumptions'!AG114),0)+SUM('Assumptions'!AG113,'Assumptions'!AG115:AG116)))*'Responsibilities'!$E$6+('Production schedule'!E287*(IF('Sites'!D7="Annual staff",SUM('Assumptions'!AG117,'Assumptions'!AG119),0)+SUM('Assumptions'!AG118,'Assumptions'!AG120:AG121)))*'Responsibilities'!$E$7+('Production schedule'!E323*(IF('Sites'!D8="Annual staff",SUM('Assumptions'!AG122,'Assumptions'!AG124),0)+SUM('Assumptions'!AG123,'Assumptions'!AG125:AG126)))*'Responsibilities'!$E$8</f>
        <v/>
      </c>
      <c r="K107" s="137">
        <f>(IF(AND('Production schedule'!E251=1,30=MAX(('Sites'!F6),25),ISNUMBER('Sites'!Q6)),'Sites'!Q6*'Assumptions'!$B$44,0))*'Responsibilities'!$F$6+(IF(AND('Production schedule'!E287=1,30=MAX(('Sites'!F7+'Cases'!G8),25),ISNUMBER('Sites'!Q7)),'Sites'!Q7*'Assumptions'!$B$44,0))*'Responsibilities'!$F$7+(IF(AND('Production schedule'!E323=1,30=MAX(('Sites'!F8+'Cases'!G8),25),ISNUMBER('Sites'!Q8)),'Sites'!Q8*'Assumptions'!$B$44,0))*'Responsibilities'!$F$8</f>
        <v/>
      </c>
      <c r="L107" s="137">
        <f>SUM('Costs'!E36)*'Costs'!F36/12*'Responsibilities'!$C$12+SUM('Costs'!E37)*'Costs'!F37/12*'Responsibilities'!$C$13+SUM('Costs'!E38)*'Costs'!F38/12*'Responsibilities'!$C$14+SUM('Costs'!E39)*'Costs'!F39/12*'Responsibilities'!$C$15+SUM('Costs'!E40)*'Costs'!F40/12*'Responsibilities'!$C$16+BZ107</f>
        <v/>
      </c>
      <c r="M107" s="137">
        <f>('Sites'!E6*'Capital'!E6*(IF(30='Capital'!G6,'Capital'!F6,0)+IF(30='Capital'!H6,1-'Capital'!F6,0)))*'Responsibilities'!$G$6+('Sites'!E7*'Capital'!E7*(IF(30='Capital'!G7+'Cases'!G8,'Capital'!F7,0)+IF(30='Capital'!H7+'Cases'!G8,1-'Capital'!F7,0)))*'Responsibilities'!$G$7+('Sites'!E8*'Cases'!F8*'Capital'!E8*(IF(30='Capital'!G8+'Cases'!G8,'Capital'!F8,0)+IF(30='Capital'!H8+'Cases'!G8,1-'Capital'!F8,0)))*'Responsibilities'!$G$8</f>
        <v/>
      </c>
      <c r="N107" s="137">
        <f>SUM(G107:M107)</f>
        <v/>
      </c>
      <c r="O107" s="137">
        <f>SUMIFS(FundingTranches[Secured amount],FundingTranches[Instrument],"Grant",FundingTranches[Secured month],30)</f>
        <v/>
      </c>
      <c r="P107" s="137">
        <f>SUMIFS(FundingTranches[No QBE possible],FundingTranches[Instrument],"Grant",FundingTranches[Scenario month],30-'Cases'!$D$8)</f>
        <v/>
      </c>
      <c r="Q107" s="137">
        <f>SUMIFS(FundingTranches[Secured amount],FundingTranches[Instrument],"Loan",FundingTranches[Secured month],30)</f>
        <v/>
      </c>
      <c r="R107" s="137">
        <f>SUMIFS(FundingTranches[No QBE possible],FundingTranches[Instrument],"Loan",FundingTranches[Scenario month],30-'Cases'!$D$8)</f>
        <v/>
      </c>
      <c r="S107" s="137">
        <f>IF(30&lt;='Assumptions'!$B$34,0,SUMIFS('Production schedule'!$AL$222:$AL$329,'Production schedule'!$C$222:$C$329,30-'Assumptions'!$B$34))</f>
        <v/>
      </c>
      <c r="T107" s="137">
        <f>'Assumptions'!AG70</f>
        <v/>
      </c>
      <c r="U107" s="137">
        <f>'Assumptions'!AG78</f>
        <v/>
      </c>
      <c r="V107" s="137">
        <f>SUM(O107:U107)</f>
        <v/>
      </c>
      <c r="W107" s="137">
        <f>AA106</f>
        <v/>
      </c>
      <c r="X107" s="137">
        <f>SUM(Q107:R107)</f>
        <v/>
      </c>
      <c r="Y107" s="137">
        <f>SUM(W107,X107)*'Assumptions'!$B$39/12</f>
        <v/>
      </c>
      <c r="Z107" s="137">
        <f>IF(SUM(W107,X107)&gt;0,MIN(SUM(W107,X107),MAX(0,BP107-Y107)),0)</f>
        <v/>
      </c>
      <c r="AA107" s="137">
        <f>SUM(W107,X107)-Z107</f>
        <v/>
      </c>
      <c r="AB107" s="137">
        <f>SUM(Y107:Z107)</f>
        <v/>
      </c>
      <c r="AC107" s="137">
        <f>'Assumptions'!AG72</f>
        <v/>
      </c>
      <c r="AD107" s="137">
        <f>'Assumptions'!AG73</f>
        <v/>
      </c>
      <c r="AE107" s="137">
        <f>IF(X107&gt;0,SUM('Assumptions'!$B$42),0)</f>
        <v/>
      </c>
      <c r="AF107" s="137">
        <f>'Assumptions'!AG71</f>
        <v/>
      </c>
      <c r="AG107" s="137">
        <f>'Assumptions'!AG74</f>
        <v/>
      </c>
      <c r="AH107" s="137">
        <f>'Assumptions'!AG75</f>
        <v/>
      </c>
      <c r="AI107" s="137">
        <f>'Assumptions'!AG77</f>
        <v/>
      </c>
      <c r="AJ107" s="137">
        <f>V107-N107-SUM(AB107:AI107)</f>
        <v/>
      </c>
      <c r="AK107" s="137">
        <f>SUM(AJ78:AJ107)</f>
        <v/>
      </c>
      <c r="AL107" s="137">
        <f>IF(ISNUMBER('Assumptions'!$B$10),'Assumptions'!$B$10+AK107,"")</f>
        <v/>
      </c>
      <c r="AM107" s="137">
        <f>SUM(O107,Q107,T107)-N107-SUM(AC107:AI107)+IF('Funding'!$N$11=0,AE107,0)-IF('Funding'!$N$11&gt;0,AB107,0)</f>
        <v/>
      </c>
      <c r="AN107" s="137">
        <f>SUM(AM78:AM107)</f>
        <v/>
      </c>
      <c r="AO107" s="137">
        <f>IF(ISNUMBER('Assumptions'!$B$10),'Assumptions'!$B$10+AN107,"")</f>
        <v/>
      </c>
      <c r="AP107" s="137">
        <f>('Production schedule'!AK251)*'Responsibilities'!$C$6+('Production schedule'!AK287)*'Responsibilities'!$C$7+('Production schedule'!AK323)*'Responsibilities'!$C$8</f>
        <v/>
      </c>
      <c r="AQ107" s="137">
        <f>SUMIFS('Production schedule'!$AL$222:$AL$329,'Production schedule'!$C$222:$C$329,30)</f>
        <v/>
      </c>
      <c r="AR107" s="137">
        <f>IF(ISNUMBER('Assumptions'!AG76),'Assumptions'!AG76,SUM(O107:P107))</f>
        <v/>
      </c>
      <c r="AS107" s="137">
        <f>IF(ISNUMBER('Assumptions'!$B$13),MIN('Assumptions'!$B$13/'Assumptions'!$B$18/12,MAX(0,'Assumptions'!$B$13-(30-1)*'Assumptions'!$B$13/'Assumptions'!$B$18/12)),0)+IF(AND('Sites'!E6=1,30&gt;=('Sites'!F6),30&lt;('Sites'!F6)+'Assumptions'!$B$18*12),'Capital'!E6/'Assumptions'!$B$18/12,0)+IF(AND('Sites'!E7=1,30&gt;=('Sites'!F7+'Cases'!G8),30&lt;('Sites'!F7+'Cases'!G8)+'Assumptions'!$B$18*12),'Capital'!E7/'Assumptions'!$B$18/12,0)+IF(AND('Sites'!E8*'Cases'!F8=1,30&gt;=('Sites'!F8+'Cases'!G8),30&lt;('Sites'!F8+'Cases'!G8)+'Assumptions'!$B$18*12),'Capital'!E8/'Assumptions'!$B$18/12,0)</f>
        <v/>
      </c>
      <c r="AT107" s="137">
        <f>SUM(AQ107,AR107,U107)-AP107-SUM(H107:L107)-AS107-SUM(Y107,AD107,AE107,AH107)</f>
        <v/>
      </c>
      <c r="AU107" s="137">
        <f>IF(ISNUMBER('Assumptions'!$B$19),MAX(0,SUM(AT102:AT107))*'Assumptions'!$B$19-SUM(AU102:AU106),"")</f>
        <v/>
      </c>
      <c r="AV107" s="137">
        <f>IF(ISNUMBER(AU107),AT107-AU107,"")</f>
        <v/>
      </c>
      <c r="AW107" s="137">
        <f>IF(ISNUMBER('Assumptions'!$B$11),'Assumptions'!$B$11+SUM(AQ78:AQ107)-SUM(S78:S107)-SUM(T78:T107),"")</f>
        <v/>
      </c>
      <c r="AX107" s="137">
        <f>IF(ISNUMBER('Assumptions'!$B$12),'Assumptions'!$B$12+SUM(G78:G107)-SUM(AP78:AP107),"")</f>
        <v/>
      </c>
      <c r="AY107" s="137">
        <f>IF(ISNUMBER('Assumptions'!$B$13),'Assumptions'!$B$13+SUM(M78:M107)-SUM(AS78:AS107),"")</f>
        <v/>
      </c>
      <c r="AZ107" s="137">
        <f>IF(ISNUMBER('Assumptions'!$B$14),'Assumptions'!$B$14+-SUM(AF78:AF107),"")</f>
        <v/>
      </c>
      <c r="BA107" s="137">
        <f>IF(ISNUMBER('Assumptions'!$B$15),'Assumptions'!$B$15+SUM(O78:O107)+SUM(P78:P107)-SUM(AR78:AR107),"")</f>
        <v/>
      </c>
      <c r="BB107" s="137">
        <f>IF(ISNUMBER('Assumptions'!$B$16),'Assumptions'!$B$16+-SUM(AC78:AC107),"")</f>
        <v/>
      </c>
      <c r="BC107" s="137">
        <f>IF(AND(ISNUMBER('Assumptions'!$B$21),ISNUMBER('Assumptions'!$B$19)),'Assumptions'!$B$21+SUM(AU78:AU107)-SUM(AG78:AG107),"")</f>
        <v/>
      </c>
      <c r="BD107" s="137">
        <f>IF(ISNUMBER('Assumptions'!$B$20),'Assumptions'!$B$20+-SUM(AI78:AI107),"")</f>
        <v/>
      </c>
      <c r="BE107" s="137">
        <f>IF(AND(ISNUMBER('Assumptions'!$B$17),COUNT(AV78:AV107)=30),'Assumptions'!$B$17+SUM(AV78:AV107),"")</f>
        <v/>
      </c>
      <c r="BF107" s="137">
        <f>IF(COUNT(AL107,AW107:AY107)=4,SUM(AL107,AW107:AY107),"")</f>
        <v/>
      </c>
      <c r="BG107" s="137">
        <f>IF(COUNT(AZ107:BD107)=5,SUM(AZ107:BD107,AA107),"")</f>
        <v/>
      </c>
      <c r="BH107" s="137">
        <f>IF(COUNT(BF107,BG107,BE107)=3,BF107-BG107-BE107,"")</f>
        <v/>
      </c>
      <c r="BI107" s="137">
        <f>SUM(W107,X107)-Z107-AA107</f>
        <v/>
      </c>
      <c r="BJ107" s="137">
        <f>8-COUNT('Assumptions'!AG58:AG65)+COUNTBLANK('NM Play'!B33:B34)+'Costs'!E44+IF(AND('Sites'!E6=1,('Sites'!F6)&lt;=36,'Sites'!G6&gt;=25),IF(ISNUMBER('Sites'!Q6),0,1)+'Capital'!I6+COUNTBLANK('Sites'!R6)+IF('Sites'!D6="NM crew",COUNTBLANK('NM Play'!B25)+1,5-COUNT('Assumptions'!AG112:AG116)),0)+IF(AND('Sites'!E7=1,('Sites'!F7+'Cases'!G8)&lt;=36,'Sites'!G7&gt;=25),IF(ISNUMBER('Sites'!Q7),0,1)+'Capital'!I7+COUNTBLANK('Sites'!R7)+IF('Sites'!D7="NM crew",COUNTBLANK('NM Play'!B25)+1,5-COUNT('Assumptions'!AG117:AG121)),0)+IF(AND('Sites'!E8*'Cases'!F8=1,('Sites'!F8+'Cases'!G8)&lt;=36,'Sites'!G8&gt;=25),IF(ISNUMBER('Sites'!Q8),0,1)+'Capital'!I8+COUNTBLANK('Sites'!R8)+IF('Sites'!D8="NM crew",COUNTBLANK('NM Play'!B25)+1,5-COUNT('Assumptions'!AG122:AG126)),0)+IF(AND('Cases'!C8&gt;0,NOT(ISNUMBER('Assumptions'!B42))),1,0)+'Responsibilities'!$B$39</f>
        <v/>
      </c>
      <c r="BK107" s="137">
        <f>'Assumptions'!$B$50+'NM Play'!$B$83+'Funding'!$F$20+SUMIFS('Production schedule'!$AN$222:$AN$329,'Production schedule'!$C$222:$C$329,30)+IF(OR('Cases'!E8&lt;0,'Cases'!E8&gt;1,'Cases'!C8&lt;0,'Cases'!D8&lt;0,ABS(SUM('Sites'!S6:S8)-1)&gt;0.0001,MIN('Capital'!F6:F8)&lt;0,MAX('Capital'!F6:F8)&gt;1,MIN(AX107,AZ107,BB107,BA107)&lt;-0.01),1,0)+'Responsibilities'!$B$40</f>
        <v/>
      </c>
      <c r="BL107" s="137">
        <f>SUMIFS('Production schedule'!$T$222:$T$329,'Production schedule'!$C$222:$C$329,30)</f>
        <v/>
      </c>
      <c r="BM107" s="137">
        <f>D107*'NM Play'!$B$38</f>
        <v/>
      </c>
      <c r="BN107" s="137">
        <f>SUMIFS('Production schedule'!$AM$222:$AM$329,'Production schedule'!$C$222:$C$329,30)</f>
        <v/>
      </c>
      <c r="BO107" s="137">
        <f>AK107-AK106-AJ107</f>
        <v/>
      </c>
      <c r="BP107" s="137">
        <f>IF(AND('Assumptions'!$B$39&gt;=0,'Assumptions'!$B$40&gt;0),-PMT('Assumptions'!$B$39/12,'Assumptions'!$B$40*12,IF('Funding'!$N$11&gt;0,'Funding'!$N$11,'Funding'!$T$11)),"")</f>
        <v/>
      </c>
      <c r="BQ107">
        <f>('Production schedule'!AJ251)*(1-'Responsibilities'!$C$6)+('Production schedule'!AJ287)*(1-'Responsibilities'!$C$7)+('Production schedule'!AJ323)*(1-'Responsibilities'!$C$8)</f>
        <v/>
      </c>
      <c r="BR107">
        <f>('Production schedule'!AI251)*(1-'Responsibilities'!$D$6)+('Production schedule'!AI287)*(1-'Responsibilities'!$D$7)+('Production schedule'!AI323)*(1-'Responsibilities'!$D$8)</f>
        <v/>
      </c>
      <c r="BS107">
        <f>('Production schedule'!E251*(IF('Sites'!D6="Annual staff",SUM('Assumptions'!AG112,'Assumptions'!AG114),0)+SUM('Assumptions'!AG113,'Assumptions'!AG115:AG116)))*(1-'Responsibilities'!$E$6)+('Production schedule'!E287*(IF('Sites'!D7="Annual staff",SUM('Assumptions'!AG117,'Assumptions'!AG119),0)+SUM('Assumptions'!AG118,'Assumptions'!AG120:AG121)))*(1-'Responsibilities'!$E$7)+('Production schedule'!E323*(IF('Sites'!D8="Annual staff",SUM('Assumptions'!AG122,'Assumptions'!AG124),0)+SUM('Assumptions'!AG123,'Assumptions'!AG125:AG126)))*(1-'Responsibilities'!$E$8)</f>
        <v/>
      </c>
      <c r="BT107">
        <f>(IF(AND('Production schedule'!E251=1,30=MAX(('Sites'!F6),25),ISNUMBER('Sites'!Q6)),'Sites'!Q6*'Assumptions'!$B$44,0))*(1-'Responsibilities'!$F$6)+(IF(AND('Production schedule'!E287=1,30=MAX(('Sites'!F7+'Cases'!G8),25),ISNUMBER('Sites'!Q7)),'Sites'!Q7*'Assumptions'!$B$44,0))*(1-'Responsibilities'!$F$7)+(IF(AND('Production schedule'!E323=1,30=MAX(('Sites'!F8+'Cases'!G8),25),ISNUMBER('Sites'!Q8)),'Sites'!Q8*'Assumptions'!$B$44,0))*(1-'Responsibilities'!$F$8)</f>
        <v/>
      </c>
      <c r="BU107">
        <f>SUM('Costs'!E36)*'Costs'!F36/12*(1-'Responsibilities'!$C$12)+SUM('Costs'!E37)*'Costs'!F37/12*(1-'Responsibilities'!$C$13)+SUM('Costs'!E38)*'Costs'!F38/12*(1-'Responsibilities'!$C$14)+SUM('Costs'!E39)*'Costs'!F39/12*(1-'Responsibilities'!$C$15)+SUM('Costs'!E40)*'Costs'!F40/12*(1-'Responsibilities'!$C$16)</f>
        <v/>
      </c>
      <c r="BV107">
        <f>('Sites'!E6*'Capital'!E6*(IF(30='Capital'!G6,'Capital'!F6,0)+IF(30='Capital'!H6,1-'Capital'!F6,0)))*(1-'Responsibilities'!$G$6)+('Sites'!E7*'Capital'!E7*(IF(30='Capital'!G7+'Cases'!G8,'Capital'!F7,0)+IF(30='Capital'!H7+'Cases'!G8,1-'Capital'!F7,0)))*(1-'Responsibilities'!$G$7)+('Sites'!E8*'Cases'!F8*'Capital'!E8*(IF(30='Capital'!G8+'Cases'!G8,'Capital'!F8,0)+IF(30='Capital'!H8+'Cases'!G8,1-'Capital'!F8,0)))*(1-'Responsibilities'!$G$8)</f>
        <v/>
      </c>
      <c r="BW107">
        <f>SUM(BQ107:BV107)</f>
        <v/>
      </c>
      <c r="BX107">
        <f>N107+BW107</f>
        <v/>
      </c>
      <c r="BY107">
        <f>BX107-(('Production schedule'!AJ251)*'Responsibilities'!$C$6+('Production schedule'!AJ287)*'Responsibilities'!$C$7+('Production schedule'!AJ323)*'Responsibilities'!$C$8+('Production schedule'!AJ251)*(1-'Responsibilities'!$C$6)+('Production schedule'!AJ287)*(1-'Responsibilities'!$C$7)+('Production schedule'!AJ323)*(1-'Responsibilities'!$C$8)+('Production schedule'!AI251)*'Responsibilities'!$D$6+('Production schedule'!AI287)*'Responsibilities'!$D$7+('Production schedule'!AI323)*'Responsibilities'!$D$8+('Production schedule'!AI251)*(1-'Responsibilities'!$D$6)+('Production schedule'!AI287)*(1-'Responsibilities'!$D$7)+('Production schedule'!AI323)*(1-'Responsibilities'!$D$8)+('Production schedule'!E251*(IF('Sites'!D6="Annual staff",SUM('Assumptions'!AG112,'Assumptions'!AG114),0)+SUM('Assumptions'!AG113,'Assumptions'!AG115:AG116)))*'Responsibilities'!$E$6+('Production schedule'!E287*(IF('Sites'!D7="Annual staff",SUM('Assumptions'!AG117,'Assumptions'!AG119),0)+SUM('Assumptions'!AG118,'Assumptions'!AG120:AG121)))*'Responsibilities'!$E$7+('Production schedule'!E323*(IF('Sites'!D8="Annual staff",SUM('Assumptions'!AG122,'Assumptions'!AG124),0)+SUM('Assumptions'!AG123,'Assumptions'!AG125:AG126)))*'Responsibilities'!$E$8+('Production schedule'!E251*(IF('Sites'!D6="Annual staff",SUM('Assumptions'!AG112,'Assumptions'!AG114),0)+SUM('Assumptions'!AG113,'Assumptions'!AG115:AG116)))*(1-'Responsibilities'!$E$6)+('Production schedule'!E287*(IF('Sites'!D7="Annual staff",SUM('Assumptions'!AG117,'Assumptions'!AG119),0)+SUM('Assumptions'!AG118,'Assumptions'!AG120:AG121)))*(1-'Responsibilities'!$E$7)+('Production schedule'!E323*(IF('Sites'!D8="Annual staff",SUM('Assumptions'!AG122,'Assumptions'!AG124),0)+SUM('Assumptions'!AG123,'Assumptions'!AG125:AG126)))*(1-'Responsibilities'!$E$8)+(IF(AND('Production schedule'!E251=1,30=MAX(('Sites'!F6),25),ISNUMBER('Sites'!Q6)),'Sites'!Q6*'Assumptions'!$B$44,0))*'Responsibilities'!$F$6+(IF(AND('Production schedule'!E287=1,30=MAX(('Sites'!F7+'Cases'!G8),25),ISNUMBER('Sites'!Q7)),'Sites'!Q7*'Assumptions'!$B$44,0))*'Responsibilities'!$F$7+(IF(AND('Production schedule'!E323=1,30=MAX(('Sites'!F8+'Cases'!G8),25),ISNUMBER('Sites'!Q8)),'Sites'!Q8*'Assumptions'!$B$44,0))*'Responsibilities'!$F$8+(IF(AND('Production schedule'!E251=1,30=MAX(('Sites'!F6),25),ISNUMBER('Sites'!Q6)),'Sites'!Q6*'Assumptions'!$B$44,0))*(1-'Responsibilities'!$F$6)+(IF(AND('Production schedule'!E287=1,30=MAX(('Sites'!F7+'Cases'!G8),25),ISNUMBER('Sites'!Q7)),'Sites'!Q7*'Assumptions'!$B$44,0))*(1-'Responsibilities'!$F$7)+(IF(AND('Production schedule'!E323=1,30=MAX(('Sites'!F8+'Cases'!G8),25),ISNUMBER('Sites'!Q8)),'Sites'!Q8*'Assumptions'!$B$44,0))*(1-'Responsibilities'!$F$8)+('Sites'!E6*'Capital'!E6*(IF(30='Capital'!G6,'Capital'!F6,0)+IF(30='Capital'!H6,1-'Capital'!F6,0)))*'Responsibilities'!$G$6+('Sites'!E7*'Capital'!E7*(IF(30='Capital'!G7+'Cases'!G8,'Capital'!F7,0)+IF(30='Capital'!H7+'Cases'!G8,1-'Capital'!F7,0)))*'Responsibilities'!$G$7+('Sites'!E8*'Cases'!F8*'Capital'!E8*(IF(30='Capital'!G8+'Cases'!G8,'Capital'!F8,0)+IF(30='Capital'!H8+'Cases'!G8,1-'Capital'!F8,0)))*'Responsibilities'!$G$8+('Sites'!E6*'Capital'!E6*(IF(30='Capital'!G6,'Capital'!F6,0)+IF(30='Capital'!H6,1-'Capital'!F6,0)))*(1-'Responsibilities'!$G$6)+('Sites'!E7*'Capital'!E7*(IF(30='Capital'!G7+'Cases'!G8,'Capital'!F7,0)+IF(30='Capital'!H7+'Cases'!G8,1-'Capital'!F7,0)))*(1-'Responsibilities'!$G$7)+('Sites'!E8*'Cases'!F8*'Capital'!E8*(IF(30='Capital'!G8+'Cases'!G8,'Capital'!F8,0)+IF(30='Capital'!H8+'Cases'!G8,1-'Capital'!F8,0)))*(1-'Responsibilities'!$G$8)+I107+SUMPRODUCT('Costs'!$E$36:$E$40,'Costs'!$F$36:$F$40)/12+BZ107)</f>
        <v/>
      </c>
      <c r="BZ107">
        <f>SUMIFS('Responsibilities'!$B$31:$B$35,'Responsibilities'!$C$31:$C$35,30,'Responsibilities'!$D$31:$D$35,"Yes")</f>
        <v/>
      </c>
    </row>
    <row r="108" ht="28" customHeight="1">
      <c r="A108" s="4" t="inlineStr">
        <is>
          <t>No QBE</t>
        </is>
      </c>
      <c r="B108" s="4" t="n">
        <v>31</v>
      </c>
      <c r="C108" s="4">
        <f>ROUNDUP(B108/12,0)</f>
        <v/>
      </c>
      <c r="D108" s="137">
        <f>SUMIFS('Production schedule'!$N$222:$N$329,'Production schedule'!$C$222:$C$329,31)</f>
        <v/>
      </c>
      <c r="E108" s="137">
        <f>SUMIFS('Production schedule'!$Y$222:$Y$329,'Production schedule'!$C$222:$C$329,31)</f>
        <v/>
      </c>
      <c r="F108" s="137">
        <f>SUMIFS('Production schedule'!$Z$222:$Z$329,'Production schedule'!$C$222:$C$329,31)</f>
        <v/>
      </c>
      <c r="G108" s="137">
        <f>('Production schedule'!AJ252)*'Responsibilities'!$C$6+('Production schedule'!AJ288)*'Responsibilities'!$C$7+('Production schedule'!AJ324)*'Responsibilities'!$C$8</f>
        <v/>
      </c>
      <c r="H108" s="137">
        <f>('Production schedule'!AI252)*'Responsibilities'!$D$6+('Production schedule'!AI288)*'Responsibilities'!$D$7+('Production schedule'!AI324)*'Responsibilities'!$D$8</f>
        <v/>
      </c>
      <c r="I108" s="137">
        <f>SUM('Assumptions'!AH58:AH65)</f>
        <v/>
      </c>
      <c r="J108" s="137">
        <f>('Production schedule'!E252*(IF('Sites'!D6="Annual staff",SUM('Assumptions'!AH112,'Assumptions'!AH114),0)+SUM('Assumptions'!AH113,'Assumptions'!AH115:AH116)))*'Responsibilities'!$E$6+('Production schedule'!E288*(IF('Sites'!D7="Annual staff",SUM('Assumptions'!AH117,'Assumptions'!AH119),0)+SUM('Assumptions'!AH118,'Assumptions'!AH120:AH121)))*'Responsibilities'!$E$7+('Production schedule'!E324*(IF('Sites'!D8="Annual staff",SUM('Assumptions'!AH122,'Assumptions'!AH124),0)+SUM('Assumptions'!AH123,'Assumptions'!AH125:AH126)))*'Responsibilities'!$E$8</f>
        <v/>
      </c>
      <c r="K108" s="137">
        <f>(IF(AND('Production schedule'!E252=1,31=MAX(('Sites'!F6),25),ISNUMBER('Sites'!Q6)),'Sites'!Q6*'Assumptions'!$B$44,0))*'Responsibilities'!$F$6+(IF(AND('Production schedule'!E288=1,31=MAX(('Sites'!F7+'Cases'!G8),25),ISNUMBER('Sites'!Q7)),'Sites'!Q7*'Assumptions'!$B$44,0))*'Responsibilities'!$F$7+(IF(AND('Production schedule'!E324=1,31=MAX(('Sites'!F8+'Cases'!G8),25),ISNUMBER('Sites'!Q8)),'Sites'!Q8*'Assumptions'!$B$44,0))*'Responsibilities'!$F$8</f>
        <v/>
      </c>
      <c r="L108" s="137">
        <f>SUM('Costs'!E36)*'Costs'!F36/12*'Responsibilities'!$C$12+SUM('Costs'!E37)*'Costs'!F37/12*'Responsibilities'!$C$13+SUM('Costs'!E38)*'Costs'!F38/12*'Responsibilities'!$C$14+SUM('Costs'!E39)*'Costs'!F39/12*'Responsibilities'!$C$15+SUM('Costs'!E40)*'Costs'!F40/12*'Responsibilities'!$C$16+BZ108</f>
        <v/>
      </c>
      <c r="M108" s="137">
        <f>('Sites'!E6*'Capital'!E6*(IF(31='Capital'!G6,'Capital'!F6,0)+IF(31='Capital'!H6,1-'Capital'!F6,0)))*'Responsibilities'!$G$6+('Sites'!E7*'Capital'!E7*(IF(31='Capital'!G7+'Cases'!G8,'Capital'!F7,0)+IF(31='Capital'!H7+'Cases'!G8,1-'Capital'!F7,0)))*'Responsibilities'!$G$7+('Sites'!E8*'Cases'!F8*'Capital'!E8*(IF(31='Capital'!G8+'Cases'!G8,'Capital'!F8,0)+IF(31='Capital'!H8+'Cases'!G8,1-'Capital'!F8,0)))*'Responsibilities'!$G$8</f>
        <v/>
      </c>
      <c r="N108" s="137">
        <f>SUM(G108:M108)</f>
        <v/>
      </c>
      <c r="O108" s="137">
        <f>SUMIFS(FundingTranches[Secured amount],FundingTranches[Instrument],"Grant",FundingTranches[Secured month],31)</f>
        <v/>
      </c>
      <c r="P108" s="137">
        <f>SUMIFS(FundingTranches[No QBE possible],FundingTranches[Instrument],"Grant",FundingTranches[Scenario month],31-'Cases'!$D$8)</f>
        <v/>
      </c>
      <c r="Q108" s="137">
        <f>SUMIFS(FundingTranches[Secured amount],FundingTranches[Instrument],"Loan",FundingTranches[Secured month],31)</f>
        <v/>
      </c>
      <c r="R108" s="137">
        <f>SUMIFS(FundingTranches[No QBE possible],FundingTranches[Instrument],"Loan",FundingTranches[Scenario month],31-'Cases'!$D$8)</f>
        <v/>
      </c>
      <c r="S108" s="137">
        <f>IF(31&lt;='Assumptions'!$B$34,0,SUMIFS('Production schedule'!$AL$222:$AL$329,'Production schedule'!$C$222:$C$329,31-'Assumptions'!$B$34))</f>
        <v/>
      </c>
      <c r="T108" s="137">
        <f>'Assumptions'!AH70</f>
        <v/>
      </c>
      <c r="U108" s="137">
        <f>'Assumptions'!AH78</f>
        <v/>
      </c>
      <c r="V108" s="137">
        <f>SUM(O108:U108)</f>
        <v/>
      </c>
      <c r="W108" s="137">
        <f>AA107</f>
        <v/>
      </c>
      <c r="X108" s="137">
        <f>SUM(Q108:R108)</f>
        <v/>
      </c>
      <c r="Y108" s="137">
        <f>SUM(W108,X108)*'Assumptions'!$B$39/12</f>
        <v/>
      </c>
      <c r="Z108" s="137">
        <f>IF(SUM(W108,X108)&gt;0,MIN(SUM(W108,X108),MAX(0,BP108-Y108)),0)</f>
        <v/>
      </c>
      <c r="AA108" s="137">
        <f>SUM(W108,X108)-Z108</f>
        <v/>
      </c>
      <c r="AB108" s="137">
        <f>SUM(Y108:Z108)</f>
        <v/>
      </c>
      <c r="AC108" s="137">
        <f>'Assumptions'!AH72</f>
        <v/>
      </c>
      <c r="AD108" s="137">
        <f>'Assumptions'!AH73</f>
        <v/>
      </c>
      <c r="AE108" s="137">
        <f>IF(X108&gt;0,SUM('Assumptions'!$B$42),0)</f>
        <v/>
      </c>
      <c r="AF108" s="137">
        <f>'Assumptions'!AH71</f>
        <v/>
      </c>
      <c r="AG108" s="137">
        <f>'Assumptions'!AH74</f>
        <v/>
      </c>
      <c r="AH108" s="137">
        <f>'Assumptions'!AH75</f>
        <v/>
      </c>
      <c r="AI108" s="137">
        <f>'Assumptions'!AH77</f>
        <v/>
      </c>
      <c r="AJ108" s="137">
        <f>V108-N108-SUM(AB108:AI108)</f>
        <v/>
      </c>
      <c r="AK108" s="137">
        <f>SUM(AJ78:AJ108)</f>
        <v/>
      </c>
      <c r="AL108" s="137">
        <f>IF(ISNUMBER('Assumptions'!$B$10),'Assumptions'!$B$10+AK108,"")</f>
        <v/>
      </c>
      <c r="AM108" s="137">
        <f>SUM(O108,Q108,T108)-N108-SUM(AC108:AI108)+IF('Funding'!$N$11=0,AE108,0)-IF('Funding'!$N$11&gt;0,AB108,0)</f>
        <v/>
      </c>
      <c r="AN108" s="137">
        <f>SUM(AM78:AM108)</f>
        <v/>
      </c>
      <c r="AO108" s="137">
        <f>IF(ISNUMBER('Assumptions'!$B$10),'Assumptions'!$B$10+AN108,"")</f>
        <v/>
      </c>
      <c r="AP108" s="137">
        <f>('Production schedule'!AK252)*'Responsibilities'!$C$6+('Production schedule'!AK288)*'Responsibilities'!$C$7+('Production schedule'!AK324)*'Responsibilities'!$C$8</f>
        <v/>
      </c>
      <c r="AQ108" s="137">
        <f>SUMIFS('Production schedule'!$AL$222:$AL$329,'Production schedule'!$C$222:$C$329,31)</f>
        <v/>
      </c>
      <c r="AR108" s="137">
        <f>IF(ISNUMBER('Assumptions'!AH76),'Assumptions'!AH76,SUM(O108:P108))</f>
        <v/>
      </c>
      <c r="AS108" s="137">
        <f>IF(ISNUMBER('Assumptions'!$B$13),MIN('Assumptions'!$B$13/'Assumptions'!$B$18/12,MAX(0,'Assumptions'!$B$13-(31-1)*'Assumptions'!$B$13/'Assumptions'!$B$18/12)),0)+IF(AND('Sites'!E6=1,31&gt;=('Sites'!F6),31&lt;('Sites'!F6)+'Assumptions'!$B$18*12),'Capital'!E6/'Assumptions'!$B$18/12,0)+IF(AND('Sites'!E7=1,31&gt;=('Sites'!F7+'Cases'!G8),31&lt;('Sites'!F7+'Cases'!G8)+'Assumptions'!$B$18*12),'Capital'!E7/'Assumptions'!$B$18/12,0)+IF(AND('Sites'!E8*'Cases'!F8=1,31&gt;=('Sites'!F8+'Cases'!G8),31&lt;('Sites'!F8+'Cases'!G8)+'Assumptions'!$B$18*12),'Capital'!E8/'Assumptions'!$B$18/12,0)</f>
        <v/>
      </c>
      <c r="AT108" s="137">
        <f>SUM(AQ108,AR108,U108)-AP108-SUM(H108:L108)-AS108-SUM(Y108,AD108,AE108,AH108)</f>
        <v/>
      </c>
      <c r="AU108" s="137">
        <f>IF(ISNUMBER('Assumptions'!$B$19),MAX(0,SUM(AT102:AT108))*'Assumptions'!$B$19-SUM(AU102:AU107),"")</f>
        <v/>
      </c>
      <c r="AV108" s="137">
        <f>IF(ISNUMBER(AU108),AT108-AU108,"")</f>
        <v/>
      </c>
      <c r="AW108" s="137">
        <f>IF(ISNUMBER('Assumptions'!$B$11),'Assumptions'!$B$11+SUM(AQ78:AQ108)-SUM(S78:S108)-SUM(T78:T108),"")</f>
        <v/>
      </c>
      <c r="AX108" s="137">
        <f>IF(ISNUMBER('Assumptions'!$B$12),'Assumptions'!$B$12+SUM(G78:G108)-SUM(AP78:AP108),"")</f>
        <v/>
      </c>
      <c r="AY108" s="137">
        <f>IF(ISNUMBER('Assumptions'!$B$13),'Assumptions'!$B$13+SUM(M78:M108)-SUM(AS78:AS108),"")</f>
        <v/>
      </c>
      <c r="AZ108" s="137">
        <f>IF(ISNUMBER('Assumptions'!$B$14),'Assumptions'!$B$14+-SUM(AF78:AF108),"")</f>
        <v/>
      </c>
      <c r="BA108" s="137">
        <f>IF(ISNUMBER('Assumptions'!$B$15),'Assumptions'!$B$15+SUM(O78:O108)+SUM(P78:P108)-SUM(AR78:AR108),"")</f>
        <v/>
      </c>
      <c r="BB108" s="137">
        <f>IF(ISNUMBER('Assumptions'!$B$16),'Assumptions'!$B$16+-SUM(AC78:AC108),"")</f>
        <v/>
      </c>
      <c r="BC108" s="137">
        <f>IF(AND(ISNUMBER('Assumptions'!$B$21),ISNUMBER('Assumptions'!$B$19)),'Assumptions'!$B$21+SUM(AU78:AU108)-SUM(AG78:AG108),"")</f>
        <v/>
      </c>
      <c r="BD108" s="137">
        <f>IF(ISNUMBER('Assumptions'!$B$20),'Assumptions'!$B$20+-SUM(AI78:AI108),"")</f>
        <v/>
      </c>
      <c r="BE108" s="137">
        <f>IF(AND(ISNUMBER('Assumptions'!$B$17),COUNT(AV78:AV108)=31),'Assumptions'!$B$17+SUM(AV78:AV108),"")</f>
        <v/>
      </c>
      <c r="BF108" s="137">
        <f>IF(COUNT(AL108,AW108:AY108)=4,SUM(AL108,AW108:AY108),"")</f>
        <v/>
      </c>
      <c r="BG108" s="137">
        <f>IF(COUNT(AZ108:BD108)=5,SUM(AZ108:BD108,AA108),"")</f>
        <v/>
      </c>
      <c r="BH108" s="137">
        <f>IF(COUNT(BF108,BG108,BE108)=3,BF108-BG108-BE108,"")</f>
        <v/>
      </c>
      <c r="BI108" s="137">
        <f>SUM(W108,X108)-Z108-AA108</f>
        <v/>
      </c>
      <c r="BJ108" s="137">
        <f>8-COUNT('Assumptions'!AH58:AH65)+COUNTBLANK('NM Play'!B33:B34)+'Costs'!E44+IF(AND('Sites'!E6=1,('Sites'!F6)&lt;=36,'Sites'!G6&gt;=25),IF(ISNUMBER('Sites'!Q6),0,1)+'Capital'!I6+COUNTBLANK('Sites'!R6)+IF('Sites'!D6="NM crew",COUNTBLANK('NM Play'!B25)+1,5-COUNT('Assumptions'!AH112:AH116)),0)+IF(AND('Sites'!E7=1,('Sites'!F7+'Cases'!G8)&lt;=36,'Sites'!G7&gt;=25),IF(ISNUMBER('Sites'!Q7),0,1)+'Capital'!I7+COUNTBLANK('Sites'!R7)+IF('Sites'!D7="NM crew",COUNTBLANK('NM Play'!B25)+1,5-COUNT('Assumptions'!AH117:AH121)),0)+IF(AND('Sites'!E8*'Cases'!F8=1,('Sites'!F8+'Cases'!G8)&lt;=36,'Sites'!G8&gt;=25),IF(ISNUMBER('Sites'!Q8),0,1)+'Capital'!I8+COUNTBLANK('Sites'!R8)+IF('Sites'!D8="NM crew",COUNTBLANK('NM Play'!B25)+1,5-COUNT('Assumptions'!AH122:AH126)),0)+IF(AND('Cases'!C8&gt;0,NOT(ISNUMBER('Assumptions'!B42))),1,0)+'Responsibilities'!$B$39</f>
        <v/>
      </c>
      <c r="BK108" s="137">
        <f>'Assumptions'!$B$50+'NM Play'!$B$83+'Funding'!$F$20+SUMIFS('Production schedule'!$AN$222:$AN$329,'Production schedule'!$C$222:$C$329,31)+IF(OR('Cases'!E8&lt;0,'Cases'!E8&gt;1,'Cases'!C8&lt;0,'Cases'!D8&lt;0,ABS(SUM('Sites'!S6:S8)-1)&gt;0.0001,MIN('Capital'!F6:F8)&lt;0,MAX('Capital'!F6:F8)&gt;1,MIN(AX108,AZ108,BB108,BA108)&lt;-0.01),1,0)+'Responsibilities'!$B$40</f>
        <v/>
      </c>
      <c r="BL108" s="137">
        <f>SUMIFS('Production schedule'!$T$222:$T$329,'Production schedule'!$C$222:$C$329,31)</f>
        <v/>
      </c>
      <c r="BM108" s="137">
        <f>D108*'NM Play'!$B$38</f>
        <v/>
      </c>
      <c r="BN108" s="137">
        <f>SUMIFS('Production schedule'!$AM$222:$AM$329,'Production schedule'!$C$222:$C$329,31)</f>
        <v/>
      </c>
      <c r="BO108" s="137">
        <f>AK108-AK107-AJ108</f>
        <v/>
      </c>
      <c r="BP108" s="137">
        <f>IF(AND('Assumptions'!$B$39&gt;=0,'Assumptions'!$B$40&gt;0),-PMT('Assumptions'!$B$39/12,'Assumptions'!$B$40*12,IF('Funding'!$N$11&gt;0,'Funding'!$N$11,'Funding'!$T$11)),"")</f>
        <v/>
      </c>
      <c r="BQ108">
        <f>('Production schedule'!AJ252)*(1-'Responsibilities'!$C$6)+('Production schedule'!AJ288)*(1-'Responsibilities'!$C$7)+('Production schedule'!AJ324)*(1-'Responsibilities'!$C$8)</f>
        <v/>
      </c>
      <c r="BR108">
        <f>('Production schedule'!AI252)*(1-'Responsibilities'!$D$6)+('Production schedule'!AI288)*(1-'Responsibilities'!$D$7)+('Production schedule'!AI324)*(1-'Responsibilities'!$D$8)</f>
        <v/>
      </c>
      <c r="BS108">
        <f>('Production schedule'!E252*(IF('Sites'!D6="Annual staff",SUM('Assumptions'!AH112,'Assumptions'!AH114),0)+SUM('Assumptions'!AH113,'Assumptions'!AH115:AH116)))*(1-'Responsibilities'!$E$6)+('Production schedule'!E288*(IF('Sites'!D7="Annual staff",SUM('Assumptions'!AH117,'Assumptions'!AH119),0)+SUM('Assumptions'!AH118,'Assumptions'!AH120:AH121)))*(1-'Responsibilities'!$E$7)+('Production schedule'!E324*(IF('Sites'!D8="Annual staff",SUM('Assumptions'!AH122,'Assumptions'!AH124),0)+SUM('Assumptions'!AH123,'Assumptions'!AH125:AH126)))*(1-'Responsibilities'!$E$8)</f>
        <v/>
      </c>
      <c r="BT108">
        <f>(IF(AND('Production schedule'!E252=1,31=MAX(('Sites'!F6),25),ISNUMBER('Sites'!Q6)),'Sites'!Q6*'Assumptions'!$B$44,0))*(1-'Responsibilities'!$F$6)+(IF(AND('Production schedule'!E288=1,31=MAX(('Sites'!F7+'Cases'!G8),25),ISNUMBER('Sites'!Q7)),'Sites'!Q7*'Assumptions'!$B$44,0))*(1-'Responsibilities'!$F$7)+(IF(AND('Production schedule'!E324=1,31=MAX(('Sites'!F8+'Cases'!G8),25),ISNUMBER('Sites'!Q8)),'Sites'!Q8*'Assumptions'!$B$44,0))*(1-'Responsibilities'!$F$8)</f>
        <v/>
      </c>
      <c r="BU108">
        <f>SUM('Costs'!E36)*'Costs'!F36/12*(1-'Responsibilities'!$C$12)+SUM('Costs'!E37)*'Costs'!F37/12*(1-'Responsibilities'!$C$13)+SUM('Costs'!E38)*'Costs'!F38/12*(1-'Responsibilities'!$C$14)+SUM('Costs'!E39)*'Costs'!F39/12*(1-'Responsibilities'!$C$15)+SUM('Costs'!E40)*'Costs'!F40/12*(1-'Responsibilities'!$C$16)</f>
        <v/>
      </c>
      <c r="BV108">
        <f>('Sites'!E6*'Capital'!E6*(IF(31='Capital'!G6,'Capital'!F6,0)+IF(31='Capital'!H6,1-'Capital'!F6,0)))*(1-'Responsibilities'!$G$6)+('Sites'!E7*'Capital'!E7*(IF(31='Capital'!G7+'Cases'!G8,'Capital'!F7,0)+IF(31='Capital'!H7+'Cases'!G8,1-'Capital'!F7,0)))*(1-'Responsibilities'!$G$7)+('Sites'!E8*'Cases'!F8*'Capital'!E8*(IF(31='Capital'!G8+'Cases'!G8,'Capital'!F8,0)+IF(31='Capital'!H8+'Cases'!G8,1-'Capital'!F8,0)))*(1-'Responsibilities'!$G$8)</f>
        <v/>
      </c>
      <c r="BW108">
        <f>SUM(BQ108:BV108)</f>
        <v/>
      </c>
      <c r="BX108">
        <f>N108+BW108</f>
        <v/>
      </c>
      <c r="BY108">
        <f>BX108-(('Production schedule'!AJ252)*'Responsibilities'!$C$6+('Production schedule'!AJ288)*'Responsibilities'!$C$7+('Production schedule'!AJ324)*'Responsibilities'!$C$8+('Production schedule'!AJ252)*(1-'Responsibilities'!$C$6)+('Production schedule'!AJ288)*(1-'Responsibilities'!$C$7)+('Production schedule'!AJ324)*(1-'Responsibilities'!$C$8)+('Production schedule'!AI252)*'Responsibilities'!$D$6+('Production schedule'!AI288)*'Responsibilities'!$D$7+('Production schedule'!AI324)*'Responsibilities'!$D$8+('Production schedule'!AI252)*(1-'Responsibilities'!$D$6)+('Production schedule'!AI288)*(1-'Responsibilities'!$D$7)+('Production schedule'!AI324)*(1-'Responsibilities'!$D$8)+('Production schedule'!E252*(IF('Sites'!D6="Annual staff",SUM('Assumptions'!AH112,'Assumptions'!AH114),0)+SUM('Assumptions'!AH113,'Assumptions'!AH115:AH116)))*'Responsibilities'!$E$6+('Production schedule'!E288*(IF('Sites'!D7="Annual staff",SUM('Assumptions'!AH117,'Assumptions'!AH119),0)+SUM('Assumptions'!AH118,'Assumptions'!AH120:AH121)))*'Responsibilities'!$E$7+('Production schedule'!E324*(IF('Sites'!D8="Annual staff",SUM('Assumptions'!AH122,'Assumptions'!AH124),0)+SUM('Assumptions'!AH123,'Assumptions'!AH125:AH126)))*'Responsibilities'!$E$8+('Production schedule'!E252*(IF('Sites'!D6="Annual staff",SUM('Assumptions'!AH112,'Assumptions'!AH114),0)+SUM('Assumptions'!AH113,'Assumptions'!AH115:AH116)))*(1-'Responsibilities'!$E$6)+('Production schedule'!E288*(IF('Sites'!D7="Annual staff",SUM('Assumptions'!AH117,'Assumptions'!AH119),0)+SUM('Assumptions'!AH118,'Assumptions'!AH120:AH121)))*(1-'Responsibilities'!$E$7)+('Production schedule'!E324*(IF('Sites'!D8="Annual staff",SUM('Assumptions'!AH122,'Assumptions'!AH124),0)+SUM('Assumptions'!AH123,'Assumptions'!AH125:AH126)))*(1-'Responsibilities'!$E$8)+(IF(AND('Production schedule'!E252=1,31=MAX(('Sites'!F6),25),ISNUMBER('Sites'!Q6)),'Sites'!Q6*'Assumptions'!$B$44,0))*'Responsibilities'!$F$6+(IF(AND('Production schedule'!E288=1,31=MAX(('Sites'!F7+'Cases'!G8),25),ISNUMBER('Sites'!Q7)),'Sites'!Q7*'Assumptions'!$B$44,0))*'Responsibilities'!$F$7+(IF(AND('Production schedule'!E324=1,31=MAX(('Sites'!F8+'Cases'!G8),25),ISNUMBER('Sites'!Q8)),'Sites'!Q8*'Assumptions'!$B$44,0))*'Responsibilities'!$F$8+(IF(AND('Production schedule'!E252=1,31=MAX(('Sites'!F6),25),ISNUMBER('Sites'!Q6)),'Sites'!Q6*'Assumptions'!$B$44,0))*(1-'Responsibilities'!$F$6)+(IF(AND('Production schedule'!E288=1,31=MAX(('Sites'!F7+'Cases'!G8),25),ISNUMBER('Sites'!Q7)),'Sites'!Q7*'Assumptions'!$B$44,0))*(1-'Responsibilities'!$F$7)+(IF(AND('Production schedule'!E324=1,31=MAX(('Sites'!F8+'Cases'!G8),25),ISNUMBER('Sites'!Q8)),'Sites'!Q8*'Assumptions'!$B$44,0))*(1-'Responsibilities'!$F$8)+('Sites'!E6*'Capital'!E6*(IF(31='Capital'!G6,'Capital'!F6,0)+IF(31='Capital'!H6,1-'Capital'!F6,0)))*'Responsibilities'!$G$6+('Sites'!E7*'Capital'!E7*(IF(31='Capital'!G7+'Cases'!G8,'Capital'!F7,0)+IF(31='Capital'!H7+'Cases'!G8,1-'Capital'!F7,0)))*'Responsibilities'!$G$7+('Sites'!E8*'Cases'!F8*'Capital'!E8*(IF(31='Capital'!G8+'Cases'!G8,'Capital'!F8,0)+IF(31='Capital'!H8+'Cases'!G8,1-'Capital'!F8,0)))*'Responsibilities'!$G$8+('Sites'!E6*'Capital'!E6*(IF(31='Capital'!G6,'Capital'!F6,0)+IF(31='Capital'!H6,1-'Capital'!F6,0)))*(1-'Responsibilities'!$G$6)+('Sites'!E7*'Capital'!E7*(IF(31='Capital'!G7+'Cases'!G8,'Capital'!F7,0)+IF(31='Capital'!H7+'Cases'!G8,1-'Capital'!F7,0)))*(1-'Responsibilities'!$G$7)+('Sites'!E8*'Cases'!F8*'Capital'!E8*(IF(31='Capital'!G8+'Cases'!G8,'Capital'!F8,0)+IF(31='Capital'!H8+'Cases'!G8,1-'Capital'!F8,0)))*(1-'Responsibilities'!$G$8)+I108+SUMPRODUCT('Costs'!$E$36:$E$40,'Costs'!$F$36:$F$40)/12+BZ108)</f>
        <v/>
      </c>
      <c r="BZ108">
        <f>SUMIFS('Responsibilities'!$B$31:$B$35,'Responsibilities'!$C$31:$C$35,31,'Responsibilities'!$D$31:$D$35,"Yes")</f>
        <v/>
      </c>
    </row>
    <row r="109" ht="28" customHeight="1">
      <c r="A109" s="4" t="inlineStr">
        <is>
          <t>No QBE</t>
        </is>
      </c>
      <c r="B109" s="4" t="n">
        <v>32</v>
      </c>
      <c r="C109" s="4">
        <f>ROUNDUP(B109/12,0)</f>
        <v/>
      </c>
      <c r="D109" s="137">
        <f>SUMIFS('Production schedule'!$N$222:$N$329,'Production schedule'!$C$222:$C$329,32)</f>
        <v/>
      </c>
      <c r="E109" s="137">
        <f>SUMIFS('Production schedule'!$Y$222:$Y$329,'Production schedule'!$C$222:$C$329,32)</f>
        <v/>
      </c>
      <c r="F109" s="137">
        <f>SUMIFS('Production schedule'!$Z$222:$Z$329,'Production schedule'!$C$222:$C$329,32)</f>
        <v/>
      </c>
      <c r="G109" s="137">
        <f>('Production schedule'!AJ253)*'Responsibilities'!$C$6+('Production schedule'!AJ289)*'Responsibilities'!$C$7+('Production schedule'!AJ325)*'Responsibilities'!$C$8</f>
        <v/>
      </c>
      <c r="H109" s="137">
        <f>('Production schedule'!AI253)*'Responsibilities'!$D$6+('Production schedule'!AI289)*'Responsibilities'!$D$7+('Production schedule'!AI325)*'Responsibilities'!$D$8</f>
        <v/>
      </c>
      <c r="I109" s="137">
        <f>SUM('Assumptions'!AI58:AI65)</f>
        <v/>
      </c>
      <c r="J109" s="137">
        <f>('Production schedule'!E253*(IF('Sites'!D6="Annual staff",SUM('Assumptions'!AI112,'Assumptions'!AI114),0)+SUM('Assumptions'!AI113,'Assumptions'!AI115:AI116)))*'Responsibilities'!$E$6+('Production schedule'!E289*(IF('Sites'!D7="Annual staff",SUM('Assumptions'!AI117,'Assumptions'!AI119),0)+SUM('Assumptions'!AI118,'Assumptions'!AI120:AI121)))*'Responsibilities'!$E$7+('Production schedule'!E325*(IF('Sites'!D8="Annual staff",SUM('Assumptions'!AI122,'Assumptions'!AI124),0)+SUM('Assumptions'!AI123,'Assumptions'!AI125:AI126)))*'Responsibilities'!$E$8</f>
        <v/>
      </c>
      <c r="K109" s="137">
        <f>(IF(AND('Production schedule'!E253=1,32=MAX(('Sites'!F6),25),ISNUMBER('Sites'!Q6)),'Sites'!Q6*'Assumptions'!$B$44,0))*'Responsibilities'!$F$6+(IF(AND('Production schedule'!E289=1,32=MAX(('Sites'!F7+'Cases'!G8),25),ISNUMBER('Sites'!Q7)),'Sites'!Q7*'Assumptions'!$B$44,0))*'Responsibilities'!$F$7+(IF(AND('Production schedule'!E325=1,32=MAX(('Sites'!F8+'Cases'!G8),25),ISNUMBER('Sites'!Q8)),'Sites'!Q8*'Assumptions'!$B$44,0))*'Responsibilities'!$F$8</f>
        <v/>
      </c>
      <c r="L109" s="137">
        <f>SUM('Costs'!E36)*'Costs'!F36/12*'Responsibilities'!$C$12+SUM('Costs'!E37)*'Costs'!F37/12*'Responsibilities'!$C$13+SUM('Costs'!E38)*'Costs'!F38/12*'Responsibilities'!$C$14+SUM('Costs'!E39)*'Costs'!F39/12*'Responsibilities'!$C$15+SUM('Costs'!E40)*'Costs'!F40/12*'Responsibilities'!$C$16+BZ109</f>
        <v/>
      </c>
      <c r="M109" s="137">
        <f>('Sites'!E6*'Capital'!E6*(IF(32='Capital'!G6,'Capital'!F6,0)+IF(32='Capital'!H6,1-'Capital'!F6,0)))*'Responsibilities'!$G$6+('Sites'!E7*'Capital'!E7*(IF(32='Capital'!G7+'Cases'!G8,'Capital'!F7,0)+IF(32='Capital'!H7+'Cases'!G8,1-'Capital'!F7,0)))*'Responsibilities'!$G$7+('Sites'!E8*'Cases'!F8*'Capital'!E8*(IF(32='Capital'!G8+'Cases'!G8,'Capital'!F8,0)+IF(32='Capital'!H8+'Cases'!G8,1-'Capital'!F8,0)))*'Responsibilities'!$G$8</f>
        <v/>
      </c>
      <c r="N109" s="137">
        <f>SUM(G109:M109)</f>
        <v/>
      </c>
      <c r="O109" s="137">
        <f>SUMIFS(FundingTranches[Secured amount],FundingTranches[Instrument],"Grant",FundingTranches[Secured month],32)</f>
        <v/>
      </c>
      <c r="P109" s="137">
        <f>SUMIFS(FundingTranches[No QBE possible],FundingTranches[Instrument],"Grant",FundingTranches[Scenario month],32-'Cases'!$D$8)</f>
        <v/>
      </c>
      <c r="Q109" s="137">
        <f>SUMIFS(FundingTranches[Secured amount],FundingTranches[Instrument],"Loan",FundingTranches[Secured month],32)</f>
        <v/>
      </c>
      <c r="R109" s="137">
        <f>SUMIFS(FundingTranches[No QBE possible],FundingTranches[Instrument],"Loan",FundingTranches[Scenario month],32-'Cases'!$D$8)</f>
        <v/>
      </c>
      <c r="S109" s="137">
        <f>IF(32&lt;='Assumptions'!$B$34,0,SUMIFS('Production schedule'!$AL$222:$AL$329,'Production schedule'!$C$222:$C$329,32-'Assumptions'!$B$34))</f>
        <v/>
      </c>
      <c r="T109" s="137">
        <f>'Assumptions'!AI70</f>
        <v/>
      </c>
      <c r="U109" s="137">
        <f>'Assumptions'!AI78</f>
        <v/>
      </c>
      <c r="V109" s="137">
        <f>SUM(O109:U109)</f>
        <v/>
      </c>
      <c r="W109" s="137">
        <f>AA108</f>
        <v/>
      </c>
      <c r="X109" s="137">
        <f>SUM(Q109:R109)</f>
        <v/>
      </c>
      <c r="Y109" s="137">
        <f>SUM(W109,X109)*'Assumptions'!$B$39/12</f>
        <v/>
      </c>
      <c r="Z109" s="137">
        <f>IF(SUM(W109,X109)&gt;0,MIN(SUM(W109,X109),MAX(0,BP109-Y109)),0)</f>
        <v/>
      </c>
      <c r="AA109" s="137">
        <f>SUM(W109,X109)-Z109</f>
        <v/>
      </c>
      <c r="AB109" s="137">
        <f>SUM(Y109:Z109)</f>
        <v/>
      </c>
      <c r="AC109" s="137">
        <f>'Assumptions'!AI72</f>
        <v/>
      </c>
      <c r="AD109" s="137">
        <f>'Assumptions'!AI73</f>
        <v/>
      </c>
      <c r="AE109" s="137">
        <f>IF(X109&gt;0,SUM('Assumptions'!$B$42),0)</f>
        <v/>
      </c>
      <c r="AF109" s="137">
        <f>'Assumptions'!AI71</f>
        <v/>
      </c>
      <c r="AG109" s="137">
        <f>'Assumptions'!AI74</f>
        <v/>
      </c>
      <c r="AH109" s="137">
        <f>'Assumptions'!AI75</f>
        <v/>
      </c>
      <c r="AI109" s="137">
        <f>'Assumptions'!AI77</f>
        <v/>
      </c>
      <c r="AJ109" s="137">
        <f>V109-N109-SUM(AB109:AI109)</f>
        <v/>
      </c>
      <c r="AK109" s="137">
        <f>SUM(AJ78:AJ109)</f>
        <v/>
      </c>
      <c r="AL109" s="137">
        <f>IF(ISNUMBER('Assumptions'!$B$10),'Assumptions'!$B$10+AK109,"")</f>
        <v/>
      </c>
      <c r="AM109" s="137">
        <f>SUM(O109,Q109,T109)-N109-SUM(AC109:AI109)+IF('Funding'!$N$11=0,AE109,0)-IF('Funding'!$N$11&gt;0,AB109,0)</f>
        <v/>
      </c>
      <c r="AN109" s="137">
        <f>SUM(AM78:AM109)</f>
        <v/>
      </c>
      <c r="AO109" s="137">
        <f>IF(ISNUMBER('Assumptions'!$B$10),'Assumptions'!$B$10+AN109,"")</f>
        <v/>
      </c>
      <c r="AP109" s="137">
        <f>('Production schedule'!AK253)*'Responsibilities'!$C$6+('Production schedule'!AK289)*'Responsibilities'!$C$7+('Production schedule'!AK325)*'Responsibilities'!$C$8</f>
        <v/>
      </c>
      <c r="AQ109" s="137">
        <f>SUMIFS('Production schedule'!$AL$222:$AL$329,'Production schedule'!$C$222:$C$329,32)</f>
        <v/>
      </c>
      <c r="AR109" s="137">
        <f>IF(ISNUMBER('Assumptions'!AI76),'Assumptions'!AI76,SUM(O109:P109))</f>
        <v/>
      </c>
      <c r="AS109" s="137">
        <f>IF(ISNUMBER('Assumptions'!$B$13),MIN('Assumptions'!$B$13/'Assumptions'!$B$18/12,MAX(0,'Assumptions'!$B$13-(32-1)*'Assumptions'!$B$13/'Assumptions'!$B$18/12)),0)+IF(AND('Sites'!E6=1,32&gt;=('Sites'!F6),32&lt;('Sites'!F6)+'Assumptions'!$B$18*12),'Capital'!E6/'Assumptions'!$B$18/12,0)+IF(AND('Sites'!E7=1,32&gt;=('Sites'!F7+'Cases'!G8),32&lt;('Sites'!F7+'Cases'!G8)+'Assumptions'!$B$18*12),'Capital'!E7/'Assumptions'!$B$18/12,0)+IF(AND('Sites'!E8*'Cases'!F8=1,32&gt;=('Sites'!F8+'Cases'!G8),32&lt;('Sites'!F8+'Cases'!G8)+'Assumptions'!$B$18*12),'Capital'!E8/'Assumptions'!$B$18/12,0)</f>
        <v/>
      </c>
      <c r="AT109" s="137">
        <f>SUM(AQ109,AR109,U109)-AP109-SUM(H109:L109)-AS109-SUM(Y109,AD109,AE109,AH109)</f>
        <v/>
      </c>
      <c r="AU109" s="137">
        <f>IF(ISNUMBER('Assumptions'!$B$19),MAX(0,SUM(AT102:AT109))*'Assumptions'!$B$19-SUM(AU102:AU108),"")</f>
        <v/>
      </c>
      <c r="AV109" s="137">
        <f>IF(ISNUMBER(AU109),AT109-AU109,"")</f>
        <v/>
      </c>
      <c r="AW109" s="137">
        <f>IF(ISNUMBER('Assumptions'!$B$11),'Assumptions'!$B$11+SUM(AQ78:AQ109)-SUM(S78:S109)-SUM(T78:T109),"")</f>
        <v/>
      </c>
      <c r="AX109" s="137">
        <f>IF(ISNUMBER('Assumptions'!$B$12),'Assumptions'!$B$12+SUM(G78:G109)-SUM(AP78:AP109),"")</f>
        <v/>
      </c>
      <c r="AY109" s="137">
        <f>IF(ISNUMBER('Assumptions'!$B$13),'Assumptions'!$B$13+SUM(M78:M109)-SUM(AS78:AS109),"")</f>
        <v/>
      </c>
      <c r="AZ109" s="137">
        <f>IF(ISNUMBER('Assumptions'!$B$14),'Assumptions'!$B$14+-SUM(AF78:AF109),"")</f>
        <v/>
      </c>
      <c r="BA109" s="137">
        <f>IF(ISNUMBER('Assumptions'!$B$15),'Assumptions'!$B$15+SUM(O78:O109)+SUM(P78:P109)-SUM(AR78:AR109),"")</f>
        <v/>
      </c>
      <c r="BB109" s="137">
        <f>IF(ISNUMBER('Assumptions'!$B$16),'Assumptions'!$B$16+-SUM(AC78:AC109),"")</f>
        <v/>
      </c>
      <c r="BC109" s="137">
        <f>IF(AND(ISNUMBER('Assumptions'!$B$21),ISNUMBER('Assumptions'!$B$19)),'Assumptions'!$B$21+SUM(AU78:AU109)-SUM(AG78:AG109),"")</f>
        <v/>
      </c>
      <c r="BD109" s="137">
        <f>IF(ISNUMBER('Assumptions'!$B$20),'Assumptions'!$B$20+-SUM(AI78:AI109),"")</f>
        <v/>
      </c>
      <c r="BE109" s="137">
        <f>IF(AND(ISNUMBER('Assumptions'!$B$17),COUNT(AV78:AV109)=32),'Assumptions'!$B$17+SUM(AV78:AV109),"")</f>
        <v/>
      </c>
      <c r="BF109" s="137">
        <f>IF(COUNT(AL109,AW109:AY109)=4,SUM(AL109,AW109:AY109),"")</f>
        <v/>
      </c>
      <c r="BG109" s="137">
        <f>IF(COUNT(AZ109:BD109)=5,SUM(AZ109:BD109,AA109),"")</f>
        <v/>
      </c>
      <c r="BH109" s="137">
        <f>IF(COUNT(BF109,BG109,BE109)=3,BF109-BG109-BE109,"")</f>
        <v/>
      </c>
      <c r="BI109" s="137">
        <f>SUM(W109,X109)-Z109-AA109</f>
        <v/>
      </c>
      <c r="BJ109" s="137">
        <f>8-COUNT('Assumptions'!AI58:AI65)+COUNTBLANK('NM Play'!B33:B34)+'Costs'!E44+IF(AND('Sites'!E6=1,('Sites'!F6)&lt;=36,'Sites'!G6&gt;=25),IF(ISNUMBER('Sites'!Q6),0,1)+'Capital'!I6+COUNTBLANK('Sites'!R6)+IF('Sites'!D6="NM crew",COUNTBLANK('NM Play'!B25)+1,5-COUNT('Assumptions'!AI112:AI116)),0)+IF(AND('Sites'!E7=1,('Sites'!F7+'Cases'!G8)&lt;=36,'Sites'!G7&gt;=25),IF(ISNUMBER('Sites'!Q7),0,1)+'Capital'!I7+COUNTBLANK('Sites'!R7)+IF('Sites'!D7="NM crew",COUNTBLANK('NM Play'!B25)+1,5-COUNT('Assumptions'!AI117:AI121)),0)+IF(AND('Sites'!E8*'Cases'!F8=1,('Sites'!F8+'Cases'!G8)&lt;=36,'Sites'!G8&gt;=25),IF(ISNUMBER('Sites'!Q8),0,1)+'Capital'!I8+COUNTBLANK('Sites'!R8)+IF('Sites'!D8="NM crew",COUNTBLANK('NM Play'!B25)+1,5-COUNT('Assumptions'!AI122:AI126)),0)+IF(AND('Cases'!C8&gt;0,NOT(ISNUMBER('Assumptions'!B42))),1,0)+'Responsibilities'!$B$39</f>
        <v/>
      </c>
      <c r="BK109" s="137">
        <f>'Assumptions'!$B$50+'NM Play'!$B$83+'Funding'!$F$20+SUMIFS('Production schedule'!$AN$222:$AN$329,'Production schedule'!$C$222:$C$329,32)+IF(OR('Cases'!E8&lt;0,'Cases'!E8&gt;1,'Cases'!C8&lt;0,'Cases'!D8&lt;0,ABS(SUM('Sites'!S6:S8)-1)&gt;0.0001,MIN('Capital'!F6:F8)&lt;0,MAX('Capital'!F6:F8)&gt;1,MIN(AX109,AZ109,BB109,BA109)&lt;-0.01),1,0)+'Responsibilities'!$B$40</f>
        <v/>
      </c>
      <c r="BL109" s="137">
        <f>SUMIFS('Production schedule'!$T$222:$T$329,'Production schedule'!$C$222:$C$329,32)</f>
        <v/>
      </c>
      <c r="BM109" s="137">
        <f>D109*'NM Play'!$B$38</f>
        <v/>
      </c>
      <c r="BN109" s="137">
        <f>SUMIFS('Production schedule'!$AM$222:$AM$329,'Production schedule'!$C$222:$C$329,32)</f>
        <v/>
      </c>
      <c r="BO109" s="137">
        <f>AK109-AK108-AJ109</f>
        <v/>
      </c>
      <c r="BP109" s="137">
        <f>IF(AND('Assumptions'!$B$39&gt;=0,'Assumptions'!$B$40&gt;0),-PMT('Assumptions'!$B$39/12,'Assumptions'!$B$40*12,IF('Funding'!$N$11&gt;0,'Funding'!$N$11,'Funding'!$T$11)),"")</f>
        <v/>
      </c>
      <c r="BQ109">
        <f>('Production schedule'!AJ253)*(1-'Responsibilities'!$C$6)+('Production schedule'!AJ289)*(1-'Responsibilities'!$C$7)+('Production schedule'!AJ325)*(1-'Responsibilities'!$C$8)</f>
        <v/>
      </c>
      <c r="BR109">
        <f>('Production schedule'!AI253)*(1-'Responsibilities'!$D$6)+('Production schedule'!AI289)*(1-'Responsibilities'!$D$7)+('Production schedule'!AI325)*(1-'Responsibilities'!$D$8)</f>
        <v/>
      </c>
      <c r="BS109">
        <f>('Production schedule'!E253*(IF('Sites'!D6="Annual staff",SUM('Assumptions'!AI112,'Assumptions'!AI114),0)+SUM('Assumptions'!AI113,'Assumptions'!AI115:AI116)))*(1-'Responsibilities'!$E$6)+('Production schedule'!E289*(IF('Sites'!D7="Annual staff",SUM('Assumptions'!AI117,'Assumptions'!AI119),0)+SUM('Assumptions'!AI118,'Assumptions'!AI120:AI121)))*(1-'Responsibilities'!$E$7)+('Production schedule'!E325*(IF('Sites'!D8="Annual staff",SUM('Assumptions'!AI122,'Assumptions'!AI124),0)+SUM('Assumptions'!AI123,'Assumptions'!AI125:AI126)))*(1-'Responsibilities'!$E$8)</f>
        <v/>
      </c>
      <c r="BT109">
        <f>(IF(AND('Production schedule'!E253=1,32=MAX(('Sites'!F6),25),ISNUMBER('Sites'!Q6)),'Sites'!Q6*'Assumptions'!$B$44,0))*(1-'Responsibilities'!$F$6)+(IF(AND('Production schedule'!E289=1,32=MAX(('Sites'!F7+'Cases'!G8),25),ISNUMBER('Sites'!Q7)),'Sites'!Q7*'Assumptions'!$B$44,0))*(1-'Responsibilities'!$F$7)+(IF(AND('Production schedule'!E325=1,32=MAX(('Sites'!F8+'Cases'!G8),25),ISNUMBER('Sites'!Q8)),'Sites'!Q8*'Assumptions'!$B$44,0))*(1-'Responsibilities'!$F$8)</f>
        <v/>
      </c>
      <c r="BU109">
        <f>SUM('Costs'!E36)*'Costs'!F36/12*(1-'Responsibilities'!$C$12)+SUM('Costs'!E37)*'Costs'!F37/12*(1-'Responsibilities'!$C$13)+SUM('Costs'!E38)*'Costs'!F38/12*(1-'Responsibilities'!$C$14)+SUM('Costs'!E39)*'Costs'!F39/12*(1-'Responsibilities'!$C$15)+SUM('Costs'!E40)*'Costs'!F40/12*(1-'Responsibilities'!$C$16)</f>
        <v/>
      </c>
      <c r="BV109">
        <f>('Sites'!E6*'Capital'!E6*(IF(32='Capital'!G6,'Capital'!F6,0)+IF(32='Capital'!H6,1-'Capital'!F6,0)))*(1-'Responsibilities'!$G$6)+('Sites'!E7*'Capital'!E7*(IF(32='Capital'!G7+'Cases'!G8,'Capital'!F7,0)+IF(32='Capital'!H7+'Cases'!G8,1-'Capital'!F7,0)))*(1-'Responsibilities'!$G$7)+('Sites'!E8*'Cases'!F8*'Capital'!E8*(IF(32='Capital'!G8+'Cases'!G8,'Capital'!F8,0)+IF(32='Capital'!H8+'Cases'!G8,1-'Capital'!F8,0)))*(1-'Responsibilities'!$G$8)</f>
        <v/>
      </c>
      <c r="BW109">
        <f>SUM(BQ109:BV109)</f>
        <v/>
      </c>
      <c r="BX109">
        <f>N109+BW109</f>
        <v/>
      </c>
      <c r="BY109">
        <f>BX109-(('Production schedule'!AJ253)*'Responsibilities'!$C$6+('Production schedule'!AJ289)*'Responsibilities'!$C$7+('Production schedule'!AJ325)*'Responsibilities'!$C$8+('Production schedule'!AJ253)*(1-'Responsibilities'!$C$6)+('Production schedule'!AJ289)*(1-'Responsibilities'!$C$7)+('Production schedule'!AJ325)*(1-'Responsibilities'!$C$8)+('Production schedule'!AI253)*'Responsibilities'!$D$6+('Production schedule'!AI289)*'Responsibilities'!$D$7+('Production schedule'!AI325)*'Responsibilities'!$D$8+('Production schedule'!AI253)*(1-'Responsibilities'!$D$6)+('Production schedule'!AI289)*(1-'Responsibilities'!$D$7)+('Production schedule'!AI325)*(1-'Responsibilities'!$D$8)+('Production schedule'!E253*(IF('Sites'!D6="Annual staff",SUM('Assumptions'!AI112,'Assumptions'!AI114),0)+SUM('Assumptions'!AI113,'Assumptions'!AI115:AI116)))*'Responsibilities'!$E$6+('Production schedule'!E289*(IF('Sites'!D7="Annual staff",SUM('Assumptions'!AI117,'Assumptions'!AI119),0)+SUM('Assumptions'!AI118,'Assumptions'!AI120:AI121)))*'Responsibilities'!$E$7+('Production schedule'!E325*(IF('Sites'!D8="Annual staff",SUM('Assumptions'!AI122,'Assumptions'!AI124),0)+SUM('Assumptions'!AI123,'Assumptions'!AI125:AI126)))*'Responsibilities'!$E$8+('Production schedule'!E253*(IF('Sites'!D6="Annual staff",SUM('Assumptions'!AI112,'Assumptions'!AI114),0)+SUM('Assumptions'!AI113,'Assumptions'!AI115:AI116)))*(1-'Responsibilities'!$E$6)+('Production schedule'!E289*(IF('Sites'!D7="Annual staff",SUM('Assumptions'!AI117,'Assumptions'!AI119),0)+SUM('Assumptions'!AI118,'Assumptions'!AI120:AI121)))*(1-'Responsibilities'!$E$7)+('Production schedule'!E325*(IF('Sites'!D8="Annual staff",SUM('Assumptions'!AI122,'Assumptions'!AI124),0)+SUM('Assumptions'!AI123,'Assumptions'!AI125:AI126)))*(1-'Responsibilities'!$E$8)+(IF(AND('Production schedule'!E253=1,32=MAX(('Sites'!F6),25),ISNUMBER('Sites'!Q6)),'Sites'!Q6*'Assumptions'!$B$44,0))*'Responsibilities'!$F$6+(IF(AND('Production schedule'!E289=1,32=MAX(('Sites'!F7+'Cases'!G8),25),ISNUMBER('Sites'!Q7)),'Sites'!Q7*'Assumptions'!$B$44,0))*'Responsibilities'!$F$7+(IF(AND('Production schedule'!E325=1,32=MAX(('Sites'!F8+'Cases'!G8),25),ISNUMBER('Sites'!Q8)),'Sites'!Q8*'Assumptions'!$B$44,0))*'Responsibilities'!$F$8+(IF(AND('Production schedule'!E253=1,32=MAX(('Sites'!F6),25),ISNUMBER('Sites'!Q6)),'Sites'!Q6*'Assumptions'!$B$44,0))*(1-'Responsibilities'!$F$6)+(IF(AND('Production schedule'!E289=1,32=MAX(('Sites'!F7+'Cases'!G8),25),ISNUMBER('Sites'!Q7)),'Sites'!Q7*'Assumptions'!$B$44,0))*(1-'Responsibilities'!$F$7)+(IF(AND('Production schedule'!E325=1,32=MAX(('Sites'!F8+'Cases'!G8),25),ISNUMBER('Sites'!Q8)),'Sites'!Q8*'Assumptions'!$B$44,0))*(1-'Responsibilities'!$F$8)+('Sites'!E6*'Capital'!E6*(IF(32='Capital'!G6,'Capital'!F6,0)+IF(32='Capital'!H6,1-'Capital'!F6,0)))*'Responsibilities'!$G$6+('Sites'!E7*'Capital'!E7*(IF(32='Capital'!G7+'Cases'!G8,'Capital'!F7,0)+IF(32='Capital'!H7+'Cases'!G8,1-'Capital'!F7,0)))*'Responsibilities'!$G$7+('Sites'!E8*'Cases'!F8*'Capital'!E8*(IF(32='Capital'!G8+'Cases'!G8,'Capital'!F8,0)+IF(32='Capital'!H8+'Cases'!G8,1-'Capital'!F8,0)))*'Responsibilities'!$G$8+('Sites'!E6*'Capital'!E6*(IF(32='Capital'!G6,'Capital'!F6,0)+IF(32='Capital'!H6,1-'Capital'!F6,0)))*(1-'Responsibilities'!$G$6)+('Sites'!E7*'Capital'!E7*(IF(32='Capital'!G7+'Cases'!G8,'Capital'!F7,0)+IF(32='Capital'!H7+'Cases'!G8,1-'Capital'!F7,0)))*(1-'Responsibilities'!$G$7)+('Sites'!E8*'Cases'!F8*'Capital'!E8*(IF(32='Capital'!G8+'Cases'!G8,'Capital'!F8,0)+IF(32='Capital'!H8+'Cases'!G8,1-'Capital'!F8,0)))*(1-'Responsibilities'!$G$8)+I109+SUMPRODUCT('Costs'!$E$36:$E$40,'Costs'!$F$36:$F$40)/12+BZ109)</f>
        <v/>
      </c>
      <c r="BZ109">
        <f>SUMIFS('Responsibilities'!$B$31:$B$35,'Responsibilities'!$C$31:$C$35,32,'Responsibilities'!$D$31:$D$35,"Yes")</f>
        <v/>
      </c>
    </row>
    <row r="110" ht="28" customHeight="1">
      <c r="A110" s="4" t="inlineStr">
        <is>
          <t>No QBE</t>
        </is>
      </c>
      <c r="B110" s="4" t="n">
        <v>33</v>
      </c>
      <c r="C110" s="4">
        <f>ROUNDUP(B110/12,0)</f>
        <v/>
      </c>
      <c r="D110" s="137">
        <f>SUMIFS('Production schedule'!$N$222:$N$329,'Production schedule'!$C$222:$C$329,33)</f>
        <v/>
      </c>
      <c r="E110" s="137">
        <f>SUMIFS('Production schedule'!$Y$222:$Y$329,'Production schedule'!$C$222:$C$329,33)</f>
        <v/>
      </c>
      <c r="F110" s="137">
        <f>SUMIFS('Production schedule'!$Z$222:$Z$329,'Production schedule'!$C$222:$C$329,33)</f>
        <v/>
      </c>
      <c r="G110" s="137">
        <f>('Production schedule'!AJ254)*'Responsibilities'!$C$6+('Production schedule'!AJ290)*'Responsibilities'!$C$7+('Production schedule'!AJ326)*'Responsibilities'!$C$8</f>
        <v/>
      </c>
      <c r="H110" s="137">
        <f>('Production schedule'!AI254)*'Responsibilities'!$D$6+('Production schedule'!AI290)*'Responsibilities'!$D$7+('Production schedule'!AI326)*'Responsibilities'!$D$8</f>
        <v/>
      </c>
      <c r="I110" s="137">
        <f>SUM('Assumptions'!AJ58:AJ65)</f>
        <v/>
      </c>
      <c r="J110" s="137">
        <f>('Production schedule'!E254*(IF('Sites'!D6="Annual staff",SUM('Assumptions'!AJ112,'Assumptions'!AJ114),0)+SUM('Assumptions'!AJ113,'Assumptions'!AJ115:AJ116)))*'Responsibilities'!$E$6+('Production schedule'!E290*(IF('Sites'!D7="Annual staff",SUM('Assumptions'!AJ117,'Assumptions'!AJ119),0)+SUM('Assumptions'!AJ118,'Assumptions'!AJ120:AJ121)))*'Responsibilities'!$E$7+('Production schedule'!E326*(IF('Sites'!D8="Annual staff",SUM('Assumptions'!AJ122,'Assumptions'!AJ124),0)+SUM('Assumptions'!AJ123,'Assumptions'!AJ125:AJ126)))*'Responsibilities'!$E$8</f>
        <v/>
      </c>
      <c r="K110" s="137">
        <f>(IF(AND('Production schedule'!E254=1,33=MAX(('Sites'!F6),25),ISNUMBER('Sites'!Q6)),'Sites'!Q6*'Assumptions'!$B$44,0))*'Responsibilities'!$F$6+(IF(AND('Production schedule'!E290=1,33=MAX(('Sites'!F7+'Cases'!G8),25),ISNUMBER('Sites'!Q7)),'Sites'!Q7*'Assumptions'!$B$44,0))*'Responsibilities'!$F$7+(IF(AND('Production schedule'!E326=1,33=MAX(('Sites'!F8+'Cases'!G8),25),ISNUMBER('Sites'!Q8)),'Sites'!Q8*'Assumptions'!$B$44,0))*'Responsibilities'!$F$8</f>
        <v/>
      </c>
      <c r="L110" s="137">
        <f>SUM('Costs'!E36)*'Costs'!F36/12*'Responsibilities'!$C$12+SUM('Costs'!E37)*'Costs'!F37/12*'Responsibilities'!$C$13+SUM('Costs'!E38)*'Costs'!F38/12*'Responsibilities'!$C$14+SUM('Costs'!E39)*'Costs'!F39/12*'Responsibilities'!$C$15+SUM('Costs'!E40)*'Costs'!F40/12*'Responsibilities'!$C$16+BZ110</f>
        <v/>
      </c>
      <c r="M110" s="137">
        <f>('Sites'!E6*'Capital'!E6*(IF(33='Capital'!G6,'Capital'!F6,0)+IF(33='Capital'!H6,1-'Capital'!F6,0)))*'Responsibilities'!$G$6+('Sites'!E7*'Capital'!E7*(IF(33='Capital'!G7+'Cases'!G8,'Capital'!F7,0)+IF(33='Capital'!H7+'Cases'!G8,1-'Capital'!F7,0)))*'Responsibilities'!$G$7+('Sites'!E8*'Cases'!F8*'Capital'!E8*(IF(33='Capital'!G8+'Cases'!G8,'Capital'!F8,0)+IF(33='Capital'!H8+'Cases'!G8,1-'Capital'!F8,0)))*'Responsibilities'!$G$8</f>
        <v/>
      </c>
      <c r="N110" s="137">
        <f>SUM(G110:M110)</f>
        <v/>
      </c>
      <c r="O110" s="137">
        <f>SUMIFS(FundingTranches[Secured amount],FundingTranches[Instrument],"Grant",FundingTranches[Secured month],33)</f>
        <v/>
      </c>
      <c r="P110" s="137">
        <f>SUMIFS(FundingTranches[No QBE possible],FundingTranches[Instrument],"Grant",FundingTranches[Scenario month],33-'Cases'!$D$8)</f>
        <v/>
      </c>
      <c r="Q110" s="137">
        <f>SUMIFS(FundingTranches[Secured amount],FundingTranches[Instrument],"Loan",FundingTranches[Secured month],33)</f>
        <v/>
      </c>
      <c r="R110" s="137">
        <f>SUMIFS(FundingTranches[No QBE possible],FundingTranches[Instrument],"Loan",FundingTranches[Scenario month],33-'Cases'!$D$8)</f>
        <v/>
      </c>
      <c r="S110" s="137">
        <f>IF(33&lt;='Assumptions'!$B$34,0,SUMIFS('Production schedule'!$AL$222:$AL$329,'Production schedule'!$C$222:$C$329,33-'Assumptions'!$B$34))</f>
        <v/>
      </c>
      <c r="T110" s="137">
        <f>'Assumptions'!AJ70</f>
        <v/>
      </c>
      <c r="U110" s="137">
        <f>'Assumptions'!AJ78</f>
        <v/>
      </c>
      <c r="V110" s="137">
        <f>SUM(O110:U110)</f>
        <v/>
      </c>
      <c r="W110" s="137">
        <f>AA109</f>
        <v/>
      </c>
      <c r="X110" s="137">
        <f>SUM(Q110:R110)</f>
        <v/>
      </c>
      <c r="Y110" s="137">
        <f>SUM(W110,X110)*'Assumptions'!$B$39/12</f>
        <v/>
      </c>
      <c r="Z110" s="137">
        <f>IF(SUM(W110,X110)&gt;0,MIN(SUM(W110,X110),MAX(0,BP110-Y110)),0)</f>
        <v/>
      </c>
      <c r="AA110" s="137">
        <f>SUM(W110,X110)-Z110</f>
        <v/>
      </c>
      <c r="AB110" s="137">
        <f>SUM(Y110:Z110)</f>
        <v/>
      </c>
      <c r="AC110" s="137">
        <f>'Assumptions'!AJ72</f>
        <v/>
      </c>
      <c r="AD110" s="137">
        <f>'Assumptions'!AJ73</f>
        <v/>
      </c>
      <c r="AE110" s="137">
        <f>IF(X110&gt;0,SUM('Assumptions'!$B$42),0)</f>
        <v/>
      </c>
      <c r="AF110" s="137">
        <f>'Assumptions'!AJ71</f>
        <v/>
      </c>
      <c r="AG110" s="137">
        <f>'Assumptions'!AJ74</f>
        <v/>
      </c>
      <c r="AH110" s="137">
        <f>'Assumptions'!AJ75</f>
        <v/>
      </c>
      <c r="AI110" s="137">
        <f>'Assumptions'!AJ77</f>
        <v/>
      </c>
      <c r="AJ110" s="137">
        <f>V110-N110-SUM(AB110:AI110)</f>
        <v/>
      </c>
      <c r="AK110" s="137">
        <f>SUM(AJ78:AJ110)</f>
        <v/>
      </c>
      <c r="AL110" s="137">
        <f>IF(ISNUMBER('Assumptions'!$B$10),'Assumptions'!$B$10+AK110,"")</f>
        <v/>
      </c>
      <c r="AM110" s="137">
        <f>SUM(O110,Q110,T110)-N110-SUM(AC110:AI110)+IF('Funding'!$N$11=0,AE110,0)-IF('Funding'!$N$11&gt;0,AB110,0)</f>
        <v/>
      </c>
      <c r="AN110" s="137">
        <f>SUM(AM78:AM110)</f>
        <v/>
      </c>
      <c r="AO110" s="137">
        <f>IF(ISNUMBER('Assumptions'!$B$10),'Assumptions'!$B$10+AN110,"")</f>
        <v/>
      </c>
      <c r="AP110" s="137">
        <f>('Production schedule'!AK254)*'Responsibilities'!$C$6+('Production schedule'!AK290)*'Responsibilities'!$C$7+('Production schedule'!AK326)*'Responsibilities'!$C$8</f>
        <v/>
      </c>
      <c r="AQ110" s="137">
        <f>SUMIFS('Production schedule'!$AL$222:$AL$329,'Production schedule'!$C$222:$C$329,33)</f>
        <v/>
      </c>
      <c r="AR110" s="137">
        <f>IF(ISNUMBER('Assumptions'!AJ76),'Assumptions'!AJ76,SUM(O110:P110))</f>
        <v/>
      </c>
      <c r="AS110" s="137">
        <f>IF(ISNUMBER('Assumptions'!$B$13),MIN('Assumptions'!$B$13/'Assumptions'!$B$18/12,MAX(0,'Assumptions'!$B$13-(33-1)*'Assumptions'!$B$13/'Assumptions'!$B$18/12)),0)+IF(AND('Sites'!E6=1,33&gt;=('Sites'!F6),33&lt;('Sites'!F6)+'Assumptions'!$B$18*12),'Capital'!E6/'Assumptions'!$B$18/12,0)+IF(AND('Sites'!E7=1,33&gt;=('Sites'!F7+'Cases'!G8),33&lt;('Sites'!F7+'Cases'!G8)+'Assumptions'!$B$18*12),'Capital'!E7/'Assumptions'!$B$18/12,0)+IF(AND('Sites'!E8*'Cases'!F8=1,33&gt;=('Sites'!F8+'Cases'!G8),33&lt;('Sites'!F8+'Cases'!G8)+'Assumptions'!$B$18*12),'Capital'!E8/'Assumptions'!$B$18/12,0)</f>
        <v/>
      </c>
      <c r="AT110" s="137">
        <f>SUM(AQ110,AR110,U110)-AP110-SUM(H110:L110)-AS110-SUM(Y110,AD110,AE110,AH110)</f>
        <v/>
      </c>
      <c r="AU110" s="137">
        <f>IF(ISNUMBER('Assumptions'!$B$19),MAX(0,SUM(AT102:AT110))*'Assumptions'!$B$19-SUM(AU102:AU109),"")</f>
        <v/>
      </c>
      <c r="AV110" s="137">
        <f>IF(ISNUMBER(AU110),AT110-AU110,"")</f>
        <v/>
      </c>
      <c r="AW110" s="137">
        <f>IF(ISNUMBER('Assumptions'!$B$11),'Assumptions'!$B$11+SUM(AQ78:AQ110)-SUM(S78:S110)-SUM(T78:T110),"")</f>
        <v/>
      </c>
      <c r="AX110" s="137">
        <f>IF(ISNUMBER('Assumptions'!$B$12),'Assumptions'!$B$12+SUM(G78:G110)-SUM(AP78:AP110),"")</f>
        <v/>
      </c>
      <c r="AY110" s="137">
        <f>IF(ISNUMBER('Assumptions'!$B$13),'Assumptions'!$B$13+SUM(M78:M110)-SUM(AS78:AS110),"")</f>
        <v/>
      </c>
      <c r="AZ110" s="137">
        <f>IF(ISNUMBER('Assumptions'!$B$14),'Assumptions'!$B$14+-SUM(AF78:AF110),"")</f>
        <v/>
      </c>
      <c r="BA110" s="137">
        <f>IF(ISNUMBER('Assumptions'!$B$15),'Assumptions'!$B$15+SUM(O78:O110)+SUM(P78:P110)-SUM(AR78:AR110),"")</f>
        <v/>
      </c>
      <c r="BB110" s="137">
        <f>IF(ISNUMBER('Assumptions'!$B$16),'Assumptions'!$B$16+-SUM(AC78:AC110),"")</f>
        <v/>
      </c>
      <c r="BC110" s="137">
        <f>IF(AND(ISNUMBER('Assumptions'!$B$21),ISNUMBER('Assumptions'!$B$19)),'Assumptions'!$B$21+SUM(AU78:AU110)-SUM(AG78:AG110),"")</f>
        <v/>
      </c>
      <c r="BD110" s="137">
        <f>IF(ISNUMBER('Assumptions'!$B$20),'Assumptions'!$B$20+-SUM(AI78:AI110),"")</f>
        <v/>
      </c>
      <c r="BE110" s="137">
        <f>IF(AND(ISNUMBER('Assumptions'!$B$17),COUNT(AV78:AV110)=33),'Assumptions'!$B$17+SUM(AV78:AV110),"")</f>
        <v/>
      </c>
      <c r="BF110" s="137">
        <f>IF(COUNT(AL110,AW110:AY110)=4,SUM(AL110,AW110:AY110),"")</f>
        <v/>
      </c>
      <c r="BG110" s="137">
        <f>IF(COUNT(AZ110:BD110)=5,SUM(AZ110:BD110,AA110),"")</f>
        <v/>
      </c>
      <c r="BH110" s="137">
        <f>IF(COUNT(BF110,BG110,BE110)=3,BF110-BG110-BE110,"")</f>
        <v/>
      </c>
      <c r="BI110" s="137">
        <f>SUM(W110,X110)-Z110-AA110</f>
        <v/>
      </c>
      <c r="BJ110" s="137">
        <f>8-COUNT('Assumptions'!AJ58:AJ65)+COUNTBLANK('NM Play'!B33:B34)+'Costs'!E44+IF(AND('Sites'!E6=1,('Sites'!F6)&lt;=36,'Sites'!G6&gt;=25),IF(ISNUMBER('Sites'!Q6),0,1)+'Capital'!I6+COUNTBLANK('Sites'!R6)+IF('Sites'!D6="NM crew",COUNTBLANK('NM Play'!B25)+1,5-COUNT('Assumptions'!AJ112:AJ116)),0)+IF(AND('Sites'!E7=1,('Sites'!F7+'Cases'!G8)&lt;=36,'Sites'!G7&gt;=25),IF(ISNUMBER('Sites'!Q7),0,1)+'Capital'!I7+COUNTBLANK('Sites'!R7)+IF('Sites'!D7="NM crew",COUNTBLANK('NM Play'!B25)+1,5-COUNT('Assumptions'!AJ117:AJ121)),0)+IF(AND('Sites'!E8*'Cases'!F8=1,('Sites'!F8+'Cases'!G8)&lt;=36,'Sites'!G8&gt;=25),IF(ISNUMBER('Sites'!Q8),0,1)+'Capital'!I8+COUNTBLANK('Sites'!R8)+IF('Sites'!D8="NM crew",COUNTBLANK('NM Play'!B25)+1,5-COUNT('Assumptions'!AJ122:AJ126)),0)+IF(AND('Cases'!C8&gt;0,NOT(ISNUMBER('Assumptions'!B42))),1,0)+'Responsibilities'!$B$39</f>
        <v/>
      </c>
      <c r="BK110" s="137">
        <f>'Assumptions'!$B$50+'NM Play'!$B$83+'Funding'!$F$20+SUMIFS('Production schedule'!$AN$222:$AN$329,'Production schedule'!$C$222:$C$329,33)+IF(OR('Cases'!E8&lt;0,'Cases'!E8&gt;1,'Cases'!C8&lt;0,'Cases'!D8&lt;0,ABS(SUM('Sites'!S6:S8)-1)&gt;0.0001,MIN('Capital'!F6:F8)&lt;0,MAX('Capital'!F6:F8)&gt;1,MIN(AX110,AZ110,BB110,BA110)&lt;-0.01),1,0)+'Responsibilities'!$B$40</f>
        <v/>
      </c>
      <c r="BL110" s="137">
        <f>SUMIFS('Production schedule'!$T$222:$T$329,'Production schedule'!$C$222:$C$329,33)</f>
        <v/>
      </c>
      <c r="BM110" s="137">
        <f>D110*'NM Play'!$B$38</f>
        <v/>
      </c>
      <c r="BN110" s="137">
        <f>SUMIFS('Production schedule'!$AM$222:$AM$329,'Production schedule'!$C$222:$C$329,33)</f>
        <v/>
      </c>
      <c r="BO110" s="137">
        <f>AK110-AK109-AJ110</f>
        <v/>
      </c>
      <c r="BP110" s="137">
        <f>IF(AND('Assumptions'!$B$39&gt;=0,'Assumptions'!$B$40&gt;0),-PMT('Assumptions'!$B$39/12,'Assumptions'!$B$40*12,IF('Funding'!$N$11&gt;0,'Funding'!$N$11,'Funding'!$T$11)),"")</f>
        <v/>
      </c>
      <c r="BQ110">
        <f>('Production schedule'!AJ254)*(1-'Responsibilities'!$C$6)+('Production schedule'!AJ290)*(1-'Responsibilities'!$C$7)+('Production schedule'!AJ326)*(1-'Responsibilities'!$C$8)</f>
        <v/>
      </c>
      <c r="BR110">
        <f>('Production schedule'!AI254)*(1-'Responsibilities'!$D$6)+('Production schedule'!AI290)*(1-'Responsibilities'!$D$7)+('Production schedule'!AI326)*(1-'Responsibilities'!$D$8)</f>
        <v/>
      </c>
      <c r="BS110">
        <f>('Production schedule'!E254*(IF('Sites'!D6="Annual staff",SUM('Assumptions'!AJ112,'Assumptions'!AJ114),0)+SUM('Assumptions'!AJ113,'Assumptions'!AJ115:AJ116)))*(1-'Responsibilities'!$E$6)+('Production schedule'!E290*(IF('Sites'!D7="Annual staff",SUM('Assumptions'!AJ117,'Assumptions'!AJ119),0)+SUM('Assumptions'!AJ118,'Assumptions'!AJ120:AJ121)))*(1-'Responsibilities'!$E$7)+('Production schedule'!E326*(IF('Sites'!D8="Annual staff",SUM('Assumptions'!AJ122,'Assumptions'!AJ124),0)+SUM('Assumptions'!AJ123,'Assumptions'!AJ125:AJ126)))*(1-'Responsibilities'!$E$8)</f>
        <v/>
      </c>
      <c r="BT110">
        <f>(IF(AND('Production schedule'!E254=1,33=MAX(('Sites'!F6),25),ISNUMBER('Sites'!Q6)),'Sites'!Q6*'Assumptions'!$B$44,0))*(1-'Responsibilities'!$F$6)+(IF(AND('Production schedule'!E290=1,33=MAX(('Sites'!F7+'Cases'!G8),25),ISNUMBER('Sites'!Q7)),'Sites'!Q7*'Assumptions'!$B$44,0))*(1-'Responsibilities'!$F$7)+(IF(AND('Production schedule'!E326=1,33=MAX(('Sites'!F8+'Cases'!G8),25),ISNUMBER('Sites'!Q8)),'Sites'!Q8*'Assumptions'!$B$44,0))*(1-'Responsibilities'!$F$8)</f>
        <v/>
      </c>
      <c r="BU110">
        <f>SUM('Costs'!E36)*'Costs'!F36/12*(1-'Responsibilities'!$C$12)+SUM('Costs'!E37)*'Costs'!F37/12*(1-'Responsibilities'!$C$13)+SUM('Costs'!E38)*'Costs'!F38/12*(1-'Responsibilities'!$C$14)+SUM('Costs'!E39)*'Costs'!F39/12*(1-'Responsibilities'!$C$15)+SUM('Costs'!E40)*'Costs'!F40/12*(1-'Responsibilities'!$C$16)</f>
        <v/>
      </c>
      <c r="BV110">
        <f>('Sites'!E6*'Capital'!E6*(IF(33='Capital'!G6,'Capital'!F6,0)+IF(33='Capital'!H6,1-'Capital'!F6,0)))*(1-'Responsibilities'!$G$6)+('Sites'!E7*'Capital'!E7*(IF(33='Capital'!G7+'Cases'!G8,'Capital'!F7,0)+IF(33='Capital'!H7+'Cases'!G8,1-'Capital'!F7,0)))*(1-'Responsibilities'!$G$7)+('Sites'!E8*'Cases'!F8*'Capital'!E8*(IF(33='Capital'!G8+'Cases'!G8,'Capital'!F8,0)+IF(33='Capital'!H8+'Cases'!G8,1-'Capital'!F8,0)))*(1-'Responsibilities'!$G$8)</f>
        <v/>
      </c>
      <c r="BW110">
        <f>SUM(BQ110:BV110)</f>
        <v/>
      </c>
      <c r="BX110">
        <f>N110+BW110</f>
        <v/>
      </c>
      <c r="BY110">
        <f>BX110-(('Production schedule'!AJ254)*'Responsibilities'!$C$6+('Production schedule'!AJ290)*'Responsibilities'!$C$7+('Production schedule'!AJ326)*'Responsibilities'!$C$8+('Production schedule'!AJ254)*(1-'Responsibilities'!$C$6)+('Production schedule'!AJ290)*(1-'Responsibilities'!$C$7)+('Production schedule'!AJ326)*(1-'Responsibilities'!$C$8)+('Production schedule'!AI254)*'Responsibilities'!$D$6+('Production schedule'!AI290)*'Responsibilities'!$D$7+('Production schedule'!AI326)*'Responsibilities'!$D$8+('Production schedule'!AI254)*(1-'Responsibilities'!$D$6)+('Production schedule'!AI290)*(1-'Responsibilities'!$D$7)+('Production schedule'!AI326)*(1-'Responsibilities'!$D$8)+('Production schedule'!E254*(IF('Sites'!D6="Annual staff",SUM('Assumptions'!AJ112,'Assumptions'!AJ114),0)+SUM('Assumptions'!AJ113,'Assumptions'!AJ115:AJ116)))*'Responsibilities'!$E$6+('Production schedule'!E290*(IF('Sites'!D7="Annual staff",SUM('Assumptions'!AJ117,'Assumptions'!AJ119),0)+SUM('Assumptions'!AJ118,'Assumptions'!AJ120:AJ121)))*'Responsibilities'!$E$7+('Production schedule'!E326*(IF('Sites'!D8="Annual staff",SUM('Assumptions'!AJ122,'Assumptions'!AJ124),0)+SUM('Assumptions'!AJ123,'Assumptions'!AJ125:AJ126)))*'Responsibilities'!$E$8+('Production schedule'!E254*(IF('Sites'!D6="Annual staff",SUM('Assumptions'!AJ112,'Assumptions'!AJ114),0)+SUM('Assumptions'!AJ113,'Assumptions'!AJ115:AJ116)))*(1-'Responsibilities'!$E$6)+('Production schedule'!E290*(IF('Sites'!D7="Annual staff",SUM('Assumptions'!AJ117,'Assumptions'!AJ119),0)+SUM('Assumptions'!AJ118,'Assumptions'!AJ120:AJ121)))*(1-'Responsibilities'!$E$7)+('Production schedule'!E326*(IF('Sites'!D8="Annual staff",SUM('Assumptions'!AJ122,'Assumptions'!AJ124),0)+SUM('Assumptions'!AJ123,'Assumptions'!AJ125:AJ126)))*(1-'Responsibilities'!$E$8)+(IF(AND('Production schedule'!E254=1,33=MAX(('Sites'!F6),25),ISNUMBER('Sites'!Q6)),'Sites'!Q6*'Assumptions'!$B$44,0))*'Responsibilities'!$F$6+(IF(AND('Production schedule'!E290=1,33=MAX(('Sites'!F7+'Cases'!G8),25),ISNUMBER('Sites'!Q7)),'Sites'!Q7*'Assumptions'!$B$44,0))*'Responsibilities'!$F$7+(IF(AND('Production schedule'!E326=1,33=MAX(('Sites'!F8+'Cases'!G8),25),ISNUMBER('Sites'!Q8)),'Sites'!Q8*'Assumptions'!$B$44,0))*'Responsibilities'!$F$8+(IF(AND('Production schedule'!E254=1,33=MAX(('Sites'!F6),25),ISNUMBER('Sites'!Q6)),'Sites'!Q6*'Assumptions'!$B$44,0))*(1-'Responsibilities'!$F$6)+(IF(AND('Production schedule'!E290=1,33=MAX(('Sites'!F7+'Cases'!G8),25),ISNUMBER('Sites'!Q7)),'Sites'!Q7*'Assumptions'!$B$44,0))*(1-'Responsibilities'!$F$7)+(IF(AND('Production schedule'!E326=1,33=MAX(('Sites'!F8+'Cases'!G8),25),ISNUMBER('Sites'!Q8)),'Sites'!Q8*'Assumptions'!$B$44,0))*(1-'Responsibilities'!$F$8)+('Sites'!E6*'Capital'!E6*(IF(33='Capital'!G6,'Capital'!F6,0)+IF(33='Capital'!H6,1-'Capital'!F6,0)))*'Responsibilities'!$G$6+('Sites'!E7*'Capital'!E7*(IF(33='Capital'!G7+'Cases'!G8,'Capital'!F7,0)+IF(33='Capital'!H7+'Cases'!G8,1-'Capital'!F7,0)))*'Responsibilities'!$G$7+('Sites'!E8*'Cases'!F8*'Capital'!E8*(IF(33='Capital'!G8+'Cases'!G8,'Capital'!F8,0)+IF(33='Capital'!H8+'Cases'!G8,1-'Capital'!F8,0)))*'Responsibilities'!$G$8+('Sites'!E6*'Capital'!E6*(IF(33='Capital'!G6,'Capital'!F6,0)+IF(33='Capital'!H6,1-'Capital'!F6,0)))*(1-'Responsibilities'!$G$6)+('Sites'!E7*'Capital'!E7*(IF(33='Capital'!G7+'Cases'!G8,'Capital'!F7,0)+IF(33='Capital'!H7+'Cases'!G8,1-'Capital'!F7,0)))*(1-'Responsibilities'!$G$7)+('Sites'!E8*'Cases'!F8*'Capital'!E8*(IF(33='Capital'!G8+'Cases'!G8,'Capital'!F8,0)+IF(33='Capital'!H8+'Cases'!G8,1-'Capital'!F8,0)))*(1-'Responsibilities'!$G$8)+I110+SUMPRODUCT('Costs'!$E$36:$E$40,'Costs'!$F$36:$F$40)/12+BZ110)</f>
        <v/>
      </c>
      <c r="BZ110">
        <f>SUMIFS('Responsibilities'!$B$31:$B$35,'Responsibilities'!$C$31:$C$35,33,'Responsibilities'!$D$31:$D$35,"Yes")</f>
        <v/>
      </c>
    </row>
    <row r="111" ht="28" customHeight="1">
      <c r="A111" s="4" t="inlineStr">
        <is>
          <t>No QBE</t>
        </is>
      </c>
      <c r="B111" s="4" t="n">
        <v>34</v>
      </c>
      <c r="C111" s="4">
        <f>ROUNDUP(B111/12,0)</f>
        <v/>
      </c>
      <c r="D111" s="137">
        <f>SUMIFS('Production schedule'!$N$222:$N$329,'Production schedule'!$C$222:$C$329,34)</f>
        <v/>
      </c>
      <c r="E111" s="137">
        <f>SUMIFS('Production schedule'!$Y$222:$Y$329,'Production schedule'!$C$222:$C$329,34)</f>
        <v/>
      </c>
      <c r="F111" s="137">
        <f>SUMIFS('Production schedule'!$Z$222:$Z$329,'Production schedule'!$C$222:$C$329,34)</f>
        <v/>
      </c>
      <c r="G111" s="137">
        <f>('Production schedule'!AJ255)*'Responsibilities'!$C$6+('Production schedule'!AJ291)*'Responsibilities'!$C$7+('Production schedule'!AJ327)*'Responsibilities'!$C$8</f>
        <v/>
      </c>
      <c r="H111" s="137">
        <f>('Production schedule'!AI255)*'Responsibilities'!$D$6+('Production schedule'!AI291)*'Responsibilities'!$D$7+('Production schedule'!AI327)*'Responsibilities'!$D$8</f>
        <v/>
      </c>
      <c r="I111" s="137">
        <f>SUM('Assumptions'!AK58:AK65)</f>
        <v/>
      </c>
      <c r="J111" s="137">
        <f>('Production schedule'!E255*(IF('Sites'!D6="Annual staff",SUM('Assumptions'!AK112,'Assumptions'!AK114),0)+SUM('Assumptions'!AK113,'Assumptions'!AK115:AK116)))*'Responsibilities'!$E$6+('Production schedule'!E291*(IF('Sites'!D7="Annual staff",SUM('Assumptions'!AK117,'Assumptions'!AK119),0)+SUM('Assumptions'!AK118,'Assumptions'!AK120:AK121)))*'Responsibilities'!$E$7+('Production schedule'!E327*(IF('Sites'!D8="Annual staff",SUM('Assumptions'!AK122,'Assumptions'!AK124),0)+SUM('Assumptions'!AK123,'Assumptions'!AK125:AK126)))*'Responsibilities'!$E$8</f>
        <v/>
      </c>
      <c r="K111" s="137">
        <f>(IF(AND('Production schedule'!E255=1,34=MAX(('Sites'!F6),25),ISNUMBER('Sites'!Q6)),'Sites'!Q6*'Assumptions'!$B$44,0))*'Responsibilities'!$F$6+(IF(AND('Production schedule'!E291=1,34=MAX(('Sites'!F7+'Cases'!G8),25),ISNUMBER('Sites'!Q7)),'Sites'!Q7*'Assumptions'!$B$44,0))*'Responsibilities'!$F$7+(IF(AND('Production schedule'!E327=1,34=MAX(('Sites'!F8+'Cases'!G8),25),ISNUMBER('Sites'!Q8)),'Sites'!Q8*'Assumptions'!$B$44,0))*'Responsibilities'!$F$8</f>
        <v/>
      </c>
      <c r="L111" s="137">
        <f>SUM('Costs'!E36)*'Costs'!F36/12*'Responsibilities'!$C$12+SUM('Costs'!E37)*'Costs'!F37/12*'Responsibilities'!$C$13+SUM('Costs'!E38)*'Costs'!F38/12*'Responsibilities'!$C$14+SUM('Costs'!E39)*'Costs'!F39/12*'Responsibilities'!$C$15+SUM('Costs'!E40)*'Costs'!F40/12*'Responsibilities'!$C$16+BZ111</f>
        <v/>
      </c>
      <c r="M111" s="137">
        <f>('Sites'!E6*'Capital'!E6*(IF(34='Capital'!G6,'Capital'!F6,0)+IF(34='Capital'!H6,1-'Capital'!F6,0)))*'Responsibilities'!$G$6+('Sites'!E7*'Capital'!E7*(IF(34='Capital'!G7+'Cases'!G8,'Capital'!F7,0)+IF(34='Capital'!H7+'Cases'!G8,1-'Capital'!F7,0)))*'Responsibilities'!$G$7+('Sites'!E8*'Cases'!F8*'Capital'!E8*(IF(34='Capital'!G8+'Cases'!G8,'Capital'!F8,0)+IF(34='Capital'!H8+'Cases'!G8,1-'Capital'!F8,0)))*'Responsibilities'!$G$8</f>
        <v/>
      </c>
      <c r="N111" s="137">
        <f>SUM(G111:M111)</f>
        <v/>
      </c>
      <c r="O111" s="137">
        <f>SUMIFS(FundingTranches[Secured amount],FundingTranches[Instrument],"Grant",FundingTranches[Secured month],34)</f>
        <v/>
      </c>
      <c r="P111" s="137">
        <f>SUMIFS(FundingTranches[No QBE possible],FundingTranches[Instrument],"Grant",FundingTranches[Scenario month],34-'Cases'!$D$8)</f>
        <v/>
      </c>
      <c r="Q111" s="137">
        <f>SUMIFS(FundingTranches[Secured amount],FundingTranches[Instrument],"Loan",FundingTranches[Secured month],34)</f>
        <v/>
      </c>
      <c r="R111" s="137">
        <f>SUMIFS(FundingTranches[No QBE possible],FundingTranches[Instrument],"Loan",FundingTranches[Scenario month],34-'Cases'!$D$8)</f>
        <v/>
      </c>
      <c r="S111" s="137">
        <f>IF(34&lt;='Assumptions'!$B$34,0,SUMIFS('Production schedule'!$AL$222:$AL$329,'Production schedule'!$C$222:$C$329,34-'Assumptions'!$B$34))</f>
        <v/>
      </c>
      <c r="T111" s="137">
        <f>'Assumptions'!AK70</f>
        <v/>
      </c>
      <c r="U111" s="137">
        <f>'Assumptions'!AK78</f>
        <v/>
      </c>
      <c r="V111" s="137">
        <f>SUM(O111:U111)</f>
        <v/>
      </c>
      <c r="W111" s="137">
        <f>AA110</f>
        <v/>
      </c>
      <c r="X111" s="137">
        <f>SUM(Q111:R111)</f>
        <v/>
      </c>
      <c r="Y111" s="137">
        <f>SUM(W111,X111)*'Assumptions'!$B$39/12</f>
        <v/>
      </c>
      <c r="Z111" s="137">
        <f>IF(SUM(W111,X111)&gt;0,MIN(SUM(W111,X111),MAX(0,BP111-Y111)),0)</f>
        <v/>
      </c>
      <c r="AA111" s="137">
        <f>SUM(W111,X111)-Z111</f>
        <v/>
      </c>
      <c r="AB111" s="137">
        <f>SUM(Y111:Z111)</f>
        <v/>
      </c>
      <c r="AC111" s="137">
        <f>'Assumptions'!AK72</f>
        <v/>
      </c>
      <c r="AD111" s="137">
        <f>'Assumptions'!AK73</f>
        <v/>
      </c>
      <c r="AE111" s="137">
        <f>IF(X111&gt;0,SUM('Assumptions'!$B$42),0)</f>
        <v/>
      </c>
      <c r="AF111" s="137">
        <f>'Assumptions'!AK71</f>
        <v/>
      </c>
      <c r="AG111" s="137">
        <f>'Assumptions'!AK74</f>
        <v/>
      </c>
      <c r="AH111" s="137">
        <f>'Assumptions'!AK75</f>
        <v/>
      </c>
      <c r="AI111" s="137">
        <f>'Assumptions'!AK77</f>
        <v/>
      </c>
      <c r="AJ111" s="137">
        <f>V111-N111-SUM(AB111:AI111)</f>
        <v/>
      </c>
      <c r="AK111" s="137">
        <f>SUM(AJ78:AJ111)</f>
        <v/>
      </c>
      <c r="AL111" s="137">
        <f>IF(ISNUMBER('Assumptions'!$B$10),'Assumptions'!$B$10+AK111,"")</f>
        <v/>
      </c>
      <c r="AM111" s="137">
        <f>SUM(O111,Q111,T111)-N111-SUM(AC111:AI111)+IF('Funding'!$N$11=0,AE111,0)-IF('Funding'!$N$11&gt;0,AB111,0)</f>
        <v/>
      </c>
      <c r="AN111" s="137">
        <f>SUM(AM78:AM111)</f>
        <v/>
      </c>
      <c r="AO111" s="137">
        <f>IF(ISNUMBER('Assumptions'!$B$10),'Assumptions'!$B$10+AN111,"")</f>
        <v/>
      </c>
      <c r="AP111" s="137">
        <f>('Production schedule'!AK255)*'Responsibilities'!$C$6+('Production schedule'!AK291)*'Responsibilities'!$C$7+('Production schedule'!AK327)*'Responsibilities'!$C$8</f>
        <v/>
      </c>
      <c r="AQ111" s="137">
        <f>SUMIFS('Production schedule'!$AL$222:$AL$329,'Production schedule'!$C$222:$C$329,34)</f>
        <v/>
      </c>
      <c r="AR111" s="137">
        <f>IF(ISNUMBER('Assumptions'!AK76),'Assumptions'!AK76,SUM(O111:P111))</f>
        <v/>
      </c>
      <c r="AS111" s="137">
        <f>IF(ISNUMBER('Assumptions'!$B$13),MIN('Assumptions'!$B$13/'Assumptions'!$B$18/12,MAX(0,'Assumptions'!$B$13-(34-1)*'Assumptions'!$B$13/'Assumptions'!$B$18/12)),0)+IF(AND('Sites'!E6=1,34&gt;=('Sites'!F6),34&lt;('Sites'!F6)+'Assumptions'!$B$18*12),'Capital'!E6/'Assumptions'!$B$18/12,0)+IF(AND('Sites'!E7=1,34&gt;=('Sites'!F7+'Cases'!G8),34&lt;('Sites'!F7+'Cases'!G8)+'Assumptions'!$B$18*12),'Capital'!E7/'Assumptions'!$B$18/12,0)+IF(AND('Sites'!E8*'Cases'!F8=1,34&gt;=('Sites'!F8+'Cases'!G8),34&lt;('Sites'!F8+'Cases'!G8)+'Assumptions'!$B$18*12),'Capital'!E8/'Assumptions'!$B$18/12,0)</f>
        <v/>
      </c>
      <c r="AT111" s="137">
        <f>SUM(AQ111,AR111,U111)-AP111-SUM(H111:L111)-AS111-SUM(Y111,AD111,AE111,AH111)</f>
        <v/>
      </c>
      <c r="AU111" s="137">
        <f>IF(ISNUMBER('Assumptions'!$B$19),MAX(0,SUM(AT102:AT111))*'Assumptions'!$B$19-SUM(AU102:AU110),"")</f>
        <v/>
      </c>
      <c r="AV111" s="137">
        <f>IF(ISNUMBER(AU111),AT111-AU111,"")</f>
        <v/>
      </c>
      <c r="AW111" s="137">
        <f>IF(ISNUMBER('Assumptions'!$B$11),'Assumptions'!$B$11+SUM(AQ78:AQ111)-SUM(S78:S111)-SUM(T78:T111),"")</f>
        <v/>
      </c>
      <c r="AX111" s="137">
        <f>IF(ISNUMBER('Assumptions'!$B$12),'Assumptions'!$B$12+SUM(G78:G111)-SUM(AP78:AP111),"")</f>
        <v/>
      </c>
      <c r="AY111" s="137">
        <f>IF(ISNUMBER('Assumptions'!$B$13),'Assumptions'!$B$13+SUM(M78:M111)-SUM(AS78:AS111),"")</f>
        <v/>
      </c>
      <c r="AZ111" s="137">
        <f>IF(ISNUMBER('Assumptions'!$B$14),'Assumptions'!$B$14+-SUM(AF78:AF111),"")</f>
        <v/>
      </c>
      <c r="BA111" s="137">
        <f>IF(ISNUMBER('Assumptions'!$B$15),'Assumptions'!$B$15+SUM(O78:O111)+SUM(P78:P111)-SUM(AR78:AR111),"")</f>
        <v/>
      </c>
      <c r="BB111" s="137">
        <f>IF(ISNUMBER('Assumptions'!$B$16),'Assumptions'!$B$16+-SUM(AC78:AC111),"")</f>
        <v/>
      </c>
      <c r="BC111" s="137">
        <f>IF(AND(ISNUMBER('Assumptions'!$B$21),ISNUMBER('Assumptions'!$B$19)),'Assumptions'!$B$21+SUM(AU78:AU111)-SUM(AG78:AG111),"")</f>
        <v/>
      </c>
      <c r="BD111" s="137">
        <f>IF(ISNUMBER('Assumptions'!$B$20),'Assumptions'!$B$20+-SUM(AI78:AI111),"")</f>
        <v/>
      </c>
      <c r="BE111" s="137">
        <f>IF(AND(ISNUMBER('Assumptions'!$B$17),COUNT(AV78:AV111)=34),'Assumptions'!$B$17+SUM(AV78:AV111),"")</f>
        <v/>
      </c>
      <c r="BF111" s="137">
        <f>IF(COUNT(AL111,AW111:AY111)=4,SUM(AL111,AW111:AY111),"")</f>
        <v/>
      </c>
      <c r="BG111" s="137">
        <f>IF(COUNT(AZ111:BD111)=5,SUM(AZ111:BD111,AA111),"")</f>
        <v/>
      </c>
      <c r="BH111" s="137">
        <f>IF(COUNT(BF111,BG111,BE111)=3,BF111-BG111-BE111,"")</f>
        <v/>
      </c>
      <c r="BI111" s="137">
        <f>SUM(W111,X111)-Z111-AA111</f>
        <v/>
      </c>
      <c r="BJ111" s="137">
        <f>8-COUNT('Assumptions'!AK58:AK65)+COUNTBLANK('NM Play'!B33:B34)+'Costs'!E44+IF(AND('Sites'!E6=1,('Sites'!F6)&lt;=36,'Sites'!G6&gt;=25),IF(ISNUMBER('Sites'!Q6),0,1)+'Capital'!I6+COUNTBLANK('Sites'!R6)+IF('Sites'!D6="NM crew",COUNTBLANK('NM Play'!B25)+1,5-COUNT('Assumptions'!AK112:AK116)),0)+IF(AND('Sites'!E7=1,('Sites'!F7+'Cases'!G8)&lt;=36,'Sites'!G7&gt;=25),IF(ISNUMBER('Sites'!Q7),0,1)+'Capital'!I7+COUNTBLANK('Sites'!R7)+IF('Sites'!D7="NM crew",COUNTBLANK('NM Play'!B25)+1,5-COUNT('Assumptions'!AK117:AK121)),0)+IF(AND('Sites'!E8*'Cases'!F8=1,('Sites'!F8+'Cases'!G8)&lt;=36,'Sites'!G8&gt;=25),IF(ISNUMBER('Sites'!Q8),0,1)+'Capital'!I8+COUNTBLANK('Sites'!R8)+IF('Sites'!D8="NM crew",COUNTBLANK('NM Play'!B25)+1,5-COUNT('Assumptions'!AK122:AK126)),0)+IF(AND('Cases'!C8&gt;0,NOT(ISNUMBER('Assumptions'!B42))),1,0)+'Responsibilities'!$B$39</f>
        <v/>
      </c>
      <c r="BK111" s="137">
        <f>'Assumptions'!$B$50+'NM Play'!$B$83+'Funding'!$F$20+SUMIFS('Production schedule'!$AN$222:$AN$329,'Production schedule'!$C$222:$C$329,34)+IF(OR('Cases'!E8&lt;0,'Cases'!E8&gt;1,'Cases'!C8&lt;0,'Cases'!D8&lt;0,ABS(SUM('Sites'!S6:S8)-1)&gt;0.0001,MIN('Capital'!F6:F8)&lt;0,MAX('Capital'!F6:F8)&gt;1,MIN(AX111,AZ111,BB111,BA111)&lt;-0.01),1,0)+'Responsibilities'!$B$40</f>
        <v/>
      </c>
      <c r="BL111" s="137">
        <f>SUMIFS('Production schedule'!$T$222:$T$329,'Production schedule'!$C$222:$C$329,34)</f>
        <v/>
      </c>
      <c r="BM111" s="137">
        <f>D111*'NM Play'!$B$38</f>
        <v/>
      </c>
      <c r="BN111" s="137">
        <f>SUMIFS('Production schedule'!$AM$222:$AM$329,'Production schedule'!$C$222:$C$329,34)</f>
        <v/>
      </c>
      <c r="BO111" s="137">
        <f>AK111-AK110-AJ111</f>
        <v/>
      </c>
      <c r="BP111" s="137">
        <f>IF(AND('Assumptions'!$B$39&gt;=0,'Assumptions'!$B$40&gt;0),-PMT('Assumptions'!$B$39/12,'Assumptions'!$B$40*12,IF('Funding'!$N$11&gt;0,'Funding'!$N$11,'Funding'!$T$11)),"")</f>
        <v/>
      </c>
      <c r="BQ111">
        <f>('Production schedule'!AJ255)*(1-'Responsibilities'!$C$6)+('Production schedule'!AJ291)*(1-'Responsibilities'!$C$7)+('Production schedule'!AJ327)*(1-'Responsibilities'!$C$8)</f>
        <v/>
      </c>
      <c r="BR111">
        <f>('Production schedule'!AI255)*(1-'Responsibilities'!$D$6)+('Production schedule'!AI291)*(1-'Responsibilities'!$D$7)+('Production schedule'!AI327)*(1-'Responsibilities'!$D$8)</f>
        <v/>
      </c>
      <c r="BS111">
        <f>('Production schedule'!E255*(IF('Sites'!D6="Annual staff",SUM('Assumptions'!AK112,'Assumptions'!AK114),0)+SUM('Assumptions'!AK113,'Assumptions'!AK115:AK116)))*(1-'Responsibilities'!$E$6)+('Production schedule'!E291*(IF('Sites'!D7="Annual staff",SUM('Assumptions'!AK117,'Assumptions'!AK119),0)+SUM('Assumptions'!AK118,'Assumptions'!AK120:AK121)))*(1-'Responsibilities'!$E$7)+('Production schedule'!E327*(IF('Sites'!D8="Annual staff",SUM('Assumptions'!AK122,'Assumptions'!AK124),0)+SUM('Assumptions'!AK123,'Assumptions'!AK125:AK126)))*(1-'Responsibilities'!$E$8)</f>
        <v/>
      </c>
      <c r="BT111">
        <f>(IF(AND('Production schedule'!E255=1,34=MAX(('Sites'!F6),25),ISNUMBER('Sites'!Q6)),'Sites'!Q6*'Assumptions'!$B$44,0))*(1-'Responsibilities'!$F$6)+(IF(AND('Production schedule'!E291=1,34=MAX(('Sites'!F7+'Cases'!G8),25),ISNUMBER('Sites'!Q7)),'Sites'!Q7*'Assumptions'!$B$44,0))*(1-'Responsibilities'!$F$7)+(IF(AND('Production schedule'!E327=1,34=MAX(('Sites'!F8+'Cases'!G8),25),ISNUMBER('Sites'!Q8)),'Sites'!Q8*'Assumptions'!$B$44,0))*(1-'Responsibilities'!$F$8)</f>
        <v/>
      </c>
      <c r="BU111">
        <f>SUM('Costs'!E36)*'Costs'!F36/12*(1-'Responsibilities'!$C$12)+SUM('Costs'!E37)*'Costs'!F37/12*(1-'Responsibilities'!$C$13)+SUM('Costs'!E38)*'Costs'!F38/12*(1-'Responsibilities'!$C$14)+SUM('Costs'!E39)*'Costs'!F39/12*(1-'Responsibilities'!$C$15)+SUM('Costs'!E40)*'Costs'!F40/12*(1-'Responsibilities'!$C$16)</f>
        <v/>
      </c>
      <c r="BV111">
        <f>('Sites'!E6*'Capital'!E6*(IF(34='Capital'!G6,'Capital'!F6,0)+IF(34='Capital'!H6,1-'Capital'!F6,0)))*(1-'Responsibilities'!$G$6)+('Sites'!E7*'Capital'!E7*(IF(34='Capital'!G7+'Cases'!G8,'Capital'!F7,0)+IF(34='Capital'!H7+'Cases'!G8,1-'Capital'!F7,0)))*(1-'Responsibilities'!$G$7)+('Sites'!E8*'Cases'!F8*'Capital'!E8*(IF(34='Capital'!G8+'Cases'!G8,'Capital'!F8,0)+IF(34='Capital'!H8+'Cases'!G8,1-'Capital'!F8,0)))*(1-'Responsibilities'!$G$8)</f>
        <v/>
      </c>
      <c r="BW111">
        <f>SUM(BQ111:BV111)</f>
        <v/>
      </c>
      <c r="BX111">
        <f>N111+BW111</f>
        <v/>
      </c>
      <c r="BY111">
        <f>BX111-(('Production schedule'!AJ255)*'Responsibilities'!$C$6+('Production schedule'!AJ291)*'Responsibilities'!$C$7+('Production schedule'!AJ327)*'Responsibilities'!$C$8+('Production schedule'!AJ255)*(1-'Responsibilities'!$C$6)+('Production schedule'!AJ291)*(1-'Responsibilities'!$C$7)+('Production schedule'!AJ327)*(1-'Responsibilities'!$C$8)+('Production schedule'!AI255)*'Responsibilities'!$D$6+('Production schedule'!AI291)*'Responsibilities'!$D$7+('Production schedule'!AI327)*'Responsibilities'!$D$8+('Production schedule'!AI255)*(1-'Responsibilities'!$D$6)+('Production schedule'!AI291)*(1-'Responsibilities'!$D$7)+('Production schedule'!AI327)*(1-'Responsibilities'!$D$8)+('Production schedule'!E255*(IF('Sites'!D6="Annual staff",SUM('Assumptions'!AK112,'Assumptions'!AK114),0)+SUM('Assumptions'!AK113,'Assumptions'!AK115:AK116)))*'Responsibilities'!$E$6+('Production schedule'!E291*(IF('Sites'!D7="Annual staff",SUM('Assumptions'!AK117,'Assumptions'!AK119),0)+SUM('Assumptions'!AK118,'Assumptions'!AK120:AK121)))*'Responsibilities'!$E$7+('Production schedule'!E327*(IF('Sites'!D8="Annual staff",SUM('Assumptions'!AK122,'Assumptions'!AK124),0)+SUM('Assumptions'!AK123,'Assumptions'!AK125:AK126)))*'Responsibilities'!$E$8+('Production schedule'!E255*(IF('Sites'!D6="Annual staff",SUM('Assumptions'!AK112,'Assumptions'!AK114),0)+SUM('Assumptions'!AK113,'Assumptions'!AK115:AK116)))*(1-'Responsibilities'!$E$6)+('Production schedule'!E291*(IF('Sites'!D7="Annual staff",SUM('Assumptions'!AK117,'Assumptions'!AK119),0)+SUM('Assumptions'!AK118,'Assumptions'!AK120:AK121)))*(1-'Responsibilities'!$E$7)+('Production schedule'!E327*(IF('Sites'!D8="Annual staff",SUM('Assumptions'!AK122,'Assumptions'!AK124),0)+SUM('Assumptions'!AK123,'Assumptions'!AK125:AK126)))*(1-'Responsibilities'!$E$8)+(IF(AND('Production schedule'!E255=1,34=MAX(('Sites'!F6),25),ISNUMBER('Sites'!Q6)),'Sites'!Q6*'Assumptions'!$B$44,0))*'Responsibilities'!$F$6+(IF(AND('Production schedule'!E291=1,34=MAX(('Sites'!F7+'Cases'!G8),25),ISNUMBER('Sites'!Q7)),'Sites'!Q7*'Assumptions'!$B$44,0))*'Responsibilities'!$F$7+(IF(AND('Production schedule'!E327=1,34=MAX(('Sites'!F8+'Cases'!G8),25),ISNUMBER('Sites'!Q8)),'Sites'!Q8*'Assumptions'!$B$44,0))*'Responsibilities'!$F$8+(IF(AND('Production schedule'!E255=1,34=MAX(('Sites'!F6),25),ISNUMBER('Sites'!Q6)),'Sites'!Q6*'Assumptions'!$B$44,0))*(1-'Responsibilities'!$F$6)+(IF(AND('Production schedule'!E291=1,34=MAX(('Sites'!F7+'Cases'!G8),25),ISNUMBER('Sites'!Q7)),'Sites'!Q7*'Assumptions'!$B$44,0))*(1-'Responsibilities'!$F$7)+(IF(AND('Production schedule'!E327=1,34=MAX(('Sites'!F8+'Cases'!G8),25),ISNUMBER('Sites'!Q8)),'Sites'!Q8*'Assumptions'!$B$44,0))*(1-'Responsibilities'!$F$8)+('Sites'!E6*'Capital'!E6*(IF(34='Capital'!G6,'Capital'!F6,0)+IF(34='Capital'!H6,1-'Capital'!F6,0)))*'Responsibilities'!$G$6+('Sites'!E7*'Capital'!E7*(IF(34='Capital'!G7+'Cases'!G8,'Capital'!F7,0)+IF(34='Capital'!H7+'Cases'!G8,1-'Capital'!F7,0)))*'Responsibilities'!$G$7+('Sites'!E8*'Cases'!F8*'Capital'!E8*(IF(34='Capital'!G8+'Cases'!G8,'Capital'!F8,0)+IF(34='Capital'!H8+'Cases'!G8,1-'Capital'!F8,0)))*'Responsibilities'!$G$8+('Sites'!E6*'Capital'!E6*(IF(34='Capital'!G6,'Capital'!F6,0)+IF(34='Capital'!H6,1-'Capital'!F6,0)))*(1-'Responsibilities'!$G$6)+('Sites'!E7*'Capital'!E7*(IF(34='Capital'!G7+'Cases'!G8,'Capital'!F7,0)+IF(34='Capital'!H7+'Cases'!G8,1-'Capital'!F7,0)))*(1-'Responsibilities'!$G$7)+('Sites'!E8*'Cases'!F8*'Capital'!E8*(IF(34='Capital'!G8+'Cases'!G8,'Capital'!F8,0)+IF(34='Capital'!H8+'Cases'!G8,1-'Capital'!F8,0)))*(1-'Responsibilities'!$G$8)+I111+SUMPRODUCT('Costs'!$E$36:$E$40,'Costs'!$F$36:$F$40)/12+BZ111)</f>
        <v/>
      </c>
      <c r="BZ111">
        <f>SUMIFS('Responsibilities'!$B$31:$B$35,'Responsibilities'!$C$31:$C$35,34,'Responsibilities'!$D$31:$D$35,"Yes")</f>
        <v/>
      </c>
    </row>
    <row r="112" ht="28" customHeight="1">
      <c r="A112" s="4" t="inlineStr">
        <is>
          <t>No QBE</t>
        </is>
      </c>
      <c r="B112" s="4" t="n">
        <v>35</v>
      </c>
      <c r="C112" s="4">
        <f>ROUNDUP(B112/12,0)</f>
        <v/>
      </c>
      <c r="D112" s="137">
        <f>SUMIFS('Production schedule'!$N$222:$N$329,'Production schedule'!$C$222:$C$329,35)</f>
        <v/>
      </c>
      <c r="E112" s="137">
        <f>SUMIFS('Production schedule'!$Y$222:$Y$329,'Production schedule'!$C$222:$C$329,35)</f>
        <v/>
      </c>
      <c r="F112" s="137">
        <f>SUMIFS('Production schedule'!$Z$222:$Z$329,'Production schedule'!$C$222:$C$329,35)</f>
        <v/>
      </c>
      <c r="G112" s="137">
        <f>('Production schedule'!AJ256)*'Responsibilities'!$C$6+('Production schedule'!AJ292)*'Responsibilities'!$C$7+('Production schedule'!AJ328)*'Responsibilities'!$C$8</f>
        <v/>
      </c>
      <c r="H112" s="137">
        <f>('Production schedule'!AI256)*'Responsibilities'!$D$6+('Production schedule'!AI292)*'Responsibilities'!$D$7+('Production schedule'!AI328)*'Responsibilities'!$D$8</f>
        <v/>
      </c>
      <c r="I112" s="137">
        <f>SUM('Assumptions'!AL58:AL65)</f>
        <v/>
      </c>
      <c r="J112" s="137">
        <f>('Production schedule'!E256*(IF('Sites'!D6="Annual staff",SUM('Assumptions'!AL112,'Assumptions'!AL114),0)+SUM('Assumptions'!AL113,'Assumptions'!AL115:AL116)))*'Responsibilities'!$E$6+('Production schedule'!E292*(IF('Sites'!D7="Annual staff",SUM('Assumptions'!AL117,'Assumptions'!AL119),0)+SUM('Assumptions'!AL118,'Assumptions'!AL120:AL121)))*'Responsibilities'!$E$7+('Production schedule'!E328*(IF('Sites'!D8="Annual staff",SUM('Assumptions'!AL122,'Assumptions'!AL124),0)+SUM('Assumptions'!AL123,'Assumptions'!AL125:AL126)))*'Responsibilities'!$E$8</f>
        <v/>
      </c>
      <c r="K112" s="137">
        <f>(IF(AND('Production schedule'!E256=1,35=MAX(('Sites'!F6),25),ISNUMBER('Sites'!Q6)),'Sites'!Q6*'Assumptions'!$B$44,0))*'Responsibilities'!$F$6+(IF(AND('Production schedule'!E292=1,35=MAX(('Sites'!F7+'Cases'!G8),25),ISNUMBER('Sites'!Q7)),'Sites'!Q7*'Assumptions'!$B$44,0))*'Responsibilities'!$F$7+(IF(AND('Production schedule'!E328=1,35=MAX(('Sites'!F8+'Cases'!G8),25),ISNUMBER('Sites'!Q8)),'Sites'!Q8*'Assumptions'!$B$44,0))*'Responsibilities'!$F$8</f>
        <v/>
      </c>
      <c r="L112" s="137">
        <f>SUM('Costs'!E36)*'Costs'!F36/12*'Responsibilities'!$C$12+SUM('Costs'!E37)*'Costs'!F37/12*'Responsibilities'!$C$13+SUM('Costs'!E38)*'Costs'!F38/12*'Responsibilities'!$C$14+SUM('Costs'!E39)*'Costs'!F39/12*'Responsibilities'!$C$15+SUM('Costs'!E40)*'Costs'!F40/12*'Responsibilities'!$C$16+BZ112</f>
        <v/>
      </c>
      <c r="M112" s="137">
        <f>('Sites'!E6*'Capital'!E6*(IF(35='Capital'!G6,'Capital'!F6,0)+IF(35='Capital'!H6,1-'Capital'!F6,0)))*'Responsibilities'!$G$6+('Sites'!E7*'Capital'!E7*(IF(35='Capital'!G7+'Cases'!G8,'Capital'!F7,0)+IF(35='Capital'!H7+'Cases'!G8,1-'Capital'!F7,0)))*'Responsibilities'!$G$7+('Sites'!E8*'Cases'!F8*'Capital'!E8*(IF(35='Capital'!G8+'Cases'!G8,'Capital'!F8,0)+IF(35='Capital'!H8+'Cases'!G8,1-'Capital'!F8,0)))*'Responsibilities'!$G$8</f>
        <v/>
      </c>
      <c r="N112" s="137">
        <f>SUM(G112:M112)</f>
        <v/>
      </c>
      <c r="O112" s="137">
        <f>SUMIFS(FundingTranches[Secured amount],FundingTranches[Instrument],"Grant",FundingTranches[Secured month],35)</f>
        <v/>
      </c>
      <c r="P112" s="137">
        <f>SUMIFS(FundingTranches[No QBE possible],FundingTranches[Instrument],"Grant",FundingTranches[Scenario month],35-'Cases'!$D$8)</f>
        <v/>
      </c>
      <c r="Q112" s="137">
        <f>SUMIFS(FundingTranches[Secured amount],FundingTranches[Instrument],"Loan",FundingTranches[Secured month],35)</f>
        <v/>
      </c>
      <c r="R112" s="137">
        <f>SUMIFS(FundingTranches[No QBE possible],FundingTranches[Instrument],"Loan",FundingTranches[Scenario month],35-'Cases'!$D$8)</f>
        <v/>
      </c>
      <c r="S112" s="137">
        <f>IF(35&lt;='Assumptions'!$B$34,0,SUMIFS('Production schedule'!$AL$222:$AL$329,'Production schedule'!$C$222:$C$329,35-'Assumptions'!$B$34))</f>
        <v/>
      </c>
      <c r="T112" s="137">
        <f>'Assumptions'!AL70</f>
        <v/>
      </c>
      <c r="U112" s="137">
        <f>'Assumptions'!AL78</f>
        <v/>
      </c>
      <c r="V112" s="137">
        <f>SUM(O112:U112)</f>
        <v/>
      </c>
      <c r="W112" s="137">
        <f>AA111</f>
        <v/>
      </c>
      <c r="X112" s="137">
        <f>SUM(Q112:R112)</f>
        <v/>
      </c>
      <c r="Y112" s="137">
        <f>SUM(W112,X112)*'Assumptions'!$B$39/12</f>
        <v/>
      </c>
      <c r="Z112" s="137">
        <f>IF(SUM(W112,X112)&gt;0,MIN(SUM(W112,X112),MAX(0,BP112-Y112)),0)</f>
        <v/>
      </c>
      <c r="AA112" s="137">
        <f>SUM(W112,X112)-Z112</f>
        <v/>
      </c>
      <c r="AB112" s="137">
        <f>SUM(Y112:Z112)</f>
        <v/>
      </c>
      <c r="AC112" s="137">
        <f>'Assumptions'!AL72</f>
        <v/>
      </c>
      <c r="AD112" s="137">
        <f>'Assumptions'!AL73</f>
        <v/>
      </c>
      <c r="AE112" s="137">
        <f>IF(X112&gt;0,SUM('Assumptions'!$B$42),0)</f>
        <v/>
      </c>
      <c r="AF112" s="137">
        <f>'Assumptions'!AL71</f>
        <v/>
      </c>
      <c r="AG112" s="137">
        <f>'Assumptions'!AL74</f>
        <v/>
      </c>
      <c r="AH112" s="137">
        <f>'Assumptions'!AL75</f>
        <v/>
      </c>
      <c r="AI112" s="137">
        <f>'Assumptions'!AL77</f>
        <v/>
      </c>
      <c r="AJ112" s="137">
        <f>V112-N112-SUM(AB112:AI112)</f>
        <v/>
      </c>
      <c r="AK112" s="137">
        <f>SUM(AJ78:AJ112)</f>
        <v/>
      </c>
      <c r="AL112" s="137">
        <f>IF(ISNUMBER('Assumptions'!$B$10),'Assumptions'!$B$10+AK112,"")</f>
        <v/>
      </c>
      <c r="AM112" s="137">
        <f>SUM(O112,Q112,T112)-N112-SUM(AC112:AI112)+IF('Funding'!$N$11=0,AE112,0)-IF('Funding'!$N$11&gt;0,AB112,0)</f>
        <v/>
      </c>
      <c r="AN112" s="137">
        <f>SUM(AM78:AM112)</f>
        <v/>
      </c>
      <c r="AO112" s="137">
        <f>IF(ISNUMBER('Assumptions'!$B$10),'Assumptions'!$B$10+AN112,"")</f>
        <v/>
      </c>
      <c r="AP112" s="137">
        <f>('Production schedule'!AK256)*'Responsibilities'!$C$6+('Production schedule'!AK292)*'Responsibilities'!$C$7+('Production schedule'!AK328)*'Responsibilities'!$C$8</f>
        <v/>
      </c>
      <c r="AQ112" s="137">
        <f>SUMIFS('Production schedule'!$AL$222:$AL$329,'Production schedule'!$C$222:$C$329,35)</f>
        <v/>
      </c>
      <c r="AR112" s="137">
        <f>IF(ISNUMBER('Assumptions'!AL76),'Assumptions'!AL76,SUM(O112:P112))</f>
        <v/>
      </c>
      <c r="AS112" s="137">
        <f>IF(ISNUMBER('Assumptions'!$B$13),MIN('Assumptions'!$B$13/'Assumptions'!$B$18/12,MAX(0,'Assumptions'!$B$13-(35-1)*'Assumptions'!$B$13/'Assumptions'!$B$18/12)),0)+IF(AND('Sites'!E6=1,35&gt;=('Sites'!F6),35&lt;('Sites'!F6)+'Assumptions'!$B$18*12),'Capital'!E6/'Assumptions'!$B$18/12,0)+IF(AND('Sites'!E7=1,35&gt;=('Sites'!F7+'Cases'!G8),35&lt;('Sites'!F7+'Cases'!G8)+'Assumptions'!$B$18*12),'Capital'!E7/'Assumptions'!$B$18/12,0)+IF(AND('Sites'!E8*'Cases'!F8=1,35&gt;=('Sites'!F8+'Cases'!G8),35&lt;('Sites'!F8+'Cases'!G8)+'Assumptions'!$B$18*12),'Capital'!E8/'Assumptions'!$B$18/12,0)</f>
        <v/>
      </c>
      <c r="AT112" s="137">
        <f>SUM(AQ112,AR112,U112)-AP112-SUM(H112:L112)-AS112-SUM(Y112,AD112,AE112,AH112)</f>
        <v/>
      </c>
      <c r="AU112" s="137">
        <f>IF(ISNUMBER('Assumptions'!$B$19),MAX(0,SUM(AT102:AT112))*'Assumptions'!$B$19-SUM(AU102:AU111),"")</f>
        <v/>
      </c>
      <c r="AV112" s="137">
        <f>IF(ISNUMBER(AU112),AT112-AU112,"")</f>
        <v/>
      </c>
      <c r="AW112" s="137">
        <f>IF(ISNUMBER('Assumptions'!$B$11),'Assumptions'!$B$11+SUM(AQ78:AQ112)-SUM(S78:S112)-SUM(T78:T112),"")</f>
        <v/>
      </c>
      <c r="AX112" s="137">
        <f>IF(ISNUMBER('Assumptions'!$B$12),'Assumptions'!$B$12+SUM(G78:G112)-SUM(AP78:AP112),"")</f>
        <v/>
      </c>
      <c r="AY112" s="137">
        <f>IF(ISNUMBER('Assumptions'!$B$13),'Assumptions'!$B$13+SUM(M78:M112)-SUM(AS78:AS112),"")</f>
        <v/>
      </c>
      <c r="AZ112" s="137">
        <f>IF(ISNUMBER('Assumptions'!$B$14),'Assumptions'!$B$14+-SUM(AF78:AF112),"")</f>
        <v/>
      </c>
      <c r="BA112" s="137">
        <f>IF(ISNUMBER('Assumptions'!$B$15),'Assumptions'!$B$15+SUM(O78:O112)+SUM(P78:P112)-SUM(AR78:AR112),"")</f>
        <v/>
      </c>
      <c r="BB112" s="137">
        <f>IF(ISNUMBER('Assumptions'!$B$16),'Assumptions'!$B$16+-SUM(AC78:AC112),"")</f>
        <v/>
      </c>
      <c r="BC112" s="137">
        <f>IF(AND(ISNUMBER('Assumptions'!$B$21),ISNUMBER('Assumptions'!$B$19)),'Assumptions'!$B$21+SUM(AU78:AU112)-SUM(AG78:AG112),"")</f>
        <v/>
      </c>
      <c r="BD112" s="137">
        <f>IF(ISNUMBER('Assumptions'!$B$20),'Assumptions'!$B$20+-SUM(AI78:AI112),"")</f>
        <v/>
      </c>
      <c r="BE112" s="137">
        <f>IF(AND(ISNUMBER('Assumptions'!$B$17),COUNT(AV78:AV112)=35),'Assumptions'!$B$17+SUM(AV78:AV112),"")</f>
        <v/>
      </c>
      <c r="BF112" s="137">
        <f>IF(COUNT(AL112,AW112:AY112)=4,SUM(AL112,AW112:AY112),"")</f>
        <v/>
      </c>
      <c r="BG112" s="137">
        <f>IF(COUNT(AZ112:BD112)=5,SUM(AZ112:BD112,AA112),"")</f>
        <v/>
      </c>
      <c r="BH112" s="137">
        <f>IF(COUNT(BF112,BG112,BE112)=3,BF112-BG112-BE112,"")</f>
        <v/>
      </c>
      <c r="BI112" s="137">
        <f>SUM(W112,X112)-Z112-AA112</f>
        <v/>
      </c>
      <c r="BJ112" s="137">
        <f>8-COUNT('Assumptions'!AL58:AL65)+COUNTBLANK('NM Play'!B33:B34)+'Costs'!E44+IF(AND('Sites'!E6=1,('Sites'!F6)&lt;=36,'Sites'!G6&gt;=25),IF(ISNUMBER('Sites'!Q6),0,1)+'Capital'!I6+COUNTBLANK('Sites'!R6)+IF('Sites'!D6="NM crew",COUNTBLANK('NM Play'!B25)+1,5-COUNT('Assumptions'!AL112:AL116)),0)+IF(AND('Sites'!E7=1,('Sites'!F7+'Cases'!G8)&lt;=36,'Sites'!G7&gt;=25),IF(ISNUMBER('Sites'!Q7),0,1)+'Capital'!I7+COUNTBLANK('Sites'!R7)+IF('Sites'!D7="NM crew",COUNTBLANK('NM Play'!B25)+1,5-COUNT('Assumptions'!AL117:AL121)),0)+IF(AND('Sites'!E8*'Cases'!F8=1,('Sites'!F8+'Cases'!G8)&lt;=36,'Sites'!G8&gt;=25),IF(ISNUMBER('Sites'!Q8),0,1)+'Capital'!I8+COUNTBLANK('Sites'!R8)+IF('Sites'!D8="NM crew",COUNTBLANK('NM Play'!B25)+1,5-COUNT('Assumptions'!AL122:AL126)),0)+IF(AND('Cases'!C8&gt;0,NOT(ISNUMBER('Assumptions'!B42))),1,0)+'Responsibilities'!$B$39</f>
        <v/>
      </c>
      <c r="BK112" s="137">
        <f>'Assumptions'!$B$50+'NM Play'!$B$83+'Funding'!$F$20+SUMIFS('Production schedule'!$AN$222:$AN$329,'Production schedule'!$C$222:$C$329,35)+IF(OR('Cases'!E8&lt;0,'Cases'!E8&gt;1,'Cases'!C8&lt;0,'Cases'!D8&lt;0,ABS(SUM('Sites'!S6:S8)-1)&gt;0.0001,MIN('Capital'!F6:F8)&lt;0,MAX('Capital'!F6:F8)&gt;1,MIN(AX112,AZ112,BB112,BA112)&lt;-0.01),1,0)+'Responsibilities'!$B$40</f>
        <v/>
      </c>
      <c r="BL112" s="137">
        <f>SUMIFS('Production schedule'!$T$222:$T$329,'Production schedule'!$C$222:$C$329,35)</f>
        <v/>
      </c>
      <c r="BM112" s="137">
        <f>D112*'NM Play'!$B$38</f>
        <v/>
      </c>
      <c r="BN112" s="137">
        <f>SUMIFS('Production schedule'!$AM$222:$AM$329,'Production schedule'!$C$222:$C$329,35)</f>
        <v/>
      </c>
      <c r="BO112" s="137">
        <f>AK112-AK111-AJ112</f>
        <v/>
      </c>
      <c r="BP112" s="137">
        <f>IF(AND('Assumptions'!$B$39&gt;=0,'Assumptions'!$B$40&gt;0),-PMT('Assumptions'!$B$39/12,'Assumptions'!$B$40*12,IF('Funding'!$N$11&gt;0,'Funding'!$N$11,'Funding'!$T$11)),"")</f>
        <v/>
      </c>
      <c r="BQ112">
        <f>('Production schedule'!AJ256)*(1-'Responsibilities'!$C$6)+('Production schedule'!AJ292)*(1-'Responsibilities'!$C$7)+('Production schedule'!AJ328)*(1-'Responsibilities'!$C$8)</f>
        <v/>
      </c>
      <c r="BR112">
        <f>('Production schedule'!AI256)*(1-'Responsibilities'!$D$6)+('Production schedule'!AI292)*(1-'Responsibilities'!$D$7)+('Production schedule'!AI328)*(1-'Responsibilities'!$D$8)</f>
        <v/>
      </c>
      <c r="BS112">
        <f>('Production schedule'!E256*(IF('Sites'!D6="Annual staff",SUM('Assumptions'!AL112,'Assumptions'!AL114),0)+SUM('Assumptions'!AL113,'Assumptions'!AL115:AL116)))*(1-'Responsibilities'!$E$6)+('Production schedule'!E292*(IF('Sites'!D7="Annual staff",SUM('Assumptions'!AL117,'Assumptions'!AL119),0)+SUM('Assumptions'!AL118,'Assumptions'!AL120:AL121)))*(1-'Responsibilities'!$E$7)+('Production schedule'!E328*(IF('Sites'!D8="Annual staff",SUM('Assumptions'!AL122,'Assumptions'!AL124),0)+SUM('Assumptions'!AL123,'Assumptions'!AL125:AL126)))*(1-'Responsibilities'!$E$8)</f>
        <v/>
      </c>
      <c r="BT112">
        <f>(IF(AND('Production schedule'!E256=1,35=MAX(('Sites'!F6),25),ISNUMBER('Sites'!Q6)),'Sites'!Q6*'Assumptions'!$B$44,0))*(1-'Responsibilities'!$F$6)+(IF(AND('Production schedule'!E292=1,35=MAX(('Sites'!F7+'Cases'!G8),25),ISNUMBER('Sites'!Q7)),'Sites'!Q7*'Assumptions'!$B$44,0))*(1-'Responsibilities'!$F$7)+(IF(AND('Production schedule'!E328=1,35=MAX(('Sites'!F8+'Cases'!G8),25),ISNUMBER('Sites'!Q8)),'Sites'!Q8*'Assumptions'!$B$44,0))*(1-'Responsibilities'!$F$8)</f>
        <v/>
      </c>
      <c r="BU112">
        <f>SUM('Costs'!E36)*'Costs'!F36/12*(1-'Responsibilities'!$C$12)+SUM('Costs'!E37)*'Costs'!F37/12*(1-'Responsibilities'!$C$13)+SUM('Costs'!E38)*'Costs'!F38/12*(1-'Responsibilities'!$C$14)+SUM('Costs'!E39)*'Costs'!F39/12*(1-'Responsibilities'!$C$15)+SUM('Costs'!E40)*'Costs'!F40/12*(1-'Responsibilities'!$C$16)</f>
        <v/>
      </c>
      <c r="BV112">
        <f>('Sites'!E6*'Capital'!E6*(IF(35='Capital'!G6,'Capital'!F6,0)+IF(35='Capital'!H6,1-'Capital'!F6,0)))*(1-'Responsibilities'!$G$6)+('Sites'!E7*'Capital'!E7*(IF(35='Capital'!G7+'Cases'!G8,'Capital'!F7,0)+IF(35='Capital'!H7+'Cases'!G8,1-'Capital'!F7,0)))*(1-'Responsibilities'!$G$7)+('Sites'!E8*'Cases'!F8*'Capital'!E8*(IF(35='Capital'!G8+'Cases'!G8,'Capital'!F8,0)+IF(35='Capital'!H8+'Cases'!G8,1-'Capital'!F8,0)))*(1-'Responsibilities'!$G$8)</f>
        <v/>
      </c>
      <c r="BW112">
        <f>SUM(BQ112:BV112)</f>
        <v/>
      </c>
      <c r="BX112">
        <f>N112+BW112</f>
        <v/>
      </c>
      <c r="BY112">
        <f>BX112-(('Production schedule'!AJ256)*'Responsibilities'!$C$6+('Production schedule'!AJ292)*'Responsibilities'!$C$7+('Production schedule'!AJ328)*'Responsibilities'!$C$8+('Production schedule'!AJ256)*(1-'Responsibilities'!$C$6)+('Production schedule'!AJ292)*(1-'Responsibilities'!$C$7)+('Production schedule'!AJ328)*(1-'Responsibilities'!$C$8)+('Production schedule'!AI256)*'Responsibilities'!$D$6+('Production schedule'!AI292)*'Responsibilities'!$D$7+('Production schedule'!AI328)*'Responsibilities'!$D$8+('Production schedule'!AI256)*(1-'Responsibilities'!$D$6)+('Production schedule'!AI292)*(1-'Responsibilities'!$D$7)+('Production schedule'!AI328)*(1-'Responsibilities'!$D$8)+('Production schedule'!E256*(IF('Sites'!D6="Annual staff",SUM('Assumptions'!AL112,'Assumptions'!AL114),0)+SUM('Assumptions'!AL113,'Assumptions'!AL115:AL116)))*'Responsibilities'!$E$6+('Production schedule'!E292*(IF('Sites'!D7="Annual staff",SUM('Assumptions'!AL117,'Assumptions'!AL119),0)+SUM('Assumptions'!AL118,'Assumptions'!AL120:AL121)))*'Responsibilities'!$E$7+('Production schedule'!E328*(IF('Sites'!D8="Annual staff",SUM('Assumptions'!AL122,'Assumptions'!AL124),0)+SUM('Assumptions'!AL123,'Assumptions'!AL125:AL126)))*'Responsibilities'!$E$8+('Production schedule'!E256*(IF('Sites'!D6="Annual staff",SUM('Assumptions'!AL112,'Assumptions'!AL114),0)+SUM('Assumptions'!AL113,'Assumptions'!AL115:AL116)))*(1-'Responsibilities'!$E$6)+('Production schedule'!E292*(IF('Sites'!D7="Annual staff",SUM('Assumptions'!AL117,'Assumptions'!AL119),0)+SUM('Assumptions'!AL118,'Assumptions'!AL120:AL121)))*(1-'Responsibilities'!$E$7)+('Production schedule'!E328*(IF('Sites'!D8="Annual staff",SUM('Assumptions'!AL122,'Assumptions'!AL124),0)+SUM('Assumptions'!AL123,'Assumptions'!AL125:AL126)))*(1-'Responsibilities'!$E$8)+(IF(AND('Production schedule'!E256=1,35=MAX(('Sites'!F6),25),ISNUMBER('Sites'!Q6)),'Sites'!Q6*'Assumptions'!$B$44,0))*'Responsibilities'!$F$6+(IF(AND('Production schedule'!E292=1,35=MAX(('Sites'!F7+'Cases'!G8),25),ISNUMBER('Sites'!Q7)),'Sites'!Q7*'Assumptions'!$B$44,0))*'Responsibilities'!$F$7+(IF(AND('Production schedule'!E328=1,35=MAX(('Sites'!F8+'Cases'!G8),25),ISNUMBER('Sites'!Q8)),'Sites'!Q8*'Assumptions'!$B$44,0))*'Responsibilities'!$F$8+(IF(AND('Production schedule'!E256=1,35=MAX(('Sites'!F6),25),ISNUMBER('Sites'!Q6)),'Sites'!Q6*'Assumptions'!$B$44,0))*(1-'Responsibilities'!$F$6)+(IF(AND('Production schedule'!E292=1,35=MAX(('Sites'!F7+'Cases'!G8),25),ISNUMBER('Sites'!Q7)),'Sites'!Q7*'Assumptions'!$B$44,0))*(1-'Responsibilities'!$F$7)+(IF(AND('Production schedule'!E328=1,35=MAX(('Sites'!F8+'Cases'!G8),25),ISNUMBER('Sites'!Q8)),'Sites'!Q8*'Assumptions'!$B$44,0))*(1-'Responsibilities'!$F$8)+('Sites'!E6*'Capital'!E6*(IF(35='Capital'!G6,'Capital'!F6,0)+IF(35='Capital'!H6,1-'Capital'!F6,0)))*'Responsibilities'!$G$6+('Sites'!E7*'Capital'!E7*(IF(35='Capital'!G7+'Cases'!G8,'Capital'!F7,0)+IF(35='Capital'!H7+'Cases'!G8,1-'Capital'!F7,0)))*'Responsibilities'!$G$7+('Sites'!E8*'Cases'!F8*'Capital'!E8*(IF(35='Capital'!G8+'Cases'!G8,'Capital'!F8,0)+IF(35='Capital'!H8+'Cases'!G8,1-'Capital'!F8,0)))*'Responsibilities'!$G$8+('Sites'!E6*'Capital'!E6*(IF(35='Capital'!G6,'Capital'!F6,0)+IF(35='Capital'!H6,1-'Capital'!F6,0)))*(1-'Responsibilities'!$G$6)+('Sites'!E7*'Capital'!E7*(IF(35='Capital'!G7+'Cases'!G8,'Capital'!F7,0)+IF(35='Capital'!H7+'Cases'!G8,1-'Capital'!F7,0)))*(1-'Responsibilities'!$G$7)+('Sites'!E8*'Cases'!F8*'Capital'!E8*(IF(35='Capital'!G8+'Cases'!G8,'Capital'!F8,0)+IF(35='Capital'!H8+'Cases'!G8,1-'Capital'!F8,0)))*(1-'Responsibilities'!$G$8)+I112+SUMPRODUCT('Costs'!$E$36:$E$40,'Costs'!$F$36:$F$40)/12+BZ112)</f>
        <v/>
      </c>
      <c r="BZ112">
        <f>SUMIFS('Responsibilities'!$B$31:$B$35,'Responsibilities'!$C$31:$C$35,35,'Responsibilities'!$D$31:$D$35,"Yes")</f>
        <v/>
      </c>
    </row>
    <row r="113" ht="28" customHeight="1">
      <c r="A113" s="4" t="inlineStr">
        <is>
          <t>No QBE</t>
        </is>
      </c>
      <c r="B113" s="4" t="n">
        <v>36</v>
      </c>
      <c r="C113" s="4">
        <f>ROUNDUP(B113/12,0)</f>
        <v/>
      </c>
      <c r="D113" s="137">
        <f>SUMIFS('Production schedule'!$N$222:$N$329,'Production schedule'!$C$222:$C$329,36)</f>
        <v/>
      </c>
      <c r="E113" s="137">
        <f>SUMIFS('Production schedule'!$Y$222:$Y$329,'Production schedule'!$C$222:$C$329,36)</f>
        <v/>
      </c>
      <c r="F113" s="137">
        <f>SUMIFS('Production schedule'!$Z$222:$Z$329,'Production schedule'!$C$222:$C$329,36)</f>
        <v/>
      </c>
      <c r="G113" s="137">
        <f>('Production schedule'!AJ257)*'Responsibilities'!$C$6+('Production schedule'!AJ293)*'Responsibilities'!$C$7+('Production schedule'!AJ329)*'Responsibilities'!$C$8</f>
        <v/>
      </c>
      <c r="H113" s="137">
        <f>('Production schedule'!AI257)*'Responsibilities'!$D$6+('Production schedule'!AI293)*'Responsibilities'!$D$7+('Production schedule'!AI329)*'Responsibilities'!$D$8</f>
        <v/>
      </c>
      <c r="I113" s="137">
        <f>SUM('Assumptions'!AM58:AM65)</f>
        <v/>
      </c>
      <c r="J113" s="137">
        <f>('Production schedule'!E257*(IF('Sites'!D6="Annual staff",SUM('Assumptions'!AM112,'Assumptions'!AM114),0)+SUM('Assumptions'!AM113,'Assumptions'!AM115:AM116)))*'Responsibilities'!$E$6+('Production schedule'!E293*(IF('Sites'!D7="Annual staff",SUM('Assumptions'!AM117,'Assumptions'!AM119),0)+SUM('Assumptions'!AM118,'Assumptions'!AM120:AM121)))*'Responsibilities'!$E$7+('Production schedule'!E329*(IF('Sites'!D8="Annual staff",SUM('Assumptions'!AM122,'Assumptions'!AM124),0)+SUM('Assumptions'!AM123,'Assumptions'!AM125:AM126)))*'Responsibilities'!$E$8</f>
        <v/>
      </c>
      <c r="K113" s="137">
        <f>(IF(AND('Production schedule'!E257=1,36=MAX(('Sites'!F6),25),ISNUMBER('Sites'!Q6)),'Sites'!Q6*'Assumptions'!$B$44,0))*'Responsibilities'!$F$6+(IF(AND('Production schedule'!E293=1,36=MAX(('Sites'!F7+'Cases'!G8),25),ISNUMBER('Sites'!Q7)),'Sites'!Q7*'Assumptions'!$B$44,0))*'Responsibilities'!$F$7+(IF(AND('Production schedule'!E329=1,36=MAX(('Sites'!F8+'Cases'!G8),25),ISNUMBER('Sites'!Q8)),'Sites'!Q8*'Assumptions'!$B$44,0))*'Responsibilities'!$F$8</f>
        <v/>
      </c>
      <c r="L113" s="137">
        <f>SUM('Costs'!E36)*'Costs'!F36/12*'Responsibilities'!$C$12+SUM('Costs'!E37)*'Costs'!F37/12*'Responsibilities'!$C$13+SUM('Costs'!E38)*'Costs'!F38/12*'Responsibilities'!$C$14+SUM('Costs'!E39)*'Costs'!F39/12*'Responsibilities'!$C$15+SUM('Costs'!E40)*'Costs'!F40/12*'Responsibilities'!$C$16+BZ113</f>
        <v/>
      </c>
      <c r="M113" s="137">
        <f>('Sites'!E6*'Capital'!E6*(IF(36='Capital'!G6,'Capital'!F6,0)+IF(36='Capital'!H6,1-'Capital'!F6,0)))*'Responsibilities'!$G$6+('Sites'!E7*'Capital'!E7*(IF(36='Capital'!G7+'Cases'!G8,'Capital'!F7,0)+IF(36='Capital'!H7+'Cases'!G8,1-'Capital'!F7,0)))*'Responsibilities'!$G$7+('Sites'!E8*'Cases'!F8*'Capital'!E8*(IF(36='Capital'!G8+'Cases'!G8,'Capital'!F8,0)+IF(36='Capital'!H8+'Cases'!G8,1-'Capital'!F8,0)))*'Responsibilities'!$G$8</f>
        <v/>
      </c>
      <c r="N113" s="137">
        <f>SUM(G113:M113)</f>
        <v/>
      </c>
      <c r="O113" s="137">
        <f>SUMIFS(FundingTranches[Secured amount],FundingTranches[Instrument],"Grant",FundingTranches[Secured month],36)</f>
        <v/>
      </c>
      <c r="P113" s="137">
        <f>SUMIFS(FundingTranches[No QBE possible],FundingTranches[Instrument],"Grant",FundingTranches[Scenario month],36-'Cases'!$D$8)</f>
        <v/>
      </c>
      <c r="Q113" s="137">
        <f>SUMIFS(FundingTranches[Secured amount],FundingTranches[Instrument],"Loan",FundingTranches[Secured month],36)</f>
        <v/>
      </c>
      <c r="R113" s="137">
        <f>SUMIFS(FundingTranches[No QBE possible],FundingTranches[Instrument],"Loan",FundingTranches[Scenario month],36-'Cases'!$D$8)</f>
        <v/>
      </c>
      <c r="S113" s="137">
        <f>IF(36&lt;='Assumptions'!$B$34,0,SUMIFS('Production schedule'!$AL$222:$AL$329,'Production schedule'!$C$222:$C$329,36-'Assumptions'!$B$34))</f>
        <v/>
      </c>
      <c r="T113" s="137">
        <f>'Assumptions'!AM70</f>
        <v/>
      </c>
      <c r="U113" s="137">
        <f>'Assumptions'!AM78</f>
        <v/>
      </c>
      <c r="V113" s="137">
        <f>SUM(O113:U113)</f>
        <v/>
      </c>
      <c r="W113" s="137">
        <f>AA112</f>
        <v/>
      </c>
      <c r="X113" s="137">
        <f>SUM(Q113:R113)</f>
        <v/>
      </c>
      <c r="Y113" s="137">
        <f>SUM(W113,X113)*'Assumptions'!$B$39/12</f>
        <v/>
      </c>
      <c r="Z113" s="137">
        <f>IF(SUM(W113,X113)&gt;0,MIN(SUM(W113,X113),MAX(0,BP113-Y113)),0)</f>
        <v/>
      </c>
      <c r="AA113" s="137">
        <f>SUM(W113,X113)-Z113</f>
        <v/>
      </c>
      <c r="AB113" s="137">
        <f>SUM(Y113:Z113)</f>
        <v/>
      </c>
      <c r="AC113" s="137">
        <f>'Assumptions'!AM72</f>
        <v/>
      </c>
      <c r="AD113" s="137">
        <f>'Assumptions'!AM73</f>
        <v/>
      </c>
      <c r="AE113" s="137">
        <f>IF(X113&gt;0,SUM('Assumptions'!$B$42),0)</f>
        <v/>
      </c>
      <c r="AF113" s="137">
        <f>'Assumptions'!AM71</f>
        <v/>
      </c>
      <c r="AG113" s="137">
        <f>'Assumptions'!AM74</f>
        <v/>
      </c>
      <c r="AH113" s="137">
        <f>'Assumptions'!AM75</f>
        <v/>
      </c>
      <c r="AI113" s="137">
        <f>'Assumptions'!AM77</f>
        <v/>
      </c>
      <c r="AJ113" s="137">
        <f>V113-N113-SUM(AB113:AI113)</f>
        <v/>
      </c>
      <c r="AK113" s="137">
        <f>SUM(AJ78:AJ113)</f>
        <v/>
      </c>
      <c r="AL113" s="137">
        <f>IF(ISNUMBER('Assumptions'!$B$10),'Assumptions'!$B$10+AK113,"")</f>
        <v/>
      </c>
      <c r="AM113" s="137">
        <f>SUM(O113,Q113,T113)-N113-SUM(AC113:AI113)+IF('Funding'!$N$11=0,AE113,0)-IF('Funding'!$N$11&gt;0,AB113,0)</f>
        <v/>
      </c>
      <c r="AN113" s="137">
        <f>SUM(AM78:AM113)</f>
        <v/>
      </c>
      <c r="AO113" s="137">
        <f>IF(ISNUMBER('Assumptions'!$B$10),'Assumptions'!$B$10+AN113,"")</f>
        <v/>
      </c>
      <c r="AP113" s="137">
        <f>('Production schedule'!AK257)*'Responsibilities'!$C$6+('Production schedule'!AK293)*'Responsibilities'!$C$7+('Production schedule'!AK329)*'Responsibilities'!$C$8</f>
        <v/>
      </c>
      <c r="AQ113" s="137">
        <f>SUMIFS('Production schedule'!$AL$222:$AL$329,'Production schedule'!$C$222:$C$329,36)</f>
        <v/>
      </c>
      <c r="AR113" s="137">
        <f>IF(ISNUMBER('Assumptions'!AM76),'Assumptions'!AM76,SUM(O113:P113))</f>
        <v/>
      </c>
      <c r="AS113" s="137">
        <f>IF(ISNUMBER('Assumptions'!$B$13),MIN('Assumptions'!$B$13/'Assumptions'!$B$18/12,MAX(0,'Assumptions'!$B$13-(36-1)*'Assumptions'!$B$13/'Assumptions'!$B$18/12)),0)+IF(AND('Sites'!E6=1,36&gt;=('Sites'!F6),36&lt;('Sites'!F6)+'Assumptions'!$B$18*12),'Capital'!E6/'Assumptions'!$B$18/12,0)+IF(AND('Sites'!E7=1,36&gt;=('Sites'!F7+'Cases'!G8),36&lt;('Sites'!F7+'Cases'!G8)+'Assumptions'!$B$18*12),'Capital'!E7/'Assumptions'!$B$18/12,0)+IF(AND('Sites'!E8*'Cases'!F8=1,36&gt;=('Sites'!F8+'Cases'!G8),36&lt;('Sites'!F8+'Cases'!G8)+'Assumptions'!$B$18*12),'Capital'!E8/'Assumptions'!$B$18/12,0)</f>
        <v/>
      </c>
      <c r="AT113" s="137">
        <f>SUM(AQ113,AR113,U113)-AP113-SUM(H113:L113)-AS113-SUM(Y113,AD113,AE113,AH113)</f>
        <v/>
      </c>
      <c r="AU113" s="137">
        <f>IF(ISNUMBER('Assumptions'!$B$19),MAX(0,SUM(AT102:AT113))*'Assumptions'!$B$19-SUM(AU102:AU112),"")</f>
        <v/>
      </c>
      <c r="AV113" s="137">
        <f>IF(ISNUMBER(AU113),AT113-AU113,"")</f>
        <v/>
      </c>
      <c r="AW113" s="137">
        <f>IF(ISNUMBER('Assumptions'!$B$11),'Assumptions'!$B$11+SUM(AQ78:AQ113)-SUM(S78:S113)-SUM(T78:T113),"")</f>
        <v/>
      </c>
      <c r="AX113" s="137">
        <f>IF(ISNUMBER('Assumptions'!$B$12),'Assumptions'!$B$12+SUM(G78:G113)-SUM(AP78:AP113),"")</f>
        <v/>
      </c>
      <c r="AY113" s="137">
        <f>IF(ISNUMBER('Assumptions'!$B$13),'Assumptions'!$B$13+SUM(M78:M113)-SUM(AS78:AS113),"")</f>
        <v/>
      </c>
      <c r="AZ113" s="137">
        <f>IF(ISNUMBER('Assumptions'!$B$14),'Assumptions'!$B$14+-SUM(AF78:AF113),"")</f>
        <v/>
      </c>
      <c r="BA113" s="137">
        <f>IF(ISNUMBER('Assumptions'!$B$15),'Assumptions'!$B$15+SUM(O78:O113)+SUM(P78:P113)-SUM(AR78:AR113),"")</f>
        <v/>
      </c>
      <c r="BB113" s="137">
        <f>IF(ISNUMBER('Assumptions'!$B$16),'Assumptions'!$B$16+-SUM(AC78:AC113),"")</f>
        <v/>
      </c>
      <c r="BC113" s="137">
        <f>IF(AND(ISNUMBER('Assumptions'!$B$21),ISNUMBER('Assumptions'!$B$19)),'Assumptions'!$B$21+SUM(AU78:AU113)-SUM(AG78:AG113),"")</f>
        <v/>
      </c>
      <c r="BD113" s="137">
        <f>IF(ISNUMBER('Assumptions'!$B$20),'Assumptions'!$B$20+-SUM(AI78:AI113),"")</f>
        <v/>
      </c>
      <c r="BE113" s="137">
        <f>IF(AND(ISNUMBER('Assumptions'!$B$17),COUNT(AV78:AV113)=36),'Assumptions'!$B$17+SUM(AV78:AV113),"")</f>
        <v/>
      </c>
      <c r="BF113" s="137">
        <f>IF(COUNT(AL113,AW113:AY113)=4,SUM(AL113,AW113:AY113),"")</f>
        <v/>
      </c>
      <c r="BG113" s="137">
        <f>IF(COUNT(AZ113:BD113)=5,SUM(AZ113:BD113,AA113),"")</f>
        <v/>
      </c>
      <c r="BH113" s="137">
        <f>IF(COUNT(BF113,BG113,BE113)=3,BF113-BG113-BE113,"")</f>
        <v/>
      </c>
      <c r="BI113" s="137">
        <f>SUM(W113,X113)-Z113-AA113</f>
        <v/>
      </c>
      <c r="BJ113" s="137">
        <f>8-COUNT('Assumptions'!AM58:AM65)+COUNTBLANK('NM Play'!B33:B34)+'Costs'!E44+IF(AND('Sites'!E6=1,('Sites'!F6)&lt;=36,'Sites'!G6&gt;=25),IF(ISNUMBER('Sites'!Q6),0,1)+'Capital'!I6+COUNTBLANK('Sites'!R6)+IF('Sites'!D6="NM crew",COUNTBLANK('NM Play'!B25)+1,5-COUNT('Assumptions'!AM112:AM116)),0)+IF(AND('Sites'!E7=1,('Sites'!F7+'Cases'!G8)&lt;=36,'Sites'!G7&gt;=25),IF(ISNUMBER('Sites'!Q7),0,1)+'Capital'!I7+COUNTBLANK('Sites'!R7)+IF('Sites'!D7="NM crew",COUNTBLANK('NM Play'!B25)+1,5-COUNT('Assumptions'!AM117:AM121)),0)+IF(AND('Sites'!E8*'Cases'!F8=1,('Sites'!F8+'Cases'!G8)&lt;=36,'Sites'!G8&gt;=25),IF(ISNUMBER('Sites'!Q8),0,1)+'Capital'!I8+COUNTBLANK('Sites'!R8)+IF('Sites'!D8="NM crew",COUNTBLANK('NM Play'!B25)+1,5-COUNT('Assumptions'!AM122:AM126)),0)+IF(AND('Cases'!C8&gt;0,NOT(ISNUMBER('Assumptions'!B42))),1,0)+'Responsibilities'!$B$39</f>
        <v/>
      </c>
      <c r="BK113" s="137">
        <f>'Assumptions'!$B$50+'NM Play'!$B$83+'Funding'!$F$20+SUMIFS('Production schedule'!$AN$222:$AN$329,'Production schedule'!$C$222:$C$329,36)+IF(OR('Cases'!E8&lt;0,'Cases'!E8&gt;1,'Cases'!C8&lt;0,'Cases'!D8&lt;0,ABS(SUM('Sites'!S6:S8)-1)&gt;0.0001,MIN('Capital'!F6:F8)&lt;0,MAX('Capital'!F6:F8)&gt;1,MIN(AX113,AZ113,BB113,BA113)&lt;-0.01),1,0)+'Responsibilities'!$B$40</f>
        <v/>
      </c>
      <c r="BL113" s="137">
        <f>SUMIFS('Production schedule'!$T$222:$T$329,'Production schedule'!$C$222:$C$329,36)</f>
        <v/>
      </c>
      <c r="BM113" s="137">
        <f>D113*'NM Play'!$B$38</f>
        <v/>
      </c>
      <c r="BN113" s="137">
        <f>SUMIFS('Production schedule'!$AM$222:$AM$329,'Production schedule'!$C$222:$C$329,36)</f>
        <v/>
      </c>
      <c r="BO113" s="137">
        <f>AK113-AK112-AJ113</f>
        <v/>
      </c>
      <c r="BP113" s="137">
        <f>IF(AND('Assumptions'!$B$39&gt;=0,'Assumptions'!$B$40&gt;0),-PMT('Assumptions'!$B$39/12,'Assumptions'!$B$40*12,IF('Funding'!$N$11&gt;0,'Funding'!$N$11,'Funding'!$T$11)),"")</f>
        <v/>
      </c>
      <c r="BQ113">
        <f>('Production schedule'!AJ257)*(1-'Responsibilities'!$C$6)+('Production schedule'!AJ293)*(1-'Responsibilities'!$C$7)+('Production schedule'!AJ329)*(1-'Responsibilities'!$C$8)</f>
        <v/>
      </c>
      <c r="BR113">
        <f>('Production schedule'!AI257)*(1-'Responsibilities'!$D$6)+('Production schedule'!AI293)*(1-'Responsibilities'!$D$7)+('Production schedule'!AI329)*(1-'Responsibilities'!$D$8)</f>
        <v/>
      </c>
      <c r="BS113">
        <f>('Production schedule'!E257*(IF('Sites'!D6="Annual staff",SUM('Assumptions'!AM112,'Assumptions'!AM114),0)+SUM('Assumptions'!AM113,'Assumptions'!AM115:AM116)))*(1-'Responsibilities'!$E$6)+('Production schedule'!E293*(IF('Sites'!D7="Annual staff",SUM('Assumptions'!AM117,'Assumptions'!AM119),0)+SUM('Assumptions'!AM118,'Assumptions'!AM120:AM121)))*(1-'Responsibilities'!$E$7)+('Production schedule'!E329*(IF('Sites'!D8="Annual staff",SUM('Assumptions'!AM122,'Assumptions'!AM124),0)+SUM('Assumptions'!AM123,'Assumptions'!AM125:AM126)))*(1-'Responsibilities'!$E$8)</f>
        <v/>
      </c>
      <c r="BT113">
        <f>(IF(AND('Production schedule'!E257=1,36=MAX(('Sites'!F6),25),ISNUMBER('Sites'!Q6)),'Sites'!Q6*'Assumptions'!$B$44,0))*(1-'Responsibilities'!$F$6)+(IF(AND('Production schedule'!E293=1,36=MAX(('Sites'!F7+'Cases'!G8),25),ISNUMBER('Sites'!Q7)),'Sites'!Q7*'Assumptions'!$B$44,0))*(1-'Responsibilities'!$F$7)+(IF(AND('Production schedule'!E329=1,36=MAX(('Sites'!F8+'Cases'!G8),25),ISNUMBER('Sites'!Q8)),'Sites'!Q8*'Assumptions'!$B$44,0))*(1-'Responsibilities'!$F$8)</f>
        <v/>
      </c>
      <c r="BU113">
        <f>SUM('Costs'!E36)*'Costs'!F36/12*(1-'Responsibilities'!$C$12)+SUM('Costs'!E37)*'Costs'!F37/12*(1-'Responsibilities'!$C$13)+SUM('Costs'!E38)*'Costs'!F38/12*(1-'Responsibilities'!$C$14)+SUM('Costs'!E39)*'Costs'!F39/12*(1-'Responsibilities'!$C$15)+SUM('Costs'!E40)*'Costs'!F40/12*(1-'Responsibilities'!$C$16)</f>
        <v/>
      </c>
      <c r="BV113">
        <f>('Sites'!E6*'Capital'!E6*(IF(36='Capital'!G6,'Capital'!F6,0)+IF(36='Capital'!H6,1-'Capital'!F6,0)))*(1-'Responsibilities'!$G$6)+('Sites'!E7*'Capital'!E7*(IF(36='Capital'!G7+'Cases'!G8,'Capital'!F7,0)+IF(36='Capital'!H7+'Cases'!G8,1-'Capital'!F7,0)))*(1-'Responsibilities'!$G$7)+('Sites'!E8*'Cases'!F8*'Capital'!E8*(IF(36='Capital'!G8+'Cases'!G8,'Capital'!F8,0)+IF(36='Capital'!H8+'Cases'!G8,1-'Capital'!F8,0)))*(1-'Responsibilities'!$G$8)</f>
        <v/>
      </c>
      <c r="BW113">
        <f>SUM(BQ113:BV113)</f>
        <v/>
      </c>
      <c r="BX113">
        <f>N113+BW113</f>
        <v/>
      </c>
      <c r="BY113">
        <f>BX113-(('Production schedule'!AJ257)*'Responsibilities'!$C$6+('Production schedule'!AJ293)*'Responsibilities'!$C$7+('Production schedule'!AJ329)*'Responsibilities'!$C$8+('Production schedule'!AJ257)*(1-'Responsibilities'!$C$6)+('Production schedule'!AJ293)*(1-'Responsibilities'!$C$7)+('Production schedule'!AJ329)*(1-'Responsibilities'!$C$8)+('Production schedule'!AI257)*'Responsibilities'!$D$6+('Production schedule'!AI293)*'Responsibilities'!$D$7+('Production schedule'!AI329)*'Responsibilities'!$D$8+('Production schedule'!AI257)*(1-'Responsibilities'!$D$6)+('Production schedule'!AI293)*(1-'Responsibilities'!$D$7)+('Production schedule'!AI329)*(1-'Responsibilities'!$D$8)+('Production schedule'!E257*(IF('Sites'!D6="Annual staff",SUM('Assumptions'!AM112,'Assumptions'!AM114),0)+SUM('Assumptions'!AM113,'Assumptions'!AM115:AM116)))*'Responsibilities'!$E$6+('Production schedule'!E293*(IF('Sites'!D7="Annual staff",SUM('Assumptions'!AM117,'Assumptions'!AM119),0)+SUM('Assumptions'!AM118,'Assumptions'!AM120:AM121)))*'Responsibilities'!$E$7+('Production schedule'!E329*(IF('Sites'!D8="Annual staff",SUM('Assumptions'!AM122,'Assumptions'!AM124),0)+SUM('Assumptions'!AM123,'Assumptions'!AM125:AM126)))*'Responsibilities'!$E$8+('Production schedule'!E257*(IF('Sites'!D6="Annual staff",SUM('Assumptions'!AM112,'Assumptions'!AM114),0)+SUM('Assumptions'!AM113,'Assumptions'!AM115:AM116)))*(1-'Responsibilities'!$E$6)+('Production schedule'!E293*(IF('Sites'!D7="Annual staff",SUM('Assumptions'!AM117,'Assumptions'!AM119),0)+SUM('Assumptions'!AM118,'Assumptions'!AM120:AM121)))*(1-'Responsibilities'!$E$7)+('Production schedule'!E329*(IF('Sites'!D8="Annual staff",SUM('Assumptions'!AM122,'Assumptions'!AM124),0)+SUM('Assumptions'!AM123,'Assumptions'!AM125:AM126)))*(1-'Responsibilities'!$E$8)+(IF(AND('Production schedule'!E257=1,36=MAX(('Sites'!F6),25),ISNUMBER('Sites'!Q6)),'Sites'!Q6*'Assumptions'!$B$44,0))*'Responsibilities'!$F$6+(IF(AND('Production schedule'!E293=1,36=MAX(('Sites'!F7+'Cases'!G8),25),ISNUMBER('Sites'!Q7)),'Sites'!Q7*'Assumptions'!$B$44,0))*'Responsibilities'!$F$7+(IF(AND('Production schedule'!E329=1,36=MAX(('Sites'!F8+'Cases'!G8),25),ISNUMBER('Sites'!Q8)),'Sites'!Q8*'Assumptions'!$B$44,0))*'Responsibilities'!$F$8+(IF(AND('Production schedule'!E257=1,36=MAX(('Sites'!F6),25),ISNUMBER('Sites'!Q6)),'Sites'!Q6*'Assumptions'!$B$44,0))*(1-'Responsibilities'!$F$6)+(IF(AND('Production schedule'!E293=1,36=MAX(('Sites'!F7+'Cases'!G8),25),ISNUMBER('Sites'!Q7)),'Sites'!Q7*'Assumptions'!$B$44,0))*(1-'Responsibilities'!$F$7)+(IF(AND('Production schedule'!E329=1,36=MAX(('Sites'!F8+'Cases'!G8),25),ISNUMBER('Sites'!Q8)),'Sites'!Q8*'Assumptions'!$B$44,0))*(1-'Responsibilities'!$F$8)+('Sites'!E6*'Capital'!E6*(IF(36='Capital'!G6,'Capital'!F6,0)+IF(36='Capital'!H6,1-'Capital'!F6,0)))*'Responsibilities'!$G$6+('Sites'!E7*'Capital'!E7*(IF(36='Capital'!G7+'Cases'!G8,'Capital'!F7,0)+IF(36='Capital'!H7+'Cases'!G8,1-'Capital'!F7,0)))*'Responsibilities'!$G$7+('Sites'!E8*'Cases'!F8*'Capital'!E8*(IF(36='Capital'!G8+'Cases'!G8,'Capital'!F8,0)+IF(36='Capital'!H8+'Cases'!G8,1-'Capital'!F8,0)))*'Responsibilities'!$G$8+('Sites'!E6*'Capital'!E6*(IF(36='Capital'!G6,'Capital'!F6,0)+IF(36='Capital'!H6,1-'Capital'!F6,0)))*(1-'Responsibilities'!$G$6)+('Sites'!E7*'Capital'!E7*(IF(36='Capital'!G7+'Cases'!G8,'Capital'!F7,0)+IF(36='Capital'!H7+'Cases'!G8,1-'Capital'!F7,0)))*(1-'Responsibilities'!$G$7)+('Sites'!E8*'Cases'!F8*'Capital'!E8*(IF(36='Capital'!G8+'Cases'!G8,'Capital'!F8,0)+IF(36='Capital'!H8+'Cases'!G8,1-'Capital'!F8,0)))*(1-'Responsibilities'!$G$8)+I113+SUMPRODUCT('Costs'!$E$36:$E$40,'Costs'!$F$36:$F$40)/12+BZ113)</f>
        <v/>
      </c>
      <c r="BZ113">
        <f>SUMIFS('Responsibilities'!$B$31:$B$35,'Responsibilities'!$C$31:$C$35,36,'Responsibilities'!$D$31:$D$35,"Yes")</f>
        <v/>
      </c>
    </row>
    <row r="114" ht="28" customHeight="1">
      <c r="A114" s="4" t="inlineStr">
        <is>
          <t>Delayed receipts</t>
        </is>
      </c>
      <c r="B114" s="4" t="n">
        <v>1</v>
      </c>
      <c r="C114" s="4">
        <f>ROUNDUP(B114/12,0)</f>
        <v/>
      </c>
      <c r="D114" s="137">
        <f>SUMIFS('Production schedule'!$N$330:$N$437,'Production schedule'!$C$330:$C$437,1)</f>
        <v/>
      </c>
      <c r="E114" s="137">
        <f>SUMIFS('Production schedule'!$Y$330:$Y$437,'Production schedule'!$C$330:$C$437,1)</f>
        <v/>
      </c>
      <c r="F114" s="137">
        <f>SUMIFS('Production schedule'!$Z$330:$Z$437,'Production schedule'!$C$330:$C$437,1)</f>
        <v/>
      </c>
      <c r="G114" s="137">
        <f>('Production schedule'!AJ330)*'Responsibilities'!$C$6+('Production schedule'!AJ366)*'Responsibilities'!$C$7+('Production schedule'!AJ402)*'Responsibilities'!$C$8</f>
        <v/>
      </c>
      <c r="H114" s="137">
        <f>('Production schedule'!AI330)*'Responsibilities'!$D$6+('Production schedule'!AI366)*'Responsibilities'!$D$7+('Production schedule'!AI402)*'Responsibilities'!$D$8</f>
        <v/>
      </c>
      <c r="I114" s="137">
        <f>SUM('Assumptions'!D58:D65)</f>
        <v/>
      </c>
      <c r="J114" s="137">
        <f>('Production schedule'!E330*(IF('Sites'!D6="Annual staff",SUM('Assumptions'!D112,'Assumptions'!D114),0)+SUM('Assumptions'!D113,'Assumptions'!D115:D116)))*'Responsibilities'!$E$6+('Production schedule'!E366*(IF('Sites'!D7="Annual staff",SUM('Assumptions'!D117,'Assumptions'!D119),0)+SUM('Assumptions'!D118,'Assumptions'!D120:D121)))*'Responsibilities'!$E$7+('Production schedule'!E402*(IF('Sites'!D8="Annual staff",SUM('Assumptions'!D122,'Assumptions'!D124),0)+SUM('Assumptions'!D123,'Assumptions'!D125:D126)))*'Responsibilities'!$E$8</f>
        <v/>
      </c>
      <c r="K114" s="137">
        <f>(IF(AND('Production schedule'!E330=1,1=MAX(('Sites'!F6),1),ISNUMBER('Sites'!O6)),'Sites'!O6*'Assumptions'!$B$44,0))*'Responsibilities'!$F$6+(IF(AND('Production schedule'!E366=1,1=MAX(('Sites'!F7+'Cases'!G9),1),ISNUMBER('Sites'!O7)),'Sites'!O7*'Assumptions'!$B$44,0))*'Responsibilities'!$F$7+(IF(AND('Production schedule'!E402=1,1=MAX(('Sites'!F8+'Cases'!G9),1),ISNUMBER('Sites'!O8)),'Sites'!O8*'Assumptions'!$B$44,0))*'Responsibilities'!$F$8</f>
        <v/>
      </c>
      <c r="L114" s="137">
        <f>SUM('Costs'!E36)*'Costs'!F36/12*'Responsibilities'!$C$12+SUM('Costs'!E37)*'Costs'!F37/12*'Responsibilities'!$C$13+SUM('Costs'!E38)*'Costs'!F38/12*'Responsibilities'!$C$14+SUM('Costs'!E39)*'Costs'!F39/12*'Responsibilities'!$C$15+SUM('Costs'!E40)*'Costs'!F40/12*'Responsibilities'!$C$16+BZ114</f>
        <v/>
      </c>
      <c r="M114" s="137">
        <f>('Sites'!E6*'Capital'!E6*(IF(1='Capital'!G6,'Capital'!F6,0)+IF(1='Capital'!H6,1-'Capital'!F6,0)))*'Responsibilities'!$G$6+('Sites'!E7*'Capital'!E7*(IF(1='Capital'!G7+'Cases'!G9,'Capital'!F7,0)+IF(1='Capital'!H7+'Cases'!G9,1-'Capital'!F7,0)))*'Responsibilities'!$G$7+('Sites'!E8*'Cases'!F9*'Capital'!E8*(IF(1='Capital'!G8+'Cases'!G9,'Capital'!F8,0)+IF(1='Capital'!H8+'Cases'!G9,1-'Capital'!F8,0)))*'Responsibilities'!$G$8</f>
        <v/>
      </c>
      <c r="N114" s="137">
        <f>SUM(G114:M114)</f>
        <v/>
      </c>
      <c r="O114" s="137">
        <f>SUMIFS(FundingTranches[Secured amount],FundingTranches[Instrument],"Grant",FundingTranches[Secured month],1)</f>
        <v/>
      </c>
      <c r="P114" s="137">
        <f>SUMIFS(FundingTranches[Delayed receipts possible],FundingTranches[Instrument],"Grant",FundingTranches[Scenario month],1-'Cases'!$D$9)</f>
        <v/>
      </c>
      <c r="Q114" s="137">
        <f>SUMIFS(FundingTranches[Secured amount],FundingTranches[Instrument],"Loan",FundingTranches[Secured month],1)</f>
        <v/>
      </c>
      <c r="R114" s="137">
        <f>SUMIFS(FundingTranches[Delayed receipts possible],FundingTranches[Instrument],"Loan",FundingTranches[Scenario month],1-'Cases'!$D$9)</f>
        <v/>
      </c>
      <c r="S114" s="137">
        <f>IF(1&lt;='Assumptions'!$B$34,0,SUMIFS('Production schedule'!$AL$330:$AL$437,'Production schedule'!$C$330:$C$437,1-'Assumptions'!$B$34))</f>
        <v/>
      </c>
      <c r="T114" s="137">
        <f>'Assumptions'!D70</f>
        <v/>
      </c>
      <c r="U114" s="137">
        <f>'Assumptions'!D78</f>
        <v/>
      </c>
      <c r="V114" s="137">
        <f>SUM(O114:U114)</f>
        <v/>
      </c>
      <c r="W114" s="137">
        <f>0</f>
        <v/>
      </c>
      <c r="X114" s="137">
        <f>SUM(Q114:R114)</f>
        <v/>
      </c>
      <c r="Y114" s="137">
        <f>SUM(W114,X114)*'Assumptions'!$B$39/12</f>
        <v/>
      </c>
      <c r="Z114" s="137">
        <f>IF(SUM(W114,X114)&gt;0,MIN(SUM(W114,X114),MAX(0,BP114-Y114)),0)</f>
        <v/>
      </c>
      <c r="AA114" s="137">
        <f>SUM(W114,X114)-Z114</f>
        <v/>
      </c>
      <c r="AB114" s="137">
        <f>SUM(Y114:Z114)</f>
        <v/>
      </c>
      <c r="AC114" s="137">
        <f>'Assumptions'!D72</f>
        <v/>
      </c>
      <c r="AD114" s="137">
        <f>'Assumptions'!D73</f>
        <v/>
      </c>
      <c r="AE114" s="137">
        <f>IF(X114&gt;0,SUM('Assumptions'!$B$42),0)</f>
        <v/>
      </c>
      <c r="AF114" s="137">
        <f>'Assumptions'!D71</f>
        <v/>
      </c>
      <c r="AG114" s="137">
        <f>'Assumptions'!D74</f>
        <v/>
      </c>
      <c r="AH114" s="137">
        <f>'Assumptions'!D75</f>
        <v/>
      </c>
      <c r="AI114" s="137">
        <f>'Assumptions'!D77</f>
        <v/>
      </c>
      <c r="AJ114" s="137">
        <f>V114-N114-SUM(AB114:AI114)</f>
        <v/>
      </c>
      <c r="AK114" s="137">
        <f>SUM(AJ114:AJ114)</f>
        <v/>
      </c>
      <c r="AL114" s="137">
        <f>IF(ISNUMBER('Assumptions'!$B$10),'Assumptions'!$B$10+AK114,"")</f>
        <v/>
      </c>
      <c r="AM114" s="137">
        <f>SUM(O114,Q114,T114)-N114-SUM(AC114:AI114)+IF('Funding'!$N$11=0,AE114,0)-IF('Funding'!$N$11&gt;0,AB114,0)</f>
        <v/>
      </c>
      <c r="AN114" s="137">
        <f>SUM(AM114:AM114)</f>
        <v/>
      </c>
      <c r="AO114" s="137">
        <f>IF(ISNUMBER('Assumptions'!$B$10),'Assumptions'!$B$10+AN114,"")</f>
        <v/>
      </c>
      <c r="AP114" s="137">
        <f>('Production schedule'!AK330)*'Responsibilities'!$C$6+('Production schedule'!AK366)*'Responsibilities'!$C$7+('Production schedule'!AK402)*'Responsibilities'!$C$8</f>
        <v/>
      </c>
      <c r="AQ114" s="137">
        <f>SUMIFS('Production schedule'!$AL$330:$AL$437,'Production schedule'!$C$330:$C$437,1)</f>
        <v/>
      </c>
      <c r="AR114" s="137">
        <f>IF(ISNUMBER('Assumptions'!D76),'Assumptions'!D76,SUM(O114:P114))</f>
        <v/>
      </c>
      <c r="AS114" s="137">
        <f>IF(ISNUMBER('Assumptions'!$B$13),MIN('Assumptions'!$B$13/'Assumptions'!$B$18/12,MAX(0,'Assumptions'!$B$13-(1-1)*'Assumptions'!$B$13/'Assumptions'!$B$18/12)),0)+IF(AND('Sites'!E6=1,1&gt;=('Sites'!F6),1&lt;('Sites'!F6)+'Assumptions'!$B$18*12),'Capital'!E6/'Assumptions'!$B$18/12,0)+IF(AND('Sites'!E7=1,1&gt;=('Sites'!F7+'Cases'!G9),1&lt;('Sites'!F7+'Cases'!G9)+'Assumptions'!$B$18*12),'Capital'!E7/'Assumptions'!$B$18/12,0)+IF(AND('Sites'!E8*'Cases'!F9=1,1&gt;=('Sites'!F8+'Cases'!G9),1&lt;('Sites'!F8+'Cases'!G9)+'Assumptions'!$B$18*12),'Capital'!E8/'Assumptions'!$B$18/12,0)</f>
        <v/>
      </c>
      <c r="AT114" s="137">
        <f>SUM(AQ114,AR114,U114)-AP114-SUM(H114:L114)-AS114-SUM(Y114,AD114,AE114,AH114)</f>
        <v/>
      </c>
      <c r="AU114" s="137">
        <f>IF(ISNUMBER('Assumptions'!$B$19),MAX(0,SUM(AT114:AT114))*'Assumptions'!$B$19-0,"")</f>
        <v/>
      </c>
      <c r="AV114" s="137">
        <f>IF(ISNUMBER(AU114),AT114-AU114,"")</f>
        <v/>
      </c>
      <c r="AW114" s="137">
        <f>IF(ISNUMBER('Assumptions'!$B$11),'Assumptions'!$B$11+SUM(AQ114:AQ114)-SUM(S114:S114)-SUM(T114:T114),"")</f>
        <v/>
      </c>
      <c r="AX114" s="137">
        <f>IF(ISNUMBER('Assumptions'!$B$12),'Assumptions'!$B$12+SUM(G114:G114)-SUM(AP114:AP114),"")</f>
        <v/>
      </c>
      <c r="AY114" s="137">
        <f>IF(ISNUMBER('Assumptions'!$B$13),'Assumptions'!$B$13+SUM(M114:M114)-SUM(AS114:AS114),"")</f>
        <v/>
      </c>
      <c r="AZ114" s="137">
        <f>IF(ISNUMBER('Assumptions'!$B$14),'Assumptions'!$B$14+-SUM(AF114:AF114),"")</f>
        <v/>
      </c>
      <c r="BA114" s="137">
        <f>IF(ISNUMBER('Assumptions'!$B$15),'Assumptions'!$B$15+SUM(O114:O114)+SUM(P114:P114)-SUM(AR114:AR114),"")</f>
        <v/>
      </c>
      <c r="BB114" s="137">
        <f>IF(ISNUMBER('Assumptions'!$B$16),'Assumptions'!$B$16+-SUM(AC114:AC114),"")</f>
        <v/>
      </c>
      <c r="BC114" s="137">
        <f>IF(AND(ISNUMBER('Assumptions'!$B$21),ISNUMBER('Assumptions'!$B$19)),'Assumptions'!$B$21+SUM(AU114:AU114)-SUM(AG114:AG114),"")</f>
        <v/>
      </c>
      <c r="BD114" s="137">
        <f>IF(ISNUMBER('Assumptions'!$B$20),'Assumptions'!$B$20+-SUM(AI114:AI114),"")</f>
        <v/>
      </c>
      <c r="BE114" s="137">
        <f>IF(AND(ISNUMBER('Assumptions'!$B$17),COUNT(AV114:AV114)=1),'Assumptions'!$B$17+SUM(AV114:AV114),"")</f>
        <v/>
      </c>
      <c r="BF114" s="137">
        <f>IF(COUNT(AL114,AW114:AY114)=4,SUM(AL114,AW114:AY114),"")</f>
        <v/>
      </c>
      <c r="BG114" s="137">
        <f>IF(COUNT(AZ114:BD114)=5,SUM(AZ114:BD114,AA114),"")</f>
        <v/>
      </c>
      <c r="BH114" s="137">
        <f>IF(COUNT(BF114,BG114,BE114)=3,BF114-BG114-BE114,"")</f>
        <v/>
      </c>
      <c r="BI114" s="137">
        <f>SUM(W114,X114)-Z114-AA114</f>
        <v/>
      </c>
      <c r="BJ114" s="137">
        <f>8-COUNT('Assumptions'!D58:D65)+COUNTBLANK('NM Play'!B33:B34)+'Costs'!E44+IF(AND('Sites'!E6=1,('Sites'!F6)&lt;=12,'Sites'!G6&gt;=1),IF(ISNUMBER('Sites'!O6),0,1)+'Capital'!I6+COUNTBLANK('Sites'!R6)+IF('Sites'!D6="NM crew",COUNTBLANK('NM Play'!B25)+1,5-COUNT('Assumptions'!D112:D116)),0)+IF(AND('Sites'!E7=1,('Sites'!F7+'Cases'!G9)&lt;=12,'Sites'!G7&gt;=1),IF(ISNUMBER('Sites'!O7),0,1)+'Capital'!I7+COUNTBLANK('Sites'!R7)+IF('Sites'!D7="NM crew",COUNTBLANK('NM Play'!B25)+1,5-COUNT('Assumptions'!D117:D121)),0)+IF(AND('Sites'!E8*'Cases'!F9=1,('Sites'!F8+'Cases'!G9)&lt;=12,'Sites'!G8&gt;=1),IF(ISNUMBER('Sites'!O8),0,1)+'Capital'!I8+COUNTBLANK('Sites'!R8)+IF('Sites'!D8="NM crew",COUNTBLANK('NM Play'!B25)+1,5-COUNT('Assumptions'!D122:D126)),0)+IF(AND('Cases'!C9&gt;0,NOT(ISNUMBER('Assumptions'!B42))),1,0)+'Responsibilities'!$B$39</f>
        <v/>
      </c>
      <c r="BK114" s="137">
        <f>'Assumptions'!$B$50+'NM Play'!$B$83+'Funding'!$F$20+SUMIFS('Production schedule'!$AN$330:$AN$437,'Production schedule'!$C$330:$C$437,1)+IF(OR('Cases'!E9&lt;0,'Cases'!E9&gt;1,'Cases'!C9&lt;0,'Cases'!D9&lt;0,ABS(SUM('Sites'!S6:S8)-1)&gt;0.0001,MIN('Capital'!F6:F8)&lt;0,MAX('Capital'!F6:F8)&gt;1,MIN(AX114,AZ114,BB114,BA114)&lt;-0.01),1,0)+'Responsibilities'!$B$40</f>
        <v/>
      </c>
      <c r="BL114" s="137">
        <f>SUMIFS('Production schedule'!$T$330:$T$437,'Production schedule'!$C$330:$C$437,1)</f>
        <v/>
      </c>
      <c r="BM114" s="137">
        <f>D114*'NM Play'!$B$38</f>
        <v/>
      </c>
      <c r="BN114" s="137">
        <f>SUMIFS('Production schedule'!$AM$330:$AM$437,'Production schedule'!$C$330:$C$437,1)</f>
        <v/>
      </c>
      <c r="BO114" s="137">
        <f>AK114-0-AJ114</f>
        <v/>
      </c>
      <c r="BP114" s="137">
        <f>IF(AND('Assumptions'!$B$39&gt;=0,'Assumptions'!$B$40&gt;0),-PMT('Assumptions'!$B$39/12,'Assumptions'!$B$40*12,IF('Funding'!$N$11&gt;0,'Funding'!$N$11,'Funding'!$U$11)),"")</f>
        <v/>
      </c>
      <c r="BQ114">
        <f>('Production schedule'!AJ330)*(1-'Responsibilities'!$C$6)+('Production schedule'!AJ366)*(1-'Responsibilities'!$C$7)+('Production schedule'!AJ402)*(1-'Responsibilities'!$C$8)</f>
        <v/>
      </c>
      <c r="BR114">
        <f>('Production schedule'!AI330)*(1-'Responsibilities'!$D$6)+('Production schedule'!AI366)*(1-'Responsibilities'!$D$7)+('Production schedule'!AI402)*(1-'Responsibilities'!$D$8)</f>
        <v/>
      </c>
      <c r="BS114">
        <f>('Production schedule'!E330*(IF('Sites'!D6="Annual staff",SUM('Assumptions'!D112,'Assumptions'!D114),0)+SUM('Assumptions'!D113,'Assumptions'!D115:D116)))*(1-'Responsibilities'!$E$6)+('Production schedule'!E366*(IF('Sites'!D7="Annual staff",SUM('Assumptions'!D117,'Assumptions'!D119),0)+SUM('Assumptions'!D118,'Assumptions'!D120:D121)))*(1-'Responsibilities'!$E$7)+('Production schedule'!E402*(IF('Sites'!D8="Annual staff",SUM('Assumptions'!D122,'Assumptions'!D124),0)+SUM('Assumptions'!D123,'Assumptions'!D125:D126)))*(1-'Responsibilities'!$E$8)</f>
        <v/>
      </c>
      <c r="BT114">
        <f>(IF(AND('Production schedule'!E330=1,1=MAX(('Sites'!F6),1),ISNUMBER('Sites'!O6)),'Sites'!O6*'Assumptions'!$B$44,0))*(1-'Responsibilities'!$F$6)+(IF(AND('Production schedule'!E366=1,1=MAX(('Sites'!F7+'Cases'!G9),1),ISNUMBER('Sites'!O7)),'Sites'!O7*'Assumptions'!$B$44,0))*(1-'Responsibilities'!$F$7)+(IF(AND('Production schedule'!E402=1,1=MAX(('Sites'!F8+'Cases'!G9),1),ISNUMBER('Sites'!O8)),'Sites'!O8*'Assumptions'!$B$44,0))*(1-'Responsibilities'!$F$8)</f>
        <v/>
      </c>
      <c r="BU114">
        <f>SUM('Costs'!E36)*'Costs'!F36/12*(1-'Responsibilities'!$C$12)+SUM('Costs'!E37)*'Costs'!F37/12*(1-'Responsibilities'!$C$13)+SUM('Costs'!E38)*'Costs'!F38/12*(1-'Responsibilities'!$C$14)+SUM('Costs'!E39)*'Costs'!F39/12*(1-'Responsibilities'!$C$15)+SUM('Costs'!E40)*'Costs'!F40/12*(1-'Responsibilities'!$C$16)</f>
        <v/>
      </c>
      <c r="BV114">
        <f>('Sites'!E6*'Capital'!E6*(IF(1='Capital'!G6,'Capital'!F6,0)+IF(1='Capital'!H6,1-'Capital'!F6,0)))*(1-'Responsibilities'!$G$6)+('Sites'!E7*'Capital'!E7*(IF(1='Capital'!G7+'Cases'!G9,'Capital'!F7,0)+IF(1='Capital'!H7+'Cases'!G9,1-'Capital'!F7,0)))*(1-'Responsibilities'!$G$7)+('Sites'!E8*'Cases'!F9*'Capital'!E8*(IF(1='Capital'!G8+'Cases'!G9,'Capital'!F8,0)+IF(1='Capital'!H8+'Cases'!G9,1-'Capital'!F8,0)))*(1-'Responsibilities'!$G$8)</f>
        <v/>
      </c>
      <c r="BW114">
        <f>SUM(BQ114:BV114)</f>
        <v/>
      </c>
      <c r="BX114">
        <f>N114+BW114</f>
        <v/>
      </c>
      <c r="BY114">
        <f>BX114-(('Production schedule'!AJ330)*'Responsibilities'!$C$6+('Production schedule'!AJ366)*'Responsibilities'!$C$7+('Production schedule'!AJ402)*'Responsibilities'!$C$8+('Production schedule'!AJ330)*(1-'Responsibilities'!$C$6)+('Production schedule'!AJ366)*(1-'Responsibilities'!$C$7)+('Production schedule'!AJ402)*(1-'Responsibilities'!$C$8)+('Production schedule'!AI330)*'Responsibilities'!$D$6+('Production schedule'!AI366)*'Responsibilities'!$D$7+('Production schedule'!AI402)*'Responsibilities'!$D$8+('Production schedule'!AI330)*(1-'Responsibilities'!$D$6)+('Production schedule'!AI366)*(1-'Responsibilities'!$D$7)+('Production schedule'!AI402)*(1-'Responsibilities'!$D$8)+('Production schedule'!E330*(IF('Sites'!D6="Annual staff",SUM('Assumptions'!D112,'Assumptions'!D114),0)+SUM('Assumptions'!D113,'Assumptions'!D115:D116)))*'Responsibilities'!$E$6+('Production schedule'!E366*(IF('Sites'!D7="Annual staff",SUM('Assumptions'!D117,'Assumptions'!D119),0)+SUM('Assumptions'!D118,'Assumptions'!D120:D121)))*'Responsibilities'!$E$7+('Production schedule'!E402*(IF('Sites'!D8="Annual staff",SUM('Assumptions'!D122,'Assumptions'!D124),0)+SUM('Assumptions'!D123,'Assumptions'!D125:D126)))*'Responsibilities'!$E$8+('Production schedule'!E330*(IF('Sites'!D6="Annual staff",SUM('Assumptions'!D112,'Assumptions'!D114),0)+SUM('Assumptions'!D113,'Assumptions'!D115:D116)))*(1-'Responsibilities'!$E$6)+('Production schedule'!E366*(IF('Sites'!D7="Annual staff",SUM('Assumptions'!D117,'Assumptions'!D119),0)+SUM('Assumptions'!D118,'Assumptions'!D120:D121)))*(1-'Responsibilities'!$E$7)+('Production schedule'!E402*(IF('Sites'!D8="Annual staff",SUM('Assumptions'!D122,'Assumptions'!D124),0)+SUM('Assumptions'!D123,'Assumptions'!D125:D126)))*(1-'Responsibilities'!$E$8)+(IF(AND('Production schedule'!E330=1,1=MAX(('Sites'!F6),1),ISNUMBER('Sites'!O6)),'Sites'!O6*'Assumptions'!$B$44,0))*'Responsibilities'!$F$6+(IF(AND('Production schedule'!E366=1,1=MAX(('Sites'!F7+'Cases'!G9),1),ISNUMBER('Sites'!O7)),'Sites'!O7*'Assumptions'!$B$44,0))*'Responsibilities'!$F$7+(IF(AND('Production schedule'!E402=1,1=MAX(('Sites'!F8+'Cases'!G9),1),ISNUMBER('Sites'!O8)),'Sites'!O8*'Assumptions'!$B$44,0))*'Responsibilities'!$F$8+(IF(AND('Production schedule'!E330=1,1=MAX(('Sites'!F6),1),ISNUMBER('Sites'!O6)),'Sites'!O6*'Assumptions'!$B$44,0))*(1-'Responsibilities'!$F$6)+(IF(AND('Production schedule'!E366=1,1=MAX(('Sites'!F7+'Cases'!G9),1),ISNUMBER('Sites'!O7)),'Sites'!O7*'Assumptions'!$B$44,0))*(1-'Responsibilities'!$F$7)+(IF(AND('Production schedule'!E402=1,1=MAX(('Sites'!F8+'Cases'!G9),1),ISNUMBER('Sites'!O8)),'Sites'!O8*'Assumptions'!$B$44,0))*(1-'Responsibilities'!$F$8)+('Sites'!E6*'Capital'!E6*(IF(1='Capital'!G6,'Capital'!F6,0)+IF(1='Capital'!H6,1-'Capital'!F6,0)))*'Responsibilities'!$G$6+('Sites'!E7*'Capital'!E7*(IF(1='Capital'!G7+'Cases'!G9,'Capital'!F7,0)+IF(1='Capital'!H7+'Cases'!G9,1-'Capital'!F7,0)))*'Responsibilities'!$G$7+('Sites'!E8*'Cases'!F9*'Capital'!E8*(IF(1='Capital'!G8+'Cases'!G9,'Capital'!F8,0)+IF(1='Capital'!H8+'Cases'!G9,1-'Capital'!F8,0)))*'Responsibilities'!$G$8+('Sites'!E6*'Capital'!E6*(IF(1='Capital'!G6,'Capital'!F6,0)+IF(1='Capital'!H6,1-'Capital'!F6,0)))*(1-'Responsibilities'!$G$6)+('Sites'!E7*'Capital'!E7*(IF(1='Capital'!G7+'Cases'!G9,'Capital'!F7,0)+IF(1='Capital'!H7+'Cases'!G9,1-'Capital'!F7,0)))*(1-'Responsibilities'!$G$7)+('Sites'!E8*'Cases'!F9*'Capital'!E8*(IF(1='Capital'!G8+'Cases'!G9,'Capital'!F8,0)+IF(1='Capital'!H8+'Cases'!G9,1-'Capital'!F8,0)))*(1-'Responsibilities'!$G$8)+I114+SUMPRODUCT('Costs'!$E$36:$E$40,'Costs'!$F$36:$F$40)/12+BZ114)</f>
        <v/>
      </c>
      <c r="BZ114">
        <f>SUMIFS('Responsibilities'!$B$31:$B$35,'Responsibilities'!$C$31:$C$35,1,'Responsibilities'!$D$31:$D$35,"Yes")</f>
        <v/>
      </c>
    </row>
    <row r="115" ht="28" customHeight="1">
      <c r="A115" s="4" t="inlineStr">
        <is>
          <t>Delayed receipts</t>
        </is>
      </c>
      <c r="B115" s="4" t="n">
        <v>2</v>
      </c>
      <c r="C115" s="4">
        <f>ROUNDUP(B115/12,0)</f>
        <v/>
      </c>
      <c r="D115" s="137">
        <f>SUMIFS('Production schedule'!$N$330:$N$437,'Production schedule'!$C$330:$C$437,2)</f>
        <v/>
      </c>
      <c r="E115" s="137">
        <f>SUMIFS('Production schedule'!$Y$330:$Y$437,'Production schedule'!$C$330:$C$437,2)</f>
        <v/>
      </c>
      <c r="F115" s="137">
        <f>SUMIFS('Production schedule'!$Z$330:$Z$437,'Production schedule'!$C$330:$C$437,2)</f>
        <v/>
      </c>
      <c r="G115" s="137">
        <f>('Production schedule'!AJ331)*'Responsibilities'!$C$6+('Production schedule'!AJ367)*'Responsibilities'!$C$7+('Production schedule'!AJ403)*'Responsibilities'!$C$8</f>
        <v/>
      </c>
      <c r="H115" s="137">
        <f>('Production schedule'!AI331)*'Responsibilities'!$D$6+('Production schedule'!AI367)*'Responsibilities'!$D$7+('Production schedule'!AI403)*'Responsibilities'!$D$8</f>
        <v/>
      </c>
      <c r="I115" s="137">
        <f>SUM('Assumptions'!E58:E65)</f>
        <v/>
      </c>
      <c r="J115" s="137">
        <f>('Production schedule'!E331*(IF('Sites'!D6="Annual staff",SUM('Assumptions'!E112,'Assumptions'!E114),0)+SUM('Assumptions'!E113,'Assumptions'!E115:E116)))*'Responsibilities'!$E$6+('Production schedule'!E367*(IF('Sites'!D7="Annual staff",SUM('Assumptions'!E117,'Assumptions'!E119),0)+SUM('Assumptions'!E118,'Assumptions'!E120:E121)))*'Responsibilities'!$E$7+('Production schedule'!E403*(IF('Sites'!D8="Annual staff",SUM('Assumptions'!E122,'Assumptions'!E124),0)+SUM('Assumptions'!E123,'Assumptions'!E125:E126)))*'Responsibilities'!$E$8</f>
        <v/>
      </c>
      <c r="K115" s="137">
        <f>(IF(AND('Production schedule'!E331=1,2=MAX(('Sites'!F6),1),ISNUMBER('Sites'!O6)),'Sites'!O6*'Assumptions'!$B$44,0))*'Responsibilities'!$F$6+(IF(AND('Production schedule'!E367=1,2=MAX(('Sites'!F7+'Cases'!G9),1),ISNUMBER('Sites'!O7)),'Sites'!O7*'Assumptions'!$B$44,0))*'Responsibilities'!$F$7+(IF(AND('Production schedule'!E403=1,2=MAX(('Sites'!F8+'Cases'!G9),1),ISNUMBER('Sites'!O8)),'Sites'!O8*'Assumptions'!$B$44,0))*'Responsibilities'!$F$8</f>
        <v/>
      </c>
      <c r="L115" s="137">
        <f>SUM('Costs'!E36)*'Costs'!F36/12*'Responsibilities'!$C$12+SUM('Costs'!E37)*'Costs'!F37/12*'Responsibilities'!$C$13+SUM('Costs'!E38)*'Costs'!F38/12*'Responsibilities'!$C$14+SUM('Costs'!E39)*'Costs'!F39/12*'Responsibilities'!$C$15+SUM('Costs'!E40)*'Costs'!F40/12*'Responsibilities'!$C$16+BZ115</f>
        <v/>
      </c>
      <c r="M115" s="137">
        <f>('Sites'!E6*'Capital'!E6*(IF(2='Capital'!G6,'Capital'!F6,0)+IF(2='Capital'!H6,1-'Capital'!F6,0)))*'Responsibilities'!$G$6+('Sites'!E7*'Capital'!E7*(IF(2='Capital'!G7+'Cases'!G9,'Capital'!F7,0)+IF(2='Capital'!H7+'Cases'!G9,1-'Capital'!F7,0)))*'Responsibilities'!$G$7+('Sites'!E8*'Cases'!F9*'Capital'!E8*(IF(2='Capital'!G8+'Cases'!G9,'Capital'!F8,0)+IF(2='Capital'!H8+'Cases'!G9,1-'Capital'!F8,0)))*'Responsibilities'!$G$8</f>
        <v/>
      </c>
      <c r="N115" s="137">
        <f>SUM(G115:M115)</f>
        <v/>
      </c>
      <c r="O115" s="137">
        <f>SUMIFS(FundingTranches[Secured amount],FundingTranches[Instrument],"Grant",FundingTranches[Secured month],2)</f>
        <v/>
      </c>
      <c r="P115" s="137">
        <f>SUMIFS(FundingTranches[Delayed receipts possible],FundingTranches[Instrument],"Grant",FundingTranches[Scenario month],2-'Cases'!$D$9)</f>
        <v/>
      </c>
      <c r="Q115" s="137">
        <f>SUMIFS(FundingTranches[Secured amount],FundingTranches[Instrument],"Loan",FundingTranches[Secured month],2)</f>
        <v/>
      </c>
      <c r="R115" s="137">
        <f>SUMIFS(FundingTranches[Delayed receipts possible],FundingTranches[Instrument],"Loan",FundingTranches[Scenario month],2-'Cases'!$D$9)</f>
        <v/>
      </c>
      <c r="S115" s="137">
        <f>IF(2&lt;='Assumptions'!$B$34,0,SUMIFS('Production schedule'!$AL$330:$AL$437,'Production schedule'!$C$330:$C$437,2-'Assumptions'!$B$34))</f>
        <v/>
      </c>
      <c r="T115" s="137">
        <f>'Assumptions'!E70</f>
        <v/>
      </c>
      <c r="U115" s="137">
        <f>'Assumptions'!E78</f>
        <v/>
      </c>
      <c r="V115" s="137">
        <f>SUM(O115:U115)</f>
        <v/>
      </c>
      <c r="W115" s="137">
        <f>AA114</f>
        <v/>
      </c>
      <c r="X115" s="137">
        <f>SUM(Q115:R115)</f>
        <v/>
      </c>
      <c r="Y115" s="137">
        <f>SUM(W115,X115)*'Assumptions'!$B$39/12</f>
        <v/>
      </c>
      <c r="Z115" s="137">
        <f>IF(SUM(W115,X115)&gt;0,MIN(SUM(W115,X115),MAX(0,BP115-Y115)),0)</f>
        <v/>
      </c>
      <c r="AA115" s="137">
        <f>SUM(W115,X115)-Z115</f>
        <v/>
      </c>
      <c r="AB115" s="137">
        <f>SUM(Y115:Z115)</f>
        <v/>
      </c>
      <c r="AC115" s="137">
        <f>'Assumptions'!E72</f>
        <v/>
      </c>
      <c r="AD115" s="137">
        <f>'Assumptions'!E73</f>
        <v/>
      </c>
      <c r="AE115" s="137">
        <f>IF(X115&gt;0,SUM('Assumptions'!$B$42),0)</f>
        <v/>
      </c>
      <c r="AF115" s="137">
        <f>'Assumptions'!E71</f>
        <v/>
      </c>
      <c r="AG115" s="137">
        <f>'Assumptions'!E74</f>
        <v/>
      </c>
      <c r="AH115" s="137">
        <f>'Assumptions'!E75</f>
        <v/>
      </c>
      <c r="AI115" s="137">
        <f>'Assumptions'!E77</f>
        <v/>
      </c>
      <c r="AJ115" s="137">
        <f>V115-N115-SUM(AB115:AI115)</f>
        <v/>
      </c>
      <c r="AK115" s="137">
        <f>SUM(AJ114:AJ115)</f>
        <v/>
      </c>
      <c r="AL115" s="137">
        <f>IF(ISNUMBER('Assumptions'!$B$10),'Assumptions'!$B$10+AK115,"")</f>
        <v/>
      </c>
      <c r="AM115" s="137">
        <f>SUM(O115,Q115,T115)-N115-SUM(AC115:AI115)+IF('Funding'!$N$11=0,AE115,0)-IF('Funding'!$N$11&gt;0,AB115,0)</f>
        <v/>
      </c>
      <c r="AN115" s="137">
        <f>SUM(AM114:AM115)</f>
        <v/>
      </c>
      <c r="AO115" s="137">
        <f>IF(ISNUMBER('Assumptions'!$B$10),'Assumptions'!$B$10+AN115,"")</f>
        <v/>
      </c>
      <c r="AP115" s="137">
        <f>('Production schedule'!AK331)*'Responsibilities'!$C$6+('Production schedule'!AK367)*'Responsibilities'!$C$7+('Production schedule'!AK403)*'Responsibilities'!$C$8</f>
        <v/>
      </c>
      <c r="AQ115" s="137">
        <f>SUMIFS('Production schedule'!$AL$330:$AL$437,'Production schedule'!$C$330:$C$437,2)</f>
        <v/>
      </c>
      <c r="AR115" s="137">
        <f>IF(ISNUMBER('Assumptions'!E76),'Assumptions'!E76,SUM(O115:P115))</f>
        <v/>
      </c>
      <c r="AS115" s="137">
        <f>IF(ISNUMBER('Assumptions'!$B$13),MIN('Assumptions'!$B$13/'Assumptions'!$B$18/12,MAX(0,'Assumptions'!$B$13-(2-1)*'Assumptions'!$B$13/'Assumptions'!$B$18/12)),0)+IF(AND('Sites'!E6=1,2&gt;=('Sites'!F6),2&lt;('Sites'!F6)+'Assumptions'!$B$18*12),'Capital'!E6/'Assumptions'!$B$18/12,0)+IF(AND('Sites'!E7=1,2&gt;=('Sites'!F7+'Cases'!G9),2&lt;('Sites'!F7+'Cases'!G9)+'Assumptions'!$B$18*12),'Capital'!E7/'Assumptions'!$B$18/12,0)+IF(AND('Sites'!E8*'Cases'!F9=1,2&gt;=('Sites'!F8+'Cases'!G9),2&lt;('Sites'!F8+'Cases'!G9)+'Assumptions'!$B$18*12),'Capital'!E8/'Assumptions'!$B$18/12,0)</f>
        <v/>
      </c>
      <c r="AT115" s="137">
        <f>SUM(AQ115,AR115,U115)-AP115-SUM(H115:L115)-AS115-SUM(Y115,AD115,AE115,AH115)</f>
        <v/>
      </c>
      <c r="AU115" s="137">
        <f>IF(ISNUMBER('Assumptions'!$B$19),MAX(0,SUM(AT114:AT115))*'Assumptions'!$B$19-SUM(AU114:AU114),"")</f>
        <v/>
      </c>
      <c r="AV115" s="137">
        <f>IF(ISNUMBER(AU115),AT115-AU115,"")</f>
        <v/>
      </c>
      <c r="AW115" s="137">
        <f>IF(ISNUMBER('Assumptions'!$B$11),'Assumptions'!$B$11+SUM(AQ114:AQ115)-SUM(S114:S115)-SUM(T114:T115),"")</f>
        <v/>
      </c>
      <c r="AX115" s="137">
        <f>IF(ISNUMBER('Assumptions'!$B$12),'Assumptions'!$B$12+SUM(G114:G115)-SUM(AP114:AP115),"")</f>
        <v/>
      </c>
      <c r="AY115" s="137">
        <f>IF(ISNUMBER('Assumptions'!$B$13),'Assumptions'!$B$13+SUM(M114:M115)-SUM(AS114:AS115),"")</f>
        <v/>
      </c>
      <c r="AZ115" s="137">
        <f>IF(ISNUMBER('Assumptions'!$B$14),'Assumptions'!$B$14+-SUM(AF114:AF115),"")</f>
        <v/>
      </c>
      <c r="BA115" s="137">
        <f>IF(ISNUMBER('Assumptions'!$B$15),'Assumptions'!$B$15+SUM(O114:O115)+SUM(P114:P115)-SUM(AR114:AR115),"")</f>
        <v/>
      </c>
      <c r="BB115" s="137">
        <f>IF(ISNUMBER('Assumptions'!$B$16),'Assumptions'!$B$16+-SUM(AC114:AC115),"")</f>
        <v/>
      </c>
      <c r="BC115" s="137">
        <f>IF(AND(ISNUMBER('Assumptions'!$B$21),ISNUMBER('Assumptions'!$B$19)),'Assumptions'!$B$21+SUM(AU114:AU115)-SUM(AG114:AG115),"")</f>
        <v/>
      </c>
      <c r="BD115" s="137">
        <f>IF(ISNUMBER('Assumptions'!$B$20),'Assumptions'!$B$20+-SUM(AI114:AI115),"")</f>
        <v/>
      </c>
      <c r="BE115" s="137">
        <f>IF(AND(ISNUMBER('Assumptions'!$B$17),COUNT(AV114:AV115)=2),'Assumptions'!$B$17+SUM(AV114:AV115),"")</f>
        <v/>
      </c>
      <c r="BF115" s="137">
        <f>IF(COUNT(AL115,AW115:AY115)=4,SUM(AL115,AW115:AY115),"")</f>
        <v/>
      </c>
      <c r="BG115" s="137">
        <f>IF(COUNT(AZ115:BD115)=5,SUM(AZ115:BD115,AA115),"")</f>
        <v/>
      </c>
      <c r="BH115" s="137">
        <f>IF(COUNT(BF115,BG115,BE115)=3,BF115-BG115-BE115,"")</f>
        <v/>
      </c>
      <c r="BI115" s="137">
        <f>SUM(W115,X115)-Z115-AA115</f>
        <v/>
      </c>
      <c r="BJ115" s="137">
        <f>8-COUNT('Assumptions'!E58:E65)+COUNTBLANK('NM Play'!B33:B34)+'Costs'!E44+IF(AND('Sites'!E6=1,('Sites'!F6)&lt;=12,'Sites'!G6&gt;=1),IF(ISNUMBER('Sites'!O6),0,1)+'Capital'!I6+COUNTBLANK('Sites'!R6)+IF('Sites'!D6="NM crew",COUNTBLANK('NM Play'!B25)+1,5-COUNT('Assumptions'!E112:E116)),0)+IF(AND('Sites'!E7=1,('Sites'!F7+'Cases'!G9)&lt;=12,'Sites'!G7&gt;=1),IF(ISNUMBER('Sites'!O7),0,1)+'Capital'!I7+COUNTBLANK('Sites'!R7)+IF('Sites'!D7="NM crew",COUNTBLANK('NM Play'!B25)+1,5-COUNT('Assumptions'!E117:E121)),0)+IF(AND('Sites'!E8*'Cases'!F9=1,('Sites'!F8+'Cases'!G9)&lt;=12,'Sites'!G8&gt;=1),IF(ISNUMBER('Sites'!O8),0,1)+'Capital'!I8+COUNTBLANK('Sites'!R8)+IF('Sites'!D8="NM crew",COUNTBLANK('NM Play'!B25)+1,5-COUNT('Assumptions'!E122:E126)),0)+IF(AND('Cases'!C9&gt;0,NOT(ISNUMBER('Assumptions'!B42))),1,0)+'Responsibilities'!$B$39</f>
        <v/>
      </c>
      <c r="BK115" s="137">
        <f>'Assumptions'!$B$50+'NM Play'!$B$83+'Funding'!$F$20+SUMIFS('Production schedule'!$AN$330:$AN$437,'Production schedule'!$C$330:$C$437,2)+IF(OR('Cases'!E9&lt;0,'Cases'!E9&gt;1,'Cases'!C9&lt;0,'Cases'!D9&lt;0,ABS(SUM('Sites'!S6:S8)-1)&gt;0.0001,MIN('Capital'!F6:F8)&lt;0,MAX('Capital'!F6:F8)&gt;1,MIN(AX115,AZ115,BB115,BA115)&lt;-0.01),1,0)+'Responsibilities'!$B$40</f>
        <v/>
      </c>
      <c r="BL115" s="137">
        <f>SUMIFS('Production schedule'!$T$330:$T$437,'Production schedule'!$C$330:$C$437,2)</f>
        <v/>
      </c>
      <c r="BM115" s="137">
        <f>D115*'NM Play'!$B$38</f>
        <v/>
      </c>
      <c r="BN115" s="137">
        <f>SUMIFS('Production schedule'!$AM$330:$AM$437,'Production schedule'!$C$330:$C$437,2)</f>
        <v/>
      </c>
      <c r="BO115" s="137">
        <f>AK115-AK114-AJ115</f>
        <v/>
      </c>
      <c r="BP115" s="137">
        <f>IF(AND('Assumptions'!$B$39&gt;=0,'Assumptions'!$B$40&gt;0),-PMT('Assumptions'!$B$39/12,'Assumptions'!$B$40*12,IF('Funding'!$N$11&gt;0,'Funding'!$N$11,'Funding'!$U$11)),"")</f>
        <v/>
      </c>
      <c r="BQ115">
        <f>('Production schedule'!AJ331)*(1-'Responsibilities'!$C$6)+('Production schedule'!AJ367)*(1-'Responsibilities'!$C$7)+('Production schedule'!AJ403)*(1-'Responsibilities'!$C$8)</f>
        <v/>
      </c>
      <c r="BR115">
        <f>('Production schedule'!AI331)*(1-'Responsibilities'!$D$6)+('Production schedule'!AI367)*(1-'Responsibilities'!$D$7)+('Production schedule'!AI403)*(1-'Responsibilities'!$D$8)</f>
        <v/>
      </c>
      <c r="BS115">
        <f>('Production schedule'!E331*(IF('Sites'!D6="Annual staff",SUM('Assumptions'!E112,'Assumptions'!E114),0)+SUM('Assumptions'!E113,'Assumptions'!E115:E116)))*(1-'Responsibilities'!$E$6)+('Production schedule'!E367*(IF('Sites'!D7="Annual staff",SUM('Assumptions'!E117,'Assumptions'!E119),0)+SUM('Assumptions'!E118,'Assumptions'!E120:E121)))*(1-'Responsibilities'!$E$7)+('Production schedule'!E403*(IF('Sites'!D8="Annual staff",SUM('Assumptions'!E122,'Assumptions'!E124),0)+SUM('Assumptions'!E123,'Assumptions'!E125:E126)))*(1-'Responsibilities'!$E$8)</f>
        <v/>
      </c>
      <c r="BT115">
        <f>(IF(AND('Production schedule'!E331=1,2=MAX(('Sites'!F6),1),ISNUMBER('Sites'!O6)),'Sites'!O6*'Assumptions'!$B$44,0))*(1-'Responsibilities'!$F$6)+(IF(AND('Production schedule'!E367=1,2=MAX(('Sites'!F7+'Cases'!G9),1),ISNUMBER('Sites'!O7)),'Sites'!O7*'Assumptions'!$B$44,0))*(1-'Responsibilities'!$F$7)+(IF(AND('Production schedule'!E403=1,2=MAX(('Sites'!F8+'Cases'!G9),1),ISNUMBER('Sites'!O8)),'Sites'!O8*'Assumptions'!$B$44,0))*(1-'Responsibilities'!$F$8)</f>
        <v/>
      </c>
      <c r="BU115">
        <f>SUM('Costs'!E36)*'Costs'!F36/12*(1-'Responsibilities'!$C$12)+SUM('Costs'!E37)*'Costs'!F37/12*(1-'Responsibilities'!$C$13)+SUM('Costs'!E38)*'Costs'!F38/12*(1-'Responsibilities'!$C$14)+SUM('Costs'!E39)*'Costs'!F39/12*(1-'Responsibilities'!$C$15)+SUM('Costs'!E40)*'Costs'!F40/12*(1-'Responsibilities'!$C$16)</f>
        <v/>
      </c>
      <c r="BV115">
        <f>('Sites'!E6*'Capital'!E6*(IF(2='Capital'!G6,'Capital'!F6,0)+IF(2='Capital'!H6,1-'Capital'!F6,0)))*(1-'Responsibilities'!$G$6)+('Sites'!E7*'Capital'!E7*(IF(2='Capital'!G7+'Cases'!G9,'Capital'!F7,0)+IF(2='Capital'!H7+'Cases'!G9,1-'Capital'!F7,0)))*(1-'Responsibilities'!$G$7)+('Sites'!E8*'Cases'!F9*'Capital'!E8*(IF(2='Capital'!G8+'Cases'!G9,'Capital'!F8,0)+IF(2='Capital'!H8+'Cases'!G9,1-'Capital'!F8,0)))*(1-'Responsibilities'!$G$8)</f>
        <v/>
      </c>
      <c r="BW115">
        <f>SUM(BQ115:BV115)</f>
        <v/>
      </c>
      <c r="BX115">
        <f>N115+BW115</f>
        <v/>
      </c>
      <c r="BY115">
        <f>BX115-(('Production schedule'!AJ331)*'Responsibilities'!$C$6+('Production schedule'!AJ367)*'Responsibilities'!$C$7+('Production schedule'!AJ403)*'Responsibilities'!$C$8+('Production schedule'!AJ331)*(1-'Responsibilities'!$C$6)+('Production schedule'!AJ367)*(1-'Responsibilities'!$C$7)+('Production schedule'!AJ403)*(1-'Responsibilities'!$C$8)+('Production schedule'!AI331)*'Responsibilities'!$D$6+('Production schedule'!AI367)*'Responsibilities'!$D$7+('Production schedule'!AI403)*'Responsibilities'!$D$8+('Production schedule'!AI331)*(1-'Responsibilities'!$D$6)+('Production schedule'!AI367)*(1-'Responsibilities'!$D$7)+('Production schedule'!AI403)*(1-'Responsibilities'!$D$8)+('Production schedule'!E331*(IF('Sites'!D6="Annual staff",SUM('Assumptions'!E112,'Assumptions'!E114),0)+SUM('Assumptions'!E113,'Assumptions'!E115:E116)))*'Responsibilities'!$E$6+('Production schedule'!E367*(IF('Sites'!D7="Annual staff",SUM('Assumptions'!E117,'Assumptions'!E119),0)+SUM('Assumptions'!E118,'Assumptions'!E120:E121)))*'Responsibilities'!$E$7+('Production schedule'!E403*(IF('Sites'!D8="Annual staff",SUM('Assumptions'!E122,'Assumptions'!E124),0)+SUM('Assumptions'!E123,'Assumptions'!E125:E126)))*'Responsibilities'!$E$8+('Production schedule'!E331*(IF('Sites'!D6="Annual staff",SUM('Assumptions'!E112,'Assumptions'!E114),0)+SUM('Assumptions'!E113,'Assumptions'!E115:E116)))*(1-'Responsibilities'!$E$6)+('Production schedule'!E367*(IF('Sites'!D7="Annual staff",SUM('Assumptions'!E117,'Assumptions'!E119),0)+SUM('Assumptions'!E118,'Assumptions'!E120:E121)))*(1-'Responsibilities'!$E$7)+('Production schedule'!E403*(IF('Sites'!D8="Annual staff",SUM('Assumptions'!E122,'Assumptions'!E124),0)+SUM('Assumptions'!E123,'Assumptions'!E125:E126)))*(1-'Responsibilities'!$E$8)+(IF(AND('Production schedule'!E331=1,2=MAX(('Sites'!F6),1),ISNUMBER('Sites'!O6)),'Sites'!O6*'Assumptions'!$B$44,0))*'Responsibilities'!$F$6+(IF(AND('Production schedule'!E367=1,2=MAX(('Sites'!F7+'Cases'!G9),1),ISNUMBER('Sites'!O7)),'Sites'!O7*'Assumptions'!$B$44,0))*'Responsibilities'!$F$7+(IF(AND('Production schedule'!E403=1,2=MAX(('Sites'!F8+'Cases'!G9),1),ISNUMBER('Sites'!O8)),'Sites'!O8*'Assumptions'!$B$44,0))*'Responsibilities'!$F$8+(IF(AND('Production schedule'!E331=1,2=MAX(('Sites'!F6),1),ISNUMBER('Sites'!O6)),'Sites'!O6*'Assumptions'!$B$44,0))*(1-'Responsibilities'!$F$6)+(IF(AND('Production schedule'!E367=1,2=MAX(('Sites'!F7+'Cases'!G9),1),ISNUMBER('Sites'!O7)),'Sites'!O7*'Assumptions'!$B$44,0))*(1-'Responsibilities'!$F$7)+(IF(AND('Production schedule'!E403=1,2=MAX(('Sites'!F8+'Cases'!G9),1),ISNUMBER('Sites'!O8)),'Sites'!O8*'Assumptions'!$B$44,0))*(1-'Responsibilities'!$F$8)+('Sites'!E6*'Capital'!E6*(IF(2='Capital'!G6,'Capital'!F6,0)+IF(2='Capital'!H6,1-'Capital'!F6,0)))*'Responsibilities'!$G$6+('Sites'!E7*'Capital'!E7*(IF(2='Capital'!G7+'Cases'!G9,'Capital'!F7,0)+IF(2='Capital'!H7+'Cases'!G9,1-'Capital'!F7,0)))*'Responsibilities'!$G$7+('Sites'!E8*'Cases'!F9*'Capital'!E8*(IF(2='Capital'!G8+'Cases'!G9,'Capital'!F8,0)+IF(2='Capital'!H8+'Cases'!G9,1-'Capital'!F8,0)))*'Responsibilities'!$G$8+('Sites'!E6*'Capital'!E6*(IF(2='Capital'!G6,'Capital'!F6,0)+IF(2='Capital'!H6,1-'Capital'!F6,0)))*(1-'Responsibilities'!$G$6)+('Sites'!E7*'Capital'!E7*(IF(2='Capital'!G7+'Cases'!G9,'Capital'!F7,0)+IF(2='Capital'!H7+'Cases'!G9,1-'Capital'!F7,0)))*(1-'Responsibilities'!$G$7)+('Sites'!E8*'Cases'!F9*'Capital'!E8*(IF(2='Capital'!G8+'Cases'!G9,'Capital'!F8,0)+IF(2='Capital'!H8+'Cases'!G9,1-'Capital'!F8,0)))*(1-'Responsibilities'!$G$8)+I115+SUMPRODUCT('Costs'!$E$36:$E$40,'Costs'!$F$36:$F$40)/12+BZ115)</f>
        <v/>
      </c>
      <c r="BZ115">
        <f>SUMIFS('Responsibilities'!$B$31:$B$35,'Responsibilities'!$C$31:$C$35,2,'Responsibilities'!$D$31:$D$35,"Yes")</f>
        <v/>
      </c>
    </row>
    <row r="116" ht="28" customHeight="1">
      <c r="A116" s="4" t="inlineStr">
        <is>
          <t>Delayed receipts</t>
        </is>
      </c>
      <c r="B116" s="4" t="n">
        <v>3</v>
      </c>
      <c r="C116" s="4">
        <f>ROUNDUP(B116/12,0)</f>
        <v/>
      </c>
      <c r="D116" s="137">
        <f>SUMIFS('Production schedule'!$N$330:$N$437,'Production schedule'!$C$330:$C$437,3)</f>
        <v/>
      </c>
      <c r="E116" s="137">
        <f>SUMIFS('Production schedule'!$Y$330:$Y$437,'Production schedule'!$C$330:$C$437,3)</f>
        <v/>
      </c>
      <c r="F116" s="137">
        <f>SUMIFS('Production schedule'!$Z$330:$Z$437,'Production schedule'!$C$330:$C$437,3)</f>
        <v/>
      </c>
      <c r="G116" s="137">
        <f>('Production schedule'!AJ332)*'Responsibilities'!$C$6+('Production schedule'!AJ368)*'Responsibilities'!$C$7+('Production schedule'!AJ404)*'Responsibilities'!$C$8</f>
        <v/>
      </c>
      <c r="H116" s="137">
        <f>('Production schedule'!AI332)*'Responsibilities'!$D$6+('Production schedule'!AI368)*'Responsibilities'!$D$7+('Production schedule'!AI404)*'Responsibilities'!$D$8</f>
        <v/>
      </c>
      <c r="I116" s="137">
        <f>SUM('Assumptions'!F58:F65)</f>
        <v/>
      </c>
      <c r="J116" s="137">
        <f>('Production schedule'!E332*(IF('Sites'!D6="Annual staff",SUM('Assumptions'!F112,'Assumptions'!F114),0)+SUM('Assumptions'!F113,'Assumptions'!F115:F116)))*'Responsibilities'!$E$6+('Production schedule'!E368*(IF('Sites'!D7="Annual staff",SUM('Assumptions'!F117,'Assumptions'!F119),0)+SUM('Assumptions'!F118,'Assumptions'!F120:F121)))*'Responsibilities'!$E$7+('Production schedule'!E404*(IF('Sites'!D8="Annual staff",SUM('Assumptions'!F122,'Assumptions'!F124),0)+SUM('Assumptions'!F123,'Assumptions'!F125:F126)))*'Responsibilities'!$E$8</f>
        <v/>
      </c>
      <c r="K116" s="137">
        <f>(IF(AND('Production schedule'!E332=1,3=MAX(('Sites'!F6),1),ISNUMBER('Sites'!O6)),'Sites'!O6*'Assumptions'!$B$44,0))*'Responsibilities'!$F$6+(IF(AND('Production schedule'!E368=1,3=MAX(('Sites'!F7+'Cases'!G9),1),ISNUMBER('Sites'!O7)),'Sites'!O7*'Assumptions'!$B$44,0))*'Responsibilities'!$F$7+(IF(AND('Production schedule'!E404=1,3=MAX(('Sites'!F8+'Cases'!G9),1),ISNUMBER('Sites'!O8)),'Sites'!O8*'Assumptions'!$B$44,0))*'Responsibilities'!$F$8</f>
        <v/>
      </c>
      <c r="L116" s="137">
        <f>SUM('Costs'!E36)*'Costs'!F36/12*'Responsibilities'!$C$12+SUM('Costs'!E37)*'Costs'!F37/12*'Responsibilities'!$C$13+SUM('Costs'!E38)*'Costs'!F38/12*'Responsibilities'!$C$14+SUM('Costs'!E39)*'Costs'!F39/12*'Responsibilities'!$C$15+SUM('Costs'!E40)*'Costs'!F40/12*'Responsibilities'!$C$16+BZ116</f>
        <v/>
      </c>
      <c r="M116" s="137">
        <f>('Sites'!E6*'Capital'!E6*(IF(3='Capital'!G6,'Capital'!F6,0)+IF(3='Capital'!H6,1-'Capital'!F6,0)))*'Responsibilities'!$G$6+('Sites'!E7*'Capital'!E7*(IF(3='Capital'!G7+'Cases'!G9,'Capital'!F7,0)+IF(3='Capital'!H7+'Cases'!G9,1-'Capital'!F7,0)))*'Responsibilities'!$G$7+('Sites'!E8*'Cases'!F9*'Capital'!E8*(IF(3='Capital'!G8+'Cases'!G9,'Capital'!F8,0)+IF(3='Capital'!H8+'Cases'!G9,1-'Capital'!F8,0)))*'Responsibilities'!$G$8</f>
        <v/>
      </c>
      <c r="N116" s="137">
        <f>SUM(G116:M116)</f>
        <v/>
      </c>
      <c r="O116" s="137">
        <f>SUMIFS(FundingTranches[Secured amount],FundingTranches[Instrument],"Grant",FundingTranches[Secured month],3)</f>
        <v/>
      </c>
      <c r="P116" s="137">
        <f>SUMIFS(FundingTranches[Delayed receipts possible],FundingTranches[Instrument],"Grant",FundingTranches[Scenario month],3-'Cases'!$D$9)</f>
        <v/>
      </c>
      <c r="Q116" s="137">
        <f>SUMIFS(FundingTranches[Secured amount],FundingTranches[Instrument],"Loan",FundingTranches[Secured month],3)</f>
        <v/>
      </c>
      <c r="R116" s="137">
        <f>SUMIFS(FundingTranches[Delayed receipts possible],FundingTranches[Instrument],"Loan",FundingTranches[Scenario month],3-'Cases'!$D$9)</f>
        <v/>
      </c>
      <c r="S116" s="137">
        <f>IF(3&lt;='Assumptions'!$B$34,0,SUMIFS('Production schedule'!$AL$330:$AL$437,'Production schedule'!$C$330:$C$437,3-'Assumptions'!$B$34))</f>
        <v/>
      </c>
      <c r="T116" s="137">
        <f>'Assumptions'!F70</f>
        <v/>
      </c>
      <c r="U116" s="137">
        <f>'Assumptions'!F78</f>
        <v/>
      </c>
      <c r="V116" s="137">
        <f>SUM(O116:U116)</f>
        <v/>
      </c>
      <c r="W116" s="137">
        <f>AA115</f>
        <v/>
      </c>
      <c r="X116" s="137">
        <f>SUM(Q116:R116)</f>
        <v/>
      </c>
      <c r="Y116" s="137">
        <f>SUM(W116,X116)*'Assumptions'!$B$39/12</f>
        <v/>
      </c>
      <c r="Z116" s="137">
        <f>IF(SUM(W116,X116)&gt;0,MIN(SUM(W116,X116),MAX(0,BP116-Y116)),0)</f>
        <v/>
      </c>
      <c r="AA116" s="137">
        <f>SUM(W116,X116)-Z116</f>
        <v/>
      </c>
      <c r="AB116" s="137">
        <f>SUM(Y116:Z116)</f>
        <v/>
      </c>
      <c r="AC116" s="137">
        <f>'Assumptions'!F72</f>
        <v/>
      </c>
      <c r="AD116" s="137">
        <f>'Assumptions'!F73</f>
        <v/>
      </c>
      <c r="AE116" s="137">
        <f>IF(X116&gt;0,SUM('Assumptions'!$B$42),0)</f>
        <v/>
      </c>
      <c r="AF116" s="137">
        <f>'Assumptions'!F71</f>
        <v/>
      </c>
      <c r="AG116" s="137">
        <f>'Assumptions'!F74</f>
        <v/>
      </c>
      <c r="AH116" s="137">
        <f>'Assumptions'!F75</f>
        <v/>
      </c>
      <c r="AI116" s="137">
        <f>'Assumptions'!F77</f>
        <v/>
      </c>
      <c r="AJ116" s="137">
        <f>V116-N116-SUM(AB116:AI116)</f>
        <v/>
      </c>
      <c r="AK116" s="137">
        <f>SUM(AJ114:AJ116)</f>
        <v/>
      </c>
      <c r="AL116" s="137">
        <f>IF(ISNUMBER('Assumptions'!$B$10),'Assumptions'!$B$10+AK116,"")</f>
        <v/>
      </c>
      <c r="AM116" s="137">
        <f>SUM(O116,Q116,T116)-N116-SUM(AC116:AI116)+IF('Funding'!$N$11=0,AE116,0)-IF('Funding'!$N$11&gt;0,AB116,0)</f>
        <v/>
      </c>
      <c r="AN116" s="137">
        <f>SUM(AM114:AM116)</f>
        <v/>
      </c>
      <c r="AO116" s="137">
        <f>IF(ISNUMBER('Assumptions'!$B$10),'Assumptions'!$B$10+AN116,"")</f>
        <v/>
      </c>
      <c r="AP116" s="137">
        <f>('Production schedule'!AK332)*'Responsibilities'!$C$6+('Production schedule'!AK368)*'Responsibilities'!$C$7+('Production schedule'!AK404)*'Responsibilities'!$C$8</f>
        <v/>
      </c>
      <c r="AQ116" s="137">
        <f>SUMIFS('Production schedule'!$AL$330:$AL$437,'Production schedule'!$C$330:$C$437,3)</f>
        <v/>
      </c>
      <c r="AR116" s="137">
        <f>IF(ISNUMBER('Assumptions'!F76),'Assumptions'!F76,SUM(O116:P116))</f>
        <v/>
      </c>
      <c r="AS116" s="137">
        <f>IF(ISNUMBER('Assumptions'!$B$13),MIN('Assumptions'!$B$13/'Assumptions'!$B$18/12,MAX(0,'Assumptions'!$B$13-(3-1)*'Assumptions'!$B$13/'Assumptions'!$B$18/12)),0)+IF(AND('Sites'!E6=1,3&gt;=('Sites'!F6),3&lt;('Sites'!F6)+'Assumptions'!$B$18*12),'Capital'!E6/'Assumptions'!$B$18/12,0)+IF(AND('Sites'!E7=1,3&gt;=('Sites'!F7+'Cases'!G9),3&lt;('Sites'!F7+'Cases'!G9)+'Assumptions'!$B$18*12),'Capital'!E7/'Assumptions'!$B$18/12,0)+IF(AND('Sites'!E8*'Cases'!F9=1,3&gt;=('Sites'!F8+'Cases'!G9),3&lt;('Sites'!F8+'Cases'!G9)+'Assumptions'!$B$18*12),'Capital'!E8/'Assumptions'!$B$18/12,0)</f>
        <v/>
      </c>
      <c r="AT116" s="137">
        <f>SUM(AQ116,AR116,U116)-AP116-SUM(H116:L116)-AS116-SUM(Y116,AD116,AE116,AH116)</f>
        <v/>
      </c>
      <c r="AU116" s="137">
        <f>IF(ISNUMBER('Assumptions'!$B$19),MAX(0,SUM(AT114:AT116))*'Assumptions'!$B$19-SUM(AU114:AU115),"")</f>
        <v/>
      </c>
      <c r="AV116" s="137">
        <f>IF(ISNUMBER(AU116),AT116-AU116,"")</f>
        <v/>
      </c>
      <c r="AW116" s="137">
        <f>IF(ISNUMBER('Assumptions'!$B$11),'Assumptions'!$B$11+SUM(AQ114:AQ116)-SUM(S114:S116)-SUM(T114:T116),"")</f>
        <v/>
      </c>
      <c r="AX116" s="137">
        <f>IF(ISNUMBER('Assumptions'!$B$12),'Assumptions'!$B$12+SUM(G114:G116)-SUM(AP114:AP116),"")</f>
        <v/>
      </c>
      <c r="AY116" s="137">
        <f>IF(ISNUMBER('Assumptions'!$B$13),'Assumptions'!$B$13+SUM(M114:M116)-SUM(AS114:AS116),"")</f>
        <v/>
      </c>
      <c r="AZ116" s="137">
        <f>IF(ISNUMBER('Assumptions'!$B$14),'Assumptions'!$B$14+-SUM(AF114:AF116),"")</f>
        <v/>
      </c>
      <c r="BA116" s="137">
        <f>IF(ISNUMBER('Assumptions'!$B$15),'Assumptions'!$B$15+SUM(O114:O116)+SUM(P114:P116)-SUM(AR114:AR116),"")</f>
        <v/>
      </c>
      <c r="BB116" s="137">
        <f>IF(ISNUMBER('Assumptions'!$B$16),'Assumptions'!$B$16+-SUM(AC114:AC116),"")</f>
        <v/>
      </c>
      <c r="BC116" s="137">
        <f>IF(AND(ISNUMBER('Assumptions'!$B$21),ISNUMBER('Assumptions'!$B$19)),'Assumptions'!$B$21+SUM(AU114:AU116)-SUM(AG114:AG116),"")</f>
        <v/>
      </c>
      <c r="BD116" s="137">
        <f>IF(ISNUMBER('Assumptions'!$B$20),'Assumptions'!$B$20+-SUM(AI114:AI116),"")</f>
        <v/>
      </c>
      <c r="BE116" s="137">
        <f>IF(AND(ISNUMBER('Assumptions'!$B$17),COUNT(AV114:AV116)=3),'Assumptions'!$B$17+SUM(AV114:AV116),"")</f>
        <v/>
      </c>
      <c r="BF116" s="137">
        <f>IF(COUNT(AL116,AW116:AY116)=4,SUM(AL116,AW116:AY116),"")</f>
        <v/>
      </c>
      <c r="BG116" s="137">
        <f>IF(COUNT(AZ116:BD116)=5,SUM(AZ116:BD116,AA116),"")</f>
        <v/>
      </c>
      <c r="BH116" s="137">
        <f>IF(COUNT(BF116,BG116,BE116)=3,BF116-BG116-BE116,"")</f>
        <v/>
      </c>
      <c r="BI116" s="137">
        <f>SUM(W116,X116)-Z116-AA116</f>
        <v/>
      </c>
      <c r="BJ116" s="137">
        <f>8-COUNT('Assumptions'!F58:F65)+COUNTBLANK('NM Play'!B33:B34)+'Costs'!E44+IF(AND('Sites'!E6=1,('Sites'!F6)&lt;=12,'Sites'!G6&gt;=1),IF(ISNUMBER('Sites'!O6),0,1)+'Capital'!I6+COUNTBLANK('Sites'!R6)+IF('Sites'!D6="NM crew",COUNTBLANK('NM Play'!B25)+1,5-COUNT('Assumptions'!F112:F116)),0)+IF(AND('Sites'!E7=1,('Sites'!F7+'Cases'!G9)&lt;=12,'Sites'!G7&gt;=1),IF(ISNUMBER('Sites'!O7),0,1)+'Capital'!I7+COUNTBLANK('Sites'!R7)+IF('Sites'!D7="NM crew",COUNTBLANK('NM Play'!B25)+1,5-COUNT('Assumptions'!F117:F121)),0)+IF(AND('Sites'!E8*'Cases'!F9=1,('Sites'!F8+'Cases'!G9)&lt;=12,'Sites'!G8&gt;=1),IF(ISNUMBER('Sites'!O8),0,1)+'Capital'!I8+COUNTBLANK('Sites'!R8)+IF('Sites'!D8="NM crew",COUNTBLANK('NM Play'!B25)+1,5-COUNT('Assumptions'!F122:F126)),0)+IF(AND('Cases'!C9&gt;0,NOT(ISNUMBER('Assumptions'!B42))),1,0)+'Responsibilities'!$B$39</f>
        <v/>
      </c>
      <c r="BK116" s="137">
        <f>'Assumptions'!$B$50+'NM Play'!$B$83+'Funding'!$F$20+SUMIFS('Production schedule'!$AN$330:$AN$437,'Production schedule'!$C$330:$C$437,3)+IF(OR('Cases'!E9&lt;0,'Cases'!E9&gt;1,'Cases'!C9&lt;0,'Cases'!D9&lt;0,ABS(SUM('Sites'!S6:S8)-1)&gt;0.0001,MIN('Capital'!F6:F8)&lt;0,MAX('Capital'!F6:F8)&gt;1,MIN(AX116,AZ116,BB116,BA116)&lt;-0.01),1,0)+'Responsibilities'!$B$40</f>
        <v/>
      </c>
      <c r="BL116" s="137">
        <f>SUMIFS('Production schedule'!$T$330:$T$437,'Production schedule'!$C$330:$C$437,3)</f>
        <v/>
      </c>
      <c r="BM116" s="137">
        <f>D116*'NM Play'!$B$38</f>
        <v/>
      </c>
      <c r="BN116" s="137">
        <f>SUMIFS('Production schedule'!$AM$330:$AM$437,'Production schedule'!$C$330:$C$437,3)</f>
        <v/>
      </c>
      <c r="BO116" s="137">
        <f>AK116-AK115-AJ116</f>
        <v/>
      </c>
      <c r="BP116" s="137">
        <f>IF(AND('Assumptions'!$B$39&gt;=0,'Assumptions'!$B$40&gt;0),-PMT('Assumptions'!$B$39/12,'Assumptions'!$B$40*12,IF('Funding'!$N$11&gt;0,'Funding'!$N$11,'Funding'!$U$11)),"")</f>
        <v/>
      </c>
      <c r="BQ116">
        <f>('Production schedule'!AJ332)*(1-'Responsibilities'!$C$6)+('Production schedule'!AJ368)*(1-'Responsibilities'!$C$7)+('Production schedule'!AJ404)*(1-'Responsibilities'!$C$8)</f>
        <v/>
      </c>
      <c r="BR116">
        <f>('Production schedule'!AI332)*(1-'Responsibilities'!$D$6)+('Production schedule'!AI368)*(1-'Responsibilities'!$D$7)+('Production schedule'!AI404)*(1-'Responsibilities'!$D$8)</f>
        <v/>
      </c>
      <c r="BS116">
        <f>('Production schedule'!E332*(IF('Sites'!D6="Annual staff",SUM('Assumptions'!F112,'Assumptions'!F114),0)+SUM('Assumptions'!F113,'Assumptions'!F115:F116)))*(1-'Responsibilities'!$E$6)+('Production schedule'!E368*(IF('Sites'!D7="Annual staff",SUM('Assumptions'!F117,'Assumptions'!F119),0)+SUM('Assumptions'!F118,'Assumptions'!F120:F121)))*(1-'Responsibilities'!$E$7)+('Production schedule'!E404*(IF('Sites'!D8="Annual staff",SUM('Assumptions'!F122,'Assumptions'!F124),0)+SUM('Assumptions'!F123,'Assumptions'!F125:F126)))*(1-'Responsibilities'!$E$8)</f>
        <v/>
      </c>
      <c r="BT116">
        <f>(IF(AND('Production schedule'!E332=1,3=MAX(('Sites'!F6),1),ISNUMBER('Sites'!O6)),'Sites'!O6*'Assumptions'!$B$44,0))*(1-'Responsibilities'!$F$6)+(IF(AND('Production schedule'!E368=1,3=MAX(('Sites'!F7+'Cases'!G9),1),ISNUMBER('Sites'!O7)),'Sites'!O7*'Assumptions'!$B$44,0))*(1-'Responsibilities'!$F$7)+(IF(AND('Production schedule'!E404=1,3=MAX(('Sites'!F8+'Cases'!G9),1),ISNUMBER('Sites'!O8)),'Sites'!O8*'Assumptions'!$B$44,0))*(1-'Responsibilities'!$F$8)</f>
        <v/>
      </c>
      <c r="BU116">
        <f>SUM('Costs'!E36)*'Costs'!F36/12*(1-'Responsibilities'!$C$12)+SUM('Costs'!E37)*'Costs'!F37/12*(1-'Responsibilities'!$C$13)+SUM('Costs'!E38)*'Costs'!F38/12*(1-'Responsibilities'!$C$14)+SUM('Costs'!E39)*'Costs'!F39/12*(1-'Responsibilities'!$C$15)+SUM('Costs'!E40)*'Costs'!F40/12*(1-'Responsibilities'!$C$16)</f>
        <v/>
      </c>
      <c r="BV116">
        <f>('Sites'!E6*'Capital'!E6*(IF(3='Capital'!G6,'Capital'!F6,0)+IF(3='Capital'!H6,1-'Capital'!F6,0)))*(1-'Responsibilities'!$G$6)+('Sites'!E7*'Capital'!E7*(IF(3='Capital'!G7+'Cases'!G9,'Capital'!F7,0)+IF(3='Capital'!H7+'Cases'!G9,1-'Capital'!F7,0)))*(1-'Responsibilities'!$G$7)+('Sites'!E8*'Cases'!F9*'Capital'!E8*(IF(3='Capital'!G8+'Cases'!G9,'Capital'!F8,0)+IF(3='Capital'!H8+'Cases'!G9,1-'Capital'!F8,0)))*(1-'Responsibilities'!$G$8)</f>
        <v/>
      </c>
      <c r="BW116">
        <f>SUM(BQ116:BV116)</f>
        <v/>
      </c>
      <c r="BX116">
        <f>N116+BW116</f>
        <v/>
      </c>
      <c r="BY116">
        <f>BX116-(('Production schedule'!AJ332)*'Responsibilities'!$C$6+('Production schedule'!AJ368)*'Responsibilities'!$C$7+('Production schedule'!AJ404)*'Responsibilities'!$C$8+('Production schedule'!AJ332)*(1-'Responsibilities'!$C$6)+('Production schedule'!AJ368)*(1-'Responsibilities'!$C$7)+('Production schedule'!AJ404)*(1-'Responsibilities'!$C$8)+('Production schedule'!AI332)*'Responsibilities'!$D$6+('Production schedule'!AI368)*'Responsibilities'!$D$7+('Production schedule'!AI404)*'Responsibilities'!$D$8+('Production schedule'!AI332)*(1-'Responsibilities'!$D$6)+('Production schedule'!AI368)*(1-'Responsibilities'!$D$7)+('Production schedule'!AI404)*(1-'Responsibilities'!$D$8)+('Production schedule'!E332*(IF('Sites'!D6="Annual staff",SUM('Assumptions'!F112,'Assumptions'!F114),0)+SUM('Assumptions'!F113,'Assumptions'!F115:F116)))*'Responsibilities'!$E$6+('Production schedule'!E368*(IF('Sites'!D7="Annual staff",SUM('Assumptions'!F117,'Assumptions'!F119),0)+SUM('Assumptions'!F118,'Assumptions'!F120:F121)))*'Responsibilities'!$E$7+('Production schedule'!E404*(IF('Sites'!D8="Annual staff",SUM('Assumptions'!F122,'Assumptions'!F124),0)+SUM('Assumptions'!F123,'Assumptions'!F125:F126)))*'Responsibilities'!$E$8+('Production schedule'!E332*(IF('Sites'!D6="Annual staff",SUM('Assumptions'!F112,'Assumptions'!F114),0)+SUM('Assumptions'!F113,'Assumptions'!F115:F116)))*(1-'Responsibilities'!$E$6)+('Production schedule'!E368*(IF('Sites'!D7="Annual staff",SUM('Assumptions'!F117,'Assumptions'!F119),0)+SUM('Assumptions'!F118,'Assumptions'!F120:F121)))*(1-'Responsibilities'!$E$7)+('Production schedule'!E404*(IF('Sites'!D8="Annual staff",SUM('Assumptions'!F122,'Assumptions'!F124),0)+SUM('Assumptions'!F123,'Assumptions'!F125:F126)))*(1-'Responsibilities'!$E$8)+(IF(AND('Production schedule'!E332=1,3=MAX(('Sites'!F6),1),ISNUMBER('Sites'!O6)),'Sites'!O6*'Assumptions'!$B$44,0))*'Responsibilities'!$F$6+(IF(AND('Production schedule'!E368=1,3=MAX(('Sites'!F7+'Cases'!G9),1),ISNUMBER('Sites'!O7)),'Sites'!O7*'Assumptions'!$B$44,0))*'Responsibilities'!$F$7+(IF(AND('Production schedule'!E404=1,3=MAX(('Sites'!F8+'Cases'!G9),1),ISNUMBER('Sites'!O8)),'Sites'!O8*'Assumptions'!$B$44,0))*'Responsibilities'!$F$8+(IF(AND('Production schedule'!E332=1,3=MAX(('Sites'!F6),1),ISNUMBER('Sites'!O6)),'Sites'!O6*'Assumptions'!$B$44,0))*(1-'Responsibilities'!$F$6)+(IF(AND('Production schedule'!E368=1,3=MAX(('Sites'!F7+'Cases'!G9),1),ISNUMBER('Sites'!O7)),'Sites'!O7*'Assumptions'!$B$44,0))*(1-'Responsibilities'!$F$7)+(IF(AND('Production schedule'!E404=1,3=MAX(('Sites'!F8+'Cases'!G9),1),ISNUMBER('Sites'!O8)),'Sites'!O8*'Assumptions'!$B$44,0))*(1-'Responsibilities'!$F$8)+('Sites'!E6*'Capital'!E6*(IF(3='Capital'!G6,'Capital'!F6,0)+IF(3='Capital'!H6,1-'Capital'!F6,0)))*'Responsibilities'!$G$6+('Sites'!E7*'Capital'!E7*(IF(3='Capital'!G7+'Cases'!G9,'Capital'!F7,0)+IF(3='Capital'!H7+'Cases'!G9,1-'Capital'!F7,0)))*'Responsibilities'!$G$7+('Sites'!E8*'Cases'!F9*'Capital'!E8*(IF(3='Capital'!G8+'Cases'!G9,'Capital'!F8,0)+IF(3='Capital'!H8+'Cases'!G9,1-'Capital'!F8,0)))*'Responsibilities'!$G$8+('Sites'!E6*'Capital'!E6*(IF(3='Capital'!G6,'Capital'!F6,0)+IF(3='Capital'!H6,1-'Capital'!F6,0)))*(1-'Responsibilities'!$G$6)+('Sites'!E7*'Capital'!E7*(IF(3='Capital'!G7+'Cases'!G9,'Capital'!F7,0)+IF(3='Capital'!H7+'Cases'!G9,1-'Capital'!F7,0)))*(1-'Responsibilities'!$G$7)+('Sites'!E8*'Cases'!F9*'Capital'!E8*(IF(3='Capital'!G8+'Cases'!G9,'Capital'!F8,0)+IF(3='Capital'!H8+'Cases'!G9,1-'Capital'!F8,0)))*(1-'Responsibilities'!$G$8)+I116+SUMPRODUCT('Costs'!$E$36:$E$40,'Costs'!$F$36:$F$40)/12+BZ116)</f>
        <v/>
      </c>
      <c r="BZ116">
        <f>SUMIFS('Responsibilities'!$B$31:$B$35,'Responsibilities'!$C$31:$C$35,3,'Responsibilities'!$D$31:$D$35,"Yes")</f>
        <v/>
      </c>
    </row>
    <row r="117" ht="28" customHeight="1">
      <c r="A117" s="4" t="inlineStr">
        <is>
          <t>Delayed receipts</t>
        </is>
      </c>
      <c r="B117" s="4" t="n">
        <v>4</v>
      </c>
      <c r="C117" s="4">
        <f>ROUNDUP(B117/12,0)</f>
        <v/>
      </c>
      <c r="D117" s="137">
        <f>SUMIFS('Production schedule'!$N$330:$N$437,'Production schedule'!$C$330:$C$437,4)</f>
        <v/>
      </c>
      <c r="E117" s="137">
        <f>SUMIFS('Production schedule'!$Y$330:$Y$437,'Production schedule'!$C$330:$C$437,4)</f>
        <v/>
      </c>
      <c r="F117" s="137">
        <f>SUMIFS('Production schedule'!$Z$330:$Z$437,'Production schedule'!$C$330:$C$437,4)</f>
        <v/>
      </c>
      <c r="G117" s="137">
        <f>('Production schedule'!AJ333)*'Responsibilities'!$C$6+('Production schedule'!AJ369)*'Responsibilities'!$C$7+('Production schedule'!AJ405)*'Responsibilities'!$C$8</f>
        <v/>
      </c>
      <c r="H117" s="137">
        <f>('Production schedule'!AI333)*'Responsibilities'!$D$6+('Production schedule'!AI369)*'Responsibilities'!$D$7+('Production schedule'!AI405)*'Responsibilities'!$D$8</f>
        <v/>
      </c>
      <c r="I117" s="137">
        <f>SUM('Assumptions'!G58:G65)</f>
        <v/>
      </c>
      <c r="J117" s="137">
        <f>('Production schedule'!E333*(IF('Sites'!D6="Annual staff",SUM('Assumptions'!G112,'Assumptions'!G114),0)+SUM('Assumptions'!G113,'Assumptions'!G115:G116)))*'Responsibilities'!$E$6+('Production schedule'!E369*(IF('Sites'!D7="Annual staff",SUM('Assumptions'!G117,'Assumptions'!G119),0)+SUM('Assumptions'!G118,'Assumptions'!G120:G121)))*'Responsibilities'!$E$7+('Production schedule'!E405*(IF('Sites'!D8="Annual staff",SUM('Assumptions'!G122,'Assumptions'!G124),0)+SUM('Assumptions'!G123,'Assumptions'!G125:G126)))*'Responsibilities'!$E$8</f>
        <v/>
      </c>
      <c r="K117" s="137">
        <f>(IF(AND('Production schedule'!E333=1,4=MAX(('Sites'!F6),1),ISNUMBER('Sites'!O6)),'Sites'!O6*'Assumptions'!$B$44,0))*'Responsibilities'!$F$6+(IF(AND('Production schedule'!E369=1,4=MAX(('Sites'!F7+'Cases'!G9),1),ISNUMBER('Sites'!O7)),'Sites'!O7*'Assumptions'!$B$44,0))*'Responsibilities'!$F$7+(IF(AND('Production schedule'!E405=1,4=MAX(('Sites'!F8+'Cases'!G9),1),ISNUMBER('Sites'!O8)),'Sites'!O8*'Assumptions'!$B$44,0))*'Responsibilities'!$F$8</f>
        <v/>
      </c>
      <c r="L117" s="137">
        <f>SUM('Costs'!E36)*'Costs'!F36/12*'Responsibilities'!$C$12+SUM('Costs'!E37)*'Costs'!F37/12*'Responsibilities'!$C$13+SUM('Costs'!E38)*'Costs'!F38/12*'Responsibilities'!$C$14+SUM('Costs'!E39)*'Costs'!F39/12*'Responsibilities'!$C$15+SUM('Costs'!E40)*'Costs'!F40/12*'Responsibilities'!$C$16+BZ117</f>
        <v/>
      </c>
      <c r="M117" s="137">
        <f>('Sites'!E6*'Capital'!E6*(IF(4='Capital'!G6,'Capital'!F6,0)+IF(4='Capital'!H6,1-'Capital'!F6,0)))*'Responsibilities'!$G$6+('Sites'!E7*'Capital'!E7*(IF(4='Capital'!G7+'Cases'!G9,'Capital'!F7,0)+IF(4='Capital'!H7+'Cases'!G9,1-'Capital'!F7,0)))*'Responsibilities'!$G$7+('Sites'!E8*'Cases'!F9*'Capital'!E8*(IF(4='Capital'!G8+'Cases'!G9,'Capital'!F8,0)+IF(4='Capital'!H8+'Cases'!G9,1-'Capital'!F8,0)))*'Responsibilities'!$G$8</f>
        <v/>
      </c>
      <c r="N117" s="137">
        <f>SUM(G117:M117)</f>
        <v/>
      </c>
      <c r="O117" s="137">
        <f>SUMIFS(FundingTranches[Secured amount],FundingTranches[Instrument],"Grant",FundingTranches[Secured month],4)</f>
        <v/>
      </c>
      <c r="P117" s="137">
        <f>SUMIFS(FundingTranches[Delayed receipts possible],FundingTranches[Instrument],"Grant",FundingTranches[Scenario month],4-'Cases'!$D$9)</f>
        <v/>
      </c>
      <c r="Q117" s="137">
        <f>SUMIFS(FundingTranches[Secured amount],FundingTranches[Instrument],"Loan",FundingTranches[Secured month],4)</f>
        <v/>
      </c>
      <c r="R117" s="137">
        <f>SUMIFS(FundingTranches[Delayed receipts possible],FundingTranches[Instrument],"Loan",FundingTranches[Scenario month],4-'Cases'!$D$9)</f>
        <v/>
      </c>
      <c r="S117" s="137">
        <f>IF(4&lt;='Assumptions'!$B$34,0,SUMIFS('Production schedule'!$AL$330:$AL$437,'Production schedule'!$C$330:$C$437,4-'Assumptions'!$B$34))</f>
        <v/>
      </c>
      <c r="T117" s="137">
        <f>'Assumptions'!G70</f>
        <v/>
      </c>
      <c r="U117" s="137">
        <f>'Assumptions'!G78</f>
        <v/>
      </c>
      <c r="V117" s="137">
        <f>SUM(O117:U117)</f>
        <v/>
      </c>
      <c r="W117" s="137">
        <f>AA116</f>
        <v/>
      </c>
      <c r="X117" s="137">
        <f>SUM(Q117:R117)</f>
        <v/>
      </c>
      <c r="Y117" s="137">
        <f>SUM(W117,X117)*'Assumptions'!$B$39/12</f>
        <v/>
      </c>
      <c r="Z117" s="137">
        <f>IF(SUM(W117,X117)&gt;0,MIN(SUM(W117,X117),MAX(0,BP117-Y117)),0)</f>
        <v/>
      </c>
      <c r="AA117" s="137">
        <f>SUM(W117,X117)-Z117</f>
        <v/>
      </c>
      <c r="AB117" s="137">
        <f>SUM(Y117:Z117)</f>
        <v/>
      </c>
      <c r="AC117" s="137">
        <f>'Assumptions'!G72</f>
        <v/>
      </c>
      <c r="AD117" s="137">
        <f>'Assumptions'!G73</f>
        <v/>
      </c>
      <c r="AE117" s="137">
        <f>IF(X117&gt;0,SUM('Assumptions'!$B$42),0)</f>
        <v/>
      </c>
      <c r="AF117" s="137">
        <f>'Assumptions'!G71</f>
        <v/>
      </c>
      <c r="AG117" s="137">
        <f>'Assumptions'!G74</f>
        <v/>
      </c>
      <c r="AH117" s="137">
        <f>'Assumptions'!G75</f>
        <v/>
      </c>
      <c r="AI117" s="137">
        <f>'Assumptions'!G77</f>
        <v/>
      </c>
      <c r="AJ117" s="137">
        <f>V117-N117-SUM(AB117:AI117)</f>
        <v/>
      </c>
      <c r="AK117" s="137">
        <f>SUM(AJ114:AJ117)</f>
        <v/>
      </c>
      <c r="AL117" s="137">
        <f>IF(ISNUMBER('Assumptions'!$B$10),'Assumptions'!$B$10+AK117,"")</f>
        <v/>
      </c>
      <c r="AM117" s="137">
        <f>SUM(O117,Q117,T117)-N117-SUM(AC117:AI117)+IF('Funding'!$N$11=0,AE117,0)-IF('Funding'!$N$11&gt;0,AB117,0)</f>
        <v/>
      </c>
      <c r="AN117" s="137">
        <f>SUM(AM114:AM117)</f>
        <v/>
      </c>
      <c r="AO117" s="137">
        <f>IF(ISNUMBER('Assumptions'!$B$10),'Assumptions'!$B$10+AN117,"")</f>
        <v/>
      </c>
      <c r="AP117" s="137">
        <f>('Production schedule'!AK333)*'Responsibilities'!$C$6+('Production schedule'!AK369)*'Responsibilities'!$C$7+('Production schedule'!AK405)*'Responsibilities'!$C$8</f>
        <v/>
      </c>
      <c r="AQ117" s="137">
        <f>SUMIFS('Production schedule'!$AL$330:$AL$437,'Production schedule'!$C$330:$C$437,4)</f>
        <v/>
      </c>
      <c r="AR117" s="137">
        <f>IF(ISNUMBER('Assumptions'!G76),'Assumptions'!G76,SUM(O117:P117))</f>
        <v/>
      </c>
      <c r="AS117" s="137">
        <f>IF(ISNUMBER('Assumptions'!$B$13),MIN('Assumptions'!$B$13/'Assumptions'!$B$18/12,MAX(0,'Assumptions'!$B$13-(4-1)*'Assumptions'!$B$13/'Assumptions'!$B$18/12)),0)+IF(AND('Sites'!E6=1,4&gt;=('Sites'!F6),4&lt;('Sites'!F6)+'Assumptions'!$B$18*12),'Capital'!E6/'Assumptions'!$B$18/12,0)+IF(AND('Sites'!E7=1,4&gt;=('Sites'!F7+'Cases'!G9),4&lt;('Sites'!F7+'Cases'!G9)+'Assumptions'!$B$18*12),'Capital'!E7/'Assumptions'!$B$18/12,0)+IF(AND('Sites'!E8*'Cases'!F9=1,4&gt;=('Sites'!F8+'Cases'!G9),4&lt;('Sites'!F8+'Cases'!G9)+'Assumptions'!$B$18*12),'Capital'!E8/'Assumptions'!$B$18/12,0)</f>
        <v/>
      </c>
      <c r="AT117" s="137">
        <f>SUM(AQ117,AR117,U117)-AP117-SUM(H117:L117)-AS117-SUM(Y117,AD117,AE117,AH117)</f>
        <v/>
      </c>
      <c r="AU117" s="137">
        <f>IF(ISNUMBER('Assumptions'!$B$19),MAX(0,SUM(AT114:AT117))*'Assumptions'!$B$19-SUM(AU114:AU116),"")</f>
        <v/>
      </c>
      <c r="AV117" s="137">
        <f>IF(ISNUMBER(AU117),AT117-AU117,"")</f>
        <v/>
      </c>
      <c r="AW117" s="137">
        <f>IF(ISNUMBER('Assumptions'!$B$11),'Assumptions'!$B$11+SUM(AQ114:AQ117)-SUM(S114:S117)-SUM(T114:T117),"")</f>
        <v/>
      </c>
      <c r="AX117" s="137">
        <f>IF(ISNUMBER('Assumptions'!$B$12),'Assumptions'!$B$12+SUM(G114:G117)-SUM(AP114:AP117),"")</f>
        <v/>
      </c>
      <c r="AY117" s="137">
        <f>IF(ISNUMBER('Assumptions'!$B$13),'Assumptions'!$B$13+SUM(M114:M117)-SUM(AS114:AS117),"")</f>
        <v/>
      </c>
      <c r="AZ117" s="137">
        <f>IF(ISNUMBER('Assumptions'!$B$14),'Assumptions'!$B$14+-SUM(AF114:AF117),"")</f>
        <v/>
      </c>
      <c r="BA117" s="137">
        <f>IF(ISNUMBER('Assumptions'!$B$15),'Assumptions'!$B$15+SUM(O114:O117)+SUM(P114:P117)-SUM(AR114:AR117),"")</f>
        <v/>
      </c>
      <c r="BB117" s="137">
        <f>IF(ISNUMBER('Assumptions'!$B$16),'Assumptions'!$B$16+-SUM(AC114:AC117),"")</f>
        <v/>
      </c>
      <c r="BC117" s="137">
        <f>IF(AND(ISNUMBER('Assumptions'!$B$21),ISNUMBER('Assumptions'!$B$19)),'Assumptions'!$B$21+SUM(AU114:AU117)-SUM(AG114:AG117),"")</f>
        <v/>
      </c>
      <c r="BD117" s="137">
        <f>IF(ISNUMBER('Assumptions'!$B$20),'Assumptions'!$B$20+-SUM(AI114:AI117),"")</f>
        <v/>
      </c>
      <c r="BE117" s="137">
        <f>IF(AND(ISNUMBER('Assumptions'!$B$17),COUNT(AV114:AV117)=4),'Assumptions'!$B$17+SUM(AV114:AV117),"")</f>
        <v/>
      </c>
      <c r="BF117" s="137">
        <f>IF(COUNT(AL117,AW117:AY117)=4,SUM(AL117,AW117:AY117),"")</f>
        <v/>
      </c>
      <c r="BG117" s="137">
        <f>IF(COUNT(AZ117:BD117)=5,SUM(AZ117:BD117,AA117),"")</f>
        <v/>
      </c>
      <c r="BH117" s="137">
        <f>IF(COUNT(BF117,BG117,BE117)=3,BF117-BG117-BE117,"")</f>
        <v/>
      </c>
      <c r="BI117" s="137">
        <f>SUM(W117,X117)-Z117-AA117</f>
        <v/>
      </c>
      <c r="BJ117" s="137">
        <f>8-COUNT('Assumptions'!G58:G65)+COUNTBLANK('NM Play'!B33:B34)+'Costs'!E44+IF(AND('Sites'!E6=1,('Sites'!F6)&lt;=12,'Sites'!G6&gt;=1),IF(ISNUMBER('Sites'!O6),0,1)+'Capital'!I6+COUNTBLANK('Sites'!R6)+IF('Sites'!D6="NM crew",COUNTBLANK('NM Play'!B25)+1,5-COUNT('Assumptions'!G112:G116)),0)+IF(AND('Sites'!E7=1,('Sites'!F7+'Cases'!G9)&lt;=12,'Sites'!G7&gt;=1),IF(ISNUMBER('Sites'!O7),0,1)+'Capital'!I7+COUNTBLANK('Sites'!R7)+IF('Sites'!D7="NM crew",COUNTBLANK('NM Play'!B25)+1,5-COUNT('Assumptions'!G117:G121)),0)+IF(AND('Sites'!E8*'Cases'!F9=1,('Sites'!F8+'Cases'!G9)&lt;=12,'Sites'!G8&gt;=1),IF(ISNUMBER('Sites'!O8),0,1)+'Capital'!I8+COUNTBLANK('Sites'!R8)+IF('Sites'!D8="NM crew",COUNTBLANK('NM Play'!B25)+1,5-COUNT('Assumptions'!G122:G126)),0)+IF(AND('Cases'!C9&gt;0,NOT(ISNUMBER('Assumptions'!B42))),1,0)+'Responsibilities'!$B$39</f>
        <v/>
      </c>
      <c r="BK117" s="137">
        <f>'Assumptions'!$B$50+'NM Play'!$B$83+'Funding'!$F$20+SUMIFS('Production schedule'!$AN$330:$AN$437,'Production schedule'!$C$330:$C$437,4)+IF(OR('Cases'!E9&lt;0,'Cases'!E9&gt;1,'Cases'!C9&lt;0,'Cases'!D9&lt;0,ABS(SUM('Sites'!S6:S8)-1)&gt;0.0001,MIN('Capital'!F6:F8)&lt;0,MAX('Capital'!F6:F8)&gt;1,MIN(AX117,AZ117,BB117,BA117)&lt;-0.01),1,0)+'Responsibilities'!$B$40</f>
        <v/>
      </c>
      <c r="BL117" s="137">
        <f>SUMIFS('Production schedule'!$T$330:$T$437,'Production schedule'!$C$330:$C$437,4)</f>
        <v/>
      </c>
      <c r="BM117" s="137">
        <f>D117*'NM Play'!$B$38</f>
        <v/>
      </c>
      <c r="BN117" s="137">
        <f>SUMIFS('Production schedule'!$AM$330:$AM$437,'Production schedule'!$C$330:$C$437,4)</f>
        <v/>
      </c>
      <c r="BO117" s="137">
        <f>AK117-AK116-AJ117</f>
        <v/>
      </c>
      <c r="BP117" s="137">
        <f>IF(AND('Assumptions'!$B$39&gt;=0,'Assumptions'!$B$40&gt;0),-PMT('Assumptions'!$B$39/12,'Assumptions'!$B$40*12,IF('Funding'!$N$11&gt;0,'Funding'!$N$11,'Funding'!$U$11)),"")</f>
        <v/>
      </c>
      <c r="BQ117">
        <f>('Production schedule'!AJ333)*(1-'Responsibilities'!$C$6)+('Production schedule'!AJ369)*(1-'Responsibilities'!$C$7)+('Production schedule'!AJ405)*(1-'Responsibilities'!$C$8)</f>
        <v/>
      </c>
      <c r="BR117">
        <f>('Production schedule'!AI333)*(1-'Responsibilities'!$D$6)+('Production schedule'!AI369)*(1-'Responsibilities'!$D$7)+('Production schedule'!AI405)*(1-'Responsibilities'!$D$8)</f>
        <v/>
      </c>
      <c r="BS117">
        <f>('Production schedule'!E333*(IF('Sites'!D6="Annual staff",SUM('Assumptions'!G112,'Assumptions'!G114),0)+SUM('Assumptions'!G113,'Assumptions'!G115:G116)))*(1-'Responsibilities'!$E$6)+('Production schedule'!E369*(IF('Sites'!D7="Annual staff",SUM('Assumptions'!G117,'Assumptions'!G119),0)+SUM('Assumptions'!G118,'Assumptions'!G120:G121)))*(1-'Responsibilities'!$E$7)+('Production schedule'!E405*(IF('Sites'!D8="Annual staff",SUM('Assumptions'!G122,'Assumptions'!G124),0)+SUM('Assumptions'!G123,'Assumptions'!G125:G126)))*(1-'Responsibilities'!$E$8)</f>
        <v/>
      </c>
      <c r="BT117">
        <f>(IF(AND('Production schedule'!E333=1,4=MAX(('Sites'!F6),1),ISNUMBER('Sites'!O6)),'Sites'!O6*'Assumptions'!$B$44,0))*(1-'Responsibilities'!$F$6)+(IF(AND('Production schedule'!E369=1,4=MAX(('Sites'!F7+'Cases'!G9),1),ISNUMBER('Sites'!O7)),'Sites'!O7*'Assumptions'!$B$44,0))*(1-'Responsibilities'!$F$7)+(IF(AND('Production schedule'!E405=1,4=MAX(('Sites'!F8+'Cases'!G9),1),ISNUMBER('Sites'!O8)),'Sites'!O8*'Assumptions'!$B$44,0))*(1-'Responsibilities'!$F$8)</f>
        <v/>
      </c>
      <c r="BU117">
        <f>SUM('Costs'!E36)*'Costs'!F36/12*(1-'Responsibilities'!$C$12)+SUM('Costs'!E37)*'Costs'!F37/12*(1-'Responsibilities'!$C$13)+SUM('Costs'!E38)*'Costs'!F38/12*(1-'Responsibilities'!$C$14)+SUM('Costs'!E39)*'Costs'!F39/12*(1-'Responsibilities'!$C$15)+SUM('Costs'!E40)*'Costs'!F40/12*(1-'Responsibilities'!$C$16)</f>
        <v/>
      </c>
      <c r="BV117">
        <f>('Sites'!E6*'Capital'!E6*(IF(4='Capital'!G6,'Capital'!F6,0)+IF(4='Capital'!H6,1-'Capital'!F6,0)))*(1-'Responsibilities'!$G$6)+('Sites'!E7*'Capital'!E7*(IF(4='Capital'!G7+'Cases'!G9,'Capital'!F7,0)+IF(4='Capital'!H7+'Cases'!G9,1-'Capital'!F7,0)))*(1-'Responsibilities'!$G$7)+('Sites'!E8*'Cases'!F9*'Capital'!E8*(IF(4='Capital'!G8+'Cases'!G9,'Capital'!F8,0)+IF(4='Capital'!H8+'Cases'!G9,1-'Capital'!F8,0)))*(1-'Responsibilities'!$G$8)</f>
        <v/>
      </c>
      <c r="BW117">
        <f>SUM(BQ117:BV117)</f>
        <v/>
      </c>
      <c r="BX117">
        <f>N117+BW117</f>
        <v/>
      </c>
      <c r="BY117">
        <f>BX117-(('Production schedule'!AJ333)*'Responsibilities'!$C$6+('Production schedule'!AJ369)*'Responsibilities'!$C$7+('Production schedule'!AJ405)*'Responsibilities'!$C$8+('Production schedule'!AJ333)*(1-'Responsibilities'!$C$6)+('Production schedule'!AJ369)*(1-'Responsibilities'!$C$7)+('Production schedule'!AJ405)*(1-'Responsibilities'!$C$8)+('Production schedule'!AI333)*'Responsibilities'!$D$6+('Production schedule'!AI369)*'Responsibilities'!$D$7+('Production schedule'!AI405)*'Responsibilities'!$D$8+('Production schedule'!AI333)*(1-'Responsibilities'!$D$6)+('Production schedule'!AI369)*(1-'Responsibilities'!$D$7)+('Production schedule'!AI405)*(1-'Responsibilities'!$D$8)+('Production schedule'!E333*(IF('Sites'!D6="Annual staff",SUM('Assumptions'!G112,'Assumptions'!G114),0)+SUM('Assumptions'!G113,'Assumptions'!G115:G116)))*'Responsibilities'!$E$6+('Production schedule'!E369*(IF('Sites'!D7="Annual staff",SUM('Assumptions'!G117,'Assumptions'!G119),0)+SUM('Assumptions'!G118,'Assumptions'!G120:G121)))*'Responsibilities'!$E$7+('Production schedule'!E405*(IF('Sites'!D8="Annual staff",SUM('Assumptions'!G122,'Assumptions'!G124),0)+SUM('Assumptions'!G123,'Assumptions'!G125:G126)))*'Responsibilities'!$E$8+('Production schedule'!E333*(IF('Sites'!D6="Annual staff",SUM('Assumptions'!G112,'Assumptions'!G114),0)+SUM('Assumptions'!G113,'Assumptions'!G115:G116)))*(1-'Responsibilities'!$E$6)+('Production schedule'!E369*(IF('Sites'!D7="Annual staff",SUM('Assumptions'!G117,'Assumptions'!G119),0)+SUM('Assumptions'!G118,'Assumptions'!G120:G121)))*(1-'Responsibilities'!$E$7)+('Production schedule'!E405*(IF('Sites'!D8="Annual staff",SUM('Assumptions'!G122,'Assumptions'!G124),0)+SUM('Assumptions'!G123,'Assumptions'!G125:G126)))*(1-'Responsibilities'!$E$8)+(IF(AND('Production schedule'!E333=1,4=MAX(('Sites'!F6),1),ISNUMBER('Sites'!O6)),'Sites'!O6*'Assumptions'!$B$44,0))*'Responsibilities'!$F$6+(IF(AND('Production schedule'!E369=1,4=MAX(('Sites'!F7+'Cases'!G9),1),ISNUMBER('Sites'!O7)),'Sites'!O7*'Assumptions'!$B$44,0))*'Responsibilities'!$F$7+(IF(AND('Production schedule'!E405=1,4=MAX(('Sites'!F8+'Cases'!G9),1),ISNUMBER('Sites'!O8)),'Sites'!O8*'Assumptions'!$B$44,0))*'Responsibilities'!$F$8+(IF(AND('Production schedule'!E333=1,4=MAX(('Sites'!F6),1),ISNUMBER('Sites'!O6)),'Sites'!O6*'Assumptions'!$B$44,0))*(1-'Responsibilities'!$F$6)+(IF(AND('Production schedule'!E369=1,4=MAX(('Sites'!F7+'Cases'!G9),1),ISNUMBER('Sites'!O7)),'Sites'!O7*'Assumptions'!$B$44,0))*(1-'Responsibilities'!$F$7)+(IF(AND('Production schedule'!E405=1,4=MAX(('Sites'!F8+'Cases'!G9),1),ISNUMBER('Sites'!O8)),'Sites'!O8*'Assumptions'!$B$44,0))*(1-'Responsibilities'!$F$8)+('Sites'!E6*'Capital'!E6*(IF(4='Capital'!G6,'Capital'!F6,0)+IF(4='Capital'!H6,1-'Capital'!F6,0)))*'Responsibilities'!$G$6+('Sites'!E7*'Capital'!E7*(IF(4='Capital'!G7+'Cases'!G9,'Capital'!F7,0)+IF(4='Capital'!H7+'Cases'!G9,1-'Capital'!F7,0)))*'Responsibilities'!$G$7+('Sites'!E8*'Cases'!F9*'Capital'!E8*(IF(4='Capital'!G8+'Cases'!G9,'Capital'!F8,0)+IF(4='Capital'!H8+'Cases'!G9,1-'Capital'!F8,0)))*'Responsibilities'!$G$8+('Sites'!E6*'Capital'!E6*(IF(4='Capital'!G6,'Capital'!F6,0)+IF(4='Capital'!H6,1-'Capital'!F6,0)))*(1-'Responsibilities'!$G$6)+('Sites'!E7*'Capital'!E7*(IF(4='Capital'!G7+'Cases'!G9,'Capital'!F7,0)+IF(4='Capital'!H7+'Cases'!G9,1-'Capital'!F7,0)))*(1-'Responsibilities'!$G$7)+('Sites'!E8*'Cases'!F9*'Capital'!E8*(IF(4='Capital'!G8+'Cases'!G9,'Capital'!F8,0)+IF(4='Capital'!H8+'Cases'!G9,1-'Capital'!F8,0)))*(1-'Responsibilities'!$G$8)+I117+SUMPRODUCT('Costs'!$E$36:$E$40,'Costs'!$F$36:$F$40)/12+BZ117)</f>
        <v/>
      </c>
      <c r="BZ117">
        <f>SUMIFS('Responsibilities'!$B$31:$B$35,'Responsibilities'!$C$31:$C$35,4,'Responsibilities'!$D$31:$D$35,"Yes")</f>
        <v/>
      </c>
    </row>
    <row r="118" ht="28" customHeight="1">
      <c r="A118" s="4" t="inlineStr">
        <is>
          <t>Delayed receipts</t>
        </is>
      </c>
      <c r="B118" s="4" t="n">
        <v>5</v>
      </c>
      <c r="C118" s="4">
        <f>ROUNDUP(B118/12,0)</f>
        <v/>
      </c>
      <c r="D118" s="137">
        <f>SUMIFS('Production schedule'!$N$330:$N$437,'Production schedule'!$C$330:$C$437,5)</f>
        <v/>
      </c>
      <c r="E118" s="137">
        <f>SUMIFS('Production schedule'!$Y$330:$Y$437,'Production schedule'!$C$330:$C$437,5)</f>
        <v/>
      </c>
      <c r="F118" s="137">
        <f>SUMIFS('Production schedule'!$Z$330:$Z$437,'Production schedule'!$C$330:$C$437,5)</f>
        <v/>
      </c>
      <c r="G118" s="137">
        <f>('Production schedule'!AJ334)*'Responsibilities'!$C$6+('Production schedule'!AJ370)*'Responsibilities'!$C$7+('Production schedule'!AJ406)*'Responsibilities'!$C$8</f>
        <v/>
      </c>
      <c r="H118" s="137">
        <f>('Production schedule'!AI334)*'Responsibilities'!$D$6+('Production schedule'!AI370)*'Responsibilities'!$D$7+('Production schedule'!AI406)*'Responsibilities'!$D$8</f>
        <v/>
      </c>
      <c r="I118" s="137">
        <f>SUM('Assumptions'!H58:H65)</f>
        <v/>
      </c>
      <c r="J118" s="137">
        <f>('Production schedule'!E334*(IF('Sites'!D6="Annual staff",SUM('Assumptions'!H112,'Assumptions'!H114),0)+SUM('Assumptions'!H113,'Assumptions'!H115:H116)))*'Responsibilities'!$E$6+('Production schedule'!E370*(IF('Sites'!D7="Annual staff",SUM('Assumptions'!H117,'Assumptions'!H119),0)+SUM('Assumptions'!H118,'Assumptions'!H120:H121)))*'Responsibilities'!$E$7+('Production schedule'!E406*(IF('Sites'!D8="Annual staff",SUM('Assumptions'!H122,'Assumptions'!H124),0)+SUM('Assumptions'!H123,'Assumptions'!H125:H126)))*'Responsibilities'!$E$8</f>
        <v/>
      </c>
      <c r="K118" s="137">
        <f>(IF(AND('Production schedule'!E334=1,5=MAX(('Sites'!F6),1),ISNUMBER('Sites'!O6)),'Sites'!O6*'Assumptions'!$B$44,0))*'Responsibilities'!$F$6+(IF(AND('Production schedule'!E370=1,5=MAX(('Sites'!F7+'Cases'!G9),1),ISNUMBER('Sites'!O7)),'Sites'!O7*'Assumptions'!$B$44,0))*'Responsibilities'!$F$7+(IF(AND('Production schedule'!E406=1,5=MAX(('Sites'!F8+'Cases'!G9),1),ISNUMBER('Sites'!O8)),'Sites'!O8*'Assumptions'!$B$44,0))*'Responsibilities'!$F$8</f>
        <v/>
      </c>
      <c r="L118" s="137">
        <f>SUM('Costs'!E36)*'Costs'!F36/12*'Responsibilities'!$C$12+SUM('Costs'!E37)*'Costs'!F37/12*'Responsibilities'!$C$13+SUM('Costs'!E38)*'Costs'!F38/12*'Responsibilities'!$C$14+SUM('Costs'!E39)*'Costs'!F39/12*'Responsibilities'!$C$15+SUM('Costs'!E40)*'Costs'!F40/12*'Responsibilities'!$C$16+BZ118</f>
        <v/>
      </c>
      <c r="M118" s="137">
        <f>('Sites'!E6*'Capital'!E6*(IF(5='Capital'!G6,'Capital'!F6,0)+IF(5='Capital'!H6,1-'Capital'!F6,0)))*'Responsibilities'!$G$6+('Sites'!E7*'Capital'!E7*(IF(5='Capital'!G7+'Cases'!G9,'Capital'!F7,0)+IF(5='Capital'!H7+'Cases'!G9,1-'Capital'!F7,0)))*'Responsibilities'!$G$7+('Sites'!E8*'Cases'!F9*'Capital'!E8*(IF(5='Capital'!G8+'Cases'!G9,'Capital'!F8,0)+IF(5='Capital'!H8+'Cases'!G9,1-'Capital'!F8,0)))*'Responsibilities'!$G$8</f>
        <v/>
      </c>
      <c r="N118" s="137">
        <f>SUM(G118:M118)</f>
        <v/>
      </c>
      <c r="O118" s="137">
        <f>SUMIFS(FundingTranches[Secured amount],FundingTranches[Instrument],"Grant",FundingTranches[Secured month],5)</f>
        <v/>
      </c>
      <c r="P118" s="137">
        <f>SUMIFS(FundingTranches[Delayed receipts possible],FundingTranches[Instrument],"Grant",FundingTranches[Scenario month],5-'Cases'!$D$9)</f>
        <v/>
      </c>
      <c r="Q118" s="137">
        <f>SUMIFS(FundingTranches[Secured amount],FundingTranches[Instrument],"Loan",FundingTranches[Secured month],5)</f>
        <v/>
      </c>
      <c r="R118" s="137">
        <f>SUMIFS(FundingTranches[Delayed receipts possible],FundingTranches[Instrument],"Loan",FundingTranches[Scenario month],5-'Cases'!$D$9)</f>
        <v/>
      </c>
      <c r="S118" s="137">
        <f>IF(5&lt;='Assumptions'!$B$34,0,SUMIFS('Production schedule'!$AL$330:$AL$437,'Production schedule'!$C$330:$C$437,5-'Assumptions'!$B$34))</f>
        <v/>
      </c>
      <c r="T118" s="137">
        <f>'Assumptions'!H70</f>
        <v/>
      </c>
      <c r="U118" s="137">
        <f>'Assumptions'!H78</f>
        <v/>
      </c>
      <c r="V118" s="137">
        <f>SUM(O118:U118)</f>
        <v/>
      </c>
      <c r="W118" s="137">
        <f>AA117</f>
        <v/>
      </c>
      <c r="X118" s="137">
        <f>SUM(Q118:R118)</f>
        <v/>
      </c>
      <c r="Y118" s="137">
        <f>SUM(W118,X118)*'Assumptions'!$B$39/12</f>
        <v/>
      </c>
      <c r="Z118" s="137">
        <f>IF(SUM(W118,X118)&gt;0,MIN(SUM(W118,X118),MAX(0,BP118-Y118)),0)</f>
        <v/>
      </c>
      <c r="AA118" s="137">
        <f>SUM(W118,X118)-Z118</f>
        <v/>
      </c>
      <c r="AB118" s="137">
        <f>SUM(Y118:Z118)</f>
        <v/>
      </c>
      <c r="AC118" s="137">
        <f>'Assumptions'!H72</f>
        <v/>
      </c>
      <c r="AD118" s="137">
        <f>'Assumptions'!H73</f>
        <v/>
      </c>
      <c r="AE118" s="137">
        <f>IF(X118&gt;0,SUM('Assumptions'!$B$42),0)</f>
        <v/>
      </c>
      <c r="AF118" s="137">
        <f>'Assumptions'!H71</f>
        <v/>
      </c>
      <c r="AG118" s="137">
        <f>'Assumptions'!H74</f>
        <v/>
      </c>
      <c r="AH118" s="137">
        <f>'Assumptions'!H75</f>
        <v/>
      </c>
      <c r="AI118" s="137">
        <f>'Assumptions'!H77</f>
        <v/>
      </c>
      <c r="AJ118" s="137">
        <f>V118-N118-SUM(AB118:AI118)</f>
        <v/>
      </c>
      <c r="AK118" s="137">
        <f>SUM(AJ114:AJ118)</f>
        <v/>
      </c>
      <c r="AL118" s="137">
        <f>IF(ISNUMBER('Assumptions'!$B$10),'Assumptions'!$B$10+AK118,"")</f>
        <v/>
      </c>
      <c r="AM118" s="137">
        <f>SUM(O118,Q118,T118)-N118-SUM(AC118:AI118)+IF('Funding'!$N$11=0,AE118,0)-IF('Funding'!$N$11&gt;0,AB118,0)</f>
        <v/>
      </c>
      <c r="AN118" s="137">
        <f>SUM(AM114:AM118)</f>
        <v/>
      </c>
      <c r="AO118" s="137">
        <f>IF(ISNUMBER('Assumptions'!$B$10),'Assumptions'!$B$10+AN118,"")</f>
        <v/>
      </c>
      <c r="AP118" s="137">
        <f>('Production schedule'!AK334)*'Responsibilities'!$C$6+('Production schedule'!AK370)*'Responsibilities'!$C$7+('Production schedule'!AK406)*'Responsibilities'!$C$8</f>
        <v/>
      </c>
      <c r="AQ118" s="137">
        <f>SUMIFS('Production schedule'!$AL$330:$AL$437,'Production schedule'!$C$330:$C$437,5)</f>
        <v/>
      </c>
      <c r="AR118" s="137">
        <f>IF(ISNUMBER('Assumptions'!H76),'Assumptions'!H76,SUM(O118:P118))</f>
        <v/>
      </c>
      <c r="AS118" s="137">
        <f>IF(ISNUMBER('Assumptions'!$B$13),MIN('Assumptions'!$B$13/'Assumptions'!$B$18/12,MAX(0,'Assumptions'!$B$13-(5-1)*'Assumptions'!$B$13/'Assumptions'!$B$18/12)),0)+IF(AND('Sites'!E6=1,5&gt;=('Sites'!F6),5&lt;('Sites'!F6)+'Assumptions'!$B$18*12),'Capital'!E6/'Assumptions'!$B$18/12,0)+IF(AND('Sites'!E7=1,5&gt;=('Sites'!F7+'Cases'!G9),5&lt;('Sites'!F7+'Cases'!G9)+'Assumptions'!$B$18*12),'Capital'!E7/'Assumptions'!$B$18/12,0)+IF(AND('Sites'!E8*'Cases'!F9=1,5&gt;=('Sites'!F8+'Cases'!G9),5&lt;('Sites'!F8+'Cases'!G9)+'Assumptions'!$B$18*12),'Capital'!E8/'Assumptions'!$B$18/12,0)</f>
        <v/>
      </c>
      <c r="AT118" s="137">
        <f>SUM(AQ118,AR118,U118)-AP118-SUM(H118:L118)-AS118-SUM(Y118,AD118,AE118,AH118)</f>
        <v/>
      </c>
      <c r="AU118" s="137">
        <f>IF(ISNUMBER('Assumptions'!$B$19),MAX(0,SUM(AT114:AT118))*'Assumptions'!$B$19-SUM(AU114:AU117),"")</f>
        <v/>
      </c>
      <c r="AV118" s="137">
        <f>IF(ISNUMBER(AU118),AT118-AU118,"")</f>
        <v/>
      </c>
      <c r="AW118" s="137">
        <f>IF(ISNUMBER('Assumptions'!$B$11),'Assumptions'!$B$11+SUM(AQ114:AQ118)-SUM(S114:S118)-SUM(T114:T118),"")</f>
        <v/>
      </c>
      <c r="AX118" s="137">
        <f>IF(ISNUMBER('Assumptions'!$B$12),'Assumptions'!$B$12+SUM(G114:G118)-SUM(AP114:AP118),"")</f>
        <v/>
      </c>
      <c r="AY118" s="137">
        <f>IF(ISNUMBER('Assumptions'!$B$13),'Assumptions'!$B$13+SUM(M114:M118)-SUM(AS114:AS118),"")</f>
        <v/>
      </c>
      <c r="AZ118" s="137">
        <f>IF(ISNUMBER('Assumptions'!$B$14),'Assumptions'!$B$14+-SUM(AF114:AF118),"")</f>
        <v/>
      </c>
      <c r="BA118" s="137">
        <f>IF(ISNUMBER('Assumptions'!$B$15),'Assumptions'!$B$15+SUM(O114:O118)+SUM(P114:P118)-SUM(AR114:AR118),"")</f>
        <v/>
      </c>
      <c r="BB118" s="137">
        <f>IF(ISNUMBER('Assumptions'!$B$16),'Assumptions'!$B$16+-SUM(AC114:AC118),"")</f>
        <v/>
      </c>
      <c r="BC118" s="137">
        <f>IF(AND(ISNUMBER('Assumptions'!$B$21),ISNUMBER('Assumptions'!$B$19)),'Assumptions'!$B$21+SUM(AU114:AU118)-SUM(AG114:AG118),"")</f>
        <v/>
      </c>
      <c r="BD118" s="137">
        <f>IF(ISNUMBER('Assumptions'!$B$20),'Assumptions'!$B$20+-SUM(AI114:AI118),"")</f>
        <v/>
      </c>
      <c r="BE118" s="137">
        <f>IF(AND(ISNUMBER('Assumptions'!$B$17),COUNT(AV114:AV118)=5),'Assumptions'!$B$17+SUM(AV114:AV118),"")</f>
        <v/>
      </c>
      <c r="BF118" s="137">
        <f>IF(COUNT(AL118,AW118:AY118)=4,SUM(AL118,AW118:AY118),"")</f>
        <v/>
      </c>
      <c r="BG118" s="137">
        <f>IF(COUNT(AZ118:BD118)=5,SUM(AZ118:BD118,AA118),"")</f>
        <v/>
      </c>
      <c r="BH118" s="137">
        <f>IF(COUNT(BF118,BG118,BE118)=3,BF118-BG118-BE118,"")</f>
        <v/>
      </c>
      <c r="BI118" s="137">
        <f>SUM(W118,X118)-Z118-AA118</f>
        <v/>
      </c>
      <c r="BJ118" s="137">
        <f>8-COUNT('Assumptions'!H58:H65)+COUNTBLANK('NM Play'!B33:B34)+'Costs'!E44+IF(AND('Sites'!E6=1,('Sites'!F6)&lt;=12,'Sites'!G6&gt;=1),IF(ISNUMBER('Sites'!O6),0,1)+'Capital'!I6+COUNTBLANK('Sites'!R6)+IF('Sites'!D6="NM crew",COUNTBLANK('NM Play'!B25)+1,5-COUNT('Assumptions'!H112:H116)),0)+IF(AND('Sites'!E7=1,('Sites'!F7+'Cases'!G9)&lt;=12,'Sites'!G7&gt;=1),IF(ISNUMBER('Sites'!O7),0,1)+'Capital'!I7+COUNTBLANK('Sites'!R7)+IF('Sites'!D7="NM crew",COUNTBLANK('NM Play'!B25)+1,5-COUNT('Assumptions'!H117:H121)),0)+IF(AND('Sites'!E8*'Cases'!F9=1,('Sites'!F8+'Cases'!G9)&lt;=12,'Sites'!G8&gt;=1),IF(ISNUMBER('Sites'!O8),0,1)+'Capital'!I8+COUNTBLANK('Sites'!R8)+IF('Sites'!D8="NM crew",COUNTBLANK('NM Play'!B25)+1,5-COUNT('Assumptions'!H122:H126)),0)+IF(AND('Cases'!C9&gt;0,NOT(ISNUMBER('Assumptions'!B42))),1,0)+'Responsibilities'!$B$39</f>
        <v/>
      </c>
      <c r="BK118" s="137">
        <f>'Assumptions'!$B$50+'NM Play'!$B$83+'Funding'!$F$20+SUMIFS('Production schedule'!$AN$330:$AN$437,'Production schedule'!$C$330:$C$437,5)+IF(OR('Cases'!E9&lt;0,'Cases'!E9&gt;1,'Cases'!C9&lt;0,'Cases'!D9&lt;0,ABS(SUM('Sites'!S6:S8)-1)&gt;0.0001,MIN('Capital'!F6:F8)&lt;0,MAX('Capital'!F6:F8)&gt;1,MIN(AX118,AZ118,BB118,BA118)&lt;-0.01),1,0)+'Responsibilities'!$B$40</f>
        <v/>
      </c>
      <c r="BL118" s="137">
        <f>SUMIFS('Production schedule'!$T$330:$T$437,'Production schedule'!$C$330:$C$437,5)</f>
        <v/>
      </c>
      <c r="BM118" s="137">
        <f>D118*'NM Play'!$B$38</f>
        <v/>
      </c>
      <c r="BN118" s="137">
        <f>SUMIFS('Production schedule'!$AM$330:$AM$437,'Production schedule'!$C$330:$C$437,5)</f>
        <v/>
      </c>
      <c r="BO118" s="137">
        <f>AK118-AK117-AJ118</f>
        <v/>
      </c>
      <c r="BP118" s="137">
        <f>IF(AND('Assumptions'!$B$39&gt;=0,'Assumptions'!$B$40&gt;0),-PMT('Assumptions'!$B$39/12,'Assumptions'!$B$40*12,IF('Funding'!$N$11&gt;0,'Funding'!$N$11,'Funding'!$U$11)),"")</f>
        <v/>
      </c>
      <c r="BQ118">
        <f>('Production schedule'!AJ334)*(1-'Responsibilities'!$C$6)+('Production schedule'!AJ370)*(1-'Responsibilities'!$C$7)+('Production schedule'!AJ406)*(1-'Responsibilities'!$C$8)</f>
        <v/>
      </c>
      <c r="BR118">
        <f>('Production schedule'!AI334)*(1-'Responsibilities'!$D$6)+('Production schedule'!AI370)*(1-'Responsibilities'!$D$7)+('Production schedule'!AI406)*(1-'Responsibilities'!$D$8)</f>
        <v/>
      </c>
      <c r="BS118">
        <f>('Production schedule'!E334*(IF('Sites'!D6="Annual staff",SUM('Assumptions'!H112,'Assumptions'!H114),0)+SUM('Assumptions'!H113,'Assumptions'!H115:H116)))*(1-'Responsibilities'!$E$6)+('Production schedule'!E370*(IF('Sites'!D7="Annual staff",SUM('Assumptions'!H117,'Assumptions'!H119),0)+SUM('Assumptions'!H118,'Assumptions'!H120:H121)))*(1-'Responsibilities'!$E$7)+('Production schedule'!E406*(IF('Sites'!D8="Annual staff",SUM('Assumptions'!H122,'Assumptions'!H124),0)+SUM('Assumptions'!H123,'Assumptions'!H125:H126)))*(1-'Responsibilities'!$E$8)</f>
        <v/>
      </c>
      <c r="BT118">
        <f>(IF(AND('Production schedule'!E334=1,5=MAX(('Sites'!F6),1),ISNUMBER('Sites'!O6)),'Sites'!O6*'Assumptions'!$B$44,0))*(1-'Responsibilities'!$F$6)+(IF(AND('Production schedule'!E370=1,5=MAX(('Sites'!F7+'Cases'!G9),1),ISNUMBER('Sites'!O7)),'Sites'!O7*'Assumptions'!$B$44,0))*(1-'Responsibilities'!$F$7)+(IF(AND('Production schedule'!E406=1,5=MAX(('Sites'!F8+'Cases'!G9),1),ISNUMBER('Sites'!O8)),'Sites'!O8*'Assumptions'!$B$44,0))*(1-'Responsibilities'!$F$8)</f>
        <v/>
      </c>
      <c r="BU118">
        <f>SUM('Costs'!E36)*'Costs'!F36/12*(1-'Responsibilities'!$C$12)+SUM('Costs'!E37)*'Costs'!F37/12*(1-'Responsibilities'!$C$13)+SUM('Costs'!E38)*'Costs'!F38/12*(1-'Responsibilities'!$C$14)+SUM('Costs'!E39)*'Costs'!F39/12*(1-'Responsibilities'!$C$15)+SUM('Costs'!E40)*'Costs'!F40/12*(1-'Responsibilities'!$C$16)</f>
        <v/>
      </c>
      <c r="BV118">
        <f>('Sites'!E6*'Capital'!E6*(IF(5='Capital'!G6,'Capital'!F6,0)+IF(5='Capital'!H6,1-'Capital'!F6,0)))*(1-'Responsibilities'!$G$6)+('Sites'!E7*'Capital'!E7*(IF(5='Capital'!G7+'Cases'!G9,'Capital'!F7,0)+IF(5='Capital'!H7+'Cases'!G9,1-'Capital'!F7,0)))*(1-'Responsibilities'!$G$7)+('Sites'!E8*'Cases'!F9*'Capital'!E8*(IF(5='Capital'!G8+'Cases'!G9,'Capital'!F8,0)+IF(5='Capital'!H8+'Cases'!G9,1-'Capital'!F8,0)))*(1-'Responsibilities'!$G$8)</f>
        <v/>
      </c>
      <c r="BW118">
        <f>SUM(BQ118:BV118)</f>
        <v/>
      </c>
      <c r="BX118">
        <f>N118+BW118</f>
        <v/>
      </c>
      <c r="BY118">
        <f>BX118-(('Production schedule'!AJ334)*'Responsibilities'!$C$6+('Production schedule'!AJ370)*'Responsibilities'!$C$7+('Production schedule'!AJ406)*'Responsibilities'!$C$8+('Production schedule'!AJ334)*(1-'Responsibilities'!$C$6)+('Production schedule'!AJ370)*(1-'Responsibilities'!$C$7)+('Production schedule'!AJ406)*(1-'Responsibilities'!$C$8)+('Production schedule'!AI334)*'Responsibilities'!$D$6+('Production schedule'!AI370)*'Responsibilities'!$D$7+('Production schedule'!AI406)*'Responsibilities'!$D$8+('Production schedule'!AI334)*(1-'Responsibilities'!$D$6)+('Production schedule'!AI370)*(1-'Responsibilities'!$D$7)+('Production schedule'!AI406)*(1-'Responsibilities'!$D$8)+('Production schedule'!E334*(IF('Sites'!D6="Annual staff",SUM('Assumptions'!H112,'Assumptions'!H114),0)+SUM('Assumptions'!H113,'Assumptions'!H115:H116)))*'Responsibilities'!$E$6+('Production schedule'!E370*(IF('Sites'!D7="Annual staff",SUM('Assumptions'!H117,'Assumptions'!H119),0)+SUM('Assumptions'!H118,'Assumptions'!H120:H121)))*'Responsibilities'!$E$7+('Production schedule'!E406*(IF('Sites'!D8="Annual staff",SUM('Assumptions'!H122,'Assumptions'!H124),0)+SUM('Assumptions'!H123,'Assumptions'!H125:H126)))*'Responsibilities'!$E$8+('Production schedule'!E334*(IF('Sites'!D6="Annual staff",SUM('Assumptions'!H112,'Assumptions'!H114),0)+SUM('Assumptions'!H113,'Assumptions'!H115:H116)))*(1-'Responsibilities'!$E$6)+('Production schedule'!E370*(IF('Sites'!D7="Annual staff",SUM('Assumptions'!H117,'Assumptions'!H119),0)+SUM('Assumptions'!H118,'Assumptions'!H120:H121)))*(1-'Responsibilities'!$E$7)+('Production schedule'!E406*(IF('Sites'!D8="Annual staff",SUM('Assumptions'!H122,'Assumptions'!H124),0)+SUM('Assumptions'!H123,'Assumptions'!H125:H126)))*(1-'Responsibilities'!$E$8)+(IF(AND('Production schedule'!E334=1,5=MAX(('Sites'!F6),1),ISNUMBER('Sites'!O6)),'Sites'!O6*'Assumptions'!$B$44,0))*'Responsibilities'!$F$6+(IF(AND('Production schedule'!E370=1,5=MAX(('Sites'!F7+'Cases'!G9),1),ISNUMBER('Sites'!O7)),'Sites'!O7*'Assumptions'!$B$44,0))*'Responsibilities'!$F$7+(IF(AND('Production schedule'!E406=1,5=MAX(('Sites'!F8+'Cases'!G9),1),ISNUMBER('Sites'!O8)),'Sites'!O8*'Assumptions'!$B$44,0))*'Responsibilities'!$F$8+(IF(AND('Production schedule'!E334=1,5=MAX(('Sites'!F6),1),ISNUMBER('Sites'!O6)),'Sites'!O6*'Assumptions'!$B$44,0))*(1-'Responsibilities'!$F$6)+(IF(AND('Production schedule'!E370=1,5=MAX(('Sites'!F7+'Cases'!G9),1),ISNUMBER('Sites'!O7)),'Sites'!O7*'Assumptions'!$B$44,0))*(1-'Responsibilities'!$F$7)+(IF(AND('Production schedule'!E406=1,5=MAX(('Sites'!F8+'Cases'!G9),1),ISNUMBER('Sites'!O8)),'Sites'!O8*'Assumptions'!$B$44,0))*(1-'Responsibilities'!$F$8)+('Sites'!E6*'Capital'!E6*(IF(5='Capital'!G6,'Capital'!F6,0)+IF(5='Capital'!H6,1-'Capital'!F6,0)))*'Responsibilities'!$G$6+('Sites'!E7*'Capital'!E7*(IF(5='Capital'!G7+'Cases'!G9,'Capital'!F7,0)+IF(5='Capital'!H7+'Cases'!G9,1-'Capital'!F7,0)))*'Responsibilities'!$G$7+('Sites'!E8*'Cases'!F9*'Capital'!E8*(IF(5='Capital'!G8+'Cases'!G9,'Capital'!F8,0)+IF(5='Capital'!H8+'Cases'!G9,1-'Capital'!F8,0)))*'Responsibilities'!$G$8+('Sites'!E6*'Capital'!E6*(IF(5='Capital'!G6,'Capital'!F6,0)+IF(5='Capital'!H6,1-'Capital'!F6,0)))*(1-'Responsibilities'!$G$6)+('Sites'!E7*'Capital'!E7*(IF(5='Capital'!G7+'Cases'!G9,'Capital'!F7,0)+IF(5='Capital'!H7+'Cases'!G9,1-'Capital'!F7,0)))*(1-'Responsibilities'!$G$7)+('Sites'!E8*'Cases'!F9*'Capital'!E8*(IF(5='Capital'!G8+'Cases'!G9,'Capital'!F8,0)+IF(5='Capital'!H8+'Cases'!G9,1-'Capital'!F8,0)))*(1-'Responsibilities'!$G$8)+I118+SUMPRODUCT('Costs'!$E$36:$E$40,'Costs'!$F$36:$F$40)/12+BZ118)</f>
        <v/>
      </c>
      <c r="BZ118">
        <f>SUMIFS('Responsibilities'!$B$31:$B$35,'Responsibilities'!$C$31:$C$35,5,'Responsibilities'!$D$31:$D$35,"Yes")</f>
        <v/>
      </c>
    </row>
    <row r="119" ht="28" customHeight="1">
      <c r="A119" s="4" t="inlineStr">
        <is>
          <t>Delayed receipts</t>
        </is>
      </c>
      <c r="B119" s="4" t="n">
        <v>6</v>
      </c>
      <c r="C119" s="4">
        <f>ROUNDUP(B119/12,0)</f>
        <v/>
      </c>
      <c r="D119" s="137">
        <f>SUMIFS('Production schedule'!$N$330:$N$437,'Production schedule'!$C$330:$C$437,6)</f>
        <v/>
      </c>
      <c r="E119" s="137">
        <f>SUMIFS('Production schedule'!$Y$330:$Y$437,'Production schedule'!$C$330:$C$437,6)</f>
        <v/>
      </c>
      <c r="F119" s="137">
        <f>SUMIFS('Production schedule'!$Z$330:$Z$437,'Production schedule'!$C$330:$C$437,6)</f>
        <v/>
      </c>
      <c r="G119" s="137">
        <f>('Production schedule'!AJ335)*'Responsibilities'!$C$6+('Production schedule'!AJ371)*'Responsibilities'!$C$7+('Production schedule'!AJ407)*'Responsibilities'!$C$8</f>
        <v/>
      </c>
      <c r="H119" s="137">
        <f>('Production schedule'!AI335)*'Responsibilities'!$D$6+('Production schedule'!AI371)*'Responsibilities'!$D$7+('Production schedule'!AI407)*'Responsibilities'!$D$8</f>
        <v/>
      </c>
      <c r="I119" s="137">
        <f>SUM('Assumptions'!I58:I65)</f>
        <v/>
      </c>
      <c r="J119" s="137">
        <f>('Production schedule'!E335*(IF('Sites'!D6="Annual staff",SUM('Assumptions'!I112,'Assumptions'!I114),0)+SUM('Assumptions'!I113,'Assumptions'!I115:I116)))*'Responsibilities'!$E$6+('Production schedule'!E371*(IF('Sites'!D7="Annual staff",SUM('Assumptions'!I117,'Assumptions'!I119),0)+SUM('Assumptions'!I118,'Assumptions'!I120:I121)))*'Responsibilities'!$E$7+('Production schedule'!E407*(IF('Sites'!D8="Annual staff",SUM('Assumptions'!I122,'Assumptions'!I124),0)+SUM('Assumptions'!I123,'Assumptions'!I125:I126)))*'Responsibilities'!$E$8</f>
        <v/>
      </c>
      <c r="K119" s="137">
        <f>(IF(AND('Production schedule'!E335=1,6=MAX(('Sites'!F6),1),ISNUMBER('Sites'!O6)),'Sites'!O6*'Assumptions'!$B$44,0))*'Responsibilities'!$F$6+(IF(AND('Production schedule'!E371=1,6=MAX(('Sites'!F7+'Cases'!G9),1),ISNUMBER('Sites'!O7)),'Sites'!O7*'Assumptions'!$B$44,0))*'Responsibilities'!$F$7+(IF(AND('Production schedule'!E407=1,6=MAX(('Sites'!F8+'Cases'!G9),1),ISNUMBER('Sites'!O8)),'Sites'!O8*'Assumptions'!$B$44,0))*'Responsibilities'!$F$8</f>
        <v/>
      </c>
      <c r="L119" s="137">
        <f>SUM('Costs'!E36)*'Costs'!F36/12*'Responsibilities'!$C$12+SUM('Costs'!E37)*'Costs'!F37/12*'Responsibilities'!$C$13+SUM('Costs'!E38)*'Costs'!F38/12*'Responsibilities'!$C$14+SUM('Costs'!E39)*'Costs'!F39/12*'Responsibilities'!$C$15+SUM('Costs'!E40)*'Costs'!F40/12*'Responsibilities'!$C$16+BZ119</f>
        <v/>
      </c>
      <c r="M119" s="137">
        <f>('Sites'!E6*'Capital'!E6*(IF(6='Capital'!G6,'Capital'!F6,0)+IF(6='Capital'!H6,1-'Capital'!F6,0)))*'Responsibilities'!$G$6+('Sites'!E7*'Capital'!E7*(IF(6='Capital'!G7+'Cases'!G9,'Capital'!F7,0)+IF(6='Capital'!H7+'Cases'!G9,1-'Capital'!F7,0)))*'Responsibilities'!$G$7+('Sites'!E8*'Cases'!F9*'Capital'!E8*(IF(6='Capital'!G8+'Cases'!G9,'Capital'!F8,0)+IF(6='Capital'!H8+'Cases'!G9,1-'Capital'!F8,0)))*'Responsibilities'!$G$8</f>
        <v/>
      </c>
      <c r="N119" s="137">
        <f>SUM(G119:M119)</f>
        <v/>
      </c>
      <c r="O119" s="137">
        <f>SUMIFS(FundingTranches[Secured amount],FundingTranches[Instrument],"Grant",FundingTranches[Secured month],6)</f>
        <v/>
      </c>
      <c r="P119" s="137">
        <f>SUMIFS(FundingTranches[Delayed receipts possible],FundingTranches[Instrument],"Grant",FundingTranches[Scenario month],6-'Cases'!$D$9)</f>
        <v/>
      </c>
      <c r="Q119" s="137">
        <f>SUMIFS(FundingTranches[Secured amount],FundingTranches[Instrument],"Loan",FundingTranches[Secured month],6)</f>
        <v/>
      </c>
      <c r="R119" s="137">
        <f>SUMIFS(FundingTranches[Delayed receipts possible],FundingTranches[Instrument],"Loan",FundingTranches[Scenario month],6-'Cases'!$D$9)</f>
        <v/>
      </c>
      <c r="S119" s="137">
        <f>IF(6&lt;='Assumptions'!$B$34,0,SUMIFS('Production schedule'!$AL$330:$AL$437,'Production schedule'!$C$330:$C$437,6-'Assumptions'!$B$34))</f>
        <v/>
      </c>
      <c r="T119" s="137">
        <f>'Assumptions'!I70</f>
        <v/>
      </c>
      <c r="U119" s="137">
        <f>'Assumptions'!I78</f>
        <v/>
      </c>
      <c r="V119" s="137">
        <f>SUM(O119:U119)</f>
        <v/>
      </c>
      <c r="W119" s="137">
        <f>AA118</f>
        <v/>
      </c>
      <c r="X119" s="137">
        <f>SUM(Q119:R119)</f>
        <v/>
      </c>
      <c r="Y119" s="137">
        <f>SUM(W119,X119)*'Assumptions'!$B$39/12</f>
        <v/>
      </c>
      <c r="Z119" s="137">
        <f>IF(SUM(W119,X119)&gt;0,MIN(SUM(W119,X119),MAX(0,BP119-Y119)),0)</f>
        <v/>
      </c>
      <c r="AA119" s="137">
        <f>SUM(W119,X119)-Z119</f>
        <v/>
      </c>
      <c r="AB119" s="137">
        <f>SUM(Y119:Z119)</f>
        <v/>
      </c>
      <c r="AC119" s="137">
        <f>'Assumptions'!I72</f>
        <v/>
      </c>
      <c r="AD119" s="137">
        <f>'Assumptions'!I73</f>
        <v/>
      </c>
      <c r="AE119" s="137">
        <f>IF(X119&gt;0,SUM('Assumptions'!$B$42),0)</f>
        <v/>
      </c>
      <c r="AF119" s="137">
        <f>'Assumptions'!I71</f>
        <v/>
      </c>
      <c r="AG119" s="137">
        <f>'Assumptions'!I74</f>
        <v/>
      </c>
      <c r="AH119" s="137">
        <f>'Assumptions'!I75</f>
        <v/>
      </c>
      <c r="AI119" s="137">
        <f>'Assumptions'!I77</f>
        <v/>
      </c>
      <c r="AJ119" s="137">
        <f>V119-N119-SUM(AB119:AI119)</f>
        <v/>
      </c>
      <c r="AK119" s="137">
        <f>SUM(AJ114:AJ119)</f>
        <v/>
      </c>
      <c r="AL119" s="137">
        <f>IF(ISNUMBER('Assumptions'!$B$10),'Assumptions'!$B$10+AK119,"")</f>
        <v/>
      </c>
      <c r="AM119" s="137">
        <f>SUM(O119,Q119,T119)-N119-SUM(AC119:AI119)+IF('Funding'!$N$11=0,AE119,0)-IF('Funding'!$N$11&gt;0,AB119,0)</f>
        <v/>
      </c>
      <c r="AN119" s="137">
        <f>SUM(AM114:AM119)</f>
        <v/>
      </c>
      <c r="AO119" s="137">
        <f>IF(ISNUMBER('Assumptions'!$B$10),'Assumptions'!$B$10+AN119,"")</f>
        <v/>
      </c>
      <c r="AP119" s="137">
        <f>('Production schedule'!AK335)*'Responsibilities'!$C$6+('Production schedule'!AK371)*'Responsibilities'!$C$7+('Production schedule'!AK407)*'Responsibilities'!$C$8</f>
        <v/>
      </c>
      <c r="AQ119" s="137">
        <f>SUMIFS('Production schedule'!$AL$330:$AL$437,'Production schedule'!$C$330:$C$437,6)</f>
        <v/>
      </c>
      <c r="AR119" s="137">
        <f>IF(ISNUMBER('Assumptions'!I76),'Assumptions'!I76,SUM(O119:P119))</f>
        <v/>
      </c>
      <c r="AS119" s="137">
        <f>IF(ISNUMBER('Assumptions'!$B$13),MIN('Assumptions'!$B$13/'Assumptions'!$B$18/12,MAX(0,'Assumptions'!$B$13-(6-1)*'Assumptions'!$B$13/'Assumptions'!$B$18/12)),0)+IF(AND('Sites'!E6=1,6&gt;=('Sites'!F6),6&lt;('Sites'!F6)+'Assumptions'!$B$18*12),'Capital'!E6/'Assumptions'!$B$18/12,0)+IF(AND('Sites'!E7=1,6&gt;=('Sites'!F7+'Cases'!G9),6&lt;('Sites'!F7+'Cases'!G9)+'Assumptions'!$B$18*12),'Capital'!E7/'Assumptions'!$B$18/12,0)+IF(AND('Sites'!E8*'Cases'!F9=1,6&gt;=('Sites'!F8+'Cases'!G9),6&lt;('Sites'!F8+'Cases'!G9)+'Assumptions'!$B$18*12),'Capital'!E8/'Assumptions'!$B$18/12,0)</f>
        <v/>
      </c>
      <c r="AT119" s="137">
        <f>SUM(AQ119,AR119,U119)-AP119-SUM(H119:L119)-AS119-SUM(Y119,AD119,AE119,AH119)</f>
        <v/>
      </c>
      <c r="AU119" s="137">
        <f>IF(ISNUMBER('Assumptions'!$B$19),MAX(0,SUM(AT114:AT119))*'Assumptions'!$B$19-SUM(AU114:AU118),"")</f>
        <v/>
      </c>
      <c r="AV119" s="137">
        <f>IF(ISNUMBER(AU119),AT119-AU119,"")</f>
        <v/>
      </c>
      <c r="AW119" s="137">
        <f>IF(ISNUMBER('Assumptions'!$B$11),'Assumptions'!$B$11+SUM(AQ114:AQ119)-SUM(S114:S119)-SUM(T114:T119),"")</f>
        <v/>
      </c>
      <c r="AX119" s="137">
        <f>IF(ISNUMBER('Assumptions'!$B$12),'Assumptions'!$B$12+SUM(G114:G119)-SUM(AP114:AP119),"")</f>
        <v/>
      </c>
      <c r="AY119" s="137">
        <f>IF(ISNUMBER('Assumptions'!$B$13),'Assumptions'!$B$13+SUM(M114:M119)-SUM(AS114:AS119),"")</f>
        <v/>
      </c>
      <c r="AZ119" s="137">
        <f>IF(ISNUMBER('Assumptions'!$B$14),'Assumptions'!$B$14+-SUM(AF114:AF119),"")</f>
        <v/>
      </c>
      <c r="BA119" s="137">
        <f>IF(ISNUMBER('Assumptions'!$B$15),'Assumptions'!$B$15+SUM(O114:O119)+SUM(P114:P119)-SUM(AR114:AR119),"")</f>
        <v/>
      </c>
      <c r="BB119" s="137">
        <f>IF(ISNUMBER('Assumptions'!$B$16),'Assumptions'!$B$16+-SUM(AC114:AC119),"")</f>
        <v/>
      </c>
      <c r="BC119" s="137">
        <f>IF(AND(ISNUMBER('Assumptions'!$B$21),ISNUMBER('Assumptions'!$B$19)),'Assumptions'!$B$21+SUM(AU114:AU119)-SUM(AG114:AG119),"")</f>
        <v/>
      </c>
      <c r="BD119" s="137">
        <f>IF(ISNUMBER('Assumptions'!$B$20),'Assumptions'!$B$20+-SUM(AI114:AI119),"")</f>
        <v/>
      </c>
      <c r="BE119" s="137">
        <f>IF(AND(ISNUMBER('Assumptions'!$B$17),COUNT(AV114:AV119)=6),'Assumptions'!$B$17+SUM(AV114:AV119),"")</f>
        <v/>
      </c>
      <c r="BF119" s="137">
        <f>IF(COUNT(AL119,AW119:AY119)=4,SUM(AL119,AW119:AY119),"")</f>
        <v/>
      </c>
      <c r="BG119" s="137">
        <f>IF(COUNT(AZ119:BD119)=5,SUM(AZ119:BD119,AA119),"")</f>
        <v/>
      </c>
      <c r="BH119" s="137">
        <f>IF(COUNT(BF119,BG119,BE119)=3,BF119-BG119-BE119,"")</f>
        <v/>
      </c>
      <c r="BI119" s="137">
        <f>SUM(W119,X119)-Z119-AA119</f>
        <v/>
      </c>
      <c r="BJ119" s="137">
        <f>8-COUNT('Assumptions'!I58:I65)+COUNTBLANK('NM Play'!B33:B34)+'Costs'!E44+IF(AND('Sites'!E6=1,('Sites'!F6)&lt;=12,'Sites'!G6&gt;=1),IF(ISNUMBER('Sites'!O6),0,1)+'Capital'!I6+COUNTBLANK('Sites'!R6)+IF('Sites'!D6="NM crew",COUNTBLANK('NM Play'!B25)+1,5-COUNT('Assumptions'!I112:I116)),0)+IF(AND('Sites'!E7=1,('Sites'!F7+'Cases'!G9)&lt;=12,'Sites'!G7&gt;=1),IF(ISNUMBER('Sites'!O7),0,1)+'Capital'!I7+COUNTBLANK('Sites'!R7)+IF('Sites'!D7="NM crew",COUNTBLANK('NM Play'!B25)+1,5-COUNT('Assumptions'!I117:I121)),0)+IF(AND('Sites'!E8*'Cases'!F9=1,('Sites'!F8+'Cases'!G9)&lt;=12,'Sites'!G8&gt;=1),IF(ISNUMBER('Sites'!O8),0,1)+'Capital'!I8+COUNTBLANK('Sites'!R8)+IF('Sites'!D8="NM crew",COUNTBLANK('NM Play'!B25)+1,5-COUNT('Assumptions'!I122:I126)),0)+IF(AND('Cases'!C9&gt;0,NOT(ISNUMBER('Assumptions'!B42))),1,0)+'Responsibilities'!$B$39</f>
        <v/>
      </c>
      <c r="BK119" s="137">
        <f>'Assumptions'!$B$50+'NM Play'!$B$83+'Funding'!$F$20+SUMIFS('Production schedule'!$AN$330:$AN$437,'Production schedule'!$C$330:$C$437,6)+IF(OR('Cases'!E9&lt;0,'Cases'!E9&gt;1,'Cases'!C9&lt;0,'Cases'!D9&lt;0,ABS(SUM('Sites'!S6:S8)-1)&gt;0.0001,MIN('Capital'!F6:F8)&lt;0,MAX('Capital'!F6:F8)&gt;1,MIN(AX119,AZ119,BB119,BA119)&lt;-0.01),1,0)+'Responsibilities'!$B$40</f>
        <v/>
      </c>
      <c r="BL119" s="137">
        <f>SUMIFS('Production schedule'!$T$330:$T$437,'Production schedule'!$C$330:$C$437,6)</f>
        <v/>
      </c>
      <c r="BM119" s="137">
        <f>D119*'NM Play'!$B$38</f>
        <v/>
      </c>
      <c r="BN119" s="137">
        <f>SUMIFS('Production schedule'!$AM$330:$AM$437,'Production schedule'!$C$330:$C$437,6)</f>
        <v/>
      </c>
      <c r="BO119" s="137">
        <f>AK119-AK118-AJ119</f>
        <v/>
      </c>
      <c r="BP119" s="137">
        <f>IF(AND('Assumptions'!$B$39&gt;=0,'Assumptions'!$B$40&gt;0),-PMT('Assumptions'!$B$39/12,'Assumptions'!$B$40*12,IF('Funding'!$N$11&gt;0,'Funding'!$N$11,'Funding'!$U$11)),"")</f>
        <v/>
      </c>
      <c r="BQ119">
        <f>('Production schedule'!AJ335)*(1-'Responsibilities'!$C$6)+('Production schedule'!AJ371)*(1-'Responsibilities'!$C$7)+('Production schedule'!AJ407)*(1-'Responsibilities'!$C$8)</f>
        <v/>
      </c>
      <c r="BR119">
        <f>('Production schedule'!AI335)*(1-'Responsibilities'!$D$6)+('Production schedule'!AI371)*(1-'Responsibilities'!$D$7)+('Production schedule'!AI407)*(1-'Responsibilities'!$D$8)</f>
        <v/>
      </c>
      <c r="BS119">
        <f>('Production schedule'!E335*(IF('Sites'!D6="Annual staff",SUM('Assumptions'!I112,'Assumptions'!I114),0)+SUM('Assumptions'!I113,'Assumptions'!I115:I116)))*(1-'Responsibilities'!$E$6)+('Production schedule'!E371*(IF('Sites'!D7="Annual staff",SUM('Assumptions'!I117,'Assumptions'!I119),0)+SUM('Assumptions'!I118,'Assumptions'!I120:I121)))*(1-'Responsibilities'!$E$7)+('Production schedule'!E407*(IF('Sites'!D8="Annual staff",SUM('Assumptions'!I122,'Assumptions'!I124),0)+SUM('Assumptions'!I123,'Assumptions'!I125:I126)))*(1-'Responsibilities'!$E$8)</f>
        <v/>
      </c>
      <c r="BT119">
        <f>(IF(AND('Production schedule'!E335=1,6=MAX(('Sites'!F6),1),ISNUMBER('Sites'!O6)),'Sites'!O6*'Assumptions'!$B$44,0))*(1-'Responsibilities'!$F$6)+(IF(AND('Production schedule'!E371=1,6=MAX(('Sites'!F7+'Cases'!G9),1),ISNUMBER('Sites'!O7)),'Sites'!O7*'Assumptions'!$B$44,0))*(1-'Responsibilities'!$F$7)+(IF(AND('Production schedule'!E407=1,6=MAX(('Sites'!F8+'Cases'!G9),1),ISNUMBER('Sites'!O8)),'Sites'!O8*'Assumptions'!$B$44,0))*(1-'Responsibilities'!$F$8)</f>
        <v/>
      </c>
      <c r="BU119">
        <f>SUM('Costs'!E36)*'Costs'!F36/12*(1-'Responsibilities'!$C$12)+SUM('Costs'!E37)*'Costs'!F37/12*(1-'Responsibilities'!$C$13)+SUM('Costs'!E38)*'Costs'!F38/12*(1-'Responsibilities'!$C$14)+SUM('Costs'!E39)*'Costs'!F39/12*(1-'Responsibilities'!$C$15)+SUM('Costs'!E40)*'Costs'!F40/12*(1-'Responsibilities'!$C$16)</f>
        <v/>
      </c>
      <c r="BV119">
        <f>('Sites'!E6*'Capital'!E6*(IF(6='Capital'!G6,'Capital'!F6,0)+IF(6='Capital'!H6,1-'Capital'!F6,0)))*(1-'Responsibilities'!$G$6)+('Sites'!E7*'Capital'!E7*(IF(6='Capital'!G7+'Cases'!G9,'Capital'!F7,0)+IF(6='Capital'!H7+'Cases'!G9,1-'Capital'!F7,0)))*(1-'Responsibilities'!$G$7)+('Sites'!E8*'Cases'!F9*'Capital'!E8*(IF(6='Capital'!G8+'Cases'!G9,'Capital'!F8,0)+IF(6='Capital'!H8+'Cases'!G9,1-'Capital'!F8,0)))*(1-'Responsibilities'!$G$8)</f>
        <v/>
      </c>
      <c r="BW119">
        <f>SUM(BQ119:BV119)</f>
        <v/>
      </c>
      <c r="BX119">
        <f>N119+BW119</f>
        <v/>
      </c>
      <c r="BY119">
        <f>BX119-(('Production schedule'!AJ335)*'Responsibilities'!$C$6+('Production schedule'!AJ371)*'Responsibilities'!$C$7+('Production schedule'!AJ407)*'Responsibilities'!$C$8+('Production schedule'!AJ335)*(1-'Responsibilities'!$C$6)+('Production schedule'!AJ371)*(1-'Responsibilities'!$C$7)+('Production schedule'!AJ407)*(1-'Responsibilities'!$C$8)+('Production schedule'!AI335)*'Responsibilities'!$D$6+('Production schedule'!AI371)*'Responsibilities'!$D$7+('Production schedule'!AI407)*'Responsibilities'!$D$8+('Production schedule'!AI335)*(1-'Responsibilities'!$D$6)+('Production schedule'!AI371)*(1-'Responsibilities'!$D$7)+('Production schedule'!AI407)*(1-'Responsibilities'!$D$8)+('Production schedule'!E335*(IF('Sites'!D6="Annual staff",SUM('Assumptions'!I112,'Assumptions'!I114),0)+SUM('Assumptions'!I113,'Assumptions'!I115:I116)))*'Responsibilities'!$E$6+('Production schedule'!E371*(IF('Sites'!D7="Annual staff",SUM('Assumptions'!I117,'Assumptions'!I119),0)+SUM('Assumptions'!I118,'Assumptions'!I120:I121)))*'Responsibilities'!$E$7+('Production schedule'!E407*(IF('Sites'!D8="Annual staff",SUM('Assumptions'!I122,'Assumptions'!I124),0)+SUM('Assumptions'!I123,'Assumptions'!I125:I126)))*'Responsibilities'!$E$8+('Production schedule'!E335*(IF('Sites'!D6="Annual staff",SUM('Assumptions'!I112,'Assumptions'!I114),0)+SUM('Assumptions'!I113,'Assumptions'!I115:I116)))*(1-'Responsibilities'!$E$6)+('Production schedule'!E371*(IF('Sites'!D7="Annual staff",SUM('Assumptions'!I117,'Assumptions'!I119),0)+SUM('Assumptions'!I118,'Assumptions'!I120:I121)))*(1-'Responsibilities'!$E$7)+('Production schedule'!E407*(IF('Sites'!D8="Annual staff",SUM('Assumptions'!I122,'Assumptions'!I124),0)+SUM('Assumptions'!I123,'Assumptions'!I125:I126)))*(1-'Responsibilities'!$E$8)+(IF(AND('Production schedule'!E335=1,6=MAX(('Sites'!F6),1),ISNUMBER('Sites'!O6)),'Sites'!O6*'Assumptions'!$B$44,0))*'Responsibilities'!$F$6+(IF(AND('Production schedule'!E371=1,6=MAX(('Sites'!F7+'Cases'!G9),1),ISNUMBER('Sites'!O7)),'Sites'!O7*'Assumptions'!$B$44,0))*'Responsibilities'!$F$7+(IF(AND('Production schedule'!E407=1,6=MAX(('Sites'!F8+'Cases'!G9),1),ISNUMBER('Sites'!O8)),'Sites'!O8*'Assumptions'!$B$44,0))*'Responsibilities'!$F$8+(IF(AND('Production schedule'!E335=1,6=MAX(('Sites'!F6),1),ISNUMBER('Sites'!O6)),'Sites'!O6*'Assumptions'!$B$44,0))*(1-'Responsibilities'!$F$6)+(IF(AND('Production schedule'!E371=1,6=MAX(('Sites'!F7+'Cases'!G9),1),ISNUMBER('Sites'!O7)),'Sites'!O7*'Assumptions'!$B$44,0))*(1-'Responsibilities'!$F$7)+(IF(AND('Production schedule'!E407=1,6=MAX(('Sites'!F8+'Cases'!G9),1),ISNUMBER('Sites'!O8)),'Sites'!O8*'Assumptions'!$B$44,0))*(1-'Responsibilities'!$F$8)+('Sites'!E6*'Capital'!E6*(IF(6='Capital'!G6,'Capital'!F6,0)+IF(6='Capital'!H6,1-'Capital'!F6,0)))*'Responsibilities'!$G$6+('Sites'!E7*'Capital'!E7*(IF(6='Capital'!G7+'Cases'!G9,'Capital'!F7,0)+IF(6='Capital'!H7+'Cases'!G9,1-'Capital'!F7,0)))*'Responsibilities'!$G$7+('Sites'!E8*'Cases'!F9*'Capital'!E8*(IF(6='Capital'!G8+'Cases'!G9,'Capital'!F8,0)+IF(6='Capital'!H8+'Cases'!G9,1-'Capital'!F8,0)))*'Responsibilities'!$G$8+('Sites'!E6*'Capital'!E6*(IF(6='Capital'!G6,'Capital'!F6,0)+IF(6='Capital'!H6,1-'Capital'!F6,0)))*(1-'Responsibilities'!$G$6)+('Sites'!E7*'Capital'!E7*(IF(6='Capital'!G7+'Cases'!G9,'Capital'!F7,0)+IF(6='Capital'!H7+'Cases'!G9,1-'Capital'!F7,0)))*(1-'Responsibilities'!$G$7)+('Sites'!E8*'Cases'!F9*'Capital'!E8*(IF(6='Capital'!G8+'Cases'!G9,'Capital'!F8,0)+IF(6='Capital'!H8+'Cases'!G9,1-'Capital'!F8,0)))*(1-'Responsibilities'!$G$8)+I119+SUMPRODUCT('Costs'!$E$36:$E$40,'Costs'!$F$36:$F$40)/12+BZ119)</f>
        <v/>
      </c>
      <c r="BZ119">
        <f>SUMIFS('Responsibilities'!$B$31:$B$35,'Responsibilities'!$C$31:$C$35,6,'Responsibilities'!$D$31:$D$35,"Yes")</f>
        <v/>
      </c>
    </row>
    <row r="120" ht="28" customHeight="1">
      <c r="A120" s="4" t="inlineStr">
        <is>
          <t>Delayed receipts</t>
        </is>
      </c>
      <c r="B120" s="4" t="n">
        <v>7</v>
      </c>
      <c r="C120" s="4">
        <f>ROUNDUP(B120/12,0)</f>
        <v/>
      </c>
      <c r="D120" s="137">
        <f>SUMIFS('Production schedule'!$N$330:$N$437,'Production schedule'!$C$330:$C$437,7)</f>
        <v/>
      </c>
      <c r="E120" s="137">
        <f>SUMIFS('Production schedule'!$Y$330:$Y$437,'Production schedule'!$C$330:$C$437,7)</f>
        <v/>
      </c>
      <c r="F120" s="137">
        <f>SUMIFS('Production schedule'!$Z$330:$Z$437,'Production schedule'!$C$330:$C$437,7)</f>
        <v/>
      </c>
      <c r="G120" s="137">
        <f>('Production schedule'!AJ336)*'Responsibilities'!$C$6+('Production schedule'!AJ372)*'Responsibilities'!$C$7+('Production schedule'!AJ408)*'Responsibilities'!$C$8</f>
        <v/>
      </c>
      <c r="H120" s="137">
        <f>('Production schedule'!AI336)*'Responsibilities'!$D$6+('Production schedule'!AI372)*'Responsibilities'!$D$7+('Production schedule'!AI408)*'Responsibilities'!$D$8</f>
        <v/>
      </c>
      <c r="I120" s="137">
        <f>SUM('Assumptions'!J58:J65)</f>
        <v/>
      </c>
      <c r="J120" s="137">
        <f>('Production schedule'!E336*(IF('Sites'!D6="Annual staff",SUM('Assumptions'!J112,'Assumptions'!J114),0)+SUM('Assumptions'!J113,'Assumptions'!J115:J116)))*'Responsibilities'!$E$6+('Production schedule'!E372*(IF('Sites'!D7="Annual staff",SUM('Assumptions'!J117,'Assumptions'!J119),0)+SUM('Assumptions'!J118,'Assumptions'!J120:J121)))*'Responsibilities'!$E$7+('Production schedule'!E408*(IF('Sites'!D8="Annual staff",SUM('Assumptions'!J122,'Assumptions'!J124),0)+SUM('Assumptions'!J123,'Assumptions'!J125:J126)))*'Responsibilities'!$E$8</f>
        <v/>
      </c>
      <c r="K120" s="137">
        <f>(IF(AND('Production schedule'!E336=1,7=MAX(('Sites'!F6),1),ISNUMBER('Sites'!O6)),'Sites'!O6*'Assumptions'!$B$44,0))*'Responsibilities'!$F$6+(IF(AND('Production schedule'!E372=1,7=MAX(('Sites'!F7+'Cases'!G9),1),ISNUMBER('Sites'!O7)),'Sites'!O7*'Assumptions'!$B$44,0))*'Responsibilities'!$F$7+(IF(AND('Production schedule'!E408=1,7=MAX(('Sites'!F8+'Cases'!G9),1),ISNUMBER('Sites'!O8)),'Sites'!O8*'Assumptions'!$B$44,0))*'Responsibilities'!$F$8</f>
        <v/>
      </c>
      <c r="L120" s="137">
        <f>SUM('Costs'!E36)*'Costs'!F36/12*'Responsibilities'!$C$12+SUM('Costs'!E37)*'Costs'!F37/12*'Responsibilities'!$C$13+SUM('Costs'!E38)*'Costs'!F38/12*'Responsibilities'!$C$14+SUM('Costs'!E39)*'Costs'!F39/12*'Responsibilities'!$C$15+SUM('Costs'!E40)*'Costs'!F40/12*'Responsibilities'!$C$16+BZ120</f>
        <v/>
      </c>
      <c r="M120" s="137">
        <f>('Sites'!E6*'Capital'!E6*(IF(7='Capital'!G6,'Capital'!F6,0)+IF(7='Capital'!H6,1-'Capital'!F6,0)))*'Responsibilities'!$G$6+('Sites'!E7*'Capital'!E7*(IF(7='Capital'!G7+'Cases'!G9,'Capital'!F7,0)+IF(7='Capital'!H7+'Cases'!G9,1-'Capital'!F7,0)))*'Responsibilities'!$G$7+('Sites'!E8*'Cases'!F9*'Capital'!E8*(IF(7='Capital'!G8+'Cases'!G9,'Capital'!F8,0)+IF(7='Capital'!H8+'Cases'!G9,1-'Capital'!F8,0)))*'Responsibilities'!$G$8</f>
        <v/>
      </c>
      <c r="N120" s="137">
        <f>SUM(G120:M120)</f>
        <v/>
      </c>
      <c r="O120" s="137">
        <f>SUMIFS(FundingTranches[Secured amount],FundingTranches[Instrument],"Grant",FundingTranches[Secured month],7)</f>
        <v/>
      </c>
      <c r="P120" s="137">
        <f>SUMIFS(FundingTranches[Delayed receipts possible],FundingTranches[Instrument],"Grant",FundingTranches[Scenario month],7-'Cases'!$D$9)</f>
        <v/>
      </c>
      <c r="Q120" s="137">
        <f>SUMIFS(FundingTranches[Secured amount],FundingTranches[Instrument],"Loan",FundingTranches[Secured month],7)</f>
        <v/>
      </c>
      <c r="R120" s="137">
        <f>SUMIFS(FundingTranches[Delayed receipts possible],FundingTranches[Instrument],"Loan",FundingTranches[Scenario month],7-'Cases'!$D$9)</f>
        <v/>
      </c>
      <c r="S120" s="137">
        <f>IF(7&lt;='Assumptions'!$B$34,0,SUMIFS('Production schedule'!$AL$330:$AL$437,'Production schedule'!$C$330:$C$437,7-'Assumptions'!$B$34))</f>
        <v/>
      </c>
      <c r="T120" s="137">
        <f>'Assumptions'!J70</f>
        <v/>
      </c>
      <c r="U120" s="137">
        <f>'Assumptions'!J78</f>
        <v/>
      </c>
      <c r="V120" s="137">
        <f>SUM(O120:U120)</f>
        <v/>
      </c>
      <c r="W120" s="137">
        <f>AA119</f>
        <v/>
      </c>
      <c r="X120" s="137">
        <f>SUM(Q120:R120)</f>
        <v/>
      </c>
      <c r="Y120" s="137">
        <f>SUM(W120,X120)*'Assumptions'!$B$39/12</f>
        <v/>
      </c>
      <c r="Z120" s="137">
        <f>IF(SUM(W120,X120)&gt;0,MIN(SUM(W120,X120),MAX(0,BP120-Y120)),0)</f>
        <v/>
      </c>
      <c r="AA120" s="137">
        <f>SUM(W120,X120)-Z120</f>
        <v/>
      </c>
      <c r="AB120" s="137">
        <f>SUM(Y120:Z120)</f>
        <v/>
      </c>
      <c r="AC120" s="137">
        <f>'Assumptions'!J72</f>
        <v/>
      </c>
      <c r="AD120" s="137">
        <f>'Assumptions'!J73</f>
        <v/>
      </c>
      <c r="AE120" s="137">
        <f>IF(X120&gt;0,SUM('Assumptions'!$B$42),0)</f>
        <v/>
      </c>
      <c r="AF120" s="137">
        <f>'Assumptions'!J71</f>
        <v/>
      </c>
      <c r="AG120" s="137">
        <f>'Assumptions'!J74</f>
        <v/>
      </c>
      <c r="AH120" s="137">
        <f>'Assumptions'!J75</f>
        <v/>
      </c>
      <c r="AI120" s="137">
        <f>'Assumptions'!J77</f>
        <v/>
      </c>
      <c r="AJ120" s="137">
        <f>V120-N120-SUM(AB120:AI120)</f>
        <v/>
      </c>
      <c r="AK120" s="137">
        <f>SUM(AJ114:AJ120)</f>
        <v/>
      </c>
      <c r="AL120" s="137">
        <f>IF(ISNUMBER('Assumptions'!$B$10),'Assumptions'!$B$10+AK120,"")</f>
        <v/>
      </c>
      <c r="AM120" s="137">
        <f>SUM(O120,Q120,T120)-N120-SUM(AC120:AI120)+IF('Funding'!$N$11=0,AE120,0)-IF('Funding'!$N$11&gt;0,AB120,0)</f>
        <v/>
      </c>
      <c r="AN120" s="137">
        <f>SUM(AM114:AM120)</f>
        <v/>
      </c>
      <c r="AO120" s="137">
        <f>IF(ISNUMBER('Assumptions'!$B$10),'Assumptions'!$B$10+AN120,"")</f>
        <v/>
      </c>
      <c r="AP120" s="137">
        <f>('Production schedule'!AK336)*'Responsibilities'!$C$6+('Production schedule'!AK372)*'Responsibilities'!$C$7+('Production schedule'!AK408)*'Responsibilities'!$C$8</f>
        <v/>
      </c>
      <c r="AQ120" s="137">
        <f>SUMIFS('Production schedule'!$AL$330:$AL$437,'Production schedule'!$C$330:$C$437,7)</f>
        <v/>
      </c>
      <c r="AR120" s="137">
        <f>IF(ISNUMBER('Assumptions'!J76),'Assumptions'!J76,SUM(O120:P120))</f>
        <v/>
      </c>
      <c r="AS120" s="137">
        <f>IF(ISNUMBER('Assumptions'!$B$13),MIN('Assumptions'!$B$13/'Assumptions'!$B$18/12,MAX(0,'Assumptions'!$B$13-(7-1)*'Assumptions'!$B$13/'Assumptions'!$B$18/12)),0)+IF(AND('Sites'!E6=1,7&gt;=('Sites'!F6),7&lt;('Sites'!F6)+'Assumptions'!$B$18*12),'Capital'!E6/'Assumptions'!$B$18/12,0)+IF(AND('Sites'!E7=1,7&gt;=('Sites'!F7+'Cases'!G9),7&lt;('Sites'!F7+'Cases'!G9)+'Assumptions'!$B$18*12),'Capital'!E7/'Assumptions'!$B$18/12,0)+IF(AND('Sites'!E8*'Cases'!F9=1,7&gt;=('Sites'!F8+'Cases'!G9),7&lt;('Sites'!F8+'Cases'!G9)+'Assumptions'!$B$18*12),'Capital'!E8/'Assumptions'!$B$18/12,0)</f>
        <v/>
      </c>
      <c r="AT120" s="137">
        <f>SUM(AQ120,AR120,U120)-AP120-SUM(H120:L120)-AS120-SUM(Y120,AD120,AE120,AH120)</f>
        <v/>
      </c>
      <c r="AU120" s="137">
        <f>IF(ISNUMBER('Assumptions'!$B$19),MAX(0,SUM(AT114:AT120))*'Assumptions'!$B$19-SUM(AU114:AU119),"")</f>
        <v/>
      </c>
      <c r="AV120" s="137">
        <f>IF(ISNUMBER(AU120),AT120-AU120,"")</f>
        <v/>
      </c>
      <c r="AW120" s="137">
        <f>IF(ISNUMBER('Assumptions'!$B$11),'Assumptions'!$B$11+SUM(AQ114:AQ120)-SUM(S114:S120)-SUM(T114:T120),"")</f>
        <v/>
      </c>
      <c r="AX120" s="137">
        <f>IF(ISNUMBER('Assumptions'!$B$12),'Assumptions'!$B$12+SUM(G114:G120)-SUM(AP114:AP120),"")</f>
        <v/>
      </c>
      <c r="AY120" s="137">
        <f>IF(ISNUMBER('Assumptions'!$B$13),'Assumptions'!$B$13+SUM(M114:M120)-SUM(AS114:AS120),"")</f>
        <v/>
      </c>
      <c r="AZ120" s="137">
        <f>IF(ISNUMBER('Assumptions'!$B$14),'Assumptions'!$B$14+-SUM(AF114:AF120),"")</f>
        <v/>
      </c>
      <c r="BA120" s="137">
        <f>IF(ISNUMBER('Assumptions'!$B$15),'Assumptions'!$B$15+SUM(O114:O120)+SUM(P114:P120)-SUM(AR114:AR120),"")</f>
        <v/>
      </c>
      <c r="BB120" s="137">
        <f>IF(ISNUMBER('Assumptions'!$B$16),'Assumptions'!$B$16+-SUM(AC114:AC120),"")</f>
        <v/>
      </c>
      <c r="BC120" s="137">
        <f>IF(AND(ISNUMBER('Assumptions'!$B$21),ISNUMBER('Assumptions'!$B$19)),'Assumptions'!$B$21+SUM(AU114:AU120)-SUM(AG114:AG120),"")</f>
        <v/>
      </c>
      <c r="BD120" s="137">
        <f>IF(ISNUMBER('Assumptions'!$B$20),'Assumptions'!$B$20+-SUM(AI114:AI120),"")</f>
        <v/>
      </c>
      <c r="BE120" s="137">
        <f>IF(AND(ISNUMBER('Assumptions'!$B$17),COUNT(AV114:AV120)=7),'Assumptions'!$B$17+SUM(AV114:AV120),"")</f>
        <v/>
      </c>
      <c r="BF120" s="137">
        <f>IF(COUNT(AL120,AW120:AY120)=4,SUM(AL120,AW120:AY120),"")</f>
        <v/>
      </c>
      <c r="BG120" s="137">
        <f>IF(COUNT(AZ120:BD120)=5,SUM(AZ120:BD120,AA120),"")</f>
        <v/>
      </c>
      <c r="BH120" s="137">
        <f>IF(COUNT(BF120,BG120,BE120)=3,BF120-BG120-BE120,"")</f>
        <v/>
      </c>
      <c r="BI120" s="137">
        <f>SUM(W120,X120)-Z120-AA120</f>
        <v/>
      </c>
      <c r="BJ120" s="137">
        <f>8-COUNT('Assumptions'!J58:J65)+COUNTBLANK('NM Play'!B33:B34)+'Costs'!E44+IF(AND('Sites'!E6=1,('Sites'!F6)&lt;=12,'Sites'!G6&gt;=1),IF(ISNUMBER('Sites'!O6),0,1)+'Capital'!I6+COUNTBLANK('Sites'!R6)+IF('Sites'!D6="NM crew",COUNTBLANK('NM Play'!B25)+1,5-COUNT('Assumptions'!J112:J116)),0)+IF(AND('Sites'!E7=1,('Sites'!F7+'Cases'!G9)&lt;=12,'Sites'!G7&gt;=1),IF(ISNUMBER('Sites'!O7),0,1)+'Capital'!I7+COUNTBLANK('Sites'!R7)+IF('Sites'!D7="NM crew",COUNTBLANK('NM Play'!B25)+1,5-COUNT('Assumptions'!J117:J121)),0)+IF(AND('Sites'!E8*'Cases'!F9=1,('Sites'!F8+'Cases'!G9)&lt;=12,'Sites'!G8&gt;=1),IF(ISNUMBER('Sites'!O8),0,1)+'Capital'!I8+COUNTBLANK('Sites'!R8)+IF('Sites'!D8="NM crew",COUNTBLANK('NM Play'!B25)+1,5-COUNT('Assumptions'!J122:J126)),0)+IF(AND('Cases'!C9&gt;0,NOT(ISNUMBER('Assumptions'!B42))),1,0)+'Responsibilities'!$B$39</f>
        <v/>
      </c>
      <c r="BK120" s="137">
        <f>'Assumptions'!$B$50+'NM Play'!$B$83+'Funding'!$F$20+SUMIFS('Production schedule'!$AN$330:$AN$437,'Production schedule'!$C$330:$C$437,7)+IF(OR('Cases'!E9&lt;0,'Cases'!E9&gt;1,'Cases'!C9&lt;0,'Cases'!D9&lt;0,ABS(SUM('Sites'!S6:S8)-1)&gt;0.0001,MIN('Capital'!F6:F8)&lt;0,MAX('Capital'!F6:F8)&gt;1,MIN(AX120,AZ120,BB120,BA120)&lt;-0.01),1,0)+'Responsibilities'!$B$40</f>
        <v/>
      </c>
      <c r="BL120" s="137">
        <f>SUMIFS('Production schedule'!$T$330:$T$437,'Production schedule'!$C$330:$C$437,7)</f>
        <v/>
      </c>
      <c r="BM120" s="137">
        <f>D120*'NM Play'!$B$38</f>
        <v/>
      </c>
      <c r="BN120" s="137">
        <f>SUMIFS('Production schedule'!$AM$330:$AM$437,'Production schedule'!$C$330:$C$437,7)</f>
        <v/>
      </c>
      <c r="BO120" s="137">
        <f>AK120-AK119-AJ120</f>
        <v/>
      </c>
      <c r="BP120" s="137">
        <f>IF(AND('Assumptions'!$B$39&gt;=0,'Assumptions'!$B$40&gt;0),-PMT('Assumptions'!$B$39/12,'Assumptions'!$B$40*12,IF('Funding'!$N$11&gt;0,'Funding'!$N$11,'Funding'!$U$11)),"")</f>
        <v/>
      </c>
      <c r="BQ120">
        <f>('Production schedule'!AJ336)*(1-'Responsibilities'!$C$6)+('Production schedule'!AJ372)*(1-'Responsibilities'!$C$7)+('Production schedule'!AJ408)*(1-'Responsibilities'!$C$8)</f>
        <v/>
      </c>
      <c r="BR120">
        <f>('Production schedule'!AI336)*(1-'Responsibilities'!$D$6)+('Production schedule'!AI372)*(1-'Responsibilities'!$D$7)+('Production schedule'!AI408)*(1-'Responsibilities'!$D$8)</f>
        <v/>
      </c>
      <c r="BS120">
        <f>('Production schedule'!E336*(IF('Sites'!D6="Annual staff",SUM('Assumptions'!J112,'Assumptions'!J114),0)+SUM('Assumptions'!J113,'Assumptions'!J115:J116)))*(1-'Responsibilities'!$E$6)+('Production schedule'!E372*(IF('Sites'!D7="Annual staff",SUM('Assumptions'!J117,'Assumptions'!J119),0)+SUM('Assumptions'!J118,'Assumptions'!J120:J121)))*(1-'Responsibilities'!$E$7)+('Production schedule'!E408*(IF('Sites'!D8="Annual staff",SUM('Assumptions'!J122,'Assumptions'!J124),0)+SUM('Assumptions'!J123,'Assumptions'!J125:J126)))*(1-'Responsibilities'!$E$8)</f>
        <v/>
      </c>
      <c r="BT120">
        <f>(IF(AND('Production schedule'!E336=1,7=MAX(('Sites'!F6),1),ISNUMBER('Sites'!O6)),'Sites'!O6*'Assumptions'!$B$44,0))*(1-'Responsibilities'!$F$6)+(IF(AND('Production schedule'!E372=1,7=MAX(('Sites'!F7+'Cases'!G9),1),ISNUMBER('Sites'!O7)),'Sites'!O7*'Assumptions'!$B$44,0))*(1-'Responsibilities'!$F$7)+(IF(AND('Production schedule'!E408=1,7=MAX(('Sites'!F8+'Cases'!G9),1),ISNUMBER('Sites'!O8)),'Sites'!O8*'Assumptions'!$B$44,0))*(1-'Responsibilities'!$F$8)</f>
        <v/>
      </c>
      <c r="BU120">
        <f>SUM('Costs'!E36)*'Costs'!F36/12*(1-'Responsibilities'!$C$12)+SUM('Costs'!E37)*'Costs'!F37/12*(1-'Responsibilities'!$C$13)+SUM('Costs'!E38)*'Costs'!F38/12*(1-'Responsibilities'!$C$14)+SUM('Costs'!E39)*'Costs'!F39/12*(1-'Responsibilities'!$C$15)+SUM('Costs'!E40)*'Costs'!F40/12*(1-'Responsibilities'!$C$16)</f>
        <v/>
      </c>
      <c r="BV120">
        <f>('Sites'!E6*'Capital'!E6*(IF(7='Capital'!G6,'Capital'!F6,0)+IF(7='Capital'!H6,1-'Capital'!F6,0)))*(1-'Responsibilities'!$G$6)+('Sites'!E7*'Capital'!E7*(IF(7='Capital'!G7+'Cases'!G9,'Capital'!F7,0)+IF(7='Capital'!H7+'Cases'!G9,1-'Capital'!F7,0)))*(1-'Responsibilities'!$G$7)+('Sites'!E8*'Cases'!F9*'Capital'!E8*(IF(7='Capital'!G8+'Cases'!G9,'Capital'!F8,0)+IF(7='Capital'!H8+'Cases'!G9,1-'Capital'!F8,0)))*(1-'Responsibilities'!$G$8)</f>
        <v/>
      </c>
      <c r="BW120">
        <f>SUM(BQ120:BV120)</f>
        <v/>
      </c>
      <c r="BX120">
        <f>N120+BW120</f>
        <v/>
      </c>
      <c r="BY120">
        <f>BX120-(('Production schedule'!AJ336)*'Responsibilities'!$C$6+('Production schedule'!AJ372)*'Responsibilities'!$C$7+('Production schedule'!AJ408)*'Responsibilities'!$C$8+('Production schedule'!AJ336)*(1-'Responsibilities'!$C$6)+('Production schedule'!AJ372)*(1-'Responsibilities'!$C$7)+('Production schedule'!AJ408)*(1-'Responsibilities'!$C$8)+('Production schedule'!AI336)*'Responsibilities'!$D$6+('Production schedule'!AI372)*'Responsibilities'!$D$7+('Production schedule'!AI408)*'Responsibilities'!$D$8+('Production schedule'!AI336)*(1-'Responsibilities'!$D$6)+('Production schedule'!AI372)*(1-'Responsibilities'!$D$7)+('Production schedule'!AI408)*(1-'Responsibilities'!$D$8)+('Production schedule'!E336*(IF('Sites'!D6="Annual staff",SUM('Assumptions'!J112,'Assumptions'!J114),0)+SUM('Assumptions'!J113,'Assumptions'!J115:J116)))*'Responsibilities'!$E$6+('Production schedule'!E372*(IF('Sites'!D7="Annual staff",SUM('Assumptions'!J117,'Assumptions'!J119),0)+SUM('Assumptions'!J118,'Assumptions'!J120:J121)))*'Responsibilities'!$E$7+('Production schedule'!E408*(IF('Sites'!D8="Annual staff",SUM('Assumptions'!J122,'Assumptions'!J124),0)+SUM('Assumptions'!J123,'Assumptions'!J125:J126)))*'Responsibilities'!$E$8+('Production schedule'!E336*(IF('Sites'!D6="Annual staff",SUM('Assumptions'!J112,'Assumptions'!J114),0)+SUM('Assumptions'!J113,'Assumptions'!J115:J116)))*(1-'Responsibilities'!$E$6)+('Production schedule'!E372*(IF('Sites'!D7="Annual staff",SUM('Assumptions'!J117,'Assumptions'!J119),0)+SUM('Assumptions'!J118,'Assumptions'!J120:J121)))*(1-'Responsibilities'!$E$7)+('Production schedule'!E408*(IF('Sites'!D8="Annual staff",SUM('Assumptions'!J122,'Assumptions'!J124),0)+SUM('Assumptions'!J123,'Assumptions'!J125:J126)))*(1-'Responsibilities'!$E$8)+(IF(AND('Production schedule'!E336=1,7=MAX(('Sites'!F6),1),ISNUMBER('Sites'!O6)),'Sites'!O6*'Assumptions'!$B$44,0))*'Responsibilities'!$F$6+(IF(AND('Production schedule'!E372=1,7=MAX(('Sites'!F7+'Cases'!G9),1),ISNUMBER('Sites'!O7)),'Sites'!O7*'Assumptions'!$B$44,0))*'Responsibilities'!$F$7+(IF(AND('Production schedule'!E408=1,7=MAX(('Sites'!F8+'Cases'!G9),1),ISNUMBER('Sites'!O8)),'Sites'!O8*'Assumptions'!$B$44,0))*'Responsibilities'!$F$8+(IF(AND('Production schedule'!E336=1,7=MAX(('Sites'!F6),1),ISNUMBER('Sites'!O6)),'Sites'!O6*'Assumptions'!$B$44,0))*(1-'Responsibilities'!$F$6)+(IF(AND('Production schedule'!E372=1,7=MAX(('Sites'!F7+'Cases'!G9),1),ISNUMBER('Sites'!O7)),'Sites'!O7*'Assumptions'!$B$44,0))*(1-'Responsibilities'!$F$7)+(IF(AND('Production schedule'!E408=1,7=MAX(('Sites'!F8+'Cases'!G9),1),ISNUMBER('Sites'!O8)),'Sites'!O8*'Assumptions'!$B$44,0))*(1-'Responsibilities'!$F$8)+('Sites'!E6*'Capital'!E6*(IF(7='Capital'!G6,'Capital'!F6,0)+IF(7='Capital'!H6,1-'Capital'!F6,0)))*'Responsibilities'!$G$6+('Sites'!E7*'Capital'!E7*(IF(7='Capital'!G7+'Cases'!G9,'Capital'!F7,0)+IF(7='Capital'!H7+'Cases'!G9,1-'Capital'!F7,0)))*'Responsibilities'!$G$7+('Sites'!E8*'Cases'!F9*'Capital'!E8*(IF(7='Capital'!G8+'Cases'!G9,'Capital'!F8,0)+IF(7='Capital'!H8+'Cases'!G9,1-'Capital'!F8,0)))*'Responsibilities'!$G$8+('Sites'!E6*'Capital'!E6*(IF(7='Capital'!G6,'Capital'!F6,0)+IF(7='Capital'!H6,1-'Capital'!F6,0)))*(1-'Responsibilities'!$G$6)+('Sites'!E7*'Capital'!E7*(IF(7='Capital'!G7+'Cases'!G9,'Capital'!F7,0)+IF(7='Capital'!H7+'Cases'!G9,1-'Capital'!F7,0)))*(1-'Responsibilities'!$G$7)+('Sites'!E8*'Cases'!F9*'Capital'!E8*(IF(7='Capital'!G8+'Cases'!G9,'Capital'!F8,0)+IF(7='Capital'!H8+'Cases'!G9,1-'Capital'!F8,0)))*(1-'Responsibilities'!$G$8)+I120+SUMPRODUCT('Costs'!$E$36:$E$40,'Costs'!$F$36:$F$40)/12+BZ120)</f>
        <v/>
      </c>
      <c r="BZ120">
        <f>SUMIFS('Responsibilities'!$B$31:$B$35,'Responsibilities'!$C$31:$C$35,7,'Responsibilities'!$D$31:$D$35,"Yes")</f>
        <v/>
      </c>
    </row>
    <row r="121" ht="28" customHeight="1">
      <c r="A121" s="4" t="inlineStr">
        <is>
          <t>Delayed receipts</t>
        </is>
      </c>
      <c r="B121" s="4" t="n">
        <v>8</v>
      </c>
      <c r="C121" s="4">
        <f>ROUNDUP(B121/12,0)</f>
        <v/>
      </c>
      <c r="D121" s="137">
        <f>SUMIFS('Production schedule'!$N$330:$N$437,'Production schedule'!$C$330:$C$437,8)</f>
        <v/>
      </c>
      <c r="E121" s="137">
        <f>SUMIFS('Production schedule'!$Y$330:$Y$437,'Production schedule'!$C$330:$C$437,8)</f>
        <v/>
      </c>
      <c r="F121" s="137">
        <f>SUMIFS('Production schedule'!$Z$330:$Z$437,'Production schedule'!$C$330:$C$437,8)</f>
        <v/>
      </c>
      <c r="G121" s="137">
        <f>('Production schedule'!AJ337)*'Responsibilities'!$C$6+('Production schedule'!AJ373)*'Responsibilities'!$C$7+('Production schedule'!AJ409)*'Responsibilities'!$C$8</f>
        <v/>
      </c>
      <c r="H121" s="137">
        <f>('Production schedule'!AI337)*'Responsibilities'!$D$6+('Production schedule'!AI373)*'Responsibilities'!$D$7+('Production schedule'!AI409)*'Responsibilities'!$D$8</f>
        <v/>
      </c>
      <c r="I121" s="137">
        <f>SUM('Assumptions'!K58:K65)</f>
        <v/>
      </c>
      <c r="J121" s="137">
        <f>('Production schedule'!E337*(IF('Sites'!D6="Annual staff",SUM('Assumptions'!K112,'Assumptions'!K114),0)+SUM('Assumptions'!K113,'Assumptions'!K115:K116)))*'Responsibilities'!$E$6+('Production schedule'!E373*(IF('Sites'!D7="Annual staff",SUM('Assumptions'!K117,'Assumptions'!K119),0)+SUM('Assumptions'!K118,'Assumptions'!K120:K121)))*'Responsibilities'!$E$7+('Production schedule'!E409*(IF('Sites'!D8="Annual staff",SUM('Assumptions'!K122,'Assumptions'!K124),0)+SUM('Assumptions'!K123,'Assumptions'!K125:K126)))*'Responsibilities'!$E$8</f>
        <v/>
      </c>
      <c r="K121" s="137">
        <f>(IF(AND('Production schedule'!E337=1,8=MAX(('Sites'!F6),1),ISNUMBER('Sites'!O6)),'Sites'!O6*'Assumptions'!$B$44,0))*'Responsibilities'!$F$6+(IF(AND('Production schedule'!E373=1,8=MAX(('Sites'!F7+'Cases'!G9),1),ISNUMBER('Sites'!O7)),'Sites'!O7*'Assumptions'!$B$44,0))*'Responsibilities'!$F$7+(IF(AND('Production schedule'!E409=1,8=MAX(('Sites'!F8+'Cases'!G9),1),ISNUMBER('Sites'!O8)),'Sites'!O8*'Assumptions'!$B$44,0))*'Responsibilities'!$F$8</f>
        <v/>
      </c>
      <c r="L121" s="137">
        <f>SUM('Costs'!E36)*'Costs'!F36/12*'Responsibilities'!$C$12+SUM('Costs'!E37)*'Costs'!F37/12*'Responsibilities'!$C$13+SUM('Costs'!E38)*'Costs'!F38/12*'Responsibilities'!$C$14+SUM('Costs'!E39)*'Costs'!F39/12*'Responsibilities'!$C$15+SUM('Costs'!E40)*'Costs'!F40/12*'Responsibilities'!$C$16+BZ121</f>
        <v/>
      </c>
      <c r="M121" s="137">
        <f>('Sites'!E6*'Capital'!E6*(IF(8='Capital'!G6,'Capital'!F6,0)+IF(8='Capital'!H6,1-'Capital'!F6,0)))*'Responsibilities'!$G$6+('Sites'!E7*'Capital'!E7*(IF(8='Capital'!G7+'Cases'!G9,'Capital'!F7,0)+IF(8='Capital'!H7+'Cases'!G9,1-'Capital'!F7,0)))*'Responsibilities'!$G$7+('Sites'!E8*'Cases'!F9*'Capital'!E8*(IF(8='Capital'!G8+'Cases'!G9,'Capital'!F8,0)+IF(8='Capital'!H8+'Cases'!G9,1-'Capital'!F8,0)))*'Responsibilities'!$G$8</f>
        <v/>
      </c>
      <c r="N121" s="137">
        <f>SUM(G121:M121)</f>
        <v/>
      </c>
      <c r="O121" s="137">
        <f>SUMIFS(FundingTranches[Secured amount],FundingTranches[Instrument],"Grant",FundingTranches[Secured month],8)</f>
        <v/>
      </c>
      <c r="P121" s="137">
        <f>SUMIFS(FundingTranches[Delayed receipts possible],FundingTranches[Instrument],"Grant",FundingTranches[Scenario month],8-'Cases'!$D$9)</f>
        <v/>
      </c>
      <c r="Q121" s="137">
        <f>SUMIFS(FundingTranches[Secured amount],FundingTranches[Instrument],"Loan",FundingTranches[Secured month],8)</f>
        <v/>
      </c>
      <c r="R121" s="137">
        <f>SUMIFS(FundingTranches[Delayed receipts possible],FundingTranches[Instrument],"Loan",FundingTranches[Scenario month],8-'Cases'!$D$9)</f>
        <v/>
      </c>
      <c r="S121" s="137">
        <f>IF(8&lt;='Assumptions'!$B$34,0,SUMIFS('Production schedule'!$AL$330:$AL$437,'Production schedule'!$C$330:$C$437,8-'Assumptions'!$B$34))</f>
        <v/>
      </c>
      <c r="T121" s="137">
        <f>'Assumptions'!K70</f>
        <v/>
      </c>
      <c r="U121" s="137">
        <f>'Assumptions'!K78</f>
        <v/>
      </c>
      <c r="V121" s="137">
        <f>SUM(O121:U121)</f>
        <v/>
      </c>
      <c r="W121" s="137">
        <f>AA120</f>
        <v/>
      </c>
      <c r="X121" s="137">
        <f>SUM(Q121:R121)</f>
        <v/>
      </c>
      <c r="Y121" s="137">
        <f>SUM(W121,X121)*'Assumptions'!$B$39/12</f>
        <v/>
      </c>
      <c r="Z121" s="137">
        <f>IF(SUM(W121,X121)&gt;0,MIN(SUM(W121,X121),MAX(0,BP121-Y121)),0)</f>
        <v/>
      </c>
      <c r="AA121" s="137">
        <f>SUM(W121,X121)-Z121</f>
        <v/>
      </c>
      <c r="AB121" s="137">
        <f>SUM(Y121:Z121)</f>
        <v/>
      </c>
      <c r="AC121" s="137">
        <f>'Assumptions'!K72</f>
        <v/>
      </c>
      <c r="AD121" s="137">
        <f>'Assumptions'!K73</f>
        <v/>
      </c>
      <c r="AE121" s="137">
        <f>IF(X121&gt;0,SUM('Assumptions'!$B$42),0)</f>
        <v/>
      </c>
      <c r="AF121" s="137">
        <f>'Assumptions'!K71</f>
        <v/>
      </c>
      <c r="AG121" s="137">
        <f>'Assumptions'!K74</f>
        <v/>
      </c>
      <c r="AH121" s="137">
        <f>'Assumptions'!K75</f>
        <v/>
      </c>
      <c r="AI121" s="137">
        <f>'Assumptions'!K77</f>
        <v/>
      </c>
      <c r="AJ121" s="137">
        <f>V121-N121-SUM(AB121:AI121)</f>
        <v/>
      </c>
      <c r="AK121" s="137">
        <f>SUM(AJ114:AJ121)</f>
        <v/>
      </c>
      <c r="AL121" s="137">
        <f>IF(ISNUMBER('Assumptions'!$B$10),'Assumptions'!$B$10+AK121,"")</f>
        <v/>
      </c>
      <c r="AM121" s="137">
        <f>SUM(O121,Q121,T121)-N121-SUM(AC121:AI121)+IF('Funding'!$N$11=0,AE121,0)-IF('Funding'!$N$11&gt;0,AB121,0)</f>
        <v/>
      </c>
      <c r="AN121" s="137">
        <f>SUM(AM114:AM121)</f>
        <v/>
      </c>
      <c r="AO121" s="137">
        <f>IF(ISNUMBER('Assumptions'!$B$10),'Assumptions'!$B$10+AN121,"")</f>
        <v/>
      </c>
      <c r="AP121" s="137">
        <f>('Production schedule'!AK337)*'Responsibilities'!$C$6+('Production schedule'!AK373)*'Responsibilities'!$C$7+('Production schedule'!AK409)*'Responsibilities'!$C$8</f>
        <v/>
      </c>
      <c r="AQ121" s="137">
        <f>SUMIFS('Production schedule'!$AL$330:$AL$437,'Production schedule'!$C$330:$C$437,8)</f>
        <v/>
      </c>
      <c r="AR121" s="137">
        <f>IF(ISNUMBER('Assumptions'!K76),'Assumptions'!K76,SUM(O121:P121))</f>
        <v/>
      </c>
      <c r="AS121" s="137">
        <f>IF(ISNUMBER('Assumptions'!$B$13),MIN('Assumptions'!$B$13/'Assumptions'!$B$18/12,MAX(0,'Assumptions'!$B$13-(8-1)*'Assumptions'!$B$13/'Assumptions'!$B$18/12)),0)+IF(AND('Sites'!E6=1,8&gt;=('Sites'!F6),8&lt;('Sites'!F6)+'Assumptions'!$B$18*12),'Capital'!E6/'Assumptions'!$B$18/12,0)+IF(AND('Sites'!E7=1,8&gt;=('Sites'!F7+'Cases'!G9),8&lt;('Sites'!F7+'Cases'!G9)+'Assumptions'!$B$18*12),'Capital'!E7/'Assumptions'!$B$18/12,0)+IF(AND('Sites'!E8*'Cases'!F9=1,8&gt;=('Sites'!F8+'Cases'!G9),8&lt;('Sites'!F8+'Cases'!G9)+'Assumptions'!$B$18*12),'Capital'!E8/'Assumptions'!$B$18/12,0)</f>
        <v/>
      </c>
      <c r="AT121" s="137">
        <f>SUM(AQ121,AR121,U121)-AP121-SUM(H121:L121)-AS121-SUM(Y121,AD121,AE121,AH121)</f>
        <v/>
      </c>
      <c r="AU121" s="137">
        <f>IF(ISNUMBER('Assumptions'!$B$19),MAX(0,SUM(AT114:AT121))*'Assumptions'!$B$19-SUM(AU114:AU120),"")</f>
        <v/>
      </c>
      <c r="AV121" s="137">
        <f>IF(ISNUMBER(AU121),AT121-AU121,"")</f>
        <v/>
      </c>
      <c r="AW121" s="137">
        <f>IF(ISNUMBER('Assumptions'!$B$11),'Assumptions'!$B$11+SUM(AQ114:AQ121)-SUM(S114:S121)-SUM(T114:T121),"")</f>
        <v/>
      </c>
      <c r="AX121" s="137">
        <f>IF(ISNUMBER('Assumptions'!$B$12),'Assumptions'!$B$12+SUM(G114:G121)-SUM(AP114:AP121),"")</f>
        <v/>
      </c>
      <c r="AY121" s="137">
        <f>IF(ISNUMBER('Assumptions'!$B$13),'Assumptions'!$B$13+SUM(M114:M121)-SUM(AS114:AS121),"")</f>
        <v/>
      </c>
      <c r="AZ121" s="137">
        <f>IF(ISNUMBER('Assumptions'!$B$14),'Assumptions'!$B$14+-SUM(AF114:AF121),"")</f>
        <v/>
      </c>
      <c r="BA121" s="137">
        <f>IF(ISNUMBER('Assumptions'!$B$15),'Assumptions'!$B$15+SUM(O114:O121)+SUM(P114:P121)-SUM(AR114:AR121),"")</f>
        <v/>
      </c>
      <c r="BB121" s="137">
        <f>IF(ISNUMBER('Assumptions'!$B$16),'Assumptions'!$B$16+-SUM(AC114:AC121),"")</f>
        <v/>
      </c>
      <c r="BC121" s="137">
        <f>IF(AND(ISNUMBER('Assumptions'!$B$21),ISNUMBER('Assumptions'!$B$19)),'Assumptions'!$B$21+SUM(AU114:AU121)-SUM(AG114:AG121),"")</f>
        <v/>
      </c>
      <c r="BD121" s="137">
        <f>IF(ISNUMBER('Assumptions'!$B$20),'Assumptions'!$B$20+-SUM(AI114:AI121),"")</f>
        <v/>
      </c>
      <c r="BE121" s="137">
        <f>IF(AND(ISNUMBER('Assumptions'!$B$17),COUNT(AV114:AV121)=8),'Assumptions'!$B$17+SUM(AV114:AV121),"")</f>
        <v/>
      </c>
      <c r="BF121" s="137">
        <f>IF(COUNT(AL121,AW121:AY121)=4,SUM(AL121,AW121:AY121),"")</f>
        <v/>
      </c>
      <c r="BG121" s="137">
        <f>IF(COUNT(AZ121:BD121)=5,SUM(AZ121:BD121,AA121),"")</f>
        <v/>
      </c>
      <c r="BH121" s="137">
        <f>IF(COUNT(BF121,BG121,BE121)=3,BF121-BG121-BE121,"")</f>
        <v/>
      </c>
      <c r="BI121" s="137">
        <f>SUM(W121,X121)-Z121-AA121</f>
        <v/>
      </c>
      <c r="BJ121" s="137">
        <f>8-COUNT('Assumptions'!K58:K65)+COUNTBLANK('NM Play'!B33:B34)+'Costs'!E44+IF(AND('Sites'!E6=1,('Sites'!F6)&lt;=12,'Sites'!G6&gt;=1),IF(ISNUMBER('Sites'!O6),0,1)+'Capital'!I6+COUNTBLANK('Sites'!R6)+IF('Sites'!D6="NM crew",COUNTBLANK('NM Play'!B25)+1,5-COUNT('Assumptions'!K112:K116)),0)+IF(AND('Sites'!E7=1,('Sites'!F7+'Cases'!G9)&lt;=12,'Sites'!G7&gt;=1),IF(ISNUMBER('Sites'!O7),0,1)+'Capital'!I7+COUNTBLANK('Sites'!R7)+IF('Sites'!D7="NM crew",COUNTBLANK('NM Play'!B25)+1,5-COUNT('Assumptions'!K117:K121)),0)+IF(AND('Sites'!E8*'Cases'!F9=1,('Sites'!F8+'Cases'!G9)&lt;=12,'Sites'!G8&gt;=1),IF(ISNUMBER('Sites'!O8),0,1)+'Capital'!I8+COUNTBLANK('Sites'!R8)+IF('Sites'!D8="NM crew",COUNTBLANK('NM Play'!B25)+1,5-COUNT('Assumptions'!K122:K126)),0)+IF(AND('Cases'!C9&gt;0,NOT(ISNUMBER('Assumptions'!B42))),1,0)+'Responsibilities'!$B$39</f>
        <v/>
      </c>
      <c r="BK121" s="137">
        <f>'Assumptions'!$B$50+'NM Play'!$B$83+'Funding'!$F$20+SUMIFS('Production schedule'!$AN$330:$AN$437,'Production schedule'!$C$330:$C$437,8)+IF(OR('Cases'!E9&lt;0,'Cases'!E9&gt;1,'Cases'!C9&lt;0,'Cases'!D9&lt;0,ABS(SUM('Sites'!S6:S8)-1)&gt;0.0001,MIN('Capital'!F6:F8)&lt;0,MAX('Capital'!F6:F8)&gt;1,MIN(AX121,AZ121,BB121,BA121)&lt;-0.01),1,0)+'Responsibilities'!$B$40</f>
        <v/>
      </c>
      <c r="BL121" s="137">
        <f>SUMIFS('Production schedule'!$T$330:$T$437,'Production schedule'!$C$330:$C$437,8)</f>
        <v/>
      </c>
      <c r="BM121" s="137">
        <f>D121*'NM Play'!$B$38</f>
        <v/>
      </c>
      <c r="BN121" s="137">
        <f>SUMIFS('Production schedule'!$AM$330:$AM$437,'Production schedule'!$C$330:$C$437,8)</f>
        <v/>
      </c>
      <c r="BO121" s="137">
        <f>AK121-AK120-AJ121</f>
        <v/>
      </c>
      <c r="BP121" s="137">
        <f>IF(AND('Assumptions'!$B$39&gt;=0,'Assumptions'!$B$40&gt;0),-PMT('Assumptions'!$B$39/12,'Assumptions'!$B$40*12,IF('Funding'!$N$11&gt;0,'Funding'!$N$11,'Funding'!$U$11)),"")</f>
        <v/>
      </c>
      <c r="BQ121">
        <f>('Production schedule'!AJ337)*(1-'Responsibilities'!$C$6)+('Production schedule'!AJ373)*(1-'Responsibilities'!$C$7)+('Production schedule'!AJ409)*(1-'Responsibilities'!$C$8)</f>
        <v/>
      </c>
      <c r="BR121">
        <f>('Production schedule'!AI337)*(1-'Responsibilities'!$D$6)+('Production schedule'!AI373)*(1-'Responsibilities'!$D$7)+('Production schedule'!AI409)*(1-'Responsibilities'!$D$8)</f>
        <v/>
      </c>
      <c r="BS121">
        <f>('Production schedule'!E337*(IF('Sites'!D6="Annual staff",SUM('Assumptions'!K112,'Assumptions'!K114),0)+SUM('Assumptions'!K113,'Assumptions'!K115:K116)))*(1-'Responsibilities'!$E$6)+('Production schedule'!E373*(IF('Sites'!D7="Annual staff",SUM('Assumptions'!K117,'Assumptions'!K119),0)+SUM('Assumptions'!K118,'Assumptions'!K120:K121)))*(1-'Responsibilities'!$E$7)+('Production schedule'!E409*(IF('Sites'!D8="Annual staff",SUM('Assumptions'!K122,'Assumptions'!K124),0)+SUM('Assumptions'!K123,'Assumptions'!K125:K126)))*(1-'Responsibilities'!$E$8)</f>
        <v/>
      </c>
      <c r="BT121">
        <f>(IF(AND('Production schedule'!E337=1,8=MAX(('Sites'!F6),1),ISNUMBER('Sites'!O6)),'Sites'!O6*'Assumptions'!$B$44,0))*(1-'Responsibilities'!$F$6)+(IF(AND('Production schedule'!E373=1,8=MAX(('Sites'!F7+'Cases'!G9),1),ISNUMBER('Sites'!O7)),'Sites'!O7*'Assumptions'!$B$44,0))*(1-'Responsibilities'!$F$7)+(IF(AND('Production schedule'!E409=1,8=MAX(('Sites'!F8+'Cases'!G9),1),ISNUMBER('Sites'!O8)),'Sites'!O8*'Assumptions'!$B$44,0))*(1-'Responsibilities'!$F$8)</f>
        <v/>
      </c>
      <c r="BU121">
        <f>SUM('Costs'!E36)*'Costs'!F36/12*(1-'Responsibilities'!$C$12)+SUM('Costs'!E37)*'Costs'!F37/12*(1-'Responsibilities'!$C$13)+SUM('Costs'!E38)*'Costs'!F38/12*(1-'Responsibilities'!$C$14)+SUM('Costs'!E39)*'Costs'!F39/12*(1-'Responsibilities'!$C$15)+SUM('Costs'!E40)*'Costs'!F40/12*(1-'Responsibilities'!$C$16)</f>
        <v/>
      </c>
      <c r="BV121">
        <f>('Sites'!E6*'Capital'!E6*(IF(8='Capital'!G6,'Capital'!F6,0)+IF(8='Capital'!H6,1-'Capital'!F6,0)))*(1-'Responsibilities'!$G$6)+('Sites'!E7*'Capital'!E7*(IF(8='Capital'!G7+'Cases'!G9,'Capital'!F7,0)+IF(8='Capital'!H7+'Cases'!G9,1-'Capital'!F7,0)))*(1-'Responsibilities'!$G$7)+('Sites'!E8*'Cases'!F9*'Capital'!E8*(IF(8='Capital'!G8+'Cases'!G9,'Capital'!F8,0)+IF(8='Capital'!H8+'Cases'!G9,1-'Capital'!F8,0)))*(1-'Responsibilities'!$G$8)</f>
        <v/>
      </c>
      <c r="BW121">
        <f>SUM(BQ121:BV121)</f>
        <v/>
      </c>
      <c r="BX121">
        <f>N121+BW121</f>
        <v/>
      </c>
      <c r="BY121">
        <f>BX121-(('Production schedule'!AJ337)*'Responsibilities'!$C$6+('Production schedule'!AJ373)*'Responsibilities'!$C$7+('Production schedule'!AJ409)*'Responsibilities'!$C$8+('Production schedule'!AJ337)*(1-'Responsibilities'!$C$6)+('Production schedule'!AJ373)*(1-'Responsibilities'!$C$7)+('Production schedule'!AJ409)*(1-'Responsibilities'!$C$8)+('Production schedule'!AI337)*'Responsibilities'!$D$6+('Production schedule'!AI373)*'Responsibilities'!$D$7+('Production schedule'!AI409)*'Responsibilities'!$D$8+('Production schedule'!AI337)*(1-'Responsibilities'!$D$6)+('Production schedule'!AI373)*(1-'Responsibilities'!$D$7)+('Production schedule'!AI409)*(1-'Responsibilities'!$D$8)+('Production schedule'!E337*(IF('Sites'!D6="Annual staff",SUM('Assumptions'!K112,'Assumptions'!K114),0)+SUM('Assumptions'!K113,'Assumptions'!K115:K116)))*'Responsibilities'!$E$6+('Production schedule'!E373*(IF('Sites'!D7="Annual staff",SUM('Assumptions'!K117,'Assumptions'!K119),0)+SUM('Assumptions'!K118,'Assumptions'!K120:K121)))*'Responsibilities'!$E$7+('Production schedule'!E409*(IF('Sites'!D8="Annual staff",SUM('Assumptions'!K122,'Assumptions'!K124),0)+SUM('Assumptions'!K123,'Assumptions'!K125:K126)))*'Responsibilities'!$E$8+('Production schedule'!E337*(IF('Sites'!D6="Annual staff",SUM('Assumptions'!K112,'Assumptions'!K114),0)+SUM('Assumptions'!K113,'Assumptions'!K115:K116)))*(1-'Responsibilities'!$E$6)+('Production schedule'!E373*(IF('Sites'!D7="Annual staff",SUM('Assumptions'!K117,'Assumptions'!K119),0)+SUM('Assumptions'!K118,'Assumptions'!K120:K121)))*(1-'Responsibilities'!$E$7)+('Production schedule'!E409*(IF('Sites'!D8="Annual staff",SUM('Assumptions'!K122,'Assumptions'!K124),0)+SUM('Assumptions'!K123,'Assumptions'!K125:K126)))*(1-'Responsibilities'!$E$8)+(IF(AND('Production schedule'!E337=1,8=MAX(('Sites'!F6),1),ISNUMBER('Sites'!O6)),'Sites'!O6*'Assumptions'!$B$44,0))*'Responsibilities'!$F$6+(IF(AND('Production schedule'!E373=1,8=MAX(('Sites'!F7+'Cases'!G9),1),ISNUMBER('Sites'!O7)),'Sites'!O7*'Assumptions'!$B$44,0))*'Responsibilities'!$F$7+(IF(AND('Production schedule'!E409=1,8=MAX(('Sites'!F8+'Cases'!G9),1),ISNUMBER('Sites'!O8)),'Sites'!O8*'Assumptions'!$B$44,0))*'Responsibilities'!$F$8+(IF(AND('Production schedule'!E337=1,8=MAX(('Sites'!F6),1),ISNUMBER('Sites'!O6)),'Sites'!O6*'Assumptions'!$B$44,0))*(1-'Responsibilities'!$F$6)+(IF(AND('Production schedule'!E373=1,8=MAX(('Sites'!F7+'Cases'!G9),1),ISNUMBER('Sites'!O7)),'Sites'!O7*'Assumptions'!$B$44,0))*(1-'Responsibilities'!$F$7)+(IF(AND('Production schedule'!E409=1,8=MAX(('Sites'!F8+'Cases'!G9),1),ISNUMBER('Sites'!O8)),'Sites'!O8*'Assumptions'!$B$44,0))*(1-'Responsibilities'!$F$8)+('Sites'!E6*'Capital'!E6*(IF(8='Capital'!G6,'Capital'!F6,0)+IF(8='Capital'!H6,1-'Capital'!F6,0)))*'Responsibilities'!$G$6+('Sites'!E7*'Capital'!E7*(IF(8='Capital'!G7+'Cases'!G9,'Capital'!F7,0)+IF(8='Capital'!H7+'Cases'!G9,1-'Capital'!F7,0)))*'Responsibilities'!$G$7+('Sites'!E8*'Cases'!F9*'Capital'!E8*(IF(8='Capital'!G8+'Cases'!G9,'Capital'!F8,0)+IF(8='Capital'!H8+'Cases'!G9,1-'Capital'!F8,0)))*'Responsibilities'!$G$8+('Sites'!E6*'Capital'!E6*(IF(8='Capital'!G6,'Capital'!F6,0)+IF(8='Capital'!H6,1-'Capital'!F6,0)))*(1-'Responsibilities'!$G$6)+('Sites'!E7*'Capital'!E7*(IF(8='Capital'!G7+'Cases'!G9,'Capital'!F7,0)+IF(8='Capital'!H7+'Cases'!G9,1-'Capital'!F7,0)))*(1-'Responsibilities'!$G$7)+('Sites'!E8*'Cases'!F9*'Capital'!E8*(IF(8='Capital'!G8+'Cases'!G9,'Capital'!F8,0)+IF(8='Capital'!H8+'Cases'!G9,1-'Capital'!F8,0)))*(1-'Responsibilities'!$G$8)+I121+SUMPRODUCT('Costs'!$E$36:$E$40,'Costs'!$F$36:$F$40)/12+BZ121)</f>
        <v/>
      </c>
      <c r="BZ121">
        <f>SUMIFS('Responsibilities'!$B$31:$B$35,'Responsibilities'!$C$31:$C$35,8,'Responsibilities'!$D$31:$D$35,"Yes")</f>
        <v/>
      </c>
    </row>
    <row r="122" ht="28" customHeight="1">
      <c r="A122" s="4" t="inlineStr">
        <is>
          <t>Delayed receipts</t>
        </is>
      </c>
      <c r="B122" s="4" t="n">
        <v>9</v>
      </c>
      <c r="C122" s="4">
        <f>ROUNDUP(B122/12,0)</f>
        <v/>
      </c>
      <c r="D122" s="137">
        <f>SUMIFS('Production schedule'!$N$330:$N$437,'Production schedule'!$C$330:$C$437,9)</f>
        <v/>
      </c>
      <c r="E122" s="137">
        <f>SUMIFS('Production schedule'!$Y$330:$Y$437,'Production schedule'!$C$330:$C$437,9)</f>
        <v/>
      </c>
      <c r="F122" s="137">
        <f>SUMIFS('Production schedule'!$Z$330:$Z$437,'Production schedule'!$C$330:$C$437,9)</f>
        <v/>
      </c>
      <c r="G122" s="137">
        <f>('Production schedule'!AJ338)*'Responsibilities'!$C$6+('Production schedule'!AJ374)*'Responsibilities'!$C$7+('Production schedule'!AJ410)*'Responsibilities'!$C$8</f>
        <v/>
      </c>
      <c r="H122" s="137">
        <f>('Production schedule'!AI338)*'Responsibilities'!$D$6+('Production schedule'!AI374)*'Responsibilities'!$D$7+('Production schedule'!AI410)*'Responsibilities'!$D$8</f>
        <v/>
      </c>
      <c r="I122" s="137">
        <f>SUM('Assumptions'!L58:L65)</f>
        <v/>
      </c>
      <c r="J122" s="137">
        <f>('Production schedule'!E338*(IF('Sites'!D6="Annual staff",SUM('Assumptions'!L112,'Assumptions'!L114),0)+SUM('Assumptions'!L113,'Assumptions'!L115:L116)))*'Responsibilities'!$E$6+('Production schedule'!E374*(IF('Sites'!D7="Annual staff",SUM('Assumptions'!L117,'Assumptions'!L119),0)+SUM('Assumptions'!L118,'Assumptions'!L120:L121)))*'Responsibilities'!$E$7+('Production schedule'!E410*(IF('Sites'!D8="Annual staff",SUM('Assumptions'!L122,'Assumptions'!L124),0)+SUM('Assumptions'!L123,'Assumptions'!L125:L126)))*'Responsibilities'!$E$8</f>
        <v/>
      </c>
      <c r="K122" s="137">
        <f>(IF(AND('Production schedule'!E338=1,9=MAX(('Sites'!F6),1),ISNUMBER('Sites'!O6)),'Sites'!O6*'Assumptions'!$B$44,0))*'Responsibilities'!$F$6+(IF(AND('Production schedule'!E374=1,9=MAX(('Sites'!F7+'Cases'!G9),1),ISNUMBER('Sites'!O7)),'Sites'!O7*'Assumptions'!$B$44,0))*'Responsibilities'!$F$7+(IF(AND('Production schedule'!E410=1,9=MAX(('Sites'!F8+'Cases'!G9),1),ISNUMBER('Sites'!O8)),'Sites'!O8*'Assumptions'!$B$44,0))*'Responsibilities'!$F$8</f>
        <v/>
      </c>
      <c r="L122" s="137">
        <f>SUM('Costs'!E36)*'Costs'!F36/12*'Responsibilities'!$C$12+SUM('Costs'!E37)*'Costs'!F37/12*'Responsibilities'!$C$13+SUM('Costs'!E38)*'Costs'!F38/12*'Responsibilities'!$C$14+SUM('Costs'!E39)*'Costs'!F39/12*'Responsibilities'!$C$15+SUM('Costs'!E40)*'Costs'!F40/12*'Responsibilities'!$C$16+BZ122</f>
        <v/>
      </c>
      <c r="M122" s="137">
        <f>('Sites'!E6*'Capital'!E6*(IF(9='Capital'!G6,'Capital'!F6,0)+IF(9='Capital'!H6,1-'Capital'!F6,0)))*'Responsibilities'!$G$6+('Sites'!E7*'Capital'!E7*(IF(9='Capital'!G7+'Cases'!G9,'Capital'!F7,0)+IF(9='Capital'!H7+'Cases'!G9,1-'Capital'!F7,0)))*'Responsibilities'!$G$7+('Sites'!E8*'Cases'!F9*'Capital'!E8*(IF(9='Capital'!G8+'Cases'!G9,'Capital'!F8,0)+IF(9='Capital'!H8+'Cases'!G9,1-'Capital'!F8,0)))*'Responsibilities'!$G$8</f>
        <v/>
      </c>
      <c r="N122" s="137">
        <f>SUM(G122:M122)</f>
        <v/>
      </c>
      <c r="O122" s="137">
        <f>SUMIFS(FundingTranches[Secured amount],FundingTranches[Instrument],"Grant",FundingTranches[Secured month],9)</f>
        <v/>
      </c>
      <c r="P122" s="137">
        <f>SUMIFS(FundingTranches[Delayed receipts possible],FundingTranches[Instrument],"Grant",FundingTranches[Scenario month],9-'Cases'!$D$9)</f>
        <v/>
      </c>
      <c r="Q122" s="137">
        <f>SUMIFS(FundingTranches[Secured amount],FundingTranches[Instrument],"Loan",FundingTranches[Secured month],9)</f>
        <v/>
      </c>
      <c r="R122" s="137">
        <f>SUMIFS(FundingTranches[Delayed receipts possible],FundingTranches[Instrument],"Loan",FundingTranches[Scenario month],9-'Cases'!$D$9)</f>
        <v/>
      </c>
      <c r="S122" s="137">
        <f>IF(9&lt;='Assumptions'!$B$34,0,SUMIFS('Production schedule'!$AL$330:$AL$437,'Production schedule'!$C$330:$C$437,9-'Assumptions'!$B$34))</f>
        <v/>
      </c>
      <c r="T122" s="137">
        <f>'Assumptions'!L70</f>
        <v/>
      </c>
      <c r="U122" s="137">
        <f>'Assumptions'!L78</f>
        <v/>
      </c>
      <c r="V122" s="137">
        <f>SUM(O122:U122)</f>
        <v/>
      </c>
      <c r="W122" s="137">
        <f>AA121</f>
        <v/>
      </c>
      <c r="X122" s="137">
        <f>SUM(Q122:R122)</f>
        <v/>
      </c>
      <c r="Y122" s="137">
        <f>SUM(W122,X122)*'Assumptions'!$B$39/12</f>
        <v/>
      </c>
      <c r="Z122" s="137">
        <f>IF(SUM(W122,X122)&gt;0,MIN(SUM(W122,X122),MAX(0,BP122-Y122)),0)</f>
        <v/>
      </c>
      <c r="AA122" s="137">
        <f>SUM(W122,X122)-Z122</f>
        <v/>
      </c>
      <c r="AB122" s="137">
        <f>SUM(Y122:Z122)</f>
        <v/>
      </c>
      <c r="AC122" s="137">
        <f>'Assumptions'!L72</f>
        <v/>
      </c>
      <c r="AD122" s="137">
        <f>'Assumptions'!L73</f>
        <v/>
      </c>
      <c r="AE122" s="137">
        <f>IF(X122&gt;0,SUM('Assumptions'!$B$42),0)</f>
        <v/>
      </c>
      <c r="AF122" s="137">
        <f>'Assumptions'!L71</f>
        <v/>
      </c>
      <c r="AG122" s="137">
        <f>'Assumptions'!L74</f>
        <v/>
      </c>
      <c r="AH122" s="137">
        <f>'Assumptions'!L75</f>
        <v/>
      </c>
      <c r="AI122" s="137">
        <f>'Assumptions'!L77</f>
        <v/>
      </c>
      <c r="AJ122" s="137">
        <f>V122-N122-SUM(AB122:AI122)</f>
        <v/>
      </c>
      <c r="AK122" s="137">
        <f>SUM(AJ114:AJ122)</f>
        <v/>
      </c>
      <c r="AL122" s="137">
        <f>IF(ISNUMBER('Assumptions'!$B$10),'Assumptions'!$B$10+AK122,"")</f>
        <v/>
      </c>
      <c r="AM122" s="137">
        <f>SUM(O122,Q122,T122)-N122-SUM(AC122:AI122)+IF('Funding'!$N$11=0,AE122,0)-IF('Funding'!$N$11&gt;0,AB122,0)</f>
        <v/>
      </c>
      <c r="AN122" s="137">
        <f>SUM(AM114:AM122)</f>
        <v/>
      </c>
      <c r="AO122" s="137">
        <f>IF(ISNUMBER('Assumptions'!$B$10),'Assumptions'!$B$10+AN122,"")</f>
        <v/>
      </c>
      <c r="AP122" s="137">
        <f>('Production schedule'!AK338)*'Responsibilities'!$C$6+('Production schedule'!AK374)*'Responsibilities'!$C$7+('Production schedule'!AK410)*'Responsibilities'!$C$8</f>
        <v/>
      </c>
      <c r="AQ122" s="137">
        <f>SUMIFS('Production schedule'!$AL$330:$AL$437,'Production schedule'!$C$330:$C$437,9)</f>
        <v/>
      </c>
      <c r="AR122" s="137">
        <f>IF(ISNUMBER('Assumptions'!L76),'Assumptions'!L76,SUM(O122:P122))</f>
        <v/>
      </c>
      <c r="AS122" s="137">
        <f>IF(ISNUMBER('Assumptions'!$B$13),MIN('Assumptions'!$B$13/'Assumptions'!$B$18/12,MAX(0,'Assumptions'!$B$13-(9-1)*'Assumptions'!$B$13/'Assumptions'!$B$18/12)),0)+IF(AND('Sites'!E6=1,9&gt;=('Sites'!F6),9&lt;('Sites'!F6)+'Assumptions'!$B$18*12),'Capital'!E6/'Assumptions'!$B$18/12,0)+IF(AND('Sites'!E7=1,9&gt;=('Sites'!F7+'Cases'!G9),9&lt;('Sites'!F7+'Cases'!G9)+'Assumptions'!$B$18*12),'Capital'!E7/'Assumptions'!$B$18/12,0)+IF(AND('Sites'!E8*'Cases'!F9=1,9&gt;=('Sites'!F8+'Cases'!G9),9&lt;('Sites'!F8+'Cases'!G9)+'Assumptions'!$B$18*12),'Capital'!E8/'Assumptions'!$B$18/12,0)</f>
        <v/>
      </c>
      <c r="AT122" s="137">
        <f>SUM(AQ122,AR122,U122)-AP122-SUM(H122:L122)-AS122-SUM(Y122,AD122,AE122,AH122)</f>
        <v/>
      </c>
      <c r="AU122" s="137">
        <f>IF(ISNUMBER('Assumptions'!$B$19),MAX(0,SUM(AT114:AT122))*'Assumptions'!$B$19-SUM(AU114:AU121),"")</f>
        <v/>
      </c>
      <c r="AV122" s="137">
        <f>IF(ISNUMBER(AU122),AT122-AU122,"")</f>
        <v/>
      </c>
      <c r="AW122" s="137">
        <f>IF(ISNUMBER('Assumptions'!$B$11),'Assumptions'!$B$11+SUM(AQ114:AQ122)-SUM(S114:S122)-SUM(T114:T122),"")</f>
        <v/>
      </c>
      <c r="AX122" s="137">
        <f>IF(ISNUMBER('Assumptions'!$B$12),'Assumptions'!$B$12+SUM(G114:G122)-SUM(AP114:AP122),"")</f>
        <v/>
      </c>
      <c r="AY122" s="137">
        <f>IF(ISNUMBER('Assumptions'!$B$13),'Assumptions'!$B$13+SUM(M114:M122)-SUM(AS114:AS122),"")</f>
        <v/>
      </c>
      <c r="AZ122" s="137">
        <f>IF(ISNUMBER('Assumptions'!$B$14),'Assumptions'!$B$14+-SUM(AF114:AF122),"")</f>
        <v/>
      </c>
      <c r="BA122" s="137">
        <f>IF(ISNUMBER('Assumptions'!$B$15),'Assumptions'!$B$15+SUM(O114:O122)+SUM(P114:P122)-SUM(AR114:AR122),"")</f>
        <v/>
      </c>
      <c r="BB122" s="137">
        <f>IF(ISNUMBER('Assumptions'!$B$16),'Assumptions'!$B$16+-SUM(AC114:AC122),"")</f>
        <v/>
      </c>
      <c r="BC122" s="137">
        <f>IF(AND(ISNUMBER('Assumptions'!$B$21),ISNUMBER('Assumptions'!$B$19)),'Assumptions'!$B$21+SUM(AU114:AU122)-SUM(AG114:AG122),"")</f>
        <v/>
      </c>
      <c r="BD122" s="137">
        <f>IF(ISNUMBER('Assumptions'!$B$20),'Assumptions'!$B$20+-SUM(AI114:AI122),"")</f>
        <v/>
      </c>
      <c r="BE122" s="137">
        <f>IF(AND(ISNUMBER('Assumptions'!$B$17),COUNT(AV114:AV122)=9),'Assumptions'!$B$17+SUM(AV114:AV122),"")</f>
        <v/>
      </c>
      <c r="BF122" s="137">
        <f>IF(COUNT(AL122,AW122:AY122)=4,SUM(AL122,AW122:AY122),"")</f>
        <v/>
      </c>
      <c r="BG122" s="137">
        <f>IF(COUNT(AZ122:BD122)=5,SUM(AZ122:BD122,AA122),"")</f>
        <v/>
      </c>
      <c r="BH122" s="137">
        <f>IF(COUNT(BF122,BG122,BE122)=3,BF122-BG122-BE122,"")</f>
        <v/>
      </c>
      <c r="BI122" s="137">
        <f>SUM(W122,X122)-Z122-AA122</f>
        <v/>
      </c>
      <c r="BJ122" s="137">
        <f>8-COUNT('Assumptions'!L58:L65)+COUNTBLANK('NM Play'!B33:B34)+'Costs'!E44+IF(AND('Sites'!E6=1,('Sites'!F6)&lt;=12,'Sites'!G6&gt;=1),IF(ISNUMBER('Sites'!O6),0,1)+'Capital'!I6+COUNTBLANK('Sites'!R6)+IF('Sites'!D6="NM crew",COUNTBLANK('NM Play'!B25)+1,5-COUNT('Assumptions'!L112:L116)),0)+IF(AND('Sites'!E7=1,('Sites'!F7+'Cases'!G9)&lt;=12,'Sites'!G7&gt;=1),IF(ISNUMBER('Sites'!O7),0,1)+'Capital'!I7+COUNTBLANK('Sites'!R7)+IF('Sites'!D7="NM crew",COUNTBLANK('NM Play'!B25)+1,5-COUNT('Assumptions'!L117:L121)),0)+IF(AND('Sites'!E8*'Cases'!F9=1,('Sites'!F8+'Cases'!G9)&lt;=12,'Sites'!G8&gt;=1),IF(ISNUMBER('Sites'!O8),0,1)+'Capital'!I8+COUNTBLANK('Sites'!R8)+IF('Sites'!D8="NM crew",COUNTBLANK('NM Play'!B25)+1,5-COUNT('Assumptions'!L122:L126)),0)+IF(AND('Cases'!C9&gt;0,NOT(ISNUMBER('Assumptions'!B42))),1,0)+'Responsibilities'!$B$39</f>
        <v/>
      </c>
      <c r="BK122" s="137">
        <f>'Assumptions'!$B$50+'NM Play'!$B$83+'Funding'!$F$20+SUMIFS('Production schedule'!$AN$330:$AN$437,'Production schedule'!$C$330:$C$437,9)+IF(OR('Cases'!E9&lt;0,'Cases'!E9&gt;1,'Cases'!C9&lt;0,'Cases'!D9&lt;0,ABS(SUM('Sites'!S6:S8)-1)&gt;0.0001,MIN('Capital'!F6:F8)&lt;0,MAX('Capital'!F6:F8)&gt;1,MIN(AX122,AZ122,BB122,BA122)&lt;-0.01),1,0)+'Responsibilities'!$B$40</f>
        <v/>
      </c>
      <c r="BL122" s="137">
        <f>SUMIFS('Production schedule'!$T$330:$T$437,'Production schedule'!$C$330:$C$437,9)</f>
        <v/>
      </c>
      <c r="BM122" s="137">
        <f>D122*'NM Play'!$B$38</f>
        <v/>
      </c>
      <c r="BN122" s="137">
        <f>SUMIFS('Production schedule'!$AM$330:$AM$437,'Production schedule'!$C$330:$C$437,9)</f>
        <v/>
      </c>
      <c r="BO122" s="137">
        <f>AK122-AK121-AJ122</f>
        <v/>
      </c>
      <c r="BP122" s="137">
        <f>IF(AND('Assumptions'!$B$39&gt;=0,'Assumptions'!$B$40&gt;0),-PMT('Assumptions'!$B$39/12,'Assumptions'!$B$40*12,IF('Funding'!$N$11&gt;0,'Funding'!$N$11,'Funding'!$U$11)),"")</f>
        <v/>
      </c>
      <c r="BQ122">
        <f>('Production schedule'!AJ338)*(1-'Responsibilities'!$C$6)+('Production schedule'!AJ374)*(1-'Responsibilities'!$C$7)+('Production schedule'!AJ410)*(1-'Responsibilities'!$C$8)</f>
        <v/>
      </c>
      <c r="BR122">
        <f>('Production schedule'!AI338)*(1-'Responsibilities'!$D$6)+('Production schedule'!AI374)*(1-'Responsibilities'!$D$7)+('Production schedule'!AI410)*(1-'Responsibilities'!$D$8)</f>
        <v/>
      </c>
      <c r="BS122">
        <f>('Production schedule'!E338*(IF('Sites'!D6="Annual staff",SUM('Assumptions'!L112,'Assumptions'!L114),0)+SUM('Assumptions'!L113,'Assumptions'!L115:L116)))*(1-'Responsibilities'!$E$6)+('Production schedule'!E374*(IF('Sites'!D7="Annual staff",SUM('Assumptions'!L117,'Assumptions'!L119),0)+SUM('Assumptions'!L118,'Assumptions'!L120:L121)))*(1-'Responsibilities'!$E$7)+('Production schedule'!E410*(IF('Sites'!D8="Annual staff",SUM('Assumptions'!L122,'Assumptions'!L124),0)+SUM('Assumptions'!L123,'Assumptions'!L125:L126)))*(1-'Responsibilities'!$E$8)</f>
        <v/>
      </c>
      <c r="BT122">
        <f>(IF(AND('Production schedule'!E338=1,9=MAX(('Sites'!F6),1),ISNUMBER('Sites'!O6)),'Sites'!O6*'Assumptions'!$B$44,0))*(1-'Responsibilities'!$F$6)+(IF(AND('Production schedule'!E374=1,9=MAX(('Sites'!F7+'Cases'!G9),1),ISNUMBER('Sites'!O7)),'Sites'!O7*'Assumptions'!$B$44,0))*(1-'Responsibilities'!$F$7)+(IF(AND('Production schedule'!E410=1,9=MAX(('Sites'!F8+'Cases'!G9),1),ISNUMBER('Sites'!O8)),'Sites'!O8*'Assumptions'!$B$44,0))*(1-'Responsibilities'!$F$8)</f>
        <v/>
      </c>
      <c r="BU122">
        <f>SUM('Costs'!E36)*'Costs'!F36/12*(1-'Responsibilities'!$C$12)+SUM('Costs'!E37)*'Costs'!F37/12*(1-'Responsibilities'!$C$13)+SUM('Costs'!E38)*'Costs'!F38/12*(1-'Responsibilities'!$C$14)+SUM('Costs'!E39)*'Costs'!F39/12*(1-'Responsibilities'!$C$15)+SUM('Costs'!E40)*'Costs'!F40/12*(1-'Responsibilities'!$C$16)</f>
        <v/>
      </c>
      <c r="BV122">
        <f>('Sites'!E6*'Capital'!E6*(IF(9='Capital'!G6,'Capital'!F6,0)+IF(9='Capital'!H6,1-'Capital'!F6,0)))*(1-'Responsibilities'!$G$6)+('Sites'!E7*'Capital'!E7*(IF(9='Capital'!G7+'Cases'!G9,'Capital'!F7,0)+IF(9='Capital'!H7+'Cases'!G9,1-'Capital'!F7,0)))*(1-'Responsibilities'!$G$7)+('Sites'!E8*'Cases'!F9*'Capital'!E8*(IF(9='Capital'!G8+'Cases'!G9,'Capital'!F8,0)+IF(9='Capital'!H8+'Cases'!G9,1-'Capital'!F8,0)))*(1-'Responsibilities'!$G$8)</f>
        <v/>
      </c>
      <c r="BW122">
        <f>SUM(BQ122:BV122)</f>
        <v/>
      </c>
      <c r="BX122">
        <f>N122+BW122</f>
        <v/>
      </c>
      <c r="BY122">
        <f>BX122-(('Production schedule'!AJ338)*'Responsibilities'!$C$6+('Production schedule'!AJ374)*'Responsibilities'!$C$7+('Production schedule'!AJ410)*'Responsibilities'!$C$8+('Production schedule'!AJ338)*(1-'Responsibilities'!$C$6)+('Production schedule'!AJ374)*(1-'Responsibilities'!$C$7)+('Production schedule'!AJ410)*(1-'Responsibilities'!$C$8)+('Production schedule'!AI338)*'Responsibilities'!$D$6+('Production schedule'!AI374)*'Responsibilities'!$D$7+('Production schedule'!AI410)*'Responsibilities'!$D$8+('Production schedule'!AI338)*(1-'Responsibilities'!$D$6)+('Production schedule'!AI374)*(1-'Responsibilities'!$D$7)+('Production schedule'!AI410)*(1-'Responsibilities'!$D$8)+('Production schedule'!E338*(IF('Sites'!D6="Annual staff",SUM('Assumptions'!L112,'Assumptions'!L114),0)+SUM('Assumptions'!L113,'Assumptions'!L115:L116)))*'Responsibilities'!$E$6+('Production schedule'!E374*(IF('Sites'!D7="Annual staff",SUM('Assumptions'!L117,'Assumptions'!L119),0)+SUM('Assumptions'!L118,'Assumptions'!L120:L121)))*'Responsibilities'!$E$7+('Production schedule'!E410*(IF('Sites'!D8="Annual staff",SUM('Assumptions'!L122,'Assumptions'!L124),0)+SUM('Assumptions'!L123,'Assumptions'!L125:L126)))*'Responsibilities'!$E$8+('Production schedule'!E338*(IF('Sites'!D6="Annual staff",SUM('Assumptions'!L112,'Assumptions'!L114),0)+SUM('Assumptions'!L113,'Assumptions'!L115:L116)))*(1-'Responsibilities'!$E$6)+('Production schedule'!E374*(IF('Sites'!D7="Annual staff",SUM('Assumptions'!L117,'Assumptions'!L119),0)+SUM('Assumptions'!L118,'Assumptions'!L120:L121)))*(1-'Responsibilities'!$E$7)+('Production schedule'!E410*(IF('Sites'!D8="Annual staff",SUM('Assumptions'!L122,'Assumptions'!L124),0)+SUM('Assumptions'!L123,'Assumptions'!L125:L126)))*(1-'Responsibilities'!$E$8)+(IF(AND('Production schedule'!E338=1,9=MAX(('Sites'!F6),1),ISNUMBER('Sites'!O6)),'Sites'!O6*'Assumptions'!$B$44,0))*'Responsibilities'!$F$6+(IF(AND('Production schedule'!E374=1,9=MAX(('Sites'!F7+'Cases'!G9),1),ISNUMBER('Sites'!O7)),'Sites'!O7*'Assumptions'!$B$44,0))*'Responsibilities'!$F$7+(IF(AND('Production schedule'!E410=1,9=MAX(('Sites'!F8+'Cases'!G9),1),ISNUMBER('Sites'!O8)),'Sites'!O8*'Assumptions'!$B$44,0))*'Responsibilities'!$F$8+(IF(AND('Production schedule'!E338=1,9=MAX(('Sites'!F6),1),ISNUMBER('Sites'!O6)),'Sites'!O6*'Assumptions'!$B$44,0))*(1-'Responsibilities'!$F$6)+(IF(AND('Production schedule'!E374=1,9=MAX(('Sites'!F7+'Cases'!G9),1),ISNUMBER('Sites'!O7)),'Sites'!O7*'Assumptions'!$B$44,0))*(1-'Responsibilities'!$F$7)+(IF(AND('Production schedule'!E410=1,9=MAX(('Sites'!F8+'Cases'!G9),1),ISNUMBER('Sites'!O8)),'Sites'!O8*'Assumptions'!$B$44,0))*(1-'Responsibilities'!$F$8)+('Sites'!E6*'Capital'!E6*(IF(9='Capital'!G6,'Capital'!F6,0)+IF(9='Capital'!H6,1-'Capital'!F6,0)))*'Responsibilities'!$G$6+('Sites'!E7*'Capital'!E7*(IF(9='Capital'!G7+'Cases'!G9,'Capital'!F7,0)+IF(9='Capital'!H7+'Cases'!G9,1-'Capital'!F7,0)))*'Responsibilities'!$G$7+('Sites'!E8*'Cases'!F9*'Capital'!E8*(IF(9='Capital'!G8+'Cases'!G9,'Capital'!F8,0)+IF(9='Capital'!H8+'Cases'!G9,1-'Capital'!F8,0)))*'Responsibilities'!$G$8+('Sites'!E6*'Capital'!E6*(IF(9='Capital'!G6,'Capital'!F6,0)+IF(9='Capital'!H6,1-'Capital'!F6,0)))*(1-'Responsibilities'!$G$6)+('Sites'!E7*'Capital'!E7*(IF(9='Capital'!G7+'Cases'!G9,'Capital'!F7,0)+IF(9='Capital'!H7+'Cases'!G9,1-'Capital'!F7,0)))*(1-'Responsibilities'!$G$7)+('Sites'!E8*'Cases'!F9*'Capital'!E8*(IF(9='Capital'!G8+'Cases'!G9,'Capital'!F8,0)+IF(9='Capital'!H8+'Cases'!G9,1-'Capital'!F8,0)))*(1-'Responsibilities'!$G$8)+I122+SUMPRODUCT('Costs'!$E$36:$E$40,'Costs'!$F$36:$F$40)/12+BZ122)</f>
        <v/>
      </c>
      <c r="BZ122">
        <f>SUMIFS('Responsibilities'!$B$31:$B$35,'Responsibilities'!$C$31:$C$35,9,'Responsibilities'!$D$31:$D$35,"Yes")</f>
        <v/>
      </c>
    </row>
    <row r="123" ht="28" customHeight="1">
      <c r="A123" s="4" t="inlineStr">
        <is>
          <t>Delayed receipts</t>
        </is>
      </c>
      <c r="B123" s="4" t="n">
        <v>10</v>
      </c>
      <c r="C123" s="4">
        <f>ROUNDUP(B123/12,0)</f>
        <v/>
      </c>
      <c r="D123" s="137">
        <f>SUMIFS('Production schedule'!$N$330:$N$437,'Production schedule'!$C$330:$C$437,10)</f>
        <v/>
      </c>
      <c r="E123" s="137">
        <f>SUMIFS('Production schedule'!$Y$330:$Y$437,'Production schedule'!$C$330:$C$437,10)</f>
        <v/>
      </c>
      <c r="F123" s="137">
        <f>SUMIFS('Production schedule'!$Z$330:$Z$437,'Production schedule'!$C$330:$C$437,10)</f>
        <v/>
      </c>
      <c r="G123" s="137">
        <f>('Production schedule'!AJ339)*'Responsibilities'!$C$6+('Production schedule'!AJ375)*'Responsibilities'!$C$7+('Production schedule'!AJ411)*'Responsibilities'!$C$8</f>
        <v/>
      </c>
      <c r="H123" s="137">
        <f>('Production schedule'!AI339)*'Responsibilities'!$D$6+('Production schedule'!AI375)*'Responsibilities'!$D$7+('Production schedule'!AI411)*'Responsibilities'!$D$8</f>
        <v/>
      </c>
      <c r="I123" s="137">
        <f>SUM('Assumptions'!M58:M65)</f>
        <v/>
      </c>
      <c r="J123" s="137">
        <f>('Production schedule'!E339*(IF('Sites'!D6="Annual staff",SUM('Assumptions'!M112,'Assumptions'!M114),0)+SUM('Assumptions'!M113,'Assumptions'!M115:M116)))*'Responsibilities'!$E$6+('Production schedule'!E375*(IF('Sites'!D7="Annual staff",SUM('Assumptions'!M117,'Assumptions'!M119),0)+SUM('Assumptions'!M118,'Assumptions'!M120:M121)))*'Responsibilities'!$E$7+('Production schedule'!E411*(IF('Sites'!D8="Annual staff",SUM('Assumptions'!M122,'Assumptions'!M124),0)+SUM('Assumptions'!M123,'Assumptions'!M125:M126)))*'Responsibilities'!$E$8</f>
        <v/>
      </c>
      <c r="K123" s="137">
        <f>(IF(AND('Production schedule'!E339=1,10=MAX(('Sites'!F6),1),ISNUMBER('Sites'!O6)),'Sites'!O6*'Assumptions'!$B$44,0))*'Responsibilities'!$F$6+(IF(AND('Production schedule'!E375=1,10=MAX(('Sites'!F7+'Cases'!G9),1),ISNUMBER('Sites'!O7)),'Sites'!O7*'Assumptions'!$B$44,0))*'Responsibilities'!$F$7+(IF(AND('Production schedule'!E411=1,10=MAX(('Sites'!F8+'Cases'!G9),1),ISNUMBER('Sites'!O8)),'Sites'!O8*'Assumptions'!$B$44,0))*'Responsibilities'!$F$8</f>
        <v/>
      </c>
      <c r="L123" s="137">
        <f>SUM('Costs'!E36)*'Costs'!F36/12*'Responsibilities'!$C$12+SUM('Costs'!E37)*'Costs'!F37/12*'Responsibilities'!$C$13+SUM('Costs'!E38)*'Costs'!F38/12*'Responsibilities'!$C$14+SUM('Costs'!E39)*'Costs'!F39/12*'Responsibilities'!$C$15+SUM('Costs'!E40)*'Costs'!F40/12*'Responsibilities'!$C$16+BZ123</f>
        <v/>
      </c>
      <c r="M123" s="137">
        <f>('Sites'!E6*'Capital'!E6*(IF(10='Capital'!G6,'Capital'!F6,0)+IF(10='Capital'!H6,1-'Capital'!F6,0)))*'Responsibilities'!$G$6+('Sites'!E7*'Capital'!E7*(IF(10='Capital'!G7+'Cases'!G9,'Capital'!F7,0)+IF(10='Capital'!H7+'Cases'!G9,1-'Capital'!F7,0)))*'Responsibilities'!$G$7+('Sites'!E8*'Cases'!F9*'Capital'!E8*(IF(10='Capital'!G8+'Cases'!G9,'Capital'!F8,0)+IF(10='Capital'!H8+'Cases'!G9,1-'Capital'!F8,0)))*'Responsibilities'!$G$8</f>
        <v/>
      </c>
      <c r="N123" s="137">
        <f>SUM(G123:M123)</f>
        <v/>
      </c>
      <c r="O123" s="137">
        <f>SUMIFS(FundingTranches[Secured amount],FundingTranches[Instrument],"Grant",FundingTranches[Secured month],10)</f>
        <v/>
      </c>
      <c r="P123" s="137">
        <f>SUMIFS(FundingTranches[Delayed receipts possible],FundingTranches[Instrument],"Grant",FundingTranches[Scenario month],10-'Cases'!$D$9)</f>
        <v/>
      </c>
      <c r="Q123" s="137">
        <f>SUMIFS(FundingTranches[Secured amount],FundingTranches[Instrument],"Loan",FundingTranches[Secured month],10)</f>
        <v/>
      </c>
      <c r="R123" s="137">
        <f>SUMIFS(FundingTranches[Delayed receipts possible],FundingTranches[Instrument],"Loan",FundingTranches[Scenario month],10-'Cases'!$D$9)</f>
        <v/>
      </c>
      <c r="S123" s="137">
        <f>IF(10&lt;='Assumptions'!$B$34,0,SUMIFS('Production schedule'!$AL$330:$AL$437,'Production schedule'!$C$330:$C$437,10-'Assumptions'!$B$34))</f>
        <v/>
      </c>
      <c r="T123" s="137">
        <f>'Assumptions'!M70</f>
        <v/>
      </c>
      <c r="U123" s="137">
        <f>'Assumptions'!M78</f>
        <v/>
      </c>
      <c r="V123" s="137">
        <f>SUM(O123:U123)</f>
        <v/>
      </c>
      <c r="W123" s="137">
        <f>AA122</f>
        <v/>
      </c>
      <c r="X123" s="137">
        <f>SUM(Q123:R123)</f>
        <v/>
      </c>
      <c r="Y123" s="137">
        <f>SUM(W123,X123)*'Assumptions'!$B$39/12</f>
        <v/>
      </c>
      <c r="Z123" s="137">
        <f>IF(SUM(W123,X123)&gt;0,MIN(SUM(W123,X123),MAX(0,BP123-Y123)),0)</f>
        <v/>
      </c>
      <c r="AA123" s="137">
        <f>SUM(W123,X123)-Z123</f>
        <v/>
      </c>
      <c r="AB123" s="137">
        <f>SUM(Y123:Z123)</f>
        <v/>
      </c>
      <c r="AC123" s="137">
        <f>'Assumptions'!M72</f>
        <v/>
      </c>
      <c r="AD123" s="137">
        <f>'Assumptions'!M73</f>
        <v/>
      </c>
      <c r="AE123" s="137">
        <f>IF(X123&gt;0,SUM('Assumptions'!$B$42),0)</f>
        <v/>
      </c>
      <c r="AF123" s="137">
        <f>'Assumptions'!M71</f>
        <v/>
      </c>
      <c r="AG123" s="137">
        <f>'Assumptions'!M74</f>
        <v/>
      </c>
      <c r="AH123" s="137">
        <f>'Assumptions'!M75</f>
        <v/>
      </c>
      <c r="AI123" s="137">
        <f>'Assumptions'!M77</f>
        <v/>
      </c>
      <c r="AJ123" s="137">
        <f>V123-N123-SUM(AB123:AI123)</f>
        <v/>
      </c>
      <c r="AK123" s="137">
        <f>SUM(AJ114:AJ123)</f>
        <v/>
      </c>
      <c r="AL123" s="137">
        <f>IF(ISNUMBER('Assumptions'!$B$10),'Assumptions'!$B$10+AK123,"")</f>
        <v/>
      </c>
      <c r="AM123" s="137">
        <f>SUM(O123,Q123,T123)-N123-SUM(AC123:AI123)+IF('Funding'!$N$11=0,AE123,0)-IF('Funding'!$N$11&gt;0,AB123,0)</f>
        <v/>
      </c>
      <c r="AN123" s="137">
        <f>SUM(AM114:AM123)</f>
        <v/>
      </c>
      <c r="AO123" s="137">
        <f>IF(ISNUMBER('Assumptions'!$B$10),'Assumptions'!$B$10+AN123,"")</f>
        <v/>
      </c>
      <c r="AP123" s="137">
        <f>('Production schedule'!AK339)*'Responsibilities'!$C$6+('Production schedule'!AK375)*'Responsibilities'!$C$7+('Production schedule'!AK411)*'Responsibilities'!$C$8</f>
        <v/>
      </c>
      <c r="AQ123" s="137">
        <f>SUMIFS('Production schedule'!$AL$330:$AL$437,'Production schedule'!$C$330:$C$437,10)</f>
        <v/>
      </c>
      <c r="AR123" s="137">
        <f>IF(ISNUMBER('Assumptions'!M76),'Assumptions'!M76,SUM(O123:P123))</f>
        <v/>
      </c>
      <c r="AS123" s="137">
        <f>IF(ISNUMBER('Assumptions'!$B$13),MIN('Assumptions'!$B$13/'Assumptions'!$B$18/12,MAX(0,'Assumptions'!$B$13-(10-1)*'Assumptions'!$B$13/'Assumptions'!$B$18/12)),0)+IF(AND('Sites'!E6=1,10&gt;=('Sites'!F6),10&lt;('Sites'!F6)+'Assumptions'!$B$18*12),'Capital'!E6/'Assumptions'!$B$18/12,0)+IF(AND('Sites'!E7=1,10&gt;=('Sites'!F7+'Cases'!G9),10&lt;('Sites'!F7+'Cases'!G9)+'Assumptions'!$B$18*12),'Capital'!E7/'Assumptions'!$B$18/12,0)+IF(AND('Sites'!E8*'Cases'!F9=1,10&gt;=('Sites'!F8+'Cases'!G9),10&lt;('Sites'!F8+'Cases'!G9)+'Assumptions'!$B$18*12),'Capital'!E8/'Assumptions'!$B$18/12,0)</f>
        <v/>
      </c>
      <c r="AT123" s="137">
        <f>SUM(AQ123,AR123,U123)-AP123-SUM(H123:L123)-AS123-SUM(Y123,AD123,AE123,AH123)</f>
        <v/>
      </c>
      <c r="AU123" s="137">
        <f>IF(ISNUMBER('Assumptions'!$B$19),MAX(0,SUM(AT114:AT123))*'Assumptions'!$B$19-SUM(AU114:AU122),"")</f>
        <v/>
      </c>
      <c r="AV123" s="137">
        <f>IF(ISNUMBER(AU123),AT123-AU123,"")</f>
        <v/>
      </c>
      <c r="AW123" s="137">
        <f>IF(ISNUMBER('Assumptions'!$B$11),'Assumptions'!$B$11+SUM(AQ114:AQ123)-SUM(S114:S123)-SUM(T114:T123),"")</f>
        <v/>
      </c>
      <c r="AX123" s="137">
        <f>IF(ISNUMBER('Assumptions'!$B$12),'Assumptions'!$B$12+SUM(G114:G123)-SUM(AP114:AP123),"")</f>
        <v/>
      </c>
      <c r="AY123" s="137">
        <f>IF(ISNUMBER('Assumptions'!$B$13),'Assumptions'!$B$13+SUM(M114:M123)-SUM(AS114:AS123),"")</f>
        <v/>
      </c>
      <c r="AZ123" s="137">
        <f>IF(ISNUMBER('Assumptions'!$B$14),'Assumptions'!$B$14+-SUM(AF114:AF123),"")</f>
        <v/>
      </c>
      <c r="BA123" s="137">
        <f>IF(ISNUMBER('Assumptions'!$B$15),'Assumptions'!$B$15+SUM(O114:O123)+SUM(P114:P123)-SUM(AR114:AR123),"")</f>
        <v/>
      </c>
      <c r="BB123" s="137">
        <f>IF(ISNUMBER('Assumptions'!$B$16),'Assumptions'!$B$16+-SUM(AC114:AC123),"")</f>
        <v/>
      </c>
      <c r="BC123" s="137">
        <f>IF(AND(ISNUMBER('Assumptions'!$B$21),ISNUMBER('Assumptions'!$B$19)),'Assumptions'!$B$21+SUM(AU114:AU123)-SUM(AG114:AG123),"")</f>
        <v/>
      </c>
      <c r="BD123" s="137">
        <f>IF(ISNUMBER('Assumptions'!$B$20),'Assumptions'!$B$20+-SUM(AI114:AI123),"")</f>
        <v/>
      </c>
      <c r="BE123" s="137">
        <f>IF(AND(ISNUMBER('Assumptions'!$B$17),COUNT(AV114:AV123)=10),'Assumptions'!$B$17+SUM(AV114:AV123),"")</f>
        <v/>
      </c>
      <c r="BF123" s="137">
        <f>IF(COUNT(AL123,AW123:AY123)=4,SUM(AL123,AW123:AY123),"")</f>
        <v/>
      </c>
      <c r="BG123" s="137">
        <f>IF(COUNT(AZ123:BD123)=5,SUM(AZ123:BD123,AA123),"")</f>
        <v/>
      </c>
      <c r="BH123" s="137">
        <f>IF(COUNT(BF123,BG123,BE123)=3,BF123-BG123-BE123,"")</f>
        <v/>
      </c>
      <c r="BI123" s="137">
        <f>SUM(W123,X123)-Z123-AA123</f>
        <v/>
      </c>
      <c r="BJ123" s="137">
        <f>8-COUNT('Assumptions'!M58:M65)+COUNTBLANK('NM Play'!B33:B34)+'Costs'!E44+IF(AND('Sites'!E6=1,('Sites'!F6)&lt;=12,'Sites'!G6&gt;=1),IF(ISNUMBER('Sites'!O6),0,1)+'Capital'!I6+COUNTBLANK('Sites'!R6)+IF('Sites'!D6="NM crew",COUNTBLANK('NM Play'!B25)+1,5-COUNT('Assumptions'!M112:M116)),0)+IF(AND('Sites'!E7=1,('Sites'!F7+'Cases'!G9)&lt;=12,'Sites'!G7&gt;=1),IF(ISNUMBER('Sites'!O7),0,1)+'Capital'!I7+COUNTBLANK('Sites'!R7)+IF('Sites'!D7="NM crew",COUNTBLANK('NM Play'!B25)+1,5-COUNT('Assumptions'!M117:M121)),0)+IF(AND('Sites'!E8*'Cases'!F9=1,('Sites'!F8+'Cases'!G9)&lt;=12,'Sites'!G8&gt;=1),IF(ISNUMBER('Sites'!O8),0,1)+'Capital'!I8+COUNTBLANK('Sites'!R8)+IF('Sites'!D8="NM crew",COUNTBLANK('NM Play'!B25)+1,5-COUNT('Assumptions'!M122:M126)),0)+IF(AND('Cases'!C9&gt;0,NOT(ISNUMBER('Assumptions'!B42))),1,0)+'Responsibilities'!$B$39</f>
        <v/>
      </c>
      <c r="BK123" s="137">
        <f>'Assumptions'!$B$50+'NM Play'!$B$83+'Funding'!$F$20+SUMIFS('Production schedule'!$AN$330:$AN$437,'Production schedule'!$C$330:$C$437,10)+IF(OR('Cases'!E9&lt;0,'Cases'!E9&gt;1,'Cases'!C9&lt;0,'Cases'!D9&lt;0,ABS(SUM('Sites'!S6:S8)-1)&gt;0.0001,MIN('Capital'!F6:F8)&lt;0,MAX('Capital'!F6:F8)&gt;1,MIN(AX123,AZ123,BB123,BA123)&lt;-0.01),1,0)+'Responsibilities'!$B$40</f>
        <v/>
      </c>
      <c r="BL123" s="137">
        <f>SUMIFS('Production schedule'!$T$330:$T$437,'Production schedule'!$C$330:$C$437,10)</f>
        <v/>
      </c>
      <c r="BM123" s="137">
        <f>D123*'NM Play'!$B$38</f>
        <v/>
      </c>
      <c r="BN123" s="137">
        <f>SUMIFS('Production schedule'!$AM$330:$AM$437,'Production schedule'!$C$330:$C$437,10)</f>
        <v/>
      </c>
      <c r="BO123" s="137">
        <f>AK123-AK122-AJ123</f>
        <v/>
      </c>
      <c r="BP123" s="137">
        <f>IF(AND('Assumptions'!$B$39&gt;=0,'Assumptions'!$B$40&gt;0),-PMT('Assumptions'!$B$39/12,'Assumptions'!$B$40*12,IF('Funding'!$N$11&gt;0,'Funding'!$N$11,'Funding'!$U$11)),"")</f>
        <v/>
      </c>
      <c r="BQ123">
        <f>('Production schedule'!AJ339)*(1-'Responsibilities'!$C$6)+('Production schedule'!AJ375)*(1-'Responsibilities'!$C$7)+('Production schedule'!AJ411)*(1-'Responsibilities'!$C$8)</f>
        <v/>
      </c>
      <c r="BR123">
        <f>('Production schedule'!AI339)*(1-'Responsibilities'!$D$6)+('Production schedule'!AI375)*(1-'Responsibilities'!$D$7)+('Production schedule'!AI411)*(1-'Responsibilities'!$D$8)</f>
        <v/>
      </c>
      <c r="BS123">
        <f>('Production schedule'!E339*(IF('Sites'!D6="Annual staff",SUM('Assumptions'!M112,'Assumptions'!M114),0)+SUM('Assumptions'!M113,'Assumptions'!M115:M116)))*(1-'Responsibilities'!$E$6)+('Production schedule'!E375*(IF('Sites'!D7="Annual staff",SUM('Assumptions'!M117,'Assumptions'!M119),0)+SUM('Assumptions'!M118,'Assumptions'!M120:M121)))*(1-'Responsibilities'!$E$7)+('Production schedule'!E411*(IF('Sites'!D8="Annual staff",SUM('Assumptions'!M122,'Assumptions'!M124),0)+SUM('Assumptions'!M123,'Assumptions'!M125:M126)))*(1-'Responsibilities'!$E$8)</f>
        <v/>
      </c>
      <c r="BT123">
        <f>(IF(AND('Production schedule'!E339=1,10=MAX(('Sites'!F6),1),ISNUMBER('Sites'!O6)),'Sites'!O6*'Assumptions'!$B$44,0))*(1-'Responsibilities'!$F$6)+(IF(AND('Production schedule'!E375=1,10=MAX(('Sites'!F7+'Cases'!G9),1),ISNUMBER('Sites'!O7)),'Sites'!O7*'Assumptions'!$B$44,0))*(1-'Responsibilities'!$F$7)+(IF(AND('Production schedule'!E411=1,10=MAX(('Sites'!F8+'Cases'!G9),1),ISNUMBER('Sites'!O8)),'Sites'!O8*'Assumptions'!$B$44,0))*(1-'Responsibilities'!$F$8)</f>
        <v/>
      </c>
      <c r="BU123">
        <f>SUM('Costs'!E36)*'Costs'!F36/12*(1-'Responsibilities'!$C$12)+SUM('Costs'!E37)*'Costs'!F37/12*(1-'Responsibilities'!$C$13)+SUM('Costs'!E38)*'Costs'!F38/12*(1-'Responsibilities'!$C$14)+SUM('Costs'!E39)*'Costs'!F39/12*(1-'Responsibilities'!$C$15)+SUM('Costs'!E40)*'Costs'!F40/12*(1-'Responsibilities'!$C$16)</f>
        <v/>
      </c>
      <c r="BV123">
        <f>('Sites'!E6*'Capital'!E6*(IF(10='Capital'!G6,'Capital'!F6,0)+IF(10='Capital'!H6,1-'Capital'!F6,0)))*(1-'Responsibilities'!$G$6)+('Sites'!E7*'Capital'!E7*(IF(10='Capital'!G7+'Cases'!G9,'Capital'!F7,0)+IF(10='Capital'!H7+'Cases'!G9,1-'Capital'!F7,0)))*(1-'Responsibilities'!$G$7)+('Sites'!E8*'Cases'!F9*'Capital'!E8*(IF(10='Capital'!G8+'Cases'!G9,'Capital'!F8,0)+IF(10='Capital'!H8+'Cases'!G9,1-'Capital'!F8,0)))*(1-'Responsibilities'!$G$8)</f>
        <v/>
      </c>
      <c r="BW123">
        <f>SUM(BQ123:BV123)</f>
        <v/>
      </c>
      <c r="BX123">
        <f>N123+BW123</f>
        <v/>
      </c>
      <c r="BY123">
        <f>BX123-(('Production schedule'!AJ339)*'Responsibilities'!$C$6+('Production schedule'!AJ375)*'Responsibilities'!$C$7+('Production schedule'!AJ411)*'Responsibilities'!$C$8+('Production schedule'!AJ339)*(1-'Responsibilities'!$C$6)+('Production schedule'!AJ375)*(1-'Responsibilities'!$C$7)+('Production schedule'!AJ411)*(1-'Responsibilities'!$C$8)+('Production schedule'!AI339)*'Responsibilities'!$D$6+('Production schedule'!AI375)*'Responsibilities'!$D$7+('Production schedule'!AI411)*'Responsibilities'!$D$8+('Production schedule'!AI339)*(1-'Responsibilities'!$D$6)+('Production schedule'!AI375)*(1-'Responsibilities'!$D$7)+('Production schedule'!AI411)*(1-'Responsibilities'!$D$8)+('Production schedule'!E339*(IF('Sites'!D6="Annual staff",SUM('Assumptions'!M112,'Assumptions'!M114),0)+SUM('Assumptions'!M113,'Assumptions'!M115:M116)))*'Responsibilities'!$E$6+('Production schedule'!E375*(IF('Sites'!D7="Annual staff",SUM('Assumptions'!M117,'Assumptions'!M119),0)+SUM('Assumptions'!M118,'Assumptions'!M120:M121)))*'Responsibilities'!$E$7+('Production schedule'!E411*(IF('Sites'!D8="Annual staff",SUM('Assumptions'!M122,'Assumptions'!M124),0)+SUM('Assumptions'!M123,'Assumptions'!M125:M126)))*'Responsibilities'!$E$8+('Production schedule'!E339*(IF('Sites'!D6="Annual staff",SUM('Assumptions'!M112,'Assumptions'!M114),0)+SUM('Assumptions'!M113,'Assumptions'!M115:M116)))*(1-'Responsibilities'!$E$6)+('Production schedule'!E375*(IF('Sites'!D7="Annual staff",SUM('Assumptions'!M117,'Assumptions'!M119),0)+SUM('Assumptions'!M118,'Assumptions'!M120:M121)))*(1-'Responsibilities'!$E$7)+('Production schedule'!E411*(IF('Sites'!D8="Annual staff",SUM('Assumptions'!M122,'Assumptions'!M124),0)+SUM('Assumptions'!M123,'Assumptions'!M125:M126)))*(1-'Responsibilities'!$E$8)+(IF(AND('Production schedule'!E339=1,10=MAX(('Sites'!F6),1),ISNUMBER('Sites'!O6)),'Sites'!O6*'Assumptions'!$B$44,0))*'Responsibilities'!$F$6+(IF(AND('Production schedule'!E375=1,10=MAX(('Sites'!F7+'Cases'!G9),1),ISNUMBER('Sites'!O7)),'Sites'!O7*'Assumptions'!$B$44,0))*'Responsibilities'!$F$7+(IF(AND('Production schedule'!E411=1,10=MAX(('Sites'!F8+'Cases'!G9),1),ISNUMBER('Sites'!O8)),'Sites'!O8*'Assumptions'!$B$44,0))*'Responsibilities'!$F$8+(IF(AND('Production schedule'!E339=1,10=MAX(('Sites'!F6),1),ISNUMBER('Sites'!O6)),'Sites'!O6*'Assumptions'!$B$44,0))*(1-'Responsibilities'!$F$6)+(IF(AND('Production schedule'!E375=1,10=MAX(('Sites'!F7+'Cases'!G9),1),ISNUMBER('Sites'!O7)),'Sites'!O7*'Assumptions'!$B$44,0))*(1-'Responsibilities'!$F$7)+(IF(AND('Production schedule'!E411=1,10=MAX(('Sites'!F8+'Cases'!G9),1),ISNUMBER('Sites'!O8)),'Sites'!O8*'Assumptions'!$B$44,0))*(1-'Responsibilities'!$F$8)+('Sites'!E6*'Capital'!E6*(IF(10='Capital'!G6,'Capital'!F6,0)+IF(10='Capital'!H6,1-'Capital'!F6,0)))*'Responsibilities'!$G$6+('Sites'!E7*'Capital'!E7*(IF(10='Capital'!G7+'Cases'!G9,'Capital'!F7,0)+IF(10='Capital'!H7+'Cases'!G9,1-'Capital'!F7,0)))*'Responsibilities'!$G$7+('Sites'!E8*'Cases'!F9*'Capital'!E8*(IF(10='Capital'!G8+'Cases'!G9,'Capital'!F8,0)+IF(10='Capital'!H8+'Cases'!G9,1-'Capital'!F8,0)))*'Responsibilities'!$G$8+('Sites'!E6*'Capital'!E6*(IF(10='Capital'!G6,'Capital'!F6,0)+IF(10='Capital'!H6,1-'Capital'!F6,0)))*(1-'Responsibilities'!$G$6)+('Sites'!E7*'Capital'!E7*(IF(10='Capital'!G7+'Cases'!G9,'Capital'!F7,0)+IF(10='Capital'!H7+'Cases'!G9,1-'Capital'!F7,0)))*(1-'Responsibilities'!$G$7)+('Sites'!E8*'Cases'!F9*'Capital'!E8*(IF(10='Capital'!G8+'Cases'!G9,'Capital'!F8,0)+IF(10='Capital'!H8+'Cases'!G9,1-'Capital'!F8,0)))*(1-'Responsibilities'!$G$8)+I123+SUMPRODUCT('Costs'!$E$36:$E$40,'Costs'!$F$36:$F$40)/12+BZ123)</f>
        <v/>
      </c>
      <c r="BZ123">
        <f>SUMIFS('Responsibilities'!$B$31:$B$35,'Responsibilities'!$C$31:$C$35,10,'Responsibilities'!$D$31:$D$35,"Yes")</f>
        <v/>
      </c>
    </row>
    <row r="124" ht="28" customHeight="1">
      <c r="A124" s="4" t="inlineStr">
        <is>
          <t>Delayed receipts</t>
        </is>
      </c>
      <c r="B124" s="4" t="n">
        <v>11</v>
      </c>
      <c r="C124" s="4">
        <f>ROUNDUP(B124/12,0)</f>
        <v/>
      </c>
      <c r="D124" s="137">
        <f>SUMIFS('Production schedule'!$N$330:$N$437,'Production schedule'!$C$330:$C$437,11)</f>
        <v/>
      </c>
      <c r="E124" s="137">
        <f>SUMIFS('Production schedule'!$Y$330:$Y$437,'Production schedule'!$C$330:$C$437,11)</f>
        <v/>
      </c>
      <c r="F124" s="137">
        <f>SUMIFS('Production schedule'!$Z$330:$Z$437,'Production schedule'!$C$330:$C$437,11)</f>
        <v/>
      </c>
      <c r="G124" s="137">
        <f>('Production schedule'!AJ340)*'Responsibilities'!$C$6+('Production schedule'!AJ376)*'Responsibilities'!$C$7+('Production schedule'!AJ412)*'Responsibilities'!$C$8</f>
        <v/>
      </c>
      <c r="H124" s="137">
        <f>('Production schedule'!AI340)*'Responsibilities'!$D$6+('Production schedule'!AI376)*'Responsibilities'!$D$7+('Production schedule'!AI412)*'Responsibilities'!$D$8</f>
        <v/>
      </c>
      <c r="I124" s="137">
        <f>SUM('Assumptions'!N58:N65)</f>
        <v/>
      </c>
      <c r="J124" s="137">
        <f>('Production schedule'!E340*(IF('Sites'!D6="Annual staff",SUM('Assumptions'!N112,'Assumptions'!N114),0)+SUM('Assumptions'!N113,'Assumptions'!N115:N116)))*'Responsibilities'!$E$6+('Production schedule'!E376*(IF('Sites'!D7="Annual staff",SUM('Assumptions'!N117,'Assumptions'!N119),0)+SUM('Assumptions'!N118,'Assumptions'!N120:N121)))*'Responsibilities'!$E$7+('Production schedule'!E412*(IF('Sites'!D8="Annual staff",SUM('Assumptions'!N122,'Assumptions'!N124),0)+SUM('Assumptions'!N123,'Assumptions'!N125:N126)))*'Responsibilities'!$E$8</f>
        <v/>
      </c>
      <c r="K124" s="137">
        <f>(IF(AND('Production schedule'!E340=1,11=MAX(('Sites'!F6),1),ISNUMBER('Sites'!O6)),'Sites'!O6*'Assumptions'!$B$44,0))*'Responsibilities'!$F$6+(IF(AND('Production schedule'!E376=1,11=MAX(('Sites'!F7+'Cases'!G9),1),ISNUMBER('Sites'!O7)),'Sites'!O7*'Assumptions'!$B$44,0))*'Responsibilities'!$F$7+(IF(AND('Production schedule'!E412=1,11=MAX(('Sites'!F8+'Cases'!G9),1),ISNUMBER('Sites'!O8)),'Sites'!O8*'Assumptions'!$B$44,0))*'Responsibilities'!$F$8</f>
        <v/>
      </c>
      <c r="L124" s="137">
        <f>SUM('Costs'!E36)*'Costs'!F36/12*'Responsibilities'!$C$12+SUM('Costs'!E37)*'Costs'!F37/12*'Responsibilities'!$C$13+SUM('Costs'!E38)*'Costs'!F38/12*'Responsibilities'!$C$14+SUM('Costs'!E39)*'Costs'!F39/12*'Responsibilities'!$C$15+SUM('Costs'!E40)*'Costs'!F40/12*'Responsibilities'!$C$16+BZ124</f>
        <v/>
      </c>
      <c r="M124" s="137">
        <f>('Sites'!E6*'Capital'!E6*(IF(11='Capital'!G6,'Capital'!F6,0)+IF(11='Capital'!H6,1-'Capital'!F6,0)))*'Responsibilities'!$G$6+('Sites'!E7*'Capital'!E7*(IF(11='Capital'!G7+'Cases'!G9,'Capital'!F7,0)+IF(11='Capital'!H7+'Cases'!G9,1-'Capital'!F7,0)))*'Responsibilities'!$G$7+('Sites'!E8*'Cases'!F9*'Capital'!E8*(IF(11='Capital'!G8+'Cases'!G9,'Capital'!F8,0)+IF(11='Capital'!H8+'Cases'!G9,1-'Capital'!F8,0)))*'Responsibilities'!$G$8</f>
        <v/>
      </c>
      <c r="N124" s="137">
        <f>SUM(G124:M124)</f>
        <v/>
      </c>
      <c r="O124" s="137">
        <f>SUMIFS(FundingTranches[Secured amount],FundingTranches[Instrument],"Grant",FundingTranches[Secured month],11)</f>
        <v/>
      </c>
      <c r="P124" s="137">
        <f>SUMIFS(FundingTranches[Delayed receipts possible],FundingTranches[Instrument],"Grant",FundingTranches[Scenario month],11-'Cases'!$D$9)</f>
        <v/>
      </c>
      <c r="Q124" s="137">
        <f>SUMIFS(FundingTranches[Secured amount],FundingTranches[Instrument],"Loan",FundingTranches[Secured month],11)</f>
        <v/>
      </c>
      <c r="R124" s="137">
        <f>SUMIFS(FundingTranches[Delayed receipts possible],FundingTranches[Instrument],"Loan",FundingTranches[Scenario month],11-'Cases'!$D$9)</f>
        <v/>
      </c>
      <c r="S124" s="137">
        <f>IF(11&lt;='Assumptions'!$B$34,0,SUMIFS('Production schedule'!$AL$330:$AL$437,'Production schedule'!$C$330:$C$437,11-'Assumptions'!$B$34))</f>
        <v/>
      </c>
      <c r="T124" s="137">
        <f>'Assumptions'!N70</f>
        <v/>
      </c>
      <c r="U124" s="137">
        <f>'Assumptions'!N78</f>
        <v/>
      </c>
      <c r="V124" s="137">
        <f>SUM(O124:U124)</f>
        <v/>
      </c>
      <c r="W124" s="137">
        <f>AA123</f>
        <v/>
      </c>
      <c r="X124" s="137">
        <f>SUM(Q124:R124)</f>
        <v/>
      </c>
      <c r="Y124" s="137">
        <f>SUM(W124,X124)*'Assumptions'!$B$39/12</f>
        <v/>
      </c>
      <c r="Z124" s="137">
        <f>IF(SUM(W124,X124)&gt;0,MIN(SUM(W124,X124),MAX(0,BP124-Y124)),0)</f>
        <v/>
      </c>
      <c r="AA124" s="137">
        <f>SUM(W124,X124)-Z124</f>
        <v/>
      </c>
      <c r="AB124" s="137">
        <f>SUM(Y124:Z124)</f>
        <v/>
      </c>
      <c r="AC124" s="137">
        <f>'Assumptions'!N72</f>
        <v/>
      </c>
      <c r="AD124" s="137">
        <f>'Assumptions'!N73</f>
        <v/>
      </c>
      <c r="AE124" s="137">
        <f>IF(X124&gt;0,SUM('Assumptions'!$B$42),0)</f>
        <v/>
      </c>
      <c r="AF124" s="137">
        <f>'Assumptions'!N71</f>
        <v/>
      </c>
      <c r="AG124" s="137">
        <f>'Assumptions'!N74</f>
        <v/>
      </c>
      <c r="AH124" s="137">
        <f>'Assumptions'!N75</f>
        <v/>
      </c>
      <c r="AI124" s="137">
        <f>'Assumptions'!N77</f>
        <v/>
      </c>
      <c r="AJ124" s="137">
        <f>V124-N124-SUM(AB124:AI124)</f>
        <v/>
      </c>
      <c r="AK124" s="137">
        <f>SUM(AJ114:AJ124)</f>
        <v/>
      </c>
      <c r="AL124" s="137">
        <f>IF(ISNUMBER('Assumptions'!$B$10),'Assumptions'!$B$10+AK124,"")</f>
        <v/>
      </c>
      <c r="AM124" s="137">
        <f>SUM(O124,Q124,T124)-N124-SUM(AC124:AI124)+IF('Funding'!$N$11=0,AE124,0)-IF('Funding'!$N$11&gt;0,AB124,0)</f>
        <v/>
      </c>
      <c r="AN124" s="137">
        <f>SUM(AM114:AM124)</f>
        <v/>
      </c>
      <c r="AO124" s="137">
        <f>IF(ISNUMBER('Assumptions'!$B$10),'Assumptions'!$B$10+AN124,"")</f>
        <v/>
      </c>
      <c r="AP124" s="137">
        <f>('Production schedule'!AK340)*'Responsibilities'!$C$6+('Production schedule'!AK376)*'Responsibilities'!$C$7+('Production schedule'!AK412)*'Responsibilities'!$C$8</f>
        <v/>
      </c>
      <c r="AQ124" s="137">
        <f>SUMIFS('Production schedule'!$AL$330:$AL$437,'Production schedule'!$C$330:$C$437,11)</f>
        <v/>
      </c>
      <c r="AR124" s="137">
        <f>IF(ISNUMBER('Assumptions'!N76),'Assumptions'!N76,SUM(O124:P124))</f>
        <v/>
      </c>
      <c r="AS124" s="137">
        <f>IF(ISNUMBER('Assumptions'!$B$13),MIN('Assumptions'!$B$13/'Assumptions'!$B$18/12,MAX(0,'Assumptions'!$B$13-(11-1)*'Assumptions'!$B$13/'Assumptions'!$B$18/12)),0)+IF(AND('Sites'!E6=1,11&gt;=('Sites'!F6),11&lt;('Sites'!F6)+'Assumptions'!$B$18*12),'Capital'!E6/'Assumptions'!$B$18/12,0)+IF(AND('Sites'!E7=1,11&gt;=('Sites'!F7+'Cases'!G9),11&lt;('Sites'!F7+'Cases'!G9)+'Assumptions'!$B$18*12),'Capital'!E7/'Assumptions'!$B$18/12,0)+IF(AND('Sites'!E8*'Cases'!F9=1,11&gt;=('Sites'!F8+'Cases'!G9),11&lt;('Sites'!F8+'Cases'!G9)+'Assumptions'!$B$18*12),'Capital'!E8/'Assumptions'!$B$18/12,0)</f>
        <v/>
      </c>
      <c r="AT124" s="137">
        <f>SUM(AQ124,AR124,U124)-AP124-SUM(H124:L124)-AS124-SUM(Y124,AD124,AE124,AH124)</f>
        <v/>
      </c>
      <c r="AU124" s="137">
        <f>IF(ISNUMBER('Assumptions'!$B$19),MAX(0,SUM(AT114:AT124))*'Assumptions'!$B$19-SUM(AU114:AU123),"")</f>
        <v/>
      </c>
      <c r="AV124" s="137">
        <f>IF(ISNUMBER(AU124),AT124-AU124,"")</f>
        <v/>
      </c>
      <c r="AW124" s="137">
        <f>IF(ISNUMBER('Assumptions'!$B$11),'Assumptions'!$B$11+SUM(AQ114:AQ124)-SUM(S114:S124)-SUM(T114:T124),"")</f>
        <v/>
      </c>
      <c r="AX124" s="137">
        <f>IF(ISNUMBER('Assumptions'!$B$12),'Assumptions'!$B$12+SUM(G114:G124)-SUM(AP114:AP124),"")</f>
        <v/>
      </c>
      <c r="AY124" s="137">
        <f>IF(ISNUMBER('Assumptions'!$B$13),'Assumptions'!$B$13+SUM(M114:M124)-SUM(AS114:AS124),"")</f>
        <v/>
      </c>
      <c r="AZ124" s="137">
        <f>IF(ISNUMBER('Assumptions'!$B$14),'Assumptions'!$B$14+-SUM(AF114:AF124),"")</f>
        <v/>
      </c>
      <c r="BA124" s="137">
        <f>IF(ISNUMBER('Assumptions'!$B$15),'Assumptions'!$B$15+SUM(O114:O124)+SUM(P114:P124)-SUM(AR114:AR124),"")</f>
        <v/>
      </c>
      <c r="BB124" s="137">
        <f>IF(ISNUMBER('Assumptions'!$B$16),'Assumptions'!$B$16+-SUM(AC114:AC124),"")</f>
        <v/>
      </c>
      <c r="BC124" s="137">
        <f>IF(AND(ISNUMBER('Assumptions'!$B$21),ISNUMBER('Assumptions'!$B$19)),'Assumptions'!$B$21+SUM(AU114:AU124)-SUM(AG114:AG124),"")</f>
        <v/>
      </c>
      <c r="BD124" s="137">
        <f>IF(ISNUMBER('Assumptions'!$B$20),'Assumptions'!$B$20+-SUM(AI114:AI124),"")</f>
        <v/>
      </c>
      <c r="BE124" s="137">
        <f>IF(AND(ISNUMBER('Assumptions'!$B$17),COUNT(AV114:AV124)=11),'Assumptions'!$B$17+SUM(AV114:AV124),"")</f>
        <v/>
      </c>
      <c r="BF124" s="137">
        <f>IF(COUNT(AL124,AW124:AY124)=4,SUM(AL124,AW124:AY124),"")</f>
        <v/>
      </c>
      <c r="BG124" s="137">
        <f>IF(COUNT(AZ124:BD124)=5,SUM(AZ124:BD124,AA124),"")</f>
        <v/>
      </c>
      <c r="BH124" s="137">
        <f>IF(COUNT(BF124,BG124,BE124)=3,BF124-BG124-BE124,"")</f>
        <v/>
      </c>
      <c r="BI124" s="137">
        <f>SUM(W124,X124)-Z124-AA124</f>
        <v/>
      </c>
      <c r="BJ124" s="137">
        <f>8-COUNT('Assumptions'!N58:N65)+COUNTBLANK('NM Play'!B33:B34)+'Costs'!E44+IF(AND('Sites'!E6=1,('Sites'!F6)&lt;=12,'Sites'!G6&gt;=1),IF(ISNUMBER('Sites'!O6),0,1)+'Capital'!I6+COUNTBLANK('Sites'!R6)+IF('Sites'!D6="NM crew",COUNTBLANK('NM Play'!B25)+1,5-COUNT('Assumptions'!N112:N116)),0)+IF(AND('Sites'!E7=1,('Sites'!F7+'Cases'!G9)&lt;=12,'Sites'!G7&gt;=1),IF(ISNUMBER('Sites'!O7),0,1)+'Capital'!I7+COUNTBLANK('Sites'!R7)+IF('Sites'!D7="NM crew",COUNTBLANK('NM Play'!B25)+1,5-COUNT('Assumptions'!N117:N121)),0)+IF(AND('Sites'!E8*'Cases'!F9=1,('Sites'!F8+'Cases'!G9)&lt;=12,'Sites'!G8&gt;=1),IF(ISNUMBER('Sites'!O8),0,1)+'Capital'!I8+COUNTBLANK('Sites'!R8)+IF('Sites'!D8="NM crew",COUNTBLANK('NM Play'!B25)+1,5-COUNT('Assumptions'!N122:N126)),0)+IF(AND('Cases'!C9&gt;0,NOT(ISNUMBER('Assumptions'!B42))),1,0)+'Responsibilities'!$B$39</f>
        <v/>
      </c>
      <c r="BK124" s="137">
        <f>'Assumptions'!$B$50+'NM Play'!$B$83+'Funding'!$F$20+SUMIFS('Production schedule'!$AN$330:$AN$437,'Production schedule'!$C$330:$C$437,11)+IF(OR('Cases'!E9&lt;0,'Cases'!E9&gt;1,'Cases'!C9&lt;0,'Cases'!D9&lt;0,ABS(SUM('Sites'!S6:S8)-1)&gt;0.0001,MIN('Capital'!F6:F8)&lt;0,MAX('Capital'!F6:F8)&gt;1,MIN(AX124,AZ124,BB124,BA124)&lt;-0.01),1,0)+'Responsibilities'!$B$40</f>
        <v/>
      </c>
      <c r="BL124" s="137">
        <f>SUMIFS('Production schedule'!$T$330:$T$437,'Production schedule'!$C$330:$C$437,11)</f>
        <v/>
      </c>
      <c r="BM124" s="137">
        <f>D124*'NM Play'!$B$38</f>
        <v/>
      </c>
      <c r="BN124" s="137">
        <f>SUMIFS('Production schedule'!$AM$330:$AM$437,'Production schedule'!$C$330:$C$437,11)</f>
        <v/>
      </c>
      <c r="BO124" s="137">
        <f>AK124-AK123-AJ124</f>
        <v/>
      </c>
      <c r="BP124" s="137">
        <f>IF(AND('Assumptions'!$B$39&gt;=0,'Assumptions'!$B$40&gt;0),-PMT('Assumptions'!$B$39/12,'Assumptions'!$B$40*12,IF('Funding'!$N$11&gt;0,'Funding'!$N$11,'Funding'!$U$11)),"")</f>
        <v/>
      </c>
      <c r="BQ124">
        <f>('Production schedule'!AJ340)*(1-'Responsibilities'!$C$6)+('Production schedule'!AJ376)*(1-'Responsibilities'!$C$7)+('Production schedule'!AJ412)*(1-'Responsibilities'!$C$8)</f>
        <v/>
      </c>
      <c r="BR124">
        <f>('Production schedule'!AI340)*(1-'Responsibilities'!$D$6)+('Production schedule'!AI376)*(1-'Responsibilities'!$D$7)+('Production schedule'!AI412)*(1-'Responsibilities'!$D$8)</f>
        <v/>
      </c>
      <c r="BS124">
        <f>('Production schedule'!E340*(IF('Sites'!D6="Annual staff",SUM('Assumptions'!N112,'Assumptions'!N114),0)+SUM('Assumptions'!N113,'Assumptions'!N115:N116)))*(1-'Responsibilities'!$E$6)+('Production schedule'!E376*(IF('Sites'!D7="Annual staff",SUM('Assumptions'!N117,'Assumptions'!N119),0)+SUM('Assumptions'!N118,'Assumptions'!N120:N121)))*(1-'Responsibilities'!$E$7)+('Production schedule'!E412*(IF('Sites'!D8="Annual staff",SUM('Assumptions'!N122,'Assumptions'!N124),0)+SUM('Assumptions'!N123,'Assumptions'!N125:N126)))*(1-'Responsibilities'!$E$8)</f>
        <v/>
      </c>
      <c r="BT124">
        <f>(IF(AND('Production schedule'!E340=1,11=MAX(('Sites'!F6),1),ISNUMBER('Sites'!O6)),'Sites'!O6*'Assumptions'!$B$44,0))*(1-'Responsibilities'!$F$6)+(IF(AND('Production schedule'!E376=1,11=MAX(('Sites'!F7+'Cases'!G9),1),ISNUMBER('Sites'!O7)),'Sites'!O7*'Assumptions'!$B$44,0))*(1-'Responsibilities'!$F$7)+(IF(AND('Production schedule'!E412=1,11=MAX(('Sites'!F8+'Cases'!G9),1),ISNUMBER('Sites'!O8)),'Sites'!O8*'Assumptions'!$B$44,0))*(1-'Responsibilities'!$F$8)</f>
        <v/>
      </c>
      <c r="BU124">
        <f>SUM('Costs'!E36)*'Costs'!F36/12*(1-'Responsibilities'!$C$12)+SUM('Costs'!E37)*'Costs'!F37/12*(1-'Responsibilities'!$C$13)+SUM('Costs'!E38)*'Costs'!F38/12*(1-'Responsibilities'!$C$14)+SUM('Costs'!E39)*'Costs'!F39/12*(1-'Responsibilities'!$C$15)+SUM('Costs'!E40)*'Costs'!F40/12*(1-'Responsibilities'!$C$16)</f>
        <v/>
      </c>
      <c r="BV124">
        <f>('Sites'!E6*'Capital'!E6*(IF(11='Capital'!G6,'Capital'!F6,0)+IF(11='Capital'!H6,1-'Capital'!F6,0)))*(1-'Responsibilities'!$G$6)+('Sites'!E7*'Capital'!E7*(IF(11='Capital'!G7+'Cases'!G9,'Capital'!F7,0)+IF(11='Capital'!H7+'Cases'!G9,1-'Capital'!F7,0)))*(1-'Responsibilities'!$G$7)+('Sites'!E8*'Cases'!F9*'Capital'!E8*(IF(11='Capital'!G8+'Cases'!G9,'Capital'!F8,0)+IF(11='Capital'!H8+'Cases'!G9,1-'Capital'!F8,0)))*(1-'Responsibilities'!$G$8)</f>
        <v/>
      </c>
      <c r="BW124">
        <f>SUM(BQ124:BV124)</f>
        <v/>
      </c>
      <c r="BX124">
        <f>N124+BW124</f>
        <v/>
      </c>
      <c r="BY124">
        <f>BX124-(('Production schedule'!AJ340)*'Responsibilities'!$C$6+('Production schedule'!AJ376)*'Responsibilities'!$C$7+('Production schedule'!AJ412)*'Responsibilities'!$C$8+('Production schedule'!AJ340)*(1-'Responsibilities'!$C$6)+('Production schedule'!AJ376)*(1-'Responsibilities'!$C$7)+('Production schedule'!AJ412)*(1-'Responsibilities'!$C$8)+('Production schedule'!AI340)*'Responsibilities'!$D$6+('Production schedule'!AI376)*'Responsibilities'!$D$7+('Production schedule'!AI412)*'Responsibilities'!$D$8+('Production schedule'!AI340)*(1-'Responsibilities'!$D$6)+('Production schedule'!AI376)*(1-'Responsibilities'!$D$7)+('Production schedule'!AI412)*(1-'Responsibilities'!$D$8)+('Production schedule'!E340*(IF('Sites'!D6="Annual staff",SUM('Assumptions'!N112,'Assumptions'!N114),0)+SUM('Assumptions'!N113,'Assumptions'!N115:N116)))*'Responsibilities'!$E$6+('Production schedule'!E376*(IF('Sites'!D7="Annual staff",SUM('Assumptions'!N117,'Assumptions'!N119),0)+SUM('Assumptions'!N118,'Assumptions'!N120:N121)))*'Responsibilities'!$E$7+('Production schedule'!E412*(IF('Sites'!D8="Annual staff",SUM('Assumptions'!N122,'Assumptions'!N124),0)+SUM('Assumptions'!N123,'Assumptions'!N125:N126)))*'Responsibilities'!$E$8+('Production schedule'!E340*(IF('Sites'!D6="Annual staff",SUM('Assumptions'!N112,'Assumptions'!N114),0)+SUM('Assumptions'!N113,'Assumptions'!N115:N116)))*(1-'Responsibilities'!$E$6)+('Production schedule'!E376*(IF('Sites'!D7="Annual staff",SUM('Assumptions'!N117,'Assumptions'!N119),0)+SUM('Assumptions'!N118,'Assumptions'!N120:N121)))*(1-'Responsibilities'!$E$7)+('Production schedule'!E412*(IF('Sites'!D8="Annual staff",SUM('Assumptions'!N122,'Assumptions'!N124),0)+SUM('Assumptions'!N123,'Assumptions'!N125:N126)))*(1-'Responsibilities'!$E$8)+(IF(AND('Production schedule'!E340=1,11=MAX(('Sites'!F6),1),ISNUMBER('Sites'!O6)),'Sites'!O6*'Assumptions'!$B$44,0))*'Responsibilities'!$F$6+(IF(AND('Production schedule'!E376=1,11=MAX(('Sites'!F7+'Cases'!G9),1),ISNUMBER('Sites'!O7)),'Sites'!O7*'Assumptions'!$B$44,0))*'Responsibilities'!$F$7+(IF(AND('Production schedule'!E412=1,11=MAX(('Sites'!F8+'Cases'!G9),1),ISNUMBER('Sites'!O8)),'Sites'!O8*'Assumptions'!$B$44,0))*'Responsibilities'!$F$8+(IF(AND('Production schedule'!E340=1,11=MAX(('Sites'!F6),1),ISNUMBER('Sites'!O6)),'Sites'!O6*'Assumptions'!$B$44,0))*(1-'Responsibilities'!$F$6)+(IF(AND('Production schedule'!E376=1,11=MAX(('Sites'!F7+'Cases'!G9),1),ISNUMBER('Sites'!O7)),'Sites'!O7*'Assumptions'!$B$44,0))*(1-'Responsibilities'!$F$7)+(IF(AND('Production schedule'!E412=1,11=MAX(('Sites'!F8+'Cases'!G9),1),ISNUMBER('Sites'!O8)),'Sites'!O8*'Assumptions'!$B$44,0))*(1-'Responsibilities'!$F$8)+('Sites'!E6*'Capital'!E6*(IF(11='Capital'!G6,'Capital'!F6,0)+IF(11='Capital'!H6,1-'Capital'!F6,0)))*'Responsibilities'!$G$6+('Sites'!E7*'Capital'!E7*(IF(11='Capital'!G7+'Cases'!G9,'Capital'!F7,0)+IF(11='Capital'!H7+'Cases'!G9,1-'Capital'!F7,0)))*'Responsibilities'!$G$7+('Sites'!E8*'Cases'!F9*'Capital'!E8*(IF(11='Capital'!G8+'Cases'!G9,'Capital'!F8,0)+IF(11='Capital'!H8+'Cases'!G9,1-'Capital'!F8,0)))*'Responsibilities'!$G$8+('Sites'!E6*'Capital'!E6*(IF(11='Capital'!G6,'Capital'!F6,0)+IF(11='Capital'!H6,1-'Capital'!F6,0)))*(1-'Responsibilities'!$G$6)+('Sites'!E7*'Capital'!E7*(IF(11='Capital'!G7+'Cases'!G9,'Capital'!F7,0)+IF(11='Capital'!H7+'Cases'!G9,1-'Capital'!F7,0)))*(1-'Responsibilities'!$G$7)+('Sites'!E8*'Cases'!F9*'Capital'!E8*(IF(11='Capital'!G8+'Cases'!G9,'Capital'!F8,0)+IF(11='Capital'!H8+'Cases'!G9,1-'Capital'!F8,0)))*(1-'Responsibilities'!$G$8)+I124+SUMPRODUCT('Costs'!$E$36:$E$40,'Costs'!$F$36:$F$40)/12+BZ124)</f>
        <v/>
      </c>
      <c r="BZ124">
        <f>SUMIFS('Responsibilities'!$B$31:$B$35,'Responsibilities'!$C$31:$C$35,11,'Responsibilities'!$D$31:$D$35,"Yes")</f>
        <v/>
      </c>
    </row>
    <row r="125" ht="28" customHeight="1">
      <c r="A125" s="4" t="inlineStr">
        <is>
          <t>Delayed receipts</t>
        </is>
      </c>
      <c r="B125" s="4" t="n">
        <v>12</v>
      </c>
      <c r="C125" s="4">
        <f>ROUNDUP(B125/12,0)</f>
        <v/>
      </c>
      <c r="D125" s="137">
        <f>SUMIFS('Production schedule'!$N$330:$N$437,'Production schedule'!$C$330:$C$437,12)</f>
        <v/>
      </c>
      <c r="E125" s="137">
        <f>SUMIFS('Production schedule'!$Y$330:$Y$437,'Production schedule'!$C$330:$C$437,12)</f>
        <v/>
      </c>
      <c r="F125" s="137">
        <f>SUMIFS('Production schedule'!$Z$330:$Z$437,'Production schedule'!$C$330:$C$437,12)</f>
        <v/>
      </c>
      <c r="G125" s="137">
        <f>('Production schedule'!AJ341)*'Responsibilities'!$C$6+('Production schedule'!AJ377)*'Responsibilities'!$C$7+('Production schedule'!AJ413)*'Responsibilities'!$C$8</f>
        <v/>
      </c>
      <c r="H125" s="137">
        <f>('Production schedule'!AI341)*'Responsibilities'!$D$6+('Production schedule'!AI377)*'Responsibilities'!$D$7+('Production schedule'!AI413)*'Responsibilities'!$D$8</f>
        <v/>
      </c>
      <c r="I125" s="137">
        <f>SUM('Assumptions'!O58:O65)</f>
        <v/>
      </c>
      <c r="J125" s="137">
        <f>('Production schedule'!E341*(IF('Sites'!D6="Annual staff",SUM('Assumptions'!O112,'Assumptions'!O114),0)+SUM('Assumptions'!O113,'Assumptions'!O115:O116)))*'Responsibilities'!$E$6+('Production schedule'!E377*(IF('Sites'!D7="Annual staff",SUM('Assumptions'!O117,'Assumptions'!O119),0)+SUM('Assumptions'!O118,'Assumptions'!O120:O121)))*'Responsibilities'!$E$7+('Production schedule'!E413*(IF('Sites'!D8="Annual staff",SUM('Assumptions'!O122,'Assumptions'!O124),0)+SUM('Assumptions'!O123,'Assumptions'!O125:O126)))*'Responsibilities'!$E$8</f>
        <v/>
      </c>
      <c r="K125" s="137">
        <f>(IF(AND('Production schedule'!E341=1,12=MAX(('Sites'!F6),1),ISNUMBER('Sites'!O6)),'Sites'!O6*'Assumptions'!$B$44,0))*'Responsibilities'!$F$6+(IF(AND('Production schedule'!E377=1,12=MAX(('Sites'!F7+'Cases'!G9),1),ISNUMBER('Sites'!O7)),'Sites'!O7*'Assumptions'!$B$44,0))*'Responsibilities'!$F$7+(IF(AND('Production schedule'!E413=1,12=MAX(('Sites'!F8+'Cases'!G9),1),ISNUMBER('Sites'!O8)),'Sites'!O8*'Assumptions'!$B$44,0))*'Responsibilities'!$F$8</f>
        <v/>
      </c>
      <c r="L125" s="137">
        <f>SUM('Costs'!E36)*'Costs'!F36/12*'Responsibilities'!$C$12+SUM('Costs'!E37)*'Costs'!F37/12*'Responsibilities'!$C$13+SUM('Costs'!E38)*'Costs'!F38/12*'Responsibilities'!$C$14+SUM('Costs'!E39)*'Costs'!F39/12*'Responsibilities'!$C$15+SUM('Costs'!E40)*'Costs'!F40/12*'Responsibilities'!$C$16+BZ125</f>
        <v/>
      </c>
      <c r="M125" s="137">
        <f>('Sites'!E6*'Capital'!E6*(IF(12='Capital'!G6,'Capital'!F6,0)+IF(12='Capital'!H6,1-'Capital'!F6,0)))*'Responsibilities'!$G$6+('Sites'!E7*'Capital'!E7*(IF(12='Capital'!G7+'Cases'!G9,'Capital'!F7,0)+IF(12='Capital'!H7+'Cases'!G9,1-'Capital'!F7,0)))*'Responsibilities'!$G$7+('Sites'!E8*'Cases'!F9*'Capital'!E8*(IF(12='Capital'!G8+'Cases'!G9,'Capital'!F8,0)+IF(12='Capital'!H8+'Cases'!G9,1-'Capital'!F8,0)))*'Responsibilities'!$G$8</f>
        <v/>
      </c>
      <c r="N125" s="137">
        <f>SUM(G125:M125)</f>
        <v/>
      </c>
      <c r="O125" s="137">
        <f>SUMIFS(FundingTranches[Secured amount],FundingTranches[Instrument],"Grant",FundingTranches[Secured month],12)</f>
        <v/>
      </c>
      <c r="P125" s="137">
        <f>SUMIFS(FundingTranches[Delayed receipts possible],FundingTranches[Instrument],"Grant",FundingTranches[Scenario month],12-'Cases'!$D$9)</f>
        <v/>
      </c>
      <c r="Q125" s="137">
        <f>SUMIFS(FundingTranches[Secured amount],FundingTranches[Instrument],"Loan",FundingTranches[Secured month],12)</f>
        <v/>
      </c>
      <c r="R125" s="137">
        <f>SUMIFS(FundingTranches[Delayed receipts possible],FundingTranches[Instrument],"Loan",FundingTranches[Scenario month],12-'Cases'!$D$9)</f>
        <v/>
      </c>
      <c r="S125" s="137">
        <f>IF(12&lt;='Assumptions'!$B$34,0,SUMIFS('Production schedule'!$AL$330:$AL$437,'Production schedule'!$C$330:$C$437,12-'Assumptions'!$B$34))</f>
        <v/>
      </c>
      <c r="T125" s="137">
        <f>'Assumptions'!O70</f>
        <v/>
      </c>
      <c r="U125" s="137">
        <f>'Assumptions'!O78</f>
        <v/>
      </c>
      <c r="V125" s="137">
        <f>SUM(O125:U125)</f>
        <v/>
      </c>
      <c r="W125" s="137">
        <f>AA124</f>
        <v/>
      </c>
      <c r="X125" s="137">
        <f>SUM(Q125:R125)</f>
        <v/>
      </c>
      <c r="Y125" s="137">
        <f>SUM(W125,X125)*'Assumptions'!$B$39/12</f>
        <v/>
      </c>
      <c r="Z125" s="137">
        <f>IF(SUM(W125,X125)&gt;0,MIN(SUM(W125,X125),MAX(0,BP125-Y125)),0)</f>
        <v/>
      </c>
      <c r="AA125" s="137">
        <f>SUM(W125,X125)-Z125</f>
        <v/>
      </c>
      <c r="AB125" s="137">
        <f>SUM(Y125:Z125)</f>
        <v/>
      </c>
      <c r="AC125" s="137">
        <f>'Assumptions'!O72</f>
        <v/>
      </c>
      <c r="AD125" s="137">
        <f>'Assumptions'!O73</f>
        <v/>
      </c>
      <c r="AE125" s="137">
        <f>IF(X125&gt;0,SUM('Assumptions'!$B$42),0)</f>
        <v/>
      </c>
      <c r="AF125" s="137">
        <f>'Assumptions'!O71</f>
        <v/>
      </c>
      <c r="AG125" s="137">
        <f>'Assumptions'!O74</f>
        <v/>
      </c>
      <c r="AH125" s="137">
        <f>'Assumptions'!O75</f>
        <v/>
      </c>
      <c r="AI125" s="137">
        <f>'Assumptions'!O77</f>
        <v/>
      </c>
      <c r="AJ125" s="137">
        <f>V125-N125-SUM(AB125:AI125)</f>
        <v/>
      </c>
      <c r="AK125" s="137">
        <f>SUM(AJ114:AJ125)</f>
        <v/>
      </c>
      <c r="AL125" s="137">
        <f>IF(ISNUMBER('Assumptions'!$B$10),'Assumptions'!$B$10+AK125,"")</f>
        <v/>
      </c>
      <c r="AM125" s="137">
        <f>SUM(O125,Q125,T125)-N125-SUM(AC125:AI125)+IF('Funding'!$N$11=0,AE125,0)-IF('Funding'!$N$11&gt;0,AB125,0)</f>
        <v/>
      </c>
      <c r="AN125" s="137">
        <f>SUM(AM114:AM125)</f>
        <v/>
      </c>
      <c r="AO125" s="137">
        <f>IF(ISNUMBER('Assumptions'!$B$10),'Assumptions'!$B$10+AN125,"")</f>
        <v/>
      </c>
      <c r="AP125" s="137">
        <f>('Production schedule'!AK341)*'Responsibilities'!$C$6+('Production schedule'!AK377)*'Responsibilities'!$C$7+('Production schedule'!AK413)*'Responsibilities'!$C$8</f>
        <v/>
      </c>
      <c r="AQ125" s="137">
        <f>SUMIFS('Production schedule'!$AL$330:$AL$437,'Production schedule'!$C$330:$C$437,12)</f>
        <v/>
      </c>
      <c r="AR125" s="137">
        <f>IF(ISNUMBER('Assumptions'!O76),'Assumptions'!O76,SUM(O125:P125))</f>
        <v/>
      </c>
      <c r="AS125" s="137">
        <f>IF(ISNUMBER('Assumptions'!$B$13),MIN('Assumptions'!$B$13/'Assumptions'!$B$18/12,MAX(0,'Assumptions'!$B$13-(12-1)*'Assumptions'!$B$13/'Assumptions'!$B$18/12)),0)+IF(AND('Sites'!E6=1,12&gt;=('Sites'!F6),12&lt;('Sites'!F6)+'Assumptions'!$B$18*12),'Capital'!E6/'Assumptions'!$B$18/12,0)+IF(AND('Sites'!E7=1,12&gt;=('Sites'!F7+'Cases'!G9),12&lt;('Sites'!F7+'Cases'!G9)+'Assumptions'!$B$18*12),'Capital'!E7/'Assumptions'!$B$18/12,0)+IF(AND('Sites'!E8*'Cases'!F9=1,12&gt;=('Sites'!F8+'Cases'!G9),12&lt;('Sites'!F8+'Cases'!G9)+'Assumptions'!$B$18*12),'Capital'!E8/'Assumptions'!$B$18/12,0)</f>
        <v/>
      </c>
      <c r="AT125" s="137">
        <f>SUM(AQ125,AR125,U125)-AP125-SUM(H125:L125)-AS125-SUM(Y125,AD125,AE125,AH125)</f>
        <v/>
      </c>
      <c r="AU125" s="137">
        <f>IF(ISNUMBER('Assumptions'!$B$19),MAX(0,SUM(AT114:AT125))*'Assumptions'!$B$19-SUM(AU114:AU124),"")</f>
        <v/>
      </c>
      <c r="AV125" s="137">
        <f>IF(ISNUMBER(AU125),AT125-AU125,"")</f>
        <v/>
      </c>
      <c r="AW125" s="137">
        <f>IF(ISNUMBER('Assumptions'!$B$11),'Assumptions'!$B$11+SUM(AQ114:AQ125)-SUM(S114:S125)-SUM(T114:T125),"")</f>
        <v/>
      </c>
      <c r="AX125" s="137">
        <f>IF(ISNUMBER('Assumptions'!$B$12),'Assumptions'!$B$12+SUM(G114:G125)-SUM(AP114:AP125),"")</f>
        <v/>
      </c>
      <c r="AY125" s="137">
        <f>IF(ISNUMBER('Assumptions'!$B$13),'Assumptions'!$B$13+SUM(M114:M125)-SUM(AS114:AS125),"")</f>
        <v/>
      </c>
      <c r="AZ125" s="137">
        <f>IF(ISNUMBER('Assumptions'!$B$14),'Assumptions'!$B$14+-SUM(AF114:AF125),"")</f>
        <v/>
      </c>
      <c r="BA125" s="137">
        <f>IF(ISNUMBER('Assumptions'!$B$15),'Assumptions'!$B$15+SUM(O114:O125)+SUM(P114:P125)-SUM(AR114:AR125),"")</f>
        <v/>
      </c>
      <c r="BB125" s="137">
        <f>IF(ISNUMBER('Assumptions'!$B$16),'Assumptions'!$B$16+-SUM(AC114:AC125),"")</f>
        <v/>
      </c>
      <c r="BC125" s="137">
        <f>IF(AND(ISNUMBER('Assumptions'!$B$21),ISNUMBER('Assumptions'!$B$19)),'Assumptions'!$B$21+SUM(AU114:AU125)-SUM(AG114:AG125),"")</f>
        <v/>
      </c>
      <c r="BD125" s="137">
        <f>IF(ISNUMBER('Assumptions'!$B$20),'Assumptions'!$B$20+-SUM(AI114:AI125),"")</f>
        <v/>
      </c>
      <c r="BE125" s="137">
        <f>IF(AND(ISNUMBER('Assumptions'!$B$17),COUNT(AV114:AV125)=12),'Assumptions'!$B$17+SUM(AV114:AV125),"")</f>
        <v/>
      </c>
      <c r="BF125" s="137">
        <f>IF(COUNT(AL125,AW125:AY125)=4,SUM(AL125,AW125:AY125),"")</f>
        <v/>
      </c>
      <c r="BG125" s="137">
        <f>IF(COUNT(AZ125:BD125)=5,SUM(AZ125:BD125,AA125),"")</f>
        <v/>
      </c>
      <c r="BH125" s="137">
        <f>IF(COUNT(BF125,BG125,BE125)=3,BF125-BG125-BE125,"")</f>
        <v/>
      </c>
      <c r="BI125" s="137">
        <f>SUM(W125,X125)-Z125-AA125</f>
        <v/>
      </c>
      <c r="BJ125" s="137">
        <f>8-COUNT('Assumptions'!O58:O65)+COUNTBLANK('NM Play'!B33:B34)+'Costs'!E44+IF(AND('Sites'!E6=1,('Sites'!F6)&lt;=12,'Sites'!G6&gt;=1),IF(ISNUMBER('Sites'!O6),0,1)+'Capital'!I6+COUNTBLANK('Sites'!R6)+IF('Sites'!D6="NM crew",COUNTBLANK('NM Play'!B25)+1,5-COUNT('Assumptions'!O112:O116)),0)+IF(AND('Sites'!E7=1,('Sites'!F7+'Cases'!G9)&lt;=12,'Sites'!G7&gt;=1),IF(ISNUMBER('Sites'!O7),0,1)+'Capital'!I7+COUNTBLANK('Sites'!R7)+IF('Sites'!D7="NM crew",COUNTBLANK('NM Play'!B25)+1,5-COUNT('Assumptions'!O117:O121)),0)+IF(AND('Sites'!E8*'Cases'!F9=1,('Sites'!F8+'Cases'!G9)&lt;=12,'Sites'!G8&gt;=1),IF(ISNUMBER('Sites'!O8),0,1)+'Capital'!I8+COUNTBLANK('Sites'!R8)+IF('Sites'!D8="NM crew",COUNTBLANK('NM Play'!B25)+1,5-COUNT('Assumptions'!O122:O126)),0)+IF(AND('Cases'!C9&gt;0,NOT(ISNUMBER('Assumptions'!B42))),1,0)+'Responsibilities'!$B$39</f>
        <v/>
      </c>
      <c r="BK125" s="137">
        <f>'Assumptions'!$B$50+'NM Play'!$B$83+'Funding'!$F$20+SUMIFS('Production schedule'!$AN$330:$AN$437,'Production schedule'!$C$330:$C$437,12)+IF(OR('Cases'!E9&lt;0,'Cases'!E9&gt;1,'Cases'!C9&lt;0,'Cases'!D9&lt;0,ABS(SUM('Sites'!S6:S8)-1)&gt;0.0001,MIN('Capital'!F6:F8)&lt;0,MAX('Capital'!F6:F8)&gt;1,MIN(AX125,AZ125,BB125,BA125)&lt;-0.01),1,0)+'Responsibilities'!$B$40</f>
        <v/>
      </c>
      <c r="BL125" s="137">
        <f>SUMIFS('Production schedule'!$T$330:$T$437,'Production schedule'!$C$330:$C$437,12)</f>
        <v/>
      </c>
      <c r="BM125" s="137">
        <f>D125*'NM Play'!$B$38</f>
        <v/>
      </c>
      <c r="BN125" s="137">
        <f>SUMIFS('Production schedule'!$AM$330:$AM$437,'Production schedule'!$C$330:$C$437,12)</f>
        <v/>
      </c>
      <c r="BO125" s="137">
        <f>AK125-AK124-AJ125</f>
        <v/>
      </c>
      <c r="BP125" s="137">
        <f>IF(AND('Assumptions'!$B$39&gt;=0,'Assumptions'!$B$40&gt;0),-PMT('Assumptions'!$B$39/12,'Assumptions'!$B$40*12,IF('Funding'!$N$11&gt;0,'Funding'!$N$11,'Funding'!$U$11)),"")</f>
        <v/>
      </c>
      <c r="BQ125">
        <f>('Production schedule'!AJ341)*(1-'Responsibilities'!$C$6)+('Production schedule'!AJ377)*(1-'Responsibilities'!$C$7)+('Production schedule'!AJ413)*(1-'Responsibilities'!$C$8)</f>
        <v/>
      </c>
      <c r="BR125">
        <f>('Production schedule'!AI341)*(1-'Responsibilities'!$D$6)+('Production schedule'!AI377)*(1-'Responsibilities'!$D$7)+('Production schedule'!AI413)*(1-'Responsibilities'!$D$8)</f>
        <v/>
      </c>
      <c r="BS125">
        <f>('Production schedule'!E341*(IF('Sites'!D6="Annual staff",SUM('Assumptions'!O112,'Assumptions'!O114),0)+SUM('Assumptions'!O113,'Assumptions'!O115:O116)))*(1-'Responsibilities'!$E$6)+('Production schedule'!E377*(IF('Sites'!D7="Annual staff",SUM('Assumptions'!O117,'Assumptions'!O119),0)+SUM('Assumptions'!O118,'Assumptions'!O120:O121)))*(1-'Responsibilities'!$E$7)+('Production schedule'!E413*(IF('Sites'!D8="Annual staff",SUM('Assumptions'!O122,'Assumptions'!O124),0)+SUM('Assumptions'!O123,'Assumptions'!O125:O126)))*(1-'Responsibilities'!$E$8)</f>
        <v/>
      </c>
      <c r="BT125">
        <f>(IF(AND('Production schedule'!E341=1,12=MAX(('Sites'!F6),1),ISNUMBER('Sites'!O6)),'Sites'!O6*'Assumptions'!$B$44,0))*(1-'Responsibilities'!$F$6)+(IF(AND('Production schedule'!E377=1,12=MAX(('Sites'!F7+'Cases'!G9),1),ISNUMBER('Sites'!O7)),'Sites'!O7*'Assumptions'!$B$44,0))*(1-'Responsibilities'!$F$7)+(IF(AND('Production schedule'!E413=1,12=MAX(('Sites'!F8+'Cases'!G9),1),ISNUMBER('Sites'!O8)),'Sites'!O8*'Assumptions'!$B$44,0))*(1-'Responsibilities'!$F$8)</f>
        <v/>
      </c>
      <c r="BU125">
        <f>SUM('Costs'!E36)*'Costs'!F36/12*(1-'Responsibilities'!$C$12)+SUM('Costs'!E37)*'Costs'!F37/12*(1-'Responsibilities'!$C$13)+SUM('Costs'!E38)*'Costs'!F38/12*(1-'Responsibilities'!$C$14)+SUM('Costs'!E39)*'Costs'!F39/12*(1-'Responsibilities'!$C$15)+SUM('Costs'!E40)*'Costs'!F40/12*(1-'Responsibilities'!$C$16)</f>
        <v/>
      </c>
      <c r="BV125">
        <f>('Sites'!E6*'Capital'!E6*(IF(12='Capital'!G6,'Capital'!F6,0)+IF(12='Capital'!H6,1-'Capital'!F6,0)))*(1-'Responsibilities'!$G$6)+('Sites'!E7*'Capital'!E7*(IF(12='Capital'!G7+'Cases'!G9,'Capital'!F7,0)+IF(12='Capital'!H7+'Cases'!G9,1-'Capital'!F7,0)))*(1-'Responsibilities'!$G$7)+('Sites'!E8*'Cases'!F9*'Capital'!E8*(IF(12='Capital'!G8+'Cases'!G9,'Capital'!F8,0)+IF(12='Capital'!H8+'Cases'!G9,1-'Capital'!F8,0)))*(1-'Responsibilities'!$G$8)</f>
        <v/>
      </c>
      <c r="BW125">
        <f>SUM(BQ125:BV125)</f>
        <v/>
      </c>
      <c r="BX125">
        <f>N125+BW125</f>
        <v/>
      </c>
      <c r="BY125">
        <f>BX125-(('Production schedule'!AJ341)*'Responsibilities'!$C$6+('Production schedule'!AJ377)*'Responsibilities'!$C$7+('Production schedule'!AJ413)*'Responsibilities'!$C$8+('Production schedule'!AJ341)*(1-'Responsibilities'!$C$6)+('Production schedule'!AJ377)*(1-'Responsibilities'!$C$7)+('Production schedule'!AJ413)*(1-'Responsibilities'!$C$8)+('Production schedule'!AI341)*'Responsibilities'!$D$6+('Production schedule'!AI377)*'Responsibilities'!$D$7+('Production schedule'!AI413)*'Responsibilities'!$D$8+('Production schedule'!AI341)*(1-'Responsibilities'!$D$6)+('Production schedule'!AI377)*(1-'Responsibilities'!$D$7)+('Production schedule'!AI413)*(1-'Responsibilities'!$D$8)+('Production schedule'!E341*(IF('Sites'!D6="Annual staff",SUM('Assumptions'!O112,'Assumptions'!O114),0)+SUM('Assumptions'!O113,'Assumptions'!O115:O116)))*'Responsibilities'!$E$6+('Production schedule'!E377*(IF('Sites'!D7="Annual staff",SUM('Assumptions'!O117,'Assumptions'!O119),0)+SUM('Assumptions'!O118,'Assumptions'!O120:O121)))*'Responsibilities'!$E$7+('Production schedule'!E413*(IF('Sites'!D8="Annual staff",SUM('Assumptions'!O122,'Assumptions'!O124),0)+SUM('Assumptions'!O123,'Assumptions'!O125:O126)))*'Responsibilities'!$E$8+('Production schedule'!E341*(IF('Sites'!D6="Annual staff",SUM('Assumptions'!O112,'Assumptions'!O114),0)+SUM('Assumptions'!O113,'Assumptions'!O115:O116)))*(1-'Responsibilities'!$E$6)+('Production schedule'!E377*(IF('Sites'!D7="Annual staff",SUM('Assumptions'!O117,'Assumptions'!O119),0)+SUM('Assumptions'!O118,'Assumptions'!O120:O121)))*(1-'Responsibilities'!$E$7)+('Production schedule'!E413*(IF('Sites'!D8="Annual staff",SUM('Assumptions'!O122,'Assumptions'!O124),0)+SUM('Assumptions'!O123,'Assumptions'!O125:O126)))*(1-'Responsibilities'!$E$8)+(IF(AND('Production schedule'!E341=1,12=MAX(('Sites'!F6),1),ISNUMBER('Sites'!O6)),'Sites'!O6*'Assumptions'!$B$44,0))*'Responsibilities'!$F$6+(IF(AND('Production schedule'!E377=1,12=MAX(('Sites'!F7+'Cases'!G9),1),ISNUMBER('Sites'!O7)),'Sites'!O7*'Assumptions'!$B$44,0))*'Responsibilities'!$F$7+(IF(AND('Production schedule'!E413=1,12=MAX(('Sites'!F8+'Cases'!G9),1),ISNUMBER('Sites'!O8)),'Sites'!O8*'Assumptions'!$B$44,0))*'Responsibilities'!$F$8+(IF(AND('Production schedule'!E341=1,12=MAX(('Sites'!F6),1),ISNUMBER('Sites'!O6)),'Sites'!O6*'Assumptions'!$B$44,0))*(1-'Responsibilities'!$F$6)+(IF(AND('Production schedule'!E377=1,12=MAX(('Sites'!F7+'Cases'!G9),1),ISNUMBER('Sites'!O7)),'Sites'!O7*'Assumptions'!$B$44,0))*(1-'Responsibilities'!$F$7)+(IF(AND('Production schedule'!E413=1,12=MAX(('Sites'!F8+'Cases'!G9),1),ISNUMBER('Sites'!O8)),'Sites'!O8*'Assumptions'!$B$44,0))*(1-'Responsibilities'!$F$8)+('Sites'!E6*'Capital'!E6*(IF(12='Capital'!G6,'Capital'!F6,0)+IF(12='Capital'!H6,1-'Capital'!F6,0)))*'Responsibilities'!$G$6+('Sites'!E7*'Capital'!E7*(IF(12='Capital'!G7+'Cases'!G9,'Capital'!F7,0)+IF(12='Capital'!H7+'Cases'!G9,1-'Capital'!F7,0)))*'Responsibilities'!$G$7+('Sites'!E8*'Cases'!F9*'Capital'!E8*(IF(12='Capital'!G8+'Cases'!G9,'Capital'!F8,0)+IF(12='Capital'!H8+'Cases'!G9,1-'Capital'!F8,0)))*'Responsibilities'!$G$8+('Sites'!E6*'Capital'!E6*(IF(12='Capital'!G6,'Capital'!F6,0)+IF(12='Capital'!H6,1-'Capital'!F6,0)))*(1-'Responsibilities'!$G$6)+('Sites'!E7*'Capital'!E7*(IF(12='Capital'!G7+'Cases'!G9,'Capital'!F7,0)+IF(12='Capital'!H7+'Cases'!G9,1-'Capital'!F7,0)))*(1-'Responsibilities'!$G$7)+('Sites'!E8*'Cases'!F9*'Capital'!E8*(IF(12='Capital'!G8+'Cases'!G9,'Capital'!F8,0)+IF(12='Capital'!H8+'Cases'!G9,1-'Capital'!F8,0)))*(1-'Responsibilities'!$G$8)+I125+SUMPRODUCT('Costs'!$E$36:$E$40,'Costs'!$F$36:$F$40)/12+BZ125)</f>
        <v/>
      </c>
      <c r="BZ125">
        <f>SUMIFS('Responsibilities'!$B$31:$B$35,'Responsibilities'!$C$31:$C$35,12,'Responsibilities'!$D$31:$D$35,"Yes")</f>
        <v/>
      </c>
    </row>
    <row r="126" ht="28" customHeight="1">
      <c r="A126" s="4" t="inlineStr">
        <is>
          <t>Delayed receipts</t>
        </is>
      </c>
      <c r="B126" s="4" t="n">
        <v>13</v>
      </c>
      <c r="C126" s="4">
        <f>ROUNDUP(B126/12,0)</f>
        <v/>
      </c>
      <c r="D126" s="137">
        <f>SUMIFS('Production schedule'!$N$330:$N$437,'Production schedule'!$C$330:$C$437,13)</f>
        <v/>
      </c>
      <c r="E126" s="137">
        <f>SUMIFS('Production schedule'!$Y$330:$Y$437,'Production schedule'!$C$330:$C$437,13)</f>
        <v/>
      </c>
      <c r="F126" s="137">
        <f>SUMIFS('Production schedule'!$Z$330:$Z$437,'Production schedule'!$C$330:$C$437,13)</f>
        <v/>
      </c>
      <c r="G126" s="137">
        <f>('Production schedule'!AJ342)*'Responsibilities'!$C$6+('Production schedule'!AJ378)*'Responsibilities'!$C$7+('Production schedule'!AJ414)*'Responsibilities'!$C$8</f>
        <v/>
      </c>
      <c r="H126" s="137">
        <f>('Production schedule'!AI342)*'Responsibilities'!$D$6+('Production schedule'!AI378)*'Responsibilities'!$D$7+('Production schedule'!AI414)*'Responsibilities'!$D$8</f>
        <v/>
      </c>
      <c r="I126" s="137">
        <f>SUM('Assumptions'!P58:P65)</f>
        <v/>
      </c>
      <c r="J126" s="137">
        <f>('Production schedule'!E342*(IF('Sites'!D6="Annual staff",SUM('Assumptions'!P112,'Assumptions'!P114),0)+SUM('Assumptions'!P113,'Assumptions'!P115:P116)))*'Responsibilities'!$E$6+('Production schedule'!E378*(IF('Sites'!D7="Annual staff",SUM('Assumptions'!P117,'Assumptions'!P119),0)+SUM('Assumptions'!P118,'Assumptions'!P120:P121)))*'Responsibilities'!$E$7+('Production schedule'!E414*(IF('Sites'!D8="Annual staff",SUM('Assumptions'!P122,'Assumptions'!P124),0)+SUM('Assumptions'!P123,'Assumptions'!P125:P126)))*'Responsibilities'!$E$8</f>
        <v/>
      </c>
      <c r="K126" s="137">
        <f>(IF(AND('Production schedule'!E342=1,13=MAX(('Sites'!F6),13),ISNUMBER('Sites'!P6)),'Sites'!P6*'Assumptions'!$B$44,0))*'Responsibilities'!$F$6+(IF(AND('Production schedule'!E378=1,13=MAX(('Sites'!F7+'Cases'!G9),13),ISNUMBER('Sites'!P7)),'Sites'!P7*'Assumptions'!$B$44,0))*'Responsibilities'!$F$7+(IF(AND('Production schedule'!E414=1,13=MAX(('Sites'!F8+'Cases'!G9),13),ISNUMBER('Sites'!P8)),'Sites'!P8*'Assumptions'!$B$44,0))*'Responsibilities'!$F$8</f>
        <v/>
      </c>
      <c r="L126" s="137">
        <f>SUM('Costs'!E36)*'Costs'!F36/12*'Responsibilities'!$C$12+SUM('Costs'!E37)*'Costs'!F37/12*'Responsibilities'!$C$13+SUM('Costs'!E38)*'Costs'!F38/12*'Responsibilities'!$C$14+SUM('Costs'!E39)*'Costs'!F39/12*'Responsibilities'!$C$15+SUM('Costs'!E40)*'Costs'!F40/12*'Responsibilities'!$C$16+BZ126</f>
        <v/>
      </c>
      <c r="M126" s="137">
        <f>('Sites'!E6*'Capital'!E6*(IF(13='Capital'!G6,'Capital'!F6,0)+IF(13='Capital'!H6,1-'Capital'!F6,0)))*'Responsibilities'!$G$6+('Sites'!E7*'Capital'!E7*(IF(13='Capital'!G7+'Cases'!G9,'Capital'!F7,0)+IF(13='Capital'!H7+'Cases'!G9,1-'Capital'!F7,0)))*'Responsibilities'!$G$7+('Sites'!E8*'Cases'!F9*'Capital'!E8*(IF(13='Capital'!G8+'Cases'!G9,'Capital'!F8,0)+IF(13='Capital'!H8+'Cases'!G9,1-'Capital'!F8,0)))*'Responsibilities'!$G$8</f>
        <v/>
      </c>
      <c r="N126" s="137">
        <f>SUM(G126:M126)</f>
        <v/>
      </c>
      <c r="O126" s="137">
        <f>SUMIFS(FundingTranches[Secured amount],FundingTranches[Instrument],"Grant",FundingTranches[Secured month],13)</f>
        <v/>
      </c>
      <c r="P126" s="137">
        <f>SUMIFS(FundingTranches[Delayed receipts possible],FundingTranches[Instrument],"Grant",FundingTranches[Scenario month],13-'Cases'!$D$9)</f>
        <v/>
      </c>
      <c r="Q126" s="137">
        <f>SUMIFS(FundingTranches[Secured amount],FundingTranches[Instrument],"Loan",FundingTranches[Secured month],13)</f>
        <v/>
      </c>
      <c r="R126" s="137">
        <f>SUMIFS(FundingTranches[Delayed receipts possible],FundingTranches[Instrument],"Loan",FundingTranches[Scenario month],13-'Cases'!$D$9)</f>
        <v/>
      </c>
      <c r="S126" s="137">
        <f>IF(13&lt;='Assumptions'!$B$34,0,SUMIFS('Production schedule'!$AL$330:$AL$437,'Production schedule'!$C$330:$C$437,13-'Assumptions'!$B$34))</f>
        <v/>
      </c>
      <c r="T126" s="137">
        <f>'Assumptions'!P70</f>
        <v/>
      </c>
      <c r="U126" s="137">
        <f>'Assumptions'!P78</f>
        <v/>
      </c>
      <c r="V126" s="137">
        <f>SUM(O126:U126)</f>
        <v/>
      </c>
      <c r="W126" s="137">
        <f>AA125</f>
        <v/>
      </c>
      <c r="X126" s="137">
        <f>SUM(Q126:R126)</f>
        <v/>
      </c>
      <c r="Y126" s="137">
        <f>SUM(W126,X126)*'Assumptions'!$B$39/12</f>
        <v/>
      </c>
      <c r="Z126" s="137">
        <f>IF(SUM(W126,X126)&gt;0,MIN(SUM(W126,X126),MAX(0,BP126-Y126)),0)</f>
        <v/>
      </c>
      <c r="AA126" s="137">
        <f>SUM(W126,X126)-Z126</f>
        <v/>
      </c>
      <c r="AB126" s="137">
        <f>SUM(Y126:Z126)</f>
        <v/>
      </c>
      <c r="AC126" s="137">
        <f>'Assumptions'!P72</f>
        <v/>
      </c>
      <c r="AD126" s="137">
        <f>'Assumptions'!P73</f>
        <v/>
      </c>
      <c r="AE126" s="137">
        <f>IF(X126&gt;0,SUM('Assumptions'!$B$42),0)</f>
        <v/>
      </c>
      <c r="AF126" s="137">
        <f>'Assumptions'!P71</f>
        <v/>
      </c>
      <c r="AG126" s="137">
        <f>'Assumptions'!P74</f>
        <v/>
      </c>
      <c r="AH126" s="137">
        <f>'Assumptions'!P75</f>
        <v/>
      </c>
      <c r="AI126" s="137">
        <f>'Assumptions'!P77</f>
        <v/>
      </c>
      <c r="AJ126" s="137">
        <f>V126-N126-SUM(AB126:AI126)</f>
        <v/>
      </c>
      <c r="AK126" s="137">
        <f>SUM(AJ114:AJ126)</f>
        <v/>
      </c>
      <c r="AL126" s="137">
        <f>IF(ISNUMBER('Assumptions'!$B$10),'Assumptions'!$B$10+AK126,"")</f>
        <v/>
      </c>
      <c r="AM126" s="137">
        <f>SUM(O126,Q126,T126)-N126-SUM(AC126:AI126)+IF('Funding'!$N$11=0,AE126,0)-IF('Funding'!$N$11&gt;0,AB126,0)</f>
        <v/>
      </c>
      <c r="AN126" s="137">
        <f>SUM(AM114:AM126)</f>
        <v/>
      </c>
      <c r="AO126" s="137">
        <f>IF(ISNUMBER('Assumptions'!$B$10),'Assumptions'!$B$10+AN126,"")</f>
        <v/>
      </c>
      <c r="AP126" s="137">
        <f>('Production schedule'!AK342)*'Responsibilities'!$C$6+('Production schedule'!AK378)*'Responsibilities'!$C$7+('Production schedule'!AK414)*'Responsibilities'!$C$8</f>
        <v/>
      </c>
      <c r="AQ126" s="137">
        <f>SUMIFS('Production schedule'!$AL$330:$AL$437,'Production schedule'!$C$330:$C$437,13)</f>
        <v/>
      </c>
      <c r="AR126" s="137">
        <f>IF(ISNUMBER('Assumptions'!P76),'Assumptions'!P76,SUM(O126:P126))</f>
        <v/>
      </c>
      <c r="AS126" s="137">
        <f>IF(ISNUMBER('Assumptions'!$B$13),MIN('Assumptions'!$B$13/'Assumptions'!$B$18/12,MAX(0,'Assumptions'!$B$13-(13-1)*'Assumptions'!$B$13/'Assumptions'!$B$18/12)),0)+IF(AND('Sites'!E6=1,13&gt;=('Sites'!F6),13&lt;('Sites'!F6)+'Assumptions'!$B$18*12),'Capital'!E6/'Assumptions'!$B$18/12,0)+IF(AND('Sites'!E7=1,13&gt;=('Sites'!F7+'Cases'!G9),13&lt;('Sites'!F7+'Cases'!G9)+'Assumptions'!$B$18*12),'Capital'!E7/'Assumptions'!$B$18/12,0)+IF(AND('Sites'!E8*'Cases'!F9=1,13&gt;=('Sites'!F8+'Cases'!G9),13&lt;('Sites'!F8+'Cases'!G9)+'Assumptions'!$B$18*12),'Capital'!E8/'Assumptions'!$B$18/12,0)</f>
        <v/>
      </c>
      <c r="AT126" s="137">
        <f>SUM(AQ126,AR126,U126)-AP126-SUM(H126:L126)-AS126-SUM(Y126,AD126,AE126,AH126)</f>
        <v/>
      </c>
      <c r="AU126" s="137">
        <f>IF(ISNUMBER('Assumptions'!$B$19),MAX(0,SUM(AT126:AT126))*'Assumptions'!$B$19-0,"")</f>
        <v/>
      </c>
      <c r="AV126" s="137">
        <f>IF(ISNUMBER(AU126),AT126-AU126,"")</f>
        <v/>
      </c>
      <c r="AW126" s="137">
        <f>IF(ISNUMBER('Assumptions'!$B$11),'Assumptions'!$B$11+SUM(AQ114:AQ126)-SUM(S114:S126)-SUM(T114:T126),"")</f>
        <v/>
      </c>
      <c r="AX126" s="137">
        <f>IF(ISNUMBER('Assumptions'!$B$12),'Assumptions'!$B$12+SUM(G114:G126)-SUM(AP114:AP126),"")</f>
        <v/>
      </c>
      <c r="AY126" s="137">
        <f>IF(ISNUMBER('Assumptions'!$B$13),'Assumptions'!$B$13+SUM(M114:M126)-SUM(AS114:AS126),"")</f>
        <v/>
      </c>
      <c r="AZ126" s="137">
        <f>IF(ISNUMBER('Assumptions'!$B$14),'Assumptions'!$B$14+-SUM(AF114:AF126),"")</f>
        <v/>
      </c>
      <c r="BA126" s="137">
        <f>IF(ISNUMBER('Assumptions'!$B$15),'Assumptions'!$B$15+SUM(O114:O126)+SUM(P114:P126)-SUM(AR114:AR126),"")</f>
        <v/>
      </c>
      <c r="BB126" s="137">
        <f>IF(ISNUMBER('Assumptions'!$B$16),'Assumptions'!$B$16+-SUM(AC114:AC126),"")</f>
        <v/>
      </c>
      <c r="BC126" s="137">
        <f>IF(AND(ISNUMBER('Assumptions'!$B$21),ISNUMBER('Assumptions'!$B$19)),'Assumptions'!$B$21+SUM(AU114:AU126)-SUM(AG114:AG126),"")</f>
        <v/>
      </c>
      <c r="BD126" s="137">
        <f>IF(ISNUMBER('Assumptions'!$B$20),'Assumptions'!$B$20+-SUM(AI114:AI126),"")</f>
        <v/>
      </c>
      <c r="BE126" s="137">
        <f>IF(AND(ISNUMBER('Assumptions'!$B$17),COUNT(AV114:AV126)=13),'Assumptions'!$B$17+SUM(AV114:AV126),"")</f>
        <v/>
      </c>
      <c r="BF126" s="137">
        <f>IF(COUNT(AL126,AW126:AY126)=4,SUM(AL126,AW126:AY126),"")</f>
        <v/>
      </c>
      <c r="BG126" s="137">
        <f>IF(COUNT(AZ126:BD126)=5,SUM(AZ126:BD126,AA126),"")</f>
        <v/>
      </c>
      <c r="BH126" s="137">
        <f>IF(COUNT(BF126,BG126,BE126)=3,BF126-BG126-BE126,"")</f>
        <v/>
      </c>
      <c r="BI126" s="137">
        <f>SUM(W126,X126)-Z126-AA126</f>
        <v/>
      </c>
      <c r="BJ126" s="137">
        <f>8-COUNT('Assumptions'!P58:P65)+COUNTBLANK('NM Play'!B33:B34)+'Costs'!E44+IF(AND('Sites'!E6=1,('Sites'!F6)&lt;=24,'Sites'!G6&gt;=13),IF(ISNUMBER('Sites'!P6),0,1)+'Capital'!I6+COUNTBLANK('Sites'!R6)+IF('Sites'!D6="NM crew",COUNTBLANK('NM Play'!B25)+1,5-COUNT('Assumptions'!P112:P116)),0)+IF(AND('Sites'!E7=1,('Sites'!F7+'Cases'!G9)&lt;=24,'Sites'!G7&gt;=13),IF(ISNUMBER('Sites'!P7),0,1)+'Capital'!I7+COUNTBLANK('Sites'!R7)+IF('Sites'!D7="NM crew",COUNTBLANK('NM Play'!B25)+1,5-COUNT('Assumptions'!P117:P121)),0)+IF(AND('Sites'!E8*'Cases'!F9=1,('Sites'!F8+'Cases'!G9)&lt;=24,'Sites'!G8&gt;=13),IF(ISNUMBER('Sites'!P8),0,1)+'Capital'!I8+COUNTBLANK('Sites'!R8)+IF('Sites'!D8="NM crew",COUNTBLANK('NM Play'!B25)+1,5-COUNT('Assumptions'!P122:P126)),0)+IF(AND('Cases'!C9&gt;0,NOT(ISNUMBER('Assumptions'!B42))),1,0)+'Responsibilities'!$B$39</f>
        <v/>
      </c>
      <c r="BK126" s="137">
        <f>'Assumptions'!$B$50+'NM Play'!$B$83+'Funding'!$F$20+SUMIFS('Production schedule'!$AN$330:$AN$437,'Production schedule'!$C$330:$C$437,13)+IF(OR('Cases'!E9&lt;0,'Cases'!E9&gt;1,'Cases'!C9&lt;0,'Cases'!D9&lt;0,ABS(SUM('Sites'!S6:S8)-1)&gt;0.0001,MIN('Capital'!F6:F8)&lt;0,MAX('Capital'!F6:F8)&gt;1,MIN(AX126,AZ126,BB126,BA126)&lt;-0.01),1,0)+'Responsibilities'!$B$40</f>
        <v/>
      </c>
      <c r="BL126" s="137">
        <f>SUMIFS('Production schedule'!$T$330:$T$437,'Production schedule'!$C$330:$C$437,13)</f>
        <v/>
      </c>
      <c r="BM126" s="137">
        <f>D126*'NM Play'!$B$38</f>
        <v/>
      </c>
      <c r="BN126" s="137">
        <f>SUMIFS('Production schedule'!$AM$330:$AM$437,'Production schedule'!$C$330:$C$437,13)</f>
        <v/>
      </c>
      <c r="BO126" s="137">
        <f>AK126-AK125-AJ126</f>
        <v/>
      </c>
      <c r="BP126" s="137">
        <f>IF(AND('Assumptions'!$B$39&gt;=0,'Assumptions'!$B$40&gt;0),-PMT('Assumptions'!$B$39/12,'Assumptions'!$B$40*12,IF('Funding'!$N$11&gt;0,'Funding'!$N$11,'Funding'!$U$11)),"")</f>
        <v/>
      </c>
      <c r="BQ126">
        <f>('Production schedule'!AJ342)*(1-'Responsibilities'!$C$6)+('Production schedule'!AJ378)*(1-'Responsibilities'!$C$7)+('Production schedule'!AJ414)*(1-'Responsibilities'!$C$8)</f>
        <v/>
      </c>
      <c r="BR126">
        <f>('Production schedule'!AI342)*(1-'Responsibilities'!$D$6)+('Production schedule'!AI378)*(1-'Responsibilities'!$D$7)+('Production schedule'!AI414)*(1-'Responsibilities'!$D$8)</f>
        <v/>
      </c>
      <c r="BS126">
        <f>('Production schedule'!E342*(IF('Sites'!D6="Annual staff",SUM('Assumptions'!P112,'Assumptions'!P114),0)+SUM('Assumptions'!P113,'Assumptions'!P115:P116)))*(1-'Responsibilities'!$E$6)+('Production schedule'!E378*(IF('Sites'!D7="Annual staff",SUM('Assumptions'!P117,'Assumptions'!P119),0)+SUM('Assumptions'!P118,'Assumptions'!P120:P121)))*(1-'Responsibilities'!$E$7)+('Production schedule'!E414*(IF('Sites'!D8="Annual staff",SUM('Assumptions'!P122,'Assumptions'!P124),0)+SUM('Assumptions'!P123,'Assumptions'!P125:P126)))*(1-'Responsibilities'!$E$8)</f>
        <v/>
      </c>
      <c r="BT126">
        <f>(IF(AND('Production schedule'!E342=1,13=MAX(('Sites'!F6),13),ISNUMBER('Sites'!P6)),'Sites'!P6*'Assumptions'!$B$44,0))*(1-'Responsibilities'!$F$6)+(IF(AND('Production schedule'!E378=1,13=MAX(('Sites'!F7+'Cases'!G9),13),ISNUMBER('Sites'!P7)),'Sites'!P7*'Assumptions'!$B$44,0))*(1-'Responsibilities'!$F$7)+(IF(AND('Production schedule'!E414=1,13=MAX(('Sites'!F8+'Cases'!G9),13),ISNUMBER('Sites'!P8)),'Sites'!P8*'Assumptions'!$B$44,0))*(1-'Responsibilities'!$F$8)</f>
        <v/>
      </c>
      <c r="BU126">
        <f>SUM('Costs'!E36)*'Costs'!F36/12*(1-'Responsibilities'!$C$12)+SUM('Costs'!E37)*'Costs'!F37/12*(1-'Responsibilities'!$C$13)+SUM('Costs'!E38)*'Costs'!F38/12*(1-'Responsibilities'!$C$14)+SUM('Costs'!E39)*'Costs'!F39/12*(1-'Responsibilities'!$C$15)+SUM('Costs'!E40)*'Costs'!F40/12*(1-'Responsibilities'!$C$16)</f>
        <v/>
      </c>
      <c r="BV126">
        <f>('Sites'!E6*'Capital'!E6*(IF(13='Capital'!G6,'Capital'!F6,0)+IF(13='Capital'!H6,1-'Capital'!F6,0)))*(1-'Responsibilities'!$G$6)+('Sites'!E7*'Capital'!E7*(IF(13='Capital'!G7+'Cases'!G9,'Capital'!F7,0)+IF(13='Capital'!H7+'Cases'!G9,1-'Capital'!F7,0)))*(1-'Responsibilities'!$G$7)+('Sites'!E8*'Cases'!F9*'Capital'!E8*(IF(13='Capital'!G8+'Cases'!G9,'Capital'!F8,0)+IF(13='Capital'!H8+'Cases'!G9,1-'Capital'!F8,0)))*(1-'Responsibilities'!$G$8)</f>
        <v/>
      </c>
      <c r="BW126">
        <f>SUM(BQ126:BV126)</f>
        <v/>
      </c>
      <c r="BX126">
        <f>N126+BW126</f>
        <v/>
      </c>
      <c r="BY126">
        <f>BX126-(('Production schedule'!AJ342)*'Responsibilities'!$C$6+('Production schedule'!AJ378)*'Responsibilities'!$C$7+('Production schedule'!AJ414)*'Responsibilities'!$C$8+('Production schedule'!AJ342)*(1-'Responsibilities'!$C$6)+('Production schedule'!AJ378)*(1-'Responsibilities'!$C$7)+('Production schedule'!AJ414)*(1-'Responsibilities'!$C$8)+('Production schedule'!AI342)*'Responsibilities'!$D$6+('Production schedule'!AI378)*'Responsibilities'!$D$7+('Production schedule'!AI414)*'Responsibilities'!$D$8+('Production schedule'!AI342)*(1-'Responsibilities'!$D$6)+('Production schedule'!AI378)*(1-'Responsibilities'!$D$7)+('Production schedule'!AI414)*(1-'Responsibilities'!$D$8)+('Production schedule'!E342*(IF('Sites'!D6="Annual staff",SUM('Assumptions'!P112,'Assumptions'!P114),0)+SUM('Assumptions'!P113,'Assumptions'!P115:P116)))*'Responsibilities'!$E$6+('Production schedule'!E378*(IF('Sites'!D7="Annual staff",SUM('Assumptions'!P117,'Assumptions'!P119),0)+SUM('Assumptions'!P118,'Assumptions'!P120:P121)))*'Responsibilities'!$E$7+('Production schedule'!E414*(IF('Sites'!D8="Annual staff",SUM('Assumptions'!P122,'Assumptions'!P124),0)+SUM('Assumptions'!P123,'Assumptions'!P125:P126)))*'Responsibilities'!$E$8+('Production schedule'!E342*(IF('Sites'!D6="Annual staff",SUM('Assumptions'!P112,'Assumptions'!P114),0)+SUM('Assumptions'!P113,'Assumptions'!P115:P116)))*(1-'Responsibilities'!$E$6)+('Production schedule'!E378*(IF('Sites'!D7="Annual staff",SUM('Assumptions'!P117,'Assumptions'!P119),0)+SUM('Assumptions'!P118,'Assumptions'!P120:P121)))*(1-'Responsibilities'!$E$7)+('Production schedule'!E414*(IF('Sites'!D8="Annual staff",SUM('Assumptions'!P122,'Assumptions'!P124),0)+SUM('Assumptions'!P123,'Assumptions'!P125:P126)))*(1-'Responsibilities'!$E$8)+(IF(AND('Production schedule'!E342=1,13=MAX(('Sites'!F6),13),ISNUMBER('Sites'!P6)),'Sites'!P6*'Assumptions'!$B$44,0))*'Responsibilities'!$F$6+(IF(AND('Production schedule'!E378=1,13=MAX(('Sites'!F7+'Cases'!G9),13),ISNUMBER('Sites'!P7)),'Sites'!P7*'Assumptions'!$B$44,0))*'Responsibilities'!$F$7+(IF(AND('Production schedule'!E414=1,13=MAX(('Sites'!F8+'Cases'!G9),13),ISNUMBER('Sites'!P8)),'Sites'!P8*'Assumptions'!$B$44,0))*'Responsibilities'!$F$8+(IF(AND('Production schedule'!E342=1,13=MAX(('Sites'!F6),13),ISNUMBER('Sites'!P6)),'Sites'!P6*'Assumptions'!$B$44,0))*(1-'Responsibilities'!$F$6)+(IF(AND('Production schedule'!E378=1,13=MAX(('Sites'!F7+'Cases'!G9),13),ISNUMBER('Sites'!P7)),'Sites'!P7*'Assumptions'!$B$44,0))*(1-'Responsibilities'!$F$7)+(IF(AND('Production schedule'!E414=1,13=MAX(('Sites'!F8+'Cases'!G9),13),ISNUMBER('Sites'!P8)),'Sites'!P8*'Assumptions'!$B$44,0))*(1-'Responsibilities'!$F$8)+('Sites'!E6*'Capital'!E6*(IF(13='Capital'!G6,'Capital'!F6,0)+IF(13='Capital'!H6,1-'Capital'!F6,0)))*'Responsibilities'!$G$6+('Sites'!E7*'Capital'!E7*(IF(13='Capital'!G7+'Cases'!G9,'Capital'!F7,0)+IF(13='Capital'!H7+'Cases'!G9,1-'Capital'!F7,0)))*'Responsibilities'!$G$7+('Sites'!E8*'Cases'!F9*'Capital'!E8*(IF(13='Capital'!G8+'Cases'!G9,'Capital'!F8,0)+IF(13='Capital'!H8+'Cases'!G9,1-'Capital'!F8,0)))*'Responsibilities'!$G$8+('Sites'!E6*'Capital'!E6*(IF(13='Capital'!G6,'Capital'!F6,0)+IF(13='Capital'!H6,1-'Capital'!F6,0)))*(1-'Responsibilities'!$G$6)+('Sites'!E7*'Capital'!E7*(IF(13='Capital'!G7+'Cases'!G9,'Capital'!F7,0)+IF(13='Capital'!H7+'Cases'!G9,1-'Capital'!F7,0)))*(1-'Responsibilities'!$G$7)+('Sites'!E8*'Cases'!F9*'Capital'!E8*(IF(13='Capital'!G8+'Cases'!G9,'Capital'!F8,0)+IF(13='Capital'!H8+'Cases'!G9,1-'Capital'!F8,0)))*(1-'Responsibilities'!$G$8)+I126+SUMPRODUCT('Costs'!$E$36:$E$40,'Costs'!$F$36:$F$40)/12+BZ126)</f>
        <v/>
      </c>
      <c r="BZ126">
        <f>SUMIFS('Responsibilities'!$B$31:$B$35,'Responsibilities'!$C$31:$C$35,13,'Responsibilities'!$D$31:$D$35,"Yes")</f>
        <v/>
      </c>
    </row>
    <row r="127" ht="28" customHeight="1">
      <c r="A127" s="4" t="inlineStr">
        <is>
          <t>Delayed receipts</t>
        </is>
      </c>
      <c r="B127" s="4" t="n">
        <v>14</v>
      </c>
      <c r="C127" s="4">
        <f>ROUNDUP(B127/12,0)</f>
        <v/>
      </c>
      <c r="D127" s="137">
        <f>SUMIFS('Production schedule'!$N$330:$N$437,'Production schedule'!$C$330:$C$437,14)</f>
        <v/>
      </c>
      <c r="E127" s="137">
        <f>SUMIFS('Production schedule'!$Y$330:$Y$437,'Production schedule'!$C$330:$C$437,14)</f>
        <v/>
      </c>
      <c r="F127" s="137">
        <f>SUMIFS('Production schedule'!$Z$330:$Z$437,'Production schedule'!$C$330:$C$437,14)</f>
        <v/>
      </c>
      <c r="G127" s="137">
        <f>('Production schedule'!AJ343)*'Responsibilities'!$C$6+('Production schedule'!AJ379)*'Responsibilities'!$C$7+('Production schedule'!AJ415)*'Responsibilities'!$C$8</f>
        <v/>
      </c>
      <c r="H127" s="137">
        <f>('Production schedule'!AI343)*'Responsibilities'!$D$6+('Production schedule'!AI379)*'Responsibilities'!$D$7+('Production schedule'!AI415)*'Responsibilities'!$D$8</f>
        <v/>
      </c>
      <c r="I127" s="137">
        <f>SUM('Assumptions'!Q58:Q65)</f>
        <v/>
      </c>
      <c r="J127" s="137">
        <f>('Production schedule'!E343*(IF('Sites'!D6="Annual staff",SUM('Assumptions'!Q112,'Assumptions'!Q114),0)+SUM('Assumptions'!Q113,'Assumptions'!Q115:Q116)))*'Responsibilities'!$E$6+('Production schedule'!E379*(IF('Sites'!D7="Annual staff",SUM('Assumptions'!Q117,'Assumptions'!Q119),0)+SUM('Assumptions'!Q118,'Assumptions'!Q120:Q121)))*'Responsibilities'!$E$7+('Production schedule'!E415*(IF('Sites'!D8="Annual staff",SUM('Assumptions'!Q122,'Assumptions'!Q124),0)+SUM('Assumptions'!Q123,'Assumptions'!Q125:Q126)))*'Responsibilities'!$E$8</f>
        <v/>
      </c>
      <c r="K127" s="137">
        <f>(IF(AND('Production schedule'!E343=1,14=MAX(('Sites'!F6),13),ISNUMBER('Sites'!P6)),'Sites'!P6*'Assumptions'!$B$44,0))*'Responsibilities'!$F$6+(IF(AND('Production schedule'!E379=1,14=MAX(('Sites'!F7+'Cases'!G9),13),ISNUMBER('Sites'!P7)),'Sites'!P7*'Assumptions'!$B$44,0))*'Responsibilities'!$F$7+(IF(AND('Production schedule'!E415=1,14=MAX(('Sites'!F8+'Cases'!G9),13),ISNUMBER('Sites'!P8)),'Sites'!P8*'Assumptions'!$B$44,0))*'Responsibilities'!$F$8</f>
        <v/>
      </c>
      <c r="L127" s="137">
        <f>SUM('Costs'!E36)*'Costs'!F36/12*'Responsibilities'!$C$12+SUM('Costs'!E37)*'Costs'!F37/12*'Responsibilities'!$C$13+SUM('Costs'!E38)*'Costs'!F38/12*'Responsibilities'!$C$14+SUM('Costs'!E39)*'Costs'!F39/12*'Responsibilities'!$C$15+SUM('Costs'!E40)*'Costs'!F40/12*'Responsibilities'!$C$16+BZ127</f>
        <v/>
      </c>
      <c r="M127" s="137">
        <f>('Sites'!E6*'Capital'!E6*(IF(14='Capital'!G6,'Capital'!F6,0)+IF(14='Capital'!H6,1-'Capital'!F6,0)))*'Responsibilities'!$G$6+('Sites'!E7*'Capital'!E7*(IF(14='Capital'!G7+'Cases'!G9,'Capital'!F7,0)+IF(14='Capital'!H7+'Cases'!G9,1-'Capital'!F7,0)))*'Responsibilities'!$G$7+('Sites'!E8*'Cases'!F9*'Capital'!E8*(IF(14='Capital'!G8+'Cases'!G9,'Capital'!F8,0)+IF(14='Capital'!H8+'Cases'!G9,1-'Capital'!F8,0)))*'Responsibilities'!$G$8</f>
        <v/>
      </c>
      <c r="N127" s="137">
        <f>SUM(G127:M127)</f>
        <v/>
      </c>
      <c r="O127" s="137">
        <f>SUMIFS(FundingTranches[Secured amount],FundingTranches[Instrument],"Grant",FundingTranches[Secured month],14)</f>
        <v/>
      </c>
      <c r="P127" s="137">
        <f>SUMIFS(FundingTranches[Delayed receipts possible],FundingTranches[Instrument],"Grant",FundingTranches[Scenario month],14-'Cases'!$D$9)</f>
        <v/>
      </c>
      <c r="Q127" s="137">
        <f>SUMIFS(FundingTranches[Secured amount],FundingTranches[Instrument],"Loan",FundingTranches[Secured month],14)</f>
        <v/>
      </c>
      <c r="R127" s="137">
        <f>SUMIFS(FundingTranches[Delayed receipts possible],FundingTranches[Instrument],"Loan",FundingTranches[Scenario month],14-'Cases'!$D$9)</f>
        <v/>
      </c>
      <c r="S127" s="137">
        <f>IF(14&lt;='Assumptions'!$B$34,0,SUMIFS('Production schedule'!$AL$330:$AL$437,'Production schedule'!$C$330:$C$437,14-'Assumptions'!$B$34))</f>
        <v/>
      </c>
      <c r="T127" s="137">
        <f>'Assumptions'!Q70</f>
        <v/>
      </c>
      <c r="U127" s="137">
        <f>'Assumptions'!Q78</f>
        <v/>
      </c>
      <c r="V127" s="137">
        <f>SUM(O127:U127)</f>
        <v/>
      </c>
      <c r="W127" s="137">
        <f>AA126</f>
        <v/>
      </c>
      <c r="X127" s="137">
        <f>SUM(Q127:R127)</f>
        <v/>
      </c>
      <c r="Y127" s="137">
        <f>SUM(W127,X127)*'Assumptions'!$B$39/12</f>
        <v/>
      </c>
      <c r="Z127" s="137">
        <f>IF(SUM(W127,X127)&gt;0,MIN(SUM(W127,X127),MAX(0,BP127-Y127)),0)</f>
        <v/>
      </c>
      <c r="AA127" s="137">
        <f>SUM(W127,X127)-Z127</f>
        <v/>
      </c>
      <c r="AB127" s="137">
        <f>SUM(Y127:Z127)</f>
        <v/>
      </c>
      <c r="AC127" s="137">
        <f>'Assumptions'!Q72</f>
        <v/>
      </c>
      <c r="AD127" s="137">
        <f>'Assumptions'!Q73</f>
        <v/>
      </c>
      <c r="AE127" s="137">
        <f>IF(X127&gt;0,SUM('Assumptions'!$B$42),0)</f>
        <v/>
      </c>
      <c r="AF127" s="137">
        <f>'Assumptions'!Q71</f>
        <v/>
      </c>
      <c r="AG127" s="137">
        <f>'Assumptions'!Q74</f>
        <v/>
      </c>
      <c r="AH127" s="137">
        <f>'Assumptions'!Q75</f>
        <v/>
      </c>
      <c r="AI127" s="137">
        <f>'Assumptions'!Q77</f>
        <v/>
      </c>
      <c r="AJ127" s="137">
        <f>V127-N127-SUM(AB127:AI127)</f>
        <v/>
      </c>
      <c r="AK127" s="137">
        <f>SUM(AJ114:AJ127)</f>
        <v/>
      </c>
      <c r="AL127" s="137">
        <f>IF(ISNUMBER('Assumptions'!$B$10),'Assumptions'!$B$10+AK127,"")</f>
        <v/>
      </c>
      <c r="AM127" s="137">
        <f>SUM(O127,Q127,T127)-N127-SUM(AC127:AI127)+IF('Funding'!$N$11=0,AE127,0)-IF('Funding'!$N$11&gt;0,AB127,0)</f>
        <v/>
      </c>
      <c r="AN127" s="137">
        <f>SUM(AM114:AM127)</f>
        <v/>
      </c>
      <c r="AO127" s="137">
        <f>IF(ISNUMBER('Assumptions'!$B$10),'Assumptions'!$B$10+AN127,"")</f>
        <v/>
      </c>
      <c r="AP127" s="137">
        <f>('Production schedule'!AK343)*'Responsibilities'!$C$6+('Production schedule'!AK379)*'Responsibilities'!$C$7+('Production schedule'!AK415)*'Responsibilities'!$C$8</f>
        <v/>
      </c>
      <c r="AQ127" s="137">
        <f>SUMIFS('Production schedule'!$AL$330:$AL$437,'Production schedule'!$C$330:$C$437,14)</f>
        <v/>
      </c>
      <c r="AR127" s="137">
        <f>IF(ISNUMBER('Assumptions'!Q76),'Assumptions'!Q76,SUM(O127:P127))</f>
        <v/>
      </c>
      <c r="AS127" s="137">
        <f>IF(ISNUMBER('Assumptions'!$B$13),MIN('Assumptions'!$B$13/'Assumptions'!$B$18/12,MAX(0,'Assumptions'!$B$13-(14-1)*'Assumptions'!$B$13/'Assumptions'!$B$18/12)),0)+IF(AND('Sites'!E6=1,14&gt;=('Sites'!F6),14&lt;('Sites'!F6)+'Assumptions'!$B$18*12),'Capital'!E6/'Assumptions'!$B$18/12,0)+IF(AND('Sites'!E7=1,14&gt;=('Sites'!F7+'Cases'!G9),14&lt;('Sites'!F7+'Cases'!G9)+'Assumptions'!$B$18*12),'Capital'!E7/'Assumptions'!$B$18/12,0)+IF(AND('Sites'!E8*'Cases'!F9=1,14&gt;=('Sites'!F8+'Cases'!G9),14&lt;('Sites'!F8+'Cases'!G9)+'Assumptions'!$B$18*12),'Capital'!E8/'Assumptions'!$B$18/12,0)</f>
        <v/>
      </c>
      <c r="AT127" s="137">
        <f>SUM(AQ127,AR127,U127)-AP127-SUM(H127:L127)-AS127-SUM(Y127,AD127,AE127,AH127)</f>
        <v/>
      </c>
      <c r="AU127" s="137">
        <f>IF(ISNUMBER('Assumptions'!$B$19),MAX(0,SUM(AT126:AT127))*'Assumptions'!$B$19-SUM(AU126:AU126),"")</f>
        <v/>
      </c>
      <c r="AV127" s="137">
        <f>IF(ISNUMBER(AU127),AT127-AU127,"")</f>
        <v/>
      </c>
      <c r="AW127" s="137">
        <f>IF(ISNUMBER('Assumptions'!$B$11),'Assumptions'!$B$11+SUM(AQ114:AQ127)-SUM(S114:S127)-SUM(T114:T127),"")</f>
        <v/>
      </c>
      <c r="AX127" s="137">
        <f>IF(ISNUMBER('Assumptions'!$B$12),'Assumptions'!$B$12+SUM(G114:G127)-SUM(AP114:AP127),"")</f>
        <v/>
      </c>
      <c r="AY127" s="137">
        <f>IF(ISNUMBER('Assumptions'!$B$13),'Assumptions'!$B$13+SUM(M114:M127)-SUM(AS114:AS127),"")</f>
        <v/>
      </c>
      <c r="AZ127" s="137">
        <f>IF(ISNUMBER('Assumptions'!$B$14),'Assumptions'!$B$14+-SUM(AF114:AF127),"")</f>
        <v/>
      </c>
      <c r="BA127" s="137">
        <f>IF(ISNUMBER('Assumptions'!$B$15),'Assumptions'!$B$15+SUM(O114:O127)+SUM(P114:P127)-SUM(AR114:AR127),"")</f>
        <v/>
      </c>
      <c r="BB127" s="137">
        <f>IF(ISNUMBER('Assumptions'!$B$16),'Assumptions'!$B$16+-SUM(AC114:AC127),"")</f>
        <v/>
      </c>
      <c r="BC127" s="137">
        <f>IF(AND(ISNUMBER('Assumptions'!$B$21),ISNUMBER('Assumptions'!$B$19)),'Assumptions'!$B$21+SUM(AU114:AU127)-SUM(AG114:AG127),"")</f>
        <v/>
      </c>
      <c r="BD127" s="137">
        <f>IF(ISNUMBER('Assumptions'!$B$20),'Assumptions'!$B$20+-SUM(AI114:AI127),"")</f>
        <v/>
      </c>
      <c r="BE127" s="137">
        <f>IF(AND(ISNUMBER('Assumptions'!$B$17),COUNT(AV114:AV127)=14),'Assumptions'!$B$17+SUM(AV114:AV127),"")</f>
        <v/>
      </c>
      <c r="BF127" s="137">
        <f>IF(COUNT(AL127,AW127:AY127)=4,SUM(AL127,AW127:AY127),"")</f>
        <v/>
      </c>
      <c r="BG127" s="137">
        <f>IF(COUNT(AZ127:BD127)=5,SUM(AZ127:BD127,AA127),"")</f>
        <v/>
      </c>
      <c r="BH127" s="137">
        <f>IF(COUNT(BF127,BG127,BE127)=3,BF127-BG127-BE127,"")</f>
        <v/>
      </c>
      <c r="BI127" s="137">
        <f>SUM(W127,X127)-Z127-AA127</f>
        <v/>
      </c>
      <c r="BJ127" s="137">
        <f>8-COUNT('Assumptions'!Q58:Q65)+COUNTBLANK('NM Play'!B33:B34)+'Costs'!E44+IF(AND('Sites'!E6=1,('Sites'!F6)&lt;=24,'Sites'!G6&gt;=13),IF(ISNUMBER('Sites'!P6),0,1)+'Capital'!I6+COUNTBLANK('Sites'!R6)+IF('Sites'!D6="NM crew",COUNTBLANK('NM Play'!B25)+1,5-COUNT('Assumptions'!Q112:Q116)),0)+IF(AND('Sites'!E7=1,('Sites'!F7+'Cases'!G9)&lt;=24,'Sites'!G7&gt;=13),IF(ISNUMBER('Sites'!P7),0,1)+'Capital'!I7+COUNTBLANK('Sites'!R7)+IF('Sites'!D7="NM crew",COUNTBLANK('NM Play'!B25)+1,5-COUNT('Assumptions'!Q117:Q121)),0)+IF(AND('Sites'!E8*'Cases'!F9=1,('Sites'!F8+'Cases'!G9)&lt;=24,'Sites'!G8&gt;=13),IF(ISNUMBER('Sites'!P8),0,1)+'Capital'!I8+COUNTBLANK('Sites'!R8)+IF('Sites'!D8="NM crew",COUNTBLANK('NM Play'!B25)+1,5-COUNT('Assumptions'!Q122:Q126)),0)+IF(AND('Cases'!C9&gt;0,NOT(ISNUMBER('Assumptions'!B42))),1,0)+'Responsibilities'!$B$39</f>
        <v/>
      </c>
      <c r="BK127" s="137">
        <f>'Assumptions'!$B$50+'NM Play'!$B$83+'Funding'!$F$20+SUMIFS('Production schedule'!$AN$330:$AN$437,'Production schedule'!$C$330:$C$437,14)+IF(OR('Cases'!E9&lt;0,'Cases'!E9&gt;1,'Cases'!C9&lt;0,'Cases'!D9&lt;0,ABS(SUM('Sites'!S6:S8)-1)&gt;0.0001,MIN('Capital'!F6:F8)&lt;0,MAX('Capital'!F6:F8)&gt;1,MIN(AX127,AZ127,BB127,BA127)&lt;-0.01),1,0)+'Responsibilities'!$B$40</f>
        <v/>
      </c>
      <c r="BL127" s="137">
        <f>SUMIFS('Production schedule'!$T$330:$T$437,'Production schedule'!$C$330:$C$437,14)</f>
        <v/>
      </c>
      <c r="BM127" s="137">
        <f>D127*'NM Play'!$B$38</f>
        <v/>
      </c>
      <c r="BN127" s="137">
        <f>SUMIFS('Production schedule'!$AM$330:$AM$437,'Production schedule'!$C$330:$C$437,14)</f>
        <v/>
      </c>
      <c r="BO127" s="137">
        <f>AK127-AK126-AJ127</f>
        <v/>
      </c>
      <c r="BP127" s="137">
        <f>IF(AND('Assumptions'!$B$39&gt;=0,'Assumptions'!$B$40&gt;0),-PMT('Assumptions'!$B$39/12,'Assumptions'!$B$40*12,IF('Funding'!$N$11&gt;0,'Funding'!$N$11,'Funding'!$U$11)),"")</f>
        <v/>
      </c>
      <c r="BQ127">
        <f>('Production schedule'!AJ343)*(1-'Responsibilities'!$C$6)+('Production schedule'!AJ379)*(1-'Responsibilities'!$C$7)+('Production schedule'!AJ415)*(1-'Responsibilities'!$C$8)</f>
        <v/>
      </c>
      <c r="BR127">
        <f>('Production schedule'!AI343)*(1-'Responsibilities'!$D$6)+('Production schedule'!AI379)*(1-'Responsibilities'!$D$7)+('Production schedule'!AI415)*(1-'Responsibilities'!$D$8)</f>
        <v/>
      </c>
      <c r="BS127">
        <f>('Production schedule'!E343*(IF('Sites'!D6="Annual staff",SUM('Assumptions'!Q112,'Assumptions'!Q114),0)+SUM('Assumptions'!Q113,'Assumptions'!Q115:Q116)))*(1-'Responsibilities'!$E$6)+('Production schedule'!E379*(IF('Sites'!D7="Annual staff",SUM('Assumptions'!Q117,'Assumptions'!Q119),0)+SUM('Assumptions'!Q118,'Assumptions'!Q120:Q121)))*(1-'Responsibilities'!$E$7)+('Production schedule'!E415*(IF('Sites'!D8="Annual staff",SUM('Assumptions'!Q122,'Assumptions'!Q124),0)+SUM('Assumptions'!Q123,'Assumptions'!Q125:Q126)))*(1-'Responsibilities'!$E$8)</f>
        <v/>
      </c>
      <c r="BT127">
        <f>(IF(AND('Production schedule'!E343=1,14=MAX(('Sites'!F6),13),ISNUMBER('Sites'!P6)),'Sites'!P6*'Assumptions'!$B$44,0))*(1-'Responsibilities'!$F$6)+(IF(AND('Production schedule'!E379=1,14=MAX(('Sites'!F7+'Cases'!G9),13),ISNUMBER('Sites'!P7)),'Sites'!P7*'Assumptions'!$B$44,0))*(1-'Responsibilities'!$F$7)+(IF(AND('Production schedule'!E415=1,14=MAX(('Sites'!F8+'Cases'!G9),13),ISNUMBER('Sites'!P8)),'Sites'!P8*'Assumptions'!$B$44,0))*(1-'Responsibilities'!$F$8)</f>
        <v/>
      </c>
      <c r="BU127">
        <f>SUM('Costs'!E36)*'Costs'!F36/12*(1-'Responsibilities'!$C$12)+SUM('Costs'!E37)*'Costs'!F37/12*(1-'Responsibilities'!$C$13)+SUM('Costs'!E38)*'Costs'!F38/12*(1-'Responsibilities'!$C$14)+SUM('Costs'!E39)*'Costs'!F39/12*(1-'Responsibilities'!$C$15)+SUM('Costs'!E40)*'Costs'!F40/12*(1-'Responsibilities'!$C$16)</f>
        <v/>
      </c>
      <c r="BV127">
        <f>('Sites'!E6*'Capital'!E6*(IF(14='Capital'!G6,'Capital'!F6,0)+IF(14='Capital'!H6,1-'Capital'!F6,0)))*(1-'Responsibilities'!$G$6)+('Sites'!E7*'Capital'!E7*(IF(14='Capital'!G7+'Cases'!G9,'Capital'!F7,0)+IF(14='Capital'!H7+'Cases'!G9,1-'Capital'!F7,0)))*(1-'Responsibilities'!$G$7)+('Sites'!E8*'Cases'!F9*'Capital'!E8*(IF(14='Capital'!G8+'Cases'!G9,'Capital'!F8,0)+IF(14='Capital'!H8+'Cases'!G9,1-'Capital'!F8,0)))*(1-'Responsibilities'!$G$8)</f>
        <v/>
      </c>
      <c r="BW127">
        <f>SUM(BQ127:BV127)</f>
        <v/>
      </c>
      <c r="BX127">
        <f>N127+BW127</f>
        <v/>
      </c>
      <c r="BY127">
        <f>BX127-(('Production schedule'!AJ343)*'Responsibilities'!$C$6+('Production schedule'!AJ379)*'Responsibilities'!$C$7+('Production schedule'!AJ415)*'Responsibilities'!$C$8+('Production schedule'!AJ343)*(1-'Responsibilities'!$C$6)+('Production schedule'!AJ379)*(1-'Responsibilities'!$C$7)+('Production schedule'!AJ415)*(1-'Responsibilities'!$C$8)+('Production schedule'!AI343)*'Responsibilities'!$D$6+('Production schedule'!AI379)*'Responsibilities'!$D$7+('Production schedule'!AI415)*'Responsibilities'!$D$8+('Production schedule'!AI343)*(1-'Responsibilities'!$D$6)+('Production schedule'!AI379)*(1-'Responsibilities'!$D$7)+('Production schedule'!AI415)*(1-'Responsibilities'!$D$8)+('Production schedule'!E343*(IF('Sites'!D6="Annual staff",SUM('Assumptions'!Q112,'Assumptions'!Q114),0)+SUM('Assumptions'!Q113,'Assumptions'!Q115:Q116)))*'Responsibilities'!$E$6+('Production schedule'!E379*(IF('Sites'!D7="Annual staff",SUM('Assumptions'!Q117,'Assumptions'!Q119),0)+SUM('Assumptions'!Q118,'Assumptions'!Q120:Q121)))*'Responsibilities'!$E$7+('Production schedule'!E415*(IF('Sites'!D8="Annual staff",SUM('Assumptions'!Q122,'Assumptions'!Q124),0)+SUM('Assumptions'!Q123,'Assumptions'!Q125:Q126)))*'Responsibilities'!$E$8+('Production schedule'!E343*(IF('Sites'!D6="Annual staff",SUM('Assumptions'!Q112,'Assumptions'!Q114),0)+SUM('Assumptions'!Q113,'Assumptions'!Q115:Q116)))*(1-'Responsibilities'!$E$6)+('Production schedule'!E379*(IF('Sites'!D7="Annual staff",SUM('Assumptions'!Q117,'Assumptions'!Q119),0)+SUM('Assumptions'!Q118,'Assumptions'!Q120:Q121)))*(1-'Responsibilities'!$E$7)+('Production schedule'!E415*(IF('Sites'!D8="Annual staff",SUM('Assumptions'!Q122,'Assumptions'!Q124),0)+SUM('Assumptions'!Q123,'Assumptions'!Q125:Q126)))*(1-'Responsibilities'!$E$8)+(IF(AND('Production schedule'!E343=1,14=MAX(('Sites'!F6),13),ISNUMBER('Sites'!P6)),'Sites'!P6*'Assumptions'!$B$44,0))*'Responsibilities'!$F$6+(IF(AND('Production schedule'!E379=1,14=MAX(('Sites'!F7+'Cases'!G9),13),ISNUMBER('Sites'!P7)),'Sites'!P7*'Assumptions'!$B$44,0))*'Responsibilities'!$F$7+(IF(AND('Production schedule'!E415=1,14=MAX(('Sites'!F8+'Cases'!G9),13),ISNUMBER('Sites'!P8)),'Sites'!P8*'Assumptions'!$B$44,0))*'Responsibilities'!$F$8+(IF(AND('Production schedule'!E343=1,14=MAX(('Sites'!F6),13),ISNUMBER('Sites'!P6)),'Sites'!P6*'Assumptions'!$B$44,0))*(1-'Responsibilities'!$F$6)+(IF(AND('Production schedule'!E379=1,14=MAX(('Sites'!F7+'Cases'!G9),13),ISNUMBER('Sites'!P7)),'Sites'!P7*'Assumptions'!$B$44,0))*(1-'Responsibilities'!$F$7)+(IF(AND('Production schedule'!E415=1,14=MAX(('Sites'!F8+'Cases'!G9),13),ISNUMBER('Sites'!P8)),'Sites'!P8*'Assumptions'!$B$44,0))*(1-'Responsibilities'!$F$8)+('Sites'!E6*'Capital'!E6*(IF(14='Capital'!G6,'Capital'!F6,0)+IF(14='Capital'!H6,1-'Capital'!F6,0)))*'Responsibilities'!$G$6+('Sites'!E7*'Capital'!E7*(IF(14='Capital'!G7+'Cases'!G9,'Capital'!F7,0)+IF(14='Capital'!H7+'Cases'!G9,1-'Capital'!F7,0)))*'Responsibilities'!$G$7+('Sites'!E8*'Cases'!F9*'Capital'!E8*(IF(14='Capital'!G8+'Cases'!G9,'Capital'!F8,0)+IF(14='Capital'!H8+'Cases'!G9,1-'Capital'!F8,0)))*'Responsibilities'!$G$8+('Sites'!E6*'Capital'!E6*(IF(14='Capital'!G6,'Capital'!F6,0)+IF(14='Capital'!H6,1-'Capital'!F6,0)))*(1-'Responsibilities'!$G$6)+('Sites'!E7*'Capital'!E7*(IF(14='Capital'!G7+'Cases'!G9,'Capital'!F7,0)+IF(14='Capital'!H7+'Cases'!G9,1-'Capital'!F7,0)))*(1-'Responsibilities'!$G$7)+('Sites'!E8*'Cases'!F9*'Capital'!E8*(IF(14='Capital'!G8+'Cases'!G9,'Capital'!F8,0)+IF(14='Capital'!H8+'Cases'!G9,1-'Capital'!F8,0)))*(1-'Responsibilities'!$G$8)+I127+SUMPRODUCT('Costs'!$E$36:$E$40,'Costs'!$F$36:$F$40)/12+BZ127)</f>
        <v/>
      </c>
      <c r="BZ127">
        <f>SUMIFS('Responsibilities'!$B$31:$B$35,'Responsibilities'!$C$31:$C$35,14,'Responsibilities'!$D$31:$D$35,"Yes")</f>
        <v/>
      </c>
    </row>
    <row r="128" ht="28" customHeight="1">
      <c r="A128" s="4" t="inlineStr">
        <is>
          <t>Delayed receipts</t>
        </is>
      </c>
      <c r="B128" s="4" t="n">
        <v>15</v>
      </c>
      <c r="C128" s="4">
        <f>ROUNDUP(B128/12,0)</f>
        <v/>
      </c>
      <c r="D128" s="137">
        <f>SUMIFS('Production schedule'!$N$330:$N$437,'Production schedule'!$C$330:$C$437,15)</f>
        <v/>
      </c>
      <c r="E128" s="137">
        <f>SUMIFS('Production schedule'!$Y$330:$Y$437,'Production schedule'!$C$330:$C$437,15)</f>
        <v/>
      </c>
      <c r="F128" s="137">
        <f>SUMIFS('Production schedule'!$Z$330:$Z$437,'Production schedule'!$C$330:$C$437,15)</f>
        <v/>
      </c>
      <c r="G128" s="137">
        <f>('Production schedule'!AJ344)*'Responsibilities'!$C$6+('Production schedule'!AJ380)*'Responsibilities'!$C$7+('Production schedule'!AJ416)*'Responsibilities'!$C$8</f>
        <v/>
      </c>
      <c r="H128" s="137">
        <f>('Production schedule'!AI344)*'Responsibilities'!$D$6+('Production schedule'!AI380)*'Responsibilities'!$D$7+('Production schedule'!AI416)*'Responsibilities'!$D$8</f>
        <v/>
      </c>
      <c r="I128" s="137">
        <f>SUM('Assumptions'!R58:R65)</f>
        <v/>
      </c>
      <c r="J128" s="137">
        <f>('Production schedule'!E344*(IF('Sites'!D6="Annual staff",SUM('Assumptions'!R112,'Assumptions'!R114),0)+SUM('Assumptions'!R113,'Assumptions'!R115:R116)))*'Responsibilities'!$E$6+('Production schedule'!E380*(IF('Sites'!D7="Annual staff",SUM('Assumptions'!R117,'Assumptions'!R119),0)+SUM('Assumptions'!R118,'Assumptions'!R120:R121)))*'Responsibilities'!$E$7+('Production schedule'!E416*(IF('Sites'!D8="Annual staff",SUM('Assumptions'!R122,'Assumptions'!R124),0)+SUM('Assumptions'!R123,'Assumptions'!R125:R126)))*'Responsibilities'!$E$8</f>
        <v/>
      </c>
      <c r="K128" s="137">
        <f>(IF(AND('Production schedule'!E344=1,15=MAX(('Sites'!F6),13),ISNUMBER('Sites'!P6)),'Sites'!P6*'Assumptions'!$B$44,0))*'Responsibilities'!$F$6+(IF(AND('Production schedule'!E380=1,15=MAX(('Sites'!F7+'Cases'!G9),13),ISNUMBER('Sites'!P7)),'Sites'!P7*'Assumptions'!$B$44,0))*'Responsibilities'!$F$7+(IF(AND('Production schedule'!E416=1,15=MAX(('Sites'!F8+'Cases'!G9),13),ISNUMBER('Sites'!P8)),'Sites'!P8*'Assumptions'!$B$44,0))*'Responsibilities'!$F$8</f>
        <v/>
      </c>
      <c r="L128" s="137">
        <f>SUM('Costs'!E36)*'Costs'!F36/12*'Responsibilities'!$C$12+SUM('Costs'!E37)*'Costs'!F37/12*'Responsibilities'!$C$13+SUM('Costs'!E38)*'Costs'!F38/12*'Responsibilities'!$C$14+SUM('Costs'!E39)*'Costs'!F39/12*'Responsibilities'!$C$15+SUM('Costs'!E40)*'Costs'!F40/12*'Responsibilities'!$C$16+BZ128</f>
        <v/>
      </c>
      <c r="M128" s="137">
        <f>('Sites'!E6*'Capital'!E6*(IF(15='Capital'!G6,'Capital'!F6,0)+IF(15='Capital'!H6,1-'Capital'!F6,0)))*'Responsibilities'!$G$6+('Sites'!E7*'Capital'!E7*(IF(15='Capital'!G7+'Cases'!G9,'Capital'!F7,0)+IF(15='Capital'!H7+'Cases'!G9,1-'Capital'!F7,0)))*'Responsibilities'!$G$7+('Sites'!E8*'Cases'!F9*'Capital'!E8*(IF(15='Capital'!G8+'Cases'!G9,'Capital'!F8,0)+IF(15='Capital'!H8+'Cases'!G9,1-'Capital'!F8,0)))*'Responsibilities'!$G$8</f>
        <v/>
      </c>
      <c r="N128" s="137">
        <f>SUM(G128:M128)</f>
        <v/>
      </c>
      <c r="O128" s="137">
        <f>SUMIFS(FundingTranches[Secured amount],FundingTranches[Instrument],"Grant",FundingTranches[Secured month],15)</f>
        <v/>
      </c>
      <c r="P128" s="137">
        <f>SUMIFS(FundingTranches[Delayed receipts possible],FundingTranches[Instrument],"Grant",FundingTranches[Scenario month],15-'Cases'!$D$9)</f>
        <v/>
      </c>
      <c r="Q128" s="137">
        <f>SUMIFS(FundingTranches[Secured amount],FundingTranches[Instrument],"Loan",FundingTranches[Secured month],15)</f>
        <v/>
      </c>
      <c r="R128" s="137">
        <f>SUMIFS(FundingTranches[Delayed receipts possible],FundingTranches[Instrument],"Loan",FundingTranches[Scenario month],15-'Cases'!$D$9)</f>
        <v/>
      </c>
      <c r="S128" s="137">
        <f>IF(15&lt;='Assumptions'!$B$34,0,SUMIFS('Production schedule'!$AL$330:$AL$437,'Production schedule'!$C$330:$C$437,15-'Assumptions'!$B$34))</f>
        <v/>
      </c>
      <c r="T128" s="137">
        <f>'Assumptions'!R70</f>
        <v/>
      </c>
      <c r="U128" s="137">
        <f>'Assumptions'!R78</f>
        <v/>
      </c>
      <c r="V128" s="137">
        <f>SUM(O128:U128)</f>
        <v/>
      </c>
      <c r="W128" s="137">
        <f>AA127</f>
        <v/>
      </c>
      <c r="X128" s="137">
        <f>SUM(Q128:R128)</f>
        <v/>
      </c>
      <c r="Y128" s="137">
        <f>SUM(W128,X128)*'Assumptions'!$B$39/12</f>
        <v/>
      </c>
      <c r="Z128" s="137">
        <f>IF(SUM(W128,X128)&gt;0,MIN(SUM(W128,X128),MAX(0,BP128-Y128)),0)</f>
        <v/>
      </c>
      <c r="AA128" s="137">
        <f>SUM(W128,X128)-Z128</f>
        <v/>
      </c>
      <c r="AB128" s="137">
        <f>SUM(Y128:Z128)</f>
        <v/>
      </c>
      <c r="AC128" s="137">
        <f>'Assumptions'!R72</f>
        <v/>
      </c>
      <c r="AD128" s="137">
        <f>'Assumptions'!R73</f>
        <v/>
      </c>
      <c r="AE128" s="137">
        <f>IF(X128&gt;0,SUM('Assumptions'!$B$42),0)</f>
        <v/>
      </c>
      <c r="AF128" s="137">
        <f>'Assumptions'!R71</f>
        <v/>
      </c>
      <c r="AG128" s="137">
        <f>'Assumptions'!R74</f>
        <v/>
      </c>
      <c r="AH128" s="137">
        <f>'Assumptions'!R75</f>
        <v/>
      </c>
      <c r="AI128" s="137">
        <f>'Assumptions'!R77</f>
        <v/>
      </c>
      <c r="AJ128" s="137">
        <f>V128-N128-SUM(AB128:AI128)</f>
        <v/>
      </c>
      <c r="AK128" s="137">
        <f>SUM(AJ114:AJ128)</f>
        <v/>
      </c>
      <c r="AL128" s="137">
        <f>IF(ISNUMBER('Assumptions'!$B$10),'Assumptions'!$B$10+AK128,"")</f>
        <v/>
      </c>
      <c r="AM128" s="137">
        <f>SUM(O128,Q128,T128)-N128-SUM(AC128:AI128)+IF('Funding'!$N$11=0,AE128,0)-IF('Funding'!$N$11&gt;0,AB128,0)</f>
        <v/>
      </c>
      <c r="AN128" s="137">
        <f>SUM(AM114:AM128)</f>
        <v/>
      </c>
      <c r="AO128" s="137">
        <f>IF(ISNUMBER('Assumptions'!$B$10),'Assumptions'!$B$10+AN128,"")</f>
        <v/>
      </c>
      <c r="AP128" s="137">
        <f>('Production schedule'!AK344)*'Responsibilities'!$C$6+('Production schedule'!AK380)*'Responsibilities'!$C$7+('Production schedule'!AK416)*'Responsibilities'!$C$8</f>
        <v/>
      </c>
      <c r="AQ128" s="137">
        <f>SUMIFS('Production schedule'!$AL$330:$AL$437,'Production schedule'!$C$330:$C$437,15)</f>
        <v/>
      </c>
      <c r="AR128" s="137">
        <f>IF(ISNUMBER('Assumptions'!R76),'Assumptions'!R76,SUM(O128:P128))</f>
        <v/>
      </c>
      <c r="AS128" s="137">
        <f>IF(ISNUMBER('Assumptions'!$B$13),MIN('Assumptions'!$B$13/'Assumptions'!$B$18/12,MAX(0,'Assumptions'!$B$13-(15-1)*'Assumptions'!$B$13/'Assumptions'!$B$18/12)),0)+IF(AND('Sites'!E6=1,15&gt;=('Sites'!F6),15&lt;('Sites'!F6)+'Assumptions'!$B$18*12),'Capital'!E6/'Assumptions'!$B$18/12,0)+IF(AND('Sites'!E7=1,15&gt;=('Sites'!F7+'Cases'!G9),15&lt;('Sites'!F7+'Cases'!G9)+'Assumptions'!$B$18*12),'Capital'!E7/'Assumptions'!$B$18/12,0)+IF(AND('Sites'!E8*'Cases'!F9=1,15&gt;=('Sites'!F8+'Cases'!G9),15&lt;('Sites'!F8+'Cases'!G9)+'Assumptions'!$B$18*12),'Capital'!E8/'Assumptions'!$B$18/12,0)</f>
        <v/>
      </c>
      <c r="AT128" s="137">
        <f>SUM(AQ128,AR128,U128)-AP128-SUM(H128:L128)-AS128-SUM(Y128,AD128,AE128,AH128)</f>
        <v/>
      </c>
      <c r="AU128" s="137">
        <f>IF(ISNUMBER('Assumptions'!$B$19),MAX(0,SUM(AT126:AT128))*'Assumptions'!$B$19-SUM(AU126:AU127),"")</f>
        <v/>
      </c>
      <c r="AV128" s="137">
        <f>IF(ISNUMBER(AU128),AT128-AU128,"")</f>
        <v/>
      </c>
      <c r="AW128" s="137">
        <f>IF(ISNUMBER('Assumptions'!$B$11),'Assumptions'!$B$11+SUM(AQ114:AQ128)-SUM(S114:S128)-SUM(T114:T128),"")</f>
        <v/>
      </c>
      <c r="AX128" s="137">
        <f>IF(ISNUMBER('Assumptions'!$B$12),'Assumptions'!$B$12+SUM(G114:G128)-SUM(AP114:AP128),"")</f>
        <v/>
      </c>
      <c r="AY128" s="137">
        <f>IF(ISNUMBER('Assumptions'!$B$13),'Assumptions'!$B$13+SUM(M114:M128)-SUM(AS114:AS128),"")</f>
        <v/>
      </c>
      <c r="AZ128" s="137">
        <f>IF(ISNUMBER('Assumptions'!$B$14),'Assumptions'!$B$14+-SUM(AF114:AF128),"")</f>
        <v/>
      </c>
      <c r="BA128" s="137">
        <f>IF(ISNUMBER('Assumptions'!$B$15),'Assumptions'!$B$15+SUM(O114:O128)+SUM(P114:P128)-SUM(AR114:AR128),"")</f>
        <v/>
      </c>
      <c r="BB128" s="137">
        <f>IF(ISNUMBER('Assumptions'!$B$16),'Assumptions'!$B$16+-SUM(AC114:AC128),"")</f>
        <v/>
      </c>
      <c r="BC128" s="137">
        <f>IF(AND(ISNUMBER('Assumptions'!$B$21),ISNUMBER('Assumptions'!$B$19)),'Assumptions'!$B$21+SUM(AU114:AU128)-SUM(AG114:AG128),"")</f>
        <v/>
      </c>
      <c r="BD128" s="137">
        <f>IF(ISNUMBER('Assumptions'!$B$20),'Assumptions'!$B$20+-SUM(AI114:AI128),"")</f>
        <v/>
      </c>
      <c r="BE128" s="137">
        <f>IF(AND(ISNUMBER('Assumptions'!$B$17),COUNT(AV114:AV128)=15),'Assumptions'!$B$17+SUM(AV114:AV128),"")</f>
        <v/>
      </c>
      <c r="BF128" s="137">
        <f>IF(COUNT(AL128,AW128:AY128)=4,SUM(AL128,AW128:AY128),"")</f>
        <v/>
      </c>
      <c r="BG128" s="137">
        <f>IF(COUNT(AZ128:BD128)=5,SUM(AZ128:BD128,AA128),"")</f>
        <v/>
      </c>
      <c r="BH128" s="137">
        <f>IF(COUNT(BF128,BG128,BE128)=3,BF128-BG128-BE128,"")</f>
        <v/>
      </c>
      <c r="BI128" s="137">
        <f>SUM(W128,X128)-Z128-AA128</f>
        <v/>
      </c>
      <c r="BJ128" s="137">
        <f>8-COUNT('Assumptions'!R58:R65)+COUNTBLANK('NM Play'!B33:B34)+'Costs'!E44+IF(AND('Sites'!E6=1,('Sites'!F6)&lt;=24,'Sites'!G6&gt;=13),IF(ISNUMBER('Sites'!P6),0,1)+'Capital'!I6+COUNTBLANK('Sites'!R6)+IF('Sites'!D6="NM crew",COUNTBLANK('NM Play'!B25)+1,5-COUNT('Assumptions'!R112:R116)),0)+IF(AND('Sites'!E7=1,('Sites'!F7+'Cases'!G9)&lt;=24,'Sites'!G7&gt;=13),IF(ISNUMBER('Sites'!P7),0,1)+'Capital'!I7+COUNTBLANK('Sites'!R7)+IF('Sites'!D7="NM crew",COUNTBLANK('NM Play'!B25)+1,5-COUNT('Assumptions'!R117:R121)),0)+IF(AND('Sites'!E8*'Cases'!F9=1,('Sites'!F8+'Cases'!G9)&lt;=24,'Sites'!G8&gt;=13),IF(ISNUMBER('Sites'!P8),0,1)+'Capital'!I8+COUNTBLANK('Sites'!R8)+IF('Sites'!D8="NM crew",COUNTBLANK('NM Play'!B25)+1,5-COUNT('Assumptions'!R122:R126)),0)+IF(AND('Cases'!C9&gt;0,NOT(ISNUMBER('Assumptions'!B42))),1,0)+'Responsibilities'!$B$39</f>
        <v/>
      </c>
      <c r="BK128" s="137">
        <f>'Assumptions'!$B$50+'NM Play'!$B$83+'Funding'!$F$20+SUMIFS('Production schedule'!$AN$330:$AN$437,'Production schedule'!$C$330:$C$437,15)+IF(OR('Cases'!E9&lt;0,'Cases'!E9&gt;1,'Cases'!C9&lt;0,'Cases'!D9&lt;0,ABS(SUM('Sites'!S6:S8)-1)&gt;0.0001,MIN('Capital'!F6:F8)&lt;0,MAX('Capital'!F6:F8)&gt;1,MIN(AX128,AZ128,BB128,BA128)&lt;-0.01),1,0)+'Responsibilities'!$B$40</f>
        <v/>
      </c>
      <c r="BL128" s="137">
        <f>SUMIFS('Production schedule'!$T$330:$T$437,'Production schedule'!$C$330:$C$437,15)</f>
        <v/>
      </c>
      <c r="BM128" s="137">
        <f>D128*'NM Play'!$B$38</f>
        <v/>
      </c>
      <c r="BN128" s="137">
        <f>SUMIFS('Production schedule'!$AM$330:$AM$437,'Production schedule'!$C$330:$C$437,15)</f>
        <v/>
      </c>
      <c r="BO128" s="137">
        <f>AK128-AK127-AJ128</f>
        <v/>
      </c>
      <c r="BP128" s="137">
        <f>IF(AND('Assumptions'!$B$39&gt;=0,'Assumptions'!$B$40&gt;0),-PMT('Assumptions'!$B$39/12,'Assumptions'!$B$40*12,IF('Funding'!$N$11&gt;0,'Funding'!$N$11,'Funding'!$U$11)),"")</f>
        <v/>
      </c>
      <c r="BQ128">
        <f>('Production schedule'!AJ344)*(1-'Responsibilities'!$C$6)+('Production schedule'!AJ380)*(1-'Responsibilities'!$C$7)+('Production schedule'!AJ416)*(1-'Responsibilities'!$C$8)</f>
        <v/>
      </c>
      <c r="BR128">
        <f>('Production schedule'!AI344)*(1-'Responsibilities'!$D$6)+('Production schedule'!AI380)*(1-'Responsibilities'!$D$7)+('Production schedule'!AI416)*(1-'Responsibilities'!$D$8)</f>
        <v/>
      </c>
      <c r="BS128">
        <f>('Production schedule'!E344*(IF('Sites'!D6="Annual staff",SUM('Assumptions'!R112,'Assumptions'!R114),0)+SUM('Assumptions'!R113,'Assumptions'!R115:R116)))*(1-'Responsibilities'!$E$6)+('Production schedule'!E380*(IF('Sites'!D7="Annual staff",SUM('Assumptions'!R117,'Assumptions'!R119),0)+SUM('Assumptions'!R118,'Assumptions'!R120:R121)))*(1-'Responsibilities'!$E$7)+('Production schedule'!E416*(IF('Sites'!D8="Annual staff",SUM('Assumptions'!R122,'Assumptions'!R124),0)+SUM('Assumptions'!R123,'Assumptions'!R125:R126)))*(1-'Responsibilities'!$E$8)</f>
        <v/>
      </c>
      <c r="BT128">
        <f>(IF(AND('Production schedule'!E344=1,15=MAX(('Sites'!F6),13),ISNUMBER('Sites'!P6)),'Sites'!P6*'Assumptions'!$B$44,0))*(1-'Responsibilities'!$F$6)+(IF(AND('Production schedule'!E380=1,15=MAX(('Sites'!F7+'Cases'!G9),13),ISNUMBER('Sites'!P7)),'Sites'!P7*'Assumptions'!$B$44,0))*(1-'Responsibilities'!$F$7)+(IF(AND('Production schedule'!E416=1,15=MAX(('Sites'!F8+'Cases'!G9),13),ISNUMBER('Sites'!P8)),'Sites'!P8*'Assumptions'!$B$44,0))*(1-'Responsibilities'!$F$8)</f>
        <v/>
      </c>
      <c r="BU128">
        <f>SUM('Costs'!E36)*'Costs'!F36/12*(1-'Responsibilities'!$C$12)+SUM('Costs'!E37)*'Costs'!F37/12*(1-'Responsibilities'!$C$13)+SUM('Costs'!E38)*'Costs'!F38/12*(1-'Responsibilities'!$C$14)+SUM('Costs'!E39)*'Costs'!F39/12*(1-'Responsibilities'!$C$15)+SUM('Costs'!E40)*'Costs'!F40/12*(1-'Responsibilities'!$C$16)</f>
        <v/>
      </c>
      <c r="BV128">
        <f>('Sites'!E6*'Capital'!E6*(IF(15='Capital'!G6,'Capital'!F6,0)+IF(15='Capital'!H6,1-'Capital'!F6,0)))*(1-'Responsibilities'!$G$6)+('Sites'!E7*'Capital'!E7*(IF(15='Capital'!G7+'Cases'!G9,'Capital'!F7,0)+IF(15='Capital'!H7+'Cases'!G9,1-'Capital'!F7,0)))*(1-'Responsibilities'!$G$7)+('Sites'!E8*'Cases'!F9*'Capital'!E8*(IF(15='Capital'!G8+'Cases'!G9,'Capital'!F8,0)+IF(15='Capital'!H8+'Cases'!G9,1-'Capital'!F8,0)))*(1-'Responsibilities'!$G$8)</f>
        <v/>
      </c>
      <c r="BW128">
        <f>SUM(BQ128:BV128)</f>
        <v/>
      </c>
      <c r="BX128">
        <f>N128+BW128</f>
        <v/>
      </c>
      <c r="BY128">
        <f>BX128-(('Production schedule'!AJ344)*'Responsibilities'!$C$6+('Production schedule'!AJ380)*'Responsibilities'!$C$7+('Production schedule'!AJ416)*'Responsibilities'!$C$8+('Production schedule'!AJ344)*(1-'Responsibilities'!$C$6)+('Production schedule'!AJ380)*(1-'Responsibilities'!$C$7)+('Production schedule'!AJ416)*(1-'Responsibilities'!$C$8)+('Production schedule'!AI344)*'Responsibilities'!$D$6+('Production schedule'!AI380)*'Responsibilities'!$D$7+('Production schedule'!AI416)*'Responsibilities'!$D$8+('Production schedule'!AI344)*(1-'Responsibilities'!$D$6)+('Production schedule'!AI380)*(1-'Responsibilities'!$D$7)+('Production schedule'!AI416)*(1-'Responsibilities'!$D$8)+('Production schedule'!E344*(IF('Sites'!D6="Annual staff",SUM('Assumptions'!R112,'Assumptions'!R114),0)+SUM('Assumptions'!R113,'Assumptions'!R115:R116)))*'Responsibilities'!$E$6+('Production schedule'!E380*(IF('Sites'!D7="Annual staff",SUM('Assumptions'!R117,'Assumptions'!R119),0)+SUM('Assumptions'!R118,'Assumptions'!R120:R121)))*'Responsibilities'!$E$7+('Production schedule'!E416*(IF('Sites'!D8="Annual staff",SUM('Assumptions'!R122,'Assumptions'!R124),0)+SUM('Assumptions'!R123,'Assumptions'!R125:R126)))*'Responsibilities'!$E$8+('Production schedule'!E344*(IF('Sites'!D6="Annual staff",SUM('Assumptions'!R112,'Assumptions'!R114),0)+SUM('Assumptions'!R113,'Assumptions'!R115:R116)))*(1-'Responsibilities'!$E$6)+('Production schedule'!E380*(IF('Sites'!D7="Annual staff",SUM('Assumptions'!R117,'Assumptions'!R119),0)+SUM('Assumptions'!R118,'Assumptions'!R120:R121)))*(1-'Responsibilities'!$E$7)+('Production schedule'!E416*(IF('Sites'!D8="Annual staff",SUM('Assumptions'!R122,'Assumptions'!R124),0)+SUM('Assumptions'!R123,'Assumptions'!R125:R126)))*(1-'Responsibilities'!$E$8)+(IF(AND('Production schedule'!E344=1,15=MAX(('Sites'!F6),13),ISNUMBER('Sites'!P6)),'Sites'!P6*'Assumptions'!$B$44,0))*'Responsibilities'!$F$6+(IF(AND('Production schedule'!E380=1,15=MAX(('Sites'!F7+'Cases'!G9),13),ISNUMBER('Sites'!P7)),'Sites'!P7*'Assumptions'!$B$44,0))*'Responsibilities'!$F$7+(IF(AND('Production schedule'!E416=1,15=MAX(('Sites'!F8+'Cases'!G9),13),ISNUMBER('Sites'!P8)),'Sites'!P8*'Assumptions'!$B$44,0))*'Responsibilities'!$F$8+(IF(AND('Production schedule'!E344=1,15=MAX(('Sites'!F6),13),ISNUMBER('Sites'!P6)),'Sites'!P6*'Assumptions'!$B$44,0))*(1-'Responsibilities'!$F$6)+(IF(AND('Production schedule'!E380=1,15=MAX(('Sites'!F7+'Cases'!G9),13),ISNUMBER('Sites'!P7)),'Sites'!P7*'Assumptions'!$B$44,0))*(1-'Responsibilities'!$F$7)+(IF(AND('Production schedule'!E416=1,15=MAX(('Sites'!F8+'Cases'!G9),13),ISNUMBER('Sites'!P8)),'Sites'!P8*'Assumptions'!$B$44,0))*(1-'Responsibilities'!$F$8)+('Sites'!E6*'Capital'!E6*(IF(15='Capital'!G6,'Capital'!F6,0)+IF(15='Capital'!H6,1-'Capital'!F6,0)))*'Responsibilities'!$G$6+('Sites'!E7*'Capital'!E7*(IF(15='Capital'!G7+'Cases'!G9,'Capital'!F7,0)+IF(15='Capital'!H7+'Cases'!G9,1-'Capital'!F7,0)))*'Responsibilities'!$G$7+('Sites'!E8*'Cases'!F9*'Capital'!E8*(IF(15='Capital'!G8+'Cases'!G9,'Capital'!F8,0)+IF(15='Capital'!H8+'Cases'!G9,1-'Capital'!F8,0)))*'Responsibilities'!$G$8+('Sites'!E6*'Capital'!E6*(IF(15='Capital'!G6,'Capital'!F6,0)+IF(15='Capital'!H6,1-'Capital'!F6,0)))*(1-'Responsibilities'!$G$6)+('Sites'!E7*'Capital'!E7*(IF(15='Capital'!G7+'Cases'!G9,'Capital'!F7,0)+IF(15='Capital'!H7+'Cases'!G9,1-'Capital'!F7,0)))*(1-'Responsibilities'!$G$7)+('Sites'!E8*'Cases'!F9*'Capital'!E8*(IF(15='Capital'!G8+'Cases'!G9,'Capital'!F8,0)+IF(15='Capital'!H8+'Cases'!G9,1-'Capital'!F8,0)))*(1-'Responsibilities'!$G$8)+I128+SUMPRODUCT('Costs'!$E$36:$E$40,'Costs'!$F$36:$F$40)/12+BZ128)</f>
        <v/>
      </c>
      <c r="BZ128">
        <f>SUMIFS('Responsibilities'!$B$31:$B$35,'Responsibilities'!$C$31:$C$35,15,'Responsibilities'!$D$31:$D$35,"Yes")</f>
        <v/>
      </c>
    </row>
    <row r="129" ht="28" customHeight="1">
      <c r="A129" s="4" t="inlineStr">
        <is>
          <t>Delayed receipts</t>
        </is>
      </c>
      <c r="B129" s="4" t="n">
        <v>16</v>
      </c>
      <c r="C129" s="4">
        <f>ROUNDUP(B129/12,0)</f>
        <v/>
      </c>
      <c r="D129" s="137">
        <f>SUMIFS('Production schedule'!$N$330:$N$437,'Production schedule'!$C$330:$C$437,16)</f>
        <v/>
      </c>
      <c r="E129" s="137">
        <f>SUMIFS('Production schedule'!$Y$330:$Y$437,'Production schedule'!$C$330:$C$437,16)</f>
        <v/>
      </c>
      <c r="F129" s="137">
        <f>SUMIFS('Production schedule'!$Z$330:$Z$437,'Production schedule'!$C$330:$C$437,16)</f>
        <v/>
      </c>
      <c r="G129" s="137">
        <f>('Production schedule'!AJ345)*'Responsibilities'!$C$6+('Production schedule'!AJ381)*'Responsibilities'!$C$7+('Production schedule'!AJ417)*'Responsibilities'!$C$8</f>
        <v/>
      </c>
      <c r="H129" s="137">
        <f>('Production schedule'!AI345)*'Responsibilities'!$D$6+('Production schedule'!AI381)*'Responsibilities'!$D$7+('Production schedule'!AI417)*'Responsibilities'!$D$8</f>
        <v/>
      </c>
      <c r="I129" s="137">
        <f>SUM('Assumptions'!S58:S65)</f>
        <v/>
      </c>
      <c r="J129" s="137">
        <f>('Production schedule'!E345*(IF('Sites'!D6="Annual staff",SUM('Assumptions'!S112,'Assumptions'!S114),0)+SUM('Assumptions'!S113,'Assumptions'!S115:S116)))*'Responsibilities'!$E$6+('Production schedule'!E381*(IF('Sites'!D7="Annual staff",SUM('Assumptions'!S117,'Assumptions'!S119),0)+SUM('Assumptions'!S118,'Assumptions'!S120:S121)))*'Responsibilities'!$E$7+('Production schedule'!E417*(IF('Sites'!D8="Annual staff",SUM('Assumptions'!S122,'Assumptions'!S124),0)+SUM('Assumptions'!S123,'Assumptions'!S125:S126)))*'Responsibilities'!$E$8</f>
        <v/>
      </c>
      <c r="K129" s="137">
        <f>(IF(AND('Production schedule'!E345=1,16=MAX(('Sites'!F6),13),ISNUMBER('Sites'!P6)),'Sites'!P6*'Assumptions'!$B$44,0))*'Responsibilities'!$F$6+(IF(AND('Production schedule'!E381=1,16=MAX(('Sites'!F7+'Cases'!G9),13),ISNUMBER('Sites'!P7)),'Sites'!P7*'Assumptions'!$B$44,0))*'Responsibilities'!$F$7+(IF(AND('Production schedule'!E417=1,16=MAX(('Sites'!F8+'Cases'!G9),13),ISNUMBER('Sites'!P8)),'Sites'!P8*'Assumptions'!$B$44,0))*'Responsibilities'!$F$8</f>
        <v/>
      </c>
      <c r="L129" s="137">
        <f>SUM('Costs'!E36)*'Costs'!F36/12*'Responsibilities'!$C$12+SUM('Costs'!E37)*'Costs'!F37/12*'Responsibilities'!$C$13+SUM('Costs'!E38)*'Costs'!F38/12*'Responsibilities'!$C$14+SUM('Costs'!E39)*'Costs'!F39/12*'Responsibilities'!$C$15+SUM('Costs'!E40)*'Costs'!F40/12*'Responsibilities'!$C$16+BZ129</f>
        <v/>
      </c>
      <c r="M129" s="137">
        <f>('Sites'!E6*'Capital'!E6*(IF(16='Capital'!G6,'Capital'!F6,0)+IF(16='Capital'!H6,1-'Capital'!F6,0)))*'Responsibilities'!$G$6+('Sites'!E7*'Capital'!E7*(IF(16='Capital'!G7+'Cases'!G9,'Capital'!F7,0)+IF(16='Capital'!H7+'Cases'!G9,1-'Capital'!F7,0)))*'Responsibilities'!$G$7+('Sites'!E8*'Cases'!F9*'Capital'!E8*(IF(16='Capital'!G8+'Cases'!G9,'Capital'!F8,0)+IF(16='Capital'!H8+'Cases'!G9,1-'Capital'!F8,0)))*'Responsibilities'!$G$8</f>
        <v/>
      </c>
      <c r="N129" s="137">
        <f>SUM(G129:M129)</f>
        <v/>
      </c>
      <c r="O129" s="137">
        <f>SUMIFS(FundingTranches[Secured amount],FundingTranches[Instrument],"Grant",FundingTranches[Secured month],16)</f>
        <v/>
      </c>
      <c r="P129" s="137">
        <f>SUMIFS(FundingTranches[Delayed receipts possible],FundingTranches[Instrument],"Grant",FundingTranches[Scenario month],16-'Cases'!$D$9)</f>
        <v/>
      </c>
      <c r="Q129" s="137">
        <f>SUMIFS(FundingTranches[Secured amount],FundingTranches[Instrument],"Loan",FundingTranches[Secured month],16)</f>
        <v/>
      </c>
      <c r="R129" s="137">
        <f>SUMIFS(FundingTranches[Delayed receipts possible],FundingTranches[Instrument],"Loan",FundingTranches[Scenario month],16-'Cases'!$D$9)</f>
        <v/>
      </c>
      <c r="S129" s="137">
        <f>IF(16&lt;='Assumptions'!$B$34,0,SUMIFS('Production schedule'!$AL$330:$AL$437,'Production schedule'!$C$330:$C$437,16-'Assumptions'!$B$34))</f>
        <v/>
      </c>
      <c r="T129" s="137">
        <f>'Assumptions'!S70</f>
        <v/>
      </c>
      <c r="U129" s="137">
        <f>'Assumptions'!S78</f>
        <v/>
      </c>
      <c r="V129" s="137">
        <f>SUM(O129:U129)</f>
        <v/>
      </c>
      <c r="W129" s="137">
        <f>AA128</f>
        <v/>
      </c>
      <c r="X129" s="137">
        <f>SUM(Q129:R129)</f>
        <v/>
      </c>
      <c r="Y129" s="137">
        <f>SUM(W129,X129)*'Assumptions'!$B$39/12</f>
        <v/>
      </c>
      <c r="Z129" s="137">
        <f>IF(SUM(W129,X129)&gt;0,MIN(SUM(W129,X129),MAX(0,BP129-Y129)),0)</f>
        <v/>
      </c>
      <c r="AA129" s="137">
        <f>SUM(W129,X129)-Z129</f>
        <v/>
      </c>
      <c r="AB129" s="137">
        <f>SUM(Y129:Z129)</f>
        <v/>
      </c>
      <c r="AC129" s="137">
        <f>'Assumptions'!S72</f>
        <v/>
      </c>
      <c r="AD129" s="137">
        <f>'Assumptions'!S73</f>
        <v/>
      </c>
      <c r="AE129" s="137">
        <f>IF(X129&gt;0,SUM('Assumptions'!$B$42),0)</f>
        <v/>
      </c>
      <c r="AF129" s="137">
        <f>'Assumptions'!S71</f>
        <v/>
      </c>
      <c r="AG129" s="137">
        <f>'Assumptions'!S74</f>
        <v/>
      </c>
      <c r="AH129" s="137">
        <f>'Assumptions'!S75</f>
        <v/>
      </c>
      <c r="AI129" s="137">
        <f>'Assumptions'!S77</f>
        <v/>
      </c>
      <c r="AJ129" s="137">
        <f>V129-N129-SUM(AB129:AI129)</f>
        <v/>
      </c>
      <c r="AK129" s="137">
        <f>SUM(AJ114:AJ129)</f>
        <v/>
      </c>
      <c r="AL129" s="137">
        <f>IF(ISNUMBER('Assumptions'!$B$10),'Assumptions'!$B$10+AK129,"")</f>
        <v/>
      </c>
      <c r="AM129" s="137">
        <f>SUM(O129,Q129,T129)-N129-SUM(AC129:AI129)+IF('Funding'!$N$11=0,AE129,0)-IF('Funding'!$N$11&gt;0,AB129,0)</f>
        <v/>
      </c>
      <c r="AN129" s="137">
        <f>SUM(AM114:AM129)</f>
        <v/>
      </c>
      <c r="AO129" s="137">
        <f>IF(ISNUMBER('Assumptions'!$B$10),'Assumptions'!$B$10+AN129,"")</f>
        <v/>
      </c>
      <c r="AP129" s="137">
        <f>('Production schedule'!AK345)*'Responsibilities'!$C$6+('Production schedule'!AK381)*'Responsibilities'!$C$7+('Production schedule'!AK417)*'Responsibilities'!$C$8</f>
        <v/>
      </c>
      <c r="AQ129" s="137">
        <f>SUMIFS('Production schedule'!$AL$330:$AL$437,'Production schedule'!$C$330:$C$437,16)</f>
        <v/>
      </c>
      <c r="AR129" s="137">
        <f>IF(ISNUMBER('Assumptions'!S76),'Assumptions'!S76,SUM(O129:P129))</f>
        <v/>
      </c>
      <c r="AS129" s="137">
        <f>IF(ISNUMBER('Assumptions'!$B$13),MIN('Assumptions'!$B$13/'Assumptions'!$B$18/12,MAX(0,'Assumptions'!$B$13-(16-1)*'Assumptions'!$B$13/'Assumptions'!$B$18/12)),0)+IF(AND('Sites'!E6=1,16&gt;=('Sites'!F6),16&lt;('Sites'!F6)+'Assumptions'!$B$18*12),'Capital'!E6/'Assumptions'!$B$18/12,0)+IF(AND('Sites'!E7=1,16&gt;=('Sites'!F7+'Cases'!G9),16&lt;('Sites'!F7+'Cases'!G9)+'Assumptions'!$B$18*12),'Capital'!E7/'Assumptions'!$B$18/12,0)+IF(AND('Sites'!E8*'Cases'!F9=1,16&gt;=('Sites'!F8+'Cases'!G9),16&lt;('Sites'!F8+'Cases'!G9)+'Assumptions'!$B$18*12),'Capital'!E8/'Assumptions'!$B$18/12,0)</f>
        <v/>
      </c>
      <c r="AT129" s="137">
        <f>SUM(AQ129,AR129,U129)-AP129-SUM(H129:L129)-AS129-SUM(Y129,AD129,AE129,AH129)</f>
        <v/>
      </c>
      <c r="AU129" s="137">
        <f>IF(ISNUMBER('Assumptions'!$B$19),MAX(0,SUM(AT126:AT129))*'Assumptions'!$B$19-SUM(AU126:AU128),"")</f>
        <v/>
      </c>
      <c r="AV129" s="137">
        <f>IF(ISNUMBER(AU129),AT129-AU129,"")</f>
        <v/>
      </c>
      <c r="AW129" s="137">
        <f>IF(ISNUMBER('Assumptions'!$B$11),'Assumptions'!$B$11+SUM(AQ114:AQ129)-SUM(S114:S129)-SUM(T114:T129),"")</f>
        <v/>
      </c>
      <c r="AX129" s="137">
        <f>IF(ISNUMBER('Assumptions'!$B$12),'Assumptions'!$B$12+SUM(G114:G129)-SUM(AP114:AP129),"")</f>
        <v/>
      </c>
      <c r="AY129" s="137">
        <f>IF(ISNUMBER('Assumptions'!$B$13),'Assumptions'!$B$13+SUM(M114:M129)-SUM(AS114:AS129),"")</f>
        <v/>
      </c>
      <c r="AZ129" s="137">
        <f>IF(ISNUMBER('Assumptions'!$B$14),'Assumptions'!$B$14+-SUM(AF114:AF129),"")</f>
        <v/>
      </c>
      <c r="BA129" s="137">
        <f>IF(ISNUMBER('Assumptions'!$B$15),'Assumptions'!$B$15+SUM(O114:O129)+SUM(P114:P129)-SUM(AR114:AR129),"")</f>
        <v/>
      </c>
      <c r="BB129" s="137">
        <f>IF(ISNUMBER('Assumptions'!$B$16),'Assumptions'!$B$16+-SUM(AC114:AC129),"")</f>
        <v/>
      </c>
      <c r="BC129" s="137">
        <f>IF(AND(ISNUMBER('Assumptions'!$B$21),ISNUMBER('Assumptions'!$B$19)),'Assumptions'!$B$21+SUM(AU114:AU129)-SUM(AG114:AG129),"")</f>
        <v/>
      </c>
      <c r="BD129" s="137">
        <f>IF(ISNUMBER('Assumptions'!$B$20),'Assumptions'!$B$20+-SUM(AI114:AI129),"")</f>
        <v/>
      </c>
      <c r="BE129" s="137">
        <f>IF(AND(ISNUMBER('Assumptions'!$B$17),COUNT(AV114:AV129)=16),'Assumptions'!$B$17+SUM(AV114:AV129),"")</f>
        <v/>
      </c>
      <c r="BF129" s="137">
        <f>IF(COUNT(AL129,AW129:AY129)=4,SUM(AL129,AW129:AY129),"")</f>
        <v/>
      </c>
      <c r="BG129" s="137">
        <f>IF(COUNT(AZ129:BD129)=5,SUM(AZ129:BD129,AA129),"")</f>
        <v/>
      </c>
      <c r="BH129" s="137">
        <f>IF(COUNT(BF129,BG129,BE129)=3,BF129-BG129-BE129,"")</f>
        <v/>
      </c>
      <c r="BI129" s="137">
        <f>SUM(W129,X129)-Z129-AA129</f>
        <v/>
      </c>
      <c r="BJ129" s="137">
        <f>8-COUNT('Assumptions'!S58:S65)+COUNTBLANK('NM Play'!B33:B34)+'Costs'!E44+IF(AND('Sites'!E6=1,('Sites'!F6)&lt;=24,'Sites'!G6&gt;=13),IF(ISNUMBER('Sites'!P6),0,1)+'Capital'!I6+COUNTBLANK('Sites'!R6)+IF('Sites'!D6="NM crew",COUNTBLANK('NM Play'!B25)+1,5-COUNT('Assumptions'!S112:S116)),0)+IF(AND('Sites'!E7=1,('Sites'!F7+'Cases'!G9)&lt;=24,'Sites'!G7&gt;=13),IF(ISNUMBER('Sites'!P7),0,1)+'Capital'!I7+COUNTBLANK('Sites'!R7)+IF('Sites'!D7="NM crew",COUNTBLANK('NM Play'!B25)+1,5-COUNT('Assumptions'!S117:S121)),0)+IF(AND('Sites'!E8*'Cases'!F9=1,('Sites'!F8+'Cases'!G9)&lt;=24,'Sites'!G8&gt;=13),IF(ISNUMBER('Sites'!P8),0,1)+'Capital'!I8+COUNTBLANK('Sites'!R8)+IF('Sites'!D8="NM crew",COUNTBLANK('NM Play'!B25)+1,5-COUNT('Assumptions'!S122:S126)),0)+IF(AND('Cases'!C9&gt;0,NOT(ISNUMBER('Assumptions'!B42))),1,0)+'Responsibilities'!$B$39</f>
        <v/>
      </c>
      <c r="BK129" s="137">
        <f>'Assumptions'!$B$50+'NM Play'!$B$83+'Funding'!$F$20+SUMIFS('Production schedule'!$AN$330:$AN$437,'Production schedule'!$C$330:$C$437,16)+IF(OR('Cases'!E9&lt;0,'Cases'!E9&gt;1,'Cases'!C9&lt;0,'Cases'!D9&lt;0,ABS(SUM('Sites'!S6:S8)-1)&gt;0.0001,MIN('Capital'!F6:F8)&lt;0,MAX('Capital'!F6:F8)&gt;1,MIN(AX129,AZ129,BB129,BA129)&lt;-0.01),1,0)+'Responsibilities'!$B$40</f>
        <v/>
      </c>
      <c r="BL129" s="137">
        <f>SUMIFS('Production schedule'!$T$330:$T$437,'Production schedule'!$C$330:$C$437,16)</f>
        <v/>
      </c>
      <c r="BM129" s="137">
        <f>D129*'NM Play'!$B$38</f>
        <v/>
      </c>
      <c r="BN129" s="137">
        <f>SUMIFS('Production schedule'!$AM$330:$AM$437,'Production schedule'!$C$330:$C$437,16)</f>
        <v/>
      </c>
      <c r="BO129" s="137">
        <f>AK129-AK128-AJ129</f>
        <v/>
      </c>
      <c r="BP129" s="137">
        <f>IF(AND('Assumptions'!$B$39&gt;=0,'Assumptions'!$B$40&gt;0),-PMT('Assumptions'!$B$39/12,'Assumptions'!$B$40*12,IF('Funding'!$N$11&gt;0,'Funding'!$N$11,'Funding'!$U$11)),"")</f>
        <v/>
      </c>
      <c r="BQ129">
        <f>('Production schedule'!AJ345)*(1-'Responsibilities'!$C$6)+('Production schedule'!AJ381)*(1-'Responsibilities'!$C$7)+('Production schedule'!AJ417)*(1-'Responsibilities'!$C$8)</f>
        <v/>
      </c>
      <c r="BR129">
        <f>('Production schedule'!AI345)*(1-'Responsibilities'!$D$6)+('Production schedule'!AI381)*(1-'Responsibilities'!$D$7)+('Production schedule'!AI417)*(1-'Responsibilities'!$D$8)</f>
        <v/>
      </c>
      <c r="BS129">
        <f>('Production schedule'!E345*(IF('Sites'!D6="Annual staff",SUM('Assumptions'!S112,'Assumptions'!S114),0)+SUM('Assumptions'!S113,'Assumptions'!S115:S116)))*(1-'Responsibilities'!$E$6)+('Production schedule'!E381*(IF('Sites'!D7="Annual staff",SUM('Assumptions'!S117,'Assumptions'!S119),0)+SUM('Assumptions'!S118,'Assumptions'!S120:S121)))*(1-'Responsibilities'!$E$7)+('Production schedule'!E417*(IF('Sites'!D8="Annual staff",SUM('Assumptions'!S122,'Assumptions'!S124),0)+SUM('Assumptions'!S123,'Assumptions'!S125:S126)))*(1-'Responsibilities'!$E$8)</f>
        <v/>
      </c>
      <c r="BT129">
        <f>(IF(AND('Production schedule'!E345=1,16=MAX(('Sites'!F6),13),ISNUMBER('Sites'!P6)),'Sites'!P6*'Assumptions'!$B$44,0))*(1-'Responsibilities'!$F$6)+(IF(AND('Production schedule'!E381=1,16=MAX(('Sites'!F7+'Cases'!G9),13),ISNUMBER('Sites'!P7)),'Sites'!P7*'Assumptions'!$B$44,0))*(1-'Responsibilities'!$F$7)+(IF(AND('Production schedule'!E417=1,16=MAX(('Sites'!F8+'Cases'!G9),13),ISNUMBER('Sites'!P8)),'Sites'!P8*'Assumptions'!$B$44,0))*(1-'Responsibilities'!$F$8)</f>
        <v/>
      </c>
      <c r="BU129">
        <f>SUM('Costs'!E36)*'Costs'!F36/12*(1-'Responsibilities'!$C$12)+SUM('Costs'!E37)*'Costs'!F37/12*(1-'Responsibilities'!$C$13)+SUM('Costs'!E38)*'Costs'!F38/12*(1-'Responsibilities'!$C$14)+SUM('Costs'!E39)*'Costs'!F39/12*(1-'Responsibilities'!$C$15)+SUM('Costs'!E40)*'Costs'!F40/12*(1-'Responsibilities'!$C$16)</f>
        <v/>
      </c>
      <c r="BV129">
        <f>('Sites'!E6*'Capital'!E6*(IF(16='Capital'!G6,'Capital'!F6,0)+IF(16='Capital'!H6,1-'Capital'!F6,0)))*(1-'Responsibilities'!$G$6)+('Sites'!E7*'Capital'!E7*(IF(16='Capital'!G7+'Cases'!G9,'Capital'!F7,0)+IF(16='Capital'!H7+'Cases'!G9,1-'Capital'!F7,0)))*(1-'Responsibilities'!$G$7)+('Sites'!E8*'Cases'!F9*'Capital'!E8*(IF(16='Capital'!G8+'Cases'!G9,'Capital'!F8,0)+IF(16='Capital'!H8+'Cases'!G9,1-'Capital'!F8,0)))*(1-'Responsibilities'!$G$8)</f>
        <v/>
      </c>
      <c r="BW129">
        <f>SUM(BQ129:BV129)</f>
        <v/>
      </c>
      <c r="BX129">
        <f>N129+BW129</f>
        <v/>
      </c>
      <c r="BY129">
        <f>BX129-(('Production schedule'!AJ345)*'Responsibilities'!$C$6+('Production schedule'!AJ381)*'Responsibilities'!$C$7+('Production schedule'!AJ417)*'Responsibilities'!$C$8+('Production schedule'!AJ345)*(1-'Responsibilities'!$C$6)+('Production schedule'!AJ381)*(1-'Responsibilities'!$C$7)+('Production schedule'!AJ417)*(1-'Responsibilities'!$C$8)+('Production schedule'!AI345)*'Responsibilities'!$D$6+('Production schedule'!AI381)*'Responsibilities'!$D$7+('Production schedule'!AI417)*'Responsibilities'!$D$8+('Production schedule'!AI345)*(1-'Responsibilities'!$D$6)+('Production schedule'!AI381)*(1-'Responsibilities'!$D$7)+('Production schedule'!AI417)*(1-'Responsibilities'!$D$8)+('Production schedule'!E345*(IF('Sites'!D6="Annual staff",SUM('Assumptions'!S112,'Assumptions'!S114),0)+SUM('Assumptions'!S113,'Assumptions'!S115:S116)))*'Responsibilities'!$E$6+('Production schedule'!E381*(IF('Sites'!D7="Annual staff",SUM('Assumptions'!S117,'Assumptions'!S119),0)+SUM('Assumptions'!S118,'Assumptions'!S120:S121)))*'Responsibilities'!$E$7+('Production schedule'!E417*(IF('Sites'!D8="Annual staff",SUM('Assumptions'!S122,'Assumptions'!S124),0)+SUM('Assumptions'!S123,'Assumptions'!S125:S126)))*'Responsibilities'!$E$8+('Production schedule'!E345*(IF('Sites'!D6="Annual staff",SUM('Assumptions'!S112,'Assumptions'!S114),0)+SUM('Assumptions'!S113,'Assumptions'!S115:S116)))*(1-'Responsibilities'!$E$6)+('Production schedule'!E381*(IF('Sites'!D7="Annual staff",SUM('Assumptions'!S117,'Assumptions'!S119),0)+SUM('Assumptions'!S118,'Assumptions'!S120:S121)))*(1-'Responsibilities'!$E$7)+('Production schedule'!E417*(IF('Sites'!D8="Annual staff",SUM('Assumptions'!S122,'Assumptions'!S124),0)+SUM('Assumptions'!S123,'Assumptions'!S125:S126)))*(1-'Responsibilities'!$E$8)+(IF(AND('Production schedule'!E345=1,16=MAX(('Sites'!F6),13),ISNUMBER('Sites'!P6)),'Sites'!P6*'Assumptions'!$B$44,0))*'Responsibilities'!$F$6+(IF(AND('Production schedule'!E381=1,16=MAX(('Sites'!F7+'Cases'!G9),13),ISNUMBER('Sites'!P7)),'Sites'!P7*'Assumptions'!$B$44,0))*'Responsibilities'!$F$7+(IF(AND('Production schedule'!E417=1,16=MAX(('Sites'!F8+'Cases'!G9),13),ISNUMBER('Sites'!P8)),'Sites'!P8*'Assumptions'!$B$44,0))*'Responsibilities'!$F$8+(IF(AND('Production schedule'!E345=1,16=MAX(('Sites'!F6),13),ISNUMBER('Sites'!P6)),'Sites'!P6*'Assumptions'!$B$44,0))*(1-'Responsibilities'!$F$6)+(IF(AND('Production schedule'!E381=1,16=MAX(('Sites'!F7+'Cases'!G9),13),ISNUMBER('Sites'!P7)),'Sites'!P7*'Assumptions'!$B$44,0))*(1-'Responsibilities'!$F$7)+(IF(AND('Production schedule'!E417=1,16=MAX(('Sites'!F8+'Cases'!G9),13),ISNUMBER('Sites'!P8)),'Sites'!P8*'Assumptions'!$B$44,0))*(1-'Responsibilities'!$F$8)+('Sites'!E6*'Capital'!E6*(IF(16='Capital'!G6,'Capital'!F6,0)+IF(16='Capital'!H6,1-'Capital'!F6,0)))*'Responsibilities'!$G$6+('Sites'!E7*'Capital'!E7*(IF(16='Capital'!G7+'Cases'!G9,'Capital'!F7,0)+IF(16='Capital'!H7+'Cases'!G9,1-'Capital'!F7,0)))*'Responsibilities'!$G$7+('Sites'!E8*'Cases'!F9*'Capital'!E8*(IF(16='Capital'!G8+'Cases'!G9,'Capital'!F8,0)+IF(16='Capital'!H8+'Cases'!G9,1-'Capital'!F8,0)))*'Responsibilities'!$G$8+('Sites'!E6*'Capital'!E6*(IF(16='Capital'!G6,'Capital'!F6,0)+IF(16='Capital'!H6,1-'Capital'!F6,0)))*(1-'Responsibilities'!$G$6)+('Sites'!E7*'Capital'!E7*(IF(16='Capital'!G7+'Cases'!G9,'Capital'!F7,0)+IF(16='Capital'!H7+'Cases'!G9,1-'Capital'!F7,0)))*(1-'Responsibilities'!$G$7)+('Sites'!E8*'Cases'!F9*'Capital'!E8*(IF(16='Capital'!G8+'Cases'!G9,'Capital'!F8,0)+IF(16='Capital'!H8+'Cases'!G9,1-'Capital'!F8,0)))*(1-'Responsibilities'!$G$8)+I129+SUMPRODUCT('Costs'!$E$36:$E$40,'Costs'!$F$36:$F$40)/12+BZ129)</f>
        <v/>
      </c>
      <c r="BZ129">
        <f>SUMIFS('Responsibilities'!$B$31:$B$35,'Responsibilities'!$C$31:$C$35,16,'Responsibilities'!$D$31:$D$35,"Yes")</f>
        <v/>
      </c>
    </row>
    <row r="130" ht="28" customHeight="1">
      <c r="A130" s="4" t="inlineStr">
        <is>
          <t>Delayed receipts</t>
        </is>
      </c>
      <c r="B130" s="4" t="n">
        <v>17</v>
      </c>
      <c r="C130" s="4">
        <f>ROUNDUP(B130/12,0)</f>
        <v/>
      </c>
      <c r="D130" s="137">
        <f>SUMIFS('Production schedule'!$N$330:$N$437,'Production schedule'!$C$330:$C$437,17)</f>
        <v/>
      </c>
      <c r="E130" s="137">
        <f>SUMIFS('Production schedule'!$Y$330:$Y$437,'Production schedule'!$C$330:$C$437,17)</f>
        <v/>
      </c>
      <c r="F130" s="137">
        <f>SUMIFS('Production schedule'!$Z$330:$Z$437,'Production schedule'!$C$330:$C$437,17)</f>
        <v/>
      </c>
      <c r="G130" s="137">
        <f>('Production schedule'!AJ346)*'Responsibilities'!$C$6+('Production schedule'!AJ382)*'Responsibilities'!$C$7+('Production schedule'!AJ418)*'Responsibilities'!$C$8</f>
        <v/>
      </c>
      <c r="H130" s="137">
        <f>('Production schedule'!AI346)*'Responsibilities'!$D$6+('Production schedule'!AI382)*'Responsibilities'!$D$7+('Production schedule'!AI418)*'Responsibilities'!$D$8</f>
        <v/>
      </c>
      <c r="I130" s="137">
        <f>SUM('Assumptions'!T58:T65)</f>
        <v/>
      </c>
      <c r="J130" s="137">
        <f>('Production schedule'!E346*(IF('Sites'!D6="Annual staff",SUM('Assumptions'!T112,'Assumptions'!T114),0)+SUM('Assumptions'!T113,'Assumptions'!T115:T116)))*'Responsibilities'!$E$6+('Production schedule'!E382*(IF('Sites'!D7="Annual staff",SUM('Assumptions'!T117,'Assumptions'!T119),0)+SUM('Assumptions'!T118,'Assumptions'!T120:T121)))*'Responsibilities'!$E$7+('Production schedule'!E418*(IF('Sites'!D8="Annual staff",SUM('Assumptions'!T122,'Assumptions'!T124),0)+SUM('Assumptions'!T123,'Assumptions'!T125:T126)))*'Responsibilities'!$E$8</f>
        <v/>
      </c>
      <c r="K130" s="137">
        <f>(IF(AND('Production schedule'!E346=1,17=MAX(('Sites'!F6),13),ISNUMBER('Sites'!P6)),'Sites'!P6*'Assumptions'!$B$44,0))*'Responsibilities'!$F$6+(IF(AND('Production schedule'!E382=1,17=MAX(('Sites'!F7+'Cases'!G9),13),ISNUMBER('Sites'!P7)),'Sites'!P7*'Assumptions'!$B$44,0))*'Responsibilities'!$F$7+(IF(AND('Production schedule'!E418=1,17=MAX(('Sites'!F8+'Cases'!G9),13),ISNUMBER('Sites'!P8)),'Sites'!P8*'Assumptions'!$B$44,0))*'Responsibilities'!$F$8</f>
        <v/>
      </c>
      <c r="L130" s="137">
        <f>SUM('Costs'!E36)*'Costs'!F36/12*'Responsibilities'!$C$12+SUM('Costs'!E37)*'Costs'!F37/12*'Responsibilities'!$C$13+SUM('Costs'!E38)*'Costs'!F38/12*'Responsibilities'!$C$14+SUM('Costs'!E39)*'Costs'!F39/12*'Responsibilities'!$C$15+SUM('Costs'!E40)*'Costs'!F40/12*'Responsibilities'!$C$16+BZ130</f>
        <v/>
      </c>
      <c r="M130" s="137">
        <f>('Sites'!E6*'Capital'!E6*(IF(17='Capital'!G6,'Capital'!F6,0)+IF(17='Capital'!H6,1-'Capital'!F6,0)))*'Responsibilities'!$G$6+('Sites'!E7*'Capital'!E7*(IF(17='Capital'!G7+'Cases'!G9,'Capital'!F7,0)+IF(17='Capital'!H7+'Cases'!G9,1-'Capital'!F7,0)))*'Responsibilities'!$G$7+('Sites'!E8*'Cases'!F9*'Capital'!E8*(IF(17='Capital'!G8+'Cases'!G9,'Capital'!F8,0)+IF(17='Capital'!H8+'Cases'!G9,1-'Capital'!F8,0)))*'Responsibilities'!$G$8</f>
        <v/>
      </c>
      <c r="N130" s="137">
        <f>SUM(G130:M130)</f>
        <v/>
      </c>
      <c r="O130" s="137">
        <f>SUMIFS(FundingTranches[Secured amount],FundingTranches[Instrument],"Grant",FundingTranches[Secured month],17)</f>
        <v/>
      </c>
      <c r="P130" s="137">
        <f>SUMIFS(FundingTranches[Delayed receipts possible],FundingTranches[Instrument],"Grant",FundingTranches[Scenario month],17-'Cases'!$D$9)</f>
        <v/>
      </c>
      <c r="Q130" s="137">
        <f>SUMIFS(FundingTranches[Secured amount],FundingTranches[Instrument],"Loan",FundingTranches[Secured month],17)</f>
        <v/>
      </c>
      <c r="R130" s="137">
        <f>SUMIFS(FundingTranches[Delayed receipts possible],FundingTranches[Instrument],"Loan",FundingTranches[Scenario month],17-'Cases'!$D$9)</f>
        <v/>
      </c>
      <c r="S130" s="137">
        <f>IF(17&lt;='Assumptions'!$B$34,0,SUMIFS('Production schedule'!$AL$330:$AL$437,'Production schedule'!$C$330:$C$437,17-'Assumptions'!$B$34))</f>
        <v/>
      </c>
      <c r="T130" s="137">
        <f>'Assumptions'!T70</f>
        <v/>
      </c>
      <c r="U130" s="137">
        <f>'Assumptions'!T78</f>
        <v/>
      </c>
      <c r="V130" s="137">
        <f>SUM(O130:U130)</f>
        <v/>
      </c>
      <c r="W130" s="137">
        <f>AA129</f>
        <v/>
      </c>
      <c r="X130" s="137">
        <f>SUM(Q130:R130)</f>
        <v/>
      </c>
      <c r="Y130" s="137">
        <f>SUM(W130,X130)*'Assumptions'!$B$39/12</f>
        <v/>
      </c>
      <c r="Z130" s="137">
        <f>IF(SUM(W130,X130)&gt;0,MIN(SUM(W130,X130),MAX(0,BP130-Y130)),0)</f>
        <v/>
      </c>
      <c r="AA130" s="137">
        <f>SUM(W130,X130)-Z130</f>
        <v/>
      </c>
      <c r="AB130" s="137">
        <f>SUM(Y130:Z130)</f>
        <v/>
      </c>
      <c r="AC130" s="137">
        <f>'Assumptions'!T72</f>
        <v/>
      </c>
      <c r="AD130" s="137">
        <f>'Assumptions'!T73</f>
        <v/>
      </c>
      <c r="AE130" s="137">
        <f>IF(X130&gt;0,SUM('Assumptions'!$B$42),0)</f>
        <v/>
      </c>
      <c r="AF130" s="137">
        <f>'Assumptions'!T71</f>
        <v/>
      </c>
      <c r="AG130" s="137">
        <f>'Assumptions'!T74</f>
        <v/>
      </c>
      <c r="AH130" s="137">
        <f>'Assumptions'!T75</f>
        <v/>
      </c>
      <c r="AI130" s="137">
        <f>'Assumptions'!T77</f>
        <v/>
      </c>
      <c r="AJ130" s="137">
        <f>V130-N130-SUM(AB130:AI130)</f>
        <v/>
      </c>
      <c r="AK130" s="137">
        <f>SUM(AJ114:AJ130)</f>
        <v/>
      </c>
      <c r="AL130" s="137">
        <f>IF(ISNUMBER('Assumptions'!$B$10),'Assumptions'!$B$10+AK130,"")</f>
        <v/>
      </c>
      <c r="AM130" s="137">
        <f>SUM(O130,Q130,T130)-N130-SUM(AC130:AI130)+IF('Funding'!$N$11=0,AE130,0)-IF('Funding'!$N$11&gt;0,AB130,0)</f>
        <v/>
      </c>
      <c r="AN130" s="137">
        <f>SUM(AM114:AM130)</f>
        <v/>
      </c>
      <c r="AO130" s="137">
        <f>IF(ISNUMBER('Assumptions'!$B$10),'Assumptions'!$B$10+AN130,"")</f>
        <v/>
      </c>
      <c r="AP130" s="137">
        <f>('Production schedule'!AK346)*'Responsibilities'!$C$6+('Production schedule'!AK382)*'Responsibilities'!$C$7+('Production schedule'!AK418)*'Responsibilities'!$C$8</f>
        <v/>
      </c>
      <c r="AQ130" s="137">
        <f>SUMIFS('Production schedule'!$AL$330:$AL$437,'Production schedule'!$C$330:$C$437,17)</f>
        <v/>
      </c>
      <c r="AR130" s="137">
        <f>IF(ISNUMBER('Assumptions'!T76),'Assumptions'!T76,SUM(O130:P130))</f>
        <v/>
      </c>
      <c r="AS130" s="137">
        <f>IF(ISNUMBER('Assumptions'!$B$13),MIN('Assumptions'!$B$13/'Assumptions'!$B$18/12,MAX(0,'Assumptions'!$B$13-(17-1)*'Assumptions'!$B$13/'Assumptions'!$B$18/12)),0)+IF(AND('Sites'!E6=1,17&gt;=('Sites'!F6),17&lt;('Sites'!F6)+'Assumptions'!$B$18*12),'Capital'!E6/'Assumptions'!$B$18/12,0)+IF(AND('Sites'!E7=1,17&gt;=('Sites'!F7+'Cases'!G9),17&lt;('Sites'!F7+'Cases'!G9)+'Assumptions'!$B$18*12),'Capital'!E7/'Assumptions'!$B$18/12,0)+IF(AND('Sites'!E8*'Cases'!F9=1,17&gt;=('Sites'!F8+'Cases'!G9),17&lt;('Sites'!F8+'Cases'!G9)+'Assumptions'!$B$18*12),'Capital'!E8/'Assumptions'!$B$18/12,0)</f>
        <v/>
      </c>
      <c r="AT130" s="137">
        <f>SUM(AQ130,AR130,U130)-AP130-SUM(H130:L130)-AS130-SUM(Y130,AD130,AE130,AH130)</f>
        <v/>
      </c>
      <c r="AU130" s="137">
        <f>IF(ISNUMBER('Assumptions'!$B$19),MAX(0,SUM(AT126:AT130))*'Assumptions'!$B$19-SUM(AU126:AU129),"")</f>
        <v/>
      </c>
      <c r="AV130" s="137">
        <f>IF(ISNUMBER(AU130),AT130-AU130,"")</f>
        <v/>
      </c>
      <c r="AW130" s="137">
        <f>IF(ISNUMBER('Assumptions'!$B$11),'Assumptions'!$B$11+SUM(AQ114:AQ130)-SUM(S114:S130)-SUM(T114:T130),"")</f>
        <v/>
      </c>
      <c r="AX130" s="137">
        <f>IF(ISNUMBER('Assumptions'!$B$12),'Assumptions'!$B$12+SUM(G114:G130)-SUM(AP114:AP130),"")</f>
        <v/>
      </c>
      <c r="AY130" s="137">
        <f>IF(ISNUMBER('Assumptions'!$B$13),'Assumptions'!$B$13+SUM(M114:M130)-SUM(AS114:AS130),"")</f>
        <v/>
      </c>
      <c r="AZ130" s="137">
        <f>IF(ISNUMBER('Assumptions'!$B$14),'Assumptions'!$B$14+-SUM(AF114:AF130),"")</f>
        <v/>
      </c>
      <c r="BA130" s="137">
        <f>IF(ISNUMBER('Assumptions'!$B$15),'Assumptions'!$B$15+SUM(O114:O130)+SUM(P114:P130)-SUM(AR114:AR130),"")</f>
        <v/>
      </c>
      <c r="BB130" s="137">
        <f>IF(ISNUMBER('Assumptions'!$B$16),'Assumptions'!$B$16+-SUM(AC114:AC130),"")</f>
        <v/>
      </c>
      <c r="BC130" s="137">
        <f>IF(AND(ISNUMBER('Assumptions'!$B$21),ISNUMBER('Assumptions'!$B$19)),'Assumptions'!$B$21+SUM(AU114:AU130)-SUM(AG114:AG130),"")</f>
        <v/>
      </c>
      <c r="BD130" s="137">
        <f>IF(ISNUMBER('Assumptions'!$B$20),'Assumptions'!$B$20+-SUM(AI114:AI130),"")</f>
        <v/>
      </c>
      <c r="BE130" s="137">
        <f>IF(AND(ISNUMBER('Assumptions'!$B$17),COUNT(AV114:AV130)=17),'Assumptions'!$B$17+SUM(AV114:AV130),"")</f>
        <v/>
      </c>
      <c r="BF130" s="137">
        <f>IF(COUNT(AL130,AW130:AY130)=4,SUM(AL130,AW130:AY130),"")</f>
        <v/>
      </c>
      <c r="BG130" s="137">
        <f>IF(COUNT(AZ130:BD130)=5,SUM(AZ130:BD130,AA130),"")</f>
        <v/>
      </c>
      <c r="BH130" s="137">
        <f>IF(COUNT(BF130,BG130,BE130)=3,BF130-BG130-BE130,"")</f>
        <v/>
      </c>
      <c r="BI130" s="137">
        <f>SUM(W130,X130)-Z130-AA130</f>
        <v/>
      </c>
      <c r="BJ130" s="137">
        <f>8-COUNT('Assumptions'!T58:T65)+COUNTBLANK('NM Play'!B33:B34)+'Costs'!E44+IF(AND('Sites'!E6=1,('Sites'!F6)&lt;=24,'Sites'!G6&gt;=13),IF(ISNUMBER('Sites'!P6),0,1)+'Capital'!I6+COUNTBLANK('Sites'!R6)+IF('Sites'!D6="NM crew",COUNTBLANK('NM Play'!B25)+1,5-COUNT('Assumptions'!T112:T116)),0)+IF(AND('Sites'!E7=1,('Sites'!F7+'Cases'!G9)&lt;=24,'Sites'!G7&gt;=13),IF(ISNUMBER('Sites'!P7),0,1)+'Capital'!I7+COUNTBLANK('Sites'!R7)+IF('Sites'!D7="NM crew",COUNTBLANK('NM Play'!B25)+1,5-COUNT('Assumptions'!T117:T121)),0)+IF(AND('Sites'!E8*'Cases'!F9=1,('Sites'!F8+'Cases'!G9)&lt;=24,'Sites'!G8&gt;=13),IF(ISNUMBER('Sites'!P8),0,1)+'Capital'!I8+COUNTBLANK('Sites'!R8)+IF('Sites'!D8="NM crew",COUNTBLANK('NM Play'!B25)+1,5-COUNT('Assumptions'!T122:T126)),0)+IF(AND('Cases'!C9&gt;0,NOT(ISNUMBER('Assumptions'!B42))),1,0)+'Responsibilities'!$B$39</f>
        <v/>
      </c>
      <c r="BK130" s="137">
        <f>'Assumptions'!$B$50+'NM Play'!$B$83+'Funding'!$F$20+SUMIFS('Production schedule'!$AN$330:$AN$437,'Production schedule'!$C$330:$C$437,17)+IF(OR('Cases'!E9&lt;0,'Cases'!E9&gt;1,'Cases'!C9&lt;0,'Cases'!D9&lt;0,ABS(SUM('Sites'!S6:S8)-1)&gt;0.0001,MIN('Capital'!F6:F8)&lt;0,MAX('Capital'!F6:F8)&gt;1,MIN(AX130,AZ130,BB130,BA130)&lt;-0.01),1,0)+'Responsibilities'!$B$40</f>
        <v/>
      </c>
      <c r="BL130" s="137">
        <f>SUMIFS('Production schedule'!$T$330:$T$437,'Production schedule'!$C$330:$C$437,17)</f>
        <v/>
      </c>
      <c r="BM130" s="137">
        <f>D130*'NM Play'!$B$38</f>
        <v/>
      </c>
      <c r="BN130" s="137">
        <f>SUMIFS('Production schedule'!$AM$330:$AM$437,'Production schedule'!$C$330:$C$437,17)</f>
        <v/>
      </c>
      <c r="BO130" s="137">
        <f>AK130-AK129-AJ130</f>
        <v/>
      </c>
      <c r="BP130" s="137">
        <f>IF(AND('Assumptions'!$B$39&gt;=0,'Assumptions'!$B$40&gt;0),-PMT('Assumptions'!$B$39/12,'Assumptions'!$B$40*12,IF('Funding'!$N$11&gt;0,'Funding'!$N$11,'Funding'!$U$11)),"")</f>
        <v/>
      </c>
      <c r="BQ130">
        <f>('Production schedule'!AJ346)*(1-'Responsibilities'!$C$6)+('Production schedule'!AJ382)*(1-'Responsibilities'!$C$7)+('Production schedule'!AJ418)*(1-'Responsibilities'!$C$8)</f>
        <v/>
      </c>
      <c r="BR130">
        <f>('Production schedule'!AI346)*(1-'Responsibilities'!$D$6)+('Production schedule'!AI382)*(1-'Responsibilities'!$D$7)+('Production schedule'!AI418)*(1-'Responsibilities'!$D$8)</f>
        <v/>
      </c>
      <c r="BS130">
        <f>('Production schedule'!E346*(IF('Sites'!D6="Annual staff",SUM('Assumptions'!T112,'Assumptions'!T114),0)+SUM('Assumptions'!T113,'Assumptions'!T115:T116)))*(1-'Responsibilities'!$E$6)+('Production schedule'!E382*(IF('Sites'!D7="Annual staff",SUM('Assumptions'!T117,'Assumptions'!T119),0)+SUM('Assumptions'!T118,'Assumptions'!T120:T121)))*(1-'Responsibilities'!$E$7)+('Production schedule'!E418*(IF('Sites'!D8="Annual staff",SUM('Assumptions'!T122,'Assumptions'!T124),0)+SUM('Assumptions'!T123,'Assumptions'!T125:T126)))*(1-'Responsibilities'!$E$8)</f>
        <v/>
      </c>
      <c r="BT130">
        <f>(IF(AND('Production schedule'!E346=1,17=MAX(('Sites'!F6),13),ISNUMBER('Sites'!P6)),'Sites'!P6*'Assumptions'!$B$44,0))*(1-'Responsibilities'!$F$6)+(IF(AND('Production schedule'!E382=1,17=MAX(('Sites'!F7+'Cases'!G9),13),ISNUMBER('Sites'!P7)),'Sites'!P7*'Assumptions'!$B$44,0))*(1-'Responsibilities'!$F$7)+(IF(AND('Production schedule'!E418=1,17=MAX(('Sites'!F8+'Cases'!G9),13),ISNUMBER('Sites'!P8)),'Sites'!P8*'Assumptions'!$B$44,0))*(1-'Responsibilities'!$F$8)</f>
        <v/>
      </c>
      <c r="BU130">
        <f>SUM('Costs'!E36)*'Costs'!F36/12*(1-'Responsibilities'!$C$12)+SUM('Costs'!E37)*'Costs'!F37/12*(1-'Responsibilities'!$C$13)+SUM('Costs'!E38)*'Costs'!F38/12*(1-'Responsibilities'!$C$14)+SUM('Costs'!E39)*'Costs'!F39/12*(1-'Responsibilities'!$C$15)+SUM('Costs'!E40)*'Costs'!F40/12*(1-'Responsibilities'!$C$16)</f>
        <v/>
      </c>
      <c r="BV130">
        <f>('Sites'!E6*'Capital'!E6*(IF(17='Capital'!G6,'Capital'!F6,0)+IF(17='Capital'!H6,1-'Capital'!F6,0)))*(1-'Responsibilities'!$G$6)+('Sites'!E7*'Capital'!E7*(IF(17='Capital'!G7+'Cases'!G9,'Capital'!F7,0)+IF(17='Capital'!H7+'Cases'!G9,1-'Capital'!F7,0)))*(1-'Responsibilities'!$G$7)+('Sites'!E8*'Cases'!F9*'Capital'!E8*(IF(17='Capital'!G8+'Cases'!G9,'Capital'!F8,0)+IF(17='Capital'!H8+'Cases'!G9,1-'Capital'!F8,0)))*(1-'Responsibilities'!$G$8)</f>
        <v/>
      </c>
      <c r="BW130">
        <f>SUM(BQ130:BV130)</f>
        <v/>
      </c>
      <c r="BX130">
        <f>N130+BW130</f>
        <v/>
      </c>
      <c r="BY130">
        <f>BX130-(('Production schedule'!AJ346)*'Responsibilities'!$C$6+('Production schedule'!AJ382)*'Responsibilities'!$C$7+('Production schedule'!AJ418)*'Responsibilities'!$C$8+('Production schedule'!AJ346)*(1-'Responsibilities'!$C$6)+('Production schedule'!AJ382)*(1-'Responsibilities'!$C$7)+('Production schedule'!AJ418)*(1-'Responsibilities'!$C$8)+('Production schedule'!AI346)*'Responsibilities'!$D$6+('Production schedule'!AI382)*'Responsibilities'!$D$7+('Production schedule'!AI418)*'Responsibilities'!$D$8+('Production schedule'!AI346)*(1-'Responsibilities'!$D$6)+('Production schedule'!AI382)*(1-'Responsibilities'!$D$7)+('Production schedule'!AI418)*(1-'Responsibilities'!$D$8)+('Production schedule'!E346*(IF('Sites'!D6="Annual staff",SUM('Assumptions'!T112,'Assumptions'!T114),0)+SUM('Assumptions'!T113,'Assumptions'!T115:T116)))*'Responsibilities'!$E$6+('Production schedule'!E382*(IF('Sites'!D7="Annual staff",SUM('Assumptions'!T117,'Assumptions'!T119),0)+SUM('Assumptions'!T118,'Assumptions'!T120:T121)))*'Responsibilities'!$E$7+('Production schedule'!E418*(IF('Sites'!D8="Annual staff",SUM('Assumptions'!T122,'Assumptions'!T124),0)+SUM('Assumptions'!T123,'Assumptions'!T125:T126)))*'Responsibilities'!$E$8+('Production schedule'!E346*(IF('Sites'!D6="Annual staff",SUM('Assumptions'!T112,'Assumptions'!T114),0)+SUM('Assumptions'!T113,'Assumptions'!T115:T116)))*(1-'Responsibilities'!$E$6)+('Production schedule'!E382*(IF('Sites'!D7="Annual staff",SUM('Assumptions'!T117,'Assumptions'!T119),0)+SUM('Assumptions'!T118,'Assumptions'!T120:T121)))*(1-'Responsibilities'!$E$7)+('Production schedule'!E418*(IF('Sites'!D8="Annual staff",SUM('Assumptions'!T122,'Assumptions'!T124),0)+SUM('Assumptions'!T123,'Assumptions'!T125:T126)))*(1-'Responsibilities'!$E$8)+(IF(AND('Production schedule'!E346=1,17=MAX(('Sites'!F6),13),ISNUMBER('Sites'!P6)),'Sites'!P6*'Assumptions'!$B$44,0))*'Responsibilities'!$F$6+(IF(AND('Production schedule'!E382=1,17=MAX(('Sites'!F7+'Cases'!G9),13),ISNUMBER('Sites'!P7)),'Sites'!P7*'Assumptions'!$B$44,0))*'Responsibilities'!$F$7+(IF(AND('Production schedule'!E418=1,17=MAX(('Sites'!F8+'Cases'!G9),13),ISNUMBER('Sites'!P8)),'Sites'!P8*'Assumptions'!$B$44,0))*'Responsibilities'!$F$8+(IF(AND('Production schedule'!E346=1,17=MAX(('Sites'!F6),13),ISNUMBER('Sites'!P6)),'Sites'!P6*'Assumptions'!$B$44,0))*(1-'Responsibilities'!$F$6)+(IF(AND('Production schedule'!E382=1,17=MAX(('Sites'!F7+'Cases'!G9),13),ISNUMBER('Sites'!P7)),'Sites'!P7*'Assumptions'!$B$44,0))*(1-'Responsibilities'!$F$7)+(IF(AND('Production schedule'!E418=1,17=MAX(('Sites'!F8+'Cases'!G9),13),ISNUMBER('Sites'!P8)),'Sites'!P8*'Assumptions'!$B$44,0))*(1-'Responsibilities'!$F$8)+('Sites'!E6*'Capital'!E6*(IF(17='Capital'!G6,'Capital'!F6,0)+IF(17='Capital'!H6,1-'Capital'!F6,0)))*'Responsibilities'!$G$6+('Sites'!E7*'Capital'!E7*(IF(17='Capital'!G7+'Cases'!G9,'Capital'!F7,0)+IF(17='Capital'!H7+'Cases'!G9,1-'Capital'!F7,0)))*'Responsibilities'!$G$7+('Sites'!E8*'Cases'!F9*'Capital'!E8*(IF(17='Capital'!G8+'Cases'!G9,'Capital'!F8,0)+IF(17='Capital'!H8+'Cases'!G9,1-'Capital'!F8,0)))*'Responsibilities'!$G$8+('Sites'!E6*'Capital'!E6*(IF(17='Capital'!G6,'Capital'!F6,0)+IF(17='Capital'!H6,1-'Capital'!F6,0)))*(1-'Responsibilities'!$G$6)+('Sites'!E7*'Capital'!E7*(IF(17='Capital'!G7+'Cases'!G9,'Capital'!F7,0)+IF(17='Capital'!H7+'Cases'!G9,1-'Capital'!F7,0)))*(1-'Responsibilities'!$G$7)+('Sites'!E8*'Cases'!F9*'Capital'!E8*(IF(17='Capital'!G8+'Cases'!G9,'Capital'!F8,0)+IF(17='Capital'!H8+'Cases'!G9,1-'Capital'!F8,0)))*(1-'Responsibilities'!$G$8)+I130+SUMPRODUCT('Costs'!$E$36:$E$40,'Costs'!$F$36:$F$40)/12+BZ130)</f>
        <v/>
      </c>
      <c r="BZ130">
        <f>SUMIFS('Responsibilities'!$B$31:$B$35,'Responsibilities'!$C$31:$C$35,17,'Responsibilities'!$D$31:$D$35,"Yes")</f>
        <v/>
      </c>
    </row>
    <row r="131" ht="28" customHeight="1">
      <c r="A131" s="4" t="inlineStr">
        <is>
          <t>Delayed receipts</t>
        </is>
      </c>
      <c r="B131" s="4" t="n">
        <v>18</v>
      </c>
      <c r="C131" s="4">
        <f>ROUNDUP(B131/12,0)</f>
        <v/>
      </c>
      <c r="D131" s="137">
        <f>SUMIFS('Production schedule'!$N$330:$N$437,'Production schedule'!$C$330:$C$437,18)</f>
        <v/>
      </c>
      <c r="E131" s="137">
        <f>SUMIFS('Production schedule'!$Y$330:$Y$437,'Production schedule'!$C$330:$C$437,18)</f>
        <v/>
      </c>
      <c r="F131" s="137">
        <f>SUMIFS('Production schedule'!$Z$330:$Z$437,'Production schedule'!$C$330:$C$437,18)</f>
        <v/>
      </c>
      <c r="G131" s="137">
        <f>('Production schedule'!AJ347)*'Responsibilities'!$C$6+('Production schedule'!AJ383)*'Responsibilities'!$C$7+('Production schedule'!AJ419)*'Responsibilities'!$C$8</f>
        <v/>
      </c>
      <c r="H131" s="137">
        <f>('Production schedule'!AI347)*'Responsibilities'!$D$6+('Production schedule'!AI383)*'Responsibilities'!$D$7+('Production schedule'!AI419)*'Responsibilities'!$D$8</f>
        <v/>
      </c>
      <c r="I131" s="137">
        <f>SUM('Assumptions'!U58:U65)</f>
        <v/>
      </c>
      <c r="J131" s="137">
        <f>('Production schedule'!E347*(IF('Sites'!D6="Annual staff",SUM('Assumptions'!U112,'Assumptions'!U114),0)+SUM('Assumptions'!U113,'Assumptions'!U115:U116)))*'Responsibilities'!$E$6+('Production schedule'!E383*(IF('Sites'!D7="Annual staff",SUM('Assumptions'!U117,'Assumptions'!U119),0)+SUM('Assumptions'!U118,'Assumptions'!U120:U121)))*'Responsibilities'!$E$7+('Production schedule'!E419*(IF('Sites'!D8="Annual staff",SUM('Assumptions'!U122,'Assumptions'!U124),0)+SUM('Assumptions'!U123,'Assumptions'!U125:U126)))*'Responsibilities'!$E$8</f>
        <v/>
      </c>
      <c r="K131" s="137">
        <f>(IF(AND('Production schedule'!E347=1,18=MAX(('Sites'!F6),13),ISNUMBER('Sites'!P6)),'Sites'!P6*'Assumptions'!$B$44,0))*'Responsibilities'!$F$6+(IF(AND('Production schedule'!E383=1,18=MAX(('Sites'!F7+'Cases'!G9),13),ISNUMBER('Sites'!P7)),'Sites'!P7*'Assumptions'!$B$44,0))*'Responsibilities'!$F$7+(IF(AND('Production schedule'!E419=1,18=MAX(('Sites'!F8+'Cases'!G9),13),ISNUMBER('Sites'!P8)),'Sites'!P8*'Assumptions'!$B$44,0))*'Responsibilities'!$F$8</f>
        <v/>
      </c>
      <c r="L131" s="137">
        <f>SUM('Costs'!E36)*'Costs'!F36/12*'Responsibilities'!$C$12+SUM('Costs'!E37)*'Costs'!F37/12*'Responsibilities'!$C$13+SUM('Costs'!E38)*'Costs'!F38/12*'Responsibilities'!$C$14+SUM('Costs'!E39)*'Costs'!F39/12*'Responsibilities'!$C$15+SUM('Costs'!E40)*'Costs'!F40/12*'Responsibilities'!$C$16+BZ131</f>
        <v/>
      </c>
      <c r="M131" s="137">
        <f>('Sites'!E6*'Capital'!E6*(IF(18='Capital'!G6,'Capital'!F6,0)+IF(18='Capital'!H6,1-'Capital'!F6,0)))*'Responsibilities'!$G$6+('Sites'!E7*'Capital'!E7*(IF(18='Capital'!G7+'Cases'!G9,'Capital'!F7,0)+IF(18='Capital'!H7+'Cases'!G9,1-'Capital'!F7,0)))*'Responsibilities'!$G$7+('Sites'!E8*'Cases'!F9*'Capital'!E8*(IF(18='Capital'!G8+'Cases'!G9,'Capital'!F8,0)+IF(18='Capital'!H8+'Cases'!G9,1-'Capital'!F8,0)))*'Responsibilities'!$G$8</f>
        <v/>
      </c>
      <c r="N131" s="137">
        <f>SUM(G131:M131)</f>
        <v/>
      </c>
      <c r="O131" s="137">
        <f>SUMIFS(FundingTranches[Secured amount],FundingTranches[Instrument],"Grant",FundingTranches[Secured month],18)</f>
        <v/>
      </c>
      <c r="P131" s="137">
        <f>SUMIFS(FundingTranches[Delayed receipts possible],FundingTranches[Instrument],"Grant",FundingTranches[Scenario month],18-'Cases'!$D$9)</f>
        <v/>
      </c>
      <c r="Q131" s="137">
        <f>SUMIFS(FundingTranches[Secured amount],FundingTranches[Instrument],"Loan",FundingTranches[Secured month],18)</f>
        <v/>
      </c>
      <c r="R131" s="137">
        <f>SUMIFS(FundingTranches[Delayed receipts possible],FundingTranches[Instrument],"Loan",FundingTranches[Scenario month],18-'Cases'!$D$9)</f>
        <v/>
      </c>
      <c r="S131" s="137">
        <f>IF(18&lt;='Assumptions'!$B$34,0,SUMIFS('Production schedule'!$AL$330:$AL$437,'Production schedule'!$C$330:$C$437,18-'Assumptions'!$B$34))</f>
        <v/>
      </c>
      <c r="T131" s="137">
        <f>'Assumptions'!U70</f>
        <v/>
      </c>
      <c r="U131" s="137">
        <f>'Assumptions'!U78</f>
        <v/>
      </c>
      <c r="V131" s="137">
        <f>SUM(O131:U131)</f>
        <v/>
      </c>
      <c r="W131" s="137">
        <f>AA130</f>
        <v/>
      </c>
      <c r="X131" s="137">
        <f>SUM(Q131:R131)</f>
        <v/>
      </c>
      <c r="Y131" s="137">
        <f>SUM(W131,X131)*'Assumptions'!$B$39/12</f>
        <v/>
      </c>
      <c r="Z131" s="137">
        <f>IF(SUM(W131,X131)&gt;0,MIN(SUM(W131,X131),MAX(0,BP131-Y131)),0)</f>
        <v/>
      </c>
      <c r="AA131" s="137">
        <f>SUM(W131,X131)-Z131</f>
        <v/>
      </c>
      <c r="AB131" s="137">
        <f>SUM(Y131:Z131)</f>
        <v/>
      </c>
      <c r="AC131" s="137">
        <f>'Assumptions'!U72</f>
        <v/>
      </c>
      <c r="AD131" s="137">
        <f>'Assumptions'!U73</f>
        <v/>
      </c>
      <c r="AE131" s="137">
        <f>IF(X131&gt;0,SUM('Assumptions'!$B$42),0)</f>
        <v/>
      </c>
      <c r="AF131" s="137">
        <f>'Assumptions'!U71</f>
        <v/>
      </c>
      <c r="AG131" s="137">
        <f>'Assumptions'!U74</f>
        <v/>
      </c>
      <c r="AH131" s="137">
        <f>'Assumptions'!U75</f>
        <v/>
      </c>
      <c r="AI131" s="137">
        <f>'Assumptions'!U77</f>
        <v/>
      </c>
      <c r="AJ131" s="137">
        <f>V131-N131-SUM(AB131:AI131)</f>
        <v/>
      </c>
      <c r="AK131" s="137">
        <f>SUM(AJ114:AJ131)</f>
        <v/>
      </c>
      <c r="AL131" s="137">
        <f>IF(ISNUMBER('Assumptions'!$B$10),'Assumptions'!$B$10+AK131,"")</f>
        <v/>
      </c>
      <c r="AM131" s="137">
        <f>SUM(O131,Q131,T131)-N131-SUM(AC131:AI131)+IF('Funding'!$N$11=0,AE131,0)-IF('Funding'!$N$11&gt;0,AB131,0)</f>
        <v/>
      </c>
      <c r="AN131" s="137">
        <f>SUM(AM114:AM131)</f>
        <v/>
      </c>
      <c r="AO131" s="137">
        <f>IF(ISNUMBER('Assumptions'!$B$10),'Assumptions'!$B$10+AN131,"")</f>
        <v/>
      </c>
      <c r="AP131" s="137">
        <f>('Production schedule'!AK347)*'Responsibilities'!$C$6+('Production schedule'!AK383)*'Responsibilities'!$C$7+('Production schedule'!AK419)*'Responsibilities'!$C$8</f>
        <v/>
      </c>
      <c r="AQ131" s="137">
        <f>SUMIFS('Production schedule'!$AL$330:$AL$437,'Production schedule'!$C$330:$C$437,18)</f>
        <v/>
      </c>
      <c r="AR131" s="137">
        <f>IF(ISNUMBER('Assumptions'!U76),'Assumptions'!U76,SUM(O131:P131))</f>
        <v/>
      </c>
      <c r="AS131" s="137">
        <f>IF(ISNUMBER('Assumptions'!$B$13),MIN('Assumptions'!$B$13/'Assumptions'!$B$18/12,MAX(0,'Assumptions'!$B$13-(18-1)*'Assumptions'!$B$13/'Assumptions'!$B$18/12)),0)+IF(AND('Sites'!E6=1,18&gt;=('Sites'!F6),18&lt;('Sites'!F6)+'Assumptions'!$B$18*12),'Capital'!E6/'Assumptions'!$B$18/12,0)+IF(AND('Sites'!E7=1,18&gt;=('Sites'!F7+'Cases'!G9),18&lt;('Sites'!F7+'Cases'!G9)+'Assumptions'!$B$18*12),'Capital'!E7/'Assumptions'!$B$18/12,0)+IF(AND('Sites'!E8*'Cases'!F9=1,18&gt;=('Sites'!F8+'Cases'!G9),18&lt;('Sites'!F8+'Cases'!G9)+'Assumptions'!$B$18*12),'Capital'!E8/'Assumptions'!$B$18/12,0)</f>
        <v/>
      </c>
      <c r="AT131" s="137">
        <f>SUM(AQ131,AR131,U131)-AP131-SUM(H131:L131)-AS131-SUM(Y131,AD131,AE131,AH131)</f>
        <v/>
      </c>
      <c r="AU131" s="137">
        <f>IF(ISNUMBER('Assumptions'!$B$19),MAX(0,SUM(AT126:AT131))*'Assumptions'!$B$19-SUM(AU126:AU130),"")</f>
        <v/>
      </c>
      <c r="AV131" s="137">
        <f>IF(ISNUMBER(AU131),AT131-AU131,"")</f>
        <v/>
      </c>
      <c r="AW131" s="137">
        <f>IF(ISNUMBER('Assumptions'!$B$11),'Assumptions'!$B$11+SUM(AQ114:AQ131)-SUM(S114:S131)-SUM(T114:T131),"")</f>
        <v/>
      </c>
      <c r="AX131" s="137">
        <f>IF(ISNUMBER('Assumptions'!$B$12),'Assumptions'!$B$12+SUM(G114:G131)-SUM(AP114:AP131),"")</f>
        <v/>
      </c>
      <c r="AY131" s="137">
        <f>IF(ISNUMBER('Assumptions'!$B$13),'Assumptions'!$B$13+SUM(M114:M131)-SUM(AS114:AS131),"")</f>
        <v/>
      </c>
      <c r="AZ131" s="137">
        <f>IF(ISNUMBER('Assumptions'!$B$14),'Assumptions'!$B$14+-SUM(AF114:AF131),"")</f>
        <v/>
      </c>
      <c r="BA131" s="137">
        <f>IF(ISNUMBER('Assumptions'!$B$15),'Assumptions'!$B$15+SUM(O114:O131)+SUM(P114:P131)-SUM(AR114:AR131),"")</f>
        <v/>
      </c>
      <c r="BB131" s="137">
        <f>IF(ISNUMBER('Assumptions'!$B$16),'Assumptions'!$B$16+-SUM(AC114:AC131),"")</f>
        <v/>
      </c>
      <c r="BC131" s="137">
        <f>IF(AND(ISNUMBER('Assumptions'!$B$21),ISNUMBER('Assumptions'!$B$19)),'Assumptions'!$B$21+SUM(AU114:AU131)-SUM(AG114:AG131),"")</f>
        <v/>
      </c>
      <c r="BD131" s="137">
        <f>IF(ISNUMBER('Assumptions'!$B$20),'Assumptions'!$B$20+-SUM(AI114:AI131),"")</f>
        <v/>
      </c>
      <c r="BE131" s="137">
        <f>IF(AND(ISNUMBER('Assumptions'!$B$17),COUNT(AV114:AV131)=18),'Assumptions'!$B$17+SUM(AV114:AV131),"")</f>
        <v/>
      </c>
      <c r="BF131" s="137">
        <f>IF(COUNT(AL131,AW131:AY131)=4,SUM(AL131,AW131:AY131),"")</f>
        <v/>
      </c>
      <c r="BG131" s="137">
        <f>IF(COUNT(AZ131:BD131)=5,SUM(AZ131:BD131,AA131),"")</f>
        <v/>
      </c>
      <c r="BH131" s="137">
        <f>IF(COUNT(BF131,BG131,BE131)=3,BF131-BG131-BE131,"")</f>
        <v/>
      </c>
      <c r="BI131" s="137">
        <f>SUM(W131,X131)-Z131-AA131</f>
        <v/>
      </c>
      <c r="BJ131" s="137">
        <f>8-COUNT('Assumptions'!U58:U65)+COUNTBLANK('NM Play'!B33:B34)+'Costs'!E44+IF(AND('Sites'!E6=1,('Sites'!F6)&lt;=24,'Sites'!G6&gt;=13),IF(ISNUMBER('Sites'!P6),0,1)+'Capital'!I6+COUNTBLANK('Sites'!R6)+IF('Sites'!D6="NM crew",COUNTBLANK('NM Play'!B25)+1,5-COUNT('Assumptions'!U112:U116)),0)+IF(AND('Sites'!E7=1,('Sites'!F7+'Cases'!G9)&lt;=24,'Sites'!G7&gt;=13),IF(ISNUMBER('Sites'!P7),0,1)+'Capital'!I7+COUNTBLANK('Sites'!R7)+IF('Sites'!D7="NM crew",COUNTBLANK('NM Play'!B25)+1,5-COUNT('Assumptions'!U117:U121)),0)+IF(AND('Sites'!E8*'Cases'!F9=1,('Sites'!F8+'Cases'!G9)&lt;=24,'Sites'!G8&gt;=13),IF(ISNUMBER('Sites'!P8),0,1)+'Capital'!I8+COUNTBLANK('Sites'!R8)+IF('Sites'!D8="NM crew",COUNTBLANK('NM Play'!B25)+1,5-COUNT('Assumptions'!U122:U126)),0)+IF(AND('Cases'!C9&gt;0,NOT(ISNUMBER('Assumptions'!B42))),1,0)+'Responsibilities'!$B$39</f>
        <v/>
      </c>
      <c r="BK131" s="137">
        <f>'Assumptions'!$B$50+'NM Play'!$B$83+'Funding'!$F$20+SUMIFS('Production schedule'!$AN$330:$AN$437,'Production schedule'!$C$330:$C$437,18)+IF(OR('Cases'!E9&lt;0,'Cases'!E9&gt;1,'Cases'!C9&lt;0,'Cases'!D9&lt;0,ABS(SUM('Sites'!S6:S8)-1)&gt;0.0001,MIN('Capital'!F6:F8)&lt;0,MAX('Capital'!F6:F8)&gt;1,MIN(AX131,AZ131,BB131,BA131)&lt;-0.01),1,0)+'Responsibilities'!$B$40</f>
        <v/>
      </c>
      <c r="BL131" s="137">
        <f>SUMIFS('Production schedule'!$T$330:$T$437,'Production schedule'!$C$330:$C$437,18)</f>
        <v/>
      </c>
      <c r="BM131" s="137">
        <f>D131*'NM Play'!$B$38</f>
        <v/>
      </c>
      <c r="BN131" s="137">
        <f>SUMIFS('Production schedule'!$AM$330:$AM$437,'Production schedule'!$C$330:$C$437,18)</f>
        <v/>
      </c>
      <c r="BO131" s="137">
        <f>AK131-AK130-AJ131</f>
        <v/>
      </c>
      <c r="BP131" s="137">
        <f>IF(AND('Assumptions'!$B$39&gt;=0,'Assumptions'!$B$40&gt;0),-PMT('Assumptions'!$B$39/12,'Assumptions'!$B$40*12,IF('Funding'!$N$11&gt;0,'Funding'!$N$11,'Funding'!$U$11)),"")</f>
        <v/>
      </c>
      <c r="BQ131">
        <f>('Production schedule'!AJ347)*(1-'Responsibilities'!$C$6)+('Production schedule'!AJ383)*(1-'Responsibilities'!$C$7)+('Production schedule'!AJ419)*(1-'Responsibilities'!$C$8)</f>
        <v/>
      </c>
      <c r="BR131">
        <f>('Production schedule'!AI347)*(1-'Responsibilities'!$D$6)+('Production schedule'!AI383)*(1-'Responsibilities'!$D$7)+('Production schedule'!AI419)*(1-'Responsibilities'!$D$8)</f>
        <v/>
      </c>
      <c r="BS131">
        <f>('Production schedule'!E347*(IF('Sites'!D6="Annual staff",SUM('Assumptions'!U112,'Assumptions'!U114),0)+SUM('Assumptions'!U113,'Assumptions'!U115:U116)))*(1-'Responsibilities'!$E$6)+('Production schedule'!E383*(IF('Sites'!D7="Annual staff",SUM('Assumptions'!U117,'Assumptions'!U119),0)+SUM('Assumptions'!U118,'Assumptions'!U120:U121)))*(1-'Responsibilities'!$E$7)+('Production schedule'!E419*(IF('Sites'!D8="Annual staff",SUM('Assumptions'!U122,'Assumptions'!U124),0)+SUM('Assumptions'!U123,'Assumptions'!U125:U126)))*(1-'Responsibilities'!$E$8)</f>
        <v/>
      </c>
      <c r="BT131">
        <f>(IF(AND('Production schedule'!E347=1,18=MAX(('Sites'!F6),13),ISNUMBER('Sites'!P6)),'Sites'!P6*'Assumptions'!$B$44,0))*(1-'Responsibilities'!$F$6)+(IF(AND('Production schedule'!E383=1,18=MAX(('Sites'!F7+'Cases'!G9),13),ISNUMBER('Sites'!P7)),'Sites'!P7*'Assumptions'!$B$44,0))*(1-'Responsibilities'!$F$7)+(IF(AND('Production schedule'!E419=1,18=MAX(('Sites'!F8+'Cases'!G9),13),ISNUMBER('Sites'!P8)),'Sites'!P8*'Assumptions'!$B$44,0))*(1-'Responsibilities'!$F$8)</f>
        <v/>
      </c>
      <c r="BU131">
        <f>SUM('Costs'!E36)*'Costs'!F36/12*(1-'Responsibilities'!$C$12)+SUM('Costs'!E37)*'Costs'!F37/12*(1-'Responsibilities'!$C$13)+SUM('Costs'!E38)*'Costs'!F38/12*(1-'Responsibilities'!$C$14)+SUM('Costs'!E39)*'Costs'!F39/12*(1-'Responsibilities'!$C$15)+SUM('Costs'!E40)*'Costs'!F40/12*(1-'Responsibilities'!$C$16)</f>
        <v/>
      </c>
      <c r="BV131">
        <f>('Sites'!E6*'Capital'!E6*(IF(18='Capital'!G6,'Capital'!F6,0)+IF(18='Capital'!H6,1-'Capital'!F6,0)))*(1-'Responsibilities'!$G$6)+('Sites'!E7*'Capital'!E7*(IF(18='Capital'!G7+'Cases'!G9,'Capital'!F7,0)+IF(18='Capital'!H7+'Cases'!G9,1-'Capital'!F7,0)))*(1-'Responsibilities'!$G$7)+('Sites'!E8*'Cases'!F9*'Capital'!E8*(IF(18='Capital'!G8+'Cases'!G9,'Capital'!F8,0)+IF(18='Capital'!H8+'Cases'!G9,1-'Capital'!F8,0)))*(1-'Responsibilities'!$G$8)</f>
        <v/>
      </c>
      <c r="BW131">
        <f>SUM(BQ131:BV131)</f>
        <v/>
      </c>
      <c r="BX131">
        <f>N131+BW131</f>
        <v/>
      </c>
      <c r="BY131">
        <f>BX131-(('Production schedule'!AJ347)*'Responsibilities'!$C$6+('Production schedule'!AJ383)*'Responsibilities'!$C$7+('Production schedule'!AJ419)*'Responsibilities'!$C$8+('Production schedule'!AJ347)*(1-'Responsibilities'!$C$6)+('Production schedule'!AJ383)*(1-'Responsibilities'!$C$7)+('Production schedule'!AJ419)*(1-'Responsibilities'!$C$8)+('Production schedule'!AI347)*'Responsibilities'!$D$6+('Production schedule'!AI383)*'Responsibilities'!$D$7+('Production schedule'!AI419)*'Responsibilities'!$D$8+('Production schedule'!AI347)*(1-'Responsibilities'!$D$6)+('Production schedule'!AI383)*(1-'Responsibilities'!$D$7)+('Production schedule'!AI419)*(1-'Responsibilities'!$D$8)+('Production schedule'!E347*(IF('Sites'!D6="Annual staff",SUM('Assumptions'!U112,'Assumptions'!U114),0)+SUM('Assumptions'!U113,'Assumptions'!U115:U116)))*'Responsibilities'!$E$6+('Production schedule'!E383*(IF('Sites'!D7="Annual staff",SUM('Assumptions'!U117,'Assumptions'!U119),0)+SUM('Assumptions'!U118,'Assumptions'!U120:U121)))*'Responsibilities'!$E$7+('Production schedule'!E419*(IF('Sites'!D8="Annual staff",SUM('Assumptions'!U122,'Assumptions'!U124),0)+SUM('Assumptions'!U123,'Assumptions'!U125:U126)))*'Responsibilities'!$E$8+('Production schedule'!E347*(IF('Sites'!D6="Annual staff",SUM('Assumptions'!U112,'Assumptions'!U114),0)+SUM('Assumptions'!U113,'Assumptions'!U115:U116)))*(1-'Responsibilities'!$E$6)+('Production schedule'!E383*(IF('Sites'!D7="Annual staff",SUM('Assumptions'!U117,'Assumptions'!U119),0)+SUM('Assumptions'!U118,'Assumptions'!U120:U121)))*(1-'Responsibilities'!$E$7)+('Production schedule'!E419*(IF('Sites'!D8="Annual staff",SUM('Assumptions'!U122,'Assumptions'!U124),0)+SUM('Assumptions'!U123,'Assumptions'!U125:U126)))*(1-'Responsibilities'!$E$8)+(IF(AND('Production schedule'!E347=1,18=MAX(('Sites'!F6),13),ISNUMBER('Sites'!P6)),'Sites'!P6*'Assumptions'!$B$44,0))*'Responsibilities'!$F$6+(IF(AND('Production schedule'!E383=1,18=MAX(('Sites'!F7+'Cases'!G9),13),ISNUMBER('Sites'!P7)),'Sites'!P7*'Assumptions'!$B$44,0))*'Responsibilities'!$F$7+(IF(AND('Production schedule'!E419=1,18=MAX(('Sites'!F8+'Cases'!G9),13),ISNUMBER('Sites'!P8)),'Sites'!P8*'Assumptions'!$B$44,0))*'Responsibilities'!$F$8+(IF(AND('Production schedule'!E347=1,18=MAX(('Sites'!F6),13),ISNUMBER('Sites'!P6)),'Sites'!P6*'Assumptions'!$B$44,0))*(1-'Responsibilities'!$F$6)+(IF(AND('Production schedule'!E383=1,18=MAX(('Sites'!F7+'Cases'!G9),13),ISNUMBER('Sites'!P7)),'Sites'!P7*'Assumptions'!$B$44,0))*(1-'Responsibilities'!$F$7)+(IF(AND('Production schedule'!E419=1,18=MAX(('Sites'!F8+'Cases'!G9),13),ISNUMBER('Sites'!P8)),'Sites'!P8*'Assumptions'!$B$44,0))*(1-'Responsibilities'!$F$8)+('Sites'!E6*'Capital'!E6*(IF(18='Capital'!G6,'Capital'!F6,0)+IF(18='Capital'!H6,1-'Capital'!F6,0)))*'Responsibilities'!$G$6+('Sites'!E7*'Capital'!E7*(IF(18='Capital'!G7+'Cases'!G9,'Capital'!F7,0)+IF(18='Capital'!H7+'Cases'!G9,1-'Capital'!F7,0)))*'Responsibilities'!$G$7+('Sites'!E8*'Cases'!F9*'Capital'!E8*(IF(18='Capital'!G8+'Cases'!G9,'Capital'!F8,0)+IF(18='Capital'!H8+'Cases'!G9,1-'Capital'!F8,0)))*'Responsibilities'!$G$8+('Sites'!E6*'Capital'!E6*(IF(18='Capital'!G6,'Capital'!F6,0)+IF(18='Capital'!H6,1-'Capital'!F6,0)))*(1-'Responsibilities'!$G$6)+('Sites'!E7*'Capital'!E7*(IF(18='Capital'!G7+'Cases'!G9,'Capital'!F7,0)+IF(18='Capital'!H7+'Cases'!G9,1-'Capital'!F7,0)))*(1-'Responsibilities'!$G$7)+('Sites'!E8*'Cases'!F9*'Capital'!E8*(IF(18='Capital'!G8+'Cases'!G9,'Capital'!F8,0)+IF(18='Capital'!H8+'Cases'!G9,1-'Capital'!F8,0)))*(1-'Responsibilities'!$G$8)+I131+SUMPRODUCT('Costs'!$E$36:$E$40,'Costs'!$F$36:$F$40)/12+BZ131)</f>
        <v/>
      </c>
      <c r="BZ131">
        <f>SUMIFS('Responsibilities'!$B$31:$B$35,'Responsibilities'!$C$31:$C$35,18,'Responsibilities'!$D$31:$D$35,"Yes")</f>
        <v/>
      </c>
    </row>
    <row r="132" ht="28" customHeight="1">
      <c r="A132" s="4" t="inlineStr">
        <is>
          <t>Delayed receipts</t>
        </is>
      </c>
      <c r="B132" s="4" t="n">
        <v>19</v>
      </c>
      <c r="C132" s="4">
        <f>ROUNDUP(B132/12,0)</f>
        <v/>
      </c>
      <c r="D132" s="137">
        <f>SUMIFS('Production schedule'!$N$330:$N$437,'Production schedule'!$C$330:$C$437,19)</f>
        <v/>
      </c>
      <c r="E132" s="137">
        <f>SUMIFS('Production schedule'!$Y$330:$Y$437,'Production schedule'!$C$330:$C$437,19)</f>
        <v/>
      </c>
      <c r="F132" s="137">
        <f>SUMIFS('Production schedule'!$Z$330:$Z$437,'Production schedule'!$C$330:$C$437,19)</f>
        <v/>
      </c>
      <c r="G132" s="137">
        <f>('Production schedule'!AJ348)*'Responsibilities'!$C$6+('Production schedule'!AJ384)*'Responsibilities'!$C$7+('Production schedule'!AJ420)*'Responsibilities'!$C$8</f>
        <v/>
      </c>
      <c r="H132" s="137">
        <f>('Production schedule'!AI348)*'Responsibilities'!$D$6+('Production schedule'!AI384)*'Responsibilities'!$D$7+('Production schedule'!AI420)*'Responsibilities'!$D$8</f>
        <v/>
      </c>
      <c r="I132" s="137">
        <f>SUM('Assumptions'!V58:V65)</f>
        <v/>
      </c>
      <c r="J132" s="137">
        <f>('Production schedule'!E348*(IF('Sites'!D6="Annual staff",SUM('Assumptions'!V112,'Assumptions'!V114),0)+SUM('Assumptions'!V113,'Assumptions'!V115:V116)))*'Responsibilities'!$E$6+('Production schedule'!E384*(IF('Sites'!D7="Annual staff",SUM('Assumptions'!V117,'Assumptions'!V119),0)+SUM('Assumptions'!V118,'Assumptions'!V120:V121)))*'Responsibilities'!$E$7+('Production schedule'!E420*(IF('Sites'!D8="Annual staff",SUM('Assumptions'!V122,'Assumptions'!V124),0)+SUM('Assumptions'!V123,'Assumptions'!V125:V126)))*'Responsibilities'!$E$8</f>
        <v/>
      </c>
      <c r="K132" s="137">
        <f>(IF(AND('Production schedule'!E348=1,19=MAX(('Sites'!F6),13),ISNUMBER('Sites'!P6)),'Sites'!P6*'Assumptions'!$B$44,0))*'Responsibilities'!$F$6+(IF(AND('Production schedule'!E384=1,19=MAX(('Sites'!F7+'Cases'!G9),13),ISNUMBER('Sites'!P7)),'Sites'!P7*'Assumptions'!$B$44,0))*'Responsibilities'!$F$7+(IF(AND('Production schedule'!E420=1,19=MAX(('Sites'!F8+'Cases'!G9),13),ISNUMBER('Sites'!P8)),'Sites'!P8*'Assumptions'!$B$44,0))*'Responsibilities'!$F$8</f>
        <v/>
      </c>
      <c r="L132" s="137">
        <f>SUM('Costs'!E36)*'Costs'!F36/12*'Responsibilities'!$C$12+SUM('Costs'!E37)*'Costs'!F37/12*'Responsibilities'!$C$13+SUM('Costs'!E38)*'Costs'!F38/12*'Responsibilities'!$C$14+SUM('Costs'!E39)*'Costs'!F39/12*'Responsibilities'!$C$15+SUM('Costs'!E40)*'Costs'!F40/12*'Responsibilities'!$C$16+BZ132</f>
        <v/>
      </c>
      <c r="M132" s="137">
        <f>('Sites'!E6*'Capital'!E6*(IF(19='Capital'!G6,'Capital'!F6,0)+IF(19='Capital'!H6,1-'Capital'!F6,0)))*'Responsibilities'!$G$6+('Sites'!E7*'Capital'!E7*(IF(19='Capital'!G7+'Cases'!G9,'Capital'!F7,0)+IF(19='Capital'!H7+'Cases'!G9,1-'Capital'!F7,0)))*'Responsibilities'!$G$7+('Sites'!E8*'Cases'!F9*'Capital'!E8*(IF(19='Capital'!G8+'Cases'!G9,'Capital'!F8,0)+IF(19='Capital'!H8+'Cases'!G9,1-'Capital'!F8,0)))*'Responsibilities'!$G$8</f>
        <v/>
      </c>
      <c r="N132" s="137">
        <f>SUM(G132:M132)</f>
        <v/>
      </c>
      <c r="O132" s="137">
        <f>SUMIFS(FundingTranches[Secured amount],FundingTranches[Instrument],"Grant",FundingTranches[Secured month],19)</f>
        <v/>
      </c>
      <c r="P132" s="137">
        <f>SUMIFS(FundingTranches[Delayed receipts possible],FundingTranches[Instrument],"Grant",FundingTranches[Scenario month],19-'Cases'!$D$9)</f>
        <v/>
      </c>
      <c r="Q132" s="137">
        <f>SUMIFS(FundingTranches[Secured amount],FundingTranches[Instrument],"Loan",FundingTranches[Secured month],19)</f>
        <v/>
      </c>
      <c r="R132" s="137">
        <f>SUMIFS(FundingTranches[Delayed receipts possible],FundingTranches[Instrument],"Loan",FundingTranches[Scenario month],19-'Cases'!$D$9)</f>
        <v/>
      </c>
      <c r="S132" s="137">
        <f>IF(19&lt;='Assumptions'!$B$34,0,SUMIFS('Production schedule'!$AL$330:$AL$437,'Production schedule'!$C$330:$C$437,19-'Assumptions'!$B$34))</f>
        <v/>
      </c>
      <c r="T132" s="137">
        <f>'Assumptions'!V70</f>
        <v/>
      </c>
      <c r="U132" s="137">
        <f>'Assumptions'!V78</f>
        <v/>
      </c>
      <c r="V132" s="137">
        <f>SUM(O132:U132)</f>
        <v/>
      </c>
      <c r="W132" s="137">
        <f>AA131</f>
        <v/>
      </c>
      <c r="X132" s="137">
        <f>SUM(Q132:R132)</f>
        <v/>
      </c>
      <c r="Y132" s="137">
        <f>SUM(W132,X132)*'Assumptions'!$B$39/12</f>
        <v/>
      </c>
      <c r="Z132" s="137">
        <f>IF(SUM(W132,X132)&gt;0,MIN(SUM(W132,X132),MAX(0,BP132-Y132)),0)</f>
        <v/>
      </c>
      <c r="AA132" s="137">
        <f>SUM(W132,X132)-Z132</f>
        <v/>
      </c>
      <c r="AB132" s="137">
        <f>SUM(Y132:Z132)</f>
        <v/>
      </c>
      <c r="AC132" s="137">
        <f>'Assumptions'!V72</f>
        <v/>
      </c>
      <c r="AD132" s="137">
        <f>'Assumptions'!V73</f>
        <v/>
      </c>
      <c r="AE132" s="137">
        <f>IF(X132&gt;0,SUM('Assumptions'!$B$42),0)</f>
        <v/>
      </c>
      <c r="AF132" s="137">
        <f>'Assumptions'!V71</f>
        <v/>
      </c>
      <c r="AG132" s="137">
        <f>'Assumptions'!V74</f>
        <v/>
      </c>
      <c r="AH132" s="137">
        <f>'Assumptions'!V75</f>
        <v/>
      </c>
      <c r="AI132" s="137">
        <f>'Assumptions'!V77</f>
        <v/>
      </c>
      <c r="AJ132" s="137">
        <f>V132-N132-SUM(AB132:AI132)</f>
        <v/>
      </c>
      <c r="AK132" s="137">
        <f>SUM(AJ114:AJ132)</f>
        <v/>
      </c>
      <c r="AL132" s="137">
        <f>IF(ISNUMBER('Assumptions'!$B$10),'Assumptions'!$B$10+AK132,"")</f>
        <v/>
      </c>
      <c r="AM132" s="137">
        <f>SUM(O132,Q132,T132)-N132-SUM(AC132:AI132)+IF('Funding'!$N$11=0,AE132,0)-IF('Funding'!$N$11&gt;0,AB132,0)</f>
        <v/>
      </c>
      <c r="AN132" s="137">
        <f>SUM(AM114:AM132)</f>
        <v/>
      </c>
      <c r="AO132" s="137">
        <f>IF(ISNUMBER('Assumptions'!$B$10),'Assumptions'!$B$10+AN132,"")</f>
        <v/>
      </c>
      <c r="AP132" s="137">
        <f>('Production schedule'!AK348)*'Responsibilities'!$C$6+('Production schedule'!AK384)*'Responsibilities'!$C$7+('Production schedule'!AK420)*'Responsibilities'!$C$8</f>
        <v/>
      </c>
      <c r="AQ132" s="137">
        <f>SUMIFS('Production schedule'!$AL$330:$AL$437,'Production schedule'!$C$330:$C$437,19)</f>
        <v/>
      </c>
      <c r="AR132" s="137">
        <f>IF(ISNUMBER('Assumptions'!V76),'Assumptions'!V76,SUM(O132:P132))</f>
        <v/>
      </c>
      <c r="AS132" s="137">
        <f>IF(ISNUMBER('Assumptions'!$B$13),MIN('Assumptions'!$B$13/'Assumptions'!$B$18/12,MAX(0,'Assumptions'!$B$13-(19-1)*'Assumptions'!$B$13/'Assumptions'!$B$18/12)),0)+IF(AND('Sites'!E6=1,19&gt;=('Sites'!F6),19&lt;('Sites'!F6)+'Assumptions'!$B$18*12),'Capital'!E6/'Assumptions'!$B$18/12,0)+IF(AND('Sites'!E7=1,19&gt;=('Sites'!F7+'Cases'!G9),19&lt;('Sites'!F7+'Cases'!G9)+'Assumptions'!$B$18*12),'Capital'!E7/'Assumptions'!$B$18/12,0)+IF(AND('Sites'!E8*'Cases'!F9=1,19&gt;=('Sites'!F8+'Cases'!G9),19&lt;('Sites'!F8+'Cases'!G9)+'Assumptions'!$B$18*12),'Capital'!E8/'Assumptions'!$B$18/12,0)</f>
        <v/>
      </c>
      <c r="AT132" s="137">
        <f>SUM(AQ132,AR132,U132)-AP132-SUM(H132:L132)-AS132-SUM(Y132,AD132,AE132,AH132)</f>
        <v/>
      </c>
      <c r="AU132" s="137">
        <f>IF(ISNUMBER('Assumptions'!$B$19),MAX(0,SUM(AT126:AT132))*'Assumptions'!$B$19-SUM(AU126:AU131),"")</f>
        <v/>
      </c>
      <c r="AV132" s="137">
        <f>IF(ISNUMBER(AU132),AT132-AU132,"")</f>
        <v/>
      </c>
      <c r="AW132" s="137">
        <f>IF(ISNUMBER('Assumptions'!$B$11),'Assumptions'!$B$11+SUM(AQ114:AQ132)-SUM(S114:S132)-SUM(T114:T132),"")</f>
        <v/>
      </c>
      <c r="AX132" s="137">
        <f>IF(ISNUMBER('Assumptions'!$B$12),'Assumptions'!$B$12+SUM(G114:G132)-SUM(AP114:AP132),"")</f>
        <v/>
      </c>
      <c r="AY132" s="137">
        <f>IF(ISNUMBER('Assumptions'!$B$13),'Assumptions'!$B$13+SUM(M114:M132)-SUM(AS114:AS132),"")</f>
        <v/>
      </c>
      <c r="AZ132" s="137">
        <f>IF(ISNUMBER('Assumptions'!$B$14),'Assumptions'!$B$14+-SUM(AF114:AF132),"")</f>
        <v/>
      </c>
      <c r="BA132" s="137">
        <f>IF(ISNUMBER('Assumptions'!$B$15),'Assumptions'!$B$15+SUM(O114:O132)+SUM(P114:P132)-SUM(AR114:AR132),"")</f>
        <v/>
      </c>
      <c r="BB132" s="137">
        <f>IF(ISNUMBER('Assumptions'!$B$16),'Assumptions'!$B$16+-SUM(AC114:AC132),"")</f>
        <v/>
      </c>
      <c r="BC132" s="137">
        <f>IF(AND(ISNUMBER('Assumptions'!$B$21),ISNUMBER('Assumptions'!$B$19)),'Assumptions'!$B$21+SUM(AU114:AU132)-SUM(AG114:AG132),"")</f>
        <v/>
      </c>
      <c r="BD132" s="137">
        <f>IF(ISNUMBER('Assumptions'!$B$20),'Assumptions'!$B$20+-SUM(AI114:AI132),"")</f>
        <v/>
      </c>
      <c r="BE132" s="137">
        <f>IF(AND(ISNUMBER('Assumptions'!$B$17),COUNT(AV114:AV132)=19),'Assumptions'!$B$17+SUM(AV114:AV132),"")</f>
        <v/>
      </c>
      <c r="BF132" s="137">
        <f>IF(COUNT(AL132,AW132:AY132)=4,SUM(AL132,AW132:AY132),"")</f>
        <v/>
      </c>
      <c r="BG132" s="137">
        <f>IF(COUNT(AZ132:BD132)=5,SUM(AZ132:BD132,AA132),"")</f>
        <v/>
      </c>
      <c r="BH132" s="137">
        <f>IF(COUNT(BF132,BG132,BE132)=3,BF132-BG132-BE132,"")</f>
        <v/>
      </c>
      <c r="BI132" s="137">
        <f>SUM(W132,X132)-Z132-AA132</f>
        <v/>
      </c>
      <c r="BJ132" s="137">
        <f>8-COUNT('Assumptions'!V58:V65)+COUNTBLANK('NM Play'!B33:B34)+'Costs'!E44+IF(AND('Sites'!E6=1,('Sites'!F6)&lt;=24,'Sites'!G6&gt;=13),IF(ISNUMBER('Sites'!P6),0,1)+'Capital'!I6+COUNTBLANK('Sites'!R6)+IF('Sites'!D6="NM crew",COUNTBLANK('NM Play'!B25)+1,5-COUNT('Assumptions'!V112:V116)),0)+IF(AND('Sites'!E7=1,('Sites'!F7+'Cases'!G9)&lt;=24,'Sites'!G7&gt;=13),IF(ISNUMBER('Sites'!P7),0,1)+'Capital'!I7+COUNTBLANK('Sites'!R7)+IF('Sites'!D7="NM crew",COUNTBLANK('NM Play'!B25)+1,5-COUNT('Assumptions'!V117:V121)),0)+IF(AND('Sites'!E8*'Cases'!F9=1,('Sites'!F8+'Cases'!G9)&lt;=24,'Sites'!G8&gt;=13),IF(ISNUMBER('Sites'!P8),0,1)+'Capital'!I8+COUNTBLANK('Sites'!R8)+IF('Sites'!D8="NM crew",COUNTBLANK('NM Play'!B25)+1,5-COUNT('Assumptions'!V122:V126)),0)+IF(AND('Cases'!C9&gt;0,NOT(ISNUMBER('Assumptions'!B42))),1,0)+'Responsibilities'!$B$39</f>
        <v/>
      </c>
      <c r="BK132" s="137">
        <f>'Assumptions'!$B$50+'NM Play'!$B$83+'Funding'!$F$20+SUMIFS('Production schedule'!$AN$330:$AN$437,'Production schedule'!$C$330:$C$437,19)+IF(OR('Cases'!E9&lt;0,'Cases'!E9&gt;1,'Cases'!C9&lt;0,'Cases'!D9&lt;0,ABS(SUM('Sites'!S6:S8)-1)&gt;0.0001,MIN('Capital'!F6:F8)&lt;0,MAX('Capital'!F6:F8)&gt;1,MIN(AX132,AZ132,BB132,BA132)&lt;-0.01),1,0)+'Responsibilities'!$B$40</f>
        <v/>
      </c>
      <c r="BL132" s="137">
        <f>SUMIFS('Production schedule'!$T$330:$T$437,'Production schedule'!$C$330:$C$437,19)</f>
        <v/>
      </c>
      <c r="BM132" s="137">
        <f>D132*'NM Play'!$B$38</f>
        <v/>
      </c>
      <c r="BN132" s="137">
        <f>SUMIFS('Production schedule'!$AM$330:$AM$437,'Production schedule'!$C$330:$C$437,19)</f>
        <v/>
      </c>
      <c r="BO132" s="137">
        <f>AK132-AK131-AJ132</f>
        <v/>
      </c>
      <c r="BP132" s="137">
        <f>IF(AND('Assumptions'!$B$39&gt;=0,'Assumptions'!$B$40&gt;0),-PMT('Assumptions'!$B$39/12,'Assumptions'!$B$40*12,IF('Funding'!$N$11&gt;0,'Funding'!$N$11,'Funding'!$U$11)),"")</f>
        <v/>
      </c>
      <c r="BQ132">
        <f>('Production schedule'!AJ348)*(1-'Responsibilities'!$C$6)+('Production schedule'!AJ384)*(1-'Responsibilities'!$C$7)+('Production schedule'!AJ420)*(1-'Responsibilities'!$C$8)</f>
        <v/>
      </c>
      <c r="BR132">
        <f>('Production schedule'!AI348)*(1-'Responsibilities'!$D$6)+('Production schedule'!AI384)*(1-'Responsibilities'!$D$7)+('Production schedule'!AI420)*(1-'Responsibilities'!$D$8)</f>
        <v/>
      </c>
      <c r="BS132">
        <f>('Production schedule'!E348*(IF('Sites'!D6="Annual staff",SUM('Assumptions'!V112,'Assumptions'!V114),0)+SUM('Assumptions'!V113,'Assumptions'!V115:V116)))*(1-'Responsibilities'!$E$6)+('Production schedule'!E384*(IF('Sites'!D7="Annual staff",SUM('Assumptions'!V117,'Assumptions'!V119),0)+SUM('Assumptions'!V118,'Assumptions'!V120:V121)))*(1-'Responsibilities'!$E$7)+('Production schedule'!E420*(IF('Sites'!D8="Annual staff",SUM('Assumptions'!V122,'Assumptions'!V124),0)+SUM('Assumptions'!V123,'Assumptions'!V125:V126)))*(1-'Responsibilities'!$E$8)</f>
        <v/>
      </c>
      <c r="BT132">
        <f>(IF(AND('Production schedule'!E348=1,19=MAX(('Sites'!F6),13),ISNUMBER('Sites'!P6)),'Sites'!P6*'Assumptions'!$B$44,0))*(1-'Responsibilities'!$F$6)+(IF(AND('Production schedule'!E384=1,19=MAX(('Sites'!F7+'Cases'!G9),13),ISNUMBER('Sites'!P7)),'Sites'!P7*'Assumptions'!$B$44,0))*(1-'Responsibilities'!$F$7)+(IF(AND('Production schedule'!E420=1,19=MAX(('Sites'!F8+'Cases'!G9),13),ISNUMBER('Sites'!P8)),'Sites'!P8*'Assumptions'!$B$44,0))*(1-'Responsibilities'!$F$8)</f>
        <v/>
      </c>
      <c r="BU132">
        <f>SUM('Costs'!E36)*'Costs'!F36/12*(1-'Responsibilities'!$C$12)+SUM('Costs'!E37)*'Costs'!F37/12*(1-'Responsibilities'!$C$13)+SUM('Costs'!E38)*'Costs'!F38/12*(1-'Responsibilities'!$C$14)+SUM('Costs'!E39)*'Costs'!F39/12*(1-'Responsibilities'!$C$15)+SUM('Costs'!E40)*'Costs'!F40/12*(1-'Responsibilities'!$C$16)</f>
        <v/>
      </c>
      <c r="BV132">
        <f>('Sites'!E6*'Capital'!E6*(IF(19='Capital'!G6,'Capital'!F6,0)+IF(19='Capital'!H6,1-'Capital'!F6,0)))*(1-'Responsibilities'!$G$6)+('Sites'!E7*'Capital'!E7*(IF(19='Capital'!G7+'Cases'!G9,'Capital'!F7,0)+IF(19='Capital'!H7+'Cases'!G9,1-'Capital'!F7,0)))*(1-'Responsibilities'!$G$7)+('Sites'!E8*'Cases'!F9*'Capital'!E8*(IF(19='Capital'!G8+'Cases'!G9,'Capital'!F8,0)+IF(19='Capital'!H8+'Cases'!G9,1-'Capital'!F8,0)))*(1-'Responsibilities'!$G$8)</f>
        <v/>
      </c>
      <c r="BW132">
        <f>SUM(BQ132:BV132)</f>
        <v/>
      </c>
      <c r="BX132">
        <f>N132+BW132</f>
        <v/>
      </c>
      <c r="BY132">
        <f>BX132-(('Production schedule'!AJ348)*'Responsibilities'!$C$6+('Production schedule'!AJ384)*'Responsibilities'!$C$7+('Production schedule'!AJ420)*'Responsibilities'!$C$8+('Production schedule'!AJ348)*(1-'Responsibilities'!$C$6)+('Production schedule'!AJ384)*(1-'Responsibilities'!$C$7)+('Production schedule'!AJ420)*(1-'Responsibilities'!$C$8)+('Production schedule'!AI348)*'Responsibilities'!$D$6+('Production schedule'!AI384)*'Responsibilities'!$D$7+('Production schedule'!AI420)*'Responsibilities'!$D$8+('Production schedule'!AI348)*(1-'Responsibilities'!$D$6)+('Production schedule'!AI384)*(1-'Responsibilities'!$D$7)+('Production schedule'!AI420)*(1-'Responsibilities'!$D$8)+('Production schedule'!E348*(IF('Sites'!D6="Annual staff",SUM('Assumptions'!V112,'Assumptions'!V114),0)+SUM('Assumptions'!V113,'Assumptions'!V115:V116)))*'Responsibilities'!$E$6+('Production schedule'!E384*(IF('Sites'!D7="Annual staff",SUM('Assumptions'!V117,'Assumptions'!V119),0)+SUM('Assumptions'!V118,'Assumptions'!V120:V121)))*'Responsibilities'!$E$7+('Production schedule'!E420*(IF('Sites'!D8="Annual staff",SUM('Assumptions'!V122,'Assumptions'!V124),0)+SUM('Assumptions'!V123,'Assumptions'!V125:V126)))*'Responsibilities'!$E$8+('Production schedule'!E348*(IF('Sites'!D6="Annual staff",SUM('Assumptions'!V112,'Assumptions'!V114),0)+SUM('Assumptions'!V113,'Assumptions'!V115:V116)))*(1-'Responsibilities'!$E$6)+('Production schedule'!E384*(IF('Sites'!D7="Annual staff",SUM('Assumptions'!V117,'Assumptions'!V119),0)+SUM('Assumptions'!V118,'Assumptions'!V120:V121)))*(1-'Responsibilities'!$E$7)+('Production schedule'!E420*(IF('Sites'!D8="Annual staff",SUM('Assumptions'!V122,'Assumptions'!V124),0)+SUM('Assumptions'!V123,'Assumptions'!V125:V126)))*(1-'Responsibilities'!$E$8)+(IF(AND('Production schedule'!E348=1,19=MAX(('Sites'!F6),13),ISNUMBER('Sites'!P6)),'Sites'!P6*'Assumptions'!$B$44,0))*'Responsibilities'!$F$6+(IF(AND('Production schedule'!E384=1,19=MAX(('Sites'!F7+'Cases'!G9),13),ISNUMBER('Sites'!P7)),'Sites'!P7*'Assumptions'!$B$44,0))*'Responsibilities'!$F$7+(IF(AND('Production schedule'!E420=1,19=MAX(('Sites'!F8+'Cases'!G9),13),ISNUMBER('Sites'!P8)),'Sites'!P8*'Assumptions'!$B$44,0))*'Responsibilities'!$F$8+(IF(AND('Production schedule'!E348=1,19=MAX(('Sites'!F6),13),ISNUMBER('Sites'!P6)),'Sites'!P6*'Assumptions'!$B$44,0))*(1-'Responsibilities'!$F$6)+(IF(AND('Production schedule'!E384=1,19=MAX(('Sites'!F7+'Cases'!G9),13),ISNUMBER('Sites'!P7)),'Sites'!P7*'Assumptions'!$B$44,0))*(1-'Responsibilities'!$F$7)+(IF(AND('Production schedule'!E420=1,19=MAX(('Sites'!F8+'Cases'!G9),13),ISNUMBER('Sites'!P8)),'Sites'!P8*'Assumptions'!$B$44,0))*(1-'Responsibilities'!$F$8)+('Sites'!E6*'Capital'!E6*(IF(19='Capital'!G6,'Capital'!F6,0)+IF(19='Capital'!H6,1-'Capital'!F6,0)))*'Responsibilities'!$G$6+('Sites'!E7*'Capital'!E7*(IF(19='Capital'!G7+'Cases'!G9,'Capital'!F7,0)+IF(19='Capital'!H7+'Cases'!G9,1-'Capital'!F7,0)))*'Responsibilities'!$G$7+('Sites'!E8*'Cases'!F9*'Capital'!E8*(IF(19='Capital'!G8+'Cases'!G9,'Capital'!F8,0)+IF(19='Capital'!H8+'Cases'!G9,1-'Capital'!F8,0)))*'Responsibilities'!$G$8+('Sites'!E6*'Capital'!E6*(IF(19='Capital'!G6,'Capital'!F6,0)+IF(19='Capital'!H6,1-'Capital'!F6,0)))*(1-'Responsibilities'!$G$6)+('Sites'!E7*'Capital'!E7*(IF(19='Capital'!G7+'Cases'!G9,'Capital'!F7,0)+IF(19='Capital'!H7+'Cases'!G9,1-'Capital'!F7,0)))*(1-'Responsibilities'!$G$7)+('Sites'!E8*'Cases'!F9*'Capital'!E8*(IF(19='Capital'!G8+'Cases'!G9,'Capital'!F8,0)+IF(19='Capital'!H8+'Cases'!G9,1-'Capital'!F8,0)))*(1-'Responsibilities'!$G$8)+I132+SUMPRODUCT('Costs'!$E$36:$E$40,'Costs'!$F$36:$F$40)/12+BZ132)</f>
        <v/>
      </c>
      <c r="BZ132">
        <f>SUMIFS('Responsibilities'!$B$31:$B$35,'Responsibilities'!$C$31:$C$35,19,'Responsibilities'!$D$31:$D$35,"Yes")</f>
        <v/>
      </c>
    </row>
    <row r="133" ht="28" customHeight="1">
      <c r="A133" s="4" t="inlineStr">
        <is>
          <t>Delayed receipts</t>
        </is>
      </c>
      <c r="B133" s="4" t="n">
        <v>20</v>
      </c>
      <c r="C133" s="4">
        <f>ROUNDUP(B133/12,0)</f>
        <v/>
      </c>
      <c r="D133" s="137">
        <f>SUMIFS('Production schedule'!$N$330:$N$437,'Production schedule'!$C$330:$C$437,20)</f>
        <v/>
      </c>
      <c r="E133" s="137">
        <f>SUMIFS('Production schedule'!$Y$330:$Y$437,'Production schedule'!$C$330:$C$437,20)</f>
        <v/>
      </c>
      <c r="F133" s="137">
        <f>SUMIFS('Production schedule'!$Z$330:$Z$437,'Production schedule'!$C$330:$C$437,20)</f>
        <v/>
      </c>
      <c r="G133" s="137">
        <f>('Production schedule'!AJ349)*'Responsibilities'!$C$6+('Production schedule'!AJ385)*'Responsibilities'!$C$7+('Production schedule'!AJ421)*'Responsibilities'!$C$8</f>
        <v/>
      </c>
      <c r="H133" s="137">
        <f>('Production schedule'!AI349)*'Responsibilities'!$D$6+('Production schedule'!AI385)*'Responsibilities'!$D$7+('Production schedule'!AI421)*'Responsibilities'!$D$8</f>
        <v/>
      </c>
      <c r="I133" s="137">
        <f>SUM('Assumptions'!W58:W65)</f>
        <v/>
      </c>
      <c r="J133" s="137">
        <f>('Production schedule'!E349*(IF('Sites'!D6="Annual staff",SUM('Assumptions'!W112,'Assumptions'!W114),0)+SUM('Assumptions'!W113,'Assumptions'!W115:W116)))*'Responsibilities'!$E$6+('Production schedule'!E385*(IF('Sites'!D7="Annual staff",SUM('Assumptions'!W117,'Assumptions'!W119),0)+SUM('Assumptions'!W118,'Assumptions'!W120:W121)))*'Responsibilities'!$E$7+('Production schedule'!E421*(IF('Sites'!D8="Annual staff",SUM('Assumptions'!W122,'Assumptions'!W124),0)+SUM('Assumptions'!W123,'Assumptions'!W125:W126)))*'Responsibilities'!$E$8</f>
        <v/>
      </c>
      <c r="K133" s="137">
        <f>(IF(AND('Production schedule'!E349=1,20=MAX(('Sites'!F6),13),ISNUMBER('Sites'!P6)),'Sites'!P6*'Assumptions'!$B$44,0))*'Responsibilities'!$F$6+(IF(AND('Production schedule'!E385=1,20=MAX(('Sites'!F7+'Cases'!G9),13),ISNUMBER('Sites'!P7)),'Sites'!P7*'Assumptions'!$B$44,0))*'Responsibilities'!$F$7+(IF(AND('Production schedule'!E421=1,20=MAX(('Sites'!F8+'Cases'!G9),13),ISNUMBER('Sites'!P8)),'Sites'!P8*'Assumptions'!$B$44,0))*'Responsibilities'!$F$8</f>
        <v/>
      </c>
      <c r="L133" s="137">
        <f>SUM('Costs'!E36)*'Costs'!F36/12*'Responsibilities'!$C$12+SUM('Costs'!E37)*'Costs'!F37/12*'Responsibilities'!$C$13+SUM('Costs'!E38)*'Costs'!F38/12*'Responsibilities'!$C$14+SUM('Costs'!E39)*'Costs'!F39/12*'Responsibilities'!$C$15+SUM('Costs'!E40)*'Costs'!F40/12*'Responsibilities'!$C$16+BZ133</f>
        <v/>
      </c>
      <c r="M133" s="137">
        <f>('Sites'!E6*'Capital'!E6*(IF(20='Capital'!G6,'Capital'!F6,0)+IF(20='Capital'!H6,1-'Capital'!F6,0)))*'Responsibilities'!$G$6+('Sites'!E7*'Capital'!E7*(IF(20='Capital'!G7+'Cases'!G9,'Capital'!F7,0)+IF(20='Capital'!H7+'Cases'!G9,1-'Capital'!F7,0)))*'Responsibilities'!$G$7+('Sites'!E8*'Cases'!F9*'Capital'!E8*(IF(20='Capital'!G8+'Cases'!G9,'Capital'!F8,0)+IF(20='Capital'!H8+'Cases'!G9,1-'Capital'!F8,0)))*'Responsibilities'!$G$8</f>
        <v/>
      </c>
      <c r="N133" s="137">
        <f>SUM(G133:M133)</f>
        <v/>
      </c>
      <c r="O133" s="137">
        <f>SUMIFS(FundingTranches[Secured amount],FundingTranches[Instrument],"Grant",FundingTranches[Secured month],20)</f>
        <v/>
      </c>
      <c r="P133" s="137">
        <f>SUMIFS(FundingTranches[Delayed receipts possible],FundingTranches[Instrument],"Grant",FundingTranches[Scenario month],20-'Cases'!$D$9)</f>
        <v/>
      </c>
      <c r="Q133" s="137">
        <f>SUMIFS(FundingTranches[Secured amount],FundingTranches[Instrument],"Loan",FundingTranches[Secured month],20)</f>
        <v/>
      </c>
      <c r="R133" s="137">
        <f>SUMIFS(FundingTranches[Delayed receipts possible],FundingTranches[Instrument],"Loan",FundingTranches[Scenario month],20-'Cases'!$D$9)</f>
        <v/>
      </c>
      <c r="S133" s="137">
        <f>IF(20&lt;='Assumptions'!$B$34,0,SUMIFS('Production schedule'!$AL$330:$AL$437,'Production schedule'!$C$330:$C$437,20-'Assumptions'!$B$34))</f>
        <v/>
      </c>
      <c r="T133" s="137">
        <f>'Assumptions'!W70</f>
        <v/>
      </c>
      <c r="U133" s="137">
        <f>'Assumptions'!W78</f>
        <v/>
      </c>
      <c r="V133" s="137">
        <f>SUM(O133:U133)</f>
        <v/>
      </c>
      <c r="W133" s="137">
        <f>AA132</f>
        <v/>
      </c>
      <c r="X133" s="137">
        <f>SUM(Q133:R133)</f>
        <v/>
      </c>
      <c r="Y133" s="137">
        <f>SUM(W133,X133)*'Assumptions'!$B$39/12</f>
        <v/>
      </c>
      <c r="Z133" s="137">
        <f>IF(SUM(W133,X133)&gt;0,MIN(SUM(W133,X133),MAX(0,BP133-Y133)),0)</f>
        <v/>
      </c>
      <c r="AA133" s="137">
        <f>SUM(W133,X133)-Z133</f>
        <v/>
      </c>
      <c r="AB133" s="137">
        <f>SUM(Y133:Z133)</f>
        <v/>
      </c>
      <c r="AC133" s="137">
        <f>'Assumptions'!W72</f>
        <v/>
      </c>
      <c r="AD133" s="137">
        <f>'Assumptions'!W73</f>
        <v/>
      </c>
      <c r="AE133" s="137">
        <f>IF(X133&gt;0,SUM('Assumptions'!$B$42),0)</f>
        <v/>
      </c>
      <c r="AF133" s="137">
        <f>'Assumptions'!W71</f>
        <v/>
      </c>
      <c r="AG133" s="137">
        <f>'Assumptions'!W74</f>
        <v/>
      </c>
      <c r="AH133" s="137">
        <f>'Assumptions'!W75</f>
        <v/>
      </c>
      <c r="AI133" s="137">
        <f>'Assumptions'!W77</f>
        <v/>
      </c>
      <c r="AJ133" s="137">
        <f>V133-N133-SUM(AB133:AI133)</f>
        <v/>
      </c>
      <c r="AK133" s="137">
        <f>SUM(AJ114:AJ133)</f>
        <v/>
      </c>
      <c r="AL133" s="137">
        <f>IF(ISNUMBER('Assumptions'!$B$10),'Assumptions'!$B$10+AK133,"")</f>
        <v/>
      </c>
      <c r="AM133" s="137">
        <f>SUM(O133,Q133,T133)-N133-SUM(AC133:AI133)+IF('Funding'!$N$11=0,AE133,0)-IF('Funding'!$N$11&gt;0,AB133,0)</f>
        <v/>
      </c>
      <c r="AN133" s="137">
        <f>SUM(AM114:AM133)</f>
        <v/>
      </c>
      <c r="AO133" s="137">
        <f>IF(ISNUMBER('Assumptions'!$B$10),'Assumptions'!$B$10+AN133,"")</f>
        <v/>
      </c>
      <c r="AP133" s="137">
        <f>('Production schedule'!AK349)*'Responsibilities'!$C$6+('Production schedule'!AK385)*'Responsibilities'!$C$7+('Production schedule'!AK421)*'Responsibilities'!$C$8</f>
        <v/>
      </c>
      <c r="AQ133" s="137">
        <f>SUMIFS('Production schedule'!$AL$330:$AL$437,'Production schedule'!$C$330:$C$437,20)</f>
        <v/>
      </c>
      <c r="AR133" s="137">
        <f>IF(ISNUMBER('Assumptions'!W76),'Assumptions'!W76,SUM(O133:P133))</f>
        <v/>
      </c>
      <c r="AS133" s="137">
        <f>IF(ISNUMBER('Assumptions'!$B$13),MIN('Assumptions'!$B$13/'Assumptions'!$B$18/12,MAX(0,'Assumptions'!$B$13-(20-1)*'Assumptions'!$B$13/'Assumptions'!$B$18/12)),0)+IF(AND('Sites'!E6=1,20&gt;=('Sites'!F6),20&lt;('Sites'!F6)+'Assumptions'!$B$18*12),'Capital'!E6/'Assumptions'!$B$18/12,0)+IF(AND('Sites'!E7=1,20&gt;=('Sites'!F7+'Cases'!G9),20&lt;('Sites'!F7+'Cases'!G9)+'Assumptions'!$B$18*12),'Capital'!E7/'Assumptions'!$B$18/12,0)+IF(AND('Sites'!E8*'Cases'!F9=1,20&gt;=('Sites'!F8+'Cases'!G9),20&lt;('Sites'!F8+'Cases'!G9)+'Assumptions'!$B$18*12),'Capital'!E8/'Assumptions'!$B$18/12,0)</f>
        <v/>
      </c>
      <c r="AT133" s="137">
        <f>SUM(AQ133,AR133,U133)-AP133-SUM(H133:L133)-AS133-SUM(Y133,AD133,AE133,AH133)</f>
        <v/>
      </c>
      <c r="AU133" s="137">
        <f>IF(ISNUMBER('Assumptions'!$B$19),MAX(0,SUM(AT126:AT133))*'Assumptions'!$B$19-SUM(AU126:AU132),"")</f>
        <v/>
      </c>
      <c r="AV133" s="137">
        <f>IF(ISNUMBER(AU133),AT133-AU133,"")</f>
        <v/>
      </c>
      <c r="AW133" s="137">
        <f>IF(ISNUMBER('Assumptions'!$B$11),'Assumptions'!$B$11+SUM(AQ114:AQ133)-SUM(S114:S133)-SUM(T114:T133),"")</f>
        <v/>
      </c>
      <c r="AX133" s="137">
        <f>IF(ISNUMBER('Assumptions'!$B$12),'Assumptions'!$B$12+SUM(G114:G133)-SUM(AP114:AP133),"")</f>
        <v/>
      </c>
      <c r="AY133" s="137">
        <f>IF(ISNUMBER('Assumptions'!$B$13),'Assumptions'!$B$13+SUM(M114:M133)-SUM(AS114:AS133),"")</f>
        <v/>
      </c>
      <c r="AZ133" s="137">
        <f>IF(ISNUMBER('Assumptions'!$B$14),'Assumptions'!$B$14+-SUM(AF114:AF133),"")</f>
        <v/>
      </c>
      <c r="BA133" s="137">
        <f>IF(ISNUMBER('Assumptions'!$B$15),'Assumptions'!$B$15+SUM(O114:O133)+SUM(P114:P133)-SUM(AR114:AR133),"")</f>
        <v/>
      </c>
      <c r="BB133" s="137">
        <f>IF(ISNUMBER('Assumptions'!$B$16),'Assumptions'!$B$16+-SUM(AC114:AC133),"")</f>
        <v/>
      </c>
      <c r="BC133" s="137">
        <f>IF(AND(ISNUMBER('Assumptions'!$B$21),ISNUMBER('Assumptions'!$B$19)),'Assumptions'!$B$21+SUM(AU114:AU133)-SUM(AG114:AG133),"")</f>
        <v/>
      </c>
      <c r="BD133" s="137">
        <f>IF(ISNUMBER('Assumptions'!$B$20),'Assumptions'!$B$20+-SUM(AI114:AI133),"")</f>
        <v/>
      </c>
      <c r="BE133" s="137">
        <f>IF(AND(ISNUMBER('Assumptions'!$B$17),COUNT(AV114:AV133)=20),'Assumptions'!$B$17+SUM(AV114:AV133),"")</f>
        <v/>
      </c>
      <c r="BF133" s="137">
        <f>IF(COUNT(AL133,AW133:AY133)=4,SUM(AL133,AW133:AY133),"")</f>
        <v/>
      </c>
      <c r="BG133" s="137">
        <f>IF(COUNT(AZ133:BD133)=5,SUM(AZ133:BD133,AA133),"")</f>
        <v/>
      </c>
      <c r="BH133" s="137">
        <f>IF(COUNT(BF133,BG133,BE133)=3,BF133-BG133-BE133,"")</f>
        <v/>
      </c>
      <c r="BI133" s="137">
        <f>SUM(W133,X133)-Z133-AA133</f>
        <v/>
      </c>
      <c r="BJ133" s="137">
        <f>8-COUNT('Assumptions'!W58:W65)+COUNTBLANK('NM Play'!B33:B34)+'Costs'!E44+IF(AND('Sites'!E6=1,('Sites'!F6)&lt;=24,'Sites'!G6&gt;=13),IF(ISNUMBER('Sites'!P6),0,1)+'Capital'!I6+COUNTBLANK('Sites'!R6)+IF('Sites'!D6="NM crew",COUNTBLANK('NM Play'!B25)+1,5-COUNT('Assumptions'!W112:W116)),0)+IF(AND('Sites'!E7=1,('Sites'!F7+'Cases'!G9)&lt;=24,'Sites'!G7&gt;=13),IF(ISNUMBER('Sites'!P7),0,1)+'Capital'!I7+COUNTBLANK('Sites'!R7)+IF('Sites'!D7="NM crew",COUNTBLANK('NM Play'!B25)+1,5-COUNT('Assumptions'!W117:W121)),0)+IF(AND('Sites'!E8*'Cases'!F9=1,('Sites'!F8+'Cases'!G9)&lt;=24,'Sites'!G8&gt;=13),IF(ISNUMBER('Sites'!P8),0,1)+'Capital'!I8+COUNTBLANK('Sites'!R8)+IF('Sites'!D8="NM crew",COUNTBLANK('NM Play'!B25)+1,5-COUNT('Assumptions'!W122:W126)),0)+IF(AND('Cases'!C9&gt;0,NOT(ISNUMBER('Assumptions'!B42))),1,0)+'Responsibilities'!$B$39</f>
        <v/>
      </c>
      <c r="BK133" s="137">
        <f>'Assumptions'!$B$50+'NM Play'!$B$83+'Funding'!$F$20+SUMIFS('Production schedule'!$AN$330:$AN$437,'Production schedule'!$C$330:$C$437,20)+IF(OR('Cases'!E9&lt;0,'Cases'!E9&gt;1,'Cases'!C9&lt;0,'Cases'!D9&lt;0,ABS(SUM('Sites'!S6:S8)-1)&gt;0.0001,MIN('Capital'!F6:F8)&lt;0,MAX('Capital'!F6:F8)&gt;1,MIN(AX133,AZ133,BB133,BA133)&lt;-0.01),1,0)+'Responsibilities'!$B$40</f>
        <v/>
      </c>
      <c r="BL133" s="137">
        <f>SUMIFS('Production schedule'!$T$330:$T$437,'Production schedule'!$C$330:$C$437,20)</f>
        <v/>
      </c>
      <c r="BM133" s="137">
        <f>D133*'NM Play'!$B$38</f>
        <v/>
      </c>
      <c r="BN133" s="137">
        <f>SUMIFS('Production schedule'!$AM$330:$AM$437,'Production schedule'!$C$330:$C$437,20)</f>
        <v/>
      </c>
      <c r="BO133" s="137">
        <f>AK133-AK132-AJ133</f>
        <v/>
      </c>
      <c r="BP133" s="137">
        <f>IF(AND('Assumptions'!$B$39&gt;=0,'Assumptions'!$B$40&gt;0),-PMT('Assumptions'!$B$39/12,'Assumptions'!$B$40*12,IF('Funding'!$N$11&gt;0,'Funding'!$N$11,'Funding'!$U$11)),"")</f>
        <v/>
      </c>
      <c r="BQ133">
        <f>('Production schedule'!AJ349)*(1-'Responsibilities'!$C$6)+('Production schedule'!AJ385)*(1-'Responsibilities'!$C$7)+('Production schedule'!AJ421)*(1-'Responsibilities'!$C$8)</f>
        <v/>
      </c>
      <c r="BR133">
        <f>('Production schedule'!AI349)*(1-'Responsibilities'!$D$6)+('Production schedule'!AI385)*(1-'Responsibilities'!$D$7)+('Production schedule'!AI421)*(1-'Responsibilities'!$D$8)</f>
        <v/>
      </c>
      <c r="BS133">
        <f>('Production schedule'!E349*(IF('Sites'!D6="Annual staff",SUM('Assumptions'!W112,'Assumptions'!W114),0)+SUM('Assumptions'!W113,'Assumptions'!W115:W116)))*(1-'Responsibilities'!$E$6)+('Production schedule'!E385*(IF('Sites'!D7="Annual staff",SUM('Assumptions'!W117,'Assumptions'!W119),0)+SUM('Assumptions'!W118,'Assumptions'!W120:W121)))*(1-'Responsibilities'!$E$7)+('Production schedule'!E421*(IF('Sites'!D8="Annual staff",SUM('Assumptions'!W122,'Assumptions'!W124),0)+SUM('Assumptions'!W123,'Assumptions'!W125:W126)))*(1-'Responsibilities'!$E$8)</f>
        <v/>
      </c>
      <c r="BT133">
        <f>(IF(AND('Production schedule'!E349=1,20=MAX(('Sites'!F6),13),ISNUMBER('Sites'!P6)),'Sites'!P6*'Assumptions'!$B$44,0))*(1-'Responsibilities'!$F$6)+(IF(AND('Production schedule'!E385=1,20=MAX(('Sites'!F7+'Cases'!G9),13),ISNUMBER('Sites'!P7)),'Sites'!P7*'Assumptions'!$B$44,0))*(1-'Responsibilities'!$F$7)+(IF(AND('Production schedule'!E421=1,20=MAX(('Sites'!F8+'Cases'!G9),13),ISNUMBER('Sites'!P8)),'Sites'!P8*'Assumptions'!$B$44,0))*(1-'Responsibilities'!$F$8)</f>
        <v/>
      </c>
      <c r="BU133">
        <f>SUM('Costs'!E36)*'Costs'!F36/12*(1-'Responsibilities'!$C$12)+SUM('Costs'!E37)*'Costs'!F37/12*(1-'Responsibilities'!$C$13)+SUM('Costs'!E38)*'Costs'!F38/12*(1-'Responsibilities'!$C$14)+SUM('Costs'!E39)*'Costs'!F39/12*(1-'Responsibilities'!$C$15)+SUM('Costs'!E40)*'Costs'!F40/12*(1-'Responsibilities'!$C$16)</f>
        <v/>
      </c>
      <c r="BV133">
        <f>('Sites'!E6*'Capital'!E6*(IF(20='Capital'!G6,'Capital'!F6,0)+IF(20='Capital'!H6,1-'Capital'!F6,0)))*(1-'Responsibilities'!$G$6)+('Sites'!E7*'Capital'!E7*(IF(20='Capital'!G7+'Cases'!G9,'Capital'!F7,0)+IF(20='Capital'!H7+'Cases'!G9,1-'Capital'!F7,0)))*(1-'Responsibilities'!$G$7)+('Sites'!E8*'Cases'!F9*'Capital'!E8*(IF(20='Capital'!G8+'Cases'!G9,'Capital'!F8,0)+IF(20='Capital'!H8+'Cases'!G9,1-'Capital'!F8,0)))*(1-'Responsibilities'!$G$8)</f>
        <v/>
      </c>
      <c r="BW133">
        <f>SUM(BQ133:BV133)</f>
        <v/>
      </c>
      <c r="BX133">
        <f>N133+BW133</f>
        <v/>
      </c>
      <c r="BY133">
        <f>BX133-(('Production schedule'!AJ349)*'Responsibilities'!$C$6+('Production schedule'!AJ385)*'Responsibilities'!$C$7+('Production schedule'!AJ421)*'Responsibilities'!$C$8+('Production schedule'!AJ349)*(1-'Responsibilities'!$C$6)+('Production schedule'!AJ385)*(1-'Responsibilities'!$C$7)+('Production schedule'!AJ421)*(1-'Responsibilities'!$C$8)+('Production schedule'!AI349)*'Responsibilities'!$D$6+('Production schedule'!AI385)*'Responsibilities'!$D$7+('Production schedule'!AI421)*'Responsibilities'!$D$8+('Production schedule'!AI349)*(1-'Responsibilities'!$D$6)+('Production schedule'!AI385)*(1-'Responsibilities'!$D$7)+('Production schedule'!AI421)*(1-'Responsibilities'!$D$8)+('Production schedule'!E349*(IF('Sites'!D6="Annual staff",SUM('Assumptions'!W112,'Assumptions'!W114),0)+SUM('Assumptions'!W113,'Assumptions'!W115:W116)))*'Responsibilities'!$E$6+('Production schedule'!E385*(IF('Sites'!D7="Annual staff",SUM('Assumptions'!W117,'Assumptions'!W119),0)+SUM('Assumptions'!W118,'Assumptions'!W120:W121)))*'Responsibilities'!$E$7+('Production schedule'!E421*(IF('Sites'!D8="Annual staff",SUM('Assumptions'!W122,'Assumptions'!W124),0)+SUM('Assumptions'!W123,'Assumptions'!W125:W126)))*'Responsibilities'!$E$8+('Production schedule'!E349*(IF('Sites'!D6="Annual staff",SUM('Assumptions'!W112,'Assumptions'!W114),0)+SUM('Assumptions'!W113,'Assumptions'!W115:W116)))*(1-'Responsibilities'!$E$6)+('Production schedule'!E385*(IF('Sites'!D7="Annual staff",SUM('Assumptions'!W117,'Assumptions'!W119),0)+SUM('Assumptions'!W118,'Assumptions'!W120:W121)))*(1-'Responsibilities'!$E$7)+('Production schedule'!E421*(IF('Sites'!D8="Annual staff",SUM('Assumptions'!W122,'Assumptions'!W124),0)+SUM('Assumptions'!W123,'Assumptions'!W125:W126)))*(1-'Responsibilities'!$E$8)+(IF(AND('Production schedule'!E349=1,20=MAX(('Sites'!F6),13),ISNUMBER('Sites'!P6)),'Sites'!P6*'Assumptions'!$B$44,0))*'Responsibilities'!$F$6+(IF(AND('Production schedule'!E385=1,20=MAX(('Sites'!F7+'Cases'!G9),13),ISNUMBER('Sites'!P7)),'Sites'!P7*'Assumptions'!$B$44,0))*'Responsibilities'!$F$7+(IF(AND('Production schedule'!E421=1,20=MAX(('Sites'!F8+'Cases'!G9),13),ISNUMBER('Sites'!P8)),'Sites'!P8*'Assumptions'!$B$44,0))*'Responsibilities'!$F$8+(IF(AND('Production schedule'!E349=1,20=MAX(('Sites'!F6),13),ISNUMBER('Sites'!P6)),'Sites'!P6*'Assumptions'!$B$44,0))*(1-'Responsibilities'!$F$6)+(IF(AND('Production schedule'!E385=1,20=MAX(('Sites'!F7+'Cases'!G9),13),ISNUMBER('Sites'!P7)),'Sites'!P7*'Assumptions'!$B$44,0))*(1-'Responsibilities'!$F$7)+(IF(AND('Production schedule'!E421=1,20=MAX(('Sites'!F8+'Cases'!G9),13),ISNUMBER('Sites'!P8)),'Sites'!P8*'Assumptions'!$B$44,0))*(1-'Responsibilities'!$F$8)+('Sites'!E6*'Capital'!E6*(IF(20='Capital'!G6,'Capital'!F6,0)+IF(20='Capital'!H6,1-'Capital'!F6,0)))*'Responsibilities'!$G$6+('Sites'!E7*'Capital'!E7*(IF(20='Capital'!G7+'Cases'!G9,'Capital'!F7,0)+IF(20='Capital'!H7+'Cases'!G9,1-'Capital'!F7,0)))*'Responsibilities'!$G$7+('Sites'!E8*'Cases'!F9*'Capital'!E8*(IF(20='Capital'!G8+'Cases'!G9,'Capital'!F8,0)+IF(20='Capital'!H8+'Cases'!G9,1-'Capital'!F8,0)))*'Responsibilities'!$G$8+('Sites'!E6*'Capital'!E6*(IF(20='Capital'!G6,'Capital'!F6,0)+IF(20='Capital'!H6,1-'Capital'!F6,0)))*(1-'Responsibilities'!$G$6)+('Sites'!E7*'Capital'!E7*(IF(20='Capital'!G7+'Cases'!G9,'Capital'!F7,0)+IF(20='Capital'!H7+'Cases'!G9,1-'Capital'!F7,0)))*(1-'Responsibilities'!$G$7)+('Sites'!E8*'Cases'!F9*'Capital'!E8*(IF(20='Capital'!G8+'Cases'!G9,'Capital'!F8,0)+IF(20='Capital'!H8+'Cases'!G9,1-'Capital'!F8,0)))*(1-'Responsibilities'!$G$8)+I133+SUMPRODUCT('Costs'!$E$36:$E$40,'Costs'!$F$36:$F$40)/12+BZ133)</f>
        <v/>
      </c>
      <c r="BZ133">
        <f>SUMIFS('Responsibilities'!$B$31:$B$35,'Responsibilities'!$C$31:$C$35,20,'Responsibilities'!$D$31:$D$35,"Yes")</f>
        <v/>
      </c>
    </row>
    <row r="134" ht="28" customHeight="1">
      <c r="A134" s="4" t="inlineStr">
        <is>
          <t>Delayed receipts</t>
        </is>
      </c>
      <c r="B134" s="4" t="n">
        <v>21</v>
      </c>
      <c r="C134" s="4">
        <f>ROUNDUP(B134/12,0)</f>
        <v/>
      </c>
      <c r="D134" s="137">
        <f>SUMIFS('Production schedule'!$N$330:$N$437,'Production schedule'!$C$330:$C$437,21)</f>
        <v/>
      </c>
      <c r="E134" s="137">
        <f>SUMIFS('Production schedule'!$Y$330:$Y$437,'Production schedule'!$C$330:$C$437,21)</f>
        <v/>
      </c>
      <c r="F134" s="137">
        <f>SUMIFS('Production schedule'!$Z$330:$Z$437,'Production schedule'!$C$330:$C$437,21)</f>
        <v/>
      </c>
      <c r="G134" s="137">
        <f>('Production schedule'!AJ350)*'Responsibilities'!$C$6+('Production schedule'!AJ386)*'Responsibilities'!$C$7+('Production schedule'!AJ422)*'Responsibilities'!$C$8</f>
        <v/>
      </c>
      <c r="H134" s="137">
        <f>('Production schedule'!AI350)*'Responsibilities'!$D$6+('Production schedule'!AI386)*'Responsibilities'!$D$7+('Production schedule'!AI422)*'Responsibilities'!$D$8</f>
        <v/>
      </c>
      <c r="I134" s="137">
        <f>SUM('Assumptions'!X58:X65)</f>
        <v/>
      </c>
      <c r="J134" s="137">
        <f>('Production schedule'!E350*(IF('Sites'!D6="Annual staff",SUM('Assumptions'!X112,'Assumptions'!X114),0)+SUM('Assumptions'!X113,'Assumptions'!X115:X116)))*'Responsibilities'!$E$6+('Production schedule'!E386*(IF('Sites'!D7="Annual staff",SUM('Assumptions'!X117,'Assumptions'!X119),0)+SUM('Assumptions'!X118,'Assumptions'!X120:X121)))*'Responsibilities'!$E$7+('Production schedule'!E422*(IF('Sites'!D8="Annual staff",SUM('Assumptions'!X122,'Assumptions'!X124),0)+SUM('Assumptions'!X123,'Assumptions'!X125:X126)))*'Responsibilities'!$E$8</f>
        <v/>
      </c>
      <c r="K134" s="137">
        <f>(IF(AND('Production schedule'!E350=1,21=MAX(('Sites'!F6),13),ISNUMBER('Sites'!P6)),'Sites'!P6*'Assumptions'!$B$44,0))*'Responsibilities'!$F$6+(IF(AND('Production schedule'!E386=1,21=MAX(('Sites'!F7+'Cases'!G9),13),ISNUMBER('Sites'!P7)),'Sites'!P7*'Assumptions'!$B$44,0))*'Responsibilities'!$F$7+(IF(AND('Production schedule'!E422=1,21=MAX(('Sites'!F8+'Cases'!G9),13),ISNUMBER('Sites'!P8)),'Sites'!P8*'Assumptions'!$B$44,0))*'Responsibilities'!$F$8</f>
        <v/>
      </c>
      <c r="L134" s="137">
        <f>SUM('Costs'!E36)*'Costs'!F36/12*'Responsibilities'!$C$12+SUM('Costs'!E37)*'Costs'!F37/12*'Responsibilities'!$C$13+SUM('Costs'!E38)*'Costs'!F38/12*'Responsibilities'!$C$14+SUM('Costs'!E39)*'Costs'!F39/12*'Responsibilities'!$C$15+SUM('Costs'!E40)*'Costs'!F40/12*'Responsibilities'!$C$16+BZ134</f>
        <v/>
      </c>
      <c r="M134" s="137">
        <f>('Sites'!E6*'Capital'!E6*(IF(21='Capital'!G6,'Capital'!F6,0)+IF(21='Capital'!H6,1-'Capital'!F6,0)))*'Responsibilities'!$G$6+('Sites'!E7*'Capital'!E7*(IF(21='Capital'!G7+'Cases'!G9,'Capital'!F7,0)+IF(21='Capital'!H7+'Cases'!G9,1-'Capital'!F7,0)))*'Responsibilities'!$G$7+('Sites'!E8*'Cases'!F9*'Capital'!E8*(IF(21='Capital'!G8+'Cases'!G9,'Capital'!F8,0)+IF(21='Capital'!H8+'Cases'!G9,1-'Capital'!F8,0)))*'Responsibilities'!$G$8</f>
        <v/>
      </c>
      <c r="N134" s="137">
        <f>SUM(G134:M134)</f>
        <v/>
      </c>
      <c r="O134" s="137">
        <f>SUMIFS(FundingTranches[Secured amount],FundingTranches[Instrument],"Grant",FundingTranches[Secured month],21)</f>
        <v/>
      </c>
      <c r="P134" s="137">
        <f>SUMIFS(FundingTranches[Delayed receipts possible],FundingTranches[Instrument],"Grant",FundingTranches[Scenario month],21-'Cases'!$D$9)</f>
        <v/>
      </c>
      <c r="Q134" s="137">
        <f>SUMIFS(FundingTranches[Secured amount],FundingTranches[Instrument],"Loan",FundingTranches[Secured month],21)</f>
        <v/>
      </c>
      <c r="R134" s="137">
        <f>SUMIFS(FundingTranches[Delayed receipts possible],FundingTranches[Instrument],"Loan",FundingTranches[Scenario month],21-'Cases'!$D$9)</f>
        <v/>
      </c>
      <c r="S134" s="137">
        <f>IF(21&lt;='Assumptions'!$B$34,0,SUMIFS('Production schedule'!$AL$330:$AL$437,'Production schedule'!$C$330:$C$437,21-'Assumptions'!$B$34))</f>
        <v/>
      </c>
      <c r="T134" s="137">
        <f>'Assumptions'!X70</f>
        <v/>
      </c>
      <c r="U134" s="137">
        <f>'Assumptions'!X78</f>
        <v/>
      </c>
      <c r="V134" s="137">
        <f>SUM(O134:U134)</f>
        <v/>
      </c>
      <c r="W134" s="137">
        <f>AA133</f>
        <v/>
      </c>
      <c r="X134" s="137">
        <f>SUM(Q134:R134)</f>
        <v/>
      </c>
      <c r="Y134" s="137">
        <f>SUM(W134,X134)*'Assumptions'!$B$39/12</f>
        <v/>
      </c>
      <c r="Z134" s="137">
        <f>IF(SUM(W134,X134)&gt;0,MIN(SUM(W134,X134),MAX(0,BP134-Y134)),0)</f>
        <v/>
      </c>
      <c r="AA134" s="137">
        <f>SUM(W134,X134)-Z134</f>
        <v/>
      </c>
      <c r="AB134" s="137">
        <f>SUM(Y134:Z134)</f>
        <v/>
      </c>
      <c r="AC134" s="137">
        <f>'Assumptions'!X72</f>
        <v/>
      </c>
      <c r="AD134" s="137">
        <f>'Assumptions'!X73</f>
        <v/>
      </c>
      <c r="AE134" s="137">
        <f>IF(X134&gt;0,SUM('Assumptions'!$B$42),0)</f>
        <v/>
      </c>
      <c r="AF134" s="137">
        <f>'Assumptions'!X71</f>
        <v/>
      </c>
      <c r="AG134" s="137">
        <f>'Assumptions'!X74</f>
        <v/>
      </c>
      <c r="AH134" s="137">
        <f>'Assumptions'!X75</f>
        <v/>
      </c>
      <c r="AI134" s="137">
        <f>'Assumptions'!X77</f>
        <v/>
      </c>
      <c r="AJ134" s="137">
        <f>V134-N134-SUM(AB134:AI134)</f>
        <v/>
      </c>
      <c r="AK134" s="137">
        <f>SUM(AJ114:AJ134)</f>
        <v/>
      </c>
      <c r="AL134" s="137">
        <f>IF(ISNUMBER('Assumptions'!$B$10),'Assumptions'!$B$10+AK134,"")</f>
        <v/>
      </c>
      <c r="AM134" s="137">
        <f>SUM(O134,Q134,T134)-N134-SUM(AC134:AI134)+IF('Funding'!$N$11=0,AE134,0)-IF('Funding'!$N$11&gt;0,AB134,0)</f>
        <v/>
      </c>
      <c r="AN134" s="137">
        <f>SUM(AM114:AM134)</f>
        <v/>
      </c>
      <c r="AO134" s="137">
        <f>IF(ISNUMBER('Assumptions'!$B$10),'Assumptions'!$B$10+AN134,"")</f>
        <v/>
      </c>
      <c r="AP134" s="137">
        <f>('Production schedule'!AK350)*'Responsibilities'!$C$6+('Production schedule'!AK386)*'Responsibilities'!$C$7+('Production schedule'!AK422)*'Responsibilities'!$C$8</f>
        <v/>
      </c>
      <c r="AQ134" s="137">
        <f>SUMIFS('Production schedule'!$AL$330:$AL$437,'Production schedule'!$C$330:$C$437,21)</f>
        <v/>
      </c>
      <c r="AR134" s="137">
        <f>IF(ISNUMBER('Assumptions'!X76),'Assumptions'!X76,SUM(O134:P134))</f>
        <v/>
      </c>
      <c r="AS134" s="137">
        <f>IF(ISNUMBER('Assumptions'!$B$13),MIN('Assumptions'!$B$13/'Assumptions'!$B$18/12,MAX(0,'Assumptions'!$B$13-(21-1)*'Assumptions'!$B$13/'Assumptions'!$B$18/12)),0)+IF(AND('Sites'!E6=1,21&gt;=('Sites'!F6),21&lt;('Sites'!F6)+'Assumptions'!$B$18*12),'Capital'!E6/'Assumptions'!$B$18/12,0)+IF(AND('Sites'!E7=1,21&gt;=('Sites'!F7+'Cases'!G9),21&lt;('Sites'!F7+'Cases'!G9)+'Assumptions'!$B$18*12),'Capital'!E7/'Assumptions'!$B$18/12,0)+IF(AND('Sites'!E8*'Cases'!F9=1,21&gt;=('Sites'!F8+'Cases'!G9),21&lt;('Sites'!F8+'Cases'!G9)+'Assumptions'!$B$18*12),'Capital'!E8/'Assumptions'!$B$18/12,0)</f>
        <v/>
      </c>
      <c r="AT134" s="137">
        <f>SUM(AQ134,AR134,U134)-AP134-SUM(H134:L134)-AS134-SUM(Y134,AD134,AE134,AH134)</f>
        <v/>
      </c>
      <c r="AU134" s="137">
        <f>IF(ISNUMBER('Assumptions'!$B$19),MAX(0,SUM(AT126:AT134))*'Assumptions'!$B$19-SUM(AU126:AU133),"")</f>
        <v/>
      </c>
      <c r="AV134" s="137">
        <f>IF(ISNUMBER(AU134),AT134-AU134,"")</f>
        <v/>
      </c>
      <c r="AW134" s="137">
        <f>IF(ISNUMBER('Assumptions'!$B$11),'Assumptions'!$B$11+SUM(AQ114:AQ134)-SUM(S114:S134)-SUM(T114:T134),"")</f>
        <v/>
      </c>
      <c r="AX134" s="137">
        <f>IF(ISNUMBER('Assumptions'!$B$12),'Assumptions'!$B$12+SUM(G114:G134)-SUM(AP114:AP134),"")</f>
        <v/>
      </c>
      <c r="AY134" s="137">
        <f>IF(ISNUMBER('Assumptions'!$B$13),'Assumptions'!$B$13+SUM(M114:M134)-SUM(AS114:AS134),"")</f>
        <v/>
      </c>
      <c r="AZ134" s="137">
        <f>IF(ISNUMBER('Assumptions'!$B$14),'Assumptions'!$B$14+-SUM(AF114:AF134),"")</f>
        <v/>
      </c>
      <c r="BA134" s="137">
        <f>IF(ISNUMBER('Assumptions'!$B$15),'Assumptions'!$B$15+SUM(O114:O134)+SUM(P114:P134)-SUM(AR114:AR134),"")</f>
        <v/>
      </c>
      <c r="BB134" s="137">
        <f>IF(ISNUMBER('Assumptions'!$B$16),'Assumptions'!$B$16+-SUM(AC114:AC134),"")</f>
        <v/>
      </c>
      <c r="BC134" s="137">
        <f>IF(AND(ISNUMBER('Assumptions'!$B$21),ISNUMBER('Assumptions'!$B$19)),'Assumptions'!$B$21+SUM(AU114:AU134)-SUM(AG114:AG134),"")</f>
        <v/>
      </c>
      <c r="BD134" s="137">
        <f>IF(ISNUMBER('Assumptions'!$B$20),'Assumptions'!$B$20+-SUM(AI114:AI134),"")</f>
        <v/>
      </c>
      <c r="BE134" s="137">
        <f>IF(AND(ISNUMBER('Assumptions'!$B$17),COUNT(AV114:AV134)=21),'Assumptions'!$B$17+SUM(AV114:AV134),"")</f>
        <v/>
      </c>
      <c r="BF134" s="137">
        <f>IF(COUNT(AL134,AW134:AY134)=4,SUM(AL134,AW134:AY134),"")</f>
        <v/>
      </c>
      <c r="BG134" s="137">
        <f>IF(COUNT(AZ134:BD134)=5,SUM(AZ134:BD134,AA134),"")</f>
        <v/>
      </c>
      <c r="BH134" s="137">
        <f>IF(COUNT(BF134,BG134,BE134)=3,BF134-BG134-BE134,"")</f>
        <v/>
      </c>
      <c r="BI134" s="137">
        <f>SUM(W134,X134)-Z134-AA134</f>
        <v/>
      </c>
      <c r="BJ134" s="137">
        <f>8-COUNT('Assumptions'!X58:X65)+COUNTBLANK('NM Play'!B33:B34)+'Costs'!E44+IF(AND('Sites'!E6=1,('Sites'!F6)&lt;=24,'Sites'!G6&gt;=13),IF(ISNUMBER('Sites'!P6),0,1)+'Capital'!I6+COUNTBLANK('Sites'!R6)+IF('Sites'!D6="NM crew",COUNTBLANK('NM Play'!B25)+1,5-COUNT('Assumptions'!X112:X116)),0)+IF(AND('Sites'!E7=1,('Sites'!F7+'Cases'!G9)&lt;=24,'Sites'!G7&gt;=13),IF(ISNUMBER('Sites'!P7),0,1)+'Capital'!I7+COUNTBLANK('Sites'!R7)+IF('Sites'!D7="NM crew",COUNTBLANK('NM Play'!B25)+1,5-COUNT('Assumptions'!X117:X121)),0)+IF(AND('Sites'!E8*'Cases'!F9=1,('Sites'!F8+'Cases'!G9)&lt;=24,'Sites'!G8&gt;=13),IF(ISNUMBER('Sites'!P8),0,1)+'Capital'!I8+COUNTBLANK('Sites'!R8)+IF('Sites'!D8="NM crew",COUNTBLANK('NM Play'!B25)+1,5-COUNT('Assumptions'!X122:X126)),0)+IF(AND('Cases'!C9&gt;0,NOT(ISNUMBER('Assumptions'!B42))),1,0)+'Responsibilities'!$B$39</f>
        <v/>
      </c>
      <c r="BK134" s="137">
        <f>'Assumptions'!$B$50+'NM Play'!$B$83+'Funding'!$F$20+SUMIFS('Production schedule'!$AN$330:$AN$437,'Production schedule'!$C$330:$C$437,21)+IF(OR('Cases'!E9&lt;0,'Cases'!E9&gt;1,'Cases'!C9&lt;0,'Cases'!D9&lt;0,ABS(SUM('Sites'!S6:S8)-1)&gt;0.0001,MIN('Capital'!F6:F8)&lt;0,MAX('Capital'!F6:F8)&gt;1,MIN(AX134,AZ134,BB134,BA134)&lt;-0.01),1,0)+'Responsibilities'!$B$40</f>
        <v/>
      </c>
      <c r="BL134" s="137">
        <f>SUMIFS('Production schedule'!$T$330:$T$437,'Production schedule'!$C$330:$C$437,21)</f>
        <v/>
      </c>
      <c r="BM134" s="137">
        <f>D134*'NM Play'!$B$38</f>
        <v/>
      </c>
      <c r="BN134" s="137">
        <f>SUMIFS('Production schedule'!$AM$330:$AM$437,'Production schedule'!$C$330:$C$437,21)</f>
        <v/>
      </c>
      <c r="BO134" s="137">
        <f>AK134-AK133-AJ134</f>
        <v/>
      </c>
      <c r="BP134" s="137">
        <f>IF(AND('Assumptions'!$B$39&gt;=0,'Assumptions'!$B$40&gt;0),-PMT('Assumptions'!$B$39/12,'Assumptions'!$B$40*12,IF('Funding'!$N$11&gt;0,'Funding'!$N$11,'Funding'!$U$11)),"")</f>
        <v/>
      </c>
      <c r="BQ134">
        <f>('Production schedule'!AJ350)*(1-'Responsibilities'!$C$6)+('Production schedule'!AJ386)*(1-'Responsibilities'!$C$7)+('Production schedule'!AJ422)*(1-'Responsibilities'!$C$8)</f>
        <v/>
      </c>
      <c r="BR134">
        <f>('Production schedule'!AI350)*(1-'Responsibilities'!$D$6)+('Production schedule'!AI386)*(1-'Responsibilities'!$D$7)+('Production schedule'!AI422)*(1-'Responsibilities'!$D$8)</f>
        <v/>
      </c>
      <c r="BS134">
        <f>('Production schedule'!E350*(IF('Sites'!D6="Annual staff",SUM('Assumptions'!X112,'Assumptions'!X114),0)+SUM('Assumptions'!X113,'Assumptions'!X115:X116)))*(1-'Responsibilities'!$E$6)+('Production schedule'!E386*(IF('Sites'!D7="Annual staff",SUM('Assumptions'!X117,'Assumptions'!X119),0)+SUM('Assumptions'!X118,'Assumptions'!X120:X121)))*(1-'Responsibilities'!$E$7)+('Production schedule'!E422*(IF('Sites'!D8="Annual staff",SUM('Assumptions'!X122,'Assumptions'!X124),0)+SUM('Assumptions'!X123,'Assumptions'!X125:X126)))*(1-'Responsibilities'!$E$8)</f>
        <v/>
      </c>
      <c r="BT134">
        <f>(IF(AND('Production schedule'!E350=1,21=MAX(('Sites'!F6),13),ISNUMBER('Sites'!P6)),'Sites'!P6*'Assumptions'!$B$44,0))*(1-'Responsibilities'!$F$6)+(IF(AND('Production schedule'!E386=1,21=MAX(('Sites'!F7+'Cases'!G9),13),ISNUMBER('Sites'!P7)),'Sites'!P7*'Assumptions'!$B$44,0))*(1-'Responsibilities'!$F$7)+(IF(AND('Production schedule'!E422=1,21=MAX(('Sites'!F8+'Cases'!G9),13),ISNUMBER('Sites'!P8)),'Sites'!P8*'Assumptions'!$B$44,0))*(1-'Responsibilities'!$F$8)</f>
        <v/>
      </c>
      <c r="BU134">
        <f>SUM('Costs'!E36)*'Costs'!F36/12*(1-'Responsibilities'!$C$12)+SUM('Costs'!E37)*'Costs'!F37/12*(1-'Responsibilities'!$C$13)+SUM('Costs'!E38)*'Costs'!F38/12*(1-'Responsibilities'!$C$14)+SUM('Costs'!E39)*'Costs'!F39/12*(1-'Responsibilities'!$C$15)+SUM('Costs'!E40)*'Costs'!F40/12*(1-'Responsibilities'!$C$16)</f>
        <v/>
      </c>
      <c r="BV134">
        <f>('Sites'!E6*'Capital'!E6*(IF(21='Capital'!G6,'Capital'!F6,0)+IF(21='Capital'!H6,1-'Capital'!F6,0)))*(1-'Responsibilities'!$G$6)+('Sites'!E7*'Capital'!E7*(IF(21='Capital'!G7+'Cases'!G9,'Capital'!F7,0)+IF(21='Capital'!H7+'Cases'!G9,1-'Capital'!F7,0)))*(1-'Responsibilities'!$G$7)+('Sites'!E8*'Cases'!F9*'Capital'!E8*(IF(21='Capital'!G8+'Cases'!G9,'Capital'!F8,0)+IF(21='Capital'!H8+'Cases'!G9,1-'Capital'!F8,0)))*(1-'Responsibilities'!$G$8)</f>
        <v/>
      </c>
      <c r="BW134">
        <f>SUM(BQ134:BV134)</f>
        <v/>
      </c>
      <c r="BX134">
        <f>N134+BW134</f>
        <v/>
      </c>
      <c r="BY134">
        <f>BX134-(('Production schedule'!AJ350)*'Responsibilities'!$C$6+('Production schedule'!AJ386)*'Responsibilities'!$C$7+('Production schedule'!AJ422)*'Responsibilities'!$C$8+('Production schedule'!AJ350)*(1-'Responsibilities'!$C$6)+('Production schedule'!AJ386)*(1-'Responsibilities'!$C$7)+('Production schedule'!AJ422)*(1-'Responsibilities'!$C$8)+('Production schedule'!AI350)*'Responsibilities'!$D$6+('Production schedule'!AI386)*'Responsibilities'!$D$7+('Production schedule'!AI422)*'Responsibilities'!$D$8+('Production schedule'!AI350)*(1-'Responsibilities'!$D$6)+('Production schedule'!AI386)*(1-'Responsibilities'!$D$7)+('Production schedule'!AI422)*(1-'Responsibilities'!$D$8)+('Production schedule'!E350*(IF('Sites'!D6="Annual staff",SUM('Assumptions'!X112,'Assumptions'!X114),0)+SUM('Assumptions'!X113,'Assumptions'!X115:X116)))*'Responsibilities'!$E$6+('Production schedule'!E386*(IF('Sites'!D7="Annual staff",SUM('Assumptions'!X117,'Assumptions'!X119),0)+SUM('Assumptions'!X118,'Assumptions'!X120:X121)))*'Responsibilities'!$E$7+('Production schedule'!E422*(IF('Sites'!D8="Annual staff",SUM('Assumptions'!X122,'Assumptions'!X124),0)+SUM('Assumptions'!X123,'Assumptions'!X125:X126)))*'Responsibilities'!$E$8+('Production schedule'!E350*(IF('Sites'!D6="Annual staff",SUM('Assumptions'!X112,'Assumptions'!X114),0)+SUM('Assumptions'!X113,'Assumptions'!X115:X116)))*(1-'Responsibilities'!$E$6)+('Production schedule'!E386*(IF('Sites'!D7="Annual staff",SUM('Assumptions'!X117,'Assumptions'!X119),0)+SUM('Assumptions'!X118,'Assumptions'!X120:X121)))*(1-'Responsibilities'!$E$7)+('Production schedule'!E422*(IF('Sites'!D8="Annual staff",SUM('Assumptions'!X122,'Assumptions'!X124),0)+SUM('Assumptions'!X123,'Assumptions'!X125:X126)))*(1-'Responsibilities'!$E$8)+(IF(AND('Production schedule'!E350=1,21=MAX(('Sites'!F6),13),ISNUMBER('Sites'!P6)),'Sites'!P6*'Assumptions'!$B$44,0))*'Responsibilities'!$F$6+(IF(AND('Production schedule'!E386=1,21=MAX(('Sites'!F7+'Cases'!G9),13),ISNUMBER('Sites'!P7)),'Sites'!P7*'Assumptions'!$B$44,0))*'Responsibilities'!$F$7+(IF(AND('Production schedule'!E422=1,21=MAX(('Sites'!F8+'Cases'!G9),13),ISNUMBER('Sites'!P8)),'Sites'!P8*'Assumptions'!$B$44,0))*'Responsibilities'!$F$8+(IF(AND('Production schedule'!E350=1,21=MAX(('Sites'!F6),13),ISNUMBER('Sites'!P6)),'Sites'!P6*'Assumptions'!$B$44,0))*(1-'Responsibilities'!$F$6)+(IF(AND('Production schedule'!E386=1,21=MAX(('Sites'!F7+'Cases'!G9),13),ISNUMBER('Sites'!P7)),'Sites'!P7*'Assumptions'!$B$44,0))*(1-'Responsibilities'!$F$7)+(IF(AND('Production schedule'!E422=1,21=MAX(('Sites'!F8+'Cases'!G9),13),ISNUMBER('Sites'!P8)),'Sites'!P8*'Assumptions'!$B$44,0))*(1-'Responsibilities'!$F$8)+('Sites'!E6*'Capital'!E6*(IF(21='Capital'!G6,'Capital'!F6,0)+IF(21='Capital'!H6,1-'Capital'!F6,0)))*'Responsibilities'!$G$6+('Sites'!E7*'Capital'!E7*(IF(21='Capital'!G7+'Cases'!G9,'Capital'!F7,0)+IF(21='Capital'!H7+'Cases'!G9,1-'Capital'!F7,0)))*'Responsibilities'!$G$7+('Sites'!E8*'Cases'!F9*'Capital'!E8*(IF(21='Capital'!G8+'Cases'!G9,'Capital'!F8,0)+IF(21='Capital'!H8+'Cases'!G9,1-'Capital'!F8,0)))*'Responsibilities'!$G$8+('Sites'!E6*'Capital'!E6*(IF(21='Capital'!G6,'Capital'!F6,0)+IF(21='Capital'!H6,1-'Capital'!F6,0)))*(1-'Responsibilities'!$G$6)+('Sites'!E7*'Capital'!E7*(IF(21='Capital'!G7+'Cases'!G9,'Capital'!F7,0)+IF(21='Capital'!H7+'Cases'!G9,1-'Capital'!F7,0)))*(1-'Responsibilities'!$G$7)+('Sites'!E8*'Cases'!F9*'Capital'!E8*(IF(21='Capital'!G8+'Cases'!G9,'Capital'!F8,0)+IF(21='Capital'!H8+'Cases'!G9,1-'Capital'!F8,0)))*(1-'Responsibilities'!$G$8)+I134+SUMPRODUCT('Costs'!$E$36:$E$40,'Costs'!$F$36:$F$40)/12+BZ134)</f>
        <v/>
      </c>
      <c r="BZ134">
        <f>SUMIFS('Responsibilities'!$B$31:$B$35,'Responsibilities'!$C$31:$C$35,21,'Responsibilities'!$D$31:$D$35,"Yes")</f>
        <v/>
      </c>
    </row>
    <row r="135" ht="28" customHeight="1">
      <c r="A135" s="4" t="inlineStr">
        <is>
          <t>Delayed receipts</t>
        </is>
      </c>
      <c r="B135" s="4" t="n">
        <v>22</v>
      </c>
      <c r="C135" s="4">
        <f>ROUNDUP(B135/12,0)</f>
        <v/>
      </c>
      <c r="D135" s="137">
        <f>SUMIFS('Production schedule'!$N$330:$N$437,'Production schedule'!$C$330:$C$437,22)</f>
        <v/>
      </c>
      <c r="E135" s="137">
        <f>SUMIFS('Production schedule'!$Y$330:$Y$437,'Production schedule'!$C$330:$C$437,22)</f>
        <v/>
      </c>
      <c r="F135" s="137">
        <f>SUMIFS('Production schedule'!$Z$330:$Z$437,'Production schedule'!$C$330:$C$437,22)</f>
        <v/>
      </c>
      <c r="G135" s="137">
        <f>('Production schedule'!AJ351)*'Responsibilities'!$C$6+('Production schedule'!AJ387)*'Responsibilities'!$C$7+('Production schedule'!AJ423)*'Responsibilities'!$C$8</f>
        <v/>
      </c>
      <c r="H135" s="137">
        <f>('Production schedule'!AI351)*'Responsibilities'!$D$6+('Production schedule'!AI387)*'Responsibilities'!$D$7+('Production schedule'!AI423)*'Responsibilities'!$D$8</f>
        <v/>
      </c>
      <c r="I135" s="137">
        <f>SUM('Assumptions'!Y58:Y65)</f>
        <v/>
      </c>
      <c r="J135" s="137">
        <f>('Production schedule'!E351*(IF('Sites'!D6="Annual staff",SUM('Assumptions'!Y112,'Assumptions'!Y114),0)+SUM('Assumptions'!Y113,'Assumptions'!Y115:Y116)))*'Responsibilities'!$E$6+('Production schedule'!E387*(IF('Sites'!D7="Annual staff",SUM('Assumptions'!Y117,'Assumptions'!Y119),0)+SUM('Assumptions'!Y118,'Assumptions'!Y120:Y121)))*'Responsibilities'!$E$7+('Production schedule'!E423*(IF('Sites'!D8="Annual staff",SUM('Assumptions'!Y122,'Assumptions'!Y124),0)+SUM('Assumptions'!Y123,'Assumptions'!Y125:Y126)))*'Responsibilities'!$E$8</f>
        <v/>
      </c>
      <c r="K135" s="137">
        <f>(IF(AND('Production schedule'!E351=1,22=MAX(('Sites'!F6),13),ISNUMBER('Sites'!P6)),'Sites'!P6*'Assumptions'!$B$44,0))*'Responsibilities'!$F$6+(IF(AND('Production schedule'!E387=1,22=MAX(('Sites'!F7+'Cases'!G9),13),ISNUMBER('Sites'!P7)),'Sites'!P7*'Assumptions'!$B$44,0))*'Responsibilities'!$F$7+(IF(AND('Production schedule'!E423=1,22=MAX(('Sites'!F8+'Cases'!G9),13),ISNUMBER('Sites'!P8)),'Sites'!P8*'Assumptions'!$B$44,0))*'Responsibilities'!$F$8</f>
        <v/>
      </c>
      <c r="L135" s="137">
        <f>SUM('Costs'!E36)*'Costs'!F36/12*'Responsibilities'!$C$12+SUM('Costs'!E37)*'Costs'!F37/12*'Responsibilities'!$C$13+SUM('Costs'!E38)*'Costs'!F38/12*'Responsibilities'!$C$14+SUM('Costs'!E39)*'Costs'!F39/12*'Responsibilities'!$C$15+SUM('Costs'!E40)*'Costs'!F40/12*'Responsibilities'!$C$16+BZ135</f>
        <v/>
      </c>
      <c r="M135" s="137">
        <f>('Sites'!E6*'Capital'!E6*(IF(22='Capital'!G6,'Capital'!F6,0)+IF(22='Capital'!H6,1-'Capital'!F6,0)))*'Responsibilities'!$G$6+('Sites'!E7*'Capital'!E7*(IF(22='Capital'!G7+'Cases'!G9,'Capital'!F7,0)+IF(22='Capital'!H7+'Cases'!G9,1-'Capital'!F7,0)))*'Responsibilities'!$G$7+('Sites'!E8*'Cases'!F9*'Capital'!E8*(IF(22='Capital'!G8+'Cases'!G9,'Capital'!F8,0)+IF(22='Capital'!H8+'Cases'!G9,1-'Capital'!F8,0)))*'Responsibilities'!$G$8</f>
        <v/>
      </c>
      <c r="N135" s="137">
        <f>SUM(G135:M135)</f>
        <v/>
      </c>
      <c r="O135" s="137">
        <f>SUMIFS(FundingTranches[Secured amount],FundingTranches[Instrument],"Grant",FundingTranches[Secured month],22)</f>
        <v/>
      </c>
      <c r="P135" s="137">
        <f>SUMIFS(FundingTranches[Delayed receipts possible],FundingTranches[Instrument],"Grant",FundingTranches[Scenario month],22-'Cases'!$D$9)</f>
        <v/>
      </c>
      <c r="Q135" s="137">
        <f>SUMIFS(FundingTranches[Secured amount],FundingTranches[Instrument],"Loan",FundingTranches[Secured month],22)</f>
        <v/>
      </c>
      <c r="R135" s="137">
        <f>SUMIFS(FundingTranches[Delayed receipts possible],FundingTranches[Instrument],"Loan",FundingTranches[Scenario month],22-'Cases'!$D$9)</f>
        <v/>
      </c>
      <c r="S135" s="137">
        <f>IF(22&lt;='Assumptions'!$B$34,0,SUMIFS('Production schedule'!$AL$330:$AL$437,'Production schedule'!$C$330:$C$437,22-'Assumptions'!$B$34))</f>
        <v/>
      </c>
      <c r="T135" s="137">
        <f>'Assumptions'!Y70</f>
        <v/>
      </c>
      <c r="U135" s="137">
        <f>'Assumptions'!Y78</f>
        <v/>
      </c>
      <c r="V135" s="137">
        <f>SUM(O135:U135)</f>
        <v/>
      </c>
      <c r="W135" s="137">
        <f>AA134</f>
        <v/>
      </c>
      <c r="X135" s="137">
        <f>SUM(Q135:R135)</f>
        <v/>
      </c>
      <c r="Y135" s="137">
        <f>SUM(W135,X135)*'Assumptions'!$B$39/12</f>
        <v/>
      </c>
      <c r="Z135" s="137">
        <f>IF(SUM(W135,X135)&gt;0,MIN(SUM(W135,X135),MAX(0,BP135-Y135)),0)</f>
        <v/>
      </c>
      <c r="AA135" s="137">
        <f>SUM(W135,X135)-Z135</f>
        <v/>
      </c>
      <c r="AB135" s="137">
        <f>SUM(Y135:Z135)</f>
        <v/>
      </c>
      <c r="AC135" s="137">
        <f>'Assumptions'!Y72</f>
        <v/>
      </c>
      <c r="AD135" s="137">
        <f>'Assumptions'!Y73</f>
        <v/>
      </c>
      <c r="AE135" s="137">
        <f>IF(X135&gt;0,SUM('Assumptions'!$B$42),0)</f>
        <v/>
      </c>
      <c r="AF135" s="137">
        <f>'Assumptions'!Y71</f>
        <v/>
      </c>
      <c r="AG135" s="137">
        <f>'Assumptions'!Y74</f>
        <v/>
      </c>
      <c r="AH135" s="137">
        <f>'Assumptions'!Y75</f>
        <v/>
      </c>
      <c r="AI135" s="137">
        <f>'Assumptions'!Y77</f>
        <v/>
      </c>
      <c r="AJ135" s="137">
        <f>V135-N135-SUM(AB135:AI135)</f>
        <v/>
      </c>
      <c r="AK135" s="137">
        <f>SUM(AJ114:AJ135)</f>
        <v/>
      </c>
      <c r="AL135" s="137">
        <f>IF(ISNUMBER('Assumptions'!$B$10),'Assumptions'!$B$10+AK135,"")</f>
        <v/>
      </c>
      <c r="AM135" s="137">
        <f>SUM(O135,Q135,T135)-N135-SUM(AC135:AI135)+IF('Funding'!$N$11=0,AE135,0)-IF('Funding'!$N$11&gt;0,AB135,0)</f>
        <v/>
      </c>
      <c r="AN135" s="137">
        <f>SUM(AM114:AM135)</f>
        <v/>
      </c>
      <c r="AO135" s="137">
        <f>IF(ISNUMBER('Assumptions'!$B$10),'Assumptions'!$B$10+AN135,"")</f>
        <v/>
      </c>
      <c r="AP135" s="137">
        <f>('Production schedule'!AK351)*'Responsibilities'!$C$6+('Production schedule'!AK387)*'Responsibilities'!$C$7+('Production schedule'!AK423)*'Responsibilities'!$C$8</f>
        <v/>
      </c>
      <c r="AQ135" s="137">
        <f>SUMIFS('Production schedule'!$AL$330:$AL$437,'Production schedule'!$C$330:$C$437,22)</f>
        <v/>
      </c>
      <c r="AR135" s="137">
        <f>IF(ISNUMBER('Assumptions'!Y76),'Assumptions'!Y76,SUM(O135:P135))</f>
        <v/>
      </c>
      <c r="AS135" s="137">
        <f>IF(ISNUMBER('Assumptions'!$B$13),MIN('Assumptions'!$B$13/'Assumptions'!$B$18/12,MAX(0,'Assumptions'!$B$13-(22-1)*'Assumptions'!$B$13/'Assumptions'!$B$18/12)),0)+IF(AND('Sites'!E6=1,22&gt;=('Sites'!F6),22&lt;('Sites'!F6)+'Assumptions'!$B$18*12),'Capital'!E6/'Assumptions'!$B$18/12,0)+IF(AND('Sites'!E7=1,22&gt;=('Sites'!F7+'Cases'!G9),22&lt;('Sites'!F7+'Cases'!G9)+'Assumptions'!$B$18*12),'Capital'!E7/'Assumptions'!$B$18/12,0)+IF(AND('Sites'!E8*'Cases'!F9=1,22&gt;=('Sites'!F8+'Cases'!G9),22&lt;('Sites'!F8+'Cases'!G9)+'Assumptions'!$B$18*12),'Capital'!E8/'Assumptions'!$B$18/12,0)</f>
        <v/>
      </c>
      <c r="AT135" s="137">
        <f>SUM(AQ135,AR135,U135)-AP135-SUM(H135:L135)-AS135-SUM(Y135,AD135,AE135,AH135)</f>
        <v/>
      </c>
      <c r="AU135" s="137">
        <f>IF(ISNUMBER('Assumptions'!$B$19),MAX(0,SUM(AT126:AT135))*'Assumptions'!$B$19-SUM(AU126:AU134),"")</f>
        <v/>
      </c>
      <c r="AV135" s="137">
        <f>IF(ISNUMBER(AU135),AT135-AU135,"")</f>
        <v/>
      </c>
      <c r="AW135" s="137">
        <f>IF(ISNUMBER('Assumptions'!$B$11),'Assumptions'!$B$11+SUM(AQ114:AQ135)-SUM(S114:S135)-SUM(T114:T135),"")</f>
        <v/>
      </c>
      <c r="AX135" s="137">
        <f>IF(ISNUMBER('Assumptions'!$B$12),'Assumptions'!$B$12+SUM(G114:G135)-SUM(AP114:AP135),"")</f>
        <v/>
      </c>
      <c r="AY135" s="137">
        <f>IF(ISNUMBER('Assumptions'!$B$13),'Assumptions'!$B$13+SUM(M114:M135)-SUM(AS114:AS135),"")</f>
        <v/>
      </c>
      <c r="AZ135" s="137">
        <f>IF(ISNUMBER('Assumptions'!$B$14),'Assumptions'!$B$14+-SUM(AF114:AF135),"")</f>
        <v/>
      </c>
      <c r="BA135" s="137">
        <f>IF(ISNUMBER('Assumptions'!$B$15),'Assumptions'!$B$15+SUM(O114:O135)+SUM(P114:P135)-SUM(AR114:AR135),"")</f>
        <v/>
      </c>
      <c r="BB135" s="137">
        <f>IF(ISNUMBER('Assumptions'!$B$16),'Assumptions'!$B$16+-SUM(AC114:AC135),"")</f>
        <v/>
      </c>
      <c r="BC135" s="137">
        <f>IF(AND(ISNUMBER('Assumptions'!$B$21),ISNUMBER('Assumptions'!$B$19)),'Assumptions'!$B$21+SUM(AU114:AU135)-SUM(AG114:AG135),"")</f>
        <v/>
      </c>
      <c r="BD135" s="137">
        <f>IF(ISNUMBER('Assumptions'!$B$20),'Assumptions'!$B$20+-SUM(AI114:AI135),"")</f>
        <v/>
      </c>
      <c r="BE135" s="137">
        <f>IF(AND(ISNUMBER('Assumptions'!$B$17),COUNT(AV114:AV135)=22),'Assumptions'!$B$17+SUM(AV114:AV135),"")</f>
        <v/>
      </c>
      <c r="BF135" s="137">
        <f>IF(COUNT(AL135,AW135:AY135)=4,SUM(AL135,AW135:AY135),"")</f>
        <v/>
      </c>
      <c r="BG135" s="137">
        <f>IF(COUNT(AZ135:BD135)=5,SUM(AZ135:BD135,AA135),"")</f>
        <v/>
      </c>
      <c r="BH135" s="137">
        <f>IF(COUNT(BF135,BG135,BE135)=3,BF135-BG135-BE135,"")</f>
        <v/>
      </c>
      <c r="BI135" s="137">
        <f>SUM(W135,X135)-Z135-AA135</f>
        <v/>
      </c>
      <c r="BJ135" s="137">
        <f>8-COUNT('Assumptions'!Y58:Y65)+COUNTBLANK('NM Play'!B33:B34)+'Costs'!E44+IF(AND('Sites'!E6=1,('Sites'!F6)&lt;=24,'Sites'!G6&gt;=13),IF(ISNUMBER('Sites'!P6),0,1)+'Capital'!I6+COUNTBLANK('Sites'!R6)+IF('Sites'!D6="NM crew",COUNTBLANK('NM Play'!B25)+1,5-COUNT('Assumptions'!Y112:Y116)),0)+IF(AND('Sites'!E7=1,('Sites'!F7+'Cases'!G9)&lt;=24,'Sites'!G7&gt;=13),IF(ISNUMBER('Sites'!P7),0,1)+'Capital'!I7+COUNTBLANK('Sites'!R7)+IF('Sites'!D7="NM crew",COUNTBLANK('NM Play'!B25)+1,5-COUNT('Assumptions'!Y117:Y121)),0)+IF(AND('Sites'!E8*'Cases'!F9=1,('Sites'!F8+'Cases'!G9)&lt;=24,'Sites'!G8&gt;=13),IF(ISNUMBER('Sites'!P8),0,1)+'Capital'!I8+COUNTBLANK('Sites'!R8)+IF('Sites'!D8="NM crew",COUNTBLANK('NM Play'!B25)+1,5-COUNT('Assumptions'!Y122:Y126)),0)+IF(AND('Cases'!C9&gt;0,NOT(ISNUMBER('Assumptions'!B42))),1,0)+'Responsibilities'!$B$39</f>
        <v/>
      </c>
      <c r="BK135" s="137">
        <f>'Assumptions'!$B$50+'NM Play'!$B$83+'Funding'!$F$20+SUMIFS('Production schedule'!$AN$330:$AN$437,'Production schedule'!$C$330:$C$437,22)+IF(OR('Cases'!E9&lt;0,'Cases'!E9&gt;1,'Cases'!C9&lt;0,'Cases'!D9&lt;0,ABS(SUM('Sites'!S6:S8)-1)&gt;0.0001,MIN('Capital'!F6:F8)&lt;0,MAX('Capital'!F6:F8)&gt;1,MIN(AX135,AZ135,BB135,BA135)&lt;-0.01),1,0)+'Responsibilities'!$B$40</f>
        <v/>
      </c>
      <c r="BL135" s="137">
        <f>SUMIFS('Production schedule'!$T$330:$T$437,'Production schedule'!$C$330:$C$437,22)</f>
        <v/>
      </c>
      <c r="BM135" s="137">
        <f>D135*'NM Play'!$B$38</f>
        <v/>
      </c>
      <c r="BN135" s="137">
        <f>SUMIFS('Production schedule'!$AM$330:$AM$437,'Production schedule'!$C$330:$C$437,22)</f>
        <v/>
      </c>
      <c r="BO135" s="137">
        <f>AK135-AK134-AJ135</f>
        <v/>
      </c>
      <c r="BP135" s="137">
        <f>IF(AND('Assumptions'!$B$39&gt;=0,'Assumptions'!$B$40&gt;0),-PMT('Assumptions'!$B$39/12,'Assumptions'!$B$40*12,IF('Funding'!$N$11&gt;0,'Funding'!$N$11,'Funding'!$U$11)),"")</f>
        <v/>
      </c>
      <c r="BQ135">
        <f>('Production schedule'!AJ351)*(1-'Responsibilities'!$C$6)+('Production schedule'!AJ387)*(1-'Responsibilities'!$C$7)+('Production schedule'!AJ423)*(1-'Responsibilities'!$C$8)</f>
        <v/>
      </c>
      <c r="BR135">
        <f>('Production schedule'!AI351)*(1-'Responsibilities'!$D$6)+('Production schedule'!AI387)*(1-'Responsibilities'!$D$7)+('Production schedule'!AI423)*(1-'Responsibilities'!$D$8)</f>
        <v/>
      </c>
      <c r="BS135">
        <f>('Production schedule'!E351*(IF('Sites'!D6="Annual staff",SUM('Assumptions'!Y112,'Assumptions'!Y114),0)+SUM('Assumptions'!Y113,'Assumptions'!Y115:Y116)))*(1-'Responsibilities'!$E$6)+('Production schedule'!E387*(IF('Sites'!D7="Annual staff",SUM('Assumptions'!Y117,'Assumptions'!Y119),0)+SUM('Assumptions'!Y118,'Assumptions'!Y120:Y121)))*(1-'Responsibilities'!$E$7)+('Production schedule'!E423*(IF('Sites'!D8="Annual staff",SUM('Assumptions'!Y122,'Assumptions'!Y124),0)+SUM('Assumptions'!Y123,'Assumptions'!Y125:Y126)))*(1-'Responsibilities'!$E$8)</f>
        <v/>
      </c>
      <c r="BT135">
        <f>(IF(AND('Production schedule'!E351=1,22=MAX(('Sites'!F6),13),ISNUMBER('Sites'!P6)),'Sites'!P6*'Assumptions'!$B$44,0))*(1-'Responsibilities'!$F$6)+(IF(AND('Production schedule'!E387=1,22=MAX(('Sites'!F7+'Cases'!G9),13),ISNUMBER('Sites'!P7)),'Sites'!P7*'Assumptions'!$B$44,0))*(1-'Responsibilities'!$F$7)+(IF(AND('Production schedule'!E423=1,22=MAX(('Sites'!F8+'Cases'!G9),13),ISNUMBER('Sites'!P8)),'Sites'!P8*'Assumptions'!$B$44,0))*(1-'Responsibilities'!$F$8)</f>
        <v/>
      </c>
      <c r="BU135">
        <f>SUM('Costs'!E36)*'Costs'!F36/12*(1-'Responsibilities'!$C$12)+SUM('Costs'!E37)*'Costs'!F37/12*(1-'Responsibilities'!$C$13)+SUM('Costs'!E38)*'Costs'!F38/12*(1-'Responsibilities'!$C$14)+SUM('Costs'!E39)*'Costs'!F39/12*(1-'Responsibilities'!$C$15)+SUM('Costs'!E40)*'Costs'!F40/12*(1-'Responsibilities'!$C$16)</f>
        <v/>
      </c>
      <c r="BV135">
        <f>('Sites'!E6*'Capital'!E6*(IF(22='Capital'!G6,'Capital'!F6,0)+IF(22='Capital'!H6,1-'Capital'!F6,0)))*(1-'Responsibilities'!$G$6)+('Sites'!E7*'Capital'!E7*(IF(22='Capital'!G7+'Cases'!G9,'Capital'!F7,0)+IF(22='Capital'!H7+'Cases'!G9,1-'Capital'!F7,0)))*(1-'Responsibilities'!$G$7)+('Sites'!E8*'Cases'!F9*'Capital'!E8*(IF(22='Capital'!G8+'Cases'!G9,'Capital'!F8,0)+IF(22='Capital'!H8+'Cases'!G9,1-'Capital'!F8,0)))*(1-'Responsibilities'!$G$8)</f>
        <v/>
      </c>
      <c r="BW135">
        <f>SUM(BQ135:BV135)</f>
        <v/>
      </c>
      <c r="BX135">
        <f>N135+BW135</f>
        <v/>
      </c>
      <c r="BY135">
        <f>BX135-(('Production schedule'!AJ351)*'Responsibilities'!$C$6+('Production schedule'!AJ387)*'Responsibilities'!$C$7+('Production schedule'!AJ423)*'Responsibilities'!$C$8+('Production schedule'!AJ351)*(1-'Responsibilities'!$C$6)+('Production schedule'!AJ387)*(1-'Responsibilities'!$C$7)+('Production schedule'!AJ423)*(1-'Responsibilities'!$C$8)+('Production schedule'!AI351)*'Responsibilities'!$D$6+('Production schedule'!AI387)*'Responsibilities'!$D$7+('Production schedule'!AI423)*'Responsibilities'!$D$8+('Production schedule'!AI351)*(1-'Responsibilities'!$D$6)+('Production schedule'!AI387)*(1-'Responsibilities'!$D$7)+('Production schedule'!AI423)*(1-'Responsibilities'!$D$8)+('Production schedule'!E351*(IF('Sites'!D6="Annual staff",SUM('Assumptions'!Y112,'Assumptions'!Y114),0)+SUM('Assumptions'!Y113,'Assumptions'!Y115:Y116)))*'Responsibilities'!$E$6+('Production schedule'!E387*(IF('Sites'!D7="Annual staff",SUM('Assumptions'!Y117,'Assumptions'!Y119),0)+SUM('Assumptions'!Y118,'Assumptions'!Y120:Y121)))*'Responsibilities'!$E$7+('Production schedule'!E423*(IF('Sites'!D8="Annual staff",SUM('Assumptions'!Y122,'Assumptions'!Y124),0)+SUM('Assumptions'!Y123,'Assumptions'!Y125:Y126)))*'Responsibilities'!$E$8+('Production schedule'!E351*(IF('Sites'!D6="Annual staff",SUM('Assumptions'!Y112,'Assumptions'!Y114),0)+SUM('Assumptions'!Y113,'Assumptions'!Y115:Y116)))*(1-'Responsibilities'!$E$6)+('Production schedule'!E387*(IF('Sites'!D7="Annual staff",SUM('Assumptions'!Y117,'Assumptions'!Y119),0)+SUM('Assumptions'!Y118,'Assumptions'!Y120:Y121)))*(1-'Responsibilities'!$E$7)+('Production schedule'!E423*(IF('Sites'!D8="Annual staff",SUM('Assumptions'!Y122,'Assumptions'!Y124),0)+SUM('Assumptions'!Y123,'Assumptions'!Y125:Y126)))*(1-'Responsibilities'!$E$8)+(IF(AND('Production schedule'!E351=1,22=MAX(('Sites'!F6),13),ISNUMBER('Sites'!P6)),'Sites'!P6*'Assumptions'!$B$44,0))*'Responsibilities'!$F$6+(IF(AND('Production schedule'!E387=1,22=MAX(('Sites'!F7+'Cases'!G9),13),ISNUMBER('Sites'!P7)),'Sites'!P7*'Assumptions'!$B$44,0))*'Responsibilities'!$F$7+(IF(AND('Production schedule'!E423=1,22=MAX(('Sites'!F8+'Cases'!G9),13),ISNUMBER('Sites'!P8)),'Sites'!P8*'Assumptions'!$B$44,0))*'Responsibilities'!$F$8+(IF(AND('Production schedule'!E351=1,22=MAX(('Sites'!F6),13),ISNUMBER('Sites'!P6)),'Sites'!P6*'Assumptions'!$B$44,0))*(1-'Responsibilities'!$F$6)+(IF(AND('Production schedule'!E387=1,22=MAX(('Sites'!F7+'Cases'!G9),13),ISNUMBER('Sites'!P7)),'Sites'!P7*'Assumptions'!$B$44,0))*(1-'Responsibilities'!$F$7)+(IF(AND('Production schedule'!E423=1,22=MAX(('Sites'!F8+'Cases'!G9),13),ISNUMBER('Sites'!P8)),'Sites'!P8*'Assumptions'!$B$44,0))*(1-'Responsibilities'!$F$8)+('Sites'!E6*'Capital'!E6*(IF(22='Capital'!G6,'Capital'!F6,0)+IF(22='Capital'!H6,1-'Capital'!F6,0)))*'Responsibilities'!$G$6+('Sites'!E7*'Capital'!E7*(IF(22='Capital'!G7+'Cases'!G9,'Capital'!F7,0)+IF(22='Capital'!H7+'Cases'!G9,1-'Capital'!F7,0)))*'Responsibilities'!$G$7+('Sites'!E8*'Cases'!F9*'Capital'!E8*(IF(22='Capital'!G8+'Cases'!G9,'Capital'!F8,0)+IF(22='Capital'!H8+'Cases'!G9,1-'Capital'!F8,0)))*'Responsibilities'!$G$8+('Sites'!E6*'Capital'!E6*(IF(22='Capital'!G6,'Capital'!F6,0)+IF(22='Capital'!H6,1-'Capital'!F6,0)))*(1-'Responsibilities'!$G$6)+('Sites'!E7*'Capital'!E7*(IF(22='Capital'!G7+'Cases'!G9,'Capital'!F7,0)+IF(22='Capital'!H7+'Cases'!G9,1-'Capital'!F7,0)))*(1-'Responsibilities'!$G$7)+('Sites'!E8*'Cases'!F9*'Capital'!E8*(IF(22='Capital'!G8+'Cases'!G9,'Capital'!F8,0)+IF(22='Capital'!H8+'Cases'!G9,1-'Capital'!F8,0)))*(1-'Responsibilities'!$G$8)+I135+SUMPRODUCT('Costs'!$E$36:$E$40,'Costs'!$F$36:$F$40)/12+BZ135)</f>
        <v/>
      </c>
      <c r="BZ135">
        <f>SUMIFS('Responsibilities'!$B$31:$B$35,'Responsibilities'!$C$31:$C$35,22,'Responsibilities'!$D$31:$D$35,"Yes")</f>
        <v/>
      </c>
    </row>
    <row r="136" ht="28" customHeight="1">
      <c r="A136" s="4" t="inlineStr">
        <is>
          <t>Delayed receipts</t>
        </is>
      </c>
      <c r="B136" s="4" t="n">
        <v>23</v>
      </c>
      <c r="C136" s="4">
        <f>ROUNDUP(B136/12,0)</f>
        <v/>
      </c>
      <c r="D136" s="137">
        <f>SUMIFS('Production schedule'!$N$330:$N$437,'Production schedule'!$C$330:$C$437,23)</f>
        <v/>
      </c>
      <c r="E136" s="137">
        <f>SUMIFS('Production schedule'!$Y$330:$Y$437,'Production schedule'!$C$330:$C$437,23)</f>
        <v/>
      </c>
      <c r="F136" s="137">
        <f>SUMIFS('Production schedule'!$Z$330:$Z$437,'Production schedule'!$C$330:$C$437,23)</f>
        <v/>
      </c>
      <c r="G136" s="137">
        <f>('Production schedule'!AJ352)*'Responsibilities'!$C$6+('Production schedule'!AJ388)*'Responsibilities'!$C$7+('Production schedule'!AJ424)*'Responsibilities'!$C$8</f>
        <v/>
      </c>
      <c r="H136" s="137">
        <f>('Production schedule'!AI352)*'Responsibilities'!$D$6+('Production schedule'!AI388)*'Responsibilities'!$D$7+('Production schedule'!AI424)*'Responsibilities'!$D$8</f>
        <v/>
      </c>
      <c r="I136" s="137">
        <f>SUM('Assumptions'!Z58:Z65)</f>
        <v/>
      </c>
      <c r="J136" s="137">
        <f>('Production schedule'!E352*(IF('Sites'!D6="Annual staff",SUM('Assumptions'!Z112,'Assumptions'!Z114),0)+SUM('Assumptions'!Z113,'Assumptions'!Z115:Z116)))*'Responsibilities'!$E$6+('Production schedule'!E388*(IF('Sites'!D7="Annual staff",SUM('Assumptions'!Z117,'Assumptions'!Z119),0)+SUM('Assumptions'!Z118,'Assumptions'!Z120:Z121)))*'Responsibilities'!$E$7+('Production schedule'!E424*(IF('Sites'!D8="Annual staff",SUM('Assumptions'!Z122,'Assumptions'!Z124),0)+SUM('Assumptions'!Z123,'Assumptions'!Z125:Z126)))*'Responsibilities'!$E$8</f>
        <v/>
      </c>
      <c r="K136" s="137">
        <f>(IF(AND('Production schedule'!E352=1,23=MAX(('Sites'!F6),13),ISNUMBER('Sites'!P6)),'Sites'!P6*'Assumptions'!$B$44,0))*'Responsibilities'!$F$6+(IF(AND('Production schedule'!E388=1,23=MAX(('Sites'!F7+'Cases'!G9),13),ISNUMBER('Sites'!P7)),'Sites'!P7*'Assumptions'!$B$44,0))*'Responsibilities'!$F$7+(IF(AND('Production schedule'!E424=1,23=MAX(('Sites'!F8+'Cases'!G9),13),ISNUMBER('Sites'!P8)),'Sites'!P8*'Assumptions'!$B$44,0))*'Responsibilities'!$F$8</f>
        <v/>
      </c>
      <c r="L136" s="137">
        <f>SUM('Costs'!E36)*'Costs'!F36/12*'Responsibilities'!$C$12+SUM('Costs'!E37)*'Costs'!F37/12*'Responsibilities'!$C$13+SUM('Costs'!E38)*'Costs'!F38/12*'Responsibilities'!$C$14+SUM('Costs'!E39)*'Costs'!F39/12*'Responsibilities'!$C$15+SUM('Costs'!E40)*'Costs'!F40/12*'Responsibilities'!$C$16+BZ136</f>
        <v/>
      </c>
      <c r="M136" s="137">
        <f>('Sites'!E6*'Capital'!E6*(IF(23='Capital'!G6,'Capital'!F6,0)+IF(23='Capital'!H6,1-'Capital'!F6,0)))*'Responsibilities'!$G$6+('Sites'!E7*'Capital'!E7*(IF(23='Capital'!G7+'Cases'!G9,'Capital'!F7,0)+IF(23='Capital'!H7+'Cases'!G9,1-'Capital'!F7,0)))*'Responsibilities'!$G$7+('Sites'!E8*'Cases'!F9*'Capital'!E8*(IF(23='Capital'!G8+'Cases'!G9,'Capital'!F8,0)+IF(23='Capital'!H8+'Cases'!G9,1-'Capital'!F8,0)))*'Responsibilities'!$G$8</f>
        <v/>
      </c>
      <c r="N136" s="137">
        <f>SUM(G136:M136)</f>
        <v/>
      </c>
      <c r="O136" s="137">
        <f>SUMIFS(FundingTranches[Secured amount],FundingTranches[Instrument],"Grant",FundingTranches[Secured month],23)</f>
        <v/>
      </c>
      <c r="P136" s="137">
        <f>SUMIFS(FundingTranches[Delayed receipts possible],FundingTranches[Instrument],"Grant",FundingTranches[Scenario month],23-'Cases'!$D$9)</f>
        <v/>
      </c>
      <c r="Q136" s="137">
        <f>SUMIFS(FundingTranches[Secured amount],FundingTranches[Instrument],"Loan",FundingTranches[Secured month],23)</f>
        <v/>
      </c>
      <c r="R136" s="137">
        <f>SUMIFS(FundingTranches[Delayed receipts possible],FundingTranches[Instrument],"Loan",FundingTranches[Scenario month],23-'Cases'!$D$9)</f>
        <v/>
      </c>
      <c r="S136" s="137">
        <f>IF(23&lt;='Assumptions'!$B$34,0,SUMIFS('Production schedule'!$AL$330:$AL$437,'Production schedule'!$C$330:$C$437,23-'Assumptions'!$B$34))</f>
        <v/>
      </c>
      <c r="T136" s="137">
        <f>'Assumptions'!Z70</f>
        <v/>
      </c>
      <c r="U136" s="137">
        <f>'Assumptions'!Z78</f>
        <v/>
      </c>
      <c r="V136" s="137">
        <f>SUM(O136:U136)</f>
        <v/>
      </c>
      <c r="W136" s="137">
        <f>AA135</f>
        <v/>
      </c>
      <c r="X136" s="137">
        <f>SUM(Q136:R136)</f>
        <v/>
      </c>
      <c r="Y136" s="137">
        <f>SUM(W136,X136)*'Assumptions'!$B$39/12</f>
        <v/>
      </c>
      <c r="Z136" s="137">
        <f>IF(SUM(W136,X136)&gt;0,MIN(SUM(W136,X136),MAX(0,BP136-Y136)),0)</f>
        <v/>
      </c>
      <c r="AA136" s="137">
        <f>SUM(W136,X136)-Z136</f>
        <v/>
      </c>
      <c r="AB136" s="137">
        <f>SUM(Y136:Z136)</f>
        <v/>
      </c>
      <c r="AC136" s="137">
        <f>'Assumptions'!Z72</f>
        <v/>
      </c>
      <c r="AD136" s="137">
        <f>'Assumptions'!Z73</f>
        <v/>
      </c>
      <c r="AE136" s="137">
        <f>IF(X136&gt;0,SUM('Assumptions'!$B$42),0)</f>
        <v/>
      </c>
      <c r="AF136" s="137">
        <f>'Assumptions'!Z71</f>
        <v/>
      </c>
      <c r="AG136" s="137">
        <f>'Assumptions'!Z74</f>
        <v/>
      </c>
      <c r="AH136" s="137">
        <f>'Assumptions'!Z75</f>
        <v/>
      </c>
      <c r="AI136" s="137">
        <f>'Assumptions'!Z77</f>
        <v/>
      </c>
      <c r="AJ136" s="137">
        <f>V136-N136-SUM(AB136:AI136)</f>
        <v/>
      </c>
      <c r="AK136" s="137">
        <f>SUM(AJ114:AJ136)</f>
        <v/>
      </c>
      <c r="AL136" s="137">
        <f>IF(ISNUMBER('Assumptions'!$B$10),'Assumptions'!$B$10+AK136,"")</f>
        <v/>
      </c>
      <c r="AM136" s="137">
        <f>SUM(O136,Q136,T136)-N136-SUM(AC136:AI136)+IF('Funding'!$N$11=0,AE136,0)-IF('Funding'!$N$11&gt;0,AB136,0)</f>
        <v/>
      </c>
      <c r="AN136" s="137">
        <f>SUM(AM114:AM136)</f>
        <v/>
      </c>
      <c r="AO136" s="137">
        <f>IF(ISNUMBER('Assumptions'!$B$10),'Assumptions'!$B$10+AN136,"")</f>
        <v/>
      </c>
      <c r="AP136" s="137">
        <f>('Production schedule'!AK352)*'Responsibilities'!$C$6+('Production schedule'!AK388)*'Responsibilities'!$C$7+('Production schedule'!AK424)*'Responsibilities'!$C$8</f>
        <v/>
      </c>
      <c r="AQ136" s="137">
        <f>SUMIFS('Production schedule'!$AL$330:$AL$437,'Production schedule'!$C$330:$C$437,23)</f>
        <v/>
      </c>
      <c r="AR136" s="137">
        <f>IF(ISNUMBER('Assumptions'!Z76),'Assumptions'!Z76,SUM(O136:P136))</f>
        <v/>
      </c>
      <c r="AS136" s="137">
        <f>IF(ISNUMBER('Assumptions'!$B$13),MIN('Assumptions'!$B$13/'Assumptions'!$B$18/12,MAX(0,'Assumptions'!$B$13-(23-1)*'Assumptions'!$B$13/'Assumptions'!$B$18/12)),0)+IF(AND('Sites'!E6=1,23&gt;=('Sites'!F6),23&lt;('Sites'!F6)+'Assumptions'!$B$18*12),'Capital'!E6/'Assumptions'!$B$18/12,0)+IF(AND('Sites'!E7=1,23&gt;=('Sites'!F7+'Cases'!G9),23&lt;('Sites'!F7+'Cases'!G9)+'Assumptions'!$B$18*12),'Capital'!E7/'Assumptions'!$B$18/12,0)+IF(AND('Sites'!E8*'Cases'!F9=1,23&gt;=('Sites'!F8+'Cases'!G9),23&lt;('Sites'!F8+'Cases'!G9)+'Assumptions'!$B$18*12),'Capital'!E8/'Assumptions'!$B$18/12,0)</f>
        <v/>
      </c>
      <c r="AT136" s="137">
        <f>SUM(AQ136,AR136,U136)-AP136-SUM(H136:L136)-AS136-SUM(Y136,AD136,AE136,AH136)</f>
        <v/>
      </c>
      <c r="AU136" s="137">
        <f>IF(ISNUMBER('Assumptions'!$B$19),MAX(0,SUM(AT126:AT136))*'Assumptions'!$B$19-SUM(AU126:AU135),"")</f>
        <v/>
      </c>
      <c r="AV136" s="137">
        <f>IF(ISNUMBER(AU136),AT136-AU136,"")</f>
        <v/>
      </c>
      <c r="AW136" s="137">
        <f>IF(ISNUMBER('Assumptions'!$B$11),'Assumptions'!$B$11+SUM(AQ114:AQ136)-SUM(S114:S136)-SUM(T114:T136),"")</f>
        <v/>
      </c>
      <c r="AX136" s="137">
        <f>IF(ISNUMBER('Assumptions'!$B$12),'Assumptions'!$B$12+SUM(G114:G136)-SUM(AP114:AP136),"")</f>
        <v/>
      </c>
      <c r="AY136" s="137">
        <f>IF(ISNUMBER('Assumptions'!$B$13),'Assumptions'!$B$13+SUM(M114:M136)-SUM(AS114:AS136),"")</f>
        <v/>
      </c>
      <c r="AZ136" s="137">
        <f>IF(ISNUMBER('Assumptions'!$B$14),'Assumptions'!$B$14+-SUM(AF114:AF136),"")</f>
        <v/>
      </c>
      <c r="BA136" s="137">
        <f>IF(ISNUMBER('Assumptions'!$B$15),'Assumptions'!$B$15+SUM(O114:O136)+SUM(P114:P136)-SUM(AR114:AR136),"")</f>
        <v/>
      </c>
      <c r="BB136" s="137">
        <f>IF(ISNUMBER('Assumptions'!$B$16),'Assumptions'!$B$16+-SUM(AC114:AC136),"")</f>
        <v/>
      </c>
      <c r="BC136" s="137">
        <f>IF(AND(ISNUMBER('Assumptions'!$B$21),ISNUMBER('Assumptions'!$B$19)),'Assumptions'!$B$21+SUM(AU114:AU136)-SUM(AG114:AG136),"")</f>
        <v/>
      </c>
      <c r="BD136" s="137">
        <f>IF(ISNUMBER('Assumptions'!$B$20),'Assumptions'!$B$20+-SUM(AI114:AI136),"")</f>
        <v/>
      </c>
      <c r="BE136" s="137">
        <f>IF(AND(ISNUMBER('Assumptions'!$B$17),COUNT(AV114:AV136)=23),'Assumptions'!$B$17+SUM(AV114:AV136),"")</f>
        <v/>
      </c>
      <c r="BF136" s="137">
        <f>IF(COUNT(AL136,AW136:AY136)=4,SUM(AL136,AW136:AY136),"")</f>
        <v/>
      </c>
      <c r="BG136" s="137">
        <f>IF(COUNT(AZ136:BD136)=5,SUM(AZ136:BD136,AA136),"")</f>
        <v/>
      </c>
      <c r="BH136" s="137">
        <f>IF(COUNT(BF136,BG136,BE136)=3,BF136-BG136-BE136,"")</f>
        <v/>
      </c>
      <c r="BI136" s="137">
        <f>SUM(W136,X136)-Z136-AA136</f>
        <v/>
      </c>
      <c r="BJ136" s="137">
        <f>8-COUNT('Assumptions'!Z58:Z65)+COUNTBLANK('NM Play'!B33:B34)+'Costs'!E44+IF(AND('Sites'!E6=1,('Sites'!F6)&lt;=24,'Sites'!G6&gt;=13),IF(ISNUMBER('Sites'!P6),0,1)+'Capital'!I6+COUNTBLANK('Sites'!R6)+IF('Sites'!D6="NM crew",COUNTBLANK('NM Play'!B25)+1,5-COUNT('Assumptions'!Z112:Z116)),0)+IF(AND('Sites'!E7=1,('Sites'!F7+'Cases'!G9)&lt;=24,'Sites'!G7&gt;=13),IF(ISNUMBER('Sites'!P7),0,1)+'Capital'!I7+COUNTBLANK('Sites'!R7)+IF('Sites'!D7="NM crew",COUNTBLANK('NM Play'!B25)+1,5-COUNT('Assumptions'!Z117:Z121)),0)+IF(AND('Sites'!E8*'Cases'!F9=1,('Sites'!F8+'Cases'!G9)&lt;=24,'Sites'!G8&gt;=13),IF(ISNUMBER('Sites'!P8),0,1)+'Capital'!I8+COUNTBLANK('Sites'!R8)+IF('Sites'!D8="NM crew",COUNTBLANK('NM Play'!B25)+1,5-COUNT('Assumptions'!Z122:Z126)),0)+IF(AND('Cases'!C9&gt;0,NOT(ISNUMBER('Assumptions'!B42))),1,0)+'Responsibilities'!$B$39</f>
        <v/>
      </c>
      <c r="BK136" s="137">
        <f>'Assumptions'!$B$50+'NM Play'!$B$83+'Funding'!$F$20+SUMIFS('Production schedule'!$AN$330:$AN$437,'Production schedule'!$C$330:$C$437,23)+IF(OR('Cases'!E9&lt;0,'Cases'!E9&gt;1,'Cases'!C9&lt;0,'Cases'!D9&lt;0,ABS(SUM('Sites'!S6:S8)-1)&gt;0.0001,MIN('Capital'!F6:F8)&lt;0,MAX('Capital'!F6:F8)&gt;1,MIN(AX136,AZ136,BB136,BA136)&lt;-0.01),1,0)+'Responsibilities'!$B$40</f>
        <v/>
      </c>
      <c r="BL136" s="137">
        <f>SUMIFS('Production schedule'!$T$330:$T$437,'Production schedule'!$C$330:$C$437,23)</f>
        <v/>
      </c>
      <c r="BM136" s="137">
        <f>D136*'NM Play'!$B$38</f>
        <v/>
      </c>
      <c r="BN136" s="137">
        <f>SUMIFS('Production schedule'!$AM$330:$AM$437,'Production schedule'!$C$330:$C$437,23)</f>
        <v/>
      </c>
      <c r="BO136" s="137">
        <f>AK136-AK135-AJ136</f>
        <v/>
      </c>
      <c r="BP136" s="137">
        <f>IF(AND('Assumptions'!$B$39&gt;=0,'Assumptions'!$B$40&gt;0),-PMT('Assumptions'!$B$39/12,'Assumptions'!$B$40*12,IF('Funding'!$N$11&gt;0,'Funding'!$N$11,'Funding'!$U$11)),"")</f>
        <v/>
      </c>
      <c r="BQ136">
        <f>('Production schedule'!AJ352)*(1-'Responsibilities'!$C$6)+('Production schedule'!AJ388)*(1-'Responsibilities'!$C$7)+('Production schedule'!AJ424)*(1-'Responsibilities'!$C$8)</f>
        <v/>
      </c>
      <c r="BR136">
        <f>('Production schedule'!AI352)*(1-'Responsibilities'!$D$6)+('Production schedule'!AI388)*(1-'Responsibilities'!$D$7)+('Production schedule'!AI424)*(1-'Responsibilities'!$D$8)</f>
        <v/>
      </c>
      <c r="BS136">
        <f>('Production schedule'!E352*(IF('Sites'!D6="Annual staff",SUM('Assumptions'!Z112,'Assumptions'!Z114),0)+SUM('Assumptions'!Z113,'Assumptions'!Z115:Z116)))*(1-'Responsibilities'!$E$6)+('Production schedule'!E388*(IF('Sites'!D7="Annual staff",SUM('Assumptions'!Z117,'Assumptions'!Z119),0)+SUM('Assumptions'!Z118,'Assumptions'!Z120:Z121)))*(1-'Responsibilities'!$E$7)+('Production schedule'!E424*(IF('Sites'!D8="Annual staff",SUM('Assumptions'!Z122,'Assumptions'!Z124),0)+SUM('Assumptions'!Z123,'Assumptions'!Z125:Z126)))*(1-'Responsibilities'!$E$8)</f>
        <v/>
      </c>
      <c r="BT136">
        <f>(IF(AND('Production schedule'!E352=1,23=MAX(('Sites'!F6),13),ISNUMBER('Sites'!P6)),'Sites'!P6*'Assumptions'!$B$44,0))*(1-'Responsibilities'!$F$6)+(IF(AND('Production schedule'!E388=1,23=MAX(('Sites'!F7+'Cases'!G9),13),ISNUMBER('Sites'!P7)),'Sites'!P7*'Assumptions'!$B$44,0))*(1-'Responsibilities'!$F$7)+(IF(AND('Production schedule'!E424=1,23=MAX(('Sites'!F8+'Cases'!G9),13),ISNUMBER('Sites'!P8)),'Sites'!P8*'Assumptions'!$B$44,0))*(1-'Responsibilities'!$F$8)</f>
        <v/>
      </c>
      <c r="BU136">
        <f>SUM('Costs'!E36)*'Costs'!F36/12*(1-'Responsibilities'!$C$12)+SUM('Costs'!E37)*'Costs'!F37/12*(1-'Responsibilities'!$C$13)+SUM('Costs'!E38)*'Costs'!F38/12*(1-'Responsibilities'!$C$14)+SUM('Costs'!E39)*'Costs'!F39/12*(1-'Responsibilities'!$C$15)+SUM('Costs'!E40)*'Costs'!F40/12*(1-'Responsibilities'!$C$16)</f>
        <v/>
      </c>
      <c r="BV136">
        <f>('Sites'!E6*'Capital'!E6*(IF(23='Capital'!G6,'Capital'!F6,0)+IF(23='Capital'!H6,1-'Capital'!F6,0)))*(1-'Responsibilities'!$G$6)+('Sites'!E7*'Capital'!E7*(IF(23='Capital'!G7+'Cases'!G9,'Capital'!F7,0)+IF(23='Capital'!H7+'Cases'!G9,1-'Capital'!F7,0)))*(1-'Responsibilities'!$G$7)+('Sites'!E8*'Cases'!F9*'Capital'!E8*(IF(23='Capital'!G8+'Cases'!G9,'Capital'!F8,0)+IF(23='Capital'!H8+'Cases'!G9,1-'Capital'!F8,0)))*(1-'Responsibilities'!$G$8)</f>
        <v/>
      </c>
      <c r="BW136">
        <f>SUM(BQ136:BV136)</f>
        <v/>
      </c>
      <c r="BX136">
        <f>N136+BW136</f>
        <v/>
      </c>
      <c r="BY136">
        <f>BX136-(('Production schedule'!AJ352)*'Responsibilities'!$C$6+('Production schedule'!AJ388)*'Responsibilities'!$C$7+('Production schedule'!AJ424)*'Responsibilities'!$C$8+('Production schedule'!AJ352)*(1-'Responsibilities'!$C$6)+('Production schedule'!AJ388)*(1-'Responsibilities'!$C$7)+('Production schedule'!AJ424)*(1-'Responsibilities'!$C$8)+('Production schedule'!AI352)*'Responsibilities'!$D$6+('Production schedule'!AI388)*'Responsibilities'!$D$7+('Production schedule'!AI424)*'Responsibilities'!$D$8+('Production schedule'!AI352)*(1-'Responsibilities'!$D$6)+('Production schedule'!AI388)*(1-'Responsibilities'!$D$7)+('Production schedule'!AI424)*(1-'Responsibilities'!$D$8)+('Production schedule'!E352*(IF('Sites'!D6="Annual staff",SUM('Assumptions'!Z112,'Assumptions'!Z114),0)+SUM('Assumptions'!Z113,'Assumptions'!Z115:Z116)))*'Responsibilities'!$E$6+('Production schedule'!E388*(IF('Sites'!D7="Annual staff",SUM('Assumptions'!Z117,'Assumptions'!Z119),0)+SUM('Assumptions'!Z118,'Assumptions'!Z120:Z121)))*'Responsibilities'!$E$7+('Production schedule'!E424*(IF('Sites'!D8="Annual staff",SUM('Assumptions'!Z122,'Assumptions'!Z124),0)+SUM('Assumptions'!Z123,'Assumptions'!Z125:Z126)))*'Responsibilities'!$E$8+('Production schedule'!E352*(IF('Sites'!D6="Annual staff",SUM('Assumptions'!Z112,'Assumptions'!Z114),0)+SUM('Assumptions'!Z113,'Assumptions'!Z115:Z116)))*(1-'Responsibilities'!$E$6)+('Production schedule'!E388*(IF('Sites'!D7="Annual staff",SUM('Assumptions'!Z117,'Assumptions'!Z119),0)+SUM('Assumptions'!Z118,'Assumptions'!Z120:Z121)))*(1-'Responsibilities'!$E$7)+('Production schedule'!E424*(IF('Sites'!D8="Annual staff",SUM('Assumptions'!Z122,'Assumptions'!Z124),0)+SUM('Assumptions'!Z123,'Assumptions'!Z125:Z126)))*(1-'Responsibilities'!$E$8)+(IF(AND('Production schedule'!E352=1,23=MAX(('Sites'!F6),13),ISNUMBER('Sites'!P6)),'Sites'!P6*'Assumptions'!$B$44,0))*'Responsibilities'!$F$6+(IF(AND('Production schedule'!E388=1,23=MAX(('Sites'!F7+'Cases'!G9),13),ISNUMBER('Sites'!P7)),'Sites'!P7*'Assumptions'!$B$44,0))*'Responsibilities'!$F$7+(IF(AND('Production schedule'!E424=1,23=MAX(('Sites'!F8+'Cases'!G9),13),ISNUMBER('Sites'!P8)),'Sites'!P8*'Assumptions'!$B$44,0))*'Responsibilities'!$F$8+(IF(AND('Production schedule'!E352=1,23=MAX(('Sites'!F6),13),ISNUMBER('Sites'!P6)),'Sites'!P6*'Assumptions'!$B$44,0))*(1-'Responsibilities'!$F$6)+(IF(AND('Production schedule'!E388=1,23=MAX(('Sites'!F7+'Cases'!G9),13),ISNUMBER('Sites'!P7)),'Sites'!P7*'Assumptions'!$B$44,0))*(1-'Responsibilities'!$F$7)+(IF(AND('Production schedule'!E424=1,23=MAX(('Sites'!F8+'Cases'!G9),13),ISNUMBER('Sites'!P8)),'Sites'!P8*'Assumptions'!$B$44,0))*(1-'Responsibilities'!$F$8)+('Sites'!E6*'Capital'!E6*(IF(23='Capital'!G6,'Capital'!F6,0)+IF(23='Capital'!H6,1-'Capital'!F6,0)))*'Responsibilities'!$G$6+('Sites'!E7*'Capital'!E7*(IF(23='Capital'!G7+'Cases'!G9,'Capital'!F7,0)+IF(23='Capital'!H7+'Cases'!G9,1-'Capital'!F7,0)))*'Responsibilities'!$G$7+('Sites'!E8*'Cases'!F9*'Capital'!E8*(IF(23='Capital'!G8+'Cases'!G9,'Capital'!F8,0)+IF(23='Capital'!H8+'Cases'!G9,1-'Capital'!F8,0)))*'Responsibilities'!$G$8+('Sites'!E6*'Capital'!E6*(IF(23='Capital'!G6,'Capital'!F6,0)+IF(23='Capital'!H6,1-'Capital'!F6,0)))*(1-'Responsibilities'!$G$6)+('Sites'!E7*'Capital'!E7*(IF(23='Capital'!G7+'Cases'!G9,'Capital'!F7,0)+IF(23='Capital'!H7+'Cases'!G9,1-'Capital'!F7,0)))*(1-'Responsibilities'!$G$7)+('Sites'!E8*'Cases'!F9*'Capital'!E8*(IF(23='Capital'!G8+'Cases'!G9,'Capital'!F8,0)+IF(23='Capital'!H8+'Cases'!G9,1-'Capital'!F8,0)))*(1-'Responsibilities'!$G$8)+I136+SUMPRODUCT('Costs'!$E$36:$E$40,'Costs'!$F$36:$F$40)/12+BZ136)</f>
        <v/>
      </c>
      <c r="BZ136">
        <f>SUMIFS('Responsibilities'!$B$31:$B$35,'Responsibilities'!$C$31:$C$35,23,'Responsibilities'!$D$31:$D$35,"Yes")</f>
        <v/>
      </c>
    </row>
    <row r="137" ht="28" customHeight="1">
      <c r="A137" s="4" t="inlineStr">
        <is>
          <t>Delayed receipts</t>
        </is>
      </c>
      <c r="B137" s="4" t="n">
        <v>24</v>
      </c>
      <c r="C137" s="4">
        <f>ROUNDUP(B137/12,0)</f>
        <v/>
      </c>
      <c r="D137" s="137">
        <f>SUMIFS('Production schedule'!$N$330:$N$437,'Production schedule'!$C$330:$C$437,24)</f>
        <v/>
      </c>
      <c r="E137" s="137">
        <f>SUMIFS('Production schedule'!$Y$330:$Y$437,'Production schedule'!$C$330:$C$437,24)</f>
        <v/>
      </c>
      <c r="F137" s="137">
        <f>SUMIFS('Production schedule'!$Z$330:$Z$437,'Production schedule'!$C$330:$C$437,24)</f>
        <v/>
      </c>
      <c r="G137" s="137">
        <f>('Production schedule'!AJ353)*'Responsibilities'!$C$6+('Production schedule'!AJ389)*'Responsibilities'!$C$7+('Production schedule'!AJ425)*'Responsibilities'!$C$8</f>
        <v/>
      </c>
      <c r="H137" s="137">
        <f>('Production schedule'!AI353)*'Responsibilities'!$D$6+('Production schedule'!AI389)*'Responsibilities'!$D$7+('Production schedule'!AI425)*'Responsibilities'!$D$8</f>
        <v/>
      </c>
      <c r="I137" s="137">
        <f>SUM('Assumptions'!AA58:AA65)</f>
        <v/>
      </c>
      <c r="J137" s="137">
        <f>('Production schedule'!E353*(IF('Sites'!D6="Annual staff",SUM('Assumptions'!AA112,'Assumptions'!AA114),0)+SUM('Assumptions'!AA113,'Assumptions'!AA115:AA116)))*'Responsibilities'!$E$6+('Production schedule'!E389*(IF('Sites'!D7="Annual staff",SUM('Assumptions'!AA117,'Assumptions'!AA119),0)+SUM('Assumptions'!AA118,'Assumptions'!AA120:AA121)))*'Responsibilities'!$E$7+('Production schedule'!E425*(IF('Sites'!D8="Annual staff",SUM('Assumptions'!AA122,'Assumptions'!AA124),0)+SUM('Assumptions'!AA123,'Assumptions'!AA125:AA126)))*'Responsibilities'!$E$8</f>
        <v/>
      </c>
      <c r="K137" s="137">
        <f>(IF(AND('Production schedule'!E353=1,24=MAX(('Sites'!F6),13),ISNUMBER('Sites'!P6)),'Sites'!P6*'Assumptions'!$B$44,0))*'Responsibilities'!$F$6+(IF(AND('Production schedule'!E389=1,24=MAX(('Sites'!F7+'Cases'!G9),13),ISNUMBER('Sites'!P7)),'Sites'!P7*'Assumptions'!$B$44,0))*'Responsibilities'!$F$7+(IF(AND('Production schedule'!E425=1,24=MAX(('Sites'!F8+'Cases'!G9),13),ISNUMBER('Sites'!P8)),'Sites'!P8*'Assumptions'!$B$44,0))*'Responsibilities'!$F$8</f>
        <v/>
      </c>
      <c r="L137" s="137">
        <f>SUM('Costs'!E36)*'Costs'!F36/12*'Responsibilities'!$C$12+SUM('Costs'!E37)*'Costs'!F37/12*'Responsibilities'!$C$13+SUM('Costs'!E38)*'Costs'!F38/12*'Responsibilities'!$C$14+SUM('Costs'!E39)*'Costs'!F39/12*'Responsibilities'!$C$15+SUM('Costs'!E40)*'Costs'!F40/12*'Responsibilities'!$C$16+BZ137</f>
        <v/>
      </c>
      <c r="M137" s="137">
        <f>('Sites'!E6*'Capital'!E6*(IF(24='Capital'!G6,'Capital'!F6,0)+IF(24='Capital'!H6,1-'Capital'!F6,0)))*'Responsibilities'!$G$6+('Sites'!E7*'Capital'!E7*(IF(24='Capital'!G7+'Cases'!G9,'Capital'!F7,0)+IF(24='Capital'!H7+'Cases'!G9,1-'Capital'!F7,0)))*'Responsibilities'!$G$7+('Sites'!E8*'Cases'!F9*'Capital'!E8*(IF(24='Capital'!G8+'Cases'!G9,'Capital'!F8,0)+IF(24='Capital'!H8+'Cases'!G9,1-'Capital'!F8,0)))*'Responsibilities'!$G$8</f>
        <v/>
      </c>
      <c r="N137" s="137">
        <f>SUM(G137:M137)</f>
        <v/>
      </c>
      <c r="O137" s="137">
        <f>SUMIFS(FundingTranches[Secured amount],FundingTranches[Instrument],"Grant",FundingTranches[Secured month],24)</f>
        <v/>
      </c>
      <c r="P137" s="137">
        <f>SUMIFS(FundingTranches[Delayed receipts possible],FundingTranches[Instrument],"Grant",FundingTranches[Scenario month],24-'Cases'!$D$9)</f>
        <v/>
      </c>
      <c r="Q137" s="137">
        <f>SUMIFS(FundingTranches[Secured amount],FundingTranches[Instrument],"Loan",FundingTranches[Secured month],24)</f>
        <v/>
      </c>
      <c r="R137" s="137">
        <f>SUMIFS(FundingTranches[Delayed receipts possible],FundingTranches[Instrument],"Loan",FundingTranches[Scenario month],24-'Cases'!$D$9)</f>
        <v/>
      </c>
      <c r="S137" s="137">
        <f>IF(24&lt;='Assumptions'!$B$34,0,SUMIFS('Production schedule'!$AL$330:$AL$437,'Production schedule'!$C$330:$C$437,24-'Assumptions'!$B$34))</f>
        <v/>
      </c>
      <c r="T137" s="137">
        <f>'Assumptions'!AA70</f>
        <v/>
      </c>
      <c r="U137" s="137">
        <f>'Assumptions'!AA78</f>
        <v/>
      </c>
      <c r="V137" s="137">
        <f>SUM(O137:U137)</f>
        <v/>
      </c>
      <c r="W137" s="137">
        <f>AA136</f>
        <v/>
      </c>
      <c r="X137" s="137">
        <f>SUM(Q137:R137)</f>
        <v/>
      </c>
      <c r="Y137" s="137">
        <f>SUM(W137,X137)*'Assumptions'!$B$39/12</f>
        <v/>
      </c>
      <c r="Z137" s="137">
        <f>IF(SUM(W137,X137)&gt;0,MIN(SUM(W137,X137),MAX(0,BP137-Y137)),0)</f>
        <v/>
      </c>
      <c r="AA137" s="137">
        <f>SUM(W137,X137)-Z137</f>
        <v/>
      </c>
      <c r="AB137" s="137">
        <f>SUM(Y137:Z137)</f>
        <v/>
      </c>
      <c r="AC137" s="137">
        <f>'Assumptions'!AA72</f>
        <v/>
      </c>
      <c r="AD137" s="137">
        <f>'Assumptions'!AA73</f>
        <v/>
      </c>
      <c r="AE137" s="137">
        <f>IF(X137&gt;0,SUM('Assumptions'!$B$42),0)</f>
        <v/>
      </c>
      <c r="AF137" s="137">
        <f>'Assumptions'!AA71</f>
        <v/>
      </c>
      <c r="AG137" s="137">
        <f>'Assumptions'!AA74</f>
        <v/>
      </c>
      <c r="AH137" s="137">
        <f>'Assumptions'!AA75</f>
        <v/>
      </c>
      <c r="AI137" s="137">
        <f>'Assumptions'!AA77</f>
        <v/>
      </c>
      <c r="AJ137" s="137">
        <f>V137-N137-SUM(AB137:AI137)</f>
        <v/>
      </c>
      <c r="AK137" s="137">
        <f>SUM(AJ114:AJ137)</f>
        <v/>
      </c>
      <c r="AL137" s="137">
        <f>IF(ISNUMBER('Assumptions'!$B$10),'Assumptions'!$B$10+AK137,"")</f>
        <v/>
      </c>
      <c r="AM137" s="137">
        <f>SUM(O137,Q137,T137)-N137-SUM(AC137:AI137)+IF('Funding'!$N$11=0,AE137,0)-IF('Funding'!$N$11&gt;0,AB137,0)</f>
        <v/>
      </c>
      <c r="AN137" s="137">
        <f>SUM(AM114:AM137)</f>
        <v/>
      </c>
      <c r="AO137" s="137">
        <f>IF(ISNUMBER('Assumptions'!$B$10),'Assumptions'!$B$10+AN137,"")</f>
        <v/>
      </c>
      <c r="AP137" s="137">
        <f>('Production schedule'!AK353)*'Responsibilities'!$C$6+('Production schedule'!AK389)*'Responsibilities'!$C$7+('Production schedule'!AK425)*'Responsibilities'!$C$8</f>
        <v/>
      </c>
      <c r="AQ137" s="137">
        <f>SUMIFS('Production schedule'!$AL$330:$AL$437,'Production schedule'!$C$330:$C$437,24)</f>
        <v/>
      </c>
      <c r="AR137" s="137">
        <f>IF(ISNUMBER('Assumptions'!AA76),'Assumptions'!AA76,SUM(O137:P137))</f>
        <v/>
      </c>
      <c r="AS137" s="137">
        <f>IF(ISNUMBER('Assumptions'!$B$13),MIN('Assumptions'!$B$13/'Assumptions'!$B$18/12,MAX(0,'Assumptions'!$B$13-(24-1)*'Assumptions'!$B$13/'Assumptions'!$B$18/12)),0)+IF(AND('Sites'!E6=1,24&gt;=('Sites'!F6),24&lt;('Sites'!F6)+'Assumptions'!$B$18*12),'Capital'!E6/'Assumptions'!$B$18/12,0)+IF(AND('Sites'!E7=1,24&gt;=('Sites'!F7+'Cases'!G9),24&lt;('Sites'!F7+'Cases'!G9)+'Assumptions'!$B$18*12),'Capital'!E7/'Assumptions'!$B$18/12,0)+IF(AND('Sites'!E8*'Cases'!F9=1,24&gt;=('Sites'!F8+'Cases'!G9),24&lt;('Sites'!F8+'Cases'!G9)+'Assumptions'!$B$18*12),'Capital'!E8/'Assumptions'!$B$18/12,0)</f>
        <v/>
      </c>
      <c r="AT137" s="137">
        <f>SUM(AQ137,AR137,U137)-AP137-SUM(H137:L137)-AS137-SUM(Y137,AD137,AE137,AH137)</f>
        <v/>
      </c>
      <c r="AU137" s="137">
        <f>IF(ISNUMBER('Assumptions'!$B$19),MAX(0,SUM(AT126:AT137))*'Assumptions'!$B$19-SUM(AU126:AU136),"")</f>
        <v/>
      </c>
      <c r="AV137" s="137">
        <f>IF(ISNUMBER(AU137),AT137-AU137,"")</f>
        <v/>
      </c>
      <c r="AW137" s="137">
        <f>IF(ISNUMBER('Assumptions'!$B$11),'Assumptions'!$B$11+SUM(AQ114:AQ137)-SUM(S114:S137)-SUM(T114:T137),"")</f>
        <v/>
      </c>
      <c r="AX137" s="137">
        <f>IF(ISNUMBER('Assumptions'!$B$12),'Assumptions'!$B$12+SUM(G114:G137)-SUM(AP114:AP137),"")</f>
        <v/>
      </c>
      <c r="AY137" s="137">
        <f>IF(ISNUMBER('Assumptions'!$B$13),'Assumptions'!$B$13+SUM(M114:M137)-SUM(AS114:AS137),"")</f>
        <v/>
      </c>
      <c r="AZ137" s="137">
        <f>IF(ISNUMBER('Assumptions'!$B$14),'Assumptions'!$B$14+-SUM(AF114:AF137),"")</f>
        <v/>
      </c>
      <c r="BA137" s="137">
        <f>IF(ISNUMBER('Assumptions'!$B$15),'Assumptions'!$B$15+SUM(O114:O137)+SUM(P114:P137)-SUM(AR114:AR137),"")</f>
        <v/>
      </c>
      <c r="BB137" s="137">
        <f>IF(ISNUMBER('Assumptions'!$B$16),'Assumptions'!$B$16+-SUM(AC114:AC137),"")</f>
        <v/>
      </c>
      <c r="BC137" s="137">
        <f>IF(AND(ISNUMBER('Assumptions'!$B$21),ISNUMBER('Assumptions'!$B$19)),'Assumptions'!$B$21+SUM(AU114:AU137)-SUM(AG114:AG137),"")</f>
        <v/>
      </c>
      <c r="BD137" s="137">
        <f>IF(ISNUMBER('Assumptions'!$B$20),'Assumptions'!$B$20+-SUM(AI114:AI137),"")</f>
        <v/>
      </c>
      <c r="BE137" s="137">
        <f>IF(AND(ISNUMBER('Assumptions'!$B$17),COUNT(AV114:AV137)=24),'Assumptions'!$B$17+SUM(AV114:AV137),"")</f>
        <v/>
      </c>
      <c r="BF137" s="137">
        <f>IF(COUNT(AL137,AW137:AY137)=4,SUM(AL137,AW137:AY137),"")</f>
        <v/>
      </c>
      <c r="BG137" s="137">
        <f>IF(COUNT(AZ137:BD137)=5,SUM(AZ137:BD137,AA137),"")</f>
        <v/>
      </c>
      <c r="BH137" s="137">
        <f>IF(COUNT(BF137,BG137,BE137)=3,BF137-BG137-BE137,"")</f>
        <v/>
      </c>
      <c r="BI137" s="137">
        <f>SUM(W137,X137)-Z137-AA137</f>
        <v/>
      </c>
      <c r="BJ137" s="137">
        <f>8-COUNT('Assumptions'!AA58:AA65)+COUNTBLANK('NM Play'!B33:B34)+'Costs'!E44+IF(AND('Sites'!E6=1,('Sites'!F6)&lt;=24,'Sites'!G6&gt;=13),IF(ISNUMBER('Sites'!P6),0,1)+'Capital'!I6+COUNTBLANK('Sites'!R6)+IF('Sites'!D6="NM crew",COUNTBLANK('NM Play'!B25)+1,5-COUNT('Assumptions'!AA112:AA116)),0)+IF(AND('Sites'!E7=1,('Sites'!F7+'Cases'!G9)&lt;=24,'Sites'!G7&gt;=13),IF(ISNUMBER('Sites'!P7),0,1)+'Capital'!I7+COUNTBLANK('Sites'!R7)+IF('Sites'!D7="NM crew",COUNTBLANK('NM Play'!B25)+1,5-COUNT('Assumptions'!AA117:AA121)),0)+IF(AND('Sites'!E8*'Cases'!F9=1,('Sites'!F8+'Cases'!G9)&lt;=24,'Sites'!G8&gt;=13),IF(ISNUMBER('Sites'!P8),0,1)+'Capital'!I8+COUNTBLANK('Sites'!R8)+IF('Sites'!D8="NM crew",COUNTBLANK('NM Play'!B25)+1,5-COUNT('Assumptions'!AA122:AA126)),0)+IF(AND('Cases'!C9&gt;0,NOT(ISNUMBER('Assumptions'!B42))),1,0)+'Responsibilities'!$B$39</f>
        <v/>
      </c>
      <c r="BK137" s="137">
        <f>'Assumptions'!$B$50+'NM Play'!$B$83+'Funding'!$F$20+SUMIFS('Production schedule'!$AN$330:$AN$437,'Production schedule'!$C$330:$C$437,24)+IF(OR('Cases'!E9&lt;0,'Cases'!E9&gt;1,'Cases'!C9&lt;0,'Cases'!D9&lt;0,ABS(SUM('Sites'!S6:S8)-1)&gt;0.0001,MIN('Capital'!F6:F8)&lt;0,MAX('Capital'!F6:F8)&gt;1,MIN(AX137,AZ137,BB137,BA137)&lt;-0.01),1,0)+'Responsibilities'!$B$40</f>
        <v/>
      </c>
      <c r="BL137" s="137">
        <f>SUMIFS('Production schedule'!$T$330:$T$437,'Production schedule'!$C$330:$C$437,24)</f>
        <v/>
      </c>
      <c r="BM137" s="137">
        <f>D137*'NM Play'!$B$38</f>
        <v/>
      </c>
      <c r="BN137" s="137">
        <f>SUMIFS('Production schedule'!$AM$330:$AM$437,'Production schedule'!$C$330:$C$437,24)</f>
        <v/>
      </c>
      <c r="BO137" s="137">
        <f>AK137-AK136-AJ137</f>
        <v/>
      </c>
      <c r="BP137" s="137">
        <f>IF(AND('Assumptions'!$B$39&gt;=0,'Assumptions'!$B$40&gt;0),-PMT('Assumptions'!$B$39/12,'Assumptions'!$B$40*12,IF('Funding'!$N$11&gt;0,'Funding'!$N$11,'Funding'!$U$11)),"")</f>
        <v/>
      </c>
      <c r="BQ137">
        <f>('Production schedule'!AJ353)*(1-'Responsibilities'!$C$6)+('Production schedule'!AJ389)*(1-'Responsibilities'!$C$7)+('Production schedule'!AJ425)*(1-'Responsibilities'!$C$8)</f>
        <v/>
      </c>
      <c r="BR137">
        <f>('Production schedule'!AI353)*(1-'Responsibilities'!$D$6)+('Production schedule'!AI389)*(1-'Responsibilities'!$D$7)+('Production schedule'!AI425)*(1-'Responsibilities'!$D$8)</f>
        <v/>
      </c>
      <c r="BS137">
        <f>('Production schedule'!E353*(IF('Sites'!D6="Annual staff",SUM('Assumptions'!AA112,'Assumptions'!AA114),0)+SUM('Assumptions'!AA113,'Assumptions'!AA115:AA116)))*(1-'Responsibilities'!$E$6)+('Production schedule'!E389*(IF('Sites'!D7="Annual staff",SUM('Assumptions'!AA117,'Assumptions'!AA119),0)+SUM('Assumptions'!AA118,'Assumptions'!AA120:AA121)))*(1-'Responsibilities'!$E$7)+('Production schedule'!E425*(IF('Sites'!D8="Annual staff",SUM('Assumptions'!AA122,'Assumptions'!AA124),0)+SUM('Assumptions'!AA123,'Assumptions'!AA125:AA126)))*(1-'Responsibilities'!$E$8)</f>
        <v/>
      </c>
      <c r="BT137">
        <f>(IF(AND('Production schedule'!E353=1,24=MAX(('Sites'!F6),13),ISNUMBER('Sites'!P6)),'Sites'!P6*'Assumptions'!$B$44,0))*(1-'Responsibilities'!$F$6)+(IF(AND('Production schedule'!E389=1,24=MAX(('Sites'!F7+'Cases'!G9),13),ISNUMBER('Sites'!P7)),'Sites'!P7*'Assumptions'!$B$44,0))*(1-'Responsibilities'!$F$7)+(IF(AND('Production schedule'!E425=1,24=MAX(('Sites'!F8+'Cases'!G9),13),ISNUMBER('Sites'!P8)),'Sites'!P8*'Assumptions'!$B$44,0))*(1-'Responsibilities'!$F$8)</f>
        <v/>
      </c>
      <c r="BU137">
        <f>SUM('Costs'!E36)*'Costs'!F36/12*(1-'Responsibilities'!$C$12)+SUM('Costs'!E37)*'Costs'!F37/12*(1-'Responsibilities'!$C$13)+SUM('Costs'!E38)*'Costs'!F38/12*(1-'Responsibilities'!$C$14)+SUM('Costs'!E39)*'Costs'!F39/12*(1-'Responsibilities'!$C$15)+SUM('Costs'!E40)*'Costs'!F40/12*(1-'Responsibilities'!$C$16)</f>
        <v/>
      </c>
      <c r="BV137">
        <f>('Sites'!E6*'Capital'!E6*(IF(24='Capital'!G6,'Capital'!F6,0)+IF(24='Capital'!H6,1-'Capital'!F6,0)))*(1-'Responsibilities'!$G$6)+('Sites'!E7*'Capital'!E7*(IF(24='Capital'!G7+'Cases'!G9,'Capital'!F7,0)+IF(24='Capital'!H7+'Cases'!G9,1-'Capital'!F7,0)))*(1-'Responsibilities'!$G$7)+('Sites'!E8*'Cases'!F9*'Capital'!E8*(IF(24='Capital'!G8+'Cases'!G9,'Capital'!F8,0)+IF(24='Capital'!H8+'Cases'!G9,1-'Capital'!F8,0)))*(1-'Responsibilities'!$G$8)</f>
        <v/>
      </c>
      <c r="BW137">
        <f>SUM(BQ137:BV137)</f>
        <v/>
      </c>
      <c r="BX137">
        <f>N137+BW137</f>
        <v/>
      </c>
      <c r="BY137">
        <f>BX137-(('Production schedule'!AJ353)*'Responsibilities'!$C$6+('Production schedule'!AJ389)*'Responsibilities'!$C$7+('Production schedule'!AJ425)*'Responsibilities'!$C$8+('Production schedule'!AJ353)*(1-'Responsibilities'!$C$6)+('Production schedule'!AJ389)*(1-'Responsibilities'!$C$7)+('Production schedule'!AJ425)*(1-'Responsibilities'!$C$8)+('Production schedule'!AI353)*'Responsibilities'!$D$6+('Production schedule'!AI389)*'Responsibilities'!$D$7+('Production schedule'!AI425)*'Responsibilities'!$D$8+('Production schedule'!AI353)*(1-'Responsibilities'!$D$6)+('Production schedule'!AI389)*(1-'Responsibilities'!$D$7)+('Production schedule'!AI425)*(1-'Responsibilities'!$D$8)+('Production schedule'!E353*(IF('Sites'!D6="Annual staff",SUM('Assumptions'!AA112,'Assumptions'!AA114),0)+SUM('Assumptions'!AA113,'Assumptions'!AA115:AA116)))*'Responsibilities'!$E$6+('Production schedule'!E389*(IF('Sites'!D7="Annual staff",SUM('Assumptions'!AA117,'Assumptions'!AA119),0)+SUM('Assumptions'!AA118,'Assumptions'!AA120:AA121)))*'Responsibilities'!$E$7+('Production schedule'!E425*(IF('Sites'!D8="Annual staff",SUM('Assumptions'!AA122,'Assumptions'!AA124),0)+SUM('Assumptions'!AA123,'Assumptions'!AA125:AA126)))*'Responsibilities'!$E$8+('Production schedule'!E353*(IF('Sites'!D6="Annual staff",SUM('Assumptions'!AA112,'Assumptions'!AA114),0)+SUM('Assumptions'!AA113,'Assumptions'!AA115:AA116)))*(1-'Responsibilities'!$E$6)+('Production schedule'!E389*(IF('Sites'!D7="Annual staff",SUM('Assumptions'!AA117,'Assumptions'!AA119),0)+SUM('Assumptions'!AA118,'Assumptions'!AA120:AA121)))*(1-'Responsibilities'!$E$7)+('Production schedule'!E425*(IF('Sites'!D8="Annual staff",SUM('Assumptions'!AA122,'Assumptions'!AA124),0)+SUM('Assumptions'!AA123,'Assumptions'!AA125:AA126)))*(1-'Responsibilities'!$E$8)+(IF(AND('Production schedule'!E353=1,24=MAX(('Sites'!F6),13),ISNUMBER('Sites'!P6)),'Sites'!P6*'Assumptions'!$B$44,0))*'Responsibilities'!$F$6+(IF(AND('Production schedule'!E389=1,24=MAX(('Sites'!F7+'Cases'!G9),13),ISNUMBER('Sites'!P7)),'Sites'!P7*'Assumptions'!$B$44,0))*'Responsibilities'!$F$7+(IF(AND('Production schedule'!E425=1,24=MAX(('Sites'!F8+'Cases'!G9),13),ISNUMBER('Sites'!P8)),'Sites'!P8*'Assumptions'!$B$44,0))*'Responsibilities'!$F$8+(IF(AND('Production schedule'!E353=1,24=MAX(('Sites'!F6),13),ISNUMBER('Sites'!P6)),'Sites'!P6*'Assumptions'!$B$44,0))*(1-'Responsibilities'!$F$6)+(IF(AND('Production schedule'!E389=1,24=MAX(('Sites'!F7+'Cases'!G9),13),ISNUMBER('Sites'!P7)),'Sites'!P7*'Assumptions'!$B$44,0))*(1-'Responsibilities'!$F$7)+(IF(AND('Production schedule'!E425=1,24=MAX(('Sites'!F8+'Cases'!G9),13),ISNUMBER('Sites'!P8)),'Sites'!P8*'Assumptions'!$B$44,0))*(1-'Responsibilities'!$F$8)+('Sites'!E6*'Capital'!E6*(IF(24='Capital'!G6,'Capital'!F6,0)+IF(24='Capital'!H6,1-'Capital'!F6,0)))*'Responsibilities'!$G$6+('Sites'!E7*'Capital'!E7*(IF(24='Capital'!G7+'Cases'!G9,'Capital'!F7,0)+IF(24='Capital'!H7+'Cases'!G9,1-'Capital'!F7,0)))*'Responsibilities'!$G$7+('Sites'!E8*'Cases'!F9*'Capital'!E8*(IF(24='Capital'!G8+'Cases'!G9,'Capital'!F8,0)+IF(24='Capital'!H8+'Cases'!G9,1-'Capital'!F8,0)))*'Responsibilities'!$G$8+('Sites'!E6*'Capital'!E6*(IF(24='Capital'!G6,'Capital'!F6,0)+IF(24='Capital'!H6,1-'Capital'!F6,0)))*(1-'Responsibilities'!$G$6)+('Sites'!E7*'Capital'!E7*(IF(24='Capital'!G7+'Cases'!G9,'Capital'!F7,0)+IF(24='Capital'!H7+'Cases'!G9,1-'Capital'!F7,0)))*(1-'Responsibilities'!$G$7)+('Sites'!E8*'Cases'!F9*'Capital'!E8*(IF(24='Capital'!G8+'Cases'!G9,'Capital'!F8,0)+IF(24='Capital'!H8+'Cases'!G9,1-'Capital'!F8,0)))*(1-'Responsibilities'!$G$8)+I137+SUMPRODUCT('Costs'!$E$36:$E$40,'Costs'!$F$36:$F$40)/12+BZ137)</f>
        <v/>
      </c>
      <c r="BZ137">
        <f>SUMIFS('Responsibilities'!$B$31:$B$35,'Responsibilities'!$C$31:$C$35,24,'Responsibilities'!$D$31:$D$35,"Yes")</f>
        <v/>
      </c>
    </row>
    <row r="138" ht="28" customHeight="1">
      <c r="A138" s="4" t="inlineStr">
        <is>
          <t>Delayed receipts</t>
        </is>
      </c>
      <c r="B138" s="4" t="n">
        <v>25</v>
      </c>
      <c r="C138" s="4">
        <f>ROUNDUP(B138/12,0)</f>
        <v/>
      </c>
      <c r="D138" s="137">
        <f>SUMIFS('Production schedule'!$N$330:$N$437,'Production schedule'!$C$330:$C$437,25)</f>
        <v/>
      </c>
      <c r="E138" s="137">
        <f>SUMIFS('Production schedule'!$Y$330:$Y$437,'Production schedule'!$C$330:$C$437,25)</f>
        <v/>
      </c>
      <c r="F138" s="137">
        <f>SUMIFS('Production schedule'!$Z$330:$Z$437,'Production schedule'!$C$330:$C$437,25)</f>
        <v/>
      </c>
      <c r="G138" s="137">
        <f>('Production schedule'!AJ354)*'Responsibilities'!$C$6+('Production schedule'!AJ390)*'Responsibilities'!$C$7+('Production schedule'!AJ426)*'Responsibilities'!$C$8</f>
        <v/>
      </c>
      <c r="H138" s="137">
        <f>('Production schedule'!AI354)*'Responsibilities'!$D$6+('Production schedule'!AI390)*'Responsibilities'!$D$7+('Production schedule'!AI426)*'Responsibilities'!$D$8</f>
        <v/>
      </c>
      <c r="I138" s="137">
        <f>SUM('Assumptions'!AB58:AB65)</f>
        <v/>
      </c>
      <c r="J138" s="137">
        <f>('Production schedule'!E354*(IF('Sites'!D6="Annual staff",SUM('Assumptions'!AB112,'Assumptions'!AB114),0)+SUM('Assumptions'!AB113,'Assumptions'!AB115:AB116)))*'Responsibilities'!$E$6+('Production schedule'!E390*(IF('Sites'!D7="Annual staff",SUM('Assumptions'!AB117,'Assumptions'!AB119),0)+SUM('Assumptions'!AB118,'Assumptions'!AB120:AB121)))*'Responsibilities'!$E$7+('Production schedule'!E426*(IF('Sites'!D8="Annual staff",SUM('Assumptions'!AB122,'Assumptions'!AB124),0)+SUM('Assumptions'!AB123,'Assumptions'!AB125:AB126)))*'Responsibilities'!$E$8</f>
        <v/>
      </c>
      <c r="K138" s="137">
        <f>(IF(AND('Production schedule'!E354=1,25=MAX(('Sites'!F6),25),ISNUMBER('Sites'!Q6)),'Sites'!Q6*'Assumptions'!$B$44,0))*'Responsibilities'!$F$6+(IF(AND('Production schedule'!E390=1,25=MAX(('Sites'!F7+'Cases'!G9),25),ISNUMBER('Sites'!Q7)),'Sites'!Q7*'Assumptions'!$B$44,0))*'Responsibilities'!$F$7+(IF(AND('Production schedule'!E426=1,25=MAX(('Sites'!F8+'Cases'!G9),25),ISNUMBER('Sites'!Q8)),'Sites'!Q8*'Assumptions'!$B$44,0))*'Responsibilities'!$F$8</f>
        <v/>
      </c>
      <c r="L138" s="137">
        <f>SUM('Costs'!E36)*'Costs'!F36/12*'Responsibilities'!$C$12+SUM('Costs'!E37)*'Costs'!F37/12*'Responsibilities'!$C$13+SUM('Costs'!E38)*'Costs'!F38/12*'Responsibilities'!$C$14+SUM('Costs'!E39)*'Costs'!F39/12*'Responsibilities'!$C$15+SUM('Costs'!E40)*'Costs'!F40/12*'Responsibilities'!$C$16+BZ138</f>
        <v/>
      </c>
      <c r="M138" s="137">
        <f>('Sites'!E6*'Capital'!E6*(IF(25='Capital'!G6,'Capital'!F6,0)+IF(25='Capital'!H6,1-'Capital'!F6,0)))*'Responsibilities'!$G$6+('Sites'!E7*'Capital'!E7*(IF(25='Capital'!G7+'Cases'!G9,'Capital'!F7,0)+IF(25='Capital'!H7+'Cases'!G9,1-'Capital'!F7,0)))*'Responsibilities'!$G$7+('Sites'!E8*'Cases'!F9*'Capital'!E8*(IF(25='Capital'!G8+'Cases'!G9,'Capital'!F8,0)+IF(25='Capital'!H8+'Cases'!G9,1-'Capital'!F8,0)))*'Responsibilities'!$G$8</f>
        <v/>
      </c>
      <c r="N138" s="137">
        <f>SUM(G138:M138)</f>
        <v/>
      </c>
      <c r="O138" s="137">
        <f>SUMIFS(FundingTranches[Secured amount],FundingTranches[Instrument],"Grant",FundingTranches[Secured month],25)</f>
        <v/>
      </c>
      <c r="P138" s="137">
        <f>SUMIFS(FundingTranches[Delayed receipts possible],FundingTranches[Instrument],"Grant",FundingTranches[Scenario month],25-'Cases'!$D$9)</f>
        <v/>
      </c>
      <c r="Q138" s="137">
        <f>SUMIFS(FundingTranches[Secured amount],FundingTranches[Instrument],"Loan",FundingTranches[Secured month],25)</f>
        <v/>
      </c>
      <c r="R138" s="137">
        <f>SUMIFS(FundingTranches[Delayed receipts possible],FundingTranches[Instrument],"Loan",FundingTranches[Scenario month],25-'Cases'!$D$9)</f>
        <v/>
      </c>
      <c r="S138" s="137">
        <f>IF(25&lt;='Assumptions'!$B$34,0,SUMIFS('Production schedule'!$AL$330:$AL$437,'Production schedule'!$C$330:$C$437,25-'Assumptions'!$B$34))</f>
        <v/>
      </c>
      <c r="T138" s="137">
        <f>'Assumptions'!AB70</f>
        <v/>
      </c>
      <c r="U138" s="137">
        <f>'Assumptions'!AB78</f>
        <v/>
      </c>
      <c r="V138" s="137">
        <f>SUM(O138:U138)</f>
        <v/>
      </c>
      <c r="W138" s="137">
        <f>AA137</f>
        <v/>
      </c>
      <c r="X138" s="137">
        <f>SUM(Q138:R138)</f>
        <v/>
      </c>
      <c r="Y138" s="137">
        <f>SUM(W138,X138)*'Assumptions'!$B$39/12</f>
        <v/>
      </c>
      <c r="Z138" s="137">
        <f>IF(SUM(W138,X138)&gt;0,MIN(SUM(W138,X138),MAX(0,BP138-Y138)),0)</f>
        <v/>
      </c>
      <c r="AA138" s="137">
        <f>SUM(W138,X138)-Z138</f>
        <v/>
      </c>
      <c r="AB138" s="137">
        <f>SUM(Y138:Z138)</f>
        <v/>
      </c>
      <c r="AC138" s="137">
        <f>'Assumptions'!AB72</f>
        <v/>
      </c>
      <c r="AD138" s="137">
        <f>'Assumptions'!AB73</f>
        <v/>
      </c>
      <c r="AE138" s="137">
        <f>IF(X138&gt;0,SUM('Assumptions'!$B$42),0)</f>
        <v/>
      </c>
      <c r="AF138" s="137">
        <f>'Assumptions'!AB71</f>
        <v/>
      </c>
      <c r="AG138" s="137">
        <f>'Assumptions'!AB74</f>
        <v/>
      </c>
      <c r="AH138" s="137">
        <f>'Assumptions'!AB75</f>
        <v/>
      </c>
      <c r="AI138" s="137">
        <f>'Assumptions'!AB77</f>
        <v/>
      </c>
      <c r="AJ138" s="137">
        <f>V138-N138-SUM(AB138:AI138)</f>
        <v/>
      </c>
      <c r="AK138" s="137">
        <f>SUM(AJ114:AJ138)</f>
        <v/>
      </c>
      <c r="AL138" s="137">
        <f>IF(ISNUMBER('Assumptions'!$B$10),'Assumptions'!$B$10+AK138,"")</f>
        <v/>
      </c>
      <c r="AM138" s="137">
        <f>SUM(O138,Q138,T138)-N138-SUM(AC138:AI138)+IF('Funding'!$N$11=0,AE138,0)-IF('Funding'!$N$11&gt;0,AB138,0)</f>
        <v/>
      </c>
      <c r="AN138" s="137">
        <f>SUM(AM114:AM138)</f>
        <v/>
      </c>
      <c r="AO138" s="137">
        <f>IF(ISNUMBER('Assumptions'!$B$10),'Assumptions'!$B$10+AN138,"")</f>
        <v/>
      </c>
      <c r="AP138" s="137">
        <f>('Production schedule'!AK354)*'Responsibilities'!$C$6+('Production schedule'!AK390)*'Responsibilities'!$C$7+('Production schedule'!AK426)*'Responsibilities'!$C$8</f>
        <v/>
      </c>
      <c r="AQ138" s="137">
        <f>SUMIFS('Production schedule'!$AL$330:$AL$437,'Production schedule'!$C$330:$C$437,25)</f>
        <v/>
      </c>
      <c r="AR138" s="137">
        <f>IF(ISNUMBER('Assumptions'!AB76),'Assumptions'!AB76,SUM(O138:P138))</f>
        <v/>
      </c>
      <c r="AS138" s="137">
        <f>IF(ISNUMBER('Assumptions'!$B$13),MIN('Assumptions'!$B$13/'Assumptions'!$B$18/12,MAX(0,'Assumptions'!$B$13-(25-1)*'Assumptions'!$B$13/'Assumptions'!$B$18/12)),0)+IF(AND('Sites'!E6=1,25&gt;=('Sites'!F6),25&lt;('Sites'!F6)+'Assumptions'!$B$18*12),'Capital'!E6/'Assumptions'!$B$18/12,0)+IF(AND('Sites'!E7=1,25&gt;=('Sites'!F7+'Cases'!G9),25&lt;('Sites'!F7+'Cases'!G9)+'Assumptions'!$B$18*12),'Capital'!E7/'Assumptions'!$B$18/12,0)+IF(AND('Sites'!E8*'Cases'!F9=1,25&gt;=('Sites'!F8+'Cases'!G9),25&lt;('Sites'!F8+'Cases'!G9)+'Assumptions'!$B$18*12),'Capital'!E8/'Assumptions'!$B$18/12,0)</f>
        <v/>
      </c>
      <c r="AT138" s="137">
        <f>SUM(AQ138,AR138,U138)-AP138-SUM(H138:L138)-AS138-SUM(Y138,AD138,AE138,AH138)</f>
        <v/>
      </c>
      <c r="AU138" s="137">
        <f>IF(ISNUMBER('Assumptions'!$B$19),MAX(0,SUM(AT138:AT138))*'Assumptions'!$B$19-0,"")</f>
        <v/>
      </c>
      <c r="AV138" s="137">
        <f>IF(ISNUMBER(AU138),AT138-AU138,"")</f>
        <v/>
      </c>
      <c r="AW138" s="137">
        <f>IF(ISNUMBER('Assumptions'!$B$11),'Assumptions'!$B$11+SUM(AQ114:AQ138)-SUM(S114:S138)-SUM(T114:T138),"")</f>
        <v/>
      </c>
      <c r="AX138" s="137">
        <f>IF(ISNUMBER('Assumptions'!$B$12),'Assumptions'!$B$12+SUM(G114:G138)-SUM(AP114:AP138),"")</f>
        <v/>
      </c>
      <c r="AY138" s="137">
        <f>IF(ISNUMBER('Assumptions'!$B$13),'Assumptions'!$B$13+SUM(M114:M138)-SUM(AS114:AS138),"")</f>
        <v/>
      </c>
      <c r="AZ138" s="137">
        <f>IF(ISNUMBER('Assumptions'!$B$14),'Assumptions'!$B$14+-SUM(AF114:AF138),"")</f>
        <v/>
      </c>
      <c r="BA138" s="137">
        <f>IF(ISNUMBER('Assumptions'!$B$15),'Assumptions'!$B$15+SUM(O114:O138)+SUM(P114:P138)-SUM(AR114:AR138),"")</f>
        <v/>
      </c>
      <c r="BB138" s="137">
        <f>IF(ISNUMBER('Assumptions'!$B$16),'Assumptions'!$B$16+-SUM(AC114:AC138),"")</f>
        <v/>
      </c>
      <c r="BC138" s="137">
        <f>IF(AND(ISNUMBER('Assumptions'!$B$21),ISNUMBER('Assumptions'!$B$19)),'Assumptions'!$B$21+SUM(AU114:AU138)-SUM(AG114:AG138),"")</f>
        <v/>
      </c>
      <c r="BD138" s="137">
        <f>IF(ISNUMBER('Assumptions'!$B$20),'Assumptions'!$B$20+-SUM(AI114:AI138),"")</f>
        <v/>
      </c>
      <c r="BE138" s="137">
        <f>IF(AND(ISNUMBER('Assumptions'!$B$17),COUNT(AV114:AV138)=25),'Assumptions'!$B$17+SUM(AV114:AV138),"")</f>
        <v/>
      </c>
      <c r="BF138" s="137">
        <f>IF(COUNT(AL138,AW138:AY138)=4,SUM(AL138,AW138:AY138),"")</f>
        <v/>
      </c>
      <c r="BG138" s="137">
        <f>IF(COUNT(AZ138:BD138)=5,SUM(AZ138:BD138,AA138),"")</f>
        <v/>
      </c>
      <c r="BH138" s="137">
        <f>IF(COUNT(BF138,BG138,BE138)=3,BF138-BG138-BE138,"")</f>
        <v/>
      </c>
      <c r="BI138" s="137">
        <f>SUM(W138,X138)-Z138-AA138</f>
        <v/>
      </c>
      <c r="BJ138" s="137">
        <f>8-COUNT('Assumptions'!AB58:AB65)+COUNTBLANK('NM Play'!B33:B34)+'Costs'!E44+IF(AND('Sites'!E6=1,('Sites'!F6)&lt;=36,'Sites'!G6&gt;=25),IF(ISNUMBER('Sites'!Q6),0,1)+'Capital'!I6+COUNTBLANK('Sites'!R6)+IF('Sites'!D6="NM crew",COUNTBLANK('NM Play'!B25)+1,5-COUNT('Assumptions'!AB112:AB116)),0)+IF(AND('Sites'!E7=1,('Sites'!F7+'Cases'!G9)&lt;=36,'Sites'!G7&gt;=25),IF(ISNUMBER('Sites'!Q7),0,1)+'Capital'!I7+COUNTBLANK('Sites'!R7)+IF('Sites'!D7="NM crew",COUNTBLANK('NM Play'!B25)+1,5-COUNT('Assumptions'!AB117:AB121)),0)+IF(AND('Sites'!E8*'Cases'!F9=1,('Sites'!F8+'Cases'!G9)&lt;=36,'Sites'!G8&gt;=25),IF(ISNUMBER('Sites'!Q8),0,1)+'Capital'!I8+COUNTBLANK('Sites'!R8)+IF('Sites'!D8="NM crew",COUNTBLANK('NM Play'!B25)+1,5-COUNT('Assumptions'!AB122:AB126)),0)+IF(AND('Cases'!C9&gt;0,NOT(ISNUMBER('Assumptions'!B42))),1,0)+'Responsibilities'!$B$39</f>
        <v/>
      </c>
      <c r="BK138" s="137">
        <f>'Assumptions'!$B$50+'NM Play'!$B$83+'Funding'!$F$20+SUMIFS('Production schedule'!$AN$330:$AN$437,'Production schedule'!$C$330:$C$437,25)+IF(OR('Cases'!E9&lt;0,'Cases'!E9&gt;1,'Cases'!C9&lt;0,'Cases'!D9&lt;0,ABS(SUM('Sites'!S6:S8)-1)&gt;0.0001,MIN('Capital'!F6:F8)&lt;0,MAX('Capital'!F6:F8)&gt;1,MIN(AX138,AZ138,BB138,BA138)&lt;-0.01),1,0)+'Responsibilities'!$B$40</f>
        <v/>
      </c>
      <c r="BL138" s="137">
        <f>SUMIFS('Production schedule'!$T$330:$T$437,'Production schedule'!$C$330:$C$437,25)</f>
        <v/>
      </c>
      <c r="BM138" s="137">
        <f>D138*'NM Play'!$B$38</f>
        <v/>
      </c>
      <c r="BN138" s="137">
        <f>SUMIFS('Production schedule'!$AM$330:$AM$437,'Production schedule'!$C$330:$C$437,25)</f>
        <v/>
      </c>
      <c r="BO138" s="137">
        <f>AK138-AK137-AJ138</f>
        <v/>
      </c>
      <c r="BP138" s="137">
        <f>IF(AND('Assumptions'!$B$39&gt;=0,'Assumptions'!$B$40&gt;0),-PMT('Assumptions'!$B$39/12,'Assumptions'!$B$40*12,IF('Funding'!$N$11&gt;0,'Funding'!$N$11,'Funding'!$U$11)),"")</f>
        <v/>
      </c>
      <c r="BQ138">
        <f>('Production schedule'!AJ354)*(1-'Responsibilities'!$C$6)+('Production schedule'!AJ390)*(1-'Responsibilities'!$C$7)+('Production schedule'!AJ426)*(1-'Responsibilities'!$C$8)</f>
        <v/>
      </c>
      <c r="BR138">
        <f>('Production schedule'!AI354)*(1-'Responsibilities'!$D$6)+('Production schedule'!AI390)*(1-'Responsibilities'!$D$7)+('Production schedule'!AI426)*(1-'Responsibilities'!$D$8)</f>
        <v/>
      </c>
      <c r="BS138">
        <f>('Production schedule'!E354*(IF('Sites'!D6="Annual staff",SUM('Assumptions'!AB112,'Assumptions'!AB114),0)+SUM('Assumptions'!AB113,'Assumptions'!AB115:AB116)))*(1-'Responsibilities'!$E$6)+('Production schedule'!E390*(IF('Sites'!D7="Annual staff",SUM('Assumptions'!AB117,'Assumptions'!AB119),0)+SUM('Assumptions'!AB118,'Assumptions'!AB120:AB121)))*(1-'Responsibilities'!$E$7)+('Production schedule'!E426*(IF('Sites'!D8="Annual staff",SUM('Assumptions'!AB122,'Assumptions'!AB124),0)+SUM('Assumptions'!AB123,'Assumptions'!AB125:AB126)))*(1-'Responsibilities'!$E$8)</f>
        <v/>
      </c>
      <c r="BT138">
        <f>(IF(AND('Production schedule'!E354=1,25=MAX(('Sites'!F6),25),ISNUMBER('Sites'!Q6)),'Sites'!Q6*'Assumptions'!$B$44,0))*(1-'Responsibilities'!$F$6)+(IF(AND('Production schedule'!E390=1,25=MAX(('Sites'!F7+'Cases'!G9),25),ISNUMBER('Sites'!Q7)),'Sites'!Q7*'Assumptions'!$B$44,0))*(1-'Responsibilities'!$F$7)+(IF(AND('Production schedule'!E426=1,25=MAX(('Sites'!F8+'Cases'!G9),25),ISNUMBER('Sites'!Q8)),'Sites'!Q8*'Assumptions'!$B$44,0))*(1-'Responsibilities'!$F$8)</f>
        <v/>
      </c>
      <c r="BU138">
        <f>SUM('Costs'!E36)*'Costs'!F36/12*(1-'Responsibilities'!$C$12)+SUM('Costs'!E37)*'Costs'!F37/12*(1-'Responsibilities'!$C$13)+SUM('Costs'!E38)*'Costs'!F38/12*(1-'Responsibilities'!$C$14)+SUM('Costs'!E39)*'Costs'!F39/12*(1-'Responsibilities'!$C$15)+SUM('Costs'!E40)*'Costs'!F40/12*(1-'Responsibilities'!$C$16)</f>
        <v/>
      </c>
      <c r="BV138">
        <f>('Sites'!E6*'Capital'!E6*(IF(25='Capital'!G6,'Capital'!F6,0)+IF(25='Capital'!H6,1-'Capital'!F6,0)))*(1-'Responsibilities'!$G$6)+('Sites'!E7*'Capital'!E7*(IF(25='Capital'!G7+'Cases'!G9,'Capital'!F7,0)+IF(25='Capital'!H7+'Cases'!G9,1-'Capital'!F7,0)))*(1-'Responsibilities'!$G$7)+('Sites'!E8*'Cases'!F9*'Capital'!E8*(IF(25='Capital'!G8+'Cases'!G9,'Capital'!F8,0)+IF(25='Capital'!H8+'Cases'!G9,1-'Capital'!F8,0)))*(1-'Responsibilities'!$G$8)</f>
        <v/>
      </c>
      <c r="BW138">
        <f>SUM(BQ138:BV138)</f>
        <v/>
      </c>
      <c r="BX138">
        <f>N138+BW138</f>
        <v/>
      </c>
      <c r="BY138">
        <f>BX138-(('Production schedule'!AJ354)*'Responsibilities'!$C$6+('Production schedule'!AJ390)*'Responsibilities'!$C$7+('Production schedule'!AJ426)*'Responsibilities'!$C$8+('Production schedule'!AJ354)*(1-'Responsibilities'!$C$6)+('Production schedule'!AJ390)*(1-'Responsibilities'!$C$7)+('Production schedule'!AJ426)*(1-'Responsibilities'!$C$8)+('Production schedule'!AI354)*'Responsibilities'!$D$6+('Production schedule'!AI390)*'Responsibilities'!$D$7+('Production schedule'!AI426)*'Responsibilities'!$D$8+('Production schedule'!AI354)*(1-'Responsibilities'!$D$6)+('Production schedule'!AI390)*(1-'Responsibilities'!$D$7)+('Production schedule'!AI426)*(1-'Responsibilities'!$D$8)+('Production schedule'!E354*(IF('Sites'!D6="Annual staff",SUM('Assumptions'!AB112,'Assumptions'!AB114),0)+SUM('Assumptions'!AB113,'Assumptions'!AB115:AB116)))*'Responsibilities'!$E$6+('Production schedule'!E390*(IF('Sites'!D7="Annual staff",SUM('Assumptions'!AB117,'Assumptions'!AB119),0)+SUM('Assumptions'!AB118,'Assumptions'!AB120:AB121)))*'Responsibilities'!$E$7+('Production schedule'!E426*(IF('Sites'!D8="Annual staff",SUM('Assumptions'!AB122,'Assumptions'!AB124),0)+SUM('Assumptions'!AB123,'Assumptions'!AB125:AB126)))*'Responsibilities'!$E$8+('Production schedule'!E354*(IF('Sites'!D6="Annual staff",SUM('Assumptions'!AB112,'Assumptions'!AB114),0)+SUM('Assumptions'!AB113,'Assumptions'!AB115:AB116)))*(1-'Responsibilities'!$E$6)+('Production schedule'!E390*(IF('Sites'!D7="Annual staff",SUM('Assumptions'!AB117,'Assumptions'!AB119),0)+SUM('Assumptions'!AB118,'Assumptions'!AB120:AB121)))*(1-'Responsibilities'!$E$7)+('Production schedule'!E426*(IF('Sites'!D8="Annual staff",SUM('Assumptions'!AB122,'Assumptions'!AB124),0)+SUM('Assumptions'!AB123,'Assumptions'!AB125:AB126)))*(1-'Responsibilities'!$E$8)+(IF(AND('Production schedule'!E354=1,25=MAX(('Sites'!F6),25),ISNUMBER('Sites'!Q6)),'Sites'!Q6*'Assumptions'!$B$44,0))*'Responsibilities'!$F$6+(IF(AND('Production schedule'!E390=1,25=MAX(('Sites'!F7+'Cases'!G9),25),ISNUMBER('Sites'!Q7)),'Sites'!Q7*'Assumptions'!$B$44,0))*'Responsibilities'!$F$7+(IF(AND('Production schedule'!E426=1,25=MAX(('Sites'!F8+'Cases'!G9),25),ISNUMBER('Sites'!Q8)),'Sites'!Q8*'Assumptions'!$B$44,0))*'Responsibilities'!$F$8+(IF(AND('Production schedule'!E354=1,25=MAX(('Sites'!F6),25),ISNUMBER('Sites'!Q6)),'Sites'!Q6*'Assumptions'!$B$44,0))*(1-'Responsibilities'!$F$6)+(IF(AND('Production schedule'!E390=1,25=MAX(('Sites'!F7+'Cases'!G9),25),ISNUMBER('Sites'!Q7)),'Sites'!Q7*'Assumptions'!$B$44,0))*(1-'Responsibilities'!$F$7)+(IF(AND('Production schedule'!E426=1,25=MAX(('Sites'!F8+'Cases'!G9),25),ISNUMBER('Sites'!Q8)),'Sites'!Q8*'Assumptions'!$B$44,0))*(1-'Responsibilities'!$F$8)+('Sites'!E6*'Capital'!E6*(IF(25='Capital'!G6,'Capital'!F6,0)+IF(25='Capital'!H6,1-'Capital'!F6,0)))*'Responsibilities'!$G$6+('Sites'!E7*'Capital'!E7*(IF(25='Capital'!G7+'Cases'!G9,'Capital'!F7,0)+IF(25='Capital'!H7+'Cases'!G9,1-'Capital'!F7,0)))*'Responsibilities'!$G$7+('Sites'!E8*'Cases'!F9*'Capital'!E8*(IF(25='Capital'!G8+'Cases'!G9,'Capital'!F8,0)+IF(25='Capital'!H8+'Cases'!G9,1-'Capital'!F8,0)))*'Responsibilities'!$G$8+('Sites'!E6*'Capital'!E6*(IF(25='Capital'!G6,'Capital'!F6,0)+IF(25='Capital'!H6,1-'Capital'!F6,0)))*(1-'Responsibilities'!$G$6)+('Sites'!E7*'Capital'!E7*(IF(25='Capital'!G7+'Cases'!G9,'Capital'!F7,0)+IF(25='Capital'!H7+'Cases'!G9,1-'Capital'!F7,0)))*(1-'Responsibilities'!$G$7)+('Sites'!E8*'Cases'!F9*'Capital'!E8*(IF(25='Capital'!G8+'Cases'!G9,'Capital'!F8,0)+IF(25='Capital'!H8+'Cases'!G9,1-'Capital'!F8,0)))*(1-'Responsibilities'!$G$8)+I138+SUMPRODUCT('Costs'!$E$36:$E$40,'Costs'!$F$36:$F$40)/12+BZ138)</f>
        <v/>
      </c>
      <c r="BZ138">
        <f>SUMIFS('Responsibilities'!$B$31:$B$35,'Responsibilities'!$C$31:$C$35,25,'Responsibilities'!$D$31:$D$35,"Yes")</f>
        <v/>
      </c>
    </row>
    <row r="139" ht="28" customHeight="1">
      <c r="A139" s="4" t="inlineStr">
        <is>
          <t>Delayed receipts</t>
        </is>
      </c>
      <c r="B139" s="4" t="n">
        <v>26</v>
      </c>
      <c r="C139" s="4">
        <f>ROUNDUP(B139/12,0)</f>
        <v/>
      </c>
      <c r="D139" s="137">
        <f>SUMIFS('Production schedule'!$N$330:$N$437,'Production schedule'!$C$330:$C$437,26)</f>
        <v/>
      </c>
      <c r="E139" s="137">
        <f>SUMIFS('Production schedule'!$Y$330:$Y$437,'Production schedule'!$C$330:$C$437,26)</f>
        <v/>
      </c>
      <c r="F139" s="137">
        <f>SUMIFS('Production schedule'!$Z$330:$Z$437,'Production schedule'!$C$330:$C$437,26)</f>
        <v/>
      </c>
      <c r="G139" s="137">
        <f>('Production schedule'!AJ355)*'Responsibilities'!$C$6+('Production schedule'!AJ391)*'Responsibilities'!$C$7+('Production schedule'!AJ427)*'Responsibilities'!$C$8</f>
        <v/>
      </c>
      <c r="H139" s="137">
        <f>('Production schedule'!AI355)*'Responsibilities'!$D$6+('Production schedule'!AI391)*'Responsibilities'!$D$7+('Production schedule'!AI427)*'Responsibilities'!$D$8</f>
        <v/>
      </c>
      <c r="I139" s="137">
        <f>SUM('Assumptions'!AC58:AC65)</f>
        <v/>
      </c>
      <c r="J139" s="137">
        <f>('Production schedule'!E355*(IF('Sites'!D6="Annual staff",SUM('Assumptions'!AC112,'Assumptions'!AC114),0)+SUM('Assumptions'!AC113,'Assumptions'!AC115:AC116)))*'Responsibilities'!$E$6+('Production schedule'!E391*(IF('Sites'!D7="Annual staff",SUM('Assumptions'!AC117,'Assumptions'!AC119),0)+SUM('Assumptions'!AC118,'Assumptions'!AC120:AC121)))*'Responsibilities'!$E$7+('Production schedule'!E427*(IF('Sites'!D8="Annual staff",SUM('Assumptions'!AC122,'Assumptions'!AC124),0)+SUM('Assumptions'!AC123,'Assumptions'!AC125:AC126)))*'Responsibilities'!$E$8</f>
        <v/>
      </c>
      <c r="K139" s="137">
        <f>(IF(AND('Production schedule'!E355=1,26=MAX(('Sites'!F6),25),ISNUMBER('Sites'!Q6)),'Sites'!Q6*'Assumptions'!$B$44,0))*'Responsibilities'!$F$6+(IF(AND('Production schedule'!E391=1,26=MAX(('Sites'!F7+'Cases'!G9),25),ISNUMBER('Sites'!Q7)),'Sites'!Q7*'Assumptions'!$B$44,0))*'Responsibilities'!$F$7+(IF(AND('Production schedule'!E427=1,26=MAX(('Sites'!F8+'Cases'!G9),25),ISNUMBER('Sites'!Q8)),'Sites'!Q8*'Assumptions'!$B$44,0))*'Responsibilities'!$F$8</f>
        <v/>
      </c>
      <c r="L139" s="137">
        <f>SUM('Costs'!E36)*'Costs'!F36/12*'Responsibilities'!$C$12+SUM('Costs'!E37)*'Costs'!F37/12*'Responsibilities'!$C$13+SUM('Costs'!E38)*'Costs'!F38/12*'Responsibilities'!$C$14+SUM('Costs'!E39)*'Costs'!F39/12*'Responsibilities'!$C$15+SUM('Costs'!E40)*'Costs'!F40/12*'Responsibilities'!$C$16+BZ139</f>
        <v/>
      </c>
      <c r="M139" s="137">
        <f>('Sites'!E6*'Capital'!E6*(IF(26='Capital'!G6,'Capital'!F6,0)+IF(26='Capital'!H6,1-'Capital'!F6,0)))*'Responsibilities'!$G$6+('Sites'!E7*'Capital'!E7*(IF(26='Capital'!G7+'Cases'!G9,'Capital'!F7,0)+IF(26='Capital'!H7+'Cases'!G9,1-'Capital'!F7,0)))*'Responsibilities'!$G$7+('Sites'!E8*'Cases'!F9*'Capital'!E8*(IF(26='Capital'!G8+'Cases'!G9,'Capital'!F8,0)+IF(26='Capital'!H8+'Cases'!G9,1-'Capital'!F8,0)))*'Responsibilities'!$G$8</f>
        <v/>
      </c>
      <c r="N139" s="137">
        <f>SUM(G139:M139)</f>
        <v/>
      </c>
      <c r="O139" s="137">
        <f>SUMIFS(FundingTranches[Secured amount],FundingTranches[Instrument],"Grant",FundingTranches[Secured month],26)</f>
        <v/>
      </c>
      <c r="P139" s="137">
        <f>SUMIFS(FundingTranches[Delayed receipts possible],FundingTranches[Instrument],"Grant",FundingTranches[Scenario month],26-'Cases'!$D$9)</f>
        <v/>
      </c>
      <c r="Q139" s="137">
        <f>SUMIFS(FundingTranches[Secured amount],FundingTranches[Instrument],"Loan",FundingTranches[Secured month],26)</f>
        <v/>
      </c>
      <c r="R139" s="137">
        <f>SUMIFS(FundingTranches[Delayed receipts possible],FundingTranches[Instrument],"Loan",FundingTranches[Scenario month],26-'Cases'!$D$9)</f>
        <v/>
      </c>
      <c r="S139" s="137">
        <f>IF(26&lt;='Assumptions'!$B$34,0,SUMIFS('Production schedule'!$AL$330:$AL$437,'Production schedule'!$C$330:$C$437,26-'Assumptions'!$B$34))</f>
        <v/>
      </c>
      <c r="T139" s="137">
        <f>'Assumptions'!AC70</f>
        <v/>
      </c>
      <c r="U139" s="137">
        <f>'Assumptions'!AC78</f>
        <v/>
      </c>
      <c r="V139" s="137">
        <f>SUM(O139:U139)</f>
        <v/>
      </c>
      <c r="W139" s="137">
        <f>AA138</f>
        <v/>
      </c>
      <c r="X139" s="137">
        <f>SUM(Q139:R139)</f>
        <v/>
      </c>
      <c r="Y139" s="137">
        <f>SUM(W139,X139)*'Assumptions'!$B$39/12</f>
        <v/>
      </c>
      <c r="Z139" s="137">
        <f>IF(SUM(W139,X139)&gt;0,MIN(SUM(W139,X139),MAX(0,BP139-Y139)),0)</f>
        <v/>
      </c>
      <c r="AA139" s="137">
        <f>SUM(W139,X139)-Z139</f>
        <v/>
      </c>
      <c r="AB139" s="137">
        <f>SUM(Y139:Z139)</f>
        <v/>
      </c>
      <c r="AC139" s="137">
        <f>'Assumptions'!AC72</f>
        <v/>
      </c>
      <c r="AD139" s="137">
        <f>'Assumptions'!AC73</f>
        <v/>
      </c>
      <c r="AE139" s="137">
        <f>IF(X139&gt;0,SUM('Assumptions'!$B$42),0)</f>
        <v/>
      </c>
      <c r="AF139" s="137">
        <f>'Assumptions'!AC71</f>
        <v/>
      </c>
      <c r="AG139" s="137">
        <f>'Assumptions'!AC74</f>
        <v/>
      </c>
      <c r="AH139" s="137">
        <f>'Assumptions'!AC75</f>
        <v/>
      </c>
      <c r="AI139" s="137">
        <f>'Assumptions'!AC77</f>
        <v/>
      </c>
      <c r="AJ139" s="137">
        <f>V139-N139-SUM(AB139:AI139)</f>
        <v/>
      </c>
      <c r="AK139" s="137">
        <f>SUM(AJ114:AJ139)</f>
        <v/>
      </c>
      <c r="AL139" s="137">
        <f>IF(ISNUMBER('Assumptions'!$B$10),'Assumptions'!$B$10+AK139,"")</f>
        <v/>
      </c>
      <c r="AM139" s="137">
        <f>SUM(O139,Q139,T139)-N139-SUM(AC139:AI139)+IF('Funding'!$N$11=0,AE139,0)-IF('Funding'!$N$11&gt;0,AB139,0)</f>
        <v/>
      </c>
      <c r="AN139" s="137">
        <f>SUM(AM114:AM139)</f>
        <v/>
      </c>
      <c r="AO139" s="137">
        <f>IF(ISNUMBER('Assumptions'!$B$10),'Assumptions'!$B$10+AN139,"")</f>
        <v/>
      </c>
      <c r="AP139" s="137">
        <f>('Production schedule'!AK355)*'Responsibilities'!$C$6+('Production schedule'!AK391)*'Responsibilities'!$C$7+('Production schedule'!AK427)*'Responsibilities'!$C$8</f>
        <v/>
      </c>
      <c r="AQ139" s="137">
        <f>SUMIFS('Production schedule'!$AL$330:$AL$437,'Production schedule'!$C$330:$C$437,26)</f>
        <v/>
      </c>
      <c r="AR139" s="137">
        <f>IF(ISNUMBER('Assumptions'!AC76),'Assumptions'!AC76,SUM(O139:P139))</f>
        <v/>
      </c>
      <c r="AS139" s="137">
        <f>IF(ISNUMBER('Assumptions'!$B$13),MIN('Assumptions'!$B$13/'Assumptions'!$B$18/12,MAX(0,'Assumptions'!$B$13-(26-1)*'Assumptions'!$B$13/'Assumptions'!$B$18/12)),0)+IF(AND('Sites'!E6=1,26&gt;=('Sites'!F6),26&lt;('Sites'!F6)+'Assumptions'!$B$18*12),'Capital'!E6/'Assumptions'!$B$18/12,0)+IF(AND('Sites'!E7=1,26&gt;=('Sites'!F7+'Cases'!G9),26&lt;('Sites'!F7+'Cases'!G9)+'Assumptions'!$B$18*12),'Capital'!E7/'Assumptions'!$B$18/12,0)+IF(AND('Sites'!E8*'Cases'!F9=1,26&gt;=('Sites'!F8+'Cases'!G9),26&lt;('Sites'!F8+'Cases'!G9)+'Assumptions'!$B$18*12),'Capital'!E8/'Assumptions'!$B$18/12,0)</f>
        <v/>
      </c>
      <c r="AT139" s="137">
        <f>SUM(AQ139,AR139,U139)-AP139-SUM(H139:L139)-AS139-SUM(Y139,AD139,AE139,AH139)</f>
        <v/>
      </c>
      <c r="AU139" s="137">
        <f>IF(ISNUMBER('Assumptions'!$B$19),MAX(0,SUM(AT138:AT139))*'Assumptions'!$B$19-SUM(AU138:AU138),"")</f>
        <v/>
      </c>
      <c r="AV139" s="137">
        <f>IF(ISNUMBER(AU139),AT139-AU139,"")</f>
        <v/>
      </c>
      <c r="AW139" s="137">
        <f>IF(ISNUMBER('Assumptions'!$B$11),'Assumptions'!$B$11+SUM(AQ114:AQ139)-SUM(S114:S139)-SUM(T114:T139),"")</f>
        <v/>
      </c>
      <c r="AX139" s="137">
        <f>IF(ISNUMBER('Assumptions'!$B$12),'Assumptions'!$B$12+SUM(G114:G139)-SUM(AP114:AP139),"")</f>
        <v/>
      </c>
      <c r="AY139" s="137">
        <f>IF(ISNUMBER('Assumptions'!$B$13),'Assumptions'!$B$13+SUM(M114:M139)-SUM(AS114:AS139),"")</f>
        <v/>
      </c>
      <c r="AZ139" s="137">
        <f>IF(ISNUMBER('Assumptions'!$B$14),'Assumptions'!$B$14+-SUM(AF114:AF139),"")</f>
        <v/>
      </c>
      <c r="BA139" s="137">
        <f>IF(ISNUMBER('Assumptions'!$B$15),'Assumptions'!$B$15+SUM(O114:O139)+SUM(P114:P139)-SUM(AR114:AR139),"")</f>
        <v/>
      </c>
      <c r="BB139" s="137">
        <f>IF(ISNUMBER('Assumptions'!$B$16),'Assumptions'!$B$16+-SUM(AC114:AC139),"")</f>
        <v/>
      </c>
      <c r="BC139" s="137">
        <f>IF(AND(ISNUMBER('Assumptions'!$B$21),ISNUMBER('Assumptions'!$B$19)),'Assumptions'!$B$21+SUM(AU114:AU139)-SUM(AG114:AG139),"")</f>
        <v/>
      </c>
      <c r="BD139" s="137">
        <f>IF(ISNUMBER('Assumptions'!$B$20),'Assumptions'!$B$20+-SUM(AI114:AI139),"")</f>
        <v/>
      </c>
      <c r="BE139" s="137">
        <f>IF(AND(ISNUMBER('Assumptions'!$B$17),COUNT(AV114:AV139)=26),'Assumptions'!$B$17+SUM(AV114:AV139),"")</f>
        <v/>
      </c>
      <c r="BF139" s="137">
        <f>IF(COUNT(AL139,AW139:AY139)=4,SUM(AL139,AW139:AY139),"")</f>
        <v/>
      </c>
      <c r="BG139" s="137">
        <f>IF(COUNT(AZ139:BD139)=5,SUM(AZ139:BD139,AA139),"")</f>
        <v/>
      </c>
      <c r="BH139" s="137">
        <f>IF(COUNT(BF139,BG139,BE139)=3,BF139-BG139-BE139,"")</f>
        <v/>
      </c>
      <c r="BI139" s="137">
        <f>SUM(W139,X139)-Z139-AA139</f>
        <v/>
      </c>
      <c r="BJ139" s="137">
        <f>8-COUNT('Assumptions'!AC58:AC65)+COUNTBLANK('NM Play'!B33:B34)+'Costs'!E44+IF(AND('Sites'!E6=1,('Sites'!F6)&lt;=36,'Sites'!G6&gt;=25),IF(ISNUMBER('Sites'!Q6),0,1)+'Capital'!I6+COUNTBLANK('Sites'!R6)+IF('Sites'!D6="NM crew",COUNTBLANK('NM Play'!B25)+1,5-COUNT('Assumptions'!AC112:AC116)),0)+IF(AND('Sites'!E7=1,('Sites'!F7+'Cases'!G9)&lt;=36,'Sites'!G7&gt;=25),IF(ISNUMBER('Sites'!Q7),0,1)+'Capital'!I7+COUNTBLANK('Sites'!R7)+IF('Sites'!D7="NM crew",COUNTBLANK('NM Play'!B25)+1,5-COUNT('Assumptions'!AC117:AC121)),0)+IF(AND('Sites'!E8*'Cases'!F9=1,('Sites'!F8+'Cases'!G9)&lt;=36,'Sites'!G8&gt;=25),IF(ISNUMBER('Sites'!Q8),0,1)+'Capital'!I8+COUNTBLANK('Sites'!R8)+IF('Sites'!D8="NM crew",COUNTBLANK('NM Play'!B25)+1,5-COUNT('Assumptions'!AC122:AC126)),0)+IF(AND('Cases'!C9&gt;0,NOT(ISNUMBER('Assumptions'!B42))),1,0)+'Responsibilities'!$B$39</f>
        <v/>
      </c>
      <c r="BK139" s="137">
        <f>'Assumptions'!$B$50+'NM Play'!$B$83+'Funding'!$F$20+SUMIFS('Production schedule'!$AN$330:$AN$437,'Production schedule'!$C$330:$C$437,26)+IF(OR('Cases'!E9&lt;0,'Cases'!E9&gt;1,'Cases'!C9&lt;0,'Cases'!D9&lt;0,ABS(SUM('Sites'!S6:S8)-1)&gt;0.0001,MIN('Capital'!F6:F8)&lt;0,MAX('Capital'!F6:F8)&gt;1,MIN(AX139,AZ139,BB139,BA139)&lt;-0.01),1,0)+'Responsibilities'!$B$40</f>
        <v/>
      </c>
      <c r="BL139" s="137">
        <f>SUMIFS('Production schedule'!$T$330:$T$437,'Production schedule'!$C$330:$C$437,26)</f>
        <v/>
      </c>
      <c r="BM139" s="137">
        <f>D139*'NM Play'!$B$38</f>
        <v/>
      </c>
      <c r="BN139" s="137">
        <f>SUMIFS('Production schedule'!$AM$330:$AM$437,'Production schedule'!$C$330:$C$437,26)</f>
        <v/>
      </c>
      <c r="BO139" s="137">
        <f>AK139-AK138-AJ139</f>
        <v/>
      </c>
      <c r="BP139" s="137">
        <f>IF(AND('Assumptions'!$B$39&gt;=0,'Assumptions'!$B$40&gt;0),-PMT('Assumptions'!$B$39/12,'Assumptions'!$B$40*12,IF('Funding'!$N$11&gt;0,'Funding'!$N$11,'Funding'!$U$11)),"")</f>
        <v/>
      </c>
      <c r="BQ139">
        <f>('Production schedule'!AJ355)*(1-'Responsibilities'!$C$6)+('Production schedule'!AJ391)*(1-'Responsibilities'!$C$7)+('Production schedule'!AJ427)*(1-'Responsibilities'!$C$8)</f>
        <v/>
      </c>
      <c r="BR139">
        <f>('Production schedule'!AI355)*(1-'Responsibilities'!$D$6)+('Production schedule'!AI391)*(1-'Responsibilities'!$D$7)+('Production schedule'!AI427)*(1-'Responsibilities'!$D$8)</f>
        <v/>
      </c>
      <c r="BS139">
        <f>('Production schedule'!E355*(IF('Sites'!D6="Annual staff",SUM('Assumptions'!AC112,'Assumptions'!AC114),0)+SUM('Assumptions'!AC113,'Assumptions'!AC115:AC116)))*(1-'Responsibilities'!$E$6)+('Production schedule'!E391*(IF('Sites'!D7="Annual staff",SUM('Assumptions'!AC117,'Assumptions'!AC119),0)+SUM('Assumptions'!AC118,'Assumptions'!AC120:AC121)))*(1-'Responsibilities'!$E$7)+('Production schedule'!E427*(IF('Sites'!D8="Annual staff",SUM('Assumptions'!AC122,'Assumptions'!AC124),0)+SUM('Assumptions'!AC123,'Assumptions'!AC125:AC126)))*(1-'Responsibilities'!$E$8)</f>
        <v/>
      </c>
      <c r="BT139">
        <f>(IF(AND('Production schedule'!E355=1,26=MAX(('Sites'!F6),25),ISNUMBER('Sites'!Q6)),'Sites'!Q6*'Assumptions'!$B$44,0))*(1-'Responsibilities'!$F$6)+(IF(AND('Production schedule'!E391=1,26=MAX(('Sites'!F7+'Cases'!G9),25),ISNUMBER('Sites'!Q7)),'Sites'!Q7*'Assumptions'!$B$44,0))*(1-'Responsibilities'!$F$7)+(IF(AND('Production schedule'!E427=1,26=MAX(('Sites'!F8+'Cases'!G9),25),ISNUMBER('Sites'!Q8)),'Sites'!Q8*'Assumptions'!$B$44,0))*(1-'Responsibilities'!$F$8)</f>
        <v/>
      </c>
      <c r="BU139">
        <f>SUM('Costs'!E36)*'Costs'!F36/12*(1-'Responsibilities'!$C$12)+SUM('Costs'!E37)*'Costs'!F37/12*(1-'Responsibilities'!$C$13)+SUM('Costs'!E38)*'Costs'!F38/12*(1-'Responsibilities'!$C$14)+SUM('Costs'!E39)*'Costs'!F39/12*(1-'Responsibilities'!$C$15)+SUM('Costs'!E40)*'Costs'!F40/12*(1-'Responsibilities'!$C$16)</f>
        <v/>
      </c>
      <c r="BV139">
        <f>('Sites'!E6*'Capital'!E6*(IF(26='Capital'!G6,'Capital'!F6,0)+IF(26='Capital'!H6,1-'Capital'!F6,0)))*(1-'Responsibilities'!$G$6)+('Sites'!E7*'Capital'!E7*(IF(26='Capital'!G7+'Cases'!G9,'Capital'!F7,0)+IF(26='Capital'!H7+'Cases'!G9,1-'Capital'!F7,0)))*(1-'Responsibilities'!$G$7)+('Sites'!E8*'Cases'!F9*'Capital'!E8*(IF(26='Capital'!G8+'Cases'!G9,'Capital'!F8,0)+IF(26='Capital'!H8+'Cases'!G9,1-'Capital'!F8,0)))*(1-'Responsibilities'!$G$8)</f>
        <v/>
      </c>
      <c r="BW139">
        <f>SUM(BQ139:BV139)</f>
        <v/>
      </c>
      <c r="BX139">
        <f>N139+BW139</f>
        <v/>
      </c>
      <c r="BY139">
        <f>BX139-(('Production schedule'!AJ355)*'Responsibilities'!$C$6+('Production schedule'!AJ391)*'Responsibilities'!$C$7+('Production schedule'!AJ427)*'Responsibilities'!$C$8+('Production schedule'!AJ355)*(1-'Responsibilities'!$C$6)+('Production schedule'!AJ391)*(1-'Responsibilities'!$C$7)+('Production schedule'!AJ427)*(1-'Responsibilities'!$C$8)+('Production schedule'!AI355)*'Responsibilities'!$D$6+('Production schedule'!AI391)*'Responsibilities'!$D$7+('Production schedule'!AI427)*'Responsibilities'!$D$8+('Production schedule'!AI355)*(1-'Responsibilities'!$D$6)+('Production schedule'!AI391)*(1-'Responsibilities'!$D$7)+('Production schedule'!AI427)*(1-'Responsibilities'!$D$8)+('Production schedule'!E355*(IF('Sites'!D6="Annual staff",SUM('Assumptions'!AC112,'Assumptions'!AC114),0)+SUM('Assumptions'!AC113,'Assumptions'!AC115:AC116)))*'Responsibilities'!$E$6+('Production schedule'!E391*(IF('Sites'!D7="Annual staff",SUM('Assumptions'!AC117,'Assumptions'!AC119),0)+SUM('Assumptions'!AC118,'Assumptions'!AC120:AC121)))*'Responsibilities'!$E$7+('Production schedule'!E427*(IF('Sites'!D8="Annual staff",SUM('Assumptions'!AC122,'Assumptions'!AC124),0)+SUM('Assumptions'!AC123,'Assumptions'!AC125:AC126)))*'Responsibilities'!$E$8+('Production schedule'!E355*(IF('Sites'!D6="Annual staff",SUM('Assumptions'!AC112,'Assumptions'!AC114),0)+SUM('Assumptions'!AC113,'Assumptions'!AC115:AC116)))*(1-'Responsibilities'!$E$6)+('Production schedule'!E391*(IF('Sites'!D7="Annual staff",SUM('Assumptions'!AC117,'Assumptions'!AC119),0)+SUM('Assumptions'!AC118,'Assumptions'!AC120:AC121)))*(1-'Responsibilities'!$E$7)+('Production schedule'!E427*(IF('Sites'!D8="Annual staff",SUM('Assumptions'!AC122,'Assumptions'!AC124),0)+SUM('Assumptions'!AC123,'Assumptions'!AC125:AC126)))*(1-'Responsibilities'!$E$8)+(IF(AND('Production schedule'!E355=1,26=MAX(('Sites'!F6),25),ISNUMBER('Sites'!Q6)),'Sites'!Q6*'Assumptions'!$B$44,0))*'Responsibilities'!$F$6+(IF(AND('Production schedule'!E391=1,26=MAX(('Sites'!F7+'Cases'!G9),25),ISNUMBER('Sites'!Q7)),'Sites'!Q7*'Assumptions'!$B$44,0))*'Responsibilities'!$F$7+(IF(AND('Production schedule'!E427=1,26=MAX(('Sites'!F8+'Cases'!G9),25),ISNUMBER('Sites'!Q8)),'Sites'!Q8*'Assumptions'!$B$44,0))*'Responsibilities'!$F$8+(IF(AND('Production schedule'!E355=1,26=MAX(('Sites'!F6),25),ISNUMBER('Sites'!Q6)),'Sites'!Q6*'Assumptions'!$B$44,0))*(1-'Responsibilities'!$F$6)+(IF(AND('Production schedule'!E391=1,26=MAX(('Sites'!F7+'Cases'!G9),25),ISNUMBER('Sites'!Q7)),'Sites'!Q7*'Assumptions'!$B$44,0))*(1-'Responsibilities'!$F$7)+(IF(AND('Production schedule'!E427=1,26=MAX(('Sites'!F8+'Cases'!G9),25),ISNUMBER('Sites'!Q8)),'Sites'!Q8*'Assumptions'!$B$44,0))*(1-'Responsibilities'!$F$8)+('Sites'!E6*'Capital'!E6*(IF(26='Capital'!G6,'Capital'!F6,0)+IF(26='Capital'!H6,1-'Capital'!F6,0)))*'Responsibilities'!$G$6+('Sites'!E7*'Capital'!E7*(IF(26='Capital'!G7+'Cases'!G9,'Capital'!F7,0)+IF(26='Capital'!H7+'Cases'!G9,1-'Capital'!F7,0)))*'Responsibilities'!$G$7+('Sites'!E8*'Cases'!F9*'Capital'!E8*(IF(26='Capital'!G8+'Cases'!G9,'Capital'!F8,0)+IF(26='Capital'!H8+'Cases'!G9,1-'Capital'!F8,0)))*'Responsibilities'!$G$8+('Sites'!E6*'Capital'!E6*(IF(26='Capital'!G6,'Capital'!F6,0)+IF(26='Capital'!H6,1-'Capital'!F6,0)))*(1-'Responsibilities'!$G$6)+('Sites'!E7*'Capital'!E7*(IF(26='Capital'!G7+'Cases'!G9,'Capital'!F7,0)+IF(26='Capital'!H7+'Cases'!G9,1-'Capital'!F7,0)))*(1-'Responsibilities'!$G$7)+('Sites'!E8*'Cases'!F9*'Capital'!E8*(IF(26='Capital'!G8+'Cases'!G9,'Capital'!F8,0)+IF(26='Capital'!H8+'Cases'!G9,1-'Capital'!F8,0)))*(1-'Responsibilities'!$G$8)+I139+SUMPRODUCT('Costs'!$E$36:$E$40,'Costs'!$F$36:$F$40)/12+BZ139)</f>
        <v/>
      </c>
      <c r="BZ139">
        <f>SUMIFS('Responsibilities'!$B$31:$B$35,'Responsibilities'!$C$31:$C$35,26,'Responsibilities'!$D$31:$D$35,"Yes")</f>
        <v/>
      </c>
    </row>
    <row r="140" ht="28" customHeight="1">
      <c r="A140" s="4" t="inlineStr">
        <is>
          <t>Delayed receipts</t>
        </is>
      </c>
      <c r="B140" s="4" t="n">
        <v>27</v>
      </c>
      <c r="C140" s="4">
        <f>ROUNDUP(B140/12,0)</f>
        <v/>
      </c>
      <c r="D140" s="137">
        <f>SUMIFS('Production schedule'!$N$330:$N$437,'Production schedule'!$C$330:$C$437,27)</f>
        <v/>
      </c>
      <c r="E140" s="137">
        <f>SUMIFS('Production schedule'!$Y$330:$Y$437,'Production schedule'!$C$330:$C$437,27)</f>
        <v/>
      </c>
      <c r="F140" s="137">
        <f>SUMIFS('Production schedule'!$Z$330:$Z$437,'Production schedule'!$C$330:$C$437,27)</f>
        <v/>
      </c>
      <c r="G140" s="137">
        <f>('Production schedule'!AJ356)*'Responsibilities'!$C$6+('Production schedule'!AJ392)*'Responsibilities'!$C$7+('Production schedule'!AJ428)*'Responsibilities'!$C$8</f>
        <v/>
      </c>
      <c r="H140" s="137">
        <f>('Production schedule'!AI356)*'Responsibilities'!$D$6+('Production schedule'!AI392)*'Responsibilities'!$D$7+('Production schedule'!AI428)*'Responsibilities'!$D$8</f>
        <v/>
      </c>
      <c r="I140" s="137">
        <f>SUM('Assumptions'!AD58:AD65)</f>
        <v/>
      </c>
      <c r="J140" s="137">
        <f>('Production schedule'!E356*(IF('Sites'!D6="Annual staff",SUM('Assumptions'!AD112,'Assumptions'!AD114),0)+SUM('Assumptions'!AD113,'Assumptions'!AD115:AD116)))*'Responsibilities'!$E$6+('Production schedule'!E392*(IF('Sites'!D7="Annual staff",SUM('Assumptions'!AD117,'Assumptions'!AD119),0)+SUM('Assumptions'!AD118,'Assumptions'!AD120:AD121)))*'Responsibilities'!$E$7+('Production schedule'!E428*(IF('Sites'!D8="Annual staff",SUM('Assumptions'!AD122,'Assumptions'!AD124),0)+SUM('Assumptions'!AD123,'Assumptions'!AD125:AD126)))*'Responsibilities'!$E$8</f>
        <v/>
      </c>
      <c r="K140" s="137">
        <f>(IF(AND('Production schedule'!E356=1,27=MAX(('Sites'!F6),25),ISNUMBER('Sites'!Q6)),'Sites'!Q6*'Assumptions'!$B$44,0))*'Responsibilities'!$F$6+(IF(AND('Production schedule'!E392=1,27=MAX(('Sites'!F7+'Cases'!G9),25),ISNUMBER('Sites'!Q7)),'Sites'!Q7*'Assumptions'!$B$44,0))*'Responsibilities'!$F$7+(IF(AND('Production schedule'!E428=1,27=MAX(('Sites'!F8+'Cases'!G9),25),ISNUMBER('Sites'!Q8)),'Sites'!Q8*'Assumptions'!$B$44,0))*'Responsibilities'!$F$8</f>
        <v/>
      </c>
      <c r="L140" s="137">
        <f>SUM('Costs'!E36)*'Costs'!F36/12*'Responsibilities'!$C$12+SUM('Costs'!E37)*'Costs'!F37/12*'Responsibilities'!$C$13+SUM('Costs'!E38)*'Costs'!F38/12*'Responsibilities'!$C$14+SUM('Costs'!E39)*'Costs'!F39/12*'Responsibilities'!$C$15+SUM('Costs'!E40)*'Costs'!F40/12*'Responsibilities'!$C$16+BZ140</f>
        <v/>
      </c>
      <c r="M140" s="137">
        <f>('Sites'!E6*'Capital'!E6*(IF(27='Capital'!G6,'Capital'!F6,0)+IF(27='Capital'!H6,1-'Capital'!F6,0)))*'Responsibilities'!$G$6+('Sites'!E7*'Capital'!E7*(IF(27='Capital'!G7+'Cases'!G9,'Capital'!F7,0)+IF(27='Capital'!H7+'Cases'!G9,1-'Capital'!F7,0)))*'Responsibilities'!$G$7+('Sites'!E8*'Cases'!F9*'Capital'!E8*(IF(27='Capital'!G8+'Cases'!G9,'Capital'!F8,0)+IF(27='Capital'!H8+'Cases'!G9,1-'Capital'!F8,0)))*'Responsibilities'!$G$8</f>
        <v/>
      </c>
      <c r="N140" s="137">
        <f>SUM(G140:M140)</f>
        <v/>
      </c>
      <c r="O140" s="137">
        <f>SUMIFS(FundingTranches[Secured amount],FundingTranches[Instrument],"Grant",FundingTranches[Secured month],27)</f>
        <v/>
      </c>
      <c r="P140" s="137">
        <f>SUMIFS(FundingTranches[Delayed receipts possible],FundingTranches[Instrument],"Grant",FundingTranches[Scenario month],27-'Cases'!$D$9)</f>
        <v/>
      </c>
      <c r="Q140" s="137">
        <f>SUMIFS(FundingTranches[Secured amount],FundingTranches[Instrument],"Loan",FundingTranches[Secured month],27)</f>
        <v/>
      </c>
      <c r="R140" s="137">
        <f>SUMIFS(FundingTranches[Delayed receipts possible],FundingTranches[Instrument],"Loan",FundingTranches[Scenario month],27-'Cases'!$D$9)</f>
        <v/>
      </c>
      <c r="S140" s="137">
        <f>IF(27&lt;='Assumptions'!$B$34,0,SUMIFS('Production schedule'!$AL$330:$AL$437,'Production schedule'!$C$330:$C$437,27-'Assumptions'!$B$34))</f>
        <v/>
      </c>
      <c r="T140" s="137">
        <f>'Assumptions'!AD70</f>
        <v/>
      </c>
      <c r="U140" s="137">
        <f>'Assumptions'!AD78</f>
        <v/>
      </c>
      <c r="V140" s="137">
        <f>SUM(O140:U140)</f>
        <v/>
      </c>
      <c r="W140" s="137">
        <f>AA139</f>
        <v/>
      </c>
      <c r="X140" s="137">
        <f>SUM(Q140:R140)</f>
        <v/>
      </c>
      <c r="Y140" s="137">
        <f>SUM(W140,X140)*'Assumptions'!$B$39/12</f>
        <v/>
      </c>
      <c r="Z140" s="137">
        <f>IF(SUM(W140,X140)&gt;0,MIN(SUM(W140,X140),MAX(0,BP140-Y140)),0)</f>
        <v/>
      </c>
      <c r="AA140" s="137">
        <f>SUM(W140,X140)-Z140</f>
        <v/>
      </c>
      <c r="AB140" s="137">
        <f>SUM(Y140:Z140)</f>
        <v/>
      </c>
      <c r="AC140" s="137">
        <f>'Assumptions'!AD72</f>
        <v/>
      </c>
      <c r="AD140" s="137">
        <f>'Assumptions'!AD73</f>
        <v/>
      </c>
      <c r="AE140" s="137">
        <f>IF(X140&gt;0,SUM('Assumptions'!$B$42),0)</f>
        <v/>
      </c>
      <c r="AF140" s="137">
        <f>'Assumptions'!AD71</f>
        <v/>
      </c>
      <c r="AG140" s="137">
        <f>'Assumptions'!AD74</f>
        <v/>
      </c>
      <c r="AH140" s="137">
        <f>'Assumptions'!AD75</f>
        <v/>
      </c>
      <c r="AI140" s="137">
        <f>'Assumptions'!AD77</f>
        <v/>
      </c>
      <c r="AJ140" s="137">
        <f>V140-N140-SUM(AB140:AI140)</f>
        <v/>
      </c>
      <c r="AK140" s="137">
        <f>SUM(AJ114:AJ140)</f>
        <v/>
      </c>
      <c r="AL140" s="137">
        <f>IF(ISNUMBER('Assumptions'!$B$10),'Assumptions'!$B$10+AK140,"")</f>
        <v/>
      </c>
      <c r="AM140" s="137">
        <f>SUM(O140,Q140,T140)-N140-SUM(AC140:AI140)+IF('Funding'!$N$11=0,AE140,0)-IF('Funding'!$N$11&gt;0,AB140,0)</f>
        <v/>
      </c>
      <c r="AN140" s="137">
        <f>SUM(AM114:AM140)</f>
        <v/>
      </c>
      <c r="AO140" s="137">
        <f>IF(ISNUMBER('Assumptions'!$B$10),'Assumptions'!$B$10+AN140,"")</f>
        <v/>
      </c>
      <c r="AP140" s="137">
        <f>('Production schedule'!AK356)*'Responsibilities'!$C$6+('Production schedule'!AK392)*'Responsibilities'!$C$7+('Production schedule'!AK428)*'Responsibilities'!$C$8</f>
        <v/>
      </c>
      <c r="AQ140" s="137">
        <f>SUMIFS('Production schedule'!$AL$330:$AL$437,'Production schedule'!$C$330:$C$437,27)</f>
        <v/>
      </c>
      <c r="AR140" s="137">
        <f>IF(ISNUMBER('Assumptions'!AD76),'Assumptions'!AD76,SUM(O140:P140))</f>
        <v/>
      </c>
      <c r="AS140" s="137">
        <f>IF(ISNUMBER('Assumptions'!$B$13),MIN('Assumptions'!$B$13/'Assumptions'!$B$18/12,MAX(0,'Assumptions'!$B$13-(27-1)*'Assumptions'!$B$13/'Assumptions'!$B$18/12)),0)+IF(AND('Sites'!E6=1,27&gt;=('Sites'!F6),27&lt;('Sites'!F6)+'Assumptions'!$B$18*12),'Capital'!E6/'Assumptions'!$B$18/12,0)+IF(AND('Sites'!E7=1,27&gt;=('Sites'!F7+'Cases'!G9),27&lt;('Sites'!F7+'Cases'!G9)+'Assumptions'!$B$18*12),'Capital'!E7/'Assumptions'!$B$18/12,0)+IF(AND('Sites'!E8*'Cases'!F9=1,27&gt;=('Sites'!F8+'Cases'!G9),27&lt;('Sites'!F8+'Cases'!G9)+'Assumptions'!$B$18*12),'Capital'!E8/'Assumptions'!$B$18/12,0)</f>
        <v/>
      </c>
      <c r="AT140" s="137">
        <f>SUM(AQ140,AR140,U140)-AP140-SUM(H140:L140)-AS140-SUM(Y140,AD140,AE140,AH140)</f>
        <v/>
      </c>
      <c r="AU140" s="137">
        <f>IF(ISNUMBER('Assumptions'!$B$19),MAX(0,SUM(AT138:AT140))*'Assumptions'!$B$19-SUM(AU138:AU139),"")</f>
        <v/>
      </c>
      <c r="AV140" s="137">
        <f>IF(ISNUMBER(AU140),AT140-AU140,"")</f>
        <v/>
      </c>
      <c r="AW140" s="137">
        <f>IF(ISNUMBER('Assumptions'!$B$11),'Assumptions'!$B$11+SUM(AQ114:AQ140)-SUM(S114:S140)-SUM(T114:T140),"")</f>
        <v/>
      </c>
      <c r="AX140" s="137">
        <f>IF(ISNUMBER('Assumptions'!$B$12),'Assumptions'!$B$12+SUM(G114:G140)-SUM(AP114:AP140),"")</f>
        <v/>
      </c>
      <c r="AY140" s="137">
        <f>IF(ISNUMBER('Assumptions'!$B$13),'Assumptions'!$B$13+SUM(M114:M140)-SUM(AS114:AS140),"")</f>
        <v/>
      </c>
      <c r="AZ140" s="137">
        <f>IF(ISNUMBER('Assumptions'!$B$14),'Assumptions'!$B$14+-SUM(AF114:AF140),"")</f>
        <v/>
      </c>
      <c r="BA140" s="137">
        <f>IF(ISNUMBER('Assumptions'!$B$15),'Assumptions'!$B$15+SUM(O114:O140)+SUM(P114:P140)-SUM(AR114:AR140),"")</f>
        <v/>
      </c>
      <c r="BB140" s="137">
        <f>IF(ISNUMBER('Assumptions'!$B$16),'Assumptions'!$B$16+-SUM(AC114:AC140),"")</f>
        <v/>
      </c>
      <c r="BC140" s="137">
        <f>IF(AND(ISNUMBER('Assumptions'!$B$21),ISNUMBER('Assumptions'!$B$19)),'Assumptions'!$B$21+SUM(AU114:AU140)-SUM(AG114:AG140),"")</f>
        <v/>
      </c>
      <c r="BD140" s="137">
        <f>IF(ISNUMBER('Assumptions'!$B$20),'Assumptions'!$B$20+-SUM(AI114:AI140),"")</f>
        <v/>
      </c>
      <c r="BE140" s="137">
        <f>IF(AND(ISNUMBER('Assumptions'!$B$17),COUNT(AV114:AV140)=27),'Assumptions'!$B$17+SUM(AV114:AV140),"")</f>
        <v/>
      </c>
      <c r="BF140" s="137">
        <f>IF(COUNT(AL140,AW140:AY140)=4,SUM(AL140,AW140:AY140),"")</f>
        <v/>
      </c>
      <c r="BG140" s="137">
        <f>IF(COUNT(AZ140:BD140)=5,SUM(AZ140:BD140,AA140),"")</f>
        <v/>
      </c>
      <c r="BH140" s="137">
        <f>IF(COUNT(BF140,BG140,BE140)=3,BF140-BG140-BE140,"")</f>
        <v/>
      </c>
      <c r="BI140" s="137">
        <f>SUM(W140,X140)-Z140-AA140</f>
        <v/>
      </c>
      <c r="BJ140" s="137">
        <f>8-COUNT('Assumptions'!AD58:AD65)+COUNTBLANK('NM Play'!B33:B34)+'Costs'!E44+IF(AND('Sites'!E6=1,('Sites'!F6)&lt;=36,'Sites'!G6&gt;=25),IF(ISNUMBER('Sites'!Q6),0,1)+'Capital'!I6+COUNTBLANK('Sites'!R6)+IF('Sites'!D6="NM crew",COUNTBLANK('NM Play'!B25)+1,5-COUNT('Assumptions'!AD112:AD116)),0)+IF(AND('Sites'!E7=1,('Sites'!F7+'Cases'!G9)&lt;=36,'Sites'!G7&gt;=25),IF(ISNUMBER('Sites'!Q7),0,1)+'Capital'!I7+COUNTBLANK('Sites'!R7)+IF('Sites'!D7="NM crew",COUNTBLANK('NM Play'!B25)+1,5-COUNT('Assumptions'!AD117:AD121)),0)+IF(AND('Sites'!E8*'Cases'!F9=1,('Sites'!F8+'Cases'!G9)&lt;=36,'Sites'!G8&gt;=25),IF(ISNUMBER('Sites'!Q8),0,1)+'Capital'!I8+COUNTBLANK('Sites'!R8)+IF('Sites'!D8="NM crew",COUNTBLANK('NM Play'!B25)+1,5-COUNT('Assumptions'!AD122:AD126)),0)+IF(AND('Cases'!C9&gt;0,NOT(ISNUMBER('Assumptions'!B42))),1,0)+'Responsibilities'!$B$39</f>
        <v/>
      </c>
      <c r="BK140" s="137">
        <f>'Assumptions'!$B$50+'NM Play'!$B$83+'Funding'!$F$20+SUMIFS('Production schedule'!$AN$330:$AN$437,'Production schedule'!$C$330:$C$437,27)+IF(OR('Cases'!E9&lt;0,'Cases'!E9&gt;1,'Cases'!C9&lt;0,'Cases'!D9&lt;0,ABS(SUM('Sites'!S6:S8)-1)&gt;0.0001,MIN('Capital'!F6:F8)&lt;0,MAX('Capital'!F6:F8)&gt;1,MIN(AX140,AZ140,BB140,BA140)&lt;-0.01),1,0)+'Responsibilities'!$B$40</f>
        <v/>
      </c>
      <c r="BL140" s="137">
        <f>SUMIFS('Production schedule'!$T$330:$T$437,'Production schedule'!$C$330:$C$437,27)</f>
        <v/>
      </c>
      <c r="BM140" s="137">
        <f>D140*'NM Play'!$B$38</f>
        <v/>
      </c>
      <c r="BN140" s="137">
        <f>SUMIFS('Production schedule'!$AM$330:$AM$437,'Production schedule'!$C$330:$C$437,27)</f>
        <v/>
      </c>
      <c r="BO140" s="137">
        <f>AK140-AK139-AJ140</f>
        <v/>
      </c>
      <c r="BP140" s="137">
        <f>IF(AND('Assumptions'!$B$39&gt;=0,'Assumptions'!$B$40&gt;0),-PMT('Assumptions'!$B$39/12,'Assumptions'!$B$40*12,IF('Funding'!$N$11&gt;0,'Funding'!$N$11,'Funding'!$U$11)),"")</f>
        <v/>
      </c>
      <c r="BQ140">
        <f>('Production schedule'!AJ356)*(1-'Responsibilities'!$C$6)+('Production schedule'!AJ392)*(1-'Responsibilities'!$C$7)+('Production schedule'!AJ428)*(1-'Responsibilities'!$C$8)</f>
        <v/>
      </c>
      <c r="BR140">
        <f>('Production schedule'!AI356)*(1-'Responsibilities'!$D$6)+('Production schedule'!AI392)*(1-'Responsibilities'!$D$7)+('Production schedule'!AI428)*(1-'Responsibilities'!$D$8)</f>
        <v/>
      </c>
      <c r="BS140">
        <f>('Production schedule'!E356*(IF('Sites'!D6="Annual staff",SUM('Assumptions'!AD112,'Assumptions'!AD114),0)+SUM('Assumptions'!AD113,'Assumptions'!AD115:AD116)))*(1-'Responsibilities'!$E$6)+('Production schedule'!E392*(IF('Sites'!D7="Annual staff",SUM('Assumptions'!AD117,'Assumptions'!AD119),0)+SUM('Assumptions'!AD118,'Assumptions'!AD120:AD121)))*(1-'Responsibilities'!$E$7)+('Production schedule'!E428*(IF('Sites'!D8="Annual staff",SUM('Assumptions'!AD122,'Assumptions'!AD124),0)+SUM('Assumptions'!AD123,'Assumptions'!AD125:AD126)))*(1-'Responsibilities'!$E$8)</f>
        <v/>
      </c>
      <c r="BT140">
        <f>(IF(AND('Production schedule'!E356=1,27=MAX(('Sites'!F6),25),ISNUMBER('Sites'!Q6)),'Sites'!Q6*'Assumptions'!$B$44,0))*(1-'Responsibilities'!$F$6)+(IF(AND('Production schedule'!E392=1,27=MAX(('Sites'!F7+'Cases'!G9),25),ISNUMBER('Sites'!Q7)),'Sites'!Q7*'Assumptions'!$B$44,0))*(1-'Responsibilities'!$F$7)+(IF(AND('Production schedule'!E428=1,27=MAX(('Sites'!F8+'Cases'!G9),25),ISNUMBER('Sites'!Q8)),'Sites'!Q8*'Assumptions'!$B$44,0))*(1-'Responsibilities'!$F$8)</f>
        <v/>
      </c>
      <c r="BU140">
        <f>SUM('Costs'!E36)*'Costs'!F36/12*(1-'Responsibilities'!$C$12)+SUM('Costs'!E37)*'Costs'!F37/12*(1-'Responsibilities'!$C$13)+SUM('Costs'!E38)*'Costs'!F38/12*(1-'Responsibilities'!$C$14)+SUM('Costs'!E39)*'Costs'!F39/12*(1-'Responsibilities'!$C$15)+SUM('Costs'!E40)*'Costs'!F40/12*(1-'Responsibilities'!$C$16)</f>
        <v/>
      </c>
      <c r="BV140">
        <f>('Sites'!E6*'Capital'!E6*(IF(27='Capital'!G6,'Capital'!F6,0)+IF(27='Capital'!H6,1-'Capital'!F6,0)))*(1-'Responsibilities'!$G$6)+('Sites'!E7*'Capital'!E7*(IF(27='Capital'!G7+'Cases'!G9,'Capital'!F7,0)+IF(27='Capital'!H7+'Cases'!G9,1-'Capital'!F7,0)))*(1-'Responsibilities'!$G$7)+('Sites'!E8*'Cases'!F9*'Capital'!E8*(IF(27='Capital'!G8+'Cases'!G9,'Capital'!F8,0)+IF(27='Capital'!H8+'Cases'!G9,1-'Capital'!F8,0)))*(1-'Responsibilities'!$G$8)</f>
        <v/>
      </c>
      <c r="BW140">
        <f>SUM(BQ140:BV140)</f>
        <v/>
      </c>
      <c r="BX140">
        <f>N140+BW140</f>
        <v/>
      </c>
      <c r="BY140">
        <f>BX140-(('Production schedule'!AJ356)*'Responsibilities'!$C$6+('Production schedule'!AJ392)*'Responsibilities'!$C$7+('Production schedule'!AJ428)*'Responsibilities'!$C$8+('Production schedule'!AJ356)*(1-'Responsibilities'!$C$6)+('Production schedule'!AJ392)*(1-'Responsibilities'!$C$7)+('Production schedule'!AJ428)*(1-'Responsibilities'!$C$8)+('Production schedule'!AI356)*'Responsibilities'!$D$6+('Production schedule'!AI392)*'Responsibilities'!$D$7+('Production schedule'!AI428)*'Responsibilities'!$D$8+('Production schedule'!AI356)*(1-'Responsibilities'!$D$6)+('Production schedule'!AI392)*(1-'Responsibilities'!$D$7)+('Production schedule'!AI428)*(1-'Responsibilities'!$D$8)+('Production schedule'!E356*(IF('Sites'!D6="Annual staff",SUM('Assumptions'!AD112,'Assumptions'!AD114),0)+SUM('Assumptions'!AD113,'Assumptions'!AD115:AD116)))*'Responsibilities'!$E$6+('Production schedule'!E392*(IF('Sites'!D7="Annual staff",SUM('Assumptions'!AD117,'Assumptions'!AD119),0)+SUM('Assumptions'!AD118,'Assumptions'!AD120:AD121)))*'Responsibilities'!$E$7+('Production schedule'!E428*(IF('Sites'!D8="Annual staff",SUM('Assumptions'!AD122,'Assumptions'!AD124),0)+SUM('Assumptions'!AD123,'Assumptions'!AD125:AD126)))*'Responsibilities'!$E$8+('Production schedule'!E356*(IF('Sites'!D6="Annual staff",SUM('Assumptions'!AD112,'Assumptions'!AD114),0)+SUM('Assumptions'!AD113,'Assumptions'!AD115:AD116)))*(1-'Responsibilities'!$E$6)+('Production schedule'!E392*(IF('Sites'!D7="Annual staff",SUM('Assumptions'!AD117,'Assumptions'!AD119),0)+SUM('Assumptions'!AD118,'Assumptions'!AD120:AD121)))*(1-'Responsibilities'!$E$7)+('Production schedule'!E428*(IF('Sites'!D8="Annual staff",SUM('Assumptions'!AD122,'Assumptions'!AD124),0)+SUM('Assumptions'!AD123,'Assumptions'!AD125:AD126)))*(1-'Responsibilities'!$E$8)+(IF(AND('Production schedule'!E356=1,27=MAX(('Sites'!F6),25),ISNUMBER('Sites'!Q6)),'Sites'!Q6*'Assumptions'!$B$44,0))*'Responsibilities'!$F$6+(IF(AND('Production schedule'!E392=1,27=MAX(('Sites'!F7+'Cases'!G9),25),ISNUMBER('Sites'!Q7)),'Sites'!Q7*'Assumptions'!$B$44,0))*'Responsibilities'!$F$7+(IF(AND('Production schedule'!E428=1,27=MAX(('Sites'!F8+'Cases'!G9),25),ISNUMBER('Sites'!Q8)),'Sites'!Q8*'Assumptions'!$B$44,0))*'Responsibilities'!$F$8+(IF(AND('Production schedule'!E356=1,27=MAX(('Sites'!F6),25),ISNUMBER('Sites'!Q6)),'Sites'!Q6*'Assumptions'!$B$44,0))*(1-'Responsibilities'!$F$6)+(IF(AND('Production schedule'!E392=1,27=MAX(('Sites'!F7+'Cases'!G9),25),ISNUMBER('Sites'!Q7)),'Sites'!Q7*'Assumptions'!$B$44,0))*(1-'Responsibilities'!$F$7)+(IF(AND('Production schedule'!E428=1,27=MAX(('Sites'!F8+'Cases'!G9),25),ISNUMBER('Sites'!Q8)),'Sites'!Q8*'Assumptions'!$B$44,0))*(1-'Responsibilities'!$F$8)+('Sites'!E6*'Capital'!E6*(IF(27='Capital'!G6,'Capital'!F6,0)+IF(27='Capital'!H6,1-'Capital'!F6,0)))*'Responsibilities'!$G$6+('Sites'!E7*'Capital'!E7*(IF(27='Capital'!G7+'Cases'!G9,'Capital'!F7,0)+IF(27='Capital'!H7+'Cases'!G9,1-'Capital'!F7,0)))*'Responsibilities'!$G$7+('Sites'!E8*'Cases'!F9*'Capital'!E8*(IF(27='Capital'!G8+'Cases'!G9,'Capital'!F8,0)+IF(27='Capital'!H8+'Cases'!G9,1-'Capital'!F8,0)))*'Responsibilities'!$G$8+('Sites'!E6*'Capital'!E6*(IF(27='Capital'!G6,'Capital'!F6,0)+IF(27='Capital'!H6,1-'Capital'!F6,0)))*(1-'Responsibilities'!$G$6)+('Sites'!E7*'Capital'!E7*(IF(27='Capital'!G7+'Cases'!G9,'Capital'!F7,0)+IF(27='Capital'!H7+'Cases'!G9,1-'Capital'!F7,0)))*(1-'Responsibilities'!$G$7)+('Sites'!E8*'Cases'!F9*'Capital'!E8*(IF(27='Capital'!G8+'Cases'!G9,'Capital'!F8,0)+IF(27='Capital'!H8+'Cases'!G9,1-'Capital'!F8,0)))*(1-'Responsibilities'!$G$8)+I140+SUMPRODUCT('Costs'!$E$36:$E$40,'Costs'!$F$36:$F$40)/12+BZ140)</f>
        <v/>
      </c>
      <c r="BZ140">
        <f>SUMIFS('Responsibilities'!$B$31:$B$35,'Responsibilities'!$C$31:$C$35,27,'Responsibilities'!$D$31:$D$35,"Yes")</f>
        <v/>
      </c>
    </row>
    <row r="141" ht="28" customHeight="1">
      <c r="A141" s="4" t="inlineStr">
        <is>
          <t>Delayed receipts</t>
        </is>
      </c>
      <c r="B141" s="4" t="n">
        <v>28</v>
      </c>
      <c r="C141" s="4">
        <f>ROUNDUP(B141/12,0)</f>
        <v/>
      </c>
      <c r="D141" s="137">
        <f>SUMIFS('Production schedule'!$N$330:$N$437,'Production schedule'!$C$330:$C$437,28)</f>
        <v/>
      </c>
      <c r="E141" s="137">
        <f>SUMIFS('Production schedule'!$Y$330:$Y$437,'Production schedule'!$C$330:$C$437,28)</f>
        <v/>
      </c>
      <c r="F141" s="137">
        <f>SUMIFS('Production schedule'!$Z$330:$Z$437,'Production schedule'!$C$330:$C$437,28)</f>
        <v/>
      </c>
      <c r="G141" s="137">
        <f>('Production schedule'!AJ357)*'Responsibilities'!$C$6+('Production schedule'!AJ393)*'Responsibilities'!$C$7+('Production schedule'!AJ429)*'Responsibilities'!$C$8</f>
        <v/>
      </c>
      <c r="H141" s="137">
        <f>('Production schedule'!AI357)*'Responsibilities'!$D$6+('Production schedule'!AI393)*'Responsibilities'!$D$7+('Production schedule'!AI429)*'Responsibilities'!$D$8</f>
        <v/>
      </c>
      <c r="I141" s="137">
        <f>SUM('Assumptions'!AE58:AE65)</f>
        <v/>
      </c>
      <c r="J141" s="137">
        <f>('Production schedule'!E357*(IF('Sites'!D6="Annual staff",SUM('Assumptions'!AE112,'Assumptions'!AE114),0)+SUM('Assumptions'!AE113,'Assumptions'!AE115:AE116)))*'Responsibilities'!$E$6+('Production schedule'!E393*(IF('Sites'!D7="Annual staff",SUM('Assumptions'!AE117,'Assumptions'!AE119),0)+SUM('Assumptions'!AE118,'Assumptions'!AE120:AE121)))*'Responsibilities'!$E$7+('Production schedule'!E429*(IF('Sites'!D8="Annual staff",SUM('Assumptions'!AE122,'Assumptions'!AE124),0)+SUM('Assumptions'!AE123,'Assumptions'!AE125:AE126)))*'Responsibilities'!$E$8</f>
        <v/>
      </c>
      <c r="K141" s="137">
        <f>(IF(AND('Production schedule'!E357=1,28=MAX(('Sites'!F6),25),ISNUMBER('Sites'!Q6)),'Sites'!Q6*'Assumptions'!$B$44,0))*'Responsibilities'!$F$6+(IF(AND('Production schedule'!E393=1,28=MAX(('Sites'!F7+'Cases'!G9),25),ISNUMBER('Sites'!Q7)),'Sites'!Q7*'Assumptions'!$B$44,0))*'Responsibilities'!$F$7+(IF(AND('Production schedule'!E429=1,28=MAX(('Sites'!F8+'Cases'!G9),25),ISNUMBER('Sites'!Q8)),'Sites'!Q8*'Assumptions'!$B$44,0))*'Responsibilities'!$F$8</f>
        <v/>
      </c>
      <c r="L141" s="137">
        <f>SUM('Costs'!E36)*'Costs'!F36/12*'Responsibilities'!$C$12+SUM('Costs'!E37)*'Costs'!F37/12*'Responsibilities'!$C$13+SUM('Costs'!E38)*'Costs'!F38/12*'Responsibilities'!$C$14+SUM('Costs'!E39)*'Costs'!F39/12*'Responsibilities'!$C$15+SUM('Costs'!E40)*'Costs'!F40/12*'Responsibilities'!$C$16+BZ141</f>
        <v/>
      </c>
      <c r="M141" s="137">
        <f>('Sites'!E6*'Capital'!E6*(IF(28='Capital'!G6,'Capital'!F6,0)+IF(28='Capital'!H6,1-'Capital'!F6,0)))*'Responsibilities'!$G$6+('Sites'!E7*'Capital'!E7*(IF(28='Capital'!G7+'Cases'!G9,'Capital'!F7,0)+IF(28='Capital'!H7+'Cases'!G9,1-'Capital'!F7,0)))*'Responsibilities'!$G$7+('Sites'!E8*'Cases'!F9*'Capital'!E8*(IF(28='Capital'!G8+'Cases'!G9,'Capital'!F8,0)+IF(28='Capital'!H8+'Cases'!G9,1-'Capital'!F8,0)))*'Responsibilities'!$G$8</f>
        <v/>
      </c>
      <c r="N141" s="137">
        <f>SUM(G141:M141)</f>
        <v/>
      </c>
      <c r="O141" s="137">
        <f>SUMIFS(FundingTranches[Secured amount],FundingTranches[Instrument],"Grant",FundingTranches[Secured month],28)</f>
        <v/>
      </c>
      <c r="P141" s="137">
        <f>SUMIFS(FundingTranches[Delayed receipts possible],FundingTranches[Instrument],"Grant",FundingTranches[Scenario month],28-'Cases'!$D$9)</f>
        <v/>
      </c>
      <c r="Q141" s="137">
        <f>SUMIFS(FundingTranches[Secured amount],FundingTranches[Instrument],"Loan",FundingTranches[Secured month],28)</f>
        <v/>
      </c>
      <c r="R141" s="137">
        <f>SUMIFS(FundingTranches[Delayed receipts possible],FundingTranches[Instrument],"Loan",FundingTranches[Scenario month],28-'Cases'!$D$9)</f>
        <v/>
      </c>
      <c r="S141" s="137">
        <f>IF(28&lt;='Assumptions'!$B$34,0,SUMIFS('Production schedule'!$AL$330:$AL$437,'Production schedule'!$C$330:$C$437,28-'Assumptions'!$B$34))</f>
        <v/>
      </c>
      <c r="T141" s="137">
        <f>'Assumptions'!AE70</f>
        <v/>
      </c>
      <c r="U141" s="137">
        <f>'Assumptions'!AE78</f>
        <v/>
      </c>
      <c r="V141" s="137">
        <f>SUM(O141:U141)</f>
        <v/>
      </c>
      <c r="W141" s="137">
        <f>AA140</f>
        <v/>
      </c>
      <c r="X141" s="137">
        <f>SUM(Q141:R141)</f>
        <v/>
      </c>
      <c r="Y141" s="137">
        <f>SUM(W141,X141)*'Assumptions'!$B$39/12</f>
        <v/>
      </c>
      <c r="Z141" s="137">
        <f>IF(SUM(W141,X141)&gt;0,MIN(SUM(W141,X141),MAX(0,BP141-Y141)),0)</f>
        <v/>
      </c>
      <c r="AA141" s="137">
        <f>SUM(W141,X141)-Z141</f>
        <v/>
      </c>
      <c r="AB141" s="137">
        <f>SUM(Y141:Z141)</f>
        <v/>
      </c>
      <c r="AC141" s="137">
        <f>'Assumptions'!AE72</f>
        <v/>
      </c>
      <c r="AD141" s="137">
        <f>'Assumptions'!AE73</f>
        <v/>
      </c>
      <c r="AE141" s="137">
        <f>IF(X141&gt;0,SUM('Assumptions'!$B$42),0)</f>
        <v/>
      </c>
      <c r="AF141" s="137">
        <f>'Assumptions'!AE71</f>
        <v/>
      </c>
      <c r="AG141" s="137">
        <f>'Assumptions'!AE74</f>
        <v/>
      </c>
      <c r="AH141" s="137">
        <f>'Assumptions'!AE75</f>
        <v/>
      </c>
      <c r="AI141" s="137">
        <f>'Assumptions'!AE77</f>
        <v/>
      </c>
      <c r="AJ141" s="137">
        <f>V141-N141-SUM(AB141:AI141)</f>
        <v/>
      </c>
      <c r="AK141" s="137">
        <f>SUM(AJ114:AJ141)</f>
        <v/>
      </c>
      <c r="AL141" s="137">
        <f>IF(ISNUMBER('Assumptions'!$B$10),'Assumptions'!$B$10+AK141,"")</f>
        <v/>
      </c>
      <c r="AM141" s="137">
        <f>SUM(O141,Q141,T141)-N141-SUM(AC141:AI141)+IF('Funding'!$N$11=0,AE141,0)-IF('Funding'!$N$11&gt;0,AB141,0)</f>
        <v/>
      </c>
      <c r="AN141" s="137">
        <f>SUM(AM114:AM141)</f>
        <v/>
      </c>
      <c r="AO141" s="137">
        <f>IF(ISNUMBER('Assumptions'!$B$10),'Assumptions'!$B$10+AN141,"")</f>
        <v/>
      </c>
      <c r="AP141" s="137">
        <f>('Production schedule'!AK357)*'Responsibilities'!$C$6+('Production schedule'!AK393)*'Responsibilities'!$C$7+('Production schedule'!AK429)*'Responsibilities'!$C$8</f>
        <v/>
      </c>
      <c r="AQ141" s="137">
        <f>SUMIFS('Production schedule'!$AL$330:$AL$437,'Production schedule'!$C$330:$C$437,28)</f>
        <v/>
      </c>
      <c r="AR141" s="137">
        <f>IF(ISNUMBER('Assumptions'!AE76),'Assumptions'!AE76,SUM(O141:P141))</f>
        <v/>
      </c>
      <c r="AS141" s="137">
        <f>IF(ISNUMBER('Assumptions'!$B$13),MIN('Assumptions'!$B$13/'Assumptions'!$B$18/12,MAX(0,'Assumptions'!$B$13-(28-1)*'Assumptions'!$B$13/'Assumptions'!$B$18/12)),0)+IF(AND('Sites'!E6=1,28&gt;=('Sites'!F6),28&lt;('Sites'!F6)+'Assumptions'!$B$18*12),'Capital'!E6/'Assumptions'!$B$18/12,0)+IF(AND('Sites'!E7=1,28&gt;=('Sites'!F7+'Cases'!G9),28&lt;('Sites'!F7+'Cases'!G9)+'Assumptions'!$B$18*12),'Capital'!E7/'Assumptions'!$B$18/12,0)+IF(AND('Sites'!E8*'Cases'!F9=1,28&gt;=('Sites'!F8+'Cases'!G9),28&lt;('Sites'!F8+'Cases'!G9)+'Assumptions'!$B$18*12),'Capital'!E8/'Assumptions'!$B$18/12,0)</f>
        <v/>
      </c>
      <c r="AT141" s="137">
        <f>SUM(AQ141,AR141,U141)-AP141-SUM(H141:L141)-AS141-SUM(Y141,AD141,AE141,AH141)</f>
        <v/>
      </c>
      <c r="AU141" s="137">
        <f>IF(ISNUMBER('Assumptions'!$B$19),MAX(0,SUM(AT138:AT141))*'Assumptions'!$B$19-SUM(AU138:AU140),"")</f>
        <v/>
      </c>
      <c r="AV141" s="137">
        <f>IF(ISNUMBER(AU141),AT141-AU141,"")</f>
        <v/>
      </c>
      <c r="AW141" s="137">
        <f>IF(ISNUMBER('Assumptions'!$B$11),'Assumptions'!$B$11+SUM(AQ114:AQ141)-SUM(S114:S141)-SUM(T114:T141),"")</f>
        <v/>
      </c>
      <c r="AX141" s="137">
        <f>IF(ISNUMBER('Assumptions'!$B$12),'Assumptions'!$B$12+SUM(G114:G141)-SUM(AP114:AP141),"")</f>
        <v/>
      </c>
      <c r="AY141" s="137">
        <f>IF(ISNUMBER('Assumptions'!$B$13),'Assumptions'!$B$13+SUM(M114:M141)-SUM(AS114:AS141),"")</f>
        <v/>
      </c>
      <c r="AZ141" s="137">
        <f>IF(ISNUMBER('Assumptions'!$B$14),'Assumptions'!$B$14+-SUM(AF114:AF141),"")</f>
        <v/>
      </c>
      <c r="BA141" s="137">
        <f>IF(ISNUMBER('Assumptions'!$B$15),'Assumptions'!$B$15+SUM(O114:O141)+SUM(P114:P141)-SUM(AR114:AR141),"")</f>
        <v/>
      </c>
      <c r="BB141" s="137">
        <f>IF(ISNUMBER('Assumptions'!$B$16),'Assumptions'!$B$16+-SUM(AC114:AC141),"")</f>
        <v/>
      </c>
      <c r="BC141" s="137">
        <f>IF(AND(ISNUMBER('Assumptions'!$B$21),ISNUMBER('Assumptions'!$B$19)),'Assumptions'!$B$21+SUM(AU114:AU141)-SUM(AG114:AG141),"")</f>
        <v/>
      </c>
      <c r="BD141" s="137">
        <f>IF(ISNUMBER('Assumptions'!$B$20),'Assumptions'!$B$20+-SUM(AI114:AI141),"")</f>
        <v/>
      </c>
      <c r="BE141" s="137">
        <f>IF(AND(ISNUMBER('Assumptions'!$B$17),COUNT(AV114:AV141)=28),'Assumptions'!$B$17+SUM(AV114:AV141),"")</f>
        <v/>
      </c>
      <c r="BF141" s="137">
        <f>IF(COUNT(AL141,AW141:AY141)=4,SUM(AL141,AW141:AY141),"")</f>
        <v/>
      </c>
      <c r="BG141" s="137">
        <f>IF(COUNT(AZ141:BD141)=5,SUM(AZ141:BD141,AA141),"")</f>
        <v/>
      </c>
      <c r="BH141" s="137">
        <f>IF(COUNT(BF141,BG141,BE141)=3,BF141-BG141-BE141,"")</f>
        <v/>
      </c>
      <c r="BI141" s="137">
        <f>SUM(W141,X141)-Z141-AA141</f>
        <v/>
      </c>
      <c r="BJ141" s="137">
        <f>8-COUNT('Assumptions'!AE58:AE65)+COUNTBLANK('NM Play'!B33:B34)+'Costs'!E44+IF(AND('Sites'!E6=1,('Sites'!F6)&lt;=36,'Sites'!G6&gt;=25),IF(ISNUMBER('Sites'!Q6),0,1)+'Capital'!I6+COUNTBLANK('Sites'!R6)+IF('Sites'!D6="NM crew",COUNTBLANK('NM Play'!B25)+1,5-COUNT('Assumptions'!AE112:AE116)),0)+IF(AND('Sites'!E7=1,('Sites'!F7+'Cases'!G9)&lt;=36,'Sites'!G7&gt;=25),IF(ISNUMBER('Sites'!Q7),0,1)+'Capital'!I7+COUNTBLANK('Sites'!R7)+IF('Sites'!D7="NM crew",COUNTBLANK('NM Play'!B25)+1,5-COUNT('Assumptions'!AE117:AE121)),0)+IF(AND('Sites'!E8*'Cases'!F9=1,('Sites'!F8+'Cases'!G9)&lt;=36,'Sites'!G8&gt;=25),IF(ISNUMBER('Sites'!Q8),0,1)+'Capital'!I8+COUNTBLANK('Sites'!R8)+IF('Sites'!D8="NM crew",COUNTBLANK('NM Play'!B25)+1,5-COUNT('Assumptions'!AE122:AE126)),0)+IF(AND('Cases'!C9&gt;0,NOT(ISNUMBER('Assumptions'!B42))),1,0)+'Responsibilities'!$B$39</f>
        <v/>
      </c>
      <c r="BK141" s="137">
        <f>'Assumptions'!$B$50+'NM Play'!$B$83+'Funding'!$F$20+SUMIFS('Production schedule'!$AN$330:$AN$437,'Production schedule'!$C$330:$C$437,28)+IF(OR('Cases'!E9&lt;0,'Cases'!E9&gt;1,'Cases'!C9&lt;0,'Cases'!D9&lt;0,ABS(SUM('Sites'!S6:S8)-1)&gt;0.0001,MIN('Capital'!F6:F8)&lt;0,MAX('Capital'!F6:F8)&gt;1,MIN(AX141,AZ141,BB141,BA141)&lt;-0.01),1,0)+'Responsibilities'!$B$40</f>
        <v/>
      </c>
      <c r="BL141" s="137">
        <f>SUMIFS('Production schedule'!$T$330:$T$437,'Production schedule'!$C$330:$C$437,28)</f>
        <v/>
      </c>
      <c r="BM141" s="137">
        <f>D141*'NM Play'!$B$38</f>
        <v/>
      </c>
      <c r="BN141" s="137">
        <f>SUMIFS('Production schedule'!$AM$330:$AM$437,'Production schedule'!$C$330:$C$437,28)</f>
        <v/>
      </c>
      <c r="BO141" s="137">
        <f>AK141-AK140-AJ141</f>
        <v/>
      </c>
      <c r="BP141" s="137">
        <f>IF(AND('Assumptions'!$B$39&gt;=0,'Assumptions'!$B$40&gt;0),-PMT('Assumptions'!$B$39/12,'Assumptions'!$B$40*12,IF('Funding'!$N$11&gt;0,'Funding'!$N$11,'Funding'!$U$11)),"")</f>
        <v/>
      </c>
      <c r="BQ141">
        <f>('Production schedule'!AJ357)*(1-'Responsibilities'!$C$6)+('Production schedule'!AJ393)*(1-'Responsibilities'!$C$7)+('Production schedule'!AJ429)*(1-'Responsibilities'!$C$8)</f>
        <v/>
      </c>
      <c r="BR141">
        <f>('Production schedule'!AI357)*(1-'Responsibilities'!$D$6)+('Production schedule'!AI393)*(1-'Responsibilities'!$D$7)+('Production schedule'!AI429)*(1-'Responsibilities'!$D$8)</f>
        <v/>
      </c>
      <c r="BS141">
        <f>('Production schedule'!E357*(IF('Sites'!D6="Annual staff",SUM('Assumptions'!AE112,'Assumptions'!AE114),0)+SUM('Assumptions'!AE113,'Assumptions'!AE115:AE116)))*(1-'Responsibilities'!$E$6)+('Production schedule'!E393*(IF('Sites'!D7="Annual staff",SUM('Assumptions'!AE117,'Assumptions'!AE119),0)+SUM('Assumptions'!AE118,'Assumptions'!AE120:AE121)))*(1-'Responsibilities'!$E$7)+('Production schedule'!E429*(IF('Sites'!D8="Annual staff",SUM('Assumptions'!AE122,'Assumptions'!AE124),0)+SUM('Assumptions'!AE123,'Assumptions'!AE125:AE126)))*(1-'Responsibilities'!$E$8)</f>
        <v/>
      </c>
      <c r="BT141">
        <f>(IF(AND('Production schedule'!E357=1,28=MAX(('Sites'!F6),25),ISNUMBER('Sites'!Q6)),'Sites'!Q6*'Assumptions'!$B$44,0))*(1-'Responsibilities'!$F$6)+(IF(AND('Production schedule'!E393=1,28=MAX(('Sites'!F7+'Cases'!G9),25),ISNUMBER('Sites'!Q7)),'Sites'!Q7*'Assumptions'!$B$44,0))*(1-'Responsibilities'!$F$7)+(IF(AND('Production schedule'!E429=1,28=MAX(('Sites'!F8+'Cases'!G9),25),ISNUMBER('Sites'!Q8)),'Sites'!Q8*'Assumptions'!$B$44,0))*(1-'Responsibilities'!$F$8)</f>
        <v/>
      </c>
      <c r="BU141">
        <f>SUM('Costs'!E36)*'Costs'!F36/12*(1-'Responsibilities'!$C$12)+SUM('Costs'!E37)*'Costs'!F37/12*(1-'Responsibilities'!$C$13)+SUM('Costs'!E38)*'Costs'!F38/12*(1-'Responsibilities'!$C$14)+SUM('Costs'!E39)*'Costs'!F39/12*(1-'Responsibilities'!$C$15)+SUM('Costs'!E40)*'Costs'!F40/12*(1-'Responsibilities'!$C$16)</f>
        <v/>
      </c>
      <c r="BV141">
        <f>('Sites'!E6*'Capital'!E6*(IF(28='Capital'!G6,'Capital'!F6,0)+IF(28='Capital'!H6,1-'Capital'!F6,0)))*(1-'Responsibilities'!$G$6)+('Sites'!E7*'Capital'!E7*(IF(28='Capital'!G7+'Cases'!G9,'Capital'!F7,0)+IF(28='Capital'!H7+'Cases'!G9,1-'Capital'!F7,0)))*(1-'Responsibilities'!$G$7)+('Sites'!E8*'Cases'!F9*'Capital'!E8*(IF(28='Capital'!G8+'Cases'!G9,'Capital'!F8,0)+IF(28='Capital'!H8+'Cases'!G9,1-'Capital'!F8,0)))*(1-'Responsibilities'!$G$8)</f>
        <v/>
      </c>
      <c r="BW141">
        <f>SUM(BQ141:BV141)</f>
        <v/>
      </c>
      <c r="BX141">
        <f>N141+BW141</f>
        <v/>
      </c>
      <c r="BY141">
        <f>BX141-(('Production schedule'!AJ357)*'Responsibilities'!$C$6+('Production schedule'!AJ393)*'Responsibilities'!$C$7+('Production schedule'!AJ429)*'Responsibilities'!$C$8+('Production schedule'!AJ357)*(1-'Responsibilities'!$C$6)+('Production schedule'!AJ393)*(1-'Responsibilities'!$C$7)+('Production schedule'!AJ429)*(1-'Responsibilities'!$C$8)+('Production schedule'!AI357)*'Responsibilities'!$D$6+('Production schedule'!AI393)*'Responsibilities'!$D$7+('Production schedule'!AI429)*'Responsibilities'!$D$8+('Production schedule'!AI357)*(1-'Responsibilities'!$D$6)+('Production schedule'!AI393)*(1-'Responsibilities'!$D$7)+('Production schedule'!AI429)*(1-'Responsibilities'!$D$8)+('Production schedule'!E357*(IF('Sites'!D6="Annual staff",SUM('Assumptions'!AE112,'Assumptions'!AE114),0)+SUM('Assumptions'!AE113,'Assumptions'!AE115:AE116)))*'Responsibilities'!$E$6+('Production schedule'!E393*(IF('Sites'!D7="Annual staff",SUM('Assumptions'!AE117,'Assumptions'!AE119),0)+SUM('Assumptions'!AE118,'Assumptions'!AE120:AE121)))*'Responsibilities'!$E$7+('Production schedule'!E429*(IF('Sites'!D8="Annual staff",SUM('Assumptions'!AE122,'Assumptions'!AE124),0)+SUM('Assumptions'!AE123,'Assumptions'!AE125:AE126)))*'Responsibilities'!$E$8+('Production schedule'!E357*(IF('Sites'!D6="Annual staff",SUM('Assumptions'!AE112,'Assumptions'!AE114),0)+SUM('Assumptions'!AE113,'Assumptions'!AE115:AE116)))*(1-'Responsibilities'!$E$6)+('Production schedule'!E393*(IF('Sites'!D7="Annual staff",SUM('Assumptions'!AE117,'Assumptions'!AE119),0)+SUM('Assumptions'!AE118,'Assumptions'!AE120:AE121)))*(1-'Responsibilities'!$E$7)+('Production schedule'!E429*(IF('Sites'!D8="Annual staff",SUM('Assumptions'!AE122,'Assumptions'!AE124),0)+SUM('Assumptions'!AE123,'Assumptions'!AE125:AE126)))*(1-'Responsibilities'!$E$8)+(IF(AND('Production schedule'!E357=1,28=MAX(('Sites'!F6),25),ISNUMBER('Sites'!Q6)),'Sites'!Q6*'Assumptions'!$B$44,0))*'Responsibilities'!$F$6+(IF(AND('Production schedule'!E393=1,28=MAX(('Sites'!F7+'Cases'!G9),25),ISNUMBER('Sites'!Q7)),'Sites'!Q7*'Assumptions'!$B$44,0))*'Responsibilities'!$F$7+(IF(AND('Production schedule'!E429=1,28=MAX(('Sites'!F8+'Cases'!G9),25),ISNUMBER('Sites'!Q8)),'Sites'!Q8*'Assumptions'!$B$44,0))*'Responsibilities'!$F$8+(IF(AND('Production schedule'!E357=1,28=MAX(('Sites'!F6),25),ISNUMBER('Sites'!Q6)),'Sites'!Q6*'Assumptions'!$B$44,0))*(1-'Responsibilities'!$F$6)+(IF(AND('Production schedule'!E393=1,28=MAX(('Sites'!F7+'Cases'!G9),25),ISNUMBER('Sites'!Q7)),'Sites'!Q7*'Assumptions'!$B$44,0))*(1-'Responsibilities'!$F$7)+(IF(AND('Production schedule'!E429=1,28=MAX(('Sites'!F8+'Cases'!G9),25),ISNUMBER('Sites'!Q8)),'Sites'!Q8*'Assumptions'!$B$44,0))*(1-'Responsibilities'!$F$8)+('Sites'!E6*'Capital'!E6*(IF(28='Capital'!G6,'Capital'!F6,0)+IF(28='Capital'!H6,1-'Capital'!F6,0)))*'Responsibilities'!$G$6+('Sites'!E7*'Capital'!E7*(IF(28='Capital'!G7+'Cases'!G9,'Capital'!F7,0)+IF(28='Capital'!H7+'Cases'!G9,1-'Capital'!F7,0)))*'Responsibilities'!$G$7+('Sites'!E8*'Cases'!F9*'Capital'!E8*(IF(28='Capital'!G8+'Cases'!G9,'Capital'!F8,0)+IF(28='Capital'!H8+'Cases'!G9,1-'Capital'!F8,0)))*'Responsibilities'!$G$8+('Sites'!E6*'Capital'!E6*(IF(28='Capital'!G6,'Capital'!F6,0)+IF(28='Capital'!H6,1-'Capital'!F6,0)))*(1-'Responsibilities'!$G$6)+('Sites'!E7*'Capital'!E7*(IF(28='Capital'!G7+'Cases'!G9,'Capital'!F7,0)+IF(28='Capital'!H7+'Cases'!G9,1-'Capital'!F7,0)))*(1-'Responsibilities'!$G$7)+('Sites'!E8*'Cases'!F9*'Capital'!E8*(IF(28='Capital'!G8+'Cases'!G9,'Capital'!F8,0)+IF(28='Capital'!H8+'Cases'!G9,1-'Capital'!F8,0)))*(1-'Responsibilities'!$G$8)+I141+SUMPRODUCT('Costs'!$E$36:$E$40,'Costs'!$F$36:$F$40)/12+BZ141)</f>
        <v/>
      </c>
      <c r="BZ141">
        <f>SUMIFS('Responsibilities'!$B$31:$B$35,'Responsibilities'!$C$31:$C$35,28,'Responsibilities'!$D$31:$D$35,"Yes")</f>
        <v/>
      </c>
    </row>
    <row r="142" ht="28" customHeight="1">
      <c r="A142" s="4" t="inlineStr">
        <is>
          <t>Delayed receipts</t>
        </is>
      </c>
      <c r="B142" s="4" t="n">
        <v>29</v>
      </c>
      <c r="C142" s="4">
        <f>ROUNDUP(B142/12,0)</f>
        <v/>
      </c>
      <c r="D142" s="137">
        <f>SUMIFS('Production schedule'!$N$330:$N$437,'Production schedule'!$C$330:$C$437,29)</f>
        <v/>
      </c>
      <c r="E142" s="137">
        <f>SUMIFS('Production schedule'!$Y$330:$Y$437,'Production schedule'!$C$330:$C$437,29)</f>
        <v/>
      </c>
      <c r="F142" s="137">
        <f>SUMIFS('Production schedule'!$Z$330:$Z$437,'Production schedule'!$C$330:$C$437,29)</f>
        <v/>
      </c>
      <c r="G142" s="137">
        <f>('Production schedule'!AJ358)*'Responsibilities'!$C$6+('Production schedule'!AJ394)*'Responsibilities'!$C$7+('Production schedule'!AJ430)*'Responsibilities'!$C$8</f>
        <v/>
      </c>
      <c r="H142" s="137">
        <f>('Production schedule'!AI358)*'Responsibilities'!$D$6+('Production schedule'!AI394)*'Responsibilities'!$D$7+('Production schedule'!AI430)*'Responsibilities'!$D$8</f>
        <v/>
      </c>
      <c r="I142" s="137">
        <f>SUM('Assumptions'!AF58:AF65)</f>
        <v/>
      </c>
      <c r="J142" s="137">
        <f>('Production schedule'!E358*(IF('Sites'!D6="Annual staff",SUM('Assumptions'!AF112,'Assumptions'!AF114),0)+SUM('Assumptions'!AF113,'Assumptions'!AF115:AF116)))*'Responsibilities'!$E$6+('Production schedule'!E394*(IF('Sites'!D7="Annual staff",SUM('Assumptions'!AF117,'Assumptions'!AF119),0)+SUM('Assumptions'!AF118,'Assumptions'!AF120:AF121)))*'Responsibilities'!$E$7+('Production schedule'!E430*(IF('Sites'!D8="Annual staff",SUM('Assumptions'!AF122,'Assumptions'!AF124),0)+SUM('Assumptions'!AF123,'Assumptions'!AF125:AF126)))*'Responsibilities'!$E$8</f>
        <v/>
      </c>
      <c r="K142" s="137">
        <f>(IF(AND('Production schedule'!E358=1,29=MAX(('Sites'!F6),25),ISNUMBER('Sites'!Q6)),'Sites'!Q6*'Assumptions'!$B$44,0))*'Responsibilities'!$F$6+(IF(AND('Production schedule'!E394=1,29=MAX(('Sites'!F7+'Cases'!G9),25),ISNUMBER('Sites'!Q7)),'Sites'!Q7*'Assumptions'!$B$44,0))*'Responsibilities'!$F$7+(IF(AND('Production schedule'!E430=1,29=MAX(('Sites'!F8+'Cases'!G9),25),ISNUMBER('Sites'!Q8)),'Sites'!Q8*'Assumptions'!$B$44,0))*'Responsibilities'!$F$8</f>
        <v/>
      </c>
      <c r="L142" s="137">
        <f>SUM('Costs'!E36)*'Costs'!F36/12*'Responsibilities'!$C$12+SUM('Costs'!E37)*'Costs'!F37/12*'Responsibilities'!$C$13+SUM('Costs'!E38)*'Costs'!F38/12*'Responsibilities'!$C$14+SUM('Costs'!E39)*'Costs'!F39/12*'Responsibilities'!$C$15+SUM('Costs'!E40)*'Costs'!F40/12*'Responsibilities'!$C$16+BZ142</f>
        <v/>
      </c>
      <c r="M142" s="137">
        <f>('Sites'!E6*'Capital'!E6*(IF(29='Capital'!G6,'Capital'!F6,0)+IF(29='Capital'!H6,1-'Capital'!F6,0)))*'Responsibilities'!$G$6+('Sites'!E7*'Capital'!E7*(IF(29='Capital'!G7+'Cases'!G9,'Capital'!F7,0)+IF(29='Capital'!H7+'Cases'!G9,1-'Capital'!F7,0)))*'Responsibilities'!$G$7+('Sites'!E8*'Cases'!F9*'Capital'!E8*(IF(29='Capital'!G8+'Cases'!G9,'Capital'!F8,0)+IF(29='Capital'!H8+'Cases'!G9,1-'Capital'!F8,0)))*'Responsibilities'!$G$8</f>
        <v/>
      </c>
      <c r="N142" s="137">
        <f>SUM(G142:M142)</f>
        <v/>
      </c>
      <c r="O142" s="137">
        <f>SUMIFS(FundingTranches[Secured amount],FundingTranches[Instrument],"Grant",FundingTranches[Secured month],29)</f>
        <v/>
      </c>
      <c r="P142" s="137">
        <f>SUMIFS(FundingTranches[Delayed receipts possible],FundingTranches[Instrument],"Grant",FundingTranches[Scenario month],29-'Cases'!$D$9)</f>
        <v/>
      </c>
      <c r="Q142" s="137">
        <f>SUMIFS(FundingTranches[Secured amount],FundingTranches[Instrument],"Loan",FundingTranches[Secured month],29)</f>
        <v/>
      </c>
      <c r="R142" s="137">
        <f>SUMIFS(FundingTranches[Delayed receipts possible],FundingTranches[Instrument],"Loan",FundingTranches[Scenario month],29-'Cases'!$D$9)</f>
        <v/>
      </c>
      <c r="S142" s="137">
        <f>IF(29&lt;='Assumptions'!$B$34,0,SUMIFS('Production schedule'!$AL$330:$AL$437,'Production schedule'!$C$330:$C$437,29-'Assumptions'!$B$34))</f>
        <v/>
      </c>
      <c r="T142" s="137">
        <f>'Assumptions'!AF70</f>
        <v/>
      </c>
      <c r="U142" s="137">
        <f>'Assumptions'!AF78</f>
        <v/>
      </c>
      <c r="V142" s="137">
        <f>SUM(O142:U142)</f>
        <v/>
      </c>
      <c r="W142" s="137">
        <f>AA141</f>
        <v/>
      </c>
      <c r="X142" s="137">
        <f>SUM(Q142:R142)</f>
        <v/>
      </c>
      <c r="Y142" s="137">
        <f>SUM(W142,X142)*'Assumptions'!$B$39/12</f>
        <v/>
      </c>
      <c r="Z142" s="137">
        <f>IF(SUM(W142,X142)&gt;0,MIN(SUM(W142,X142),MAX(0,BP142-Y142)),0)</f>
        <v/>
      </c>
      <c r="AA142" s="137">
        <f>SUM(W142,X142)-Z142</f>
        <v/>
      </c>
      <c r="AB142" s="137">
        <f>SUM(Y142:Z142)</f>
        <v/>
      </c>
      <c r="AC142" s="137">
        <f>'Assumptions'!AF72</f>
        <v/>
      </c>
      <c r="AD142" s="137">
        <f>'Assumptions'!AF73</f>
        <v/>
      </c>
      <c r="AE142" s="137">
        <f>IF(X142&gt;0,SUM('Assumptions'!$B$42),0)</f>
        <v/>
      </c>
      <c r="AF142" s="137">
        <f>'Assumptions'!AF71</f>
        <v/>
      </c>
      <c r="AG142" s="137">
        <f>'Assumptions'!AF74</f>
        <v/>
      </c>
      <c r="AH142" s="137">
        <f>'Assumptions'!AF75</f>
        <v/>
      </c>
      <c r="AI142" s="137">
        <f>'Assumptions'!AF77</f>
        <v/>
      </c>
      <c r="AJ142" s="137">
        <f>V142-N142-SUM(AB142:AI142)</f>
        <v/>
      </c>
      <c r="AK142" s="137">
        <f>SUM(AJ114:AJ142)</f>
        <v/>
      </c>
      <c r="AL142" s="137">
        <f>IF(ISNUMBER('Assumptions'!$B$10),'Assumptions'!$B$10+AK142,"")</f>
        <v/>
      </c>
      <c r="AM142" s="137">
        <f>SUM(O142,Q142,T142)-N142-SUM(AC142:AI142)+IF('Funding'!$N$11=0,AE142,0)-IF('Funding'!$N$11&gt;0,AB142,0)</f>
        <v/>
      </c>
      <c r="AN142" s="137">
        <f>SUM(AM114:AM142)</f>
        <v/>
      </c>
      <c r="AO142" s="137">
        <f>IF(ISNUMBER('Assumptions'!$B$10),'Assumptions'!$B$10+AN142,"")</f>
        <v/>
      </c>
      <c r="AP142" s="137">
        <f>('Production schedule'!AK358)*'Responsibilities'!$C$6+('Production schedule'!AK394)*'Responsibilities'!$C$7+('Production schedule'!AK430)*'Responsibilities'!$C$8</f>
        <v/>
      </c>
      <c r="AQ142" s="137">
        <f>SUMIFS('Production schedule'!$AL$330:$AL$437,'Production schedule'!$C$330:$C$437,29)</f>
        <v/>
      </c>
      <c r="AR142" s="137">
        <f>IF(ISNUMBER('Assumptions'!AF76),'Assumptions'!AF76,SUM(O142:P142))</f>
        <v/>
      </c>
      <c r="AS142" s="137">
        <f>IF(ISNUMBER('Assumptions'!$B$13),MIN('Assumptions'!$B$13/'Assumptions'!$B$18/12,MAX(0,'Assumptions'!$B$13-(29-1)*'Assumptions'!$B$13/'Assumptions'!$B$18/12)),0)+IF(AND('Sites'!E6=1,29&gt;=('Sites'!F6),29&lt;('Sites'!F6)+'Assumptions'!$B$18*12),'Capital'!E6/'Assumptions'!$B$18/12,0)+IF(AND('Sites'!E7=1,29&gt;=('Sites'!F7+'Cases'!G9),29&lt;('Sites'!F7+'Cases'!G9)+'Assumptions'!$B$18*12),'Capital'!E7/'Assumptions'!$B$18/12,0)+IF(AND('Sites'!E8*'Cases'!F9=1,29&gt;=('Sites'!F8+'Cases'!G9),29&lt;('Sites'!F8+'Cases'!G9)+'Assumptions'!$B$18*12),'Capital'!E8/'Assumptions'!$B$18/12,0)</f>
        <v/>
      </c>
      <c r="AT142" s="137">
        <f>SUM(AQ142,AR142,U142)-AP142-SUM(H142:L142)-AS142-SUM(Y142,AD142,AE142,AH142)</f>
        <v/>
      </c>
      <c r="AU142" s="137">
        <f>IF(ISNUMBER('Assumptions'!$B$19),MAX(0,SUM(AT138:AT142))*'Assumptions'!$B$19-SUM(AU138:AU141),"")</f>
        <v/>
      </c>
      <c r="AV142" s="137">
        <f>IF(ISNUMBER(AU142),AT142-AU142,"")</f>
        <v/>
      </c>
      <c r="AW142" s="137">
        <f>IF(ISNUMBER('Assumptions'!$B$11),'Assumptions'!$B$11+SUM(AQ114:AQ142)-SUM(S114:S142)-SUM(T114:T142),"")</f>
        <v/>
      </c>
      <c r="AX142" s="137">
        <f>IF(ISNUMBER('Assumptions'!$B$12),'Assumptions'!$B$12+SUM(G114:G142)-SUM(AP114:AP142),"")</f>
        <v/>
      </c>
      <c r="AY142" s="137">
        <f>IF(ISNUMBER('Assumptions'!$B$13),'Assumptions'!$B$13+SUM(M114:M142)-SUM(AS114:AS142),"")</f>
        <v/>
      </c>
      <c r="AZ142" s="137">
        <f>IF(ISNUMBER('Assumptions'!$B$14),'Assumptions'!$B$14+-SUM(AF114:AF142),"")</f>
        <v/>
      </c>
      <c r="BA142" s="137">
        <f>IF(ISNUMBER('Assumptions'!$B$15),'Assumptions'!$B$15+SUM(O114:O142)+SUM(P114:P142)-SUM(AR114:AR142),"")</f>
        <v/>
      </c>
      <c r="BB142" s="137">
        <f>IF(ISNUMBER('Assumptions'!$B$16),'Assumptions'!$B$16+-SUM(AC114:AC142),"")</f>
        <v/>
      </c>
      <c r="BC142" s="137">
        <f>IF(AND(ISNUMBER('Assumptions'!$B$21),ISNUMBER('Assumptions'!$B$19)),'Assumptions'!$B$21+SUM(AU114:AU142)-SUM(AG114:AG142),"")</f>
        <v/>
      </c>
      <c r="BD142" s="137">
        <f>IF(ISNUMBER('Assumptions'!$B$20),'Assumptions'!$B$20+-SUM(AI114:AI142),"")</f>
        <v/>
      </c>
      <c r="BE142" s="137">
        <f>IF(AND(ISNUMBER('Assumptions'!$B$17),COUNT(AV114:AV142)=29),'Assumptions'!$B$17+SUM(AV114:AV142),"")</f>
        <v/>
      </c>
      <c r="BF142" s="137">
        <f>IF(COUNT(AL142,AW142:AY142)=4,SUM(AL142,AW142:AY142),"")</f>
        <v/>
      </c>
      <c r="BG142" s="137">
        <f>IF(COUNT(AZ142:BD142)=5,SUM(AZ142:BD142,AA142),"")</f>
        <v/>
      </c>
      <c r="BH142" s="137">
        <f>IF(COUNT(BF142,BG142,BE142)=3,BF142-BG142-BE142,"")</f>
        <v/>
      </c>
      <c r="BI142" s="137">
        <f>SUM(W142,X142)-Z142-AA142</f>
        <v/>
      </c>
      <c r="BJ142" s="137">
        <f>8-COUNT('Assumptions'!AF58:AF65)+COUNTBLANK('NM Play'!B33:B34)+'Costs'!E44+IF(AND('Sites'!E6=1,('Sites'!F6)&lt;=36,'Sites'!G6&gt;=25),IF(ISNUMBER('Sites'!Q6),0,1)+'Capital'!I6+COUNTBLANK('Sites'!R6)+IF('Sites'!D6="NM crew",COUNTBLANK('NM Play'!B25)+1,5-COUNT('Assumptions'!AF112:AF116)),0)+IF(AND('Sites'!E7=1,('Sites'!F7+'Cases'!G9)&lt;=36,'Sites'!G7&gt;=25),IF(ISNUMBER('Sites'!Q7),0,1)+'Capital'!I7+COUNTBLANK('Sites'!R7)+IF('Sites'!D7="NM crew",COUNTBLANK('NM Play'!B25)+1,5-COUNT('Assumptions'!AF117:AF121)),0)+IF(AND('Sites'!E8*'Cases'!F9=1,('Sites'!F8+'Cases'!G9)&lt;=36,'Sites'!G8&gt;=25),IF(ISNUMBER('Sites'!Q8),0,1)+'Capital'!I8+COUNTBLANK('Sites'!R8)+IF('Sites'!D8="NM crew",COUNTBLANK('NM Play'!B25)+1,5-COUNT('Assumptions'!AF122:AF126)),0)+IF(AND('Cases'!C9&gt;0,NOT(ISNUMBER('Assumptions'!B42))),1,0)+'Responsibilities'!$B$39</f>
        <v/>
      </c>
      <c r="BK142" s="137">
        <f>'Assumptions'!$B$50+'NM Play'!$B$83+'Funding'!$F$20+SUMIFS('Production schedule'!$AN$330:$AN$437,'Production schedule'!$C$330:$C$437,29)+IF(OR('Cases'!E9&lt;0,'Cases'!E9&gt;1,'Cases'!C9&lt;0,'Cases'!D9&lt;0,ABS(SUM('Sites'!S6:S8)-1)&gt;0.0001,MIN('Capital'!F6:F8)&lt;0,MAX('Capital'!F6:F8)&gt;1,MIN(AX142,AZ142,BB142,BA142)&lt;-0.01),1,0)+'Responsibilities'!$B$40</f>
        <v/>
      </c>
      <c r="BL142" s="137">
        <f>SUMIFS('Production schedule'!$T$330:$T$437,'Production schedule'!$C$330:$C$437,29)</f>
        <v/>
      </c>
      <c r="BM142" s="137">
        <f>D142*'NM Play'!$B$38</f>
        <v/>
      </c>
      <c r="BN142" s="137">
        <f>SUMIFS('Production schedule'!$AM$330:$AM$437,'Production schedule'!$C$330:$C$437,29)</f>
        <v/>
      </c>
      <c r="BO142" s="137">
        <f>AK142-AK141-AJ142</f>
        <v/>
      </c>
      <c r="BP142" s="137">
        <f>IF(AND('Assumptions'!$B$39&gt;=0,'Assumptions'!$B$40&gt;0),-PMT('Assumptions'!$B$39/12,'Assumptions'!$B$40*12,IF('Funding'!$N$11&gt;0,'Funding'!$N$11,'Funding'!$U$11)),"")</f>
        <v/>
      </c>
      <c r="BQ142">
        <f>('Production schedule'!AJ358)*(1-'Responsibilities'!$C$6)+('Production schedule'!AJ394)*(1-'Responsibilities'!$C$7)+('Production schedule'!AJ430)*(1-'Responsibilities'!$C$8)</f>
        <v/>
      </c>
      <c r="BR142">
        <f>('Production schedule'!AI358)*(1-'Responsibilities'!$D$6)+('Production schedule'!AI394)*(1-'Responsibilities'!$D$7)+('Production schedule'!AI430)*(1-'Responsibilities'!$D$8)</f>
        <v/>
      </c>
      <c r="BS142">
        <f>('Production schedule'!E358*(IF('Sites'!D6="Annual staff",SUM('Assumptions'!AF112,'Assumptions'!AF114),0)+SUM('Assumptions'!AF113,'Assumptions'!AF115:AF116)))*(1-'Responsibilities'!$E$6)+('Production schedule'!E394*(IF('Sites'!D7="Annual staff",SUM('Assumptions'!AF117,'Assumptions'!AF119),0)+SUM('Assumptions'!AF118,'Assumptions'!AF120:AF121)))*(1-'Responsibilities'!$E$7)+('Production schedule'!E430*(IF('Sites'!D8="Annual staff",SUM('Assumptions'!AF122,'Assumptions'!AF124),0)+SUM('Assumptions'!AF123,'Assumptions'!AF125:AF126)))*(1-'Responsibilities'!$E$8)</f>
        <v/>
      </c>
      <c r="BT142">
        <f>(IF(AND('Production schedule'!E358=1,29=MAX(('Sites'!F6),25),ISNUMBER('Sites'!Q6)),'Sites'!Q6*'Assumptions'!$B$44,0))*(1-'Responsibilities'!$F$6)+(IF(AND('Production schedule'!E394=1,29=MAX(('Sites'!F7+'Cases'!G9),25),ISNUMBER('Sites'!Q7)),'Sites'!Q7*'Assumptions'!$B$44,0))*(1-'Responsibilities'!$F$7)+(IF(AND('Production schedule'!E430=1,29=MAX(('Sites'!F8+'Cases'!G9),25),ISNUMBER('Sites'!Q8)),'Sites'!Q8*'Assumptions'!$B$44,0))*(1-'Responsibilities'!$F$8)</f>
        <v/>
      </c>
      <c r="BU142">
        <f>SUM('Costs'!E36)*'Costs'!F36/12*(1-'Responsibilities'!$C$12)+SUM('Costs'!E37)*'Costs'!F37/12*(1-'Responsibilities'!$C$13)+SUM('Costs'!E38)*'Costs'!F38/12*(1-'Responsibilities'!$C$14)+SUM('Costs'!E39)*'Costs'!F39/12*(1-'Responsibilities'!$C$15)+SUM('Costs'!E40)*'Costs'!F40/12*(1-'Responsibilities'!$C$16)</f>
        <v/>
      </c>
      <c r="BV142">
        <f>('Sites'!E6*'Capital'!E6*(IF(29='Capital'!G6,'Capital'!F6,0)+IF(29='Capital'!H6,1-'Capital'!F6,0)))*(1-'Responsibilities'!$G$6)+('Sites'!E7*'Capital'!E7*(IF(29='Capital'!G7+'Cases'!G9,'Capital'!F7,0)+IF(29='Capital'!H7+'Cases'!G9,1-'Capital'!F7,0)))*(1-'Responsibilities'!$G$7)+('Sites'!E8*'Cases'!F9*'Capital'!E8*(IF(29='Capital'!G8+'Cases'!G9,'Capital'!F8,0)+IF(29='Capital'!H8+'Cases'!G9,1-'Capital'!F8,0)))*(1-'Responsibilities'!$G$8)</f>
        <v/>
      </c>
      <c r="BW142">
        <f>SUM(BQ142:BV142)</f>
        <v/>
      </c>
      <c r="BX142">
        <f>N142+BW142</f>
        <v/>
      </c>
      <c r="BY142">
        <f>BX142-(('Production schedule'!AJ358)*'Responsibilities'!$C$6+('Production schedule'!AJ394)*'Responsibilities'!$C$7+('Production schedule'!AJ430)*'Responsibilities'!$C$8+('Production schedule'!AJ358)*(1-'Responsibilities'!$C$6)+('Production schedule'!AJ394)*(1-'Responsibilities'!$C$7)+('Production schedule'!AJ430)*(1-'Responsibilities'!$C$8)+('Production schedule'!AI358)*'Responsibilities'!$D$6+('Production schedule'!AI394)*'Responsibilities'!$D$7+('Production schedule'!AI430)*'Responsibilities'!$D$8+('Production schedule'!AI358)*(1-'Responsibilities'!$D$6)+('Production schedule'!AI394)*(1-'Responsibilities'!$D$7)+('Production schedule'!AI430)*(1-'Responsibilities'!$D$8)+('Production schedule'!E358*(IF('Sites'!D6="Annual staff",SUM('Assumptions'!AF112,'Assumptions'!AF114),0)+SUM('Assumptions'!AF113,'Assumptions'!AF115:AF116)))*'Responsibilities'!$E$6+('Production schedule'!E394*(IF('Sites'!D7="Annual staff",SUM('Assumptions'!AF117,'Assumptions'!AF119),0)+SUM('Assumptions'!AF118,'Assumptions'!AF120:AF121)))*'Responsibilities'!$E$7+('Production schedule'!E430*(IF('Sites'!D8="Annual staff",SUM('Assumptions'!AF122,'Assumptions'!AF124),0)+SUM('Assumptions'!AF123,'Assumptions'!AF125:AF126)))*'Responsibilities'!$E$8+('Production schedule'!E358*(IF('Sites'!D6="Annual staff",SUM('Assumptions'!AF112,'Assumptions'!AF114),0)+SUM('Assumptions'!AF113,'Assumptions'!AF115:AF116)))*(1-'Responsibilities'!$E$6)+('Production schedule'!E394*(IF('Sites'!D7="Annual staff",SUM('Assumptions'!AF117,'Assumptions'!AF119),0)+SUM('Assumptions'!AF118,'Assumptions'!AF120:AF121)))*(1-'Responsibilities'!$E$7)+('Production schedule'!E430*(IF('Sites'!D8="Annual staff",SUM('Assumptions'!AF122,'Assumptions'!AF124),0)+SUM('Assumptions'!AF123,'Assumptions'!AF125:AF126)))*(1-'Responsibilities'!$E$8)+(IF(AND('Production schedule'!E358=1,29=MAX(('Sites'!F6),25),ISNUMBER('Sites'!Q6)),'Sites'!Q6*'Assumptions'!$B$44,0))*'Responsibilities'!$F$6+(IF(AND('Production schedule'!E394=1,29=MAX(('Sites'!F7+'Cases'!G9),25),ISNUMBER('Sites'!Q7)),'Sites'!Q7*'Assumptions'!$B$44,0))*'Responsibilities'!$F$7+(IF(AND('Production schedule'!E430=1,29=MAX(('Sites'!F8+'Cases'!G9),25),ISNUMBER('Sites'!Q8)),'Sites'!Q8*'Assumptions'!$B$44,0))*'Responsibilities'!$F$8+(IF(AND('Production schedule'!E358=1,29=MAX(('Sites'!F6),25),ISNUMBER('Sites'!Q6)),'Sites'!Q6*'Assumptions'!$B$44,0))*(1-'Responsibilities'!$F$6)+(IF(AND('Production schedule'!E394=1,29=MAX(('Sites'!F7+'Cases'!G9),25),ISNUMBER('Sites'!Q7)),'Sites'!Q7*'Assumptions'!$B$44,0))*(1-'Responsibilities'!$F$7)+(IF(AND('Production schedule'!E430=1,29=MAX(('Sites'!F8+'Cases'!G9),25),ISNUMBER('Sites'!Q8)),'Sites'!Q8*'Assumptions'!$B$44,0))*(1-'Responsibilities'!$F$8)+('Sites'!E6*'Capital'!E6*(IF(29='Capital'!G6,'Capital'!F6,0)+IF(29='Capital'!H6,1-'Capital'!F6,0)))*'Responsibilities'!$G$6+('Sites'!E7*'Capital'!E7*(IF(29='Capital'!G7+'Cases'!G9,'Capital'!F7,0)+IF(29='Capital'!H7+'Cases'!G9,1-'Capital'!F7,0)))*'Responsibilities'!$G$7+('Sites'!E8*'Cases'!F9*'Capital'!E8*(IF(29='Capital'!G8+'Cases'!G9,'Capital'!F8,0)+IF(29='Capital'!H8+'Cases'!G9,1-'Capital'!F8,0)))*'Responsibilities'!$G$8+('Sites'!E6*'Capital'!E6*(IF(29='Capital'!G6,'Capital'!F6,0)+IF(29='Capital'!H6,1-'Capital'!F6,0)))*(1-'Responsibilities'!$G$6)+('Sites'!E7*'Capital'!E7*(IF(29='Capital'!G7+'Cases'!G9,'Capital'!F7,0)+IF(29='Capital'!H7+'Cases'!G9,1-'Capital'!F7,0)))*(1-'Responsibilities'!$G$7)+('Sites'!E8*'Cases'!F9*'Capital'!E8*(IF(29='Capital'!G8+'Cases'!G9,'Capital'!F8,0)+IF(29='Capital'!H8+'Cases'!G9,1-'Capital'!F8,0)))*(1-'Responsibilities'!$G$8)+I142+SUMPRODUCT('Costs'!$E$36:$E$40,'Costs'!$F$36:$F$40)/12+BZ142)</f>
        <v/>
      </c>
      <c r="BZ142">
        <f>SUMIFS('Responsibilities'!$B$31:$B$35,'Responsibilities'!$C$31:$C$35,29,'Responsibilities'!$D$31:$D$35,"Yes")</f>
        <v/>
      </c>
    </row>
    <row r="143" ht="28" customHeight="1">
      <c r="A143" s="4" t="inlineStr">
        <is>
          <t>Delayed receipts</t>
        </is>
      </c>
      <c r="B143" s="4" t="n">
        <v>30</v>
      </c>
      <c r="C143" s="4">
        <f>ROUNDUP(B143/12,0)</f>
        <v/>
      </c>
      <c r="D143" s="137">
        <f>SUMIFS('Production schedule'!$N$330:$N$437,'Production schedule'!$C$330:$C$437,30)</f>
        <v/>
      </c>
      <c r="E143" s="137">
        <f>SUMIFS('Production schedule'!$Y$330:$Y$437,'Production schedule'!$C$330:$C$437,30)</f>
        <v/>
      </c>
      <c r="F143" s="137">
        <f>SUMIFS('Production schedule'!$Z$330:$Z$437,'Production schedule'!$C$330:$C$437,30)</f>
        <v/>
      </c>
      <c r="G143" s="137">
        <f>('Production schedule'!AJ359)*'Responsibilities'!$C$6+('Production schedule'!AJ395)*'Responsibilities'!$C$7+('Production schedule'!AJ431)*'Responsibilities'!$C$8</f>
        <v/>
      </c>
      <c r="H143" s="137">
        <f>('Production schedule'!AI359)*'Responsibilities'!$D$6+('Production schedule'!AI395)*'Responsibilities'!$D$7+('Production schedule'!AI431)*'Responsibilities'!$D$8</f>
        <v/>
      </c>
      <c r="I143" s="137">
        <f>SUM('Assumptions'!AG58:AG65)</f>
        <v/>
      </c>
      <c r="J143" s="137">
        <f>('Production schedule'!E359*(IF('Sites'!D6="Annual staff",SUM('Assumptions'!AG112,'Assumptions'!AG114),0)+SUM('Assumptions'!AG113,'Assumptions'!AG115:AG116)))*'Responsibilities'!$E$6+('Production schedule'!E395*(IF('Sites'!D7="Annual staff",SUM('Assumptions'!AG117,'Assumptions'!AG119),0)+SUM('Assumptions'!AG118,'Assumptions'!AG120:AG121)))*'Responsibilities'!$E$7+('Production schedule'!E431*(IF('Sites'!D8="Annual staff",SUM('Assumptions'!AG122,'Assumptions'!AG124),0)+SUM('Assumptions'!AG123,'Assumptions'!AG125:AG126)))*'Responsibilities'!$E$8</f>
        <v/>
      </c>
      <c r="K143" s="137">
        <f>(IF(AND('Production schedule'!E359=1,30=MAX(('Sites'!F6),25),ISNUMBER('Sites'!Q6)),'Sites'!Q6*'Assumptions'!$B$44,0))*'Responsibilities'!$F$6+(IF(AND('Production schedule'!E395=1,30=MAX(('Sites'!F7+'Cases'!G9),25),ISNUMBER('Sites'!Q7)),'Sites'!Q7*'Assumptions'!$B$44,0))*'Responsibilities'!$F$7+(IF(AND('Production schedule'!E431=1,30=MAX(('Sites'!F8+'Cases'!G9),25),ISNUMBER('Sites'!Q8)),'Sites'!Q8*'Assumptions'!$B$44,0))*'Responsibilities'!$F$8</f>
        <v/>
      </c>
      <c r="L143" s="137">
        <f>SUM('Costs'!E36)*'Costs'!F36/12*'Responsibilities'!$C$12+SUM('Costs'!E37)*'Costs'!F37/12*'Responsibilities'!$C$13+SUM('Costs'!E38)*'Costs'!F38/12*'Responsibilities'!$C$14+SUM('Costs'!E39)*'Costs'!F39/12*'Responsibilities'!$C$15+SUM('Costs'!E40)*'Costs'!F40/12*'Responsibilities'!$C$16+BZ143</f>
        <v/>
      </c>
      <c r="M143" s="137">
        <f>('Sites'!E6*'Capital'!E6*(IF(30='Capital'!G6,'Capital'!F6,0)+IF(30='Capital'!H6,1-'Capital'!F6,0)))*'Responsibilities'!$G$6+('Sites'!E7*'Capital'!E7*(IF(30='Capital'!G7+'Cases'!G9,'Capital'!F7,0)+IF(30='Capital'!H7+'Cases'!G9,1-'Capital'!F7,0)))*'Responsibilities'!$G$7+('Sites'!E8*'Cases'!F9*'Capital'!E8*(IF(30='Capital'!G8+'Cases'!G9,'Capital'!F8,0)+IF(30='Capital'!H8+'Cases'!G9,1-'Capital'!F8,0)))*'Responsibilities'!$G$8</f>
        <v/>
      </c>
      <c r="N143" s="137">
        <f>SUM(G143:M143)</f>
        <v/>
      </c>
      <c r="O143" s="137">
        <f>SUMIFS(FundingTranches[Secured amount],FundingTranches[Instrument],"Grant",FundingTranches[Secured month],30)</f>
        <v/>
      </c>
      <c r="P143" s="137">
        <f>SUMIFS(FundingTranches[Delayed receipts possible],FundingTranches[Instrument],"Grant",FundingTranches[Scenario month],30-'Cases'!$D$9)</f>
        <v/>
      </c>
      <c r="Q143" s="137">
        <f>SUMIFS(FundingTranches[Secured amount],FundingTranches[Instrument],"Loan",FundingTranches[Secured month],30)</f>
        <v/>
      </c>
      <c r="R143" s="137">
        <f>SUMIFS(FundingTranches[Delayed receipts possible],FundingTranches[Instrument],"Loan",FundingTranches[Scenario month],30-'Cases'!$D$9)</f>
        <v/>
      </c>
      <c r="S143" s="137">
        <f>IF(30&lt;='Assumptions'!$B$34,0,SUMIFS('Production schedule'!$AL$330:$AL$437,'Production schedule'!$C$330:$C$437,30-'Assumptions'!$B$34))</f>
        <v/>
      </c>
      <c r="T143" s="137">
        <f>'Assumptions'!AG70</f>
        <v/>
      </c>
      <c r="U143" s="137">
        <f>'Assumptions'!AG78</f>
        <v/>
      </c>
      <c r="V143" s="137">
        <f>SUM(O143:U143)</f>
        <v/>
      </c>
      <c r="W143" s="137">
        <f>AA142</f>
        <v/>
      </c>
      <c r="X143" s="137">
        <f>SUM(Q143:R143)</f>
        <v/>
      </c>
      <c r="Y143" s="137">
        <f>SUM(W143,X143)*'Assumptions'!$B$39/12</f>
        <v/>
      </c>
      <c r="Z143" s="137">
        <f>IF(SUM(W143,X143)&gt;0,MIN(SUM(W143,X143),MAX(0,BP143-Y143)),0)</f>
        <v/>
      </c>
      <c r="AA143" s="137">
        <f>SUM(W143,X143)-Z143</f>
        <v/>
      </c>
      <c r="AB143" s="137">
        <f>SUM(Y143:Z143)</f>
        <v/>
      </c>
      <c r="AC143" s="137">
        <f>'Assumptions'!AG72</f>
        <v/>
      </c>
      <c r="AD143" s="137">
        <f>'Assumptions'!AG73</f>
        <v/>
      </c>
      <c r="AE143" s="137">
        <f>IF(X143&gt;0,SUM('Assumptions'!$B$42),0)</f>
        <v/>
      </c>
      <c r="AF143" s="137">
        <f>'Assumptions'!AG71</f>
        <v/>
      </c>
      <c r="AG143" s="137">
        <f>'Assumptions'!AG74</f>
        <v/>
      </c>
      <c r="AH143" s="137">
        <f>'Assumptions'!AG75</f>
        <v/>
      </c>
      <c r="AI143" s="137">
        <f>'Assumptions'!AG77</f>
        <v/>
      </c>
      <c r="AJ143" s="137">
        <f>V143-N143-SUM(AB143:AI143)</f>
        <v/>
      </c>
      <c r="AK143" s="137">
        <f>SUM(AJ114:AJ143)</f>
        <v/>
      </c>
      <c r="AL143" s="137">
        <f>IF(ISNUMBER('Assumptions'!$B$10),'Assumptions'!$B$10+AK143,"")</f>
        <v/>
      </c>
      <c r="AM143" s="137">
        <f>SUM(O143,Q143,T143)-N143-SUM(AC143:AI143)+IF('Funding'!$N$11=0,AE143,0)-IF('Funding'!$N$11&gt;0,AB143,0)</f>
        <v/>
      </c>
      <c r="AN143" s="137">
        <f>SUM(AM114:AM143)</f>
        <v/>
      </c>
      <c r="AO143" s="137">
        <f>IF(ISNUMBER('Assumptions'!$B$10),'Assumptions'!$B$10+AN143,"")</f>
        <v/>
      </c>
      <c r="AP143" s="137">
        <f>('Production schedule'!AK359)*'Responsibilities'!$C$6+('Production schedule'!AK395)*'Responsibilities'!$C$7+('Production schedule'!AK431)*'Responsibilities'!$C$8</f>
        <v/>
      </c>
      <c r="AQ143" s="137">
        <f>SUMIFS('Production schedule'!$AL$330:$AL$437,'Production schedule'!$C$330:$C$437,30)</f>
        <v/>
      </c>
      <c r="AR143" s="137">
        <f>IF(ISNUMBER('Assumptions'!AG76),'Assumptions'!AG76,SUM(O143:P143))</f>
        <v/>
      </c>
      <c r="AS143" s="137">
        <f>IF(ISNUMBER('Assumptions'!$B$13),MIN('Assumptions'!$B$13/'Assumptions'!$B$18/12,MAX(0,'Assumptions'!$B$13-(30-1)*'Assumptions'!$B$13/'Assumptions'!$B$18/12)),0)+IF(AND('Sites'!E6=1,30&gt;=('Sites'!F6),30&lt;('Sites'!F6)+'Assumptions'!$B$18*12),'Capital'!E6/'Assumptions'!$B$18/12,0)+IF(AND('Sites'!E7=1,30&gt;=('Sites'!F7+'Cases'!G9),30&lt;('Sites'!F7+'Cases'!G9)+'Assumptions'!$B$18*12),'Capital'!E7/'Assumptions'!$B$18/12,0)+IF(AND('Sites'!E8*'Cases'!F9=1,30&gt;=('Sites'!F8+'Cases'!G9),30&lt;('Sites'!F8+'Cases'!G9)+'Assumptions'!$B$18*12),'Capital'!E8/'Assumptions'!$B$18/12,0)</f>
        <v/>
      </c>
      <c r="AT143" s="137">
        <f>SUM(AQ143,AR143,U143)-AP143-SUM(H143:L143)-AS143-SUM(Y143,AD143,AE143,AH143)</f>
        <v/>
      </c>
      <c r="AU143" s="137">
        <f>IF(ISNUMBER('Assumptions'!$B$19),MAX(0,SUM(AT138:AT143))*'Assumptions'!$B$19-SUM(AU138:AU142),"")</f>
        <v/>
      </c>
      <c r="AV143" s="137">
        <f>IF(ISNUMBER(AU143),AT143-AU143,"")</f>
        <v/>
      </c>
      <c r="AW143" s="137">
        <f>IF(ISNUMBER('Assumptions'!$B$11),'Assumptions'!$B$11+SUM(AQ114:AQ143)-SUM(S114:S143)-SUM(T114:T143),"")</f>
        <v/>
      </c>
      <c r="AX143" s="137">
        <f>IF(ISNUMBER('Assumptions'!$B$12),'Assumptions'!$B$12+SUM(G114:G143)-SUM(AP114:AP143),"")</f>
        <v/>
      </c>
      <c r="AY143" s="137">
        <f>IF(ISNUMBER('Assumptions'!$B$13),'Assumptions'!$B$13+SUM(M114:M143)-SUM(AS114:AS143),"")</f>
        <v/>
      </c>
      <c r="AZ143" s="137">
        <f>IF(ISNUMBER('Assumptions'!$B$14),'Assumptions'!$B$14+-SUM(AF114:AF143),"")</f>
        <v/>
      </c>
      <c r="BA143" s="137">
        <f>IF(ISNUMBER('Assumptions'!$B$15),'Assumptions'!$B$15+SUM(O114:O143)+SUM(P114:P143)-SUM(AR114:AR143),"")</f>
        <v/>
      </c>
      <c r="BB143" s="137">
        <f>IF(ISNUMBER('Assumptions'!$B$16),'Assumptions'!$B$16+-SUM(AC114:AC143),"")</f>
        <v/>
      </c>
      <c r="BC143" s="137">
        <f>IF(AND(ISNUMBER('Assumptions'!$B$21),ISNUMBER('Assumptions'!$B$19)),'Assumptions'!$B$21+SUM(AU114:AU143)-SUM(AG114:AG143),"")</f>
        <v/>
      </c>
      <c r="BD143" s="137">
        <f>IF(ISNUMBER('Assumptions'!$B$20),'Assumptions'!$B$20+-SUM(AI114:AI143),"")</f>
        <v/>
      </c>
      <c r="BE143" s="137">
        <f>IF(AND(ISNUMBER('Assumptions'!$B$17),COUNT(AV114:AV143)=30),'Assumptions'!$B$17+SUM(AV114:AV143),"")</f>
        <v/>
      </c>
      <c r="BF143" s="137">
        <f>IF(COUNT(AL143,AW143:AY143)=4,SUM(AL143,AW143:AY143),"")</f>
        <v/>
      </c>
      <c r="BG143" s="137">
        <f>IF(COUNT(AZ143:BD143)=5,SUM(AZ143:BD143,AA143),"")</f>
        <v/>
      </c>
      <c r="BH143" s="137">
        <f>IF(COUNT(BF143,BG143,BE143)=3,BF143-BG143-BE143,"")</f>
        <v/>
      </c>
      <c r="BI143" s="137">
        <f>SUM(W143,X143)-Z143-AA143</f>
        <v/>
      </c>
      <c r="BJ143" s="137">
        <f>8-COUNT('Assumptions'!AG58:AG65)+COUNTBLANK('NM Play'!B33:B34)+'Costs'!E44+IF(AND('Sites'!E6=1,('Sites'!F6)&lt;=36,'Sites'!G6&gt;=25),IF(ISNUMBER('Sites'!Q6),0,1)+'Capital'!I6+COUNTBLANK('Sites'!R6)+IF('Sites'!D6="NM crew",COUNTBLANK('NM Play'!B25)+1,5-COUNT('Assumptions'!AG112:AG116)),0)+IF(AND('Sites'!E7=1,('Sites'!F7+'Cases'!G9)&lt;=36,'Sites'!G7&gt;=25),IF(ISNUMBER('Sites'!Q7),0,1)+'Capital'!I7+COUNTBLANK('Sites'!R7)+IF('Sites'!D7="NM crew",COUNTBLANK('NM Play'!B25)+1,5-COUNT('Assumptions'!AG117:AG121)),0)+IF(AND('Sites'!E8*'Cases'!F9=1,('Sites'!F8+'Cases'!G9)&lt;=36,'Sites'!G8&gt;=25),IF(ISNUMBER('Sites'!Q8),0,1)+'Capital'!I8+COUNTBLANK('Sites'!R8)+IF('Sites'!D8="NM crew",COUNTBLANK('NM Play'!B25)+1,5-COUNT('Assumptions'!AG122:AG126)),0)+IF(AND('Cases'!C9&gt;0,NOT(ISNUMBER('Assumptions'!B42))),1,0)+'Responsibilities'!$B$39</f>
        <v/>
      </c>
      <c r="BK143" s="137">
        <f>'Assumptions'!$B$50+'NM Play'!$B$83+'Funding'!$F$20+SUMIFS('Production schedule'!$AN$330:$AN$437,'Production schedule'!$C$330:$C$437,30)+IF(OR('Cases'!E9&lt;0,'Cases'!E9&gt;1,'Cases'!C9&lt;0,'Cases'!D9&lt;0,ABS(SUM('Sites'!S6:S8)-1)&gt;0.0001,MIN('Capital'!F6:F8)&lt;0,MAX('Capital'!F6:F8)&gt;1,MIN(AX143,AZ143,BB143,BA143)&lt;-0.01),1,0)+'Responsibilities'!$B$40</f>
        <v/>
      </c>
      <c r="BL143" s="137">
        <f>SUMIFS('Production schedule'!$T$330:$T$437,'Production schedule'!$C$330:$C$437,30)</f>
        <v/>
      </c>
      <c r="BM143" s="137">
        <f>D143*'NM Play'!$B$38</f>
        <v/>
      </c>
      <c r="BN143" s="137">
        <f>SUMIFS('Production schedule'!$AM$330:$AM$437,'Production schedule'!$C$330:$C$437,30)</f>
        <v/>
      </c>
      <c r="BO143" s="137">
        <f>AK143-AK142-AJ143</f>
        <v/>
      </c>
      <c r="BP143" s="137">
        <f>IF(AND('Assumptions'!$B$39&gt;=0,'Assumptions'!$B$40&gt;0),-PMT('Assumptions'!$B$39/12,'Assumptions'!$B$40*12,IF('Funding'!$N$11&gt;0,'Funding'!$N$11,'Funding'!$U$11)),"")</f>
        <v/>
      </c>
      <c r="BQ143">
        <f>('Production schedule'!AJ359)*(1-'Responsibilities'!$C$6)+('Production schedule'!AJ395)*(1-'Responsibilities'!$C$7)+('Production schedule'!AJ431)*(1-'Responsibilities'!$C$8)</f>
        <v/>
      </c>
      <c r="BR143">
        <f>('Production schedule'!AI359)*(1-'Responsibilities'!$D$6)+('Production schedule'!AI395)*(1-'Responsibilities'!$D$7)+('Production schedule'!AI431)*(1-'Responsibilities'!$D$8)</f>
        <v/>
      </c>
      <c r="BS143">
        <f>('Production schedule'!E359*(IF('Sites'!D6="Annual staff",SUM('Assumptions'!AG112,'Assumptions'!AG114),0)+SUM('Assumptions'!AG113,'Assumptions'!AG115:AG116)))*(1-'Responsibilities'!$E$6)+('Production schedule'!E395*(IF('Sites'!D7="Annual staff",SUM('Assumptions'!AG117,'Assumptions'!AG119),0)+SUM('Assumptions'!AG118,'Assumptions'!AG120:AG121)))*(1-'Responsibilities'!$E$7)+('Production schedule'!E431*(IF('Sites'!D8="Annual staff",SUM('Assumptions'!AG122,'Assumptions'!AG124),0)+SUM('Assumptions'!AG123,'Assumptions'!AG125:AG126)))*(1-'Responsibilities'!$E$8)</f>
        <v/>
      </c>
      <c r="BT143">
        <f>(IF(AND('Production schedule'!E359=1,30=MAX(('Sites'!F6),25),ISNUMBER('Sites'!Q6)),'Sites'!Q6*'Assumptions'!$B$44,0))*(1-'Responsibilities'!$F$6)+(IF(AND('Production schedule'!E395=1,30=MAX(('Sites'!F7+'Cases'!G9),25),ISNUMBER('Sites'!Q7)),'Sites'!Q7*'Assumptions'!$B$44,0))*(1-'Responsibilities'!$F$7)+(IF(AND('Production schedule'!E431=1,30=MAX(('Sites'!F8+'Cases'!G9),25),ISNUMBER('Sites'!Q8)),'Sites'!Q8*'Assumptions'!$B$44,0))*(1-'Responsibilities'!$F$8)</f>
        <v/>
      </c>
      <c r="BU143">
        <f>SUM('Costs'!E36)*'Costs'!F36/12*(1-'Responsibilities'!$C$12)+SUM('Costs'!E37)*'Costs'!F37/12*(1-'Responsibilities'!$C$13)+SUM('Costs'!E38)*'Costs'!F38/12*(1-'Responsibilities'!$C$14)+SUM('Costs'!E39)*'Costs'!F39/12*(1-'Responsibilities'!$C$15)+SUM('Costs'!E40)*'Costs'!F40/12*(1-'Responsibilities'!$C$16)</f>
        <v/>
      </c>
      <c r="BV143">
        <f>('Sites'!E6*'Capital'!E6*(IF(30='Capital'!G6,'Capital'!F6,0)+IF(30='Capital'!H6,1-'Capital'!F6,0)))*(1-'Responsibilities'!$G$6)+('Sites'!E7*'Capital'!E7*(IF(30='Capital'!G7+'Cases'!G9,'Capital'!F7,0)+IF(30='Capital'!H7+'Cases'!G9,1-'Capital'!F7,0)))*(1-'Responsibilities'!$G$7)+('Sites'!E8*'Cases'!F9*'Capital'!E8*(IF(30='Capital'!G8+'Cases'!G9,'Capital'!F8,0)+IF(30='Capital'!H8+'Cases'!G9,1-'Capital'!F8,0)))*(1-'Responsibilities'!$G$8)</f>
        <v/>
      </c>
      <c r="BW143">
        <f>SUM(BQ143:BV143)</f>
        <v/>
      </c>
      <c r="BX143">
        <f>N143+BW143</f>
        <v/>
      </c>
      <c r="BY143">
        <f>BX143-(('Production schedule'!AJ359)*'Responsibilities'!$C$6+('Production schedule'!AJ395)*'Responsibilities'!$C$7+('Production schedule'!AJ431)*'Responsibilities'!$C$8+('Production schedule'!AJ359)*(1-'Responsibilities'!$C$6)+('Production schedule'!AJ395)*(1-'Responsibilities'!$C$7)+('Production schedule'!AJ431)*(1-'Responsibilities'!$C$8)+('Production schedule'!AI359)*'Responsibilities'!$D$6+('Production schedule'!AI395)*'Responsibilities'!$D$7+('Production schedule'!AI431)*'Responsibilities'!$D$8+('Production schedule'!AI359)*(1-'Responsibilities'!$D$6)+('Production schedule'!AI395)*(1-'Responsibilities'!$D$7)+('Production schedule'!AI431)*(1-'Responsibilities'!$D$8)+('Production schedule'!E359*(IF('Sites'!D6="Annual staff",SUM('Assumptions'!AG112,'Assumptions'!AG114),0)+SUM('Assumptions'!AG113,'Assumptions'!AG115:AG116)))*'Responsibilities'!$E$6+('Production schedule'!E395*(IF('Sites'!D7="Annual staff",SUM('Assumptions'!AG117,'Assumptions'!AG119),0)+SUM('Assumptions'!AG118,'Assumptions'!AG120:AG121)))*'Responsibilities'!$E$7+('Production schedule'!E431*(IF('Sites'!D8="Annual staff",SUM('Assumptions'!AG122,'Assumptions'!AG124),0)+SUM('Assumptions'!AG123,'Assumptions'!AG125:AG126)))*'Responsibilities'!$E$8+('Production schedule'!E359*(IF('Sites'!D6="Annual staff",SUM('Assumptions'!AG112,'Assumptions'!AG114),0)+SUM('Assumptions'!AG113,'Assumptions'!AG115:AG116)))*(1-'Responsibilities'!$E$6)+('Production schedule'!E395*(IF('Sites'!D7="Annual staff",SUM('Assumptions'!AG117,'Assumptions'!AG119),0)+SUM('Assumptions'!AG118,'Assumptions'!AG120:AG121)))*(1-'Responsibilities'!$E$7)+('Production schedule'!E431*(IF('Sites'!D8="Annual staff",SUM('Assumptions'!AG122,'Assumptions'!AG124),0)+SUM('Assumptions'!AG123,'Assumptions'!AG125:AG126)))*(1-'Responsibilities'!$E$8)+(IF(AND('Production schedule'!E359=1,30=MAX(('Sites'!F6),25),ISNUMBER('Sites'!Q6)),'Sites'!Q6*'Assumptions'!$B$44,0))*'Responsibilities'!$F$6+(IF(AND('Production schedule'!E395=1,30=MAX(('Sites'!F7+'Cases'!G9),25),ISNUMBER('Sites'!Q7)),'Sites'!Q7*'Assumptions'!$B$44,0))*'Responsibilities'!$F$7+(IF(AND('Production schedule'!E431=1,30=MAX(('Sites'!F8+'Cases'!G9),25),ISNUMBER('Sites'!Q8)),'Sites'!Q8*'Assumptions'!$B$44,0))*'Responsibilities'!$F$8+(IF(AND('Production schedule'!E359=1,30=MAX(('Sites'!F6),25),ISNUMBER('Sites'!Q6)),'Sites'!Q6*'Assumptions'!$B$44,0))*(1-'Responsibilities'!$F$6)+(IF(AND('Production schedule'!E395=1,30=MAX(('Sites'!F7+'Cases'!G9),25),ISNUMBER('Sites'!Q7)),'Sites'!Q7*'Assumptions'!$B$44,0))*(1-'Responsibilities'!$F$7)+(IF(AND('Production schedule'!E431=1,30=MAX(('Sites'!F8+'Cases'!G9),25),ISNUMBER('Sites'!Q8)),'Sites'!Q8*'Assumptions'!$B$44,0))*(1-'Responsibilities'!$F$8)+('Sites'!E6*'Capital'!E6*(IF(30='Capital'!G6,'Capital'!F6,0)+IF(30='Capital'!H6,1-'Capital'!F6,0)))*'Responsibilities'!$G$6+('Sites'!E7*'Capital'!E7*(IF(30='Capital'!G7+'Cases'!G9,'Capital'!F7,0)+IF(30='Capital'!H7+'Cases'!G9,1-'Capital'!F7,0)))*'Responsibilities'!$G$7+('Sites'!E8*'Cases'!F9*'Capital'!E8*(IF(30='Capital'!G8+'Cases'!G9,'Capital'!F8,0)+IF(30='Capital'!H8+'Cases'!G9,1-'Capital'!F8,0)))*'Responsibilities'!$G$8+('Sites'!E6*'Capital'!E6*(IF(30='Capital'!G6,'Capital'!F6,0)+IF(30='Capital'!H6,1-'Capital'!F6,0)))*(1-'Responsibilities'!$G$6)+('Sites'!E7*'Capital'!E7*(IF(30='Capital'!G7+'Cases'!G9,'Capital'!F7,0)+IF(30='Capital'!H7+'Cases'!G9,1-'Capital'!F7,0)))*(1-'Responsibilities'!$G$7)+('Sites'!E8*'Cases'!F9*'Capital'!E8*(IF(30='Capital'!G8+'Cases'!G9,'Capital'!F8,0)+IF(30='Capital'!H8+'Cases'!G9,1-'Capital'!F8,0)))*(1-'Responsibilities'!$G$8)+I143+SUMPRODUCT('Costs'!$E$36:$E$40,'Costs'!$F$36:$F$40)/12+BZ143)</f>
        <v/>
      </c>
      <c r="BZ143">
        <f>SUMIFS('Responsibilities'!$B$31:$B$35,'Responsibilities'!$C$31:$C$35,30,'Responsibilities'!$D$31:$D$35,"Yes")</f>
        <v/>
      </c>
    </row>
    <row r="144" ht="28" customHeight="1">
      <c r="A144" s="4" t="inlineStr">
        <is>
          <t>Delayed receipts</t>
        </is>
      </c>
      <c r="B144" s="4" t="n">
        <v>31</v>
      </c>
      <c r="C144" s="4">
        <f>ROUNDUP(B144/12,0)</f>
        <v/>
      </c>
      <c r="D144" s="137">
        <f>SUMIFS('Production schedule'!$N$330:$N$437,'Production schedule'!$C$330:$C$437,31)</f>
        <v/>
      </c>
      <c r="E144" s="137">
        <f>SUMIFS('Production schedule'!$Y$330:$Y$437,'Production schedule'!$C$330:$C$437,31)</f>
        <v/>
      </c>
      <c r="F144" s="137">
        <f>SUMIFS('Production schedule'!$Z$330:$Z$437,'Production schedule'!$C$330:$C$437,31)</f>
        <v/>
      </c>
      <c r="G144" s="137">
        <f>('Production schedule'!AJ360)*'Responsibilities'!$C$6+('Production schedule'!AJ396)*'Responsibilities'!$C$7+('Production schedule'!AJ432)*'Responsibilities'!$C$8</f>
        <v/>
      </c>
      <c r="H144" s="137">
        <f>('Production schedule'!AI360)*'Responsibilities'!$D$6+('Production schedule'!AI396)*'Responsibilities'!$D$7+('Production schedule'!AI432)*'Responsibilities'!$D$8</f>
        <v/>
      </c>
      <c r="I144" s="137">
        <f>SUM('Assumptions'!AH58:AH65)</f>
        <v/>
      </c>
      <c r="J144" s="137">
        <f>('Production schedule'!E360*(IF('Sites'!D6="Annual staff",SUM('Assumptions'!AH112,'Assumptions'!AH114),0)+SUM('Assumptions'!AH113,'Assumptions'!AH115:AH116)))*'Responsibilities'!$E$6+('Production schedule'!E396*(IF('Sites'!D7="Annual staff",SUM('Assumptions'!AH117,'Assumptions'!AH119),0)+SUM('Assumptions'!AH118,'Assumptions'!AH120:AH121)))*'Responsibilities'!$E$7+('Production schedule'!E432*(IF('Sites'!D8="Annual staff",SUM('Assumptions'!AH122,'Assumptions'!AH124),0)+SUM('Assumptions'!AH123,'Assumptions'!AH125:AH126)))*'Responsibilities'!$E$8</f>
        <v/>
      </c>
      <c r="K144" s="137">
        <f>(IF(AND('Production schedule'!E360=1,31=MAX(('Sites'!F6),25),ISNUMBER('Sites'!Q6)),'Sites'!Q6*'Assumptions'!$B$44,0))*'Responsibilities'!$F$6+(IF(AND('Production schedule'!E396=1,31=MAX(('Sites'!F7+'Cases'!G9),25),ISNUMBER('Sites'!Q7)),'Sites'!Q7*'Assumptions'!$B$44,0))*'Responsibilities'!$F$7+(IF(AND('Production schedule'!E432=1,31=MAX(('Sites'!F8+'Cases'!G9),25),ISNUMBER('Sites'!Q8)),'Sites'!Q8*'Assumptions'!$B$44,0))*'Responsibilities'!$F$8</f>
        <v/>
      </c>
      <c r="L144" s="137">
        <f>SUM('Costs'!E36)*'Costs'!F36/12*'Responsibilities'!$C$12+SUM('Costs'!E37)*'Costs'!F37/12*'Responsibilities'!$C$13+SUM('Costs'!E38)*'Costs'!F38/12*'Responsibilities'!$C$14+SUM('Costs'!E39)*'Costs'!F39/12*'Responsibilities'!$C$15+SUM('Costs'!E40)*'Costs'!F40/12*'Responsibilities'!$C$16+BZ144</f>
        <v/>
      </c>
      <c r="M144" s="137">
        <f>('Sites'!E6*'Capital'!E6*(IF(31='Capital'!G6,'Capital'!F6,0)+IF(31='Capital'!H6,1-'Capital'!F6,0)))*'Responsibilities'!$G$6+('Sites'!E7*'Capital'!E7*(IF(31='Capital'!G7+'Cases'!G9,'Capital'!F7,0)+IF(31='Capital'!H7+'Cases'!G9,1-'Capital'!F7,0)))*'Responsibilities'!$G$7+('Sites'!E8*'Cases'!F9*'Capital'!E8*(IF(31='Capital'!G8+'Cases'!G9,'Capital'!F8,0)+IF(31='Capital'!H8+'Cases'!G9,1-'Capital'!F8,0)))*'Responsibilities'!$G$8</f>
        <v/>
      </c>
      <c r="N144" s="137">
        <f>SUM(G144:M144)</f>
        <v/>
      </c>
      <c r="O144" s="137">
        <f>SUMIFS(FundingTranches[Secured amount],FundingTranches[Instrument],"Grant",FundingTranches[Secured month],31)</f>
        <v/>
      </c>
      <c r="P144" s="137">
        <f>SUMIFS(FundingTranches[Delayed receipts possible],FundingTranches[Instrument],"Grant",FundingTranches[Scenario month],31-'Cases'!$D$9)</f>
        <v/>
      </c>
      <c r="Q144" s="137">
        <f>SUMIFS(FundingTranches[Secured amount],FundingTranches[Instrument],"Loan",FundingTranches[Secured month],31)</f>
        <v/>
      </c>
      <c r="R144" s="137">
        <f>SUMIFS(FundingTranches[Delayed receipts possible],FundingTranches[Instrument],"Loan",FundingTranches[Scenario month],31-'Cases'!$D$9)</f>
        <v/>
      </c>
      <c r="S144" s="137">
        <f>IF(31&lt;='Assumptions'!$B$34,0,SUMIFS('Production schedule'!$AL$330:$AL$437,'Production schedule'!$C$330:$C$437,31-'Assumptions'!$B$34))</f>
        <v/>
      </c>
      <c r="T144" s="137">
        <f>'Assumptions'!AH70</f>
        <v/>
      </c>
      <c r="U144" s="137">
        <f>'Assumptions'!AH78</f>
        <v/>
      </c>
      <c r="V144" s="137">
        <f>SUM(O144:U144)</f>
        <v/>
      </c>
      <c r="W144" s="137">
        <f>AA143</f>
        <v/>
      </c>
      <c r="X144" s="137">
        <f>SUM(Q144:R144)</f>
        <v/>
      </c>
      <c r="Y144" s="137">
        <f>SUM(W144,X144)*'Assumptions'!$B$39/12</f>
        <v/>
      </c>
      <c r="Z144" s="137">
        <f>IF(SUM(W144,X144)&gt;0,MIN(SUM(W144,X144),MAX(0,BP144-Y144)),0)</f>
        <v/>
      </c>
      <c r="AA144" s="137">
        <f>SUM(W144,X144)-Z144</f>
        <v/>
      </c>
      <c r="AB144" s="137">
        <f>SUM(Y144:Z144)</f>
        <v/>
      </c>
      <c r="AC144" s="137">
        <f>'Assumptions'!AH72</f>
        <v/>
      </c>
      <c r="AD144" s="137">
        <f>'Assumptions'!AH73</f>
        <v/>
      </c>
      <c r="AE144" s="137">
        <f>IF(X144&gt;0,SUM('Assumptions'!$B$42),0)</f>
        <v/>
      </c>
      <c r="AF144" s="137">
        <f>'Assumptions'!AH71</f>
        <v/>
      </c>
      <c r="AG144" s="137">
        <f>'Assumptions'!AH74</f>
        <v/>
      </c>
      <c r="AH144" s="137">
        <f>'Assumptions'!AH75</f>
        <v/>
      </c>
      <c r="AI144" s="137">
        <f>'Assumptions'!AH77</f>
        <v/>
      </c>
      <c r="AJ144" s="137">
        <f>V144-N144-SUM(AB144:AI144)</f>
        <v/>
      </c>
      <c r="AK144" s="137">
        <f>SUM(AJ114:AJ144)</f>
        <v/>
      </c>
      <c r="AL144" s="137">
        <f>IF(ISNUMBER('Assumptions'!$B$10),'Assumptions'!$B$10+AK144,"")</f>
        <v/>
      </c>
      <c r="AM144" s="137">
        <f>SUM(O144,Q144,T144)-N144-SUM(AC144:AI144)+IF('Funding'!$N$11=0,AE144,0)-IF('Funding'!$N$11&gt;0,AB144,0)</f>
        <v/>
      </c>
      <c r="AN144" s="137">
        <f>SUM(AM114:AM144)</f>
        <v/>
      </c>
      <c r="AO144" s="137">
        <f>IF(ISNUMBER('Assumptions'!$B$10),'Assumptions'!$B$10+AN144,"")</f>
        <v/>
      </c>
      <c r="AP144" s="137">
        <f>('Production schedule'!AK360)*'Responsibilities'!$C$6+('Production schedule'!AK396)*'Responsibilities'!$C$7+('Production schedule'!AK432)*'Responsibilities'!$C$8</f>
        <v/>
      </c>
      <c r="AQ144" s="137">
        <f>SUMIFS('Production schedule'!$AL$330:$AL$437,'Production schedule'!$C$330:$C$437,31)</f>
        <v/>
      </c>
      <c r="AR144" s="137">
        <f>IF(ISNUMBER('Assumptions'!AH76),'Assumptions'!AH76,SUM(O144:P144))</f>
        <v/>
      </c>
      <c r="AS144" s="137">
        <f>IF(ISNUMBER('Assumptions'!$B$13),MIN('Assumptions'!$B$13/'Assumptions'!$B$18/12,MAX(0,'Assumptions'!$B$13-(31-1)*'Assumptions'!$B$13/'Assumptions'!$B$18/12)),0)+IF(AND('Sites'!E6=1,31&gt;=('Sites'!F6),31&lt;('Sites'!F6)+'Assumptions'!$B$18*12),'Capital'!E6/'Assumptions'!$B$18/12,0)+IF(AND('Sites'!E7=1,31&gt;=('Sites'!F7+'Cases'!G9),31&lt;('Sites'!F7+'Cases'!G9)+'Assumptions'!$B$18*12),'Capital'!E7/'Assumptions'!$B$18/12,0)+IF(AND('Sites'!E8*'Cases'!F9=1,31&gt;=('Sites'!F8+'Cases'!G9),31&lt;('Sites'!F8+'Cases'!G9)+'Assumptions'!$B$18*12),'Capital'!E8/'Assumptions'!$B$18/12,0)</f>
        <v/>
      </c>
      <c r="AT144" s="137">
        <f>SUM(AQ144,AR144,U144)-AP144-SUM(H144:L144)-AS144-SUM(Y144,AD144,AE144,AH144)</f>
        <v/>
      </c>
      <c r="AU144" s="137">
        <f>IF(ISNUMBER('Assumptions'!$B$19),MAX(0,SUM(AT138:AT144))*'Assumptions'!$B$19-SUM(AU138:AU143),"")</f>
        <v/>
      </c>
      <c r="AV144" s="137">
        <f>IF(ISNUMBER(AU144),AT144-AU144,"")</f>
        <v/>
      </c>
      <c r="AW144" s="137">
        <f>IF(ISNUMBER('Assumptions'!$B$11),'Assumptions'!$B$11+SUM(AQ114:AQ144)-SUM(S114:S144)-SUM(T114:T144),"")</f>
        <v/>
      </c>
      <c r="AX144" s="137">
        <f>IF(ISNUMBER('Assumptions'!$B$12),'Assumptions'!$B$12+SUM(G114:G144)-SUM(AP114:AP144),"")</f>
        <v/>
      </c>
      <c r="AY144" s="137">
        <f>IF(ISNUMBER('Assumptions'!$B$13),'Assumptions'!$B$13+SUM(M114:M144)-SUM(AS114:AS144),"")</f>
        <v/>
      </c>
      <c r="AZ144" s="137">
        <f>IF(ISNUMBER('Assumptions'!$B$14),'Assumptions'!$B$14+-SUM(AF114:AF144),"")</f>
        <v/>
      </c>
      <c r="BA144" s="137">
        <f>IF(ISNUMBER('Assumptions'!$B$15),'Assumptions'!$B$15+SUM(O114:O144)+SUM(P114:P144)-SUM(AR114:AR144),"")</f>
        <v/>
      </c>
      <c r="BB144" s="137">
        <f>IF(ISNUMBER('Assumptions'!$B$16),'Assumptions'!$B$16+-SUM(AC114:AC144),"")</f>
        <v/>
      </c>
      <c r="BC144" s="137">
        <f>IF(AND(ISNUMBER('Assumptions'!$B$21),ISNUMBER('Assumptions'!$B$19)),'Assumptions'!$B$21+SUM(AU114:AU144)-SUM(AG114:AG144),"")</f>
        <v/>
      </c>
      <c r="BD144" s="137">
        <f>IF(ISNUMBER('Assumptions'!$B$20),'Assumptions'!$B$20+-SUM(AI114:AI144),"")</f>
        <v/>
      </c>
      <c r="BE144" s="137">
        <f>IF(AND(ISNUMBER('Assumptions'!$B$17),COUNT(AV114:AV144)=31),'Assumptions'!$B$17+SUM(AV114:AV144),"")</f>
        <v/>
      </c>
      <c r="BF144" s="137">
        <f>IF(COUNT(AL144,AW144:AY144)=4,SUM(AL144,AW144:AY144),"")</f>
        <v/>
      </c>
      <c r="BG144" s="137">
        <f>IF(COUNT(AZ144:BD144)=5,SUM(AZ144:BD144,AA144),"")</f>
        <v/>
      </c>
      <c r="BH144" s="137">
        <f>IF(COUNT(BF144,BG144,BE144)=3,BF144-BG144-BE144,"")</f>
        <v/>
      </c>
      <c r="BI144" s="137">
        <f>SUM(W144,X144)-Z144-AA144</f>
        <v/>
      </c>
      <c r="BJ144" s="137">
        <f>8-COUNT('Assumptions'!AH58:AH65)+COUNTBLANK('NM Play'!B33:B34)+'Costs'!E44+IF(AND('Sites'!E6=1,('Sites'!F6)&lt;=36,'Sites'!G6&gt;=25),IF(ISNUMBER('Sites'!Q6),0,1)+'Capital'!I6+COUNTBLANK('Sites'!R6)+IF('Sites'!D6="NM crew",COUNTBLANK('NM Play'!B25)+1,5-COUNT('Assumptions'!AH112:AH116)),0)+IF(AND('Sites'!E7=1,('Sites'!F7+'Cases'!G9)&lt;=36,'Sites'!G7&gt;=25),IF(ISNUMBER('Sites'!Q7),0,1)+'Capital'!I7+COUNTBLANK('Sites'!R7)+IF('Sites'!D7="NM crew",COUNTBLANK('NM Play'!B25)+1,5-COUNT('Assumptions'!AH117:AH121)),0)+IF(AND('Sites'!E8*'Cases'!F9=1,('Sites'!F8+'Cases'!G9)&lt;=36,'Sites'!G8&gt;=25),IF(ISNUMBER('Sites'!Q8),0,1)+'Capital'!I8+COUNTBLANK('Sites'!R8)+IF('Sites'!D8="NM crew",COUNTBLANK('NM Play'!B25)+1,5-COUNT('Assumptions'!AH122:AH126)),0)+IF(AND('Cases'!C9&gt;0,NOT(ISNUMBER('Assumptions'!B42))),1,0)+'Responsibilities'!$B$39</f>
        <v/>
      </c>
      <c r="BK144" s="137">
        <f>'Assumptions'!$B$50+'NM Play'!$B$83+'Funding'!$F$20+SUMIFS('Production schedule'!$AN$330:$AN$437,'Production schedule'!$C$330:$C$437,31)+IF(OR('Cases'!E9&lt;0,'Cases'!E9&gt;1,'Cases'!C9&lt;0,'Cases'!D9&lt;0,ABS(SUM('Sites'!S6:S8)-1)&gt;0.0001,MIN('Capital'!F6:F8)&lt;0,MAX('Capital'!F6:F8)&gt;1,MIN(AX144,AZ144,BB144,BA144)&lt;-0.01),1,0)+'Responsibilities'!$B$40</f>
        <v/>
      </c>
      <c r="BL144" s="137">
        <f>SUMIFS('Production schedule'!$T$330:$T$437,'Production schedule'!$C$330:$C$437,31)</f>
        <v/>
      </c>
      <c r="BM144" s="137">
        <f>D144*'NM Play'!$B$38</f>
        <v/>
      </c>
      <c r="BN144" s="137">
        <f>SUMIFS('Production schedule'!$AM$330:$AM$437,'Production schedule'!$C$330:$C$437,31)</f>
        <v/>
      </c>
      <c r="BO144" s="137">
        <f>AK144-AK143-AJ144</f>
        <v/>
      </c>
      <c r="BP144" s="137">
        <f>IF(AND('Assumptions'!$B$39&gt;=0,'Assumptions'!$B$40&gt;0),-PMT('Assumptions'!$B$39/12,'Assumptions'!$B$40*12,IF('Funding'!$N$11&gt;0,'Funding'!$N$11,'Funding'!$U$11)),"")</f>
        <v/>
      </c>
      <c r="BQ144">
        <f>('Production schedule'!AJ360)*(1-'Responsibilities'!$C$6)+('Production schedule'!AJ396)*(1-'Responsibilities'!$C$7)+('Production schedule'!AJ432)*(1-'Responsibilities'!$C$8)</f>
        <v/>
      </c>
      <c r="BR144">
        <f>('Production schedule'!AI360)*(1-'Responsibilities'!$D$6)+('Production schedule'!AI396)*(1-'Responsibilities'!$D$7)+('Production schedule'!AI432)*(1-'Responsibilities'!$D$8)</f>
        <v/>
      </c>
      <c r="BS144">
        <f>('Production schedule'!E360*(IF('Sites'!D6="Annual staff",SUM('Assumptions'!AH112,'Assumptions'!AH114),0)+SUM('Assumptions'!AH113,'Assumptions'!AH115:AH116)))*(1-'Responsibilities'!$E$6)+('Production schedule'!E396*(IF('Sites'!D7="Annual staff",SUM('Assumptions'!AH117,'Assumptions'!AH119),0)+SUM('Assumptions'!AH118,'Assumptions'!AH120:AH121)))*(1-'Responsibilities'!$E$7)+('Production schedule'!E432*(IF('Sites'!D8="Annual staff",SUM('Assumptions'!AH122,'Assumptions'!AH124),0)+SUM('Assumptions'!AH123,'Assumptions'!AH125:AH126)))*(1-'Responsibilities'!$E$8)</f>
        <v/>
      </c>
      <c r="BT144">
        <f>(IF(AND('Production schedule'!E360=1,31=MAX(('Sites'!F6),25),ISNUMBER('Sites'!Q6)),'Sites'!Q6*'Assumptions'!$B$44,0))*(1-'Responsibilities'!$F$6)+(IF(AND('Production schedule'!E396=1,31=MAX(('Sites'!F7+'Cases'!G9),25),ISNUMBER('Sites'!Q7)),'Sites'!Q7*'Assumptions'!$B$44,0))*(1-'Responsibilities'!$F$7)+(IF(AND('Production schedule'!E432=1,31=MAX(('Sites'!F8+'Cases'!G9),25),ISNUMBER('Sites'!Q8)),'Sites'!Q8*'Assumptions'!$B$44,0))*(1-'Responsibilities'!$F$8)</f>
        <v/>
      </c>
      <c r="BU144">
        <f>SUM('Costs'!E36)*'Costs'!F36/12*(1-'Responsibilities'!$C$12)+SUM('Costs'!E37)*'Costs'!F37/12*(1-'Responsibilities'!$C$13)+SUM('Costs'!E38)*'Costs'!F38/12*(1-'Responsibilities'!$C$14)+SUM('Costs'!E39)*'Costs'!F39/12*(1-'Responsibilities'!$C$15)+SUM('Costs'!E40)*'Costs'!F40/12*(1-'Responsibilities'!$C$16)</f>
        <v/>
      </c>
      <c r="BV144">
        <f>('Sites'!E6*'Capital'!E6*(IF(31='Capital'!G6,'Capital'!F6,0)+IF(31='Capital'!H6,1-'Capital'!F6,0)))*(1-'Responsibilities'!$G$6)+('Sites'!E7*'Capital'!E7*(IF(31='Capital'!G7+'Cases'!G9,'Capital'!F7,0)+IF(31='Capital'!H7+'Cases'!G9,1-'Capital'!F7,0)))*(1-'Responsibilities'!$G$7)+('Sites'!E8*'Cases'!F9*'Capital'!E8*(IF(31='Capital'!G8+'Cases'!G9,'Capital'!F8,0)+IF(31='Capital'!H8+'Cases'!G9,1-'Capital'!F8,0)))*(1-'Responsibilities'!$G$8)</f>
        <v/>
      </c>
      <c r="BW144">
        <f>SUM(BQ144:BV144)</f>
        <v/>
      </c>
      <c r="BX144">
        <f>N144+BW144</f>
        <v/>
      </c>
      <c r="BY144">
        <f>BX144-(('Production schedule'!AJ360)*'Responsibilities'!$C$6+('Production schedule'!AJ396)*'Responsibilities'!$C$7+('Production schedule'!AJ432)*'Responsibilities'!$C$8+('Production schedule'!AJ360)*(1-'Responsibilities'!$C$6)+('Production schedule'!AJ396)*(1-'Responsibilities'!$C$7)+('Production schedule'!AJ432)*(1-'Responsibilities'!$C$8)+('Production schedule'!AI360)*'Responsibilities'!$D$6+('Production schedule'!AI396)*'Responsibilities'!$D$7+('Production schedule'!AI432)*'Responsibilities'!$D$8+('Production schedule'!AI360)*(1-'Responsibilities'!$D$6)+('Production schedule'!AI396)*(1-'Responsibilities'!$D$7)+('Production schedule'!AI432)*(1-'Responsibilities'!$D$8)+('Production schedule'!E360*(IF('Sites'!D6="Annual staff",SUM('Assumptions'!AH112,'Assumptions'!AH114),0)+SUM('Assumptions'!AH113,'Assumptions'!AH115:AH116)))*'Responsibilities'!$E$6+('Production schedule'!E396*(IF('Sites'!D7="Annual staff",SUM('Assumptions'!AH117,'Assumptions'!AH119),0)+SUM('Assumptions'!AH118,'Assumptions'!AH120:AH121)))*'Responsibilities'!$E$7+('Production schedule'!E432*(IF('Sites'!D8="Annual staff",SUM('Assumptions'!AH122,'Assumptions'!AH124),0)+SUM('Assumptions'!AH123,'Assumptions'!AH125:AH126)))*'Responsibilities'!$E$8+('Production schedule'!E360*(IF('Sites'!D6="Annual staff",SUM('Assumptions'!AH112,'Assumptions'!AH114),0)+SUM('Assumptions'!AH113,'Assumptions'!AH115:AH116)))*(1-'Responsibilities'!$E$6)+('Production schedule'!E396*(IF('Sites'!D7="Annual staff",SUM('Assumptions'!AH117,'Assumptions'!AH119),0)+SUM('Assumptions'!AH118,'Assumptions'!AH120:AH121)))*(1-'Responsibilities'!$E$7)+('Production schedule'!E432*(IF('Sites'!D8="Annual staff",SUM('Assumptions'!AH122,'Assumptions'!AH124),0)+SUM('Assumptions'!AH123,'Assumptions'!AH125:AH126)))*(1-'Responsibilities'!$E$8)+(IF(AND('Production schedule'!E360=1,31=MAX(('Sites'!F6),25),ISNUMBER('Sites'!Q6)),'Sites'!Q6*'Assumptions'!$B$44,0))*'Responsibilities'!$F$6+(IF(AND('Production schedule'!E396=1,31=MAX(('Sites'!F7+'Cases'!G9),25),ISNUMBER('Sites'!Q7)),'Sites'!Q7*'Assumptions'!$B$44,0))*'Responsibilities'!$F$7+(IF(AND('Production schedule'!E432=1,31=MAX(('Sites'!F8+'Cases'!G9),25),ISNUMBER('Sites'!Q8)),'Sites'!Q8*'Assumptions'!$B$44,0))*'Responsibilities'!$F$8+(IF(AND('Production schedule'!E360=1,31=MAX(('Sites'!F6),25),ISNUMBER('Sites'!Q6)),'Sites'!Q6*'Assumptions'!$B$44,0))*(1-'Responsibilities'!$F$6)+(IF(AND('Production schedule'!E396=1,31=MAX(('Sites'!F7+'Cases'!G9),25),ISNUMBER('Sites'!Q7)),'Sites'!Q7*'Assumptions'!$B$44,0))*(1-'Responsibilities'!$F$7)+(IF(AND('Production schedule'!E432=1,31=MAX(('Sites'!F8+'Cases'!G9),25),ISNUMBER('Sites'!Q8)),'Sites'!Q8*'Assumptions'!$B$44,0))*(1-'Responsibilities'!$F$8)+('Sites'!E6*'Capital'!E6*(IF(31='Capital'!G6,'Capital'!F6,0)+IF(31='Capital'!H6,1-'Capital'!F6,0)))*'Responsibilities'!$G$6+('Sites'!E7*'Capital'!E7*(IF(31='Capital'!G7+'Cases'!G9,'Capital'!F7,0)+IF(31='Capital'!H7+'Cases'!G9,1-'Capital'!F7,0)))*'Responsibilities'!$G$7+('Sites'!E8*'Cases'!F9*'Capital'!E8*(IF(31='Capital'!G8+'Cases'!G9,'Capital'!F8,0)+IF(31='Capital'!H8+'Cases'!G9,1-'Capital'!F8,0)))*'Responsibilities'!$G$8+('Sites'!E6*'Capital'!E6*(IF(31='Capital'!G6,'Capital'!F6,0)+IF(31='Capital'!H6,1-'Capital'!F6,0)))*(1-'Responsibilities'!$G$6)+('Sites'!E7*'Capital'!E7*(IF(31='Capital'!G7+'Cases'!G9,'Capital'!F7,0)+IF(31='Capital'!H7+'Cases'!G9,1-'Capital'!F7,0)))*(1-'Responsibilities'!$G$7)+('Sites'!E8*'Cases'!F9*'Capital'!E8*(IF(31='Capital'!G8+'Cases'!G9,'Capital'!F8,0)+IF(31='Capital'!H8+'Cases'!G9,1-'Capital'!F8,0)))*(1-'Responsibilities'!$G$8)+I144+SUMPRODUCT('Costs'!$E$36:$E$40,'Costs'!$F$36:$F$40)/12+BZ144)</f>
        <v/>
      </c>
      <c r="BZ144">
        <f>SUMIFS('Responsibilities'!$B$31:$B$35,'Responsibilities'!$C$31:$C$35,31,'Responsibilities'!$D$31:$D$35,"Yes")</f>
        <v/>
      </c>
    </row>
    <row r="145" ht="28" customHeight="1">
      <c r="A145" s="4" t="inlineStr">
        <is>
          <t>Delayed receipts</t>
        </is>
      </c>
      <c r="B145" s="4" t="n">
        <v>32</v>
      </c>
      <c r="C145" s="4">
        <f>ROUNDUP(B145/12,0)</f>
        <v/>
      </c>
      <c r="D145" s="137">
        <f>SUMIFS('Production schedule'!$N$330:$N$437,'Production schedule'!$C$330:$C$437,32)</f>
        <v/>
      </c>
      <c r="E145" s="137">
        <f>SUMIFS('Production schedule'!$Y$330:$Y$437,'Production schedule'!$C$330:$C$437,32)</f>
        <v/>
      </c>
      <c r="F145" s="137">
        <f>SUMIFS('Production schedule'!$Z$330:$Z$437,'Production schedule'!$C$330:$C$437,32)</f>
        <v/>
      </c>
      <c r="G145" s="137">
        <f>('Production schedule'!AJ361)*'Responsibilities'!$C$6+('Production schedule'!AJ397)*'Responsibilities'!$C$7+('Production schedule'!AJ433)*'Responsibilities'!$C$8</f>
        <v/>
      </c>
      <c r="H145" s="137">
        <f>('Production schedule'!AI361)*'Responsibilities'!$D$6+('Production schedule'!AI397)*'Responsibilities'!$D$7+('Production schedule'!AI433)*'Responsibilities'!$D$8</f>
        <v/>
      </c>
      <c r="I145" s="137">
        <f>SUM('Assumptions'!AI58:AI65)</f>
        <v/>
      </c>
      <c r="J145" s="137">
        <f>('Production schedule'!E361*(IF('Sites'!D6="Annual staff",SUM('Assumptions'!AI112,'Assumptions'!AI114),0)+SUM('Assumptions'!AI113,'Assumptions'!AI115:AI116)))*'Responsibilities'!$E$6+('Production schedule'!E397*(IF('Sites'!D7="Annual staff",SUM('Assumptions'!AI117,'Assumptions'!AI119),0)+SUM('Assumptions'!AI118,'Assumptions'!AI120:AI121)))*'Responsibilities'!$E$7+('Production schedule'!E433*(IF('Sites'!D8="Annual staff",SUM('Assumptions'!AI122,'Assumptions'!AI124),0)+SUM('Assumptions'!AI123,'Assumptions'!AI125:AI126)))*'Responsibilities'!$E$8</f>
        <v/>
      </c>
      <c r="K145" s="137">
        <f>(IF(AND('Production schedule'!E361=1,32=MAX(('Sites'!F6),25),ISNUMBER('Sites'!Q6)),'Sites'!Q6*'Assumptions'!$B$44,0))*'Responsibilities'!$F$6+(IF(AND('Production schedule'!E397=1,32=MAX(('Sites'!F7+'Cases'!G9),25),ISNUMBER('Sites'!Q7)),'Sites'!Q7*'Assumptions'!$B$44,0))*'Responsibilities'!$F$7+(IF(AND('Production schedule'!E433=1,32=MAX(('Sites'!F8+'Cases'!G9),25),ISNUMBER('Sites'!Q8)),'Sites'!Q8*'Assumptions'!$B$44,0))*'Responsibilities'!$F$8</f>
        <v/>
      </c>
      <c r="L145" s="137">
        <f>SUM('Costs'!E36)*'Costs'!F36/12*'Responsibilities'!$C$12+SUM('Costs'!E37)*'Costs'!F37/12*'Responsibilities'!$C$13+SUM('Costs'!E38)*'Costs'!F38/12*'Responsibilities'!$C$14+SUM('Costs'!E39)*'Costs'!F39/12*'Responsibilities'!$C$15+SUM('Costs'!E40)*'Costs'!F40/12*'Responsibilities'!$C$16+BZ145</f>
        <v/>
      </c>
      <c r="M145" s="137">
        <f>('Sites'!E6*'Capital'!E6*(IF(32='Capital'!G6,'Capital'!F6,0)+IF(32='Capital'!H6,1-'Capital'!F6,0)))*'Responsibilities'!$G$6+('Sites'!E7*'Capital'!E7*(IF(32='Capital'!G7+'Cases'!G9,'Capital'!F7,0)+IF(32='Capital'!H7+'Cases'!G9,1-'Capital'!F7,0)))*'Responsibilities'!$G$7+('Sites'!E8*'Cases'!F9*'Capital'!E8*(IF(32='Capital'!G8+'Cases'!G9,'Capital'!F8,0)+IF(32='Capital'!H8+'Cases'!G9,1-'Capital'!F8,0)))*'Responsibilities'!$G$8</f>
        <v/>
      </c>
      <c r="N145" s="137">
        <f>SUM(G145:M145)</f>
        <v/>
      </c>
      <c r="O145" s="137">
        <f>SUMIFS(FundingTranches[Secured amount],FundingTranches[Instrument],"Grant",FundingTranches[Secured month],32)</f>
        <v/>
      </c>
      <c r="P145" s="137">
        <f>SUMIFS(FundingTranches[Delayed receipts possible],FundingTranches[Instrument],"Grant",FundingTranches[Scenario month],32-'Cases'!$D$9)</f>
        <v/>
      </c>
      <c r="Q145" s="137">
        <f>SUMIFS(FundingTranches[Secured amount],FundingTranches[Instrument],"Loan",FundingTranches[Secured month],32)</f>
        <v/>
      </c>
      <c r="R145" s="137">
        <f>SUMIFS(FundingTranches[Delayed receipts possible],FundingTranches[Instrument],"Loan",FundingTranches[Scenario month],32-'Cases'!$D$9)</f>
        <v/>
      </c>
      <c r="S145" s="137">
        <f>IF(32&lt;='Assumptions'!$B$34,0,SUMIFS('Production schedule'!$AL$330:$AL$437,'Production schedule'!$C$330:$C$437,32-'Assumptions'!$B$34))</f>
        <v/>
      </c>
      <c r="T145" s="137">
        <f>'Assumptions'!AI70</f>
        <v/>
      </c>
      <c r="U145" s="137">
        <f>'Assumptions'!AI78</f>
        <v/>
      </c>
      <c r="V145" s="137">
        <f>SUM(O145:U145)</f>
        <v/>
      </c>
      <c r="W145" s="137">
        <f>AA144</f>
        <v/>
      </c>
      <c r="X145" s="137">
        <f>SUM(Q145:R145)</f>
        <v/>
      </c>
      <c r="Y145" s="137">
        <f>SUM(W145,X145)*'Assumptions'!$B$39/12</f>
        <v/>
      </c>
      <c r="Z145" s="137">
        <f>IF(SUM(W145,X145)&gt;0,MIN(SUM(W145,X145),MAX(0,BP145-Y145)),0)</f>
        <v/>
      </c>
      <c r="AA145" s="137">
        <f>SUM(W145,X145)-Z145</f>
        <v/>
      </c>
      <c r="AB145" s="137">
        <f>SUM(Y145:Z145)</f>
        <v/>
      </c>
      <c r="AC145" s="137">
        <f>'Assumptions'!AI72</f>
        <v/>
      </c>
      <c r="AD145" s="137">
        <f>'Assumptions'!AI73</f>
        <v/>
      </c>
      <c r="AE145" s="137">
        <f>IF(X145&gt;0,SUM('Assumptions'!$B$42),0)</f>
        <v/>
      </c>
      <c r="AF145" s="137">
        <f>'Assumptions'!AI71</f>
        <v/>
      </c>
      <c r="AG145" s="137">
        <f>'Assumptions'!AI74</f>
        <v/>
      </c>
      <c r="AH145" s="137">
        <f>'Assumptions'!AI75</f>
        <v/>
      </c>
      <c r="AI145" s="137">
        <f>'Assumptions'!AI77</f>
        <v/>
      </c>
      <c r="AJ145" s="137">
        <f>V145-N145-SUM(AB145:AI145)</f>
        <v/>
      </c>
      <c r="AK145" s="137">
        <f>SUM(AJ114:AJ145)</f>
        <v/>
      </c>
      <c r="AL145" s="137">
        <f>IF(ISNUMBER('Assumptions'!$B$10),'Assumptions'!$B$10+AK145,"")</f>
        <v/>
      </c>
      <c r="AM145" s="137">
        <f>SUM(O145,Q145,T145)-N145-SUM(AC145:AI145)+IF('Funding'!$N$11=0,AE145,0)-IF('Funding'!$N$11&gt;0,AB145,0)</f>
        <v/>
      </c>
      <c r="AN145" s="137">
        <f>SUM(AM114:AM145)</f>
        <v/>
      </c>
      <c r="AO145" s="137">
        <f>IF(ISNUMBER('Assumptions'!$B$10),'Assumptions'!$B$10+AN145,"")</f>
        <v/>
      </c>
      <c r="AP145" s="137">
        <f>('Production schedule'!AK361)*'Responsibilities'!$C$6+('Production schedule'!AK397)*'Responsibilities'!$C$7+('Production schedule'!AK433)*'Responsibilities'!$C$8</f>
        <v/>
      </c>
      <c r="AQ145" s="137">
        <f>SUMIFS('Production schedule'!$AL$330:$AL$437,'Production schedule'!$C$330:$C$437,32)</f>
        <v/>
      </c>
      <c r="AR145" s="137">
        <f>IF(ISNUMBER('Assumptions'!AI76),'Assumptions'!AI76,SUM(O145:P145))</f>
        <v/>
      </c>
      <c r="AS145" s="137">
        <f>IF(ISNUMBER('Assumptions'!$B$13),MIN('Assumptions'!$B$13/'Assumptions'!$B$18/12,MAX(0,'Assumptions'!$B$13-(32-1)*'Assumptions'!$B$13/'Assumptions'!$B$18/12)),0)+IF(AND('Sites'!E6=1,32&gt;=('Sites'!F6),32&lt;('Sites'!F6)+'Assumptions'!$B$18*12),'Capital'!E6/'Assumptions'!$B$18/12,0)+IF(AND('Sites'!E7=1,32&gt;=('Sites'!F7+'Cases'!G9),32&lt;('Sites'!F7+'Cases'!G9)+'Assumptions'!$B$18*12),'Capital'!E7/'Assumptions'!$B$18/12,0)+IF(AND('Sites'!E8*'Cases'!F9=1,32&gt;=('Sites'!F8+'Cases'!G9),32&lt;('Sites'!F8+'Cases'!G9)+'Assumptions'!$B$18*12),'Capital'!E8/'Assumptions'!$B$18/12,0)</f>
        <v/>
      </c>
      <c r="AT145" s="137">
        <f>SUM(AQ145,AR145,U145)-AP145-SUM(H145:L145)-AS145-SUM(Y145,AD145,AE145,AH145)</f>
        <v/>
      </c>
      <c r="AU145" s="137">
        <f>IF(ISNUMBER('Assumptions'!$B$19),MAX(0,SUM(AT138:AT145))*'Assumptions'!$B$19-SUM(AU138:AU144),"")</f>
        <v/>
      </c>
      <c r="AV145" s="137">
        <f>IF(ISNUMBER(AU145),AT145-AU145,"")</f>
        <v/>
      </c>
      <c r="AW145" s="137">
        <f>IF(ISNUMBER('Assumptions'!$B$11),'Assumptions'!$B$11+SUM(AQ114:AQ145)-SUM(S114:S145)-SUM(T114:T145),"")</f>
        <v/>
      </c>
      <c r="AX145" s="137">
        <f>IF(ISNUMBER('Assumptions'!$B$12),'Assumptions'!$B$12+SUM(G114:G145)-SUM(AP114:AP145),"")</f>
        <v/>
      </c>
      <c r="AY145" s="137">
        <f>IF(ISNUMBER('Assumptions'!$B$13),'Assumptions'!$B$13+SUM(M114:M145)-SUM(AS114:AS145),"")</f>
        <v/>
      </c>
      <c r="AZ145" s="137">
        <f>IF(ISNUMBER('Assumptions'!$B$14),'Assumptions'!$B$14+-SUM(AF114:AF145),"")</f>
        <v/>
      </c>
      <c r="BA145" s="137">
        <f>IF(ISNUMBER('Assumptions'!$B$15),'Assumptions'!$B$15+SUM(O114:O145)+SUM(P114:P145)-SUM(AR114:AR145),"")</f>
        <v/>
      </c>
      <c r="BB145" s="137">
        <f>IF(ISNUMBER('Assumptions'!$B$16),'Assumptions'!$B$16+-SUM(AC114:AC145),"")</f>
        <v/>
      </c>
      <c r="BC145" s="137">
        <f>IF(AND(ISNUMBER('Assumptions'!$B$21),ISNUMBER('Assumptions'!$B$19)),'Assumptions'!$B$21+SUM(AU114:AU145)-SUM(AG114:AG145),"")</f>
        <v/>
      </c>
      <c r="BD145" s="137">
        <f>IF(ISNUMBER('Assumptions'!$B$20),'Assumptions'!$B$20+-SUM(AI114:AI145),"")</f>
        <v/>
      </c>
      <c r="BE145" s="137">
        <f>IF(AND(ISNUMBER('Assumptions'!$B$17),COUNT(AV114:AV145)=32),'Assumptions'!$B$17+SUM(AV114:AV145),"")</f>
        <v/>
      </c>
      <c r="BF145" s="137">
        <f>IF(COUNT(AL145,AW145:AY145)=4,SUM(AL145,AW145:AY145),"")</f>
        <v/>
      </c>
      <c r="BG145" s="137">
        <f>IF(COUNT(AZ145:BD145)=5,SUM(AZ145:BD145,AA145),"")</f>
        <v/>
      </c>
      <c r="BH145" s="137">
        <f>IF(COUNT(BF145,BG145,BE145)=3,BF145-BG145-BE145,"")</f>
        <v/>
      </c>
      <c r="BI145" s="137">
        <f>SUM(W145,X145)-Z145-AA145</f>
        <v/>
      </c>
      <c r="BJ145" s="137">
        <f>8-COUNT('Assumptions'!AI58:AI65)+COUNTBLANK('NM Play'!B33:B34)+'Costs'!E44+IF(AND('Sites'!E6=1,('Sites'!F6)&lt;=36,'Sites'!G6&gt;=25),IF(ISNUMBER('Sites'!Q6),0,1)+'Capital'!I6+COUNTBLANK('Sites'!R6)+IF('Sites'!D6="NM crew",COUNTBLANK('NM Play'!B25)+1,5-COUNT('Assumptions'!AI112:AI116)),0)+IF(AND('Sites'!E7=1,('Sites'!F7+'Cases'!G9)&lt;=36,'Sites'!G7&gt;=25),IF(ISNUMBER('Sites'!Q7),0,1)+'Capital'!I7+COUNTBLANK('Sites'!R7)+IF('Sites'!D7="NM crew",COUNTBLANK('NM Play'!B25)+1,5-COUNT('Assumptions'!AI117:AI121)),0)+IF(AND('Sites'!E8*'Cases'!F9=1,('Sites'!F8+'Cases'!G9)&lt;=36,'Sites'!G8&gt;=25),IF(ISNUMBER('Sites'!Q8),0,1)+'Capital'!I8+COUNTBLANK('Sites'!R8)+IF('Sites'!D8="NM crew",COUNTBLANK('NM Play'!B25)+1,5-COUNT('Assumptions'!AI122:AI126)),0)+IF(AND('Cases'!C9&gt;0,NOT(ISNUMBER('Assumptions'!B42))),1,0)+'Responsibilities'!$B$39</f>
        <v/>
      </c>
      <c r="BK145" s="137">
        <f>'Assumptions'!$B$50+'NM Play'!$B$83+'Funding'!$F$20+SUMIFS('Production schedule'!$AN$330:$AN$437,'Production schedule'!$C$330:$C$437,32)+IF(OR('Cases'!E9&lt;0,'Cases'!E9&gt;1,'Cases'!C9&lt;0,'Cases'!D9&lt;0,ABS(SUM('Sites'!S6:S8)-1)&gt;0.0001,MIN('Capital'!F6:F8)&lt;0,MAX('Capital'!F6:F8)&gt;1,MIN(AX145,AZ145,BB145,BA145)&lt;-0.01),1,0)+'Responsibilities'!$B$40</f>
        <v/>
      </c>
      <c r="BL145" s="137">
        <f>SUMIFS('Production schedule'!$T$330:$T$437,'Production schedule'!$C$330:$C$437,32)</f>
        <v/>
      </c>
      <c r="BM145" s="137">
        <f>D145*'NM Play'!$B$38</f>
        <v/>
      </c>
      <c r="BN145" s="137">
        <f>SUMIFS('Production schedule'!$AM$330:$AM$437,'Production schedule'!$C$330:$C$437,32)</f>
        <v/>
      </c>
      <c r="BO145" s="137">
        <f>AK145-AK144-AJ145</f>
        <v/>
      </c>
      <c r="BP145" s="137">
        <f>IF(AND('Assumptions'!$B$39&gt;=0,'Assumptions'!$B$40&gt;0),-PMT('Assumptions'!$B$39/12,'Assumptions'!$B$40*12,IF('Funding'!$N$11&gt;0,'Funding'!$N$11,'Funding'!$U$11)),"")</f>
        <v/>
      </c>
      <c r="BQ145">
        <f>('Production schedule'!AJ361)*(1-'Responsibilities'!$C$6)+('Production schedule'!AJ397)*(1-'Responsibilities'!$C$7)+('Production schedule'!AJ433)*(1-'Responsibilities'!$C$8)</f>
        <v/>
      </c>
      <c r="BR145">
        <f>('Production schedule'!AI361)*(1-'Responsibilities'!$D$6)+('Production schedule'!AI397)*(1-'Responsibilities'!$D$7)+('Production schedule'!AI433)*(1-'Responsibilities'!$D$8)</f>
        <v/>
      </c>
      <c r="BS145">
        <f>('Production schedule'!E361*(IF('Sites'!D6="Annual staff",SUM('Assumptions'!AI112,'Assumptions'!AI114),0)+SUM('Assumptions'!AI113,'Assumptions'!AI115:AI116)))*(1-'Responsibilities'!$E$6)+('Production schedule'!E397*(IF('Sites'!D7="Annual staff",SUM('Assumptions'!AI117,'Assumptions'!AI119),0)+SUM('Assumptions'!AI118,'Assumptions'!AI120:AI121)))*(1-'Responsibilities'!$E$7)+('Production schedule'!E433*(IF('Sites'!D8="Annual staff",SUM('Assumptions'!AI122,'Assumptions'!AI124),0)+SUM('Assumptions'!AI123,'Assumptions'!AI125:AI126)))*(1-'Responsibilities'!$E$8)</f>
        <v/>
      </c>
      <c r="BT145">
        <f>(IF(AND('Production schedule'!E361=1,32=MAX(('Sites'!F6),25),ISNUMBER('Sites'!Q6)),'Sites'!Q6*'Assumptions'!$B$44,0))*(1-'Responsibilities'!$F$6)+(IF(AND('Production schedule'!E397=1,32=MAX(('Sites'!F7+'Cases'!G9),25),ISNUMBER('Sites'!Q7)),'Sites'!Q7*'Assumptions'!$B$44,0))*(1-'Responsibilities'!$F$7)+(IF(AND('Production schedule'!E433=1,32=MAX(('Sites'!F8+'Cases'!G9),25),ISNUMBER('Sites'!Q8)),'Sites'!Q8*'Assumptions'!$B$44,0))*(1-'Responsibilities'!$F$8)</f>
        <v/>
      </c>
      <c r="BU145">
        <f>SUM('Costs'!E36)*'Costs'!F36/12*(1-'Responsibilities'!$C$12)+SUM('Costs'!E37)*'Costs'!F37/12*(1-'Responsibilities'!$C$13)+SUM('Costs'!E38)*'Costs'!F38/12*(1-'Responsibilities'!$C$14)+SUM('Costs'!E39)*'Costs'!F39/12*(1-'Responsibilities'!$C$15)+SUM('Costs'!E40)*'Costs'!F40/12*(1-'Responsibilities'!$C$16)</f>
        <v/>
      </c>
      <c r="BV145">
        <f>('Sites'!E6*'Capital'!E6*(IF(32='Capital'!G6,'Capital'!F6,0)+IF(32='Capital'!H6,1-'Capital'!F6,0)))*(1-'Responsibilities'!$G$6)+('Sites'!E7*'Capital'!E7*(IF(32='Capital'!G7+'Cases'!G9,'Capital'!F7,0)+IF(32='Capital'!H7+'Cases'!G9,1-'Capital'!F7,0)))*(1-'Responsibilities'!$G$7)+('Sites'!E8*'Cases'!F9*'Capital'!E8*(IF(32='Capital'!G8+'Cases'!G9,'Capital'!F8,0)+IF(32='Capital'!H8+'Cases'!G9,1-'Capital'!F8,0)))*(1-'Responsibilities'!$G$8)</f>
        <v/>
      </c>
      <c r="BW145">
        <f>SUM(BQ145:BV145)</f>
        <v/>
      </c>
      <c r="BX145">
        <f>N145+BW145</f>
        <v/>
      </c>
      <c r="BY145">
        <f>BX145-(('Production schedule'!AJ361)*'Responsibilities'!$C$6+('Production schedule'!AJ397)*'Responsibilities'!$C$7+('Production schedule'!AJ433)*'Responsibilities'!$C$8+('Production schedule'!AJ361)*(1-'Responsibilities'!$C$6)+('Production schedule'!AJ397)*(1-'Responsibilities'!$C$7)+('Production schedule'!AJ433)*(1-'Responsibilities'!$C$8)+('Production schedule'!AI361)*'Responsibilities'!$D$6+('Production schedule'!AI397)*'Responsibilities'!$D$7+('Production schedule'!AI433)*'Responsibilities'!$D$8+('Production schedule'!AI361)*(1-'Responsibilities'!$D$6)+('Production schedule'!AI397)*(1-'Responsibilities'!$D$7)+('Production schedule'!AI433)*(1-'Responsibilities'!$D$8)+('Production schedule'!E361*(IF('Sites'!D6="Annual staff",SUM('Assumptions'!AI112,'Assumptions'!AI114),0)+SUM('Assumptions'!AI113,'Assumptions'!AI115:AI116)))*'Responsibilities'!$E$6+('Production schedule'!E397*(IF('Sites'!D7="Annual staff",SUM('Assumptions'!AI117,'Assumptions'!AI119),0)+SUM('Assumptions'!AI118,'Assumptions'!AI120:AI121)))*'Responsibilities'!$E$7+('Production schedule'!E433*(IF('Sites'!D8="Annual staff",SUM('Assumptions'!AI122,'Assumptions'!AI124),0)+SUM('Assumptions'!AI123,'Assumptions'!AI125:AI126)))*'Responsibilities'!$E$8+('Production schedule'!E361*(IF('Sites'!D6="Annual staff",SUM('Assumptions'!AI112,'Assumptions'!AI114),0)+SUM('Assumptions'!AI113,'Assumptions'!AI115:AI116)))*(1-'Responsibilities'!$E$6)+('Production schedule'!E397*(IF('Sites'!D7="Annual staff",SUM('Assumptions'!AI117,'Assumptions'!AI119),0)+SUM('Assumptions'!AI118,'Assumptions'!AI120:AI121)))*(1-'Responsibilities'!$E$7)+('Production schedule'!E433*(IF('Sites'!D8="Annual staff",SUM('Assumptions'!AI122,'Assumptions'!AI124),0)+SUM('Assumptions'!AI123,'Assumptions'!AI125:AI126)))*(1-'Responsibilities'!$E$8)+(IF(AND('Production schedule'!E361=1,32=MAX(('Sites'!F6),25),ISNUMBER('Sites'!Q6)),'Sites'!Q6*'Assumptions'!$B$44,0))*'Responsibilities'!$F$6+(IF(AND('Production schedule'!E397=1,32=MAX(('Sites'!F7+'Cases'!G9),25),ISNUMBER('Sites'!Q7)),'Sites'!Q7*'Assumptions'!$B$44,0))*'Responsibilities'!$F$7+(IF(AND('Production schedule'!E433=1,32=MAX(('Sites'!F8+'Cases'!G9),25),ISNUMBER('Sites'!Q8)),'Sites'!Q8*'Assumptions'!$B$44,0))*'Responsibilities'!$F$8+(IF(AND('Production schedule'!E361=1,32=MAX(('Sites'!F6),25),ISNUMBER('Sites'!Q6)),'Sites'!Q6*'Assumptions'!$B$44,0))*(1-'Responsibilities'!$F$6)+(IF(AND('Production schedule'!E397=1,32=MAX(('Sites'!F7+'Cases'!G9),25),ISNUMBER('Sites'!Q7)),'Sites'!Q7*'Assumptions'!$B$44,0))*(1-'Responsibilities'!$F$7)+(IF(AND('Production schedule'!E433=1,32=MAX(('Sites'!F8+'Cases'!G9),25),ISNUMBER('Sites'!Q8)),'Sites'!Q8*'Assumptions'!$B$44,0))*(1-'Responsibilities'!$F$8)+('Sites'!E6*'Capital'!E6*(IF(32='Capital'!G6,'Capital'!F6,0)+IF(32='Capital'!H6,1-'Capital'!F6,0)))*'Responsibilities'!$G$6+('Sites'!E7*'Capital'!E7*(IF(32='Capital'!G7+'Cases'!G9,'Capital'!F7,0)+IF(32='Capital'!H7+'Cases'!G9,1-'Capital'!F7,0)))*'Responsibilities'!$G$7+('Sites'!E8*'Cases'!F9*'Capital'!E8*(IF(32='Capital'!G8+'Cases'!G9,'Capital'!F8,0)+IF(32='Capital'!H8+'Cases'!G9,1-'Capital'!F8,0)))*'Responsibilities'!$G$8+('Sites'!E6*'Capital'!E6*(IF(32='Capital'!G6,'Capital'!F6,0)+IF(32='Capital'!H6,1-'Capital'!F6,0)))*(1-'Responsibilities'!$G$6)+('Sites'!E7*'Capital'!E7*(IF(32='Capital'!G7+'Cases'!G9,'Capital'!F7,0)+IF(32='Capital'!H7+'Cases'!G9,1-'Capital'!F7,0)))*(1-'Responsibilities'!$G$7)+('Sites'!E8*'Cases'!F9*'Capital'!E8*(IF(32='Capital'!G8+'Cases'!G9,'Capital'!F8,0)+IF(32='Capital'!H8+'Cases'!G9,1-'Capital'!F8,0)))*(1-'Responsibilities'!$G$8)+I145+SUMPRODUCT('Costs'!$E$36:$E$40,'Costs'!$F$36:$F$40)/12+BZ145)</f>
        <v/>
      </c>
      <c r="BZ145">
        <f>SUMIFS('Responsibilities'!$B$31:$B$35,'Responsibilities'!$C$31:$C$35,32,'Responsibilities'!$D$31:$D$35,"Yes")</f>
        <v/>
      </c>
    </row>
    <row r="146" ht="28" customHeight="1">
      <c r="A146" s="4" t="inlineStr">
        <is>
          <t>Delayed receipts</t>
        </is>
      </c>
      <c r="B146" s="4" t="n">
        <v>33</v>
      </c>
      <c r="C146" s="4">
        <f>ROUNDUP(B146/12,0)</f>
        <v/>
      </c>
      <c r="D146" s="137">
        <f>SUMIFS('Production schedule'!$N$330:$N$437,'Production schedule'!$C$330:$C$437,33)</f>
        <v/>
      </c>
      <c r="E146" s="137">
        <f>SUMIFS('Production schedule'!$Y$330:$Y$437,'Production schedule'!$C$330:$C$437,33)</f>
        <v/>
      </c>
      <c r="F146" s="137">
        <f>SUMIFS('Production schedule'!$Z$330:$Z$437,'Production schedule'!$C$330:$C$437,33)</f>
        <v/>
      </c>
      <c r="G146" s="137">
        <f>('Production schedule'!AJ362)*'Responsibilities'!$C$6+('Production schedule'!AJ398)*'Responsibilities'!$C$7+('Production schedule'!AJ434)*'Responsibilities'!$C$8</f>
        <v/>
      </c>
      <c r="H146" s="137">
        <f>('Production schedule'!AI362)*'Responsibilities'!$D$6+('Production schedule'!AI398)*'Responsibilities'!$D$7+('Production schedule'!AI434)*'Responsibilities'!$D$8</f>
        <v/>
      </c>
      <c r="I146" s="137">
        <f>SUM('Assumptions'!AJ58:AJ65)</f>
        <v/>
      </c>
      <c r="J146" s="137">
        <f>('Production schedule'!E362*(IF('Sites'!D6="Annual staff",SUM('Assumptions'!AJ112,'Assumptions'!AJ114),0)+SUM('Assumptions'!AJ113,'Assumptions'!AJ115:AJ116)))*'Responsibilities'!$E$6+('Production schedule'!E398*(IF('Sites'!D7="Annual staff",SUM('Assumptions'!AJ117,'Assumptions'!AJ119),0)+SUM('Assumptions'!AJ118,'Assumptions'!AJ120:AJ121)))*'Responsibilities'!$E$7+('Production schedule'!E434*(IF('Sites'!D8="Annual staff",SUM('Assumptions'!AJ122,'Assumptions'!AJ124),0)+SUM('Assumptions'!AJ123,'Assumptions'!AJ125:AJ126)))*'Responsibilities'!$E$8</f>
        <v/>
      </c>
      <c r="K146" s="137">
        <f>(IF(AND('Production schedule'!E362=1,33=MAX(('Sites'!F6),25),ISNUMBER('Sites'!Q6)),'Sites'!Q6*'Assumptions'!$B$44,0))*'Responsibilities'!$F$6+(IF(AND('Production schedule'!E398=1,33=MAX(('Sites'!F7+'Cases'!G9),25),ISNUMBER('Sites'!Q7)),'Sites'!Q7*'Assumptions'!$B$44,0))*'Responsibilities'!$F$7+(IF(AND('Production schedule'!E434=1,33=MAX(('Sites'!F8+'Cases'!G9),25),ISNUMBER('Sites'!Q8)),'Sites'!Q8*'Assumptions'!$B$44,0))*'Responsibilities'!$F$8</f>
        <v/>
      </c>
      <c r="L146" s="137">
        <f>SUM('Costs'!E36)*'Costs'!F36/12*'Responsibilities'!$C$12+SUM('Costs'!E37)*'Costs'!F37/12*'Responsibilities'!$C$13+SUM('Costs'!E38)*'Costs'!F38/12*'Responsibilities'!$C$14+SUM('Costs'!E39)*'Costs'!F39/12*'Responsibilities'!$C$15+SUM('Costs'!E40)*'Costs'!F40/12*'Responsibilities'!$C$16+BZ146</f>
        <v/>
      </c>
      <c r="M146" s="137">
        <f>('Sites'!E6*'Capital'!E6*(IF(33='Capital'!G6,'Capital'!F6,0)+IF(33='Capital'!H6,1-'Capital'!F6,0)))*'Responsibilities'!$G$6+('Sites'!E7*'Capital'!E7*(IF(33='Capital'!G7+'Cases'!G9,'Capital'!F7,0)+IF(33='Capital'!H7+'Cases'!G9,1-'Capital'!F7,0)))*'Responsibilities'!$G$7+('Sites'!E8*'Cases'!F9*'Capital'!E8*(IF(33='Capital'!G8+'Cases'!G9,'Capital'!F8,0)+IF(33='Capital'!H8+'Cases'!G9,1-'Capital'!F8,0)))*'Responsibilities'!$G$8</f>
        <v/>
      </c>
      <c r="N146" s="137">
        <f>SUM(G146:M146)</f>
        <v/>
      </c>
      <c r="O146" s="137">
        <f>SUMIFS(FundingTranches[Secured amount],FundingTranches[Instrument],"Grant",FundingTranches[Secured month],33)</f>
        <v/>
      </c>
      <c r="P146" s="137">
        <f>SUMIFS(FundingTranches[Delayed receipts possible],FundingTranches[Instrument],"Grant",FundingTranches[Scenario month],33-'Cases'!$D$9)</f>
        <v/>
      </c>
      <c r="Q146" s="137">
        <f>SUMIFS(FundingTranches[Secured amount],FundingTranches[Instrument],"Loan",FundingTranches[Secured month],33)</f>
        <v/>
      </c>
      <c r="R146" s="137">
        <f>SUMIFS(FundingTranches[Delayed receipts possible],FundingTranches[Instrument],"Loan",FundingTranches[Scenario month],33-'Cases'!$D$9)</f>
        <v/>
      </c>
      <c r="S146" s="137">
        <f>IF(33&lt;='Assumptions'!$B$34,0,SUMIFS('Production schedule'!$AL$330:$AL$437,'Production schedule'!$C$330:$C$437,33-'Assumptions'!$B$34))</f>
        <v/>
      </c>
      <c r="T146" s="137">
        <f>'Assumptions'!AJ70</f>
        <v/>
      </c>
      <c r="U146" s="137">
        <f>'Assumptions'!AJ78</f>
        <v/>
      </c>
      <c r="V146" s="137">
        <f>SUM(O146:U146)</f>
        <v/>
      </c>
      <c r="W146" s="137">
        <f>AA145</f>
        <v/>
      </c>
      <c r="X146" s="137">
        <f>SUM(Q146:R146)</f>
        <v/>
      </c>
      <c r="Y146" s="137">
        <f>SUM(W146,X146)*'Assumptions'!$B$39/12</f>
        <v/>
      </c>
      <c r="Z146" s="137">
        <f>IF(SUM(W146,X146)&gt;0,MIN(SUM(W146,X146),MAX(0,BP146-Y146)),0)</f>
        <v/>
      </c>
      <c r="AA146" s="137">
        <f>SUM(W146,X146)-Z146</f>
        <v/>
      </c>
      <c r="AB146" s="137">
        <f>SUM(Y146:Z146)</f>
        <v/>
      </c>
      <c r="AC146" s="137">
        <f>'Assumptions'!AJ72</f>
        <v/>
      </c>
      <c r="AD146" s="137">
        <f>'Assumptions'!AJ73</f>
        <v/>
      </c>
      <c r="AE146" s="137">
        <f>IF(X146&gt;0,SUM('Assumptions'!$B$42),0)</f>
        <v/>
      </c>
      <c r="AF146" s="137">
        <f>'Assumptions'!AJ71</f>
        <v/>
      </c>
      <c r="AG146" s="137">
        <f>'Assumptions'!AJ74</f>
        <v/>
      </c>
      <c r="AH146" s="137">
        <f>'Assumptions'!AJ75</f>
        <v/>
      </c>
      <c r="AI146" s="137">
        <f>'Assumptions'!AJ77</f>
        <v/>
      </c>
      <c r="AJ146" s="137">
        <f>V146-N146-SUM(AB146:AI146)</f>
        <v/>
      </c>
      <c r="AK146" s="137">
        <f>SUM(AJ114:AJ146)</f>
        <v/>
      </c>
      <c r="AL146" s="137">
        <f>IF(ISNUMBER('Assumptions'!$B$10),'Assumptions'!$B$10+AK146,"")</f>
        <v/>
      </c>
      <c r="AM146" s="137">
        <f>SUM(O146,Q146,T146)-N146-SUM(AC146:AI146)+IF('Funding'!$N$11=0,AE146,0)-IF('Funding'!$N$11&gt;0,AB146,0)</f>
        <v/>
      </c>
      <c r="AN146" s="137">
        <f>SUM(AM114:AM146)</f>
        <v/>
      </c>
      <c r="AO146" s="137">
        <f>IF(ISNUMBER('Assumptions'!$B$10),'Assumptions'!$B$10+AN146,"")</f>
        <v/>
      </c>
      <c r="AP146" s="137">
        <f>('Production schedule'!AK362)*'Responsibilities'!$C$6+('Production schedule'!AK398)*'Responsibilities'!$C$7+('Production schedule'!AK434)*'Responsibilities'!$C$8</f>
        <v/>
      </c>
      <c r="AQ146" s="137">
        <f>SUMIFS('Production schedule'!$AL$330:$AL$437,'Production schedule'!$C$330:$C$437,33)</f>
        <v/>
      </c>
      <c r="AR146" s="137">
        <f>IF(ISNUMBER('Assumptions'!AJ76),'Assumptions'!AJ76,SUM(O146:P146))</f>
        <v/>
      </c>
      <c r="AS146" s="137">
        <f>IF(ISNUMBER('Assumptions'!$B$13),MIN('Assumptions'!$B$13/'Assumptions'!$B$18/12,MAX(0,'Assumptions'!$B$13-(33-1)*'Assumptions'!$B$13/'Assumptions'!$B$18/12)),0)+IF(AND('Sites'!E6=1,33&gt;=('Sites'!F6),33&lt;('Sites'!F6)+'Assumptions'!$B$18*12),'Capital'!E6/'Assumptions'!$B$18/12,0)+IF(AND('Sites'!E7=1,33&gt;=('Sites'!F7+'Cases'!G9),33&lt;('Sites'!F7+'Cases'!G9)+'Assumptions'!$B$18*12),'Capital'!E7/'Assumptions'!$B$18/12,0)+IF(AND('Sites'!E8*'Cases'!F9=1,33&gt;=('Sites'!F8+'Cases'!G9),33&lt;('Sites'!F8+'Cases'!G9)+'Assumptions'!$B$18*12),'Capital'!E8/'Assumptions'!$B$18/12,0)</f>
        <v/>
      </c>
      <c r="AT146" s="137">
        <f>SUM(AQ146,AR146,U146)-AP146-SUM(H146:L146)-AS146-SUM(Y146,AD146,AE146,AH146)</f>
        <v/>
      </c>
      <c r="AU146" s="137">
        <f>IF(ISNUMBER('Assumptions'!$B$19),MAX(0,SUM(AT138:AT146))*'Assumptions'!$B$19-SUM(AU138:AU145),"")</f>
        <v/>
      </c>
      <c r="AV146" s="137">
        <f>IF(ISNUMBER(AU146),AT146-AU146,"")</f>
        <v/>
      </c>
      <c r="AW146" s="137">
        <f>IF(ISNUMBER('Assumptions'!$B$11),'Assumptions'!$B$11+SUM(AQ114:AQ146)-SUM(S114:S146)-SUM(T114:T146),"")</f>
        <v/>
      </c>
      <c r="AX146" s="137">
        <f>IF(ISNUMBER('Assumptions'!$B$12),'Assumptions'!$B$12+SUM(G114:G146)-SUM(AP114:AP146),"")</f>
        <v/>
      </c>
      <c r="AY146" s="137">
        <f>IF(ISNUMBER('Assumptions'!$B$13),'Assumptions'!$B$13+SUM(M114:M146)-SUM(AS114:AS146),"")</f>
        <v/>
      </c>
      <c r="AZ146" s="137">
        <f>IF(ISNUMBER('Assumptions'!$B$14),'Assumptions'!$B$14+-SUM(AF114:AF146),"")</f>
        <v/>
      </c>
      <c r="BA146" s="137">
        <f>IF(ISNUMBER('Assumptions'!$B$15),'Assumptions'!$B$15+SUM(O114:O146)+SUM(P114:P146)-SUM(AR114:AR146),"")</f>
        <v/>
      </c>
      <c r="BB146" s="137">
        <f>IF(ISNUMBER('Assumptions'!$B$16),'Assumptions'!$B$16+-SUM(AC114:AC146),"")</f>
        <v/>
      </c>
      <c r="BC146" s="137">
        <f>IF(AND(ISNUMBER('Assumptions'!$B$21),ISNUMBER('Assumptions'!$B$19)),'Assumptions'!$B$21+SUM(AU114:AU146)-SUM(AG114:AG146),"")</f>
        <v/>
      </c>
      <c r="BD146" s="137">
        <f>IF(ISNUMBER('Assumptions'!$B$20),'Assumptions'!$B$20+-SUM(AI114:AI146),"")</f>
        <v/>
      </c>
      <c r="BE146" s="137">
        <f>IF(AND(ISNUMBER('Assumptions'!$B$17),COUNT(AV114:AV146)=33),'Assumptions'!$B$17+SUM(AV114:AV146),"")</f>
        <v/>
      </c>
      <c r="BF146" s="137">
        <f>IF(COUNT(AL146,AW146:AY146)=4,SUM(AL146,AW146:AY146),"")</f>
        <v/>
      </c>
      <c r="BG146" s="137">
        <f>IF(COUNT(AZ146:BD146)=5,SUM(AZ146:BD146,AA146),"")</f>
        <v/>
      </c>
      <c r="BH146" s="137">
        <f>IF(COUNT(BF146,BG146,BE146)=3,BF146-BG146-BE146,"")</f>
        <v/>
      </c>
      <c r="BI146" s="137">
        <f>SUM(W146,X146)-Z146-AA146</f>
        <v/>
      </c>
      <c r="BJ146" s="137">
        <f>8-COUNT('Assumptions'!AJ58:AJ65)+COUNTBLANK('NM Play'!B33:B34)+'Costs'!E44+IF(AND('Sites'!E6=1,('Sites'!F6)&lt;=36,'Sites'!G6&gt;=25),IF(ISNUMBER('Sites'!Q6),0,1)+'Capital'!I6+COUNTBLANK('Sites'!R6)+IF('Sites'!D6="NM crew",COUNTBLANK('NM Play'!B25)+1,5-COUNT('Assumptions'!AJ112:AJ116)),0)+IF(AND('Sites'!E7=1,('Sites'!F7+'Cases'!G9)&lt;=36,'Sites'!G7&gt;=25),IF(ISNUMBER('Sites'!Q7),0,1)+'Capital'!I7+COUNTBLANK('Sites'!R7)+IF('Sites'!D7="NM crew",COUNTBLANK('NM Play'!B25)+1,5-COUNT('Assumptions'!AJ117:AJ121)),0)+IF(AND('Sites'!E8*'Cases'!F9=1,('Sites'!F8+'Cases'!G9)&lt;=36,'Sites'!G8&gt;=25),IF(ISNUMBER('Sites'!Q8),0,1)+'Capital'!I8+COUNTBLANK('Sites'!R8)+IF('Sites'!D8="NM crew",COUNTBLANK('NM Play'!B25)+1,5-COUNT('Assumptions'!AJ122:AJ126)),0)+IF(AND('Cases'!C9&gt;0,NOT(ISNUMBER('Assumptions'!B42))),1,0)+'Responsibilities'!$B$39</f>
        <v/>
      </c>
      <c r="BK146" s="137">
        <f>'Assumptions'!$B$50+'NM Play'!$B$83+'Funding'!$F$20+SUMIFS('Production schedule'!$AN$330:$AN$437,'Production schedule'!$C$330:$C$437,33)+IF(OR('Cases'!E9&lt;0,'Cases'!E9&gt;1,'Cases'!C9&lt;0,'Cases'!D9&lt;0,ABS(SUM('Sites'!S6:S8)-1)&gt;0.0001,MIN('Capital'!F6:F8)&lt;0,MAX('Capital'!F6:F8)&gt;1,MIN(AX146,AZ146,BB146,BA146)&lt;-0.01),1,0)+'Responsibilities'!$B$40</f>
        <v/>
      </c>
      <c r="BL146" s="137">
        <f>SUMIFS('Production schedule'!$T$330:$T$437,'Production schedule'!$C$330:$C$437,33)</f>
        <v/>
      </c>
      <c r="BM146" s="137">
        <f>D146*'NM Play'!$B$38</f>
        <v/>
      </c>
      <c r="BN146" s="137">
        <f>SUMIFS('Production schedule'!$AM$330:$AM$437,'Production schedule'!$C$330:$C$437,33)</f>
        <v/>
      </c>
      <c r="BO146" s="137">
        <f>AK146-AK145-AJ146</f>
        <v/>
      </c>
      <c r="BP146" s="137">
        <f>IF(AND('Assumptions'!$B$39&gt;=0,'Assumptions'!$B$40&gt;0),-PMT('Assumptions'!$B$39/12,'Assumptions'!$B$40*12,IF('Funding'!$N$11&gt;0,'Funding'!$N$11,'Funding'!$U$11)),"")</f>
        <v/>
      </c>
      <c r="BQ146">
        <f>('Production schedule'!AJ362)*(1-'Responsibilities'!$C$6)+('Production schedule'!AJ398)*(1-'Responsibilities'!$C$7)+('Production schedule'!AJ434)*(1-'Responsibilities'!$C$8)</f>
        <v/>
      </c>
      <c r="BR146">
        <f>('Production schedule'!AI362)*(1-'Responsibilities'!$D$6)+('Production schedule'!AI398)*(1-'Responsibilities'!$D$7)+('Production schedule'!AI434)*(1-'Responsibilities'!$D$8)</f>
        <v/>
      </c>
      <c r="BS146">
        <f>('Production schedule'!E362*(IF('Sites'!D6="Annual staff",SUM('Assumptions'!AJ112,'Assumptions'!AJ114),0)+SUM('Assumptions'!AJ113,'Assumptions'!AJ115:AJ116)))*(1-'Responsibilities'!$E$6)+('Production schedule'!E398*(IF('Sites'!D7="Annual staff",SUM('Assumptions'!AJ117,'Assumptions'!AJ119),0)+SUM('Assumptions'!AJ118,'Assumptions'!AJ120:AJ121)))*(1-'Responsibilities'!$E$7)+('Production schedule'!E434*(IF('Sites'!D8="Annual staff",SUM('Assumptions'!AJ122,'Assumptions'!AJ124),0)+SUM('Assumptions'!AJ123,'Assumptions'!AJ125:AJ126)))*(1-'Responsibilities'!$E$8)</f>
        <v/>
      </c>
      <c r="BT146">
        <f>(IF(AND('Production schedule'!E362=1,33=MAX(('Sites'!F6),25),ISNUMBER('Sites'!Q6)),'Sites'!Q6*'Assumptions'!$B$44,0))*(1-'Responsibilities'!$F$6)+(IF(AND('Production schedule'!E398=1,33=MAX(('Sites'!F7+'Cases'!G9),25),ISNUMBER('Sites'!Q7)),'Sites'!Q7*'Assumptions'!$B$44,0))*(1-'Responsibilities'!$F$7)+(IF(AND('Production schedule'!E434=1,33=MAX(('Sites'!F8+'Cases'!G9),25),ISNUMBER('Sites'!Q8)),'Sites'!Q8*'Assumptions'!$B$44,0))*(1-'Responsibilities'!$F$8)</f>
        <v/>
      </c>
      <c r="BU146">
        <f>SUM('Costs'!E36)*'Costs'!F36/12*(1-'Responsibilities'!$C$12)+SUM('Costs'!E37)*'Costs'!F37/12*(1-'Responsibilities'!$C$13)+SUM('Costs'!E38)*'Costs'!F38/12*(1-'Responsibilities'!$C$14)+SUM('Costs'!E39)*'Costs'!F39/12*(1-'Responsibilities'!$C$15)+SUM('Costs'!E40)*'Costs'!F40/12*(1-'Responsibilities'!$C$16)</f>
        <v/>
      </c>
      <c r="BV146">
        <f>('Sites'!E6*'Capital'!E6*(IF(33='Capital'!G6,'Capital'!F6,0)+IF(33='Capital'!H6,1-'Capital'!F6,0)))*(1-'Responsibilities'!$G$6)+('Sites'!E7*'Capital'!E7*(IF(33='Capital'!G7+'Cases'!G9,'Capital'!F7,0)+IF(33='Capital'!H7+'Cases'!G9,1-'Capital'!F7,0)))*(1-'Responsibilities'!$G$7)+('Sites'!E8*'Cases'!F9*'Capital'!E8*(IF(33='Capital'!G8+'Cases'!G9,'Capital'!F8,0)+IF(33='Capital'!H8+'Cases'!G9,1-'Capital'!F8,0)))*(1-'Responsibilities'!$G$8)</f>
        <v/>
      </c>
      <c r="BW146">
        <f>SUM(BQ146:BV146)</f>
        <v/>
      </c>
      <c r="BX146">
        <f>N146+BW146</f>
        <v/>
      </c>
      <c r="BY146">
        <f>BX146-(('Production schedule'!AJ362)*'Responsibilities'!$C$6+('Production schedule'!AJ398)*'Responsibilities'!$C$7+('Production schedule'!AJ434)*'Responsibilities'!$C$8+('Production schedule'!AJ362)*(1-'Responsibilities'!$C$6)+('Production schedule'!AJ398)*(1-'Responsibilities'!$C$7)+('Production schedule'!AJ434)*(1-'Responsibilities'!$C$8)+('Production schedule'!AI362)*'Responsibilities'!$D$6+('Production schedule'!AI398)*'Responsibilities'!$D$7+('Production schedule'!AI434)*'Responsibilities'!$D$8+('Production schedule'!AI362)*(1-'Responsibilities'!$D$6)+('Production schedule'!AI398)*(1-'Responsibilities'!$D$7)+('Production schedule'!AI434)*(1-'Responsibilities'!$D$8)+('Production schedule'!E362*(IF('Sites'!D6="Annual staff",SUM('Assumptions'!AJ112,'Assumptions'!AJ114),0)+SUM('Assumptions'!AJ113,'Assumptions'!AJ115:AJ116)))*'Responsibilities'!$E$6+('Production schedule'!E398*(IF('Sites'!D7="Annual staff",SUM('Assumptions'!AJ117,'Assumptions'!AJ119),0)+SUM('Assumptions'!AJ118,'Assumptions'!AJ120:AJ121)))*'Responsibilities'!$E$7+('Production schedule'!E434*(IF('Sites'!D8="Annual staff",SUM('Assumptions'!AJ122,'Assumptions'!AJ124),0)+SUM('Assumptions'!AJ123,'Assumptions'!AJ125:AJ126)))*'Responsibilities'!$E$8+('Production schedule'!E362*(IF('Sites'!D6="Annual staff",SUM('Assumptions'!AJ112,'Assumptions'!AJ114),0)+SUM('Assumptions'!AJ113,'Assumptions'!AJ115:AJ116)))*(1-'Responsibilities'!$E$6)+('Production schedule'!E398*(IF('Sites'!D7="Annual staff",SUM('Assumptions'!AJ117,'Assumptions'!AJ119),0)+SUM('Assumptions'!AJ118,'Assumptions'!AJ120:AJ121)))*(1-'Responsibilities'!$E$7)+('Production schedule'!E434*(IF('Sites'!D8="Annual staff",SUM('Assumptions'!AJ122,'Assumptions'!AJ124),0)+SUM('Assumptions'!AJ123,'Assumptions'!AJ125:AJ126)))*(1-'Responsibilities'!$E$8)+(IF(AND('Production schedule'!E362=1,33=MAX(('Sites'!F6),25),ISNUMBER('Sites'!Q6)),'Sites'!Q6*'Assumptions'!$B$44,0))*'Responsibilities'!$F$6+(IF(AND('Production schedule'!E398=1,33=MAX(('Sites'!F7+'Cases'!G9),25),ISNUMBER('Sites'!Q7)),'Sites'!Q7*'Assumptions'!$B$44,0))*'Responsibilities'!$F$7+(IF(AND('Production schedule'!E434=1,33=MAX(('Sites'!F8+'Cases'!G9),25),ISNUMBER('Sites'!Q8)),'Sites'!Q8*'Assumptions'!$B$44,0))*'Responsibilities'!$F$8+(IF(AND('Production schedule'!E362=1,33=MAX(('Sites'!F6),25),ISNUMBER('Sites'!Q6)),'Sites'!Q6*'Assumptions'!$B$44,0))*(1-'Responsibilities'!$F$6)+(IF(AND('Production schedule'!E398=1,33=MAX(('Sites'!F7+'Cases'!G9),25),ISNUMBER('Sites'!Q7)),'Sites'!Q7*'Assumptions'!$B$44,0))*(1-'Responsibilities'!$F$7)+(IF(AND('Production schedule'!E434=1,33=MAX(('Sites'!F8+'Cases'!G9),25),ISNUMBER('Sites'!Q8)),'Sites'!Q8*'Assumptions'!$B$44,0))*(1-'Responsibilities'!$F$8)+('Sites'!E6*'Capital'!E6*(IF(33='Capital'!G6,'Capital'!F6,0)+IF(33='Capital'!H6,1-'Capital'!F6,0)))*'Responsibilities'!$G$6+('Sites'!E7*'Capital'!E7*(IF(33='Capital'!G7+'Cases'!G9,'Capital'!F7,0)+IF(33='Capital'!H7+'Cases'!G9,1-'Capital'!F7,0)))*'Responsibilities'!$G$7+('Sites'!E8*'Cases'!F9*'Capital'!E8*(IF(33='Capital'!G8+'Cases'!G9,'Capital'!F8,0)+IF(33='Capital'!H8+'Cases'!G9,1-'Capital'!F8,0)))*'Responsibilities'!$G$8+('Sites'!E6*'Capital'!E6*(IF(33='Capital'!G6,'Capital'!F6,0)+IF(33='Capital'!H6,1-'Capital'!F6,0)))*(1-'Responsibilities'!$G$6)+('Sites'!E7*'Capital'!E7*(IF(33='Capital'!G7+'Cases'!G9,'Capital'!F7,0)+IF(33='Capital'!H7+'Cases'!G9,1-'Capital'!F7,0)))*(1-'Responsibilities'!$G$7)+('Sites'!E8*'Cases'!F9*'Capital'!E8*(IF(33='Capital'!G8+'Cases'!G9,'Capital'!F8,0)+IF(33='Capital'!H8+'Cases'!G9,1-'Capital'!F8,0)))*(1-'Responsibilities'!$G$8)+I146+SUMPRODUCT('Costs'!$E$36:$E$40,'Costs'!$F$36:$F$40)/12+BZ146)</f>
        <v/>
      </c>
      <c r="BZ146">
        <f>SUMIFS('Responsibilities'!$B$31:$B$35,'Responsibilities'!$C$31:$C$35,33,'Responsibilities'!$D$31:$D$35,"Yes")</f>
        <v/>
      </c>
    </row>
    <row r="147" ht="28" customHeight="1">
      <c r="A147" s="4" t="inlineStr">
        <is>
          <t>Delayed receipts</t>
        </is>
      </c>
      <c r="B147" s="4" t="n">
        <v>34</v>
      </c>
      <c r="C147" s="4">
        <f>ROUNDUP(B147/12,0)</f>
        <v/>
      </c>
      <c r="D147" s="137">
        <f>SUMIFS('Production schedule'!$N$330:$N$437,'Production schedule'!$C$330:$C$437,34)</f>
        <v/>
      </c>
      <c r="E147" s="137">
        <f>SUMIFS('Production schedule'!$Y$330:$Y$437,'Production schedule'!$C$330:$C$437,34)</f>
        <v/>
      </c>
      <c r="F147" s="137">
        <f>SUMIFS('Production schedule'!$Z$330:$Z$437,'Production schedule'!$C$330:$C$437,34)</f>
        <v/>
      </c>
      <c r="G147" s="137">
        <f>('Production schedule'!AJ363)*'Responsibilities'!$C$6+('Production schedule'!AJ399)*'Responsibilities'!$C$7+('Production schedule'!AJ435)*'Responsibilities'!$C$8</f>
        <v/>
      </c>
      <c r="H147" s="137">
        <f>('Production schedule'!AI363)*'Responsibilities'!$D$6+('Production schedule'!AI399)*'Responsibilities'!$D$7+('Production schedule'!AI435)*'Responsibilities'!$D$8</f>
        <v/>
      </c>
      <c r="I147" s="137">
        <f>SUM('Assumptions'!AK58:AK65)</f>
        <v/>
      </c>
      <c r="J147" s="137">
        <f>('Production schedule'!E363*(IF('Sites'!D6="Annual staff",SUM('Assumptions'!AK112,'Assumptions'!AK114),0)+SUM('Assumptions'!AK113,'Assumptions'!AK115:AK116)))*'Responsibilities'!$E$6+('Production schedule'!E399*(IF('Sites'!D7="Annual staff",SUM('Assumptions'!AK117,'Assumptions'!AK119),0)+SUM('Assumptions'!AK118,'Assumptions'!AK120:AK121)))*'Responsibilities'!$E$7+('Production schedule'!E435*(IF('Sites'!D8="Annual staff",SUM('Assumptions'!AK122,'Assumptions'!AK124),0)+SUM('Assumptions'!AK123,'Assumptions'!AK125:AK126)))*'Responsibilities'!$E$8</f>
        <v/>
      </c>
      <c r="K147" s="137">
        <f>(IF(AND('Production schedule'!E363=1,34=MAX(('Sites'!F6),25),ISNUMBER('Sites'!Q6)),'Sites'!Q6*'Assumptions'!$B$44,0))*'Responsibilities'!$F$6+(IF(AND('Production schedule'!E399=1,34=MAX(('Sites'!F7+'Cases'!G9),25),ISNUMBER('Sites'!Q7)),'Sites'!Q7*'Assumptions'!$B$44,0))*'Responsibilities'!$F$7+(IF(AND('Production schedule'!E435=1,34=MAX(('Sites'!F8+'Cases'!G9),25),ISNUMBER('Sites'!Q8)),'Sites'!Q8*'Assumptions'!$B$44,0))*'Responsibilities'!$F$8</f>
        <v/>
      </c>
      <c r="L147" s="137">
        <f>SUM('Costs'!E36)*'Costs'!F36/12*'Responsibilities'!$C$12+SUM('Costs'!E37)*'Costs'!F37/12*'Responsibilities'!$C$13+SUM('Costs'!E38)*'Costs'!F38/12*'Responsibilities'!$C$14+SUM('Costs'!E39)*'Costs'!F39/12*'Responsibilities'!$C$15+SUM('Costs'!E40)*'Costs'!F40/12*'Responsibilities'!$C$16+BZ147</f>
        <v/>
      </c>
      <c r="M147" s="137">
        <f>('Sites'!E6*'Capital'!E6*(IF(34='Capital'!G6,'Capital'!F6,0)+IF(34='Capital'!H6,1-'Capital'!F6,0)))*'Responsibilities'!$G$6+('Sites'!E7*'Capital'!E7*(IF(34='Capital'!G7+'Cases'!G9,'Capital'!F7,0)+IF(34='Capital'!H7+'Cases'!G9,1-'Capital'!F7,0)))*'Responsibilities'!$G$7+('Sites'!E8*'Cases'!F9*'Capital'!E8*(IF(34='Capital'!G8+'Cases'!G9,'Capital'!F8,0)+IF(34='Capital'!H8+'Cases'!G9,1-'Capital'!F8,0)))*'Responsibilities'!$G$8</f>
        <v/>
      </c>
      <c r="N147" s="137">
        <f>SUM(G147:M147)</f>
        <v/>
      </c>
      <c r="O147" s="137">
        <f>SUMIFS(FundingTranches[Secured amount],FundingTranches[Instrument],"Grant",FundingTranches[Secured month],34)</f>
        <v/>
      </c>
      <c r="P147" s="137">
        <f>SUMIFS(FundingTranches[Delayed receipts possible],FundingTranches[Instrument],"Grant",FundingTranches[Scenario month],34-'Cases'!$D$9)</f>
        <v/>
      </c>
      <c r="Q147" s="137">
        <f>SUMIFS(FundingTranches[Secured amount],FundingTranches[Instrument],"Loan",FundingTranches[Secured month],34)</f>
        <v/>
      </c>
      <c r="R147" s="137">
        <f>SUMIFS(FundingTranches[Delayed receipts possible],FundingTranches[Instrument],"Loan",FundingTranches[Scenario month],34-'Cases'!$D$9)</f>
        <v/>
      </c>
      <c r="S147" s="137">
        <f>IF(34&lt;='Assumptions'!$B$34,0,SUMIFS('Production schedule'!$AL$330:$AL$437,'Production schedule'!$C$330:$C$437,34-'Assumptions'!$B$34))</f>
        <v/>
      </c>
      <c r="T147" s="137">
        <f>'Assumptions'!AK70</f>
        <v/>
      </c>
      <c r="U147" s="137">
        <f>'Assumptions'!AK78</f>
        <v/>
      </c>
      <c r="V147" s="137">
        <f>SUM(O147:U147)</f>
        <v/>
      </c>
      <c r="W147" s="137">
        <f>AA146</f>
        <v/>
      </c>
      <c r="X147" s="137">
        <f>SUM(Q147:R147)</f>
        <v/>
      </c>
      <c r="Y147" s="137">
        <f>SUM(W147,X147)*'Assumptions'!$B$39/12</f>
        <v/>
      </c>
      <c r="Z147" s="137">
        <f>IF(SUM(W147,X147)&gt;0,MIN(SUM(W147,X147),MAX(0,BP147-Y147)),0)</f>
        <v/>
      </c>
      <c r="AA147" s="137">
        <f>SUM(W147,X147)-Z147</f>
        <v/>
      </c>
      <c r="AB147" s="137">
        <f>SUM(Y147:Z147)</f>
        <v/>
      </c>
      <c r="AC147" s="137">
        <f>'Assumptions'!AK72</f>
        <v/>
      </c>
      <c r="AD147" s="137">
        <f>'Assumptions'!AK73</f>
        <v/>
      </c>
      <c r="AE147" s="137">
        <f>IF(X147&gt;0,SUM('Assumptions'!$B$42),0)</f>
        <v/>
      </c>
      <c r="AF147" s="137">
        <f>'Assumptions'!AK71</f>
        <v/>
      </c>
      <c r="AG147" s="137">
        <f>'Assumptions'!AK74</f>
        <v/>
      </c>
      <c r="AH147" s="137">
        <f>'Assumptions'!AK75</f>
        <v/>
      </c>
      <c r="AI147" s="137">
        <f>'Assumptions'!AK77</f>
        <v/>
      </c>
      <c r="AJ147" s="137">
        <f>V147-N147-SUM(AB147:AI147)</f>
        <v/>
      </c>
      <c r="AK147" s="137">
        <f>SUM(AJ114:AJ147)</f>
        <v/>
      </c>
      <c r="AL147" s="137">
        <f>IF(ISNUMBER('Assumptions'!$B$10),'Assumptions'!$B$10+AK147,"")</f>
        <v/>
      </c>
      <c r="AM147" s="137">
        <f>SUM(O147,Q147,T147)-N147-SUM(AC147:AI147)+IF('Funding'!$N$11=0,AE147,0)-IF('Funding'!$N$11&gt;0,AB147,0)</f>
        <v/>
      </c>
      <c r="AN147" s="137">
        <f>SUM(AM114:AM147)</f>
        <v/>
      </c>
      <c r="AO147" s="137">
        <f>IF(ISNUMBER('Assumptions'!$B$10),'Assumptions'!$B$10+AN147,"")</f>
        <v/>
      </c>
      <c r="AP147" s="137">
        <f>('Production schedule'!AK363)*'Responsibilities'!$C$6+('Production schedule'!AK399)*'Responsibilities'!$C$7+('Production schedule'!AK435)*'Responsibilities'!$C$8</f>
        <v/>
      </c>
      <c r="AQ147" s="137">
        <f>SUMIFS('Production schedule'!$AL$330:$AL$437,'Production schedule'!$C$330:$C$437,34)</f>
        <v/>
      </c>
      <c r="AR147" s="137">
        <f>IF(ISNUMBER('Assumptions'!AK76),'Assumptions'!AK76,SUM(O147:P147))</f>
        <v/>
      </c>
      <c r="AS147" s="137">
        <f>IF(ISNUMBER('Assumptions'!$B$13),MIN('Assumptions'!$B$13/'Assumptions'!$B$18/12,MAX(0,'Assumptions'!$B$13-(34-1)*'Assumptions'!$B$13/'Assumptions'!$B$18/12)),0)+IF(AND('Sites'!E6=1,34&gt;=('Sites'!F6),34&lt;('Sites'!F6)+'Assumptions'!$B$18*12),'Capital'!E6/'Assumptions'!$B$18/12,0)+IF(AND('Sites'!E7=1,34&gt;=('Sites'!F7+'Cases'!G9),34&lt;('Sites'!F7+'Cases'!G9)+'Assumptions'!$B$18*12),'Capital'!E7/'Assumptions'!$B$18/12,0)+IF(AND('Sites'!E8*'Cases'!F9=1,34&gt;=('Sites'!F8+'Cases'!G9),34&lt;('Sites'!F8+'Cases'!G9)+'Assumptions'!$B$18*12),'Capital'!E8/'Assumptions'!$B$18/12,0)</f>
        <v/>
      </c>
      <c r="AT147" s="137">
        <f>SUM(AQ147,AR147,U147)-AP147-SUM(H147:L147)-AS147-SUM(Y147,AD147,AE147,AH147)</f>
        <v/>
      </c>
      <c r="AU147" s="137">
        <f>IF(ISNUMBER('Assumptions'!$B$19),MAX(0,SUM(AT138:AT147))*'Assumptions'!$B$19-SUM(AU138:AU146),"")</f>
        <v/>
      </c>
      <c r="AV147" s="137">
        <f>IF(ISNUMBER(AU147),AT147-AU147,"")</f>
        <v/>
      </c>
      <c r="AW147" s="137">
        <f>IF(ISNUMBER('Assumptions'!$B$11),'Assumptions'!$B$11+SUM(AQ114:AQ147)-SUM(S114:S147)-SUM(T114:T147),"")</f>
        <v/>
      </c>
      <c r="AX147" s="137">
        <f>IF(ISNUMBER('Assumptions'!$B$12),'Assumptions'!$B$12+SUM(G114:G147)-SUM(AP114:AP147),"")</f>
        <v/>
      </c>
      <c r="AY147" s="137">
        <f>IF(ISNUMBER('Assumptions'!$B$13),'Assumptions'!$B$13+SUM(M114:M147)-SUM(AS114:AS147),"")</f>
        <v/>
      </c>
      <c r="AZ147" s="137">
        <f>IF(ISNUMBER('Assumptions'!$B$14),'Assumptions'!$B$14+-SUM(AF114:AF147),"")</f>
        <v/>
      </c>
      <c r="BA147" s="137">
        <f>IF(ISNUMBER('Assumptions'!$B$15),'Assumptions'!$B$15+SUM(O114:O147)+SUM(P114:P147)-SUM(AR114:AR147),"")</f>
        <v/>
      </c>
      <c r="BB147" s="137">
        <f>IF(ISNUMBER('Assumptions'!$B$16),'Assumptions'!$B$16+-SUM(AC114:AC147),"")</f>
        <v/>
      </c>
      <c r="BC147" s="137">
        <f>IF(AND(ISNUMBER('Assumptions'!$B$21),ISNUMBER('Assumptions'!$B$19)),'Assumptions'!$B$21+SUM(AU114:AU147)-SUM(AG114:AG147),"")</f>
        <v/>
      </c>
      <c r="BD147" s="137">
        <f>IF(ISNUMBER('Assumptions'!$B$20),'Assumptions'!$B$20+-SUM(AI114:AI147),"")</f>
        <v/>
      </c>
      <c r="BE147" s="137">
        <f>IF(AND(ISNUMBER('Assumptions'!$B$17),COUNT(AV114:AV147)=34),'Assumptions'!$B$17+SUM(AV114:AV147),"")</f>
        <v/>
      </c>
      <c r="BF147" s="137">
        <f>IF(COUNT(AL147,AW147:AY147)=4,SUM(AL147,AW147:AY147),"")</f>
        <v/>
      </c>
      <c r="BG147" s="137">
        <f>IF(COUNT(AZ147:BD147)=5,SUM(AZ147:BD147,AA147),"")</f>
        <v/>
      </c>
      <c r="BH147" s="137">
        <f>IF(COUNT(BF147,BG147,BE147)=3,BF147-BG147-BE147,"")</f>
        <v/>
      </c>
      <c r="BI147" s="137">
        <f>SUM(W147,X147)-Z147-AA147</f>
        <v/>
      </c>
      <c r="BJ147" s="137">
        <f>8-COUNT('Assumptions'!AK58:AK65)+COUNTBLANK('NM Play'!B33:B34)+'Costs'!E44+IF(AND('Sites'!E6=1,('Sites'!F6)&lt;=36,'Sites'!G6&gt;=25),IF(ISNUMBER('Sites'!Q6),0,1)+'Capital'!I6+COUNTBLANK('Sites'!R6)+IF('Sites'!D6="NM crew",COUNTBLANK('NM Play'!B25)+1,5-COUNT('Assumptions'!AK112:AK116)),0)+IF(AND('Sites'!E7=1,('Sites'!F7+'Cases'!G9)&lt;=36,'Sites'!G7&gt;=25),IF(ISNUMBER('Sites'!Q7),0,1)+'Capital'!I7+COUNTBLANK('Sites'!R7)+IF('Sites'!D7="NM crew",COUNTBLANK('NM Play'!B25)+1,5-COUNT('Assumptions'!AK117:AK121)),0)+IF(AND('Sites'!E8*'Cases'!F9=1,('Sites'!F8+'Cases'!G9)&lt;=36,'Sites'!G8&gt;=25),IF(ISNUMBER('Sites'!Q8),0,1)+'Capital'!I8+COUNTBLANK('Sites'!R8)+IF('Sites'!D8="NM crew",COUNTBLANK('NM Play'!B25)+1,5-COUNT('Assumptions'!AK122:AK126)),0)+IF(AND('Cases'!C9&gt;0,NOT(ISNUMBER('Assumptions'!B42))),1,0)+'Responsibilities'!$B$39</f>
        <v/>
      </c>
      <c r="BK147" s="137">
        <f>'Assumptions'!$B$50+'NM Play'!$B$83+'Funding'!$F$20+SUMIFS('Production schedule'!$AN$330:$AN$437,'Production schedule'!$C$330:$C$437,34)+IF(OR('Cases'!E9&lt;0,'Cases'!E9&gt;1,'Cases'!C9&lt;0,'Cases'!D9&lt;0,ABS(SUM('Sites'!S6:S8)-1)&gt;0.0001,MIN('Capital'!F6:F8)&lt;0,MAX('Capital'!F6:F8)&gt;1,MIN(AX147,AZ147,BB147,BA147)&lt;-0.01),1,0)+'Responsibilities'!$B$40</f>
        <v/>
      </c>
      <c r="BL147" s="137">
        <f>SUMIFS('Production schedule'!$T$330:$T$437,'Production schedule'!$C$330:$C$437,34)</f>
        <v/>
      </c>
      <c r="BM147" s="137">
        <f>D147*'NM Play'!$B$38</f>
        <v/>
      </c>
      <c r="BN147" s="137">
        <f>SUMIFS('Production schedule'!$AM$330:$AM$437,'Production schedule'!$C$330:$C$437,34)</f>
        <v/>
      </c>
      <c r="BO147" s="137">
        <f>AK147-AK146-AJ147</f>
        <v/>
      </c>
      <c r="BP147" s="137">
        <f>IF(AND('Assumptions'!$B$39&gt;=0,'Assumptions'!$B$40&gt;0),-PMT('Assumptions'!$B$39/12,'Assumptions'!$B$40*12,IF('Funding'!$N$11&gt;0,'Funding'!$N$11,'Funding'!$U$11)),"")</f>
        <v/>
      </c>
      <c r="BQ147">
        <f>('Production schedule'!AJ363)*(1-'Responsibilities'!$C$6)+('Production schedule'!AJ399)*(1-'Responsibilities'!$C$7)+('Production schedule'!AJ435)*(1-'Responsibilities'!$C$8)</f>
        <v/>
      </c>
      <c r="BR147">
        <f>('Production schedule'!AI363)*(1-'Responsibilities'!$D$6)+('Production schedule'!AI399)*(1-'Responsibilities'!$D$7)+('Production schedule'!AI435)*(1-'Responsibilities'!$D$8)</f>
        <v/>
      </c>
      <c r="BS147">
        <f>('Production schedule'!E363*(IF('Sites'!D6="Annual staff",SUM('Assumptions'!AK112,'Assumptions'!AK114),0)+SUM('Assumptions'!AK113,'Assumptions'!AK115:AK116)))*(1-'Responsibilities'!$E$6)+('Production schedule'!E399*(IF('Sites'!D7="Annual staff",SUM('Assumptions'!AK117,'Assumptions'!AK119),0)+SUM('Assumptions'!AK118,'Assumptions'!AK120:AK121)))*(1-'Responsibilities'!$E$7)+('Production schedule'!E435*(IF('Sites'!D8="Annual staff",SUM('Assumptions'!AK122,'Assumptions'!AK124),0)+SUM('Assumptions'!AK123,'Assumptions'!AK125:AK126)))*(1-'Responsibilities'!$E$8)</f>
        <v/>
      </c>
      <c r="BT147">
        <f>(IF(AND('Production schedule'!E363=1,34=MAX(('Sites'!F6),25),ISNUMBER('Sites'!Q6)),'Sites'!Q6*'Assumptions'!$B$44,0))*(1-'Responsibilities'!$F$6)+(IF(AND('Production schedule'!E399=1,34=MAX(('Sites'!F7+'Cases'!G9),25),ISNUMBER('Sites'!Q7)),'Sites'!Q7*'Assumptions'!$B$44,0))*(1-'Responsibilities'!$F$7)+(IF(AND('Production schedule'!E435=1,34=MAX(('Sites'!F8+'Cases'!G9),25),ISNUMBER('Sites'!Q8)),'Sites'!Q8*'Assumptions'!$B$44,0))*(1-'Responsibilities'!$F$8)</f>
        <v/>
      </c>
      <c r="BU147">
        <f>SUM('Costs'!E36)*'Costs'!F36/12*(1-'Responsibilities'!$C$12)+SUM('Costs'!E37)*'Costs'!F37/12*(1-'Responsibilities'!$C$13)+SUM('Costs'!E38)*'Costs'!F38/12*(1-'Responsibilities'!$C$14)+SUM('Costs'!E39)*'Costs'!F39/12*(1-'Responsibilities'!$C$15)+SUM('Costs'!E40)*'Costs'!F40/12*(1-'Responsibilities'!$C$16)</f>
        <v/>
      </c>
      <c r="BV147">
        <f>('Sites'!E6*'Capital'!E6*(IF(34='Capital'!G6,'Capital'!F6,0)+IF(34='Capital'!H6,1-'Capital'!F6,0)))*(1-'Responsibilities'!$G$6)+('Sites'!E7*'Capital'!E7*(IF(34='Capital'!G7+'Cases'!G9,'Capital'!F7,0)+IF(34='Capital'!H7+'Cases'!G9,1-'Capital'!F7,0)))*(1-'Responsibilities'!$G$7)+('Sites'!E8*'Cases'!F9*'Capital'!E8*(IF(34='Capital'!G8+'Cases'!G9,'Capital'!F8,0)+IF(34='Capital'!H8+'Cases'!G9,1-'Capital'!F8,0)))*(1-'Responsibilities'!$G$8)</f>
        <v/>
      </c>
      <c r="BW147">
        <f>SUM(BQ147:BV147)</f>
        <v/>
      </c>
      <c r="BX147">
        <f>N147+BW147</f>
        <v/>
      </c>
      <c r="BY147">
        <f>BX147-(('Production schedule'!AJ363)*'Responsibilities'!$C$6+('Production schedule'!AJ399)*'Responsibilities'!$C$7+('Production schedule'!AJ435)*'Responsibilities'!$C$8+('Production schedule'!AJ363)*(1-'Responsibilities'!$C$6)+('Production schedule'!AJ399)*(1-'Responsibilities'!$C$7)+('Production schedule'!AJ435)*(1-'Responsibilities'!$C$8)+('Production schedule'!AI363)*'Responsibilities'!$D$6+('Production schedule'!AI399)*'Responsibilities'!$D$7+('Production schedule'!AI435)*'Responsibilities'!$D$8+('Production schedule'!AI363)*(1-'Responsibilities'!$D$6)+('Production schedule'!AI399)*(1-'Responsibilities'!$D$7)+('Production schedule'!AI435)*(1-'Responsibilities'!$D$8)+('Production schedule'!E363*(IF('Sites'!D6="Annual staff",SUM('Assumptions'!AK112,'Assumptions'!AK114),0)+SUM('Assumptions'!AK113,'Assumptions'!AK115:AK116)))*'Responsibilities'!$E$6+('Production schedule'!E399*(IF('Sites'!D7="Annual staff",SUM('Assumptions'!AK117,'Assumptions'!AK119),0)+SUM('Assumptions'!AK118,'Assumptions'!AK120:AK121)))*'Responsibilities'!$E$7+('Production schedule'!E435*(IF('Sites'!D8="Annual staff",SUM('Assumptions'!AK122,'Assumptions'!AK124),0)+SUM('Assumptions'!AK123,'Assumptions'!AK125:AK126)))*'Responsibilities'!$E$8+('Production schedule'!E363*(IF('Sites'!D6="Annual staff",SUM('Assumptions'!AK112,'Assumptions'!AK114),0)+SUM('Assumptions'!AK113,'Assumptions'!AK115:AK116)))*(1-'Responsibilities'!$E$6)+('Production schedule'!E399*(IF('Sites'!D7="Annual staff",SUM('Assumptions'!AK117,'Assumptions'!AK119),0)+SUM('Assumptions'!AK118,'Assumptions'!AK120:AK121)))*(1-'Responsibilities'!$E$7)+('Production schedule'!E435*(IF('Sites'!D8="Annual staff",SUM('Assumptions'!AK122,'Assumptions'!AK124),0)+SUM('Assumptions'!AK123,'Assumptions'!AK125:AK126)))*(1-'Responsibilities'!$E$8)+(IF(AND('Production schedule'!E363=1,34=MAX(('Sites'!F6),25),ISNUMBER('Sites'!Q6)),'Sites'!Q6*'Assumptions'!$B$44,0))*'Responsibilities'!$F$6+(IF(AND('Production schedule'!E399=1,34=MAX(('Sites'!F7+'Cases'!G9),25),ISNUMBER('Sites'!Q7)),'Sites'!Q7*'Assumptions'!$B$44,0))*'Responsibilities'!$F$7+(IF(AND('Production schedule'!E435=1,34=MAX(('Sites'!F8+'Cases'!G9),25),ISNUMBER('Sites'!Q8)),'Sites'!Q8*'Assumptions'!$B$44,0))*'Responsibilities'!$F$8+(IF(AND('Production schedule'!E363=1,34=MAX(('Sites'!F6),25),ISNUMBER('Sites'!Q6)),'Sites'!Q6*'Assumptions'!$B$44,0))*(1-'Responsibilities'!$F$6)+(IF(AND('Production schedule'!E399=1,34=MAX(('Sites'!F7+'Cases'!G9),25),ISNUMBER('Sites'!Q7)),'Sites'!Q7*'Assumptions'!$B$44,0))*(1-'Responsibilities'!$F$7)+(IF(AND('Production schedule'!E435=1,34=MAX(('Sites'!F8+'Cases'!G9),25),ISNUMBER('Sites'!Q8)),'Sites'!Q8*'Assumptions'!$B$44,0))*(1-'Responsibilities'!$F$8)+('Sites'!E6*'Capital'!E6*(IF(34='Capital'!G6,'Capital'!F6,0)+IF(34='Capital'!H6,1-'Capital'!F6,0)))*'Responsibilities'!$G$6+('Sites'!E7*'Capital'!E7*(IF(34='Capital'!G7+'Cases'!G9,'Capital'!F7,0)+IF(34='Capital'!H7+'Cases'!G9,1-'Capital'!F7,0)))*'Responsibilities'!$G$7+('Sites'!E8*'Cases'!F9*'Capital'!E8*(IF(34='Capital'!G8+'Cases'!G9,'Capital'!F8,0)+IF(34='Capital'!H8+'Cases'!G9,1-'Capital'!F8,0)))*'Responsibilities'!$G$8+('Sites'!E6*'Capital'!E6*(IF(34='Capital'!G6,'Capital'!F6,0)+IF(34='Capital'!H6,1-'Capital'!F6,0)))*(1-'Responsibilities'!$G$6)+('Sites'!E7*'Capital'!E7*(IF(34='Capital'!G7+'Cases'!G9,'Capital'!F7,0)+IF(34='Capital'!H7+'Cases'!G9,1-'Capital'!F7,0)))*(1-'Responsibilities'!$G$7)+('Sites'!E8*'Cases'!F9*'Capital'!E8*(IF(34='Capital'!G8+'Cases'!G9,'Capital'!F8,0)+IF(34='Capital'!H8+'Cases'!G9,1-'Capital'!F8,0)))*(1-'Responsibilities'!$G$8)+I147+SUMPRODUCT('Costs'!$E$36:$E$40,'Costs'!$F$36:$F$40)/12+BZ147)</f>
        <v/>
      </c>
      <c r="BZ147">
        <f>SUMIFS('Responsibilities'!$B$31:$B$35,'Responsibilities'!$C$31:$C$35,34,'Responsibilities'!$D$31:$D$35,"Yes")</f>
        <v/>
      </c>
    </row>
    <row r="148" ht="28" customHeight="1">
      <c r="A148" s="4" t="inlineStr">
        <is>
          <t>Delayed receipts</t>
        </is>
      </c>
      <c r="B148" s="4" t="n">
        <v>35</v>
      </c>
      <c r="C148" s="4">
        <f>ROUNDUP(B148/12,0)</f>
        <v/>
      </c>
      <c r="D148" s="137">
        <f>SUMIFS('Production schedule'!$N$330:$N$437,'Production schedule'!$C$330:$C$437,35)</f>
        <v/>
      </c>
      <c r="E148" s="137">
        <f>SUMIFS('Production schedule'!$Y$330:$Y$437,'Production schedule'!$C$330:$C$437,35)</f>
        <v/>
      </c>
      <c r="F148" s="137">
        <f>SUMIFS('Production schedule'!$Z$330:$Z$437,'Production schedule'!$C$330:$C$437,35)</f>
        <v/>
      </c>
      <c r="G148" s="137">
        <f>('Production schedule'!AJ364)*'Responsibilities'!$C$6+('Production schedule'!AJ400)*'Responsibilities'!$C$7+('Production schedule'!AJ436)*'Responsibilities'!$C$8</f>
        <v/>
      </c>
      <c r="H148" s="137">
        <f>('Production schedule'!AI364)*'Responsibilities'!$D$6+('Production schedule'!AI400)*'Responsibilities'!$D$7+('Production schedule'!AI436)*'Responsibilities'!$D$8</f>
        <v/>
      </c>
      <c r="I148" s="137">
        <f>SUM('Assumptions'!AL58:AL65)</f>
        <v/>
      </c>
      <c r="J148" s="137">
        <f>('Production schedule'!E364*(IF('Sites'!D6="Annual staff",SUM('Assumptions'!AL112,'Assumptions'!AL114),0)+SUM('Assumptions'!AL113,'Assumptions'!AL115:AL116)))*'Responsibilities'!$E$6+('Production schedule'!E400*(IF('Sites'!D7="Annual staff",SUM('Assumptions'!AL117,'Assumptions'!AL119),0)+SUM('Assumptions'!AL118,'Assumptions'!AL120:AL121)))*'Responsibilities'!$E$7+('Production schedule'!E436*(IF('Sites'!D8="Annual staff",SUM('Assumptions'!AL122,'Assumptions'!AL124),0)+SUM('Assumptions'!AL123,'Assumptions'!AL125:AL126)))*'Responsibilities'!$E$8</f>
        <v/>
      </c>
      <c r="K148" s="137">
        <f>(IF(AND('Production schedule'!E364=1,35=MAX(('Sites'!F6),25),ISNUMBER('Sites'!Q6)),'Sites'!Q6*'Assumptions'!$B$44,0))*'Responsibilities'!$F$6+(IF(AND('Production schedule'!E400=1,35=MAX(('Sites'!F7+'Cases'!G9),25),ISNUMBER('Sites'!Q7)),'Sites'!Q7*'Assumptions'!$B$44,0))*'Responsibilities'!$F$7+(IF(AND('Production schedule'!E436=1,35=MAX(('Sites'!F8+'Cases'!G9),25),ISNUMBER('Sites'!Q8)),'Sites'!Q8*'Assumptions'!$B$44,0))*'Responsibilities'!$F$8</f>
        <v/>
      </c>
      <c r="L148" s="137">
        <f>SUM('Costs'!E36)*'Costs'!F36/12*'Responsibilities'!$C$12+SUM('Costs'!E37)*'Costs'!F37/12*'Responsibilities'!$C$13+SUM('Costs'!E38)*'Costs'!F38/12*'Responsibilities'!$C$14+SUM('Costs'!E39)*'Costs'!F39/12*'Responsibilities'!$C$15+SUM('Costs'!E40)*'Costs'!F40/12*'Responsibilities'!$C$16+BZ148</f>
        <v/>
      </c>
      <c r="M148" s="137">
        <f>('Sites'!E6*'Capital'!E6*(IF(35='Capital'!G6,'Capital'!F6,0)+IF(35='Capital'!H6,1-'Capital'!F6,0)))*'Responsibilities'!$G$6+('Sites'!E7*'Capital'!E7*(IF(35='Capital'!G7+'Cases'!G9,'Capital'!F7,0)+IF(35='Capital'!H7+'Cases'!G9,1-'Capital'!F7,0)))*'Responsibilities'!$G$7+('Sites'!E8*'Cases'!F9*'Capital'!E8*(IF(35='Capital'!G8+'Cases'!G9,'Capital'!F8,0)+IF(35='Capital'!H8+'Cases'!G9,1-'Capital'!F8,0)))*'Responsibilities'!$G$8</f>
        <v/>
      </c>
      <c r="N148" s="137">
        <f>SUM(G148:M148)</f>
        <v/>
      </c>
      <c r="O148" s="137">
        <f>SUMIFS(FundingTranches[Secured amount],FundingTranches[Instrument],"Grant",FundingTranches[Secured month],35)</f>
        <v/>
      </c>
      <c r="P148" s="137">
        <f>SUMIFS(FundingTranches[Delayed receipts possible],FundingTranches[Instrument],"Grant",FundingTranches[Scenario month],35-'Cases'!$D$9)</f>
        <v/>
      </c>
      <c r="Q148" s="137">
        <f>SUMIFS(FundingTranches[Secured amount],FundingTranches[Instrument],"Loan",FundingTranches[Secured month],35)</f>
        <v/>
      </c>
      <c r="R148" s="137">
        <f>SUMIFS(FundingTranches[Delayed receipts possible],FundingTranches[Instrument],"Loan",FundingTranches[Scenario month],35-'Cases'!$D$9)</f>
        <v/>
      </c>
      <c r="S148" s="137">
        <f>IF(35&lt;='Assumptions'!$B$34,0,SUMIFS('Production schedule'!$AL$330:$AL$437,'Production schedule'!$C$330:$C$437,35-'Assumptions'!$B$34))</f>
        <v/>
      </c>
      <c r="T148" s="137">
        <f>'Assumptions'!AL70</f>
        <v/>
      </c>
      <c r="U148" s="137">
        <f>'Assumptions'!AL78</f>
        <v/>
      </c>
      <c r="V148" s="137">
        <f>SUM(O148:U148)</f>
        <v/>
      </c>
      <c r="W148" s="137">
        <f>AA147</f>
        <v/>
      </c>
      <c r="X148" s="137">
        <f>SUM(Q148:R148)</f>
        <v/>
      </c>
      <c r="Y148" s="137">
        <f>SUM(W148,X148)*'Assumptions'!$B$39/12</f>
        <v/>
      </c>
      <c r="Z148" s="137">
        <f>IF(SUM(W148,X148)&gt;0,MIN(SUM(W148,X148),MAX(0,BP148-Y148)),0)</f>
        <v/>
      </c>
      <c r="AA148" s="137">
        <f>SUM(W148,X148)-Z148</f>
        <v/>
      </c>
      <c r="AB148" s="137">
        <f>SUM(Y148:Z148)</f>
        <v/>
      </c>
      <c r="AC148" s="137">
        <f>'Assumptions'!AL72</f>
        <v/>
      </c>
      <c r="AD148" s="137">
        <f>'Assumptions'!AL73</f>
        <v/>
      </c>
      <c r="AE148" s="137">
        <f>IF(X148&gt;0,SUM('Assumptions'!$B$42),0)</f>
        <v/>
      </c>
      <c r="AF148" s="137">
        <f>'Assumptions'!AL71</f>
        <v/>
      </c>
      <c r="AG148" s="137">
        <f>'Assumptions'!AL74</f>
        <v/>
      </c>
      <c r="AH148" s="137">
        <f>'Assumptions'!AL75</f>
        <v/>
      </c>
      <c r="AI148" s="137">
        <f>'Assumptions'!AL77</f>
        <v/>
      </c>
      <c r="AJ148" s="137">
        <f>V148-N148-SUM(AB148:AI148)</f>
        <v/>
      </c>
      <c r="AK148" s="137">
        <f>SUM(AJ114:AJ148)</f>
        <v/>
      </c>
      <c r="AL148" s="137">
        <f>IF(ISNUMBER('Assumptions'!$B$10),'Assumptions'!$B$10+AK148,"")</f>
        <v/>
      </c>
      <c r="AM148" s="137">
        <f>SUM(O148,Q148,T148)-N148-SUM(AC148:AI148)+IF('Funding'!$N$11=0,AE148,0)-IF('Funding'!$N$11&gt;0,AB148,0)</f>
        <v/>
      </c>
      <c r="AN148" s="137">
        <f>SUM(AM114:AM148)</f>
        <v/>
      </c>
      <c r="AO148" s="137">
        <f>IF(ISNUMBER('Assumptions'!$B$10),'Assumptions'!$B$10+AN148,"")</f>
        <v/>
      </c>
      <c r="AP148" s="137">
        <f>('Production schedule'!AK364)*'Responsibilities'!$C$6+('Production schedule'!AK400)*'Responsibilities'!$C$7+('Production schedule'!AK436)*'Responsibilities'!$C$8</f>
        <v/>
      </c>
      <c r="AQ148" s="137">
        <f>SUMIFS('Production schedule'!$AL$330:$AL$437,'Production schedule'!$C$330:$C$437,35)</f>
        <v/>
      </c>
      <c r="AR148" s="137">
        <f>IF(ISNUMBER('Assumptions'!AL76),'Assumptions'!AL76,SUM(O148:P148))</f>
        <v/>
      </c>
      <c r="AS148" s="137">
        <f>IF(ISNUMBER('Assumptions'!$B$13),MIN('Assumptions'!$B$13/'Assumptions'!$B$18/12,MAX(0,'Assumptions'!$B$13-(35-1)*'Assumptions'!$B$13/'Assumptions'!$B$18/12)),0)+IF(AND('Sites'!E6=1,35&gt;=('Sites'!F6),35&lt;('Sites'!F6)+'Assumptions'!$B$18*12),'Capital'!E6/'Assumptions'!$B$18/12,0)+IF(AND('Sites'!E7=1,35&gt;=('Sites'!F7+'Cases'!G9),35&lt;('Sites'!F7+'Cases'!G9)+'Assumptions'!$B$18*12),'Capital'!E7/'Assumptions'!$B$18/12,0)+IF(AND('Sites'!E8*'Cases'!F9=1,35&gt;=('Sites'!F8+'Cases'!G9),35&lt;('Sites'!F8+'Cases'!G9)+'Assumptions'!$B$18*12),'Capital'!E8/'Assumptions'!$B$18/12,0)</f>
        <v/>
      </c>
      <c r="AT148" s="137">
        <f>SUM(AQ148,AR148,U148)-AP148-SUM(H148:L148)-AS148-SUM(Y148,AD148,AE148,AH148)</f>
        <v/>
      </c>
      <c r="AU148" s="137">
        <f>IF(ISNUMBER('Assumptions'!$B$19),MAX(0,SUM(AT138:AT148))*'Assumptions'!$B$19-SUM(AU138:AU147),"")</f>
        <v/>
      </c>
      <c r="AV148" s="137">
        <f>IF(ISNUMBER(AU148),AT148-AU148,"")</f>
        <v/>
      </c>
      <c r="AW148" s="137">
        <f>IF(ISNUMBER('Assumptions'!$B$11),'Assumptions'!$B$11+SUM(AQ114:AQ148)-SUM(S114:S148)-SUM(T114:T148),"")</f>
        <v/>
      </c>
      <c r="AX148" s="137">
        <f>IF(ISNUMBER('Assumptions'!$B$12),'Assumptions'!$B$12+SUM(G114:G148)-SUM(AP114:AP148),"")</f>
        <v/>
      </c>
      <c r="AY148" s="137">
        <f>IF(ISNUMBER('Assumptions'!$B$13),'Assumptions'!$B$13+SUM(M114:M148)-SUM(AS114:AS148),"")</f>
        <v/>
      </c>
      <c r="AZ148" s="137">
        <f>IF(ISNUMBER('Assumptions'!$B$14),'Assumptions'!$B$14+-SUM(AF114:AF148),"")</f>
        <v/>
      </c>
      <c r="BA148" s="137">
        <f>IF(ISNUMBER('Assumptions'!$B$15),'Assumptions'!$B$15+SUM(O114:O148)+SUM(P114:P148)-SUM(AR114:AR148),"")</f>
        <v/>
      </c>
      <c r="BB148" s="137">
        <f>IF(ISNUMBER('Assumptions'!$B$16),'Assumptions'!$B$16+-SUM(AC114:AC148),"")</f>
        <v/>
      </c>
      <c r="BC148" s="137">
        <f>IF(AND(ISNUMBER('Assumptions'!$B$21),ISNUMBER('Assumptions'!$B$19)),'Assumptions'!$B$21+SUM(AU114:AU148)-SUM(AG114:AG148),"")</f>
        <v/>
      </c>
      <c r="BD148" s="137">
        <f>IF(ISNUMBER('Assumptions'!$B$20),'Assumptions'!$B$20+-SUM(AI114:AI148),"")</f>
        <v/>
      </c>
      <c r="BE148" s="137">
        <f>IF(AND(ISNUMBER('Assumptions'!$B$17),COUNT(AV114:AV148)=35),'Assumptions'!$B$17+SUM(AV114:AV148),"")</f>
        <v/>
      </c>
      <c r="BF148" s="137">
        <f>IF(COUNT(AL148,AW148:AY148)=4,SUM(AL148,AW148:AY148),"")</f>
        <v/>
      </c>
      <c r="BG148" s="137">
        <f>IF(COUNT(AZ148:BD148)=5,SUM(AZ148:BD148,AA148),"")</f>
        <v/>
      </c>
      <c r="BH148" s="137">
        <f>IF(COUNT(BF148,BG148,BE148)=3,BF148-BG148-BE148,"")</f>
        <v/>
      </c>
      <c r="BI148" s="137">
        <f>SUM(W148,X148)-Z148-AA148</f>
        <v/>
      </c>
      <c r="BJ148" s="137">
        <f>8-COUNT('Assumptions'!AL58:AL65)+COUNTBLANK('NM Play'!B33:B34)+'Costs'!E44+IF(AND('Sites'!E6=1,('Sites'!F6)&lt;=36,'Sites'!G6&gt;=25),IF(ISNUMBER('Sites'!Q6),0,1)+'Capital'!I6+COUNTBLANK('Sites'!R6)+IF('Sites'!D6="NM crew",COUNTBLANK('NM Play'!B25)+1,5-COUNT('Assumptions'!AL112:AL116)),0)+IF(AND('Sites'!E7=1,('Sites'!F7+'Cases'!G9)&lt;=36,'Sites'!G7&gt;=25),IF(ISNUMBER('Sites'!Q7),0,1)+'Capital'!I7+COUNTBLANK('Sites'!R7)+IF('Sites'!D7="NM crew",COUNTBLANK('NM Play'!B25)+1,5-COUNT('Assumptions'!AL117:AL121)),0)+IF(AND('Sites'!E8*'Cases'!F9=1,('Sites'!F8+'Cases'!G9)&lt;=36,'Sites'!G8&gt;=25),IF(ISNUMBER('Sites'!Q8),0,1)+'Capital'!I8+COUNTBLANK('Sites'!R8)+IF('Sites'!D8="NM crew",COUNTBLANK('NM Play'!B25)+1,5-COUNT('Assumptions'!AL122:AL126)),0)+IF(AND('Cases'!C9&gt;0,NOT(ISNUMBER('Assumptions'!B42))),1,0)+'Responsibilities'!$B$39</f>
        <v/>
      </c>
      <c r="BK148" s="137">
        <f>'Assumptions'!$B$50+'NM Play'!$B$83+'Funding'!$F$20+SUMIFS('Production schedule'!$AN$330:$AN$437,'Production schedule'!$C$330:$C$437,35)+IF(OR('Cases'!E9&lt;0,'Cases'!E9&gt;1,'Cases'!C9&lt;0,'Cases'!D9&lt;0,ABS(SUM('Sites'!S6:S8)-1)&gt;0.0001,MIN('Capital'!F6:F8)&lt;0,MAX('Capital'!F6:F8)&gt;1,MIN(AX148,AZ148,BB148,BA148)&lt;-0.01),1,0)+'Responsibilities'!$B$40</f>
        <v/>
      </c>
      <c r="BL148" s="137">
        <f>SUMIFS('Production schedule'!$T$330:$T$437,'Production schedule'!$C$330:$C$437,35)</f>
        <v/>
      </c>
      <c r="BM148" s="137">
        <f>D148*'NM Play'!$B$38</f>
        <v/>
      </c>
      <c r="BN148" s="137">
        <f>SUMIFS('Production schedule'!$AM$330:$AM$437,'Production schedule'!$C$330:$C$437,35)</f>
        <v/>
      </c>
      <c r="BO148" s="137">
        <f>AK148-AK147-AJ148</f>
        <v/>
      </c>
      <c r="BP148" s="137">
        <f>IF(AND('Assumptions'!$B$39&gt;=0,'Assumptions'!$B$40&gt;0),-PMT('Assumptions'!$B$39/12,'Assumptions'!$B$40*12,IF('Funding'!$N$11&gt;0,'Funding'!$N$11,'Funding'!$U$11)),"")</f>
        <v/>
      </c>
      <c r="BQ148">
        <f>('Production schedule'!AJ364)*(1-'Responsibilities'!$C$6)+('Production schedule'!AJ400)*(1-'Responsibilities'!$C$7)+('Production schedule'!AJ436)*(1-'Responsibilities'!$C$8)</f>
        <v/>
      </c>
      <c r="BR148">
        <f>('Production schedule'!AI364)*(1-'Responsibilities'!$D$6)+('Production schedule'!AI400)*(1-'Responsibilities'!$D$7)+('Production schedule'!AI436)*(1-'Responsibilities'!$D$8)</f>
        <v/>
      </c>
      <c r="BS148">
        <f>('Production schedule'!E364*(IF('Sites'!D6="Annual staff",SUM('Assumptions'!AL112,'Assumptions'!AL114),0)+SUM('Assumptions'!AL113,'Assumptions'!AL115:AL116)))*(1-'Responsibilities'!$E$6)+('Production schedule'!E400*(IF('Sites'!D7="Annual staff",SUM('Assumptions'!AL117,'Assumptions'!AL119),0)+SUM('Assumptions'!AL118,'Assumptions'!AL120:AL121)))*(1-'Responsibilities'!$E$7)+('Production schedule'!E436*(IF('Sites'!D8="Annual staff",SUM('Assumptions'!AL122,'Assumptions'!AL124),0)+SUM('Assumptions'!AL123,'Assumptions'!AL125:AL126)))*(1-'Responsibilities'!$E$8)</f>
        <v/>
      </c>
      <c r="BT148">
        <f>(IF(AND('Production schedule'!E364=1,35=MAX(('Sites'!F6),25),ISNUMBER('Sites'!Q6)),'Sites'!Q6*'Assumptions'!$B$44,0))*(1-'Responsibilities'!$F$6)+(IF(AND('Production schedule'!E400=1,35=MAX(('Sites'!F7+'Cases'!G9),25),ISNUMBER('Sites'!Q7)),'Sites'!Q7*'Assumptions'!$B$44,0))*(1-'Responsibilities'!$F$7)+(IF(AND('Production schedule'!E436=1,35=MAX(('Sites'!F8+'Cases'!G9),25),ISNUMBER('Sites'!Q8)),'Sites'!Q8*'Assumptions'!$B$44,0))*(1-'Responsibilities'!$F$8)</f>
        <v/>
      </c>
      <c r="BU148">
        <f>SUM('Costs'!E36)*'Costs'!F36/12*(1-'Responsibilities'!$C$12)+SUM('Costs'!E37)*'Costs'!F37/12*(1-'Responsibilities'!$C$13)+SUM('Costs'!E38)*'Costs'!F38/12*(1-'Responsibilities'!$C$14)+SUM('Costs'!E39)*'Costs'!F39/12*(1-'Responsibilities'!$C$15)+SUM('Costs'!E40)*'Costs'!F40/12*(1-'Responsibilities'!$C$16)</f>
        <v/>
      </c>
      <c r="BV148">
        <f>('Sites'!E6*'Capital'!E6*(IF(35='Capital'!G6,'Capital'!F6,0)+IF(35='Capital'!H6,1-'Capital'!F6,0)))*(1-'Responsibilities'!$G$6)+('Sites'!E7*'Capital'!E7*(IF(35='Capital'!G7+'Cases'!G9,'Capital'!F7,0)+IF(35='Capital'!H7+'Cases'!G9,1-'Capital'!F7,0)))*(1-'Responsibilities'!$G$7)+('Sites'!E8*'Cases'!F9*'Capital'!E8*(IF(35='Capital'!G8+'Cases'!G9,'Capital'!F8,0)+IF(35='Capital'!H8+'Cases'!G9,1-'Capital'!F8,0)))*(1-'Responsibilities'!$G$8)</f>
        <v/>
      </c>
      <c r="BW148">
        <f>SUM(BQ148:BV148)</f>
        <v/>
      </c>
      <c r="BX148">
        <f>N148+BW148</f>
        <v/>
      </c>
      <c r="BY148">
        <f>BX148-(('Production schedule'!AJ364)*'Responsibilities'!$C$6+('Production schedule'!AJ400)*'Responsibilities'!$C$7+('Production schedule'!AJ436)*'Responsibilities'!$C$8+('Production schedule'!AJ364)*(1-'Responsibilities'!$C$6)+('Production schedule'!AJ400)*(1-'Responsibilities'!$C$7)+('Production schedule'!AJ436)*(1-'Responsibilities'!$C$8)+('Production schedule'!AI364)*'Responsibilities'!$D$6+('Production schedule'!AI400)*'Responsibilities'!$D$7+('Production schedule'!AI436)*'Responsibilities'!$D$8+('Production schedule'!AI364)*(1-'Responsibilities'!$D$6)+('Production schedule'!AI400)*(1-'Responsibilities'!$D$7)+('Production schedule'!AI436)*(1-'Responsibilities'!$D$8)+('Production schedule'!E364*(IF('Sites'!D6="Annual staff",SUM('Assumptions'!AL112,'Assumptions'!AL114),0)+SUM('Assumptions'!AL113,'Assumptions'!AL115:AL116)))*'Responsibilities'!$E$6+('Production schedule'!E400*(IF('Sites'!D7="Annual staff",SUM('Assumptions'!AL117,'Assumptions'!AL119),0)+SUM('Assumptions'!AL118,'Assumptions'!AL120:AL121)))*'Responsibilities'!$E$7+('Production schedule'!E436*(IF('Sites'!D8="Annual staff",SUM('Assumptions'!AL122,'Assumptions'!AL124),0)+SUM('Assumptions'!AL123,'Assumptions'!AL125:AL126)))*'Responsibilities'!$E$8+('Production schedule'!E364*(IF('Sites'!D6="Annual staff",SUM('Assumptions'!AL112,'Assumptions'!AL114),0)+SUM('Assumptions'!AL113,'Assumptions'!AL115:AL116)))*(1-'Responsibilities'!$E$6)+('Production schedule'!E400*(IF('Sites'!D7="Annual staff",SUM('Assumptions'!AL117,'Assumptions'!AL119),0)+SUM('Assumptions'!AL118,'Assumptions'!AL120:AL121)))*(1-'Responsibilities'!$E$7)+('Production schedule'!E436*(IF('Sites'!D8="Annual staff",SUM('Assumptions'!AL122,'Assumptions'!AL124),0)+SUM('Assumptions'!AL123,'Assumptions'!AL125:AL126)))*(1-'Responsibilities'!$E$8)+(IF(AND('Production schedule'!E364=1,35=MAX(('Sites'!F6),25),ISNUMBER('Sites'!Q6)),'Sites'!Q6*'Assumptions'!$B$44,0))*'Responsibilities'!$F$6+(IF(AND('Production schedule'!E400=1,35=MAX(('Sites'!F7+'Cases'!G9),25),ISNUMBER('Sites'!Q7)),'Sites'!Q7*'Assumptions'!$B$44,0))*'Responsibilities'!$F$7+(IF(AND('Production schedule'!E436=1,35=MAX(('Sites'!F8+'Cases'!G9),25),ISNUMBER('Sites'!Q8)),'Sites'!Q8*'Assumptions'!$B$44,0))*'Responsibilities'!$F$8+(IF(AND('Production schedule'!E364=1,35=MAX(('Sites'!F6),25),ISNUMBER('Sites'!Q6)),'Sites'!Q6*'Assumptions'!$B$44,0))*(1-'Responsibilities'!$F$6)+(IF(AND('Production schedule'!E400=1,35=MAX(('Sites'!F7+'Cases'!G9),25),ISNUMBER('Sites'!Q7)),'Sites'!Q7*'Assumptions'!$B$44,0))*(1-'Responsibilities'!$F$7)+(IF(AND('Production schedule'!E436=1,35=MAX(('Sites'!F8+'Cases'!G9),25),ISNUMBER('Sites'!Q8)),'Sites'!Q8*'Assumptions'!$B$44,0))*(1-'Responsibilities'!$F$8)+('Sites'!E6*'Capital'!E6*(IF(35='Capital'!G6,'Capital'!F6,0)+IF(35='Capital'!H6,1-'Capital'!F6,0)))*'Responsibilities'!$G$6+('Sites'!E7*'Capital'!E7*(IF(35='Capital'!G7+'Cases'!G9,'Capital'!F7,0)+IF(35='Capital'!H7+'Cases'!G9,1-'Capital'!F7,0)))*'Responsibilities'!$G$7+('Sites'!E8*'Cases'!F9*'Capital'!E8*(IF(35='Capital'!G8+'Cases'!G9,'Capital'!F8,0)+IF(35='Capital'!H8+'Cases'!G9,1-'Capital'!F8,0)))*'Responsibilities'!$G$8+('Sites'!E6*'Capital'!E6*(IF(35='Capital'!G6,'Capital'!F6,0)+IF(35='Capital'!H6,1-'Capital'!F6,0)))*(1-'Responsibilities'!$G$6)+('Sites'!E7*'Capital'!E7*(IF(35='Capital'!G7+'Cases'!G9,'Capital'!F7,0)+IF(35='Capital'!H7+'Cases'!G9,1-'Capital'!F7,0)))*(1-'Responsibilities'!$G$7)+('Sites'!E8*'Cases'!F9*'Capital'!E8*(IF(35='Capital'!G8+'Cases'!G9,'Capital'!F8,0)+IF(35='Capital'!H8+'Cases'!G9,1-'Capital'!F8,0)))*(1-'Responsibilities'!$G$8)+I148+SUMPRODUCT('Costs'!$E$36:$E$40,'Costs'!$F$36:$F$40)/12+BZ148)</f>
        <v/>
      </c>
      <c r="BZ148">
        <f>SUMIFS('Responsibilities'!$B$31:$B$35,'Responsibilities'!$C$31:$C$35,35,'Responsibilities'!$D$31:$D$35,"Yes")</f>
        <v/>
      </c>
    </row>
    <row r="149" ht="28" customHeight="1">
      <c r="A149" s="4" t="inlineStr">
        <is>
          <t>Delayed receipts</t>
        </is>
      </c>
      <c r="B149" s="4" t="n">
        <v>36</v>
      </c>
      <c r="C149" s="4">
        <f>ROUNDUP(B149/12,0)</f>
        <v/>
      </c>
      <c r="D149" s="137">
        <f>SUMIFS('Production schedule'!$N$330:$N$437,'Production schedule'!$C$330:$C$437,36)</f>
        <v/>
      </c>
      <c r="E149" s="137">
        <f>SUMIFS('Production schedule'!$Y$330:$Y$437,'Production schedule'!$C$330:$C$437,36)</f>
        <v/>
      </c>
      <c r="F149" s="137">
        <f>SUMIFS('Production schedule'!$Z$330:$Z$437,'Production schedule'!$C$330:$C$437,36)</f>
        <v/>
      </c>
      <c r="G149" s="137">
        <f>('Production schedule'!AJ365)*'Responsibilities'!$C$6+('Production schedule'!AJ401)*'Responsibilities'!$C$7+('Production schedule'!AJ437)*'Responsibilities'!$C$8</f>
        <v/>
      </c>
      <c r="H149" s="137">
        <f>('Production schedule'!AI365)*'Responsibilities'!$D$6+('Production schedule'!AI401)*'Responsibilities'!$D$7+('Production schedule'!AI437)*'Responsibilities'!$D$8</f>
        <v/>
      </c>
      <c r="I149" s="137">
        <f>SUM('Assumptions'!AM58:AM65)</f>
        <v/>
      </c>
      <c r="J149" s="137">
        <f>('Production schedule'!E365*(IF('Sites'!D6="Annual staff",SUM('Assumptions'!AM112,'Assumptions'!AM114),0)+SUM('Assumptions'!AM113,'Assumptions'!AM115:AM116)))*'Responsibilities'!$E$6+('Production schedule'!E401*(IF('Sites'!D7="Annual staff",SUM('Assumptions'!AM117,'Assumptions'!AM119),0)+SUM('Assumptions'!AM118,'Assumptions'!AM120:AM121)))*'Responsibilities'!$E$7+('Production schedule'!E437*(IF('Sites'!D8="Annual staff",SUM('Assumptions'!AM122,'Assumptions'!AM124),0)+SUM('Assumptions'!AM123,'Assumptions'!AM125:AM126)))*'Responsibilities'!$E$8</f>
        <v/>
      </c>
      <c r="K149" s="137">
        <f>(IF(AND('Production schedule'!E365=1,36=MAX(('Sites'!F6),25),ISNUMBER('Sites'!Q6)),'Sites'!Q6*'Assumptions'!$B$44,0))*'Responsibilities'!$F$6+(IF(AND('Production schedule'!E401=1,36=MAX(('Sites'!F7+'Cases'!G9),25),ISNUMBER('Sites'!Q7)),'Sites'!Q7*'Assumptions'!$B$44,0))*'Responsibilities'!$F$7+(IF(AND('Production schedule'!E437=1,36=MAX(('Sites'!F8+'Cases'!G9),25),ISNUMBER('Sites'!Q8)),'Sites'!Q8*'Assumptions'!$B$44,0))*'Responsibilities'!$F$8</f>
        <v/>
      </c>
      <c r="L149" s="137">
        <f>SUM('Costs'!E36)*'Costs'!F36/12*'Responsibilities'!$C$12+SUM('Costs'!E37)*'Costs'!F37/12*'Responsibilities'!$C$13+SUM('Costs'!E38)*'Costs'!F38/12*'Responsibilities'!$C$14+SUM('Costs'!E39)*'Costs'!F39/12*'Responsibilities'!$C$15+SUM('Costs'!E40)*'Costs'!F40/12*'Responsibilities'!$C$16+BZ149</f>
        <v/>
      </c>
      <c r="M149" s="137">
        <f>('Sites'!E6*'Capital'!E6*(IF(36='Capital'!G6,'Capital'!F6,0)+IF(36='Capital'!H6,1-'Capital'!F6,0)))*'Responsibilities'!$G$6+('Sites'!E7*'Capital'!E7*(IF(36='Capital'!G7+'Cases'!G9,'Capital'!F7,0)+IF(36='Capital'!H7+'Cases'!G9,1-'Capital'!F7,0)))*'Responsibilities'!$G$7+('Sites'!E8*'Cases'!F9*'Capital'!E8*(IF(36='Capital'!G8+'Cases'!G9,'Capital'!F8,0)+IF(36='Capital'!H8+'Cases'!G9,1-'Capital'!F8,0)))*'Responsibilities'!$G$8</f>
        <v/>
      </c>
      <c r="N149" s="137">
        <f>SUM(G149:M149)</f>
        <v/>
      </c>
      <c r="O149" s="137">
        <f>SUMIFS(FundingTranches[Secured amount],FundingTranches[Instrument],"Grant",FundingTranches[Secured month],36)</f>
        <v/>
      </c>
      <c r="P149" s="137">
        <f>SUMIFS(FundingTranches[Delayed receipts possible],FundingTranches[Instrument],"Grant",FundingTranches[Scenario month],36-'Cases'!$D$9)</f>
        <v/>
      </c>
      <c r="Q149" s="137">
        <f>SUMIFS(FundingTranches[Secured amount],FundingTranches[Instrument],"Loan",FundingTranches[Secured month],36)</f>
        <v/>
      </c>
      <c r="R149" s="137">
        <f>SUMIFS(FundingTranches[Delayed receipts possible],FundingTranches[Instrument],"Loan",FundingTranches[Scenario month],36-'Cases'!$D$9)</f>
        <v/>
      </c>
      <c r="S149" s="137">
        <f>IF(36&lt;='Assumptions'!$B$34,0,SUMIFS('Production schedule'!$AL$330:$AL$437,'Production schedule'!$C$330:$C$437,36-'Assumptions'!$B$34))</f>
        <v/>
      </c>
      <c r="T149" s="137">
        <f>'Assumptions'!AM70</f>
        <v/>
      </c>
      <c r="U149" s="137">
        <f>'Assumptions'!AM78</f>
        <v/>
      </c>
      <c r="V149" s="137">
        <f>SUM(O149:U149)</f>
        <v/>
      </c>
      <c r="W149" s="137">
        <f>AA148</f>
        <v/>
      </c>
      <c r="X149" s="137">
        <f>SUM(Q149:R149)</f>
        <v/>
      </c>
      <c r="Y149" s="137">
        <f>SUM(W149,X149)*'Assumptions'!$B$39/12</f>
        <v/>
      </c>
      <c r="Z149" s="137">
        <f>IF(SUM(W149,X149)&gt;0,MIN(SUM(W149,X149),MAX(0,BP149-Y149)),0)</f>
        <v/>
      </c>
      <c r="AA149" s="137">
        <f>SUM(W149,X149)-Z149</f>
        <v/>
      </c>
      <c r="AB149" s="137">
        <f>SUM(Y149:Z149)</f>
        <v/>
      </c>
      <c r="AC149" s="137">
        <f>'Assumptions'!AM72</f>
        <v/>
      </c>
      <c r="AD149" s="137">
        <f>'Assumptions'!AM73</f>
        <v/>
      </c>
      <c r="AE149" s="137">
        <f>IF(X149&gt;0,SUM('Assumptions'!$B$42),0)</f>
        <v/>
      </c>
      <c r="AF149" s="137">
        <f>'Assumptions'!AM71</f>
        <v/>
      </c>
      <c r="AG149" s="137">
        <f>'Assumptions'!AM74</f>
        <v/>
      </c>
      <c r="AH149" s="137">
        <f>'Assumptions'!AM75</f>
        <v/>
      </c>
      <c r="AI149" s="137">
        <f>'Assumptions'!AM77</f>
        <v/>
      </c>
      <c r="AJ149" s="137">
        <f>V149-N149-SUM(AB149:AI149)</f>
        <v/>
      </c>
      <c r="AK149" s="137">
        <f>SUM(AJ114:AJ149)</f>
        <v/>
      </c>
      <c r="AL149" s="137">
        <f>IF(ISNUMBER('Assumptions'!$B$10),'Assumptions'!$B$10+AK149,"")</f>
        <v/>
      </c>
      <c r="AM149" s="137">
        <f>SUM(O149,Q149,T149)-N149-SUM(AC149:AI149)+IF('Funding'!$N$11=0,AE149,0)-IF('Funding'!$N$11&gt;0,AB149,0)</f>
        <v/>
      </c>
      <c r="AN149" s="137">
        <f>SUM(AM114:AM149)</f>
        <v/>
      </c>
      <c r="AO149" s="137">
        <f>IF(ISNUMBER('Assumptions'!$B$10),'Assumptions'!$B$10+AN149,"")</f>
        <v/>
      </c>
      <c r="AP149" s="137">
        <f>('Production schedule'!AK365)*'Responsibilities'!$C$6+('Production schedule'!AK401)*'Responsibilities'!$C$7+('Production schedule'!AK437)*'Responsibilities'!$C$8</f>
        <v/>
      </c>
      <c r="AQ149" s="137">
        <f>SUMIFS('Production schedule'!$AL$330:$AL$437,'Production schedule'!$C$330:$C$437,36)</f>
        <v/>
      </c>
      <c r="AR149" s="137">
        <f>IF(ISNUMBER('Assumptions'!AM76),'Assumptions'!AM76,SUM(O149:P149))</f>
        <v/>
      </c>
      <c r="AS149" s="137">
        <f>IF(ISNUMBER('Assumptions'!$B$13),MIN('Assumptions'!$B$13/'Assumptions'!$B$18/12,MAX(0,'Assumptions'!$B$13-(36-1)*'Assumptions'!$B$13/'Assumptions'!$B$18/12)),0)+IF(AND('Sites'!E6=1,36&gt;=('Sites'!F6),36&lt;('Sites'!F6)+'Assumptions'!$B$18*12),'Capital'!E6/'Assumptions'!$B$18/12,0)+IF(AND('Sites'!E7=1,36&gt;=('Sites'!F7+'Cases'!G9),36&lt;('Sites'!F7+'Cases'!G9)+'Assumptions'!$B$18*12),'Capital'!E7/'Assumptions'!$B$18/12,0)+IF(AND('Sites'!E8*'Cases'!F9=1,36&gt;=('Sites'!F8+'Cases'!G9),36&lt;('Sites'!F8+'Cases'!G9)+'Assumptions'!$B$18*12),'Capital'!E8/'Assumptions'!$B$18/12,0)</f>
        <v/>
      </c>
      <c r="AT149" s="137">
        <f>SUM(AQ149,AR149,U149)-AP149-SUM(H149:L149)-AS149-SUM(Y149,AD149,AE149,AH149)</f>
        <v/>
      </c>
      <c r="AU149" s="137">
        <f>IF(ISNUMBER('Assumptions'!$B$19),MAX(0,SUM(AT138:AT149))*'Assumptions'!$B$19-SUM(AU138:AU148),"")</f>
        <v/>
      </c>
      <c r="AV149" s="137">
        <f>IF(ISNUMBER(AU149),AT149-AU149,"")</f>
        <v/>
      </c>
      <c r="AW149" s="137">
        <f>IF(ISNUMBER('Assumptions'!$B$11),'Assumptions'!$B$11+SUM(AQ114:AQ149)-SUM(S114:S149)-SUM(T114:T149),"")</f>
        <v/>
      </c>
      <c r="AX149" s="137">
        <f>IF(ISNUMBER('Assumptions'!$B$12),'Assumptions'!$B$12+SUM(G114:G149)-SUM(AP114:AP149),"")</f>
        <v/>
      </c>
      <c r="AY149" s="137">
        <f>IF(ISNUMBER('Assumptions'!$B$13),'Assumptions'!$B$13+SUM(M114:M149)-SUM(AS114:AS149),"")</f>
        <v/>
      </c>
      <c r="AZ149" s="137">
        <f>IF(ISNUMBER('Assumptions'!$B$14),'Assumptions'!$B$14+-SUM(AF114:AF149),"")</f>
        <v/>
      </c>
      <c r="BA149" s="137">
        <f>IF(ISNUMBER('Assumptions'!$B$15),'Assumptions'!$B$15+SUM(O114:O149)+SUM(P114:P149)-SUM(AR114:AR149),"")</f>
        <v/>
      </c>
      <c r="BB149" s="137">
        <f>IF(ISNUMBER('Assumptions'!$B$16),'Assumptions'!$B$16+-SUM(AC114:AC149),"")</f>
        <v/>
      </c>
      <c r="BC149" s="137">
        <f>IF(AND(ISNUMBER('Assumptions'!$B$21),ISNUMBER('Assumptions'!$B$19)),'Assumptions'!$B$21+SUM(AU114:AU149)-SUM(AG114:AG149),"")</f>
        <v/>
      </c>
      <c r="BD149" s="137">
        <f>IF(ISNUMBER('Assumptions'!$B$20),'Assumptions'!$B$20+-SUM(AI114:AI149),"")</f>
        <v/>
      </c>
      <c r="BE149" s="137">
        <f>IF(AND(ISNUMBER('Assumptions'!$B$17),COUNT(AV114:AV149)=36),'Assumptions'!$B$17+SUM(AV114:AV149),"")</f>
        <v/>
      </c>
      <c r="BF149" s="137">
        <f>IF(COUNT(AL149,AW149:AY149)=4,SUM(AL149,AW149:AY149),"")</f>
        <v/>
      </c>
      <c r="BG149" s="137">
        <f>IF(COUNT(AZ149:BD149)=5,SUM(AZ149:BD149,AA149),"")</f>
        <v/>
      </c>
      <c r="BH149" s="137">
        <f>IF(COUNT(BF149,BG149,BE149)=3,BF149-BG149-BE149,"")</f>
        <v/>
      </c>
      <c r="BI149" s="137">
        <f>SUM(W149,X149)-Z149-AA149</f>
        <v/>
      </c>
      <c r="BJ149" s="137">
        <f>8-COUNT('Assumptions'!AM58:AM65)+COUNTBLANK('NM Play'!B33:B34)+'Costs'!E44+IF(AND('Sites'!E6=1,('Sites'!F6)&lt;=36,'Sites'!G6&gt;=25),IF(ISNUMBER('Sites'!Q6),0,1)+'Capital'!I6+COUNTBLANK('Sites'!R6)+IF('Sites'!D6="NM crew",COUNTBLANK('NM Play'!B25)+1,5-COUNT('Assumptions'!AM112:AM116)),0)+IF(AND('Sites'!E7=1,('Sites'!F7+'Cases'!G9)&lt;=36,'Sites'!G7&gt;=25),IF(ISNUMBER('Sites'!Q7),0,1)+'Capital'!I7+COUNTBLANK('Sites'!R7)+IF('Sites'!D7="NM crew",COUNTBLANK('NM Play'!B25)+1,5-COUNT('Assumptions'!AM117:AM121)),0)+IF(AND('Sites'!E8*'Cases'!F9=1,('Sites'!F8+'Cases'!G9)&lt;=36,'Sites'!G8&gt;=25),IF(ISNUMBER('Sites'!Q8),0,1)+'Capital'!I8+COUNTBLANK('Sites'!R8)+IF('Sites'!D8="NM crew",COUNTBLANK('NM Play'!B25)+1,5-COUNT('Assumptions'!AM122:AM126)),0)+IF(AND('Cases'!C9&gt;0,NOT(ISNUMBER('Assumptions'!B42))),1,0)+'Responsibilities'!$B$39</f>
        <v/>
      </c>
      <c r="BK149" s="137">
        <f>'Assumptions'!$B$50+'NM Play'!$B$83+'Funding'!$F$20+SUMIFS('Production schedule'!$AN$330:$AN$437,'Production schedule'!$C$330:$C$437,36)+IF(OR('Cases'!E9&lt;0,'Cases'!E9&gt;1,'Cases'!C9&lt;0,'Cases'!D9&lt;0,ABS(SUM('Sites'!S6:S8)-1)&gt;0.0001,MIN('Capital'!F6:F8)&lt;0,MAX('Capital'!F6:F8)&gt;1,MIN(AX149,AZ149,BB149,BA149)&lt;-0.01),1,0)+'Responsibilities'!$B$40</f>
        <v/>
      </c>
      <c r="BL149" s="137">
        <f>SUMIFS('Production schedule'!$T$330:$T$437,'Production schedule'!$C$330:$C$437,36)</f>
        <v/>
      </c>
      <c r="BM149" s="137">
        <f>D149*'NM Play'!$B$38</f>
        <v/>
      </c>
      <c r="BN149" s="137">
        <f>SUMIFS('Production schedule'!$AM$330:$AM$437,'Production schedule'!$C$330:$C$437,36)</f>
        <v/>
      </c>
      <c r="BO149" s="137">
        <f>AK149-AK148-AJ149</f>
        <v/>
      </c>
      <c r="BP149" s="137">
        <f>IF(AND('Assumptions'!$B$39&gt;=0,'Assumptions'!$B$40&gt;0),-PMT('Assumptions'!$B$39/12,'Assumptions'!$B$40*12,IF('Funding'!$N$11&gt;0,'Funding'!$N$11,'Funding'!$U$11)),"")</f>
        <v/>
      </c>
      <c r="BQ149">
        <f>('Production schedule'!AJ365)*(1-'Responsibilities'!$C$6)+('Production schedule'!AJ401)*(1-'Responsibilities'!$C$7)+('Production schedule'!AJ437)*(1-'Responsibilities'!$C$8)</f>
        <v/>
      </c>
      <c r="BR149">
        <f>('Production schedule'!AI365)*(1-'Responsibilities'!$D$6)+('Production schedule'!AI401)*(1-'Responsibilities'!$D$7)+('Production schedule'!AI437)*(1-'Responsibilities'!$D$8)</f>
        <v/>
      </c>
      <c r="BS149">
        <f>('Production schedule'!E365*(IF('Sites'!D6="Annual staff",SUM('Assumptions'!AM112,'Assumptions'!AM114),0)+SUM('Assumptions'!AM113,'Assumptions'!AM115:AM116)))*(1-'Responsibilities'!$E$6)+('Production schedule'!E401*(IF('Sites'!D7="Annual staff",SUM('Assumptions'!AM117,'Assumptions'!AM119),0)+SUM('Assumptions'!AM118,'Assumptions'!AM120:AM121)))*(1-'Responsibilities'!$E$7)+('Production schedule'!E437*(IF('Sites'!D8="Annual staff",SUM('Assumptions'!AM122,'Assumptions'!AM124),0)+SUM('Assumptions'!AM123,'Assumptions'!AM125:AM126)))*(1-'Responsibilities'!$E$8)</f>
        <v/>
      </c>
      <c r="BT149">
        <f>(IF(AND('Production schedule'!E365=1,36=MAX(('Sites'!F6),25),ISNUMBER('Sites'!Q6)),'Sites'!Q6*'Assumptions'!$B$44,0))*(1-'Responsibilities'!$F$6)+(IF(AND('Production schedule'!E401=1,36=MAX(('Sites'!F7+'Cases'!G9),25),ISNUMBER('Sites'!Q7)),'Sites'!Q7*'Assumptions'!$B$44,0))*(1-'Responsibilities'!$F$7)+(IF(AND('Production schedule'!E437=1,36=MAX(('Sites'!F8+'Cases'!G9),25),ISNUMBER('Sites'!Q8)),'Sites'!Q8*'Assumptions'!$B$44,0))*(1-'Responsibilities'!$F$8)</f>
        <v/>
      </c>
      <c r="BU149">
        <f>SUM('Costs'!E36)*'Costs'!F36/12*(1-'Responsibilities'!$C$12)+SUM('Costs'!E37)*'Costs'!F37/12*(1-'Responsibilities'!$C$13)+SUM('Costs'!E38)*'Costs'!F38/12*(1-'Responsibilities'!$C$14)+SUM('Costs'!E39)*'Costs'!F39/12*(1-'Responsibilities'!$C$15)+SUM('Costs'!E40)*'Costs'!F40/12*(1-'Responsibilities'!$C$16)</f>
        <v/>
      </c>
      <c r="BV149">
        <f>('Sites'!E6*'Capital'!E6*(IF(36='Capital'!G6,'Capital'!F6,0)+IF(36='Capital'!H6,1-'Capital'!F6,0)))*(1-'Responsibilities'!$G$6)+('Sites'!E7*'Capital'!E7*(IF(36='Capital'!G7+'Cases'!G9,'Capital'!F7,0)+IF(36='Capital'!H7+'Cases'!G9,1-'Capital'!F7,0)))*(1-'Responsibilities'!$G$7)+('Sites'!E8*'Cases'!F9*'Capital'!E8*(IF(36='Capital'!G8+'Cases'!G9,'Capital'!F8,0)+IF(36='Capital'!H8+'Cases'!G9,1-'Capital'!F8,0)))*(1-'Responsibilities'!$G$8)</f>
        <v/>
      </c>
      <c r="BW149">
        <f>SUM(BQ149:BV149)</f>
        <v/>
      </c>
      <c r="BX149">
        <f>N149+BW149</f>
        <v/>
      </c>
      <c r="BY149">
        <f>BX149-(('Production schedule'!AJ365)*'Responsibilities'!$C$6+('Production schedule'!AJ401)*'Responsibilities'!$C$7+('Production schedule'!AJ437)*'Responsibilities'!$C$8+('Production schedule'!AJ365)*(1-'Responsibilities'!$C$6)+('Production schedule'!AJ401)*(1-'Responsibilities'!$C$7)+('Production schedule'!AJ437)*(1-'Responsibilities'!$C$8)+('Production schedule'!AI365)*'Responsibilities'!$D$6+('Production schedule'!AI401)*'Responsibilities'!$D$7+('Production schedule'!AI437)*'Responsibilities'!$D$8+('Production schedule'!AI365)*(1-'Responsibilities'!$D$6)+('Production schedule'!AI401)*(1-'Responsibilities'!$D$7)+('Production schedule'!AI437)*(1-'Responsibilities'!$D$8)+('Production schedule'!E365*(IF('Sites'!D6="Annual staff",SUM('Assumptions'!AM112,'Assumptions'!AM114),0)+SUM('Assumptions'!AM113,'Assumptions'!AM115:AM116)))*'Responsibilities'!$E$6+('Production schedule'!E401*(IF('Sites'!D7="Annual staff",SUM('Assumptions'!AM117,'Assumptions'!AM119),0)+SUM('Assumptions'!AM118,'Assumptions'!AM120:AM121)))*'Responsibilities'!$E$7+('Production schedule'!E437*(IF('Sites'!D8="Annual staff",SUM('Assumptions'!AM122,'Assumptions'!AM124),0)+SUM('Assumptions'!AM123,'Assumptions'!AM125:AM126)))*'Responsibilities'!$E$8+('Production schedule'!E365*(IF('Sites'!D6="Annual staff",SUM('Assumptions'!AM112,'Assumptions'!AM114),0)+SUM('Assumptions'!AM113,'Assumptions'!AM115:AM116)))*(1-'Responsibilities'!$E$6)+('Production schedule'!E401*(IF('Sites'!D7="Annual staff",SUM('Assumptions'!AM117,'Assumptions'!AM119),0)+SUM('Assumptions'!AM118,'Assumptions'!AM120:AM121)))*(1-'Responsibilities'!$E$7)+('Production schedule'!E437*(IF('Sites'!D8="Annual staff",SUM('Assumptions'!AM122,'Assumptions'!AM124),0)+SUM('Assumptions'!AM123,'Assumptions'!AM125:AM126)))*(1-'Responsibilities'!$E$8)+(IF(AND('Production schedule'!E365=1,36=MAX(('Sites'!F6),25),ISNUMBER('Sites'!Q6)),'Sites'!Q6*'Assumptions'!$B$44,0))*'Responsibilities'!$F$6+(IF(AND('Production schedule'!E401=1,36=MAX(('Sites'!F7+'Cases'!G9),25),ISNUMBER('Sites'!Q7)),'Sites'!Q7*'Assumptions'!$B$44,0))*'Responsibilities'!$F$7+(IF(AND('Production schedule'!E437=1,36=MAX(('Sites'!F8+'Cases'!G9),25),ISNUMBER('Sites'!Q8)),'Sites'!Q8*'Assumptions'!$B$44,0))*'Responsibilities'!$F$8+(IF(AND('Production schedule'!E365=1,36=MAX(('Sites'!F6),25),ISNUMBER('Sites'!Q6)),'Sites'!Q6*'Assumptions'!$B$44,0))*(1-'Responsibilities'!$F$6)+(IF(AND('Production schedule'!E401=1,36=MAX(('Sites'!F7+'Cases'!G9),25),ISNUMBER('Sites'!Q7)),'Sites'!Q7*'Assumptions'!$B$44,0))*(1-'Responsibilities'!$F$7)+(IF(AND('Production schedule'!E437=1,36=MAX(('Sites'!F8+'Cases'!G9),25),ISNUMBER('Sites'!Q8)),'Sites'!Q8*'Assumptions'!$B$44,0))*(1-'Responsibilities'!$F$8)+('Sites'!E6*'Capital'!E6*(IF(36='Capital'!G6,'Capital'!F6,0)+IF(36='Capital'!H6,1-'Capital'!F6,0)))*'Responsibilities'!$G$6+('Sites'!E7*'Capital'!E7*(IF(36='Capital'!G7+'Cases'!G9,'Capital'!F7,0)+IF(36='Capital'!H7+'Cases'!G9,1-'Capital'!F7,0)))*'Responsibilities'!$G$7+('Sites'!E8*'Cases'!F9*'Capital'!E8*(IF(36='Capital'!G8+'Cases'!G9,'Capital'!F8,0)+IF(36='Capital'!H8+'Cases'!G9,1-'Capital'!F8,0)))*'Responsibilities'!$G$8+('Sites'!E6*'Capital'!E6*(IF(36='Capital'!G6,'Capital'!F6,0)+IF(36='Capital'!H6,1-'Capital'!F6,0)))*(1-'Responsibilities'!$G$6)+('Sites'!E7*'Capital'!E7*(IF(36='Capital'!G7+'Cases'!G9,'Capital'!F7,0)+IF(36='Capital'!H7+'Cases'!G9,1-'Capital'!F7,0)))*(1-'Responsibilities'!$G$7)+('Sites'!E8*'Cases'!F9*'Capital'!E8*(IF(36='Capital'!G8+'Cases'!G9,'Capital'!F8,0)+IF(36='Capital'!H8+'Cases'!G9,1-'Capital'!F8,0)))*(1-'Responsibilities'!$G$8)+I149+SUMPRODUCT('Costs'!$E$36:$E$40,'Costs'!$F$36:$F$40)/12+BZ149)</f>
        <v/>
      </c>
      <c r="BZ149">
        <f>SUMIFS('Responsibilities'!$B$31:$B$35,'Responsibilities'!$C$31:$C$35,36,'Responsibilities'!$D$31:$D$35,"Yes")</f>
        <v/>
      </c>
    </row>
    <row r="150" ht="28" customHeight="1">
      <c r="A150" s="4" t="inlineStr">
        <is>
          <t>Lower sales</t>
        </is>
      </c>
      <c r="B150" s="4" t="n">
        <v>1</v>
      </c>
      <c r="C150" s="4">
        <f>ROUNDUP(B150/12,0)</f>
        <v/>
      </c>
      <c r="D150" s="137">
        <f>SUMIFS('Production schedule'!$N$438:$N$545,'Production schedule'!$C$438:$C$545,1)</f>
        <v/>
      </c>
      <c r="E150" s="137">
        <f>SUMIFS('Production schedule'!$Y$438:$Y$545,'Production schedule'!$C$438:$C$545,1)</f>
        <v/>
      </c>
      <c r="F150" s="137">
        <f>SUMIFS('Production schedule'!$Z$438:$Z$545,'Production schedule'!$C$438:$C$545,1)</f>
        <v/>
      </c>
      <c r="G150" s="137">
        <f>('Production schedule'!AJ438)*'Responsibilities'!$C$6+('Production schedule'!AJ474)*'Responsibilities'!$C$7+('Production schedule'!AJ510)*'Responsibilities'!$C$8</f>
        <v/>
      </c>
      <c r="H150" s="137">
        <f>('Production schedule'!AI438)*'Responsibilities'!$D$6+('Production schedule'!AI474)*'Responsibilities'!$D$7+('Production schedule'!AI510)*'Responsibilities'!$D$8</f>
        <v/>
      </c>
      <c r="I150" s="137">
        <f>SUM('Assumptions'!D58:D65)</f>
        <v/>
      </c>
      <c r="J150" s="137">
        <f>('Production schedule'!E438*(IF('Sites'!D6="Annual staff",SUM('Assumptions'!D112,'Assumptions'!D114),0)+SUM('Assumptions'!D113,'Assumptions'!D115:D116)))*'Responsibilities'!$E$6+('Production schedule'!E474*(IF('Sites'!D7="Annual staff",SUM('Assumptions'!D117,'Assumptions'!D119),0)+SUM('Assumptions'!D118,'Assumptions'!D120:D121)))*'Responsibilities'!$E$7+('Production schedule'!E510*(IF('Sites'!D8="Annual staff",SUM('Assumptions'!D122,'Assumptions'!D124),0)+SUM('Assumptions'!D123,'Assumptions'!D125:D126)))*'Responsibilities'!$E$8</f>
        <v/>
      </c>
      <c r="K150" s="137">
        <f>(IF(AND('Production schedule'!E438=1,1=MAX(('Sites'!F6),1),ISNUMBER('Sites'!O6)),'Sites'!O6*'Assumptions'!$B$44,0))*'Responsibilities'!$F$6+(IF(AND('Production schedule'!E474=1,1=MAX(('Sites'!F7+'Cases'!G10),1),ISNUMBER('Sites'!O7)),'Sites'!O7*'Assumptions'!$B$44,0))*'Responsibilities'!$F$7+(IF(AND('Production schedule'!E510=1,1=MAX(('Sites'!F8+'Cases'!G10),1),ISNUMBER('Sites'!O8)),'Sites'!O8*'Assumptions'!$B$44,0))*'Responsibilities'!$F$8</f>
        <v/>
      </c>
      <c r="L150" s="137">
        <f>SUM('Costs'!E36)*'Costs'!F36/12*'Responsibilities'!$C$12+SUM('Costs'!E37)*'Costs'!F37/12*'Responsibilities'!$C$13+SUM('Costs'!E38)*'Costs'!F38/12*'Responsibilities'!$C$14+SUM('Costs'!E39)*'Costs'!F39/12*'Responsibilities'!$C$15+SUM('Costs'!E40)*'Costs'!F40/12*'Responsibilities'!$C$16+BZ150</f>
        <v/>
      </c>
      <c r="M150" s="137">
        <f>('Sites'!E6*'Capital'!E6*(IF(1='Capital'!G6,'Capital'!F6,0)+IF(1='Capital'!H6,1-'Capital'!F6,0)))*'Responsibilities'!$G$6+('Sites'!E7*'Capital'!E7*(IF(1='Capital'!G7+'Cases'!G10,'Capital'!F7,0)+IF(1='Capital'!H7+'Cases'!G10,1-'Capital'!F7,0)))*'Responsibilities'!$G$7+('Sites'!E8*'Cases'!F10*'Capital'!E8*(IF(1='Capital'!G8+'Cases'!G10,'Capital'!F8,0)+IF(1='Capital'!H8+'Cases'!G10,1-'Capital'!F8,0)))*'Responsibilities'!$G$8</f>
        <v/>
      </c>
      <c r="N150" s="137">
        <f>SUM(G150:M150)</f>
        <v/>
      </c>
      <c r="O150" s="137">
        <f>SUMIFS(FundingTranches[Secured amount],FundingTranches[Instrument],"Grant",FundingTranches[Secured month],1)</f>
        <v/>
      </c>
      <c r="P150" s="137">
        <f>SUMIFS(FundingTranches[Lower sales possible],FundingTranches[Instrument],"Grant",FundingTranches[Scenario month],1-'Cases'!$D$10)</f>
        <v/>
      </c>
      <c r="Q150" s="137">
        <f>SUMIFS(FundingTranches[Secured amount],FundingTranches[Instrument],"Loan",FundingTranches[Secured month],1)</f>
        <v/>
      </c>
      <c r="R150" s="137">
        <f>SUMIFS(FundingTranches[Lower sales possible],FundingTranches[Instrument],"Loan",FundingTranches[Scenario month],1-'Cases'!$D$10)</f>
        <v/>
      </c>
      <c r="S150" s="137">
        <f>IF(1&lt;='Assumptions'!$B$34,0,SUMIFS('Production schedule'!$AL$438:$AL$545,'Production schedule'!$C$438:$C$545,1-'Assumptions'!$B$34))</f>
        <v/>
      </c>
      <c r="T150" s="137">
        <f>'Assumptions'!D70</f>
        <v/>
      </c>
      <c r="U150" s="137">
        <f>'Assumptions'!D78</f>
        <v/>
      </c>
      <c r="V150" s="137">
        <f>SUM(O150:U150)</f>
        <v/>
      </c>
      <c r="W150" s="137">
        <f>0</f>
        <v/>
      </c>
      <c r="X150" s="137">
        <f>SUM(Q150:R150)</f>
        <v/>
      </c>
      <c r="Y150" s="137">
        <f>SUM(W150,X150)*'Assumptions'!$B$39/12</f>
        <v/>
      </c>
      <c r="Z150" s="137">
        <f>IF(SUM(W150,X150)&gt;0,MIN(SUM(W150,X150),MAX(0,BP150-Y150)),0)</f>
        <v/>
      </c>
      <c r="AA150" s="137">
        <f>SUM(W150,X150)-Z150</f>
        <v/>
      </c>
      <c r="AB150" s="137">
        <f>SUM(Y150:Z150)</f>
        <v/>
      </c>
      <c r="AC150" s="137">
        <f>'Assumptions'!D72</f>
        <v/>
      </c>
      <c r="AD150" s="137">
        <f>'Assumptions'!D73</f>
        <v/>
      </c>
      <c r="AE150" s="137">
        <f>IF(X150&gt;0,SUM('Assumptions'!$B$42),0)</f>
        <v/>
      </c>
      <c r="AF150" s="137">
        <f>'Assumptions'!D71</f>
        <v/>
      </c>
      <c r="AG150" s="137">
        <f>'Assumptions'!D74</f>
        <v/>
      </c>
      <c r="AH150" s="137">
        <f>'Assumptions'!D75</f>
        <v/>
      </c>
      <c r="AI150" s="137">
        <f>'Assumptions'!D77</f>
        <v/>
      </c>
      <c r="AJ150" s="137">
        <f>V150-N150-SUM(AB150:AI150)</f>
        <v/>
      </c>
      <c r="AK150" s="137">
        <f>SUM(AJ150:AJ150)</f>
        <v/>
      </c>
      <c r="AL150" s="137">
        <f>IF(ISNUMBER('Assumptions'!$B$10),'Assumptions'!$B$10+AK150,"")</f>
        <v/>
      </c>
      <c r="AM150" s="137">
        <f>SUM(O150,Q150,T150)-N150-SUM(AC150:AI150)+IF('Funding'!$N$11=0,AE150,0)-IF('Funding'!$N$11&gt;0,AB150,0)</f>
        <v/>
      </c>
      <c r="AN150" s="137">
        <f>SUM(AM150:AM150)</f>
        <v/>
      </c>
      <c r="AO150" s="137">
        <f>IF(ISNUMBER('Assumptions'!$B$10),'Assumptions'!$B$10+AN150,"")</f>
        <v/>
      </c>
      <c r="AP150" s="137">
        <f>('Production schedule'!AK438)*'Responsibilities'!$C$6+('Production schedule'!AK474)*'Responsibilities'!$C$7+('Production schedule'!AK510)*'Responsibilities'!$C$8</f>
        <v/>
      </c>
      <c r="AQ150" s="137">
        <f>SUMIFS('Production schedule'!$AL$438:$AL$545,'Production schedule'!$C$438:$C$545,1)</f>
        <v/>
      </c>
      <c r="AR150" s="137">
        <f>IF(ISNUMBER('Assumptions'!D76),'Assumptions'!D76,SUM(O150:P150))</f>
        <v/>
      </c>
      <c r="AS150" s="137">
        <f>IF(ISNUMBER('Assumptions'!$B$13),MIN('Assumptions'!$B$13/'Assumptions'!$B$18/12,MAX(0,'Assumptions'!$B$13-(1-1)*'Assumptions'!$B$13/'Assumptions'!$B$18/12)),0)+IF(AND('Sites'!E6=1,1&gt;=('Sites'!F6),1&lt;('Sites'!F6)+'Assumptions'!$B$18*12),'Capital'!E6/'Assumptions'!$B$18/12,0)+IF(AND('Sites'!E7=1,1&gt;=('Sites'!F7+'Cases'!G10),1&lt;('Sites'!F7+'Cases'!G10)+'Assumptions'!$B$18*12),'Capital'!E7/'Assumptions'!$B$18/12,0)+IF(AND('Sites'!E8*'Cases'!F10=1,1&gt;=('Sites'!F8+'Cases'!G10),1&lt;('Sites'!F8+'Cases'!G10)+'Assumptions'!$B$18*12),'Capital'!E8/'Assumptions'!$B$18/12,0)</f>
        <v/>
      </c>
      <c r="AT150" s="137">
        <f>SUM(AQ150,AR150,U150)-AP150-SUM(H150:L150)-AS150-SUM(Y150,AD150,AE150,AH150)</f>
        <v/>
      </c>
      <c r="AU150" s="137">
        <f>IF(ISNUMBER('Assumptions'!$B$19),MAX(0,SUM(AT150:AT150))*'Assumptions'!$B$19-0,"")</f>
        <v/>
      </c>
      <c r="AV150" s="137">
        <f>IF(ISNUMBER(AU150),AT150-AU150,"")</f>
        <v/>
      </c>
      <c r="AW150" s="137">
        <f>IF(ISNUMBER('Assumptions'!$B$11),'Assumptions'!$B$11+SUM(AQ150:AQ150)-SUM(S150:S150)-SUM(T150:T150),"")</f>
        <v/>
      </c>
      <c r="AX150" s="137">
        <f>IF(ISNUMBER('Assumptions'!$B$12),'Assumptions'!$B$12+SUM(G150:G150)-SUM(AP150:AP150),"")</f>
        <v/>
      </c>
      <c r="AY150" s="137">
        <f>IF(ISNUMBER('Assumptions'!$B$13),'Assumptions'!$B$13+SUM(M150:M150)-SUM(AS150:AS150),"")</f>
        <v/>
      </c>
      <c r="AZ150" s="137">
        <f>IF(ISNUMBER('Assumptions'!$B$14),'Assumptions'!$B$14+-SUM(AF150:AF150),"")</f>
        <v/>
      </c>
      <c r="BA150" s="137">
        <f>IF(ISNUMBER('Assumptions'!$B$15),'Assumptions'!$B$15+SUM(O150:O150)+SUM(P150:P150)-SUM(AR150:AR150),"")</f>
        <v/>
      </c>
      <c r="BB150" s="137">
        <f>IF(ISNUMBER('Assumptions'!$B$16),'Assumptions'!$B$16+-SUM(AC150:AC150),"")</f>
        <v/>
      </c>
      <c r="BC150" s="137">
        <f>IF(AND(ISNUMBER('Assumptions'!$B$21),ISNUMBER('Assumptions'!$B$19)),'Assumptions'!$B$21+SUM(AU150:AU150)-SUM(AG150:AG150),"")</f>
        <v/>
      </c>
      <c r="BD150" s="137">
        <f>IF(ISNUMBER('Assumptions'!$B$20),'Assumptions'!$B$20+-SUM(AI150:AI150),"")</f>
        <v/>
      </c>
      <c r="BE150" s="137">
        <f>IF(AND(ISNUMBER('Assumptions'!$B$17),COUNT(AV150:AV150)=1),'Assumptions'!$B$17+SUM(AV150:AV150),"")</f>
        <v/>
      </c>
      <c r="BF150" s="137">
        <f>IF(COUNT(AL150,AW150:AY150)=4,SUM(AL150,AW150:AY150),"")</f>
        <v/>
      </c>
      <c r="BG150" s="137">
        <f>IF(COUNT(AZ150:BD150)=5,SUM(AZ150:BD150,AA150),"")</f>
        <v/>
      </c>
      <c r="BH150" s="137">
        <f>IF(COUNT(BF150,BG150,BE150)=3,BF150-BG150-BE150,"")</f>
        <v/>
      </c>
      <c r="BI150" s="137">
        <f>SUM(W150,X150)-Z150-AA150</f>
        <v/>
      </c>
      <c r="BJ150" s="137">
        <f>8-COUNT('Assumptions'!D58:D65)+COUNTBLANK('NM Play'!B33:B34)+'Costs'!E44+IF(AND('Sites'!E6=1,('Sites'!F6)&lt;=12,'Sites'!G6&gt;=1),IF(ISNUMBER('Sites'!O6),0,1)+'Capital'!I6+COUNTBLANK('Sites'!R6)+IF('Sites'!D6="NM crew",COUNTBLANK('NM Play'!B25)+1,5-COUNT('Assumptions'!D112:D116)),0)+IF(AND('Sites'!E7=1,('Sites'!F7+'Cases'!G10)&lt;=12,'Sites'!G7&gt;=1),IF(ISNUMBER('Sites'!O7),0,1)+'Capital'!I7+COUNTBLANK('Sites'!R7)+IF('Sites'!D7="NM crew",COUNTBLANK('NM Play'!B25)+1,5-COUNT('Assumptions'!D117:D121)),0)+IF(AND('Sites'!E8*'Cases'!F10=1,('Sites'!F8+'Cases'!G10)&lt;=12,'Sites'!G8&gt;=1),IF(ISNUMBER('Sites'!O8),0,1)+'Capital'!I8+COUNTBLANK('Sites'!R8)+IF('Sites'!D8="NM crew",COUNTBLANK('NM Play'!B25)+1,5-COUNT('Assumptions'!D122:D126)),0)+IF(AND('Cases'!C10&gt;0,NOT(ISNUMBER('Assumptions'!B42))),1,0)+'Responsibilities'!$B$39</f>
        <v/>
      </c>
      <c r="BK150" s="137">
        <f>'Assumptions'!$B$50+'NM Play'!$B$83+'Funding'!$F$20+SUMIFS('Production schedule'!$AN$438:$AN$545,'Production schedule'!$C$438:$C$545,1)+IF(OR('Cases'!E10&lt;0,'Cases'!E10&gt;1,'Cases'!C10&lt;0,'Cases'!D10&lt;0,ABS(SUM('Sites'!S6:S8)-1)&gt;0.0001,MIN('Capital'!F6:F8)&lt;0,MAX('Capital'!F6:F8)&gt;1,MIN(AX150,AZ150,BB150,BA150)&lt;-0.01),1,0)+'Responsibilities'!$B$40</f>
        <v/>
      </c>
      <c r="BL150" s="137">
        <f>SUMIFS('Production schedule'!$T$438:$T$545,'Production schedule'!$C$438:$C$545,1)</f>
        <v/>
      </c>
      <c r="BM150" s="137">
        <f>D150*'NM Play'!$B$38</f>
        <v/>
      </c>
      <c r="BN150" s="137">
        <f>SUMIFS('Production schedule'!$AM$438:$AM$545,'Production schedule'!$C$438:$C$545,1)</f>
        <v/>
      </c>
      <c r="BO150" s="137">
        <f>AK150-0-AJ150</f>
        <v/>
      </c>
      <c r="BP150" s="137">
        <f>IF(AND('Assumptions'!$B$39&gt;=0,'Assumptions'!$B$40&gt;0),-PMT('Assumptions'!$B$39/12,'Assumptions'!$B$40*12,IF('Funding'!$N$11&gt;0,'Funding'!$N$11,'Funding'!$V$11)),"")</f>
        <v/>
      </c>
      <c r="BQ150">
        <f>('Production schedule'!AJ438)*(1-'Responsibilities'!$C$6)+('Production schedule'!AJ474)*(1-'Responsibilities'!$C$7)+('Production schedule'!AJ510)*(1-'Responsibilities'!$C$8)</f>
        <v/>
      </c>
      <c r="BR150">
        <f>('Production schedule'!AI438)*(1-'Responsibilities'!$D$6)+('Production schedule'!AI474)*(1-'Responsibilities'!$D$7)+('Production schedule'!AI510)*(1-'Responsibilities'!$D$8)</f>
        <v/>
      </c>
      <c r="BS150">
        <f>('Production schedule'!E438*(IF('Sites'!D6="Annual staff",SUM('Assumptions'!D112,'Assumptions'!D114),0)+SUM('Assumptions'!D113,'Assumptions'!D115:D116)))*(1-'Responsibilities'!$E$6)+('Production schedule'!E474*(IF('Sites'!D7="Annual staff",SUM('Assumptions'!D117,'Assumptions'!D119),0)+SUM('Assumptions'!D118,'Assumptions'!D120:D121)))*(1-'Responsibilities'!$E$7)+('Production schedule'!E510*(IF('Sites'!D8="Annual staff",SUM('Assumptions'!D122,'Assumptions'!D124),0)+SUM('Assumptions'!D123,'Assumptions'!D125:D126)))*(1-'Responsibilities'!$E$8)</f>
        <v/>
      </c>
      <c r="BT150">
        <f>(IF(AND('Production schedule'!E438=1,1=MAX(('Sites'!F6),1),ISNUMBER('Sites'!O6)),'Sites'!O6*'Assumptions'!$B$44,0))*(1-'Responsibilities'!$F$6)+(IF(AND('Production schedule'!E474=1,1=MAX(('Sites'!F7+'Cases'!G10),1),ISNUMBER('Sites'!O7)),'Sites'!O7*'Assumptions'!$B$44,0))*(1-'Responsibilities'!$F$7)+(IF(AND('Production schedule'!E510=1,1=MAX(('Sites'!F8+'Cases'!G10),1),ISNUMBER('Sites'!O8)),'Sites'!O8*'Assumptions'!$B$44,0))*(1-'Responsibilities'!$F$8)</f>
        <v/>
      </c>
      <c r="BU150">
        <f>SUM('Costs'!E36)*'Costs'!F36/12*(1-'Responsibilities'!$C$12)+SUM('Costs'!E37)*'Costs'!F37/12*(1-'Responsibilities'!$C$13)+SUM('Costs'!E38)*'Costs'!F38/12*(1-'Responsibilities'!$C$14)+SUM('Costs'!E39)*'Costs'!F39/12*(1-'Responsibilities'!$C$15)+SUM('Costs'!E40)*'Costs'!F40/12*(1-'Responsibilities'!$C$16)</f>
        <v/>
      </c>
      <c r="BV150">
        <f>('Sites'!E6*'Capital'!E6*(IF(1='Capital'!G6,'Capital'!F6,0)+IF(1='Capital'!H6,1-'Capital'!F6,0)))*(1-'Responsibilities'!$G$6)+('Sites'!E7*'Capital'!E7*(IF(1='Capital'!G7+'Cases'!G10,'Capital'!F7,0)+IF(1='Capital'!H7+'Cases'!G10,1-'Capital'!F7,0)))*(1-'Responsibilities'!$G$7)+('Sites'!E8*'Cases'!F10*'Capital'!E8*(IF(1='Capital'!G8+'Cases'!G10,'Capital'!F8,0)+IF(1='Capital'!H8+'Cases'!G10,1-'Capital'!F8,0)))*(1-'Responsibilities'!$G$8)</f>
        <v/>
      </c>
      <c r="BW150">
        <f>SUM(BQ150:BV150)</f>
        <v/>
      </c>
      <c r="BX150">
        <f>N150+BW150</f>
        <v/>
      </c>
      <c r="BY150">
        <f>BX150-(('Production schedule'!AJ438)*'Responsibilities'!$C$6+('Production schedule'!AJ474)*'Responsibilities'!$C$7+('Production schedule'!AJ510)*'Responsibilities'!$C$8+('Production schedule'!AJ438)*(1-'Responsibilities'!$C$6)+('Production schedule'!AJ474)*(1-'Responsibilities'!$C$7)+('Production schedule'!AJ510)*(1-'Responsibilities'!$C$8)+('Production schedule'!AI438)*'Responsibilities'!$D$6+('Production schedule'!AI474)*'Responsibilities'!$D$7+('Production schedule'!AI510)*'Responsibilities'!$D$8+('Production schedule'!AI438)*(1-'Responsibilities'!$D$6)+('Production schedule'!AI474)*(1-'Responsibilities'!$D$7)+('Production schedule'!AI510)*(1-'Responsibilities'!$D$8)+('Production schedule'!E438*(IF('Sites'!D6="Annual staff",SUM('Assumptions'!D112,'Assumptions'!D114),0)+SUM('Assumptions'!D113,'Assumptions'!D115:D116)))*'Responsibilities'!$E$6+('Production schedule'!E474*(IF('Sites'!D7="Annual staff",SUM('Assumptions'!D117,'Assumptions'!D119),0)+SUM('Assumptions'!D118,'Assumptions'!D120:D121)))*'Responsibilities'!$E$7+('Production schedule'!E510*(IF('Sites'!D8="Annual staff",SUM('Assumptions'!D122,'Assumptions'!D124),0)+SUM('Assumptions'!D123,'Assumptions'!D125:D126)))*'Responsibilities'!$E$8+('Production schedule'!E438*(IF('Sites'!D6="Annual staff",SUM('Assumptions'!D112,'Assumptions'!D114),0)+SUM('Assumptions'!D113,'Assumptions'!D115:D116)))*(1-'Responsibilities'!$E$6)+('Production schedule'!E474*(IF('Sites'!D7="Annual staff",SUM('Assumptions'!D117,'Assumptions'!D119),0)+SUM('Assumptions'!D118,'Assumptions'!D120:D121)))*(1-'Responsibilities'!$E$7)+('Production schedule'!E510*(IF('Sites'!D8="Annual staff",SUM('Assumptions'!D122,'Assumptions'!D124),0)+SUM('Assumptions'!D123,'Assumptions'!D125:D126)))*(1-'Responsibilities'!$E$8)+(IF(AND('Production schedule'!E438=1,1=MAX(('Sites'!F6),1),ISNUMBER('Sites'!O6)),'Sites'!O6*'Assumptions'!$B$44,0))*'Responsibilities'!$F$6+(IF(AND('Production schedule'!E474=1,1=MAX(('Sites'!F7+'Cases'!G10),1),ISNUMBER('Sites'!O7)),'Sites'!O7*'Assumptions'!$B$44,0))*'Responsibilities'!$F$7+(IF(AND('Production schedule'!E510=1,1=MAX(('Sites'!F8+'Cases'!G10),1),ISNUMBER('Sites'!O8)),'Sites'!O8*'Assumptions'!$B$44,0))*'Responsibilities'!$F$8+(IF(AND('Production schedule'!E438=1,1=MAX(('Sites'!F6),1),ISNUMBER('Sites'!O6)),'Sites'!O6*'Assumptions'!$B$44,0))*(1-'Responsibilities'!$F$6)+(IF(AND('Production schedule'!E474=1,1=MAX(('Sites'!F7+'Cases'!G10),1),ISNUMBER('Sites'!O7)),'Sites'!O7*'Assumptions'!$B$44,0))*(1-'Responsibilities'!$F$7)+(IF(AND('Production schedule'!E510=1,1=MAX(('Sites'!F8+'Cases'!G10),1),ISNUMBER('Sites'!O8)),'Sites'!O8*'Assumptions'!$B$44,0))*(1-'Responsibilities'!$F$8)+('Sites'!E6*'Capital'!E6*(IF(1='Capital'!G6,'Capital'!F6,0)+IF(1='Capital'!H6,1-'Capital'!F6,0)))*'Responsibilities'!$G$6+('Sites'!E7*'Capital'!E7*(IF(1='Capital'!G7+'Cases'!G10,'Capital'!F7,0)+IF(1='Capital'!H7+'Cases'!G10,1-'Capital'!F7,0)))*'Responsibilities'!$G$7+('Sites'!E8*'Cases'!F10*'Capital'!E8*(IF(1='Capital'!G8+'Cases'!G10,'Capital'!F8,0)+IF(1='Capital'!H8+'Cases'!G10,1-'Capital'!F8,0)))*'Responsibilities'!$G$8+('Sites'!E6*'Capital'!E6*(IF(1='Capital'!G6,'Capital'!F6,0)+IF(1='Capital'!H6,1-'Capital'!F6,0)))*(1-'Responsibilities'!$G$6)+('Sites'!E7*'Capital'!E7*(IF(1='Capital'!G7+'Cases'!G10,'Capital'!F7,0)+IF(1='Capital'!H7+'Cases'!G10,1-'Capital'!F7,0)))*(1-'Responsibilities'!$G$7)+('Sites'!E8*'Cases'!F10*'Capital'!E8*(IF(1='Capital'!G8+'Cases'!G10,'Capital'!F8,0)+IF(1='Capital'!H8+'Cases'!G10,1-'Capital'!F8,0)))*(1-'Responsibilities'!$G$8)+I150+SUMPRODUCT('Costs'!$E$36:$E$40,'Costs'!$F$36:$F$40)/12+BZ150)</f>
        <v/>
      </c>
      <c r="BZ150">
        <f>SUMIFS('Responsibilities'!$B$31:$B$35,'Responsibilities'!$C$31:$C$35,1,'Responsibilities'!$D$31:$D$35,"Yes")</f>
        <v/>
      </c>
    </row>
    <row r="151" ht="28" customHeight="1">
      <c r="A151" s="4" t="inlineStr">
        <is>
          <t>Lower sales</t>
        </is>
      </c>
      <c r="B151" s="4" t="n">
        <v>2</v>
      </c>
      <c r="C151" s="4">
        <f>ROUNDUP(B151/12,0)</f>
        <v/>
      </c>
      <c r="D151" s="137">
        <f>SUMIFS('Production schedule'!$N$438:$N$545,'Production schedule'!$C$438:$C$545,2)</f>
        <v/>
      </c>
      <c r="E151" s="137">
        <f>SUMIFS('Production schedule'!$Y$438:$Y$545,'Production schedule'!$C$438:$C$545,2)</f>
        <v/>
      </c>
      <c r="F151" s="137">
        <f>SUMIFS('Production schedule'!$Z$438:$Z$545,'Production schedule'!$C$438:$C$545,2)</f>
        <v/>
      </c>
      <c r="G151" s="137">
        <f>('Production schedule'!AJ439)*'Responsibilities'!$C$6+('Production schedule'!AJ475)*'Responsibilities'!$C$7+('Production schedule'!AJ511)*'Responsibilities'!$C$8</f>
        <v/>
      </c>
      <c r="H151" s="137">
        <f>('Production schedule'!AI439)*'Responsibilities'!$D$6+('Production schedule'!AI475)*'Responsibilities'!$D$7+('Production schedule'!AI511)*'Responsibilities'!$D$8</f>
        <v/>
      </c>
      <c r="I151" s="137">
        <f>SUM('Assumptions'!E58:E65)</f>
        <v/>
      </c>
      <c r="J151" s="137">
        <f>('Production schedule'!E439*(IF('Sites'!D6="Annual staff",SUM('Assumptions'!E112,'Assumptions'!E114),0)+SUM('Assumptions'!E113,'Assumptions'!E115:E116)))*'Responsibilities'!$E$6+('Production schedule'!E475*(IF('Sites'!D7="Annual staff",SUM('Assumptions'!E117,'Assumptions'!E119),0)+SUM('Assumptions'!E118,'Assumptions'!E120:E121)))*'Responsibilities'!$E$7+('Production schedule'!E511*(IF('Sites'!D8="Annual staff",SUM('Assumptions'!E122,'Assumptions'!E124),0)+SUM('Assumptions'!E123,'Assumptions'!E125:E126)))*'Responsibilities'!$E$8</f>
        <v/>
      </c>
      <c r="K151" s="137">
        <f>(IF(AND('Production schedule'!E439=1,2=MAX(('Sites'!F6),1),ISNUMBER('Sites'!O6)),'Sites'!O6*'Assumptions'!$B$44,0))*'Responsibilities'!$F$6+(IF(AND('Production schedule'!E475=1,2=MAX(('Sites'!F7+'Cases'!G10),1),ISNUMBER('Sites'!O7)),'Sites'!O7*'Assumptions'!$B$44,0))*'Responsibilities'!$F$7+(IF(AND('Production schedule'!E511=1,2=MAX(('Sites'!F8+'Cases'!G10),1),ISNUMBER('Sites'!O8)),'Sites'!O8*'Assumptions'!$B$44,0))*'Responsibilities'!$F$8</f>
        <v/>
      </c>
      <c r="L151" s="137">
        <f>SUM('Costs'!E36)*'Costs'!F36/12*'Responsibilities'!$C$12+SUM('Costs'!E37)*'Costs'!F37/12*'Responsibilities'!$C$13+SUM('Costs'!E38)*'Costs'!F38/12*'Responsibilities'!$C$14+SUM('Costs'!E39)*'Costs'!F39/12*'Responsibilities'!$C$15+SUM('Costs'!E40)*'Costs'!F40/12*'Responsibilities'!$C$16+BZ151</f>
        <v/>
      </c>
      <c r="M151" s="137">
        <f>('Sites'!E6*'Capital'!E6*(IF(2='Capital'!G6,'Capital'!F6,0)+IF(2='Capital'!H6,1-'Capital'!F6,0)))*'Responsibilities'!$G$6+('Sites'!E7*'Capital'!E7*(IF(2='Capital'!G7+'Cases'!G10,'Capital'!F7,0)+IF(2='Capital'!H7+'Cases'!G10,1-'Capital'!F7,0)))*'Responsibilities'!$G$7+('Sites'!E8*'Cases'!F10*'Capital'!E8*(IF(2='Capital'!G8+'Cases'!G10,'Capital'!F8,0)+IF(2='Capital'!H8+'Cases'!G10,1-'Capital'!F8,0)))*'Responsibilities'!$G$8</f>
        <v/>
      </c>
      <c r="N151" s="137">
        <f>SUM(G151:M151)</f>
        <v/>
      </c>
      <c r="O151" s="137">
        <f>SUMIFS(FundingTranches[Secured amount],FundingTranches[Instrument],"Grant",FundingTranches[Secured month],2)</f>
        <v/>
      </c>
      <c r="P151" s="137">
        <f>SUMIFS(FundingTranches[Lower sales possible],FundingTranches[Instrument],"Grant",FundingTranches[Scenario month],2-'Cases'!$D$10)</f>
        <v/>
      </c>
      <c r="Q151" s="137">
        <f>SUMIFS(FundingTranches[Secured amount],FundingTranches[Instrument],"Loan",FundingTranches[Secured month],2)</f>
        <v/>
      </c>
      <c r="R151" s="137">
        <f>SUMIFS(FundingTranches[Lower sales possible],FundingTranches[Instrument],"Loan",FundingTranches[Scenario month],2-'Cases'!$D$10)</f>
        <v/>
      </c>
      <c r="S151" s="137">
        <f>IF(2&lt;='Assumptions'!$B$34,0,SUMIFS('Production schedule'!$AL$438:$AL$545,'Production schedule'!$C$438:$C$545,2-'Assumptions'!$B$34))</f>
        <v/>
      </c>
      <c r="T151" s="137">
        <f>'Assumptions'!E70</f>
        <v/>
      </c>
      <c r="U151" s="137">
        <f>'Assumptions'!E78</f>
        <v/>
      </c>
      <c r="V151" s="137">
        <f>SUM(O151:U151)</f>
        <v/>
      </c>
      <c r="W151" s="137">
        <f>AA150</f>
        <v/>
      </c>
      <c r="X151" s="137">
        <f>SUM(Q151:R151)</f>
        <v/>
      </c>
      <c r="Y151" s="137">
        <f>SUM(W151,X151)*'Assumptions'!$B$39/12</f>
        <v/>
      </c>
      <c r="Z151" s="137">
        <f>IF(SUM(W151,X151)&gt;0,MIN(SUM(W151,X151),MAX(0,BP151-Y151)),0)</f>
        <v/>
      </c>
      <c r="AA151" s="137">
        <f>SUM(W151,X151)-Z151</f>
        <v/>
      </c>
      <c r="AB151" s="137">
        <f>SUM(Y151:Z151)</f>
        <v/>
      </c>
      <c r="AC151" s="137">
        <f>'Assumptions'!E72</f>
        <v/>
      </c>
      <c r="AD151" s="137">
        <f>'Assumptions'!E73</f>
        <v/>
      </c>
      <c r="AE151" s="137">
        <f>IF(X151&gt;0,SUM('Assumptions'!$B$42),0)</f>
        <v/>
      </c>
      <c r="AF151" s="137">
        <f>'Assumptions'!E71</f>
        <v/>
      </c>
      <c r="AG151" s="137">
        <f>'Assumptions'!E74</f>
        <v/>
      </c>
      <c r="AH151" s="137">
        <f>'Assumptions'!E75</f>
        <v/>
      </c>
      <c r="AI151" s="137">
        <f>'Assumptions'!E77</f>
        <v/>
      </c>
      <c r="AJ151" s="137">
        <f>V151-N151-SUM(AB151:AI151)</f>
        <v/>
      </c>
      <c r="AK151" s="137">
        <f>SUM(AJ150:AJ151)</f>
        <v/>
      </c>
      <c r="AL151" s="137">
        <f>IF(ISNUMBER('Assumptions'!$B$10),'Assumptions'!$B$10+AK151,"")</f>
        <v/>
      </c>
      <c r="AM151" s="137">
        <f>SUM(O151,Q151,T151)-N151-SUM(AC151:AI151)+IF('Funding'!$N$11=0,AE151,0)-IF('Funding'!$N$11&gt;0,AB151,0)</f>
        <v/>
      </c>
      <c r="AN151" s="137">
        <f>SUM(AM150:AM151)</f>
        <v/>
      </c>
      <c r="AO151" s="137">
        <f>IF(ISNUMBER('Assumptions'!$B$10),'Assumptions'!$B$10+AN151,"")</f>
        <v/>
      </c>
      <c r="AP151" s="137">
        <f>('Production schedule'!AK439)*'Responsibilities'!$C$6+('Production schedule'!AK475)*'Responsibilities'!$C$7+('Production schedule'!AK511)*'Responsibilities'!$C$8</f>
        <v/>
      </c>
      <c r="AQ151" s="137">
        <f>SUMIFS('Production schedule'!$AL$438:$AL$545,'Production schedule'!$C$438:$C$545,2)</f>
        <v/>
      </c>
      <c r="AR151" s="137">
        <f>IF(ISNUMBER('Assumptions'!E76),'Assumptions'!E76,SUM(O151:P151))</f>
        <v/>
      </c>
      <c r="AS151" s="137">
        <f>IF(ISNUMBER('Assumptions'!$B$13),MIN('Assumptions'!$B$13/'Assumptions'!$B$18/12,MAX(0,'Assumptions'!$B$13-(2-1)*'Assumptions'!$B$13/'Assumptions'!$B$18/12)),0)+IF(AND('Sites'!E6=1,2&gt;=('Sites'!F6),2&lt;('Sites'!F6)+'Assumptions'!$B$18*12),'Capital'!E6/'Assumptions'!$B$18/12,0)+IF(AND('Sites'!E7=1,2&gt;=('Sites'!F7+'Cases'!G10),2&lt;('Sites'!F7+'Cases'!G10)+'Assumptions'!$B$18*12),'Capital'!E7/'Assumptions'!$B$18/12,0)+IF(AND('Sites'!E8*'Cases'!F10=1,2&gt;=('Sites'!F8+'Cases'!G10),2&lt;('Sites'!F8+'Cases'!G10)+'Assumptions'!$B$18*12),'Capital'!E8/'Assumptions'!$B$18/12,0)</f>
        <v/>
      </c>
      <c r="AT151" s="137">
        <f>SUM(AQ151,AR151,U151)-AP151-SUM(H151:L151)-AS151-SUM(Y151,AD151,AE151,AH151)</f>
        <v/>
      </c>
      <c r="AU151" s="137">
        <f>IF(ISNUMBER('Assumptions'!$B$19),MAX(0,SUM(AT150:AT151))*'Assumptions'!$B$19-SUM(AU150:AU150),"")</f>
        <v/>
      </c>
      <c r="AV151" s="137">
        <f>IF(ISNUMBER(AU151),AT151-AU151,"")</f>
        <v/>
      </c>
      <c r="AW151" s="137">
        <f>IF(ISNUMBER('Assumptions'!$B$11),'Assumptions'!$B$11+SUM(AQ150:AQ151)-SUM(S150:S151)-SUM(T150:T151),"")</f>
        <v/>
      </c>
      <c r="AX151" s="137">
        <f>IF(ISNUMBER('Assumptions'!$B$12),'Assumptions'!$B$12+SUM(G150:G151)-SUM(AP150:AP151),"")</f>
        <v/>
      </c>
      <c r="AY151" s="137">
        <f>IF(ISNUMBER('Assumptions'!$B$13),'Assumptions'!$B$13+SUM(M150:M151)-SUM(AS150:AS151),"")</f>
        <v/>
      </c>
      <c r="AZ151" s="137">
        <f>IF(ISNUMBER('Assumptions'!$B$14),'Assumptions'!$B$14+-SUM(AF150:AF151),"")</f>
        <v/>
      </c>
      <c r="BA151" s="137">
        <f>IF(ISNUMBER('Assumptions'!$B$15),'Assumptions'!$B$15+SUM(O150:O151)+SUM(P150:P151)-SUM(AR150:AR151),"")</f>
        <v/>
      </c>
      <c r="BB151" s="137">
        <f>IF(ISNUMBER('Assumptions'!$B$16),'Assumptions'!$B$16+-SUM(AC150:AC151),"")</f>
        <v/>
      </c>
      <c r="BC151" s="137">
        <f>IF(AND(ISNUMBER('Assumptions'!$B$21),ISNUMBER('Assumptions'!$B$19)),'Assumptions'!$B$21+SUM(AU150:AU151)-SUM(AG150:AG151),"")</f>
        <v/>
      </c>
      <c r="BD151" s="137">
        <f>IF(ISNUMBER('Assumptions'!$B$20),'Assumptions'!$B$20+-SUM(AI150:AI151),"")</f>
        <v/>
      </c>
      <c r="BE151" s="137">
        <f>IF(AND(ISNUMBER('Assumptions'!$B$17),COUNT(AV150:AV151)=2),'Assumptions'!$B$17+SUM(AV150:AV151),"")</f>
        <v/>
      </c>
      <c r="BF151" s="137">
        <f>IF(COUNT(AL151,AW151:AY151)=4,SUM(AL151,AW151:AY151),"")</f>
        <v/>
      </c>
      <c r="BG151" s="137">
        <f>IF(COUNT(AZ151:BD151)=5,SUM(AZ151:BD151,AA151),"")</f>
        <v/>
      </c>
      <c r="BH151" s="137">
        <f>IF(COUNT(BF151,BG151,BE151)=3,BF151-BG151-BE151,"")</f>
        <v/>
      </c>
      <c r="BI151" s="137">
        <f>SUM(W151,X151)-Z151-AA151</f>
        <v/>
      </c>
      <c r="BJ151" s="137">
        <f>8-COUNT('Assumptions'!E58:E65)+COUNTBLANK('NM Play'!B33:B34)+'Costs'!E44+IF(AND('Sites'!E6=1,('Sites'!F6)&lt;=12,'Sites'!G6&gt;=1),IF(ISNUMBER('Sites'!O6),0,1)+'Capital'!I6+COUNTBLANK('Sites'!R6)+IF('Sites'!D6="NM crew",COUNTBLANK('NM Play'!B25)+1,5-COUNT('Assumptions'!E112:E116)),0)+IF(AND('Sites'!E7=1,('Sites'!F7+'Cases'!G10)&lt;=12,'Sites'!G7&gt;=1),IF(ISNUMBER('Sites'!O7),0,1)+'Capital'!I7+COUNTBLANK('Sites'!R7)+IF('Sites'!D7="NM crew",COUNTBLANK('NM Play'!B25)+1,5-COUNT('Assumptions'!E117:E121)),0)+IF(AND('Sites'!E8*'Cases'!F10=1,('Sites'!F8+'Cases'!G10)&lt;=12,'Sites'!G8&gt;=1),IF(ISNUMBER('Sites'!O8),0,1)+'Capital'!I8+COUNTBLANK('Sites'!R8)+IF('Sites'!D8="NM crew",COUNTBLANK('NM Play'!B25)+1,5-COUNT('Assumptions'!E122:E126)),0)+IF(AND('Cases'!C10&gt;0,NOT(ISNUMBER('Assumptions'!B42))),1,0)+'Responsibilities'!$B$39</f>
        <v/>
      </c>
      <c r="BK151" s="137">
        <f>'Assumptions'!$B$50+'NM Play'!$B$83+'Funding'!$F$20+SUMIFS('Production schedule'!$AN$438:$AN$545,'Production schedule'!$C$438:$C$545,2)+IF(OR('Cases'!E10&lt;0,'Cases'!E10&gt;1,'Cases'!C10&lt;0,'Cases'!D10&lt;0,ABS(SUM('Sites'!S6:S8)-1)&gt;0.0001,MIN('Capital'!F6:F8)&lt;0,MAX('Capital'!F6:F8)&gt;1,MIN(AX151,AZ151,BB151,BA151)&lt;-0.01),1,0)+'Responsibilities'!$B$40</f>
        <v/>
      </c>
      <c r="BL151" s="137">
        <f>SUMIFS('Production schedule'!$T$438:$T$545,'Production schedule'!$C$438:$C$545,2)</f>
        <v/>
      </c>
      <c r="BM151" s="137">
        <f>D151*'NM Play'!$B$38</f>
        <v/>
      </c>
      <c r="BN151" s="137">
        <f>SUMIFS('Production schedule'!$AM$438:$AM$545,'Production schedule'!$C$438:$C$545,2)</f>
        <v/>
      </c>
      <c r="BO151" s="137">
        <f>AK151-AK150-AJ151</f>
        <v/>
      </c>
      <c r="BP151" s="137">
        <f>IF(AND('Assumptions'!$B$39&gt;=0,'Assumptions'!$B$40&gt;0),-PMT('Assumptions'!$B$39/12,'Assumptions'!$B$40*12,IF('Funding'!$N$11&gt;0,'Funding'!$N$11,'Funding'!$V$11)),"")</f>
        <v/>
      </c>
      <c r="BQ151">
        <f>('Production schedule'!AJ439)*(1-'Responsibilities'!$C$6)+('Production schedule'!AJ475)*(1-'Responsibilities'!$C$7)+('Production schedule'!AJ511)*(1-'Responsibilities'!$C$8)</f>
        <v/>
      </c>
      <c r="BR151">
        <f>('Production schedule'!AI439)*(1-'Responsibilities'!$D$6)+('Production schedule'!AI475)*(1-'Responsibilities'!$D$7)+('Production schedule'!AI511)*(1-'Responsibilities'!$D$8)</f>
        <v/>
      </c>
      <c r="BS151">
        <f>('Production schedule'!E439*(IF('Sites'!D6="Annual staff",SUM('Assumptions'!E112,'Assumptions'!E114),0)+SUM('Assumptions'!E113,'Assumptions'!E115:E116)))*(1-'Responsibilities'!$E$6)+('Production schedule'!E475*(IF('Sites'!D7="Annual staff",SUM('Assumptions'!E117,'Assumptions'!E119),0)+SUM('Assumptions'!E118,'Assumptions'!E120:E121)))*(1-'Responsibilities'!$E$7)+('Production schedule'!E511*(IF('Sites'!D8="Annual staff",SUM('Assumptions'!E122,'Assumptions'!E124),0)+SUM('Assumptions'!E123,'Assumptions'!E125:E126)))*(1-'Responsibilities'!$E$8)</f>
        <v/>
      </c>
      <c r="BT151">
        <f>(IF(AND('Production schedule'!E439=1,2=MAX(('Sites'!F6),1),ISNUMBER('Sites'!O6)),'Sites'!O6*'Assumptions'!$B$44,0))*(1-'Responsibilities'!$F$6)+(IF(AND('Production schedule'!E475=1,2=MAX(('Sites'!F7+'Cases'!G10),1),ISNUMBER('Sites'!O7)),'Sites'!O7*'Assumptions'!$B$44,0))*(1-'Responsibilities'!$F$7)+(IF(AND('Production schedule'!E511=1,2=MAX(('Sites'!F8+'Cases'!G10),1),ISNUMBER('Sites'!O8)),'Sites'!O8*'Assumptions'!$B$44,0))*(1-'Responsibilities'!$F$8)</f>
        <v/>
      </c>
      <c r="BU151">
        <f>SUM('Costs'!E36)*'Costs'!F36/12*(1-'Responsibilities'!$C$12)+SUM('Costs'!E37)*'Costs'!F37/12*(1-'Responsibilities'!$C$13)+SUM('Costs'!E38)*'Costs'!F38/12*(1-'Responsibilities'!$C$14)+SUM('Costs'!E39)*'Costs'!F39/12*(1-'Responsibilities'!$C$15)+SUM('Costs'!E40)*'Costs'!F40/12*(1-'Responsibilities'!$C$16)</f>
        <v/>
      </c>
      <c r="BV151">
        <f>('Sites'!E6*'Capital'!E6*(IF(2='Capital'!G6,'Capital'!F6,0)+IF(2='Capital'!H6,1-'Capital'!F6,0)))*(1-'Responsibilities'!$G$6)+('Sites'!E7*'Capital'!E7*(IF(2='Capital'!G7+'Cases'!G10,'Capital'!F7,0)+IF(2='Capital'!H7+'Cases'!G10,1-'Capital'!F7,0)))*(1-'Responsibilities'!$G$7)+('Sites'!E8*'Cases'!F10*'Capital'!E8*(IF(2='Capital'!G8+'Cases'!G10,'Capital'!F8,0)+IF(2='Capital'!H8+'Cases'!G10,1-'Capital'!F8,0)))*(1-'Responsibilities'!$G$8)</f>
        <v/>
      </c>
      <c r="BW151">
        <f>SUM(BQ151:BV151)</f>
        <v/>
      </c>
      <c r="BX151">
        <f>N151+BW151</f>
        <v/>
      </c>
      <c r="BY151">
        <f>BX151-(('Production schedule'!AJ439)*'Responsibilities'!$C$6+('Production schedule'!AJ475)*'Responsibilities'!$C$7+('Production schedule'!AJ511)*'Responsibilities'!$C$8+('Production schedule'!AJ439)*(1-'Responsibilities'!$C$6)+('Production schedule'!AJ475)*(1-'Responsibilities'!$C$7)+('Production schedule'!AJ511)*(1-'Responsibilities'!$C$8)+('Production schedule'!AI439)*'Responsibilities'!$D$6+('Production schedule'!AI475)*'Responsibilities'!$D$7+('Production schedule'!AI511)*'Responsibilities'!$D$8+('Production schedule'!AI439)*(1-'Responsibilities'!$D$6)+('Production schedule'!AI475)*(1-'Responsibilities'!$D$7)+('Production schedule'!AI511)*(1-'Responsibilities'!$D$8)+('Production schedule'!E439*(IF('Sites'!D6="Annual staff",SUM('Assumptions'!E112,'Assumptions'!E114),0)+SUM('Assumptions'!E113,'Assumptions'!E115:E116)))*'Responsibilities'!$E$6+('Production schedule'!E475*(IF('Sites'!D7="Annual staff",SUM('Assumptions'!E117,'Assumptions'!E119),0)+SUM('Assumptions'!E118,'Assumptions'!E120:E121)))*'Responsibilities'!$E$7+('Production schedule'!E511*(IF('Sites'!D8="Annual staff",SUM('Assumptions'!E122,'Assumptions'!E124),0)+SUM('Assumptions'!E123,'Assumptions'!E125:E126)))*'Responsibilities'!$E$8+('Production schedule'!E439*(IF('Sites'!D6="Annual staff",SUM('Assumptions'!E112,'Assumptions'!E114),0)+SUM('Assumptions'!E113,'Assumptions'!E115:E116)))*(1-'Responsibilities'!$E$6)+('Production schedule'!E475*(IF('Sites'!D7="Annual staff",SUM('Assumptions'!E117,'Assumptions'!E119),0)+SUM('Assumptions'!E118,'Assumptions'!E120:E121)))*(1-'Responsibilities'!$E$7)+('Production schedule'!E511*(IF('Sites'!D8="Annual staff",SUM('Assumptions'!E122,'Assumptions'!E124),0)+SUM('Assumptions'!E123,'Assumptions'!E125:E126)))*(1-'Responsibilities'!$E$8)+(IF(AND('Production schedule'!E439=1,2=MAX(('Sites'!F6),1),ISNUMBER('Sites'!O6)),'Sites'!O6*'Assumptions'!$B$44,0))*'Responsibilities'!$F$6+(IF(AND('Production schedule'!E475=1,2=MAX(('Sites'!F7+'Cases'!G10),1),ISNUMBER('Sites'!O7)),'Sites'!O7*'Assumptions'!$B$44,0))*'Responsibilities'!$F$7+(IF(AND('Production schedule'!E511=1,2=MAX(('Sites'!F8+'Cases'!G10),1),ISNUMBER('Sites'!O8)),'Sites'!O8*'Assumptions'!$B$44,0))*'Responsibilities'!$F$8+(IF(AND('Production schedule'!E439=1,2=MAX(('Sites'!F6),1),ISNUMBER('Sites'!O6)),'Sites'!O6*'Assumptions'!$B$44,0))*(1-'Responsibilities'!$F$6)+(IF(AND('Production schedule'!E475=1,2=MAX(('Sites'!F7+'Cases'!G10),1),ISNUMBER('Sites'!O7)),'Sites'!O7*'Assumptions'!$B$44,0))*(1-'Responsibilities'!$F$7)+(IF(AND('Production schedule'!E511=1,2=MAX(('Sites'!F8+'Cases'!G10),1),ISNUMBER('Sites'!O8)),'Sites'!O8*'Assumptions'!$B$44,0))*(1-'Responsibilities'!$F$8)+('Sites'!E6*'Capital'!E6*(IF(2='Capital'!G6,'Capital'!F6,0)+IF(2='Capital'!H6,1-'Capital'!F6,0)))*'Responsibilities'!$G$6+('Sites'!E7*'Capital'!E7*(IF(2='Capital'!G7+'Cases'!G10,'Capital'!F7,0)+IF(2='Capital'!H7+'Cases'!G10,1-'Capital'!F7,0)))*'Responsibilities'!$G$7+('Sites'!E8*'Cases'!F10*'Capital'!E8*(IF(2='Capital'!G8+'Cases'!G10,'Capital'!F8,0)+IF(2='Capital'!H8+'Cases'!G10,1-'Capital'!F8,0)))*'Responsibilities'!$G$8+('Sites'!E6*'Capital'!E6*(IF(2='Capital'!G6,'Capital'!F6,0)+IF(2='Capital'!H6,1-'Capital'!F6,0)))*(1-'Responsibilities'!$G$6)+('Sites'!E7*'Capital'!E7*(IF(2='Capital'!G7+'Cases'!G10,'Capital'!F7,0)+IF(2='Capital'!H7+'Cases'!G10,1-'Capital'!F7,0)))*(1-'Responsibilities'!$G$7)+('Sites'!E8*'Cases'!F10*'Capital'!E8*(IF(2='Capital'!G8+'Cases'!G10,'Capital'!F8,0)+IF(2='Capital'!H8+'Cases'!G10,1-'Capital'!F8,0)))*(1-'Responsibilities'!$G$8)+I151+SUMPRODUCT('Costs'!$E$36:$E$40,'Costs'!$F$36:$F$40)/12+BZ151)</f>
        <v/>
      </c>
      <c r="BZ151">
        <f>SUMIFS('Responsibilities'!$B$31:$B$35,'Responsibilities'!$C$31:$C$35,2,'Responsibilities'!$D$31:$D$35,"Yes")</f>
        <v/>
      </c>
    </row>
    <row r="152" ht="28" customHeight="1">
      <c r="A152" s="4" t="inlineStr">
        <is>
          <t>Lower sales</t>
        </is>
      </c>
      <c r="B152" s="4" t="n">
        <v>3</v>
      </c>
      <c r="C152" s="4">
        <f>ROUNDUP(B152/12,0)</f>
        <v/>
      </c>
      <c r="D152" s="137">
        <f>SUMIFS('Production schedule'!$N$438:$N$545,'Production schedule'!$C$438:$C$545,3)</f>
        <v/>
      </c>
      <c r="E152" s="137">
        <f>SUMIFS('Production schedule'!$Y$438:$Y$545,'Production schedule'!$C$438:$C$545,3)</f>
        <v/>
      </c>
      <c r="F152" s="137">
        <f>SUMIFS('Production schedule'!$Z$438:$Z$545,'Production schedule'!$C$438:$C$545,3)</f>
        <v/>
      </c>
      <c r="G152" s="137">
        <f>('Production schedule'!AJ440)*'Responsibilities'!$C$6+('Production schedule'!AJ476)*'Responsibilities'!$C$7+('Production schedule'!AJ512)*'Responsibilities'!$C$8</f>
        <v/>
      </c>
      <c r="H152" s="137">
        <f>('Production schedule'!AI440)*'Responsibilities'!$D$6+('Production schedule'!AI476)*'Responsibilities'!$D$7+('Production schedule'!AI512)*'Responsibilities'!$D$8</f>
        <v/>
      </c>
      <c r="I152" s="137">
        <f>SUM('Assumptions'!F58:F65)</f>
        <v/>
      </c>
      <c r="J152" s="137">
        <f>('Production schedule'!E440*(IF('Sites'!D6="Annual staff",SUM('Assumptions'!F112,'Assumptions'!F114),0)+SUM('Assumptions'!F113,'Assumptions'!F115:F116)))*'Responsibilities'!$E$6+('Production schedule'!E476*(IF('Sites'!D7="Annual staff",SUM('Assumptions'!F117,'Assumptions'!F119),0)+SUM('Assumptions'!F118,'Assumptions'!F120:F121)))*'Responsibilities'!$E$7+('Production schedule'!E512*(IF('Sites'!D8="Annual staff",SUM('Assumptions'!F122,'Assumptions'!F124),0)+SUM('Assumptions'!F123,'Assumptions'!F125:F126)))*'Responsibilities'!$E$8</f>
        <v/>
      </c>
      <c r="K152" s="137">
        <f>(IF(AND('Production schedule'!E440=1,3=MAX(('Sites'!F6),1),ISNUMBER('Sites'!O6)),'Sites'!O6*'Assumptions'!$B$44,0))*'Responsibilities'!$F$6+(IF(AND('Production schedule'!E476=1,3=MAX(('Sites'!F7+'Cases'!G10),1),ISNUMBER('Sites'!O7)),'Sites'!O7*'Assumptions'!$B$44,0))*'Responsibilities'!$F$7+(IF(AND('Production schedule'!E512=1,3=MAX(('Sites'!F8+'Cases'!G10),1),ISNUMBER('Sites'!O8)),'Sites'!O8*'Assumptions'!$B$44,0))*'Responsibilities'!$F$8</f>
        <v/>
      </c>
      <c r="L152" s="137">
        <f>SUM('Costs'!E36)*'Costs'!F36/12*'Responsibilities'!$C$12+SUM('Costs'!E37)*'Costs'!F37/12*'Responsibilities'!$C$13+SUM('Costs'!E38)*'Costs'!F38/12*'Responsibilities'!$C$14+SUM('Costs'!E39)*'Costs'!F39/12*'Responsibilities'!$C$15+SUM('Costs'!E40)*'Costs'!F40/12*'Responsibilities'!$C$16+BZ152</f>
        <v/>
      </c>
      <c r="M152" s="137">
        <f>('Sites'!E6*'Capital'!E6*(IF(3='Capital'!G6,'Capital'!F6,0)+IF(3='Capital'!H6,1-'Capital'!F6,0)))*'Responsibilities'!$G$6+('Sites'!E7*'Capital'!E7*(IF(3='Capital'!G7+'Cases'!G10,'Capital'!F7,0)+IF(3='Capital'!H7+'Cases'!G10,1-'Capital'!F7,0)))*'Responsibilities'!$G$7+('Sites'!E8*'Cases'!F10*'Capital'!E8*(IF(3='Capital'!G8+'Cases'!G10,'Capital'!F8,0)+IF(3='Capital'!H8+'Cases'!G10,1-'Capital'!F8,0)))*'Responsibilities'!$G$8</f>
        <v/>
      </c>
      <c r="N152" s="137">
        <f>SUM(G152:M152)</f>
        <v/>
      </c>
      <c r="O152" s="137">
        <f>SUMIFS(FundingTranches[Secured amount],FundingTranches[Instrument],"Grant",FundingTranches[Secured month],3)</f>
        <v/>
      </c>
      <c r="P152" s="137">
        <f>SUMIFS(FundingTranches[Lower sales possible],FundingTranches[Instrument],"Grant",FundingTranches[Scenario month],3-'Cases'!$D$10)</f>
        <v/>
      </c>
      <c r="Q152" s="137">
        <f>SUMIFS(FundingTranches[Secured amount],FundingTranches[Instrument],"Loan",FundingTranches[Secured month],3)</f>
        <v/>
      </c>
      <c r="R152" s="137">
        <f>SUMIFS(FundingTranches[Lower sales possible],FundingTranches[Instrument],"Loan",FundingTranches[Scenario month],3-'Cases'!$D$10)</f>
        <v/>
      </c>
      <c r="S152" s="137">
        <f>IF(3&lt;='Assumptions'!$B$34,0,SUMIFS('Production schedule'!$AL$438:$AL$545,'Production schedule'!$C$438:$C$545,3-'Assumptions'!$B$34))</f>
        <v/>
      </c>
      <c r="T152" s="137">
        <f>'Assumptions'!F70</f>
        <v/>
      </c>
      <c r="U152" s="137">
        <f>'Assumptions'!F78</f>
        <v/>
      </c>
      <c r="V152" s="137">
        <f>SUM(O152:U152)</f>
        <v/>
      </c>
      <c r="W152" s="137">
        <f>AA151</f>
        <v/>
      </c>
      <c r="X152" s="137">
        <f>SUM(Q152:R152)</f>
        <v/>
      </c>
      <c r="Y152" s="137">
        <f>SUM(W152,X152)*'Assumptions'!$B$39/12</f>
        <v/>
      </c>
      <c r="Z152" s="137">
        <f>IF(SUM(W152,X152)&gt;0,MIN(SUM(W152,X152),MAX(0,BP152-Y152)),0)</f>
        <v/>
      </c>
      <c r="AA152" s="137">
        <f>SUM(W152,X152)-Z152</f>
        <v/>
      </c>
      <c r="AB152" s="137">
        <f>SUM(Y152:Z152)</f>
        <v/>
      </c>
      <c r="AC152" s="137">
        <f>'Assumptions'!F72</f>
        <v/>
      </c>
      <c r="AD152" s="137">
        <f>'Assumptions'!F73</f>
        <v/>
      </c>
      <c r="AE152" s="137">
        <f>IF(X152&gt;0,SUM('Assumptions'!$B$42),0)</f>
        <v/>
      </c>
      <c r="AF152" s="137">
        <f>'Assumptions'!F71</f>
        <v/>
      </c>
      <c r="AG152" s="137">
        <f>'Assumptions'!F74</f>
        <v/>
      </c>
      <c r="AH152" s="137">
        <f>'Assumptions'!F75</f>
        <v/>
      </c>
      <c r="AI152" s="137">
        <f>'Assumptions'!F77</f>
        <v/>
      </c>
      <c r="AJ152" s="137">
        <f>V152-N152-SUM(AB152:AI152)</f>
        <v/>
      </c>
      <c r="AK152" s="137">
        <f>SUM(AJ150:AJ152)</f>
        <v/>
      </c>
      <c r="AL152" s="137">
        <f>IF(ISNUMBER('Assumptions'!$B$10),'Assumptions'!$B$10+AK152,"")</f>
        <v/>
      </c>
      <c r="AM152" s="137">
        <f>SUM(O152,Q152,T152)-N152-SUM(AC152:AI152)+IF('Funding'!$N$11=0,AE152,0)-IF('Funding'!$N$11&gt;0,AB152,0)</f>
        <v/>
      </c>
      <c r="AN152" s="137">
        <f>SUM(AM150:AM152)</f>
        <v/>
      </c>
      <c r="AO152" s="137">
        <f>IF(ISNUMBER('Assumptions'!$B$10),'Assumptions'!$B$10+AN152,"")</f>
        <v/>
      </c>
      <c r="AP152" s="137">
        <f>('Production schedule'!AK440)*'Responsibilities'!$C$6+('Production schedule'!AK476)*'Responsibilities'!$C$7+('Production schedule'!AK512)*'Responsibilities'!$C$8</f>
        <v/>
      </c>
      <c r="AQ152" s="137">
        <f>SUMIFS('Production schedule'!$AL$438:$AL$545,'Production schedule'!$C$438:$C$545,3)</f>
        <v/>
      </c>
      <c r="AR152" s="137">
        <f>IF(ISNUMBER('Assumptions'!F76),'Assumptions'!F76,SUM(O152:P152))</f>
        <v/>
      </c>
      <c r="AS152" s="137">
        <f>IF(ISNUMBER('Assumptions'!$B$13),MIN('Assumptions'!$B$13/'Assumptions'!$B$18/12,MAX(0,'Assumptions'!$B$13-(3-1)*'Assumptions'!$B$13/'Assumptions'!$B$18/12)),0)+IF(AND('Sites'!E6=1,3&gt;=('Sites'!F6),3&lt;('Sites'!F6)+'Assumptions'!$B$18*12),'Capital'!E6/'Assumptions'!$B$18/12,0)+IF(AND('Sites'!E7=1,3&gt;=('Sites'!F7+'Cases'!G10),3&lt;('Sites'!F7+'Cases'!G10)+'Assumptions'!$B$18*12),'Capital'!E7/'Assumptions'!$B$18/12,0)+IF(AND('Sites'!E8*'Cases'!F10=1,3&gt;=('Sites'!F8+'Cases'!G10),3&lt;('Sites'!F8+'Cases'!G10)+'Assumptions'!$B$18*12),'Capital'!E8/'Assumptions'!$B$18/12,0)</f>
        <v/>
      </c>
      <c r="AT152" s="137">
        <f>SUM(AQ152,AR152,U152)-AP152-SUM(H152:L152)-AS152-SUM(Y152,AD152,AE152,AH152)</f>
        <v/>
      </c>
      <c r="AU152" s="137">
        <f>IF(ISNUMBER('Assumptions'!$B$19),MAX(0,SUM(AT150:AT152))*'Assumptions'!$B$19-SUM(AU150:AU151),"")</f>
        <v/>
      </c>
      <c r="AV152" s="137">
        <f>IF(ISNUMBER(AU152),AT152-AU152,"")</f>
        <v/>
      </c>
      <c r="AW152" s="137">
        <f>IF(ISNUMBER('Assumptions'!$B$11),'Assumptions'!$B$11+SUM(AQ150:AQ152)-SUM(S150:S152)-SUM(T150:T152),"")</f>
        <v/>
      </c>
      <c r="AX152" s="137">
        <f>IF(ISNUMBER('Assumptions'!$B$12),'Assumptions'!$B$12+SUM(G150:G152)-SUM(AP150:AP152),"")</f>
        <v/>
      </c>
      <c r="AY152" s="137">
        <f>IF(ISNUMBER('Assumptions'!$B$13),'Assumptions'!$B$13+SUM(M150:M152)-SUM(AS150:AS152),"")</f>
        <v/>
      </c>
      <c r="AZ152" s="137">
        <f>IF(ISNUMBER('Assumptions'!$B$14),'Assumptions'!$B$14+-SUM(AF150:AF152),"")</f>
        <v/>
      </c>
      <c r="BA152" s="137">
        <f>IF(ISNUMBER('Assumptions'!$B$15),'Assumptions'!$B$15+SUM(O150:O152)+SUM(P150:P152)-SUM(AR150:AR152),"")</f>
        <v/>
      </c>
      <c r="BB152" s="137">
        <f>IF(ISNUMBER('Assumptions'!$B$16),'Assumptions'!$B$16+-SUM(AC150:AC152),"")</f>
        <v/>
      </c>
      <c r="BC152" s="137">
        <f>IF(AND(ISNUMBER('Assumptions'!$B$21),ISNUMBER('Assumptions'!$B$19)),'Assumptions'!$B$21+SUM(AU150:AU152)-SUM(AG150:AG152),"")</f>
        <v/>
      </c>
      <c r="BD152" s="137">
        <f>IF(ISNUMBER('Assumptions'!$B$20),'Assumptions'!$B$20+-SUM(AI150:AI152),"")</f>
        <v/>
      </c>
      <c r="BE152" s="137">
        <f>IF(AND(ISNUMBER('Assumptions'!$B$17),COUNT(AV150:AV152)=3),'Assumptions'!$B$17+SUM(AV150:AV152),"")</f>
        <v/>
      </c>
      <c r="BF152" s="137">
        <f>IF(COUNT(AL152,AW152:AY152)=4,SUM(AL152,AW152:AY152),"")</f>
        <v/>
      </c>
      <c r="BG152" s="137">
        <f>IF(COUNT(AZ152:BD152)=5,SUM(AZ152:BD152,AA152),"")</f>
        <v/>
      </c>
      <c r="BH152" s="137">
        <f>IF(COUNT(BF152,BG152,BE152)=3,BF152-BG152-BE152,"")</f>
        <v/>
      </c>
      <c r="BI152" s="137">
        <f>SUM(W152,X152)-Z152-AA152</f>
        <v/>
      </c>
      <c r="BJ152" s="137">
        <f>8-COUNT('Assumptions'!F58:F65)+COUNTBLANK('NM Play'!B33:B34)+'Costs'!E44+IF(AND('Sites'!E6=1,('Sites'!F6)&lt;=12,'Sites'!G6&gt;=1),IF(ISNUMBER('Sites'!O6),0,1)+'Capital'!I6+COUNTBLANK('Sites'!R6)+IF('Sites'!D6="NM crew",COUNTBLANK('NM Play'!B25)+1,5-COUNT('Assumptions'!F112:F116)),0)+IF(AND('Sites'!E7=1,('Sites'!F7+'Cases'!G10)&lt;=12,'Sites'!G7&gt;=1),IF(ISNUMBER('Sites'!O7),0,1)+'Capital'!I7+COUNTBLANK('Sites'!R7)+IF('Sites'!D7="NM crew",COUNTBLANK('NM Play'!B25)+1,5-COUNT('Assumptions'!F117:F121)),0)+IF(AND('Sites'!E8*'Cases'!F10=1,('Sites'!F8+'Cases'!G10)&lt;=12,'Sites'!G8&gt;=1),IF(ISNUMBER('Sites'!O8),0,1)+'Capital'!I8+COUNTBLANK('Sites'!R8)+IF('Sites'!D8="NM crew",COUNTBLANK('NM Play'!B25)+1,5-COUNT('Assumptions'!F122:F126)),0)+IF(AND('Cases'!C10&gt;0,NOT(ISNUMBER('Assumptions'!B42))),1,0)+'Responsibilities'!$B$39</f>
        <v/>
      </c>
      <c r="BK152" s="137">
        <f>'Assumptions'!$B$50+'NM Play'!$B$83+'Funding'!$F$20+SUMIFS('Production schedule'!$AN$438:$AN$545,'Production schedule'!$C$438:$C$545,3)+IF(OR('Cases'!E10&lt;0,'Cases'!E10&gt;1,'Cases'!C10&lt;0,'Cases'!D10&lt;0,ABS(SUM('Sites'!S6:S8)-1)&gt;0.0001,MIN('Capital'!F6:F8)&lt;0,MAX('Capital'!F6:F8)&gt;1,MIN(AX152,AZ152,BB152,BA152)&lt;-0.01),1,0)+'Responsibilities'!$B$40</f>
        <v/>
      </c>
      <c r="BL152" s="137">
        <f>SUMIFS('Production schedule'!$T$438:$T$545,'Production schedule'!$C$438:$C$545,3)</f>
        <v/>
      </c>
      <c r="BM152" s="137">
        <f>D152*'NM Play'!$B$38</f>
        <v/>
      </c>
      <c r="BN152" s="137">
        <f>SUMIFS('Production schedule'!$AM$438:$AM$545,'Production schedule'!$C$438:$C$545,3)</f>
        <v/>
      </c>
      <c r="BO152" s="137">
        <f>AK152-AK151-AJ152</f>
        <v/>
      </c>
      <c r="BP152" s="137">
        <f>IF(AND('Assumptions'!$B$39&gt;=0,'Assumptions'!$B$40&gt;0),-PMT('Assumptions'!$B$39/12,'Assumptions'!$B$40*12,IF('Funding'!$N$11&gt;0,'Funding'!$N$11,'Funding'!$V$11)),"")</f>
        <v/>
      </c>
      <c r="BQ152">
        <f>('Production schedule'!AJ440)*(1-'Responsibilities'!$C$6)+('Production schedule'!AJ476)*(1-'Responsibilities'!$C$7)+('Production schedule'!AJ512)*(1-'Responsibilities'!$C$8)</f>
        <v/>
      </c>
      <c r="BR152">
        <f>('Production schedule'!AI440)*(1-'Responsibilities'!$D$6)+('Production schedule'!AI476)*(1-'Responsibilities'!$D$7)+('Production schedule'!AI512)*(1-'Responsibilities'!$D$8)</f>
        <v/>
      </c>
      <c r="BS152">
        <f>('Production schedule'!E440*(IF('Sites'!D6="Annual staff",SUM('Assumptions'!F112,'Assumptions'!F114),0)+SUM('Assumptions'!F113,'Assumptions'!F115:F116)))*(1-'Responsibilities'!$E$6)+('Production schedule'!E476*(IF('Sites'!D7="Annual staff",SUM('Assumptions'!F117,'Assumptions'!F119),0)+SUM('Assumptions'!F118,'Assumptions'!F120:F121)))*(1-'Responsibilities'!$E$7)+('Production schedule'!E512*(IF('Sites'!D8="Annual staff",SUM('Assumptions'!F122,'Assumptions'!F124),0)+SUM('Assumptions'!F123,'Assumptions'!F125:F126)))*(1-'Responsibilities'!$E$8)</f>
        <v/>
      </c>
      <c r="BT152">
        <f>(IF(AND('Production schedule'!E440=1,3=MAX(('Sites'!F6),1),ISNUMBER('Sites'!O6)),'Sites'!O6*'Assumptions'!$B$44,0))*(1-'Responsibilities'!$F$6)+(IF(AND('Production schedule'!E476=1,3=MAX(('Sites'!F7+'Cases'!G10),1),ISNUMBER('Sites'!O7)),'Sites'!O7*'Assumptions'!$B$44,0))*(1-'Responsibilities'!$F$7)+(IF(AND('Production schedule'!E512=1,3=MAX(('Sites'!F8+'Cases'!G10),1),ISNUMBER('Sites'!O8)),'Sites'!O8*'Assumptions'!$B$44,0))*(1-'Responsibilities'!$F$8)</f>
        <v/>
      </c>
      <c r="BU152">
        <f>SUM('Costs'!E36)*'Costs'!F36/12*(1-'Responsibilities'!$C$12)+SUM('Costs'!E37)*'Costs'!F37/12*(1-'Responsibilities'!$C$13)+SUM('Costs'!E38)*'Costs'!F38/12*(1-'Responsibilities'!$C$14)+SUM('Costs'!E39)*'Costs'!F39/12*(1-'Responsibilities'!$C$15)+SUM('Costs'!E40)*'Costs'!F40/12*(1-'Responsibilities'!$C$16)</f>
        <v/>
      </c>
      <c r="BV152">
        <f>('Sites'!E6*'Capital'!E6*(IF(3='Capital'!G6,'Capital'!F6,0)+IF(3='Capital'!H6,1-'Capital'!F6,0)))*(1-'Responsibilities'!$G$6)+('Sites'!E7*'Capital'!E7*(IF(3='Capital'!G7+'Cases'!G10,'Capital'!F7,0)+IF(3='Capital'!H7+'Cases'!G10,1-'Capital'!F7,0)))*(1-'Responsibilities'!$G$7)+('Sites'!E8*'Cases'!F10*'Capital'!E8*(IF(3='Capital'!G8+'Cases'!G10,'Capital'!F8,0)+IF(3='Capital'!H8+'Cases'!G10,1-'Capital'!F8,0)))*(1-'Responsibilities'!$G$8)</f>
        <v/>
      </c>
      <c r="BW152">
        <f>SUM(BQ152:BV152)</f>
        <v/>
      </c>
      <c r="BX152">
        <f>N152+BW152</f>
        <v/>
      </c>
      <c r="BY152">
        <f>BX152-(('Production schedule'!AJ440)*'Responsibilities'!$C$6+('Production schedule'!AJ476)*'Responsibilities'!$C$7+('Production schedule'!AJ512)*'Responsibilities'!$C$8+('Production schedule'!AJ440)*(1-'Responsibilities'!$C$6)+('Production schedule'!AJ476)*(1-'Responsibilities'!$C$7)+('Production schedule'!AJ512)*(1-'Responsibilities'!$C$8)+('Production schedule'!AI440)*'Responsibilities'!$D$6+('Production schedule'!AI476)*'Responsibilities'!$D$7+('Production schedule'!AI512)*'Responsibilities'!$D$8+('Production schedule'!AI440)*(1-'Responsibilities'!$D$6)+('Production schedule'!AI476)*(1-'Responsibilities'!$D$7)+('Production schedule'!AI512)*(1-'Responsibilities'!$D$8)+('Production schedule'!E440*(IF('Sites'!D6="Annual staff",SUM('Assumptions'!F112,'Assumptions'!F114),0)+SUM('Assumptions'!F113,'Assumptions'!F115:F116)))*'Responsibilities'!$E$6+('Production schedule'!E476*(IF('Sites'!D7="Annual staff",SUM('Assumptions'!F117,'Assumptions'!F119),0)+SUM('Assumptions'!F118,'Assumptions'!F120:F121)))*'Responsibilities'!$E$7+('Production schedule'!E512*(IF('Sites'!D8="Annual staff",SUM('Assumptions'!F122,'Assumptions'!F124),0)+SUM('Assumptions'!F123,'Assumptions'!F125:F126)))*'Responsibilities'!$E$8+('Production schedule'!E440*(IF('Sites'!D6="Annual staff",SUM('Assumptions'!F112,'Assumptions'!F114),0)+SUM('Assumptions'!F113,'Assumptions'!F115:F116)))*(1-'Responsibilities'!$E$6)+('Production schedule'!E476*(IF('Sites'!D7="Annual staff",SUM('Assumptions'!F117,'Assumptions'!F119),0)+SUM('Assumptions'!F118,'Assumptions'!F120:F121)))*(1-'Responsibilities'!$E$7)+('Production schedule'!E512*(IF('Sites'!D8="Annual staff",SUM('Assumptions'!F122,'Assumptions'!F124),0)+SUM('Assumptions'!F123,'Assumptions'!F125:F126)))*(1-'Responsibilities'!$E$8)+(IF(AND('Production schedule'!E440=1,3=MAX(('Sites'!F6),1),ISNUMBER('Sites'!O6)),'Sites'!O6*'Assumptions'!$B$44,0))*'Responsibilities'!$F$6+(IF(AND('Production schedule'!E476=1,3=MAX(('Sites'!F7+'Cases'!G10),1),ISNUMBER('Sites'!O7)),'Sites'!O7*'Assumptions'!$B$44,0))*'Responsibilities'!$F$7+(IF(AND('Production schedule'!E512=1,3=MAX(('Sites'!F8+'Cases'!G10),1),ISNUMBER('Sites'!O8)),'Sites'!O8*'Assumptions'!$B$44,0))*'Responsibilities'!$F$8+(IF(AND('Production schedule'!E440=1,3=MAX(('Sites'!F6),1),ISNUMBER('Sites'!O6)),'Sites'!O6*'Assumptions'!$B$44,0))*(1-'Responsibilities'!$F$6)+(IF(AND('Production schedule'!E476=1,3=MAX(('Sites'!F7+'Cases'!G10),1),ISNUMBER('Sites'!O7)),'Sites'!O7*'Assumptions'!$B$44,0))*(1-'Responsibilities'!$F$7)+(IF(AND('Production schedule'!E512=1,3=MAX(('Sites'!F8+'Cases'!G10),1),ISNUMBER('Sites'!O8)),'Sites'!O8*'Assumptions'!$B$44,0))*(1-'Responsibilities'!$F$8)+('Sites'!E6*'Capital'!E6*(IF(3='Capital'!G6,'Capital'!F6,0)+IF(3='Capital'!H6,1-'Capital'!F6,0)))*'Responsibilities'!$G$6+('Sites'!E7*'Capital'!E7*(IF(3='Capital'!G7+'Cases'!G10,'Capital'!F7,0)+IF(3='Capital'!H7+'Cases'!G10,1-'Capital'!F7,0)))*'Responsibilities'!$G$7+('Sites'!E8*'Cases'!F10*'Capital'!E8*(IF(3='Capital'!G8+'Cases'!G10,'Capital'!F8,0)+IF(3='Capital'!H8+'Cases'!G10,1-'Capital'!F8,0)))*'Responsibilities'!$G$8+('Sites'!E6*'Capital'!E6*(IF(3='Capital'!G6,'Capital'!F6,0)+IF(3='Capital'!H6,1-'Capital'!F6,0)))*(1-'Responsibilities'!$G$6)+('Sites'!E7*'Capital'!E7*(IF(3='Capital'!G7+'Cases'!G10,'Capital'!F7,0)+IF(3='Capital'!H7+'Cases'!G10,1-'Capital'!F7,0)))*(1-'Responsibilities'!$G$7)+('Sites'!E8*'Cases'!F10*'Capital'!E8*(IF(3='Capital'!G8+'Cases'!G10,'Capital'!F8,0)+IF(3='Capital'!H8+'Cases'!G10,1-'Capital'!F8,0)))*(1-'Responsibilities'!$G$8)+I152+SUMPRODUCT('Costs'!$E$36:$E$40,'Costs'!$F$36:$F$40)/12+BZ152)</f>
        <v/>
      </c>
      <c r="BZ152">
        <f>SUMIFS('Responsibilities'!$B$31:$B$35,'Responsibilities'!$C$31:$C$35,3,'Responsibilities'!$D$31:$D$35,"Yes")</f>
        <v/>
      </c>
    </row>
    <row r="153" ht="28" customHeight="1">
      <c r="A153" s="4" t="inlineStr">
        <is>
          <t>Lower sales</t>
        </is>
      </c>
      <c r="B153" s="4" t="n">
        <v>4</v>
      </c>
      <c r="C153" s="4">
        <f>ROUNDUP(B153/12,0)</f>
        <v/>
      </c>
      <c r="D153" s="137">
        <f>SUMIFS('Production schedule'!$N$438:$N$545,'Production schedule'!$C$438:$C$545,4)</f>
        <v/>
      </c>
      <c r="E153" s="137">
        <f>SUMIFS('Production schedule'!$Y$438:$Y$545,'Production schedule'!$C$438:$C$545,4)</f>
        <v/>
      </c>
      <c r="F153" s="137">
        <f>SUMIFS('Production schedule'!$Z$438:$Z$545,'Production schedule'!$C$438:$C$545,4)</f>
        <v/>
      </c>
      <c r="G153" s="137">
        <f>('Production schedule'!AJ441)*'Responsibilities'!$C$6+('Production schedule'!AJ477)*'Responsibilities'!$C$7+('Production schedule'!AJ513)*'Responsibilities'!$C$8</f>
        <v/>
      </c>
      <c r="H153" s="137">
        <f>('Production schedule'!AI441)*'Responsibilities'!$D$6+('Production schedule'!AI477)*'Responsibilities'!$D$7+('Production schedule'!AI513)*'Responsibilities'!$D$8</f>
        <v/>
      </c>
      <c r="I153" s="137">
        <f>SUM('Assumptions'!G58:G65)</f>
        <v/>
      </c>
      <c r="J153" s="137">
        <f>('Production schedule'!E441*(IF('Sites'!D6="Annual staff",SUM('Assumptions'!G112,'Assumptions'!G114),0)+SUM('Assumptions'!G113,'Assumptions'!G115:G116)))*'Responsibilities'!$E$6+('Production schedule'!E477*(IF('Sites'!D7="Annual staff",SUM('Assumptions'!G117,'Assumptions'!G119),0)+SUM('Assumptions'!G118,'Assumptions'!G120:G121)))*'Responsibilities'!$E$7+('Production schedule'!E513*(IF('Sites'!D8="Annual staff",SUM('Assumptions'!G122,'Assumptions'!G124),0)+SUM('Assumptions'!G123,'Assumptions'!G125:G126)))*'Responsibilities'!$E$8</f>
        <v/>
      </c>
      <c r="K153" s="137">
        <f>(IF(AND('Production schedule'!E441=1,4=MAX(('Sites'!F6),1),ISNUMBER('Sites'!O6)),'Sites'!O6*'Assumptions'!$B$44,0))*'Responsibilities'!$F$6+(IF(AND('Production schedule'!E477=1,4=MAX(('Sites'!F7+'Cases'!G10),1),ISNUMBER('Sites'!O7)),'Sites'!O7*'Assumptions'!$B$44,0))*'Responsibilities'!$F$7+(IF(AND('Production schedule'!E513=1,4=MAX(('Sites'!F8+'Cases'!G10),1),ISNUMBER('Sites'!O8)),'Sites'!O8*'Assumptions'!$B$44,0))*'Responsibilities'!$F$8</f>
        <v/>
      </c>
      <c r="L153" s="137">
        <f>SUM('Costs'!E36)*'Costs'!F36/12*'Responsibilities'!$C$12+SUM('Costs'!E37)*'Costs'!F37/12*'Responsibilities'!$C$13+SUM('Costs'!E38)*'Costs'!F38/12*'Responsibilities'!$C$14+SUM('Costs'!E39)*'Costs'!F39/12*'Responsibilities'!$C$15+SUM('Costs'!E40)*'Costs'!F40/12*'Responsibilities'!$C$16+BZ153</f>
        <v/>
      </c>
      <c r="M153" s="137">
        <f>('Sites'!E6*'Capital'!E6*(IF(4='Capital'!G6,'Capital'!F6,0)+IF(4='Capital'!H6,1-'Capital'!F6,0)))*'Responsibilities'!$G$6+('Sites'!E7*'Capital'!E7*(IF(4='Capital'!G7+'Cases'!G10,'Capital'!F7,0)+IF(4='Capital'!H7+'Cases'!G10,1-'Capital'!F7,0)))*'Responsibilities'!$G$7+('Sites'!E8*'Cases'!F10*'Capital'!E8*(IF(4='Capital'!G8+'Cases'!G10,'Capital'!F8,0)+IF(4='Capital'!H8+'Cases'!G10,1-'Capital'!F8,0)))*'Responsibilities'!$G$8</f>
        <v/>
      </c>
      <c r="N153" s="137">
        <f>SUM(G153:M153)</f>
        <v/>
      </c>
      <c r="O153" s="137">
        <f>SUMIFS(FundingTranches[Secured amount],FundingTranches[Instrument],"Grant",FundingTranches[Secured month],4)</f>
        <v/>
      </c>
      <c r="P153" s="137">
        <f>SUMIFS(FundingTranches[Lower sales possible],FundingTranches[Instrument],"Grant",FundingTranches[Scenario month],4-'Cases'!$D$10)</f>
        <v/>
      </c>
      <c r="Q153" s="137">
        <f>SUMIFS(FundingTranches[Secured amount],FundingTranches[Instrument],"Loan",FundingTranches[Secured month],4)</f>
        <v/>
      </c>
      <c r="R153" s="137">
        <f>SUMIFS(FundingTranches[Lower sales possible],FundingTranches[Instrument],"Loan",FundingTranches[Scenario month],4-'Cases'!$D$10)</f>
        <v/>
      </c>
      <c r="S153" s="137">
        <f>IF(4&lt;='Assumptions'!$B$34,0,SUMIFS('Production schedule'!$AL$438:$AL$545,'Production schedule'!$C$438:$C$545,4-'Assumptions'!$B$34))</f>
        <v/>
      </c>
      <c r="T153" s="137">
        <f>'Assumptions'!G70</f>
        <v/>
      </c>
      <c r="U153" s="137">
        <f>'Assumptions'!G78</f>
        <v/>
      </c>
      <c r="V153" s="137">
        <f>SUM(O153:U153)</f>
        <v/>
      </c>
      <c r="W153" s="137">
        <f>AA152</f>
        <v/>
      </c>
      <c r="X153" s="137">
        <f>SUM(Q153:R153)</f>
        <v/>
      </c>
      <c r="Y153" s="137">
        <f>SUM(W153,X153)*'Assumptions'!$B$39/12</f>
        <v/>
      </c>
      <c r="Z153" s="137">
        <f>IF(SUM(W153,X153)&gt;0,MIN(SUM(W153,X153),MAX(0,BP153-Y153)),0)</f>
        <v/>
      </c>
      <c r="AA153" s="137">
        <f>SUM(W153,X153)-Z153</f>
        <v/>
      </c>
      <c r="AB153" s="137">
        <f>SUM(Y153:Z153)</f>
        <v/>
      </c>
      <c r="AC153" s="137">
        <f>'Assumptions'!G72</f>
        <v/>
      </c>
      <c r="AD153" s="137">
        <f>'Assumptions'!G73</f>
        <v/>
      </c>
      <c r="AE153" s="137">
        <f>IF(X153&gt;0,SUM('Assumptions'!$B$42),0)</f>
        <v/>
      </c>
      <c r="AF153" s="137">
        <f>'Assumptions'!G71</f>
        <v/>
      </c>
      <c r="AG153" s="137">
        <f>'Assumptions'!G74</f>
        <v/>
      </c>
      <c r="AH153" s="137">
        <f>'Assumptions'!G75</f>
        <v/>
      </c>
      <c r="AI153" s="137">
        <f>'Assumptions'!G77</f>
        <v/>
      </c>
      <c r="AJ153" s="137">
        <f>V153-N153-SUM(AB153:AI153)</f>
        <v/>
      </c>
      <c r="AK153" s="137">
        <f>SUM(AJ150:AJ153)</f>
        <v/>
      </c>
      <c r="AL153" s="137">
        <f>IF(ISNUMBER('Assumptions'!$B$10),'Assumptions'!$B$10+AK153,"")</f>
        <v/>
      </c>
      <c r="AM153" s="137">
        <f>SUM(O153,Q153,T153)-N153-SUM(AC153:AI153)+IF('Funding'!$N$11=0,AE153,0)-IF('Funding'!$N$11&gt;0,AB153,0)</f>
        <v/>
      </c>
      <c r="AN153" s="137">
        <f>SUM(AM150:AM153)</f>
        <v/>
      </c>
      <c r="AO153" s="137">
        <f>IF(ISNUMBER('Assumptions'!$B$10),'Assumptions'!$B$10+AN153,"")</f>
        <v/>
      </c>
      <c r="AP153" s="137">
        <f>('Production schedule'!AK441)*'Responsibilities'!$C$6+('Production schedule'!AK477)*'Responsibilities'!$C$7+('Production schedule'!AK513)*'Responsibilities'!$C$8</f>
        <v/>
      </c>
      <c r="AQ153" s="137">
        <f>SUMIFS('Production schedule'!$AL$438:$AL$545,'Production schedule'!$C$438:$C$545,4)</f>
        <v/>
      </c>
      <c r="AR153" s="137">
        <f>IF(ISNUMBER('Assumptions'!G76),'Assumptions'!G76,SUM(O153:P153))</f>
        <v/>
      </c>
      <c r="AS153" s="137">
        <f>IF(ISNUMBER('Assumptions'!$B$13),MIN('Assumptions'!$B$13/'Assumptions'!$B$18/12,MAX(0,'Assumptions'!$B$13-(4-1)*'Assumptions'!$B$13/'Assumptions'!$B$18/12)),0)+IF(AND('Sites'!E6=1,4&gt;=('Sites'!F6),4&lt;('Sites'!F6)+'Assumptions'!$B$18*12),'Capital'!E6/'Assumptions'!$B$18/12,0)+IF(AND('Sites'!E7=1,4&gt;=('Sites'!F7+'Cases'!G10),4&lt;('Sites'!F7+'Cases'!G10)+'Assumptions'!$B$18*12),'Capital'!E7/'Assumptions'!$B$18/12,0)+IF(AND('Sites'!E8*'Cases'!F10=1,4&gt;=('Sites'!F8+'Cases'!G10),4&lt;('Sites'!F8+'Cases'!G10)+'Assumptions'!$B$18*12),'Capital'!E8/'Assumptions'!$B$18/12,0)</f>
        <v/>
      </c>
      <c r="AT153" s="137">
        <f>SUM(AQ153,AR153,U153)-AP153-SUM(H153:L153)-AS153-SUM(Y153,AD153,AE153,AH153)</f>
        <v/>
      </c>
      <c r="AU153" s="137">
        <f>IF(ISNUMBER('Assumptions'!$B$19),MAX(0,SUM(AT150:AT153))*'Assumptions'!$B$19-SUM(AU150:AU152),"")</f>
        <v/>
      </c>
      <c r="AV153" s="137">
        <f>IF(ISNUMBER(AU153),AT153-AU153,"")</f>
        <v/>
      </c>
      <c r="AW153" s="137">
        <f>IF(ISNUMBER('Assumptions'!$B$11),'Assumptions'!$B$11+SUM(AQ150:AQ153)-SUM(S150:S153)-SUM(T150:T153),"")</f>
        <v/>
      </c>
      <c r="AX153" s="137">
        <f>IF(ISNUMBER('Assumptions'!$B$12),'Assumptions'!$B$12+SUM(G150:G153)-SUM(AP150:AP153),"")</f>
        <v/>
      </c>
      <c r="AY153" s="137">
        <f>IF(ISNUMBER('Assumptions'!$B$13),'Assumptions'!$B$13+SUM(M150:M153)-SUM(AS150:AS153),"")</f>
        <v/>
      </c>
      <c r="AZ153" s="137">
        <f>IF(ISNUMBER('Assumptions'!$B$14),'Assumptions'!$B$14+-SUM(AF150:AF153),"")</f>
        <v/>
      </c>
      <c r="BA153" s="137">
        <f>IF(ISNUMBER('Assumptions'!$B$15),'Assumptions'!$B$15+SUM(O150:O153)+SUM(P150:P153)-SUM(AR150:AR153),"")</f>
        <v/>
      </c>
      <c r="BB153" s="137">
        <f>IF(ISNUMBER('Assumptions'!$B$16),'Assumptions'!$B$16+-SUM(AC150:AC153),"")</f>
        <v/>
      </c>
      <c r="BC153" s="137">
        <f>IF(AND(ISNUMBER('Assumptions'!$B$21),ISNUMBER('Assumptions'!$B$19)),'Assumptions'!$B$21+SUM(AU150:AU153)-SUM(AG150:AG153),"")</f>
        <v/>
      </c>
      <c r="BD153" s="137">
        <f>IF(ISNUMBER('Assumptions'!$B$20),'Assumptions'!$B$20+-SUM(AI150:AI153),"")</f>
        <v/>
      </c>
      <c r="BE153" s="137">
        <f>IF(AND(ISNUMBER('Assumptions'!$B$17),COUNT(AV150:AV153)=4),'Assumptions'!$B$17+SUM(AV150:AV153),"")</f>
        <v/>
      </c>
      <c r="BF153" s="137">
        <f>IF(COUNT(AL153,AW153:AY153)=4,SUM(AL153,AW153:AY153),"")</f>
        <v/>
      </c>
      <c r="BG153" s="137">
        <f>IF(COUNT(AZ153:BD153)=5,SUM(AZ153:BD153,AA153),"")</f>
        <v/>
      </c>
      <c r="BH153" s="137">
        <f>IF(COUNT(BF153,BG153,BE153)=3,BF153-BG153-BE153,"")</f>
        <v/>
      </c>
      <c r="BI153" s="137">
        <f>SUM(W153,X153)-Z153-AA153</f>
        <v/>
      </c>
      <c r="BJ153" s="137">
        <f>8-COUNT('Assumptions'!G58:G65)+COUNTBLANK('NM Play'!B33:B34)+'Costs'!E44+IF(AND('Sites'!E6=1,('Sites'!F6)&lt;=12,'Sites'!G6&gt;=1),IF(ISNUMBER('Sites'!O6),0,1)+'Capital'!I6+COUNTBLANK('Sites'!R6)+IF('Sites'!D6="NM crew",COUNTBLANK('NM Play'!B25)+1,5-COUNT('Assumptions'!G112:G116)),0)+IF(AND('Sites'!E7=1,('Sites'!F7+'Cases'!G10)&lt;=12,'Sites'!G7&gt;=1),IF(ISNUMBER('Sites'!O7),0,1)+'Capital'!I7+COUNTBLANK('Sites'!R7)+IF('Sites'!D7="NM crew",COUNTBLANK('NM Play'!B25)+1,5-COUNT('Assumptions'!G117:G121)),0)+IF(AND('Sites'!E8*'Cases'!F10=1,('Sites'!F8+'Cases'!G10)&lt;=12,'Sites'!G8&gt;=1),IF(ISNUMBER('Sites'!O8),0,1)+'Capital'!I8+COUNTBLANK('Sites'!R8)+IF('Sites'!D8="NM crew",COUNTBLANK('NM Play'!B25)+1,5-COUNT('Assumptions'!G122:G126)),0)+IF(AND('Cases'!C10&gt;0,NOT(ISNUMBER('Assumptions'!B42))),1,0)+'Responsibilities'!$B$39</f>
        <v/>
      </c>
      <c r="BK153" s="137">
        <f>'Assumptions'!$B$50+'NM Play'!$B$83+'Funding'!$F$20+SUMIFS('Production schedule'!$AN$438:$AN$545,'Production schedule'!$C$438:$C$545,4)+IF(OR('Cases'!E10&lt;0,'Cases'!E10&gt;1,'Cases'!C10&lt;0,'Cases'!D10&lt;0,ABS(SUM('Sites'!S6:S8)-1)&gt;0.0001,MIN('Capital'!F6:F8)&lt;0,MAX('Capital'!F6:F8)&gt;1,MIN(AX153,AZ153,BB153,BA153)&lt;-0.01),1,0)+'Responsibilities'!$B$40</f>
        <v/>
      </c>
      <c r="BL153" s="137">
        <f>SUMIFS('Production schedule'!$T$438:$T$545,'Production schedule'!$C$438:$C$545,4)</f>
        <v/>
      </c>
      <c r="BM153" s="137">
        <f>D153*'NM Play'!$B$38</f>
        <v/>
      </c>
      <c r="BN153" s="137">
        <f>SUMIFS('Production schedule'!$AM$438:$AM$545,'Production schedule'!$C$438:$C$545,4)</f>
        <v/>
      </c>
      <c r="BO153" s="137">
        <f>AK153-AK152-AJ153</f>
        <v/>
      </c>
      <c r="BP153" s="137">
        <f>IF(AND('Assumptions'!$B$39&gt;=0,'Assumptions'!$B$40&gt;0),-PMT('Assumptions'!$B$39/12,'Assumptions'!$B$40*12,IF('Funding'!$N$11&gt;0,'Funding'!$N$11,'Funding'!$V$11)),"")</f>
        <v/>
      </c>
      <c r="BQ153">
        <f>('Production schedule'!AJ441)*(1-'Responsibilities'!$C$6)+('Production schedule'!AJ477)*(1-'Responsibilities'!$C$7)+('Production schedule'!AJ513)*(1-'Responsibilities'!$C$8)</f>
        <v/>
      </c>
      <c r="BR153">
        <f>('Production schedule'!AI441)*(1-'Responsibilities'!$D$6)+('Production schedule'!AI477)*(1-'Responsibilities'!$D$7)+('Production schedule'!AI513)*(1-'Responsibilities'!$D$8)</f>
        <v/>
      </c>
      <c r="BS153">
        <f>('Production schedule'!E441*(IF('Sites'!D6="Annual staff",SUM('Assumptions'!G112,'Assumptions'!G114),0)+SUM('Assumptions'!G113,'Assumptions'!G115:G116)))*(1-'Responsibilities'!$E$6)+('Production schedule'!E477*(IF('Sites'!D7="Annual staff",SUM('Assumptions'!G117,'Assumptions'!G119),0)+SUM('Assumptions'!G118,'Assumptions'!G120:G121)))*(1-'Responsibilities'!$E$7)+('Production schedule'!E513*(IF('Sites'!D8="Annual staff",SUM('Assumptions'!G122,'Assumptions'!G124),0)+SUM('Assumptions'!G123,'Assumptions'!G125:G126)))*(1-'Responsibilities'!$E$8)</f>
        <v/>
      </c>
      <c r="BT153">
        <f>(IF(AND('Production schedule'!E441=1,4=MAX(('Sites'!F6),1),ISNUMBER('Sites'!O6)),'Sites'!O6*'Assumptions'!$B$44,0))*(1-'Responsibilities'!$F$6)+(IF(AND('Production schedule'!E477=1,4=MAX(('Sites'!F7+'Cases'!G10),1),ISNUMBER('Sites'!O7)),'Sites'!O7*'Assumptions'!$B$44,0))*(1-'Responsibilities'!$F$7)+(IF(AND('Production schedule'!E513=1,4=MAX(('Sites'!F8+'Cases'!G10),1),ISNUMBER('Sites'!O8)),'Sites'!O8*'Assumptions'!$B$44,0))*(1-'Responsibilities'!$F$8)</f>
        <v/>
      </c>
      <c r="BU153">
        <f>SUM('Costs'!E36)*'Costs'!F36/12*(1-'Responsibilities'!$C$12)+SUM('Costs'!E37)*'Costs'!F37/12*(1-'Responsibilities'!$C$13)+SUM('Costs'!E38)*'Costs'!F38/12*(1-'Responsibilities'!$C$14)+SUM('Costs'!E39)*'Costs'!F39/12*(1-'Responsibilities'!$C$15)+SUM('Costs'!E40)*'Costs'!F40/12*(1-'Responsibilities'!$C$16)</f>
        <v/>
      </c>
      <c r="BV153">
        <f>('Sites'!E6*'Capital'!E6*(IF(4='Capital'!G6,'Capital'!F6,0)+IF(4='Capital'!H6,1-'Capital'!F6,0)))*(1-'Responsibilities'!$G$6)+('Sites'!E7*'Capital'!E7*(IF(4='Capital'!G7+'Cases'!G10,'Capital'!F7,0)+IF(4='Capital'!H7+'Cases'!G10,1-'Capital'!F7,0)))*(1-'Responsibilities'!$G$7)+('Sites'!E8*'Cases'!F10*'Capital'!E8*(IF(4='Capital'!G8+'Cases'!G10,'Capital'!F8,0)+IF(4='Capital'!H8+'Cases'!G10,1-'Capital'!F8,0)))*(1-'Responsibilities'!$G$8)</f>
        <v/>
      </c>
      <c r="BW153">
        <f>SUM(BQ153:BV153)</f>
        <v/>
      </c>
      <c r="BX153">
        <f>N153+BW153</f>
        <v/>
      </c>
      <c r="BY153">
        <f>BX153-(('Production schedule'!AJ441)*'Responsibilities'!$C$6+('Production schedule'!AJ477)*'Responsibilities'!$C$7+('Production schedule'!AJ513)*'Responsibilities'!$C$8+('Production schedule'!AJ441)*(1-'Responsibilities'!$C$6)+('Production schedule'!AJ477)*(1-'Responsibilities'!$C$7)+('Production schedule'!AJ513)*(1-'Responsibilities'!$C$8)+('Production schedule'!AI441)*'Responsibilities'!$D$6+('Production schedule'!AI477)*'Responsibilities'!$D$7+('Production schedule'!AI513)*'Responsibilities'!$D$8+('Production schedule'!AI441)*(1-'Responsibilities'!$D$6)+('Production schedule'!AI477)*(1-'Responsibilities'!$D$7)+('Production schedule'!AI513)*(1-'Responsibilities'!$D$8)+('Production schedule'!E441*(IF('Sites'!D6="Annual staff",SUM('Assumptions'!G112,'Assumptions'!G114),0)+SUM('Assumptions'!G113,'Assumptions'!G115:G116)))*'Responsibilities'!$E$6+('Production schedule'!E477*(IF('Sites'!D7="Annual staff",SUM('Assumptions'!G117,'Assumptions'!G119),0)+SUM('Assumptions'!G118,'Assumptions'!G120:G121)))*'Responsibilities'!$E$7+('Production schedule'!E513*(IF('Sites'!D8="Annual staff",SUM('Assumptions'!G122,'Assumptions'!G124),0)+SUM('Assumptions'!G123,'Assumptions'!G125:G126)))*'Responsibilities'!$E$8+('Production schedule'!E441*(IF('Sites'!D6="Annual staff",SUM('Assumptions'!G112,'Assumptions'!G114),0)+SUM('Assumptions'!G113,'Assumptions'!G115:G116)))*(1-'Responsibilities'!$E$6)+('Production schedule'!E477*(IF('Sites'!D7="Annual staff",SUM('Assumptions'!G117,'Assumptions'!G119),0)+SUM('Assumptions'!G118,'Assumptions'!G120:G121)))*(1-'Responsibilities'!$E$7)+('Production schedule'!E513*(IF('Sites'!D8="Annual staff",SUM('Assumptions'!G122,'Assumptions'!G124),0)+SUM('Assumptions'!G123,'Assumptions'!G125:G126)))*(1-'Responsibilities'!$E$8)+(IF(AND('Production schedule'!E441=1,4=MAX(('Sites'!F6),1),ISNUMBER('Sites'!O6)),'Sites'!O6*'Assumptions'!$B$44,0))*'Responsibilities'!$F$6+(IF(AND('Production schedule'!E477=1,4=MAX(('Sites'!F7+'Cases'!G10),1),ISNUMBER('Sites'!O7)),'Sites'!O7*'Assumptions'!$B$44,0))*'Responsibilities'!$F$7+(IF(AND('Production schedule'!E513=1,4=MAX(('Sites'!F8+'Cases'!G10),1),ISNUMBER('Sites'!O8)),'Sites'!O8*'Assumptions'!$B$44,0))*'Responsibilities'!$F$8+(IF(AND('Production schedule'!E441=1,4=MAX(('Sites'!F6),1),ISNUMBER('Sites'!O6)),'Sites'!O6*'Assumptions'!$B$44,0))*(1-'Responsibilities'!$F$6)+(IF(AND('Production schedule'!E477=1,4=MAX(('Sites'!F7+'Cases'!G10),1),ISNUMBER('Sites'!O7)),'Sites'!O7*'Assumptions'!$B$44,0))*(1-'Responsibilities'!$F$7)+(IF(AND('Production schedule'!E513=1,4=MAX(('Sites'!F8+'Cases'!G10),1),ISNUMBER('Sites'!O8)),'Sites'!O8*'Assumptions'!$B$44,0))*(1-'Responsibilities'!$F$8)+('Sites'!E6*'Capital'!E6*(IF(4='Capital'!G6,'Capital'!F6,0)+IF(4='Capital'!H6,1-'Capital'!F6,0)))*'Responsibilities'!$G$6+('Sites'!E7*'Capital'!E7*(IF(4='Capital'!G7+'Cases'!G10,'Capital'!F7,0)+IF(4='Capital'!H7+'Cases'!G10,1-'Capital'!F7,0)))*'Responsibilities'!$G$7+('Sites'!E8*'Cases'!F10*'Capital'!E8*(IF(4='Capital'!G8+'Cases'!G10,'Capital'!F8,0)+IF(4='Capital'!H8+'Cases'!G10,1-'Capital'!F8,0)))*'Responsibilities'!$G$8+('Sites'!E6*'Capital'!E6*(IF(4='Capital'!G6,'Capital'!F6,0)+IF(4='Capital'!H6,1-'Capital'!F6,0)))*(1-'Responsibilities'!$G$6)+('Sites'!E7*'Capital'!E7*(IF(4='Capital'!G7+'Cases'!G10,'Capital'!F7,0)+IF(4='Capital'!H7+'Cases'!G10,1-'Capital'!F7,0)))*(1-'Responsibilities'!$G$7)+('Sites'!E8*'Cases'!F10*'Capital'!E8*(IF(4='Capital'!G8+'Cases'!G10,'Capital'!F8,0)+IF(4='Capital'!H8+'Cases'!G10,1-'Capital'!F8,0)))*(1-'Responsibilities'!$G$8)+I153+SUMPRODUCT('Costs'!$E$36:$E$40,'Costs'!$F$36:$F$40)/12+BZ153)</f>
        <v/>
      </c>
      <c r="BZ153">
        <f>SUMIFS('Responsibilities'!$B$31:$B$35,'Responsibilities'!$C$31:$C$35,4,'Responsibilities'!$D$31:$D$35,"Yes")</f>
        <v/>
      </c>
    </row>
    <row r="154" ht="28" customHeight="1">
      <c r="A154" s="4" t="inlineStr">
        <is>
          <t>Lower sales</t>
        </is>
      </c>
      <c r="B154" s="4" t="n">
        <v>5</v>
      </c>
      <c r="C154" s="4">
        <f>ROUNDUP(B154/12,0)</f>
        <v/>
      </c>
      <c r="D154" s="137">
        <f>SUMIFS('Production schedule'!$N$438:$N$545,'Production schedule'!$C$438:$C$545,5)</f>
        <v/>
      </c>
      <c r="E154" s="137">
        <f>SUMIFS('Production schedule'!$Y$438:$Y$545,'Production schedule'!$C$438:$C$545,5)</f>
        <v/>
      </c>
      <c r="F154" s="137">
        <f>SUMIFS('Production schedule'!$Z$438:$Z$545,'Production schedule'!$C$438:$C$545,5)</f>
        <v/>
      </c>
      <c r="G154" s="137">
        <f>('Production schedule'!AJ442)*'Responsibilities'!$C$6+('Production schedule'!AJ478)*'Responsibilities'!$C$7+('Production schedule'!AJ514)*'Responsibilities'!$C$8</f>
        <v/>
      </c>
      <c r="H154" s="137">
        <f>('Production schedule'!AI442)*'Responsibilities'!$D$6+('Production schedule'!AI478)*'Responsibilities'!$D$7+('Production schedule'!AI514)*'Responsibilities'!$D$8</f>
        <v/>
      </c>
      <c r="I154" s="137">
        <f>SUM('Assumptions'!H58:H65)</f>
        <v/>
      </c>
      <c r="J154" s="137">
        <f>('Production schedule'!E442*(IF('Sites'!D6="Annual staff",SUM('Assumptions'!H112,'Assumptions'!H114),0)+SUM('Assumptions'!H113,'Assumptions'!H115:H116)))*'Responsibilities'!$E$6+('Production schedule'!E478*(IF('Sites'!D7="Annual staff",SUM('Assumptions'!H117,'Assumptions'!H119),0)+SUM('Assumptions'!H118,'Assumptions'!H120:H121)))*'Responsibilities'!$E$7+('Production schedule'!E514*(IF('Sites'!D8="Annual staff",SUM('Assumptions'!H122,'Assumptions'!H124),0)+SUM('Assumptions'!H123,'Assumptions'!H125:H126)))*'Responsibilities'!$E$8</f>
        <v/>
      </c>
      <c r="K154" s="137">
        <f>(IF(AND('Production schedule'!E442=1,5=MAX(('Sites'!F6),1),ISNUMBER('Sites'!O6)),'Sites'!O6*'Assumptions'!$B$44,0))*'Responsibilities'!$F$6+(IF(AND('Production schedule'!E478=1,5=MAX(('Sites'!F7+'Cases'!G10),1),ISNUMBER('Sites'!O7)),'Sites'!O7*'Assumptions'!$B$44,0))*'Responsibilities'!$F$7+(IF(AND('Production schedule'!E514=1,5=MAX(('Sites'!F8+'Cases'!G10),1),ISNUMBER('Sites'!O8)),'Sites'!O8*'Assumptions'!$B$44,0))*'Responsibilities'!$F$8</f>
        <v/>
      </c>
      <c r="L154" s="137">
        <f>SUM('Costs'!E36)*'Costs'!F36/12*'Responsibilities'!$C$12+SUM('Costs'!E37)*'Costs'!F37/12*'Responsibilities'!$C$13+SUM('Costs'!E38)*'Costs'!F38/12*'Responsibilities'!$C$14+SUM('Costs'!E39)*'Costs'!F39/12*'Responsibilities'!$C$15+SUM('Costs'!E40)*'Costs'!F40/12*'Responsibilities'!$C$16+BZ154</f>
        <v/>
      </c>
      <c r="M154" s="137">
        <f>('Sites'!E6*'Capital'!E6*(IF(5='Capital'!G6,'Capital'!F6,0)+IF(5='Capital'!H6,1-'Capital'!F6,0)))*'Responsibilities'!$G$6+('Sites'!E7*'Capital'!E7*(IF(5='Capital'!G7+'Cases'!G10,'Capital'!F7,0)+IF(5='Capital'!H7+'Cases'!G10,1-'Capital'!F7,0)))*'Responsibilities'!$G$7+('Sites'!E8*'Cases'!F10*'Capital'!E8*(IF(5='Capital'!G8+'Cases'!G10,'Capital'!F8,0)+IF(5='Capital'!H8+'Cases'!G10,1-'Capital'!F8,0)))*'Responsibilities'!$G$8</f>
        <v/>
      </c>
      <c r="N154" s="137">
        <f>SUM(G154:M154)</f>
        <v/>
      </c>
      <c r="O154" s="137">
        <f>SUMIFS(FundingTranches[Secured amount],FundingTranches[Instrument],"Grant",FundingTranches[Secured month],5)</f>
        <v/>
      </c>
      <c r="P154" s="137">
        <f>SUMIFS(FundingTranches[Lower sales possible],FundingTranches[Instrument],"Grant",FundingTranches[Scenario month],5-'Cases'!$D$10)</f>
        <v/>
      </c>
      <c r="Q154" s="137">
        <f>SUMIFS(FundingTranches[Secured amount],FundingTranches[Instrument],"Loan",FundingTranches[Secured month],5)</f>
        <v/>
      </c>
      <c r="R154" s="137">
        <f>SUMIFS(FundingTranches[Lower sales possible],FundingTranches[Instrument],"Loan",FundingTranches[Scenario month],5-'Cases'!$D$10)</f>
        <v/>
      </c>
      <c r="S154" s="137">
        <f>IF(5&lt;='Assumptions'!$B$34,0,SUMIFS('Production schedule'!$AL$438:$AL$545,'Production schedule'!$C$438:$C$545,5-'Assumptions'!$B$34))</f>
        <v/>
      </c>
      <c r="T154" s="137">
        <f>'Assumptions'!H70</f>
        <v/>
      </c>
      <c r="U154" s="137">
        <f>'Assumptions'!H78</f>
        <v/>
      </c>
      <c r="V154" s="137">
        <f>SUM(O154:U154)</f>
        <v/>
      </c>
      <c r="W154" s="137">
        <f>AA153</f>
        <v/>
      </c>
      <c r="X154" s="137">
        <f>SUM(Q154:R154)</f>
        <v/>
      </c>
      <c r="Y154" s="137">
        <f>SUM(W154,X154)*'Assumptions'!$B$39/12</f>
        <v/>
      </c>
      <c r="Z154" s="137">
        <f>IF(SUM(W154,X154)&gt;0,MIN(SUM(W154,X154),MAX(0,BP154-Y154)),0)</f>
        <v/>
      </c>
      <c r="AA154" s="137">
        <f>SUM(W154,X154)-Z154</f>
        <v/>
      </c>
      <c r="AB154" s="137">
        <f>SUM(Y154:Z154)</f>
        <v/>
      </c>
      <c r="AC154" s="137">
        <f>'Assumptions'!H72</f>
        <v/>
      </c>
      <c r="AD154" s="137">
        <f>'Assumptions'!H73</f>
        <v/>
      </c>
      <c r="AE154" s="137">
        <f>IF(X154&gt;0,SUM('Assumptions'!$B$42),0)</f>
        <v/>
      </c>
      <c r="AF154" s="137">
        <f>'Assumptions'!H71</f>
        <v/>
      </c>
      <c r="AG154" s="137">
        <f>'Assumptions'!H74</f>
        <v/>
      </c>
      <c r="AH154" s="137">
        <f>'Assumptions'!H75</f>
        <v/>
      </c>
      <c r="AI154" s="137">
        <f>'Assumptions'!H77</f>
        <v/>
      </c>
      <c r="AJ154" s="137">
        <f>V154-N154-SUM(AB154:AI154)</f>
        <v/>
      </c>
      <c r="AK154" s="137">
        <f>SUM(AJ150:AJ154)</f>
        <v/>
      </c>
      <c r="AL154" s="137">
        <f>IF(ISNUMBER('Assumptions'!$B$10),'Assumptions'!$B$10+AK154,"")</f>
        <v/>
      </c>
      <c r="AM154" s="137">
        <f>SUM(O154,Q154,T154)-N154-SUM(AC154:AI154)+IF('Funding'!$N$11=0,AE154,0)-IF('Funding'!$N$11&gt;0,AB154,0)</f>
        <v/>
      </c>
      <c r="AN154" s="137">
        <f>SUM(AM150:AM154)</f>
        <v/>
      </c>
      <c r="AO154" s="137">
        <f>IF(ISNUMBER('Assumptions'!$B$10),'Assumptions'!$B$10+AN154,"")</f>
        <v/>
      </c>
      <c r="AP154" s="137">
        <f>('Production schedule'!AK442)*'Responsibilities'!$C$6+('Production schedule'!AK478)*'Responsibilities'!$C$7+('Production schedule'!AK514)*'Responsibilities'!$C$8</f>
        <v/>
      </c>
      <c r="AQ154" s="137">
        <f>SUMIFS('Production schedule'!$AL$438:$AL$545,'Production schedule'!$C$438:$C$545,5)</f>
        <v/>
      </c>
      <c r="AR154" s="137">
        <f>IF(ISNUMBER('Assumptions'!H76),'Assumptions'!H76,SUM(O154:P154))</f>
        <v/>
      </c>
      <c r="AS154" s="137">
        <f>IF(ISNUMBER('Assumptions'!$B$13),MIN('Assumptions'!$B$13/'Assumptions'!$B$18/12,MAX(0,'Assumptions'!$B$13-(5-1)*'Assumptions'!$B$13/'Assumptions'!$B$18/12)),0)+IF(AND('Sites'!E6=1,5&gt;=('Sites'!F6),5&lt;('Sites'!F6)+'Assumptions'!$B$18*12),'Capital'!E6/'Assumptions'!$B$18/12,0)+IF(AND('Sites'!E7=1,5&gt;=('Sites'!F7+'Cases'!G10),5&lt;('Sites'!F7+'Cases'!G10)+'Assumptions'!$B$18*12),'Capital'!E7/'Assumptions'!$B$18/12,0)+IF(AND('Sites'!E8*'Cases'!F10=1,5&gt;=('Sites'!F8+'Cases'!G10),5&lt;('Sites'!F8+'Cases'!G10)+'Assumptions'!$B$18*12),'Capital'!E8/'Assumptions'!$B$18/12,0)</f>
        <v/>
      </c>
      <c r="AT154" s="137">
        <f>SUM(AQ154,AR154,U154)-AP154-SUM(H154:L154)-AS154-SUM(Y154,AD154,AE154,AH154)</f>
        <v/>
      </c>
      <c r="AU154" s="137">
        <f>IF(ISNUMBER('Assumptions'!$B$19),MAX(0,SUM(AT150:AT154))*'Assumptions'!$B$19-SUM(AU150:AU153),"")</f>
        <v/>
      </c>
      <c r="AV154" s="137">
        <f>IF(ISNUMBER(AU154),AT154-AU154,"")</f>
        <v/>
      </c>
      <c r="AW154" s="137">
        <f>IF(ISNUMBER('Assumptions'!$B$11),'Assumptions'!$B$11+SUM(AQ150:AQ154)-SUM(S150:S154)-SUM(T150:T154),"")</f>
        <v/>
      </c>
      <c r="AX154" s="137">
        <f>IF(ISNUMBER('Assumptions'!$B$12),'Assumptions'!$B$12+SUM(G150:G154)-SUM(AP150:AP154),"")</f>
        <v/>
      </c>
      <c r="AY154" s="137">
        <f>IF(ISNUMBER('Assumptions'!$B$13),'Assumptions'!$B$13+SUM(M150:M154)-SUM(AS150:AS154),"")</f>
        <v/>
      </c>
      <c r="AZ154" s="137">
        <f>IF(ISNUMBER('Assumptions'!$B$14),'Assumptions'!$B$14+-SUM(AF150:AF154),"")</f>
        <v/>
      </c>
      <c r="BA154" s="137">
        <f>IF(ISNUMBER('Assumptions'!$B$15),'Assumptions'!$B$15+SUM(O150:O154)+SUM(P150:P154)-SUM(AR150:AR154),"")</f>
        <v/>
      </c>
      <c r="BB154" s="137">
        <f>IF(ISNUMBER('Assumptions'!$B$16),'Assumptions'!$B$16+-SUM(AC150:AC154),"")</f>
        <v/>
      </c>
      <c r="BC154" s="137">
        <f>IF(AND(ISNUMBER('Assumptions'!$B$21),ISNUMBER('Assumptions'!$B$19)),'Assumptions'!$B$21+SUM(AU150:AU154)-SUM(AG150:AG154),"")</f>
        <v/>
      </c>
      <c r="BD154" s="137">
        <f>IF(ISNUMBER('Assumptions'!$B$20),'Assumptions'!$B$20+-SUM(AI150:AI154),"")</f>
        <v/>
      </c>
      <c r="BE154" s="137">
        <f>IF(AND(ISNUMBER('Assumptions'!$B$17),COUNT(AV150:AV154)=5),'Assumptions'!$B$17+SUM(AV150:AV154),"")</f>
        <v/>
      </c>
      <c r="BF154" s="137">
        <f>IF(COUNT(AL154,AW154:AY154)=4,SUM(AL154,AW154:AY154),"")</f>
        <v/>
      </c>
      <c r="BG154" s="137">
        <f>IF(COUNT(AZ154:BD154)=5,SUM(AZ154:BD154,AA154),"")</f>
        <v/>
      </c>
      <c r="BH154" s="137">
        <f>IF(COUNT(BF154,BG154,BE154)=3,BF154-BG154-BE154,"")</f>
        <v/>
      </c>
      <c r="BI154" s="137">
        <f>SUM(W154,X154)-Z154-AA154</f>
        <v/>
      </c>
      <c r="BJ154" s="137">
        <f>8-COUNT('Assumptions'!H58:H65)+COUNTBLANK('NM Play'!B33:B34)+'Costs'!E44+IF(AND('Sites'!E6=1,('Sites'!F6)&lt;=12,'Sites'!G6&gt;=1),IF(ISNUMBER('Sites'!O6),0,1)+'Capital'!I6+COUNTBLANK('Sites'!R6)+IF('Sites'!D6="NM crew",COUNTBLANK('NM Play'!B25)+1,5-COUNT('Assumptions'!H112:H116)),0)+IF(AND('Sites'!E7=1,('Sites'!F7+'Cases'!G10)&lt;=12,'Sites'!G7&gt;=1),IF(ISNUMBER('Sites'!O7),0,1)+'Capital'!I7+COUNTBLANK('Sites'!R7)+IF('Sites'!D7="NM crew",COUNTBLANK('NM Play'!B25)+1,5-COUNT('Assumptions'!H117:H121)),0)+IF(AND('Sites'!E8*'Cases'!F10=1,('Sites'!F8+'Cases'!G10)&lt;=12,'Sites'!G8&gt;=1),IF(ISNUMBER('Sites'!O8),0,1)+'Capital'!I8+COUNTBLANK('Sites'!R8)+IF('Sites'!D8="NM crew",COUNTBLANK('NM Play'!B25)+1,5-COUNT('Assumptions'!H122:H126)),0)+IF(AND('Cases'!C10&gt;0,NOT(ISNUMBER('Assumptions'!B42))),1,0)+'Responsibilities'!$B$39</f>
        <v/>
      </c>
      <c r="BK154" s="137">
        <f>'Assumptions'!$B$50+'NM Play'!$B$83+'Funding'!$F$20+SUMIFS('Production schedule'!$AN$438:$AN$545,'Production schedule'!$C$438:$C$545,5)+IF(OR('Cases'!E10&lt;0,'Cases'!E10&gt;1,'Cases'!C10&lt;0,'Cases'!D10&lt;0,ABS(SUM('Sites'!S6:S8)-1)&gt;0.0001,MIN('Capital'!F6:F8)&lt;0,MAX('Capital'!F6:F8)&gt;1,MIN(AX154,AZ154,BB154,BA154)&lt;-0.01),1,0)+'Responsibilities'!$B$40</f>
        <v/>
      </c>
      <c r="BL154" s="137">
        <f>SUMIFS('Production schedule'!$T$438:$T$545,'Production schedule'!$C$438:$C$545,5)</f>
        <v/>
      </c>
      <c r="BM154" s="137">
        <f>D154*'NM Play'!$B$38</f>
        <v/>
      </c>
      <c r="BN154" s="137">
        <f>SUMIFS('Production schedule'!$AM$438:$AM$545,'Production schedule'!$C$438:$C$545,5)</f>
        <v/>
      </c>
      <c r="BO154" s="137">
        <f>AK154-AK153-AJ154</f>
        <v/>
      </c>
      <c r="BP154" s="137">
        <f>IF(AND('Assumptions'!$B$39&gt;=0,'Assumptions'!$B$40&gt;0),-PMT('Assumptions'!$B$39/12,'Assumptions'!$B$40*12,IF('Funding'!$N$11&gt;0,'Funding'!$N$11,'Funding'!$V$11)),"")</f>
        <v/>
      </c>
      <c r="BQ154">
        <f>('Production schedule'!AJ442)*(1-'Responsibilities'!$C$6)+('Production schedule'!AJ478)*(1-'Responsibilities'!$C$7)+('Production schedule'!AJ514)*(1-'Responsibilities'!$C$8)</f>
        <v/>
      </c>
      <c r="BR154">
        <f>('Production schedule'!AI442)*(1-'Responsibilities'!$D$6)+('Production schedule'!AI478)*(1-'Responsibilities'!$D$7)+('Production schedule'!AI514)*(1-'Responsibilities'!$D$8)</f>
        <v/>
      </c>
      <c r="BS154">
        <f>('Production schedule'!E442*(IF('Sites'!D6="Annual staff",SUM('Assumptions'!H112,'Assumptions'!H114),0)+SUM('Assumptions'!H113,'Assumptions'!H115:H116)))*(1-'Responsibilities'!$E$6)+('Production schedule'!E478*(IF('Sites'!D7="Annual staff",SUM('Assumptions'!H117,'Assumptions'!H119),0)+SUM('Assumptions'!H118,'Assumptions'!H120:H121)))*(1-'Responsibilities'!$E$7)+('Production schedule'!E514*(IF('Sites'!D8="Annual staff",SUM('Assumptions'!H122,'Assumptions'!H124),0)+SUM('Assumptions'!H123,'Assumptions'!H125:H126)))*(1-'Responsibilities'!$E$8)</f>
        <v/>
      </c>
      <c r="BT154">
        <f>(IF(AND('Production schedule'!E442=1,5=MAX(('Sites'!F6),1),ISNUMBER('Sites'!O6)),'Sites'!O6*'Assumptions'!$B$44,0))*(1-'Responsibilities'!$F$6)+(IF(AND('Production schedule'!E478=1,5=MAX(('Sites'!F7+'Cases'!G10),1),ISNUMBER('Sites'!O7)),'Sites'!O7*'Assumptions'!$B$44,0))*(1-'Responsibilities'!$F$7)+(IF(AND('Production schedule'!E514=1,5=MAX(('Sites'!F8+'Cases'!G10),1),ISNUMBER('Sites'!O8)),'Sites'!O8*'Assumptions'!$B$44,0))*(1-'Responsibilities'!$F$8)</f>
        <v/>
      </c>
      <c r="BU154">
        <f>SUM('Costs'!E36)*'Costs'!F36/12*(1-'Responsibilities'!$C$12)+SUM('Costs'!E37)*'Costs'!F37/12*(1-'Responsibilities'!$C$13)+SUM('Costs'!E38)*'Costs'!F38/12*(1-'Responsibilities'!$C$14)+SUM('Costs'!E39)*'Costs'!F39/12*(1-'Responsibilities'!$C$15)+SUM('Costs'!E40)*'Costs'!F40/12*(1-'Responsibilities'!$C$16)</f>
        <v/>
      </c>
      <c r="BV154">
        <f>('Sites'!E6*'Capital'!E6*(IF(5='Capital'!G6,'Capital'!F6,0)+IF(5='Capital'!H6,1-'Capital'!F6,0)))*(1-'Responsibilities'!$G$6)+('Sites'!E7*'Capital'!E7*(IF(5='Capital'!G7+'Cases'!G10,'Capital'!F7,0)+IF(5='Capital'!H7+'Cases'!G10,1-'Capital'!F7,0)))*(1-'Responsibilities'!$G$7)+('Sites'!E8*'Cases'!F10*'Capital'!E8*(IF(5='Capital'!G8+'Cases'!G10,'Capital'!F8,0)+IF(5='Capital'!H8+'Cases'!G10,1-'Capital'!F8,0)))*(1-'Responsibilities'!$G$8)</f>
        <v/>
      </c>
      <c r="BW154">
        <f>SUM(BQ154:BV154)</f>
        <v/>
      </c>
      <c r="BX154">
        <f>N154+BW154</f>
        <v/>
      </c>
      <c r="BY154">
        <f>BX154-(('Production schedule'!AJ442)*'Responsibilities'!$C$6+('Production schedule'!AJ478)*'Responsibilities'!$C$7+('Production schedule'!AJ514)*'Responsibilities'!$C$8+('Production schedule'!AJ442)*(1-'Responsibilities'!$C$6)+('Production schedule'!AJ478)*(1-'Responsibilities'!$C$7)+('Production schedule'!AJ514)*(1-'Responsibilities'!$C$8)+('Production schedule'!AI442)*'Responsibilities'!$D$6+('Production schedule'!AI478)*'Responsibilities'!$D$7+('Production schedule'!AI514)*'Responsibilities'!$D$8+('Production schedule'!AI442)*(1-'Responsibilities'!$D$6)+('Production schedule'!AI478)*(1-'Responsibilities'!$D$7)+('Production schedule'!AI514)*(1-'Responsibilities'!$D$8)+('Production schedule'!E442*(IF('Sites'!D6="Annual staff",SUM('Assumptions'!H112,'Assumptions'!H114),0)+SUM('Assumptions'!H113,'Assumptions'!H115:H116)))*'Responsibilities'!$E$6+('Production schedule'!E478*(IF('Sites'!D7="Annual staff",SUM('Assumptions'!H117,'Assumptions'!H119),0)+SUM('Assumptions'!H118,'Assumptions'!H120:H121)))*'Responsibilities'!$E$7+('Production schedule'!E514*(IF('Sites'!D8="Annual staff",SUM('Assumptions'!H122,'Assumptions'!H124),0)+SUM('Assumptions'!H123,'Assumptions'!H125:H126)))*'Responsibilities'!$E$8+('Production schedule'!E442*(IF('Sites'!D6="Annual staff",SUM('Assumptions'!H112,'Assumptions'!H114),0)+SUM('Assumptions'!H113,'Assumptions'!H115:H116)))*(1-'Responsibilities'!$E$6)+('Production schedule'!E478*(IF('Sites'!D7="Annual staff",SUM('Assumptions'!H117,'Assumptions'!H119),0)+SUM('Assumptions'!H118,'Assumptions'!H120:H121)))*(1-'Responsibilities'!$E$7)+('Production schedule'!E514*(IF('Sites'!D8="Annual staff",SUM('Assumptions'!H122,'Assumptions'!H124),0)+SUM('Assumptions'!H123,'Assumptions'!H125:H126)))*(1-'Responsibilities'!$E$8)+(IF(AND('Production schedule'!E442=1,5=MAX(('Sites'!F6),1),ISNUMBER('Sites'!O6)),'Sites'!O6*'Assumptions'!$B$44,0))*'Responsibilities'!$F$6+(IF(AND('Production schedule'!E478=1,5=MAX(('Sites'!F7+'Cases'!G10),1),ISNUMBER('Sites'!O7)),'Sites'!O7*'Assumptions'!$B$44,0))*'Responsibilities'!$F$7+(IF(AND('Production schedule'!E514=1,5=MAX(('Sites'!F8+'Cases'!G10),1),ISNUMBER('Sites'!O8)),'Sites'!O8*'Assumptions'!$B$44,0))*'Responsibilities'!$F$8+(IF(AND('Production schedule'!E442=1,5=MAX(('Sites'!F6),1),ISNUMBER('Sites'!O6)),'Sites'!O6*'Assumptions'!$B$44,0))*(1-'Responsibilities'!$F$6)+(IF(AND('Production schedule'!E478=1,5=MAX(('Sites'!F7+'Cases'!G10),1),ISNUMBER('Sites'!O7)),'Sites'!O7*'Assumptions'!$B$44,0))*(1-'Responsibilities'!$F$7)+(IF(AND('Production schedule'!E514=1,5=MAX(('Sites'!F8+'Cases'!G10),1),ISNUMBER('Sites'!O8)),'Sites'!O8*'Assumptions'!$B$44,0))*(1-'Responsibilities'!$F$8)+('Sites'!E6*'Capital'!E6*(IF(5='Capital'!G6,'Capital'!F6,0)+IF(5='Capital'!H6,1-'Capital'!F6,0)))*'Responsibilities'!$G$6+('Sites'!E7*'Capital'!E7*(IF(5='Capital'!G7+'Cases'!G10,'Capital'!F7,0)+IF(5='Capital'!H7+'Cases'!G10,1-'Capital'!F7,0)))*'Responsibilities'!$G$7+('Sites'!E8*'Cases'!F10*'Capital'!E8*(IF(5='Capital'!G8+'Cases'!G10,'Capital'!F8,0)+IF(5='Capital'!H8+'Cases'!G10,1-'Capital'!F8,0)))*'Responsibilities'!$G$8+('Sites'!E6*'Capital'!E6*(IF(5='Capital'!G6,'Capital'!F6,0)+IF(5='Capital'!H6,1-'Capital'!F6,0)))*(1-'Responsibilities'!$G$6)+('Sites'!E7*'Capital'!E7*(IF(5='Capital'!G7+'Cases'!G10,'Capital'!F7,0)+IF(5='Capital'!H7+'Cases'!G10,1-'Capital'!F7,0)))*(1-'Responsibilities'!$G$7)+('Sites'!E8*'Cases'!F10*'Capital'!E8*(IF(5='Capital'!G8+'Cases'!G10,'Capital'!F8,0)+IF(5='Capital'!H8+'Cases'!G10,1-'Capital'!F8,0)))*(1-'Responsibilities'!$G$8)+I154+SUMPRODUCT('Costs'!$E$36:$E$40,'Costs'!$F$36:$F$40)/12+BZ154)</f>
        <v/>
      </c>
      <c r="BZ154">
        <f>SUMIFS('Responsibilities'!$B$31:$B$35,'Responsibilities'!$C$31:$C$35,5,'Responsibilities'!$D$31:$D$35,"Yes")</f>
        <v/>
      </c>
    </row>
    <row r="155" ht="28" customHeight="1">
      <c r="A155" s="4" t="inlineStr">
        <is>
          <t>Lower sales</t>
        </is>
      </c>
      <c r="B155" s="4" t="n">
        <v>6</v>
      </c>
      <c r="C155" s="4">
        <f>ROUNDUP(B155/12,0)</f>
        <v/>
      </c>
      <c r="D155" s="137">
        <f>SUMIFS('Production schedule'!$N$438:$N$545,'Production schedule'!$C$438:$C$545,6)</f>
        <v/>
      </c>
      <c r="E155" s="137">
        <f>SUMIFS('Production schedule'!$Y$438:$Y$545,'Production schedule'!$C$438:$C$545,6)</f>
        <v/>
      </c>
      <c r="F155" s="137">
        <f>SUMIFS('Production schedule'!$Z$438:$Z$545,'Production schedule'!$C$438:$C$545,6)</f>
        <v/>
      </c>
      <c r="G155" s="137">
        <f>('Production schedule'!AJ443)*'Responsibilities'!$C$6+('Production schedule'!AJ479)*'Responsibilities'!$C$7+('Production schedule'!AJ515)*'Responsibilities'!$C$8</f>
        <v/>
      </c>
      <c r="H155" s="137">
        <f>('Production schedule'!AI443)*'Responsibilities'!$D$6+('Production schedule'!AI479)*'Responsibilities'!$D$7+('Production schedule'!AI515)*'Responsibilities'!$D$8</f>
        <v/>
      </c>
      <c r="I155" s="137">
        <f>SUM('Assumptions'!I58:I65)</f>
        <v/>
      </c>
      <c r="J155" s="137">
        <f>('Production schedule'!E443*(IF('Sites'!D6="Annual staff",SUM('Assumptions'!I112,'Assumptions'!I114),0)+SUM('Assumptions'!I113,'Assumptions'!I115:I116)))*'Responsibilities'!$E$6+('Production schedule'!E479*(IF('Sites'!D7="Annual staff",SUM('Assumptions'!I117,'Assumptions'!I119),0)+SUM('Assumptions'!I118,'Assumptions'!I120:I121)))*'Responsibilities'!$E$7+('Production schedule'!E515*(IF('Sites'!D8="Annual staff",SUM('Assumptions'!I122,'Assumptions'!I124),0)+SUM('Assumptions'!I123,'Assumptions'!I125:I126)))*'Responsibilities'!$E$8</f>
        <v/>
      </c>
      <c r="K155" s="137">
        <f>(IF(AND('Production schedule'!E443=1,6=MAX(('Sites'!F6),1),ISNUMBER('Sites'!O6)),'Sites'!O6*'Assumptions'!$B$44,0))*'Responsibilities'!$F$6+(IF(AND('Production schedule'!E479=1,6=MAX(('Sites'!F7+'Cases'!G10),1),ISNUMBER('Sites'!O7)),'Sites'!O7*'Assumptions'!$B$44,0))*'Responsibilities'!$F$7+(IF(AND('Production schedule'!E515=1,6=MAX(('Sites'!F8+'Cases'!G10),1),ISNUMBER('Sites'!O8)),'Sites'!O8*'Assumptions'!$B$44,0))*'Responsibilities'!$F$8</f>
        <v/>
      </c>
      <c r="L155" s="137">
        <f>SUM('Costs'!E36)*'Costs'!F36/12*'Responsibilities'!$C$12+SUM('Costs'!E37)*'Costs'!F37/12*'Responsibilities'!$C$13+SUM('Costs'!E38)*'Costs'!F38/12*'Responsibilities'!$C$14+SUM('Costs'!E39)*'Costs'!F39/12*'Responsibilities'!$C$15+SUM('Costs'!E40)*'Costs'!F40/12*'Responsibilities'!$C$16+BZ155</f>
        <v/>
      </c>
      <c r="M155" s="137">
        <f>('Sites'!E6*'Capital'!E6*(IF(6='Capital'!G6,'Capital'!F6,0)+IF(6='Capital'!H6,1-'Capital'!F6,0)))*'Responsibilities'!$G$6+('Sites'!E7*'Capital'!E7*(IF(6='Capital'!G7+'Cases'!G10,'Capital'!F7,0)+IF(6='Capital'!H7+'Cases'!G10,1-'Capital'!F7,0)))*'Responsibilities'!$G$7+('Sites'!E8*'Cases'!F10*'Capital'!E8*(IF(6='Capital'!G8+'Cases'!G10,'Capital'!F8,0)+IF(6='Capital'!H8+'Cases'!G10,1-'Capital'!F8,0)))*'Responsibilities'!$G$8</f>
        <v/>
      </c>
      <c r="N155" s="137">
        <f>SUM(G155:M155)</f>
        <v/>
      </c>
      <c r="O155" s="137">
        <f>SUMIFS(FundingTranches[Secured amount],FundingTranches[Instrument],"Grant",FundingTranches[Secured month],6)</f>
        <v/>
      </c>
      <c r="P155" s="137">
        <f>SUMIFS(FundingTranches[Lower sales possible],FundingTranches[Instrument],"Grant",FundingTranches[Scenario month],6-'Cases'!$D$10)</f>
        <v/>
      </c>
      <c r="Q155" s="137">
        <f>SUMIFS(FundingTranches[Secured amount],FundingTranches[Instrument],"Loan",FundingTranches[Secured month],6)</f>
        <v/>
      </c>
      <c r="R155" s="137">
        <f>SUMIFS(FundingTranches[Lower sales possible],FundingTranches[Instrument],"Loan",FundingTranches[Scenario month],6-'Cases'!$D$10)</f>
        <v/>
      </c>
      <c r="S155" s="137">
        <f>IF(6&lt;='Assumptions'!$B$34,0,SUMIFS('Production schedule'!$AL$438:$AL$545,'Production schedule'!$C$438:$C$545,6-'Assumptions'!$B$34))</f>
        <v/>
      </c>
      <c r="T155" s="137">
        <f>'Assumptions'!I70</f>
        <v/>
      </c>
      <c r="U155" s="137">
        <f>'Assumptions'!I78</f>
        <v/>
      </c>
      <c r="V155" s="137">
        <f>SUM(O155:U155)</f>
        <v/>
      </c>
      <c r="W155" s="137">
        <f>AA154</f>
        <v/>
      </c>
      <c r="X155" s="137">
        <f>SUM(Q155:R155)</f>
        <v/>
      </c>
      <c r="Y155" s="137">
        <f>SUM(W155,X155)*'Assumptions'!$B$39/12</f>
        <v/>
      </c>
      <c r="Z155" s="137">
        <f>IF(SUM(W155,X155)&gt;0,MIN(SUM(W155,X155),MAX(0,BP155-Y155)),0)</f>
        <v/>
      </c>
      <c r="AA155" s="137">
        <f>SUM(W155,X155)-Z155</f>
        <v/>
      </c>
      <c r="AB155" s="137">
        <f>SUM(Y155:Z155)</f>
        <v/>
      </c>
      <c r="AC155" s="137">
        <f>'Assumptions'!I72</f>
        <v/>
      </c>
      <c r="AD155" s="137">
        <f>'Assumptions'!I73</f>
        <v/>
      </c>
      <c r="AE155" s="137">
        <f>IF(X155&gt;0,SUM('Assumptions'!$B$42),0)</f>
        <v/>
      </c>
      <c r="AF155" s="137">
        <f>'Assumptions'!I71</f>
        <v/>
      </c>
      <c r="AG155" s="137">
        <f>'Assumptions'!I74</f>
        <v/>
      </c>
      <c r="AH155" s="137">
        <f>'Assumptions'!I75</f>
        <v/>
      </c>
      <c r="AI155" s="137">
        <f>'Assumptions'!I77</f>
        <v/>
      </c>
      <c r="AJ155" s="137">
        <f>V155-N155-SUM(AB155:AI155)</f>
        <v/>
      </c>
      <c r="AK155" s="137">
        <f>SUM(AJ150:AJ155)</f>
        <v/>
      </c>
      <c r="AL155" s="137">
        <f>IF(ISNUMBER('Assumptions'!$B$10),'Assumptions'!$B$10+AK155,"")</f>
        <v/>
      </c>
      <c r="AM155" s="137">
        <f>SUM(O155,Q155,T155)-N155-SUM(AC155:AI155)+IF('Funding'!$N$11=0,AE155,0)-IF('Funding'!$N$11&gt;0,AB155,0)</f>
        <v/>
      </c>
      <c r="AN155" s="137">
        <f>SUM(AM150:AM155)</f>
        <v/>
      </c>
      <c r="AO155" s="137">
        <f>IF(ISNUMBER('Assumptions'!$B$10),'Assumptions'!$B$10+AN155,"")</f>
        <v/>
      </c>
      <c r="AP155" s="137">
        <f>('Production schedule'!AK443)*'Responsibilities'!$C$6+('Production schedule'!AK479)*'Responsibilities'!$C$7+('Production schedule'!AK515)*'Responsibilities'!$C$8</f>
        <v/>
      </c>
      <c r="AQ155" s="137">
        <f>SUMIFS('Production schedule'!$AL$438:$AL$545,'Production schedule'!$C$438:$C$545,6)</f>
        <v/>
      </c>
      <c r="AR155" s="137">
        <f>IF(ISNUMBER('Assumptions'!I76),'Assumptions'!I76,SUM(O155:P155))</f>
        <v/>
      </c>
      <c r="AS155" s="137">
        <f>IF(ISNUMBER('Assumptions'!$B$13),MIN('Assumptions'!$B$13/'Assumptions'!$B$18/12,MAX(0,'Assumptions'!$B$13-(6-1)*'Assumptions'!$B$13/'Assumptions'!$B$18/12)),0)+IF(AND('Sites'!E6=1,6&gt;=('Sites'!F6),6&lt;('Sites'!F6)+'Assumptions'!$B$18*12),'Capital'!E6/'Assumptions'!$B$18/12,0)+IF(AND('Sites'!E7=1,6&gt;=('Sites'!F7+'Cases'!G10),6&lt;('Sites'!F7+'Cases'!G10)+'Assumptions'!$B$18*12),'Capital'!E7/'Assumptions'!$B$18/12,0)+IF(AND('Sites'!E8*'Cases'!F10=1,6&gt;=('Sites'!F8+'Cases'!G10),6&lt;('Sites'!F8+'Cases'!G10)+'Assumptions'!$B$18*12),'Capital'!E8/'Assumptions'!$B$18/12,0)</f>
        <v/>
      </c>
      <c r="AT155" s="137">
        <f>SUM(AQ155,AR155,U155)-AP155-SUM(H155:L155)-AS155-SUM(Y155,AD155,AE155,AH155)</f>
        <v/>
      </c>
      <c r="AU155" s="137">
        <f>IF(ISNUMBER('Assumptions'!$B$19),MAX(0,SUM(AT150:AT155))*'Assumptions'!$B$19-SUM(AU150:AU154),"")</f>
        <v/>
      </c>
      <c r="AV155" s="137">
        <f>IF(ISNUMBER(AU155),AT155-AU155,"")</f>
        <v/>
      </c>
      <c r="AW155" s="137">
        <f>IF(ISNUMBER('Assumptions'!$B$11),'Assumptions'!$B$11+SUM(AQ150:AQ155)-SUM(S150:S155)-SUM(T150:T155),"")</f>
        <v/>
      </c>
      <c r="AX155" s="137">
        <f>IF(ISNUMBER('Assumptions'!$B$12),'Assumptions'!$B$12+SUM(G150:G155)-SUM(AP150:AP155),"")</f>
        <v/>
      </c>
      <c r="AY155" s="137">
        <f>IF(ISNUMBER('Assumptions'!$B$13),'Assumptions'!$B$13+SUM(M150:M155)-SUM(AS150:AS155),"")</f>
        <v/>
      </c>
      <c r="AZ155" s="137">
        <f>IF(ISNUMBER('Assumptions'!$B$14),'Assumptions'!$B$14+-SUM(AF150:AF155),"")</f>
        <v/>
      </c>
      <c r="BA155" s="137">
        <f>IF(ISNUMBER('Assumptions'!$B$15),'Assumptions'!$B$15+SUM(O150:O155)+SUM(P150:P155)-SUM(AR150:AR155),"")</f>
        <v/>
      </c>
      <c r="BB155" s="137">
        <f>IF(ISNUMBER('Assumptions'!$B$16),'Assumptions'!$B$16+-SUM(AC150:AC155),"")</f>
        <v/>
      </c>
      <c r="BC155" s="137">
        <f>IF(AND(ISNUMBER('Assumptions'!$B$21),ISNUMBER('Assumptions'!$B$19)),'Assumptions'!$B$21+SUM(AU150:AU155)-SUM(AG150:AG155),"")</f>
        <v/>
      </c>
      <c r="BD155" s="137">
        <f>IF(ISNUMBER('Assumptions'!$B$20),'Assumptions'!$B$20+-SUM(AI150:AI155),"")</f>
        <v/>
      </c>
      <c r="BE155" s="137">
        <f>IF(AND(ISNUMBER('Assumptions'!$B$17),COUNT(AV150:AV155)=6),'Assumptions'!$B$17+SUM(AV150:AV155),"")</f>
        <v/>
      </c>
      <c r="BF155" s="137">
        <f>IF(COUNT(AL155,AW155:AY155)=4,SUM(AL155,AW155:AY155),"")</f>
        <v/>
      </c>
      <c r="BG155" s="137">
        <f>IF(COUNT(AZ155:BD155)=5,SUM(AZ155:BD155,AA155),"")</f>
        <v/>
      </c>
      <c r="BH155" s="137">
        <f>IF(COUNT(BF155,BG155,BE155)=3,BF155-BG155-BE155,"")</f>
        <v/>
      </c>
      <c r="BI155" s="137">
        <f>SUM(W155,X155)-Z155-AA155</f>
        <v/>
      </c>
      <c r="BJ155" s="137">
        <f>8-COUNT('Assumptions'!I58:I65)+COUNTBLANK('NM Play'!B33:B34)+'Costs'!E44+IF(AND('Sites'!E6=1,('Sites'!F6)&lt;=12,'Sites'!G6&gt;=1),IF(ISNUMBER('Sites'!O6),0,1)+'Capital'!I6+COUNTBLANK('Sites'!R6)+IF('Sites'!D6="NM crew",COUNTBLANK('NM Play'!B25)+1,5-COUNT('Assumptions'!I112:I116)),0)+IF(AND('Sites'!E7=1,('Sites'!F7+'Cases'!G10)&lt;=12,'Sites'!G7&gt;=1),IF(ISNUMBER('Sites'!O7),0,1)+'Capital'!I7+COUNTBLANK('Sites'!R7)+IF('Sites'!D7="NM crew",COUNTBLANK('NM Play'!B25)+1,5-COUNT('Assumptions'!I117:I121)),0)+IF(AND('Sites'!E8*'Cases'!F10=1,('Sites'!F8+'Cases'!G10)&lt;=12,'Sites'!G8&gt;=1),IF(ISNUMBER('Sites'!O8),0,1)+'Capital'!I8+COUNTBLANK('Sites'!R8)+IF('Sites'!D8="NM crew",COUNTBLANK('NM Play'!B25)+1,5-COUNT('Assumptions'!I122:I126)),0)+IF(AND('Cases'!C10&gt;0,NOT(ISNUMBER('Assumptions'!B42))),1,0)+'Responsibilities'!$B$39</f>
        <v/>
      </c>
      <c r="BK155" s="137">
        <f>'Assumptions'!$B$50+'NM Play'!$B$83+'Funding'!$F$20+SUMIFS('Production schedule'!$AN$438:$AN$545,'Production schedule'!$C$438:$C$545,6)+IF(OR('Cases'!E10&lt;0,'Cases'!E10&gt;1,'Cases'!C10&lt;0,'Cases'!D10&lt;0,ABS(SUM('Sites'!S6:S8)-1)&gt;0.0001,MIN('Capital'!F6:F8)&lt;0,MAX('Capital'!F6:F8)&gt;1,MIN(AX155,AZ155,BB155,BA155)&lt;-0.01),1,0)+'Responsibilities'!$B$40</f>
        <v/>
      </c>
      <c r="BL155" s="137">
        <f>SUMIFS('Production schedule'!$T$438:$T$545,'Production schedule'!$C$438:$C$545,6)</f>
        <v/>
      </c>
      <c r="BM155" s="137">
        <f>D155*'NM Play'!$B$38</f>
        <v/>
      </c>
      <c r="BN155" s="137">
        <f>SUMIFS('Production schedule'!$AM$438:$AM$545,'Production schedule'!$C$438:$C$545,6)</f>
        <v/>
      </c>
      <c r="BO155" s="137">
        <f>AK155-AK154-AJ155</f>
        <v/>
      </c>
      <c r="BP155" s="137">
        <f>IF(AND('Assumptions'!$B$39&gt;=0,'Assumptions'!$B$40&gt;0),-PMT('Assumptions'!$B$39/12,'Assumptions'!$B$40*12,IF('Funding'!$N$11&gt;0,'Funding'!$N$11,'Funding'!$V$11)),"")</f>
        <v/>
      </c>
      <c r="BQ155">
        <f>('Production schedule'!AJ443)*(1-'Responsibilities'!$C$6)+('Production schedule'!AJ479)*(1-'Responsibilities'!$C$7)+('Production schedule'!AJ515)*(1-'Responsibilities'!$C$8)</f>
        <v/>
      </c>
      <c r="BR155">
        <f>('Production schedule'!AI443)*(1-'Responsibilities'!$D$6)+('Production schedule'!AI479)*(1-'Responsibilities'!$D$7)+('Production schedule'!AI515)*(1-'Responsibilities'!$D$8)</f>
        <v/>
      </c>
      <c r="BS155">
        <f>('Production schedule'!E443*(IF('Sites'!D6="Annual staff",SUM('Assumptions'!I112,'Assumptions'!I114),0)+SUM('Assumptions'!I113,'Assumptions'!I115:I116)))*(1-'Responsibilities'!$E$6)+('Production schedule'!E479*(IF('Sites'!D7="Annual staff",SUM('Assumptions'!I117,'Assumptions'!I119),0)+SUM('Assumptions'!I118,'Assumptions'!I120:I121)))*(1-'Responsibilities'!$E$7)+('Production schedule'!E515*(IF('Sites'!D8="Annual staff",SUM('Assumptions'!I122,'Assumptions'!I124),0)+SUM('Assumptions'!I123,'Assumptions'!I125:I126)))*(1-'Responsibilities'!$E$8)</f>
        <v/>
      </c>
      <c r="BT155">
        <f>(IF(AND('Production schedule'!E443=1,6=MAX(('Sites'!F6),1),ISNUMBER('Sites'!O6)),'Sites'!O6*'Assumptions'!$B$44,0))*(1-'Responsibilities'!$F$6)+(IF(AND('Production schedule'!E479=1,6=MAX(('Sites'!F7+'Cases'!G10),1),ISNUMBER('Sites'!O7)),'Sites'!O7*'Assumptions'!$B$44,0))*(1-'Responsibilities'!$F$7)+(IF(AND('Production schedule'!E515=1,6=MAX(('Sites'!F8+'Cases'!G10),1),ISNUMBER('Sites'!O8)),'Sites'!O8*'Assumptions'!$B$44,0))*(1-'Responsibilities'!$F$8)</f>
        <v/>
      </c>
      <c r="BU155">
        <f>SUM('Costs'!E36)*'Costs'!F36/12*(1-'Responsibilities'!$C$12)+SUM('Costs'!E37)*'Costs'!F37/12*(1-'Responsibilities'!$C$13)+SUM('Costs'!E38)*'Costs'!F38/12*(1-'Responsibilities'!$C$14)+SUM('Costs'!E39)*'Costs'!F39/12*(1-'Responsibilities'!$C$15)+SUM('Costs'!E40)*'Costs'!F40/12*(1-'Responsibilities'!$C$16)</f>
        <v/>
      </c>
      <c r="BV155">
        <f>('Sites'!E6*'Capital'!E6*(IF(6='Capital'!G6,'Capital'!F6,0)+IF(6='Capital'!H6,1-'Capital'!F6,0)))*(1-'Responsibilities'!$G$6)+('Sites'!E7*'Capital'!E7*(IF(6='Capital'!G7+'Cases'!G10,'Capital'!F7,0)+IF(6='Capital'!H7+'Cases'!G10,1-'Capital'!F7,0)))*(1-'Responsibilities'!$G$7)+('Sites'!E8*'Cases'!F10*'Capital'!E8*(IF(6='Capital'!G8+'Cases'!G10,'Capital'!F8,0)+IF(6='Capital'!H8+'Cases'!G10,1-'Capital'!F8,0)))*(1-'Responsibilities'!$G$8)</f>
        <v/>
      </c>
      <c r="BW155">
        <f>SUM(BQ155:BV155)</f>
        <v/>
      </c>
      <c r="BX155">
        <f>N155+BW155</f>
        <v/>
      </c>
      <c r="BY155">
        <f>BX155-(('Production schedule'!AJ443)*'Responsibilities'!$C$6+('Production schedule'!AJ479)*'Responsibilities'!$C$7+('Production schedule'!AJ515)*'Responsibilities'!$C$8+('Production schedule'!AJ443)*(1-'Responsibilities'!$C$6)+('Production schedule'!AJ479)*(1-'Responsibilities'!$C$7)+('Production schedule'!AJ515)*(1-'Responsibilities'!$C$8)+('Production schedule'!AI443)*'Responsibilities'!$D$6+('Production schedule'!AI479)*'Responsibilities'!$D$7+('Production schedule'!AI515)*'Responsibilities'!$D$8+('Production schedule'!AI443)*(1-'Responsibilities'!$D$6)+('Production schedule'!AI479)*(1-'Responsibilities'!$D$7)+('Production schedule'!AI515)*(1-'Responsibilities'!$D$8)+('Production schedule'!E443*(IF('Sites'!D6="Annual staff",SUM('Assumptions'!I112,'Assumptions'!I114),0)+SUM('Assumptions'!I113,'Assumptions'!I115:I116)))*'Responsibilities'!$E$6+('Production schedule'!E479*(IF('Sites'!D7="Annual staff",SUM('Assumptions'!I117,'Assumptions'!I119),0)+SUM('Assumptions'!I118,'Assumptions'!I120:I121)))*'Responsibilities'!$E$7+('Production schedule'!E515*(IF('Sites'!D8="Annual staff",SUM('Assumptions'!I122,'Assumptions'!I124),0)+SUM('Assumptions'!I123,'Assumptions'!I125:I126)))*'Responsibilities'!$E$8+('Production schedule'!E443*(IF('Sites'!D6="Annual staff",SUM('Assumptions'!I112,'Assumptions'!I114),0)+SUM('Assumptions'!I113,'Assumptions'!I115:I116)))*(1-'Responsibilities'!$E$6)+('Production schedule'!E479*(IF('Sites'!D7="Annual staff",SUM('Assumptions'!I117,'Assumptions'!I119),0)+SUM('Assumptions'!I118,'Assumptions'!I120:I121)))*(1-'Responsibilities'!$E$7)+('Production schedule'!E515*(IF('Sites'!D8="Annual staff",SUM('Assumptions'!I122,'Assumptions'!I124),0)+SUM('Assumptions'!I123,'Assumptions'!I125:I126)))*(1-'Responsibilities'!$E$8)+(IF(AND('Production schedule'!E443=1,6=MAX(('Sites'!F6),1),ISNUMBER('Sites'!O6)),'Sites'!O6*'Assumptions'!$B$44,0))*'Responsibilities'!$F$6+(IF(AND('Production schedule'!E479=1,6=MAX(('Sites'!F7+'Cases'!G10),1),ISNUMBER('Sites'!O7)),'Sites'!O7*'Assumptions'!$B$44,0))*'Responsibilities'!$F$7+(IF(AND('Production schedule'!E515=1,6=MAX(('Sites'!F8+'Cases'!G10),1),ISNUMBER('Sites'!O8)),'Sites'!O8*'Assumptions'!$B$44,0))*'Responsibilities'!$F$8+(IF(AND('Production schedule'!E443=1,6=MAX(('Sites'!F6),1),ISNUMBER('Sites'!O6)),'Sites'!O6*'Assumptions'!$B$44,0))*(1-'Responsibilities'!$F$6)+(IF(AND('Production schedule'!E479=1,6=MAX(('Sites'!F7+'Cases'!G10),1),ISNUMBER('Sites'!O7)),'Sites'!O7*'Assumptions'!$B$44,0))*(1-'Responsibilities'!$F$7)+(IF(AND('Production schedule'!E515=1,6=MAX(('Sites'!F8+'Cases'!G10),1),ISNUMBER('Sites'!O8)),'Sites'!O8*'Assumptions'!$B$44,0))*(1-'Responsibilities'!$F$8)+('Sites'!E6*'Capital'!E6*(IF(6='Capital'!G6,'Capital'!F6,0)+IF(6='Capital'!H6,1-'Capital'!F6,0)))*'Responsibilities'!$G$6+('Sites'!E7*'Capital'!E7*(IF(6='Capital'!G7+'Cases'!G10,'Capital'!F7,0)+IF(6='Capital'!H7+'Cases'!G10,1-'Capital'!F7,0)))*'Responsibilities'!$G$7+('Sites'!E8*'Cases'!F10*'Capital'!E8*(IF(6='Capital'!G8+'Cases'!G10,'Capital'!F8,0)+IF(6='Capital'!H8+'Cases'!G10,1-'Capital'!F8,0)))*'Responsibilities'!$G$8+('Sites'!E6*'Capital'!E6*(IF(6='Capital'!G6,'Capital'!F6,0)+IF(6='Capital'!H6,1-'Capital'!F6,0)))*(1-'Responsibilities'!$G$6)+('Sites'!E7*'Capital'!E7*(IF(6='Capital'!G7+'Cases'!G10,'Capital'!F7,0)+IF(6='Capital'!H7+'Cases'!G10,1-'Capital'!F7,0)))*(1-'Responsibilities'!$G$7)+('Sites'!E8*'Cases'!F10*'Capital'!E8*(IF(6='Capital'!G8+'Cases'!G10,'Capital'!F8,0)+IF(6='Capital'!H8+'Cases'!G10,1-'Capital'!F8,0)))*(1-'Responsibilities'!$G$8)+I155+SUMPRODUCT('Costs'!$E$36:$E$40,'Costs'!$F$36:$F$40)/12+BZ155)</f>
        <v/>
      </c>
      <c r="BZ155">
        <f>SUMIFS('Responsibilities'!$B$31:$B$35,'Responsibilities'!$C$31:$C$35,6,'Responsibilities'!$D$31:$D$35,"Yes")</f>
        <v/>
      </c>
    </row>
    <row r="156" ht="28" customHeight="1">
      <c r="A156" s="4" t="inlineStr">
        <is>
          <t>Lower sales</t>
        </is>
      </c>
      <c r="B156" s="4" t="n">
        <v>7</v>
      </c>
      <c r="C156" s="4">
        <f>ROUNDUP(B156/12,0)</f>
        <v/>
      </c>
      <c r="D156" s="137">
        <f>SUMIFS('Production schedule'!$N$438:$N$545,'Production schedule'!$C$438:$C$545,7)</f>
        <v/>
      </c>
      <c r="E156" s="137">
        <f>SUMIFS('Production schedule'!$Y$438:$Y$545,'Production schedule'!$C$438:$C$545,7)</f>
        <v/>
      </c>
      <c r="F156" s="137">
        <f>SUMIFS('Production schedule'!$Z$438:$Z$545,'Production schedule'!$C$438:$C$545,7)</f>
        <v/>
      </c>
      <c r="G156" s="137">
        <f>('Production schedule'!AJ444)*'Responsibilities'!$C$6+('Production schedule'!AJ480)*'Responsibilities'!$C$7+('Production schedule'!AJ516)*'Responsibilities'!$C$8</f>
        <v/>
      </c>
      <c r="H156" s="137">
        <f>('Production schedule'!AI444)*'Responsibilities'!$D$6+('Production schedule'!AI480)*'Responsibilities'!$D$7+('Production schedule'!AI516)*'Responsibilities'!$D$8</f>
        <v/>
      </c>
      <c r="I156" s="137">
        <f>SUM('Assumptions'!J58:J65)</f>
        <v/>
      </c>
      <c r="J156" s="137">
        <f>('Production schedule'!E444*(IF('Sites'!D6="Annual staff",SUM('Assumptions'!J112,'Assumptions'!J114),0)+SUM('Assumptions'!J113,'Assumptions'!J115:J116)))*'Responsibilities'!$E$6+('Production schedule'!E480*(IF('Sites'!D7="Annual staff",SUM('Assumptions'!J117,'Assumptions'!J119),0)+SUM('Assumptions'!J118,'Assumptions'!J120:J121)))*'Responsibilities'!$E$7+('Production schedule'!E516*(IF('Sites'!D8="Annual staff",SUM('Assumptions'!J122,'Assumptions'!J124),0)+SUM('Assumptions'!J123,'Assumptions'!J125:J126)))*'Responsibilities'!$E$8</f>
        <v/>
      </c>
      <c r="K156" s="137">
        <f>(IF(AND('Production schedule'!E444=1,7=MAX(('Sites'!F6),1),ISNUMBER('Sites'!O6)),'Sites'!O6*'Assumptions'!$B$44,0))*'Responsibilities'!$F$6+(IF(AND('Production schedule'!E480=1,7=MAX(('Sites'!F7+'Cases'!G10),1),ISNUMBER('Sites'!O7)),'Sites'!O7*'Assumptions'!$B$44,0))*'Responsibilities'!$F$7+(IF(AND('Production schedule'!E516=1,7=MAX(('Sites'!F8+'Cases'!G10),1),ISNUMBER('Sites'!O8)),'Sites'!O8*'Assumptions'!$B$44,0))*'Responsibilities'!$F$8</f>
        <v/>
      </c>
      <c r="L156" s="137">
        <f>SUM('Costs'!E36)*'Costs'!F36/12*'Responsibilities'!$C$12+SUM('Costs'!E37)*'Costs'!F37/12*'Responsibilities'!$C$13+SUM('Costs'!E38)*'Costs'!F38/12*'Responsibilities'!$C$14+SUM('Costs'!E39)*'Costs'!F39/12*'Responsibilities'!$C$15+SUM('Costs'!E40)*'Costs'!F40/12*'Responsibilities'!$C$16+BZ156</f>
        <v/>
      </c>
      <c r="M156" s="137">
        <f>('Sites'!E6*'Capital'!E6*(IF(7='Capital'!G6,'Capital'!F6,0)+IF(7='Capital'!H6,1-'Capital'!F6,0)))*'Responsibilities'!$G$6+('Sites'!E7*'Capital'!E7*(IF(7='Capital'!G7+'Cases'!G10,'Capital'!F7,0)+IF(7='Capital'!H7+'Cases'!G10,1-'Capital'!F7,0)))*'Responsibilities'!$G$7+('Sites'!E8*'Cases'!F10*'Capital'!E8*(IF(7='Capital'!G8+'Cases'!G10,'Capital'!F8,0)+IF(7='Capital'!H8+'Cases'!G10,1-'Capital'!F8,0)))*'Responsibilities'!$G$8</f>
        <v/>
      </c>
      <c r="N156" s="137">
        <f>SUM(G156:M156)</f>
        <v/>
      </c>
      <c r="O156" s="137">
        <f>SUMIFS(FundingTranches[Secured amount],FundingTranches[Instrument],"Grant",FundingTranches[Secured month],7)</f>
        <v/>
      </c>
      <c r="P156" s="137">
        <f>SUMIFS(FundingTranches[Lower sales possible],FundingTranches[Instrument],"Grant",FundingTranches[Scenario month],7-'Cases'!$D$10)</f>
        <v/>
      </c>
      <c r="Q156" s="137">
        <f>SUMIFS(FundingTranches[Secured amount],FundingTranches[Instrument],"Loan",FundingTranches[Secured month],7)</f>
        <v/>
      </c>
      <c r="R156" s="137">
        <f>SUMIFS(FundingTranches[Lower sales possible],FundingTranches[Instrument],"Loan",FundingTranches[Scenario month],7-'Cases'!$D$10)</f>
        <v/>
      </c>
      <c r="S156" s="137">
        <f>IF(7&lt;='Assumptions'!$B$34,0,SUMIFS('Production schedule'!$AL$438:$AL$545,'Production schedule'!$C$438:$C$545,7-'Assumptions'!$B$34))</f>
        <v/>
      </c>
      <c r="T156" s="137">
        <f>'Assumptions'!J70</f>
        <v/>
      </c>
      <c r="U156" s="137">
        <f>'Assumptions'!J78</f>
        <v/>
      </c>
      <c r="V156" s="137">
        <f>SUM(O156:U156)</f>
        <v/>
      </c>
      <c r="W156" s="137">
        <f>AA155</f>
        <v/>
      </c>
      <c r="X156" s="137">
        <f>SUM(Q156:R156)</f>
        <v/>
      </c>
      <c r="Y156" s="137">
        <f>SUM(W156,X156)*'Assumptions'!$B$39/12</f>
        <v/>
      </c>
      <c r="Z156" s="137">
        <f>IF(SUM(W156,X156)&gt;0,MIN(SUM(W156,X156),MAX(0,BP156-Y156)),0)</f>
        <v/>
      </c>
      <c r="AA156" s="137">
        <f>SUM(W156,X156)-Z156</f>
        <v/>
      </c>
      <c r="AB156" s="137">
        <f>SUM(Y156:Z156)</f>
        <v/>
      </c>
      <c r="AC156" s="137">
        <f>'Assumptions'!J72</f>
        <v/>
      </c>
      <c r="AD156" s="137">
        <f>'Assumptions'!J73</f>
        <v/>
      </c>
      <c r="AE156" s="137">
        <f>IF(X156&gt;0,SUM('Assumptions'!$B$42),0)</f>
        <v/>
      </c>
      <c r="AF156" s="137">
        <f>'Assumptions'!J71</f>
        <v/>
      </c>
      <c r="AG156" s="137">
        <f>'Assumptions'!J74</f>
        <v/>
      </c>
      <c r="AH156" s="137">
        <f>'Assumptions'!J75</f>
        <v/>
      </c>
      <c r="AI156" s="137">
        <f>'Assumptions'!J77</f>
        <v/>
      </c>
      <c r="AJ156" s="137">
        <f>V156-N156-SUM(AB156:AI156)</f>
        <v/>
      </c>
      <c r="AK156" s="137">
        <f>SUM(AJ150:AJ156)</f>
        <v/>
      </c>
      <c r="AL156" s="137">
        <f>IF(ISNUMBER('Assumptions'!$B$10),'Assumptions'!$B$10+AK156,"")</f>
        <v/>
      </c>
      <c r="AM156" s="137">
        <f>SUM(O156,Q156,T156)-N156-SUM(AC156:AI156)+IF('Funding'!$N$11=0,AE156,0)-IF('Funding'!$N$11&gt;0,AB156,0)</f>
        <v/>
      </c>
      <c r="AN156" s="137">
        <f>SUM(AM150:AM156)</f>
        <v/>
      </c>
      <c r="AO156" s="137">
        <f>IF(ISNUMBER('Assumptions'!$B$10),'Assumptions'!$B$10+AN156,"")</f>
        <v/>
      </c>
      <c r="AP156" s="137">
        <f>('Production schedule'!AK444)*'Responsibilities'!$C$6+('Production schedule'!AK480)*'Responsibilities'!$C$7+('Production schedule'!AK516)*'Responsibilities'!$C$8</f>
        <v/>
      </c>
      <c r="AQ156" s="137">
        <f>SUMIFS('Production schedule'!$AL$438:$AL$545,'Production schedule'!$C$438:$C$545,7)</f>
        <v/>
      </c>
      <c r="AR156" s="137">
        <f>IF(ISNUMBER('Assumptions'!J76),'Assumptions'!J76,SUM(O156:P156))</f>
        <v/>
      </c>
      <c r="AS156" s="137">
        <f>IF(ISNUMBER('Assumptions'!$B$13),MIN('Assumptions'!$B$13/'Assumptions'!$B$18/12,MAX(0,'Assumptions'!$B$13-(7-1)*'Assumptions'!$B$13/'Assumptions'!$B$18/12)),0)+IF(AND('Sites'!E6=1,7&gt;=('Sites'!F6),7&lt;('Sites'!F6)+'Assumptions'!$B$18*12),'Capital'!E6/'Assumptions'!$B$18/12,0)+IF(AND('Sites'!E7=1,7&gt;=('Sites'!F7+'Cases'!G10),7&lt;('Sites'!F7+'Cases'!G10)+'Assumptions'!$B$18*12),'Capital'!E7/'Assumptions'!$B$18/12,0)+IF(AND('Sites'!E8*'Cases'!F10=1,7&gt;=('Sites'!F8+'Cases'!G10),7&lt;('Sites'!F8+'Cases'!G10)+'Assumptions'!$B$18*12),'Capital'!E8/'Assumptions'!$B$18/12,0)</f>
        <v/>
      </c>
      <c r="AT156" s="137">
        <f>SUM(AQ156,AR156,U156)-AP156-SUM(H156:L156)-AS156-SUM(Y156,AD156,AE156,AH156)</f>
        <v/>
      </c>
      <c r="AU156" s="137">
        <f>IF(ISNUMBER('Assumptions'!$B$19),MAX(0,SUM(AT150:AT156))*'Assumptions'!$B$19-SUM(AU150:AU155),"")</f>
        <v/>
      </c>
      <c r="AV156" s="137">
        <f>IF(ISNUMBER(AU156),AT156-AU156,"")</f>
        <v/>
      </c>
      <c r="AW156" s="137">
        <f>IF(ISNUMBER('Assumptions'!$B$11),'Assumptions'!$B$11+SUM(AQ150:AQ156)-SUM(S150:S156)-SUM(T150:T156),"")</f>
        <v/>
      </c>
      <c r="AX156" s="137">
        <f>IF(ISNUMBER('Assumptions'!$B$12),'Assumptions'!$B$12+SUM(G150:G156)-SUM(AP150:AP156),"")</f>
        <v/>
      </c>
      <c r="AY156" s="137">
        <f>IF(ISNUMBER('Assumptions'!$B$13),'Assumptions'!$B$13+SUM(M150:M156)-SUM(AS150:AS156),"")</f>
        <v/>
      </c>
      <c r="AZ156" s="137">
        <f>IF(ISNUMBER('Assumptions'!$B$14),'Assumptions'!$B$14+-SUM(AF150:AF156),"")</f>
        <v/>
      </c>
      <c r="BA156" s="137">
        <f>IF(ISNUMBER('Assumptions'!$B$15),'Assumptions'!$B$15+SUM(O150:O156)+SUM(P150:P156)-SUM(AR150:AR156),"")</f>
        <v/>
      </c>
      <c r="BB156" s="137">
        <f>IF(ISNUMBER('Assumptions'!$B$16),'Assumptions'!$B$16+-SUM(AC150:AC156),"")</f>
        <v/>
      </c>
      <c r="BC156" s="137">
        <f>IF(AND(ISNUMBER('Assumptions'!$B$21),ISNUMBER('Assumptions'!$B$19)),'Assumptions'!$B$21+SUM(AU150:AU156)-SUM(AG150:AG156),"")</f>
        <v/>
      </c>
      <c r="BD156" s="137">
        <f>IF(ISNUMBER('Assumptions'!$B$20),'Assumptions'!$B$20+-SUM(AI150:AI156),"")</f>
        <v/>
      </c>
      <c r="BE156" s="137">
        <f>IF(AND(ISNUMBER('Assumptions'!$B$17),COUNT(AV150:AV156)=7),'Assumptions'!$B$17+SUM(AV150:AV156),"")</f>
        <v/>
      </c>
      <c r="BF156" s="137">
        <f>IF(COUNT(AL156,AW156:AY156)=4,SUM(AL156,AW156:AY156),"")</f>
        <v/>
      </c>
      <c r="BG156" s="137">
        <f>IF(COUNT(AZ156:BD156)=5,SUM(AZ156:BD156,AA156),"")</f>
        <v/>
      </c>
      <c r="BH156" s="137">
        <f>IF(COUNT(BF156,BG156,BE156)=3,BF156-BG156-BE156,"")</f>
        <v/>
      </c>
      <c r="BI156" s="137">
        <f>SUM(W156,X156)-Z156-AA156</f>
        <v/>
      </c>
      <c r="BJ156" s="137">
        <f>8-COUNT('Assumptions'!J58:J65)+COUNTBLANK('NM Play'!B33:B34)+'Costs'!E44+IF(AND('Sites'!E6=1,('Sites'!F6)&lt;=12,'Sites'!G6&gt;=1),IF(ISNUMBER('Sites'!O6),0,1)+'Capital'!I6+COUNTBLANK('Sites'!R6)+IF('Sites'!D6="NM crew",COUNTBLANK('NM Play'!B25)+1,5-COUNT('Assumptions'!J112:J116)),0)+IF(AND('Sites'!E7=1,('Sites'!F7+'Cases'!G10)&lt;=12,'Sites'!G7&gt;=1),IF(ISNUMBER('Sites'!O7),0,1)+'Capital'!I7+COUNTBLANK('Sites'!R7)+IF('Sites'!D7="NM crew",COUNTBLANK('NM Play'!B25)+1,5-COUNT('Assumptions'!J117:J121)),0)+IF(AND('Sites'!E8*'Cases'!F10=1,('Sites'!F8+'Cases'!G10)&lt;=12,'Sites'!G8&gt;=1),IF(ISNUMBER('Sites'!O8),0,1)+'Capital'!I8+COUNTBLANK('Sites'!R8)+IF('Sites'!D8="NM crew",COUNTBLANK('NM Play'!B25)+1,5-COUNT('Assumptions'!J122:J126)),0)+IF(AND('Cases'!C10&gt;0,NOT(ISNUMBER('Assumptions'!B42))),1,0)+'Responsibilities'!$B$39</f>
        <v/>
      </c>
      <c r="BK156" s="137">
        <f>'Assumptions'!$B$50+'NM Play'!$B$83+'Funding'!$F$20+SUMIFS('Production schedule'!$AN$438:$AN$545,'Production schedule'!$C$438:$C$545,7)+IF(OR('Cases'!E10&lt;0,'Cases'!E10&gt;1,'Cases'!C10&lt;0,'Cases'!D10&lt;0,ABS(SUM('Sites'!S6:S8)-1)&gt;0.0001,MIN('Capital'!F6:F8)&lt;0,MAX('Capital'!F6:F8)&gt;1,MIN(AX156,AZ156,BB156,BA156)&lt;-0.01),1,0)+'Responsibilities'!$B$40</f>
        <v/>
      </c>
      <c r="BL156" s="137">
        <f>SUMIFS('Production schedule'!$T$438:$T$545,'Production schedule'!$C$438:$C$545,7)</f>
        <v/>
      </c>
      <c r="BM156" s="137">
        <f>D156*'NM Play'!$B$38</f>
        <v/>
      </c>
      <c r="BN156" s="137">
        <f>SUMIFS('Production schedule'!$AM$438:$AM$545,'Production schedule'!$C$438:$C$545,7)</f>
        <v/>
      </c>
      <c r="BO156" s="137">
        <f>AK156-AK155-AJ156</f>
        <v/>
      </c>
      <c r="BP156" s="137">
        <f>IF(AND('Assumptions'!$B$39&gt;=0,'Assumptions'!$B$40&gt;0),-PMT('Assumptions'!$B$39/12,'Assumptions'!$B$40*12,IF('Funding'!$N$11&gt;0,'Funding'!$N$11,'Funding'!$V$11)),"")</f>
        <v/>
      </c>
      <c r="BQ156">
        <f>('Production schedule'!AJ444)*(1-'Responsibilities'!$C$6)+('Production schedule'!AJ480)*(1-'Responsibilities'!$C$7)+('Production schedule'!AJ516)*(1-'Responsibilities'!$C$8)</f>
        <v/>
      </c>
      <c r="BR156">
        <f>('Production schedule'!AI444)*(1-'Responsibilities'!$D$6)+('Production schedule'!AI480)*(1-'Responsibilities'!$D$7)+('Production schedule'!AI516)*(1-'Responsibilities'!$D$8)</f>
        <v/>
      </c>
      <c r="BS156">
        <f>('Production schedule'!E444*(IF('Sites'!D6="Annual staff",SUM('Assumptions'!J112,'Assumptions'!J114),0)+SUM('Assumptions'!J113,'Assumptions'!J115:J116)))*(1-'Responsibilities'!$E$6)+('Production schedule'!E480*(IF('Sites'!D7="Annual staff",SUM('Assumptions'!J117,'Assumptions'!J119),0)+SUM('Assumptions'!J118,'Assumptions'!J120:J121)))*(1-'Responsibilities'!$E$7)+('Production schedule'!E516*(IF('Sites'!D8="Annual staff",SUM('Assumptions'!J122,'Assumptions'!J124),0)+SUM('Assumptions'!J123,'Assumptions'!J125:J126)))*(1-'Responsibilities'!$E$8)</f>
        <v/>
      </c>
      <c r="BT156">
        <f>(IF(AND('Production schedule'!E444=1,7=MAX(('Sites'!F6),1),ISNUMBER('Sites'!O6)),'Sites'!O6*'Assumptions'!$B$44,0))*(1-'Responsibilities'!$F$6)+(IF(AND('Production schedule'!E480=1,7=MAX(('Sites'!F7+'Cases'!G10),1),ISNUMBER('Sites'!O7)),'Sites'!O7*'Assumptions'!$B$44,0))*(1-'Responsibilities'!$F$7)+(IF(AND('Production schedule'!E516=1,7=MAX(('Sites'!F8+'Cases'!G10),1),ISNUMBER('Sites'!O8)),'Sites'!O8*'Assumptions'!$B$44,0))*(1-'Responsibilities'!$F$8)</f>
        <v/>
      </c>
      <c r="BU156">
        <f>SUM('Costs'!E36)*'Costs'!F36/12*(1-'Responsibilities'!$C$12)+SUM('Costs'!E37)*'Costs'!F37/12*(1-'Responsibilities'!$C$13)+SUM('Costs'!E38)*'Costs'!F38/12*(1-'Responsibilities'!$C$14)+SUM('Costs'!E39)*'Costs'!F39/12*(1-'Responsibilities'!$C$15)+SUM('Costs'!E40)*'Costs'!F40/12*(1-'Responsibilities'!$C$16)</f>
        <v/>
      </c>
      <c r="BV156">
        <f>('Sites'!E6*'Capital'!E6*(IF(7='Capital'!G6,'Capital'!F6,0)+IF(7='Capital'!H6,1-'Capital'!F6,0)))*(1-'Responsibilities'!$G$6)+('Sites'!E7*'Capital'!E7*(IF(7='Capital'!G7+'Cases'!G10,'Capital'!F7,0)+IF(7='Capital'!H7+'Cases'!G10,1-'Capital'!F7,0)))*(1-'Responsibilities'!$G$7)+('Sites'!E8*'Cases'!F10*'Capital'!E8*(IF(7='Capital'!G8+'Cases'!G10,'Capital'!F8,0)+IF(7='Capital'!H8+'Cases'!G10,1-'Capital'!F8,0)))*(1-'Responsibilities'!$G$8)</f>
        <v/>
      </c>
      <c r="BW156">
        <f>SUM(BQ156:BV156)</f>
        <v/>
      </c>
      <c r="BX156">
        <f>N156+BW156</f>
        <v/>
      </c>
      <c r="BY156">
        <f>BX156-(('Production schedule'!AJ444)*'Responsibilities'!$C$6+('Production schedule'!AJ480)*'Responsibilities'!$C$7+('Production schedule'!AJ516)*'Responsibilities'!$C$8+('Production schedule'!AJ444)*(1-'Responsibilities'!$C$6)+('Production schedule'!AJ480)*(1-'Responsibilities'!$C$7)+('Production schedule'!AJ516)*(1-'Responsibilities'!$C$8)+('Production schedule'!AI444)*'Responsibilities'!$D$6+('Production schedule'!AI480)*'Responsibilities'!$D$7+('Production schedule'!AI516)*'Responsibilities'!$D$8+('Production schedule'!AI444)*(1-'Responsibilities'!$D$6)+('Production schedule'!AI480)*(1-'Responsibilities'!$D$7)+('Production schedule'!AI516)*(1-'Responsibilities'!$D$8)+('Production schedule'!E444*(IF('Sites'!D6="Annual staff",SUM('Assumptions'!J112,'Assumptions'!J114),0)+SUM('Assumptions'!J113,'Assumptions'!J115:J116)))*'Responsibilities'!$E$6+('Production schedule'!E480*(IF('Sites'!D7="Annual staff",SUM('Assumptions'!J117,'Assumptions'!J119),0)+SUM('Assumptions'!J118,'Assumptions'!J120:J121)))*'Responsibilities'!$E$7+('Production schedule'!E516*(IF('Sites'!D8="Annual staff",SUM('Assumptions'!J122,'Assumptions'!J124),0)+SUM('Assumptions'!J123,'Assumptions'!J125:J126)))*'Responsibilities'!$E$8+('Production schedule'!E444*(IF('Sites'!D6="Annual staff",SUM('Assumptions'!J112,'Assumptions'!J114),0)+SUM('Assumptions'!J113,'Assumptions'!J115:J116)))*(1-'Responsibilities'!$E$6)+('Production schedule'!E480*(IF('Sites'!D7="Annual staff",SUM('Assumptions'!J117,'Assumptions'!J119),0)+SUM('Assumptions'!J118,'Assumptions'!J120:J121)))*(1-'Responsibilities'!$E$7)+('Production schedule'!E516*(IF('Sites'!D8="Annual staff",SUM('Assumptions'!J122,'Assumptions'!J124),0)+SUM('Assumptions'!J123,'Assumptions'!J125:J126)))*(1-'Responsibilities'!$E$8)+(IF(AND('Production schedule'!E444=1,7=MAX(('Sites'!F6),1),ISNUMBER('Sites'!O6)),'Sites'!O6*'Assumptions'!$B$44,0))*'Responsibilities'!$F$6+(IF(AND('Production schedule'!E480=1,7=MAX(('Sites'!F7+'Cases'!G10),1),ISNUMBER('Sites'!O7)),'Sites'!O7*'Assumptions'!$B$44,0))*'Responsibilities'!$F$7+(IF(AND('Production schedule'!E516=1,7=MAX(('Sites'!F8+'Cases'!G10),1),ISNUMBER('Sites'!O8)),'Sites'!O8*'Assumptions'!$B$44,0))*'Responsibilities'!$F$8+(IF(AND('Production schedule'!E444=1,7=MAX(('Sites'!F6),1),ISNUMBER('Sites'!O6)),'Sites'!O6*'Assumptions'!$B$44,0))*(1-'Responsibilities'!$F$6)+(IF(AND('Production schedule'!E480=1,7=MAX(('Sites'!F7+'Cases'!G10),1),ISNUMBER('Sites'!O7)),'Sites'!O7*'Assumptions'!$B$44,0))*(1-'Responsibilities'!$F$7)+(IF(AND('Production schedule'!E516=1,7=MAX(('Sites'!F8+'Cases'!G10),1),ISNUMBER('Sites'!O8)),'Sites'!O8*'Assumptions'!$B$44,0))*(1-'Responsibilities'!$F$8)+('Sites'!E6*'Capital'!E6*(IF(7='Capital'!G6,'Capital'!F6,0)+IF(7='Capital'!H6,1-'Capital'!F6,0)))*'Responsibilities'!$G$6+('Sites'!E7*'Capital'!E7*(IF(7='Capital'!G7+'Cases'!G10,'Capital'!F7,0)+IF(7='Capital'!H7+'Cases'!G10,1-'Capital'!F7,0)))*'Responsibilities'!$G$7+('Sites'!E8*'Cases'!F10*'Capital'!E8*(IF(7='Capital'!G8+'Cases'!G10,'Capital'!F8,0)+IF(7='Capital'!H8+'Cases'!G10,1-'Capital'!F8,0)))*'Responsibilities'!$G$8+('Sites'!E6*'Capital'!E6*(IF(7='Capital'!G6,'Capital'!F6,0)+IF(7='Capital'!H6,1-'Capital'!F6,0)))*(1-'Responsibilities'!$G$6)+('Sites'!E7*'Capital'!E7*(IF(7='Capital'!G7+'Cases'!G10,'Capital'!F7,0)+IF(7='Capital'!H7+'Cases'!G10,1-'Capital'!F7,0)))*(1-'Responsibilities'!$G$7)+('Sites'!E8*'Cases'!F10*'Capital'!E8*(IF(7='Capital'!G8+'Cases'!G10,'Capital'!F8,0)+IF(7='Capital'!H8+'Cases'!G10,1-'Capital'!F8,0)))*(1-'Responsibilities'!$G$8)+I156+SUMPRODUCT('Costs'!$E$36:$E$40,'Costs'!$F$36:$F$40)/12+BZ156)</f>
        <v/>
      </c>
      <c r="BZ156">
        <f>SUMIFS('Responsibilities'!$B$31:$B$35,'Responsibilities'!$C$31:$C$35,7,'Responsibilities'!$D$31:$D$35,"Yes")</f>
        <v/>
      </c>
    </row>
    <row r="157" ht="28" customHeight="1">
      <c r="A157" s="4" t="inlineStr">
        <is>
          <t>Lower sales</t>
        </is>
      </c>
      <c r="B157" s="4" t="n">
        <v>8</v>
      </c>
      <c r="C157" s="4">
        <f>ROUNDUP(B157/12,0)</f>
        <v/>
      </c>
      <c r="D157" s="137">
        <f>SUMIFS('Production schedule'!$N$438:$N$545,'Production schedule'!$C$438:$C$545,8)</f>
        <v/>
      </c>
      <c r="E157" s="137">
        <f>SUMIFS('Production schedule'!$Y$438:$Y$545,'Production schedule'!$C$438:$C$545,8)</f>
        <v/>
      </c>
      <c r="F157" s="137">
        <f>SUMIFS('Production schedule'!$Z$438:$Z$545,'Production schedule'!$C$438:$C$545,8)</f>
        <v/>
      </c>
      <c r="G157" s="137">
        <f>('Production schedule'!AJ445)*'Responsibilities'!$C$6+('Production schedule'!AJ481)*'Responsibilities'!$C$7+('Production schedule'!AJ517)*'Responsibilities'!$C$8</f>
        <v/>
      </c>
      <c r="H157" s="137">
        <f>('Production schedule'!AI445)*'Responsibilities'!$D$6+('Production schedule'!AI481)*'Responsibilities'!$D$7+('Production schedule'!AI517)*'Responsibilities'!$D$8</f>
        <v/>
      </c>
      <c r="I157" s="137">
        <f>SUM('Assumptions'!K58:K65)</f>
        <v/>
      </c>
      <c r="J157" s="137">
        <f>('Production schedule'!E445*(IF('Sites'!D6="Annual staff",SUM('Assumptions'!K112,'Assumptions'!K114),0)+SUM('Assumptions'!K113,'Assumptions'!K115:K116)))*'Responsibilities'!$E$6+('Production schedule'!E481*(IF('Sites'!D7="Annual staff",SUM('Assumptions'!K117,'Assumptions'!K119),0)+SUM('Assumptions'!K118,'Assumptions'!K120:K121)))*'Responsibilities'!$E$7+('Production schedule'!E517*(IF('Sites'!D8="Annual staff",SUM('Assumptions'!K122,'Assumptions'!K124),0)+SUM('Assumptions'!K123,'Assumptions'!K125:K126)))*'Responsibilities'!$E$8</f>
        <v/>
      </c>
      <c r="K157" s="137">
        <f>(IF(AND('Production schedule'!E445=1,8=MAX(('Sites'!F6),1),ISNUMBER('Sites'!O6)),'Sites'!O6*'Assumptions'!$B$44,0))*'Responsibilities'!$F$6+(IF(AND('Production schedule'!E481=1,8=MAX(('Sites'!F7+'Cases'!G10),1),ISNUMBER('Sites'!O7)),'Sites'!O7*'Assumptions'!$B$44,0))*'Responsibilities'!$F$7+(IF(AND('Production schedule'!E517=1,8=MAX(('Sites'!F8+'Cases'!G10),1),ISNUMBER('Sites'!O8)),'Sites'!O8*'Assumptions'!$B$44,0))*'Responsibilities'!$F$8</f>
        <v/>
      </c>
      <c r="L157" s="137">
        <f>SUM('Costs'!E36)*'Costs'!F36/12*'Responsibilities'!$C$12+SUM('Costs'!E37)*'Costs'!F37/12*'Responsibilities'!$C$13+SUM('Costs'!E38)*'Costs'!F38/12*'Responsibilities'!$C$14+SUM('Costs'!E39)*'Costs'!F39/12*'Responsibilities'!$C$15+SUM('Costs'!E40)*'Costs'!F40/12*'Responsibilities'!$C$16+BZ157</f>
        <v/>
      </c>
      <c r="M157" s="137">
        <f>('Sites'!E6*'Capital'!E6*(IF(8='Capital'!G6,'Capital'!F6,0)+IF(8='Capital'!H6,1-'Capital'!F6,0)))*'Responsibilities'!$G$6+('Sites'!E7*'Capital'!E7*(IF(8='Capital'!G7+'Cases'!G10,'Capital'!F7,0)+IF(8='Capital'!H7+'Cases'!G10,1-'Capital'!F7,0)))*'Responsibilities'!$G$7+('Sites'!E8*'Cases'!F10*'Capital'!E8*(IF(8='Capital'!G8+'Cases'!G10,'Capital'!F8,0)+IF(8='Capital'!H8+'Cases'!G10,1-'Capital'!F8,0)))*'Responsibilities'!$G$8</f>
        <v/>
      </c>
      <c r="N157" s="137">
        <f>SUM(G157:M157)</f>
        <v/>
      </c>
      <c r="O157" s="137">
        <f>SUMIFS(FundingTranches[Secured amount],FundingTranches[Instrument],"Grant",FundingTranches[Secured month],8)</f>
        <v/>
      </c>
      <c r="P157" s="137">
        <f>SUMIFS(FundingTranches[Lower sales possible],FundingTranches[Instrument],"Grant",FundingTranches[Scenario month],8-'Cases'!$D$10)</f>
        <v/>
      </c>
      <c r="Q157" s="137">
        <f>SUMIFS(FundingTranches[Secured amount],FundingTranches[Instrument],"Loan",FundingTranches[Secured month],8)</f>
        <v/>
      </c>
      <c r="R157" s="137">
        <f>SUMIFS(FundingTranches[Lower sales possible],FundingTranches[Instrument],"Loan",FundingTranches[Scenario month],8-'Cases'!$D$10)</f>
        <v/>
      </c>
      <c r="S157" s="137">
        <f>IF(8&lt;='Assumptions'!$B$34,0,SUMIFS('Production schedule'!$AL$438:$AL$545,'Production schedule'!$C$438:$C$545,8-'Assumptions'!$B$34))</f>
        <v/>
      </c>
      <c r="T157" s="137">
        <f>'Assumptions'!K70</f>
        <v/>
      </c>
      <c r="U157" s="137">
        <f>'Assumptions'!K78</f>
        <v/>
      </c>
      <c r="V157" s="137">
        <f>SUM(O157:U157)</f>
        <v/>
      </c>
      <c r="W157" s="137">
        <f>AA156</f>
        <v/>
      </c>
      <c r="X157" s="137">
        <f>SUM(Q157:R157)</f>
        <v/>
      </c>
      <c r="Y157" s="137">
        <f>SUM(W157,X157)*'Assumptions'!$B$39/12</f>
        <v/>
      </c>
      <c r="Z157" s="137">
        <f>IF(SUM(W157,X157)&gt;0,MIN(SUM(W157,X157),MAX(0,BP157-Y157)),0)</f>
        <v/>
      </c>
      <c r="AA157" s="137">
        <f>SUM(W157,X157)-Z157</f>
        <v/>
      </c>
      <c r="AB157" s="137">
        <f>SUM(Y157:Z157)</f>
        <v/>
      </c>
      <c r="AC157" s="137">
        <f>'Assumptions'!K72</f>
        <v/>
      </c>
      <c r="AD157" s="137">
        <f>'Assumptions'!K73</f>
        <v/>
      </c>
      <c r="AE157" s="137">
        <f>IF(X157&gt;0,SUM('Assumptions'!$B$42),0)</f>
        <v/>
      </c>
      <c r="AF157" s="137">
        <f>'Assumptions'!K71</f>
        <v/>
      </c>
      <c r="AG157" s="137">
        <f>'Assumptions'!K74</f>
        <v/>
      </c>
      <c r="AH157" s="137">
        <f>'Assumptions'!K75</f>
        <v/>
      </c>
      <c r="AI157" s="137">
        <f>'Assumptions'!K77</f>
        <v/>
      </c>
      <c r="AJ157" s="137">
        <f>V157-N157-SUM(AB157:AI157)</f>
        <v/>
      </c>
      <c r="AK157" s="137">
        <f>SUM(AJ150:AJ157)</f>
        <v/>
      </c>
      <c r="AL157" s="137">
        <f>IF(ISNUMBER('Assumptions'!$B$10),'Assumptions'!$B$10+AK157,"")</f>
        <v/>
      </c>
      <c r="AM157" s="137">
        <f>SUM(O157,Q157,T157)-N157-SUM(AC157:AI157)+IF('Funding'!$N$11=0,AE157,0)-IF('Funding'!$N$11&gt;0,AB157,0)</f>
        <v/>
      </c>
      <c r="AN157" s="137">
        <f>SUM(AM150:AM157)</f>
        <v/>
      </c>
      <c r="AO157" s="137">
        <f>IF(ISNUMBER('Assumptions'!$B$10),'Assumptions'!$B$10+AN157,"")</f>
        <v/>
      </c>
      <c r="AP157" s="137">
        <f>('Production schedule'!AK445)*'Responsibilities'!$C$6+('Production schedule'!AK481)*'Responsibilities'!$C$7+('Production schedule'!AK517)*'Responsibilities'!$C$8</f>
        <v/>
      </c>
      <c r="AQ157" s="137">
        <f>SUMIFS('Production schedule'!$AL$438:$AL$545,'Production schedule'!$C$438:$C$545,8)</f>
        <v/>
      </c>
      <c r="AR157" s="137">
        <f>IF(ISNUMBER('Assumptions'!K76),'Assumptions'!K76,SUM(O157:P157))</f>
        <v/>
      </c>
      <c r="AS157" s="137">
        <f>IF(ISNUMBER('Assumptions'!$B$13),MIN('Assumptions'!$B$13/'Assumptions'!$B$18/12,MAX(0,'Assumptions'!$B$13-(8-1)*'Assumptions'!$B$13/'Assumptions'!$B$18/12)),0)+IF(AND('Sites'!E6=1,8&gt;=('Sites'!F6),8&lt;('Sites'!F6)+'Assumptions'!$B$18*12),'Capital'!E6/'Assumptions'!$B$18/12,0)+IF(AND('Sites'!E7=1,8&gt;=('Sites'!F7+'Cases'!G10),8&lt;('Sites'!F7+'Cases'!G10)+'Assumptions'!$B$18*12),'Capital'!E7/'Assumptions'!$B$18/12,0)+IF(AND('Sites'!E8*'Cases'!F10=1,8&gt;=('Sites'!F8+'Cases'!G10),8&lt;('Sites'!F8+'Cases'!G10)+'Assumptions'!$B$18*12),'Capital'!E8/'Assumptions'!$B$18/12,0)</f>
        <v/>
      </c>
      <c r="AT157" s="137">
        <f>SUM(AQ157,AR157,U157)-AP157-SUM(H157:L157)-AS157-SUM(Y157,AD157,AE157,AH157)</f>
        <v/>
      </c>
      <c r="AU157" s="137">
        <f>IF(ISNUMBER('Assumptions'!$B$19),MAX(0,SUM(AT150:AT157))*'Assumptions'!$B$19-SUM(AU150:AU156),"")</f>
        <v/>
      </c>
      <c r="AV157" s="137">
        <f>IF(ISNUMBER(AU157),AT157-AU157,"")</f>
        <v/>
      </c>
      <c r="AW157" s="137">
        <f>IF(ISNUMBER('Assumptions'!$B$11),'Assumptions'!$B$11+SUM(AQ150:AQ157)-SUM(S150:S157)-SUM(T150:T157),"")</f>
        <v/>
      </c>
      <c r="AX157" s="137">
        <f>IF(ISNUMBER('Assumptions'!$B$12),'Assumptions'!$B$12+SUM(G150:G157)-SUM(AP150:AP157),"")</f>
        <v/>
      </c>
      <c r="AY157" s="137">
        <f>IF(ISNUMBER('Assumptions'!$B$13),'Assumptions'!$B$13+SUM(M150:M157)-SUM(AS150:AS157),"")</f>
        <v/>
      </c>
      <c r="AZ157" s="137">
        <f>IF(ISNUMBER('Assumptions'!$B$14),'Assumptions'!$B$14+-SUM(AF150:AF157),"")</f>
        <v/>
      </c>
      <c r="BA157" s="137">
        <f>IF(ISNUMBER('Assumptions'!$B$15),'Assumptions'!$B$15+SUM(O150:O157)+SUM(P150:P157)-SUM(AR150:AR157),"")</f>
        <v/>
      </c>
      <c r="BB157" s="137">
        <f>IF(ISNUMBER('Assumptions'!$B$16),'Assumptions'!$B$16+-SUM(AC150:AC157),"")</f>
        <v/>
      </c>
      <c r="BC157" s="137">
        <f>IF(AND(ISNUMBER('Assumptions'!$B$21),ISNUMBER('Assumptions'!$B$19)),'Assumptions'!$B$21+SUM(AU150:AU157)-SUM(AG150:AG157),"")</f>
        <v/>
      </c>
      <c r="BD157" s="137">
        <f>IF(ISNUMBER('Assumptions'!$B$20),'Assumptions'!$B$20+-SUM(AI150:AI157),"")</f>
        <v/>
      </c>
      <c r="BE157" s="137">
        <f>IF(AND(ISNUMBER('Assumptions'!$B$17),COUNT(AV150:AV157)=8),'Assumptions'!$B$17+SUM(AV150:AV157),"")</f>
        <v/>
      </c>
      <c r="BF157" s="137">
        <f>IF(COUNT(AL157,AW157:AY157)=4,SUM(AL157,AW157:AY157),"")</f>
        <v/>
      </c>
      <c r="BG157" s="137">
        <f>IF(COUNT(AZ157:BD157)=5,SUM(AZ157:BD157,AA157),"")</f>
        <v/>
      </c>
      <c r="BH157" s="137">
        <f>IF(COUNT(BF157,BG157,BE157)=3,BF157-BG157-BE157,"")</f>
        <v/>
      </c>
      <c r="BI157" s="137">
        <f>SUM(W157,X157)-Z157-AA157</f>
        <v/>
      </c>
      <c r="BJ157" s="137">
        <f>8-COUNT('Assumptions'!K58:K65)+COUNTBLANK('NM Play'!B33:B34)+'Costs'!E44+IF(AND('Sites'!E6=1,('Sites'!F6)&lt;=12,'Sites'!G6&gt;=1),IF(ISNUMBER('Sites'!O6),0,1)+'Capital'!I6+COUNTBLANK('Sites'!R6)+IF('Sites'!D6="NM crew",COUNTBLANK('NM Play'!B25)+1,5-COUNT('Assumptions'!K112:K116)),0)+IF(AND('Sites'!E7=1,('Sites'!F7+'Cases'!G10)&lt;=12,'Sites'!G7&gt;=1),IF(ISNUMBER('Sites'!O7),0,1)+'Capital'!I7+COUNTBLANK('Sites'!R7)+IF('Sites'!D7="NM crew",COUNTBLANK('NM Play'!B25)+1,5-COUNT('Assumptions'!K117:K121)),0)+IF(AND('Sites'!E8*'Cases'!F10=1,('Sites'!F8+'Cases'!G10)&lt;=12,'Sites'!G8&gt;=1),IF(ISNUMBER('Sites'!O8),0,1)+'Capital'!I8+COUNTBLANK('Sites'!R8)+IF('Sites'!D8="NM crew",COUNTBLANK('NM Play'!B25)+1,5-COUNT('Assumptions'!K122:K126)),0)+IF(AND('Cases'!C10&gt;0,NOT(ISNUMBER('Assumptions'!B42))),1,0)+'Responsibilities'!$B$39</f>
        <v/>
      </c>
      <c r="BK157" s="137">
        <f>'Assumptions'!$B$50+'NM Play'!$B$83+'Funding'!$F$20+SUMIFS('Production schedule'!$AN$438:$AN$545,'Production schedule'!$C$438:$C$545,8)+IF(OR('Cases'!E10&lt;0,'Cases'!E10&gt;1,'Cases'!C10&lt;0,'Cases'!D10&lt;0,ABS(SUM('Sites'!S6:S8)-1)&gt;0.0001,MIN('Capital'!F6:F8)&lt;0,MAX('Capital'!F6:F8)&gt;1,MIN(AX157,AZ157,BB157,BA157)&lt;-0.01),1,0)+'Responsibilities'!$B$40</f>
        <v/>
      </c>
      <c r="BL157" s="137">
        <f>SUMIFS('Production schedule'!$T$438:$T$545,'Production schedule'!$C$438:$C$545,8)</f>
        <v/>
      </c>
      <c r="BM157" s="137">
        <f>D157*'NM Play'!$B$38</f>
        <v/>
      </c>
      <c r="BN157" s="137">
        <f>SUMIFS('Production schedule'!$AM$438:$AM$545,'Production schedule'!$C$438:$C$545,8)</f>
        <v/>
      </c>
      <c r="BO157" s="137">
        <f>AK157-AK156-AJ157</f>
        <v/>
      </c>
      <c r="BP157" s="137">
        <f>IF(AND('Assumptions'!$B$39&gt;=0,'Assumptions'!$B$40&gt;0),-PMT('Assumptions'!$B$39/12,'Assumptions'!$B$40*12,IF('Funding'!$N$11&gt;0,'Funding'!$N$11,'Funding'!$V$11)),"")</f>
        <v/>
      </c>
      <c r="BQ157">
        <f>('Production schedule'!AJ445)*(1-'Responsibilities'!$C$6)+('Production schedule'!AJ481)*(1-'Responsibilities'!$C$7)+('Production schedule'!AJ517)*(1-'Responsibilities'!$C$8)</f>
        <v/>
      </c>
      <c r="BR157">
        <f>('Production schedule'!AI445)*(1-'Responsibilities'!$D$6)+('Production schedule'!AI481)*(1-'Responsibilities'!$D$7)+('Production schedule'!AI517)*(1-'Responsibilities'!$D$8)</f>
        <v/>
      </c>
      <c r="BS157">
        <f>('Production schedule'!E445*(IF('Sites'!D6="Annual staff",SUM('Assumptions'!K112,'Assumptions'!K114),0)+SUM('Assumptions'!K113,'Assumptions'!K115:K116)))*(1-'Responsibilities'!$E$6)+('Production schedule'!E481*(IF('Sites'!D7="Annual staff",SUM('Assumptions'!K117,'Assumptions'!K119),0)+SUM('Assumptions'!K118,'Assumptions'!K120:K121)))*(1-'Responsibilities'!$E$7)+('Production schedule'!E517*(IF('Sites'!D8="Annual staff",SUM('Assumptions'!K122,'Assumptions'!K124),0)+SUM('Assumptions'!K123,'Assumptions'!K125:K126)))*(1-'Responsibilities'!$E$8)</f>
        <v/>
      </c>
      <c r="BT157">
        <f>(IF(AND('Production schedule'!E445=1,8=MAX(('Sites'!F6),1),ISNUMBER('Sites'!O6)),'Sites'!O6*'Assumptions'!$B$44,0))*(1-'Responsibilities'!$F$6)+(IF(AND('Production schedule'!E481=1,8=MAX(('Sites'!F7+'Cases'!G10),1),ISNUMBER('Sites'!O7)),'Sites'!O7*'Assumptions'!$B$44,0))*(1-'Responsibilities'!$F$7)+(IF(AND('Production schedule'!E517=1,8=MAX(('Sites'!F8+'Cases'!G10),1),ISNUMBER('Sites'!O8)),'Sites'!O8*'Assumptions'!$B$44,0))*(1-'Responsibilities'!$F$8)</f>
        <v/>
      </c>
      <c r="BU157">
        <f>SUM('Costs'!E36)*'Costs'!F36/12*(1-'Responsibilities'!$C$12)+SUM('Costs'!E37)*'Costs'!F37/12*(1-'Responsibilities'!$C$13)+SUM('Costs'!E38)*'Costs'!F38/12*(1-'Responsibilities'!$C$14)+SUM('Costs'!E39)*'Costs'!F39/12*(1-'Responsibilities'!$C$15)+SUM('Costs'!E40)*'Costs'!F40/12*(1-'Responsibilities'!$C$16)</f>
        <v/>
      </c>
      <c r="BV157">
        <f>('Sites'!E6*'Capital'!E6*(IF(8='Capital'!G6,'Capital'!F6,0)+IF(8='Capital'!H6,1-'Capital'!F6,0)))*(1-'Responsibilities'!$G$6)+('Sites'!E7*'Capital'!E7*(IF(8='Capital'!G7+'Cases'!G10,'Capital'!F7,0)+IF(8='Capital'!H7+'Cases'!G10,1-'Capital'!F7,0)))*(1-'Responsibilities'!$G$7)+('Sites'!E8*'Cases'!F10*'Capital'!E8*(IF(8='Capital'!G8+'Cases'!G10,'Capital'!F8,0)+IF(8='Capital'!H8+'Cases'!G10,1-'Capital'!F8,0)))*(1-'Responsibilities'!$G$8)</f>
        <v/>
      </c>
      <c r="BW157">
        <f>SUM(BQ157:BV157)</f>
        <v/>
      </c>
      <c r="BX157">
        <f>N157+BW157</f>
        <v/>
      </c>
      <c r="BY157">
        <f>BX157-(('Production schedule'!AJ445)*'Responsibilities'!$C$6+('Production schedule'!AJ481)*'Responsibilities'!$C$7+('Production schedule'!AJ517)*'Responsibilities'!$C$8+('Production schedule'!AJ445)*(1-'Responsibilities'!$C$6)+('Production schedule'!AJ481)*(1-'Responsibilities'!$C$7)+('Production schedule'!AJ517)*(1-'Responsibilities'!$C$8)+('Production schedule'!AI445)*'Responsibilities'!$D$6+('Production schedule'!AI481)*'Responsibilities'!$D$7+('Production schedule'!AI517)*'Responsibilities'!$D$8+('Production schedule'!AI445)*(1-'Responsibilities'!$D$6)+('Production schedule'!AI481)*(1-'Responsibilities'!$D$7)+('Production schedule'!AI517)*(1-'Responsibilities'!$D$8)+('Production schedule'!E445*(IF('Sites'!D6="Annual staff",SUM('Assumptions'!K112,'Assumptions'!K114),0)+SUM('Assumptions'!K113,'Assumptions'!K115:K116)))*'Responsibilities'!$E$6+('Production schedule'!E481*(IF('Sites'!D7="Annual staff",SUM('Assumptions'!K117,'Assumptions'!K119),0)+SUM('Assumptions'!K118,'Assumptions'!K120:K121)))*'Responsibilities'!$E$7+('Production schedule'!E517*(IF('Sites'!D8="Annual staff",SUM('Assumptions'!K122,'Assumptions'!K124),0)+SUM('Assumptions'!K123,'Assumptions'!K125:K126)))*'Responsibilities'!$E$8+('Production schedule'!E445*(IF('Sites'!D6="Annual staff",SUM('Assumptions'!K112,'Assumptions'!K114),0)+SUM('Assumptions'!K113,'Assumptions'!K115:K116)))*(1-'Responsibilities'!$E$6)+('Production schedule'!E481*(IF('Sites'!D7="Annual staff",SUM('Assumptions'!K117,'Assumptions'!K119),0)+SUM('Assumptions'!K118,'Assumptions'!K120:K121)))*(1-'Responsibilities'!$E$7)+('Production schedule'!E517*(IF('Sites'!D8="Annual staff",SUM('Assumptions'!K122,'Assumptions'!K124),0)+SUM('Assumptions'!K123,'Assumptions'!K125:K126)))*(1-'Responsibilities'!$E$8)+(IF(AND('Production schedule'!E445=1,8=MAX(('Sites'!F6),1),ISNUMBER('Sites'!O6)),'Sites'!O6*'Assumptions'!$B$44,0))*'Responsibilities'!$F$6+(IF(AND('Production schedule'!E481=1,8=MAX(('Sites'!F7+'Cases'!G10),1),ISNUMBER('Sites'!O7)),'Sites'!O7*'Assumptions'!$B$44,0))*'Responsibilities'!$F$7+(IF(AND('Production schedule'!E517=1,8=MAX(('Sites'!F8+'Cases'!G10),1),ISNUMBER('Sites'!O8)),'Sites'!O8*'Assumptions'!$B$44,0))*'Responsibilities'!$F$8+(IF(AND('Production schedule'!E445=1,8=MAX(('Sites'!F6),1),ISNUMBER('Sites'!O6)),'Sites'!O6*'Assumptions'!$B$44,0))*(1-'Responsibilities'!$F$6)+(IF(AND('Production schedule'!E481=1,8=MAX(('Sites'!F7+'Cases'!G10),1),ISNUMBER('Sites'!O7)),'Sites'!O7*'Assumptions'!$B$44,0))*(1-'Responsibilities'!$F$7)+(IF(AND('Production schedule'!E517=1,8=MAX(('Sites'!F8+'Cases'!G10),1),ISNUMBER('Sites'!O8)),'Sites'!O8*'Assumptions'!$B$44,0))*(1-'Responsibilities'!$F$8)+('Sites'!E6*'Capital'!E6*(IF(8='Capital'!G6,'Capital'!F6,0)+IF(8='Capital'!H6,1-'Capital'!F6,0)))*'Responsibilities'!$G$6+('Sites'!E7*'Capital'!E7*(IF(8='Capital'!G7+'Cases'!G10,'Capital'!F7,0)+IF(8='Capital'!H7+'Cases'!G10,1-'Capital'!F7,0)))*'Responsibilities'!$G$7+('Sites'!E8*'Cases'!F10*'Capital'!E8*(IF(8='Capital'!G8+'Cases'!G10,'Capital'!F8,0)+IF(8='Capital'!H8+'Cases'!G10,1-'Capital'!F8,0)))*'Responsibilities'!$G$8+('Sites'!E6*'Capital'!E6*(IF(8='Capital'!G6,'Capital'!F6,0)+IF(8='Capital'!H6,1-'Capital'!F6,0)))*(1-'Responsibilities'!$G$6)+('Sites'!E7*'Capital'!E7*(IF(8='Capital'!G7+'Cases'!G10,'Capital'!F7,0)+IF(8='Capital'!H7+'Cases'!G10,1-'Capital'!F7,0)))*(1-'Responsibilities'!$G$7)+('Sites'!E8*'Cases'!F10*'Capital'!E8*(IF(8='Capital'!G8+'Cases'!G10,'Capital'!F8,0)+IF(8='Capital'!H8+'Cases'!G10,1-'Capital'!F8,0)))*(1-'Responsibilities'!$G$8)+I157+SUMPRODUCT('Costs'!$E$36:$E$40,'Costs'!$F$36:$F$40)/12+BZ157)</f>
        <v/>
      </c>
      <c r="BZ157">
        <f>SUMIFS('Responsibilities'!$B$31:$B$35,'Responsibilities'!$C$31:$C$35,8,'Responsibilities'!$D$31:$D$35,"Yes")</f>
        <v/>
      </c>
    </row>
    <row r="158" ht="28" customHeight="1">
      <c r="A158" s="4" t="inlineStr">
        <is>
          <t>Lower sales</t>
        </is>
      </c>
      <c r="B158" s="4" t="n">
        <v>9</v>
      </c>
      <c r="C158" s="4">
        <f>ROUNDUP(B158/12,0)</f>
        <v/>
      </c>
      <c r="D158" s="137">
        <f>SUMIFS('Production schedule'!$N$438:$N$545,'Production schedule'!$C$438:$C$545,9)</f>
        <v/>
      </c>
      <c r="E158" s="137">
        <f>SUMIFS('Production schedule'!$Y$438:$Y$545,'Production schedule'!$C$438:$C$545,9)</f>
        <v/>
      </c>
      <c r="F158" s="137">
        <f>SUMIFS('Production schedule'!$Z$438:$Z$545,'Production schedule'!$C$438:$C$545,9)</f>
        <v/>
      </c>
      <c r="G158" s="137">
        <f>('Production schedule'!AJ446)*'Responsibilities'!$C$6+('Production schedule'!AJ482)*'Responsibilities'!$C$7+('Production schedule'!AJ518)*'Responsibilities'!$C$8</f>
        <v/>
      </c>
      <c r="H158" s="137">
        <f>('Production schedule'!AI446)*'Responsibilities'!$D$6+('Production schedule'!AI482)*'Responsibilities'!$D$7+('Production schedule'!AI518)*'Responsibilities'!$D$8</f>
        <v/>
      </c>
      <c r="I158" s="137">
        <f>SUM('Assumptions'!L58:L65)</f>
        <v/>
      </c>
      <c r="J158" s="137">
        <f>('Production schedule'!E446*(IF('Sites'!D6="Annual staff",SUM('Assumptions'!L112,'Assumptions'!L114),0)+SUM('Assumptions'!L113,'Assumptions'!L115:L116)))*'Responsibilities'!$E$6+('Production schedule'!E482*(IF('Sites'!D7="Annual staff",SUM('Assumptions'!L117,'Assumptions'!L119),0)+SUM('Assumptions'!L118,'Assumptions'!L120:L121)))*'Responsibilities'!$E$7+('Production schedule'!E518*(IF('Sites'!D8="Annual staff",SUM('Assumptions'!L122,'Assumptions'!L124),0)+SUM('Assumptions'!L123,'Assumptions'!L125:L126)))*'Responsibilities'!$E$8</f>
        <v/>
      </c>
      <c r="K158" s="137">
        <f>(IF(AND('Production schedule'!E446=1,9=MAX(('Sites'!F6),1),ISNUMBER('Sites'!O6)),'Sites'!O6*'Assumptions'!$B$44,0))*'Responsibilities'!$F$6+(IF(AND('Production schedule'!E482=1,9=MAX(('Sites'!F7+'Cases'!G10),1),ISNUMBER('Sites'!O7)),'Sites'!O7*'Assumptions'!$B$44,0))*'Responsibilities'!$F$7+(IF(AND('Production schedule'!E518=1,9=MAX(('Sites'!F8+'Cases'!G10),1),ISNUMBER('Sites'!O8)),'Sites'!O8*'Assumptions'!$B$44,0))*'Responsibilities'!$F$8</f>
        <v/>
      </c>
      <c r="L158" s="137">
        <f>SUM('Costs'!E36)*'Costs'!F36/12*'Responsibilities'!$C$12+SUM('Costs'!E37)*'Costs'!F37/12*'Responsibilities'!$C$13+SUM('Costs'!E38)*'Costs'!F38/12*'Responsibilities'!$C$14+SUM('Costs'!E39)*'Costs'!F39/12*'Responsibilities'!$C$15+SUM('Costs'!E40)*'Costs'!F40/12*'Responsibilities'!$C$16+BZ158</f>
        <v/>
      </c>
      <c r="M158" s="137">
        <f>('Sites'!E6*'Capital'!E6*(IF(9='Capital'!G6,'Capital'!F6,0)+IF(9='Capital'!H6,1-'Capital'!F6,0)))*'Responsibilities'!$G$6+('Sites'!E7*'Capital'!E7*(IF(9='Capital'!G7+'Cases'!G10,'Capital'!F7,0)+IF(9='Capital'!H7+'Cases'!G10,1-'Capital'!F7,0)))*'Responsibilities'!$G$7+('Sites'!E8*'Cases'!F10*'Capital'!E8*(IF(9='Capital'!G8+'Cases'!G10,'Capital'!F8,0)+IF(9='Capital'!H8+'Cases'!G10,1-'Capital'!F8,0)))*'Responsibilities'!$G$8</f>
        <v/>
      </c>
      <c r="N158" s="137">
        <f>SUM(G158:M158)</f>
        <v/>
      </c>
      <c r="O158" s="137">
        <f>SUMIFS(FundingTranches[Secured amount],FundingTranches[Instrument],"Grant",FundingTranches[Secured month],9)</f>
        <v/>
      </c>
      <c r="P158" s="137">
        <f>SUMIFS(FundingTranches[Lower sales possible],FundingTranches[Instrument],"Grant",FundingTranches[Scenario month],9-'Cases'!$D$10)</f>
        <v/>
      </c>
      <c r="Q158" s="137">
        <f>SUMIFS(FundingTranches[Secured amount],FundingTranches[Instrument],"Loan",FundingTranches[Secured month],9)</f>
        <v/>
      </c>
      <c r="R158" s="137">
        <f>SUMIFS(FundingTranches[Lower sales possible],FundingTranches[Instrument],"Loan",FundingTranches[Scenario month],9-'Cases'!$D$10)</f>
        <v/>
      </c>
      <c r="S158" s="137">
        <f>IF(9&lt;='Assumptions'!$B$34,0,SUMIFS('Production schedule'!$AL$438:$AL$545,'Production schedule'!$C$438:$C$545,9-'Assumptions'!$B$34))</f>
        <v/>
      </c>
      <c r="T158" s="137">
        <f>'Assumptions'!L70</f>
        <v/>
      </c>
      <c r="U158" s="137">
        <f>'Assumptions'!L78</f>
        <v/>
      </c>
      <c r="V158" s="137">
        <f>SUM(O158:U158)</f>
        <v/>
      </c>
      <c r="W158" s="137">
        <f>AA157</f>
        <v/>
      </c>
      <c r="X158" s="137">
        <f>SUM(Q158:R158)</f>
        <v/>
      </c>
      <c r="Y158" s="137">
        <f>SUM(W158,X158)*'Assumptions'!$B$39/12</f>
        <v/>
      </c>
      <c r="Z158" s="137">
        <f>IF(SUM(W158,X158)&gt;0,MIN(SUM(W158,X158),MAX(0,BP158-Y158)),0)</f>
        <v/>
      </c>
      <c r="AA158" s="137">
        <f>SUM(W158,X158)-Z158</f>
        <v/>
      </c>
      <c r="AB158" s="137">
        <f>SUM(Y158:Z158)</f>
        <v/>
      </c>
      <c r="AC158" s="137">
        <f>'Assumptions'!L72</f>
        <v/>
      </c>
      <c r="AD158" s="137">
        <f>'Assumptions'!L73</f>
        <v/>
      </c>
      <c r="AE158" s="137">
        <f>IF(X158&gt;0,SUM('Assumptions'!$B$42),0)</f>
        <v/>
      </c>
      <c r="AF158" s="137">
        <f>'Assumptions'!L71</f>
        <v/>
      </c>
      <c r="AG158" s="137">
        <f>'Assumptions'!L74</f>
        <v/>
      </c>
      <c r="AH158" s="137">
        <f>'Assumptions'!L75</f>
        <v/>
      </c>
      <c r="AI158" s="137">
        <f>'Assumptions'!L77</f>
        <v/>
      </c>
      <c r="AJ158" s="137">
        <f>V158-N158-SUM(AB158:AI158)</f>
        <v/>
      </c>
      <c r="AK158" s="137">
        <f>SUM(AJ150:AJ158)</f>
        <v/>
      </c>
      <c r="AL158" s="137">
        <f>IF(ISNUMBER('Assumptions'!$B$10),'Assumptions'!$B$10+AK158,"")</f>
        <v/>
      </c>
      <c r="AM158" s="137">
        <f>SUM(O158,Q158,T158)-N158-SUM(AC158:AI158)+IF('Funding'!$N$11=0,AE158,0)-IF('Funding'!$N$11&gt;0,AB158,0)</f>
        <v/>
      </c>
      <c r="AN158" s="137">
        <f>SUM(AM150:AM158)</f>
        <v/>
      </c>
      <c r="AO158" s="137">
        <f>IF(ISNUMBER('Assumptions'!$B$10),'Assumptions'!$B$10+AN158,"")</f>
        <v/>
      </c>
      <c r="AP158" s="137">
        <f>('Production schedule'!AK446)*'Responsibilities'!$C$6+('Production schedule'!AK482)*'Responsibilities'!$C$7+('Production schedule'!AK518)*'Responsibilities'!$C$8</f>
        <v/>
      </c>
      <c r="AQ158" s="137">
        <f>SUMIFS('Production schedule'!$AL$438:$AL$545,'Production schedule'!$C$438:$C$545,9)</f>
        <v/>
      </c>
      <c r="AR158" s="137">
        <f>IF(ISNUMBER('Assumptions'!L76),'Assumptions'!L76,SUM(O158:P158))</f>
        <v/>
      </c>
      <c r="AS158" s="137">
        <f>IF(ISNUMBER('Assumptions'!$B$13),MIN('Assumptions'!$B$13/'Assumptions'!$B$18/12,MAX(0,'Assumptions'!$B$13-(9-1)*'Assumptions'!$B$13/'Assumptions'!$B$18/12)),0)+IF(AND('Sites'!E6=1,9&gt;=('Sites'!F6),9&lt;('Sites'!F6)+'Assumptions'!$B$18*12),'Capital'!E6/'Assumptions'!$B$18/12,0)+IF(AND('Sites'!E7=1,9&gt;=('Sites'!F7+'Cases'!G10),9&lt;('Sites'!F7+'Cases'!G10)+'Assumptions'!$B$18*12),'Capital'!E7/'Assumptions'!$B$18/12,0)+IF(AND('Sites'!E8*'Cases'!F10=1,9&gt;=('Sites'!F8+'Cases'!G10),9&lt;('Sites'!F8+'Cases'!G10)+'Assumptions'!$B$18*12),'Capital'!E8/'Assumptions'!$B$18/12,0)</f>
        <v/>
      </c>
      <c r="AT158" s="137">
        <f>SUM(AQ158,AR158,U158)-AP158-SUM(H158:L158)-AS158-SUM(Y158,AD158,AE158,AH158)</f>
        <v/>
      </c>
      <c r="AU158" s="137">
        <f>IF(ISNUMBER('Assumptions'!$B$19),MAX(0,SUM(AT150:AT158))*'Assumptions'!$B$19-SUM(AU150:AU157),"")</f>
        <v/>
      </c>
      <c r="AV158" s="137">
        <f>IF(ISNUMBER(AU158),AT158-AU158,"")</f>
        <v/>
      </c>
      <c r="AW158" s="137">
        <f>IF(ISNUMBER('Assumptions'!$B$11),'Assumptions'!$B$11+SUM(AQ150:AQ158)-SUM(S150:S158)-SUM(T150:T158),"")</f>
        <v/>
      </c>
      <c r="AX158" s="137">
        <f>IF(ISNUMBER('Assumptions'!$B$12),'Assumptions'!$B$12+SUM(G150:G158)-SUM(AP150:AP158),"")</f>
        <v/>
      </c>
      <c r="AY158" s="137">
        <f>IF(ISNUMBER('Assumptions'!$B$13),'Assumptions'!$B$13+SUM(M150:M158)-SUM(AS150:AS158),"")</f>
        <v/>
      </c>
      <c r="AZ158" s="137">
        <f>IF(ISNUMBER('Assumptions'!$B$14),'Assumptions'!$B$14+-SUM(AF150:AF158),"")</f>
        <v/>
      </c>
      <c r="BA158" s="137">
        <f>IF(ISNUMBER('Assumptions'!$B$15),'Assumptions'!$B$15+SUM(O150:O158)+SUM(P150:P158)-SUM(AR150:AR158),"")</f>
        <v/>
      </c>
      <c r="BB158" s="137">
        <f>IF(ISNUMBER('Assumptions'!$B$16),'Assumptions'!$B$16+-SUM(AC150:AC158),"")</f>
        <v/>
      </c>
      <c r="BC158" s="137">
        <f>IF(AND(ISNUMBER('Assumptions'!$B$21),ISNUMBER('Assumptions'!$B$19)),'Assumptions'!$B$21+SUM(AU150:AU158)-SUM(AG150:AG158),"")</f>
        <v/>
      </c>
      <c r="BD158" s="137">
        <f>IF(ISNUMBER('Assumptions'!$B$20),'Assumptions'!$B$20+-SUM(AI150:AI158),"")</f>
        <v/>
      </c>
      <c r="BE158" s="137">
        <f>IF(AND(ISNUMBER('Assumptions'!$B$17),COUNT(AV150:AV158)=9),'Assumptions'!$B$17+SUM(AV150:AV158),"")</f>
        <v/>
      </c>
      <c r="BF158" s="137">
        <f>IF(COUNT(AL158,AW158:AY158)=4,SUM(AL158,AW158:AY158),"")</f>
        <v/>
      </c>
      <c r="BG158" s="137">
        <f>IF(COUNT(AZ158:BD158)=5,SUM(AZ158:BD158,AA158),"")</f>
        <v/>
      </c>
      <c r="BH158" s="137">
        <f>IF(COUNT(BF158,BG158,BE158)=3,BF158-BG158-BE158,"")</f>
        <v/>
      </c>
      <c r="BI158" s="137">
        <f>SUM(W158,X158)-Z158-AA158</f>
        <v/>
      </c>
      <c r="BJ158" s="137">
        <f>8-COUNT('Assumptions'!L58:L65)+COUNTBLANK('NM Play'!B33:B34)+'Costs'!E44+IF(AND('Sites'!E6=1,('Sites'!F6)&lt;=12,'Sites'!G6&gt;=1),IF(ISNUMBER('Sites'!O6),0,1)+'Capital'!I6+COUNTBLANK('Sites'!R6)+IF('Sites'!D6="NM crew",COUNTBLANK('NM Play'!B25)+1,5-COUNT('Assumptions'!L112:L116)),0)+IF(AND('Sites'!E7=1,('Sites'!F7+'Cases'!G10)&lt;=12,'Sites'!G7&gt;=1),IF(ISNUMBER('Sites'!O7),0,1)+'Capital'!I7+COUNTBLANK('Sites'!R7)+IF('Sites'!D7="NM crew",COUNTBLANK('NM Play'!B25)+1,5-COUNT('Assumptions'!L117:L121)),0)+IF(AND('Sites'!E8*'Cases'!F10=1,('Sites'!F8+'Cases'!G10)&lt;=12,'Sites'!G8&gt;=1),IF(ISNUMBER('Sites'!O8),0,1)+'Capital'!I8+COUNTBLANK('Sites'!R8)+IF('Sites'!D8="NM crew",COUNTBLANK('NM Play'!B25)+1,5-COUNT('Assumptions'!L122:L126)),0)+IF(AND('Cases'!C10&gt;0,NOT(ISNUMBER('Assumptions'!B42))),1,0)+'Responsibilities'!$B$39</f>
        <v/>
      </c>
      <c r="BK158" s="137">
        <f>'Assumptions'!$B$50+'NM Play'!$B$83+'Funding'!$F$20+SUMIFS('Production schedule'!$AN$438:$AN$545,'Production schedule'!$C$438:$C$545,9)+IF(OR('Cases'!E10&lt;0,'Cases'!E10&gt;1,'Cases'!C10&lt;0,'Cases'!D10&lt;0,ABS(SUM('Sites'!S6:S8)-1)&gt;0.0001,MIN('Capital'!F6:F8)&lt;0,MAX('Capital'!F6:F8)&gt;1,MIN(AX158,AZ158,BB158,BA158)&lt;-0.01),1,0)+'Responsibilities'!$B$40</f>
        <v/>
      </c>
      <c r="BL158" s="137">
        <f>SUMIFS('Production schedule'!$T$438:$T$545,'Production schedule'!$C$438:$C$545,9)</f>
        <v/>
      </c>
      <c r="BM158" s="137">
        <f>D158*'NM Play'!$B$38</f>
        <v/>
      </c>
      <c r="BN158" s="137">
        <f>SUMIFS('Production schedule'!$AM$438:$AM$545,'Production schedule'!$C$438:$C$545,9)</f>
        <v/>
      </c>
      <c r="BO158" s="137">
        <f>AK158-AK157-AJ158</f>
        <v/>
      </c>
      <c r="BP158" s="137">
        <f>IF(AND('Assumptions'!$B$39&gt;=0,'Assumptions'!$B$40&gt;0),-PMT('Assumptions'!$B$39/12,'Assumptions'!$B$40*12,IF('Funding'!$N$11&gt;0,'Funding'!$N$11,'Funding'!$V$11)),"")</f>
        <v/>
      </c>
      <c r="BQ158">
        <f>('Production schedule'!AJ446)*(1-'Responsibilities'!$C$6)+('Production schedule'!AJ482)*(1-'Responsibilities'!$C$7)+('Production schedule'!AJ518)*(1-'Responsibilities'!$C$8)</f>
        <v/>
      </c>
      <c r="BR158">
        <f>('Production schedule'!AI446)*(1-'Responsibilities'!$D$6)+('Production schedule'!AI482)*(1-'Responsibilities'!$D$7)+('Production schedule'!AI518)*(1-'Responsibilities'!$D$8)</f>
        <v/>
      </c>
      <c r="BS158">
        <f>('Production schedule'!E446*(IF('Sites'!D6="Annual staff",SUM('Assumptions'!L112,'Assumptions'!L114),0)+SUM('Assumptions'!L113,'Assumptions'!L115:L116)))*(1-'Responsibilities'!$E$6)+('Production schedule'!E482*(IF('Sites'!D7="Annual staff",SUM('Assumptions'!L117,'Assumptions'!L119),0)+SUM('Assumptions'!L118,'Assumptions'!L120:L121)))*(1-'Responsibilities'!$E$7)+('Production schedule'!E518*(IF('Sites'!D8="Annual staff",SUM('Assumptions'!L122,'Assumptions'!L124),0)+SUM('Assumptions'!L123,'Assumptions'!L125:L126)))*(1-'Responsibilities'!$E$8)</f>
        <v/>
      </c>
      <c r="BT158">
        <f>(IF(AND('Production schedule'!E446=1,9=MAX(('Sites'!F6),1),ISNUMBER('Sites'!O6)),'Sites'!O6*'Assumptions'!$B$44,0))*(1-'Responsibilities'!$F$6)+(IF(AND('Production schedule'!E482=1,9=MAX(('Sites'!F7+'Cases'!G10),1),ISNUMBER('Sites'!O7)),'Sites'!O7*'Assumptions'!$B$44,0))*(1-'Responsibilities'!$F$7)+(IF(AND('Production schedule'!E518=1,9=MAX(('Sites'!F8+'Cases'!G10),1),ISNUMBER('Sites'!O8)),'Sites'!O8*'Assumptions'!$B$44,0))*(1-'Responsibilities'!$F$8)</f>
        <v/>
      </c>
      <c r="BU158">
        <f>SUM('Costs'!E36)*'Costs'!F36/12*(1-'Responsibilities'!$C$12)+SUM('Costs'!E37)*'Costs'!F37/12*(1-'Responsibilities'!$C$13)+SUM('Costs'!E38)*'Costs'!F38/12*(1-'Responsibilities'!$C$14)+SUM('Costs'!E39)*'Costs'!F39/12*(1-'Responsibilities'!$C$15)+SUM('Costs'!E40)*'Costs'!F40/12*(1-'Responsibilities'!$C$16)</f>
        <v/>
      </c>
      <c r="BV158">
        <f>('Sites'!E6*'Capital'!E6*(IF(9='Capital'!G6,'Capital'!F6,0)+IF(9='Capital'!H6,1-'Capital'!F6,0)))*(1-'Responsibilities'!$G$6)+('Sites'!E7*'Capital'!E7*(IF(9='Capital'!G7+'Cases'!G10,'Capital'!F7,0)+IF(9='Capital'!H7+'Cases'!G10,1-'Capital'!F7,0)))*(1-'Responsibilities'!$G$7)+('Sites'!E8*'Cases'!F10*'Capital'!E8*(IF(9='Capital'!G8+'Cases'!G10,'Capital'!F8,0)+IF(9='Capital'!H8+'Cases'!G10,1-'Capital'!F8,0)))*(1-'Responsibilities'!$G$8)</f>
        <v/>
      </c>
      <c r="BW158">
        <f>SUM(BQ158:BV158)</f>
        <v/>
      </c>
      <c r="BX158">
        <f>N158+BW158</f>
        <v/>
      </c>
      <c r="BY158">
        <f>BX158-(('Production schedule'!AJ446)*'Responsibilities'!$C$6+('Production schedule'!AJ482)*'Responsibilities'!$C$7+('Production schedule'!AJ518)*'Responsibilities'!$C$8+('Production schedule'!AJ446)*(1-'Responsibilities'!$C$6)+('Production schedule'!AJ482)*(1-'Responsibilities'!$C$7)+('Production schedule'!AJ518)*(1-'Responsibilities'!$C$8)+('Production schedule'!AI446)*'Responsibilities'!$D$6+('Production schedule'!AI482)*'Responsibilities'!$D$7+('Production schedule'!AI518)*'Responsibilities'!$D$8+('Production schedule'!AI446)*(1-'Responsibilities'!$D$6)+('Production schedule'!AI482)*(1-'Responsibilities'!$D$7)+('Production schedule'!AI518)*(1-'Responsibilities'!$D$8)+('Production schedule'!E446*(IF('Sites'!D6="Annual staff",SUM('Assumptions'!L112,'Assumptions'!L114),0)+SUM('Assumptions'!L113,'Assumptions'!L115:L116)))*'Responsibilities'!$E$6+('Production schedule'!E482*(IF('Sites'!D7="Annual staff",SUM('Assumptions'!L117,'Assumptions'!L119),0)+SUM('Assumptions'!L118,'Assumptions'!L120:L121)))*'Responsibilities'!$E$7+('Production schedule'!E518*(IF('Sites'!D8="Annual staff",SUM('Assumptions'!L122,'Assumptions'!L124),0)+SUM('Assumptions'!L123,'Assumptions'!L125:L126)))*'Responsibilities'!$E$8+('Production schedule'!E446*(IF('Sites'!D6="Annual staff",SUM('Assumptions'!L112,'Assumptions'!L114),0)+SUM('Assumptions'!L113,'Assumptions'!L115:L116)))*(1-'Responsibilities'!$E$6)+('Production schedule'!E482*(IF('Sites'!D7="Annual staff",SUM('Assumptions'!L117,'Assumptions'!L119),0)+SUM('Assumptions'!L118,'Assumptions'!L120:L121)))*(1-'Responsibilities'!$E$7)+('Production schedule'!E518*(IF('Sites'!D8="Annual staff",SUM('Assumptions'!L122,'Assumptions'!L124),0)+SUM('Assumptions'!L123,'Assumptions'!L125:L126)))*(1-'Responsibilities'!$E$8)+(IF(AND('Production schedule'!E446=1,9=MAX(('Sites'!F6),1),ISNUMBER('Sites'!O6)),'Sites'!O6*'Assumptions'!$B$44,0))*'Responsibilities'!$F$6+(IF(AND('Production schedule'!E482=1,9=MAX(('Sites'!F7+'Cases'!G10),1),ISNUMBER('Sites'!O7)),'Sites'!O7*'Assumptions'!$B$44,0))*'Responsibilities'!$F$7+(IF(AND('Production schedule'!E518=1,9=MAX(('Sites'!F8+'Cases'!G10),1),ISNUMBER('Sites'!O8)),'Sites'!O8*'Assumptions'!$B$44,0))*'Responsibilities'!$F$8+(IF(AND('Production schedule'!E446=1,9=MAX(('Sites'!F6),1),ISNUMBER('Sites'!O6)),'Sites'!O6*'Assumptions'!$B$44,0))*(1-'Responsibilities'!$F$6)+(IF(AND('Production schedule'!E482=1,9=MAX(('Sites'!F7+'Cases'!G10),1),ISNUMBER('Sites'!O7)),'Sites'!O7*'Assumptions'!$B$44,0))*(1-'Responsibilities'!$F$7)+(IF(AND('Production schedule'!E518=1,9=MAX(('Sites'!F8+'Cases'!G10),1),ISNUMBER('Sites'!O8)),'Sites'!O8*'Assumptions'!$B$44,0))*(1-'Responsibilities'!$F$8)+('Sites'!E6*'Capital'!E6*(IF(9='Capital'!G6,'Capital'!F6,0)+IF(9='Capital'!H6,1-'Capital'!F6,0)))*'Responsibilities'!$G$6+('Sites'!E7*'Capital'!E7*(IF(9='Capital'!G7+'Cases'!G10,'Capital'!F7,0)+IF(9='Capital'!H7+'Cases'!G10,1-'Capital'!F7,0)))*'Responsibilities'!$G$7+('Sites'!E8*'Cases'!F10*'Capital'!E8*(IF(9='Capital'!G8+'Cases'!G10,'Capital'!F8,0)+IF(9='Capital'!H8+'Cases'!G10,1-'Capital'!F8,0)))*'Responsibilities'!$G$8+('Sites'!E6*'Capital'!E6*(IF(9='Capital'!G6,'Capital'!F6,0)+IF(9='Capital'!H6,1-'Capital'!F6,0)))*(1-'Responsibilities'!$G$6)+('Sites'!E7*'Capital'!E7*(IF(9='Capital'!G7+'Cases'!G10,'Capital'!F7,0)+IF(9='Capital'!H7+'Cases'!G10,1-'Capital'!F7,0)))*(1-'Responsibilities'!$G$7)+('Sites'!E8*'Cases'!F10*'Capital'!E8*(IF(9='Capital'!G8+'Cases'!G10,'Capital'!F8,0)+IF(9='Capital'!H8+'Cases'!G10,1-'Capital'!F8,0)))*(1-'Responsibilities'!$G$8)+I158+SUMPRODUCT('Costs'!$E$36:$E$40,'Costs'!$F$36:$F$40)/12+BZ158)</f>
        <v/>
      </c>
      <c r="BZ158">
        <f>SUMIFS('Responsibilities'!$B$31:$B$35,'Responsibilities'!$C$31:$C$35,9,'Responsibilities'!$D$31:$D$35,"Yes")</f>
        <v/>
      </c>
    </row>
    <row r="159" ht="28" customHeight="1">
      <c r="A159" s="4" t="inlineStr">
        <is>
          <t>Lower sales</t>
        </is>
      </c>
      <c r="B159" s="4" t="n">
        <v>10</v>
      </c>
      <c r="C159" s="4">
        <f>ROUNDUP(B159/12,0)</f>
        <v/>
      </c>
      <c r="D159" s="137">
        <f>SUMIFS('Production schedule'!$N$438:$N$545,'Production schedule'!$C$438:$C$545,10)</f>
        <v/>
      </c>
      <c r="E159" s="137">
        <f>SUMIFS('Production schedule'!$Y$438:$Y$545,'Production schedule'!$C$438:$C$545,10)</f>
        <v/>
      </c>
      <c r="F159" s="137">
        <f>SUMIFS('Production schedule'!$Z$438:$Z$545,'Production schedule'!$C$438:$C$545,10)</f>
        <v/>
      </c>
      <c r="G159" s="137">
        <f>('Production schedule'!AJ447)*'Responsibilities'!$C$6+('Production schedule'!AJ483)*'Responsibilities'!$C$7+('Production schedule'!AJ519)*'Responsibilities'!$C$8</f>
        <v/>
      </c>
      <c r="H159" s="137">
        <f>('Production schedule'!AI447)*'Responsibilities'!$D$6+('Production schedule'!AI483)*'Responsibilities'!$D$7+('Production schedule'!AI519)*'Responsibilities'!$D$8</f>
        <v/>
      </c>
      <c r="I159" s="137">
        <f>SUM('Assumptions'!M58:M65)</f>
        <v/>
      </c>
      <c r="J159" s="137">
        <f>('Production schedule'!E447*(IF('Sites'!D6="Annual staff",SUM('Assumptions'!M112,'Assumptions'!M114),0)+SUM('Assumptions'!M113,'Assumptions'!M115:M116)))*'Responsibilities'!$E$6+('Production schedule'!E483*(IF('Sites'!D7="Annual staff",SUM('Assumptions'!M117,'Assumptions'!M119),0)+SUM('Assumptions'!M118,'Assumptions'!M120:M121)))*'Responsibilities'!$E$7+('Production schedule'!E519*(IF('Sites'!D8="Annual staff",SUM('Assumptions'!M122,'Assumptions'!M124),0)+SUM('Assumptions'!M123,'Assumptions'!M125:M126)))*'Responsibilities'!$E$8</f>
        <v/>
      </c>
      <c r="K159" s="137">
        <f>(IF(AND('Production schedule'!E447=1,10=MAX(('Sites'!F6),1),ISNUMBER('Sites'!O6)),'Sites'!O6*'Assumptions'!$B$44,0))*'Responsibilities'!$F$6+(IF(AND('Production schedule'!E483=1,10=MAX(('Sites'!F7+'Cases'!G10),1),ISNUMBER('Sites'!O7)),'Sites'!O7*'Assumptions'!$B$44,0))*'Responsibilities'!$F$7+(IF(AND('Production schedule'!E519=1,10=MAX(('Sites'!F8+'Cases'!G10),1),ISNUMBER('Sites'!O8)),'Sites'!O8*'Assumptions'!$B$44,0))*'Responsibilities'!$F$8</f>
        <v/>
      </c>
      <c r="L159" s="137">
        <f>SUM('Costs'!E36)*'Costs'!F36/12*'Responsibilities'!$C$12+SUM('Costs'!E37)*'Costs'!F37/12*'Responsibilities'!$C$13+SUM('Costs'!E38)*'Costs'!F38/12*'Responsibilities'!$C$14+SUM('Costs'!E39)*'Costs'!F39/12*'Responsibilities'!$C$15+SUM('Costs'!E40)*'Costs'!F40/12*'Responsibilities'!$C$16+BZ159</f>
        <v/>
      </c>
      <c r="M159" s="137">
        <f>('Sites'!E6*'Capital'!E6*(IF(10='Capital'!G6,'Capital'!F6,0)+IF(10='Capital'!H6,1-'Capital'!F6,0)))*'Responsibilities'!$G$6+('Sites'!E7*'Capital'!E7*(IF(10='Capital'!G7+'Cases'!G10,'Capital'!F7,0)+IF(10='Capital'!H7+'Cases'!G10,1-'Capital'!F7,0)))*'Responsibilities'!$G$7+('Sites'!E8*'Cases'!F10*'Capital'!E8*(IF(10='Capital'!G8+'Cases'!G10,'Capital'!F8,0)+IF(10='Capital'!H8+'Cases'!G10,1-'Capital'!F8,0)))*'Responsibilities'!$G$8</f>
        <v/>
      </c>
      <c r="N159" s="137">
        <f>SUM(G159:M159)</f>
        <v/>
      </c>
      <c r="O159" s="137">
        <f>SUMIFS(FundingTranches[Secured amount],FundingTranches[Instrument],"Grant",FundingTranches[Secured month],10)</f>
        <v/>
      </c>
      <c r="P159" s="137">
        <f>SUMIFS(FundingTranches[Lower sales possible],FundingTranches[Instrument],"Grant",FundingTranches[Scenario month],10-'Cases'!$D$10)</f>
        <v/>
      </c>
      <c r="Q159" s="137">
        <f>SUMIFS(FundingTranches[Secured amount],FundingTranches[Instrument],"Loan",FundingTranches[Secured month],10)</f>
        <v/>
      </c>
      <c r="R159" s="137">
        <f>SUMIFS(FundingTranches[Lower sales possible],FundingTranches[Instrument],"Loan",FundingTranches[Scenario month],10-'Cases'!$D$10)</f>
        <v/>
      </c>
      <c r="S159" s="137">
        <f>IF(10&lt;='Assumptions'!$B$34,0,SUMIFS('Production schedule'!$AL$438:$AL$545,'Production schedule'!$C$438:$C$545,10-'Assumptions'!$B$34))</f>
        <v/>
      </c>
      <c r="T159" s="137">
        <f>'Assumptions'!M70</f>
        <v/>
      </c>
      <c r="U159" s="137">
        <f>'Assumptions'!M78</f>
        <v/>
      </c>
      <c r="V159" s="137">
        <f>SUM(O159:U159)</f>
        <v/>
      </c>
      <c r="W159" s="137">
        <f>AA158</f>
        <v/>
      </c>
      <c r="X159" s="137">
        <f>SUM(Q159:R159)</f>
        <v/>
      </c>
      <c r="Y159" s="137">
        <f>SUM(W159,X159)*'Assumptions'!$B$39/12</f>
        <v/>
      </c>
      <c r="Z159" s="137">
        <f>IF(SUM(W159,X159)&gt;0,MIN(SUM(W159,X159),MAX(0,BP159-Y159)),0)</f>
        <v/>
      </c>
      <c r="AA159" s="137">
        <f>SUM(W159,X159)-Z159</f>
        <v/>
      </c>
      <c r="AB159" s="137">
        <f>SUM(Y159:Z159)</f>
        <v/>
      </c>
      <c r="AC159" s="137">
        <f>'Assumptions'!M72</f>
        <v/>
      </c>
      <c r="AD159" s="137">
        <f>'Assumptions'!M73</f>
        <v/>
      </c>
      <c r="AE159" s="137">
        <f>IF(X159&gt;0,SUM('Assumptions'!$B$42),0)</f>
        <v/>
      </c>
      <c r="AF159" s="137">
        <f>'Assumptions'!M71</f>
        <v/>
      </c>
      <c r="AG159" s="137">
        <f>'Assumptions'!M74</f>
        <v/>
      </c>
      <c r="AH159" s="137">
        <f>'Assumptions'!M75</f>
        <v/>
      </c>
      <c r="AI159" s="137">
        <f>'Assumptions'!M77</f>
        <v/>
      </c>
      <c r="AJ159" s="137">
        <f>V159-N159-SUM(AB159:AI159)</f>
        <v/>
      </c>
      <c r="AK159" s="137">
        <f>SUM(AJ150:AJ159)</f>
        <v/>
      </c>
      <c r="AL159" s="137">
        <f>IF(ISNUMBER('Assumptions'!$B$10),'Assumptions'!$B$10+AK159,"")</f>
        <v/>
      </c>
      <c r="AM159" s="137">
        <f>SUM(O159,Q159,T159)-N159-SUM(AC159:AI159)+IF('Funding'!$N$11=0,AE159,0)-IF('Funding'!$N$11&gt;0,AB159,0)</f>
        <v/>
      </c>
      <c r="AN159" s="137">
        <f>SUM(AM150:AM159)</f>
        <v/>
      </c>
      <c r="AO159" s="137">
        <f>IF(ISNUMBER('Assumptions'!$B$10),'Assumptions'!$B$10+AN159,"")</f>
        <v/>
      </c>
      <c r="AP159" s="137">
        <f>('Production schedule'!AK447)*'Responsibilities'!$C$6+('Production schedule'!AK483)*'Responsibilities'!$C$7+('Production schedule'!AK519)*'Responsibilities'!$C$8</f>
        <v/>
      </c>
      <c r="AQ159" s="137">
        <f>SUMIFS('Production schedule'!$AL$438:$AL$545,'Production schedule'!$C$438:$C$545,10)</f>
        <v/>
      </c>
      <c r="AR159" s="137">
        <f>IF(ISNUMBER('Assumptions'!M76),'Assumptions'!M76,SUM(O159:P159))</f>
        <v/>
      </c>
      <c r="AS159" s="137">
        <f>IF(ISNUMBER('Assumptions'!$B$13),MIN('Assumptions'!$B$13/'Assumptions'!$B$18/12,MAX(0,'Assumptions'!$B$13-(10-1)*'Assumptions'!$B$13/'Assumptions'!$B$18/12)),0)+IF(AND('Sites'!E6=1,10&gt;=('Sites'!F6),10&lt;('Sites'!F6)+'Assumptions'!$B$18*12),'Capital'!E6/'Assumptions'!$B$18/12,0)+IF(AND('Sites'!E7=1,10&gt;=('Sites'!F7+'Cases'!G10),10&lt;('Sites'!F7+'Cases'!G10)+'Assumptions'!$B$18*12),'Capital'!E7/'Assumptions'!$B$18/12,0)+IF(AND('Sites'!E8*'Cases'!F10=1,10&gt;=('Sites'!F8+'Cases'!G10),10&lt;('Sites'!F8+'Cases'!G10)+'Assumptions'!$B$18*12),'Capital'!E8/'Assumptions'!$B$18/12,0)</f>
        <v/>
      </c>
      <c r="AT159" s="137">
        <f>SUM(AQ159,AR159,U159)-AP159-SUM(H159:L159)-AS159-SUM(Y159,AD159,AE159,AH159)</f>
        <v/>
      </c>
      <c r="AU159" s="137">
        <f>IF(ISNUMBER('Assumptions'!$B$19),MAX(0,SUM(AT150:AT159))*'Assumptions'!$B$19-SUM(AU150:AU158),"")</f>
        <v/>
      </c>
      <c r="AV159" s="137">
        <f>IF(ISNUMBER(AU159),AT159-AU159,"")</f>
        <v/>
      </c>
      <c r="AW159" s="137">
        <f>IF(ISNUMBER('Assumptions'!$B$11),'Assumptions'!$B$11+SUM(AQ150:AQ159)-SUM(S150:S159)-SUM(T150:T159),"")</f>
        <v/>
      </c>
      <c r="AX159" s="137">
        <f>IF(ISNUMBER('Assumptions'!$B$12),'Assumptions'!$B$12+SUM(G150:G159)-SUM(AP150:AP159),"")</f>
        <v/>
      </c>
      <c r="AY159" s="137">
        <f>IF(ISNUMBER('Assumptions'!$B$13),'Assumptions'!$B$13+SUM(M150:M159)-SUM(AS150:AS159),"")</f>
        <v/>
      </c>
      <c r="AZ159" s="137">
        <f>IF(ISNUMBER('Assumptions'!$B$14),'Assumptions'!$B$14+-SUM(AF150:AF159),"")</f>
        <v/>
      </c>
      <c r="BA159" s="137">
        <f>IF(ISNUMBER('Assumptions'!$B$15),'Assumptions'!$B$15+SUM(O150:O159)+SUM(P150:P159)-SUM(AR150:AR159),"")</f>
        <v/>
      </c>
      <c r="BB159" s="137">
        <f>IF(ISNUMBER('Assumptions'!$B$16),'Assumptions'!$B$16+-SUM(AC150:AC159),"")</f>
        <v/>
      </c>
      <c r="BC159" s="137">
        <f>IF(AND(ISNUMBER('Assumptions'!$B$21),ISNUMBER('Assumptions'!$B$19)),'Assumptions'!$B$21+SUM(AU150:AU159)-SUM(AG150:AG159),"")</f>
        <v/>
      </c>
      <c r="BD159" s="137">
        <f>IF(ISNUMBER('Assumptions'!$B$20),'Assumptions'!$B$20+-SUM(AI150:AI159),"")</f>
        <v/>
      </c>
      <c r="BE159" s="137">
        <f>IF(AND(ISNUMBER('Assumptions'!$B$17),COUNT(AV150:AV159)=10),'Assumptions'!$B$17+SUM(AV150:AV159),"")</f>
        <v/>
      </c>
      <c r="BF159" s="137">
        <f>IF(COUNT(AL159,AW159:AY159)=4,SUM(AL159,AW159:AY159),"")</f>
        <v/>
      </c>
      <c r="BG159" s="137">
        <f>IF(COUNT(AZ159:BD159)=5,SUM(AZ159:BD159,AA159),"")</f>
        <v/>
      </c>
      <c r="BH159" s="137">
        <f>IF(COUNT(BF159,BG159,BE159)=3,BF159-BG159-BE159,"")</f>
        <v/>
      </c>
      <c r="BI159" s="137">
        <f>SUM(W159,X159)-Z159-AA159</f>
        <v/>
      </c>
      <c r="BJ159" s="137">
        <f>8-COUNT('Assumptions'!M58:M65)+COUNTBLANK('NM Play'!B33:B34)+'Costs'!E44+IF(AND('Sites'!E6=1,('Sites'!F6)&lt;=12,'Sites'!G6&gt;=1),IF(ISNUMBER('Sites'!O6),0,1)+'Capital'!I6+COUNTBLANK('Sites'!R6)+IF('Sites'!D6="NM crew",COUNTBLANK('NM Play'!B25)+1,5-COUNT('Assumptions'!M112:M116)),0)+IF(AND('Sites'!E7=1,('Sites'!F7+'Cases'!G10)&lt;=12,'Sites'!G7&gt;=1),IF(ISNUMBER('Sites'!O7),0,1)+'Capital'!I7+COUNTBLANK('Sites'!R7)+IF('Sites'!D7="NM crew",COUNTBLANK('NM Play'!B25)+1,5-COUNT('Assumptions'!M117:M121)),0)+IF(AND('Sites'!E8*'Cases'!F10=1,('Sites'!F8+'Cases'!G10)&lt;=12,'Sites'!G8&gt;=1),IF(ISNUMBER('Sites'!O8),0,1)+'Capital'!I8+COUNTBLANK('Sites'!R8)+IF('Sites'!D8="NM crew",COUNTBLANK('NM Play'!B25)+1,5-COUNT('Assumptions'!M122:M126)),0)+IF(AND('Cases'!C10&gt;0,NOT(ISNUMBER('Assumptions'!B42))),1,0)+'Responsibilities'!$B$39</f>
        <v/>
      </c>
      <c r="BK159" s="137">
        <f>'Assumptions'!$B$50+'NM Play'!$B$83+'Funding'!$F$20+SUMIFS('Production schedule'!$AN$438:$AN$545,'Production schedule'!$C$438:$C$545,10)+IF(OR('Cases'!E10&lt;0,'Cases'!E10&gt;1,'Cases'!C10&lt;0,'Cases'!D10&lt;0,ABS(SUM('Sites'!S6:S8)-1)&gt;0.0001,MIN('Capital'!F6:F8)&lt;0,MAX('Capital'!F6:F8)&gt;1,MIN(AX159,AZ159,BB159,BA159)&lt;-0.01),1,0)+'Responsibilities'!$B$40</f>
        <v/>
      </c>
      <c r="BL159" s="137">
        <f>SUMIFS('Production schedule'!$T$438:$T$545,'Production schedule'!$C$438:$C$545,10)</f>
        <v/>
      </c>
      <c r="BM159" s="137">
        <f>D159*'NM Play'!$B$38</f>
        <v/>
      </c>
      <c r="BN159" s="137">
        <f>SUMIFS('Production schedule'!$AM$438:$AM$545,'Production schedule'!$C$438:$C$545,10)</f>
        <v/>
      </c>
      <c r="BO159" s="137">
        <f>AK159-AK158-AJ159</f>
        <v/>
      </c>
      <c r="BP159" s="137">
        <f>IF(AND('Assumptions'!$B$39&gt;=0,'Assumptions'!$B$40&gt;0),-PMT('Assumptions'!$B$39/12,'Assumptions'!$B$40*12,IF('Funding'!$N$11&gt;0,'Funding'!$N$11,'Funding'!$V$11)),"")</f>
        <v/>
      </c>
      <c r="BQ159">
        <f>('Production schedule'!AJ447)*(1-'Responsibilities'!$C$6)+('Production schedule'!AJ483)*(1-'Responsibilities'!$C$7)+('Production schedule'!AJ519)*(1-'Responsibilities'!$C$8)</f>
        <v/>
      </c>
      <c r="BR159">
        <f>('Production schedule'!AI447)*(1-'Responsibilities'!$D$6)+('Production schedule'!AI483)*(1-'Responsibilities'!$D$7)+('Production schedule'!AI519)*(1-'Responsibilities'!$D$8)</f>
        <v/>
      </c>
      <c r="BS159">
        <f>('Production schedule'!E447*(IF('Sites'!D6="Annual staff",SUM('Assumptions'!M112,'Assumptions'!M114),0)+SUM('Assumptions'!M113,'Assumptions'!M115:M116)))*(1-'Responsibilities'!$E$6)+('Production schedule'!E483*(IF('Sites'!D7="Annual staff",SUM('Assumptions'!M117,'Assumptions'!M119),0)+SUM('Assumptions'!M118,'Assumptions'!M120:M121)))*(1-'Responsibilities'!$E$7)+('Production schedule'!E519*(IF('Sites'!D8="Annual staff",SUM('Assumptions'!M122,'Assumptions'!M124),0)+SUM('Assumptions'!M123,'Assumptions'!M125:M126)))*(1-'Responsibilities'!$E$8)</f>
        <v/>
      </c>
      <c r="BT159">
        <f>(IF(AND('Production schedule'!E447=1,10=MAX(('Sites'!F6),1),ISNUMBER('Sites'!O6)),'Sites'!O6*'Assumptions'!$B$44,0))*(1-'Responsibilities'!$F$6)+(IF(AND('Production schedule'!E483=1,10=MAX(('Sites'!F7+'Cases'!G10),1),ISNUMBER('Sites'!O7)),'Sites'!O7*'Assumptions'!$B$44,0))*(1-'Responsibilities'!$F$7)+(IF(AND('Production schedule'!E519=1,10=MAX(('Sites'!F8+'Cases'!G10),1),ISNUMBER('Sites'!O8)),'Sites'!O8*'Assumptions'!$B$44,0))*(1-'Responsibilities'!$F$8)</f>
        <v/>
      </c>
      <c r="BU159">
        <f>SUM('Costs'!E36)*'Costs'!F36/12*(1-'Responsibilities'!$C$12)+SUM('Costs'!E37)*'Costs'!F37/12*(1-'Responsibilities'!$C$13)+SUM('Costs'!E38)*'Costs'!F38/12*(1-'Responsibilities'!$C$14)+SUM('Costs'!E39)*'Costs'!F39/12*(1-'Responsibilities'!$C$15)+SUM('Costs'!E40)*'Costs'!F40/12*(1-'Responsibilities'!$C$16)</f>
        <v/>
      </c>
      <c r="BV159">
        <f>('Sites'!E6*'Capital'!E6*(IF(10='Capital'!G6,'Capital'!F6,0)+IF(10='Capital'!H6,1-'Capital'!F6,0)))*(1-'Responsibilities'!$G$6)+('Sites'!E7*'Capital'!E7*(IF(10='Capital'!G7+'Cases'!G10,'Capital'!F7,0)+IF(10='Capital'!H7+'Cases'!G10,1-'Capital'!F7,0)))*(1-'Responsibilities'!$G$7)+('Sites'!E8*'Cases'!F10*'Capital'!E8*(IF(10='Capital'!G8+'Cases'!G10,'Capital'!F8,0)+IF(10='Capital'!H8+'Cases'!G10,1-'Capital'!F8,0)))*(1-'Responsibilities'!$G$8)</f>
        <v/>
      </c>
      <c r="BW159">
        <f>SUM(BQ159:BV159)</f>
        <v/>
      </c>
      <c r="BX159">
        <f>N159+BW159</f>
        <v/>
      </c>
      <c r="BY159">
        <f>BX159-(('Production schedule'!AJ447)*'Responsibilities'!$C$6+('Production schedule'!AJ483)*'Responsibilities'!$C$7+('Production schedule'!AJ519)*'Responsibilities'!$C$8+('Production schedule'!AJ447)*(1-'Responsibilities'!$C$6)+('Production schedule'!AJ483)*(1-'Responsibilities'!$C$7)+('Production schedule'!AJ519)*(1-'Responsibilities'!$C$8)+('Production schedule'!AI447)*'Responsibilities'!$D$6+('Production schedule'!AI483)*'Responsibilities'!$D$7+('Production schedule'!AI519)*'Responsibilities'!$D$8+('Production schedule'!AI447)*(1-'Responsibilities'!$D$6)+('Production schedule'!AI483)*(1-'Responsibilities'!$D$7)+('Production schedule'!AI519)*(1-'Responsibilities'!$D$8)+('Production schedule'!E447*(IF('Sites'!D6="Annual staff",SUM('Assumptions'!M112,'Assumptions'!M114),0)+SUM('Assumptions'!M113,'Assumptions'!M115:M116)))*'Responsibilities'!$E$6+('Production schedule'!E483*(IF('Sites'!D7="Annual staff",SUM('Assumptions'!M117,'Assumptions'!M119),0)+SUM('Assumptions'!M118,'Assumptions'!M120:M121)))*'Responsibilities'!$E$7+('Production schedule'!E519*(IF('Sites'!D8="Annual staff",SUM('Assumptions'!M122,'Assumptions'!M124),0)+SUM('Assumptions'!M123,'Assumptions'!M125:M126)))*'Responsibilities'!$E$8+('Production schedule'!E447*(IF('Sites'!D6="Annual staff",SUM('Assumptions'!M112,'Assumptions'!M114),0)+SUM('Assumptions'!M113,'Assumptions'!M115:M116)))*(1-'Responsibilities'!$E$6)+('Production schedule'!E483*(IF('Sites'!D7="Annual staff",SUM('Assumptions'!M117,'Assumptions'!M119),0)+SUM('Assumptions'!M118,'Assumptions'!M120:M121)))*(1-'Responsibilities'!$E$7)+('Production schedule'!E519*(IF('Sites'!D8="Annual staff",SUM('Assumptions'!M122,'Assumptions'!M124),0)+SUM('Assumptions'!M123,'Assumptions'!M125:M126)))*(1-'Responsibilities'!$E$8)+(IF(AND('Production schedule'!E447=1,10=MAX(('Sites'!F6),1),ISNUMBER('Sites'!O6)),'Sites'!O6*'Assumptions'!$B$44,0))*'Responsibilities'!$F$6+(IF(AND('Production schedule'!E483=1,10=MAX(('Sites'!F7+'Cases'!G10),1),ISNUMBER('Sites'!O7)),'Sites'!O7*'Assumptions'!$B$44,0))*'Responsibilities'!$F$7+(IF(AND('Production schedule'!E519=1,10=MAX(('Sites'!F8+'Cases'!G10),1),ISNUMBER('Sites'!O8)),'Sites'!O8*'Assumptions'!$B$44,0))*'Responsibilities'!$F$8+(IF(AND('Production schedule'!E447=1,10=MAX(('Sites'!F6),1),ISNUMBER('Sites'!O6)),'Sites'!O6*'Assumptions'!$B$44,0))*(1-'Responsibilities'!$F$6)+(IF(AND('Production schedule'!E483=1,10=MAX(('Sites'!F7+'Cases'!G10),1),ISNUMBER('Sites'!O7)),'Sites'!O7*'Assumptions'!$B$44,0))*(1-'Responsibilities'!$F$7)+(IF(AND('Production schedule'!E519=1,10=MAX(('Sites'!F8+'Cases'!G10),1),ISNUMBER('Sites'!O8)),'Sites'!O8*'Assumptions'!$B$44,0))*(1-'Responsibilities'!$F$8)+('Sites'!E6*'Capital'!E6*(IF(10='Capital'!G6,'Capital'!F6,0)+IF(10='Capital'!H6,1-'Capital'!F6,0)))*'Responsibilities'!$G$6+('Sites'!E7*'Capital'!E7*(IF(10='Capital'!G7+'Cases'!G10,'Capital'!F7,0)+IF(10='Capital'!H7+'Cases'!G10,1-'Capital'!F7,0)))*'Responsibilities'!$G$7+('Sites'!E8*'Cases'!F10*'Capital'!E8*(IF(10='Capital'!G8+'Cases'!G10,'Capital'!F8,0)+IF(10='Capital'!H8+'Cases'!G10,1-'Capital'!F8,0)))*'Responsibilities'!$G$8+('Sites'!E6*'Capital'!E6*(IF(10='Capital'!G6,'Capital'!F6,0)+IF(10='Capital'!H6,1-'Capital'!F6,0)))*(1-'Responsibilities'!$G$6)+('Sites'!E7*'Capital'!E7*(IF(10='Capital'!G7+'Cases'!G10,'Capital'!F7,0)+IF(10='Capital'!H7+'Cases'!G10,1-'Capital'!F7,0)))*(1-'Responsibilities'!$G$7)+('Sites'!E8*'Cases'!F10*'Capital'!E8*(IF(10='Capital'!G8+'Cases'!G10,'Capital'!F8,0)+IF(10='Capital'!H8+'Cases'!G10,1-'Capital'!F8,0)))*(1-'Responsibilities'!$G$8)+I159+SUMPRODUCT('Costs'!$E$36:$E$40,'Costs'!$F$36:$F$40)/12+BZ159)</f>
        <v/>
      </c>
      <c r="BZ159">
        <f>SUMIFS('Responsibilities'!$B$31:$B$35,'Responsibilities'!$C$31:$C$35,10,'Responsibilities'!$D$31:$D$35,"Yes")</f>
        <v/>
      </c>
    </row>
    <row r="160" ht="28" customHeight="1">
      <c r="A160" s="4" t="inlineStr">
        <is>
          <t>Lower sales</t>
        </is>
      </c>
      <c r="B160" s="4" t="n">
        <v>11</v>
      </c>
      <c r="C160" s="4">
        <f>ROUNDUP(B160/12,0)</f>
        <v/>
      </c>
      <c r="D160" s="137">
        <f>SUMIFS('Production schedule'!$N$438:$N$545,'Production schedule'!$C$438:$C$545,11)</f>
        <v/>
      </c>
      <c r="E160" s="137">
        <f>SUMIFS('Production schedule'!$Y$438:$Y$545,'Production schedule'!$C$438:$C$545,11)</f>
        <v/>
      </c>
      <c r="F160" s="137">
        <f>SUMIFS('Production schedule'!$Z$438:$Z$545,'Production schedule'!$C$438:$C$545,11)</f>
        <v/>
      </c>
      <c r="G160" s="137">
        <f>('Production schedule'!AJ448)*'Responsibilities'!$C$6+('Production schedule'!AJ484)*'Responsibilities'!$C$7+('Production schedule'!AJ520)*'Responsibilities'!$C$8</f>
        <v/>
      </c>
      <c r="H160" s="137">
        <f>('Production schedule'!AI448)*'Responsibilities'!$D$6+('Production schedule'!AI484)*'Responsibilities'!$D$7+('Production schedule'!AI520)*'Responsibilities'!$D$8</f>
        <v/>
      </c>
      <c r="I160" s="137">
        <f>SUM('Assumptions'!N58:N65)</f>
        <v/>
      </c>
      <c r="J160" s="137">
        <f>('Production schedule'!E448*(IF('Sites'!D6="Annual staff",SUM('Assumptions'!N112,'Assumptions'!N114),0)+SUM('Assumptions'!N113,'Assumptions'!N115:N116)))*'Responsibilities'!$E$6+('Production schedule'!E484*(IF('Sites'!D7="Annual staff",SUM('Assumptions'!N117,'Assumptions'!N119),0)+SUM('Assumptions'!N118,'Assumptions'!N120:N121)))*'Responsibilities'!$E$7+('Production schedule'!E520*(IF('Sites'!D8="Annual staff",SUM('Assumptions'!N122,'Assumptions'!N124),0)+SUM('Assumptions'!N123,'Assumptions'!N125:N126)))*'Responsibilities'!$E$8</f>
        <v/>
      </c>
      <c r="K160" s="137">
        <f>(IF(AND('Production schedule'!E448=1,11=MAX(('Sites'!F6),1),ISNUMBER('Sites'!O6)),'Sites'!O6*'Assumptions'!$B$44,0))*'Responsibilities'!$F$6+(IF(AND('Production schedule'!E484=1,11=MAX(('Sites'!F7+'Cases'!G10),1),ISNUMBER('Sites'!O7)),'Sites'!O7*'Assumptions'!$B$44,0))*'Responsibilities'!$F$7+(IF(AND('Production schedule'!E520=1,11=MAX(('Sites'!F8+'Cases'!G10),1),ISNUMBER('Sites'!O8)),'Sites'!O8*'Assumptions'!$B$44,0))*'Responsibilities'!$F$8</f>
        <v/>
      </c>
      <c r="L160" s="137">
        <f>SUM('Costs'!E36)*'Costs'!F36/12*'Responsibilities'!$C$12+SUM('Costs'!E37)*'Costs'!F37/12*'Responsibilities'!$C$13+SUM('Costs'!E38)*'Costs'!F38/12*'Responsibilities'!$C$14+SUM('Costs'!E39)*'Costs'!F39/12*'Responsibilities'!$C$15+SUM('Costs'!E40)*'Costs'!F40/12*'Responsibilities'!$C$16+BZ160</f>
        <v/>
      </c>
      <c r="M160" s="137">
        <f>('Sites'!E6*'Capital'!E6*(IF(11='Capital'!G6,'Capital'!F6,0)+IF(11='Capital'!H6,1-'Capital'!F6,0)))*'Responsibilities'!$G$6+('Sites'!E7*'Capital'!E7*(IF(11='Capital'!G7+'Cases'!G10,'Capital'!F7,0)+IF(11='Capital'!H7+'Cases'!G10,1-'Capital'!F7,0)))*'Responsibilities'!$G$7+('Sites'!E8*'Cases'!F10*'Capital'!E8*(IF(11='Capital'!G8+'Cases'!G10,'Capital'!F8,0)+IF(11='Capital'!H8+'Cases'!G10,1-'Capital'!F8,0)))*'Responsibilities'!$G$8</f>
        <v/>
      </c>
      <c r="N160" s="137">
        <f>SUM(G160:M160)</f>
        <v/>
      </c>
      <c r="O160" s="137">
        <f>SUMIFS(FundingTranches[Secured amount],FundingTranches[Instrument],"Grant",FundingTranches[Secured month],11)</f>
        <v/>
      </c>
      <c r="P160" s="137">
        <f>SUMIFS(FundingTranches[Lower sales possible],FundingTranches[Instrument],"Grant",FundingTranches[Scenario month],11-'Cases'!$D$10)</f>
        <v/>
      </c>
      <c r="Q160" s="137">
        <f>SUMIFS(FundingTranches[Secured amount],FundingTranches[Instrument],"Loan",FundingTranches[Secured month],11)</f>
        <v/>
      </c>
      <c r="R160" s="137">
        <f>SUMIFS(FundingTranches[Lower sales possible],FundingTranches[Instrument],"Loan",FundingTranches[Scenario month],11-'Cases'!$D$10)</f>
        <v/>
      </c>
      <c r="S160" s="137">
        <f>IF(11&lt;='Assumptions'!$B$34,0,SUMIFS('Production schedule'!$AL$438:$AL$545,'Production schedule'!$C$438:$C$545,11-'Assumptions'!$B$34))</f>
        <v/>
      </c>
      <c r="T160" s="137">
        <f>'Assumptions'!N70</f>
        <v/>
      </c>
      <c r="U160" s="137">
        <f>'Assumptions'!N78</f>
        <v/>
      </c>
      <c r="V160" s="137">
        <f>SUM(O160:U160)</f>
        <v/>
      </c>
      <c r="W160" s="137">
        <f>AA159</f>
        <v/>
      </c>
      <c r="X160" s="137">
        <f>SUM(Q160:R160)</f>
        <v/>
      </c>
      <c r="Y160" s="137">
        <f>SUM(W160,X160)*'Assumptions'!$B$39/12</f>
        <v/>
      </c>
      <c r="Z160" s="137">
        <f>IF(SUM(W160,X160)&gt;0,MIN(SUM(W160,X160),MAX(0,BP160-Y160)),0)</f>
        <v/>
      </c>
      <c r="AA160" s="137">
        <f>SUM(W160,X160)-Z160</f>
        <v/>
      </c>
      <c r="AB160" s="137">
        <f>SUM(Y160:Z160)</f>
        <v/>
      </c>
      <c r="AC160" s="137">
        <f>'Assumptions'!N72</f>
        <v/>
      </c>
      <c r="AD160" s="137">
        <f>'Assumptions'!N73</f>
        <v/>
      </c>
      <c r="AE160" s="137">
        <f>IF(X160&gt;0,SUM('Assumptions'!$B$42),0)</f>
        <v/>
      </c>
      <c r="AF160" s="137">
        <f>'Assumptions'!N71</f>
        <v/>
      </c>
      <c r="AG160" s="137">
        <f>'Assumptions'!N74</f>
        <v/>
      </c>
      <c r="AH160" s="137">
        <f>'Assumptions'!N75</f>
        <v/>
      </c>
      <c r="AI160" s="137">
        <f>'Assumptions'!N77</f>
        <v/>
      </c>
      <c r="AJ160" s="137">
        <f>V160-N160-SUM(AB160:AI160)</f>
        <v/>
      </c>
      <c r="AK160" s="137">
        <f>SUM(AJ150:AJ160)</f>
        <v/>
      </c>
      <c r="AL160" s="137">
        <f>IF(ISNUMBER('Assumptions'!$B$10),'Assumptions'!$B$10+AK160,"")</f>
        <v/>
      </c>
      <c r="AM160" s="137">
        <f>SUM(O160,Q160,T160)-N160-SUM(AC160:AI160)+IF('Funding'!$N$11=0,AE160,0)-IF('Funding'!$N$11&gt;0,AB160,0)</f>
        <v/>
      </c>
      <c r="AN160" s="137">
        <f>SUM(AM150:AM160)</f>
        <v/>
      </c>
      <c r="AO160" s="137">
        <f>IF(ISNUMBER('Assumptions'!$B$10),'Assumptions'!$B$10+AN160,"")</f>
        <v/>
      </c>
      <c r="AP160" s="137">
        <f>('Production schedule'!AK448)*'Responsibilities'!$C$6+('Production schedule'!AK484)*'Responsibilities'!$C$7+('Production schedule'!AK520)*'Responsibilities'!$C$8</f>
        <v/>
      </c>
      <c r="AQ160" s="137">
        <f>SUMIFS('Production schedule'!$AL$438:$AL$545,'Production schedule'!$C$438:$C$545,11)</f>
        <v/>
      </c>
      <c r="AR160" s="137">
        <f>IF(ISNUMBER('Assumptions'!N76),'Assumptions'!N76,SUM(O160:P160))</f>
        <v/>
      </c>
      <c r="AS160" s="137">
        <f>IF(ISNUMBER('Assumptions'!$B$13),MIN('Assumptions'!$B$13/'Assumptions'!$B$18/12,MAX(0,'Assumptions'!$B$13-(11-1)*'Assumptions'!$B$13/'Assumptions'!$B$18/12)),0)+IF(AND('Sites'!E6=1,11&gt;=('Sites'!F6),11&lt;('Sites'!F6)+'Assumptions'!$B$18*12),'Capital'!E6/'Assumptions'!$B$18/12,0)+IF(AND('Sites'!E7=1,11&gt;=('Sites'!F7+'Cases'!G10),11&lt;('Sites'!F7+'Cases'!G10)+'Assumptions'!$B$18*12),'Capital'!E7/'Assumptions'!$B$18/12,0)+IF(AND('Sites'!E8*'Cases'!F10=1,11&gt;=('Sites'!F8+'Cases'!G10),11&lt;('Sites'!F8+'Cases'!G10)+'Assumptions'!$B$18*12),'Capital'!E8/'Assumptions'!$B$18/12,0)</f>
        <v/>
      </c>
      <c r="AT160" s="137">
        <f>SUM(AQ160,AR160,U160)-AP160-SUM(H160:L160)-AS160-SUM(Y160,AD160,AE160,AH160)</f>
        <v/>
      </c>
      <c r="AU160" s="137">
        <f>IF(ISNUMBER('Assumptions'!$B$19),MAX(0,SUM(AT150:AT160))*'Assumptions'!$B$19-SUM(AU150:AU159),"")</f>
        <v/>
      </c>
      <c r="AV160" s="137">
        <f>IF(ISNUMBER(AU160),AT160-AU160,"")</f>
        <v/>
      </c>
      <c r="AW160" s="137">
        <f>IF(ISNUMBER('Assumptions'!$B$11),'Assumptions'!$B$11+SUM(AQ150:AQ160)-SUM(S150:S160)-SUM(T150:T160),"")</f>
        <v/>
      </c>
      <c r="AX160" s="137">
        <f>IF(ISNUMBER('Assumptions'!$B$12),'Assumptions'!$B$12+SUM(G150:G160)-SUM(AP150:AP160),"")</f>
        <v/>
      </c>
      <c r="AY160" s="137">
        <f>IF(ISNUMBER('Assumptions'!$B$13),'Assumptions'!$B$13+SUM(M150:M160)-SUM(AS150:AS160),"")</f>
        <v/>
      </c>
      <c r="AZ160" s="137">
        <f>IF(ISNUMBER('Assumptions'!$B$14),'Assumptions'!$B$14+-SUM(AF150:AF160),"")</f>
        <v/>
      </c>
      <c r="BA160" s="137">
        <f>IF(ISNUMBER('Assumptions'!$B$15),'Assumptions'!$B$15+SUM(O150:O160)+SUM(P150:P160)-SUM(AR150:AR160),"")</f>
        <v/>
      </c>
      <c r="BB160" s="137">
        <f>IF(ISNUMBER('Assumptions'!$B$16),'Assumptions'!$B$16+-SUM(AC150:AC160),"")</f>
        <v/>
      </c>
      <c r="BC160" s="137">
        <f>IF(AND(ISNUMBER('Assumptions'!$B$21),ISNUMBER('Assumptions'!$B$19)),'Assumptions'!$B$21+SUM(AU150:AU160)-SUM(AG150:AG160),"")</f>
        <v/>
      </c>
      <c r="BD160" s="137">
        <f>IF(ISNUMBER('Assumptions'!$B$20),'Assumptions'!$B$20+-SUM(AI150:AI160),"")</f>
        <v/>
      </c>
      <c r="BE160" s="137">
        <f>IF(AND(ISNUMBER('Assumptions'!$B$17),COUNT(AV150:AV160)=11),'Assumptions'!$B$17+SUM(AV150:AV160),"")</f>
        <v/>
      </c>
      <c r="BF160" s="137">
        <f>IF(COUNT(AL160,AW160:AY160)=4,SUM(AL160,AW160:AY160),"")</f>
        <v/>
      </c>
      <c r="BG160" s="137">
        <f>IF(COUNT(AZ160:BD160)=5,SUM(AZ160:BD160,AA160),"")</f>
        <v/>
      </c>
      <c r="BH160" s="137">
        <f>IF(COUNT(BF160,BG160,BE160)=3,BF160-BG160-BE160,"")</f>
        <v/>
      </c>
      <c r="BI160" s="137">
        <f>SUM(W160,X160)-Z160-AA160</f>
        <v/>
      </c>
      <c r="BJ160" s="137">
        <f>8-COUNT('Assumptions'!N58:N65)+COUNTBLANK('NM Play'!B33:B34)+'Costs'!E44+IF(AND('Sites'!E6=1,('Sites'!F6)&lt;=12,'Sites'!G6&gt;=1),IF(ISNUMBER('Sites'!O6),0,1)+'Capital'!I6+COUNTBLANK('Sites'!R6)+IF('Sites'!D6="NM crew",COUNTBLANK('NM Play'!B25)+1,5-COUNT('Assumptions'!N112:N116)),0)+IF(AND('Sites'!E7=1,('Sites'!F7+'Cases'!G10)&lt;=12,'Sites'!G7&gt;=1),IF(ISNUMBER('Sites'!O7),0,1)+'Capital'!I7+COUNTBLANK('Sites'!R7)+IF('Sites'!D7="NM crew",COUNTBLANK('NM Play'!B25)+1,5-COUNT('Assumptions'!N117:N121)),0)+IF(AND('Sites'!E8*'Cases'!F10=1,('Sites'!F8+'Cases'!G10)&lt;=12,'Sites'!G8&gt;=1),IF(ISNUMBER('Sites'!O8),0,1)+'Capital'!I8+COUNTBLANK('Sites'!R8)+IF('Sites'!D8="NM crew",COUNTBLANK('NM Play'!B25)+1,5-COUNT('Assumptions'!N122:N126)),0)+IF(AND('Cases'!C10&gt;0,NOT(ISNUMBER('Assumptions'!B42))),1,0)+'Responsibilities'!$B$39</f>
        <v/>
      </c>
      <c r="BK160" s="137">
        <f>'Assumptions'!$B$50+'NM Play'!$B$83+'Funding'!$F$20+SUMIFS('Production schedule'!$AN$438:$AN$545,'Production schedule'!$C$438:$C$545,11)+IF(OR('Cases'!E10&lt;0,'Cases'!E10&gt;1,'Cases'!C10&lt;0,'Cases'!D10&lt;0,ABS(SUM('Sites'!S6:S8)-1)&gt;0.0001,MIN('Capital'!F6:F8)&lt;0,MAX('Capital'!F6:F8)&gt;1,MIN(AX160,AZ160,BB160,BA160)&lt;-0.01),1,0)+'Responsibilities'!$B$40</f>
        <v/>
      </c>
      <c r="BL160" s="137">
        <f>SUMIFS('Production schedule'!$T$438:$T$545,'Production schedule'!$C$438:$C$545,11)</f>
        <v/>
      </c>
      <c r="BM160" s="137">
        <f>D160*'NM Play'!$B$38</f>
        <v/>
      </c>
      <c r="BN160" s="137">
        <f>SUMIFS('Production schedule'!$AM$438:$AM$545,'Production schedule'!$C$438:$C$545,11)</f>
        <v/>
      </c>
      <c r="BO160" s="137">
        <f>AK160-AK159-AJ160</f>
        <v/>
      </c>
      <c r="BP160" s="137">
        <f>IF(AND('Assumptions'!$B$39&gt;=0,'Assumptions'!$B$40&gt;0),-PMT('Assumptions'!$B$39/12,'Assumptions'!$B$40*12,IF('Funding'!$N$11&gt;0,'Funding'!$N$11,'Funding'!$V$11)),"")</f>
        <v/>
      </c>
      <c r="BQ160">
        <f>('Production schedule'!AJ448)*(1-'Responsibilities'!$C$6)+('Production schedule'!AJ484)*(1-'Responsibilities'!$C$7)+('Production schedule'!AJ520)*(1-'Responsibilities'!$C$8)</f>
        <v/>
      </c>
      <c r="BR160">
        <f>('Production schedule'!AI448)*(1-'Responsibilities'!$D$6)+('Production schedule'!AI484)*(1-'Responsibilities'!$D$7)+('Production schedule'!AI520)*(1-'Responsibilities'!$D$8)</f>
        <v/>
      </c>
      <c r="BS160">
        <f>('Production schedule'!E448*(IF('Sites'!D6="Annual staff",SUM('Assumptions'!N112,'Assumptions'!N114),0)+SUM('Assumptions'!N113,'Assumptions'!N115:N116)))*(1-'Responsibilities'!$E$6)+('Production schedule'!E484*(IF('Sites'!D7="Annual staff",SUM('Assumptions'!N117,'Assumptions'!N119),0)+SUM('Assumptions'!N118,'Assumptions'!N120:N121)))*(1-'Responsibilities'!$E$7)+('Production schedule'!E520*(IF('Sites'!D8="Annual staff",SUM('Assumptions'!N122,'Assumptions'!N124),0)+SUM('Assumptions'!N123,'Assumptions'!N125:N126)))*(1-'Responsibilities'!$E$8)</f>
        <v/>
      </c>
      <c r="BT160">
        <f>(IF(AND('Production schedule'!E448=1,11=MAX(('Sites'!F6),1),ISNUMBER('Sites'!O6)),'Sites'!O6*'Assumptions'!$B$44,0))*(1-'Responsibilities'!$F$6)+(IF(AND('Production schedule'!E484=1,11=MAX(('Sites'!F7+'Cases'!G10),1),ISNUMBER('Sites'!O7)),'Sites'!O7*'Assumptions'!$B$44,0))*(1-'Responsibilities'!$F$7)+(IF(AND('Production schedule'!E520=1,11=MAX(('Sites'!F8+'Cases'!G10),1),ISNUMBER('Sites'!O8)),'Sites'!O8*'Assumptions'!$B$44,0))*(1-'Responsibilities'!$F$8)</f>
        <v/>
      </c>
      <c r="BU160">
        <f>SUM('Costs'!E36)*'Costs'!F36/12*(1-'Responsibilities'!$C$12)+SUM('Costs'!E37)*'Costs'!F37/12*(1-'Responsibilities'!$C$13)+SUM('Costs'!E38)*'Costs'!F38/12*(1-'Responsibilities'!$C$14)+SUM('Costs'!E39)*'Costs'!F39/12*(1-'Responsibilities'!$C$15)+SUM('Costs'!E40)*'Costs'!F40/12*(1-'Responsibilities'!$C$16)</f>
        <v/>
      </c>
      <c r="BV160">
        <f>('Sites'!E6*'Capital'!E6*(IF(11='Capital'!G6,'Capital'!F6,0)+IF(11='Capital'!H6,1-'Capital'!F6,0)))*(1-'Responsibilities'!$G$6)+('Sites'!E7*'Capital'!E7*(IF(11='Capital'!G7+'Cases'!G10,'Capital'!F7,0)+IF(11='Capital'!H7+'Cases'!G10,1-'Capital'!F7,0)))*(1-'Responsibilities'!$G$7)+('Sites'!E8*'Cases'!F10*'Capital'!E8*(IF(11='Capital'!G8+'Cases'!G10,'Capital'!F8,0)+IF(11='Capital'!H8+'Cases'!G10,1-'Capital'!F8,0)))*(1-'Responsibilities'!$G$8)</f>
        <v/>
      </c>
      <c r="BW160">
        <f>SUM(BQ160:BV160)</f>
        <v/>
      </c>
      <c r="BX160">
        <f>N160+BW160</f>
        <v/>
      </c>
      <c r="BY160">
        <f>BX160-(('Production schedule'!AJ448)*'Responsibilities'!$C$6+('Production schedule'!AJ484)*'Responsibilities'!$C$7+('Production schedule'!AJ520)*'Responsibilities'!$C$8+('Production schedule'!AJ448)*(1-'Responsibilities'!$C$6)+('Production schedule'!AJ484)*(1-'Responsibilities'!$C$7)+('Production schedule'!AJ520)*(1-'Responsibilities'!$C$8)+('Production schedule'!AI448)*'Responsibilities'!$D$6+('Production schedule'!AI484)*'Responsibilities'!$D$7+('Production schedule'!AI520)*'Responsibilities'!$D$8+('Production schedule'!AI448)*(1-'Responsibilities'!$D$6)+('Production schedule'!AI484)*(1-'Responsibilities'!$D$7)+('Production schedule'!AI520)*(1-'Responsibilities'!$D$8)+('Production schedule'!E448*(IF('Sites'!D6="Annual staff",SUM('Assumptions'!N112,'Assumptions'!N114),0)+SUM('Assumptions'!N113,'Assumptions'!N115:N116)))*'Responsibilities'!$E$6+('Production schedule'!E484*(IF('Sites'!D7="Annual staff",SUM('Assumptions'!N117,'Assumptions'!N119),0)+SUM('Assumptions'!N118,'Assumptions'!N120:N121)))*'Responsibilities'!$E$7+('Production schedule'!E520*(IF('Sites'!D8="Annual staff",SUM('Assumptions'!N122,'Assumptions'!N124),0)+SUM('Assumptions'!N123,'Assumptions'!N125:N126)))*'Responsibilities'!$E$8+('Production schedule'!E448*(IF('Sites'!D6="Annual staff",SUM('Assumptions'!N112,'Assumptions'!N114),0)+SUM('Assumptions'!N113,'Assumptions'!N115:N116)))*(1-'Responsibilities'!$E$6)+('Production schedule'!E484*(IF('Sites'!D7="Annual staff",SUM('Assumptions'!N117,'Assumptions'!N119),0)+SUM('Assumptions'!N118,'Assumptions'!N120:N121)))*(1-'Responsibilities'!$E$7)+('Production schedule'!E520*(IF('Sites'!D8="Annual staff",SUM('Assumptions'!N122,'Assumptions'!N124),0)+SUM('Assumptions'!N123,'Assumptions'!N125:N126)))*(1-'Responsibilities'!$E$8)+(IF(AND('Production schedule'!E448=1,11=MAX(('Sites'!F6),1),ISNUMBER('Sites'!O6)),'Sites'!O6*'Assumptions'!$B$44,0))*'Responsibilities'!$F$6+(IF(AND('Production schedule'!E484=1,11=MAX(('Sites'!F7+'Cases'!G10),1),ISNUMBER('Sites'!O7)),'Sites'!O7*'Assumptions'!$B$44,0))*'Responsibilities'!$F$7+(IF(AND('Production schedule'!E520=1,11=MAX(('Sites'!F8+'Cases'!G10),1),ISNUMBER('Sites'!O8)),'Sites'!O8*'Assumptions'!$B$44,0))*'Responsibilities'!$F$8+(IF(AND('Production schedule'!E448=1,11=MAX(('Sites'!F6),1),ISNUMBER('Sites'!O6)),'Sites'!O6*'Assumptions'!$B$44,0))*(1-'Responsibilities'!$F$6)+(IF(AND('Production schedule'!E484=1,11=MAX(('Sites'!F7+'Cases'!G10),1),ISNUMBER('Sites'!O7)),'Sites'!O7*'Assumptions'!$B$44,0))*(1-'Responsibilities'!$F$7)+(IF(AND('Production schedule'!E520=1,11=MAX(('Sites'!F8+'Cases'!G10),1),ISNUMBER('Sites'!O8)),'Sites'!O8*'Assumptions'!$B$44,0))*(1-'Responsibilities'!$F$8)+('Sites'!E6*'Capital'!E6*(IF(11='Capital'!G6,'Capital'!F6,0)+IF(11='Capital'!H6,1-'Capital'!F6,0)))*'Responsibilities'!$G$6+('Sites'!E7*'Capital'!E7*(IF(11='Capital'!G7+'Cases'!G10,'Capital'!F7,0)+IF(11='Capital'!H7+'Cases'!G10,1-'Capital'!F7,0)))*'Responsibilities'!$G$7+('Sites'!E8*'Cases'!F10*'Capital'!E8*(IF(11='Capital'!G8+'Cases'!G10,'Capital'!F8,0)+IF(11='Capital'!H8+'Cases'!G10,1-'Capital'!F8,0)))*'Responsibilities'!$G$8+('Sites'!E6*'Capital'!E6*(IF(11='Capital'!G6,'Capital'!F6,0)+IF(11='Capital'!H6,1-'Capital'!F6,0)))*(1-'Responsibilities'!$G$6)+('Sites'!E7*'Capital'!E7*(IF(11='Capital'!G7+'Cases'!G10,'Capital'!F7,0)+IF(11='Capital'!H7+'Cases'!G10,1-'Capital'!F7,0)))*(1-'Responsibilities'!$G$7)+('Sites'!E8*'Cases'!F10*'Capital'!E8*(IF(11='Capital'!G8+'Cases'!G10,'Capital'!F8,0)+IF(11='Capital'!H8+'Cases'!G10,1-'Capital'!F8,0)))*(1-'Responsibilities'!$G$8)+I160+SUMPRODUCT('Costs'!$E$36:$E$40,'Costs'!$F$36:$F$40)/12+BZ160)</f>
        <v/>
      </c>
      <c r="BZ160">
        <f>SUMIFS('Responsibilities'!$B$31:$B$35,'Responsibilities'!$C$31:$C$35,11,'Responsibilities'!$D$31:$D$35,"Yes")</f>
        <v/>
      </c>
    </row>
    <row r="161" ht="28" customHeight="1">
      <c r="A161" s="4" t="inlineStr">
        <is>
          <t>Lower sales</t>
        </is>
      </c>
      <c r="B161" s="4" t="n">
        <v>12</v>
      </c>
      <c r="C161" s="4">
        <f>ROUNDUP(B161/12,0)</f>
        <v/>
      </c>
      <c r="D161" s="137">
        <f>SUMIFS('Production schedule'!$N$438:$N$545,'Production schedule'!$C$438:$C$545,12)</f>
        <v/>
      </c>
      <c r="E161" s="137">
        <f>SUMIFS('Production schedule'!$Y$438:$Y$545,'Production schedule'!$C$438:$C$545,12)</f>
        <v/>
      </c>
      <c r="F161" s="137">
        <f>SUMIFS('Production schedule'!$Z$438:$Z$545,'Production schedule'!$C$438:$C$545,12)</f>
        <v/>
      </c>
      <c r="G161" s="137">
        <f>('Production schedule'!AJ449)*'Responsibilities'!$C$6+('Production schedule'!AJ485)*'Responsibilities'!$C$7+('Production schedule'!AJ521)*'Responsibilities'!$C$8</f>
        <v/>
      </c>
      <c r="H161" s="137">
        <f>('Production schedule'!AI449)*'Responsibilities'!$D$6+('Production schedule'!AI485)*'Responsibilities'!$D$7+('Production schedule'!AI521)*'Responsibilities'!$D$8</f>
        <v/>
      </c>
      <c r="I161" s="137">
        <f>SUM('Assumptions'!O58:O65)</f>
        <v/>
      </c>
      <c r="J161" s="137">
        <f>('Production schedule'!E449*(IF('Sites'!D6="Annual staff",SUM('Assumptions'!O112,'Assumptions'!O114),0)+SUM('Assumptions'!O113,'Assumptions'!O115:O116)))*'Responsibilities'!$E$6+('Production schedule'!E485*(IF('Sites'!D7="Annual staff",SUM('Assumptions'!O117,'Assumptions'!O119),0)+SUM('Assumptions'!O118,'Assumptions'!O120:O121)))*'Responsibilities'!$E$7+('Production schedule'!E521*(IF('Sites'!D8="Annual staff",SUM('Assumptions'!O122,'Assumptions'!O124),0)+SUM('Assumptions'!O123,'Assumptions'!O125:O126)))*'Responsibilities'!$E$8</f>
        <v/>
      </c>
      <c r="K161" s="137">
        <f>(IF(AND('Production schedule'!E449=1,12=MAX(('Sites'!F6),1),ISNUMBER('Sites'!O6)),'Sites'!O6*'Assumptions'!$B$44,0))*'Responsibilities'!$F$6+(IF(AND('Production schedule'!E485=1,12=MAX(('Sites'!F7+'Cases'!G10),1),ISNUMBER('Sites'!O7)),'Sites'!O7*'Assumptions'!$B$44,0))*'Responsibilities'!$F$7+(IF(AND('Production schedule'!E521=1,12=MAX(('Sites'!F8+'Cases'!G10),1),ISNUMBER('Sites'!O8)),'Sites'!O8*'Assumptions'!$B$44,0))*'Responsibilities'!$F$8</f>
        <v/>
      </c>
      <c r="L161" s="137">
        <f>SUM('Costs'!E36)*'Costs'!F36/12*'Responsibilities'!$C$12+SUM('Costs'!E37)*'Costs'!F37/12*'Responsibilities'!$C$13+SUM('Costs'!E38)*'Costs'!F38/12*'Responsibilities'!$C$14+SUM('Costs'!E39)*'Costs'!F39/12*'Responsibilities'!$C$15+SUM('Costs'!E40)*'Costs'!F40/12*'Responsibilities'!$C$16+BZ161</f>
        <v/>
      </c>
      <c r="M161" s="137">
        <f>('Sites'!E6*'Capital'!E6*(IF(12='Capital'!G6,'Capital'!F6,0)+IF(12='Capital'!H6,1-'Capital'!F6,0)))*'Responsibilities'!$G$6+('Sites'!E7*'Capital'!E7*(IF(12='Capital'!G7+'Cases'!G10,'Capital'!F7,0)+IF(12='Capital'!H7+'Cases'!G10,1-'Capital'!F7,0)))*'Responsibilities'!$G$7+('Sites'!E8*'Cases'!F10*'Capital'!E8*(IF(12='Capital'!G8+'Cases'!G10,'Capital'!F8,0)+IF(12='Capital'!H8+'Cases'!G10,1-'Capital'!F8,0)))*'Responsibilities'!$G$8</f>
        <v/>
      </c>
      <c r="N161" s="137">
        <f>SUM(G161:M161)</f>
        <v/>
      </c>
      <c r="O161" s="137">
        <f>SUMIFS(FundingTranches[Secured amount],FundingTranches[Instrument],"Grant",FundingTranches[Secured month],12)</f>
        <v/>
      </c>
      <c r="P161" s="137">
        <f>SUMIFS(FundingTranches[Lower sales possible],FundingTranches[Instrument],"Grant",FundingTranches[Scenario month],12-'Cases'!$D$10)</f>
        <v/>
      </c>
      <c r="Q161" s="137">
        <f>SUMIFS(FundingTranches[Secured amount],FundingTranches[Instrument],"Loan",FundingTranches[Secured month],12)</f>
        <v/>
      </c>
      <c r="R161" s="137">
        <f>SUMIFS(FundingTranches[Lower sales possible],FundingTranches[Instrument],"Loan",FundingTranches[Scenario month],12-'Cases'!$D$10)</f>
        <v/>
      </c>
      <c r="S161" s="137">
        <f>IF(12&lt;='Assumptions'!$B$34,0,SUMIFS('Production schedule'!$AL$438:$AL$545,'Production schedule'!$C$438:$C$545,12-'Assumptions'!$B$34))</f>
        <v/>
      </c>
      <c r="T161" s="137">
        <f>'Assumptions'!O70</f>
        <v/>
      </c>
      <c r="U161" s="137">
        <f>'Assumptions'!O78</f>
        <v/>
      </c>
      <c r="V161" s="137">
        <f>SUM(O161:U161)</f>
        <v/>
      </c>
      <c r="W161" s="137">
        <f>AA160</f>
        <v/>
      </c>
      <c r="X161" s="137">
        <f>SUM(Q161:R161)</f>
        <v/>
      </c>
      <c r="Y161" s="137">
        <f>SUM(W161,X161)*'Assumptions'!$B$39/12</f>
        <v/>
      </c>
      <c r="Z161" s="137">
        <f>IF(SUM(W161,X161)&gt;0,MIN(SUM(W161,X161),MAX(0,BP161-Y161)),0)</f>
        <v/>
      </c>
      <c r="AA161" s="137">
        <f>SUM(W161,X161)-Z161</f>
        <v/>
      </c>
      <c r="AB161" s="137">
        <f>SUM(Y161:Z161)</f>
        <v/>
      </c>
      <c r="AC161" s="137">
        <f>'Assumptions'!O72</f>
        <v/>
      </c>
      <c r="AD161" s="137">
        <f>'Assumptions'!O73</f>
        <v/>
      </c>
      <c r="AE161" s="137">
        <f>IF(X161&gt;0,SUM('Assumptions'!$B$42),0)</f>
        <v/>
      </c>
      <c r="AF161" s="137">
        <f>'Assumptions'!O71</f>
        <v/>
      </c>
      <c r="AG161" s="137">
        <f>'Assumptions'!O74</f>
        <v/>
      </c>
      <c r="AH161" s="137">
        <f>'Assumptions'!O75</f>
        <v/>
      </c>
      <c r="AI161" s="137">
        <f>'Assumptions'!O77</f>
        <v/>
      </c>
      <c r="AJ161" s="137">
        <f>V161-N161-SUM(AB161:AI161)</f>
        <v/>
      </c>
      <c r="AK161" s="137">
        <f>SUM(AJ150:AJ161)</f>
        <v/>
      </c>
      <c r="AL161" s="137">
        <f>IF(ISNUMBER('Assumptions'!$B$10),'Assumptions'!$B$10+AK161,"")</f>
        <v/>
      </c>
      <c r="AM161" s="137">
        <f>SUM(O161,Q161,T161)-N161-SUM(AC161:AI161)+IF('Funding'!$N$11=0,AE161,0)-IF('Funding'!$N$11&gt;0,AB161,0)</f>
        <v/>
      </c>
      <c r="AN161" s="137">
        <f>SUM(AM150:AM161)</f>
        <v/>
      </c>
      <c r="AO161" s="137">
        <f>IF(ISNUMBER('Assumptions'!$B$10),'Assumptions'!$B$10+AN161,"")</f>
        <v/>
      </c>
      <c r="AP161" s="137">
        <f>('Production schedule'!AK449)*'Responsibilities'!$C$6+('Production schedule'!AK485)*'Responsibilities'!$C$7+('Production schedule'!AK521)*'Responsibilities'!$C$8</f>
        <v/>
      </c>
      <c r="AQ161" s="137">
        <f>SUMIFS('Production schedule'!$AL$438:$AL$545,'Production schedule'!$C$438:$C$545,12)</f>
        <v/>
      </c>
      <c r="AR161" s="137">
        <f>IF(ISNUMBER('Assumptions'!O76),'Assumptions'!O76,SUM(O161:P161))</f>
        <v/>
      </c>
      <c r="AS161" s="137">
        <f>IF(ISNUMBER('Assumptions'!$B$13),MIN('Assumptions'!$B$13/'Assumptions'!$B$18/12,MAX(0,'Assumptions'!$B$13-(12-1)*'Assumptions'!$B$13/'Assumptions'!$B$18/12)),0)+IF(AND('Sites'!E6=1,12&gt;=('Sites'!F6),12&lt;('Sites'!F6)+'Assumptions'!$B$18*12),'Capital'!E6/'Assumptions'!$B$18/12,0)+IF(AND('Sites'!E7=1,12&gt;=('Sites'!F7+'Cases'!G10),12&lt;('Sites'!F7+'Cases'!G10)+'Assumptions'!$B$18*12),'Capital'!E7/'Assumptions'!$B$18/12,0)+IF(AND('Sites'!E8*'Cases'!F10=1,12&gt;=('Sites'!F8+'Cases'!G10),12&lt;('Sites'!F8+'Cases'!G10)+'Assumptions'!$B$18*12),'Capital'!E8/'Assumptions'!$B$18/12,0)</f>
        <v/>
      </c>
      <c r="AT161" s="137">
        <f>SUM(AQ161,AR161,U161)-AP161-SUM(H161:L161)-AS161-SUM(Y161,AD161,AE161,AH161)</f>
        <v/>
      </c>
      <c r="AU161" s="137">
        <f>IF(ISNUMBER('Assumptions'!$B$19),MAX(0,SUM(AT150:AT161))*'Assumptions'!$B$19-SUM(AU150:AU160),"")</f>
        <v/>
      </c>
      <c r="AV161" s="137">
        <f>IF(ISNUMBER(AU161),AT161-AU161,"")</f>
        <v/>
      </c>
      <c r="AW161" s="137">
        <f>IF(ISNUMBER('Assumptions'!$B$11),'Assumptions'!$B$11+SUM(AQ150:AQ161)-SUM(S150:S161)-SUM(T150:T161),"")</f>
        <v/>
      </c>
      <c r="AX161" s="137">
        <f>IF(ISNUMBER('Assumptions'!$B$12),'Assumptions'!$B$12+SUM(G150:G161)-SUM(AP150:AP161),"")</f>
        <v/>
      </c>
      <c r="AY161" s="137">
        <f>IF(ISNUMBER('Assumptions'!$B$13),'Assumptions'!$B$13+SUM(M150:M161)-SUM(AS150:AS161),"")</f>
        <v/>
      </c>
      <c r="AZ161" s="137">
        <f>IF(ISNUMBER('Assumptions'!$B$14),'Assumptions'!$B$14+-SUM(AF150:AF161),"")</f>
        <v/>
      </c>
      <c r="BA161" s="137">
        <f>IF(ISNUMBER('Assumptions'!$B$15),'Assumptions'!$B$15+SUM(O150:O161)+SUM(P150:P161)-SUM(AR150:AR161),"")</f>
        <v/>
      </c>
      <c r="BB161" s="137">
        <f>IF(ISNUMBER('Assumptions'!$B$16),'Assumptions'!$B$16+-SUM(AC150:AC161),"")</f>
        <v/>
      </c>
      <c r="BC161" s="137">
        <f>IF(AND(ISNUMBER('Assumptions'!$B$21),ISNUMBER('Assumptions'!$B$19)),'Assumptions'!$B$21+SUM(AU150:AU161)-SUM(AG150:AG161),"")</f>
        <v/>
      </c>
      <c r="BD161" s="137">
        <f>IF(ISNUMBER('Assumptions'!$B$20),'Assumptions'!$B$20+-SUM(AI150:AI161),"")</f>
        <v/>
      </c>
      <c r="BE161" s="137">
        <f>IF(AND(ISNUMBER('Assumptions'!$B$17),COUNT(AV150:AV161)=12),'Assumptions'!$B$17+SUM(AV150:AV161),"")</f>
        <v/>
      </c>
      <c r="BF161" s="137">
        <f>IF(COUNT(AL161,AW161:AY161)=4,SUM(AL161,AW161:AY161),"")</f>
        <v/>
      </c>
      <c r="BG161" s="137">
        <f>IF(COUNT(AZ161:BD161)=5,SUM(AZ161:BD161,AA161),"")</f>
        <v/>
      </c>
      <c r="BH161" s="137">
        <f>IF(COUNT(BF161,BG161,BE161)=3,BF161-BG161-BE161,"")</f>
        <v/>
      </c>
      <c r="BI161" s="137">
        <f>SUM(W161,X161)-Z161-AA161</f>
        <v/>
      </c>
      <c r="BJ161" s="137">
        <f>8-COUNT('Assumptions'!O58:O65)+COUNTBLANK('NM Play'!B33:B34)+'Costs'!E44+IF(AND('Sites'!E6=1,('Sites'!F6)&lt;=12,'Sites'!G6&gt;=1),IF(ISNUMBER('Sites'!O6),0,1)+'Capital'!I6+COUNTBLANK('Sites'!R6)+IF('Sites'!D6="NM crew",COUNTBLANK('NM Play'!B25)+1,5-COUNT('Assumptions'!O112:O116)),0)+IF(AND('Sites'!E7=1,('Sites'!F7+'Cases'!G10)&lt;=12,'Sites'!G7&gt;=1),IF(ISNUMBER('Sites'!O7),0,1)+'Capital'!I7+COUNTBLANK('Sites'!R7)+IF('Sites'!D7="NM crew",COUNTBLANK('NM Play'!B25)+1,5-COUNT('Assumptions'!O117:O121)),0)+IF(AND('Sites'!E8*'Cases'!F10=1,('Sites'!F8+'Cases'!G10)&lt;=12,'Sites'!G8&gt;=1),IF(ISNUMBER('Sites'!O8),0,1)+'Capital'!I8+COUNTBLANK('Sites'!R8)+IF('Sites'!D8="NM crew",COUNTBLANK('NM Play'!B25)+1,5-COUNT('Assumptions'!O122:O126)),0)+IF(AND('Cases'!C10&gt;0,NOT(ISNUMBER('Assumptions'!B42))),1,0)+'Responsibilities'!$B$39</f>
        <v/>
      </c>
      <c r="BK161" s="137">
        <f>'Assumptions'!$B$50+'NM Play'!$B$83+'Funding'!$F$20+SUMIFS('Production schedule'!$AN$438:$AN$545,'Production schedule'!$C$438:$C$545,12)+IF(OR('Cases'!E10&lt;0,'Cases'!E10&gt;1,'Cases'!C10&lt;0,'Cases'!D10&lt;0,ABS(SUM('Sites'!S6:S8)-1)&gt;0.0001,MIN('Capital'!F6:F8)&lt;0,MAX('Capital'!F6:F8)&gt;1,MIN(AX161,AZ161,BB161,BA161)&lt;-0.01),1,0)+'Responsibilities'!$B$40</f>
        <v/>
      </c>
      <c r="BL161" s="137">
        <f>SUMIFS('Production schedule'!$T$438:$T$545,'Production schedule'!$C$438:$C$545,12)</f>
        <v/>
      </c>
      <c r="BM161" s="137">
        <f>D161*'NM Play'!$B$38</f>
        <v/>
      </c>
      <c r="BN161" s="137">
        <f>SUMIFS('Production schedule'!$AM$438:$AM$545,'Production schedule'!$C$438:$C$545,12)</f>
        <v/>
      </c>
      <c r="BO161" s="137">
        <f>AK161-AK160-AJ161</f>
        <v/>
      </c>
      <c r="BP161" s="137">
        <f>IF(AND('Assumptions'!$B$39&gt;=0,'Assumptions'!$B$40&gt;0),-PMT('Assumptions'!$B$39/12,'Assumptions'!$B$40*12,IF('Funding'!$N$11&gt;0,'Funding'!$N$11,'Funding'!$V$11)),"")</f>
        <v/>
      </c>
      <c r="BQ161">
        <f>('Production schedule'!AJ449)*(1-'Responsibilities'!$C$6)+('Production schedule'!AJ485)*(1-'Responsibilities'!$C$7)+('Production schedule'!AJ521)*(1-'Responsibilities'!$C$8)</f>
        <v/>
      </c>
      <c r="BR161">
        <f>('Production schedule'!AI449)*(1-'Responsibilities'!$D$6)+('Production schedule'!AI485)*(1-'Responsibilities'!$D$7)+('Production schedule'!AI521)*(1-'Responsibilities'!$D$8)</f>
        <v/>
      </c>
      <c r="BS161">
        <f>('Production schedule'!E449*(IF('Sites'!D6="Annual staff",SUM('Assumptions'!O112,'Assumptions'!O114),0)+SUM('Assumptions'!O113,'Assumptions'!O115:O116)))*(1-'Responsibilities'!$E$6)+('Production schedule'!E485*(IF('Sites'!D7="Annual staff",SUM('Assumptions'!O117,'Assumptions'!O119),0)+SUM('Assumptions'!O118,'Assumptions'!O120:O121)))*(1-'Responsibilities'!$E$7)+('Production schedule'!E521*(IF('Sites'!D8="Annual staff",SUM('Assumptions'!O122,'Assumptions'!O124),0)+SUM('Assumptions'!O123,'Assumptions'!O125:O126)))*(1-'Responsibilities'!$E$8)</f>
        <v/>
      </c>
      <c r="BT161">
        <f>(IF(AND('Production schedule'!E449=1,12=MAX(('Sites'!F6),1),ISNUMBER('Sites'!O6)),'Sites'!O6*'Assumptions'!$B$44,0))*(1-'Responsibilities'!$F$6)+(IF(AND('Production schedule'!E485=1,12=MAX(('Sites'!F7+'Cases'!G10),1),ISNUMBER('Sites'!O7)),'Sites'!O7*'Assumptions'!$B$44,0))*(1-'Responsibilities'!$F$7)+(IF(AND('Production schedule'!E521=1,12=MAX(('Sites'!F8+'Cases'!G10),1),ISNUMBER('Sites'!O8)),'Sites'!O8*'Assumptions'!$B$44,0))*(1-'Responsibilities'!$F$8)</f>
        <v/>
      </c>
      <c r="BU161">
        <f>SUM('Costs'!E36)*'Costs'!F36/12*(1-'Responsibilities'!$C$12)+SUM('Costs'!E37)*'Costs'!F37/12*(1-'Responsibilities'!$C$13)+SUM('Costs'!E38)*'Costs'!F38/12*(1-'Responsibilities'!$C$14)+SUM('Costs'!E39)*'Costs'!F39/12*(1-'Responsibilities'!$C$15)+SUM('Costs'!E40)*'Costs'!F40/12*(1-'Responsibilities'!$C$16)</f>
        <v/>
      </c>
      <c r="BV161">
        <f>('Sites'!E6*'Capital'!E6*(IF(12='Capital'!G6,'Capital'!F6,0)+IF(12='Capital'!H6,1-'Capital'!F6,0)))*(1-'Responsibilities'!$G$6)+('Sites'!E7*'Capital'!E7*(IF(12='Capital'!G7+'Cases'!G10,'Capital'!F7,0)+IF(12='Capital'!H7+'Cases'!G10,1-'Capital'!F7,0)))*(1-'Responsibilities'!$G$7)+('Sites'!E8*'Cases'!F10*'Capital'!E8*(IF(12='Capital'!G8+'Cases'!G10,'Capital'!F8,0)+IF(12='Capital'!H8+'Cases'!G10,1-'Capital'!F8,0)))*(1-'Responsibilities'!$G$8)</f>
        <v/>
      </c>
      <c r="BW161">
        <f>SUM(BQ161:BV161)</f>
        <v/>
      </c>
      <c r="BX161">
        <f>N161+BW161</f>
        <v/>
      </c>
      <c r="BY161">
        <f>BX161-(('Production schedule'!AJ449)*'Responsibilities'!$C$6+('Production schedule'!AJ485)*'Responsibilities'!$C$7+('Production schedule'!AJ521)*'Responsibilities'!$C$8+('Production schedule'!AJ449)*(1-'Responsibilities'!$C$6)+('Production schedule'!AJ485)*(1-'Responsibilities'!$C$7)+('Production schedule'!AJ521)*(1-'Responsibilities'!$C$8)+('Production schedule'!AI449)*'Responsibilities'!$D$6+('Production schedule'!AI485)*'Responsibilities'!$D$7+('Production schedule'!AI521)*'Responsibilities'!$D$8+('Production schedule'!AI449)*(1-'Responsibilities'!$D$6)+('Production schedule'!AI485)*(1-'Responsibilities'!$D$7)+('Production schedule'!AI521)*(1-'Responsibilities'!$D$8)+('Production schedule'!E449*(IF('Sites'!D6="Annual staff",SUM('Assumptions'!O112,'Assumptions'!O114),0)+SUM('Assumptions'!O113,'Assumptions'!O115:O116)))*'Responsibilities'!$E$6+('Production schedule'!E485*(IF('Sites'!D7="Annual staff",SUM('Assumptions'!O117,'Assumptions'!O119),0)+SUM('Assumptions'!O118,'Assumptions'!O120:O121)))*'Responsibilities'!$E$7+('Production schedule'!E521*(IF('Sites'!D8="Annual staff",SUM('Assumptions'!O122,'Assumptions'!O124),0)+SUM('Assumptions'!O123,'Assumptions'!O125:O126)))*'Responsibilities'!$E$8+('Production schedule'!E449*(IF('Sites'!D6="Annual staff",SUM('Assumptions'!O112,'Assumptions'!O114),0)+SUM('Assumptions'!O113,'Assumptions'!O115:O116)))*(1-'Responsibilities'!$E$6)+('Production schedule'!E485*(IF('Sites'!D7="Annual staff",SUM('Assumptions'!O117,'Assumptions'!O119),0)+SUM('Assumptions'!O118,'Assumptions'!O120:O121)))*(1-'Responsibilities'!$E$7)+('Production schedule'!E521*(IF('Sites'!D8="Annual staff",SUM('Assumptions'!O122,'Assumptions'!O124),0)+SUM('Assumptions'!O123,'Assumptions'!O125:O126)))*(1-'Responsibilities'!$E$8)+(IF(AND('Production schedule'!E449=1,12=MAX(('Sites'!F6),1),ISNUMBER('Sites'!O6)),'Sites'!O6*'Assumptions'!$B$44,0))*'Responsibilities'!$F$6+(IF(AND('Production schedule'!E485=1,12=MAX(('Sites'!F7+'Cases'!G10),1),ISNUMBER('Sites'!O7)),'Sites'!O7*'Assumptions'!$B$44,0))*'Responsibilities'!$F$7+(IF(AND('Production schedule'!E521=1,12=MAX(('Sites'!F8+'Cases'!G10),1),ISNUMBER('Sites'!O8)),'Sites'!O8*'Assumptions'!$B$44,0))*'Responsibilities'!$F$8+(IF(AND('Production schedule'!E449=1,12=MAX(('Sites'!F6),1),ISNUMBER('Sites'!O6)),'Sites'!O6*'Assumptions'!$B$44,0))*(1-'Responsibilities'!$F$6)+(IF(AND('Production schedule'!E485=1,12=MAX(('Sites'!F7+'Cases'!G10),1),ISNUMBER('Sites'!O7)),'Sites'!O7*'Assumptions'!$B$44,0))*(1-'Responsibilities'!$F$7)+(IF(AND('Production schedule'!E521=1,12=MAX(('Sites'!F8+'Cases'!G10),1),ISNUMBER('Sites'!O8)),'Sites'!O8*'Assumptions'!$B$44,0))*(1-'Responsibilities'!$F$8)+('Sites'!E6*'Capital'!E6*(IF(12='Capital'!G6,'Capital'!F6,0)+IF(12='Capital'!H6,1-'Capital'!F6,0)))*'Responsibilities'!$G$6+('Sites'!E7*'Capital'!E7*(IF(12='Capital'!G7+'Cases'!G10,'Capital'!F7,0)+IF(12='Capital'!H7+'Cases'!G10,1-'Capital'!F7,0)))*'Responsibilities'!$G$7+('Sites'!E8*'Cases'!F10*'Capital'!E8*(IF(12='Capital'!G8+'Cases'!G10,'Capital'!F8,0)+IF(12='Capital'!H8+'Cases'!G10,1-'Capital'!F8,0)))*'Responsibilities'!$G$8+('Sites'!E6*'Capital'!E6*(IF(12='Capital'!G6,'Capital'!F6,0)+IF(12='Capital'!H6,1-'Capital'!F6,0)))*(1-'Responsibilities'!$G$6)+('Sites'!E7*'Capital'!E7*(IF(12='Capital'!G7+'Cases'!G10,'Capital'!F7,0)+IF(12='Capital'!H7+'Cases'!G10,1-'Capital'!F7,0)))*(1-'Responsibilities'!$G$7)+('Sites'!E8*'Cases'!F10*'Capital'!E8*(IF(12='Capital'!G8+'Cases'!G10,'Capital'!F8,0)+IF(12='Capital'!H8+'Cases'!G10,1-'Capital'!F8,0)))*(1-'Responsibilities'!$G$8)+I161+SUMPRODUCT('Costs'!$E$36:$E$40,'Costs'!$F$36:$F$40)/12+BZ161)</f>
        <v/>
      </c>
      <c r="BZ161">
        <f>SUMIFS('Responsibilities'!$B$31:$B$35,'Responsibilities'!$C$31:$C$35,12,'Responsibilities'!$D$31:$D$35,"Yes")</f>
        <v/>
      </c>
    </row>
    <row r="162" ht="28" customHeight="1">
      <c r="A162" s="4" t="inlineStr">
        <is>
          <t>Lower sales</t>
        </is>
      </c>
      <c r="B162" s="4" t="n">
        <v>13</v>
      </c>
      <c r="C162" s="4">
        <f>ROUNDUP(B162/12,0)</f>
        <v/>
      </c>
      <c r="D162" s="137">
        <f>SUMIFS('Production schedule'!$N$438:$N$545,'Production schedule'!$C$438:$C$545,13)</f>
        <v/>
      </c>
      <c r="E162" s="137">
        <f>SUMIFS('Production schedule'!$Y$438:$Y$545,'Production schedule'!$C$438:$C$545,13)</f>
        <v/>
      </c>
      <c r="F162" s="137">
        <f>SUMIFS('Production schedule'!$Z$438:$Z$545,'Production schedule'!$C$438:$C$545,13)</f>
        <v/>
      </c>
      <c r="G162" s="137">
        <f>('Production schedule'!AJ450)*'Responsibilities'!$C$6+('Production schedule'!AJ486)*'Responsibilities'!$C$7+('Production schedule'!AJ522)*'Responsibilities'!$C$8</f>
        <v/>
      </c>
      <c r="H162" s="137">
        <f>('Production schedule'!AI450)*'Responsibilities'!$D$6+('Production schedule'!AI486)*'Responsibilities'!$D$7+('Production schedule'!AI522)*'Responsibilities'!$D$8</f>
        <v/>
      </c>
      <c r="I162" s="137">
        <f>SUM('Assumptions'!P58:P65)</f>
        <v/>
      </c>
      <c r="J162" s="137">
        <f>('Production schedule'!E450*(IF('Sites'!D6="Annual staff",SUM('Assumptions'!P112,'Assumptions'!P114),0)+SUM('Assumptions'!P113,'Assumptions'!P115:P116)))*'Responsibilities'!$E$6+('Production schedule'!E486*(IF('Sites'!D7="Annual staff",SUM('Assumptions'!P117,'Assumptions'!P119),0)+SUM('Assumptions'!P118,'Assumptions'!P120:P121)))*'Responsibilities'!$E$7+('Production schedule'!E522*(IF('Sites'!D8="Annual staff",SUM('Assumptions'!P122,'Assumptions'!P124),0)+SUM('Assumptions'!P123,'Assumptions'!P125:P126)))*'Responsibilities'!$E$8</f>
        <v/>
      </c>
      <c r="K162" s="137">
        <f>(IF(AND('Production schedule'!E450=1,13=MAX(('Sites'!F6),13),ISNUMBER('Sites'!P6)),'Sites'!P6*'Assumptions'!$B$44,0))*'Responsibilities'!$F$6+(IF(AND('Production schedule'!E486=1,13=MAX(('Sites'!F7+'Cases'!G10),13),ISNUMBER('Sites'!P7)),'Sites'!P7*'Assumptions'!$B$44,0))*'Responsibilities'!$F$7+(IF(AND('Production schedule'!E522=1,13=MAX(('Sites'!F8+'Cases'!G10),13),ISNUMBER('Sites'!P8)),'Sites'!P8*'Assumptions'!$B$44,0))*'Responsibilities'!$F$8</f>
        <v/>
      </c>
      <c r="L162" s="137">
        <f>SUM('Costs'!E36)*'Costs'!F36/12*'Responsibilities'!$C$12+SUM('Costs'!E37)*'Costs'!F37/12*'Responsibilities'!$C$13+SUM('Costs'!E38)*'Costs'!F38/12*'Responsibilities'!$C$14+SUM('Costs'!E39)*'Costs'!F39/12*'Responsibilities'!$C$15+SUM('Costs'!E40)*'Costs'!F40/12*'Responsibilities'!$C$16+BZ162</f>
        <v/>
      </c>
      <c r="M162" s="137">
        <f>('Sites'!E6*'Capital'!E6*(IF(13='Capital'!G6,'Capital'!F6,0)+IF(13='Capital'!H6,1-'Capital'!F6,0)))*'Responsibilities'!$G$6+('Sites'!E7*'Capital'!E7*(IF(13='Capital'!G7+'Cases'!G10,'Capital'!F7,0)+IF(13='Capital'!H7+'Cases'!G10,1-'Capital'!F7,0)))*'Responsibilities'!$G$7+('Sites'!E8*'Cases'!F10*'Capital'!E8*(IF(13='Capital'!G8+'Cases'!G10,'Capital'!F8,0)+IF(13='Capital'!H8+'Cases'!G10,1-'Capital'!F8,0)))*'Responsibilities'!$G$8</f>
        <v/>
      </c>
      <c r="N162" s="137">
        <f>SUM(G162:M162)</f>
        <v/>
      </c>
      <c r="O162" s="137">
        <f>SUMIFS(FundingTranches[Secured amount],FundingTranches[Instrument],"Grant",FundingTranches[Secured month],13)</f>
        <v/>
      </c>
      <c r="P162" s="137">
        <f>SUMIFS(FundingTranches[Lower sales possible],FundingTranches[Instrument],"Grant",FundingTranches[Scenario month],13-'Cases'!$D$10)</f>
        <v/>
      </c>
      <c r="Q162" s="137">
        <f>SUMIFS(FundingTranches[Secured amount],FundingTranches[Instrument],"Loan",FundingTranches[Secured month],13)</f>
        <v/>
      </c>
      <c r="R162" s="137">
        <f>SUMIFS(FundingTranches[Lower sales possible],FundingTranches[Instrument],"Loan",FundingTranches[Scenario month],13-'Cases'!$D$10)</f>
        <v/>
      </c>
      <c r="S162" s="137">
        <f>IF(13&lt;='Assumptions'!$B$34,0,SUMIFS('Production schedule'!$AL$438:$AL$545,'Production schedule'!$C$438:$C$545,13-'Assumptions'!$B$34))</f>
        <v/>
      </c>
      <c r="T162" s="137">
        <f>'Assumptions'!P70</f>
        <v/>
      </c>
      <c r="U162" s="137">
        <f>'Assumptions'!P78</f>
        <v/>
      </c>
      <c r="V162" s="137">
        <f>SUM(O162:U162)</f>
        <v/>
      </c>
      <c r="W162" s="137">
        <f>AA161</f>
        <v/>
      </c>
      <c r="X162" s="137">
        <f>SUM(Q162:R162)</f>
        <v/>
      </c>
      <c r="Y162" s="137">
        <f>SUM(W162,X162)*'Assumptions'!$B$39/12</f>
        <v/>
      </c>
      <c r="Z162" s="137">
        <f>IF(SUM(W162,X162)&gt;0,MIN(SUM(W162,X162),MAX(0,BP162-Y162)),0)</f>
        <v/>
      </c>
      <c r="AA162" s="137">
        <f>SUM(W162,X162)-Z162</f>
        <v/>
      </c>
      <c r="AB162" s="137">
        <f>SUM(Y162:Z162)</f>
        <v/>
      </c>
      <c r="AC162" s="137">
        <f>'Assumptions'!P72</f>
        <v/>
      </c>
      <c r="AD162" s="137">
        <f>'Assumptions'!P73</f>
        <v/>
      </c>
      <c r="AE162" s="137">
        <f>IF(X162&gt;0,SUM('Assumptions'!$B$42),0)</f>
        <v/>
      </c>
      <c r="AF162" s="137">
        <f>'Assumptions'!P71</f>
        <v/>
      </c>
      <c r="AG162" s="137">
        <f>'Assumptions'!P74</f>
        <v/>
      </c>
      <c r="AH162" s="137">
        <f>'Assumptions'!P75</f>
        <v/>
      </c>
      <c r="AI162" s="137">
        <f>'Assumptions'!P77</f>
        <v/>
      </c>
      <c r="AJ162" s="137">
        <f>V162-N162-SUM(AB162:AI162)</f>
        <v/>
      </c>
      <c r="AK162" s="137">
        <f>SUM(AJ150:AJ162)</f>
        <v/>
      </c>
      <c r="AL162" s="137">
        <f>IF(ISNUMBER('Assumptions'!$B$10),'Assumptions'!$B$10+AK162,"")</f>
        <v/>
      </c>
      <c r="AM162" s="137">
        <f>SUM(O162,Q162,T162)-N162-SUM(AC162:AI162)+IF('Funding'!$N$11=0,AE162,0)-IF('Funding'!$N$11&gt;0,AB162,0)</f>
        <v/>
      </c>
      <c r="AN162" s="137">
        <f>SUM(AM150:AM162)</f>
        <v/>
      </c>
      <c r="AO162" s="137">
        <f>IF(ISNUMBER('Assumptions'!$B$10),'Assumptions'!$B$10+AN162,"")</f>
        <v/>
      </c>
      <c r="AP162" s="137">
        <f>('Production schedule'!AK450)*'Responsibilities'!$C$6+('Production schedule'!AK486)*'Responsibilities'!$C$7+('Production schedule'!AK522)*'Responsibilities'!$C$8</f>
        <v/>
      </c>
      <c r="AQ162" s="137">
        <f>SUMIFS('Production schedule'!$AL$438:$AL$545,'Production schedule'!$C$438:$C$545,13)</f>
        <v/>
      </c>
      <c r="AR162" s="137">
        <f>IF(ISNUMBER('Assumptions'!P76),'Assumptions'!P76,SUM(O162:P162))</f>
        <v/>
      </c>
      <c r="AS162" s="137">
        <f>IF(ISNUMBER('Assumptions'!$B$13),MIN('Assumptions'!$B$13/'Assumptions'!$B$18/12,MAX(0,'Assumptions'!$B$13-(13-1)*'Assumptions'!$B$13/'Assumptions'!$B$18/12)),0)+IF(AND('Sites'!E6=1,13&gt;=('Sites'!F6),13&lt;('Sites'!F6)+'Assumptions'!$B$18*12),'Capital'!E6/'Assumptions'!$B$18/12,0)+IF(AND('Sites'!E7=1,13&gt;=('Sites'!F7+'Cases'!G10),13&lt;('Sites'!F7+'Cases'!G10)+'Assumptions'!$B$18*12),'Capital'!E7/'Assumptions'!$B$18/12,0)+IF(AND('Sites'!E8*'Cases'!F10=1,13&gt;=('Sites'!F8+'Cases'!G10),13&lt;('Sites'!F8+'Cases'!G10)+'Assumptions'!$B$18*12),'Capital'!E8/'Assumptions'!$B$18/12,0)</f>
        <v/>
      </c>
      <c r="AT162" s="137">
        <f>SUM(AQ162,AR162,U162)-AP162-SUM(H162:L162)-AS162-SUM(Y162,AD162,AE162,AH162)</f>
        <v/>
      </c>
      <c r="AU162" s="137">
        <f>IF(ISNUMBER('Assumptions'!$B$19),MAX(0,SUM(AT162:AT162))*'Assumptions'!$B$19-0,"")</f>
        <v/>
      </c>
      <c r="AV162" s="137">
        <f>IF(ISNUMBER(AU162),AT162-AU162,"")</f>
        <v/>
      </c>
      <c r="AW162" s="137">
        <f>IF(ISNUMBER('Assumptions'!$B$11),'Assumptions'!$B$11+SUM(AQ150:AQ162)-SUM(S150:S162)-SUM(T150:T162),"")</f>
        <v/>
      </c>
      <c r="AX162" s="137">
        <f>IF(ISNUMBER('Assumptions'!$B$12),'Assumptions'!$B$12+SUM(G150:G162)-SUM(AP150:AP162),"")</f>
        <v/>
      </c>
      <c r="AY162" s="137">
        <f>IF(ISNUMBER('Assumptions'!$B$13),'Assumptions'!$B$13+SUM(M150:M162)-SUM(AS150:AS162),"")</f>
        <v/>
      </c>
      <c r="AZ162" s="137">
        <f>IF(ISNUMBER('Assumptions'!$B$14),'Assumptions'!$B$14+-SUM(AF150:AF162),"")</f>
        <v/>
      </c>
      <c r="BA162" s="137">
        <f>IF(ISNUMBER('Assumptions'!$B$15),'Assumptions'!$B$15+SUM(O150:O162)+SUM(P150:P162)-SUM(AR150:AR162),"")</f>
        <v/>
      </c>
      <c r="BB162" s="137">
        <f>IF(ISNUMBER('Assumptions'!$B$16),'Assumptions'!$B$16+-SUM(AC150:AC162),"")</f>
        <v/>
      </c>
      <c r="BC162" s="137">
        <f>IF(AND(ISNUMBER('Assumptions'!$B$21),ISNUMBER('Assumptions'!$B$19)),'Assumptions'!$B$21+SUM(AU150:AU162)-SUM(AG150:AG162),"")</f>
        <v/>
      </c>
      <c r="BD162" s="137">
        <f>IF(ISNUMBER('Assumptions'!$B$20),'Assumptions'!$B$20+-SUM(AI150:AI162),"")</f>
        <v/>
      </c>
      <c r="BE162" s="137">
        <f>IF(AND(ISNUMBER('Assumptions'!$B$17),COUNT(AV150:AV162)=13),'Assumptions'!$B$17+SUM(AV150:AV162),"")</f>
        <v/>
      </c>
      <c r="BF162" s="137">
        <f>IF(COUNT(AL162,AW162:AY162)=4,SUM(AL162,AW162:AY162),"")</f>
        <v/>
      </c>
      <c r="BG162" s="137">
        <f>IF(COUNT(AZ162:BD162)=5,SUM(AZ162:BD162,AA162),"")</f>
        <v/>
      </c>
      <c r="BH162" s="137">
        <f>IF(COUNT(BF162,BG162,BE162)=3,BF162-BG162-BE162,"")</f>
        <v/>
      </c>
      <c r="BI162" s="137">
        <f>SUM(W162,X162)-Z162-AA162</f>
        <v/>
      </c>
      <c r="BJ162" s="137">
        <f>8-COUNT('Assumptions'!P58:P65)+COUNTBLANK('NM Play'!B33:B34)+'Costs'!E44+IF(AND('Sites'!E6=1,('Sites'!F6)&lt;=24,'Sites'!G6&gt;=13),IF(ISNUMBER('Sites'!P6),0,1)+'Capital'!I6+COUNTBLANK('Sites'!R6)+IF('Sites'!D6="NM crew",COUNTBLANK('NM Play'!B25)+1,5-COUNT('Assumptions'!P112:P116)),0)+IF(AND('Sites'!E7=1,('Sites'!F7+'Cases'!G10)&lt;=24,'Sites'!G7&gt;=13),IF(ISNUMBER('Sites'!P7),0,1)+'Capital'!I7+COUNTBLANK('Sites'!R7)+IF('Sites'!D7="NM crew",COUNTBLANK('NM Play'!B25)+1,5-COUNT('Assumptions'!P117:P121)),0)+IF(AND('Sites'!E8*'Cases'!F10=1,('Sites'!F8+'Cases'!G10)&lt;=24,'Sites'!G8&gt;=13),IF(ISNUMBER('Sites'!P8),0,1)+'Capital'!I8+COUNTBLANK('Sites'!R8)+IF('Sites'!D8="NM crew",COUNTBLANK('NM Play'!B25)+1,5-COUNT('Assumptions'!P122:P126)),0)+IF(AND('Cases'!C10&gt;0,NOT(ISNUMBER('Assumptions'!B42))),1,0)+'Responsibilities'!$B$39</f>
        <v/>
      </c>
      <c r="BK162" s="137">
        <f>'Assumptions'!$B$50+'NM Play'!$B$83+'Funding'!$F$20+SUMIFS('Production schedule'!$AN$438:$AN$545,'Production schedule'!$C$438:$C$545,13)+IF(OR('Cases'!E10&lt;0,'Cases'!E10&gt;1,'Cases'!C10&lt;0,'Cases'!D10&lt;0,ABS(SUM('Sites'!S6:S8)-1)&gt;0.0001,MIN('Capital'!F6:F8)&lt;0,MAX('Capital'!F6:F8)&gt;1,MIN(AX162,AZ162,BB162,BA162)&lt;-0.01),1,0)+'Responsibilities'!$B$40</f>
        <v/>
      </c>
      <c r="BL162" s="137">
        <f>SUMIFS('Production schedule'!$T$438:$T$545,'Production schedule'!$C$438:$C$545,13)</f>
        <v/>
      </c>
      <c r="BM162" s="137">
        <f>D162*'NM Play'!$B$38</f>
        <v/>
      </c>
      <c r="BN162" s="137">
        <f>SUMIFS('Production schedule'!$AM$438:$AM$545,'Production schedule'!$C$438:$C$545,13)</f>
        <v/>
      </c>
      <c r="BO162" s="137">
        <f>AK162-AK161-AJ162</f>
        <v/>
      </c>
      <c r="BP162" s="137">
        <f>IF(AND('Assumptions'!$B$39&gt;=0,'Assumptions'!$B$40&gt;0),-PMT('Assumptions'!$B$39/12,'Assumptions'!$B$40*12,IF('Funding'!$N$11&gt;0,'Funding'!$N$11,'Funding'!$V$11)),"")</f>
        <v/>
      </c>
      <c r="BQ162">
        <f>('Production schedule'!AJ450)*(1-'Responsibilities'!$C$6)+('Production schedule'!AJ486)*(1-'Responsibilities'!$C$7)+('Production schedule'!AJ522)*(1-'Responsibilities'!$C$8)</f>
        <v/>
      </c>
      <c r="BR162">
        <f>('Production schedule'!AI450)*(1-'Responsibilities'!$D$6)+('Production schedule'!AI486)*(1-'Responsibilities'!$D$7)+('Production schedule'!AI522)*(1-'Responsibilities'!$D$8)</f>
        <v/>
      </c>
      <c r="BS162">
        <f>('Production schedule'!E450*(IF('Sites'!D6="Annual staff",SUM('Assumptions'!P112,'Assumptions'!P114),0)+SUM('Assumptions'!P113,'Assumptions'!P115:P116)))*(1-'Responsibilities'!$E$6)+('Production schedule'!E486*(IF('Sites'!D7="Annual staff",SUM('Assumptions'!P117,'Assumptions'!P119),0)+SUM('Assumptions'!P118,'Assumptions'!P120:P121)))*(1-'Responsibilities'!$E$7)+('Production schedule'!E522*(IF('Sites'!D8="Annual staff",SUM('Assumptions'!P122,'Assumptions'!P124),0)+SUM('Assumptions'!P123,'Assumptions'!P125:P126)))*(1-'Responsibilities'!$E$8)</f>
        <v/>
      </c>
      <c r="BT162">
        <f>(IF(AND('Production schedule'!E450=1,13=MAX(('Sites'!F6),13),ISNUMBER('Sites'!P6)),'Sites'!P6*'Assumptions'!$B$44,0))*(1-'Responsibilities'!$F$6)+(IF(AND('Production schedule'!E486=1,13=MAX(('Sites'!F7+'Cases'!G10),13),ISNUMBER('Sites'!P7)),'Sites'!P7*'Assumptions'!$B$44,0))*(1-'Responsibilities'!$F$7)+(IF(AND('Production schedule'!E522=1,13=MAX(('Sites'!F8+'Cases'!G10),13),ISNUMBER('Sites'!P8)),'Sites'!P8*'Assumptions'!$B$44,0))*(1-'Responsibilities'!$F$8)</f>
        <v/>
      </c>
      <c r="BU162">
        <f>SUM('Costs'!E36)*'Costs'!F36/12*(1-'Responsibilities'!$C$12)+SUM('Costs'!E37)*'Costs'!F37/12*(1-'Responsibilities'!$C$13)+SUM('Costs'!E38)*'Costs'!F38/12*(1-'Responsibilities'!$C$14)+SUM('Costs'!E39)*'Costs'!F39/12*(1-'Responsibilities'!$C$15)+SUM('Costs'!E40)*'Costs'!F40/12*(1-'Responsibilities'!$C$16)</f>
        <v/>
      </c>
      <c r="BV162">
        <f>('Sites'!E6*'Capital'!E6*(IF(13='Capital'!G6,'Capital'!F6,0)+IF(13='Capital'!H6,1-'Capital'!F6,0)))*(1-'Responsibilities'!$G$6)+('Sites'!E7*'Capital'!E7*(IF(13='Capital'!G7+'Cases'!G10,'Capital'!F7,0)+IF(13='Capital'!H7+'Cases'!G10,1-'Capital'!F7,0)))*(1-'Responsibilities'!$G$7)+('Sites'!E8*'Cases'!F10*'Capital'!E8*(IF(13='Capital'!G8+'Cases'!G10,'Capital'!F8,0)+IF(13='Capital'!H8+'Cases'!G10,1-'Capital'!F8,0)))*(1-'Responsibilities'!$G$8)</f>
        <v/>
      </c>
      <c r="BW162">
        <f>SUM(BQ162:BV162)</f>
        <v/>
      </c>
      <c r="BX162">
        <f>N162+BW162</f>
        <v/>
      </c>
      <c r="BY162">
        <f>BX162-(('Production schedule'!AJ450)*'Responsibilities'!$C$6+('Production schedule'!AJ486)*'Responsibilities'!$C$7+('Production schedule'!AJ522)*'Responsibilities'!$C$8+('Production schedule'!AJ450)*(1-'Responsibilities'!$C$6)+('Production schedule'!AJ486)*(1-'Responsibilities'!$C$7)+('Production schedule'!AJ522)*(1-'Responsibilities'!$C$8)+('Production schedule'!AI450)*'Responsibilities'!$D$6+('Production schedule'!AI486)*'Responsibilities'!$D$7+('Production schedule'!AI522)*'Responsibilities'!$D$8+('Production schedule'!AI450)*(1-'Responsibilities'!$D$6)+('Production schedule'!AI486)*(1-'Responsibilities'!$D$7)+('Production schedule'!AI522)*(1-'Responsibilities'!$D$8)+('Production schedule'!E450*(IF('Sites'!D6="Annual staff",SUM('Assumptions'!P112,'Assumptions'!P114),0)+SUM('Assumptions'!P113,'Assumptions'!P115:P116)))*'Responsibilities'!$E$6+('Production schedule'!E486*(IF('Sites'!D7="Annual staff",SUM('Assumptions'!P117,'Assumptions'!P119),0)+SUM('Assumptions'!P118,'Assumptions'!P120:P121)))*'Responsibilities'!$E$7+('Production schedule'!E522*(IF('Sites'!D8="Annual staff",SUM('Assumptions'!P122,'Assumptions'!P124),0)+SUM('Assumptions'!P123,'Assumptions'!P125:P126)))*'Responsibilities'!$E$8+('Production schedule'!E450*(IF('Sites'!D6="Annual staff",SUM('Assumptions'!P112,'Assumptions'!P114),0)+SUM('Assumptions'!P113,'Assumptions'!P115:P116)))*(1-'Responsibilities'!$E$6)+('Production schedule'!E486*(IF('Sites'!D7="Annual staff",SUM('Assumptions'!P117,'Assumptions'!P119),0)+SUM('Assumptions'!P118,'Assumptions'!P120:P121)))*(1-'Responsibilities'!$E$7)+('Production schedule'!E522*(IF('Sites'!D8="Annual staff",SUM('Assumptions'!P122,'Assumptions'!P124),0)+SUM('Assumptions'!P123,'Assumptions'!P125:P126)))*(1-'Responsibilities'!$E$8)+(IF(AND('Production schedule'!E450=1,13=MAX(('Sites'!F6),13),ISNUMBER('Sites'!P6)),'Sites'!P6*'Assumptions'!$B$44,0))*'Responsibilities'!$F$6+(IF(AND('Production schedule'!E486=1,13=MAX(('Sites'!F7+'Cases'!G10),13),ISNUMBER('Sites'!P7)),'Sites'!P7*'Assumptions'!$B$44,0))*'Responsibilities'!$F$7+(IF(AND('Production schedule'!E522=1,13=MAX(('Sites'!F8+'Cases'!G10),13),ISNUMBER('Sites'!P8)),'Sites'!P8*'Assumptions'!$B$44,0))*'Responsibilities'!$F$8+(IF(AND('Production schedule'!E450=1,13=MAX(('Sites'!F6),13),ISNUMBER('Sites'!P6)),'Sites'!P6*'Assumptions'!$B$44,0))*(1-'Responsibilities'!$F$6)+(IF(AND('Production schedule'!E486=1,13=MAX(('Sites'!F7+'Cases'!G10),13),ISNUMBER('Sites'!P7)),'Sites'!P7*'Assumptions'!$B$44,0))*(1-'Responsibilities'!$F$7)+(IF(AND('Production schedule'!E522=1,13=MAX(('Sites'!F8+'Cases'!G10),13),ISNUMBER('Sites'!P8)),'Sites'!P8*'Assumptions'!$B$44,0))*(1-'Responsibilities'!$F$8)+('Sites'!E6*'Capital'!E6*(IF(13='Capital'!G6,'Capital'!F6,0)+IF(13='Capital'!H6,1-'Capital'!F6,0)))*'Responsibilities'!$G$6+('Sites'!E7*'Capital'!E7*(IF(13='Capital'!G7+'Cases'!G10,'Capital'!F7,0)+IF(13='Capital'!H7+'Cases'!G10,1-'Capital'!F7,0)))*'Responsibilities'!$G$7+('Sites'!E8*'Cases'!F10*'Capital'!E8*(IF(13='Capital'!G8+'Cases'!G10,'Capital'!F8,0)+IF(13='Capital'!H8+'Cases'!G10,1-'Capital'!F8,0)))*'Responsibilities'!$G$8+('Sites'!E6*'Capital'!E6*(IF(13='Capital'!G6,'Capital'!F6,0)+IF(13='Capital'!H6,1-'Capital'!F6,0)))*(1-'Responsibilities'!$G$6)+('Sites'!E7*'Capital'!E7*(IF(13='Capital'!G7+'Cases'!G10,'Capital'!F7,0)+IF(13='Capital'!H7+'Cases'!G10,1-'Capital'!F7,0)))*(1-'Responsibilities'!$G$7)+('Sites'!E8*'Cases'!F10*'Capital'!E8*(IF(13='Capital'!G8+'Cases'!G10,'Capital'!F8,0)+IF(13='Capital'!H8+'Cases'!G10,1-'Capital'!F8,0)))*(1-'Responsibilities'!$G$8)+I162+SUMPRODUCT('Costs'!$E$36:$E$40,'Costs'!$F$36:$F$40)/12+BZ162)</f>
        <v/>
      </c>
      <c r="BZ162">
        <f>SUMIFS('Responsibilities'!$B$31:$B$35,'Responsibilities'!$C$31:$C$35,13,'Responsibilities'!$D$31:$D$35,"Yes")</f>
        <v/>
      </c>
    </row>
    <row r="163" ht="28" customHeight="1">
      <c r="A163" s="4" t="inlineStr">
        <is>
          <t>Lower sales</t>
        </is>
      </c>
      <c r="B163" s="4" t="n">
        <v>14</v>
      </c>
      <c r="C163" s="4">
        <f>ROUNDUP(B163/12,0)</f>
        <v/>
      </c>
      <c r="D163" s="137">
        <f>SUMIFS('Production schedule'!$N$438:$N$545,'Production schedule'!$C$438:$C$545,14)</f>
        <v/>
      </c>
      <c r="E163" s="137">
        <f>SUMIFS('Production schedule'!$Y$438:$Y$545,'Production schedule'!$C$438:$C$545,14)</f>
        <v/>
      </c>
      <c r="F163" s="137">
        <f>SUMIFS('Production schedule'!$Z$438:$Z$545,'Production schedule'!$C$438:$C$545,14)</f>
        <v/>
      </c>
      <c r="G163" s="137">
        <f>('Production schedule'!AJ451)*'Responsibilities'!$C$6+('Production schedule'!AJ487)*'Responsibilities'!$C$7+('Production schedule'!AJ523)*'Responsibilities'!$C$8</f>
        <v/>
      </c>
      <c r="H163" s="137">
        <f>('Production schedule'!AI451)*'Responsibilities'!$D$6+('Production schedule'!AI487)*'Responsibilities'!$D$7+('Production schedule'!AI523)*'Responsibilities'!$D$8</f>
        <v/>
      </c>
      <c r="I163" s="137">
        <f>SUM('Assumptions'!Q58:Q65)</f>
        <v/>
      </c>
      <c r="J163" s="137">
        <f>('Production schedule'!E451*(IF('Sites'!D6="Annual staff",SUM('Assumptions'!Q112,'Assumptions'!Q114),0)+SUM('Assumptions'!Q113,'Assumptions'!Q115:Q116)))*'Responsibilities'!$E$6+('Production schedule'!E487*(IF('Sites'!D7="Annual staff",SUM('Assumptions'!Q117,'Assumptions'!Q119),0)+SUM('Assumptions'!Q118,'Assumptions'!Q120:Q121)))*'Responsibilities'!$E$7+('Production schedule'!E523*(IF('Sites'!D8="Annual staff",SUM('Assumptions'!Q122,'Assumptions'!Q124),0)+SUM('Assumptions'!Q123,'Assumptions'!Q125:Q126)))*'Responsibilities'!$E$8</f>
        <v/>
      </c>
      <c r="K163" s="137">
        <f>(IF(AND('Production schedule'!E451=1,14=MAX(('Sites'!F6),13),ISNUMBER('Sites'!P6)),'Sites'!P6*'Assumptions'!$B$44,0))*'Responsibilities'!$F$6+(IF(AND('Production schedule'!E487=1,14=MAX(('Sites'!F7+'Cases'!G10),13),ISNUMBER('Sites'!P7)),'Sites'!P7*'Assumptions'!$B$44,0))*'Responsibilities'!$F$7+(IF(AND('Production schedule'!E523=1,14=MAX(('Sites'!F8+'Cases'!G10),13),ISNUMBER('Sites'!P8)),'Sites'!P8*'Assumptions'!$B$44,0))*'Responsibilities'!$F$8</f>
        <v/>
      </c>
      <c r="L163" s="137">
        <f>SUM('Costs'!E36)*'Costs'!F36/12*'Responsibilities'!$C$12+SUM('Costs'!E37)*'Costs'!F37/12*'Responsibilities'!$C$13+SUM('Costs'!E38)*'Costs'!F38/12*'Responsibilities'!$C$14+SUM('Costs'!E39)*'Costs'!F39/12*'Responsibilities'!$C$15+SUM('Costs'!E40)*'Costs'!F40/12*'Responsibilities'!$C$16+BZ163</f>
        <v/>
      </c>
      <c r="M163" s="137">
        <f>('Sites'!E6*'Capital'!E6*(IF(14='Capital'!G6,'Capital'!F6,0)+IF(14='Capital'!H6,1-'Capital'!F6,0)))*'Responsibilities'!$G$6+('Sites'!E7*'Capital'!E7*(IF(14='Capital'!G7+'Cases'!G10,'Capital'!F7,0)+IF(14='Capital'!H7+'Cases'!G10,1-'Capital'!F7,0)))*'Responsibilities'!$G$7+('Sites'!E8*'Cases'!F10*'Capital'!E8*(IF(14='Capital'!G8+'Cases'!G10,'Capital'!F8,0)+IF(14='Capital'!H8+'Cases'!G10,1-'Capital'!F8,0)))*'Responsibilities'!$G$8</f>
        <v/>
      </c>
      <c r="N163" s="137">
        <f>SUM(G163:M163)</f>
        <v/>
      </c>
      <c r="O163" s="137">
        <f>SUMIFS(FundingTranches[Secured amount],FundingTranches[Instrument],"Grant",FundingTranches[Secured month],14)</f>
        <v/>
      </c>
      <c r="P163" s="137">
        <f>SUMIFS(FundingTranches[Lower sales possible],FundingTranches[Instrument],"Grant",FundingTranches[Scenario month],14-'Cases'!$D$10)</f>
        <v/>
      </c>
      <c r="Q163" s="137">
        <f>SUMIFS(FundingTranches[Secured amount],FundingTranches[Instrument],"Loan",FundingTranches[Secured month],14)</f>
        <v/>
      </c>
      <c r="R163" s="137">
        <f>SUMIFS(FundingTranches[Lower sales possible],FundingTranches[Instrument],"Loan",FundingTranches[Scenario month],14-'Cases'!$D$10)</f>
        <v/>
      </c>
      <c r="S163" s="137">
        <f>IF(14&lt;='Assumptions'!$B$34,0,SUMIFS('Production schedule'!$AL$438:$AL$545,'Production schedule'!$C$438:$C$545,14-'Assumptions'!$B$34))</f>
        <v/>
      </c>
      <c r="T163" s="137">
        <f>'Assumptions'!Q70</f>
        <v/>
      </c>
      <c r="U163" s="137">
        <f>'Assumptions'!Q78</f>
        <v/>
      </c>
      <c r="V163" s="137">
        <f>SUM(O163:U163)</f>
        <v/>
      </c>
      <c r="W163" s="137">
        <f>AA162</f>
        <v/>
      </c>
      <c r="X163" s="137">
        <f>SUM(Q163:R163)</f>
        <v/>
      </c>
      <c r="Y163" s="137">
        <f>SUM(W163,X163)*'Assumptions'!$B$39/12</f>
        <v/>
      </c>
      <c r="Z163" s="137">
        <f>IF(SUM(W163,X163)&gt;0,MIN(SUM(W163,X163),MAX(0,BP163-Y163)),0)</f>
        <v/>
      </c>
      <c r="AA163" s="137">
        <f>SUM(W163,X163)-Z163</f>
        <v/>
      </c>
      <c r="AB163" s="137">
        <f>SUM(Y163:Z163)</f>
        <v/>
      </c>
      <c r="AC163" s="137">
        <f>'Assumptions'!Q72</f>
        <v/>
      </c>
      <c r="AD163" s="137">
        <f>'Assumptions'!Q73</f>
        <v/>
      </c>
      <c r="AE163" s="137">
        <f>IF(X163&gt;0,SUM('Assumptions'!$B$42),0)</f>
        <v/>
      </c>
      <c r="AF163" s="137">
        <f>'Assumptions'!Q71</f>
        <v/>
      </c>
      <c r="AG163" s="137">
        <f>'Assumptions'!Q74</f>
        <v/>
      </c>
      <c r="AH163" s="137">
        <f>'Assumptions'!Q75</f>
        <v/>
      </c>
      <c r="AI163" s="137">
        <f>'Assumptions'!Q77</f>
        <v/>
      </c>
      <c r="AJ163" s="137">
        <f>V163-N163-SUM(AB163:AI163)</f>
        <v/>
      </c>
      <c r="AK163" s="137">
        <f>SUM(AJ150:AJ163)</f>
        <v/>
      </c>
      <c r="AL163" s="137">
        <f>IF(ISNUMBER('Assumptions'!$B$10),'Assumptions'!$B$10+AK163,"")</f>
        <v/>
      </c>
      <c r="AM163" s="137">
        <f>SUM(O163,Q163,T163)-N163-SUM(AC163:AI163)+IF('Funding'!$N$11=0,AE163,0)-IF('Funding'!$N$11&gt;0,AB163,0)</f>
        <v/>
      </c>
      <c r="AN163" s="137">
        <f>SUM(AM150:AM163)</f>
        <v/>
      </c>
      <c r="AO163" s="137">
        <f>IF(ISNUMBER('Assumptions'!$B$10),'Assumptions'!$B$10+AN163,"")</f>
        <v/>
      </c>
      <c r="AP163" s="137">
        <f>('Production schedule'!AK451)*'Responsibilities'!$C$6+('Production schedule'!AK487)*'Responsibilities'!$C$7+('Production schedule'!AK523)*'Responsibilities'!$C$8</f>
        <v/>
      </c>
      <c r="AQ163" s="137">
        <f>SUMIFS('Production schedule'!$AL$438:$AL$545,'Production schedule'!$C$438:$C$545,14)</f>
        <v/>
      </c>
      <c r="AR163" s="137">
        <f>IF(ISNUMBER('Assumptions'!Q76),'Assumptions'!Q76,SUM(O163:P163))</f>
        <v/>
      </c>
      <c r="AS163" s="137">
        <f>IF(ISNUMBER('Assumptions'!$B$13),MIN('Assumptions'!$B$13/'Assumptions'!$B$18/12,MAX(0,'Assumptions'!$B$13-(14-1)*'Assumptions'!$B$13/'Assumptions'!$B$18/12)),0)+IF(AND('Sites'!E6=1,14&gt;=('Sites'!F6),14&lt;('Sites'!F6)+'Assumptions'!$B$18*12),'Capital'!E6/'Assumptions'!$B$18/12,0)+IF(AND('Sites'!E7=1,14&gt;=('Sites'!F7+'Cases'!G10),14&lt;('Sites'!F7+'Cases'!G10)+'Assumptions'!$B$18*12),'Capital'!E7/'Assumptions'!$B$18/12,0)+IF(AND('Sites'!E8*'Cases'!F10=1,14&gt;=('Sites'!F8+'Cases'!G10),14&lt;('Sites'!F8+'Cases'!G10)+'Assumptions'!$B$18*12),'Capital'!E8/'Assumptions'!$B$18/12,0)</f>
        <v/>
      </c>
      <c r="AT163" s="137">
        <f>SUM(AQ163,AR163,U163)-AP163-SUM(H163:L163)-AS163-SUM(Y163,AD163,AE163,AH163)</f>
        <v/>
      </c>
      <c r="AU163" s="137">
        <f>IF(ISNUMBER('Assumptions'!$B$19),MAX(0,SUM(AT162:AT163))*'Assumptions'!$B$19-SUM(AU162:AU162),"")</f>
        <v/>
      </c>
      <c r="AV163" s="137">
        <f>IF(ISNUMBER(AU163),AT163-AU163,"")</f>
        <v/>
      </c>
      <c r="AW163" s="137">
        <f>IF(ISNUMBER('Assumptions'!$B$11),'Assumptions'!$B$11+SUM(AQ150:AQ163)-SUM(S150:S163)-SUM(T150:T163),"")</f>
        <v/>
      </c>
      <c r="AX163" s="137">
        <f>IF(ISNUMBER('Assumptions'!$B$12),'Assumptions'!$B$12+SUM(G150:G163)-SUM(AP150:AP163),"")</f>
        <v/>
      </c>
      <c r="AY163" s="137">
        <f>IF(ISNUMBER('Assumptions'!$B$13),'Assumptions'!$B$13+SUM(M150:M163)-SUM(AS150:AS163),"")</f>
        <v/>
      </c>
      <c r="AZ163" s="137">
        <f>IF(ISNUMBER('Assumptions'!$B$14),'Assumptions'!$B$14+-SUM(AF150:AF163),"")</f>
        <v/>
      </c>
      <c r="BA163" s="137">
        <f>IF(ISNUMBER('Assumptions'!$B$15),'Assumptions'!$B$15+SUM(O150:O163)+SUM(P150:P163)-SUM(AR150:AR163),"")</f>
        <v/>
      </c>
      <c r="BB163" s="137">
        <f>IF(ISNUMBER('Assumptions'!$B$16),'Assumptions'!$B$16+-SUM(AC150:AC163),"")</f>
        <v/>
      </c>
      <c r="BC163" s="137">
        <f>IF(AND(ISNUMBER('Assumptions'!$B$21),ISNUMBER('Assumptions'!$B$19)),'Assumptions'!$B$21+SUM(AU150:AU163)-SUM(AG150:AG163),"")</f>
        <v/>
      </c>
      <c r="BD163" s="137">
        <f>IF(ISNUMBER('Assumptions'!$B$20),'Assumptions'!$B$20+-SUM(AI150:AI163),"")</f>
        <v/>
      </c>
      <c r="BE163" s="137">
        <f>IF(AND(ISNUMBER('Assumptions'!$B$17),COUNT(AV150:AV163)=14),'Assumptions'!$B$17+SUM(AV150:AV163),"")</f>
        <v/>
      </c>
      <c r="BF163" s="137">
        <f>IF(COUNT(AL163,AW163:AY163)=4,SUM(AL163,AW163:AY163),"")</f>
        <v/>
      </c>
      <c r="BG163" s="137">
        <f>IF(COUNT(AZ163:BD163)=5,SUM(AZ163:BD163,AA163),"")</f>
        <v/>
      </c>
      <c r="BH163" s="137">
        <f>IF(COUNT(BF163,BG163,BE163)=3,BF163-BG163-BE163,"")</f>
        <v/>
      </c>
      <c r="BI163" s="137">
        <f>SUM(W163,X163)-Z163-AA163</f>
        <v/>
      </c>
      <c r="BJ163" s="137">
        <f>8-COUNT('Assumptions'!Q58:Q65)+COUNTBLANK('NM Play'!B33:B34)+'Costs'!E44+IF(AND('Sites'!E6=1,('Sites'!F6)&lt;=24,'Sites'!G6&gt;=13),IF(ISNUMBER('Sites'!P6),0,1)+'Capital'!I6+COUNTBLANK('Sites'!R6)+IF('Sites'!D6="NM crew",COUNTBLANK('NM Play'!B25)+1,5-COUNT('Assumptions'!Q112:Q116)),0)+IF(AND('Sites'!E7=1,('Sites'!F7+'Cases'!G10)&lt;=24,'Sites'!G7&gt;=13),IF(ISNUMBER('Sites'!P7),0,1)+'Capital'!I7+COUNTBLANK('Sites'!R7)+IF('Sites'!D7="NM crew",COUNTBLANK('NM Play'!B25)+1,5-COUNT('Assumptions'!Q117:Q121)),0)+IF(AND('Sites'!E8*'Cases'!F10=1,('Sites'!F8+'Cases'!G10)&lt;=24,'Sites'!G8&gt;=13),IF(ISNUMBER('Sites'!P8),0,1)+'Capital'!I8+COUNTBLANK('Sites'!R8)+IF('Sites'!D8="NM crew",COUNTBLANK('NM Play'!B25)+1,5-COUNT('Assumptions'!Q122:Q126)),0)+IF(AND('Cases'!C10&gt;0,NOT(ISNUMBER('Assumptions'!B42))),1,0)+'Responsibilities'!$B$39</f>
        <v/>
      </c>
      <c r="BK163" s="137">
        <f>'Assumptions'!$B$50+'NM Play'!$B$83+'Funding'!$F$20+SUMIFS('Production schedule'!$AN$438:$AN$545,'Production schedule'!$C$438:$C$545,14)+IF(OR('Cases'!E10&lt;0,'Cases'!E10&gt;1,'Cases'!C10&lt;0,'Cases'!D10&lt;0,ABS(SUM('Sites'!S6:S8)-1)&gt;0.0001,MIN('Capital'!F6:F8)&lt;0,MAX('Capital'!F6:F8)&gt;1,MIN(AX163,AZ163,BB163,BA163)&lt;-0.01),1,0)+'Responsibilities'!$B$40</f>
        <v/>
      </c>
      <c r="BL163" s="137">
        <f>SUMIFS('Production schedule'!$T$438:$T$545,'Production schedule'!$C$438:$C$545,14)</f>
        <v/>
      </c>
      <c r="BM163" s="137">
        <f>D163*'NM Play'!$B$38</f>
        <v/>
      </c>
      <c r="BN163" s="137">
        <f>SUMIFS('Production schedule'!$AM$438:$AM$545,'Production schedule'!$C$438:$C$545,14)</f>
        <v/>
      </c>
      <c r="BO163" s="137">
        <f>AK163-AK162-AJ163</f>
        <v/>
      </c>
      <c r="BP163" s="137">
        <f>IF(AND('Assumptions'!$B$39&gt;=0,'Assumptions'!$B$40&gt;0),-PMT('Assumptions'!$B$39/12,'Assumptions'!$B$40*12,IF('Funding'!$N$11&gt;0,'Funding'!$N$11,'Funding'!$V$11)),"")</f>
        <v/>
      </c>
      <c r="BQ163">
        <f>('Production schedule'!AJ451)*(1-'Responsibilities'!$C$6)+('Production schedule'!AJ487)*(1-'Responsibilities'!$C$7)+('Production schedule'!AJ523)*(1-'Responsibilities'!$C$8)</f>
        <v/>
      </c>
      <c r="BR163">
        <f>('Production schedule'!AI451)*(1-'Responsibilities'!$D$6)+('Production schedule'!AI487)*(1-'Responsibilities'!$D$7)+('Production schedule'!AI523)*(1-'Responsibilities'!$D$8)</f>
        <v/>
      </c>
      <c r="BS163">
        <f>('Production schedule'!E451*(IF('Sites'!D6="Annual staff",SUM('Assumptions'!Q112,'Assumptions'!Q114),0)+SUM('Assumptions'!Q113,'Assumptions'!Q115:Q116)))*(1-'Responsibilities'!$E$6)+('Production schedule'!E487*(IF('Sites'!D7="Annual staff",SUM('Assumptions'!Q117,'Assumptions'!Q119),0)+SUM('Assumptions'!Q118,'Assumptions'!Q120:Q121)))*(1-'Responsibilities'!$E$7)+('Production schedule'!E523*(IF('Sites'!D8="Annual staff",SUM('Assumptions'!Q122,'Assumptions'!Q124),0)+SUM('Assumptions'!Q123,'Assumptions'!Q125:Q126)))*(1-'Responsibilities'!$E$8)</f>
        <v/>
      </c>
      <c r="BT163">
        <f>(IF(AND('Production schedule'!E451=1,14=MAX(('Sites'!F6),13),ISNUMBER('Sites'!P6)),'Sites'!P6*'Assumptions'!$B$44,0))*(1-'Responsibilities'!$F$6)+(IF(AND('Production schedule'!E487=1,14=MAX(('Sites'!F7+'Cases'!G10),13),ISNUMBER('Sites'!P7)),'Sites'!P7*'Assumptions'!$B$44,0))*(1-'Responsibilities'!$F$7)+(IF(AND('Production schedule'!E523=1,14=MAX(('Sites'!F8+'Cases'!G10),13),ISNUMBER('Sites'!P8)),'Sites'!P8*'Assumptions'!$B$44,0))*(1-'Responsibilities'!$F$8)</f>
        <v/>
      </c>
      <c r="BU163">
        <f>SUM('Costs'!E36)*'Costs'!F36/12*(1-'Responsibilities'!$C$12)+SUM('Costs'!E37)*'Costs'!F37/12*(1-'Responsibilities'!$C$13)+SUM('Costs'!E38)*'Costs'!F38/12*(1-'Responsibilities'!$C$14)+SUM('Costs'!E39)*'Costs'!F39/12*(1-'Responsibilities'!$C$15)+SUM('Costs'!E40)*'Costs'!F40/12*(1-'Responsibilities'!$C$16)</f>
        <v/>
      </c>
      <c r="BV163">
        <f>('Sites'!E6*'Capital'!E6*(IF(14='Capital'!G6,'Capital'!F6,0)+IF(14='Capital'!H6,1-'Capital'!F6,0)))*(1-'Responsibilities'!$G$6)+('Sites'!E7*'Capital'!E7*(IF(14='Capital'!G7+'Cases'!G10,'Capital'!F7,0)+IF(14='Capital'!H7+'Cases'!G10,1-'Capital'!F7,0)))*(1-'Responsibilities'!$G$7)+('Sites'!E8*'Cases'!F10*'Capital'!E8*(IF(14='Capital'!G8+'Cases'!G10,'Capital'!F8,0)+IF(14='Capital'!H8+'Cases'!G10,1-'Capital'!F8,0)))*(1-'Responsibilities'!$G$8)</f>
        <v/>
      </c>
      <c r="BW163">
        <f>SUM(BQ163:BV163)</f>
        <v/>
      </c>
      <c r="BX163">
        <f>N163+BW163</f>
        <v/>
      </c>
      <c r="BY163">
        <f>BX163-(('Production schedule'!AJ451)*'Responsibilities'!$C$6+('Production schedule'!AJ487)*'Responsibilities'!$C$7+('Production schedule'!AJ523)*'Responsibilities'!$C$8+('Production schedule'!AJ451)*(1-'Responsibilities'!$C$6)+('Production schedule'!AJ487)*(1-'Responsibilities'!$C$7)+('Production schedule'!AJ523)*(1-'Responsibilities'!$C$8)+('Production schedule'!AI451)*'Responsibilities'!$D$6+('Production schedule'!AI487)*'Responsibilities'!$D$7+('Production schedule'!AI523)*'Responsibilities'!$D$8+('Production schedule'!AI451)*(1-'Responsibilities'!$D$6)+('Production schedule'!AI487)*(1-'Responsibilities'!$D$7)+('Production schedule'!AI523)*(1-'Responsibilities'!$D$8)+('Production schedule'!E451*(IF('Sites'!D6="Annual staff",SUM('Assumptions'!Q112,'Assumptions'!Q114),0)+SUM('Assumptions'!Q113,'Assumptions'!Q115:Q116)))*'Responsibilities'!$E$6+('Production schedule'!E487*(IF('Sites'!D7="Annual staff",SUM('Assumptions'!Q117,'Assumptions'!Q119),0)+SUM('Assumptions'!Q118,'Assumptions'!Q120:Q121)))*'Responsibilities'!$E$7+('Production schedule'!E523*(IF('Sites'!D8="Annual staff",SUM('Assumptions'!Q122,'Assumptions'!Q124),0)+SUM('Assumptions'!Q123,'Assumptions'!Q125:Q126)))*'Responsibilities'!$E$8+('Production schedule'!E451*(IF('Sites'!D6="Annual staff",SUM('Assumptions'!Q112,'Assumptions'!Q114),0)+SUM('Assumptions'!Q113,'Assumptions'!Q115:Q116)))*(1-'Responsibilities'!$E$6)+('Production schedule'!E487*(IF('Sites'!D7="Annual staff",SUM('Assumptions'!Q117,'Assumptions'!Q119),0)+SUM('Assumptions'!Q118,'Assumptions'!Q120:Q121)))*(1-'Responsibilities'!$E$7)+('Production schedule'!E523*(IF('Sites'!D8="Annual staff",SUM('Assumptions'!Q122,'Assumptions'!Q124),0)+SUM('Assumptions'!Q123,'Assumptions'!Q125:Q126)))*(1-'Responsibilities'!$E$8)+(IF(AND('Production schedule'!E451=1,14=MAX(('Sites'!F6),13),ISNUMBER('Sites'!P6)),'Sites'!P6*'Assumptions'!$B$44,0))*'Responsibilities'!$F$6+(IF(AND('Production schedule'!E487=1,14=MAX(('Sites'!F7+'Cases'!G10),13),ISNUMBER('Sites'!P7)),'Sites'!P7*'Assumptions'!$B$44,0))*'Responsibilities'!$F$7+(IF(AND('Production schedule'!E523=1,14=MAX(('Sites'!F8+'Cases'!G10),13),ISNUMBER('Sites'!P8)),'Sites'!P8*'Assumptions'!$B$44,0))*'Responsibilities'!$F$8+(IF(AND('Production schedule'!E451=1,14=MAX(('Sites'!F6),13),ISNUMBER('Sites'!P6)),'Sites'!P6*'Assumptions'!$B$44,0))*(1-'Responsibilities'!$F$6)+(IF(AND('Production schedule'!E487=1,14=MAX(('Sites'!F7+'Cases'!G10),13),ISNUMBER('Sites'!P7)),'Sites'!P7*'Assumptions'!$B$44,0))*(1-'Responsibilities'!$F$7)+(IF(AND('Production schedule'!E523=1,14=MAX(('Sites'!F8+'Cases'!G10),13),ISNUMBER('Sites'!P8)),'Sites'!P8*'Assumptions'!$B$44,0))*(1-'Responsibilities'!$F$8)+('Sites'!E6*'Capital'!E6*(IF(14='Capital'!G6,'Capital'!F6,0)+IF(14='Capital'!H6,1-'Capital'!F6,0)))*'Responsibilities'!$G$6+('Sites'!E7*'Capital'!E7*(IF(14='Capital'!G7+'Cases'!G10,'Capital'!F7,0)+IF(14='Capital'!H7+'Cases'!G10,1-'Capital'!F7,0)))*'Responsibilities'!$G$7+('Sites'!E8*'Cases'!F10*'Capital'!E8*(IF(14='Capital'!G8+'Cases'!G10,'Capital'!F8,0)+IF(14='Capital'!H8+'Cases'!G10,1-'Capital'!F8,0)))*'Responsibilities'!$G$8+('Sites'!E6*'Capital'!E6*(IF(14='Capital'!G6,'Capital'!F6,0)+IF(14='Capital'!H6,1-'Capital'!F6,0)))*(1-'Responsibilities'!$G$6)+('Sites'!E7*'Capital'!E7*(IF(14='Capital'!G7+'Cases'!G10,'Capital'!F7,0)+IF(14='Capital'!H7+'Cases'!G10,1-'Capital'!F7,0)))*(1-'Responsibilities'!$G$7)+('Sites'!E8*'Cases'!F10*'Capital'!E8*(IF(14='Capital'!G8+'Cases'!G10,'Capital'!F8,0)+IF(14='Capital'!H8+'Cases'!G10,1-'Capital'!F8,0)))*(1-'Responsibilities'!$G$8)+I163+SUMPRODUCT('Costs'!$E$36:$E$40,'Costs'!$F$36:$F$40)/12+BZ163)</f>
        <v/>
      </c>
      <c r="BZ163">
        <f>SUMIFS('Responsibilities'!$B$31:$B$35,'Responsibilities'!$C$31:$C$35,14,'Responsibilities'!$D$31:$D$35,"Yes")</f>
        <v/>
      </c>
    </row>
    <row r="164" ht="28" customHeight="1">
      <c r="A164" s="4" t="inlineStr">
        <is>
          <t>Lower sales</t>
        </is>
      </c>
      <c r="B164" s="4" t="n">
        <v>15</v>
      </c>
      <c r="C164" s="4">
        <f>ROUNDUP(B164/12,0)</f>
        <v/>
      </c>
      <c r="D164" s="137">
        <f>SUMIFS('Production schedule'!$N$438:$N$545,'Production schedule'!$C$438:$C$545,15)</f>
        <v/>
      </c>
      <c r="E164" s="137">
        <f>SUMIFS('Production schedule'!$Y$438:$Y$545,'Production schedule'!$C$438:$C$545,15)</f>
        <v/>
      </c>
      <c r="F164" s="137">
        <f>SUMIFS('Production schedule'!$Z$438:$Z$545,'Production schedule'!$C$438:$C$545,15)</f>
        <v/>
      </c>
      <c r="G164" s="137">
        <f>('Production schedule'!AJ452)*'Responsibilities'!$C$6+('Production schedule'!AJ488)*'Responsibilities'!$C$7+('Production schedule'!AJ524)*'Responsibilities'!$C$8</f>
        <v/>
      </c>
      <c r="H164" s="137">
        <f>('Production schedule'!AI452)*'Responsibilities'!$D$6+('Production schedule'!AI488)*'Responsibilities'!$D$7+('Production schedule'!AI524)*'Responsibilities'!$D$8</f>
        <v/>
      </c>
      <c r="I164" s="137">
        <f>SUM('Assumptions'!R58:R65)</f>
        <v/>
      </c>
      <c r="J164" s="137">
        <f>('Production schedule'!E452*(IF('Sites'!D6="Annual staff",SUM('Assumptions'!R112,'Assumptions'!R114),0)+SUM('Assumptions'!R113,'Assumptions'!R115:R116)))*'Responsibilities'!$E$6+('Production schedule'!E488*(IF('Sites'!D7="Annual staff",SUM('Assumptions'!R117,'Assumptions'!R119),0)+SUM('Assumptions'!R118,'Assumptions'!R120:R121)))*'Responsibilities'!$E$7+('Production schedule'!E524*(IF('Sites'!D8="Annual staff",SUM('Assumptions'!R122,'Assumptions'!R124),0)+SUM('Assumptions'!R123,'Assumptions'!R125:R126)))*'Responsibilities'!$E$8</f>
        <v/>
      </c>
      <c r="K164" s="137">
        <f>(IF(AND('Production schedule'!E452=1,15=MAX(('Sites'!F6),13),ISNUMBER('Sites'!P6)),'Sites'!P6*'Assumptions'!$B$44,0))*'Responsibilities'!$F$6+(IF(AND('Production schedule'!E488=1,15=MAX(('Sites'!F7+'Cases'!G10),13),ISNUMBER('Sites'!P7)),'Sites'!P7*'Assumptions'!$B$44,0))*'Responsibilities'!$F$7+(IF(AND('Production schedule'!E524=1,15=MAX(('Sites'!F8+'Cases'!G10),13),ISNUMBER('Sites'!P8)),'Sites'!P8*'Assumptions'!$B$44,0))*'Responsibilities'!$F$8</f>
        <v/>
      </c>
      <c r="L164" s="137">
        <f>SUM('Costs'!E36)*'Costs'!F36/12*'Responsibilities'!$C$12+SUM('Costs'!E37)*'Costs'!F37/12*'Responsibilities'!$C$13+SUM('Costs'!E38)*'Costs'!F38/12*'Responsibilities'!$C$14+SUM('Costs'!E39)*'Costs'!F39/12*'Responsibilities'!$C$15+SUM('Costs'!E40)*'Costs'!F40/12*'Responsibilities'!$C$16+BZ164</f>
        <v/>
      </c>
      <c r="M164" s="137">
        <f>('Sites'!E6*'Capital'!E6*(IF(15='Capital'!G6,'Capital'!F6,0)+IF(15='Capital'!H6,1-'Capital'!F6,0)))*'Responsibilities'!$G$6+('Sites'!E7*'Capital'!E7*(IF(15='Capital'!G7+'Cases'!G10,'Capital'!F7,0)+IF(15='Capital'!H7+'Cases'!G10,1-'Capital'!F7,0)))*'Responsibilities'!$G$7+('Sites'!E8*'Cases'!F10*'Capital'!E8*(IF(15='Capital'!G8+'Cases'!G10,'Capital'!F8,0)+IF(15='Capital'!H8+'Cases'!G10,1-'Capital'!F8,0)))*'Responsibilities'!$G$8</f>
        <v/>
      </c>
      <c r="N164" s="137">
        <f>SUM(G164:M164)</f>
        <v/>
      </c>
      <c r="O164" s="137">
        <f>SUMIFS(FundingTranches[Secured amount],FundingTranches[Instrument],"Grant",FundingTranches[Secured month],15)</f>
        <v/>
      </c>
      <c r="P164" s="137">
        <f>SUMIFS(FundingTranches[Lower sales possible],FundingTranches[Instrument],"Grant",FundingTranches[Scenario month],15-'Cases'!$D$10)</f>
        <v/>
      </c>
      <c r="Q164" s="137">
        <f>SUMIFS(FundingTranches[Secured amount],FundingTranches[Instrument],"Loan",FundingTranches[Secured month],15)</f>
        <v/>
      </c>
      <c r="R164" s="137">
        <f>SUMIFS(FundingTranches[Lower sales possible],FundingTranches[Instrument],"Loan",FundingTranches[Scenario month],15-'Cases'!$D$10)</f>
        <v/>
      </c>
      <c r="S164" s="137">
        <f>IF(15&lt;='Assumptions'!$B$34,0,SUMIFS('Production schedule'!$AL$438:$AL$545,'Production schedule'!$C$438:$C$545,15-'Assumptions'!$B$34))</f>
        <v/>
      </c>
      <c r="T164" s="137">
        <f>'Assumptions'!R70</f>
        <v/>
      </c>
      <c r="U164" s="137">
        <f>'Assumptions'!R78</f>
        <v/>
      </c>
      <c r="V164" s="137">
        <f>SUM(O164:U164)</f>
        <v/>
      </c>
      <c r="W164" s="137">
        <f>AA163</f>
        <v/>
      </c>
      <c r="X164" s="137">
        <f>SUM(Q164:R164)</f>
        <v/>
      </c>
      <c r="Y164" s="137">
        <f>SUM(W164,X164)*'Assumptions'!$B$39/12</f>
        <v/>
      </c>
      <c r="Z164" s="137">
        <f>IF(SUM(W164,X164)&gt;0,MIN(SUM(W164,X164),MAX(0,BP164-Y164)),0)</f>
        <v/>
      </c>
      <c r="AA164" s="137">
        <f>SUM(W164,X164)-Z164</f>
        <v/>
      </c>
      <c r="AB164" s="137">
        <f>SUM(Y164:Z164)</f>
        <v/>
      </c>
      <c r="AC164" s="137">
        <f>'Assumptions'!R72</f>
        <v/>
      </c>
      <c r="AD164" s="137">
        <f>'Assumptions'!R73</f>
        <v/>
      </c>
      <c r="AE164" s="137">
        <f>IF(X164&gt;0,SUM('Assumptions'!$B$42),0)</f>
        <v/>
      </c>
      <c r="AF164" s="137">
        <f>'Assumptions'!R71</f>
        <v/>
      </c>
      <c r="AG164" s="137">
        <f>'Assumptions'!R74</f>
        <v/>
      </c>
      <c r="AH164" s="137">
        <f>'Assumptions'!R75</f>
        <v/>
      </c>
      <c r="AI164" s="137">
        <f>'Assumptions'!R77</f>
        <v/>
      </c>
      <c r="AJ164" s="137">
        <f>V164-N164-SUM(AB164:AI164)</f>
        <v/>
      </c>
      <c r="AK164" s="137">
        <f>SUM(AJ150:AJ164)</f>
        <v/>
      </c>
      <c r="AL164" s="137">
        <f>IF(ISNUMBER('Assumptions'!$B$10),'Assumptions'!$B$10+AK164,"")</f>
        <v/>
      </c>
      <c r="AM164" s="137">
        <f>SUM(O164,Q164,T164)-N164-SUM(AC164:AI164)+IF('Funding'!$N$11=0,AE164,0)-IF('Funding'!$N$11&gt;0,AB164,0)</f>
        <v/>
      </c>
      <c r="AN164" s="137">
        <f>SUM(AM150:AM164)</f>
        <v/>
      </c>
      <c r="AO164" s="137">
        <f>IF(ISNUMBER('Assumptions'!$B$10),'Assumptions'!$B$10+AN164,"")</f>
        <v/>
      </c>
      <c r="AP164" s="137">
        <f>('Production schedule'!AK452)*'Responsibilities'!$C$6+('Production schedule'!AK488)*'Responsibilities'!$C$7+('Production schedule'!AK524)*'Responsibilities'!$C$8</f>
        <v/>
      </c>
      <c r="AQ164" s="137">
        <f>SUMIFS('Production schedule'!$AL$438:$AL$545,'Production schedule'!$C$438:$C$545,15)</f>
        <v/>
      </c>
      <c r="AR164" s="137">
        <f>IF(ISNUMBER('Assumptions'!R76),'Assumptions'!R76,SUM(O164:P164))</f>
        <v/>
      </c>
      <c r="AS164" s="137">
        <f>IF(ISNUMBER('Assumptions'!$B$13),MIN('Assumptions'!$B$13/'Assumptions'!$B$18/12,MAX(0,'Assumptions'!$B$13-(15-1)*'Assumptions'!$B$13/'Assumptions'!$B$18/12)),0)+IF(AND('Sites'!E6=1,15&gt;=('Sites'!F6),15&lt;('Sites'!F6)+'Assumptions'!$B$18*12),'Capital'!E6/'Assumptions'!$B$18/12,0)+IF(AND('Sites'!E7=1,15&gt;=('Sites'!F7+'Cases'!G10),15&lt;('Sites'!F7+'Cases'!G10)+'Assumptions'!$B$18*12),'Capital'!E7/'Assumptions'!$B$18/12,0)+IF(AND('Sites'!E8*'Cases'!F10=1,15&gt;=('Sites'!F8+'Cases'!G10),15&lt;('Sites'!F8+'Cases'!G10)+'Assumptions'!$B$18*12),'Capital'!E8/'Assumptions'!$B$18/12,0)</f>
        <v/>
      </c>
      <c r="AT164" s="137">
        <f>SUM(AQ164,AR164,U164)-AP164-SUM(H164:L164)-AS164-SUM(Y164,AD164,AE164,AH164)</f>
        <v/>
      </c>
      <c r="AU164" s="137">
        <f>IF(ISNUMBER('Assumptions'!$B$19),MAX(0,SUM(AT162:AT164))*'Assumptions'!$B$19-SUM(AU162:AU163),"")</f>
        <v/>
      </c>
      <c r="AV164" s="137">
        <f>IF(ISNUMBER(AU164),AT164-AU164,"")</f>
        <v/>
      </c>
      <c r="AW164" s="137">
        <f>IF(ISNUMBER('Assumptions'!$B$11),'Assumptions'!$B$11+SUM(AQ150:AQ164)-SUM(S150:S164)-SUM(T150:T164),"")</f>
        <v/>
      </c>
      <c r="AX164" s="137">
        <f>IF(ISNUMBER('Assumptions'!$B$12),'Assumptions'!$B$12+SUM(G150:G164)-SUM(AP150:AP164),"")</f>
        <v/>
      </c>
      <c r="AY164" s="137">
        <f>IF(ISNUMBER('Assumptions'!$B$13),'Assumptions'!$B$13+SUM(M150:M164)-SUM(AS150:AS164),"")</f>
        <v/>
      </c>
      <c r="AZ164" s="137">
        <f>IF(ISNUMBER('Assumptions'!$B$14),'Assumptions'!$B$14+-SUM(AF150:AF164),"")</f>
        <v/>
      </c>
      <c r="BA164" s="137">
        <f>IF(ISNUMBER('Assumptions'!$B$15),'Assumptions'!$B$15+SUM(O150:O164)+SUM(P150:P164)-SUM(AR150:AR164),"")</f>
        <v/>
      </c>
      <c r="BB164" s="137">
        <f>IF(ISNUMBER('Assumptions'!$B$16),'Assumptions'!$B$16+-SUM(AC150:AC164),"")</f>
        <v/>
      </c>
      <c r="BC164" s="137">
        <f>IF(AND(ISNUMBER('Assumptions'!$B$21),ISNUMBER('Assumptions'!$B$19)),'Assumptions'!$B$21+SUM(AU150:AU164)-SUM(AG150:AG164),"")</f>
        <v/>
      </c>
      <c r="BD164" s="137">
        <f>IF(ISNUMBER('Assumptions'!$B$20),'Assumptions'!$B$20+-SUM(AI150:AI164),"")</f>
        <v/>
      </c>
      <c r="BE164" s="137">
        <f>IF(AND(ISNUMBER('Assumptions'!$B$17),COUNT(AV150:AV164)=15),'Assumptions'!$B$17+SUM(AV150:AV164),"")</f>
        <v/>
      </c>
      <c r="BF164" s="137">
        <f>IF(COUNT(AL164,AW164:AY164)=4,SUM(AL164,AW164:AY164),"")</f>
        <v/>
      </c>
      <c r="BG164" s="137">
        <f>IF(COUNT(AZ164:BD164)=5,SUM(AZ164:BD164,AA164),"")</f>
        <v/>
      </c>
      <c r="BH164" s="137">
        <f>IF(COUNT(BF164,BG164,BE164)=3,BF164-BG164-BE164,"")</f>
        <v/>
      </c>
      <c r="BI164" s="137">
        <f>SUM(W164,X164)-Z164-AA164</f>
        <v/>
      </c>
      <c r="BJ164" s="137">
        <f>8-COUNT('Assumptions'!R58:R65)+COUNTBLANK('NM Play'!B33:B34)+'Costs'!E44+IF(AND('Sites'!E6=1,('Sites'!F6)&lt;=24,'Sites'!G6&gt;=13),IF(ISNUMBER('Sites'!P6),0,1)+'Capital'!I6+COUNTBLANK('Sites'!R6)+IF('Sites'!D6="NM crew",COUNTBLANK('NM Play'!B25)+1,5-COUNT('Assumptions'!R112:R116)),0)+IF(AND('Sites'!E7=1,('Sites'!F7+'Cases'!G10)&lt;=24,'Sites'!G7&gt;=13),IF(ISNUMBER('Sites'!P7),0,1)+'Capital'!I7+COUNTBLANK('Sites'!R7)+IF('Sites'!D7="NM crew",COUNTBLANK('NM Play'!B25)+1,5-COUNT('Assumptions'!R117:R121)),0)+IF(AND('Sites'!E8*'Cases'!F10=1,('Sites'!F8+'Cases'!G10)&lt;=24,'Sites'!G8&gt;=13),IF(ISNUMBER('Sites'!P8),0,1)+'Capital'!I8+COUNTBLANK('Sites'!R8)+IF('Sites'!D8="NM crew",COUNTBLANK('NM Play'!B25)+1,5-COUNT('Assumptions'!R122:R126)),0)+IF(AND('Cases'!C10&gt;0,NOT(ISNUMBER('Assumptions'!B42))),1,0)+'Responsibilities'!$B$39</f>
        <v/>
      </c>
      <c r="BK164" s="137">
        <f>'Assumptions'!$B$50+'NM Play'!$B$83+'Funding'!$F$20+SUMIFS('Production schedule'!$AN$438:$AN$545,'Production schedule'!$C$438:$C$545,15)+IF(OR('Cases'!E10&lt;0,'Cases'!E10&gt;1,'Cases'!C10&lt;0,'Cases'!D10&lt;0,ABS(SUM('Sites'!S6:S8)-1)&gt;0.0001,MIN('Capital'!F6:F8)&lt;0,MAX('Capital'!F6:F8)&gt;1,MIN(AX164,AZ164,BB164,BA164)&lt;-0.01),1,0)+'Responsibilities'!$B$40</f>
        <v/>
      </c>
      <c r="BL164" s="137">
        <f>SUMIFS('Production schedule'!$T$438:$T$545,'Production schedule'!$C$438:$C$545,15)</f>
        <v/>
      </c>
      <c r="BM164" s="137">
        <f>D164*'NM Play'!$B$38</f>
        <v/>
      </c>
      <c r="BN164" s="137">
        <f>SUMIFS('Production schedule'!$AM$438:$AM$545,'Production schedule'!$C$438:$C$545,15)</f>
        <v/>
      </c>
      <c r="BO164" s="137">
        <f>AK164-AK163-AJ164</f>
        <v/>
      </c>
      <c r="BP164" s="137">
        <f>IF(AND('Assumptions'!$B$39&gt;=0,'Assumptions'!$B$40&gt;0),-PMT('Assumptions'!$B$39/12,'Assumptions'!$B$40*12,IF('Funding'!$N$11&gt;0,'Funding'!$N$11,'Funding'!$V$11)),"")</f>
        <v/>
      </c>
      <c r="BQ164">
        <f>('Production schedule'!AJ452)*(1-'Responsibilities'!$C$6)+('Production schedule'!AJ488)*(1-'Responsibilities'!$C$7)+('Production schedule'!AJ524)*(1-'Responsibilities'!$C$8)</f>
        <v/>
      </c>
      <c r="BR164">
        <f>('Production schedule'!AI452)*(1-'Responsibilities'!$D$6)+('Production schedule'!AI488)*(1-'Responsibilities'!$D$7)+('Production schedule'!AI524)*(1-'Responsibilities'!$D$8)</f>
        <v/>
      </c>
      <c r="BS164">
        <f>('Production schedule'!E452*(IF('Sites'!D6="Annual staff",SUM('Assumptions'!R112,'Assumptions'!R114),0)+SUM('Assumptions'!R113,'Assumptions'!R115:R116)))*(1-'Responsibilities'!$E$6)+('Production schedule'!E488*(IF('Sites'!D7="Annual staff",SUM('Assumptions'!R117,'Assumptions'!R119),0)+SUM('Assumptions'!R118,'Assumptions'!R120:R121)))*(1-'Responsibilities'!$E$7)+('Production schedule'!E524*(IF('Sites'!D8="Annual staff",SUM('Assumptions'!R122,'Assumptions'!R124),0)+SUM('Assumptions'!R123,'Assumptions'!R125:R126)))*(1-'Responsibilities'!$E$8)</f>
        <v/>
      </c>
      <c r="BT164">
        <f>(IF(AND('Production schedule'!E452=1,15=MAX(('Sites'!F6),13),ISNUMBER('Sites'!P6)),'Sites'!P6*'Assumptions'!$B$44,0))*(1-'Responsibilities'!$F$6)+(IF(AND('Production schedule'!E488=1,15=MAX(('Sites'!F7+'Cases'!G10),13),ISNUMBER('Sites'!P7)),'Sites'!P7*'Assumptions'!$B$44,0))*(1-'Responsibilities'!$F$7)+(IF(AND('Production schedule'!E524=1,15=MAX(('Sites'!F8+'Cases'!G10),13),ISNUMBER('Sites'!P8)),'Sites'!P8*'Assumptions'!$B$44,0))*(1-'Responsibilities'!$F$8)</f>
        <v/>
      </c>
      <c r="BU164">
        <f>SUM('Costs'!E36)*'Costs'!F36/12*(1-'Responsibilities'!$C$12)+SUM('Costs'!E37)*'Costs'!F37/12*(1-'Responsibilities'!$C$13)+SUM('Costs'!E38)*'Costs'!F38/12*(1-'Responsibilities'!$C$14)+SUM('Costs'!E39)*'Costs'!F39/12*(1-'Responsibilities'!$C$15)+SUM('Costs'!E40)*'Costs'!F40/12*(1-'Responsibilities'!$C$16)</f>
        <v/>
      </c>
      <c r="BV164">
        <f>('Sites'!E6*'Capital'!E6*(IF(15='Capital'!G6,'Capital'!F6,0)+IF(15='Capital'!H6,1-'Capital'!F6,0)))*(1-'Responsibilities'!$G$6)+('Sites'!E7*'Capital'!E7*(IF(15='Capital'!G7+'Cases'!G10,'Capital'!F7,0)+IF(15='Capital'!H7+'Cases'!G10,1-'Capital'!F7,0)))*(1-'Responsibilities'!$G$7)+('Sites'!E8*'Cases'!F10*'Capital'!E8*(IF(15='Capital'!G8+'Cases'!G10,'Capital'!F8,0)+IF(15='Capital'!H8+'Cases'!G10,1-'Capital'!F8,0)))*(1-'Responsibilities'!$G$8)</f>
        <v/>
      </c>
      <c r="BW164">
        <f>SUM(BQ164:BV164)</f>
        <v/>
      </c>
      <c r="BX164">
        <f>N164+BW164</f>
        <v/>
      </c>
      <c r="BY164">
        <f>BX164-(('Production schedule'!AJ452)*'Responsibilities'!$C$6+('Production schedule'!AJ488)*'Responsibilities'!$C$7+('Production schedule'!AJ524)*'Responsibilities'!$C$8+('Production schedule'!AJ452)*(1-'Responsibilities'!$C$6)+('Production schedule'!AJ488)*(1-'Responsibilities'!$C$7)+('Production schedule'!AJ524)*(1-'Responsibilities'!$C$8)+('Production schedule'!AI452)*'Responsibilities'!$D$6+('Production schedule'!AI488)*'Responsibilities'!$D$7+('Production schedule'!AI524)*'Responsibilities'!$D$8+('Production schedule'!AI452)*(1-'Responsibilities'!$D$6)+('Production schedule'!AI488)*(1-'Responsibilities'!$D$7)+('Production schedule'!AI524)*(1-'Responsibilities'!$D$8)+('Production schedule'!E452*(IF('Sites'!D6="Annual staff",SUM('Assumptions'!R112,'Assumptions'!R114),0)+SUM('Assumptions'!R113,'Assumptions'!R115:R116)))*'Responsibilities'!$E$6+('Production schedule'!E488*(IF('Sites'!D7="Annual staff",SUM('Assumptions'!R117,'Assumptions'!R119),0)+SUM('Assumptions'!R118,'Assumptions'!R120:R121)))*'Responsibilities'!$E$7+('Production schedule'!E524*(IF('Sites'!D8="Annual staff",SUM('Assumptions'!R122,'Assumptions'!R124),0)+SUM('Assumptions'!R123,'Assumptions'!R125:R126)))*'Responsibilities'!$E$8+('Production schedule'!E452*(IF('Sites'!D6="Annual staff",SUM('Assumptions'!R112,'Assumptions'!R114),0)+SUM('Assumptions'!R113,'Assumptions'!R115:R116)))*(1-'Responsibilities'!$E$6)+('Production schedule'!E488*(IF('Sites'!D7="Annual staff",SUM('Assumptions'!R117,'Assumptions'!R119),0)+SUM('Assumptions'!R118,'Assumptions'!R120:R121)))*(1-'Responsibilities'!$E$7)+('Production schedule'!E524*(IF('Sites'!D8="Annual staff",SUM('Assumptions'!R122,'Assumptions'!R124),0)+SUM('Assumptions'!R123,'Assumptions'!R125:R126)))*(1-'Responsibilities'!$E$8)+(IF(AND('Production schedule'!E452=1,15=MAX(('Sites'!F6),13),ISNUMBER('Sites'!P6)),'Sites'!P6*'Assumptions'!$B$44,0))*'Responsibilities'!$F$6+(IF(AND('Production schedule'!E488=1,15=MAX(('Sites'!F7+'Cases'!G10),13),ISNUMBER('Sites'!P7)),'Sites'!P7*'Assumptions'!$B$44,0))*'Responsibilities'!$F$7+(IF(AND('Production schedule'!E524=1,15=MAX(('Sites'!F8+'Cases'!G10),13),ISNUMBER('Sites'!P8)),'Sites'!P8*'Assumptions'!$B$44,0))*'Responsibilities'!$F$8+(IF(AND('Production schedule'!E452=1,15=MAX(('Sites'!F6),13),ISNUMBER('Sites'!P6)),'Sites'!P6*'Assumptions'!$B$44,0))*(1-'Responsibilities'!$F$6)+(IF(AND('Production schedule'!E488=1,15=MAX(('Sites'!F7+'Cases'!G10),13),ISNUMBER('Sites'!P7)),'Sites'!P7*'Assumptions'!$B$44,0))*(1-'Responsibilities'!$F$7)+(IF(AND('Production schedule'!E524=1,15=MAX(('Sites'!F8+'Cases'!G10),13),ISNUMBER('Sites'!P8)),'Sites'!P8*'Assumptions'!$B$44,0))*(1-'Responsibilities'!$F$8)+('Sites'!E6*'Capital'!E6*(IF(15='Capital'!G6,'Capital'!F6,0)+IF(15='Capital'!H6,1-'Capital'!F6,0)))*'Responsibilities'!$G$6+('Sites'!E7*'Capital'!E7*(IF(15='Capital'!G7+'Cases'!G10,'Capital'!F7,0)+IF(15='Capital'!H7+'Cases'!G10,1-'Capital'!F7,0)))*'Responsibilities'!$G$7+('Sites'!E8*'Cases'!F10*'Capital'!E8*(IF(15='Capital'!G8+'Cases'!G10,'Capital'!F8,0)+IF(15='Capital'!H8+'Cases'!G10,1-'Capital'!F8,0)))*'Responsibilities'!$G$8+('Sites'!E6*'Capital'!E6*(IF(15='Capital'!G6,'Capital'!F6,0)+IF(15='Capital'!H6,1-'Capital'!F6,0)))*(1-'Responsibilities'!$G$6)+('Sites'!E7*'Capital'!E7*(IF(15='Capital'!G7+'Cases'!G10,'Capital'!F7,0)+IF(15='Capital'!H7+'Cases'!G10,1-'Capital'!F7,0)))*(1-'Responsibilities'!$G$7)+('Sites'!E8*'Cases'!F10*'Capital'!E8*(IF(15='Capital'!G8+'Cases'!G10,'Capital'!F8,0)+IF(15='Capital'!H8+'Cases'!G10,1-'Capital'!F8,0)))*(1-'Responsibilities'!$G$8)+I164+SUMPRODUCT('Costs'!$E$36:$E$40,'Costs'!$F$36:$F$40)/12+BZ164)</f>
        <v/>
      </c>
      <c r="BZ164">
        <f>SUMIFS('Responsibilities'!$B$31:$B$35,'Responsibilities'!$C$31:$C$35,15,'Responsibilities'!$D$31:$D$35,"Yes")</f>
        <v/>
      </c>
    </row>
    <row r="165" ht="28" customHeight="1">
      <c r="A165" s="4" t="inlineStr">
        <is>
          <t>Lower sales</t>
        </is>
      </c>
      <c r="B165" s="4" t="n">
        <v>16</v>
      </c>
      <c r="C165" s="4">
        <f>ROUNDUP(B165/12,0)</f>
        <v/>
      </c>
      <c r="D165" s="137">
        <f>SUMIFS('Production schedule'!$N$438:$N$545,'Production schedule'!$C$438:$C$545,16)</f>
        <v/>
      </c>
      <c r="E165" s="137">
        <f>SUMIFS('Production schedule'!$Y$438:$Y$545,'Production schedule'!$C$438:$C$545,16)</f>
        <v/>
      </c>
      <c r="F165" s="137">
        <f>SUMIFS('Production schedule'!$Z$438:$Z$545,'Production schedule'!$C$438:$C$545,16)</f>
        <v/>
      </c>
      <c r="G165" s="137">
        <f>('Production schedule'!AJ453)*'Responsibilities'!$C$6+('Production schedule'!AJ489)*'Responsibilities'!$C$7+('Production schedule'!AJ525)*'Responsibilities'!$C$8</f>
        <v/>
      </c>
      <c r="H165" s="137">
        <f>('Production schedule'!AI453)*'Responsibilities'!$D$6+('Production schedule'!AI489)*'Responsibilities'!$D$7+('Production schedule'!AI525)*'Responsibilities'!$D$8</f>
        <v/>
      </c>
      <c r="I165" s="137">
        <f>SUM('Assumptions'!S58:S65)</f>
        <v/>
      </c>
      <c r="J165" s="137">
        <f>('Production schedule'!E453*(IF('Sites'!D6="Annual staff",SUM('Assumptions'!S112,'Assumptions'!S114),0)+SUM('Assumptions'!S113,'Assumptions'!S115:S116)))*'Responsibilities'!$E$6+('Production schedule'!E489*(IF('Sites'!D7="Annual staff",SUM('Assumptions'!S117,'Assumptions'!S119),0)+SUM('Assumptions'!S118,'Assumptions'!S120:S121)))*'Responsibilities'!$E$7+('Production schedule'!E525*(IF('Sites'!D8="Annual staff",SUM('Assumptions'!S122,'Assumptions'!S124),0)+SUM('Assumptions'!S123,'Assumptions'!S125:S126)))*'Responsibilities'!$E$8</f>
        <v/>
      </c>
      <c r="K165" s="137">
        <f>(IF(AND('Production schedule'!E453=1,16=MAX(('Sites'!F6),13),ISNUMBER('Sites'!P6)),'Sites'!P6*'Assumptions'!$B$44,0))*'Responsibilities'!$F$6+(IF(AND('Production schedule'!E489=1,16=MAX(('Sites'!F7+'Cases'!G10),13),ISNUMBER('Sites'!P7)),'Sites'!P7*'Assumptions'!$B$44,0))*'Responsibilities'!$F$7+(IF(AND('Production schedule'!E525=1,16=MAX(('Sites'!F8+'Cases'!G10),13),ISNUMBER('Sites'!P8)),'Sites'!P8*'Assumptions'!$B$44,0))*'Responsibilities'!$F$8</f>
        <v/>
      </c>
      <c r="L165" s="137">
        <f>SUM('Costs'!E36)*'Costs'!F36/12*'Responsibilities'!$C$12+SUM('Costs'!E37)*'Costs'!F37/12*'Responsibilities'!$C$13+SUM('Costs'!E38)*'Costs'!F38/12*'Responsibilities'!$C$14+SUM('Costs'!E39)*'Costs'!F39/12*'Responsibilities'!$C$15+SUM('Costs'!E40)*'Costs'!F40/12*'Responsibilities'!$C$16+BZ165</f>
        <v/>
      </c>
      <c r="M165" s="137">
        <f>('Sites'!E6*'Capital'!E6*(IF(16='Capital'!G6,'Capital'!F6,0)+IF(16='Capital'!H6,1-'Capital'!F6,0)))*'Responsibilities'!$G$6+('Sites'!E7*'Capital'!E7*(IF(16='Capital'!G7+'Cases'!G10,'Capital'!F7,0)+IF(16='Capital'!H7+'Cases'!G10,1-'Capital'!F7,0)))*'Responsibilities'!$G$7+('Sites'!E8*'Cases'!F10*'Capital'!E8*(IF(16='Capital'!G8+'Cases'!G10,'Capital'!F8,0)+IF(16='Capital'!H8+'Cases'!G10,1-'Capital'!F8,0)))*'Responsibilities'!$G$8</f>
        <v/>
      </c>
      <c r="N165" s="137">
        <f>SUM(G165:M165)</f>
        <v/>
      </c>
      <c r="O165" s="137">
        <f>SUMIFS(FundingTranches[Secured amount],FundingTranches[Instrument],"Grant",FundingTranches[Secured month],16)</f>
        <v/>
      </c>
      <c r="P165" s="137">
        <f>SUMIFS(FundingTranches[Lower sales possible],FundingTranches[Instrument],"Grant",FundingTranches[Scenario month],16-'Cases'!$D$10)</f>
        <v/>
      </c>
      <c r="Q165" s="137">
        <f>SUMIFS(FundingTranches[Secured amount],FundingTranches[Instrument],"Loan",FundingTranches[Secured month],16)</f>
        <v/>
      </c>
      <c r="R165" s="137">
        <f>SUMIFS(FundingTranches[Lower sales possible],FundingTranches[Instrument],"Loan",FundingTranches[Scenario month],16-'Cases'!$D$10)</f>
        <v/>
      </c>
      <c r="S165" s="137">
        <f>IF(16&lt;='Assumptions'!$B$34,0,SUMIFS('Production schedule'!$AL$438:$AL$545,'Production schedule'!$C$438:$C$545,16-'Assumptions'!$B$34))</f>
        <v/>
      </c>
      <c r="T165" s="137">
        <f>'Assumptions'!S70</f>
        <v/>
      </c>
      <c r="U165" s="137">
        <f>'Assumptions'!S78</f>
        <v/>
      </c>
      <c r="V165" s="137">
        <f>SUM(O165:U165)</f>
        <v/>
      </c>
      <c r="W165" s="137">
        <f>AA164</f>
        <v/>
      </c>
      <c r="X165" s="137">
        <f>SUM(Q165:R165)</f>
        <v/>
      </c>
      <c r="Y165" s="137">
        <f>SUM(W165,X165)*'Assumptions'!$B$39/12</f>
        <v/>
      </c>
      <c r="Z165" s="137">
        <f>IF(SUM(W165,X165)&gt;0,MIN(SUM(W165,X165),MAX(0,BP165-Y165)),0)</f>
        <v/>
      </c>
      <c r="AA165" s="137">
        <f>SUM(W165,X165)-Z165</f>
        <v/>
      </c>
      <c r="AB165" s="137">
        <f>SUM(Y165:Z165)</f>
        <v/>
      </c>
      <c r="AC165" s="137">
        <f>'Assumptions'!S72</f>
        <v/>
      </c>
      <c r="AD165" s="137">
        <f>'Assumptions'!S73</f>
        <v/>
      </c>
      <c r="AE165" s="137">
        <f>IF(X165&gt;0,SUM('Assumptions'!$B$42),0)</f>
        <v/>
      </c>
      <c r="AF165" s="137">
        <f>'Assumptions'!S71</f>
        <v/>
      </c>
      <c r="AG165" s="137">
        <f>'Assumptions'!S74</f>
        <v/>
      </c>
      <c r="AH165" s="137">
        <f>'Assumptions'!S75</f>
        <v/>
      </c>
      <c r="AI165" s="137">
        <f>'Assumptions'!S77</f>
        <v/>
      </c>
      <c r="AJ165" s="137">
        <f>V165-N165-SUM(AB165:AI165)</f>
        <v/>
      </c>
      <c r="AK165" s="137">
        <f>SUM(AJ150:AJ165)</f>
        <v/>
      </c>
      <c r="AL165" s="137">
        <f>IF(ISNUMBER('Assumptions'!$B$10),'Assumptions'!$B$10+AK165,"")</f>
        <v/>
      </c>
      <c r="AM165" s="137">
        <f>SUM(O165,Q165,T165)-N165-SUM(AC165:AI165)+IF('Funding'!$N$11=0,AE165,0)-IF('Funding'!$N$11&gt;0,AB165,0)</f>
        <v/>
      </c>
      <c r="AN165" s="137">
        <f>SUM(AM150:AM165)</f>
        <v/>
      </c>
      <c r="AO165" s="137">
        <f>IF(ISNUMBER('Assumptions'!$B$10),'Assumptions'!$B$10+AN165,"")</f>
        <v/>
      </c>
      <c r="AP165" s="137">
        <f>('Production schedule'!AK453)*'Responsibilities'!$C$6+('Production schedule'!AK489)*'Responsibilities'!$C$7+('Production schedule'!AK525)*'Responsibilities'!$C$8</f>
        <v/>
      </c>
      <c r="AQ165" s="137">
        <f>SUMIFS('Production schedule'!$AL$438:$AL$545,'Production schedule'!$C$438:$C$545,16)</f>
        <v/>
      </c>
      <c r="AR165" s="137">
        <f>IF(ISNUMBER('Assumptions'!S76),'Assumptions'!S76,SUM(O165:P165))</f>
        <v/>
      </c>
      <c r="AS165" s="137">
        <f>IF(ISNUMBER('Assumptions'!$B$13),MIN('Assumptions'!$B$13/'Assumptions'!$B$18/12,MAX(0,'Assumptions'!$B$13-(16-1)*'Assumptions'!$B$13/'Assumptions'!$B$18/12)),0)+IF(AND('Sites'!E6=1,16&gt;=('Sites'!F6),16&lt;('Sites'!F6)+'Assumptions'!$B$18*12),'Capital'!E6/'Assumptions'!$B$18/12,0)+IF(AND('Sites'!E7=1,16&gt;=('Sites'!F7+'Cases'!G10),16&lt;('Sites'!F7+'Cases'!G10)+'Assumptions'!$B$18*12),'Capital'!E7/'Assumptions'!$B$18/12,0)+IF(AND('Sites'!E8*'Cases'!F10=1,16&gt;=('Sites'!F8+'Cases'!G10),16&lt;('Sites'!F8+'Cases'!G10)+'Assumptions'!$B$18*12),'Capital'!E8/'Assumptions'!$B$18/12,0)</f>
        <v/>
      </c>
      <c r="AT165" s="137">
        <f>SUM(AQ165,AR165,U165)-AP165-SUM(H165:L165)-AS165-SUM(Y165,AD165,AE165,AH165)</f>
        <v/>
      </c>
      <c r="AU165" s="137">
        <f>IF(ISNUMBER('Assumptions'!$B$19),MAX(0,SUM(AT162:AT165))*'Assumptions'!$B$19-SUM(AU162:AU164),"")</f>
        <v/>
      </c>
      <c r="AV165" s="137">
        <f>IF(ISNUMBER(AU165),AT165-AU165,"")</f>
        <v/>
      </c>
      <c r="AW165" s="137">
        <f>IF(ISNUMBER('Assumptions'!$B$11),'Assumptions'!$B$11+SUM(AQ150:AQ165)-SUM(S150:S165)-SUM(T150:T165),"")</f>
        <v/>
      </c>
      <c r="AX165" s="137">
        <f>IF(ISNUMBER('Assumptions'!$B$12),'Assumptions'!$B$12+SUM(G150:G165)-SUM(AP150:AP165),"")</f>
        <v/>
      </c>
      <c r="AY165" s="137">
        <f>IF(ISNUMBER('Assumptions'!$B$13),'Assumptions'!$B$13+SUM(M150:M165)-SUM(AS150:AS165),"")</f>
        <v/>
      </c>
      <c r="AZ165" s="137">
        <f>IF(ISNUMBER('Assumptions'!$B$14),'Assumptions'!$B$14+-SUM(AF150:AF165),"")</f>
        <v/>
      </c>
      <c r="BA165" s="137">
        <f>IF(ISNUMBER('Assumptions'!$B$15),'Assumptions'!$B$15+SUM(O150:O165)+SUM(P150:P165)-SUM(AR150:AR165),"")</f>
        <v/>
      </c>
      <c r="BB165" s="137">
        <f>IF(ISNUMBER('Assumptions'!$B$16),'Assumptions'!$B$16+-SUM(AC150:AC165),"")</f>
        <v/>
      </c>
      <c r="BC165" s="137">
        <f>IF(AND(ISNUMBER('Assumptions'!$B$21),ISNUMBER('Assumptions'!$B$19)),'Assumptions'!$B$21+SUM(AU150:AU165)-SUM(AG150:AG165),"")</f>
        <v/>
      </c>
      <c r="BD165" s="137">
        <f>IF(ISNUMBER('Assumptions'!$B$20),'Assumptions'!$B$20+-SUM(AI150:AI165),"")</f>
        <v/>
      </c>
      <c r="BE165" s="137">
        <f>IF(AND(ISNUMBER('Assumptions'!$B$17),COUNT(AV150:AV165)=16),'Assumptions'!$B$17+SUM(AV150:AV165),"")</f>
        <v/>
      </c>
      <c r="BF165" s="137">
        <f>IF(COUNT(AL165,AW165:AY165)=4,SUM(AL165,AW165:AY165),"")</f>
        <v/>
      </c>
      <c r="BG165" s="137">
        <f>IF(COUNT(AZ165:BD165)=5,SUM(AZ165:BD165,AA165),"")</f>
        <v/>
      </c>
      <c r="BH165" s="137">
        <f>IF(COUNT(BF165,BG165,BE165)=3,BF165-BG165-BE165,"")</f>
        <v/>
      </c>
      <c r="BI165" s="137">
        <f>SUM(W165,X165)-Z165-AA165</f>
        <v/>
      </c>
      <c r="BJ165" s="137">
        <f>8-COUNT('Assumptions'!S58:S65)+COUNTBLANK('NM Play'!B33:B34)+'Costs'!E44+IF(AND('Sites'!E6=1,('Sites'!F6)&lt;=24,'Sites'!G6&gt;=13),IF(ISNUMBER('Sites'!P6),0,1)+'Capital'!I6+COUNTBLANK('Sites'!R6)+IF('Sites'!D6="NM crew",COUNTBLANK('NM Play'!B25)+1,5-COUNT('Assumptions'!S112:S116)),0)+IF(AND('Sites'!E7=1,('Sites'!F7+'Cases'!G10)&lt;=24,'Sites'!G7&gt;=13),IF(ISNUMBER('Sites'!P7),0,1)+'Capital'!I7+COUNTBLANK('Sites'!R7)+IF('Sites'!D7="NM crew",COUNTBLANK('NM Play'!B25)+1,5-COUNT('Assumptions'!S117:S121)),0)+IF(AND('Sites'!E8*'Cases'!F10=1,('Sites'!F8+'Cases'!G10)&lt;=24,'Sites'!G8&gt;=13),IF(ISNUMBER('Sites'!P8),0,1)+'Capital'!I8+COUNTBLANK('Sites'!R8)+IF('Sites'!D8="NM crew",COUNTBLANK('NM Play'!B25)+1,5-COUNT('Assumptions'!S122:S126)),0)+IF(AND('Cases'!C10&gt;0,NOT(ISNUMBER('Assumptions'!B42))),1,0)+'Responsibilities'!$B$39</f>
        <v/>
      </c>
      <c r="BK165" s="137">
        <f>'Assumptions'!$B$50+'NM Play'!$B$83+'Funding'!$F$20+SUMIFS('Production schedule'!$AN$438:$AN$545,'Production schedule'!$C$438:$C$545,16)+IF(OR('Cases'!E10&lt;0,'Cases'!E10&gt;1,'Cases'!C10&lt;0,'Cases'!D10&lt;0,ABS(SUM('Sites'!S6:S8)-1)&gt;0.0001,MIN('Capital'!F6:F8)&lt;0,MAX('Capital'!F6:F8)&gt;1,MIN(AX165,AZ165,BB165,BA165)&lt;-0.01),1,0)+'Responsibilities'!$B$40</f>
        <v/>
      </c>
      <c r="BL165" s="137">
        <f>SUMIFS('Production schedule'!$T$438:$T$545,'Production schedule'!$C$438:$C$545,16)</f>
        <v/>
      </c>
      <c r="BM165" s="137">
        <f>D165*'NM Play'!$B$38</f>
        <v/>
      </c>
      <c r="BN165" s="137">
        <f>SUMIFS('Production schedule'!$AM$438:$AM$545,'Production schedule'!$C$438:$C$545,16)</f>
        <v/>
      </c>
      <c r="BO165" s="137">
        <f>AK165-AK164-AJ165</f>
        <v/>
      </c>
      <c r="BP165" s="137">
        <f>IF(AND('Assumptions'!$B$39&gt;=0,'Assumptions'!$B$40&gt;0),-PMT('Assumptions'!$B$39/12,'Assumptions'!$B$40*12,IF('Funding'!$N$11&gt;0,'Funding'!$N$11,'Funding'!$V$11)),"")</f>
        <v/>
      </c>
      <c r="BQ165">
        <f>('Production schedule'!AJ453)*(1-'Responsibilities'!$C$6)+('Production schedule'!AJ489)*(1-'Responsibilities'!$C$7)+('Production schedule'!AJ525)*(1-'Responsibilities'!$C$8)</f>
        <v/>
      </c>
      <c r="BR165">
        <f>('Production schedule'!AI453)*(1-'Responsibilities'!$D$6)+('Production schedule'!AI489)*(1-'Responsibilities'!$D$7)+('Production schedule'!AI525)*(1-'Responsibilities'!$D$8)</f>
        <v/>
      </c>
      <c r="BS165">
        <f>('Production schedule'!E453*(IF('Sites'!D6="Annual staff",SUM('Assumptions'!S112,'Assumptions'!S114),0)+SUM('Assumptions'!S113,'Assumptions'!S115:S116)))*(1-'Responsibilities'!$E$6)+('Production schedule'!E489*(IF('Sites'!D7="Annual staff",SUM('Assumptions'!S117,'Assumptions'!S119),0)+SUM('Assumptions'!S118,'Assumptions'!S120:S121)))*(1-'Responsibilities'!$E$7)+('Production schedule'!E525*(IF('Sites'!D8="Annual staff",SUM('Assumptions'!S122,'Assumptions'!S124),0)+SUM('Assumptions'!S123,'Assumptions'!S125:S126)))*(1-'Responsibilities'!$E$8)</f>
        <v/>
      </c>
      <c r="BT165">
        <f>(IF(AND('Production schedule'!E453=1,16=MAX(('Sites'!F6),13),ISNUMBER('Sites'!P6)),'Sites'!P6*'Assumptions'!$B$44,0))*(1-'Responsibilities'!$F$6)+(IF(AND('Production schedule'!E489=1,16=MAX(('Sites'!F7+'Cases'!G10),13),ISNUMBER('Sites'!P7)),'Sites'!P7*'Assumptions'!$B$44,0))*(1-'Responsibilities'!$F$7)+(IF(AND('Production schedule'!E525=1,16=MAX(('Sites'!F8+'Cases'!G10),13),ISNUMBER('Sites'!P8)),'Sites'!P8*'Assumptions'!$B$44,0))*(1-'Responsibilities'!$F$8)</f>
        <v/>
      </c>
      <c r="BU165">
        <f>SUM('Costs'!E36)*'Costs'!F36/12*(1-'Responsibilities'!$C$12)+SUM('Costs'!E37)*'Costs'!F37/12*(1-'Responsibilities'!$C$13)+SUM('Costs'!E38)*'Costs'!F38/12*(1-'Responsibilities'!$C$14)+SUM('Costs'!E39)*'Costs'!F39/12*(1-'Responsibilities'!$C$15)+SUM('Costs'!E40)*'Costs'!F40/12*(1-'Responsibilities'!$C$16)</f>
        <v/>
      </c>
      <c r="BV165">
        <f>('Sites'!E6*'Capital'!E6*(IF(16='Capital'!G6,'Capital'!F6,0)+IF(16='Capital'!H6,1-'Capital'!F6,0)))*(1-'Responsibilities'!$G$6)+('Sites'!E7*'Capital'!E7*(IF(16='Capital'!G7+'Cases'!G10,'Capital'!F7,0)+IF(16='Capital'!H7+'Cases'!G10,1-'Capital'!F7,0)))*(1-'Responsibilities'!$G$7)+('Sites'!E8*'Cases'!F10*'Capital'!E8*(IF(16='Capital'!G8+'Cases'!G10,'Capital'!F8,0)+IF(16='Capital'!H8+'Cases'!G10,1-'Capital'!F8,0)))*(1-'Responsibilities'!$G$8)</f>
        <v/>
      </c>
      <c r="BW165">
        <f>SUM(BQ165:BV165)</f>
        <v/>
      </c>
      <c r="BX165">
        <f>N165+BW165</f>
        <v/>
      </c>
      <c r="BY165">
        <f>BX165-(('Production schedule'!AJ453)*'Responsibilities'!$C$6+('Production schedule'!AJ489)*'Responsibilities'!$C$7+('Production schedule'!AJ525)*'Responsibilities'!$C$8+('Production schedule'!AJ453)*(1-'Responsibilities'!$C$6)+('Production schedule'!AJ489)*(1-'Responsibilities'!$C$7)+('Production schedule'!AJ525)*(1-'Responsibilities'!$C$8)+('Production schedule'!AI453)*'Responsibilities'!$D$6+('Production schedule'!AI489)*'Responsibilities'!$D$7+('Production schedule'!AI525)*'Responsibilities'!$D$8+('Production schedule'!AI453)*(1-'Responsibilities'!$D$6)+('Production schedule'!AI489)*(1-'Responsibilities'!$D$7)+('Production schedule'!AI525)*(1-'Responsibilities'!$D$8)+('Production schedule'!E453*(IF('Sites'!D6="Annual staff",SUM('Assumptions'!S112,'Assumptions'!S114),0)+SUM('Assumptions'!S113,'Assumptions'!S115:S116)))*'Responsibilities'!$E$6+('Production schedule'!E489*(IF('Sites'!D7="Annual staff",SUM('Assumptions'!S117,'Assumptions'!S119),0)+SUM('Assumptions'!S118,'Assumptions'!S120:S121)))*'Responsibilities'!$E$7+('Production schedule'!E525*(IF('Sites'!D8="Annual staff",SUM('Assumptions'!S122,'Assumptions'!S124),0)+SUM('Assumptions'!S123,'Assumptions'!S125:S126)))*'Responsibilities'!$E$8+('Production schedule'!E453*(IF('Sites'!D6="Annual staff",SUM('Assumptions'!S112,'Assumptions'!S114),0)+SUM('Assumptions'!S113,'Assumptions'!S115:S116)))*(1-'Responsibilities'!$E$6)+('Production schedule'!E489*(IF('Sites'!D7="Annual staff",SUM('Assumptions'!S117,'Assumptions'!S119),0)+SUM('Assumptions'!S118,'Assumptions'!S120:S121)))*(1-'Responsibilities'!$E$7)+('Production schedule'!E525*(IF('Sites'!D8="Annual staff",SUM('Assumptions'!S122,'Assumptions'!S124),0)+SUM('Assumptions'!S123,'Assumptions'!S125:S126)))*(1-'Responsibilities'!$E$8)+(IF(AND('Production schedule'!E453=1,16=MAX(('Sites'!F6),13),ISNUMBER('Sites'!P6)),'Sites'!P6*'Assumptions'!$B$44,0))*'Responsibilities'!$F$6+(IF(AND('Production schedule'!E489=1,16=MAX(('Sites'!F7+'Cases'!G10),13),ISNUMBER('Sites'!P7)),'Sites'!P7*'Assumptions'!$B$44,0))*'Responsibilities'!$F$7+(IF(AND('Production schedule'!E525=1,16=MAX(('Sites'!F8+'Cases'!G10),13),ISNUMBER('Sites'!P8)),'Sites'!P8*'Assumptions'!$B$44,0))*'Responsibilities'!$F$8+(IF(AND('Production schedule'!E453=1,16=MAX(('Sites'!F6),13),ISNUMBER('Sites'!P6)),'Sites'!P6*'Assumptions'!$B$44,0))*(1-'Responsibilities'!$F$6)+(IF(AND('Production schedule'!E489=1,16=MAX(('Sites'!F7+'Cases'!G10),13),ISNUMBER('Sites'!P7)),'Sites'!P7*'Assumptions'!$B$44,0))*(1-'Responsibilities'!$F$7)+(IF(AND('Production schedule'!E525=1,16=MAX(('Sites'!F8+'Cases'!G10),13),ISNUMBER('Sites'!P8)),'Sites'!P8*'Assumptions'!$B$44,0))*(1-'Responsibilities'!$F$8)+('Sites'!E6*'Capital'!E6*(IF(16='Capital'!G6,'Capital'!F6,0)+IF(16='Capital'!H6,1-'Capital'!F6,0)))*'Responsibilities'!$G$6+('Sites'!E7*'Capital'!E7*(IF(16='Capital'!G7+'Cases'!G10,'Capital'!F7,0)+IF(16='Capital'!H7+'Cases'!G10,1-'Capital'!F7,0)))*'Responsibilities'!$G$7+('Sites'!E8*'Cases'!F10*'Capital'!E8*(IF(16='Capital'!G8+'Cases'!G10,'Capital'!F8,0)+IF(16='Capital'!H8+'Cases'!G10,1-'Capital'!F8,0)))*'Responsibilities'!$G$8+('Sites'!E6*'Capital'!E6*(IF(16='Capital'!G6,'Capital'!F6,0)+IF(16='Capital'!H6,1-'Capital'!F6,0)))*(1-'Responsibilities'!$G$6)+('Sites'!E7*'Capital'!E7*(IF(16='Capital'!G7+'Cases'!G10,'Capital'!F7,0)+IF(16='Capital'!H7+'Cases'!G10,1-'Capital'!F7,0)))*(1-'Responsibilities'!$G$7)+('Sites'!E8*'Cases'!F10*'Capital'!E8*(IF(16='Capital'!G8+'Cases'!G10,'Capital'!F8,0)+IF(16='Capital'!H8+'Cases'!G10,1-'Capital'!F8,0)))*(1-'Responsibilities'!$G$8)+I165+SUMPRODUCT('Costs'!$E$36:$E$40,'Costs'!$F$36:$F$40)/12+BZ165)</f>
        <v/>
      </c>
      <c r="BZ165">
        <f>SUMIFS('Responsibilities'!$B$31:$B$35,'Responsibilities'!$C$31:$C$35,16,'Responsibilities'!$D$31:$D$35,"Yes")</f>
        <v/>
      </c>
    </row>
    <row r="166" ht="28" customHeight="1">
      <c r="A166" s="4" t="inlineStr">
        <is>
          <t>Lower sales</t>
        </is>
      </c>
      <c r="B166" s="4" t="n">
        <v>17</v>
      </c>
      <c r="C166" s="4">
        <f>ROUNDUP(B166/12,0)</f>
        <v/>
      </c>
      <c r="D166" s="137">
        <f>SUMIFS('Production schedule'!$N$438:$N$545,'Production schedule'!$C$438:$C$545,17)</f>
        <v/>
      </c>
      <c r="E166" s="137">
        <f>SUMIFS('Production schedule'!$Y$438:$Y$545,'Production schedule'!$C$438:$C$545,17)</f>
        <v/>
      </c>
      <c r="F166" s="137">
        <f>SUMIFS('Production schedule'!$Z$438:$Z$545,'Production schedule'!$C$438:$C$545,17)</f>
        <v/>
      </c>
      <c r="G166" s="137">
        <f>('Production schedule'!AJ454)*'Responsibilities'!$C$6+('Production schedule'!AJ490)*'Responsibilities'!$C$7+('Production schedule'!AJ526)*'Responsibilities'!$C$8</f>
        <v/>
      </c>
      <c r="H166" s="137">
        <f>('Production schedule'!AI454)*'Responsibilities'!$D$6+('Production schedule'!AI490)*'Responsibilities'!$D$7+('Production schedule'!AI526)*'Responsibilities'!$D$8</f>
        <v/>
      </c>
      <c r="I166" s="137">
        <f>SUM('Assumptions'!T58:T65)</f>
        <v/>
      </c>
      <c r="J166" s="137">
        <f>('Production schedule'!E454*(IF('Sites'!D6="Annual staff",SUM('Assumptions'!T112,'Assumptions'!T114),0)+SUM('Assumptions'!T113,'Assumptions'!T115:T116)))*'Responsibilities'!$E$6+('Production schedule'!E490*(IF('Sites'!D7="Annual staff",SUM('Assumptions'!T117,'Assumptions'!T119),0)+SUM('Assumptions'!T118,'Assumptions'!T120:T121)))*'Responsibilities'!$E$7+('Production schedule'!E526*(IF('Sites'!D8="Annual staff",SUM('Assumptions'!T122,'Assumptions'!T124),0)+SUM('Assumptions'!T123,'Assumptions'!T125:T126)))*'Responsibilities'!$E$8</f>
        <v/>
      </c>
      <c r="K166" s="137">
        <f>(IF(AND('Production schedule'!E454=1,17=MAX(('Sites'!F6),13),ISNUMBER('Sites'!P6)),'Sites'!P6*'Assumptions'!$B$44,0))*'Responsibilities'!$F$6+(IF(AND('Production schedule'!E490=1,17=MAX(('Sites'!F7+'Cases'!G10),13),ISNUMBER('Sites'!P7)),'Sites'!P7*'Assumptions'!$B$44,0))*'Responsibilities'!$F$7+(IF(AND('Production schedule'!E526=1,17=MAX(('Sites'!F8+'Cases'!G10),13),ISNUMBER('Sites'!P8)),'Sites'!P8*'Assumptions'!$B$44,0))*'Responsibilities'!$F$8</f>
        <v/>
      </c>
      <c r="L166" s="137">
        <f>SUM('Costs'!E36)*'Costs'!F36/12*'Responsibilities'!$C$12+SUM('Costs'!E37)*'Costs'!F37/12*'Responsibilities'!$C$13+SUM('Costs'!E38)*'Costs'!F38/12*'Responsibilities'!$C$14+SUM('Costs'!E39)*'Costs'!F39/12*'Responsibilities'!$C$15+SUM('Costs'!E40)*'Costs'!F40/12*'Responsibilities'!$C$16+BZ166</f>
        <v/>
      </c>
      <c r="M166" s="137">
        <f>('Sites'!E6*'Capital'!E6*(IF(17='Capital'!G6,'Capital'!F6,0)+IF(17='Capital'!H6,1-'Capital'!F6,0)))*'Responsibilities'!$G$6+('Sites'!E7*'Capital'!E7*(IF(17='Capital'!G7+'Cases'!G10,'Capital'!F7,0)+IF(17='Capital'!H7+'Cases'!G10,1-'Capital'!F7,0)))*'Responsibilities'!$G$7+('Sites'!E8*'Cases'!F10*'Capital'!E8*(IF(17='Capital'!G8+'Cases'!G10,'Capital'!F8,0)+IF(17='Capital'!H8+'Cases'!G10,1-'Capital'!F8,0)))*'Responsibilities'!$G$8</f>
        <v/>
      </c>
      <c r="N166" s="137">
        <f>SUM(G166:M166)</f>
        <v/>
      </c>
      <c r="O166" s="137">
        <f>SUMIFS(FundingTranches[Secured amount],FundingTranches[Instrument],"Grant",FundingTranches[Secured month],17)</f>
        <v/>
      </c>
      <c r="P166" s="137">
        <f>SUMIFS(FundingTranches[Lower sales possible],FundingTranches[Instrument],"Grant",FundingTranches[Scenario month],17-'Cases'!$D$10)</f>
        <v/>
      </c>
      <c r="Q166" s="137">
        <f>SUMIFS(FundingTranches[Secured amount],FundingTranches[Instrument],"Loan",FundingTranches[Secured month],17)</f>
        <v/>
      </c>
      <c r="R166" s="137">
        <f>SUMIFS(FundingTranches[Lower sales possible],FundingTranches[Instrument],"Loan",FundingTranches[Scenario month],17-'Cases'!$D$10)</f>
        <v/>
      </c>
      <c r="S166" s="137">
        <f>IF(17&lt;='Assumptions'!$B$34,0,SUMIFS('Production schedule'!$AL$438:$AL$545,'Production schedule'!$C$438:$C$545,17-'Assumptions'!$B$34))</f>
        <v/>
      </c>
      <c r="T166" s="137">
        <f>'Assumptions'!T70</f>
        <v/>
      </c>
      <c r="U166" s="137">
        <f>'Assumptions'!T78</f>
        <v/>
      </c>
      <c r="V166" s="137">
        <f>SUM(O166:U166)</f>
        <v/>
      </c>
      <c r="W166" s="137">
        <f>AA165</f>
        <v/>
      </c>
      <c r="X166" s="137">
        <f>SUM(Q166:R166)</f>
        <v/>
      </c>
      <c r="Y166" s="137">
        <f>SUM(W166,X166)*'Assumptions'!$B$39/12</f>
        <v/>
      </c>
      <c r="Z166" s="137">
        <f>IF(SUM(W166,X166)&gt;0,MIN(SUM(W166,X166),MAX(0,BP166-Y166)),0)</f>
        <v/>
      </c>
      <c r="AA166" s="137">
        <f>SUM(W166,X166)-Z166</f>
        <v/>
      </c>
      <c r="AB166" s="137">
        <f>SUM(Y166:Z166)</f>
        <v/>
      </c>
      <c r="AC166" s="137">
        <f>'Assumptions'!T72</f>
        <v/>
      </c>
      <c r="AD166" s="137">
        <f>'Assumptions'!T73</f>
        <v/>
      </c>
      <c r="AE166" s="137">
        <f>IF(X166&gt;0,SUM('Assumptions'!$B$42),0)</f>
        <v/>
      </c>
      <c r="AF166" s="137">
        <f>'Assumptions'!T71</f>
        <v/>
      </c>
      <c r="AG166" s="137">
        <f>'Assumptions'!T74</f>
        <v/>
      </c>
      <c r="AH166" s="137">
        <f>'Assumptions'!T75</f>
        <v/>
      </c>
      <c r="AI166" s="137">
        <f>'Assumptions'!T77</f>
        <v/>
      </c>
      <c r="AJ166" s="137">
        <f>V166-N166-SUM(AB166:AI166)</f>
        <v/>
      </c>
      <c r="AK166" s="137">
        <f>SUM(AJ150:AJ166)</f>
        <v/>
      </c>
      <c r="AL166" s="137">
        <f>IF(ISNUMBER('Assumptions'!$B$10),'Assumptions'!$B$10+AK166,"")</f>
        <v/>
      </c>
      <c r="AM166" s="137">
        <f>SUM(O166,Q166,T166)-N166-SUM(AC166:AI166)+IF('Funding'!$N$11=0,AE166,0)-IF('Funding'!$N$11&gt;0,AB166,0)</f>
        <v/>
      </c>
      <c r="AN166" s="137">
        <f>SUM(AM150:AM166)</f>
        <v/>
      </c>
      <c r="AO166" s="137">
        <f>IF(ISNUMBER('Assumptions'!$B$10),'Assumptions'!$B$10+AN166,"")</f>
        <v/>
      </c>
      <c r="AP166" s="137">
        <f>('Production schedule'!AK454)*'Responsibilities'!$C$6+('Production schedule'!AK490)*'Responsibilities'!$C$7+('Production schedule'!AK526)*'Responsibilities'!$C$8</f>
        <v/>
      </c>
      <c r="AQ166" s="137">
        <f>SUMIFS('Production schedule'!$AL$438:$AL$545,'Production schedule'!$C$438:$C$545,17)</f>
        <v/>
      </c>
      <c r="AR166" s="137">
        <f>IF(ISNUMBER('Assumptions'!T76),'Assumptions'!T76,SUM(O166:P166))</f>
        <v/>
      </c>
      <c r="AS166" s="137">
        <f>IF(ISNUMBER('Assumptions'!$B$13),MIN('Assumptions'!$B$13/'Assumptions'!$B$18/12,MAX(0,'Assumptions'!$B$13-(17-1)*'Assumptions'!$B$13/'Assumptions'!$B$18/12)),0)+IF(AND('Sites'!E6=1,17&gt;=('Sites'!F6),17&lt;('Sites'!F6)+'Assumptions'!$B$18*12),'Capital'!E6/'Assumptions'!$B$18/12,0)+IF(AND('Sites'!E7=1,17&gt;=('Sites'!F7+'Cases'!G10),17&lt;('Sites'!F7+'Cases'!G10)+'Assumptions'!$B$18*12),'Capital'!E7/'Assumptions'!$B$18/12,0)+IF(AND('Sites'!E8*'Cases'!F10=1,17&gt;=('Sites'!F8+'Cases'!G10),17&lt;('Sites'!F8+'Cases'!G10)+'Assumptions'!$B$18*12),'Capital'!E8/'Assumptions'!$B$18/12,0)</f>
        <v/>
      </c>
      <c r="AT166" s="137">
        <f>SUM(AQ166,AR166,U166)-AP166-SUM(H166:L166)-AS166-SUM(Y166,AD166,AE166,AH166)</f>
        <v/>
      </c>
      <c r="AU166" s="137">
        <f>IF(ISNUMBER('Assumptions'!$B$19),MAX(0,SUM(AT162:AT166))*'Assumptions'!$B$19-SUM(AU162:AU165),"")</f>
        <v/>
      </c>
      <c r="AV166" s="137">
        <f>IF(ISNUMBER(AU166),AT166-AU166,"")</f>
        <v/>
      </c>
      <c r="AW166" s="137">
        <f>IF(ISNUMBER('Assumptions'!$B$11),'Assumptions'!$B$11+SUM(AQ150:AQ166)-SUM(S150:S166)-SUM(T150:T166),"")</f>
        <v/>
      </c>
      <c r="AX166" s="137">
        <f>IF(ISNUMBER('Assumptions'!$B$12),'Assumptions'!$B$12+SUM(G150:G166)-SUM(AP150:AP166),"")</f>
        <v/>
      </c>
      <c r="AY166" s="137">
        <f>IF(ISNUMBER('Assumptions'!$B$13),'Assumptions'!$B$13+SUM(M150:M166)-SUM(AS150:AS166),"")</f>
        <v/>
      </c>
      <c r="AZ166" s="137">
        <f>IF(ISNUMBER('Assumptions'!$B$14),'Assumptions'!$B$14+-SUM(AF150:AF166),"")</f>
        <v/>
      </c>
      <c r="BA166" s="137">
        <f>IF(ISNUMBER('Assumptions'!$B$15),'Assumptions'!$B$15+SUM(O150:O166)+SUM(P150:P166)-SUM(AR150:AR166),"")</f>
        <v/>
      </c>
      <c r="BB166" s="137">
        <f>IF(ISNUMBER('Assumptions'!$B$16),'Assumptions'!$B$16+-SUM(AC150:AC166),"")</f>
        <v/>
      </c>
      <c r="BC166" s="137">
        <f>IF(AND(ISNUMBER('Assumptions'!$B$21),ISNUMBER('Assumptions'!$B$19)),'Assumptions'!$B$21+SUM(AU150:AU166)-SUM(AG150:AG166),"")</f>
        <v/>
      </c>
      <c r="BD166" s="137">
        <f>IF(ISNUMBER('Assumptions'!$B$20),'Assumptions'!$B$20+-SUM(AI150:AI166),"")</f>
        <v/>
      </c>
      <c r="BE166" s="137">
        <f>IF(AND(ISNUMBER('Assumptions'!$B$17),COUNT(AV150:AV166)=17),'Assumptions'!$B$17+SUM(AV150:AV166),"")</f>
        <v/>
      </c>
      <c r="BF166" s="137">
        <f>IF(COUNT(AL166,AW166:AY166)=4,SUM(AL166,AW166:AY166),"")</f>
        <v/>
      </c>
      <c r="BG166" s="137">
        <f>IF(COUNT(AZ166:BD166)=5,SUM(AZ166:BD166,AA166),"")</f>
        <v/>
      </c>
      <c r="BH166" s="137">
        <f>IF(COUNT(BF166,BG166,BE166)=3,BF166-BG166-BE166,"")</f>
        <v/>
      </c>
      <c r="BI166" s="137">
        <f>SUM(W166,X166)-Z166-AA166</f>
        <v/>
      </c>
      <c r="BJ166" s="137">
        <f>8-COUNT('Assumptions'!T58:T65)+COUNTBLANK('NM Play'!B33:B34)+'Costs'!E44+IF(AND('Sites'!E6=1,('Sites'!F6)&lt;=24,'Sites'!G6&gt;=13),IF(ISNUMBER('Sites'!P6),0,1)+'Capital'!I6+COUNTBLANK('Sites'!R6)+IF('Sites'!D6="NM crew",COUNTBLANK('NM Play'!B25)+1,5-COUNT('Assumptions'!T112:T116)),0)+IF(AND('Sites'!E7=1,('Sites'!F7+'Cases'!G10)&lt;=24,'Sites'!G7&gt;=13),IF(ISNUMBER('Sites'!P7),0,1)+'Capital'!I7+COUNTBLANK('Sites'!R7)+IF('Sites'!D7="NM crew",COUNTBLANK('NM Play'!B25)+1,5-COUNT('Assumptions'!T117:T121)),0)+IF(AND('Sites'!E8*'Cases'!F10=1,('Sites'!F8+'Cases'!G10)&lt;=24,'Sites'!G8&gt;=13),IF(ISNUMBER('Sites'!P8),0,1)+'Capital'!I8+COUNTBLANK('Sites'!R8)+IF('Sites'!D8="NM crew",COUNTBLANK('NM Play'!B25)+1,5-COUNT('Assumptions'!T122:T126)),0)+IF(AND('Cases'!C10&gt;0,NOT(ISNUMBER('Assumptions'!B42))),1,0)+'Responsibilities'!$B$39</f>
        <v/>
      </c>
      <c r="BK166" s="137">
        <f>'Assumptions'!$B$50+'NM Play'!$B$83+'Funding'!$F$20+SUMIFS('Production schedule'!$AN$438:$AN$545,'Production schedule'!$C$438:$C$545,17)+IF(OR('Cases'!E10&lt;0,'Cases'!E10&gt;1,'Cases'!C10&lt;0,'Cases'!D10&lt;0,ABS(SUM('Sites'!S6:S8)-1)&gt;0.0001,MIN('Capital'!F6:F8)&lt;0,MAX('Capital'!F6:F8)&gt;1,MIN(AX166,AZ166,BB166,BA166)&lt;-0.01),1,0)+'Responsibilities'!$B$40</f>
        <v/>
      </c>
      <c r="BL166" s="137">
        <f>SUMIFS('Production schedule'!$T$438:$T$545,'Production schedule'!$C$438:$C$545,17)</f>
        <v/>
      </c>
      <c r="BM166" s="137">
        <f>D166*'NM Play'!$B$38</f>
        <v/>
      </c>
      <c r="BN166" s="137">
        <f>SUMIFS('Production schedule'!$AM$438:$AM$545,'Production schedule'!$C$438:$C$545,17)</f>
        <v/>
      </c>
      <c r="BO166" s="137">
        <f>AK166-AK165-AJ166</f>
        <v/>
      </c>
      <c r="BP166" s="137">
        <f>IF(AND('Assumptions'!$B$39&gt;=0,'Assumptions'!$B$40&gt;0),-PMT('Assumptions'!$B$39/12,'Assumptions'!$B$40*12,IF('Funding'!$N$11&gt;0,'Funding'!$N$11,'Funding'!$V$11)),"")</f>
        <v/>
      </c>
      <c r="BQ166">
        <f>('Production schedule'!AJ454)*(1-'Responsibilities'!$C$6)+('Production schedule'!AJ490)*(1-'Responsibilities'!$C$7)+('Production schedule'!AJ526)*(1-'Responsibilities'!$C$8)</f>
        <v/>
      </c>
      <c r="BR166">
        <f>('Production schedule'!AI454)*(1-'Responsibilities'!$D$6)+('Production schedule'!AI490)*(1-'Responsibilities'!$D$7)+('Production schedule'!AI526)*(1-'Responsibilities'!$D$8)</f>
        <v/>
      </c>
      <c r="BS166">
        <f>('Production schedule'!E454*(IF('Sites'!D6="Annual staff",SUM('Assumptions'!T112,'Assumptions'!T114),0)+SUM('Assumptions'!T113,'Assumptions'!T115:T116)))*(1-'Responsibilities'!$E$6)+('Production schedule'!E490*(IF('Sites'!D7="Annual staff",SUM('Assumptions'!T117,'Assumptions'!T119),0)+SUM('Assumptions'!T118,'Assumptions'!T120:T121)))*(1-'Responsibilities'!$E$7)+('Production schedule'!E526*(IF('Sites'!D8="Annual staff",SUM('Assumptions'!T122,'Assumptions'!T124),0)+SUM('Assumptions'!T123,'Assumptions'!T125:T126)))*(1-'Responsibilities'!$E$8)</f>
        <v/>
      </c>
      <c r="BT166">
        <f>(IF(AND('Production schedule'!E454=1,17=MAX(('Sites'!F6),13),ISNUMBER('Sites'!P6)),'Sites'!P6*'Assumptions'!$B$44,0))*(1-'Responsibilities'!$F$6)+(IF(AND('Production schedule'!E490=1,17=MAX(('Sites'!F7+'Cases'!G10),13),ISNUMBER('Sites'!P7)),'Sites'!P7*'Assumptions'!$B$44,0))*(1-'Responsibilities'!$F$7)+(IF(AND('Production schedule'!E526=1,17=MAX(('Sites'!F8+'Cases'!G10),13),ISNUMBER('Sites'!P8)),'Sites'!P8*'Assumptions'!$B$44,0))*(1-'Responsibilities'!$F$8)</f>
        <v/>
      </c>
      <c r="BU166">
        <f>SUM('Costs'!E36)*'Costs'!F36/12*(1-'Responsibilities'!$C$12)+SUM('Costs'!E37)*'Costs'!F37/12*(1-'Responsibilities'!$C$13)+SUM('Costs'!E38)*'Costs'!F38/12*(1-'Responsibilities'!$C$14)+SUM('Costs'!E39)*'Costs'!F39/12*(1-'Responsibilities'!$C$15)+SUM('Costs'!E40)*'Costs'!F40/12*(1-'Responsibilities'!$C$16)</f>
        <v/>
      </c>
      <c r="BV166">
        <f>('Sites'!E6*'Capital'!E6*(IF(17='Capital'!G6,'Capital'!F6,0)+IF(17='Capital'!H6,1-'Capital'!F6,0)))*(1-'Responsibilities'!$G$6)+('Sites'!E7*'Capital'!E7*(IF(17='Capital'!G7+'Cases'!G10,'Capital'!F7,0)+IF(17='Capital'!H7+'Cases'!G10,1-'Capital'!F7,0)))*(1-'Responsibilities'!$G$7)+('Sites'!E8*'Cases'!F10*'Capital'!E8*(IF(17='Capital'!G8+'Cases'!G10,'Capital'!F8,0)+IF(17='Capital'!H8+'Cases'!G10,1-'Capital'!F8,0)))*(1-'Responsibilities'!$G$8)</f>
        <v/>
      </c>
      <c r="BW166">
        <f>SUM(BQ166:BV166)</f>
        <v/>
      </c>
      <c r="BX166">
        <f>N166+BW166</f>
        <v/>
      </c>
      <c r="BY166">
        <f>BX166-(('Production schedule'!AJ454)*'Responsibilities'!$C$6+('Production schedule'!AJ490)*'Responsibilities'!$C$7+('Production schedule'!AJ526)*'Responsibilities'!$C$8+('Production schedule'!AJ454)*(1-'Responsibilities'!$C$6)+('Production schedule'!AJ490)*(1-'Responsibilities'!$C$7)+('Production schedule'!AJ526)*(1-'Responsibilities'!$C$8)+('Production schedule'!AI454)*'Responsibilities'!$D$6+('Production schedule'!AI490)*'Responsibilities'!$D$7+('Production schedule'!AI526)*'Responsibilities'!$D$8+('Production schedule'!AI454)*(1-'Responsibilities'!$D$6)+('Production schedule'!AI490)*(1-'Responsibilities'!$D$7)+('Production schedule'!AI526)*(1-'Responsibilities'!$D$8)+('Production schedule'!E454*(IF('Sites'!D6="Annual staff",SUM('Assumptions'!T112,'Assumptions'!T114),0)+SUM('Assumptions'!T113,'Assumptions'!T115:T116)))*'Responsibilities'!$E$6+('Production schedule'!E490*(IF('Sites'!D7="Annual staff",SUM('Assumptions'!T117,'Assumptions'!T119),0)+SUM('Assumptions'!T118,'Assumptions'!T120:T121)))*'Responsibilities'!$E$7+('Production schedule'!E526*(IF('Sites'!D8="Annual staff",SUM('Assumptions'!T122,'Assumptions'!T124),0)+SUM('Assumptions'!T123,'Assumptions'!T125:T126)))*'Responsibilities'!$E$8+('Production schedule'!E454*(IF('Sites'!D6="Annual staff",SUM('Assumptions'!T112,'Assumptions'!T114),0)+SUM('Assumptions'!T113,'Assumptions'!T115:T116)))*(1-'Responsibilities'!$E$6)+('Production schedule'!E490*(IF('Sites'!D7="Annual staff",SUM('Assumptions'!T117,'Assumptions'!T119),0)+SUM('Assumptions'!T118,'Assumptions'!T120:T121)))*(1-'Responsibilities'!$E$7)+('Production schedule'!E526*(IF('Sites'!D8="Annual staff",SUM('Assumptions'!T122,'Assumptions'!T124),0)+SUM('Assumptions'!T123,'Assumptions'!T125:T126)))*(1-'Responsibilities'!$E$8)+(IF(AND('Production schedule'!E454=1,17=MAX(('Sites'!F6),13),ISNUMBER('Sites'!P6)),'Sites'!P6*'Assumptions'!$B$44,0))*'Responsibilities'!$F$6+(IF(AND('Production schedule'!E490=1,17=MAX(('Sites'!F7+'Cases'!G10),13),ISNUMBER('Sites'!P7)),'Sites'!P7*'Assumptions'!$B$44,0))*'Responsibilities'!$F$7+(IF(AND('Production schedule'!E526=1,17=MAX(('Sites'!F8+'Cases'!G10),13),ISNUMBER('Sites'!P8)),'Sites'!P8*'Assumptions'!$B$44,0))*'Responsibilities'!$F$8+(IF(AND('Production schedule'!E454=1,17=MAX(('Sites'!F6),13),ISNUMBER('Sites'!P6)),'Sites'!P6*'Assumptions'!$B$44,0))*(1-'Responsibilities'!$F$6)+(IF(AND('Production schedule'!E490=1,17=MAX(('Sites'!F7+'Cases'!G10),13),ISNUMBER('Sites'!P7)),'Sites'!P7*'Assumptions'!$B$44,0))*(1-'Responsibilities'!$F$7)+(IF(AND('Production schedule'!E526=1,17=MAX(('Sites'!F8+'Cases'!G10),13),ISNUMBER('Sites'!P8)),'Sites'!P8*'Assumptions'!$B$44,0))*(1-'Responsibilities'!$F$8)+('Sites'!E6*'Capital'!E6*(IF(17='Capital'!G6,'Capital'!F6,0)+IF(17='Capital'!H6,1-'Capital'!F6,0)))*'Responsibilities'!$G$6+('Sites'!E7*'Capital'!E7*(IF(17='Capital'!G7+'Cases'!G10,'Capital'!F7,0)+IF(17='Capital'!H7+'Cases'!G10,1-'Capital'!F7,0)))*'Responsibilities'!$G$7+('Sites'!E8*'Cases'!F10*'Capital'!E8*(IF(17='Capital'!G8+'Cases'!G10,'Capital'!F8,0)+IF(17='Capital'!H8+'Cases'!G10,1-'Capital'!F8,0)))*'Responsibilities'!$G$8+('Sites'!E6*'Capital'!E6*(IF(17='Capital'!G6,'Capital'!F6,0)+IF(17='Capital'!H6,1-'Capital'!F6,0)))*(1-'Responsibilities'!$G$6)+('Sites'!E7*'Capital'!E7*(IF(17='Capital'!G7+'Cases'!G10,'Capital'!F7,0)+IF(17='Capital'!H7+'Cases'!G10,1-'Capital'!F7,0)))*(1-'Responsibilities'!$G$7)+('Sites'!E8*'Cases'!F10*'Capital'!E8*(IF(17='Capital'!G8+'Cases'!G10,'Capital'!F8,0)+IF(17='Capital'!H8+'Cases'!G10,1-'Capital'!F8,0)))*(1-'Responsibilities'!$G$8)+I166+SUMPRODUCT('Costs'!$E$36:$E$40,'Costs'!$F$36:$F$40)/12+BZ166)</f>
        <v/>
      </c>
      <c r="BZ166">
        <f>SUMIFS('Responsibilities'!$B$31:$B$35,'Responsibilities'!$C$31:$C$35,17,'Responsibilities'!$D$31:$D$35,"Yes")</f>
        <v/>
      </c>
    </row>
    <row r="167" ht="28" customHeight="1">
      <c r="A167" s="4" t="inlineStr">
        <is>
          <t>Lower sales</t>
        </is>
      </c>
      <c r="B167" s="4" t="n">
        <v>18</v>
      </c>
      <c r="C167" s="4">
        <f>ROUNDUP(B167/12,0)</f>
        <v/>
      </c>
      <c r="D167" s="137">
        <f>SUMIFS('Production schedule'!$N$438:$N$545,'Production schedule'!$C$438:$C$545,18)</f>
        <v/>
      </c>
      <c r="E167" s="137">
        <f>SUMIFS('Production schedule'!$Y$438:$Y$545,'Production schedule'!$C$438:$C$545,18)</f>
        <v/>
      </c>
      <c r="F167" s="137">
        <f>SUMIFS('Production schedule'!$Z$438:$Z$545,'Production schedule'!$C$438:$C$545,18)</f>
        <v/>
      </c>
      <c r="G167" s="137">
        <f>('Production schedule'!AJ455)*'Responsibilities'!$C$6+('Production schedule'!AJ491)*'Responsibilities'!$C$7+('Production schedule'!AJ527)*'Responsibilities'!$C$8</f>
        <v/>
      </c>
      <c r="H167" s="137">
        <f>('Production schedule'!AI455)*'Responsibilities'!$D$6+('Production schedule'!AI491)*'Responsibilities'!$D$7+('Production schedule'!AI527)*'Responsibilities'!$D$8</f>
        <v/>
      </c>
      <c r="I167" s="137">
        <f>SUM('Assumptions'!U58:U65)</f>
        <v/>
      </c>
      <c r="J167" s="137">
        <f>('Production schedule'!E455*(IF('Sites'!D6="Annual staff",SUM('Assumptions'!U112,'Assumptions'!U114),0)+SUM('Assumptions'!U113,'Assumptions'!U115:U116)))*'Responsibilities'!$E$6+('Production schedule'!E491*(IF('Sites'!D7="Annual staff",SUM('Assumptions'!U117,'Assumptions'!U119),0)+SUM('Assumptions'!U118,'Assumptions'!U120:U121)))*'Responsibilities'!$E$7+('Production schedule'!E527*(IF('Sites'!D8="Annual staff",SUM('Assumptions'!U122,'Assumptions'!U124),0)+SUM('Assumptions'!U123,'Assumptions'!U125:U126)))*'Responsibilities'!$E$8</f>
        <v/>
      </c>
      <c r="K167" s="137">
        <f>(IF(AND('Production schedule'!E455=1,18=MAX(('Sites'!F6),13),ISNUMBER('Sites'!P6)),'Sites'!P6*'Assumptions'!$B$44,0))*'Responsibilities'!$F$6+(IF(AND('Production schedule'!E491=1,18=MAX(('Sites'!F7+'Cases'!G10),13),ISNUMBER('Sites'!P7)),'Sites'!P7*'Assumptions'!$B$44,0))*'Responsibilities'!$F$7+(IF(AND('Production schedule'!E527=1,18=MAX(('Sites'!F8+'Cases'!G10),13),ISNUMBER('Sites'!P8)),'Sites'!P8*'Assumptions'!$B$44,0))*'Responsibilities'!$F$8</f>
        <v/>
      </c>
      <c r="L167" s="137">
        <f>SUM('Costs'!E36)*'Costs'!F36/12*'Responsibilities'!$C$12+SUM('Costs'!E37)*'Costs'!F37/12*'Responsibilities'!$C$13+SUM('Costs'!E38)*'Costs'!F38/12*'Responsibilities'!$C$14+SUM('Costs'!E39)*'Costs'!F39/12*'Responsibilities'!$C$15+SUM('Costs'!E40)*'Costs'!F40/12*'Responsibilities'!$C$16+BZ167</f>
        <v/>
      </c>
      <c r="M167" s="137">
        <f>('Sites'!E6*'Capital'!E6*(IF(18='Capital'!G6,'Capital'!F6,0)+IF(18='Capital'!H6,1-'Capital'!F6,0)))*'Responsibilities'!$G$6+('Sites'!E7*'Capital'!E7*(IF(18='Capital'!G7+'Cases'!G10,'Capital'!F7,0)+IF(18='Capital'!H7+'Cases'!G10,1-'Capital'!F7,0)))*'Responsibilities'!$G$7+('Sites'!E8*'Cases'!F10*'Capital'!E8*(IF(18='Capital'!G8+'Cases'!G10,'Capital'!F8,0)+IF(18='Capital'!H8+'Cases'!G10,1-'Capital'!F8,0)))*'Responsibilities'!$G$8</f>
        <v/>
      </c>
      <c r="N167" s="137">
        <f>SUM(G167:M167)</f>
        <v/>
      </c>
      <c r="O167" s="137">
        <f>SUMIFS(FundingTranches[Secured amount],FundingTranches[Instrument],"Grant",FundingTranches[Secured month],18)</f>
        <v/>
      </c>
      <c r="P167" s="137">
        <f>SUMIFS(FundingTranches[Lower sales possible],FundingTranches[Instrument],"Grant",FundingTranches[Scenario month],18-'Cases'!$D$10)</f>
        <v/>
      </c>
      <c r="Q167" s="137">
        <f>SUMIFS(FundingTranches[Secured amount],FundingTranches[Instrument],"Loan",FundingTranches[Secured month],18)</f>
        <v/>
      </c>
      <c r="R167" s="137">
        <f>SUMIFS(FundingTranches[Lower sales possible],FundingTranches[Instrument],"Loan",FundingTranches[Scenario month],18-'Cases'!$D$10)</f>
        <v/>
      </c>
      <c r="S167" s="137">
        <f>IF(18&lt;='Assumptions'!$B$34,0,SUMIFS('Production schedule'!$AL$438:$AL$545,'Production schedule'!$C$438:$C$545,18-'Assumptions'!$B$34))</f>
        <v/>
      </c>
      <c r="T167" s="137">
        <f>'Assumptions'!U70</f>
        <v/>
      </c>
      <c r="U167" s="137">
        <f>'Assumptions'!U78</f>
        <v/>
      </c>
      <c r="V167" s="137">
        <f>SUM(O167:U167)</f>
        <v/>
      </c>
      <c r="W167" s="137">
        <f>AA166</f>
        <v/>
      </c>
      <c r="X167" s="137">
        <f>SUM(Q167:R167)</f>
        <v/>
      </c>
      <c r="Y167" s="137">
        <f>SUM(W167,X167)*'Assumptions'!$B$39/12</f>
        <v/>
      </c>
      <c r="Z167" s="137">
        <f>IF(SUM(W167,X167)&gt;0,MIN(SUM(W167,X167),MAX(0,BP167-Y167)),0)</f>
        <v/>
      </c>
      <c r="AA167" s="137">
        <f>SUM(W167,X167)-Z167</f>
        <v/>
      </c>
      <c r="AB167" s="137">
        <f>SUM(Y167:Z167)</f>
        <v/>
      </c>
      <c r="AC167" s="137">
        <f>'Assumptions'!U72</f>
        <v/>
      </c>
      <c r="AD167" s="137">
        <f>'Assumptions'!U73</f>
        <v/>
      </c>
      <c r="AE167" s="137">
        <f>IF(X167&gt;0,SUM('Assumptions'!$B$42),0)</f>
        <v/>
      </c>
      <c r="AF167" s="137">
        <f>'Assumptions'!U71</f>
        <v/>
      </c>
      <c r="AG167" s="137">
        <f>'Assumptions'!U74</f>
        <v/>
      </c>
      <c r="AH167" s="137">
        <f>'Assumptions'!U75</f>
        <v/>
      </c>
      <c r="AI167" s="137">
        <f>'Assumptions'!U77</f>
        <v/>
      </c>
      <c r="AJ167" s="137">
        <f>V167-N167-SUM(AB167:AI167)</f>
        <v/>
      </c>
      <c r="AK167" s="137">
        <f>SUM(AJ150:AJ167)</f>
        <v/>
      </c>
      <c r="AL167" s="137">
        <f>IF(ISNUMBER('Assumptions'!$B$10),'Assumptions'!$B$10+AK167,"")</f>
        <v/>
      </c>
      <c r="AM167" s="137">
        <f>SUM(O167,Q167,T167)-N167-SUM(AC167:AI167)+IF('Funding'!$N$11=0,AE167,0)-IF('Funding'!$N$11&gt;0,AB167,0)</f>
        <v/>
      </c>
      <c r="AN167" s="137">
        <f>SUM(AM150:AM167)</f>
        <v/>
      </c>
      <c r="AO167" s="137">
        <f>IF(ISNUMBER('Assumptions'!$B$10),'Assumptions'!$B$10+AN167,"")</f>
        <v/>
      </c>
      <c r="AP167" s="137">
        <f>('Production schedule'!AK455)*'Responsibilities'!$C$6+('Production schedule'!AK491)*'Responsibilities'!$C$7+('Production schedule'!AK527)*'Responsibilities'!$C$8</f>
        <v/>
      </c>
      <c r="AQ167" s="137">
        <f>SUMIFS('Production schedule'!$AL$438:$AL$545,'Production schedule'!$C$438:$C$545,18)</f>
        <v/>
      </c>
      <c r="AR167" s="137">
        <f>IF(ISNUMBER('Assumptions'!U76),'Assumptions'!U76,SUM(O167:P167))</f>
        <v/>
      </c>
      <c r="AS167" s="137">
        <f>IF(ISNUMBER('Assumptions'!$B$13),MIN('Assumptions'!$B$13/'Assumptions'!$B$18/12,MAX(0,'Assumptions'!$B$13-(18-1)*'Assumptions'!$B$13/'Assumptions'!$B$18/12)),0)+IF(AND('Sites'!E6=1,18&gt;=('Sites'!F6),18&lt;('Sites'!F6)+'Assumptions'!$B$18*12),'Capital'!E6/'Assumptions'!$B$18/12,0)+IF(AND('Sites'!E7=1,18&gt;=('Sites'!F7+'Cases'!G10),18&lt;('Sites'!F7+'Cases'!G10)+'Assumptions'!$B$18*12),'Capital'!E7/'Assumptions'!$B$18/12,0)+IF(AND('Sites'!E8*'Cases'!F10=1,18&gt;=('Sites'!F8+'Cases'!G10),18&lt;('Sites'!F8+'Cases'!G10)+'Assumptions'!$B$18*12),'Capital'!E8/'Assumptions'!$B$18/12,0)</f>
        <v/>
      </c>
      <c r="AT167" s="137">
        <f>SUM(AQ167,AR167,U167)-AP167-SUM(H167:L167)-AS167-SUM(Y167,AD167,AE167,AH167)</f>
        <v/>
      </c>
      <c r="AU167" s="137">
        <f>IF(ISNUMBER('Assumptions'!$B$19),MAX(0,SUM(AT162:AT167))*'Assumptions'!$B$19-SUM(AU162:AU166),"")</f>
        <v/>
      </c>
      <c r="AV167" s="137">
        <f>IF(ISNUMBER(AU167),AT167-AU167,"")</f>
        <v/>
      </c>
      <c r="AW167" s="137">
        <f>IF(ISNUMBER('Assumptions'!$B$11),'Assumptions'!$B$11+SUM(AQ150:AQ167)-SUM(S150:S167)-SUM(T150:T167),"")</f>
        <v/>
      </c>
      <c r="AX167" s="137">
        <f>IF(ISNUMBER('Assumptions'!$B$12),'Assumptions'!$B$12+SUM(G150:G167)-SUM(AP150:AP167),"")</f>
        <v/>
      </c>
      <c r="AY167" s="137">
        <f>IF(ISNUMBER('Assumptions'!$B$13),'Assumptions'!$B$13+SUM(M150:M167)-SUM(AS150:AS167),"")</f>
        <v/>
      </c>
      <c r="AZ167" s="137">
        <f>IF(ISNUMBER('Assumptions'!$B$14),'Assumptions'!$B$14+-SUM(AF150:AF167),"")</f>
        <v/>
      </c>
      <c r="BA167" s="137">
        <f>IF(ISNUMBER('Assumptions'!$B$15),'Assumptions'!$B$15+SUM(O150:O167)+SUM(P150:P167)-SUM(AR150:AR167),"")</f>
        <v/>
      </c>
      <c r="BB167" s="137">
        <f>IF(ISNUMBER('Assumptions'!$B$16),'Assumptions'!$B$16+-SUM(AC150:AC167),"")</f>
        <v/>
      </c>
      <c r="BC167" s="137">
        <f>IF(AND(ISNUMBER('Assumptions'!$B$21),ISNUMBER('Assumptions'!$B$19)),'Assumptions'!$B$21+SUM(AU150:AU167)-SUM(AG150:AG167),"")</f>
        <v/>
      </c>
      <c r="BD167" s="137">
        <f>IF(ISNUMBER('Assumptions'!$B$20),'Assumptions'!$B$20+-SUM(AI150:AI167),"")</f>
        <v/>
      </c>
      <c r="BE167" s="137">
        <f>IF(AND(ISNUMBER('Assumptions'!$B$17),COUNT(AV150:AV167)=18),'Assumptions'!$B$17+SUM(AV150:AV167),"")</f>
        <v/>
      </c>
      <c r="BF167" s="137">
        <f>IF(COUNT(AL167,AW167:AY167)=4,SUM(AL167,AW167:AY167),"")</f>
        <v/>
      </c>
      <c r="BG167" s="137">
        <f>IF(COUNT(AZ167:BD167)=5,SUM(AZ167:BD167,AA167),"")</f>
        <v/>
      </c>
      <c r="BH167" s="137">
        <f>IF(COUNT(BF167,BG167,BE167)=3,BF167-BG167-BE167,"")</f>
        <v/>
      </c>
      <c r="BI167" s="137">
        <f>SUM(W167,X167)-Z167-AA167</f>
        <v/>
      </c>
      <c r="BJ167" s="137">
        <f>8-COUNT('Assumptions'!U58:U65)+COUNTBLANK('NM Play'!B33:B34)+'Costs'!E44+IF(AND('Sites'!E6=1,('Sites'!F6)&lt;=24,'Sites'!G6&gt;=13),IF(ISNUMBER('Sites'!P6),0,1)+'Capital'!I6+COUNTBLANK('Sites'!R6)+IF('Sites'!D6="NM crew",COUNTBLANK('NM Play'!B25)+1,5-COUNT('Assumptions'!U112:U116)),0)+IF(AND('Sites'!E7=1,('Sites'!F7+'Cases'!G10)&lt;=24,'Sites'!G7&gt;=13),IF(ISNUMBER('Sites'!P7),0,1)+'Capital'!I7+COUNTBLANK('Sites'!R7)+IF('Sites'!D7="NM crew",COUNTBLANK('NM Play'!B25)+1,5-COUNT('Assumptions'!U117:U121)),0)+IF(AND('Sites'!E8*'Cases'!F10=1,('Sites'!F8+'Cases'!G10)&lt;=24,'Sites'!G8&gt;=13),IF(ISNUMBER('Sites'!P8),0,1)+'Capital'!I8+COUNTBLANK('Sites'!R8)+IF('Sites'!D8="NM crew",COUNTBLANK('NM Play'!B25)+1,5-COUNT('Assumptions'!U122:U126)),0)+IF(AND('Cases'!C10&gt;0,NOT(ISNUMBER('Assumptions'!B42))),1,0)+'Responsibilities'!$B$39</f>
        <v/>
      </c>
      <c r="BK167" s="137">
        <f>'Assumptions'!$B$50+'NM Play'!$B$83+'Funding'!$F$20+SUMIFS('Production schedule'!$AN$438:$AN$545,'Production schedule'!$C$438:$C$545,18)+IF(OR('Cases'!E10&lt;0,'Cases'!E10&gt;1,'Cases'!C10&lt;0,'Cases'!D10&lt;0,ABS(SUM('Sites'!S6:S8)-1)&gt;0.0001,MIN('Capital'!F6:F8)&lt;0,MAX('Capital'!F6:F8)&gt;1,MIN(AX167,AZ167,BB167,BA167)&lt;-0.01),1,0)+'Responsibilities'!$B$40</f>
        <v/>
      </c>
      <c r="BL167" s="137">
        <f>SUMIFS('Production schedule'!$T$438:$T$545,'Production schedule'!$C$438:$C$545,18)</f>
        <v/>
      </c>
      <c r="BM167" s="137">
        <f>D167*'NM Play'!$B$38</f>
        <v/>
      </c>
      <c r="BN167" s="137">
        <f>SUMIFS('Production schedule'!$AM$438:$AM$545,'Production schedule'!$C$438:$C$545,18)</f>
        <v/>
      </c>
      <c r="BO167" s="137">
        <f>AK167-AK166-AJ167</f>
        <v/>
      </c>
      <c r="BP167" s="137">
        <f>IF(AND('Assumptions'!$B$39&gt;=0,'Assumptions'!$B$40&gt;0),-PMT('Assumptions'!$B$39/12,'Assumptions'!$B$40*12,IF('Funding'!$N$11&gt;0,'Funding'!$N$11,'Funding'!$V$11)),"")</f>
        <v/>
      </c>
      <c r="BQ167">
        <f>('Production schedule'!AJ455)*(1-'Responsibilities'!$C$6)+('Production schedule'!AJ491)*(1-'Responsibilities'!$C$7)+('Production schedule'!AJ527)*(1-'Responsibilities'!$C$8)</f>
        <v/>
      </c>
      <c r="BR167">
        <f>('Production schedule'!AI455)*(1-'Responsibilities'!$D$6)+('Production schedule'!AI491)*(1-'Responsibilities'!$D$7)+('Production schedule'!AI527)*(1-'Responsibilities'!$D$8)</f>
        <v/>
      </c>
      <c r="BS167">
        <f>('Production schedule'!E455*(IF('Sites'!D6="Annual staff",SUM('Assumptions'!U112,'Assumptions'!U114),0)+SUM('Assumptions'!U113,'Assumptions'!U115:U116)))*(1-'Responsibilities'!$E$6)+('Production schedule'!E491*(IF('Sites'!D7="Annual staff",SUM('Assumptions'!U117,'Assumptions'!U119),0)+SUM('Assumptions'!U118,'Assumptions'!U120:U121)))*(1-'Responsibilities'!$E$7)+('Production schedule'!E527*(IF('Sites'!D8="Annual staff",SUM('Assumptions'!U122,'Assumptions'!U124),0)+SUM('Assumptions'!U123,'Assumptions'!U125:U126)))*(1-'Responsibilities'!$E$8)</f>
        <v/>
      </c>
      <c r="BT167">
        <f>(IF(AND('Production schedule'!E455=1,18=MAX(('Sites'!F6),13),ISNUMBER('Sites'!P6)),'Sites'!P6*'Assumptions'!$B$44,0))*(1-'Responsibilities'!$F$6)+(IF(AND('Production schedule'!E491=1,18=MAX(('Sites'!F7+'Cases'!G10),13),ISNUMBER('Sites'!P7)),'Sites'!P7*'Assumptions'!$B$44,0))*(1-'Responsibilities'!$F$7)+(IF(AND('Production schedule'!E527=1,18=MAX(('Sites'!F8+'Cases'!G10),13),ISNUMBER('Sites'!P8)),'Sites'!P8*'Assumptions'!$B$44,0))*(1-'Responsibilities'!$F$8)</f>
        <v/>
      </c>
      <c r="BU167">
        <f>SUM('Costs'!E36)*'Costs'!F36/12*(1-'Responsibilities'!$C$12)+SUM('Costs'!E37)*'Costs'!F37/12*(1-'Responsibilities'!$C$13)+SUM('Costs'!E38)*'Costs'!F38/12*(1-'Responsibilities'!$C$14)+SUM('Costs'!E39)*'Costs'!F39/12*(1-'Responsibilities'!$C$15)+SUM('Costs'!E40)*'Costs'!F40/12*(1-'Responsibilities'!$C$16)</f>
        <v/>
      </c>
      <c r="BV167">
        <f>('Sites'!E6*'Capital'!E6*(IF(18='Capital'!G6,'Capital'!F6,0)+IF(18='Capital'!H6,1-'Capital'!F6,0)))*(1-'Responsibilities'!$G$6)+('Sites'!E7*'Capital'!E7*(IF(18='Capital'!G7+'Cases'!G10,'Capital'!F7,0)+IF(18='Capital'!H7+'Cases'!G10,1-'Capital'!F7,0)))*(1-'Responsibilities'!$G$7)+('Sites'!E8*'Cases'!F10*'Capital'!E8*(IF(18='Capital'!G8+'Cases'!G10,'Capital'!F8,0)+IF(18='Capital'!H8+'Cases'!G10,1-'Capital'!F8,0)))*(1-'Responsibilities'!$G$8)</f>
        <v/>
      </c>
      <c r="BW167">
        <f>SUM(BQ167:BV167)</f>
        <v/>
      </c>
      <c r="BX167">
        <f>N167+BW167</f>
        <v/>
      </c>
      <c r="BY167">
        <f>BX167-(('Production schedule'!AJ455)*'Responsibilities'!$C$6+('Production schedule'!AJ491)*'Responsibilities'!$C$7+('Production schedule'!AJ527)*'Responsibilities'!$C$8+('Production schedule'!AJ455)*(1-'Responsibilities'!$C$6)+('Production schedule'!AJ491)*(1-'Responsibilities'!$C$7)+('Production schedule'!AJ527)*(1-'Responsibilities'!$C$8)+('Production schedule'!AI455)*'Responsibilities'!$D$6+('Production schedule'!AI491)*'Responsibilities'!$D$7+('Production schedule'!AI527)*'Responsibilities'!$D$8+('Production schedule'!AI455)*(1-'Responsibilities'!$D$6)+('Production schedule'!AI491)*(1-'Responsibilities'!$D$7)+('Production schedule'!AI527)*(1-'Responsibilities'!$D$8)+('Production schedule'!E455*(IF('Sites'!D6="Annual staff",SUM('Assumptions'!U112,'Assumptions'!U114),0)+SUM('Assumptions'!U113,'Assumptions'!U115:U116)))*'Responsibilities'!$E$6+('Production schedule'!E491*(IF('Sites'!D7="Annual staff",SUM('Assumptions'!U117,'Assumptions'!U119),0)+SUM('Assumptions'!U118,'Assumptions'!U120:U121)))*'Responsibilities'!$E$7+('Production schedule'!E527*(IF('Sites'!D8="Annual staff",SUM('Assumptions'!U122,'Assumptions'!U124),0)+SUM('Assumptions'!U123,'Assumptions'!U125:U126)))*'Responsibilities'!$E$8+('Production schedule'!E455*(IF('Sites'!D6="Annual staff",SUM('Assumptions'!U112,'Assumptions'!U114),0)+SUM('Assumptions'!U113,'Assumptions'!U115:U116)))*(1-'Responsibilities'!$E$6)+('Production schedule'!E491*(IF('Sites'!D7="Annual staff",SUM('Assumptions'!U117,'Assumptions'!U119),0)+SUM('Assumptions'!U118,'Assumptions'!U120:U121)))*(1-'Responsibilities'!$E$7)+('Production schedule'!E527*(IF('Sites'!D8="Annual staff",SUM('Assumptions'!U122,'Assumptions'!U124),0)+SUM('Assumptions'!U123,'Assumptions'!U125:U126)))*(1-'Responsibilities'!$E$8)+(IF(AND('Production schedule'!E455=1,18=MAX(('Sites'!F6),13),ISNUMBER('Sites'!P6)),'Sites'!P6*'Assumptions'!$B$44,0))*'Responsibilities'!$F$6+(IF(AND('Production schedule'!E491=1,18=MAX(('Sites'!F7+'Cases'!G10),13),ISNUMBER('Sites'!P7)),'Sites'!P7*'Assumptions'!$B$44,0))*'Responsibilities'!$F$7+(IF(AND('Production schedule'!E527=1,18=MAX(('Sites'!F8+'Cases'!G10),13),ISNUMBER('Sites'!P8)),'Sites'!P8*'Assumptions'!$B$44,0))*'Responsibilities'!$F$8+(IF(AND('Production schedule'!E455=1,18=MAX(('Sites'!F6),13),ISNUMBER('Sites'!P6)),'Sites'!P6*'Assumptions'!$B$44,0))*(1-'Responsibilities'!$F$6)+(IF(AND('Production schedule'!E491=1,18=MAX(('Sites'!F7+'Cases'!G10),13),ISNUMBER('Sites'!P7)),'Sites'!P7*'Assumptions'!$B$44,0))*(1-'Responsibilities'!$F$7)+(IF(AND('Production schedule'!E527=1,18=MAX(('Sites'!F8+'Cases'!G10),13),ISNUMBER('Sites'!P8)),'Sites'!P8*'Assumptions'!$B$44,0))*(1-'Responsibilities'!$F$8)+('Sites'!E6*'Capital'!E6*(IF(18='Capital'!G6,'Capital'!F6,0)+IF(18='Capital'!H6,1-'Capital'!F6,0)))*'Responsibilities'!$G$6+('Sites'!E7*'Capital'!E7*(IF(18='Capital'!G7+'Cases'!G10,'Capital'!F7,0)+IF(18='Capital'!H7+'Cases'!G10,1-'Capital'!F7,0)))*'Responsibilities'!$G$7+('Sites'!E8*'Cases'!F10*'Capital'!E8*(IF(18='Capital'!G8+'Cases'!G10,'Capital'!F8,0)+IF(18='Capital'!H8+'Cases'!G10,1-'Capital'!F8,0)))*'Responsibilities'!$G$8+('Sites'!E6*'Capital'!E6*(IF(18='Capital'!G6,'Capital'!F6,0)+IF(18='Capital'!H6,1-'Capital'!F6,0)))*(1-'Responsibilities'!$G$6)+('Sites'!E7*'Capital'!E7*(IF(18='Capital'!G7+'Cases'!G10,'Capital'!F7,0)+IF(18='Capital'!H7+'Cases'!G10,1-'Capital'!F7,0)))*(1-'Responsibilities'!$G$7)+('Sites'!E8*'Cases'!F10*'Capital'!E8*(IF(18='Capital'!G8+'Cases'!G10,'Capital'!F8,0)+IF(18='Capital'!H8+'Cases'!G10,1-'Capital'!F8,0)))*(1-'Responsibilities'!$G$8)+I167+SUMPRODUCT('Costs'!$E$36:$E$40,'Costs'!$F$36:$F$40)/12+BZ167)</f>
        <v/>
      </c>
      <c r="BZ167">
        <f>SUMIFS('Responsibilities'!$B$31:$B$35,'Responsibilities'!$C$31:$C$35,18,'Responsibilities'!$D$31:$D$35,"Yes")</f>
        <v/>
      </c>
    </row>
    <row r="168" ht="28" customHeight="1">
      <c r="A168" s="4" t="inlineStr">
        <is>
          <t>Lower sales</t>
        </is>
      </c>
      <c r="B168" s="4" t="n">
        <v>19</v>
      </c>
      <c r="C168" s="4">
        <f>ROUNDUP(B168/12,0)</f>
        <v/>
      </c>
      <c r="D168" s="137">
        <f>SUMIFS('Production schedule'!$N$438:$N$545,'Production schedule'!$C$438:$C$545,19)</f>
        <v/>
      </c>
      <c r="E168" s="137">
        <f>SUMIFS('Production schedule'!$Y$438:$Y$545,'Production schedule'!$C$438:$C$545,19)</f>
        <v/>
      </c>
      <c r="F168" s="137">
        <f>SUMIFS('Production schedule'!$Z$438:$Z$545,'Production schedule'!$C$438:$C$545,19)</f>
        <v/>
      </c>
      <c r="G168" s="137">
        <f>('Production schedule'!AJ456)*'Responsibilities'!$C$6+('Production schedule'!AJ492)*'Responsibilities'!$C$7+('Production schedule'!AJ528)*'Responsibilities'!$C$8</f>
        <v/>
      </c>
      <c r="H168" s="137">
        <f>('Production schedule'!AI456)*'Responsibilities'!$D$6+('Production schedule'!AI492)*'Responsibilities'!$D$7+('Production schedule'!AI528)*'Responsibilities'!$D$8</f>
        <v/>
      </c>
      <c r="I168" s="137">
        <f>SUM('Assumptions'!V58:V65)</f>
        <v/>
      </c>
      <c r="J168" s="137">
        <f>('Production schedule'!E456*(IF('Sites'!D6="Annual staff",SUM('Assumptions'!V112,'Assumptions'!V114),0)+SUM('Assumptions'!V113,'Assumptions'!V115:V116)))*'Responsibilities'!$E$6+('Production schedule'!E492*(IF('Sites'!D7="Annual staff",SUM('Assumptions'!V117,'Assumptions'!V119),0)+SUM('Assumptions'!V118,'Assumptions'!V120:V121)))*'Responsibilities'!$E$7+('Production schedule'!E528*(IF('Sites'!D8="Annual staff",SUM('Assumptions'!V122,'Assumptions'!V124),0)+SUM('Assumptions'!V123,'Assumptions'!V125:V126)))*'Responsibilities'!$E$8</f>
        <v/>
      </c>
      <c r="K168" s="137">
        <f>(IF(AND('Production schedule'!E456=1,19=MAX(('Sites'!F6),13),ISNUMBER('Sites'!P6)),'Sites'!P6*'Assumptions'!$B$44,0))*'Responsibilities'!$F$6+(IF(AND('Production schedule'!E492=1,19=MAX(('Sites'!F7+'Cases'!G10),13),ISNUMBER('Sites'!P7)),'Sites'!P7*'Assumptions'!$B$44,0))*'Responsibilities'!$F$7+(IF(AND('Production schedule'!E528=1,19=MAX(('Sites'!F8+'Cases'!G10),13),ISNUMBER('Sites'!P8)),'Sites'!P8*'Assumptions'!$B$44,0))*'Responsibilities'!$F$8</f>
        <v/>
      </c>
      <c r="L168" s="137">
        <f>SUM('Costs'!E36)*'Costs'!F36/12*'Responsibilities'!$C$12+SUM('Costs'!E37)*'Costs'!F37/12*'Responsibilities'!$C$13+SUM('Costs'!E38)*'Costs'!F38/12*'Responsibilities'!$C$14+SUM('Costs'!E39)*'Costs'!F39/12*'Responsibilities'!$C$15+SUM('Costs'!E40)*'Costs'!F40/12*'Responsibilities'!$C$16+BZ168</f>
        <v/>
      </c>
      <c r="M168" s="137">
        <f>('Sites'!E6*'Capital'!E6*(IF(19='Capital'!G6,'Capital'!F6,0)+IF(19='Capital'!H6,1-'Capital'!F6,0)))*'Responsibilities'!$G$6+('Sites'!E7*'Capital'!E7*(IF(19='Capital'!G7+'Cases'!G10,'Capital'!F7,0)+IF(19='Capital'!H7+'Cases'!G10,1-'Capital'!F7,0)))*'Responsibilities'!$G$7+('Sites'!E8*'Cases'!F10*'Capital'!E8*(IF(19='Capital'!G8+'Cases'!G10,'Capital'!F8,0)+IF(19='Capital'!H8+'Cases'!G10,1-'Capital'!F8,0)))*'Responsibilities'!$G$8</f>
        <v/>
      </c>
      <c r="N168" s="137">
        <f>SUM(G168:M168)</f>
        <v/>
      </c>
      <c r="O168" s="137">
        <f>SUMIFS(FundingTranches[Secured amount],FundingTranches[Instrument],"Grant",FundingTranches[Secured month],19)</f>
        <v/>
      </c>
      <c r="P168" s="137">
        <f>SUMIFS(FundingTranches[Lower sales possible],FundingTranches[Instrument],"Grant",FundingTranches[Scenario month],19-'Cases'!$D$10)</f>
        <v/>
      </c>
      <c r="Q168" s="137">
        <f>SUMIFS(FundingTranches[Secured amount],FundingTranches[Instrument],"Loan",FundingTranches[Secured month],19)</f>
        <v/>
      </c>
      <c r="R168" s="137">
        <f>SUMIFS(FundingTranches[Lower sales possible],FundingTranches[Instrument],"Loan",FundingTranches[Scenario month],19-'Cases'!$D$10)</f>
        <v/>
      </c>
      <c r="S168" s="137">
        <f>IF(19&lt;='Assumptions'!$B$34,0,SUMIFS('Production schedule'!$AL$438:$AL$545,'Production schedule'!$C$438:$C$545,19-'Assumptions'!$B$34))</f>
        <v/>
      </c>
      <c r="T168" s="137">
        <f>'Assumptions'!V70</f>
        <v/>
      </c>
      <c r="U168" s="137">
        <f>'Assumptions'!V78</f>
        <v/>
      </c>
      <c r="V168" s="137">
        <f>SUM(O168:U168)</f>
        <v/>
      </c>
      <c r="W168" s="137">
        <f>AA167</f>
        <v/>
      </c>
      <c r="X168" s="137">
        <f>SUM(Q168:R168)</f>
        <v/>
      </c>
      <c r="Y168" s="137">
        <f>SUM(W168,X168)*'Assumptions'!$B$39/12</f>
        <v/>
      </c>
      <c r="Z168" s="137">
        <f>IF(SUM(W168,X168)&gt;0,MIN(SUM(W168,X168),MAX(0,BP168-Y168)),0)</f>
        <v/>
      </c>
      <c r="AA168" s="137">
        <f>SUM(W168,X168)-Z168</f>
        <v/>
      </c>
      <c r="AB168" s="137">
        <f>SUM(Y168:Z168)</f>
        <v/>
      </c>
      <c r="AC168" s="137">
        <f>'Assumptions'!V72</f>
        <v/>
      </c>
      <c r="AD168" s="137">
        <f>'Assumptions'!V73</f>
        <v/>
      </c>
      <c r="AE168" s="137">
        <f>IF(X168&gt;0,SUM('Assumptions'!$B$42),0)</f>
        <v/>
      </c>
      <c r="AF168" s="137">
        <f>'Assumptions'!V71</f>
        <v/>
      </c>
      <c r="AG168" s="137">
        <f>'Assumptions'!V74</f>
        <v/>
      </c>
      <c r="AH168" s="137">
        <f>'Assumptions'!V75</f>
        <v/>
      </c>
      <c r="AI168" s="137">
        <f>'Assumptions'!V77</f>
        <v/>
      </c>
      <c r="AJ168" s="137">
        <f>V168-N168-SUM(AB168:AI168)</f>
        <v/>
      </c>
      <c r="AK168" s="137">
        <f>SUM(AJ150:AJ168)</f>
        <v/>
      </c>
      <c r="AL168" s="137">
        <f>IF(ISNUMBER('Assumptions'!$B$10),'Assumptions'!$B$10+AK168,"")</f>
        <v/>
      </c>
      <c r="AM168" s="137">
        <f>SUM(O168,Q168,T168)-N168-SUM(AC168:AI168)+IF('Funding'!$N$11=0,AE168,0)-IF('Funding'!$N$11&gt;0,AB168,0)</f>
        <v/>
      </c>
      <c r="AN168" s="137">
        <f>SUM(AM150:AM168)</f>
        <v/>
      </c>
      <c r="AO168" s="137">
        <f>IF(ISNUMBER('Assumptions'!$B$10),'Assumptions'!$B$10+AN168,"")</f>
        <v/>
      </c>
      <c r="AP168" s="137">
        <f>('Production schedule'!AK456)*'Responsibilities'!$C$6+('Production schedule'!AK492)*'Responsibilities'!$C$7+('Production schedule'!AK528)*'Responsibilities'!$C$8</f>
        <v/>
      </c>
      <c r="AQ168" s="137">
        <f>SUMIFS('Production schedule'!$AL$438:$AL$545,'Production schedule'!$C$438:$C$545,19)</f>
        <v/>
      </c>
      <c r="AR168" s="137">
        <f>IF(ISNUMBER('Assumptions'!V76),'Assumptions'!V76,SUM(O168:P168))</f>
        <v/>
      </c>
      <c r="AS168" s="137">
        <f>IF(ISNUMBER('Assumptions'!$B$13),MIN('Assumptions'!$B$13/'Assumptions'!$B$18/12,MAX(0,'Assumptions'!$B$13-(19-1)*'Assumptions'!$B$13/'Assumptions'!$B$18/12)),0)+IF(AND('Sites'!E6=1,19&gt;=('Sites'!F6),19&lt;('Sites'!F6)+'Assumptions'!$B$18*12),'Capital'!E6/'Assumptions'!$B$18/12,0)+IF(AND('Sites'!E7=1,19&gt;=('Sites'!F7+'Cases'!G10),19&lt;('Sites'!F7+'Cases'!G10)+'Assumptions'!$B$18*12),'Capital'!E7/'Assumptions'!$B$18/12,0)+IF(AND('Sites'!E8*'Cases'!F10=1,19&gt;=('Sites'!F8+'Cases'!G10),19&lt;('Sites'!F8+'Cases'!G10)+'Assumptions'!$B$18*12),'Capital'!E8/'Assumptions'!$B$18/12,0)</f>
        <v/>
      </c>
      <c r="AT168" s="137">
        <f>SUM(AQ168,AR168,U168)-AP168-SUM(H168:L168)-AS168-SUM(Y168,AD168,AE168,AH168)</f>
        <v/>
      </c>
      <c r="AU168" s="137">
        <f>IF(ISNUMBER('Assumptions'!$B$19),MAX(0,SUM(AT162:AT168))*'Assumptions'!$B$19-SUM(AU162:AU167),"")</f>
        <v/>
      </c>
      <c r="AV168" s="137">
        <f>IF(ISNUMBER(AU168),AT168-AU168,"")</f>
        <v/>
      </c>
      <c r="AW168" s="137">
        <f>IF(ISNUMBER('Assumptions'!$B$11),'Assumptions'!$B$11+SUM(AQ150:AQ168)-SUM(S150:S168)-SUM(T150:T168),"")</f>
        <v/>
      </c>
      <c r="AX168" s="137">
        <f>IF(ISNUMBER('Assumptions'!$B$12),'Assumptions'!$B$12+SUM(G150:G168)-SUM(AP150:AP168),"")</f>
        <v/>
      </c>
      <c r="AY168" s="137">
        <f>IF(ISNUMBER('Assumptions'!$B$13),'Assumptions'!$B$13+SUM(M150:M168)-SUM(AS150:AS168),"")</f>
        <v/>
      </c>
      <c r="AZ168" s="137">
        <f>IF(ISNUMBER('Assumptions'!$B$14),'Assumptions'!$B$14+-SUM(AF150:AF168),"")</f>
        <v/>
      </c>
      <c r="BA168" s="137">
        <f>IF(ISNUMBER('Assumptions'!$B$15),'Assumptions'!$B$15+SUM(O150:O168)+SUM(P150:P168)-SUM(AR150:AR168),"")</f>
        <v/>
      </c>
      <c r="BB168" s="137">
        <f>IF(ISNUMBER('Assumptions'!$B$16),'Assumptions'!$B$16+-SUM(AC150:AC168),"")</f>
        <v/>
      </c>
      <c r="BC168" s="137">
        <f>IF(AND(ISNUMBER('Assumptions'!$B$21),ISNUMBER('Assumptions'!$B$19)),'Assumptions'!$B$21+SUM(AU150:AU168)-SUM(AG150:AG168),"")</f>
        <v/>
      </c>
      <c r="BD168" s="137">
        <f>IF(ISNUMBER('Assumptions'!$B$20),'Assumptions'!$B$20+-SUM(AI150:AI168),"")</f>
        <v/>
      </c>
      <c r="BE168" s="137">
        <f>IF(AND(ISNUMBER('Assumptions'!$B$17),COUNT(AV150:AV168)=19),'Assumptions'!$B$17+SUM(AV150:AV168),"")</f>
        <v/>
      </c>
      <c r="BF168" s="137">
        <f>IF(COUNT(AL168,AW168:AY168)=4,SUM(AL168,AW168:AY168),"")</f>
        <v/>
      </c>
      <c r="BG168" s="137">
        <f>IF(COUNT(AZ168:BD168)=5,SUM(AZ168:BD168,AA168),"")</f>
        <v/>
      </c>
      <c r="BH168" s="137">
        <f>IF(COUNT(BF168,BG168,BE168)=3,BF168-BG168-BE168,"")</f>
        <v/>
      </c>
      <c r="BI168" s="137">
        <f>SUM(W168,X168)-Z168-AA168</f>
        <v/>
      </c>
      <c r="BJ168" s="137">
        <f>8-COUNT('Assumptions'!V58:V65)+COUNTBLANK('NM Play'!B33:B34)+'Costs'!E44+IF(AND('Sites'!E6=1,('Sites'!F6)&lt;=24,'Sites'!G6&gt;=13),IF(ISNUMBER('Sites'!P6),0,1)+'Capital'!I6+COUNTBLANK('Sites'!R6)+IF('Sites'!D6="NM crew",COUNTBLANK('NM Play'!B25)+1,5-COUNT('Assumptions'!V112:V116)),0)+IF(AND('Sites'!E7=1,('Sites'!F7+'Cases'!G10)&lt;=24,'Sites'!G7&gt;=13),IF(ISNUMBER('Sites'!P7),0,1)+'Capital'!I7+COUNTBLANK('Sites'!R7)+IF('Sites'!D7="NM crew",COUNTBLANK('NM Play'!B25)+1,5-COUNT('Assumptions'!V117:V121)),0)+IF(AND('Sites'!E8*'Cases'!F10=1,('Sites'!F8+'Cases'!G10)&lt;=24,'Sites'!G8&gt;=13),IF(ISNUMBER('Sites'!P8),0,1)+'Capital'!I8+COUNTBLANK('Sites'!R8)+IF('Sites'!D8="NM crew",COUNTBLANK('NM Play'!B25)+1,5-COUNT('Assumptions'!V122:V126)),0)+IF(AND('Cases'!C10&gt;0,NOT(ISNUMBER('Assumptions'!B42))),1,0)+'Responsibilities'!$B$39</f>
        <v/>
      </c>
      <c r="BK168" s="137">
        <f>'Assumptions'!$B$50+'NM Play'!$B$83+'Funding'!$F$20+SUMIFS('Production schedule'!$AN$438:$AN$545,'Production schedule'!$C$438:$C$545,19)+IF(OR('Cases'!E10&lt;0,'Cases'!E10&gt;1,'Cases'!C10&lt;0,'Cases'!D10&lt;0,ABS(SUM('Sites'!S6:S8)-1)&gt;0.0001,MIN('Capital'!F6:F8)&lt;0,MAX('Capital'!F6:F8)&gt;1,MIN(AX168,AZ168,BB168,BA168)&lt;-0.01),1,0)+'Responsibilities'!$B$40</f>
        <v/>
      </c>
      <c r="BL168" s="137">
        <f>SUMIFS('Production schedule'!$T$438:$T$545,'Production schedule'!$C$438:$C$545,19)</f>
        <v/>
      </c>
      <c r="BM168" s="137">
        <f>D168*'NM Play'!$B$38</f>
        <v/>
      </c>
      <c r="BN168" s="137">
        <f>SUMIFS('Production schedule'!$AM$438:$AM$545,'Production schedule'!$C$438:$C$545,19)</f>
        <v/>
      </c>
      <c r="BO168" s="137">
        <f>AK168-AK167-AJ168</f>
        <v/>
      </c>
      <c r="BP168" s="137">
        <f>IF(AND('Assumptions'!$B$39&gt;=0,'Assumptions'!$B$40&gt;0),-PMT('Assumptions'!$B$39/12,'Assumptions'!$B$40*12,IF('Funding'!$N$11&gt;0,'Funding'!$N$11,'Funding'!$V$11)),"")</f>
        <v/>
      </c>
      <c r="BQ168">
        <f>('Production schedule'!AJ456)*(1-'Responsibilities'!$C$6)+('Production schedule'!AJ492)*(1-'Responsibilities'!$C$7)+('Production schedule'!AJ528)*(1-'Responsibilities'!$C$8)</f>
        <v/>
      </c>
      <c r="BR168">
        <f>('Production schedule'!AI456)*(1-'Responsibilities'!$D$6)+('Production schedule'!AI492)*(1-'Responsibilities'!$D$7)+('Production schedule'!AI528)*(1-'Responsibilities'!$D$8)</f>
        <v/>
      </c>
      <c r="BS168">
        <f>('Production schedule'!E456*(IF('Sites'!D6="Annual staff",SUM('Assumptions'!V112,'Assumptions'!V114),0)+SUM('Assumptions'!V113,'Assumptions'!V115:V116)))*(1-'Responsibilities'!$E$6)+('Production schedule'!E492*(IF('Sites'!D7="Annual staff",SUM('Assumptions'!V117,'Assumptions'!V119),0)+SUM('Assumptions'!V118,'Assumptions'!V120:V121)))*(1-'Responsibilities'!$E$7)+('Production schedule'!E528*(IF('Sites'!D8="Annual staff",SUM('Assumptions'!V122,'Assumptions'!V124),0)+SUM('Assumptions'!V123,'Assumptions'!V125:V126)))*(1-'Responsibilities'!$E$8)</f>
        <v/>
      </c>
      <c r="BT168">
        <f>(IF(AND('Production schedule'!E456=1,19=MAX(('Sites'!F6),13),ISNUMBER('Sites'!P6)),'Sites'!P6*'Assumptions'!$B$44,0))*(1-'Responsibilities'!$F$6)+(IF(AND('Production schedule'!E492=1,19=MAX(('Sites'!F7+'Cases'!G10),13),ISNUMBER('Sites'!P7)),'Sites'!P7*'Assumptions'!$B$44,0))*(1-'Responsibilities'!$F$7)+(IF(AND('Production schedule'!E528=1,19=MAX(('Sites'!F8+'Cases'!G10),13),ISNUMBER('Sites'!P8)),'Sites'!P8*'Assumptions'!$B$44,0))*(1-'Responsibilities'!$F$8)</f>
        <v/>
      </c>
      <c r="BU168">
        <f>SUM('Costs'!E36)*'Costs'!F36/12*(1-'Responsibilities'!$C$12)+SUM('Costs'!E37)*'Costs'!F37/12*(1-'Responsibilities'!$C$13)+SUM('Costs'!E38)*'Costs'!F38/12*(1-'Responsibilities'!$C$14)+SUM('Costs'!E39)*'Costs'!F39/12*(1-'Responsibilities'!$C$15)+SUM('Costs'!E40)*'Costs'!F40/12*(1-'Responsibilities'!$C$16)</f>
        <v/>
      </c>
      <c r="BV168">
        <f>('Sites'!E6*'Capital'!E6*(IF(19='Capital'!G6,'Capital'!F6,0)+IF(19='Capital'!H6,1-'Capital'!F6,0)))*(1-'Responsibilities'!$G$6)+('Sites'!E7*'Capital'!E7*(IF(19='Capital'!G7+'Cases'!G10,'Capital'!F7,0)+IF(19='Capital'!H7+'Cases'!G10,1-'Capital'!F7,0)))*(1-'Responsibilities'!$G$7)+('Sites'!E8*'Cases'!F10*'Capital'!E8*(IF(19='Capital'!G8+'Cases'!G10,'Capital'!F8,0)+IF(19='Capital'!H8+'Cases'!G10,1-'Capital'!F8,0)))*(1-'Responsibilities'!$G$8)</f>
        <v/>
      </c>
      <c r="BW168">
        <f>SUM(BQ168:BV168)</f>
        <v/>
      </c>
      <c r="BX168">
        <f>N168+BW168</f>
        <v/>
      </c>
      <c r="BY168">
        <f>BX168-(('Production schedule'!AJ456)*'Responsibilities'!$C$6+('Production schedule'!AJ492)*'Responsibilities'!$C$7+('Production schedule'!AJ528)*'Responsibilities'!$C$8+('Production schedule'!AJ456)*(1-'Responsibilities'!$C$6)+('Production schedule'!AJ492)*(1-'Responsibilities'!$C$7)+('Production schedule'!AJ528)*(1-'Responsibilities'!$C$8)+('Production schedule'!AI456)*'Responsibilities'!$D$6+('Production schedule'!AI492)*'Responsibilities'!$D$7+('Production schedule'!AI528)*'Responsibilities'!$D$8+('Production schedule'!AI456)*(1-'Responsibilities'!$D$6)+('Production schedule'!AI492)*(1-'Responsibilities'!$D$7)+('Production schedule'!AI528)*(1-'Responsibilities'!$D$8)+('Production schedule'!E456*(IF('Sites'!D6="Annual staff",SUM('Assumptions'!V112,'Assumptions'!V114),0)+SUM('Assumptions'!V113,'Assumptions'!V115:V116)))*'Responsibilities'!$E$6+('Production schedule'!E492*(IF('Sites'!D7="Annual staff",SUM('Assumptions'!V117,'Assumptions'!V119),0)+SUM('Assumptions'!V118,'Assumptions'!V120:V121)))*'Responsibilities'!$E$7+('Production schedule'!E528*(IF('Sites'!D8="Annual staff",SUM('Assumptions'!V122,'Assumptions'!V124),0)+SUM('Assumptions'!V123,'Assumptions'!V125:V126)))*'Responsibilities'!$E$8+('Production schedule'!E456*(IF('Sites'!D6="Annual staff",SUM('Assumptions'!V112,'Assumptions'!V114),0)+SUM('Assumptions'!V113,'Assumptions'!V115:V116)))*(1-'Responsibilities'!$E$6)+('Production schedule'!E492*(IF('Sites'!D7="Annual staff",SUM('Assumptions'!V117,'Assumptions'!V119),0)+SUM('Assumptions'!V118,'Assumptions'!V120:V121)))*(1-'Responsibilities'!$E$7)+('Production schedule'!E528*(IF('Sites'!D8="Annual staff",SUM('Assumptions'!V122,'Assumptions'!V124),0)+SUM('Assumptions'!V123,'Assumptions'!V125:V126)))*(1-'Responsibilities'!$E$8)+(IF(AND('Production schedule'!E456=1,19=MAX(('Sites'!F6),13),ISNUMBER('Sites'!P6)),'Sites'!P6*'Assumptions'!$B$44,0))*'Responsibilities'!$F$6+(IF(AND('Production schedule'!E492=1,19=MAX(('Sites'!F7+'Cases'!G10),13),ISNUMBER('Sites'!P7)),'Sites'!P7*'Assumptions'!$B$44,0))*'Responsibilities'!$F$7+(IF(AND('Production schedule'!E528=1,19=MAX(('Sites'!F8+'Cases'!G10),13),ISNUMBER('Sites'!P8)),'Sites'!P8*'Assumptions'!$B$44,0))*'Responsibilities'!$F$8+(IF(AND('Production schedule'!E456=1,19=MAX(('Sites'!F6),13),ISNUMBER('Sites'!P6)),'Sites'!P6*'Assumptions'!$B$44,0))*(1-'Responsibilities'!$F$6)+(IF(AND('Production schedule'!E492=1,19=MAX(('Sites'!F7+'Cases'!G10),13),ISNUMBER('Sites'!P7)),'Sites'!P7*'Assumptions'!$B$44,0))*(1-'Responsibilities'!$F$7)+(IF(AND('Production schedule'!E528=1,19=MAX(('Sites'!F8+'Cases'!G10),13),ISNUMBER('Sites'!P8)),'Sites'!P8*'Assumptions'!$B$44,0))*(1-'Responsibilities'!$F$8)+('Sites'!E6*'Capital'!E6*(IF(19='Capital'!G6,'Capital'!F6,0)+IF(19='Capital'!H6,1-'Capital'!F6,0)))*'Responsibilities'!$G$6+('Sites'!E7*'Capital'!E7*(IF(19='Capital'!G7+'Cases'!G10,'Capital'!F7,0)+IF(19='Capital'!H7+'Cases'!G10,1-'Capital'!F7,0)))*'Responsibilities'!$G$7+('Sites'!E8*'Cases'!F10*'Capital'!E8*(IF(19='Capital'!G8+'Cases'!G10,'Capital'!F8,0)+IF(19='Capital'!H8+'Cases'!G10,1-'Capital'!F8,0)))*'Responsibilities'!$G$8+('Sites'!E6*'Capital'!E6*(IF(19='Capital'!G6,'Capital'!F6,0)+IF(19='Capital'!H6,1-'Capital'!F6,0)))*(1-'Responsibilities'!$G$6)+('Sites'!E7*'Capital'!E7*(IF(19='Capital'!G7+'Cases'!G10,'Capital'!F7,0)+IF(19='Capital'!H7+'Cases'!G10,1-'Capital'!F7,0)))*(1-'Responsibilities'!$G$7)+('Sites'!E8*'Cases'!F10*'Capital'!E8*(IF(19='Capital'!G8+'Cases'!G10,'Capital'!F8,0)+IF(19='Capital'!H8+'Cases'!G10,1-'Capital'!F8,0)))*(1-'Responsibilities'!$G$8)+I168+SUMPRODUCT('Costs'!$E$36:$E$40,'Costs'!$F$36:$F$40)/12+BZ168)</f>
        <v/>
      </c>
      <c r="BZ168">
        <f>SUMIFS('Responsibilities'!$B$31:$B$35,'Responsibilities'!$C$31:$C$35,19,'Responsibilities'!$D$31:$D$35,"Yes")</f>
        <v/>
      </c>
    </row>
    <row r="169" ht="28" customHeight="1">
      <c r="A169" s="4" t="inlineStr">
        <is>
          <t>Lower sales</t>
        </is>
      </c>
      <c r="B169" s="4" t="n">
        <v>20</v>
      </c>
      <c r="C169" s="4">
        <f>ROUNDUP(B169/12,0)</f>
        <v/>
      </c>
      <c r="D169" s="137">
        <f>SUMIFS('Production schedule'!$N$438:$N$545,'Production schedule'!$C$438:$C$545,20)</f>
        <v/>
      </c>
      <c r="E169" s="137">
        <f>SUMIFS('Production schedule'!$Y$438:$Y$545,'Production schedule'!$C$438:$C$545,20)</f>
        <v/>
      </c>
      <c r="F169" s="137">
        <f>SUMIFS('Production schedule'!$Z$438:$Z$545,'Production schedule'!$C$438:$C$545,20)</f>
        <v/>
      </c>
      <c r="G169" s="137">
        <f>('Production schedule'!AJ457)*'Responsibilities'!$C$6+('Production schedule'!AJ493)*'Responsibilities'!$C$7+('Production schedule'!AJ529)*'Responsibilities'!$C$8</f>
        <v/>
      </c>
      <c r="H169" s="137">
        <f>('Production schedule'!AI457)*'Responsibilities'!$D$6+('Production schedule'!AI493)*'Responsibilities'!$D$7+('Production schedule'!AI529)*'Responsibilities'!$D$8</f>
        <v/>
      </c>
      <c r="I169" s="137">
        <f>SUM('Assumptions'!W58:W65)</f>
        <v/>
      </c>
      <c r="J169" s="137">
        <f>('Production schedule'!E457*(IF('Sites'!D6="Annual staff",SUM('Assumptions'!W112,'Assumptions'!W114),0)+SUM('Assumptions'!W113,'Assumptions'!W115:W116)))*'Responsibilities'!$E$6+('Production schedule'!E493*(IF('Sites'!D7="Annual staff",SUM('Assumptions'!W117,'Assumptions'!W119),0)+SUM('Assumptions'!W118,'Assumptions'!W120:W121)))*'Responsibilities'!$E$7+('Production schedule'!E529*(IF('Sites'!D8="Annual staff",SUM('Assumptions'!W122,'Assumptions'!W124),0)+SUM('Assumptions'!W123,'Assumptions'!W125:W126)))*'Responsibilities'!$E$8</f>
        <v/>
      </c>
      <c r="K169" s="137">
        <f>(IF(AND('Production schedule'!E457=1,20=MAX(('Sites'!F6),13),ISNUMBER('Sites'!P6)),'Sites'!P6*'Assumptions'!$B$44,0))*'Responsibilities'!$F$6+(IF(AND('Production schedule'!E493=1,20=MAX(('Sites'!F7+'Cases'!G10),13),ISNUMBER('Sites'!P7)),'Sites'!P7*'Assumptions'!$B$44,0))*'Responsibilities'!$F$7+(IF(AND('Production schedule'!E529=1,20=MAX(('Sites'!F8+'Cases'!G10),13),ISNUMBER('Sites'!P8)),'Sites'!P8*'Assumptions'!$B$44,0))*'Responsibilities'!$F$8</f>
        <v/>
      </c>
      <c r="L169" s="137">
        <f>SUM('Costs'!E36)*'Costs'!F36/12*'Responsibilities'!$C$12+SUM('Costs'!E37)*'Costs'!F37/12*'Responsibilities'!$C$13+SUM('Costs'!E38)*'Costs'!F38/12*'Responsibilities'!$C$14+SUM('Costs'!E39)*'Costs'!F39/12*'Responsibilities'!$C$15+SUM('Costs'!E40)*'Costs'!F40/12*'Responsibilities'!$C$16+BZ169</f>
        <v/>
      </c>
      <c r="M169" s="137">
        <f>('Sites'!E6*'Capital'!E6*(IF(20='Capital'!G6,'Capital'!F6,0)+IF(20='Capital'!H6,1-'Capital'!F6,0)))*'Responsibilities'!$G$6+('Sites'!E7*'Capital'!E7*(IF(20='Capital'!G7+'Cases'!G10,'Capital'!F7,0)+IF(20='Capital'!H7+'Cases'!G10,1-'Capital'!F7,0)))*'Responsibilities'!$G$7+('Sites'!E8*'Cases'!F10*'Capital'!E8*(IF(20='Capital'!G8+'Cases'!G10,'Capital'!F8,0)+IF(20='Capital'!H8+'Cases'!G10,1-'Capital'!F8,0)))*'Responsibilities'!$G$8</f>
        <v/>
      </c>
      <c r="N169" s="137">
        <f>SUM(G169:M169)</f>
        <v/>
      </c>
      <c r="O169" s="137">
        <f>SUMIFS(FundingTranches[Secured amount],FundingTranches[Instrument],"Grant",FundingTranches[Secured month],20)</f>
        <v/>
      </c>
      <c r="P169" s="137">
        <f>SUMIFS(FundingTranches[Lower sales possible],FundingTranches[Instrument],"Grant",FundingTranches[Scenario month],20-'Cases'!$D$10)</f>
        <v/>
      </c>
      <c r="Q169" s="137">
        <f>SUMIFS(FundingTranches[Secured amount],FundingTranches[Instrument],"Loan",FundingTranches[Secured month],20)</f>
        <v/>
      </c>
      <c r="R169" s="137">
        <f>SUMIFS(FundingTranches[Lower sales possible],FundingTranches[Instrument],"Loan",FundingTranches[Scenario month],20-'Cases'!$D$10)</f>
        <v/>
      </c>
      <c r="S169" s="137">
        <f>IF(20&lt;='Assumptions'!$B$34,0,SUMIFS('Production schedule'!$AL$438:$AL$545,'Production schedule'!$C$438:$C$545,20-'Assumptions'!$B$34))</f>
        <v/>
      </c>
      <c r="T169" s="137">
        <f>'Assumptions'!W70</f>
        <v/>
      </c>
      <c r="U169" s="137">
        <f>'Assumptions'!W78</f>
        <v/>
      </c>
      <c r="V169" s="137">
        <f>SUM(O169:U169)</f>
        <v/>
      </c>
      <c r="W169" s="137">
        <f>AA168</f>
        <v/>
      </c>
      <c r="X169" s="137">
        <f>SUM(Q169:R169)</f>
        <v/>
      </c>
      <c r="Y169" s="137">
        <f>SUM(W169,X169)*'Assumptions'!$B$39/12</f>
        <v/>
      </c>
      <c r="Z169" s="137">
        <f>IF(SUM(W169,X169)&gt;0,MIN(SUM(W169,X169),MAX(0,BP169-Y169)),0)</f>
        <v/>
      </c>
      <c r="AA169" s="137">
        <f>SUM(W169,X169)-Z169</f>
        <v/>
      </c>
      <c r="AB169" s="137">
        <f>SUM(Y169:Z169)</f>
        <v/>
      </c>
      <c r="AC169" s="137">
        <f>'Assumptions'!W72</f>
        <v/>
      </c>
      <c r="AD169" s="137">
        <f>'Assumptions'!W73</f>
        <v/>
      </c>
      <c r="AE169" s="137">
        <f>IF(X169&gt;0,SUM('Assumptions'!$B$42),0)</f>
        <v/>
      </c>
      <c r="AF169" s="137">
        <f>'Assumptions'!W71</f>
        <v/>
      </c>
      <c r="AG169" s="137">
        <f>'Assumptions'!W74</f>
        <v/>
      </c>
      <c r="AH169" s="137">
        <f>'Assumptions'!W75</f>
        <v/>
      </c>
      <c r="AI169" s="137">
        <f>'Assumptions'!W77</f>
        <v/>
      </c>
      <c r="AJ169" s="137">
        <f>V169-N169-SUM(AB169:AI169)</f>
        <v/>
      </c>
      <c r="AK169" s="137">
        <f>SUM(AJ150:AJ169)</f>
        <v/>
      </c>
      <c r="AL169" s="137">
        <f>IF(ISNUMBER('Assumptions'!$B$10),'Assumptions'!$B$10+AK169,"")</f>
        <v/>
      </c>
      <c r="AM169" s="137">
        <f>SUM(O169,Q169,T169)-N169-SUM(AC169:AI169)+IF('Funding'!$N$11=0,AE169,0)-IF('Funding'!$N$11&gt;0,AB169,0)</f>
        <v/>
      </c>
      <c r="AN169" s="137">
        <f>SUM(AM150:AM169)</f>
        <v/>
      </c>
      <c r="AO169" s="137">
        <f>IF(ISNUMBER('Assumptions'!$B$10),'Assumptions'!$B$10+AN169,"")</f>
        <v/>
      </c>
      <c r="AP169" s="137">
        <f>('Production schedule'!AK457)*'Responsibilities'!$C$6+('Production schedule'!AK493)*'Responsibilities'!$C$7+('Production schedule'!AK529)*'Responsibilities'!$C$8</f>
        <v/>
      </c>
      <c r="AQ169" s="137">
        <f>SUMIFS('Production schedule'!$AL$438:$AL$545,'Production schedule'!$C$438:$C$545,20)</f>
        <v/>
      </c>
      <c r="AR169" s="137">
        <f>IF(ISNUMBER('Assumptions'!W76),'Assumptions'!W76,SUM(O169:P169))</f>
        <v/>
      </c>
      <c r="AS169" s="137">
        <f>IF(ISNUMBER('Assumptions'!$B$13),MIN('Assumptions'!$B$13/'Assumptions'!$B$18/12,MAX(0,'Assumptions'!$B$13-(20-1)*'Assumptions'!$B$13/'Assumptions'!$B$18/12)),0)+IF(AND('Sites'!E6=1,20&gt;=('Sites'!F6),20&lt;('Sites'!F6)+'Assumptions'!$B$18*12),'Capital'!E6/'Assumptions'!$B$18/12,0)+IF(AND('Sites'!E7=1,20&gt;=('Sites'!F7+'Cases'!G10),20&lt;('Sites'!F7+'Cases'!G10)+'Assumptions'!$B$18*12),'Capital'!E7/'Assumptions'!$B$18/12,0)+IF(AND('Sites'!E8*'Cases'!F10=1,20&gt;=('Sites'!F8+'Cases'!G10),20&lt;('Sites'!F8+'Cases'!G10)+'Assumptions'!$B$18*12),'Capital'!E8/'Assumptions'!$B$18/12,0)</f>
        <v/>
      </c>
      <c r="AT169" s="137">
        <f>SUM(AQ169,AR169,U169)-AP169-SUM(H169:L169)-AS169-SUM(Y169,AD169,AE169,AH169)</f>
        <v/>
      </c>
      <c r="AU169" s="137">
        <f>IF(ISNUMBER('Assumptions'!$B$19),MAX(0,SUM(AT162:AT169))*'Assumptions'!$B$19-SUM(AU162:AU168),"")</f>
        <v/>
      </c>
      <c r="AV169" s="137">
        <f>IF(ISNUMBER(AU169),AT169-AU169,"")</f>
        <v/>
      </c>
      <c r="AW169" s="137">
        <f>IF(ISNUMBER('Assumptions'!$B$11),'Assumptions'!$B$11+SUM(AQ150:AQ169)-SUM(S150:S169)-SUM(T150:T169),"")</f>
        <v/>
      </c>
      <c r="AX169" s="137">
        <f>IF(ISNUMBER('Assumptions'!$B$12),'Assumptions'!$B$12+SUM(G150:G169)-SUM(AP150:AP169),"")</f>
        <v/>
      </c>
      <c r="AY169" s="137">
        <f>IF(ISNUMBER('Assumptions'!$B$13),'Assumptions'!$B$13+SUM(M150:M169)-SUM(AS150:AS169),"")</f>
        <v/>
      </c>
      <c r="AZ169" s="137">
        <f>IF(ISNUMBER('Assumptions'!$B$14),'Assumptions'!$B$14+-SUM(AF150:AF169),"")</f>
        <v/>
      </c>
      <c r="BA169" s="137">
        <f>IF(ISNUMBER('Assumptions'!$B$15),'Assumptions'!$B$15+SUM(O150:O169)+SUM(P150:P169)-SUM(AR150:AR169),"")</f>
        <v/>
      </c>
      <c r="BB169" s="137">
        <f>IF(ISNUMBER('Assumptions'!$B$16),'Assumptions'!$B$16+-SUM(AC150:AC169),"")</f>
        <v/>
      </c>
      <c r="BC169" s="137">
        <f>IF(AND(ISNUMBER('Assumptions'!$B$21),ISNUMBER('Assumptions'!$B$19)),'Assumptions'!$B$21+SUM(AU150:AU169)-SUM(AG150:AG169),"")</f>
        <v/>
      </c>
      <c r="BD169" s="137">
        <f>IF(ISNUMBER('Assumptions'!$B$20),'Assumptions'!$B$20+-SUM(AI150:AI169),"")</f>
        <v/>
      </c>
      <c r="BE169" s="137">
        <f>IF(AND(ISNUMBER('Assumptions'!$B$17),COUNT(AV150:AV169)=20),'Assumptions'!$B$17+SUM(AV150:AV169),"")</f>
        <v/>
      </c>
      <c r="BF169" s="137">
        <f>IF(COUNT(AL169,AW169:AY169)=4,SUM(AL169,AW169:AY169),"")</f>
        <v/>
      </c>
      <c r="BG169" s="137">
        <f>IF(COUNT(AZ169:BD169)=5,SUM(AZ169:BD169,AA169),"")</f>
        <v/>
      </c>
      <c r="BH169" s="137">
        <f>IF(COUNT(BF169,BG169,BE169)=3,BF169-BG169-BE169,"")</f>
        <v/>
      </c>
      <c r="BI169" s="137">
        <f>SUM(W169,X169)-Z169-AA169</f>
        <v/>
      </c>
      <c r="BJ169" s="137">
        <f>8-COUNT('Assumptions'!W58:W65)+COUNTBLANK('NM Play'!B33:B34)+'Costs'!E44+IF(AND('Sites'!E6=1,('Sites'!F6)&lt;=24,'Sites'!G6&gt;=13),IF(ISNUMBER('Sites'!P6),0,1)+'Capital'!I6+COUNTBLANK('Sites'!R6)+IF('Sites'!D6="NM crew",COUNTBLANK('NM Play'!B25)+1,5-COUNT('Assumptions'!W112:W116)),0)+IF(AND('Sites'!E7=1,('Sites'!F7+'Cases'!G10)&lt;=24,'Sites'!G7&gt;=13),IF(ISNUMBER('Sites'!P7),0,1)+'Capital'!I7+COUNTBLANK('Sites'!R7)+IF('Sites'!D7="NM crew",COUNTBLANK('NM Play'!B25)+1,5-COUNT('Assumptions'!W117:W121)),0)+IF(AND('Sites'!E8*'Cases'!F10=1,('Sites'!F8+'Cases'!G10)&lt;=24,'Sites'!G8&gt;=13),IF(ISNUMBER('Sites'!P8),0,1)+'Capital'!I8+COUNTBLANK('Sites'!R8)+IF('Sites'!D8="NM crew",COUNTBLANK('NM Play'!B25)+1,5-COUNT('Assumptions'!W122:W126)),0)+IF(AND('Cases'!C10&gt;0,NOT(ISNUMBER('Assumptions'!B42))),1,0)+'Responsibilities'!$B$39</f>
        <v/>
      </c>
      <c r="BK169" s="137">
        <f>'Assumptions'!$B$50+'NM Play'!$B$83+'Funding'!$F$20+SUMIFS('Production schedule'!$AN$438:$AN$545,'Production schedule'!$C$438:$C$545,20)+IF(OR('Cases'!E10&lt;0,'Cases'!E10&gt;1,'Cases'!C10&lt;0,'Cases'!D10&lt;0,ABS(SUM('Sites'!S6:S8)-1)&gt;0.0001,MIN('Capital'!F6:F8)&lt;0,MAX('Capital'!F6:F8)&gt;1,MIN(AX169,AZ169,BB169,BA169)&lt;-0.01),1,0)+'Responsibilities'!$B$40</f>
        <v/>
      </c>
      <c r="BL169" s="137">
        <f>SUMIFS('Production schedule'!$T$438:$T$545,'Production schedule'!$C$438:$C$545,20)</f>
        <v/>
      </c>
      <c r="BM169" s="137">
        <f>D169*'NM Play'!$B$38</f>
        <v/>
      </c>
      <c r="BN169" s="137">
        <f>SUMIFS('Production schedule'!$AM$438:$AM$545,'Production schedule'!$C$438:$C$545,20)</f>
        <v/>
      </c>
      <c r="BO169" s="137">
        <f>AK169-AK168-AJ169</f>
        <v/>
      </c>
      <c r="BP169" s="137">
        <f>IF(AND('Assumptions'!$B$39&gt;=0,'Assumptions'!$B$40&gt;0),-PMT('Assumptions'!$B$39/12,'Assumptions'!$B$40*12,IF('Funding'!$N$11&gt;0,'Funding'!$N$11,'Funding'!$V$11)),"")</f>
        <v/>
      </c>
      <c r="BQ169">
        <f>('Production schedule'!AJ457)*(1-'Responsibilities'!$C$6)+('Production schedule'!AJ493)*(1-'Responsibilities'!$C$7)+('Production schedule'!AJ529)*(1-'Responsibilities'!$C$8)</f>
        <v/>
      </c>
      <c r="BR169">
        <f>('Production schedule'!AI457)*(1-'Responsibilities'!$D$6)+('Production schedule'!AI493)*(1-'Responsibilities'!$D$7)+('Production schedule'!AI529)*(1-'Responsibilities'!$D$8)</f>
        <v/>
      </c>
      <c r="BS169">
        <f>('Production schedule'!E457*(IF('Sites'!D6="Annual staff",SUM('Assumptions'!W112,'Assumptions'!W114),0)+SUM('Assumptions'!W113,'Assumptions'!W115:W116)))*(1-'Responsibilities'!$E$6)+('Production schedule'!E493*(IF('Sites'!D7="Annual staff",SUM('Assumptions'!W117,'Assumptions'!W119),0)+SUM('Assumptions'!W118,'Assumptions'!W120:W121)))*(1-'Responsibilities'!$E$7)+('Production schedule'!E529*(IF('Sites'!D8="Annual staff",SUM('Assumptions'!W122,'Assumptions'!W124),0)+SUM('Assumptions'!W123,'Assumptions'!W125:W126)))*(1-'Responsibilities'!$E$8)</f>
        <v/>
      </c>
      <c r="BT169">
        <f>(IF(AND('Production schedule'!E457=1,20=MAX(('Sites'!F6),13),ISNUMBER('Sites'!P6)),'Sites'!P6*'Assumptions'!$B$44,0))*(1-'Responsibilities'!$F$6)+(IF(AND('Production schedule'!E493=1,20=MAX(('Sites'!F7+'Cases'!G10),13),ISNUMBER('Sites'!P7)),'Sites'!P7*'Assumptions'!$B$44,0))*(1-'Responsibilities'!$F$7)+(IF(AND('Production schedule'!E529=1,20=MAX(('Sites'!F8+'Cases'!G10),13),ISNUMBER('Sites'!P8)),'Sites'!P8*'Assumptions'!$B$44,0))*(1-'Responsibilities'!$F$8)</f>
        <v/>
      </c>
      <c r="BU169">
        <f>SUM('Costs'!E36)*'Costs'!F36/12*(1-'Responsibilities'!$C$12)+SUM('Costs'!E37)*'Costs'!F37/12*(1-'Responsibilities'!$C$13)+SUM('Costs'!E38)*'Costs'!F38/12*(1-'Responsibilities'!$C$14)+SUM('Costs'!E39)*'Costs'!F39/12*(1-'Responsibilities'!$C$15)+SUM('Costs'!E40)*'Costs'!F40/12*(1-'Responsibilities'!$C$16)</f>
        <v/>
      </c>
      <c r="BV169">
        <f>('Sites'!E6*'Capital'!E6*(IF(20='Capital'!G6,'Capital'!F6,0)+IF(20='Capital'!H6,1-'Capital'!F6,0)))*(1-'Responsibilities'!$G$6)+('Sites'!E7*'Capital'!E7*(IF(20='Capital'!G7+'Cases'!G10,'Capital'!F7,0)+IF(20='Capital'!H7+'Cases'!G10,1-'Capital'!F7,0)))*(1-'Responsibilities'!$G$7)+('Sites'!E8*'Cases'!F10*'Capital'!E8*(IF(20='Capital'!G8+'Cases'!G10,'Capital'!F8,0)+IF(20='Capital'!H8+'Cases'!G10,1-'Capital'!F8,0)))*(1-'Responsibilities'!$G$8)</f>
        <v/>
      </c>
      <c r="BW169">
        <f>SUM(BQ169:BV169)</f>
        <v/>
      </c>
      <c r="BX169">
        <f>N169+BW169</f>
        <v/>
      </c>
      <c r="BY169">
        <f>BX169-(('Production schedule'!AJ457)*'Responsibilities'!$C$6+('Production schedule'!AJ493)*'Responsibilities'!$C$7+('Production schedule'!AJ529)*'Responsibilities'!$C$8+('Production schedule'!AJ457)*(1-'Responsibilities'!$C$6)+('Production schedule'!AJ493)*(1-'Responsibilities'!$C$7)+('Production schedule'!AJ529)*(1-'Responsibilities'!$C$8)+('Production schedule'!AI457)*'Responsibilities'!$D$6+('Production schedule'!AI493)*'Responsibilities'!$D$7+('Production schedule'!AI529)*'Responsibilities'!$D$8+('Production schedule'!AI457)*(1-'Responsibilities'!$D$6)+('Production schedule'!AI493)*(1-'Responsibilities'!$D$7)+('Production schedule'!AI529)*(1-'Responsibilities'!$D$8)+('Production schedule'!E457*(IF('Sites'!D6="Annual staff",SUM('Assumptions'!W112,'Assumptions'!W114),0)+SUM('Assumptions'!W113,'Assumptions'!W115:W116)))*'Responsibilities'!$E$6+('Production schedule'!E493*(IF('Sites'!D7="Annual staff",SUM('Assumptions'!W117,'Assumptions'!W119),0)+SUM('Assumptions'!W118,'Assumptions'!W120:W121)))*'Responsibilities'!$E$7+('Production schedule'!E529*(IF('Sites'!D8="Annual staff",SUM('Assumptions'!W122,'Assumptions'!W124),0)+SUM('Assumptions'!W123,'Assumptions'!W125:W126)))*'Responsibilities'!$E$8+('Production schedule'!E457*(IF('Sites'!D6="Annual staff",SUM('Assumptions'!W112,'Assumptions'!W114),0)+SUM('Assumptions'!W113,'Assumptions'!W115:W116)))*(1-'Responsibilities'!$E$6)+('Production schedule'!E493*(IF('Sites'!D7="Annual staff",SUM('Assumptions'!W117,'Assumptions'!W119),0)+SUM('Assumptions'!W118,'Assumptions'!W120:W121)))*(1-'Responsibilities'!$E$7)+('Production schedule'!E529*(IF('Sites'!D8="Annual staff",SUM('Assumptions'!W122,'Assumptions'!W124),0)+SUM('Assumptions'!W123,'Assumptions'!W125:W126)))*(1-'Responsibilities'!$E$8)+(IF(AND('Production schedule'!E457=1,20=MAX(('Sites'!F6),13),ISNUMBER('Sites'!P6)),'Sites'!P6*'Assumptions'!$B$44,0))*'Responsibilities'!$F$6+(IF(AND('Production schedule'!E493=1,20=MAX(('Sites'!F7+'Cases'!G10),13),ISNUMBER('Sites'!P7)),'Sites'!P7*'Assumptions'!$B$44,0))*'Responsibilities'!$F$7+(IF(AND('Production schedule'!E529=1,20=MAX(('Sites'!F8+'Cases'!G10),13),ISNUMBER('Sites'!P8)),'Sites'!P8*'Assumptions'!$B$44,0))*'Responsibilities'!$F$8+(IF(AND('Production schedule'!E457=1,20=MAX(('Sites'!F6),13),ISNUMBER('Sites'!P6)),'Sites'!P6*'Assumptions'!$B$44,0))*(1-'Responsibilities'!$F$6)+(IF(AND('Production schedule'!E493=1,20=MAX(('Sites'!F7+'Cases'!G10),13),ISNUMBER('Sites'!P7)),'Sites'!P7*'Assumptions'!$B$44,0))*(1-'Responsibilities'!$F$7)+(IF(AND('Production schedule'!E529=1,20=MAX(('Sites'!F8+'Cases'!G10),13),ISNUMBER('Sites'!P8)),'Sites'!P8*'Assumptions'!$B$44,0))*(1-'Responsibilities'!$F$8)+('Sites'!E6*'Capital'!E6*(IF(20='Capital'!G6,'Capital'!F6,0)+IF(20='Capital'!H6,1-'Capital'!F6,0)))*'Responsibilities'!$G$6+('Sites'!E7*'Capital'!E7*(IF(20='Capital'!G7+'Cases'!G10,'Capital'!F7,0)+IF(20='Capital'!H7+'Cases'!G10,1-'Capital'!F7,0)))*'Responsibilities'!$G$7+('Sites'!E8*'Cases'!F10*'Capital'!E8*(IF(20='Capital'!G8+'Cases'!G10,'Capital'!F8,0)+IF(20='Capital'!H8+'Cases'!G10,1-'Capital'!F8,0)))*'Responsibilities'!$G$8+('Sites'!E6*'Capital'!E6*(IF(20='Capital'!G6,'Capital'!F6,0)+IF(20='Capital'!H6,1-'Capital'!F6,0)))*(1-'Responsibilities'!$G$6)+('Sites'!E7*'Capital'!E7*(IF(20='Capital'!G7+'Cases'!G10,'Capital'!F7,0)+IF(20='Capital'!H7+'Cases'!G10,1-'Capital'!F7,0)))*(1-'Responsibilities'!$G$7)+('Sites'!E8*'Cases'!F10*'Capital'!E8*(IF(20='Capital'!G8+'Cases'!G10,'Capital'!F8,0)+IF(20='Capital'!H8+'Cases'!G10,1-'Capital'!F8,0)))*(1-'Responsibilities'!$G$8)+I169+SUMPRODUCT('Costs'!$E$36:$E$40,'Costs'!$F$36:$F$40)/12+BZ169)</f>
        <v/>
      </c>
      <c r="BZ169">
        <f>SUMIFS('Responsibilities'!$B$31:$B$35,'Responsibilities'!$C$31:$C$35,20,'Responsibilities'!$D$31:$D$35,"Yes")</f>
        <v/>
      </c>
    </row>
    <row r="170" ht="28" customHeight="1">
      <c r="A170" s="4" t="inlineStr">
        <is>
          <t>Lower sales</t>
        </is>
      </c>
      <c r="B170" s="4" t="n">
        <v>21</v>
      </c>
      <c r="C170" s="4">
        <f>ROUNDUP(B170/12,0)</f>
        <v/>
      </c>
      <c r="D170" s="137">
        <f>SUMIFS('Production schedule'!$N$438:$N$545,'Production schedule'!$C$438:$C$545,21)</f>
        <v/>
      </c>
      <c r="E170" s="137">
        <f>SUMIFS('Production schedule'!$Y$438:$Y$545,'Production schedule'!$C$438:$C$545,21)</f>
        <v/>
      </c>
      <c r="F170" s="137">
        <f>SUMIFS('Production schedule'!$Z$438:$Z$545,'Production schedule'!$C$438:$C$545,21)</f>
        <v/>
      </c>
      <c r="G170" s="137">
        <f>('Production schedule'!AJ458)*'Responsibilities'!$C$6+('Production schedule'!AJ494)*'Responsibilities'!$C$7+('Production schedule'!AJ530)*'Responsibilities'!$C$8</f>
        <v/>
      </c>
      <c r="H170" s="137">
        <f>('Production schedule'!AI458)*'Responsibilities'!$D$6+('Production schedule'!AI494)*'Responsibilities'!$D$7+('Production schedule'!AI530)*'Responsibilities'!$D$8</f>
        <v/>
      </c>
      <c r="I170" s="137">
        <f>SUM('Assumptions'!X58:X65)</f>
        <v/>
      </c>
      <c r="J170" s="137">
        <f>('Production schedule'!E458*(IF('Sites'!D6="Annual staff",SUM('Assumptions'!X112,'Assumptions'!X114),0)+SUM('Assumptions'!X113,'Assumptions'!X115:X116)))*'Responsibilities'!$E$6+('Production schedule'!E494*(IF('Sites'!D7="Annual staff",SUM('Assumptions'!X117,'Assumptions'!X119),0)+SUM('Assumptions'!X118,'Assumptions'!X120:X121)))*'Responsibilities'!$E$7+('Production schedule'!E530*(IF('Sites'!D8="Annual staff",SUM('Assumptions'!X122,'Assumptions'!X124),0)+SUM('Assumptions'!X123,'Assumptions'!X125:X126)))*'Responsibilities'!$E$8</f>
        <v/>
      </c>
      <c r="K170" s="137">
        <f>(IF(AND('Production schedule'!E458=1,21=MAX(('Sites'!F6),13),ISNUMBER('Sites'!P6)),'Sites'!P6*'Assumptions'!$B$44,0))*'Responsibilities'!$F$6+(IF(AND('Production schedule'!E494=1,21=MAX(('Sites'!F7+'Cases'!G10),13),ISNUMBER('Sites'!P7)),'Sites'!P7*'Assumptions'!$B$44,0))*'Responsibilities'!$F$7+(IF(AND('Production schedule'!E530=1,21=MAX(('Sites'!F8+'Cases'!G10),13),ISNUMBER('Sites'!P8)),'Sites'!P8*'Assumptions'!$B$44,0))*'Responsibilities'!$F$8</f>
        <v/>
      </c>
      <c r="L170" s="137">
        <f>SUM('Costs'!E36)*'Costs'!F36/12*'Responsibilities'!$C$12+SUM('Costs'!E37)*'Costs'!F37/12*'Responsibilities'!$C$13+SUM('Costs'!E38)*'Costs'!F38/12*'Responsibilities'!$C$14+SUM('Costs'!E39)*'Costs'!F39/12*'Responsibilities'!$C$15+SUM('Costs'!E40)*'Costs'!F40/12*'Responsibilities'!$C$16+BZ170</f>
        <v/>
      </c>
      <c r="M170" s="137">
        <f>('Sites'!E6*'Capital'!E6*(IF(21='Capital'!G6,'Capital'!F6,0)+IF(21='Capital'!H6,1-'Capital'!F6,0)))*'Responsibilities'!$G$6+('Sites'!E7*'Capital'!E7*(IF(21='Capital'!G7+'Cases'!G10,'Capital'!F7,0)+IF(21='Capital'!H7+'Cases'!G10,1-'Capital'!F7,0)))*'Responsibilities'!$G$7+('Sites'!E8*'Cases'!F10*'Capital'!E8*(IF(21='Capital'!G8+'Cases'!G10,'Capital'!F8,0)+IF(21='Capital'!H8+'Cases'!G10,1-'Capital'!F8,0)))*'Responsibilities'!$G$8</f>
        <v/>
      </c>
      <c r="N170" s="137">
        <f>SUM(G170:M170)</f>
        <v/>
      </c>
      <c r="O170" s="137">
        <f>SUMIFS(FundingTranches[Secured amount],FundingTranches[Instrument],"Grant",FundingTranches[Secured month],21)</f>
        <v/>
      </c>
      <c r="P170" s="137">
        <f>SUMIFS(FundingTranches[Lower sales possible],FundingTranches[Instrument],"Grant",FundingTranches[Scenario month],21-'Cases'!$D$10)</f>
        <v/>
      </c>
      <c r="Q170" s="137">
        <f>SUMIFS(FundingTranches[Secured amount],FundingTranches[Instrument],"Loan",FundingTranches[Secured month],21)</f>
        <v/>
      </c>
      <c r="R170" s="137">
        <f>SUMIFS(FundingTranches[Lower sales possible],FundingTranches[Instrument],"Loan",FundingTranches[Scenario month],21-'Cases'!$D$10)</f>
        <v/>
      </c>
      <c r="S170" s="137">
        <f>IF(21&lt;='Assumptions'!$B$34,0,SUMIFS('Production schedule'!$AL$438:$AL$545,'Production schedule'!$C$438:$C$545,21-'Assumptions'!$B$34))</f>
        <v/>
      </c>
      <c r="T170" s="137">
        <f>'Assumptions'!X70</f>
        <v/>
      </c>
      <c r="U170" s="137">
        <f>'Assumptions'!X78</f>
        <v/>
      </c>
      <c r="V170" s="137">
        <f>SUM(O170:U170)</f>
        <v/>
      </c>
      <c r="W170" s="137">
        <f>AA169</f>
        <v/>
      </c>
      <c r="X170" s="137">
        <f>SUM(Q170:R170)</f>
        <v/>
      </c>
      <c r="Y170" s="137">
        <f>SUM(W170,X170)*'Assumptions'!$B$39/12</f>
        <v/>
      </c>
      <c r="Z170" s="137">
        <f>IF(SUM(W170,X170)&gt;0,MIN(SUM(W170,X170),MAX(0,BP170-Y170)),0)</f>
        <v/>
      </c>
      <c r="AA170" s="137">
        <f>SUM(W170,X170)-Z170</f>
        <v/>
      </c>
      <c r="AB170" s="137">
        <f>SUM(Y170:Z170)</f>
        <v/>
      </c>
      <c r="AC170" s="137">
        <f>'Assumptions'!X72</f>
        <v/>
      </c>
      <c r="AD170" s="137">
        <f>'Assumptions'!X73</f>
        <v/>
      </c>
      <c r="AE170" s="137">
        <f>IF(X170&gt;0,SUM('Assumptions'!$B$42),0)</f>
        <v/>
      </c>
      <c r="AF170" s="137">
        <f>'Assumptions'!X71</f>
        <v/>
      </c>
      <c r="AG170" s="137">
        <f>'Assumptions'!X74</f>
        <v/>
      </c>
      <c r="AH170" s="137">
        <f>'Assumptions'!X75</f>
        <v/>
      </c>
      <c r="AI170" s="137">
        <f>'Assumptions'!X77</f>
        <v/>
      </c>
      <c r="AJ170" s="137">
        <f>V170-N170-SUM(AB170:AI170)</f>
        <v/>
      </c>
      <c r="AK170" s="137">
        <f>SUM(AJ150:AJ170)</f>
        <v/>
      </c>
      <c r="AL170" s="137">
        <f>IF(ISNUMBER('Assumptions'!$B$10),'Assumptions'!$B$10+AK170,"")</f>
        <v/>
      </c>
      <c r="AM170" s="137">
        <f>SUM(O170,Q170,T170)-N170-SUM(AC170:AI170)+IF('Funding'!$N$11=0,AE170,0)-IF('Funding'!$N$11&gt;0,AB170,0)</f>
        <v/>
      </c>
      <c r="AN170" s="137">
        <f>SUM(AM150:AM170)</f>
        <v/>
      </c>
      <c r="AO170" s="137">
        <f>IF(ISNUMBER('Assumptions'!$B$10),'Assumptions'!$B$10+AN170,"")</f>
        <v/>
      </c>
      <c r="AP170" s="137">
        <f>('Production schedule'!AK458)*'Responsibilities'!$C$6+('Production schedule'!AK494)*'Responsibilities'!$C$7+('Production schedule'!AK530)*'Responsibilities'!$C$8</f>
        <v/>
      </c>
      <c r="AQ170" s="137">
        <f>SUMIFS('Production schedule'!$AL$438:$AL$545,'Production schedule'!$C$438:$C$545,21)</f>
        <v/>
      </c>
      <c r="AR170" s="137">
        <f>IF(ISNUMBER('Assumptions'!X76),'Assumptions'!X76,SUM(O170:P170))</f>
        <v/>
      </c>
      <c r="AS170" s="137">
        <f>IF(ISNUMBER('Assumptions'!$B$13),MIN('Assumptions'!$B$13/'Assumptions'!$B$18/12,MAX(0,'Assumptions'!$B$13-(21-1)*'Assumptions'!$B$13/'Assumptions'!$B$18/12)),0)+IF(AND('Sites'!E6=1,21&gt;=('Sites'!F6),21&lt;('Sites'!F6)+'Assumptions'!$B$18*12),'Capital'!E6/'Assumptions'!$B$18/12,0)+IF(AND('Sites'!E7=1,21&gt;=('Sites'!F7+'Cases'!G10),21&lt;('Sites'!F7+'Cases'!G10)+'Assumptions'!$B$18*12),'Capital'!E7/'Assumptions'!$B$18/12,0)+IF(AND('Sites'!E8*'Cases'!F10=1,21&gt;=('Sites'!F8+'Cases'!G10),21&lt;('Sites'!F8+'Cases'!G10)+'Assumptions'!$B$18*12),'Capital'!E8/'Assumptions'!$B$18/12,0)</f>
        <v/>
      </c>
      <c r="AT170" s="137">
        <f>SUM(AQ170,AR170,U170)-AP170-SUM(H170:L170)-AS170-SUM(Y170,AD170,AE170,AH170)</f>
        <v/>
      </c>
      <c r="AU170" s="137">
        <f>IF(ISNUMBER('Assumptions'!$B$19),MAX(0,SUM(AT162:AT170))*'Assumptions'!$B$19-SUM(AU162:AU169),"")</f>
        <v/>
      </c>
      <c r="AV170" s="137">
        <f>IF(ISNUMBER(AU170),AT170-AU170,"")</f>
        <v/>
      </c>
      <c r="AW170" s="137">
        <f>IF(ISNUMBER('Assumptions'!$B$11),'Assumptions'!$B$11+SUM(AQ150:AQ170)-SUM(S150:S170)-SUM(T150:T170),"")</f>
        <v/>
      </c>
      <c r="AX170" s="137">
        <f>IF(ISNUMBER('Assumptions'!$B$12),'Assumptions'!$B$12+SUM(G150:G170)-SUM(AP150:AP170),"")</f>
        <v/>
      </c>
      <c r="AY170" s="137">
        <f>IF(ISNUMBER('Assumptions'!$B$13),'Assumptions'!$B$13+SUM(M150:M170)-SUM(AS150:AS170),"")</f>
        <v/>
      </c>
      <c r="AZ170" s="137">
        <f>IF(ISNUMBER('Assumptions'!$B$14),'Assumptions'!$B$14+-SUM(AF150:AF170),"")</f>
        <v/>
      </c>
      <c r="BA170" s="137">
        <f>IF(ISNUMBER('Assumptions'!$B$15),'Assumptions'!$B$15+SUM(O150:O170)+SUM(P150:P170)-SUM(AR150:AR170),"")</f>
        <v/>
      </c>
      <c r="BB170" s="137">
        <f>IF(ISNUMBER('Assumptions'!$B$16),'Assumptions'!$B$16+-SUM(AC150:AC170),"")</f>
        <v/>
      </c>
      <c r="BC170" s="137">
        <f>IF(AND(ISNUMBER('Assumptions'!$B$21),ISNUMBER('Assumptions'!$B$19)),'Assumptions'!$B$21+SUM(AU150:AU170)-SUM(AG150:AG170),"")</f>
        <v/>
      </c>
      <c r="BD170" s="137">
        <f>IF(ISNUMBER('Assumptions'!$B$20),'Assumptions'!$B$20+-SUM(AI150:AI170),"")</f>
        <v/>
      </c>
      <c r="BE170" s="137">
        <f>IF(AND(ISNUMBER('Assumptions'!$B$17),COUNT(AV150:AV170)=21),'Assumptions'!$B$17+SUM(AV150:AV170),"")</f>
        <v/>
      </c>
      <c r="BF170" s="137">
        <f>IF(COUNT(AL170,AW170:AY170)=4,SUM(AL170,AW170:AY170),"")</f>
        <v/>
      </c>
      <c r="BG170" s="137">
        <f>IF(COUNT(AZ170:BD170)=5,SUM(AZ170:BD170,AA170),"")</f>
        <v/>
      </c>
      <c r="BH170" s="137">
        <f>IF(COUNT(BF170,BG170,BE170)=3,BF170-BG170-BE170,"")</f>
        <v/>
      </c>
      <c r="BI170" s="137">
        <f>SUM(W170,X170)-Z170-AA170</f>
        <v/>
      </c>
      <c r="BJ170" s="137">
        <f>8-COUNT('Assumptions'!X58:X65)+COUNTBLANK('NM Play'!B33:B34)+'Costs'!E44+IF(AND('Sites'!E6=1,('Sites'!F6)&lt;=24,'Sites'!G6&gt;=13),IF(ISNUMBER('Sites'!P6),0,1)+'Capital'!I6+COUNTBLANK('Sites'!R6)+IF('Sites'!D6="NM crew",COUNTBLANK('NM Play'!B25)+1,5-COUNT('Assumptions'!X112:X116)),0)+IF(AND('Sites'!E7=1,('Sites'!F7+'Cases'!G10)&lt;=24,'Sites'!G7&gt;=13),IF(ISNUMBER('Sites'!P7),0,1)+'Capital'!I7+COUNTBLANK('Sites'!R7)+IF('Sites'!D7="NM crew",COUNTBLANK('NM Play'!B25)+1,5-COUNT('Assumptions'!X117:X121)),0)+IF(AND('Sites'!E8*'Cases'!F10=1,('Sites'!F8+'Cases'!G10)&lt;=24,'Sites'!G8&gt;=13),IF(ISNUMBER('Sites'!P8),0,1)+'Capital'!I8+COUNTBLANK('Sites'!R8)+IF('Sites'!D8="NM crew",COUNTBLANK('NM Play'!B25)+1,5-COUNT('Assumptions'!X122:X126)),0)+IF(AND('Cases'!C10&gt;0,NOT(ISNUMBER('Assumptions'!B42))),1,0)+'Responsibilities'!$B$39</f>
        <v/>
      </c>
      <c r="BK170" s="137">
        <f>'Assumptions'!$B$50+'NM Play'!$B$83+'Funding'!$F$20+SUMIFS('Production schedule'!$AN$438:$AN$545,'Production schedule'!$C$438:$C$545,21)+IF(OR('Cases'!E10&lt;0,'Cases'!E10&gt;1,'Cases'!C10&lt;0,'Cases'!D10&lt;0,ABS(SUM('Sites'!S6:S8)-1)&gt;0.0001,MIN('Capital'!F6:F8)&lt;0,MAX('Capital'!F6:F8)&gt;1,MIN(AX170,AZ170,BB170,BA170)&lt;-0.01),1,0)+'Responsibilities'!$B$40</f>
        <v/>
      </c>
      <c r="BL170" s="137">
        <f>SUMIFS('Production schedule'!$T$438:$T$545,'Production schedule'!$C$438:$C$545,21)</f>
        <v/>
      </c>
      <c r="BM170" s="137">
        <f>D170*'NM Play'!$B$38</f>
        <v/>
      </c>
      <c r="BN170" s="137">
        <f>SUMIFS('Production schedule'!$AM$438:$AM$545,'Production schedule'!$C$438:$C$545,21)</f>
        <v/>
      </c>
      <c r="BO170" s="137">
        <f>AK170-AK169-AJ170</f>
        <v/>
      </c>
      <c r="BP170" s="137">
        <f>IF(AND('Assumptions'!$B$39&gt;=0,'Assumptions'!$B$40&gt;0),-PMT('Assumptions'!$B$39/12,'Assumptions'!$B$40*12,IF('Funding'!$N$11&gt;0,'Funding'!$N$11,'Funding'!$V$11)),"")</f>
        <v/>
      </c>
      <c r="BQ170">
        <f>('Production schedule'!AJ458)*(1-'Responsibilities'!$C$6)+('Production schedule'!AJ494)*(1-'Responsibilities'!$C$7)+('Production schedule'!AJ530)*(1-'Responsibilities'!$C$8)</f>
        <v/>
      </c>
      <c r="BR170">
        <f>('Production schedule'!AI458)*(1-'Responsibilities'!$D$6)+('Production schedule'!AI494)*(1-'Responsibilities'!$D$7)+('Production schedule'!AI530)*(1-'Responsibilities'!$D$8)</f>
        <v/>
      </c>
      <c r="BS170">
        <f>('Production schedule'!E458*(IF('Sites'!D6="Annual staff",SUM('Assumptions'!X112,'Assumptions'!X114),0)+SUM('Assumptions'!X113,'Assumptions'!X115:X116)))*(1-'Responsibilities'!$E$6)+('Production schedule'!E494*(IF('Sites'!D7="Annual staff",SUM('Assumptions'!X117,'Assumptions'!X119),0)+SUM('Assumptions'!X118,'Assumptions'!X120:X121)))*(1-'Responsibilities'!$E$7)+('Production schedule'!E530*(IF('Sites'!D8="Annual staff",SUM('Assumptions'!X122,'Assumptions'!X124),0)+SUM('Assumptions'!X123,'Assumptions'!X125:X126)))*(1-'Responsibilities'!$E$8)</f>
        <v/>
      </c>
      <c r="BT170">
        <f>(IF(AND('Production schedule'!E458=1,21=MAX(('Sites'!F6),13),ISNUMBER('Sites'!P6)),'Sites'!P6*'Assumptions'!$B$44,0))*(1-'Responsibilities'!$F$6)+(IF(AND('Production schedule'!E494=1,21=MAX(('Sites'!F7+'Cases'!G10),13),ISNUMBER('Sites'!P7)),'Sites'!P7*'Assumptions'!$B$44,0))*(1-'Responsibilities'!$F$7)+(IF(AND('Production schedule'!E530=1,21=MAX(('Sites'!F8+'Cases'!G10),13),ISNUMBER('Sites'!P8)),'Sites'!P8*'Assumptions'!$B$44,0))*(1-'Responsibilities'!$F$8)</f>
        <v/>
      </c>
      <c r="BU170">
        <f>SUM('Costs'!E36)*'Costs'!F36/12*(1-'Responsibilities'!$C$12)+SUM('Costs'!E37)*'Costs'!F37/12*(1-'Responsibilities'!$C$13)+SUM('Costs'!E38)*'Costs'!F38/12*(1-'Responsibilities'!$C$14)+SUM('Costs'!E39)*'Costs'!F39/12*(1-'Responsibilities'!$C$15)+SUM('Costs'!E40)*'Costs'!F40/12*(1-'Responsibilities'!$C$16)</f>
        <v/>
      </c>
      <c r="BV170">
        <f>('Sites'!E6*'Capital'!E6*(IF(21='Capital'!G6,'Capital'!F6,0)+IF(21='Capital'!H6,1-'Capital'!F6,0)))*(1-'Responsibilities'!$G$6)+('Sites'!E7*'Capital'!E7*(IF(21='Capital'!G7+'Cases'!G10,'Capital'!F7,0)+IF(21='Capital'!H7+'Cases'!G10,1-'Capital'!F7,0)))*(1-'Responsibilities'!$G$7)+('Sites'!E8*'Cases'!F10*'Capital'!E8*(IF(21='Capital'!G8+'Cases'!G10,'Capital'!F8,0)+IF(21='Capital'!H8+'Cases'!G10,1-'Capital'!F8,0)))*(1-'Responsibilities'!$G$8)</f>
        <v/>
      </c>
      <c r="BW170">
        <f>SUM(BQ170:BV170)</f>
        <v/>
      </c>
      <c r="BX170">
        <f>N170+BW170</f>
        <v/>
      </c>
      <c r="BY170">
        <f>BX170-(('Production schedule'!AJ458)*'Responsibilities'!$C$6+('Production schedule'!AJ494)*'Responsibilities'!$C$7+('Production schedule'!AJ530)*'Responsibilities'!$C$8+('Production schedule'!AJ458)*(1-'Responsibilities'!$C$6)+('Production schedule'!AJ494)*(1-'Responsibilities'!$C$7)+('Production schedule'!AJ530)*(1-'Responsibilities'!$C$8)+('Production schedule'!AI458)*'Responsibilities'!$D$6+('Production schedule'!AI494)*'Responsibilities'!$D$7+('Production schedule'!AI530)*'Responsibilities'!$D$8+('Production schedule'!AI458)*(1-'Responsibilities'!$D$6)+('Production schedule'!AI494)*(1-'Responsibilities'!$D$7)+('Production schedule'!AI530)*(1-'Responsibilities'!$D$8)+('Production schedule'!E458*(IF('Sites'!D6="Annual staff",SUM('Assumptions'!X112,'Assumptions'!X114),0)+SUM('Assumptions'!X113,'Assumptions'!X115:X116)))*'Responsibilities'!$E$6+('Production schedule'!E494*(IF('Sites'!D7="Annual staff",SUM('Assumptions'!X117,'Assumptions'!X119),0)+SUM('Assumptions'!X118,'Assumptions'!X120:X121)))*'Responsibilities'!$E$7+('Production schedule'!E530*(IF('Sites'!D8="Annual staff",SUM('Assumptions'!X122,'Assumptions'!X124),0)+SUM('Assumptions'!X123,'Assumptions'!X125:X126)))*'Responsibilities'!$E$8+('Production schedule'!E458*(IF('Sites'!D6="Annual staff",SUM('Assumptions'!X112,'Assumptions'!X114),0)+SUM('Assumptions'!X113,'Assumptions'!X115:X116)))*(1-'Responsibilities'!$E$6)+('Production schedule'!E494*(IF('Sites'!D7="Annual staff",SUM('Assumptions'!X117,'Assumptions'!X119),0)+SUM('Assumptions'!X118,'Assumptions'!X120:X121)))*(1-'Responsibilities'!$E$7)+('Production schedule'!E530*(IF('Sites'!D8="Annual staff",SUM('Assumptions'!X122,'Assumptions'!X124),0)+SUM('Assumptions'!X123,'Assumptions'!X125:X126)))*(1-'Responsibilities'!$E$8)+(IF(AND('Production schedule'!E458=1,21=MAX(('Sites'!F6),13),ISNUMBER('Sites'!P6)),'Sites'!P6*'Assumptions'!$B$44,0))*'Responsibilities'!$F$6+(IF(AND('Production schedule'!E494=1,21=MAX(('Sites'!F7+'Cases'!G10),13),ISNUMBER('Sites'!P7)),'Sites'!P7*'Assumptions'!$B$44,0))*'Responsibilities'!$F$7+(IF(AND('Production schedule'!E530=1,21=MAX(('Sites'!F8+'Cases'!G10),13),ISNUMBER('Sites'!P8)),'Sites'!P8*'Assumptions'!$B$44,0))*'Responsibilities'!$F$8+(IF(AND('Production schedule'!E458=1,21=MAX(('Sites'!F6),13),ISNUMBER('Sites'!P6)),'Sites'!P6*'Assumptions'!$B$44,0))*(1-'Responsibilities'!$F$6)+(IF(AND('Production schedule'!E494=1,21=MAX(('Sites'!F7+'Cases'!G10),13),ISNUMBER('Sites'!P7)),'Sites'!P7*'Assumptions'!$B$44,0))*(1-'Responsibilities'!$F$7)+(IF(AND('Production schedule'!E530=1,21=MAX(('Sites'!F8+'Cases'!G10),13),ISNUMBER('Sites'!P8)),'Sites'!P8*'Assumptions'!$B$44,0))*(1-'Responsibilities'!$F$8)+('Sites'!E6*'Capital'!E6*(IF(21='Capital'!G6,'Capital'!F6,0)+IF(21='Capital'!H6,1-'Capital'!F6,0)))*'Responsibilities'!$G$6+('Sites'!E7*'Capital'!E7*(IF(21='Capital'!G7+'Cases'!G10,'Capital'!F7,0)+IF(21='Capital'!H7+'Cases'!G10,1-'Capital'!F7,0)))*'Responsibilities'!$G$7+('Sites'!E8*'Cases'!F10*'Capital'!E8*(IF(21='Capital'!G8+'Cases'!G10,'Capital'!F8,0)+IF(21='Capital'!H8+'Cases'!G10,1-'Capital'!F8,0)))*'Responsibilities'!$G$8+('Sites'!E6*'Capital'!E6*(IF(21='Capital'!G6,'Capital'!F6,0)+IF(21='Capital'!H6,1-'Capital'!F6,0)))*(1-'Responsibilities'!$G$6)+('Sites'!E7*'Capital'!E7*(IF(21='Capital'!G7+'Cases'!G10,'Capital'!F7,0)+IF(21='Capital'!H7+'Cases'!G10,1-'Capital'!F7,0)))*(1-'Responsibilities'!$G$7)+('Sites'!E8*'Cases'!F10*'Capital'!E8*(IF(21='Capital'!G8+'Cases'!G10,'Capital'!F8,0)+IF(21='Capital'!H8+'Cases'!G10,1-'Capital'!F8,0)))*(1-'Responsibilities'!$G$8)+I170+SUMPRODUCT('Costs'!$E$36:$E$40,'Costs'!$F$36:$F$40)/12+BZ170)</f>
        <v/>
      </c>
      <c r="BZ170">
        <f>SUMIFS('Responsibilities'!$B$31:$B$35,'Responsibilities'!$C$31:$C$35,21,'Responsibilities'!$D$31:$D$35,"Yes")</f>
        <v/>
      </c>
    </row>
    <row r="171" ht="28" customHeight="1">
      <c r="A171" s="4" t="inlineStr">
        <is>
          <t>Lower sales</t>
        </is>
      </c>
      <c r="B171" s="4" t="n">
        <v>22</v>
      </c>
      <c r="C171" s="4">
        <f>ROUNDUP(B171/12,0)</f>
        <v/>
      </c>
      <c r="D171" s="137">
        <f>SUMIFS('Production schedule'!$N$438:$N$545,'Production schedule'!$C$438:$C$545,22)</f>
        <v/>
      </c>
      <c r="E171" s="137">
        <f>SUMIFS('Production schedule'!$Y$438:$Y$545,'Production schedule'!$C$438:$C$545,22)</f>
        <v/>
      </c>
      <c r="F171" s="137">
        <f>SUMIFS('Production schedule'!$Z$438:$Z$545,'Production schedule'!$C$438:$C$545,22)</f>
        <v/>
      </c>
      <c r="G171" s="137">
        <f>('Production schedule'!AJ459)*'Responsibilities'!$C$6+('Production schedule'!AJ495)*'Responsibilities'!$C$7+('Production schedule'!AJ531)*'Responsibilities'!$C$8</f>
        <v/>
      </c>
      <c r="H171" s="137">
        <f>('Production schedule'!AI459)*'Responsibilities'!$D$6+('Production schedule'!AI495)*'Responsibilities'!$D$7+('Production schedule'!AI531)*'Responsibilities'!$D$8</f>
        <v/>
      </c>
      <c r="I171" s="137">
        <f>SUM('Assumptions'!Y58:Y65)</f>
        <v/>
      </c>
      <c r="J171" s="137">
        <f>('Production schedule'!E459*(IF('Sites'!D6="Annual staff",SUM('Assumptions'!Y112,'Assumptions'!Y114),0)+SUM('Assumptions'!Y113,'Assumptions'!Y115:Y116)))*'Responsibilities'!$E$6+('Production schedule'!E495*(IF('Sites'!D7="Annual staff",SUM('Assumptions'!Y117,'Assumptions'!Y119),0)+SUM('Assumptions'!Y118,'Assumptions'!Y120:Y121)))*'Responsibilities'!$E$7+('Production schedule'!E531*(IF('Sites'!D8="Annual staff",SUM('Assumptions'!Y122,'Assumptions'!Y124),0)+SUM('Assumptions'!Y123,'Assumptions'!Y125:Y126)))*'Responsibilities'!$E$8</f>
        <v/>
      </c>
      <c r="K171" s="137">
        <f>(IF(AND('Production schedule'!E459=1,22=MAX(('Sites'!F6),13),ISNUMBER('Sites'!P6)),'Sites'!P6*'Assumptions'!$B$44,0))*'Responsibilities'!$F$6+(IF(AND('Production schedule'!E495=1,22=MAX(('Sites'!F7+'Cases'!G10),13),ISNUMBER('Sites'!P7)),'Sites'!P7*'Assumptions'!$B$44,0))*'Responsibilities'!$F$7+(IF(AND('Production schedule'!E531=1,22=MAX(('Sites'!F8+'Cases'!G10),13),ISNUMBER('Sites'!P8)),'Sites'!P8*'Assumptions'!$B$44,0))*'Responsibilities'!$F$8</f>
        <v/>
      </c>
      <c r="L171" s="137">
        <f>SUM('Costs'!E36)*'Costs'!F36/12*'Responsibilities'!$C$12+SUM('Costs'!E37)*'Costs'!F37/12*'Responsibilities'!$C$13+SUM('Costs'!E38)*'Costs'!F38/12*'Responsibilities'!$C$14+SUM('Costs'!E39)*'Costs'!F39/12*'Responsibilities'!$C$15+SUM('Costs'!E40)*'Costs'!F40/12*'Responsibilities'!$C$16+BZ171</f>
        <v/>
      </c>
      <c r="M171" s="137">
        <f>('Sites'!E6*'Capital'!E6*(IF(22='Capital'!G6,'Capital'!F6,0)+IF(22='Capital'!H6,1-'Capital'!F6,0)))*'Responsibilities'!$G$6+('Sites'!E7*'Capital'!E7*(IF(22='Capital'!G7+'Cases'!G10,'Capital'!F7,0)+IF(22='Capital'!H7+'Cases'!G10,1-'Capital'!F7,0)))*'Responsibilities'!$G$7+('Sites'!E8*'Cases'!F10*'Capital'!E8*(IF(22='Capital'!G8+'Cases'!G10,'Capital'!F8,0)+IF(22='Capital'!H8+'Cases'!G10,1-'Capital'!F8,0)))*'Responsibilities'!$G$8</f>
        <v/>
      </c>
      <c r="N171" s="137">
        <f>SUM(G171:M171)</f>
        <v/>
      </c>
      <c r="O171" s="137">
        <f>SUMIFS(FundingTranches[Secured amount],FundingTranches[Instrument],"Grant",FundingTranches[Secured month],22)</f>
        <v/>
      </c>
      <c r="P171" s="137">
        <f>SUMIFS(FundingTranches[Lower sales possible],FundingTranches[Instrument],"Grant",FundingTranches[Scenario month],22-'Cases'!$D$10)</f>
        <v/>
      </c>
      <c r="Q171" s="137">
        <f>SUMIFS(FundingTranches[Secured amount],FundingTranches[Instrument],"Loan",FundingTranches[Secured month],22)</f>
        <v/>
      </c>
      <c r="R171" s="137">
        <f>SUMIFS(FundingTranches[Lower sales possible],FundingTranches[Instrument],"Loan",FundingTranches[Scenario month],22-'Cases'!$D$10)</f>
        <v/>
      </c>
      <c r="S171" s="137">
        <f>IF(22&lt;='Assumptions'!$B$34,0,SUMIFS('Production schedule'!$AL$438:$AL$545,'Production schedule'!$C$438:$C$545,22-'Assumptions'!$B$34))</f>
        <v/>
      </c>
      <c r="T171" s="137">
        <f>'Assumptions'!Y70</f>
        <v/>
      </c>
      <c r="U171" s="137">
        <f>'Assumptions'!Y78</f>
        <v/>
      </c>
      <c r="V171" s="137">
        <f>SUM(O171:U171)</f>
        <v/>
      </c>
      <c r="W171" s="137">
        <f>AA170</f>
        <v/>
      </c>
      <c r="X171" s="137">
        <f>SUM(Q171:R171)</f>
        <v/>
      </c>
      <c r="Y171" s="137">
        <f>SUM(W171,X171)*'Assumptions'!$B$39/12</f>
        <v/>
      </c>
      <c r="Z171" s="137">
        <f>IF(SUM(W171,X171)&gt;0,MIN(SUM(W171,X171),MAX(0,BP171-Y171)),0)</f>
        <v/>
      </c>
      <c r="AA171" s="137">
        <f>SUM(W171,X171)-Z171</f>
        <v/>
      </c>
      <c r="AB171" s="137">
        <f>SUM(Y171:Z171)</f>
        <v/>
      </c>
      <c r="AC171" s="137">
        <f>'Assumptions'!Y72</f>
        <v/>
      </c>
      <c r="AD171" s="137">
        <f>'Assumptions'!Y73</f>
        <v/>
      </c>
      <c r="AE171" s="137">
        <f>IF(X171&gt;0,SUM('Assumptions'!$B$42),0)</f>
        <v/>
      </c>
      <c r="AF171" s="137">
        <f>'Assumptions'!Y71</f>
        <v/>
      </c>
      <c r="AG171" s="137">
        <f>'Assumptions'!Y74</f>
        <v/>
      </c>
      <c r="AH171" s="137">
        <f>'Assumptions'!Y75</f>
        <v/>
      </c>
      <c r="AI171" s="137">
        <f>'Assumptions'!Y77</f>
        <v/>
      </c>
      <c r="AJ171" s="137">
        <f>V171-N171-SUM(AB171:AI171)</f>
        <v/>
      </c>
      <c r="AK171" s="137">
        <f>SUM(AJ150:AJ171)</f>
        <v/>
      </c>
      <c r="AL171" s="137">
        <f>IF(ISNUMBER('Assumptions'!$B$10),'Assumptions'!$B$10+AK171,"")</f>
        <v/>
      </c>
      <c r="AM171" s="137">
        <f>SUM(O171,Q171,T171)-N171-SUM(AC171:AI171)+IF('Funding'!$N$11=0,AE171,0)-IF('Funding'!$N$11&gt;0,AB171,0)</f>
        <v/>
      </c>
      <c r="AN171" s="137">
        <f>SUM(AM150:AM171)</f>
        <v/>
      </c>
      <c r="AO171" s="137">
        <f>IF(ISNUMBER('Assumptions'!$B$10),'Assumptions'!$B$10+AN171,"")</f>
        <v/>
      </c>
      <c r="AP171" s="137">
        <f>('Production schedule'!AK459)*'Responsibilities'!$C$6+('Production schedule'!AK495)*'Responsibilities'!$C$7+('Production schedule'!AK531)*'Responsibilities'!$C$8</f>
        <v/>
      </c>
      <c r="AQ171" s="137">
        <f>SUMIFS('Production schedule'!$AL$438:$AL$545,'Production schedule'!$C$438:$C$545,22)</f>
        <v/>
      </c>
      <c r="AR171" s="137">
        <f>IF(ISNUMBER('Assumptions'!Y76),'Assumptions'!Y76,SUM(O171:P171))</f>
        <v/>
      </c>
      <c r="AS171" s="137">
        <f>IF(ISNUMBER('Assumptions'!$B$13),MIN('Assumptions'!$B$13/'Assumptions'!$B$18/12,MAX(0,'Assumptions'!$B$13-(22-1)*'Assumptions'!$B$13/'Assumptions'!$B$18/12)),0)+IF(AND('Sites'!E6=1,22&gt;=('Sites'!F6),22&lt;('Sites'!F6)+'Assumptions'!$B$18*12),'Capital'!E6/'Assumptions'!$B$18/12,0)+IF(AND('Sites'!E7=1,22&gt;=('Sites'!F7+'Cases'!G10),22&lt;('Sites'!F7+'Cases'!G10)+'Assumptions'!$B$18*12),'Capital'!E7/'Assumptions'!$B$18/12,0)+IF(AND('Sites'!E8*'Cases'!F10=1,22&gt;=('Sites'!F8+'Cases'!G10),22&lt;('Sites'!F8+'Cases'!G10)+'Assumptions'!$B$18*12),'Capital'!E8/'Assumptions'!$B$18/12,0)</f>
        <v/>
      </c>
      <c r="AT171" s="137">
        <f>SUM(AQ171,AR171,U171)-AP171-SUM(H171:L171)-AS171-SUM(Y171,AD171,AE171,AH171)</f>
        <v/>
      </c>
      <c r="AU171" s="137">
        <f>IF(ISNUMBER('Assumptions'!$B$19),MAX(0,SUM(AT162:AT171))*'Assumptions'!$B$19-SUM(AU162:AU170),"")</f>
        <v/>
      </c>
      <c r="AV171" s="137">
        <f>IF(ISNUMBER(AU171),AT171-AU171,"")</f>
        <v/>
      </c>
      <c r="AW171" s="137">
        <f>IF(ISNUMBER('Assumptions'!$B$11),'Assumptions'!$B$11+SUM(AQ150:AQ171)-SUM(S150:S171)-SUM(T150:T171),"")</f>
        <v/>
      </c>
      <c r="AX171" s="137">
        <f>IF(ISNUMBER('Assumptions'!$B$12),'Assumptions'!$B$12+SUM(G150:G171)-SUM(AP150:AP171),"")</f>
        <v/>
      </c>
      <c r="AY171" s="137">
        <f>IF(ISNUMBER('Assumptions'!$B$13),'Assumptions'!$B$13+SUM(M150:M171)-SUM(AS150:AS171),"")</f>
        <v/>
      </c>
      <c r="AZ171" s="137">
        <f>IF(ISNUMBER('Assumptions'!$B$14),'Assumptions'!$B$14+-SUM(AF150:AF171),"")</f>
        <v/>
      </c>
      <c r="BA171" s="137">
        <f>IF(ISNUMBER('Assumptions'!$B$15),'Assumptions'!$B$15+SUM(O150:O171)+SUM(P150:P171)-SUM(AR150:AR171),"")</f>
        <v/>
      </c>
      <c r="BB171" s="137">
        <f>IF(ISNUMBER('Assumptions'!$B$16),'Assumptions'!$B$16+-SUM(AC150:AC171),"")</f>
        <v/>
      </c>
      <c r="BC171" s="137">
        <f>IF(AND(ISNUMBER('Assumptions'!$B$21),ISNUMBER('Assumptions'!$B$19)),'Assumptions'!$B$21+SUM(AU150:AU171)-SUM(AG150:AG171),"")</f>
        <v/>
      </c>
      <c r="BD171" s="137">
        <f>IF(ISNUMBER('Assumptions'!$B$20),'Assumptions'!$B$20+-SUM(AI150:AI171),"")</f>
        <v/>
      </c>
      <c r="BE171" s="137">
        <f>IF(AND(ISNUMBER('Assumptions'!$B$17),COUNT(AV150:AV171)=22),'Assumptions'!$B$17+SUM(AV150:AV171),"")</f>
        <v/>
      </c>
      <c r="BF171" s="137">
        <f>IF(COUNT(AL171,AW171:AY171)=4,SUM(AL171,AW171:AY171),"")</f>
        <v/>
      </c>
      <c r="BG171" s="137">
        <f>IF(COUNT(AZ171:BD171)=5,SUM(AZ171:BD171,AA171),"")</f>
        <v/>
      </c>
      <c r="BH171" s="137">
        <f>IF(COUNT(BF171,BG171,BE171)=3,BF171-BG171-BE171,"")</f>
        <v/>
      </c>
      <c r="BI171" s="137">
        <f>SUM(W171,X171)-Z171-AA171</f>
        <v/>
      </c>
      <c r="BJ171" s="137">
        <f>8-COUNT('Assumptions'!Y58:Y65)+COUNTBLANK('NM Play'!B33:B34)+'Costs'!E44+IF(AND('Sites'!E6=1,('Sites'!F6)&lt;=24,'Sites'!G6&gt;=13),IF(ISNUMBER('Sites'!P6),0,1)+'Capital'!I6+COUNTBLANK('Sites'!R6)+IF('Sites'!D6="NM crew",COUNTBLANK('NM Play'!B25)+1,5-COUNT('Assumptions'!Y112:Y116)),0)+IF(AND('Sites'!E7=1,('Sites'!F7+'Cases'!G10)&lt;=24,'Sites'!G7&gt;=13),IF(ISNUMBER('Sites'!P7),0,1)+'Capital'!I7+COUNTBLANK('Sites'!R7)+IF('Sites'!D7="NM crew",COUNTBLANK('NM Play'!B25)+1,5-COUNT('Assumptions'!Y117:Y121)),0)+IF(AND('Sites'!E8*'Cases'!F10=1,('Sites'!F8+'Cases'!G10)&lt;=24,'Sites'!G8&gt;=13),IF(ISNUMBER('Sites'!P8),0,1)+'Capital'!I8+COUNTBLANK('Sites'!R8)+IF('Sites'!D8="NM crew",COUNTBLANK('NM Play'!B25)+1,5-COUNT('Assumptions'!Y122:Y126)),0)+IF(AND('Cases'!C10&gt;0,NOT(ISNUMBER('Assumptions'!B42))),1,0)+'Responsibilities'!$B$39</f>
        <v/>
      </c>
      <c r="BK171" s="137">
        <f>'Assumptions'!$B$50+'NM Play'!$B$83+'Funding'!$F$20+SUMIFS('Production schedule'!$AN$438:$AN$545,'Production schedule'!$C$438:$C$545,22)+IF(OR('Cases'!E10&lt;0,'Cases'!E10&gt;1,'Cases'!C10&lt;0,'Cases'!D10&lt;0,ABS(SUM('Sites'!S6:S8)-1)&gt;0.0001,MIN('Capital'!F6:F8)&lt;0,MAX('Capital'!F6:F8)&gt;1,MIN(AX171,AZ171,BB171,BA171)&lt;-0.01),1,0)+'Responsibilities'!$B$40</f>
        <v/>
      </c>
      <c r="BL171" s="137">
        <f>SUMIFS('Production schedule'!$T$438:$T$545,'Production schedule'!$C$438:$C$545,22)</f>
        <v/>
      </c>
      <c r="BM171" s="137">
        <f>D171*'NM Play'!$B$38</f>
        <v/>
      </c>
      <c r="BN171" s="137">
        <f>SUMIFS('Production schedule'!$AM$438:$AM$545,'Production schedule'!$C$438:$C$545,22)</f>
        <v/>
      </c>
      <c r="BO171" s="137">
        <f>AK171-AK170-AJ171</f>
        <v/>
      </c>
      <c r="BP171" s="137">
        <f>IF(AND('Assumptions'!$B$39&gt;=0,'Assumptions'!$B$40&gt;0),-PMT('Assumptions'!$B$39/12,'Assumptions'!$B$40*12,IF('Funding'!$N$11&gt;0,'Funding'!$N$11,'Funding'!$V$11)),"")</f>
        <v/>
      </c>
      <c r="BQ171">
        <f>('Production schedule'!AJ459)*(1-'Responsibilities'!$C$6)+('Production schedule'!AJ495)*(1-'Responsibilities'!$C$7)+('Production schedule'!AJ531)*(1-'Responsibilities'!$C$8)</f>
        <v/>
      </c>
      <c r="BR171">
        <f>('Production schedule'!AI459)*(1-'Responsibilities'!$D$6)+('Production schedule'!AI495)*(1-'Responsibilities'!$D$7)+('Production schedule'!AI531)*(1-'Responsibilities'!$D$8)</f>
        <v/>
      </c>
      <c r="BS171">
        <f>('Production schedule'!E459*(IF('Sites'!D6="Annual staff",SUM('Assumptions'!Y112,'Assumptions'!Y114),0)+SUM('Assumptions'!Y113,'Assumptions'!Y115:Y116)))*(1-'Responsibilities'!$E$6)+('Production schedule'!E495*(IF('Sites'!D7="Annual staff",SUM('Assumptions'!Y117,'Assumptions'!Y119),0)+SUM('Assumptions'!Y118,'Assumptions'!Y120:Y121)))*(1-'Responsibilities'!$E$7)+('Production schedule'!E531*(IF('Sites'!D8="Annual staff",SUM('Assumptions'!Y122,'Assumptions'!Y124),0)+SUM('Assumptions'!Y123,'Assumptions'!Y125:Y126)))*(1-'Responsibilities'!$E$8)</f>
        <v/>
      </c>
      <c r="BT171">
        <f>(IF(AND('Production schedule'!E459=1,22=MAX(('Sites'!F6),13),ISNUMBER('Sites'!P6)),'Sites'!P6*'Assumptions'!$B$44,0))*(1-'Responsibilities'!$F$6)+(IF(AND('Production schedule'!E495=1,22=MAX(('Sites'!F7+'Cases'!G10),13),ISNUMBER('Sites'!P7)),'Sites'!P7*'Assumptions'!$B$44,0))*(1-'Responsibilities'!$F$7)+(IF(AND('Production schedule'!E531=1,22=MAX(('Sites'!F8+'Cases'!G10),13),ISNUMBER('Sites'!P8)),'Sites'!P8*'Assumptions'!$B$44,0))*(1-'Responsibilities'!$F$8)</f>
        <v/>
      </c>
      <c r="BU171">
        <f>SUM('Costs'!E36)*'Costs'!F36/12*(1-'Responsibilities'!$C$12)+SUM('Costs'!E37)*'Costs'!F37/12*(1-'Responsibilities'!$C$13)+SUM('Costs'!E38)*'Costs'!F38/12*(1-'Responsibilities'!$C$14)+SUM('Costs'!E39)*'Costs'!F39/12*(1-'Responsibilities'!$C$15)+SUM('Costs'!E40)*'Costs'!F40/12*(1-'Responsibilities'!$C$16)</f>
        <v/>
      </c>
      <c r="BV171">
        <f>('Sites'!E6*'Capital'!E6*(IF(22='Capital'!G6,'Capital'!F6,0)+IF(22='Capital'!H6,1-'Capital'!F6,0)))*(1-'Responsibilities'!$G$6)+('Sites'!E7*'Capital'!E7*(IF(22='Capital'!G7+'Cases'!G10,'Capital'!F7,0)+IF(22='Capital'!H7+'Cases'!G10,1-'Capital'!F7,0)))*(1-'Responsibilities'!$G$7)+('Sites'!E8*'Cases'!F10*'Capital'!E8*(IF(22='Capital'!G8+'Cases'!G10,'Capital'!F8,0)+IF(22='Capital'!H8+'Cases'!G10,1-'Capital'!F8,0)))*(1-'Responsibilities'!$G$8)</f>
        <v/>
      </c>
      <c r="BW171">
        <f>SUM(BQ171:BV171)</f>
        <v/>
      </c>
      <c r="BX171">
        <f>N171+BW171</f>
        <v/>
      </c>
      <c r="BY171">
        <f>BX171-(('Production schedule'!AJ459)*'Responsibilities'!$C$6+('Production schedule'!AJ495)*'Responsibilities'!$C$7+('Production schedule'!AJ531)*'Responsibilities'!$C$8+('Production schedule'!AJ459)*(1-'Responsibilities'!$C$6)+('Production schedule'!AJ495)*(1-'Responsibilities'!$C$7)+('Production schedule'!AJ531)*(1-'Responsibilities'!$C$8)+('Production schedule'!AI459)*'Responsibilities'!$D$6+('Production schedule'!AI495)*'Responsibilities'!$D$7+('Production schedule'!AI531)*'Responsibilities'!$D$8+('Production schedule'!AI459)*(1-'Responsibilities'!$D$6)+('Production schedule'!AI495)*(1-'Responsibilities'!$D$7)+('Production schedule'!AI531)*(1-'Responsibilities'!$D$8)+('Production schedule'!E459*(IF('Sites'!D6="Annual staff",SUM('Assumptions'!Y112,'Assumptions'!Y114),0)+SUM('Assumptions'!Y113,'Assumptions'!Y115:Y116)))*'Responsibilities'!$E$6+('Production schedule'!E495*(IF('Sites'!D7="Annual staff",SUM('Assumptions'!Y117,'Assumptions'!Y119),0)+SUM('Assumptions'!Y118,'Assumptions'!Y120:Y121)))*'Responsibilities'!$E$7+('Production schedule'!E531*(IF('Sites'!D8="Annual staff",SUM('Assumptions'!Y122,'Assumptions'!Y124),0)+SUM('Assumptions'!Y123,'Assumptions'!Y125:Y126)))*'Responsibilities'!$E$8+('Production schedule'!E459*(IF('Sites'!D6="Annual staff",SUM('Assumptions'!Y112,'Assumptions'!Y114),0)+SUM('Assumptions'!Y113,'Assumptions'!Y115:Y116)))*(1-'Responsibilities'!$E$6)+('Production schedule'!E495*(IF('Sites'!D7="Annual staff",SUM('Assumptions'!Y117,'Assumptions'!Y119),0)+SUM('Assumptions'!Y118,'Assumptions'!Y120:Y121)))*(1-'Responsibilities'!$E$7)+('Production schedule'!E531*(IF('Sites'!D8="Annual staff",SUM('Assumptions'!Y122,'Assumptions'!Y124),0)+SUM('Assumptions'!Y123,'Assumptions'!Y125:Y126)))*(1-'Responsibilities'!$E$8)+(IF(AND('Production schedule'!E459=1,22=MAX(('Sites'!F6),13),ISNUMBER('Sites'!P6)),'Sites'!P6*'Assumptions'!$B$44,0))*'Responsibilities'!$F$6+(IF(AND('Production schedule'!E495=1,22=MAX(('Sites'!F7+'Cases'!G10),13),ISNUMBER('Sites'!P7)),'Sites'!P7*'Assumptions'!$B$44,0))*'Responsibilities'!$F$7+(IF(AND('Production schedule'!E531=1,22=MAX(('Sites'!F8+'Cases'!G10),13),ISNUMBER('Sites'!P8)),'Sites'!P8*'Assumptions'!$B$44,0))*'Responsibilities'!$F$8+(IF(AND('Production schedule'!E459=1,22=MAX(('Sites'!F6),13),ISNUMBER('Sites'!P6)),'Sites'!P6*'Assumptions'!$B$44,0))*(1-'Responsibilities'!$F$6)+(IF(AND('Production schedule'!E495=1,22=MAX(('Sites'!F7+'Cases'!G10),13),ISNUMBER('Sites'!P7)),'Sites'!P7*'Assumptions'!$B$44,0))*(1-'Responsibilities'!$F$7)+(IF(AND('Production schedule'!E531=1,22=MAX(('Sites'!F8+'Cases'!G10),13),ISNUMBER('Sites'!P8)),'Sites'!P8*'Assumptions'!$B$44,0))*(1-'Responsibilities'!$F$8)+('Sites'!E6*'Capital'!E6*(IF(22='Capital'!G6,'Capital'!F6,0)+IF(22='Capital'!H6,1-'Capital'!F6,0)))*'Responsibilities'!$G$6+('Sites'!E7*'Capital'!E7*(IF(22='Capital'!G7+'Cases'!G10,'Capital'!F7,0)+IF(22='Capital'!H7+'Cases'!G10,1-'Capital'!F7,0)))*'Responsibilities'!$G$7+('Sites'!E8*'Cases'!F10*'Capital'!E8*(IF(22='Capital'!G8+'Cases'!G10,'Capital'!F8,0)+IF(22='Capital'!H8+'Cases'!G10,1-'Capital'!F8,0)))*'Responsibilities'!$G$8+('Sites'!E6*'Capital'!E6*(IF(22='Capital'!G6,'Capital'!F6,0)+IF(22='Capital'!H6,1-'Capital'!F6,0)))*(1-'Responsibilities'!$G$6)+('Sites'!E7*'Capital'!E7*(IF(22='Capital'!G7+'Cases'!G10,'Capital'!F7,0)+IF(22='Capital'!H7+'Cases'!G10,1-'Capital'!F7,0)))*(1-'Responsibilities'!$G$7)+('Sites'!E8*'Cases'!F10*'Capital'!E8*(IF(22='Capital'!G8+'Cases'!G10,'Capital'!F8,0)+IF(22='Capital'!H8+'Cases'!G10,1-'Capital'!F8,0)))*(1-'Responsibilities'!$G$8)+I171+SUMPRODUCT('Costs'!$E$36:$E$40,'Costs'!$F$36:$F$40)/12+BZ171)</f>
        <v/>
      </c>
      <c r="BZ171">
        <f>SUMIFS('Responsibilities'!$B$31:$B$35,'Responsibilities'!$C$31:$C$35,22,'Responsibilities'!$D$31:$D$35,"Yes")</f>
        <v/>
      </c>
    </row>
    <row r="172" ht="28" customHeight="1">
      <c r="A172" s="4" t="inlineStr">
        <is>
          <t>Lower sales</t>
        </is>
      </c>
      <c r="B172" s="4" t="n">
        <v>23</v>
      </c>
      <c r="C172" s="4">
        <f>ROUNDUP(B172/12,0)</f>
        <v/>
      </c>
      <c r="D172" s="137">
        <f>SUMIFS('Production schedule'!$N$438:$N$545,'Production schedule'!$C$438:$C$545,23)</f>
        <v/>
      </c>
      <c r="E172" s="137">
        <f>SUMIFS('Production schedule'!$Y$438:$Y$545,'Production schedule'!$C$438:$C$545,23)</f>
        <v/>
      </c>
      <c r="F172" s="137">
        <f>SUMIFS('Production schedule'!$Z$438:$Z$545,'Production schedule'!$C$438:$C$545,23)</f>
        <v/>
      </c>
      <c r="G172" s="137">
        <f>('Production schedule'!AJ460)*'Responsibilities'!$C$6+('Production schedule'!AJ496)*'Responsibilities'!$C$7+('Production schedule'!AJ532)*'Responsibilities'!$C$8</f>
        <v/>
      </c>
      <c r="H172" s="137">
        <f>('Production schedule'!AI460)*'Responsibilities'!$D$6+('Production schedule'!AI496)*'Responsibilities'!$D$7+('Production schedule'!AI532)*'Responsibilities'!$D$8</f>
        <v/>
      </c>
      <c r="I172" s="137">
        <f>SUM('Assumptions'!Z58:Z65)</f>
        <v/>
      </c>
      <c r="J172" s="137">
        <f>('Production schedule'!E460*(IF('Sites'!D6="Annual staff",SUM('Assumptions'!Z112,'Assumptions'!Z114),0)+SUM('Assumptions'!Z113,'Assumptions'!Z115:Z116)))*'Responsibilities'!$E$6+('Production schedule'!E496*(IF('Sites'!D7="Annual staff",SUM('Assumptions'!Z117,'Assumptions'!Z119),0)+SUM('Assumptions'!Z118,'Assumptions'!Z120:Z121)))*'Responsibilities'!$E$7+('Production schedule'!E532*(IF('Sites'!D8="Annual staff",SUM('Assumptions'!Z122,'Assumptions'!Z124),0)+SUM('Assumptions'!Z123,'Assumptions'!Z125:Z126)))*'Responsibilities'!$E$8</f>
        <v/>
      </c>
      <c r="K172" s="137">
        <f>(IF(AND('Production schedule'!E460=1,23=MAX(('Sites'!F6),13),ISNUMBER('Sites'!P6)),'Sites'!P6*'Assumptions'!$B$44,0))*'Responsibilities'!$F$6+(IF(AND('Production schedule'!E496=1,23=MAX(('Sites'!F7+'Cases'!G10),13),ISNUMBER('Sites'!P7)),'Sites'!P7*'Assumptions'!$B$44,0))*'Responsibilities'!$F$7+(IF(AND('Production schedule'!E532=1,23=MAX(('Sites'!F8+'Cases'!G10),13),ISNUMBER('Sites'!P8)),'Sites'!P8*'Assumptions'!$B$44,0))*'Responsibilities'!$F$8</f>
        <v/>
      </c>
      <c r="L172" s="137">
        <f>SUM('Costs'!E36)*'Costs'!F36/12*'Responsibilities'!$C$12+SUM('Costs'!E37)*'Costs'!F37/12*'Responsibilities'!$C$13+SUM('Costs'!E38)*'Costs'!F38/12*'Responsibilities'!$C$14+SUM('Costs'!E39)*'Costs'!F39/12*'Responsibilities'!$C$15+SUM('Costs'!E40)*'Costs'!F40/12*'Responsibilities'!$C$16+BZ172</f>
        <v/>
      </c>
      <c r="M172" s="137">
        <f>('Sites'!E6*'Capital'!E6*(IF(23='Capital'!G6,'Capital'!F6,0)+IF(23='Capital'!H6,1-'Capital'!F6,0)))*'Responsibilities'!$G$6+('Sites'!E7*'Capital'!E7*(IF(23='Capital'!G7+'Cases'!G10,'Capital'!F7,0)+IF(23='Capital'!H7+'Cases'!G10,1-'Capital'!F7,0)))*'Responsibilities'!$G$7+('Sites'!E8*'Cases'!F10*'Capital'!E8*(IF(23='Capital'!G8+'Cases'!G10,'Capital'!F8,0)+IF(23='Capital'!H8+'Cases'!G10,1-'Capital'!F8,0)))*'Responsibilities'!$G$8</f>
        <v/>
      </c>
      <c r="N172" s="137">
        <f>SUM(G172:M172)</f>
        <v/>
      </c>
      <c r="O172" s="137">
        <f>SUMIFS(FundingTranches[Secured amount],FundingTranches[Instrument],"Grant",FundingTranches[Secured month],23)</f>
        <v/>
      </c>
      <c r="P172" s="137">
        <f>SUMIFS(FundingTranches[Lower sales possible],FundingTranches[Instrument],"Grant",FundingTranches[Scenario month],23-'Cases'!$D$10)</f>
        <v/>
      </c>
      <c r="Q172" s="137">
        <f>SUMIFS(FundingTranches[Secured amount],FundingTranches[Instrument],"Loan",FundingTranches[Secured month],23)</f>
        <v/>
      </c>
      <c r="R172" s="137">
        <f>SUMIFS(FundingTranches[Lower sales possible],FundingTranches[Instrument],"Loan",FundingTranches[Scenario month],23-'Cases'!$D$10)</f>
        <v/>
      </c>
      <c r="S172" s="137">
        <f>IF(23&lt;='Assumptions'!$B$34,0,SUMIFS('Production schedule'!$AL$438:$AL$545,'Production schedule'!$C$438:$C$545,23-'Assumptions'!$B$34))</f>
        <v/>
      </c>
      <c r="T172" s="137">
        <f>'Assumptions'!Z70</f>
        <v/>
      </c>
      <c r="U172" s="137">
        <f>'Assumptions'!Z78</f>
        <v/>
      </c>
      <c r="V172" s="137">
        <f>SUM(O172:U172)</f>
        <v/>
      </c>
      <c r="W172" s="137">
        <f>AA171</f>
        <v/>
      </c>
      <c r="X172" s="137">
        <f>SUM(Q172:R172)</f>
        <v/>
      </c>
      <c r="Y172" s="137">
        <f>SUM(W172,X172)*'Assumptions'!$B$39/12</f>
        <v/>
      </c>
      <c r="Z172" s="137">
        <f>IF(SUM(W172,X172)&gt;0,MIN(SUM(W172,X172),MAX(0,BP172-Y172)),0)</f>
        <v/>
      </c>
      <c r="AA172" s="137">
        <f>SUM(W172,X172)-Z172</f>
        <v/>
      </c>
      <c r="AB172" s="137">
        <f>SUM(Y172:Z172)</f>
        <v/>
      </c>
      <c r="AC172" s="137">
        <f>'Assumptions'!Z72</f>
        <v/>
      </c>
      <c r="AD172" s="137">
        <f>'Assumptions'!Z73</f>
        <v/>
      </c>
      <c r="AE172" s="137">
        <f>IF(X172&gt;0,SUM('Assumptions'!$B$42),0)</f>
        <v/>
      </c>
      <c r="AF172" s="137">
        <f>'Assumptions'!Z71</f>
        <v/>
      </c>
      <c r="AG172" s="137">
        <f>'Assumptions'!Z74</f>
        <v/>
      </c>
      <c r="AH172" s="137">
        <f>'Assumptions'!Z75</f>
        <v/>
      </c>
      <c r="AI172" s="137">
        <f>'Assumptions'!Z77</f>
        <v/>
      </c>
      <c r="AJ172" s="137">
        <f>V172-N172-SUM(AB172:AI172)</f>
        <v/>
      </c>
      <c r="AK172" s="137">
        <f>SUM(AJ150:AJ172)</f>
        <v/>
      </c>
      <c r="AL172" s="137">
        <f>IF(ISNUMBER('Assumptions'!$B$10),'Assumptions'!$B$10+AK172,"")</f>
        <v/>
      </c>
      <c r="AM172" s="137">
        <f>SUM(O172,Q172,T172)-N172-SUM(AC172:AI172)+IF('Funding'!$N$11=0,AE172,0)-IF('Funding'!$N$11&gt;0,AB172,0)</f>
        <v/>
      </c>
      <c r="AN172" s="137">
        <f>SUM(AM150:AM172)</f>
        <v/>
      </c>
      <c r="AO172" s="137">
        <f>IF(ISNUMBER('Assumptions'!$B$10),'Assumptions'!$B$10+AN172,"")</f>
        <v/>
      </c>
      <c r="AP172" s="137">
        <f>('Production schedule'!AK460)*'Responsibilities'!$C$6+('Production schedule'!AK496)*'Responsibilities'!$C$7+('Production schedule'!AK532)*'Responsibilities'!$C$8</f>
        <v/>
      </c>
      <c r="AQ172" s="137">
        <f>SUMIFS('Production schedule'!$AL$438:$AL$545,'Production schedule'!$C$438:$C$545,23)</f>
        <v/>
      </c>
      <c r="AR172" s="137">
        <f>IF(ISNUMBER('Assumptions'!Z76),'Assumptions'!Z76,SUM(O172:P172))</f>
        <v/>
      </c>
      <c r="AS172" s="137">
        <f>IF(ISNUMBER('Assumptions'!$B$13),MIN('Assumptions'!$B$13/'Assumptions'!$B$18/12,MAX(0,'Assumptions'!$B$13-(23-1)*'Assumptions'!$B$13/'Assumptions'!$B$18/12)),0)+IF(AND('Sites'!E6=1,23&gt;=('Sites'!F6),23&lt;('Sites'!F6)+'Assumptions'!$B$18*12),'Capital'!E6/'Assumptions'!$B$18/12,0)+IF(AND('Sites'!E7=1,23&gt;=('Sites'!F7+'Cases'!G10),23&lt;('Sites'!F7+'Cases'!G10)+'Assumptions'!$B$18*12),'Capital'!E7/'Assumptions'!$B$18/12,0)+IF(AND('Sites'!E8*'Cases'!F10=1,23&gt;=('Sites'!F8+'Cases'!G10),23&lt;('Sites'!F8+'Cases'!G10)+'Assumptions'!$B$18*12),'Capital'!E8/'Assumptions'!$B$18/12,0)</f>
        <v/>
      </c>
      <c r="AT172" s="137">
        <f>SUM(AQ172,AR172,U172)-AP172-SUM(H172:L172)-AS172-SUM(Y172,AD172,AE172,AH172)</f>
        <v/>
      </c>
      <c r="AU172" s="137">
        <f>IF(ISNUMBER('Assumptions'!$B$19),MAX(0,SUM(AT162:AT172))*'Assumptions'!$B$19-SUM(AU162:AU171),"")</f>
        <v/>
      </c>
      <c r="AV172" s="137">
        <f>IF(ISNUMBER(AU172),AT172-AU172,"")</f>
        <v/>
      </c>
      <c r="AW172" s="137">
        <f>IF(ISNUMBER('Assumptions'!$B$11),'Assumptions'!$B$11+SUM(AQ150:AQ172)-SUM(S150:S172)-SUM(T150:T172),"")</f>
        <v/>
      </c>
      <c r="AX172" s="137">
        <f>IF(ISNUMBER('Assumptions'!$B$12),'Assumptions'!$B$12+SUM(G150:G172)-SUM(AP150:AP172),"")</f>
        <v/>
      </c>
      <c r="AY172" s="137">
        <f>IF(ISNUMBER('Assumptions'!$B$13),'Assumptions'!$B$13+SUM(M150:M172)-SUM(AS150:AS172),"")</f>
        <v/>
      </c>
      <c r="AZ172" s="137">
        <f>IF(ISNUMBER('Assumptions'!$B$14),'Assumptions'!$B$14+-SUM(AF150:AF172),"")</f>
        <v/>
      </c>
      <c r="BA172" s="137">
        <f>IF(ISNUMBER('Assumptions'!$B$15),'Assumptions'!$B$15+SUM(O150:O172)+SUM(P150:P172)-SUM(AR150:AR172),"")</f>
        <v/>
      </c>
      <c r="BB172" s="137">
        <f>IF(ISNUMBER('Assumptions'!$B$16),'Assumptions'!$B$16+-SUM(AC150:AC172),"")</f>
        <v/>
      </c>
      <c r="BC172" s="137">
        <f>IF(AND(ISNUMBER('Assumptions'!$B$21),ISNUMBER('Assumptions'!$B$19)),'Assumptions'!$B$21+SUM(AU150:AU172)-SUM(AG150:AG172),"")</f>
        <v/>
      </c>
      <c r="BD172" s="137">
        <f>IF(ISNUMBER('Assumptions'!$B$20),'Assumptions'!$B$20+-SUM(AI150:AI172),"")</f>
        <v/>
      </c>
      <c r="BE172" s="137">
        <f>IF(AND(ISNUMBER('Assumptions'!$B$17),COUNT(AV150:AV172)=23),'Assumptions'!$B$17+SUM(AV150:AV172),"")</f>
        <v/>
      </c>
      <c r="BF172" s="137">
        <f>IF(COUNT(AL172,AW172:AY172)=4,SUM(AL172,AW172:AY172),"")</f>
        <v/>
      </c>
      <c r="BG172" s="137">
        <f>IF(COUNT(AZ172:BD172)=5,SUM(AZ172:BD172,AA172),"")</f>
        <v/>
      </c>
      <c r="BH172" s="137">
        <f>IF(COUNT(BF172,BG172,BE172)=3,BF172-BG172-BE172,"")</f>
        <v/>
      </c>
      <c r="BI172" s="137">
        <f>SUM(W172,X172)-Z172-AA172</f>
        <v/>
      </c>
      <c r="BJ172" s="137">
        <f>8-COUNT('Assumptions'!Z58:Z65)+COUNTBLANK('NM Play'!B33:B34)+'Costs'!E44+IF(AND('Sites'!E6=1,('Sites'!F6)&lt;=24,'Sites'!G6&gt;=13),IF(ISNUMBER('Sites'!P6),0,1)+'Capital'!I6+COUNTBLANK('Sites'!R6)+IF('Sites'!D6="NM crew",COUNTBLANK('NM Play'!B25)+1,5-COUNT('Assumptions'!Z112:Z116)),0)+IF(AND('Sites'!E7=1,('Sites'!F7+'Cases'!G10)&lt;=24,'Sites'!G7&gt;=13),IF(ISNUMBER('Sites'!P7),0,1)+'Capital'!I7+COUNTBLANK('Sites'!R7)+IF('Sites'!D7="NM crew",COUNTBLANK('NM Play'!B25)+1,5-COUNT('Assumptions'!Z117:Z121)),0)+IF(AND('Sites'!E8*'Cases'!F10=1,('Sites'!F8+'Cases'!G10)&lt;=24,'Sites'!G8&gt;=13),IF(ISNUMBER('Sites'!P8),0,1)+'Capital'!I8+COUNTBLANK('Sites'!R8)+IF('Sites'!D8="NM crew",COUNTBLANK('NM Play'!B25)+1,5-COUNT('Assumptions'!Z122:Z126)),0)+IF(AND('Cases'!C10&gt;0,NOT(ISNUMBER('Assumptions'!B42))),1,0)+'Responsibilities'!$B$39</f>
        <v/>
      </c>
      <c r="BK172" s="137">
        <f>'Assumptions'!$B$50+'NM Play'!$B$83+'Funding'!$F$20+SUMIFS('Production schedule'!$AN$438:$AN$545,'Production schedule'!$C$438:$C$545,23)+IF(OR('Cases'!E10&lt;0,'Cases'!E10&gt;1,'Cases'!C10&lt;0,'Cases'!D10&lt;0,ABS(SUM('Sites'!S6:S8)-1)&gt;0.0001,MIN('Capital'!F6:F8)&lt;0,MAX('Capital'!F6:F8)&gt;1,MIN(AX172,AZ172,BB172,BA172)&lt;-0.01),1,0)+'Responsibilities'!$B$40</f>
        <v/>
      </c>
      <c r="BL172" s="137">
        <f>SUMIFS('Production schedule'!$T$438:$T$545,'Production schedule'!$C$438:$C$545,23)</f>
        <v/>
      </c>
      <c r="BM172" s="137">
        <f>D172*'NM Play'!$B$38</f>
        <v/>
      </c>
      <c r="BN172" s="137">
        <f>SUMIFS('Production schedule'!$AM$438:$AM$545,'Production schedule'!$C$438:$C$545,23)</f>
        <v/>
      </c>
      <c r="BO172" s="137">
        <f>AK172-AK171-AJ172</f>
        <v/>
      </c>
      <c r="BP172" s="137">
        <f>IF(AND('Assumptions'!$B$39&gt;=0,'Assumptions'!$B$40&gt;0),-PMT('Assumptions'!$B$39/12,'Assumptions'!$B$40*12,IF('Funding'!$N$11&gt;0,'Funding'!$N$11,'Funding'!$V$11)),"")</f>
        <v/>
      </c>
      <c r="BQ172">
        <f>('Production schedule'!AJ460)*(1-'Responsibilities'!$C$6)+('Production schedule'!AJ496)*(1-'Responsibilities'!$C$7)+('Production schedule'!AJ532)*(1-'Responsibilities'!$C$8)</f>
        <v/>
      </c>
      <c r="BR172">
        <f>('Production schedule'!AI460)*(1-'Responsibilities'!$D$6)+('Production schedule'!AI496)*(1-'Responsibilities'!$D$7)+('Production schedule'!AI532)*(1-'Responsibilities'!$D$8)</f>
        <v/>
      </c>
      <c r="BS172">
        <f>('Production schedule'!E460*(IF('Sites'!D6="Annual staff",SUM('Assumptions'!Z112,'Assumptions'!Z114),0)+SUM('Assumptions'!Z113,'Assumptions'!Z115:Z116)))*(1-'Responsibilities'!$E$6)+('Production schedule'!E496*(IF('Sites'!D7="Annual staff",SUM('Assumptions'!Z117,'Assumptions'!Z119),0)+SUM('Assumptions'!Z118,'Assumptions'!Z120:Z121)))*(1-'Responsibilities'!$E$7)+('Production schedule'!E532*(IF('Sites'!D8="Annual staff",SUM('Assumptions'!Z122,'Assumptions'!Z124),0)+SUM('Assumptions'!Z123,'Assumptions'!Z125:Z126)))*(1-'Responsibilities'!$E$8)</f>
        <v/>
      </c>
      <c r="BT172">
        <f>(IF(AND('Production schedule'!E460=1,23=MAX(('Sites'!F6),13),ISNUMBER('Sites'!P6)),'Sites'!P6*'Assumptions'!$B$44,0))*(1-'Responsibilities'!$F$6)+(IF(AND('Production schedule'!E496=1,23=MAX(('Sites'!F7+'Cases'!G10),13),ISNUMBER('Sites'!P7)),'Sites'!P7*'Assumptions'!$B$44,0))*(1-'Responsibilities'!$F$7)+(IF(AND('Production schedule'!E532=1,23=MAX(('Sites'!F8+'Cases'!G10),13),ISNUMBER('Sites'!P8)),'Sites'!P8*'Assumptions'!$B$44,0))*(1-'Responsibilities'!$F$8)</f>
        <v/>
      </c>
      <c r="BU172">
        <f>SUM('Costs'!E36)*'Costs'!F36/12*(1-'Responsibilities'!$C$12)+SUM('Costs'!E37)*'Costs'!F37/12*(1-'Responsibilities'!$C$13)+SUM('Costs'!E38)*'Costs'!F38/12*(1-'Responsibilities'!$C$14)+SUM('Costs'!E39)*'Costs'!F39/12*(1-'Responsibilities'!$C$15)+SUM('Costs'!E40)*'Costs'!F40/12*(1-'Responsibilities'!$C$16)</f>
        <v/>
      </c>
      <c r="BV172">
        <f>('Sites'!E6*'Capital'!E6*(IF(23='Capital'!G6,'Capital'!F6,0)+IF(23='Capital'!H6,1-'Capital'!F6,0)))*(1-'Responsibilities'!$G$6)+('Sites'!E7*'Capital'!E7*(IF(23='Capital'!G7+'Cases'!G10,'Capital'!F7,0)+IF(23='Capital'!H7+'Cases'!G10,1-'Capital'!F7,0)))*(1-'Responsibilities'!$G$7)+('Sites'!E8*'Cases'!F10*'Capital'!E8*(IF(23='Capital'!G8+'Cases'!G10,'Capital'!F8,0)+IF(23='Capital'!H8+'Cases'!G10,1-'Capital'!F8,0)))*(1-'Responsibilities'!$G$8)</f>
        <v/>
      </c>
      <c r="BW172">
        <f>SUM(BQ172:BV172)</f>
        <v/>
      </c>
      <c r="BX172">
        <f>N172+BW172</f>
        <v/>
      </c>
      <c r="BY172">
        <f>BX172-(('Production schedule'!AJ460)*'Responsibilities'!$C$6+('Production schedule'!AJ496)*'Responsibilities'!$C$7+('Production schedule'!AJ532)*'Responsibilities'!$C$8+('Production schedule'!AJ460)*(1-'Responsibilities'!$C$6)+('Production schedule'!AJ496)*(1-'Responsibilities'!$C$7)+('Production schedule'!AJ532)*(1-'Responsibilities'!$C$8)+('Production schedule'!AI460)*'Responsibilities'!$D$6+('Production schedule'!AI496)*'Responsibilities'!$D$7+('Production schedule'!AI532)*'Responsibilities'!$D$8+('Production schedule'!AI460)*(1-'Responsibilities'!$D$6)+('Production schedule'!AI496)*(1-'Responsibilities'!$D$7)+('Production schedule'!AI532)*(1-'Responsibilities'!$D$8)+('Production schedule'!E460*(IF('Sites'!D6="Annual staff",SUM('Assumptions'!Z112,'Assumptions'!Z114),0)+SUM('Assumptions'!Z113,'Assumptions'!Z115:Z116)))*'Responsibilities'!$E$6+('Production schedule'!E496*(IF('Sites'!D7="Annual staff",SUM('Assumptions'!Z117,'Assumptions'!Z119),0)+SUM('Assumptions'!Z118,'Assumptions'!Z120:Z121)))*'Responsibilities'!$E$7+('Production schedule'!E532*(IF('Sites'!D8="Annual staff",SUM('Assumptions'!Z122,'Assumptions'!Z124),0)+SUM('Assumptions'!Z123,'Assumptions'!Z125:Z126)))*'Responsibilities'!$E$8+('Production schedule'!E460*(IF('Sites'!D6="Annual staff",SUM('Assumptions'!Z112,'Assumptions'!Z114),0)+SUM('Assumptions'!Z113,'Assumptions'!Z115:Z116)))*(1-'Responsibilities'!$E$6)+('Production schedule'!E496*(IF('Sites'!D7="Annual staff",SUM('Assumptions'!Z117,'Assumptions'!Z119),0)+SUM('Assumptions'!Z118,'Assumptions'!Z120:Z121)))*(1-'Responsibilities'!$E$7)+('Production schedule'!E532*(IF('Sites'!D8="Annual staff",SUM('Assumptions'!Z122,'Assumptions'!Z124),0)+SUM('Assumptions'!Z123,'Assumptions'!Z125:Z126)))*(1-'Responsibilities'!$E$8)+(IF(AND('Production schedule'!E460=1,23=MAX(('Sites'!F6),13),ISNUMBER('Sites'!P6)),'Sites'!P6*'Assumptions'!$B$44,0))*'Responsibilities'!$F$6+(IF(AND('Production schedule'!E496=1,23=MAX(('Sites'!F7+'Cases'!G10),13),ISNUMBER('Sites'!P7)),'Sites'!P7*'Assumptions'!$B$44,0))*'Responsibilities'!$F$7+(IF(AND('Production schedule'!E532=1,23=MAX(('Sites'!F8+'Cases'!G10),13),ISNUMBER('Sites'!P8)),'Sites'!P8*'Assumptions'!$B$44,0))*'Responsibilities'!$F$8+(IF(AND('Production schedule'!E460=1,23=MAX(('Sites'!F6),13),ISNUMBER('Sites'!P6)),'Sites'!P6*'Assumptions'!$B$44,0))*(1-'Responsibilities'!$F$6)+(IF(AND('Production schedule'!E496=1,23=MAX(('Sites'!F7+'Cases'!G10),13),ISNUMBER('Sites'!P7)),'Sites'!P7*'Assumptions'!$B$44,0))*(1-'Responsibilities'!$F$7)+(IF(AND('Production schedule'!E532=1,23=MAX(('Sites'!F8+'Cases'!G10),13),ISNUMBER('Sites'!P8)),'Sites'!P8*'Assumptions'!$B$44,0))*(1-'Responsibilities'!$F$8)+('Sites'!E6*'Capital'!E6*(IF(23='Capital'!G6,'Capital'!F6,0)+IF(23='Capital'!H6,1-'Capital'!F6,0)))*'Responsibilities'!$G$6+('Sites'!E7*'Capital'!E7*(IF(23='Capital'!G7+'Cases'!G10,'Capital'!F7,0)+IF(23='Capital'!H7+'Cases'!G10,1-'Capital'!F7,0)))*'Responsibilities'!$G$7+('Sites'!E8*'Cases'!F10*'Capital'!E8*(IF(23='Capital'!G8+'Cases'!G10,'Capital'!F8,0)+IF(23='Capital'!H8+'Cases'!G10,1-'Capital'!F8,0)))*'Responsibilities'!$G$8+('Sites'!E6*'Capital'!E6*(IF(23='Capital'!G6,'Capital'!F6,0)+IF(23='Capital'!H6,1-'Capital'!F6,0)))*(1-'Responsibilities'!$G$6)+('Sites'!E7*'Capital'!E7*(IF(23='Capital'!G7+'Cases'!G10,'Capital'!F7,0)+IF(23='Capital'!H7+'Cases'!G10,1-'Capital'!F7,0)))*(1-'Responsibilities'!$G$7)+('Sites'!E8*'Cases'!F10*'Capital'!E8*(IF(23='Capital'!G8+'Cases'!G10,'Capital'!F8,0)+IF(23='Capital'!H8+'Cases'!G10,1-'Capital'!F8,0)))*(1-'Responsibilities'!$G$8)+I172+SUMPRODUCT('Costs'!$E$36:$E$40,'Costs'!$F$36:$F$40)/12+BZ172)</f>
        <v/>
      </c>
      <c r="BZ172">
        <f>SUMIFS('Responsibilities'!$B$31:$B$35,'Responsibilities'!$C$31:$C$35,23,'Responsibilities'!$D$31:$D$35,"Yes")</f>
        <v/>
      </c>
    </row>
    <row r="173" ht="28" customHeight="1">
      <c r="A173" s="4" t="inlineStr">
        <is>
          <t>Lower sales</t>
        </is>
      </c>
      <c r="B173" s="4" t="n">
        <v>24</v>
      </c>
      <c r="C173" s="4">
        <f>ROUNDUP(B173/12,0)</f>
        <v/>
      </c>
      <c r="D173" s="137">
        <f>SUMIFS('Production schedule'!$N$438:$N$545,'Production schedule'!$C$438:$C$545,24)</f>
        <v/>
      </c>
      <c r="E173" s="137">
        <f>SUMIFS('Production schedule'!$Y$438:$Y$545,'Production schedule'!$C$438:$C$545,24)</f>
        <v/>
      </c>
      <c r="F173" s="137">
        <f>SUMIFS('Production schedule'!$Z$438:$Z$545,'Production schedule'!$C$438:$C$545,24)</f>
        <v/>
      </c>
      <c r="G173" s="137">
        <f>('Production schedule'!AJ461)*'Responsibilities'!$C$6+('Production schedule'!AJ497)*'Responsibilities'!$C$7+('Production schedule'!AJ533)*'Responsibilities'!$C$8</f>
        <v/>
      </c>
      <c r="H173" s="137">
        <f>('Production schedule'!AI461)*'Responsibilities'!$D$6+('Production schedule'!AI497)*'Responsibilities'!$D$7+('Production schedule'!AI533)*'Responsibilities'!$D$8</f>
        <v/>
      </c>
      <c r="I173" s="137">
        <f>SUM('Assumptions'!AA58:AA65)</f>
        <v/>
      </c>
      <c r="J173" s="137">
        <f>('Production schedule'!E461*(IF('Sites'!D6="Annual staff",SUM('Assumptions'!AA112,'Assumptions'!AA114),0)+SUM('Assumptions'!AA113,'Assumptions'!AA115:AA116)))*'Responsibilities'!$E$6+('Production schedule'!E497*(IF('Sites'!D7="Annual staff",SUM('Assumptions'!AA117,'Assumptions'!AA119),0)+SUM('Assumptions'!AA118,'Assumptions'!AA120:AA121)))*'Responsibilities'!$E$7+('Production schedule'!E533*(IF('Sites'!D8="Annual staff",SUM('Assumptions'!AA122,'Assumptions'!AA124),0)+SUM('Assumptions'!AA123,'Assumptions'!AA125:AA126)))*'Responsibilities'!$E$8</f>
        <v/>
      </c>
      <c r="K173" s="137">
        <f>(IF(AND('Production schedule'!E461=1,24=MAX(('Sites'!F6),13),ISNUMBER('Sites'!P6)),'Sites'!P6*'Assumptions'!$B$44,0))*'Responsibilities'!$F$6+(IF(AND('Production schedule'!E497=1,24=MAX(('Sites'!F7+'Cases'!G10),13),ISNUMBER('Sites'!P7)),'Sites'!P7*'Assumptions'!$B$44,0))*'Responsibilities'!$F$7+(IF(AND('Production schedule'!E533=1,24=MAX(('Sites'!F8+'Cases'!G10),13),ISNUMBER('Sites'!P8)),'Sites'!P8*'Assumptions'!$B$44,0))*'Responsibilities'!$F$8</f>
        <v/>
      </c>
      <c r="L173" s="137">
        <f>SUM('Costs'!E36)*'Costs'!F36/12*'Responsibilities'!$C$12+SUM('Costs'!E37)*'Costs'!F37/12*'Responsibilities'!$C$13+SUM('Costs'!E38)*'Costs'!F38/12*'Responsibilities'!$C$14+SUM('Costs'!E39)*'Costs'!F39/12*'Responsibilities'!$C$15+SUM('Costs'!E40)*'Costs'!F40/12*'Responsibilities'!$C$16+BZ173</f>
        <v/>
      </c>
      <c r="M173" s="137">
        <f>('Sites'!E6*'Capital'!E6*(IF(24='Capital'!G6,'Capital'!F6,0)+IF(24='Capital'!H6,1-'Capital'!F6,0)))*'Responsibilities'!$G$6+('Sites'!E7*'Capital'!E7*(IF(24='Capital'!G7+'Cases'!G10,'Capital'!F7,0)+IF(24='Capital'!H7+'Cases'!G10,1-'Capital'!F7,0)))*'Responsibilities'!$G$7+('Sites'!E8*'Cases'!F10*'Capital'!E8*(IF(24='Capital'!G8+'Cases'!G10,'Capital'!F8,0)+IF(24='Capital'!H8+'Cases'!G10,1-'Capital'!F8,0)))*'Responsibilities'!$G$8</f>
        <v/>
      </c>
      <c r="N173" s="137">
        <f>SUM(G173:M173)</f>
        <v/>
      </c>
      <c r="O173" s="137">
        <f>SUMIFS(FundingTranches[Secured amount],FundingTranches[Instrument],"Grant",FundingTranches[Secured month],24)</f>
        <v/>
      </c>
      <c r="P173" s="137">
        <f>SUMIFS(FundingTranches[Lower sales possible],FundingTranches[Instrument],"Grant",FundingTranches[Scenario month],24-'Cases'!$D$10)</f>
        <v/>
      </c>
      <c r="Q173" s="137">
        <f>SUMIFS(FundingTranches[Secured amount],FundingTranches[Instrument],"Loan",FundingTranches[Secured month],24)</f>
        <v/>
      </c>
      <c r="R173" s="137">
        <f>SUMIFS(FundingTranches[Lower sales possible],FundingTranches[Instrument],"Loan",FundingTranches[Scenario month],24-'Cases'!$D$10)</f>
        <v/>
      </c>
      <c r="S173" s="137">
        <f>IF(24&lt;='Assumptions'!$B$34,0,SUMIFS('Production schedule'!$AL$438:$AL$545,'Production schedule'!$C$438:$C$545,24-'Assumptions'!$B$34))</f>
        <v/>
      </c>
      <c r="T173" s="137">
        <f>'Assumptions'!AA70</f>
        <v/>
      </c>
      <c r="U173" s="137">
        <f>'Assumptions'!AA78</f>
        <v/>
      </c>
      <c r="V173" s="137">
        <f>SUM(O173:U173)</f>
        <v/>
      </c>
      <c r="W173" s="137">
        <f>AA172</f>
        <v/>
      </c>
      <c r="X173" s="137">
        <f>SUM(Q173:R173)</f>
        <v/>
      </c>
      <c r="Y173" s="137">
        <f>SUM(W173,X173)*'Assumptions'!$B$39/12</f>
        <v/>
      </c>
      <c r="Z173" s="137">
        <f>IF(SUM(W173,X173)&gt;0,MIN(SUM(W173,X173),MAX(0,BP173-Y173)),0)</f>
        <v/>
      </c>
      <c r="AA173" s="137">
        <f>SUM(W173,X173)-Z173</f>
        <v/>
      </c>
      <c r="AB173" s="137">
        <f>SUM(Y173:Z173)</f>
        <v/>
      </c>
      <c r="AC173" s="137">
        <f>'Assumptions'!AA72</f>
        <v/>
      </c>
      <c r="AD173" s="137">
        <f>'Assumptions'!AA73</f>
        <v/>
      </c>
      <c r="AE173" s="137">
        <f>IF(X173&gt;0,SUM('Assumptions'!$B$42),0)</f>
        <v/>
      </c>
      <c r="AF173" s="137">
        <f>'Assumptions'!AA71</f>
        <v/>
      </c>
      <c r="AG173" s="137">
        <f>'Assumptions'!AA74</f>
        <v/>
      </c>
      <c r="AH173" s="137">
        <f>'Assumptions'!AA75</f>
        <v/>
      </c>
      <c r="AI173" s="137">
        <f>'Assumptions'!AA77</f>
        <v/>
      </c>
      <c r="AJ173" s="137">
        <f>V173-N173-SUM(AB173:AI173)</f>
        <v/>
      </c>
      <c r="AK173" s="137">
        <f>SUM(AJ150:AJ173)</f>
        <v/>
      </c>
      <c r="AL173" s="137">
        <f>IF(ISNUMBER('Assumptions'!$B$10),'Assumptions'!$B$10+AK173,"")</f>
        <v/>
      </c>
      <c r="AM173" s="137">
        <f>SUM(O173,Q173,T173)-N173-SUM(AC173:AI173)+IF('Funding'!$N$11=0,AE173,0)-IF('Funding'!$N$11&gt;0,AB173,0)</f>
        <v/>
      </c>
      <c r="AN173" s="137">
        <f>SUM(AM150:AM173)</f>
        <v/>
      </c>
      <c r="AO173" s="137">
        <f>IF(ISNUMBER('Assumptions'!$B$10),'Assumptions'!$B$10+AN173,"")</f>
        <v/>
      </c>
      <c r="AP173" s="137">
        <f>('Production schedule'!AK461)*'Responsibilities'!$C$6+('Production schedule'!AK497)*'Responsibilities'!$C$7+('Production schedule'!AK533)*'Responsibilities'!$C$8</f>
        <v/>
      </c>
      <c r="AQ173" s="137">
        <f>SUMIFS('Production schedule'!$AL$438:$AL$545,'Production schedule'!$C$438:$C$545,24)</f>
        <v/>
      </c>
      <c r="AR173" s="137">
        <f>IF(ISNUMBER('Assumptions'!AA76),'Assumptions'!AA76,SUM(O173:P173))</f>
        <v/>
      </c>
      <c r="AS173" s="137">
        <f>IF(ISNUMBER('Assumptions'!$B$13),MIN('Assumptions'!$B$13/'Assumptions'!$B$18/12,MAX(0,'Assumptions'!$B$13-(24-1)*'Assumptions'!$B$13/'Assumptions'!$B$18/12)),0)+IF(AND('Sites'!E6=1,24&gt;=('Sites'!F6),24&lt;('Sites'!F6)+'Assumptions'!$B$18*12),'Capital'!E6/'Assumptions'!$B$18/12,0)+IF(AND('Sites'!E7=1,24&gt;=('Sites'!F7+'Cases'!G10),24&lt;('Sites'!F7+'Cases'!G10)+'Assumptions'!$B$18*12),'Capital'!E7/'Assumptions'!$B$18/12,0)+IF(AND('Sites'!E8*'Cases'!F10=1,24&gt;=('Sites'!F8+'Cases'!G10),24&lt;('Sites'!F8+'Cases'!G10)+'Assumptions'!$B$18*12),'Capital'!E8/'Assumptions'!$B$18/12,0)</f>
        <v/>
      </c>
      <c r="AT173" s="137">
        <f>SUM(AQ173,AR173,U173)-AP173-SUM(H173:L173)-AS173-SUM(Y173,AD173,AE173,AH173)</f>
        <v/>
      </c>
      <c r="AU173" s="137">
        <f>IF(ISNUMBER('Assumptions'!$B$19),MAX(0,SUM(AT162:AT173))*'Assumptions'!$B$19-SUM(AU162:AU172),"")</f>
        <v/>
      </c>
      <c r="AV173" s="137">
        <f>IF(ISNUMBER(AU173),AT173-AU173,"")</f>
        <v/>
      </c>
      <c r="AW173" s="137">
        <f>IF(ISNUMBER('Assumptions'!$B$11),'Assumptions'!$B$11+SUM(AQ150:AQ173)-SUM(S150:S173)-SUM(T150:T173),"")</f>
        <v/>
      </c>
      <c r="AX173" s="137">
        <f>IF(ISNUMBER('Assumptions'!$B$12),'Assumptions'!$B$12+SUM(G150:G173)-SUM(AP150:AP173),"")</f>
        <v/>
      </c>
      <c r="AY173" s="137">
        <f>IF(ISNUMBER('Assumptions'!$B$13),'Assumptions'!$B$13+SUM(M150:M173)-SUM(AS150:AS173),"")</f>
        <v/>
      </c>
      <c r="AZ173" s="137">
        <f>IF(ISNUMBER('Assumptions'!$B$14),'Assumptions'!$B$14+-SUM(AF150:AF173),"")</f>
        <v/>
      </c>
      <c r="BA173" s="137">
        <f>IF(ISNUMBER('Assumptions'!$B$15),'Assumptions'!$B$15+SUM(O150:O173)+SUM(P150:P173)-SUM(AR150:AR173),"")</f>
        <v/>
      </c>
      <c r="BB173" s="137">
        <f>IF(ISNUMBER('Assumptions'!$B$16),'Assumptions'!$B$16+-SUM(AC150:AC173),"")</f>
        <v/>
      </c>
      <c r="BC173" s="137">
        <f>IF(AND(ISNUMBER('Assumptions'!$B$21),ISNUMBER('Assumptions'!$B$19)),'Assumptions'!$B$21+SUM(AU150:AU173)-SUM(AG150:AG173),"")</f>
        <v/>
      </c>
      <c r="BD173" s="137">
        <f>IF(ISNUMBER('Assumptions'!$B$20),'Assumptions'!$B$20+-SUM(AI150:AI173),"")</f>
        <v/>
      </c>
      <c r="BE173" s="137">
        <f>IF(AND(ISNUMBER('Assumptions'!$B$17),COUNT(AV150:AV173)=24),'Assumptions'!$B$17+SUM(AV150:AV173),"")</f>
        <v/>
      </c>
      <c r="BF173" s="137">
        <f>IF(COUNT(AL173,AW173:AY173)=4,SUM(AL173,AW173:AY173),"")</f>
        <v/>
      </c>
      <c r="BG173" s="137">
        <f>IF(COUNT(AZ173:BD173)=5,SUM(AZ173:BD173,AA173),"")</f>
        <v/>
      </c>
      <c r="BH173" s="137">
        <f>IF(COUNT(BF173,BG173,BE173)=3,BF173-BG173-BE173,"")</f>
        <v/>
      </c>
      <c r="BI173" s="137">
        <f>SUM(W173,X173)-Z173-AA173</f>
        <v/>
      </c>
      <c r="BJ173" s="137">
        <f>8-COUNT('Assumptions'!AA58:AA65)+COUNTBLANK('NM Play'!B33:B34)+'Costs'!E44+IF(AND('Sites'!E6=1,('Sites'!F6)&lt;=24,'Sites'!G6&gt;=13),IF(ISNUMBER('Sites'!P6),0,1)+'Capital'!I6+COUNTBLANK('Sites'!R6)+IF('Sites'!D6="NM crew",COUNTBLANK('NM Play'!B25)+1,5-COUNT('Assumptions'!AA112:AA116)),0)+IF(AND('Sites'!E7=1,('Sites'!F7+'Cases'!G10)&lt;=24,'Sites'!G7&gt;=13),IF(ISNUMBER('Sites'!P7),0,1)+'Capital'!I7+COUNTBLANK('Sites'!R7)+IF('Sites'!D7="NM crew",COUNTBLANK('NM Play'!B25)+1,5-COUNT('Assumptions'!AA117:AA121)),0)+IF(AND('Sites'!E8*'Cases'!F10=1,('Sites'!F8+'Cases'!G10)&lt;=24,'Sites'!G8&gt;=13),IF(ISNUMBER('Sites'!P8),0,1)+'Capital'!I8+COUNTBLANK('Sites'!R8)+IF('Sites'!D8="NM crew",COUNTBLANK('NM Play'!B25)+1,5-COUNT('Assumptions'!AA122:AA126)),0)+IF(AND('Cases'!C10&gt;0,NOT(ISNUMBER('Assumptions'!B42))),1,0)+'Responsibilities'!$B$39</f>
        <v/>
      </c>
      <c r="BK173" s="137">
        <f>'Assumptions'!$B$50+'NM Play'!$B$83+'Funding'!$F$20+SUMIFS('Production schedule'!$AN$438:$AN$545,'Production schedule'!$C$438:$C$545,24)+IF(OR('Cases'!E10&lt;0,'Cases'!E10&gt;1,'Cases'!C10&lt;0,'Cases'!D10&lt;0,ABS(SUM('Sites'!S6:S8)-1)&gt;0.0001,MIN('Capital'!F6:F8)&lt;0,MAX('Capital'!F6:F8)&gt;1,MIN(AX173,AZ173,BB173,BA173)&lt;-0.01),1,0)+'Responsibilities'!$B$40</f>
        <v/>
      </c>
      <c r="BL173" s="137">
        <f>SUMIFS('Production schedule'!$T$438:$T$545,'Production schedule'!$C$438:$C$545,24)</f>
        <v/>
      </c>
      <c r="BM173" s="137">
        <f>D173*'NM Play'!$B$38</f>
        <v/>
      </c>
      <c r="BN173" s="137">
        <f>SUMIFS('Production schedule'!$AM$438:$AM$545,'Production schedule'!$C$438:$C$545,24)</f>
        <v/>
      </c>
      <c r="BO173" s="137">
        <f>AK173-AK172-AJ173</f>
        <v/>
      </c>
      <c r="BP173" s="137">
        <f>IF(AND('Assumptions'!$B$39&gt;=0,'Assumptions'!$B$40&gt;0),-PMT('Assumptions'!$B$39/12,'Assumptions'!$B$40*12,IF('Funding'!$N$11&gt;0,'Funding'!$N$11,'Funding'!$V$11)),"")</f>
        <v/>
      </c>
      <c r="BQ173">
        <f>('Production schedule'!AJ461)*(1-'Responsibilities'!$C$6)+('Production schedule'!AJ497)*(1-'Responsibilities'!$C$7)+('Production schedule'!AJ533)*(1-'Responsibilities'!$C$8)</f>
        <v/>
      </c>
      <c r="BR173">
        <f>('Production schedule'!AI461)*(1-'Responsibilities'!$D$6)+('Production schedule'!AI497)*(1-'Responsibilities'!$D$7)+('Production schedule'!AI533)*(1-'Responsibilities'!$D$8)</f>
        <v/>
      </c>
      <c r="BS173">
        <f>('Production schedule'!E461*(IF('Sites'!D6="Annual staff",SUM('Assumptions'!AA112,'Assumptions'!AA114),0)+SUM('Assumptions'!AA113,'Assumptions'!AA115:AA116)))*(1-'Responsibilities'!$E$6)+('Production schedule'!E497*(IF('Sites'!D7="Annual staff",SUM('Assumptions'!AA117,'Assumptions'!AA119),0)+SUM('Assumptions'!AA118,'Assumptions'!AA120:AA121)))*(1-'Responsibilities'!$E$7)+('Production schedule'!E533*(IF('Sites'!D8="Annual staff",SUM('Assumptions'!AA122,'Assumptions'!AA124),0)+SUM('Assumptions'!AA123,'Assumptions'!AA125:AA126)))*(1-'Responsibilities'!$E$8)</f>
        <v/>
      </c>
      <c r="BT173">
        <f>(IF(AND('Production schedule'!E461=1,24=MAX(('Sites'!F6),13),ISNUMBER('Sites'!P6)),'Sites'!P6*'Assumptions'!$B$44,0))*(1-'Responsibilities'!$F$6)+(IF(AND('Production schedule'!E497=1,24=MAX(('Sites'!F7+'Cases'!G10),13),ISNUMBER('Sites'!P7)),'Sites'!P7*'Assumptions'!$B$44,0))*(1-'Responsibilities'!$F$7)+(IF(AND('Production schedule'!E533=1,24=MAX(('Sites'!F8+'Cases'!G10),13),ISNUMBER('Sites'!P8)),'Sites'!P8*'Assumptions'!$B$44,0))*(1-'Responsibilities'!$F$8)</f>
        <v/>
      </c>
      <c r="BU173">
        <f>SUM('Costs'!E36)*'Costs'!F36/12*(1-'Responsibilities'!$C$12)+SUM('Costs'!E37)*'Costs'!F37/12*(1-'Responsibilities'!$C$13)+SUM('Costs'!E38)*'Costs'!F38/12*(1-'Responsibilities'!$C$14)+SUM('Costs'!E39)*'Costs'!F39/12*(1-'Responsibilities'!$C$15)+SUM('Costs'!E40)*'Costs'!F40/12*(1-'Responsibilities'!$C$16)</f>
        <v/>
      </c>
      <c r="BV173">
        <f>('Sites'!E6*'Capital'!E6*(IF(24='Capital'!G6,'Capital'!F6,0)+IF(24='Capital'!H6,1-'Capital'!F6,0)))*(1-'Responsibilities'!$G$6)+('Sites'!E7*'Capital'!E7*(IF(24='Capital'!G7+'Cases'!G10,'Capital'!F7,0)+IF(24='Capital'!H7+'Cases'!G10,1-'Capital'!F7,0)))*(1-'Responsibilities'!$G$7)+('Sites'!E8*'Cases'!F10*'Capital'!E8*(IF(24='Capital'!G8+'Cases'!G10,'Capital'!F8,0)+IF(24='Capital'!H8+'Cases'!G10,1-'Capital'!F8,0)))*(1-'Responsibilities'!$G$8)</f>
        <v/>
      </c>
      <c r="BW173">
        <f>SUM(BQ173:BV173)</f>
        <v/>
      </c>
      <c r="BX173">
        <f>N173+BW173</f>
        <v/>
      </c>
      <c r="BY173">
        <f>BX173-(('Production schedule'!AJ461)*'Responsibilities'!$C$6+('Production schedule'!AJ497)*'Responsibilities'!$C$7+('Production schedule'!AJ533)*'Responsibilities'!$C$8+('Production schedule'!AJ461)*(1-'Responsibilities'!$C$6)+('Production schedule'!AJ497)*(1-'Responsibilities'!$C$7)+('Production schedule'!AJ533)*(1-'Responsibilities'!$C$8)+('Production schedule'!AI461)*'Responsibilities'!$D$6+('Production schedule'!AI497)*'Responsibilities'!$D$7+('Production schedule'!AI533)*'Responsibilities'!$D$8+('Production schedule'!AI461)*(1-'Responsibilities'!$D$6)+('Production schedule'!AI497)*(1-'Responsibilities'!$D$7)+('Production schedule'!AI533)*(1-'Responsibilities'!$D$8)+('Production schedule'!E461*(IF('Sites'!D6="Annual staff",SUM('Assumptions'!AA112,'Assumptions'!AA114),0)+SUM('Assumptions'!AA113,'Assumptions'!AA115:AA116)))*'Responsibilities'!$E$6+('Production schedule'!E497*(IF('Sites'!D7="Annual staff",SUM('Assumptions'!AA117,'Assumptions'!AA119),0)+SUM('Assumptions'!AA118,'Assumptions'!AA120:AA121)))*'Responsibilities'!$E$7+('Production schedule'!E533*(IF('Sites'!D8="Annual staff",SUM('Assumptions'!AA122,'Assumptions'!AA124),0)+SUM('Assumptions'!AA123,'Assumptions'!AA125:AA126)))*'Responsibilities'!$E$8+('Production schedule'!E461*(IF('Sites'!D6="Annual staff",SUM('Assumptions'!AA112,'Assumptions'!AA114),0)+SUM('Assumptions'!AA113,'Assumptions'!AA115:AA116)))*(1-'Responsibilities'!$E$6)+('Production schedule'!E497*(IF('Sites'!D7="Annual staff",SUM('Assumptions'!AA117,'Assumptions'!AA119),0)+SUM('Assumptions'!AA118,'Assumptions'!AA120:AA121)))*(1-'Responsibilities'!$E$7)+('Production schedule'!E533*(IF('Sites'!D8="Annual staff",SUM('Assumptions'!AA122,'Assumptions'!AA124),0)+SUM('Assumptions'!AA123,'Assumptions'!AA125:AA126)))*(1-'Responsibilities'!$E$8)+(IF(AND('Production schedule'!E461=1,24=MAX(('Sites'!F6),13),ISNUMBER('Sites'!P6)),'Sites'!P6*'Assumptions'!$B$44,0))*'Responsibilities'!$F$6+(IF(AND('Production schedule'!E497=1,24=MAX(('Sites'!F7+'Cases'!G10),13),ISNUMBER('Sites'!P7)),'Sites'!P7*'Assumptions'!$B$44,0))*'Responsibilities'!$F$7+(IF(AND('Production schedule'!E533=1,24=MAX(('Sites'!F8+'Cases'!G10),13),ISNUMBER('Sites'!P8)),'Sites'!P8*'Assumptions'!$B$44,0))*'Responsibilities'!$F$8+(IF(AND('Production schedule'!E461=1,24=MAX(('Sites'!F6),13),ISNUMBER('Sites'!P6)),'Sites'!P6*'Assumptions'!$B$44,0))*(1-'Responsibilities'!$F$6)+(IF(AND('Production schedule'!E497=1,24=MAX(('Sites'!F7+'Cases'!G10),13),ISNUMBER('Sites'!P7)),'Sites'!P7*'Assumptions'!$B$44,0))*(1-'Responsibilities'!$F$7)+(IF(AND('Production schedule'!E533=1,24=MAX(('Sites'!F8+'Cases'!G10),13),ISNUMBER('Sites'!P8)),'Sites'!P8*'Assumptions'!$B$44,0))*(1-'Responsibilities'!$F$8)+('Sites'!E6*'Capital'!E6*(IF(24='Capital'!G6,'Capital'!F6,0)+IF(24='Capital'!H6,1-'Capital'!F6,0)))*'Responsibilities'!$G$6+('Sites'!E7*'Capital'!E7*(IF(24='Capital'!G7+'Cases'!G10,'Capital'!F7,0)+IF(24='Capital'!H7+'Cases'!G10,1-'Capital'!F7,0)))*'Responsibilities'!$G$7+('Sites'!E8*'Cases'!F10*'Capital'!E8*(IF(24='Capital'!G8+'Cases'!G10,'Capital'!F8,0)+IF(24='Capital'!H8+'Cases'!G10,1-'Capital'!F8,0)))*'Responsibilities'!$G$8+('Sites'!E6*'Capital'!E6*(IF(24='Capital'!G6,'Capital'!F6,0)+IF(24='Capital'!H6,1-'Capital'!F6,0)))*(1-'Responsibilities'!$G$6)+('Sites'!E7*'Capital'!E7*(IF(24='Capital'!G7+'Cases'!G10,'Capital'!F7,0)+IF(24='Capital'!H7+'Cases'!G10,1-'Capital'!F7,0)))*(1-'Responsibilities'!$G$7)+('Sites'!E8*'Cases'!F10*'Capital'!E8*(IF(24='Capital'!G8+'Cases'!G10,'Capital'!F8,0)+IF(24='Capital'!H8+'Cases'!G10,1-'Capital'!F8,0)))*(1-'Responsibilities'!$G$8)+I173+SUMPRODUCT('Costs'!$E$36:$E$40,'Costs'!$F$36:$F$40)/12+BZ173)</f>
        <v/>
      </c>
      <c r="BZ173">
        <f>SUMIFS('Responsibilities'!$B$31:$B$35,'Responsibilities'!$C$31:$C$35,24,'Responsibilities'!$D$31:$D$35,"Yes")</f>
        <v/>
      </c>
    </row>
    <row r="174" ht="28" customHeight="1">
      <c r="A174" s="4" t="inlineStr">
        <is>
          <t>Lower sales</t>
        </is>
      </c>
      <c r="B174" s="4" t="n">
        <v>25</v>
      </c>
      <c r="C174" s="4">
        <f>ROUNDUP(B174/12,0)</f>
        <v/>
      </c>
      <c r="D174" s="137">
        <f>SUMIFS('Production schedule'!$N$438:$N$545,'Production schedule'!$C$438:$C$545,25)</f>
        <v/>
      </c>
      <c r="E174" s="137">
        <f>SUMIFS('Production schedule'!$Y$438:$Y$545,'Production schedule'!$C$438:$C$545,25)</f>
        <v/>
      </c>
      <c r="F174" s="137">
        <f>SUMIFS('Production schedule'!$Z$438:$Z$545,'Production schedule'!$C$438:$C$545,25)</f>
        <v/>
      </c>
      <c r="G174" s="137">
        <f>('Production schedule'!AJ462)*'Responsibilities'!$C$6+('Production schedule'!AJ498)*'Responsibilities'!$C$7+('Production schedule'!AJ534)*'Responsibilities'!$C$8</f>
        <v/>
      </c>
      <c r="H174" s="137">
        <f>('Production schedule'!AI462)*'Responsibilities'!$D$6+('Production schedule'!AI498)*'Responsibilities'!$D$7+('Production schedule'!AI534)*'Responsibilities'!$D$8</f>
        <v/>
      </c>
      <c r="I174" s="137">
        <f>SUM('Assumptions'!AB58:AB65)</f>
        <v/>
      </c>
      <c r="J174" s="137">
        <f>('Production schedule'!E462*(IF('Sites'!D6="Annual staff",SUM('Assumptions'!AB112,'Assumptions'!AB114),0)+SUM('Assumptions'!AB113,'Assumptions'!AB115:AB116)))*'Responsibilities'!$E$6+('Production schedule'!E498*(IF('Sites'!D7="Annual staff",SUM('Assumptions'!AB117,'Assumptions'!AB119),0)+SUM('Assumptions'!AB118,'Assumptions'!AB120:AB121)))*'Responsibilities'!$E$7+('Production schedule'!E534*(IF('Sites'!D8="Annual staff",SUM('Assumptions'!AB122,'Assumptions'!AB124),0)+SUM('Assumptions'!AB123,'Assumptions'!AB125:AB126)))*'Responsibilities'!$E$8</f>
        <v/>
      </c>
      <c r="K174" s="137">
        <f>(IF(AND('Production schedule'!E462=1,25=MAX(('Sites'!F6),25),ISNUMBER('Sites'!Q6)),'Sites'!Q6*'Assumptions'!$B$44,0))*'Responsibilities'!$F$6+(IF(AND('Production schedule'!E498=1,25=MAX(('Sites'!F7+'Cases'!G10),25),ISNUMBER('Sites'!Q7)),'Sites'!Q7*'Assumptions'!$B$44,0))*'Responsibilities'!$F$7+(IF(AND('Production schedule'!E534=1,25=MAX(('Sites'!F8+'Cases'!G10),25),ISNUMBER('Sites'!Q8)),'Sites'!Q8*'Assumptions'!$B$44,0))*'Responsibilities'!$F$8</f>
        <v/>
      </c>
      <c r="L174" s="137">
        <f>SUM('Costs'!E36)*'Costs'!F36/12*'Responsibilities'!$C$12+SUM('Costs'!E37)*'Costs'!F37/12*'Responsibilities'!$C$13+SUM('Costs'!E38)*'Costs'!F38/12*'Responsibilities'!$C$14+SUM('Costs'!E39)*'Costs'!F39/12*'Responsibilities'!$C$15+SUM('Costs'!E40)*'Costs'!F40/12*'Responsibilities'!$C$16+BZ174</f>
        <v/>
      </c>
      <c r="M174" s="137">
        <f>('Sites'!E6*'Capital'!E6*(IF(25='Capital'!G6,'Capital'!F6,0)+IF(25='Capital'!H6,1-'Capital'!F6,0)))*'Responsibilities'!$G$6+('Sites'!E7*'Capital'!E7*(IF(25='Capital'!G7+'Cases'!G10,'Capital'!F7,0)+IF(25='Capital'!H7+'Cases'!G10,1-'Capital'!F7,0)))*'Responsibilities'!$G$7+('Sites'!E8*'Cases'!F10*'Capital'!E8*(IF(25='Capital'!G8+'Cases'!G10,'Capital'!F8,0)+IF(25='Capital'!H8+'Cases'!G10,1-'Capital'!F8,0)))*'Responsibilities'!$G$8</f>
        <v/>
      </c>
      <c r="N174" s="137">
        <f>SUM(G174:M174)</f>
        <v/>
      </c>
      <c r="O174" s="137">
        <f>SUMIFS(FundingTranches[Secured amount],FundingTranches[Instrument],"Grant",FundingTranches[Secured month],25)</f>
        <v/>
      </c>
      <c r="P174" s="137">
        <f>SUMIFS(FundingTranches[Lower sales possible],FundingTranches[Instrument],"Grant",FundingTranches[Scenario month],25-'Cases'!$D$10)</f>
        <v/>
      </c>
      <c r="Q174" s="137">
        <f>SUMIFS(FundingTranches[Secured amount],FundingTranches[Instrument],"Loan",FundingTranches[Secured month],25)</f>
        <v/>
      </c>
      <c r="R174" s="137">
        <f>SUMIFS(FundingTranches[Lower sales possible],FundingTranches[Instrument],"Loan",FundingTranches[Scenario month],25-'Cases'!$D$10)</f>
        <v/>
      </c>
      <c r="S174" s="137">
        <f>IF(25&lt;='Assumptions'!$B$34,0,SUMIFS('Production schedule'!$AL$438:$AL$545,'Production schedule'!$C$438:$C$545,25-'Assumptions'!$B$34))</f>
        <v/>
      </c>
      <c r="T174" s="137">
        <f>'Assumptions'!AB70</f>
        <v/>
      </c>
      <c r="U174" s="137">
        <f>'Assumptions'!AB78</f>
        <v/>
      </c>
      <c r="V174" s="137">
        <f>SUM(O174:U174)</f>
        <v/>
      </c>
      <c r="W174" s="137">
        <f>AA173</f>
        <v/>
      </c>
      <c r="X174" s="137">
        <f>SUM(Q174:R174)</f>
        <v/>
      </c>
      <c r="Y174" s="137">
        <f>SUM(W174,X174)*'Assumptions'!$B$39/12</f>
        <v/>
      </c>
      <c r="Z174" s="137">
        <f>IF(SUM(W174,X174)&gt;0,MIN(SUM(W174,X174),MAX(0,BP174-Y174)),0)</f>
        <v/>
      </c>
      <c r="AA174" s="137">
        <f>SUM(W174,X174)-Z174</f>
        <v/>
      </c>
      <c r="AB174" s="137">
        <f>SUM(Y174:Z174)</f>
        <v/>
      </c>
      <c r="AC174" s="137">
        <f>'Assumptions'!AB72</f>
        <v/>
      </c>
      <c r="AD174" s="137">
        <f>'Assumptions'!AB73</f>
        <v/>
      </c>
      <c r="AE174" s="137">
        <f>IF(X174&gt;0,SUM('Assumptions'!$B$42),0)</f>
        <v/>
      </c>
      <c r="AF174" s="137">
        <f>'Assumptions'!AB71</f>
        <v/>
      </c>
      <c r="AG174" s="137">
        <f>'Assumptions'!AB74</f>
        <v/>
      </c>
      <c r="AH174" s="137">
        <f>'Assumptions'!AB75</f>
        <v/>
      </c>
      <c r="AI174" s="137">
        <f>'Assumptions'!AB77</f>
        <v/>
      </c>
      <c r="AJ174" s="137">
        <f>V174-N174-SUM(AB174:AI174)</f>
        <v/>
      </c>
      <c r="AK174" s="137">
        <f>SUM(AJ150:AJ174)</f>
        <v/>
      </c>
      <c r="AL174" s="137">
        <f>IF(ISNUMBER('Assumptions'!$B$10),'Assumptions'!$B$10+AK174,"")</f>
        <v/>
      </c>
      <c r="AM174" s="137">
        <f>SUM(O174,Q174,T174)-N174-SUM(AC174:AI174)+IF('Funding'!$N$11=0,AE174,0)-IF('Funding'!$N$11&gt;0,AB174,0)</f>
        <v/>
      </c>
      <c r="AN174" s="137">
        <f>SUM(AM150:AM174)</f>
        <v/>
      </c>
      <c r="AO174" s="137">
        <f>IF(ISNUMBER('Assumptions'!$B$10),'Assumptions'!$B$10+AN174,"")</f>
        <v/>
      </c>
      <c r="AP174" s="137">
        <f>('Production schedule'!AK462)*'Responsibilities'!$C$6+('Production schedule'!AK498)*'Responsibilities'!$C$7+('Production schedule'!AK534)*'Responsibilities'!$C$8</f>
        <v/>
      </c>
      <c r="AQ174" s="137">
        <f>SUMIFS('Production schedule'!$AL$438:$AL$545,'Production schedule'!$C$438:$C$545,25)</f>
        <v/>
      </c>
      <c r="AR174" s="137">
        <f>IF(ISNUMBER('Assumptions'!AB76),'Assumptions'!AB76,SUM(O174:P174))</f>
        <v/>
      </c>
      <c r="AS174" s="137">
        <f>IF(ISNUMBER('Assumptions'!$B$13),MIN('Assumptions'!$B$13/'Assumptions'!$B$18/12,MAX(0,'Assumptions'!$B$13-(25-1)*'Assumptions'!$B$13/'Assumptions'!$B$18/12)),0)+IF(AND('Sites'!E6=1,25&gt;=('Sites'!F6),25&lt;('Sites'!F6)+'Assumptions'!$B$18*12),'Capital'!E6/'Assumptions'!$B$18/12,0)+IF(AND('Sites'!E7=1,25&gt;=('Sites'!F7+'Cases'!G10),25&lt;('Sites'!F7+'Cases'!G10)+'Assumptions'!$B$18*12),'Capital'!E7/'Assumptions'!$B$18/12,0)+IF(AND('Sites'!E8*'Cases'!F10=1,25&gt;=('Sites'!F8+'Cases'!G10),25&lt;('Sites'!F8+'Cases'!G10)+'Assumptions'!$B$18*12),'Capital'!E8/'Assumptions'!$B$18/12,0)</f>
        <v/>
      </c>
      <c r="AT174" s="137">
        <f>SUM(AQ174,AR174,U174)-AP174-SUM(H174:L174)-AS174-SUM(Y174,AD174,AE174,AH174)</f>
        <v/>
      </c>
      <c r="AU174" s="137">
        <f>IF(ISNUMBER('Assumptions'!$B$19),MAX(0,SUM(AT174:AT174))*'Assumptions'!$B$19-0,"")</f>
        <v/>
      </c>
      <c r="AV174" s="137">
        <f>IF(ISNUMBER(AU174),AT174-AU174,"")</f>
        <v/>
      </c>
      <c r="AW174" s="137">
        <f>IF(ISNUMBER('Assumptions'!$B$11),'Assumptions'!$B$11+SUM(AQ150:AQ174)-SUM(S150:S174)-SUM(T150:T174),"")</f>
        <v/>
      </c>
      <c r="AX174" s="137">
        <f>IF(ISNUMBER('Assumptions'!$B$12),'Assumptions'!$B$12+SUM(G150:G174)-SUM(AP150:AP174),"")</f>
        <v/>
      </c>
      <c r="AY174" s="137">
        <f>IF(ISNUMBER('Assumptions'!$B$13),'Assumptions'!$B$13+SUM(M150:M174)-SUM(AS150:AS174),"")</f>
        <v/>
      </c>
      <c r="AZ174" s="137">
        <f>IF(ISNUMBER('Assumptions'!$B$14),'Assumptions'!$B$14+-SUM(AF150:AF174),"")</f>
        <v/>
      </c>
      <c r="BA174" s="137">
        <f>IF(ISNUMBER('Assumptions'!$B$15),'Assumptions'!$B$15+SUM(O150:O174)+SUM(P150:P174)-SUM(AR150:AR174),"")</f>
        <v/>
      </c>
      <c r="BB174" s="137">
        <f>IF(ISNUMBER('Assumptions'!$B$16),'Assumptions'!$B$16+-SUM(AC150:AC174),"")</f>
        <v/>
      </c>
      <c r="BC174" s="137">
        <f>IF(AND(ISNUMBER('Assumptions'!$B$21),ISNUMBER('Assumptions'!$B$19)),'Assumptions'!$B$21+SUM(AU150:AU174)-SUM(AG150:AG174),"")</f>
        <v/>
      </c>
      <c r="BD174" s="137">
        <f>IF(ISNUMBER('Assumptions'!$B$20),'Assumptions'!$B$20+-SUM(AI150:AI174),"")</f>
        <v/>
      </c>
      <c r="BE174" s="137">
        <f>IF(AND(ISNUMBER('Assumptions'!$B$17),COUNT(AV150:AV174)=25),'Assumptions'!$B$17+SUM(AV150:AV174),"")</f>
        <v/>
      </c>
      <c r="BF174" s="137">
        <f>IF(COUNT(AL174,AW174:AY174)=4,SUM(AL174,AW174:AY174),"")</f>
        <v/>
      </c>
      <c r="BG174" s="137">
        <f>IF(COUNT(AZ174:BD174)=5,SUM(AZ174:BD174,AA174),"")</f>
        <v/>
      </c>
      <c r="BH174" s="137">
        <f>IF(COUNT(BF174,BG174,BE174)=3,BF174-BG174-BE174,"")</f>
        <v/>
      </c>
      <c r="BI174" s="137">
        <f>SUM(W174,X174)-Z174-AA174</f>
        <v/>
      </c>
      <c r="BJ174" s="137">
        <f>8-COUNT('Assumptions'!AB58:AB65)+COUNTBLANK('NM Play'!B33:B34)+'Costs'!E44+IF(AND('Sites'!E6=1,('Sites'!F6)&lt;=36,'Sites'!G6&gt;=25),IF(ISNUMBER('Sites'!Q6),0,1)+'Capital'!I6+COUNTBLANK('Sites'!R6)+IF('Sites'!D6="NM crew",COUNTBLANK('NM Play'!B25)+1,5-COUNT('Assumptions'!AB112:AB116)),0)+IF(AND('Sites'!E7=1,('Sites'!F7+'Cases'!G10)&lt;=36,'Sites'!G7&gt;=25),IF(ISNUMBER('Sites'!Q7),0,1)+'Capital'!I7+COUNTBLANK('Sites'!R7)+IF('Sites'!D7="NM crew",COUNTBLANK('NM Play'!B25)+1,5-COUNT('Assumptions'!AB117:AB121)),0)+IF(AND('Sites'!E8*'Cases'!F10=1,('Sites'!F8+'Cases'!G10)&lt;=36,'Sites'!G8&gt;=25),IF(ISNUMBER('Sites'!Q8),0,1)+'Capital'!I8+COUNTBLANK('Sites'!R8)+IF('Sites'!D8="NM crew",COUNTBLANK('NM Play'!B25)+1,5-COUNT('Assumptions'!AB122:AB126)),0)+IF(AND('Cases'!C10&gt;0,NOT(ISNUMBER('Assumptions'!B42))),1,0)+'Responsibilities'!$B$39</f>
        <v/>
      </c>
      <c r="BK174" s="137">
        <f>'Assumptions'!$B$50+'NM Play'!$B$83+'Funding'!$F$20+SUMIFS('Production schedule'!$AN$438:$AN$545,'Production schedule'!$C$438:$C$545,25)+IF(OR('Cases'!E10&lt;0,'Cases'!E10&gt;1,'Cases'!C10&lt;0,'Cases'!D10&lt;0,ABS(SUM('Sites'!S6:S8)-1)&gt;0.0001,MIN('Capital'!F6:F8)&lt;0,MAX('Capital'!F6:F8)&gt;1,MIN(AX174,AZ174,BB174,BA174)&lt;-0.01),1,0)+'Responsibilities'!$B$40</f>
        <v/>
      </c>
      <c r="BL174" s="137">
        <f>SUMIFS('Production schedule'!$T$438:$T$545,'Production schedule'!$C$438:$C$545,25)</f>
        <v/>
      </c>
      <c r="BM174" s="137">
        <f>D174*'NM Play'!$B$38</f>
        <v/>
      </c>
      <c r="BN174" s="137">
        <f>SUMIFS('Production schedule'!$AM$438:$AM$545,'Production schedule'!$C$438:$C$545,25)</f>
        <v/>
      </c>
      <c r="BO174" s="137">
        <f>AK174-AK173-AJ174</f>
        <v/>
      </c>
      <c r="BP174" s="137">
        <f>IF(AND('Assumptions'!$B$39&gt;=0,'Assumptions'!$B$40&gt;0),-PMT('Assumptions'!$B$39/12,'Assumptions'!$B$40*12,IF('Funding'!$N$11&gt;0,'Funding'!$N$11,'Funding'!$V$11)),"")</f>
        <v/>
      </c>
      <c r="BQ174">
        <f>('Production schedule'!AJ462)*(1-'Responsibilities'!$C$6)+('Production schedule'!AJ498)*(1-'Responsibilities'!$C$7)+('Production schedule'!AJ534)*(1-'Responsibilities'!$C$8)</f>
        <v/>
      </c>
      <c r="BR174">
        <f>('Production schedule'!AI462)*(1-'Responsibilities'!$D$6)+('Production schedule'!AI498)*(1-'Responsibilities'!$D$7)+('Production schedule'!AI534)*(1-'Responsibilities'!$D$8)</f>
        <v/>
      </c>
      <c r="BS174">
        <f>('Production schedule'!E462*(IF('Sites'!D6="Annual staff",SUM('Assumptions'!AB112,'Assumptions'!AB114),0)+SUM('Assumptions'!AB113,'Assumptions'!AB115:AB116)))*(1-'Responsibilities'!$E$6)+('Production schedule'!E498*(IF('Sites'!D7="Annual staff",SUM('Assumptions'!AB117,'Assumptions'!AB119),0)+SUM('Assumptions'!AB118,'Assumptions'!AB120:AB121)))*(1-'Responsibilities'!$E$7)+('Production schedule'!E534*(IF('Sites'!D8="Annual staff",SUM('Assumptions'!AB122,'Assumptions'!AB124),0)+SUM('Assumptions'!AB123,'Assumptions'!AB125:AB126)))*(1-'Responsibilities'!$E$8)</f>
        <v/>
      </c>
      <c r="BT174">
        <f>(IF(AND('Production schedule'!E462=1,25=MAX(('Sites'!F6),25),ISNUMBER('Sites'!Q6)),'Sites'!Q6*'Assumptions'!$B$44,0))*(1-'Responsibilities'!$F$6)+(IF(AND('Production schedule'!E498=1,25=MAX(('Sites'!F7+'Cases'!G10),25),ISNUMBER('Sites'!Q7)),'Sites'!Q7*'Assumptions'!$B$44,0))*(1-'Responsibilities'!$F$7)+(IF(AND('Production schedule'!E534=1,25=MAX(('Sites'!F8+'Cases'!G10),25),ISNUMBER('Sites'!Q8)),'Sites'!Q8*'Assumptions'!$B$44,0))*(1-'Responsibilities'!$F$8)</f>
        <v/>
      </c>
      <c r="BU174">
        <f>SUM('Costs'!E36)*'Costs'!F36/12*(1-'Responsibilities'!$C$12)+SUM('Costs'!E37)*'Costs'!F37/12*(1-'Responsibilities'!$C$13)+SUM('Costs'!E38)*'Costs'!F38/12*(1-'Responsibilities'!$C$14)+SUM('Costs'!E39)*'Costs'!F39/12*(1-'Responsibilities'!$C$15)+SUM('Costs'!E40)*'Costs'!F40/12*(1-'Responsibilities'!$C$16)</f>
        <v/>
      </c>
      <c r="BV174">
        <f>('Sites'!E6*'Capital'!E6*(IF(25='Capital'!G6,'Capital'!F6,0)+IF(25='Capital'!H6,1-'Capital'!F6,0)))*(1-'Responsibilities'!$G$6)+('Sites'!E7*'Capital'!E7*(IF(25='Capital'!G7+'Cases'!G10,'Capital'!F7,0)+IF(25='Capital'!H7+'Cases'!G10,1-'Capital'!F7,0)))*(1-'Responsibilities'!$G$7)+('Sites'!E8*'Cases'!F10*'Capital'!E8*(IF(25='Capital'!G8+'Cases'!G10,'Capital'!F8,0)+IF(25='Capital'!H8+'Cases'!G10,1-'Capital'!F8,0)))*(1-'Responsibilities'!$G$8)</f>
        <v/>
      </c>
      <c r="BW174">
        <f>SUM(BQ174:BV174)</f>
        <v/>
      </c>
      <c r="BX174">
        <f>N174+BW174</f>
        <v/>
      </c>
      <c r="BY174">
        <f>BX174-(('Production schedule'!AJ462)*'Responsibilities'!$C$6+('Production schedule'!AJ498)*'Responsibilities'!$C$7+('Production schedule'!AJ534)*'Responsibilities'!$C$8+('Production schedule'!AJ462)*(1-'Responsibilities'!$C$6)+('Production schedule'!AJ498)*(1-'Responsibilities'!$C$7)+('Production schedule'!AJ534)*(1-'Responsibilities'!$C$8)+('Production schedule'!AI462)*'Responsibilities'!$D$6+('Production schedule'!AI498)*'Responsibilities'!$D$7+('Production schedule'!AI534)*'Responsibilities'!$D$8+('Production schedule'!AI462)*(1-'Responsibilities'!$D$6)+('Production schedule'!AI498)*(1-'Responsibilities'!$D$7)+('Production schedule'!AI534)*(1-'Responsibilities'!$D$8)+('Production schedule'!E462*(IF('Sites'!D6="Annual staff",SUM('Assumptions'!AB112,'Assumptions'!AB114),0)+SUM('Assumptions'!AB113,'Assumptions'!AB115:AB116)))*'Responsibilities'!$E$6+('Production schedule'!E498*(IF('Sites'!D7="Annual staff",SUM('Assumptions'!AB117,'Assumptions'!AB119),0)+SUM('Assumptions'!AB118,'Assumptions'!AB120:AB121)))*'Responsibilities'!$E$7+('Production schedule'!E534*(IF('Sites'!D8="Annual staff",SUM('Assumptions'!AB122,'Assumptions'!AB124),0)+SUM('Assumptions'!AB123,'Assumptions'!AB125:AB126)))*'Responsibilities'!$E$8+('Production schedule'!E462*(IF('Sites'!D6="Annual staff",SUM('Assumptions'!AB112,'Assumptions'!AB114),0)+SUM('Assumptions'!AB113,'Assumptions'!AB115:AB116)))*(1-'Responsibilities'!$E$6)+('Production schedule'!E498*(IF('Sites'!D7="Annual staff",SUM('Assumptions'!AB117,'Assumptions'!AB119),0)+SUM('Assumptions'!AB118,'Assumptions'!AB120:AB121)))*(1-'Responsibilities'!$E$7)+('Production schedule'!E534*(IF('Sites'!D8="Annual staff",SUM('Assumptions'!AB122,'Assumptions'!AB124),0)+SUM('Assumptions'!AB123,'Assumptions'!AB125:AB126)))*(1-'Responsibilities'!$E$8)+(IF(AND('Production schedule'!E462=1,25=MAX(('Sites'!F6),25),ISNUMBER('Sites'!Q6)),'Sites'!Q6*'Assumptions'!$B$44,0))*'Responsibilities'!$F$6+(IF(AND('Production schedule'!E498=1,25=MAX(('Sites'!F7+'Cases'!G10),25),ISNUMBER('Sites'!Q7)),'Sites'!Q7*'Assumptions'!$B$44,0))*'Responsibilities'!$F$7+(IF(AND('Production schedule'!E534=1,25=MAX(('Sites'!F8+'Cases'!G10),25),ISNUMBER('Sites'!Q8)),'Sites'!Q8*'Assumptions'!$B$44,0))*'Responsibilities'!$F$8+(IF(AND('Production schedule'!E462=1,25=MAX(('Sites'!F6),25),ISNUMBER('Sites'!Q6)),'Sites'!Q6*'Assumptions'!$B$44,0))*(1-'Responsibilities'!$F$6)+(IF(AND('Production schedule'!E498=1,25=MAX(('Sites'!F7+'Cases'!G10),25),ISNUMBER('Sites'!Q7)),'Sites'!Q7*'Assumptions'!$B$44,0))*(1-'Responsibilities'!$F$7)+(IF(AND('Production schedule'!E534=1,25=MAX(('Sites'!F8+'Cases'!G10),25),ISNUMBER('Sites'!Q8)),'Sites'!Q8*'Assumptions'!$B$44,0))*(1-'Responsibilities'!$F$8)+('Sites'!E6*'Capital'!E6*(IF(25='Capital'!G6,'Capital'!F6,0)+IF(25='Capital'!H6,1-'Capital'!F6,0)))*'Responsibilities'!$G$6+('Sites'!E7*'Capital'!E7*(IF(25='Capital'!G7+'Cases'!G10,'Capital'!F7,0)+IF(25='Capital'!H7+'Cases'!G10,1-'Capital'!F7,0)))*'Responsibilities'!$G$7+('Sites'!E8*'Cases'!F10*'Capital'!E8*(IF(25='Capital'!G8+'Cases'!G10,'Capital'!F8,0)+IF(25='Capital'!H8+'Cases'!G10,1-'Capital'!F8,0)))*'Responsibilities'!$G$8+('Sites'!E6*'Capital'!E6*(IF(25='Capital'!G6,'Capital'!F6,0)+IF(25='Capital'!H6,1-'Capital'!F6,0)))*(1-'Responsibilities'!$G$6)+('Sites'!E7*'Capital'!E7*(IF(25='Capital'!G7+'Cases'!G10,'Capital'!F7,0)+IF(25='Capital'!H7+'Cases'!G10,1-'Capital'!F7,0)))*(1-'Responsibilities'!$G$7)+('Sites'!E8*'Cases'!F10*'Capital'!E8*(IF(25='Capital'!G8+'Cases'!G10,'Capital'!F8,0)+IF(25='Capital'!H8+'Cases'!G10,1-'Capital'!F8,0)))*(1-'Responsibilities'!$G$8)+I174+SUMPRODUCT('Costs'!$E$36:$E$40,'Costs'!$F$36:$F$40)/12+BZ174)</f>
        <v/>
      </c>
      <c r="BZ174">
        <f>SUMIFS('Responsibilities'!$B$31:$B$35,'Responsibilities'!$C$31:$C$35,25,'Responsibilities'!$D$31:$D$35,"Yes")</f>
        <v/>
      </c>
    </row>
    <row r="175" ht="28" customHeight="1">
      <c r="A175" s="4" t="inlineStr">
        <is>
          <t>Lower sales</t>
        </is>
      </c>
      <c r="B175" s="4" t="n">
        <v>26</v>
      </c>
      <c r="C175" s="4">
        <f>ROUNDUP(B175/12,0)</f>
        <v/>
      </c>
      <c r="D175" s="137">
        <f>SUMIFS('Production schedule'!$N$438:$N$545,'Production schedule'!$C$438:$C$545,26)</f>
        <v/>
      </c>
      <c r="E175" s="137">
        <f>SUMIFS('Production schedule'!$Y$438:$Y$545,'Production schedule'!$C$438:$C$545,26)</f>
        <v/>
      </c>
      <c r="F175" s="137">
        <f>SUMIFS('Production schedule'!$Z$438:$Z$545,'Production schedule'!$C$438:$C$545,26)</f>
        <v/>
      </c>
      <c r="G175" s="137">
        <f>('Production schedule'!AJ463)*'Responsibilities'!$C$6+('Production schedule'!AJ499)*'Responsibilities'!$C$7+('Production schedule'!AJ535)*'Responsibilities'!$C$8</f>
        <v/>
      </c>
      <c r="H175" s="137">
        <f>('Production schedule'!AI463)*'Responsibilities'!$D$6+('Production schedule'!AI499)*'Responsibilities'!$D$7+('Production schedule'!AI535)*'Responsibilities'!$D$8</f>
        <v/>
      </c>
      <c r="I175" s="137">
        <f>SUM('Assumptions'!AC58:AC65)</f>
        <v/>
      </c>
      <c r="J175" s="137">
        <f>('Production schedule'!E463*(IF('Sites'!D6="Annual staff",SUM('Assumptions'!AC112,'Assumptions'!AC114),0)+SUM('Assumptions'!AC113,'Assumptions'!AC115:AC116)))*'Responsibilities'!$E$6+('Production schedule'!E499*(IF('Sites'!D7="Annual staff",SUM('Assumptions'!AC117,'Assumptions'!AC119),0)+SUM('Assumptions'!AC118,'Assumptions'!AC120:AC121)))*'Responsibilities'!$E$7+('Production schedule'!E535*(IF('Sites'!D8="Annual staff",SUM('Assumptions'!AC122,'Assumptions'!AC124),0)+SUM('Assumptions'!AC123,'Assumptions'!AC125:AC126)))*'Responsibilities'!$E$8</f>
        <v/>
      </c>
      <c r="K175" s="137">
        <f>(IF(AND('Production schedule'!E463=1,26=MAX(('Sites'!F6),25),ISNUMBER('Sites'!Q6)),'Sites'!Q6*'Assumptions'!$B$44,0))*'Responsibilities'!$F$6+(IF(AND('Production schedule'!E499=1,26=MAX(('Sites'!F7+'Cases'!G10),25),ISNUMBER('Sites'!Q7)),'Sites'!Q7*'Assumptions'!$B$44,0))*'Responsibilities'!$F$7+(IF(AND('Production schedule'!E535=1,26=MAX(('Sites'!F8+'Cases'!G10),25),ISNUMBER('Sites'!Q8)),'Sites'!Q8*'Assumptions'!$B$44,0))*'Responsibilities'!$F$8</f>
        <v/>
      </c>
      <c r="L175" s="137">
        <f>SUM('Costs'!E36)*'Costs'!F36/12*'Responsibilities'!$C$12+SUM('Costs'!E37)*'Costs'!F37/12*'Responsibilities'!$C$13+SUM('Costs'!E38)*'Costs'!F38/12*'Responsibilities'!$C$14+SUM('Costs'!E39)*'Costs'!F39/12*'Responsibilities'!$C$15+SUM('Costs'!E40)*'Costs'!F40/12*'Responsibilities'!$C$16+BZ175</f>
        <v/>
      </c>
      <c r="M175" s="137">
        <f>('Sites'!E6*'Capital'!E6*(IF(26='Capital'!G6,'Capital'!F6,0)+IF(26='Capital'!H6,1-'Capital'!F6,0)))*'Responsibilities'!$G$6+('Sites'!E7*'Capital'!E7*(IF(26='Capital'!G7+'Cases'!G10,'Capital'!F7,0)+IF(26='Capital'!H7+'Cases'!G10,1-'Capital'!F7,0)))*'Responsibilities'!$G$7+('Sites'!E8*'Cases'!F10*'Capital'!E8*(IF(26='Capital'!G8+'Cases'!G10,'Capital'!F8,0)+IF(26='Capital'!H8+'Cases'!G10,1-'Capital'!F8,0)))*'Responsibilities'!$G$8</f>
        <v/>
      </c>
      <c r="N175" s="137">
        <f>SUM(G175:M175)</f>
        <v/>
      </c>
      <c r="O175" s="137">
        <f>SUMIFS(FundingTranches[Secured amount],FundingTranches[Instrument],"Grant",FundingTranches[Secured month],26)</f>
        <v/>
      </c>
      <c r="P175" s="137">
        <f>SUMIFS(FundingTranches[Lower sales possible],FundingTranches[Instrument],"Grant",FundingTranches[Scenario month],26-'Cases'!$D$10)</f>
        <v/>
      </c>
      <c r="Q175" s="137">
        <f>SUMIFS(FundingTranches[Secured amount],FundingTranches[Instrument],"Loan",FundingTranches[Secured month],26)</f>
        <v/>
      </c>
      <c r="R175" s="137">
        <f>SUMIFS(FundingTranches[Lower sales possible],FundingTranches[Instrument],"Loan",FundingTranches[Scenario month],26-'Cases'!$D$10)</f>
        <v/>
      </c>
      <c r="S175" s="137">
        <f>IF(26&lt;='Assumptions'!$B$34,0,SUMIFS('Production schedule'!$AL$438:$AL$545,'Production schedule'!$C$438:$C$545,26-'Assumptions'!$B$34))</f>
        <v/>
      </c>
      <c r="T175" s="137">
        <f>'Assumptions'!AC70</f>
        <v/>
      </c>
      <c r="U175" s="137">
        <f>'Assumptions'!AC78</f>
        <v/>
      </c>
      <c r="V175" s="137">
        <f>SUM(O175:U175)</f>
        <v/>
      </c>
      <c r="W175" s="137">
        <f>AA174</f>
        <v/>
      </c>
      <c r="X175" s="137">
        <f>SUM(Q175:R175)</f>
        <v/>
      </c>
      <c r="Y175" s="137">
        <f>SUM(W175,X175)*'Assumptions'!$B$39/12</f>
        <v/>
      </c>
      <c r="Z175" s="137">
        <f>IF(SUM(W175,X175)&gt;0,MIN(SUM(W175,X175),MAX(0,BP175-Y175)),0)</f>
        <v/>
      </c>
      <c r="AA175" s="137">
        <f>SUM(W175,X175)-Z175</f>
        <v/>
      </c>
      <c r="AB175" s="137">
        <f>SUM(Y175:Z175)</f>
        <v/>
      </c>
      <c r="AC175" s="137">
        <f>'Assumptions'!AC72</f>
        <v/>
      </c>
      <c r="AD175" s="137">
        <f>'Assumptions'!AC73</f>
        <v/>
      </c>
      <c r="AE175" s="137">
        <f>IF(X175&gt;0,SUM('Assumptions'!$B$42),0)</f>
        <v/>
      </c>
      <c r="AF175" s="137">
        <f>'Assumptions'!AC71</f>
        <v/>
      </c>
      <c r="AG175" s="137">
        <f>'Assumptions'!AC74</f>
        <v/>
      </c>
      <c r="AH175" s="137">
        <f>'Assumptions'!AC75</f>
        <v/>
      </c>
      <c r="AI175" s="137">
        <f>'Assumptions'!AC77</f>
        <v/>
      </c>
      <c r="AJ175" s="137">
        <f>V175-N175-SUM(AB175:AI175)</f>
        <v/>
      </c>
      <c r="AK175" s="137">
        <f>SUM(AJ150:AJ175)</f>
        <v/>
      </c>
      <c r="AL175" s="137">
        <f>IF(ISNUMBER('Assumptions'!$B$10),'Assumptions'!$B$10+AK175,"")</f>
        <v/>
      </c>
      <c r="AM175" s="137">
        <f>SUM(O175,Q175,T175)-N175-SUM(AC175:AI175)+IF('Funding'!$N$11=0,AE175,0)-IF('Funding'!$N$11&gt;0,AB175,0)</f>
        <v/>
      </c>
      <c r="AN175" s="137">
        <f>SUM(AM150:AM175)</f>
        <v/>
      </c>
      <c r="AO175" s="137">
        <f>IF(ISNUMBER('Assumptions'!$B$10),'Assumptions'!$B$10+AN175,"")</f>
        <v/>
      </c>
      <c r="AP175" s="137">
        <f>('Production schedule'!AK463)*'Responsibilities'!$C$6+('Production schedule'!AK499)*'Responsibilities'!$C$7+('Production schedule'!AK535)*'Responsibilities'!$C$8</f>
        <v/>
      </c>
      <c r="AQ175" s="137">
        <f>SUMIFS('Production schedule'!$AL$438:$AL$545,'Production schedule'!$C$438:$C$545,26)</f>
        <v/>
      </c>
      <c r="AR175" s="137">
        <f>IF(ISNUMBER('Assumptions'!AC76),'Assumptions'!AC76,SUM(O175:P175))</f>
        <v/>
      </c>
      <c r="AS175" s="137">
        <f>IF(ISNUMBER('Assumptions'!$B$13),MIN('Assumptions'!$B$13/'Assumptions'!$B$18/12,MAX(0,'Assumptions'!$B$13-(26-1)*'Assumptions'!$B$13/'Assumptions'!$B$18/12)),0)+IF(AND('Sites'!E6=1,26&gt;=('Sites'!F6),26&lt;('Sites'!F6)+'Assumptions'!$B$18*12),'Capital'!E6/'Assumptions'!$B$18/12,0)+IF(AND('Sites'!E7=1,26&gt;=('Sites'!F7+'Cases'!G10),26&lt;('Sites'!F7+'Cases'!G10)+'Assumptions'!$B$18*12),'Capital'!E7/'Assumptions'!$B$18/12,0)+IF(AND('Sites'!E8*'Cases'!F10=1,26&gt;=('Sites'!F8+'Cases'!G10),26&lt;('Sites'!F8+'Cases'!G10)+'Assumptions'!$B$18*12),'Capital'!E8/'Assumptions'!$B$18/12,0)</f>
        <v/>
      </c>
      <c r="AT175" s="137">
        <f>SUM(AQ175,AR175,U175)-AP175-SUM(H175:L175)-AS175-SUM(Y175,AD175,AE175,AH175)</f>
        <v/>
      </c>
      <c r="AU175" s="137">
        <f>IF(ISNUMBER('Assumptions'!$B$19),MAX(0,SUM(AT174:AT175))*'Assumptions'!$B$19-SUM(AU174:AU174),"")</f>
        <v/>
      </c>
      <c r="AV175" s="137">
        <f>IF(ISNUMBER(AU175),AT175-AU175,"")</f>
        <v/>
      </c>
      <c r="AW175" s="137">
        <f>IF(ISNUMBER('Assumptions'!$B$11),'Assumptions'!$B$11+SUM(AQ150:AQ175)-SUM(S150:S175)-SUM(T150:T175),"")</f>
        <v/>
      </c>
      <c r="AX175" s="137">
        <f>IF(ISNUMBER('Assumptions'!$B$12),'Assumptions'!$B$12+SUM(G150:G175)-SUM(AP150:AP175),"")</f>
        <v/>
      </c>
      <c r="AY175" s="137">
        <f>IF(ISNUMBER('Assumptions'!$B$13),'Assumptions'!$B$13+SUM(M150:M175)-SUM(AS150:AS175),"")</f>
        <v/>
      </c>
      <c r="AZ175" s="137">
        <f>IF(ISNUMBER('Assumptions'!$B$14),'Assumptions'!$B$14+-SUM(AF150:AF175),"")</f>
        <v/>
      </c>
      <c r="BA175" s="137">
        <f>IF(ISNUMBER('Assumptions'!$B$15),'Assumptions'!$B$15+SUM(O150:O175)+SUM(P150:P175)-SUM(AR150:AR175),"")</f>
        <v/>
      </c>
      <c r="BB175" s="137">
        <f>IF(ISNUMBER('Assumptions'!$B$16),'Assumptions'!$B$16+-SUM(AC150:AC175),"")</f>
        <v/>
      </c>
      <c r="BC175" s="137">
        <f>IF(AND(ISNUMBER('Assumptions'!$B$21),ISNUMBER('Assumptions'!$B$19)),'Assumptions'!$B$21+SUM(AU150:AU175)-SUM(AG150:AG175),"")</f>
        <v/>
      </c>
      <c r="BD175" s="137">
        <f>IF(ISNUMBER('Assumptions'!$B$20),'Assumptions'!$B$20+-SUM(AI150:AI175),"")</f>
        <v/>
      </c>
      <c r="BE175" s="137">
        <f>IF(AND(ISNUMBER('Assumptions'!$B$17),COUNT(AV150:AV175)=26),'Assumptions'!$B$17+SUM(AV150:AV175),"")</f>
        <v/>
      </c>
      <c r="BF175" s="137">
        <f>IF(COUNT(AL175,AW175:AY175)=4,SUM(AL175,AW175:AY175),"")</f>
        <v/>
      </c>
      <c r="BG175" s="137">
        <f>IF(COUNT(AZ175:BD175)=5,SUM(AZ175:BD175,AA175),"")</f>
        <v/>
      </c>
      <c r="BH175" s="137">
        <f>IF(COUNT(BF175,BG175,BE175)=3,BF175-BG175-BE175,"")</f>
        <v/>
      </c>
      <c r="BI175" s="137">
        <f>SUM(W175,X175)-Z175-AA175</f>
        <v/>
      </c>
      <c r="BJ175" s="137">
        <f>8-COUNT('Assumptions'!AC58:AC65)+COUNTBLANK('NM Play'!B33:B34)+'Costs'!E44+IF(AND('Sites'!E6=1,('Sites'!F6)&lt;=36,'Sites'!G6&gt;=25),IF(ISNUMBER('Sites'!Q6),0,1)+'Capital'!I6+COUNTBLANK('Sites'!R6)+IF('Sites'!D6="NM crew",COUNTBLANK('NM Play'!B25)+1,5-COUNT('Assumptions'!AC112:AC116)),0)+IF(AND('Sites'!E7=1,('Sites'!F7+'Cases'!G10)&lt;=36,'Sites'!G7&gt;=25),IF(ISNUMBER('Sites'!Q7),0,1)+'Capital'!I7+COUNTBLANK('Sites'!R7)+IF('Sites'!D7="NM crew",COUNTBLANK('NM Play'!B25)+1,5-COUNT('Assumptions'!AC117:AC121)),0)+IF(AND('Sites'!E8*'Cases'!F10=1,('Sites'!F8+'Cases'!G10)&lt;=36,'Sites'!G8&gt;=25),IF(ISNUMBER('Sites'!Q8),0,1)+'Capital'!I8+COUNTBLANK('Sites'!R8)+IF('Sites'!D8="NM crew",COUNTBLANK('NM Play'!B25)+1,5-COUNT('Assumptions'!AC122:AC126)),0)+IF(AND('Cases'!C10&gt;0,NOT(ISNUMBER('Assumptions'!B42))),1,0)+'Responsibilities'!$B$39</f>
        <v/>
      </c>
      <c r="BK175" s="137">
        <f>'Assumptions'!$B$50+'NM Play'!$B$83+'Funding'!$F$20+SUMIFS('Production schedule'!$AN$438:$AN$545,'Production schedule'!$C$438:$C$545,26)+IF(OR('Cases'!E10&lt;0,'Cases'!E10&gt;1,'Cases'!C10&lt;0,'Cases'!D10&lt;0,ABS(SUM('Sites'!S6:S8)-1)&gt;0.0001,MIN('Capital'!F6:F8)&lt;0,MAX('Capital'!F6:F8)&gt;1,MIN(AX175,AZ175,BB175,BA175)&lt;-0.01),1,0)+'Responsibilities'!$B$40</f>
        <v/>
      </c>
      <c r="BL175" s="137">
        <f>SUMIFS('Production schedule'!$T$438:$T$545,'Production schedule'!$C$438:$C$545,26)</f>
        <v/>
      </c>
      <c r="BM175" s="137">
        <f>D175*'NM Play'!$B$38</f>
        <v/>
      </c>
      <c r="BN175" s="137">
        <f>SUMIFS('Production schedule'!$AM$438:$AM$545,'Production schedule'!$C$438:$C$545,26)</f>
        <v/>
      </c>
      <c r="BO175" s="137">
        <f>AK175-AK174-AJ175</f>
        <v/>
      </c>
      <c r="BP175" s="137">
        <f>IF(AND('Assumptions'!$B$39&gt;=0,'Assumptions'!$B$40&gt;0),-PMT('Assumptions'!$B$39/12,'Assumptions'!$B$40*12,IF('Funding'!$N$11&gt;0,'Funding'!$N$11,'Funding'!$V$11)),"")</f>
        <v/>
      </c>
      <c r="BQ175">
        <f>('Production schedule'!AJ463)*(1-'Responsibilities'!$C$6)+('Production schedule'!AJ499)*(1-'Responsibilities'!$C$7)+('Production schedule'!AJ535)*(1-'Responsibilities'!$C$8)</f>
        <v/>
      </c>
      <c r="BR175">
        <f>('Production schedule'!AI463)*(1-'Responsibilities'!$D$6)+('Production schedule'!AI499)*(1-'Responsibilities'!$D$7)+('Production schedule'!AI535)*(1-'Responsibilities'!$D$8)</f>
        <v/>
      </c>
      <c r="BS175">
        <f>('Production schedule'!E463*(IF('Sites'!D6="Annual staff",SUM('Assumptions'!AC112,'Assumptions'!AC114),0)+SUM('Assumptions'!AC113,'Assumptions'!AC115:AC116)))*(1-'Responsibilities'!$E$6)+('Production schedule'!E499*(IF('Sites'!D7="Annual staff",SUM('Assumptions'!AC117,'Assumptions'!AC119),0)+SUM('Assumptions'!AC118,'Assumptions'!AC120:AC121)))*(1-'Responsibilities'!$E$7)+('Production schedule'!E535*(IF('Sites'!D8="Annual staff",SUM('Assumptions'!AC122,'Assumptions'!AC124),0)+SUM('Assumptions'!AC123,'Assumptions'!AC125:AC126)))*(1-'Responsibilities'!$E$8)</f>
        <v/>
      </c>
      <c r="BT175">
        <f>(IF(AND('Production schedule'!E463=1,26=MAX(('Sites'!F6),25),ISNUMBER('Sites'!Q6)),'Sites'!Q6*'Assumptions'!$B$44,0))*(1-'Responsibilities'!$F$6)+(IF(AND('Production schedule'!E499=1,26=MAX(('Sites'!F7+'Cases'!G10),25),ISNUMBER('Sites'!Q7)),'Sites'!Q7*'Assumptions'!$B$44,0))*(1-'Responsibilities'!$F$7)+(IF(AND('Production schedule'!E535=1,26=MAX(('Sites'!F8+'Cases'!G10),25),ISNUMBER('Sites'!Q8)),'Sites'!Q8*'Assumptions'!$B$44,0))*(1-'Responsibilities'!$F$8)</f>
        <v/>
      </c>
      <c r="BU175">
        <f>SUM('Costs'!E36)*'Costs'!F36/12*(1-'Responsibilities'!$C$12)+SUM('Costs'!E37)*'Costs'!F37/12*(1-'Responsibilities'!$C$13)+SUM('Costs'!E38)*'Costs'!F38/12*(1-'Responsibilities'!$C$14)+SUM('Costs'!E39)*'Costs'!F39/12*(1-'Responsibilities'!$C$15)+SUM('Costs'!E40)*'Costs'!F40/12*(1-'Responsibilities'!$C$16)</f>
        <v/>
      </c>
      <c r="BV175">
        <f>('Sites'!E6*'Capital'!E6*(IF(26='Capital'!G6,'Capital'!F6,0)+IF(26='Capital'!H6,1-'Capital'!F6,0)))*(1-'Responsibilities'!$G$6)+('Sites'!E7*'Capital'!E7*(IF(26='Capital'!G7+'Cases'!G10,'Capital'!F7,0)+IF(26='Capital'!H7+'Cases'!G10,1-'Capital'!F7,0)))*(1-'Responsibilities'!$G$7)+('Sites'!E8*'Cases'!F10*'Capital'!E8*(IF(26='Capital'!G8+'Cases'!G10,'Capital'!F8,0)+IF(26='Capital'!H8+'Cases'!G10,1-'Capital'!F8,0)))*(1-'Responsibilities'!$G$8)</f>
        <v/>
      </c>
      <c r="BW175">
        <f>SUM(BQ175:BV175)</f>
        <v/>
      </c>
      <c r="BX175">
        <f>N175+BW175</f>
        <v/>
      </c>
      <c r="BY175">
        <f>BX175-(('Production schedule'!AJ463)*'Responsibilities'!$C$6+('Production schedule'!AJ499)*'Responsibilities'!$C$7+('Production schedule'!AJ535)*'Responsibilities'!$C$8+('Production schedule'!AJ463)*(1-'Responsibilities'!$C$6)+('Production schedule'!AJ499)*(1-'Responsibilities'!$C$7)+('Production schedule'!AJ535)*(1-'Responsibilities'!$C$8)+('Production schedule'!AI463)*'Responsibilities'!$D$6+('Production schedule'!AI499)*'Responsibilities'!$D$7+('Production schedule'!AI535)*'Responsibilities'!$D$8+('Production schedule'!AI463)*(1-'Responsibilities'!$D$6)+('Production schedule'!AI499)*(1-'Responsibilities'!$D$7)+('Production schedule'!AI535)*(1-'Responsibilities'!$D$8)+('Production schedule'!E463*(IF('Sites'!D6="Annual staff",SUM('Assumptions'!AC112,'Assumptions'!AC114),0)+SUM('Assumptions'!AC113,'Assumptions'!AC115:AC116)))*'Responsibilities'!$E$6+('Production schedule'!E499*(IF('Sites'!D7="Annual staff",SUM('Assumptions'!AC117,'Assumptions'!AC119),0)+SUM('Assumptions'!AC118,'Assumptions'!AC120:AC121)))*'Responsibilities'!$E$7+('Production schedule'!E535*(IF('Sites'!D8="Annual staff",SUM('Assumptions'!AC122,'Assumptions'!AC124),0)+SUM('Assumptions'!AC123,'Assumptions'!AC125:AC126)))*'Responsibilities'!$E$8+('Production schedule'!E463*(IF('Sites'!D6="Annual staff",SUM('Assumptions'!AC112,'Assumptions'!AC114),0)+SUM('Assumptions'!AC113,'Assumptions'!AC115:AC116)))*(1-'Responsibilities'!$E$6)+('Production schedule'!E499*(IF('Sites'!D7="Annual staff",SUM('Assumptions'!AC117,'Assumptions'!AC119),0)+SUM('Assumptions'!AC118,'Assumptions'!AC120:AC121)))*(1-'Responsibilities'!$E$7)+('Production schedule'!E535*(IF('Sites'!D8="Annual staff",SUM('Assumptions'!AC122,'Assumptions'!AC124),0)+SUM('Assumptions'!AC123,'Assumptions'!AC125:AC126)))*(1-'Responsibilities'!$E$8)+(IF(AND('Production schedule'!E463=1,26=MAX(('Sites'!F6),25),ISNUMBER('Sites'!Q6)),'Sites'!Q6*'Assumptions'!$B$44,0))*'Responsibilities'!$F$6+(IF(AND('Production schedule'!E499=1,26=MAX(('Sites'!F7+'Cases'!G10),25),ISNUMBER('Sites'!Q7)),'Sites'!Q7*'Assumptions'!$B$44,0))*'Responsibilities'!$F$7+(IF(AND('Production schedule'!E535=1,26=MAX(('Sites'!F8+'Cases'!G10),25),ISNUMBER('Sites'!Q8)),'Sites'!Q8*'Assumptions'!$B$44,0))*'Responsibilities'!$F$8+(IF(AND('Production schedule'!E463=1,26=MAX(('Sites'!F6),25),ISNUMBER('Sites'!Q6)),'Sites'!Q6*'Assumptions'!$B$44,0))*(1-'Responsibilities'!$F$6)+(IF(AND('Production schedule'!E499=1,26=MAX(('Sites'!F7+'Cases'!G10),25),ISNUMBER('Sites'!Q7)),'Sites'!Q7*'Assumptions'!$B$44,0))*(1-'Responsibilities'!$F$7)+(IF(AND('Production schedule'!E535=1,26=MAX(('Sites'!F8+'Cases'!G10),25),ISNUMBER('Sites'!Q8)),'Sites'!Q8*'Assumptions'!$B$44,0))*(1-'Responsibilities'!$F$8)+('Sites'!E6*'Capital'!E6*(IF(26='Capital'!G6,'Capital'!F6,0)+IF(26='Capital'!H6,1-'Capital'!F6,0)))*'Responsibilities'!$G$6+('Sites'!E7*'Capital'!E7*(IF(26='Capital'!G7+'Cases'!G10,'Capital'!F7,0)+IF(26='Capital'!H7+'Cases'!G10,1-'Capital'!F7,0)))*'Responsibilities'!$G$7+('Sites'!E8*'Cases'!F10*'Capital'!E8*(IF(26='Capital'!G8+'Cases'!G10,'Capital'!F8,0)+IF(26='Capital'!H8+'Cases'!G10,1-'Capital'!F8,0)))*'Responsibilities'!$G$8+('Sites'!E6*'Capital'!E6*(IF(26='Capital'!G6,'Capital'!F6,0)+IF(26='Capital'!H6,1-'Capital'!F6,0)))*(1-'Responsibilities'!$G$6)+('Sites'!E7*'Capital'!E7*(IF(26='Capital'!G7+'Cases'!G10,'Capital'!F7,0)+IF(26='Capital'!H7+'Cases'!G10,1-'Capital'!F7,0)))*(1-'Responsibilities'!$G$7)+('Sites'!E8*'Cases'!F10*'Capital'!E8*(IF(26='Capital'!G8+'Cases'!G10,'Capital'!F8,0)+IF(26='Capital'!H8+'Cases'!G10,1-'Capital'!F8,0)))*(1-'Responsibilities'!$G$8)+I175+SUMPRODUCT('Costs'!$E$36:$E$40,'Costs'!$F$36:$F$40)/12+BZ175)</f>
        <v/>
      </c>
      <c r="BZ175">
        <f>SUMIFS('Responsibilities'!$B$31:$B$35,'Responsibilities'!$C$31:$C$35,26,'Responsibilities'!$D$31:$D$35,"Yes")</f>
        <v/>
      </c>
    </row>
    <row r="176" ht="28" customHeight="1">
      <c r="A176" s="4" t="inlineStr">
        <is>
          <t>Lower sales</t>
        </is>
      </c>
      <c r="B176" s="4" t="n">
        <v>27</v>
      </c>
      <c r="C176" s="4">
        <f>ROUNDUP(B176/12,0)</f>
        <v/>
      </c>
      <c r="D176" s="137">
        <f>SUMIFS('Production schedule'!$N$438:$N$545,'Production schedule'!$C$438:$C$545,27)</f>
        <v/>
      </c>
      <c r="E176" s="137">
        <f>SUMIFS('Production schedule'!$Y$438:$Y$545,'Production schedule'!$C$438:$C$545,27)</f>
        <v/>
      </c>
      <c r="F176" s="137">
        <f>SUMIFS('Production schedule'!$Z$438:$Z$545,'Production schedule'!$C$438:$C$545,27)</f>
        <v/>
      </c>
      <c r="G176" s="137">
        <f>('Production schedule'!AJ464)*'Responsibilities'!$C$6+('Production schedule'!AJ500)*'Responsibilities'!$C$7+('Production schedule'!AJ536)*'Responsibilities'!$C$8</f>
        <v/>
      </c>
      <c r="H176" s="137">
        <f>('Production schedule'!AI464)*'Responsibilities'!$D$6+('Production schedule'!AI500)*'Responsibilities'!$D$7+('Production schedule'!AI536)*'Responsibilities'!$D$8</f>
        <v/>
      </c>
      <c r="I176" s="137">
        <f>SUM('Assumptions'!AD58:AD65)</f>
        <v/>
      </c>
      <c r="J176" s="137">
        <f>('Production schedule'!E464*(IF('Sites'!D6="Annual staff",SUM('Assumptions'!AD112,'Assumptions'!AD114),0)+SUM('Assumptions'!AD113,'Assumptions'!AD115:AD116)))*'Responsibilities'!$E$6+('Production schedule'!E500*(IF('Sites'!D7="Annual staff",SUM('Assumptions'!AD117,'Assumptions'!AD119),0)+SUM('Assumptions'!AD118,'Assumptions'!AD120:AD121)))*'Responsibilities'!$E$7+('Production schedule'!E536*(IF('Sites'!D8="Annual staff",SUM('Assumptions'!AD122,'Assumptions'!AD124),0)+SUM('Assumptions'!AD123,'Assumptions'!AD125:AD126)))*'Responsibilities'!$E$8</f>
        <v/>
      </c>
      <c r="K176" s="137">
        <f>(IF(AND('Production schedule'!E464=1,27=MAX(('Sites'!F6),25),ISNUMBER('Sites'!Q6)),'Sites'!Q6*'Assumptions'!$B$44,0))*'Responsibilities'!$F$6+(IF(AND('Production schedule'!E500=1,27=MAX(('Sites'!F7+'Cases'!G10),25),ISNUMBER('Sites'!Q7)),'Sites'!Q7*'Assumptions'!$B$44,0))*'Responsibilities'!$F$7+(IF(AND('Production schedule'!E536=1,27=MAX(('Sites'!F8+'Cases'!G10),25),ISNUMBER('Sites'!Q8)),'Sites'!Q8*'Assumptions'!$B$44,0))*'Responsibilities'!$F$8</f>
        <v/>
      </c>
      <c r="L176" s="137">
        <f>SUM('Costs'!E36)*'Costs'!F36/12*'Responsibilities'!$C$12+SUM('Costs'!E37)*'Costs'!F37/12*'Responsibilities'!$C$13+SUM('Costs'!E38)*'Costs'!F38/12*'Responsibilities'!$C$14+SUM('Costs'!E39)*'Costs'!F39/12*'Responsibilities'!$C$15+SUM('Costs'!E40)*'Costs'!F40/12*'Responsibilities'!$C$16+BZ176</f>
        <v/>
      </c>
      <c r="M176" s="137">
        <f>('Sites'!E6*'Capital'!E6*(IF(27='Capital'!G6,'Capital'!F6,0)+IF(27='Capital'!H6,1-'Capital'!F6,0)))*'Responsibilities'!$G$6+('Sites'!E7*'Capital'!E7*(IF(27='Capital'!G7+'Cases'!G10,'Capital'!F7,0)+IF(27='Capital'!H7+'Cases'!G10,1-'Capital'!F7,0)))*'Responsibilities'!$G$7+('Sites'!E8*'Cases'!F10*'Capital'!E8*(IF(27='Capital'!G8+'Cases'!G10,'Capital'!F8,0)+IF(27='Capital'!H8+'Cases'!G10,1-'Capital'!F8,0)))*'Responsibilities'!$G$8</f>
        <v/>
      </c>
      <c r="N176" s="137">
        <f>SUM(G176:M176)</f>
        <v/>
      </c>
      <c r="O176" s="137">
        <f>SUMIFS(FundingTranches[Secured amount],FundingTranches[Instrument],"Grant",FundingTranches[Secured month],27)</f>
        <v/>
      </c>
      <c r="P176" s="137">
        <f>SUMIFS(FundingTranches[Lower sales possible],FundingTranches[Instrument],"Grant",FundingTranches[Scenario month],27-'Cases'!$D$10)</f>
        <v/>
      </c>
      <c r="Q176" s="137">
        <f>SUMIFS(FundingTranches[Secured amount],FundingTranches[Instrument],"Loan",FundingTranches[Secured month],27)</f>
        <v/>
      </c>
      <c r="R176" s="137">
        <f>SUMIFS(FundingTranches[Lower sales possible],FundingTranches[Instrument],"Loan",FundingTranches[Scenario month],27-'Cases'!$D$10)</f>
        <v/>
      </c>
      <c r="S176" s="137">
        <f>IF(27&lt;='Assumptions'!$B$34,0,SUMIFS('Production schedule'!$AL$438:$AL$545,'Production schedule'!$C$438:$C$545,27-'Assumptions'!$B$34))</f>
        <v/>
      </c>
      <c r="T176" s="137">
        <f>'Assumptions'!AD70</f>
        <v/>
      </c>
      <c r="U176" s="137">
        <f>'Assumptions'!AD78</f>
        <v/>
      </c>
      <c r="V176" s="137">
        <f>SUM(O176:U176)</f>
        <v/>
      </c>
      <c r="W176" s="137">
        <f>AA175</f>
        <v/>
      </c>
      <c r="X176" s="137">
        <f>SUM(Q176:R176)</f>
        <v/>
      </c>
      <c r="Y176" s="137">
        <f>SUM(W176,X176)*'Assumptions'!$B$39/12</f>
        <v/>
      </c>
      <c r="Z176" s="137">
        <f>IF(SUM(W176,X176)&gt;0,MIN(SUM(W176,X176),MAX(0,BP176-Y176)),0)</f>
        <v/>
      </c>
      <c r="AA176" s="137">
        <f>SUM(W176,X176)-Z176</f>
        <v/>
      </c>
      <c r="AB176" s="137">
        <f>SUM(Y176:Z176)</f>
        <v/>
      </c>
      <c r="AC176" s="137">
        <f>'Assumptions'!AD72</f>
        <v/>
      </c>
      <c r="AD176" s="137">
        <f>'Assumptions'!AD73</f>
        <v/>
      </c>
      <c r="AE176" s="137">
        <f>IF(X176&gt;0,SUM('Assumptions'!$B$42),0)</f>
        <v/>
      </c>
      <c r="AF176" s="137">
        <f>'Assumptions'!AD71</f>
        <v/>
      </c>
      <c r="AG176" s="137">
        <f>'Assumptions'!AD74</f>
        <v/>
      </c>
      <c r="AH176" s="137">
        <f>'Assumptions'!AD75</f>
        <v/>
      </c>
      <c r="AI176" s="137">
        <f>'Assumptions'!AD77</f>
        <v/>
      </c>
      <c r="AJ176" s="137">
        <f>V176-N176-SUM(AB176:AI176)</f>
        <v/>
      </c>
      <c r="AK176" s="137">
        <f>SUM(AJ150:AJ176)</f>
        <v/>
      </c>
      <c r="AL176" s="137">
        <f>IF(ISNUMBER('Assumptions'!$B$10),'Assumptions'!$B$10+AK176,"")</f>
        <v/>
      </c>
      <c r="AM176" s="137">
        <f>SUM(O176,Q176,T176)-N176-SUM(AC176:AI176)+IF('Funding'!$N$11=0,AE176,0)-IF('Funding'!$N$11&gt;0,AB176,0)</f>
        <v/>
      </c>
      <c r="AN176" s="137">
        <f>SUM(AM150:AM176)</f>
        <v/>
      </c>
      <c r="AO176" s="137">
        <f>IF(ISNUMBER('Assumptions'!$B$10),'Assumptions'!$B$10+AN176,"")</f>
        <v/>
      </c>
      <c r="AP176" s="137">
        <f>('Production schedule'!AK464)*'Responsibilities'!$C$6+('Production schedule'!AK500)*'Responsibilities'!$C$7+('Production schedule'!AK536)*'Responsibilities'!$C$8</f>
        <v/>
      </c>
      <c r="AQ176" s="137">
        <f>SUMIFS('Production schedule'!$AL$438:$AL$545,'Production schedule'!$C$438:$C$545,27)</f>
        <v/>
      </c>
      <c r="AR176" s="137">
        <f>IF(ISNUMBER('Assumptions'!AD76),'Assumptions'!AD76,SUM(O176:P176))</f>
        <v/>
      </c>
      <c r="AS176" s="137">
        <f>IF(ISNUMBER('Assumptions'!$B$13),MIN('Assumptions'!$B$13/'Assumptions'!$B$18/12,MAX(0,'Assumptions'!$B$13-(27-1)*'Assumptions'!$B$13/'Assumptions'!$B$18/12)),0)+IF(AND('Sites'!E6=1,27&gt;=('Sites'!F6),27&lt;('Sites'!F6)+'Assumptions'!$B$18*12),'Capital'!E6/'Assumptions'!$B$18/12,0)+IF(AND('Sites'!E7=1,27&gt;=('Sites'!F7+'Cases'!G10),27&lt;('Sites'!F7+'Cases'!G10)+'Assumptions'!$B$18*12),'Capital'!E7/'Assumptions'!$B$18/12,0)+IF(AND('Sites'!E8*'Cases'!F10=1,27&gt;=('Sites'!F8+'Cases'!G10),27&lt;('Sites'!F8+'Cases'!G10)+'Assumptions'!$B$18*12),'Capital'!E8/'Assumptions'!$B$18/12,0)</f>
        <v/>
      </c>
      <c r="AT176" s="137">
        <f>SUM(AQ176,AR176,U176)-AP176-SUM(H176:L176)-AS176-SUM(Y176,AD176,AE176,AH176)</f>
        <v/>
      </c>
      <c r="AU176" s="137">
        <f>IF(ISNUMBER('Assumptions'!$B$19),MAX(0,SUM(AT174:AT176))*'Assumptions'!$B$19-SUM(AU174:AU175),"")</f>
        <v/>
      </c>
      <c r="AV176" s="137">
        <f>IF(ISNUMBER(AU176),AT176-AU176,"")</f>
        <v/>
      </c>
      <c r="AW176" s="137">
        <f>IF(ISNUMBER('Assumptions'!$B$11),'Assumptions'!$B$11+SUM(AQ150:AQ176)-SUM(S150:S176)-SUM(T150:T176),"")</f>
        <v/>
      </c>
      <c r="AX176" s="137">
        <f>IF(ISNUMBER('Assumptions'!$B$12),'Assumptions'!$B$12+SUM(G150:G176)-SUM(AP150:AP176),"")</f>
        <v/>
      </c>
      <c r="AY176" s="137">
        <f>IF(ISNUMBER('Assumptions'!$B$13),'Assumptions'!$B$13+SUM(M150:M176)-SUM(AS150:AS176),"")</f>
        <v/>
      </c>
      <c r="AZ176" s="137">
        <f>IF(ISNUMBER('Assumptions'!$B$14),'Assumptions'!$B$14+-SUM(AF150:AF176),"")</f>
        <v/>
      </c>
      <c r="BA176" s="137">
        <f>IF(ISNUMBER('Assumptions'!$B$15),'Assumptions'!$B$15+SUM(O150:O176)+SUM(P150:P176)-SUM(AR150:AR176),"")</f>
        <v/>
      </c>
      <c r="BB176" s="137">
        <f>IF(ISNUMBER('Assumptions'!$B$16),'Assumptions'!$B$16+-SUM(AC150:AC176),"")</f>
        <v/>
      </c>
      <c r="BC176" s="137">
        <f>IF(AND(ISNUMBER('Assumptions'!$B$21),ISNUMBER('Assumptions'!$B$19)),'Assumptions'!$B$21+SUM(AU150:AU176)-SUM(AG150:AG176),"")</f>
        <v/>
      </c>
      <c r="BD176" s="137">
        <f>IF(ISNUMBER('Assumptions'!$B$20),'Assumptions'!$B$20+-SUM(AI150:AI176),"")</f>
        <v/>
      </c>
      <c r="BE176" s="137">
        <f>IF(AND(ISNUMBER('Assumptions'!$B$17),COUNT(AV150:AV176)=27),'Assumptions'!$B$17+SUM(AV150:AV176),"")</f>
        <v/>
      </c>
      <c r="BF176" s="137">
        <f>IF(COUNT(AL176,AW176:AY176)=4,SUM(AL176,AW176:AY176),"")</f>
        <v/>
      </c>
      <c r="BG176" s="137">
        <f>IF(COUNT(AZ176:BD176)=5,SUM(AZ176:BD176,AA176),"")</f>
        <v/>
      </c>
      <c r="BH176" s="137">
        <f>IF(COUNT(BF176,BG176,BE176)=3,BF176-BG176-BE176,"")</f>
        <v/>
      </c>
      <c r="BI176" s="137">
        <f>SUM(W176,X176)-Z176-AA176</f>
        <v/>
      </c>
      <c r="BJ176" s="137">
        <f>8-COUNT('Assumptions'!AD58:AD65)+COUNTBLANK('NM Play'!B33:B34)+'Costs'!E44+IF(AND('Sites'!E6=1,('Sites'!F6)&lt;=36,'Sites'!G6&gt;=25),IF(ISNUMBER('Sites'!Q6),0,1)+'Capital'!I6+COUNTBLANK('Sites'!R6)+IF('Sites'!D6="NM crew",COUNTBLANK('NM Play'!B25)+1,5-COUNT('Assumptions'!AD112:AD116)),0)+IF(AND('Sites'!E7=1,('Sites'!F7+'Cases'!G10)&lt;=36,'Sites'!G7&gt;=25),IF(ISNUMBER('Sites'!Q7),0,1)+'Capital'!I7+COUNTBLANK('Sites'!R7)+IF('Sites'!D7="NM crew",COUNTBLANK('NM Play'!B25)+1,5-COUNT('Assumptions'!AD117:AD121)),0)+IF(AND('Sites'!E8*'Cases'!F10=1,('Sites'!F8+'Cases'!G10)&lt;=36,'Sites'!G8&gt;=25),IF(ISNUMBER('Sites'!Q8),0,1)+'Capital'!I8+COUNTBLANK('Sites'!R8)+IF('Sites'!D8="NM crew",COUNTBLANK('NM Play'!B25)+1,5-COUNT('Assumptions'!AD122:AD126)),0)+IF(AND('Cases'!C10&gt;0,NOT(ISNUMBER('Assumptions'!B42))),1,0)+'Responsibilities'!$B$39</f>
        <v/>
      </c>
      <c r="BK176" s="137">
        <f>'Assumptions'!$B$50+'NM Play'!$B$83+'Funding'!$F$20+SUMIFS('Production schedule'!$AN$438:$AN$545,'Production schedule'!$C$438:$C$545,27)+IF(OR('Cases'!E10&lt;0,'Cases'!E10&gt;1,'Cases'!C10&lt;0,'Cases'!D10&lt;0,ABS(SUM('Sites'!S6:S8)-1)&gt;0.0001,MIN('Capital'!F6:F8)&lt;0,MAX('Capital'!F6:F8)&gt;1,MIN(AX176,AZ176,BB176,BA176)&lt;-0.01),1,0)+'Responsibilities'!$B$40</f>
        <v/>
      </c>
      <c r="BL176" s="137">
        <f>SUMIFS('Production schedule'!$T$438:$T$545,'Production schedule'!$C$438:$C$545,27)</f>
        <v/>
      </c>
      <c r="BM176" s="137">
        <f>D176*'NM Play'!$B$38</f>
        <v/>
      </c>
      <c r="BN176" s="137">
        <f>SUMIFS('Production schedule'!$AM$438:$AM$545,'Production schedule'!$C$438:$C$545,27)</f>
        <v/>
      </c>
      <c r="BO176" s="137">
        <f>AK176-AK175-AJ176</f>
        <v/>
      </c>
      <c r="BP176" s="137">
        <f>IF(AND('Assumptions'!$B$39&gt;=0,'Assumptions'!$B$40&gt;0),-PMT('Assumptions'!$B$39/12,'Assumptions'!$B$40*12,IF('Funding'!$N$11&gt;0,'Funding'!$N$11,'Funding'!$V$11)),"")</f>
        <v/>
      </c>
      <c r="BQ176">
        <f>('Production schedule'!AJ464)*(1-'Responsibilities'!$C$6)+('Production schedule'!AJ500)*(1-'Responsibilities'!$C$7)+('Production schedule'!AJ536)*(1-'Responsibilities'!$C$8)</f>
        <v/>
      </c>
      <c r="BR176">
        <f>('Production schedule'!AI464)*(1-'Responsibilities'!$D$6)+('Production schedule'!AI500)*(1-'Responsibilities'!$D$7)+('Production schedule'!AI536)*(1-'Responsibilities'!$D$8)</f>
        <v/>
      </c>
      <c r="BS176">
        <f>('Production schedule'!E464*(IF('Sites'!D6="Annual staff",SUM('Assumptions'!AD112,'Assumptions'!AD114),0)+SUM('Assumptions'!AD113,'Assumptions'!AD115:AD116)))*(1-'Responsibilities'!$E$6)+('Production schedule'!E500*(IF('Sites'!D7="Annual staff",SUM('Assumptions'!AD117,'Assumptions'!AD119),0)+SUM('Assumptions'!AD118,'Assumptions'!AD120:AD121)))*(1-'Responsibilities'!$E$7)+('Production schedule'!E536*(IF('Sites'!D8="Annual staff",SUM('Assumptions'!AD122,'Assumptions'!AD124),0)+SUM('Assumptions'!AD123,'Assumptions'!AD125:AD126)))*(1-'Responsibilities'!$E$8)</f>
        <v/>
      </c>
      <c r="BT176">
        <f>(IF(AND('Production schedule'!E464=1,27=MAX(('Sites'!F6),25),ISNUMBER('Sites'!Q6)),'Sites'!Q6*'Assumptions'!$B$44,0))*(1-'Responsibilities'!$F$6)+(IF(AND('Production schedule'!E500=1,27=MAX(('Sites'!F7+'Cases'!G10),25),ISNUMBER('Sites'!Q7)),'Sites'!Q7*'Assumptions'!$B$44,0))*(1-'Responsibilities'!$F$7)+(IF(AND('Production schedule'!E536=1,27=MAX(('Sites'!F8+'Cases'!G10),25),ISNUMBER('Sites'!Q8)),'Sites'!Q8*'Assumptions'!$B$44,0))*(1-'Responsibilities'!$F$8)</f>
        <v/>
      </c>
      <c r="BU176">
        <f>SUM('Costs'!E36)*'Costs'!F36/12*(1-'Responsibilities'!$C$12)+SUM('Costs'!E37)*'Costs'!F37/12*(1-'Responsibilities'!$C$13)+SUM('Costs'!E38)*'Costs'!F38/12*(1-'Responsibilities'!$C$14)+SUM('Costs'!E39)*'Costs'!F39/12*(1-'Responsibilities'!$C$15)+SUM('Costs'!E40)*'Costs'!F40/12*(1-'Responsibilities'!$C$16)</f>
        <v/>
      </c>
      <c r="BV176">
        <f>('Sites'!E6*'Capital'!E6*(IF(27='Capital'!G6,'Capital'!F6,0)+IF(27='Capital'!H6,1-'Capital'!F6,0)))*(1-'Responsibilities'!$G$6)+('Sites'!E7*'Capital'!E7*(IF(27='Capital'!G7+'Cases'!G10,'Capital'!F7,0)+IF(27='Capital'!H7+'Cases'!G10,1-'Capital'!F7,0)))*(1-'Responsibilities'!$G$7)+('Sites'!E8*'Cases'!F10*'Capital'!E8*(IF(27='Capital'!G8+'Cases'!G10,'Capital'!F8,0)+IF(27='Capital'!H8+'Cases'!G10,1-'Capital'!F8,0)))*(1-'Responsibilities'!$G$8)</f>
        <v/>
      </c>
      <c r="BW176">
        <f>SUM(BQ176:BV176)</f>
        <v/>
      </c>
      <c r="BX176">
        <f>N176+BW176</f>
        <v/>
      </c>
      <c r="BY176">
        <f>BX176-(('Production schedule'!AJ464)*'Responsibilities'!$C$6+('Production schedule'!AJ500)*'Responsibilities'!$C$7+('Production schedule'!AJ536)*'Responsibilities'!$C$8+('Production schedule'!AJ464)*(1-'Responsibilities'!$C$6)+('Production schedule'!AJ500)*(1-'Responsibilities'!$C$7)+('Production schedule'!AJ536)*(1-'Responsibilities'!$C$8)+('Production schedule'!AI464)*'Responsibilities'!$D$6+('Production schedule'!AI500)*'Responsibilities'!$D$7+('Production schedule'!AI536)*'Responsibilities'!$D$8+('Production schedule'!AI464)*(1-'Responsibilities'!$D$6)+('Production schedule'!AI500)*(1-'Responsibilities'!$D$7)+('Production schedule'!AI536)*(1-'Responsibilities'!$D$8)+('Production schedule'!E464*(IF('Sites'!D6="Annual staff",SUM('Assumptions'!AD112,'Assumptions'!AD114),0)+SUM('Assumptions'!AD113,'Assumptions'!AD115:AD116)))*'Responsibilities'!$E$6+('Production schedule'!E500*(IF('Sites'!D7="Annual staff",SUM('Assumptions'!AD117,'Assumptions'!AD119),0)+SUM('Assumptions'!AD118,'Assumptions'!AD120:AD121)))*'Responsibilities'!$E$7+('Production schedule'!E536*(IF('Sites'!D8="Annual staff",SUM('Assumptions'!AD122,'Assumptions'!AD124),0)+SUM('Assumptions'!AD123,'Assumptions'!AD125:AD126)))*'Responsibilities'!$E$8+('Production schedule'!E464*(IF('Sites'!D6="Annual staff",SUM('Assumptions'!AD112,'Assumptions'!AD114),0)+SUM('Assumptions'!AD113,'Assumptions'!AD115:AD116)))*(1-'Responsibilities'!$E$6)+('Production schedule'!E500*(IF('Sites'!D7="Annual staff",SUM('Assumptions'!AD117,'Assumptions'!AD119),0)+SUM('Assumptions'!AD118,'Assumptions'!AD120:AD121)))*(1-'Responsibilities'!$E$7)+('Production schedule'!E536*(IF('Sites'!D8="Annual staff",SUM('Assumptions'!AD122,'Assumptions'!AD124),0)+SUM('Assumptions'!AD123,'Assumptions'!AD125:AD126)))*(1-'Responsibilities'!$E$8)+(IF(AND('Production schedule'!E464=1,27=MAX(('Sites'!F6),25),ISNUMBER('Sites'!Q6)),'Sites'!Q6*'Assumptions'!$B$44,0))*'Responsibilities'!$F$6+(IF(AND('Production schedule'!E500=1,27=MAX(('Sites'!F7+'Cases'!G10),25),ISNUMBER('Sites'!Q7)),'Sites'!Q7*'Assumptions'!$B$44,0))*'Responsibilities'!$F$7+(IF(AND('Production schedule'!E536=1,27=MAX(('Sites'!F8+'Cases'!G10),25),ISNUMBER('Sites'!Q8)),'Sites'!Q8*'Assumptions'!$B$44,0))*'Responsibilities'!$F$8+(IF(AND('Production schedule'!E464=1,27=MAX(('Sites'!F6),25),ISNUMBER('Sites'!Q6)),'Sites'!Q6*'Assumptions'!$B$44,0))*(1-'Responsibilities'!$F$6)+(IF(AND('Production schedule'!E500=1,27=MAX(('Sites'!F7+'Cases'!G10),25),ISNUMBER('Sites'!Q7)),'Sites'!Q7*'Assumptions'!$B$44,0))*(1-'Responsibilities'!$F$7)+(IF(AND('Production schedule'!E536=1,27=MAX(('Sites'!F8+'Cases'!G10),25),ISNUMBER('Sites'!Q8)),'Sites'!Q8*'Assumptions'!$B$44,0))*(1-'Responsibilities'!$F$8)+('Sites'!E6*'Capital'!E6*(IF(27='Capital'!G6,'Capital'!F6,0)+IF(27='Capital'!H6,1-'Capital'!F6,0)))*'Responsibilities'!$G$6+('Sites'!E7*'Capital'!E7*(IF(27='Capital'!G7+'Cases'!G10,'Capital'!F7,0)+IF(27='Capital'!H7+'Cases'!G10,1-'Capital'!F7,0)))*'Responsibilities'!$G$7+('Sites'!E8*'Cases'!F10*'Capital'!E8*(IF(27='Capital'!G8+'Cases'!G10,'Capital'!F8,0)+IF(27='Capital'!H8+'Cases'!G10,1-'Capital'!F8,0)))*'Responsibilities'!$G$8+('Sites'!E6*'Capital'!E6*(IF(27='Capital'!G6,'Capital'!F6,0)+IF(27='Capital'!H6,1-'Capital'!F6,0)))*(1-'Responsibilities'!$G$6)+('Sites'!E7*'Capital'!E7*(IF(27='Capital'!G7+'Cases'!G10,'Capital'!F7,0)+IF(27='Capital'!H7+'Cases'!G10,1-'Capital'!F7,0)))*(1-'Responsibilities'!$G$7)+('Sites'!E8*'Cases'!F10*'Capital'!E8*(IF(27='Capital'!G8+'Cases'!G10,'Capital'!F8,0)+IF(27='Capital'!H8+'Cases'!G10,1-'Capital'!F8,0)))*(1-'Responsibilities'!$G$8)+I176+SUMPRODUCT('Costs'!$E$36:$E$40,'Costs'!$F$36:$F$40)/12+BZ176)</f>
        <v/>
      </c>
      <c r="BZ176">
        <f>SUMIFS('Responsibilities'!$B$31:$B$35,'Responsibilities'!$C$31:$C$35,27,'Responsibilities'!$D$31:$D$35,"Yes")</f>
        <v/>
      </c>
    </row>
    <row r="177" ht="28" customHeight="1">
      <c r="A177" s="4" t="inlineStr">
        <is>
          <t>Lower sales</t>
        </is>
      </c>
      <c r="B177" s="4" t="n">
        <v>28</v>
      </c>
      <c r="C177" s="4">
        <f>ROUNDUP(B177/12,0)</f>
        <v/>
      </c>
      <c r="D177" s="137">
        <f>SUMIFS('Production schedule'!$N$438:$N$545,'Production schedule'!$C$438:$C$545,28)</f>
        <v/>
      </c>
      <c r="E177" s="137">
        <f>SUMIFS('Production schedule'!$Y$438:$Y$545,'Production schedule'!$C$438:$C$545,28)</f>
        <v/>
      </c>
      <c r="F177" s="137">
        <f>SUMIFS('Production schedule'!$Z$438:$Z$545,'Production schedule'!$C$438:$C$545,28)</f>
        <v/>
      </c>
      <c r="G177" s="137">
        <f>('Production schedule'!AJ465)*'Responsibilities'!$C$6+('Production schedule'!AJ501)*'Responsibilities'!$C$7+('Production schedule'!AJ537)*'Responsibilities'!$C$8</f>
        <v/>
      </c>
      <c r="H177" s="137">
        <f>('Production schedule'!AI465)*'Responsibilities'!$D$6+('Production schedule'!AI501)*'Responsibilities'!$D$7+('Production schedule'!AI537)*'Responsibilities'!$D$8</f>
        <v/>
      </c>
      <c r="I177" s="137">
        <f>SUM('Assumptions'!AE58:AE65)</f>
        <v/>
      </c>
      <c r="J177" s="137">
        <f>('Production schedule'!E465*(IF('Sites'!D6="Annual staff",SUM('Assumptions'!AE112,'Assumptions'!AE114),0)+SUM('Assumptions'!AE113,'Assumptions'!AE115:AE116)))*'Responsibilities'!$E$6+('Production schedule'!E501*(IF('Sites'!D7="Annual staff",SUM('Assumptions'!AE117,'Assumptions'!AE119),0)+SUM('Assumptions'!AE118,'Assumptions'!AE120:AE121)))*'Responsibilities'!$E$7+('Production schedule'!E537*(IF('Sites'!D8="Annual staff",SUM('Assumptions'!AE122,'Assumptions'!AE124),0)+SUM('Assumptions'!AE123,'Assumptions'!AE125:AE126)))*'Responsibilities'!$E$8</f>
        <v/>
      </c>
      <c r="K177" s="137">
        <f>(IF(AND('Production schedule'!E465=1,28=MAX(('Sites'!F6),25),ISNUMBER('Sites'!Q6)),'Sites'!Q6*'Assumptions'!$B$44,0))*'Responsibilities'!$F$6+(IF(AND('Production schedule'!E501=1,28=MAX(('Sites'!F7+'Cases'!G10),25),ISNUMBER('Sites'!Q7)),'Sites'!Q7*'Assumptions'!$B$44,0))*'Responsibilities'!$F$7+(IF(AND('Production schedule'!E537=1,28=MAX(('Sites'!F8+'Cases'!G10),25),ISNUMBER('Sites'!Q8)),'Sites'!Q8*'Assumptions'!$B$44,0))*'Responsibilities'!$F$8</f>
        <v/>
      </c>
      <c r="L177" s="137">
        <f>SUM('Costs'!E36)*'Costs'!F36/12*'Responsibilities'!$C$12+SUM('Costs'!E37)*'Costs'!F37/12*'Responsibilities'!$C$13+SUM('Costs'!E38)*'Costs'!F38/12*'Responsibilities'!$C$14+SUM('Costs'!E39)*'Costs'!F39/12*'Responsibilities'!$C$15+SUM('Costs'!E40)*'Costs'!F40/12*'Responsibilities'!$C$16+BZ177</f>
        <v/>
      </c>
      <c r="M177" s="137">
        <f>('Sites'!E6*'Capital'!E6*(IF(28='Capital'!G6,'Capital'!F6,0)+IF(28='Capital'!H6,1-'Capital'!F6,0)))*'Responsibilities'!$G$6+('Sites'!E7*'Capital'!E7*(IF(28='Capital'!G7+'Cases'!G10,'Capital'!F7,0)+IF(28='Capital'!H7+'Cases'!G10,1-'Capital'!F7,0)))*'Responsibilities'!$G$7+('Sites'!E8*'Cases'!F10*'Capital'!E8*(IF(28='Capital'!G8+'Cases'!G10,'Capital'!F8,0)+IF(28='Capital'!H8+'Cases'!G10,1-'Capital'!F8,0)))*'Responsibilities'!$G$8</f>
        <v/>
      </c>
      <c r="N177" s="137">
        <f>SUM(G177:M177)</f>
        <v/>
      </c>
      <c r="O177" s="137">
        <f>SUMIFS(FundingTranches[Secured amount],FundingTranches[Instrument],"Grant",FundingTranches[Secured month],28)</f>
        <v/>
      </c>
      <c r="P177" s="137">
        <f>SUMIFS(FundingTranches[Lower sales possible],FundingTranches[Instrument],"Grant",FundingTranches[Scenario month],28-'Cases'!$D$10)</f>
        <v/>
      </c>
      <c r="Q177" s="137">
        <f>SUMIFS(FundingTranches[Secured amount],FundingTranches[Instrument],"Loan",FundingTranches[Secured month],28)</f>
        <v/>
      </c>
      <c r="R177" s="137">
        <f>SUMIFS(FundingTranches[Lower sales possible],FundingTranches[Instrument],"Loan",FundingTranches[Scenario month],28-'Cases'!$D$10)</f>
        <v/>
      </c>
      <c r="S177" s="137">
        <f>IF(28&lt;='Assumptions'!$B$34,0,SUMIFS('Production schedule'!$AL$438:$AL$545,'Production schedule'!$C$438:$C$545,28-'Assumptions'!$B$34))</f>
        <v/>
      </c>
      <c r="T177" s="137">
        <f>'Assumptions'!AE70</f>
        <v/>
      </c>
      <c r="U177" s="137">
        <f>'Assumptions'!AE78</f>
        <v/>
      </c>
      <c r="V177" s="137">
        <f>SUM(O177:U177)</f>
        <v/>
      </c>
      <c r="W177" s="137">
        <f>AA176</f>
        <v/>
      </c>
      <c r="X177" s="137">
        <f>SUM(Q177:R177)</f>
        <v/>
      </c>
      <c r="Y177" s="137">
        <f>SUM(W177,X177)*'Assumptions'!$B$39/12</f>
        <v/>
      </c>
      <c r="Z177" s="137">
        <f>IF(SUM(W177,X177)&gt;0,MIN(SUM(W177,X177),MAX(0,BP177-Y177)),0)</f>
        <v/>
      </c>
      <c r="AA177" s="137">
        <f>SUM(W177,X177)-Z177</f>
        <v/>
      </c>
      <c r="AB177" s="137">
        <f>SUM(Y177:Z177)</f>
        <v/>
      </c>
      <c r="AC177" s="137">
        <f>'Assumptions'!AE72</f>
        <v/>
      </c>
      <c r="AD177" s="137">
        <f>'Assumptions'!AE73</f>
        <v/>
      </c>
      <c r="AE177" s="137">
        <f>IF(X177&gt;0,SUM('Assumptions'!$B$42),0)</f>
        <v/>
      </c>
      <c r="AF177" s="137">
        <f>'Assumptions'!AE71</f>
        <v/>
      </c>
      <c r="AG177" s="137">
        <f>'Assumptions'!AE74</f>
        <v/>
      </c>
      <c r="AH177" s="137">
        <f>'Assumptions'!AE75</f>
        <v/>
      </c>
      <c r="AI177" s="137">
        <f>'Assumptions'!AE77</f>
        <v/>
      </c>
      <c r="AJ177" s="137">
        <f>V177-N177-SUM(AB177:AI177)</f>
        <v/>
      </c>
      <c r="AK177" s="137">
        <f>SUM(AJ150:AJ177)</f>
        <v/>
      </c>
      <c r="AL177" s="137">
        <f>IF(ISNUMBER('Assumptions'!$B$10),'Assumptions'!$B$10+AK177,"")</f>
        <v/>
      </c>
      <c r="AM177" s="137">
        <f>SUM(O177,Q177,T177)-N177-SUM(AC177:AI177)+IF('Funding'!$N$11=0,AE177,0)-IF('Funding'!$N$11&gt;0,AB177,0)</f>
        <v/>
      </c>
      <c r="AN177" s="137">
        <f>SUM(AM150:AM177)</f>
        <v/>
      </c>
      <c r="AO177" s="137">
        <f>IF(ISNUMBER('Assumptions'!$B$10),'Assumptions'!$B$10+AN177,"")</f>
        <v/>
      </c>
      <c r="AP177" s="137">
        <f>('Production schedule'!AK465)*'Responsibilities'!$C$6+('Production schedule'!AK501)*'Responsibilities'!$C$7+('Production schedule'!AK537)*'Responsibilities'!$C$8</f>
        <v/>
      </c>
      <c r="AQ177" s="137">
        <f>SUMIFS('Production schedule'!$AL$438:$AL$545,'Production schedule'!$C$438:$C$545,28)</f>
        <v/>
      </c>
      <c r="AR177" s="137">
        <f>IF(ISNUMBER('Assumptions'!AE76),'Assumptions'!AE76,SUM(O177:P177))</f>
        <v/>
      </c>
      <c r="AS177" s="137">
        <f>IF(ISNUMBER('Assumptions'!$B$13),MIN('Assumptions'!$B$13/'Assumptions'!$B$18/12,MAX(0,'Assumptions'!$B$13-(28-1)*'Assumptions'!$B$13/'Assumptions'!$B$18/12)),0)+IF(AND('Sites'!E6=1,28&gt;=('Sites'!F6),28&lt;('Sites'!F6)+'Assumptions'!$B$18*12),'Capital'!E6/'Assumptions'!$B$18/12,0)+IF(AND('Sites'!E7=1,28&gt;=('Sites'!F7+'Cases'!G10),28&lt;('Sites'!F7+'Cases'!G10)+'Assumptions'!$B$18*12),'Capital'!E7/'Assumptions'!$B$18/12,0)+IF(AND('Sites'!E8*'Cases'!F10=1,28&gt;=('Sites'!F8+'Cases'!G10),28&lt;('Sites'!F8+'Cases'!G10)+'Assumptions'!$B$18*12),'Capital'!E8/'Assumptions'!$B$18/12,0)</f>
        <v/>
      </c>
      <c r="AT177" s="137">
        <f>SUM(AQ177,AR177,U177)-AP177-SUM(H177:L177)-AS177-SUM(Y177,AD177,AE177,AH177)</f>
        <v/>
      </c>
      <c r="AU177" s="137">
        <f>IF(ISNUMBER('Assumptions'!$B$19),MAX(0,SUM(AT174:AT177))*'Assumptions'!$B$19-SUM(AU174:AU176),"")</f>
        <v/>
      </c>
      <c r="AV177" s="137">
        <f>IF(ISNUMBER(AU177),AT177-AU177,"")</f>
        <v/>
      </c>
      <c r="AW177" s="137">
        <f>IF(ISNUMBER('Assumptions'!$B$11),'Assumptions'!$B$11+SUM(AQ150:AQ177)-SUM(S150:S177)-SUM(T150:T177),"")</f>
        <v/>
      </c>
      <c r="AX177" s="137">
        <f>IF(ISNUMBER('Assumptions'!$B$12),'Assumptions'!$B$12+SUM(G150:G177)-SUM(AP150:AP177),"")</f>
        <v/>
      </c>
      <c r="AY177" s="137">
        <f>IF(ISNUMBER('Assumptions'!$B$13),'Assumptions'!$B$13+SUM(M150:M177)-SUM(AS150:AS177),"")</f>
        <v/>
      </c>
      <c r="AZ177" s="137">
        <f>IF(ISNUMBER('Assumptions'!$B$14),'Assumptions'!$B$14+-SUM(AF150:AF177),"")</f>
        <v/>
      </c>
      <c r="BA177" s="137">
        <f>IF(ISNUMBER('Assumptions'!$B$15),'Assumptions'!$B$15+SUM(O150:O177)+SUM(P150:P177)-SUM(AR150:AR177),"")</f>
        <v/>
      </c>
      <c r="BB177" s="137">
        <f>IF(ISNUMBER('Assumptions'!$B$16),'Assumptions'!$B$16+-SUM(AC150:AC177),"")</f>
        <v/>
      </c>
      <c r="BC177" s="137">
        <f>IF(AND(ISNUMBER('Assumptions'!$B$21),ISNUMBER('Assumptions'!$B$19)),'Assumptions'!$B$21+SUM(AU150:AU177)-SUM(AG150:AG177),"")</f>
        <v/>
      </c>
      <c r="BD177" s="137">
        <f>IF(ISNUMBER('Assumptions'!$B$20),'Assumptions'!$B$20+-SUM(AI150:AI177),"")</f>
        <v/>
      </c>
      <c r="BE177" s="137">
        <f>IF(AND(ISNUMBER('Assumptions'!$B$17),COUNT(AV150:AV177)=28),'Assumptions'!$B$17+SUM(AV150:AV177),"")</f>
        <v/>
      </c>
      <c r="BF177" s="137">
        <f>IF(COUNT(AL177,AW177:AY177)=4,SUM(AL177,AW177:AY177),"")</f>
        <v/>
      </c>
      <c r="BG177" s="137">
        <f>IF(COUNT(AZ177:BD177)=5,SUM(AZ177:BD177,AA177),"")</f>
        <v/>
      </c>
      <c r="BH177" s="137">
        <f>IF(COUNT(BF177,BG177,BE177)=3,BF177-BG177-BE177,"")</f>
        <v/>
      </c>
      <c r="BI177" s="137">
        <f>SUM(W177,X177)-Z177-AA177</f>
        <v/>
      </c>
      <c r="BJ177" s="137">
        <f>8-COUNT('Assumptions'!AE58:AE65)+COUNTBLANK('NM Play'!B33:B34)+'Costs'!E44+IF(AND('Sites'!E6=1,('Sites'!F6)&lt;=36,'Sites'!G6&gt;=25),IF(ISNUMBER('Sites'!Q6),0,1)+'Capital'!I6+COUNTBLANK('Sites'!R6)+IF('Sites'!D6="NM crew",COUNTBLANK('NM Play'!B25)+1,5-COUNT('Assumptions'!AE112:AE116)),0)+IF(AND('Sites'!E7=1,('Sites'!F7+'Cases'!G10)&lt;=36,'Sites'!G7&gt;=25),IF(ISNUMBER('Sites'!Q7),0,1)+'Capital'!I7+COUNTBLANK('Sites'!R7)+IF('Sites'!D7="NM crew",COUNTBLANK('NM Play'!B25)+1,5-COUNT('Assumptions'!AE117:AE121)),0)+IF(AND('Sites'!E8*'Cases'!F10=1,('Sites'!F8+'Cases'!G10)&lt;=36,'Sites'!G8&gt;=25),IF(ISNUMBER('Sites'!Q8),0,1)+'Capital'!I8+COUNTBLANK('Sites'!R8)+IF('Sites'!D8="NM crew",COUNTBLANK('NM Play'!B25)+1,5-COUNT('Assumptions'!AE122:AE126)),0)+IF(AND('Cases'!C10&gt;0,NOT(ISNUMBER('Assumptions'!B42))),1,0)+'Responsibilities'!$B$39</f>
        <v/>
      </c>
      <c r="BK177" s="137">
        <f>'Assumptions'!$B$50+'NM Play'!$B$83+'Funding'!$F$20+SUMIFS('Production schedule'!$AN$438:$AN$545,'Production schedule'!$C$438:$C$545,28)+IF(OR('Cases'!E10&lt;0,'Cases'!E10&gt;1,'Cases'!C10&lt;0,'Cases'!D10&lt;0,ABS(SUM('Sites'!S6:S8)-1)&gt;0.0001,MIN('Capital'!F6:F8)&lt;0,MAX('Capital'!F6:F8)&gt;1,MIN(AX177,AZ177,BB177,BA177)&lt;-0.01),1,0)+'Responsibilities'!$B$40</f>
        <v/>
      </c>
      <c r="BL177" s="137">
        <f>SUMIFS('Production schedule'!$T$438:$T$545,'Production schedule'!$C$438:$C$545,28)</f>
        <v/>
      </c>
      <c r="BM177" s="137">
        <f>D177*'NM Play'!$B$38</f>
        <v/>
      </c>
      <c r="BN177" s="137">
        <f>SUMIFS('Production schedule'!$AM$438:$AM$545,'Production schedule'!$C$438:$C$545,28)</f>
        <v/>
      </c>
      <c r="BO177" s="137">
        <f>AK177-AK176-AJ177</f>
        <v/>
      </c>
      <c r="BP177" s="137">
        <f>IF(AND('Assumptions'!$B$39&gt;=0,'Assumptions'!$B$40&gt;0),-PMT('Assumptions'!$B$39/12,'Assumptions'!$B$40*12,IF('Funding'!$N$11&gt;0,'Funding'!$N$11,'Funding'!$V$11)),"")</f>
        <v/>
      </c>
      <c r="BQ177">
        <f>('Production schedule'!AJ465)*(1-'Responsibilities'!$C$6)+('Production schedule'!AJ501)*(1-'Responsibilities'!$C$7)+('Production schedule'!AJ537)*(1-'Responsibilities'!$C$8)</f>
        <v/>
      </c>
      <c r="BR177">
        <f>('Production schedule'!AI465)*(1-'Responsibilities'!$D$6)+('Production schedule'!AI501)*(1-'Responsibilities'!$D$7)+('Production schedule'!AI537)*(1-'Responsibilities'!$D$8)</f>
        <v/>
      </c>
      <c r="BS177">
        <f>('Production schedule'!E465*(IF('Sites'!D6="Annual staff",SUM('Assumptions'!AE112,'Assumptions'!AE114),0)+SUM('Assumptions'!AE113,'Assumptions'!AE115:AE116)))*(1-'Responsibilities'!$E$6)+('Production schedule'!E501*(IF('Sites'!D7="Annual staff",SUM('Assumptions'!AE117,'Assumptions'!AE119),0)+SUM('Assumptions'!AE118,'Assumptions'!AE120:AE121)))*(1-'Responsibilities'!$E$7)+('Production schedule'!E537*(IF('Sites'!D8="Annual staff",SUM('Assumptions'!AE122,'Assumptions'!AE124),0)+SUM('Assumptions'!AE123,'Assumptions'!AE125:AE126)))*(1-'Responsibilities'!$E$8)</f>
        <v/>
      </c>
      <c r="BT177">
        <f>(IF(AND('Production schedule'!E465=1,28=MAX(('Sites'!F6),25),ISNUMBER('Sites'!Q6)),'Sites'!Q6*'Assumptions'!$B$44,0))*(1-'Responsibilities'!$F$6)+(IF(AND('Production schedule'!E501=1,28=MAX(('Sites'!F7+'Cases'!G10),25),ISNUMBER('Sites'!Q7)),'Sites'!Q7*'Assumptions'!$B$44,0))*(1-'Responsibilities'!$F$7)+(IF(AND('Production schedule'!E537=1,28=MAX(('Sites'!F8+'Cases'!G10),25),ISNUMBER('Sites'!Q8)),'Sites'!Q8*'Assumptions'!$B$44,0))*(1-'Responsibilities'!$F$8)</f>
        <v/>
      </c>
      <c r="BU177">
        <f>SUM('Costs'!E36)*'Costs'!F36/12*(1-'Responsibilities'!$C$12)+SUM('Costs'!E37)*'Costs'!F37/12*(1-'Responsibilities'!$C$13)+SUM('Costs'!E38)*'Costs'!F38/12*(1-'Responsibilities'!$C$14)+SUM('Costs'!E39)*'Costs'!F39/12*(1-'Responsibilities'!$C$15)+SUM('Costs'!E40)*'Costs'!F40/12*(1-'Responsibilities'!$C$16)</f>
        <v/>
      </c>
      <c r="BV177">
        <f>('Sites'!E6*'Capital'!E6*(IF(28='Capital'!G6,'Capital'!F6,0)+IF(28='Capital'!H6,1-'Capital'!F6,0)))*(1-'Responsibilities'!$G$6)+('Sites'!E7*'Capital'!E7*(IF(28='Capital'!G7+'Cases'!G10,'Capital'!F7,0)+IF(28='Capital'!H7+'Cases'!G10,1-'Capital'!F7,0)))*(1-'Responsibilities'!$G$7)+('Sites'!E8*'Cases'!F10*'Capital'!E8*(IF(28='Capital'!G8+'Cases'!G10,'Capital'!F8,0)+IF(28='Capital'!H8+'Cases'!G10,1-'Capital'!F8,0)))*(1-'Responsibilities'!$G$8)</f>
        <v/>
      </c>
      <c r="BW177">
        <f>SUM(BQ177:BV177)</f>
        <v/>
      </c>
      <c r="BX177">
        <f>N177+BW177</f>
        <v/>
      </c>
      <c r="BY177">
        <f>BX177-(('Production schedule'!AJ465)*'Responsibilities'!$C$6+('Production schedule'!AJ501)*'Responsibilities'!$C$7+('Production schedule'!AJ537)*'Responsibilities'!$C$8+('Production schedule'!AJ465)*(1-'Responsibilities'!$C$6)+('Production schedule'!AJ501)*(1-'Responsibilities'!$C$7)+('Production schedule'!AJ537)*(1-'Responsibilities'!$C$8)+('Production schedule'!AI465)*'Responsibilities'!$D$6+('Production schedule'!AI501)*'Responsibilities'!$D$7+('Production schedule'!AI537)*'Responsibilities'!$D$8+('Production schedule'!AI465)*(1-'Responsibilities'!$D$6)+('Production schedule'!AI501)*(1-'Responsibilities'!$D$7)+('Production schedule'!AI537)*(1-'Responsibilities'!$D$8)+('Production schedule'!E465*(IF('Sites'!D6="Annual staff",SUM('Assumptions'!AE112,'Assumptions'!AE114),0)+SUM('Assumptions'!AE113,'Assumptions'!AE115:AE116)))*'Responsibilities'!$E$6+('Production schedule'!E501*(IF('Sites'!D7="Annual staff",SUM('Assumptions'!AE117,'Assumptions'!AE119),0)+SUM('Assumptions'!AE118,'Assumptions'!AE120:AE121)))*'Responsibilities'!$E$7+('Production schedule'!E537*(IF('Sites'!D8="Annual staff",SUM('Assumptions'!AE122,'Assumptions'!AE124),0)+SUM('Assumptions'!AE123,'Assumptions'!AE125:AE126)))*'Responsibilities'!$E$8+('Production schedule'!E465*(IF('Sites'!D6="Annual staff",SUM('Assumptions'!AE112,'Assumptions'!AE114),0)+SUM('Assumptions'!AE113,'Assumptions'!AE115:AE116)))*(1-'Responsibilities'!$E$6)+('Production schedule'!E501*(IF('Sites'!D7="Annual staff",SUM('Assumptions'!AE117,'Assumptions'!AE119),0)+SUM('Assumptions'!AE118,'Assumptions'!AE120:AE121)))*(1-'Responsibilities'!$E$7)+('Production schedule'!E537*(IF('Sites'!D8="Annual staff",SUM('Assumptions'!AE122,'Assumptions'!AE124),0)+SUM('Assumptions'!AE123,'Assumptions'!AE125:AE126)))*(1-'Responsibilities'!$E$8)+(IF(AND('Production schedule'!E465=1,28=MAX(('Sites'!F6),25),ISNUMBER('Sites'!Q6)),'Sites'!Q6*'Assumptions'!$B$44,0))*'Responsibilities'!$F$6+(IF(AND('Production schedule'!E501=1,28=MAX(('Sites'!F7+'Cases'!G10),25),ISNUMBER('Sites'!Q7)),'Sites'!Q7*'Assumptions'!$B$44,0))*'Responsibilities'!$F$7+(IF(AND('Production schedule'!E537=1,28=MAX(('Sites'!F8+'Cases'!G10),25),ISNUMBER('Sites'!Q8)),'Sites'!Q8*'Assumptions'!$B$44,0))*'Responsibilities'!$F$8+(IF(AND('Production schedule'!E465=1,28=MAX(('Sites'!F6),25),ISNUMBER('Sites'!Q6)),'Sites'!Q6*'Assumptions'!$B$44,0))*(1-'Responsibilities'!$F$6)+(IF(AND('Production schedule'!E501=1,28=MAX(('Sites'!F7+'Cases'!G10),25),ISNUMBER('Sites'!Q7)),'Sites'!Q7*'Assumptions'!$B$44,0))*(1-'Responsibilities'!$F$7)+(IF(AND('Production schedule'!E537=1,28=MAX(('Sites'!F8+'Cases'!G10),25),ISNUMBER('Sites'!Q8)),'Sites'!Q8*'Assumptions'!$B$44,0))*(1-'Responsibilities'!$F$8)+('Sites'!E6*'Capital'!E6*(IF(28='Capital'!G6,'Capital'!F6,0)+IF(28='Capital'!H6,1-'Capital'!F6,0)))*'Responsibilities'!$G$6+('Sites'!E7*'Capital'!E7*(IF(28='Capital'!G7+'Cases'!G10,'Capital'!F7,0)+IF(28='Capital'!H7+'Cases'!G10,1-'Capital'!F7,0)))*'Responsibilities'!$G$7+('Sites'!E8*'Cases'!F10*'Capital'!E8*(IF(28='Capital'!G8+'Cases'!G10,'Capital'!F8,0)+IF(28='Capital'!H8+'Cases'!G10,1-'Capital'!F8,0)))*'Responsibilities'!$G$8+('Sites'!E6*'Capital'!E6*(IF(28='Capital'!G6,'Capital'!F6,0)+IF(28='Capital'!H6,1-'Capital'!F6,0)))*(1-'Responsibilities'!$G$6)+('Sites'!E7*'Capital'!E7*(IF(28='Capital'!G7+'Cases'!G10,'Capital'!F7,0)+IF(28='Capital'!H7+'Cases'!G10,1-'Capital'!F7,0)))*(1-'Responsibilities'!$G$7)+('Sites'!E8*'Cases'!F10*'Capital'!E8*(IF(28='Capital'!G8+'Cases'!G10,'Capital'!F8,0)+IF(28='Capital'!H8+'Cases'!G10,1-'Capital'!F8,0)))*(1-'Responsibilities'!$G$8)+I177+SUMPRODUCT('Costs'!$E$36:$E$40,'Costs'!$F$36:$F$40)/12+BZ177)</f>
        <v/>
      </c>
      <c r="BZ177">
        <f>SUMIFS('Responsibilities'!$B$31:$B$35,'Responsibilities'!$C$31:$C$35,28,'Responsibilities'!$D$31:$D$35,"Yes")</f>
        <v/>
      </c>
    </row>
    <row r="178" ht="28" customHeight="1">
      <c r="A178" s="4" t="inlineStr">
        <is>
          <t>Lower sales</t>
        </is>
      </c>
      <c r="B178" s="4" t="n">
        <v>29</v>
      </c>
      <c r="C178" s="4">
        <f>ROUNDUP(B178/12,0)</f>
        <v/>
      </c>
      <c r="D178" s="137">
        <f>SUMIFS('Production schedule'!$N$438:$N$545,'Production schedule'!$C$438:$C$545,29)</f>
        <v/>
      </c>
      <c r="E178" s="137">
        <f>SUMIFS('Production schedule'!$Y$438:$Y$545,'Production schedule'!$C$438:$C$545,29)</f>
        <v/>
      </c>
      <c r="F178" s="137">
        <f>SUMIFS('Production schedule'!$Z$438:$Z$545,'Production schedule'!$C$438:$C$545,29)</f>
        <v/>
      </c>
      <c r="G178" s="137">
        <f>('Production schedule'!AJ466)*'Responsibilities'!$C$6+('Production schedule'!AJ502)*'Responsibilities'!$C$7+('Production schedule'!AJ538)*'Responsibilities'!$C$8</f>
        <v/>
      </c>
      <c r="H178" s="137">
        <f>('Production schedule'!AI466)*'Responsibilities'!$D$6+('Production schedule'!AI502)*'Responsibilities'!$D$7+('Production schedule'!AI538)*'Responsibilities'!$D$8</f>
        <v/>
      </c>
      <c r="I178" s="137">
        <f>SUM('Assumptions'!AF58:AF65)</f>
        <v/>
      </c>
      <c r="J178" s="137">
        <f>('Production schedule'!E466*(IF('Sites'!D6="Annual staff",SUM('Assumptions'!AF112,'Assumptions'!AF114),0)+SUM('Assumptions'!AF113,'Assumptions'!AF115:AF116)))*'Responsibilities'!$E$6+('Production schedule'!E502*(IF('Sites'!D7="Annual staff",SUM('Assumptions'!AF117,'Assumptions'!AF119),0)+SUM('Assumptions'!AF118,'Assumptions'!AF120:AF121)))*'Responsibilities'!$E$7+('Production schedule'!E538*(IF('Sites'!D8="Annual staff",SUM('Assumptions'!AF122,'Assumptions'!AF124),0)+SUM('Assumptions'!AF123,'Assumptions'!AF125:AF126)))*'Responsibilities'!$E$8</f>
        <v/>
      </c>
      <c r="K178" s="137">
        <f>(IF(AND('Production schedule'!E466=1,29=MAX(('Sites'!F6),25),ISNUMBER('Sites'!Q6)),'Sites'!Q6*'Assumptions'!$B$44,0))*'Responsibilities'!$F$6+(IF(AND('Production schedule'!E502=1,29=MAX(('Sites'!F7+'Cases'!G10),25),ISNUMBER('Sites'!Q7)),'Sites'!Q7*'Assumptions'!$B$44,0))*'Responsibilities'!$F$7+(IF(AND('Production schedule'!E538=1,29=MAX(('Sites'!F8+'Cases'!G10),25),ISNUMBER('Sites'!Q8)),'Sites'!Q8*'Assumptions'!$B$44,0))*'Responsibilities'!$F$8</f>
        <v/>
      </c>
      <c r="L178" s="137">
        <f>SUM('Costs'!E36)*'Costs'!F36/12*'Responsibilities'!$C$12+SUM('Costs'!E37)*'Costs'!F37/12*'Responsibilities'!$C$13+SUM('Costs'!E38)*'Costs'!F38/12*'Responsibilities'!$C$14+SUM('Costs'!E39)*'Costs'!F39/12*'Responsibilities'!$C$15+SUM('Costs'!E40)*'Costs'!F40/12*'Responsibilities'!$C$16+BZ178</f>
        <v/>
      </c>
      <c r="M178" s="137">
        <f>('Sites'!E6*'Capital'!E6*(IF(29='Capital'!G6,'Capital'!F6,0)+IF(29='Capital'!H6,1-'Capital'!F6,0)))*'Responsibilities'!$G$6+('Sites'!E7*'Capital'!E7*(IF(29='Capital'!G7+'Cases'!G10,'Capital'!F7,0)+IF(29='Capital'!H7+'Cases'!G10,1-'Capital'!F7,0)))*'Responsibilities'!$G$7+('Sites'!E8*'Cases'!F10*'Capital'!E8*(IF(29='Capital'!G8+'Cases'!G10,'Capital'!F8,0)+IF(29='Capital'!H8+'Cases'!G10,1-'Capital'!F8,0)))*'Responsibilities'!$G$8</f>
        <v/>
      </c>
      <c r="N178" s="137">
        <f>SUM(G178:M178)</f>
        <v/>
      </c>
      <c r="O178" s="137">
        <f>SUMIFS(FundingTranches[Secured amount],FundingTranches[Instrument],"Grant",FundingTranches[Secured month],29)</f>
        <v/>
      </c>
      <c r="P178" s="137">
        <f>SUMIFS(FundingTranches[Lower sales possible],FundingTranches[Instrument],"Grant",FundingTranches[Scenario month],29-'Cases'!$D$10)</f>
        <v/>
      </c>
      <c r="Q178" s="137">
        <f>SUMIFS(FundingTranches[Secured amount],FundingTranches[Instrument],"Loan",FundingTranches[Secured month],29)</f>
        <v/>
      </c>
      <c r="R178" s="137">
        <f>SUMIFS(FundingTranches[Lower sales possible],FundingTranches[Instrument],"Loan",FundingTranches[Scenario month],29-'Cases'!$D$10)</f>
        <v/>
      </c>
      <c r="S178" s="137">
        <f>IF(29&lt;='Assumptions'!$B$34,0,SUMIFS('Production schedule'!$AL$438:$AL$545,'Production schedule'!$C$438:$C$545,29-'Assumptions'!$B$34))</f>
        <v/>
      </c>
      <c r="T178" s="137">
        <f>'Assumptions'!AF70</f>
        <v/>
      </c>
      <c r="U178" s="137">
        <f>'Assumptions'!AF78</f>
        <v/>
      </c>
      <c r="V178" s="137">
        <f>SUM(O178:U178)</f>
        <v/>
      </c>
      <c r="W178" s="137">
        <f>AA177</f>
        <v/>
      </c>
      <c r="X178" s="137">
        <f>SUM(Q178:R178)</f>
        <v/>
      </c>
      <c r="Y178" s="137">
        <f>SUM(W178,X178)*'Assumptions'!$B$39/12</f>
        <v/>
      </c>
      <c r="Z178" s="137">
        <f>IF(SUM(W178,X178)&gt;0,MIN(SUM(W178,X178),MAX(0,BP178-Y178)),0)</f>
        <v/>
      </c>
      <c r="AA178" s="137">
        <f>SUM(W178,X178)-Z178</f>
        <v/>
      </c>
      <c r="AB178" s="137">
        <f>SUM(Y178:Z178)</f>
        <v/>
      </c>
      <c r="AC178" s="137">
        <f>'Assumptions'!AF72</f>
        <v/>
      </c>
      <c r="AD178" s="137">
        <f>'Assumptions'!AF73</f>
        <v/>
      </c>
      <c r="AE178" s="137">
        <f>IF(X178&gt;0,SUM('Assumptions'!$B$42),0)</f>
        <v/>
      </c>
      <c r="AF178" s="137">
        <f>'Assumptions'!AF71</f>
        <v/>
      </c>
      <c r="AG178" s="137">
        <f>'Assumptions'!AF74</f>
        <v/>
      </c>
      <c r="AH178" s="137">
        <f>'Assumptions'!AF75</f>
        <v/>
      </c>
      <c r="AI178" s="137">
        <f>'Assumptions'!AF77</f>
        <v/>
      </c>
      <c r="AJ178" s="137">
        <f>V178-N178-SUM(AB178:AI178)</f>
        <v/>
      </c>
      <c r="AK178" s="137">
        <f>SUM(AJ150:AJ178)</f>
        <v/>
      </c>
      <c r="AL178" s="137">
        <f>IF(ISNUMBER('Assumptions'!$B$10),'Assumptions'!$B$10+AK178,"")</f>
        <v/>
      </c>
      <c r="AM178" s="137">
        <f>SUM(O178,Q178,T178)-N178-SUM(AC178:AI178)+IF('Funding'!$N$11=0,AE178,0)-IF('Funding'!$N$11&gt;0,AB178,0)</f>
        <v/>
      </c>
      <c r="AN178" s="137">
        <f>SUM(AM150:AM178)</f>
        <v/>
      </c>
      <c r="AO178" s="137">
        <f>IF(ISNUMBER('Assumptions'!$B$10),'Assumptions'!$B$10+AN178,"")</f>
        <v/>
      </c>
      <c r="AP178" s="137">
        <f>('Production schedule'!AK466)*'Responsibilities'!$C$6+('Production schedule'!AK502)*'Responsibilities'!$C$7+('Production schedule'!AK538)*'Responsibilities'!$C$8</f>
        <v/>
      </c>
      <c r="AQ178" s="137">
        <f>SUMIFS('Production schedule'!$AL$438:$AL$545,'Production schedule'!$C$438:$C$545,29)</f>
        <v/>
      </c>
      <c r="AR178" s="137">
        <f>IF(ISNUMBER('Assumptions'!AF76),'Assumptions'!AF76,SUM(O178:P178))</f>
        <v/>
      </c>
      <c r="AS178" s="137">
        <f>IF(ISNUMBER('Assumptions'!$B$13),MIN('Assumptions'!$B$13/'Assumptions'!$B$18/12,MAX(0,'Assumptions'!$B$13-(29-1)*'Assumptions'!$B$13/'Assumptions'!$B$18/12)),0)+IF(AND('Sites'!E6=1,29&gt;=('Sites'!F6),29&lt;('Sites'!F6)+'Assumptions'!$B$18*12),'Capital'!E6/'Assumptions'!$B$18/12,0)+IF(AND('Sites'!E7=1,29&gt;=('Sites'!F7+'Cases'!G10),29&lt;('Sites'!F7+'Cases'!G10)+'Assumptions'!$B$18*12),'Capital'!E7/'Assumptions'!$B$18/12,0)+IF(AND('Sites'!E8*'Cases'!F10=1,29&gt;=('Sites'!F8+'Cases'!G10),29&lt;('Sites'!F8+'Cases'!G10)+'Assumptions'!$B$18*12),'Capital'!E8/'Assumptions'!$B$18/12,0)</f>
        <v/>
      </c>
      <c r="AT178" s="137">
        <f>SUM(AQ178,AR178,U178)-AP178-SUM(H178:L178)-AS178-SUM(Y178,AD178,AE178,AH178)</f>
        <v/>
      </c>
      <c r="AU178" s="137">
        <f>IF(ISNUMBER('Assumptions'!$B$19),MAX(0,SUM(AT174:AT178))*'Assumptions'!$B$19-SUM(AU174:AU177),"")</f>
        <v/>
      </c>
      <c r="AV178" s="137">
        <f>IF(ISNUMBER(AU178),AT178-AU178,"")</f>
        <v/>
      </c>
      <c r="AW178" s="137">
        <f>IF(ISNUMBER('Assumptions'!$B$11),'Assumptions'!$B$11+SUM(AQ150:AQ178)-SUM(S150:S178)-SUM(T150:T178),"")</f>
        <v/>
      </c>
      <c r="AX178" s="137">
        <f>IF(ISNUMBER('Assumptions'!$B$12),'Assumptions'!$B$12+SUM(G150:G178)-SUM(AP150:AP178),"")</f>
        <v/>
      </c>
      <c r="AY178" s="137">
        <f>IF(ISNUMBER('Assumptions'!$B$13),'Assumptions'!$B$13+SUM(M150:M178)-SUM(AS150:AS178),"")</f>
        <v/>
      </c>
      <c r="AZ178" s="137">
        <f>IF(ISNUMBER('Assumptions'!$B$14),'Assumptions'!$B$14+-SUM(AF150:AF178),"")</f>
        <v/>
      </c>
      <c r="BA178" s="137">
        <f>IF(ISNUMBER('Assumptions'!$B$15),'Assumptions'!$B$15+SUM(O150:O178)+SUM(P150:P178)-SUM(AR150:AR178),"")</f>
        <v/>
      </c>
      <c r="BB178" s="137">
        <f>IF(ISNUMBER('Assumptions'!$B$16),'Assumptions'!$B$16+-SUM(AC150:AC178),"")</f>
        <v/>
      </c>
      <c r="BC178" s="137">
        <f>IF(AND(ISNUMBER('Assumptions'!$B$21),ISNUMBER('Assumptions'!$B$19)),'Assumptions'!$B$21+SUM(AU150:AU178)-SUM(AG150:AG178),"")</f>
        <v/>
      </c>
      <c r="BD178" s="137">
        <f>IF(ISNUMBER('Assumptions'!$B$20),'Assumptions'!$B$20+-SUM(AI150:AI178),"")</f>
        <v/>
      </c>
      <c r="BE178" s="137">
        <f>IF(AND(ISNUMBER('Assumptions'!$B$17),COUNT(AV150:AV178)=29),'Assumptions'!$B$17+SUM(AV150:AV178),"")</f>
        <v/>
      </c>
      <c r="BF178" s="137">
        <f>IF(COUNT(AL178,AW178:AY178)=4,SUM(AL178,AW178:AY178),"")</f>
        <v/>
      </c>
      <c r="BG178" s="137">
        <f>IF(COUNT(AZ178:BD178)=5,SUM(AZ178:BD178,AA178),"")</f>
        <v/>
      </c>
      <c r="BH178" s="137">
        <f>IF(COUNT(BF178,BG178,BE178)=3,BF178-BG178-BE178,"")</f>
        <v/>
      </c>
      <c r="BI178" s="137">
        <f>SUM(W178,X178)-Z178-AA178</f>
        <v/>
      </c>
      <c r="BJ178" s="137">
        <f>8-COUNT('Assumptions'!AF58:AF65)+COUNTBLANK('NM Play'!B33:B34)+'Costs'!E44+IF(AND('Sites'!E6=1,('Sites'!F6)&lt;=36,'Sites'!G6&gt;=25),IF(ISNUMBER('Sites'!Q6),0,1)+'Capital'!I6+COUNTBLANK('Sites'!R6)+IF('Sites'!D6="NM crew",COUNTBLANK('NM Play'!B25)+1,5-COUNT('Assumptions'!AF112:AF116)),0)+IF(AND('Sites'!E7=1,('Sites'!F7+'Cases'!G10)&lt;=36,'Sites'!G7&gt;=25),IF(ISNUMBER('Sites'!Q7),0,1)+'Capital'!I7+COUNTBLANK('Sites'!R7)+IF('Sites'!D7="NM crew",COUNTBLANK('NM Play'!B25)+1,5-COUNT('Assumptions'!AF117:AF121)),0)+IF(AND('Sites'!E8*'Cases'!F10=1,('Sites'!F8+'Cases'!G10)&lt;=36,'Sites'!G8&gt;=25),IF(ISNUMBER('Sites'!Q8),0,1)+'Capital'!I8+COUNTBLANK('Sites'!R8)+IF('Sites'!D8="NM crew",COUNTBLANK('NM Play'!B25)+1,5-COUNT('Assumptions'!AF122:AF126)),0)+IF(AND('Cases'!C10&gt;0,NOT(ISNUMBER('Assumptions'!B42))),1,0)+'Responsibilities'!$B$39</f>
        <v/>
      </c>
      <c r="BK178" s="137">
        <f>'Assumptions'!$B$50+'NM Play'!$B$83+'Funding'!$F$20+SUMIFS('Production schedule'!$AN$438:$AN$545,'Production schedule'!$C$438:$C$545,29)+IF(OR('Cases'!E10&lt;0,'Cases'!E10&gt;1,'Cases'!C10&lt;0,'Cases'!D10&lt;0,ABS(SUM('Sites'!S6:S8)-1)&gt;0.0001,MIN('Capital'!F6:F8)&lt;0,MAX('Capital'!F6:F8)&gt;1,MIN(AX178,AZ178,BB178,BA178)&lt;-0.01),1,0)+'Responsibilities'!$B$40</f>
        <v/>
      </c>
      <c r="BL178" s="137">
        <f>SUMIFS('Production schedule'!$T$438:$T$545,'Production schedule'!$C$438:$C$545,29)</f>
        <v/>
      </c>
      <c r="BM178" s="137">
        <f>D178*'NM Play'!$B$38</f>
        <v/>
      </c>
      <c r="BN178" s="137">
        <f>SUMIFS('Production schedule'!$AM$438:$AM$545,'Production schedule'!$C$438:$C$545,29)</f>
        <v/>
      </c>
      <c r="BO178" s="137">
        <f>AK178-AK177-AJ178</f>
        <v/>
      </c>
      <c r="BP178" s="137">
        <f>IF(AND('Assumptions'!$B$39&gt;=0,'Assumptions'!$B$40&gt;0),-PMT('Assumptions'!$B$39/12,'Assumptions'!$B$40*12,IF('Funding'!$N$11&gt;0,'Funding'!$N$11,'Funding'!$V$11)),"")</f>
        <v/>
      </c>
      <c r="BQ178">
        <f>('Production schedule'!AJ466)*(1-'Responsibilities'!$C$6)+('Production schedule'!AJ502)*(1-'Responsibilities'!$C$7)+('Production schedule'!AJ538)*(1-'Responsibilities'!$C$8)</f>
        <v/>
      </c>
      <c r="BR178">
        <f>('Production schedule'!AI466)*(1-'Responsibilities'!$D$6)+('Production schedule'!AI502)*(1-'Responsibilities'!$D$7)+('Production schedule'!AI538)*(1-'Responsibilities'!$D$8)</f>
        <v/>
      </c>
      <c r="BS178">
        <f>('Production schedule'!E466*(IF('Sites'!D6="Annual staff",SUM('Assumptions'!AF112,'Assumptions'!AF114),0)+SUM('Assumptions'!AF113,'Assumptions'!AF115:AF116)))*(1-'Responsibilities'!$E$6)+('Production schedule'!E502*(IF('Sites'!D7="Annual staff",SUM('Assumptions'!AF117,'Assumptions'!AF119),0)+SUM('Assumptions'!AF118,'Assumptions'!AF120:AF121)))*(1-'Responsibilities'!$E$7)+('Production schedule'!E538*(IF('Sites'!D8="Annual staff",SUM('Assumptions'!AF122,'Assumptions'!AF124),0)+SUM('Assumptions'!AF123,'Assumptions'!AF125:AF126)))*(1-'Responsibilities'!$E$8)</f>
        <v/>
      </c>
      <c r="BT178">
        <f>(IF(AND('Production schedule'!E466=1,29=MAX(('Sites'!F6),25),ISNUMBER('Sites'!Q6)),'Sites'!Q6*'Assumptions'!$B$44,0))*(1-'Responsibilities'!$F$6)+(IF(AND('Production schedule'!E502=1,29=MAX(('Sites'!F7+'Cases'!G10),25),ISNUMBER('Sites'!Q7)),'Sites'!Q7*'Assumptions'!$B$44,0))*(1-'Responsibilities'!$F$7)+(IF(AND('Production schedule'!E538=1,29=MAX(('Sites'!F8+'Cases'!G10),25),ISNUMBER('Sites'!Q8)),'Sites'!Q8*'Assumptions'!$B$44,0))*(1-'Responsibilities'!$F$8)</f>
        <v/>
      </c>
      <c r="BU178">
        <f>SUM('Costs'!E36)*'Costs'!F36/12*(1-'Responsibilities'!$C$12)+SUM('Costs'!E37)*'Costs'!F37/12*(1-'Responsibilities'!$C$13)+SUM('Costs'!E38)*'Costs'!F38/12*(1-'Responsibilities'!$C$14)+SUM('Costs'!E39)*'Costs'!F39/12*(1-'Responsibilities'!$C$15)+SUM('Costs'!E40)*'Costs'!F40/12*(1-'Responsibilities'!$C$16)</f>
        <v/>
      </c>
      <c r="BV178">
        <f>('Sites'!E6*'Capital'!E6*(IF(29='Capital'!G6,'Capital'!F6,0)+IF(29='Capital'!H6,1-'Capital'!F6,0)))*(1-'Responsibilities'!$G$6)+('Sites'!E7*'Capital'!E7*(IF(29='Capital'!G7+'Cases'!G10,'Capital'!F7,0)+IF(29='Capital'!H7+'Cases'!G10,1-'Capital'!F7,0)))*(1-'Responsibilities'!$G$7)+('Sites'!E8*'Cases'!F10*'Capital'!E8*(IF(29='Capital'!G8+'Cases'!G10,'Capital'!F8,0)+IF(29='Capital'!H8+'Cases'!G10,1-'Capital'!F8,0)))*(1-'Responsibilities'!$G$8)</f>
        <v/>
      </c>
      <c r="BW178">
        <f>SUM(BQ178:BV178)</f>
        <v/>
      </c>
      <c r="BX178">
        <f>N178+BW178</f>
        <v/>
      </c>
      <c r="BY178">
        <f>BX178-(('Production schedule'!AJ466)*'Responsibilities'!$C$6+('Production schedule'!AJ502)*'Responsibilities'!$C$7+('Production schedule'!AJ538)*'Responsibilities'!$C$8+('Production schedule'!AJ466)*(1-'Responsibilities'!$C$6)+('Production schedule'!AJ502)*(1-'Responsibilities'!$C$7)+('Production schedule'!AJ538)*(1-'Responsibilities'!$C$8)+('Production schedule'!AI466)*'Responsibilities'!$D$6+('Production schedule'!AI502)*'Responsibilities'!$D$7+('Production schedule'!AI538)*'Responsibilities'!$D$8+('Production schedule'!AI466)*(1-'Responsibilities'!$D$6)+('Production schedule'!AI502)*(1-'Responsibilities'!$D$7)+('Production schedule'!AI538)*(1-'Responsibilities'!$D$8)+('Production schedule'!E466*(IF('Sites'!D6="Annual staff",SUM('Assumptions'!AF112,'Assumptions'!AF114),0)+SUM('Assumptions'!AF113,'Assumptions'!AF115:AF116)))*'Responsibilities'!$E$6+('Production schedule'!E502*(IF('Sites'!D7="Annual staff",SUM('Assumptions'!AF117,'Assumptions'!AF119),0)+SUM('Assumptions'!AF118,'Assumptions'!AF120:AF121)))*'Responsibilities'!$E$7+('Production schedule'!E538*(IF('Sites'!D8="Annual staff",SUM('Assumptions'!AF122,'Assumptions'!AF124),0)+SUM('Assumptions'!AF123,'Assumptions'!AF125:AF126)))*'Responsibilities'!$E$8+('Production schedule'!E466*(IF('Sites'!D6="Annual staff",SUM('Assumptions'!AF112,'Assumptions'!AF114),0)+SUM('Assumptions'!AF113,'Assumptions'!AF115:AF116)))*(1-'Responsibilities'!$E$6)+('Production schedule'!E502*(IF('Sites'!D7="Annual staff",SUM('Assumptions'!AF117,'Assumptions'!AF119),0)+SUM('Assumptions'!AF118,'Assumptions'!AF120:AF121)))*(1-'Responsibilities'!$E$7)+('Production schedule'!E538*(IF('Sites'!D8="Annual staff",SUM('Assumptions'!AF122,'Assumptions'!AF124),0)+SUM('Assumptions'!AF123,'Assumptions'!AF125:AF126)))*(1-'Responsibilities'!$E$8)+(IF(AND('Production schedule'!E466=1,29=MAX(('Sites'!F6),25),ISNUMBER('Sites'!Q6)),'Sites'!Q6*'Assumptions'!$B$44,0))*'Responsibilities'!$F$6+(IF(AND('Production schedule'!E502=1,29=MAX(('Sites'!F7+'Cases'!G10),25),ISNUMBER('Sites'!Q7)),'Sites'!Q7*'Assumptions'!$B$44,0))*'Responsibilities'!$F$7+(IF(AND('Production schedule'!E538=1,29=MAX(('Sites'!F8+'Cases'!G10),25),ISNUMBER('Sites'!Q8)),'Sites'!Q8*'Assumptions'!$B$44,0))*'Responsibilities'!$F$8+(IF(AND('Production schedule'!E466=1,29=MAX(('Sites'!F6),25),ISNUMBER('Sites'!Q6)),'Sites'!Q6*'Assumptions'!$B$44,0))*(1-'Responsibilities'!$F$6)+(IF(AND('Production schedule'!E502=1,29=MAX(('Sites'!F7+'Cases'!G10),25),ISNUMBER('Sites'!Q7)),'Sites'!Q7*'Assumptions'!$B$44,0))*(1-'Responsibilities'!$F$7)+(IF(AND('Production schedule'!E538=1,29=MAX(('Sites'!F8+'Cases'!G10),25),ISNUMBER('Sites'!Q8)),'Sites'!Q8*'Assumptions'!$B$44,0))*(1-'Responsibilities'!$F$8)+('Sites'!E6*'Capital'!E6*(IF(29='Capital'!G6,'Capital'!F6,0)+IF(29='Capital'!H6,1-'Capital'!F6,0)))*'Responsibilities'!$G$6+('Sites'!E7*'Capital'!E7*(IF(29='Capital'!G7+'Cases'!G10,'Capital'!F7,0)+IF(29='Capital'!H7+'Cases'!G10,1-'Capital'!F7,0)))*'Responsibilities'!$G$7+('Sites'!E8*'Cases'!F10*'Capital'!E8*(IF(29='Capital'!G8+'Cases'!G10,'Capital'!F8,0)+IF(29='Capital'!H8+'Cases'!G10,1-'Capital'!F8,0)))*'Responsibilities'!$G$8+('Sites'!E6*'Capital'!E6*(IF(29='Capital'!G6,'Capital'!F6,0)+IF(29='Capital'!H6,1-'Capital'!F6,0)))*(1-'Responsibilities'!$G$6)+('Sites'!E7*'Capital'!E7*(IF(29='Capital'!G7+'Cases'!G10,'Capital'!F7,0)+IF(29='Capital'!H7+'Cases'!G10,1-'Capital'!F7,0)))*(1-'Responsibilities'!$G$7)+('Sites'!E8*'Cases'!F10*'Capital'!E8*(IF(29='Capital'!G8+'Cases'!G10,'Capital'!F8,0)+IF(29='Capital'!H8+'Cases'!G10,1-'Capital'!F8,0)))*(1-'Responsibilities'!$G$8)+I178+SUMPRODUCT('Costs'!$E$36:$E$40,'Costs'!$F$36:$F$40)/12+BZ178)</f>
        <v/>
      </c>
      <c r="BZ178">
        <f>SUMIFS('Responsibilities'!$B$31:$B$35,'Responsibilities'!$C$31:$C$35,29,'Responsibilities'!$D$31:$D$35,"Yes")</f>
        <v/>
      </c>
    </row>
    <row r="179" ht="28" customHeight="1">
      <c r="A179" s="4" t="inlineStr">
        <is>
          <t>Lower sales</t>
        </is>
      </c>
      <c r="B179" s="4" t="n">
        <v>30</v>
      </c>
      <c r="C179" s="4">
        <f>ROUNDUP(B179/12,0)</f>
        <v/>
      </c>
      <c r="D179" s="137">
        <f>SUMIFS('Production schedule'!$N$438:$N$545,'Production schedule'!$C$438:$C$545,30)</f>
        <v/>
      </c>
      <c r="E179" s="137">
        <f>SUMIFS('Production schedule'!$Y$438:$Y$545,'Production schedule'!$C$438:$C$545,30)</f>
        <v/>
      </c>
      <c r="F179" s="137">
        <f>SUMIFS('Production schedule'!$Z$438:$Z$545,'Production schedule'!$C$438:$C$545,30)</f>
        <v/>
      </c>
      <c r="G179" s="137">
        <f>('Production schedule'!AJ467)*'Responsibilities'!$C$6+('Production schedule'!AJ503)*'Responsibilities'!$C$7+('Production schedule'!AJ539)*'Responsibilities'!$C$8</f>
        <v/>
      </c>
      <c r="H179" s="137">
        <f>('Production schedule'!AI467)*'Responsibilities'!$D$6+('Production schedule'!AI503)*'Responsibilities'!$D$7+('Production schedule'!AI539)*'Responsibilities'!$D$8</f>
        <v/>
      </c>
      <c r="I179" s="137">
        <f>SUM('Assumptions'!AG58:AG65)</f>
        <v/>
      </c>
      <c r="J179" s="137">
        <f>('Production schedule'!E467*(IF('Sites'!D6="Annual staff",SUM('Assumptions'!AG112,'Assumptions'!AG114),0)+SUM('Assumptions'!AG113,'Assumptions'!AG115:AG116)))*'Responsibilities'!$E$6+('Production schedule'!E503*(IF('Sites'!D7="Annual staff",SUM('Assumptions'!AG117,'Assumptions'!AG119),0)+SUM('Assumptions'!AG118,'Assumptions'!AG120:AG121)))*'Responsibilities'!$E$7+('Production schedule'!E539*(IF('Sites'!D8="Annual staff",SUM('Assumptions'!AG122,'Assumptions'!AG124),0)+SUM('Assumptions'!AG123,'Assumptions'!AG125:AG126)))*'Responsibilities'!$E$8</f>
        <v/>
      </c>
      <c r="K179" s="137">
        <f>(IF(AND('Production schedule'!E467=1,30=MAX(('Sites'!F6),25),ISNUMBER('Sites'!Q6)),'Sites'!Q6*'Assumptions'!$B$44,0))*'Responsibilities'!$F$6+(IF(AND('Production schedule'!E503=1,30=MAX(('Sites'!F7+'Cases'!G10),25),ISNUMBER('Sites'!Q7)),'Sites'!Q7*'Assumptions'!$B$44,0))*'Responsibilities'!$F$7+(IF(AND('Production schedule'!E539=1,30=MAX(('Sites'!F8+'Cases'!G10),25),ISNUMBER('Sites'!Q8)),'Sites'!Q8*'Assumptions'!$B$44,0))*'Responsibilities'!$F$8</f>
        <v/>
      </c>
      <c r="L179" s="137">
        <f>SUM('Costs'!E36)*'Costs'!F36/12*'Responsibilities'!$C$12+SUM('Costs'!E37)*'Costs'!F37/12*'Responsibilities'!$C$13+SUM('Costs'!E38)*'Costs'!F38/12*'Responsibilities'!$C$14+SUM('Costs'!E39)*'Costs'!F39/12*'Responsibilities'!$C$15+SUM('Costs'!E40)*'Costs'!F40/12*'Responsibilities'!$C$16+BZ179</f>
        <v/>
      </c>
      <c r="M179" s="137">
        <f>('Sites'!E6*'Capital'!E6*(IF(30='Capital'!G6,'Capital'!F6,0)+IF(30='Capital'!H6,1-'Capital'!F6,0)))*'Responsibilities'!$G$6+('Sites'!E7*'Capital'!E7*(IF(30='Capital'!G7+'Cases'!G10,'Capital'!F7,0)+IF(30='Capital'!H7+'Cases'!G10,1-'Capital'!F7,0)))*'Responsibilities'!$G$7+('Sites'!E8*'Cases'!F10*'Capital'!E8*(IF(30='Capital'!G8+'Cases'!G10,'Capital'!F8,0)+IF(30='Capital'!H8+'Cases'!G10,1-'Capital'!F8,0)))*'Responsibilities'!$G$8</f>
        <v/>
      </c>
      <c r="N179" s="137">
        <f>SUM(G179:M179)</f>
        <v/>
      </c>
      <c r="O179" s="137">
        <f>SUMIFS(FundingTranches[Secured amount],FundingTranches[Instrument],"Grant",FundingTranches[Secured month],30)</f>
        <v/>
      </c>
      <c r="P179" s="137">
        <f>SUMIFS(FundingTranches[Lower sales possible],FundingTranches[Instrument],"Grant",FundingTranches[Scenario month],30-'Cases'!$D$10)</f>
        <v/>
      </c>
      <c r="Q179" s="137">
        <f>SUMIFS(FundingTranches[Secured amount],FundingTranches[Instrument],"Loan",FundingTranches[Secured month],30)</f>
        <v/>
      </c>
      <c r="R179" s="137">
        <f>SUMIFS(FundingTranches[Lower sales possible],FundingTranches[Instrument],"Loan",FundingTranches[Scenario month],30-'Cases'!$D$10)</f>
        <v/>
      </c>
      <c r="S179" s="137">
        <f>IF(30&lt;='Assumptions'!$B$34,0,SUMIFS('Production schedule'!$AL$438:$AL$545,'Production schedule'!$C$438:$C$545,30-'Assumptions'!$B$34))</f>
        <v/>
      </c>
      <c r="T179" s="137">
        <f>'Assumptions'!AG70</f>
        <v/>
      </c>
      <c r="U179" s="137">
        <f>'Assumptions'!AG78</f>
        <v/>
      </c>
      <c r="V179" s="137">
        <f>SUM(O179:U179)</f>
        <v/>
      </c>
      <c r="W179" s="137">
        <f>AA178</f>
        <v/>
      </c>
      <c r="X179" s="137">
        <f>SUM(Q179:R179)</f>
        <v/>
      </c>
      <c r="Y179" s="137">
        <f>SUM(W179,X179)*'Assumptions'!$B$39/12</f>
        <v/>
      </c>
      <c r="Z179" s="137">
        <f>IF(SUM(W179,X179)&gt;0,MIN(SUM(W179,X179),MAX(0,BP179-Y179)),0)</f>
        <v/>
      </c>
      <c r="AA179" s="137">
        <f>SUM(W179,X179)-Z179</f>
        <v/>
      </c>
      <c r="AB179" s="137">
        <f>SUM(Y179:Z179)</f>
        <v/>
      </c>
      <c r="AC179" s="137">
        <f>'Assumptions'!AG72</f>
        <v/>
      </c>
      <c r="AD179" s="137">
        <f>'Assumptions'!AG73</f>
        <v/>
      </c>
      <c r="AE179" s="137">
        <f>IF(X179&gt;0,SUM('Assumptions'!$B$42),0)</f>
        <v/>
      </c>
      <c r="AF179" s="137">
        <f>'Assumptions'!AG71</f>
        <v/>
      </c>
      <c r="AG179" s="137">
        <f>'Assumptions'!AG74</f>
        <v/>
      </c>
      <c r="AH179" s="137">
        <f>'Assumptions'!AG75</f>
        <v/>
      </c>
      <c r="AI179" s="137">
        <f>'Assumptions'!AG77</f>
        <v/>
      </c>
      <c r="AJ179" s="137">
        <f>V179-N179-SUM(AB179:AI179)</f>
        <v/>
      </c>
      <c r="AK179" s="137">
        <f>SUM(AJ150:AJ179)</f>
        <v/>
      </c>
      <c r="AL179" s="137">
        <f>IF(ISNUMBER('Assumptions'!$B$10),'Assumptions'!$B$10+AK179,"")</f>
        <v/>
      </c>
      <c r="AM179" s="137">
        <f>SUM(O179,Q179,T179)-N179-SUM(AC179:AI179)+IF('Funding'!$N$11=0,AE179,0)-IF('Funding'!$N$11&gt;0,AB179,0)</f>
        <v/>
      </c>
      <c r="AN179" s="137">
        <f>SUM(AM150:AM179)</f>
        <v/>
      </c>
      <c r="AO179" s="137">
        <f>IF(ISNUMBER('Assumptions'!$B$10),'Assumptions'!$B$10+AN179,"")</f>
        <v/>
      </c>
      <c r="AP179" s="137">
        <f>('Production schedule'!AK467)*'Responsibilities'!$C$6+('Production schedule'!AK503)*'Responsibilities'!$C$7+('Production schedule'!AK539)*'Responsibilities'!$C$8</f>
        <v/>
      </c>
      <c r="AQ179" s="137">
        <f>SUMIFS('Production schedule'!$AL$438:$AL$545,'Production schedule'!$C$438:$C$545,30)</f>
        <v/>
      </c>
      <c r="AR179" s="137">
        <f>IF(ISNUMBER('Assumptions'!AG76),'Assumptions'!AG76,SUM(O179:P179))</f>
        <v/>
      </c>
      <c r="AS179" s="137">
        <f>IF(ISNUMBER('Assumptions'!$B$13),MIN('Assumptions'!$B$13/'Assumptions'!$B$18/12,MAX(0,'Assumptions'!$B$13-(30-1)*'Assumptions'!$B$13/'Assumptions'!$B$18/12)),0)+IF(AND('Sites'!E6=1,30&gt;=('Sites'!F6),30&lt;('Sites'!F6)+'Assumptions'!$B$18*12),'Capital'!E6/'Assumptions'!$B$18/12,0)+IF(AND('Sites'!E7=1,30&gt;=('Sites'!F7+'Cases'!G10),30&lt;('Sites'!F7+'Cases'!G10)+'Assumptions'!$B$18*12),'Capital'!E7/'Assumptions'!$B$18/12,0)+IF(AND('Sites'!E8*'Cases'!F10=1,30&gt;=('Sites'!F8+'Cases'!G10),30&lt;('Sites'!F8+'Cases'!G10)+'Assumptions'!$B$18*12),'Capital'!E8/'Assumptions'!$B$18/12,0)</f>
        <v/>
      </c>
      <c r="AT179" s="137">
        <f>SUM(AQ179,AR179,U179)-AP179-SUM(H179:L179)-AS179-SUM(Y179,AD179,AE179,AH179)</f>
        <v/>
      </c>
      <c r="AU179" s="137">
        <f>IF(ISNUMBER('Assumptions'!$B$19),MAX(0,SUM(AT174:AT179))*'Assumptions'!$B$19-SUM(AU174:AU178),"")</f>
        <v/>
      </c>
      <c r="AV179" s="137">
        <f>IF(ISNUMBER(AU179),AT179-AU179,"")</f>
        <v/>
      </c>
      <c r="AW179" s="137">
        <f>IF(ISNUMBER('Assumptions'!$B$11),'Assumptions'!$B$11+SUM(AQ150:AQ179)-SUM(S150:S179)-SUM(T150:T179),"")</f>
        <v/>
      </c>
      <c r="AX179" s="137">
        <f>IF(ISNUMBER('Assumptions'!$B$12),'Assumptions'!$B$12+SUM(G150:G179)-SUM(AP150:AP179),"")</f>
        <v/>
      </c>
      <c r="AY179" s="137">
        <f>IF(ISNUMBER('Assumptions'!$B$13),'Assumptions'!$B$13+SUM(M150:M179)-SUM(AS150:AS179),"")</f>
        <v/>
      </c>
      <c r="AZ179" s="137">
        <f>IF(ISNUMBER('Assumptions'!$B$14),'Assumptions'!$B$14+-SUM(AF150:AF179),"")</f>
        <v/>
      </c>
      <c r="BA179" s="137">
        <f>IF(ISNUMBER('Assumptions'!$B$15),'Assumptions'!$B$15+SUM(O150:O179)+SUM(P150:P179)-SUM(AR150:AR179),"")</f>
        <v/>
      </c>
      <c r="BB179" s="137">
        <f>IF(ISNUMBER('Assumptions'!$B$16),'Assumptions'!$B$16+-SUM(AC150:AC179),"")</f>
        <v/>
      </c>
      <c r="BC179" s="137">
        <f>IF(AND(ISNUMBER('Assumptions'!$B$21),ISNUMBER('Assumptions'!$B$19)),'Assumptions'!$B$21+SUM(AU150:AU179)-SUM(AG150:AG179),"")</f>
        <v/>
      </c>
      <c r="BD179" s="137">
        <f>IF(ISNUMBER('Assumptions'!$B$20),'Assumptions'!$B$20+-SUM(AI150:AI179),"")</f>
        <v/>
      </c>
      <c r="BE179" s="137">
        <f>IF(AND(ISNUMBER('Assumptions'!$B$17),COUNT(AV150:AV179)=30),'Assumptions'!$B$17+SUM(AV150:AV179),"")</f>
        <v/>
      </c>
      <c r="BF179" s="137">
        <f>IF(COUNT(AL179,AW179:AY179)=4,SUM(AL179,AW179:AY179),"")</f>
        <v/>
      </c>
      <c r="BG179" s="137">
        <f>IF(COUNT(AZ179:BD179)=5,SUM(AZ179:BD179,AA179),"")</f>
        <v/>
      </c>
      <c r="BH179" s="137">
        <f>IF(COUNT(BF179,BG179,BE179)=3,BF179-BG179-BE179,"")</f>
        <v/>
      </c>
      <c r="BI179" s="137">
        <f>SUM(W179,X179)-Z179-AA179</f>
        <v/>
      </c>
      <c r="BJ179" s="137">
        <f>8-COUNT('Assumptions'!AG58:AG65)+COUNTBLANK('NM Play'!B33:B34)+'Costs'!E44+IF(AND('Sites'!E6=1,('Sites'!F6)&lt;=36,'Sites'!G6&gt;=25),IF(ISNUMBER('Sites'!Q6),0,1)+'Capital'!I6+COUNTBLANK('Sites'!R6)+IF('Sites'!D6="NM crew",COUNTBLANK('NM Play'!B25)+1,5-COUNT('Assumptions'!AG112:AG116)),0)+IF(AND('Sites'!E7=1,('Sites'!F7+'Cases'!G10)&lt;=36,'Sites'!G7&gt;=25),IF(ISNUMBER('Sites'!Q7),0,1)+'Capital'!I7+COUNTBLANK('Sites'!R7)+IF('Sites'!D7="NM crew",COUNTBLANK('NM Play'!B25)+1,5-COUNT('Assumptions'!AG117:AG121)),0)+IF(AND('Sites'!E8*'Cases'!F10=1,('Sites'!F8+'Cases'!G10)&lt;=36,'Sites'!G8&gt;=25),IF(ISNUMBER('Sites'!Q8),0,1)+'Capital'!I8+COUNTBLANK('Sites'!R8)+IF('Sites'!D8="NM crew",COUNTBLANK('NM Play'!B25)+1,5-COUNT('Assumptions'!AG122:AG126)),0)+IF(AND('Cases'!C10&gt;0,NOT(ISNUMBER('Assumptions'!B42))),1,0)+'Responsibilities'!$B$39</f>
        <v/>
      </c>
      <c r="BK179" s="137">
        <f>'Assumptions'!$B$50+'NM Play'!$B$83+'Funding'!$F$20+SUMIFS('Production schedule'!$AN$438:$AN$545,'Production schedule'!$C$438:$C$545,30)+IF(OR('Cases'!E10&lt;0,'Cases'!E10&gt;1,'Cases'!C10&lt;0,'Cases'!D10&lt;0,ABS(SUM('Sites'!S6:S8)-1)&gt;0.0001,MIN('Capital'!F6:F8)&lt;0,MAX('Capital'!F6:F8)&gt;1,MIN(AX179,AZ179,BB179,BA179)&lt;-0.01),1,0)+'Responsibilities'!$B$40</f>
        <v/>
      </c>
      <c r="BL179" s="137">
        <f>SUMIFS('Production schedule'!$T$438:$T$545,'Production schedule'!$C$438:$C$545,30)</f>
        <v/>
      </c>
      <c r="BM179" s="137">
        <f>D179*'NM Play'!$B$38</f>
        <v/>
      </c>
      <c r="BN179" s="137">
        <f>SUMIFS('Production schedule'!$AM$438:$AM$545,'Production schedule'!$C$438:$C$545,30)</f>
        <v/>
      </c>
      <c r="BO179" s="137">
        <f>AK179-AK178-AJ179</f>
        <v/>
      </c>
      <c r="BP179" s="137">
        <f>IF(AND('Assumptions'!$B$39&gt;=0,'Assumptions'!$B$40&gt;0),-PMT('Assumptions'!$B$39/12,'Assumptions'!$B$40*12,IF('Funding'!$N$11&gt;0,'Funding'!$N$11,'Funding'!$V$11)),"")</f>
        <v/>
      </c>
      <c r="BQ179">
        <f>('Production schedule'!AJ467)*(1-'Responsibilities'!$C$6)+('Production schedule'!AJ503)*(1-'Responsibilities'!$C$7)+('Production schedule'!AJ539)*(1-'Responsibilities'!$C$8)</f>
        <v/>
      </c>
      <c r="BR179">
        <f>('Production schedule'!AI467)*(1-'Responsibilities'!$D$6)+('Production schedule'!AI503)*(1-'Responsibilities'!$D$7)+('Production schedule'!AI539)*(1-'Responsibilities'!$D$8)</f>
        <v/>
      </c>
      <c r="BS179">
        <f>('Production schedule'!E467*(IF('Sites'!D6="Annual staff",SUM('Assumptions'!AG112,'Assumptions'!AG114),0)+SUM('Assumptions'!AG113,'Assumptions'!AG115:AG116)))*(1-'Responsibilities'!$E$6)+('Production schedule'!E503*(IF('Sites'!D7="Annual staff",SUM('Assumptions'!AG117,'Assumptions'!AG119),0)+SUM('Assumptions'!AG118,'Assumptions'!AG120:AG121)))*(1-'Responsibilities'!$E$7)+('Production schedule'!E539*(IF('Sites'!D8="Annual staff",SUM('Assumptions'!AG122,'Assumptions'!AG124),0)+SUM('Assumptions'!AG123,'Assumptions'!AG125:AG126)))*(1-'Responsibilities'!$E$8)</f>
        <v/>
      </c>
      <c r="BT179">
        <f>(IF(AND('Production schedule'!E467=1,30=MAX(('Sites'!F6),25),ISNUMBER('Sites'!Q6)),'Sites'!Q6*'Assumptions'!$B$44,0))*(1-'Responsibilities'!$F$6)+(IF(AND('Production schedule'!E503=1,30=MAX(('Sites'!F7+'Cases'!G10),25),ISNUMBER('Sites'!Q7)),'Sites'!Q7*'Assumptions'!$B$44,0))*(1-'Responsibilities'!$F$7)+(IF(AND('Production schedule'!E539=1,30=MAX(('Sites'!F8+'Cases'!G10),25),ISNUMBER('Sites'!Q8)),'Sites'!Q8*'Assumptions'!$B$44,0))*(1-'Responsibilities'!$F$8)</f>
        <v/>
      </c>
      <c r="BU179">
        <f>SUM('Costs'!E36)*'Costs'!F36/12*(1-'Responsibilities'!$C$12)+SUM('Costs'!E37)*'Costs'!F37/12*(1-'Responsibilities'!$C$13)+SUM('Costs'!E38)*'Costs'!F38/12*(1-'Responsibilities'!$C$14)+SUM('Costs'!E39)*'Costs'!F39/12*(1-'Responsibilities'!$C$15)+SUM('Costs'!E40)*'Costs'!F40/12*(1-'Responsibilities'!$C$16)</f>
        <v/>
      </c>
      <c r="BV179">
        <f>('Sites'!E6*'Capital'!E6*(IF(30='Capital'!G6,'Capital'!F6,0)+IF(30='Capital'!H6,1-'Capital'!F6,0)))*(1-'Responsibilities'!$G$6)+('Sites'!E7*'Capital'!E7*(IF(30='Capital'!G7+'Cases'!G10,'Capital'!F7,0)+IF(30='Capital'!H7+'Cases'!G10,1-'Capital'!F7,0)))*(1-'Responsibilities'!$G$7)+('Sites'!E8*'Cases'!F10*'Capital'!E8*(IF(30='Capital'!G8+'Cases'!G10,'Capital'!F8,0)+IF(30='Capital'!H8+'Cases'!G10,1-'Capital'!F8,0)))*(1-'Responsibilities'!$G$8)</f>
        <v/>
      </c>
      <c r="BW179">
        <f>SUM(BQ179:BV179)</f>
        <v/>
      </c>
      <c r="BX179">
        <f>N179+BW179</f>
        <v/>
      </c>
      <c r="BY179">
        <f>BX179-(('Production schedule'!AJ467)*'Responsibilities'!$C$6+('Production schedule'!AJ503)*'Responsibilities'!$C$7+('Production schedule'!AJ539)*'Responsibilities'!$C$8+('Production schedule'!AJ467)*(1-'Responsibilities'!$C$6)+('Production schedule'!AJ503)*(1-'Responsibilities'!$C$7)+('Production schedule'!AJ539)*(1-'Responsibilities'!$C$8)+('Production schedule'!AI467)*'Responsibilities'!$D$6+('Production schedule'!AI503)*'Responsibilities'!$D$7+('Production schedule'!AI539)*'Responsibilities'!$D$8+('Production schedule'!AI467)*(1-'Responsibilities'!$D$6)+('Production schedule'!AI503)*(1-'Responsibilities'!$D$7)+('Production schedule'!AI539)*(1-'Responsibilities'!$D$8)+('Production schedule'!E467*(IF('Sites'!D6="Annual staff",SUM('Assumptions'!AG112,'Assumptions'!AG114),0)+SUM('Assumptions'!AG113,'Assumptions'!AG115:AG116)))*'Responsibilities'!$E$6+('Production schedule'!E503*(IF('Sites'!D7="Annual staff",SUM('Assumptions'!AG117,'Assumptions'!AG119),0)+SUM('Assumptions'!AG118,'Assumptions'!AG120:AG121)))*'Responsibilities'!$E$7+('Production schedule'!E539*(IF('Sites'!D8="Annual staff",SUM('Assumptions'!AG122,'Assumptions'!AG124),0)+SUM('Assumptions'!AG123,'Assumptions'!AG125:AG126)))*'Responsibilities'!$E$8+('Production schedule'!E467*(IF('Sites'!D6="Annual staff",SUM('Assumptions'!AG112,'Assumptions'!AG114),0)+SUM('Assumptions'!AG113,'Assumptions'!AG115:AG116)))*(1-'Responsibilities'!$E$6)+('Production schedule'!E503*(IF('Sites'!D7="Annual staff",SUM('Assumptions'!AG117,'Assumptions'!AG119),0)+SUM('Assumptions'!AG118,'Assumptions'!AG120:AG121)))*(1-'Responsibilities'!$E$7)+('Production schedule'!E539*(IF('Sites'!D8="Annual staff",SUM('Assumptions'!AG122,'Assumptions'!AG124),0)+SUM('Assumptions'!AG123,'Assumptions'!AG125:AG126)))*(1-'Responsibilities'!$E$8)+(IF(AND('Production schedule'!E467=1,30=MAX(('Sites'!F6),25),ISNUMBER('Sites'!Q6)),'Sites'!Q6*'Assumptions'!$B$44,0))*'Responsibilities'!$F$6+(IF(AND('Production schedule'!E503=1,30=MAX(('Sites'!F7+'Cases'!G10),25),ISNUMBER('Sites'!Q7)),'Sites'!Q7*'Assumptions'!$B$44,0))*'Responsibilities'!$F$7+(IF(AND('Production schedule'!E539=1,30=MAX(('Sites'!F8+'Cases'!G10),25),ISNUMBER('Sites'!Q8)),'Sites'!Q8*'Assumptions'!$B$44,0))*'Responsibilities'!$F$8+(IF(AND('Production schedule'!E467=1,30=MAX(('Sites'!F6),25),ISNUMBER('Sites'!Q6)),'Sites'!Q6*'Assumptions'!$B$44,0))*(1-'Responsibilities'!$F$6)+(IF(AND('Production schedule'!E503=1,30=MAX(('Sites'!F7+'Cases'!G10),25),ISNUMBER('Sites'!Q7)),'Sites'!Q7*'Assumptions'!$B$44,0))*(1-'Responsibilities'!$F$7)+(IF(AND('Production schedule'!E539=1,30=MAX(('Sites'!F8+'Cases'!G10),25),ISNUMBER('Sites'!Q8)),'Sites'!Q8*'Assumptions'!$B$44,0))*(1-'Responsibilities'!$F$8)+('Sites'!E6*'Capital'!E6*(IF(30='Capital'!G6,'Capital'!F6,0)+IF(30='Capital'!H6,1-'Capital'!F6,0)))*'Responsibilities'!$G$6+('Sites'!E7*'Capital'!E7*(IF(30='Capital'!G7+'Cases'!G10,'Capital'!F7,0)+IF(30='Capital'!H7+'Cases'!G10,1-'Capital'!F7,0)))*'Responsibilities'!$G$7+('Sites'!E8*'Cases'!F10*'Capital'!E8*(IF(30='Capital'!G8+'Cases'!G10,'Capital'!F8,0)+IF(30='Capital'!H8+'Cases'!G10,1-'Capital'!F8,0)))*'Responsibilities'!$G$8+('Sites'!E6*'Capital'!E6*(IF(30='Capital'!G6,'Capital'!F6,0)+IF(30='Capital'!H6,1-'Capital'!F6,0)))*(1-'Responsibilities'!$G$6)+('Sites'!E7*'Capital'!E7*(IF(30='Capital'!G7+'Cases'!G10,'Capital'!F7,0)+IF(30='Capital'!H7+'Cases'!G10,1-'Capital'!F7,0)))*(1-'Responsibilities'!$G$7)+('Sites'!E8*'Cases'!F10*'Capital'!E8*(IF(30='Capital'!G8+'Cases'!G10,'Capital'!F8,0)+IF(30='Capital'!H8+'Cases'!G10,1-'Capital'!F8,0)))*(1-'Responsibilities'!$G$8)+I179+SUMPRODUCT('Costs'!$E$36:$E$40,'Costs'!$F$36:$F$40)/12+BZ179)</f>
        <v/>
      </c>
      <c r="BZ179">
        <f>SUMIFS('Responsibilities'!$B$31:$B$35,'Responsibilities'!$C$31:$C$35,30,'Responsibilities'!$D$31:$D$35,"Yes")</f>
        <v/>
      </c>
    </row>
    <row r="180" ht="28" customHeight="1">
      <c r="A180" s="4" t="inlineStr">
        <is>
          <t>Lower sales</t>
        </is>
      </c>
      <c r="B180" s="4" t="n">
        <v>31</v>
      </c>
      <c r="C180" s="4">
        <f>ROUNDUP(B180/12,0)</f>
        <v/>
      </c>
      <c r="D180" s="137">
        <f>SUMIFS('Production schedule'!$N$438:$N$545,'Production schedule'!$C$438:$C$545,31)</f>
        <v/>
      </c>
      <c r="E180" s="137">
        <f>SUMIFS('Production schedule'!$Y$438:$Y$545,'Production schedule'!$C$438:$C$545,31)</f>
        <v/>
      </c>
      <c r="F180" s="137">
        <f>SUMIFS('Production schedule'!$Z$438:$Z$545,'Production schedule'!$C$438:$C$545,31)</f>
        <v/>
      </c>
      <c r="G180" s="137">
        <f>('Production schedule'!AJ468)*'Responsibilities'!$C$6+('Production schedule'!AJ504)*'Responsibilities'!$C$7+('Production schedule'!AJ540)*'Responsibilities'!$C$8</f>
        <v/>
      </c>
      <c r="H180" s="137">
        <f>('Production schedule'!AI468)*'Responsibilities'!$D$6+('Production schedule'!AI504)*'Responsibilities'!$D$7+('Production schedule'!AI540)*'Responsibilities'!$D$8</f>
        <v/>
      </c>
      <c r="I180" s="137">
        <f>SUM('Assumptions'!AH58:AH65)</f>
        <v/>
      </c>
      <c r="J180" s="137">
        <f>('Production schedule'!E468*(IF('Sites'!D6="Annual staff",SUM('Assumptions'!AH112,'Assumptions'!AH114),0)+SUM('Assumptions'!AH113,'Assumptions'!AH115:AH116)))*'Responsibilities'!$E$6+('Production schedule'!E504*(IF('Sites'!D7="Annual staff",SUM('Assumptions'!AH117,'Assumptions'!AH119),0)+SUM('Assumptions'!AH118,'Assumptions'!AH120:AH121)))*'Responsibilities'!$E$7+('Production schedule'!E540*(IF('Sites'!D8="Annual staff",SUM('Assumptions'!AH122,'Assumptions'!AH124),0)+SUM('Assumptions'!AH123,'Assumptions'!AH125:AH126)))*'Responsibilities'!$E$8</f>
        <v/>
      </c>
      <c r="K180" s="137">
        <f>(IF(AND('Production schedule'!E468=1,31=MAX(('Sites'!F6),25),ISNUMBER('Sites'!Q6)),'Sites'!Q6*'Assumptions'!$B$44,0))*'Responsibilities'!$F$6+(IF(AND('Production schedule'!E504=1,31=MAX(('Sites'!F7+'Cases'!G10),25),ISNUMBER('Sites'!Q7)),'Sites'!Q7*'Assumptions'!$B$44,0))*'Responsibilities'!$F$7+(IF(AND('Production schedule'!E540=1,31=MAX(('Sites'!F8+'Cases'!G10),25),ISNUMBER('Sites'!Q8)),'Sites'!Q8*'Assumptions'!$B$44,0))*'Responsibilities'!$F$8</f>
        <v/>
      </c>
      <c r="L180" s="137">
        <f>SUM('Costs'!E36)*'Costs'!F36/12*'Responsibilities'!$C$12+SUM('Costs'!E37)*'Costs'!F37/12*'Responsibilities'!$C$13+SUM('Costs'!E38)*'Costs'!F38/12*'Responsibilities'!$C$14+SUM('Costs'!E39)*'Costs'!F39/12*'Responsibilities'!$C$15+SUM('Costs'!E40)*'Costs'!F40/12*'Responsibilities'!$C$16+BZ180</f>
        <v/>
      </c>
      <c r="M180" s="137">
        <f>('Sites'!E6*'Capital'!E6*(IF(31='Capital'!G6,'Capital'!F6,0)+IF(31='Capital'!H6,1-'Capital'!F6,0)))*'Responsibilities'!$G$6+('Sites'!E7*'Capital'!E7*(IF(31='Capital'!G7+'Cases'!G10,'Capital'!F7,0)+IF(31='Capital'!H7+'Cases'!G10,1-'Capital'!F7,0)))*'Responsibilities'!$G$7+('Sites'!E8*'Cases'!F10*'Capital'!E8*(IF(31='Capital'!G8+'Cases'!G10,'Capital'!F8,0)+IF(31='Capital'!H8+'Cases'!G10,1-'Capital'!F8,0)))*'Responsibilities'!$G$8</f>
        <v/>
      </c>
      <c r="N180" s="137">
        <f>SUM(G180:M180)</f>
        <v/>
      </c>
      <c r="O180" s="137">
        <f>SUMIFS(FundingTranches[Secured amount],FundingTranches[Instrument],"Grant",FundingTranches[Secured month],31)</f>
        <v/>
      </c>
      <c r="P180" s="137">
        <f>SUMIFS(FundingTranches[Lower sales possible],FundingTranches[Instrument],"Grant",FundingTranches[Scenario month],31-'Cases'!$D$10)</f>
        <v/>
      </c>
      <c r="Q180" s="137">
        <f>SUMIFS(FundingTranches[Secured amount],FundingTranches[Instrument],"Loan",FundingTranches[Secured month],31)</f>
        <v/>
      </c>
      <c r="R180" s="137">
        <f>SUMIFS(FundingTranches[Lower sales possible],FundingTranches[Instrument],"Loan",FundingTranches[Scenario month],31-'Cases'!$D$10)</f>
        <v/>
      </c>
      <c r="S180" s="137">
        <f>IF(31&lt;='Assumptions'!$B$34,0,SUMIFS('Production schedule'!$AL$438:$AL$545,'Production schedule'!$C$438:$C$545,31-'Assumptions'!$B$34))</f>
        <v/>
      </c>
      <c r="T180" s="137">
        <f>'Assumptions'!AH70</f>
        <v/>
      </c>
      <c r="U180" s="137">
        <f>'Assumptions'!AH78</f>
        <v/>
      </c>
      <c r="V180" s="137">
        <f>SUM(O180:U180)</f>
        <v/>
      </c>
      <c r="W180" s="137">
        <f>AA179</f>
        <v/>
      </c>
      <c r="X180" s="137">
        <f>SUM(Q180:R180)</f>
        <v/>
      </c>
      <c r="Y180" s="137">
        <f>SUM(W180,X180)*'Assumptions'!$B$39/12</f>
        <v/>
      </c>
      <c r="Z180" s="137">
        <f>IF(SUM(W180,X180)&gt;0,MIN(SUM(W180,X180),MAX(0,BP180-Y180)),0)</f>
        <v/>
      </c>
      <c r="AA180" s="137">
        <f>SUM(W180,X180)-Z180</f>
        <v/>
      </c>
      <c r="AB180" s="137">
        <f>SUM(Y180:Z180)</f>
        <v/>
      </c>
      <c r="AC180" s="137">
        <f>'Assumptions'!AH72</f>
        <v/>
      </c>
      <c r="AD180" s="137">
        <f>'Assumptions'!AH73</f>
        <v/>
      </c>
      <c r="AE180" s="137">
        <f>IF(X180&gt;0,SUM('Assumptions'!$B$42),0)</f>
        <v/>
      </c>
      <c r="AF180" s="137">
        <f>'Assumptions'!AH71</f>
        <v/>
      </c>
      <c r="AG180" s="137">
        <f>'Assumptions'!AH74</f>
        <v/>
      </c>
      <c r="AH180" s="137">
        <f>'Assumptions'!AH75</f>
        <v/>
      </c>
      <c r="AI180" s="137">
        <f>'Assumptions'!AH77</f>
        <v/>
      </c>
      <c r="AJ180" s="137">
        <f>V180-N180-SUM(AB180:AI180)</f>
        <v/>
      </c>
      <c r="AK180" s="137">
        <f>SUM(AJ150:AJ180)</f>
        <v/>
      </c>
      <c r="AL180" s="137">
        <f>IF(ISNUMBER('Assumptions'!$B$10),'Assumptions'!$B$10+AK180,"")</f>
        <v/>
      </c>
      <c r="AM180" s="137">
        <f>SUM(O180,Q180,T180)-N180-SUM(AC180:AI180)+IF('Funding'!$N$11=0,AE180,0)-IF('Funding'!$N$11&gt;0,AB180,0)</f>
        <v/>
      </c>
      <c r="AN180" s="137">
        <f>SUM(AM150:AM180)</f>
        <v/>
      </c>
      <c r="AO180" s="137">
        <f>IF(ISNUMBER('Assumptions'!$B$10),'Assumptions'!$B$10+AN180,"")</f>
        <v/>
      </c>
      <c r="AP180" s="137">
        <f>('Production schedule'!AK468)*'Responsibilities'!$C$6+('Production schedule'!AK504)*'Responsibilities'!$C$7+('Production schedule'!AK540)*'Responsibilities'!$C$8</f>
        <v/>
      </c>
      <c r="AQ180" s="137">
        <f>SUMIFS('Production schedule'!$AL$438:$AL$545,'Production schedule'!$C$438:$C$545,31)</f>
        <v/>
      </c>
      <c r="AR180" s="137">
        <f>IF(ISNUMBER('Assumptions'!AH76),'Assumptions'!AH76,SUM(O180:P180))</f>
        <v/>
      </c>
      <c r="AS180" s="137">
        <f>IF(ISNUMBER('Assumptions'!$B$13),MIN('Assumptions'!$B$13/'Assumptions'!$B$18/12,MAX(0,'Assumptions'!$B$13-(31-1)*'Assumptions'!$B$13/'Assumptions'!$B$18/12)),0)+IF(AND('Sites'!E6=1,31&gt;=('Sites'!F6),31&lt;('Sites'!F6)+'Assumptions'!$B$18*12),'Capital'!E6/'Assumptions'!$B$18/12,0)+IF(AND('Sites'!E7=1,31&gt;=('Sites'!F7+'Cases'!G10),31&lt;('Sites'!F7+'Cases'!G10)+'Assumptions'!$B$18*12),'Capital'!E7/'Assumptions'!$B$18/12,0)+IF(AND('Sites'!E8*'Cases'!F10=1,31&gt;=('Sites'!F8+'Cases'!G10),31&lt;('Sites'!F8+'Cases'!G10)+'Assumptions'!$B$18*12),'Capital'!E8/'Assumptions'!$B$18/12,0)</f>
        <v/>
      </c>
      <c r="AT180" s="137">
        <f>SUM(AQ180,AR180,U180)-AP180-SUM(H180:L180)-AS180-SUM(Y180,AD180,AE180,AH180)</f>
        <v/>
      </c>
      <c r="AU180" s="137">
        <f>IF(ISNUMBER('Assumptions'!$B$19),MAX(0,SUM(AT174:AT180))*'Assumptions'!$B$19-SUM(AU174:AU179),"")</f>
        <v/>
      </c>
      <c r="AV180" s="137">
        <f>IF(ISNUMBER(AU180),AT180-AU180,"")</f>
        <v/>
      </c>
      <c r="AW180" s="137">
        <f>IF(ISNUMBER('Assumptions'!$B$11),'Assumptions'!$B$11+SUM(AQ150:AQ180)-SUM(S150:S180)-SUM(T150:T180),"")</f>
        <v/>
      </c>
      <c r="AX180" s="137">
        <f>IF(ISNUMBER('Assumptions'!$B$12),'Assumptions'!$B$12+SUM(G150:G180)-SUM(AP150:AP180),"")</f>
        <v/>
      </c>
      <c r="AY180" s="137">
        <f>IF(ISNUMBER('Assumptions'!$B$13),'Assumptions'!$B$13+SUM(M150:M180)-SUM(AS150:AS180),"")</f>
        <v/>
      </c>
      <c r="AZ180" s="137">
        <f>IF(ISNUMBER('Assumptions'!$B$14),'Assumptions'!$B$14+-SUM(AF150:AF180),"")</f>
        <v/>
      </c>
      <c r="BA180" s="137">
        <f>IF(ISNUMBER('Assumptions'!$B$15),'Assumptions'!$B$15+SUM(O150:O180)+SUM(P150:P180)-SUM(AR150:AR180),"")</f>
        <v/>
      </c>
      <c r="BB180" s="137">
        <f>IF(ISNUMBER('Assumptions'!$B$16),'Assumptions'!$B$16+-SUM(AC150:AC180),"")</f>
        <v/>
      </c>
      <c r="BC180" s="137">
        <f>IF(AND(ISNUMBER('Assumptions'!$B$21),ISNUMBER('Assumptions'!$B$19)),'Assumptions'!$B$21+SUM(AU150:AU180)-SUM(AG150:AG180),"")</f>
        <v/>
      </c>
      <c r="BD180" s="137">
        <f>IF(ISNUMBER('Assumptions'!$B$20),'Assumptions'!$B$20+-SUM(AI150:AI180),"")</f>
        <v/>
      </c>
      <c r="BE180" s="137">
        <f>IF(AND(ISNUMBER('Assumptions'!$B$17),COUNT(AV150:AV180)=31),'Assumptions'!$B$17+SUM(AV150:AV180),"")</f>
        <v/>
      </c>
      <c r="BF180" s="137">
        <f>IF(COUNT(AL180,AW180:AY180)=4,SUM(AL180,AW180:AY180),"")</f>
        <v/>
      </c>
      <c r="BG180" s="137">
        <f>IF(COUNT(AZ180:BD180)=5,SUM(AZ180:BD180,AA180),"")</f>
        <v/>
      </c>
      <c r="BH180" s="137">
        <f>IF(COUNT(BF180,BG180,BE180)=3,BF180-BG180-BE180,"")</f>
        <v/>
      </c>
      <c r="BI180" s="137">
        <f>SUM(W180,X180)-Z180-AA180</f>
        <v/>
      </c>
      <c r="BJ180" s="137">
        <f>8-COUNT('Assumptions'!AH58:AH65)+COUNTBLANK('NM Play'!B33:B34)+'Costs'!E44+IF(AND('Sites'!E6=1,('Sites'!F6)&lt;=36,'Sites'!G6&gt;=25),IF(ISNUMBER('Sites'!Q6),0,1)+'Capital'!I6+COUNTBLANK('Sites'!R6)+IF('Sites'!D6="NM crew",COUNTBLANK('NM Play'!B25)+1,5-COUNT('Assumptions'!AH112:AH116)),0)+IF(AND('Sites'!E7=1,('Sites'!F7+'Cases'!G10)&lt;=36,'Sites'!G7&gt;=25),IF(ISNUMBER('Sites'!Q7),0,1)+'Capital'!I7+COUNTBLANK('Sites'!R7)+IF('Sites'!D7="NM crew",COUNTBLANK('NM Play'!B25)+1,5-COUNT('Assumptions'!AH117:AH121)),0)+IF(AND('Sites'!E8*'Cases'!F10=1,('Sites'!F8+'Cases'!G10)&lt;=36,'Sites'!G8&gt;=25),IF(ISNUMBER('Sites'!Q8),0,1)+'Capital'!I8+COUNTBLANK('Sites'!R8)+IF('Sites'!D8="NM crew",COUNTBLANK('NM Play'!B25)+1,5-COUNT('Assumptions'!AH122:AH126)),0)+IF(AND('Cases'!C10&gt;0,NOT(ISNUMBER('Assumptions'!B42))),1,0)+'Responsibilities'!$B$39</f>
        <v/>
      </c>
      <c r="BK180" s="137">
        <f>'Assumptions'!$B$50+'NM Play'!$B$83+'Funding'!$F$20+SUMIFS('Production schedule'!$AN$438:$AN$545,'Production schedule'!$C$438:$C$545,31)+IF(OR('Cases'!E10&lt;0,'Cases'!E10&gt;1,'Cases'!C10&lt;0,'Cases'!D10&lt;0,ABS(SUM('Sites'!S6:S8)-1)&gt;0.0001,MIN('Capital'!F6:F8)&lt;0,MAX('Capital'!F6:F8)&gt;1,MIN(AX180,AZ180,BB180,BA180)&lt;-0.01),1,0)+'Responsibilities'!$B$40</f>
        <v/>
      </c>
      <c r="BL180" s="137">
        <f>SUMIFS('Production schedule'!$T$438:$T$545,'Production schedule'!$C$438:$C$545,31)</f>
        <v/>
      </c>
      <c r="BM180" s="137">
        <f>D180*'NM Play'!$B$38</f>
        <v/>
      </c>
      <c r="BN180" s="137">
        <f>SUMIFS('Production schedule'!$AM$438:$AM$545,'Production schedule'!$C$438:$C$545,31)</f>
        <v/>
      </c>
      <c r="BO180" s="137">
        <f>AK180-AK179-AJ180</f>
        <v/>
      </c>
      <c r="BP180" s="137">
        <f>IF(AND('Assumptions'!$B$39&gt;=0,'Assumptions'!$B$40&gt;0),-PMT('Assumptions'!$B$39/12,'Assumptions'!$B$40*12,IF('Funding'!$N$11&gt;0,'Funding'!$N$11,'Funding'!$V$11)),"")</f>
        <v/>
      </c>
      <c r="BQ180">
        <f>('Production schedule'!AJ468)*(1-'Responsibilities'!$C$6)+('Production schedule'!AJ504)*(1-'Responsibilities'!$C$7)+('Production schedule'!AJ540)*(1-'Responsibilities'!$C$8)</f>
        <v/>
      </c>
      <c r="BR180">
        <f>('Production schedule'!AI468)*(1-'Responsibilities'!$D$6)+('Production schedule'!AI504)*(1-'Responsibilities'!$D$7)+('Production schedule'!AI540)*(1-'Responsibilities'!$D$8)</f>
        <v/>
      </c>
      <c r="BS180">
        <f>('Production schedule'!E468*(IF('Sites'!D6="Annual staff",SUM('Assumptions'!AH112,'Assumptions'!AH114),0)+SUM('Assumptions'!AH113,'Assumptions'!AH115:AH116)))*(1-'Responsibilities'!$E$6)+('Production schedule'!E504*(IF('Sites'!D7="Annual staff",SUM('Assumptions'!AH117,'Assumptions'!AH119),0)+SUM('Assumptions'!AH118,'Assumptions'!AH120:AH121)))*(1-'Responsibilities'!$E$7)+('Production schedule'!E540*(IF('Sites'!D8="Annual staff",SUM('Assumptions'!AH122,'Assumptions'!AH124),0)+SUM('Assumptions'!AH123,'Assumptions'!AH125:AH126)))*(1-'Responsibilities'!$E$8)</f>
        <v/>
      </c>
      <c r="BT180">
        <f>(IF(AND('Production schedule'!E468=1,31=MAX(('Sites'!F6),25),ISNUMBER('Sites'!Q6)),'Sites'!Q6*'Assumptions'!$B$44,0))*(1-'Responsibilities'!$F$6)+(IF(AND('Production schedule'!E504=1,31=MAX(('Sites'!F7+'Cases'!G10),25),ISNUMBER('Sites'!Q7)),'Sites'!Q7*'Assumptions'!$B$44,0))*(1-'Responsibilities'!$F$7)+(IF(AND('Production schedule'!E540=1,31=MAX(('Sites'!F8+'Cases'!G10),25),ISNUMBER('Sites'!Q8)),'Sites'!Q8*'Assumptions'!$B$44,0))*(1-'Responsibilities'!$F$8)</f>
        <v/>
      </c>
      <c r="BU180">
        <f>SUM('Costs'!E36)*'Costs'!F36/12*(1-'Responsibilities'!$C$12)+SUM('Costs'!E37)*'Costs'!F37/12*(1-'Responsibilities'!$C$13)+SUM('Costs'!E38)*'Costs'!F38/12*(1-'Responsibilities'!$C$14)+SUM('Costs'!E39)*'Costs'!F39/12*(1-'Responsibilities'!$C$15)+SUM('Costs'!E40)*'Costs'!F40/12*(1-'Responsibilities'!$C$16)</f>
        <v/>
      </c>
      <c r="BV180">
        <f>('Sites'!E6*'Capital'!E6*(IF(31='Capital'!G6,'Capital'!F6,0)+IF(31='Capital'!H6,1-'Capital'!F6,0)))*(1-'Responsibilities'!$G$6)+('Sites'!E7*'Capital'!E7*(IF(31='Capital'!G7+'Cases'!G10,'Capital'!F7,0)+IF(31='Capital'!H7+'Cases'!G10,1-'Capital'!F7,0)))*(1-'Responsibilities'!$G$7)+('Sites'!E8*'Cases'!F10*'Capital'!E8*(IF(31='Capital'!G8+'Cases'!G10,'Capital'!F8,0)+IF(31='Capital'!H8+'Cases'!G10,1-'Capital'!F8,0)))*(1-'Responsibilities'!$G$8)</f>
        <v/>
      </c>
      <c r="BW180">
        <f>SUM(BQ180:BV180)</f>
        <v/>
      </c>
      <c r="BX180">
        <f>N180+BW180</f>
        <v/>
      </c>
      <c r="BY180">
        <f>BX180-(('Production schedule'!AJ468)*'Responsibilities'!$C$6+('Production schedule'!AJ504)*'Responsibilities'!$C$7+('Production schedule'!AJ540)*'Responsibilities'!$C$8+('Production schedule'!AJ468)*(1-'Responsibilities'!$C$6)+('Production schedule'!AJ504)*(1-'Responsibilities'!$C$7)+('Production schedule'!AJ540)*(1-'Responsibilities'!$C$8)+('Production schedule'!AI468)*'Responsibilities'!$D$6+('Production schedule'!AI504)*'Responsibilities'!$D$7+('Production schedule'!AI540)*'Responsibilities'!$D$8+('Production schedule'!AI468)*(1-'Responsibilities'!$D$6)+('Production schedule'!AI504)*(1-'Responsibilities'!$D$7)+('Production schedule'!AI540)*(1-'Responsibilities'!$D$8)+('Production schedule'!E468*(IF('Sites'!D6="Annual staff",SUM('Assumptions'!AH112,'Assumptions'!AH114),0)+SUM('Assumptions'!AH113,'Assumptions'!AH115:AH116)))*'Responsibilities'!$E$6+('Production schedule'!E504*(IF('Sites'!D7="Annual staff",SUM('Assumptions'!AH117,'Assumptions'!AH119),0)+SUM('Assumptions'!AH118,'Assumptions'!AH120:AH121)))*'Responsibilities'!$E$7+('Production schedule'!E540*(IF('Sites'!D8="Annual staff",SUM('Assumptions'!AH122,'Assumptions'!AH124),0)+SUM('Assumptions'!AH123,'Assumptions'!AH125:AH126)))*'Responsibilities'!$E$8+('Production schedule'!E468*(IF('Sites'!D6="Annual staff",SUM('Assumptions'!AH112,'Assumptions'!AH114),0)+SUM('Assumptions'!AH113,'Assumptions'!AH115:AH116)))*(1-'Responsibilities'!$E$6)+('Production schedule'!E504*(IF('Sites'!D7="Annual staff",SUM('Assumptions'!AH117,'Assumptions'!AH119),0)+SUM('Assumptions'!AH118,'Assumptions'!AH120:AH121)))*(1-'Responsibilities'!$E$7)+('Production schedule'!E540*(IF('Sites'!D8="Annual staff",SUM('Assumptions'!AH122,'Assumptions'!AH124),0)+SUM('Assumptions'!AH123,'Assumptions'!AH125:AH126)))*(1-'Responsibilities'!$E$8)+(IF(AND('Production schedule'!E468=1,31=MAX(('Sites'!F6),25),ISNUMBER('Sites'!Q6)),'Sites'!Q6*'Assumptions'!$B$44,0))*'Responsibilities'!$F$6+(IF(AND('Production schedule'!E504=1,31=MAX(('Sites'!F7+'Cases'!G10),25),ISNUMBER('Sites'!Q7)),'Sites'!Q7*'Assumptions'!$B$44,0))*'Responsibilities'!$F$7+(IF(AND('Production schedule'!E540=1,31=MAX(('Sites'!F8+'Cases'!G10),25),ISNUMBER('Sites'!Q8)),'Sites'!Q8*'Assumptions'!$B$44,0))*'Responsibilities'!$F$8+(IF(AND('Production schedule'!E468=1,31=MAX(('Sites'!F6),25),ISNUMBER('Sites'!Q6)),'Sites'!Q6*'Assumptions'!$B$44,0))*(1-'Responsibilities'!$F$6)+(IF(AND('Production schedule'!E504=1,31=MAX(('Sites'!F7+'Cases'!G10),25),ISNUMBER('Sites'!Q7)),'Sites'!Q7*'Assumptions'!$B$44,0))*(1-'Responsibilities'!$F$7)+(IF(AND('Production schedule'!E540=1,31=MAX(('Sites'!F8+'Cases'!G10),25),ISNUMBER('Sites'!Q8)),'Sites'!Q8*'Assumptions'!$B$44,0))*(1-'Responsibilities'!$F$8)+('Sites'!E6*'Capital'!E6*(IF(31='Capital'!G6,'Capital'!F6,0)+IF(31='Capital'!H6,1-'Capital'!F6,0)))*'Responsibilities'!$G$6+('Sites'!E7*'Capital'!E7*(IF(31='Capital'!G7+'Cases'!G10,'Capital'!F7,0)+IF(31='Capital'!H7+'Cases'!G10,1-'Capital'!F7,0)))*'Responsibilities'!$G$7+('Sites'!E8*'Cases'!F10*'Capital'!E8*(IF(31='Capital'!G8+'Cases'!G10,'Capital'!F8,0)+IF(31='Capital'!H8+'Cases'!G10,1-'Capital'!F8,0)))*'Responsibilities'!$G$8+('Sites'!E6*'Capital'!E6*(IF(31='Capital'!G6,'Capital'!F6,0)+IF(31='Capital'!H6,1-'Capital'!F6,0)))*(1-'Responsibilities'!$G$6)+('Sites'!E7*'Capital'!E7*(IF(31='Capital'!G7+'Cases'!G10,'Capital'!F7,0)+IF(31='Capital'!H7+'Cases'!G10,1-'Capital'!F7,0)))*(1-'Responsibilities'!$G$7)+('Sites'!E8*'Cases'!F10*'Capital'!E8*(IF(31='Capital'!G8+'Cases'!G10,'Capital'!F8,0)+IF(31='Capital'!H8+'Cases'!G10,1-'Capital'!F8,0)))*(1-'Responsibilities'!$G$8)+I180+SUMPRODUCT('Costs'!$E$36:$E$40,'Costs'!$F$36:$F$40)/12+BZ180)</f>
        <v/>
      </c>
      <c r="BZ180">
        <f>SUMIFS('Responsibilities'!$B$31:$B$35,'Responsibilities'!$C$31:$C$35,31,'Responsibilities'!$D$31:$D$35,"Yes")</f>
        <v/>
      </c>
    </row>
    <row r="181" ht="28" customHeight="1">
      <c r="A181" s="4" t="inlineStr">
        <is>
          <t>Lower sales</t>
        </is>
      </c>
      <c r="B181" s="4" t="n">
        <v>32</v>
      </c>
      <c r="C181" s="4">
        <f>ROUNDUP(B181/12,0)</f>
        <v/>
      </c>
      <c r="D181" s="137">
        <f>SUMIFS('Production schedule'!$N$438:$N$545,'Production schedule'!$C$438:$C$545,32)</f>
        <v/>
      </c>
      <c r="E181" s="137">
        <f>SUMIFS('Production schedule'!$Y$438:$Y$545,'Production schedule'!$C$438:$C$545,32)</f>
        <v/>
      </c>
      <c r="F181" s="137">
        <f>SUMIFS('Production schedule'!$Z$438:$Z$545,'Production schedule'!$C$438:$C$545,32)</f>
        <v/>
      </c>
      <c r="G181" s="137">
        <f>('Production schedule'!AJ469)*'Responsibilities'!$C$6+('Production schedule'!AJ505)*'Responsibilities'!$C$7+('Production schedule'!AJ541)*'Responsibilities'!$C$8</f>
        <v/>
      </c>
      <c r="H181" s="137">
        <f>('Production schedule'!AI469)*'Responsibilities'!$D$6+('Production schedule'!AI505)*'Responsibilities'!$D$7+('Production schedule'!AI541)*'Responsibilities'!$D$8</f>
        <v/>
      </c>
      <c r="I181" s="137">
        <f>SUM('Assumptions'!AI58:AI65)</f>
        <v/>
      </c>
      <c r="J181" s="137">
        <f>('Production schedule'!E469*(IF('Sites'!D6="Annual staff",SUM('Assumptions'!AI112,'Assumptions'!AI114),0)+SUM('Assumptions'!AI113,'Assumptions'!AI115:AI116)))*'Responsibilities'!$E$6+('Production schedule'!E505*(IF('Sites'!D7="Annual staff",SUM('Assumptions'!AI117,'Assumptions'!AI119),0)+SUM('Assumptions'!AI118,'Assumptions'!AI120:AI121)))*'Responsibilities'!$E$7+('Production schedule'!E541*(IF('Sites'!D8="Annual staff",SUM('Assumptions'!AI122,'Assumptions'!AI124),0)+SUM('Assumptions'!AI123,'Assumptions'!AI125:AI126)))*'Responsibilities'!$E$8</f>
        <v/>
      </c>
      <c r="K181" s="137">
        <f>(IF(AND('Production schedule'!E469=1,32=MAX(('Sites'!F6),25),ISNUMBER('Sites'!Q6)),'Sites'!Q6*'Assumptions'!$B$44,0))*'Responsibilities'!$F$6+(IF(AND('Production schedule'!E505=1,32=MAX(('Sites'!F7+'Cases'!G10),25),ISNUMBER('Sites'!Q7)),'Sites'!Q7*'Assumptions'!$B$44,0))*'Responsibilities'!$F$7+(IF(AND('Production schedule'!E541=1,32=MAX(('Sites'!F8+'Cases'!G10),25),ISNUMBER('Sites'!Q8)),'Sites'!Q8*'Assumptions'!$B$44,0))*'Responsibilities'!$F$8</f>
        <v/>
      </c>
      <c r="L181" s="137">
        <f>SUM('Costs'!E36)*'Costs'!F36/12*'Responsibilities'!$C$12+SUM('Costs'!E37)*'Costs'!F37/12*'Responsibilities'!$C$13+SUM('Costs'!E38)*'Costs'!F38/12*'Responsibilities'!$C$14+SUM('Costs'!E39)*'Costs'!F39/12*'Responsibilities'!$C$15+SUM('Costs'!E40)*'Costs'!F40/12*'Responsibilities'!$C$16+BZ181</f>
        <v/>
      </c>
      <c r="M181" s="137">
        <f>('Sites'!E6*'Capital'!E6*(IF(32='Capital'!G6,'Capital'!F6,0)+IF(32='Capital'!H6,1-'Capital'!F6,0)))*'Responsibilities'!$G$6+('Sites'!E7*'Capital'!E7*(IF(32='Capital'!G7+'Cases'!G10,'Capital'!F7,0)+IF(32='Capital'!H7+'Cases'!G10,1-'Capital'!F7,0)))*'Responsibilities'!$G$7+('Sites'!E8*'Cases'!F10*'Capital'!E8*(IF(32='Capital'!G8+'Cases'!G10,'Capital'!F8,0)+IF(32='Capital'!H8+'Cases'!G10,1-'Capital'!F8,0)))*'Responsibilities'!$G$8</f>
        <v/>
      </c>
      <c r="N181" s="137">
        <f>SUM(G181:M181)</f>
        <v/>
      </c>
      <c r="O181" s="137">
        <f>SUMIFS(FundingTranches[Secured amount],FundingTranches[Instrument],"Grant",FundingTranches[Secured month],32)</f>
        <v/>
      </c>
      <c r="P181" s="137">
        <f>SUMIFS(FundingTranches[Lower sales possible],FundingTranches[Instrument],"Grant",FundingTranches[Scenario month],32-'Cases'!$D$10)</f>
        <v/>
      </c>
      <c r="Q181" s="137">
        <f>SUMIFS(FundingTranches[Secured amount],FundingTranches[Instrument],"Loan",FundingTranches[Secured month],32)</f>
        <v/>
      </c>
      <c r="R181" s="137">
        <f>SUMIFS(FundingTranches[Lower sales possible],FundingTranches[Instrument],"Loan",FundingTranches[Scenario month],32-'Cases'!$D$10)</f>
        <v/>
      </c>
      <c r="S181" s="137">
        <f>IF(32&lt;='Assumptions'!$B$34,0,SUMIFS('Production schedule'!$AL$438:$AL$545,'Production schedule'!$C$438:$C$545,32-'Assumptions'!$B$34))</f>
        <v/>
      </c>
      <c r="T181" s="137">
        <f>'Assumptions'!AI70</f>
        <v/>
      </c>
      <c r="U181" s="137">
        <f>'Assumptions'!AI78</f>
        <v/>
      </c>
      <c r="V181" s="137">
        <f>SUM(O181:U181)</f>
        <v/>
      </c>
      <c r="W181" s="137">
        <f>AA180</f>
        <v/>
      </c>
      <c r="X181" s="137">
        <f>SUM(Q181:R181)</f>
        <v/>
      </c>
      <c r="Y181" s="137">
        <f>SUM(W181,X181)*'Assumptions'!$B$39/12</f>
        <v/>
      </c>
      <c r="Z181" s="137">
        <f>IF(SUM(W181,X181)&gt;0,MIN(SUM(W181,X181),MAX(0,BP181-Y181)),0)</f>
        <v/>
      </c>
      <c r="AA181" s="137">
        <f>SUM(W181,X181)-Z181</f>
        <v/>
      </c>
      <c r="AB181" s="137">
        <f>SUM(Y181:Z181)</f>
        <v/>
      </c>
      <c r="AC181" s="137">
        <f>'Assumptions'!AI72</f>
        <v/>
      </c>
      <c r="AD181" s="137">
        <f>'Assumptions'!AI73</f>
        <v/>
      </c>
      <c r="AE181" s="137">
        <f>IF(X181&gt;0,SUM('Assumptions'!$B$42),0)</f>
        <v/>
      </c>
      <c r="AF181" s="137">
        <f>'Assumptions'!AI71</f>
        <v/>
      </c>
      <c r="AG181" s="137">
        <f>'Assumptions'!AI74</f>
        <v/>
      </c>
      <c r="AH181" s="137">
        <f>'Assumptions'!AI75</f>
        <v/>
      </c>
      <c r="AI181" s="137">
        <f>'Assumptions'!AI77</f>
        <v/>
      </c>
      <c r="AJ181" s="137">
        <f>V181-N181-SUM(AB181:AI181)</f>
        <v/>
      </c>
      <c r="AK181" s="137">
        <f>SUM(AJ150:AJ181)</f>
        <v/>
      </c>
      <c r="AL181" s="137">
        <f>IF(ISNUMBER('Assumptions'!$B$10),'Assumptions'!$B$10+AK181,"")</f>
        <v/>
      </c>
      <c r="AM181" s="137">
        <f>SUM(O181,Q181,T181)-N181-SUM(AC181:AI181)+IF('Funding'!$N$11=0,AE181,0)-IF('Funding'!$N$11&gt;0,AB181,0)</f>
        <v/>
      </c>
      <c r="AN181" s="137">
        <f>SUM(AM150:AM181)</f>
        <v/>
      </c>
      <c r="AO181" s="137">
        <f>IF(ISNUMBER('Assumptions'!$B$10),'Assumptions'!$B$10+AN181,"")</f>
        <v/>
      </c>
      <c r="AP181" s="137">
        <f>('Production schedule'!AK469)*'Responsibilities'!$C$6+('Production schedule'!AK505)*'Responsibilities'!$C$7+('Production schedule'!AK541)*'Responsibilities'!$C$8</f>
        <v/>
      </c>
      <c r="AQ181" s="137">
        <f>SUMIFS('Production schedule'!$AL$438:$AL$545,'Production schedule'!$C$438:$C$545,32)</f>
        <v/>
      </c>
      <c r="AR181" s="137">
        <f>IF(ISNUMBER('Assumptions'!AI76),'Assumptions'!AI76,SUM(O181:P181))</f>
        <v/>
      </c>
      <c r="AS181" s="137">
        <f>IF(ISNUMBER('Assumptions'!$B$13),MIN('Assumptions'!$B$13/'Assumptions'!$B$18/12,MAX(0,'Assumptions'!$B$13-(32-1)*'Assumptions'!$B$13/'Assumptions'!$B$18/12)),0)+IF(AND('Sites'!E6=1,32&gt;=('Sites'!F6),32&lt;('Sites'!F6)+'Assumptions'!$B$18*12),'Capital'!E6/'Assumptions'!$B$18/12,0)+IF(AND('Sites'!E7=1,32&gt;=('Sites'!F7+'Cases'!G10),32&lt;('Sites'!F7+'Cases'!G10)+'Assumptions'!$B$18*12),'Capital'!E7/'Assumptions'!$B$18/12,0)+IF(AND('Sites'!E8*'Cases'!F10=1,32&gt;=('Sites'!F8+'Cases'!G10),32&lt;('Sites'!F8+'Cases'!G10)+'Assumptions'!$B$18*12),'Capital'!E8/'Assumptions'!$B$18/12,0)</f>
        <v/>
      </c>
      <c r="AT181" s="137">
        <f>SUM(AQ181,AR181,U181)-AP181-SUM(H181:L181)-AS181-SUM(Y181,AD181,AE181,AH181)</f>
        <v/>
      </c>
      <c r="AU181" s="137">
        <f>IF(ISNUMBER('Assumptions'!$B$19),MAX(0,SUM(AT174:AT181))*'Assumptions'!$B$19-SUM(AU174:AU180),"")</f>
        <v/>
      </c>
      <c r="AV181" s="137">
        <f>IF(ISNUMBER(AU181),AT181-AU181,"")</f>
        <v/>
      </c>
      <c r="AW181" s="137">
        <f>IF(ISNUMBER('Assumptions'!$B$11),'Assumptions'!$B$11+SUM(AQ150:AQ181)-SUM(S150:S181)-SUM(T150:T181),"")</f>
        <v/>
      </c>
      <c r="AX181" s="137">
        <f>IF(ISNUMBER('Assumptions'!$B$12),'Assumptions'!$B$12+SUM(G150:G181)-SUM(AP150:AP181),"")</f>
        <v/>
      </c>
      <c r="AY181" s="137">
        <f>IF(ISNUMBER('Assumptions'!$B$13),'Assumptions'!$B$13+SUM(M150:M181)-SUM(AS150:AS181),"")</f>
        <v/>
      </c>
      <c r="AZ181" s="137">
        <f>IF(ISNUMBER('Assumptions'!$B$14),'Assumptions'!$B$14+-SUM(AF150:AF181),"")</f>
        <v/>
      </c>
      <c r="BA181" s="137">
        <f>IF(ISNUMBER('Assumptions'!$B$15),'Assumptions'!$B$15+SUM(O150:O181)+SUM(P150:P181)-SUM(AR150:AR181),"")</f>
        <v/>
      </c>
      <c r="BB181" s="137">
        <f>IF(ISNUMBER('Assumptions'!$B$16),'Assumptions'!$B$16+-SUM(AC150:AC181),"")</f>
        <v/>
      </c>
      <c r="BC181" s="137">
        <f>IF(AND(ISNUMBER('Assumptions'!$B$21),ISNUMBER('Assumptions'!$B$19)),'Assumptions'!$B$21+SUM(AU150:AU181)-SUM(AG150:AG181),"")</f>
        <v/>
      </c>
      <c r="BD181" s="137">
        <f>IF(ISNUMBER('Assumptions'!$B$20),'Assumptions'!$B$20+-SUM(AI150:AI181),"")</f>
        <v/>
      </c>
      <c r="BE181" s="137">
        <f>IF(AND(ISNUMBER('Assumptions'!$B$17),COUNT(AV150:AV181)=32),'Assumptions'!$B$17+SUM(AV150:AV181),"")</f>
        <v/>
      </c>
      <c r="BF181" s="137">
        <f>IF(COUNT(AL181,AW181:AY181)=4,SUM(AL181,AW181:AY181),"")</f>
        <v/>
      </c>
      <c r="BG181" s="137">
        <f>IF(COUNT(AZ181:BD181)=5,SUM(AZ181:BD181,AA181),"")</f>
        <v/>
      </c>
      <c r="BH181" s="137">
        <f>IF(COUNT(BF181,BG181,BE181)=3,BF181-BG181-BE181,"")</f>
        <v/>
      </c>
      <c r="BI181" s="137">
        <f>SUM(W181,X181)-Z181-AA181</f>
        <v/>
      </c>
      <c r="BJ181" s="137">
        <f>8-COUNT('Assumptions'!AI58:AI65)+COUNTBLANK('NM Play'!B33:B34)+'Costs'!E44+IF(AND('Sites'!E6=1,('Sites'!F6)&lt;=36,'Sites'!G6&gt;=25),IF(ISNUMBER('Sites'!Q6),0,1)+'Capital'!I6+COUNTBLANK('Sites'!R6)+IF('Sites'!D6="NM crew",COUNTBLANK('NM Play'!B25)+1,5-COUNT('Assumptions'!AI112:AI116)),0)+IF(AND('Sites'!E7=1,('Sites'!F7+'Cases'!G10)&lt;=36,'Sites'!G7&gt;=25),IF(ISNUMBER('Sites'!Q7),0,1)+'Capital'!I7+COUNTBLANK('Sites'!R7)+IF('Sites'!D7="NM crew",COUNTBLANK('NM Play'!B25)+1,5-COUNT('Assumptions'!AI117:AI121)),0)+IF(AND('Sites'!E8*'Cases'!F10=1,('Sites'!F8+'Cases'!G10)&lt;=36,'Sites'!G8&gt;=25),IF(ISNUMBER('Sites'!Q8),0,1)+'Capital'!I8+COUNTBLANK('Sites'!R8)+IF('Sites'!D8="NM crew",COUNTBLANK('NM Play'!B25)+1,5-COUNT('Assumptions'!AI122:AI126)),0)+IF(AND('Cases'!C10&gt;0,NOT(ISNUMBER('Assumptions'!B42))),1,0)+'Responsibilities'!$B$39</f>
        <v/>
      </c>
      <c r="BK181" s="137">
        <f>'Assumptions'!$B$50+'NM Play'!$B$83+'Funding'!$F$20+SUMIFS('Production schedule'!$AN$438:$AN$545,'Production schedule'!$C$438:$C$545,32)+IF(OR('Cases'!E10&lt;0,'Cases'!E10&gt;1,'Cases'!C10&lt;0,'Cases'!D10&lt;0,ABS(SUM('Sites'!S6:S8)-1)&gt;0.0001,MIN('Capital'!F6:F8)&lt;0,MAX('Capital'!F6:F8)&gt;1,MIN(AX181,AZ181,BB181,BA181)&lt;-0.01),1,0)+'Responsibilities'!$B$40</f>
        <v/>
      </c>
      <c r="BL181" s="137">
        <f>SUMIFS('Production schedule'!$T$438:$T$545,'Production schedule'!$C$438:$C$545,32)</f>
        <v/>
      </c>
      <c r="BM181" s="137">
        <f>D181*'NM Play'!$B$38</f>
        <v/>
      </c>
      <c r="BN181" s="137">
        <f>SUMIFS('Production schedule'!$AM$438:$AM$545,'Production schedule'!$C$438:$C$545,32)</f>
        <v/>
      </c>
      <c r="BO181" s="137">
        <f>AK181-AK180-AJ181</f>
        <v/>
      </c>
      <c r="BP181" s="137">
        <f>IF(AND('Assumptions'!$B$39&gt;=0,'Assumptions'!$B$40&gt;0),-PMT('Assumptions'!$B$39/12,'Assumptions'!$B$40*12,IF('Funding'!$N$11&gt;0,'Funding'!$N$11,'Funding'!$V$11)),"")</f>
        <v/>
      </c>
      <c r="BQ181">
        <f>('Production schedule'!AJ469)*(1-'Responsibilities'!$C$6)+('Production schedule'!AJ505)*(1-'Responsibilities'!$C$7)+('Production schedule'!AJ541)*(1-'Responsibilities'!$C$8)</f>
        <v/>
      </c>
      <c r="BR181">
        <f>('Production schedule'!AI469)*(1-'Responsibilities'!$D$6)+('Production schedule'!AI505)*(1-'Responsibilities'!$D$7)+('Production schedule'!AI541)*(1-'Responsibilities'!$D$8)</f>
        <v/>
      </c>
      <c r="BS181">
        <f>('Production schedule'!E469*(IF('Sites'!D6="Annual staff",SUM('Assumptions'!AI112,'Assumptions'!AI114),0)+SUM('Assumptions'!AI113,'Assumptions'!AI115:AI116)))*(1-'Responsibilities'!$E$6)+('Production schedule'!E505*(IF('Sites'!D7="Annual staff",SUM('Assumptions'!AI117,'Assumptions'!AI119),0)+SUM('Assumptions'!AI118,'Assumptions'!AI120:AI121)))*(1-'Responsibilities'!$E$7)+('Production schedule'!E541*(IF('Sites'!D8="Annual staff",SUM('Assumptions'!AI122,'Assumptions'!AI124),0)+SUM('Assumptions'!AI123,'Assumptions'!AI125:AI126)))*(1-'Responsibilities'!$E$8)</f>
        <v/>
      </c>
      <c r="BT181">
        <f>(IF(AND('Production schedule'!E469=1,32=MAX(('Sites'!F6),25),ISNUMBER('Sites'!Q6)),'Sites'!Q6*'Assumptions'!$B$44,0))*(1-'Responsibilities'!$F$6)+(IF(AND('Production schedule'!E505=1,32=MAX(('Sites'!F7+'Cases'!G10),25),ISNUMBER('Sites'!Q7)),'Sites'!Q7*'Assumptions'!$B$44,0))*(1-'Responsibilities'!$F$7)+(IF(AND('Production schedule'!E541=1,32=MAX(('Sites'!F8+'Cases'!G10),25),ISNUMBER('Sites'!Q8)),'Sites'!Q8*'Assumptions'!$B$44,0))*(1-'Responsibilities'!$F$8)</f>
        <v/>
      </c>
      <c r="BU181">
        <f>SUM('Costs'!E36)*'Costs'!F36/12*(1-'Responsibilities'!$C$12)+SUM('Costs'!E37)*'Costs'!F37/12*(1-'Responsibilities'!$C$13)+SUM('Costs'!E38)*'Costs'!F38/12*(1-'Responsibilities'!$C$14)+SUM('Costs'!E39)*'Costs'!F39/12*(1-'Responsibilities'!$C$15)+SUM('Costs'!E40)*'Costs'!F40/12*(1-'Responsibilities'!$C$16)</f>
        <v/>
      </c>
      <c r="BV181">
        <f>('Sites'!E6*'Capital'!E6*(IF(32='Capital'!G6,'Capital'!F6,0)+IF(32='Capital'!H6,1-'Capital'!F6,0)))*(1-'Responsibilities'!$G$6)+('Sites'!E7*'Capital'!E7*(IF(32='Capital'!G7+'Cases'!G10,'Capital'!F7,0)+IF(32='Capital'!H7+'Cases'!G10,1-'Capital'!F7,0)))*(1-'Responsibilities'!$G$7)+('Sites'!E8*'Cases'!F10*'Capital'!E8*(IF(32='Capital'!G8+'Cases'!G10,'Capital'!F8,0)+IF(32='Capital'!H8+'Cases'!G10,1-'Capital'!F8,0)))*(1-'Responsibilities'!$G$8)</f>
        <v/>
      </c>
      <c r="BW181">
        <f>SUM(BQ181:BV181)</f>
        <v/>
      </c>
      <c r="BX181">
        <f>N181+BW181</f>
        <v/>
      </c>
      <c r="BY181">
        <f>BX181-(('Production schedule'!AJ469)*'Responsibilities'!$C$6+('Production schedule'!AJ505)*'Responsibilities'!$C$7+('Production schedule'!AJ541)*'Responsibilities'!$C$8+('Production schedule'!AJ469)*(1-'Responsibilities'!$C$6)+('Production schedule'!AJ505)*(1-'Responsibilities'!$C$7)+('Production schedule'!AJ541)*(1-'Responsibilities'!$C$8)+('Production schedule'!AI469)*'Responsibilities'!$D$6+('Production schedule'!AI505)*'Responsibilities'!$D$7+('Production schedule'!AI541)*'Responsibilities'!$D$8+('Production schedule'!AI469)*(1-'Responsibilities'!$D$6)+('Production schedule'!AI505)*(1-'Responsibilities'!$D$7)+('Production schedule'!AI541)*(1-'Responsibilities'!$D$8)+('Production schedule'!E469*(IF('Sites'!D6="Annual staff",SUM('Assumptions'!AI112,'Assumptions'!AI114),0)+SUM('Assumptions'!AI113,'Assumptions'!AI115:AI116)))*'Responsibilities'!$E$6+('Production schedule'!E505*(IF('Sites'!D7="Annual staff",SUM('Assumptions'!AI117,'Assumptions'!AI119),0)+SUM('Assumptions'!AI118,'Assumptions'!AI120:AI121)))*'Responsibilities'!$E$7+('Production schedule'!E541*(IF('Sites'!D8="Annual staff",SUM('Assumptions'!AI122,'Assumptions'!AI124),0)+SUM('Assumptions'!AI123,'Assumptions'!AI125:AI126)))*'Responsibilities'!$E$8+('Production schedule'!E469*(IF('Sites'!D6="Annual staff",SUM('Assumptions'!AI112,'Assumptions'!AI114),0)+SUM('Assumptions'!AI113,'Assumptions'!AI115:AI116)))*(1-'Responsibilities'!$E$6)+('Production schedule'!E505*(IF('Sites'!D7="Annual staff",SUM('Assumptions'!AI117,'Assumptions'!AI119),0)+SUM('Assumptions'!AI118,'Assumptions'!AI120:AI121)))*(1-'Responsibilities'!$E$7)+('Production schedule'!E541*(IF('Sites'!D8="Annual staff",SUM('Assumptions'!AI122,'Assumptions'!AI124),0)+SUM('Assumptions'!AI123,'Assumptions'!AI125:AI126)))*(1-'Responsibilities'!$E$8)+(IF(AND('Production schedule'!E469=1,32=MAX(('Sites'!F6),25),ISNUMBER('Sites'!Q6)),'Sites'!Q6*'Assumptions'!$B$44,0))*'Responsibilities'!$F$6+(IF(AND('Production schedule'!E505=1,32=MAX(('Sites'!F7+'Cases'!G10),25),ISNUMBER('Sites'!Q7)),'Sites'!Q7*'Assumptions'!$B$44,0))*'Responsibilities'!$F$7+(IF(AND('Production schedule'!E541=1,32=MAX(('Sites'!F8+'Cases'!G10),25),ISNUMBER('Sites'!Q8)),'Sites'!Q8*'Assumptions'!$B$44,0))*'Responsibilities'!$F$8+(IF(AND('Production schedule'!E469=1,32=MAX(('Sites'!F6),25),ISNUMBER('Sites'!Q6)),'Sites'!Q6*'Assumptions'!$B$44,0))*(1-'Responsibilities'!$F$6)+(IF(AND('Production schedule'!E505=1,32=MAX(('Sites'!F7+'Cases'!G10),25),ISNUMBER('Sites'!Q7)),'Sites'!Q7*'Assumptions'!$B$44,0))*(1-'Responsibilities'!$F$7)+(IF(AND('Production schedule'!E541=1,32=MAX(('Sites'!F8+'Cases'!G10),25),ISNUMBER('Sites'!Q8)),'Sites'!Q8*'Assumptions'!$B$44,0))*(1-'Responsibilities'!$F$8)+('Sites'!E6*'Capital'!E6*(IF(32='Capital'!G6,'Capital'!F6,0)+IF(32='Capital'!H6,1-'Capital'!F6,0)))*'Responsibilities'!$G$6+('Sites'!E7*'Capital'!E7*(IF(32='Capital'!G7+'Cases'!G10,'Capital'!F7,0)+IF(32='Capital'!H7+'Cases'!G10,1-'Capital'!F7,0)))*'Responsibilities'!$G$7+('Sites'!E8*'Cases'!F10*'Capital'!E8*(IF(32='Capital'!G8+'Cases'!G10,'Capital'!F8,0)+IF(32='Capital'!H8+'Cases'!G10,1-'Capital'!F8,0)))*'Responsibilities'!$G$8+('Sites'!E6*'Capital'!E6*(IF(32='Capital'!G6,'Capital'!F6,0)+IF(32='Capital'!H6,1-'Capital'!F6,0)))*(1-'Responsibilities'!$G$6)+('Sites'!E7*'Capital'!E7*(IF(32='Capital'!G7+'Cases'!G10,'Capital'!F7,0)+IF(32='Capital'!H7+'Cases'!G10,1-'Capital'!F7,0)))*(1-'Responsibilities'!$G$7)+('Sites'!E8*'Cases'!F10*'Capital'!E8*(IF(32='Capital'!G8+'Cases'!G10,'Capital'!F8,0)+IF(32='Capital'!H8+'Cases'!G10,1-'Capital'!F8,0)))*(1-'Responsibilities'!$G$8)+I181+SUMPRODUCT('Costs'!$E$36:$E$40,'Costs'!$F$36:$F$40)/12+BZ181)</f>
        <v/>
      </c>
      <c r="BZ181">
        <f>SUMIFS('Responsibilities'!$B$31:$B$35,'Responsibilities'!$C$31:$C$35,32,'Responsibilities'!$D$31:$D$35,"Yes")</f>
        <v/>
      </c>
    </row>
    <row r="182" ht="28" customHeight="1">
      <c r="A182" s="4" t="inlineStr">
        <is>
          <t>Lower sales</t>
        </is>
      </c>
      <c r="B182" s="4" t="n">
        <v>33</v>
      </c>
      <c r="C182" s="4">
        <f>ROUNDUP(B182/12,0)</f>
        <v/>
      </c>
      <c r="D182" s="137">
        <f>SUMIFS('Production schedule'!$N$438:$N$545,'Production schedule'!$C$438:$C$545,33)</f>
        <v/>
      </c>
      <c r="E182" s="137">
        <f>SUMIFS('Production schedule'!$Y$438:$Y$545,'Production schedule'!$C$438:$C$545,33)</f>
        <v/>
      </c>
      <c r="F182" s="137">
        <f>SUMIFS('Production schedule'!$Z$438:$Z$545,'Production schedule'!$C$438:$C$545,33)</f>
        <v/>
      </c>
      <c r="G182" s="137">
        <f>('Production schedule'!AJ470)*'Responsibilities'!$C$6+('Production schedule'!AJ506)*'Responsibilities'!$C$7+('Production schedule'!AJ542)*'Responsibilities'!$C$8</f>
        <v/>
      </c>
      <c r="H182" s="137">
        <f>('Production schedule'!AI470)*'Responsibilities'!$D$6+('Production schedule'!AI506)*'Responsibilities'!$D$7+('Production schedule'!AI542)*'Responsibilities'!$D$8</f>
        <v/>
      </c>
      <c r="I182" s="137">
        <f>SUM('Assumptions'!AJ58:AJ65)</f>
        <v/>
      </c>
      <c r="J182" s="137">
        <f>('Production schedule'!E470*(IF('Sites'!D6="Annual staff",SUM('Assumptions'!AJ112,'Assumptions'!AJ114),0)+SUM('Assumptions'!AJ113,'Assumptions'!AJ115:AJ116)))*'Responsibilities'!$E$6+('Production schedule'!E506*(IF('Sites'!D7="Annual staff",SUM('Assumptions'!AJ117,'Assumptions'!AJ119),0)+SUM('Assumptions'!AJ118,'Assumptions'!AJ120:AJ121)))*'Responsibilities'!$E$7+('Production schedule'!E542*(IF('Sites'!D8="Annual staff",SUM('Assumptions'!AJ122,'Assumptions'!AJ124),0)+SUM('Assumptions'!AJ123,'Assumptions'!AJ125:AJ126)))*'Responsibilities'!$E$8</f>
        <v/>
      </c>
      <c r="K182" s="137">
        <f>(IF(AND('Production schedule'!E470=1,33=MAX(('Sites'!F6),25),ISNUMBER('Sites'!Q6)),'Sites'!Q6*'Assumptions'!$B$44,0))*'Responsibilities'!$F$6+(IF(AND('Production schedule'!E506=1,33=MAX(('Sites'!F7+'Cases'!G10),25),ISNUMBER('Sites'!Q7)),'Sites'!Q7*'Assumptions'!$B$44,0))*'Responsibilities'!$F$7+(IF(AND('Production schedule'!E542=1,33=MAX(('Sites'!F8+'Cases'!G10),25),ISNUMBER('Sites'!Q8)),'Sites'!Q8*'Assumptions'!$B$44,0))*'Responsibilities'!$F$8</f>
        <v/>
      </c>
      <c r="L182" s="137">
        <f>SUM('Costs'!E36)*'Costs'!F36/12*'Responsibilities'!$C$12+SUM('Costs'!E37)*'Costs'!F37/12*'Responsibilities'!$C$13+SUM('Costs'!E38)*'Costs'!F38/12*'Responsibilities'!$C$14+SUM('Costs'!E39)*'Costs'!F39/12*'Responsibilities'!$C$15+SUM('Costs'!E40)*'Costs'!F40/12*'Responsibilities'!$C$16+BZ182</f>
        <v/>
      </c>
      <c r="M182" s="137">
        <f>('Sites'!E6*'Capital'!E6*(IF(33='Capital'!G6,'Capital'!F6,0)+IF(33='Capital'!H6,1-'Capital'!F6,0)))*'Responsibilities'!$G$6+('Sites'!E7*'Capital'!E7*(IF(33='Capital'!G7+'Cases'!G10,'Capital'!F7,0)+IF(33='Capital'!H7+'Cases'!G10,1-'Capital'!F7,0)))*'Responsibilities'!$G$7+('Sites'!E8*'Cases'!F10*'Capital'!E8*(IF(33='Capital'!G8+'Cases'!G10,'Capital'!F8,0)+IF(33='Capital'!H8+'Cases'!G10,1-'Capital'!F8,0)))*'Responsibilities'!$G$8</f>
        <v/>
      </c>
      <c r="N182" s="137">
        <f>SUM(G182:M182)</f>
        <v/>
      </c>
      <c r="O182" s="137">
        <f>SUMIFS(FundingTranches[Secured amount],FundingTranches[Instrument],"Grant",FundingTranches[Secured month],33)</f>
        <v/>
      </c>
      <c r="P182" s="137">
        <f>SUMIFS(FundingTranches[Lower sales possible],FundingTranches[Instrument],"Grant",FundingTranches[Scenario month],33-'Cases'!$D$10)</f>
        <v/>
      </c>
      <c r="Q182" s="137">
        <f>SUMIFS(FundingTranches[Secured amount],FundingTranches[Instrument],"Loan",FundingTranches[Secured month],33)</f>
        <v/>
      </c>
      <c r="R182" s="137">
        <f>SUMIFS(FundingTranches[Lower sales possible],FundingTranches[Instrument],"Loan",FundingTranches[Scenario month],33-'Cases'!$D$10)</f>
        <v/>
      </c>
      <c r="S182" s="137">
        <f>IF(33&lt;='Assumptions'!$B$34,0,SUMIFS('Production schedule'!$AL$438:$AL$545,'Production schedule'!$C$438:$C$545,33-'Assumptions'!$B$34))</f>
        <v/>
      </c>
      <c r="T182" s="137">
        <f>'Assumptions'!AJ70</f>
        <v/>
      </c>
      <c r="U182" s="137">
        <f>'Assumptions'!AJ78</f>
        <v/>
      </c>
      <c r="V182" s="137">
        <f>SUM(O182:U182)</f>
        <v/>
      </c>
      <c r="W182" s="137">
        <f>AA181</f>
        <v/>
      </c>
      <c r="X182" s="137">
        <f>SUM(Q182:R182)</f>
        <v/>
      </c>
      <c r="Y182" s="137">
        <f>SUM(W182,X182)*'Assumptions'!$B$39/12</f>
        <v/>
      </c>
      <c r="Z182" s="137">
        <f>IF(SUM(W182,X182)&gt;0,MIN(SUM(W182,X182),MAX(0,BP182-Y182)),0)</f>
        <v/>
      </c>
      <c r="AA182" s="137">
        <f>SUM(W182,X182)-Z182</f>
        <v/>
      </c>
      <c r="AB182" s="137">
        <f>SUM(Y182:Z182)</f>
        <v/>
      </c>
      <c r="AC182" s="137">
        <f>'Assumptions'!AJ72</f>
        <v/>
      </c>
      <c r="AD182" s="137">
        <f>'Assumptions'!AJ73</f>
        <v/>
      </c>
      <c r="AE182" s="137">
        <f>IF(X182&gt;0,SUM('Assumptions'!$B$42),0)</f>
        <v/>
      </c>
      <c r="AF182" s="137">
        <f>'Assumptions'!AJ71</f>
        <v/>
      </c>
      <c r="AG182" s="137">
        <f>'Assumptions'!AJ74</f>
        <v/>
      </c>
      <c r="AH182" s="137">
        <f>'Assumptions'!AJ75</f>
        <v/>
      </c>
      <c r="AI182" s="137">
        <f>'Assumptions'!AJ77</f>
        <v/>
      </c>
      <c r="AJ182" s="137">
        <f>V182-N182-SUM(AB182:AI182)</f>
        <v/>
      </c>
      <c r="AK182" s="137">
        <f>SUM(AJ150:AJ182)</f>
        <v/>
      </c>
      <c r="AL182" s="137">
        <f>IF(ISNUMBER('Assumptions'!$B$10),'Assumptions'!$B$10+AK182,"")</f>
        <v/>
      </c>
      <c r="AM182" s="137">
        <f>SUM(O182,Q182,T182)-N182-SUM(AC182:AI182)+IF('Funding'!$N$11=0,AE182,0)-IF('Funding'!$N$11&gt;0,AB182,0)</f>
        <v/>
      </c>
      <c r="AN182" s="137">
        <f>SUM(AM150:AM182)</f>
        <v/>
      </c>
      <c r="AO182" s="137">
        <f>IF(ISNUMBER('Assumptions'!$B$10),'Assumptions'!$B$10+AN182,"")</f>
        <v/>
      </c>
      <c r="AP182" s="137">
        <f>('Production schedule'!AK470)*'Responsibilities'!$C$6+('Production schedule'!AK506)*'Responsibilities'!$C$7+('Production schedule'!AK542)*'Responsibilities'!$C$8</f>
        <v/>
      </c>
      <c r="AQ182" s="137">
        <f>SUMIFS('Production schedule'!$AL$438:$AL$545,'Production schedule'!$C$438:$C$545,33)</f>
        <v/>
      </c>
      <c r="AR182" s="137">
        <f>IF(ISNUMBER('Assumptions'!AJ76),'Assumptions'!AJ76,SUM(O182:P182))</f>
        <v/>
      </c>
      <c r="AS182" s="137">
        <f>IF(ISNUMBER('Assumptions'!$B$13),MIN('Assumptions'!$B$13/'Assumptions'!$B$18/12,MAX(0,'Assumptions'!$B$13-(33-1)*'Assumptions'!$B$13/'Assumptions'!$B$18/12)),0)+IF(AND('Sites'!E6=1,33&gt;=('Sites'!F6),33&lt;('Sites'!F6)+'Assumptions'!$B$18*12),'Capital'!E6/'Assumptions'!$B$18/12,0)+IF(AND('Sites'!E7=1,33&gt;=('Sites'!F7+'Cases'!G10),33&lt;('Sites'!F7+'Cases'!G10)+'Assumptions'!$B$18*12),'Capital'!E7/'Assumptions'!$B$18/12,0)+IF(AND('Sites'!E8*'Cases'!F10=1,33&gt;=('Sites'!F8+'Cases'!G10),33&lt;('Sites'!F8+'Cases'!G10)+'Assumptions'!$B$18*12),'Capital'!E8/'Assumptions'!$B$18/12,0)</f>
        <v/>
      </c>
      <c r="AT182" s="137">
        <f>SUM(AQ182,AR182,U182)-AP182-SUM(H182:L182)-AS182-SUM(Y182,AD182,AE182,AH182)</f>
        <v/>
      </c>
      <c r="AU182" s="137">
        <f>IF(ISNUMBER('Assumptions'!$B$19),MAX(0,SUM(AT174:AT182))*'Assumptions'!$B$19-SUM(AU174:AU181),"")</f>
        <v/>
      </c>
      <c r="AV182" s="137">
        <f>IF(ISNUMBER(AU182),AT182-AU182,"")</f>
        <v/>
      </c>
      <c r="AW182" s="137">
        <f>IF(ISNUMBER('Assumptions'!$B$11),'Assumptions'!$B$11+SUM(AQ150:AQ182)-SUM(S150:S182)-SUM(T150:T182),"")</f>
        <v/>
      </c>
      <c r="AX182" s="137">
        <f>IF(ISNUMBER('Assumptions'!$B$12),'Assumptions'!$B$12+SUM(G150:G182)-SUM(AP150:AP182),"")</f>
        <v/>
      </c>
      <c r="AY182" s="137">
        <f>IF(ISNUMBER('Assumptions'!$B$13),'Assumptions'!$B$13+SUM(M150:M182)-SUM(AS150:AS182),"")</f>
        <v/>
      </c>
      <c r="AZ182" s="137">
        <f>IF(ISNUMBER('Assumptions'!$B$14),'Assumptions'!$B$14+-SUM(AF150:AF182),"")</f>
        <v/>
      </c>
      <c r="BA182" s="137">
        <f>IF(ISNUMBER('Assumptions'!$B$15),'Assumptions'!$B$15+SUM(O150:O182)+SUM(P150:P182)-SUM(AR150:AR182),"")</f>
        <v/>
      </c>
      <c r="BB182" s="137">
        <f>IF(ISNUMBER('Assumptions'!$B$16),'Assumptions'!$B$16+-SUM(AC150:AC182),"")</f>
        <v/>
      </c>
      <c r="BC182" s="137">
        <f>IF(AND(ISNUMBER('Assumptions'!$B$21),ISNUMBER('Assumptions'!$B$19)),'Assumptions'!$B$21+SUM(AU150:AU182)-SUM(AG150:AG182),"")</f>
        <v/>
      </c>
      <c r="BD182" s="137">
        <f>IF(ISNUMBER('Assumptions'!$B$20),'Assumptions'!$B$20+-SUM(AI150:AI182),"")</f>
        <v/>
      </c>
      <c r="BE182" s="137">
        <f>IF(AND(ISNUMBER('Assumptions'!$B$17),COUNT(AV150:AV182)=33),'Assumptions'!$B$17+SUM(AV150:AV182),"")</f>
        <v/>
      </c>
      <c r="BF182" s="137">
        <f>IF(COUNT(AL182,AW182:AY182)=4,SUM(AL182,AW182:AY182),"")</f>
        <v/>
      </c>
      <c r="BG182" s="137">
        <f>IF(COUNT(AZ182:BD182)=5,SUM(AZ182:BD182,AA182),"")</f>
        <v/>
      </c>
      <c r="BH182" s="137">
        <f>IF(COUNT(BF182,BG182,BE182)=3,BF182-BG182-BE182,"")</f>
        <v/>
      </c>
      <c r="BI182" s="137">
        <f>SUM(W182,X182)-Z182-AA182</f>
        <v/>
      </c>
      <c r="BJ182" s="137">
        <f>8-COUNT('Assumptions'!AJ58:AJ65)+COUNTBLANK('NM Play'!B33:B34)+'Costs'!E44+IF(AND('Sites'!E6=1,('Sites'!F6)&lt;=36,'Sites'!G6&gt;=25),IF(ISNUMBER('Sites'!Q6),0,1)+'Capital'!I6+COUNTBLANK('Sites'!R6)+IF('Sites'!D6="NM crew",COUNTBLANK('NM Play'!B25)+1,5-COUNT('Assumptions'!AJ112:AJ116)),0)+IF(AND('Sites'!E7=1,('Sites'!F7+'Cases'!G10)&lt;=36,'Sites'!G7&gt;=25),IF(ISNUMBER('Sites'!Q7),0,1)+'Capital'!I7+COUNTBLANK('Sites'!R7)+IF('Sites'!D7="NM crew",COUNTBLANK('NM Play'!B25)+1,5-COUNT('Assumptions'!AJ117:AJ121)),0)+IF(AND('Sites'!E8*'Cases'!F10=1,('Sites'!F8+'Cases'!G10)&lt;=36,'Sites'!G8&gt;=25),IF(ISNUMBER('Sites'!Q8),0,1)+'Capital'!I8+COUNTBLANK('Sites'!R8)+IF('Sites'!D8="NM crew",COUNTBLANK('NM Play'!B25)+1,5-COUNT('Assumptions'!AJ122:AJ126)),0)+IF(AND('Cases'!C10&gt;0,NOT(ISNUMBER('Assumptions'!B42))),1,0)+'Responsibilities'!$B$39</f>
        <v/>
      </c>
      <c r="BK182" s="137">
        <f>'Assumptions'!$B$50+'NM Play'!$B$83+'Funding'!$F$20+SUMIFS('Production schedule'!$AN$438:$AN$545,'Production schedule'!$C$438:$C$545,33)+IF(OR('Cases'!E10&lt;0,'Cases'!E10&gt;1,'Cases'!C10&lt;0,'Cases'!D10&lt;0,ABS(SUM('Sites'!S6:S8)-1)&gt;0.0001,MIN('Capital'!F6:F8)&lt;0,MAX('Capital'!F6:F8)&gt;1,MIN(AX182,AZ182,BB182,BA182)&lt;-0.01),1,0)+'Responsibilities'!$B$40</f>
        <v/>
      </c>
      <c r="BL182" s="137">
        <f>SUMIFS('Production schedule'!$T$438:$T$545,'Production schedule'!$C$438:$C$545,33)</f>
        <v/>
      </c>
      <c r="BM182" s="137">
        <f>D182*'NM Play'!$B$38</f>
        <v/>
      </c>
      <c r="BN182" s="137">
        <f>SUMIFS('Production schedule'!$AM$438:$AM$545,'Production schedule'!$C$438:$C$545,33)</f>
        <v/>
      </c>
      <c r="BO182" s="137">
        <f>AK182-AK181-AJ182</f>
        <v/>
      </c>
      <c r="BP182" s="137">
        <f>IF(AND('Assumptions'!$B$39&gt;=0,'Assumptions'!$B$40&gt;0),-PMT('Assumptions'!$B$39/12,'Assumptions'!$B$40*12,IF('Funding'!$N$11&gt;0,'Funding'!$N$11,'Funding'!$V$11)),"")</f>
        <v/>
      </c>
      <c r="BQ182">
        <f>('Production schedule'!AJ470)*(1-'Responsibilities'!$C$6)+('Production schedule'!AJ506)*(1-'Responsibilities'!$C$7)+('Production schedule'!AJ542)*(1-'Responsibilities'!$C$8)</f>
        <v/>
      </c>
      <c r="BR182">
        <f>('Production schedule'!AI470)*(1-'Responsibilities'!$D$6)+('Production schedule'!AI506)*(1-'Responsibilities'!$D$7)+('Production schedule'!AI542)*(1-'Responsibilities'!$D$8)</f>
        <v/>
      </c>
      <c r="BS182">
        <f>('Production schedule'!E470*(IF('Sites'!D6="Annual staff",SUM('Assumptions'!AJ112,'Assumptions'!AJ114),0)+SUM('Assumptions'!AJ113,'Assumptions'!AJ115:AJ116)))*(1-'Responsibilities'!$E$6)+('Production schedule'!E506*(IF('Sites'!D7="Annual staff",SUM('Assumptions'!AJ117,'Assumptions'!AJ119),0)+SUM('Assumptions'!AJ118,'Assumptions'!AJ120:AJ121)))*(1-'Responsibilities'!$E$7)+('Production schedule'!E542*(IF('Sites'!D8="Annual staff",SUM('Assumptions'!AJ122,'Assumptions'!AJ124),0)+SUM('Assumptions'!AJ123,'Assumptions'!AJ125:AJ126)))*(1-'Responsibilities'!$E$8)</f>
        <v/>
      </c>
      <c r="BT182">
        <f>(IF(AND('Production schedule'!E470=1,33=MAX(('Sites'!F6),25),ISNUMBER('Sites'!Q6)),'Sites'!Q6*'Assumptions'!$B$44,0))*(1-'Responsibilities'!$F$6)+(IF(AND('Production schedule'!E506=1,33=MAX(('Sites'!F7+'Cases'!G10),25),ISNUMBER('Sites'!Q7)),'Sites'!Q7*'Assumptions'!$B$44,0))*(1-'Responsibilities'!$F$7)+(IF(AND('Production schedule'!E542=1,33=MAX(('Sites'!F8+'Cases'!G10),25),ISNUMBER('Sites'!Q8)),'Sites'!Q8*'Assumptions'!$B$44,0))*(1-'Responsibilities'!$F$8)</f>
        <v/>
      </c>
      <c r="BU182">
        <f>SUM('Costs'!E36)*'Costs'!F36/12*(1-'Responsibilities'!$C$12)+SUM('Costs'!E37)*'Costs'!F37/12*(1-'Responsibilities'!$C$13)+SUM('Costs'!E38)*'Costs'!F38/12*(1-'Responsibilities'!$C$14)+SUM('Costs'!E39)*'Costs'!F39/12*(1-'Responsibilities'!$C$15)+SUM('Costs'!E40)*'Costs'!F40/12*(1-'Responsibilities'!$C$16)</f>
        <v/>
      </c>
      <c r="BV182">
        <f>('Sites'!E6*'Capital'!E6*(IF(33='Capital'!G6,'Capital'!F6,0)+IF(33='Capital'!H6,1-'Capital'!F6,0)))*(1-'Responsibilities'!$G$6)+('Sites'!E7*'Capital'!E7*(IF(33='Capital'!G7+'Cases'!G10,'Capital'!F7,0)+IF(33='Capital'!H7+'Cases'!G10,1-'Capital'!F7,0)))*(1-'Responsibilities'!$G$7)+('Sites'!E8*'Cases'!F10*'Capital'!E8*(IF(33='Capital'!G8+'Cases'!G10,'Capital'!F8,0)+IF(33='Capital'!H8+'Cases'!G10,1-'Capital'!F8,0)))*(1-'Responsibilities'!$G$8)</f>
        <v/>
      </c>
      <c r="BW182">
        <f>SUM(BQ182:BV182)</f>
        <v/>
      </c>
      <c r="BX182">
        <f>N182+BW182</f>
        <v/>
      </c>
      <c r="BY182">
        <f>BX182-(('Production schedule'!AJ470)*'Responsibilities'!$C$6+('Production schedule'!AJ506)*'Responsibilities'!$C$7+('Production schedule'!AJ542)*'Responsibilities'!$C$8+('Production schedule'!AJ470)*(1-'Responsibilities'!$C$6)+('Production schedule'!AJ506)*(1-'Responsibilities'!$C$7)+('Production schedule'!AJ542)*(1-'Responsibilities'!$C$8)+('Production schedule'!AI470)*'Responsibilities'!$D$6+('Production schedule'!AI506)*'Responsibilities'!$D$7+('Production schedule'!AI542)*'Responsibilities'!$D$8+('Production schedule'!AI470)*(1-'Responsibilities'!$D$6)+('Production schedule'!AI506)*(1-'Responsibilities'!$D$7)+('Production schedule'!AI542)*(1-'Responsibilities'!$D$8)+('Production schedule'!E470*(IF('Sites'!D6="Annual staff",SUM('Assumptions'!AJ112,'Assumptions'!AJ114),0)+SUM('Assumptions'!AJ113,'Assumptions'!AJ115:AJ116)))*'Responsibilities'!$E$6+('Production schedule'!E506*(IF('Sites'!D7="Annual staff",SUM('Assumptions'!AJ117,'Assumptions'!AJ119),0)+SUM('Assumptions'!AJ118,'Assumptions'!AJ120:AJ121)))*'Responsibilities'!$E$7+('Production schedule'!E542*(IF('Sites'!D8="Annual staff",SUM('Assumptions'!AJ122,'Assumptions'!AJ124),0)+SUM('Assumptions'!AJ123,'Assumptions'!AJ125:AJ126)))*'Responsibilities'!$E$8+('Production schedule'!E470*(IF('Sites'!D6="Annual staff",SUM('Assumptions'!AJ112,'Assumptions'!AJ114),0)+SUM('Assumptions'!AJ113,'Assumptions'!AJ115:AJ116)))*(1-'Responsibilities'!$E$6)+('Production schedule'!E506*(IF('Sites'!D7="Annual staff",SUM('Assumptions'!AJ117,'Assumptions'!AJ119),0)+SUM('Assumptions'!AJ118,'Assumptions'!AJ120:AJ121)))*(1-'Responsibilities'!$E$7)+('Production schedule'!E542*(IF('Sites'!D8="Annual staff",SUM('Assumptions'!AJ122,'Assumptions'!AJ124),0)+SUM('Assumptions'!AJ123,'Assumptions'!AJ125:AJ126)))*(1-'Responsibilities'!$E$8)+(IF(AND('Production schedule'!E470=1,33=MAX(('Sites'!F6),25),ISNUMBER('Sites'!Q6)),'Sites'!Q6*'Assumptions'!$B$44,0))*'Responsibilities'!$F$6+(IF(AND('Production schedule'!E506=1,33=MAX(('Sites'!F7+'Cases'!G10),25),ISNUMBER('Sites'!Q7)),'Sites'!Q7*'Assumptions'!$B$44,0))*'Responsibilities'!$F$7+(IF(AND('Production schedule'!E542=1,33=MAX(('Sites'!F8+'Cases'!G10),25),ISNUMBER('Sites'!Q8)),'Sites'!Q8*'Assumptions'!$B$44,0))*'Responsibilities'!$F$8+(IF(AND('Production schedule'!E470=1,33=MAX(('Sites'!F6),25),ISNUMBER('Sites'!Q6)),'Sites'!Q6*'Assumptions'!$B$44,0))*(1-'Responsibilities'!$F$6)+(IF(AND('Production schedule'!E506=1,33=MAX(('Sites'!F7+'Cases'!G10),25),ISNUMBER('Sites'!Q7)),'Sites'!Q7*'Assumptions'!$B$44,0))*(1-'Responsibilities'!$F$7)+(IF(AND('Production schedule'!E542=1,33=MAX(('Sites'!F8+'Cases'!G10),25),ISNUMBER('Sites'!Q8)),'Sites'!Q8*'Assumptions'!$B$44,0))*(1-'Responsibilities'!$F$8)+('Sites'!E6*'Capital'!E6*(IF(33='Capital'!G6,'Capital'!F6,0)+IF(33='Capital'!H6,1-'Capital'!F6,0)))*'Responsibilities'!$G$6+('Sites'!E7*'Capital'!E7*(IF(33='Capital'!G7+'Cases'!G10,'Capital'!F7,0)+IF(33='Capital'!H7+'Cases'!G10,1-'Capital'!F7,0)))*'Responsibilities'!$G$7+('Sites'!E8*'Cases'!F10*'Capital'!E8*(IF(33='Capital'!G8+'Cases'!G10,'Capital'!F8,0)+IF(33='Capital'!H8+'Cases'!G10,1-'Capital'!F8,0)))*'Responsibilities'!$G$8+('Sites'!E6*'Capital'!E6*(IF(33='Capital'!G6,'Capital'!F6,0)+IF(33='Capital'!H6,1-'Capital'!F6,0)))*(1-'Responsibilities'!$G$6)+('Sites'!E7*'Capital'!E7*(IF(33='Capital'!G7+'Cases'!G10,'Capital'!F7,0)+IF(33='Capital'!H7+'Cases'!G10,1-'Capital'!F7,0)))*(1-'Responsibilities'!$G$7)+('Sites'!E8*'Cases'!F10*'Capital'!E8*(IF(33='Capital'!G8+'Cases'!G10,'Capital'!F8,0)+IF(33='Capital'!H8+'Cases'!G10,1-'Capital'!F8,0)))*(1-'Responsibilities'!$G$8)+I182+SUMPRODUCT('Costs'!$E$36:$E$40,'Costs'!$F$36:$F$40)/12+BZ182)</f>
        <v/>
      </c>
      <c r="BZ182">
        <f>SUMIFS('Responsibilities'!$B$31:$B$35,'Responsibilities'!$C$31:$C$35,33,'Responsibilities'!$D$31:$D$35,"Yes")</f>
        <v/>
      </c>
    </row>
    <row r="183" ht="28" customHeight="1">
      <c r="A183" s="4" t="inlineStr">
        <is>
          <t>Lower sales</t>
        </is>
      </c>
      <c r="B183" s="4" t="n">
        <v>34</v>
      </c>
      <c r="C183" s="4">
        <f>ROUNDUP(B183/12,0)</f>
        <v/>
      </c>
      <c r="D183" s="137">
        <f>SUMIFS('Production schedule'!$N$438:$N$545,'Production schedule'!$C$438:$C$545,34)</f>
        <v/>
      </c>
      <c r="E183" s="137">
        <f>SUMIFS('Production schedule'!$Y$438:$Y$545,'Production schedule'!$C$438:$C$545,34)</f>
        <v/>
      </c>
      <c r="F183" s="137">
        <f>SUMIFS('Production schedule'!$Z$438:$Z$545,'Production schedule'!$C$438:$C$545,34)</f>
        <v/>
      </c>
      <c r="G183" s="137">
        <f>('Production schedule'!AJ471)*'Responsibilities'!$C$6+('Production schedule'!AJ507)*'Responsibilities'!$C$7+('Production schedule'!AJ543)*'Responsibilities'!$C$8</f>
        <v/>
      </c>
      <c r="H183" s="137">
        <f>('Production schedule'!AI471)*'Responsibilities'!$D$6+('Production schedule'!AI507)*'Responsibilities'!$D$7+('Production schedule'!AI543)*'Responsibilities'!$D$8</f>
        <v/>
      </c>
      <c r="I183" s="137">
        <f>SUM('Assumptions'!AK58:AK65)</f>
        <v/>
      </c>
      <c r="J183" s="137">
        <f>('Production schedule'!E471*(IF('Sites'!D6="Annual staff",SUM('Assumptions'!AK112,'Assumptions'!AK114),0)+SUM('Assumptions'!AK113,'Assumptions'!AK115:AK116)))*'Responsibilities'!$E$6+('Production schedule'!E507*(IF('Sites'!D7="Annual staff",SUM('Assumptions'!AK117,'Assumptions'!AK119),0)+SUM('Assumptions'!AK118,'Assumptions'!AK120:AK121)))*'Responsibilities'!$E$7+('Production schedule'!E543*(IF('Sites'!D8="Annual staff",SUM('Assumptions'!AK122,'Assumptions'!AK124),0)+SUM('Assumptions'!AK123,'Assumptions'!AK125:AK126)))*'Responsibilities'!$E$8</f>
        <v/>
      </c>
      <c r="K183" s="137">
        <f>(IF(AND('Production schedule'!E471=1,34=MAX(('Sites'!F6),25),ISNUMBER('Sites'!Q6)),'Sites'!Q6*'Assumptions'!$B$44,0))*'Responsibilities'!$F$6+(IF(AND('Production schedule'!E507=1,34=MAX(('Sites'!F7+'Cases'!G10),25),ISNUMBER('Sites'!Q7)),'Sites'!Q7*'Assumptions'!$B$44,0))*'Responsibilities'!$F$7+(IF(AND('Production schedule'!E543=1,34=MAX(('Sites'!F8+'Cases'!G10),25),ISNUMBER('Sites'!Q8)),'Sites'!Q8*'Assumptions'!$B$44,0))*'Responsibilities'!$F$8</f>
        <v/>
      </c>
      <c r="L183" s="137">
        <f>SUM('Costs'!E36)*'Costs'!F36/12*'Responsibilities'!$C$12+SUM('Costs'!E37)*'Costs'!F37/12*'Responsibilities'!$C$13+SUM('Costs'!E38)*'Costs'!F38/12*'Responsibilities'!$C$14+SUM('Costs'!E39)*'Costs'!F39/12*'Responsibilities'!$C$15+SUM('Costs'!E40)*'Costs'!F40/12*'Responsibilities'!$C$16+BZ183</f>
        <v/>
      </c>
      <c r="M183" s="137">
        <f>('Sites'!E6*'Capital'!E6*(IF(34='Capital'!G6,'Capital'!F6,0)+IF(34='Capital'!H6,1-'Capital'!F6,0)))*'Responsibilities'!$G$6+('Sites'!E7*'Capital'!E7*(IF(34='Capital'!G7+'Cases'!G10,'Capital'!F7,0)+IF(34='Capital'!H7+'Cases'!G10,1-'Capital'!F7,0)))*'Responsibilities'!$G$7+('Sites'!E8*'Cases'!F10*'Capital'!E8*(IF(34='Capital'!G8+'Cases'!G10,'Capital'!F8,0)+IF(34='Capital'!H8+'Cases'!G10,1-'Capital'!F8,0)))*'Responsibilities'!$G$8</f>
        <v/>
      </c>
      <c r="N183" s="137">
        <f>SUM(G183:M183)</f>
        <v/>
      </c>
      <c r="O183" s="137">
        <f>SUMIFS(FundingTranches[Secured amount],FundingTranches[Instrument],"Grant",FundingTranches[Secured month],34)</f>
        <v/>
      </c>
      <c r="P183" s="137">
        <f>SUMIFS(FundingTranches[Lower sales possible],FundingTranches[Instrument],"Grant",FundingTranches[Scenario month],34-'Cases'!$D$10)</f>
        <v/>
      </c>
      <c r="Q183" s="137">
        <f>SUMIFS(FundingTranches[Secured amount],FundingTranches[Instrument],"Loan",FundingTranches[Secured month],34)</f>
        <v/>
      </c>
      <c r="R183" s="137">
        <f>SUMIFS(FundingTranches[Lower sales possible],FundingTranches[Instrument],"Loan",FundingTranches[Scenario month],34-'Cases'!$D$10)</f>
        <v/>
      </c>
      <c r="S183" s="137">
        <f>IF(34&lt;='Assumptions'!$B$34,0,SUMIFS('Production schedule'!$AL$438:$AL$545,'Production schedule'!$C$438:$C$545,34-'Assumptions'!$B$34))</f>
        <v/>
      </c>
      <c r="T183" s="137">
        <f>'Assumptions'!AK70</f>
        <v/>
      </c>
      <c r="U183" s="137">
        <f>'Assumptions'!AK78</f>
        <v/>
      </c>
      <c r="V183" s="137">
        <f>SUM(O183:U183)</f>
        <v/>
      </c>
      <c r="W183" s="137">
        <f>AA182</f>
        <v/>
      </c>
      <c r="X183" s="137">
        <f>SUM(Q183:R183)</f>
        <v/>
      </c>
      <c r="Y183" s="137">
        <f>SUM(W183,X183)*'Assumptions'!$B$39/12</f>
        <v/>
      </c>
      <c r="Z183" s="137">
        <f>IF(SUM(W183,X183)&gt;0,MIN(SUM(W183,X183),MAX(0,BP183-Y183)),0)</f>
        <v/>
      </c>
      <c r="AA183" s="137">
        <f>SUM(W183,X183)-Z183</f>
        <v/>
      </c>
      <c r="AB183" s="137">
        <f>SUM(Y183:Z183)</f>
        <v/>
      </c>
      <c r="AC183" s="137">
        <f>'Assumptions'!AK72</f>
        <v/>
      </c>
      <c r="AD183" s="137">
        <f>'Assumptions'!AK73</f>
        <v/>
      </c>
      <c r="AE183" s="137">
        <f>IF(X183&gt;0,SUM('Assumptions'!$B$42),0)</f>
        <v/>
      </c>
      <c r="AF183" s="137">
        <f>'Assumptions'!AK71</f>
        <v/>
      </c>
      <c r="AG183" s="137">
        <f>'Assumptions'!AK74</f>
        <v/>
      </c>
      <c r="AH183" s="137">
        <f>'Assumptions'!AK75</f>
        <v/>
      </c>
      <c r="AI183" s="137">
        <f>'Assumptions'!AK77</f>
        <v/>
      </c>
      <c r="AJ183" s="137">
        <f>V183-N183-SUM(AB183:AI183)</f>
        <v/>
      </c>
      <c r="AK183" s="137">
        <f>SUM(AJ150:AJ183)</f>
        <v/>
      </c>
      <c r="AL183" s="137">
        <f>IF(ISNUMBER('Assumptions'!$B$10),'Assumptions'!$B$10+AK183,"")</f>
        <v/>
      </c>
      <c r="AM183" s="137">
        <f>SUM(O183,Q183,T183)-N183-SUM(AC183:AI183)+IF('Funding'!$N$11=0,AE183,0)-IF('Funding'!$N$11&gt;0,AB183,0)</f>
        <v/>
      </c>
      <c r="AN183" s="137">
        <f>SUM(AM150:AM183)</f>
        <v/>
      </c>
      <c r="AO183" s="137">
        <f>IF(ISNUMBER('Assumptions'!$B$10),'Assumptions'!$B$10+AN183,"")</f>
        <v/>
      </c>
      <c r="AP183" s="137">
        <f>('Production schedule'!AK471)*'Responsibilities'!$C$6+('Production schedule'!AK507)*'Responsibilities'!$C$7+('Production schedule'!AK543)*'Responsibilities'!$C$8</f>
        <v/>
      </c>
      <c r="AQ183" s="137">
        <f>SUMIFS('Production schedule'!$AL$438:$AL$545,'Production schedule'!$C$438:$C$545,34)</f>
        <v/>
      </c>
      <c r="AR183" s="137">
        <f>IF(ISNUMBER('Assumptions'!AK76),'Assumptions'!AK76,SUM(O183:P183))</f>
        <v/>
      </c>
      <c r="AS183" s="137">
        <f>IF(ISNUMBER('Assumptions'!$B$13),MIN('Assumptions'!$B$13/'Assumptions'!$B$18/12,MAX(0,'Assumptions'!$B$13-(34-1)*'Assumptions'!$B$13/'Assumptions'!$B$18/12)),0)+IF(AND('Sites'!E6=1,34&gt;=('Sites'!F6),34&lt;('Sites'!F6)+'Assumptions'!$B$18*12),'Capital'!E6/'Assumptions'!$B$18/12,0)+IF(AND('Sites'!E7=1,34&gt;=('Sites'!F7+'Cases'!G10),34&lt;('Sites'!F7+'Cases'!G10)+'Assumptions'!$B$18*12),'Capital'!E7/'Assumptions'!$B$18/12,0)+IF(AND('Sites'!E8*'Cases'!F10=1,34&gt;=('Sites'!F8+'Cases'!G10),34&lt;('Sites'!F8+'Cases'!G10)+'Assumptions'!$B$18*12),'Capital'!E8/'Assumptions'!$B$18/12,0)</f>
        <v/>
      </c>
      <c r="AT183" s="137">
        <f>SUM(AQ183,AR183,U183)-AP183-SUM(H183:L183)-AS183-SUM(Y183,AD183,AE183,AH183)</f>
        <v/>
      </c>
      <c r="AU183" s="137">
        <f>IF(ISNUMBER('Assumptions'!$B$19),MAX(0,SUM(AT174:AT183))*'Assumptions'!$B$19-SUM(AU174:AU182),"")</f>
        <v/>
      </c>
      <c r="AV183" s="137">
        <f>IF(ISNUMBER(AU183),AT183-AU183,"")</f>
        <v/>
      </c>
      <c r="AW183" s="137">
        <f>IF(ISNUMBER('Assumptions'!$B$11),'Assumptions'!$B$11+SUM(AQ150:AQ183)-SUM(S150:S183)-SUM(T150:T183),"")</f>
        <v/>
      </c>
      <c r="AX183" s="137">
        <f>IF(ISNUMBER('Assumptions'!$B$12),'Assumptions'!$B$12+SUM(G150:G183)-SUM(AP150:AP183),"")</f>
        <v/>
      </c>
      <c r="AY183" s="137">
        <f>IF(ISNUMBER('Assumptions'!$B$13),'Assumptions'!$B$13+SUM(M150:M183)-SUM(AS150:AS183),"")</f>
        <v/>
      </c>
      <c r="AZ183" s="137">
        <f>IF(ISNUMBER('Assumptions'!$B$14),'Assumptions'!$B$14+-SUM(AF150:AF183),"")</f>
        <v/>
      </c>
      <c r="BA183" s="137">
        <f>IF(ISNUMBER('Assumptions'!$B$15),'Assumptions'!$B$15+SUM(O150:O183)+SUM(P150:P183)-SUM(AR150:AR183),"")</f>
        <v/>
      </c>
      <c r="BB183" s="137">
        <f>IF(ISNUMBER('Assumptions'!$B$16),'Assumptions'!$B$16+-SUM(AC150:AC183),"")</f>
        <v/>
      </c>
      <c r="BC183" s="137">
        <f>IF(AND(ISNUMBER('Assumptions'!$B$21),ISNUMBER('Assumptions'!$B$19)),'Assumptions'!$B$21+SUM(AU150:AU183)-SUM(AG150:AG183),"")</f>
        <v/>
      </c>
      <c r="BD183" s="137">
        <f>IF(ISNUMBER('Assumptions'!$B$20),'Assumptions'!$B$20+-SUM(AI150:AI183),"")</f>
        <v/>
      </c>
      <c r="BE183" s="137">
        <f>IF(AND(ISNUMBER('Assumptions'!$B$17),COUNT(AV150:AV183)=34),'Assumptions'!$B$17+SUM(AV150:AV183),"")</f>
        <v/>
      </c>
      <c r="BF183" s="137">
        <f>IF(COUNT(AL183,AW183:AY183)=4,SUM(AL183,AW183:AY183),"")</f>
        <v/>
      </c>
      <c r="BG183" s="137">
        <f>IF(COUNT(AZ183:BD183)=5,SUM(AZ183:BD183,AA183),"")</f>
        <v/>
      </c>
      <c r="BH183" s="137">
        <f>IF(COUNT(BF183,BG183,BE183)=3,BF183-BG183-BE183,"")</f>
        <v/>
      </c>
      <c r="BI183" s="137">
        <f>SUM(W183,X183)-Z183-AA183</f>
        <v/>
      </c>
      <c r="BJ183" s="137">
        <f>8-COUNT('Assumptions'!AK58:AK65)+COUNTBLANK('NM Play'!B33:B34)+'Costs'!E44+IF(AND('Sites'!E6=1,('Sites'!F6)&lt;=36,'Sites'!G6&gt;=25),IF(ISNUMBER('Sites'!Q6),0,1)+'Capital'!I6+COUNTBLANK('Sites'!R6)+IF('Sites'!D6="NM crew",COUNTBLANK('NM Play'!B25)+1,5-COUNT('Assumptions'!AK112:AK116)),0)+IF(AND('Sites'!E7=1,('Sites'!F7+'Cases'!G10)&lt;=36,'Sites'!G7&gt;=25),IF(ISNUMBER('Sites'!Q7),0,1)+'Capital'!I7+COUNTBLANK('Sites'!R7)+IF('Sites'!D7="NM crew",COUNTBLANK('NM Play'!B25)+1,5-COUNT('Assumptions'!AK117:AK121)),0)+IF(AND('Sites'!E8*'Cases'!F10=1,('Sites'!F8+'Cases'!G10)&lt;=36,'Sites'!G8&gt;=25),IF(ISNUMBER('Sites'!Q8),0,1)+'Capital'!I8+COUNTBLANK('Sites'!R8)+IF('Sites'!D8="NM crew",COUNTBLANK('NM Play'!B25)+1,5-COUNT('Assumptions'!AK122:AK126)),0)+IF(AND('Cases'!C10&gt;0,NOT(ISNUMBER('Assumptions'!B42))),1,0)+'Responsibilities'!$B$39</f>
        <v/>
      </c>
      <c r="BK183" s="137">
        <f>'Assumptions'!$B$50+'NM Play'!$B$83+'Funding'!$F$20+SUMIFS('Production schedule'!$AN$438:$AN$545,'Production schedule'!$C$438:$C$545,34)+IF(OR('Cases'!E10&lt;0,'Cases'!E10&gt;1,'Cases'!C10&lt;0,'Cases'!D10&lt;0,ABS(SUM('Sites'!S6:S8)-1)&gt;0.0001,MIN('Capital'!F6:F8)&lt;0,MAX('Capital'!F6:F8)&gt;1,MIN(AX183,AZ183,BB183,BA183)&lt;-0.01),1,0)+'Responsibilities'!$B$40</f>
        <v/>
      </c>
      <c r="BL183" s="137">
        <f>SUMIFS('Production schedule'!$T$438:$T$545,'Production schedule'!$C$438:$C$545,34)</f>
        <v/>
      </c>
      <c r="BM183" s="137">
        <f>D183*'NM Play'!$B$38</f>
        <v/>
      </c>
      <c r="BN183" s="137">
        <f>SUMIFS('Production schedule'!$AM$438:$AM$545,'Production schedule'!$C$438:$C$545,34)</f>
        <v/>
      </c>
      <c r="BO183" s="137">
        <f>AK183-AK182-AJ183</f>
        <v/>
      </c>
      <c r="BP183" s="137">
        <f>IF(AND('Assumptions'!$B$39&gt;=0,'Assumptions'!$B$40&gt;0),-PMT('Assumptions'!$B$39/12,'Assumptions'!$B$40*12,IF('Funding'!$N$11&gt;0,'Funding'!$N$11,'Funding'!$V$11)),"")</f>
        <v/>
      </c>
      <c r="BQ183">
        <f>('Production schedule'!AJ471)*(1-'Responsibilities'!$C$6)+('Production schedule'!AJ507)*(1-'Responsibilities'!$C$7)+('Production schedule'!AJ543)*(1-'Responsibilities'!$C$8)</f>
        <v/>
      </c>
      <c r="BR183">
        <f>('Production schedule'!AI471)*(1-'Responsibilities'!$D$6)+('Production schedule'!AI507)*(1-'Responsibilities'!$D$7)+('Production schedule'!AI543)*(1-'Responsibilities'!$D$8)</f>
        <v/>
      </c>
      <c r="BS183">
        <f>('Production schedule'!E471*(IF('Sites'!D6="Annual staff",SUM('Assumptions'!AK112,'Assumptions'!AK114),0)+SUM('Assumptions'!AK113,'Assumptions'!AK115:AK116)))*(1-'Responsibilities'!$E$6)+('Production schedule'!E507*(IF('Sites'!D7="Annual staff",SUM('Assumptions'!AK117,'Assumptions'!AK119),0)+SUM('Assumptions'!AK118,'Assumptions'!AK120:AK121)))*(1-'Responsibilities'!$E$7)+('Production schedule'!E543*(IF('Sites'!D8="Annual staff",SUM('Assumptions'!AK122,'Assumptions'!AK124),0)+SUM('Assumptions'!AK123,'Assumptions'!AK125:AK126)))*(1-'Responsibilities'!$E$8)</f>
        <v/>
      </c>
      <c r="BT183">
        <f>(IF(AND('Production schedule'!E471=1,34=MAX(('Sites'!F6),25),ISNUMBER('Sites'!Q6)),'Sites'!Q6*'Assumptions'!$B$44,0))*(1-'Responsibilities'!$F$6)+(IF(AND('Production schedule'!E507=1,34=MAX(('Sites'!F7+'Cases'!G10),25),ISNUMBER('Sites'!Q7)),'Sites'!Q7*'Assumptions'!$B$44,0))*(1-'Responsibilities'!$F$7)+(IF(AND('Production schedule'!E543=1,34=MAX(('Sites'!F8+'Cases'!G10),25),ISNUMBER('Sites'!Q8)),'Sites'!Q8*'Assumptions'!$B$44,0))*(1-'Responsibilities'!$F$8)</f>
        <v/>
      </c>
      <c r="BU183">
        <f>SUM('Costs'!E36)*'Costs'!F36/12*(1-'Responsibilities'!$C$12)+SUM('Costs'!E37)*'Costs'!F37/12*(1-'Responsibilities'!$C$13)+SUM('Costs'!E38)*'Costs'!F38/12*(1-'Responsibilities'!$C$14)+SUM('Costs'!E39)*'Costs'!F39/12*(1-'Responsibilities'!$C$15)+SUM('Costs'!E40)*'Costs'!F40/12*(1-'Responsibilities'!$C$16)</f>
        <v/>
      </c>
      <c r="BV183">
        <f>('Sites'!E6*'Capital'!E6*(IF(34='Capital'!G6,'Capital'!F6,0)+IF(34='Capital'!H6,1-'Capital'!F6,0)))*(1-'Responsibilities'!$G$6)+('Sites'!E7*'Capital'!E7*(IF(34='Capital'!G7+'Cases'!G10,'Capital'!F7,0)+IF(34='Capital'!H7+'Cases'!G10,1-'Capital'!F7,0)))*(1-'Responsibilities'!$G$7)+('Sites'!E8*'Cases'!F10*'Capital'!E8*(IF(34='Capital'!G8+'Cases'!G10,'Capital'!F8,0)+IF(34='Capital'!H8+'Cases'!G10,1-'Capital'!F8,0)))*(1-'Responsibilities'!$G$8)</f>
        <v/>
      </c>
      <c r="BW183">
        <f>SUM(BQ183:BV183)</f>
        <v/>
      </c>
      <c r="BX183">
        <f>N183+BW183</f>
        <v/>
      </c>
      <c r="BY183">
        <f>BX183-(('Production schedule'!AJ471)*'Responsibilities'!$C$6+('Production schedule'!AJ507)*'Responsibilities'!$C$7+('Production schedule'!AJ543)*'Responsibilities'!$C$8+('Production schedule'!AJ471)*(1-'Responsibilities'!$C$6)+('Production schedule'!AJ507)*(1-'Responsibilities'!$C$7)+('Production schedule'!AJ543)*(1-'Responsibilities'!$C$8)+('Production schedule'!AI471)*'Responsibilities'!$D$6+('Production schedule'!AI507)*'Responsibilities'!$D$7+('Production schedule'!AI543)*'Responsibilities'!$D$8+('Production schedule'!AI471)*(1-'Responsibilities'!$D$6)+('Production schedule'!AI507)*(1-'Responsibilities'!$D$7)+('Production schedule'!AI543)*(1-'Responsibilities'!$D$8)+('Production schedule'!E471*(IF('Sites'!D6="Annual staff",SUM('Assumptions'!AK112,'Assumptions'!AK114),0)+SUM('Assumptions'!AK113,'Assumptions'!AK115:AK116)))*'Responsibilities'!$E$6+('Production schedule'!E507*(IF('Sites'!D7="Annual staff",SUM('Assumptions'!AK117,'Assumptions'!AK119),0)+SUM('Assumptions'!AK118,'Assumptions'!AK120:AK121)))*'Responsibilities'!$E$7+('Production schedule'!E543*(IF('Sites'!D8="Annual staff",SUM('Assumptions'!AK122,'Assumptions'!AK124),0)+SUM('Assumptions'!AK123,'Assumptions'!AK125:AK126)))*'Responsibilities'!$E$8+('Production schedule'!E471*(IF('Sites'!D6="Annual staff",SUM('Assumptions'!AK112,'Assumptions'!AK114),0)+SUM('Assumptions'!AK113,'Assumptions'!AK115:AK116)))*(1-'Responsibilities'!$E$6)+('Production schedule'!E507*(IF('Sites'!D7="Annual staff",SUM('Assumptions'!AK117,'Assumptions'!AK119),0)+SUM('Assumptions'!AK118,'Assumptions'!AK120:AK121)))*(1-'Responsibilities'!$E$7)+('Production schedule'!E543*(IF('Sites'!D8="Annual staff",SUM('Assumptions'!AK122,'Assumptions'!AK124),0)+SUM('Assumptions'!AK123,'Assumptions'!AK125:AK126)))*(1-'Responsibilities'!$E$8)+(IF(AND('Production schedule'!E471=1,34=MAX(('Sites'!F6),25),ISNUMBER('Sites'!Q6)),'Sites'!Q6*'Assumptions'!$B$44,0))*'Responsibilities'!$F$6+(IF(AND('Production schedule'!E507=1,34=MAX(('Sites'!F7+'Cases'!G10),25),ISNUMBER('Sites'!Q7)),'Sites'!Q7*'Assumptions'!$B$44,0))*'Responsibilities'!$F$7+(IF(AND('Production schedule'!E543=1,34=MAX(('Sites'!F8+'Cases'!G10),25),ISNUMBER('Sites'!Q8)),'Sites'!Q8*'Assumptions'!$B$44,0))*'Responsibilities'!$F$8+(IF(AND('Production schedule'!E471=1,34=MAX(('Sites'!F6),25),ISNUMBER('Sites'!Q6)),'Sites'!Q6*'Assumptions'!$B$44,0))*(1-'Responsibilities'!$F$6)+(IF(AND('Production schedule'!E507=1,34=MAX(('Sites'!F7+'Cases'!G10),25),ISNUMBER('Sites'!Q7)),'Sites'!Q7*'Assumptions'!$B$44,0))*(1-'Responsibilities'!$F$7)+(IF(AND('Production schedule'!E543=1,34=MAX(('Sites'!F8+'Cases'!G10),25),ISNUMBER('Sites'!Q8)),'Sites'!Q8*'Assumptions'!$B$44,0))*(1-'Responsibilities'!$F$8)+('Sites'!E6*'Capital'!E6*(IF(34='Capital'!G6,'Capital'!F6,0)+IF(34='Capital'!H6,1-'Capital'!F6,0)))*'Responsibilities'!$G$6+('Sites'!E7*'Capital'!E7*(IF(34='Capital'!G7+'Cases'!G10,'Capital'!F7,0)+IF(34='Capital'!H7+'Cases'!G10,1-'Capital'!F7,0)))*'Responsibilities'!$G$7+('Sites'!E8*'Cases'!F10*'Capital'!E8*(IF(34='Capital'!G8+'Cases'!G10,'Capital'!F8,0)+IF(34='Capital'!H8+'Cases'!G10,1-'Capital'!F8,0)))*'Responsibilities'!$G$8+('Sites'!E6*'Capital'!E6*(IF(34='Capital'!G6,'Capital'!F6,0)+IF(34='Capital'!H6,1-'Capital'!F6,0)))*(1-'Responsibilities'!$G$6)+('Sites'!E7*'Capital'!E7*(IF(34='Capital'!G7+'Cases'!G10,'Capital'!F7,0)+IF(34='Capital'!H7+'Cases'!G10,1-'Capital'!F7,0)))*(1-'Responsibilities'!$G$7)+('Sites'!E8*'Cases'!F10*'Capital'!E8*(IF(34='Capital'!G8+'Cases'!G10,'Capital'!F8,0)+IF(34='Capital'!H8+'Cases'!G10,1-'Capital'!F8,0)))*(1-'Responsibilities'!$G$8)+I183+SUMPRODUCT('Costs'!$E$36:$E$40,'Costs'!$F$36:$F$40)/12+BZ183)</f>
        <v/>
      </c>
      <c r="BZ183">
        <f>SUMIFS('Responsibilities'!$B$31:$B$35,'Responsibilities'!$C$31:$C$35,34,'Responsibilities'!$D$31:$D$35,"Yes")</f>
        <v/>
      </c>
    </row>
    <row r="184" ht="28" customHeight="1">
      <c r="A184" s="4" t="inlineStr">
        <is>
          <t>Lower sales</t>
        </is>
      </c>
      <c r="B184" s="4" t="n">
        <v>35</v>
      </c>
      <c r="C184" s="4">
        <f>ROUNDUP(B184/12,0)</f>
        <v/>
      </c>
      <c r="D184" s="137">
        <f>SUMIFS('Production schedule'!$N$438:$N$545,'Production schedule'!$C$438:$C$545,35)</f>
        <v/>
      </c>
      <c r="E184" s="137">
        <f>SUMIFS('Production schedule'!$Y$438:$Y$545,'Production schedule'!$C$438:$C$545,35)</f>
        <v/>
      </c>
      <c r="F184" s="137">
        <f>SUMIFS('Production schedule'!$Z$438:$Z$545,'Production schedule'!$C$438:$C$545,35)</f>
        <v/>
      </c>
      <c r="G184" s="137">
        <f>('Production schedule'!AJ472)*'Responsibilities'!$C$6+('Production schedule'!AJ508)*'Responsibilities'!$C$7+('Production schedule'!AJ544)*'Responsibilities'!$C$8</f>
        <v/>
      </c>
      <c r="H184" s="137">
        <f>('Production schedule'!AI472)*'Responsibilities'!$D$6+('Production schedule'!AI508)*'Responsibilities'!$D$7+('Production schedule'!AI544)*'Responsibilities'!$D$8</f>
        <v/>
      </c>
      <c r="I184" s="137">
        <f>SUM('Assumptions'!AL58:AL65)</f>
        <v/>
      </c>
      <c r="J184" s="137">
        <f>('Production schedule'!E472*(IF('Sites'!D6="Annual staff",SUM('Assumptions'!AL112,'Assumptions'!AL114),0)+SUM('Assumptions'!AL113,'Assumptions'!AL115:AL116)))*'Responsibilities'!$E$6+('Production schedule'!E508*(IF('Sites'!D7="Annual staff",SUM('Assumptions'!AL117,'Assumptions'!AL119),0)+SUM('Assumptions'!AL118,'Assumptions'!AL120:AL121)))*'Responsibilities'!$E$7+('Production schedule'!E544*(IF('Sites'!D8="Annual staff",SUM('Assumptions'!AL122,'Assumptions'!AL124),0)+SUM('Assumptions'!AL123,'Assumptions'!AL125:AL126)))*'Responsibilities'!$E$8</f>
        <v/>
      </c>
      <c r="K184" s="137">
        <f>(IF(AND('Production schedule'!E472=1,35=MAX(('Sites'!F6),25),ISNUMBER('Sites'!Q6)),'Sites'!Q6*'Assumptions'!$B$44,0))*'Responsibilities'!$F$6+(IF(AND('Production schedule'!E508=1,35=MAX(('Sites'!F7+'Cases'!G10),25),ISNUMBER('Sites'!Q7)),'Sites'!Q7*'Assumptions'!$B$44,0))*'Responsibilities'!$F$7+(IF(AND('Production schedule'!E544=1,35=MAX(('Sites'!F8+'Cases'!G10),25),ISNUMBER('Sites'!Q8)),'Sites'!Q8*'Assumptions'!$B$44,0))*'Responsibilities'!$F$8</f>
        <v/>
      </c>
      <c r="L184" s="137">
        <f>SUM('Costs'!E36)*'Costs'!F36/12*'Responsibilities'!$C$12+SUM('Costs'!E37)*'Costs'!F37/12*'Responsibilities'!$C$13+SUM('Costs'!E38)*'Costs'!F38/12*'Responsibilities'!$C$14+SUM('Costs'!E39)*'Costs'!F39/12*'Responsibilities'!$C$15+SUM('Costs'!E40)*'Costs'!F40/12*'Responsibilities'!$C$16+BZ184</f>
        <v/>
      </c>
      <c r="M184" s="137">
        <f>('Sites'!E6*'Capital'!E6*(IF(35='Capital'!G6,'Capital'!F6,0)+IF(35='Capital'!H6,1-'Capital'!F6,0)))*'Responsibilities'!$G$6+('Sites'!E7*'Capital'!E7*(IF(35='Capital'!G7+'Cases'!G10,'Capital'!F7,0)+IF(35='Capital'!H7+'Cases'!G10,1-'Capital'!F7,0)))*'Responsibilities'!$G$7+('Sites'!E8*'Cases'!F10*'Capital'!E8*(IF(35='Capital'!G8+'Cases'!G10,'Capital'!F8,0)+IF(35='Capital'!H8+'Cases'!G10,1-'Capital'!F8,0)))*'Responsibilities'!$G$8</f>
        <v/>
      </c>
      <c r="N184" s="137">
        <f>SUM(G184:M184)</f>
        <v/>
      </c>
      <c r="O184" s="137">
        <f>SUMIFS(FundingTranches[Secured amount],FundingTranches[Instrument],"Grant",FundingTranches[Secured month],35)</f>
        <v/>
      </c>
      <c r="P184" s="137">
        <f>SUMIFS(FundingTranches[Lower sales possible],FundingTranches[Instrument],"Grant",FundingTranches[Scenario month],35-'Cases'!$D$10)</f>
        <v/>
      </c>
      <c r="Q184" s="137">
        <f>SUMIFS(FundingTranches[Secured amount],FundingTranches[Instrument],"Loan",FundingTranches[Secured month],35)</f>
        <v/>
      </c>
      <c r="R184" s="137">
        <f>SUMIFS(FundingTranches[Lower sales possible],FundingTranches[Instrument],"Loan",FundingTranches[Scenario month],35-'Cases'!$D$10)</f>
        <v/>
      </c>
      <c r="S184" s="137">
        <f>IF(35&lt;='Assumptions'!$B$34,0,SUMIFS('Production schedule'!$AL$438:$AL$545,'Production schedule'!$C$438:$C$545,35-'Assumptions'!$B$34))</f>
        <v/>
      </c>
      <c r="T184" s="137">
        <f>'Assumptions'!AL70</f>
        <v/>
      </c>
      <c r="U184" s="137">
        <f>'Assumptions'!AL78</f>
        <v/>
      </c>
      <c r="V184" s="137">
        <f>SUM(O184:U184)</f>
        <v/>
      </c>
      <c r="W184" s="137">
        <f>AA183</f>
        <v/>
      </c>
      <c r="X184" s="137">
        <f>SUM(Q184:R184)</f>
        <v/>
      </c>
      <c r="Y184" s="137">
        <f>SUM(W184,X184)*'Assumptions'!$B$39/12</f>
        <v/>
      </c>
      <c r="Z184" s="137">
        <f>IF(SUM(W184,X184)&gt;0,MIN(SUM(W184,X184),MAX(0,BP184-Y184)),0)</f>
        <v/>
      </c>
      <c r="AA184" s="137">
        <f>SUM(W184,X184)-Z184</f>
        <v/>
      </c>
      <c r="AB184" s="137">
        <f>SUM(Y184:Z184)</f>
        <v/>
      </c>
      <c r="AC184" s="137">
        <f>'Assumptions'!AL72</f>
        <v/>
      </c>
      <c r="AD184" s="137">
        <f>'Assumptions'!AL73</f>
        <v/>
      </c>
      <c r="AE184" s="137">
        <f>IF(X184&gt;0,SUM('Assumptions'!$B$42),0)</f>
        <v/>
      </c>
      <c r="AF184" s="137">
        <f>'Assumptions'!AL71</f>
        <v/>
      </c>
      <c r="AG184" s="137">
        <f>'Assumptions'!AL74</f>
        <v/>
      </c>
      <c r="AH184" s="137">
        <f>'Assumptions'!AL75</f>
        <v/>
      </c>
      <c r="AI184" s="137">
        <f>'Assumptions'!AL77</f>
        <v/>
      </c>
      <c r="AJ184" s="137">
        <f>V184-N184-SUM(AB184:AI184)</f>
        <v/>
      </c>
      <c r="AK184" s="137">
        <f>SUM(AJ150:AJ184)</f>
        <v/>
      </c>
      <c r="AL184" s="137">
        <f>IF(ISNUMBER('Assumptions'!$B$10),'Assumptions'!$B$10+AK184,"")</f>
        <v/>
      </c>
      <c r="AM184" s="137">
        <f>SUM(O184,Q184,T184)-N184-SUM(AC184:AI184)+IF('Funding'!$N$11=0,AE184,0)-IF('Funding'!$N$11&gt;0,AB184,0)</f>
        <v/>
      </c>
      <c r="AN184" s="137">
        <f>SUM(AM150:AM184)</f>
        <v/>
      </c>
      <c r="AO184" s="137">
        <f>IF(ISNUMBER('Assumptions'!$B$10),'Assumptions'!$B$10+AN184,"")</f>
        <v/>
      </c>
      <c r="AP184" s="137">
        <f>('Production schedule'!AK472)*'Responsibilities'!$C$6+('Production schedule'!AK508)*'Responsibilities'!$C$7+('Production schedule'!AK544)*'Responsibilities'!$C$8</f>
        <v/>
      </c>
      <c r="AQ184" s="137">
        <f>SUMIFS('Production schedule'!$AL$438:$AL$545,'Production schedule'!$C$438:$C$545,35)</f>
        <v/>
      </c>
      <c r="AR184" s="137">
        <f>IF(ISNUMBER('Assumptions'!AL76),'Assumptions'!AL76,SUM(O184:P184))</f>
        <v/>
      </c>
      <c r="AS184" s="137">
        <f>IF(ISNUMBER('Assumptions'!$B$13),MIN('Assumptions'!$B$13/'Assumptions'!$B$18/12,MAX(0,'Assumptions'!$B$13-(35-1)*'Assumptions'!$B$13/'Assumptions'!$B$18/12)),0)+IF(AND('Sites'!E6=1,35&gt;=('Sites'!F6),35&lt;('Sites'!F6)+'Assumptions'!$B$18*12),'Capital'!E6/'Assumptions'!$B$18/12,0)+IF(AND('Sites'!E7=1,35&gt;=('Sites'!F7+'Cases'!G10),35&lt;('Sites'!F7+'Cases'!G10)+'Assumptions'!$B$18*12),'Capital'!E7/'Assumptions'!$B$18/12,0)+IF(AND('Sites'!E8*'Cases'!F10=1,35&gt;=('Sites'!F8+'Cases'!G10),35&lt;('Sites'!F8+'Cases'!G10)+'Assumptions'!$B$18*12),'Capital'!E8/'Assumptions'!$B$18/12,0)</f>
        <v/>
      </c>
      <c r="AT184" s="137">
        <f>SUM(AQ184,AR184,U184)-AP184-SUM(H184:L184)-AS184-SUM(Y184,AD184,AE184,AH184)</f>
        <v/>
      </c>
      <c r="AU184" s="137">
        <f>IF(ISNUMBER('Assumptions'!$B$19),MAX(0,SUM(AT174:AT184))*'Assumptions'!$B$19-SUM(AU174:AU183),"")</f>
        <v/>
      </c>
      <c r="AV184" s="137">
        <f>IF(ISNUMBER(AU184),AT184-AU184,"")</f>
        <v/>
      </c>
      <c r="AW184" s="137">
        <f>IF(ISNUMBER('Assumptions'!$B$11),'Assumptions'!$B$11+SUM(AQ150:AQ184)-SUM(S150:S184)-SUM(T150:T184),"")</f>
        <v/>
      </c>
      <c r="AX184" s="137">
        <f>IF(ISNUMBER('Assumptions'!$B$12),'Assumptions'!$B$12+SUM(G150:G184)-SUM(AP150:AP184),"")</f>
        <v/>
      </c>
      <c r="AY184" s="137">
        <f>IF(ISNUMBER('Assumptions'!$B$13),'Assumptions'!$B$13+SUM(M150:M184)-SUM(AS150:AS184),"")</f>
        <v/>
      </c>
      <c r="AZ184" s="137">
        <f>IF(ISNUMBER('Assumptions'!$B$14),'Assumptions'!$B$14+-SUM(AF150:AF184),"")</f>
        <v/>
      </c>
      <c r="BA184" s="137">
        <f>IF(ISNUMBER('Assumptions'!$B$15),'Assumptions'!$B$15+SUM(O150:O184)+SUM(P150:P184)-SUM(AR150:AR184),"")</f>
        <v/>
      </c>
      <c r="BB184" s="137">
        <f>IF(ISNUMBER('Assumptions'!$B$16),'Assumptions'!$B$16+-SUM(AC150:AC184),"")</f>
        <v/>
      </c>
      <c r="BC184" s="137">
        <f>IF(AND(ISNUMBER('Assumptions'!$B$21),ISNUMBER('Assumptions'!$B$19)),'Assumptions'!$B$21+SUM(AU150:AU184)-SUM(AG150:AG184),"")</f>
        <v/>
      </c>
      <c r="BD184" s="137">
        <f>IF(ISNUMBER('Assumptions'!$B$20),'Assumptions'!$B$20+-SUM(AI150:AI184),"")</f>
        <v/>
      </c>
      <c r="BE184" s="137">
        <f>IF(AND(ISNUMBER('Assumptions'!$B$17),COUNT(AV150:AV184)=35),'Assumptions'!$B$17+SUM(AV150:AV184),"")</f>
        <v/>
      </c>
      <c r="BF184" s="137">
        <f>IF(COUNT(AL184,AW184:AY184)=4,SUM(AL184,AW184:AY184),"")</f>
        <v/>
      </c>
      <c r="BG184" s="137">
        <f>IF(COUNT(AZ184:BD184)=5,SUM(AZ184:BD184,AA184),"")</f>
        <v/>
      </c>
      <c r="BH184" s="137">
        <f>IF(COUNT(BF184,BG184,BE184)=3,BF184-BG184-BE184,"")</f>
        <v/>
      </c>
      <c r="BI184" s="137">
        <f>SUM(W184,X184)-Z184-AA184</f>
        <v/>
      </c>
      <c r="BJ184" s="137">
        <f>8-COUNT('Assumptions'!AL58:AL65)+COUNTBLANK('NM Play'!B33:B34)+'Costs'!E44+IF(AND('Sites'!E6=1,('Sites'!F6)&lt;=36,'Sites'!G6&gt;=25),IF(ISNUMBER('Sites'!Q6),0,1)+'Capital'!I6+COUNTBLANK('Sites'!R6)+IF('Sites'!D6="NM crew",COUNTBLANK('NM Play'!B25)+1,5-COUNT('Assumptions'!AL112:AL116)),0)+IF(AND('Sites'!E7=1,('Sites'!F7+'Cases'!G10)&lt;=36,'Sites'!G7&gt;=25),IF(ISNUMBER('Sites'!Q7),0,1)+'Capital'!I7+COUNTBLANK('Sites'!R7)+IF('Sites'!D7="NM crew",COUNTBLANK('NM Play'!B25)+1,5-COUNT('Assumptions'!AL117:AL121)),0)+IF(AND('Sites'!E8*'Cases'!F10=1,('Sites'!F8+'Cases'!G10)&lt;=36,'Sites'!G8&gt;=25),IF(ISNUMBER('Sites'!Q8),0,1)+'Capital'!I8+COUNTBLANK('Sites'!R8)+IF('Sites'!D8="NM crew",COUNTBLANK('NM Play'!B25)+1,5-COUNT('Assumptions'!AL122:AL126)),0)+IF(AND('Cases'!C10&gt;0,NOT(ISNUMBER('Assumptions'!B42))),1,0)+'Responsibilities'!$B$39</f>
        <v/>
      </c>
      <c r="BK184" s="137">
        <f>'Assumptions'!$B$50+'NM Play'!$B$83+'Funding'!$F$20+SUMIFS('Production schedule'!$AN$438:$AN$545,'Production schedule'!$C$438:$C$545,35)+IF(OR('Cases'!E10&lt;0,'Cases'!E10&gt;1,'Cases'!C10&lt;0,'Cases'!D10&lt;0,ABS(SUM('Sites'!S6:S8)-1)&gt;0.0001,MIN('Capital'!F6:F8)&lt;0,MAX('Capital'!F6:F8)&gt;1,MIN(AX184,AZ184,BB184,BA184)&lt;-0.01),1,0)+'Responsibilities'!$B$40</f>
        <v/>
      </c>
      <c r="BL184" s="137">
        <f>SUMIFS('Production schedule'!$T$438:$T$545,'Production schedule'!$C$438:$C$545,35)</f>
        <v/>
      </c>
      <c r="BM184" s="137">
        <f>D184*'NM Play'!$B$38</f>
        <v/>
      </c>
      <c r="BN184" s="137">
        <f>SUMIFS('Production schedule'!$AM$438:$AM$545,'Production schedule'!$C$438:$C$545,35)</f>
        <v/>
      </c>
      <c r="BO184" s="137">
        <f>AK184-AK183-AJ184</f>
        <v/>
      </c>
      <c r="BP184" s="137">
        <f>IF(AND('Assumptions'!$B$39&gt;=0,'Assumptions'!$B$40&gt;0),-PMT('Assumptions'!$B$39/12,'Assumptions'!$B$40*12,IF('Funding'!$N$11&gt;0,'Funding'!$N$11,'Funding'!$V$11)),"")</f>
        <v/>
      </c>
      <c r="BQ184">
        <f>('Production schedule'!AJ472)*(1-'Responsibilities'!$C$6)+('Production schedule'!AJ508)*(1-'Responsibilities'!$C$7)+('Production schedule'!AJ544)*(1-'Responsibilities'!$C$8)</f>
        <v/>
      </c>
      <c r="BR184">
        <f>('Production schedule'!AI472)*(1-'Responsibilities'!$D$6)+('Production schedule'!AI508)*(1-'Responsibilities'!$D$7)+('Production schedule'!AI544)*(1-'Responsibilities'!$D$8)</f>
        <v/>
      </c>
      <c r="BS184">
        <f>('Production schedule'!E472*(IF('Sites'!D6="Annual staff",SUM('Assumptions'!AL112,'Assumptions'!AL114),0)+SUM('Assumptions'!AL113,'Assumptions'!AL115:AL116)))*(1-'Responsibilities'!$E$6)+('Production schedule'!E508*(IF('Sites'!D7="Annual staff",SUM('Assumptions'!AL117,'Assumptions'!AL119),0)+SUM('Assumptions'!AL118,'Assumptions'!AL120:AL121)))*(1-'Responsibilities'!$E$7)+('Production schedule'!E544*(IF('Sites'!D8="Annual staff",SUM('Assumptions'!AL122,'Assumptions'!AL124),0)+SUM('Assumptions'!AL123,'Assumptions'!AL125:AL126)))*(1-'Responsibilities'!$E$8)</f>
        <v/>
      </c>
      <c r="BT184">
        <f>(IF(AND('Production schedule'!E472=1,35=MAX(('Sites'!F6),25),ISNUMBER('Sites'!Q6)),'Sites'!Q6*'Assumptions'!$B$44,0))*(1-'Responsibilities'!$F$6)+(IF(AND('Production schedule'!E508=1,35=MAX(('Sites'!F7+'Cases'!G10),25),ISNUMBER('Sites'!Q7)),'Sites'!Q7*'Assumptions'!$B$44,0))*(1-'Responsibilities'!$F$7)+(IF(AND('Production schedule'!E544=1,35=MAX(('Sites'!F8+'Cases'!G10),25),ISNUMBER('Sites'!Q8)),'Sites'!Q8*'Assumptions'!$B$44,0))*(1-'Responsibilities'!$F$8)</f>
        <v/>
      </c>
      <c r="BU184">
        <f>SUM('Costs'!E36)*'Costs'!F36/12*(1-'Responsibilities'!$C$12)+SUM('Costs'!E37)*'Costs'!F37/12*(1-'Responsibilities'!$C$13)+SUM('Costs'!E38)*'Costs'!F38/12*(1-'Responsibilities'!$C$14)+SUM('Costs'!E39)*'Costs'!F39/12*(1-'Responsibilities'!$C$15)+SUM('Costs'!E40)*'Costs'!F40/12*(1-'Responsibilities'!$C$16)</f>
        <v/>
      </c>
      <c r="BV184">
        <f>('Sites'!E6*'Capital'!E6*(IF(35='Capital'!G6,'Capital'!F6,0)+IF(35='Capital'!H6,1-'Capital'!F6,0)))*(1-'Responsibilities'!$G$6)+('Sites'!E7*'Capital'!E7*(IF(35='Capital'!G7+'Cases'!G10,'Capital'!F7,0)+IF(35='Capital'!H7+'Cases'!G10,1-'Capital'!F7,0)))*(1-'Responsibilities'!$G$7)+('Sites'!E8*'Cases'!F10*'Capital'!E8*(IF(35='Capital'!G8+'Cases'!G10,'Capital'!F8,0)+IF(35='Capital'!H8+'Cases'!G10,1-'Capital'!F8,0)))*(1-'Responsibilities'!$G$8)</f>
        <v/>
      </c>
      <c r="BW184">
        <f>SUM(BQ184:BV184)</f>
        <v/>
      </c>
      <c r="BX184">
        <f>N184+BW184</f>
        <v/>
      </c>
      <c r="BY184">
        <f>BX184-(('Production schedule'!AJ472)*'Responsibilities'!$C$6+('Production schedule'!AJ508)*'Responsibilities'!$C$7+('Production schedule'!AJ544)*'Responsibilities'!$C$8+('Production schedule'!AJ472)*(1-'Responsibilities'!$C$6)+('Production schedule'!AJ508)*(1-'Responsibilities'!$C$7)+('Production schedule'!AJ544)*(1-'Responsibilities'!$C$8)+('Production schedule'!AI472)*'Responsibilities'!$D$6+('Production schedule'!AI508)*'Responsibilities'!$D$7+('Production schedule'!AI544)*'Responsibilities'!$D$8+('Production schedule'!AI472)*(1-'Responsibilities'!$D$6)+('Production schedule'!AI508)*(1-'Responsibilities'!$D$7)+('Production schedule'!AI544)*(1-'Responsibilities'!$D$8)+('Production schedule'!E472*(IF('Sites'!D6="Annual staff",SUM('Assumptions'!AL112,'Assumptions'!AL114),0)+SUM('Assumptions'!AL113,'Assumptions'!AL115:AL116)))*'Responsibilities'!$E$6+('Production schedule'!E508*(IF('Sites'!D7="Annual staff",SUM('Assumptions'!AL117,'Assumptions'!AL119),0)+SUM('Assumptions'!AL118,'Assumptions'!AL120:AL121)))*'Responsibilities'!$E$7+('Production schedule'!E544*(IF('Sites'!D8="Annual staff",SUM('Assumptions'!AL122,'Assumptions'!AL124),0)+SUM('Assumptions'!AL123,'Assumptions'!AL125:AL126)))*'Responsibilities'!$E$8+('Production schedule'!E472*(IF('Sites'!D6="Annual staff",SUM('Assumptions'!AL112,'Assumptions'!AL114),0)+SUM('Assumptions'!AL113,'Assumptions'!AL115:AL116)))*(1-'Responsibilities'!$E$6)+('Production schedule'!E508*(IF('Sites'!D7="Annual staff",SUM('Assumptions'!AL117,'Assumptions'!AL119),0)+SUM('Assumptions'!AL118,'Assumptions'!AL120:AL121)))*(1-'Responsibilities'!$E$7)+('Production schedule'!E544*(IF('Sites'!D8="Annual staff",SUM('Assumptions'!AL122,'Assumptions'!AL124),0)+SUM('Assumptions'!AL123,'Assumptions'!AL125:AL126)))*(1-'Responsibilities'!$E$8)+(IF(AND('Production schedule'!E472=1,35=MAX(('Sites'!F6),25),ISNUMBER('Sites'!Q6)),'Sites'!Q6*'Assumptions'!$B$44,0))*'Responsibilities'!$F$6+(IF(AND('Production schedule'!E508=1,35=MAX(('Sites'!F7+'Cases'!G10),25),ISNUMBER('Sites'!Q7)),'Sites'!Q7*'Assumptions'!$B$44,0))*'Responsibilities'!$F$7+(IF(AND('Production schedule'!E544=1,35=MAX(('Sites'!F8+'Cases'!G10),25),ISNUMBER('Sites'!Q8)),'Sites'!Q8*'Assumptions'!$B$44,0))*'Responsibilities'!$F$8+(IF(AND('Production schedule'!E472=1,35=MAX(('Sites'!F6),25),ISNUMBER('Sites'!Q6)),'Sites'!Q6*'Assumptions'!$B$44,0))*(1-'Responsibilities'!$F$6)+(IF(AND('Production schedule'!E508=1,35=MAX(('Sites'!F7+'Cases'!G10),25),ISNUMBER('Sites'!Q7)),'Sites'!Q7*'Assumptions'!$B$44,0))*(1-'Responsibilities'!$F$7)+(IF(AND('Production schedule'!E544=1,35=MAX(('Sites'!F8+'Cases'!G10),25),ISNUMBER('Sites'!Q8)),'Sites'!Q8*'Assumptions'!$B$44,0))*(1-'Responsibilities'!$F$8)+('Sites'!E6*'Capital'!E6*(IF(35='Capital'!G6,'Capital'!F6,0)+IF(35='Capital'!H6,1-'Capital'!F6,0)))*'Responsibilities'!$G$6+('Sites'!E7*'Capital'!E7*(IF(35='Capital'!G7+'Cases'!G10,'Capital'!F7,0)+IF(35='Capital'!H7+'Cases'!G10,1-'Capital'!F7,0)))*'Responsibilities'!$G$7+('Sites'!E8*'Cases'!F10*'Capital'!E8*(IF(35='Capital'!G8+'Cases'!G10,'Capital'!F8,0)+IF(35='Capital'!H8+'Cases'!G10,1-'Capital'!F8,0)))*'Responsibilities'!$G$8+('Sites'!E6*'Capital'!E6*(IF(35='Capital'!G6,'Capital'!F6,0)+IF(35='Capital'!H6,1-'Capital'!F6,0)))*(1-'Responsibilities'!$G$6)+('Sites'!E7*'Capital'!E7*(IF(35='Capital'!G7+'Cases'!G10,'Capital'!F7,0)+IF(35='Capital'!H7+'Cases'!G10,1-'Capital'!F7,0)))*(1-'Responsibilities'!$G$7)+('Sites'!E8*'Cases'!F10*'Capital'!E8*(IF(35='Capital'!G8+'Cases'!G10,'Capital'!F8,0)+IF(35='Capital'!H8+'Cases'!G10,1-'Capital'!F8,0)))*(1-'Responsibilities'!$G$8)+I184+SUMPRODUCT('Costs'!$E$36:$E$40,'Costs'!$F$36:$F$40)/12+BZ184)</f>
        <v/>
      </c>
      <c r="BZ184">
        <f>SUMIFS('Responsibilities'!$B$31:$B$35,'Responsibilities'!$C$31:$C$35,35,'Responsibilities'!$D$31:$D$35,"Yes")</f>
        <v/>
      </c>
    </row>
    <row r="185" ht="28" customHeight="1">
      <c r="A185" s="4" t="inlineStr">
        <is>
          <t>Lower sales</t>
        </is>
      </c>
      <c r="B185" s="4" t="n">
        <v>36</v>
      </c>
      <c r="C185" s="4">
        <f>ROUNDUP(B185/12,0)</f>
        <v/>
      </c>
      <c r="D185" s="137">
        <f>SUMIFS('Production schedule'!$N$438:$N$545,'Production schedule'!$C$438:$C$545,36)</f>
        <v/>
      </c>
      <c r="E185" s="137">
        <f>SUMIFS('Production schedule'!$Y$438:$Y$545,'Production schedule'!$C$438:$C$545,36)</f>
        <v/>
      </c>
      <c r="F185" s="137">
        <f>SUMIFS('Production schedule'!$Z$438:$Z$545,'Production schedule'!$C$438:$C$545,36)</f>
        <v/>
      </c>
      <c r="G185" s="137">
        <f>('Production schedule'!AJ473)*'Responsibilities'!$C$6+('Production schedule'!AJ509)*'Responsibilities'!$C$7+('Production schedule'!AJ545)*'Responsibilities'!$C$8</f>
        <v/>
      </c>
      <c r="H185" s="137">
        <f>('Production schedule'!AI473)*'Responsibilities'!$D$6+('Production schedule'!AI509)*'Responsibilities'!$D$7+('Production schedule'!AI545)*'Responsibilities'!$D$8</f>
        <v/>
      </c>
      <c r="I185" s="137">
        <f>SUM('Assumptions'!AM58:AM65)</f>
        <v/>
      </c>
      <c r="J185" s="137">
        <f>('Production schedule'!E473*(IF('Sites'!D6="Annual staff",SUM('Assumptions'!AM112,'Assumptions'!AM114),0)+SUM('Assumptions'!AM113,'Assumptions'!AM115:AM116)))*'Responsibilities'!$E$6+('Production schedule'!E509*(IF('Sites'!D7="Annual staff",SUM('Assumptions'!AM117,'Assumptions'!AM119),0)+SUM('Assumptions'!AM118,'Assumptions'!AM120:AM121)))*'Responsibilities'!$E$7+('Production schedule'!E545*(IF('Sites'!D8="Annual staff",SUM('Assumptions'!AM122,'Assumptions'!AM124),0)+SUM('Assumptions'!AM123,'Assumptions'!AM125:AM126)))*'Responsibilities'!$E$8</f>
        <v/>
      </c>
      <c r="K185" s="137">
        <f>(IF(AND('Production schedule'!E473=1,36=MAX(('Sites'!F6),25),ISNUMBER('Sites'!Q6)),'Sites'!Q6*'Assumptions'!$B$44,0))*'Responsibilities'!$F$6+(IF(AND('Production schedule'!E509=1,36=MAX(('Sites'!F7+'Cases'!G10),25),ISNUMBER('Sites'!Q7)),'Sites'!Q7*'Assumptions'!$B$44,0))*'Responsibilities'!$F$7+(IF(AND('Production schedule'!E545=1,36=MAX(('Sites'!F8+'Cases'!G10),25),ISNUMBER('Sites'!Q8)),'Sites'!Q8*'Assumptions'!$B$44,0))*'Responsibilities'!$F$8</f>
        <v/>
      </c>
      <c r="L185" s="137">
        <f>SUM('Costs'!E36)*'Costs'!F36/12*'Responsibilities'!$C$12+SUM('Costs'!E37)*'Costs'!F37/12*'Responsibilities'!$C$13+SUM('Costs'!E38)*'Costs'!F38/12*'Responsibilities'!$C$14+SUM('Costs'!E39)*'Costs'!F39/12*'Responsibilities'!$C$15+SUM('Costs'!E40)*'Costs'!F40/12*'Responsibilities'!$C$16+BZ185</f>
        <v/>
      </c>
      <c r="M185" s="137">
        <f>('Sites'!E6*'Capital'!E6*(IF(36='Capital'!G6,'Capital'!F6,0)+IF(36='Capital'!H6,1-'Capital'!F6,0)))*'Responsibilities'!$G$6+('Sites'!E7*'Capital'!E7*(IF(36='Capital'!G7+'Cases'!G10,'Capital'!F7,0)+IF(36='Capital'!H7+'Cases'!G10,1-'Capital'!F7,0)))*'Responsibilities'!$G$7+('Sites'!E8*'Cases'!F10*'Capital'!E8*(IF(36='Capital'!G8+'Cases'!G10,'Capital'!F8,0)+IF(36='Capital'!H8+'Cases'!G10,1-'Capital'!F8,0)))*'Responsibilities'!$G$8</f>
        <v/>
      </c>
      <c r="N185" s="137">
        <f>SUM(G185:M185)</f>
        <v/>
      </c>
      <c r="O185" s="137">
        <f>SUMIFS(FundingTranches[Secured amount],FundingTranches[Instrument],"Grant",FundingTranches[Secured month],36)</f>
        <v/>
      </c>
      <c r="P185" s="137">
        <f>SUMIFS(FundingTranches[Lower sales possible],FundingTranches[Instrument],"Grant",FundingTranches[Scenario month],36-'Cases'!$D$10)</f>
        <v/>
      </c>
      <c r="Q185" s="137">
        <f>SUMIFS(FundingTranches[Secured amount],FundingTranches[Instrument],"Loan",FundingTranches[Secured month],36)</f>
        <v/>
      </c>
      <c r="R185" s="137">
        <f>SUMIFS(FundingTranches[Lower sales possible],FundingTranches[Instrument],"Loan",FundingTranches[Scenario month],36-'Cases'!$D$10)</f>
        <v/>
      </c>
      <c r="S185" s="137">
        <f>IF(36&lt;='Assumptions'!$B$34,0,SUMIFS('Production schedule'!$AL$438:$AL$545,'Production schedule'!$C$438:$C$545,36-'Assumptions'!$B$34))</f>
        <v/>
      </c>
      <c r="T185" s="137">
        <f>'Assumptions'!AM70</f>
        <v/>
      </c>
      <c r="U185" s="137">
        <f>'Assumptions'!AM78</f>
        <v/>
      </c>
      <c r="V185" s="137">
        <f>SUM(O185:U185)</f>
        <v/>
      </c>
      <c r="W185" s="137">
        <f>AA184</f>
        <v/>
      </c>
      <c r="X185" s="137">
        <f>SUM(Q185:R185)</f>
        <v/>
      </c>
      <c r="Y185" s="137">
        <f>SUM(W185,X185)*'Assumptions'!$B$39/12</f>
        <v/>
      </c>
      <c r="Z185" s="137">
        <f>IF(SUM(W185,X185)&gt;0,MIN(SUM(W185,X185),MAX(0,BP185-Y185)),0)</f>
        <v/>
      </c>
      <c r="AA185" s="137">
        <f>SUM(W185,X185)-Z185</f>
        <v/>
      </c>
      <c r="AB185" s="137">
        <f>SUM(Y185:Z185)</f>
        <v/>
      </c>
      <c r="AC185" s="137">
        <f>'Assumptions'!AM72</f>
        <v/>
      </c>
      <c r="AD185" s="137">
        <f>'Assumptions'!AM73</f>
        <v/>
      </c>
      <c r="AE185" s="137">
        <f>IF(X185&gt;0,SUM('Assumptions'!$B$42),0)</f>
        <v/>
      </c>
      <c r="AF185" s="137">
        <f>'Assumptions'!AM71</f>
        <v/>
      </c>
      <c r="AG185" s="137">
        <f>'Assumptions'!AM74</f>
        <v/>
      </c>
      <c r="AH185" s="137">
        <f>'Assumptions'!AM75</f>
        <v/>
      </c>
      <c r="AI185" s="137">
        <f>'Assumptions'!AM77</f>
        <v/>
      </c>
      <c r="AJ185" s="137">
        <f>V185-N185-SUM(AB185:AI185)</f>
        <v/>
      </c>
      <c r="AK185" s="137">
        <f>SUM(AJ150:AJ185)</f>
        <v/>
      </c>
      <c r="AL185" s="137">
        <f>IF(ISNUMBER('Assumptions'!$B$10),'Assumptions'!$B$10+AK185,"")</f>
        <v/>
      </c>
      <c r="AM185" s="137">
        <f>SUM(O185,Q185,T185)-N185-SUM(AC185:AI185)+IF('Funding'!$N$11=0,AE185,0)-IF('Funding'!$N$11&gt;0,AB185,0)</f>
        <v/>
      </c>
      <c r="AN185" s="137">
        <f>SUM(AM150:AM185)</f>
        <v/>
      </c>
      <c r="AO185" s="137">
        <f>IF(ISNUMBER('Assumptions'!$B$10),'Assumptions'!$B$10+AN185,"")</f>
        <v/>
      </c>
      <c r="AP185" s="137">
        <f>('Production schedule'!AK473)*'Responsibilities'!$C$6+('Production schedule'!AK509)*'Responsibilities'!$C$7+('Production schedule'!AK545)*'Responsibilities'!$C$8</f>
        <v/>
      </c>
      <c r="AQ185" s="137">
        <f>SUMIFS('Production schedule'!$AL$438:$AL$545,'Production schedule'!$C$438:$C$545,36)</f>
        <v/>
      </c>
      <c r="AR185" s="137">
        <f>IF(ISNUMBER('Assumptions'!AM76),'Assumptions'!AM76,SUM(O185:P185))</f>
        <v/>
      </c>
      <c r="AS185" s="137">
        <f>IF(ISNUMBER('Assumptions'!$B$13),MIN('Assumptions'!$B$13/'Assumptions'!$B$18/12,MAX(0,'Assumptions'!$B$13-(36-1)*'Assumptions'!$B$13/'Assumptions'!$B$18/12)),0)+IF(AND('Sites'!E6=1,36&gt;=('Sites'!F6),36&lt;('Sites'!F6)+'Assumptions'!$B$18*12),'Capital'!E6/'Assumptions'!$B$18/12,0)+IF(AND('Sites'!E7=1,36&gt;=('Sites'!F7+'Cases'!G10),36&lt;('Sites'!F7+'Cases'!G10)+'Assumptions'!$B$18*12),'Capital'!E7/'Assumptions'!$B$18/12,0)+IF(AND('Sites'!E8*'Cases'!F10=1,36&gt;=('Sites'!F8+'Cases'!G10),36&lt;('Sites'!F8+'Cases'!G10)+'Assumptions'!$B$18*12),'Capital'!E8/'Assumptions'!$B$18/12,0)</f>
        <v/>
      </c>
      <c r="AT185" s="137">
        <f>SUM(AQ185,AR185,U185)-AP185-SUM(H185:L185)-AS185-SUM(Y185,AD185,AE185,AH185)</f>
        <v/>
      </c>
      <c r="AU185" s="137">
        <f>IF(ISNUMBER('Assumptions'!$B$19),MAX(0,SUM(AT174:AT185))*'Assumptions'!$B$19-SUM(AU174:AU184),"")</f>
        <v/>
      </c>
      <c r="AV185" s="137">
        <f>IF(ISNUMBER(AU185),AT185-AU185,"")</f>
        <v/>
      </c>
      <c r="AW185" s="137">
        <f>IF(ISNUMBER('Assumptions'!$B$11),'Assumptions'!$B$11+SUM(AQ150:AQ185)-SUM(S150:S185)-SUM(T150:T185),"")</f>
        <v/>
      </c>
      <c r="AX185" s="137">
        <f>IF(ISNUMBER('Assumptions'!$B$12),'Assumptions'!$B$12+SUM(G150:G185)-SUM(AP150:AP185),"")</f>
        <v/>
      </c>
      <c r="AY185" s="137">
        <f>IF(ISNUMBER('Assumptions'!$B$13),'Assumptions'!$B$13+SUM(M150:M185)-SUM(AS150:AS185),"")</f>
        <v/>
      </c>
      <c r="AZ185" s="137">
        <f>IF(ISNUMBER('Assumptions'!$B$14),'Assumptions'!$B$14+-SUM(AF150:AF185),"")</f>
        <v/>
      </c>
      <c r="BA185" s="137">
        <f>IF(ISNUMBER('Assumptions'!$B$15),'Assumptions'!$B$15+SUM(O150:O185)+SUM(P150:P185)-SUM(AR150:AR185),"")</f>
        <v/>
      </c>
      <c r="BB185" s="137">
        <f>IF(ISNUMBER('Assumptions'!$B$16),'Assumptions'!$B$16+-SUM(AC150:AC185),"")</f>
        <v/>
      </c>
      <c r="BC185" s="137">
        <f>IF(AND(ISNUMBER('Assumptions'!$B$21),ISNUMBER('Assumptions'!$B$19)),'Assumptions'!$B$21+SUM(AU150:AU185)-SUM(AG150:AG185),"")</f>
        <v/>
      </c>
      <c r="BD185" s="137">
        <f>IF(ISNUMBER('Assumptions'!$B$20),'Assumptions'!$B$20+-SUM(AI150:AI185),"")</f>
        <v/>
      </c>
      <c r="BE185" s="137">
        <f>IF(AND(ISNUMBER('Assumptions'!$B$17),COUNT(AV150:AV185)=36),'Assumptions'!$B$17+SUM(AV150:AV185),"")</f>
        <v/>
      </c>
      <c r="BF185" s="137">
        <f>IF(COUNT(AL185,AW185:AY185)=4,SUM(AL185,AW185:AY185),"")</f>
        <v/>
      </c>
      <c r="BG185" s="137">
        <f>IF(COUNT(AZ185:BD185)=5,SUM(AZ185:BD185,AA185),"")</f>
        <v/>
      </c>
      <c r="BH185" s="137">
        <f>IF(COUNT(BF185,BG185,BE185)=3,BF185-BG185-BE185,"")</f>
        <v/>
      </c>
      <c r="BI185" s="137">
        <f>SUM(W185,X185)-Z185-AA185</f>
        <v/>
      </c>
      <c r="BJ185" s="137">
        <f>8-COUNT('Assumptions'!AM58:AM65)+COUNTBLANK('NM Play'!B33:B34)+'Costs'!E44+IF(AND('Sites'!E6=1,('Sites'!F6)&lt;=36,'Sites'!G6&gt;=25),IF(ISNUMBER('Sites'!Q6),0,1)+'Capital'!I6+COUNTBLANK('Sites'!R6)+IF('Sites'!D6="NM crew",COUNTBLANK('NM Play'!B25)+1,5-COUNT('Assumptions'!AM112:AM116)),0)+IF(AND('Sites'!E7=1,('Sites'!F7+'Cases'!G10)&lt;=36,'Sites'!G7&gt;=25),IF(ISNUMBER('Sites'!Q7),0,1)+'Capital'!I7+COUNTBLANK('Sites'!R7)+IF('Sites'!D7="NM crew",COUNTBLANK('NM Play'!B25)+1,5-COUNT('Assumptions'!AM117:AM121)),0)+IF(AND('Sites'!E8*'Cases'!F10=1,('Sites'!F8+'Cases'!G10)&lt;=36,'Sites'!G8&gt;=25),IF(ISNUMBER('Sites'!Q8),0,1)+'Capital'!I8+COUNTBLANK('Sites'!R8)+IF('Sites'!D8="NM crew",COUNTBLANK('NM Play'!B25)+1,5-COUNT('Assumptions'!AM122:AM126)),0)+IF(AND('Cases'!C10&gt;0,NOT(ISNUMBER('Assumptions'!B42))),1,0)+'Responsibilities'!$B$39</f>
        <v/>
      </c>
      <c r="BK185" s="137">
        <f>'Assumptions'!$B$50+'NM Play'!$B$83+'Funding'!$F$20+SUMIFS('Production schedule'!$AN$438:$AN$545,'Production schedule'!$C$438:$C$545,36)+IF(OR('Cases'!E10&lt;0,'Cases'!E10&gt;1,'Cases'!C10&lt;0,'Cases'!D10&lt;0,ABS(SUM('Sites'!S6:S8)-1)&gt;0.0001,MIN('Capital'!F6:F8)&lt;0,MAX('Capital'!F6:F8)&gt;1,MIN(AX185,AZ185,BB185,BA185)&lt;-0.01),1,0)+'Responsibilities'!$B$40</f>
        <v/>
      </c>
      <c r="BL185" s="137">
        <f>SUMIFS('Production schedule'!$T$438:$T$545,'Production schedule'!$C$438:$C$545,36)</f>
        <v/>
      </c>
      <c r="BM185" s="137">
        <f>D185*'NM Play'!$B$38</f>
        <v/>
      </c>
      <c r="BN185" s="137">
        <f>SUMIFS('Production schedule'!$AM$438:$AM$545,'Production schedule'!$C$438:$C$545,36)</f>
        <v/>
      </c>
      <c r="BO185" s="137">
        <f>AK185-AK184-AJ185</f>
        <v/>
      </c>
      <c r="BP185" s="137">
        <f>IF(AND('Assumptions'!$B$39&gt;=0,'Assumptions'!$B$40&gt;0),-PMT('Assumptions'!$B$39/12,'Assumptions'!$B$40*12,IF('Funding'!$N$11&gt;0,'Funding'!$N$11,'Funding'!$V$11)),"")</f>
        <v/>
      </c>
      <c r="BQ185">
        <f>('Production schedule'!AJ473)*(1-'Responsibilities'!$C$6)+('Production schedule'!AJ509)*(1-'Responsibilities'!$C$7)+('Production schedule'!AJ545)*(1-'Responsibilities'!$C$8)</f>
        <v/>
      </c>
      <c r="BR185">
        <f>('Production schedule'!AI473)*(1-'Responsibilities'!$D$6)+('Production schedule'!AI509)*(1-'Responsibilities'!$D$7)+('Production schedule'!AI545)*(1-'Responsibilities'!$D$8)</f>
        <v/>
      </c>
      <c r="BS185">
        <f>('Production schedule'!E473*(IF('Sites'!D6="Annual staff",SUM('Assumptions'!AM112,'Assumptions'!AM114),0)+SUM('Assumptions'!AM113,'Assumptions'!AM115:AM116)))*(1-'Responsibilities'!$E$6)+('Production schedule'!E509*(IF('Sites'!D7="Annual staff",SUM('Assumptions'!AM117,'Assumptions'!AM119),0)+SUM('Assumptions'!AM118,'Assumptions'!AM120:AM121)))*(1-'Responsibilities'!$E$7)+('Production schedule'!E545*(IF('Sites'!D8="Annual staff",SUM('Assumptions'!AM122,'Assumptions'!AM124),0)+SUM('Assumptions'!AM123,'Assumptions'!AM125:AM126)))*(1-'Responsibilities'!$E$8)</f>
        <v/>
      </c>
      <c r="BT185">
        <f>(IF(AND('Production schedule'!E473=1,36=MAX(('Sites'!F6),25),ISNUMBER('Sites'!Q6)),'Sites'!Q6*'Assumptions'!$B$44,0))*(1-'Responsibilities'!$F$6)+(IF(AND('Production schedule'!E509=1,36=MAX(('Sites'!F7+'Cases'!G10),25),ISNUMBER('Sites'!Q7)),'Sites'!Q7*'Assumptions'!$B$44,0))*(1-'Responsibilities'!$F$7)+(IF(AND('Production schedule'!E545=1,36=MAX(('Sites'!F8+'Cases'!G10),25),ISNUMBER('Sites'!Q8)),'Sites'!Q8*'Assumptions'!$B$44,0))*(1-'Responsibilities'!$F$8)</f>
        <v/>
      </c>
      <c r="BU185">
        <f>SUM('Costs'!E36)*'Costs'!F36/12*(1-'Responsibilities'!$C$12)+SUM('Costs'!E37)*'Costs'!F37/12*(1-'Responsibilities'!$C$13)+SUM('Costs'!E38)*'Costs'!F38/12*(1-'Responsibilities'!$C$14)+SUM('Costs'!E39)*'Costs'!F39/12*(1-'Responsibilities'!$C$15)+SUM('Costs'!E40)*'Costs'!F40/12*(1-'Responsibilities'!$C$16)</f>
        <v/>
      </c>
      <c r="BV185">
        <f>('Sites'!E6*'Capital'!E6*(IF(36='Capital'!G6,'Capital'!F6,0)+IF(36='Capital'!H6,1-'Capital'!F6,0)))*(1-'Responsibilities'!$G$6)+('Sites'!E7*'Capital'!E7*(IF(36='Capital'!G7+'Cases'!G10,'Capital'!F7,0)+IF(36='Capital'!H7+'Cases'!G10,1-'Capital'!F7,0)))*(1-'Responsibilities'!$G$7)+('Sites'!E8*'Cases'!F10*'Capital'!E8*(IF(36='Capital'!G8+'Cases'!G10,'Capital'!F8,0)+IF(36='Capital'!H8+'Cases'!G10,1-'Capital'!F8,0)))*(1-'Responsibilities'!$G$8)</f>
        <v/>
      </c>
      <c r="BW185">
        <f>SUM(BQ185:BV185)</f>
        <v/>
      </c>
      <c r="BX185">
        <f>N185+BW185</f>
        <v/>
      </c>
      <c r="BY185">
        <f>BX185-(('Production schedule'!AJ473)*'Responsibilities'!$C$6+('Production schedule'!AJ509)*'Responsibilities'!$C$7+('Production schedule'!AJ545)*'Responsibilities'!$C$8+('Production schedule'!AJ473)*(1-'Responsibilities'!$C$6)+('Production schedule'!AJ509)*(1-'Responsibilities'!$C$7)+('Production schedule'!AJ545)*(1-'Responsibilities'!$C$8)+('Production schedule'!AI473)*'Responsibilities'!$D$6+('Production schedule'!AI509)*'Responsibilities'!$D$7+('Production schedule'!AI545)*'Responsibilities'!$D$8+('Production schedule'!AI473)*(1-'Responsibilities'!$D$6)+('Production schedule'!AI509)*(1-'Responsibilities'!$D$7)+('Production schedule'!AI545)*(1-'Responsibilities'!$D$8)+('Production schedule'!E473*(IF('Sites'!D6="Annual staff",SUM('Assumptions'!AM112,'Assumptions'!AM114),0)+SUM('Assumptions'!AM113,'Assumptions'!AM115:AM116)))*'Responsibilities'!$E$6+('Production schedule'!E509*(IF('Sites'!D7="Annual staff",SUM('Assumptions'!AM117,'Assumptions'!AM119),0)+SUM('Assumptions'!AM118,'Assumptions'!AM120:AM121)))*'Responsibilities'!$E$7+('Production schedule'!E545*(IF('Sites'!D8="Annual staff",SUM('Assumptions'!AM122,'Assumptions'!AM124),0)+SUM('Assumptions'!AM123,'Assumptions'!AM125:AM126)))*'Responsibilities'!$E$8+('Production schedule'!E473*(IF('Sites'!D6="Annual staff",SUM('Assumptions'!AM112,'Assumptions'!AM114),0)+SUM('Assumptions'!AM113,'Assumptions'!AM115:AM116)))*(1-'Responsibilities'!$E$6)+('Production schedule'!E509*(IF('Sites'!D7="Annual staff",SUM('Assumptions'!AM117,'Assumptions'!AM119),0)+SUM('Assumptions'!AM118,'Assumptions'!AM120:AM121)))*(1-'Responsibilities'!$E$7)+('Production schedule'!E545*(IF('Sites'!D8="Annual staff",SUM('Assumptions'!AM122,'Assumptions'!AM124),0)+SUM('Assumptions'!AM123,'Assumptions'!AM125:AM126)))*(1-'Responsibilities'!$E$8)+(IF(AND('Production schedule'!E473=1,36=MAX(('Sites'!F6),25),ISNUMBER('Sites'!Q6)),'Sites'!Q6*'Assumptions'!$B$44,0))*'Responsibilities'!$F$6+(IF(AND('Production schedule'!E509=1,36=MAX(('Sites'!F7+'Cases'!G10),25),ISNUMBER('Sites'!Q7)),'Sites'!Q7*'Assumptions'!$B$44,0))*'Responsibilities'!$F$7+(IF(AND('Production schedule'!E545=1,36=MAX(('Sites'!F8+'Cases'!G10),25),ISNUMBER('Sites'!Q8)),'Sites'!Q8*'Assumptions'!$B$44,0))*'Responsibilities'!$F$8+(IF(AND('Production schedule'!E473=1,36=MAX(('Sites'!F6),25),ISNUMBER('Sites'!Q6)),'Sites'!Q6*'Assumptions'!$B$44,0))*(1-'Responsibilities'!$F$6)+(IF(AND('Production schedule'!E509=1,36=MAX(('Sites'!F7+'Cases'!G10),25),ISNUMBER('Sites'!Q7)),'Sites'!Q7*'Assumptions'!$B$44,0))*(1-'Responsibilities'!$F$7)+(IF(AND('Production schedule'!E545=1,36=MAX(('Sites'!F8+'Cases'!G10),25),ISNUMBER('Sites'!Q8)),'Sites'!Q8*'Assumptions'!$B$44,0))*(1-'Responsibilities'!$F$8)+('Sites'!E6*'Capital'!E6*(IF(36='Capital'!G6,'Capital'!F6,0)+IF(36='Capital'!H6,1-'Capital'!F6,0)))*'Responsibilities'!$G$6+('Sites'!E7*'Capital'!E7*(IF(36='Capital'!G7+'Cases'!G10,'Capital'!F7,0)+IF(36='Capital'!H7+'Cases'!G10,1-'Capital'!F7,0)))*'Responsibilities'!$G$7+('Sites'!E8*'Cases'!F10*'Capital'!E8*(IF(36='Capital'!G8+'Cases'!G10,'Capital'!F8,0)+IF(36='Capital'!H8+'Cases'!G10,1-'Capital'!F8,0)))*'Responsibilities'!$G$8+('Sites'!E6*'Capital'!E6*(IF(36='Capital'!G6,'Capital'!F6,0)+IF(36='Capital'!H6,1-'Capital'!F6,0)))*(1-'Responsibilities'!$G$6)+('Sites'!E7*'Capital'!E7*(IF(36='Capital'!G7+'Cases'!G10,'Capital'!F7,0)+IF(36='Capital'!H7+'Cases'!G10,1-'Capital'!F7,0)))*(1-'Responsibilities'!$G$7)+('Sites'!E8*'Cases'!F10*'Capital'!E8*(IF(36='Capital'!G8+'Cases'!G10,'Capital'!F8,0)+IF(36='Capital'!H8+'Cases'!G10,1-'Capital'!F8,0)))*(1-'Responsibilities'!$G$8)+I185+SUMPRODUCT('Costs'!$E$36:$E$40,'Costs'!$F$36:$F$40)/12+BZ185)</f>
        <v/>
      </c>
      <c r="BZ185">
        <f>SUMIFS('Responsibilities'!$B$31:$B$35,'Responsibilities'!$C$31:$C$35,36,'Responsibilities'!$D$31:$D$35,"Yes")</f>
        <v/>
      </c>
    </row>
    <row r="186" ht="28"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c r="AE186" s="4" t="n"/>
      <c r="AF186" s="4" t="n"/>
      <c r="AG186" s="4" t="n"/>
      <c r="AH186" s="4" t="n"/>
      <c r="AI186" s="4" t="n"/>
      <c r="AJ186" s="4" t="n"/>
      <c r="AK186" s="4" t="n"/>
      <c r="AL186" s="4" t="n"/>
      <c r="AM186" s="4" t="n"/>
      <c r="AN186" s="4" t="n"/>
      <c r="AO186" s="4" t="n"/>
      <c r="AP186" s="4" t="n"/>
      <c r="AQ186" s="4" t="n"/>
      <c r="AR186" s="4" t="n"/>
      <c r="AS186" s="4" t="n"/>
      <c r="AT186" s="4" t="n"/>
      <c r="AU186" s="4" t="n"/>
      <c r="AV186" s="4" t="n"/>
      <c r="AW186" s="4" t="n"/>
      <c r="AX186" s="4" t="n"/>
      <c r="AY186" s="4" t="n"/>
      <c r="AZ186" s="4" t="n"/>
      <c r="BA186" s="4" t="n"/>
      <c r="BB186" s="4" t="n"/>
      <c r="BC186" s="4" t="n"/>
      <c r="BD186" s="4" t="n"/>
      <c r="BE186" s="4" t="n"/>
      <c r="BF186" s="4" t="n"/>
      <c r="BG186" s="4" t="n"/>
      <c r="BH186" s="4" t="n"/>
      <c r="BI186" s="4" t="n"/>
      <c r="BJ186" s="4" t="n"/>
      <c r="BK186" s="4" t="n"/>
      <c r="BL186" s="4" t="n"/>
      <c r="BM186" s="4" t="n"/>
      <c r="BN186" s="4" t="n"/>
      <c r="BO186" s="4" t="n"/>
      <c r="BP186" s="4" t="n"/>
    </row>
    <row r="187" ht="28"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c r="AE187" s="4" t="n"/>
      <c r="AF187" s="4" t="n"/>
      <c r="AG187" s="4" t="n"/>
      <c r="AH187" s="4" t="n"/>
      <c r="AI187" s="4" t="n"/>
      <c r="AJ187" s="4" t="n"/>
      <c r="AK187" s="4" t="n"/>
      <c r="AL187" s="4" t="n"/>
      <c r="AM187" s="4" t="n"/>
      <c r="AN187" s="4" t="n"/>
      <c r="AO187" s="4" t="n"/>
      <c r="AP187" s="4" t="n"/>
      <c r="AQ187" s="4" t="n"/>
      <c r="AR187" s="4" t="n"/>
      <c r="AS187" s="4" t="n"/>
      <c r="AT187" s="4" t="n"/>
      <c r="AU187" s="4" t="n"/>
      <c r="AV187" s="4" t="n"/>
      <c r="AW187" s="4" t="n"/>
      <c r="AX187" s="4" t="n"/>
      <c r="AY187" s="4" t="n"/>
      <c r="AZ187" s="4" t="n"/>
      <c r="BA187" s="4" t="n"/>
      <c r="BB187" s="4" t="n"/>
      <c r="BC187" s="4" t="n"/>
      <c r="BD187" s="4" t="n"/>
      <c r="BE187" s="4" t="n"/>
      <c r="BF187" s="4" t="n"/>
      <c r="BG187" s="4" t="n"/>
      <c r="BH187" s="4" t="n"/>
      <c r="BI187" s="4" t="n"/>
      <c r="BJ187" s="4" t="n"/>
      <c r="BK187" s="4" t="n"/>
      <c r="BL187" s="4" t="n"/>
      <c r="BM187" s="4" t="n"/>
      <c r="BN187" s="4" t="n"/>
      <c r="BO187" s="4" t="n"/>
      <c r="BP187" s="4" t="n"/>
    </row>
    <row r="188" ht="28"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c r="AE188" s="4" t="n"/>
      <c r="AF188" s="4" t="n"/>
      <c r="AG188" s="4" t="n"/>
      <c r="AH188" s="4" t="n"/>
      <c r="AI188" s="4" t="n"/>
      <c r="AJ188" s="4" t="n"/>
      <c r="AK188" s="4" t="n"/>
      <c r="AL188" s="4" t="n"/>
      <c r="AM188" s="4" t="n"/>
      <c r="AN188" s="4" t="n"/>
      <c r="AO188" s="4" t="n"/>
      <c r="AP188" s="4" t="n"/>
      <c r="AQ188" s="4" t="n"/>
      <c r="AR188" s="4" t="n"/>
      <c r="AS188" s="4" t="n"/>
      <c r="AT188" s="4" t="n"/>
      <c r="AU188" s="4" t="n"/>
      <c r="AV188" s="4" t="n"/>
      <c r="AW188" s="4" t="n"/>
      <c r="AX188" s="4" t="n"/>
      <c r="AY188" s="4" t="n"/>
      <c r="AZ188" s="4" t="n"/>
      <c r="BA188" s="4" t="n"/>
      <c r="BB188" s="4" t="n"/>
      <c r="BC188" s="4" t="n"/>
      <c r="BD188" s="4" t="n"/>
      <c r="BE188" s="4" t="n"/>
      <c r="BF188" s="4" t="n"/>
      <c r="BG188" s="4" t="n"/>
      <c r="BH188" s="4" t="n"/>
      <c r="BI188" s="4" t="n"/>
      <c r="BJ188" s="4" t="n"/>
      <c r="BK188" s="4" t="n"/>
      <c r="BL188" s="4" t="n"/>
      <c r="BM188" s="4" t="n"/>
      <c r="BN188" s="4" t="n"/>
      <c r="BO188" s="4" t="n"/>
      <c r="BP188" s="4" t="n"/>
    </row>
    <row r="189" ht="28"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c r="AE189" s="4" t="n"/>
      <c r="AF189" s="4" t="n"/>
      <c r="AG189" s="4" t="n"/>
      <c r="AH189" s="4" t="n"/>
      <c r="AI189" s="4" t="n"/>
      <c r="AJ189" s="4" t="n"/>
      <c r="AK189" s="4" t="n"/>
      <c r="AL189" s="4" t="n"/>
      <c r="AM189" s="4" t="n"/>
      <c r="AN189" s="4" t="n"/>
      <c r="AO189" s="4" t="n"/>
      <c r="AP189" s="4" t="n"/>
      <c r="AQ189" s="4" t="n"/>
      <c r="AR189" s="4" t="n"/>
      <c r="AS189" s="4" t="n"/>
      <c r="AT189" s="4" t="n"/>
      <c r="AU189" s="4" t="n"/>
      <c r="AV189" s="4" t="n"/>
      <c r="AW189" s="4" t="n"/>
      <c r="AX189" s="4" t="n"/>
      <c r="AY189" s="4" t="n"/>
      <c r="AZ189" s="4" t="n"/>
      <c r="BA189" s="4" t="n"/>
      <c r="BB189" s="4" t="n"/>
      <c r="BC189" s="4" t="n"/>
      <c r="BD189" s="4" t="n"/>
      <c r="BE189" s="4" t="n"/>
      <c r="BF189" s="4" t="n"/>
      <c r="BG189" s="4" t="n"/>
      <c r="BH189" s="4" t="n"/>
      <c r="BI189" s="4" t="n"/>
      <c r="BJ189" s="4" t="n"/>
      <c r="BK189" s="4" t="n"/>
      <c r="BL189" s="4" t="n"/>
      <c r="BM189" s="4" t="n"/>
      <c r="BN189" s="4" t="n"/>
      <c r="BO189" s="4" t="n"/>
      <c r="BP189" s="4" t="n"/>
    </row>
    <row r="190" ht="28"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c r="AE190" s="4" t="n"/>
      <c r="AF190" s="4" t="n"/>
      <c r="AG190" s="4" t="n"/>
      <c r="AH190" s="4" t="n"/>
      <c r="AI190" s="4" t="n"/>
      <c r="AJ190" s="4" t="n"/>
      <c r="AK190" s="4" t="n"/>
      <c r="AL190" s="4" t="n"/>
      <c r="AM190" s="4" t="n"/>
      <c r="AN190" s="4" t="n"/>
      <c r="AO190" s="4" t="n"/>
      <c r="AP190" s="4" t="n"/>
      <c r="AQ190" s="4" t="n"/>
      <c r="AR190" s="4" t="n"/>
      <c r="AS190" s="4" t="n"/>
      <c r="AT190" s="4" t="n"/>
      <c r="AU190" s="4" t="n"/>
      <c r="AV190" s="4" t="n"/>
      <c r="AW190" s="4" t="n"/>
      <c r="AX190" s="4" t="n"/>
      <c r="AY190" s="4" t="n"/>
      <c r="AZ190" s="4" t="n"/>
      <c r="BA190" s="4" t="n"/>
      <c r="BB190" s="4" t="n"/>
      <c r="BC190" s="4" t="n"/>
      <c r="BD190" s="4" t="n"/>
      <c r="BE190" s="4" t="n"/>
      <c r="BF190" s="4" t="n"/>
      <c r="BG190" s="4" t="n"/>
      <c r="BH190" s="4" t="n"/>
      <c r="BI190" s="4" t="n"/>
      <c r="BJ190" s="4" t="n"/>
      <c r="BK190" s="4" t="n"/>
      <c r="BL190" s="4" t="n"/>
      <c r="BM190" s="4" t="n"/>
      <c r="BN190" s="4" t="n"/>
      <c r="BO190" s="4" t="n"/>
      <c r="BP190" s="4" t="n"/>
    </row>
  </sheetData>
  <mergeCells count="2">
    <mergeCell ref="A3:BP3"/>
    <mergeCell ref="A1:BP1"/>
  </mergeCell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F6100"/>
  <sheetViews>
    <sheetView showGridLines="0" workbookViewId="0">
      <pane ySplit="5" topLeftCell="A6" activePane="bottomLeft" state="frozen"/>
      <selection activeCell="A1" sqref="A1"/>
    </sheetView>
  </sheetViews>
  <sheetFormatPr baseColWidth="8" defaultRowHeight="15"/>
  <cols>
    <col width="27" customWidth="1" min="1" max="1"/>
    <col width="25" customWidth="1" min="2" max="2"/>
    <col width="10" customWidth="1" min="3" max="3"/>
    <col width="70" customWidth="1" min="4" max="4"/>
    <col width="25" customWidth="1" min="5" max="5"/>
    <col width="40" customWidth="1" min="6" max="6"/>
  </cols>
  <sheetData>
    <row r="1" ht="38" customHeight="1">
      <c r="A1" s="5" t="inlineStr">
        <is>
          <t>Original workbook records</t>
        </is>
      </c>
    </row>
    <row r="2" ht="28" customHeight="1">
      <c r="A2" s="4" t="n"/>
      <c r="B2" s="4" t="n"/>
      <c r="C2" s="4" t="n"/>
      <c r="D2" s="4" t="n"/>
      <c r="E2" s="4" t="n"/>
      <c r="F2" s="4" t="n"/>
    </row>
    <row r="3" ht="54" customHeight="1">
      <c r="A3" s="6" t="inlineStr">
        <is>
          <t>Read-only source snapshot. Column D preserves the original input or formula; E preserves its saved result. Edit current assumptions on the working tabs.</t>
        </is>
      </c>
    </row>
    <row r="4" ht="28" customHeight="1">
      <c r="A4" s="4" t="n"/>
      <c r="B4" s="4" t="n"/>
      <c r="C4" s="4" t="n"/>
      <c r="D4" s="4" t="n"/>
      <c r="E4" s="4" t="n"/>
      <c r="F4" s="4" t="n"/>
    </row>
    <row r="5" ht="54" customHeight="1">
      <c r="A5" s="8" t="inlineStr">
        <is>
          <t>Record ID</t>
        </is>
      </c>
      <c r="B5" s="8" t="inlineStr">
        <is>
          <t>Original tab</t>
        </is>
      </c>
      <c r="C5" s="8" t="inlineStr">
        <is>
          <t>Cell</t>
        </is>
      </c>
      <c r="D5" s="8" t="inlineStr">
        <is>
          <t>Original input / formula</t>
        </is>
      </c>
      <c r="E5" s="8" t="inlineStr">
        <is>
          <t>Saved result</t>
        </is>
      </c>
      <c r="F5" s="8" t="inlineStr">
        <is>
          <t>Source file</t>
        </is>
      </c>
    </row>
    <row r="6" ht="45" customHeight="1">
      <c r="A6" s="4" t="inlineStr">
        <is>
          <t>original:Start here!A1</t>
        </is>
      </c>
      <c r="B6" s="4" t="inlineStr">
        <is>
          <t>Start here</t>
        </is>
      </c>
      <c r="C6" s="4" t="inlineStr">
        <is>
          <t>A1</t>
        </is>
      </c>
      <c r="D6" s="4" t="inlineStr">
        <is>
          <t>Start with NM Play — production, communities and facilities</t>
        </is>
      </c>
      <c r="E6" s="4" t="inlineStr">
        <is>
          <t>Start with NM Play — production, communities and facilities</t>
        </is>
      </c>
      <c r="F6" s="4" t="inlineStr">
        <is>
          <t>GOC Bed Unit-Costing Model v2 — working original.xlsx</t>
        </is>
      </c>
    </row>
    <row r="7" ht="75" customHeight="1">
      <c r="A7" s="4" t="inlineStr">
        <is>
          <t>original:Start here!A2</t>
        </is>
      </c>
      <c r="B7" s="4" t="inlineStr">
        <is>
          <t>Start here</t>
        </is>
      </c>
      <c r="C7" s="4" t="inlineStr">
        <is>
          <t>A2</t>
        </is>
      </c>
      <c r="D7" s="4" t="inlineStr">
        <is>
          <t>Open Making plan first: sheets/day → tabs + legs → HDPE bed sets → community assignments → facility targets.</t>
        </is>
      </c>
      <c r="E7" s="4" t="inlineStr">
        <is>
          <t>Open Making plan first: sheets/day → tabs + legs → HDPE bed sets → community assignments → facility targets.</t>
        </is>
      </c>
      <c r="F7" s="4" t="inlineStr">
        <is>
          <t>GOC Bed Unit-Costing Model v2 — working original.xlsx</t>
        </is>
      </c>
    </row>
    <row r="8" ht="135" customHeight="1">
      <c r="A8" s="4" t="inlineStr">
        <is>
          <t>original:Start here!A3</t>
        </is>
      </c>
      <c r="B8" s="4" t="inlineStr">
        <is>
          <t>Start here</t>
        </is>
      </c>
      <c r="C8" s="4" t="inlineStr">
        <is>
          <t>A3</t>
        </is>
      </c>
      <c r="D8" s="4" t="inlineStr">
        <is>
          <t>NM production targets and the earlier 400-bed funding scenario use different cost boundaries. Reconcile crew and rent before combining them. Original 14 tabs remain preserved as source workpapers.</t>
        </is>
      </c>
      <c r="E8" s="4" t="inlineStr">
        <is>
          <t>NM production targets and the earlier 400-bed funding scenario use different cost boundaries. Reconcile crew and rent before combining them. Original 14 tabs remain preserved as source workpapers.</t>
        </is>
      </c>
      <c r="F8" s="4" t="inlineStr">
        <is>
          <t>GOC Bed Unit-Costing Model v2 — working original.xlsx</t>
        </is>
      </c>
    </row>
    <row r="9" ht="40" customHeight="1">
      <c r="A9" s="4" t="inlineStr">
        <is>
          <t>original:Start here!A5</t>
        </is>
      </c>
      <c r="B9" s="4" t="inlineStr">
        <is>
          <t>Start here</t>
        </is>
      </c>
      <c r="C9" s="4" t="inlineStr">
        <is>
          <t>A5</t>
        </is>
      </c>
      <c r="D9" s="4" t="inlineStr">
        <is>
          <t>Priority</t>
        </is>
      </c>
      <c r="E9" s="4" t="inlineStr">
        <is>
          <t>Priority</t>
        </is>
      </c>
      <c r="F9" s="4" t="inlineStr">
        <is>
          <t>GOC Bed Unit-Costing Model v2 — working original.xlsx</t>
        </is>
      </c>
    </row>
    <row r="10" ht="40" customHeight="1">
      <c r="A10" s="4" t="inlineStr">
        <is>
          <t>original:Start here!B5</t>
        </is>
      </c>
      <c r="B10" s="4" t="inlineStr">
        <is>
          <t>Start here</t>
        </is>
      </c>
      <c r="C10" s="4" t="inlineStr">
        <is>
          <t>B5</t>
        </is>
      </c>
      <c r="D10" s="4" t="inlineStr">
        <is>
          <t>Current scenario</t>
        </is>
      </c>
      <c r="E10" s="4" t="inlineStr">
        <is>
          <t>Current scenario</t>
        </is>
      </c>
      <c r="F10" s="4" t="inlineStr">
        <is>
          <t>GOC Bed Unit-Costing Model v2 — working original.xlsx</t>
        </is>
      </c>
    </row>
    <row r="11" ht="40" customHeight="1">
      <c r="A11" s="4" t="inlineStr">
        <is>
          <t>original:Start here!C5</t>
        </is>
      </c>
      <c r="B11" s="4" t="inlineStr">
        <is>
          <t>Start here</t>
        </is>
      </c>
      <c r="C11" s="4" t="inlineStr">
        <is>
          <t>C5</t>
        </is>
      </c>
      <c r="D11" s="4" t="inlineStr">
        <is>
          <t>Evidence status</t>
        </is>
      </c>
      <c r="E11" s="4" t="inlineStr">
        <is>
          <t>Evidence status</t>
        </is>
      </c>
      <c r="F11" s="4" t="inlineStr">
        <is>
          <t>GOC Bed Unit-Costing Model v2 — working original.xlsx</t>
        </is>
      </c>
    </row>
    <row r="12" ht="40" customHeight="1">
      <c r="A12" s="4" t="inlineStr">
        <is>
          <t>original:Start here!D5</t>
        </is>
      </c>
      <c r="B12" s="4" t="inlineStr">
        <is>
          <t>Start here</t>
        </is>
      </c>
      <c r="C12" s="4" t="inlineStr">
        <is>
          <t>D5</t>
        </is>
      </c>
      <c r="D12" s="4" t="inlineStr">
        <is>
          <t>Decision / next action</t>
        </is>
      </c>
      <c r="E12" s="4" t="inlineStr">
        <is>
          <t>Decision / next action</t>
        </is>
      </c>
      <c r="F12" s="4" t="inlineStr">
        <is>
          <t>GOC Bed Unit-Costing Model v2 — working original.xlsx</t>
        </is>
      </c>
    </row>
    <row r="13" ht="40" customHeight="1">
      <c r="A13" s="4" t="inlineStr">
        <is>
          <t>original:Start here!E5</t>
        </is>
      </c>
      <c r="B13" s="4" t="inlineStr">
        <is>
          <t>Start here</t>
        </is>
      </c>
      <c r="C13" s="4" t="inlineStr">
        <is>
          <t>E5</t>
        </is>
      </c>
      <c r="D13" s="4" t="inlineStr">
        <is>
          <t>Working tab</t>
        </is>
      </c>
      <c r="E13" s="4" t="inlineStr">
        <is>
          <t>Working tab</t>
        </is>
      </c>
      <c r="F13" s="4" t="inlineStr">
        <is>
          <t>GOC Bed Unit-Costing Model v2 — working original.xlsx</t>
        </is>
      </c>
    </row>
    <row r="14" ht="40" customHeight="1">
      <c r="A14" s="4" t="inlineStr">
        <is>
          <t>original:Start here!A6</t>
        </is>
      </c>
      <c r="B14" s="4" t="inlineStr">
        <is>
          <t>Start here</t>
        </is>
      </c>
      <c r="C14" s="4" t="inlineStr">
        <is>
          <t>A6</t>
        </is>
      </c>
      <c r="D14" s="4" t="inlineStr">
        <is>
          <t>Beds made</t>
        </is>
      </c>
      <c r="E14" s="4" t="inlineStr">
        <is>
          <t>Beds made</t>
        </is>
      </c>
      <c r="F14" s="4" t="inlineStr">
        <is>
          <t>GOC Bed Unit-Costing Model v2 — working original.xlsx</t>
        </is>
      </c>
    </row>
    <row r="15" ht="40" customHeight="1">
      <c r="A15" s="4" t="inlineStr">
        <is>
          <t>original:Start here!B6</t>
        </is>
      </c>
      <c r="B15" s="4" t="inlineStr">
        <is>
          <t>Start here</t>
        </is>
      </c>
      <c r="C15" s="4" t="inlineStr">
        <is>
          <t>B6</t>
        </is>
      </c>
      <c r="D15" s="4" t="inlineStr">
        <is>
          <t>=Overview!B18</t>
        </is>
      </c>
      <c r="E15" s="4" t="n">
        <v>400</v>
      </c>
      <c r="F15" s="4" t="inlineStr">
        <is>
          <t>GOC Bed Unit-Costing Model v2 — working original.xlsx</t>
        </is>
      </c>
    </row>
    <row r="16" ht="40" customHeight="1">
      <c r="A16" s="4" t="inlineStr">
        <is>
          <t>original:Start here!C6</t>
        </is>
      </c>
      <c r="B16" s="4" t="inlineStr">
        <is>
          <t>Start here</t>
        </is>
      </c>
      <c r="C16" s="4" t="inlineStr">
        <is>
          <t>C6</t>
        </is>
      </c>
      <c r="D16" s="4" t="inlineStr">
        <is>
          <t>Planning quantity, not an order</t>
        </is>
      </c>
      <c r="E16" s="4" t="inlineStr">
        <is>
          <t>Planning quantity, not an order</t>
        </is>
      </c>
      <c r="F16" s="4" t="inlineStr">
        <is>
          <t>GOC Bed Unit-Costing Model v2 — working original.xlsx</t>
        </is>
      </c>
    </row>
    <row r="17" ht="60" customHeight="1">
      <c r="A17" s="4" t="inlineStr">
        <is>
          <t>original:Start here!D6</t>
        </is>
      </c>
      <c r="B17" s="4" t="inlineStr">
        <is>
          <t>Start here</t>
        </is>
      </c>
      <c r="C17" s="4" t="inlineStr">
        <is>
          <t>D6</t>
        </is>
      </c>
      <c r="D17" s="4" t="inlineStr">
        <is>
          <t>Agree a deliverable phase and named recipients. First 50 measured beds sit within this pool.</t>
        </is>
      </c>
      <c r="E17" s="4" t="inlineStr">
        <is>
          <t>Agree a deliverable phase and named recipients. First 50 measured beds sit within this pool.</t>
        </is>
      </c>
      <c r="F17" s="4" t="inlineStr">
        <is>
          <t>GOC Bed Unit-Costing Model v2 — working original.xlsx</t>
        </is>
      </c>
    </row>
    <row r="18" ht="40" customHeight="1">
      <c r="A18" s="4" t="inlineStr">
        <is>
          <t>original:Start here!E6</t>
        </is>
      </c>
      <c r="B18" s="4" t="inlineStr">
        <is>
          <t>Start here</t>
        </is>
      </c>
      <c r="C18" s="4" t="inlineStr">
        <is>
          <t>E6</t>
        </is>
      </c>
      <c r="D18" s="4" t="inlineStr">
        <is>
          <t>Production</t>
        </is>
      </c>
      <c r="E18" s="4" t="inlineStr">
        <is>
          <t>Production</t>
        </is>
      </c>
      <c r="F18" s="4" t="inlineStr">
        <is>
          <t>GOC Bed Unit-Costing Model v2 — working original.xlsx</t>
        </is>
      </c>
    </row>
    <row r="19" ht="40" customHeight="1">
      <c r="A19" s="4" t="inlineStr">
        <is>
          <t>original:Start here!A7</t>
        </is>
      </c>
      <c r="B19" s="4" t="inlineStr">
        <is>
          <t>Start here</t>
        </is>
      </c>
      <c r="C19" s="4" t="inlineStr">
        <is>
          <t>A7</t>
        </is>
      </c>
      <c r="D19" s="4" t="inlineStr">
        <is>
          <t>Where beds are made</t>
        </is>
      </c>
      <c r="E19" s="4" t="inlineStr">
        <is>
          <t>Where beds are made</t>
        </is>
      </c>
      <c r="F19" s="4" t="inlineStr">
        <is>
          <t>GOC Bed Unit-Costing Model v2 — working original.xlsx</t>
        </is>
      </c>
    </row>
    <row r="20" ht="45" customHeight="1">
      <c r="A20" s="4" t="inlineStr">
        <is>
          <t>original:Start here!B7</t>
        </is>
      </c>
      <c r="B20" s="4" t="inlineStr">
        <is>
          <t>Start here</t>
        </is>
      </c>
      <c r="C20" s="4" t="inlineStr">
        <is>
          <t>B7</t>
        </is>
      </c>
      <c r="D20" s="4" t="inlineStr">
        <is>
          <t>=SUMIF(Production!B6:B41,"WITTA",Production!F6:F41)&amp;" Witta / "&amp;SUMIF(Production!B6:B41,"NEW1",Production!F6:F41)&amp;" new site 1 / "&amp;SUMIF(Production!B6:B41,"NEW2",Production!F6:F41)&amp;" new site 2"</t>
        </is>
      </c>
      <c r="E20" s="4" t="inlineStr">
        <is>
          <t>200 Witta / 100 new site 1 / 100 new site 2</t>
        </is>
      </c>
      <c r="F20" s="4" t="inlineStr">
        <is>
          <t>GOC Bed Unit-Costing Model v2 — working original.xlsx</t>
        </is>
      </c>
    </row>
    <row r="21" ht="40" customHeight="1">
      <c r="A21" s="4" t="inlineStr">
        <is>
          <t>original:Start here!C7</t>
        </is>
      </c>
      <c r="B21" s="4" t="inlineStr">
        <is>
          <t>Start here</t>
        </is>
      </c>
      <c r="C21" s="4" t="inlineStr">
        <is>
          <t>C7</t>
        </is>
      </c>
      <c r="D21" s="4" t="inlineStr">
        <is>
          <t>Unselected new sites</t>
        </is>
      </c>
      <c r="E21" s="4" t="inlineStr">
        <is>
          <t>Unselected new sites</t>
        </is>
      </c>
      <c r="F21" s="4" t="inlineStr">
        <is>
          <t>GOC Bed Unit-Costing Model v2 — working original.xlsx</t>
        </is>
      </c>
    </row>
    <row r="22" ht="60" customHeight="1">
      <c r="A22" s="4" t="inlineStr">
        <is>
          <t>original:Start here!D7</t>
        </is>
      </c>
      <c r="B22" s="4" t="inlineStr">
        <is>
          <t>Start here</t>
        </is>
      </c>
      <c r="C22" s="4" t="inlineStr">
        <is>
          <t>D7</t>
        </is>
      </c>
      <c r="D22" s="4" t="inlineStr">
        <is>
          <t>Confirm partner authority, operator and commissioning dates before allocating beds.</t>
        </is>
      </c>
      <c r="E22" s="4" t="inlineStr">
        <is>
          <t>Confirm partner authority, operator and commissioning dates before allocating beds.</t>
        </is>
      </c>
      <c r="F22" s="4" t="inlineStr">
        <is>
          <t>GOC Bed Unit-Costing Model v2 — working original.xlsx</t>
        </is>
      </c>
    </row>
    <row r="23" ht="40" customHeight="1">
      <c r="A23" s="4" t="inlineStr">
        <is>
          <t>original:Start here!E7</t>
        </is>
      </c>
      <c r="B23" s="4" t="inlineStr">
        <is>
          <t>Start here</t>
        </is>
      </c>
      <c r="C23" s="4" t="inlineStr">
        <is>
          <t>E7</t>
        </is>
      </c>
      <c r="D23" s="4" t="inlineStr">
        <is>
          <t>Sites</t>
        </is>
      </c>
      <c r="E23" s="4" t="inlineStr">
        <is>
          <t>Sites</t>
        </is>
      </c>
      <c r="F23" s="4" t="inlineStr">
        <is>
          <t>GOC Bed Unit-Costing Model v2 — working original.xlsx</t>
        </is>
      </c>
    </row>
    <row r="24" ht="40" customHeight="1">
      <c r="A24" s="4" t="inlineStr">
        <is>
          <t>original:Start here!A8</t>
        </is>
      </c>
      <c r="B24" s="4" t="inlineStr">
        <is>
          <t>Start here</t>
        </is>
      </c>
      <c r="C24" s="4" t="inlineStr">
        <is>
          <t>A8</t>
        </is>
      </c>
      <c r="D24" s="4" t="inlineStr">
        <is>
          <t>Two additional facilities</t>
        </is>
      </c>
      <c r="E24" s="4" t="inlineStr">
        <is>
          <t>Two additional facilities</t>
        </is>
      </c>
      <c r="F24" s="4" t="inlineStr">
        <is>
          <t>GOC Bed Unit-Costing Model v2 — working original.xlsx</t>
        </is>
      </c>
    </row>
    <row r="25" ht="40" customHeight="1">
      <c r="A25" s="4" t="inlineStr">
        <is>
          <t>original:Start here!B8</t>
        </is>
      </c>
      <c r="B25" s="4" t="inlineStr">
        <is>
          <t>Start here</t>
        </is>
      </c>
      <c r="C25" s="4" t="inlineStr">
        <is>
          <t>B8</t>
        </is>
      </c>
      <c r="D25" s="4" t="inlineStr">
        <is>
          <t>=SUM(Sites!E7:E8)</t>
        </is>
      </c>
      <c r="E25" s="4" t="n">
        <v>226000</v>
      </c>
      <c r="F25" s="4" t="inlineStr">
        <is>
          <t>GOC Bed Unit-Costing Model v2 — working original.xlsx</t>
        </is>
      </c>
    </row>
    <row r="26" ht="40" customHeight="1">
      <c r="A26" s="4" t="inlineStr">
        <is>
          <t>original:Start here!C8</t>
        </is>
      </c>
      <c r="B26" s="4" t="inlineStr">
        <is>
          <t>Start here</t>
        </is>
      </c>
      <c r="C26" s="4" t="inlineStr">
        <is>
          <t>C8</t>
        </is>
      </c>
      <c r="D26" s="4" t="inlineStr">
        <is>
          <t>Replication estimate, not quote</t>
        </is>
      </c>
      <c r="E26" s="4" t="inlineStr">
        <is>
          <t>Replication estimate, not quote</t>
        </is>
      </c>
      <c r="F26" s="4" t="inlineStr">
        <is>
          <t>GOC Bed Unit-Costing Model v2 — working original.xlsx</t>
        </is>
      </c>
    </row>
    <row r="27" ht="60" customHeight="1">
      <c r="A27" s="4" t="inlineStr">
        <is>
          <t>original:Start here!D8</t>
        </is>
      </c>
      <c r="B27" s="4" t="inlineStr">
        <is>
          <t>Start here</t>
        </is>
      </c>
      <c r="C27" s="4" t="inlineStr">
        <is>
          <t>D8</t>
        </is>
      </c>
      <c r="D27" s="4" t="inlineStr">
        <is>
          <t>Choose replication or turnkey per site; secure full installation and site-work quotes.</t>
        </is>
      </c>
      <c r="E27" s="4" t="inlineStr">
        <is>
          <t>Choose replication or turnkey per site; secure full installation and site-work quotes.</t>
        </is>
      </c>
      <c r="F27" s="4" t="inlineStr">
        <is>
          <t>GOC Bed Unit-Costing Model v2 — working original.xlsx</t>
        </is>
      </c>
    </row>
    <row r="28" ht="40" customHeight="1">
      <c r="A28" s="4" t="inlineStr">
        <is>
          <t>original:Start here!E8</t>
        </is>
      </c>
      <c r="B28" s="4" t="inlineStr">
        <is>
          <t>Start here</t>
        </is>
      </c>
      <c r="C28" s="4" t="inlineStr">
        <is>
          <t>E8</t>
        </is>
      </c>
      <c r="D28" s="4" t="inlineStr">
        <is>
          <t>Sites</t>
        </is>
      </c>
      <c r="E28" s="4" t="inlineStr">
        <is>
          <t>Sites</t>
        </is>
      </c>
      <c r="F28" s="4" t="inlineStr">
        <is>
          <t>GOC Bed Unit-Costing Model v2 — working original.xlsx</t>
        </is>
      </c>
    </row>
    <row r="29" ht="40" customHeight="1">
      <c r="A29" s="4" t="inlineStr">
        <is>
          <t>original:Start here!A9</t>
        </is>
      </c>
      <c r="B29" s="4" t="inlineStr">
        <is>
          <t>Start here</t>
        </is>
      </c>
      <c r="C29" s="4" t="inlineStr">
        <is>
          <t>A9</t>
        </is>
      </c>
      <c r="D29" s="4" t="inlineStr">
        <is>
          <t>Priced phase subtotal</t>
        </is>
      </c>
      <c r="E29" s="4" t="inlineStr">
        <is>
          <t>Priced phase subtotal</t>
        </is>
      </c>
      <c r="F29" s="4" t="inlineStr">
        <is>
          <t>GOC Bed Unit-Costing Model v2 — working original.xlsx</t>
        </is>
      </c>
    </row>
    <row r="30" ht="40" customHeight="1">
      <c r="A30" s="4" t="inlineStr">
        <is>
          <t>original:Start here!B9</t>
        </is>
      </c>
      <c r="B30" s="4" t="inlineStr">
        <is>
          <t>Start here</t>
        </is>
      </c>
      <c r="C30" s="4" t="inlineStr">
        <is>
          <t>B9</t>
        </is>
      </c>
      <c r="D30" s="4" t="inlineStr">
        <is>
          <t>=Overview!B15</t>
        </is>
      </c>
      <c r="E30" s="4" t="n">
        <v>527583.5</v>
      </c>
      <c r="F30" s="4" t="inlineStr">
        <is>
          <t>GOC Bed Unit-Costing Model v2 — working original.xlsx</t>
        </is>
      </c>
    </row>
    <row r="31" ht="40" customHeight="1">
      <c r="A31" s="4" t="inlineStr">
        <is>
          <t>original:Start here!C9</t>
        </is>
      </c>
      <c r="B31" s="4" t="inlineStr">
        <is>
          <t>Start here</t>
        </is>
      </c>
      <c r="C31" s="4" t="inlineStr">
        <is>
          <t>C9</t>
        </is>
      </c>
      <c r="D31" s="4" t="inlineStr">
        <is>
          <t>Incomplete budget</t>
        </is>
      </c>
      <c r="E31" s="4" t="inlineStr">
        <is>
          <t>Incomplete budget</t>
        </is>
      </c>
      <c r="F31" s="4" t="inlineStr">
        <is>
          <t>GOC Bed Unit-Costing Model v2 — working original.xlsx</t>
        </is>
      </c>
    </row>
    <row r="32" ht="60" customHeight="1">
      <c r="A32" s="4" t="inlineStr">
        <is>
          <t>original:Start here!D9</t>
        </is>
      </c>
      <c r="B32" s="4" t="inlineStr">
        <is>
          <t>Start here</t>
        </is>
      </c>
      <c r="C32" s="4" t="inlineStr">
        <is>
          <t>D9</t>
        </is>
      </c>
      <c r="D32" s="4" t="inlineStr">
        <is>
          <t>Includes making, delivery, selected capital and running allowances. Not the final raise.</t>
        </is>
      </c>
      <c r="E32" s="4" t="inlineStr">
        <is>
          <t>Includes making, delivery, selected capital and running allowances. Not the final raise.</t>
        </is>
      </c>
      <c r="F32" s="4" t="inlineStr">
        <is>
          <t>GOC Bed Unit-Costing Model v2 — working original.xlsx</t>
        </is>
      </c>
    </row>
    <row r="33" ht="40" customHeight="1">
      <c r="A33" s="4" t="inlineStr">
        <is>
          <t>original:Start here!E9</t>
        </is>
      </c>
      <c r="B33" s="4" t="inlineStr">
        <is>
          <t>Start here</t>
        </is>
      </c>
      <c r="C33" s="4" t="inlineStr">
        <is>
          <t>E9</t>
        </is>
      </c>
      <c r="D33" s="4" t="inlineStr">
        <is>
          <t>Cost plan</t>
        </is>
      </c>
      <c r="E33" s="4" t="inlineStr">
        <is>
          <t>Cost plan</t>
        </is>
      </c>
      <c r="F33" s="4" t="inlineStr">
        <is>
          <t>GOC Bed Unit-Costing Model v2 — working original.xlsx</t>
        </is>
      </c>
    </row>
    <row r="34" ht="40" customHeight="1">
      <c r="A34" s="4" t="inlineStr">
        <is>
          <t>original:Start here!A10</t>
        </is>
      </c>
      <c r="B34" s="4" t="inlineStr">
        <is>
          <t>Start here</t>
        </is>
      </c>
      <c r="C34" s="4" t="inlineStr">
        <is>
          <t>A10</t>
        </is>
      </c>
      <c r="D34" s="4" t="inlineStr">
        <is>
          <t>Unpriced cost lines</t>
        </is>
      </c>
      <c r="E34" s="4" t="inlineStr">
        <is>
          <t>Unpriced cost lines</t>
        </is>
      </c>
      <c r="F34" s="4" t="inlineStr">
        <is>
          <t>GOC Bed Unit-Costing Model v2 — working original.xlsx</t>
        </is>
      </c>
    </row>
    <row r="35" ht="40" customHeight="1">
      <c r="A35" s="4" t="inlineStr">
        <is>
          <t>original:Start here!B10</t>
        </is>
      </c>
      <c r="B35" s="4" t="inlineStr">
        <is>
          <t>Start here</t>
        </is>
      </c>
      <c r="C35" s="4" t="inlineStr">
        <is>
          <t>B10</t>
        </is>
      </c>
      <c r="D35" s="4" t="inlineStr">
        <is>
          <t>=Overview!B16</t>
        </is>
      </c>
      <c r="E35" s="4" t="n">
        <v>12</v>
      </c>
      <c r="F35" s="4" t="inlineStr">
        <is>
          <t>GOC Bed Unit-Costing Model v2 — working original.xlsx</t>
        </is>
      </c>
    </row>
    <row r="36" ht="40" customHeight="1">
      <c r="A36" s="4" t="inlineStr">
        <is>
          <t>original:Start here!C10</t>
        </is>
      </c>
      <c r="B36" s="4" t="inlineStr">
        <is>
          <t>Start here</t>
        </is>
      </c>
      <c r="C36" s="4" t="inlineStr">
        <is>
          <t>C10</t>
        </is>
      </c>
      <c r="D36" s="4" t="inlineStr">
        <is>
          <t>Open</t>
        </is>
      </c>
      <c r="E36" s="4" t="inlineStr">
        <is>
          <t>Open</t>
        </is>
      </c>
      <c r="F36" s="4" t="inlineStr">
        <is>
          <t>GOC Bed Unit-Costing Model v2 — working original.xlsx</t>
        </is>
      </c>
    </row>
    <row r="37" ht="75" customHeight="1">
      <c r="A37" s="4" t="inlineStr">
        <is>
          <t>original:Start here!D10</t>
        </is>
      </c>
      <c r="B37" s="4" t="inlineStr">
        <is>
          <t>Start here</t>
        </is>
      </c>
      <c r="C37" s="4" t="inlineStr">
        <is>
          <t>D10</t>
        </is>
      </c>
      <c r="D37" s="4" t="inlineStr">
        <is>
          <t>Price supervision, site running, governance, support, measurement and reserves; avoid overlapping salaries.</t>
        </is>
      </c>
      <c r="E37" s="4" t="inlineStr">
        <is>
          <t>Price supervision, site running, governance, support, measurement and reserves; avoid overlapping salaries.</t>
        </is>
      </c>
      <c r="F37" s="4" t="inlineStr">
        <is>
          <t>GOC Bed Unit-Costing Model v2 — working original.xlsx</t>
        </is>
      </c>
    </row>
    <row r="38" ht="40" customHeight="1">
      <c r="A38" s="4" t="inlineStr">
        <is>
          <t>original:Start here!E10</t>
        </is>
      </c>
      <c r="B38" s="4" t="inlineStr">
        <is>
          <t>Start here</t>
        </is>
      </c>
      <c r="C38" s="4" t="inlineStr">
        <is>
          <t>E10</t>
        </is>
      </c>
      <c r="D38" s="4" t="inlineStr">
        <is>
          <t>Cost plan</t>
        </is>
      </c>
      <c r="E38" s="4" t="inlineStr">
        <is>
          <t>Cost plan</t>
        </is>
      </c>
      <c r="F38" s="4" t="inlineStr">
        <is>
          <t>GOC Bed Unit-Costing Model v2 — working original.xlsx</t>
        </is>
      </c>
    </row>
    <row r="39" ht="40" customHeight="1">
      <c r="A39" s="4" t="inlineStr">
        <is>
          <t>original:Start here!A11</t>
        </is>
      </c>
      <c r="B39" s="4" t="inlineStr">
        <is>
          <t>Start here</t>
        </is>
      </c>
      <c r="C39" s="4" t="inlineStr">
        <is>
          <t>A11</t>
        </is>
      </c>
      <c r="D39" s="4" t="inlineStr">
        <is>
          <t>Fairfax year-one amount</t>
        </is>
      </c>
      <c r="E39" s="4" t="inlineStr">
        <is>
          <t>Fairfax year-one amount</t>
        </is>
      </c>
      <c r="F39" s="4" t="inlineStr">
        <is>
          <t>GOC Bed Unit-Costing Model v2 — working original.xlsx</t>
        </is>
      </c>
    </row>
    <row r="40" ht="40" customHeight="1">
      <c r="A40" s="4" t="inlineStr">
        <is>
          <t>original:Start here!B11</t>
        </is>
      </c>
      <c r="B40" s="4" t="inlineStr">
        <is>
          <t>Start here</t>
        </is>
      </c>
      <c r="C40" s="4" t="inlineStr">
        <is>
          <t>B11</t>
        </is>
      </c>
      <c r="D40" s="4" t="inlineStr">
        <is>
          <t>=Funding!D7</t>
        </is>
      </c>
      <c r="E40" s="4" t="n">
        <v>100000</v>
      </c>
      <c r="F40" s="4" t="inlineStr">
        <is>
          <t>GOC Bed Unit-Costing Model v2 — working original.xlsx</t>
        </is>
      </c>
    </row>
    <row r="41" ht="40" customHeight="1">
      <c r="A41" s="4" t="inlineStr">
        <is>
          <t>original:Start here!C11</t>
        </is>
      </c>
      <c r="B41" s="4" t="inlineStr">
        <is>
          <t>Start here</t>
        </is>
      </c>
      <c r="C41" s="4" t="inlineStr">
        <is>
          <t>C11</t>
        </is>
      </c>
      <c r="D41" s="4" t="inlineStr">
        <is>
          <t>Invitation, not award</t>
        </is>
      </c>
      <c r="E41" s="4" t="inlineStr">
        <is>
          <t>Invitation, not award</t>
        </is>
      </c>
      <c r="F41" s="4" t="inlineStr">
        <is>
          <t>GOC Bed Unit-Costing Model v2 — working original.xlsx</t>
        </is>
      </c>
    </row>
    <row r="42" ht="60" customHeight="1">
      <c r="A42" s="4" t="inlineStr">
        <is>
          <t>original:Start here!D11</t>
        </is>
      </c>
      <c r="B42" s="4" t="inlineStr">
        <is>
          <t>Start here</t>
        </is>
      </c>
      <c r="C42" s="4" t="inlineStr">
        <is>
          <t>D11</t>
        </is>
      </c>
      <c r="D42" s="4" t="inlineStr">
        <is>
          <t>$300k over three equal years; $100k in this phase. Board expected late November.</t>
        </is>
      </c>
      <c r="E42" s="4" t="inlineStr">
        <is>
          <t>$300k over three equal years; $100k in this phase. Board expected late November.</t>
        </is>
      </c>
      <c r="F42" s="4" t="inlineStr">
        <is>
          <t>GOC Bed Unit-Costing Model v2 — working original.xlsx</t>
        </is>
      </c>
    </row>
    <row r="43" ht="40" customHeight="1">
      <c r="A43" s="4" t="inlineStr">
        <is>
          <t>original:Start here!E11</t>
        </is>
      </c>
      <c r="B43" s="4" t="inlineStr">
        <is>
          <t>Start here</t>
        </is>
      </c>
      <c r="C43" s="4" t="inlineStr">
        <is>
          <t>E11</t>
        </is>
      </c>
      <c r="D43" s="4" t="inlineStr">
        <is>
          <t>Funding</t>
        </is>
      </c>
      <c r="E43" s="4" t="inlineStr">
        <is>
          <t>Funding</t>
        </is>
      </c>
      <c r="F43" s="4" t="inlineStr">
        <is>
          <t>GOC Bed Unit-Costing Model v2 — working original.xlsx</t>
        </is>
      </c>
    </row>
    <row r="44" ht="40" customHeight="1">
      <c r="A44" s="4" t="inlineStr">
        <is>
          <t>original:Start here!A12</t>
        </is>
      </c>
      <c r="B44" s="4" t="inlineStr">
        <is>
          <t>Start here</t>
        </is>
      </c>
      <c r="C44" s="4" t="inlineStr">
        <is>
          <t>A12</t>
        </is>
      </c>
      <c r="D44" s="4" t="inlineStr">
        <is>
          <t>Brian M. Davis year-one amount</t>
        </is>
      </c>
      <c r="E44" s="4" t="inlineStr">
        <is>
          <t>Brian M. Davis year-one amount</t>
        </is>
      </c>
      <c r="F44" s="4" t="inlineStr">
        <is>
          <t>GOC Bed Unit-Costing Model v2 — working original.xlsx</t>
        </is>
      </c>
    </row>
    <row r="45" ht="40" customHeight="1">
      <c r="A45" s="4" t="inlineStr">
        <is>
          <t>original:Start here!B12</t>
        </is>
      </c>
      <c r="B45" s="4" t="inlineStr">
        <is>
          <t>Start here</t>
        </is>
      </c>
      <c r="C45" s="4" t="inlineStr">
        <is>
          <t>B12</t>
        </is>
      </c>
      <c r="D45" s="4" t="inlineStr">
        <is>
          <t>=Funding!D8</t>
        </is>
      </c>
      <c r="E45" s="4" t="n">
        <v>100000</v>
      </c>
      <c r="F45" s="4" t="inlineStr">
        <is>
          <t>GOC Bed Unit-Costing Model v2 — working original.xlsx</t>
        </is>
      </c>
    </row>
    <row r="46" ht="40" customHeight="1">
      <c r="A46" s="4" t="inlineStr">
        <is>
          <t>original:Start here!C12</t>
        </is>
      </c>
      <c r="B46" s="4" t="inlineStr">
        <is>
          <t>Start here</t>
        </is>
      </c>
      <c r="C46" s="4" t="inlineStr">
        <is>
          <t>C12</t>
        </is>
      </c>
      <c r="D46" s="4" t="inlineStr">
        <is>
          <t>Invitation, conditional</t>
        </is>
      </c>
      <c r="E46" s="4" t="inlineStr">
        <is>
          <t>Invitation, conditional</t>
        </is>
      </c>
      <c r="F46" s="4" t="inlineStr">
        <is>
          <t>GOC Bed Unit-Costing Model v2 — working original.xlsx</t>
        </is>
      </c>
    </row>
    <row r="47" ht="60" customHeight="1">
      <c r="A47" s="4" t="inlineStr">
        <is>
          <t>original:Start here!D12</t>
        </is>
      </c>
      <c r="B47" s="4" t="inlineStr">
        <is>
          <t>Start here</t>
        </is>
      </c>
      <c r="C47" s="4" t="inlineStr">
        <is>
          <t>D12</t>
        </is>
      </c>
      <c r="D47" s="4" t="inlineStr">
        <is>
          <t>Up to $100k. Confirm full project funding before payment; board 19 November.</t>
        </is>
      </c>
      <c r="E47" s="4" t="inlineStr">
        <is>
          <t>Up to $100k. Confirm full project funding before payment; board 19 November.</t>
        </is>
      </c>
      <c r="F47" s="4" t="inlineStr">
        <is>
          <t>GOC Bed Unit-Costing Model v2 — working original.xlsx</t>
        </is>
      </c>
    </row>
    <row r="48" ht="40" customHeight="1">
      <c r="A48" s="4" t="inlineStr">
        <is>
          <t>original:Start here!E12</t>
        </is>
      </c>
      <c r="B48" s="4" t="inlineStr">
        <is>
          <t>Start here</t>
        </is>
      </c>
      <c r="C48" s="4" t="inlineStr">
        <is>
          <t>E12</t>
        </is>
      </c>
      <c r="D48" s="4" t="inlineStr">
        <is>
          <t>Funding</t>
        </is>
      </c>
      <c r="E48" s="4" t="inlineStr">
        <is>
          <t>Funding</t>
        </is>
      </c>
      <c r="F48" s="4" t="inlineStr">
        <is>
          <t>GOC Bed Unit-Costing Model v2 — working original.xlsx</t>
        </is>
      </c>
    </row>
    <row r="49" ht="40" customHeight="1">
      <c r="A49" s="4" t="inlineStr">
        <is>
          <t>original:Start here!A13</t>
        </is>
      </c>
      <c r="B49" s="4" t="inlineStr">
        <is>
          <t>Start here</t>
        </is>
      </c>
      <c r="C49" s="4" t="inlineStr">
        <is>
          <t>A13</t>
        </is>
      </c>
      <c r="D49" s="4" t="inlineStr">
        <is>
          <t>Confirmed usable funding entered</t>
        </is>
      </c>
      <c r="E49" s="4" t="inlineStr">
        <is>
          <t>Confirmed usable funding entered</t>
        </is>
      </c>
      <c r="F49" s="4" t="inlineStr">
        <is>
          <t>GOC Bed Unit-Costing Model v2 — working original.xlsx</t>
        </is>
      </c>
    </row>
    <row r="50" ht="40" customHeight="1">
      <c r="A50" s="4" t="inlineStr">
        <is>
          <t>original:Start here!B13</t>
        </is>
      </c>
      <c r="B50" s="4" t="inlineStr">
        <is>
          <t>Start here</t>
        </is>
      </c>
      <c r="C50" s="4" t="inlineStr">
        <is>
          <t>B13</t>
        </is>
      </c>
      <c r="D50" s="4" t="inlineStr">
        <is>
          <t>=Overview!B22</t>
        </is>
      </c>
      <c r="E50" s="4" t="n">
        <v>0</v>
      </c>
      <c r="F50" s="4" t="inlineStr">
        <is>
          <t>GOC Bed Unit-Costing Model v2 — working original.xlsx</t>
        </is>
      </c>
    </row>
    <row r="51" ht="40" customHeight="1">
      <c r="A51" s="4" t="inlineStr">
        <is>
          <t>original:Start here!C13</t>
        </is>
      </c>
      <c r="B51" s="4" t="inlineStr">
        <is>
          <t>Start here</t>
        </is>
      </c>
      <c r="C51" s="4" t="inlineStr">
        <is>
          <t>C13</t>
        </is>
      </c>
      <c r="D51" s="4" t="inlineStr">
        <is>
          <t>No confirmed usable receipts entered</t>
        </is>
      </c>
      <c r="E51" s="4" t="inlineStr">
        <is>
          <t>No confirmed usable receipts entered</t>
        </is>
      </c>
      <c r="F51" s="4" t="inlineStr">
        <is>
          <t>GOC Bed Unit-Costing Model v2 — working original.xlsx</t>
        </is>
      </c>
    </row>
    <row r="52" ht="60" customHeight="1">
      <c r="A52" s="4" t="inlineStr">
        <is>
          <t>original:Start here!D13</t>
        </is>
      </c>
      <c r="B52" s="4" t="inlineStr">
        <is>
          <t>Start here</t>
        </is>
      </c>
      <c r="C52" s="4" t="inlineStr">
        <is>
          <t>D13</t>
        </is>
      </c>
      <c r="D52" s="4" t="inlineStr">
        <is>
          <t>Record signed amounts, permitted uses and actual payment dates separately from asks.</t>
        </is>
      </c>
      <c r="E52" s="4" t="inlineStr">
        <is>
          <t>Record signed amounts, permitted uses and actual payment dates separately from asks.</t>
        </is>
      </c>
      <c r="F52" s="4" t="inlineStr">
        <is>
          <t>GOC Bed Unit-Costing Model v2 — working original.xlsx</t>
        </is>
      </c>
    </row>
    <row r="53" ht="40" customHeight="1">
      <c r="A53" s="4" t="inlineStr">
        <is>
          <t>original:Start here!E13</t>
        </is>
      </c>
      <c r="B53" s="4" t="inlineStr">
        <is>
          <t>Start here</t>
        </is>
      </c>
      <c r="C53" s="4" t="inlineStr">
        <is>
          <t>E13</t>
        </is>
      </c>
      <c r="D53" s="4" t="inlineStr">
        <is>
          <t>Funding</t>
        </is>
      </c>
      <c r="E53" s="4" t="inlineStr">
        <is>
          <t>Funding</t>
        </is>
      </c>
      <c r="F53" s="4" t="inlineStr">
        <is>
          <t>GOC Bed Unit-Costing Model v2 — working original.xlsx</t>
        </is>
      </c>
    </row>
    <row r="54" ht="40" customHeight="1">
      <c r="A54" s="4" t="inlineStr">
        <is>
          <t>original:Start here!A14</t>
        </is>
      </c>
      <c r="B54" s="4" t="inlineStr">
        <is>
          <t>Start here</t>
        </is>
      </c>
      <c r="C54" s="4" t="inlineStr">
        <is>
          <t>A14</t>
        </is>
      </c>
      <c r="D54" s="4" t="inlineStr">
        <is>
          <t>QBE selected request</t>
        </is>
      </c>
      <c r="E54" s="4" t="inlineStr">
        <is>
          <t>QBE selected request</t>
        </is>
      </c>
      <c r="F54" s="4" t="inlineStr">
        <is>
          <t>GOC Bed Unit-Costing Model v2 — working original.xlsx</t>
        </is>
      </c>
    </row>
    <row r="55" ht="40" customHeight="1">
      <c r="A55" s="4" t="inlineStr">
        <is>
          <t>original:Start here!B14</t>
        </is>
      </c>
      <c r="B55" s="4" t="inlineStr">
        <is>
          <t>Start here</t>
        </is>
      </c>
      <c r="C55" s="4" t="inlineStr">
        <is>
          <t>B14</t>
        </is>
      </c>
      <c r="D55" s="4" t="inlineStr">
        <is>
          <t>=Overview!B5</t>
        </is>
      </c>
      <c r="E55" s="4" t="n">
        <v>250000</v>
      </c>
      <c r="F55" s="4" t="inlineStr">
        <is>
          <t>GOC Bed Unit-Costing Model v2 — working original.xlsx</t>
        </is>
      </c>
    </row>
    <row r="56" ht="40" customHeight="1">
      <c r="A56" s="4" t="inlineStr">
        <is>
          <t>original:Start here!C14</t>
        </is>
      </c>
      <c r="B56" s="4" t="inlineStr">
        <is>
          <t>Start here</t>
        </is>
      </c>
      <c r="C56" s="4" t="inlineStr">
        <is>
          <t>C14</t>
        </is>
      </c>
      <c r="D56" s="4" t="inlineStr">
        <is>
          <t>Illustration, final ask open</t>
        </is>
      </c>
      <c r="E56" s="4" t="inlineStr">
        <is>
          <t>Illustration, final ask open</t>
        </is>
      </c>
      <c r="F56" s="4" t="inlineStr">
        <is>
          <t>GOC Bed Unit-Costing Model v2 — working original.xlsx</t>
        </is>
      </c>
    </row>
    <row r="57" ht="75" customHeight="1">
      <c r="A57" s="4" t="inlineStr">
        <is>
          <t>original:Start here!D14</t>
        </is>
      </c>
      <c r="B57" s="4" t="inlineStr">
        <is>
          <t>Start here</t>
        </is>
      </c>
      <c r="C57" s="4" t="inlineStr">
        <is>
          <t>D14</t>
        </is>
      </c>
      <c r="D57" s="4" t="inlineStr">
        <is>
          <t>Name the cost lines and extra output or earlier delivery funded. Catalytic funding, no automatic doubling.</t>
        </is>
      </c>
      <c r="E57" s="4" t="inlineStr">
        <is>
          <t>Name the cost lines and extra output or earlier delivery funded. Catalytic funding, no automatic doubling.</t>
        </is>
      </c>
      <c r="F57" s="4" t="inlineStr">
        <is>
          <t>GOC Bed Unit-Costing Model v2 — working original.xlsx</t>
        </is>
      </c>
    </row>
    <row r="58" ht="40" customHeight="1">
      <c r="A58" s="4" t="inlineStr">
        <is>
          <t>original:Start here!E14</t>
        </is>
      </c>
      <c r="B58" s="4" t="inlineStr">
        <is>
          <t>Start here</t>
        </is>
      </c>
      <c r="C58" s="4" t="inlineStr">
        <is>
          <t>E14</t>
        </is>
      </c>
      <c r="D58" s="4" t="inlineStr">
        <is>
          <t>Overview</t>
        </is>
      </c>
      <c r="E58" s="4" t="inlineStr">
        <is>
          <t>Overview</t>
        </is>
      </c>
      <c r="F58" s="4" t="inlineStr">
        <is>
          <t>GOC Bed Unit-Costing Model v2 — working original.xlsx</t>
        </is>
      </c>
    </row>
    <row r="59" ht="40" customHeight="1">
      <c r="A59" s="4" t="inlineStr">
        <is>
          <t>original:Start here!A15</t>
        </is>
      </c>
      <c r="B59" s="4" t="inlineStr">
        <is>
          <t>Start here</t>
        </is>
      </c>
      <c r="C59" s="4" t="inlineStr">
        <is>
          <t>A15</t>
        </is>
      </c>
      <c r="D59" s="4" t="inlineStr">
        <is>
          <t>Warm prospects selected</t>
        </is>
      </c>
      <c r="E59" s="4" t="inlineStr">
        <is>
          <t>Warm prospects selected</t>
        </is>
      </c>
      <c r="F59" s="4" t="inlineStr">
        <is>
          <t>GOC Bed Unit-Costing Model v2 — working original.xlsx</t>
        </is>
      </c>
    </row>
    <row r="60" ht="40" customHeight="1">
      <c r="A60" s="4" t="inlineStr">
        <is>
          <t>original:Start here!B15</t>
        </is>
      </c>
      <c r="B60" s="4" t="inlineStr">
        <is>
          <t>Start here</t>
        </is>
      </c>
      <c r="C60" s="4" t="inlineStr">
        <is>
          <t>B15</t>
        </is>
      </c>
      <c r="D60" s="4" t="inlineStr">
        <is>
          <t>=Funding!D9</t>
        </is>
      </c>
      <c r="E60" s="4" t="n">
        <v>0</v>
      </c>
      <c r="F60" s="4" t="inlineStr">
        <is>
          <t>GOC Bed Unit-Costing Model v2 — working original.xlsx</t>
        </is>
      </c>
    </row>
    <row r="61" ht="40" customHeight="1">
      <c r="A61" s="4" t="inlineStr">
        <is>
          <t>original:Start here!C15</t>
        </is>
      </c>
      <c r="B61" s="4" t="inlineStr">
        <is>
          <t>Start here</t>
        </is>
      </c>
      <c r="C61" s="4" t="inlineStr">
        <is>
          <t>C15</t>
        </is>
      </c>
      <c r="D61" s="4" t="inlineStr">
        <is>
          <t>Unawarded</t>
        </is>
      </c>
      <c r="E61" s="4" t="inlineStr">
        <is>
          <t>Unawarded</t>
        </is>
      </c>
      <c r="F61" s="4" t="inlineStr">
        <is>
          <t>GOC Bed Unit-Costing Model v2 — working original.xlsx</t>
        </is>
      </c>
    </row>
    <row r="62" ht="75" customHeight="1">
      <c r="A62" s="4" t="inlineStr">
        <is>
          <t>original:Start here!D15</t>
        </is>
      </c>
      <c r="B62" s="4" t="inlineStr">
        <is>
          <t>Start here</t>
        </is>
      </c>
      <c r="C62" s="4" t="inlineStr">
        <is>
          <t>D15</t>
        </is>
      </c>
      <c r="D62" s="4" t="inlineStr">
        <is>
          <t>Minderoo $100k and Snow $150k are current asks; Dusseldorp amount open. Select only to test a scenario.</t>
        </is>
      </c>
      <c r="E62" s="4" t="inlineStr">
        <is>
          <t>Minderoo $100k and Snow $150k are current asks; Dusseldorp amount open. Select only to test a scenario.</t>
        </is>
      </c>
      <c r="F62" s="4" t="inlineStr">
        <is>
          <t>GOC Bed Unit-Costing Model v2 — working original.xlsx</t>
        </is>
      </c>
    </row>
    <row r="63" ht="40" customHeight="1">
      <c r="A63" s="4" t="inlineStr">
        <is>
          <t>original:Start here!E15</t>
        </is>
      </c>
      <c r="B63" s="4" t="inlineStr">
        <is>
          <t>Start here</t>
        </is>
      </c>
      <c r="C63" s="4" t="inlineStr">
        <is>
          <t>E15</t>
        </is>
      </c>
      <c r="D63" s="4" t="inlineStr">
        <is>
          <t>Warm foundations</t>
        </is>
      </c>
      <c r="E63" s="4" t="inlineStr">
        <is>
          <t>Warm foundations</t>
        </is>
      </c>
      <c r="F63" s="4" t="inlineStr">
        <is>
          <t>GOC Bed Unit-Costing Model v2 — working original.xlsx</t>
        </is>
      </c>
    </row>
    <row r="64" ht="40" customHeight="1">
      <c r="A64" s="4" t="inlineStr">
        <is>
          <t>original:Start here!A16</t>
        </is>
      </c>
      <c r="B64" s="4" t="inlineStr">
        <is>
          <t>Start here</t>
        </is>
      </c>
      <c r="C64" s="4" t="inlineStr">
        <is>
          <t>A16</t>
        </is>
      </c>
      <c r="D64" s="4" t="inlineStr">
        <is>
          <t>Lowest projected cash</t>
        </is>
      </c>
      <c r="E64" s="4" t="inlineStr">
        <is>
          <t>Lowest projected cash</t>
        </is>
      </c>
      <c r="F64" s="4" t="inlineStr">
        <is>
          <t>GOC Bed Unit-Costing Model v2 — working original.xlsx</t>
        </is>
      </c>
    </row>
    <row r="65" ht="40" customHeight="1">
      <c r="A65" s="4" t="inlineStr">
        <is>
          <t>original:Start here!B16</t>
        </is>
      </c>
      <c r="B65" s="4" t="inlineStr">
        <is>
          <t>Start here</t>
        </is>
      </c>
      <c r="C65" s="4" t="inlineStr">
        <is>
          <t>B16</t>
        </is>
      </c>
      <c r="D65" s="4" t="inlineStr">
        <is>
          <t>=Overview!B21</t>
        </is>
      </c>
      <c r="E65" s="4" t="n">
        <v>-177583.5</v>
      </c>
      <c r="F65" s="4" t="inlineStr">
        <is>
          <t>GOC Bed Unit-Costing Model v2 — working original.xlsx</t>
        </is>
      </c>
    </row>
    <row r="66" ht="40" customHeight="1">
      <c r="A66" s="4" t="inlineStr">
        <is>
          <t>original:Start here!C16</t>
        </is>
      </c>
      <c r="B66" s="4" t="inlineStr">
        <is>
          <t>Start here</t>
        </is>
      </c>
      <c r="C66" s="4" t="inlineStr">
        <is>
          <t>C16</t>
        </is>
      </c>
      <c r="D66" s="4" t="inlineStr">
        <is>
          <t>Scenario on priced costs only</t>
        </is>
      </c>
      <c r="E66" s="4" t="inlineStr">
        <is>
          <t>Scenario on priced costs only</t>
        </is>
      </c>
      <c r="F66" s="4" t="inlineStr">
        <is>
          <t>GOC Bed Unit-Costing Model v2 — working original.xlsx</t>
        </is>
      </c>
    </row>
    <row r="67" ht="75" customHeight="1">
      <c r="A67" s="4" t="inlineStr">
        <is>
          <t>original:Start here!D16</t>
        </is>
      </c>
      <c r="B67" s="4" t="inlineStr">
        <is>
          <t>Start here</t>
        </is>
      </c>
      <c r="C67" s="4" t="inlineStr">
        <is>
          <t>D16</t>
        </is>
      </c>
      <c r="D67" s="4" t="inlineStr">
        <is>
          <t>Resolve timing or scope before committing cash. BMD is withheld until its condition switch is met.</t>
        </is>
      </c>
      <c r="E67" s="4" t="inlineStr">
        <is>
          <t>Resolve timing or scope before committing cash. BMD is withheld until its condition switch is met.</t>
        </is>
      </c>
      <c r="F67" s="4" t="inlineStr">
        <is>
          <t>GOC Bed Unit-Costing Model v2 — working original.xlsx</t>
        </is>
      </c>
    </row>
    <row r="68" ht="40" customHeight="1">
      <c r="A68" s="4" t="inlineStr">
        <is>
          <t>original:Start here!E16</t>
        </is>
      </c>
      <c r="B68" s="4" t="inlineStr">
        <is>
          <t>Start here</t>
        </is>
      </c>
      <c r="C68" s="4" t="inlineStr">
        <is>
          <t>E16</t>
        </is>
      </c>
      <c r="D68" s="4" t="inlineStr">
        <is>
          <t>Cash flow</t>
        </is>
      </c>
      <c r="E68" s="4" t="inlineStr">
        <is>
          <t>Cash flow</t>
        </is>
      </c>
      <c r="F68" s="4" t="inlineStr">
        <is>
          <t>GOC Bed Unit-Costing Model v2 — working original.xlsx</t>
        </is>
      </c>
    </row>
    <row r="69" ht="40" customHeight="1">
      <c r="A69" s="4" t="inlineStr">
        <is>
          <t>original:Start here!A17</t>
        </is>
      </c>
      <c r="B69" s="4" t="inlineStr">
        <is>
          <t>Start here</t>
        </is>
      </c>
      <c r="C69" s="4" t="inlineStr">
        <is>
          <t>A17</t>
        </is>
      </c>
      <c r="D69" s="4" t="inlineStr">
        <is>
          <t>Buyer deliveries</t>
        </is>
      </c>
      <c r="E69" s="4" t="inlineStr">
        <is>
          <t>Buyer deliveries</t>
        </is>
      </c>
      <c r="F69" s="4" t="inlineStr">
        <is>
          <t>GOC Bed Unit-Costing Model v2 — working original.xlsx</t>
        </is>
      </c>
    </row>
    <row r="70" ht="40" customHeight="1">
      <c r="A70" s="4" t="inlineStr">
        <is>
          <t>original:Start here!B17</t>
        </is>
      </c>
      <c r="B70" s="4" t="inlineStr">
        <is>
          <t>Start here</t>
        </is>
      </c>
      <c r="C70" s="4" t="inlineStr">
        <is>
          <t>B17</t>
        </is>
      </c>
      <c r="D70" s="4" t="inlineStr">
        <is>
          <t>=Overview!B20</t>
        </is>
      </c>
      <c r="E70" s="4" t="n">
        <v>0</v>
      </c>
      <c r="F70" s="4" t="inlineStr">
        <is>
          <t>GOC Bed Unit-Costing Model v2 — working original.xlsx</t>
        </is>
      </c>
    </row>
    <row r="71" ht="40" customHeight="1">
      <c r="A71" s="4" t="inlineStr">
        <is>
          <t>original:Start here!C17</t>
        </is>
      </c>
      <c r="B71" s="4" t="inlineStr">
        <is>
          <t>Start here</t>
        </is>
      </c>
      <c r="C71" s="4" t="inlineStr">
        <is>
          <t>C17</t>
        </is>
      </c>
      <c r="D71" s="4" t="inlineStr">
        <is>
          <t>Zero in current grant-delivery scenario</t>
        </is>
      </c>
      <c r="E71" s="4" t="inlineStr">
        <is>
          <t>Zero in current grant-delivery scenario</t>
        </is>
      </c>
      <c r="F71" s="4" t="inlineStr">
        <is>
          <t>GOC Bed Unit-Costing Model v2 — working original.xlsx</t>
        </is>
      </c>
    </row>
    <row r="72" ht="75" customHeight="1">
      <c r="A72" s="4" t="inlineStr">
        <is>
          <t>original:Start here!D17</t>
        </is>
      </c>
      <c r="B72" s="4" t="inlineStr">
        <is>
          <t>Start here</t>
        </is>
      </c>
      <c r="C72" s="4" t="inlineStr">
        <is>
          <t>D17</t>
        </is>
      </c>
      <c r="D72" s="4" t="inlineStr">
        <is>
          <t>Add only distinct paid-order quantities; reduce grant allocation if redirecting the same beds.</t>
        </is>
      </c>
      <c r="E72" s="4" t="inlineStr">
        <is>
          <t>Add only distinct paid-order quantities; reduce grant allocation if redirecting the same beds.</t>
        </is>
      </c>
      <c r="F72" s="4" t="inlineStr">
        <is>
          <t>GOC Bed Unit-Costing Model v2 — working original.xlsx</t>
        </is>
      </c>
    </row>
    <row r="73" ht="40" customHeight="1">
      <c r="A73" s="4" t="inlineStr">
        <is>
          <t>original:Start here!E17</t>
        </is>
      </c>
      <c r="B73" s="4" t="inlineStr">
        <is>
          <t>Start here</t>
        </is>
      </c>
      <c r="C73" s="4" t="inlineStr">
        <is>
          <t>E17</t>
        </is>
      </c>
      <c r="D73" s="4" t="inlineStr">
        <is>
          <t>Production</t>
        </is>
      </c>
      <c r="E73" s="4" t="inlineStr">
        <is>
          <t>Production</t>
        </is>
      </c>
      <c r="F73" s="4" t="inlineStr">
        <is>
          <t>GOC Bed Unit-Costing Model v2 — working original.xlsx</t>
        </is>
      </c>
    </row>
    <row r="74" ht="40" customHeight="1">
      <c r="A74" s="4" t="inlineStr">
        <is>
          <t>original:Start here!A18</t>
        </is>
      </c>
      <c r="B74" s="4" t="inlineStr">
        <is>
          <t>Start here</t>
        </is>
      </c>
      <c r="C74" s="4" t="inlineStr">
        <is>
          <t>A18</t>
        </is>
      </c>
      <c r="D74" s="4" t="inlineStr">
        <is>
          <t>Sales and community ownership</t>
        </is>
      </c>
      <c r="E74" s="4" t="inlineStr">
        <is>
          <t>Sales and community ownership</t>
        </is>
      </c>
      <c r="F74" s="4" t="inlineStr">
        <is>
          <t>GOC Bed Unit-Costing Model v2 — working original.xlsx</t>
        </is>
      </c>
    </row>
    <row r="75" ht="40" customHeight="1">
      <c r="A75" s="4" t="inlineStr">
        <is>
          <t>original:Start here!B18</t>
        </is>
      </c>
      <c r="B75" s="4" t="inlineStr">
        <is>
          <t>Start here</t>
        </is>
      </c>
      <c r="C75" s="4" t="inlineStr">
        <is>
          <t>B18</t>
        </is>
      </c>
      <c r="D75" s="4" t="inlineStr">
        <is>
          <t>Pathway to agree</t>
        </is>
      </c>
      <c r="E75" s="4" t="inlineStr">
        <is>
          <t>Pathway to agree</t>
        </is>
      </c>
      <c r="F75" s="4" t="inlineStr">
        <is>
          <t>GOC Bed Unit-Costing Model v2 — working original.xlsx</t>
        </is>
      </c>
    </row>
    <row r="76" ht="45" customHeight="1">
      <c r="A76" s="4" t="inlineStr">
        <is>
          <t>original:Start here!C18</t>
        </is>
      </c>
      <c r="B76" s="4" t="inlineStr">
        <is>
          <t>Start here</t>
        </is>
      </c>
      <c r="C76" s="4" t="inlineStr">
        <is>
          <t>C18</t>
        </is>
      </c>
      <c r="D76" s="4" t="inlineStr">
        <is>
          <t>No automatic resale right or ownership transfer</t>
        </is>
      </c>
      <c r="E76" s="4" t="inlineStr">
        <is>
          <t>No automatic resale right or ownership transfer</t>
        </is>
      </c>
      <c r="F76" s="4" t="inlineStr">
        <is>
          <t>GOC Bed Unit-Costing Model v2 — working original.xlsx</t>
        </is>
      </c>
    </row>
    <row r="77" ht="75" customHeight="1">
      <c r="A77" s="4" t="inlineStr">
        <is>
          <t>original:Start here!D18</t>
        </is>
      </c>
      <c r="B77" s="4" t="inlineStr">
        <is>
          <t>Start here</t>
        </is>
      </c>
      <c r="C77" s="4" t="inlineStr">
        <is>
          <t>D18</t>
        </is>
      </c>
      <c r="D77" s="4" t="inlineStr">
        <is>
          <t>Agree who owns stock, who sells, wages, warranty, proceeds and community-approved reinvestment.</t>
        </is>
      </c>
      <c r="E77" s="4" t="inlineStr">
        <is>
          <t>Agree who owns stock, who sells, wages, warranty, proceeds and community-approved reinvestment.</t>
        </is>
      </c>
      <c r="F77" s="4" t="inlineStr">
        <is>
          <t>GOC Bed Unit-Costing Model v2 — working original.xlsx</t>
        </is>
      </c>
    </row>
    <row r="78" ht="40" customHeight="1">
      <c r="A78" s="4" t="inlineStr">
        <is>
          <t>original:Start here!E18</t>
        </is>
      </c>
      <c r="B78" s="4" t="inlineStr">
        <is>
          <t>Start here</t>
        </is>
      </c>
      <c r="C78" s="4" t="inlineStr">
        <is>
          <t>E18</t>
        </is>
      </c>
      <c r="D78" s="4" t="inlineStr">
        <is>
          <t>Community sales</t>
        </is>
      </c>
      <c r="E78" s="4" t="inlineStr">
        <is>
          <t>Community sales</t>
        </is>
      </c>
      <c r="F78" s="4" t="inlineStr">
        <is>
          <t>GOC Bed Unit-Costing Model v2 — working original.xlsx</t>
        </is>
      </c>
    </row>
    <row r="79" ht="75" customHeight="1">
      <c r="A79" s="4" t="inlineStr">
        <is>
          <t>original:Start here!A21</t>
        </is>
      </c>
      <c r="B79" s="4" t="inlineStr">
        <is>
          <t>Start here</t>
        </is>
      </c>
      <c r="C79" s="4" t="inlineStr">
        <is>
          <t>A21</t>
        </is>
      </c>
      <c r="D79" s="4" t="inlineStr">
        <is>
          <t>Compare the same 400-bed scope first; a smaller funded scope needs its own production and cost decisions.</t>
        </is>
      </c>
      <c r="E79" s="4" t="inlineStr">
        <is>
          <t>Compare the same 400-bed scope first; a smaller funded scope needs its own production and cost decisions.</t>
        </is>
      </c>
      <c r="F79" s="4" t="inlineStr">
        <is>
          <t>GOC Bed Unit-Costing Model v2 — working original.xlsx</t>
        </is>
      </c>
    </row>
    <row r="80" ht="40" customHeight="1">
      <c r="A80" s="4" t="inlineStr">
        <is>
          <t>original:Start here!A23</t>
        </is>
      </c>
      <c r="B80" s="4" t="inlineStr">
        <is>
          <t>Start here</t>
        </is>
      </c>
      <c r="C80" s="4" t="inlineStr">
        <is>
          <t>A23</t>
        </is>
      </c>
      <c r="D80" s="4" t="inlineStr">
        <is>
          <t>QBE scenario</t>
        </is>
      </c>
      <c r="E80" s="4" t="inlineStr">
        <is>
          <t>QBE scenario</t>
        </is>
      </c>
      <c r="F80" s="4" t="inlineStr">
        <is>
          <t>GOC Bed Unit-Costing Model v2 — working original.xlsx</t>
        </is>
      </c>
    </row>
    <row r="81" ht="40" customHeight="1">
      <c r="A81" s="4" t="inlineStr">
        <is>
          <t>original:Start here!B23</t>
        </is>
      </c>
      <c r="B81" s="4" t="inlineStr">
        <is>
          <t>Start here</t>
        </is>
      </c>
      <c r="C81" s="4" t="inlineStr">
        <is>
          <t>B23</t>
        </is>
      </c>
      <c r="D81" s="4" t="inlineStr">
        <is>
          <t>External if both pay</t>
        </is>
      </c>
      <c r="E81" s="4" t="inlineStr">
        <is>
          <t>External if both pay</t>
        </is>
      </c>
      <c r="F81" s="4" t="inlineStr">
        <is>
          <t>GOC Bed Unit-Costing Model v2 — working original.xlsx</t>
        </is>
      </c>
    </row>
    <row r="82" ht="40" customHeight="1">
      <c r="A82" s="4" t="inlineStr">
        <is>
          <t>original:Start here!C23</t>
        </is>
      </c>
      <c r="B82" s="4" t="inlineStr">
        <is>
          <t>Start here</t>
        </is>
      </c>
      <c r="C82" s="4" t="inlineStr">
        <is>
          <t>C23</t>
        </is>
      </c>
      <c r="D82" s="4" t="inlineStr">
        <is>
          <t>Combined funding</t>
        </is>
      </c>
      <c r="E82" s="4" t="inlineStr">
        <is>
          <t>Combined funding</t>
        </is>
      </c>
      <c r="F82" s="4" t="inlineStr">
        <is>
          <t>GOC Bed Unit-Costing Model v2 — working original.xlsx</t>
        </is>
      </c>
    </row>
    <row r="83" ht="40" customHeight="1">
      <c r="A83" s="4" t="inlineStr">
        <is>
          <t>original:Start here!D23</t>
        </is>
      </c>
      <c r="B83" s="4" t="inlineStr">
        <is>
          <t>Start here</t>
        </is>
      </c>
      <c r="C83" s="4" t="inlineStr">
        <is>
          <t>D23</t>
        </is>
      </c>
      <c r="D83" s="4" t="inlineStr">
        <is>
          <t>Gap on priced costs</t>
        </is>
      </c>
      <c r="E83" s="4" t="inlineStr">
        <is>
          <t>Gap on priced costs</t>
        </is>
      </c>
      <c r="F83" s="4" t="inlineStr">
        <is>
          <t>GOC Bed Unit-Costing Model v2 — working original.xlsx</t>
        </is>
      </c>
    </row>
    <row r="84" ht="40" customHeight="1">
      <c r="A84" s="4" t="inlineStr">
        <is>
          <t>original:Start here!E23</t>
        </is>
      </c>
      <c r="B84" s="4" t="inlineStr">
        <is>
          <t>Start here</t>
        </is>
      </c>
      <c r="C84" s="4" t="inlineStr">
        <is>
          <t>E23</t>
        </is>
      </c>
      <c r="D84" s="4" t="inlineStr">
        <is>
          <t>Unpriced lines</t>
        </is>
      </c>
      <c r="E84" s="4" t="inlineStr">
        <is>
          <t>Unpriced lines</t>
        </is>
      </c>
      <c r="F84" s="4" t="inlineStr">
        <is>
          <t>GOC Bed Unit-Costing Model v2 — working original.xlsx</t>
        </is>
      </c>
    </row>
    <row r="85" ht="40" customHeight="1">
      <c r="A85" s="4" t="inlineStr">
        <is>
          <t>original:Start here!A24</t>
        </is>
      </c>
      <c r="B85" s="4" t="inlineStr">
        <is>
          <t>Start here</t>
        </is>
      </c>
      <c r="C85" s="4" t="inlineStr">
        <is>
          <t>A24</t>
        </is>
      </c>
      <c r="D85" s="4" t="inlineStr">
        <is>
          <t>=Overview!A27</t>
        </is>
      </c>
      <c r="E85" s="4" t="n">
        <v>0</v>
      </c>
      <c r="F85" s="4" t="inlineStr">
        <is>
          <t>GOC Bed Unit-Costing Model v2 — working original.xlsx</t>
        </is>
      </c>
    </row>
    <row r="86" ht="40" customHeight="1">
      <c r="A86" s="4" t="inlineStr">
        <is>
          <t>original:Start here!B24</t>
        </is>
      </c>
      <c r="B86" s="4" t="inlineStr">
        <is>
          <t>Start here</t>
        </is>
      </c>
      <c r="C86" s="4" t="inlineStr">
        <is>
          <t>B24</t>
        </is>
      </c>
      <c r="D86" s="4" t="inlineStr">
        <is>
          <t>=Overview!B27</t>
        </is>
      </c>
      <c r="E86" s="4" t="n">
        <v>200000</v>
      </c>
      <c r="F86" s="4" t="inlineStr">
        <is>
          <t>GOC Bed Unit-Costing Model v2 — working original.xlsx</t>
        </is>
      </c>
    </row>
    <row r="87" ht="40" customHeight="1">
      <c r="A87" s="4" t="inlineStr">
        <is>
          <t>original:Start here!C24</t>
        </is>
      </c>
      <c r="B87" s="4" t="inlineStr">
        <is>
          <t>Start here</t>
        </is>
      </c>
      <c r="C87" s="4" t="inlineStr">
        <is>
          <t>C24</t>
        </is>
      </c>
      <c r="D87" s="4" t="inlineStr">
        <is>
          <t>=Overview!C27</t>
        </is>
      </c>
      <c r="E87" s="4" t="n">
        <v>200000</v>
      </c>
      <c r="F87" s="4" t="inlineStr">
        <is>
          <t>GOC Bed Unit-Costing Model v2 — working original.xlsx</t>
        </is>
      </c>
    </row>
    <row r="88" ht="40" customHeight="1">
      <c r="A88" s="4" t="inlineStr">
        <is>
          <t>original:Start here!D24</t>
        </is>
      </c>
      <c r="B88" s="4" t="inlineStr">
        <is>
          <t>Start here</t>
        </is>
      </c>
      <c r="C88" s="4" t="inlineStr">
        <is>
          <t>D24</t>
        </is>
      </c>
      <c r="D88" s="4" t="inlineStr">
        <is>
          <t>=Overview!E27</t>
        </is>
      </c>
      <c r="E88" s="4" t="n">
        <v>327583.5</v>
      </c>
      <c r="F88" s="4" t="inlineStr">
        <is>
          <t>GOC Bed Unit-Costing Model v2 — working original.xlsx</t>
        </is>
      </c>
    </row>
    <row r="89" ht="40" customHeight="1">
      <c r="A89" s="4" t="inlineStr">
        <is>
          <t>original:Start here!E24</t>
        </is>
      </c>
      <c r="B89" s="4" t="inlineStr">
        <is>
          <t>Start here</t>
        </is>
      </c>
      <c r="C89" s="4" t="inlineStr">
        <is>
          <t>E24</t>
        </is>
      </c>
      <c r="D89" s="4" t="inlineStr">
        <is>
          <t>=Overview!F27</t>
        </is>
      </c>
      <c r="E89" s="4" t="n">
        <v>12</v>
      </c>
      <c r="F89" s="4" t="inlineStr">
        <is>
          <t>GOC Bed Unit-Costing Model v2 — working original.xlsx</t>
        </is>
      </c>
    </row>
    <row r="90" ht="40" customHeight="1">
      <c r="A90" s="4" t="inlineStr">
        <is>
          <t>original:Start here!A25</t>
        </is>
      </c>
      <c r="B90" s="4" t="inlineStr">
        <is>
          <t>Start here</t>
        </is>
      </c>
      <c r="C90" s="4" t="inlineStr">
        <is>
          <t>A25</t>
        </is>
      </c>
      <c r="D90" s="4" t="inlineStr">
        <is>
          <t>=Overview!A28</t>
        </is>
      </c>
      <c r="E90" s="4" t="n">
        <v>100000</v>
      </c>
      <c r="F90" s="4" t="inlineStr">
        <is>
          <t>GOC Bed Unit-Costing Model v2 — working original.xlsx</t>
        </is>
      </c>
    </row>
    <row r="91" ht="40" customHeight="1">
      <c r="A91" s="4" t="inlineStr">
        <is>
          <t>original:Start here!B25</t>
        </is>
      </c>
      <c r="B91" s="4" t="inlineStr">
        <is>
          <t>Start here</t>
        </is>
      </c>
      <c r="C91" s="4" t="inlineStr">
        <is>
          <t>B25</t>
        </is>
      </c>
      <c r="D91" s="4" t="inlineStr">
        <is>
          <t>=Overview!B28</t>
        </is>
      </c>
      <c r="E91" s="4" t="n">
        <v>200000</v>
      </c>
      <c r="F91" s="4" t="inlineStr">
        <is>
          <t>GOC Bed Unit-Costing Model v2 — working original.xlsx</t>
        </is>
      </c>
    </row>
    <row r="92" ht="40" customHeight="1">
      <c r="A92" s="4" t="inlineStr">
        <is>
          <t>original:Start here!C25</t>
        </is>
      </c>
      <c r="B92" s="4" t="inlineStr">
        <is>
          <t>Start here</t>
        </is>
      </c>
      <c r="C92" s="4" t="inlineStr">
        <is>
          <t>C25</t>
        </is>
      </c>
      <c r="D92" s="4" t="inlineStr">
        <is>
          <t>=Overview!C28</t>
        </is>
      </c>
      <c r="E92" s="4" t="n">
        <v>300000</v>
      </c>
      <c r="F92" s="4" t="inlineStr">
        <is>
          <t>GOC Bed Unit-Costing Model v2 — working original.xlsx</t>
        </is>
      </c>
    </row>
    <row r="93" ht="40" customHeight="1">
      <c r="A93" s="4" t="inlineStr">
        <is>
          <t>original:Start here!D25</t>
        </is>
      </c>
      <c r="B93" s="4" t="inlineStr">
        <is>
          <t>Start here</t>
        </is>
      </c>
      <c r="C93" s="4" t="inlineStr">
        <is>
          <t>D25</t>
        </is>
      </c>
      <c r="D93" s="4" t="inlineStr">
        <is>
          <t>=Overview!E28</t>
        </is>
      </c>
      <c r="E93" s="4" t="n">
        <v>227583.5</v>
      </c>
      <c r="F93" s="4" t="inlineStr">
        <is>
          <t>GOC Bed Unit-Costing Model v2 — working original.xlsx</t>
        </is>
      </c>
    </row>
    <row r="94" ht="40" customHeight="1">
      <c r="A94" s="4" t="inlineStr">
        <is>
          <t>original:Start here!E25</t>
        </is>
      </c>
      <c r="B94" s="4" t="inlineStr">
        <is>
          <t>Start here</t>
        </is>
      </c>
      <c r="C94" s="4" t="inlineStr">
        <is>
          <t>E25</t>
        </is>
      </c>
      <c r="D94" s="4" t="inlineStr">
        <is>
          <t>=Overview!F28</t>
        </is>
      </c>
      <c r="E94" s="4" t="n">
        <v>12</v>
      </c>
      <c r="F94" s="4" t="inlineStr">
        <is>
          <t>GOC Bed Unit-Costing Model v2 — working original.xlsx</t>
        </is>
      </c>
    </row>
    <row r="95" ht="40" customHeight="1">
      <c r="A95" s="4" t="inlineStr">
        <is>
          <t>original:Start here!A26</t>
        </is>
      </c>
      <c r="B95" s="4" t="inlineStr">
        <is>
          <t>Start here</t>
        </is>
      </c>
      <c r="C95" s="4" t="inlineStr">
        <is>
          <t>A26</t>
        </is>
      </c>
      <c r="D95" s="4" t="inlineStr">
        <is>
          <t>=Overview!A29</t>
        </is>
      </c>
      <c r="E95" s="4" t="n">
        <v>250000</v>
      </c>
      <c r="F95" s="4" t="inlineStr">
        <is>
          <t>GOC Bed Unit-Costing Model v2 — working original.xlsx</t>
        </is>
      </c>
    </row>
    <row r="96" ht="40" customHeight="1">
      <c r="A96" s="4" t="inlineStr">
        <is>
          <t>original:Start here!B26</t>
        </is>
      </c>
      <c r="B96" s="4" t="inlineStr">
        <is>
          <t>Start here</t>
        </is>
      </c>
      <c r="C96" s="4" t="inlineStr">
        <is>
          <t>B26</t>
        </is>
      </c>
      <c r="D96" s="4" t="inlineStr">
        <is>
          <t>=Overview!B29</t>
        </is>
      </c>
      <c r="E96" s="4" t="n">
        <v>200000</v>
      </c>
      <c r="F96" s="4" t="inlineStr">
        <is>
          <t>GOC Bed Unit-Costing Model v2 — working original.xlsx</t>
        </is>
      </c>
    </row>
    <row r="97" ht="40" customHeight="1">
      <c r="A97" s="4" t="inlineStr">
        <is>
          <t>original:Start here!C26</t>
        </is>
      </c>
      <c r="B97" s="4" t="inlineStr">
        <is>
          <t>Start here</t>
        </is>
      </c>
      <c r="C97" s="4" t="inlineStr">
        <is>
          <t>C26</t>
        </is>
      </c>
      <c r="D97" s="4" t="inlineStr">
        <is>
          <t>=Overview!C29</t>
        </is>
      </c>
      <c r="E97" s="4" t="n">
        <v>450000</v>
      </c>
      <c r="F97" s="4" t="inlineStr">
        <is>
          <t>GOC Bed Unit-Costing Model v2 — working original.xlsx</t>
        </is>
      </c>
    </row>
    <row r="98" ht="40" customHeight="1">
      <c r="A98" s="4" t="inlineStr">
        <is>
          <t>original:Start here!D26</t>
        </is>
      </c>
      <c r="B98" s="4" t="inlineStr">
        <is>
          <t>Start here</t>
        </is>
      </c>
      <c r="C98" s="4" t="inlineStr">
        <is>
          <t>D26</t>
        </is>
      </c>
      <c r="D98" s="4" t="inlineStr">
        <is>
          <t>=Overview!E29</t>
        </is>
      </c>
      <c r="E98" s="4" t="n">
        <v>77583.5</v>
      </c>
      <c r="F98" s="4" t="inlineStr">
        <is>
          <t>GOC Bed Unit-Costing Model v2 — working original.xlsx</t>
        </is>
      </c>
    </row>
    <row r="99" ht="40" customHeight="1">
      <c r="A99" s="4" t="inlineStr">
        <is>
          <t>original:Start here!E26</t>
        </is>
      </c>
      <c r="B99" s="4" t="inlineStr">
        <is>
          <t>Start here</t>
        </is>
      </c>
      <c r="C99" s="4" t="inlineStr">
        <is>
          <t>E26</t>
        </is>
      </c>
      <c r="D99" s="4" t="inlineStr">
        <is>
          <t>=Overview!F29</t>
        </is>
      </c>
      <c r="E99" s="4" t="n">
        <v>12</v>
      </c>
      <c r="F99" s="4" t="inlineStr">
        <is>
          <t>GOC Bed Unit-Costing Model v2 — working original.xlsx</t>
        </is>
      </c>
    </row>
    <row r="100" ht="40" customHeight="1">
      <c r="A100" s="4" t="inlineStr">
        <is>
          <t>original:Start here!A27</t>
        </is>
      </c>
      <c r="B100" s="4" t="inlineStr">
        <is>
          <t>Start here</t>
        </is>
      </c>
      <c r="C100" s="4" t="inlineStr">
        <is>
          <t>A27</t>
        </is>
      </c>
      <c r="D100" s="4" t="inlineStr">
        <is>
          <t>=Overview!A30</t>
        </is>
      </c>
      <c r="E100" s="4" t="n">
        <v>400000</v>
      </c>
      <c r="F100" s="4" t="inlineStr">
        <is>
          <t>GOC Bed Unit-Costing Model v2 — working original.xlsx</t>
        </is>
      </c>
    </row>
    <row r="101" ht="40" customHeight="1">
      <c r="A101" s="4" t="inlineStr">
        <is>
          <t>original:Start here!B27</t>
        </is>
      </c>
      <c r="B101" s="4" t="inlineStr">
        <is>
          <t>Start here</t>
        </is>
      </c>
      <c r="C101" s="4" t="inlineStr">
        <is>
          <t>B27</t>
        </is>
      </c>
      <c r="D101" s="4" t="inlineStr">
        <is>
          <t>=Overview!B30</t>
        </is>
      </c>
      <c r="E101" s="4" t="n">
        <v>200000</v>
      </c>
      <c r="F101" s="4" t="inlineStr">
        <is>
          <t>GOC Bed Unit-Costing Model v2 — working original.xlsx</t>
        </is>
      </c>
    </row>
    <row r="102" ht="40" customHeight="1">
      <c r="A102" s="4" t="inlineStr">
        <is>
          <t>original:Start here!C27</t>
        </is>
      </c>
      <c r="B102" s="4" t="inlineStr">
        <is>
          <t>Start here</t>
        </is>
      </c>
      <c r="C102" s="4" t="inlineStr">
        <is>
          <t>C27</t>
        </is>
      </c>
      <c r="D102" s="4" t="inlineStr">
        <is>
          <t>=Overview!C30</t>
        </is>
      </c>
      <c r="E102" s="4" t="n">
        <v>600000</v>
      </c>
      <c r="F102" s="4" t="inlineStr">
        <is>
          <t>GOC Bed Unit-Costing Model v2 — working original.xlsx</t>
        </is>
      </c>
    </row>
    <row r="103" ht="40" customHeight="1">
      <c r="A103" s="4" t="inlineStr">
        <is>
          <t>original:Start here!D27</t>
        </is>
      </c>
      <c r="B103" s="4" t="inlineStr">
        <is>
          <t>Start here</t>
        </is>
      </c>
      <c r="C103" s="4" t="inlineStr">
        <is>
          <t>D27</t>
        </is>
      </c>
      <c r="D103" s="4" t="inlineStr">
        <is>
          <t>=Overview!E30</t>
        </is>
      </c>
      <c r="E103" s="4" t="n">
        <v>0</v>
      </c>
      <c r="F103" s="4" t="inlineStr">
        <is>
          <t>GOC Bed Unit-Costing Model v2 — working original.xlsx</t>
        </is>
      </c>
    </row>
    <row r="104" ht="40" customHeight="1">
      <c r="A104" s="4" t="inlineStr">
        <is>
          <t>original:Start here!E27</t>
        </is>
      </c>
      <c r="B104" s="4" t="inlineStr">
        <is>
          <t>Start here</t>
        </is>
      </c>
      <c r="C104" s="4" t="inlineStr">
        <is>
          <t>E27</t>
        </is>
      </c>
      <c r="D104" s="4" t="inlineStr">
        <is>
          <t>=Overview!F30</t>
        </is>
      </c>
      <c r="E104" s="4" t="n">
        <v>12</v>
      </c>
      <c r="F104" s="4" t="inlineStr">
        <is>
          <t>GOC Bed Unit-Costing Model v2 — working original.xlsx</t>
        </is>
      </c>
    </row>
    <row r="105" ht="105" customHeight="1">
      <c r="A105" s="4" t="inlineStr">
        <is>
          <t>original:Start here!A29</t>
        </is>
      </c>
      <c r="B105" s="4" t="inlineStr">
        <is>
          <t>Start here</t>
        </is>
      </c>
      <c r="C105" s="4" t="inlineStr">
        <is>
          <t>A29</t>
        </is>
      </c>
      <c r="D105" s="4" t="inlineStr">
        <is>
          <t>Read the cash-flow tab as well: this comparison assumes invited and selected funding pays; it does not prove sufficient cash or a fully costed program.</t>
        </is>
      </c>
      <c r="E105" s="4" t="inlineStr">
        <is>
          <t>Read the cash-flow tab as well: this comparison assumes invited and selected funding pays; it does not prove sufficient cash or a fully costed program.</t>
        </is>
      </c>
      <c r="F105" s="4" t="inlineStr">
        <is>
          <t>GOC Bed Unit-Costing Model v2 — working original.xlsx</t>
        </is>
      </c>
    </row>
    <row r="106" ht="135" customHeight="1">
      <c r="A106" s="4" t="inlineStr">
        <is>
          <t>original:Start here!A31</t>
        </is>
      </c>
      <c r="B106" s="4" t="inlineStr">
        <is>
          <t>Start here</t>
        </is>
      </c>
      <c r="C106" s="4" t="inlineStr">
        <is>
          <t>A31</t>
        </is>
      </c>
      <c r="D106" s="4" t="inlineStr">
        <is>
          <t>Editing guide: original Inputs supplies component prices; Sites sets rate, capital choice and start dates; Production sets made/grant/buyer units; Funding and Warm foundations set money assumptions.</t>
        </is>
      </c>
      <c r="E106" s="4" t="inlineStr">
        <is>
          <t>Editing guide: original Inputs supplies component prices; Sites sets rate, capital choice and start dates; Production sets made/grant/buyer units; Funding and Warm foundations set money assumptions.</t>
        </is>
      </c>
      <c r="F106" s="4" t="inlineStr">
        <is>
          <t>GOC Bed Unit-Costing Model v2 — working original.xlsx</t>
        </is>
      </c>
    </row>
    <row r="107" ht="135" customHeight="1">
      <c r="A107" s="4" t="inlineStr">
        <is>
          <t>original:Start here!A33</t>
        </is>
      </c>
      <c r="B107" s="4" t="inlineStr">
        <is>
          <t>Start here</t>
        </is>
      </c>
      <c r="C107" s="4" t="inlineStr">
        <is>
          <t>A33</t>
        </is>
      </c>
      <c r="D107" s="4" t="inlineStr">
        <is>
          <t>Goods on Country operates through The Butterfly Movement Ltd. Separate product making, shared Goods support and community wraparound. No source ledger or order has been changed by this model.</t>
        </is>
      </c>
      <c r="E107" s="4" t="inlineStr">
        <is>
          <t>Goods on Country operates through The Butterfly Movement Ltd. Separate product making, shared Goods support and community wraparound. No source ledger or order has been changed by this model.</t>
        </is>
      </c>
      <c r="F107" s="4" t="inlineStr">
        <is>
          <t>GOC Bed Unit-Costing Model v2 — working original.xlsx</t>
        </is>
      </c>
    </row>
    <row r="108" ht="40" customHeight="1">
      <c r="A108" s="4" t="inlineStr">
        <is>
          <t>original:Making plan!A1</t>
        </is>
      </c>
      <c r="B108" s="4" t="inlineStr">
        <is>
          <t>Making plan</t>
        </is>
      </c>
      <c r="C108" s="4" t="inlineStr">
        <is>
          <t>A1</t>
        </is>
      </c>
      <c r="D108" s="4" t="inlineStr">
        <is>
          <t>NM Play — sheets into beds</t>
        </is>
      </c>
      <c r="E108" s="4" t="inlineStr">
        <is>
          <t>NM Play — sheets into beds</t>
        </is>
      </c>
      <c r="F108" s="4" t="inlineStr">
        <is>
          <t>GOC Bed Unit-Costing Model v2 — working original.xlsx</t>
        </is>
      </c>
    </row>
    <row r="109" ht="75" customHeight="1">
      <c r="A109" s="4" t="inlineStr">
        <is>
          <t>original:Making plan!A2</t>
        </is>
      </c>
      <c r="B109" s="4" t="inlineStr">
        <is>
          <t>Making plan</t>
        </is>
      </c>
      <c r="C109" s="4" t="inlineStr">
        <is>
          <t>A2</t>
        </is>
      </c>
      <c r="D109" s="4" t="inlineStr">
        <is>
          <t>Working basis confirmed by Ben, 6 September: 8 tabs + 8 legs per bed; one sheet yields either set.</t>
        </is>
      </c>
      <c r="E109" s="4" t="inlineStr">
        <is>
          <t>Working basis confirmed by Ben, 6 September: 8 tabs + 8 legs per bed; one sheet yields either set.</t>
        </is>
      </c>
      <c r="F109" s="4" t="inlineStr">
        <is>
          <t>GOC Bed Unit-Costing Model v2 — working original.xlsx</t>
        </is>
      </c>
    </row>
    <row r="110" ht="120" customHeight="1">
      <c r="A110" s="4" t="inlineStr">
        <is>
          <t>original:Making plan!A3</t>
        </is>
      </c>
      <c r="B110" s="4" t="inlineStr">
        <is>
          <t>Making plan</t>
        </is>
      </c>
      <c r="C110" s="4" t="inlineStr">
        <is>
          <t>A3</t>
        </is>
      </c>
      <c r="D110" s="4" t="inlineStr">
        <is>
          <t>Original NM Play remains intact. Blue inputs and green links below make its assumptions and unit conversions explicit. All stock is the original planning snapshot, not a live count.</t>
        </is>
      </c>
      <c r="E110" s="4" t="inlineStr">
        <is>
          <t>Original NM Play remains intact. Blue inputs and green links below make its assumptions and unit conversions explicit. All stock is the original planning snapshot, not a live count.</t>
        </is>
      </c>
      <c r="F110" s="4" t="inlineStr">
        <is>
          <t>GOC Bed Unit-Costing Model v2 — working original.xlsx</t>
        </is>
      </c>
    </row>
    <row r="111" ht="40" customHeight="1">
      <c r="A111" s="4" t="inlineStr">
        <is>
          <t>original:Making plan!A5</t>
        </is>
      </c>
      <c r="B111" s="4" t="inlineStr">
        <is>
          <t>Making plan</t>
        </is>
      </c>
      <c r="C111" s="4" t="inlineStr">
        <is>
          <t>A5</t>
        </is>
      </c>
      <c r="D111" s="4" t="inlineStr">
        <is>
          <t>Production input</t>
        </is>
      </c>
      <c r="E111" s="4" t="inlineStr">
        <is>
          <t>Production input</t>
        </is>
      </c>
      <c r="F111" s="4" t="inlineStr">
        <is>
          <t>GOC Bed Unit-Costing Model v2 — working original.xlsx</t>
        </is>
      </c>
    </row>
    <row r="112" ht="40" customHeight="1">
      <c r="A112" s="4" t="inlineStr">
        <is>
          <t>original:Making plan!B5</t>
        </is>
      </c>
      <c r="B112" s="4" t="inlineStr">
        <is>
          <t>Making plan</t>
        </is>
      </c>
      <c r="C112" s="4" t="inlineStr">
        <is>
          <t>B5</t>
        </is>
      </c>
      <c r="D112" s="4" t="inlineStr">
        <is>
          <t>Working value</t>
        </is>
      </c>
      <c r="E112" s="4" t="inlineStr">
        <is>
          <t>Working value</t>
        </is>
      </c>
      <c r="F112" s="4" t="inlineStr">
        <is>
          <t>GOC Bed Unit-Costing Model v2 — working original.xlsx</t>
        </is>
      </c>
    </row>
    <row r="113" ht="40" customHeight="1">
      <c r="A113" s="4" t="inlineStr">
        <is>
          <t>original:Making plan!C5</t>
        </is>
      </c>
      <c r="B113" s="4" t="inlineStr">
        <is>
          <t>Making plan</t>
        </is>
      </c>
      <c r="C113" s="4" t="inlineStr">
        <is>
          <t>C5</t>
        </is>
      </c>
      <c r="D113" s="4" t="inlineStr">
        <is>
          <t>Unit</t>
        </is>
      </c>
      <c r="E113" s="4" t="inlineStr">
        <is>
          <t>Unit</t>
        </is>
      </c>
      <c r="F113" s="4" t="inlineStr">
        <is>
          <t>GOC Bed Unit-Costing Model v2 — working original.xlsx</t>
        </is>
      </c>
    </row>
    <row r="114" ht="40" customHeight="1">
      <c r="A114" s="4" t="inlineStr">
        <is>
          <t>original:Making plan!D5</t>
        </is>
      </c>
      <c r="B114" s="4" t="inlineStr">
        <is>
          <t>Making plan</t>
        </is>
      </c>
      <c r="C114" s="4" t="inlineStr">
        <is>
          <t>D5</t>
        </is>
      </c>
      <c r="D114" s="4" t="inlineStr">
        <is>
          <t>Basis / decision</t>
        </is>
      </c>
      <c r="E114" s="4" t="inlineStr">
        <is>
          <t>Basis / decision</t>
        </is>
      </c>
      <c r="F114" s="4" t="inlineStr">
        <is>
          <t>GOC Bed Unit-Costing Model v2 — working original.xlsx</t>
        </is>
      </c>
    </row>
    <row r="115" ht="40" customHeight="1">
      <c r="A115" s="4" t="inlineStr">
        <is>
          <t>original:Making plan!A6</t>
        </is>
      </c>
      <c r="B115" s="4" t="inlineStr">
        <is>
          <t>Making plan</t>
        </is>
      </c>
      <c r="C115" s="4" t="inlineStr">
        <is>
          <t>A6</t>
        </is>
      </c>
      <c r="D115" s="4" t="inlineStr">
        <is>
          <t>Production route</t>
        </is>
      </c>
      <c r="E115" s="4" t="inlineStr">
        <is>
          <t>Production route</t>
        </is>
      </c>
      <c r="F115" s="4" t="inlineStr">
        <is>
          <t>GOC Bed Unit-Costing Model v2 — working original.xlsx</t>
        </is>
      </c>
    </row>
    <row r="116" ht="40" customHeight="1">
      <c r="A116" s="4" t="inlineStr">
        <is>
          <t>original:Making plan!B6</t>
        </is>
      </c>
      <c r="B116" s="4" t="inlineStr">
        <is>
          <t>Making plan</t>
        </is>
      </c>
      <c r="C116" s="4" t="inlineStr">
        <is>
          <t>B6</t>
        </is>
      </c>
      <c r="D116" s="4" t="inlineStr">
        <is>
          <t>Own sheets</t>
        </is>
      </c>
      <c r="E116" s="4" t="inlineStr">
        <is>
          <t>Own sheets</t>
        </is>
      </c>
      <c r="F116" s="4" t="inlineStr">
        <is>
          <t>GOC Bed Unit-Costing Model v2 — working original.xlsx</t>
        </is>
      </c>
    </row>
    <row r="117" ht="40" customHeight="1">
      <c r="A117" s="4" t="inlineStr">
        <is>
          <t>original:Making plan!C6</t>
        </is>
      </c>
      <c r="B117" s="4" t="inlineStr">
        <is>
          <t>Making plan</t>
        </is>
      </c>
      <c r="C117" s="4" t="inlineStr">
        <is>
          <t>C6</t>
        </is>
      </c>
      <c r="D117" s="4" t="inlineStr">
        <is>
          <t>Own sheets / Defy legs</t>
        </is>
      </c>
      <c r="E117" s="4" t="inlineStr">
        <is>
          <t>Own sheets / Defy legs</t>
        </is>
      </c>
      <c r="F117" s="4" t="inlineStr">
        <is>
          <t>GOC Bed Unit-Costing Model v2 — working original.xlsx</t>
        </is>
      </c>
    </row>
    <row r="118" ht="60" customHeight="1">
      <c r="A118" s="4" t="inlineStr">
        <is>
          <t>original:Making plan!D6</t>
        </is>
      </c>
      <c r="B118" s="4" t="inlineStr">
        <is>
          <t>Making plan</t>
        </is>
      </c>
      <c r="C118" s="4" t="inlineStr">
        <is>
          <t>D6</t>
        </is>
      </c>
      <c r="D118" s="4" t="inlineStr">
        <is>
          <t>Defy supplies leg panels still requiring cutting; own press supplies tab sheets.</t>
        </is>
      </c>
      <c r="E118" s="4" t="inlineStr">
        <is>
          <t>Defy supplies leg panels still requiring cutting; own press supplies tab sheets.</t>
        </is>
      </c>
      <c r="F118" s="4" t="inlineStr">
        <is>
          <t>GOC Bed Unit-Costing Model v2 — working original.xlsx</t>
        </is>
      </c>
    </row>
    <row r="119" ht="40" customHeight="1">
      <c r="A119" s="4" t="inlineStr">
        <is>
          <t>original:Making plan!A7</t>
        </is>
      </c>
      <c r="B119" s="4" t="inlineStr">
        <is>
          <t>Making plan</t>
        </is>
      </c>
      <c r="C119" s="4" t="inlineStr">
        <is>
          <t>A7</t>
        </is>
      </c>
      <c r="D119" s="4" t="inlineStr">
        <is>
          <t>Productive days per week</t>
        </is>
      </c>
      <c r="E119" s="4" t="inlineStr">
        <is>
          <t>Productive days per week</t>
        </is>
      </c>
      <c r="F119" s="4" t="inlineStr">
        <is>
          <t>GOC Bed Unit-Costing Model v2 — working original.xlsx</t>
        </is>
      </c>
    </row>
    <row r="120" ht="40" customHeight="1">
      <c r="A120" s="4" t="inlineStr">
        <is>
          <t>original:Making plan!B7</t>
        </is>
      </c>
      <c r="B120" s="4" t="inlineStr">
        <is>
          <t>Making plan</t>
        </is>
      </c>
      <c r="C120" s="4" t="inlineStr">
        <is>
          <t>B7</t>
        </is>
      </c>
      <c r="D120" s="4" t="n">
        <v>5</v>
      </c>
      <c r="E120" s="4" t="n">
        <v>5</v>
      </c>
      <c r="F120" s="4" t="inlineStr">
        <is>
          <t>GOC Bed Unit-Costing Model v2 — working original.xlsx</t>
        </is>
      </c>
    </row>
    <row r="121" ht="40" customHeight="1">
      <c r="A121" s="4" t="inlineStr">
        <is>
          <t>original:Making plan!C7</t>
        </is>
      </c>
      <c r="B121" s="4" t="inlineStr">
        <is>
          <t>Making plan</t>
        </is>
      </c>
      <c r="C121" s="4" t="inlineStr">
        <is>
          <t>C7</t>
        </is>
      </c>
      <c r="D121" s="4" t="inlineStr">
        <is>
          <t>days</t>
        </is>
      </c>
      <c r="E121" s="4" t="inlineStr">
        <is>
          <t>days</t>
        </is>
      </c>
      <c r="F121" s="4" t="inlineStr">
        <is>
          <t>GOC Bed Unit-Costing Model v2 — working original.xlsx</t>
        </is>
      </c>
    </row>
    <row r="122" ht="40" customHeight="1">
      <c r="A122" s="4" t="inlineStr">
        <is>
          <t>original:Making plan!D7</t>
        </is>
      </c>
      <c r="B122" s="4" t="inlineStr">
        <is>
          <t>Making plan</t>
        </is>
      </c>
      <c r="C122" s="4" t="inlineStr">
        <is>
          <t>D7</t>
        </is>
      </c>
      <c r="D122" s="4" t="inlineStr">
        <is>
          <t>Replaces implicit 5-day multipliers.</t>
        </is>
      </c>
      <c r="E122" s="4" t="inlineStr">
        <is>
          <t>Replaces implicit 5-day multipliers.</t>
        </is>
      </c>
      <c r="F122" s="4" t="inlineStr">
        <is>
          <t>GOC Bed Unit-Costing Model v2 — working original.xlsx</t>
        </is>
      </c>
    </row>
    <row r="123" ht="40" customHeight="1">
      <c r="A123" s="4" t="inlineStr">
        <is>
          <t>original:Making plan!A8</t>
        </is>
      </c>
      <c r="B123" s="4" t="inlineStr">
        <is>
          <t>Making plan</t>
        </is>
      </c>
      <c r="C123" s="4" t="inlineStr">
        <is>
          <t>A8</t>
        </is>
      </c>
      <c r="D123" s="4" t="inlineStr">
        <is>
          <t>Weeks per planning month</t>
        </is>
      </c>
      <c r="E123" s="4" t="inlineStr">
        <is>
          <t>Weeks per planning month</t>
        </is>
      </c>
      <c r="F123" s="4" t="inlineStr">
        <is>
          <t>GOC Bed Unit-Costing Model v2 — working original.xlsx</t>
        </is>
      </c>
    </row>
    <row r="124" ht="40" customHeight="1">
      <c r="A124" s="4" t="inlineStr">
        <is>
          <t>original:Making plan!B8</t>
        </is>
      </c>
      <c r="B124" s="4" t="inlineStr">
        <is>
          <t>Making plan</t>
        </is>
      </c>
      <c r="C124" s="4" t="inlineStr">
        <is>
          <t>B8</t>
        </is>
      </c>
      <c r="D124" s="4" t="n">
        <v>4</v>
      </c>
      <c r="E124" s="4" t="n">
        <v>4</v>
      </c>
      <c r="F124" s="4" t="inlineStr">
        <is>
          <t>GOC Bed Unit-Costing Model v2 — working original.xlsx</t>
        </is>
      </c>
    </row>
    <row r="125" ht="40" customHeight="1">
      <c r="A125" s="4" t="inlineStr">
        <is>
          <t>original:Making plan!C8</t>
        </is>
      </c>
      <c r="B125" s="4" t="inlineStr">
        <is>
          <t>Making plan</t>
        </is>
      </c>
      <c r="C125" s="4" t="inlineStr">
        <is>
          <t>C8</t>
        </is>
      </c>
      <c r="D125" s="4" t="inlineStr">
        <is>
          <t>weeks</t>
        </is>
      </c>
      <c r="E125" s="4" t="inlineStr">
        <is>
          <t>weeks</t>
        </is>
      </c>
      <c r="F125" s="4" t="inlineStr">
        <is>
          <t>GOC Bed Unit-Costing Model v2 — working original.xlsx</t>
        </is>
      </c>
    </row>
    <row r="126" ht="40" customHeight="1">
      <c r="A126" s="4" t="inlineStr">
        <is>
          <t>original:Making plan!D8</t>
        </is>
      </c>
      <c r="B126" s="4" t="inlineStr">
        <is>
          <t>Making plan</t>
        </is>
      </c>
      <c r="C126" s="4" t="inlineStr">
        <is>
          <t>D8</t>
        </is>
      </c>
      <c r="D126" s="4" t="inlineStr">
        <is>
          <t>Use 20 productive days, not 30 calendar days.</t>
        </is>
      </c>
      <c r="E126" s="4" t="inlineStr">
        <is>
          <t>Use 20 productive days, not 30 calendar days.</t>
        </is>
      </c>
      <c r="F126" s="4" t="inlineStr">
        <is>
          <t>GOC Bed Unit-Costing Model v2 — working original.xlsx</t>
        </is>
      </c>
    </row>
    <row r="127" ht="40" customHeight="1">
      <c r="A127" s="4" t="inlineStr">
        <is>
          <t>original:Making plan!A9</t>
        </is>
      </c>
      <c r="B127" s="4" t="inlineStr">
        <is>
          <t>Making plan</t>
        </is>
      </c>
      <c r="C127" s="4" t="inlineStr">
        <is>
          <t>A9</t>
        </is>
      </c>
      <c r="D127" s="4" t="inlineStr">
        <is>
          <t>Productive weeks per year</t>
        </is>
      </c>
      <c r="E127" s="4" t="inlineStr">
        <is>
          <t>Productive weeks per year</t>
        </is>
      </c>
      <c r="F127" s="4" t="inlineStr">
        <is>
          <t>GOC Bed Unit-Costing Model v2 — working original.xlsx</t>
        </is>
      </c>
    </row>
    <row r="128" ht="40" customHeight="1">
      <c r="A128" s="4" t="inlineStr">
        <is>
          <t>original:Making plan!B9</t>
        </is>
      </c>
      <c r="B128" s="4" t="inlineStr">
        <is>
          <t>Making plan</t>
        </is>
      </c>
      <c r="C128" s="4" t="inlineStr">
        <is>
          <t>B9</t>
        </is>
      </c>
      <c r="D128" s="4" t="n">
        <v>48</v>
      </c>
      <c r="E128" s="4" t="n">
        <v>48</v>
      </c>
      <c r="F128" s="4" t="inlineStr">
        <is>
          <t>GOC Bed Unit-Costing Model v2 — working original.xlsx</t>
        </is>
      </c>
    </row>
    <row r="129" ht="40" customHeight="1">
      <c r="A129" s="4" t="inlineStr">
        <is>
          <t>original:Making plan!C9</t>
        </is>
      </c>
      <c r="B129" s="4" t="inlineStr">
        <is>
          <t>Making plan</t>
        </is>
      </c>
      <c r="C129" s="4" t="inlineStr">
        <is>
          <t>C9</t>
        </is>
      </c>
      <c r="D129" s="4" t="inlineStr">
        <is>
          <t>weeks</t>
        </is>
      </c>
      <c r="E129" s="4" t="inlineStr">
        <is>
          <t>weeks</t>
        </is>
      </c>
      <c r="F129" s="4" t="inlineStr">
        <is>
          <t>GOC Bed Unit-Costing Model v2 — working original.xlsx</t>
        </is>
      </c>
    </row>
    <row r="130" ht="40" customHeight="1">
      <c r="A130" s="4" t="inlineStr">
        <is>
          <t>original:Making plan!D9</t>
        </is>
      </c>
      <c r="B130" s="4" t="inlineStr">
        <is>
          <t>Making plan</t>
        </is>
      </c>
      <c r="C130" s="4" t="inlineStr">
        <is>
          <t>D9</t>
        </is>
      </c>
      <c r="D130" s="4" t="inlineStr">
        <is>
          <t>NM Play row 121; no leave or downtime promise.</t>
        </is>
      </c>
      <c r="E130" s="4" t="inlineStr">
        <is>
          <t>NM Play row 121; no leave or downtime promise.</t>
        </is>
      </c>
      <c r="F130" s="4" t="inlineStr">
        <is>
          <t>GOC Bed Unit-Costing Model v2 — working original.xlsx</t>
        </is>
      </c>
    </row>
    <row r="131" ht="40" customHeight="1">
      <c r="A131" s="4" t="inlineStr">
        <is>
          <t>original:Making plan!A10</t>
        </is>
      </c>
      <c r="B131" s="4" t="inlineStr">
        <is>
          <t>Making plan</t>
        </is>
      </c>
      <c r="C131" s="4" t="inlineStr">
        <is>
          <t>A10</t>
        </is>
      </c>
      <c r="D131" s="4" t="inlineStr">
        <is>
          <t>Pressed sheets per day</t>
        </is>
      </c>
      <c r="E131" s="4" t="inlineStr">
        <is>
          <t>Pressed sheets per day</t>
        </is>
      </c>
      <c r="F131" s="4" t="inlineStr">
        <is>
          <t>GOC Bed Unit-Costing Model v2 — working original.xlsx</t>
        </is>
      </c>
    </row>
    <row r="132" ht="40" customHeight="1">
      <c r="A132" s="4" t="inlineStr">
        <is>
          <t>original:Making plan!B10</t>
        </is>
      </c>
      <c r="B132" s="4" t="inlineStr">
        <is>
          <t>Making plan</t>
        </is>
      </c>
      <c r="C132" s="4" t="inlineStr">
        <is>
          <t>B10</t>
        </is>
      </c>
      <c r="D132" s="4" t="inlineStr">
        <is>
          <t>='NM Play'!B66</t>
        </is>
      </c>
      <c r="E132" s="4" t="n">
        <v>6</v>
      </c>
      <c r="F132" s="4" t="inlineStr">
        <is>
          <t>GOC Bed Unit-Costing Model v2 — working original.xlsx</t>
        </is>
      </c>
    </row>
    <row r="133" ht="40" customHeight="1">
      <c r="A133" s="4" t="inlineStr">
        <is>
          <t>original:Making plan!C10</t>
        </is>
      </c>
      <c r="B133" s="4" t="inlineStr">
        <is>
          <t>Making plan</t>
        </is>
      </c>
      <c r="C133" s="4" t="inlineStr">
        <is>
          <t>C10</t>
        </is>
      </c>
      <c r="D133" s="4" t="inlineStr">
        <is>
          <t>sheets/day</t>
        </is>
      </c>
      <c r="E133" s="4" t="inlineStr">
        <is>
          <t>sheets/day</t>
        </is>
      </c>
      <c r="F133" s="4" t="inlineStr">
        <is>
          <t>GOC Bed Unit-Costing Model v2 — working original.xlsx</t>
        </is>
      </c>
    </row>
    <row r="134" ht="45" customHeight="1">
      <c r="A134" s="4" t="inlineStr">
        <is>
          <t>original:Making plan!D10</t>
        </is>
      </c>
      <c r="B134" s="4" t="inlineStr">
        <is>
          <t>Making plan</t>
        </is>
      </c>
      <c r="C134" s="4" t="inlineStr">
        <is>
          <t>D10</t>
        </is>
      </c>
      <c r="D134" s="4" t="inlineStr">
        <is>
          <t>NM Play B66. Measured sustained output still to verify.</t>
        </is>
      </c>
      <c r="E134" s="4" t="inlineStr">
        <is>
          <t>NM Play B66. Measured sustained output still to verify.</t>
        </is>
      </c>
      <c r="F134" s="4" t="inlineStr">
        <is>
          <t>GOC Bed Unit-Costing Model v2 — working original.xlsx</t>
        </is>
      </c>
    </row>
    <row r="135" ht="40" customHeight="1">
      <c r="A135" s="4" t="inlineStr">
        <is>
          <t>original:Making plan!A11</t>
        </is>
      </c>
      <c r="B135" s="4" t="inlineStr">
        <is>
          <t>Making plan</t>
        </is>
      </c>
      <c r="C135" s="4" t="inlineStr">
        <is>
          <t>A11</t>
        </is>
      </c>
      <c r="D135" s="4" t="inlineStr">
        <is>
          <t>Tabs per bed</t>
        </is>
      </c>
      <c r="E135" s="4" t="inlineStr">
        <is>
          <t>Tabs per bed</t>
        </is>
      </c>
      <c r="F135" s="4" t="inlineStr">
        <is>
          <t>GOC Bed Unit-Costing Model v2 — working original.xlsx</t>
        </is>
      </c>
    </row>
    <row r="136" ht="40" customHeight="1">
      <c r="A136" s="4" t="inlineStr">
        <is>
          <t>original:Making plan!B11</t>
        </is>
      </c>
      <c r="B136" s="4" t="inlineStr">
        <is>
          <t>Making plan</t>
        </is>
      </c>
      <c r="C136" s="4" t="inlineStr">
        <is>
          <t>B11</t>
        </is>
      </c>
      <c r="D136" s="4" t="n">
        <v>8</v>
      </c>
      <c r="E136" s="4" t="n">
        <v>8</v>
      </c>
      <c r="F136" s="4" t="inlineStr">
        <is>
          <t>GOC Bed Unit-Costing Model v2 — working original.xlsx</t>
        </is>
      </c>
    </row>
    <row r="137" ht="40" customHeight="1">
      <c r="A137" s="4" t="inlineStr">
        <is>
          <t>original:Making plan!C11</t>
        </is>
      </c>
      <c r="B137" s="4" t="inlineStr">
        <is>
          <t>Making plan</t>
        </is>
      </c>
      <c r="C137" s="4" t="inlineStr">
        <is>
          <t>C11</t>
        </is>
      </c>
      <c r="D137" s="4" t="inlineStr">
        <is>
          <t>pieces/bed</t>
        </is>
      </c>
      <c r="E137" s="4" t="inlineStr">
        <is>
          <t>pieces/bed</t>
        </is>
      </c>
      <c r="F137" s="4" t="inlineStr">
        <is>
          <t>GOC Bed Unit-Costing Model v2 — working original.xlsx</t>
        </is>
      </c>
    </row>
    <row r="138" ht="40" customHeight="1">
      <c r="A138" s="4" t="inlineStr">
        <is>
          <t>original:Making plan!D11</t>
        </is>
      </c>
      <c r="B138" s="4" t="inlineStr">
        <is>
          <t>Making plan</t>
        </is>
      </c>
      <c r="C138" s="4" t="inlineStr">
        <is>
          <t>D11</t>
        </is>
      </c>
      <c r="D138" s="4" t="inlineStr">
        <is>
          <t>Ben confirmed 6 September 2026.</t>
        </is>
      </c>
      <c r="E138" s="4" t="inlineStr">
        <is>
          <t>Ben confirmed 6 September 2026.</t>
        </is>
      </c>
      <c r="F138" s="4" t="inlineStr">
        <is>
          <t>GOC Bed Unit-Costing Model v2 — working original.xlsx</t>
        </is>
      </c>
    </row>
    <row r="139" ht="40" customHeight="1">
      <c r="A139" s="4" t="inlineStr">
        <is>
          <t>original:Making plan!A12</t>
        </is>
      </c>
      <c r="B139" s="4" t="inlineStr">
        <is>
          <t>Making plan</t>
        </is>
      </c>
      <c r="C139" s="4" t="inlineStr">
        <is>
          <t>A12</t>
        </is>
      </c>
      <c r="D139" s="4" t="inlineStr">
        <is>
          <t>Leg pieces per bed</t>
        </is>
      </c>
      <c r="E139" s="4" t="inlineStr">
        <is>
          <t>Leg pieces per bed</t>
        </is>
      </c>
      <c r="F139" s="4" t="inlineStr">
        <is>
          <t>GOC Bed Unit-Costing Model v2 — working original.xlsx</t>
        </is>
      </c>
    </row>
    <row r="140" ht="40" customHeight="1">
      <c r="A140" s="4" t="inlineStr">
        <is>
          <t>original:Making plan!B12</t>
        </is>
      </c>
      <c r="B140" s="4" t="inlineStr">
        <is>
          <t>Making plan</t>
        </is>
      </c>
      <c r="C140" s="4" t="inlineStr">
        <is>
          <t>B12</t>
        </is>
      </c>
      <c r="D140" s="4" t="n">
        <v>8</v>
      </c>
      <c r="E140" s="4" t="n">
        <v>8</v>
      </c>
      <c r="F140" s="4" t="inlineStr">
        <is>
          <t>GOC Bed Unit-Costing Model v2 — working original.xlsx</t>
        </is>
      </c>
    </row>
    <row r="141" ht="40" customHeight="1">
      <c r="A141" s="4" t="inlineStr">
        <is>
          <t>original:Making plan!C12</t>
        </is>
      </c>
      <c r="B141" s="4" t="inlineStr">
        <is>
          <t>Making plan</t>
        </is>
      </c>
      <c r="C141" s="4" t="inlineStr">
        <is>
          <t>C12</t>
        </is>
      </c>
      <c r="D141" s="4" t="inlineStr">
        <is>
          <t>pieces/bed</t>
        </is>
      </c>
      <c r="E141" s="4" t="inlineStr">
        <is>
          <t>pieces/bed</t>
        </is>
      </c>
      <c r="F141" s="4" t="inlineStr">
        <is>
          <t>GOC Bed Unit-Costing Model v2 — working original.xlsx</t>
        </is>
      </c>
    </row>
    <row r="142" ht="40" customHeight="1">
      <c r="A142" s="4" t="inlineStr">
        <is>
          <t>original:Making plan!D12</t>
        </is>
      </c>
      <c r="B142" s="4" t="inlineStr">
        <is>
          <t>Making plan</t>
        </is>
      </c>
      <c r="C142" s="4" t="inlineStr">
        <is>
          <t>D12</t>
        </is>
      </c>
      <c r="D142" s="4" t="inlineStr">
        <is>
          <t>Ben confirmed 6 September 2026.</t>
        </is>
      </c>
      <c r="E142" s="4" t="inlineStr">
        <is>
          <t>Ben confirmed 6 September 2026.</t>
        </is>
      </c>
      <c r="F142" s="4" t="inlineStr">
        <is>
          <t>GOC Bed Unit-Costing Model v2 — working original.xlsx</t>
        </is>
      </c>
    </row>
    <row r="143" ht="40" customHeight="1">
      <c r="A143" s="4" t="inlineStr">
        <is>
          <t>original:Making plan!A13</t>
        </is>
      </c>
      <c r="B143" s="4" t="inlineStr">
        <is>
          <t>Making plan</t>
        </is>
      </c>
      <c r="C143" s="4" t="inlineStr">
        <is>
          <t>A13</t>
        </is>
      </c>
      <c r="D143" s="4" t="inlineStr">
        <is>
          <t>Tabs yielded per sheet</t>
        </is>
      </c>
      <c r="E143" s="4" t="inlineStr">
        <is>
          <t>Tabs yielded per sheet</t>
        </is>
      </c>
      <c r="F143" s="4" t="inlineStr">
        <is>
          <t>GOC Bed Unit-Costing Model v2 — working original.xlsx</t>
        </is>
      </c>
    </row>
    <row r="144" ht="40" customHeight="1">
      <c r="A144" s="4" t="inlineStr">
        <is>
          <t>original:Making plan!B13</t>
        </is>
      </c>
      <c r="B144" s="4" t="inlineStr">
        <is>
          <t>Making plan</t>
        </is>
      </c>
      <c r="C144" s="4" t="inlineStr">
        <is>
          <t>B13</t>
        </is>
      </c>
      <c r="D144" s="4" t="n">
        <v>8</v>
      </c>
      <c r="E144" s="4" t="n">
        <v>8</v>
      </c>
      <c r="F144" s="4" t="inlineStr">
        <is>
          <t>GOC Bed Unit-Costing Model v2 — working original.xlsx</t>
        </is>
      </c>
    </row>
    <row r="145" ht="40" customHeight="1">
      <c r="A145" s="4" t="inlineStr">
        <is>
          <t>original:Making plan!C13</t>
        </is>
      </c>
      <c r="B145" s="4" t="inlineStr">
        <is>
          <t>Making plan</t>
        </is>
      </c>
      <c r="C145" s="4" t="inlineStr">
        <is>
          <t>C13</t>
        </is>
      </c>
      <c r="D145" s="4" t="inlineStr">
        <is>
          <t>pieces/sheet</t>
        </is>
      </c>
      <c r="E145" s="4" t="inlineStr">
        <is>
          <t>pieces/sheet</t>
        </is>
      </c>
      <c r="F145" s="4" t="inlineStr">
        <is>
          <t>GOC Bed Unit-Costing Model v2 — working original.xlsx</t>
        </is>
      </c>
    </row>
    <row r="146" ht="40" customHeight="1">
      <c r="A146" s="4" t="inlineStr">
        <is>
          <t>original:Making plan!D13</t>
        </is>
      </c>
      <c r="B146" s="4" t="inlineStr">
        <is>
          <t>Making plan</t>
        </is>
      </c>
      <c r="C146" s="4" t="inlineStr">
        <is>
          <t>D13</t>
        </is>
      </c>
      <c r="D146" s="4" t="inlineStr">
        <is>
          <t>Ben confirmed one bed set per sheet.</t>
        </is>
      </c>
      <c r="E146" s="4" t="inlineStr">
        <is>
          <t>Ben confirmed one bed set per sheet.</t>
        </is>
      </c>
      <c r="F146" s="4" t="inlineStr">
        <is>
          <t>GOC Bed Unit-Costing Model v2 — working original.xlsx</t>
        </is>
      </c>
    </row>
    <row r="147" ht="40" customHeight="1">
      <c r="A147" s="4" t="inlineStr">
        <is>
          <t>original:Making plan!A14</t>
        </is>
      </c>
      <c r="B147" s="4" t="inlineStr">
        <is>
          <t>Making plan</t>
        </is>
      </c>
      <c r="C147" s="4" t="inlineStr">
        <is>
          <t>A14</t>
        </is>
      </c>
      <c r="D147" s="4" t="inlineStr">
        <is>
          <t>Legs yielded per sheet</t>
        </is>
      </c>
      <c r="E147" s="4" t="inlineStr">
        <is>
          <t>Legs yielded per sheet</t>
        </is>
      </c>
      <c r="F147" s="4" t="inlineStr">
        <is>
          <t>GOC Bed Unit-Costing Model v2 — working original.xlsx</t>
        </is>
      </c>
    </row>
    <row r="148" ht="40" customHeight="1">
      <c r="A148" s="4" t="inlineStr">
        <is>
          <t>original:Making plan!B14</t>
        </is>
      </c>
      <c r="B148" s="4" t="inlineStr">
        <is>
          <t>Making plan</t>
        </is>
      </c>
      <c r="C148" s="4" t="inlineStr">
        <is>
          <t>B14</t>
        </is>
      </c>
      <c r="D148" s="4" t="n">
        <v>8</v>
      </c>
      <c r="E148" s="4" t="n">
        <v>8</v>
      </c>
      <c r="F148" s="4" t="inlineStr">
        <is>
          <t>GOC Bed Unit-Costing Model v2 — working original.xlsx</t>
        </is>
      </c>
    </row>
    <row r="149" ht="40" customHeight="1">
      <c r="A149" s="4" t="inlineStr">
        <is>
          <t>original:Making plan!C14</t>
        </is>
      </c>
      <c r="B149" s="4" t="inlineStr">
        <is>
          <t>Making plan</t>
        </is>
      </c>
      <c r="C149" s="4" t="inlineStr">
        <is>
          <t>C14</t>
        </is>
      </c>
      <c r="D149" s="4" t="inlineStr">
        <is>
          <t>pieces/sheet</t>
        </is>
      </c>
      <c r="E149" s="4" t="inlineStr">
        <is>
          <t>pieces/sheet</t>
        </is>
      </c>
      <c r="F149" s="4" t="inlineStr">
        <is>
          <t>GOC Bed Unit-Costing Model v2 — working original.xlsx</t>
        </is>
      </c>
    </row>
    <row r="150" ht="40" customHeight="1">
      <c r="A150" s="4" t="inlineStr">
        <is>
          <t>original:Making plan!D14</t>
        </is>
      </c>
      <c r="B150" s="4" t="inlineStr">
        <is>
          <t>Making plan</t>
        </is>
      </c>
      <c r="C150" s="4" t="inlineStr">
        <is>
          <t>D14</t>
        </is>
      </c>
      <c r="D150" s="4" t="inlineStr">
        <is>
          <t>Ben confirmed one bed set per sheet.</t>
        </is>
      </c>
      <c r="E150" s="4" t="inlineStr">
        <is>
          <t>Ben confirmed one bed set per sheet.</t>
        </is>
      </c>
      <c r="F150" s="4" t="inlineStr">
        <is>
          <t>GOC Bed Unit-Costing Model v2 — working original.xlsx</t>
        </is>
      </c>
    </row>
    <row r="151" ht="40" customHeight="1">
      <c r="A151" s="4" t="inlineStr">
        <is>
          <t>original:Making plan!A15</t>
        </is>
      </c>
      <c r="B151" s="4" t="inlineStr">
        <is>
          <t>Making plan</t>
        </is>
      </c>
      <c r="C151" s="4" t="inlineStr">
        <is>
          <t>A15</t>
        </is>
      </c>
      <c r="D151" s="4" t="inlineStr">
        <is>
          <t>Tab sheets cut per day</t>
        </is>
      </c>
      <c r="E151" s="4" t="inlineStr">
        <is>
          <t>Tab sheets cut per day</t>
        </is>
      </c>
      <c r="F151" s="4" t="inlineStr">
        <is>
          <t>GOC Bed Unit-Costing Model v2 — working original.xlsx</t>
        </is>
      </c>
    </row>
    <row r="152" ht="40" customHeight="1">
      <c r="A152" s="4" t="inlineStr">
        <is>
          <t>original:Making plan!B15</t>
        </is>
      </c>
      <c r="B152" s="4" t="inlineStr">
        <is>
          <t>Making plan</t>
        </is>
      </c>
      <c r="C152" s="4" t="inlineStr">
        <is>
          <t>B15</t>
        </is>
      </c>
      <c r="D152" s="4" t="inlineStr">
        <is>
          <t>='NM Play'!D74</t>
        </is>
      </c>
      <c r="E152" s="4" t="n">
        <v>22</v>
      </c>
      <c r="F152" s="4" t="inlineStr">
        <is>
          <t>GOC Bed Unit-Costing Model v2 — working original.xlsx</t>
        </is>
      </c>
    </row>
    <row r="153" ht="40" customHeight="1">
      <c r="A153" s="4" t="inlineStr">
        <is>
          <t>original:Making plan!C15</t>
        </is>
      </c>
      <c r="B153" s="4" t="inlineStr">
        <is>
          <t>Making plan</t>
        </is>
      </c>
      <c r="C153" s="4" t="inlineStr">
        <is>
          <t>C15</t>
        </is>
      </c>
      <c r="D153" s="4" t="inlineStr">
        <is>
          <t>sheets/day</t>
        </is>
      </c>
      <c r="E153" s="4" t="inlineStr">
        <is>
          <t>sheets/day</t>
        </is>
      </c>
      <c r="F153" s="4" t="inlineStr">
        <is>
          <t>GOC Bed Unit-Costing Model v2 — working original.xlsx</t>
        </is>
      </c>
    </row>
    <row r="154" ht="60" customHeight="1">
      <c r="A154" s="4" t="inlineStr">
        <is>
          <t>original:Making plan!D15</t>
        </is>
      </c>
      <c r="B154" s="4" t="inlineStr">
        <is>
          <t>Making plan</t>
        </is>
      </c>
      <c r="C154" s="4" t="inlineStr">
        <is>
          <t>D15</t>
        </is>
      </c>
      <c r="D154" s="4" t="inlineStr">
        <is>
          <t>Buffered rate: 22. Bottom of NM Play separately uses 20; use one selected rate here.</t>
        </is>
      </c>
      <c r="E154" s="4" t="inlineStr">
        <is>
          <t>Buffered rate: 22. Bottom of NM Play separately uses 20; use one selected rate here.</t>
        </is>
      </c>
      <c r="F154" s="4" t="inlineStr">
        <is>
          <t>GOC Bed Unit-Costing Model v2 — working original.xlsx</t>
        </is>
      </c>
    </row>
    <row r="155" ht="40" customHeight="1">
      <c r="A155" s="4" t="inlineStr">
        <is>
          <t>original:Making plan!A16</t>
        </is>
      </c>
      <c r="B155" s="4" t="inlineStr">
        <is>
          <t>Making plan</t>
        </is>
      </c>
      <c r="C155" s="4" t="inlineStr">
        <is>
          <t>A16</t>
        </is>
      </c>
      <c r="D155" s="4" t="inlineStr">
        <is>
          <t>Leg sheets cut per day</t>
        </is>
      </c>
      <c r="E155" s="4" t="inlineStr">
        <is>
          <t>Leg sheets cut per day</t>
        </is>
      </c>
      <c r="F155" s="4" t="inlineStr">
        <is>
          <t>GOC Bed Unit-Costing Model v2 — working original.xlsx</t>
        </is>
      </c>
    </row>
    <row r="156" ht="40" customHeight="1">
      <c r="A156" s="4" t="inlineStr">
        <is>
          <t>original:Making plan!B16</t>
        </is>
      </c>
      <c r="B156" s="4" t="inlineStr">
        <is>
          <t>Making plan</t>
        </is>
      </c>
      <c r="C156" s="4" t="inlineStr">
        <is>
          <t>B16</t>
        </is>
      </c>
      <c r="D156" s="4" t="inlineStr">
        <is>
          <t>='NM Play'!D75</t>
        </is>
      </c>
      <c r="E156" s="4" t="n">
        <v>14</v>
      </c>
      <c r="F156" s="4" t="inlineStr">
        <is>
          <t>GOC Bed Unit-Costing Model v2 — working original.xlsx</t>
        </is>
      </c>
    </row>
    <row r="157" ht="40" customHeight="1">
      <c r="A157" s="4" t="inlineStr">
        <is>
          <t>original:Making plan!C16</t>
        </is>
      </c>
      <c r="B157" s="4" t="inlineStr">
        <is>
          <t>Making plan</t>
        </is>
      </c>
      <c r="C157" s="4" t="inlineStr">
        <is>
          <t>C16</t>
        </is>
      </c>
      <c r="D157" s="4" t="inlineStr">
        <is>
          <t>sheets/day</t>
        </is>
      </c>
      <c r="E157" s="4" t="inlineStr">
        <is>
          <t>sheets/day</t>
        </is>
      </c>
      <c r="F157" s="4" t="inlineStr">
        <is>
          <t>GOC Bed Unit-Costing Model v2 — working original.xlsx</t>
        </is>
      </c>
    </row>
    <row r="158" ht="60" customHeight="1">
      <c r="A158" s="4" t="inlineStr">
        <is>
          <t>original:Making plan!D16</t>
        </is>
      </c>
      <c r="B158" s="4" t="inlineStr">
        <is>
          <t>Making plan</t>
        </is>
      </c>
      <c r="C158" s="4" t="inlineStr">
        <is>
          <t>D16</t>
        </is>
      </c>
      <c r="D158" s="4" t="inlineStr">
        <is>
          <t>Buffered rate: 14. Bottom of NM Play separately uses 15; use one selected rate here.</t>
        </is>
      </c>
      <c r="E158" s="4" t="inlineStr">
        <is>
          <t>Buffered rate: 14. Bottom of NM Play separately uses 15; use one selected rate here.</t>
        </is>
      </c>
      <c r="F158" s="4" t="inlineStr">
        <is>
          <t>GOC Bed Unit-Costing Model v2 — working original.xlsx</t>
        </is>
      </c>
    </row>
    <row r="159" ht="40" customHeight="1">
      <c r="A159" s="4" t="inlineStr">
        <is>
          <t>original:Making plan!A17</t>
        </is>
      </c>
      <c r="B159" s="4" t="inlineStr">
        <is>
          <t>Making plan</t>
        </is>
      </c>
      <c r="C159" s="4" t="inlineStr">
        <is>
          <t>A17</t>
        </is>
      </c>
      <c r="D159" s="4" t="inlineStr">
        <is>
          <t>CNC minutes per working day</t>
        </is>
      </c>
      <c r="E159" s="4" t="inlineStr">
        <is>
          <t>CNC minutes per working day</t>
        </is>
      </c>
      <c r="F159" s="4" t="inlineStr">
        <is>
          <t>GOC Bed Unit-Costing Model v2 — working original.xlsx</t>
        </is>
      </c>
    </row>
    <row r="160" ht="40" customHeight="1">
      <c r="A160" s="4" t="inlineStr">
        <is>
          <t>original:Making plan!B17</t>
        </is>
      </c>
      <c r="B160" s="4" t="inlineStr">
        <is>
          <t>Making plan</t>
        </is>
      </c>
      <c r="C160" s="4" t="inlineStr">
        <is>
          <t>B17</t>
        </is>
      </c>
      <c r="D160" s="4" t="inlineStr">
        <is>
          <t>='NM Play'!B73</t>
        </is>
      </c>
      <c r="E160" s="4" t="n">
        <v>480</v>
      </c>
      <c r="F160" s="4" t="inlineStr">
        <is>
          <t>GOC Bed Unit-Costing Model v2 — working original.xlsx</t>
        </is>
      </c>
    </row>
    <row r="161" ht="40" customHeight="1">
      <c r="A161" s="4" t="inlineStr">
        <is>
          <t>original:Making plan!C17</t>
        </is>
      </c>
      <c r="B161" s="4" t="inlineStr">
        <is>
          <t>Making plan</t>
        </is>
      </c>
      <c r="C161" s="4" t="inlineStr">
        <is>
          <t>C17</t>
        </is>
      </c>
      <c r="D161" s="4" t="inlineStr">
        <is>
          <t>minutes</t>
        </is>
      </c>
      <c r="E161" s="4" t="inlineStr">
        <is>
          <t>minutes</t>
        </is>
      </c>
      <c r="F161" s="4" t="inlineStr">
        <is>
          <t>GOC Bed Unit-Costing Model v2 — working original.xlsx</t>
        </is>
      </c>
    </row>
    <row r="162" ht="45" customHeight="1">
      <c r="A162" s="4" t="inlineStr">
        <is>
          <t>original:Making plan!D17</t>
        </is>
      </c>
      <c r="B162" s="4" t="inlineStr">
        <is>
          <t>Making plan</t>
        </is>
      </c>
      <c r="C162" s="4" t="inlineStr">
        <is>
          <t>D17</t>
        </is>
      </c>
      <c r="D162" s="4" t="inlineStr">
        <is>
          <t>A single CNC must share its day between both sheet types.</t>
        </is>
      </c>
      <c r="E162" s="4" t="inlineStr">
        <is>
          <t>A single CNC must share its day between both sheet types.</t>
        </is>
      </c>
      <c r="F162" s="4" t="inlineStr">
        <is>
          <t>GOC Bed Unit-Costing Model v2 — working original.xlsx</t>
        </is>
      </c>
    </row>
    <row r="163" ht="40" customHeight="1">
      <c r="A163" s="4" t="inlineStr">
        <is>
          <t>original:Making plan!A18</t>
        </is>
      </c>
      <c r="B163" s="4" t="inlineStr">
        <is>
          <t>Making plan</t>
        </is>
      </c>
      <c r="C163" s="4" t="inlineStr">
        <is>
          <t>A18</t>
        </is>
      </c>
      <c r="D163" s="4" t="inlineStr">
        <is>
          <t>Ready tabs snapshot</t>
        </is>
      </c>
      <c r="E163" s="4" t="inlineStr">
        <is>
          <t>Ready tabs snapshot</t>
        </is>
      </c>
      <c r="F163" s="4" t="inlineStr">
        <is>
          <t>GOC Bed Unit-Costing Model v2 — working original.xlsx</t>
        </is>
      </c>
    </row>
    <row r="164" ht="40" customHeight="1">
      <c r="A164" s="4" t="inlineStr">
        <is>
          <t>original:Making plan!B18</t>
        </is>
      </c>
      <c r="B164" s="4" t="inlineStr">
        <is>
          <t>Making plan</t>
        </is>
      </c>
      <c r="C164" s="4" t="inlineStr">
        <is>
          <t>B18</t>
        </is>
      </c>
      <c r="D164" s="4" t="n">
        <v>660</v>
      </c>
      <c r="E164" s="4" t="n">
        <v>660</v>
      </c>
      <c r="F164" s="4" t="inlineStr">
        <is>
          <t>GOC Bed Unit-Costing Model v2 — working original.xlsx</t>
        </is>
      </c>
    </row>
    <row r="165" ht="40" customHeight="1">
      <c r="A165" s="4" t="inlineStr">
        <is>
          <t>original:Making plan!C18</t>
        </is>
      </c>
      <c r="B165" s="4" t="inlineStr">
        <is>
          <t>Making plan</t>
        </is>
      </c>
      <c r="C165" s="4" t="inlineStr">
        <is>
          <t>C18</t>
        </is>
      </c>
      <c r="D165" s="4" t="inlineStr">
        <is>
          <t>pieces</t>
        </is>
      </c>
      <c r="E165" s="4" t="inlineStr">
        <is>
          <t>pieces</t>
        </is>
      </c>
      <c r="F165" s="4" t="inlineStr">
        <is>
          <t>GOC Bed Unit-Costing Model v2 — working original.xlsx</t>
        </is>
      </c>
    </row>
    <row r="166" ht="45" customHeight="1">
      <c r="A166" s="4" t="inlineStr">
        <is>
          <t>original:Making plan!D18</t>
        </is>
      </c>
      <c r="B166" s="4" t="inlineStr">
        <is>
          <t>Making plan</t>
        </is>
      </c>
      <c r="C166" s="4" t="inlineStr">
        <is>
          <t>D18</t>
        </is>
      </c>
      <c r="D166" s="4" t="inlineStr">
        <is>
          <t>NM Play A142. Confirm fresh count before promising output.</t>
        </is>
      </c>
      <c r="E166" s="4" t="inlineStr">
        <is>
          <t>NM Play A142. Confirm fresh count before promising output.</t>
        </is>
      </c>
      <c r="F166" s="4" t="inlineStr">
        <is>
          <t>GOC Bed Unit-Costing Model v2 — working original.xlsx</t>
        </is>
      </c>
    </row>
    <row r="167" ht="40" customHeight="1">
      <c r="A167" s="4" t="inlineStr">
        <is>
          <t>original:Making plan!A19</t>
        </is>
      </c>
      <c r="B167" s="4" t="inlineStr">
        <is>
          <t>Making plan</t>
        </is>
      </c>
      <c r="C167" s="4" t="inlineStr">
        <is>
          <t>A19</t>
        </is>
      </c>
      <c r="D167" s="4" t="inlineStr">
        <is>
          <t>Ready legs snapshot</t>
        </is>
      </c>
      <c r="E167" s="4" t="inlineStr">
        <is>
          <t>Ready legs snapshot</t>
        </is>
      </c>
      <c r="F167" s="4" t="inlineStr">
        <is>
          <t>GOC Bed Unit-Costing Model v2 — working original.xlsx</t>
        </is>
      </c>
    </row>
    <row r="168" ht="40" customHeight="1">
      <c r="A168" s="4" t="inlineStr">
        <is>
          <t>original:Making plan!B19</t>
        </is>
      </c>
      <c r="B168" s="4" t="inlineStr">
        <is>
          <t>Making plan</t>
        </is>
      </c>
      <c r="C168" s="4" t="inlineStr">
        <is>
          <t>B19</t>
        </is>
      </c>
      <c r="D168" s="4" t="n">
        <v>464</v>
      </c>
      <c r="E168" s="4" t="n">
        <v>464</v>
      </c>
      <c r="F168" s="4" t="inlineStr">
        <is>
          <t>GOC Bed Unit-Costing Model v2 — working original.xlsx</t>
        </is>
      </c>
    </row>
    <row r="169" ht="40" customHeight="1">
      <c r="A169" s="4" t="inlineStr">
        <is>
          <t>original:Making plan!C19</t>
        </is>
      </c>
      <c r="B169" s="4" t="inlineStr">
        <is>
          <t>Making plan</t>
        </is>
      </c>
      <c r="C169" s="4" t="inlineStr">
        <is>
          <t>C19</t>
        </is>
      </c>
      <c r="D169" s="4" t="inlineStr">
        <is>
          <t>pieces</t>
        </is>
      </c>
      <c r="E169" s="4" t="inlineStr">
        <is>
          <t>pieces</t>
        </is>
      </c>
      <c r="F169" s="4" t="inlineStr">
        <is>
          <t>GOC Bed Unit-Costing Model v2 — working original.xlsx</t>
        </is>
      </c>
    </row>
    <row r="170" ht="45" customHeight="1">
      <c r="A170" s="4" t="inlineStr">
        <is>
          <t>original:Making plan!D19</t>
        </is>
      </c>
      <c r="B170" s="4" t="inlineStr">
        <is>
          <t>Making plan</t>
        </is>
      </c>
      <c r="C170" s="4" t="inlineStr">
        <is>
          <t>D19</t>
        </is>
      </c>
      <c r="D170" s="4" t="inlineStr">
        <is>
          <t>NM Play A146. Confirm fresh count; do not count uncut sheets again.</t>
        </is>
      </c>
      <c r="E170" s="4" t="inlineStr">
        <is>
          <t>NM Play A146. Confirm fresh count; do not count uncut sheets again.</t>
        </is>
      </c>
      <c r="F170" s="4" t="inlineStr">
        <is>
          <t>GOC Bed Unit-Costing Model v2 — working original.xlsx</t>
        </is>
      </c>
    </row>
    <row r="171" ht="40" customHeight="1">
      <c r="A171" s="4" t="inlineStr">
        <is>
          <t>original:Making plan!A20</t>
        </is>
      </c>
      <c r="B171" s="4" t="inlineStr">
        <is>
          <t>Making plan</t>
        </is>
      </c>
      <c r="C171" s="4" t="inlineStr">
        <is>
          <t>A20</t>
        </is>
      </c>
      <c r="D171" s="4" t="inlineStr">
        <is>
          <t>Raw plastic snapshot</t>
        </is>
      </c>
      <c r="E171" s="4" t="inlineStr">
        <is>
          <t>Raw plastic snapshot</t>
        </is>
      </c>
      <c r="F171" s="4" t="inlineStr">
        <is>
          <t>GOC Bed Unit-Costing Model v2 — working original.xlsx</t>
        </is>
      </c>
    </row>
    <row r="172" ht="40" customHeight="1">
      <c r="A172" s="4" t="inlineStr">
        <is>
          <t>original:Making plan!B20</t>
        </is>
      </c>
      <c r="B172" s="4" t="inlineStr">
        <is>
          <t>Making plan</t>
        </is>
      </c>
      <c r="C172" s="4" t="inlineStr">
        <is>
          <t>B20</t>
        </is>
      </c>
      <c r="D172" s="4" t="inlineStr">
        <is>
          <t>='NM Play'!A160</t>
        </is>
      </c>
      <c r="E172" s="4" t="n">
        <v>1800</v>
      </c>
      <c r="F172" s="4" t="inlineStr">
        <is>
          <t>GOC Bed Unit-Costing Model v2 — working original.xlsx</t>
        </is>
      </c>
    </row>
    <row r="173" ht="40" customHeight="1">
      <c r="A173" s="4" t="inlineStr">
        <is>
          <t>original:Making plan!C20</t>
        </is>
      </c>
      <c r="B173" s="4" t="inlineStr">
        <is>
          <t>Making plan</t>
        </is>
      </c>
      <c r="C173" s="4" t="inlineStr">
        <is>
          <t>C20</t>
        </is>
      </c>
      <c r="D173" s="4" t="inlineStr">
        <is>
          <t>kg</t>
        </is>
      </c>
      <c r="E173" s="4" t="inlineStr">
        <is>
          <t>kg</t>
        </is>
      </c>
      <c r="F173" s="4" t="inlineStr">
        <is>
          <t>GOC Bed Unit-Costing Model v2 — working original.xlsx</t>
        </is>
      </c>
    </row>
    <row r="174" ht="45" customHeight="1">
      <c r="A174" s="4" t="inlineStr">
        <is>
          <t>original:Making plan!D20</t>
        </is>
      </c>
      <c r="B174" s="4" t="inlineStr">
        <is>
          <t>Making plan</t>
        </is>
      </c>
      <c r="C174" s="4" t="inlineStr">
        <is>
          <t>D20</t>
        </is>
      </c>
      <c r="D174" s="4" t="inlineStr">
        <is>
          <t>NM Play A160: 1,800 kg. Source snapshot, not current inventory.</t>
        </is>
      </c>
      <c r="E174" s="4" t="inlineStr">
        <is>
          <t>NM Play A160: 1,800 kg. Source snapshot, not current inventory.</t>
        </is>
      </c>
      <c r="F174" s="4" t="inlineStr">
        <is>
          <t>GOC Bed Unit-Costing Model v2 — working original.xlsx</t>
        </is>
      </c>
    </row>
    <row r="175" ht="40" customHeight="1">
      <c r="A175" s="4" t="inlineStr">
        <is>
          <t>original:Making plan!A21</t>
        </is>
      </c>
      <c r="B175" s="4" t="inlineStr">
        <is>
          <t>Making plan</t>
        </is>
      </c>
      <c r="C175" s="4" t="inlineStr">
        <is>
          <t>A21</t>
        </is>
      </c>
      <c r="D175" s="4" t="inlineStr">
        <is>
          <t>Plastic per sheet</t>
        </is>
      </c>
      <c r="E175" s="4" t="inlineStr">
        <is>
          <t>Plastic per sheet</t>
        </is>
      </c>
      <c r="F175" s="4" t="inlineStr">
        <is>
          <t>GOC Bed Unit-Costing Model v2 — working original.xlsx</t>
        </is>
      </c>
    </row>
    <row r="176" ht="40" customHeight="1">
      <c r="A176" s="4" t="inlineStr">
        <is>
          <t>original:Making plan!B21</t>
        </is>
      </c>
      <c r="B176" s="4" t="inlineStr">
        <is>
          <t>Making plan</t>
        </is>
      </c>
      <c r="C176" s="4" t="inlineStr">
        <is>
          <t>B21</t>
        </is>
      </c>
      <c r="D176" s="4" t="n">
        <v>20</v>
      </c>
      <c r="E176" s="4" t="n">
        <v>20</v>
      </c>
      <c r="F176" s="4" t="inlineStr">
        <is>
          <t>GOC Bed Unit-Costing Model v2 — working original.xlsx</t>
        </is>
      </c>
    </row>
    <row r="177" ht="40" customHeight="1">
      <c r="A177" s="4" t="inlineStr">
        <is>
          <t>original:Making plan!C21</t>
        </is>
      </c>
      <c r="B177" s="4" t="inlineStr">
        <is>
          <t>Making plan</t>
        </is>
      </c>
      <c r="C177" s="4" t="inlineStr">
        <is>
          <t>C21</t>
        </is>
      </c>
      <c r="D177" s="4" t="inlineStr">
        <is>
          <t>kg/sheet</t>
        </is>
      </c>
      <c r="E177" s="4" t="inlineStr">
        <is>
          <t>kg/sheet</t>
        </is>
      </c>
      <c r="F177" s="4" t="inlineStr">
        <is>
          <t>GOC Bed Unit-Costing Model v2 — working original.xlsx</t>
        </is>
      </c>
    </row>
    <row r="178" ht="60" customHeight="1">
      <c r="A178" s="4" t="inlineStr">
        <is>
          <t>original:Making plan!D21</t>
        </is>
      </c>
      <c r="B178" s="4" t="inlineStr">
        <is>
          <t>Making plan</t>
        </is>
      </c>
      <c r="C178" s="4" t="inlineStr">
        <is>
          <t>D21</t>
        </is>
      </c>
      <c r="D178" s="4" t="inlineStr">
        <is>
          <t>NM Play B68 uses 20 kg; A159 uses 15 kg. Selected cost basis 20 until weighed.</t>
        </is>
      </c>
      <c r="E178" s="4" t="inlineStr">
        <is>
          <t>NM Play B68 uses 20 kg; A159 uses 15 kg. Selected cost basis 20 until weighed.</t>
        </is>
      </c>
      <c r="F178" s="4" t="inlineStr">
        <is>
          <t>GOC Bed Unit-Costing Model v2 — working original.xlsx</t>
        </is>
      </c>
    </row>
    <row r="179" ht="40" customHeight="1">
      <c r="A179" s="4" t="inlineStr">
        <is>
          <t>original:Making plan!A22</t>
        </is>
      </c>
      <c r="B179" s="4" t="inlineStr">
        <is>
          <t>Making plan</t>
        </is>
      </c>
      <c r="C179" s="4" t="inlineStr">
        <is>
          <t>A22</t>
        </is>
      </c>
      <c r="D179" s="4" t="inlineStr">
        <is>
          <t>Plastic cost per kg</t>
        </is>
      </c>
      <c r="E179" s="4" t="inlineStr">
        <is>
          <t>Plastic cost per kg</t>
        </is>
      </c>
      <c r="F179" s="4" t="inlineStr">
        <is>
          <t>GOC Bed Unit-Costing Model v2 — working original.xlsx</t>
        </is>
      </c>
    </row>
    <row r="180" ht="40" customHeight="1">
      <c r="A180" s="4" t="inlineStr">
        <is>
          <t>original:Making plan!B22</t>
        </is>
      </c>
      <c r="B180" s="4" t="inlineStr">
        <is>
          <t>Making plan</t>
        </is>
      </c>
      <c r="C180" s="4" t="inlineStr">
        <is>
          <t>B22</t>
        </is>
      </c>
      <c r="D180" s="4" t="inlineStr">
        <is>
          <t>='NM Play'!B68/('NM Play'!B66*20)</t>
        </is>
      </c>
      <c r="E180" s="4" t="n">
        <v>3</v>
      </c>
      <c r="F180" s="4" t="inlineStr">
        <is>
          <t>GOC Bed Unit-Costing Model v2 — working original.xlsx</t>
        </is>
      </c>
    </row>
    <row r="181" ht="40" customHeight="1">
      <c r="A181" s="4" t="inlineStr">
        <is>
          <t>original:Making plan!C22</t>
        </is>
      </c>
      <c r="B181" s="4" t="inlineStr">
        <is>
          <t>Making plan</t>
        </is>
      </c>
      <c r="C181" s="4" t="inlineStr">
        <is>
          <t>C22</t>
        </is>
      </c>
      <c r="D181" s="4" t="inlineStr">
        <is>
          <t>AUD/kg</t>
        </is>
      </c>
      <c r="E181" s="4" t="inlineStr">
        <is>
          <t>AUD/kg</t>
        </is>
      </c>
      <c r="F181" s="4" t="inlineStr">
        <is>
          <t>GOC Bed Unit-Costing Model v2 — working original.xlsx</t>
        </is>
      </c>
    </row>
    <row r="182" ht="90" customHeight="1">
      <c r="A182" s="4" t="inlineStr">
        <is>
          <t>original:Making plan!D22</t>
        </is>
      </c>
      <c r="B182" s="4" t="inlineStr">
        <is>
          <t>Making plan</t>
        </is>
      </c>
      <c r="C182" s="4" t="inlineStr">
        <is>
          <t>D22</t>
        </is>
      </c>
      <c r="D182" s="4" t="inlineStr">
        <is>
          <t>$3/kg derived from NM's stated 20 kg × 6 sheets. Changing sheet weight now changes the plastic budget, not the supplier price.</t>
        </is>
      </c>
      <c r="E182" s="4" t="inlineStr">
        <is>
          <t>$3/kg derived from NM's stated 20 kg × 6 sheets. Changing sheet weight now changes the plastic budget, not the supplier price.</t>
        </is>
      </c>
      <c r="F182" s="4" t="inlineStr">
        <is>
          <t>GOC Bed Unit-Costing Model v2 — working original.xlsx</t>
        </is>
      </c>
    </row>
    <row r="183" ht="40" customHeight="1">
      <c r="A183" s="4" t="inlineStr">
        <is>
          <t>original:Making plan!A23</t>
        </is>
      </c>
      <c r="B183" s="4" t="inlineStr">
        <is>
          <t>Making plan</t>
        </is>
      </c>
      <c r="C183" s="4" t="inlineStr">
        <is>
          <t>A23</t>
        </is>
      </c>
      <c r="D183" s="4" t="inlineStr">
        <is>
          <t>Electricity per day</t>
        </is>
      </c>
      <c r="E183" s="4" t="inlineStr">
        <is>
          <t>Electricity per day</t>
        </is>
      </c>
      <c r="F183" s="4" t="inlineStr">
        <is>
          <t>GOC Bed Unit-Costing Model v2 — working original.xlsx</t>
        </is>
      </c>
    </row>
    <row r="184" ht="40" customHeight="1">
      <c r="A184" s="4" t="inlineStr">
        <is>
          <t>original:Making plan!B23</t>
        </is>
      </c>
      <c r="B184" s="4" t="inlineStr">
        <is>
          <t>Making plan</t>
        </is>
      </c>
      <c r="C184" s="4" t="inlineStr">
        <is>
          <t>B23</t>
        </is>
      </c>
      <c r="D184" s="4" t="inlineStr">
        <is>
          <t>='NM Play'!B67</t>
        </is>
      </c>
      <c r="E184" s="4" t="n">
        <v>50</v>
      </c>
      <c r="F184" s="4" t="inlineStr">
        <is>
          <t>GOC Bed Unit-Costing Model v2 — working original.xlsx</t>
        </is>
      </c>
    </row>
    <row r="185" ht="40" customHeight="1">
      <c r="A185" s="4" t="inlineStr">
        <is>
          <t>original:Making plan!C23</t>
        </is>
      </c>
      <c r="B185" s="4" t="inlineStr">
        <is>
          <t>Making plan</t>
        </is>
      </c>
      <c r="C185" s="4" t="inlineStr">
        <is>
          <t>C23</t>
        </is>
      </c>
      <c r="D185" s="4" t="inlineStr">
        <is>
          <t>AUD/day</t>
        </is>
      </c>
      <c r="E185" s="4" t="inlineStr">
        <is>
          <t>AUD/day</t>
        </is>
      </c>
      <c r="F185" s="4" t="inlineStr">
        <is>
          <t>GOC Bed Unit-Costing Model v2 — working original.xlsx</t>
        </is>
      </c>
    </row>
    <row r="186" ht="45" customHeight="1">
      <c r="A186" s="4" t="inlineStr">
        <is>
          <t>original:Making plan!D23</t>
        </is>
      </c>
      <c r="B186" s="4" t="inlineStr">
        <is>
          <t>Making plan</t>
        </is>
      </c>
      <c r="C186" s="4" t="inlineStr">
        <is>
          <t>D23</t>
        </is>
      </c>
      <c r="D186" s="4" t="inlineStr">
        <is>
          <t>50/day estimate; define whether shared with CNC/shredder.</t>
        </is>
      </c>
      <c r="E186" s="4" t="inlineStr">
        <is>
          <t>50/day estimate; define whether shared with CNC/shredder.</t>
        </is>
      </c>
      <c r="F186" s="4" t="inlineStr">
        <is>
          <t>GOC Bed Unit-Costing Model v2 — working original.xlsx</t>
        </is>
      </c>
    </row>
    <row r="187" ht="40" customHeight="1">
      <c r="A187" s="4" t="inlineStr">
        <is>
          <t>original:Making plan!A24</t>
        </is>
      </c>
      <c r="B187" s="4" t="inlineStr">
        <is>
          <t>Making plan</t>
        </is>
      </c>
      <c r="C187" s="4" t="inlineStr">
        <is>
          <t>A24</t>
        </is>
      </c>
      <c r="D187" s="4" t="inlineStr">
        <is>
          <t>Factory crew, consumables and rent / day</t>
        </is>
      </c>
      <c r="E187" s="4" t="inlineStr">
        <is>
          <t>Factory crew, consumables and rent / day</t>
        </is>
      </c>
      <c r="F187" s="4" t="inlineStr">
        <is>
          <t>GOC Bed Unit-Costing Model v2 — working original.xlsx</t>
        </is>
      </c>
    </row>
    <row r="188" ht="40" customHeight="1">
      <c r="A188" s="4" t="inlineStr">
        <is>
          <t>original:Making plan!B24</t>
        </is>
      </c>
      <c r="B188" s="4" t="inlineStr">
        <is>
          <t>Making plan</t>
        </is>
      </c>
      <c r="C188" s="4" t="inlineStr">
        <is>
          <t>B24</t>
        </is>
      </c>
      <c r="D188" s="4" t="inlineStr">
        <is>
          <t>=SUM('NM Play'!B87:B90)</t>
        </is>
      </c>
      <c r="E188" s="4" t="n">
        <v>700</v>
      </c>
      <c r="F188" s="4" t="inlineStr">
        <is>
          <t>GOC Bed Unit-Costing Model v2 — working original.xlsx</t>
        </is>
      </c>
    </row>
    <row r="189" ht="40" customHeight="1">
      <c r="A189" s="4" t="inlineStr">
        <is>
          <t>original:Making plan!C24</t>
        </is>
      </c>
      <c r="B189" s="4" t="inlineStr">
        <is>
          <t>Making plan</t>
        </is>
      </c>
      <c r="C189" s="4" t="inlineStr">
        <is>
          <t>C24</t>
        </is>
      </c>
      <c r="D189" s="4" t="inlineStr">
        <is>
          <t>AUD/day</t>
        </is>
      </c>
      <c r="E189" s="4" t="inlineStr">
        <is>
          <t>AUD/day</t>
        </is>
      </c>
      <c r="F189" s="4" t="inlineStr">
        <is>
          <t>GOC Bed Unit-Costing Model v2 — working original.xlsx</t>
        </is>
      </c>
    </row>
    <row r="190" ht="75" customHeight="1">
      <c r="A190" s="4" t="inlineStr">
        <is>
          <t>original:Making plan!D24</t>
        </is>
      </c>
      <c r="B190" s="4" t="inlineStr">
        <is>
          <t>Making plan</t>
        </is>
      </c>
      <c r="C190" s="4" t="inlineStr">
        <is>
          <t>D24</t>
        </is>
      </c>
      <c r="D190" s="4" t="inlineStr">
        <is>
          <t>700/day includes Joey, consumables and rent. Katrina is blank, so labour scope is incomplete.</t>
        </is>
      </c>
      <c r="E190" s="4" t="inlineStr">
        <is>
          <t>700/day includes Joey, consumables and rent. Katrina is blank, so labour scope is incomplete.</t>
        </is>
      </c>
      <c r="F190" s="4" t="inlineStr">
        <is>
          <t>GOC Bed Unit-Costing Model v2 — working original.xlsx</t>
        </is>
      </c>
    </row>
    <row r="191" ht="40" customHeight="1">
      <c r="A191" s="4" t="inlineStr">
        <is>
          <t>original:Making plan!A25</t>
        </is>
      </c>
      <c r="B191" s="4" t="inlineStr">
        <is>
          <t>Making plan</t>
        </is>
      </c>
      <c r="C191" s="4" t="inlineStr">
        <is>
          <t>A25</t>
        </is>
      </c>
      <c r="D191" s="4" t="inlineStr">
        <is>
          <t>Defy leg-panel cost per bed</t>
        </is>
      </c>
      <c r="E191" s="4" t="inlineStr">
        <is>
          <t>Defy leg-panel cost per bed</t>
        </is>
      </c>
      <c r="F191" s="4" t="inlineStr">
        <is>
          <t>GOC Bed Unit-Costing Model v2 — working original.xlsx</t>
        </is>
      </c>
    </row>
    <row r="192" ht="40" customHeight="1">
      <c r="A192" s="4" t="inlineStr">
        <is>
          <t>original:Making plan!B25</t>
        </is>
      </c>
      <c r="B192" s="4" t="inlineStr">
        <is>
          <t>Making plan</t>
        </is>
      </c>
      <c r="C192" s="4" t="inlineStr">
        <is>
          <t>B25</t>
        </is>
      </c>
      <c r="D192" s="4" t="n">
        <v>160</v>
      </c>
      <c r="E192" s="4" t="n">
        <v>160</v>
      </c>
      <c r="F192" s="4" t="inlineStr">
        <is>
          <t>GOC Bed Unit-Costing Model v2 — working original.xlsx</t>
        </is>
      </c>
    </row>
    <row r="193" ht="40" customHeight="1">
      <c r="A193" s="4" t="inlineStr">
        <is>
          <t>original:Making plan!C25</t>
        </is>
      </c>
      <c r="B193" s="4" t="inlineStr">
        <is>
          <t>Making plan</t>
        </is>
      </c>
      <c r="C193" s="4" t="inlineStr">
        <is>
          <t>C25</t>
        </is>
      </c>
      <c r="D193" s="4" t="inlineStr">
        <is>
          <t>AUD/bed</t>
        </is>
      </c>
      <c r="E193" s="4" t="inlineStr">
        <is>
          <t>AUD/bed</t>
        </is>
      </c>
      <c r="F193" s="4" t="inlineStr">
        <is>
          <t>GOC Bed Unit-Costing Model v2 — working original.xlsx</t>
        </is>
      </c>
    </row>
    <row r="194" ht="60" customHeight="1">
      <c r="A194" s="4" t="inlineStr">
        <is>
          <t>original:Making plan!D25</t>
        </is>
      </c>
      <c r="B194" s="4" t="inlineStr">
        <is>
          <t>Making plan</t>
        </is>
      </c>
      <c r="C194" s="4" t="inlineStr">
        <is>
          <t>D25</t>
        </is>
      </c>
      <c r="D194" s="4" t="inlineStr">
        <is>
          <t>NM Play B82 text assumption; confirm what processing/freight is included.</t>
        </is>
      </c>
      <c r="E194" s="4" t="inlineStr">
        <is>
          <t>NM Play B82 text assumption; confirm what processing/freight is included.</t>
        </is>
      </c>
      <c r="F194" s="4" t="inlineStr">
        <is>
          <t>GOC Bed Unit-Costing Model v2 — working original.xlsx</t>
        </is>
      </c>
    </row>
    <row r="195" ht="40" customHeight="1">
      <c r="A195" s="4" t="inlineStr">
        <is>
          <t>original:Making plan!A26</t>
        </is>
      </c>
      <c r="B195" s="4" t="inlineStr">
        <is>
          <t>Making plan</t>
        </is>
      </c>
      <c r="C195" s="4" t="inlineStr">
        <is>
          <t>A26</t>
        </is>
      </c>
      <c r="D195" s="4" t="inlineStr">
        <is>
          <t>Other bed parts + final assembly</t>
        </is>
      </c>
      <c r="E195" s="4" t="inlineStr">
        <is>
          <t>Other bed parts + final assembly</t>
        </is>
      </c>
      <c r="F195" s="4" t="inlineStr">
        <is>
          <t>GOC Bed Unit-Costing Model v2 — working original.xlsx</t>
        </is>
      </c>
    </row>
    <row r="196" ht="40" customHeight="1">
      <c r="A196" s="4" t="inlineStr">
        <is>
          <t>original:Making plan!B26</t>
        </is>
      </c>
      <c r="B196" s="4" t="inlineStr">
        <is>
          <t>Making plan</t>
        </is>
      </c>
      <c r="C196" s="4" t="inlineStr">
        <is>
          <t>B26</t>
        </is>
      </c>
      <c r="D196" s="4" t="inlineStr">
        <is>
          <t>=SUM('NM Play'!D7:D10)</t>
        </is>
      </c>
      <c r="E196" s="4" t="n">
        <v>165.74</v>
      </c>
      <c r="F196" s="4" t="inlineStr">
        <is>
          <t>GOC Bed Unit-Costing Model v2 — working original.xlsx</t>
        </is>
      </c>
    </row>
    <row r="197" ht="40" customHeight="1">
      <c r="A197" s="4" t="inlineStr">
        <is>
          <t>original:Making plan!C26</t>
        </is>
      </c>
      <c r="B197" s="4" t="inlineStr">
        <is>
          <t>Making plan</t>
        </is>
      </c>
      <c r="C197" s="4" t="inlineStr">
        <is>
          <t>C26</t>
        </is>
      </c>
      <c r="D197" s="4" t="inlineStr">
        <is>
          <t>AUD/bed</t>
        </is>
      </c>
      <c r="E197" s="4" t="inlineStr">
        <is>
          <t>AUD/bed</t>
        </is>
      </c>
      <c r="F197" s="4" t="inlineStr">
        <is>
          <t>GOC Bed Unit-Costing Model v2 — working original.xlsx</t>
        </is>
      </c>
    </row>
    <row r="198" ht="75" customHeight="1">
      <c r="A198" s="4" t="inlineStr">
        <is>
          <t>original:Making plan!D26</t>
        </is>
      </c>
      <c r="B198" s="4" t="inlineStr">
        <is>
          <t>Making plan</t>
        </is>
      </c>
      <c r="C198" s="4" t="inlineStr">
        <is>
          <t>D26</t>
        </is>
      </c>
      <c r="D198" s="4" t="inlineStr">
        <is>
          <t>Poles, canvas, hardware and assembly. Do not add assembly again if already covered by crew scope.</t>
        </is>
      </c>
      <c r="E198" s="4" t="inlineStr">
        <is>
          <t>Poles, canvas, hardware and assembly. Do not add assembly again if already covered by crew scope.</t>
        </is>
      </c>
      <c r="F198" s="4" t="inlineStr">
        <is>
          <t>GOC Bed Unit-Costing Model v2 — working original.xlsx</t>
        </is>
      </c>
    </row>
    <row r="199" ht="40" customHeight="1">
      <c r="A199" s="4" t="inlineStr">
        <is>
          <t>original:Making plan!A27</t>
        </is>
      </c>
      <c r="B199" s="4" t="inlineStr">
        <is>
          <t>Making plan</t>
        </is>
      </c>
      <c r="C199" s="4" t="inlineStr">
        <is>
          <t>A27</t>
        </is>
      </c>
      <c r="D199" s="4" t="inlineStr">
        <is>
          <t>Freight per delivered bed</t>
        </is>
      </c>
      <c r="E199" s="4" t="inlineStr">
        <is>
          <t>Freight per delivered bed</t>
        </is>
      </c>
      <c r="F199" s="4" t="inlineStr">
        <is>
          <t>GOC Bed Unit-Costing Model v2 — working original.xlsx</t>
        </is>
      </c>
    </row>
    <row r="200" ht="40" customHeight="1">
      <c r="A200" s="4" t="inlineStr">
        <is>
          <t>original:Making plan!C27</t>
        </is>
      </c>
      <c r="B200" s="4" t="inlineStr">
        <is>
          <t>Making plan</t>
        </is>
      </c>
      <c r="C200" s="4" t="inlineStr">
        <is>
          <t>C27</t>
        </is>
      </c>
      <c r="D200" s="4" t="inlineStr">
        <is>
          <t>AUD/bed</t>
        </is>
      </c>
      <c r="E200" s="4" t="inlineStr">
        <is>
          <t>AUD/bed</t>
        </is>
      </c>
      <c r="F200" s="4" t="inlineStr">
        <is>
          <t>GOC Bed Unit-Costing Model v2 — working original.xlsx</t>
        </is>
      </c>
    </row>
    <row r="201" ht="45" customHeight="1">
      <c r="A201" s="4" t="inlineStr">
        <is>
          <t>original:Making plan!D27</t>
        </is>
      </c>
      <c r="B201" s="4" t="inlineStr">
        <is>
          <t>Making plan</t>
        </is>
      </c>
      <c r="C201" s="4" t="inlineStr">
        <is>
          <t>D27</t>
        </is>
      </c>
      <c r="D201" s="4" t="inlineStr">
        <is>
          <t>Unpriced for this NM route. Enter the actual route cost.</t>
        </is>
      </c>
      <c r="E201" s="4" t="inlineStr">
        <is>
          <t>Unpriced for this NM route. Enter the actual route cost.</t>
        </is>
      </c>
      <c r="F201" s="4" t="inlineStr">
        <is>
          <t>GOC Bed Unit-Costing Model v2 — working original.xlsx</t>
        </is>
      </c>
    </row>
    <row r="202" ht="40" customHeight="1">
      <c r="A202" s="4" t="inlineStr">
        <is>
          <t>original:Making plan!A28</t>
        </is>
      </c>
      <c r="B202" s="4" t="inlineStr">
        <is>
          <t>Making plan</t>
        </is>
      </c>
      <c r="C202" s="4" t="inlineStr">
        <is>
          <t>A28</t>
        </is>
      </c>
      <c r="D202" s="4" t="inlineStr">
        <is>
          <t>Working community bed target</t>
        </is>
      </c>
      <c r="E202" s="4" t="inlineStr">
        <is>
          <t>Working community bed target</t>
        </is>
      </c>
      <c r="F202" s="4" t="inlineStr">
        <is>
          <t>GOC Bed Unit-Costing Model v2 — working original.xlsx</t>
        </is>
      </c>
    </row>
    <row r="203" ht="40" customHeight="1">
      <c r="A203" s="4" t="inlineStr">
        <is>
          <t>original:Making plan!B28</t>
        </is>
      </c>
      <c r="B203" s="4" t="inlineStr">
        <is>
          <t>Making plan</t>
        </is>
      </c>
      <c r="C203" s="4" t="inlineStr">
        <is>
          <t>B28</t>
        </is>
      </c>
      <c r="D203" s="4" t="inlineStr">
        <is>
          <t>=SUM('Community targets'!B6:B10)</t>
        </is>
      </c>
      <c r="E203" s="4" t="n">
        <v>1000</v>
      </c>
      <c r="F203" s="4" t="inlineStr">
        <is>
          <t>GOC Bed Unit-Costing Model v2 — working original.xlsx</t>
        </is>
      </c>
    </row>
    <row r="204" ht="40" customHeight="1">
      <c r="A204" s="4" t="inlineStr">
        <is>
          <t>original:Making plan!C28</t>
        </is>
      </c>
      <c r="B204" s="4" t="inlineStr">
        <is>
          <t>Making plan</t>
        </is>
      </c>
      <c r="C204" s="4" t="inlineStr">
        <is>
          <t>C28</t>
        </is>
      </c>
      <c r="D204" s="4" t="inlineStr">
        <is>
          <t>beds</t>
        </is>
      </c>
      <c r="E204" s="4" t="inlineStr">
        <is>
          <t>beds</t>
        </is>
      </c>
      <c r="F204" s="4" t="inlineStr">
        <is>
          <t>GOC Bed Unit-Costing Model v2 — working original.xlsx</t>
        </is>
      </c>
    </row>
    <row r="205" ht="45" customHeight="1">
      <c r="A205" s="4" t="inlineStr">
        <is>
          <t>original:Making plan!D28</t>
        </is>
      </c>
      <c r="B205" s="4" t="inlineStr">
        <is>
          <t>Making plan</t>
        </is>
      </c>
      <c r="C205" s="4" t="inlineStr">
        <is>
          <t>D28</t>
        </is>
      </c>
      <c r="D205" s="4" t="inlineStr">
        <is>
          <t>Five regional planning targets; no orders implied.</t>
        </is>
      </c>
      <c r="E205" s="4" t="inlineStr">
        <is>
          <t>Five regional planning targets; no orders implied.</t>
        </is>
      </c>
      <c r="F205" s="4" t="inlineStr">
        <is>
          <t>GOC Bed Unit-Costing Model v2 — working original.xlsx</t>
        </is>
      </c>
    </row>
    <row r="206" ht="40" customHeight="1">
      <c r="A206" s="4" t="inlineStr">
        <is>
          <t>original:Making plan!A29</t>
        </is>
      </c>
      <c r="B206" s="4" t="inlineStr">
        <is>
          <t>Making plan</t>
        </is>
      </c>
      <c r="C206" s="4" t="inlineStr">
        <is>
          <t>A29</t>
        </is>
      </c>
      <c r="D206" s="4" t="inlineStr">
        <is>
          <t>Original NM working batch</t>
        </is>
      </c>
      <c r="E206" s="4" t="inlineStr">
        <is>
          <t>Original NM working batch</t>
        </is>
      </c>
      <c r="F206" s="4" t="inlineStr">
        <is>
          <t>GOC Bed Unit-Costing Model v2 — working original.xlsx</t>
        </is>
      </c>
    </row>
    <row r="207" ht="40" customHeight="1">
      <c r="A207" s="4" t="inlineStr">
        <is>
          <t>original:Making plan!B29</t>
        </is>
      </c>
      <c r="B207" s="4" t="inlineStr">
        <is>
          <t>Making plan</t>
        </is>
      </c>
      <c r="C207" s="4" t="inlineStr">
        <is>
          <t>B29</t>
        </is>
      </c>
      <c r="D207" s="4" t="inlineStr">
        <is>
          <t>='NM Play'!A148</t>
        </is>
      </c>
      <c r="E207" s="4" t="n">
        <v>523</v>
      </c>
      <c r="F207" s="4" t="inlineStr">
        <is>
          <t>GOC Bed Unit-Costing Model v2 — working original.xlsx</t>
        </is>
      </c>
    </row>
    <row r="208" ht="40" customHeight="1">
      <c r="A208" s="4" t="inlineStr">
        <is>
          <t>original:Making plan!C29</t>
        </is>
      </c>
      <c r="B208" s="4" t="inlineStr">
        <is>
          <t>Making plan</t>
        </is>
      </c>
      <c r="C208" s="4" t="inlineStr">
        <is>
          <t>C29</t>
        </is>
      </c>
      <c r="D208" s="4" t="inlineStr">
        <is>
          <t>beds</t>
        </is>
      </c>
      <c r="E208" s="4" t="inlineStr">
        <is>
          <t>beds</t>
        </is>
      </c>
      <c r="F208" s="4" t="inlineStr">
        <is>
          <t>GOC Bed Unit-Costing Model v2 — working original.xlsx</t>
        </is>
      </c>
    </row>
    <row r="209" ht="60" customHeight="1">
      <c r="A209" s="4" t="inlineStr">
        <is>
          <t>original:Making plan!D29</t>
        </is>
      </c>
      <c r="B209" s="4" t="inlineStr">
        <is>
          <t>Making plan</t>
        </is>
      </c>
      <c r="C209" s="4" t="inlineStr">
        <is>
          <t>D29</t>
        </is>
      </c>
      <c r="D209" s="4" t="inlineStr">
        <is>
          <t>523 is a separate scratch batch; it is not added to the regional or locality target lists.</t>
        </is>
      </c>
      <c r="E209" s="4" t="inlineStr">
        <is>
          <t>523 is a separate scratch batch; it is not added to the regional or locality target lists.</t>
        </is>
      </c>
      <c r="F209" s="4" t="inlineStr">
        <is>
          <t>GOC Bed Unit-Costing Model v2 — working original.xlsx</t>
        </is>
      </c>
    </row>
    <row r="210" ht="40" customHeight="1">
      <c r="A210" s="4" t="inlineStr">
        <is>
          <t>original:Making plan!A30</t>
        </is>
      </c>
      <c r="B210" s="4" t="inlineStr">
        <is>
          <t>Making plan</t>
        </is>
      </c>
      <c r="C210" s="4" t="inlineStr">
        <is>
          <t>A30</t>
        </is>
      </c>
      <c r="D210" s="4" t="inlineStr">
        <is>
          <t>Full cost ready?</t>
        </is>
      </c>
      <c r="E210" s="4" t="inlineStr">
        <is>
          <t>Full cost ready?</t>
        </is>
      </c>
      <c r="F210" s="4" t="inlineStr">
        <is>
          <t>GOC Bed Unit-Costing Model v2 — working original.xlsx</t>
        </is>
      </c>
    </row>
    <row r="211" ht="40" customHeight="1">
      <c r="A211" s="4" t="inlineStr">
        <is>
          <t>original:Making plan!B30</t>
        </is>
      </c>
      <c r="B211" s="4" t="inlineStr">
        <is>
          <t>Making plan</t>
        </is>
      </c>
      <c r="C211" s="4" t="inlineStr">
        <is>
          <t>B30</t>
        </is>
      </c>
      <c r="D211" s="4" t="inlineStr">
        <is>
          <t>No</t>
        </is>
      </c>
      <c r="E211" s="4" t="inlineStr">
        <is>
          <t>No</t>
        </is>
      </c>
      <c r="F211" s="4" t="inlineStr">
        <is>
          <t>GOC Bed Unit-Costing Model v2 — working original.xlsx</t>
        </is>
      </c>
    </row>
    <row r="212" ht="40" customHeight="1">
      <c r="A212" s="4" t="inlineStr">
        <is>
          <t>original:Making plan!C30</t>
        </is>
      </c>
      <c r="B212" s="4" t="inlineStr">
        <is>
          <t>Making plan</t>
        </is>
      </c>
      <c r="C212" s="4" t="inlineStr">
        <is>
          <t>C30</t>
        </is>
      </c>
      <c r="D212" s="4" t="inlineStr">
        <is>
          <t>Yes / No</t>
        </is>
      </c>
      <c r="E212" s="4" t="inlineStr">
        <is>
          <t>Yes / No</t>
        </is>
      </c>
      <c r="F212" s="4" t="inlineStr">
        <is>
          <t>GOC Bed Unit-Costing Model v2 — working original.xlsx</t>
        </is>
      </c>
    </row>
    <row r="213" ht="75" customHeight="1">
      <c r="A213" s="4" t="inlineStr">
        <is>
          <t>original:Making plan!D30</t>
        </is>
      </c>
      <c r="B213" s="4" t="inlineStr">
        <is>
          <t>Making plan</t>
        </is>
      </c>
      <c r="C213" s="4" t="inlineStr">
        <is>
          <t>D30</t>
        </is>
      </c>
      <c r="D213" s="4" t="inlineStr">
        <is>
          <t>Keep No until Katrina/crew, freight, cutting, edging, shredding and overhead overlaps are resolved.</t>
        </is>
      </c>
      <c r="E213" s="4" t="inlineStr">
        <is>
          <t>Keep No until Katrina/crew, freight, cutting, edging, shredding and overhead overlaps are resolved.</t>
        </is>
      </c>
      <c r="F213" s="4" t="inlineStr">
        <is>
          <t>GOC Bed Unit-Costing Model v2 — working original.xlsx</t>
        </is>
      </c>
    </row>
    <row r="214" ht="40" customHeight="1">
      <c r="A214" s="4" t="inlineStr">
        <is>
          <t>original:Making plan!A32</t>
        </is>
      </c>
      <c r="B214" s="4" t="inlineStr">
        <is>
          <t>Making plan</t>
        </is>
      </c>
      <c r="C214" s="4" t="inlineStr">
        <is>
          <t>A32</t>
        </is>
      </c>
      <c r="D214" s="4" t="inlineStr">
        <is>
          <t>Steady HDPE sets / planning month</t>
        </is>
      </c>
      <c r="E214" s="4" t="inlineStr">
        <is>
          <t>Steady HDPE sets / planning month</t>
        </is>
      </c>
      <c r="F214" s="4" t="inlineStr">
        <is>
          <t>GOC Bed Unit-Costing Model v2 — working original.xlsx</t>
        </is>
      </c>
    </row>
    <row r="215" ht="40" customHeight="1">
      <c r="A215" s="4" t="inlineStr">
        <is>
          <t>original:Making plan!B32</t>
        </is>
      </c>
      <c r="B215" s="4" t="inlineStr">
        <is>
          <t>Making plan</t>
        </is>
      </c>
      <c r="C215" s="4" t="inlineStr">
        <is>
          <t>B32</t>
        </is>
      </c>
      <c r="D215" s="4" t="inlineStr">
        <is>
          <t>=B42*B8</t>
        </is>
      </c>
      <c r="E215" s="4" t="n">
        <v>60</v>
      </c>
      <c r="F215" s="4" t="inlineStr">
        <is>
          <t>GOC Bed Unit-Costing Model v2 — working original.xlsx</t>
        </is>
      </c>
    </row>
    <row r="216" ht="40" customHeight="1">
      <c r="A216" s="4" t="inlineStr">
        <is>
          <t>original:Making plan!A33</t>
        </is>
      </c>
      <c r="B216" s="4" t="inlineStr">
        <is>
          <t>Making plan</t>
        </is>
      </c>
      <c r="C216" s="4" t="inlineStr">
        <is>
          <t>A33</t>
        </is>
      </c>
      <c r="D216" s="4" t="inlineStr">
        <is>
          <t>Steady HDPE sets / productive year</t>
        </is>
      </c>
      <c r="E216" s="4" t="inlineStr">
        <is>
          <t>Steady HDPE sets / productive year</t>
        </is>
      </c>
      <c r="F216" s="4" t="inlineStr">
        <is>
          <t>GOC Bed Unit-Costing Model v2 — working original.xlsx</t>
        </is>
      </c>
    </row>
    <row r="217" ht="40" customHeight="1">
      <c r="A217" s="4" t="inlineStr">
        <is>
          <t>original:Making plan!B33</t>
        </is>
      </c>
      <c r="B217" s="4" t="inlineStr">
        <is>
          <t>Making plan</t>
        </is>
      </c>
      <c r="C217" s="4" t="inlineStr">
        <is>
          <t>B33</t>
        </is>
      </c>
      <c r="D217" s="4" t="inlineStr">
        <is>
          <t>=B42*B9</t>
        </is>
      </c>
      <c r="E217" s="4" t="n">
        <v>720</v>
      </c>
      <c r="F217" s="4" t="inlineStr">
        <is>
          <t>GOC Bed Unit-Costing Model v2 — working original.xlsx</t>
        </is>
      </c>
    </row>
    <row r="218" ht="40" customHeight="1">
      <c r="A218" s="4" t="inlineStr">
        <is>
          <t>original:Making plan!A34</t>
        </is>
      </c>
      <c r="B218" s="4" t="inlineStr">
        <is>
          <t>Making plan</t>
        </is>
      </c>
      <c r="C218" s="4" t="inlineStr">
        <is>
          <t>A34</t>
        </is>
      </c>
      <c r="D218" s="4" t="inlineStr">
        <is>
          <t>Press days covered by raw stock</t>
        </is>
      </c>
      <c r="E218" s="4" t="inlineStr">
        <is>
          <t>Press days covered by raw stock</t>
        </is>
      </c>
      <c r="F218" s="4" t="inlineStr">
        <is>
          <t>GOC Bed Unit-Costing Model v2 — working original.xlsx</t>
        </is>
      </c>
    </row>
    <row r="219" ht="40" customHeight="1">
      <c r="A219" s="4" t="inlineStr">
        <is>
          <t>original:Making plan!B34</t>
        </is>
      </c>
      <c r="B219" s="4" t="inlineStr">
        <is>
          <t>Making plan</t>
        </is>
      </c>
      <c r="C219" s="4" t="inlineStr">
        <is>
          <t>B34</t>
        </is>
      </c>
      <c r="D219" s="4" t="inlineStr">
        <is>
          <t>=B20/(B10*B21)</t>
        </is>
      </c>
      <c r="E219" s="4" t="n">
        <v>15</v>
      </c>
      <c r="F219" s="4" t="inlineStr">
        <is>
          <t>GOC Bed Unit-Costing Model v2 — working original.xlsx</t>
        </is>
      </c>
    </row>
    <row r="220" ht="40" customHeight="1">
      <c r="A220" s="4" t="inlineStr">
        <is>
          <t>original:Making plan!A37</t>
        </is>
      </c>
      <c r="B220" s="4" t="inlineStr">
        <is>
          <t>Making plan</t>
        </is>
      </c>
      <c r="C220" s="4" t="inlineStr">
        <is>
          <t>A37</t>
        </is>
      </c>
      <c r="D220" s="4" t="inlineStr">
        <is>
          <t>Production result</t>
        </is>
      </c>
      <c r="E220" s="4" t="inlineStr">
        <is>
          <t>Production result</t>
        </is>
      </c>
      <c r="F220" s="4" t="inlineStr">
        <is>
          <t>GOC Bed Unit-Costing Model v2 — working original.xlsx</t>
        </is>
      </c>
    </row>
    <row r="221" ht="40" customHeight="1">
      <c r="A221" s="4" t="inlineStr">
        <is>
          <t>original:Making plan!B37</t>
        </is>
      </c>
      <c r="B221" s="4" t="inlineStr">
        <is>
          <t>Making plan</t>
        </is>
      </c>
      <c r="C221" s="4" t="inlineStr">
        <is>
          <t>B37</t>
        </is>
      </c>
      <c r="D221" s="4" t="inlineStr">
        <is>
          <t>Calculated value</t>
        </is>
      </c>
      <c r="E221" s="4" t="inlineStr">
        <is>
          <t>Calculated value</t>
        </is>
      </c>
      <c r="F221" s="4" t="inlineStr">
        <is>
          <t>GOC Bed Unit-Costing Model v2 — working original.xlsx</t>
        </is>
      </c>
    </row>
    <row r="222" ht="40" customHeight="1">
      <c r="A222" s="4" t="inlineStr">
        <is>
          <t>original:Making plan!C37</t>
        </is>
      </c>
      <c r="B222" s="4" t="inlineStr">
        <is>
          <t>Making plan</t>
        </is>
      </c>
      <c r="C222" s="4" t="inlineStr">
        <is>
          <t>C37</t>
        </is>
      </c>
      <c r="D222" s="4" t="inlineStr">
        <is>
          <t>Unit</t>
        </is>
      </c>
      <c r="E222" s="4" t="inlineStr">
        <is>
          <t>Unit</t>
        </is>
      </c>
      <c r="F222" s="4" t="inlineStr">
        <is>
          <t>GOC Bed Unit-Costing Model v2 — working original.xlsx</t>
        </is>
      </c>
    </row>
    <row r="223" ht="40" customHeight="1">
      <c r="A223" s="4" t="inlineStr">
        <is>
          <t>original:Making plan!D37</t>
        </is>
      </c>
      <c r="B223" s="4" t="inlineStr">
        <is>
          <t>Making plan</t>
        </is>
      </c>
      <c r="C223" s="4" t="inlineStr">
        <is>
          <t>D37</t>
        </is>
      </c>
      <c r="D223" s="4" t="inlineStr">
        <is>
          <t>Meaning</t>
        </is>
      </c>
      <c r="E223" s="4" t="inlineStr">
        <is>
          <t>Meaning</t>
        </is>
      </c>
      <c r="F223" s="4" t="inlineStr">
        <is>
          <t>GOC Bed Unit-Costing Model v2 — working original.xlsx</t>
        </is>
      </c>
    </row>
    <row r="224" ht="40" customHeight="1">
      <c r="A224" s="4" t="inlineStr">
        <is>
          <t>original:Making plan!A38</t>
        </is>
      </c>
      <c r="B224" s="4" t="inlineStr">
        <is>
          <t>Making plan</t>
        </is>
      </c>
      <c r="C224" s="4" t="inlineStr">
        <is>
          <t>A38</t>
        </is>
      </c>
      <c r="D224" s="4" t="inlineStr">
        <is>
          <t>Sheets to press per bed</t>
        </is>
      </c>
      <c r="E224" s="4" t="inlineStr">
        <is>
          <t>Sheets to press per bed</t>
        </is>
      </c>
      <c r="F224" s="4" t="inlineStr">
        <is>
          <t>GOC Bed Unit-Costing Model v2 — working original.xlsx</t>
        </is>
      </c>
    </row>
    <row r="225" ht="40" customHeight="1">
      <c r="A225" s="4" t="inlineStr">
        <is>
          <t>original:Making plan!B38</t>
        </is>
      </c>
      <c r="B225" s="4" t="inlineStr">
        <is>
          <t>Making plan</t>
        </is>
      </c>
      <c r="C225" s="4" t="inlineStr">
        <is>
          <t>B38</t>
        </is>
      </c>
      <c r="D225" s="4" t="inlineStr">
        <is>
          <t>=IF(B6="Own sheets",B11/B13+B12/B14,B11/B13)</t>
        </is>
      </c>
      <c r="E225" s="4" t="n">
        <v>2</v>
      </c>
      <c r="F225" s="4" t="inlineStr">
        <is>
          <t>GOC Bed Unit-Costing Model v2 — working original.xlsx</t>
        </is>
      </c>
    </row>
    <row r="226" ht="40" customHeight="1">
      <c r="A226" s="4" t="inlineStr">
        <is>
          <t>original:Making plan!C38</t>
        </is>
      </c>
      <c r="B226" s="4" t="inlineStr">
        <is>
          <t>Making plan</t>
        </is>
      </c>
      <c r="C226" s="4" t="inlineStr">
        <is>
          <t>C38</t>
        </is>
      </c>
      <c r="D226" s="4" t="inlineStr">
        <is>
          <t>sheets/bed</t>
        </is>
      </c>
      <c r="E226" s="4" t="inlineStr">
        <is>
          <t>sheets/bed</t>
        </is>
      </c>
      <c r="F226" s="4" t="inlineStr">
        <is>
          <t>GOC Bed Unit-Costing Model v2 — working original.xlsx</t>
        </is>
      </c>
    </row>
    <row r="227" ht="60" customHeight="1">
      <c r="A227" s="4" t="inlineStr">
        <is>
          <t>original:Making plan!D38</t>
        </is>
      </c>
      <c r="B227" s="4" t="inlineStr">
        <is>
          <t>Making plan</t>
        </is>
      </c>
      <c r="C227" s="4" t="inlineStr">
        <is>
          <t>D38</t>
        </is>
      </c>
      <c r="D227" s="4" t="inlineStr">
        <is>
          <t>One tab sheet + one leg sheet for own production; tab sheet only for Defy leg panels.</t>
        </is>
      </c>
      <c r="E227" s="4" t="inlineStr">
        <is>
          <t>One tab sheet + one leg sheet for own production; tab sheet only for Defy leg panels.</t>
        </is>
      </c>
      <c r="F227" s="4" t="inlineStr">
        <is>
          <t>GOC Bed Unit-Costing Model v2 — working original.xlsx</t>
        </is>
      </c>
    </row>
    <row r="228" ht="40" customHeight="1">
      <c r="A228" s="4" t="inlineStr">
        <is>
          <t>original:Making plan!A39</t>
        </is>
      </c>
      <c r="B228" s="4" t="inlineStr">
        <is>
          <t>Making plan</t>
        </is>
      </c>
      <c r="C228" s="4" t="inlineStr">
        <is>
          <t>A39</t>
        </is>
      </c>
      <c r="D228" s="4" t="inlineStr">
        <is>
          <t>Steady pressing output</t>
        </is>
      </c>
      <c r="E228" s="4" t="inlineStr">
        <is>
          <t>Steady pressing output</t>
        </is>
      </c>
      <c r="F228" s="4" t="inlineStr">
        <is>
          <t>GOC Bed Unit-Costing Model v2 — working original.xlsx</t>
        </is>
      </c>
    </row>
    <row r="229" ht="40" customHeight="1">
      <c r="A229" s="4" t="inlineStr">
        <is>
          <t>original:Making plan!B39</t>
        </is>
      </c>
      <c r="B229" s="4" t="inlineStr">
        <is>
          <t>Making plan</t>
        </is>
      </c>
      <c r="C229" s="4" t="inlineStr">
        <is>
          <t>B39</t>
        </is>
      </c>
      <c r="D229" s="4" t="inlineStr">
        <is>
          <t>=B10/B38</t>
        </is>
      </c>
      <c r="E229" s="4" t="n">
        <v>3</v>
      </c>
      <c r="F229" s="4" t="inlineStr">
        <is>
          <t>GOC Bed Unit-Costing Model v2 — working original.xlsx</t>
        </is>
      </c>
    </row>
    <row r="230" ht="40" customHeight="1">
      <c r="A230" s="4" t="inlineStr">
        <is>
          <t>original:Making plan!C39</t>
        </is>
      </c>
      <c r="B230" s="4" t="inlineStr">
        <is>
          <t>Making plan</t>
        </is>
      </c>
      <c r="C230" s="4" t="inlineStr">
        <is>
          <t>C39</t>
        </is>
      </c>
      <c r="D230" s="4" t="inlineStr">
        <is>
          <t>HDPE bed sets/day</t>
        </is>
      </c>
      <c r="E230" s="4" t="inlineStr">
        <is>
          <t>HDPE bed sets/day</t>
        </is>
      </c>
      <c r="F230" s="4" t="inlineStr">
        <is>
          <t>GOC Bed Unit-Costing Model v2 — working original.xlsx</t>
        </is>
      </c>
    </row>
    <row r="231" ht="60" customHeight="1">
      <c r="A231" s="4" t="inlineStr">
        <is>
          <t>original:Making plan!D39</t>
        </is>
      </c>
      <c r="B231" s="4" t="inlineStr">
        <is>
          <t>Making plan</t>
        </is>
      </c>
      <c r="C231" s="4" t="inlineStr">
        <is>
          <t>D39</t>
        </is>
      </c>
      <c r="D231" s="4" t="inlineStr">
        <is>
          <t>Press bottleneck before stock, rejected parts, final assembly or bought-part constraints.</t>
        </is>
      </c>
      <c r="E231" s="4" t="inlineStr">
        <is>
          <t>Press bottleneck before stock, rejected parts, final assembly or bought-part constraints.</t>
        </is>
      </c>
      <c r="F231" s="4" t="inlineStr">
        <is>
          <t>GOC Bed Unit-Costing Model v2 — working original.xlsx</t>
        </is>
      </c>
    </row>
    <row r="232" ht="40" customHeight="1">
      <c r="A232" s="4" t="inlineStr">
        <is>
          <t>original:Making plan!A40</t>
        </is>
      </c>
      <c r="B232" s="4" t="inlineStr">
        <is>
          <t>Making plan</t>
        </is>
      </c>
      <c r="C232" s="4" t="inlineStr">
        <is>
          <t>A40</t>
        </is>
      </c>
      <c r="D232" s="4" t="inlineStr">
        <is>
          <t>Shared CNC output</t>
        </is>
      </c>
      <c r="E232" s="4" t="inlineStr">
        <is>
          <t>Shared CNC output</t>
        </is>
      </c>
      <c r="F232" s="4" t="inlineStr">
        <is>
          <t>GOC Bed Unit-Costing Model v2 — working original.xlsx</t>
        </is>
      </c>
    </row>
    <row r="233" ht="40" customHeight="1">
      <c r="A233" s="4" t="inlineStr">
        <is>
          <t>original:Making plan!B40</t>
        </is>
      </c>
      <c r="B233" s="4" t="inlineStr">
        <is>
          <t>Making plan</t>
        </is>
      </c>
      <c r="C233" s="4" t="inlineStr">
        <is>
          <t>B40</t>
        </is>
      </c>
      <c r="D233" s="4" t="inlineStr">
        <is>
          <t>=1/((B11/B13)/B15+(B12/B14)/B16)</t>
        </is>
      </c>
      <c r="E233" s="4" t="n">
        <v>8.555555556</v>
      </c>
      <c r="F233" s="4" t="inlineStr">
        <is>
          <t>GOC Bed Unit-Costing Model v2 — working original.xlsx</t>
        </is>
      </c>
    </row>
    <row r="234" ht="40" customHeight="1">
      <c r="A234" s="4" t="inlineStr">
        <is>
          <t>original:Making plan!C40</t>
        </is>
      </c>
      <c r="B234" s="4" t="inlineStr">
        <is>
          <t>Making plan</t>
        </is>
      </c>
      <c r="C234" s="4" t="inlineStr">
        <is>
          <t>C40</t>
        </is>
      </c>
      <c r="D234" s="4" t="inlineStr">
        <is>
          <t>HDPE bed sets/day</t>
        </is>
      </c>
      <c r="E234" s="4" t="inlineStr">
        <is>
          <t>HDPE bed sets/day</t>
        </is>
      </c>
      <c r="F234" s="4" t="inlineStr">
        <is>
          <t>GOC Bed Unit-Costing Model v2 — working original.xlsx</t>
        </is>
      </c>
    </row>
    <row r="235" ht="75" customHeight="1">
      <c r="A235" s="4" t="inlineStr">
        <is>
          <t>original:Making plan!D40</t>
        </is>
      </c>
      <c r="B235" s="4" t="inlineStr">
        <is>
          <t>Making plan</t>
        </is>
      </c>
      <c r="C235" s="4" t="inlineStr">
        <is>
          <t>D40</t>
        </is>
      </c>
      <c r="D235" s="4" t="inlineStr">
        <is>
          <t>Adds the fractions of a CNC day needed for tab and leg cutting; does not give each a full day.</t>
        </is>
      </c>
      <c r="E235" s="4" t="inlineStr">
        <is>
          <t>Adds the fractions of a CNC day needed for tab and leg cutting; does not give each a full day.</t>
        </is>
      </c>
      <c r="F235" s="4" t="inlineStr">
        <is>
          <t>GOC Bed Unit-Costing Model v2 — working original.xlsx</t>
        </is>
      </c>
    </row>
    <row r="236" ht="40" customHeight="1">
      <c r="A236" s="4" t="inlineStr">
        <is>
          <t>original:Making plan!A41</t>
        </is>
      </c>
      <c r="B236" s="4" t="inlineStr">
        <is>
          <t>Making plan</t>
        </is>
      </c>
      <c r="C236" s="4" t="inlineStr">
        <is>
          <t>A41</t>
        </is>
      </c>
      <c r="D236" s="4" t="inlineStr">
        <is>
          <t>HDPE throughput ceiling</t>
        </is>
      </c>
      <c r="E236" s="4" t="inlineStr">
        <is>
          <t>HDPE throughput ceiling</t>
        </is>
      </c>
      <c r="F236" s="4" t="inlineStr">
        <is>
          <t>GOC Bed Unit-Costing Model v2 — working original.xlsx</t>
        </is>
      </c>
    </row>
    <row r="237" ht="40" customHeight="1">
      <c r="A237" s="4" t="inlineStr">
        <is>
          <t>original:Making plan!B41</t>
        </is>
      </c>
      <c r="B237" s="4" t="inlineStr">
        <is>
          <t>Making plan</t>
        </is>
      </c>
      <c r="C237" s="4" t="inlineStr">
        <is>
          <t>B41</t>
        </is>
      </c>
      <c r="D237" s="4" t="inlineStr">
        <is>
          <t>=MIN(B39:B40)</t>
        </is>
      </c>
      <c r="E237" s="4" t="n">
        <v>3</v>
      </c>
      <c r="F237" s="4" t="inlineStr">
        <is>
          <t>GOC Bed Unit-Costing Model v2 — working original.xlsx</t>
        </is>
      </c>
    </row>
    <row r="238" ht="40" customHeight="1">
      <c r="A238" s="4" t="inlineStr">
        <is>
          <t>original:Making plan!C41</t>
        </is>
      </c>
      <c r="B238" s="4" t="inlineStr">
        <is>
          <t>Making plan</t>
        </is>
      </c>
      <c r="C238" s="4" t="inlineStr">
        <is>
          <t>C41</t>
        </is>
      </c>
      <c r="D238" s="4" t="inlineStr">
        <is>
          <t>HDPE bed sets/day</t>
        </is>
      </c>
      <c r="E238" s="4" t="inlineStr">
        <is>
          <t>HDPE bed sets/day</t>
        </is>
      </c>
      <c r="F238" s="4" t="inlineStr">
        <is>
          <t>GOC Bed Unit-Costing Model v2 — working original.xlsx</t>
        </is>
      </c>
    </row>
    <row r="239" ht="75" customHeight="1">
      <c r="A239" s="4" t="inlineStr">
        <is>
          <t>original:Making plan!D41</t>
        </is>
      </c>
      <c r="B239" s="4" t="inlineStr">
        <is>
          <t>Making plan</t>
        </is>
      </c>
      <c r="C239" s="4" t="inlineStr">
        <is>
          <t>D41</t>
        </is>
      </c>
      <c r="D239" s="4" t="inlineStr">
        <is>
          <t>Assumes pressing and CNC can be staffed concurrently. This is not measured finished-bed capacity.</t>
        </is>
      </c>
      <c r="E239" s="4" t="inlineStr">
        <is>
          <t>Assumes pressing and CNC can be staffed concurrently. This is not measured finished-bed capacity.</t>
        </is>
      </c>
      <c r="F239" s="4" t="inlineStr">
        <is>
          <t>GOC Bed Unit-Costing Model v2 — working original.xlsx</t>
        </is>
      </c>
    </row>
    <row r="240" ht="40" customHeight="1">
      <c r="A240" s="4" t="inlineStr">
        <is>
          <t>original:Making plan!A42</t>
        </is>
      </c>
      <c r="B240" s="4" t="inlineStr">
        <is>
          <t>Making plan</t>
        </is>
      </c>
      <c r="C240" s="4" t="inlineStr">
        <is>
          <t>A42</t>
        </is>
      </c>
      <c r="D240" s="4" t="inlineStr">
        <is>
          <t>HDPE sets per week</t>
        </is>
      </c>
      <c r="E240" s="4" t="inlineStr">
        <is>
          <t>HDPE sets per week</t>
        </is>
      </c>
      <c r="F240" s="4" t="inlineStr">
        <is>
          <t>GOC Bed Unit-Costing Model v2 — working original.xlsx</t>
        </is>
      </c>
    </row>
    <row r="241" ht="40" customHeight="1">
      <c r="A241" s="4" t="inlineStr">
        <is>
          <t>original:Making plan!B42</t>
        </is>
      </c>
      <c r="B241" s="4" t="inlineStr">
        <is>
          <t>Making plan</t>
        </is>
      </c>
      <c r="C241" s="4" t="inlineStr">
        <is>
          <t>B42</t>
        </is>
      </c>
      <c r="D241" s="4" t="inlineStr">
        <is>
          <t>=B41*B7</t>
        </is>
      </c>
      <c r="E241" s="4" t="n">
        <v>15</v>
      </c>
      <c r="F241" s="4" t="inlineStr">
        <is>
          <t>GOC Bed Unit-Costing Model v2 — working original.xlsx</t>
        </is>
      </c>
    </row>
    <row r="242" ht="40" customHeight="1">
      <c r="A242" s="4" t="inlineStr">
        <is>
          <t>original:Making plan!C42</t>
        </is>
      </c>
      <c r="B242" s="4" t="inlineStr">
        <is>
          <t>Making plan</t>
        </is>
      </c>
      <c r="C242" s="4" t="inlineStr">
        <is>
          <t>C42</t>
        </is>
      </c>
      <c r="D242" s="4" t="inlineStr">
        <is>
          <t>sets/week</t>
        </is>
      </c>
      <c r="E242" s="4" t="inlineStr">
        <is>
          <t>sets/week</t>
        </is>
      </c>
      <c r="F242" s="4" t="inlineStr">
        <is>
          <t>GOC Bed Unit-Costing Model v2 — working original.xlsx</t>
        </is>
      </c>
    </row>
    <row r="243" ht="45" customHeight="1">
      <c r="A243" s="4" t="inlineStr">
        <is>
          <t>original:Making plan!D42</t>
        </is>
      </c>
      <c r="B243" s="4" t="inlineStr">
        <is>
          <t>Making plan</t>
        </is>
      </c>
      <c r="C243" s="4" t="inlineStr">
        <is>
          <t>D42</t>
        </is>
      </c>
      <c r="D243" s="4" t="inlineStr">
        <is>
          <t>Own-sheet baseline 15/week; Defy leg panels 30/week.</t>
        </is>
      </c>
      <c r="E243" s="4" t="inlineStr">
        <is>
          <t>Own-sheet baseline 15/week; Defy leg panels 30/week.</t>
        </is>
      </c>
      <c r="F243" s="4" t="inlineStr">
        <is>
          <t>GOC Bed Unit-Costing Model v2 — working original.xlsx</t>
        </is>
      </c>
    </row>
    <row r="244" ht="40" customHeight="1">
      <c r="A244" s="4" t="inlineStr">
        <is>
          <t>original:Making plan!A43</t>
        </is>
      </c>
      <c r="B244" s="4" t="inlineStr">
        <is>
          <t>Making plan</t>
        </is>
      </c>
      <c r="C244" s="4" t="inlineStr">
        <is>
          <t>A43</t>
        </is>
      </c>
      <c r="D244" s="4" t="inlineStr">
        <is>
          <t>Balanced ready HDPE sets</t>
        </is>
      </c>
      <c r="E244" s="4" t="inlineStr">
        <is>
          <t>Balanced ready HDPE sets</t>
        </is>
      </c>
      <c r="F244" s="4" t="inlineStr">
        <is>
          <t>GOC Bed Unit-Costing Model v2 — working original.xlsx</t>
        </is>
      </c>
    </row>
    <row r="245" ht="40" customHeight="1">
      <c r="A245" s="4" t="inlineStr">
        <is>
          <t>original:Making plan!B43</t>
        </is>
      </c>
      <c r="B245" s="4" t="inlineStr">
        <is>
          <t>Making plan</t>
        </is>
      </c>
      <c r="C245" s="4" t="inlineStr">
        <is>
          <t>B43</t>
        </is>
      </c>
      <c r="D245" s="4" t="inlineStr">
        <is>
          <t>=MIN(ROUNDDOWN(B18/B11,0),ROUNDDOWN(B19/B12,0))</t>
        </is>
      </c>
      <c r="E245" s="4" t="n">
        <v>58</v>
      </c>
      <c r="F245" s="4" t="inlineStr">
        <is>
          <t>GOC Bed Unit-Costing Model v2 — working original.xlsx</t>
        </is>
      </c>
    </row>
    <row r="246" ht="40" customHeight="1">
      <c r="A246" s="4" t="inlineStr">
        <is>
          <t>original:Making plan!C43</t>
        </is>
      </c>
      <c r="B246" s="4" t="inlineStr">
        <is>
          <t>Making plan</t>
        </is>
      </c>
      <c r="C246" s="4" t="inlineStr">
        <is>
          <t>C43</t>
        </is>
      </c>
      <c r="D246" s="4" t="inlineStr">
        <is>
          <t>sets</t>
        </is>
      </c>
      <c r="E246" s="4" t="inlineStr">
        <is>
          <t>sets</t>
        </is>
      </c>
      <c r="F246" s="4" t="inlineStr">
        <is>
          <t>GOC Bed Unit-Costing Model v2 — working original.xlsx</t>
        </is>
      </c>
    </row>
    <row r="247" ht="45" customHeight="1">
      <c r="A247" s="4" t="inlineStr">
        <is>
          <t>original:Making plan!D43</t>
        </is>
      </c>
      <c r="B247" s="4" t="inlineStr">
        <is>
          <t>Making plan</t>
        </is>
      </c>
      <c r="C247" s="4" t="inlineStr">
        <is>
          <t>D43</t>
        </is>
      </c>
      <c r="D247" s="4" t="inlineStr">
        <is>
          <t>58 sets in source stock. Poles, canvas, hardware and QA still needed.</t>
        </is>
      </c>
      <c r="E247" s="4" t="inlineStr">
        <is>
          <t>58 sets in source stock. Poles, canvas, hardware and QA still needed.</t>
        </is>
      </c>
      <c r="F247" s="4" t="inlineStr">
        <is>
          <t>GOC Bed Unit-Costing Model v2 — working original.xlsx</t>
        </is>
      </c>
    </row>
    <row r="248" ht="40" customHeight="1">
      <c r="A248" s="4" t="inlineStr">
        <is>
          <t>original:Making plan!A44</t>
        </is>
      </c>
      <c r="B248" s="4" t="inlineStr">
        <is>
          <t>Making plan</t>
        </is>
      </c>
      <c r="C248" s="4" t="inlineStr">
        <is>
          <t>A44</t>
        </is>
      </c>
      <c r="D248" s="4" t="inlineStr">
        <is>
          <t>New tab sheets for community target</t>
        </is>
      </c>
      <c r="E248" s="4" t="inlineStr">
        <is>
          <t>New tab sheets for community target</t>
        </is>
      </c>
      <c r="F248" s="4" t="inlineStr">
        <is>
          <t>GOC Bed Unit-Costing Model v2 — working original.xlsx</t>
        </is>
      </c>
    </row>
    <row r="249" ht="40" customHeight="1">
      <c r="A249" s="4" t="inlineStr">
        <is>
          <t>original:Making plan!B44</t>
        </is>
      </c>
      <c r="B249" s="4" t="inlineStr">
        <is>
          <t>Making plan</t>
        </is>
      </c>
      <c r="C249" s="4" t="inlineStr">
        <is>
          <t>B44</t>
        </is>
      </c>
      <c r="D249" s="4" t="inlineStr">
        <is>
          <t>=ROUNDUP(MAX(0,B28*B11-B18)/B13,0)</t>
        </is>
      </c>
      <c r="E249" s="4" t="n">
        <v>918</v>
      </c>
      <c r="F249" s="4" t="inlineStr">
        <is>
          <t>GOC Bed Unit-Costing Model v2 — working original.xlsx</t>
        </is>
      </c>
    </row>
    <row r="250" ht="40" customHeight="1">
      <c r="A250" s="4" t="inlineStr">
        <is>
          <t>original:Making plan!C44</t>
        </is>
      </c>
      <c r="B250" s="4" t="inlineStr">
        <is>
          <t>Making plan</t>
        </is>
      </c>
      <c r="C250" s="4" t="inlineStr">
        <is>
          <t>C44</t>
        </is>
      </c>
      <c r="D250" s="4" t="inlineStr">
        <is>
          <t>sheets</t>
        </is>
      </c>
      <c r="E250" s="4" t="inlineStr">
        <is>
          <t>sheets</t>
        </is>
      </c>
      <c r="F250" s="4" t="inlineStr">
        <is>
          <t>GOC Bed Unit-Costing Model v2 — working original.xlsx</t>
        </is>
      </c>
    </row>
    <row r="251" ht="60" customHeight="1">
      <c r="A251" s="4" t="inlineStr">
        <is>
          <t>original:Making plan!D44</t>
        </is>
      </c>
      <c r="B251" s="4" t="inlineStr">
        <is>
          <t>Making plan</t>
        </is>
      </c>
      <c r="C251" s="4" t="inlineStr">
        <is>
          <t>D44</t>
        </is>
      </c>
      <c r="D251" s="4" t="inlineStr">
        <is>
          <t>Uses tabs stock once. Does not assume the ambiguous 73 tab sheets are additional stock.</t>
        </is>
      </c>
      <c r="E251" s="4" t="inlineStr">
        <is>
          <t>Uses tabs stock once. Does not assume the ambiguous 73 tab sheets are additional stock.</t>
        </is>
      </c>
      <c r="F251" s="4" t="inlineStr">
        <is>
          <t>GOC Bed Unit-Costing Model v2 — working original.xlsx</t>
        </is>
      </c>
    </row>
    <row r="252" ht="40" customHeight="1">
      <c r="A252" s="4" t="inlineStr">
        <is>
          <t>original:Making plan!A45</t>
        </is>
      </c>
      <c r="B252" s="4" t="inlineStr">
        <is>
          <t>Making plan</t>
        </is>
      </c>
      <c r="C252" s="4" t="inlineStr">
        <is>
          <t>A45</t>
        </is>
      </c>
      <c r="D252" s="4" t="inlineStr">
        <is>
          <t>New leg sheets for community target</t>
        </is>
      </c>
      <c r="E252" s="4" t="inlineStr">
        <is>
          <t>New leg sheets for community target</t>
        </is>
      </c>
      <c r="F252" s="4" t="inlineStr">
        <is>
          <t>GOC Bed Unit-Costing Model v2 — working original.xlsx</t>
        </is>
      </c>
    </row>
    <row r="253" ht="40" customHeight="1">
      <c r="A253" s="4" t="inlineStr">
        <is>
          <t>original:Making plan!B45</t>
        </is>
      </c>
      <c r="B253" s="4" t="inlineStr">
        <is>
          <t>Making plan</t>
        </is>
      </c>
      <c r="C253" s="4" t="inlineStr">
        <is>
          <t>B45</t>
        </is>
      </c>
      <c r="D253" s="4" t="inlineStr">
        <is>
          <t>=ROUNDUP(MAX(0,B28*B12-B19)/B14,0)</t>
        </is>
      </c>
      <c r="E253" s="4" t="n">
        <v>942</v>
      </c>
      <c r="F253" s="4" t="inlineStr">
        <is>
          <t>GOC Bed Unit-Costing Model v2 — working original.xlsx</t>
        </is>
      </c>
    </row>
    <row r="254" ht="40" customHeight="1">
      <c r="A254" s="4" t="inlineStr">
        <is>
          <t>original:Making plan!C45</t>
        </is>
      </c>
      <c r="B254" s="4" t="inlineStr">
        <is>
          <t>Making plan</t>
        </is>
      </c>
      <c r="C254" s="4" t="inlineStr">
        <is>
          <t>C45</t>
        </is>
      </c>
      <c r="D254" s="4" t="inlineStr">
        <is>
          <t>sheets</t>
        </is>
      </c>
      <c r="E254" s="4" t="inlineStr">
        <is>
          <t>sheets</t>
        </is>
      </c>
      <c r="F254" s="4" t="inlineStr">
        <is>
          <t>GOC Bed Unit-Costing Model v2 — working original.xlsx</t>
        </is>
      </c>
    </row>
    <row r="255" ht="45" customHeight="1">
      <c r="A255" s="4" t="inlineStr">
        <is>
          <t>original:Making plan!D45</t>
        </is>
      </c>
      <c r="B255" s="4" t="inlineStr">
        <is>
          <t>Making plan</t>
        </is>
      </c>
      <c r="C255" s="4" t="inlineStr">
        <is>
          <t>D45</t>
        </is>
      </c>
      <c r="D255" s="4" t="inlineStr">
        <is>
          <t>Uses legs stock once; these are purchased sheets in Defy mode.</t>
        </is>
      </c>
      <c r="E255" s="4" t="inlineStr">
        <is>
          <t>Uses legs stock once; these are purchased sheets in Defy mode.</t>
        </is>
      </c>
      <c r="F255" s="4" t="inlineStr">
        <is>
          <t>GOC Bed Unit-Costing Model v2 — working original.xlsx</t>
        </is>
      </c>
    </row>
    <row r="256" ht="40" customHeight="1">
      <c r="A256" s="4" t="inlineStr">
        <is>
          <t>original:Making plan!A46</t>
        </is>
      </c>
      <c r="B256" s="4" t="inlineStr">
        <is>
          <t>Making plan</t>
        </is>
      </c>
      <c r="C256" s="4" t="inlineStr">
        <is>
          <t>A46</t>
        </is>
      </c>
      <c r="D256" s="4" t="inlineStr">
        <is>
          <t>Press days for target</t>
        </is>
      </c>
      <c r="E256" s="4" t="inlineStr">
        <is>
          <t>Press days for target</t>
        </is>
      </c>
      <c r="F256" s="4" t="inlineStr">
        <is>
          <t>GOC Bed Unit-Costing Model v2 — working original.xlsx</t>
        </is>
      </c>
    </row>
    <row r="257" ht="40" customHeight="1">
      <c r="A257" s="4" t="inlineStr">
        <is>
          <t>original:Making plan!B46</t>
        </is>
      </c>
      <c r="B257" s="4" t="inlineStr">
        <is>
          <t>Making plan</t>
        </is>
      </c>
      <c r="C257" s="4" t="inlineStr">
        <is>
          <t>B46</t>
        </is>
      </c>
      <c r="D257" s="4" t="inlineStr">
        <is>
          <t>=IF(B6="Own sheets",(B44+B45)/B10,B44/B10)</t>
        </is>
      </c>
      <c r="E257" s="4" t="n">
        <v>310</v>
      </c>
      <c r="F257" s="4" t="inlineStr">
        <is>
          <t>GOC Bed Unit-Costing Model v2 — working original.xlsx</t>
        </is>
      </c>
    </row>
    <row r="258" ht="40" customHeight="1">
      <c r="A258" s="4" t="inlineStr">
        <is>
          <t>original:Making plan!C46</t>
        </is>
      </c>
      <c r="B258" s="4" t="inlineStr">
        <is>
          <t>Making plan</t>
        </is>
      </c>
      <c r="C258" s="4" t="inlineStr">
        <is>
          <t>C46</t>
        </is>
      </c>
      <c r="D258" s="4" t="inlineStr">
        <is>
          <t>working days</t>
        </is>
      </c>
      <c r="E258" s="4" t="inlineStr">
        <is>
          <t>working days</t>
        </is>
      </c>
      <c r="F258" s="4" t="inlineStr">
        <is>
          <t>GOC Bed Unit-Costing Model v2 — working original.xlsx</t>
        </is>
      </c>
    </row>
    <row r="259" ht="60" customHeight="1">
      <c r="A259" s="4" t="inlineStr">
        <is>
          <t>original:Making plan!D46</t>
        </is>
      </c>
      <c r="B259" s="4" t="inlineStr">
        <is>
          <t>Making plan</t>
        </is>
      </c>
      <c r="C259" s="4" t="inlineStr">
        <is>
          <t>D46</t>
        </is>
      </c>
      <c r="D259" s="4" t="inlineStr">
        <is>
          <t>All allocated to one facility for this benchmark; Facility targets splits the workload.</t>
        </is>
      </c>
      <c r="E259" s="4" t="inlineStr">
        <is>
          <t>All allocated to one facility for this benchmark; Facility targets splits the workload.</t>
        </is>
      </c>
      <c r="F259" s="4" t="inlineStr">
        <is>
          <t>GOC Bed Unit-Costing Model v2 — working original.xlsx</t>
        </is>
      </c>
    </row>
    <row r="260" ht="40" customHeight="1">
      <c r="A260" s="4" t="inlineStr">
        <is>
          <t>original:Making plan!A47</t>
        </is>
      </c>
      <c r="B260" s="4" t="inlineStr">
        <is>
          <t>Making plan</t>
        </is>
      </c>
      <c r="C260" s="4" t="inlineStr">
        <is>
          <t>A47</t>
        </is>
      </c>
      <c r="D260" s="4" t="inlineStr">
        <is>
          <t>CNC days for target</t>
        </is>
      </c>
      <c r="E260" s="4" t="inlineStr">
        <is>
          <t>CNC days for target</t>
        </is>
      </c>
      <c r="F260" s="4" t="inlineStr">
        <is>
          <t>GOC Bed Unit-Costing Model v2 — working original.xlsx</t>
        </is>
      </c>
    </row>
    <row r="261" ht="40" customHeight="1">
      <c r="A261" s="4" t="inlineStr">
        <is>
          <t>original:Making plan!B47</t>
        </is>
      </c>
      <c r="B261" s="4" t="inlineStr">
        <is>
          <t>Making plan</t>
        </is>
      </c>
      <c r="C261" s="4" t="inlineStr">
        <is>
          <t>B47</t>
        </is>
      </c>
      <c r="D261" s="4" t="inlineStr">
        <is>
          <t>=B44/B15+B45/B16</t>
        </is>
      </c>
      <c r="E261" s="4" t="n">
        <v>109.012987</v>
      </c>
      <c r="F261" s="4" t="inlineStr">
        <is>
          <t>GOC Bed Unit-Costing Model v2 — working original.xlsx</t>
        </is>
      </c>
    </row>
    <row r="262" ht="40" customHeight="1">
      <c r="A262" s="4" t="inlineStr">
        <is>
          <t>original:Making plan!C47</t>
        </is>
      </c>
      <c r="B262" s="4" t="inlineStr">
        <is>
          <t>Making plan</t>
        </is>
      </c>
      <c r="C262" s="4" t="inlineStr">
        <is>
          <t>C47</t>
        </is>
      </c>
      <c r="D262" s="4" t="inlineStr">
        <is>
          <t>working days</t>
        </is>
      </c>
      <c r="E262" s="4" t="inlineStr">
        <is>
          <t>working days</t>
        </is>
      </c>
      <c r="F262" s="4" t="inlineStr">
        <is>
          <t>GOC Bed Unit-Costing Model v2 — working original.xlsx</t>
        </is>
      </c>
    </row>
    <row r="263" ht="60" customHeight="1">
      <c r="A263" s="4" t="inlineStr">
        <is>
          <t>original:Making plan!D47</t>
        </is>
      </c>
      <c r="B263" s="4" t="inlineStr">
        <is>
          <t>Making plan</t>
        </is>
      </c>
      <c r="C263" s="4" t="inlineStr">
        <is>
          <t>D47</t>
        </is>
      </c>
      <c r="D263" s="4" t="inlineStr">
        <is>
          <t>Both operations on the same CNC. Final assembly and shared-crew scheduling still open.</t>
        </is>
      </c>
      <c r="E263" s="4" t="inlineStr">
        <is>
          <t>Both operations on the same CNC. Final assembly and shared-crew scheduling still open.</t>
        </is>
      </c>
      <c r="F263" s="4" t="inlineStr">
        <is>
          <t>GOC Bed Unit-Costing Model v2 — working original.xlsx</t>
        </is>
      </c>
    </row>
    <row r="264" ht="40" customHeight="1">
      <c r="A264" s="4" t="inlineStr">
        <is>
          <t>original:Making plan!A48</t>
        </is>
      </c>
      <c r="B264" s="4" t="inlineStr">
        <is>
          <t>Making plan</t>
        </is>
      </c>
      <c r="C264" s="4" t="inlineStr">
        <is>
          <t>A48</t>
        </is>
      </c>
      <c r="D264" s="4" t="inlineStr">
        <is>
          <t>Raw plastic required</t>
        </is>
      </c>
      <c r="E264" s="4" t="inlineStr">
        <is>
          <t>Raw plastic required</t>
        </is>
      </c>
      <c r="F264" s="4" t="inlineStr">
        <is>
          <t>GOC Bed Unit-Costing Model v2 — working original.xlsx</t>
        </is>
      </c>
    </row>
    <row r="265" ht="40" customHeight="1">
      <c r="A265" s="4" t="inlineStr">
        <is>
          <t>original:Making plan!B48</t>
        </is>
      </c>
      <c r="B265" s="4" t="inlineStr">
        <is>
          <t>Making plan</t>
        </is>
      </c>
      <c r="C265" s="4" t="inlineStr">
        <is>
          <t>B48</t>
        </is>
      </c>
      <c r="D265" s="4" t="inlineStr">
        <is>
          <t>=IF(B6="Own sheets",B44+B45,B44)*B21</t>
        </is>
      </c>
      <c r="E265" s="4" t="n">
        <v>37200</v>
      </c>
      <c r="F265" s="4" t="inlineStr">
        <is>
          <t>GOC Bed Unit-Costing Model v2 — working original.xlsx</t>
        </is>
      </c>
    </row>
    <row r="266" ht="40" customHeight="1">
      <c r="A266" s="4" t="inlineStr">
        <is>
          <t>original:Making plan!C48</t>
        </is>
      </c>
      <c r="B266" s="4" t="inlineStr">
        <is>
          <t>Making plan</t>
        </is>
      </c>
      <c r="C266" s="4" t="inlineStr">
        <is>
          <t>C48</t>
        </is>
      </c>
      <c r="D266" s="4" t="inlineStr">
        <is>
          <t>kg</t>
        </is>
      </c>
      <c r="E266" s="4" t="inlineStr">
        <is>
          <t>kg</t>
        </is>
      </c>
      <c r="F266" s="4" t="inlineStr">
        <is>
          <t>GOC Bed Unit-Costing Model v2 — working original.xlsx</t>
        </is>
      </c>
    </row>
    <row r="267" ht="45" customHeight="1">
      <c r="A267" s="4" t="inlineStr">
        <is>
          <t>original:Making plan!D48</t>
        </is>
      </c>
      <c r="B267" s="4" t="inlineStr">
        <is>
          <t>Making plan</t>
        </is>
      </c>
      <c r="C267" s="4" t="inlineStr">
        <is>
          <t>D48</t>
        </is>
      </c>
      <c r="D267" s="4" t="inlineStr">
        <is>
          <t>Own-pressed sheets only; selected 20 kg/sheet basis.</t>
        </is>
      </c>
      <c r="E267" s="4" t="inlineStr">
        <is>
          <t>Own-pressed sheets only; selected 20 kg/sheet basis.</t>
        </is>
      </c>
      <c r="F267" s="4" t="inlineStr">
        <is>
          <t>GOC Bed Unit-Costing Model v2 — working original.xlsx</t>
        </is>
      </c>
    </row>
    <row r="268" ht="40" customHeight="1">
      <c r="A268" s="4" t="inlineStr">
        <is>
          <t>original:Making plan!A49</t>
        </is>
      </c>
      <c r="B268" s="4" t="inlineStr">
        <is>
          <t>Making plan</t>
        </is>
      </c>
      <c r="C268" s="4" t="inlineStr">
        <is>
          <t>A49</t>
        </is>
      </c>
      <c r="D268" s="4" t="inlineStr">
        <is>
          <t>Extra raw plastic needed</t>
        </is>
      </c>
      <c r="E268" s="4" t="inlineStr">
        <is>
          <t>Extra raw plastic needed</t>
        </is>
      </c>
      <c r="F268" s="4" t="inlineStr">
        <is>
          <t>GOC Bed Unit-Costing Model v2 — working original.xlsx</t>
        </is>
      </c>
    </row>
    <row r="269" ht="40" customHeight="1">
      <c r="A269" s="4" t="inlineStr">
        <is>
          <t>original:Making plan!B49</t>
        </is>
      </c>
      <c r="B269" s="4" t="inlineStr">
        <is>
          <t>Making plan</t>
        </is>
      </c>
      <c r="C269" s="4" t="inlineStr">
        <is>
          <t>B49</t>
        </is>
      </c>
      <c r="D269" s="4" t="inlineStr">
        <is>
          <t>=MAX(0,B48-B20)</t>
        </is>
      </c>
      <c r="E269" s="4" t="n">
        <v>35400</v>
      </c>
      <c r="F269" s="4" t="inlineStr">
        <is>
          <t>GOC Bed Unit-Costing Model v2 — working original.xlsx</t>
        </is>
      </c>
    </row>
    <row r="270" ht="40" customHeight="1">
      <c r="A270" s="4" t="inlineStr">
        <is>
          <t>original:Making plan!C49</t>
        </is>
      </c>
      <c r="B270" s="4" t="inlineStr">
        <is>
          <t>Making plan</t>
        </is>
      </c>
      <c r="C270" s="4" t="inlineStr">
        <is>
          <t>C49</t>
        </is>
      </c>
      <c r="D270" s="4" t="inlineStr">
        <is>
          <t>kg</t>
        </is>
      </c>
      <c r="E270" s="4" t="inlineStr">
        <is>
          <t>kg</t>
        </is>
      </c>
      <c r="F270" s="4" t="inlineStr">
        <is>
          <t>GOC Bed Unit-Costing Model v2 — working original.xlsx</t>
        </is>
      </c>
    </row>
    <row r="271" ht="60" customHeight="1">
      <c r="A271" s="4" t="inlineStr">
        <is>
          <t>original:Making plan!D49</t>
        </is>
      </c>
      <c r="B271" s="4" t="inlineStr">
        <is>
          <t>Making plan</t>
        </is>
      </c>
      <c r="C271" s="4" t="inlineStr">
        <is>
          <t>D49</t>
        </is>
      </c>
      <c r="D271" s="4" t="inlineStr">
        <is>
          <t>After the source raw-plastic snapshot; excludes reject/rework allowance.</t>
        </is>
      </c>
      <c r="E271" s="4" t="inlineStr">
        <is>
          <t>After the source raw-plastic snapshot; excludes reject/rework allowance.</t>
        </is>
      </c>
      <c r="F271" s="4" t="inlineStr">
        <is>
          <t>GOC Bed Unit-Costing Model v2 — working original.xlsx</t>
        </is>
      </c>
    </row>
    <row r="272" ht="40" customHeight="1">
      <c r="A272" s="4" t="inlineStr">
        <is>
          <t>original:Making plan!A50</t>
        </is>
      </c>
      <c r="B272" s="4" t="inlineStr">
        <is>
          <t>Making plan</t>
        </is>
      </c>
      <c r="C272" s="4" t="inlineStr">
        <is>
          <t>A50</t>
        </is>
      </c>
      <c r="D272" s="4" t="inlineStr">
        <is>
          <t>Pressing cost per sheet</t>
        </is>
      </c>
      <c r="E272" s="4" t="inlineStr">
        <is>
          <t>Pressing cost per sheet</t>
        </is>
      </c>
      <c r="F272" s="4" t="inlineStr">
        <is>
          <t>GOC Bed Unit-Costing Model v2 — working original.xlsx</t>
        </is>
      </c>
    </row>
    <row r="273" ht="40" customHeight="1">
      <c r="A273" s="4" t="inlineStr">
        <is>
          <t>original:Making plan!B50</t>
        </is>
      </c>
      <c r="B273" s="4" t="inlineStr">
        <is>
          <t>Making plan</t>
        </is>
      </c>
      <c r="C273" s="4" t="inlineStr">
        <is>
          <t>B50</t>
        </is>
      </c>
      <c r="D273" s="4" t="inlineStr">
        <is>
          <t>=(B23+B10*B21*B22)/B10</t>
        </is>
      </c>
      <c r="E273" s="4" t="n">
        <v>68.33333333</v>
      </c>
      <c r="F273" s="4" t="inlineStr">
        <is>
          <t>GOC Bed Unit-Costing Model v2 — working original.xlsx</t>
        </is>
      </c>
    </row>
    <row r="274" ht="40" customHeight="1">
      <c r="A274" s="4" t="inlineStr">
        <is>
          <t>original:Making plan!C50</t>
        </is>
      </c>
      <c r="B274" s="4" t="inlineStr">
        <is>
          <t>Making plan</t>
        </is>
      </c>
      <c r="C274" s="4" t="inlineStr">
        <is>
          <t>C50</t>
        </is>
      </c>
      <c r="D274" s="4" t="inlineStr">
        <is>
          <t>AUD/sheet</t>
        </is>
      </c>
      <c r="E274" s="4" t="inlineStr">
        <is>
          <t>AUD/sheet</t>
        </is>
      </c>
      <c r="F274" s="4" t="inlineStr">
        <is>
          <t>GOC Bed Unit-Costing Model v2 — working original.xlsx</t>
        </is>
      </c>
    </row>
    <row r="275" ht="45" customHeight="1">
      <c r="A275" s="4" t="inlineStr">
        <is>
          <t>original:Making plan!D50</t>
        </is>
      </c>
      <c r="B275" s="4" t="inlineStr">
        <is>
          <t>Making plan</t>
        </is>
      </c>
      <c r="C275" s="4" t="inlineStr">
        <is>
          <t>D50</t>
        </is>
      </c>
      <c r="D275" s="4" t="inlineStr">
        <is>
          <t>Daily electricity plus raw plastic divided by sheets/day.</t>
        </is>
      </c>
      <c r="E275" s="4" t="inlineStr">
        <is>
          <t>Daily electricity plus raw plastic divided by sheets/day.</t>
        </is>
      </c>
      <c r="F275" s="4" t="inlineStr">
        <is>
          <t>GOC Bed Unit-Costing Model v2 — working original.xlsx</t>
        </is>
      </c>
    </row>
    <row r="276" ht="40" customHeight="1">
      <c r="A276" s="4" t="inlineStr">
        <is>
          <t>original:Making plan!A51</t>
        </is>
      </c>
      <c r="B276" s="4" t="inlineStr">
        <is>
          <t>Making plan</t>
        </is>
      </c>
      <c r="C276" s="4" t="inlineStr">
        <is>
          <t>A51</t>
        </is>
      </c>
      <c r="D276" s="4" t="inlineStr">
        <is>
          <t>Pressing cost per week</t>
        </is>
      </c>
      <c r="E276" s="4" t="inlineStr">
        <is>
          <t>Pressing cost per week</t>
        </is>
      </c>
      <c r="F276" s="4" t="inlineStr">
        <is>
          <t>GOC Bed Unit-Costing Model v2 — working original.xlsx</t>
        </is>
      </c>
    </row>
    <row r="277" ht="40" customHeight="1">
      <c r="A277" s="4" t="inlineStr">
        <is>
          <t>original:Making plan!B51</t>
        </is>
      </c>
      <c r="B277" s="4" t="inlineStr">
        <is>
          <t>Making plan</t>
        </is>
      </c>
      <c r="C277" s="4" t="inlineStr">
        <is>
          <t>B51</t>
        </is>
      </c>
      <c r="D277" s="4" t="inlineStr">
        <is>
          <t>=(B23+B10*B21*B22)*B7</t>
        </is>
      </c>
      <c r="E277" s="4" t="n">
        <v>2050</v>
      </c>
      <c r="F277" s="4" t="inlineStr">
        <is>
          <t>GOC Bed Unit-Costing Model v2 — working original.xlsx</t>
        </is>
      </c>
    </row>
    <row r="278" ht="40" customHeight="1">
      <c r="A278" s="4" t="inlineStr">
        <is>
          <t>original:Making plan!C51</t>
        </is>
      </c>
      <c r="B278" s="4" t="inlineStr">
        <is>
          <t>Making plan</t>
        </is>
      </c>
      <c r="C278" s="4" t="inlineStr">
        <is>
          <t>C51</t>
        </is>
      </c>
      <c r="D278" s="4" t="inlineStr">
        <is>
          <t>AUD/week</t>
        </is>
      </c>
      <c r="E278" s="4" t="inlineStr">
        <is>
          <t>AUD/week</t>
        </is>
      </c>
      <c r="F278" s="4" t="inlineStr">
        <is>
          <t>GOC Bed Unit-Costing Model v2 — working original.xlsx</t>
        </is>
      </c>
    </row>
    <row r="279" ht="75" customHeight="1">
      <c r="A279" s="4" t="inlineStr">
        <is>
          <t>original:Making plan!D51</t>
        </is>
      </c>
      <c r="B279" s="4" t="inlineStr">
        <is>
          <t>Making plan</t>
        </is>
      </c>
      <c r="C279" s="4" t="inlineStr">
        <is>
          <t>D51</t>
        </is>
      </c>
      <c r="D279" s="4" t="inlineStr">
        <is>
          <t>Correct units: daily cost × working days. Original C69 incorrectly multiplies by weekly sheets.</t>
        </is>
      </c>
      <c r="E279" s="4" t="inlineStr">
        <is>
          <t>Correct units: daily cost × working days. Original C69 incorrectly multiplies by weekly sheets.</t>
        </is>
      </c>
      <c r="F279" s="4" t="inlineStr">
        <is>
          <t>GOC Bed Unit-Costing Model v2 — working original.xlsx</t>
        </is>
      </c>
    </row>
    <row r="280" ht="40" customHeight="1">
      <c r="A280" s="4" t="inlineStr">
        <is>
          <t>original:Making plan!A52</t>
        </is>
      </c>
      <c r="B280" s="4" t="inlineStr">
        <is>
          <t>Making plan</t>
        </is>
      </c>
      <c r="C280" s="4" t="inlineStr">
        <is>
          <t>A52</t>
        </is>
      </c>
      <c r="D280" s="4" t="inlineStr">
        <is>
          <t>NM production cost per HDPE bed set</t>
        </is>
      </c>
      <c r="E280" s="4" t="inlineStr">
        <is>
          <t>NM production cost per HDPE bed set</t>
        </is>
      </c>
      <c r="F280" s="4" t="inlineStr">
        <is>
          <t>GOC Bed Unit-Costing Model v2 — working original.xlsx</t>
        </is>
      </c>
    </row>
    <row r="281" ht="40" customHeight="1">
      <c r="A281" s="4" t="inlineStr">
        <is>
          <t>original:Making plan!B52</t>
        </is>
      </c>
      <c r="B281" s="4" t="inlineStr">
        <is>
          <t>Making plan</t>
        </is>
      </c>
      <c r="C281" s="4" t="inlineStr">
        <is>
          <t>B52</t>
        </is>
      </c>
      <c r="D281" s="4" t="inlineStr">
        <is>
          <t>=B50*B38+IF(B6="Defy legs",B25,0)+B24/B41</t>
        </is>
      </c>
      <c r="E281" s="4" t="n">
        <v>370</v>
      </c>
      <c r="F281" s="4" t="inlineStr">
        <is>
          <t>GOC Bed Unit-Costing Model v2 — working original.xlsx</t>
        </is>
      </c>
    </row>
    <row r="282" ht="40" customHeight="1">
      <c r="A282" s="4" t="inlineStr">
        <is>
          <t>original:Making plan!C52</t>
        </is>
      </c>
      <c r="B282" s="4" t="inlineStr">
        <is>
          <t>Making plan</t>
        </is>
      </c>
      <c r="C282" s="4" t="inlineStr">
        <is>
          <t>C52</t>
        </is>
      </c>
      <c r="D282" s="4" t="inlineStr">
        <is>
          <t>AUD/set</t>
        </is>
      </c>
      <c r="E282" s="4" t="inlineStr">
        <is>
          <t>AUD/set</t>
        </is>
      </c>
      <c r="F282" s="4" t="inlineStr">
        <is>
          <t>GOC Bed Unit-Costing Model v2 — working original.xlsx</t>
        </is>
      </c>
    </row>
    <row r="283" ht="75" customHeight="1">
      <c r="A283" s="4" t="inlineStr">
        <is>
          <t>original:Making plan!D52</t>
        </is>
      </c>
      <c r="B283" s="4" t="inlineStr">
        <is>
          <t>Making plan</t>
        </is>
      </c>
      <c r="C283" s="4" t="inlineStr">
        <is>
          <t>D52</t>
        </is>
      </c>
      <c r="D283" s="4" t="inlineStr">
        <is>
          <t>Daily crew, consumables and rent divided by throughput. Do not also add that rent/crew in an annual budget.</t>
        </is>
      </c>
      <c r="E283" s="4" t="inlineStr">
        <is>
          <t>Daily crew, consumables and rent divided by throughput. Do not also add that rent/crew in an annual budget.</t>
        </is>
      </c>
      <c r="F283" s="4" t="inlineStr">
        <is>
          <t>GOC Bed Unit-Costing Model v2 — working original.xlsx</t>
        </is>
      </c>
    </row>
    <row r="284" ht="40" customHeight="1">
      <c r="A284" s="4" t="inlineStr">
        <is>
          <t>original:Making plan!A53</t>
        </is>
      </c>
      <c r="B284" s="4" t="inlineStr">
        <is>
          <t>Making plan</t>
        </is>
      </c>
      <c r="C284" s="4" t="inlineStr">
        <is>
          <t>A53</t>
        </is>
      </c>
      <c r="D284" s="4" t="inlineStr">
        <is>
          <t>Bed cost before freight</t>
        </is>
      </c>
      <c r="E284" s="4" t="inlineStr">
        <is>
          <t>Bed cost before freight</t>
        </is>
      </c>
      <c r="F284" s="4" t="inlineStr">
        <is>
          <t>GOC Bed Unit-Costing Model v2 — working original.xlsx</t>
        </is>
      </c>
    </row>
    <row r="285" ht="40" customHeight="1">
      <c r="A285" s="4" t="inlineStr">
        <is>
          <t>original:Making plan!B53</t>
        </is>
      </c>
      <c r="B285" s="4" t="inlineStr">
        <is>
          <t>Making plan</t>
        </is>
      </c>
      <c r="C285" s="4" t="inlineStr">
        <is>
          <t>B53</t>
        </is>
      </c>
      <c r="D285" s="4" t="inlineStr">
        <is>
          <t>=B52+B26</t>
        </is>
      </c>
      <c r="E285" s="4" t="n">
        <v>535.74</v>
      </c>
      <c r="F285" s="4" t="inlineStr">
        <is>
          <t>GOC Bed Unit-Costing Model v2 — working original.xlsx</t>
        </is>
      </c>
    </row>
    <row r="286" ht="40" customHeight="1">
      <c r="A286" s="4" t="inlineStr">
        <is>
          <t>original:Making plan!C53</t>
        </is>
      </c>
      <c r="B286" s="4" t="inlineStr">
        <is>
          <t>Making plan</t>
        </is>
      </c>
      <c r="C286" s="4" t="inlineStr">
        <is>
          <t>C53</t>
        </is>
      </c>
      <c r="D286" s="4" t="inlineStr">
        <is>
          <t>AUD/bed</t>
        </is>
      </c>
      <c r="E286" s="4" t="inlineStr">
        <is>
          <t>AUD/bed</t>
        </is>
      </c>
      <c r="F286" s="4" t="inlineStr">
        <is>
          <t>GOC Bed Unit-Costing Model v2 — working original.xlsx</t>
        </is>
      </c>
    </row>
    <row r="287" ht="75" customHeight="1">
      <c r="A287" s="4" t="inlineStr">
        <is>
          <t>original:Making plan!D53</t>
        </is>
      </c>
      <c r="B287" s="4" t="inlineStr">
        <is>
          <t>Making plan</t>
        </is>
      </c>
      <c r="C287" s="4" t="inlineStr">
        <is>
          <t>D53</t>
        </is>
      </c>
      <c r="D287" s="4" t="inlineStr">
        <is>
          <t>Own baseline 535.74; Defy baseline 510.74 with final assembly consistently included. Still a partial cost.</t>
        </is>
      </c>
      <c r="E287" s="4" t="inlineStr">
        <is>
          <t>Own baseline 535.74; Defy baseline 510.74 with final assembly consistently included. Still a partial cost.</t>
        </is>
      </c>
      <c r="F287" s="4" t="inlineStr">
        <is>
          <t>GOC Bed Unit-Costing Model v2 — working original.xlsx</t>
        </is>
      </c>
    </row>
    <row r="288" ht="40" customHeight="1">
      <c r="A288" s="4" t="inlineStr">
        <is>
          <t>original:Making plan!A54</t>
        </is>
      </c>
      <c r="B288" s="4" t="inlineStr">
        <is>
          <t>Making plan</t>
        </is>
      </c>
      <c r="C288" s="4" t="inlineStr">
        <is>
          <t>A54</t>
        </is>
      </c>
      <c r="D288" s="4" t="inlineStr">
        <is>
          <t>Complete delivered cost</t>
        </is>
      </c>
      <c r="E288" s="4" t="inlineStr">
        <is>
          <t>Complete delivered cost</t>
        </is>
      </c>
      <c r="F288" s="4" t="inlineStr">
        <is>
          <t>GOC Bed Unit-Costing Model v2 — working original.xlsx</t>
        </is>
      </c>
    </row>
    <row r="289" ht="40" customHeight="1">
      <c r="A289" s="4" t="inlineStr">
        <is>
          <t>original:Making plan!B54</t>
        </is>
      </c>
      <c r="B289" s="4" t="inlineStr">
        <is>
          <t>Making plan</t>
        </is>
      </c>
      <c r="C289" s="4" t="inlineStr">
        <is>
          <t>B54</t>
        </is>
      </c>
      <c r="D289" s="4" t="inlineStr">
        <is>
          <t>=IF(AND(B30="Yes",ISNUMBER(B27)),B53+B27,"Not fully costed")</t>
        </is>
      </c>
      <c r="E289" s="4" t="inlineStr">
        <is>
          <t>Not fully costed</t>
        </is>
      </c>
      <c r="F289" s="4" t="inlineStr">
        <is>
          <t>GOC Bed Unit-Costing Model v2 — working original.xlsx</t>
        </is>
      </c>
    </row>
    <row r="290" ht="40" customHeight="1">
      <c r="A290" s="4" t="inlineStr">
        <is>
          <t>original:Making plan!C54</t>
        </is>
      </c>
      <c r="B290" s="4" t="inlineStr">
        <is>
          <t>Making plan</t>
        </is>
      </c>
      <c r="C290" s="4" t="inlineStr">
        <is>
          <t>C54</t>
        </is>
      </c>
      <c r="D290" s="4" t="inlineStr">
        <is>
          <t>AUD/bed</t>
        </is>
      </c>
      <c r="E290" s="4" t="inlineStr">
        <is>
          <t>AUD/bed</t>
        </is>
      </c>
      <c r="F290" s="4" t="inlineStr">
        <is>
          <t>GOC Bed Unit-Costing Model v2 — working original.xlsx</t>
        </is>
      </c>
    </row>
    <row r="291" ht="45" customHeight="1">
      <c r="A291" s="4" t="inlineStr">
        <is>
          <t>original:Making plan!D54</t>
        </is>
      </c>
      <c r="B291" s="4" t="inlineStr">
        <is>
          <t>Making plan</t>
        </is>
      </c>
      <c r="C291" s="4" t="inlineStr">
        <is>
          <t>D54</t>
        </is>
      </c>
      <c r="D291" s="4" t="inlineStr">
        <is>
          <t>No complete-price claim until missing scope is resolved.</t>
        </is>
      </c>
      <c r="E291" s="4" t="inlineStr">
        <is>
          <t>No complete-price claim until missing scope is resolved.</t>
        </is>
      </c>
      <c r="F291" s="4" t="inlineStr">
        <is>
          <t>GOC Bed Unit-Costing Model v2 — working original.xlsx</t>
        </is>
      </c>
    </row>
    <row r="292" ht="40" customHeight="1">
      <c r="A292" s="4" t="inlineStr">
        <is>
          <t>original:Making plan!A55</t>
        </is>
      </c>
      <c r="B292" s="4" t="inlineStr">
        <is>
          <t>Making plan</t>
        </is>
      </c>
      <c r="C292" s="4" t="inlineStr">
        <is>
          <t>A55</t>
        </is>
      </c>
      <c r="D292" s="4" t="inlineStr">
        <is>
          <t>Batch benchmark: new press days</t>
        </is>
      </c>
      <c r="E292" s="4" t="inlineStr">
        <is>
          <t>Batch benchmark: new press days</t>
        </is>
      </c>
      <c r="F292" s="4" t="inlineStr">
        <is>
          <t>GOC Bed Unit-Costing Model v2 — working original.xlsx</t>
        </is>
      </c>
    </row>
    <row r="293" ht="45" customHeight="1">
      <c r="A293" s="4" t="inlineStr">
        <is>
          <t>original:Making plan!B55</t>
        </is>
      </c>
      <c r="B293" s="4" t="inlineStr">
        <is>
          <t>Making plan</t>
        </is>
      </c>
      <c r="C293" s="4" t="inlineStr">
        <is>
          <t>B55</t>
        </is>
      </c>
      <c r="D293" s="4" t="inlineStr">
        <is>
          <t>=IF(B6="Own sheets",(ROUNDUP(MAX(0,B29*B11-B18)/B13,0)+ROUNDUP(MAX(0,B29*B12-B19)/B14,0))/B10,ROUNDUP(MAX(0,B29*B11-B18)/B13,0)/B10)</t>
        </is>
      </c>
      <c r="E293" s="4" t="n">
        <v>151</v>
      </c>
      <c r="F293" s="4" t="inlineStr">
        <is>
          <t>GOC Bed Unit-Costing Model v2 — working original.xlsx</t>
        </is>
      </c>
    </row>
    <row r="294" ht="40" customHeight="1">
      <c r="A294" s="4" t="inlineStr">
        <is>
          <t>original:Making plan!C55</t>
        </is>
      </c>
      <c r="B294" s="4" t="inlineStr">
        <is>
          <t>Making plan</t>
        </is>
      </c>
      <c r="C294" s="4" t="inlineStr">
        <is>
          <t>C55</t>
        </is>
      </c>
      <c r="D294" s="4" t="inlineStr">
        <is>
          <t>working days</t>
        </is>
      </c>
      <c r="E294" s="4" t="inlineStr">
        <is>
          <t>working days</t>
        </is>
      </c>
      <c r="F294" s="4" t="inlineStr">
        <is>
          <t>GOC Bed Unit-Costing Model v2 — working original.xlsx</t>
        </is>
      </c>
    </row>
    <row r="295" ht="45" customHeight="1">
      <c r="A295" s="4" t="inlineStr">
        <is>
          <t>original:Making plan!D55</t>
        </is>
      </c>
      <c r="B295" s="4" t="inlineStr">
        <is>
          <t>Making plan</t>
        </is>
      </c>
      <c r="C295" s="4" t="inlineStr">
        <is>
          <t>D55</t>
        </is>
      </c>
      <c r="D295" s="4" t="inlineStr">
        <is>
          <t>Uses original 523-batch target, separate from regional rollout.</t>
        </is>
      </c>
      <c r="E295" s="4" t="inlineStr">
        <is>
          <t>Uses original 523-batch target, separate from regional rollout.</t>
        </is>
      </c>
      <c r="F295" s="4" t="inlineStr">
        <is>
          <t>GOC Bed Unit-Costing Model v2 — working original.xlsx</t>
        </is>
      </c>
    </row>
    <row r="296" ht="135" customHeight="1">
      <c r="A296" s="4" t="inlineStr">
        <is>
          <t>original:Making plan!A57</t>
        </is>
      </c>
      <c r="B296" s="4" t="inlineStr">
        <is>
          <t>Making plan</t>
        </is>
      </c>
      <c r="C296" s="4" t="inlineStr">
        <is>
          <t>A57</t>
        </is>
      </c>
      <c r="D296" s="4" t="inlineStr">
        <is>
          <t>Planning rules: capacity is not demand; HDPE sets are not assembled beds; stock is not a fresh count; the 523 batch, locality list and five-region 1,000-bed target are alternatives, never added together.</t>
        </is>
      </c>
      <c r="E296" s="4" t="inlineStr">
        <is>
          <t>Planning rules: capacity is not demand; HDPE sets are not assembled beds; stock is not a fresh count; the 523 batch, locality list and five-region 1,000-bed target are alternatives, never added together.</t>
        </is>
      </c>
      <c r="F296" s="4" t="inlineStr">
        <is>
          <t>GOC Bed Unit-Costing Model v2 — working original.xlsx</t>
        </is>
      </c>
    </row>
    <row r="297" ht="165" customHeight="1">
      <c r="A297" s="4" t="inlineStr">
        <is>
          <t>original:Making plan!A59</t>
        </is>
      </c>
      <c r="B297" s="4" t="inlineStr">
        <is>
          <t>Making plan</t>
        </is>
      </c>
      <c r="C297" s="4" t="inlineStr">
        <is>
          <t>A59</t>
        </is>
      </c>
      <c r="D297" s="4" t="inlineStr">
        <is>
          <t>Financial alignment: this NM route includes crew, consumables and rent inside unit production cost. The earlier phase Cost plan uses a different cost boundary. Reconcile those lines before applying its funding totals to this production scenario.</t>
        </is>
      </c>
      <c r="E297" s="4" t="inlineStr">
        <is>
          <t>Financial alignment: this NM route includes crew, consumables and rent inside unit production cost. The earlier phase Cost plan uses a different cost boundary. Reconcile those lines before applying its funding totals to this production scenario.</t>
        </is>
      </c>
      <c r="F297" s="4" t="inlineStr">
        <is>
          <t>GOC Bed Unit-Costing Model v2 — working original.xlsx</t>
        </is>
      </c>
    </row>
    <row r="298" ht="45" customHeight="1">
      <c r="A298" s="4" t="inlineStr">
        <is>
          <t>original:Community targets!A1</t>
        </is>
      </c>
      <c r="B298" s="4" t="inlineStr">
        <is>
          <t>Community targets</t>
        </is>
      </c>
      <c r="C298" s="4" t="inlineStr">
        <is>
          <t>A1</t>
        </is>
      </c>
      <c r="D298" s="4" t="inlineStr">
        <is>
          <t>Communities — choose the target, then assign the making</t>
        </is>
      </c>
      <c r="E298" s="4" t="inlineStr">
        <is>
          <t>Communities — choose the target, then assign the making</t>
        </is>
      </c>
      <c r="F298" s="4" t="inlineStr">
        <is>
          <t>GOC Bed Unit-Costing Model v2 — working original.xlsx</t>
        </is>
      </c>
    </row>
    <row r="299" ht="90" customHeight="1">
      <c r="A299" s="4" t="inlineStr">
        <is>
          <t>original:Community targets!A2</t>
        </is>
      </c>
      <c r="B299" s="4" t="inlineStr">
        <is>
          <t>Community targets</t>
        </is>
      </c>
      <c r="C299" s="4" t="inlineStr">
        <is>
          <t>A2</t>
        </is>
      </c>
      <c r="D299" s="4" t="inlineStr">
        <is>
          <t>NM Play regional scenario. Targets are planning ideas; request, local authority, payer, timeframe and recipient allocation remain open.</t>
        </is>
      </c>
      <c r="E299" s="4" t="inlineStr">
        <is>
          <t>NM Play regional scenario. Targets are planning ideas; request, local authority, payer, timeframe and recipient allocation remain open.</t>
        </is>
      </c>
      <c r="F299" s="4" t="inlineStr">
        <is>
          <t>GOC Bed Unit-Costing Model v2 — working original.xlsx</t>
        </is>
      </c>
    </row>
    <row r="300" ht="120" customHeight="1">
      <c r="A300" s="4" t="inlineStr">
        <is>
          <t>original:Community targets!A3</t>
        </is>
      </c>
      <c r="B300" s="4" t="inlineStr">
        <is>
          <t>Community targets</t>
        </is>
      </c>
      <c r="C300" s="4" t="inlineStr">
        <is>
          <t>A3</t>
        </is>
      </c>
      <c r="D300" s="4" t="inlineStr">
        <is>
          <t>Choose a producing facility in column C. The facility table totals those assignments. No region is assigned automatically; a regional bucket is not a verified community order.</t>
        </is>
      </c>
      <c r="E300" s="4" t="inlineStr">
        <is>
          <t>Choose a producing facility in column C. The facility table totals those assignments. No region is assigned automatically; a regional bucket is not a verified community order.</t>
        </is>
      </c>
      <c r="F300" s="4" t="inlineStr">
        <is>
          <t>GOC Bed Unit-Costing Model v2 — working original.xlsx</t>
        </is>
      </c>
    </row>
    <row r="301" ht="40" customHeight="1">
      <c r="A301" s="4" t="inlineStr">
        <is>
          <t>original:Community targets!A5</t>
        </is>
      </c>
      <c r="B301" s="4" t="inlineStr">
        <is>
          <t>Community targets</t>
        </is>
      </c>
      <c r="C301" s="4" t="inlineStr">
        <is>
          <t>A5</t>
        </is>
      </c>
      <c r="D301" s="4" t="inlineStr">
        <is>
          <t>Region / planning group</t>
        </is>
      </c>
      <c r="E301" s="4" t="inlineStr">
        <is>
          <t>Region / planning group</t>
        </is>
      </c>
      <c r="F301" s="4" t="inlineStr">
        <is>
          <t>GOC Bed Unit-Costing Model v2 — working original.xlsx</t>
        </is>
      </c>
    </row>
    <row r="302" ht="40" customHeight="1">
      <c r="A302" s="4" t="inlineStr">
        <is>
          <t>original:Community targets!B5</t>
        </is>
      </c>
      <c r="B302" s="4" t="inlineStr">
        <is>
          <t>Community targets</t>
        </is>
      </c>
      <c r="C302" s="4" t="inlineStr">
        <is>
          <t>B5</t>
        </is>
      </c>
      <c r="D302" s="4" t="inlineStr">
        <is>
          <t>Target beds</t>
        </is>
      </c>
      <c r="E302" s="4" t="inlineStr">
        <is>
          <t>Target beds</t>
        </is>
      </c>
      <c r="F302" s="4" t="inlineStr">
        <is>
          <t>GOC Bed Unit-Costing Model v2 — working original.xlsx</t>
        </is>
      </c>
    </row>
    <row r="303" ht="40" customHeight="1">
      <c r="A303" s="4" t="inlineStr">
        <is>
          <t>original:Community targets!C5</t>
        </is>
      </c>
      <c r="B303" s="4" t="inlineStr">
        <is>
          <t>Community targets</t>
        </is>
      </c>
      <c r="C303" s="4" t="inlineStr">
        <is>
          <t>C5</t>
        </is>
      </c>
      <c r="D303" s="4" t="inlineStr">
        <is>
          <t>Producing facility</t>
        </is>
      </c>
      <c r="E303" s="4" t="inlineStr">
        <is>
          <t>Producing facility</t>
        </is>
      </c>
      <c r="F303" s="4" t="inlineStr">
        <is>
          <t>GOC Bed Unit-Costing Model v2 — working original.xlsx</t>
        </is>
      </c>
    </row>
    <row r="304" ht="40" customHeight="1">
      <c r="A304" s="4" t="inlineStr">
        <is>
          <t>original:Community targets!D5</t>
        </is>
      </c>
      <c r="B304" s="4" t="inlineStr">
        <is>
          <t>Community targets</t>
        </is>
      </c>
      <c r="C304" s="4" t="inlineStr">
        <is>
          <t>D5</t>
        </is>
      </c>
      <c r="D304" s="4" t="inlineStr">
        <is>
          <t>Request status</t>
        </is>
      </c>
      <c r="E304" s="4" t="inlineStr">
        <is>
          <t>Request status</t>
        </is>
      </c>
      <c r="F304" s="4" t="inlineStr">
        <is>
          <t>GOC Bed Unit-Costing Model v2 — working original.xlsx</t>
        </is>
      </c>
    </row>
    <row r="305" ht="40" customHeight="1">
      <c r="A305" s="4" t="inlineStr">
        <is>
          <t>original:Community targets!E5</t>
        </is>
      </c>
      <c r="B305" s="4" t="inlineStr">
        <is>
          <t>Community targets</t>
        </is>
      </c>
      <c r="C305" s="4" t="inlineStr">
        <is>
          <t>E5</t>
        </is>
      </c>
      <c r="D305" s="4" t="inlineStr">
        <is>
          <t>Next decision</t>
        </is>
      </c>
      <c r="E305" s="4" t="inlineStr">
        <is>
          <t>Next decision</t>
        </is>
      </c>
      <c r="F305" s="4" t="inlineStr">
        <is>
          <t>GOC Bed Unit-Costing Model v2 — working original.xlsx</t>
        </is>
      </c>
    </row>
    <row r="306" ht="40" customHeight="1">
      <c r="A306" s="4" t="inlineStr">
        <is>
          <t>original:Community targets!A6</t>
        </is>
      </c>
      <c r="B306" s="4" t="inlineStr">
        <is>
          <t>Community targets</t>
        </is>
      </c>
      <c r="C306" s="4" t="inlineStr">
        <is>
          <t>A6</t>
        </is>
      </c>
      <c r="D306" s="4" t="inlineStr">
        <is>
          <t>='NM Play'!A127</t>
        </is>
      </c>
      <c r="E306" s="4" t="inlineStr">
        <is>
          <t>Palm Island / Cape</t>
        </is>
      </c>
      <c r="F306" s="4" t="inlineStr">
        <is>
          <t>GOC Bed Unit-Costing Model v2 — working original.xlsx</t>
        </is>
      </c>
    </row>
    <row r="307" ht="40" customHeight="1">
      <c r="A307" s="4" t="inlineStr">
        <is>
          <t>original:Community targets!B6</t>
        </is>
      </c>
      <c r="B307" s="4" t="inlineStr">
        <is>
          <t>Community targets</t>
        </is>
      </c>
      <c r="C307" s="4" t="inlineStr">
        <is>
          <t>B6</t>
        </is>
      </c>
      <c r="D307" s="4" t="inlineStr">
        <is>
          <t>='NM Play'!B127</t>
        </is>
      </c>
      <c r="E307" s="4" t="n">
        <v>200</v>
      </c>
      <c r="F307" s="4" t="inlineStr">
        <is>
          <t>GOC Bed Unit-Costing Model v2 — working original.xlsx</t>
        </is>
      </c>
    </row>
    <row r="308" ht="40" customHeight="1">
      <c r="A308" s="4" t="inlineStr">
        <is>
          <t>original:Community targets!C6</t>
        </is>
      </c>
      <c r="B308" s="4" t="inlineStr">
        <is>
          <t>Community targets</t>
        </is>
      </c>
      <c r="C308" s="4" t="inlineStr">
        <is>
          <t>C6</t>
        </is>
      </c>
      <c r="D308" s="4" t="inlineStr">
        <is>
          <t>Unassigned</t>
        </is>
      </c>
      <c r="E308" s="4" t="inlineStr">
        <is>
          <t>Unassigned</t>
        </is>
      </c>
      <c r="F308" s="4" t="inlineStr">
        <is>
          <t>GOC Bed Unit-Costing Model v2 — working original.xlsx</t>
        </is>
      </c>
    </row>
    <row r="309" ht="40" customHeight="1">
      <c r="A309" s="4" t="inlineStr">
        <is>
          <t>original:Community targets!D6</t>
        </is>
      </c>
      <c r="B309" s="4" t="inlineStr">
        <is>
          <t>Community targets</t>
        </is>
      </c>
      <c r="C309" s="4" t="inlineStr">
        <is>
          <t>D6</t>
        </is>
      </c>
      <c r="D309" s="4" t="inlineStr">
        <is>
          <t>Planning only</t>
        </is>
      </c>
      <c r="E309" s="4" t="inlineStr">
        <is>
          <t>Planning only</t>
        </is>
      </c>
      <c r="F309" s="4" t="inlineStr">
        <is>
          <t>GOC Bed Unit-Costing Model v2 — working original.xlsx</t>
        </is>
      </c>
    </row>
    <row r="310" ht="75" customHeight="1">
      <c r="A310" s="4" t="inlineStr">
        <is>
          <t>original:Community targets!E6</t>
        </is>
      </c>
      <c r="B310" s="4" t="inlineStr">
        <is>
          <t>Community targets</t>
        </is>
      </c>
      <c r="C310" s="4" t="inlineStr">
        <is>
          <t>E6</t>
        </is>
      </c>
      <c r="D310" s="4" t="inlineStr">
        <is>
          <t>Name individual communities, local authority, recipient counts, payer and target delivery date.</t>
        </is>
      </c>
      <c r="E310" s="4" t="inlineStr">
        <is>
          <t>Name individual communities, local authority, recipient counts, payer and target delivery date.</t>
        </is>
      </c>
      <c r="F310" s="4" t="inlineStr">
        <is>
          <t>GOC Bed Unit-Costing Model v2 — working original.xlsx</t>
        </is>
      </c>
    </row>
    <row r="311" ht="40" customHeight="1">
      <c r="A311" s="4" t="inlineStr">
        <is>
          <t>original:Community targets!A7</t>
        </is>
      </c>
      <c r="B311" s="4" t="inlineStr">
        <is>
          <t>Community targets</t>
        </is>
      </c>
      <c r="C311" s="4" t="inlineStr">
        <is>
          <t>A7</t>
        </is>
      </c>
      <c r="D311" s="4" t="inlineStr">
        <is>
          <t>='NM Play'!A128</t>
        </is>
      </c>
      <c r="E311" s="4" t="inlineStr">
        <is>
          <t xml:space="preserve">Central Desert </t>
        </is>
      </c>
      <c r="F311" s="4" t="inlineStr">
        <is>
          <t>GOC Bed Unit-Costing Model v2 — working original.xlsx</t>
        </is>
      </c>
    </row>
    <row r="312" ht="40" customHeight="1">
      <c r="A312" s="4" t="inlineStr">
        <is>
          <t>original:Community targets!B7</t>
        </is>
      </c>
      <c r="B312" s="4" t="inlineStr">
        <is>
          <t>Community targets</t>
        </is>
      </c>
      <c r="C312" s="4" t="inlineStr">
        <is>
          <t>B7</t>
        </is>
      </c>
      <c r="D312" s="4" t="inlineStr">
        <is>
          <t>='NM Play'!B128</t>
        </is>
      </c>
      <c r="E312" s="4" t="n">
        <v>200</v>
      </c>
      <c r="F312" s="4" t="inlineStr">
        <is>
          <t>GOC Bed Unit-Costing Model v2 — working original.xlsx</t>
        </is>
      </c>
    </row>
    <row r="313" ht="40" customHeight="1">
      <c r="A313" s="4" t="inlineStr">
        <is>
          <t>original:Community targets!C7</t>
        </is>
      </c>
      <c r="B313" s="4" t="inlineStr">
        <is>
          <t>Community targets</t>
        </is>
      </c>
      <c r="C313" s="4" t="inlineStr">
        <is>
          <t>C7</t>
        </is>
      </c>
      <c r="D313" s="4" t="inlineStr">
        <is>
          <t>Unassigned</t>
        </is>
      </c>
      <c r="E313" s="4" t="inlineStr">
        <is>
          <t>Unassigned</t>
        </is>
      </c>
      <c r="F313" s="4" t="inlineStr">
        <is>
          <t>GOC Bed Unit-Costing Model v2 — working original.xlsx</t>
        </is>
      </c>
    </row>
    <row r="314" ht="40" customHeight="1">
      <c r="A314" s="4" t="inlineStr">
        <is>
          <t>original:Community targets!D7</t>
        </is>
      </c>
      <c r="B314" s="4" t="inlineStr">
        <is>
          <t>Community targets</t>
        </is>
      </c>
      <c r="C314" s="4" t="inlineStr">
        <is>
          <t>D7</t>
        </is>
      </c>
      <c r="D314" s="4" t="inlineStr">
        <is>
          <t>Planning only</t>
        </is>
      </c>
      <c r="E314" s="4" t="inlineStr">
        <is>
          <t>Planning only</t>
        </is>
      </c>
      <c r="F314" s="4" t="inlineStr">
        <is>
          <t>GOC Bed Unit-Costing Model v2 — working original.xlsx</t>
        </is>
      </c>
    </row>
    <row r="315" ht="75" customHeight="1">
      <c r="A315" s="4" t="inlineStr">
        <is>
          <t>original:Community targets!E7</t>
        </is>
      </c>
      <c r="B315" s="4" t="inlineStr">
        <is>
          <t>Community targets</t>
        </is>
      </c>
      <c r="C315" s="4" t="inlineStr">
        <is>
          <t>E7</t>
        </is>
      </c>
      <c r="D315" s="4" t="inlineStr">
        <is>
          <t>Name individual communities, local authority, recipient counts, payer and target delivery date.</t>
        </is>
      </c>
      <c r="E315" s="4" t="inlineStr">
        <is>
          <t>Name individual communities, local authority, recipient counts, payer and target delivery date.</t>
        </is>
      </c>
      <c r="F315" s="4" t="inlineStr">
        <is>
          <t>GOC Bed Unit-Costing Model v2 — working original.xlsx</t>
        </is>
      </c>
    </row>
    <row r="316" ht="40" customHeight="1">
      <c r="A316" s="4" t="inlineStr">
        <is>
          <t>original:Community targets!A8</t>
        </is>
      </c>
      <c r="B316" s="4" t="inlineStr">
        <is>
          <t>Community targets</t>
        </is>
      </c>
      <c r="C316" s="4" t="inlineStr">
        <is>
          <t>A8</t>
        </is>
      </c>
      <c r="D316" s="4" t="inlineStr">
        <is>
          <t>='NM Play'!A129</t>
        </is>
      </c>
      <c r="E316" s="4" t="inlineStr">
        <is>
          <t>SA</t>
        </is>
      </c>
      <c r="F316" s="4" t="inlineStr">
        <is>
          <t>GOC Bed Unit-Costing Model v2 — working original.xlsx</t>
        </is>
      </c>
    </row>
    <row r="317" ht="40" customHeight="1">
      <c r="A317" s="4" t="inlineStr">
        <is>
          <t>original:Community targets!B8</t>
        </is>
      </c>
      <c r="B317" s="4" t="inlineStr">
        <is>
          <t>Community targets</t>
        </is>
      </c>
      <c r="C317" s="4" t="inlineStr">
        <is>
          <t>B8</t>
        </is>
      </c>
      <c r="D317" s="4" t="inlineStr">
        <is>
          <t>='NM Play'!B129</t>
        </is>
      </c>
      <c r="E317" s="4" t="n">
        <v>200</v>
      </c>
      <c r="F317" s="4" t="inlineStr">
        <is>
          <t>GOC Bed Unit-Costing Model v2 — working original.xlsx</t>
        </is>
      </c>
    </row>
    <row r="318" ht="40" customHeight="1">
      <c r="A318" s="4" t="inlineStr">
        <is>
          <t>original:Community targets!C8</t>
        </is>
      </c>
      <c r="B318" s="4" t="inlineStr">
        <is>
          <t>Community targets</t>
        </is>
      </c>
      <c r="C318" s="4" t="inlineStr">
        <is>
          <t>C8</t>
        </is>
      </c>
      <c r="D318" s="4" t="inlineStr">
        <is>
          <t>Unassigned</t>
        </is>
      </c>
      <c r="E318" s="4" t="inlineStr">
        <is>
          <t>Unassigned</t>
        </is>
      </c>
      <c r="F318" s="4" t="inlineStr">
        <is>
          <t>GOC Bed Unit-Costing Model v2 — working original.xlsx</t>
        </is>
      </c>
    </row>
    <row r="319" ht="40" customHeight="1">
      <c r="A319" s="4" t="inlineStr">
        <is>
          <t>original:Community targets!D8</t>
        </is>
      </c>
      <c r="B319" s="4" t="inlineStr">
        <is>
          <t>Community targets</t>
        </is>
      </c>
      <c r="C319" s="4" t="inlineStr">
        <is>
          <t>D8</t>
        </is>
      </c>
      <c r="D319" s="4" t="inlineStr">
        <is>
          <t>Planning only</t>
        </is>
      </c>
      <c r="E319" s="4" t="inlineStr">
        <is>
          <t>Planning only</t>
        </is>
      </c>
      <c r="F319" s="4" t="inlineStr">
        <is>
          <t>GOC Bed Unit-Costing Model v2 — working original.xlsx</t>
        </is>
      </c>
    </row>
    <row r="320" ht="75" customHeight="1">
      <c r="A320" s="4" t="inlineStr">
        <is>
          <t>original:Community targets!E8</t>
        </is>
      </c>
      <c r="B320" s="4" t="inlineStr">
        <is>
          <t>Community targets</t>
        </is>
      </c>
      <c r="C320" s="4" t="inlineStr">
        <is>
          <t>E8</t>
        </is>
      </c>
      <c r="D320" s="4" t="inlineStr">
        <is>
          <t>Name individual communities, local authority, recipient counts, payer and target delivery date.</t>
        </is>
      </c>
      <c r="E320" s="4" t="inlineStr">
        <is>
          <t>Name individual communities, local authority, recipient counts, payer and target delivery date.</t>
        </is>
      </c>
      <c r="F320" s="4" t="inlineStr">
        <is>
          <t>GOC Bed Unit-Costing Model v2 — working original.xlsx</t>
        </is>
      </c>
    </row>
    <row r="321" ht="40" customHeight="1">
      <c r="A321" s="4" t="inlineStr">
        <is>
          <t>original:Community targets!A9</t>
        </is>
      </c>
      <c r="B321" s="4" t="inlineStr">
        <is>
          <t>Community targets</t>
        </is>
      </c>
      <c r="C321" s="4" t="inlineStr">
        <is>
          <t>A9</t>
        </is>
      </c>
      <c r="D321" s="4" t="inlineStr">
        <is>
          <t>='NM Play'!A130</t>
        </is>
      </c>
      <c r="E321" s="4" t="inlineStr">
        <is>
          <t xml:space="preserve">Maningrida </t>
        </is>
      </c>
      <c r="F321" s="4" t="inlineStr">
        <is>
          <t>GOC Bed Unit-Costing Model v2 — working original.xlsx</t>
        </is>
      </c>
    </row>
    <row r="322" ht="40" customHeight="1">
      <c r="A322" s="4" t="inlineStr">
        <is>
          <t>original:Community targets!B9</t>
        </is>
      </c>
      <c r="B322" s="4" t="inlineStr">
        <is>
          <t>Community targets</t>
        </is>
      </c>
      <c r="C322" s="4" t="inlineStr">
        <is>
          <t>B9</t>
        </is>
      </c>
      <c r="D322" s="4" t="inlineStr">
        <is>
          <t>='NM Play'!B130</t>
        </is>
      </c>
      <c r="E322" s="4" t="n">
        <v>200</v>
      </c>
      <c r="F322" s="4" t="inlineStr">
        <is>
          <t>GOC Bed Unit-Costing Model v2 — working original.xlsx</t>
        </is>
      </c>
    </row>
    <row r="323" ht="40" customHeight="1">
      <c r="A323" s="4" t="inlineStr">
        <is>
          <t>original:Community targets!C9</t>
        </is>
      </c>
      <c r="B323" s="4" t="inlineStr">
        <is>
          <t>Community targets</t>
        </is>
      </c>
      <c r="C323" s="4" t="inlineStr">
        <is>
          <t>C9</t>
        </is>
      </c>
      <c r="D323" s="4" t="inlineStr">
        <is>
          <t>Unassigned</t>
        </is>
      </c>
      <c r="E323" s="4" t="inlineStr">
        <is>
          <t>Unassigned</t>
        </is>
      </c>
      <c r="F323" s="4" t="inlineStr">
        <is>
          <t>GOC Bed Unit-Costing Model v2 — working original.xlsx</t>
        </is>
      </c>
    </row>
    <row r="324" ht="40" customHeight="1">
      <c r="A324" s="4" t="inlineStr">
        <is>
          <t>original:Community targets!D9</t>
        </is>
      </c>
      <c r="B324" s="4" t="inlineStr">
        <is>
          <t>Community targets</t>
        </is>
      </c>
      <c r="C324" s="4" t="inlineStr">
        <is>
          <t>D9</t>
        </is>
      </c>
      <c r="D324" s="4" t="inlineStr">
        <is>
          <t>Planning only</t>
        </is>
      </c>
      <c r="E324" s="4" t="inlineStr">
        <is>
          <t>Planning only</t>
        </is>
      </c>
      <c r="F324" s="4" t="inlineStr">
        <is>
          <t>GOC Bed Unit-Costing Model v2 — working original.xlsx</t>
        </is>
      </c>
    </row>
    <row r="325" ht="75" customHeight="1">
      <c r="A325" s="4" t="inlineStr">
        <is>
          <t>original:Community targets!E9</t>
        </is>
      </c>
      <c r="B325" s="4" t="inlineStr">
        <is>
          <t>Community targets</t>
        </is>
      </c>
      <c r="C325" s="4" t="inlineStr">
        <is>
          <t>E9</t>
        </is>
      </c>
      <c r="D325" s="4" t="inlineStr">
        <is>
          <t>Name individual communities, local authority, recipient counts, payer and target delivery date.</t>
        </is>
      </c>
      <c r="E325" s="4" t="inlineStr">
        <is>
          <t>Name individual communities, local authority, recipient counts, payer and target delivery date.</t>
        </is>
      </c>
      <c r="F325" s="4" t="inlineStr">
        <is>
          <t>GOC Bed Unit-Costing Model v2 — working original.xlsx</t>
        </is>
      </c>
    </row>
    <row r="326" ht="40" customHeight="1">
      <c r="A326" s="4" t="inlineStr">
        <is>
          <t>original:Community targets!A10</t>
        </is>
      </c>
      <c r="B326" s="4" t="inlineStr">
        <is>
          <t>Community targets</t>
        </is>
      </c>
      <c r="C326" s="4" t="inlineStr">
        <is>
          <t>A10</t>
        </is>
      </c>
      <c r="D326" s="4" t="inlineStr">
        <is>
          <t>='NM Play'!A131</t>
        </is>
      </c>
      <c r="E326" s="4" t="inlineStr">
        <is>
          <t xml:space="preserve">Kimberlies </t>
        </is>
      </c>
      <c r="F326" s="4" t="inlineStr">
        <is>
          <t>GOC Bed Unit-Costing Model v2 — working original.xlsx</t>
        </is>
      </c>
    </row>
    <row r="327" ht="40" customHeight="1">
      <c r="A327" s="4" t="inlineStr">
        <is>
          <t>original:Community targets!B10</t>
        </is>
      </c>
      <c r="B327" s="4" t="inlineStr">
        <is>
          <t>Community targets</t>
        </is>
      </c>
      <c r="C327" s="4" t="inlineStr">
        <is>
          <t>B10</t>
        </is>
      </c>
      <c r="D327" s="4" t="inlineStr">
        <is>
          <t>='NM Play'!B131</t>
        </is>
      </c>
      <c r="E327" s="4" t="n">
        <v>200</v>
      </c>
      <c r="F327" s="4" t="inlineStr">
        <is>
          <t>GOC Bed Unit-Costing Model v2 — working original.xlsx</t>
        </is>
      </c>
    </row>
    <row r="328" ht="40" customHeight="1">
      <c r="A328" s="4" t="inlineStr">
        <is>
          <t>original:Community targets!C10</t>
        </is>
      </c>
      <c r="B328" s="4" t="inlineStr">
        <is>
          <t>Community targets</t>
        </is>
      </c>
      <c r="C328" s="4" t="inlineStr">
        <is>
          <t>C10</t>
        </is>
      </c>
      <c r="D328" s="4" t="inlineStr">
        <is>
          <t>Unassigned</t>
        </is>
      </c>
      <c r="E328" s="4" t="inlineStr">
        <is>
          <t>Unassigned</t>
        </is>
      </c>
      <c r="F328" s="4" t="inlineStr">
        <is>
          <t>GOC Bed Unit-Costing Model v2 — working original.xlsx</t>
        </is>
      </c>
    </row>
    <row r="329" ht="40" customHeight="1">
      <c r="A329" s="4" t="inlineStr">
        <is>
          <t>original:Community targets!D10</t>
        </is>
      </c>
      <c r="B329" s="4" t="inlineStr">
        <is>
          <t>Community targets</t>
        </is>
      </c>
      <c r="C329" s="4" t="inlineStr">
        <is>
          <t>D10</t>
        </is>
      </c>
      <c r="D329" s="4" t="inlineStr">
        <is>
          <t>Planning only</t>
        </is>
      </c>
      <c r="E329" s="4" t="inlineStr">
        <is>
          <t>Planning only</t>
        </is>
      </c>
      <c r="F329" s="4" t="inlineStr">
        <is>
          <t>GOC Bed Unit-Costing Model v2 — working original.xlsx</t>
        </is>
      </c>
    </row>
    <row r="330" ht="75" customHeight="1">
      <c r="A330" s="4" t="inlineStr">
        <is>
          <t>original:Community targets!E10</t>
        </is>
      </c>
      <c r="B330" s="4" t="inlineStr">
        <is>
          <t>Community targets</t>
        </is>
      </c>
      <c r="C330" s="4" t="inlineStr">
        <is>
          <t>E10</t>
        </is>
      </c>
      <c r="D330" s="4" t="inlineStr">
        <is>
          <t>Name individual communities, local authority, recipient counts, payer and target delivery date.</t>
        </is>
      </c>
      <c r="E330" s="4" t="inlineStr">
        <is>
          <t>Name individual communities, local authority, recipient counts, payer and target delivery date.</t>
        </is>
      </c>
      <c r="F330" s="4" t="inlineStr">
        <is>
          <t>GOC Bed Unit-Costing Model v2 — working original.xlsx</t>
        </is>
      </c>
    </row>
    <row r="331" ht="40" customHeight="1">
      <c r="A331" s="4" t="inlineStr">
        <is>
          <t>original:Community targets!A12</t>
        </is>
      </c>
      <c r="B331" s="4" t="inlineStr">
        <is>
          <t>Community targets</t>
        </is>
      </c>
      <c r="C331" s="4" t="inlineStr">
        <is>
          <t>A12</t>
        </is>
      </c>
      <c r="D331" s="4" t="inlineStr">
        <is>
          <t>Total regional target</t>
        </is>
      </c>
      <c r="E331" s="4" t="inlineStr">
        <is>
          <t>Total regional target</t>
        </is>
      </c>
      <c r="F331" s="4" t="inlineStr">
        <is>
          <t>GOC Bed Unit-Costing Model v2 — working original.xlsx</t>
        </is>
      </c>
    </row>
    <row r="332" ht="40" customHeight="1">
      <c r="A332" s="4" t="inlineStr">
        <is>
          <t>original:Community targets!B12</t>
        </is>
      </c>
      <c r="B332" s="4" t="inlineStr">
        <is>
          <t>Community targets</t>
        </is>
      </c>
      <c r="C332" s="4" t="inlineStr">
        <is>
          <t>B12</t>
        </is>
      </c>
      <c r="D332" s="4" t="inlineStr">
        <is>
          <t>=SUM(B6:B10)</t>
        </is>
      </c>
      <c r="E332" s="4" t="n">
        <v>1000</v>
      </c>
      <c r="F332" s="4" t="inlineStr">
        <is>
          <t>GOC Bed Unit-Costing Model v2 — working original.xlsx</t>
        </is>
      </c>
    </row>
    <row r="333" ht="40" customHeight="1">
      <c r="A333" s="4" t="inlineStr">
        <is>
          <t>original:Community targets!A13</t>
        </is>
      </c>
      <c r="B333" s="4" t="inlineStr">
        <is>
          <t>Community targets</t>
        </is>
      </c>
      <c r="C333" s="4" t="inlineStr">
        <is>
          <t>A13</t>
        </is>
      </c>
      <c r="D333" s="4" t="inlineStr">
        <is>
          <t>Assigned target</t>
        </is>
      </c>
      <c r="E333" s="4" t="inlineStr">
        <is>
          <t>Assigned target</t>
        </is>
      </c>
      <c r="F333" s="4" t="inlineStr">
        <is>
          <t>GOC Bed Unit-Costing Model v2 — working original.xlsx</t>
        </is>
      </c>
    </row>
    <row r="334" ht="40" customHeight="1">
      <c r="A334" s="4" t="inlineStr">
        <is>
          <t>original:Community targets!B13</t>
        </is>
      </c>
      <c r="B334" s="4" t="inlineStr">
        <is>
          <t>Community targets</t>
        </is>
      </c>
      <c r="C334" s="4" t="inlineStr">
        <is>
          <t>B13</t>
        </is>
      </c>
      <c r="D334" s="4" t="inlineStr">
        <is>
          <t>=SUMIF(C6:C10,"WITTA",B6:B10)+SUMIF(C6:C10,"NEW1",B6:B10)+SUMIF(C6:C10,"NEW2",B6:B10)</t>
        </is>
      </c>
      <c r="E334" s="4" t="n">
        <v>0</v>
      </c>
      <c r="F334" s="4" t="inlineStr">
        <is>
          <t>GOC Bed Unit-Costing Model v2 — working original.xlsx</t>
        </is>
      </c>
    </row>
    <row r="335" ht="40" customHeight="1">
      <c r="A335" s="4" t="inlineStr">
        <is>
          <t>original:Community targets!A14</t>
        </is>
      </c>
      <c r="B335" s="4" t="inlineStr">
        <is>
          <t>Community targets</t>
        </is>
      </c>
      <c r="C335" s="4" t="inlineStr">
        <is>
          <t>A14</t>
        </is>
      </c>
      <c r="D335" s="4" t="inlineStr">
        <is>
          <t>Unassigned target</t>
        </is>
      </c>
      <c r="E335" s="4" t="inlineStr">
        <is>
          <t>Unassigned target</t>
        </is>
      </c>
      <c r="F335" s="4" t="inlineStr">
        <is>
          <t>GOC Bed Unit-Costing Model v2 — working original.xlsx</t>
        </is>
      </c>
    </row>
    <row r="336" ht="40" customHeight="1">
      <c r="A336" s="4" t="inlineStr">
        <is>
          <t>original:Community targets!B14</t>
        </is>
      </c>
      <c r="B336" s="4" t="inlineStr">
        <is>
          <t>Community targets</t>
        </is>
      </c>
      <c r="C336" s="4" t="inlineStr">
        <is>
          <t>B14</t>
        </is>
      </c>
      <c r="D336" s="4" t="inlineStr">
        <is>
          <t>=B12-B13</t>
        </is>
      </c>
      <c r="E336" s="4" t="n">
        <v>1000</v>
      </c>
      <c r="F336" s="4" t="inlineStr">
        <is>
          <t>GOC Bed Unit-Costing Model v2 — working original.xlsx</t>
        </is>
      </c>
    </row>
    <row r="337" ht="60" customHeight="1">
      <c r="A337" s="4" t="inlineStr">
        <is>
          <t>original:Community targets!A17</t>
        </is>
      </c>
      <c r="B337" s="4" t="inlineStr">
        <is>
          <t>Community targets</t>
        </is>
      </c>
      <c r="C337" s="4" t="inlineStr">
        <is>
          <t>A17</t>
        </is>
      </c>
      <c r="D337" s="4" t="inlineStr">
        <is>
          <t>Alternative locality ideas from NM Play — not added to the regional target</t>
        </is>
      </c>
      <c r="E337" s="4" t="inlineStr">
        <is>
          <t>Alternative locality ideas from NM Play — not added to the regional target</t>
        </is>
      </c>
      <c r="F337" s="4" t="inlineStr">
        <is>
          <t>GOC Bed Unit-Costing Model v2 — working original.xlsx</t>
        </is>
      </c>
    </row>
    <row r="338" ht="40" customHeight="1">
      <c r="A338" s="4" t="inlineStr">
        <is>
          <t>original:Community targets!A19</t>
        </is>
      </c>
      <c r="B338" s="4" t="inlineStr">
        <is>
          <t>Community targets</t>
        </is>
      </c>
      <c r="C338" s="4" t="inlineStr">
        <is>
          <t>A19</t>
        </is>
      </c>
      <c r="D338" s="4" t="inlineStr">
        <is>
          <t>Locality / group</t>
        </is>
      </c>
      <c r="E338" s="4" t="inlineStr">
        <is>
          <t>Locality / group</t>
        </is>
      </c>
      <c r="F338" s="4" t="inlineStr">
        <is>
          <t>GOC Bed Unit-Costing Model v2 — working original.xlsx</t>
        </is>
      </c>
    </row>
    <row r="339" ht="40" customHeight="1">
      <c r="A339" s="4" t="inlineStr">
        <is>
          <t>original:Community targets!B19</t>
        </is>
      </c>
      <c r="B339" s="4" t="inlineStr">
        <is>
          <t>Community targets</t>
        </is>
      </c>
      <c r="C339" s="4" t="inlineStr">
        <is>
          <t>B19</t>
        </is>
      </c>
      <c r="D339" s="4" t="inlineStr">
        <is>
          <t>Idea beds</t>
        </is>
      </c>
      <c r="E339" s="4" t="inlineStr">
        <is>
          <t>Idea beds</t>
        </is>
      </c>
      <c r="F339" s="4" t="inlineStr">
        <is>
          <t>GOC Bed Unit-Costing Model v2 — working original.xlsx</t>
        </is>
      </c>
    </row>
    <row r="340" ht="40" customHeight="1">
      <c r="A340" s="4" t="inlineStr">
        <is>
          <t>original:Community targets!C19</t>
        </is>
      </c>
      <c r="B340" s="4" t="inlineStr">
        <is>
          <t>Community targets</t>
        </is>
      </c>
      <c r="C340" s="4" t="inlineStr">
        <is>
          <t>C19</t>
        </is>
      </c>
      <c r="D340" s="4" t="inlineStr">
        <is>
          <t>Status</t>
        </is>
      </c>
      <c r="E340" s="4" t="inlineStr">
        <is>
          <t>Status</t>
        </is>
      </c>
      <c r="F340" s="4" t="inlineStr">
        <is>
          <t>GOC Bed Unit-Costing Model v2 — working original.xlsx</t>
        </is>
      </c>
    </row>
    <row r="341" ht="40" customHeight="1">
      <c r="A341" s="4" t="inlineStr">
        <is>
          <t>original:Community targets!D19</t>
        </is>
      </c>
      <c r="B341" s="4" t="inlineStr">
        <is>
          <t>Community targets</t>
        </is>
      </c>
      <c r="C341" s="4" t="inlineStr">
        <is>
          <t>D19</t>
        </is>
      </c>
      <c r="D341" s="4" t="inlineStr">
        <is>
          <t>Overlap / authority</t>
        </is>
      </c>
      <c r="E341" s="4" t="inlineStr">
        <is>
          <t>Overlap / authority</t>
        </is>
      </c>
      <c r="F341" s="4" t="inlineStr">
        <is>
          <t>GOC Bed Unit-Costing Model v2 — working original.xlsx</t>
        </is>
      </c>
    </row>
    <row r="342" ht="40" customHeight="1">
      <c r="A342" s="4" t="inlineStr">
        <is>
          <t>original:Community targets!A20</t>
        </is>
      </c>
      <c r="B342" s="4" t="inlineStr">
        <is>
          <t>Community targets</t>
        </is>
      </c>
      <c r="C342" s="4" t="inlineStr">
        <is>
          <t>A20</t>
        </is>
      </c>
      <c r="D342" s="4" t="inlineStr">
        <is>
          <t>='NM Play'!A103</t>
        </is>
      </c>
      <c r="E342" s="4" t="inlineStr">
        <is>
          <t>Palm</t>
        </is>
      </c>
      <c r="F342" s="4" t="inlineStr">
        <is>
          <t>GOC Bed Unit-Costing Model v2 — working original.xlsx</t>
        </is>
      </c>
    </row>
    <row r="343" ht="40" customHeight="1">
      <c r="A343" s="4" t="inlineStr">
        <is>
          <t>original:Community targets!B20</t>
        </is>
      </c>
      <c r="B343" s="4" t="inlineStr">
        <is>
          <t>Community targets</t>
        </is>
      </c>
      <c r="C343" s="4" t="inlineStr">
        <is>
          <t>B20</t>
        </is>
      </c>
      <c r="D343" s="4" t="inlineStr">
        <is>
          <t>='NM Play'!B103</t>
        </is>
      </c>
      <c r="E343" s="4" t="n">
        <v>50</v>
      </c>
      <c r="F343" s="4" t="inlineStr">
        <is>
          <t>GOC Bed Unit-Costing Model v2 — working original.xlsx</t>
        </is>
      </c>
    </row>
    <row r="344" ht="40" customHeight="1">
      <c r="A344" s="4" t="inlineStr">
        <is>
          <t>original:Community targets!C20</t>
        </is>
      </c>
      <c r="B344" s="4" t="inlineStr">
        <is>
          <t>Community targets</t>
        </is>
      </c>
      <c r="C344" s="4" t="inlineStr">
        <is>
          <t>C20</t>
        </is>
      </c>
      <c r="D344" s="4" t="inlineStr">
        <is>
          <t>Planning only</t>
        </is>
      </c>
      <c r="E344" s="4" t="inlineStr">
        <is>
          <t>Planning only</t>
        </is>
      </c>
      <c r="F344" s="4" t="inlineStr">
        <is>
          <t>GOC Bed Unit-Costing Model v2 — working original.xlsx</t>
        </is>
      </c>
    </row>
    <row r="345" ht="45" customHeight="1">
      <c r="A345" s="4" t="inlineStr">
        <is>
          <t>original:Community targets!D20</t>
        </is>
      </c>
      <c r="B345" s="4" t="inlineStr">
        <is>
          <t>Community targets</t>
        </is>
      </c>
      <c r="C345" s="4" t="inlineStr">
        <is>
          <t>D20</t>
        </is>
      </c>
      <c r="D345" s="4" t="inlineStr">
        <is>
          <t>May overlap regional scenario; confirm requests individually.</t>
        </is>
      </c>
      <c r="E345" s="4" t="inlineStr">
        <is>
          <t>May overlap regional scenario; confirm requests individually.</t>
        </is>
      </c>
      <c r="F345" s="4" t="inlineStr">
        <is>
          <t>GOC Bed Unit-Costing Model v2 — working original.xlsx</t>
        </is>
      </c>
    </row>
    <row r="346" ht="40" customHeight="1">
      <c r="A346" s="4" t="inlineStr">
        <is>
          <t>original:Community targets!A21</t>
        </is>
      </c>
      <c r="B346" s="4" t="inlineStr">
        <is>
          <t>Community targets</t>
        </is>
      </c>
      <c r="C346" s="4" t="inlineStr">
        <is>
          <t>A21</t>
        </is>
      </c>
      <c r="D346" s="4" t="inlineStr">
        <is>
          <t>='NM Play'!A104</t>
        </is>
      </c>
      <c r="E346" s="4" t="inlineStr">
        <is>
          <t>Mt Isa + DOOMAGEE</t>
        </is>
      </c>
      <c r="F346" s="4" t="inlineStr">
        <is>
          <t>GOC Bed Unit-Costing Model v2 — working original.xlsx</t>
        </is>
      </c>
    </row>
    <row r="347" ht="40" customHeight="1">
      <c r="A347" s="4" t="inlineStr">
        <is>
          <t>original:Community targets!B21</t>
        </is>
      </c>
      <c r="B347" s="4" t="inlineStr">
        <is>
          <t>Community targets</t>
        </is>
      </c>
      <c r="C347" s="4" t="inlineStr">
        <is>
          <t>B21</t>
        </is>
      </c>
      <c r="D347" s="4" t="inlineStr">
        <is>
          <t>='NM Play'!B104</t>
        </is>
      </c>
      <c r="E347" s="4" t="n">
        <v>100</v>
      </c>
      <c r="F347" s="4" t="inlineStr">
        <is>
          <t>GOC Bed Unit-Costing Model v2 — working original.xlsx</t>
        </is>
      </c>
    </row>
    <row r="348" ht="40" customHeight="1">
      <c r="A348" s="4" t="inlineStr">
        <is>
          <t>original:Community targets!C21</t>
        </is>
      </c>
      <c r="B348" s="4" t="inlineStr">
        <is>
          <t>Community targets</t>
        </is>
      </c>
      <c r="C348" s="4" t="inlineStr">
        <is>
          <t>C21</t>
        </is>
      </c>
      <c r="D348" s="4" t="inlineStr">
        <is>
          <t>Planning only</t>
        </is>
      </c>
      <c r="E348" s="4" t="inlineStr">
        <is>
          <t>Planning only</t>
        </is>
      </c>
      <c r="F348" s="4" t="inlineStr">
        <is>
          <t>GOC Bed Unit-Costing Model v2 — working original.xlsx</t>
        </is>
      </c>
    </row>
    <row r="349" ht="45" customHeight="1">
      <c r="A349" s="4" t="inlineStr">
        <is>
          <t>original:Community targets!D21</t>
        </is>
      </c>
      <c r="B349" s="4" t="inlineStr">
        <is>
          <t>Community targets</t>
        </is>
      </c>
      <c r="C349" s="4" t="inlineStr">
        <is>
          <t>D21</t>
        </is>
      </c>
      <c r="D349" s="4" t="inlineStr">
        <is>
          <t>May overlap regional scenario; confirm requests individually.</t>
        </is>
      </c>
      <c r="E349" s="4" t="inlineStr">
        <is>
          <t>May overlap regional scenario; confirm requests individually.</t>
        </is>
      </c>
      <c r="F349" s="4" t="inlineStr">
        <is>
          <t>GOC Bed Unit-Costing Model v2 — working original.xlsx</t>
        </is>
      </c>
    </row>
    <row r="350" ht="40" customHeight="1">
      <c r="A350" s="4" t="inlineStr">
        <is>
          <t>original:Community targets!A22</t>
        </is>
      </c>
      <c r="B350" s="4" t="inlineStr">
        <is>
          <t>Community targets</t>
        </is>
      </c>
      <c r="C350" s="4" t="inlineStr">
        <is>
          <t>A22</t>
        </is>
      </c>
      <c r="D350" s="4" t="inlineStr">
        <is>
          <t>='NM Play'!A105</t>
        </is>
      </c>
      <c r="E350" s="4" t="inlineStr">
        <is>
          <t xml:space="preserve">Maningrida </t>
        </is>
      </c>
      <c r="F350" s="4" t="inlineStr">
        <is>
          <t>GOC Bed Unit-Costing Model v2 — working original.xlsx</t>
        </is>
      </c>
    </row>
    <row r="351" ht="40" customHeight="1">
      <c r="A351" s="4" t="inlineStr">
        <is>
          <t>original:Community targets!B22</t>
        </is>
      </c>
      <c r="B351" s="4" t="inlineStr">
        <is>
          <t>Community targets</t>
        </is>
      </c>
      <c r="C351" s="4" t="inlineStr">
        <is>
          <t>B22</t>
        </is>
      </c>
      <c r="D351" s="4" t="inlineStr">
        <is>
          <t>='NM Play'!B105</t>
        </is>
      </c>
      <c r="E351" s="4" t="n">
        <v>100</v>
      </c>
      <c r="F351" s="4" t="inlineStr">
        <is>
          <t>GOC Bed Unit-Costing Model v2 — working original.xlsx</t>
        </is>
      </c>
    </row>
    <row r="352" ht="40" customHeight="1">
      <c r="A352" s="4" t="inlineStr">
        <is>
          <t>original:Community targets!C22</t>
        </is>
      </c>
      <c r="B352" s="4" t="inlineStr">
        <is>
          <t>Community targets</t>
        </is>
      </c>
      <c r="C352" s="4" t="inlineStr">
        <is>
          <t>C22</t>
        </is>
      </c>
      <c r="D352" s="4" t="inlineStr">
        <is>
          <t>Planning only</t>
        </is>
      </c>
      <c r="E352" s="4" t="inlineStr">
        <is>
          <t>Planning only</t>
        </is>
      </c>
      <c r="F352" s="4" t="inlineStr">
        <is>
          <t>GOC Bed Unit-Costing Model v2 — working original.xlsx</t>
        </is>
      </c>
    </row>
    <row r="353" ht="45" customHeight="1">
      <c r="A353" s="4" t="inlineStr">
        <is>
          <t>original:Community targets!D22</t>
        </is>
      </c>
      <c r="B353" s="4" t="inlineStr">
        <is>
          <t>Community targets</t>
        </is>
      </c>
      <c r="C353" s="4" t="inlineStr">
        <is>
          <t>D22</t>
        </is>
      </c>
      <c r="D353" s="4" t="inlineStr">
        <is>
          <t>May overlap regional scenario; confirm requests individually.</t>
        </is>
      </c>
      <c r="E353" s="4" t="inlineStr">
        <is>
          <t>May overlap regional scenario; confirm requests individually.</t>
        </is>
      </c>
      <c r="F353" s="4" t="inlineStr">
        <is>
          <t>GOC Bed Unit-Costing Model v2 — working original.xlsx</t>
        </is>
      </c>
    </row>
    <row r="354" ht="40" customHeight="1">
      <c r="A354" s="4" t="inlineStr">
        <is>
          <t>original:Community targets!A23</t>
        </is>
      </c>
      <c r="B354" s="4" t="inlineStr">
        <is>
          <t>Community targets</t>
        </is>
      </c>
      <c r="C354" s="4" t="inlineStr">
        <is>
          <t>A23</t>
        </is>
      </c>
      <c r="D354" s="4" t="inlineStr">
        <is>
          <t>='NM Play'!A106</t>
        </is>
      </c>
      <c r="E354" s="4" t="inlineStr">
        <is>
          <t xml:space="preserve">Kunna </t>
        </is>
      </c>
      <c r="F354" s="4" t="inlineStr">
        <is>
          <t>GOC Bed Unit-Costing Model v2 — working original.xlsx</t>
        </is>
      </c>
    </row>
    <row r="355" ht="40" customHeight="1">
      <c r="A355" s="4" t="inlineStr">
        <is>
          <t>original:Community targets!B23</t>
        </is>
      </c>
      <c r="B355" s="4" t="inlineStr">
        <is>
          <t>Community targets</t>
        </is>
      </c>
      <c r="C355" s="4" t="inlineStr">
        <is>
          <t>B23</t>
        </is>
      </c>
      <c r="D355" s="4" t="inlineStr">
        <is>
          <t>='NM Play'!B106</t>
        </is>
      </c>
      <c r="E355" s="4" t="n">
        <v>100</v>
      </c>
      <c r="F355" s="4" t="inlineStr">
        <is>
          <t>GOC Bed Unit-Costing Model v2 — working original.xlsx</t>
        </is>
      </c>
    </row>
    <row r="356" ht="40" customHeight="1">
      <c r="A356" s="4" t="inlineStr">
        <is>
          <t>original:Community targets!C23</t>
        </is>
      </c>
      <c r="B356" s="4" t="inlineStr">
        <is>
          <t>Community targets</t>
        </is>
      </c>
      <c r="C356" s="4" t="inlineStr">
        <is>
          <t>C23</t>
        </is>
      </c>
      <c r="D356" s="4" t="inlineStr">
        <is>
          <t>Planning only</t>
        </is>
      </c>
      <c r="E356" s="4" t="inlineStr">
        <is>
          <t>Planning only</t>
        </is>
      </c>
      <c r="F356" s="4" t="inlineStr">
        <is>
          <t>GOC Bed Unit-Costing Model v2 — working original.xlsx</t>
        </is>
      </c>
    </row>
    <row r="357" ht="45" customHeight="1">
      <c r="A357" s="4" t="inlineStr">
        <is>
          <t>original:Community targets!D23</t>
        </is>
      </c>
      <c r="B357" s="4" t="inlineStr">
        <is>
          <t>Community targets</t>
        </is>
      </c>
      <c r="C357" s="4" t="inlineStr">
        <is>
          <t>D23</t>
        </is>
      </c>
      <c r="D357" s="4" t="inlineStr">
        <is>
          <t>May overlap regional scenario; confirm requests individually.</t>
        </is>
      </c>
      <c r="E357" s="4" t="inlineStr">
        <is>
          <t>May overlap regional scenario; confirm requests individually.</t>
        </is>
      </c>
      <c r="F357" s="4" t="inlineStr">
        <is>
          <t>GOC Bed Unit-Costing Model v2 — working original.xlsx</t>
        </is>
      </c>
    </row>
    <row r="358" ht="40" customHeight="1">
      <c r="A358" s="4" t="inlineStr">
        <is>
          <t>original:Community targets!A24</t>
        </is>
      </c>
      <c r="B358" s="4" t="inlineStr">
        <is>
          <t>Community targets</t>
        </is>
      </c>
      <c r="C358" s="4" t="inlineStr">
        <is>
          <t>A24</t>
        </is>
      </c>
      <c r="D358" s="4" t="inlineStr">
        <is>
          <t>='NM Play'!A107</t>
        </is>
      </c>
      <c r="E358" s="4" t="inlineStr">
        <is>
          <t>Ceduna + Port</t>
        </is>
      </c>
      <c r="F358" s="4" t="inlineStr">
        <is>
          <t>GOC Bed Unit-Costing Model v2 — working original.xlsx</t>
        </is>
      </c>
    </row>
    <row r="359" ht="40" customHeight="1">
      <c r="A359" s="4" t="inlineStr">
        <is>
          <t>original:Community targets!B24</t>
        </is>
      </c>
      <c r="B359" s="4" t="inlineStr">
        <is>
          <t>Community targets</t>
        </is>
      </c>
      <c r="C359" s="4" t="inlineStr">
        <is>
          <t>B24</t>
        </is>
      </c>
      <c r="D359" s="4" t="inlineStr">
        <is>
          <t>='NM Play'!B107</t>
        </is>
      </c>
      <c r="E359" s="4" t="n">
        <v>100</v>
      </c>
      <c r="F359" s="4" t="inlineStr">
        <is>
          <t>GOC Bed Unit-Costing Model v2 — working original.xlsx</t>
        </is>
      </c>
    </row>
    <row r="360" ht="40" customHeight="1">
      <c r="A360" s="4" t="inlineStr">
        <is>
          <t>original:Community targets!C24</t>
        </is>
      </c>
      <c r="B360" s="4" t="inlineStr">
        <is>
          <t>Community targets</t>
        </is>
      </c>
      <c r="C360" s="4" t="inlineStr">
        <is>
          <t>C24</t>
        </is>
      </c>
      <c r="D360" s="4" t="inlineStr">
        <is>
          <t>Planning only</t>
        </is>
      </c>
      <c r="E360" s="4" t="inlineStr">
        <is>
          <t>Planning only</t>
        </is>
      </c>
      <c r="F360" s="4" t="inlineStr">
        <is>
          <t>GOC Bed Unit-Costing Model v2 — working original.xlsx</t>
        </is>
      </c>
    </row>
    <row r="361" ht="45" customHeight="1">
      <c r="A361" s="4" t="inlineStr">
        <is>
          <t>original:Community targets!D24</t>
        </is>
      </c>
      <c r="B361" s="4" t="inlineStr">
        <is>
          <t>Community targets</t>
        </is>
      </c>
      <c r="C361" s="4" t="inlineStr">
        <is>
          <t>D24</t>
        </is>
      </c>
      <c r="D361" s="4" t="inlineStr">
        <is>
          <t>May overlap regional scenario; confirm requests individually.</t>
        </is>
      </c>
      <c r="E361" s="4" t="inlineStr">
        <is>
          <t>May overlap regional scenario; confirm requests individually.</t>
        </is>
      </c>
      <c r="F361" s="4" t="inlineStr">
        <is>
          <t>GOC Bed Unit-Costing Model v2 — working original.xlsx</t>
        </is>
      </c>
    </row>
    <row r="362" ht="40" customHeight="1">
      <c r="A362" s="4" t="inlineStr">
        <is>
          <t>original:Community targets!A25</t>
        </is>
      </c>
      <c r="B362" s="4" t="inlineStr">
        <is>
          <t>Community targets</t>
        </is>
      </c>
      <c r="C362" s="4" t="inlineStr">
        <is>
          <t>A25</t>
        </is>
      </c>
      <c r="D362" s="4" t="inlineStr">
        <is>
          <t>='NM Play'!A108</t>
        </is>
      </c>
      <c r="E362" s="4" t="inlineStr">
        <is>
          <t>Utopia</t>
        </is>
      </c>
      <c r="F362" s="4" t="inlineStr">
        <is>
          <t>GOC Bed Unit-Costing Model v2 — working original.xlsx</t>
        </is>
      </c>
    </row>
    <row r="363" ht="40" customHeight="1">
      <c r="A363" s="4" t="inlineStr">
        <is>
          <t>original:Community targets!B25</t>
        </is>
      </c>
      <c r="B363" s="4" t="inlineStr">
        <is>
          <t>Community targets</t>
        </is>
      </c>
      <c r="C363" s="4" t="inlineStr">
        <is>
          <t>B25</t>
        </is>
      </c>
      <c r="D363" s="4" t="inlineStr">
        <is>
          <t>='NM Play'!B108</t>
        </is>
      </c>
      <c r="E363" s="4" t="n">
        <v>50</v>
      </c>
      <c r="F363" s="4" t="inlineStr">
        <is>
          <t>GOC Bed Unit-Costing Model v2 — working original.xlsx</t>
        </is>
      </c>
    </row>
    <row r="364" ht="40" customHeight="1">
      <c r="A364" s="4" t="inlineStr">
        <is>
          <t>original:Community targets!C25</t>
        </is>
      </c>
      <c r="B364" s="4" t="inlineStr">
        <is>
          <t>Community targets</t>
        </is>
      </c>
      <c r="C364" s="4" t="inlineStr">
        <is>
          <t>C25</t>
        </is>
      </c>
      <c r="D364" s="4" t="inlineStr">
        <is>
          <t>Planning only</t>
        </is>
      </c>
      <c r="E364" s="4" t="inlineStr">
        <is>
          <t>Planning only</t>
        </is>
      </c>
      <c r="F364" s="4" t="inlineStr">
        <is>
          <t>GOC Bed Unit-Costing Model v2 — working original.xlsx</t>
        </is>
      </c>
    </row>
    <row r="365" ht="45" customHeight="1">
      <c r="A365" s="4" t="inlineStr">
        <is>
          <t>original:Community targets!D25</t>
        </is>
      </c>
      <c r="B365" s="4" t="inlineStr">
        <is>
          <t>Community targets</t>
        </is>
      </c>
      <c r="C365" s="4" t="inlineStr">
        <is>
          <t>D25</t>
        </is>
      </c>
      <c r="D365" s="4" t="inlineStr">
        <is>
          <t>May overlap regional scenario; confirm requests individually.</t>
        </is>
      </c>
      <c r="E365" s="4" t="inlineStr">
        <is>
          <t>May overlap regional scenario; confirm requests individually.</t>
        </is>
      </c>
      <c r="F365" s="4" t="inlineStr">
        <is>
          <t>GOC Bed Unit-Costing Model v2 — working original.xlsx</t>
        </is>
      </c>
    </row>
    <row r="366" ht="40" customHeight="1">
      <c r="A366" s="4" t="inlineStr">
        <is>
          <t>original:Community targets!A26</t>
        </is>
      </c>
      <c r="B366" s="4" t="inlineStr">
        <is>
          <t>Community targets</t>
        </is>
      </c>
      <c r="C366" s="4" t="inlineStr">
        <is>
          <t>A26</t>
        </is>
      </c>
      <c r="D366" s="4" t="inlineStr">
        <is>
          <t>='NM Play'!A109</t>
        </is>
      </c>
      <c r="E366" s="4" t="inlineStr">
        <is>
          <t>Tennant</t>
        </is>
      </c>
      <c r="F366" s="4" t="inlineStr">
        <is>
          <t>GOC Bed Unit-Costing Model v2 — working original.xlsx</t>
        </is>
      </c>
    </row>
    <row r="367" ht="40" customHeight="1">
      <c r="A367" s="4" t="inlineStr">
        <is>
          <t>original:Community targets!B26</t>
        </is>
      </c>
      <c r="B367" s="4" t="inlineStr">
        <is>
          <t>Community targets</t>
        </is>
      </c>
      <c r="C367" s="4" t="inlineStr">
        <is>
          <t>B26</t>
        </is>
      </c>
      <c r="D367" s="4" t="inlineStr">
        <is>
          <t>='NM Play'!B109</t>
        </is>
      </c>
      <c r="E367" s="4" t="n">
        <v>50</v>
      </c>
      <c r="F367" s="4" t="inlineStr">
        <is>
          <t>GOC Bed Unit-Costing Model v2 — working original.xlsx</t>
        </is>
      </c>
    </row>
    <row r="368" ht="40" customHeight="1">
      <c r="A368" s="4" t="inlineStr">
        <is>
          <t>original:Community targets!C26</t>
        </is>
      </c>
      <c r="B368" s="4" t="inlineStr">
        <is>
          <t>Community targets</t>
        </is>
      </c>
      <c r="C368" s="4" t="inlineStr">
        <is>
          <t>C26</t>
        </is>
      </c>
      <c r="D368" s="4" t="inlineStr">
        <is>
          <t>Planning only</t>
        </is>
      </c>
      <c r="E368" s="4" t="inlineStr">
        <is>
          <t>Planning only</t>
        </is>
      </c>
      <c r="F368" s="4" t="inlineStr">
        <is>
          <t>GOC Bed Unit-Costing Model v2 — working original.xlsx</t>
        </is>
      </c>
    </row>
    <row r="369" ht="45" customHeight="1">
      <c r="A369" s="4" t="inlineStr">
        <is>
          <t>original:Community targets!D26</t>
        </is>
      </c>
      <c r="B369" s="4" t="inlineStr">
        <is>
          <t>Community targets</t>
        </is>
      </c>
      <c r="C369" s="4" t="inlineStr">
        <is>
          <t>D26</t>
        </is>
      </c>
      <c r="D369" s="4" t="inlineStr">
        <is>
          <t>May overlap regional scenario; confirm requests individually.</t>
        </is>
      </c>
      <c r="E369" s="4" t="inlineStr">
        <is>
          <t>May overlap regional scenario; confirm requests individually.</t>
        </is>
      </c>
      <c r="F369" s="4" t="inlineStr">
        <is>
          <t>GOC Bed Unit-Costing Model v2 — working original.xlsx</t>
        </is>
      </c>
    </row>
    <row r="370" ht="40" customHeight="1">
      <c r="A370" s="4" t="inlineStr">
        <is>
          <t>original:Community targets!A27</t>
        </is>
      </c>
      <c r="B370" s="4" t="inlineStr">
        <is>
          <t>Community targets</t>
        </is>
      </c>
      <c r="C370" s="4" t="inlineStr">
        <is>
          <t>A27</t>
        </is>
      </c>
      <c r="D370" s="4" t="inlineStr">
        <is>
          <t>='NM Play'!A110</t>
        </is>
      </c>
      <c r="E370" s="4" t="inlineStr">
        <is>
          <t xml:space="preserve">Katherine </t>
        </is>
      </c>
      <c r="F370" s="4" t="inlineStr">
        <is>
          <t>GOC Bed Unit-Costing Model v2 — working original.xlsx</t>
        </is>
      </c>
    </row>
    <row r="371" ht="40" customHeight="1">
      <c r="A371" s="4" t="inlineStr">
        <is>
          <t>original:Community targets!B27</t>
        </is>
      </c>
      <c r="B371" s="4" t="inlineStr">
        <is>
          <t>Community targets</t>
        </is>
      </c>
      <c r="C371" s="4" t="inlineStr">
        <is>
          <t>B27</t>
        </is>
      </c>
      <c r="D371" s="4" t="inlineStr">
        <is>
          <t>='NM Play'!B110</t>
        </is>
      </c>
      <c r="E371" s="4" t="n">
        <v>50</v>
      </c>
      <c r="F371" s="4" t="inlineStr">
        <is>
          <t>GOC Bed Unit-Costing Model v2 — working original.xlsx</t>
        </is>
      </c>
    </row>
    <row r="372" ht="40" customHeight="1">
      <c r="A372" s="4" t="inlineStr">
        <is>
          <t>original:Community targets!C27</t>
        </is>
      </c>
      <c r="B372" s="4" t="inlineStr">
        <is>
          <t>Community targets</t>
        </is>
      </c>
      <c r="C372" s="4" t="inlineStr">
        <is>
          <t>C27</t>
        </is>
      </c>
      <c r="D372" s="4" t="inlineStr">
        <is>
          <t>Planning only</t>
        </is>
      </c>
      <c r="E372" s="4" t="inlineStr">
        <is>
          <t>Planning only</t>
        </is>
      </c>
      <c r="F372" s="4" t="inlineStr">
        <is>
          <t>GOC Bed Unit-Costing Model v2 — working original.xlsx</t>
        </is>
      </c>
    </row>
    <row r="373" ht="45" customHeight="1">
      <c r="A373" s="4" t="inlineStr">
        <is>
          <t>original:Community targets!D27</t>
        </is>
      </c>
      <c r="B373" s="4" t="inlineStr">
        <is>
          <t>Community targets</t>
        </is>
      </c>
      <c r="C373" s="4" t="inlineStr">
        <is>
          <t>D27</t>
        </is>
      </c>
      <c r="D373" s="4" t="inlineStr">
        <is>
          <t>May overlap regional scenario; confirm requests individually.</t>
        </is>
      </c>
      <c r="E373" s="4" t="inlineStr">
        <is>
          <t>May overlap regional scenario; confirm requests individually.</t>
        </is>
      </c>
      <c r="F373" s="4" t="inlineStr">
        <is>
          <t>GOC Bed Unit-Costing Model v2 — working original.xlsx</t>
        </is>
      </c>
    </row>
    <row r="374" ht="40" customHeight="1">
      <c r="A374" s="4" t="inlineStr">
        <is>
          <t>original:Community targets!A28</t>
        </is>
      </c>
      <c r="B374" s="4" t="inlineStr">
        <is>
          <t>Community targets</t>
        </is>
      </c>
      <c r="C374" s="4" t="inlineStr">
        <is>
          <t>A28</t>
        </is>
      </c>
      <c r="D374" s="4" t="inlineStr">
        <is>
          <t>='NM Play'!A111</t>
        </is>
      </c>
      <c r="E374" s="4" t="inlineStr">
        <is>
          <t xml:space="preserve">Kalgoorlie </t>
        </is>
      </c>
      <c r="F374" s="4" t="inlineStr">
        <is>
          <t>GOC Bed Unit-Costing Model v2 — working original.xlsx</t>
        </is>
      </c>
    </row>
    <row r="375" ht="40" customHeight="1">
      <c r="A375" s="4" t="inlineStr">
        <is>
          <t>original:Community targets!B28</t>
        </is>
      </c>
      <c r="B375" s="4" t="inlineStr">
        <is>
          <t>Community targets</t>
        </is>
      </c>
      <c r="C375" s="4" t="inlineStr">
        <is>
          <t>B28</t>
        </is>
      </c>
      <c r="D375" s="4" t="inlineStr">
        <is>
          <t>='NM Play'!B111</t>
        </is>
      </c>
      <c r="E375" s="4" t="n">
        <v>50</v>
      </c>
      <c r="F375" s="4" t="inlineStr">
        <is>
          <t>GOC Bed Unit-Costing Model v2 — working original.xlsx</t>
        </is>
      </c>
    </row>
    <row r="376" ht="40" customHeight="1">
      <c r="A376" s="4" t="inlineStr">
        <is>
          <t>original:Community targets!C28</t>
        </is>
      </c>
      <c r="B376" s="4" t="inlineStr">
        <is>
          <t>Community targets</t>
        </is>
      </c>
      <c r="C376" s="4" t="inlineStr">
        <is>
          <t>C28</t>
        </is>
      </c>
      <c r="D376" s="4" t="inlineStr">
        <is>
          <t>Planning only</t>
        </is>
      </c>
      <c r="E376" s="4" t="inlineStr">
        <is>
          <t>Planning only</t>
        </is>
      </c>
      <c r="F376" s="4" t="inlineStr">
        <is>
          <t>GOC Bed Unit-Costing Model v2 — working original.xlsx</t>
        </is>
      </c>
    </row>
    <row r="377" ht="45" customHeight="1">
      <c r="A377" s="4" t="inlineStr">
        <is>
          <t>original:Community targets!D28</t>
        </is>
      </c>
      <c r="B377" s="4" t="inlineStr">
        <is>
          <t>Community targets</t>
        </is>
      </c>
      <c r="C377" s="4" t="inlineStr">
        <is>
          <t>D28</t>
        </is>
      </c>
      <c r="D377" s="4" t="inlineStr">
        <is>
          <t>May overlap regional scenario; confirm requests individually.</t>
        </is>
      </c>
      <c r="E377" s="4" t="inlineStr">
        <is>
          <t>May overlap regional scenario; confirm requests individually.</t>
        </is>
      </c>
      <c r="F377" s="4" t="inlineStr">
        <is>
          <t>GOC Bed Unit-Costing Model v2 — working original.xlsx</t>
        </is>
      </c>
    </row>
    <row r="378" ht="40" customHeight="1">
      <c r="A378" s="4" t="inlineStr">
        <is>
          <t>original:Community targets!A29</t>
        </is>
      </c>
      <c r="B378" s="4" t="inlineStr">
        <is>
          <t>Community targets</t>
        </is>
      </c>
      <c r="C378" s="4" t="inlineStr">
        <is>
          <t>A29</t>
        </is>
      </c>
      <c r="D378" s="4" t="inlineStr">
        <is>
          <t>='NM Play'!A112</t>
        </is>
      </c>
      <c r="E378" s="4" t="inlineStr">
        <is>
          <t>Dubbo</t>
        </is>
      </c>
      <c r="F378" s="4" t="inlineStr">
        <is>
          <t>GOC Bed Unit-Costing Model v2 — working original.xlsx</t>
        </is>
      </c>
    </row>
    <row r="379" ht="40" customHeight="1">
      <c r="A379" s="4" t="inlineStr">
        <is>
          <t>original:Community targets!B29</t>
        </is>
      </c>
      <c r="B379" s="4" t="inlineStr">
        <is>
          <t>Community targets</t>
        </is>
      </c>
      <c r="C379" s="4" t="inlineStr">
        <is>
          <t>B29</t>
        </is>
      </c>
      <c r="D379" s="4" t="inlineStr">
        <is>
          <t>='NM Play'!B112</t>
        </is>
      </c>
      <c r="E379" s="4" t="n">
        <v>50</v>
      </c>
      <c r="F379" s="4" t="inlineStr">
        <is>
          <t>GOC Bed Unit-Costing Model v2 — working original.xlsx</t>
        </is>
      </c>
    </row>
    <row r="380" ht="40" customHeight="1">
      <c r="A380" s="4" t="inlineStr">
        <is>
          <t>original:Community targets!C29</t>
        </is>
      </c>
      <c r="B380" s="4" t="inlineStr">
        <is>
          <t>Community targets</t>
        </is>
      </c>
      <c r="C380" s="4" t="inlineStr">
        <is>
          <t>C29</t>
        </is>
      </c>
      <c r="D380" s="4" t="inlineStr">
        <is>
          <t>Planning only</t>
        </is>
      </c>
      <c r="E380" s="4" t="inlineStr">
        <is>
          <t>Planning only</t>
        </is>
      </c>
      <c r="F380" s="4" t="inlineStr">
        <is>
          <t>GOC Bed Unit-Costing Model v2 — working original.xlsx</t>
        </is>
      </c>
    </row>
    <row r="381" ht="45" customHeight="1">
      <c r="A381" s="4" t="inlineStr">
        <is>
          <t>original:Community targets!D29</t>
        </is>
      </c>
      <c r="B381" s="4" t="inlineStr">
        <is>
          <t>Community targets</t>
        </is>
      </c>
      <c r="C381" s="4" t="inlineStr">
        <is>
          <t>D29</t>
        </is>
      </c>
      <c r="D381" s="4" t="inlineStr">
        <is>
          <t>May overlap regional scenario; confirm requests individually.</t>
        </is>
      </c>
      <c r="E381" s="4" t="inlineStr">
        <is>
          <t>May overlap regional scenario; confirm requests individually.</t>
        </is>
      </c>
      <c r="F381" s="4" t="inlineStr">
        <is>
          <t>GOC Bed Unit-Costing Model v2 — working original.xlsx</t>
        </is>
      </c>
    </row>
    <row r="382" ht="40" customHeight="1">
      <c r="A382" s="4" t="inlineStr">
        <is>
          <t>original:Community targets!A30</t>
        </is>
      </c>
      <c r="B382" s="4" t="inlineStr">
        <is>
          <t>Community targets</t>
        </is>
      </c>
      <c r="C382" s="4" t="inlineStr">
        <is>
          <t>A30</t>
        </is>
      </c>
      <c r="D382" s="4" t="inlineStr">
        <is>
          <t>='NM Play'!A113</t>
        </is>
      </c>
      <c r="E382" s="4" t="inlineStr">
        <is>
          <t xml:space="preserve">Darwin </t>
        </is>
      </c>
      <c r="F382" s="4" t="inlineStr">
        <is>
          <t>GOC Bed Unit-Costing Model v2 — working original.xlsx</t>
        </is>
      </c>
    </row>
    <row r="383" ht="40" customHeight="1">
      <c r="A383" s="4" t="inlineStr">
        <is>
          <t>original:Community targets!B30</t>
        </is>
      </c>
      <c r="B383" s="4" t="inlineStr">
        <is>
          <t>Community targets</t>
        </is>
      </c>
      <c r="C383" s="4" t="inlineStr">
        <is>
          <t>B30</t>
        </is>
      </c>
      <c r="D383" s="4" t="inlineStr">
        <is>
          <t>='NM Play'!B113</t>
        </is>
      </c>
      <c r="E383" s="4" t="n">
        <v>50</v>
      </c>
      <c r="F383" s="4" t="inlineStr">
        <is>
          <t>GOC Bed Unit-Costing Model v2 — working original.xlsx</t>
        </is>
      </c>
    </row>
    <row r="384" ht="40" customHeight="1">
      <c r="A384" s="4" t="inlineStr">
        <is>
          <t>original:Community targets!C30</t>
        </is>
      </c>
      <c r="B384" s="4" t="inlineStr">
        <is>
          <t>Community targets</t>
        </is>
      </c>
      <c r="C384" s="4" t="inlineStr">
        <is>
          <t>C30</t>
        </is>
      </c>
      <c r="D384" s="4" t="inlineStr">
        <is>
          <t>Planning only</t>
        </is>
      </c>
      <c r="E384" s="4" t="inlineStr">
        <is>
          <t>Planning only</t>
        </is>
      </c>
      <c r="F384" s="4" t="inlineStr">
        <is>
          <t>GOC Bed Unit-Costing Model v2 — working original.xlsx</t>
        </is>
      </c>
    </row>
    <row r="385" ht="45" customHeight="1">
      <c r="A385" s="4" t="inlineStr">
        <is>
          <t>original:Community targets!D30</t>
        </is>
      </c>
      <c r="B385" s="4" t="inlineStr">
        <is>
          <t>Community targets</t>
        </is>
      </c>
      <c r="C385" s="4" t="inlineStr">
        <is>
          <t>D30</t>
        </is>
      </c>
      <c r="D385" s="4" t="inlineStr">
        <is>
          <t>May overlap regional scenario; confirm requests individually.</t>
        </is>
      </c>
      <c r="E385" s="4" t="inlineStr">
        <is>
          <t>May overlap regional scenario; confirm requests individually.</t>
        </is>
      </c>
      <c r="F385" s="4" t="inlineStr">
        <is>
          <t>GOC Bed Unit-Costing Model v2 — working original.xlsx</t>
        </is>
      </c>
    </row>
    <row r="386" ht="40" customHeight="1">
      <c r="A386" s="4" t="inlineStr">
        <is>
          <t>original:Community targets!A31</t>
        </is>
      </c>
      <c r="B386" s="4" t="inlineStr">
        <is>
          <t>Community targets</t>
        </is>
      </c>
      <c r="C386" s="4" t="inlineStr">
        <is>
          <t>A31</t>
        </is>
      </c>
      <c r="D386" s="4" t="inlineStr">
        <is>
          <t>='NM Play'!A114</t>
        </is>
      </c>
      <c r="E386" s="4" t="inlineStr">
        <is>
          <t>Halls Creek</t>
        </is>
      </c>
      <c r="F386" s="4" t="inlineStr">
        <is>
          <t>GOC Bed Unit-Costing Model v2 — working original.xlsx</t>
        </is>
      </c>
    </row>
    <row r="387" ht="40" customHeight="1">
      <c r="A387" s="4" t="inlineStr">
        <is>
          <t>original:Community targets!B31</t>
        </is>
      </c>
      <c r="B387" s="4" t="inlineStr">
        <is>
          <t>Community targets</t>
        </is>
      </c>
      <c r="C387" s="4" t="inlineStr">
        <is>
          <t>B31</t>
        </is>
      </c>
      <c r="D387" s="4" t="inlineStr">
        <is>
          <t>='NM Play'!B114</t>
        </is>
      </c>
      <c r="E387" s="4" t="n">
        <v>50</v>
      </c>
      <c r="F387" s="4" t="inlineStr">
        <is>
          <t>GOC Bed Unit-Costing Model v2 — working original.xlsx</t>
        </is>
      </c>
    </row>
    <row r="388" ht="40" customHeight="1">
      <c r="A388" s="4" t="inlineStr">
        <is>
          <t>original:Community targets!C31</t>
        </is>
      </c>
      <c r="B388" s="4" t="inlineStr">
        <is>
          <t>Community targets</t>
        </is>
      </c>
      <c r="C388" s="4" t="inlineStr">
        <is>
          <t>C31</t>
        </is>
      </c>
      <c r="D388" s="4" t="inlineStr">
        <is>
          <t>Planning only</t>
        </is>
      </c>
      <c r="E388" s="4" t="inlineStr">
        <is>
          <t>Planning only</t>
        </is>
      </c>
      <c r="F388" s="4" t="inlineStr">
        <is>
          <t>GOC Bed Unit-Costing Model v2 — working original.xlsx</t>
        </is>
      </c>
    </row>
    <row r="389" ht="45" customHeight="1">
      <c r="A389" s="4" t="inlineStr">
        <is>
          <t>original:Community targets!D31</t>
        </is>
      </c>
      <c r="B389" s="4" t="inlineStr">
        <is>
          <t>Community targets</t>
        </is>
      </c>
      <c r="C389" s="4" t="inlineStr">
        <is>
          <t>D31</t>
        </is>
      </c>
      <c r="D389" s="4" t="inlineStr">
        <is>
          <t>May overlap regional scenario; confirm requests individually.</t>
        </is>
      </c>
      <c r="E389" s="4" t="inlineStr">
        <is>
          <t>May overlap regional scenario; confirm requests individually.</t>
        </is>
      </c>
      <c r="F389" s="4" t="inlineStr">
        <is>
          <t>GOC Bed Unit-Costing Model v2 — working original.xlsx</t>
        </is>
      </c>
    </row>
    <row r="390" ht="40" customHeight="1">
      <c r="A390" s="4" t="inlineStr">
        <is>
          <t>original:Community targets!A32</t>
        </is>
      </c>
      <c r="B390" s="4" t="inlineStr">
        <is>
          <t>Community targets</t>
        </is>
      </c>
      <c r="C390" s="4" t="inlineStr">
        <is>
          <t>A32</t>
        </is>
      </c>
      <c r="D390" s="4" t="inlineStr">
        <is>
          <t>='NM Play'!A115</t>
        </is>
      </c>
      <c r="E390" s="4" t="inlineStr">
        <is>
          <t>Derby</t>
        </is>
      </c>
      <c r="F390" s="4" t="inlineStr">
        <is>
          <t>GOC Bed Unit-Costing Model v2 — working original.xlsx</t>
        </is>
      </c>
    </row>
    <row r="391" ht="40" customHeight="1">
      <c r="A391" s="4" t="inlineStr">
        <is>
          <t>original:Community targets!B32</t>
        </is>
      </c>
      <c r="B391" s="4" t="inlineStr">
        <is>
          <t>Community targets</t>
        </is>
      </c>
      <c r="C391" s="4" t="inlineStr">
        <is>
          <t>B32</t>
        </is>
      </c>
      <c r="D391" s="4" t="inlineStr">
        <is>
          <t>='NM Play'!B115</t>
        </is>
      </c>
      <c r="E391" s="4" t="n">
        <v>50</v>
      </c>
      <c r="F391" s="4" t="inlineStr">
        <is>
          <t>GOC Bed Unit-Costing Model v2 — working original.xlsx</t>
        </is>
      </c>
    </row>
    <row r="392" ht="40" customHeight="1">
      <c r="A392" s="4" t="inlineStr">
        <is>
          <t>original:Community targets!C32</t>
        </is>
      </c>
      <c r="B392" s="4" t="inlineStr">
        <is>
          <t>Community targets</t>
        </is>
      </c>
      <c r="C392" s="4" t="inlineStr">
        <is>
          <t>C32</t>
        </is>
      </c>
      <c r="D392" s="4" t="inlineStr">
        <is>
          <t>Planning only</t>
        </is>
      </c>
      <c r="E392" s="4" t="inlineStr">
        <is>
          <t>Planning only</t>
        </is>
      </c>
      <c r="F392" s="4" t="inlineStr">
        <is>
          <t>GOC Bed Unit-Costing Model v2 — working original.xlsx</t>
        </is>
      </c>
    </row>
    <row r="393" ht="45" customHeight="1">
      <c r="A393" s="4" t="inlineStr">
        <is>
          <t>original:Community targets!D32</t>
        </is>
      </c>
      <c r="B393" s="4" t="inlineStr">
        <is>
          <t>Community targets</t>
        </is>
      </c>
      <c r="C393" s="4" t="inlineStr">
        <is>
          <t>D32</t>
        </is>
      </c>
      <c r="D393" s="4" t="inlineStr">
        <is>
          <t>May overlap regional scenario; confirm requests individually.</t>
        </is>
      </c>
      <c r="E393" s="4" t="inlineStr">
        <is>
          <t>May overlap regional scenario; confirm requests individually.</t>
        </is>
      </c>
      <c r="F393" s="4" t="inlineStr">
        <is>
          <t>GOC Bed Unit-Costing Model v2 — working original.xlsx</t>
        </is>
      </c>
    </row>
    <row r="394" ht="40" customHeight="1">
      <c r="A394" s="4" t="inlineStr">
        <is>
          <t>original:Community targets!A33</t>
        </is>
      </c>
      <c r="B394" s="4" t="inlineStr">
        <is>
          <t>Community targets</t>
        </is>
      </c>
      <c r="C394" s="4" t="inlineStr">
        <is>
          <t>A33</t>
        </is>
      </c>
      <c r="D394" s="4" t="inlineStr">
        <is>
          <t>='NM Play'!A116</t>
        </is>
      </c>
      <c r="E394" s="4" t="inlineStr">
        <is>
          <t xml:space="preserve">Hopevale </t>
        </is>
      </c>
      <c r="F394" s="4" t="inlineStr">
        <is>
          <t>GOC Bed Unit-Costing Model v2 — working original.xlsx</t>
        </is>
      </c>
    </row>
    <row r="395" ht="40" customHeight="1">
      <c r="A395" s="4" t="inlineStr">
        <is>
          <t>original:Community targets!B33</t>
        </is>
      </c>
      <c r="B395" s="4" t="inlineStr">
        <is>
          <t>Community targets</t>
        </is>
      </c>
      <c r="C395" s="4" t="inlineStr">
        <is>
          <t>B33</t>
        </is>
      </c>
      <c r="D395" s="4" t="inlineStr">
        <is>
          <t>='NM Play'!B116</t>
        </is>
      </c>
      <c r="E395" s="4" t="n">
        <v>50</v>
      </c>
      <c r="F395" s="4" t="inlineStr">
        <is>
          <t>GOC Bed Unit-Costing Model v2 — working original.xlsx</t>
        </is>
      </c>
    </row>
    <row r="396" ht="40" customHeight="1">
      <c r="A396" s="4" t="inlineStr">
        <is>
          <t>original:Community targets!C33</t>
        </is>
      </c>
      <c r="B396" s="4" t="inlineStr">
        <is>
          <t>Community targets</t>
        </is>
      </c>
      <c r="C396" s="4" t="inlineStr">
        <is>
          <t>C33</t>
        </is>
      </c>
      <c r="D396" s="4" t="inlineStr">
        <is>
          <t>Planning only</t>
        </is>
      </c>
      <c r="E396" s="4" t="inlineStr">
        <is>
          <t>Planning only</t>
        </is>
      </c>
      <c r="F396" s="4" t="inlineStr">
        <is>
          <t>GOC Bed Unit-Costing Model v2 — working original.xlsx</t>
        </is>
      </c>
    </row>
    <row r="397" ht="45" customHeight="1">
      <c r="A397" s="4" t="inlineStr">
        <is>
          <t>original:Community targets!D33</t>
        </is>
      </c>
      <c r="B397" s="4" t="inlineStr">
        <is>
          <t>Community targets</t>
        </is>
      </c>
      <c r="C397" s="4" t="inlineStr">
        <is>
          <t>D33</t>
        </is>
      </c>
      <c r="D397" s="4" t="inlineStr">
        <is>
          <t>May overlap regional scenario; confirm requests individually.</t>
        </is>
      </c>
      <c r="E397" s="4" t="inlineStr">
        <is>
          <t>May overlap regional scenario; confirm requests individually.</t>
        </is>
      </c>
      <c r="F397" s="4" t="inlineStr">
        <is>
          <t>GOC Bed Unit-Costing Model v2 — working original.xlsx</t>
        </is>
      </c>
    </row>
    <row r="398" ht="40" customHeight="1">
      <c r="A398" s="4" t="inlineStr">
        <is>
          <t>original:Community targets!A34</t>
        </is>
      </c>
      <c r="B398" s="4" t="inlineStr">
        <is>
          <t>Community targets</t>
        </is>
      </c>
      <c r="C398" s="4" t="inlineStr">
        <is>
          <t>A34</t>
        </is>
      </c>
      <c r="D398" s="4" t="inlineStr">
        <is>
          <t>='NM Play'!A117</t>
        </is>
      </c>
      <c r="E398" s="4" t="inlineStr">
        <is>
          <t>TI</t>
        </is>
      </c>
      <c r="F398" s="4" t="inlineStr">
        <is>
          <t>GOC Bed Unit-Costing Model v2 — working original.xlsx</t>
        </is>
      </c>
    </row>
    <row r="399" ht="40" customHeight="1">
      <c r="A399" s="4" t="inlineStr">
        <is>
          <t>original:Community targets!B34</t>
        </is>
      </c>
      <c r="B399" s="4" t="inlineStr">
        <is>
          <t>Community targets</t>
        </is>
      </c>
      <c r="C399" s="4" t="inlineStr">
        <is>
          <t>B34</t>
        </is>
      </c>
      <c r="D399" s="4" t="inlineStr">
        <is>
          <t>='NM Play'!B117</t>
        </is>
      </c>
      <c r="E399" s="4" t="n">
        <v>50</v>
      </c>
      <c r="F399" s="4" t="inlineStr">
        <is>
          <t>GOC Bed Unit-Costing Model v2 — working original.xlsx</t>
        </is>
      </c>
    </row>
    <row r="400" ht="40" customHeight="1">
      <c r="A400" s="4" t="inlineStr">
        <is>
          <t>original:Community targets!C34</t>
        </is>
      </c>
      <c r="B400" s="4" t="inlineStr">
        <is>
          <t>Community targets</t>
        </is>
      </c>
      <c r="C400" s="4" t="inlineStr">
        <is>
          <t>C34</t>
        </is>
      </c>
      <c r="D400" s="4" t="inlineStr">
        <is>
          <t>Planning only</t>
        </is>
      </c>
      <c r="E400" s="4" t="inlineStr">
        <is>
          <t>Planning only</t>
        </is>
      </c>
      <c r="F400" s="4" t="inlineStr">
        <is>
          <t>GOC Bed Unit-Costing Model v2 — working original.xlsx</t>
        </is>
      </c>
    </row>
    <row r="401" ht="45" customHeight="1">
      <c r="A401" s="4" t="inlineStr">
        <is>
          <t>original:Community targets!D34</t>
        </is>
      </c>
      <c r="B401" s="4" t="inlineStr">
        <is>
          <t>Community targets</t>
        </is>
      </c>
      <c r="C401" s="4" t="inlineStr">
        <is>
          <t>D34</t>
        </is>
      </c>
      <c r="D401" s="4" t="inlineStr">
        <is>
          <t>May overlap regional scenario; confirm requests individually.</t>
        </is>
      </c>
      <c r="E401" s="4" t="inlineStr">
        <is>
          <t>May overlap regional scenario; confirm requests individually.</t>
        </is>
      </c>
      <c r="F401" s="4" t="inlineStr">
        <is>
          <t>GOC Bed Unit-Costing Model v2 — working original.xlsx</t>
        </is>
      </c>
    </row>
    <row r="402" ht="40" customHeight="1">
      <c r="A402" s="4" t="inlineStr">
        <is>
          <t>original:Community targets!A35</t>
        </is>
      </c>
      <c r="B402" s="4" t="inlineStr">
        <is>
          <t>Community targets</t>
        </is>
      </c>
      <c r="C402" s="4" t="inlineStr">
        <is>
          <t>A35</t>
        </is>
      </c>
      <c r="D402" s="4" t="inlineStr">
        <is>
          <t>='NM Play'!A118</t>
        </is>
      </c>
      <c r="E402" s="4" t="inlineStr">
        <is>
          <t xml:space="preserve">Mornington </t>
        </is>
      </c>
      <c r="F402" s="4" t="inlineStr">
        <is>
          <t>GOC Bed Unit-Costing Model v2 — working original.xlsx</t>
        </is>
      </c>
    </row>
    <row r="403" ht="40" customHeight="1">
      <c r="A403" s="4" t="inlineStr">
        <is>
          <t>original:Community targets!B35</t>
        </is>
      </c>
      <c r="B403" s="4" t="inlineStr">
        <is>
          <t>Community targets</t>
        </is>
      </c>
      <c r="C403" s="4" t="inlineStr">
        <is>
          <t>B35</t>
        </is>
      </c>
      <c r="D403" s="4" t="inlineStr">
        <is>
          <t>='NM Play'!B118</t>
        </is>
      </c>
      <c r="E403" s="4" t="n">
        <v>50</v>
      </c>
      <c r="F403" s="4" t="inlineStr">
        <is>
          <t>GOC Bed Unit-Costing Model v2 — working original.xlsx</t>
        </is>
      </c>
    </row>
    <row r="404" ht="40" customHeight="1">
      <c r="A404" s="4" t="inlineStr">
        <is>
          <t>original:Community targets!C35</t>
        </is>
      </c>
      <c r="B404" s="4" t="inlineStr">
        <is>
          <t>Community targets</t>
        </is>
      </c>
      <c r="C404" s="4" t="inlineStr">
        <is>
          <t>C35</t>
        </is>
      </c>
      <c r="D404" s="4" t="inlineStr">
        <is>
          <t>Planning only</t>
        </is>
      </c>
      <c r="E404" s="4" t="inlineStr">
        <is>
          <t>Planning only</t>
        </is>
      </c>
      <c r="F404" s="4" t="inlineStr">
        <is>
          <t>GOC Bed Unit-Costing Model v2 — working original.xlsx</t>
        </is>
      </c>
    </row>
    <row r="405" ht="45" customHeight="1">
      <c r="A405" s="4" t="inlineStr">
        <is>
          <t>original:Community targets!D35</t>
        </is>
      </c>
      <c r="B405" s="4" t="inlineStr">
        <is>
          <t>Community targets</t>
        </is>
      </c>
      <c r="C405" s="4" t="inlineStr">
        <is>
          <t>D35</t>
        </is>
      </c>
      <c r="D405" s="4" t="inlineStr">
        <is>
          <t>May overlap regional scenario; confirm requests individually.</t>
        </is>
      </c>
      <c r="E405" s="4" t="inlineStr">
        <is>
          <t>May overlap regional scenario; confirm requests individually.</t>
        </is>
      </c>
      <c r="F405" s="4" t="inlineStr">
        <is>
          <t>GOC Bed Unit-Costing Model v2 — working original.xlsx</t>
        </is>
      </c>
    </row>
    <row r="406" ht="40" customHeight="1">
      <c r="A406" s="4" t="inlineStr">
        <is>
          <t>original:Community targets!A37</t>
        </is>
      </c>
      <c r="B406" s="4" t="inlineStr">
        <is>
          <t>Community targets</t>
        </is>
      </c>
      <c r="C406" s="4" t="inlineStr">
        <is>
          <t>A37</t>
        </is>
      </c>
      <c r="D406" s="4" t="inlineStr">
        <is>
          <t>Alternative locality total</t>
        </is>
      </c>
      <c r="E406" s="4" t="inlineStr">
        <is>
          <t>Alternative locality total</t>
        </is>
      </c>
      <c r="F406" s="4" t="inlineStr">
        <is>
          <t>GOC Bed Unit-Costing Model v2 — working original.xlsx</t>
        </is>
      </c>
    </row>
    <row r="407" ht="40" customHeight="1">
      <c r="A407" s="4" t="inlineStr">
        <is>
          <t>original:Community targets!B37</t>
        </is>
      </c>
      <c r="B407" s="4" t="inlineStr">
        <is>
          <t>Community targets</t>
        </is>
      </c>
      <c r="C407" s="4" t="inlineStr">
        <is>
          <t>B37</t>
        </is>
      </c>
      <c r="D407" s="4" t="inlineStr">
        <is>
          <t>=SUM(B20:B35)</t>
        </is>
      </c>
      <c r="E407" s="4" t="n">
        <v>1000</v>
      </c>
      <c r="F407" s="4" t="inlineStr">
        <is>
          <t>GOC Bed Unit-Costing Model v2 — working original.xlsx</t>
        </is>
      </c>
    </row>
    <row r="408" ht="45" customHeight="1">
      <c r="A408" s="4" t="inlineStr">
        <is>
          <t>original:Facility targets!A1</t>
        </is>
      </c>
      <c r="B408" s="4" t="inlineStr">
        <is>
          <t>Facility targets</t>
        </is>
      </c>
      <c r="C408" s="4" t="inlineStr">
        <is>
          <t>A1</t>
        </is>
      </c>
      <c r="D408" s="4" t="inlineStr">
        <is>
          <t>Facilities — capacity against assigned community targets</t>
        </is>
      </c>
      <c r="E408" s="4" t="inlineStr">
        <is>
          <t>Facilities — capacity against assigned community targets</t>
        </is>
      </c>
      <c r="F408" s="4" t="inlineStr">
        <is>
          <t>GOC Bed Unit-Costing Model v2 — working original.xlsx</t>
        </is>
      </c>
    </row>
    <row r="409" ht="90" customHeight="1">
      <c r="A409" s="4" t="inlineStr">
        <is>
          <t>original:Facility targets!A2</t>
        </is>
      </c>
      <c r="B409" s="4" t="inlineStr">
        <is>
          <t>Facility targets</t>
        </is>
      </c>
      <c r="C409" s="4" t="inlineStr">
        <is>
          <t>A2</t>
        </is>
      </c>
      <c r="D409" s="4" t="inlineStr">
        <is>
          <t>Witta plus two NEW sites. New-site rates are copied scenario assumptions, not evidence of staffed capacity. Assign communities first.</t>
        </is>
      </c>
      <c r="E409" s="4" t="inlineStr">
        <is>
          <t>Witta plus two NEW sites. New-site rates are copied scenario assumptions, not evidence of staffed capacity. Assign communities first.</t>
        </is>
      </c>
      <c r="F409" s="4" t="inlineStr">
        <is>
          <t>GOC Bed Unit-Costing Model v2 — working original.xlsx</t>
        </is>
      </c>
    </row>
    <row r="410" ht="135" customHeight="1">
      <c r="A410" s="4" t="inlineStr">
        <is>
          <t>original:Facility targets!A3</t>
        </is>
      </c>
      <c r="B410" s="4" t="inlineStr">
        <is>
          <t>Facility targets</t>
        </is>
      </c>
      <c r="C410" s="4" t="inlineStr">
        <is>
          <t>A3</t>
        </is>
      </c>
      <c r="D410" s="4" t="inlineStr">
        <is>
          <t>Available days come from the phase Sites tab. Capacity uses both parts stocks once and shared CNC time. HDPE set output still needs bought parts, assembly, QA and a viable crew schedule.</t>
        </is>
      </c>
      <c r="E410" s="4" t="inlineStr">
        <is>
          <t>Available days come from the phase Sites tab. Capacity uses both parts stocks once and shared CNC time. HDPE set output still needs bought parts, assembly, QA and a viable crew schedule.</t>
        </is>
      </c>
      <c r="F410" s="4" t="inlineStr">
        <is>
          <t>GOC Bed Unit-Costing Model v2 — working original.xlsx</t>
        </is>
      </c>
    </row>
    <row r="411" ht="40" customHeight="1">
      <c r="A411" s="4" t="inlineStr">
        <is>
          <t>original:Facility targets!A5</t>
        </is>
      </c>
      <c r="B411" s="4" t="inlineStr">
        <is>
          <t>Facility targets</t>
        </is>
      </c>
      <c r="C411" s="4" t="inlineStr">
        <is>
          <t>A5</t>
        </is>
      </c>
      <c r="D411" s="4" t="inlineStr">
        <is>
          <t>Site ID</t>
        </is>
      </c>
      <c r="E411" s="4" t="inlineStr">
        <is>
          <t>Site ID</t>
        </is>
      </c>
      <c r="F411" s="4" t="inlineStr">
        <is>
          <t>GOC Bed Unit-Costing Model v2 — working original.xlsx</t>
        </is>
      </c>
    </row>
    <row r="412" ht="40" customHeight="1">
      <c r="A412" s="4" t="inlineStr">
        <is>
          <t>original:Facility targets!B5</t>
        </is>
      </c>
      <c r="B412" s="4" t="inlineStr">
        <is>
          <t>Facility targets</t>
        </is>
      </c>
      <c r="C412" s="4" t="inlineStr">
        <is>
          <t>B5</t>
        </is>
      </c>
      <c r="D412" s="4" t="inlineStr">
        <is>
          <t>Facility</t>
        </is>
      </c>
      <c r="E412" s="4" t="inlineStr">
        <is>
          <t>Facility</t>
        </is>
      </c>
      <c r="F412" s="4" t="inlineStr">
        <is>
          <t>GOC Bed Unit-Costing Model v2 — working original.xlsx</t>
        </is>
      </c>
    </row>
    <row r="413" ht="40" customHeight="1">
      <c r="A413" s="4" t="inlineStr">
        <is>
          <t>original:Facility targets!C5</t>
        </is>
      </c>
      <c r="B413" s="4" t="inlineStr">
        <is>
          <t>Facility targets</t>
        </is>
      </c>
      <c r="C413" s="4" t="inlineStr">
        <is>
          <t>C5</t>
        </is>
      </c>
      <c r="D413" s="4" t="inlineStr">
        <is>
          <t>Target assigned</t>
        </is>
      </c>
      <c r="E413" s="4" t="inlineStr">
        <is>
          <t>Target assigned</t>
        </is>
      </c>
      <c r="F413" s="4" t="inlineStr">
        <is>
          <t>GOC Bed Unit-Costing Model v2 — working original.xlsx</t>
        </is>
      </c>
    </row>
    <row r="414" ht="40" customHeight="1">
      <c r="A414" s="4" t="inlineStr">
        <is>
          <t>original:Facility targets!D5</t>
        </is>
      </c>
      <c r="B414" s="4" t="inlineStr">
        <is>
          <t>Facility targets</t>
        </is>
      </c>
      <c r="C414" s="4" t="inlineStr">
        <is>
          <t>D5</t>
        </is>
      </c>
      <c r="D414" s="4" t="inlineStr">
        <is>
          <t>Productive days in phase</t>
        </is>
      </c>
      <c r="E414" s="4" t="inlineStr">
        <is>
          <t>Productive days in phase</t>
        </is>
      </c>
      <c r="F414" s="4" t="inlineStr">
        <is>
          <t>GOC Bed Unit-Costing Model v2 — working original.xlsx</t>
        </is>
      </c>
    </row>
    <row r="415" ht="40" customHeight="1">
      <c r="A415" s="4" t="inlineStr">
        <is>
          <t>original:Facility targets!E5</t>
        </is>
      </c>
      <c r="B415" s="4" t="inlineStr">
        <is>
          <t>Facility targets</t>
        </is>
      </c>
      <c r="C415" s="4" t="inlineStr">
        <is>
          <t>E5</t>
        </is>
      </c>
      <c r="D415" s="4" t="inlineStr">
        <is>
          <t>Sheets/day</t>
        </is>
      </c>
      <c r="E415" s="4" t="inlineStr">
        <is>
          <t>Sheets/day</t>
        </is>
      </c>
      <c r="F415" s="4" t="inlineStr">
        <is>
          <t>GOC Bed Unit-Costing Model v2 — working original.xlsx</t>
        </is>
      </c>
    </row>
    <row r="416" ht="40" customHeight="1">
      <c r="A416" s="4" t="inlineStr">
        <is>
          <t>original:Facility targets!F5</t>
        </is>
      </c>
      <c r="B416" s="4" t="inlineStr">
        <is>
          <t>Facility targets</t>
        </is>
      </c>
      <c r="C416" s="4" t="inlineStr">
        <is>
          <t>F5</t>
        </is>
      </c>
      <c r="D416" s="4" t="inlineStr">
        <is>
          <t>Route</t>
        </is>
      </c>
      <c r="E416" s="4" t="inlineStr">
        <is>
          <t>Route</t>
        </is>
      </c>
      <c r="F416" s="4" t="inlineStr">
        <is>
          <t>GOC Bed Unit-Costing Model v2 — working original.xlsx</t>
        </is>
      </c>
    </row>
    <row r="417" ht="40" customHeight="1">
      <c r="A417" s="4" t="inlineStr">
        <is>
          <t>original:Facility targets!G5</t>
        </is>
      </c>
      <c r="B417" s="4" t="inlineStr">
        <is>
          <t>Facility targets</t>
        </is>
      </c>
      <c r="C417" s="4" t="inlineStr">
        <is>
          <t>G5</t>
        </is>
      </c>
      <c r="D417" s="4" t="inlineStr">
        <is>
          <t>Tabs ready</t>
        </is>
      </c>
      <c r="E417" s="4" t="inlineStr">
        <is>
          <t>Tabs ready</t>
        </is>
      </c>
      <c r="F417" s="4" t="inlineStr">
        <is>
          <t>GOC Bed Unit-Costing Model v2 — working original.xlsx</t>
        </is>
      </c>
    </row>
    <row r="418" ht="40" customHeight="1">
      <c r="A418" s="4" t="inlineStr">
        <is>
          <t>original:Facility targets!H5</t>
        </is>
      </c>
      <c r="B418" s="4" t="inlineStr">
        <is>
          <t>Facility targets</t>
        </is>
      </c>
      <c r="C418" s="4" t="inlineStr">
        <is>
          <t>H5</t>
        </is>
      </c>
      <c r="D418" s="4" t="inlineStr">
        <is>
          <t>Legs ready</t>
        </is>
      </c>
      <c r="E418" s="4" t="inlineStr">
        <is>
          <t>Legs ready</t>
        </is>
      </c>
      <c r="F418" s="4" t="inlineStr">
        <is>
          <t>GOC Bed Unit-Costing Model v2 — working original.xlsx</t>
        </is>
      </c>
    </row>
    <row r="419" ht="40" customHeight="1">
      <c r="A419" s="4" t="inlineStr">
        <is>
          <t>original:Facility targets!I5</t>
        </is>
      </c>
      <c r="B419" s="4" t="inlineStr">
        <is>
          <t>Facility targets</t>
        </is>
      </c>
      <c r="C419" s="4" t="inlineStr">
        <is>
          <t>I5</t>
        </is>
      </c>
      <c r="D419" s="4" t="inlineStr">
        <is>
          <t>Steady sets/day</t>
        </is>
      </c>
      <c r="E419" s="4" t="inlineStr">
        <is>
          <t>Steady sets/day</t>
        </is>
      </c>
      <c r="F419" s="4" t="inlineStr">
        <is>
          <t>GOC Bed Unit-Costing Model v2 — working original.xlsx</t>
        </is>
      </c>
    </row>
    <row r="420" ht="40" customHeight="1">
      <c r="A420" s="4" t="inlineStr">
        <is>
          <t>original:Facility targets!J5</t>
        </is>
      </c>
      <c r="B420" s="4" t="inlineStr">
        <is>
          <t>Facility targets</t>
        </is>
      </c>
      <c r="C420" s="4" t="inlineStr">
        <is>
          <t>J5</t>
        </is>
      </c>
      <c r="D420" s="4" t="inlineStr">
        <is>
          <t>HDPE set capacity</t>
        </is>
      </c>
      <c r="E420" s="4" t="inlineStr">
        <is>
          <t>HDPE set capacity</t>
        </is>
      </c>
      <c r="F420" s="4" t="inlineStr">
        <is>
          <t>GOC Bed Unit-Costing Model v2 — working original.xlsx</t>
        </is>
      </c>
    </row>
    <row r="421" ht="40" customHeight="1">
      <c r="A421" s="4" t="inlineStr">
        <is>
          <t>original:Facility targets!K5</t>
        </is>
      </c>
      <c r="B421" s="4" t="inlineStr">
        <is>
          <t>Facility targets</t>
        </is>
      </c>
      <c r="C421" s="4" t="inlineStr">
        <is>
          <t>K5</t>
        </is>
      </c>
      <c r="D421" s="4" t="inlineStr">
        <is>
          <t>New tab sheets</t>
        </is>
      </c>
      <c r="E421" s="4" t="inlineStr">
        <is>
          <t>New tab sheets</t>
        </is>
      </c>
      <c r="F421" s="4" t="inlineStr">
        <is>
          <t>GOC Bed Unit-Costing Model v2 — working original.xlsx</t>
        </is>
      </c>
    </row>
    <row r="422" ht="40" customHeight="1">
      <c r="A422" s="4" t="inlineStr">
        <is>
          <t>original:Facility targets!L5</t>
        </is>
      </c>
      <c r="B422" s="4" t="inlineStr">
        <is>
          <t>Facility targets</t>
        </is>
      </c>
      <c r="C422" s="4" t="inlineStr">
        <is>
          <t>L5</t>
        </is>
      </c>
      <c r="D422" s="4" t="inlineStr">
        <is>
          <t>New leg sheets</t>
        </is>
      </c>
      <c r="E422" s="4" t="inlineStr">
        <is>
          <t>New leg sheets</t>
        </is>
      </c>
      <c r="F422" s="4" t="inlineStr">
        <is>
          <t>GOC Bed Unit-Costing Model v2 — working original.xlsx</t>
        </is>
      </c>
    </row>
    <row r="423" ht="40" customHeight="1">
      <c r="A423" s="4" t="inlineStr">
        <is>
          <t>original:Facility targets!M5</t>
        </is>
      </c>
      <c r="B423" s="4" t="inlineStr">
        <is>
          <t>Facility targets</t>
        </is>
      </c>
      <c r="C423" s="4" t="inlineStr">
        <is>
          <t>M5</t>
        </is>
      </c>
      <c r="D423" s="4" t="inlineStr">
        <is>
          <t>Press days required</t>
        </is>
      </c>
      <c r="E423" s="4" t="inlineStr">
        <is>
          <t>Press days required</t>
        </is>
      </c>
      <c r="F423" s="4" t="inlineStr">
        <is>
          <t>GOC Bed Unit-Costing Model v2 — working original.xlsx</t>
        </is>
      </c>
    </row>
    <row r="424" ht="40" customHeight="1">
      <c r="A424" s="4" t="inlineStr">
        <is>
          <t>original:Facility targets!N5</t>
        </is>
      </c>
      <c r="B424" s="4" t="inlineStr">
        <is>
          <t>Facility targets</t>
        </is>
      </c>
      <c r="C424" s="4" t="inlineStr">
        <is>
          <t>N5</t>
        </is>
      </c>
      <c r="D424" s="4" t="inlineStr">
        <is>
          <t>CNC days required</t>
        </is>
      </c>
      <c r="E424" s="4" t="inlineStr">
        <is>
          <t>CNC days required</t>
        </is>
      </c>
      <c r="F424" s="4" t="inlineStr">
        <is>
          <t>GOC Bed Unit-Costing Model v2 — working original.xlsx</t>
        </is>
      </c>
    </row>
    <row r="425" ht="40" customHeight="1">
      <c r="A425" s="4" t="inlineStr">
        <is>
          <t>original:Facility targets!O5</t>
        </is>
      </c>
      <c r="B425" s="4" t="inlineStr">
        <is>
          <t>Facility targets</t>
        </is>
      </c>
      <c r="C425" s="4" t="inlineStr">
        <is>
          <t>O5</t>
        </is>
      </c>
      <c r="D425" s="4" t="inlineStr">
        <is>
          <t>Schedule read</t>
        </is>
      </c>
      <c r="E425" s="4" t="inlineStr">
        <is>
          <t>Schedule read</t>
        </is>
      </c>
      <c r="F425" s="4" t="inlineStr">
        <is>
          <t>GOC Bed Unit-Costing Model v2 — working original.xlsx</t>
        </is>
      </c>
    </row>
    <row r="426" ht="40" customHeight="1">
      <c r="A426" s="4" t="inlineStr">
        <is>
          <t>original:Facility targets!P5</t>
        </is>
      </c>
      <c r="B426" s="4" t="inlineStr">
        <is>
          <t>Facility targets</t>
        </is>
      </c>
      <c r="C426" s="4" t="inlineStr">
        <is>
          <t>P5</t>
        </is>
      </c>
      <c r="D426" s="4" t="inlineStr">
        <is>
          <t>Authority / staffing</t>
        </is>
      </c>
      <c r="E426" s="4" t="inlineStr">
        <is>
          <t>Authority / staffing</t>
        </is>
      </c>
      <c r="F426" s="4" t="inlineStr">
        <is>
          <t>GOC Bed Unit-Costing Model v2 — working original.xlsx</t>
        </is>
      </c>
    </row>
    <row r="427" ht="40" customHeight="1">
      <c r="A427" s="4" t="inlineStr">
        <is>
          <t>original:Facility targets!A6</t>
        </is>
      </c>
      <c r="B427" s="4" t="inlineStr">
        <is>
          <t>Facility targets</t>
        </is>
      </c>
      <c r="C427" s="4" t="inlineStr">
        <is>
          <t>A6</t>
        </is>
      </c>
      <c r="D427" s="4" t="inlineStr">
        <is>
          <t>WITTA</t>
        </is>
      </c>
      <c r="E427" s="4" t="inlineStr">
        <is>
          <t>WITTA</t>
        </is>
      </c>
      <c r="F427" s="4" t="inlineStr">
        <is>
          <t>GOC Bed Unit-Costing Model v2 — working original.xlsx</t>
        </is>
      </c>
    </row>
    <row r="428" ht="40" customHeight="1">
      <c r="A428" s="4" t="inlineStr">
        <is>
          <t>original:Facility targets!B6</t>
        </is>
      </c>
      <c r="B428" s="4" t="inlineStr">
        <is>
          <t>Facility targets</t>
        </is>
      </c>
      <c r="C428" s="4" t="inlineStr">
        <is>
          <t>B6</t>
        </is>
      </c>
      <c r="D428" s="4" t="inlineStr">
        <is>
          <t>Witta / Sunshine Coast</t>
        </is>
      </c>
      <c r="E428" s="4" t="inlineStr">
        <is>
          <t>Witta / Sunshine Coast</t>
        </is>
      </c>
      <c r="F428" s="4" t="inlineStr">
        <is>
          <t>GOC Bed Unit-Costing Model v2 — working original.xlsx</t>
        </is>
      </c>
    </row>
    <row r="429" ht="40" customHeight="1">
      <c r="A429" s="4" t="inlineStr">
        <is>
          <t>original:Facility targets!C6</t>
        </is>
      </c>
      <c r="B429" s="4" t="inlineStr">
        <is>
          <t>Facility targets</t>
        </is>
      </c>
      <c r="C429" s="4" t="inlineStr">
        <is>
          <t>C6</t>
        </is>
      </c>
      <c r="D429" s="4" t="inlineStr">
        <is>
          <t>=SUMIF('Community targets'!C6:C10,A6,'Community targets'!B6:B10)</t>
        </is>
      </c>
      <c r="E429" s="4" t="n">
        <v>0</v>
      </c>
      <c r="F429" s="4" t="inlineStr">
        <is>
          <t>GOC Bed Unit-Costing Model v2 — working original.xlsx</t>
        </is>
      </c>
    </row>
    <row r="430" ht="40" customHeight="1">
      <c r="A430" s="4" t="inlineStr">
        <is>
          <t>original:Facility targets!D6</t>
        </is>
      </c>
      <c r="B430" s="4" t="inlineStr">
        <is>
          <t>Facility targets</t>
        </is>
      </c>
      <c r="C430" s="4" t="inlineStr">
        <is>
          <t>D6</t>
        </is>
      </c>
      <c r="D430" s="4" t="inlineStr">
        <is>
          <t>=MAX(0,13-Sites!F6)*Sites!G6</t>
        </is>
      </c>
      <c r="E430" s="4" t="n">
        <v>120</v>
      </c>
      <c r="F430" s="4" t="inlineStr">
        <is>
          <t>GOC Bed Unit-Costing Model v2 — working original.xlsx</t>
        </is>
      </c>
    </row>
    <row r="431" ht="40" customHeight="1">
      <c r="A431" s="4" t="inlineStr">
        <is>
          <t>original:Facility targets!E6</t>
        </is>
      </c>
      <c r="B431" s="4" t="inlineStr">
        <is>
          <t>Facility targets</t>
        </is>
      </c>
      <c r="C431" s="4" t="inlineStr">
        <is>
          <t>E6</t>
        </is>
      </c>
      <c r="D431" s="4" t="inlineStr">
        <is>
          <t>='Making plan'!B10</t>
        </is>
      </c>
      <c r="E431" s="4" t="n">
        <v>6</v>
      </c>
      <c r="F431" s="4" t="inlineStr">
        <is>
          <t>GOC Bed Unit-Costing Model v2 — working original.xlsx</t>
        </is>
      </c>
    </row>
    <row r="432" ht="40" customHeight="1">
      <c r="A432" s="4" t="inlineStr">
        <is>
          <t>original:Facility targets!F6</t>
        </is>
      </c>
      <c r="B432" s="4" t="inlineStr">
        <is>
          <t>Facility targets</t>
        </is>
      </c>
      <c r="C432" s="4" t="inlineStr">
        <is>
          <t>F6</t>
        </is>
      </c>
      <c r="D432" s="4" t="inlineStr">
        <is>
          <t>='Making plan'!B6</t>
        </is>
      </c>
      <c r="E432" s="4" t="inlineStr">
        <is>
          <t>Own sheets</t>
        </is>
      </c>
      <c r="F432" s="4" t="inlineStr">
        <is>
          <t>GOC Bed Unit-Costing Model v2 — working original.xlsx</t>
        </is>
      </c>
    </row>
    <row r="433" ht="40" customHeight="1">
      <c r="A433" s="4" t="inlineStr">
        <is>
          <t>original:Facility targets!G6</t>
        </is>
      </c>
      <c r="B433" s="4" t="inlineStr">
        <is>
          <t>Facility targets</t>
        </is>
      </c>
      <c r="C433" s="4" t="inlineStr">
        <is>
          <t>G6</t>
        </is>
      </c>
      <c r="D433" s="4" t="inlineStr">
        <is>
          <t>='Making plan'!B18</t>
        </is>
      </c>
      <c r="E433" s="4" t="n">
        <v>660</v>
      </c>
      <c r="F433" s="4" t="inlineStr">
        <is>
          <t>GOC Bed Unit-Costing Model v2 — working original.xlsx</t>
        </is>
      </c>
    </row>
    <row r="434" ht="40" customHeight="1">
      <c r="A434" s="4" t="inlineStr">
        <is>
          <t>original:Facility targets!H6</t>
        </is>
      </c>
      <c r="B434" s="4" t="inlineStr">
        <is>
          <t>Facility targets</t>
        </is>
      </c>
      <c r="C434" s="4" t="inlineStr">
        <is>
          <t>H6</t>
        </is>
      </c>
      <c r="D434" s="4" t="inlineStr">
        <is>
          <t>='Making plan'!B19</t>
        </is>
      </c>
      <c r="E434" s="4" t="n">
        <v>464</v>
      </c>
      <c r="F434" s="4" t="inlineStr">
        <is>
          <t>GOC Bed Unit-Costing Model v2 — working original.xlsx</t>
        </is>
      </c>
    </row>
    <row r="435" ht="45" customHeight="1">
      <c r="A435" s="4" t="inlineStr">
        <is>
          <t>original:Facility targets!I6</t>
        </is>
      </c>
      <c r="B435" s="4" t="inlineStr">
        <is>
          <t>Facility targets</t>
        </is>
      </c>
      <c r="C435" s="4" t="inlineStr">
        <is>
          <t>I6</t>
        </is>
      </c>
      <c r="D435" s="4" t="inlineStr">
        <is>
          <t>=MIN(E6/IF(F6="Own sheets",'Making plan'!B11/'Making plan'!B13+'Making plan'!B12/'Making plan'!B14,'Making plan'!B11/'Making plan'!B13),'Making plan'!B40)</t>
        </is>
      </c>
      <c r="E435" s="4" t="n">
        <v>3</v>
      </c>
      <c r="F435" s="4" t="inlineStr">
        <is>
          <t>GOC Bed Unit-Costing Model v2 — working original.xlsx</t>
        </is>
      </c>
    </row>
    <row r="436" ht="240" customHeight="1">
      <c r="A436" s="4" t="inlineStr">
        <is>
          <t>original:Facility targets!J6</t>
        </is>
      </c>
      <c r="B436" s="4" t="inlineStr">
        <is>
          <t>Facility targets</t>
        </is>
      </c>
      <c r="C436" s="4" t="inlineStr">
        <is>
          <t>J6</t>
        </is>
      </c>
      <c r="D436" s="4" t="inlineStr">
        <is>
          <t>=ROUNDDOWN(MIN(IF(F6="Own sheets",MIN(ROUNDDOWN(G6/'Making plan'!B11,0)+D6*E6/('Making plan'!B11/'Making plan'!B13),ROUNDDOWN(H6/'Making plan'!B12,0)+D6*E6/('Making plan'!B12/'Making plan'!B14),(D6*E6+ROUNDDOWN(G6/'Making plan'!B11,0)*('Making plan'!B11/'Making plan'!B13)+ROUNDDOWN(H6/'Making plan'!B12,0)*('Making plan'!B12/'Making plan'!B14))/(('Making plan'!B11/'Making plan'!B13)+('Making plan'!B12/'Making plan'!B14))),ROUNDDOWN(G6/'Making plan'!B11,0)+D6*E6/('Making plan'!B11/'Making plan'!B13)),MIN(ROUNDDOWN(G6/'Making plan'!B11,0)+D6/(('Making plan'!B11/'Making plan'!B13)/'Making plan'!B15),ROUNDDOWN(H6/'Making plan'!B12,0)+D6/(('Making plan'!B12/'Making plan'!B14)/'Making plan'!B16),(D6+ROUNDDOWN(G6/'Making plan'!B11,0)*(('Making plan'!B11/'Making plan'!B13)/'Making plan'!B15)+ROUNDDOWN(H6/'Making plan'!B12,0)*(('Making plan'!B12/'Making plan'!B14)/'Making plan'!B16))/((('Making plan'!B11/'Making plan'!B13)/'Making plan'!B15)+(('Making plan'!B12/'Making plan'!B14)/'Making plan'!B16)))),0)</t>
        </is>
      </c>
      <c r="E436" s="4" t="n">
        <v>430</v>
      </c>
      <c r="F436" s="4" t="inlineStr">
        <is>
          <t>GOC Bed Unit-Costing Model v2 — working original.xlsx</t>
        </is>
      </c>
    </row>
    <row r="437" ht="40" customHeight="1">
      <c r="A437" s="4" t="inlineStr">
        <is>
          <t>original:Facility targets!K6</t>
        </is>
      </c>
      <c r="B437" s="4" t="inlineStr">
        <is>
          <t>Facility targets</t>
        </is>
      </c>
      <c r="C437" s="4" t="inlineStr">
        <is>
          <t>K6</t>
        </is>
      </c>
      <c r="D437" s="4" t="inlineStr">
        <is>
          <t>=ROUNDUP(MAX(0,C6*'Making plan'!B11-G6)/'Making plan'!B13,0)</t>
        </is>
      </c>
      <c r="E437" s="4" t="n">
        <v>0</v>
      </c>
      <c r="F437" s="4" t="inlineStr">
        <is>
          <t>GOC Bed Unit-Costing Model v2 — working original.xlsx</t>
        </is>
      </c>
    </row>
    <row r="438" ht="40" customHeight="1">
      <c r="A438" s="4" t="inlineStr">
        <is>
          <t>original:Facility targets!L6</t>
        </is>
      </c>
      <c r="B438" s="4" t="inlineStr">
        <is>
          <t>Facility targets</t>
        </is>
      </c>
      <c r="C438" s="4" t="inlineStr">
        <is>
          <t>L6</t>
        </is>
      </c>
      <c r="D438" s="4" t="inlineStr">
        <is>
          <t>=ROUNDUP(MAX(0,C6*'Making plan'!B12-H6)/'Making plan'!B14,0)</t>
        </is>
      </c>
      <c r="E438" s="4" t="n">
        <v>0</v>
      </c>
      <c r="F438" s="4" t="inlineStr">
        <is>
          <t>GOC Bed Unit-Costing Model v2 — working original.xlsx</t>
        </is>
      </c>
    </row>
    <row r="439" ht="40" customHeight="1">
      <c r="A439" s="4" t="inlineStr">
        <is>
          <t>original:Facility targets!M6</t>
        </is>
      </c>
      <c r="B439" s="4" t="inlineStr">
        <is>
          <t>Facility targets</t>
        </is>
      </c>
      <c r="C439" s="4" t="inlineStr">
        <is>
          <t>M6</t>
        </is>
      </c>
      <c r="D439" s="4" t="inlineStr">
        <is>
          <t>=IF(F6="Own sheets",(K6+L6)/E6,K6/E6)</t>
        </is>
      </c>
      <c r="E439" s="4" t="n">
        <v>0</v>
      </c>
      <c r="F439" s="4" t="inlineStr">
        <is>
          <t>GOC Bed Unit-Costing Model v2 — working original.xlsx</t>
        </is>
      </c>
    </row>
    <row r="440" ht="40" customHeight="1">
      <c r="A440" s="4" t="inlineStr">
        <is>
          <t>original:Facility targets!N6</t>
        </is>
      </c>
      <c r="B440" s="4" t="inlineStr">
        <is>
          <t>Facility targets</t>
        </is>
      </c>
      <c r="C440" s="4" t="inlineStr">
        <is>
          <t>N6</t>
        </is>
      </c>
      <c r="D440" s="4" t="inlineStr">
        <is>
          <t>=K6/'Making plan'!B15+L6/'Making plan'!B16</t>
        </is>
      </c>
      <c r="E440" s="4" t="n">
        <v>0</v>
      </c>
      <c r="F440" s="4" t="inlineStr">
        <is>
          <t>GOC Bed Unit-Costing Model v2 — working original.xlsx</t>
        </is>
      </c>
    </row>
    <row r="441" ht="40" customHeight="1">
      <c r="A441" s="4" t="inlineStr">
        <is>
          <t>original:Facility targets!O6</t>
        </is>
      </c>
      <c r="B441" s="4" t="inlineStr">
        <is>
          <t>Facility targets</t>
        </is>
      </c>
      <c r="C441" s="4" t="inlineStr">
        <is>
          <t>O6</t>
        </is>
      </c>
      <c r="D441" s="4" t="inlineStr">
        <is>
          <t>=IF(C6=0,"No target assigned",IF(MAX(M6:N6)&gt;D6,"Above available days","Within HDPE days; other gates open"))</t>
        </is>
      </c>
      <c r="E441" s="4" t="inlineStr">
        <is>
          <t>No target assigned</t>
        </is>
      </c>
      <c r="F441" s="4" t="inlineStr">
        <is>
          <t>GOC Bed Unit-Costing Model v2 — working original.xlsx</t>
        </is>
      </c>
    </row>
    <row r="442" ht="45" customHeight="1">
      <c r="A442" s="4" t="inlineStr">
        <is>
          <t>original:Facility targets!P6</t>
        </is>
      </c>
      <c r="B442" s="4" t="inlineStr">
        <is>
          <t>Facility targets</t>
        </is>
      </c>
      <c r="C442" s="4" t="inlineStr">
        <is>
          <t>P6</t>
        </is>
      </c>
      <c r="D442" s="4" t="inlineStr">
        <is>
          <t>Confirm sustained rate and shared crew schedule</t>
        </is>
      </c>
      <c r="E442" s="4" t="inlineStr">
        <is>
          <t>Confirm sustained rate and shared crew schedule</t>
        </is>
      </c>
      <c r="F442" s="4" t="inlineStr">
        <is>
          <t>GOC Bed Unit-Costing Model v2 — working original.xlsx</t>
        </is>
      </c>
    </row>
    <row r="443" ht="40" customHeight="1">
      <c r="A443" s="4" t="inlineStr">
        <is>
          <t>original:Facility targets!A7</t>
        </is>
      </c>
      <c r="B443" s="4" t="inlineStr">
        <is>
          <t>Facility targets</t>
        </is>
      </c>
      <c r="C443" s="4" t="inlineStr">
        <is>
          <t>A7</t>
        </is>
      </c>
      <c r="D443" s="4" t="inlineStr">
        <is>
          <t>NEW1</t>
        </is>
      </c>
      <c r="E443" s="4" t="inlineStr">
        <is>
          <t>NEW1</t>
        </is>
      </c>
      <c r="F443" s="4" t="inlineStr">
        <is>
          <t>GOC Bed Unit-Costing Model v2 — working original.xlsx</t>
        </is>
      </c>
    </row>
    <row r="444" ht="40" customHeight="1">
      <c r="A444" s="4" t="inlineStr">
        <is>
          <t>original:Facility targets!B7</t>
        </is>
      </c>
      <c r="B444" s="4" t="inlineStr">
        <is>
          <t>Facility targets</t>
        </is>
      </c>
      <c r="C444" s="4" t="inlineStr">
        <is>
          <t>B7</t>
        </is>
      </c>
      <c r="D444" s="4" t="inlineStr">
        <is>
          <t>New facility 1</t>
        </is>
      </c>
      <c r="E444" s="4" t="inlineStr">
        <is>
          <t>New facility 1</t>
        </is>
      </c>
      <c r="F444" s="4" t="inlineStr">
        <is>
          <t>GOC Bed Unit-Costing Model v2 — working original.xlsx</t>
        </is>
      </c>
    </row>
    <row r="445" ht="40" customHeight="1">
      <c r="A445" s="4" t="inlineStr">
        <is>
          <t>original:Facility targets!C7</t>
        </is>
      </c>
      <c r="B445" s="4" t="inlineStr">
        <is>
          <t>Facility targets</t>
        </is>
      </c>
      <c r="C445" s="4" t="inlineStr">
        <is>
          <t>C7</t>
        </is>
      </c>
      <c r="D445" s="4" t="inlineStr">
        <is>
          <t>=SUMIF('Community targets'!C6:C10,A7,'Community targets'!B6:B10)</t>
        </is>
      </c>
      <c r="E445" s="4" t="n">
        <v>0</v>
      </c>
      <c r="F445" s="4" t="inlineStr">
        <is>
          <t>GOC Bed Unit-Costing Model v2 — working original.xlsx</t>
        </is>
      </c>
    </row>
    <row r="446" ht="40" customHeight="1">
      <c r="A446" s="4" t="inlineStr">
        <is>
          <t>original:Facility targets!D7</t>
        </is>
      </c>
      <c r="B446" s="4" t="inlineStr">
        <is>
          <t>Facility targets</t>
        </is>
      </c>
      <c r="C446" s="4" t="inlineStr">
        <is>
          <t>D7</t>
        </is>
      </c>
      <c r="D446" s="4" t="inlineStr">
        <is>
          <t>=MAX(0,13-Sites!F7)*Sites!G7</t>
        </is>
      </c>
      <c r="E446" s="4" t="n">
        <v>90</v>
      </c>
      <c r="F446" s="4" t="inlineStr">
        <is>
          <t>GOC Bed Unit-Costing Model v2 — working original.xlsx</t>
        </is>
      </c>
    </row>
    <row r="447" ht="40" customHeight="1">
      <c r="A447" s="4" t="inlineStr">
        <is>
          <t>original:Facility targets!E7</t>
        </is>
      </c>
      <c r="B447" s="4" t="inlineStr">
        <is>
          <t>Facility targets</t>
        </is>
      </c>
      <c r="C447" s="4" t="inlineStr">
        <is>
          <t>E7</t>
        </is>
      </c>
      <c r="D447" s="4" t="inlineStr">
        <is>
          <t>='Making plan'!B10</t>
        </is>
      </c>
      <c r="E447" s="4" t="n">
        <v>6</v>
      </c>
      <c r="F447" s="4" t="inlineStr">
        <is>
          <t>GOC Bed Unit-Costing Model v2 — working original.xlsx</t>
        </is>
      </c>
    </row>
    <row r="448" ht="40" customHeight="1">
      <c r="A448" s="4" t="inlineStr">
        <is>
          <t>original:Facility targets!F7</t>
        </is>
      </c>
      <c r="B448" s="4" t="inlineStr">
        <is>
          <t>Facility targets</t>
        </is>
      </c>
      <c r="C448" s="4" t="inlineStr">
        <is>
          <t>F7</t>
        </is>
      </c>
      <c r="D448" s="4" t="inlineStr">
        <is>
          <t>='Making plan'!B6</t>
        </is>
      </c>
      <c r="E448" s="4" t="inlineStr">
        <is>
          <t>Own sheets</t>
        </is>
      </c>
      <c r="F448" s="4" t="inlineStr">
        <is>
          <t>GOC Bed Unit-Costing Model v2 — working original.xlsx</t>
        </is>
      </c>
    </row>
    <row r="449" ht="40" customHeight="1">
      <c r="A449" s="4" t="inlineStr">
        <is>
          <t>original:Facility targets!G7</t>
        </is>
      </c>
      <c r="B449" s="4" t="inlineStr">
        <is>
          <t>Facility targets</t>
        </is>
      </c>
      <c r="C449" s="4" t="inlineStr">
        <is>
          <t>G7</t>
        </is>
      </c>
      <c r="D449" s="4" t="n">
        <v>0</v>
      </c>
      <c r="E449" s="4" t="n">
        <v>0</v>
      </c>
      <c r="F449" s="4" t="inlineStr">
        <is>
          <t>GOC Bed Unit-Costing Model v2 — working original.xlsx</t>
        </is>
      </c>
    </row>
    <row r="450" ht="40" customHeight="1">
      <c r="A450" s="4" t="inlineStr">
        <is>
          <t>original:Facility targets!H7</t>
        </is>
      </c>
      <c r="B450" s="4" t="inlineStr">
        <is>
          <t>Facility targets</t>
        </is>
      </c>
      <c r="C450" s="4" t="inlineStr">
        <is>
          <t>H7</t>
        </is>
      </c>
      <c r="D450" s="4" t="n">
        <v>0</v>
      </c>
      <c r="E450" s="4" t="n">
        <v>0</v>
      </c>
      <c r="F450" s="4" t="inlineStr">
        <is>
          <t>GOC Bed Unit-Costing Model v2 — working original.xlsx</t>
        </is>
      </c>
    </row>
    <row r="451" ht="45" customHeight="1">
      <c r="A451" s="4" t="inlineStr">
        <is>
          <t>original:Facility targets!I7</t>
        </is>
      </c>
      <c r="B451" s="4" t="inlineStr">
        <is>
          <t>Facility targets</t>
        </is>
      </c>
      <c r="C451" s="4" t="inlineStr">
        <is>
          <t>I7</t>
        </is>
      </c>
      <c r="D451" s="4" t="inlineStr">
        <is>
          <t>=MIN(E7/IF(F7="Own sheets",'Making plan'!B11/'Making plan'!B13+'Making plan'!B12/'Making plan'!B14,'Making plan'!B11/'Making plan'!B13),'Making plan'!B40)</t>
        </is>
      </c>
      <c r="E451" s="4" t="n">
        <v>3</v>
      </c>
      <c r="F451" s="4" t="inlineStr">
        <is>
          <t>GOC Bed Unit-Costing Model v2 — working original.xlsx</t>
        </is>
      </c>
    </row>
    <row r="452" ht="240" customHeight="1">
      <c r="A452" s="4" t="inlineStr">
        <is>
          <t>original:Facility targets!J7</t>
        </is>
      </c>
      <c r="B452" s="4" t="inlineStr">
        <is>
          <t>Facility targets</t>
        </is>
      </c>
      <c r="C452" s="4" t="inlineStr">
        <is>
          <t>J7</t>
        </is>
      </c>
      <c r="D452" s="4" t="inlineStr">
        <is>
          <t>=ROUNDDOWN(MIN(IF(F7="Own sheets",MIN(ROUNDDOWN(G7/'Making plan'!B11,0)+D7*E7/('Making plan'!B11/'Making plan'!B13),ROUNDDOWN(H7/'Making plan'!B12,0)+D7*E7/('Making plan'!B12/'Making plan'!B14),(D7*E7+ROUNDDOWN(G7/'Making plan'!B11,0)*('Making plan'!B11/'Making plan'!B13)+ROUNDDOWN(H7/'Making plan'!B12,0)*('Making plan'!B12/'Making plan'!B14))/(('Making plan'!B11/'Making plan'!B13)+('Making plan'!B12/'Making plan'!B14))),ROUNDDOWN(G7/'Making plan'!B11,0)+D7*E7/('Making plan'!B11/'Making plan'!B13)),MIN(ROUNDDOWN(G7/'Making plan'!B11,0)+D7/(('Making plan'!B11/'Making plan'!B13)/'Making plan'!B15),ROUNDDOWN(H7/'Making plan'!B12,0)+D7/(('Making plan'!B12/'Making plan'!B14)/'Making plan'!B16),(D7+ROUNDDOWN(G7/'Making plan'!B11,0)*(('Making plan'!B11/'Making plan'!B13)/'Making plan'!B15)+ROUNDDOWN(H7/'Making plan'!B12,0)*(('Making plan'!B12/'Making plan'!B14)/'Making plan'!B16))/((('Making plan'!B11/'Making plan'!B13)/'Making plan'!B15)+(('Making plan'!B12/'Making plan'!B14)/'Making plan'!B16)))),0)</t>
        </is>
      </c>
      <c r="E452" s="4" t="n">
        <v>270</v>
      </c>
      <c r="F452" s="4" t="inlineStr">
        <is>
          <t>GOC Bed Unit-Costing Model v2 — working original.xlsx</t>
        </is>
      </c>
    </row>
    <row r="453" ht="40" customHeight="1">
      <c r="A453" s="4" t="inlineStr">
        <is>
          <t>original:Facility targets!K7</t>
        </is>
      </c>
      <c r="B453" s="4" t="inlineStr">
        <is>
          <t>Facility targets</t>
        </is>
      </c>
      <c r="C453" s="4" t="inlineStr">
        <is>
          <t>K7</t>
        </is>
      </c>
      <c r="D453" s="4" t="inlineStr">
        <is>
          <t>=ROUNDUP(MAX(0,C7*'Making plan'!B11-G7)/'Making plan'!B13,0)</t>
        </is>
      </c>
      <c r="E453" s="4" t="n">
        <v>0</v>
      </c>
      <c r="F453" s="4" t="inlineStr">
        <is>
          <t>GOC Bed Unit-Costing Model v2 — working original.xlsx</t>
        </is>
      </c>
    </row>
    <row r="454" ht="40" customHeight="1">
      <c r="A454" s="4" t="inlineStr">
        <is>
          <t>original:Facility targets!L7</t>
        </is>
      </c>
      <c r="B454" s="4" t="inlineStr">
        <is>
          <t>Facility targets</t>
        </is>
      </c>
      <c r="C454" s="4" t="inlineStr">
        <is>
          <t>L7</t>
        </is>
      </c>
      <c r="D454" s="4" t="inlineStr">
        <is>
          <t>=ROUNDUP(MAX(0,C7*'Making plan'!B12-H7)/'Making plan'!B14,0)</t>
        </is>
      </c>
      <c r="E454" s="4" t="n">
        <v>0</v>
      </c>
      <c r="F454" s="4" t="inlineStr">
        <is>
          <t>GOC Bed Unit-Costing Model v2 — working original.xlsx</t>
        </is>
      </c>
    </row>
    <row r="455" ht="40" customHeight="1">
      <c r="A455" s="4" t="inlineStr">
        <is>
          <t>original:Facility targets!M7</t>
        </is>
      </c>
      <c r="B455" s="4" t="inlineStr">
        <is>
          <t>Facility targets</t>
        </is>
      </c>
      <c r="C455" s="4" t="inlineStr">
        <is>
          <t>M7</t>
        </is>
      </c>
      <c r="D455" s="4" t="inlineStr">
        <is>
          <t>=IF(F7="Own sheets",(K7+L7)/E7,K7/E7)</t>
        </is>
      </c>
      <c r="E455" s="4" t="n">
        <v>0</v>
      </c>
      <c r="F455" s="4" t="inlineStr">
        <is>
          <t>GOC Bed Unit-Costing Model v2 — working original.xlsx</t>
        </is>
      </c>
    </row>
    <row r="456" ht="40" customHeight="1">
      <c r="A456" s="4" t="inlineStr">
        <is>
          <t>original:Facility targets!N7</t>
        </is>
      </c>
      <c r="B456" s="4" t="inlineStr">
        <is>
          <t>Facility targets</t>
        </is>
      </c>
      <c r="C456" s="4" t="inlineStr">
        <is>
          <t>N7</t>
        </is>
      </c>
      <c r="D456" s="4" t="inlineStr">
        <is>
          <t>=K7/'Making plan'!B15+L7/'Making plan'!B16</t>
        </is>
      </c>
      <c r="E456" s="4" t="n">
        <v>0</v>
      </c>
      <c r="F456" s="4" t="inlineStr">
        <is>
          <t>GOC Bed Unit-Costing Model v2 — working original.xlsx</t>
        </is>
      </c>
    </row>
    <row r="457" ht="40" customHeight="1">
      <c r="A457" s="4" t="inlineStr">
        <is>
          <t>original:Facility targets!O7</t>
        </is>
      </c>
      <c r="B457" s="4" t="inlineStr">
        <is>
          <t>Facility targets</t>
        </is>
      </c>
      <c r="C457" s="4" t="inlineStr">
        <is>
          <t>O7</t>
        </is>
      </c>
      <c r="D457" s="4" t="inlineStr">
        <is>
          <t>=IF(C7=0,"No target assigned",IF(MAX(M7:N7)&gt;D7,"Above available days","Within HDPE days; other gates open"))</t>
        </is>
      </c>
      <c r="E457" s="4" t="inlineStr">
        <is>
          <t>No target assigned</t>
        </is>
      </c>
      <c r="F457" s="4" t="inlineStr">
        <is>
          <t>GOC Bed Unit-Costing Model v2 — working original.xlsx</t>
        </is>
      </c>
    </row>
    <row r="458" ht="45" customHeight="1">
      <c r="A458" s="4" t="inlineStr">
        <is>
          <t>original:Facility targets!P7</t>
        </is>
      </c>
      <c r="B458" s="4" t="inlineStr">
        <is>
          <t>Facility targets</t>
        </is>
      </c>
      <c r="C458" s="4" t="inlineStr">
        <is>
          <t>P7</t>
        </is>
      </c>
      <c r="D458" s="4" t="inlineStr">
        <is>
          <t>Location, authority, crew and commissioning unconfirmed</t>
        </is>
      </c>
      <c r="E458" s="4" t="inlineStr">
        <is>
          <t>Location, authority, crew and commissioning unconfirmed</t>
        </is>
      </c>
      <c r="F458" s="4" t="inlineStr">
        <is>
          <t>GOC Bed Unit-Costing Model v2 — working original.xlsx</t>
        </is>
      </c>
    </row>
    <row r="459" ht="40" customHeight="1">
      <c r="A459" s="4" t="inlineStr">
        <is>
          <t>original:Facility targets!A8</t>
        </is>
      </c>
      <c r="B459" s="4" t="inlineStr">
        <is>
          <t>Facility targets</t>
        </is>
      </c>
      <c r="C459" s="4" t="inlineStr">
        <is>
          <t>A8</t>
        </is>
      </c>
      <c r="D459" s="4" t="inlineStr">
        <is>
          <t>NEW2</t>
        </is>
      </c>
      <c r="E459" s="4" t="inlineStr">
        <is>
          <t>NEW2</t>
        </is>
      </c>
      <c r="F459" s="4" t="inlineStr">
        <is>
          <t>GOC Bed Unit-Costing Model v2 — working original.xlsx</t>
        </is>
      </c>
    </row>
    <row r="460" ht="40" customHeight="1">
      <c r="A460" s="4" t="inlineStr">
        <is>
          <t>original:Facility targets!B8</t>
        </is>
      </c>
      <c r="B460" s="4" t="inlineStr">
        <is>
          <t>Facility targets</t>
        </is>
      </c>
      <c r="C460" s="4" t="inlineStr">
        <is>
          <t>B8</t>
        </is>
      </c>
      <c r="D460" s="4" t="inlineStr">
        <is>
          <t>New facility 2</t>
        </is>
      </c>
      <c r="E460" s="4" t="inlineStr">
        <is>
          <t>New facility 2</t>
        </is>
      </c>
      <c r="F460" s="4" t="inlineStr">
        <is>
          <t>GOC Bed Unit-Costing Model v2 — working original.xlsx</t>
        </is>
      </c>
    </row>
    <row r="461" ht="40" customHeight="1">
      <c r="A461" s="4" t="inlineStr">
        <is>
          <t>original:Facility targets!C8</t>
        </is>
      </c>
      <c r="B461" s="4" t="inlineStr">
        <is>
          <t>Facility targets</t>
        </is>
      </c>
      <c r="C461" s="4" t="inlineStr">
        <is>
          <t>C8</t>
        </is>
      </c>
      <c r="D461" s="4" t="inlineStr">
        <is>
          <t>=SUMIF('Community targets'!C6:C10,A8,'Community targets'!B6:B10)</t>
        </is>
      </c>
      <c r="E461" s="4" t="n">
        <v>0</v>
      </c>
      <c r="F461" s="4" t="inlineStr">
        <is>
          <t>GOC Bed Unit-Costing Model v2 — working original.xlsx</t>
        </is>
      </c>
    </row>
    <row r="462" ht="40" customHeight="1">
      <c r="A462" s="4" t="inlineStr">
        <is>
          <t>original:Facility targets!D8</t>
        </is>
      </c>
      <c r="B462" s="4" t="inlineStr">
        <is>
          <t>Facility targets</t>
        </is>
      </c>
      <c r="C462" s="4" t="inlineStr">
        <is>
          <t>D8</t>
        </is>
      </c>
      <c r="D462" s="4" t="inlineStr">
        <is>
          <t>=MAX(0,13-Sites!F8)*Sites!G8</t>
        </is>
      </c>
      <c r="E462" s="4" t="n">
        <v>60</v>
      </c>
      <c r="F462" s="4" t="inlineStr">
        <is>
          <t>GOC Bed Unit-Costing Model v2 — working original.xlsx</t>
        </is>
      </c>
    </row>
    <row r="463" ht="40" customHeight="1">
      <c r="A463" s="4" t="inlineStr">
        <is>
          <t>original:Facility targets!E8</t>
        </is>
      </c>
      <c r="B463" s="4" t="inlineStr">
        <is>
          <t>Facility targets</t>
        </is>
      </c>
      <c r="C463" s="4" t="inlineStr">
        <is>
          <t>E8</t>
        </is>
      </c>
      <c r="D463" s="4" t="inlineStr">
        <is>
          <t>='Making plan'!B10</t>
        </is>
      </c>
      <c r="E463" s="4" t="n">
        <v>6</v>
      </c>
      <c r="F463" s="4" t="inlineStr">
        <is>
          <t>GOC Bed Unit-Costing Model v2 — working original.xlsx</t>
        </is>
      </c>
    </row>
    <row r="464" ht="40" customHeight="1">
      <c r="A464" s="4" t="inlineStr">
        <is>
          <t>original:Facility targets!F8</t>
        </is>
      </c>
      <c r="B464" s="4" t="inlineStr">
        <is>
          <t>Facility targets</t>
        </is>
      </c>
      <c r="C464" s="4" t="inlineStr">
        <is>
          <t>F8</t>
        </is>
      </c>
      <c r="D464" s="4" t="inlineStr">
        <is>
          <t>='Making plan'!B6</t>
        </is>
      </c>
      <c r="E464" s="4" t="inlineStr">
        <is>
          <t>Own sheets</t>
        </is>
      </c>
      <c r="F464" s="4" t="inlineStr">
        <is>
          <t>GOC Bed Unit-Costing Model v2 — working original.xlsx</t>
        </is>
      </c>
    </row>
    <row r="465" ht="40" customHeight="1">
      <c r="A465" s="4" t="inlineStr">
        <is>
          <t>original:Facility targets!G8</t>
        </is>
      </c>
      <c r="B465" s="4" t="inlineStr">
        <is>
          <t>Facility targets</t>
        </is>
      </c>
      <c r="C465" s="4" t="inlineStr">
        <is>
          <t>G8</t>
        </is>
      </c>
      <c r="D465" s="4" t="n">
        <v>0</v>
      </c>
      <c r="E465" s="4" t="n">
        <v>0</v>
      </c>
      <c r="F465" s="4" t="inlineStr">
        <is>
          <t>GOC Bed Unit-Costing Model v2 — working original.xlsx</t>
        </is>
      </c>
    </row>
    <row r="466" ht="40" customHeight="1">
      <c r="A466" s="4" t="inlineStr">
        <is>
          <t>original:Facility targets!H8</t>
        </is>
      </c>
      <c r="B466" s="4" t="inlineStr">
        <is>
          <t>Facility targets</t>
        </is>
      </c>
      <c r="C466" s="4" t="inlineStr">
        <is>
          <t>H8</t>
        </is>
      </c>
      <c r="D466" s="4" t="n">
        <v>0</v>
      </c>
      <c r="E466" s="4" t="n">
        <v>0</v>
      </c>
      <c r="F466" s="4" t="inlineStr">
        <is>
          <t>GOC Bed Unit-Costing Model v2 — working original.xlsx</t>
        </is>
      </c>
    </row>
    <row r="467" ht="45" customHeight="1">
      <c r="A467" s="4" t="inlineStr">
        <is>
          <t>original:Facility targets!I8</t>
        </is>
      </c>
      <c r="B467" s="4" t="inlineStr">
        <is>
          <t>Facility targets</t>
        </is>
      </c>
      <c r="C467" s="4" t="inlineStr">
        <is>
          <t>I8</t>
        </is>
      </c>
      <c r="D467" s="4" t="inlineStr">
        <is>
          <t>=MIN(E8/IF(F8="Own sheets",'Making plan'!B11/'Making plan'!B13+'Making plan'!B12/'Making plan'!B14,'Making plan'!B11/'Making plan'!B13),'Making plan'!B40)</t>
        </is>
      </c>
      <c r="E467" s="4" t="n">
        <v>3</v>
      </c>
      <c r="F467" s="4" t="inlineStr">
        <is>
          <t>GOC Bed Unit-Costing Model v2 — working original.xlsx</t>
        </is>
      </c>
    </row>
    <row r="468" ht="240" customHeight="1">
      <c r="A468" s="4" t="inlineStr">
        <is>
          <t>original:Facility targets!J8</t>
        </is>
      </c>
      <c r="B468" s="4" t="inlineStr">
        <is>
          <t>Facility targets</t>
        </is>
      </c>
      <c r="C468" s="4" t="inlineStr">
        <is>
          <t>J8</t>
        </is>
      </c>
      <c r="D468" s="4" t="inlineStr">
        <is>
          <t>=ROUNDDOWN(MIN(IF(F8="Own sheets",MIN(ROUNDDOWN(G8/'Making plan'!B11,0)+D8*E8/('Making plan'!B11/'Making plan'!B13),ROUNDDOWN(H8/'Making plan'!B12,0)+D8*E8/('Making plan'!B12/'Making plan'!B14),(D8*E8+ROUNDDOWN(G8/'Making plan'!B11,0)*('Making plan'!B11/'Making plan'!B13)+ROUNDDOWN(H8/'Making plan'!B12,0)*('Making plan'!B12/'Making plan'!B14))/(('Making plan'!B11/'Making plan'!B13)+('Making plan'!B12/'Making plan'!B14))),ROUNDDOWN(G8/'Making plan'!B11,0)+D8*E8/('Making plan'!B11/'Making plan'!B13)),MIN(ROUNDDOWN(G8/'Making plan'!B11,0)+D8/(('Making plan'!B11/'Making plan'!B13)/'Making plan'!B15),ROUNDDOWN(H8/'Making plan'!B12,0)+D8/(('Making plan'!B12/'Making plan'!B14)/'Making plan'!B16),(D8+ROUNDDOWN(G8/'Making plan'!B11,0)*(('Making plan'!B11/'Making plan'!B13)/'Making plan'!B15)+ROUNDDOWN(H8/'Making plan'!B12,0)*(('Making plan'!B12/'Making plan'!B14)/'Making plan'!B16))/((('Making plan'!B11/'Making plan'!B13)/'Making plan'!B15)+(('Making plan'!B12/'Making plan'!B14)/'Making plan'!B16)))),0)</t>
        </is>
      </c>
      <c r="E468" s="4" t="n">
        <v>180</v>
      </c>
      <c r="F468" s="4" t="inlineStr">
        <is>
          <t>GOC Bed Unit-Costing Model v2 — working original.xlsx</t>
        </is>
      </c>
    </row>
    <row r="469" ht="40" customHeight="1">
      <c r="A469" s="4" t="inlineStr">
        <is>
          <t>original:Facility targets!K8</t>
        </is>
      </c>
      <c r="B469" s="4" t="inlineStr">
        <is>
          <t>Facility targets</t>
        </is>
      </c>
      <c r="C469" s="4" t="inlineStr">
        <is>
          <t>K8</t>
        </is>
      </c>
      <c r="D469" s="4" t="inlineStr">
        <is>
          <t>=ROUNDUP(MAX(0,C8*'Making plan'!B11-G8)/'Making plan'!B13,0)</t>
        </is>
      </c>
      <c r="E469" s="4" t="n">
        <v>0</v>
      </c>
      <c r="F469" s="4" t="inlineStr">
        <is>
          <t>GOC Bed Unit-Costing Model v2 — working original.xlsx</t>
        </is>
      </c>
    </row>
    <row r="470" ht="40" customHeight="1">
      <c r="A470" s="4" t="inlineStr">
        <is>
          <t>original:Facility targets!L8</t>
        </is>
      </c>
      <c r="B470" s="4" t="inlineStr">
        <is>
          <t>Facility targets</t>
        </is>
      </c>
      <c r="C470" s="4" t="inlineStr">
        <is>
          <t>L8</t>
        </is>
      </c>
      <c r="D470" s="4" t="inlineStr">
        <is>
          <t>=ROUNDUP(MAX(0,C8*'Making plan'!B12-H8)/'Making plan'!B14,0)</t>
        </is>
      </c>
      <c r="E470" s="4" t="n">
        <v>0</v>
      </c>
      <c r="F470" s="4" t="inlineStr">
        <is>
          <t>GOC Bed Unit-Costing Model v2 — working original.xlsx</t>
        </is>
      </c>
    </row>
    <row r="471" ht="40" customHeight="1">
      <c r="A471" s="4" t="inlineStr">
        <is>
          <t>original:Facility targets!M8</t>
        </is>
      </c>
      <c r="B471" s="4" t="inlineStr">
        <is>
          <t>Facility targets</t>
        </is>
      </c>
      <c r="C471" s="4" t="inlineStr">
        <is>
          <t>M8</t>
        </is>
      </c>
      <c r="D471" s="4" t="inlineStr">
        <is>
          <t>=IF(F8="Own sheets",(K8+L8)/E8,K8/E8)</t>
        </is>
      </c>
      <c r="E471" s="4" t="n">
        <v>0</v>
      </c>
      <c r="F471" s="4" t="inlineStr">
        <is>
          <t>GOC Bed Unit-Costing Model v2 — working original.xlsx</t>
        </is>
      </c>
    </row>
    <row r="472" ht="40" customHeight="1">
      <c r="A472" s="4" t="inlineStr">
        <is>
          <t>original:Facility targets!N8</t>
        </is>
      </c>
      <c r="B472" s="4" t="inlineStr">
        <is>
          <t>Facility targets</t>
        </is>
      </c>
      <c r="C472" s="4" t="inlineStr">
        <is>
          <t>N8</t>
        </is>
      </c>
      <c r="D472" s="4" t="inlineStr">
        <is>
          <t>=K8/'Making plan'!B15+L8/'Making plan'!B16</t>
        </is>
      </c>
      <c r="E472" s="4" t="n">
        <v>0</v>
      </c>
      <c r="F472" s="4" t="inlineStr">
        <is>
          <t>GOC Bed Unit-Costing Model v2 — working original.xlsx</t>
        </is>
      </c>
    </row>
    <row r="473" ht="40" customHeight="1">
      <c r="A473" s="4" t="inlineStr">
        <is>
          <t>original:Facility targets!O8</t>
        </is>
      </c>
      <c r="B473" s="4" t="inlineStr">
        <is>
          <t>Facility targets</t>
        </is>
      </c>
      <c r="C473" s="4" t="inlineStr">
        <is>
          <t>O8</t>
        </is>
      </c>
      <c r="D473" s="4" t="inlineStr">
        <is>
          <t>=IF(C8=0,"No target assigned",IF(MAX(M8:N8)&gt;D8,"Above available days","Within HDPE days; other gates open"))</t>
        </is>
      </c>
      <c r="E473" s="4" t="inlineStr">
        <is>
          <t>No target assigned</t>
        </is>
      </c>
      <c r="F473" s="4" t="inlineStr">
        <is>
          <t>GOC Bed Unit-Costing Model v2 — working original.xlsx</t>
        </is>
      </c>
    </row>
    <row r="474" ht="45" customHeight="1">
      <c r="A474" s="4" t="inlineStr">
        <is>
          <t>original:Facility targets!P8</t>
        </is>
      </c>
      <c r="B474" s="4" t="inlineStr">
        <is>
          <t>Facility targets</t>
        </is>
      </c>
      <c r="C474" s="4" t="inlineStr">
        <is>
          <t>P8</t>
        </is>
      </c>
      <c r="D474" s="4" t="inlineStr">
        <is>
          <t>Location, authority, crew and commissioning unconfirmed</t>
        </is>
      </c>
      <c r="E474" s="4" t="inlineStr">
        <is>
          <t>Location, authority, crew and commissioning unconfirmed</t>
        </is>
      </c>
      <c r="F474" s="4" t="inlineStr">
        <is>
          <t>GOC Bed Unit-Costing Model v2 — working original.xlsx</t>
        </is>
      </c>
    </row>
    <row r="475" ht="40" customHeight="1">
      <c r="A475" s="4" t="inlineStr">
        <is>
          <t>original:Facility targets!A11</t>
        </is>
      </c>
      <c r="B475" s="4" t="inlineStr">
        <is>
          <t>Facility targets</t>
        </is>
      </c>
      <c r="C475" s="4" t="inlineStr">
        <is>
          <t>A11</t>
        </is>
      </c>
      <c r="D475" s="4" t="inlineStr">
        <is>
          <t>All target beds</t>
        </is>
      </c>
      <c r="E475" s="4" t="inlineStr">
        <is>
          <t>All target beds</t>
        </is>
      </c>
      <c r="F475" s="4" t="inlineStr">
        <is>
          <t>GOC Bed Unit-Costing Model v2 — working original.xlsx</t>
        </is>
      </c>
    </row>
    <row r="476" ht="40" customHeight="1">
      <c r="A476" s="4" t="inlineStr">
        <is>
          <t>original:Facility targets!B11</t>
        </is>
      </c>
      <c r="B476" s="4" t="inlineStr">
        <is>
          <t>Facility targets</t>
        </is>
      </c>
      <c r="C476" s="4" t="inlineStr">
        <is>
          <t>B11</t>
        </is>
      </c>
      <c r="D476" s="4" t="inlineStr">
        <is>
          <t>='Community targets'!B12</t>
        </is>
      </c>
      <c r="E476" s="4" t="n">
        <v>1000</v>
      </c>
      <c r="F476" s="4" t="inlineStr">
        <is>
          <t>GOC Bed Unit-Costing Model v2 — working original.xlsx</t>
        </is>
      </c>
    </row>
    <row r="477" ht="40" customHeight="1">
      <c r="A477" s="4" t="inlineStr">
        <is>
          <t>original:Facility targets!A12</t>
        </is>
      </c>
      <c r="B477" s="4" t="inlineStr">
        <is>
          <t>Facility targets</t>
        </is>
      </c>
      <c r="C477" s="4" t="inlineStr">
        <is>
          <t>A12</t>
        </is>
      </c>
      <c r="D477" s="4" t="inlineStr">
        <is>
          <t>Assigned beds</t>
        </is>
      </c>
      <c r="E477" s="4" t="inlineStr">
        <is>
          <t>Assigned beds</t>
        </is>
      </c>
      <c r="F477" s="4" t="inlineStr">
        <is>
          <t>GOC Bed Unit-Costing Model v2 — working original.xlsx</t>
        </is>
      </c>
    </row>
    <row r="478" ht="40" customHeight="1">
      <c r="A478" s="4" t="inlineStr">
        <is>
          <t>original:Facility targets!B12</t>
        </is>
      </c>
      <c r="B478" s="4" t="inlineStr">
        <is>
          <t>Facility targets</t>
        </is>
      </c>
      <c r="C478" s="4" t="inlineStr">
        <is>
          <t>B12</t>
        </is>
      </c>
      <c r="D478" s="4" t="inlineStr">
        <is>
          <t>=SUM(C6:C8)</t>
        </is>
      </c>
      <c r="E478" s="4" t="n">
        <v>0</v>
      </c>
      <c r="F478" s="4" t="inlineStr">
        <is>
          <t>GOC Bed Unit-Costing Model v2 — working original.xlsx</t>
        </is>
      </c>
    </row>
    <row r="479" ht="40" customHeight="1">
      <c r="A479" s="4" t="inlineStr">
        <is>
          <t>original:Facility targets!A13</t>
        </is>
      </c>
      <c r="B479" s="4" t="inlineStr">
        <is>
          <t>Facility targets</t>
        </is>
      </c>
      <c r="C479" s="4" t="inlineStr">
        <is>
          <t>A13</t>
        </is>
      </c>
      <c r="D479" s="4" t="inlineStr">
        <is>
          <t>Unassigned beds</t>
        </is>
      </c>
      <c r="E479" s="4" t="inlineStr">
        <is>
          <t>Unassigned beds</t>
        </is>
      </c>
      <c r="F479" s="4" t="inlineStr">
        <is>
          <t>GOC Bed Unit-Costing Model v2 — working original.xlsx</t>
        </is>
      </c>
    </row>
    <row r="480" ht="40" customHeight="1">
      <c r="A480" s="4" t="inlineStr">
        <is>
          <t>original:Facility targets!B13</t>
        </is>
      </c>
      <c r="B480" s="4" t="inlineStr">
        <is>
          <t>Facility targets</t>
        </is>
      </c>
      <c r="C480" s="4" t="inlineStr">
        <is>
          <t>B13</t>
        </is>
      </c>
      <c r="D480" s="4" t="inlineStr">
        <is>
          <t>='Community targets'!B14</t>
        </is>
      </c>
      <c r="E480" s="4" t="n">
        <v>1000</v>
      </c>
      <c r="F480" s="4" t="inlineStr">
        <is>
          <t>GOC Bed Unit-Costing Model v2 — working original.xlsx</t>
        </is>
      </c>
    </row>
    <row r="481" ht="40" customHeight="1">
      <c r="A481" s="4" t="inlineStr">
        <is>
          <t>original:Facility targets!A14</t>
        </is>
      </c>
      <c r="B481" s="4" t="inlineStr">
        <is>
          <t>Facility targets</t>
        </is>
      </c>
      <c r="C481" s="4" t="inlineStr">
        <is>
          <t>A14</t>
        </is>
      </c>
      <c r="D481" s="4" t="inlineStr">
        <is>
          <t>Theoretical HDPE set capacity</t>
        </is>
      </c>
      <c r="E481" s="4" t="inlineStr">
        <is>
          <t>Theoretical HDPE set capacity</t>
        </is>
      </c>
      <c r="F481" s="4" t="inlineStr">
        <is>
          <t>GOC Bed Unit-Costing Model v2 — working original.xlsx</t>
        </is>
      </c>
    </row>
    <row r="482" ht="40" customHeight="1">
      <c r="A482" s="4" t="inlineStr">
        <is>
          <t>original:Facility targets!B14</t>
        </is>
      </c>
      <c r="B482" s="4" t="inlineStr">
        <is>
          <t>Facility targets</t>
        </is>
      </c>
      <c r="C482" s="4" t="inlineStr">
        <is>
          <t>B14</t>
        </is>
      </c>
      <c r="D482" s="4" t="inlineStr">
        <is>
          <t>=SUM(J6:J8)</t>
        </is>
      </c>
      <c r="E482" s="4" t="n">
        <v>880</v>
      </c>
      <c r="F482" s="4" t="inlineStr">
        <is>
          <t>GOC Bed Unit-Costing Model v2 — working original.xlsx</t>
        </is>
      </c>
    </row>
    <row r="483" ht="120" customHeight="1">
      <c r="A483" s="4" t="inlineStr">
        <is>
          <t>original:Facility targets!A17</t>
        </is>
      </c>
      <c r="B483" s="4" t="inlineStr">
        <is>
          <t>Facility targets</t>
        </is>
      </c>
      <c r="C483" s="4" t="inlineStr">
        <is>
          <t>A17</t>
        </is>
      </c>
      <c r="D483" s="4" t="inlineStr">
        <is>
          <t>Choose additional capacity only after identifying the limiting step: pressing, shared CNC time, crew, bought parts, stock, delivery dates or cash. New facilities do not create orders.</t>
        </is>
      </c>
      <c r="E483" s="4" t="inlineStr">
        <is>
          <t>Choose additional capacity only after identifying the limiting step: pressing, shared CNC time, crew, bought parts, stock, delivery dates or cash. New facilities do not create orders.</t>
        </is>
      </c>
      <c r="F483" s="4" t="inlineStr">
        <is>
          <t>GOC Bed Unit-Costing Model v2 — working original.xlsx</t>
        </is>
      </c>
    </row>
    <row r="484" ht="40" customHeight="1">
      <c r="A484" s="4" t="inlineStr">
        <is>
          <t>original:Inputs!A1</t>
        </is>
      </c>
      <c r="B484" s="4" t="inlineStr">
        <is>
          <t>Inputs</t>
        </is>
      </c>
      <c r="C484" s="4" t="inlineStr">
        <is>
          <t>A1</t>
        </is>
      </c>
      <c r="D484" s="4" t="inlineStr">
        <is>
          <t>Goods on Country — Investment Model v2</t>
        </is>
      </c>
      <c r="E484" s="4" t="inlineStr">
        <is>
          <t>Goods on Country — Investment Model v2</t>
        </is>
      </c>
      <c r="F484" s="4" t="inlineStr">
        <is>
          <t>GOC Bed Unit-Costing Model v2 — working original.xlsx</t>
        </is>
      </c>
    </row>
    <row r="485" ht="120" customHeight="1">
      <c r="A485" s="4" t="inlineStr">
        <is>
          <t>original:Inputs!A2</t>
        </is>
      </c>
      <c r="B485" s="4" t="inlineStr">
        <is>
          <t>Inputs</t>
        </is>
      </c>
      <c r="C485" s="4" t="inlineStr">
        <is>
          <t>A2</t>
        </is>
      </c>
      <c r="D485" s="4" t="inlineStr">
        <is>
          <t>Blue = editable input.  Black = formula.  Green = link to another sheet.  All AUD ex-GST. Three production paths run in parallel (set the production path mix in block 4).</t>
        </is>
      </c>
      <c r="E485" s="4" t="inlineStr">
        <is>
          <t>Blue = editable input.  Black = formula.  Green = link to another sheet.  All AUD ex-GST. Three production paths run in parallel (set the production path mix in block 4).</t>
        </is>
      </c>
      <c r="F485" s="4" t="inlineStr">
        <is>
          <t>GOC Bed Unit-Costing Model v2 — working original.xlsx</t>
        </is>
      </c>
    </row>
    <row r="486" ht="40" customHeight="1">
      <c r="A486" s="4" t="inlineStr">
        <is>
          <t>original:Inputs!A4</t>
        </is>
      </c>
      <c r="B486" s="4" t="inlineStr">
        <is>
          <t>Inputs</t>
        </is>
      </c>
      <c r="C486" s="4" t="inlineStr">
        <is>
          <t>A4</t>
        </is>
      </c>
      <c r="D486" s="4" t="inlineStr">
        <is>
          <t>1. COST PER BED BY PRODUCTION PATH ($/bed)</t>
        </is>
      </c>
      <c r="E486" s="4" t="inlineStr">
        <is>
          <t>1. COST PER BED BY PRODUCTION PATH ($/bed)</t>
        </is>
      </c>
      <c r="F486" s="4" t="inlineStr">
        <is>
          <t>GOC Bed Unit-Costing Model v2 — working original.xlsx</t>
        </is>
      </c>
    </row>
    <row r="487" ht="40" customHeight="1">
      <c r="A487" s="4" t="inlineStr">
        <is>
          <t>original:Inputs!A5</t>
        </is>
      </c>
      <c r="B487" s="4" t="inlineStr">
        <is>
          <t>Inputs</t>
        </is>
      </c>
      <c r="C487" s="4" t="inlineStr">
        <is>
          <t>A5</t>
        </is>
      </c>
      <c r="D487" s="4" t="inlineStr">
        <is>
          <t>Component</t>
        </is>
      </c>
      <c r="E487" s="4" t="inlineStr">
        <is>
          <t>Component</t>
        </is>
      </c>
      <c r="F487" s="4" t="inlineStr">
        <is>
          <t>GOC Bed Unit-Costing Model v2 — working original.xlsx</t>
        </is>
      </c>
    </row>
    <row r="488" ht="40" customHeight="1">
      <c r="A488" s="4" t="inlineStr">
        <is>
          <t>original:Inputs!B5</t>
        </is>
      </c>
      <c r="B488" s="4" t="inlineStr">
        <is>
          <t>Inputs</t>
        </is>
      </c>
      <c r="C488" s="4" t="inlineStr">
        <is>
          <t>B5</t>
        </is>
      </c>
      <c r="D488" s="4" t="inlineStr">
        <is>
          <t>Buy-Kit</t>
        </is>
      </c>
      <c r="E488" s="4" t="inlineStr">
        <is>
          <t>Buy-Kit</t>
        </is>
      </c>
      <c r="F488" s="4" t="inlineStr">
        <is>
          <t>GOC Bed Unit-Costing Model v2 — working original.xlsx</t>
        </is>
      </c>
    </row>
    <row r="489" ht="40" customHeight="1">
      <c r="A489" s="4" t="inlineStr">
        <is>
          <t>original:Inputs!C5</t>
        </is>
      </c>
      <c r="B489" s="4" t="inlineStr">
        <is>
          <t>Inputs</t>
        </is>
      </c>
      <c r="C489" s="4" t="inlineStr">
        <is>
          <t>C5</t>
        </is>
      </c>
      <c r="D489" s="4" t="inlineStr">
        <is>
          <t>Factory</t>
        </is>
      </c>
      <c r="E489" s="4" t="inlineStr">
        <is>
          <t>Factory</t>
        </is>
      </c>
      <c r="F489" s="4" t="inlineStr">
        <is>
          <t>GOC Bed Unit-Costing Model v2 — working original.xlsx</t>
        </is>
      </c>
    </row>
    <row r="490" ht="40" customHeight="1">
      <c r="A490" s="4" t="inlineStr">
        <is>
          <t>original:Inputs!D5</t>
        </is>
      </c>
      <c r="B490" s="4" t="inlineStr">
        <is>
          <t>Inputs</t>
        </is>
      </c>
      <c r="C490" s="4" t="inlineStr">
        <is>
          <t>D5</t>
        </is>
      </c>
      <c r="D490" s="4" t="inlineStr">
        <is>
          <t>Community</t>
        </is>
      </c>
      <c r="E490" s="4" t="inlineStr">
        <is>
          <t>Community</t>
        </is>
      </c>
      <c r="F490" s="4" t="inlineStr">
        <is>
          <t>GOC Bed Unit-Costing Model v2 — working original.xlsx</t>
        </is>
      </c>
    </row>
    <row r="491" ht="40" customHeight="1">
      <c r="A491" s="4" t="inlineStr">
        <is>
          <t>original:Inputs!E5</t>
        </is>
      </c>
      <c r="B491" s="4" t="inlineStr">
        <is>
          <t>Inputs</t>
        </is>
      </c>
      <c r="C491" s="4" t="inlineStr">
        <is>
          <t>E5</t>
        </is>
      </c>
      <c r="D491" s="4" t="inlineStr">
        <is>
          <t>Source / notes</t>
        </is>
      </c>
      <c r="E491" s="4" t="inlineStr">
        <is>
          <t>Source / notes</t>
        </is>
      </c>
      <c r="F491" s="4" t="inlineStr">
        <is>
          <t>GOC Bed Unit-Costing Model v2 — working original.xlsx</t>
        </is>
      </c>
    </row>
    <row r="492" ht="40" customHeight="1">
      <c r="A492" s="4" t="inlineStr">
        <is>
          <t>original:Inputs!A6</t>
        </is>
      </c>
      <c r="B492" s="4" t="inlineStr">
        <is>
          <t>Inputs</t>
        </is>
      </c>
      <c r="C492" s="4" t="inlineStr">
        <is>
          <t>A6</t>
        </is>
      </c>
      <c r="D492" s="4" t="inlineStr">
        <is>
          <t>HDPE plastic (legs)</t>
        </is>
      </c>
      <c r="E492" s="4" t="inlineStr">
        <is>
          <t>HDPE plastic (legs)</t>
        </is>
      </c>
      <c r="F492" s="4" t="inlineStr">
        <is>
          <t>GOC Bed Unit-Costing Model v2 — working original.xlsx</t>
        </is>
      </c>
    </row>
    <row r="493" ht="40" customHeight="1">
      <c r="A493" s="4" t="inlineStr">
        <is>
          <t>original:Inputs!B6</t>
        </is>
      </c>
      <c r="B493" s="4" t="inlineStr">
        <is>
          <t>Inputs</t>
        </is>
      </c>
      <c r="C493" s="4" t="inlineStr">
        <is>
          <t>B6</t>
        </is>
      </c>
      <c r="D493" s="4" t="n">
        <v>344.05</v>
      </c>
      <c r="E493" s="4" t="n">
        <v>344.05</v>
      </c>
      <c r="F493" s="4" t="inlineStr">
        <is>
          <t>GOC Bed Unit-Costing Model v2 — working original.xlsx</t>
        </is>
      </c>
    </row>
    <row r="494" ht="40" customHeight="1">
      <c r="A494" s="4" t="inlineStr">
        <is>
          <t>original:Inputs!C6</t>
        </is>
      </c>
      <c r="B494" s="4" t="inlineStr">
        <is>
          <t>Inputs</t>
        </is>
      </c>
      <c r="C494" s="4" t="inlineStr">
        <is>
          <t>C6</t>
        </is>
      </c>
      <c r="D494" s="4" t="n">
        <v>55</v>
      </c>
      <c r="E494" s="4" t="n">
        <v>55</v>
      </c>
      <c r="F494" s="4" t="inlineStr">
        <is>
          <t>GOC Bed Unit-Costing Model v2 — working original.xlsx</t>
        </is>
      </c>
    </row>
    <row r="495" ht="40" customHeight="1">
      <c r="A495" s="4" t="inlineStr">
        <is>
          <t>original:Inputs!D6</t>
        </is>
      </c>
      <c r="B495" s="4" t="inlineStr">
        <is>
          <t>Inputs</t>
        </is>
      </c>
      <c r="C495" s="4" t="inlineStr">
        <is>
          <t>D6</t>
        </is>
      </c>
      <c r="D495" s="4" t="n">
        <v>0</v>
      </c>
      <c r="E495" s="4" t="n">
        <v>0</v>
      </c>
      <c r="F495" s="4" t="inlineStr">
        <is>
          <t>GOC Bed Unit-Costing Model v2 — working original.xlsx</t>
        </is>
      </c>
    </row>
    <row r="496" ht="90" customHeight="1">
      <c r="A496" s="4" t="inlineStr">
        <is>
          <t>original:Inputs!E6</t>
        </is>
      </c>
      <c r="B496" s="4" t="inlineStr">
        <is>
          <t>Inputs</t>
        </is>
      </c>
      <c r="C496" s="4" t="inlineStr">
        <is>
          <t>E6</t>
        </is>
      </c>
      <c r="D496" s="4" t="inlineStr">
        <is>
          <t>Buy-Kit: Defy INV-1602/1732 (verified). Factory: 20kg raw shred @ $2.75/kg (02-supplier-quotes). Community: free waste feedstock (future).</t>
        </is>
      </c>
      <c r="E496" s="4" t="inlineStr">
        <is>
          <t>Buy-Kit: Defy INV-1602/1732 (verified). Factory: 20kg raw shred @ $2.75/kg (02-supplier-quotes). Community: free waste feedstock (future).</t>
        </is>
      </c>
      <c r="F496" s="4" t="inlineStr">
        <is>
          <t>GOC Bed Unit-Costing Model v2 — working original.xlsx</t>
        </is>
      </c>
    </row>
    <row r="497" ht="40" customHeight="1">
      <c r="A497" s="4" t="inlineStr">
        <is>
          <t>original:Inputs!A7</t>
        </is>
      </c>
      <c r="B497" s="4" t="inlineStr">
        <is>
          <t>Inputs</t>
        </is>
      </c>
      <c r="C497" s="4" t="inlineStr">
        <is>
          <t>A7</t>
        </is>
      </c>
      <c r="D497" s="4" t="inlineStr">
        <is>
          <t>Steel poles x2 (DNA Steel)</t>
        </is>
      </c>
      <c r="E497" s="4" t="inlineStr">
        <is>
          <t>Steel poles x2 (DNA Steel)</t>
        </is>
      </c>
      <c r="F497" s="4" t="inlineStr">
        <is>
          <t>GOC Bed Unit-Costing Model v2 — working original.xlsx</t>
        </is>
      </c>
    </row>
    <row r="498" ht="40" customHeight="1">
      <c r="A498" s="4" t="inlineStr">
        <is>
          <t>original:Inputs!B7</t>
        </is>
      </c>
      <c r="B498" s="4" t="inlineStr">
        <is>
          <t>Inputs</t>
        </is>
      </c>
      <c r="C498" s="4" t="inlineStr">
        <is>
          <t>B7</t>
        </is>
      </c>
      <c r="D498" s="4" t="n">
        <v>27</v>
      </c>
      <c r="E498" s="4" t="n">
        <v>27</v>
      </c>
      <c r="F498" s="4" t="inlineStr">
        <is>
          <t>GOC Bed Unit-Costing Model v2 — working original.xlsx</t>
        </is>
      </c>
    </row>
    <row r="499" ht="40" customHeight="1">
      <c r="A499" s="4" t="inlineStr">
        <is>
          <t>original:Inputs!C7</t>
        </is>
      </c>
      <c r="B499" s="4" t="inlineStr">
        <is>
          <t>Inputs</t>
        </is>
      </c>
      <c r="C499" s="4" t="inlineStr">
        <is>
          <t>C7</t>
        </is>
      </c>
      <c r="D499" s="4" t="n">
        <v>27</v>
      </c>
      <c r="E499" s="4" t="n">
        <v>27</v>
      </c>
      <c r="F499" s="4" t="inlineStr">
        <is>
          <t>GOC Bed Unit-Costing Model v2 — working original.xlsx</t>
        </is>
      </c>
    </row>
    <row r="500" ht="40" customHeight="1">
      <c r="A500" s="4" t="inlineStr">
        <is>
          <t>original:Inputs!D7</t>
        </is>
      </c>
      <c r="B500" s="4" t="inlineStr">
        <is>
          <t>Inputs</t>
        </is>
      </c>
      <c r="C500" s="4" t="inlineStr">
        <is>
          <t>D7</t>
        </is>
      </c>
      <c r="D500" s="4" t="n">
        <v>27</v>
      </c>
      <c r="E500" s="4" t="n">
        <v>27</v>
      </c>
      <c r="F500" s="4" t="inlineStr">
        <is>
          <t>GOC Bed Unit-Costing Model v2 — working original.xlsx</t>
        </is>
      </c>
    </row>
    <row r="501" ht="60" customHeight="1">
      <c r="A501" s="4" t="inlineStr">
        <is>
          <t>original:Inputs!E7</t>
        </is>
      </c>
      <c r="B501" s="4" t="inlineStr">
        <is>
          <t>Inputs</t>
        </is>
      </c>
      <c r="C501" s="4" t="inlineStr">
        <is>
          <t>E7</t>
        </is>
      </c>
      <c r="D501" s="4" t="inlineStr">
        <is>
          <t>Verified — Notion BOM StretchBed v2; quote valid to 31 Dec 2026 (02-supplier-quotes).</t>
        </is>
      </c>
      <c r="E501" s="4" t="inlineStr">
        <is>
          <t>Verified — Notion BOM StretchBed v2; quote valid to 31 Dec 2026 (02-supplier-quotes).</t>
        </is>
      </c>
      <c r="F501" s="4" t="inlineStr">
        <is>
          <t>GOC Bed Unit-Costing Model v2 — working original.xlsx</t>
        </is>
      </c>
    </row>
    <row r="502" ht="40" customHeight="1">
      <c r="A502" s="4" t="inlineStr">
        <is>
          <t>original:Inputs!A8</t>
        </is>
      </c>
      <c r="B502" s="4" t="inlineStr">
        <is>
          <t>Inputs</t>
        </is>
      </c>
      <c r="C502" s="4" t="inlineStr">
        <is>
          <t>A8</t>
        </is>
      </c>
      <c r="D502" s="4" t="inlineStr">
        <is>
          <t>Canvas (Centre Canvas)</t>
        </is>
      </c>
      <c r="E502" s="4" t="inlineStr">
        <is>
          <t>Canvas (Centre Canvas)</t>
        </is>
      </c>
      <c r="F502" s="4" t="inlineStr">
        <is>
          <t>GOC Bed Unit-Costing Model v2 — working original.xlsx</t>
        </is>
      </c>
    </row>
    <row r="503" ht="40" customHeight="1">
      <c r="A503" s="4" t="inlineStr">
        <is>
          <t>original:Inputs!B8</t>
        </is>
      </c>
      <c r="B503" s="4" t="inlineStr">
        <is>
          <t>Inputs</t>
        </is>
      </c>
      <c r="C503" s="4" t="inlineStr">
        <is>
          <t>B8</t>
        </is>
      </c>
      <c r="D503" s="4" t="n">
        <v>93.5</v>
      </c>
      <c r="E503" s="4" t="n">
        <v>93.5</v>
      </c>
      <c r="F503" s="4" t="inlineStr">
        <is>
          <t>GOC Bed Unit-Costing Model v2 — working original.xlsx</t>
        </is>
      </c>
    </row>
    <row r="504" ht="40" customHeight="1">
      <c r="A504" s="4" t="inlineStr">
        <is>
          <t>original:Inputs!C8</t>
        </is>
      </c>
      <c r="B504" s="4" t="inlineStr">
        <is>
          <t>Inputs</t>
        </is>
      </c>
      <c r="C504" s="4" t="inlineStr">
        <is>
          <t>C8</t>
        </is>
      </c>
      <c r="D504" s="4" t="n">
        <v>93.5</v>
      </c>
      <c r="E504" s="4" t="n">
        <v>93.5</v>
      </c>
      <c r="F504" s="4" t="inlineStr">
        <is>
          <t>GOC Bed Unit-Costing Model v2 — working original.xlsx</t>
        </is>
      </c>
    </row>
    <row r="505" ht="40" customHeight="1">
      <c r="A505" s="4" t="inlineStr">
        <is>
          <t>original:Inputs!D8</t>
        </is>
      </c>
      <c r="B505" s="4" t="inlineStr">
        <is>
          <t>Inputs</t>
        </is>
      </c>
      <c r="C505" s="4" t="inlineStr">
        <is>
          <t>D8</t>
        </is>
      </c>
      <c r="D505" s="4" t="n">
        <v>93.5</v>
      </c>
      <c r="E505" s="4" t="n">
        <v>93.5</v>
      </c>
      <c r="F505" s="4" t="inlineStr">
        <is>
          <t>GOC Bed Unit-Costing Model v2 — working original.xlsx</t>
        </is>
      </c>
    </row>
    <row r="506" ht="60" customHeight="1">
      <c r="A506" s="4" t="inlineStr">
        <is>
          <t>original:Inputs!E8</t>
        </is>
      </c>
      <c r="B506" s="4" t="inlineStr">
        <is>
          <t>Inputs</t>
        </is>
      </c>
      <c r="C506" s="4" t="inlineStr">
        <is>
          <t>E8</t>
        </is>
      </c>
      <c r="D506" s="4" t="inlineStr">
        <is>
          <t>Verified — 3 invoices 2026, 270 covers @ $93.50; valid to 31 Dec 2026 (02-supplier-quotes).</t>
        </is>
      </c>
      <c r="E506" s="4" t="inlineStr">
        <is>
          <t>Verified — 3 invoices 2026, 270 covers @ $93.50; valid to 31 Dec 2026 (02-supplier-quotes).</t>
        </is>
      </c>
      <c r="F506" s="4" t="inlineStr">
        <is>
          <t>GOC Bed Unit-Costing Model v2 — working original.xlsx</t>
        </is>
      </c>
    </row>
    <row r="507" ht="40" customHeight="1">
      <c r="A507" s="4" t="inlineStr">
        <is>
          <t>original:Inputs!A9</t>
        </is>
      </c>
      <c r="B507" s="4" t="inlineStr">
        <is>
          <t>Inputs</t>
        </is>
      </c>
      <c r="C507" s="4" t="inlineStr">
        <is>
          <t>A9</t>
        </is>
      </c>
      <c r="D507" s="4" t="inlineStr">
        <is>
          <t>Hardware (caps/screws/bolts)</t>
        </is>
      </c>
      <c r="E507" s="4" t="inlineStr">
        <is>
          <t>Hardware (caps/screws/bolts)</t>
        </is>
      </c>
      <c r="F507" s="4" t="inlineStr">
        <is>
          <t>GOC Bed Unit-Costing Model v2 — working original.xlsx</t>
        </is>
      </c>
    </row>
    <row r="508" ht="40" customHeight="1">
      <c r="A508" s="4" t="inlineStr">
        <is>
          <t>original:Inputs!B9</t>
        </is>
      </c>
      <c r="B508" s="4" t="inlineStr">
        <is>
          <t>Inputs</t>
        </is>
      </c>
      <c r="C508" s="4" t="inlineStr">
        <is>
          <t>B9</t>
        </is>
      </c>
      <c r="D508" s="4" t="n">
        <v>5.24</v>
      </c>
      <c r="E508" s="4" t="n">
        <v>5.24</v>
      </c>
      <c r="F508" s="4" t="inlineStr">
        <is>
          <t>GOC Bed Unit-Costing Model v2 — working original.xlsx</t>
        </is>
      </c>
    </row>
    <row r="509" ht="40" customHeight="1">
      <c r="A509" s="4" t="inlineStr">
        <is>
          <t>original:Inputs!C9</t>
        </is>
      </c>
      <c r="B509" s="4" t="inlineStr">
        <is>
          <t>Inputs</t>
        </is>
      </c>
      <c r="C509" s="4" t="inlineStr">
        <is>
          <t>C9</t>
        </is>
      </c>
      <c r="D509" s="4" t="n">
        <v>5.24</v>
      </c>
      <c r="E509" s="4" t="n">
        <v>5.24</v>
      </c>
      <c r="F509" s="4" t="inlineStr">
        <is>
          <t>GOC Bed Unit-Costing Model v2 — working original.xlsx</t>
        </is>
      </c>
    </row>
    <row r="510" ht="40" customHeight="1">
      <c r="A510" s="4" t="inlineStr">
        <is>
          <t>original:Inputs!D9</t>
        </is>
      </c>
      <c r="B510" s="4" t="inlineStr">
        <is>
          <t>Inputs</t>
        </is>
      </c>
      <c r="C510" s="4" t="inlineStr">
        <is>
          <t>D9</t>
        </is>
      </c>
      <c r="D510" s="4" t="n">
        <v>5.24</v>
      </c>
      <c r="E510" s="4" t="n">
        <v>5.24</v>
      </c>
      <c r="F510" s="4" t="inlineStr">
        <is>
          <t>GOC Bed Unit-Costing Model v2 — working original.xlsx</t>
        </is>
      </c>
    </row>
    <row r="511" ht="60" customHeight="1">
      <c r="A511" s="4" t="inlineStr">
        <is>
          <t>original:Inputs!E9</t>
        </is>
      </c>
      <c r="B511" s="4" t="inlineStr">
        <is>
          <t>Inputs</t>
        </is>
      </c>
      <c r="C511" s="4" t="inlineStr">
        <is>
          <t>E9</t>
        </is>
      </c>
      <c r="D511" s="4" t="inlineStr">
        <is>
          <t>Caps $3.20 + screws $1.04 (verified) + bolts $1.00 (inferred) (01-bill-of-materials).</t>
        </is>
      </c>
      <c r="E511" s="4" t="inlineStr">
        <is>
          <t>Caps $3.20 + screws $1.04 (verified) + bolts $1.00 (inferred) (01-bill-of-materials).</t>
        </is>
      </c>
      <c r="F511" s="4" t="inlineStr">
        <is>
          <t>GOC Bed Unit-Costing Model v2 — working original.xlsx</t>
        </is>
      </c>
    </row>
    <row r="512" ht="40" customHeight="1">
      <c r="A512" s="4" t="inlineStr">
        <is>
          <t>original:Inputs!A10</t>
        </is>
      </c>
      <c r="B512" s="4" t="inlineStr">
        <is>
          <t>Inputs</t>
        </is>
      </c>
      <c r="C512" s="4" t="inlineStr">
        <is>
          <t>A10</t>
        </is>
      </c>
      <c r="D512" s="4" t="inlineStr">
        <is>
          <t>Diesel (press + CNC)</t>
        </is>
      </c>
      <c r="E512" s="4" t="inlineStr">
        <is>
          <t>Diesel (press + CNC)</t>
        </is>
      </c>
      <c r="F512" s="4" t="inlineStr">
        <is>
          <t>GOC Bed Unit-Costing Model v2 — working original.xlsx</t>
        </is>
      </c>
    </row>
    <row r="513" ht="40" customHeight="1">
      <c r="A513" s="4" t="inlineStr">
        <is>
          <t>original:Inputs!B10</t>
        </is>
      </c>
      <c r="B513" s="4" t="inlineStr">
        <is>
          <t>Inputs</t>
        </is>
      </c>
      <c r="C513" s="4" t="inlineStr">
        <is>
          <t>B10</t>
        </is>
      </c>
      <c r="D513" s="4" t="n">
        <v>0</v>
      </c>
      <c r="E513" s="4" t="n">
        <v>0</v>
      </c>
      <c r="F513" s="4" t="inlineStr">
        <is>
          <t>GOC Bed Unit-Costing Model v2 — working original.xlsx</t>
        </is>
      </c>
    </row>
    <row r="514" ht="40" customHeight="1">
      <c r="A514" s="4" t="inlineStr">
        <is>
          <t>original:Inputs!C10</t>
        </is>
      </c>
      <c r="B514" s="4" t="inlineStr">
        <is>
          <t>Inputs</t>
        </is>
      </c>
      <c r="C514" s="4" t="inlineStr">
        <is>
          <t>C10</t>
        </is>
      </c>
      <c r="D514" s="4" t="n">
        <v>15</v>
      </c>
      <c r="E514" s="4" t="n">
        <v>15</v>
      </c>
      <c r="F514" s="4" t="inlineStr">
        <is>
          <t>GOC Bed Unit-Costing Model v2 — working original.xlsx</t>
        </is>
      </c>
    </row>
    <row r="515" ht="40" customHeight="1">
      <c r="A515" s="4" t="inlineStr">
        <is>
          <t>original:Inputs!D10</t>
        </is>
      </c>
      <c r="B515" s="4" t="inlineStr">
        <is>
          <t>Inputs</t>
        </is>
      </c>
      <c r="C515" s="4" t="inlineStr">
        <is>
          <t>D10</t>
        </is>
      </c>
      <c r="D515" s="4" t="n">
        <v>15</v>
      </c>
      <c r="E515" s="4" t="n">
        <v>15</v>
      </c>
      <c r="F515" s="4" t="inlineStr">
        <is>
          <t>GOC Bed Unit-Costing Model v2 — working original.xlsx</t>
        </is>
      </c>
    </row>
    <row r="516" ht="60" customHeight="1">
      <c r="A516" s="4" t="inlineStr">
        <is>
          <t>original:Inputs!E10</t>
        </is>
      </c>
      <c r="B516" s="4" t="inlineStr">
        <is>
          <t>Inputs</t>
        </is>
      </c>
      <c r="C516" s="4" t="inlineStr">
        <is>
          <t>E10</t>
        </is>
      </c>
      <c r="D516" s="4" t="inlineStr">
        <is>
          <t>Modelled: 25L/day / 5 beds (03-cost-model). Nil on Buy-Kit (Defy runs the machines).</t>
        </is>
      </c>
      <c r="E516" s="4" t="inlineStr">
        <is>
          <t>Modelled: 25L/day / 5 beds (03-cost-model). Nil on Buy-Kit (Defy runs the machines).</t>
        </is>
      </c>
      <c r="F516" s="4" t="inlineStr">
        <is>
          <t>GOC Bed Unit-Costing Model v2 — working original.xlsx</t>
        </is>
      </c>
    </row>
    <row r="517" ht="40" customHeight="1">
      <c r="A517" s="4" t="inlineStr">
        <is>
          <t>original:Inputs!A11</t>
        </is>
      </c>
      <c r="B517" s="4" t="inlineStr">
        <is>
          <t>Inputs</t>
        </is>
      </c>
      <c r="C517" s="4" t="inlineStr">
        <is>
          <t>A11</t>
        </is>
      </c>
      <c r="D517" s="4" t="inlineStr">
        <is>
          <t>Labour</t>
        </is>
      </c>
      <c r="E517" s="4" t="inlineStr">
        <is>
          <t>Labour</t>
        </is>
      </c>
      <c r="F517" s="4" t="inlineStr">
        <is>
          <t>GOC Bed Unit-Costing Model v2 — working original.xlsx</t>
        </is>
      </c>
    </row>
    <row r="518" ht="40" customHeight="1">
      <c r="A518" s="4" t="inlineStr">
        <is>
          <t>original:Inputs!B11</t>
        </is>
      </c>
      <c r="B518" s="4" t="inlineStr">
        <is>
          <t>Inputs</t>
        </is>
      </c>
      <c r="C518" s="4" t="inlineStr">
        <is>
          <t>B11</t>
        </is>
      </c>
      <c r="D518" s="4" t="n">
        <v>40</v>
      </c>
      <c r="E518" s="4" t="n">
        <v>40</v>
      </c>
      <c r="F518" s="4" t="inlineStr">
        <is>
          <t>GOC Bed Unit-Costing Model v2 — working original.xlsx</t>
        </is>
      </c>
    </row>
    <row r="519" ht="40" customHeight="1">
      <c r="A519" s="4" t="inlineStr">
        <is>
          <t>original:Inputs!C11</t>
        </is>
      </c>
      <c r="B519" s="4" t="inlineStr">
        <is>
          <t>Inputs</t>
        </is>
      </c>
      <c r="C519" s="4" t="inlineStr">
        <is>
          <t>C11</t>
        </is>
      </c>
      <c r="D519" s="4" t="n">
        <v>80</v>
      </c>
      <c r="E519" s="4" t="n">
        <v>80</v>
      </c>
      <c r="F519" s="4" t="inlineStr">
        <is>
          <t>GOC Bed Unit-Costing Model v2 — working original.xlsx</t>
        </is>
      </c>
    </row>
    <row r="520" ht="40" customHeight="1">
      <c r="A520" s="4" t="inlineStr">
        <is>
          <t>original:Inputs!D11</t>
        </is>
      </c>
      <c r="B520" s="4" t="inlineStr">
        <is>
          <t>Inputs</t>
        </is>
      </c>
      <c r="C520" s="4" t="inlineStr">
        <is>
          <t>D11</t>
        </is>
      </c>
      <c r="D520" s="4" t="n">
        <v>130</v>
      </c>
      <c r="E520" s="4" t="n">
        <v>130</v>
      </c>
      <c r="F520" s="4" t="inlineStr">
        <is>
          <t>GOC Bed Unit-Costing Model v2 — working original.xlsx</t>
        </is>
      </c>
    </row>
    <row r="521" ht="90" customHeight="1">
      <c r="A521" s="4" t="inlineStr">
        <is>
          <t>original:Inputs!E11</t>
        </is>
      </c>
      <c r="B521" s="4" t="inlineStr">
        <is>
          <t>Inputs</t>
        </is>
      </c>
      <c r="C521" s="4" t="inlineStr">
        <is>
          <t>E11</t>
        </is>
      </c>
      <c r="D521" s="4" t="inlineStr">
        <is>
          <t>Buy-Kit: in-house assembly $40 (v6 marginal table). Factory: $400/day / 5 beds. Community: $130/bed fair wage (band $100-160), v6 reframe.</t>
        </is>
      </c>
      <c r="E521" s="4" t="inlineStr">
        <is>
          <t>Buy-Kit: in-house assembly $40 (v6 marginal table). Factory: $400/day / 5 beds. Community: $130/bed fair wage (band $100-160), v6 reframe.</t>
        </is>
      </c>
      <c r="F521" s="4" t="inlineStr">
        <is>
          <t>GOC Bed Unit-Costing Model v2 — working original.xlsx</t>
        </is>
      </c>
    </row>
    <row r="522" ht="40" customHeight="1">
      <c r="A522" s="4" t="inlineStr">
        <is>
          <t>original:Inputs!A12</t>
        </is>
      </c>
      <c r="B522" s="4" t="inlineStr">
        <is>
          <t>Inputs</t>
        </is>
      </c>
      <c r="C522" s="4" t="inlineStr">
        <is>
          <t>A12</t>
        </is>
      </c>
      <c r="D522" s="4" t="inlineStr">
        <is>
          <t>Freight</t>
        </is>
      </c>
      <c r="E522" s="4" t="inlineStr">
        <is>
          <t>Freight</t>
        </is>
      </c>
      <c r="F522" s="4" t="inlineStr">
        <is>
          <t>GOC Bed Unit-Costing Model v2 — working original.xlsx</t>
        </is>
      </c>
    </row>
    <row r="523" ht="40" customHeight="1">
      <c r="A523" s="4" t="inlineStr">
        <is>
          <t>original:Inputs!B12</t>
        </is>
      </c>
      <c r="B523" s="4" t="inlineStr">
        <is>
          <t>Inputs</t>
        </is>
      </c>
      <c r="C523" s="4" t="inlineStr">
        <is>
          <t>B12</t>
        </is>
      </c>
      <c r="D523" s="4" t="n">
        <v>175</v>
      </c>
      <c r="E523" s="4" t="n">
        <v>175</v>
      </c>
      <c r="F523" s="4" t="inlineStr">
        <is>
          <t>GOC Bed Unit-Costing Model v2 — working original.xlsx</t>
        </is>
      </c>
    </row>
    <row r="524" ht="40" customHeight="1">
      <c r="A524" s="4" t="inlineStr">
        <is>
          <t>original:Inputs!C12</t>
        </is>
      </c>
      <c r="B524" s="4" t="inlineStr">
        <is>
          <t>Inputs</t>
        </is>
      </c>
      <c r="C524" s="4" t="inlineStr">
        <is>
          <t>C12</t>
        </is>
      </c>
      <c r="D524" s="4" t="n">
        <v>150</v>
      </c>
      <c r="E524" s="4" t="n">
        <v>150</v>
      </c>
      <c r="F524" s="4" t="inlineStr">
        <is>
          <t>GOC Bed Unit-Costing Model v2 — working original.xlsx</t>
        </is>
      </c>
    </row>
    <row r="525" ht="40" customHeight="1">
      <c r="A525" s="4" t="inlineStr">
        <is>
          <t>original:Inputs!D12</t>
        </is>
      </c>
      <c r="B525" s="4" t="inlineStr">
        <is>
          <t>Inputs</t>
        </is>
      </c>
      <c r="C525" s="4" t="inlineStr">
        <is>
          <t>D12</t>
        </is>
      </c>
      <c r="D525" s="4" t="n">
        <v>150</v>
      </c>
      <c r="E525" s="4" t="n">
        <v>150</v>
      </c>
      <c r="F525" s="4" t="inlineStr">
        <is>
          <t>GOC Bed Unit-Costing Model v2 — working original.xlsx</t>
        </is>
      </c>
    </row>
    <row r="526" ht="90" customHeight="1">
      <c r="A526" s="4" t="inlineStr">
        <is>
          <t>original:Inputs!E12</t>
        </is>
      </c>
      <c r="B526" s="4" t="inlineStr">
        <is>
          <t>Inputs</t>
        </is>
      </c>
      <c r="C526" s="4" t="inlineStr">
        <is>
          <t>E12</t>
        </is>
      </c>
      <c r="D526" s="4" t="inlineStr">
        <is>
          <t>Long-haul ~$150/bed (modelled); Buy-Kit adds $25 local. Factory/Community local freight included in direct costs (03-cost-model §C).</t>
        </is>
      </c>
      <c r="E526" s="4" t="inlineStr">
        <is>
          <t>Long-haul ~$150/bed (modelled); Buy-Kit adds $25 local. Factory/Community local freight included in direct costs (03-cost-model §C).</t>
        </is>
      </c>
      <c r="F526" s="4" t="inlineStr">
        <is>
          <t>GOC Bed Unit-Costing Model v2 — working original.xlsx</t>
        </is>
      </c>
    </row>
    <row r="527" ht="40" customHeight="1">
      <c r="A527" s="4" t="inlineStr">
        <is>
          <t>original:Inputs!A13</t>
        </is>
      </c>
      <c r="B527" s="4" t="inlineStr">
        <is>
          <t>Inputs</t>
        </is>
      </c>
      <c r="C527" s="4" t="inlineStr">
        <is>
          <t>A13</t>
        </is>
      </c>
      <c r="D527" s="4" t="inlineStr">
        <is>
          <t>TOTAL COST PER BED</t>
        </is>
      </c>
      <c r="E527" s="4" t="inlineStr">
        <is>
          <t>TOTAL COST PER BED</t>
        </is>
      </c>
      <c r="F527" s="4" t="inlineStr">
        <is>
          <t>GOC Bed Unit-Costing Model v2 — working original.xlsx</t>
        </is>
      </c>
    </row>
    <row r="528" ht="40" customHeight="1">
      <c r="A528" s="4" t="inlineStr">
        <is>
          <t>original:Inputs!B13</t>
        </is>
      </c>
      <c r="B528" s="4" t="inlineStr">
        <is>
          <t>Inputs</t>
        </is>
      </c>
      <c r="C528" s="4" t="inlineStr">
        <is>
          <t>B13</t>
        </is>
      </c>
      <c r="D528" s="4" t="inlineStr">
        <is>
          <t>=SUM(B6:B12)</t>
        </is>
      </c>
      <c r="E528" s="4" t="n">
        <v>684.79</v>
      </c>
      <c r="F528" s="4" t="inlineStr">
        <is>
          <t>GOC Bed Unit-Costing Model v2 — working original.xlsx</t>
        </is>
      </c>
    </row>
    <row r="529" ht="40" customHeight="1">
      <c r="A529" s="4" t="inlineStr">
        <is>
          <t>original:Inputs!C13</t>
        </is>
      </c>
      <c r="B529" s="4" t="inlineStr">
        <is>
          <t>Inputs</t>
        </is>
      </c>
      <c r="C529" s="4" t="inlineStr">
        <is>
          <t>C13</t>
        </is>
      </c>
      <c r="D529" s="4" t="inlineStr">
        <is>
          <t>=SUM(C6:C12)</t>
        </is>
      </c>
      <c r="E529" s="4" t="n">
        <v>425.74</v>
      </c>
      <c r="F529" s="4" t="inlineStr">
        <is>
          <t>GOC Bed Unit-Costing Model v2 — working original.xlsx</t>
        </is>
      </c>
    </row>
    <row r="530" ht="40" customHeight="1">
      <c r="A530" s="4" t="inlineStr">
        <is>
          <t>original:Inputs!D13</t>
        </is>
      </c>
      <c r="B530" s="4" t="inlineStr">
        <is>
          <t>Inputs</t>
        </is>
      </c>
      <c r="C530" s="4" t="inlineStr">
        <is>
          <t>D13</t>
        </is>
      </c>
      <c r="D530" s="4" t="inlineStr">
        <is>
          <t>=SUM(D6:D12)</t>
        </is>
      </c>
      <c r="E530" s="4" t="n">
        <v>420.74</v>
      </c>
      <c r="F530" s="4" t="inlineStr">
        <is>
          <t>GOC Bed Unit-Costing Model v2 — working original.xlsx</t>
        </is>
      </c>
    </row>
    <row r="531" ht="40" customHeight="1">
      <c r="A531" s="4" t="inlineStr">
        <is>
          <t>original:Inputs!A14</t>
        </is>
      </c>
      <c r="B531" s="4" t="inlineStr">
        <is>
          <t>Inputs</t>
        </is>
      </c>
      <c r="C531" s="4" t="inlineStr">
        <is>
          <t>A14</t>
        </is>
      </c>
      <c r="D531" s="4" t="inlineStr">
        <is>
          <t>Contribution per bed</t>
        </is>
      </c>
      <c r="E531" s="4" t="inlineStr">
        <is>
          <t>Contribution per bed</t>
        </is>
      </c>
      <c r="F531" s="4" t="inlineStr">
        <is>
          <t>GOC Bed Unit-Costing Model v2 — working original.xlsx</t>
        </is>
      </c>
    </row>
    <row r="532" ht="40" customHeight="1">
      <c r="A532" s="4" t="inlineStr">
        <is>
          <t>original:Inputs!B14</t>
        </is>
      </c>
      <c r="B532" s="4" t="inlineStr">
        <is>
          <t>Inputs</t>
        </is>
      </c>
      <c r="C532" s="4" t="inlineStr">
        <is>
          <t>B14</t>
        </is>
      </c>
      <c r="D532" s="4" t="inlineStr">
        <is>
          <t>=$B$39-B13</t>
        </is>
      </c>
      <c r="E532" s="4" t="n">
        <v>65.20999999999999</v>
      </c>
      <c r="F532" s="4" t="inlineStr">
        <is>
          <t>GOC Bed Unit-Costing Model v2 — working original.xlsx</t>
        </is>
      </c>
    </row>
    <row r="533" ht="40" customHeight="1">
      <c r="A533" s="4" t="inlineStr">
        <is>
          <t>original:Inputs!C14</t>
        </is>
      </c>
      <c r="B533" s="4" t="inlineStr">
        <is>
          <t>Inputs</t>
        </is>
      </c>
      <c r="C533" s="4" t="inlineStr">
        <is>
          <t>C14</t>
        </is>
      </c>
      <c r="D533" s="4" t="inlineStr">
        <is>
          <t>=$B$39-C13</t>
        </is>
      </c>
      <c r="E533" s="4" t="n">
        <v>324.26</v>
      </c>
      <c r="F533" s="4" t="inlineStr">
        <is>
          <t>GOC Bed Unit-Costing Model v2 — working original.xlsx</t>
        </is>
      </c>
    </row>
    <row r="534" ht="40" customHeight="1">
      <c r="A534" s="4" t="inlineStr">
        <is>
          <t>original:Inputs!D14</t>
        </is>
      </c>
      <c r="B534" s="4" t="inlineStr">
        <is>
          <t>Inputs</t>
        </is>
      </c>
      <c r="C534" s="4" t="inlineStr">
        <is>
          <t>D14</t>
        </is>
      </c>
      <c r="D534" s="4" t="inlineStr">
        <is>
          <t>=$B$39-D13</t>
        </is>
      </c>
      <c r="E534" s="4" t="n">
        <v>329.26</v>
      </c>
      <c r="F534" s="4" t="inlineStr">
        <is>
          <t>GOC Bed Unit-Costing Model v2 — working original.xlsx</t>
        </is>
      </c>
    </row>
    <row r="535" ht="40" customHeight="1">
      <c r="A535" s="4" t="inlineStr">
        <is>
          <t>original:Inputs!A15</t>
        </is>
      </c>
      <c r="B535" s="4" t="inlineStr">
        <is>
          <t>Inputs</t>
        </is>
      </c>
      <c r="C535" s="4" t="inlineStr">
        <is>
          <t>A15</t>
        </is>
      </c>
      <c r="D535" s="4" t="inlineStr">
        <is>
          <t>Contribution margin</t>
        </is>
      </c>
      <c r="E535" s="4" t="inlineStr">
        <is>
          <t>Contribution margin</t>
        </is>
      </c>
      <c r="F535" s="4" t="inlineStr">
        <is>
          <t>GOC Bed Unit-Costing Model v2 — working original.xlsx</t>
        </is>
      </c>
    </row>
    <row r="536" ht="40" customHeight="1">
      <c r="A536" s="4" t="inlineStr">
        <is>
          <t>original:Inputs!B15</t>
        </is>
      </c>
      <c r="B536" s="4" t="inlineStr">
        <is>
          <t>Inputs</t>
        </is>
      </c>
      <c r="C536" s="4" t="inlineStr">
        <is>
          <t>B15</t>
        </is>
      </c>
      <c r="D536" s="4" t="inlineStr">
        <is>
          <t>=IF($B$39&gt;0,B14/$B$39,0)</t>
        </is>
      </c>
      <c r="E536" s="4" t="n">
        <v>0.08694666667000001</v>
      </c>
      <c r="F536" s="4" t="inlineStr">
        <is>
          <t>GOC Bed Unit-Costing Model v2 — working original.xlsx</t>
        </is>
      </c>
    </row>
    <row r="537" ht="40" customHeight="1">
      <c r="A537" s="4" t="inlineStr">
        <is>
          <t>original:Inputs!C15</t>
        </is>
      </c>
      <c r="B537" s="4" t="inlineStr">
        <is>
          <t>Inputs</t>
        </is>
      </c>
      <c r="C537" s="4" t="inlineStr">
        <is>
          <t>C15</t>
        </is>
      </c>
      <c r="D537" s="4" t="inlineStr">
        <is>
          <t>=IF($B$39&gt;0,C14/$B$39,0)</t>
        </is>
      </c>
      <c r="E537" s="4" t="n">
        <v>0.4323466667</v>
      </c>
      <c r="F537" s="4" t="inlineStr">
        <is>
          <t>GOC Bed Unit-Costing Model v2 — working original.xlsx</t>
        </is>
      </c>
    </row>
    <row r="538" ht="40" customHeight="1">
      <c r="A538" s="4" t="inlineStr">
        <is>
          <t>original:Inputs!D15</t>
        </is>
      </c>
      <c r="B538" s="4" t="inlineStr">
        <is>
          <t>Inputs</t>
        </is>
      </c>
      <c r="C538" s="4" t="inlineStr">
        <is>
          <t>D15</t>
        </is>
      </c>
      <c r="D538" s="4" t="inlineStr">
        <is>
          <t>=IF($B$39&gt;0,D14/$B$39,0)</t>
        </is>
      </c>
      <c r="E538" s="4" t="n">
        <v>0.4390133333</v>
      </c>
      <c r="F538" s="4" t="inlineStr">
        <is>
          <t>GOC Bed Unit-Costing Model v2 — working original.xlsx</t>
        </is>
      </c>
    </row>
    <row r="539" ht="90" customHeight="1">
      <c r="A539" s="4" t="inlineStr">
        <is>
          <t>original:Inputs!A16</t>
        </is>
      </c>
      <c r="B539" s="4" t="inlineStr">
        <is>
          <t>Inputs</t>
        </is>
      </c>
      <c r="C539" s="4" t="inlineStr">
        <is>
          <t>A16</t>
        </is>
      </c>
      <c r="D539" s="4" t="inlineStr">
        <is>
          <t>Path totals reconcile to v6 marginal costs incl. freight: Buy-Kit $684.79 / Factory $425.74 / Community $420.74 (03-cost-model §C).</t>
        </is>
      </c>
      <c r="E539" s="4" t="inlineStr">
        <is>
          <t>Path totals reconcile to v6 marginal costs incl. freight: Buy-Kit $684.79 / Factory $425.74 / Community $420.74 (03-cost-model §C).</t>
        </is>
      </c>
      <c r="F539" s="4" t="inlineStr">
        <is>
          <t>GOC Bed Unit-Costing Model v2 — working original.xlsx</t>
        </is>
      </c>
    </row>
    <row r="540" ht="40" customHeight="1">
      <c r="A540" s="4" t="inlineStr">
        <is>
          <t>original:Inputs!A18</t>
        </is>
      </c>
      <c r="B540" s="4" t="inlineStr">
        <is>
          <t>Inputs</t>
        </is>
      </c>
      <c r="C540" s="4" t="inlineStr">
        <is>
          <t>A18</t>
        </is>
      </c>
      <c r="D540" s="4" t="inlineStr">
        <is>
          <t>2. FACILITY BUILD COSTS (per container build)</t>
        </is>
      </c>
      <c r="E540" s="4" t="inlineStr">
        <is>
          <t>2. FACILITY BUILD COSTS (per container build)</t>
        </is>
      </c>
      <c r="F540" s="4" t="inlineStr">
        <is>
          <t>GOC Bed Unit-Costing Model v2 — working original.xlsx</t>
        </is>
      </c>
    </row>
    <row r="541" ht="40" customHeight="1">
      <c r="A541" s="4" t="inlineStr">
        <is>
          <t>original:Inputs!A19</t>
        </is>
      </c>
      <c r="B541" s="4" t="inlineStr">
        <is>
          <t>Inputs</t>
        </is>
      </c>
      <c r="C541" s="4" t="inlineStr">
        <is>
          <t>A19</t>
        </is>
      </c>
      <c r="D541" s="4" t="inlineStr">
        <is>
          <t>Shredder</t>
        </is>
      </c>
      <c r="E541" s="4" t="inlineStr">
        <is>
          <t>Shredder</t>
        </is>
      </c>
      <c r="F541" s="4" t="inlineStr">
        <is>
          <t>GOC Bed Unit-Costing Model v2 — working original.xlsx</t>
        </is>
      </c>
    </row>
    <row r="542" ht="40" customHeight="1">
      <c r="A542" s="4" t="inlineStr">
        <is>
          <t>original:Inputs!B19</t>
        </is>
      </c>
      <c r="B542" s="4" t="inlineStr">
        <is>
          <t>Inputs</t>
        </is>
      </c>
      <c r="C542" s="4" t="inlineStr">
        <is>
          <t>B19</t>
        </is>
      </c>
      <c r="D542" s="4" t="n">
        <v>22500</v>
      </c>
      <c r="E542" s="4" t="n">
        <v>22500</v>
      </c>
      <c r="F542" s="4" t="inlineStr">
        <is>
          <t>GOC Bed Unit-Costing Model v2 — working original.xlsx</t>
        </is>
      </c>
    </row>
    <row r="543" ht="60" customHeight="1">
      <c r="A543" s="4" t="inlineStr">
        <is>
          <t>original:Inputs!C19</t>
        </is>
      </c>
      <c r="B543" s="4" t="inlineStr">
        <is>
          <t>Inputs</t>
        </is>
      </c>
      <c r="C543" s="4" t="inlineStr">
        <is>
          <t>C19</t>
        </is>
      </c>
      <c r="D543" s="4" t="inlineStr">
        <is>
          <t>Modelled range $15K-$30K (03-cost-model §D); midpoint default. Not firm-quoted.</t>
        </is>
      </c>
      <c r="E543" s="4" t="inlineStr">
        <is>
          <t>Modelled range $15K-$30K (03-cost-model §D); midpoint default. Not firm-quoted.</t>
        </is>
      </c>
      <c r="F543" s="4" t="inlineStr">
        <is>
          <t>GOC Bed Unit-Costing Model v2 — working original.xlsx</t>
        </is>
      </c>
    </row>
    <row r="544" ht="40" customHeight="1">
      <c r="A544" s="4" t="inlineStr">
        <is>
          <t>original:Inputs!A20</t>
        </is>
      </c>
      <c r="B544" s="4" t="inlineStr">
        <is>
          <t>Inputs</t>
        </is>
      </c>
      <c r="C544" s="4" t="inlineStr">
        <is>
          <t>A20</t>
        </is>
      </c>
      <c r="D544" s="4" t="inlineStr">
        <is>
          <t>Hot press line</t>
        </is>
      </c>
      <c r="E544" s="4" t="inlineStr">
        <is>
          <t>Hot press line</t>
        </is>
      </c>
      <c r="F544" s="4" t="inlineStr">
        <is>
          <t>GOC Bed Unit-Costing Model v2 — working original.xlsx</t>
        </is>
      </c>
    </row>
    <row r="545" ht="40" customHeight="1">
      <c r="A545" s="4" t="inlineStr">
        <is>
          <t>original:Inputs!B20</t>
        </is>
      </c>
      <c r="B545" s="4" t="inlineStr">
        <is>
          <t>Inputs</t>
        </is>
      </c>
      <c r="C545" s="4" t="inlineStr">
        <is>
          <t>B20</t>
        </is>
      </c>
      <c r="D545" s="4" t="n">
        <v>115000</v>
      </c>
      <c r="E545" s="4" t="n">
        <v>115000</v>
      </c>
      <c r="F545" s="4" t="inlineStr">
        <is>
          <t>GOC Bed Unit-Costing Model v2 — working original.xlsx</t>
        </is>
      </c>
    </row>
    <row r="546" ht="45" customHeight="1">
      <c r="A546" s="4" t="inlineStr">
        <is>
          <t>original:Inputs!C20</t>
        </is>
      </c>
      <c r="B546" s="4" t="inlineStr">
        <is>
          <t>Inputs</t>
        </is>
      </c>
      <c r="C546" s="4" t="inlineStr">
        <is>
          <t>C20</t>
        </is>
      </c>
      <c r="D546" s="4" t="inlineStr">
        <is>
          <t>Modelled range $80K-$150K; midpoint default. Not firm-quoted.</t>
        </is>
      </c>
      <c r="E546" s="4" t="inlineStr">
        <is>
          <t>Modelled range $80K-$150K; midpoint default. Not firm-quoted.</t>
        </is>
      </c>
      <c r="F546" s="4" t="inlineStr">
        <is>
          <t>GOC Bed Unit-Costing Model v2 — working original.xlsx</t>
        </is>
      </c>
    </row>
    <row r="547" ht="40" customHeight="1">
      <c r="A547" s="4" t="inlineStr">
        <is>
          <t>original:Inputs!A21</t>
        </is>
      </c>
      <c r="B547" s="4" t="inlineStr">
        <is>
          <t>Inputs</t>
        </is>
      </c>
      <c r="C547" s="4" t="inlineStr">
        <is>
          <t>A21</t>
        </is>
      </c>
      <c r="D547" s="4" t="inlineStr">
        <is>
          <t>CNC router</t>
        </is>
      </c>
      <c r="E547" s="4" t="inlineStr">
        <is>
          <t>CNC router</t>
        </is>
      </c>
      <c r="F547" s="4" t="inlineStr">
        <is>
          <t>GOC Bed Unit-Costing Model v2 — working original.xlsx</t>
        </is>
      </c>
    </row>
    <row r="548" ht="40" customHeight="1">
      <c r="A548" s="4" t="inlineStr">
        <is>
          <t>original:Inputs!B21</t>
        </is>
      </c>
      <c r="B548" s="4" t="inlineStr">
        <is>
          <t>Inputs</t>
        </is>
      </c>
      <c r="C548" s="4" t="inlineStr">
        <is>
          <t>B21</t>
        </is>
      </c>
      <c r="D548" s="4" t="n">
        <v>27500</v>
      </c>
      <c r="E548" s="4" t="n">
        <v>27500</v>
      </c>
      <c r="F548" s="4" t="inlineStr">
        <is>
          <t>GOC Bed Unit-Costing Model v2 — working original.xlsx</t>
        </is>
      </c>
    </row>
    <row r="549" ht="45" customHeight="1">
      <c r="A549" s="4" t="inlineStr">
        <is>
          <t>original:Inputs!C21</t>
        </is>
      </c>
      <c r="B549" s="4" t="inlineStr">
        <is>
          <t>Inputs</t>
        </is>
      </c>
      <c r="C549" s="4" t="inlineStr">
        <is>
          <t>C21</t>
        </is>
      </c>
      <c r="D549" s="4" t="inlineStr">
        <is>
          <t>Modelled range $15K-$40K; midpoint default. Not firm-quoted.</t>
        </is>
      </c>
      <c r="E549" s="4" t="inlineStr">
        <is>
          <t>Modelled range $15K-$40K; midpoint default. Not firm-quoted.</t>
        </is>
      </c>
      <c r="F549" s="4" t="inlineStr">
        <is>
          <t>GOC Bed Unit-Costing Model v2 — working original.xlsx</t>
        </is>
      </c>
    </row>
    <row r="550" ht="40" customHeight="1">
      <c r="A550" s="4" t="inlineStr">
        <is>
          <t>original:Inputs!A22</t>
        </is>
      </c>
      <c r="B550" s="4" t="inlineStr">
        <is>
          <t>Inputs</t>
        </is>
      </c>
      <c r="C550" s="4" t="inlineStr">
        <is>
          <t>A22</t>
        </is>
      </c>
      <c r="D550" s="4" t="inlineStr">
        <is>
          <t>Benches &amp; tooling</t>
        </is>
      </c>
      <c r="E550" s="4" t="inlineStr">
        <is>
          <t>Benches &amp; tooling</t>
        </is>
      </c>
      <c r="F550" s="4" t="inlineStr">
        <is>
          <t>GOC Bed Unit-Costing Model v2 — working original.xlsx</t>
        </is>
      </c>
    </row>
    <row r="551" ht="40" customHeight="1">
      <c r="A551" s="4" t="inlineStr">
        <is>
          <t>original:Inputs!B22</t>
        </is>
      </c>
      <c r="B551" s="4" t="inlineStr">
        <is>
          <t>Inputs</t>
        </is>
      </c>
      <c r="C551" s="4" t="inlineStr">
        <is>
          <t>B22</t>
        </is>
      </c>
      <c r="D551" s="4" t="n">
        <v>2000</v>
      </c>
      <c r="E551" s="4" t="n">
        <v>2000</v>
      </c>
      <c r="F551" s="4" t="inlineStr">
        <is>
          <t>GOC Bed Unit-Costing Model v2 — working original.xlsx</t>
        </is>
      </c>
    </row>
    <row r="552" ht="40" customHeight="1">
      <c r="A552" s="4" t="inlineStr">
        <is>
          <t>original:Inputs!C22</t>
        </is>
      </c>
      <c r="B552" s="4" t="inlineStr">
        <is>
          <t>Inputs</t>
        </is>
      </c>
      <c r="C552" s="4" t="inlineStr">
        <is>
          <t>C22</t>
        </is>
      </c>
      <c r="D552" s="4" t="inlineStr">
        <is>
          <t>Modelled (03-cost-model §D capex table).</t>
        </is>
      </c>
      <c r="E552" s="4" t="inlineStr">
        <is>
          <t>Modelled (03-cost-model §D capex table).</t>
        </is>
      </c>
      <c r="F552" s="4" t="inlineStr">
        <is>
          <t>GOC Bed Unit-Costing Model v2 — working original.xlsx</t>
        </is>
      </c>
    </row>
    <row r="553" ht="40" customHeight="1">
      <c r="A553" s="4" t="inlineStr">
        <is>
          <t>original:Inputs!A23</t>
        </is>
      </c>
      <c r="B553" s="4" t="inlineStr">
        <is>
          <t>Inputs</t>
        </is>
      </c>
      <c r="C553" s="4" t="inlineStr">
        <is>
          <t>A23</t>
        </is>
      </c>
      <c r="D553" s="4" t="inlineStr">
        <is>
          <t>Container shell &amp; fit-out</t>
        </is>
      </c>
      <c r="E553" s="4" t="inlineStr">
        <is>
          <t>Container shell &amp; fit-out</t>
        </is>
      </c>
      <c r="F553" s="4" t="inlineStr">
        <is>
          <t>GOC Bed Unit-Costing Model v2 — working original.xlsx</t>
        </is>
      </c>
    </row>
    <row r="554" ht="40" customHeight="1">
      <c r="A554" s="4" t="inlineStr">
        <is>
          <t>original:Inputs!B23</t>
        </is>
      </c>
      <c r="B554" s="4" t="inlineStr">
        <is>
          <t>Inputs</t>
        </is>
      </c>
      <c r="C554" s="4" t="inlineStr">
        <is>
          <t>B23</t>
        </is>
      </c>
      <c r="D554" s="4" t="inlineStr">
        <is>
          <t>='Capex Estimates'!D9</t>
        </is>
      </c>
      <c r="E554" s="4" t="n">
        <v>13950</v>
      </c>
      <c r="F554" s="4" t="inlineStr">
        <is>
          <t>GOC Bed Unit-Costing Model v2 — working original.xlsx</t>
        </is>
      </c>
    </row>
    <row r="555" ht="60" customHeight="1">
      <c r="A555" s="4" t="inlineStr">
        <is>
          <t>original:Inputs!C23</t>
        </is>
      </c>
      <c r="B555" s="4" t="inlineStr">
        <is>
          <t>Inputs</t>
        </is>
      </c>
      <c r="C555" s="4" t="inlineStr">
        <is>
          <t>C23</t>
        </is>
      </c>
      <c r="D555" s="4" t="inlineStr">
        <is>
          <t>Linked from Capex Estimates (Subtotal A). Type a value here to override.</t>
        </is>
      </c>
      <c r="E555" s="4" t="inlineStr">
        <is>
          <t>Linked from Capex Estimates (Subtotal A). Type a value here to override.</t>
        </is>
      </c>
      <c r="F555" s="4" t="inlineStr">
        <is>
          <t>GOC Bed Unit-Costing Model v2 — working original.xlsx</t>
        </is>
      </c>
    </row>
    <row r="556" ht="40" customHeight="1">
      <c r="A556" s="4" t="inlineStr">
        <is>
          <t>original:Inputs!A24</t>
        </is>
      </c>
      <c r="B556" s="4" t="inlineStr">
        <is>
          <t>Inputs</t>
        </is>
      </c>
      <c r="C556" s="4" t="inlineStr">
        <is>
          <t>A24</t>
        </is>
      </c>
      <c r="D556" s="4" t="inlineStr">
        <is>
          <t>Electrical &amp; safety</t>
        </is>
      </c>
      <c r="E556" s="4" t="inlineStr">
        <is>
          <t>Electrical &amp; safety</t>
        </is>
      </c>
      <c r="F556" s="4" t="inlineStr">
        <is>
          <t>GOC Bed Unit-Costing Model v2 — working original.xlsx</t>
        </is>
      </c>
    </row>
    <row r="557" ht="40" customHeight="1">
      <c r="A557" s="4" t="inlineStr">
        <is>
          <t>original:Inputs!B24</t>
        </is>
      </c>
      <c r="B557" s="4" t="inlineStr">
        <is>
          <t>Inputs</t>
        </is>
      </c>
      <c r="C557" s="4" t="inlineStr">
        <is>
          <t>B24</t>
        </is>
      </c>
      <c r="D557" s="4" t="inlineStr">
        <is>
          <t>='Capex Estimates'!D17</t>
        </is>
      </c>
      <c r="E557" s="4" t="n">
        <v>18500</v>
      </c>
      <c r="F557" s="4" t="inlineStr">
        <is>
          <t>GOC Bed Unit-Costing Model v2 — working original.xlsx</t>
        </is>
      </c>
    </row>
    <row r="558" ht="75" customHeight="1">
      <c r="A558" s="4" t="inlineStr">
        <is>
          <t>original:Inputs!C24</t>
        </is>
      </c>
      <c r="B558" s="4" t="inlineStr">
        <is>
          <t>Inputs</t>
        </is>
      </c>
      <c r="C558" s="4" t="inlineStr">
        <is>
          <t>C24</t>
        </is>
      </c>
      <c r="D558" s="4" t="inlineStr">
        <is>
          <t>Linked from Capex Estimates (Subtotal B). Includes 30kVA genset ($12,000 ex GST) per decision 2026-07-22.</t>
        </is>
      </c>
      <c r="E558" s="4" t="inlineStr">
        <is>
          <t>Linked from Capex Estimates (Subtotal B). Includes 30kVA genset ($12,000 ex GST) per decision 2026-07-22.</t>
        </is>
      </c>
      <c r="F558" s="4" t="inlineStr">
        <is>
          <t>GOC Bed Unit-Costing Model v2 — working original.xlsx</t>
        </is>
      </c>
    </row>
    <row r="559" ht="40" customHeight="1">
      <c r="A559" s="4" t="inlineStr">
        <is>
          <t>original:Inputs!A25</t>
        </is>
      </c>
      <c r="B559" s="4" t="inlineStr">
        <is>
          <t>Inputs</t>
        </is>
      </c>
      <c r="C559" s="4" t="inlineStr">
        <is>
          <t>A25</t>
        </is>
      </c>
      <c r="D559" s="4" t="inlineStr">
        <is>
          <t>Freight to site</t>
        </is>
      </c>
      <c r="E559" s="4" t="inlineStr">
        <is>
          <t>Freight to site</t>
        </is>
      </c>
      <c r="F559" s="4" t="inlineStr">
        <is>
          <t>GOC Bed Unit-Costing Model v2 — working original.xlsx</t>
        </is>
      </c>
    </row>
    <row r="560" ht="40" customHeight="1">
      <c r="A560" s="4" t="inlineStr">
        <is>
          <t>original:Inputs!B25</t>
        </is>
      </c>
      <c r="B560" s="4" t="inlineStr">
        <is>
          <t>Inputs</t>
        </is>
      </c>
      <c r="C560" s="4" t="inlineStr">
        <is>
          <t>B25</t>
        </is>
      </c>
      <c r="D560" s="4" t="inlineStr">
        <is>
          <t>='Capex Estimates'!D22</t>
        </is>
      </c>
      <c r="E560" s="4" t="n">
        <v>5000</v>
      </c>
      <c r="F560" s="4" t="inlineStr">
        <is>
          <t>GOC Bed Unit-Costing Model v2 — working original.xlsx</t>
        </is>
      </c>
    </row>
    <row r="561" ht="45" customHeight="1">
      <c r="A561" s="4" t="inlineStr">
        <is>
          <t>original:Inputs!C25</t>
        </is>
      </c>
      <c r="B561" s="4" t="inlineStr">
        <is>
          <t>Inputs</t>
        </is>
      </c>
      <c r="C561" s="4" t="inlineStr">
        <is>
          <t>C25</t>
        </is>
      </c>
      <c r="D561" s="4" t="inlineStr">
        <is>
          <t>Linked from Capex Estimates (Subtotal C), 2,500 km assumption.</t>
        </is>
      </c>
      <c r="E561" s="4" t="inlineStr">
        <is>
          <t>Linked from Capex Estimates (Subtotal C), 2,500 km assumption.</t>
        </is>
      </c>
      <c r="F561" s="4" t="inlineStr">
        <is>
          <t>GOC Bed Unit-Costing Model v2 — working original.xlsx</t>
        </is>
      </c>
    </row>
    <row r="562" ht="40" customHeight="1">
      <c r="A562" s="4" t="inlineStr">
        <is>
          <t>original:Inputs!A26</t>
        </is>
      </c>
      <c r="B562" s="4" t="inlineStr">
        <is>
          <t>Inputs</t>
        </is>
      </c>
      <c r="C562" s="4" t="inlineStr">
        <is>
          <t>A26</t>
        </is>
      </c>
      <c r="D562" s="4" t="inlineStr">
        <is>
          <t>Installation &amp; training</t>
        </is>
      </c>
      <c r="E562" s="4" t="inlineStr">
        <is>
          <t>Installation &amp; training</t>
        </is>
      </c>
      <c r="F562" s="4" t="inlineStr">
        <is>
          <t>GOC Bed Unit-Costing Model v2 — working original.xlsx</t>
        </is>
      </c>
    </row>
    <row r="563" ht="40" customHeight="1">
      <c r="A563" s="4" t="inlineStr">
        <is>
          <t>original:Inputs!B26</t>
        </is>
      </c>
      <c r="B563" s="4" t="inlineStr">
        <is>
          <t>Inputs</t>
        </is>
      </c>
      <c r="C563" s="4" t="inlineStr">
        <is>
          <t>B26</t>
        </is>
      </c>
      <c r="D563" s="4" t="inlineStr">
        <is>
          <t>='Capex Estimates'!D25</t>
        </is>
      </c>
      <c r="E563" s="4" t="n">
        <v>3000</v>
      </c>
      <c r="F563" s="4" t="inlineStr">
        <is>
          <t>GOC Bed Unit-Costing Model v2 — working original.xlsx</t>
        </is>
      </c>
    </row>
    <row r="564" ht="60" customHeight="1">
      <c r="A564" s="4" t="inlineStr">
        <is>
          <t>original:Inputs!C26</t>
        </is>
      </c>
      <c r="B564" s="4" t="inlineStr">
        <is>
          <t>Inputs</t>
        </is>
      </c>
      <c r="C564" s="4" t="inlineStr">
        <is>
          <t>C26</t>
        </is>
      </c>
      <c r="D564" s="4" t="inlineStr">
        <is>
          <t>Linked from Capex Estimates (D25) — $3,000/site in-house, per Matt 2026-07-22.</t>
        </is>
      </c>
      <c r="E564" s="4" t="inlineStr">
        <is>
          <t>Linked from Capex Estimates (D25) — $3,000/site in-house, per Matt 2026-07-22.</t>
        </is>
      </c>
      <c r="F564" s="4" t="inlineStr">
        <is>
          <t>GOC Bed Unit-Costing Model v2 — working original.xlsx</t>
        </is>
      </c>
    </row>
    <row r="565" ht="40" customHeight="1">
      <c r="A565" s="4" t="inlineStr">
        <is>
          <t>original:Inputs!A27</t>
        </is>
      </c>
      <c r="B565" s="4" t="inlineStr">
        <is>
          <t>Inputs</t>
        </is>
      </c>
      <c r="C565" s="4" t="inlineStr">
        <is>
          <t>A27</t>
        </is>
      </c>
      <c r="D565" s="4" t="inlineStr">
        <is>
          <t>TOTAL FACILITY BUILD COST</t>
        </is>
      </c>
      <c r="E565" s="4" t="inlineStr">
        <is>
          <t>TOTAL FACILITY BUILD COST</t>
        </is>
      </c>
      <c r="F565" s="4" t="inlineStr">
        <is>
          <t>GOC Bed Unit-Costing Model v2 — working original.xlsx</t>
        </is>
      </c>
    </row>
    <row r="566" ht="40" customHeight="1">
      <c r="A566" s="4" t="inlineStr">
        <is>
          <t>original:Inputs!B27</t>
        </is>
      </c>
      <c r="B566" s="4" t="inlineStr">
        <is>
          <t>Inputs</t>
        </is>
      </c>
      <c r="C566" s="4" t="inlineStr">
        <is>
          <t>B27</t>
        </is>
      </c>
      <c r="D566" s="4" t="inlineStr">
        <is>
          <t>=SUM(B19:B26)</t>
        </is>
      </c>
      <c r="E566" s="4" t="n">
        <v>207450</v>
      </c>
      <c r="F566" s="4" t="inlineStr">
        <is>
          <t>GOC Bed Unit-Costing Model v2 — working original.xlsx</t>
        </is>
      </c>
    </row>
    <row r="567" ht="90" customHeight="1">
      <c r="A567" s="4" t="inlineStr">
        <is>
          <t>original:Inputs!C27</t>
        </is>
      </c>
      <c r="B567" s="4" t="inlineStr">
        <is>
          <t>Inputs</t>
        </is>
      </c>
      <c r="C567" s="4" t="inlineStr">
        <is>
          <t>C27</t>
        </is>
      </c>
      <c r="D567" s="4" t="inlineStr">
        <is>
          <t>Charged in full in the year each container is built. Sunshine Coast facility already invested ($110,046) is NOT re-charged.</t>
        </is>
      </c>
      <c r="E567" s="4" t="inlineStr">
        <is>
          <t>Charged in full in the year each container is built. Sunshine Coast facility already invested ($110,046) is NOT re-charged.</t>
        </is>
      </c>
      <c r="F567" s="4" t="inlineStr">
        <is>
          <t>GOC Bed Unit-Costing Model v2 — working original.xlsx</t>
        </is>
      </c>
    </row>
    <row r="568" ht="40" customHeight="1">
      <c r="A568" s="4" t="inlineStr">
        <is>
          <t>original:Inputs!A29</t>
        </is>
      </c>
      <c r="B568" s="4" t="inlineStr">
        <is>
          <t>Inputs</t>
        </is>
      </c>
      <c r="C568" s="4" t="inlineStr">
        <is>
          <t>A29</t>
        </is>
      </c>
      <c r="D568" s="4" t="inlineStr">
        <is>
          <t>3. OVERHEAD COSTS PER YEAR</t>
        </is>
      </c>
      <c r="E568" s="4" t="inlineStr">
        <is>
          <t>3. OVERHEAD COSTS PER YEAR</t>
        </is>
      </c>
      <c r="F568" s="4" t="inlineStr">
        <is>
          <t>GOC Bed Unit-Costing Model v2 — working original.xlsx</t>
        </is>
      </c>
    </row>
    <row r="569" ht="40" customHeight="1">
      <c r="A569" s="4" t="inlineStr">
        <is>
          <t>original:Inputs!A30</t>
        </is>
      </c>
      <c r="B569" s="4" t="inlineStr">
        <is>
          <t>Inputs</t>
        </is>
      </c>
      <c r="C569" s="4" t="inlineStr">
        <is>
          <t>A30</t>
        </is>
      </c>
      <c r="D569" s="4" t="inlineStr">
        <is>
          <t>Production lead days / yr</t>
        </is>
      </c>
      <c r="E569" s="4" t="inlineStr">
        <is>
          <t>Production lead days / yr</t>
        </is>
      </c>
      <c r="F569" s="4" t="inlineStr">
        <is>
          <t>GOC Bed Unit-Costing Model v2 — working original.xlsx</t>
        </is>
      </c>
    </row>
    <row r="570" ht="40" customHeight="1">
      <c r="A570" s="4" t="inlineStr">
        <is>
          <t>original:Inputs!B30</t>
        </is>
      </c>
      <c r="B570" s="4" t="inlineStr">
        <is>
          <t>Inputs</t>
        </is>
      </c>
      <c r="C570" s="4" t="inlineStr">
        <is>
          <t>B30</t>
        </is>
      </c>
      <c r="D570" s="4" t="n">
        <v>30</v>
      </c>
      <c r="E570" s="4" t="n">
        <v>30</v>
      </c>
      <c r="F570" s="4" t="inlineStr">
        <is>
          <t>GOC Bed Unit-Costing Model v2 — working original.xlsx</t>
        </is>
      </c>
    </row>
    <row r="571" ht="45" customHeight="1">
      <c r="A571" s="4" t="inlineStr">
        <is>
          <t>original:Inputs!C30</t>
        </is>
      </c>
      <c r="B571" s="4" t="inlineStr">
        <is>
          <t>Inputs</t>
        </is>
      </c>
      <c r="C571" s="4" t="inlineStr">
        <is>
          <t>C30</t>
        </is>
      </c>
      <c r="D571" s="4" t="inlineStr">
        <is>
          <t>Founder production time; 30 days locked basis 2026-05-29.</t>
        </is>
      </c>
      <c r="E571" s="4" t="inlineStr">
        <is>
          <t>Founder production time; 30 days locked basis 2026-05-29.</t>
        </is>
      </c>
      <c r="F571" s="4" t="inlineStr">
        <is>
          <t>GOC Bed Unit-Costing Model v2 — working original.xlsx</t>
        </is>
      </c>
    </row>
    <row r="572" ht="40" customHeight="1">
      <c r="A572" s="4" t="inlineStr">
        <is>
          <t>original:Inputs!A31</t>
        </is>
      </c>
      <c r="B572" s="4" t="inlineStr">
        <is>
          <t>Inputs</t>
        </is>
      </c>
      <c r="C572" s="4" t="inlineStr">
        <is>
          <t>A31</t>
        </is>
      </c>
      <c r="D572" s="4" t="inlineStr">
        <is>
          <t>Production lead daily rate</t>
        </is>
      </c>
      <c r="E572" s="4" t="inlineStr">
        <is>
          <t>Production lead daily rate</t>
        </is>
      </c>
      <c r="F572" s="4" t="inlineStr">
        <is>
          <t>GOC Bed Unit-Costing Model v2 — working original.xlsx</t>
        </is>
      </c>
    </row>
    <row r="573" ht="40" customHeight="1">
      <c r="A573" s="4" t="inlineStr">
        <is>
          <t>original:Inputs!B31</t>
        </is>
      </c>
      <c r="B573" s="4" t="inlineStr">
        <is>
          <t>Inputs</t>
        </is>
      </c>
      <c r="C573" s="4" t="inlineStr">
        <is>
          <t>B31</t>
        </is>
      </c>
      <c r="D573" s="4" t="n">
        <v>560</v>
      </c>
      <c r="E573" s="4" t="n">
        <v>560</v>
      </c>
      <c r="F573" s="4" t="inlineStr">
        <is>
          <t>GOC Bed Unit-Costing Model v2 — working original.xlsx</t>
        </is>
      </c>
    </row>
    <row r="574" ht="60" customHeight="1">
      <c r="A574" s="4" t="inlineStr">
        <is>
          <t>original:Inputs!C31</t>
        </is>
      </c>
      <c r="B574" s="4" t="inlineStr">
        <is>
          <t>Inputs</t>
        </is>
      </c>
      <c r="C574" s="4" t="inlineStr">
        <is>
          <t>C31</t>
        </is>
      </c>
      <c r="D574" s="4" t="inlineStr">
        <is>
          <t>Founder day-rate $560 (fair-market $140K/yr basis, LOCKED 2026-05-29).</t>
        </is>
      </c>
      <c r="E574" s="4" t="inlineStr">
        <is>
          <t>Founder day-rate $560 (fair-market $140K/yr basis, LOCKED 2026-05-29).</t>
        </is>
      </c>
      <c r="F574" s="4" t="inlineStr">
        <is>
          <t>GOC Bed Unit-Costing Model v2 — working original.xlsx</t>
        </is>
      </c>
    </row>
    <row r="575" ht="40" customHeight="1">
      <c r="A575" s="4" t="inlineStr">
        <is>
          <t>original:Inputs!A32</t>
        </is>
      </c>
      <c r="B575" s="4" t="inlineStr">
        <is>
          <t>Inputs</t>
        </is>
      </c>
      <c r="C575" s="4" t="inlineStr">
        <is>
          <t>A32</t>
        </is>
      </c>
      <c r="D575" s="4" t="inlineStr">
        <is>
          <t>Production lead cost p.a.</t>
        </is>
      </c>
      <c r="E575" s="4" t="inlineStr">
        <is>
          <t>Production lead cost p.a.</t>
        </is>
      </c>
      <c r="F575" s="4" t="inlineStr">
        <is>
          <t>GOC Bed Unit-Costing Model v2 — working original.xlsx</t>
        </is>
      </c>
    </row>
    <row r="576" ht="40" customHeight="1">
      <c r="A576" s="4" t="inlineStr">
        <is>
          <t>original:Inputs!B32</t>
        </is>
      </c>
      <c r="B576" s="4" t="inlineStr">
        <is>
          <t>Inputs</t>
        </is>
      </c>
      <c r="C576" s="4" t="inlineStr">
        <is>
          <t>B32</t>
        </is>
      </c>
      <c r="D576" s="4" t="inlineStr">
        <is>
          <t>=B30*B31</t>
        </is>
      </c>
      <c r="E576" s="4" t="n">
        <v>16800</v>
      </c>
      <c r="F576" s="4" t="inlineStr">
        <is>
          <t>GOC Bed Unit-Costing Model v2 — working original.xlsx</t>
        </is>
      </c>
    </row>
    <row r="577" ht="40" customHeight="1">
      <c r="A577" s="4" t="inlineStr">
        <is>
          <t>original:Inputs!C32</t>
        </is>
      </c>
      <c r="B577" s="4" t="inlineStr">
        <is>
          <t>Inputs</t>
        </is>
      </c>
      <c r="C577" s="4" t="inlineStr">
        <is>
          <t>C32</t>
        </is>
      </c>
      <c r="D577" s="4" t="inlineStr">
        <is>
          <t>Days x rate.</t>
        </is>
      </c>
      <c r="E577" s="4" t="inlineStr">
        <is>
          <t>Days x rate.</t>
        </is>
      </c>
      <c r="F577" s="4" t="inlineStr">
        <is>
          <t>GOC Bed Unit-Costing Model v2 — working original.xlsx</t>
        </is>
      </c>
    </row>
    <row r="578" ht="40" customHeight="1">
      <c r="A578" s="4" t="inlineStr">
        <is>
          <t>original:Inputs!A33</t>
        </is>
      </c>
      <c r="B578" s="4" t="inlineStr">
        <is>
          <t>Inputs</t>
        </is>
      </c>
      <c r="C578" s="4" t="inlineStr">
        <is>
          <t>A33</t>
        </is>
      </c>
      <c r="D578" s="4" t="inlineStr">
        <is>
          <t>Admin per year</t>
        </is>
      </c>
      <c r="E578" s="4" t="inlineStr">
        <is>
          <t>Admin per year</t>
        </is>
      </c>
      <c r="F578" s="4" t="inlineStr">
        <is>
          <t>GOC Bed Unit-Costing Model v2 — working original.xlsx</t>
        </is>
      </c>
    </row>
    <row r="579" ht="40" customHeight="1">
      <c r="A579" s="4" t="inlineStr">
        <is>
          <t>original:Inputs!B33</t>
        </is>
      </c>
      <c r="B579" s="4" t="inlineStr">
        <is>
          <t>Inputs</t>
        </is>
      </c>
      <c r="C579" s="4" t="inlineStr">
        <is>
          <t>B33</t>
        </is>
      </c>
      <c r="D579" s="4" t="n">
        <v>14700</v>
      </c>
      <c r="E579" s="4" t="n">
        <v>14700</v>
      </c>
      <c r="F579" s="4" t="inlineStr">
        <is>
          <t>GOC Bed Unit-Costing Model v2 — working original.xlsx</t>
        </is>
      </c>
    </row>
    <row r="580" ht="40" customHeight="1">
      <c r="A580" s="4" t="inlineStr">
        <is>
          <t>original:Inputs!C33</t>
        </is>
      </c>
      <c r="B580" s="4" t="inlineStr">
        <is>
          <t>Inputs</t>
        </is>
      </c>
      <c r="C580" s="4" t="inlineStr">
        <is>
          <t>C33</t>
        </is>
      </c>
      <c r="D580" s="4" t="inlineStr">
        <is>
          <t>v6 fixed block (04-verified-financials).</t>
        </is>
      </c>
      <c r="E580" s="4" t="inlineStr">
        <is>
          <t>v6 fixed block (04-verified-financials).</t>
        </is>
      </c>
      <c r="F580" s="4" t="inlineStr">
        <is>
          <t>GOC Bed Unit-Costing Model v2 — working original.xlsx</t>
        </is>
      </c>
    </row>
    <row r="581" ht="40" customHeight="1">
      <c r="A581" s="4" t="inlineStr">
        <is>
          <t>original:Inputs!A34</t>
        </is>
      </c>
      <c r="B581" s="4" t="inlineStr">
        <is>
          <t>Inputs</t>
        </is>
      </c>
      <c r="C581" s="4" t="inlineStr">
        <is>
          <t>A34</t>
        </is>
      </c>
      <c r="D581" s="4" t="inlineStr">
        <is>
          <t>Field travel per year</t>
        </is>
      </c>
      <c r="E581" s="4" t="inlineStr">
        <is>
          <t>Field travel per year</t>
        </is>
      </c>
      <c r="F581" s="4" t="inlineStr">
        <is>
          <t>GOC Bed Unit-Costing Model v2 — working original.xlsx</t>
        </is>
      </c>
    </row>
    <row r="582" ht="40" customHeight="1">
      <c r="A582" s="4" t="inlineStr">
        <is>
          <t>original:Inputs!B34</t>
        </is>
      </c>
      <c r="B582" s="4" t="inlineStr">
        <is>
          <t>Inputs</t>
        </is>
      </c>
      <c r="C582" s="4" t="inlineStr">
        <is>
          <t>B34</t>
        </is>
      </c>
      <c r="D582" s="4" t="n">
        <v>51000</v>
      </c>
      <c r="E582" s="4" t="n">
        <v>51000</v>
      </c>
      <c r="F582" s="4" t="inlineStr">
        <is>
          <t>GOC Bed Unit-Costing Model v2 — working original.xlsx</t>
        </is>
      </c>
    </row>
    <row r="583" ht="40" customHeight="1">
      <c r="A583" s="4" t="inlineStr">
        <is>
          <t>original:Inputs!C34</t>
        </is>
      </c>
      <c r="B583" s="4" t="inlineStr">
        <is>
          <t>Inputs</t>
        </is>
      </c>
      <c r="C583" s="4" t="inlineStr">
        <is>
          <t>C34</t>
        </is>
      </c>
      <c r="D583" s="4" t="inlineStr">
        <is>
          <t>v6 fixed block.</t>
        </is>
      </c>
      <c r="E583" s="4" t="inlineStr">
        <is>
          <t>v6 fixed block.</t>
        </is>
      </c>
      <c r="F583" s="4" t="inlineStr">
        <is>
          <t>GOC Bed Unit-Costing Model v2 — working original.xlsx</t>
        </is>
      </c>
    </row>
    <row r="584" ht="40" customHeight="1">
      <c r="A584" s="4" t="inlineStr">
        <is>
          <t>original:Inputs!A35</t>
        </is>
      </c>
      <c r="B584" s="4" t="inlineStr">
        <is>
          <t>Inputs</t>
        </is>
      </c>
      <c r="C584" s="4" t="inlineStr">
        <is>
          <t>A35</t>
        </is>
      </c>
      <c r="D584" s="4" t="inlineStr">
        <is>
          <t>Facility rent (Goods share)</t>
        </is>
      </c>
      <c r="E584" s="4" t="inlineStr">
        <is>
          <t>Facility rent (Goods share)</t>
        </is>
      </c>
      <c r="F584" s="4" t="inlineStr">
        <is>
          <t>GOC Bed Unit-Costing Model v2 — working original.xlsx</t>
        </is>
      </c>
    </row>
    <row r="585" ht="40" customHeight="1">
      <c r="A585" s="4" t="inlineStr">
        <is>
          <t>original:Inputs!B35</t>
        </is>
      </c>
      <c r="B585" s="4" t="inlineStr">
        <is>
          <t>Inputs</t>
        </is>
      </c>
      <c r="C585" s="4" t="inlineStr">
        <is>
          <t>B35</t>
        </is>
      </c>
      <c r="D585" s="4" t="n">
        <v>27000</v>
      </c>
      <c r="E585" s="4" t="n">
        <v>27000</v>
      </c>
      <c r="F585" s="4" t="inlineStr">
        <is>
          <t>GOC Bed Unit-Costing Model v2 — working original.xlsx</t>
        </is>
      </c>
    </row>
    <row r="586" ht="75" customHeight="1">
      <c r="A586" s="4" t="inlineStr">
        <is>
          <t>original:Inputs!C35</t>
        </is>
      </c>
      <c r="B586" s="4" t="inlineStr">
        <is>
          <t>Inputs</t>
        </is>
      </c>
      <c r="C586" s="4" t="inlineStr">
        <is>
          <t>C35</t>
        </is>
      </c>
      <c r="D586" s="4" t="inlineStr">
        <is>
          <t>ADDED from v6 fixed block (Kirmos, 50% to beds) so total matches source $109,500. Set to 0 to exclude.</t>
        </is>
      </c>
      <c r="E586" s="4" t="inlineStr">
        <is>
          <t>ADDED from v6 fixed block (Kirmos, 50% to beds) so total matches source $109,500. Set to 0 to exclude.</t>
        </is>
      </c>
      <c r="F586" s="4" t="inlineStr">
        <is>
          <t>GOC Bed Unit-Costing Model v2 — working original.xlsx</t>
        </is>
      </c>
    </row>
    <row r="587" ht="40" customHeight="1">
      <c r="A587" s="4" t="inlineStr">
        <is>
          <t>original:Inputs!A36</t>
        </is>
      </c>
      <c r="B587" s="4" t="inlineStr">
        <is>
          <t>Inputs</t>
        </is>
      </c>
      <c r="C587" s="4" t="inlineStr">
        <is>
          <t>A36</t>
        </is>
      </c>
      <c r="D587" s="4" t="inlineStr">
        <is>
          <t>TOTAL OVERHEADS / YR</t>
        </is>
      </c>
      <c r="E587" s="4" t="inlineStr">
        <is>
          <t>TOTAL OVERHEADS / YR</t>
        </is>
      </c>
      <c r="F587" s="4" t="inlineStr">
        <is>
          <t>GOC Bed Unit-Costing Model v2 — working original.xlsx</t>
        </is>
      </c>
    </row>
    <row r="588" ht="40" customHeight="1">
      <c r="A588" s="4" t="inlineStr">
        <is>
          <t>original:Inputs!B36</t>
        </is>
      </c>
      <c r="B588" s="4" t="inlineStr">
        <is>
          <t>Inputs</t>
        </is>
      </c>
      <c r="C588" s="4" t="inlineStr">
        <is>
          <t>B36</t>
        </is>
      </c>
      <c r="D588" s="4" t="inlineStr">
        <is>
          <t>=B32+B33+B34+B35</t>
        </is>
      </c>
      <c r="E588" s="4" t="n">
        <v>109500</v>
      </c>
      <c r="F588" s="4" t="inlineStr">
        <is>
          <t>GOC Bed Unit-Costing Model v2 — working original.xlsx</t>
        </is>
      </c>
    </row>
    <row r="589" ht="40" customHeight="1">
      <c r="A589" s="4" t="inlineStr">
        <is>
          <t>original:Inputs!A37</t>
        </is>
      </c>
      <c r="B589" s="4" t="inlineStr">
        <is>
          <t>Inputs</t>
        </is>
      </c>
      <c r="C589" s="4" t="inlineStr">
        <is>
          <t>A37</t>
        </is>
      </c>
      <c r="D589" s="4" t="inlineStr">
        <is>
          <t>Equipment maintenance % of capex /yr</t>
        </is>
      </c>
      <c r="E589" s="4" t="inlineStr">
        <is>
          <t>Equipment maintenance % of capex /yr</t>
        </is>
      </c>
      <c r="F589" s="4" t="inlineStr">
        <is>
          <t>GOC Bed Unit-Costing Model v2 — working original.xlsx</t>
        </is>
      </c>
    </row>
    <row r="590" ht="40" customHeight="1">
      <c r="A590" s="4" t="inlineStr">
        <is>
          <t>original:Inputs!B37</t>
        </is>
      </c>
      <c r="B590" s="4" t="inlineStr">
        <is>
          <t>Inputs</t>
        </is>
      </c>
      <c r="C590" s="4" t="inlineStr">
        <is>
          <t>B37</t>
        </is>
      </c>
      <c r="D590" s="4" t="n">
        <v>0.05</v>
      </c>
      <c r="E590" s="4" t="n">
        <v>0.05</v>
      </c>
      <c r="F590" s="4" t="inlineStr">
        <is>
          <t>GOC Bed Unit-Costing Model v2 — working original.xlsx</t>
        </is>
      </c>
    </row>
    <row r="591" ht="255" customHeight="1">
      <c r="A591" s="4" t="inlineStr">
        <is>
          <t>original:Inputs!C37</t>
        </is>
      </c>
      <c r="B591" s="4" t="inlineStr">
        <is>
          <t>Inputs</t>
        </is>
      </c>
      <c r="C591" s="4" t="inlineStr">
        <is>
          <t>C37</t>
        </is>
      </c>
      <c r="D591" s="4" t="inlineStr">
        <is>
          <t>GoC placeholder per Q&amp;A Q9 (3-5% of EQUIPMENT capex pending vendor quotes; Matt selected 5%, 2026-07-22). Applied PER FACILITY (factories + containers) to the equipment subtotal (shredder+press+CNC+benches = $167K -&gt; $8,350/facility/yr). Covers blades, filters, CNC bits, software licences (EnRoute CAM), annual service. NOT in the flat overhead total above - it scales in the Projection.</t>
        </is>
      </c>
      <c r="E591" s="4" t="inlineStr">
        <is>
          <t>GoC placeholder per Q&amp;A Q9 (3-5% of EQUIPMENT capex pending vendor quotes; Matt selected 5%, 2026-07-22). Applied PER FACILITY (factories + containers) to the equipment subtotal (shredder+press+CNC+benches = $167K -&gt; $8,350/facility/yr). Covers blades, filters, CNC bits, software licences (EnRoute CAM), annual service. NOT in the flat overhead total above - it scales in the Projection.</t>
        </is>
      </c>
      <c r="F591" s="4" t="inlineStr">
        <is>
          <t>GOC Bed Unit-Costing Model v2 — working original.xlsx</t>
        </is>
      </c>
    </row>
    <row r="592" ht="40" customHeight="1">
      <c r="A592" s="4" t="inlineStr">
        <is>
          <t>original:Inputs!A38</t>
        </is>
      </c>
      <c r="B592" s="4" t="inlineStr">
        <is>
          <t>Inputs</t>
        </is>
      </c>
      <c r="C592" s="4" t="inlineStr">
        <is>
          <t>A38</t>
        </is>
      </c>
      <c r="D592" s="4" t="inlineStr">
        <is>
          <t>4. PRODUCTION &amp; SALES</t>
        </is>
      </c>
      <c r="E592" s="4" t="inlineStr">
        <is>
          <t>4. PRODUCTION &amp; SALES</t>
        </is>
      </c>
      <c r="F592" s="4" t="inlineStr">
        <is>
          <t>GOC Bed Unit-Costing Model v2 — working original.xlsx</t>
        </is>
      </c>
    </row>
    <row r="593" ht="40" customHeight="1">
      <c r="A593" s="4" t="inlineStr">
        <is>
          <t>original:Inputs!A39</t>
        </is>
      </c>
      <c r="B593" s="4" t="inlineStr">
        <is>
          <t>Inputs</t>
        </is>
      </c>
      <c r="C593" s="4" t="inlineStr">
        <is>
          <t>A39</t>
        </is>
      </c>
      <c r="D593" s="4" t="inlineStr">
        <is>
          <t>Selling price per bed</t>
        </is>
      </c>
      <c r="E593" s="4" t="inlineStr">
        <is>
          <t>Selling price per bed</t>
        </is>
      </c>
      <c r="F593" s="4" t="inlineStr">
        <is>
          <t>GOC Bed Unit-Costing Model v2 — working original.xlsx</t>
        </is>
      </c>
    </row>
    <row r="594" ht="40" customHeight="1">
      <c r="A594" s="4" t="inlineStr">
        <is>
          <t>original:Inputs!B39</t>
        </is>
      </c>
      <c r="B594" s="4" t="inlineStr">
        <is>
          <t>Inputs</t>
        </is>
      </c>
      <c r="C594" s="4" t="inlineStr">
        <is>
          <t>B39</t>
        </is>
      </c>
      <c r="D594" s="4" t="n">
        <v>750</v>
      </c>
      <c r="E594" s="4" t="n">
        <v>750</v>
      </c>
      <c r="F594" s="4" t="inlineStr">
        <is>
          <t>GOC Bed Unit-Costing Model v2 — working original.xlsx</t>
        </is>
      </c>
    </row>
    <row r="595" ht="60" customHeight="1">
      <c r="A595" s="4" t="inlineStr">
        <is>
          <t>original:Inputs!C39</t>
        </is>
      </c>
      <c r="B595" s="4" t="inlineStr">
        <is>
          <t>Inputs</t>
        </is>
      </c>
      <c r="C595" s="4" t="inlineStr">
        <is>
          <t>C39</t>
        </is>
      </c>
      <c r="D595" s="4" t="inlineStr">
        <is>
          <t>Verified — shop stretch-bed-single, held flat in v6 model. Same price across all paths.</t>
        </is>
      </c>
      <c r="E595" s="4" t="inlineStr">
        <is>
          <t>Verified — shop stretch-bed-single, held flat in v6 model. Same price across all paths.</t>
        </is>
      </c>
      <c r="F595" s="4" t="inlineStr">
        <is>
          <t>GOC Bed Unit-Costing Model v2 — working original.xlsx</t>
        </is>
      </c>
    </row>
    <row r="596" ht="40" customHeight="1">
      <c r="A596" s="4" t="inlineStr">
        <is>
          <t>original:Inputs!A40</t>
        </is>
      </c>
      <c r="B596" s="4" t="inlineStr">
        <is>
          <t>Inputs</t>
        </is>
      </c>
      <c r="C596" s="4" t="inlineStr">
        <is>
          <t>A40</t>
        </is>
      </c>
      <c r="D596" s="4" t="inlineStr">
        <is>
          <t>Number of factories</t>
        </is>
      </c>
      <c r="E596" s="4" t="inlineStr">
        <is>
          <t>Number of factories</t>
        </is>
      </c>
      <c r="F596" s="4" t="inlineStr">
        <is>
          <t>GOC Bed Unit-Costing Model v2 — working original.xlsx</t>
        </is>
      </c>
    </row>
    <row r="597" ht="40" customHeight="1">
      <c r="A597" s="4" t="inlineStr">
        <is>
          <t>original:Inputs!B40</t>
        </is>
      </c>
      <c r="B597" s="4" t="inlineStr">
        <is>
          <t>Inputs</t>
        </is>
      </c>
      <c r="C597" s="4" t="inlineStr">
        <is>
          <t>B40</t>
        </is>
      </c>
      <c r="D597" s="4" t="n">
        <v>1</v>
      </c>
      <c r="E597" s="4" t="n">
        <v>1</v>
      </c>
      <c r="F597" s="4" t="inlineStr">
        <is>
          <t>GOC Bed Unit-Costing Model v2 — working original.xlsx</t>
        </is>
      </c>
    </row>
    <row r="598" ht="60" customHeight="1">
      <c r="A598" s="4" t="inlineStr">
        <is>
          <t>original:Inputs!C40</t>
        </is>
      </c>
      <c r="B598" s="4" t="inlineStr">
        <is>
          <t>Inputs</t>
        </is>
      </c>
      <c r="C598" s="4" t="inlineStr">
        <is>
          <t>C40</t>
        </is>
      </c>
      <c r="D598" s="4" t="inlineStr">
        <is>
          <t>Sunshine Coast facility; produces Factory-path beds. Constant across projection.</t>
        </is>
      </c>
      <c r="E598" s="4" t="inlineStr">
        <is>
          <t>Sunshine Coast facility; produces Factory-path beds. Constant across projection.</t>
        </is>
      </c>
      <c r="F598" s="4" t="inlineStr">
        <is>
          <t>GOC Bed Unit-Costing Model v2 — working original.xlsx</t>
        </is>
      </c>
    </row>
    <row r="599" ht="40" customHeight="1">
      <c r="A599" s="4" t="inlineStr">
        <is>
          <t>original:Inputs!A41</t>
        </is>
      </c>
      <c r="B599" s="4" t="inlineStr">
        <is>
          <t>Inputs</t>
        </is>
      </c>
      <c r="C599" s="4" t="inlineStr">
        <is>
          <t>A41</t>
        </is>
      </c>
      <c r="D599" s="4" t="inlineStr">
        <is>
          <t>Starting containers (Year 1)</t>
        </is>
      </c>
      <c r="E599" s="4" t="inlineStr">
        <is>
          <t>Starting containers (Year 1)</t>
        </is>
      </c>
      <c r="F599" s="4" t="inlineStr">
        <is>
          <t>GOC Bed Unit-Costing Model v2 — working original.xlsx</t>
        </is>
      </c>
    </row>
    <row r="600" ht="40" customHeight="1">
      <c r="A600" s="4" t="inlineStr">
        <is>
          <t>original:Inputs!B41</t>
        </is>
      </c>
      <c r="B600" s="4" t="inlineStr">
        <is>
          <t>Inputs</t>
        </is>
      </c>
      <c r="C600" s="4" t="inlineStr">
        <is>
          <t>B41</t>
        </is>
      </c>
      <c r="D600" s="4" t="n">
        <v>1</v>
      </c>
      <c r="E600" s="4" t="n">
        <v>1</v>
      </c>
      <c r="F600" s="4" t="inlineStr">
        <is>
          <t>GOC Bed Unit-Costing Model v2 — working original.xlsx</t>
        </is>
      </c>
    </row>
    <row r="601" ht="90" customHeight="1">
      <c r="A601" s="4" t="inlineStr">
        <is>
          <t>original:Inputs!C41</t>
        </is>
      </c>
      <c r="B601" s="4" t="inlineStr">
        <is>
          <t>Inputs</t>
        </is>
      </c>
      <c r="C601" s="4" t="inlineStr">
        <is>
          <t>C41</t>
        </is>
      </c>
      <c r="D601" s="4" t="inlineStr">
        <is>
          <t>Built Year 1, funded by capital stack; containers produce Community-path beds. Further containers auto-build from surplus.</t>
        </is>
      </c>
      <c r="E601" s="4" t="inlineStr">
        <is>
          <t>Built Year 1, funded by capital stack; containers produce Community-path beds. Further containers auto-build from surplus.</t>
        </is>
      </c>
      <c r="F601" s="4" t="inlineStr">
        <is>
          <t>GOC Bed Unit-Costing Model v2 — working original.xlsx</t>
        </is>
      </c>
    </row>
    <row r="602" ht="40" customHeight="1">
      <c r="A602" s="4" t="inlineStr">
        <is>
          <t>original:Inputs!A42</t>
        </is>
      </c>
      <c r="B602" s="4" t="inlineStr">
        <is>
          <t>Inputs</t>
        </is>
      </c>
      <c r="C602" s="4" t="inlineStr">
        <is>
          <t>A42</t>
        </is>
      </c>
      <c r="D602" s="4" t="inlineStr">
        <is>
          <t>Beds / yr per FACTORY</t>
        </is>
      </c>
      <c r="E602" s="4" t="inlineStr">
        <is>
          <t>Beds / yr per FACTORY</t>
        </is>
      </c>
      <c r="F602" s="4" t="inlineStr">
        <is>
          <t>GOC Bed Unit-Costing Model v2 — working original.xlsx</t>
        </is>
      </c>
    </row>
    <row r="603" ht="40" customHeight="1">
      <c r="A603" s="4" t="inlineStr">
        <is>
          <t>original:Inputs!B42</t>
        </is>
      </c>
      <c r="B603" s="4" t="inlineStr">
        <is>
          <t>Inputs</t>
        </is>
      </c>
      <c r="C603" s="4" t="inlineStr">
        <is>
          <t>B42</t>
        </is>
      </c>
      <c r="D603" s="4" t="n">
        <v>500</v>
      </c>
      <c r="E603" s="4" t="n">
        <v>500</v>
      </c>
      <c r="F603" s="4" t="inlineStr">
        <is>
          <t>GOC Bed Unit-Costing Model v2 — working original.xlsx</t>
        </is>
      </c>
    </row>
    <row r="604" ht="75" customHeight="1">
      <c r="A604" s="4" t="inlineStr">
        <is>
          <t>original:Inputs!C42</t>
        </is>
      </c>
      <c r="B604" s="4" t="inlineStr">
        <is>
          <t>Inputs</t>
        </is>
      </c>
      <c r="C604" s="4" t="inlineStr">
        <is>
          <t>C42</t>
        </is>
      </c>
      <c r="D604" s="4" t="inlineStr">
        <is>
          <t>Factory-path volume = No. factories x this rate. Practical max ~1,000/yr (4-5 beds/day x 250 days).</t>
        </is>
      </c>
      <c r="E604" s="4" t="inlineStr">
        <is>
          <t>Factory-path volume = No. factories x this rate. Practical max ~1,000/yr (4-5 beds/day x 250 days).</t>
        </is>
      </c>
      <c r="F604" s="4" t="inlineStr">
        <is>
          <t>GOC Bed Unit-Costing Model v2 — working original.xlsx</t>
        </is>
      </c>
    </row>
    <row r="605" ht="40" customHeight="1">
      <c r="A605" s="4" t="inlineStr">
        <is>
          <t>original:Inputs!A43</t>
        </is>
      </c>
      <c r="B605" s="4" t="inlineStr">
        <is>
          <t>Inputs</t>
        </is>
      </c>
      <c r="C605" s="4" t="inlineStr">
        <is>
          <t>A43</t>
        </is>
      </c>
      <c r="D605" s="4" t="inlineStr">
        <is>
          <t>Beds / yr per CONTAINER</t>
        </is>
      </c>
      <c r="E605" s="4" t="inlineStr">
        <is>
          <t>Beds / yr per CONTAINER</t>
        </is>
      </c>
      <c r="F605" s="4" t="inlineStr">
        <is>
          <t>GOC Bed Unit-Costing Model v2 — working original.xlsx</t>
        </is>
      </c>
    </row>
    <row r="606" ht="40" customHeight="1">
      <c r="A606" s="4" t="inlineStr">
        <is>
          <t>original:Inputs!B43</t>
        </is>
      </c>
      <c r="B606" s="4" t="inlineStr">
        <is>
          <t>Inputs</t>
        </is>
      </c>
      <c r="C606" s="4" t="inlineStr">
        <is>
          <t>B43</t>
        </is>
      </c>
      <c r="D606" s="4" t="n">
        <v>500</v>
      </c>
      <c r="E606" s="4" t="n">
        <v>500</v>
      </c>
      <c r="F606" s="4" t="inlineStr">
        <is>
          <t>GOC Bed Unit-Costing Model v2 — working original.xlsx</t>
        </is>
      </c>
    </row>
    <row r="607" ht="60" customHeight="1">
      <c r="A607" s="4" t="inlineStr">
        <is>
          <t>original:Inputs!C43</t>
        </is>
      </c>
      <c r="B607" s="4" t="inlineStr">
        <is>
          <t>Inputs</t>
        </is>
      </c>
      <c r="C607" s="4" t="inlineStr">
        <is>
          <t>C43</t>
        </is>
      </c>
      <c r="D607" s="4" t="inlineStr">
        <is>
          <t>Community-path volume = No. containers x this rate. Same ~1,000/yr practical max.</t>
        </is>
      </c>
      <c r="E607" s="4" t="inlineStr">
        <is>
          <t>Community-path volume = No. containers x this rate. Same ~1,000/yr practical max.</t>
        </is>
      </c>
      <c r="F607" s="4" t="inlineStr">
        <is>
          <t>GOC Bed Unit-Costing Model v2 — working original.xlsx</t>
        </is>
      </c>
    </row>
    <row r="608" ht="40" customHeight="1">
      <c r="A608" s="4" t="inlineStr">
        <is>
          <t>original:Inputs!A44</t>
        </is>
      </c>
      <c r="B608" s="4" t="inlineStr">
        <is>
          <t>Inputs</t>
        </is>
      </c>
      <c r="C608" s="4" t="inlineStr">
        <is>
          <t>A44</t>
        </is>
      </c>
      <c r="D608" s="4" t="inlineStr">
        <is>
          <t>Kit (Defy) beds / yr</t>
        </is>
      </c>
      <c r="E608" s="4" t="inlineStr">
        <is>
          <t>Kit (Defy) beds / yr</t>
        </is>
      </c>
      <c r="F608" s="4" t="inlineStr">
        <is>
          <t>GOC Bed Unit-Costing Model v2 — working original.xlsx</t>
        </is>
      </c>
    </row>
    <row r="609" ht="40" customHeight="1">
      <c r="A609" s="4" t="inlineStr">
        <is>
          <t>original:Inputs!B44</t>
        </is>
      </c>
      <c r="B609" s="4" t="inlineStr">
        <is>
          <t>Inputs</t>
        </is>
      </c>
      <c r="C609" s="4" t="inlineStr">
        <is>
          <t>B44</t>
        </is>
      </c>
      <c r="D609" s="4" t="n">
        <v>100</v>
      </c>
      <c r="E609" s="4" t="n">
        <v>100</v>
      </c>
      <c r="F609" s="4" t="inlineStr">
        <is>
          <t>GOC Bed Unit-Costing Model v2 — working original.xlsx</t>
        </is>
      </c>
    </row>
    <row r="610" ht="150" customHeight="1">
      <c r="A610" s="4" t="inlineStr">
        <is>
          <t>original:Inputs!C44</t>
        </is>
      </c>
      <c r="B610" s="4" t="inlineStr">
        <is>
          <t>Inputs</t>
        </is>
      </c>
      <c r="C610" s="4" t="inlineStr">
        <is>
          <t>C44</t>
        </is>
      </c>
      <c r="D610" s="4" t="inlineStr">
        <is>
          <t>Bought-in Buy-Kit volume, no infrastructure needed. Default = current state ~100/yr. AUTO-TAPERS to zero from the first year that in-house capacity (Factory + Community beds) is greater than or equal to this figure.</t>
        </is>
      </c>
      <c r="E610" s="4" t="inlineStr">
        <is>
          <t>Bought-in Buy-Kit volume, no infrastructure needed. Default = current state ~100/yr. AUTO-TAPERS to zero from the first year that in-house capacity (Factory + Community beds) is greater than or equal to this figure.</t>
        </is>
      </c>
      <c r="F610" s="4" t="inlineStr">
        <is>
          <t>GOC Bed Unit-Costing Model v2 — working original.xlsx</t>
        </is>
      </c>
    </row>
    <row r="611" ht="40" customHeight="1">
      <c r="A611" s="4" t="inlineStr">
        <is>
          <t>original:Inputs!A45</t>
        </is>
      </c>
      <c r="B611" s="4" t="inlineStr">
        <is>
          <t>Inputs</t>
        </is>
      </c>
      <c r="C611" s="4" t="inlineStr">
        <is>
          <t>A45</t>
        </is>
      </c>
      <c r="D611" s="4" t="inlineStr">
        <is>
          <t>Max new container builds / yr</t>
        </is>
      </c>
      <c r="E611" s="4" t="inlineStr">
        <is>
          <t>Max new container builds / yr</t>
        </is>
      </c>
      <c r="F611" s="4" t="inlineStr">
        <is>
          <t>GOC Bed Unit-Costing Model v2 — working original.xlsx</t>
        </is>
      </c>
    </row>
    <row r="612" ht="40" customHeight="1">
      <c r="A612" s="4" t="inlineStr">
        <is>
          <t>original:Inputs!B45</t>
        </is>
      </c>
      <c r="B612" s="4" t="inlineStr">
        <is>
          <t>Inputs</t>
        </is>
      </c>
      <c r="C612" s="4" t="inlineStr">
        <is>
          <t>B45</t>
        </is>
      </c>
      <c r="D612" s="4" t="n">
        <v>3</v>
      </c>
      <c r="E612" s="4" t="n">
        <v>3</v>
      </c>
      <c r="F612" s="4" t="inlineStr">
        <is>
          <t>GOC Bed Unit-Costing Model v2 — working original.xlsx</t>
        </is>
      </c>
    </row>
    <row r="613" ht="60" customHeight="1">
      <c r="A613" s="4" t="inlineStr">
        <is>
          <t>original:Inputs!C45</t>
        </is>
      </c>
      <c r="B613" s="4" t="inlineStr">
        <is>
          <t>Inputs</t>
        </is>
      </c>
      <c r="C613" s="4" t="inlineStr">
        <is>
          <t>C45</t>
        </is>
      </c>
      <c r="D613" s="4" t="inlineStr">
        <is>
          <t xml:space="preserve">Governor on the auto-build trigger — build capacity, install &amp; training constrain rollout. </t>
        </is>
      </c>
      <c r="E613" s="4" t="inlineStr">
        <is>
          <t xml:space="preserve">Governor on the auto-build trigger — build capacity, install &amp; training constrain rollout. </t>
        </is>
      </c>
      <c r="F613" s="4" t="inlineStr">
        <is>
          <t>GOC Bed Unit-Costing Model v2 — working original.xlsx</t>
        </is>
      </c>
    </row>
    <row r="614" ht="40" customHeight="1">
      <c r="A614" s="4" t="inlineStr">
        <is>
          <t>original:Inputs!A46</t>
        </is>
      </c>
      <c r="B614" s="4" t="inlineStr">
        <is>
          <t>Inputs</t>
        </is>
      </c>
      <c r="C614" s="4" t="inlineStr">
        <is>
          <t>A46</t>
        </is>
      </c>
      <c r="D614" s="4" t="inlineStr">
        <is>
          <t>First-year utilisation of new facilities</t>
        </is>
      </c>
      <c r="E614" s="4" t="inlineStr">
        <is>
          <t>First-year utilisation of new facilities</t>
        </is>
      </c>
      <c r="F614" s="4" t="inlineStr">
        <is>
          <t>GOC Bed Unit-Costing Model v2 — working original.xlsx</t>
        </is>
      </c>
    </row>
    <row r="615" ht="40" customHeight="1">
      <c r="A615" s="4" t="inlineStr">
        <is>
          <t>original:Inputs!B46</t>
        </is>
      </c>
      <c r="B615" s="4" t="inlineStr">
        <is>
          <t>Inputs</t>
        </is>
      </c>
      <c r="C615" s="4" t="inlineStr">
        <is>
          <t>B46</t>
        </is>
      </c>
      <c r="D615" s="4" t="n">
        <v>0.4</v>
      </c>
      <c r="E615" s="4" t="n">
        <v>0.4</v>
      </c>
      <c r="F615" s="4" t="inlineStr">
        <is>
          <t>GOC Bed Unit-Costing Model v2 — working original.xlsx</t>
        </is>
      </c>
    </row>
    <row r="616" ht="195" customHeight="1">
      <c r="A616" s="4" t="inlineStr">
        <is>
          <t>original:Inputs!C46</t>
        </is>
      </c>
      <c r="B616" s="4" t="inlineStr">
        <is>
          <t>Inputs</t>
        </is>
      </c>
      <c r="C616" s="4" t="inlineStr">
        <is>
          <t>C46</t>
        </is>
      </c>
      <c r="D616" s="4" t="inlineStr">
        <is>
          <t xml:space="preserve">Ramp per Q&amp;A Q3: GoC's own production gate is 100 beds/yr (2026, 1 facility) -&gt; 600 (2027, 2 facilities) -&gt; 2,500 by 2030 (5-6 facilities), i.e. facilities do not hit full rate in year one. Applies to the factory in Year 1 and to each container in its build year; 100% thereafter. </t>
        </is>
      </c>
      <c r="E616" s="4" t="inlineStr">
        <is>
          <t xml:space="preserve">Ramp per Q&amp;A Q3: GoC's own production gate is 100 beds/yr (2026, 1 facility) -&gt; 600 (2027, 2 facilities) -&gt; 2,500 by 2030 (5-6 facilities), i.e. facilities do not hit full rate in year one. Applies to the factory in Year 1 and to each container in its build year; 100% thereafter. </t>
        </is>
      </c>
      <c r="F616" s="4" t="inlineStr">
        <is>
          <t>GOC Bed Unit-Costing Model v2 — working original.xlsx</t>
        </is>
      </c>
    </row>
    <row r="617" ht="40" customHeight="1">
      <c r="A617" s="4" t="inlineStr">
        <is>
          <t>original:Inputs!A47</t>
        </is>
      </c>
      <c r="B617" s="4" t="inlineStr">
        <is>
          <t>Inputs</t>
        </is>
      </c>
      <c r="C617" s="4" t="inlineStr">
        <is>
          <t>A47</t>
        </is>
      </c>
      <c r="D617" s="4" t="inlineStr">
        <is>
          <t>5. CAPITAL STACK</t>
        </is>
      </c>
      <c r="E617" s="4" t="inlineStr">
        <is>
          <t>5. CAPITAL STACK</t>
        </is>
      </c>
      <c r="F617" s="4" t="inlineStr">
        <is>
          <t>GOC Bed Unit-Costing Model v2 — working original.xlsx</t>
        </is>
      </c>
    </row>
    <row r="618" ht="40" customHeight="1">
      <c r="A618" s="4" t="inlineStr">
        <is>
          <t>original:Inputs!A48</t>
        </is>
      </c>
      <c r="B618" s="4" t="inlineStr">
        <is>
          <t>Inputs</t>
        </is>
      </c>
      <c r="C618" s="4" t="inlineStr">
        <is>
          <t>A48</t>
        </is>
      </c>
      <c r="D618" s="4" t="inlineStr">
        <is>
          <t>QBE match-eligible</t>
        </is>
      </c>
      <c r="E618" s="4" t="inlineStr">
        <is>
          <t>QBE match-eligible</t>
        </is>
      </c>
      <c r="F618" s="4" t="inlineStr">
        <is>
          <t>GOC Bed Unit-Costing Model v2 — working original.xlsx</t>
        </is>
      </c>
    </row>
    <row r="619" ht="40" customHeight="1">
      <c r="A619" s="4" t="inlineStr">
        <is>
          <t>original:Inputs!B48</t>
        </is>
      </c>
      <c r="B619" s="4" t="inlineStr">
        <is>
          <t>Inputs</t>
        </is>
      </c>
      <c r="C619" s="4" t="inlineStr">
        <is>
          <t>B48</t>
        </is>
      </c>
      <c r="D619" s="4" t="n">
        <v>250000</v>
      </c>
      <c r="E619" s="4" t="n">
        <v>250000</v>
      </c>
      <c r="F619" s="4" t="inlineStr">
        <is>
          <t>GOC Bed Unit-Costing Model v2 — working original.xlsx</t>
        </is>
      </c>
    </row>
    <row r="620" ht="120" customHeight="1">
      <c r="A620" s="4" t="inlineStr">
        <is>
          <t>original:Inputs!C48</t>
        </is>
      </c>
      <c r="B620" s="4" t="inlineStr">
        <is>
          <t>Inputs</t>
        </is>
      </c>
      <c r="C620" s="4" t="inlineStr">
        <is>
          <t>C48</t>
        </is>
      </c>
      <c r="D620" s="4" t="inlineStr">
        <is>
          <t>PLACEHOLDER — base-case stack per 04-verified-financials (QBE $400K + SEFA $300K + philanthropy $500K); eligible/match/other split needs confirmation with Ben/QBE.</t>
        </is>
      </c>
      <c r="E620" s="4" t="inlineStr">
        <is>
          <t>PLACEHOLDER — base-case stack per 04-verified-financials (QBE $400K + SEFA $300K + philanthropy $500K); eligible/match/other split needs confirmation with Ben/QBE.</t>
        </is>
      </c>
      <c r="F620" s="4" t="inlineStr">
        <is>
          <t>GOC Bed Unit-Costing Model v2 — working original.xlsx</t>
        </is>
      </c>
    </row>
    <row r="621" ht="40" customHeight="1">
      <c r="A621" s="4" t="inlineStr">
        <is>
          <t>original:Inputs!A49</t>
        </is>
      </c>
      <c r="B621" s="4" t="inlineStr">
        <is>
          <t>Inputs</t>
        </is>
      </c>
      <c r="C621" s="4" t="inlineStr">
        <is>
          <t>A49</t>
        </is>
      </c>
      <c r="D621" s="4" t="inlineStr">
        <is>
          <t>QBE match</t>
        </is>
      </c>
      <c r="E621" s="4" t="inlineStr">
        <is>
          <t>QBE match</t>
        </is>
      </c>
      <c r="F621" s="4" t="inlineStr">
        <is>
          <t>GOC Bed Unit-Costing Model v2 — working original.xlsx</t>
        </is>
      </c>
    </row>
    <row r="622" ht="40" customHeight="1">
      <c r="A622" s="4" t="inlineStr">
        <is>
          <t>original:Inputs!B49</t>
        </is>
      </c>
      <c r="B622" s="4" t="inlineStr">
        <is>
          <t>Inputs</t>
        </is>
      </c>
      <c r="C622" s="4" t="inlineStr">
        <is>
          <t>B49</t>
        </is>
      </c>
      <c r="D622" s="4" t="n">
        <v>250000</v>
      </c>
      <c r="E622" s="4" t="n">
        <v>250000</v>
      </c>
      <c r="F622" s="4" t="inlineStr">
        <is>
          <t>GOC Bed Unit-Costing Model v2 — working original.xlsx</t>
        </is>
      </c>
    </row>
    <row r="623" ht="45" customHeight="1">
      <c r="A623" s="4" t="inlineStr">
        <is>
          <t>original:Inputs!C49</t>
        </is>
      </c>
      <c r="B623" s="4" t="inlineStr">
        <is>
          <t>Inputs</t>
        </is>
      </c>
      <c r="C623" s="4" t="inlineStr">
        <is>
          <t>C49</t>
        </is>
      </c>
      <c r="D623" s="4" t="inlineStr">
        <is>
          <t>PLACEHOLDER — assumed 1:1 match. Confirm program terms.</t>
        </is>
      </c>
      <c r="E623" s="4" t="inlineStr">
        <is>
          <t>PLACEHOLDER — assumed 1:1 match. Confirm program terms.</t>
        </is>
      </c>
      <c r="F623" s="4" t="inlineStr">
        <is>
          <t>GOC Bed Unit-Costing Model v2 — working original.xlsx</t>
        </is>
      </c>
    </row>
    <row r="624" ht="40" customHeight="1">
      <c r="A624" s="4" t="inlineStr">
        <is>
          <t>original:Inputs!A50</t>
        </is>
      </c>
      <c r="B624" s="4" t="inlineStr">
        <is>
          <t>Inputs</t>
        </is>
      </c>
      <c r="C624" s="4" t="inlineStr">
        <is>
          <t>A50</t>
        </is>
      </c>
      <c r="D624" s="4" t="inlineStr">
        <is>
          <t>Other</t>
        </is>
      </c>
      <c r="E624" s="4" t="inlineStr">
        <is>
          <t>Other</t>
        </is>
      </c>
      <c r="F624" s="4" t="inlineStr">
        <is>
          <t>GOC Bed Unit-Costing Model v2 — working original.xlsx</t>
        </is>
      </c>
    </row>
    <row r="625" ht="40" customHeight="1">
      <c r="A625" s="4" t="inlineStr">
        <is>
          <t>original:Inputs!B50</t>
        </is>
      </c>
      <c r="B625" s="4" t="inlineStr">
        <is>
          <t>Inputs</t>
        </is>
      </c>
      <c r="C625" s="4" t="inlineStr">
        <is>
          <t>B50</t>
        </is>
      </c>
      <c r="D625" s="4" t="n">
        <v>100000</v>
      </c>
      <c r="E625" s="4" t="n">
        <v>100000</v>
      </c>
      <c r="F625" s="4" t="inlineStr">
        <is>
          <t>GOC Bed Unit-Costing Model v2 — working original.xlsx</t>
        </is>
      </c>
    </row>
    <row r="626" ht="40" customHeight="1">
      <c r="A626" s="4" t="inlineStr">
        <is>
          <t>original:Inputs!C50</t>
        </is>
      </c>
      <c r="B626" s="4" t="inlineStr">
        <is>
          <t>Inputs</t>
        </is>
      </c>
      <c r="C626" s="4" t="inlineStr">
        <is>
          <t>C50</t>
        </is>
      </c>
      <c r="D626" s="4" t="inlineStr">
        <is>
          <t>PLACEHOLDER — anchor philanthropy.</t>
        </is>
      </c>
      <c r="E626" s="4" t="inlineStr">
        <is>
          <t>PLACEHOLDER — anchor philanthropy.</t>
        </is>
      </c>
      <c r="F626" s="4" t="inlineStr">
        <is>
          <t>GOC Bed Unit-Costing Model v2 — working original.xlsx</t>
        </is>
      </c>
    </row>
    <row r="627" ht="40" customHeight="1">
      <c r="A627" s="4" t="inlineStr">
        <is>
          <t>original:Inputs!A51</t>
        </is>
      </c>
      <c r="B627" s="4" t="inlineStr">
        <is>
          <t>Inputs</t>
        </is>
      </c>
      <c r="C627" s="4" t="inlineStr">
        <is>
          <t>A51</t>
        </is>
      </c>
      <c r="D627" s="4" t="inlineStr">
        <is>
          <t>TOTAL CAPITAL STACK</t>
        </is>
      </c>
      <c r="E627" s="4" t="inlineStr">
        <is>
          <t>TOTAL CAPITAL STACK</t>
        </is>
      </c>
      <c r="F627" s="4" t="inlineStr">
        <is>
          <t>GOC Bed Unit-Costing Model v2 — working original.xlsx</t>
        </is>
      </c>
    </row>
    <row r="628" ht="40" customHeight="1">
      <c r="A628" s="4" t="inlineStr">
        <is>
          <t>original:Inputs!B51</t>
        </is>
      </c>
      <c r="B628" s="4" t="inlineStr">
        <is>
          <t>Inputs</t>
        </is>
      </c>
      <c r="C628" s="4" t="inlineStr">
        <is>
          <t>B51</t>
        </is>
      </c>
      <c r="D628" s="4" t="inlineStr">
        <is>
          <t>=SUM(B48:B50)</t>
        </is>
      </c>
      <c r="E628" s="4" t="n">
        <v>600000</v>
      </c>
      <c r="F628" s="4" t="inlineStr">
        <is>
          <t>GOC Bed Unit-Costing Model v2 — working original.xlsx</t>
        </is>
      </c>
    </row>
    <row r="629" ht="40" customHeight="1">
      <c r="A629" s="4" t="inlineStr">
        <is>
          <t>original:Inputs!A53</t>
        </is>
      </c>
      <c r="B629" s="4" t="inlineStr">
        <is>
          <t>Inputs</t>
        </is>
      </c>
      <c r="C629" s="4" t="inlineStr">
        <is>
          <t>A53</t>
        </is>
      </c>
      <c r="D629" s="4" t="inlineStr">
        <is>
          <t>KEY OUTPUTS</t>
        </is>
      </c>
      <c r="E629" s="4" t="inlineStr">
        <is>
          <t>KEY OUTPUTS</t>
        </is>
      </c>
      <c r="F629" s="4" t="inlineStr">
        <is>
          <t>GOC Bed Unit-Costing Model v2 — working original.xlsx</t>
        </is>
      </c>
    </row>
    <row r="630" ht="40" customHeight="1">
      <c r="A630" s="4" t="inlineStr">
        <is>
          <t>original:Inputs!A54</t>
        </is>
      </c>
      <c r="B630" s="4" t="inlineStr">
        <is>
          <t>Inputs</t>
        </is>
      </c>
      <c r="C630" s="4" t="inlineStr">
        <is>
          <t>A54</t>
        </is>
      </c>
      <c r="D630" s="4" t="inlineStr">
        <is>
          <t>First SELF-FUNDED container build</t>
        </is>
      </c>
      <c r="E630" s="4" t="inlineStr">
        <is>
          <t>First SELF-FUNDED container build</t>
        </is>
      </c>
      <c r="F630" s="4" t="inlineStr">
        <is>
          <t>GOC Bed Unit-Costing Model v2 — working original.xlsx</t>
        </is>
      </c>
    </row>
    <row r="631" ht="40" customHeight="1">
      <c r="A631" s="4" t="inlineStr">
        <is>
          <t>original:Inputs!B54</t>
        </is>
      </c>
      <c r="B631" s="4" t="inlineStr">
        <is>
          <t>Inputs</t>
        </is>
      </c>
      <c r="C631" s="4" t="inlineStr">
        <is>
          <t>B54</t>
        </is>
      </c>
      <c r="D631" s="4" t="inlineStr">
        <is>
          <t>=IF(COUNT(Projection!R5:R13)=0,"Not within 10 years","Year "&amp;MIN(Projection!R5:R13))</t>
        </is>
      </c>
      <c r="E631" s="4" t="inlineStr">
        <is>
          <t>Year 4</t>
        </is>
      </c>
      <c r="F631" s="4" t="inlineStr">
        <is>
          <t>GOC Bed Unit-Costing Model v2 — working original.xlsx</t>
        </is>
      </c>
    </row>
    <row r="632" ht="40" customHeight="1">
      <c r="A632" s="4" t="inlineStr">
        <is>
          <t>original:Inputs!A55</t>
        </is>
      </c>
      <c r="B632" s="4" t="inlineStr">
        <is>
          <t>Inputs</t>
        </is>
      </c>
      <c r="C632" s="4" t="inlineStr">
        <is>
          <t>A55</t>
        </is>
      </c>
      <c r="D632" s="4" t="inlineStr">
        <is>
          <t>Minimum cash position (10 yrs)</t>
        </is>
      </c>
      <c r="E632" s="4" t="inlineStr">
        <is>
          <t>Minimum cash position (10 yrs)</t>
        </is>
      </c>
      <c r="F632" s="4" t="inlineStr">
        <is>
          <t>GOC Bed Unit-Costing Model v2 — working original.xlsx</t>
        </is>
      </c>
    </row>
    <row r="633" ht="40" customHeight="1">
      <c r="A633" s="4" t="inlineStr">
        <is>
          <t>original:Inputs!B55</t>
        </is>
      </c>
      <c r="B633" s="4" t="inlineStr">
        <is>
          <t>Inputs</t>
        </is>
      </c>
      <c r="C633" s="4" t="inlineStr">
        <is>
          <t>B55</t>
        </is>
      </c>
      <c r="D633" s="4" t="inlineStr">
        <is>
          <t>=MIN(Projection!O4:O13)</t>
        </is>
      </c>
      <c r="E633" s="4" t="n">
        <v>397054</v>
      </c>
      <c r="F633" s="4" t="inlineStr">
        <is>
          <t>GOC Bed Unit-Costing Model v2 — working original.xlsx</t>
        </is>
      </c>
    </row>
    <row r="634" ht="40" customHeight="1">
      <c r="A634" s="4" t="inlineStr">
        <is>
          <t>original:Inputs!A56</t>
        </is>
      </c>
      <c r="B634" s="4" t="inlineStr">
        <is>
          <t>Inputs</t>
        </is>
      </c>
      <c r="C634" s="4" t="inlineStr">
        <is>
          <t>A56</t>
        </is>
      </c>
      <c r="D634" s="4" t="inlineStr">
        <is>
          <t>Capital remaining after Year-1 build</t>
        </is>
      </c>
      <c r="E634" s="4" t="inlineStr">
        <is>
          <t>Capital remaining after Year-1 build</t>
        </is>
      </c>
      <c r="F634" s="4" t="inlineStr">
        <is>
          <t>GOC Bed Unit-Costing Model v2 — working original.xlsx</t>
        </is>
      </c>
    </row>
    <row r="635" ht="40" customHeight="1">
      <c r="A635" s="4" t="inlineStr">
        <is>
          <t>original:Inputs!B56</t>
        </is>
      </c>
      <c r="B635" s="4" t="inlineStr">
        <is>
          <t>Inputs</t>
        </is>
      </c>
      <c r="C635" s="4" t="inlineStr">
        <is>
          <t>B56</t>
        </is>
      </c>
      <c r="D635" s="4" t="inlineStr">
        <is>
          <t>=B51-B41*B27</t>
        </is>
      </c>
      <c r="E635" s="4" t="n">
        <v>392550</v>
      </c>
      <c r="F635" s="4" t="inlineStr">
        <is>
          <t>GOC Bed Unit-Costing Model v2 — working original.xlsx</t>
        </is>
      </c>
    </row>
    <row r="636" ht="45" customHeight="1">
      <c r="A636" s="4" t="inlineStr">
        <is>
          <t>original:Capex Estimates!A1</t>
        </is>
      </c>
      <c r="B636" s="4" t="inlineStr">
        <is>
          <t>Capex Estimates</t>
        </is>
      </c>
      <c r="C636" s="4" t="inlineStr">
        <is>
          <t>A1</t>
        </is>
      </c>
      <c r="D636" s="4" t="inlineStr">
        <is>
          <t>Capex Estimates — 40ft Container Workshop (researched 22 Jul 2026)</t>
        </is>
      </c>
      <c r="E636" s="4" t="inlineStr">
        <is>
          <t>Capex Estimates — 40ft Container Workshop (researched 22 Jul 2026)</t>
        </is>
      </c>
      <c r="F636" s="4" t="inlineStr">
        <is>
          <t>GOC Bed Unit-Costing Model v2 — working original.xlsx</t>
        </is>
      </c>
    </row>
    <row r="637" ht="225" customHeight="1">
      <c r="A637" s="4" t="inlineStr">
        <is>
          <t>original:Capex Estimates!A2</t>
        </is>
      </c>
      <c r="B637" s="4" t="inlineStr">
        <is>
          <t>Capex Estimates</t>
        </is>
      </c>
      <c r="C637" s="4" t="inlineStr">
        <is>
          <t>A2</t>
        </is>
      </c>
      <c r="D637" s="4" t="inlineStr">
        <is>
          <t>Desktop research estimates, NOT quotes. All figures AUD ex-GST unless noted. "Selected" values (blue) feed the Inputs sheet; edit freely. Confidence labels: web-sourced (published price guide/list) / derived (calculated from cited figures, method shown) / allowance (no published figure found — placeholder pending quote) / user input.</t>
        </is>
      </c>
      <c r="E637" s="4" t="inlineStr">
        <is>
          <t>Desktop research estimates, NOT quotes. All figures AUD ex-GST unless noted. "Selected" values (blue) feed the Inputs sheet; edit freely. Confidence labels: web-sourced (published price guide/list) / derived (calculated from cited figures, method shown) / allowance (no published figure found — placeholder pending quote) / user input.</t>
        </is>
      </c>
      <c r="F637" s="4" t="inlineStr">
        <is>
          <t>GOC Bed Unit-Costing Model v2 — working original.xlsx</t>
        </is>
      </c>
    </row>
    <row r="638" ht="40" customHeight="1">
      <c r="A638" s="4" t="inlineStr">
        <is>
          <t>original:Capex Estimates!A4</t>
        </is>
      </c>
      <c r="B638" s="4" t="inlineStr">
        <is>
          <t>Capex Estimates</t>
        </is>
      </c>
      <c r="C638" s="4" t="inlineStr">
        <is>
          <t>A4</t>
        </is>
      </c>
      <c r="D638" s="4" t="inlineStr">
        <is>
          <t>Item</t>
        </is>
      </c>
      <c r="E638" s="4" t="inlineStr">
        <is>
          <t>Item</t>
        </is>
      </c>
      <c r="F638" s="4" t="inlineStr">
        <is>
          <t>GOC Bed Unit-Costing Model v2 — working original.xlsx</t>
        </is>
      </c>
    </row>
    <row r="639" ht="40" customHeight="1">
      <c r="A639" s="4" t="inlineStr">
        <is>
          <t>original:Capex Estimates!B4</t>
        </is>
      </c>
      <c r="B639" s="4" t="inlineStr">
        <is>
          <t>Capex Estimates</t>
        </is>
      </c>
      <c r="C639" s="4" t="inlineStr">
        <is>
          <t>B4</t>
        </is>
      </c>
      <c r="D639" s="4" t="inlineStr">
        <is>
          <t>Low</t>
        </is>
      </c>
      <c r="E639" s="4" t="inlineStr">
        <is>
          <t>Low</t>
        </is>
      </c>
      <c r="F639" s="4" t="inlineStr">
        <is>
          <t>GOC Bed Unit-Costing Model v2 — working original.xlsx</t>
        </is>
      </c>
    </row>
    <row r="640" ht="40" customHeight="1">
      <c r="A640" s="4" t="inlineStr">
        <is>
          <t>original:Capex Estimates!C4</t>
        </is>
      </c>
      <c r="B640" s="4" t="inlineStr">
        <is>
          <t>Capex Estimates</t>
        </is>
      </c>
      <c r="C640" s="4" t="inlineStr">
        <is>
          <t>C4</t>
        </is>
      </c>
      <c r="D640" s="4" t="inlineStr">
        <is>
          <t>High</t>
        </is>
      </c>
      <c r="E640" s="4" t="inlineStr">
        <is>
          <t>High</t>
        </is>
      </c>
      <c r="F640" s="4" t="inlineStr">
        <is>
          <t>GOC Bed Unit-Costing Model v2 — working original.xlsx</t>
        </is>
      </c>
    </row>
    <row r="641" ht="40" customHeight="1">
      <c r="A641" s="4" t="inlineStr">
        <is>
          <t>original:Capex Estimates!D4</t>
        </is>
      </c>
      <c r="B641" s="4" t="inlineStr">
        <is>
          <t>Capex Estimates</t>
        </is>
      </c>
      <c r="C641" s="4" t="inlineStr">
        <is>
          <t>D4</t>
        </is>
      </c>
      <c r="D641" s="4" t="inlineStr">
        <is>
          <t>Selected</t>
        </is>
      </c>
      <c r="E641" s="4" t="inlineStr">
        <is>
          <t>Selected</t>
        </is>
      </c>
      <c r="F641" s="4" t="inlineStr">
        <is>
          <t>GOC Bed Unit-Costing Model v2 — working original.xlsx</t>
        </is>
      </c>
    </row>
    <row r="642" ht="40" customHeight="1">
      <c r="A642" s="4" t="inlineStr">
        <is>
          <t>original:Capex Estimates!E4</t>
        </is>
      </c>
      <c r="B642" s="4" t="inlineStr">
        <is>
          <t>Capex Estimates</t>
        </is>
      </c>
      <c r="C642" s="4" t="inlineStr">
        <is>
          <t>E4</t>
        </is>
      </c>
      <c r="D642" s="4" t="inlineStr">
        <is>
          <t>Basis / derivation</t>
        </is>
      </c>
      <c r="E642" s="4" t="inlineStr">
        <is>
          <t>Basis / derivation</t>
        </is>
      </c>
      <c r="F642" s="4" t="inlineStr">
        <is>
          <t>GOC Bed Unit-Costing Model v2 — working original.xlsx</t>
        </is>
      </c>
    </row>
    <row r="643" ht="40" customHeight="1">
      <c r="A643" s="4" t="inlineStr">
        <is>
          <t>original:Capex Estimates!F4</t>
        </is>
      </c>
      <c r="B643" s="4" t="inlineStr">
        <is>
          <t>Capex Estimates</t>
        </is>
      </c>
      <c r="C643" s="4" t="inlineStr">
        <is>
          <t>F4</t>
        </is>
      </c>
      <c r="D643" s="4" t="inlineStr">
        <is>
          <t>Source</t>
        </is>
      </c>
      <c r="E643" s="4" t="inlineStr">
        <is>
          <t>Source</t>
        </is>
      </c>
      <c r="F643" s="4" t="inlineStr">
        <is>
          <t>GOC Bed Unit-Costing Model v2 — working original.xlsx</t>
        </is>
      </c>
    </row>
    <row r="644" ht="40" customHeight="1">
      <c r="A644" s="4" t="inlineStr">
        <is>
          <t>original:Capex Estimates!G4</t>
        </is>
      </c>
      <c r="B644" s="4" t="inlineStr">
        <is>
          <t>Capex Estimates</t>
        </is>
      </c>
      <c r="C644" s="4" t="inlineStr">
        <is>
          <t>G4</t>
        </is>
      </c>
      <c r="D644" s="4" t="inlineStr">
        <is>
          <t>Confidence</t>
        </is>
      </c>
      <c r="E644" s="4" t="inlineStr">
        <is>
          <t>Confidence</t>
        </is>
      </c>
      <c r="F644" s="4" t="inlineStr">
        <is>
          <t>GOC Bed Unit-Costing Model v2 — working original.xlsx</t>
        </is>
      </c>
    </row>
    <row r="645" ht="45" customHeight="1">
      <c r="A645" s="4" t="inlineStr">
        <is>
          <t>original:Capex Estimates!A5</t>
        </is>
      </c>
      <c r="B645" s="4" t="inlineStr">
        <is>
          <t>Capex Estimates</t>
        </is>
      </c>
      <c r="C645" s="4" t="inlineStr">
        <is>
          <t>A5</t>
        </is>
      </c>
      <c r="D645" s="4" t="inlineStr">
        <is>
          <t>A. CONTAINER SHELL &amp; FIT-OUT (40ft workshop conversion)</t>
        </is>
      </c>
      <c r="E645" s="4" t="inlineStr">
        <is>
          <t>A. CONTAINER SHELL &amp; FIT-OUT (40ft workshop conversion)</t>
        </is>
      </c>
      <c r="F645" s="4" t="inlineStr">
        <is>
          <t>GOC Bed Unit-Costing Model v2 — working original.xlsx</t>
        </is>
      </c>
    </row>
    <row r="646" ht="40" customHeight="1">
      <c r="A646" s="4" t="inlineStr">
        <is>
          <t>original:Capex Estimates!A6</t>
        </is>
      </c>
      <c r="B646" s="4" t="inlineStr">
        <is>
          <t>Capex Estimates</t>
        </is>
      </c>
      <c r="C646" s="4" t="inlineStr">
        <is>
          <t>A6</t>
        </is>
      </c>
      <c r="D646" s="4" t="inlineStr">
        <is>
          <t>40ft container shell — new "one-trip"</t>
        </is>
      </c>
      <c r="E646" s="4" t="inlineStr">
        <is>
          <t>40ft container shell — new "one-trip"</t>
        </is>
      </c>
      <c r="F646" s="4" t="inlineStr">
        <is>
          <t>GOC Bed Unit-Costing Model v2 — working original.xlsx</t>
        </is>
      </c>
    </row>
    <row r="647" ht="40" customHeight="1">
      <c r="A647" s="4" t="inlineStr">
        <is>
          <t>original:Capex Estimates!B6</t>
        </is>
      </c>
      <c r="B647" s="4" t="inlineStr">
        <is>
          <t>Capex Estimates</t>
        </is>
      </c>
      <c r="C647" s="4" t="inlineStr">
        <is>
          <t>B6</t>
        </is>
      </c>
      <c r="D647" s="4" t="n">
        <v>6100</v>
      </c>
      <c r="E647" s="4" t="n">
        <v>6100</v>
      </c>
      <c r="F647" s="4" t="inlineStr">
        <is>
          <t>GOC Bed Unit-Costing Model v2 — working original.xlsx</t>
        </is>
      </c>
    </row>
    <row r="648" ht="40" customHeight="1">
      <c r="A648" s="4" t="inlineStr">
        <is>
          <t>original:Capex Estimates!C6</t>
        </is>
      </c>
      <c r="B648" s="4" t="inlineStr">
        <is>
          <t>Capex Estimates</t>
        </is>
      </c>
      <c r="C648" s="4" t="inlineStr">
        <is>
          <t>C6</t>
        </is>
      </c>
      <c r="D648" s="4" t="n">
        <v>7500</v>
      </c>
      <c r="E648" s="4" t="n">
        <v>7500</v>
      </c>
      <c r="F648" s="4" t="inlineStr">
        <is>
          <t>GOC Bed Unit-Costing Model v2 — working original.xlsx</t>
        </is>
      </c>
    </row>
    <row r="649" ht="40" customHeight="1">
      <c r="A649" s="4" t="inlineStr">
        <is>
          <t>original:Capex Estimates!D6</t>
        </is>
      </c>
      <c r="B649" s="4" t="inlineStr">
        <is>
          <t>Capex Estimates</t>
        </is>
      </c>
      <c r="C649" s="4" t="inlineStr">
        <is>
          <t>D6</t>
        </is>
      </c>
      <c r="D649" s="4" t="n">
        <v>6800</v>
      </c>
      <c r="E649" s="4" t="n">
        <v>6800</v>
      </c>
      <c r="F649" s="4" t="inlineStr">
        <is>
          <t>GOC Bed Unit-Costing Model v2 — working original.xlsx</t>
        </is>
      </c>
    </row>
    <row r="650" ht="120" customHeight="1">
      <c r="A650" s="4" t="inlineStr">
        <is>
          <t>original:Capex Estimates!E6</t>
        </is>
      </c>
      <c r="B650" s="4" t="inlineStr">
        <is>
          <t>Capex Estimates</t>
        </is>
      </c>
      <c r="C650" s="4" t="inlineStr">
        <is>
          <t>E6</t>
        </is>
      </c>
      <c r="D650" s="4" t="inlineStr">
        <is>
          <t>New one-trip unit selected over used ($2,700-$3,700 ex GST) given 10+ yr remote deployment and structural modification [LLM judgement]. Selected = midpoint of published range.</t>
        </is>
      </c>
      <c r="E650" s="4" t="inlineStr">
        <is>
          <t>New one-trip unit selected over used ($2,700-$3,700 ex GST) given 10+ yr remote deployment and structural modification [LLM judgement]. Selected = midpoint of published range.</t>
        </is>
      </c>
      <c r="F650" s="4" t="inlineStr">
        <is>
          <t>GOC Bed Unit-Costing Model v2 — working original.xlsx</t>
        </is>
      </c>
    </row>
    <row r="651" ht="120" customHeight="1">
      <c r="A651" s="4" t="inlineStr">
        <is>
          <t>original:Capex Estimates!F6</t>
        </is>
      </c>
      <c r="B651" s="4" t="inlineStr">
        <is>
          <t>Capex Estimates</t>
        </is>
      </c>
      <c r="C651" s="4" t="inlineStr">
        <is>
          <t>F6</t>
        </is>
      </c>
      <c r="D651" s="4" t="inlineStr">
        <is>
          <t>Container Traders 2026 price list (containertraders.com.au/shipping-container-prices/); Shipping Containers Australia 2026 guide (shipping-containers.com.au/shipping-container-prices/)</t>
        </is>
      </c>
      <c r="E651" s="4" t="inlineStr">
        <is>
          <t>Container Traders 2026 price list (containertraders.com.au/shipping-container-prices/); Shipping Containers Australia 2026 guide (shipping-containers.com.au/shipping-container-prices/)</t>
        </is>
      </c>
      <c r="F651" s="4" t="inlineStr">
        <is>
          <t>GOC Bed Unit-Costing Model v2 — working original.xlsx</t>
        </is>
      </c>
    </row>
    <row r="652" ht="40" customHeight="1">
      <c r="A652" s="4" t="inlineStr">
        <is>
          <t>original:Capex Estimates!G6</t>
        </is>
      </c>
      <c r="B652" s="4" t="inlineStr">
        <is>
          <t>Capex Estimates</t>
        </is>
      </c>
      <c r="C652" s="4" t="inlineStr">
        <is>
          <t>G6</t>
        </is>
      </c>
      <c r="D652" s="4" t="inlineStr">
        <is>
          <t>web-sourced</t>
        </is>
      </c>
      <c r="E652" s="4" t="inlineStr">
        <is>
          <t>web-sourced</t>
        </is>
      </c>
      <c r="F652" s="4" t="inlineStr">
        <is>
          <t>GOC Bed Unit-Costing Model v2 — working original.xlsx</t>
        </is>
      </c>
    </row>
    <row r="653" ht="40" customHeight="1">
      <c r="A653" s="4" t="inlineStr">
        <is>
          <t>original:Capex Estimates!A7</t>
        </is>
      </c>
      <c r="B653" s="4" t="inlineStr">
        <is>
          <t>Capex Estimates</t>
        </is>
      </c>
      <c r="C653" s="4" t="inlineStr">
        <is>
          <t>A7</t>
        </is>
      </c>
      <c r="D653" s="4" t="inlineStr">
        <is>
          <t>Roller door — supply + install</t>
        </is>
      </c>
      <c r="E653" s="4" t="inlineStr">
        <is>
          <t>Roller door — supply + install</t>
        </is>
      </c>
      <c r="F653" s="4" t="inlineStr">
        <is>
          <t>GOC Bed Unit-Costing Model v2 — working original.xlsx</t>
        </is>
      </c>
    </row>
    <row r="654" ht="40" customHeight="1">
      <c r="A654" s="4" t="inlineStr">
        <is>
          <t>original:Capex Estimates!B7</t>
        </is>
      </c>
      <c r="B654" s="4" t="inlineStr">
        <is>
          <t>Capex Estimates</t>
        </is>
      </c>
      <c r="C654" s="4" t="inlineStr">
        <is>
          <t>B7</t>
        </is>
      </c>
      <c r="D654" s="4" t="n">
        <v>4300</v>
      </c>
      <c r="E654" s="4" t="n">
        <v>4300</v>
      </c>
      <c r="F654" s="4" t="inlineStr">
        <is>
          <t>GOC Bed Unit-Costing Model v2 — working original.xlsx</t>
        </is>
      </c>
    </row>
    <row r="655" ht="40" customHeight="1">
      <c r="A655" s="4" t="inlineStr">
        <is>
          <t>original:Capex Estimates!C7</t>
        </is>
      </c>
      <c r="B655" s="4" t="inlineStr">
        <is>
          <t>Capex Estimates</t>
        </is>
      </c>
      <c r="C655" s="4" t="inlineStr">
        <is>
          <t>C7</t>
        </is>
      </c>
      <c r="D655" s="4" t="n">
        <v>7000</v>
      </c>
      <c r="E655" s="4" t="n">
        <v>7000</v>
      </c>
      <c r="F655" s="4" t="inlineStr">
        <is>
          <t>GOC Bed Unit-Costing Model v2 — working original.xlsx</t>
        </is>
      </c>
    </row>
    <row r="656" ht="40" customHeight="1">
      <c r="A656" s="4" t="inlineStr">
        <is>
          <t>original:Capex Estimates!D7</t>
        </is>
      </c>
      <c r="B656" s="4" t="inlineStr">
        <is>
          <t>Capex Estimates</t>
        </is>
      </c>
      <c r="C656" s="4" t="inlineStr">
        <is>
          <t>D7</t>
        </is>
      </c>
      <c r="D656" s="4" t="n">
        <v>5650</v>
      </c>
      <c r="E656" s="4" t="n">
        <v>5650</v>
      </c>
      <c r="F656" s="4" t="inlineStr">
        <is>
          <t>GOC Bed Unit-Costing Model v2 — working original.xlsx</t>
        </is>
      </c>
    </row>
    <row r="657" ht="75" customHeight="1">
      <c r="A657" s="4" t="inlineStr">
        <is>
          <t>original:Capex Estimates!E7</t>
        </is>
      </c>
      <c r="B657" s="4" t="inlineStr">
        <is>
          <t>Capex Estimates</t>
        </is>
      </c>
      <c r="C657" s="4" t="inlineStr">
        <is>
          <t>E7</t>
        </is>
      </c>
      <c r="D657" s="4" t="inlineStr">
        <is>
          <t>Wind-rated full-width unit $3,500-$5,000 supply + $800-$2,000 professional install. Selected = midpoints.</t>
        </is>
      </c>
      <c r="E657" s="4" t="inlineStr">
        <is>
          <t>Wind-rated full-width unit $3,500-$5,000 supply + $800-$2,000 professional install. Selected = midpoints.</t>
        </is>
      </c>
      <c r="F657" s="4" t="inlineStr">
        <is>
          <t>GOC Bed Unit-Costing Model v2 — working original.xlsx</t>
        </is>
      </c>
    </row>
    <row r="658" ht="60" customHeight="1">
      <c r="A658" s="4" t="inlineStr">
        <is>
          <t>original:Capex Estimates!F7</t>
        </is>
      </c>
      <c r="B658" s="4" t="inlineStr">
        <is>
          <t>Capex Estimates</t>
        </is>
      </c>
      <c r="C658" s="4" t="inlineStr">
        <is>
          <t>F7</t>
        </is>
      </c>
      <c r="D658" s="4" t="inlineStr">
        <is>
          <t>Door Supply Australia (doorsupply.com.au/blogs/news/container-roller-door)</t>
        </is>
      </c>
      <c r="E658" s="4" t="inlineStr">
        <is>
          <t>Door Supply Australia (doorsupply.com.au/blogs/news/container-roller-door)</t>
        </is>
      </c>
      <c r="F658" s="4" t="inlineStr">
        <is>
          <t>GOC Bed Unit-Costing Model v2 — working original.xlsx</t>
        </is>
      </c>
    </row>
    <row r="659" ht="40" customHeight="1">
      <c r="A659" s="4" t="inlineStr">
        <is>
          <t>original:Capex Estimates!G7</t>
        </is>
      </c>
      <c r="B659" s="4" t="inlineStr">
        <is>
          <t>Capex Estimates</t>
        </is>
      </c>
      <c r="C659" s="4" t="inlineStr">
        <is>
          <t>G7</t>
        </is>
      </c>
      <c r="D659" s="4" t="inlineStr">
        <is>
          <t>web-sourced</t>
        </is>
      </c>
      <c r="E659" s="4" t="inlineStr">
        <is>
          <t>web-sourced</t>
        </is>
      </c>
      <c r="F659" s="4" t="inlineStr">
        <is>
          <t>GOC Bed Unit-Costing Model v2 — working original.xlsx</t>
        </is>
      </c>
    </row>
    <row r="660" ht="45" customHeight="1">
      <c r="A660" s="4" t="inlineStr">
        <is>
          <t>original:Capex Estimates!A8</t>
        </is>
      </c>
      <c r="B660" s="4" t="inlineStr">
        <is>
          <t>Capex Estimates</t>
        </is>
      </c>
      <c r="C660" s="4" t="inlineStr">
        <is>
          <t>A8</t>
        </is>
      </c>
      <c r="D660" s="4" t="inlineStr">
        <is>
          <t>Ventilation, personnel door, internal steel &amp; misc fabrication</t>
        </is>
      </c>
      <c r="E660" s="4" t="inlineStr">
        <is>
          <t>Ventilation, personnel door, internal steel &amp; misc fabrication</t>
        </is>
      </c>
      <c r="F660" s="4" t="inlineStr">
        <is>
          <t>GOC Bed Unit-Costing Model v2 — working original.xlsx</t>
        </is>
      </c>
    </row>
    <row r="661" ht="40" customHeight="1">
      <c r="A661" s="4" t="inlineStr">
        <is>
          <t>original:Capex Estimates!D8</t>
        </is>
      </c>
      <c r="B661" s="4" t="inlineStr">
        <is>
          <t>Capex Estimates</t>
        </is>
      </c>
      <c r="C661" s="4" t="inlineStr">
        <is>
          <t>D8</t>
        </is>
      </c>
      <c r="D661" s="4" t="n">
        <v>1500</v>
      </c>
      <c r="E661" s="4" t="n">
        <v>1500</v>
      </c>
      <c r="F661" s="4" t="inlineStr">
        <is>
          <t>GOC Bed Unit-Costing Model v2 — working original.xlsx</t>
        </is>
      </c>
    </row>
    <row r="662" ht="120" customHeight="1">
      <c r="A662" s="4" t="inlineStr">
        <is>
          <t>original:Capex Estimates!E8</t>
        </is>
      </c>
      <c r="B662" s="4" t="inlineStr">
        <is>
          <t>Capex Estimates</t>
        </is>
      </c>
      <c r="C662" s="4" t="inlineStr">
        <is>
          <t>E8</t>
        </is>
      </c>
      <c r="D662" s="4" t="inlineStr">
        <is>
          <t>ALLOWANCE [LLM] — whirlybird vents, escape/personnel door, wall penetrations. No published AU package price found; needs fabricator quote. Critical for hot-press heat load.</t>
        </is>
      </c>
      <c r="E662" s="4" t="inlineStr">
        <is>
          <t>ALLOWANCE [LLM] — whirlybird vents, escape/personnel door, wall penetrations. No published AU package price found; needs fabricator quote. Critical for hot-press heat load.</t>
        </is>
      </c>
      <c r="F662" s="4" t="inlineStr">
        <is>
          <t>GOC Bed Unit-Costing Model v2 — working original.xlsx</t>
        </is>
      </c>
    </row>
    <row r="663" ht="75" customHeight="1">
      <c r="A663" s="4" t="inlineStr">
        <is>
          <t>original:Capex Estimates!F8</t>
        </is>
      </c>
      <c r="B663" s="4" t="inlineStr">
        <is>
          <t>Capex Estimates</t>
        </is>
      </c>
      <c r="C663" s="4" t="inlineStr">
        <is>
          <t>F8</t>
        </is>
      </c>
      <c r="D663" s="4" t="inlineStr">
        <is>
          <t>Component need per Gateway Containers workshop guide (gatewaycontainersales.com.au); no price published.</t>
        </is>
      </c>
      <c r="E663" s="4" t="inlineStr">
        <is>
          <t>Component need per Gateway Containers workshop guide (gatewaycontainersales.com.au); no price published.</t>
        </is>
      </c>
      <c r="F663" s="4" t="inlineStr">
        <is>
          <t>GOC Bed Unit-Costing Model v2 — working original.xlsx</t>
        </is>
      </c>
    </row>
    <row r="664" ht="40" customHeight="1">
      <c r="A664" s="4" t="inlineStr">
        <is>
          <t>original:Capex Estimates!G8</t>
        </is>
      </c>
      <c r="B664" s="4" t="inlineStr">
        <is>
          <t>Capex Estimates</t>
        </is>
      </c>
      <c r="C664" s="4" t="inlineStr">
        <is>
          <t>G8</t>
        </is>
      </c>
      <c r="D664" s="4" t="inlineStr">
        <is>
          <t>allowance</t>
        </is>
      </c>
      <c r="E664" s="4" t="inlineStr">
        <is>
          <t>allowance</t>
        </is>
      </c>
      <c r="F664" s="4" t="inlineStr">
        <is>
          <t>GOC Bed Unit-Costing Model v2 — working original.xlsx</t>
        </is>
      </c>
    </row>
    <row r="665" ht="40" customHeight="1">
      <c r="A665" s="4" t="inlineStr">
        <is>
          <t>original:Capex Estimates!A9</t>
        </is>
      </c>
      <c r="B665" s="4" t="inlineStr">
        <is>
          <t>Capex Estimates</t>
        </is>
      </c>
      <c r="C665" s="4" t="inlineStr">
        <is>
          <t>A9</t>
        </is>
      </c>
      <c r="D665" s="4" t="inlineStr">
        <is>
          <t>SUBTOTAL A — feeds Inputs</t>
        </is>
      </c>
      <c r="E665" s="4" t="inlineStr">
        <is>
          <t>SUBTOTAL A — feeds Inputs</t>
        </is>
      </c>
      <c r="F665" s="4" t="inlineStr">
        <is>
          <t>GOC Bed Unit-Costing Model v2 — working original.xlsx</t>
        </is>
      </c>
    </row>
    <row r="666" ht="40" customHeight="1">
      <c r="A666" s="4" t="inlineStr">
        <is>
          <t>original:Capex Estimates!D9</t>
        </is>
      </c>
      <c r="B666" s="4" t="inlineStr">
        <is>
          <t>Capex Estimates</t>
        </is>
      </c>
      <c r="C666" s="4" t="inlineStr">
        <is>
          <t>D9</t>
        </is>
      </c>
      <c r="D666" s="4" t="inlineStr">
        <is>
          <t>=SUM(D6:D8)</t>
        </is>
      </c>
      <c r="E666" s="4" t="n">
        <v>13950</v>
      </c>
      <c r="F666" s="4" t="inlineStr">
        <is>
          <t>GOC Bed Unit-Costing Model v2 — working original.xlsx</t>
        </is>
      </c>
    </row>
    <row r="667" ht="270" customHeight="1">
      <c r="A667" s="4" t="inlineStr">
        <is>
          <t>original:Capex Estimates!A10</t>
        </is>
      </c>
      <c r="B667" s="4" t="inlineStr">
        <is>
          <t>Capex Estimates</t>
        </is>
      </c>
      <c r="C667" s="4" t="inlineStr">
        <is>
          <t>A10</t>
        </is>
      </c>
      <c r="D667" s="4" t="inlineStr">
        <is>
          <t>Cross-checks: Containers First list a 40ft premium container with side roller door, escape hatch &amp; racking at $8,100 ex GST, and a 40ft new-build HC with roller door at $5,950 ex GST (clearance) — both below Subtotal A, suggesting it is not understated. East Coast Containers (Sunshine Coast) 20ft office conversion $17,500 ex GST incl. insulation, electrical &amp; AC is the upper analogue for a fully-finished unit.</t>
        </is>
      </c>
      <c r="E667" s="4" t="inlineStr">
        <is>
          <t>Cross-checks: Containers First list a 40ft premium container with side roller door, escape hatch &amp; racking at $8,100 ex GST, and a 40ft new-build HC with roller door at $5,950 ex GST (clearance) — both below Subtotal A, suggesting it is not understated. East Coast Containers (Sunshine Coast) 20ft office conversion $17,500 ex GST incl. insulation, electrical &amp; AC is the upper analogue for a fully-finished unit.</t>
        </is>
      </c>
      <c r="F667" s="4" t="inlineStr">
        <is>
          <t>GOC Bed Unit-Costing Model v2 — working original.xlsx</t>
        </is>
      </c>
    </row>
    <row r="668" ht="90" customHeight="1">
      <c r="A668" s="4" t="inlineStr">
        <is>
          <t>original:Capex Estimates!A11</t>
        </is>
      </c>
      <c r="B668" s="4" t="inlineStr">
        <is>
          <t>Capex Estimates</t>
        </is>
      </c>
      <c r="C668" s="4" t="inlineStr">
        <is>
          <t>A11</t>
        </is>
      </c>
      <c r="D668" s="4" t="inlineStr">
        <is>
          <t>Cross-check sources: containersfirst.com.au online store specials; eastcoastcontainers.com.au/product/office-20ft-shipping-container.</t>
        </is>
      </c>
      <c r="E668" s="4" t="inlineStr">
        <is>
          <t>Cross-check sources: containersfirst.com.au online store specials; eastcoastcontainers.com.au/product/office-20ft-shipping-container.</t>
        </is>
      </c>
      <c r="F668" s="4" t="inlineStr">
        <is>
          <t>GOC Bed Unit-Costing Model v2 — working original.xlsx</t>
        </is>
      </c>
    </row>
    <row r="669" ht="40" customHeight="1">
      <c r="A669" s="4" t="inlineStr">
        <is>
          <t>original:Capex Estimates!A13</t>
        </is>
      </c>
      <c r="B669" s="4" t="inlineStr">
        <is>
          <t>Capex Estimates</t>
        </is>
      </c>
      <c r="C669" s="4" t="inlineStr">
        <is>
          <t>A13</t>
        </is>
      </c>
      <c r="D669" s="4" t="inlineStr">
        <is>
          <t>B. ELECTRICAL &amp; SAFETY</t>
        </is>
      </c>
      <c r="E669" s="4" t="inlineStr">
        <is>
          <t>B. ELECTRICAL &amp; SAFETY</t>
        </is>
      </c>
      <c r="F669" s="4" t="inlineStr">
        <is>
          <t>GOC Bed Unit-Costing Model v2 — working original.xlsx</t>
        </is>
      </c>
    </row>
    <row r="670" ht="60" customHeight="1">
      <c r="A670" s="4" t="inlineStr">
        <is>
          <t>original:Capex Estimates!A14</t>
        </is>
      </c>
      <c r="B670" s="4" t="inlineStr">
        <is>
          <t>Capex Estimates</t>
        </is>
      </c>
      <c r="C670" s="4" t="inlineStr">
        <is>
          <t>A14</t>
        </is>
      </c>
      <c r="D670" s="4" t="inlineStr">
        <is>
          <t>3-phase workshop electrical fit-out (sub-board, machine circuits, lighting, RCDs)</t>
        </is>
      </c>
      <c r="E670" s="4" t="inlineStr">
        <is>
          <t>3-phase workshop electrical fit-out (sub-board, machine circuits, lighting, RCDs)</t>
        </is>
      </c>
      <c r="F670" s="4" t="inlineStr">
        <is>
          <t>GOC Bed Unit-Costing Model v2 — working original.xlsx</t>
        </is>
      </c>
    </row>
    <row r="671" ht="40" customHeight="1">
      <c r="A671" s="4" t="inlineStr">
        <is>
          <t>original:Capex Estimates!B14</t>
        </is>
      </c>
      <c r="B671" s="4" t="inlineStr">
        <is>
          <t>Capex Estimates</t>
        </is>
      </c>
      <c r="C671" s="4" t="inlineStr">
        <is>
          <t>B14</t>
        </is>
      </c>
      <c r="D671" s="4" t="n">
        <v>3000</v>
      </c>
      <c r="E671" s="4" t="n">
        <v>3000</v>
      </c>
      <c r="F671" s="4" t="inlineStr">
        <is>
          <t>GOC Bed Unit-Costing Model v2 — working original.xlsx</t>
        </is>
      </c>
    </row>
    <row r="672" ht="40" customHeight="1">
      <c r="A672" s="4" t="inlineStr">
        <is>
          <t>original:Capex Estimates!C14</t>
        </is>
      </c>
      <c r="B672" s="4" t="inlineStr">
        <is>
          <t>Capex Estimates</t>
        </is>
      </c>
      <c r="C672" s="4" t="inlineStr">
        <is>
          <t>C14</t>
        </is>
      </c>
      <c r="D672" s="4" t="n">
        <v>8000</v>
      </c>
      <c r="E672" s="4" t="n">
        <v>8000</v>
      </c>
      <c r="F672" s="4" t="inlineStr">
        <is>
          <t>GOC Bed Unit-Costing Model v2 — working original.xlsx</t>
        </is>
      </c>
    </row>
    <row r="673" ht="40" customHeight="1">
      <c r="A673" s="4" t="inlineStr">
        <is>
          <t>original:Capex Estimates!D14</t>
        </is>
      </c>
      <c r="B673" s="4" t="inlineStr">
        <is>
          <t>Capex Estimates</t>
        </is>
      </c>
      <c r="C673" s="4" t="inlineStr">
        <is>
          <t>D14</t>
        </is>
      </c>
      <c r="D673" s="4" t="n">
        <v>5500</v>
      </c>
      <c r="E673" s="4" t="n">
        <v>5500</v>
      </c>
      <c r="F673" s="4" t="inlineStr">
        <is>
          <t>GOC Bed Unit-Costing Model v2 — working original.xlsx</t>
        </is>
      </c>
    </row>
    <row r="674" ht="105" customHeight="1">
      <c r="A674" s="4" t="inlineStr">
        <is>
          <t>original:Capex Estimates!E14</t>
        </is>
      </c>
      <c r="B674" s="4" t="inlineStr">
        <is>
          <t>Capex Estimates</t>
        </is>
      </c>
      <c r="C674" s="4" t="inlineStr">
        <is>
          <t>E14</t>
        </is>
      </c>
      <c r="D674" s="4" t="inlineStr">
        <is>
          <t>Published range for workshop three-phase installations incl. sub-board + equipment circuits. Selected = midpoint. Sub-board alone $800-$1,500 installed.</t>
        </is>
      </c>
      <c r="E674" s="4" t="inlineStr">
        <is>
          <t>Published range for workshop three-phase installations incl. sub-board + equipment circuits. Selected = midpoint. Sub-board alone $800-$1,500 installed.</t>
        </is>
      </c>
      <c r="F674" s="4" t="inlineStr">
        <is>
          <t>GOC Bed Unit-Costing Model v2 — working original.xlsx</t>
        </is>
      </c>
    </row>
    <row r="675" ht="105" customHeight="1">
      <c r="A675" s="4" t="inlineStr">
        <is>
          <t>original:Capex Estimates!F14</t>
        </is>
      </c>
      <c r="B675" s="4" t="inlineStr">
        <is>
          <t>Capex Estimates</t>
        </is>
      </c>
      <c r="C675" s="4" t="inlineStr">
        <is>
          <t>F14</t>
        </is>
      </c>
      <c r="D675" s="4" t="inlineStr">
        <is>
          <t>The Quote Yard, Three Phase Power Installation Cost NSW 2026 (thequoteyard.com.au); BuildPilot electrical guide (buildpilot.com.au/learn/electrical)</t>
        </is>
      </c>
      <c r="E675" s="4" t="inlineStr">
        <is>
          <t>The Quote Yard, Three Phase Power Installation Cost NSW 2026 (thequoteyard.com.au); BuildPilot electrical guide (buildpilot.com.au/learn/electrical)</t>
        </is>
      </c>
      <c r="F675" s="4" t="inlineStr">
        <is>
          <t>GOC Bed Unit-Costing Model v2 — working original.xlsx</t>
        </is>
      </c>
    </row>
    <row r="676" ht="40" customHeight="1">
      <c r="A676" s="4" t="inlineStr">
        <is>
          <t>original:Capex Estimates!G14</t>
        </is>
      </c>
      <c r="B676" s="4" t="inlineStr">
        <is>
          <t>Capex Estimates</t>
        </is>
      </c>
      <c r="C676" s="4" t="inlineStr">
        <is>
          <t>G14</t>
        </is>
      </c>
      <c r="D676" s="4" t="inlineStr">
        <is>
          <t>web-sourced</t>
        </is>
      </c>
      <c r="E676" s="4" t="inlineStr">
        <is>
          <t>web-sourced</t>
        </is>
      </c>
      <c r="F676" s="4" t="inlineStr">
        <is>
          <t>GOC Bed Unit-Costing Model v2 — working original.xlsx</t>
        </is>
      </c>
    </row>
    <row r="677" ht="75" customHeight="1">
      <c r="A677" s="4" t="inlineStr">
        <is>
          <t>original:Capex Estimates!A15</t>
        </is>
      </c>
      <c r="B677" s="4" t="inlineStr">
        <is>
          <t>Capex Estimates</t>
        </is>
      </c>
      <c r="C677" s="4" t="inlineStr">
        <is>
          <t>A15</t>
        </is>
      </c>
      <c r="D677" s="4" t="inlineStr">
        <is>
          <t>Safety compliance kit (extinguishers per AS 2444, first aid, AS 1319 signage, emergency lighting)</t>
        </is>
      </c>
      <c r="E677" s="4" t="inlineStr">
        <is>
          <t>Safety compliance kit (extinguishers per AS 2444, first aid, AS 1319 signage, emergency lighting)</t>
        </is>
      </c>
      <c r="F677" s="4" t="inlineStr">
        <is>
          <t>GOC Bed Unit-Costing Model v2 — working original.xlsx</t>
        </is>
      </c>
    </row>
    <row r="678" ht="40" customHeight="1">
      <c r="A678" s="4" t="inlineStr">
        <is>
          <t>original:Capex Estimates!D15</t>
        </is>
      </c>
      <c r="B678" s="4" t="inlineStr">
        <is>
          <t>Capex Estimates</t>
        </is>
      </c>
      <c r="C678" s="4" t="inlineStr">
        <is>
          <t>D15</t>
        </is>
      </c>
      <c r="D678" s="4" t="n">
        <v>1000</v>
      </c>
      <c r="E678" s="4" t="n">
        <v>1000</v>
      </c>
      <c r="F678" s="4" t="inlineStr">
        <is>
          <t>GOC Bed Unit-Costing Model v2 — working original.xlsx</t>
        </is>
      </c>
    </row>
    <row r="679" ht="150" customHeight="1">
      <c r="A679" s="4" t="inlineStr">
        <is>
          <t>original:Capex Estimates!E15</t>
        </is>
      </c>
      <c r="B679" s="4" t="inlineStr">
        <is>
          <t>Capex Estimates</t>
        </is>
      </c>
      <c r="C679" s="4" t="inlineStr">
        <is>
          <t>E15</t>
        </is>
      </c>
      <c r="D679" s="4" t="inlineStr">
        <is>
          <t>ALLOWANCE [LLM] — signage cited at &lt;$20/sign; extinguisher &amp; first-aid unit prices not itemised in sources. Needs safety-supplier quote. Ongoing AS 1851 6-monthly extinguisher servicing is an opex item, not capex.</t>
        </is>
      </c>
      <c r="E679" s="4" t="inlineStr">
        <is>
          <t>ALLOWANCE [LLM] — signage cited at &lt;$20/sign; extinguisher &amp; first-aid unit prices not itemised in sources. Needs safety-supplier quote. Ongoing AS 1851 6-monthly extinguisher servicing is an opex item, not capex.</t>
        </is>
      </c>
      <c r="F679" s="4" t="inlineStr">
        <is>
          <t>GOC Bed Unit-Costing Model v2 — working original.xlsx</t>
        </is>
      </c>
    </row>
    <row r="680" ht="120" customHeight="1">
      <c r="A680" s="4" t="inlineStr">
        <is>
          <t>original:Capex Estimates!F15</t>
        </is>
      </c>
      <c r="B680" s="4" t="inlineStr">
        <is>
          <t>Capex Estimates</t>
        </is>
      </c>
      <c r="C680" s="4" t="inlineStr">
        <is>
          <t>F15</t>
        </is>
      </c>
      <c r="D680" s="4" t="inlineStr">
        <is>
          <t>Fire Extinguisher Shop signage pricing (fireextinguishershop.com.au); Fire &amp; Rescue NSW extinguisher guidance (fire.nsw.gov.au); 1st Safety first-aid code guide (1stsafety.com.au)</t>
        </is>
      </c>
      <c r="E680" s="4" t="inlineStr">
        <is>
          <t>Fire Extinguisher Shop signage pricing (fireextinguishershop.com.au); Fire &amp; Rescue NSW extinguisher guidance (fire.nsw.gov.au); 1st Safety first-aid code guide (1stsafety.com.au)</t>
        </is>
      </c>
      <c r="F680" s="4" t="inlineStr">
        <is>
          <t>GOC Bed Unit-Costing Model v2 — working original.xlsx</t>
        </is>
      </c>
    </row>
    <row r="681" ht="40" customHeight="1">
      <c r="A681" s="4" t="inlineStr">
        <is>
          <t>original:Capex Estimates!G15</t>
        </is>
      </c>
      <c r="B681" s="4" t="inlineStr">
        <is>
          <t>Capex Estimates</t>
        </is>
      </c>
      <c r="C681" s="4" t="inlineStr">
        <is>
          <t>G15</t>
        </is>
      </c>
      <c r="D681" s="4" t="inlineStr">
        <is>
          <t>allowance</t>
        </is>
      </c>
      <c r="E681" s="4" t="inlineStr">
        <is>
          <t>allowance</t>
        </is>
      </c>
      <c r="F681" s="4" t="inlineStr">
        <is>
          <t>GOC Bed Unit-Costing Model v2 — working original.xlsx</t>
        </is>
      </c>
    </row>
    <row r="682" ht="60" customHeight="1">
      <c r="A682" s="4" t="inlineStr">
        <is>
          <t>original:Capex Estimates!A16</t>
        </is>
      </c>
      <c r="B682" s="4" t="inlineStr">
        <is>
          <t>Capex Estimates</t>
        </is>
      </c>
      <c r="C682" s="4" t="inlineStr">
        <is>
          <t>A16</t>
        </is>
      </c>
      <c r="D682" s="4" t="inlineStr">
        <is>
          <t>Off-grid power: 30kVA 3-phase diesel genset in canopy — INCLUDED per Matt 2026-07-22</t>
        </is>
      </c>
      <c r="E682" s="4" t="inlineStr">
        <is>
          <t>Off-grid power: 30kVA 3-phase diesel genset in canopy — INCLUDED per Matt 2026-07-22</t>
        </is>
      </c>
      <c r="F682" s="4" t="inlineStr">
        <is>
          <t>GOC Bed Unit-Costing Model v2 — working original.xlsx</t>
        </is>
      </c>
    </row>
    <row r="683" ht="40" customHeight="1">
      <c r="A683" s="4" t="inlineStr">
        <is>
          <t>original:Capex Estimates!B16</t>
        </is>
      </c>
      <c r="B683" s="4" t="inlineStr">
        <is>
          <t>Capex Estimates</t>
        </is>
      </c>
      <c r="C683" s="4" t="inlineStr">
        <is>
          <t>B16</t>
        </is>
      </c>
      <c r="D683" s="4" t="n">
        <v>12000</v>
      </c>
      <c r="E683" s="4" t="n">
        <v>12000</v>
      </c>
      <c r="F683" s="4" t="inlineStr">
        <is>
          <t>GOC Bed Unit-Costing Model v2 — working original.xlsx</t>
        </is>
      </c>
    </row>
    <row r="684" ht="40" customHeight="1">
      <c r="A684" s="4" t="inlineStr">
        <is>
          <t>original:Capex Estimates!C16</t>
        </is>
      </c>
      <c r="B684" s="4" t="inlineStr">
        <is>
          <t>Capex Estimates</t>
        </is>
      </c>
      <c r="C684" s="4" t="inlineStr">
        <is>
          <t>C16</t>
        </is>
      </c>
      <c r="D684" s="4" t="n">
        <v>13200</v>
      </c>
      <c r="E684" s="4" t="n">
        <v>13200</v>
      </c>
      <c r="F684" s="4" t="inlineStr">
        <is>
          <t>GOC Bed Unit-Costing Model v2 — working original.xlsx</t>
        </is>
      </c>
    </row>
    <row r="685" ht="40" customHeight="1">
      <c r="A685" s="4" t="inlineStr">
        <is>
          <t>original:Capex Estimates!D16</t>
        </is>
      </c>
      <c r="B685" s="4" t="inlineStr">
        <is>
          <t>Capex Estimates</t>
        </is>
      </c>
      <c r="C685" s="4" t="inlineStr">
        <is>
          <t>D16</t>
        </is>
      </c>
      <c r="D685" s="4" t="n">
        <v>12000</v>
      </c>
      <c r="E685" s="4" t="n">
        <v>12000</v>
      </c>
      <c r="F685" s="4" t="inlineStr">
        <is>
          <t>GOC Bed Unit-Costing Model v2 — working original.xlsx</t>
        </is>
      </c>
    </row>
    <row r="686" ht="165" customHeight="1">
      <c r="A686" s="4" t="inlineStr">
        <is>
          <t>original:Capex Estimates!E16</t>
        </is>
      </c>
      <c r="B686" s="4" t="inlineStr">
        <is>
          <t>Capex Estimates</t>
        </is>
      </c>
      <c r="C686" s="4" t="inlineStr">
        <is>
          <t>E16</t>
        </is>
      </c>
      <c r="D686" s="4" t="inlineStr">
        <is>
          <t>Confirmed in-scope 2026-07-22: v6 model assumes diesel-run press/CNC (25L/day) and community sites cannot be assumed to have adequate 3-phase supply. $13,200 incl GST converted to ~$12,000 ex GST. Retail price, transport to fit-out yard excluded.</t>
        </is>
      </c>
      <c r="E686" s="4" t="inlineStr">
        <is>
          <t>Confirmed in-scope 2026-07-22: v6 model assumes diesel-run press/CNC (25L/day) and community sites cannot be assumed to have adequate 3-phase supply. $13,200 incl GST converted to ~$12,000 ex GST. Retail price, transport to fit-out yard excluded.</t>
        </is>
      </c>
      <c r="F686" s="4" t="inlineStr">
        <is>
          <t>GOC Bed Unit-Costing Model v2 — working original.xlsx</t>
        </is>
      </c>
    </row>
    <row r="687" ht="90" customHeight="1">
      <c r="A687" s="4" t="inlineStr">
        <is>
          <t>original:Capex Estimates!F16</t>
        </is>
      </c>
      <c r="B687" s="4" t="inlineStr">
        <is>
          <t>Capex Estimates</t>
        </is>
      </c>
      <c r="C687" s="4" t="inlineStr">
        <is>
          <t>F16</t>
        </is>
      </c>
      <c r="D687" s="4" t="inlineStr">
        <is>
          <t>Genworks Australia GWA33CY-XC product page, fetched 2026-07-22 (genworks.com.au/products/30kva-diesel-generator-three-phase)</t>
        </is>
      </c>
      <c r="E687" s="4" t="inlineStr">
        <is>
          <t>Genworks Australia GWA33CY-XC product page, fetched 2026-07-22 (genworks.com.au/products/30kva-diesel-generator-three-phase)</t>
        </is>
      </c>
      <c r="F687" s="4" t="inlineStr">
        <is>
          <t>GOC Bed Unit-Costing Model v2 — working original.xlsx</t>
        </is>
      </c>
    </row>
    <row r="688" ht="40" customHeight="1">
      <c r="A688" s="4" t="inlineStr">
        <is>
          <t>original:Capex Estimates!G16</t>
        </is>
      </c>
      <c r="B688" s="4" t="inlineStr">
        <is>
          <t>Capex Estimates</t>
        </is>
      </c>
      <c r="C688" s="4" t="inlineStr">
        <is>
          <t>G16</t>
        </is>
      </c>
      <c r="D688" s="4" t="inlineStr">
        <is>
          <t>web-sourced (verified retail price)</t>
        </is>
      </c>
      <c r="E688" s="4" t="inlineStr">
        <is>
          <t>web-sourced (verified retail price)</t>
        </is>
      </c>
      <c r="F688" s="4" t="inlineStr">
        <is>
          <t>GOC Bed Unit-Costing Model v2 — working original.xlsx</t>
        </is>
      </c>
    </row>
    <row r="689" ht="40" customHeight="1">
      <c r="A689" s="4" t="inlineStr">
        <is>
          <t>original:Capex Estimates!A17</t>
        </is>
      </c>
      <c r="B689" s="4" t="inlineStr">
        <is>
          <t>Capex Estimates</t>
        </is>
      </c>
      <c r="C689" s="4" t="inlineStr">
        <is>
          <t>A17</t>
        </is>
      </c>
      <c r="D689" s="4" t="inlineStr">
        <is>
          <t>SUBTOTAL B — feeds Inputs</t>
        </is>
      </c>
      <c r="E689" s="4" t="inlineStr">
        <is>
          <t>SUBTOTAL B — feeds Inputs</t>
        </is>
      </c>
      <c r="F689" s="4" t="inlineStr">
        <is>
          <t>GOC Bed Unit-Costing Model v2 — working original.xlsx</t>
        </is>
      </c>
    </row>
    <row r="690" ht="40" customHeight="1">
      <c r="A690" s="4" t="inlineStr">
        <is>
          <t>original:Capex Estimates!D17</t>
        </is>
      </c>
      <c r="B690" s="4" t="inlineStr">
        <is>
          <t>Capex Estimates</t>
        </is>
      </c>
      <c r="C690" s="4" t="inlineStr">
        <is>
          <t>D17</t>
        </is>
      </c>
      <c r="D690" s="4" t="inlineStr">
        <is>
          <t>=SUM(D14:D16)</t>
        </is>
      </c>
      <c r="E690" s="4" t="n">
        <v>18500</v>
      </c>
      <c r="F690" s="4" t="inlineStr">
        <is>
          <t>GOC Bed Unit-Costing Model v2 — working original.xlsx</t>
        </is>
      </c>
    </row>
    <row r="691" ht="40" customHeight="1">
      <c r="A691" s="4" t="inlineStr">
        <is>
          <t>original:Capex Estimates!A19</t>
        </is>
      </c>
      <c r="B691" s="4" t="inlineStr">
        <is>
          <t>Capex Estimates</t>
        </is>
      </c>
      <c r="C691" s="4" t="inlineStr">
        <is>
          <t>A19</t>
        </is>
      </c>
      <c r="D691" s="4" t="inlineStr">
        <is>
          <t>C. FREIGHT TO SITE (assumed 2,500 km)</t>
        </is>
      </c>
      <c r="E691" s="4" t="inlineStr">
        <is>
          <t>C. FREIGHT TO SITE (assumed 2,500 km)</t>
        </is>
      </c>
      <c r="F691" s="4" t="inlineStr">
        <is>
          <t>GOC Bed Unit-Costing Model v2 — working original.xlsx</t>
        </is>
      </c>
    </row>
    <row r="692" ht="40" customHeight="1">
      <c r="A692" s="4" t="inlineStr">
        <is>
          <t>original:Capex Estimates!A20</t>
        </is>
      </c>
      <c r="B692" s="4" t="inlineStr">
        <is>
          <t>Capex Estimates</t>
        </is>
      </c>
      <c r="C692" s="4" t="inlineStr">
        <is>
          <t>A20</t>
        </is>
      </c>
      <c r="D692" s="4" t="inlineStr">
        <is>
          <t>Linehaul, 40ft container ~2,500 km</t>
        </is>
      </c>
      <c r="E692" s="4" t="inlineStr">
        <is>
          <t>Linehaul, 40ft container ~2,500 km</t>
        </is>
      </c>
      <c r="F692" s="4" t="inlineStr">
        <is>
          <t>GOC Bed Unit-Costing Model v2 — working original.xlsx</t>
        </is>
      </c>
    </row>
    <row r="693" ht="40" customHeight="1">
      <c r="A693" s="4" t="inlineStr">
        <is>
          <t>original:Capex Estimates!B20</t>
        </is>
      </c>
      <c r="B693" s="4" t="inlineStr">
        <is>
          <t>Capex Estimates</t>
        </is>
      </c>
      <c r="C693" s="4" t="inlineStr">
        <is>
          <t>B20</t>
        </is>
      </c>
      <c r="D693" s="4" t="n">
        <v>3000</v>
      </c>
      <c r="E693" s="4" t="n">
        <v>3000</v>
      </c>
      <c r="F693" s="4" t="inlineStr">
        <is>
          <t>GOC Bed Unit-Costing Model v2 — working original.xlsx</t>
        </is>
      </c>
    </row>
    <row r="694" ht="40" customHeight="1">
      <c r="A694" s="4" t="inlineStr">
        <is>
          <t>original:Capex Estimates!C20</t>
        </is>
      </c>
      <c r="B694" s="4" t="inlineStr">
        <is>
          <t>Capex Estimates</t>
        </is>
      </c>
      <c r="C694" s="4" t="inlineStr">
        <is>
          <t>C20</t>
        </is>
      </c>
      <c r="D694" s="4" t="n">
        <v>4200</v>
      </c>
      <c r="E694" s="4" t="n">
        <v>4200</v>
      </c>
      <c r="F694" s="4" t="inlineStr">
        <is>
          <t>GOC Bed Unit-Costing Model v2 — working original.xlsx</t>
        </is>
      </c>
    </row>
    <row r="695" ht="40" customHeight="1">
      <c r="A695" s="4" t="inlineStr">
        <is>
          <t>original:Capex Estimates!D20</t>
        </is>
      </c>
      <c r="B695" s="4" t="inlineStr">
        <is>
          <t>Capex Estimates</t>
        </is>
      </c>
      <c r="C695" s="4" t="inlineStr">
        <is>
          <t>D20</t>
        </is>
      </c>
      <c r="D695" s="4" t="n">
        <v>3600</v>
      </c>
      <c r="E695" s="4" t="n">
        <v>3600</v>
      </c>
      <c r="F695" s="4" t="inlineStr">
        <is>
          <t>GOC Bed Unit-Costing Model v2 — working original.xlsx</t>
        </is>
      </c>
    </row>
    <row r="696" ht="240" customHeight="1">
      <c r="A696" s="4" t="inlineStr">
        <is>
          <t>original:Capex Estimates!E20</t>
        </is>
      </c>
      <c r="B696" s="4" t="inlineStr">
        <is>
          <t>Capex Estimates</t>
        </is>
      </c>
      <c r="C696" s="4" t="inlineStr">
        <is>
          <t>E20</t>
        </is>
      </c>
      <c r="D696" s="4" t="inlineStr">
        <is>
          <t>DERIVED [LLM interpolation]: published 40ft route rates — Melbourne-Brisbane (~1,700km) $2,400-$3,500; Perth-Sydney (~3,900km) $3,800-$4,800; general interstate range $2,000-$4,500. Straight-line interpolation to 2,500km gives ~$3,000-$4,200; selected = midpoint. Machinery payload (~3-5t) is well inside container limits and should not change cartage class.</t>
        </is>
      </c>
      <c r="E696" s="4" t="inlineStr">
        <is>
          <t>DERIVED [LLM interpolation]: published 40ft route rates — Melbourne-Brisbane (~1,700km) $2,400-$3,500; Perth-Sydney (~3,900km) $3,800-$4,800; general interstate range $2,000-$4,500. Straight-line interpolation to 2,500km gives ~$3,000-$4,200; selected = midpoint. Machinery payload (~3-5t) is well inside container limits and should not change cartage class.</t>
        </is>
      </c>
      <c r="F696" s="4" t="inlineStr">
        <is>
          <t>GOC Bed Unit-Costing Model v2 — working original.xlsx</t>
        </is>
      </c>
    </row>
    <row r="697" ht="90" customHeight="1">
      <c r="A697" s="4" t="inlineStr">
        <is>
          <t>original:Capex Estimates!F20</t>
        </is>
      </c>
      <c r="B697" s="4" t="inlineStr">
        <is>
          <t>Capex Estimates</t>
        </is>
      </c>
      <c r="C697" s="4" t="inlineStr">
        <is>
          <t>F20</t>
        </is>
      </c>
      <c r="D697" s="4" t="inlineStr">
        <is>
          <t>Best Rated Transport, Shipping Container Moving Costs, Apr 2026 (bestratedtransport.com.au/blog/shipping-container-moving-costs)</t>
        </is>
      </c>
      <c r="E697" s="4" t="inlineStr">
        <is>
          <t>Best Rated Transport, Shipping Container Moving Costs, Apr 2026 (bestratedtransport.com.au/blog/shipping-container-moving-costs)</t>
        </is>
      </c>
      <c r="F697" s="4" t="inlineStr">
        <is>
          <t>GOC Bed Unit-Costing Model v2 — working original.xlsx</t>
        </is>
      </c>
    </row>
    <row r="698" ht="40" customHeight="1">
      <c r="A698" s="4" t="inlineStr">
        <is>
          <t>original:Capex Estimates!G20</t>
        </is>
      </c>
      <c r="B698" s="4" t="inlineStr">
        <is>
          <t>Capex Estimates</t>
        </is>
      </c>
      <c r="C698" s="4" t="inlineStr">
        <is>
          <t>G20</t>
        </is>
      </c>
      <c r="D698" s="4" t="inlineStr">
        <is>
          <t>derived</t>
        </is>
      </c>
      <c r="E698" s="4" t="inlineStr">
        <is>
          <t>derived</t>
        </is>
      </c>
      <c r="F698" s="4" t="inlineStr">
        <is>
          <t>GOC Bed Unit-Costing Model v2 — working original.xlsx</t>
        </is>
      </c>
    </row>
    <row r="699" ht="45" customHeight="1">
      <c r="A699" s="4" t="inlineStr">
        <is>
          <t>original:Capex Estimates!A21</t>
        </is>
      </c>
      <c r="B699" s="4" t="inlineStr">
        <is>
          <t>Capex Estimates</t>
        </is>
      </c>
      <c r="C699" s="4" t="inlineStr">
        <is>
          <t>A21</t>
        </is>
      </c>
      <c r="D699" s="4" t="inlineStr">
        <is>
          <t>Remote final leg + offload (side-loader/crane, off-corridor delivery)</t>
        </is>
      </c>
      <c r="E699" s="4" t="inlineStr">
        <is>
          <t>Remote final leg + offload (side-loader/crane, off-corridor delivery)</t>
        </is>
      </c>
      <c r="F699" s="4" t="inlineStr">
        <is>
          <t>GOC Bed Unit-Costing Model v2 — working original.xlsx</t>
        </is>
      </c>
    </row>
    <row r="700" ht="40" customHeight="1">
      <c r="A700" s="4" t="inlineStr">
        <is>
          <t>original:Capex Estimates!D21</t>
        </is>
      </c>
      <c r="B700" s="4" t="inlineStr">
        <is>
          <t>Capex Estimates</t>
        </is>
      </c>
      <c r="C700" s="4" t="inlineStr">
        <is>
          <t>D21</t>
        </is>
      </c>
      <c r="D700" s="4" t="n">
        <v>1400</v>
      </c>
      <c r="E700" s="4" t="n">
        <v>1400</v>
      </c>
      <c r="F700" s="4" t="inlineStr">
        <is>
          <t>GOC Bed Unit-Costing Model v2 — working original.xlsx</t>
        </is>
      </c>
    </row>
    <row r="701" ht="135" customHeight="1">
      <c r="A701" s="4" t="inlineStr">
        <is>
          <t>original:Capex Estimates!E21</t>
        </is>
      </c>
      <c r="B701" s="4" t="inlineStr">
        <is>
          <t>Capex Estimates</t>
        </is>
      </c>
      <c r="C701" s="4" t="inlineStr">
        <is>
          <t>E21</t>
        </is>
      </c>
      <c r="D701" s="4" t="inlineStr">
        <is>
          <t>ALLOWANCE [LLM] — off-corridor delivery charged ~$4.50-$7.00/km from nearest depot (cited) but final-leg distance is site-specific; crane/side-loader offload extra. Needs route-specific quote.</t>
        </is>
      </c>
      <c r="E701" s="4" t="inlineStr">
        <is>
          <t>ALLOWANCE [LLM] — off-corridor delivery charged ~$4.50-$7.00/km from nearest depot (cited) but final-leg distance is site-specific; crane/side-loader offload extra. Needs route-specific quote.</t>
        </is>
      </c>
      <c r="F701" s="4" t="inlineStr">
        <is>
          <t>GOC Bed Unit-Costing Model v2 — working original.xlsx</t>
        </is>
      </c>
    </row>
    <row r="702" ht="90" customHeight="1">
      <c r="A702" s="4" t="inlineStr">
        <is>
          <t>original:Capex Estimates!F21</t>
        </is>
      </c>
      <c r="B702" s="4" t="inlineStr">
        <is>
          <t>Capex Estimates</t>
        </is>
      </c>
      <c r="C702" s="4" t="inlineStr">
        <is>
          <t>F21</t>
        </is>
      </c>
      <c r="D702" s="4" t="inlineStr">
        <is>
          <t>Per-km remote rates: Best Rated Transport cost guides; Shipping Containers Australia 2026 guide (shipping-containers.com.au)</t>
        </is>
      </c>
      <c r="E702" s="4" t="inlineStr">
        <is>
          <t>Per-km remote rates: Best Rated Transport cost guides; Shipping Containers Australia 2026 guide (shipping-containers.com.au)</t>
        </is>
      </c>
      <c r="F702" s="4" t="inlineStr">
        <is>
          <t>GOC Bed Unit-Costing Model v2 — working original.xlsx</t>
        </is>
      </c>
    </row>
    <row r="703" ht="40" customHeight="1">
      <c r="A703" s="4" t="inlineStr">
        <is>
          <t>original:Capex Estimates!G21</t>
        </is>
      </c>
      <c r="B703" s="4" t="inlineStr">
        <is>
          <t>Capex Estimates</t>
        </is>
      </c>
      <c r="C703" s="4" t="inlineStr">
        <is>
          <t>G21</t>
        </is>
      </c>
      <c r="D703" s="4" t="inlineStr">
        <is>
          <t>allowance</t>
        </is>
      </c>
      <c r="E703" s="4" t="inlineStr">
        <is>
          <t>allowance</t>
        </is>
      </c>
      <c r="F703" s="4" t="inlineStr">
        <is>
          <t>GOC Bed Unit-Costing Model v2 — working original.xlsx</t>
        </is>
      </c>
    </row>
    <row r="704" ht="40" customHeight="1">
      <c r="A704" s="4" t="inlineStr">
        <is>
          <t>original:Capex Estimates!A22</t>
        </is>
      </c>
      <c r="B704" s="4" t="inlineStr">
        <is>
          <t>Capex Estimates</t>
        </is>
      </c>
      <c r="C704" s="4" t="inlineStr">
        <is>
          <t>A22</t>
        </is>
      </c>
      <c r="D704" s="4" t="inlineStr">
        <is>
          <t>SUBTOTAL C — feeds Inputs</t>
        </is>
      </c>
      <c r="E704" s="4" t="inlineStr">
        <is>
          <t>SUBTOTAL C — feeds Inputs</t>
        </is>
      </c>
      <c r="F704" s="4" t="inlineStr">
        <is>
          <t>GOC Bed Unit-Costing Model v2 — working original.xlsx</t>
        </is>
      </c>
    </row>
    <row r="705" ht="40" customHeight="1">
      <c r="A705" s="4" t="inlineStr">
        <is>
          <t>original:Capex Estimates!D22</t>
        </is>
      </c>
      <c r="B705" s="4" t="inlineStr">
        <is>
          <t>Capex Estimates</t>
        </is>
      </c>
      <c r="C705" s="4" t="inlineStr">
        <is>
          <t>D22</t>
        </is>
      </c>
      <c r="D705" s="4" t="inlineStr">
        <is>
          <t>=SUM(D20:D21)</t>
        </is>
      </c>
      <c r="E705" s="4" t="n">
        <v>5000</v>
      </c>
      <c r="F705" s="4" t="inlineStr">
        <is>
          <t>GOC Bed Unit-Costing Model v2 — working original.xlsx</t>
        </is>
      </c>
    </row>
    <row r="706" ht="40" customHeight="1">
      <c r="A706" s="4" t="inlineStr">
        <is>
          <t>original:Capex Estimates!A24</t>
        </is>
      </c>
      <c r="B706" s="4" t="inlineStr">
        <is>
          <t>Capex Estimates</t>
        </is>
      </c>
      <c r="C706" s="4" t="inlineStr">
        <is>
          <t>A24</t>
        </is>
      </c>
      <c r="D706" s="4" t="inlineStr">
        <is>
          <t>D. INSTALLATION &amp; TRAINING</t>
        </is>
      </c>
      <c r="E706" s="4" t="inlineStr">
        <is>
          <t>D. INSTALLATION &amp; TRAINING</t>
        </is>
      </c>
      <c r="F706" s="4" t="inlineStr">
        <is>
          <t>GOC Bed Unit-Costing Model v2 — working original.xlsx</t>
        </is>
      </c>
    </row>
    <row r="707" ht="40" customHeight="1">
      <c r="A707" s="4" t="inlineStr">
        <is>
          <t>original:Capex Estimates!A25</t>
        </is>
      </c>
      <c r="B707" s="4" t="inlineStr">
        <is>
          <t>Capex Estimates</t>
        </is>
      </c>
      <c r="C707" s="4" t="inlineStr">
        <is>
          <t>A25</t>
        </is>
      </c>
      <c r="D707" s="4" t="inlineStr">
        <is>
          <t>Installation &amp; training per site</t>
        </is>
      </c>
      <c r="E707" s="4" t="inlineStr">
        <is>
          <t>Installation &amp; training per site</t>
        </is>
      </c>
      <c r="F707" s="4" t="inlineStr">
        <is>
          <t>GOC Bed Unit-Costing Model v2 — working original.xlsx</t>
        </is>
      </c>
    </row>
    <row r="708" ht="40" customHeight="1">
      <c r="A708" s="4" t="inlineStr">
        <is>
          <t>original:Capex Estimates!D25</t>
        </is>
      </c>
      <c r="B708" s="4" t="inlineStr">
        <is>
          <t>Capex Estimates</t>
        </is>
      </c>
      <c r="C708" s="4" t="inlineStr">
        <is>
          <t>D25</t>
        </is>
      </c>
      <c r="D708" s="4" t="n">
        <v>3000</v>
      </c>
      <c r="E708" s="4" t="n">
        <v>3000</v>
      </c>
      <c r="F708" s="4" t="inlineStr">
        <is>
          <t>GOC Bed Unit-Costing Model v2 — working original.xlsx</t>
        </is>
      </c>
    </row>
    <row r="709" ht="150" customHeight="1">
      <c r="A709" s="4" t="inlineStr">
        <is>
          <t>original:Capex Estimates!E25</t>
        </is>
      </c>
      <c r="B709" s="4" t="inlineStr">
        <is>
          <t>Capex Estimates</t>
        </is>
      </c>
      <c r="C709" s="4" t="inlineStr">
        <is>
          <t>E25</t>
        </is>
      </c>
      <c r="D709" s="4" t="inlineStr">
        <is>
          <t>USER ASSUMPTION (Matt, 2026-07-22): $3,000/site, delivered IN-HOUSE — editable. External benchmark: Defy on-site Production Training Package $6,000/session (02-supplier-quotes.md) — not applicable since training is done in-house.</t>
        </is>
      </c>
      <c r="E709" s="4" t="inlineStr">
        <is>
          <t>USER ASSUMPTION (Matt, 2026-07-22): $3,000/site, delivered IN-HOUSE — editable. External benchmark: Defy on-site Production Training Package $6,000/session (02-supplier-quotes.md) — not applicable since training is done in-house.</t>
        </is>
      </c>
      <c r="F709" s="4" t="inlineStr">
        <is>
          <t>GOC Bed Unit-Costing Model v2 — working original.xlsx</t>
        </is>
      </c>
    </row>
    <row r="710" ht="60" customHeight="1">
      <c r="A710" s="4" t="inlineStr">
        <is>
          <t>original:Capex Estimates!F25</t>
        </is>
      </c>
      <c r="B710" s="4" t="inlineStr">
        <is>
          <t>Capex Estimates</t>
        </is>
      </c>
      <c r="C710" s="4" t="inlineStr">
        <is>
          <t>F25</t>
        </is>
      </c>
      <c r="D710" s="4" t="inlineStr">
        <is>
          <t>User instruction; Defy quote from project bundle 02-supplier-quotes.md (as-of 2026-05-28)</t>
        </is>
      </c>
      <c r="E710" s="4" t="inlineStr">
        <is>
          <t>User instruction; Defy quote from project bundle 02-supplier-quotes.md (as-of 2026-05-28)</t>
        </is>
      </c>
      <c r="F710" s="4" t="inlineStr">
        <is>
          <t>GOC Bed Unit-Costing Model v2 — working original.xlsx</t>
        </is>
      </c>
    </row>
    <row r="711" ht="40" customHeight="1">
      <c r="A711" s="4" t="inlineStr">
        <is>
          <t>original:Capex Estimates!G25</t>
        </is>
      </c>
      <c r="B711" s="4" t="inlineStr">
        <is>
          <t>Capex Estimates</t>
        </is>
      </c>
      <c r="C711" s="4" t="inlineStr">
        <is>
          <t>G25</t>
        </is>
      </c>
      <c r="D711" s="4" t="inlineStr">
        <is>
          <t>user input</t>
        </is>
      </c>
      <c r="E711" s="4" t="inlineStr">
        <is>
          <t>user input</t>
        </is>
      </c>
      <c r="F711" s="4" t="inlineStr">
        <is>
          <t>GOC Bed Unit-Costing Model v2 — working original.xlsx</t>
        </is>
      </c>
    </row>
    <row r="712" ht="40" customHeight="1">
      <c r="A712" s="4" t="inlineStr">
        <is>
          <t>original:Capex Estimates!A26</t>
        </is>
      </c>
      <c r="B712" s="4" t="inlineStr">
        <is>
          <t>Capex Estimates</t>
        </is>
      </c>
      <c r="C712" s="4" t="inlineStr">
        <is>
          <t>A26</t>
        </is>
      </c>
      <c r="D712" s="4" t="inlineStr">
        <is>
          <t>SUBTOTAL D — feeds Inputs</t>
        </is>
      </c>
      <c r="E712" s="4" t="inlineStr">
        <is>
          <t>SUBTOTAL D — feeds Inputs</t>
        </is>
      </c>
      <c r="F712" s="4" t="inlineStr">
        <is>
          <t>GOC Bed Unit-Costing Model v2 — working original.xlsx</t>
        </is>
      </c>
    </row>
    <row r="713" ht="40" customHeight="1">
      <c r="A713" s="4" t="inlineStr">
        <is>
          <t>original:Capex Estimates!D26</t>
        </is>
      </c>
      <c r="B713" s="4" t="inlineStr">
        <is>
          <t>Capex Estimates</t>
        </is>
      </c>
      <c r="C713" s="4" t="inlineStr">
        <is>
          <t>D26</t>
        </is>
      </c>
      <c r="D713" s="4" t="inlineStr">
        <is>
          <t>=D25</t>
        </is>
      </c>
      <c r="E713" s="4" t="n">
        <v>3000</v>
      </c>
      <c r="F713" s="4" t="inlineStr">
        <is>
          <t>GOC Bed Unit-Costing Model v2 — working original.xlsx</t>
        </is>
      </c>
    </row>
    <row r="714" ht="40" customHeight="1">
      <c r="A714" s="4" t="inlineStr">
        <is>
          <t>original:Capex Estimates!A28</t>
        </is>
      </c>
      <c r="B714" s="4" t="inlineStr">
        <is>
          <t>Capex Estimates</t>
        </is>
      </c>
      <c r="C714" s="4" t="inlineStr">
        <is>
          <t>A28</t>
        </is>
      </c>
      <c r="D714" s="4" t="inlineStr">
        <is>
          <t>TOTAL — four estimated lines</t>
        </is>
      </c>
      <c r="E714" s="4" t="inlineStr">
        <is>
          <t>TOTAL — four estimated lines</t>
        </is>
      </c>
      <c r="F714" s="4" t="inlineStr">
        <is>
          <t>GOC Bed Unit-Costing Model v2 — working original.xlsx</t>
        </is>
      </c>
    </row>
    <row r="715" ht="40" customHeight="1">
      <c r="A715" s="4" t="inlineStr">
        <is>
          <t>original:Capex Estimates!D28</t>
        </is>
      </c>
      <c r="B715" s="4" t="inlineStr">
        <is>
          <t>Capex Estimates</t>
        </is>
      </c>
      <c r="C715" s="4" t="inlineStr">
        <is>
          <t>D28</t>
        </is>
      </c>
      <c r="D715" s="4" t="inlineStr">
        <is>
          <t>=D9+D17+D22+D26</t>
        </is>
      </c>
      <c r="E715" s="4" t="n">
        <v>40450</v>
      </c>
      <c r="F715" s="4" t="inlineStr">
        <is>
          <t>GOC Bed Unit-Costing Model v2 — working original.xlsx</t>
        </is>
      </c>
    </row>
    <row r="716" ht="195" customHeight="1">
      <c r="A716" s="4" t="inlineStr">
        <is>
          <t>original:Capex Estimates!A30</t>
        </is>
      </c>
      <c r="B716" s="4" t="inlineStr">
        <is>
          <t>Capex Estimates</t>
        </is>
      </c>
      <c r="C716" s="4" t="inlineStr">
        <is>
          <t>A30</t>
        </is>
      </c>
      <c r="D716" s="4" t="inlineStr">
        <is>
          <t>GST: model is ex-GST throughout; the Genworks genset price is the only incl-GST figure and is converted on its line. Indicative desktop estimates as at 22 Jul 2026 — firm quotes required before any figure is presented to QBE/investors. Prices exclude container delivery from seller to fit-out yard.</t>
        </is>
      </c>
      <c r="E716" s="4" t="inlineStr">
        <is>
          <t>GST: model is ex-GST throughout; the Genworks genset price is the only incl-GST figure and is converted on its line. Indicative desktop estimates as at 22 Jul 2026 — firm quotes required before any figure is presented to QBE/investors. Prices exclude container delivery from seller to fit-out yard.</t>
        </is>
      </c>
      <c r="F716" s="4" t="inlineStr">
        <is>
          <t>GOC Bed Unit-Costing Model v2 — working original.xlsx</t>
        </is>
      </c>
    </row>
    <row r="717" ht="40" customHeight="1">
      <c r="A717" s="4" t="inlineStr">
        <is>
          <t>original:Projection!A1</t>
        </is>
      </c>
      <c r="B717" s="4" t="inlineStr">
        <is>
          <t>Projection</t>
        </is>
      </c>
      <c r="C717" s="4" t="inlineStr">
        <is>
          <t>A1</t>
        </is>
      </c>
      <c r="D717" s="4" t="inlineStr">
        <is>
          <t>10-Year Projection</t>
        </is>
      </c>
      <c r="E717" s="4" t="inlineStr">
        <is>
          <t>10-Year Projection</t>
        </is>
      </c>
      <c r="F717" s="4" t="inlineStr">
        <is>
          <t>GOC Bed Unit-Costing Model v2 — working original.xlsx</t>
        </is>
      </c>
    </row>
    <row r="718" ht="315" customHeight="1">
      <c r="A718" s="4" t="inlineStr">
        <is>
          <t>original:Projection!A2</t>
        </is>
      </c>
      <c r="B718" s="4" t="inlineStr">
        <is>
          <t>Projection</t>
        </is>
      </c>
      <c r="C718" s="4" t="inlineStr">
        <is>
          <t>A2</t>
        </is>
      </c>
      <c r="D718" s="4" t="inlineStr">
        <is>
          <t>Three production paths in parallel. Factory beds = factories x rate; Community beds = containers x rate; new facilities run at first-year utilisation in year 1/build year, 100% after. Kit beds auto-taper to zero once in-house capacity covers the Kit input. Containers auto-build (capped per year) when the self-fund pool covers one full facility build; Year-1 container(s) funded by the capital stack. Equipment maintenance = maint % x equipment subtotal x (factories + containers).</t>
        </is>
      </c>
      <c r="E718" s="4" t="inlineStr">
        <is>
          <t>Three production paths in parallel. Factory beds = factories x rate; Community beds = containers x rate; new facilities run at first-year utilisation in year 1/build year, 100% after. Kit beds auto-taper to zero once in-house capacity covers the Kit input. Containers auto-build (capped per year) when the self-fund pool covers one full facility build; Year-1 container(s) funded by the capital stack. Equipment maintenance = maint % x equipment subtotal x (factories + containers).</t>
        </is>
      </c>
      <c r="F718" s="4" t="inlineStr">
        <is>
          <t>GOC Bed Unit-Costing Model v2 — working original.xlsx</t>
        </is>
      </c>
    </row>
    <row r="719" ht="40" customHeight="1">
      <c r="A719" s="4" t="inlineStr">
        <is>
          <t>original:Projection!A3</t>
        </is>
      </c>
      <c r="B719" s="4" t="inlineStr">
        <is>
          <t>Projection</t>
        </is>
      </c>
      <c r="C719" s="4" t="inlineStr">
        <is>
          <t>A3</t>
        </is>
      </c>
      <c r="D719" s="4" t="inlineStr">
        <is>
          <t>Year</t>
        </is>
      </c>
      <c r="E719" s="4" t="inlineStr">
        <is>
          <t>Year</t>
        </is>
      </c>
      <c r="F719" s="4" t="inlineStr">
        <is>
          <t>GOC Bed Unit-Costing Model v2 — working original.xlsx</t>
        </is>
      </c>
    </row>
    <row r="720" ht="40" customHeight="1">
      <c r="A720" s="4" t="inlineStr">
        <is>
          <t>original:Projection!B3</t>
        </is>
      </c>
      <c r="B720" s="4" t="inlineStr">
        <is>
          <t>Projection</t>
        </is>
      </c>
      <c r="C720" s="4" t="inlineStr">
        <is>
          <t>B3</t>
        </is>
      </c>
      <c r="D720" s="4" t="inlineStr">
        <is>
          <t>No. factories</t>
        </is>
      </c>
      <c r="E720" s="4" t="inlineStr">
        <is>
          <t>No. factories</t>
        </is>
      </c>
      <c r="F720" s="4" t="inlineStr">
        <is>
          <t>GOC Bed Unit-Costing Model v2 — working original.xlsx</t>
        </is>
      </c>
    </row>
    <row r="721" ht="40" customHeight="1">
      <c r="A721" s="4" t="inlineStr">
        <is>
          <t>original:Projection!C3</t>
        </is>
      </c>
      <c r="B721" s="4" t="inlineStr">
        <is>
          <t>Projection</t>
        </is>
      </c>
      <c r="C721" s="4" t="inlineStr">
        <is>
          <t>C3</t>
        </is>
      </c>
      <c r="D721" s="4" t="inlineStr">
        <is>
          <t>No. containers</t>
        </is>
      </c>
      <c r="E721" s="4" t="inlineStr">
        <is>
          <t>No. containers</t>
        </is>
      </c>
      <c r="F721" s="4" t="inlineStr">
        <is>
          <t>GOC Bed Unit-Costing Model v2 — working original.xlsx</t>
        </is>
      </c>
    </row>
    <row r="722" ht="40" customHeight="1">
      <c r="A722" s="4" t="inlineStr">
        <is>
          <t>original:Projection!D3</t>
        </is>
      </c>
      <c r="B722" s="4" t="inlineStr">
        <is>
          <t>Projection</t>
        </is>
      </c>
      <c r="C722" s="4" t="inlineStr">
        <is>
          <t>D3</t>
        </is>
      </c>
      <c r="D722" s="4" t="inlineStr">
        <is>
          <t>Kit beds</t>
        </is>
      </c>
      <c r="E722" s="4" t="inlineStr">
        <is>
          <t>Kit beds</t>
        </is>
      </c>
      <c r="F722" s="4" t="inlineStr">
        <is>
          <t>GOC Bed Unit-Costing Model v2 — working original.xlsx</t>
        </is>
      </c>
    </row>
    <row r="723" ht="40" customHeight="1">
      <c r="A723" s="4" t="inlineStr">
        <is>
          <t>original:Projection!E3</t>
        </is>
      </c>
      <c r="B723" s="4" t="inlineStr">
        <is>
          <t>Projection</t>
        </is>
      </c>
      <c r="C723" s="4" t="inlineStr">
        <is>
          <t>E3</t>
        </is>
      </c>
      <c r="D723" s="4" t="inlineStr">
        <is>
          <t>Factory beds</t>
        </is>
      </c>
      <c r="E723" s="4" t="inlineStr">
        <is>
          <t>Factory beds</t>
        </is>
      </c>
      <c r="F723" s="4" t="inlineStr">
        <is>
          <t>GOC Bed Unit-Costing Model v2 — working original.xlsx</t>
        </is>
      </c>
    </row>
    <row r="724" ht="40" customHeight="1">
      <c r="A724" s="4" t="inlineStr">
        <is>
          <t>original:Projection!F3</t>
        </is>
      </c>
      <c r="B724" s="4" t="inlineStr">
        <is>
          <t>Projection</t>
        </is>
      </c>
      <c r="C724" s="4" t="inlineStr">
        <is>
          <t>F3</t>
        </is>
      </c>
      <c r="D724" s="4" t="inlineStr">
        <is>
          <t>Community beds</t>
        </is>
      </c>
      <c r="E724" s="4" t="inlineStr">
        <is>
          <t>Community beds</t>
        </is>
      </c>
      <c r="F724" s="4" t="inlineStr">
        <is>
          <t>GOC Bed Unit-Costing Model v2 — working original.xlsx</t>
        </is>
      </c>
    </row>
    <row r="725" ht="40" customHeight="1">
      <c r="A725" s="4" t="inlineStr">
        <is>
          <t>original:Projection!G3</t>
        </is>
      </c>
      <c r="B725" s="4" t="inlineStr">
        <is>
          <t>Projection</t>
        </is>
      </c>
      <c r="C725" s="4" t="inlineStr">
        <is>
          <t>G3</t>
        </is>
      </c>
      <c r="D725" s="4" t="inlineStr">
        <is>
          <t>Total beds</t>
        </is>
      </c>
      <c r="E725" s="4" t="inlineStr">
        <is>
          <t>Total beds</t>
        </is>
      </c>
      <c r="F725" s="4" t="inlineStr">
        <is>
          <t>GOC Bed Unit-Costing Model v2 — working original.xlsx</t>
        </is>
      </c>
    </row>
    <row r="726" ht="40" customHeight="1">
      <c r="A726" s="4" t="inlineStr">
        <is>
          <t>original:Projection!H3</t>
        </is>
      </c>
      <c r="B726" s="4" t="inlineStr">
        <is>
          <t>Projection</t>
        </is>
      </c>
      <c r="C726" s="4" t="inlineStr">
        <is>
          <t>H3</t>
        </is>
      </c>
      <c r="D726" s="4" t="inlineStr">
        <is>
          <t>Total revenue</t>
        </is>
      </c>
      <c r="E726" s="4" t="inlineStr">
        <is>
          <t>Total revenue</t>
        </is>
      </c>
      <c r="F726" s="4" t="inlineStr">
        <is>
          <t>GOC Bed Unit-Costing Model v2 — working original.xlsx</t>
        </is>
      </c>
    </row>
    <row r="727" ht="40" customHeight="1">
      <c r="A727" s="4" t="inlineStr">
        <is>
          <t>original:Projection!I3</t>
        </is>
      </c>
      <c r="B727" s="4" t="inlineStr">
        <is>
          <t>Projection</t>
        </is>
      </c>
      <c r="C727" s="4" t="inlineStr">
        <is>
          <t>I3</t>
        </is>
      </c>
      <c r="D727" s="4" t="inlineStr">
        <is>
          <t>Bed costs</t>
        </is>
      </c>
      <c r="E727" s="4" t="inlineStr">
        <is>
          <t>Bed costs</t>
        </is>
      </c>
      <c r="F727" s="4" t="inlineStr">
        <is>
          <t>GOC Bed Unit-Costing Model v2 — working original.xlsx</t>
        </is>
      </c>
    </row>
    <row r="728" ht="40" customHeight="1">
      <c r="A728" s="4" t="inlineStr">
        <is>
          <t>original:Projection!J3</t>
        </is>
      </c>
      <c r="B728" s="4" t="inlineStr">
        <is>
          <t>Projection</t>
        </is>
      </c>
      <c r="C728" s="4" t="inlineStr">
        <is>
          <t>J3</t>
        </is>
      </c>
      <c r="D728" s="4" t="inlineStr">
        <is>
          <t>Fixed costs</t>
        </is>
      </c>
      <c r="E728" s="4" t="inlineStr">
        <is>
          <t>Fixed costs</t>
        </is>
      </c>
      <c r="F728" s="4" t="inlineStr">
        <is>
          <t>GOC Bed Unit-Costing Model v2 — working original.xlsx</t>
        </is>
      </c>
    </row>
    <row r="729" ht="40" customHeight="1">
      <c r="A729" s="4" t="inlineStr">
        <is>
          <t>original:Projection!K3</t>
        </is>
      </c>
      <c r="B729" s="4" t="inlineStr">
        <is>
          <t>Projection</t>
        </is>
      </c>
      <c r="C729" s="4" t="inlineStr">
        <is>
          <t>K3</t>
        </is>
      </c>
      <c r="D729" s="4" t="inlineStr">
        <is>
          <t>Equipment maintenance</t>
        </is>
      </c>
      <c r="E729" s="4" t="inlineStr">
        <is>
          <t>Equipment maintenance</t>
        </is>
      </c>
      <c r="F729" s="4" t="inlineStr">
        <is>
          <t>GOC Bed Unit-Costing Model v2 — working original.xlsx</t>
        </is>
      </c>
    </row>
    <row r="730" ht="40" customHeight="1">
      <c r="A730" s="4" t="inlineStr">
        <is>
          <t>original:Projection!L3</t>
        </is>
      </c>
      <c r="B730" s="4" t="inlineStr">
        <is>
          <t>Projection</t>
        </is>
      </c>
      <c r="C730" s="4" t="inlineStr">
        <is>
          <t>L3</t>
        </is>
      </c>
      <c r="D730" s="4" t="inlineStr">
        <is>
          <t>Facility costs</t>
        </is>
      </c>
      <c r="E730" s="4" t="inlineStr">
        <is>
          <t>Facility costs</t>
        </is>
      </c>
      <c r="F730" s="4" t="inlineStr">
        <is>
          <t>GOC Bed Unit-Costing Model v2 — working original.xlsx</t>
        </is>
      </c>
    </row>
    <row r="731" ht="40" customHeight="1">
      <c r="A731" s="4" t="inlineStr">
        <is>
          <t>original:Projection!M3</t>
        </is>
      </c>
      <c r="B731" s="4" t="inlineStr">
        <is>
          <t>Projection</t>
        </is>
      </c>
      <c r="C731" s="4" t="inlineStr">
        <is>
          <t>M3</t>
        </is>
      </c>
      <c r="D731" s="4" t="inlineStr">
        <is>
          <t>Net profit/(loss)</t>
        </is>
      </c>
      <c r="E731" s="4" t="inlineStr">
        <is>
          <t>Net profit/(loss)</t>
        </is>
      </c>
      <c r="F731" s="4" t="inlineStr">
        <is>
          <t>GOC Bed Unit-Costing Model v2 — working original.xlsx</t>
        </is>
      </c>
    </row>
    <row r="732" ht="40" customHeight="1">
      <c r="A732" s="4" t="inlineStr">
        <is>
          <t>original:Projection!N3</t>
        </is>
      </c>
      <c r="B732" s="4" t="inlineStr">
        <is>
          <t>Projection</t>
        </is>
      </c>
      <c r="C732" s="4" t="inlineStr">
        <is>
          <t>N3</t>
        </is>
      </c>
      <c r="D732" s="4" t="inlineStr">
        <is>
          <t>Op surplus (pre-capex)</t>
        </is>
      </c>
      <c r="E732" s="4" t="inlineStr">
        <is>
          <t>Op surplus (pre-capex)</t>
        </is>
      </c>
      <c r="F732" s="4" t="inlineStr">
        <is>
          <t>GOC Bed Unit-Costing Model v2 — working original.xlsx</t>
        </is>
      </c>
    </row>
    <row r="733" ht="40" customHeight="1">
      <c r="A733" s="4" t="inlineStr">
        <is>
          <t>original:Projection!O3</t>
        </is>
      </c>
      <c r="B733" s="4" t="inlineStr">
        <is>
          <t>Projection</t>
        </is>
      </c>
      <c r="C733" s="4" t="inlineStr">
        <is>
          <t>O3</t>
        </is>
      </c>
      <c r="D733" s="4" t="inlineStr">
        <is>
          <t>Cash position (incl. capital)</t>
        </is>
      </c>
      <c r="E733" s="4" t="inlineStr">
        <is>
          <t>Cash position (incl. capital)</t>
        </is>
      </c>
      <c r="F733" s="4" t="inlineStr">
        <is>
          <t>GOC Bed Unit-Costing Model v2 — working original.xlsx</t>
        </is>
      </c>
    </row>
    <row r="734" ht="40" customHeight="1">
      <c r="A734" s="4" t="inlineStr">
        <is>
          <t>original:Projection!P3</t>
        </is>
      </c>
      <c r="B734" s="4" t="inlineStr">
        <is>
          <t>Projection</t>
        </is>
      </c>
      <c r="C734" s="4" t="inlineStr">
        <is>
          <t>P3</t>
        </is>
      </c>
      <c r="D734" s="4" t="inlineStr">
        <is>
          <t>New builds this yr</t>
        </is>
      </c>
      <c r="E734" s="4" t="inlineStr">
        <is>
          <t>New builds this yr</t>
        </is>
      </c>
      <c r="F734" s="4" t="inlineStr">
        <is>
          <t>GOC Bed Unit-Costing Model v2 — working original.xlsx</t>
        </is>
      </c>
    </row>
    <row r="735" ht="40" customHeight="1">
      <c r="A735" s="4" t="inlineStr">
        <is>
          <t>original:Projection!Q3</t>
        </is>
      </c>
      <c r="B735" s="4" t="inlineStr">
        <is>
          <t>Projection</t>
        </is>
      </c>
      <c r="C735" s="4" t="inlineStr">
        <is>
          <t>Q3</t>
        </is>
      </c>
      <c r="D735" s="4" t="inlineStr">
        <is>
          <t>Self-fund pool (start of yr)</t>
        </is>
      </c>
      <c r="E735" s="4" t="inlineStr">
        <is>
          <t>Self-fund pool (start of yr)</t>
        </is>
      </c>
      <c r="F735" s="4" t="inlineStr">
        <is>
          <t>GOC Bed Unit-Costing Model v2 — working original.xlsx</t>
        </is>
      </c>
    </row>
    <row r="736" ht="40" customHeight="1">
      <c r="A736" s="4" t="inlineStr">
        <is>
          <t>original:Projection!R3</t>
        </is>
      </c>
      <c r="B736" s="4" t="inlineStr">
        <is>
          <t>Projection</t>
        </is>
      </c>
      <c r="C736" s="4" t="inlineStr">
        <is>
          <t>R3</t>
        </is>
      </c>
      <c r="D736" s="4" t="inlineStr">
        <is>
          <t>Self-funded build yr</t>
        </is>
      </c>
      <c r="E736" s="4" t="inlineStr">
        <is>
          <t>Self-funded build yr</t>
        </is>
      </c>
      <c r="F736" s="4" t="inlineStr">
        <is>
          <t>GOC Bed Unit-Costing Model v2 — working original.xlsx</t>
        </is>
      </c>
    </row>
    <row r="737" ht="40" customHeight="1">
      <c r="A737" s="4" t="inlineStr">
        <is>
          <t>original:Projection!A4</t>
        </is>
      </c>
      <c r="B737" s="4" t="inlineStr">
        <is>
          <t>Projection</t>
        </is>
      </c>
      <c r="C737" s="4" t="inlineStr">
        <is>
          <t>A4</t>
        </is>
      </c>
      <c r="D737" s="4" t="n">
        <v>1</v>
      </c>
      <c r="E737" s="4" t="n">
        <v>1</v>
      </c>
      <c r="F737" s="4" t="inlineStr">
        <is>
          <t>GOC Bed Unit-Costing Model v2 — working original.xlsx</t>
        </is>
      </c>
    </row>
    <row r="738" ht="40" customHeight="1">
      <c r="A738" s="4" t="inlineStr">
        <is>
          <t>original:Projection!B4</t>
        </is>
      </c>
      <c r="B738" s="4" t="inlineStr">
        <is>
          <t>Projection</t>
        </is>
      </c>
      <c r="C738" s="4" t="inlineStr">
        <is>
          <t>B4</t>
        </is>
      </c>
      <c r="D738" s="4" t="inlineStr">
        <is>
          <t>=Inputs!$B$40</t>
        </is>
      </c>
      <c r="E738" s="4" t="n">
        <v>1</v>
      </c>
      <c r="F738" s="4" t="inlineStr">
        <is>
          <t>GOC Bed Unit-Costing Model v2 — working original.xlsx</t>
        </is>
      </c>
    </row>
    <row r="739" ht="40" customHeight="1">
      <c r="A739" s="4" t="inlineStr">
        <is>
          <t>original:Projection!C4</t>
        </is>
      </c>
      <c r="B739" s="4" t="inlineStr">
        <is>
          <t>Projection</t>
        </is>
      </c>
      <c r="C739" s="4" t="inlineStr">
        <is>
          <t>C4</t>
        </is>
      </c>
      <c r="D739" s="4" t="inlineStr">
        <is>
          <t>=P4</t>
        </is>
      </c>
      <c r="E739" s="4" t="n">
        <v>1</v>
      </c>
      <c r="F739" s="4" t="inlineStr">
        <is>
          <t>GOC Bed Unit-Costing Model v2 — working original.xlsx</t>
        </is>
      </c>
    </row>
    <row r="740" ht="40" customHeight="1">
      <c r="A740" s="4" t="inlineStr">
        <is>
          <t>original:Projection!D4</t>
        </is>
      </c>
      <c r="B740" s="4" t="inlineStr">
        <is>
          <t>Projection</t>
        </is>
      </c>
      <c r="C740" s="4" t="inlineStr">
        <is>
          <t>D4</t>
        </is>
      </c>
      <c r="D740" s="4" t="inlineStr">
        <is>
          <t>=IF(E4+F4&gt;=Inputs!$B$44,0,Inputs!$B$44)</t>
        </is>
      </c>
      <c r="E740" s="4" t="n">
        <v>0</v>
      </c>
      <c r="F740" s="4" t="inlineStr">
        <is>
          <t>GOC Bed Unit-Costing Model v2 — working original.xlsx</t>
        </is>
      </c>
    </row>
    <row r="741" ht="40" customHeight="1">
      <c r="A741" s="4" t="inlineStr">
        <is>
          <t>original:Projection!E4</t>
        </is>
      </c>
      <c r="B741" s="4" t="inlineStr">
        <is>
          <t>Projection</t>
        </is>
      </c>
      <c r="C741" s="4" t="inlineStr">
        <is>
          <t>E4</t>
        </is>
      </c>
      <c r="D741" s="4" t="inlineStr">
        <is>
          <t>=B4*Inputs!$B$42*Inputs!$B$46</t>
        </is>
      </c>
      <c r="E741" s="4" t="n">
        <v>200</v>
      </c>
      <c r="F741" s="4" t="inlineStr">
        <is>
          <t>GOC Bed Unit-Costing Model v2 — working original.xlsx</t>
        </is>
      </c>
    </row>
    <row r="742" ht="40" customHeight="1">
      <c r="A742" s="4" t="inlineStr">
        <is>
          <t>original:Projection!F4</t>
        </is>
      </c>
      <c r="B742" s="4" t="inlineStr">
        <is>
          <t>Projection</t>
        </is>
      </c>
      <c r="C742" s="4" t="inlineStr">
        <is>
          <t>F4</t>
        </is>
      </c>
      <c r="D742" s="4" t="inlineStr">
        <is>
          <t>=(C4-P4)*Inputs!$B$43+P4*Inputs!$B$43*Inputs!$B$46</t>
        </is>
      </c>
      <c r="E742" s="4" t="n">
        <v>200</v>
      </c>
      <c r="F742" s="4" t="inlineStr">
        <is>
          <t>GOC Bed Unit-Costing Model v2 — working original.xlsx</t>
        </is>
      </c>
    </row>
    <row r="743" ht="40" customHeight="1">
      <c r="A743" s="4" t="inlineStr">
        <is>
          <t>original:Projection!G4</t>
        </is>
      </c>
      <c r="B743" s="4" t="inlineStr">
        <is>
          <t>Projection</t>
        </is>
      </c>
      <c r="C743" s="4" t="inlineStr">
        <is>
          <t>G4</t>
        </is>
      </c>
      <c r="D743" s="4" t="inlineStr">
        <is>
          <t>=D4+E4+F4</t>
        </is>
      </c>
      <c r="E743" s="4" t="n">
        <v>400</v>
      </c>
      <c r="F743" s="4" t="inlineStr">
        <is>
          <t>GOC Bed Unit-Costing Model v2 — working original.xlsx</t>
        </is>
      </c>
    </row>
    <row r="744" ht="40" customHeight="1">
      <c r="A744" s="4" t="inlineStr">
        <is>
          <t>original:Projection!H4</t>
        </is>
      </c>
      <c r="B744" s="4" t="inlineStr">
        <is>
          <t>Projection</t>
        </is>
      </c>
      <c r="C744" s="4" t="inlineStr">
        <is>
          <t>H4</t>
        </is>
      </c>
      <c r="D744" s="4" t="inlineStr">
        <is>
          <t>=G4*Inputs!$B$39</t>
        </is>
      </c>
      <c r="E744" s="4" t="n">
        <v>300000</v>
      </c>
      <c r="F744" s="4" t="inlineStr">
        <is>
          <t>GOC Bed Unit-Costing Model v2 — working original.xlsx</t>
        </is>
      </c>
    </row>
    <row r="745" ht="40" customHeight="1">
      <c r="A745" s="4" t="inlineStr">
        <is>
          <t>original:Projection!I4</t>
        </is>
      </c>
      <c r="B745" s="4" t="inlineStr">
        <is>
          <t>Projection</t>
        </is>
      </c>
      <c r="C745" s="4" t="inlineStr">
        <is>
          <t>I4</t>
        </is>
      </c>
      <c r="D745" s="4" t="inlineStr">
        <is>
          <t>=D4*Inputs!$B$13+E4*Inputs!$C$13+F4*Inputs!$D$13</t>
        </is>
      </c>
      <c r="E745" s="4" t="n">
        <v>169296</v>
      </c>
      <c r="F745" s="4" t="inlineStr">
        <is>
          <t>GOC Bed Unit-Costing Model v2 — working original.xlsx</t>
        </is>
      </c>
    </row>
    <row r="746" ht="40" customHeight="1">
      <c r="A746" s="4" t="inlineStr">
        <is>
          <t>original:Projection!J4</t>
        </is>
      </c>
      <c r="B746" s="4" t="inlineStr">
        <is>
          <t>Projection</t>
        </is>
      </c>
      <c r="C746" s="4" t="inlineStr">
        <is>
          <t>J4</t>
        </is>
      </c>
      <c r="D746" s="4" t="inlineStr">
        <is>
          <t>=Inputs!$B$36</t>
        </is>
      </c>
      <c r="E746" s="4" t="n">
        <v>109500</v>
      </c>
      <c r="F746" s="4" t="inlineStr">
        <is>
          <t>GOC Bed Unit-Costing Model v2 — working original.xlsx</t>
        </is>
      </c>
    </row>
    <row r="747" ht="40" customHeight="1">
      <c r="A747" s="4" t="inlineStr">
        <is>
          <t>original:Projection!K4</t>
        </is>
      </c>
      <c r="B747" s="4" t="inlineStr">
        <is>
          <t>Projection</t>
        </is>
      </c>
      <c r="C747" s="4" t="inlineStr">
        <is>
          <t>K4</t>
        </is>
      </c>
      <c r="D747" s="4" t="inlineStr">
        <is>
          <t>=Inputs!$B$37*SUM(Inputs!$B$19:$B$22)*(B4+C4)</t>
        </is>
      </c>
      <c r="E747" s="4" t="n">
        <v>16700</v>
      </c>
      <c r="F747" s="4" t="inlineStr">
        <is>
          <t>GOC Bed Unit-Costing Model v2 — working original.xlsx</t>
        </is>
      </c>
    </row>
    <row r="748" ht="40" customHeight="1">
      <c r="A748" s="4" t="inlineStr">
        <is>
          <t>original:Projection!L4</t>
        </is>
      </c>
      <c r="B748" s="4" t="inlineStr">
        <is>
          <t>Projection</t>
        </is>
      </c>
      <c r="C748" s="4" t="inlineStr">
        <is>
          <t>L4</t>
        </is>
      </c>
      <c r="D748" s="4" t="inlineStr">
        <is>
          <t>=P4*Inputs!$B$27</t>
        </is>
      </c>
      <c r="E748" s="4" t="n">
        <v>207450</v>
      </c>
      <c r="F748" s="4" t="inlineStr">
        <is>
          <t>GOC Bed Unit-Costing Model v2 — working original.xlsx</t>
        </is>
      </c>
    </row>
    <row r="749" ht="40" customHeight="1">
      <c r="A749" s="4" t="inlineStr">
        <is>
          <t>original:Projection!M4</t>
        </is>
      </c>
      <c r="B749" s="4" t="inlineStr">
        <is>
          <t>Projection</t>
        </is>
      </c>
      <c r="C749" s="4" t="inlineStr">
        <is>
          <t>M4</t>
        </is>
      </c>
      <c r="D749" s="4" t="inlineStr">
        <is>
          <t>=H4-I4-J4-K4-L4</t>
        </is>
      </c>
      <c r="E749" s="4" t="n">
        <v>-202946</v>
      </c>
      <c r="F749" s="4" t="inlineStr">
        <is>
          <t>GOC Bed Unit-Costing Model v2 — working original.xlsx</t>
        </is>
      </c>
    </row>
    <row r="750" ht="40" customHeight="1">
      <c r="A750" s="4" t="inlineStr">
        <is>
          <t>original:Projection!N4</t>
        </is>
      </c>
      <c r="B750" s="4" t="inlineStr">
        <is>
          <t>Projection</t>
        </is>
      </c>
      <c r="C750" s="4" t="inlineStr">
        <is>
          <t>N4</t>
        </is>
      </c>
      <c r="D750" s="4" t="inlineStr">
        <is>
          <t>=H4-I4-J4-K4</t>
        </is>
      </c>
      <c r="E750" s="4" t="n">
        <v>4504</v>
      </c>
      <c r="F750" s="4" t="inlineStr">
        <is>
          <t>GOC Bed Unit-Costing Model v2 — working original.xlsx</t>
        </is>
      </c>
    </row>
    <row r="751" ht="40" customHeight="1">
      <c r="A751" s="4" t="inlineStr">
        <is>
          <t>original:Projection!O4</t>
        </is>
      </c>
      <c r="B751" s="4" t="inlineStr">
        <is>
          <t>Projection</t>
        </is>
      </c>
      <c r="C751" s="4" t="inlineStr">
        <is>
          <t>O4</t>
        </is>
      </c>
      <c r="D751" s="4" t="inlineStr">
        <is>
          <t>=Inputs!$B$51+M4</t>
        </is>
      </c>
      <c r="E751" s="4" t="n">
        <v>397054</v>
      </c>
      <c r="F751" s="4" t="inlineStr">
        <is>
          <t>GOC Bed Unit-Costing Model v2 — working original.xlsx</t>
        </is>
      </c>
    </row>
    <row r="752" ht="40" customHeight="1">
      <c r="A752" s="4" t="inlineStr">
        <is>
          <t>original:Projection!P4</t>
        </is>
      </c>
      <c r="B752" s="4" t="inlineStr">
        <is>
          <t>Projection</t>
        </is>
      </c>
      <c r="C752" s="4" t="inlineStr">
        <is>
          <t>P4</t>
        </is>
      </c>
      <c r="D752" s="4" t="inlineStr">
        <is>
          <t>=Inputs!$B$41</t>
        </is>
      </c>
      <c r="E752" s="4" t="n">
        <v>1</v>
      </c>
      <c r="F752" s="4" t="inlineStr">
        <is>
          <t>GOC Bed Unit-Costing Model v2 — working original.xlsx</t>
        </is>
      </c>
    </row>
    <row r="753" ht="40" customHeight="1">
      <c r="A753" s="4" t="inlineStr">
        <is>
          <t>original:Projection!Q4</t>
        </is>
      </c>
      <c r="B753" s="4" t="inlineStr">
        <is>
          <t>Projection</t>
        </is>
      </c>
      <c r="C753" s="4" t="inlineStr">
        <is>
          <t>Q4</t>
        </is>
      </c>
      <c r="D753" s="4" t="inlineStr">
        <is>
          <t>=0</t>
        </is>
      </c>
      <c r="E753" s="4" t="n">
        <v>0</v>
      </c>
      <c r="F753" s="4" t="inlineStr">
        <is>
          <t>GOC Bed Unit-Costing Model v2 — working original.xlsx</t>
        </is>
      </c>
    </row>
    <row r="754" ht="40" customHeight="1">
      <c r="A754" s="4" t="inlineStr">
        <is>
          <t>original:Projection!A5</t>
        </is>
      </c>
      <c r="B754" s="4" t="inlineStr">
        <is>
          <t>Projection</t>
        </is>
      </c>
      <c r="C754" s="4" t="inlineStr">
        <is>
          <t>A5</t>
        </is>
      </c>
      <c r="D754" s="4" t="n">
        <v>2</v>
      </c>
      <c r="E754" s="4" t="n">
        <v>2</v>
      </c>
      <c r="F754" s="4" t="inlineStr">
        <is>
          <t>GOC Bed Unit-Costing Model v2 — working original.xlsx</t>
        </is>
      </c>
    </row>
    <row r="755" ht="40" customHeight="1">
      <c r="A755" s="4" t="inlineStr">
        <is>
          <t>original:Projection!B5</t>
        </is>
      </c>
      <c r="B755" s="4" t="inlineStr">
        <is>
          <t>Projection</t>
        </is>
      </c>
      <c r="C755" s="4" t="inlineStr">
        <is>
          <t>B5</t>
        </is>
      </c>
      <c r="D755" s="4" t="inlineStr">
        <is>
          <t>=Inputs!$B$40</t>
        </is>
      </c>
      <c r="E755" s="4" t="n">
        <v>1</v>
      </c>
      <c r="F755" s="4" t="inlineStr">
        <is>
          <t>GOC Bed Unit-Costing Model v2 — working original.xlsx</t>
        </is>
      </c>
    </row>
    <row r="756" ht="40" customHeight="1">
      <c r="A756" s="4" t="inlineStr">
        <is>
          <t>original:Projection!C5</t>
        </is>
      </c>
      <c r="B756" s="4" t="inlineStr">
        <is>
          <t>Projection</t>
        </is>
      </c>
      <c r="C756" s="4" t="inlineStr">
        <is>
          <t>C5</t>
        </is>
      </c>
      <c r="D756" s="4" t="inlineStr">
        <is>
          <t>=C4+P5</t>
        </is>
      </c>
      <c r="E756" s="4" t="n">
        <v>1</v>
      </c>
      <c r="F756" s="4" t="inlineStr">
        <is>
          <t>GOC Bed Unit-Costing Model v2 — working original.xlsx</t>
        </is>
      </c>
    </row>
    <row r="757" ht="40" customHeight="1">
      <c r="A757" s="4" t="inlineStr">
        <is>
          <t>original:Projection!D5</t>
        </is>
      </c>
      <c r="B757" s="4" t="inlineStr">
        <is>
          <t>Projection</t>
        </is>
      </c>
      <c r="C757" s="4" t="inlineStr">
        <is>
          <t>D5</t>
        </is>
      </c>
      <c r="D757" s="4" t="inlineStr">
        <is>
          <t>=IF(E5+F5&gt;=Inputs!$B$44,0,Inputs!$B$44)</t>
        </is>
      </c>
      <c r="E757" s="4" t="n">
        <v>0</v>
      </c>
      <c r="F757" s="4" t="inlineStr">
        <is>
          <t>GOC Bed Unit-Costing Model v2 — working original.xlsx</t>
        </is>
      </c>
    </row>
    <row r="758" ht="40" customHeight="1">
      <c r="A758" s="4" t="inlineStr">
        <is>
          <t>original:Projection!E5</t>
        </is>
      </c>
      <c r="B758" s="4" t="inlineStr">
        <is>
          <t>Projection</t>
        </is>
      </c>
      <c r="C758" s="4" t="inlineStr">
        <is>
          <t>E5</t>
        </is>
      </c>
      <c r="D758" s="4" t="inlineStr">
        <is>
          <t>=B5*Inputs!$B$42</t>
        </is>
      </c>
      <c r="E758" s="4" t="n">
        <v>500</v>
      </c>
      <c r="F758" s="4" t="inlineStr">
        <is>
          <t>GOC Bed Unit-Costing Model v2 — working original.xlsx</t>
        </is>
      </c>
    </row>
    <row r="759" ht="40" customHeight="1">
      <c r="A759" s="4" t="inlineStr">
        <is>
          <t>original:Projection!F5</t>
        </is>
      </c>
      <c r="B759" s="4" t="inlineStr">
        <is>
          <t>Projection</t>
        </is>
      </c>
      <c r="C759" s="4" t="inlineStr">
        <is>
          <t>F5</t>
        </is>
      </c>
      <c r="D759" s="4" t="inlineStr">
        <is>
          <t>=(C5-P5)*Inputs!$B$43+P5*Inputs!$B$43*Inputs!$B$46</t>
        </is>
      </c>
      <c r="E759" s="4" t="n">
        <v>500</v>
      </c>
      <c r="F759" s="4" t="inlineStr">
        <is>
          <t>GOC Bed Unit-Costing Model v2 — working original.xlsx</t>
        </is>
      </c>
    </row>
    <row r="760" ht="40" customHeight="1">
      <c r="A760" s="4" t="inlineStr">
        <is>
          <t>original:Projection!G5</t>
        </is>
      </c>
      <c r="B760" s="4" t="inlineStr">
        <is>
          <t>Projection</t>
        </is>
      </c>
      <c r="C760" s="4" t="inlineStr">
        <is>
          <t>G5</t>
        </is>
      </c>
      <c r="D760" s="4" t="inlineStr">
        <is>
          <t>=D5+E5+F5</t>
        </is>
      </c>
      <c r="E760" s="4" t="n">
        <v>1000</v>
      </c>
      <c r="F760" s="4" t="inlineStr">
        <is>
          <t>GOC Bed Unit-Costing Model v2 — working original.xlsx</t>
        </is>
      </c>
    </row>
    <row r="761" ht="40" customHeight="1">
      <c r="A761" s="4" t="inlineStr">
        <is>
          <t>original:Projection!H5</t>
        </is>
      </c>
      <c r="B761" s="4" t="inlineStr">
        <is>
          <t>Projection</t>
        </is>
      </c>
      <c r="C761" s="4" t="inlineStr">
        <is>
          <t>H5</t>
        </is>
      </c>
      <c r="D761" s="4" t="inlineStr">
        <is>
          <t>=G5*Inputs!$B$39</t>
        </is>
      </c>
      <c r="E761" s="4" t="n">
        <v>750000</v>
      </c>
      <c r="F761" s="4" t="inlineStr">
        <is>
          <t>GOC Bed Unit-Costing Model v2 — working original.xlsx</t>
        </is>
      </c>
    </row>
    <row r="762" ht="40" customHeight="1">
      <c r="A762" s="4" t="inlineStr">
        <is>
          <t>original:Projection!I5</t>
        </is>
      </c>
      <c r="B762" s="4" t="inlineStr">
        <is>
          <t>Projection</t>
        </is>
      </c>
      <c r="C762" s="4" t="inlineStr">
        <is>
          <t>I5</t>
        </is>
      </c>
      <c r="D762" s="4" t="inlineStr">
        <is>
          <t>=D5*Inputs!$B$13+E5*Inputs!$C$13+F5*Inputs!$D$13</t>
        </is>
      </c>
      <c r="E762" s="4" t="n">
        <v>423240</v>
      </c>
      <c r="F762" s="4" t="inlineStr">
        <is>
          <t>GOC Bed Unit-Costing Model v2 — working original.xlsx</t>
        </is>
      </c>
    </row>
    <row r="763" ht="40" customHeight="1">
      <c r="A763" s="4" t="inlineStr">
        <is>
          <t>original:Projection!J5</t>
        </is>
      </c>
      <c r="B763" s="4" t="inlineStr">
        <is>
          <t>Projection</t>
        </is>
      </c>
      <c r="C763" s="4" t="inlineStr">
        <is>
          <t>J5</t>
        </is>
      </c>
      <c r="D763" s="4" t="inlineStr">
        <is>
          <t>=Inputs!$B$36</t>
        </is>
      </c>
      <c r="E763" s="4" t="n">
        <v>109500</v>
      </c>
      <c r="F763" s="4" t="inlineStr">
        <is>
          <t>GOC Bed Unit-Costing Model v2 — working original.xlsx</t>
        </is>
      </c>
    </row>
    <row r="764" ht="40" customHeight="1">
      <c r="A764" s="4" t="inlineStr">
        <is>
          <t>original:Projection!K5</t>
        </is>
      </c>
      <c r="B764" s="4" t="inlineStr">
        <is>
          <t>Projection</t>
        </is>
      </c>
      <c r="C764" s="4" t="inlineStr">
        <is>
          <t>K5</t>
        </is>
      </c>
      <c r="D764" s="4" t="inlineStr">
        <is>
          <t>=Inputs!$B$37*SUM(Inputs!$B$19:$B$22)*(B5+C5)</t>
        </is>
      </c>
      <c r="E764" s="4" t="n">
        <v>16700</v>
      </c>
      <c r="F764" s="4" t="inlineStr">
        <is>
          <t>GOC Bed Unit-Costing Model v2 — working original.xlsx</t>
        </is>
      </c>
    </row>
    <row r="765" ht="40" customHeight="1">
      <c r="A765" s="4" t="inlineStr">
        <is>
          <t>original:Projection!L5</t>
        </is>
      </c>
      <c r="B765" s="4" t="inlineStr">
        <is>
          <t>Projection</t>
        </is>
      </c>
      <c r="C765" s="4" t="inlineStr">
        <is>
          <t>L5</t>
        </is>
      </c>
      <c r="D765" s="4" t="inlineStr">
        <is>
          <t>=P5*Inputs!$B$27</t>
        </is>
      </c>
      <c r="E765" s="4" t="n">
        <v>0</v>
      </c>
      <c r="F765" s="4" t="inlineStr">
        <is>
          <t>GOC Bed Unit-Costing Model v2 — working original.xlsx</t>
        </is>
      </c>
    </row>
    <row r="766" ht="40" customHeight="1">
      <c r="A766" s="4" t="inlineStr">
        <is>
          <t>original:Projection!M5</t>
        </is>
      </c>
      <c r="B766" s="4" t="inlineStr">
        <is>
          <t>Projection</t>
        </is>
      </c>
      <c r="C766" s="4" t="inlineStr">
        <is>
          <t>M5</t>
        </is>
      </c>
      <c r="D766" s="4" t="inlineStr">
        <is>
          <t>=H5-I5-J5-K5-L5</t>
        </is>
      </c>
      <c r="E766" s="4" t="n">
        <v>200560</v>
      </c>
      <c r="F766" s="4" t="inlineStr">
        <is>
          <t>GOC Bed Unit-Costing Model v2 — working original.xlsx</t>
        </is>
      </c>
    </row>
    <row r="767" ht="40" customHeight="1">
      <c r="A767" s="4" t="inlineStr">
        <is>
          <t>original:Projection!N5</t>
        </is>
      </c>
      <c r="B767" s="4" t="inlineStr">
        <is>
          <t>Projection</t>
        </is>
      </c>
      <c r="C767" s="4" t="inlineStr">
        <is>
          <t>N5</t>
        </is>
      </c>
      <c r="D767" s="4" t="inlineStr">
        <is>
          <t>=H5-I5-J5-K5</t>
        </is>
      </c>
      <c r="E767" s="4" t="n">
        <v>200560</v>
      </c>
      <c r="F767" s="4" t="inlineStr">
        <is>
          <t>GOC Bed Unit-Costing Model v2 — working original.xlsx</t>
        </is>
      </c>
    </row>
    <row r="768" ht="40" customHeight="1">
      <c r="A768" s="4" t="inlineStr">
        <is>
          <t>original:Projection!O5</t>
        </is>
      </c>
      <c r="B768" s="4" t="inlineStr">
        <is>
          <t>Projection</t>
        </is>
      </c>
      <c r="C768" s="4" t="inlineStr">
        <is>
          <t>O5</t>
        </is>
      </c>
      <c r="D768" s="4" t="inlineStr">
        <is>
          <t>=O4+M5</t>
        </is>
      </c>
      <c r="E768" s="4" t="n">
        <v>597614</v>
      </c>
      <c r="F768" s="4" t="inlineStr">
        <is>
          <t>GOC Bed Unit-Costing Model v2 — working original.xlsx</t>
        </is>
      </c>
    </row>
    <row r="769" ht="40" customHeight="1">
      <c r="A769" s="4" t="inlineStr">
        <is>
          <t>original:Projection!P5</t>
        </is>
      </c>
      <c r="B769" s="4" t="inlineStr">
        <is>
          <t>Projection</t>
        </is>
      </c>
      <c r="C769" s="4" t="inlineStr">
        <is>
          <t>P5</t>
        </is>
      </c>
      <c r="D769" s="4" t="inlineStr">
        <is>
          <t>=IF(Inputs!$B$27&gt;0,MIN(Inputs!$B$45,MAX(0,FLOOR(MAX(0,Q5)/Inputs!$B$27,1))),0)</t>
        </is>
      </c>
      <c r="E769" s="4" t="n">
        <v>0</v>
      </c>
      <c r="F769" s="4" t="inlineStr">
        <is>
          <t>GOC Bed Unit-Costing Model v2 — working original.xlsx</t>
        </is>
      </c>
    </row>
    <row r="770" ht="40" customHeight="1">
      <c r="A770" s="4" t="inlineStr">
        <is>
          <t>original:Projection!Q5</t>
        </is>
      </c>
      <c r="B770" s="4" t="inlineStr">
        <is>
          <t>Projection</t>
        </is>
      </c>
      <c r="C770" s="4" t="inlineStr">
        <is>
          <t>Q5</t>
        </is>
      </c>
      <c r="D770" s="4" t="inlineStr">
        <is>
          <t>=Q4+N4</t>
        </is>
      </c>
      <c r="E770" s="4" t="n">
        <v>4504</v>
      </c>
      <c r="F770" s="4" t="inlineStr">
        <is>
          <t>GOC Bed Unit-Costing Model v2 — working original.xlsx</t>
        </is>
      </c>
    </row>
    <row r="771" ht="40" customHeight="1">
      <c r="A771" s="4" t="inlineStr">
        <is>
          <t>original:Projection!R5</t>
        </is>
      </c>
      <c r="B771" s="4" t="inlineStr">
        <is>
          <t>Projection</t>
        </is>
      </c>
      <c r="C771" s="4" t="inlineStr">
        <is>
          <t>R5</t>
        </is>
      </c>
      <c r="D771" s="4" t="inlineStr">
        <is>
          <t>=IF(P5&gt;0,A5,"")</t>
        </is>
      </c>
      <c r="E771" s="4" t="n"/>
      <c r="F771" s="4" t="inlineStr">
        <is>
          <t>GOC Bed Unit-Costing Model v2 — working original.xlsx</t>
        </is>
      </c>
    </row>
    <row r="772" ht="40" customHeight="1">
      <c r="A772" s="4" t="inlineStr">
        <is>
          <t>original:Projection!A6</t>
        </is>
      </c>
      <c r="B772" s="4" t="inlineStr">
        <is>
          <t>Projection</t>
        </is>
      </c>
      <c r="C772" s="4" t="inlineStr">
        <is>
          <t>A6</t>
        </is>
      </c>
      <c r="D772" s="4" t="n">
        <v>3</v>
      </c>
      <c r="E772" s="4" t="n">
        <v>3</v>
      </c>
      <c r="F772" s="4" t="inlineStr">
        <is>
          <t>GOC Bed Unit-Costing Model v2 — working original.xlsx</t>
        </is>
      </c>
    </row>
    <row r="773" ht="40" customHeight="1">
      <c r="A773" s="4" t="inlineStr">
        <is>
          <t>original:Projection!B6</t>
        </is>
      </c>
      <c r="B773" s="4" t="inlineStr">
        <is>
          <t>Projection</t>
        </is>
      </c>
      <c r="C773" s="4" t="inlineStr">
        <is>
          <t>B6</t>
        </is>
      </c>
      <c r="D773" s="4" t="inlineStr">
        <is>
          <t>=Inputs!$B$40</t>
        </is>
      </c>
      <c r="E773" s="4" t="n">
        <v>1</v>
      </c>
      <c r="F773" s="4" t="inlineStr">
        <is>
          <t>GOC Bed Unit-Costing Model v2 — working original.xlsx</t>
        </is>
      </c>
    </row>
    <row r="774" ht="40" customHeight="1">
      <c r="A774" s="4" t="inlineStr">
        <is>
          <t>original:Projection!C6</t>
        </is>
      </c>
      <c r="B774" s="4" t="inlineStr">
        <is>
          <t>Projection</t>
        </is>
      </c>
      <c r="C774" s="4" t="inlineStr">
        <is>
          <t>C6</t>
        </is>
      </c>
      <c r="D774" s="4" t="inlineStr">
        <is>
          <t>=C5+P6</t>
        </is>
      </c>
      <c r="E774" s="4" t="n">
        <v>1</v>
      </c>
      <c r="F774" s="4" t="inlineStr">
        <is>
          <t>GOC Bed Unit-Costing Model v2 — working original.xlsx</t>
        </is>
      </c>
    </row>
    <row r="775" ht="40" customHeight="1">
      <c r="A775" s="4" t="inlineStr">
        <is>
          <t>original:Projection!D6</t>
        </is>
      </c>
      <c r="B775" s="4" t="inlineStr">
        <is>
          <t>Projection</t>
        </is>
      </c>
      <c r="C775" s="4" t="inlineStr">
        <is>
          <t>D6</t>
        </is>
      </c>
      <c r="D775" s="4" t="inlineStr">
        <is>
          <t>=IF(E6+F6&gt;=Inputs!$B$44,0,Inputs!$B$44)</t>
        </is>
      </c>
      <c r="E775" s="4" t="n">
        <v>0</v>
      </c>
      <c r="F775" s="4" t="inlineStr">
        <is>
          <t>GOC Bed Unit-Costing Model v2 — working original.xlsx</t>
        </is>
      </c>
    </row>
    <row r="776" ht="40" customHeight="1">
      <c r="A776" s="4" t="inlineStr">
        <is>
          <t>original:Projection!E6</t>
        </is>
      </c>
      <c r="B776" s="4" t="inlineStr">
        <is>
          <t>Projection</t>
        </is>
      </c>
      <c r="C776" s="4" t="inlineStr">
        <is>
          <t>E6</t>
        </is>
      </c>
      <c r="D776" s="4" t="inlineStr">
        <is>
          <t>=B6*Inputs!$B$42</t>
        </is>
      </c>
      <c r="E776" s="4" t="n">
        <v>500</v>
      </c>
      <c r="F776" s="4" t="inlineStr">
        <is>
          <t>GOC Bed Unit-Costing Model v2 — working original.xlsx</t>
        </is>
      </c>
    </row>
    <row r="777" ht="40" customHeight="1">
      <c r="A777" s="4" t="inlineStr">
        <is>
          <t>original:Projection!F6</t>
        </is>
      </c>
      <c r="B777" s="4" t="inlineStr">
        <is>
          <t>Projection</t>
        </is>
      </c>
      <c r="C777" s="4" t="inlineStr">
        <is>
          <t>F6</t>
        </is>
      </c>
      <c r="D777" s="4" t="inlineStr">
        <is>
          <t>=(C6-P6)*Inputs!$B$43+P6*Inputs!$B$43*Inputs!$B$46</t>
        </is>
      </c>
      <c r="E777" s="4" t="n">
        <v>500</v>
      </c>
      <c r="F777" s="4" t="inlineStr">
        <is>
          <t>GOC Bed Unit-Costing Model v2 — working original.xlsx</t>
        </is>
      </c>
    </row>
    <row r="778" ht="40" customHeight="1">
      <c r="A778" s="4" t="inlineStr">
        <is>
          <t>original:Projection!G6</t>
        </is>
      </c>
      <c r="B778" s="4" t="inlineStr">
        <is>
          <t>Projection</t>
        </is>
      </c>
      <c r="C778" s="4" t="inlineStr">
        <is>
          <t>G6</t>
        </is>
      </c>
      <c r="D778" s="4" t="inlineStr">
        <is>
          <t>=D6+E6+F6</t>
        </is>
      </c>
      <c r="E778" s="4" t="n">
        <v>1000</v>
      </c>
      <c r="F778" s="4" t="inlineStr">
        <is>
          <t>GOC Bed Unit-Costing Model v2 — working original.xlsx</t>
        </is>
      </c>
    </row>
    <row r="779" ht="40" customHeight="1">
      <c r="A779" s="4" t="inlineStr">
        <is>
          <t>original:Projection!H6</t>
        </is>
      </c>
      <c r="B779" s="4" t="inlineStr">
        <is>
          <t>Projection</t>
        </is>
      </c>
      <c r="C779" s="4" t="inlineStr">
        <is>
          <t>H6</t>
        </is>
      </c>
      <c r="D779" s="4" t="inlineStr">
        <is>
          <t>=G6*Inputs!$B$39</t>
        </is>
      </c>
      <c r="E779" s="4" t="n">
        <v>750000</v>
      </c>
      <c r="F779" s="4" t="inlineStr">
        <is>
          <t>GOC Bed Unit-Costing Model v2 — working original.xlsx</t>
        </is>
      </c>
    </row>
    <row r="780" ht="40" customHeight="1">
      <c r="A780" s="4" t="inlineStr">
        <is>
          <t>original:Projection!I6</t>
        </is>
      </c>
      <c r="B780" s="4" t="inlineStr">
        <is>
          <t>Projection</t>
        </is>
      </c>
      <c r="C780" s="4" t="inlineStr">
        <is>
          <t>I6</t>
        </is>
      </c>
      <c r="D780" s="4" t="inlineStr">
        <is>
          <t>=D6*Inputs!$B$13+E6*Inputs!$C$13+F6*Inputs!$D$13</t>
        </is>
      </c>
      <c r="E780" s="4" t="n">
        <v>423240</v>
      </c>
      <c r="F780" s="4" t="inlineStr">
        <is>
          <t>GOC Bed Unit-Costing Model v2 — working original.xlsx</t>
        </is>
      </c>
    </row>
    <row r="781" ht="40" customHeight="1">
      <c r="A781" s="4" t="inlineStr">
        <is>
          <t>original:Projection!J6</t>
        </is>
      </c>
      <c r="B781" s="4" t="inlineStr">
        <is>
          <t>Projection</t>
        </is>
      </c>
      <c r="C781" s="4" t="inlineStr">
        <is>
          <t>J6</t>
        </is>
      </c>
      <c r="D781" s="4" t="inlineStr">
        <is>
          <t>=Inputs!$B$36</t>
        </is>
      </c>
      <c r="E781" s="4" t="n">
        <v>109500</v>
      </c>
      <c r="F781" s="4" t="inlineStr">
        <is>
          <t>GOC Bed Unit-Costing Model v2 — working original.xlsx</t>
        </is>
      </c>
    </row>
    <row r="782" ht="40" customHeight="1">
      <c r="A782" s="4" t="inlineStr">
        <is>
          <t>original:Projection!K6</t>
        </is>
      </c>
      <c r="B782" s="4" t="inlineStr">
        <is>
          <t>Projection</t>
        </is>
      </c>
      <c r="C782" s="4" t="inlineStr">
        <is>
          <t>K6</t>
        </is>
      </c>
      <c r="D782" s="4" t="inlineStr">
        <is>
          <t>=Inputs!$B$37*SUM(Inputs!$B$19:$B$22)*(B6+C6)</t>
        </is>
      </c>
      <c r="E782" s="4" t="n">
        <v>16700</v>
      </c>
      <c r="F782" s="4" t="inlineStr">
        <is>
          <t>GOC Bed Unit-Costing Model v2 — working original.xlsx</t>
        </is>
      </c>
    </row>
    <row r="783" ht="40" customHeight="1">
      <c r="A783" s="4" t="inlineStr">
        <is>
          <t>original:Projection!L6</t>
        </is>
      </c>
      <c r="B783" s="4" t="inlineStr">
        <is>
          <t>Projection</t>
        </is>
      </c>
      <c r="C783" s="4" t="inlineStr">
        <is>
          <t>L6</t>
        </is>
      </c>
      <c r="D783" s="4" t="inlineStr">
        <is>
          <t>=P6*Inputs!$B$27</t>
        </is>
      </c>
      <c r="E783" s="4" t="n">
        <v>0</v>
      </c>
      <c r="F783" s="4" t="inlineStr">
        <is>
          <t>GOC Bed Unit-Costing Model v2 — working original.xlsx</t>
        </is>
      </c>
    </row>
    <row r="784" ht="40" customHeight="1">
      <c r="A784" s="4" t="inlineStr">
        <is>
          <t>original:Projection!M6</t>
        </is>
      </c>
      <c r="B784" s="4" t="inlineStr">
        <is>
          <t>Projection</t>
        </is>
      </c>
      <c r="C784" s="4" t="inlineStr">
        <is>
          <t>M6</t>
        </is>
      </c>
      <c r="D784" s="4" t="inlineStr">
        <is>
          <t>=H6-I6-J6-K6-L6</t>
        </is>
      </c>
      <c r="E784" s="4" t="n">
        <v>200560</v>
      </c>
      <c r="F784" s="4" t="inlineStr">
        <is>
          <t>GOC Bed Unit-Costing Model v2 — working original.xlsx</t>
        </is>
      </c>
    </row>
    <row r="785" ht="40" customHeight="1">
      <c r="A785" s="4" t="inlineStr">
        <is>
          <t>original:Projection!N6</t>
        </is>
      </c>
      <c r="B785" s="4" t="inlineStr">
        <is>
          <t>Projection</t>
        </is>
      </c>
      <c r="C785" s="4" t="inlineStr">
        <is>
          <t>N6</t>
        </is>
      </c>
      <c r="D785" s="4" t="inlineStr">
        <is>
          <t>=H6-I6-J6-K6</t>
        </is>
      </c>
      <c r="E785" s="4" t="n">
        <v>200560</v>
      </c>
      <c r="F785" s="4" t="inlineStr">
        <is>
          <t>GOC Bed Unit-Costing Model v2 — working original.xlsx</t>
        </is>
      </c>
    </row>
    <row r="786" ht="40" customHeight="1">
      <c r="A786" s="4" t="inlineStr">
        <is>
          <t>original:Projection!O6</t>
        </is>
      </c>
      <c r="B786" s="4" t="inlineStr">
        <is>
          <t>Projection</t>
        </is>
      </c>
      <c r="C786" s="4" t="inlineStr">
        <is>
          <t>O6</t>
        </is>
      </c>
      <c r="D786" s="4" t="inlineStr">
        <is>
          <t>=O5+M6</t>
        </is>
      </c>
      <c r="E786" s="4" t="n">
        <v>798174</v>
      </c>
      <c r="F786" s="4" t="inlineStr">
        <is>
          <t>GOC Bed Unit-Costing Model v2 — working original.xlsx</t>
        </is>
      </c>
    </row>
    <row r="787" ht="40" customHeight="1">
      <c r="A787" s="4" t="inlineStr">
        <is>
          <t>original:Projection!P6</t>
        </is>
      </c>
      <c r="B787" s="4" t="inlineStr">
        <is>
          <t>Projection</t>
        </is>
      </c>
      <c r="C787" s="4" t="inlineStr">
        <is>
          <t>P6</t>
        </is>
      </c>
      <c r="D787" s="4" t="inlineStr">
        <is>
          <t>=IF(Inputs!$B$27&gt;0,MIN(Inputs!$B$45,MAX(0,FLOOR(MAX(0,Q6)/Inputs!$B$27,1))),0)</t>
        </is>
      </c>
      <c r="E787" s="4" t="n">
        <v>0</v>
      </c>
      <c r="F787" s="4" t="inlineStr">
        <is>
          <t>GOC Bed Unit-Costing Model v2 — working original.xlsx</t>
        </is>
      </c>
    </row>
    <row r="788" ht="40" customHeight="1">
      <c r="A788" s="4" t="inlineStr">
        <is>
          <t>original:Projection!Q6</t>
        </is>
      </c>
      <c r="B788" s="4" t="inlineStr">
        <is>
          <t>Projection</t>
        </is>
      </c>
      <c r="C788" s="4" t="inlineStr">
        <is>
          <t>Q6</t>
        </is>
      </c>
      <c r="D788" s="4" t="inlineStr">
        <is>
          <t>=Q5+N5-P5*Inputs!$B$27</t>
        </is>
      </c>
      <c r="E788" s="4" t="n">
        <v>205064</v>
      </c>
      <c r="F788" s="4" t="inlineStr">
        <is>
          <t>GOC Bed Unit-Costing Model v2 — working original.xlsx</t>
        </is>
      </c>
    </row>
    <row r="789" ht="40" customHeight="1">
      <c r="A789" s="4" t="inlineStr">
        <is>
          <t>original:Projection!R6</t>
        </is>
      </c>
      <c r="B789" s="4" t="inlineStr">
        <is>
          <t>Projection</t>
        </is>
      </c>
      <c r="C789" s="4" t="inlineStr">
        <is>
          <t>R6</t>
        </is>
      </c>
      <c r="D789" s="4" t="inlineStr">
        <is>
          <t>=IF(P6&gt;0,A6,"")</t>
        </is>
      </c>
      <c r="E789" s="4" t="n"/>
      <c r="F789" s="4" t="inlineStr">
        <is>
          <t>GOC Bed Unit-Costing Model v2 — working original.xlsx</t>
        </is>
      </c>
    </row>
    <row r="790" ht="40" customHeight="1">
      <c r="A790" s="4" t="inlineStr">
        <is>
          <t>original:Projection!A7</t>
        </is>
      </c>
      <c r="B790" s="4" t="inlineStr">
        <is>
          <t>Projection</t>
        </is>
      </c>
      <c r="C790" s="4" t="inlineStr">
        <is>
          <t>A7</t>
        </is>
      </c>
      <c r="D790" s="4" t="n">
        <v>4</v>
      </c>
      <c r="E790" s="4" t="n">
        <v>4</v>
      </c>
      <c r="F790" s="4" t="inlineStr">
        <is>
          <t>GOC Bed Unit-Costing Model v2 — working original.xlsx</t>
        </is>
      </c>
    </row>
    <row r="791" ht="40" customHeight="1">
      <c r="A791" s="4" t="inlineStr">
        <is>
          <t>original:Projection!B7</t>
        </is>
      </c>
      <c r="B791" s="4" t="inlineStr">
        <is>
          <t>Projection</t>
        </is>
      </c>
      <c r="C791" s="4" t="inlineStr">
        <is>
          <t>B7</t>
        </is>
      </c>
      <c r="D791" s="4" t="inlineStr">
        <is>
          <t>=Inputs!$B$40</t>
        </is>
      </c>
      <c r="E791" s="4" t="n">
        <v>1</v>
      </c>
      <c r="F791" s="4" t="inlineStr">
        <is>
          <t>GOC Bed Unit-Costing Model v2 — working original.xlsx</t>
        </is>
      </c>
    </row>
    <row r="792" ht="40" customHeight="1">
      <c r="A792" s="4" t="inlineStr">
        <is>
          <t>original:Projection!C7</t>
        </is>
      </c>
      <c r="B792" s="4" t="inlineStr">
        <is>
          <t>Projection</t>
        </is>
      </c>
      <c r="C792" s="4" t="inlineStr">
        <is>
          <t>C7</t>
        </is>
      </c>
      <c r="D792" s="4" t="inlineStr">
        <is>
          <t>=C6+P7</t>
        </is>
      </c>
      <c r="E792" s="4" t="n">
        <v>2</v>
      </c>
      <c r="F792" s="4" t="inlineStr">
        <is>
          <t>GOC Bed Unit-Costing Model v2 — working original.xlsx</t>
        </is>
      </c>
    </row>
    <row r="793" ht="40" customHeight="1">
      <c r="A793" s="4" t="inlineStr">
        <is>
          <t>original:Projection!D7</t>
        </is>
      </c>
      <c r="B793" s="4" t="inlineStr">
        <is>
          <t>Projection</t>
        </is>
      </c>
      <c r="C793" s="4" t="inlineStr">
        <is>
          <t>D7</t>
        </is>
      </c>
      <c r="D793" s="4" t="inlineStr">
        <is>
          <t>=IF(E7+F7&gt;=Inputs!$B$44,0,Inputs!$B$44)</t>
        </is>
      </c>
      <c r="E793" s="4" t="n">
        <v>0</v>
      </c>
      <c r="F793" s="4" t="inlineStr">
        <is>
          <t>GOC Bed Unit-Costing Model v2 — working original.xlsx</t>
        </is>
      </c>
    </row>
    <row r="794" ht="40" customHeight="1">
      <c r="A794" s="4" t="inlineStr">
        <is>
          <t>original:Projection!E7</t>
        </is>
      </c>
      <c r="B794" s="4" t="inlineStr">
        <is>
          <t>Projection</t>
        </is>
      </c>
      <c r="C794" s="4" t="inlineStr">
        <is>
          <t>E7</t>
        </is>
      </c>
      <c r="D794" s="4" t="inlineStr">
        <is>
          <t>=B7*Inputs!$B$42</t>
        </is>
      </c>
      <c r="E794" s="4" t="n">
        <v>500</v>
      </c>
      <c r="F794" s="4" t="inlineStr">
        <is>
          <t>GOC Bed Unit-Costing Model v2 — working original.xlsx</t>
        </is>
      </c>
    </row>
    <row r="795" ht="40" customHeight="1">
      <c r="A795" s="4" t="inlineStr">
        <is>
          <t>original:Projection!F7</t>
        </is>
      </c>
      <c r="B795" s="4" t="inlineStr">
        <is>
          <t>Projection</t>
        </is>
      </c>
      <c r="C795" s="4" t="inlineStr">
        <is>
          <t>F7</t>
        </is>
      </c>
      <c r="D795" s="4" t="inlineStr">
        <is>
          <t>=(C7-P7)*Inputs!$B$43+P7*Inputs!$B$43*Inputs!$B$46</t>
        </is>
      </c>
      <c r="E795" s="4" t="n">
        <v>700</v>
      </c>
      <c r="F795" s="4" t="inlineStr">
        <is>
          <t>GOC Bed Unit-Costing Model v2 — working original.xlsx</t>
        </is>
      </c>
    </row>
    <row r="796" ht="40" customHeight="1">
      <c r="A796" s="4" t="inlineStr">
        <is>
          <t>original:Projection!G7</t>
        </is>
      </c>
      <c r="B796" s="4" t="inlineStr">
        <is>
          <t>Projection</t>
        </is>
      </c>
      <c r="C796" s="4" t="inlineStr">
        <is>
          <t>G7</t>
        </is>
      </c>
      <c r="D796" s="4" t="inlineStr">
        <is>
          <t>=D7+E7+F7</t>
        </is>
      </c>
      <c r="E796" s="4" t="n">
        <v>1200</v>
      </c>
      <c r="F796" s="4" t="inlineStr">
        <is>
          <t>GOC Bed Unit-Costing Model v2 — working original.xlsx</t>
        </is>
      </c>
    </row>
    <row r="797" ht="40" customHeight="1">
      <c r="A797" s="4" t="inlineStr">
        <is>
          <t>original:Projection!H7</t>
        </is>
      </c>
      <c r="B797" s="4" t="inlineStr">
        <is>
          <t>Projection</t>
        </is>
      </c>
      <c r="C797" s="4" t="inlineStr">
        <is>
          <t>H7</t>
        </is>
      </c>
      <c r="D797" s="4" t="inlineStr">
        <is>
          <t>=G7*Inputs!$B$39</t>
        </is>
      </c>
      <c r="E797" s="4" t="n">
        <v>900000</v>
      </c>
      <c r="F797" s="4" t="inlineStr">
        <is>
          <t>GOC Bed Unit-Costing Model v2 — working original.xlsx</t>
        </is>
      </c>
    </row>
    <row r="798" ht="40" customHeight="1">
      <c r="A798" s="4" t="inlineStr">
        <is>
          <t>original:Projection!I7</t>
        </is>
      </c>
      <c r="B798" s="4" t="inlineStr">
        <is>
          <t>Projection</t>
        </is>
      </c>
      <c r="C798" s="4" t="inlineStr">
        <is>
          <t>I7</t>
        </is>
      </c>
      <c r="D798" s="4" t="inlineStr">
        <is>
          <t>=D7*Inputs!$B$13+E7*Inputs!$C$13+F7*Inputs!$D$13</t>
        </is>
      </c>
      <c r="E798" s="4" t="n">
        <v>507388</v>
      </c>
      <c r="F798" s="4" t="inlineStr">
        <is>
          <t>GOC Bed Unit-Costing Model v2 — working original.xlsx</t>
        </is>
      </c>
    </row>
    <row r="799" ht="40" customHeight="1">
      <c r="A799" s="4" t="inlineStr">
        <is>
          <t>original:Projection!J7</t>
        </is>
      </c>
      <c r="B799" s="4" t="inlineStr">
        <is>
          <t>Projection</t>
        </is>
      </c>
      <c r="C799" s="4" t="inlineStr">
        <is>
          <t>J7</t>
        </is>
      </c>
      <c r="D799" s="4" t="inlineStr">
        <is>
          <t>=Inputs!$B$36</t>
        </is>
      </c>
      <c r="E799" s="4" t="n">
        <v>109500</v>
      </c>
      <c r="F799" s="4" t="inlineStr">
        <is>
          <t>GOC Bed Unit-Costing Model v2 — working original.xlsx</t>
        </is>
      </c>
    </row>
    <row r="800" ht="40" customHeight="1">
      <c r="A800" s="4" t="inlineStr">
        <is>
          <t>original:Projection!K7</t>
        </is>
      </c>
      <c r="B800" s="4" t="inlineStr">
        <is>
          <t>Projection</t>
        </is>
      </c>
      <c r="C800" s="4" t="inlineStr">
        <is>
          <t>K7</t>
        </is>
      </c>
      <c r="D800" s="4" t="inlineStr">
        <is>
          <t>=Inputs!$B$37*SUM(Inputs!$B$19:$B$22)*(B7+C7)</t>
        </is>
      </c>
      <c r="E800" s="4" t="n">
        <v>25050</v>
      </c>
      <c r="F800" s="4" t="inlineStr">
        <is>
          <t>GOC Bed Unit-Costing Model v2 — working original.xlsx</t>
        </is>
      </c>
    </row>
    <row r="801" ht="40" customHeight="1">
      <c r="A801" s="4" t="inlineStr">
        <is>
          <t>original:Projection!L7</t>
        </is>
      </c>
      <c r="B801" s="4" t="inlineStr">
        <is>
          <t>Projection</t>
        </is>
      </c>
      <c r="C801" s="4" t="inlineStr">
        <is>
          <t>L7</t>
        </is>
      </c>
      <c r="D801" s="4" t="inlineStr">
        <is>
          <t>=P7*Inputs!$B$27</t>
        </is>
      </c>
      <c r="E801" s="4" t="n">
        <v>207450</v>
      </c>
      <c r="F801" s="4" t="inlineStr">
        <is>
          <t>GOC Bed Unit-Costing Model v2 — working original.xlsx</t>
        </is>
      </c>
    </row>
    <row r="802" ht="40" customHeight="1">
      <c r="A802" s="4" t="inlineStr">
        <is>
          <t>original:Projection!M7</t>
        </is>
      </c>
      <c r="B802" s="4" t="inlineStr">
        <is>
          <t>Projection</t>
        </is>
      </c>
      <c r="C802" s="4" t="inlineStr">
        <is>
          <t>M7</t>
        </is>
      </c>
      <c r="D802" s="4" t="inlineStr">
        <is>
          <t>=H7-I7-J7-K7-L7</t>
        </is>
      </c>
      <c r="E802" s="4" t="n">
        <v>50612</v>
      </c>
      <c r="F802" s="4" t="inlineStr">
        <is>
          <t>GOC Bed Unit-Costing Model v2 — working original.xlsx</t>
        </is>
      </c>
    </row>
    <row r="803" ht="40" customHeight="1">
      <c r="A803" s="4" t="inlineStr">
        <is>
          <t>original:Projection!N7</t>
        </is>
      </c>
      <c r="B803" s="4" t="inlineStr">
        <is>
          <t>Projection</t>
        </is>
      </c>
      <c r="C803" s="4" t="inlineStr">
        <is>
          <t>N7</t>
        </is>
      </c>
      <c r="D803" s="4" t="inlineStr">
        <is>
          <t>=H7-I7-J7-K7</t>
        </is>
      </c>
      <c r="E803" s="4" t="n">
        <v>258062</v>
      </c>
      <c r="F803" s="4" t="inlineStr">
        <is>
          <t>GOC Bed Unit-Costing Model v2 — working original.xlsx</t>
        </is>
      </c>
    </row>
    <row r="804" ht="40" customHeight="1">
      <c r="A804" s="4" t="inlineStr">
        <is>
          <t>original:Projection!O7</t>
        </is>
      </c>
      <c r="B804" s="4" t="inlineStr">
        <is>
          <t>Projection</t>
        </is>
      </c>
      <c r="C804" s="4" t="inlineStr">
        <is>
          <t>O7</t>
        </is>
      </c>
      <c r="D804" s="4" t="inlineStr">
        <is>
          <t>=O6+M7</t>
        </is>
      </c>
      <c r="E804" s="4" t="n">
        <v>848786</v>
      </c>
      <c r="F804" s="4" t="inlineStr">
        <is>
          <t>GOC Bed Unit-Costing Model v2 — working original.xlsx</t>
        </is>
      </c>
    </row>
    <row r="805" ht="40" customHeight="1">
      <c r="A805" s="4" t="inlineStr">
        <is>
          <t>original:Projection!P7</t>
        </is>
      </c>
      <c r="B805" s="4" t="inlineStr">
        <is>
          <t>Projection</t>
        </is>
      </c>
      <c r="C805" s="4" t="inlineStr">
        <is>
          <t>P7</t>
        </is>
      </c>
      <c r="D805" s="4" t="inlineStr">
        <is>
          <t>=IF(Inputs!$B$27&gt;0,MIN(Inputs!$B$45,MAX(0,FLOOR(MAX(0,Q7)/Inputs!$B$27,1))),0)</t>
        </is>
      </c>
      <c r="E805" s="4" t="n">
        <v>1</v>
      </c>
      <c r="F805" s="4" t="inlineStr">
        <is>
          <t>GOC Bed Unit-Costing Model v2 — working original.xlsx</t>
        </is>
      </c>
    </row>
    <row r="806" ht="40" customHeight="1">
      <c r="A806" s="4" t="inlineStr">
        <is>
          <t>original:Projection!Q7</t>
        </is>
      </c>
      <c r="B806" s="4" t="inlineStr">
        <is>
          <t>Projection</t>
        </is>
      </c>
      <c r="C806" s="4" t="inlineStr">
        <is>
          <t>Q7</t>
        </is>
      </c>
      <c r="D806" s="4" t="inlineStr">
        <is>
          <t>=Q6+N6-P6*Inputs!$B$27</t>
        </is>
      </c>
      <c r="E806" s="4" t="n">
        <v>405624</v>
      </c>
      <c r="F806" s="4" t="inlineStr">
        <is>
          <t>GOC Bed Unit-Costing Model v2 — working original.xlsx</t>
        </is>
      </c>
    </row>
    <row r="807" ht="40" customHeight="1">
      <c r="A807" s="4" t="inlineStr">
        <is>
          <t>original:Projection!R7</t>
        </is>
      </c>
      <c r="B807" s="4" t="inlineStr">
        <is>
          <t>Projection</t>
        </is>
      </c>
      <c r="C807" s="4" t="inlineStr">
        <is>
          <t>R7</t>
        </is>
      </c>
      <c r="D807" s="4" t="inlineStr">
        <is>
          <t>=IF(P7&gt;0,A7,"")</t>
        </is>
      </c>
      <c r="E807" s="4" t="n">
        <v>4</v>
      </c>
      <c r="F807" s="4" t="inlineStr">
        <is>
          <t>GOC Bed Unit-Costing Model v2 — working original.xlsx</t>
        </is>
      </c>
    </row>
    <row r="808" ht="40" customHeight="1">
      <c r="A808" s="4" t="inlineStr">
        <is>
          <t>original:Projection!A8</t>
        </is>
      </c>
      <c r="B808" s="4" t="inlineStr">
        <is>
          <t>Projection</t>
        </is>
      </c>
      <c r="C808" s="4" t="inlineStr">
        <is>
          <t>A8</t>
        </is>
      </c>
      <c r="D808" s="4" t="n">
        <v>5</v>
      </c>
      <c r="E808" s="4" t="n">
        <v>5</v>
      </c>
      <c r="F808" s="4" t="inlineStr">
        <is>
          <t>GOC Bed Unit-Costing Model v2 — working original.xlsx</t>
        </is>
      </c>
    </row>
    <row r="809" ht="40" customHeight="1">
      <c r="A809" s="4" t="inlineStr">
        <is>
          <t>original:Projection!B8</t>
        </is>
      </c>
      <c r="B809" s="4" t="inlineStr">
        <is>
          <t>Projection</t>
        </is>
      </c>
      <c r="C809" s="4" t="inlineStr">
        <is>
          <t>B8</t>
        </is>
      </c>
      <c r="D809" s="4" t="inlineStr">
        <is>
          <t>=Inputs!$B$40</t>
        </is>
      </c>
      <c r="E809" s="4" t="n">
        <v>1</v>
      </c>
      <c r="F809" s="4" t="inlineStr">
        <is>
          <t>GOC Bed Unit-Costing Model v2 — working original.xlsx</t>
        </is>
      </c>
    </row>
    <row r="810" ht="40" customHeight="1">
      <c r="A810" s="4" t="inlineStr">
        <is>
          <t>original:Projection!C8</t>
        </is>
      </c>
      <c r="B810" s="4" t="inlineStr">
        <is>
          <t>Projection</t>
        </is>
      </c>
      <c r="C810" s="4" t="inlineStr">
        <is>
          <t>C8</t>
        </is>
      </c>
      <c r="D810" s="4" t="inlineStr">
        <is>
          <t>=C7+P8</t>
        </is>
      </c>
      <c r="E810" s="4" t="n">
        <v>4</v>
      </c>
      <c r="F810" s="4" t="inlineStr">
        <is>
          <t>GOC Bed Unit-Costing Model v2 — working original.xlsx</t>
        </is>
      </c>
    </row>
    <row r="811" ht="40" customHeight="1">
      <c r="A811" s="4" t="inlineStr">
        <is>
          <t>original:Projection!D8</t>
        </is>
      </c>
      <c r="B811" s="4" t="inlineStr">
        <is>
          <t>Projection</t>
        </is>
      </c>
      <c r="C811" s="4" t="inlineStr">
        <is>
          <t>D8</t>
        </is>
      </c>
      <c r="D811" s="4" t="inlineStr">
        <is>
          <t>=IF(E8+F8&gt;=Inputs!$B$44,0,Inputs!$B$44)</t>
        </is>
      </c>
      <c r="E811" s="4" t="n">
        <v>0</v>
      </c>
      <c r="F811" s="4" t="inlineStr">
        <is>
          <t>GOC Bed Unit-Costing Model v2 — working original.xlsx</t>
        </is>
      </c>
    </row>
    <row r="812" ht="40" customHeight="1">
      <c r="A812" s="4" t="inlineStr">
        <is>
          <t>original:Projection!E8</t>
        </is>
      </c>
      <c r="B812" s="4" t="inlineStr">
        <is>
          <t>Projection</t>
        </is>
      </c>
      <c r="C812" s="4" t="inlineStr">
        <is>
          <t>E8</t>
        </is>
      </c>
      <c r="D812" s="4" t="inlineStr">
        <is>
          <t>=B8*Inputs!$B$42</t>
        </is>
      </c>
      <c r="E812" s="4" t="n">
        <v>500</v>
      </c>
      <c r="F812" s="4" t="inlineStr">
        <is>
          <t>GOC Bed Unit-Costing Model v2 — working original.xlsx</t>
        </is>
      </c>
    </row>
    <row r="813" ht="40" customHeight="1">
      <c r="A813" s="4" t="inlineStr">
        <is>
          <t>original:Projection!F8</t>
        </is>
      </c>
      <c r="B813" s="4" t="inlineStr">
        <is>
          <t>Projection</t>
        </is>
      </c>
      <c r="C813" s="4" t="inlineStr">
        <is>
          <t>F8</t>
        </is>
      </c>
      <c r="D813" s="4" t="inlineStr">
        <is>
          <t>=(C8-P8)*Inputs!$B$43+P8*Inputs!$B$43*Inputs!$B$46</t>
        </is>
      </c>
      <c r="E813" s="4" t="n">
        <v>1400</v>
      </c>
      <c r="F813" s="4" t="inlineStr">
        <is>
          <t>GOC Bed Unit-Costing Model v2 — working original.xlsx</t>
        </is>
      </c>
    </row>
    <row r="814" ht="40" customHeight="1">
      <c r="A814" s="4" t="inlineStr">
        <is>
          <t>original:Projection!G8</t>
        </is>
      </c>
      <c r="B814" s="4" t="inlineStr">
        <is>
          <t>Projection</t>
        </is>
      </c>
      <c r="C814" s="4" t="inlineStr">
        <is>
          <t>G8</t>
        </is>
      </c>
      <c r="D814" s="4" t="inlineStr">
        <is>
          <t>=D8+E8+F8</t>
        </is>
      </c>
      <c r="E814" s="4" t="n">
        <v>1900</v>
      </c>
      <c r="F814" s="4" t="inlineStr">
        <is>
          <t>GOC Bed Unit-Costing Model v2 — working original.xlsx</t>
        </is>
      </c>
    </row>
    <row r="815" ht="40" customHeight="1">
      <c r="A815" s="4" t="inlineStr">
        <is>
          <t>original:Projection!H8</t>
        </is>
      </c>
      <c r="B815" s="4" t="inlineStr">
        <is>
          <t>Projection</t>
        </is>
      </c>
      <c r="C815" s="4" t="inlineStr">
        <is>
          <t>H8</t>
        </is>
      </c>
      <c r="D815" s="4" t="inlineStr">
        <is>
          <t>=G8*Inputs!$B$39</t>
        </is>
      </c>
      <c r="E815" s="4" t="n">
        <v>1425000</v>
      </c>
      <c r="F815" s="4" t="inlineStr">
        <is>
          <t>GOC Bed Unit-Costing Model v2 — working original.xlsx</t>
        </is>
      </c>
    </row>
    <row r="816" ht="40" customHeight="1">
      <c r="A816" s="4" t="inlineStr">
        <is>
          <t>original:Projection!I8</t>
        </is>
      </c>
      <c r="B816" s="4" t="inlineStr">
        <is>
          <t>Projection</t>
        </is>
      </c>
      <c r="C816" s="4" t="inlineStr">
        <is>
          <t>I8</t>
        </is>
      </c>
      <c r="D816" s="4" t="inlineStr">
        <is>
          <t>=D8*Inputs!$B$13+E8*Inputs!$C$13+F8*Inputs!$D$13</t>
        </is>
      </c>
      <c r="E816" s="4" t="n">
        <v>801906</v>
      </c>
      <c r="F816" s="4" t="inlineStr">
        <is>
          <t>GOC Bed Unit-Costing Model v2 — working original.xlsx</t>
        </is>
      </c>
    </row>
    <row r="817" ht="40" customHeight="1">
      <c r="A817" s="4" t="inlineStr">
        <is>
          <t>original:Projection!J8</t>
        </is>
      </c>
      <c r="B817" s="4" t="inlineStr">
        <is>
          <t>Projection</t>
        </is>
      </c>
      <c r="C817" s="4" t="inlineStr">
        <is>
          <t>J8</t>
        </is>
      </c>
      <c r="D817" s="4" t="inlineStr">
        <is>
          <t>=Inputs!$B$36</t>
        </is>
      </c>
      <c r="E817" s="4" t="n">
        <v>109500</v>
      </c>
      <c r="F817" s="4" t="inlineStr">
        <is>
          <t>GOC Bed Unit-Costing Model v2 — working original.xlsx</t>
        </is>
      </c>
    </row>
    <row r="818" ht="40" customHeight="1">
      <c r="A818" s="4" t="inlineStr">
        <is>
          <t>original:Projection!K8</t>
        </is>
      </c>
      <c r="B818" s="4" t="inlineStr">
        <is>
          <t>Projection</t>
        </is>
      </c>
      <c r="C818" s="4" t="inlineStr">
        <is>
          <t>K8</t>
        </is>
      </c>
      <c r="D818" s="4" t="inlineStr">
        <is>
          <t>=Inputs!$B$37*SUM(Inputs!$B$19:$B$22)*(B8+C8)</t>
        </is>
      </c>
      <c r="E818" s="4" t="n">
        <v>41750</v>
      </c>
      <c r="F818" s="4" t="inlineStr">
        <is>
          <t>GOC Bed Unit-Costing Model v2 — working original.xlsx</t>
        </is>
      </c>
    </row>
    <row r="819" ht="40" customHeight="1">
      <c r="A819" s="4" t="inlineStr">
        <is>
          <t>original:Projection!L8</t>
        </is>
      </c>
      <c r="B819" s="4" t="inlineStr">
        <is>
          <t>Projection</t>
        </is>
      </c>
      <c r="C819" s="4" t="inlineStr">
        <is>
          <t>L8</t>
        </is>
      </c>
      <c r="D819" s="4" t="inlineStr">
        <is>
          <t>=P8*Inputs!$B$27</t>
        </is>
      </c>
      <c r="E819" s="4" t="n">
        <v>414900</v>
      </c>
      <c r="F819" s="4" t="inlineStr">
        <is>
          <t>GOC Bed Unit-Costing Model v2 — working original.xlsx</t>
        </is>
      </c>
    </row>
    <row r="820" ht="40" customHeight="1">
      <c r="A820" s="4" t="inlineStr">
        <is>
          <t>original:Projection!M8</t>
        </is>
      </c>
      <c r="B820" s="4" t="inlineStr">
        <is>
          <t>Projection</t>
        </is>
      </c>
      <c r="C820" s="4" t="inlineStr">
        <is>
          <t>M8</t>
        </is>
      </c>
      <c r="D820" s="4" t="inlineStr">
        <is>
          <t>=H8-I8-J8-K8-L8</t>
        </is>
      </c>
      <c r="E820" s="4" t="n">
        <v>56944</v>
      </c>
      <c r="F820" s="4" t="inlineStr">
        <is>
          <t>GOC Bed Unit-Costing Model v2 — working original.xlsx</t>
        </is>
      </c>
    </row>
    <row r="821" ht="40" customHeight="1">
      <c r="A821" s="4" t="inlineStr">
        <is>
          <t>original:Projection!N8</t>
        </is>
      </c>
      <c r="B821" s="4" t="inlineStr">
        <is>
          <t>Projection</t>
        </is>
      </c>
      <c r="C821" s="4" t="inlineStr">
        <is>
          <t>N8</t>
        </is>
      </c>
      <c r="D821" s="4" t="inlineStr">
        <is>
          <t>=H8-I8-J8-K8</t>
        </is>
      </c>
      <c r="E821" s="4" t="n">
        <v>471844</v>
      </c>
      <c r="F821" s="4" t="inlineStr">
        <is>
          <t>GOC Bed Unit-Costing Model v2 — working original.xlsx</t>
        </is>
      </c>
    </row>
    <row r="822" ht="40" customHeight="1">
      <c r="A822" s="4" t="inlineStr">
        <is>
          <t>original:Projection!O8</t>
        </is>
      </c>
      <c r="B822" s="4" t="inlineStr">
        <is>
          <t>Projection</t>
        </is>
      </c>
      <c r="C822" s="4" t="inlineStr">
        <is>
          <t>O8</t>
        </is>
      </c>
      <c r="D822" s="4" t="inlineStr">
        <is>
          <t>=O7+M8</t>
        </is>
      </c>
      <c r="E822" s="4" t="n">
        <v>905730</v>
      </c>
      <c r="F822" s="4" t="inlineStr">
        <is>
          <t>GOC Bed Unit-Costing Model v2 — working original.xlsx</t>
        </is>
      </c>
    </row>
    <row r="823" ht="40" customHeight="1">
      <c r="A823" s="4" t="inlineStr">
        <is>
          <t>original:Projection!P8</t>
        </is>
      </c>
      <c r="B823" s="4" t="inlineStr">
        <is>
          <t>Projection</t>
        </is>
      </c>
      <c r="C823" s="4" t="inlineStr">
        <is>
          <t>P8</t>
        </is>
      </c>
      <c r="D823" s="4" t="inlineStr">
        <is>
          <t>=IF(Inputs!$B$27&gt;0,MIN(Inputs!$B$45,MAX(0,FLOOR(MAX(0,Q8)/Inputs!$B$27,1))),0)</t>
        </is>
      </c>
      <c r="E823" s="4" t="n">
        <v>2</v>
      </c>
      <c r="F823" s="4" t="inlineStr">
        <is>
          <t>GOC Bed Unit-Costing Model v2 — working original.xlsx</t>
        </is>
      </c>
    </row>
    <row r="824" ht="40" customHeight="1">
      <c r="A824" s="4" t="inlineStr">
        <is>
          <t>original:Projection!Q8</t>
        </is>
      </c>
      <c r="B824" s="4" t="inlineStr">
        <is>
          <t>Projection</t>
        </is>
      </c>
      <c r="C824" s="4" t="inlineStr">
        <is>
          <t>Q8</t>
        </is>
      </c>
      <c r="D824" s="4" t="inlineStr">
        <is>
          <t>=Q7+N7-P7*Inputs!$B$27</t>
        </is>
      </c>
      <c r="E824" s="4" t="n">
        <v>456236</v>
      </c>
      <c r="F824" s="4" t="inlineStr">
        <is>
          <t>GOC Bed Unit-Costing Model v2 — working original.xlsx</t>
        </is>
      </c>
    </row>
    <row r="825" ht="40" customHeight="1">
      <c r="A825" s="4" t="inlineStr">
        <is>
          <t>original:Projection!R8</t>
        </is>
      </c>
      <c r="B825" s="4" t="inlineStr">
        <is>
          <t>Projection</t>
        </is>
      </c>
      <c r="C825" s="4" t="inlineStr">
        <is>
          <t>R8</t>
        </is>
      </c>
      <c r="D825" s="4" t="inlineStr">
        <is>
          <t>=IF(P8&gt;0,A8,"")</t>
        </is>
      </c>
      <c r="E825" s="4" t="n">
        <v>5</v>
      </c>
      <c r="F825" s="4" t="inlineStr">
        <is>
          <t>GOC Bed Unit-Costing Model v2 — working original.xlsx</t>
        </is>
      </c>
    </row>
    <row r="826" ht="40" customHeight="1">
      <c r="A826" s="4" t="inlineStr">
        <is>
          <t>original:Projection!A9</t>
        </is>
      </c>
      <c r="B826" s="4" t="inlineStr">
        <is>
          <t>Projection</t>
        </is>
      </c>
      <c r="C826" s="4" t="inlineStr">
        <is>
          <t>A9</t>
        </is>
      </c>
      <c r="D826" s="4" t="n">
        <v>6</v>
      </c>
      <c r="E826" s="4" t="n">
        <v>6</v>
      </c>
      <c r="F826" s="4" t="inlineStr">
        <is>
          <t>GOC Bed Unit-Costing Model v2 — working original.xlsx</t>
        </is>
      </c>
    </row>
    <row r="827" ht="40" customHeight="1">
      <c r="A827" s="4" t="inlineStr">
        <is>
          <t>original:Projection!B9</t>
        </is>
      </c>
      <c r="B827" s="4" t="inlineStr">
        <is>
          <t>Projection</t>
        </is>
      </c>
      <c r="C827" s="4" t="inlineStr">
        <is>
          <t>B9</t>
        </is>
      </c>
      <c r="D827" s="4" t="inlineStr">
        <is>
          <t>=Inputs!$B$40</t>
        </is>
      </c>
      <c r="E827" s="4" t="n">
        <v>1</v>
      </c>
      <c r="F827" s="4" t="inlineStr">
        <is>
          <t>GOC Bed Unit-Costing Model v2 — working original.xlsx</t>
        </is>
      </c>
    </row>
    <row r="828" ht="40" customHeight="1">
      <c r="A828" s="4" t="inlineStr">
        <is>
          <t>original:Projection!C9</t>
        </is>
      </c>
      <c r="B828" s="4" t="inlineStr">
        <is>
          <t>Projection</t>
        </is>
      </c>
      <c r="C828" s="4" t="inlineStr">
        <is>
          <t>C9</t>
        </is>
      </c>
      <c r="D828" s="4" t="inlineStr">
        <is>
          <t>=C8+P9</t>
        </is>
      </c>
      <c r="E828" s="4" t="n">
        <v>6</v>
      </c>
      <c r="F828" s="4" t="inlineStr">
        <is>
          <t>GOC Bed Unit-Costing Model v2 — working original.xlsx</t>
        </is>
      </c>
    </row>
    <row r="829" ht="40" customHeight="1">
      <c r="A829" s="4" t="inlineStr">
        <is>
          <t>original:Projection!D9</t>
        </is>
      </c>
      <c r="B829" s="4" t="inlineStr">
        <is>
          <t>Projection</t>
        </is>
      </c>
      <c r="C829" s="4" t="inlineStr">
        <is>
          <t>D9</t>
        </is>
      </c>
      <c r="D829" s="4" t="inlineStr">
        <is>
          <t>=IF(E9+F9&gt;=Inputs!$B$44,0,Inputs!$B$44)</t>
        </is>
      </c>
      <c r="E829" s="4" t="n">
        <v>0</v>
      </c>
      <c r="F829" s="4" t="inlineStr">
        <is>
          <t>GOC Bed Unit-Costing Model v2 — working original.xlsx</t>
        </is>
      </c>
    </row>
    <row r="830" ht="40" customHeight="1">
      <c r="A830" s="4" t="inlineStr">
        <is>
          <t>original:Projection!E9</t>
        </is>
      </c>
      <c r="B830" s="4" t="inlineStr">
        <is>
          <t>Projection</t>
        </is>
      </c>
      <c r="C830" s="4" t="inlineStr">
        <is>
          <t>E9</t>
        </is>
      </c>
      <c r="D830" s="4" t="inlineStr">
        <is>
          <t>=B9*Inputs!$B$42</t>
        </is>
      </c>
      <c r="E830" s="4" t="n">
        <v>500</v>
      </c>
      <c r="F830" s="4" t="inlineStr">
        <is>
          <t>GOC Bed Unit-Costing Model v2 — working original.xlsx</t>
        </is>
      </c>
    </row>
    <row r="831" ht="40" customHeight="1">
      <c r="A831" s="4" t="inlineStr">
        <is>
          <t>original:Projection!F9</t>
        </is>
      </c>
      <c r="B831" s="4" t="inlineStr">
        <is>
          <t>Projection</t>
        </is>
      </c>
      <c r="C831" s="4" t="inlineStr">
        <is>
          <t>F9</t>
        </is>
      </c>
      <c r="D831" s="4" t="inlineStr">
        <is>
          <t>=(C9-P9)*Inputs!$B$43+P9*Inputs!$B$43*Inputs!$B$46</t>
        </is>
      </c>
      <c r="E831" s="4" t="n">
        <v>2400</v>
      </c>
      <c r="F831" s="4" t="inlineStr">
        <is>
          <t>GOC Bed Unit-Costing Model v2 — working original.xlsx</t>
        </is>
      </c>
    </row>
    <row r="832" ht="40" customHeight="1">
      <c r="A832" s="4" t="inlineStr">
        <is>
          <t>original:Projection!G9</t>
        </is>
      </c>
      <c r="B832" s="4" t="inlineStr">
        <is>
          <t>Projection</t>
        </is>
      </c>
      <c r="C832" s="4" t="inlineStr">
        <is>
          <t>G9</t>
        </is>
      </c>
      <c r="D832" s="4" t="inlineStr">
        <is>
          <t>=D9+E9+F9</t>
        </is>
      </c>
      <c r="E832" s="4" t="n">
        <v>2900</v>
      </c>
      <c r="F832" s="4" t="inlineStr">
        <is>
          <t>GOC Bed Unit-Costing Model v2 — working original.xlsx</t>
        </is>
      </c>
    </row>
    <row r="833" ht="40" customHeight="1">
      <c r="A833" s="4" t="inlineStr">
        <is>
          <t>original:Projection!H9</t>
        </is>
      </c>
      <c r="B833" s="4" t="inlineStr">
        <is>
          <t>Projection</t>
        </is>
      </c>
      <c r="C833" s="4" t="inlineStr">
        <is>
          <t>H9</t>
        </is>
      </c>
      <c r="D833" s="4" t="inlineStr">
        <is>
          <t>=G9*Inputs!$B$39</t>
        </is>
      </c>
      <c r="E833" s="4" t="n">
        <v>2175000</v>
      </c>
      <c r="F833" s="4" t="inlineStr">
        <is>
          <t>GOC Bed Unit-Costing Model v2 — working original.xlsx</t>
        </is>
      </c>
    </row>
    <row r="834" ht="40" customHeight="1">
      <c r="A834" s="4" t="inlineStr">
        <is>
          <t>original:Projection!I9</t>
        </is>
      </c>
      <c r="B834" s="4" t="inlineStr">
        <is>
          <t>Projection</t>
        </is>
      </c>
      <c r="C834" s="4" t="inlineStr">
        <is>
          <t>I9</t>
        </is>
      </c>
      <c r="D834" s="4" t="inlineStr">
        <is>
          <t>=D9*Inputs!$B$13+E9*Inputs!$C$13+F9*Inputs!$D$13</t>
        </is>
      </c>
      <c r="E834" s="4" t="n">
        <v>1222646</v>
      </c>
      <c r="F834" s="4" t="inlineStr">
        <is>
          <t>GOC Bed Unit-Costing Model v2 — working original.xlsx</t>
        </is>
      </c>
    </row>
    <row r="835" ht="40" customHeight="1">
      <c r="A835" s="4" t="inlineStr">
        <is>
          <t>original:Projection!J9</t>
        </is>
      </c>
      <c r="B835" s="4" t="inlineStr">
        <is>
          <t>Projection</t>
        </is>
      </c>
      <c r="C835" s="4" t="inlineStr">
        <is>
          <t>J9</t>
        </is>
      </c>
      <c r="D835" s="4" t="inlineStr">
        <is>
          <t>=Inputs!$B$36</t>
        </is>
      </c>
      <c r="E835" s="4" t="n">
        <v>109500</v>
      </c>
      <c r="F835" s="4" t="inlineStr">
        <is>
          <t>GOC Bed Unit-Costing Model v2 — working original.xlsx</t>
        </is>
      </c>
    </row>
    <row r="836" ht="40" customHeight="1">
      <c r="A836" s="4" t="inlineStr">
        <is>
          <t>original:Projection!K9</t>
        </is>
      </c>
      <c r="B836" s="4" t="inlineStr">
        <is>
          <t>Projection</t>
        </is>
      </c>
      <c r="C836" s="4" t="inlineStr">
        <is>
          <t>K9</t>
        </is>
      </c>
      <c r="D836" s="4" t="inlineStr">
        <is>
          <t>=Inputs!$B$37*SUM(Inputs!$B$19:$B$22)*(B9+C9)</t>
        </is>
      </c>
      <c r="E836" s="4" t="n">
        <v>58450</v>
      </c>
      <c r="F836" s="4" t="inlineStr">
        <is>
          <t>GOC Bed Unit-Costing Model v2 — working original.xlsx</t>
        </is>
      </c>
    </row>
    <row r="837" ht="40" customHeight="1">
      <c r="A837" s="4" t="inlineStr">
        <is>
          <t>original:Projection!L9</t>
        </is>
      </c>
      <c r="B837" s="4" t="inlineStr">
        <is>
          <t>Projection</t>
        </is>
      </c>
      <c r="C837" s="4" t="inlineStr">
        <is>
          <t>L9</t>
        </is>
      </c>
      <c r="D837" s="4" t="inlineStr">
        <is>
          <t>=P9*Inputs!$B$27</t>
        </is>
      </c>
      <c r="E837" s="4" t="n">
        <v>414900</v>
      </c>
      <c r="F837" s="4" t="inlineStr">
        <is>
          <t>GOC Bed Unit-Costing Model v2 — working original.xlsx</t>
        </is>
      </c>
    </row>
    <row r="838" ht="40" customHeight="1">
      <c r="A838" s="4" t="inlineStr">
        <is>
          <t>original:Projection!M9</t>
        </is>
      </c>
      <c r="B838" s="4" t="inlineStr">
        <is>
          <t>Projection</t>
        </is>
      </c>
      <c r="C838" s="4" t="inlineStr">
        <is>
          <t>M9</t>
        </is>
      </c>
      <c r="D838" s="4" t="inlineStr">
        <is>
          <t>=H9-I9-J9-K9-L9</t>
        </is>
      </c>
      <c r="E838" s="4" t="n">
        <v>369504</v>
      </c>
      <c r="F838" s="4" t="inlineStr">
        <is>
          <t>GOC Bed Unit-Costing Model v2 — working original.xlsx</t>
        </is>
      </c>
    </row>
    <row r="839" ht="40" customHeight="1">
      <c r="A839" s="4" t="inlineStr">
        <is>
          <t>original:Projection!N9</t>
        </is>
      </c>
      <c r="B839" s="4" t="inlineStr">
        <is>
          <t>Projection</t>
        </is>
      </c>
      <c r="C839" s="4" t="inlineStr">
        <is>
          <t>N9</t>
        </is>
      </c>
      <c r="D839" s="4" t="inlineStr">
        <is>
          <t>=H9-I9-J9-K9</t>
        </is>
      </c>
      <c r="E839" s="4" t="n">
        <v>784404</v>
      </c>
      <c r="F839" s="4" t="inlineStr">
        <is>
          <t>GOC Bed Unit-Costing Model v2 — working original.xlsx</t>
        </is>
      </c>
    </row>
    <row r="840" ht="40" customHeight="1">
      <c r="A840" s="4" t="inlineStr">
        <is>
          <t>original:Projection!O9</t>
        </is>
      </c>
      <c r="B840" s="4" t="inlineStr">
        <is>
          <t>Projection</t>
        </is>
      </c>
      <c r="C840" s="4" t="inlineStr">
        <is>
          <t>O9</t>
        </is>
      </c>
      <c r="D840" s="4" t="inlineStr">
        <is>
          <t>=O8+M9</t>
        </is>
      </c>
      <c r="E840" s="4" t="n">
        <v>1275234</v>
      </c>
      <c r="F840" s="4" t="inlineStr">
        <is>
          <t>GOC Bed Unit-Costing Model v2 — working original.xlsx</t>
        </is>
      </c>
    </row>
    <row r="841" ht="40" customHeight="1">
      <c r="A841" s="4" t="inlineStr">
        <is>
          <t>original:Projection!P9</t>
        </is>
      </c>
      <c r="B841" s="4" t="inlineStr">
        <is>
          <t>Projection</t>
        </is>
      </c>
      <c r="C841" s="4" t="inlineStr">
        <is>
          <t>P9</t>
        </is>
      </c>
      <c r="D841" s="4" t="inlineStr">
        <is>
          <t>=IF(Inputs!$B$27&gt;0,MIN(Inputs!$B$45,MAX(0,FLOOR(MAX(0,Q9)/Inputs!$B$27,1))),0)</t>
        </is>
      </c>
      <c r="E841" s="4" t="n">
        <v>2</v>
      </c>
      <c r="F841" s="4" t="inlineStr">
        <is>
          <t>GOC Bed Unit-Costing Model v2 — working original.xlsx</t>
        </is>
      </c>
    </row>
    <row r="842" ht="40" customHeight="1">
      <c r="A842" s="4" t="inlineStr">
        <is>
          <t>original:Projection!Q9</t>
        </is>
      </c>
      <c r="B842" s="4" t="inlineStr">
        <is>
          <t>Projection</t>
        </is>
      </c>
      <c r="C842" s="4" t="inlineStr">
        <is>
          <t>Q9</t>
        </is>
      </c>
      <c r="D842" s="4" t="inlineStr">
        <is>
          <t>=Q8+N8-P8*Inputs!$B$27</t>
        </is>
      </c>
      <c r="E842" s="4" t="n">
        <v>513180</v>
      </c>
      <c r="F842" s="4" t="inlineStr">
        <is>
          <t>GOC Bed Unit-Costing Model v2 — working original.xlsx</t>
        </is>
      </c>
    </row>
    <row r="843" ht="40" customHeight="1">
      <c r="A843" s="4" t="inlineStr">
        <is>
          <t>original:Projection!R9</t>
        </is>
      </c>
      <c r="B843" s="4" t="inlineStr">
        <is>
          <t>Projection</t>
        </is>
      </c>
      <c r="C843" s="4" t="inlineStr">
        <is>
          <t>R9</t>
        </is>
      </c>
      <c r="D843" s="4" t="inlineStr">
        <is>
          <t>=IF(P9&gt;0,A9,"")</t>
        </is>
      </c>
      <c r="E843" s="4" t="n">
        <v>6</v>
      </c>
      <c r="F843" s="4" t="inlineStr">
        <is>
          <t>GOC Bed Unit-Costing Model v2 — working original.xlsx</t>
        </is>
      </c>
    </row>
    <row r="844" ht="40" customHeight="1">
      <c r="A844" s="4" t="inlineStr">
        <is>
          <t>original:Projection!A10</t>
        </is>
      </c>
      <c r="B844" s="4" t="inlineStr">
        <is>
          <t>Projection</t>
        </is>
      </c>
      <c r="C844" s="4" t="inlineStr">
        <is>
          <t>A10</t>
        </is>
      </c>
      <c r="D844" s="4" t="n">
        <v>7</v>
      </c>
      <c r="E844" s="4" t="n">
        <v>7</v>
      </c>
      <c r="F844" s="4" t="inlineStr">
        <is>
          <t>GOC Bed Unit-Costing Model v2 — working original.xlsx</t>
        </is>
      </c>
    </row>
    <row r="845" ht="40" customHeight="1">
      <c r="A845" s="4" t="inlineStr">
        <is>
          <t>original:Projection!B10</t>
        </is>
      </c>
      <c r="B845" s="4" t="inlineStr">
        <is>
          <t>Projection</t>
        </is>
      </c>
      <c r="C845" s="4" t="inlineStr">
        <is>
          <t>B10</t>
        </is>
      </c>
      <c r="D845" s="4" t="inlineStr">
        <is>
          <t>=Inputs!$B$40</t>
        </is>
      </c>
      <c r="E845" s="4" t="n">
        <v>1</v>
      </c>
      <c r="F845" s="4" t="inlineStr">
        <is>
          <t>GOC Bed Unit-Costing Model v2 — working original.xlsx</t>
        </is>
      </c>
    </row>
    <row r="846" ht="40" customHeight="1">
      <c r="A846" s="4" t="inlineStr">
        <is>
          <t>original:Projection!C10</t>
        </is>
      </c>
      <c r="B846" s="4" t="inlineStr">
        <is>
          <t>Projection</t>
        </is>
      </c>
      <c r="C846" s="4" t="inlineStr">
        <is>
          <t>C10</t>
        </is>
      </c>
      <c r="D846" s="4" t="inlineStr">
        <is>
          <t>=C9+P10</t>
        </is>
      </c>
      <c r="E846" s="4" t="n">
        <v>9</v>
      </c>
      <c r="F846" s="4" t="inlineStr">
        <is>
          <t>GOC Bed Unit-Costing Model v2 — working original.xlsx</t>
        </is>
      </c>
    </row>
    <row r="847" ht="40" customHeight="1">
      <c r="A847" s="4" t="inlineStr">
        <is>
          <t>original:Projection!D10</t>
        </is>
      </c>
      <c r="B847" s="4" t="inlineStr">
        <is>
          <t>Projection</t>
        </is>
      </c>
      <c r="C847" s="4" t="inlineStr">
        <is>
          <t>D10</t>
        </is>
      </c>
      <c r="D847" s="4" t="inlineStr">
        <is>
          <t>=IF(E10+F10&gt;=Inputs!$B$44,0,Inputs!$B$44)</t>
        </is>
      </c>
      <c r="E847" s="4" t="n">
        <v>0</v>
      </c>
      <c r="F847" s="4" t="inlineStr">
        <is>
          <t>GOC Bed Unit-Costing Model v2 — working original.xlsx</t>
        </is>
      </c>
    </row>
    <row r="848" ht="40" customHeight="1">
      <c r="A848" s="4" t="inlineStr">
        <is>
          <t>original:Projection!E10</t>
        </is>
      </c>
      <c r="B848" s="4" t="inlineStr">
        <is>
          <t>Projection</t>
        </is>
      </c>
      <c r="C848" s="4" t="inlineStr">
        <is>
          <t>E10</t>
        </is>
      </c>
      <c r="D848" s="4" t="inlineStr">
        <is>
          <t>=B10*Inputs!$B$42</t>
        </is>
      </c>
      <c r="E848" s="4" t="n">
        <v>500</v>
      </c>
      <c r="F848" s="4" t="inlineStr">
        <is>
          <t>GOC Bed Unit-Costing Model v2 — working original.xlsx</t>
        </is>
      </c>
    </row>
    <row r="849" ht="40" customHeight="1">
      <c r="A849" s="4" t="inlineStr">
        <is>
          <t>original:Projection!F10</t>
        </is>
      </c>
      <c r="B849" s="4" t="inlineStr">
        <is>
          <t>Projection</t>
        </is>
      </c>
      <c r="C849" s="4" t="inlineStr">
        <is>
          <t>F10</t>
        </is>
      </c>
      <c r="D849" s="4" t="inlineStr">
        <is>
          <t>=(C10-P10)*Inputs!$B$43+P10*Inputs!$B$43*Inputs!$B$46</t>
        </is>
      </c>
      <c r="E849" s="4" t="n">
        <v>3600</v>
      </c>
      <c r="F849" s="4" t="inlineStr">
        <is>
          <t>GOC Bed Unit-Costing Model v2 — working original.xlsx</t>
        </is>
      </c>
    </row>
    <row r="850" ht="40" customHeight="1">
      <c r="A850" s="4" t="inlineStr">
        <is>
          <t>original:Projection!G10</t>
        </is>
      </c>
      <c r="B850" s="4" t="inlineStr">
        <is>
          <t>Projection</t>
        </is>
      </c>
      <c r="C850" s="4" t="inlineStr">
        <is>
          <t>G10</t>
        </is>
      </c>
      <c r="D850" s="4" t="inlineStr">
        <is>
          <t>=D10+E10+F10</t>
        </is>
      </c>
      <c r="E850" s="4" t="n">
        <v>4100</v>
      </c>
      <c r="F850" s="4" t="inlineStr">
        <is>
          <t>GOC Bed Unit-Costing Model v2 — working original.xlsx</t>
        </is>
      </c>
    </row>
    <row r="851" ht="40" customHeight="1">
      <c r="A851" s="4" t="inlineStr">
        <is>
          <t>original:Projection!H10</t>
        </is>
      </c>
      <c r="B851" s="4" t="inlineStr">
        <is>
          <t>Projection</t>
        </is>
      </c>
      <c r="C851" s="4" t="inlineStr">
        <is>
          <t>H10</t>
        </is>
      </c>
      <c r="D851" s="4" t="inlineStr">
        <is>
          <t>=G10*Inputs!$B$39</t>
        </is>
      </c>
      <c r="E851" s="4" t="n">
        <v>3075000</v>
      </c>
      <c r="F851" s="4" t="inlineStr">
        <is>
          <t>GOC Bed Unit-Costing Model v2 — working original.xlsx</t>
        </is>
      </c>
    </row>
    <row r="852" ht="40" customHeight="1">
      <c r="A852" s="4" t="inlineStr">
        <is>
          <t>original:Projection!I10</t>
        </is>
      </c>
      <c r="B852" s="4" t="inlineStr">
        <is>
          <t>Projection</t>
        </is>
      </c>
      <c r="C852" s="4" t="inlineStr">
        <is>
          <t>I10</t>
        </is>
      </c>
      <c r="D852" s="4" t="inlineStr">
        <is>
          <t>=D10*Inputs!$B$13+E10*Inputs!$C$13+F10*Inputs!$D$13</t>
        </is>
      </c>
      <c r="E852" s="4" t="n">
        <v>1727534</v>
      </c>
      <c r="F852" s="4" t="inlineStr">
        <is>
          <t>GOC Bed Unit-Costing Model v2 — working original.xlsx</t>
        </is>
      </c>
    </row>
    <row r="853" ht="40" customHeight="1">
      <c r="A853" s="4" t="inlineStr">
        <is>
          <t>original:Projection!J10</t>
        </is>
      </c>
      <c r="B853" s="4" t="inlineStr">
        <is>
          <t>Projection</t>
        </is>
      </c>
      <c r="C853" s="4" t="inlineStr">
        <is>
          <t>J10</t>
        </is>
      </c>
      <c r="D853" s="4" t="inlineStr">
        <is>
          <t>=Inputs!$B$36</t>
        </is>
      </c>
      <c r="E853" s="4" t="n">
        <v>109500</v>
      </c>
      <c r="F853" s="4" t="inlineStr">
        <is>
          <t>GOC Bed Unit-Costing Model v2 — working original.xlsx</t>
        </is>
      </c>
    </row>
    <row r="854" ht="40" customHeight="1">
      <c r="A854" s="4" t="inlineStr">
        <is>
          <t>original:Projection!K10</t>
        </is>
      </c>
      <c r="B854" s="4" t="inlineStr">
        <is>
          <t>Projection</t>
        </is>
      </c>
      <c r="C854" s="4" t="inlineStr">
        <is>
          <t>K10</t>
        </is>
      </c>
      <c r="D854" s="4" t="inlineStr">
        <is>
          <t>=Inputs!$B$37*SUM(Inputs!$B$19:$B$22)*(B10+C10)</t>
        </is>
      </c>
      <c r="E854" s="4" t="n">
        <v>83500</v>
      </c>
      <c r="F854" s="4" t="inlineStr">
        <is>
          <t>GOC Bed Unit-Costing Model v2 — working original.xlsx</t>
        </is>
      </c>
    </row>
    <row r="855" ht="40" customHeight="1">
      <c r="A855" s="4" t="inlineStr">
        <is>
          <t>original:Projection!L10</t>
        </is>
      </c>
      <c r="B855" s="4" t="inlineStr">
        <is>
          <t>Projection</t>
        </is>
      </c>
      <c r="C855" s="4" t="inlineStr">
        <is>
          <t>L10</t>
        </is>
      </c>
      <c r="D855" s="4" t="inlineStr">
        <is>
          <t>=P10*Inputs!$B$27</t>
        </is>
      </c>
      <c r="E855" s="4" t="n">
        <v>622350</v>
      </c>
      <c r="F855" s="4" t="inlineStr">
        <is>
          <t>GOC Bed Unit-Costing Model v2 — working original.xlsx</t>
        </is>
      </c>
    </row>
    <row r="856" ht="40" customHeight="1">
      <c r="A856" s="4" t="inlineStr">
        <is>
          <t>original:Projection!M10</t>
        </is>
      </c>
      <c r="B856" s="4" t="inlineStr">
        <is>
          <t>Projection</t>
        </is>
      </c>
      <c r="C856" s="4" t="inlineStr">
        <is>
          <t>M10</t>
        </is>
      </c>
      <c r="D856" s="4" t="inlineStr">
        <is>
          <t>=H10-I10-J10-K10-L10</t>
        </is>
      </c>
      <c r="E856" s="4" t="n">
        <v>532116</v>
      </c>
      <c r="F856" s="4" t="inlineStr">
        <is>
          <t>GOC Bed Unit-Costing Model v2 — working original.xlsx</t>
        </is>
      </c>
    </row>
    <row r="857" ht="40" customHeight="1">
      <c r="A857" s="4" t="inlineStr">
        <is>
          <t>original:Projection!N10</t>
        </is>
      </c>
      <c r="B857" s="4" t="inlineStr">
        <is>
          <t>Projection</t>
        </is>
      </c>
      <c r="C857" s="4" t="inlineStr">
        <is>
          <t>N10</t>
        </is>
      </c>
      <c r="D857" s="4" t="inlineStr">
        <is>
          <t>=H10-I10-J10-K10</t>
        </is>
      </c>
      <c r="E857" s="4" t="n">
        <v>1154466</v>
      </c>
      <c r="F857" s="4" t="inlineStr">
        <is>
          <t>GOC Bed Unit-Costing Model v2 — working original.xlsx</t>
        </is>
      </c>
    </row>
    <row r="858" ht="40" customHeight="1">
      <c r="A858" s="4" t="inlineStr">
        <is>
          <t>original:Projection!O10</t>
        </is>
      </c>
      <c r="B858" s="4" t="inlineStr">
        <is>
          <t>Projection</t>
        </is>
      </c>
      <c r="C858" s="4" t="inlineStr">
        <is>
          <t>O10</t>
        </is>
      </c>
      <c r="D858" s="4" t="inlineStr">
        <is>
          <t>=O9+M10</t>
        </is>
      </c>
      <c r="E858" s="4" t="n">
        <v>1807350</v>
      </c>
      <c r="F858" s="4" t="inlineStr">
        <is>
          <t>GOC Bed Unit-Costing Model v2 — working original.xlsx</t>
        </is>
      </c>
    </row>
    <row r="859" ht="40" customHeight="1">
      <c r="A859" s="4" t="inlineStr">
        <is>
          <t>original:Projection!P10</t>
        </is>
      </c>
      <c r="B859" s="4" t="inlineStr">
        <is>
          <t>Projection</t>
        </is>
      </c>
      <c r="C859" s="4" t="inlineStr">
        <is>
          <t>P10</t>
        </is>
      </c>
      <c r="D859" s="4" t="inlineStr">
        <is>
          <t>=IF(Inputs!$B$27&gt;0,MIN(Inputs!$B$45,MAX(0,FLOOR(MAX(0,Q10)/Inputs!$B$27,1))),0)</t>
        </is>
      </c>
      <c r="E859" s="4" t="n">
        <v>3</v>
      </c>
      <c r="F859" s="4" t="inlineStr">
        <is>
          <t>GOC Bed Unit-Costing Model v2 — working original.xlsx</t>
        </is>
      </c>
    </row>
    <row r="860" ht="40" customHeight="1">
      <c r="A860" s="4" t="inlineStr">
        <is>
          <t>original:Projection!Q10</t>
        </is>
      </c>
      <c r="B860" s="4" t="inlineStr">
        <is>
          <t>Projection</t>
        </is>
      </c>
      <c r="C860" s="4" t="inlineStr">
        <is>
          <t>Q10</t>
        </is>
      </c>
      <c r="D860" s="4" t="inlineStr">
        <is>
          <t>=Q9+N9-P9*Inputs!$B$27</t>
        </is>
      </c>
      <c r="E860" s="4" t="n">
        <v>882684</v>
      </c>
      <c r="F860" s="4" t="inlineStr">
        <is>
          <t>GOC Bed Unit-Costing Model v2 — working original.xlsx</t>
        </is>
      </c>
    </row>
    <row r="861" ht="40" customHeight="1">
      <c r="A861" s="4" t="inlineStr">
        <is>
          <t>original:Projection!R10</t>
        </is>
      </c>
      <c r="B861" s="4" t="inlineStr">
        <is>
          <t>Projection</t>
        </is>
      </c>
      <c r="C861" s="4" t="inlineStr">
        <is>
          <t>R10</t>
        </is>
      </c>
      <c r="D861" s="4" t="inlineStr">
        <is>
          <t>=IF(P10&gt;0,A10,"")</t>
        </is>
      </c>
      <c r="E861" s="4" t="n">
        <v>7</v>
      </c>
      <c r="F861" s="4" t="inlineStr">
        <is>
          <t>GOC Bed Unit-Costing Model v2 — working original.xlsx</t>
        </is>
      </c>
    </row>
    <row r="862" ht="40" customHeight="1">
      <c r="A862" s="4" t="inlineStr">
        <is>
          <t>original:Projection!A11</t>
        </is>
      </c>
      <c r="B862" s="4" t="inlineStr">
        <is>
          <t>Projection</t>
        </is>
      </c>
      <c r="C862" s="4" t="inlineStr">
        <is>
          <t>A11</t>
        </is>
      </c>
      <c r="D862" s="4" t="n">
        <v>8</v>
      </c>
      <c r="E862" s="4" t="n">
        <v>8</v>
      </c>
      <c r="F862" s="4" t="inlineStr">
        <is>
          <t>GOC Bed Unit-Costing Model v2 — working original.xlsx</t>
        </is>
      </c>
    </row>
    <row r="863" ht="40" customHeight="1">
      <c r="A863" s="4" t="inlineStr">
        <is>
          <t>original:Projection!B11</t>
        </is>
      </c>
      <c r="B863" s="4" t="inlineStr">
        <is>
          <t>Projection</t>
        </is>
      </c>
      <c r="C863" s="4" t="inlineStr">
        <is>
          <t>B11</t>
        </is>
      </c>
      <c r="D863" s="4" t="inlineStr">
        <is>
          <t>=Inputs!$B$40</t>
        </is>
      </c>
      <c r="E863" s="4" t="n">
        <v>1</v>
      </c>
      <c r="F863" s="4" t="inlineStr">
        <is>
          <t>GOC Bed Unit-Costing Model v2 — working original.xlsx</t>
        </is>
      </c>
    </row>
    <row r="864" ht="40" customHeight="1">
      <c r="A864" s="4" t="inlineStr">
        <is>
          <t>original:Projection!C11</t>
        </is>
      </c>
      <c r="B864" s="4" t="inlineStr">
        <is>
          <t>Projection</t>
        </is>
      </c>
      <c r="C864" s="4" t="inlineStr">
        <is>
          <t>C11</t>
        </is>
      </c>
      <c r="D864" s="4" t="inlineStr">
        <is>
          <t>=C10+P11</t>
        </is>
      </c>
      <c r="E864" s="4" t="n">
        <v>12</v>
      </c>
      <c r="F864" s="4" t="inlineStr">
        <is>
          <t>GOC Bed Unit-Costing Model v2 — working original.xlsx</t>
        </is>
      </c>
    </row>
    <row r="865" ht="40" customHeight="1">
      <c r="A865" s="4" t="inlineStr">
        <is>
          <t>original:Projection!D11</t>
        </is>
      </c>
      <c r="B865" s="4" t="inlineStr">
        <is>
          <t>Projection</t>
        </is>
      </c>
      <c r="C865" s="4" t="inlineStr">
        <is>
          <t>D11</t>
        </is>
      </c>
      <c r="D865" s="4" t="inlineStr">
        <is>
          <t>=IF(E11+F11&gt;=Inputs!$B$44,0,Inputs!$B$44)</t>
        </is>
      </c>
      <c r="E865" s="4" t="n">
        <v>0</v>
      </c>
      <c r="F865" s="4" t="inlineStr">
        <is>
          <t>GOC Bed Unit-Costing Model v2 — working original.xlsx</t>
        </is>
      </c>
    </row>
    <row r="866" ht="40" customHeight="1">
      <c r="A866" s="4" t="inlineStr">
        <is>
          <t>original:Projection!E11</t>
        </is>
      </c>
      <c r="B866" s="4" t="inlineStr">
        <is>
          <t>Projection</t>
        </is>
      </c>
      <c r="C866" s="4" t="inlineStr">
        <is>
          <t>E11</t>
        </is>
      </c>
      <c r="D866" s="4" t="inlineStr">
        <is>
          <t>=B11*Inputs!$B$42</t>
        </is>
      </c>
      <c r="E866" s="4" t="n">
        <v>500</v>
      </c>
      <c r="F866" s="4" t="inlineStr">
        <is>
          <t>GOC Bed Unit-Costing Model v2 — working original.xlsx</t>
        </is>
      </c>
    </row>
    <row r="867" ht="40" customHeight="1">
      <c r="A867" s="4" t="inlineStr">
        <is>
          <t>original:Projection!F11</t>
        </is>
      </c>
      <c r="B867" s="4" t="inlineStr">
        <is>
          <t>Projection</t>
        </is>
      </c>
      <c r="C867" s="4" t="inlineStr">
        <is>
          <t>F11</t>
        </is>
      </c>
      <c r="D867" s="4" t="inlineStr">
        <is>
          <t>=(C11-P11)*Inputs!$B$43+P11*Inputs!$B$43*Inputs!$B$46</t>
        </is>
      </c>
      <c r="E867" s="4" t="n">
        <v>5100</v>
      </c>
      <c r="F867" s="4" t="inlineStr">
        <is>
          <t>GOC Bed Unit-Costing Model v2 — working original.xlsx</t>
        </is>
      </c>
    </row>
    <row r="868" ht="40" customHeight="1">
      <c r="A868" s="4" t="inlineStr">
        <is>
          <t>original:Projection!G11</t>
        </is>
      </c>
      <c r="B868" s="4" t="inlineStr">
        <is>
          <t>Projection</t>
        </is>
      </c>
      <c r="C868" s="4" t="inlineStr">
        <is>
          <t>G11</t>
        </is>
      </c>
      <c r="D868" s="4" t="inlineStr">
        <is>
          <t>=D11+E11+F11</t>
        </is>
      </c>
      <c r="E868" s="4" t="n">
        <v>5600</v>
      </c>
      <c r="F868" s="4" t="inlineStr">
        <is>
          <t>GOC Bed Unit-Costing Model v2 — working original.xlsx</t>
        </is>
      </c>
    </row>
    <row r="869" ht="40" customHeight="1">
      <c r="A869" s="4" t="inlineStr">
        <is>
          <t>original:Projection!H11</t>
        </is>
      </c>
      <c r="B869" s="4" t="inlineStr">
        <is>
          <t>Projection</t>
        </is>
      </c>
      <c r="C869" s="4" t="inlineStr">
        <is>
          <t>H11</t>
        </is>
      </c>
      <c r="D869" s="4" t="inlineStr">
        <is>
          <t>=G11*Inputs!$B$39</t>
        </is>
      </c>
      <c r="E869" s="4" t="n">
        <v>4200000</v>
      </c>
      <c r="F869" s="4" t="inlineStr">
        <is>
          <t>GOC Bed Unit-Costing Model v2 — working original.xlsx</t>
        </is>
      </c>
    </row>
    <row r="870" ht="40" customHeight="1">
      <c r="A870" s="4" t="inlineStr">
        <is>
          <t>original:Projection!I11</t>
        </is>
      </c>
      <c r="B870" s="4" t="inlineStr">
        <is>
          <t>Projection</t>
        </is>
      </c>
      <c r="C870" s="4" t="inlineStr">
        <is>
          <t>I11</t>
        </is>
      </c>
      <c r="D870" s="4" t="inlineStr">
        <is>
          <t>=D11*Inputs!$B$13+E11*Inputs!$C$13+F11*Inputs!$D$13</t>
        </is>
      </c>
      <c r="E870" s="4" t="n">
        <v>2358644</v>
      </c>
      <c r="F870" s="4" t="inlineStr">
        <is>
          <t>GOC Bed Unit-Costing Model v2 — working original.xlsx</t>
        </is>
      </c>
    </row>
    <row r="871" ht="40" customHeight="1">
      <c r="A871" s="4" t="inlineStr">
        <is>
          <t>original:Projection!J11</t>
        </is>
      </c>
      <c r="B871" s="4" t="inlineStr">
        <is>
          <t>Projection</t>
        </is>
      </c>
      <c r="C871" s="4" t="inlineStr">
        <is>
          <t>J11</t>
        </is>
      </c>
      <c r="D871" s="4" t="inlineStr">
        <is>
          <t>=Inputs!$B$36</t>
        </is>
      </c>
      <c r="E871" s="4" t="n">
        <v>109500</v>
      </c>
      <c r="F871" s="4" t="inlineStr">
        <is>
          <t>GOC Bed Unit-Costing Model v2 — working original.xlsx</t>
        </is>
      </c>
    </row>
    <row r="872" ht="40" customHeight="1">
      <c r="A872" s="4" t="inlineStr">
        <is>
          <t>original:Projection!K11</t>
        </is>
      </c>
      <c r="B872" s="4" t="inlineStr">
        <is>
          <t>Projection</t>
        </is>
      </c>
      <c r="C872" s="4" t="inlineStr">
        <is>
          <t>K11</t>
        </is>
      </c>
      <c r="D872" s="4" t="inlineStr">
        <is>
          <t>=Inputs!$B$37*SUM(Inputs!$B$19:$B$22)*(B11+C11)</t>
        </is>
      </c>
      <c r="E872" s="4" t="n">
        <v>108550</v>
      </c>
      <c r="F872" s="4" t="inlineStr">
        <is>
          <t>GOC Bed Unit-Costing Model v2 — working original.xlsx</t>
        </is>
      </c>
    </row>
    <row r="873" ht="40" customHeight="1">
      <c r="A873" s="4" t="inlineStr">
        <is>
          <t>original:Projection!L11</t>
        </is>
      </c>
      <c r="B873" s="4" t="inlineStr">
        <is>
          <t>Projection</t>
        </is>
      </c>
      <c r="C873" s="4" t="inlineStr">
        <is>
          <t>L11</t>
        </is>
      </c>
      <c r="D873" s="4" t="inlineStr">
        <is>
          <t>=P11*Inputs!$B$27</t>
        </is>
      </c>
      <c r="E873" s="4" t="n">
        <v>622350</v>
      </c>
      <c r="F873" s="4" t="inlineStr">
        <is>
          <t>GOC Bed Unit-Costing Model v2 — working original.xlsx</t>
        </is>
      </c>
    </row>
    <row r="874" ht="40" customHeight="1">
      <c r="A874" s="4" t="inlineStr">
        <is>
          <t>original:Projection!M11</t>
        </is>
      </c>
      <c r="B874" s="4" t="inlineStr">
        <is>
          <t>Projection</t>
        </is>
      </c>
      <c r="C874" s="4" t="inlineStr">
        <is>
          <t>M11</t>
        </is>
      </c>
      <c r="D874" s="4" t="inlineStr">
        <is>
          <t>=H11-I11-J11-K11-L11</t>
        </is>
      </c>
      <c r="E874" s="4" t="n">
        <v>1000956</v>
      </c>
      <c r="F874" s="4" t="inlineStr">
        <is>
          <t>GOC Bed Unit-Costing Model v2 — working original.xlsx</t>
        </is>
      </c>
    </row>
    <row r="875" ht="40" customHeight="1">
      <c r="A875" s="4" t="inlineStr">
        <is>
          <t>original:Projection!N11</t>
        </is>
      </c>
      <c r="B875" s="4" t="inlineStr">
        <is>
          <t>Projection</t>
        </is>
      </c>
      <c r="C875" s="4" t="inlineStr">
        <is>
          <t>N11</t>
        </is>
      </c>
      <c r="D875" s="4" t="inlineStr">
        <is>
          <t>=H11-I11-J11-K11</t>
        </is>
      </c>
      <c r="E875" s="4" t="n">
        <v>1623306</v>
      </c>
      <c r="F875" s="4" t="inlineStr">
        <is>
          <t>GOC Bed Unit-Costing Model v2 — working original.xlsx</t>
        </is>
      </c>
    </row>
    <row r="876" ht="40" customHeight="1">
      <c r="A876" s="4" t="inlineStr">
        <is>
          <t>original:Projection!O11</t>
        </is>
      </c>
      <c r="B876" s="4" t="inlineStr">
        <is>
          <t>Projection</t>
        </is>
      </c>
      <c r="C876" s="4" t="inlineStr">
        <is>
          <t>O11</t>
        </is>
      </c>
      <c r="D876" s="4" t="inlineStr">
        <is>
          <t>=O10+M11</t>
        </is>
      </c>
      <c r="E876" s="4" t="n">
        <v>2808306</v>
      </c>
      <c r="F876" s="4" t="inlineStr">
        <is>
          <t>GOC Bed Unit-Costing Model v2 — working original.xlsx</t>
        </is>
      </c>
    </row>
    <row r="877" ht="40" customHeight="1">
      <c r="A877" s="4" t="inlineStr">
        <is>
          <t>original:Projection!P11</t>
        </is>
      </c>
      <c r="B877" s="4" t="inlineStr">
        <is>
          <t>Projection</t>
        </is>
      </c>
      <c r="C877" s="4" t="inlineStr">
        <is>
          <t>P11</t>
        </is>
      </c>
      <c r="D877" s="4" t="inlineStr">
        <is>
          <t>=IF(Inputs!$B$27&gt;0,MIN(Inputs!$B$45,MAX(0,FLOOR(MAX(0,Q11)/Inputs!$B$27,1))),0)</t>
        </is>
      </c>
      <c r="E877" s="4" t="n">
        <v>3</v>
      </c>
      <c r="F877" s="4" t="inlineStr">
        <is>
          <t>GOC Bed Unit-Costing Model v2 — working original.xlsx</t>
        </is>
      </c>
    </row>
    <row r="878" ht="40" customHeight="1">
      <c r="A878" s="4" t="inlineStr">
        <is>
          <t>original:Projection!Q11</t>
        </is>
      </c>
      <c r="B878" s="4" t="inlineStr">
        <is>
          <t>Projection</t>
        </is>
      </c>
      <c r="C878" s="4" t="inlineStr">
        <is>
          <t>Q11</t>
        </is>
      </c>
      <c r="D878" s="4" t="inlineStr">
        <is>
          <t>=Q10+N10-P10*Inputs!$B$27</t>
        </is>
      </c>
      <c r="E878" s="4" t="n">
        <v>1414800</v>
      </c>
      <c r="F878" s="4" t="inlineStr">
        <is>
          <t>GOC Bed Unit-Costing Model v2 — working original.xlsx</t>
        </is>
      </c>
    </row>
    <row r="879" ht="40" customHeight="1">
      <c r="A879" s="4" t="inlineStr">
        <is>
          <t>original:Projection!R11</t>
        </is>
      </c>
      <c r="B879" s="4" t="inlineStr">
        <is>
          <t>Projection</t>
        </is>
      </c>
      <c r="C879" s="4" t="inlineStr">
        <is>
          <t>R11</t>
        </is>
      </c>
      <c r="D879" s="4" t="inlineStr">
        <is>
          <t>=IF(P11&gt;0,A11,"")</t>
        </is>
      </c>
      <c r="E879" s="4" t="n">
        <v>8</v>
      </c>
      <c r="F879" s="4" t="inlineStr">
        <is>
          <t>GOC Bed Unit-Costing Model v2 — working original.xlsx</t>
        </is>
      </c>
    </row>
    <row r="880" ht="40" customHeight="1">
      <c r="A880" s="4" t="inlineStr">
        <is>
          <t>original:Projection!A12</t>
        </is>
      </c>
      <c r="B880" s="4" t="inlineStr">
        <is>
          <t>Projection</t>
        </is>
      </c>
      <c r="C880" s="4" t="inlineStr">
        <is>
          <t>A12</t>
        </is>
      </c>
      <c r="D880" s="4" t="n">
        <v>9</v>
      </c>
      <c r="E880" s="4" t="n">
        <v>9</v>
      </c>
      <c r="F880" s="4" t="inlineStr">
        <is>
          <t>GOC Bed Unit-Costing Model v2 — working original.xlsx</t>
        </is>
      </c>
    </row>
    <row r="881" ht="40" customHeight="1">
      <c r="A881" s="4" t="inlineStr">
        <is>
          <t>original:Projection!B12</t>
        </is>
      </c>
      <c r="B881" s="4" t="inlineStr">
        <is>
          <t>Projection</t>
        </is>
      </c>
      <c r="C881" s="4" t="inlineStr">
        <is>
          <t>B12</t>
        </is>
      </c>
      <c r="D881" s="4" t="inlineStr">
        <is>
          <t>=Inputs!$B$40</t>
        </is>
      </c>
      <c r="E881" s="4" t="n">
        <v>1</v>
      </c>
      <c r="F881" s="4" t="inlineStr">
        <is>
          <t>GOC Bed Unit-Costing Model v2 — working original.xlsx</t>
        </is>
      </c>
    </row>
    <row r="882" ht="40" customHeight="1">
      <c r="A882" s="4" t="inlineStr">
        <is>
          <t>original:Projection!C12</t>
        </is>
      </c>
      <c r="B882" s="4" t="inlineStr">
        <is>
          <t>Projection</t>
        </is>
      </c>
      <c r="C882" s="4" t="inlineStr">
        <is>
          <t>C12</t>
        </is>
      </c>
      <c r="D882" s="4" t="inlineStr">
        <is>
          <t>=C11+P12</t>
        </is>
      </c>
      <c r="E882" s="4" t="n">
        <v>15</v>
      </c>
      <c r="F882" s="4" t="inlineStr">
        <is>
          <t>GOC Bed Unit-Costing Model v2 — working original.xlsx</t>
        </is>
      </c>
    </row>
    <row r="883" ht="40" customHeight="1">
      <c r="A883" s="4" t="inlineStr">
        <is>
          <t>original:Projection!D12</t>
        </is>
      </c>
      <c r="B883" s="4" t="inlineStr">
        <is>
          <t>Projection</t>
        </is>
      </c>
      <c r="C883" s="4" t="inlineStr">
        <is>
          <t>D12</t>
        </is>
      </c>
      <c r="D883" s="4" t="inlineStr">
        <is>
          <t>=IF(E12+F12&gt;=Inputs!$B$44,0,Inputs!$B$44)</t>
        </is>
      </c>
      <c r="E883" s="4" t="n">
        <v>0</v>
      </c>
      <c r="F883" s="4" t="inlineStr">
        <is>
          <t>GOC Bed Unit-Costing Model v2 — working original.xlsx</t>
        </is>
      </c>
    </row>
    <row r="884" ht="40" customHeight="1">
      <c r="A884" s="4" t="inlineStr">
        <is>
          <t>original:Projection!E12</t>
        </is>
      </c>
      <c r="B884" s="4" t="inlineStr">
        <is>
          <t>Projection</t>
        </is>
      </c>
      <c r="C884" s="4" t="inlineStr">
        <is>
          <t>E12</t>
        </is>
      </c>
      <c r="D884" s="4" t="inlineStr">
        <is>
          <t>=B12*Inputs!$B$42</t>
        </is>
      </c>
      <c r="E884" s="4" t="n">
        <v>500</v>
      </c>
      <c r="F884" s="4" t="inlineStr">
        <is>
          <t>GOC Bed Unit-Costing Model v2 — working original.xlsx</t>
        </is>
      </c>
    </row>
    <row r="885" ht="40" customHeight="1">
      <c r="A885" s="4" t="inlineStr">
        <is>
          <t>original:Projection!F12</t>
        </is>
      </c>
      <c r="B885" s="4" t="inlineStr">
        <is>
          <t>Projection</t>
        </is>
      </c>
      <c r="C885" s="4" t="inlineStr">
        <is>
          <t>F12</t>
        </is>
      </c>
      <c r="D885" s="4" t="inlineStr">
        <is>
          <t>=(C12-P12)*Inputs!$B$43+P12*Inputs!$B$43*Inputs!$B$46</t>
        </is>
      </c>
      <c r="E885" s="4" t="n">
        <v>6600</v>
      </c>
      <c r="F885" s="4" t="inlineStr">
        <is>
          <t>GOC Bed Unit-Costing Model v2 — working original.xlsx</t>
        </is>
      </c>
    </row>
    <row r="886" ht="40" customHeight="1">
      <c r="A886" s="4" t="inlineStr">
        <is>
          <t>original:Projection!G12</t>
        </is>
      </c>
      <c r="B886" s="4" t="inlineStr">
        <is>
          <t>Projection</t>
        </is>
      </c>
      <c r="C886" s="4" t="inlineStr">
        <is>
          <t>G12</t>
        </is>
      </c>
      <c r="D886" s="4" t="inlineStr">
        <is>
          <t>=D12+E12+F12</t>
        </is>
      </c>
      <c r="E886" s="4" t="n">
        <v>7100</v>
      </c>
      <c r="F886" s="4" t="inlineStr">
        <is>
          <t>GOC Bed Unit-Costing Model v2 — working original.xlsx</t>
        </is>
      </c>
    </row>
    <row r="887" ht="40" customHeight="1">
      <c r="A887" s="4" t="inlineStr">
        <is>
          <t>original:Projection!H12</t>
        </is>
      </c>
      <c r="B887" s="4" t="inlineStr">
        <is>
          <t>Projection</t>
        </is>
      </c>
      <c r="C887" s="4" t="inlineStr">
        <is>
          <t>H12</t>
        </is>
      </c>
      <c r="D887" s="4" t="inlineStr">
        <is>
          <t>=G12*Inputs!$B$39</t>
        </is>
      </c>
      <c r="E887" s="4" t="n">
        <v>5325000</v>
      </c>
      <c r="F887" s="4" t="inlineStr">
        <is>
          <t>GOC Bed Unit-Costing Model v2 — working original.xlsx</t>
        </is>
      </c>
    </row>
    <row r="888" ht="40" customHeight="1">
      <c r="A888" s="4" t="inlineStr">
        <is>
          <t>original:Projection!I12</t>
        </is>
      </c>
      <c r="B888" s="4" t="inlineStr">
        <is>
          <t>Projection</t>
        </is>
      </c>
      <c r="C888" s="4" t="inlineStr">
        <is>
          <t>I12</t>
        </is>
      </c>
      <c r="D888" s="4" t="inlineStr">
        <is>
          <t>=D12*Inputs!$B$13+E12*Inputs!$C$13+F12*Inputs!$D$13</t>
        </is>
      </c>
      <c r="E888" s="4" t="n">
        <v>2989754</v>
      </c>
      <c r="F888" s="4" t="inlineStr">
        <is>
          <t>GOC Bed Unit-Costing Model v2 — working original.xlsx</t>
        </is>
      </c>
    </row>
    <row r="889" ht="40" customHeight="1">
      <c r="A889" s="4" t="inlineStr">
        <is>
          <t>original:Projection!J12</t>
        </is>
      </c>
      <c r="B889" s="4" t="inlineStr">
        <is>
          <t>Projection</t>
        </is>
      </c>
      <c r="C889" s="4" t="inlineStr">
        <is>
          <t>J12</t>
        </is>
      </c>
      <c r="D889" s="4" t="inlineStr">
        <is>
          <t>=Inputs!$B$36</t>
        </is>
      </c>
      <c r="E889" s="4" t="n">
        <v>109500</v>
      </c>
      <c r="F889" s="4" t="inlineStr">
        <is>
          <t>GOC Bed Unit-Costing Model v2 — working original.xlsx</t>
        </is>
      </c>
    </row>
    <row r="890" ht="40" customHeight="1">
      <c r="A890" s="4" t="inlineStr">
        <is>
          <t>original:Projection!K12</t>
        </is>
      </c>
      <c r="B890" s="4" t="inlineStr">
        <is>
          <t>Projection</t>
        </is>
      </c>
      <c r="C890" s="4" t="inlineStr">
        <is>
          <t>K12</t>
        </is>
      </c>
      <c r="D890" s="4" t="inlineStr">
        <is>
          <t>=Inputs!$B$37*SUM(Inputs!$B$19:$B$22)*(B12+C12)</t>
        </is>
      </c>
      <c r="E890" s="4" t="n">
        <v>133600</v>
      </c>
      <c r="F890" s="4" t="inlineStr">
        <is>
          <t>GOC Bed Unit-Costing Model v2 — working original.xlsx</t>
        </is>
      </c>
    </row>
    <row r="891" ht="40" customHeight="1">
      <c r="A891" s="4" t="inlineStr">
        <is>
          <t>original:Projection!L12</t>
        </is>
      </c>
      <c r="B891" s="4" t="inlineStr">
        <is>
          <t>Projection</t>
        </is>
      </c>
      <c r="C891" s="4" t="inlineStr">
        <is>
          <t>L12</t>
        </is>
      </c>
      <c r="D891" s="4" t="inlineStr">
        <is>
          <t>=P12*Inputs!$B$27</t>
        </is>
      </c>
      <c r="E891" s="4" t="n">
        <v>622350</v>
      </c>
      <c r="F891" s="4" t="inlineStr">
        <is>
          <t>GOC Bed Unit-Costing Model v2 — working original.xlsx</t>
        </is>
      </c>
    </row>
    <row r="892" ht="40" customHeight="1">
      <c r="A892" s="4" t="inlineStr">
        <is>
          <t>original:Projection!M12</t>
        </is>
      </c>
      <c r="B892" s="4" t="inlineStr">
        <is>
          <t>Projection</t>
        </is>
      </c>
      <c r="C892" s="4" t="inlineStr">
        <is>
          <t>M12</t>
        </is>
      </c>
      <c r="D892" s="4" t="inlineStr">
        <is>
          <t>=H12-I12-J12-K12-L12</t>
        </is>
      </c>
      <c r="E892" s="4" t="n">
        <v>1469796</v>
      </c>
      <c r="F892" s="4" t="inlineStr">
        <is>
          <t>GOC Bed Unit-Costing Model v2 — working original.xlsx</t>
        </is>
      </c>
    </row>
    <row r="893" ht="40" customHeight="1">
      <c r="A893" s="4" t="inlineStr">
        <is>
          <t>original:Projection!N12</t>
        </is>
      </c>
      <c r="B893" s="4" t="inlineStr">
        <is>
          <t>Projection</t>
        </is>
      </c>
      <c r="C893" s="4" t="inlineStr">
        <is>
          <t>N12</t>
        </is>
      </c>
      <c r="D893" s="4" t="inlineStr">
        <is>
          <t>=H12-I12-J12-K12</t>
        </is>
      </c>
      <c r="E893" s="4" t="n">
        <v>2092146</v>
      </c>
      <c r="F893" s="4" t="inlineStr">
        <is>
          <t>GOC Bed Unit-Costing Model v2 — working original.xlsx</t>
        </is>
      </c>
    </row>
    <row r="894" ht="40" customHeight="1">
      <c r="A894" s="4" t="inlineStr">
        <is>
          <t>original:Projection!O12</t>
        </is>
      </c>
      <c r="B894" s="4" t="inlineStr">
        <is>
          <t>Projection</t>
        </is>
      </c>
      <c r="C894" s="4" t="inlineStr">
        <is>
          <t>O12</t>
        </is>
      </c>
      <c r="D894" s="4" t="inlineStr">
        <is>
          <t>=O11+M12</t>
        </is>
      </c>
      <c r="E894" s="4" t="n">
        <v>4278102</v>
      </c>
      <c r="F894" s="4" t="inlineStr">
        <is>
          <t>GOC Bed Unit-Costing Model v2 — working original.xlsx</t>
        </is>
      </c>
    </row>
    <row r="895" ht="40" customHeight="1">
      <c r="A895" s="4" t="inlineStr">
        <is>
          <t>original:Projection!P12</t>
        </is>
      </c>
      <c r="B895" s="4" t="inlineStr">
        <is>
          <t>Projection</t>
        </is>
      </c>
      <c r="C895" s="4" t="inlineStr">
        <is>
          <t>P12</t>
        </is>
      </c>
      <c r="D895" s="4" t="inlineStr">
        <is>
          <t>=IF(Inputs!$B$27&gt;0,MIN(Inputs!$B$45,MAX(0,FLOOR(MAX(0,Q12)/Inputs!$B$27,1))),0)</t>
        </is>
      </c>
      <c r="E895" s="4" t="n">
        <v>3</v>
      </c>
      <c r="F895" s="4" t="inlineStr">
        <is>
          <t>GOC Bed Unit-Costing Model v2 — working original.xlsx</t>
        </is>
      </c>
    </row>
    <row r="896" ht="40" customHeight="1">
      <c r="A896" s="4" t="inlineStr">
        <is>
          <t>original:Projection!Q12</t>
        </is>
      </c>
      <c r="B896" s="4" t="inlineStr">
        <is>
          <t>Projection</t>
        </is>
      </c>
      <c r="C896" s="4" t="inlineStr">
        <is>
          <t>Q12</t>
        </is>
      </c>
      <c r="D896" s="4" t="inlineStr">
        <is>
          <t>=Q11+N11-P11*Inputs!$B$27</t>
        </is>
      </c>
      <c r="E896" s="4" t="n">
        <v>2415756</v>
      </c>
      <c r="F896" s="4" t="inlineStr">
        <is>
          <t>GOC Bed Unit-Costing Model v2 — working original.xlsx</t>
        </is>
      </c>
    </row>
    <row r="897" ht="40" customHeight="1">
      <c r="A897" s="4" t="inlineStr">
        <is>
          <t>original:Projection!R12</t>
        </is>
      </c>
      <c r="B897" s="4" t="inlineStr">
        <is>
          <t>Projection</t>
        </is>
      </c>
      <c r="C897" s="4" t="inlineStr">
        <is>
          <t>R12</t>
        </is>
      </c>
      <c r="D897" s="4" t="inlineStr">
        <is>
          <t>=IF(P12&gt;0,A12,"")</t>
        </is>
      </c>
      <c r="E897" s="4" t="n">
        <v>9</v>
      </c>
      <c r="F897" s="4" t="inlineStr">
        <is>
          <t>GOC Bed Unit-Costing Model v2 — working original.xlsx</t>
        </is>
      </c>
    </row>
    <row r="898" ht="40" customHeight="1">
      <c r="A898" s="4" t="inlineStr">
        <is>
          <t>original:Projection!A13</t>
        </is>
      </c>
      <c r="B898" s="4" t="inlineStr">
        <is>
          <t>Projection</t>
        </is>
      </c>
      <c r="C898" s="4" t="inlineStr">
        <is>
          <t>A13</t>
        </is>
      </c>
      <c r="D898" s="4" t="n">
        <v>10</v>
      </c>
      <c r="E898" s="4" t="n">
        <v>10</v>
      </c>
      <c r="F898" s="4" t="inlineStr">
        <is>
          <t>GOC Bed Unit-Costing Model v2 — working original.xlsx</t>
        </is>
      </c>
    </row>
    <row r="899" ht="40" customHeight="1">
      <c r="A899" s="4" t="inlineStr">
        <is>
          <t>original:Projection!B13</t>
        </is>
      </c>
      <c r="B899" s="4" t="inlineStr">
        <is>
          <t>Projection</t>
        </is>
      </c>
      <c r="C899" s="4" t="inlineStr">
        <is>
          <t>B13</t>
        </is>
      </c>
      <c r="D899" s="4" t="inlineStr">
        <is>
          <t>=Inputs!$B$40</t>
        </is>
      </c>
      <c r="E899" s="4" t="n">
        <v>1</v>
      </c>
      <c r="F899" s="4" t="inlineStr">
        <is>
          <t>GOC Bed Unit-Costing Model v2 — working original.xlsx</t>
        </is>
      </c>
    </row>
    <row r="900" ht="40" customHeight="1">
      <c r="A900" s="4" t="inlineStr">
        <is>
          <t>original:Projection!C13</t>
        </is>
      </c>
      <c r="B900" s="4" t="inlineStr">
        <is>
          <t>Projection</t>
        </is>
      </c>
      <c r="C900" s="4" t="inlineStr">
        <is>
          <t>C13</t>
        </is>
      </c>
      <c r="D900" s="4" t="inlineStr">
        <is>
          <t>=C12+P13</t>
        </is>
      </c>
      <c r="E900" s="4" t="n">
        <v>18</v>
      </c>
      <c r="F900" s="4" t="inlineStr">
        <is>
          <t>GOC Bed Unit-Costing Model v2 — working original.xlsx</t>
        </is>
      </c>
    </row>
    <row r="901" ht="40" customHeight="1">
      <c r="A901" s="4" t="inlineStr">
        <is>
          <t>original:Projection!D13</t>
        </is>
      </c>
      <c r="B901" s="4" t="inlineStr">
        <is>
          <t>Projection</t>
        </is>
      </c>
      <c r="C901" s="4" t="inlineStr">
        <is>
          <t>D13</t>
        </is>
      </c>
      <c r="D901" s="4" t="inlineStr">
        <is>
          <t>=IF(E13+F13&gt;=Inputs!$B$44,0,Inputs!$B$44)</t>
        </is>
      </c>
      <c r="E901" s="4" t="n">
        <v>0</v>
      </c>
      <c r="F901" s="4" t="inlineStr">
        <is>
          <t>GOC Bed Unit-Costing Model v2 — working original.xlsx</t>
        </is>
      </c>
    </row>
    <row r="902" ht="40" customHeight="1">
      <c r="A902" s="4" t="inlineStr">
        <is>
          <t>original:Projection!E13</t>
        </is>
      </c>
      <c r="B902" s="4" t="inlineStr">
        <is>
          <t>Projection</t>
        </is>
      </c>
      <c r="C902" s="4" t="inlineStr">
        <is>
          <t>E13</t>
        </is>
      </c>
      <c r="D902" s="4" t="inlineStr">
        <is>
          <t>=B13*Inputs!$B$42</t>
        </is>
      </c>
      <c r="E902" s="4" t="n">
        <v>500</v>
      </c>
      <c r="F902" s="4" t="inlineStr">
        <is>
          <t>GOC Bed Unit-Costing Model v2 — working original.xlsx</t>
        </is>
      </c>
    </row>
    <row r="903" ht="40" customHeight="1">
      <c r="A903" s="4" t="inlineStr">
        <is>
          <t>original:Projection!F13</t>
        </is>
      </c>
      <c r="B903" s="4" t="inlineStr">
        <is>
          <t>Projection</t>
        </is>
      </c>
      <c r="C903" s="4" t="inlineStr">
        <is>
          <t>F13</t>
        </is>
      </c>
      <c r="D903" s="4" t="inlineStr">
        <is>
          <t>=(C13-P13)*Inputs!$B$43+P13*Inputs!$B$43*Inputs!$B$46</t>
        </is>
      </c>
      <c r="E903" s="4" t="n">
        <v>8100</v>
      </c>
      <c r="F903" s="4" t="inlineStr">
        <is>
          <t>GOC Bed Unit-Costing Model v2 — working original.xlsx</t>
        </is>
      </c>
    </row>
    <row r="904" ht="40" customHeight="1">
      <c r="A904" s="4" t="inlineStr">
        <is>
          <t>original:Projection!G13</t>
        </is>
      </c>
      <c r="B904" s="4" t="inlineStr">
        <is>
          <t>Projection</t>
        </is>
      </c>
      <c r="C904" s="4" t="inlineStr">
        <is>
          <t>G13</t>
        </is>
      </c>
      <c r="D904" s="4" t="inlineStr">
        <is>
          <t>=D13+E13+F13</t>
        </is>
      </c>
      <c r="E904" s="4" t="n">
        <v>8600</v>
      </c>
      <c r="F904" s="4" t="inlineStr">
        <is>
          <t>GOC Bed Unit-Costing Model v2 — working original.xlsx</t>
        </is>
      </c>
    </row>
    <row r="905" ht="40" customHeight="1">
      <c r="A905" s="4" t="inlineStr">
        <is>
          <t>original:Projection!H13</t>
        </is>
      </c>
      <c r="B905" s="4" t="inlineStr">
        <is>
          <t>Projection</t>
        </is>
      </c>
      <c r="C905" s="4" t="inlineStr">
        <is>
          <t>H13</t>
        </is>
      </c>
      <c r="D905" s="4" t="inlineStr">
        <is>
          <t>=G13*Inputs!$B$39</t>
        </is>
      </c>
      <c r="E905" s="4" t="n">
        <v>6450000</v>
      </c>
      <c r="F905" s="4" t="inlineStr">
        <is>
          <t>GOC Bed Unit-Costing Model v2 — working original.xlsx</t>
        </is>
      </c>
    </row>
    <row r="906" ht="40" customHeight="1">
      <c r="A906" s="4" t="inlineStr">
        <is>
          <t>original:Projection!I13</t>
        </is>
      </c>
      <c r="B906" s="4" t="inlineStr">
        <is>
          <t>Projection</t>
        </is>
      </c>
      <c r="C906" s="4" t="inlineStr">
        <is>
          <t>I13</t>
        </is>
      </c>
      <c r="D906" s="4" t="inlineStr">
        <is>
          <t>=D13*Inputs!$B$13+E13*Inputs!$C$13+F13*Inputs!$D$13</t>
        </is>
      </c>
      <c r="E906" s="4" t="n">
        <v>3620864</v>
      </c>
      <c r="F906" s="4" t="inlineStr">
        <is>
          <t>GOC Bed Unit-Costing Model v2 — working original.xlsx</t>
        </is>
      </c>
    </row>
    <row r="907" ht="40" customHeight="1">
      <c r="A907" s="4" t="inlineStr">
        <is>
          <t>original:Projection!J13</t>
        </is>
      </c>
      <c r="B907" s="4" t="inlineStr">
        <is>
          <t>Projection</t>
        </is>
      </c>
      <c r="C907" s="4" t="inlineStr">
        <is>
          <t>J13</t>
        </is>
      </c>
      <c r="D907" s="4" t="inlineStr">
        <is>
          <t>=Inputs!$B$36</t>
        </is>
      </c>
      <c r="E907" s="4" t="n">
        <v>109500</v>
      </c>
      <c r="F907" s="4" t="inlineStr">
        <is>
          <t>GOC Bed Unit-Costing Model v2 — working original.xlsx</t>
        </is>
      </c>
    </row>
    <row r="908" ht="40" customHeight="1">
      <c r="A908" s="4" t="inlineStr">
        <is>
          <t>original:Projection!K13</t>
        </is>
      </c>
      <c r="B908" s="4" t="inlineStr">
        <is>
          <t>Projection</t>
        </is>
      </c>
      <c r="C908" s="4" t="inlineStr">
        <is>
          <t>K13</t>
        </is>
      </c>
      <c r="D908" s="4" t="inlineStr">
        <is>
          <t>=Inputs!$B$37*SUM(Inputs!$B$19:$B$22)*(B13+C13)</t>
        </is>
      </c>
      <c r="E908" s="4" t="n">
        <v>158650</v>
      </c>
      <c r="F908" s="4" t="inlineStr">
        <is>
          <t>GOC Bed Unit-Costing Model v2 — working original.xlsx</t>
        </is>
      </c>
    </row>
    <row r="909" ht="40" customHeight="1">
      <c r="A909" s="4" t="inlineStr">
        <is>
          <t>original:Projection!L13</t>
        </is>
      </c>
      <c r="B909" s="4" t="inlineStr">
        <is>
          <t>Projection</t>
        </is>
      </c>
      <c r="C909" s="4" t="inlineStr">
        <is>
          <t>L13</t>
        </is>
      </c>
      <c r="D909" s="4" t="inlineStr">
        <is>
          <t>=P13*Inputs!$B$27</t>
        </is>
      </c>
      <c r="E909" s="4" t="n">
        <v>622350</v>
      </c>
      <c r="F909" s="4" t="inlineStr">
        <is>
          <t>GOC Bed Unit-Costing Model v2 — working original.xlsx</t>
        </is>
      </c>
    </row>
    <row r="910" ht="40" customHeight="1">
      <c r="A910" s="4" t="inlineStr">
        <is>
          <t>original:Projection!M13</t>
        </is>
      </c>
      <c r="B910" s="4" t="inlineStr">
        <is>
          <t>Projection</t>
        </is>
      </c>
      <c r="C910" s="4" t="inlineStr">
        <is>
          <t>M13</t>
        </is>
      </c>
      <c r="D910" s="4" t="inlineStr">
        <is>
          <t>=H13-I13-J13-K13-L13</t>
        </is>
      </c>
      <c r="E910" s="4" t="n">
        <v>1938636</v>
      </c>
      <c r="F910" s="4" t="inlineStr">
        <is>
          <t>GOC Bed Unit-Costing Model v2 — working original.xlsx</t>
        </is>
      </c>
    </row>
    <row r="911" ht="40" customHeight="1">
      <c r="A911" s="4" t="inlineStr">
        <is>
          <t>original:Projection!N13</t>
        </is>
      </c>
      <c r="B911" s="4" t="inlineStr">
        <is>
          <t>Projection</t>
        </is>
      </c>
      <c r="C911" s="4" t="inlineStr">
        <is>
          <t>N13</t>
        </is>
      </c>
      <c r="D911" s="4" t="inlineStr">
        <is>
          <t>=H13-I13-J13-K13</t>
        </is>
      </c>
      <c r="E911" s="4" t="n">
        <v>2560986</v>
      </c>
      <c r="F911" s="4" t="inlineStr">
        <is>
          <t>GOC Bed Unit-Costing Model v2 — working original.xlsx</t>
        </is>
      </c>
    </row>
    <row r="912" ht="40" customHeight="1">
      <c r="A912" s="4" t="inlineStr">
        <is>
          <t>original:Projection!O13</t>
        </is>
      </c>
      <c r="B912" s="4" t="inlineStr">
        <is>
          <t>Projection</t>
        </is>
      </c>
      <c r="C912" s="4" t="inlineStr">
        <is>
          <t>O13</t>
        </is>
      </c>
      <c r="D912" s="4" t="inlineStr">
        <is>
          <t>=O12+M13</t>
        </is>
      </c>
      <c r="E912" s="4" t="n">
        <v>6216738</v>
      </c>
      <c r="F912" s="4" t="inlineStr">
        <is>
          <t>GOC Bed Unit-Costing Model v2 — working original.xlsx</t>
        </is>
      </c>
    </row>
    <row r="913" ht="40" customHeight="1">
      <c r="A913" s="4" t="inlineStr">
        <is>
          <t>original:Projection!P13</t>
        </is>
      </c>
      <c r="B913" s="4" t="inlineStr">
        <is>
          <t>Projection</t>
        </is>
      </c>
      <c r="C913" s="4" t="inlineStr">
        <is>
          <t>P13</t>
        </is>
      </c>
      <c r="D913" s="4" t="inlineStr">
        <is>
          <t>=IF(Inputs!$B$27&gt;0,MIN(Inputs!$B$45,MAX(0,FLOOR(MAX(0,Q13)/Inputs!$B$27,1))),0)</t>
        </is>
      </c>
      <c r="E913" s="4" t="n">
        <v>3</v>
      </c>
      <c r="F913" s="4" t="inlineStr">
        <is>
          <t>GOC Bed Unit-Costing Model v2 — working original.xlsx</t>
        </is>
      </c>
    </row>
    <row r="914" ht="40" customHeight="1">
      <c r="A914" s="4" t="inlineStr">
        <is>
          <t>original:Projection!Q13</t>
        </is>
      </c>
      <c r="B914" s="4" t="inlineStr">
        <is>
          <t>Projection</t>
        </is>
      </c>
      <c r="C914" s="4" t="inlineStr">
        <is>
          <t>Q13</t>
        </is>
      </c>
      <c r="D914" s="4" t="inlineStr">
        <is>
          <t>=Q12+N12-P12*Inputs!$B$27</t>
        </is>
      </c>
      <c r="E914" s="4" t="n">
        <v>3885552</v>
      </c>
      <c r="F914" s="4" t="inlineStr">
        <is>
          <t>GOC Bed Unit-Costing Model v2 — working original.xlsx</t>
        </is>
      </c>
    </row>
    <row r="915" ht="40" customHeight="1">
      <c r="A915" s="4" t="inlineStr">
        <is>
          <t>original:Projection!R13</t>
        </is>
      </c>
      <c r="B915" s="4" t="inlineStr">
        <is>
          <t>Projection</t>
        </is>
      </c>
      <c r="C915" s="4" t="inlineStr">
        <is>
          <t>R13</t>
        </is>
      </c>
      <c r="D915" s="4" t="inlineStr">
        <is>
          <t>=IF(P13&gt;0,A13,"")</t>
        </is>
      </c>
      <c r="E915" s="4" t="n">
        <v>10</v>
      </c>
      <c r="F915" s="4" t="inlineStr">
        <is>
          <t>GOC Bed Unit-Costing Model v2 — working original.xlsx</t>
        </is>
      </c>
    </row>
    <row r="916" ht="165" customHeight="1">
      <c r="A916" s="4" t="inlineStr">
        <is>
          <t>original:Projection!A15</t>
        </is>
      </c>
      <c r="B916" s="4" t="inlineStr">
        <is>
          <t>Projection</t>
        </is>
      </c>
      <c r="C916" s="4" t="inlineStr">
        <is>
          <t>A15</t>
        </is>
      </c>
      <c r="D916" s="4" t="inlineStr">
        <is>
          <t>Cols N-R are working columns for the self-funding trigger. Net profit/(loss) = revenue - bed costs - fixed costs - maintenance - facility capex (capex charged in full in build year, no depreciation). Bed costs = sum of (path beds x path cost per bed).</t>
        </is>
      </c>
      <c r="E916" s="4" t="inlineStr">
        <is>
          <t>Cols N-R are working columns for the self-funding trigger. Net profit/(loss) = revenue - bed costs - fixed costs - maintenance - facility capex (capex charged in full in build year, no depreciation). Bed costs = sum of (path beds x path cost per bed).</t>
        </is>
      </c>
      <c r="F916" s="4" t="inlineStr">
        <is>
          <t>GOC Bed Unit-Costing Model v2 — working original.xlsx</t>
        </is>
      </c>
    </row>
    <row r="917" ht="40" customHeight="1">
      <c r="A917" s="4" t="inlineStr">
        <is>
          <t>original:Known Other Costs!A1</t>
        </is>
      </c>
      <c r="B917" s="4" t="inlineStr">
        <is>
          <t>Known Other Costs</t>
        </is>
      </c>
      <c r="C917" s="4" t="inlineStr">
        <is>
          <t>A1</t>
        </is>
      </c>
      <c r="D917" s="4" t="inlineStr">
        <is>
          <t>Known Other Costs</t>
        </is>
      </c>
      <c r="E917" s="4" t="inlineStr">
        <is>
          <t>Known Other Costs</t>
        </is>
      </c>
      <c r="F917" s="4" t="inlineStr">
        <is>
          <t>GOC Bed Unit-Costing Model v2 — working original.xlsx</t>
        </is>
      </c>
    </row>
    <row r="918" ht="150" customHeight="1">
      <c r="A918" s="4" t="inlineStr">
        <is>
          <t>original:Known Other Costs!A2</t>
        </is>
      </c>
      <c r="B918" s="4" t="inlineStr">
        <is>
          <t>Known Other Costs</t>
        </is>
      </c>
      <c r="C918" s="4" t="inlineStr">
        <is>
          <t>A2</t>
        </is>
      </c>
      <c r="D918" s="4" t="inlineStr">
        <is>
          <t>Costs already found in the GOC codebase and workpapers. Status is load-bearing: evidenced and verified are not the same as modelled, allowance or physical-only. All AUD ex-GST unless the Unit column says otherwise.</t>
        </is>
      </c>
      <c r="E918" s="4" t="inlineStr">
        <is>
          <t>Costs already found in the GOC codebase and workpapers. Status is load-bearing: evidenced and verified are not the same as modelled, allowance or physical-only. All AUD ex-GST unless the Unit column says otherwise.</t>
        </is>
      </c>
      <c r="F918" s="4" t="inlineStr">
        <is>
          <t>GOC Bed Unit-Costing Model v2 — working original.xlsx</t>
        </is>
      </c>
    </row>
    <row r="919" ht="45" customHeight="1">
      <c r="A919" s="4" t="inlineStr">
        <is>
          <t>original:Known Other Costs!A4</t>
        </is>
      </c>
      <c r="B919" s="4" t="inlineStr">
        <is>
          <t>Known Other Costs</t>
        </is>
      </c>
      <c r="C919" s="4" t="inlineStr">
        <is>
          <t>A4</t>
        </is>
      </c>
      <c r="D919" s="4" t="inlineStr">
        <is>
          <t>1. EXISTING PLANT AND HARDWARE: ACTUAL OR PHYSICALLY CONFIRMED</t>
        </is>
      </c>
      <c r="E919" s="4" t="inlineStr">
        <is>
          <t>1. EXISTING PLANT AND HARDWARE: ACTUAL OR PHYSICALLY CONFIRMED</t>
        </is>
      </c>
      <c r="F919" s="4" t="inlineStr">
        <is>
          <t>GOC Bed Unit-Costing Model v2 — working original.xlsx</t>
        </is>
      </c>
    </row>
    <row r="920" ht="40" customHeight="1">
      <c r="A920" s="4" t="inlineStr">
        <is>
          <t>original:Known Other Costs!A5</t>
        </is>
      </c>
      <c r="B920" s="4" t="inlineStr">
        <is>
          <t>Known Other Costs</t>
        </is>
      </c>
      <c r="C920" s="4" t="inlineStr">
        <is>
          <t>A5</t>
        </is>
      </c>
      <c r="D920" s="4" t="inlineStr">
        <is>
          <t>Cost item</t>
        </is>
      </c>
      <c r="E920" s="4" t="inlineStr">
        <is>
          <t>Cost item</t>
        </is>
      </c>
      <c r="F920" s="4" t="inlineStr">
        <is>
          <t>GOC Bed Unit-Costing Model v2 — working original.xlsx</t>
        </is>
      </c>
    </row>
    <row r="921" ht="40" customHeight="1">
      <c r="A921" s="4" t="inlineStr">
        <is>
          <t>original:Known Other Costs!B5</t>
        </is>
      </c>
      <c r="B921" s="4" t="inlineStr">
        <is>
          <t>Known Other Costs</t>
        </is>
      </c>
      <c r="C921" s="4" t="inlineStr">
        <is>
          <t>B5</t>
        </is>
      </c>
      <c r="D921" s="4" t="inlineStr">
        <is>
          <t>Low</t>
        </is>
      </c>
      <c r="E921" s="4" t="inlineStr">
        <is>
          <t>Low</t>
        </is>
      </c>
      <c r="F921" s="4" t="inlineStr">
        <is>
          <t>GOC Bed Unit-Costing Model v2 — working original.xlsx</t>
        </is>
      </c>
    </row>
    <row r="922" ht="40" customHeight="1">
      <c r="A922" s="4" t="inlineStr">
        <is>
          <t>original:Known Other Costs!C5</t>
        </is>
      </c>
      <c r="B922" s="4" t="inlineStr">
        <is>
          <t>Known Other Costs</t>
        </is>
      </c>
      <c r="C922" s="4" t="inlineStr">
        <is>
          <t>C5</t>
        </is>
      </c>
      <c r="D922" s="4" t="inlineStr">
        <is>
          <t>High</t>
        </is>
      </c>
      <c r="E922" s="4" t="inlineStr">
        <is>
          <t>High</t>
        </is>
      </c>
      <c r="F922" s="4" t="inlineStr">
        <is>
          <t>GOC Bed Unit-Costing Model v2 — working original.xlsx</t>
        </is>
      </c>
    </row>
    <row r="923" ht="40" customHeight="1">
      <c r="A923" s="4" t="inlineStr">
        <is>
          <t>original:Known Other Costs!D5</t>
        </is>
      </c>
      <c r="B923" s="4" t="inlineStr">
        <is>
          <t>Known Other Costs</t>
        </is>
      </c>
      <c r="C923" s="4" t="inlineStr">
        <is>
          <t>D5</t>
        </is>
      </c>
      <c r="D923" s="4" t="inlineStr">
        <is>
          <t>Selected/current</t>
        </is>
      </c>
      <c r="E923" s="4" t="inlineStr">
        <is>
          <t>Selected/current</t>
        </is>
      </c>
      <c r="F923" s="4" t="inlineStr">
        <is>
          <t>GOC Bed Unit-Costing Model v2 — working original.xlsx</t>
        </is>
      </c>
    </row>
    <row r="924" ht="40" customHeight="1">
      <c r="A924" s="4" t="inlineStr">
        <is>
          <t>original:Known Other Costs!E5</t>
        </is>
      </c>
      <c r="B924" s="4" t="inlineStr">
        <is>
          <t>Known Other Costs</t>
        </is>
      </c>
      <c r="C924" s="4" t="inlineStr">
        <is>
          <t>E5</t>
        </is>
      </c>
      <c r="D924" s="4" t="inlineStr">
        <is>
          <t>Unit</t>
        </is>
      </c>
      <c r="E924" s="4" t="inlineStr">
        <is>
          <t>Unit</t>
        </is>
      </c>
      <c r="F924" s="4" t="inlineStr">
        <is>
          <t>GOC Bed Unit-Costing Model v2 — working original.xlsx</t>
        </is>
      </c>
    </row>
    <row r="925" ht="40" customHeight="1">
      <c r="A925" s="4" t="inlineStr">
        <is>
          <t>original:Known Other Costs!F5</t>
        </is>
      </c>
      <c r="B925" s="4" t="inlineStr">
        <is>
          <t>Known Other Costs</t>
        </is>
      </c>
      <c r="C925" s="4" t="inlineStr">
        <is>
          <t>F5</t>
        </is>
      </c>
      <c r="D925" s="4" t="inlineStr">
        <is>
          <t>Status</t>
        </is>
      </c>
      <c r="E925" s="4" t="inlineStr">
        <is>
          <t>Status</t>
        </is>
      </c>
      <c r="F925" s="4" t="inlineStr">
        <is>
          <t>GOC Bed Unit-Costing Model v2 — working original.xlsx</t>
        </is>
      </c>
    </row>
    <row r="926" ht="40" customHeight="1">
      <c r="A926" s="4" t="inlineStr">
        <is>
          <t>original:Known Other Costs!G5</t>
        </is>
      </c>
      <c r="B926" s="4" t="inlineStr">
        <is>
          <t>Known Other Costs</t>
        </is>
      </c>
      <c r="C926" s="4" t="inlineStr">
        <is>
          <t>G5</t>
        </is>
      </c>
      <c r="D926" s="4" t="inlineStr">
        <is>
          <t>Source</t>
        </is>
      </c>
      <c r="E926" s="4" t="inlineStr">
        <is>
          <t>Source</t>
        </is>
      </c>
      <c r="F926" s="4" t="inlineStr">
        <is>
          <t>GOC Bed Unit-Costing Model v2 — working original.xlsx</t>
        </is>
      </c>
    </row>
    <row r="927" ht="40" customHeight="1">
      <c r="A927" s="4" t="inlineStr">
        <is>
          <t>original:Known Other Costs!H5</t>
        </is>
      </c>
      <c r="B927" s="4" t="inlineStr">
        <is>
          <t>Known Other Costs</t>
        </is>
      </c>
      <c r="C927" s="4" t="inlineStr">
        <is>
          <t>H5</t>
        </is>
      </c>
      <c r="D927" s="4" t="inlineStr">
        <is>
          <t>Notes</t>
        </is>
      </c>
      <c r="E927" s="4" t="inlineStr">
        <is>
          <t>Notes</t>
        </is>
      </c>
      <c r="F927" s="4" t="inlineStr">
        <is>
          <t>GOC Bed Unit-Costing Model v2 — working original.xlsx</t>
        </is>
      </c>
    </row>
    <row r="928" ht="45" customHeight="1">
      <c r="A928" s="4" t="inlineStr">
        <is>
          <t>original:Known Other Costs!A6</t>
        </is>
      </c>
      <c r="B928" s="4" t="inlineStr">
        <is>
          <t>Known Other Costs</t>
        </is>
      </c>
      <c r="C928" s="4" t="inlineStr">
        <is>
          <t>A6</t>
        </is>
      </c>
      <c r="D928" s="4" t="inlineStr">
        <is>
          <t>SUNK SPEND ON THE FARM FACILITY (the figure to quote)</t>
        </is>
      </c>
      <c r="E928" s="4" t="inlineStr">
        <is>
          <t>SUNK SPEND ON THE FARM FACILITY (the figure to quote)</t>
        </is>
      </c>
      <c r="F928" s="4" t="inlineStr">
        <is>
          <t>GOC Bed Unit-Costing Model v2 — working original.xlsx</t>
        </is>
      </c>
    </row>
    <row r="929" ht="40" customHeight="1">
      <c r="A929" s="4" t="inlineStr">
        <is>
          <t>original:Known Other Costs!D6</t>
        </is>
      </c>
      <c r="B929" s="4" t="inlineStr">
        <is>
          <t>Known Other Costs</t>
        </is>
      </c>
      <c r="C929" s="4" t="inlineStr">
        <is>
          <t>D6</t>
        </is>
      </c>
      <c r="D929" s="4" t="n">
        <v>110046</v>
      </c>
      <c r="E929" s="4" t="n">
        <v>110046</v>
      </c>
      <c r="F929" s="4" t="inlineStr">
        <is>
          <t>GOC Bed Unit-Costing Model v2 — working original.xlsx</t>
        </is>
      </c>
    </row>
    <row r="930" ht="40" customHeight="1">
      <c r="A930" s="4" t="inlineStr">
        <is>
          <t>original:Known Other Costs!E6</t>
        </is>
      </c>
      <c r="B930" s="4" t="inlineStr">
        <is>
          <t>Known Other Costs</t>
        </is>
      </c>
      <c r="C930" s="4" t="inlineStr">
        <is>
          <t>E6</t>
        </is>
      </c>
      <c r="D930" s="4" t="inlineStr">
        <is>
          <t>AUD</t>
        </is>
      </c>
      <c r="E930" s="4" t="inlineStr">
        <is>
          <t>AUD</t>
        </is>
      </c>
      <c r="F930" s="4" t="inlineStr">
        <is>
          <t>GOC Bed Unit-Costing Model v2 — working original.xlsx</t>
        </is>
      </c>
    </row>
    <row r="931" ht="40" customHeight="1">
      <c r="A931" s="4" t="inlineStr">
        <is>
          <t>original:Known Other Costs!F6</t>
        </is>
      </c>
      <c r="B931" s="4" t="inlineStr">
        <is>
          <t>Known Other Costs</t>
        </is>
      </c>
      <c r="C931" s="4" t="inlineStr">
        <is>
          <t>F6</t>
        </is>
      </c>
      <c r="D931" s="4" t="inlineStr">
        <is>
          <t>workpaper</t>
        </is>
      </c>
      <c r="E931" s="4" t="inlineStr">
        <is>
          <t>workpaper</t>
        </is>
      </c>
      <c r="F931" s="4" t="inlineStr">
        <is>
          <t>GOC Bed Unit-Costing Model v2 — working original.xlsx</t>
        </is>
      </c>
    </row>
    <row r="932" ht="45" customHeight="1">
      <c r="A932" s="4" t="inlineStr">
        <is>
          <t>original:Known Other Costs!G6</t>
        </is>
      </c>
      <c r="B932" s="4" t="inlineStr">
        <is>
          <t>Known Other Costs</t>
        </is>
      </c>
      <c r="C932" s="4" t="inlineStr">
        <is>
          <t>G6</t>
        </is>
      </c>
      <c r="D932" s="4" t="inlineStr">
        <is>
          <t>cost-model-scenarios.ts ALREADY_INVESTED; Ben ruling 2026-07-25</t>
        </is>
      </c>
      <c r="E932" s="4" t="inlineStr">
        <is>
          <t>cost-model-scenarios.ts ALREADY_INVESTED; Ben ruling 2026-07-25</t>
        </is>
      </c>
      <c r="F932" s="4" t="inlineStr">
        <is>
          <t>GOC Bed Unit-Costing Model v2 — working original.xlsx</t>
        </is>
      </c>
    </row>
    <row r="933" ht="105" customHeight="1">
      <c r="A933" s="4" t="inlineStr">
        <is>
          <t>original:Known Other Costs!H6</t>
        </is>
      </c>
      <c r="B933" s="4" t="inlineStr">
        <is>
          <t>Known Other Costs</t>
        </is>
      </c>
      <c r="C933" s="4" t="inlineStr">
        <is>
          <t>H6</t>
        </is>
      </c>
      <c r="D933" s="4" t="inlineStr">
        <is>
          <t>$100,000 facility + $10,046 Carbatec tooling. Quoted BESIDE the capital ask as skin in the game, NEVER netted off it. The old net figure (~$2K-$112K) is retired.</t>
        </is>
      </c>
      <c r="E933" s="4" t="inlineStr">
        <is>
          <t>$100,000 facility + $10,046 Carbatec tooling. Quoted BESIDE the capital ask as skin in the game, NEVER netted off it. The old net figure (~$2K-$112K) is retired.</t>
        </is>
      </c>
      <c r="F933" s="4" t="inlineStr">
        <is>
          <t>GOC Bed Unit-Costing Model v2 — working original.xlsx</t>
        </is>
      </c>
    </row>
    <row r="934" ht="45" customHeight="1">
      <c r="A934" s="4" t="inlineStr">
        <is>
          <t>original:Known Other Costs!A7</t>
        </is>
      </c>
      <c r="B934" s="4" t="inlineStr">
        <is>
          <t>Known Other Costs</t>
        </is>
      </c>
      <c r="C934" s="4" t="inlineStr">
        <is>
          <t>A7</t>
        </is>
      </c>
      <c r="D934" s="4" t="inlineStr">
        <is>
          <t xml:space="preserve">  of which: evidenced hardware subtotal (bill level)</t>
        </is>
      </c>
      <c r="E934" s="4" t="inlineStr">
        <is>
          <t xml:space="preserve">  of which: evidenced hardware subtotal (bill level)</t>
        </is>
      </c>
      <c r="F934" s="4" t="inlineStr">
        <is>
          <t>GOC Bed Unit-Costing Model v2 — working original.xlsx</t>
        </is>
      </c>
    </row>
    <row r="935" ht="40" customHeight="1">
      <c r="A935" s="4" t="inlineStr">
        <is>
          <t>original:Known Other Costs!D7</t>
        </is>
      </c>
      <c r="B935" s="4" t="inlineStr">
        <is>
          <t>Known Other Costs</t>
        </is>
      </c>
      <c r="C935" s="4" t="inlineStr">
        <is>
          <t>D7</t>
        </is>
      </c>
      <c r="D935" s="4" t="n">
        <v>75000</v>
      </c>
      <c r="E935" s="4" t="n">
        <v>75000</v>
      </c>
      <c r="F935" s="4" t="inlineStr">
        <is>
          <t>GOC Bed Unit-Costing Model v2 — working original.xlsx</t>
        </is>
      </c>
    </row>
    <row r="936" ht="40" customHeight="1">
      <c r="A936" s="4" t="inlineStr">
        <is>
          <t>original:Known Other Costs!E7</t>
        </is>
      </c>
      <c r="B936" s="4" t="inlineStr">
        <is>
          <t>Known Other Costs</t>
        </is>
      </c>
      <c r="C936" s="4" t="inlineStr">
        <is>
          <t>E7</t>
        </is>
      </c>
      <c r="D936" s="4" t="inlineStr">
        <is>
          <t>AUD</t>
        </is>
      </c>
      <c r="E936" s="4" t="inlineStr">
        <is>
          <t>AUD</t>
        </is>
      </c>
      <c r="F936" s="4" t="inlineStr">
        <is>
          <t>GOC Bed Unit-Costing Model v2 — working original.xlsx</t>
        </is>
      </c>
    </row>
    <row r="937" ht="40" customHeight="1">
      <c r="A937" s="4" t="inlineStr">
        <is>
          <t>original:Known Other Costs!F7</t>
        </is>
      </c>
      <c r="B937" s="4" t="inlineStr">
        <is>
          <t>Known Other Costs</t>
        </is>
      </c>
      <c r="C937" s="4" t="inlineStr">
        <is>
          <t>F7</t>
        </is>
      </c>
      <c r="D937" s="4" t="inlineStr">
        <is>
          <t>evidenced/mixed</t>
        </is>
      </c>
      <c r="E937" s="4" t="inlineStr">
        <is>
          <t>evidenced/mixed</t>
        </is>
      </c>
      <c r="F937" s="4" t="inlineStr">
        <is>
          <t>GOC Bed Unit-Costing Model v2 — working original.xlsx</t>
        </is>
      </c>
    </row>
    <row r="938" ht="40" customHeight="1">
      <c r="A938" s="4" t="inlineStr">
        <is>
          <t>original:Known Other Costs!G7</t>
        </is>
      </c>
      <c r="B938" s="4" t="inlineStr">
        <is>
          <t>Known Other Costs</t>
        </is>
      </c>
      <c r="C938" s="4" t="inlineStr">
        <is>
          <t>G7</t>
        </is>
      </c>
      <c r="D938" s="4" t="inlineStr">
        <is>
          <t>MVF reconciliation, 2026-07-22</t>
        </is>
      </c>
      <c r="E938" s="4" t="inlineStr">
        <is>
          <t>MVF reconciliation, 2026-07-22</t>
        </is>
      </c>
      <c r="F938" s="4" t="inlineStr">
        <is>
          <t>GOC Bed Unit-Costing Model v2 — working original.xlsx</t>
        </is>
      </c>
    </row>
    <row r="939" ht="120" customHeight="1">
      <c r="A939" s="4" t="inlineStr">
        <is>
          <t>original:Known Other Costs!H7</t>
        </is>
      </c>
      <c r="B939" s="4" t="inlineStr">
        <is>
          <t>Known Other Costs</t>
        </is>
      </c>
      <c r="C939" s="4" t="inlineStr">
        <is>
          <t>H7</t>
        </is>
      </c>
      <c r="D939" s="4" t="inlineStr">
        <is>
          <t>About $43.7K cleanly tagged, $12.5K ambiguous and $19.8K physical-only shredder. This is a SUBTOTAL of the line above, not a competing total. Do not swap it in for $110,046.</t>
        </is>
      </c>
      <c r="E939" s="4" t="inlineStr">
        <is>
          <t>About $43.7K cleanly tagged, $12.5K ambiguous and $19.8K physical-only shredder. This is a SUBTOTAL of the line above, not a competing total. Do not swap it in for $110,046.</t>
        </is>
      </c>
      <c r="F939" s="4" t="inlineStr">
        <is>
          <t>GOC Bed Unit-Costing Model v2 — working original.xlsx</t>
        </is>
      </c>
    </row>
    <row r="940" ht="40" customHeight="1">
      <c r="A940" s="4" t="inlineStr">
        <is>
          <t>original:Known Other Costs!A8</t>
        </is>
      </c>
      <c r="B940" s="4" t="inlineStr">
        <is>
          <t>Known Other Costs</t>
        </is>
      </c>
      <c r="C940" s="4" t="inlineStr">
        <is>
          <t>A8</t>
        </is>
      </c>
      <c r="D940" s="4" t="inlineStr">
        <is>
          <t>Press + cold press + CNC bundle</t>
        </is>
      </c>
      <c r="E940" s="4" t="inlineStr">
        <is>
          <t>Press + cold press + CNC bundle</t>
        </is>
      </c>
      <c r="F940" s="4" t="inlineStr">
        <is>
          <t>GOC Bed Unit-Costing Model v2 — working original.xlsx</t>
        </is>
      </c>
    </row>
    <row r="941" ht="40" customHeight="1">
      <c r="A941" s="4" t="inlineStr">
        <is>
          <t>original:Known Other Costs!D8</t>
        </is>
      </c>
      <c r="B941" s="4" t="inlineStr">
        <is>
          <t>Known Other Costs</t>
        </is>
      </c>
      <c r="C941" s="4" t="inlineStr">
        <is>
          <t>D8</t>
        </is>
      </c>
      <c r="D941" s="4" t="n">
        <v>32780</v>
      </c>
      <c r="E941" s="4" t="n">
        <v>32780</v>
      </c>
      <c r="F941" s="4" t="inlineStr">
        <is>
          <t>GOC Bed Unit-Costing Model v2 — working original.xlsx</t>
        </is>
      </c>
    </row>
    <row r="942" ht="40" customHeight="1">
      <c r="A942" s="4" t="inlineStr">
        <is>
          <t>original:Known Other Costs!E8</t>
        </is>
      </c>
      <c r="B942" s="4" t="inlineStr">
        <is>
          <t>Known Other Costs</t>
        </is>
      </c>
      <c r="C942" s="4" t="inlineStr">
        <is>
          <t>E8</t>
        </is>
      </c>
      <c r="D942" s="4" t="inlineStr">
        <is>
          <t>AUD inc GST</t>
        </is>
      </c>
      <c r="E942" s="4" t="inlineStr">
        <is>
          <t>AUD inc GST</t>
        </is>
      </c>
      <c r="F942" s="4" t="inlineStr">
        <is>
          <t>GOC Bed Unit-Costing Model v2 — working original.xlsx</t>
        </is>
      </c>
    </row>
    <row r="943" ht="40" customHeight="1">
      <c r="A943" s="4" t="inlineStr">
        <is>
          <t>original:Known Other Costs!F8</t>
        </is>
      </c>
      <c r="B943" s="4" t="inlineStr">
        <is>
          <t>Known Other Costs</t>
        </is>
      </c>
      <c r="C943" s="4" t="inlineStr">
        <is>
          <t>F8</t>
        </is>
      </c>
      <c r="D943" s="4" t="inlineStr">
        <is>
          <t>evidenced</t>
        </is>
      </c>
      <c r="E943" s="4" t="inlineStr">
        <is>
          <t>evidenced</t>
        </is>
      </c>
      <c r="F943" s="4" t="inlineStr">
        <is>
          <t>GOC Bed Unit-Costing Model v2 — working original.xlsx</t>
        </is>
      </c>
    </row>
    <row r="944" ht="40" customHeight="1">
      <c r="A944" s="4" t="inlineStr">
        <is>
          <t>original:Known Other Costs!G8</t>
        </is>
      </c>
      <c r="B944" s="4" t="inlineStr">
        <is>
          <t>Known Other Costs</t>
        </is>
      </c>
      <c r="C944" s="4" t="inlineStr">
        <is>
          <t>G8</t>
        </is>
      </c>
      <c r="D944" s="4" t="inlineStr">
        <is>
          <t>Xero INV-0054, 2025-12-17, ACT-GD</t>
        </is>
      </c>
      <c r="E944" s="4" t="inlineStr">
        <is>
          <t>Xero INV-0054, 2025-12-17, ACT-GD</t>
        </is>
      </c>
      <c r="F944" s="4" t="inlineStr">
        <is>
          <t>GOC Bed Unit-Costing Model v2 — working original.xlsx</t>
        </is>
      </c>
    </row>
    <row r="945" ht="40" customHeight="1">
      <c r="A945" s="4" t="inlineStr">
        <is>
          <t>original:Known Other Costs!H8</t>
        </is>
      </c>
      <c r="B945" s="4" t="inlineStr">
        <is>
          <t>Known Other Costs</t>
        </is>
      </c>
      <c r="C945" s="4" t="inlineStr">
        <is>
          <t>H8</t>
        </is>
      </c>
      <c r="D945" s="4" t="inlineStr">
        <is>
          <t>Existing purchase, not a fresh-site quote.</t>
        </is>
      </c>
      <c r="E945" s="4" t="inlineStr">
        <is>
          <t>Existing purchase, not a fresh-site quote.</t>
        </is>
      </c>
      <c r="F945" s="4" t="inlineStr">
        <is>
          <t>GOC Bed Unit-Costing Model v2 — working original.xlsx</t>
        </is>
      </c>
    </row>
    <row r="946" ht="40" customHeight="1">
      <c r="A946" s="4" t="inlineStr">
        <is>
          <t>original:Known Other Costs!A9</t>
        </is>
      </c>
      <c r="B946" s="4" t="inlineStr">
        <is>
          <t>Known Other Costs</t>
        </is>
      </c>
      <c r="C946" s="4" t="inlineStr">
        <is>
          <t>A9</t>
        </is>
      </c>
      <c r="D946" s="4" t="inlineStr">
        <is>
          <t>Workshop tools</t>
        </is>
      </c>
      <c r="E946" s="4" t="inlineStr">
        <is>
          <t>Workshop tools</t>
        </is>
      </c>
      <c r="F946" s="4" t="inlineStr">
        <is>
          <t>GOC Bed Unit-Costing Model v2 — working original.xlsx</t>
        </is>
      </c>
    </row>
    <row r="947" ht="40" customHeight="1">
      <c r="A947" s="4" t="inlineStr">
        <is>
          <t>original:Known Other Costs!D9</t>
        </is>
      </c>
      <c r="B947" s="4" t="inlineStr">
        <is>
          <t>Known Other Costs</t>
        </is>
      </c>
      <c r="C947" s="4" t="inlineStr">
        <is>
          <t>D9</t>
        </is>
      </c>
      <c r="D947" s="4" t="n">
        <v>6387</v>
      </c>
      <c r="E947" s="4" t="n">
        <v>6387</v>
      </c>
      <c r="F947" s="4" t="inlineStr">
        <is>
          <t>GOC Bed Unit-Costing Model v2 — working original.xlsx</t>
        </is>
      </c>
    </row>
    <row r="948" ht="40" customHeight="1">
      <c r="A948" s="4" t="inlineStr">
        <is>
          <t>original:Known Other Costs!E9</t>
        </is>
      </c>
      <c r="B948" s="4" t="inlineStr">
        <is>
          <t>Known Other Costs</t>
        </is>
      </c>
      <c r="C948" s="4" t="inlineStr">
        <is>
          <t>E9</t>
        </is>
      </c>
      <c r="D948" s="4" t="inlineStr">
        <is>
          <t>AUD inc GST</t>
        </is>
      </c>
      <c r="E948" s="4" t="inlineStr">
        <is>
          <t>AUD inc GST</t>
        </is>
      </c>
      <c r="F948" s="4" t="inlineStr">
        <is>
          <t>GOC Bed Unit-Costing Model v2 — working original.xlsx</t>
        </is>
      </c>
    </row>
    <row r="949" ht="40" customHeight="1">
      <c r="A949" s="4" t="inlineStr">
        <is>
          <t>original:Known Other Costs!F9</t>
        </is>
      </c>
      <c r="B949" s="4" t="inlineStr">
        <is>
          <t>Known Other Costs</t>
        </is>
      </c>
      <c r="C949" s="4" t="inlineStr">
        <is>
          <t>F9</t>
        </is>
      </c>
      <c r="D949" s="4" t="inlineStr">
        <is>
          <t>evidenced, tagged Harvest</t>
        </is>
      </c>
      <c r="E949" s="4" t="inlineStr">
        <is>
          <t>evidenced, tagged Harvest</t>
        </is>
      </c>
      <c r="F949" s="4" t="inlineStr">
        <is>
          <t>GOC Bed Unit-Costing Model v2 — working original.xlsx</t>
        </is>
      </c>
    </row>
    <row r="950" ht="40" customHeight="1">
      <c r="A950" s="4" t="inlineStr">
        <is>
          <t>original:Known Other Costs!G9</t>
        </is>
      </c>
      <c r="B950" s="4" t="inlineStr">
        <is>
          <t>Known Other Costs</t>
        </is>
      </c>
      <c r="C950" s="4" t="inlineStr">
        <is>
          <t>G9</t>
        </is>
      </c>
      <c r="D950" s="4" t="inlineStr">
        <is>
          <t>Carbatec Brisbane, Xero, Jan 2026</t>
        </is>
      </c>
      <c r="E950" s="4" t="inlineStr">
        <is>
          <t>Carbatec Brisbane, Xero, Jan 2026</t>
        </is>
      </c>
      <c r="F950" s="4" t="inlineStr">
        <is>
          <t>GOC Bed Unit-Costing Model v2 — working original.xlsx</t>
        </is>
      </c>
    </row>
    <row r="951" ht="40" customHeight="1">
      <c r="A951" s="4" t="inlineStr">
        <is>
          <t>original:Known Other Costs!H9</t>
        </is>
      </c>
      <c r="B951" s="4" t="inlineStr">
        <is>
          <t>Known Other Costs</t>
        </is>
      </c>
      <c r="C951" s="4" t="inlineStr">
        <is>
          <t>H9</t>
        </is>
      </c>
      <c r="D951" s="4" t="inlineStr">
        <is>
          <t>$4,575.65 + $1,811.70.</t>
        </is>
      </c>
      <c r="E951" s="4" t="inlineStr">
        <is>
          <t>$4,575.65 + $1,811.70.</t>
        </is>
      </c>
      <c r="F951" s="4" t="inlineStr">
        <is>
          <t>GOC Bed Unit-Costing Model v2 — working original.xlsx</t>
        </is>
      </c>
    </row>
    <row r="952" ht="40" customHeight="1">
      <c r="A952" s="4" t="inlineStr">
        <is>
          <t>original:Known Other Costs!A10</t>
        </is>
      </c>
      <c r="B952" s="4" t="inlineStr">
        <is>
          <t>Known Other Costs</t>
        </is>
      </c>
      <c r="C952" s="4" t="inlineStr">
        <is>
          <t>A10</t>
        </is>
      </c>
      <c r="D952" s="4" t="inlineStr">
        <is>
          <t>20ft container, Monument Grey</t>
        </is>
      </c>
      <c r="E952" s="4" t="inlineStr">
        <is>
          <t>20ft container, Monument Grey</t>
        </is>
      </c>
      <c r="F952" s="4" t="inlineStr">
        <is>
          <t>GOC Bed Unit-Costing Model v2 — working original.xlsx</t>
        </is>
      </c>
    </row>
    <row r="953" ht="40" customHeight="1">
      <c r="A953" s="4" t="inlineStr">
        <is>
          <t>original:Known Other Costs!D10</t>
        </is>
      </c>
      <c r="B953" s="4" t="inlineStr">
        <is>
          <t>Known Other Costs</t>
        </is>
      </c>
      <c r="C953" s="4" t="inlineStr">
        <is>
          <t>D10</t>
        </is>
      </c>
      <c r="D953" s="4" t="n">
        <v>3320</v>
      </c>
      <c r="E953" s="4" t="n">
        <v>3320</v>
      </c>
      <c r="F953" s="4" t="inlineStr">
        <is>
          <t>GOC Bed Unit-Costing Model v2 — working original.xlsx</t>
        </is>
      </c>
    </row>
    <row r="954" ht="40" customHeight="1">
      <c r="A954" s="4" t="inlineStr">
        <is>
          <t>original:Known Other Costs!E10</t>
        </is>
      </c>
      <c r="B954" s="4" t="inlineStr">
        <is>
          <t>Known Other Costs</t>
        </is>
      </c>
      <c r="C954" s="4" t="inlineStr">
        <is>
          <t>E10</t>
        </is>
      </c>
      <c r="D954" s="4" t="inlineStr">
        <is>
          <t>AUD inc GST</t>
        </is>
      </c>
      <c r="E954" s="4" t="inlineStr">
        <is>
          <t>AUD inc GST</t>
        </is>
      </c>
      <c r="F954" s="4" t="inlineStr">
        <is>
          <t>GOC Bed Unit-Costing Model v2 — working original.xlsx</t>
        </is>
      </c>
    </row>
    <row r="955" ht="40" customHeight="1">
      <c r="A955" s="4" t="inlineStr">
        <is>
          <t>original:Known Other Costs!F10</t>
        </is>
      </c>
      <c r="B955" s="4" t="inlineStr">
        <is>
          <t>Known Other Costs</t>
        </is>
      </c>
      <c r="C955" s="4" t="inlineStr">
        <is>
          <t>F10</t>
        </is>
      </c>
      <c r="D955" s="4" t="inlineStr">
        <is>
          <t>evidenced</t>
        </is>
      </c>
      <c r="E955" s="4" t="inlineStr">
        <is>
          <t>evidenced</t>
        </is>
      </c>
      <c r="F955" s="4" t="inlineStr">
        <is>
          <t>GOC Bed Unit-Costing Model v2 — working original.xlsx</t>
        </is>
      </c>
    </row>
    <row r="956" ht="40" customHeight="1">
      <c r="A956" s="4" t="inlineStr">
        <is>
          <t>original:Known Other Costs!G10</t>
        </is>
      </c>
      <c r="B956" s="4" t="inlineStr">
        <is>
          <t>Known Other Costs</t>
        </is>
      </c>
      <c r="C956" s="4" t="inlineStr">
        <is>
          <t>G10</t>
        </is>
      </c>
      <c r="D956" s="4" t="inlineStr">
        <is>
          <t>Bionic Self Storage, Xero, 2026-04-29</t>
        </is>
      </c>
      <c r="E956" s="4" t="inlineStr">
        <is>
          <t>Bionic Self Storage, Xero, 2026-04-29</t>
        </is>
      </c>
      <c r="F956" s="4" t="inlineStr">
        <is>
          <t>GOC Bed Unit-Costing Model v2 — working original.xlsx</t>
        </is>
      </c>
    </row>
    <row r="957" ht="40" customHeight="1">
      <c r="A957" s="4" t="inlineStr">
        <is>
          <t>original:Known Other Costs!H10</t>
        </is>
      </c>
      <c r="B957" s="4" t="inlineStr">
        <is>
          <t>Known Other Costs</t>
        </is>
      </c>
      <c r="C957" s="4" t="inlineStr">
        <is>
          <t>H10</t>
        </is>
      </c>
      <c r="D957" s="4" t="inlineStr">
        <is>
          <t>Capitalised to ACT-FM The Farm.</t>
        </is>
      </c>
      <c r="E957" s="4" t="inlineStr">
        <is>
          <t>Capitalised to ACT-FM The Farm.</t>
        </is>
      </c>
      <c r="F957" s="4" t="inlineStr">
        <is>
          <t>GOC Bed Unit-Costing Model v2 — working original.xlsx</t>
        </is>
      </c>
    </row>
    <row r="958" ht="40" customHeight="1">
      <c r="A958" s="4" t="inlineStr">
        <is>
          <t>original:Known Other Costs!A11</t>
        </is>
      </c>
      <c r="B958" s="4" t="inlineStr">
        <is>
          <t>Known Other Costs</t>
        </is>
      </c>
      <c r="C958" s="4" t="inlineStr">
        <is>
          <t>A11</t>
        </is>
      </c>
      <c r="D958" s="4" t="inlineStr">
        <is>
          <t>Crane placement</t>
        </is>
      </c>
      <c r="E958" s="4" t="inlineStr">
        <is>
          <t>Crane placement</t>
        </is>
      </c>
      <c r="F958" s="4" t="inlineStr">
        <is>
          <t>GOC Bed Unit-Costing Model v2 — working original.xlsx</t>
        </is>
      </c>
    </row>
    <row r="959" ht="40" customHeight="1">
      <c r="A959" s="4" t="inlineStr">
        <is>
          <t>original:Known Other Costs!D11</t>
        </is>
      </c>
      <c r="B959" s="4" t="inlineStr">
        <is>
          <t>Known Other Costs</t>
        </is>
      </c>
      <c r="C959" s="4" t="inlineStr">
        <is>
          <t>D11</t>
        </is>
      </c>
      <c r="D959" s="4" t="n">
        <v>1041</v>
      </c>
      <c r="E959" s="4" t="n">
        <v>1041</v>
      </c>
      <c r="F959" s="4" t="inlineStr">
        <is>
          <t>GOC Bed Unit-Costing Model v2 — working original.xlsx</t>
        </is>
      </c>
    </row>
    <row r="960" ht="40" customHeight="1">
      <c r="A960" s="4" t="inlineStr">
        <is>
          <t>original:Known Other Costs!E11</t>
        </is>
      </c>
      <c r="B960" s="4" t="inlineStr">
        <is>
          <t>Known Other Costs</t>
        </is>
      </c>
      <c r="C960" s="4" t="inlineStr">
        <is>
          <t>E11</t>
        </is>
      </c>
      <c r="D960" s="4" t="inlineStr">
        <is>
          <t>AUD inc GST</t>
        </is>
      </c>
      <c r="E960" s="4" t="inlineStr">
        <is>
          <t>AUD inc GST</t>
        </is>
      </c>
      <c r="F960" s="4" t="inlineStr">
        <is>
          <t>GOC Bed Unit-Costing Model v2 — working original.xlsx</t>
        </is>
      </c>
    </row>
    <row r="961" ht="40" customHeight="1">
      <c r="A961" s="4" t="inlineStr">
        <is>
          <t>original:Known Other Costs!F11</t>
        </is>
      </c>
      <c r="B961" s="4" t="inlineStr">
        <is>
          <t>Known Other Costs</t>
        </is>
      </c>
      <c r="C961" s="4" t="inlineStr">
        <is>
          <t>F11</t>
        </is>
      </c>
      <c r="D961" s="4" t="inlineStr">
        <is>
          <t>evidenced</t>
        </is>
      </c>
      <c r="E961" s="4" t="inlineStr">
        <is>
          <t>evidenced</t>
        </is>
      </c>
      <c r="F961" s="4" t="inlineStr">
        <is>
          <t>GOC Bed Unit-Costing Model v2 — working original.xlsx</t>
        </is>
      </c>
    </row>
    <row r="962" ht="40" customHeight="1">
      <c r="A962" s="4" t="inlineStr">
        <is>
          <t>original:Known Other Costs!G11</t>
        </is>
      </c>
      <c r="B962" s="4" t="inlineStr">
        <is>
          <t>Known Other Costs</t>
        </is>
      </c>
      <c r="C962" s="4" t="inlineStr">
        <is>
          <t>G11</t>
        </is>
      </c>
      <c r="D962" s="4" t="inlineStr">
        <is>
          <t>GM Crane Hire, Xero, 2026-06-29</t>
        </is>
      </c>
      <c r="E962" s="4" t="inlineStr">
        <is>
          <t>GM Crane Hire, Xero, 2026-06-29</t>
        </is>
      </c>
      <c r="F962" s="4" t="inlineStr">
        <is>
          <t>GOC Bed Unit-Costing Model v2 — working original.xlsx</t>
        </is>
      </c>
    </row>
    <row r="963" ht="40" customHeight="1">
      <c r="A963" s="4" t="inlineStr">
        <is>
          <t>original:Known Other Costs!H11</t>
        </is>
      </c>
      <c r="B963" s="4" t="inlineStr">
        <is>
          <t>Known Other Costs</t>
        </is>
      </c>
      <c r="C963" s="4" t="inlineStr">
        <is>
          <t>H11</t>
        </is>
      </c>
      <c r="D963" s="4" t="inlineStr">
        <is>
          <t>Two 20T Franna cranes.</t>
        </is>
      </c>
      <c r="E963" s="4" t="inlineStr">
        <is>
          <t>Two 20T Franna cranes.</t>
        </is>
      </c>
      <c r="F963" s="4" t="inlineStr">
        <is>
          <t>GOC Bed Unit-Costing Model v2 — working original.xlsx</t>
        </is>
      </c>
    </row>
    <row r="964" ht="40" customHeight="1">
      <c r="A964" s="4" t="inlineStr">
        <is>
          <t>original:Known Other Costs!A12</t>
        </is>
      </c>
      <c r="B964" s="4" t="inlineStr">
        <is>
          <t>Known Other Costs</t>
        </is>
      </c>
      <c r="C964" s="4" t="inlineStr">
        <is>
          <t>A12</t>
        </is>
      </c>
      <c r="D964" s="4" t="inlineStr">
        <is>
          <t>Container transport</t>
        </is>
      </c>
      <c r="E964" s="4" t="inlineStr">
        <is>
          <t>Container transport</t>
        </is>
      </c>
      <c r="F964" s="4" t="inlineStr">
        <is>
          <t>GOC Bed Unit-Costing Model v2 — working original.xlsx</t>
        </is>
      </c>
    </row>
    <row r="965" ht="40" customHeight="1">
      <c r="A965" s="4" t="inlineStr">
        <is>
          <t>original:Known Other Costs!D12</t>
        </is>
      </c>
      <c r="B965" s="4" t="inlineStr">
        <is>
          <t>Known Other Costs</t>
        </is>
      </c>
      <c r="C965" s="4" t="inlineStr">
        <is>
          <t>D12</t>
        </is>
      </c>
      <c r="D965" s="4" t="n">
        <v>193</v>
      </c>
      <c r="E965" s="4" t="n">
        <v>193</v>
      </c>
      <c r="F965" s="4" t="inlineStr">
        <is>
          <t>GOC Bed Unit-Costing Model v2 — working original.xlsx</t>
        </is>
      </c>
    </row>
    <row r="966" ht="40" customHeight="1">
      <c r="A966" s="4" t="inlineStr">
        <is>
          <t>original:Known Other Costs!E12</t>
        </is>
      </c>
      <c r="B966" s="4" t="inlineStr">
        <is>
          <t>Known Other Costs</t>
        </is>
      </c>
      <c r="C966" s="4" t="inlineStr">
        <is>
          <t>E12</t>
        </is>
      </c>
      <c r="D966" s="4" t="inlineStr">
        <is>
          <t>AUD inc GST</t>
        </is>
      </c>
      <c r="E966" s="4" t="inlineStr">
        <is>
          <t>AUD inc GST</t>
        </is>
      </c>
      <c r="F966" s="4" t="inlineStr">
        <is>
          <t>GOC Bed Unit-Costing Model v2 — working original.xlsx</t>
        </is>
      </c>
    </row>
    <row r="967" ht="40" customHeight="1">
      <c r="A967" s="4" t="inlineStr">
        <is>
          <t>original:Known Other Costs!F12</t>
        </is>
      </c>
      <c r="B967" s="4" t="inlineStr">
        <is>
          <t>Known Other Costs</t>
        </is>
      </c>
      <c r="C967" s="4" t="inlineStr">
        <is>
          <t>F12</t>
        </is>
      </c>
      <c r="D967" s="4" t="inlineStr">
        <is>
          <t>evidenced</t>
        </is>
      </c>
      <c r="E967" s="4" t="inlineStr">
        <is>
          <t>evidenced</t>
        </is>
      </c>
      <c r="F967" s="4" t="inlineStr">
        <is>
          <t>GOC Bed Unit-Costing Model v2 — working original.xlsx</t>
        </is>
      </c>
    </row>
    <row r="968" ht="40" customHeight="1">
      <c r="A968" s="4" t="inlineStr">
        <is>
          <t>original:Known Other Costs!G12</t>
        </is>
      </c>
      <c r="B968" s="4" t="inlineStr">
        <is>
          <t>Known Other Costs</t>
        </is>
      </c>
      <c r="C968" s="4" t="inlineStr">
        <is>
          <t>G12</t>
        </is>
      </c>
      <c r="D968" s="4" t="inlineStr">
        <is>
          <t>Rapid Container, Xero, 2026-06-24</t>
        </is>
      </c>
      <c r="E968" s="4" t="inlineStr">
        <is>
          <t>Rapid Container, Xero, 2026-06-24</t>
        </is>
      </c>
      <c r="F968" s="4" t="inlineStr">
        <is>
          <t>GOC Bed Unit-Costing Model v2 — working original.xlsx</t>
        </is>
      </c>
    </row>
    <row r="969" ht="40" customHeight="1">
      <c r="A969" s="4" t="inlineStr">
        <is>
          <t>original:Known Other Costs!H12</t>
        </is>
      </c>
      <c r="B969" s="4" t="inlineStr">
        <is>
          <t>Known Other Costs</t>
        </is>
      </c>
      <c r="C969" s="4" t="inlineStr">
        <is>
          <t>H12</t>
        </is>
      </c>
      <c r="D969" s="4" t="inlineStr">
        <is>
          <t>After-hours transport.</t>
        </is>
      </c>
      <c r="E969" s="4" t="inlineStr">
        <is>
          <t>After-hours transport.</t>
        </is>
      </c>
      <c r="F969" s="4" t="inlineStr">
        <is>
          <t>GOC Bed Unit-Costing Model v2 — working original.xlsx</t>
        </is>
      </c>
    </row>
    <row r="970" ht="40" customHeight="1">
      <c r="A970" s="4" t="inlineStr">
        <is>
          <t>original:Known Other Costs!A13</t>
        </is>
      </c>
      <c r="B970" s="4" t="inlineStr">
        <is>
          <t>Known Other Costs</t>
        </is>
      </c>
      <c r="C970" s="4" t="inlineStr">
        <is>
          <t>A13</t>
        </is>
      </c>
      <c r="D970" s="4" t="inlineStr">
        <is>
          <t>Two generators (we only use one)</t>
        </is>
      </c>
      <c r="E970" s="4" t="inlineStr">
        <is>
          <t>Two generators (we only use one)</t>
        </is>
      </c>
      <c r="F970" s="4" t="inlineStr">
        <is>
          <t>GOC Bed Unit-Costing Model v2 — working original.xlsx</t>
        </is>
      </c>
    </row>
    <row r="971" ht="40" customHeight="1">
      <c r="A971" s="4" t="inlineStr">
        <is>
          <t>original:Known Other Costs!D13</t>
        </is>
      </c>
      <c r="B971" s="4" t="inlineStr">
        <is>
          <t>Known Other Costs</t>
        </is>
      </c>
      <c r="C971" s="4" t="inlineStr">
        <is>
          <t>D13</t>
        </is>
      </c>
      <c r="D971" s="4" t="n">
        <v>6600</v>
      </c>
      <c r="E971" s="4" t="n">
        <v>6600</v>
      </c>
      <c r="F971" s="4" t="inlineStr">
        <is>
          <t>GOC Bed Unit-Costing Model v2 — working original.xlsx</t>
        </is>
      </c>
    </row>
    <row r="972" ht="40" customHeight="1">
      <c r="A972" s="4" t="inlineStr">
        <is>
          <t>original:Known Other Costs!E13</t>
        </is>
      </c>
      <c r="B972" s="4" t="inlineStr">
        <is>
          <t>Known Other Costs</t>
        </is>
      </c>
      <c r="C972" s="4" t="inlineStr">
        <is>
          <t>E13</t>
        </is>
      </c>
      <c r="D972" s="4" t="inlineStr">
        <is>
          <t>AUD inc GST</t>
        </is>
      </c>
      <c r="E972" s="4" t="inlineStr">
        <is>
          <t>AUD inc GST</t>
        </is>
      </c>
      <c r="F972" s="4" t="inlineStr">
        <is>
          <t>GOC Bed Unit-Costing Model v2 — working original.xlsx</t>
        </is>
      </c>
    </row>
    <row r="973" ht="40" customHeight="1">
      <c r="A973" s="4" t="inlineStr">
        <is>
          <t>original:Known Other Costs!F13</t>
        </is>
      </c>
      <c r="B973" s="4" t="inlineStr">
        <is>
          <t>Known Other Costs</t>
        </is>
      </c>
      <c r="C973" s="4" t="inlineStr">
        <is>
          <t>F13</t>
        </is>
      </c>
      <c r="D973" s="4" t="inlineStr">
        <is>
          <t>evidenced, ambiguous</t>
        </is>
      </c>
      <c r="E973" s="4" t="inlineStr">
        <is>
          <t>evidenced, ambiguous</t>
        </is>
      </c>
      <c r="F973" s="4" t="inlineStr">
        <is>
          <t>GOC Bed Unit-Costing Model v2 — working original.xlsx</t>
        </is>
      </c>
    </row>
    <row r="974" ht="40" customHeight="1">
      <c r="A974" s="4" t="inlineStr">
        <is>
          <t>original:Known Other Costs!G13</t>
        </is>
      </c>
      <c r="B974" s="4" t="inlineStr">
        <is>
          <t>Known Other Costs</t>
        </is>
      </c>
      <c r="C974" s="4" t="inlineStr">
        <is>
          <t>G13</t>
        </is>
      </c>
      <c r="D974" s="4" t="inlineStr">
        <is>
          <t>Orange Sky Australia, Xero, 2025-05-22</t>
        </is>
      </c>
      <c r="E974" s="4" t="inlineStr">
        <is>
          <t>Orange Sky Australia, Xero, 2025-05-22</t>
        </is>
      </c>
      <c r="F974" s="4" t="inlineStr">
        <is>
          <t>GOC Bed Unit-Costing Model v2 — working original.xlsx</t>
        </is>
      </c>
    </row>
    <row r="975" ht="45" customHeight="1">
      <c r="A975" s="4" t="inlineStr">
        <is>
          <t>original:Known Other Costs!H13</t>
        </is>
      </c>
      <c r="B975" s="4" t="inlineStr">
        <is>
          <t>Known Other Costs</t>
        </is>
      </c>
      <c r="C975" s="4" t="inlineStr">
        <is>
          <t>H13</t>
        </is>
      </c>
      <c r="D975" s="4" t="inlineStr">
        <is>
          <t>No project tag. EXCLUDED from opening PP&amp;E pending confirmation (Q4).</t>
        </is>
      </c>
      <c r="E975" s="4" t="inlineStr">
        <is>
          <t>No project tag. EXCLUDED from opening PP&amp;E pending confirmation (Q4).</t>
        </is>
      </c>
      <c r="F975" s="4" t="inlineStr">
        <is>
          <t>GOC Bed Unit-Costing Model v2 — working original.xlsx</t>
        </is>
      </c>
    </row>
    <row r="976" ht="40" customHeight="1">
      <c r="A976" s="4" t="inlineStr">
        <is>
          <t>original:Known Other Costs!A14</t>
        </is>
      </c>
      <c r="B976" s="4" t="inlineStr">
        <is>
          <t>Known Other Costs</t>
        </is>
      </c>
      <c r="C976" s="4" t="inlineStr">
        <is>
          <t>A14</t>
        </is>
      </c>
      <c r="D976" s="4" t="inlineStr">
        <is>
          <t>Larger container</t>
        </is>
      </c>
      <c r="E976" s="4" t="inlineStr">
        <is>
          <t>Larger container</t>
        </is>
      </c>
      <c r="F976" s="4" t="inlineStr">
        <is>
          <t>GOC Bed Unit-Costing Model v2 — working original.xlsx</t>
        </is>
      </c>
    </row>
    <row r="977" ht="40" customHeight="1">
      <c r="A977" s="4" t="inlineStr">
        <is>
          <t>original:Known Other Costs!D14</t>
        </is>
      </c>
      <c r="B977" s="4" t="inlineStr">
        <is>
          <t>Known Other Costs</t>
        </is>
      </c>
      <c r="C977" s="4" t="inlineStr">
        <is>
          <t>D14</t>
        </is>
      </c>
      <c r="D977" s="4" t="n">
        <v>5904</v>
      </c>
      <c r="E977" s="4" t="n">
        <v>5904</v>
      </c>
      <c r="F977" s="4" t="inlineStr">
        <is>
          <t>GOC Bed Unit-Costing Model v2 — working original.xlsx</t>
        </is>
      </c>
    </row>
    <row r="978" ht="40" customHeight="1">
      <c r="A978" s="4" t="inlineStr">
        <is>
          <t>original:Known Other Costs!E14</t>
        </is>
      </c>
      <c r="B978" s="4" t="inlineStr">
        <is>
          <t>Known Other Costs</t>
        </is>
      </c>
      <c r="C978" s="4" t="inlineStr">
        <is>
          <t>E14</t>
        </is>
      </c>
      <c r="D978" s="4" t="inlineStr">
        <is>
          <t>AUD inc GST</t>
        </is>
      </c>
      <c r="E978" s="4" t="inlineStr">
        <is>
          <t>AUD inc GST</t>
        </is>
      </c>
      <c r="F978" s="4" t="inlineStr">
        <is>
          <t>GOC Bed Unit-Costing Model v2 — working original.xlsx</t>
        </is>
      </c>
    </row>
    <row r="979" ht="40" customHeight="1">
      <c r="A979" s="4" t="inlineStr">
        <is>
          <t>original:Known Other Costs!F14</t>
        </is>
      </c>
      <c r="B979" s="4" t="inlineStr">
        <is>
          <t>Known Other Costs</t>
        </is>
      </c>
      <c r="C979" s="4" t="inlineStr">
        <is>
          <t>F14</t>
        </is>
      </c>
      <c r="D979" s="4" t="inlineStr">
        <is>
          <t>evidenced, flagged</t>
        </is>
      </c>
      <c r="E979" s="4" t="inlineStr">
        <is>
          <t>evidenced, flagged</t>
        </is>
      </c>
      <c r="F979" s="4" t="inlineStr">
        <is>
          <t>GOC Bed Unit-Costing Model v2 — working original.xlsx</t>
        </is>
      </c>
    </row>
    <row r="980" ht="40" customHeight="1">
      <c r="A980" s="4" t="inlineStr">
        <is>
          <t>original:Known Other Costs!G14</t>
        </is>
      </c>
      <c r="B980" s="4" t="inlineStr">
        <is>
          <t>Known Other Costs</t>
        </is>
      </c>
      <c r="C980" s="4" t="inlineStr">
        <is>
          <t>G14</t>
        </is>
      </c>
      <c r="D980" s="4" t="inlineStr">
        <is>
          <t>Container Options, Xero, 2025-12-09</t>
        </is>
      </c>
      <c r="E980" s="4" t="inlineStr">
        <is>
          <t>Container Options, Xero, 2025-12-09</t>
        </is>
      </c>
      <c r="F980" s="4" t="inlineStr">
        <is>
          <t>GOC Bed Unit-Costing Model v2 — working original.xlsx</t>
        </is>
      </c>
    </row>
    <row r="981" ht="60" customHeight="1">
      <c r="A981" s="4" t="inlineStr">
        <is>
          <t>original:Known Other Costs!H14</t>
        </is>
      </c>
      <c r="B981" s="4" t="inlineStr">
        <is>
          <t>Known Other Costs</t>
        </is>
      </c>
      <c r="C981" s="4" t="inlineStr">
        <is>
          <t>H14</t>
        </is>
      </c>
      <c r="D981" s="4" t="inlineStr">
        <is>
          <t>Tagged Mounty Yarns and flagged as on-sold. EXCLUDED until ownership is confirmed (Q4).</t>
        </is>
      </c>
      <c r="E981" s="4" t="inlineStr">
        <is>
          <t>Tagged Mounty Yarns and flagged as on-sold. EXCLUDED until ownership is confirmed (Q4).</t>
        </is>
      </c>
      <c r="F981" s="4" t="inlineStr">
        <is>
          <t>GOC Bed Unit-Costing Model v2 — working original.xlsx</t>
        </is>
      </c>
    </row>
    <row r="982" ht="40" customHeight="1">
      <c r="A982" s="4" t="inlineStr">
        <is>
          <t>original:Known Other Costs!A15</t>
        </is>
      </c>
      <c r="B982" s="4" t="inlineStr">
        <is>
          <t>Known Other Costs</t>
        </is>
      </c>
      <c r="C982" s="4" t="inlineStr">
        <is>
          <t>A15</t>
        </is>
      </c>
      <c r="D982" s="4" t="inlineStr">
        <is>
          <t>Shredder, Telford Smith</t>
        </is>
      </c>
      <c r="E982" s="4" t="inlineStr">
        <is>
          <t>Shredder, Telford Smith</t>
        </is>
      </c>
      <c r="F982" s="4" t="inlineStr">
        <is>
          <t>GOC Bed Unit-Costing Model v2 — working original.xlsx</t>
        </is>
      </c>
    </row>
    <row r="983" ht="40" customHeight="1">
      <c r="A983" s="4" t="inlineStr">
        <is>
          <t>original:Known Other Costs!D15</t>
        </is>
      </c>
      <c r="B983" s="4" t="inlineStr">
        <is>
          <t>Known Other Costs</t>
        </is>
      </c>
      <c r="C983" s="4" t="inlineStr">
        <is>
          <t>D15</t>
        </is>
      </c>
      <c r="D983" s="4" t="n">
        <v>19800</v>
      </c>
      <c r="E983" s="4" t="n">
        <v>19800</v>
      </c>
      <c r="F983" s="4" t="inlineStr">
        <is>
          <t>GOC Bed Unit-Costing Model v2 — working original.xlsx</t>
        </is>
      </c>
    </row>
    <row r="984" ht="40" customHeight="1">
      <c r="A984" s="4" t="inlineStr">
        <is>
          <t>original:Known Other Costs!E15</t>
        </is>
      </c>
      <c r="B984" s="4" t="inlineStr">
        <is>
          <t>Known Other Costs</t>
        </is>
      </c>
      <c r="C984" s="4" t="inlineStr">
        <is>
          <t>E15</t>
        </is>
      </c>
      <c r="D984" s="4" t="inlineStr">
        <is>
          <t>AUD</t>
        </is>
      </c>
      <c r="E984" s="4" t="inlineStr">
        <is>
          <t>AUD</t>
        </is>
      </c>
      <c r="F984" s="4" t="inlineStr">
        <is>
          <t>GOC Bed Unit-Costing Model v2 — working original.xlsx</t>
        </is>
      </c>
    </row>
    <row r="985" ht="40" customHeight="1">
      <c r="A985" s="4" t="inlineStr">
        <is>
          <t>original:Known Other Costs!F15</t>
        </is>
      </c>
      <c r="B985" s="4" t="inlineStr">
        <is>
          <t>Known Other Costs</t>
        </is>
      </c>
      <c r="C985" s="4" t="inlineStr">
        <is>
          <t>F15</t>
        </is>
      </c>
      <c r="D985" s="4" t="inlineStr">
        <is>
          <t>physical only</t>
        </is>
      </c>
      <c r="E985" s="4" t="inlineStr">
        <is>
          <t>physical only</t>
        </is>
      </c>
      <c r="F985" s="4" t="inlineStr">
        <is>
          <t>GOC Bed Unit-Costing Model v2 — working original.xlsx</t>
        </is>
      </c>
    </row>
    <row r="986" ht="40" customHeight="1">
      <c r="A986" s="4" t="inlineStr">
        <is>
          <t>original:Known Other Costs!G15</t>
        </is>
      </c>
      <c r="B986" s="4" t="inlineStr">
        <is>
          <t>Known Other Costs</t>
        </is>
      </c>
      <c r="C986" s="4" t="inlineStr">
        <is>
          <t>G15</t>
        </is>
      </c>
      <c r="D986" s="4" t="inlineStr">
        <is>
          <t>Ben confirmation; no record in connected Xero</t>
        </is>
      </c>
      <c r="E986" s="4" t="inlineStr">
        <is>
          <t>Ben confirmation; no record in connected Xero</t>
        </is>
      </c>
      <c r="F986" s="4" t="inlineStr">
        <is>
          <t>GOC Bed Unit-Costing Model v2 — working original.xlsx</t>
        </is>
      </c>
    </row>
    <row r="987" ht="45" customHeight="1">
      <c r="A987" s="4" t="inlineStr">
        <is>
          <t>original:Known Other Costs!H15</t>
        </is>
      </c>
      <c r="B987" s="4" t="inlineStr">
        <is>
          <t>Known Other Costs</t>
        </is>
      </c>
      <c r="C987" s="4" t="inlineStr">
        <is>
          <t>H15</t>
        </is>
      </c>
      <c r="D987" s="4" t="inlineStr">
        <is>
          <t>Owned, invoice to locate. INCLUDED at $19,800 with that note (Q4).</t>
        </is>
      </c>
      <c r="E987" s="4" t="inlineStr">
        <is>
          <t>Owned, invoice to locate. INCLUDED at $19,800 with that note (Q4).</t>
        </is>
      </c>
      <c r="F987" s="4" t="inlineStr">
        <is>
          <t>GOC Bed Unit-Costing Model v2 — working original.xlsx</t>
        </is>
      </c>
    </row>
    <row r="988" ht="40" customHeight="1">
      <c r="A988" s="4" t="inlineStr">
        <is>
          <t>original:Known Other Costs!A16</t>
        </is>
      </c>
      <c r="B988" s="4" t="inlineStr">
        <is>
          <t>Known Other Costs</t>
        </is>
      </c>
      <c r="C988" s="4" t="inlineStr">
        <is>
          <t>A16</t>
        </is>
      </c>
      <c r="D988" s="4" t="inlineStr">
        <is>
          <t>Bigger CNC router</t>
        </is>
      </c>
      <c r="E988" s="4" t="inlineStr">
        <is>
          <t>Bigger CNC router</t>
        </is>
      </c>
      <c r="F988" s="4" t="inlineStr">
        <is>
          <t>GOC Bed Unit-Costing Model v2 — working original.xlsx</t>
        </is>
      </c>
    </row>
    <row r="989" ht="40" customHeight="1">
      <c r="A989" s="4" t="inlineStr">
        <is>
          <t>original:Known Other Costs!D16</t>
        </is>
      </c>
      <c r="B989" s="4" t="inlineStr">
        <is>
          <t>Known Other Costs</t>
        </is>
      </c>
      <c r="C989" s="4" t="inlineStr">
        <is>
          <t>D16</t>
        </is>
      </c>
      <c r="D989" s="4" t="n">
        <v>6000</v>
      </c>
      <c r="E989" s="4" t="n">
        <v>6000</v>
      </c>
      <c r="F989" s="4" t="inlineStr">
        <is>
          <t>GOC Bed Unit-Costing Model v2 — working original.xlsx</t>
        </is>
      </c>
    </row>
    <row r="990" ht="40" customHeight="1">
      <c r="A990" s="4" t="inlineStr">
        <is>
          <t>original:Known Other Costs!E16</t>
        </is>
      </c>
      <c r="B990" s="4" t="inlineStr">
        <is>
          <t>Known Other Costs</t>
        </is>
      </c>
      <c r="C990" s="4" t="inlineStr">
        <is>
          <t>E16</t>
        </is>
      </c>
      <c r="D990" s="4" t="inlineStr">
        <is>
          <t>AUD</t>
        </is>
      </c>
      <c r="E990" s="4" t="inlineStr">
        <is>
          <t>AUD</t>
        </is>
      </c>
      <c r="F990" s="4" t="inlineStr">
        <is>
          <t>GOC Bed Unit-Costing Model v2 — working original.xlsx</t>
        </is>
      </c>
    </row>
    <row r="991" ht="40" customHeight="1">
      <c r="A991" s="4" t="inlineStr">
        <is>
          <t>original:Known Other Costs!F16</t>
        </is>
      </c>
      <c r="B991" s="4" t="inlineStr">
        <is>
          <t>Known Other Costs</t>
        </is>
      </c>
      <c r="C991" s="4" t="inlineStr">
        <is>
          <t>F16</t>
        </is>
      </c>
      <c r="D991" s="4" t="inlineStr">
        <is>
          <t>open</t>
        </is>
      </c>
      <c r="E991" s="4" t="inlineStr">
        <is>
          <t>open</t>
        </is>
      </c>
      <c r="F991" s="4" t="inlineStr">
        <is>
          <t>GOC Bed Unit-Costing Model v2 — working original.xlsx</t>
        </is>
      </c>
    </row>
    <row r="992" ht="40" customHeight="1">
      <c r="A992" s="4" t="inlineStr">
        <is>
          <t>original:Known Other Costs!G16</t>
        </is>
      </c>
      <c r="B992" s="4" t="inlineStr">
        <is>
          <t>Known Other Costs</t>
        </is>
      </c>
      <c r="C992" s="4" t="inlineStr">
        <is>
          <t>G16</t>
        </is>
      </c>
      <c r="D992" s="4" t="inlineStr">
        <is>
          <t>MVF section 4b</t>
        </is>
      </c>
      <c r="E992" s="4" t="inlineStr">
        <is>
          <t>MVF section 4b</t>
        </is>
      </c>
      <c r="F992" s="4" t="inlineStr">
        <is>
          <t>GOC Bed Unit-Costing Model v2 — working original.xlsx</t>
        </is>
      </c>
    </row>
    <row r="993" ht="120" customHeight="1">
      <c r="A993" s="4" t="inlineStr">
        <is>
          <t>original:Known Other Costs!H16</t>
        </is>
      </c>
      <c r="B993" s="4" t="inlineStr">
        <is>
          <t>Known Other Costs</t>
        </is>
      </c>
      <c r="C993" s="4" t="inlineStr">
        <is>
          <t>H16</t>
        </is>
      </c>
      <c r="D993" s="4" t="inlineStr">
        <is>
          <t>Recently purchased. About $5,135 installation booked separately. EXCLUDED from opening PP&amp;E until the invoice and purchasing entity are found (Q3). Do not plug a number.</t>
        </is>
      </c>
      <c r="E993" s="4" t="inlineStr">
        <is>
          <t>Recently purchased. About $5,135 installation booked separately. EXCLUDED from opening PP&amp;E until the invoice and purchasing entity are found (Q3). Do not plug a number.</t>
        </is>
      </c>
      <c r="F993" s="4" t="inlineStr">
        <is>
          <t>GOC Bed Unit-Costing Model v2 — working original.xlsx</t>
        </is>
      </c>
    </row>
    <row r="994" ht="45" customHeight="1">
      <c r="A994" s="4" t="inlineStr">
        <is>
          <t>original:Known Other Costs!A18</t>
        </is>
      </c>
      <c r="B994" s="4" t="inlineStr">
        <is>
          <t>Known Other Costs</t>
        </is>
      </c>
      <c r="C994" s="4" t="inlineStr">
        <is>
          <t>A18</t>
        </is>
      </c>
      <c r="D994" s="4" t="inlineStr">
        <is>
          <t>2. NEW-SITE REPLICATION: MIXED EVIDENCE AND ESTIMATES</t>
        </is>
      </c>
      <c r="E994" s="4" t="inlineStr">
        <is>
          <t>2. NEW-SITE REPLICATION: MIXED EVIDENCE AND ESTIMATES</t>
        </is>
      </c>
      <c r="F994" s="4" t="inlineStr">
        <is>
          <t>GOC Bed Unit-Costing Model v2 — working original.xlsx</t>
        </is>
      </c>
    </row>
    <row r="995" ht="40" customHeight="1">
      <c r="A995" s="4" t="inlineStr">
        <is>
          <t>original:Known Other Costs!A19</t>
        </is>
      </c>
      <c r="B995" s="4" t="inlineStr">
        <is>
          <t>Known Other Costs</t>
        </is>
      </c>
      <c r="C995" s="4" t="inlineStr">
        <is>
          <t>A19</t>
        </is>
      </c>
      <c r="D995" s="4" t="inlineStr">
        <is>
          <t>Cost item</t>
        </is>
      </c>
      <c r="E995" s="4" t="inlineStr">
        <is>
          <t>Cost item</t>
        </is>
      </c>
      <c r="F995" s="4" t="inlineStr">
        <is>
          <t>GOC Bed Unit-Costing Model v2 — working original.xlsx</t>
        </is>
      </c>
    </row>
    <row r="996" ht="40" customHeight="1">
      <c r="A996" s="4" t="inlineStr">
        <is>
          <t>original:Known Other Costs!B19</t>
        </is>
      </c>
      <c r="B996" s="4" t="inlineStr">
        <is>
          <t>Known Other Costs</t>
        </is>
      </c>
      <c r="C996" s="4" t="inlineStr">
        <is>
          <t>B19</t>
        </is>
      </c>
      <c r="D996" s="4" t="inlineStr">
        <is>
          <t>Low</t>
        </is>
      </c>
      <c r="E996" s="4" t="inlineStr">
        <is>
          <t>Low</t>
        </is>
      </c>
      <c r="F996" s="4" t="inlineStr">
        <is>
          <t>GOC Bed Unit-Costing Model v2 — working original.xlsx</t>
        </is>
      </c>
    </row>
    <row r="997" ht="40" customHeight="1">
      <c r="A997" s="4" t="inlineStr">
        <is>
          <t>original:Known Other Costs!C19</t>
        </is>
      </c>
      <c r="B997" s="4" t="inlineStr">
        <is>
          <t>Known Other Costs</t>
        </is>
      </c>
      <c r="C997" s="4" t="inlineStr">
        <is>
          <t>C19</t>
        </is>
      </c>
      <c r="D997" s="4" t="inlineStr">
        <is>
          <t>High</t>
        </is>
      </c>
      <c r="E997" s="4" t="inlineStr">
        <is>
          <t>High</t>
        </is>
      </c>
      <c r="F997" s="4" t="inlineStr">
        <is>
          <t>GOC Bed Unit-Costing Model v2 — working original.xlsx</t>
        </is>
      </c>
    </row>
    <row r="998" ht="40" customHeight="1">
      <c r="A998" s="4" t="inlineStr">
        <is>
          <t>original:Known Other Costs!D19</t>
        </is>
      </c>
      <c r="B998" s="4" t="inlineStr">
        <is>
          <t>Known Other Costs</t>
        </is>
      </c>
      <c r="C998" s="4" t="inlineStr">
        <is>
          <t>D19</t>
        </is>
      </c>
      <c r="D998" s="4" t="inlineStr">
        <is>
          <t>Selected/current</t>
        </is>
      </c>
      <c r="E998" s="4" t="inlineStr">
        <is>
          <t>Selected/current</t>
        </is>
      </c>
      <c r="F998" s="4" t="inlineStr">
        <is>
          <t>GOC Bed Unit-Costing Model v2 — working original.xlsx</t>
        </is>
      </c>
    </row>
    <row r="999" ht="40" customHeight="1">
      <c r="A999" s="4" t="inlineStr">
        <is>
          <t>original:Known Other Costs!E19</t>
        </is>
      </c>
      <c r="B999" s="4" t="inlineStr">
        <is>
          <t>Known Other Costs</t>
        </is>
      </c>
      <c r="C999" s="4" t="inlineStr">
        <is>
          <t>E19</t>
        </is>
      </c>
      <c r="D999" s="4" t="inlineStr">
        <is>
          <t>Unit</t>
        </is>
      </c>
      <c r="E999" s="4" t="inlineStr">
        <is>
          <t>Unit</t>
        </is>
      </c>
      <c r="F999" s="4" t="inlineStr">
        <is>
          <t>GOC Bed Unit-Costing Model v2 — working original.xlsx</t>
        </is>
      </c>
    </row>
    <row r="1000" ht="40" customHeight="1">
      <c r="A1000" s="4" t="inlineStr">
        <is>
          <t>original:Known Other Costs!F19</t>
        </is>
      </c>
      <c r="B1000" s="4" t="inlineStr">
        <is>
          <t>Known Other Costs</t>
        </is>
      </c>
      <c r="C1000" s="4" t="inlineStr">
        <is>
          <t>F19</t>
        </is>
      </c>
      <c r="D1000" s="4" t="inlineStr">
        <is>
          <t>Status</t>
        </is>
      </c>
      <c r="E1000" s="4" t="inlineStr">
        <is>
          <t>Status</t>
        </is>
      </c>
      <c r="F1000" s="4" t="inlineStr">
        <is>
          <t>GOC Bed Unit-Costing Model v2 — working original.xlsx</t>
        </is>
      </c>
    </row>
    <row r="1001" ht="40" customHeight="1">
      <c r="A1001" s="4" t="inlineStr">
        <is>
          <t>original:Known Other Costs!G19</t>
        </is>
      </c>
      <c r="B1001" s="4" t="inlineStr">
        <is>
          <t>Known Other Costs</t>
        </is>
      </c>
      <c r="C1001" s="4" t="inlineStr">
        <is>
          <t>G19</t>
        </is>
      </c>
      <c r="D1001" s="4" t="inlineStr">
        <is>
          <t>Source</t>
        </is>
      </c>
      <c r="E1001" s="4" t="inlineStr">
        <is>
          <t>Source</t>
        </is>
      </c>
      <c r="F1001" s="4" t="inlineStr">
        <is>
          <t>GOC Bed Unit-Costing Model v2 — working original.xlsx</t>
        </is>
      </c>
    </row>
    <row r="1002" ht="40" customHeight="1">
      <c r="A1002" s="4" t="inlineStr">
        <is>
          <t>original:Known Other Costs!H19</t>
        </is>
      </c>
      <c r="B1002" s="4" t="inlineStr">
        <is>
          <t>Known Other Costs</t>
        </is>
      </c>
      <c r="C1002" s="4" t="inlineStr">
        <is>
          <t>H19</t>
        </is>
      </c>
      <c r="D1002" s="4" t="inlineStr">
        <is>
          <t>Notes</t>
        </is>
      </c>
      <c r="E1002" s="4" t="inlineStr">
        <is>
          <t>Notes</t>
        </is>
      </c>
      <c r="F1002" s="4" t="inlineStr">
        <is>
          <t>GOC Bed Unit-Costing Model v2 — working original.xlsx</t>
        </is>
      </c>
    </row>
    <row r="1003" ht="40" customHeight="1">
      <c r="A1003" s="4" t="inlineStr">
        <is>
          <t>original:Known Other Costs!A20</t>
        </is>
      </c>
      <c r="B1003" s="4" t="inlineStr">
        <is>
          <t>Known Other Costs</t>
        </is>
      </c>
      <c r="C1003" s="4" t="inlineStr">
        <is>
          <t>A20</t>
        </is>
      </c>
      <c r="D1003" s="4" t="inlineStr">
        <is>
          <t>40ft shipping container</t>
        </is>
      </c>
      <c r="E1003" s="4" t="inlineStr">
        <is>
          <t>40ft shipping container</t>
        </is>
      </c>
      <c r="F1003" s="4" t="inlineStr">
        <is>
          <t>GOC Bed Unit-Costing Model v2 — working original.xlsx</t>
        </is>
      </c>
    </row>
    <row r="1004" ht="40" customHeight="1">
      <c r="A1004" s="4" t="inlineStr">
        <is>
          <t>original:Known Other Costs!B20</t>
        </is>
      </c>
      <c r="B1004" s="4" t="inlineStr">
        <is>
          <t>Known Other Costs</t>
        </is>
      </c>
      <c r="C1004" s="4" t="inlineStr">
        <is>
          <t>B20</t>
        </is>
      </c>
      <c r="D1004" s="4" t="n">
        <v>13000</v>
      </c>
      <c r="E1004" s="4" t="n">
        <v>13000</v>
      </c>
      <c r="F1004" s="4" t="inlineStr">
        <is>
          <t>GOC Bed Unit-Costing Model v2 — working original.xlsx</t>
        </is>
      </c>
    </row>
    <row r="1005" ht="40" customHeight="1">
      <c r="A1005" s="4" t="inlineStr">
        <is>
          <t>original:Known Other Costs!C20</t>
        </is>
      </c>
      <c r="B1005" s="4" t="inlineStr">
        <is>
          <t>Known Other Costs</t>
        </is>
      </c>
      <c r="C1005" s="4" t="inlineStr">
        <is>
          <t>C20</t>
        </is>
      </c>
      <c r="D1005" s="4" t="n">
        <v>16000</v>
      </c>
      <c r="E1005" s="4" t="n">
        <v>16000</v>
      </c>
      <c r="F1005" s="4" t="inlineStr">
        <is>
          <t>GOC Bed Unit-Costing Model v2 — working original.xlsx</t>
        </is>
      </c>
    </row>
    <row r="1006" ht="40" customHeight="1">
      <c r="A1006" s="4" t="inlineStr">
        <is>
          <t>original:Known Other Costs!D20</t>
        </is>
      </c>
      <c r="B1006" s="4" t="inlineStr">
        <is>
          <t>Known Other Costs</t>
        </is>
      </c>
      <c r="C1006" s="4" t="inlineStr">
        <is>
          <t>D20</t>
        </is>
      </c>
      <c r="D1006" s="4" t="n">
        <v>14500</v>
      </c>
      <c r="E1006" s="4" t="n">
        <v>14500</v>
      </c>
      <c r="F1006" s="4" t="inlineStr">
        <is>
          <t>GOC Bed Unit-Costing Model v2 — working original.xlsx</t>
        </is>
      </c>
    </row>
    <row r="1007" ht="40" customHeight="1">
      <c r="A1007" s="4" t="inlineStr">
        <is>
          <t>original:Known Other Costs!E20</t>
        </is>
      </c>
      <c r="B1007" s="4" t="inlineStr">
        <is>
          <t>Known Other Costs</t>
        </is>
      </c>
      <c r="C1007" s="4" t="inlineStr">
        <is>
          <t>E20</t>
        </is>
      </c>
      <c r="D1007" s="4" t="inlineStr">
        <is>
          <t>AUD</t>
        </is>
      </c>
      <c r="E1007" s="4" t="inlineStr">
        <is>
          <t>AUD</t>
        </is>
      </c>
      <c r="F1007" s="4" t="inlineStr">
        <is>
          <t>GOC Bed Unit-Costing Model v2 — working original.xlsx</t>
        </is>
      </c>
    </row>
    <row r="1008" ht="40" customHeight="1">
      <c r="A1008" s="4" t="inlineStr">
        <is>
          <t>original:Known Other Costs!F20</t>
        </is>
      </c>
      <c r="B1008" s="4" t="inlineStr">
        <is>
          <t>Known Other Costs</t>
        </is>
      </c>
      <c r="C1008" s="4" t="inlineStr">
        <is>
          <t>F20</t>
        </is>
      </c>
      <c r="D1008" s="4" t="inlineStr">
        <is>
          <t>modelled</t>
        </is>
      </c>
      <c r="E1008" s="4" t="inlineStr">
        <is>
          <t>modelled</t>
        </is>
      </c>
      <c r="F1008" s="4" t="inlineStr">
        <is>
          <t>GOC Bed Unit-Costing Model v2 — working original.xlsx</t>
        </is>
      </c>
    </row>
    <row r="1009" ht="40" customHeight="1">
      <c r="A1009" s="4" t="inlineStr">
        <is>
          <t>original:Known Other Costs!G20</t>
        </is>
      </c>
      <c r="B1009" s="4" t="inlineStr">
        <is>
          <t>Known Other Costs</t>
        </is>
      </c>
      <c r="C1009" s="4" t="inlineStr">
        <is>
          <t>G20</t>
        </is>
      </c>
      <c r="D1009" s="4" t="inlineStr">
        <is>
          <t>Ben / MVF replication model</t>
        </is>
      </c>
      <c r="E1009" s="4" t="inlineStr">
        <is>
          <t>Ben / MVF replication model</t>
        </is>
      </c>
      <c r="F1009" s="4" t="inlineStr">
        <is>
          <t>GOC Bed Unit-Costing Model v2 — working original.xlsx</t>
        </is>
      </c>
    </row>
    <row r="1010" ht="40" customHeight="1">
      <c r="A1010" s="4" t="inlineStr">
        <is>
          <t>original:Known Other Costs!H20</t>
        </is>
      </c>
      <c r="B1010" s="4" t="inlineStr">
        <is>
          <t>Known Other Costs</t>
        </is>
      </c>
      <c r="C1010" s="4" t="inlineStr">
        <is>
          <t>H20</t>
        </is>
      </c>
      <c r="D1010" s="4" t="inlineStr">
        <is>
          <t>Market-rate fresh-site range.</t>
        </is>
      </c>
      <c r="E1010" s="4" t="inlineStr">
        <is>
          <t>Market-rate fresh-site range.</t>
        </is>
      </c>
      <c r="F1010" s="4" t="inlineStr">
        <is>
          <t>GOC Bed Unit-Costing Model v2 — working original.xlsx</t>
        </is>
      </c>
    </row>
    <row r="1011" ht="40" customHeight="1">
      <c r="A1011" s="4" t="inlineStr">
        <is>
          <t>original:Known Other Costs!A21</t>
        </is>
      </c>
      <c r="B1011" s="4" t="inlineStr">
        <is>
          <t>Known Other Costs</t>
        </is>
      </c>
      <c r="C1011" s="4" t="inlineStr">
        <is>
          <t>A21</t>
        </is>
      </c>
      <c r="D1011" s="4" t="inlineStr">
        <is>
          <t>20ft shipping container</t>
        </is>
      </c>
      <c r="E1011" s="4" t="inlineStr">
        <is>
          <t>20ft shipping container</t>
        </is>
      </c>
      <c r="F1011" s="4" t="inlineStr">
        <is>
          <t>GOC Bed Unit-Costing Model v2 — working original.xlsx</t>
        </is>
      </c>
    </row>
    <row r="1012" ht="40" customHeight="1">
      <c r="A1012" s="4" t="inlineStr">
        <is>
          <t>original:Known Other Costs!B21</t>
        </is>
      </c>
      <c r="B1012" s="4" t="inlineStr">
        <is>
          <t>Known Other Costs</t>
        </is>
      </c>
      <c r="C1012" s="4" t="inlineStr">
        <is>
          <t>B21</t>
        </is>
      </c>
      <c r="D1012" s="4" t="n">
        <v>6000</v>
      </c>
      <c r="E1012" s="4" t="n">
        <v>6000</v>
      </c>
      <c r="F1012" s="4" t="inlineStr">
        <is>
          <t>GOC Bed Unit-Costing Model v2 — working original.xlsx</t>
        </is>
      </c>
    </row>
    <row r="1013" ht="40" customHeight="1">
      <c r="A1013" s="4" t="inlineStr">
        <is>
          <t>original:Known Other Costs!C21</t>
        </is>
      </c>
      <c r="B1013" s="4" t="inlineStr">
        <is>
          <t>Known Other Costs</t>
        </is>
      </c>
      <c r="C1013" s="4" t="inlineStr">
        <is>
          <t>C21</t>
        </is>
      </c>
      <c r="D1013" s="4" t="n">
        <v>10000</v>
      </c>
      <c r="E1013" s="4" t="n">
        <v>10000</v>
      </c>
      <c r="F1013" s="4" t="inlineStr">
        <is>
          <t>GOC Bed Unit-Costing Model v2 — working original.xlsx</t>
        </is>
      </c>
    </row>
    <row r="1014" ht="40" customHeight="1">
      <c r="A1014" s="4" t="inlineStr">
        <is>
          <t>original:Known Other Costs!D21</t>
        </is>
      </c>
      <c r="B1014" s="4" t="inlineStr">
        <is>
          <t>Known Other Costs</t>
        </is>
      </c>
      <c r="C1014" s="4" t="inlineStr">
        <is>
          <t>D21</t>
        </is>
      </c>
      <c r="D1014" s="4" t="n">
        <v>8000</v>
      </c>
      <c r="E1014" s="4" t="n">
        <v>8000</v>
      </c>
      <c r="F1014" s="4" t="inlineStr">
        <is>
          <t>GOC Bed Unit-Costing Model v2 — working original.xlsx</t>
        </is>
      </c>
    </row>
    <row r="1015" ht="40" customHeight="1">
      <c r="A1015" s="4" t="inlineStr">
        <is>
          <t>original:Known Other Costs!E21</t>
        </is>
      </c>
      <c r="B1015" s="4" t="inlineStr">
        <is>
          <t>Known Other Costs</t>
        </is>
      </c>
      <c r="C1015" s="4" t="inlineStr">
        <is>
          <t>E21</t>
        </is>
      </c>
      <c r="D1015" s="4" t="inlineStr">
        <is>
          <t>AUD</t>
        </is>
      </c>
      <c r="E1015" s="4" t="inlineStr">
        <is>
          <t>AUD</t>
        </is>
      </c>
      <c r="F1015" s="4" t="inlineStr">
        <is>
          <t>GOC Bed Unit-Costing Model v2 — working original.xlsx</t>
        </is>
      </c>
    </row>
    <row r="1016" ht="40" customHeight="1">
      <c r="A1016" s="4" t="inlineStr">
        <is>
          <t>original:Known Other Costs!F21</t>
        </is>
      </c>
      <c r="B1016" s="4" t="inlineStr">
        <is>
          <t>Known Other Costs</t>
        </is>
      </c>
      <c r="C1016" s="4" t="inlineStr">
        <is>
          <t>F21</t>
        </is>
      </c>
      <c r="D1016" s="4" t="inlineStr">
        <is>
          <t>modelled</t>
        </is>
      </c>
      <c r="E1016" s="4" t="inlineStr">
        <is>
          <t>modelled</t>
        </is>
      </c>
      <c r="F1016" s="4" t="inlineStr">
        <is>
          <t>GOC Bed Unit-Costing Model v2 — working original.xlsx</t>
        </is>
      </c>
    </row>
    <row r="1017" ht="40" customHeight="1">
      <c r="A1017" s="4" t="inlineStr">
        <is>
          <t>original:Known Other Costs!G21</t>
        </is>
      </c>
      <c r="B1017" s="4" t="inlineStr">
        <is>
          <t>Known Other Costs</t>
        </is>
      </c>
      <c r="C1017" s="4" t="inlineStr">
        <is>
          <t>G21</t>
        </is>
      </c>
      <c r="D1017" s="4" t="inlineStr">
        <is>
          <t>Ben / MVF replication model</t>
        </is>
      </c>
      <c r="E1017" s="4" t="inlineStr">
        <is>
          <t>Ben / MVF replication model</t>
        </is>
      </c>
      <c r="F1017" s="4" t="inlineStr">
        <is>
          <t>GOC Bed Unit-Costing Model v2 — working original.xlsx</t>
        </is>
      </c>
    </row>
    <row r="1018" ht="40" customHeight="1">
      <c r="A1018" s="4" t="inlineStr">
        <is>
          <t>original:Known Other Costs!H21</t>
        </is>
      </c>
      <c r="B1018" s="4" t="inlineStr">
        <is>
          <t>Known Other Costs</t>
        </is>
      </c>
      <c r="C1018" s="4" t="inlineStr">
        <is>
          <t>H21</t>
        </is>
      </c>
      <c r="D1018" s="4" t="inlineStr">
        <is>
          <t>Market-rate fresh-site range.</t>
        </is>
      </c>
      <c r="E1018" s="4" t="inlineStr">
        <is>
          <t>Market-rate fresh-site range.</t>
        </is>
      </c>
      <c r="F1018" s="4" t="inlineStr">
        <is>
          <t>GOC Bed Unit-Costing Model v2 — working original.xlsx</t>
        </is>
      </c>
    </row>
    <row r="1019" ht="40" customHeight="1">
      <c r="A1019" s="4" t="inlineStr">
        <is>
          <t>original:Known Other Costs!A22</t>
        </is>
      </c>
      <c r="B1019" s="4" t="inlineStr">
        <is>
          <t>Known Other Costs</t>
        </is>
      </c>
      <c r="C1019" s="4" t="inlineStr">
        <is>
          <t>A22</t>
        </is>
      </c>
      <c r="D1019" s="4" t="inlineStr">
        <is>
          <t>Diesel generator, press-line sized</t>
        </is>
      </c>
      <c r="E1019" s="4" t="inlineStr">
        <is>
          <t>Diesel generator, press-line sized</t>
        </is>
      </c>
      <c r="F1019" s="4" t="inlineStr">
        <is>
          <t>GOC Bed Unit-Costing Model v2 — working original.xlsx</t>
        </is>
      </c>
    </row>
    <row r="1020" ht="40" customHeight="1">
      <c r="A1020" s="4" t="inlineStr">
        <is>
          <t>original:Known Other Costs!B22</t>
        </is>
      </c>
      <c r="B1020" s="4" t="inlineStr">
        <is>
          <t>Known Other Costs</t>
        </is>
      </c>
      <c r="C1020" s="4" t="inlineStr">
        <is>
          <t>B22</t>
        </is>
      </c>
      <c r="D1020" s="4" t="n">
        <v>6600</v>
      </c>
      <c r="E1020" s="4" t="n">
        <v>6600</v>
      </c>
      <c r="F1020" s="4" t="inlineStr">
        <is>
          <t>GOC Bed Unit-Costing Model v2 — working original.xlsx</t>
        </is>
      </c>
    </row>
    <row r="1021" ht="40" customHeight="1">
      <c r="A1021" s="4" t="inlineStr">
        <is>
          <t>original:Known Other Costs!C22</t>
        </is>
      </c>
      <c r="B1021" s="4" t="inlineStr">
        <is>
          <t>Known Other Costs</t>
        </is>
      </c>
      <c r="C1021" s="4" t="inlineStr">
        <is>
          <t>C22</t>
        </is>
      </c>
      <c r="D1021" s="4" t="n">
        <v>20000</v>
      </c>
      <c r="E1021" s="4" t="n">
        <v>20000</v>
      </c>
      <c r="F1021" s="4" t="inlineStr">
        <is>
          <t>GOC Bed Unit-Costing Model v2 — working original.xlsx</t>
        </is>
      </c>
    </row>
    <row r="1022" ht="40" customHeight="1">
      <c r="A1022" s="4" t="inlineStr">
        <is>
          <t>original:Known Other Costs!D22</t>
        </is>
      </c>
      <c r="B1022" s="4" t="inlineStr">
        <is>
          <t>Known Other Costs</t>
        </is>
      </c>
      <c r="C1022" s="4" t="inlineStr">
        <is>
          <t>D22</t>
        </is>
      </c>
      <c r="D1022" s="4" t="n">
        <v>13300</v>
      </c>
      <c r="E1022" s="4" t="n">
        <v>13300</v>
      </c>
      <c r="F1022" s="4" t="inlineStr">
        <is>
          <t>GOC Bed Unit-Costing Model v2 — working original.xlsx</t>
        </is>
      </c>
    </row>
    <row r="1023" ht="40" customHeight="1">
      <c r="A1023" s="4" t="inlineStr">
        <is>
          <t>original:Known Other Costs!E22</t>
        </is>
      </c>
      <c r="B1023" s="4" t="inlineStr">
        <is>
          <t>Known Other Costs</t>
        </is>
      </c>
      <c r="C1023" s="4" t="inlineStr">
        <is>
          <t>E22</t>
        </is>
      </c>
      <c r="D1023" s="4" t="inlineStr">
        <is>
          <t>AUD</t>
        </is>
      </c>
      <c r="E1023" s="4" t="inlineStr">
        <is>
          <t>AUD</t>
        </is>
      </c>
      <c r="F1023" s="4" t="inlineStr">
        <is>
          <t>GOC Bed Unit-Costing Model v2 — working original.xlsx</t>
        </is>
      </c>
    </row>
    <row r="1024" ht="40" customHeight="1">
      <c r="A1024" s="4" t="inlineStr">
        <is>
          <t>original:Known Other Costs!F22</t>
        </is>
      </c>
      <c r="B1024" s="4" t="inlineStr">
        <is>
          <t>Known Other Costs</t>
        </is>
      </c>
      <c r="C1024" s="4" t="inlineStr">
        <is>
          <t>F22</t>
        </is>
      </c>
      <c r="D1024" s="4" t="inlineStr">
        <is>
          <t>mixed</t>
        </is>
      </c>
      <c r="E1024" s="4" t="inlineStr">
        <is>
          <t>mixed</t>
        </is>
      </c>
      <c r="F1024" s="4" t="inlineStr">
        <is>
          <t>GOC Bed Unit-Costing Model v2 — working original.xlsx</t>
        </is>
      </c>
    </row>
    <row r="1025" ht="40" customHeight="1">
      <c r="A1025" s="4" t="inlineStr">
        <is>
          <t>original:Known Other Costs!G22</t>
        </is>
      </c>
      <c r="B1025" s="4" t="inlineStr">
        <is>
          <t>Known Other Costs</t>
        </is>
      </c>
      <c r="C1025" s="4" t="inlineStr">
        <is>
          <t>G22</t>
        </is>
      </c>
      <c r="D1025" s="4" t="inlineStr">
        <is>
          <t>Orange Sky actual to proper diesel estimate</t>
        </is>
      </c>
      <c r="E1025" s="4" t="inlineStr">
        <is>
          <t>Orange Sky actual to proper diesel estimate</t>
        </is>
      </c>
      <c r="F1025" s="4" t="inlineStr">
        <is>
          <t>GOC Bed Unit-Costing Model v2 — working original.xlsx</t>
        </is>
      </c>
    </row>
    <row r="1026" ht="45" customHeight="1">
      <c r="A1026" s="4" t="inlineStr">
        <is>
          <t>original:Known Other Costs!H22</t>
        </is>
      </c>
      <c r="B1026" s="4" t="inlineStr">
        <is>
          <t>Known Other Costs</t>
        </is>
      </c>
      <c r="C1026" s="4" t="inlineStr">
        <is>
          <t>H22</t>
        </is>
      </c>
      <c r="D1026" s="4" t="inlineStr">
        <is>
          <t>Capacity and site power requirement need confirmation.</t>
        </is>
      </c>
      <c r="E1026" s="4" t="inlineStr">
        <is>
          <t>Capacity and site power requirement need confirmation.</t>
        </is>
      </c>
      <c r="F1026" s="4" t="inlineStr">
        <is>
          <t>GOC Bed Unit-Costing Model v2 — working original.xlsx</t>
        </is>
      </c>
    </row>
    <row r="1027" ht="40" customHeight="1">
      <c r="A1027" s="4" t="inlineStr">
        <is>
          <t>original:Known Other Costs!A23</t>
        </is>
      </c>
      <c r="B1027" s="4" t="inlineStr">
        <is>
          <t>Known Other Costs</t>
        </is>
      </c>
      <c r="C1027" s="4" t="inlineStr">
        <is>
          <t>A23</t>
        </is>
      </c>
      <c r="D1027" s="4" t="inlineStr">
        <is>
          <t>Shredder</t>
        </is>
      </c>
      <c r="E1027" s="4" t="inlineStr">
        <is>
          <t>Shredder</t>
        </is>
      </c>
      <c r="F1027" s="4" t="inlineStr">
        <is>
          <t>GOC Bed Unit-Costing Model v2 — working original.xlsx</t>
        </is>
      </c>
    </row>
    <row r="1028" ht="40" customHeight="1">
      <c r="A1028" s="4" t="inlineStr">
        <is>
          <t>original:Known Other Costs!B23</t>
        </is>
      </c>
      <c r="B1028" s="4" t="inlineStr">
        <is>
          <t>Known Other Costs</t>
        </is>
      </c>
      <c r="C1028" s="4" t="inlineStr">
        <is>
          <t>B23</t>
        </is>
      </c>
      <c r="D1028" s="4" t="n">
        <v>19800</v>
      </c>
      <c r="E1028" s="4" t="n">
        <v>19800</v>
      </c>
      <c r="F1028" s="4" t="inlineStr">
        <is>
          <t>GOC Bed Unit-Costing Model v2 — working original.xlsx</t>
        </is>
      </c>
    </row>
    <row r="1029" ht="40" customHeight="1">
      <c r="A1029" s="4" t="inlineStr">
        <is>
          <t>original:Known Other Costs!C23</t>
        </is>
      </c>
      <c r="B1029" s="4" t="inlineStr">
        <is>
          <t>Known Other Costs</t>
        </is>
      </c>
      <c r="C1029" s="4" t="inlineStr">
        <is>
          <t>C23</t>
        </is>
      </c>
      <c r="D1029" s="4" t="n">
        <v>19800</v>
      </c>
      <c r="E1029" s="4" t="n">
        <v>19800</v>
      </c>
      <c r="F1029" s="4" t="inlineStr">
        <is>
          <t>GOC Bed Unit-Costing Model v2 — working original.xlsx</t>
        </is>
      </c>
    </row>
    <row r="1030" ht="40" customHeight="1">
      <c r="A1030" s="4" t="inlineStr">
        <is>
          <t>original:Known Other Costs!D23</t>
        </is>
      </c>
      <c r="B1030" s="4" t="inlineStr">
        <is>
          <t>Known Other Costs</t>
        </is>
      </c>
      <c r="C1030" s="4" t="inlineStr">
        <is>
          <t>D23</t>
        </is>
      </c>
      <c r="D1030" s="4" t="n">
        <v>19800</v>
      </c>
      <c r="E1030" s="4" t="n">
        <v>19800</v>
      </c>
      <c r="F1030" s="4" t="inlineStr">
        <is>
          <t>GOC Bed Unit-Costing Model v2 — working original.xlsx</t>
        </is>
      </c>
    </row>
    <row r="1031" ht="40" customHeight="1">
      <c r="A1031" s="4" t="inlineStr">
        <is>
          <t>original:Known Other Costs!E23</t>
        </is>
      </c>
      <c r="B1031" s="4" t="inlineStr">
        <is>
          <t>Known Other Costs</t>
        </is>
      </c>
      <c r="C1031" s="4" t="inlineStr">
        <is>
          <t>E23</t>
        </is>
      </c>
      <c r="D1031" s="4" t="inlineStr">
        <is>
          <t>AUD</t>
        </is>
      </c>
      <c r="E1031" s="4" t="inlineStr">
        <is>
          <t>AUD</t>
        </is>
      </c>
      <c r="F1031" s="4" t="inlineStr">
        <is>
          <t>GOC Bed Unit-Costing Model v2 — working original.xlsx</t>
        </is>
      </c>
    </row>
    <row r="1032" ht="40" customHeight="1">
      <c r="A1032" s="4" t="inlineStr">
        <is>
          <t>original:Known Other Costs!F23</t>
        </is>
      </c>
      <c r="B1032" s="4" t="inlineStr">
        <is>
          <t>Known Other Costs</t>
        </is>
      </c>
      <c r="C1032" s="4" t="inlineStr">
        <is>
          <t>F23</t>
        </is>
      </c>
      <c r="D1032" s="4" t="inlineStr">
        <is>
          <t>physical basis</t>
        </is>
      </c>
      <c r="E1032" s="4" t="inlineStr">
        <is>
          <t>physical basis</t>
        </is>
      </c>
      <c r="F1032" s="4" t="inlineStr">
        <is>
          <t>GOC Bed Unit-Costing Model v2 — working original.xlsx</t>
        </is>
      </c>
    </row>
    <row r="1033" ht="40" customHeight="1">
      <c r="A1033" s="4" t="inlineStr">
        <is>
          <t>original:Known Other Costs!G23</t>
        </is>
      </c>
      <c r="B1033" s="4" t="inlineStr">
        <is>
          <t>Known Other Costs</t>
        </is>
      </c>
      <c r="C1033" s="4" t="inlineStr">
        <is>
          <t>G23</t>
        </is>
      </c>
      <c r="D1033" s="4" t="inlineStr">
        <is>
          <t>Existing Telford Smith unit</t>
        </is>
      </c>
      <c r="E1033" s="4" t="inlineStr">
        <is>
          <t>Existing Telford Smith unit</t>
        </is>
      </c>
      <c r="F1033" s="4" t="inlineStr">
        <is>
          <t>GOC Bed Unit-Costing Model v2 — working original.xlsx</t>
        </is>
      </c>
    </row>
    <row r="1034" ht="40" customHeight="1">
      <c r="A1034" s="4" t="inlineStr">
        <is>
          <t>original:Known Other Costs!H23</t>
        </is>
      </c>
      <c r="B1034" s="4" t="inlineStr">
        <is>
          <t>Known Other Costs</t>
        </is>
      </c>
      <c r="C1034" s="4" t="inlineStr">
        <is>
          <t>H23</t>
        </is>
      </c>
      <c r="D1034" s="4" t="inlineStr">
        <is>
          <t>Invoice still to locate.</t>
        </is>
      </c>
      <c r="E1034" s="4" t="inlineStr">
        <is>
          <t>Invoice still to locate.</t>
        </is>
      </c>
      <c r="F1034" s="4" t="inlineStr">
        <is>
          <t>GOC Bed Unit-Costing Model v2 — working original.xlsx</t>
        </is>
      </c>
    </row>
    <row r="1035" ht="40" customHeight="1">
      <c r="A1035" s="4" t="inlineStr">
        <is>
          <t>original:Known Other Costs!A24</t>
        </is>
      </c>
      <c r="B1035" s="4" t="inlineStr">
        <is>
          <t>Known Other Costs</t>
        </is>
      </c>
      <c r="C1035" s="4" t="inlineStr">
        <is>
          <t>A24</t>
        </is>
      </c>
      <c r="D1035" s="4" t="inlineStr">
        <is>
          <t>Press + cold press + CNC</t>
        </is>
      </c>
      <c r="E1035" s="4" t="inlineStr">
        <is>
          <t>Press + cold press + CNC</t>
        </is>
      </c>
      <c r="F1035" s="4" t="inlineStr">
        <is>
          <t>GOC Bed Unit-Costing Model v2 — working original.xlsx</t>
        </is>
      </c>
    </row>
    <row r="1036" ht="40" customHeight="1">
      <c r="A1036" s="4" t="inlineStr">
        <is>
          <t>original:Known Other Costs!B24</t>
        </is>
      </c>
      <c r="B1036" s="4" t="inlineStr">
        <is>
          <t>Known Other Costs</t>
        </is>
      </c>
      <c r="C1036" s="4" t="inlineStr">
        <is>
          <t>B24</t>
        </is>
      </c>
      <c r="D1036" s="4" t="n">
        <v>32780</v>
      </c>
      <c r="E1036" s="4" t="n">
        <v>32780</v>
      </c>
      <c r="F1036" s="4" t="inlineStr">
        <is>
          <t>GOC Bed Unit-Costing Model v2 — working original.xlsx</t>
        </is>
      </c>
    </row>
    <row r="1037" ht="40" customHeight="1">
      <c r="A1037" s="4" t="inlineStr">
        <is>
          <t>original:Known Other Costs!C24</t>
        </is>
      </c>
      <c r="B1037" s="4" t="inlineStr">
        <is>
          <t>Known Other Costs</t>
        </is>
      </c>
      <c r="C1037" s="4" t="inlineStr">
        <is>
          <t>C24</t>
        </is>
      </c>
      <c r="D1037" s="4" t="n">
        <v>32780</v>
      </c>
      <c r="E1037" s="4" t="n">
        <v>32780</v>
      </c>
      <c r="F1037" s="4" t="inlineStr">
        <is>
          <t>GOC Bed Unit-Costing Model v2 — working original.xlsx</t>
        </is>
      </c>
    </row>
    <row r="1038" ht="40" customHeight="1">
      <c r="A1038" s="4" t="inlineStr">
        <is>
          <t>original:Known Other Costs!D24</t>
        </is>
      </c>
      <c r="B1038" s="4" t="inlineStr">
        <is>
          <t>Known Other Costs</t>
        </is>
      </c>
      <c r="C1038" s="4" t="inlineStr">
        <is>
          <t>D24</t>
        </is>
      </c>
      <c r="D1038" s="4" t="n">
        <v>32780</v>
      </c>
      <c r="E1038" s="4" t="n">
        <v>32780</v>
      </c>
      <c r="F1038" s="4" t="inlineStr">
        <is>
          <t>GOC Bed Unit-Costing Model v2 — working original.xlsx</t>
        </is>
      </c>
    </row>
    <row r="1039" ht="40" customHeight="1">
      <c r="A1039" s="4" t="inlineStr">
        <is>
          <t>original:Known Other Costs!E24</t>
        </is>
      </c>
      <c r="B1039" s="4" t="inlineStr">
        <is>
          <t>Known Other Costs</t>
        </is>
      </c>
      <c r="C1039" s="4" t="inlineStr">
        <is>
          <t>E24</t>
        </is>
      </c>
      <c r="D1039" s="4" t="inlineStr">
        <is>
          <t>AUD inc GST</t>
        </is>
      </c>
      <c r="E1039" s="4" t="inlineStr">
        <is>
          <t>AUD inc GST</t>
        </is>
      </c>
      <c r="F1039" s="4" t="inlineStr">
        <is>
          <t>GOC Bed Unit-Costing Model v2 — working original.xlsx</t>
        </is>
      </c>
    </row>
    <row r="1040" ht="40" customHeight="1">
      <c r="A1040" s="4" t="inlineStr">
        <is>
          <t>original:Known Other Costs!F24</t>
        </is>
      </c>
      <c r="B1040" s="4" t="inlineStr">
        <is>
          <t>Known Other Costs</t>
        </is>
      </c>
      <c r="C1040" s="4" t="inlineStr">
        <is>
          <t>F24</t>
        </is>
      </c>
      <c r="D1040" s="4" t="inlineStr">
        <is>
          <t>evidenced basis</t>
        </is>
      </c>
      <c r="E1040" s="4" t="inlineStr">
        <is>
          <t>evidenced basis</t>
        </is>
      </c>
      <c r="F1040" s="4" t="inlineStr">
        <is>
          <t>GOC Bed Unit-Costing Model v2 — working original.xlsx</t>
        </is>
      </c>
    </row>
    <row r="1041" ht="40" customHeight="1">
      <c r="A1041" s="4" t="inlineStr">
        <is>
          <t>original:Known Other Costs!G24</t>
        </is>
      </c>
      <c r="B1041" s="4" t="inlineStr">
        <is>
          <t>Known Other Costs</t>
        </is>
      </c>
      <c r="C1041" s="4" t="inlineStr">
        <is>
          <t>G24</t>
        </is>
      </c>
      <c r="D1041" s="4" t="inlineStr">
        <is>
          <t>Circularity INV-0054</t>
        </is>
      </c>
      <c r="E1041" s="4" t="inlineStr">
        <is>
          <t>Circularity INV-0054</t>
        </is>
      </c>
      <c r="F1041" s="4" t="inlineStr">
        <is>
          <t>GOC Bed Unit-Costing Model v2 — working original.xlsx</t>
        </is>
      </c>
    </row>
    <row r="1042" ht="40" customHeight="1">
      <c r="A1042" s="4" t="inlineStr">
        <is>
          <t>original:Known Other Costs!H24</t>
        </is>
      </c>
      <c r="B1042" s="4" t="inlineStr">
        <is>
          <t>Known Other Costs</t>
        </is>
      </c>
      <c r="C1042" s="4" t="inlineStr">
        <is>
          <t>H24</t>
        </is>
      </c>
      <c r="D1042" s="4" t="inlineStr">
        <is>
          <t>Existing purchase used as replication basis.</t>
        </is>
      </c>
      <c r="E1042" s="4" t="inlineStr">
        <is>
          <t>Existing purchase used as replication basis.</t>
        </is>
      </c>
      <c r="F1042" s="4" t="inlineStr">
        <is>
          <t>GOC Bed Unit-Costing Model v2 — working original.xlsx</t>
        </is>
      </c>
    </row>
    <row r="1043" ht="40" customHeight="1">
      <c r="A1043" s="4" t="inlineStr">
        <is>
          <t>original:Known Other Costs!A25</t>
        </is>
      </c>
      <c r="B1043" s="4" t="inlineStr">
        <is>
          <t>Known Other Costs</t>
        </is>
      </c>
      <c r="C1043" s="4" t="inlineStr">
        <is>
          <t>A25</t>
        </is>
      </c>
      <c r="D1043" s="4" t="inlineStr">
        <is>
          <t>Workshop tools</t>
        </is>
      </c>
      <c r="E1043" s="4" t="inlineStr">
        <is>
          <t>Workshop tools</t>
        </is>
      </c>
      <c r="F1043" s="4" t="inlineStr">
        <is>
          <t>GOC Bed Unit-Costing Model v2 — working original.xlsx</t>
        </is>
      </c>
    </row>
    <row r="1044" ht="40" customHeight="1">
      <c r="A1044" s="4" t="inlineStr">
        <is>
          <t>original:Known Other Costs!B25</t>
        </is>
      </c>
      <c r="B1044" s="4" t="inlineStr">
        <is>
          <t>Known Other Costs</t>
        </is>
      </c>
      <c r="C1044" s="4" t="inlineStr">
        <is>
          <t>B25</t>
        </is>
      </c>
      <c r="D1044" s="4" t="n">
        <v>6387</v>
      </c>
      <c r="E1044" s="4" t="n">
        <v>6387</v>
      </c>
      <c r="F1044" s="4" t="inlineStr">
        <is>
          <t>GOC Bed Unit-Costing Model v2 — working original.xlsx</t>
        </is>
      </c>
    </row>
    <row r="1045" ht="40" customHeight="1">
      <c r="A1045" s="4" t="inlineStr">
        <is>
          <t>original:Known Other Costs!C25</t>
        </is>
      </c>
      <c r="B1045" s="4" t="inlineStr">
        <is>
          <t>Known Other Costs</t>
        </is>
      </c>
      <c r="C1045" s="4" t="inlineStr">
        <is>
          <t>C25</t>
        </is>
      </c>
      <c r="D1045" s="4" t="n">
        <v>6387</v>
      </c>
      <c r="E1045" s="4" t="n">
        <v>6387</v>
      </c>
      <c r="F1045" s="4" t="inlineStr">
        <is>
          <t>GOC Bed Unit-Costing Model v2 — working original.xlsx</t>
        </is>
      </c>
    </row>
    <row r="1046" ht="40" customHeight="1">
      <c r="A1046" s="4" t="inlineStr">
        <is>
          <t>original:Known Other Costs!D25</t>
        </is>
      </c>
      <c r="B1046" s="4" t="inlineStr">
        <is>
          <t>Known Other Costs</t>
        </is>
      </c>
      <c r="C1046" s="4" t="inlineStr">
        <is>
          <t>D25</t>
        </is>
      </c>
      <c r="D1046" s="4" t="n">
        <v>6387</v>
      </c>
      <c r="E1046" s="4" t="n">
        <v>6387</v>
      </c>
      <c r="F1046" s="4" t="inlineStr">
        <is>
          <t>GOC Bed Unit-Costing Model v2 — working original.xlsx</t>
        </is>
      </c>
    </row>
    <row r="1047" ht="40" customHeight="1">
      <c r="A1047" s="4" t="inlineStr">
        <is>
          <t>original:Known Other Costs!E25</t>
        </is>
      </c>
      <c r="B1047" s="4" t="inlineStr">
        <is>
          <t>Known Other Costs</t>
        </is>
      </c>
      <c r="C1047" s="4" t="inlineStr">
        <is>
          <t>E25</t>
        </is>
      </c>
      <c r="D1047" s="4" t="inlineStr">
        <is>
          <t>AUD inc GST</t>
        </is>
      </c>
      <c r="E1047" s="4" t="inlineStr">
        <is>
          <t>AUD inc GST</t>
        </is>
      </c>
      <c r="F1047" s="4" t="inlineStr">
        <is>
          <t>GOC Bed Unit-Costing Model v2 — working original.xlsx</t>
        </is>
      </c>
    </row>
    <row r="1048" ht="40" customHeight="1">
      <c r="A1048" s="4" t="inlineStr">
        <is>
          <t>original:Known Other Costs!F25</t>
        </is>
      </c>
      <c r="B1048" s="4" t="inlineStr">
        <is>
          <t>Known Other Costs</t>
        </is>
      </c>
      <c r="C1048" s="4" t="inlineStr">
        <is>
          <t>F25</t>
        </is>
      </c>
      <c r="D1048" s="4" t="inlineStr">
        <is>
          <t>evidenced basis</t>
        </is>
      </c>
      <c r="E1048" s="4" t="inlineStr">
        <is>
          <t>evidenced basis</t>
        </is>
      </c>
      <c r="F1048" s="4" t="inlineStr">
        <is>
          <t>GOC Bed Unit-Costing Model v2 — working original.xlsx</t>
        </is>
      </c>
    </row>
    <row r="1049" ht="40" customHeight="1">
      <c r="A1049" s="4" t="inlineStr">
        <is>
          <t>original:Known Other Costs!G25</t>
        </is>
      </c>
      <c r="B1049" s="4" t="inlineStr">
        <is>
          <t>Known Other Costs</t>
        </is>
      </c>
      <c r="C1049" s="4" t="inlineStr">
        <is>
          <t>G25</t>
        </is>
      </c>
      <c r="D1049" s="4" t="inlineStr">
        <is>
          <t>Carbatec actuals</t>
        </is>
      </c>
      <c r="E1049" s="4" t="inlineStr">
        <is>
          <t>Carbatec actuals</t>
        </is>
      </c>
      <c r="F1049" s="4" t="inlineStr">
        <is>
          <t>GOC Bed Unit-Costing Model v2 — working original.xlsx</t>
        </is>
      </c>
    </row>
    <row r="1050" ht="40" customHeight="1">
      <c r="A1050" s="4" t="inlineStr">
        <is>
          <t>original:Known Other Costs!H25</t>
        </is>
      </c>
      <c r="B1050" s="4" t="inlineStr">
        <is>
          <t>Known Other Costs</t>
        </is>
      </c>
      <c r="C1050" s="4" t="inlineStr">
        <is>
          <t>H25</t>
        </is>
      </c>
      <c r="D1050" s="4" t="inlineStr">
        <is>
          <t>Existing purchase used as replication basis.</t>
        </is>
      </c>
      <c r="E1050" s="4" t="inlineStr">
        <is>
          <t>Existing purchase used as replication basis.</t>
        </is>
      </c>
      <c r="F1050" s="4" t="inlineStr">
        <is>
          <t>GOC Bed Unit-Costing Model v2 — working original.xlsx</t>
        </is>
      </c>
    </row>
    <row r="1051" ht="40" customHeight="1">
      <c r="A1051" s="4" t="inlineStr">
        <is>
          <t>original:Known Other Costs!A26</t>
        </is>
      </c>
      <c r="B1051" s="4" t="inlineStr">
        <is>
          <t>Known Other Costs</t>
        </is>
      </c>
      <c r="C1051" s="4" t="inlineStr">
        <is>
          <t>A26</t>
        </is>
      </c>
      <c r="D1051" s="4" t="inlineStr">
        <is>
          <t>Crane placement + transport</t>
        </is>
      </c>
      <c r="E1051" s="4" t="inlineStr">
        <is>
          <t>Crane placement + transport</t>
        </is>
      </c>
      <c r="F1051" s="4" t="inlineStr">
        <is>
          <t>GOC Bed Unit-Costing Model v2 — working original.xlsx</t>
        </is>
      </c>
    </row>
    <row r="1052" ht="40" customHeight="1">
      <c r="A1052" s="4" t="inlineStr">
        <is>
          <t>original:Known Other Costs!B26</t>
        </is>
      </c>
      <c r="B1052" s="4" t="inlineStr">
        <is>
          <t>Known Other Costs</t>
        </is>
      </c>
      <c r="C1052" s="4" t="inlineStr">
        <is>
          <t>B26</t>
        </is>
      </c>
      <c r="D1052" s="4" t="n">
        <v>1200</v>
      </c>
      <c r="E1052" s="4" t="n">
        <v>1200</v>
      </c>
      <c r="F1052" s="4" t="inlineStr">
        <is>
          <t>GOC Bed Unit-Costing Model v2 — working original.xlsx</t>
        </is>
      </c>
    </row>
    <row r="1053" ht="40" customHeight="1">
      <c r="A1053" s="4" t="inlineStr">
        <is>
          <t>original:Known Other Costs!C26</t>
        </is>
      </c>
      <c r="B1053" s="4" t="inlineStr">
        <is>
          <t>Known Other Costs</t>
        </is>
      </c>
      <c r="C1053" s="4" t="inlineStr">
        <is>
          <t>C26</t>
        </is>
      </c>
      <c r="D1053" s="4" t="n">
        <v>2500</v>
      </c>
      <c r="E1053" s="4" t="n">
        <v>2500</v>
      </c>
      <c r="F1053" s="4" t="inlineStr">
        <is>
          <t>GOC Bed Unit-Costing Model v2 — working original.xlsx</t>
        </is>
      </c>
    </row>
    <row r="1054" ht="40" customHeight="1">
      <c r="A1054" s="4" t="inlineStr">
        <is>
          <t>original:Known Other Costs!D26</t>
        </is>
      </c>
      <c r="B1054" s="4" t="inlineStr">
        <is>
          <t>Known Other Costs</t>
        </is>
      </c>
      <c r="C1054" s="4" t="inlineStr">
        <is>
          <t>D26</t>
        </is>
      </c>
      <c r="D1054" s="4" t="n">
        <v>1850</v>
      </c>
      <c r="E1054" s="4" t="n">
        <v>1850</v>
      </c>
      <c r="F1054" s="4" t="inlineStr">
        <is>
          <t>GOC Bed Unit-Costing Model v2 — working original.xlsx</t>
        </is>
      </c>
    </row>
    <row r="1055" ht="40" customHeight="1">
      <c r="A1055" s="4" t="inlineStr">
        <is>
          <t>original:Known Other Costs!E26</t>
        </is>
      </c>
      <c r="B1055" s="4" t="inlineStr">
        <is>
          <t>Known Other Costs</t>
        </is>
      </c>
      <c r="C1055" s="4" t="inlineStr">
        <is>
          <t>E26</t>
        </is>
      </c>
      <c r="D1055" s="4" t="inlineStr">
        <is>
          <t>AUD</t>
        </is>
      </c>
      <c r="E1055" s="4" t="inlineStr">
        <is>
          <t>AUD</t>
        </is>
      </c>
      <c r="F1055" s="4" t="inlineStr">
        <is>
          <t>GOC Bed Unit-Costing Model v2 — working original.xlsx</t>
        </is>
      </c>
    </row>
    <row r="1056" ht="40" customHeight="1">
      <c r="A1056" s="4" t="inlineStr">
        <is>
          <t>original:Known Other Costs!F26</t>
        </is>
      </c>
      <c r="B1056" s="4" t="inlineStr">
        <is>
          <t>Known Other Costs</t>
        </is>
      </c>
      <c r="C1056" s="4" t="inlineStr">
        <is>
          <t>F26</t>
        </is>
      </c>
      <c r="D1056" s="4" t="inlineStr">
        <is>
          <t>mixed</t>
        </is>
      </c>
      <c r="E1056" s="4" t="inlineStr">
        <is>
          <t>mixed</t>
        </is>
      </c>
      <c r="F1056" s="4" t="inlineStr">
        <is>
          <t>GOC Bed Unit-Costing Model v2 — working original.xlsx</t>
        </is>
      </c>
    </row>
    <row r="1057" ht="40" customHeight="1">
      <c r="A1057" s="4" t="inlineStr">
        <is>
          <t>original:Known Other Costs!G26</t>
        </is>
      </c>
      <c r="B1057" s="4" t="inlineStr">
        <is>
          <t>Known Other Costs</t>
        </is>
      </c>
      <c r="C1057" s="4" t="inlineStr">
        <is>
          <t>G26</t>
        </is>
      </c>
      <c r="D1057" s="4" t="inlineStr">
        <is>
          <t>Existing actuals + allowance</t>
        </is>
      </c>
      <c r="E1057" s="4" t="inlineStr">
        <is>
          <t>Existing actuals + allowance</t>
        </is>
      </c>
      <c r="F1057" s="4" t="inlineStr">
        <is>
          <t>GOC Bed Unit-Costing Model v2 — working original.xlsx</t>
        </is>
      </c>
    </row>
    <row r="1058" ht="45" customHeight="1">
      <c r="A1058" s="4" t="inlineStr">
        <is>
          <t>original:Known Other Costs!H26</t>
        </is>
      </c>
      <c r="B1058" s="4" t="inlineStr">
        <is>
          <t>Known Other Costs</t>
        </is>
      </c>
      <c r="C1058" s="4" t="inlineStr">
        <is>
          <t>H26</t>
        </is>
      </c>
      <c r="D1058" s="4" t="inlineStr">
        <is>
          <t>Remote/site conditions can move this materially.</t>
        </is>
      </c>
      <c r="E1058" s="4" t="inlineStr">
        <is>
          <t>Remote/site conditions can move this materially.</t>
        </is>
      </c>
      <c r="F1058" s="4" t="inlineStr">
        <is>
          <t>GOC Bed Unit-Costing Model v2 — working original.xlsx</t>
        </is>
      </c>
    </row>
    <row r="1059" ht="40" customHeight="1">
      <c r="A1059" s="4" t="inlineStr">
        <is>
          <t>original:Known Other Costs!A27</t>
        </is>
      </c>
      <c r="B1059" s="4" t="inlineStr">
        <is>
          <t>Known Other Costs</t>
        </is>
      </c>
      <c r="C1059" s="4" t="inlineStr">
        <is>
          <t>A27</t>
        </is>
      </c>
      <c r="D1059" s="4" t="inlineStr">
        <is>
          <t>Electrical fit-out</t>
        </is>
      </c>
      <c r="E1059" s="4" t="inlineStr">
        <is>
          <t>Electrical fit-out</t>
        </is>
      </c>
      <c r="F1059" s="4" t="inlineStr">
        <is>
          <t>GOC Bed Unit-Costing Model v2 — working original.xlsx</t>
        </is>
      </c>
    </row>
    <row r="1060" ht="40" customHeight="1">
      <c r="A1060" s="4" t="inlineStr">
        <is>
          <t>original:Known Other Costs!B27</t>
        </is>
      </c>
      <c r="B1060" s="4" t="inlineStr">
        <is>
          <t>Known Other Costs</t>
        </is>
      </c>
      <c r="C1060" s="4" t="inlineStr">
        <is>
          <t>B27</t>
        </is>
      </c>
      <c r="D1060" s="4" t="n">
        <v>3000</v>
      </c>
      <c r="E1060" s="4" t="n">
        <v>3000</v>
      </c>
      <c r="F1060" s="4" t="inlineStr">
        <is>
          <t>GOC Bed Unit-Costing Model v2 — working original.xlsx</t>
        </is>
      </c>
    </row>
    <row r="1061" ht="40" customHeight="1">
      <c r="A1061" s="4" t="inlineStr">
        <is>
          <t>original:Known Other Costs!C27</t>
        </is>
      </c>
      <c r="B1061" s="4" t="inlineStr">
        <is>
          <t>Known Other Costs</t>
        </is>
      </c>
      <c r="C1061" s="4" t="inlineStr">
        <is>
          <t>C27</t>
        </is>
      </c>
      <c r="D1061" s="4" t="n">
        <v>8000</v>
      </c>
      <c r="E1061" s="4" t="n">
        <v>8000</v>
      </c>
      <c r="F1061" s="4" t="inlineStr">
        <is>
          <t>GOC Bed Unit-Costing Model v2 — working original.xlsx</t>
        </is>
      </c>
    </row>
    <row r="1062" ht="40" customHeight="1">
      <c r="A1062" s="4" t="inlineStr">
        <is>
          <t>original:Known Other Costs!D27</t>
        </is>
      </c>
      <c r="B1062" s="4" t="inlineStr">
        <is>
          <t>Known Other Costs</t>
        </is>
      </c>
      <c r="C1062" s="4" t="inlineStr">
        <is>
          <t>D27</t>
        </is>
      </c>
      <c r="D1062" s="4" t="n">
        <v>5500</v>
      </c>
      <c r="E1062" s="4" t="n">
        <v>5500</v>
      </c>
      <c r="F1062" s="4" t="inlineStr">
        <is>
          <t>GOC Bed Unit-Costing Model v2 — working original.xlsx</t>
        </is>
      </c>
    </row>
    <row r="1063" ht="40" customHeight="1">
      <c r="A1063" s="4" t="inlineStr">
        <is>
          <t>original:Known Other Costs!E27</t>
        </is>
      </c>
      <c r="B1063" s="4" t="inlineStr">
        <is>
          <t>Known Other Costs</t>
        </is>
      </c>
      <c r="C1063" s="4" t="inlineStr">
        <is>
          <t>E27</t>
        </is>
      </c>
      <c r="D1063" s="4" t="inlineStr">
        <is>
          <t>AUD</t>
        </is>
      </c>
      <c r="E1063" s="4" t="inlineStr">
        <is>
          <t>AUD</t>
        </is>
      </c>
      <c r="F1063" s="4" t="inlineStr">
        <is>
          <t>GOC Bed Unit-Costing Model v2 — working original.xlsx</t>
        </is>
      </c>
    </row>
    <row r="1064" ht="40" customHeight="1">
      <c r="A1064" s="4" t="inlineStr">
        <is>
          <t>original:Known Other Costs!F27</t>
        </is>
      </c>
      <c r="B1064" s="4" t="inlineStr">
        <is>
          <t>Known Other Costs</t>
        </is>
      </c>
      <c r="C1064" s="4" t="inlineStr">
        <is>
          <t>F27</t>
        </is>
      </c>
      <c r="D1064" s="4" t="inlineStr">
        <is>
          <t>allowance</t>
        </is>
      </c>
      <c r="E1064" s="4" t="inlineStr">
        <is>
          <t>allowance</t>
        </is>
      </c>
      <c r="F1064" s="4" t="inlineStr">
        <is>
          <t>GOC Bed Unit-Costing Model v2 — working original.xlsx</t>
        </is>
      </c>
    </row>
    <row r="1065" ht="40" customHeight="1">
      <c r="A1065" s="4" t="inlineStr">
        <is>
          <t>original:Known Other Costs!G27</t>
        </is>
      </c>
      <c r="B1065" s="4" t="inlineStr">
        <is>
          <t>Known Other Costs</t>
        </is>
      </c>
      <c r="C1065" s="4" t="inlineStr">
        <is>
          <t>G27</t>
        </is>
      </c>
      <c r="D1065" s="4" t="inlineStr">
        <is>
          <t>MVF replication model</t>
        </is>
      </c>
      <c r="E1065" s="4" t="inlineStr">
        <is>
          <t>MVF replication model</t>
        </is>
      </c>
      <c r="F1065" s="4" t="inlineStr">
        <is>
          <t>GOC Bed Unit-Costing Model v2 — working original.xlsx</t>
        </is>
      </c>
    </row>
    <row r="1066" ht="40" customHeight="1">
      <c r="A1066" s="4" t="inlineStr">
        <is>
          <t>original:Known Other Costs!H27</t>
        </is>
      </c>
      <c r="B1066" s="4" t="inlineStr">
        <is>
          <t>Known Other Costs</t>
        </is>
      </c>
      <c r="C1066" s="4" t="inlineStr">
        <is>
          <t>H27</t>
        </is>
      </c>
      <c r="D1066" s="4" t="inlineStr">
        <is>
          <t>Board and three-phase work. Quote required.</t>
        </is>
      </c>
      <c r="E1066" s="4" t="inlineStr">
        <is>
          <t>Board and three-phase work. Quote required.</t>
        </is>
      </c>
      <c r="F1066" s="4" t="inlineStr">
        <is>
          <t>GOC Bed Unit-Costing Model v2 — working original.xlsx</t>
        </is>
      </c>
    </row>
    <row r="1067" ht="40" customHeight="1">
      <c r="A1067" s="4" t="inlineStr">
        <is>
          <t>original:Known Other Costs!A28</t>
        </is>
      </c>
      <c r="B1067" s="4" t="inlineStr">
        <is>
          <t>Known Other Costs</t>
        </is>
      </c>
      <c r="C1067" s="4" t="inlineStr">
        <is>
          <t>A28</t>
        </is>
      </c>
      <c r="D1067" s="4" t="inlineStr">
        <is>
          <t>Ventilation / fume extraction</t>
        </is>
      </c>
      <c r="E1067" s="4" t="inlineStr">
        <is>
          <t>Ventilation / fume extraction</t>
        </is>
      </c>
      <c r="F1067" s="4" t="inlineStr">
        <is>
          <t>GOC Bed Unit-Costing Model v2 — working original.xlsx</t>
        </is>
      </c>
    </row>
    <row r="1068" ht="40" customHeight="1">
      <c r="A1068" s="4" t="inlineStr">
        <is>
          <t>original:Known Other Costs!B28</t>
        </is>
      </c>
      <c r="B1068" s="4" t="inlineStr">
        <is>
          <t>Known Other Costs</t>
        </is>
      </c>
      <c r="C1068" s="4" t="inlineStr">
        <is>
          <t>B28</t>
        </is>
      </c>
      <c r="D1068" s="4" t="n">
        <v>1000</v>
      </c>
      <c r="E1068" s="4" t="n">
        <v>1000</v>
      </c>
      <c r="F1068" s="4" t="inlineStr">
        <is>
          <t>GOC Bed Unit-Costing Model v2 — working original.xlsx</t>
        </is>
      </c>
    </row>
    <row r="1069" ht="40" customHeight="1">
      <c r="A1069" s="4" t="inlineStr">
        <is>
          <t>original:Known Other Costs!C28</t>
        </is>
      </c>
      <c r="B1069" s="4" t="inlineStr">
        <is>
          <t>Known Other Costs</t>
        </is>
      </c>
      <c r="C1069" s="4" t="inlineStr">
        <is>
          <t>C28</t>
        </is>
      </c>
      <c r="D1069" s="4" t="n">
        <v>3000</v>
      </c>
      <c r="E1069" s="4" t="n">
        <v>3000</v>
      </c>
      <c r="F1069" s="4" t="inlineStr">
        <is>
          <t>GOC Bed Unit-Costing Model v2 — working original.xlsx</t>
        </is>
      </c>
    </row>
    <row r="1070" ht="40" customHeight="1">
      <c r="A1070" s="4" t="inlineStr">
        <is>
          <t>original:Known Other Costs!D28</t>
        </is>
      </c>
      <c r="B1070" s="4" t="inlineStr">
        <is>
          <t>Known Other Costs</t>
        </is>
      </c>
      <c r="C1070" s="4" t="inlineStr">
        <is>
          <t>D28</t>
        </is>
      </c>
      <c r="D1070" s="4" t="n">
        <v>2000</v>
      </c>
      <c r="E1070" s="4" t="n">
        <v>2000</v>
      </c>
      <c r="F1070" s="4" t="inlineStr">
        <is>
          <t>GOC Bed Unit-Costing Model v2 — working original.xlsx</t>
        </is>
      </c>
    </row>
    <row r="1071" ht="40" customHeight="1">
      <c r="A1071" s="4" t="inlineStr">
        <is>
          <t>original:Known Other Costs!E28</t>
        </is>
      </c>
      <c r="B1071" s="4" t="inlineStr">
        <is>
          <t>Known Other Costs</t>
        </is>
      </c>
      <c r="C1071" s="4" t="inlineStr">
        <is>
          <t>E28</t>
        </is>
      </c>
      <c r="D1071" s="4" t="inlineStr">
        <is>
          <t>AUD</t>
        </is>
      </c>
      <c r="E1071" s="4" t="inlineStr">
        <is>
          <t>AUD</t>
        </is>
      </c>
      <c r="F1071" s="4" t="inlineStr">
        <is>
          <t>GOC Bed Unit-Costing Model v2 — working original.xlsx</t>
        </is>
      </c>
    </row>
    <row r="1072" ht="40" customHeight="1">
      <c r="A1072" s="4" t="inlineStr">
        <is>
          <t>original:Known Other Costs!F28</t>
        </is>
      </c>
      <c r="B1072" s="4" t="inlineStr">
        <is>
          <t>Known Other Costs</t>
        </is>
      </c>
      <c r="C1072" s="4" t="inlineStr">
        <is>
          <t>F28</t>
        </is>
      </c>
      <c r="D1072" s="4" t="inlineStr">
        <is>
          <t>allowance</t>
        </is>
      </c>
      <c r="E1072" s="4" t="inlineStr">
        <is>
          <t>allowance</t>
        </is>
      </c>
      <c r="F1072" s="4" t="inlineStr">
        <is>
          <t>GOC Bed Unit-Costing Model v2 — working original.xlsx</t>
        </is>
      </c>
    </row>
    <row r="1073" ht="40" customHeight="1">
      <c r="A1073" s="4" t="inlineStr">
        <is>
          <t>original:Known Other Costs!G28</t>
        </is>
      </c>
      <c r="B1073" s="4" t="inlineStr">
        <is>
          <t>Known Other Costs</t>
        </is>
      </c>
      <c r="C1073" s="4" t="inlineStr">
        <is>
          <t>G28</t>
        </is>
      </c>
      <c r="D1073" s="4" t="inlineStr">
        <is>
          <t>MVF replication model</t>
        </is>
      </c>
      <c r="E1073" s="4" t="inlineStr">
        <is>
          <t>MVF replication model</t>
        </is>
      </c>
      <c r="F1073" s="4" t="inlineStr">
        <is>
          <t>GOC Bed Unit-Costing Model v2 — working original.xlsx</t>
        </is>
      </c>
    </row>
    <row r="1074" ht="40" customHeight="1">
      <c r="A1074" s="4" t="inlineStr">
        <is>
          <t>original:Known Other Costs!H28</t>
        </is>
      </c>
      <c r="B1074" s="4" t="inlineStr">
        <is>
          <t>Known Other Costs</t>
        </is>
      </c>
      <c r="C1074" s="4" t="inlineStr">
        <is>
          <t>H28</t>
        </is>
      </c>
      <c r="D1074" s="4" t="inlineStr">
        <is>
          <t>Quote required for hot-press heat load.</t>
        </is>
      </c>
      <c r="E1074" s="4" t="inlineStr">
        <is>
          <t>Quote required for hot-press heat load.</t>
        </is>
      </c>
      <c r="F1074" s="4" t="inlineStr">
        <is>
          <t>GOC Bed Unit-Costing Model v2 — working original.xlsx</t>
        </is>
      </c>
    </row>
    <row r="1075" ht="40" customHeight="1">
      <c r="A1075" s="4" t="inlineStr">
        <is>
          <t>original:Known Other Costs!A29</t>
        </is>
      </c>
      <c r="B1075" s="4" t="inlineStr">
        <is>
          <t>Known Other Costs</t>
        </is>
      </c>
      <c r="C1075" s="4" t="inlineStr">
        <is>
          <t>A29</t>
        </is>
      </c>
      <c r="D1075" s="4" t="inlineStr">
        <is>
          <t>Site preparation</t>
        </is>
      </c>
      <c r="E1075" s="4" t="inlineStr">
        <is>
          <t>Site preparation</t>
        </is>
      </c>
      <c r="F1075" s="4" t="inlineStr">
        <is>
          <t>GOC Bed Unit-Costing Model v2 — working original.xlsx</t>
        </is>
      </c>
    </row>
    <row r="1076" ht="40" customHeight="1">
      <c r="A1076" s="4" t="inlineStr">
        <is>
          <t>original:Known Other Costs!B29</t>
        </is>
      </c>
      <c r="B1076" s="4" t="inlineStr">
        <is>
          <t>Known Other Costs</t>
        </is>
      </c>
      <c r="C1076" s="4" t="inlineStr">
        <is>
          <t>B29</t>
        </is>
      </c>
      <c r="D1076" s="4" t="n">
        <v>500</v>
      </c>
      <c r="E1076" s="4" t="n">
        <v>500</v>
      </c>
      <c r="F1076" s="4" t="inlineStr">
        <is>
          <t>GOC Bed Unit-Costing Model v2 — working original.xlsx</t>
        </is>
      </c>
    </row>
    <row r="1077" ht="40" customHeight="1">
      <c r="A1077" s="4" t="inlineStr">
        <is>
          <t>original:Known Other Costs!C29</t>
        </is>
      </c>
      <c r="B1077" s="4" t="inlineStr">
        <is>
          <t>Known Other Costs</t>
        </is>
      </c>
      <c r="C1077" s="4" t="inlineStr">
        <is>
          <t>C29</t>
        </is>
      </c>
      <c r="D1077" s="4" t="n">
        <v>3000</v>
      </c>
      <c r="E1077" s="4" t="n">
        <v>3000</v>
      </c>
      <c r="F1077" s="4" t="inlineStr">
        <is>
          <t>GOC Bed Unit-Costing Model v2 — working original.xlsx</t>
        </is>
      </c>
    </row>
    <row r="1078" ht="40" customHeight="1">
      <c r="A1078" s="4" t="inlineStr">
        <is>
          <t>original:Known Other Costs!D29</t>
        </is>
      </c>
      <c r="B1078" s="4" t="inlineStr">
        <is>
          <t>Known Other Costs</t>
        </is>
      </c>
      <c r="C1078" s="4" t="inlineStr">
        <is>
          <t>D29</t>
        </is>
      </c>
      <c r="D1078" s="4" t="n">
        <v>1750</v>
      </c>
      <c r="E1078" s="4" t="n">
        <v>1750</v>
      </c>
      <c r="F1078" s="4" t="inlineStr">
        <is>
          <t>GOC Bed Unit-Costing Model v2 — working original.xlsx</t>
        </is>
      </c>
    </row>
    <row r="1079" ht="40" customHeight="1">
      <c r="A1079" s="4" t="inlineStr">
        <is>
          <t>original:Known Other Costs!E29</t>
        </is>
      </c>
      <c r="B1079" s="4" t="inlineStr">
        <is>
          <t>Known Other Costs</t>
        </is>
      </c>
      <c r="C1079" s="4" t="inlineStr">
        <is>
          <t>E29</t>
        </is>
      </c>
      <c r="D1079" s="4" t="inlineStr">
        <is>
          <t>AUD</t>
        </is>
      </c>
      <c r="E1079" s="4" t="inlineStr">
        <is>
          <t>AUD</t>
        </is>
      </c>
      <c r="F1079" s="4" t="inlineStr">
        <is>
          <t>GOC Bed Unit-Costing Model v2 — working original.xlsx</t>
        </is>
      </c>
    </row>
    <row r="1080" ht="40" customHeight="1">
      <c r="A1080" s="4" t="inlineStr">
        <is>
          <t>original:Known Other Costs!F29</t>
        </is>
      </c>
      <c r="B1080" s="4" t="inlineStr">
        <is>
          <t>Known Other Costs</t>
        </is>
      </c>
      <c r="C1080" s="4" t="inlineStr">
        <is>
          <t>F29</t>
        </is>
      </c>
      <c r="D1080" s="4" t="inlineStr">
        <is>
          <t>allowance</t>
        </is>
      </c>
      <c r="E1080" s="4" t="inlineStr">
        <is>
          <t>allowance</t>
        </is>
      </c>
      <c r="F1080" s="4" t="inlineStr">
        <is>
          <t>GOC Bed Unit-Costing Model v2 — working original.xlsx</t>
        </is>
      </c>
    </row>
    <row r="1081" ht="40" customHeight="1">
      <c r="A1081" s="4" t="inlineStr">
        <is>
          <t>original:Known Other Costs!G29</t>
        </is>
      </c>
      <c r="B1081" s="4" t="inlineStr">
        <is>
          <t>Known Other Costs</t>
        </is>
      </c>
      <c r="C1081" s="4" t="inlineStr">
        <is>
          <t>G29</t>
        </is>
      </c>
      <c r="D1081" s="4" t="inlineStr">
        <is>
          <t>MVF replication model</t>
        </is>
      </c>
      <c r="E1081" s="4" t="inlineStr">
        <is>
          <t>MVF replication model</t>
        </is>
      </c>
      <c r="F1081" s="4" t="inlineStr">
        <is>
          <t>GOC Bed Unit-Costing Model v2 — working original.xlsx</t>
        </is>
      </c>
    </row>
    <row r="1082" ht="40" customHeight="1">
      <c r="A1082" s="4" t="inlineStr">
        <is>
          <t>original:Known Other Costs!H29</t>
        </is>
      </c>
      <c r="B1082" s="4" t="inlineStr">
        <is>
          <t>Known Other Costs</t>
        </is>
      </c>
      <c r="C1082" s="4" t="inlineStr">
        <is>
          <t>H29</t>
        </is>
      </c>
      <c r="D1082" s="4" t="inlineStr">
        <is>
          <t>Pad and levelling.</t>
        </is>
      </c>
      <c r="E1082" s="4" t="inlineStr">
        <is>
          <t>Pad and levelling.</t>
        </is>
      </c>
      <c r="F1082" s="4" t="inlineStr">
        <is>
          <t>GOC Bed Unit-Costing Model v2 — working original.xlsx</t>
        </is>
      </c>
    </row>
    <row r="1083" ht="40" customHeight="1">
      <c r="A1083" s="4" t="inlineStr">
        <is>
          <t>original:Known Other Costs!A30</t>
        </is>
      </c>
      <c r="B1083" s="4" t="inlineStr">
        <is>
          <t>Known Other Costs</t>
        </is>
      </c>
      <c r="C1083" s="4" t="inlineStr">
        <is>
          <t>A30</t>
        </is>
      </c>
      <c r="D1083" s="4" t="inlineStr">
        <is>
          <t>PPE + startup consumables</t>
        </is>
      </c>
      <c r="E1083" s="4" t="inlineStr">
        <is>
          <t>PPE + startup consumables</t>
        </is>
      </c>
      <c r="F1083" s="4" t="inlineStr">
        <is>
          <t>GOC Bed Unit-Costing Model v2 — working original.xlsx</t>
        </is>
      </c>
    </row>
    <row r="1084" ht="40" customHeight="1">
      <c r="A1084" s="4" t="inlineStr">
        <is>
          <t>original:Known Other Costs!B30</t>
        </is>
      </c>
      <c r="B1084" s="4" t="inlineStr">
        <is>
          <t>Known Other Costs</t>
        </is>
      </c>
      <c r="C1084" s="4" t="inlineStr">
        <is>
          <t>B30</t>
        </is>
      </c>
      <c r="D1084" s="4" t="n">
        <v>500</v>
      </c>
      <c r="E1084" s="4" t="n">
        <v>500</v>
      </c>
      <c r="F1084" s="4" t="inlineStr">
        <is>
          <t>GOC Bed Unit-Costing Model v2 — working original.xlsx</t>
        </is>
      </c>
    </row>
    <row r="1085" ht="40" customHeight="1">
      <c r="A1085" s="4" t="inlineStr">
        <is>
          <t>original:Known Other Costs!C30</t>
        </is>
      </c>
      <c r="B1085" s="4" t="inlineStr">
        <is>
          <t>Known Other Costs</t>
        </is>
      </c>
      <c r="C1085" s="4" t="inlineStr">
        <is>
          <t>C30</t>
        </is>
      </c>
      <c r="D1085" s="4" t="n">
        <v>1500</v>
      </c>
      <c r="E1085" s="4" t="n">
        <v>1500</v>
      </c>
      <c r="F1085" s="4" t="inlineStr">
        <is>
          <t>GOC Bed Unit-Costing Model v2 — working original.xlsx</t>
        </is>
      </c>
    </row>
    <row r="1086" ht="40" customHeight="1">
      <c r="A1086" s="4" t="inlineStr">
        <is>
          <t>original:Known Other Costs!D30</t>
        </is>
      </c>
      <c r="B1086" s="4" t="inlineStr">
        <is>
          <t>Known Other Costs</t>
        </is>
      </c>
      <c r="C1086" s="4" t="inlineStr">
        <is>
          <t>D30</t>
        </is>
      </c>
      <c r="D1086" s="4" t="n">
        <v>1000</v>
      </c>
      <c r="E1086" s="4" t="n">
        <v>1000</v>
      </c>
      <c r="F1086" s="4" t="inlineStr">
        <is>
          <t>GOC Bed Unit-Costing Model v2 — working original.xlsx</t>
        </is>
      </c>
    </row>
    <row r="1087" ht="40" customHeight="1">
      <c r="A1087" s="4" t="inlineStr">
        <is>
          <t>original:Known Other Costs!E30</t>
        </is>
      </c>
      <c r="B1087" s="4" t="inlineStr">
        <is>
          <t>Known Other Costs</t>
        </is>
      </c>
      <c r="C1087" s="4" t="inlineStr">
        <is>
          <t>E30</t>
        </is>
      </c>
      <c r="D1087" s="4" t="inlineStr">
        <is>
          <t>AUD</t>
        </is>
      </c>
      <c r="E1087" s="4" t="inlineStr">
        <is>
          <t>AUD</t>
        </is>
      </c>
      <c r="F1087" s="4" t="inlineStr">
        <is>
          <t>GOC Bed Unit-Costing Model v2 — working original.xlsx</t>
        </is>
      </c>
    </row>
    <row r="1088" ht="40" customHeight="1">
      <c r="A1088" s="4" t="inlineStr">
        <is>
          <t>original:Known Other Costs!F30</t>
        </is>
      </c>
      <c r="B1088" s="4" t="inlineStr">
        <is>
          <t>Known Other Costs</t>
        </is>
      </c>
      <c r="C1088" s="4" t="inlineStr">
        <is>
          <t>F30</t>
        </is>
      </c>
      <c r="D1088" s="4" t="inlineStr">
        <is>
          <t>allowance</t>
        </is>
      </c>
      <c r="E1088" s="4" t="inlineStr">
        <is>
          <t>allowance</t>
        </is>
      </c>
      <c r="F1088" s="4" t="inlineStr">
        <is>
          <t>GOC Bed Unit-Costing Model v2 — working original.xlsx</t>
        </is>
      </c>
    </row>
    <row r="1089" ht="40" customHeight="1">
      <c r="A1089" s="4" t="inlineStr">
        <is>
          <t>original:Known Other Costs!G30</t>
        </is>
      </c>
      <c r="B1089" s="4" t="inlineStr">
        <is>
          <t>Known Other Costs</t>
        </is>
      </c>
      <c r="C1089" s="4" t="inlineStr">
        <is>
          <t>G30</t>
        </is>
      </c>
      <c r="D1089" s="4" t="inlineStr">
        <is>
          <t>MVF replication model</t>
        </is>
      </c>
      <c r="E1089" s="4" t="inlineStr">
        <is>
          <t>MVF replication model</t>
        </is>
      </c>
      <c r="F1089" s="4" t="inlineStr">
        <is>
          <t>GOC Bed Unit-Costing Model v2 — working original.xlsx</t>
        </is>
      </c>
    </row>
    <row r="1090" ht="40" customHeight="1">
      <c r="A1090" s="4" t="inlineStr">
        <is>
          <t>original:Known Other Costs!H30</t>
        </is>
      </c>
      <c r="B1090" s="4" t="inlineStr">
        <is>
          <t>Known Other Costs</t>
        </is>
      </c>
      <c r="C1090" s="4" t="inlineStr">
        <is>
          <t>H30</t>
        </is>
      </c>
      <c r="D1090" s="4" t="inlineStr">
        <is>
          <t>Initial stock only.</t>
        </is>
      </c>
      <c r="E1090" s="4" t="inlineStr">
        <is>
          <t>Initial stock only.</t>
        </is>
      </c>
      <c r="F1090" s="4" t="inlineStr">
        <is>
          <t>GOC Bed Unit-Costing Model v2 — working original.xlsx</t>
        </is>
      </c>
    </row>
    <row r="1091" ht="40" customHeight="1">
      <c r="A1091" s="4" t="inlineStr">
        <is>
          <t>original:Known Other Costs!A31</t>
        </is>
      </c>
      <c r="B1091" s="4" t="inlineStr">
        <is>
          <t>Known Other Costs</t>
        </is>
      </c>
      <c r="C1091" s="4" t="inlineStr">
        <is>
          <t>A31</t>
        </is>
      </c>
      <c r="D1091" s="4" t="inlineStr">
        <is>
          <t>NEW-SITE MINIMAL VIABLE FACILITY</t>
        </is>
      </c>
      <c r="E1091" s="4" t="inlineStr">
        <is>
          <t>NEW-SITE MINIMAL VIABLE FACILITY</t>
        </is>
      </c>
      <c r="F1091" s="4" t="inlineStr">
        <is>
          <t>GOC Bed Unit-Costing Model v2 — working original.xlsx</t>
        </is>
      </c>
    </row>
    <row r="1092" ht="40" customHeight="1">
      <c r="A1092" s="4" t="inlineStr">
        <is>
          <t>original:Known Other Costs!B31</t>
        </is>
      </c>
      <c r="B1092" s="4" t="inlineStr">
        <is>
          <t>Known Other Costs</t>
        </is>
      </c>
      <c r="C1092" s="4" t="inlineStr">
        <is>
          <t>B31</t>
        </is>
      </c>
      <c r="D1092" s="4" t="n">
        <v>90767</v>
      </c>
      <c r="E1092" s="4" t="n">
        <v>90767</v>
      </c>
      <c r="F1092" s="4" t="inlineStr">
        <is>
          <t>GOC Bed Unit-Costing Model v2 — working original.xlsx</t>
        </is>
      </c>
    </row>
    <row r="1093" ht="40" customHeight="1">
      <c r="A1093" s="4" t="inlineStr">
        <is>
          <t>original:Known Other Costs!C31</t>
        </is>
      </c>
      <c r="B1093" s="4" t="inlineStr">
        <is>
          <t>Known Other Costs</t>
        </is>
      </c>
      <c r="C1093" s="4" t="inlineStr">
        <is>
          <t>C31</t>
        </is>
      </c>
      <c r="D1093" s="4" t="n">
        <v>122967</v>
      </c>
      <c r="E1093" s="4" t="n">
        <v>122967</v>
      </c>
      <c r="F1093" s="4" t="inlineStr">
        <is>
          <t>GOC Bed Unit-Costing Model v2 — working original.xlsx</t>
        </is>
      </c>
    </row>
    <row r="1094" ht="40" customHeight="1">
      <c r="A1094" s="4" t="inlineStr">
        <is>
          <t>original:Known Other Costs!D31</t>
        </is>
      </c>
      <c r="B1094" s="4" t="inlineStr">
        <is>
          <t>Known Other Costs</t>
        </is>
      </c>
      <c r="C1094" s="4" t="inlineStr">
        <is>
          <t>D31</t>
        </is>
      </c>
      <c r="D1094" s="4" t="n">
        <v>105000</v>
      </c>
      <c r="E1094" s="4" t="n">
        <v>105000</v>
      </c>
      <c r="F1094" s="4" t="inlineStr">
        <is>
          <t>GOC Bed Unit-Costing Model v2 — working original.xlsx</t>
        </is>
      </c>
    </row>
    <row r="1095" ht="40" customHeight="1">
      <c r="A1095" s="4" t="inlineStr">
        <is>
          <t>original:Known Other Costs!E31</t>
        </is>
      </c>
      <c r="B1095" s="4" t="inlineStr">
        <is>
          <t>Known Other Costs</t>
        </is>
      </c>
      <c r="C1095" s="4" t="inlineStr">
        <is>
          <t>E31</t>
        </is>
      </c>
      <c r="D1095" s="4" t="inlineStr">
        <is>
          <t>AUD</t>
        </is>
      </c>
      <c r="E1095" s="4" t="inlineStr">
        <is>
          <t>AUD</t>
        </is>
      </c>
      <c r="F1095" s="4" t="inlineStr">
        <is>
          <t>GOC Bed Unit-Costing Model v2 — working original.xlsx</t>
        </is>
      </c>
    </row>
    <row r="1096" ht="40" customHeight="1">
      <c r="A1096" s="4" t="inlineStr">
        <is>
          <t>original:Known Other Costs!F31</t>
        </is>
      </c>
      <c r="B1096" s="4" t="inlineStr">
        <is>
          <t>Known Other Costs</t>
        </is>
      </c>
      <c r="C1096" s="4" t="inlineStr">
        <is>
          <t>F31</t>
        </is>
      </c>
      <c r="D1096" s="4" t="inlineStr">
        <is>
          <t>modelled midpoint</t>
        </is>
      </c>
      <c r="E1096" s="4" t="inlineStr">
        <is>
          <t>modelled midpoint</t>
        </is>
      </c>
      <c r="F1096" s="4" t="inlineStr">
        <is>
          <t>GOC Bed Unit-Costing Model v2 — working original.xlsx</t>
        </is>
      </c>
    </row>
    <row r="1097" ht="40" customHeight="1">
      <c r="A1097" s="4" t="inlineStr">
        <is>
          <t>original:Known Other Costs!G31</t>
        </is>
      </c>
      <c r="B1097" s="4" t="inlineStr">
        <is>
          <t>Known Other Costs</t>
        </is>
      </c>
      <c r="C1097" s="4" t="inlineStr">
        <is>
          <t>G31</t>
        </is>
      </c>
      <c r="D1097" s="4" t="inlineStr">
        <is>
          <t>MVF reconciliation, 2026-07-22</t>
        </is>
      </c>
      <c r="E1097" s="4" t="inlineStr">
        <is>
          <t>MVF reconciliation, 2026-07-22</t>
        </is>
      </c>
      <c r="F1097" s="4" t="inlineStr">
        <is>
          <t>GOC Bed Unit-Costing Model v2 — working original.xlsx</t>
        </is>
      </c>
    </row>
    <row r="1098" ht="60" customHeight="1">
      <c r="A1098" s="4" t="inlineStr">
        <is>
          <t>original:Known Other Costs!H31</t>
        </is>
      </c>
      <c r="B1098" s="4" t="inlineStr">
        <is>
          <t>Known Other Costs</t>
        </is>
      </c>
      <c r="C1098" s="4" t="inlineStr">
        <is>
          <t>H31</t>
        </is>
      </c>
      <c r="D1098" s="4" t="inlineStr">
        <is>
          <t>Use about $105K as the replication planning figure. Firm quotes required.</t>
        </is>
      </c>
      <c r="E1098" s="4" t="inlineStr">
        <is>
          <t>Use about $105K as the replication planning figure. Firm quotes required.</t>
        </is>
      </c>
      <c r="F1098" s="4" t="inlineStr">
        <is>
          <t>GOC Bed Unit-Costing Model v2 — working original.xlsx</t>
        </is>
      </c>
    </row>
    <row r="1099" ht="40" customHeight="1">
      <c r="A1099" s="4" t="inlineStr">
        <is>
          <t>original:Known Other Costs!A32</t>
        </is>
      </c>
      <c r="B1099" s="4" t="inlineStr">
        <is>
          <t>Known Other Costs</t>
        </is>
      </c>
      <c r="C1099" s="4" t="inlineStr">
        <is>
          <t>A32</t>
        </is>
      </c>
      <c r="D1099" s="4" t="inlineStr">
        <is>
          <t>Matt container-workshop build</t>
        </is>
      </c>
      <c r="E1099" s="4" t="inlineStr">
        <is>
          <t>Matt container-workshop build</t>
        </is>
      </c>
      <c r="F1099" s="4" t="inlineStr">
        <is>
          <t>GOC Bed Unit-Costing Model v2 — working original.xlsx</t>
        </is>
      </c>
    </row>
    <row r="1100" ht="40" customHeight="1">
      <c r="A1100" s="4" t="inlineStr">
        <is>
          <t>original:Known Other Costs!D32</t>
        </is>
      </c>
      <c r="B1100" s="4" t="inlineStr">
        <is>
          <t>Known Other Costs</t>
        </is>
      </c>
      <c r="C1100" s="4" t="inlineStr">
        <is>
          <t>D32</t>
        </is>
      </c>
      <c r="D1100" s="4" t="n">
        <v>207450</v>
      </c>
      <c r="E1100" s="4" t="n">
        <v>207450</v>
      </c>
      <c r="F1100" s="4" t="inlineStr">
        <is>
          <t>GOC Bed Unit-Costing Model v2 — working original.xlsx</t>
        </is>
      </c>
    </row>
    <row r="1101" ht="40" customHeight="1">
      <c r="A1101" s="4" t="inlineStr">
        <is>
          <t>original:Known Other Costs!E32</t>
        </is>
      </c>
      <c r="B1101" s="4" t="inlineStr">
        <is>
          <t>Known Other Costs</t>
        </is>
      </c>
      <c r="C1101" s="4" t="inlineStr">
        <is>
          <t>E32</t>
        </is>
      </c>
      <c r="D1101" s="4" t="inlineStr">
        <is>
          <t>AUD</t>
        </is>
      </c>
      <c r="E1101" s="4" t="inlineStr">
        <is>
          <t>AUD</t>
        </is>
      </c>
      <c r="F1101" s="4" t="inlineStr">
        <is>
          <t>GOC Bed Unit-Costing Model v2 — working original.xlsx</t>
        </is>
      </c>
    </row>
    <row r="1102" ht="40" customHeight="1">
      <c r="A1102" s="4" t="inlineStr">
        <is>
          <t>original:Known Other Costs!F32</t>
        </is>
      </c>
      <c r="B1102" s="4" t="inlineStr">
        <is>
          <t>Known Other Costs</t>
        </is>
      </c>
      <c r="C1102" s="4" t="inlineStr">
        <is>
          <t>F32</t>
        </is>
      </c>
      <c r="D1102" s="4" t="inlineStr">
        <is>
          <t>modelled</t>
        </is>
      </c>
      <c r="E1102" s="4" t="inlineStr">
        <is>
          <t>modelled</t>
        </is>
      </c>
      <c r="F1102" s="4" t="inlineStr">
        <is>
          <t>GOC Bed Unit-Costing Model v2 — working original.xlsx</t>
        </is>
      </c>
    </row>
    <row r="1103" ht="40" customHeight="1">
      <c r="A1103" s="4" t="inlineStr">
        <is>
          <t>original:Known Other Costs!G32</t>
        </is>
      </c>
      <c r="B1103" s="4" t="inlineStr">
        <is>
          <t>Known Other Costs</t>
        </is>
      </c>
      <c r="C1103" s="4" t="inlineStr">
        <is>
          <t>G32</t>
        </is>
      </c>
      <c r="D1103" s="4" t="inlineStr">
        <is>
          <t>Matt Inputs B27</t>
        </is>
      </c>
      <c r="E1103" s="4" t="inlineStr">
        <is>
          <t>Matt Inputs B27</t>
        </is>
      </c>
      <c r="F1103" s="4" t="inlineStr">
        <is>
          <t>GOC Bed Unit-Costing Model v2 — working original.xlsx</t>
        </is>
      </c>
    </row>
    <row r="1104" ht="105" customHeight="1">
      <c r="A1104" s="4" t="inlineStr">
        <is>
          <t>original:Known Other Costs!H32</t>
        </is>
      </c>
      <c r="B1104" s="4" t="inlineStr">
        <is>
          <t>Known Other Costs</t>
        </is>
      </c>
      <c r="C1104" s="4" t="inlineStr">
        <is>
          <t>H32</t>
        </is>
      </c>
      <c r="D1104" s="4" t="inlineStr">
        <is>
          <t>$167K equipment midpoint + $40,450 container lines. Different SCOPE from the MVF replication case, not a competing estimate of the same thing.</t>
        </is>
      </c>
      <c r="E1104" s="4" t="inlineStr">
        <is>
          <t>$167K equipment midpoint + $40,450 container lines. Different SCOPE from the MVF replication case, not a competing estimate of the same thing.</t>
        </is>
      </c>
      <c r="F1104" s="4" t="inlineStr">
        <is>
          <t>GOC Bed Unit-Costing Model v2 — working original.xlsx</t>
        </is>
      </c>
    </row>
    <row r="1105" ht="40" customHeight="1">
      <c r="A1105" s="4" t="inlineStr">
        <is>
          <t>original:Known Other Costs!A34</t>
        </is>
      </c>
      <c r="B1105" s="4" t="inlineStr">
        <is>
          <t>Known Other Costs</t>
        </is>
      </c>
      <c r="C1105" s="4" t="inlineStr">
        <is>
          <t>A34</t>
        </is>
      </c>
      <c r="D1105" s="4" t="inlineStr">
        <is>
          <t>3. RECURRING COSTS ALREADY FOUND</t>
        </is>
      </c>
      <c r="E1105" s="4" t="inlineStr">
        <is>
          <t>3. RECURRING COSTS ALREADY FOUND</t>
        </is>
      </c>
      <c r="F1105" s="4" t="inlineStr">
        <is>
          <t>GOC Bed Unit-Costing Model v2 — working original.xlsx</t>
        </is>
      </c>
    </row>
    <row r="1106" ht="40" customHeight="1">
      <c r="A1106" s="4" t="inlineStr">
        <is>
          <t>original:Known Other Costs!A35</t>
        </is>
      </c>
      <c r="B1106" s="4" t="inlineStr">
        <is>
          <t>Known Other Costs</t>
        </is>
      </c>
      <c r="C1106" s="4" t="inlineStr">
        <is>
          <t>A35</t>
        </is>
      </c>
      <c r="D1106" s="4" t="inlineStr">
        <is>
          <t>Cost item</t>
        </is>
      </c>
      <c r="E1106" s="4" t="inlineStr">
        <is>
          <t>Cost item</t>
        </is>
      </c>
      <c r="F1106" s="4" t="inlineStr">
        <is>
          <t>GOC Bed Unit-Costing Model v2 — working original.xlsx</t>
        </is>
      </c>
    </row>
    <row r="1107" ht="40" customHeight="1">
      <c r="A1107" s="4" t="inlineStr">
        <is>
          <t>original:Known Other Costs!B35</t>
        </is>
      </c>
      <c r="B1107" s="4" t="inlineStr">
        <is>
          <t>Known Other Costs</t>
        </is>
      </c>
      <c r="C1107" s="4" t="inlineStr">
        <is>
          <t>B35</t>
        </is>
      </c>
      <c r="D1107" s="4" t="inlineStr">
        <is>
          <t>Low</t>
        </is>
      </c>
      <c r="E1107" s="4" t="inlineStr">
        <is>
          <t>Low</t>
        </is>
      </c>
      <c r="F1107" s="4" t="inlineStr">
        <is>
          <t>GOC Bed Unit-Costing Model v2 — working original.xlsx</t>
        </is>
      </c>
    </row>
    <row r="1108" ht="40" customHeight="1">
      <c r="A1108" s="4" t="inlineStr">
        <is>
          <t>original:Known Other Costs!C35</t>
        </is>
      </c>
      <c r="B1108" s="4" t="inlineStr">
        <is>
          <t>Known Other Costs</t>
        </is>
      </c>
      <c r="C1108" s="4" t="inlineStr">
        <is>
          <t>C35</t>
        </is>
      </c>
      <c r="D1108" s="4" t="inlineStr">
        <is>
          <t>High</t>
        </is>
      </c>
      <c r="E1108" s="4" t="inlineStr">
        <is>
          <t>High</t>
        </is>
      </c>
      <c r="F1108" s="4" t="inlineStr">
        <is>
          <t>GOC Bed Unit-Costing Model v2 — working original.xlsx</t>
        </is>
      </c>
    </row>
    <row r="1109" ht="40" customHeight="1">
      <c r="A1109" s="4" t="inlineStr">
        <is>
          <t>original:Known Other Costs!D35</t>
        </is>
      </c>
      <c r="B1109" s="4" t="inlineStr">
        <is>
          <t>Known Other Costs</t>
        </is>
      </c>
      <c r="C1109" s="4" t="inlineStr">
        <is>
          <t>D35</t>
        </is>
      </c>
      <c r="D1109" s="4" t="inlineStr">
        <is>
          <t>Selected/current</t>
        </is>
      </c>
      <c r="E1109" s="4" t="inlineStr">
        <is>
          <t>Selected/current</t>
        </is>
      </c>
      <c r="F1109" s="4" t="inlineStr">
        <is>
          <t>GOC Bed Unit-Costing Model v2 — working original.xlsx</t>
        </is>
      </c>
    </row>
    <row r="1110" ht="40" customHeight="1">
      <c r="A1110" s="4" t="inlineStr">
        <is>
          <t>original:Known Other Costs!E35</t>
        </is>
      </c>
      <c r="B1110" s="4" t="inlineStr">
        <is>
          <t>Known Other Costs</t>
        </is>
      </c>
      <c r="C1110" s="4" t="inlineStr">
        <is>
          <t>E35</t>
        </is>
      </c>
      <c r="D1110" s="4" t="inlineStr">
        <is>
          <t>Unit</t>
        </is>
      </c>
      <c r="E1110" s="4" t="inlineStr">
        <is>
          <t>Unit</t>
        </is>
      </c>
      <c r="F1110" s="4" t="inlineStr">
        <is>
          <t>GOC Bed Unit-Costing Model v2 — working original.xlsx</t>
        </is>
      </c>
    </row>
    <row r="1111" ht="40" customHeight="1">
      <c r="A1111" s="4" t="inlineStr">
        <is>
          <t>original:Known Other Costs!F35</t>
        </is>
      </c>
      <c r="B1111" s="4" t="inlineStr">
        <is>
          <t>Known Other Costs</t>
        </is>
      </c>
      <c r="C1111" s="4" t="inlineStr">
        <is>
          <t>F35</t>
        </is>
      </c>
      <c r="D1111" s="4" t="inlineStr">
        <is>
          <t>Status</t>
        </is>
      </c>
      <c r="E1111" s="4" t="inlineStr">
        <is>
          <t>Status</t>
        </is>
      </c>
      <c r="F1111" s="4" t="inlineStr">
        <is>
          <t>GOC Bed Unit-Costing Model v2 — working original.xlsx</t>
        </is>
      </c>
    </row>
    <row r="1112" ht="40" customHeight="1">
      <c r="A1112" s="4" t="inlineStr">
        <is>
          <t>original:Known Other Costs!G35</t>
        </is>
      </c>
      <c r="B1112" s="4" t="inlineStr">
        <is>
          <t>Known Other Costs</t>
        </is>
      </c>
      <c r="C1112" s="4" t="inlineStr">
        <is>
          <t>G35</t>
        </is>
      </c>
      <c r="D1112" s="4" t="inlineStr">
        <is>
          <t>Source</t>
        </is>
      </c>
      <c r="E1112" s="4" t="inlineStr">
        <is>
          <t>Source</t>
        </is>
      </c>
      <c r="F1112" s="4" t="inlineStr">
        <is>
          <t>GOC Bed Unit-Costing Model v2 — working original.xlsx</t>
        </is>
      </c>
    </row>
    <row r="1113" ht="40" customHeight="1">
      <c r="A1113" s="4" t="inlineStr">
        <is>
          <t>original:Known Other Costs!H35</t>
        </is>
      </c>
      <c r="B1113" s="4" t="inlineStr">
        <is>
          <t>Known Other Costs</t>
        </is>
      </c>
      <c r="C1113" s="4" t="inlineStr">
        <is>
          <t>H35</t>
        </is>
      </c>
      <c r="D1113" s="4" t="inlineStr">
        <is>
          <t>Notes</t>
        </is>
      </c>
      <c r="E1113" s="4" t="inlineStr">
        <is>
          <t>Notes</t>
        </is>
      </c>
      <c r="F1113" s="4" t="inlineStr">
        <is>
          <t>GOC Bed Unit-Costing Model v2 — working original.xlsx</t>
        </is>
      </c>
    </row>
    <row r="1114" ht="40" customHeight="1">
      <c r="A1114" s="4" t="inlineStr">
        <is>
          <t>original:Known Other Costs!A36</t>
        </is>
      </c>
      <c r="B1114" s="4" t="inlineStr">
        <is>
          <t>Known Other Costs</t>
        </is>
      </c>
      <c r="C1114" s="4" t="inlineStr">
        <is>
          <t>A36</t>
        </is>
      </c>
      <c r="D1114" s="4" t="inlineStr">
        <is>
          <t>Founder full Goods time, 150 days</t>
        </is>
      </c>
      <c r="E1114" s="4" t="inlineStr">
        <is>
          <t>Founder full Goods time, 150 days</t>
        </is>
      </c>
      <c r="F1114" s="4" t="inlineStr">
        <is>
          <t>GOC Bed Unit-Costing Model v2 — working original.xlsx</t>
        </is>
      </c>
    </row>
    <row r="1115" ht="40" customHeight="1">
      <c r="A1115" s="4" t="inlineStr">
        <is>
          <t>original:Known Other Costs!D36</t>
        </is>
      </c>
      <c r="B1115" s="4" t="inlineStr">
        <is>
          <t>Known Other Costs</t>
        </is>
      </c>
      <c r="C1115" s="4" t="inlineStr">
        <is>
          <t>D36</t>
        </is>
      </c>
      <c r="D1115" s="4" t="n">
        <v>84000</v>
      </c>
      <c r="E1115" s="4" t="n">
        <v>84000</v>
      </c>
      <c r="F1115" s="4" t="inlineStr">
        <is>
          <t>GOC Bed Unit-Costing Model v2 — working original.xlsx</t>
        </is>
      </c>
    </row>
    <row r="1116" ht="40" customHeight="1">
      <c r="A1116" s="4" t="inlineStr">
        <is>
          <t>original:Known Other Costs!E36</t>
        </is>
      </c>
      <c r="B1116" s="4" t="inlineStr">
        <is>
          <t>Known Other Costs</t>
        </is>
      </c>
      <c r="C1116" s="4" t="inlineStr">
        <is>
          <t>E36</t>
        </is>
      </c>
      <c r="D1116" s="4" t="inlineStr">
        <is>
          <t>AUD/yr</t>
        </is>
      </c>
      <c r="E1116" s="4" t="inlineStr">
        <is>
          <t>AUD/yr</t>
        </is>
      </c>
      <c r="F1116" s="4" t="inlineStr">
        <is>
          <t>GOC Bed Unit-Costing Model v2 — working original.xlsx</t>
        </is>
      </c>
    </row>
    <row r="1117" ht="40" customHeight="1">
      <c r="A1117" s="4" t="inlineStr">
        <is>
          <t>original:Known Other Costs!F36</t>
        </is>
      </c>
      <c r="B1117" s="4" t="inlineStr">
        <is>
          <t>Known Other Costs</t>
        </is>
      </c>
      <c r="C1117" s="4" t="inlineStr">
        <is>
          <t>F36</t>
        </is>
      </c>
      <c r="D1117" s="4" t="inlineStr">
        <is>
          <t>locked</t>
        </is>
      </c>
      <c r="E1117" s="4" t="inlineStr">
        <is>
          <t>locked</t>
        </is>
      </c>
      <c r="F1117" s="4" t="inlineStr">
        <is>
          <t>GOC Bed Unit-Costing Model v2 — working original.xlsx</t>
        </is>
      </c>
    </row>
    <row r="1118" ht="40" customHeight="1">
      <c r="A1118" s="4" t="inlineStr">
        <is>
          <t>original:Known Other Costs!G36</t>
        </is>
      </c>
      <c r="B1118" s="4" t="inlineStr">
        <is>
          <t>Known Other Costs</t>
        </is>
      </c>
      <c r="C1118" s="4" t="inlineStr">
        <is>
          <t>G36</t>
        </is>
      </c>
      <c r="D1118" s="4" t="inlineStr">
        <is>
          <t>Nic and Ben</t>
        </is>
      </c>
      <c r="E1118" s="4" t="inlineStr">
        <is>
          <t>Nic and Ben</t>
        </is>
      </c>
      <c r="F1118" s="4" t="inlineStr">
        <is>
          <t>GOC Bed Unit-Costing Model v2 — working original.xlsx</t>
        </is>
      </c>
    </row>
    <row r="1119" ht="60" customHeight="1">
      <c r="A1119" s="4" t="inlineStr">
        <is>
          <t>original:Known Other Costs!H36</t>
        </is>
      </c>
      <c r="B1119" s="4" t="inlineStr">
        <is>
          <t>Known Other Costs</t>
        </is>
      </c>
      <c r="C1119" s="4" t="inlineStr">
        <is>
          <t>H36</t>
        </is>
      </c>
      <c r="D1119" s="4" t="inlineStr">
        <is>
          <t>30 production, 50 fundraising, 25 commercialisation, 45 governance days.</t>
        </is>
      </c>
      <c r="E1119" s="4" t="inlineStr">
        <is>
          <t>30 production, 50 fundraising, 25 commercialisation, 45 governance days.</t>
        </is>
      </c>
      <c r="F1119" s="4" t="inlineStr">
        <is>
          <t>GOC Bed Unit-Costing Model v2 — working original.xlsx</t>
        </is>
      </c>
    </row>
    <row r="1120" ht="40" customHeight="1">
      <c r="A1120" s="4" t="inlineStr">
        <is>
          <t>original:Known Other Costs!A37</t>
        </is>
      </c>
      <c r="B1120" s="4" t="inlineStr">
        <is>
          <t>Known Other Costs</t>
        </is>
      </c>
      <c r="C1120" s="4" t="inlineStr">
        <is>
          <t>A37</t>
        </is>
      </c>
      <c r="D1120" s="4" t="inlineStr">
        <is>
          <t>Founder non-production time</t>
        </is>
      </c>
      <c r="E1120" s="4" t="inlineStr">
        <is>
          <t>Founder non-production time</t>
        </is>
      </c>
      <c r="F1120" s="4" t="inlineStr">
        <is>
          <t>GOC Bed Unit-Costing Model v2 — working original.xlsx</t>
        </is>
      </c>
    </row>
    <row r="1121" ht="40" customHeight="1">
      <c r="A1121" s="4" t="inlineStr">
        <is>
          <t>original:Known Other Costs!D37</t>
        </is>
      </c>
      <c r="B1121" s="4" t="inlineStr">
        <is>
          <t>Known Other Costs</t>
        </is>
      </c>
      <c r="C1121" s="4" t="inlineStr">
        <is>
          <t>D37</t>
        </is>
      </c>
      <c r="D1121" s="4" t="n">
        <v>67200</v>
      </c>
      <c r="E1121" s="4" t="n">
        <v>67200</v>
      </c>
      <c r="F1121" s="4" t="inlineStr">
        <is>
          <t>GOC Bed Unit-Costing Model v2 — working original.xlsx</t>
        </is>
      </c>
    </row>
    <row r="1122" ht="40" customHeight="1">
      <c r="A1122" s="4" t="inlineStr">
        <is>
          <t>original:Known Other Costs!E37</t>
        </is>
      </c>
      <c r="B1122" s="4" t="inlineStr">
        <is>
          <t>Known Other Costs</t>
        </is>
      </c>
      <c r="C1122" s="4" t="inlineStr">
        <is>
          <t>E37</t>
        </is>
      </c>
      <c r="D1122" s="4" t="inlineStr">
        <is>
          <t>AUD/yr</t>
        </is>
      </c>
      <c r="E1122" s="4" t="inlineStr">
        <is>
          <t>AUD/yr</t>
        </is>
      </c>
      <c r="F1122" s="4" t="inlineStr">
        <is>
          <t>GOC Bed Unit-Costing Model v2 — working original.xlsx</t>
        </is>
      </c>
    </row>
    <row r="1123" ht="40" customHeight="1">
      <c r="A1123" s="4" t="inlineStr">
        <is>
          <t>original:Known Other Costs!F37</t>
        </is>
      </c>
      <c r="B1123" s="4" t="inlineStr">
        <is>
          <t>Known Other Costs</t>
        </is>
      </c>
      <c r="C1123" s="4" t="inlineStr">
        <is>
          <t>F37</t>
        </is>
      </c>
      <c r="D1123" s="4" t="inlineStr">
        <is>
          <t>locked</t>
        </is>
      </c>
      <c r="E1123" s="4" t="inlineStr">
        <is>
          <t>locked</t>
        </is>
      </c>
      <c r="F1123" s="4" t="inlineStr">
        <is>
          <t>GOC Bed Unit-Costing Model v2 — working original.xlsx</t>
        </is>
      </c>
    </row>
    <row r="1124" ht="40" customHeight="1">
      <c r="A1124" s="4" t="inlineStr">
        <is>
          <t>original:Known Other Costs!G37</t>
        </is>
      </c>
      <c r="B1124" s="4" t="inlineStr">
        <is>
          <t>Known Other Costs</t>
        </is>
      </c>
      <c r="C1124" s="4" t="inlineStr">
        <is>
          <t>G37</t>
        </is>
      </c>
      <c r="D1124" s="4" t="inlineStr">
        <is>
          <t>Nic and Ben</t>
        </is>
      </c>
      <c r="E1124" s="4" t="inlineStr">
        <is>
          <t>Nic and Ben</t>
        </is>
      </c>
      <c r="F1124" s="4" t="inlineStr">
        <is>
          <t>GOC Bed Unit-Costing Model v2 — working original.xlsx</t>
        </is>
      </c>
    </row>
    <row r="1125" ht="75" customHeight="1">
      <c r="A1125" s="4" t="inlineStr">
        <is>
          <t>original:Known Other Costs!H37</t>
        </is>
      </c>
      <c r="B1125" s="4" t="inlineStr">
        <is>
          <t>Known Other Costs</t>
        </is>
      </c>
      <c r="C1125" s="4" t="inlineStr">
        <is>
          <t>H37</t>
        </is>
      </c>
      <c r="D1125" s="4" t="inlineStr">
        <is>
          <t>Excluded from unit cost. Q13: entity overhead with an explicit founder-contribution add-back.</t>
        </is>
      </c>
      <c r="E1125" s="4" t="inlineStr">
        <is>
          <t>Excluded from unit cost. Q13: entity overhead with an explicit founder-contribution add-back.</t>
        </is>
      </c>
      <c r="F1125" s="4" t="inlineStr">
        <is>
          <t>GOC Bed Unit-Costing Model v2 — working original.xlsx</t>
        </is>
      </c>
    </row>
    <row r="1126" ht="40" customHeight="1">
      <c r="A1126" s="4" t="inlineStr">
        <is>
          <t>original:Known Other Costs!A38</t>
        </is>
      </c>
      <c r="B1126" s="4" t="inlineStr">
        <is>
          <t>Known Other Costs</t>
        </is>
      </c>
      <c r="C1126" s="4" t="inlineStr">
        <is>
          <t>A38</t>
        </is>
      </c>
      <c r="D1126" s="4" t="inlineStr">
        <is>
          <t>Equipment maintenance per facility</t>
        </is>
      </c>
      <c r="E1126" s="4" t="inlineStr">
        <is>
          <t>Equipment maintenance per facility</t>
        </is>
      </c>
      <c r="F1126" s="4" t="inlineStr">
        <is>
          <t>GOC Bed Unit-Costing Model v2 — working original.xlsx</t>
        </is>
      </c>
    </row>
    <row r="1127" ht="40" customHeight="1">
      <c r="A1127" s="4" t="inlineStr">
        <is>
          <t>original:Known Other Costs!D38</t>
        </is>
      </c>
      <c r="B1127" s="4" t="inlineStr">
        <is>
          <t>Known Other Costs</t>
        </is>
      </c>
      <c r="C1127" s="4" t="inlineStr">
        <is>
          <t>D38</t>
        </is>
      </c>
      <c r="D1127" s="4" t="n">
        <v>8350</v>
      </c>
      <c r="E1127" s="4" t="n">
        <v>8350</v>
      </c>
      <c r="F1127" s="4" t="inlineStr">
        <is>
          <t>GOC Bed Unit-Costing Model v2 — working original.xlsx</t>
        </is>
      </c>
    </row>
    <row r="1128" ht="40" customHeight="1">
      <c r="A1128" s="4" t="inlineStr">
        <is>
          <t>original:Known Other Costs!E38</t>
        </is>
      </c>
      <c r="B1128" s="4" t="inlineStr">
        <is>
          <t>Known Other Costs</t>
        </is>
      </c>
      <c r="C1128" s="4" t="inlineStr">
        <is>
          <t>E38</t>
        </is>
      </c>
      <c r="D1128" s="4" t="inlineStr">
        <is>
          <t>AUD/facility/yr</t>
        </is>
      </c>
      <c r="E1128" s="4" t="inlineStr">
        <is>
          <t>AUD/facility/yr</t>
        </is>
      </c>
      <c r="F1128" s="4" t="inlineStr">
        <is>
          <t>GOC Bed Unit-Costing Model v2 — working original.xlsx</t>
        </is>
      </c>
    </row>
    <row r="1129" ht="40" customHeight="1">
      <c r="A1129" s="4" t="inlineStr">
        <is>
          <t>original:Known Other Costs!F38</t>
        </is>
      </c>
      <c r="B1129" s="4" t="inlineStr">
        <is>
          <t>Known Other Costs</t>
        </is>
      </c>
      <c r="C1129" s="4" t="inlineStr">
        <is>
          <t>F38</t>
        </is>
      </c>
      <c r="D1129" s="4" t="inlineStr">
        <is>
          <t>placeholder</t>
        </is>
      </c>
      <c r="E1129" s="4" t="inlineStr">
        <is>
          <t>placeholder</t>
        </is>
      </c>
      <c r="F1129" s="4" t="inlineStr">
        <is>
          <t>GOC Bed Unit-Costing Model v2 — working original.xlsx</t>
        </is>
      </c>
    </row>
    <row r="1130" ht="40" customHeight="1">
      <c r="A1130" s="4" t="inlineStr">
        <is>
          <t>original:Known Other Costs!G38</t>
        </is>
      </c>
      <c r="B1130" s="4" t="inlineStr">
        <is>
          <t>Known Other Costs</t>
        </is>
      </c>
      <c r="C1130" s="4" t="inlineStr">
        <is>
          <t>G38</t>
        </is>
      </c>
      <c r="D1130" s="4" t="inlineStr">
        <is>
          <t>GoC Q&amp;A Q9; Matt selected 5%</t>
        </is>
      </c>
      <c r="E1130" s="4" t="inlineStr">
        <is>
          <t>GoC Q&amp;A Q9; Matt selected 5%</t>
        </is>
      </c>
      <c r="F1130" s="4" t="inlineStr">
        <is>
          <t>GOC Bed Unit-Costing Model v2 — working original.xlsx</t>
        </is>
      </c>
    </row>
    <row r="1131" ht="40" customHeight="1">
      <c r="A1131" s="4" t="inlineStr">
        <is>
          <t>original:Known Other Costs!H38</t>
        </is>
      </c>
      <c r="B1131" s="4" t="inlineStr">
        <is>
          <t>Known Other Costs</t>
        </is>
      </c>
      <c r="C1131" s="4" t="inlineStr">
        <is>
          <t>H38</t>
        </is>
      </c>
      <c r="D1131" s="4" t="inlineStr">
        <is>
          <t>5% of $167K equipment. Vendor quotes pending.</t>
        </is>
      </c>
      <c r="E1131" s="4" t="inlineStr">
        <is>
          <t>5% of $167K equipment. Vendor quotes pending.</t>
        </is>
      </c>
      <c r="F1131" s="4" t="inlineStr">
        <is>
          <t>GOC Bed Unit-Costing Model v2 — working original.xlsx</t>
        </is>
      </c>
    </row>
    <row r="1132" ht="40" customHeight="1">
      <c r="A1132" s="4" t="inlineStr">
        <is>
          <t>original:Known Other Costs!A39</t>
        </is>
      </c>
      <c r="B1132" s="4" t="inlineStr">
        <is>
          <t>Known Other Costs</t>
        </is>
      </c>
      <c r="C1132" s="4" t="inlineStr">
        <is>
          <t>A39</t>
        </is>
      </c>
      <c r="D1132" s="4" t="inlineStr">
        <is>
          <t>Community lease, rent, utilities and site</t>
        </is>
      </c>
      <c r="E1132" s="4" t="inlineStr">
        <is>
          <t>Community lease, rent, utilities and site</t>
        </is>
      </c>
      <c r="F1132" s="4" t="inlineStr">
        <is>
          <t>GOC Bed Unit-Costing Model v2 — working original.xlsx</t>
        </is>
      </c>
    </row>
    <row r="1133" ht="40" customHeight="1">
      <c r="A1133" s="4" t="inlineStr">
        <is>
          <t>original:Known Other Costs!D39</t>
        </is>
      </c>
      <c r="B1133" s="4" t="inlineStr">
        <is>
          <t>Known Other Costs</t>
        </is>
      </c>
      <c r="C1133" s="4" t="inlineStr">
        <is>
          <t>D39</t>
        </is>
      </c>
      <c r="D1133" s="4" t="n">
        <v>60000</v>
      </c>
      <c r="E1133" s="4" t="n">
        <v>60000</v>
      </c>
      <c r="F1133" s="4" t="inlineStr">
        <is>
          <t>GOC Bed Unit-Costing Model v2 — working original.xlsx</t>
        </is>
      </c>
    </row>
    <row r="1134" ht="40" customHeight="1">
      <c r="A1134" s="4" t="inlineStr">
        <is>
          <t>original:Known Other Costs!E39</t>
        </is>
      </c>
      <c r="B1134" s="4" t="inlineStr">
        <is>
          <t>Known Other Costs</t>
        </is>
      </c>
      <c r="C1134" s="4" t="inlineStr">
        <is>
          <t>E39</t>
        </is>
      </c>
      <c r="D1134" s="4" t="inlineStr">
        <is>
          <t>AUD/site/yr</t>
        </is>
      </c>
      <c r="E1134" s="4" t="inlineStr">
        <is>
          <t>AUD/site/yr</t>
        </is>
      </c>
      <c r="F1134" s="4" t="inlineStr">
        <is>
          <t>GOC Bed Unit-Costing Model v2 — working original.xlsx</t>
        </is>
      </c>
    </row>
    <row r="1135" ht="40" customHeight="1">
      <c r="A1135" s="4" t="inlineStr">
        <is>
          <t>original:Known Other Costs!F39</t>
        </is>
      </c>
      <c r="B1135" s="4" t="inlineStr">
        <is>
          <t>Known Other Costs</t>
        </is>
      </c>
      <c r="C1135" s="4" t="inlineStr">
        <is>
          <t>F39</t>
        </is>
      </c>
      <c r="D1135" s="4" t="inlineStr">
        <is>
          <t>as-written</t>
        </is>
      </c>
      <c r="E1135" s="4" t="inlineStr">
        <is>
          <t>as-written</t>
        </is>
      </c>
      <c r="F1135" s="4" t="inlineStr">
        <is>
          <t>GOC Bed Unit-Costing Model v2 — working original.xlsx</t>
        </is>
      </c>
    </row>
    <row r="1136" ht="40" customHeight="1">
      <c r="A1136" s="4" t="inlineStr">
        <is>
          <t>original:Known Other Costs!G39</t>
        </is>
      </c>
      <c r="B1136" s="4" t="inlineStr">
        <is>
          <t>Known Other Costs</t>
        </is>
      </c>
      <c r="C1136" s="4" t="inlineStr">
        <is>
          <t>G39</t>
        </is>
      </c>
      <c r="D1136" s="4" t="inlineStr">
        <is>
          <t>Oonchiumpa DEWR application</t>
        </is>
      </c>
      <c r="E1136" s="4" t="inlineStr">
        <is>
          <t>Oonchiumpa DEWR application</t>
        </is>
      </c>
      <c r="F1136" s="4" t="inlineStr">
        <is>
          <t>GOC Bed Unit-Costing Model v2 — working original.xlsx</t>
        </is>
      </c>
    </row>
    <row r="1137" ht="45" customHeight="1">
      <c r="A1137" s="4" t="inlineStr">
        <is>
          <t>original:Known Other Costs!H39</t>
        </is>
      </c>
      <c r="B1137" s="4" t="inlineStr">
        <is>
          <t>Known Other Costs</t>
        </is>
      </c>
      <c r="C1137" s="4" t="inlineStr">
        <is>
          <t>H39</t>
        </is>
      </c>
      <c r="D1137" s="4" t="inlineStr">
        <is>
          <t>$180K over three years. Splits 50/50 production/program.</t>
        </is>
      </c>
      <c r="E1137" s="4" t="inlineStr">
        <is>
          <t>$180K over three years. Splits 50/50 production/program.</t>
        </is>
      </c>
      <c r="F1137" s="4" t="inlineStr">
        <is>
          <t>GOC Bed Unit-Costing Model v2 — working original.xlsx</t>
        </is>
      </c>
    </row>
    <row r="1138" ht="40" customHeight="1">
      <c r="A1138" s="4" t="inlineStr">
        <is>
          <t>original:Known Other Costs!A40</t>
        </is>
      </c>
      <c r="B1138" s="4" t="inlineStr">
        <is>
          <t>Known Other Costs</t>
        </is>
      </c>
      <c r="C1138" s="4" t="inlineStr">
        <is>
          <t>A40</t>
        </is>
      </c>
      <c r="D1138" s="4" t="inlineStr">
        <is>
          <t>Community facility insurance</t>
        </is>
      </c>
      <c r="E1138" s="4" t="inlineStr">
        <is>
          <t>Community facility insurance</t>
        </is>
      </c>
      <c r="F1138" s="4" t="inlineStr">
        <is>
          <t>GOC Bed Unit-Costing Model v2 — working original.xlsx</t>
        </is>
      </c>
    </row>
    <row r="1139" ht="40" customHeight="1">
      <c r="A1139" s="4" t="inlineStr">
        <is>
          <t>original:Known Other Costs!D40</t>
        </is>
      </c>
      <c r="B1139" s="4" t="inlineStr">
        <is>
          <t>Known Other Costs</t>
        </is>
      </c>
      <c r="C1139" s="4" t="inlineStr">
        <is>
          <t>D40</t>
        </is>
      </c>
      <c r="D1139" s="4" t="n">
        <v>40000</v>
      </c>
      <c r="E1139" s="4" t="n">
        <v>40000</v>
      </c>
      <c r="F1139" s="4" t="inlineStr">
        <is>
          <t>GOC Bed Unit-Costing Model v2 — working original.xlsx</t>
        </is>
      </c>
    </row>
    <row r="1140" ht="40" customHeight="1">
      <c r="A1140" s="4" t="inlineStr">
        <is>
          <t>original:Known Other Costs!E40</t>
        </is>
      </c>
      <c r="B1140" s="4" t="inlineStr">
        <is>
          <t>Known Other Costs</t>
        </is>
      </c>
      <c r="C1140" s="4" t="inlineStr">
        <is>
          <t>E40</t>
        </is>
      </c>
      <c r="D1140" s="4" t="inlineStr">
        <is>
          <t>AUD/site/yr</t>
        </is>
      </c>
      <c r="E1140" s="4" t="inlineStr">
        <is>
          <t>AUD/site/yr</t>
        </is>
      </c>
      <c r="F1140" s="4" t="inlineStr">
        <is>
          <t>GOC Bed Unit-Costing Model v2 — working original.xlsx</t>
        </is>
      </c>
    </row>
    <row r="1141" ht="40" customHeight="1">
      <c r="A1141" s="4" t="inlineStr">
        <is>
          <t>original:Known Other Costs!F40</t>
        </is>
      </c>
      <c r="B1141" s="4" t="inlineStr">
        <is>
          <t>Known Other Costs</t>
        </is>
      </c>
      <c r="C1141" s="4" t="inlineStr">
        <is>
          <t>F40</t>
        </is>
      </c>
      <c r="D1141" s="4" t="inlineStr">
        <is>
          <t>as-written</t>
        </is>
      </c>
      <c r="E1141" s="4" t="inlineStr">
        <is>
          <t>as-written</t>
        </is>
      </c>
      <c r="F1141" s="4" t="inlineStr">
        <is>
          <t>GOC Bed Unit-Costing Model v2 — working original.xlsx</t>
        </is>
      </c>
    </row>
    <row r="1142" ht="40" customHeight="1">
      <c r="A1142" s="4" t="inlineStr">
        <is>
          <t>original:Known Other Costs!G40</t>
        </is>
      </c>
      <c r="B1142" s="4" t="inlineStr">
        <is>
          <t>Known Other Costs</t>
        </is>
      </c>
      <c r="C1142" s="4" t="inlineStr">
        <is>
          <t>G40</t>
        </is>
      </c>
      <c r="D1142" s="4" t="inlineStr">
        <is>
          <t>Oonchiumpa DEWR application</t>
        </is>
      </c>
      <c r="E1142" s="4" t="inlineStr">
        <is>
          <t>Oonchiumpa DEWR application</t>
        </is>
      </c>
      <c r="F1142" s="4" t="inlineStr">
        <is>
          <t>GOC Bed Unit-Costing Model v2 — working original.xlsx</t>
        </is>
      </c>
    </row>
    <row r="1143" ht="40" customHeight="1">
      <c r="A1143" s="4" t="inlineStr">
        <is>
          <t>original:Known Other Costs!H40</t>
        </is>
      </c>
      <c r="B1143" s="4" t="inlineStr">
        <is>
          <t>Known Other Costs</t>
        </is>
      </c>
      <c r="C1143" s="4" t="inlineStr">
        <is>
          <t>H40</t>
        </is>
      </c>
      <c r="D1143" s="4" t="inlineStr">
        <is>
          <t>$120K over three years.</t>
        </is>
      </c>
      <c r="E1143" s="4" t="inlineStr">
        <is>
          <t>$120K over three years.</t>
        </is>
      </c>
      <c r="F1143" s="4" t="inlineStr">
        <is>
          <t>GOC Bed Unit-Costing Model v2 — working original.xlsx</t>
        </is>
      </c>
    </row>
    <row r="1144" ht="40" customHeight="1">
      <c r="A1144" s="4" t="inlineStr">
        <is>
          <t>original:Known Other Costs!A41</t>
        </is>
      </c>
      <c r="B1144" s="4" t="inlineStr">
        <is>
          <t>Known Other Costs</t>
        </is>
      </c>
      <c r="C1144" s="4" t="inlineStr">
        <is>
          <t>A41</t>
        </is>
      </c>
      <c r="D1144" s="4" t="inlineStr">
        <is>
          <t>Community administration, accounting and IT</t>
        </is>
      </c>
      <c r="E1144" s="4" t="inlineStr">
        <is>
          <t>Community administration, accounting and IT</t>
        </is>
      </c>
      <c r="F1144" s="4" t="inlineStr">
        <is>
          <t>GOC Bed Unit-Costing Model v2 — working original.xlsx</t>
        </is>
      </c>
    </row>
    <row r="1145" ht="40" customHeight="1">
      <c r="A1145" s="4" t="inlineStr">
        <is>
          <t>original:Known Other Costs!D41</t>
        </is>
      </c>
      <c r="B1145" s="4" t="inlineStr">
        <is>
          <t>Known Other Costs</t>
        </is>
      </c>
      <c r="C1145" s="4" t="inlineStr">
        <is>
          <t>D41</t>
        </is>
      </c>
      <c r="D1145" s="4" t="n">
        <v>33333</v>
      </c>
      <c r="E1145" s="4" t="n">
        <v>33333</v>
      </c>
      <c r="F1145" s="4" t="inlineStr">
        <is>
          <t>GOC Bed Unit-Costing Model v2 — working original.xlsx</t>
        </is>
      </c>
    </row>
    <row r="1146" ht="40" customHeight="1">
      <c r="A1146" s="4" t="inlineStr">
        <is>
          <t>original:Known Other Costs!E41</t>
        </is>
      </c>
      <c r="B1146" s="4" t="inlineStr">
        <is>
          <t>Known Other Costs</t>
        </is>
      </c>
      <c r="C1146" s="4" t="inlineStr">
        <is>
          <t>E41</t>
        </is>
      </c>
      <c r="D1146" s="4" t="inlineStr">
        <is>
          <t>AUD/site/yr</t>
        </is>
      </c>
      <c r="E1146" s="4" t="inlineStr">
        <is>
          <t>AUD/site/yr</t>
        </is>
      </c>
      <c r="F1146" s="4" t="inlineStr">
        <is>
          <t>GOC Bed Unit-Costing Model v2 — working original.xlsx</t>
        </is>
      </c>
    </row>
    <row r="1147" ht="40" customHeight="1">
      <c r="A1147" s="4" t="inlineStr">
        <is>
          <t>original:Known Other Costs!F41</t>
        </is>
      </c>
      <c r="B1147" s="4" t="inlineStr">
        <is>
          <t>Known Other Costs</t>
        </is>
      </c>
      <c r="C1147" s="4" t="inlineStr">
        <is>
          <t>F41</t>
        </is>
      </c>
      <c r="D1147" s="4" t="inlineStr">
        <is>
          <t>as-written</t>
        </is>
      </c>
      <c r="E1147" s="4" t="inlineStr">
        <is>
          <t>as-written</t>
        </is>
      </c>
      <c r="F1147" s="4" t="inlineStr">
        <is>
          <t>GOC Bed Unit-Costing Model v2 — working original.xlsx</t>
        </is>
      </c>
    </row>
    <row r="1148" ht="40" customHeight="1">
      <c r="A1148" s="4" t="inlineStr">
        <is>
          <t>original:Known Other Costs!G41</t>
        </is>
      </c>
      <c r="B1148" s="4" t="inlineStr">
        <is>
          <t>Known Other Costs</t>
        </is>
      </c>
      <c r="C1148" s="4" t="inlineStr">
        <is>
          <t>G41</t>
        </is>
      </c>
      <c r="D1148" s="4" t="inlineStr">
        <is>
          <t>Oonchiumpa DEWR application</t>
        </is>
      </c>
      <c r="E1148" s="4" t="inlineStr">
        <is>
          <t>Oonchiumpa DEWR application</t>
        </is>
      </c>
      <c r="F1148" s="4" t="inlineStr">
        <is>
          <t>GOC Bed Unit-Costing Model v2 — working original.xlsx</t>
        </is>
      </c>
    </row>
    <row r="1149" ht="40" customHeight="1">
      <c r="A1149" s="4" t="inlineStr">
        <is>
          <t>original:Known Other Costs!H41</t>
        </is>
      </c>
      <c r="B1149" s="4" t="inlineStr">
        <is>
          <t>Known Other Costs</t>
        </is>
      </c>
      <c r="C1149" s="4" t="inlineStr">
        <is>
          <t>H41</t>
        </is>
      </c>
      <c r="D1149" s="4" t="inlineStr">
        <is>
          <t>$100K over three years.</t>
        </is>
      </c>
      <c r="E1149" s="4" t="inlineStr">
        <is>
          <t>$100K over three years.</t>
        </is>
      </c>
      <c r="F1149" s="4" t="inlineStr">
        <is>
          <t>GOC Bed Unit-Costing Model v2 — working original.xlsx</t>
        </is>
      </c>
    </row>
    <row r="1150" ht="40" customHeight="1">
      <c r="A1150" s="4" t="inlineStr">
        <is>
          <t>original:Known Other Costs!A42</t>
        </is>
      </c>
      <c r="B1150" s="4" t="inlineStr">
        <is>
          <t>Known Other Costs</t>
        </is>
      </c>
      <c r="C1150" s="4" t="inlineStr">
        <is>
          <t>A42</t>
        </is>
      </c>
      <c r="D1150" s="4" t="inlineStr">
        <is>
          <t>Community machine upkeep and consumables</t>
        </is>
      </c>
      <c r="E1150" s="4" t="inlineStr">
        <is>
          <t>Community machine upkeep and consumables</t>
        </is>
      </c>
      <c r="F1150" s="4" t="inlineStr">
        <is>
          <t>GOC Bed Unit-Costing Model v2 — working original.xlsx</t>
        </is>
      </c>
    </row>
    <row r="1151" ht="40" customHeight="1">
      <c r="A1151" s="4" t="inlineStr">
        <is>
          <t>original:Known Other Costs!D42</t>
        </is>
      </c>
      <c r="B1151" s="4" t="inlineStr">
        <is>
          <t>Known Other Costs</t>
        </is>
      </c>
      <c r="C1151" s="4" t="inlineStr">
        <is>
          <t>D42</t>
        </is>
      </c>
      <c r="D1151" s="4" t="n">
        <v>18333</v>
      </c>
      <c r="E1151" s="4" t="n">
        <v>18333</v>
      </c>
      <c r="F1151" s="4" t="inlineStr">
        <is>
          <t>GOC Bed Unit-Costing Model v2 — working original.xlsx</t>
        </is>
      </c>
    </row>
    <row r="1152" ht="40" customHeight="1">
      <c r="A1152" s="4" t="inlineStr">
        <is>
          <t>original:Known Other Costs!E42</t>
        </is>
      </c>
      <c r="B1152" s="4" t="inlineStr">
        <is>
          <t>Known Other Costs</t>
        </is>
      </c>
      <c r="C1152" s="4" t="inlineStr">
        <is>
          <t>E42</t>
        </is>
      </c>
      <c r="D1152" s="4" t="inlineStr">
        <is>
          <t>AUD/site/yr</t>
        </is>
      </c>
      <c r="E1152" s="4" t="inlineStr">
        <is>
          <t>AUD/site/yr</t>
        </is>
      </c>
      <c r="F1152" s="4" t="inlineStr">
        <is>
          <t>GOC Bed Unit-Costing Model v2 — working original.xlsx</t>
        </is>
      </c>
    </row>
    <row r="1153" ht="40" customHeight="1">
      <c r="A1153" s="4" t="inlineStr">
        <is>
          <t>original:Known Other Costs!F42</t>
        </is>
      </c>
      <c r="B1153" s="4" t="inlineStr">
        <is>
          <t>Known Other Costs</t>
        </is>
      </c>
      <c r="C1153" s="4" t="inlineStr">
        <is>
          <t>F42</t>
        </is>
      </c>
      <c r="D1153" s="4" t="inlineStr">
        <is>
          <t>as-written</t>
        </is>
      </c>
      <c r="E1153" s="4" t="inlineStr">
        <is>
          <t>as-written</t>
        </is>
      </c>
      <c r="F1153" s="4" t="inlineStr">
        <is>
          <t>GOC Bed Unit-Costing Model v2 — working original.xlsx</t>
        </is>
      </c>
    </row>
    <row r="1154" ht="40" customHeight="1">
      <c r="A1154" s="4" t="inlineStr">
        <is>
          <t>original:Known Other Costs!G42</t>
        </is>
      </c>
      <c r="B1154" s="4" t="inlineStr">
        <is>
          <t>Known Other Costs</t>
        </is>
      </c>
      <c r="C1154" s="4" t="inlineStr">
        <is>
          <t>G42</t>
        </is>
      </c>
      <c r="D1154" s="4" t="inlineStr">
        <is>
          <t>Oonchiumpa DEWR application</t>
        </is>
      </c>
      <c r="E1154" s="4" t="inlineStr">
        <is>
          <t>Oonchiumpa DEWR application</t>
        </is>
      </c>
      <c r="F1154" s="4" t="inlineStr">
        <is>
          <t>GOC Bed Unit-Costing Model v2 — working original.xlsx</t>
        </is>
      </c>
    </row>
    <row r="1155" ht="40" customHeight="1">
      <c r="A1155" s="4" t="inlineStr">
        <is>
          <t>original:Known Other Costs!H42</t>
        </is>
      </c>
      <c r="B1155" s="4" t="inlineStr">
        <is>
          <t>Known Other Costs</t>
        </is>
      </c>
      <c r="C1155" s="4" t="inlineStr">
        <is>
          <t>H42</t>
        </is>
      </c>
      <c r="D1155" s="4" t="inlineStr">
        <is>
          <t>$55K over three years. 100% production.</t>
        </is>
      </c>
      <c r="E1155" s="4" t="inlineStr">
        <is>
          <t>$55K over three years. 100% production.</t>
        </is>
      </c>
      <c r="F1155" s="4" t="inlineStr">
        <is>
          <t>GOC Bed Unit-Costing Model v2 — working original.xlsx</t>
        </is>
      </c>
    </row>
    <row r="1156" ht="40" customHeight="1">
      <c r="A1156" s="4" t="inlineStr">
        <is>
          <t>original:Known Other Costs!A43</t>
        </is>
      </c>
      <c r="B1156" s="4" t="inlineStr">
        <is>
          <t>Known Other Costs</t>
        </is>
      </c>
      <c r="C1156" s="4" t="inlineStr">
        <is>
          <t>A43</t>
        </is>
      </c>
      <c r="D1156" s="4" t="inlineStr">
        <is>
          <t>BARE COMMUNITY FACILITY</t>
        </is>
      </c>
      <c r="E1156" s="4" t="inlineStr">
        <is>
          <t>BARE COMMUNITY FACILITY</t>
        </is>
      </c>
      <c r="F1156" s="4" t="inlineStr">
        <is>
          <t>GOC Bed Unit-Costing Model v2 — working original.xlsx</t>
        </is>
      </c>
    </row>
    <row r="1157" ht="40" customHeight="1">
      <c r="A1157" s="4" t="inlineStr">
        <is>
          <t>original:Known Other Costs!D43</t>
        </is>
      </c>
      <c r="B1157" s="4" t="inlineStr">
        <is>
          <t>Known Other Costs</t>
        </is>
      </c>
      <c r="C1157" s="4" t="inlineStr">
        <is>
          <t>D43</t>
        </is>
      </c>
      <c r="D1157" s="4" t="n">
        <v>151666</v>
      </c>
      <c r="E1157" s="4" t="n">
        <v>151666</v>
      </c>
      <c r="F1157" s="4" t="inlineStr">
        <is>
          <t>GOC Bed Unit-Costing Model v2 — working original.xlsx</t>
        </is>
      </c>
    </row>
    <row r="1158" ht="40" customHeight="1">
      <c r="A1158" s="4" t="inlineStr">
        <is>
          <t>original:Known Other Costs!E43</t>
        </is>
      </c>
      <c r="B1158" s="4" t="inlineStr">
        <is>
          <t>Known Other Costs</t>
        </is>
      </c>
      <c r="C1158" s="4" t="inlineStr">
        <is>
          <t>E43</t>
        </is>
      </c>
      <c r="D1158" s="4" t="inlineStr">
        <is>
          <t>AUD/site/yr</t>
        </is>
      </c>
      <c r="E1158" s="4" t="inlineStr">
        <is>
          <t>AUD/site/yr</t>
        </is>
      </c>
      <c r="F1158" s="4" t="inlineStr">
        <is>
          <t>GOC Bed Unit-Costing Model v2 — working original.xlsx</t>
        </is>
      </c>
    </row>
    <row r="1159" ht="40" customHeight="1">
      <c r="A1159" s="4" t="inlineStr">
        <is>
          <t>original:Known Other Costs!F43</t>
        </is>
      </c>
      <c r="B1159" s="4" t="inlineStr">
        <is>
          <t>Known Other Costs</t>
        </is>
      </c>
      <c r="C1159" s="4" t="inlineStr">
        <is>
          <t>F43</t>
        </is>
      </c>
      <c r="D1159" s="4" t="inlineStr">
        <is>
          <t>derived</t>
        </is>
      </c>
      <c r="E1159" s="4" t="inlineStr">
        <is>
          <t>derived</t>
        </is>
      </c>
      <c r="F1159" s="4" t="inlineStr">
        <is>
          <t>GOC Bed Unit-Costing Model v2 — working original.xlsx</t>
        </is>
      </c>
    </row>
    <row r="1160" ht="40" customHeight="1">
      <c r="A1160" s="4" t="inlineStr">
        <is>
          <t>original:Known Other Costs!G43</t>
        </is>
      </c>
      <c r="B1160" s="4" t="inlineStr">
        <is>
          <t>Known Other Costs</t>
        </is>
      </c>
      <c r="C1160" s="4" t="inlineStr">
        <is>
          <t>G43</t>
        </is>
      </c>
      <c r="D1160" s="4" t="inlineStr">
        <is>
          <t>Sum of DEWR facility lines</t>
        </is>
      </c>
      <c r="E1160" s="4" t="inlineStr">
        <is>
          <t>Sum of DEWR facility lines</t>
        </is>
      </c>
      <c r="F1160" s="4" t="inlineStr">
        <is>
          <t>GOC Bed Unit-Costing Model v2 — working original.xlsx</t>
        </is>
      </c>
    </row>
    <row r="1161" ht="45" customHeight="1">
      <c r="A1161" s="4" t="inlineStr">
        <is>
          <t>original:Known Other Costs!H43</t>
        </is>
      </c>
      <c r="B1161" s="4" t="inlineStr">
        <is>
          <t>Known Other Costs</t>
        </is>
      </c>
      <c r="C1161" s="4" t="inlineStr">
        <is>
          <t>H43</t>
        </is>
      </c>
      <c r="D1161" s="4" t="inlineStr">
        <is>
          <t>Pot 2. Do not add the old $24K rent-only figure.</t>
        </is>
      </c>
      <c r="E1161" s="4" t="inlineStr">
        <is>
          <t>Pot 2. Do not add the old $24K rent-only figure.</t>
        </is>
      </c>
      <c r="F1161" s="4" t="inlineStr">
        <is>
          <t>GOC Bed Unit-Costing Model v2 — working original.xlsx</t>
        </is>
      </c>
    </row>
    <row r="1162" ht="40" customHeight="1">
      <c r="A1162" s="4" t="inlineStr">
        <is>
          <t>original:Known Other Costs!A44</t>
        </is>
      </c>
      <c r="B1162" s="4" t="inlineStr">
        <is>
          <t>Known Other Costs</t>
        </is>
      </c>
      <c r="C1162" s="4" t="inlineStr">
        <is>
          <t>A44</t>
        </is>
      </c>
      <c r="D1162" s="4" t="inlineStr">
        <is>
          <t>Community project manager incl. super</t>
        </is>
      </c>
      <c r="E1162" s="4" t="inlineStr">
        <is>
          <t>Community project manager incl. super</t>
        </is>
      </c>
      <c r="F1162" s="4" t="inlineStr">
        <is>
          <t>GOC Bed Unit-Costing Model v2 — working original.xlsx</t>
        </is>
      </c>
    </row>
    <row r="1163" ht="40" customHeight="1">
      <c r="A1163" s="4" t="inlineStr">
        <is>
          <t>original:Known Other Costs!D44</t>
        </is>
      </c>
      <c r="B1163" s="4" t="inlineStr">
        <is>
          <t>Known Other Costs</t>
        </is>
      </c>
      <c r="C1163" s="4" t="inlineStr">
        <is>
          <t>D44</t>
        </is>
      </c>
      <c r="D1163" s="4" t="n">
        <v>150000</v>
      </c>
      <c r="E1163" s="4" t="n">
        <v>150000</v>
      </c>
      <c r="F1163" s="4" t="inlineStr">
        <is>
          <t>GOC Bed Unit-Costing Model v2 — working original.xlsx</t>
        </is>
      </c>
    </row>
    <row r="1164" ht="40" customHeight="1">
      <c r="A1164" s="4" t="inlineStr">
        <is>
          <t>original:Known Other Costs!E44</t>
        </is>
      </c>
      <c r="B1164" s="4" t="inlineStr">
        <is>
          <t>Known Other Costs</t>
        </is>
      </c>
      <c r="C1164" s="4" t="inlineStr">
        <is>
          <t>E44</t>
        </is>
      </c>
      <c r="D1164" s="4" t="inlineStr">
        <is>
          <t>AUD/site/yr</t>
        </is>
      </c>
      <c r="E1164" s="4" t="inlineStr">
        <is>
          <t>AUD/site/yr</t>
        </is>
      </c>
      <c r="F1164" s="4" t="inlineStr">
        <is>
          <t>GOC Bed Unit-Costing Model v2 — working original.xlsx</t>
        </is>
      </c>
    </row>
    <row r="1165" ht="40" customHeight="1">
      <c r="A1165" s="4" t="inlineStr">
        <is>
          <t>original:Known Other Costs!F44</t>
        </is>
      </c>
      <c r="B1165" s="4" t="inlineStr">
        <is>
          <t>Known Other Costs</t>
        </is>
      </c>
      <c r="C1165" s="4" t="inlineStr">
        <is>
          <t>F44</t>
        </is>
      </c>
      <c r="D1165" s="4" t="inlineStr">
        <is>
          <t>as-written</t>
        </is>
      </c>
      <c r="E1165" s="4" t="inlineStr">
        <is>
          <t>as-written</t>
        </is>
      </c>
      <c r="F1165" s="4" t="inlineStr">
        <is>
          <t>GOC Bed Unit-Costing Model v2 — working original.xlsx</t>
        </is>
      </c>
    </row>
    <row r="1166" ht="40" customHeight="1">
      <c r="A1166" s="4" t="inlineStr">
        <is>
          <t>original:Known Other Costs!G44</t>
        </is>
      </c>
      <c r="B1166" s="4" t="inlineStr">
        <is>
          <t>Known Other Costs</t>
        </is>
      </c>
      <c r="C1166" s="4" t="inlineStr">
        <is>
          <t>G44</t>
        </is>
      </c>
      <c r="D1166" s="4" t="inlineStr">
        <is>
          <t>Oonchiumpa DEWR application</t>
        </is>
      </c>
      <c r="E1166" s="4" t="inlineStr">
        <is>
          <t>Oonchiumpa DEWR application</t>
        </is>
      </c>
      <c r="F1166" s="4" t="inlineStr">
        <is>
          <t>GOC Bed Unit-Costing Model v2 — working original.xlsx</t>
        </is>
      </c>
    </row>
    <row r="1167" ht="60" customHeight="1">
      <c r="A1167" s="4" t="inlineStr">
        <is>
          <t>original:Known Other Costs!H44</t>
        </is>
      </c>
      <c r="B1167" s="4" t="inlineStr">
        <is>
          <t>Known Other Costs</t>
        </is>
      </c>
      <c r="C1167" s="4" t="inlineStr">
        <is>
          <t>H44</t>
        </is>
      </c>
      <c r="D1167" s="4" t="inlineStr">
        <is>
          <t>Q15: model as the STAFFED archetype. $90K coordinator is the production-only archetype.</t>
        </is>
      </c>
      <c r="E1167" s="4" t="inlineStr">
        <is>
          <t>Q15: model as the STAFFED archetype. $90K coordinator is the production-only archetype.</t>
        </is>
      </c>
      <c r="F1167" s="4" t="inlineStr">
        <is>
          <t>GOC Bed Unit-Costing Model v2 — working original.xlsx</t>
        </is>
      </c>
    </row>
    <row r="1168" ht="40" customHeight="1">
      <c r="A1168" s="4" t="inlineStr">
        <is>
          <t>original:Known Other Costs!A45</t>
        </is>
      </c>
      <c r="B1168" s="4" t="inlineStr">
        <is>
          <t>Known Other Costs</t>
        </is>
      </c>
      <c r="C1168" s="4" t="inlineStr">
        <is>
          <t>A45</t>
        </is>
      </c>
      <c r="D1168" s="4" t="inlineStr">
        <is>
          <t>Trainer / WHS officer</t>
        </is>
      </c>
      <c r="E1168" s="4" t="inlineStr">
        <is>
          <t>Trainer / WHS officer</t>
        </is>
      </c>
      <c r="F1168" s="4" t="inlineStr">
        <is>
          <t>GOC Bed Unit-Costing Model v2 — working original.xlsx</t>
        </is>
      </c>
    </row>
    <row r="1169" ht="40" customHeight="1">
      <c r="A1169" s="4" t="inlineStr">
        <is>
          <t>original:Known Other Costs!D45</t>
        </is>
      </c>
      <c r="B1169" s="4" t="inlineStr">
        <is>
          <t>Known Other Costs</t>
        </is>
      </c>
      <c r="C1169" s="4" t="inlineStr">
        <is>
          <t>D45</t>
        </is>
      </c>
      <c r="D1169" s="4" t="n">
        <v>40000</v>
      </c>
      <c r="E1169" s="4" t="n">
        <v>40000</v>
      </c>
      <c r="F1169" s="4" t="inlineStr">
        <is>
          <t>GOC Bed Unit-Costing Model v2 — working original.xlsx</t>
        </is>
      </c>
    </row>
    <row r="1170" ht="40" customHeight="1">
      <c r="A1170" s="4" t="inlineStr">
        <is>
          <t>original:Known Other Costs!E45</t>
        </is>
      </c>
      <c r="B1170" s="4" t="inlineStr">
        <is>
          <t>Known Other Costs</t>
        </is>
      </c>
      <c r="C1170" s="4" t="inlineStr">
        <is>
          <t>E45</t>
        </is>
      </c>
      <c r="D1170" s="4" t="inlineStr">
        <is>
          <t>AUD/site/yr</t>
        </is>
      </c>
      <c r="E1170" s="4" t="inlineStr">
        <is>
          <t>AUD/site/yr</t>
        </is>
      </c>
      <c r="F1170" s="4" t="inlineStr">
        <is>
          <t>GOC Bed Unit-Costing Model v2 — working original.xlsx</t>
        </is>
      </c>
    </row>
    <row r="1171" ht="40" customHeight="1">
      <c r="A1171" s="4" t="inlineStr">
        <is>
          <t>original:Known Other Costs!F45</t>
        </is>
      </c>
      <c r="B1171" s="4" t="inlineStr">
        <is>
          <t>Known Other Costs</t>
        </is>
      </c>
      <c r="C1171" s="4" t="inlineStr">
        <is>
          <t>F45</t>
        </is>
      </c>
      <c r="D1171" s="4" t="inlineStr">
        <is>
          <t>modelled split</t>
        </is>
      </c>
      <c r="E1171" s="4" t="inlineStr">
        <is>
          <t>modelled split</t>
        </is>
      </c>
      <c r="F1171" s="4" t="inlineStr">
        <is>
          <t>GOC Bed Unit-Costing Model v2 — working original.xlsx</t>
        </is>
      </c>
    </row>
    <row r="1172" ht="40" customHeight="1">
      <c r="A1172" s="4" t="inlineStr">
        <is>
          <t>original:Known Other Costs!G45</t>
        </is>
      </c>
      <c r="B1172" s="4" t="inlineStr">
        <is>
          <t>Known Other Costs</t>
        </is>
      </c>
      <c r="C1172" s="4" t="inlineStr">
        <is>
          <t>G45</t>
        </is>
      </c>
      <c r="D1172" s="4" t="inlineStr">
        <is>
          <t>Portion of DEWR ACT $190K line</t>
        </is>
      </c>
      <c r="E1172" s="4" t="inlineStr">
        <is>
          <t>Portion of DEWR ACT $190K line</t>
        </is>
      </c>
      <c r="F1172" s="4" t="inlineStr">
        <is>
          <t>GOC Bed Unit-Costing Model v2 — working original.xlsx</t>
        </is>
      </c>
    </row>
    <row r="1173" ht="45" customHeight="1">
      <c r="A1173" s="4" t="inlineStr">
        <is>
          <t>original:Known Other Costs!H45</t>
        </is>
      </c>
      <c r="B1173" s="4" t="inlineStr">
        <is>
          <t>Known Other Costs</t>
        </is>
      </c>
      <c r="C1173" s="4" t="inlineStr">
        <is>
          <t>H45</t>
        </is>
      </c>
      <c r="D1173" s="4" t="inlineStr">
        <is>
          <t>Estimate, not a stated standalone figure (Q16).</t>
        </is>
      </c>
      <c r="E1173" s="4" t="inlineStr">
        <is>
          <t>Estimate, not a stated standalone figure (Q16).</t>
        </is>
      </c>
      <c r="F1173" s="4" t="inlineStr">
        <is>
          <t>GOC Bed Unit-Costing Model v2 — working original.xlsx</t>
        </is>
      </c>
    </row>
    <row r="1174" ht="40" customHeight="1">
      <c r="A1174" s="4" t="inlineStr">
        <is>
          <t>original:Known Other Costs!A46</t>
        </is>
      </c>
      <c r="B1174" s="4" t="inlineStr">
        <is>
          <t>Known Other Costs</t>
        </is>
      </c>
      <c r="C1174" s="4" t="inlineStr">
        <is>
          <t>A46</t>
        </is>
      </c>
      <c r="D1174" s="4" t="inlineStr">
        <is>
          <t>FULLY STAFFED COMMUNITY FACILITY</t>
        </is>
      </c>
      <c r="E1174" s="4" t="inlineStr">
        <is>
          <t>FULLY STAFFED COMMUNITY FACILITY</t>
        </is>
      </c>
      <c r="F1174" s="4" t="inlineStr">
        <is>
          <t>GOC Bed Unit-Costing Model v2 — working original.xlsx</t>
        </is>
      </c>
    </row>
    <row r="1175" ht="40" customHeight="1">
      <c r="A1175" s="4" t="inlineStr">
        <is>
          <t>original:Known Other Costs!D46</t>
        </is>
      </c>
      <c r="B1175" s="4" t="inlineStr">
        <is>
          <t>Known Other Costs</t>
        </is>
      </c>
      <c r="C1175" s="4" t="inlineStr">
        <is>
          <t>D46</t>
        </is>
      </c>
      <c r="D1175" s="4" t="n">
        <v>341666</v>
      </c>
      <c r="E1175" s="4" t="n">
        <v>341666</v>
      </c>
      <c r="F1175" s="4" t="inlineStr">
        <is>
          <t>GOC Bed Unit-Costing Model v2 — working original.xlsx</t>
        </is>
      </c>
    </row>
    <row r="1176" ht="40" customHeight="1">
      <c r="A1176" s="4" t="inlineStr">
        <is>
          <t>original:Known Other Costs!E46</t>
        </is>
      </c>
      <c r="B1176" s="4" t="inlineStr">
        <is>
          <t>Known Other Costs</t>
        </is>
      </c>
      <c r="C1176" s="4" t="inlineStr">
        <is>
          <t>E46</t>
        </is>
      </c>
      <c r="D1176" s="4" t="inlineStr">
        <is>
          <t>AUD/site/yr</t>
        </is>
      </c>
      <c r="E1176" s="4" t="inlineStr">
        <is>
          <t>AUD/site/yr</t>
        </is>
      </c>
      <c r="F1176" s="4" t="inlineStr">
        <is>
          <t>GOC Bed Unit-Costing Model v2 — working original.xlsx</t>
        </is>
      </c>
    </row>
    <row r="1177" ht="40" customHeight="1">
      <c r="A1177" s="4" t="inlineStr">
        <is>
          <t>original:Known Other Costs!F46</t>
        </is>
      </c>
      <c r="B1177" s="4" t="inlineStr">
        <is>
          <t>Known Other Costs</t>
        </is>
      </c>
      <c r="C1177" s="4" t="inlineStr">
        <is>
          <t>F46</t>
        </is>
      </c>
      <c r="D1177" s="4" t="inlineStr">
        <is>
          <t>derived</t>
        </is>
      </c>
      <c r="E1177" s="4" t="inlineStr">
        <is>
          <t>derived</t>
        </is>
      </c>
      <c r="F1177" s="4" t="inlineStr">
        <is>
          <t>GOC Bed Unit-Costing Model v2 — working original.xlsx</t>
        </is>
      </c>
    </row>
    <row r="1178" ht="40" customHeight="1">
      <c r="A1178" s="4" t="inlineStr">
        <is>
          <t>original:Known Other Costs!G46</t>
        </is>
      </c>
      <c r="B1178" s="4" t="inlineStr">
        <is>
          <t>Known Other Costs</t>
        </is>
      </c>
      <c r="C1178" s="4" t="inlineStr">
        <is>
          <t>G46</t>
        </is>
      </c>
      <c r="D1178" s="4" t="inlineStr">
        <is>
          <t>Bare + manager + trainer/WHS</t>
        </is>
      </c>
      <c r="E1178" s="4" t="inlineStr">
        <is>
          <t>Bare + manager + trainer/WHS</t>
        </is>
      </c>
      <c r="F1178" s="4" t="inlineStr">
        <is>
          <t>GOC Bed Unit-Costing Model v2 — working original.xlsx</t>
        </is>
      </c>
    </row>
    <row r="1179" ht="40" customHeight="1">
      <c r="A1179" s="4" t="inlineStr">
        <is>
          <t>original:Known Other Costs!H46</t>
        </is>
      </c>
      <c r="B1179" s="4" t="inlineStr">
        <is>
          <t>Known Other Costs</t>
        </is>
      </c>
      <c r="C1179" s="4" t="inlineStr">
        <is>
          <t>H46</t>
        </is>
      </c>
      <c r="D1179" s="4" t="inlineStr">
        <is>
          <t>Pot 2, grant/government-funded by design.</t>
        </is>
      </c>
      <c r="E1179" s="4" t="inlineStr">
        <is>
          <t>Pot 2, grant/government-funded by design.</t>
        </is>
      </c>
      <c r="F1179" s="4" t="inlineStr">
        <is>
          <t>GOC Bed Unit-Costing Model v2 — working original.xlsx</t>
        </is>
      </c>
    </row>
    <row r="1180" ht="40" customHeight="1">
      <c r="A1180" s="4" t="inlineStr">
        <is>
          <t>original:Known Other Costs!A47</t>
        </is>
      </c>
      <c r="B1180" s="4" t="inlineStr">
        <is>
          <t>Known Other Costs</t>
        </is>
      </c>
      <c r="C1180" s="4" t="inlineStr">
        <is>
          <t>A47</t>
        </is>
      </c>
      <c r="D1180" s="4" t="inlineStr">
        <is>
          <t>Employment program brokerage and wages</t>
        </is>
      </c>
      <c r="E1180" s="4" t="inlineStr">
        <is>
          <t>Employment program brokerage and wages</t>
        </is>
      </c>
      <c r="F1180" s="4" t="inlineStr">
        <is>
          <t>GOC Bed Unit-Costing Model v2 — working original.xlsx</t>
        </is>
      </c>
    </row>
    <row r="1181" ht="40" customHeight="1">
      <c r="A1181" s="4" t="inlineStr">
        <is>
          <t>original:Known Other Costs!D47</t>
        </is>
      </c>
      <c r="B1181" s="4" t="inlineStr">
        <is>
          <t>Known Other Costs</t>
        </is>
      </c>
      <c r="C1181" s="4" t="inlineStr">
        <is>
          <t>D47</t>
        </is>
      </c>
      <c r="D1181" s="4" t="n">
        <v>300000</v>
      </c>
      <c r="E1181" s="4" t="n">
        <v>300000</v>
      </c>
      <c r="F1181" s="4" t="inlineStr">
        <is>
          <t>GOC Bed Unit-Costing Model v2 — working original.xlsx</t>
        </is>
      </c>
    </row>
    <row r="1182" ht="40" customHeight="1">
      <c r="A1182" s="4" t="inlineStr">
        <is>
          <t>original:Known Other Costs!E47</t>
        </is>
      </c>
      <c r="B1182" s="4" t="inlineStr">
        <is>
          <t>Known Other Costs</t>
        </is>
      </c>
      <c r="C1182" s="4" t="inlineStr">
        <is>
          <t>E47</t>
        </is>
      </c>
      <c r="D1182" s="4" t="inlineStr">
        <is>
          <t>AUD/site/yr</t>
        </is>
      </c>
      <c r="E1182" s="4" t="inlineStr">
        <is>
          <t>AUD/site/yr</t>
        </is>
      </c>
      <c r="F1182" s="4" t="inlineStr">
        <is>
          <t>GOC Bed Unit-Costing Model v2 — working original.xlsx</t>
        </is>
      </c>
    </row>
    <row r="1183" ht="40" customHeight="1">
      <c r="A1183" s="4" t="inlineStr">
        <is>
          <t>original:Known Other Costs!F47</t>
        </is>
      </c>
      <c r="B1183" s="4" t="inlineStr">
        <is>
          <t>Known Other Costs</t>
        </is>
      </c>
      <c r="C1183" s="4" t="inlineStr">
        <is>
          <t>F47</t>
        </is>
      </c>
      <c r="D1183" s="4" t="inlineStr">
        <is>
          <t>as-written</t>
        </is>
      </c>
      <c r="E1183" s="4" t="inlineStr">
        <is>
          <t>as-written</t>
        </is>
      </c>
      <c r="F1183" s="4" t="inlineStr">
        <is>
          <t>GOC Bed Unit-Costing Model v2 — working original.xlsx</t>
        </is>
      </c>
    </row>
    <row r="1184" ht="40" customHeight="1">
      <c r="A1184" s="4" t="inlineStr">
        <is>
          <t>original:Known Other Costs!G47</t>
        </is>
      </c>
      <c r="B1184" s="4" t="inlineStr">
        <is>
          <t>Known Other Costs</t>
        </is>
      </c>
      <c r="C1184" s="4" t="inlineStr">
        <is>
          <t>G47</t>
        </is>
      </c>
      <c r="D1184" s="4" t="inlineStr">
        <is>
          <t>Oonchiumpa DEWR application</t>
        </is>
      </c>
      <c r="E1184" s="4" t="inlineStr">
        <is>
          <t>Oonchiumpa DEWR application</t>
        </is>
      </c>
      <c r="F1184" s="4" t="inlineStr">
        <is>
          <t>GOC Bed Unit-Costing Model v2 — working original.xlsx</t>
        </is>
      </c>
    </row>
    <row r="1185" ht="40" customHeight="1">
      <c r="A1185" s="4" t="inlineStr">
        <is>
          <t>original:Known Other Costs!H47</t>
        </is>
      </c>
      <c r="B1185" s="4" t="inlineStr">
        <is>
          <t>Known Other Costs</t>
        </is>
      </c>
      <c r="C1185" s="4" t="inlineStr">
        <is>
          <t>H47</t>
        </is>
      </c>
      <c r="D1185" s="4" t="inlineStr">
        <is>
          <t>Pot 2. Never carried by bed sales.</t>
        </is>
      </c>
      <c r="E1185" s="4" t="inlineStr">
        <is>
          <t>Pot 2. Never carried by bed sales.</t>
        </is>
      </c>
      <c r="F1185" s="4" t="inlineStr">
        <is>
          <t>GOC Bed Unit-Costing Model v2 — working original.xlsx</t>
        </is>
      </c>
    </row>
    <row r="1186" ht="40" customHeight="1">
      <c r="A1186" s="4" t="inlineStr">
        <is>
          <t>original:Known Other Costs!A48</t>
        </is>
      </c>
      <c r="B1186" s="4" t="inlineStr">
        <is>
          <t>Known Other Costs</t>
        </is>
      </c>
      <c r="C1186" s="4" t="inlineStr">
        <is>
          <t>A48</t>
        </is>
      </c>
      <c r="D1186" s="4" t="inlineStr">
        <is>
          <t>DEWR machinery + Trainer/WHS line</t>
        </is>
      </c>
      <c r="E1186" s="4" t="inlineStr">
        <is>
          <t>DEWR machinery + Trainer/WHS line</t>
        </is>
      </c>
      <c r="F1186" s="4" t="inlineStr">
        <is>
          <t>GOC Bed Unit-Costing Model v2 — working original.xlsx</t>
        </is>
      </c>
    </row>
    <row r="1187" ht="40" customHeight="1">
      <c r="A1187" s="4" t="inlineStr">
        <is>
          <t>original:Known Other Costs!D48</t>
        </is>
      </c>
      <c r="B1187" s="4" t="inlineStr">
        <is>
          <t>Known Other Costs</t>
        </is>
      </c>
      <c r="C1187" s="4" t="inlineStr">
        <is>
          <t>D48</t>
        </is>
      </c>
      <c r="D1187" s="4" t="n">
        <v>63333</v>
      </c>
      <c r="E1187" s="4" t="n">
        <v>63333</v>
      </c>
      <c r="F1187" s="4" t="inlineStr">
        <is>
          <t>GOC Bed Unit-Costing Model v2 — working original.xlsx</t>
        </is>
      </c>
    </row>
    <row r="1188" ht="40" customHeight="1">
      <c r="A1188" s="4" t="inlineStr">
        <is>
          <t>original:Known Other Costs!E48</t>
        </is>
      </c>
      <c r="B1188" s="4" t="inlineStr">
        <is>
          <t>Known Other Costs</t>
        </is>
      </c>
      <c r="C1188" s="4" t="inlineStr">
        <is>
          <t>E48</t>
        </is>
      </c>
      <c r="D1188" s="4" t="inlineStr">
        <is>
          <t>AUD/site/yr</t>
        </is>
      </c>
      <c r="E1188" s="4" t="inlineStr">
        <is>
          <t>AUD/site/yr</t>
        </is>
      </c>
      <c r="F1188" s="4" t="inlineStr">
        <is>
          <t>GOC Bed Unit-Costing Model v2 — working original.xlsx</t>
        </is>
      </c>
    </row>
    <row r="1189" ht="40" customHeight="1">
      <c r="A1189" s="4" t="inlineStr">
        <is>
          <t>original:Known Other Costs!F48</t>
        </is>
      </c>
      <c r="B1189" s="4" t="inlineStr">
        <is>
          <t>Known Other Costs</t>
        </is>
      </c>
      <c r="C1189" s="4" t="inlineStr">
        <is>
          <t>F48</t>
        </is>
      </c>
      <c r="D1189" s="4" t="inlineStr">
        <is>
          <t>modelled split</t>
        </is>
      </c>
      <c r="E1189" s="4" t="inlineStr">
        <is>
          <t>modelled split</t>
        </is>
      </c>
      <c r="F1189" s="4" t="inlineStr">
        <is>
          <t>GOC Bed Unit-Costing Model v2 — working original.xlsx</t>
        </is>
      </c>
    </row>
    <row r="1190" ht="40" customHeight="1">
      <c r="A1190" s="4" t="inlineStr">
        <is>
          <t>original:Known Other Costs!G48</t>
        </is>
      </c>
      <c r="B1190" s="4" t="inlineStr">
        <is>
          <t>Known Other Costs</t>
        </is>
      </c>
      <c r="C1190" s="4" t="inlineStr">
        <is>
          <t>G48</t>
        </is>
      </c>
      <c r="D1190" s="4" t="inlineStr">
        <is>
          <t>Oonchiumpa DEWR application</t>
        </is>
      </c>
      <c r="E1190" s="4" t="inlineStr">
        <is>
          <t>Oonchiumpa DEWR application</t>
        </is>
      </c>
      <c r="F1190" s="4" t="inlineStr">
        <is>
          <t>GOC Bed Unit-Costing Model v2 — working original.xlsx</t>
        </is>
      </c>
    </row>
    <row r="1191" ht="60" customHeight="1">
      <c r="A1191" s="4" t="inlineStr">
        <is>
          <t>original:Known Other Costs!H48</t>
        </is>
      </c>
      <c r="B1191" s="4" t="inlineStr">
        <is>
          <t>Known Other Costs</t>
        </is>
      </c>
      <c r="C1191" s="4" t="inlineStr">
        <is>
          <t>H48</t>
        </is>
      </c>
      <c r="D1191" s="4" t="inlineStr">
        <is>
          <t>REVENUE to Goods., not a cost to the site. No model currently shows this (Q16).</t>
        </is>
      </c>
      <c r="E1191" s="4" t="inlineStr">
        <is>
          <t>REVENUE to Goods., not a cost to the site. No model currently shows this (Q16).</t>
        </is>
      </c>
      <c r="F1191" s="4" t="inlineStr">
        <is>
          <t>GOC Bed Unit-Costing Model v2 — working original.xlsx</t>
        </is>
      </c>
    </row>
    <row r="1192" ht="40" customHeight="1">
      <c r="A1192" s="4" t="inlineStr">
        <is>
          <t>original:Known Other Costs!A49</t>
        </is>
      </c>
      <c r="B1192" s="4" t="inlineStr">
        <is>
          <t>Known Other Costs</t>
        </is>
      </c>
      <c r="C1192" s="4" t="inlineStr">
        <is>
          <t>A49</t>
        </is>
      </c>
      <c r="D1192" s="4" t="inlineStr">
        <is>
          <t>Central entity overhead (Year 1 budget)</t>
        </is>
      </c>
      <c r="E1192" s="4" t="inlineStr">
        <is>
          <t>Central entity overhead (Year 1 budget)</t>
        </is>
      </c>
      <c r="F1192" s="4" t="inlineStr">
        <is>
          <t>GOC Bed Unit-Costing Model v2 — working original.xlsx</t>
        </is>
      </c>
    </row>
    <row r="1193" ht="40" customHeight="1">
      <c r="A1193" s="4" t="inlineStr">
        <is>
          <t>original:Known Other Costs!D49</t>
        </is>
      </c>
      <c r="B1193" s="4" t="inlineStr">
        <is>
          <t>Known Other Costs</t>
        </is>
      </c>
      <c r="C1193" s="4" t="inlineStr">
        <is>
          <t>D49</t>
        </is>
      </c>
      <c r="D1193" s="4" t="n">
        <v>53000</v>
      </c>
      <c r="E1193" s="4" t="n">
        <v>53000</v>
      </c>
      <c r="F1193" s="4" t="inlineStr">
        <is>
          <t>GOC Bed Unit-Costing Model v2 — working original.xlsx</t>
        </is>
      </c>
    </row>
    <row r="1194" ht="40" customHeight="1">
      <c r="A1194" s="4" t="inlineStr">
        <is>
          <t>original:Known Other Costs!E49</t>
        </is>
      </c>
      <c r="B1194" s="4" t="inlineStr">
        <is>
          <t>Known Other Costs</t>
        </is>
      </c>
      <c r="C1194" s="4" t="inlineStr">
        <is>
          <t>E49</t>
        </is>
      </c>
      <c r="D1194" s="4" t="inlineStr">
        <is>
          <t>AUD/yr</t>
        </is>
      </c>
      <c r="E1194" s="4" t="inlineStr">
        <is>
          <t>AUD/yr</t>
        </is>
      </c>
      <c r="F1194" s="4" t="inlineStr">
        <is>
          <t>GOC Bed Unit-Costing Model v2 — working original.xlsx</t>
        </is>
      </c>
    </row>
    <row r="1195" ht="40" customHeight="1">
      <c r="A1195" s="4" t="inlineStr">
        <is>
          <t>original:Known Other Costs!F49</t>
        </is>
      </c>
      <c r="B1195" s="4" t="inlineStr">
        <is>
          <t>Known Other Costs</t>
        </is>
      </c>
      <c r="C1195" s="4" t="inlineStr">
        <is>
          <t>F49</t>
        </is>
      </c>
      <c r="D1195" s="4" t="inlineStr">
        <is>
          <t>budget</t>
        </is>
      </c>
      <c r="E1195" s="4" t="inlineStr">
        <is>
          <t>budget</t>
        </is>
      </c>
      <c r="F1195" s="4" t="inlineStr">
        <is>
          <t>GOC Bed Unit-Costing Model v2 — working original.xlsx</t>
        </is>
      </c>
    </row>
    <row r="1196" ht="40" customHeight="1">
      <c r="A1196" s="4" t="inlineStr">
        <is>
          <t>original:Known Other Costs!G49</t>
        </is>
      </c>
      <c r="B1196" s="4" t="inlineStr">
        <is>
          <t>Known Other Costs</t>
        </is>
      </c>
      <c r="C1196" s="4" t="inlineStr">
        <is>
          <t>G49</t>
        </is>
      </c>
      <c r="D1196" s="4" t="inlineStr">
        <is>
          <t>Q20, no source - replace with actuals</t>
        </is>
      </c>
      <c r="E1196" s="4" t="inlineStr">
        <is>
          <t>Q20, no source - replace with actuals</t>
        </is>
      </c>
      <c r="F1196" s="4" t="inlineStr">
        <is>
          <t>GOC Bed Unit-Costing Model v2 — working original.xlsx</t>
        </is>
      </c>
    </row>
    <row r="1197" ht="135" customHeight="1">
      <c r="A1197" s="4" t="inlineStr">
        <is>
          <t>original:Known Other Costs!H49</t>
        </is>
      </c>
      <c r="B1197" s="4" t="inlineStr">
        <is>
          <t>Known Other Costs</t>
        </is>
      </c>
      <c r="C1197" s="4" t="inlineStr">
        <is>
          <t>H49</t>
        </is>
      </c>
      <c r="D1197" s="4" t="inlineStr">
        <is>
          <t>Insurance $12K, accounting/audit $15K, legal/entity setup $10K, software/IT $8K, banking $3K, governance $5K. Sits OUTSIDE the $109,500 block - do not double-count with the $14,700 admin line.</t>
        </is>
      </c>
      <c r="E1197" s="4" t="inlineStr">
        <is>
          <t>Insurance $12K, accounting/audit $15K, legal/entity setup $10K, software/IT $8K, banking $3K, governance $5K. Sits OUTSIDE the $109,500 block - do not double-count with the $14,700 admin line.</t>
        </is>
      </c>
      <c r="F1197" s="4" t="inlineStr">
        <is>
          <t>GOC Bed Unit-Costing Model v2 — working original.xlsx</t>
        </is>
      </c>
    </row>
    <row r="1198" ht="45" customHeight="1">
      <c r="A1198" s="4" t="inlineStr">
        <is>
          <t>original:Facility &amp; Modules!A1</t>
        </is>
      </c>
      <c r="B1198" s="4" t="inlineStr">
        <is>
          <t>Facility &amp; Modules</t>
        </is>
      </c>
      <c r="C1198" s="4" t="inlineStr">
        <is>
          <t>A1</t>
        </is>
      </c>
      <c r="D1198" s="4" t="inlineStr">
        <is>
          <t>Goods on Country: the on-Country facility, priced as modules</t>
        </is>
      </c>
      <c r="E1198" s="4" t="inlineStr">
        <is>
          <t>Goods on Country: the on-Country facility, priced as modules</t>
        </is>
      </c>
      <c r="F1198" s="4" t="inlineStr">
        <is>
          <t>GOC Bed Unit-Costing Model v2 — working original.xlsx</t>
        </is>
      </c>
    </row>
    <row r="1199" ht="210" customHeight="1">
      <c r="A1199" s="4" t="inlineStr">
        <is>
          <t>original:Facility &amp; Modules!A2</t>
        </is>
      </c>
      <c r="B1199" s="4" t="inlineStr">
        <is>
          <t>Facility &amp; Modules</t>
        </is>
      </c>
      <c r="C1199" s="4" t="inlineStr">
        <is>
          <t>A2</t>
        </is>
      </c>
      <c r="D1199" s="4" t="inlineStr">
        <is>
          <t>A community does not buy 'a facility'. It chooses modules. This sheet is the bridge between the nine community modules a pathway actually selects and the capex the model has to fund. Three of the four live pathways do not want a whole facility, which is why the old build-method ladder could price only one of them.</t>
        </is>
      </c>
      <c r="E1199" s="4" t="inlineStr">
        <is>
          <t>A community does not buy 'a facility'. It chooses modules. This sheet is the bridge between the nine community modules a pathway actually selects and the capex the model has to fund. Three of the four live pathways do not want a whole facility, which is why the old build-method ladder could price only one of them.</t>
        </is>
      </c>
      <c r="F1199" s="4" t="inlineStr">
        <is>
          <t>GOC Bed Unit-Costing Model v2 — working original.xlsx</t>
        </is>
      </c>
    </row>
    <row r="1200" ht="45" customHeight="1">
      <c r="A1200" s="4" t="inlineStr">
        <is>
          <t>original:Facility &amp; Modules!A4</t>
        </is>
      </c>
      <c r="B1200" s="4" t="inlineStr">
        <is>
          <t>Facility &amp; Modules</t>
        </is>
      </c>
      <c r="C1200" s="4" t="inlineStr">
        <is>
          <t>A4</t>
        </is>
      </c>
      <c r="D1200" s="4" t="inlineStr">
        <is>
          <t>1. THE SITE BASE - required by any production module</t>
        </is>
      </c>
      <c r="E1200" s="4" t="inlineStr">
        <is>
          <t>1. THE SITE BASE - required by any production module</t>
        </is>
      </c>
      <c r="F1200" s="4" t="inlineStr">
        <is>
          <t>GOC Bed Unit-Costing Model v2 — working original.xlsx</t>
        </is>
      </c>
    </row>
    <row r="1201" ht="40" customHeight="1">
      <c r="A1201" s="4" t="inlineStr">
        <is>
          <t>original:Facility &amp; Modules!A5</t>
        </is>
      </c>
      <c r="B1201" s="4" t="inlineStr">
        <is>
          <t>Facility &amp; Modules</t>
        </is>
      </c>
      <c r="C1201" s="4" t="inlineStr">
        <is>
          <t>A5</t>
        </is>
      </c>
      <c r="D1201" s="4" t="inlineStr">
        <is>
          <t>Line</t>
        </is>
      </c>
      <c r="E1201" s="4" t="inlineStr">
        <is>
          <t>Line</t>
        </is>
      </c>
      <c r="F1201" s="4" t="inlineStr">
        <is>
          <t>GOC Bed Unit-Costing Model v2 — working original.xlsx</t>
        </is>
      </c>
    </row>
    <row r="1202" ht="40" customHeight="1">
      <c r="A1202" s="4" t="inlineStr">
        <is>
          <t>original:Facility &amp; Modules!B5</t>
        </is>
      </c>
      <c r="B1202" s="4" t="inlineStr">
        <is>
          <t>Facility &amp; Modules</t>
        </is>
      </c>
      <c r="C1202" s="4" t="inlineStr">
        <is>
          <t>B5</t>
        </is>
      </c>
      <c r="D1202" s="4" t="inlineStr">
        <is>
          <t>Low $</t>
        </is>
      </c>
      <c r="E1202" s="4" t="inlineStr">
        <is>
          <t>Low $</t>
        </is>
      </c>
      <c r="F1202" s="4" t="inlineStr">
        <is>
          <t>GOC Bed Unit-Costing Model v2 — working original.xlsx</t>
        </is>
      </c>
    </row>
    <row r="1203" ht="40" customHeight="1">
      <c r="A1203" s="4" t="inlineStr">
        <is>
          <t>original:Facility &amp; Modules!C5</t>
        </is>
      </c>
      <c r="B1203" s="4" t="inlineStr">
        <is>
          <t>Facility &amp; Modules</t>
        </is>
      </c>
      <c r="C1203" s="4" t="inlineStr">
        <is>
          <t>C5</t>
        </is>
      </c>
      <c r="D1203" s="4" t="inlineStr">
        <is>
          <t>High $</t>
        </is>
      </c>
      <c r="E1203" s="4" t="inlineStr">
        <is>
          <t>High $</t>
        </is>
      </c>
      <c r="F1203" s="4" t="inlineStr">
        <is>
          <t>GOC Bed Unit-Costing Model v2 — working original.xlsx</t>
        </is>
      </c>
    </row>
    <row r="1204" ht="40" customHeight="1">
      <c r="A1204" s="4" t="inlineStr">
        <is>
          <t>original:Facility &amp; Modules!D5</t>
        </is>
      </c>
      <c r="B1204" s="4" t="inlineStr">
        <is>
          <t>Facility &amp; Modules</t>
        </is>
      </c>
      <c r="C1204" s="4" t="inlineStr">
        <is>
          <t>D5</t>
        </is>
      </c>
      <c r="D1204" s="4" t="inlineStr">
        <is>
          <t>Grade</t>
        </is>
      </c>
      <c r="E1204" s="4" t="inlineStr">
        <is>
          <t>Grade</t>
        </is>
      </c>
      <c r="F1204" s="4" t="inlineStr">
        <is>
          <t>GOC Bed Unit-Costing Model v2 — working original.xlsx</t>
        </is>
      </c>
    </row>
    <row r="1205" ht="40" customHeight="1">
      <c r="A1205" s="4" t="inlineStr">
        <is>
          <t>original:Facility &amp; Modules!E5</t>
        </is>
      </c>
      <c r="B1205" s="4" t="inlineStr">
        <is>
          <t>Facility &amp; Modules</t>
        </is>
      </c>
      <c r="C1205" s="4" t="inlineStr">
        <is>
          <t>E5</t>
        </is>
      </c>
      <c r="D1205" s="4" t="inlineStr">
        <is>
          <t>Notes</t>
        </is>
      </c>
      <c r="E1205" s="4" t="inlineStr">
        <is>
          <t>Notes</t>
        </is>
      </c>
      <c r="F1205" s="4" t="inlineStr">
        <is>
          <t>GOC Bed Unit-Costing Model v2 — working original.xlsx</t>
        </is>
      </c>
    </row>
    <row r="1206" ht="40" customHeight="1">
      <c r="A1206" s="4" t="inlineStr">
        <is>
          <t>original:Facility &amp; Modules!A6</t>
        </is>
      </c>
      <c r="B1206" s="4" t="inlineStr">
        <is>
          <t>Facility &amp; Modules</t>
        </is>
      </c>
      <c r="C1206" s="4" t="inlineStr">
        <is>
          <t>A6</t>
        </is>
      </c>
      <c r="D1206" s="4" t="inlineStr">
        <is>
          <t>40ft shipping container</t>
        </is>
      </c>
      <c r="E1206" s="4" t="inlineStr">
        <is>
          <t>40ft shipping container</t>
        </is>
      </c>
      <c r="F1206" s="4" t="inlineStr">
        <is>
          <t>GOC Bed Unit-Costing Model v2 — working original.xlsx</t>
        </is>
      </c>
    </row>
    <row r="1207" ht="40" customHeight="1">
      <c r="A1207" s="4" t="inlineStr">
        <is>
          <t>original:Facility &amp; Modules!B6</t>
        </is>
      </c>
      <c r="B1207" s="4" t="inlineStr">
        <is>
          <t>Facility &amp; Modules</t>
        </is>
      </c>
      <c r="C1207" s="4" t="inlineStr">
        <is>
          <t>B6</t>
        </is>
      </c>
      <c r="D1207" s="4" t="n">
        <v>13000</v>
      </c>
      <c r="E1207" s="4" t="n">
        <v>13000</v>
      </c>
      <c r="F1207" s="4" t="inlineStr">
        <is>
          <t>GOC Bed Unit-Costing Model v2 — working original.xlsx</t>
        </is>
      </c>
    </row>
    <row r="1208" ht="40" customHeight="1">
      <c r="A1208" s="4" t="inlineStr">
        <is>
          <t>original:Facility &amp; Modules!C6</t>
        </is>
      </c>
      <c r="B1208" s="4" t="inlineStr">
        <is>
          <t>Facility &amp; Modules</t>
        </is>
      </c>
      <c r="C1208" s="4" t="inlineStr">
        <is>
          <t>C6</t>
        </is>
      </c>
      <c r="D1208" s="4" t="n">
        <v>16000</v>
      </c>
      <c r="E1208" s="4" t="n">
        <v>16000</v>
      </c>
      <c r="F1208" s="4" t="inlineStr">
        <is>
          <t>GOC Bed Unit-Costing Model v2 — working original.xlsx</t>
        </is>
      </c>
    </row>
    <row r="1209" ht="40" customHeight="1">
      <c r="A1209" s="4" t="inlineStr">
        <is>
          <t>original:Facility &amp; Modules!D6</t>
        </is>
      </c>
      <c r="B1209" s="4" t="inlineStr">
        <is>
          <t>Facility &amp; Modules</t>
        </is>
      </c>
      <c r="C1209" s="4" t="inlineStr">
        <is>
          <t>D6</t>
        </is>
      </c>
      <c r="D1209" s="4" t="inlineStr">
        <is>
          <t>ben</t>
        </is>
      </c>
      <c r="E1209" s="4" t="inlineStr">
        <is>
          <t>ben</t>
        </is>
      </c>
      <c r="F1209" s="4" t="inlineStr">
        <is>
          <t>GOC Bed Unit-Costing Model v2 — working original.xlsx</t>
        </is>
      </c>
    </row>
    <row r="1210" ht="40" customHeight="1">
      <c r="A1210" s="4" t="inlineStr">
        <is>
          <t>original:Facility &amp; Modules!E6</t>
        </is>
      </c>
      <c r="B1210" s="4" t="inlineStr">
        <is>
          <t>Facility &amp; Modules</t>
        </is>
      </c>
      <c r="C1210" s="4" t="inlineStr">
        <is>
          <t>E6</t>
        </is>
      </c>
      <c r="D1210" s="4" t="inlineStr">
        <is>
          <t>Market rate, new site</t>
        </is>
      </c>
      <c r="E1210" s="4" t="inlineStr">
        <is>
          <t>Market rate, new site</t>
        </is>
      </c>
      <c r="F1210" s="4" t="inlineStr">
        <is>
          <t>GOC Bed Unit-Costing Model v2 — working original.xlsx</t>
        </is>
      </c>
    </row>
    <row r="1211" ht="40" customHeight="1">
      <c r="A1211" s="4" t="inlineStr">
        <is>
          <t>original:Facility &amp; Modules!A7</t>
        </is>
      </c>
      <c r="B1211" s="4" t="inlineStr">
        <is>
          <t>Facility &amp; Modules</t>
        </is>
      </c>
      <c r="C1211" s="4" t="inlineStr">
        <is>
          <t>A7</t>
        </is>
      </c>
      <c r="D1211" s="4" t="inlineStr">
        <is>
          <t>20ft shipping container</t>
        </is>
      </c>
      <c r="E1211" s="4" t="inlineStr">
        <is>
          <t>20ft shipping container</t>
        </is>
      </c>
      <c r="F1211" s="4" t="inlineStr">
        <is>
          <t>GOC Bed Unit-Costing Model v2 — working original.xlsx</t>
        </is>
      </c>
    </row>
    <row r="1212" ht="40" customHeight="1">
      <c r="A1212" s="4" t="inlineStr">
        <is>
          <t>original:Facility &amp; Modules!B7</t>
        </is>
      </c>
      <c r="B1212" s="4" t="inlineStr">
        <is>
          <t>Facility &amp; Modules</t>
        </is>
      </c>
      <c r="C1212" s="4" t="inlineStr">
        <is>
          <t>B7</t>
        </is>
      </c>
      <c r="D1212" s="4" t="n">
        <v>6000</v>
      </c>
      <c r="E1212" s="4" t="n">
        <v>6000</v>
      </c>
      <c r="F1212" s="4" t="inlineStr">
        <is>
          <t>GOC Bed Unit-Costing Model v2 — working original.xlsx</t>
        </is>
      </c>
    </row>
    <row r="1213" ht="40" customHeight="1">
      <c r="A1213" s="4" t="inlineStr">
        <is>
          <t>original:Facility &amp; Modules!C7</t>
        </is>
      </c>
      <c r="B1213" s="4" t="inlineStr">
        <is>
          <t>Facility &amp; Modules</t>
        </is>
      </c>
      <c r="C1213" s="4" t="inlineStr">
        <is>
          <t>C7</t>
        </is>
      </c>
      <c r="D1213" s="4" t="n">
        <v>10000</v>
      </c>
      <c r="E1213" s="4" t="n">
        <v>10000</v>
      </c>
      <c r="F1213" s="4" t="inlineStr">
        <is>
          <t>GOC Bed Unit-Costing Model v2 — working original.xlsx</t>
        </is>
      </c>
    </row>
    <row r="1214" ht="40" customHeight="1">
      <c r="A1214" s="4" t="inlineStr">
        <is>
          <t>original:Facility &amp; Modules!D7</t>
        </is>
      </c>
      <c r="B1214" s="4" t="inlineStr">
        <is>
          <t>Facility &amp; Modules</t>
        </is>
      </c>
      <c r="C1214" s="4" t="inlineStr">
        <is>
          <t>D7</t>
        </is>
      </c>
      <c r="D1214" s="4" t="inlineStr">
        <is>
          <t>ben</t>
        </is>
      </c>
      <c r="E1214" s="4" t="inlineStr">
        <is>
          <t>ben</t>
        </is>
      </c>
      <c r="F1214" s="4" t="inlineStr">
        <is>
          <t>GOC Bed Unit-Costing Model v2 — working original.xlsx</t>
        </is>
      </c>
    </row>
    <row r="1215" ht="40" customHeight="1">
      <c r="A1215" s="4" t="inlineStr">
        <is>
          <t>original:Facility &amp; Modules!E7</t>
        </is>
      </c>
      <c r="B1215" s="4" t="inlineStr">
        <is>
          <t>Facility &amp; Modules</t>
        </is>
      </c>
      <c r="C1215" s="4" t="inlineStr">
        <is>
          <t>E7</t>
        </is>
      </c>
      <c r="D1215" s="4" t="inlineStr">
        <is>
          <t>Market rate, new site</t>
        </is>
      </c>
      <c r="E1215" s="4" t="inlineStr">
        <is>
          <t>Market rate, new site</t>
        </is>
      </c>
      <c r="F1215" s="4" t="inlineStr">
        <is>
          <t>GOC Bed Unit-Costing Model v2 — working original.xlsx</t>
        </is>
      </c>
    </row>
    <row r="1216" ht="40" customHeight="1">
      <c r="A1216" s="4" t="inlineStr">
        <is>
          <t>original:Facility &amp; Modules!A8</t>
        </is>
      </c>
      <c r="B1216" s="4" t="inlineStr">
        <is>
          <t>Facility &amp; Modules</t>
        </is>
      </c>
      <c r="C1216" s="4" t="inlineStr">
        <is>
          <t>A8</t>
        </is>
      </c>
      <c r="D1216" s="4" t="inlineStr">
        <is>
          <t>Diesel generator (press-line sized)</t>
        </is>
      </c>
      <c r="E1216" s="4" t="inlineStr">
        <is>
          <t>Diesel generator (press-line sized)</t>
        </is>
      </c>
      <c r="F1216" s="4" t="inlineStr">
        <is>
          <t>GOC Bed Unit-Costing Model v2 — working original.xlsx</t>
        </is>
      </c>
    </row>
    <row r="1217" ht="40" customHeight="1">
      <c r="A1217" s="4" t="inlineStr">
        <is>
          <t>original:Facility &amp; Modules!B8</t>
        </is>
      </c>
      <c r="B1217" s="4" t="inlineStr">
        <is>
          <t>Facility &amp; Modules</t>
        </is>
      </c>
      <c r="C1217" s="4" t="inlineStr">
        <is>
          <t>B8</t>
        </is>
      </c>
      <c r="D1217" s="4" t="n">
        <v>6600</v>
      </c>
      <c r="E1217" s="4" t="n">
        <v>6600</v>
      </c>
      <c r="F1217" s="4" t="inlineStr">
        <is>
          <t>GOC Bed Unit-Costing Model v2 — working original.xlsx</t>
        </is>
      </c>
    </row>
    <row r="1218" ht="40" customHeight="1">
      <c r="A1218" s="4" t="inlineStr">
        <is>
          <t>original:Facility &amp; Modules!C8</t>
        </is>
      </c>
      <c r="B1218" s="4" t="inlineStr">
        <is>
          <t>Facility &amp; Modules</t>
        </is>
      </c>
      <c r="C1218" s="4" t="inlineStr">
        <is>
          <t>C8</t>
        </is>
      </c>
      <c r="D1218" s="4" t="n">
        <v>20000</v>
      </c>
      <c r="E1218" s="4" t="n">
        <v>20000</v>
      </c>
      <c r="F1218" s="4" t="inlineStr">
        <is>
          <t>GOC Bed Unit-Costing Model v2 — working original.xlsx</t>
        </is>
      </c>
    </row>
    <row r="1219" ht="40" customHeight="1">
      <c r="A1219" s="4" t="inlineStr">
        <is>
          <t>original:Facility &amp; Modules!D8</t>
        </is>
      </c>
      <c r="B1219" s="4" t="inlineStr">
        <is>
          <t>Facility &amp; Modules</t>
        </is>
      </c>
      <c r="C1219" s="4" t="inlineStr">
        <is>
          <t>D8</t>
        </is>
      </c>
      <c r="D1219" s="4" t="inlineStr">
        <is>
          <t>ben</t>
        </is>
      </c>
      <c r="E1219" s="4" t="inlineStr">
        <is>
          <t>ben</t>
        </is>
      </c>
      <c r="F1219" s="4" t="inlineStr">
        <is>
          <t>GOC Bed Unit-Costing Model v2 — working original.xlsx</t>
        </is>
      </c>
    </row>
    <row r="1220" ht="40" customHeight="1">
      <c r="A1220" s="4" t="inlineStr">
        <is>
          <t>original:Facility &amp; Modules!E8</t>
        </is>
      </c>
      <c r="B1220" s="4" t="inlineStr">
        <is>
          <t>Facility &amp; Modules</t>
        </is>
      </c>
      <c r="C1220" s="4" t="inlineStr">
        <is>
          <t>E8</t>
        </is>
      </c>
      <c r="D1220" s="4" t="inlineStr">
        <is>
          <t>Capacity depends on site power</t>
        </is>
      </c>
      <c r="E1220" s="4" t="inlineStr">
        <is>
          <t>Capacity depends on site power</t>
        </is>
      </c>
      <c r="F1220" s="4" t="inlineStr">
        <is>
          <t>GOC Bed Unit-Costing Model v2 — working original.xlsx</t>
        </is>
      </c>
    </row>
    <row r="1221" ht="40" customHeight="1">
      <c r="A1221" s="4" t="inlineStr">
        <is>
          <t>original:Facility &amp; Modules!A9</t>
        </is>
      </c>
      <c r="B1221" s="4" t="inlineStr">
        <is>
          <t>Facility &amp; Modules</t>
        </is>
      </c>
      <c r="C1221" s="4" t="inlineStr">
        <is>
          <t>A9</t>
        </is>
      </c>
      <c r="D1221" s="4" t="inlineStr">
        <is>
          <t>Crane placement + transport</t>
        </is>
      </c>
      <c r="E1221" s="4" t="inlineStr">
        <is>
          <t>Crane placement + transport</t>
        </is>
      </c>
      <c r="F1221" s="4" t="inlineStr">
        <is>
          <t>GOC Bed Unit-Costing Model v2 — working original.xlsx</t>
        </is>
      </c>
    </row>
    <row r="1222" ht="40" customHeight="1">
      <c r="A1222" s="4" t="inlineStr">
        <is>
          <t>original:Facility &amp; Modules!B9</t>
        </is>
      </c>
      <c r="B1222" s="4" t="inlineStr">
        <is>
          <t>Facility &amp; Modules</t>
        </is>
      </c>
      <c r="C1222" s="4" t="inlineStr">
        <is>
          <t>B9</t>
        </is>
      </c>
      <c r="D1222" s="4" t="n">
        <v>1200</v>
      </c>
      <c r="E1222" s="4" t="n">
        <v>1200</v>
      </c>
      <c r="F1222" s="4" t="inlineStr">
        <is>
          <t>GOC Bed Unit-Costing Model v2 — working original.xlsx</t>
        </is>
      </c>
    </row>
    <row r="1223" ht="40" customHeight="1">
      <c r="A1223" s="4" t="inlineStr">
        <is>
          <t>original:Facility &amp; Modules!C9</t>
        </is>
      </c>
      <c r="B1223" s="4" t="inlineStr">
        <is>
          <t>Facility &amp; Modules</t>
        </is>
      </c>
      <c r="C1223" s="4" t="inlineStr">
        <is>
          <t>C9</t>
        </is>
      </c>
      <c r="D1223" s="4" t="n">
        <v>2500</v>
      </c>
      <c r="E1223" s="4" t="n">
        <v>2500</v>
      </c>
      <c r="F1223" s="4" t="inlineStr">
        <is>
          <t>GOC Bed Unit-Costing Model v2 — working original.xlsx</t>
        </is>
      </c>
    </row>
    <row r="1224" ht="40" customHeight="1">
      <c r="A1224" s="4" t="inlineStr">
        <is>
          <t>original:Facility &amp; Modules!D9</t>
        </is>
      </c>
      <c r="B1224" s="4" t="inlineStr">
        <is>
          <t>Facility &amp; Modules</t>
        </is>
      </c>
      <c r="C1224" s="4" t="inlineStr">
        <is>
          <t>D9</t>
        </is>
      </c>
      <c r="D1224" s="4" t="inlineStr">
        <is>
          <t>evidenced</t>
        </is>
      </c>
      <c r="E1224" s="4" t="inlineStr">
        <is>
          <t>evidenced</t>
        </is>
      </c>
      <c r="F1224" s="4" t="inlineStr">
        <is>
          <t>GOC Bed Unit-Costing Model v2 — working original.xlsx</t>
        </is>
      </c>
    </row>
    <row r="1225" ht="40" customHeight="1">
      <c r="A1225" s="4" t="inlineStr">
        <is>
          <t>original:Facility &amp; Modules!E9</t>
        </is>
      </c>
      <c r="B1225" s="4" t="inlineStr">
        <is>
          <t>Facility &amp; Modules</t>
        </is>
      </c>
      <c r="C1225" s="4" t="inlineStr">
        <is>
          <t>E9</t>
        </is>
      </c>
      <c r="D1225" s="4" t="inlineStr">
        <is>
          <t>GM Crane Hire + Rapid Container actuals</t>
        </is>
      </c>
      <c r="E1225" s="4" t="inlineStr">
        <is>
          <t>GM Crane Hire + Rapid Container actuals</t>
        </is>
      </c>
      <c r="F1225" s="4" t="inlineStr">
        <is>
          <t>GOC Bed Unit-Costing Model v2 — working original.xlsx</t>
        </is>
      </c>
    </row>
    <row r="1226" ht="40" customHeight="1">
      <c r="A1226" s="4" t="inlineStr">
        <is>
          <t>original:Facility &amp; Modules!A10</t>
        </is>
      </c>
      <c r="B1226" s="4" t="inlineStr">
        <is>
          <t>Facility &amp; Modules</t>
        </is>
      </c>
      <c r="C1226" s="4" t="inlineStr">
        <is>
          <t>A10</t>
        </is>
      </c>
      <c r="D1226" s="4" t="inlineStr">
        <is>
          <t>Electrical fit-out (board, three-phase)</t>
        </is>
      </c>
      <c r="E1226" s="4" t="inlineStr">
        <is>
          <t>Electrical fit-out (board, three-phase)</t>
        </is>
      </c>
      <c r="F1226" s="4" t="inlineStr">
        <is>
          <t>GOC Bed Unit-Costing Model v2 — working original.xlsx</t>
        </is>
      </c>
    </row>
    <row r="1227" ht="40" customHeight="1">
      <c r="A1227" s="4" t="inlineStr">
        <is>
          <t>original:Facility &amp; Modules!B10</t>
        </is>
      </c>
      <c r="B1227" s="4" t="inlineStr">
        <is>
          <t>Facility &amp; Modules</t>
        </is>
      </c>
      <c r="C1227" s="4" t="inlineStr">
        <is>
          <t>B10</t>
        </is>
      </c>
      <c r="D1227" s="4" t="n">
        <v>3000</v>
      </c>
      <c r="E1227" s="4" t="n">
        <v>3000</v>
      </c>
      <c r="F1227" s="4" t="inlineStr">
        <is>
          <t>GOC Bed Unit-Costing Model v2 — working original.xlsx</t>
        </is>
      </c>
    </row>
    <row r="1228" ht="40" customHeight="1">
      <c r="A1228" s="4" t="inlineStr">
        <is>
          <t>original:Facility &amp; Modules!C10</t>
        </is>
      </c>
      <c r="B1228" s="4" t="inlineStr">
        <is>
          <t>Facility &amp; Modules</t>
        </is>
      </c>
      <c r="C1228" s="4" t="inlineStr">
        <is>
          <t>C10</t>
        </is>
      </c>
      <c r="D1228" s="4" t="n">
        <v>8000</v>
      </c>
      <c r="E1228" s="4" t="n">
        <v>8000</v>
      </c>
      <c r="F1228" s="4" t="inlineStr">
        <is>
          <t>GOC Bed Unit-Costing Model v2 — working original.xlsx</t>
        </is>
      </c>
    </row>
    <row r="1229" ht="40" customHeight="1">
      <c r="A1229" s="4" t="inlineStr">
        <is>
          <t>original:Facility &amp; Modules!D10</t>
        </is>
      </c>
      <c r="B1229" s="4" t="inlineStr">
        <is>
          <t>Facility &amp; Modules</t>
        </is>
      </c>
      <c r="C1229" s="4" t="inlineStr">
        <is>
          <t>D10</t>
        </is>
      </c>
      <c r="D1229" s="4" t="inlineStr">
        <is>
          <t>estimate</t>
        </is>
      </c>
      <c r="E1229" s="4" t="inlineStr">
        <is>
          <t>estimate</t>
        </is>
      </c>
      <c r="F1229" s="4" t="inlineStr">
        <is>
          <t>GOC Bed Unit-Costing Model v2 — working original.xlsx</t>
        </is>
      </c>
    </row>
    <row r="1230" ht="40" customHeight="1">
      <c r="A1230" s="4" t="inlineStr">
        <is>
          <t>original:Facility &amp; Modules!E10</t>
        </is>
      </c>
      <c r="B1230" s="4" t="inlineStr">
        <is>
          <t>Facility &amp; Modules</t>
        </is>
      </c>
      <c r="C1230" s="4" t="inlineStr">
        <is>
          <t>E10</t>
        </is>
      </c>
      <c r="D1230" s="4" t="inlineStr">
        <is>
          <t>Quote required</t>
        </is>
      </c>
      <c r="E1230" s="4" t="inlineStr">
        <is>
          <t>Quote required</t>
        </is>
      </c>
      <c r="F1230" s="4" t="inlineStr">
        <is>
          <t>GOC Bed Unit-Costing Model v2 — working original.xlsx</t>
        </is>
      </c>
    </row>
    <row r="1231" ht="40" customHeight="1">
      <c r="A1231" s="4" t="inlineStr">
        <is>
          <t>original:Facility &amp; Modules!A11</t>
        </is>
      </c>
      <c r="B1231" s="4" t="inlineStr">
        <is>
          <t>Facility &amp; Modules</t>
        </is>
      </c>
      <c r="C1231" s="4" t="inlineStr">
        <is>
          <t>A11</t>
        </is>
      </c>
      <c r="D1231" s="4" t="inlineStr">
        <is>
          <t>Ventilation / fume extraction</t>
        </is>
      </c>
      <c r="E1231" s="4" t="inlineStr">
        <is>
          <t>Ventilation / fume extraction</t>
        </is>
      </c>
      <c r="F1231" s="4" t="inlineStr">
        <is>
          <t>GOC Bed Unit-Costing Model v2 — working original.xlsx</t>
        </is>
      </c>
    </row>
    <row r="1232" ht="40" customHeight="1">
      <c r="A1232" s="4" t="inlineStr">
        <is>
          <t>original:Facility &amp; Modules!B11</t>
        </is>
      </c>
      <c r="B1232" s="4" t="inlineStr">
        <is>
          <t>Facility &amp; Modules</t>
        </is>
      </c>
      <c r="C1232" s="4" t="inlineStr">
        <is>
          <t>B11</t>
        </is>
      </c>
      <c r="D1232" s="4" t="n">
        <v>1000</v>
      </c>
      <c r="E1232" s="4" t="n">
        <v>1000</v>
      </c>
      <c r="F1232" s="4" t="inlineStr">
        <is>
          <t>GOC Bed Unit-Costing Model v2 — working original.xlsx</t>
        </is>
      </c>
    </row>
    <row r="1233" ht="40" customHeight="1">
      <c r="A1233" s="4" t="inlineStr">
        <is>
          <t>original:Facility &amp; Modules!C11</t>
        </is>
      </c>
      <c r="B1233" s="4" t="inlineStr">
        <is>
          <t>Facility &amp; Modules</t>
        </is>
      </c>
      <c r="C1233" s="4" t="inlineStr">
        <is>
          <t>C11</t>
        </is>
      </c>
      <c r="D1233" s="4" t="n">
        <v>3000</v>
      </c>
      <c r="E1233" s="4" t="n">
        <v>3000</v>
      </c>
      <c r="F1233" s="4" t="inlineStr">
        <is>
          <t>GOC Bed Unit-Costing Model v2 — working original.xlsx</t>
        </is>
      </c>
    </row>
    <row r="1234" ht="40" customHeight="1">
      <c r="A1234" s="4" t="inlineStr">
        <is>
          <t>original:Facility &amp; Modules!D11</t>
        </is>
      </c>
      <c r="B1234" s="4" t="inlineStr">
        <is>
          <t>Facility &amp; Modules</t>
        </is>
      </c>
      <c r="C1234" s="4" t="inlineStr">
        <is>
          <t>D11</t>
        </is>
      </c>
      <c r="D1234" s="4" t="inlineStr">
        <is>
          <t>estimate</t>
        </is>
      </c>
      <c r="E1234" s="4" t="inlineStr">
        <is>
          <t>estimate</t>
        </is>
      </c>
      <c r="F1234" s="4" t="inlineStr">
        <is>
          <t>GOC Bed Unit-Costing Model v2 — working original.xlsx</t>
        </is>
      </c>
    </row>
    <row r="1235" ht="40" customHeight="1">
      <c r="A1235" s="4" t="inlineStr">
        <is>
          <t>original:Facility &amp; Modules!E11</t>
        </is>
      </c>
      <c r="B1235" s="4" t="inlineStr">
        <is>
          <t>Facility &amp; Modules</t>
        </is>
      </c>
      <c r="C1235" s="4" t="inlineStr">
        <is>
          <t>E11</t>
        </is>
      </c>
      <c r="D1235" s="4" t="inlineStr">
        <is>
          <t>Hot-press heat load</t>
        </is>
      </c>
      <c r="E1235" s="4" t="inlineStr">
        <is>
          <t>Hot-press heat load</t>
        </is>
      </c>
      <c r="F1235" s="4" t="inlineStr">
        <is>
          <t>GOC Bed Unit-Costing Model v2 — working original.xlsx</t>
        </is>
      </c>
    </row>
    <row r="1236" ht="40" customHeight="1">
      <c r="A1236" s="4" t="inlineStr">
        <is>
          <t>original:Facility &amp; Modules!A12</t>
        </is>
      </c>
      <c r="B1236" s="4" t="inlineStr">
        <is>
          <t>Facility &amp; Modules</t>
        </is>
      </c>
      <c r="C1236" s="4" t="inlineStr">
        <is>
          <t>A12</t>
        </is>
      </c>
      <c r="D1236" s="4" t="inlineStr">
        <is>
          <t>Site prep (pad, levelling)</t>
        </is>
      </c>
      <c r="E1236" s="4" t="inlineStr">
        <is>
          <t>Site prep (pad, levelling)</t>
        </is>
      </c>
      <c r="F1236" s="4" t="inlineStr">
        <is>
          <t>GOC Bed Unit-Costing Model v2 — working original.xlsx</t>
        </is>
      </c>
    </row>
    <row r="1237" ht="40" customHeight="1">
      <c r="A1237" s="4" t="inlineStr">
        <is>
          <t>original:Facility &amp; Modules!B12</t>
        </is>
      </c>
      <c r="B1237" s="4" t="inlineStr">
        <is>
          <t>Facility &amp; Modules</t>
        </is>
      </c>
      <c r="C1237" s="4" t="inlineStr">
        <is>
          <t>B12</t>
        </is>
      </c>
      <c r="D1237" s="4" t="n">
        <v>500</v>
      </c>
      <c r="E1237" s="4" t="n">
        <v>500</v>
      </c>
      <c r="F1237" s="4" t="inlineStr">
        <is>
          <t>GOC Bed Unit-Costing Model v2 — working original.xlsx</t>
        </is>
      </c>
    </row>
    <row r="1238" ht="40" customHeight="1">
      <c r="A1238" s="4" t="inlineStr">
        <is>
          <t>original:Facility &amp; Modules!C12</t>
        </is>
      </c>
      <c r="B1238" s="4" t="inlineStr">
        <is>
          <t>Facility &amp; Modules</t>
        </is>
      </c>
      <c r="C1238" s="4" t="inlineStr">
        <is>
          <t>C12</t>
        </is>
      </c>
      <c r="D1238" s="4" t="n">
        <v>3000</v>
      </c>
      <c r="E1238" s="4" t="n">
        <v>3000</v>
      </c>
      <c r="F1238" s="4" t="inlineStr">
        <is>
          <t>GOC Bed Unit-Costing Model v2 — working original.xlsx</t>
        </is>
      </c>
    </row>
    <row r="1239" ht="40" customHeight="1">
      <c r="A1239" s="4" t="inlineStr">
        <is>
          <t>original:Facility &amp; Modules!D12</t>
        </is>
      </c>
      <c r="B1239" s="4" t="inlineStr">
        <is>
          <t>Facility &amp; Modules</t>
        </is>
      </c>
      <c r="C1239" s="4" t="inlineStr">
        <is>
          <t>D12</t>
        </is>
      </c>
      <c r="D1239" s="4" t="inlineStr">
        <is>
          <t>estimate</t>
        </is>
      </c>
      <c r="E1239" s="4" t="inlineStr">
        <is>
          <t>estimate</t>
        </is>
      </c>
      <c r="F1239" s="4" t="inlineStr">
        <is>
          <t>GOC Bed Unit-Costing Model v2 — working original.xlsx</t>
        </is>
      </c>
    </row>
    <row r="1240" ht="40" customHeight="1">
      <c r="A1240" s="4" t="inlineStr">
        <is>
          <t>original:Facility &amp; Modules!A13</t>
        </is>
      </c>
      <c r="B1240" s="4" t="inlineStr">
        <is>
          <t>Facility &amp; Modules</t>
        </is>
      </c>
      <c r="C1240" s="4" t="inlineStr">
        <is>
          <t>A13</t>
        </is>
      </c>
      <c r="D1240" s="4" t="inlineStr">
        <is>
          <t>PPE + startup consumables</t>
        </is>
      </c>
      <c r="E1240" s="4" t="inlineStr">
        <is>
          <t>PPE + startup consumables</t>
        </is>
      </c>
      <c r="F1240" s="4" t="inlineStr">
        <is>
          <t>GOC Bed Unit-Costing Model v2 — working original.xlsx</t>
        </is>
      </c>
    </row>
    <row r="1241" ht="40" customHeight="1">
      <c r="A1241" s="4" t="inlineStr">
        <is>
          <t>original:Facility &amp; Modules!B13</t>
        </is>
      </c>
      <c r="B1241" s="4" t="inlineStr">
        <is>
          <t>Facility &amp; Modules</t>
        </is>
      </c>
      <c r="C1241" s="4" t="inlineStr">
        <is>
          <t>B13</t>
        </is>
      </c>
      <c r="D1241" s="4" t="n">
        <v>500</v>
      </c>
      <c r="E1241" s="4" t="n">
        <v>500</v>
      </c>
      <c r="F1241" s="4" t="inlineStr">
        <is>
          <t>GOC Bed Unit-Costing Model v2 — working original.xlsx</t>
        </is>
      </c>
    </row>
    <row r="1242" ht="40" customHeight="1">
      <c r="A1242" s="4" t="inlineStr">
        <is>
          <t>original:Facility &amp; Modules!C13</t>
        </is>
      </c>
      <c r="B1242" s="4" t="inlineStr">
        <is>
          <t>Facility &amp; Modules</t>
        </is>
      </c>
      <c r="C1242" s="4" t="inlineStr">
        <is>
          <t>C13</t>
        </is>
      </c>
      <c r="D1242" s="4" t="n">
        <v>1500</v>
      </c>
      <c r="E1242" s="4" t="n">
        <v>1500</v>
      </c>
      <c r="F1242" s="4" t="inlineStr">
        <is>
          <t>GOC Bed Unit-Costing Model v2 — working original.xlsx</t>
        </is>
      </c>
    </row>
    <row r="1243" ht="40" customHeight="1">
      <c r="A1243" s="4" t="inlineStr">
        <is>
          <t>original:Facility &amp; Modules!D13</t>
        </is>
      </c>
      <c r="B1243" s="4" t="inlineStr">
        <is>
          <t>Facility &amp; Modules</t>
        </is>
      </c>
      <c r="C1243" s="4" t="inlineStr">
        <is>
          <t>D13</t>
        </is>
      </c>
      <c r="D1243" s="4" t="inlineStr">
        <is>
          <t>estimate</t>
        </is>
      </c>
      <c r="E1243" s="4" t="inlineStr">
        <is>
          <t>estimate</t>
        </is>
      </c>
      <c r="F1243" s="4" t="inlineStr">
        <is>
          <t>GOC Bed Unit-Costing Model v2 — working original.xlsx</t>
        </is>
      </c>
    </row>
    <row r="1244" ht="40" customHeight="1">
      <c r="A1244" s="4" t="inlineStr">
        <is>
          <t>original:Facility &amp; Modules!E13</t>
        </is>
      </c>
      <c r="B1244" s="4" t="inlineStr">
        <is>
          <t>Facility &amp; Modules</t>
        </is>
      </c>
      <c r="C1244" s="4" t="inlineStr">
        <is>
          <t>E13</t>
        </is>
      </c>
      <c r="D1244" s="4" t="inlineStr">
        <is>
          <t>Initial stock only</t>
        </is>
      </c>
      <c r="E1244" s="4" t="inlineStr">
        <is>
          <t>Initial stock only</t>
        </is>
      </c>
      <c r="F1244" s="4" t="inlineStr">
        <is>
          <t>GOC Bed Unit-Costing Model v2 — working original.xlsx</t>
        </is>
      </c>
    </row>
    <row r="1245" ht="40" customHeight="1">
      <c r="A1245" s="4" t="inlineStr">
        <is>
          <t>original:Facility &amp; Modules!A14</t>
        </is>
      </c>
      <c r="B1245" s="4" t="inlineStr">
        <is>
          <t>Facility &amp; Modules</t>
        </is>
      </c>
      <c r="C1245" s="4" t="inlineStr">
        <is>
          <t>A14</t>
        </is>
      </c>
      <c r="D1245" s="4" t="inlineStr">
        <is>
          <t>SITE BASE TOTAL</t>
        </is>
      </c>
      <c r="E1245" s="4" t="inlineStr">
        <is>
          <t>SITE BASE TOTAL</t>
        </is>
      </c>
      <c r="F1245" s="4" t="inlineStr">
        <is>
          <t>GOC Bed Unit-Costing Model v2 — working original.xlsx</t>
        </is>
      </c>
    </row>
    <row r="1246" ht="40" customHeight="1">
      <c r="A1246" s="4" t="inlineStr">
        <is>
          <t>original:Facility &amp; Modules!B14</t>
        </is>
      </c>
      <c r="B1246" s="4" t="inlineStr">
        <is>
          <t>Facility &amp; Modules</t>
        </is>
      </c>
      <c r="C1246" s="4" t="inlineStr">
        <is>
          <t>B14</t>
        </is>
      </c>
      <c r="D1246" s="4" t="n">
        <v>31800</v>
      </c>
      <c r="E1246" s="4" t="n">
        <v>31800</v>
      </c>
      <c r="F1246" s="4" t="inlineStr">
        <is>
          <t>GOC Bed Unit-Costing Model v2 — working original.xlsx</t>
        </is>
      </c>
    </row>
    <row r="1247" ht="40" customHeight="1">
      <c r="A1247" s="4" t="inlineStr">
        <is>
          <t>original:Facility &amp; Modules!C14</t>
        </is>
      </c>
      <c r="B1247" s="4" t="inlineStr">
        <is>
          <t>Facility &amp; Modules</t>
        </is>
      </c>
      <c r="C1247" s="4" t="inlineStr">
        <is>
          <t>C14</t>
        </is>
      </c>
      <c r="D1247" s="4" t="n">
        <v>64000</v>
      </c>
      <c r="E1247" s="4" t="n">
        <v>64000</v>
      </c>
      <c r="F1247" s="4" t="inlineStr">
        <is>
          <t>GOC Bed Unit-Costing Model v2 — working original.xlsx</t>
        </is>
      </c>
    </row>
    <row r="1248" ht="40" customHeight="1">
      <c r="A1248" s="4" t="inlineStr">
        <is>
          <t>original:Facility &amp; Modules!D14</t>
        </is>
      </c>
      <c r="B1248" s="4" t="inlineStr">
        <is>
          <t>Facility &amp; Modules</t>
        </is>
      </c>
      <c r="C1248" s="4" t="inlineStr">
        <is>
          <t>D14</t>
        </is>
      </c>
      <c r="D1248" s="4" t="inlineStr">
        <is>
          <t>modelled</t>
        </is>
      </c>
      <c r="E1248" s="4" t="inlineStr">
        <is>
          <t>modelled</t>
        </is>
      </c>
      <c r="F1248" s="4" t="inlineStr">
        <is>
          <t>GOC Bed Unit-Costing Model v2 — working original.xlsx</t>
        </is>
      </c>
    </row>
    <row r="1249" ht="135" customHeight="1">
      <c r="A1249" s="4" t="inlineStr">
        <is>
          <t>original:Facility &amp; Modules!E14</t>
        </is>
      </c>
      <c r="B1249" s="4" t="inlineStr">
        <is>
          <t>Facility &amp; Modules</t>
        </is>
      </c>
      <c r="C1249" s="4" t="inlineStr">
        <is>
          <t>E14</t>
        </is>
      </c>
      <c r="D1249" s="4" t="inlineStr">
        <is>
          <t>Where a partner supplies the shed or power, SUBTRACT those lines - the base shrinks, it does not vanish. Tennant Creek is the live case and the subtraction has not been agreed with them.</t>
        </is>
      </c>
      <c r="E1249" s="4" t="inlineStr">
        <is>
          <t>Where a partner supplies the shed or power, SUBTRACT those lines - the base shrinks, it does not vanish. Tennant Creek is the live case and the subtraction has not been agreed with them.</t>
        </is>
      </c>
      <c r="F1249" s="4" t="inlineStr">
        <is>
          <t>GOC Bed Unit-Costing Model v2 — working original.xlsx</t>
        </is>
      </c>
    </row>
    <row r="1250" ht="45" customHeight="1">
      <c r="A1250" s="4" t="inlineStr">
        <is>
          <t>original:Facility &amp; Modules!A16</t>
        </is>
      </c>
      <c r="B1250" s="4" t="inlineStr">
        <is>
          <t>Facility &amp; Modules</t>
        </is>
      </c>
      <c r="C1250" s="4" t="inlineStr">
        <is>
          <t>A16</t>
        </is>
      </c>
      <c r="D1250" s="4" t="inlineStr">
        <is>
          <t>2. THE PRODUCTION MODULES - chosen, in feed order</t>
        </is>
      </c>
      <c r="E1250" s="4" t="inlineStr">
        <is>
          <t>2. THE PRODUCTION MODULES - chosen, in feed order</t>
        </is>
      </c>
      <c r="F1250" s="4" t="inlineStr">
        <is>
          <t>GOC Bed Unit-Costing Model v2 — working original.xlsx</t>
        </is>
      </c>
    </row>
    <row r="1251" ht="40" customHeight="1">
      <c r="A1251" s="4" t="inlineStr">
        <is>
          <t>original:Facility &amp; Modules!A17</t>
        </is>
      </c>
      <c r="B1251" s="4" t="inlineStr">
        <is>
          <t>Facility &amp; Modules</t>
        </is>
      </c>
      <c r="C1251" s="4" t="inlineStr">
        <is>
          <t>A17</t>
        </is>
      </c>
      <c r="D1251" s="4" t="inlineStr">
        <is>
          <t>Module</t>
        </is>
      </c>
      <c r="E1251" s="4" t="inlineStr">
        <is>
          <t>Module</t>
        </is>
      </c>
      <c r="F1251" s="4" t="inlineStr">
        <is>
          <t>GOC Bed Unit-Costing Model v2 — working original.xlsx</t>
        </is>
      </c>
    </row>
    <row r="1252" ht="40" customHeight="1">
      <c r="A1252" s="4" t="inlineStr">
        <is>
          <t>original:Facility &amp; Modules!B17</t>
        </is>
      </c>
      <c r="B1252" s="4" t="inlineStr">
        <is>
          <t>Facility &amp; Modules</t>
        </is>
      </c>
      <c r="C1252" s="4" t="inlineStr">
        <is>
          <t>B17</t>
        </is>
      </c>
      <c r="D1252" s="4" t="inlineStr">
        <is>
          <t>Low $</t>
        </is>
      </c>
      <c r="E1252" s="4" t="inlineStr">
        <is>
          <t>Low $</t>
        </is>
      </c>
      <c r="F1252" s="4" t="inlineStr">
        <is>
          <t>GOC Bed Unit-Costing Model v2 — working original.xlsx</t>
        </is>
      </c>
    </row>
    <row r="1253" ht="40" customHeight="1">
      <c r="A1253" s="4" t="inlineStr">
        <is>
          <t>original:Facility &amp; Modules!C17</t>
        </is>
      </c>
      <c r="B1253" s="4" t="inlineStr">
        <is>
          <t>Facility &amp; Modules</t>
        </is>
      </c>
      <c r="C1253" s="4" t="inlineStr">
        <is>
          <t>C17</t>
        </is>
      </c>
      <c r="D1253" s="4" t="inlineStr">
        <is>
          <t>High $</t>
        </is>
      </c>
      <c r="E1253" s="4" t="inlineStr">
        <is>
          <t>High $</t>
        </is>
      </c>
      <c r="F1253" s="4" t="inlineStr">
        <is>
          <t>GOC Bed Unit-Costing Model v2 — working original.xlsx</t>
        </is>
      </c>
    </row>
    <row r="1254" ht="40" customHeight="1">
      <c r="A1254" s="4" t="inlineStr">
        <is>
          <t>original:Facility &amp; Modules!D17</t>
        </is>
      </c>
      <c r="B1254" s="4" t="inlineStr">
        <is>
          <t>Facility &amp; Modules</t>
        </is>
      </c>
      <c r="C1254" s="4" t="inlineStr">
        <is>
          <t>D17</t>
        </is>
      </c>
      <c r="D1254" s="4" t="inlineStr">
        <is>
          <t>Grade</t>
        </is>
      </c>
      <c r="E1254" s="4" t="inlineStr">
        <is>
          <t>Grade</t>
        </is>
      </c>
      <c r="F1254" s="4" t="inlineStr">
        <is>
          <t>GOC Bed Unit-Costing Model v2 — working original.xlsx</t>
        </is>
      </c>
    </row>
    <row r="1255" ht="40" customHeight="1">
      <c r="A1255" s="4" t="inlineStr">
        <is>
          <t>original:Facility &amp; Modules!E17</t>
        </is>
      </c>
      <c r="B1255" s="4" t="inlineStr">
        <is>
          <t>Facility &amp; Modules</t>
        </is>
      </c>
      <c r="C1255" s="4" t="inlineStr">
        <is>
          <t>E17</t>
        </is>
      </c>
      <c r="D1255" s="4" t="inlineStr">
        <is>
          <t>Needs upstream</t>
        </is>
      </c>
      <c r="E1255" s="4" t="inlineStr">
        <is>
          <t>Needs upstream</t>
        </is>
      </c>
      <c r="F1255" s="4" t="inlineStr">
        <is>
          <t>GOC Bed Unit-Costing Model v2 — working original.xlsx</t>
        </is>
      </c>
    </row>
    <row r="1256" ht="40" customHeight="1">
      <c r="A1256" s="4" t="inlineStr">
        <is>
          <t>original:Facility &amp; Modules!F17</t>
        </is>
      </c>
      <c r="B1256" s="4" t="inlineStr">
        <is>
          <t>Facility &amp; Modules</t>
        </is>
      </c>
      <c r="C1256" s="4" t="inlineStr">
        <is>
          <t>F17</t>
        </is>
      </c>
      <c r="D1256" s="4" t="inlineStr">
        <is>
          <t>What it produces</t>
        </is>
      </c>
      <c r="E1256" s="4" t="inlineStr">
        <is>
          <t>What it produces</t>
        </is>
      </c>
      <c r="F1256" s="4" t="inlineStr">
        <is>
          <t>GOC Bed Unit-Costing Model v2 — working original.xlsx</t>
        </is>
      </c>
    </row>
    <row r="1257" ht="40" customHeight="1">
      <c r="A1257" s="4" t="inlineStr">
        <is>
          <t>original:Facility &amp; Modules!A18</t>
        </is>
      </c>
      <c r="B1257" s="4" t="inlineStr">
        <is>
          <t>Facility &amp; Modules</t>
        </is>
      </c>
      <c r="C1257" s="4" t="inlineStr">
        <is>
          <t>A18</t>
        </is>
      </c>
      <c r="D1257" s="4" t="inlineStr">
        <is>
          <t>Collection and sorting</t>
        </is>
      </c>
      <c r="E1257" s="4" t="inlineStr">
        <is>
          <t>Collection and sorting</t>
        </is>
      </c>
      <c r="F1257" s="4" t="inlineStr">
        <is>
          <t>GOC Bed Unit-Costing Model v2 — working original.xlsx</t>
        </is>
      </c>
    </row>
    <row r="1258" ht="40" customHeight="1">
      <c r="A1258" s="4" t="inlineStr">
        <is>
          <t>original:Facility &amp; Modules!B18</t>
        </is>
      </c>
      <c r="B1258" s="4" t="inlineStr">
        <is>
          <t>Facility &amp; Modules</t>
        </is>
      </c>
      <c r="C1258" s="4" t="inlineStr">
        <is>
          <t>B18</t>
        </is>
      </c>
      <c r="D1258" s="4" t="n">
        <v>5000</v>
      </c>
      <c r="E1258" s="4" t="n">
        <v>5000</v>
      </c>
      <c r="F1258" s="4" t="inlineStr">
        <is>
          <t>GOC Bed Unit-Costing Model v2 — working original.xlsx</t>
        </is>
      </c>
    </row>
    <row r="1259" ht="40" customHeight="1">
      <c r="A1259" s="4" t="inlineStr">
        <is>
          <t>original:Facility &amp; Modules!C18</t>
        </is>
      </c>
      <c r="B1259" s="4" t="inlineStr">
        <is>
          <t>Facility &amp; Modules</t>
        </is>
      </c>
      <c r="C1259" s="4" t="inlineStr">
        <is>
          <t>C18</t>
        </is>
      </c>
      <c r="D1259" s="4" t="n">
        <v>19500</v>
      </c>
      <c r="E1259" s="4" t="n">
        <v>19500</v>
      </c>
      <c r="F1259" s="4" t="inlineStr">
        <is>
          <t>GOC Bed Unit-Costing Model v2 — working original.xlsx</t>
        </is>
      </c>
    </row>
    <row r="1260" ht="40" customHeight="1">
      <c r="A1260" s="4" t="inlineStr">
        <is>
          <t>original:Facility &amp; Modules!D18</t>
        </is>
      </c>
      <c r="B1260" s="4" t="inlineStr">
        <is>
          <t>Facility &amp; Modules</t>
        </is>
      </c>
      <c r="C1260" s="4" t="inlineStr">
        <is>
          <t>D18</t>
        </is>
      </c>
      <c r="D1260" s="4" t="inlineStr">
        <is>
          <t>estimate</t>
        </is>
      </c>
      <c r="E1260" s="4" t="inlineStr">
        <is>
          <t>estimate</t>
        </is>
      </c>
      <c r="F1260" s="4" t="inlineStr">
        <is>
          <t>GOC Bed Unit-Costing Model v2 — working original.xlsx</t>
        </is>
      </c>
    </row>
    <row r="1261" ht="40" customHeight="1">
      <c r="A1261" s="4" t="inlineStr">
        <is>
          <t>original:Facility &amp; Modules!E18</t>
        </is>
      </c>
      <c r="B1261" s="4" t="inlineStr">
        <is>
          <t>Facility &amp; Modules</t>
        </is>
      </c>
      <c r="C1261" s="4" t="inlineStr">
        <is>
          <t>E18</t>
        </is>
      </c>
      <c r="D1261" s="4" t="inlineStr">
        <is>
          <t>-</t>
        </is>
      </c>
      <c r="E1261" s="4" t="inlineStr">
        <is>
          <t>-</t>
        </is>
      </c>
      <c r="F1261" s="4" t="inlineStr">
        <is>
          <t>GOC Bed Unit-Costing Model v2 — working original.xlsx</t>
        </is>
      </c>
    </row>
    <row r="1262" ht="40" customHeight="1">
      <c r="A1262" s="4" t="inlineStr">
        <is>
          <t>original:Facility &amp; Modules!F18</t>
        </is>
      </c>
      <c r="B1262" s="4" t="inlineStr">
        <is>
          <t>Facility &amp; Modules</t>
        </is>
      </c>
      <c r="C1262" s="4" t="inlineStr">
        <is>
          <t>F18</t>
        </is>
      </c>
      <c r="D1262" s="4" t="inlineStr">
        <is>
          <t>Sorted, caged HDPE ready to shred</t>
        </is>
      </c>
      <c r="E1262" s="4" t="inlineStr">
        <is>
          <t>Sorted, caged HDPE ready to shred</t>
        </is>
      </c>
      <c r="F1262" s="4" t="inlineStr">
        <is>
          <t>GOC Bed Unit-Costing Model v2 — working original.xlsx</t>
        </is>
      </c>
    </row>
    <row r="1263" ht="40" customHeight="1">
      <c r="A1263" s="4" t="inlineStr">
        <is>
          <t>original:Facility &amp; Modules!A19</t>
        </is>
      </c>
      <c r="B1263" s="4" t="inlineStr">
        <is>
          <t>Facility &amp; Modules</t>
        </is>
      </c>
      <c r="C1263" s="4" t="inlineStr">
        <is>
          <t>A19</t>
        </is>
      </c>
      <c r="D1263" s="4" t="inlineStr">
        <is>
          <t>Shredding</t>
        </is>
      </c>
      <c r="E1263" s="4" t="inlineStr">
        <is>
          <t>Shredding</t>
        </is>
      </c>
      <c r="F1263" s="4" t="inlineStr">
        <is>
          <t>GOC Bed Unit-Costing Model v2 — working original.xlsx</t>
        </is>
      </c>
    </row>
    <row r="1264" ht="40" customHeight="1">
      <c r="A1264" s="4" t="inlineStr">
        <is>
          <t>original:Facility &amp; Modules!B19</t>
        </is>
      </c>
      <c r="B1264" s="4" t="inlineStr">
        <is>
          <t>Facility &amp; Modules</t>
        </is>
      </c>
      <c r="C1264" s="4" t="inlineStr">
        <is>
          <t>B19</t>
        </is>
      </c>
      <c r="D1264" s="4" t="n">
        <v>19800</v>
      </c>
      <c r="E1264" s="4" t="n">
        <v>19800</v>
      </c>
      <c r="F1264" s="4" t="inlineStr">
        <is>
          <t>GOC Bed Unit-Costing Model v2 — working original.xlsx</t>
        </is>
      </c>
    </row>
    <row r="1265" ht="40" customHeight="1">
      <c r="A1265" s="4" t="inlineStr">
        <is>
          <t>original:Facility &amp; Modules!C19</t>
        </is>
      </c>
      <c r="B1265" s="4" t="inlineStr">
        <is>
          <t>Facility &amp; Modules</t>
        </is>
      </c>
      <c r="C1265" s="4" t="inlineStr">
        <is>
          <t>C19</t>
        </is>
      </c>
      <c r="D1265" s="4" t="n">
        <v>19800</v>
      </c>
      <c r="E1265" s="4" t="n">
        <v>19800</v>
      </c>
      <c r="F1265" s="4" t="inlineStr">
        <is>
          <t>GOC Bed Unit-Costing Model v2 — working original.xlsx</t>
        </is>
      </c>
    </row>
    <row r="1266" ht="40" customHeight="1">
      <c r="A1266" s="4" t="inlineStr">
        <is>
          <t>original:Facility &amp; Modules!D19</t>
        </is>
      </c>
      <c r="B1266" s="4" t="inlineStr">
        <is>
          <t>Facility &amp; Modules</t>
        </is>
      </c>
      <c r="C1266" s="4" t="inlineStr">
        <is>
          <t>D19</t>
        </is>
      </c>
      <c r="D1266" s="4" t="inlineStr">
        <is>
          <t>evidenced</t>
        </is>
      </c>
      <c r="E1266" s="4" t="inlineStr">
        <is>
          <t>evidenced</t>
        </is>
      </c>
      <c r="F1266" s="4" t="inlineStr">
        <is>
          <t>GOC Bed Unit-Costing Model v2 — working original.xlsx</t>
        </is>
      </c>
    </row>
    <row r="1267" ht="40" customHeight="1">
      <c r="A1267" s="4" t="inlineStr">
        <is>
          <t>original:Facility &amp; Modules!E19</t>
        </is>
      </c>
      <c r="B1267" s="4" t="inlineStr">
        <is>
          <t>Facility &amp; Modules</t>
        </is>
      </c>
      <c r="C1267" s="4" t="inlineStr">
        <is>
          <t>E19</t>
        </is>
      </c>
      <c r="D1267" s="4" t="inlineStr">
        <is>
          <t>Collection and sorting</t>
        </is>
      </c>
      <c r="E1267" s="4" t="inlineStr">
        <is>
          <t>Collection and sorting</t>
        </is>
      </c>
      <c r="F1267" s="4" t="inlineStr">
        <is>
          <t>GOC Bed Unit-Costing Model v2 — working original.xlsx</t>
        </is>
      </c>
    </row>
    <row r="1268" ht="40" customHeight="1">
      <c r="A1268" s="4" t="inlineStr">
        <is>
          <t>original:Facility &amp; Modules!F19</t>
        </is>
      </c>
      <c r="B1268" s="4" t="inlineStr">
        <is>
          <t>Facility &amp; Modules</t>
        </is>
      </c>
      <c r="C1268" s="4" t="inlineStr">
        <is>
          <t>F19</t>
        </is>
      </c>
      <c r="D1268" s="4" t="inlineStr">
        <is>
          <t>HDPE shred</t>
        </is>
      </c>
      <c r="E1268" s="4" t="inlineStr">
        <is>
          <t>HDPE shred</t>
        </is>
      </c>
      <c r="F1268" s="4" t="inlineStr">
        <is>
          <t>GOC Bed Unit-Costing Model v2 — working original.xlsx</t>
        </is>
      </c>
    </row>
    <row r="1269" ht="40" customHeight="1">
      <c r="A1269" s="4" t="inlineStr">
        <is>
          <t>original:Facility &amp; Modules!A20</t>
        </is>
      </c>
      <c r="B1269" s="4" t="inlineStr">
        <is>
          <t>Facility &amp; Modules</t>
        </is>
      </c>
      <c r="C1269" s="4" t="inlineStr">
        <is>
          <t>A20</t>
        </is>
      </c>
      <c r="D1269" s="4" t="inlineStr">
        <is>
          <t>Pressing, CNC and finishing</t>
        </is>
      </c>
      <c r="E1269" s="4" t="inlineStr">
        <is>
          <t>Pressing, CNC and finishing</t>
        </is>
      </c>
      <c r="F1269" s="4" t="inlineStr">
        <is>
          <t>GOC Bed Unit-Costing Model v2 — working original.xlsx</t>
        </is>
      </c>
    </row>
    <row r="1270" ht="40" customHeight="1">
      <c r="A1270" s="4" t="inlineStr">
        <is>
          <t>original:Facility &amp; Modules!B20</t>
        </is>
      </c>
      <c r="B1270" s="4" t="inlineStr">
        <is>
          <t>Facility &amp; Modules</t>
        </is>
      </c>
      <c r="C1270" s="4" t="inlineStr">
        <is>
          <t>B20</t>
        </is>
      </c>
      <c r="D1270" s="4" t="n">
        <v>32780</v>
      </c>
      <c r="E1270" s="4" t="n">
        <v>32780</v>
      </c>
      <c r="F1270" s="4" t="inlineStr">
        <is>
          <t>GOC Bed Unit-Costing Model v2 — working original.xlsx</t>
        </is>
      </c>
    </row>
    <row r="1271" ht="40" customHeight="1">
      <c r="A1271" s="4" t="inlineStr">
        <is>
          <t>original:Facility &amp; Modules!C20</t>
        </is>
      </c>
      <c r="B1271" s="4" t="inlineStr">
        <is>
          <t>Facility &amp; Modules</t>
        </is>
      </c>
      <c r="C1271" s="4" t="inlineStr">
        <is>
          <t>C20</t>
        </is>
      </c>
      <c r="D1271" s="4" t="n">
        <v>32780</v>
      </c>
      <c r="E1271" s="4" t="n">
        <v>32780</v>
      </c>
      <c r="F1271" s="4" t="inlineStr">
        <is>
          <t>GOC Bed Unit-Costing Model v2 — working original.xlsx</t>
        </is>
      </c>
    </row>
    <row r="1272" ht="40" customHeight="1">
      <c r="A1272" s="4" t="inlineStr">
        <is>
          <t>original:Facility &amp; Modules!D20</t>
        </is>
      </c>
      <c r="B1272" s="4" t="inlineStr">
        <is>
          <t>Facility &amp; Modules</t>
        </is>
      </c>
      <c r="C1272" s="4" t="inlineStr">
        <is>
          <t>D20</t>
        </is>
      </c>
      <c r="D1272" s="4" t="inlineStr">
        <is>
          <t>evidenced</t>
        </is>
      </c>
      <c r="E1272" s="4" t="inlineStr">
        <is>
          <t>evidenced</t>
        </is>
      </c>
      <c r="F1272" s="4" t="inlineStr">
        <is>
          <t>GOC Bed Unit-Costing Model v2 — working original.xlsx</t>
        </is>
      </c>
    </row>
    <row r="1273" ht="40" customHeight="1">
      <c r="A1273" s="4" t="inlineStr">
        <is>
          <t>original:Facility &amp; Modules!E20</t>
        </is>
      </c>
      <c r="B1273" s="4" t="inlineStr">
        <is>
          <t>Facility &amp; Modules</t>
        </is>
      </c>
      <c r="C1273" s="4" t="inlineStr">
        <is>
          <t>E20</t>
        </is>
      </c>
      <c r="D1273" s="4" t="inlineStr">
        <is>
          <t>Shredding</t>
        </is>
      </c>
      <c r="E1273" s="4" t="inlineStr">
        <is>
          <t>Shredding</t>
        </is>
      </c>
      <c r="F1273" s="4" t="inlineStr">
        <is>
          <t>GOC Bed Unit-Costing Model v2 — working original.xlsx</t>
        </is>
      </c>
    </row>
    <row r="1274" ht="40" customHeight="1">
      <c r="A1274" s="4" t="inlineStr">
        <is>
          <t>original:Facility &amp; Modules!F20</t>
        </is>
      </c>
      <c r="B1274" s="4" t="inlineStr">
        <is>
          <t>Facility &amp; Modules</t>
        </is>
      </c>
      <c r="C1274" s="4" t="inlineStr">
        <is>
          <t>F20</t>
        </is>
      </c>
      <c r="D1274" s="4" t="inlineStr">
        <is>
          <t>Finished HDPE leg kits</t>
        </is>
      </c>
      <c r="E1274" s="4" t="inlineStr">
        <is>
          <t>Finished HDPE leg kits</t>
        </is>
      </c>
      <c r="F1274" s="4" t="inlineStr">
        <is>
          <t>GOC Bed Unit-Costing Model v2 — working original.xlsx</t>
        </is>
      </c>
    </row>
    <row r="1275" ht="40" customHeight="1">
      <c r="A1275" s="4" t="inlineStr">
        <is>
          <t>original:Facility &amp; Modules!A21</t>
        </is>
      </c>
      <c r="B1275" s="4" t="inlineStr">
        <is>
          <t>Facility &amp; Modules</t>
        </is>
      </c>
      <c r="C1275" s="4" t="inlineStr">
        <is>
          <t>A21</t>
        </is>
      </c>
      <c r="D1275" s="4" t="inlineStr">
        <is>
          <t>Assembly and workshop</t>
        </is>
      </c>
      <c r="E1275" s="4" t="inlineStr">
        <is>
          <t>Assembly and workshop</t>
        </is>
      </c>
      <c r="F1275" s="4" t="inlineStr">
        <is>
          <t>GOC Bed Unit-Costing Model v2 — working original.xlsx</t>
        </is>
      </c>
    </row>
    <row r="1276" ht="40" customHeight="1">
      <c r="A1276" s="4" t="inlineStr">
        <is>
          <t>original:Facility &amp; Modules!B21</t>
        </is>
      </c>
      <c r="B1276" s="4" t="inlineStr">
        <is>
          <t>Facility &amp; Modules</t>
        </is>
      </c>
      <c r="C1276" s="4" t="inlineStr">
        <is>
          <t>B21</t>
        </is>
      </c>
      <c r="D1276" s="4" t="n">
        <v>6387</v>
      </c>
      <c r="E1276" s="4" t="n">
        <v>6387</v>
      </c>
      <c r="F1276" s="4" t="inlineStr">
        <is>
          <t>GOC Bed Unit-Costing Model v2 — working original.xlsx</t>
        </is>
      </c>
    </row>
    <row r="1277" ht="40" customHeight="1">
      <c r="A1277" s="4" t="inlineStr">
        <is>
          <t>original:Facility &amp; Modules!C21</t>
        </is>
      </c>
      <c r="B1277" s="4" t="inlineStr">
        <is>
          <t>Facility &amp; Modules</t>
        </is>
      </c>
      <c r="C1277" s="4" t="inlineStr">
        <is>
          <t>C21</t>
        </is>
      </c>
      <c r="D1277" s="4" t="n">
        <v>6387</v>
      </c>
      <c r="E1277" s="4" t="n">
        <v>6387</v>
      </c>
      <c r="F1277" s="4" t="inlineStr">
        <is>
          <t>GOC Bed Unit-Costing Model v2 — working original.xlsx</t>
        </is>
      </c>
    </row>
    <row r="1278" ht="40" customHeight="1">
      <c r="A1278" s="4" t="inlineStr">
        <is>
          <t>original:Facility &amp; Modules!D21</t>
        </is>
      </c>
      <c r="B1278" s="4" t="inlineStr">
        <is>
          <t>Facility &amp; Modules</t>
        </is>
      </c>
      <c r="C1278" s="4" t="inlineStr">
        <is>
          <t>D21</t>
        </is>
      </c>
      <c r="D1278" s="4" t="inlineStr">
        <is>
          <t>evidenced</t>
        </is>
      </c>
      <c r="E1278" s="4" t="inlineStr">
        <is>
          <t>evidenced</t>
        </is>
      </c>
      <c r="F1278" s="4" t="inlineStr">
        <is>
          <t>GOC Bed Unit-Costing Model v2 — working original.xlsx</t>
        </is>
      </c>
    </row>
    <row r="1279" ht="40" customHeight="1">
      <c r="A1279" s="4" t="inlineStr">
        <is>
          <t>original:Facility &amp; Modules!E21</t>
        </is>
      </c>
      <c r="B1279" s="4" t="inlineStr">
        <is>
          <t>Facility &amp; Modules</t>
        </is>
      </c>
      <c r="C1279" s="4" t="inlineStr">
        <is>
          <t>E21</t>
        </is>
      </c>
      <c r="D1279" s="4" t="inlineStr">
        <is>
          <t>Pressing, CNC and finishing</t>
        </is>
      </c>
      <c r="E1279" s="4" t="inlineStr">
        <is>
          <t>Pressing, CNC and finishing</t>
        </is>
      </c>
      <c r="F1279" s="4" t="inlineStr">
        <is>
          <t>GOC Bed Unit-Costing Model v2 — working original.xlsx</t>
        </is>
      </c>
    </row>
    <row r="1280" ht="40" customHeight="1">
      <c r="A1280" s="4" t="inlineStr">
        <is>
          <t>original:Facility &amp; Modules!F21</t>
        </is>
      </c>
      <c r="B1280" s="4" t="inlineStr">
        <is>
          <t>Facility &amp; Modules</t>
        </is>
      </c>
      <c r="C1280" s="4" t="inlineStr">
        <is>
          <t>F21</t>
        </is>
      </c>
      <c r="D1280" s="4" t="inlineStr">
        <is>
          <t>Finished beds</t>
        </is>
      </c>
      <c r="E1280" s="4" t="inlineStr">
        <is>
          <t>Finished beds</t>
        </is>
      </c>
      <c r="F1280" s="4" t="inlineStr">
        <is>
          <t>GOC Bed Unit-Costing Model v2 — working original.xlsx</t>
        </is>
      </c>
    </row>
    <row r="1281" ht="40" customHeight="1">
      <c r="A1281" s="4" t="inlineStr">
        <is>
          <t>original:Facility &amp; Modules!A22</t>
        </is>
      </c>
      <c r="B1281" s="4" t="inlineStr">
        <is>
          <t>Facility &amp; Modules</t>
        </is>
      </c>
      <c r="C1281" s="4" t="inlineStr">
        <is>
          <t>A22</t>
        </is>
      </c>
      <c r="D1281" s="4" t="inlineStr">
        <is>
          <t>Sales and delivery</t>
        </is>
      </c>
      <c r="E1281" s="4" t="inlineStr">
        <is>
          <t>Sales and delivery</t>
        </is>
      </c>
      <c r="F1281" s="4" t="inlineStr">
        <is>
          <t>GOC Bed Unit-Costing Model v2 — working original.xlsx</t>
        </is>
      </c>
    </row>
    <row r="1282" ht="40" customHeight="1">
      <c r="A1282" s="4" t="inlineStr">
        <is>
          <t>original:Facility &amp; Modules!B22</t>
        </is>
      </c>
      <c r="B1282" s="4" t="inlineStr">
        <is>
          <t>Facility &amp; Modules</t>
        </is>
      </c>
      <c r="C1282" s="4" t="inlineStr">
        <is>
          <t>B22</t>
        </is>
      </c>
      <c r="D1282" s="4" t="n">
        <v>0</v>
      </c>
      <c r="E1282" s="4" t="n">
        <v>0</v>
      </c>
      <c r="F1282" s="4" t="inlineStr">
        <is>
          <t>GOC Bed Unit-Costing Model v2 — working original.xlsx</t>
        </is>
      </c>
    </row>
    <row r="1283" ht="40" customHeight="1">
      <c r="A1283" s="4" t="inlineStr">
        <is>
          <t>original:Facility &amp; Modules!C22</t>
        </is>
      </c>
      <c r="B1283" s="4" t="inlineStr">
        <is>
          <t>Facility &amp; Modules</t>
        </is>
      </c>
      <c r="C1283" s="4" t="inlineStr">
        <is>
          <t>C22</t>
        </is>
      </c>
      <c r="D1283" s="4" t="n">
        <v>0</v>
      </c>
      <c r="E1283" s="4" t="n">
        <v>0</v>
      </c>
      <c r="F1283" s="4" t="inlineStr">
        <is>
          <t>GOC Bed Unit-Costing Model v2 — working original.xlsx</t>
        </is>
      </c>
    </row>
    <row r="1284" ht="40" customHeight="1">
      <c r="A1284" s="4" t="inlineStr">
        <is>
          <t>original:Facility &amp; Modules!D22</t>
        </is>
      </c>
      <c r="B1284" s="4" t="inlineStr">
        <is>
          <t>Facility &amp; Modules</t>
        </is>
      </c>
      <c r="C1284" s="4" t="inlineStr">
        <is>
          <t>D22</t>
        </is>
      </c>
      <c r="D1284" s="4" t="inlineStr">
        <is>
          <t>evidenced</t>
        </is>
      </c>
      <c r="E1284" s="4" t="inlineStr">
        <is>
          <t>evidenced</t>
        </is>
      </c>
      <c r="F1284" s="4" t="inlineStr">
        <is>
          <t>GOC Bed Unit-Costing Model v2 — working original.xlsx</t>
        </is>
      </c>
    </row>
    <row r="1285" ht="40" customHeight="1">
      <c r="A1285" s="4" t="inlineStr">
        <is>
          <t>original:Facility &amp; Modules!E22</t>
        </is>
      </c>
      <c r="B1285" s="4" t="inlineStr">
        <is>
          <t>Facility &amp; Modules</t>
        </is>
      </c>
      <c r="C1285" s="4" t="inlineStr">
        <is>
          <t>E22</t>
        </is>
      </c>
      <c r="D1285" s="4" t="inlineStr">
        <is>
          <t>Assembly and workshop</t>
        </is>
      </c>
      <c r="E1285" s="4" t="inlineStr">
        <is>
          <t>Assembly and workshop</t>
        </is>
      </c>
      <c r="F1285" s="4" t="inlineStr">
        <is>
          <t>GOC Bed Unit-Costing Model v2 — working original.xlsx</t>
        </is>
      </c>
    </row>
    <row r="1286" ht="40" customHeight="1">
      <c r="A1286" s="4" t="inlineStr">
        <is>
          <t>original:Facility &amp; Modules!F22</t>
        </is>
      </c>
      <c r="B1286" s="4" t="inlineStr">
        <is>
          <t>Facility &amp; Modules</t>
        </is>
      </c>
      <c r="C1286" s="4" t="inlineStr">
        <is>
          <t>F22</t>
        </is>
      </c>
      <c r="D1286" s="4" t="inlineStr">
        <is>
          <t>Beds in homes</t>
        </is>
      </c>
      <c r="E1286" s="4" t="inlineStr">
        <is>
          <t>Beds in homes</t>
        </is>
      </c>
      <c r="F1286" s="4" t="inlineStr">
        <is>
          <t>GOC Bed Unit-Costing Model v2 — working original.xlsx</t>
        </is>
      </c>
    </row>
    <row r="1287" ht="40" customHeight="1">
      <c r="A1287" s="4" t="inlineStr">
        <is>
          <t>original:Facility &amp; Modules!A23</t>
        </is>
      </c>
      <c r="B1287" s="4" t="inlineStr">
        <is>
          <t>Facility &amp; Modules</t>
        </is>
      </c>
      <c r="C1287" s="4" t="inlineStr">
        <is>
          <t>A23</t>
        </is>
      </c>
      <c r="D1287" s="4" t="inlineStr">
        <is>
          <t>ALL MODULES + SITE BASE</t>
        </is>
      </c>
      <c r="E1287" s="4" t="inlineStr">
        <is>
          <t>ALL MODULES + SITE BASE</t>
        </is>
      </c>
      <c r="F1287" s="4" t="inlineStr">
        <is>
          <t>GOC Bed Unit-Costing Model v2 — working original.xlsx</t>
        </is>
      </c>
    </row>
    <row r="1288" ht="40" customHeight="1">
      <c r="A1288" s="4" t="inlineStr">
        <is>
          <t>original:Facility &amp; Modules!B23</t>
        </is>
      </c>
      <c r="B1288" s="4" t="inlineStr">
        <is>
          <t>Facility &amp; Modules</t>
        </is>
      </c>
      <c r="C1288" s="4" t="inlineStr">
        <is>
          <t>B23</t>
        </is>
      </c>
      <c r="D1288" s="4" t="n">
        <v>95767</v>
      </c>
      <c r="E1288" s="4" t="n">
        <v>95767</v>
      </c>
      <c r="F1288" s="4" t="inlineStr">
        <is>
          <t>GOC Bed Unit-Costing Model v2 — working original.xlsx</t>
        </is>
      </c>
    </row>
    <row r="1289" ht="40" customHeight="1">
      <c r="A1289" s="4" t="inlineStr">
        <is>
          <t>original:Facility &amp; Modules!C23</t>
        </is>
      </c>
      <c r="B1289" s="4" t="inlineStr">
        <is>
          <t>Facility &amp; Modules</t>
        </is>
      </c>
      <c r="C1289" s="4" t="inlineStr">
        <is>
          <t>C23</t>
        </is>
      </c>
      <c r="D1289" s="4" t="n">
        <v>142967</v>
      </c>
      <c r="E1289" s="4" t="n">
        <v>142967</v>
      </c>
      <c r="F1289" s="4" t="inlineStr">
        <is>
          <t>GOC Bed Unit-Costing Model v2 — working original.xlsx</t>
        </is>
      </c>
    </row>
    <row r="1290" ht="40" customHeight="1">
      <c r="A1290" s="4" t="inlineStr">
        <is>
          <t>original:Facility &amp; Modules!D23</t>
        </is>
      </c>
      <c r="B1290" s="4" t="inlineStr">
        <is>
          <t>Facility &amp; Modules</t>
        </is>
      </c>
      <c r="C1290" s="4" t="inlineStr">
        <is>
          <t>D23</t>
        </is>
      </c>
      <c r="D1290" s="4" t="inlineStr">
        <is>
          <t>modelled</t>
        </is>
      </c>
      <c r="E1290" s="4" t="inlineStr">
        <is>
          <t>modelled</t>
        </is>
      </c>
      <c r="F1290" s="4" t="inlineStr">
        <is>
          <t>GOC Bed Unit-Costing Model v2 — working original.xlsx</t>
        </is>
      </c>
    </row>
    <row r="1291" ht="90" customHeight="1">
      <c r="A1291" s="4" t="inlineStr">
        <is>
          <t>original:Facility &amp; Modules!E23</t>
        </is>
      </c>
      <c r="B1291" s="4" t="inlineStr">
        <is>
          <t>Facility &amp; Modules</t>
        </is>
      </c>
      <c r="C1291" s="4" t="inlineStr">
        <is>
          <t>E23</t>
        </is>
      </c>
      <c r="D1291" s="4" t="inlineStr">
        <is>
          <t>Reconciles to the MVF replication total of ~$105,000 midpoint (excluding collection, which is an addition to that table, not part of it).</t>
        </is>
      </c>
      <c r="E1291" s="4" t="inlineStr">
        <is>
          <t>Reconciles to the MVF replication total of ~$105,000 midpoint (excluding collection, which is an addition to that table, not part of it).</t>
        </is>
      </c>
      <c r="F1291" s="4" t="inlineStr">
        <is>
          <t>GOC Bed Unit-Costing Model v2 — working original.xlsx</t>
        </is>
      </c>
    </row>
    <row r="1292" ht="60" customHeight="1">
      <c r="A1292" s="4" t="inlineStr">
        <is>
          <t>original:Facility &amp; Modules!A25</t>
        </is>
      </c>
      <c r="B1292" s="4" t="inlineStr">
        <is>
          <t>Facility &amp; Modules</t>
        </is>
      </c>
      <c r="C1292" s="4" t="inlineStr">
        <is>
          <t>A25</t>
        </is>
      </c>
      <c r="D1292" s="4" t="inlineStr">
        <is>
          <t>3. THE TWO PLANNING SCOPES - not competing estimates of the same thing</t>
        </is>
      </c>
      <c r="E1292" s="4" t="inlineStr">
        <is>
          <t>3. THE TWO PLANNING SCOPES - not competing estimates of the same thing</t>
        </is>
      </c>
      <c r="F1292" s="4" t="inlineStr">
        <is>
          <t>GOC Bed Unit-Costing Model v2 — working original.xlsx</t>
        </is>
      </c>
    </row>
    <row r="1293" ht="40" customHeight="1">
      <c r="A1293" s="4" t="inlineStr">
        <is>
          <t>original:Facility &amp; Modules!A26</t>
        </is>
      </c>
      <c r="B1293" s="4" t="inlineStr">
        <is>
          <t>Facility &amp; Modules</t>
        </is>
      </c>
      <c r="C1293" s="4" t="inlineStr">
        <is>
          <t>A26</t>
        </is>
      </c>
      <c r="D1293" s="4" t="inlineStr">
        <is>
          <t>Scope</t>
        </is>
      </c>
      <c r="E1293" s="4" t="inlineStr">
        <is>
          <t>Scope</t>
        </is>
      </c>
      <c r="F1293" s="4" t="inlineStr">
        <is>
          <t>GOC Bed Unit-Costing Model v2 — working original.xlsx</t>
        </is>
      </c>
    </row>
    <row r="1294" ht="40" customHeight="1">
      <c r="A1294" s="4" t="inlineStr">
        <is>
          <t>original:Facility &amp; Modules!B26</t>
        </is>
      </c>
      <c r="B1294" s="4" t="inlineStr">
        <is>
          <t>Facility &amp; Modules</t>
        </is>
      </c>
      <c r="C1294" s="4" t="inlineStr">
        <is>
          <t>B26</t>
        </is>
      </c>
      <c r="D1294" s="4" t="inlineStr">
        <is>
          <t>Figure $</t>
        </is>
      </c>
      <c r="E1294" s="4" t="inlineStr">
        <is>
          <t>Figure $</t>
        </is>
      </c>
      <c r="F1294" s="4" t="inlineStr">
        <is>
          <t>GOC Bed Unit-Costing Model v2 — working original.xlsx</t>
        </is>
      </c>
    </row>
    <row r="1295" ht="40" customHeight="1">
      <c r="A1295" s="4" t="inlineStr">
        <is>
          <t>original:Facility &amp; Modules!D26</t>
        </is>
      </c>
      <c r="B1295" s="4" t="inlineStr">
        <is>
          <t>Facility &amp; Modules</t>
        </is>
      </c>
      <c r="C1295" s="4" t="inlineStr">
        <is>
          <t>D26</t>
        </is>
      </c>
      <c r="D1295" s="4" t="inlineStr">
        <is>
          <t>Use it for</t>
        </is>
      </c>
      <c r="E1295" s="4" t="inlineStr">
        <is>
          <t>Use it for</t>
        </is>
      </c>
      <c r="F1295" s="4" t="inlineStr">
        <is>
          <t>GOC Bed Unit-Costing Model v2 — working original.xlsx</t>
        </is>
      </c>
    </row>
    <row r="1296" ht="40" customHeight="1">
      <c r="A1296" s="4" t="inlineStr">
        <is>
          <t>original:Facility &amp; Modules!E26</t>
        </is>
      </c>
      <c r="B1296" s="4" t="inlineStr">
        <is>
          <t>Facility &amp; Modules</t>
        </is>
      </c>
      <c r="C1296" s="4" t="inlineStr">
        <is>
          <t>E26</t>
        </is>
      </c>
      <c r="D1296" s="4" t="inlineStr">
        <is>
          <t>Why it differs</t>
        </is>
      </c>
      <c r="E1296" s="4" t="inlineStr">
        <is>
          <t>Why it differs</t>
        </is>
      </c>
      <c r="F1296" s="4" t="inlineStr">
        <is>
          <t>GOC Bed Unit-Costing Model v2 — working original.xlsx</t>
        </is>
      </c>
    </row>
    <row r="1297" ht="40" customHeight="1">
      <c r="A1297" s="4" t="inlineStr">
        <is>
          <t>original:Facility &amp; Modules!A27</t>
        </is>
      </c>
      <c r="B1297" s="4" t="inlineStr">
        <is>
          <t>Facility &amp; Modules</t>
        </is>
      </c>
      <c r="C1297" s="4" t="inlineStr">
        <is>
          <t>A27</t>
        </is>
      </c>
      <c r="D1297" s="4" t="inlineStr">
        <is>
          <t>MVF replication (base case)</t>
        </is>
      </c>
      <c r="E1297" s="4" t="inlineStr">
        <is>
          <t>MVF replication (base case)</t>
        </is>
      </c>
      <c r="F1297" s="4" t="inlineStr">
        <is>
          <t>GOC Bed Unit-Costing Model v2 — working original.xlsx</t>
        </is>
      </c>
    </row>
    <row r="1298" ht="40" customHeight="1">
      <c r="A1298" s="4" t="inlineStr">
        <is>
          <t>original:Facility &amp; Modules!B27</t>
        </is>
      </c>
      <c r="B1298" s="4" t="inlineStr">
        <is>
          <t>Facility &amp; Modules</t>
        </is>
      </c>
      <c r="C1298" s="4" t="inlineStr">
        <is>
          <t>B27</t>
        </is>
      </c>
      <c r="D1298" s="4" t="n">
        <v>105000</v>
      </c>
      <c r="E1298" s="4" t="n">
        <v>105000</v>
      </c>
      <c r="F1298" s="4" t="inlineStr">
        <is>
          <t>GOC Bed Unit-Costing Model v2 — working original.xlsx</t>
        </is>
      </c>
    </row>
    <row r="1299" ht="45" customHeight="1">
      <c r="A1299" s="4" t="inlineStr">
        <is>
          <t>original:Facility &amp; Modules!D27</t>
        </is>
      </c>
      <c r="B1299" s="4" t="inlineStr">
        <is>
          <t>Facility &amp; Modules</t>
        </is>
      </c>
      <c r="C1299" s="4" t="inlineStr">
        <is>
          <t>D27</t>
        </is>
      </c>
      <c r="D1299" s="4" t="inlineStr">
        <is>
          <t>What it costs to stand up a working line at a new site</t>
        </is>
      </c>
      <c r="E1299" s="4" t="inlineStr">
        <is>
          <t>What it costs to stand up a working line at a new site</t>
        </is>
      </c>
      <c r="F1299" s="4" t="inlineStr">
        <is>
          <t>GOC Bed Unit-Costing Model v2 — working original.xlsx</t>
        </is>
      </c>
    </row>
    <row r="1300" ht="60" customHeight="1">
      <c r="A1300" s="4" t="inlineStr">
        <is>
          <t>original:Facility &amp; Modules!E27</t>
        </is>
      </c>
      <c r="B1300" s="4" t="inlineStr">
        <is>
          <t>Facility &amp; Modules</t>
        </is>
      </c>
      <c r="C1300" s="4" t="inlineStr">
        <is>
          <t>E27</t>
        </is>
      </c>
      <c r="D1300" s="4" t="inlineStr">
        <is>
          <t>Built on the equipment set Goods already runs, second-hand where sensible</t>
        </is>
      </c>
      <c r="E1300" s="4" t="inlineStr">
        <is>
          <t>Built on the equipment set Goods already runs, second-hand where sensible</t>
        </is>
      </c>
      <c r="F1300" s="4" t="inlineStr">
        <is>
          <t>GOC Bed Unit-Costing Model v2 — working original.xlsx</t>
        </is>
      </c>
    </row>
    <row r="1301" ht="40" customHeight="1">
      <c r="A1301" s="4" t="inlineStr">
        <is>
          <t>original:Facility &amp; Modules!A28</t>
        </is>
      </c>
      <c r="B1301" s="4" t="inlineStr">
        <is>
          <t>Facility &amp; Modules</t>
        </is>
      </c>
      <c r="C1301" s="4" t="inlineStr">
        <is>
          <t>A28</t>
        </is>
      </c>
      <c r="D1301" s="4" t="inlineStr">
        <is>
          <t>Turnkey 40ft container workshop (conservative)</t>
        </is>
      </c>
      <c r="E1301" s="4" t="inlineStr">
        <is>
          <t>Turnkey 40ft container workshop (conservative)</t>
        </is>
      </c>
      <c r="F1301" s="4" t="inlineStr">
        <is>
          <t>GOC Bed Unit-Costing Model v2 — working original.xlsx</t>
        </is>
      </c>
    </row>
    <row r="1302" ht="40" customHeight="1">
      <c r="A1302" s="4" t="inlineStr">
        <is>
          <t>original:Facility &amp; Modules!B28</t>
        </is>
      </c>
      <c r="B1302" s="4" t="inlineStr">
        <is>
          <t>Facility &amp; Modules</t>
        </is>
      </c>
      <c r="C1302" s="4" t="inlineStr">
        <is>
          <t>B28</t>
        </is>
      </c>
      <c r="D1302" s="4" t="n">
        <v>207450</v>
      </c>
      <c r="E1302" s="4" t="n">
        <v>207450</v>
      </c>
      <c r="F1302" s="4" t="inlineStr">
        <is>
          <t>GOC Bed Unit-Costing Model v2 — working original.xlsx</t>
        </is>
      </c>
    </row>
    <row r="1303" ht="40" customHeight="1">
      <c r="A1303" s="4" t="inlineStr">
        <is>
          <t>original:Facility &amp; Modules!D28</t>
        </is>
      </c>
      <c r="B1303" s="4" t="inlineStr">
        <is>
          <t>Facility &amp; Modules</t>
        </is>
      </c>
      <c r="C1303" s="4" t="inlineStr">
        <is>
          <t>D28</t>
        </is>
      </c>
      <c r="D1303" s="4" t="inlineStr">
        <is>
          <t>The defensible investor-facing number</t>
        </is>
      </c>
      <c r="E1303" s="4" t="inlineStr">
        <is>
          <t>The defensible investor-facing number</t>
        </is>
      </c>
      <c r="F1303" s="4" t="inlineStr">
        <is>
          <t>GOC Bed Unit-Costing Model v2 — working original.xlsx</t>
        </is>
      </c>
    </row>
    <row r="1304" ht="60" customHeight="1">
      <c r="A1304" s="4" t="inlineStr">
        <is>
          <t>original:Facility &amp; Modules!E28</t>
        </is>
      </c>
      <c r="B1304" s="4" t="inlineStr">
        <is>
          <t>Facility &amp; Modules</t>
        </is>
      </c>
      <c r="C1304" s="4" t="inlineStr">
        <is>
          <t>E28</t>
        </is>
      </c>
      <c r="D1304" s="4" t="inlineStr">
        <is>
          <t>$167,000 equipment midpoint + $40,450 container lines. Fully fitted, bought new.</t>
        </is>
      </c>
      <c r="E1304" s="4" t="inlineStr">
        <is>
          <t>$167,000 equipment midpoint + $40,450 container lines. Fully fitted, bought new.</t>
        </is>
      </c>
      <c r="F1304" s="4" t="inlineStr">
        <is>
          <t>GOC Bed Unit-Costing Model v2 — working original.xlsx</t>
        </is>
      </c>
    </row>
    <row r="1305" ht="40" customHeight="1">
      <c r="A1305" s="4" t="inlineStr">
        <is>
          <t>original:Facility &amp; Modules!A30</t>
        </is>
      </c>
      <c r="B1305" s="4" t="inlineStr">
        <is>
          <t>Facility &amp; Modules</t>
        </is>
      </c>
      <c r="C1305" s="4" t="inlineStr">
        <is>
          <t>A30</t>
        </is>
      </c>
      <c r="D1305" s="4" t="inlineStr">
        <is>
          <t>4. HOW THE NINE COMMUNITY MODULES MAP TO COST</t>
        </is>
      </c>
      <c r="E1305" s="4" t="inlineStr">
        <is>
          <t>4. HOW THE NINE COMMUNITY MODULES MAP TO COST</t>
        </is>
      </c>
      <c r="F1305" s="4" t="inlineStr">
        <is>
          <t>GOC Bed Unit-Costing Model v2 — working original.xlsx</t>
        </is>
      </c>
    </row>
    <row r="1306" ht="40" customHeight="1">
      <c r="A1306" s="4" t="inlineStr">
        <is>
          <t>original:Facility &amp; Modules!A31</t>
        </is>
      </c>
      <c r="B1306" s="4" t="inlineStr">
        <is>
          <t>Facility &amp; Modules</t>
        </is>
      </c>
      <c r="C1306" s="4" t="inlineStr">
        <is>
          <t>A31</t>
        </is>
      </c>
      <c r="D1306" s="4" t="inlineStr">
        <is>
          <t>Community module</t>
        </is>
      </c>
      <c r="E1306" s="4" t="inlineStr">
        <is>
          <t>Community module</t>
        </is>
      </c>
      <c r="F1306" s="4" t="inlineStr">
        <is>
          <t>GOC Bed Unit-Costing Model v2 — working original.xlsx</t>
        </is>
      </c>
    </row>
    <row r="1307" ht="40" customHeight="1">
      <c r="A1307" s="4" t="inlineStr">
        <is>
          <t>original:Facility &amp; Modules!B31</t>
        </is>
      </c>
      <c r="B1307" s="4" t="inlineStr">
        <is>
          <t>Facility &amp; Modules</t>
        </is>
      </c>
      <c r="C1307" s="4" t="inlineStr">
        <is>
          <t>B31</t>
        </is>
      </c>
      <c r="D1307" s="4" t="inlineStr">
        <is>
          <t>Pot</t>
        </is>
      </c>
      <c r="E1307" s="4" t="inlineStr">
        <is>
          <t>Pot</t>
        </is>
      </c>
      <c r="F1307" s="4" t="inlineStr">
        <is>
          <t>GOC Bed Unit-Costing Model v2 — working original.xlsx</t>
        </is>
      </c>
    </row>
    <row r="1308" ht="40" customHeight="1">
      <c r="A1308" s="4" t="inlineStr">
        <is>
          <t>original:Facility &amp; Modules!C31</t>
        </is>
      </c>
      <c r="B1308" s="4" t="inlineStr">
        <is>
          <t>Facility &amp; Modules</t>
        </is>
      </c>
      <c r="C1308" s="4" t="inlineStr">
        <is>
          <t>C31</t>
        </is>
      </c>
      <c r="D1308" s="4" t="inlineStr">
        <is>
          <t>Capex?</t>
        </is>
      </c>
      <c r="E1308" s="4" t="inlineStr">
        <is>
          <t>Capex?</t>
        </is>
      </c>
      <c r="F1308" s="4" t="inlineStr">
        <is>
          <t>GOC Bed Unit-Costing Model v2 — working original.xlsx</t>
        </is>
      </c>
    </row>
    <row r="1309" ht="40" customHeight="1">
      <c r="A1309" s="4" t="inlineStr">
        <is>
          <t>original:Facility &amp; Modules!D31</t>
        </is>
      </c>
      <c r="B1309" s="4" t="inlineStr">
        <is>
          <t>Facility &amp; Modules</t>
        </is>
      </c>
      <c r="C1309" s="4" t="inlineStr">
        <is>
          <t>D31</t>
        </is>
      </c>
      <c r="D1309" s="4" t="inlineStr">
        <is>
          <t>Operating?</t>
        </is>
      </c>
      <c r="E1309" s="4" t="inlineStr">
        <is>
          <t>Operating?</t>
        </is>
      </c>
      <c r="F1309" s="4" t="inlineStr">
        <is>
          <t>GOC Bed Unit-Costing Model v2 — working original.xlsx</t>
        </is>
      </c>
    </row>
    <row r="1310" ht="40" customHeight="1">
      <c r="A1310" s="4" t="inlineStr">
        <is>
          <t>original:Facility &amp; Modules!E31</t>
        </is>
      </c>
      <c r="B1310" s="4" t="inlineStr">
        <is>
          <t>Facility &amp; Modules</t>
        </is>
      </c>
      <c r="C1310" s="4" t="inlineStr">
        <is>
          <t>E31</t>
        </is>
      </c>
      <c r="D1310" s="4" t="inlineStr">
        <is>
          <t>Note</t>
        </is>
      </c>
      <c r="E1310" s="4" t="inlineStr">
        <is>
          <t>Note</t>
        </is>
      </c>
      <c r="F1310" s="4" t="inlineStr">
        <is>
          <t>GOC Bed Unit-Costing Model v2 — working original.xlsx</t>
        </is>
      </c>
    </row>
    <row r="1311" ht="40" customHeight="1">
      <c r="A1311" s="4" t="inlineStr">
        <is>
          <t>original:Facility &amp; Modules!A32</t>
        </is>
      </c>
      <c r="B1311" s="4" t="inlineStr">
        <is>
          <t>Facility &amp; Modules</t>
        </is>
      </c>
      <c r="C1311" s="4" t="inlineStr">
        <is>
          <t>A32</t>
        </is>
      </c>
      <c r="D1311" s="4" t="inlineStr">
        <is>
          <t>Products</t>
        </is>
      </c>
      <c r="E1311" s="4" t="inlineStr">
        <is>
          <t>Products</t>
        </is>
      </c>
      <c r="F1311" s="4" t="inlineStr">
        <is>
          <t>GOC Bed Unit-Costing Model v2 — working original.xlsx</t>
        </is>
      </c>
    </row>
    <row r="1312" ht="40" customHeight="1">
      <c r="A1312" s="4" t="inlineStr">
        <is>
          <t>original:Facility &amp; Modules!B32</t>
        </is>
      </c>
      <c r="B1312" s="4" t="inlineStr">
        <is>
          <t>Facility &amp; Modules</t>
        </is>
      </c>
      <c r="C1312" s="4" t="inlineStr">
        <is>
          <t>B32</t>
        </is>
      </c>
      <c r="D1312" s="4" t="n">
        <v>1</v>
      </c>
      <c r="E1312" s="4" t="n">
        <v>1</v>
      </c>
      <c r="F1312" s="4" t="inlineStr">
        <is>
          <t>GOC Bed Unit-Costing Model v2 — working original.xlsx</t>
        </is>
      </c>
    </row>
    <row r="1313" ht="40" customHeight="1">
      <c r="A1313" s="4" t="inlineStr">
        <is>
          <t>original:Facility &amp; Modules!C32</t>
        </is>
      </c>
      <c r="B1313" s="4" t="inlineStr">
        <is>
          <t>Facility &amp; Modules</t>
        </is>
      </c>
      <c r="C1313" s="4" t="inlineStr">
        <is>
          <t>C32</t>
        </is>
      </c>
      <c r="D1313" s="4" t="inlineStr">
        <is>
          <t>No</t>
        </is>
      </c>
      <c r="E1313" s="4" t="inlineStr">
        <is>
          <t>No</t>
        </is>
      </c>
      <c r="F1313" s="4" t="inlineStr">
        <is>
          <t>GOC Bed Unit-Costing Model v2 — working original.xlsx</t>
        </is>
      </c>
    </row>
    <row r="1314" ht="40" customHeight="1">
      <c r="A1314" s="4" t="inlineStr">
        <is>
          <t>original:Facility &amp; Modules!D32</t>
        </is>
      </c>
      <c r="B1314" s="4" t="inlineStr">
        <is>
          <t>Facility &amp; Modules</t>
        </is>
      </c>
      <c r="C1314" s="4" t="inlineStr">
        <is>
          <t>D32</t>
        </is>
      </c>
      <c r="D1314" s="4" t="inlineStr">
        <is>
          <t>In unit cost</t>
        </is>
      </c>
      <c r="E1314" s="4" t="inlineStr">
        <is>
          <t>In unit cost</t>
        </is>
      </c>
      <c r="F1314" s="4" t="inlineStr">
        <is>
          <t>GOC Bed Unit-Costing Model v2 — working original.xlsx</t>
        </is>
      </c>
    </row>
    <row r="1315" ht="40" customHeight="1">
      <c r="A1315" s="4" t="inlineStr">
        <is>
          <t>original:Facility &amp; Modules!E32</t>
        </is>
      </c>
      <c r="B1315" s="4" t="inlineStr">
        <is>
          <t>Facility &amp; Modules</t>
        </is>
      </c>
      <c r="C1315" s="4" t="inlineStr">
        <is>
          <t>E32</t>
        </is>
      </c>
      <c r="D1315" s="4" t="inlineStr">
        <is>
          <t>Beds and other proven Goods products</t>
        </is>
      </c>
      <c r="E1315" s="4" t="inlineStr">
        <is>
          <t>Beds and other proven Goods products</t>
        </is>
      </c>
      <c r="F1315" s="4" t="inlineStr">
        <is>
          <t>GOC Bed Unit-Costing Model v2 — working original.xlsx</t>
        </is>
      </c>
    </row>
    <row r="1316" ht="40" customHeight="1">
      <c r="A1316" s="4" t="inlineStr">
        <is>
          <t>original:Facility &amp; Modules!A33</t>
        </is>
      </c>
      <c r="B1316" s="4" t="inlineStr">
        <is>
          <t>Facility &amp; Modules</t>
        </is>
      </c>
      <c r="C1316" s="4" t="inlineStr">
        <is>
          <t>A33</t>
        </is>
      </c>
      <c r="D1316" s="4" t="inlineStr">
        <is>
          <t>Equipment</t>
        </is>
      </c>
      <c r="E1316" s="4" t="inlineStr">
        <is>
          <t>Equipment</t>
        </is>
      </c>
      <c r="F1316" s="4" t="inlineStr">
        <is>
          <t>GOC Bed Unit-Costing Model v2 — working original.xlsx</t>
        </is>
      </c>
    </row>
    <row r="1317" ht="40" customHeight="1">
      <c r="A1317" s="4" t="inlineStr">
        <is>
          <t>original:Facility &amp; Modules!B33</t>
        </is>
      </c>
      <c r="B1317" s="4" t="inlineStr">
        <is>
          <t>Facility &amp; Modules</t>
        </is>
      </c>
      <c r="C1317" s="4" t="inlineStr">
        <is>
          <t>B33</t>
        </is>
      </c>
      <c r="D1317" s="4" t="n">
        <v>1</v>
      </c>
      <c r="E1317" s="4" t="n">
        <v>1</v>
      </c>
      <c r="F1317" s="4" t="inlineStr">
        <is>
          <t>GOC Bed Unit-Costing Model v2 — working original.xlsx</t>
        </is>
      </c>
    </row>
    <row r="1318" ht="40" customHeight="1">
      <c r="A1318" s="4" t="inlineStr">
        <is>
          <t>original:Facility &amp; Modules!C33</t>
        </is>
      </c>
      <c r="B1318" s="4" t="inlineStr">
        <is>
          <t>Facility &amp; Modules</t>
        </is>
      </c>
      <c r="C1318" s="4" t="inlineStr">
        <is>
          <t>C33</t>
        </is>
      </c>
      <c r="D1318" s="4" t="inlineStr">
        <is>
          <t>Yes</t>
        </is>
      </c>
      <c r="E1318" s="4" t="inlineStr">
        <is>
          <t>Yes</t>
        </is>
      </c>
      <c r="F1318" s="4" t="inlineStr">
        <is>
          <t>GOC Bed Unit-Costing Model v2 — working original.xlsx</t>
        </is>
      </c>
    </row>
    <row r="1319" ht="40" customHeight="1">
      <c r="A1319" s="4" t="inlineStr">
        <is>
          <t>original:Facility &amp; Modules!D33</t>
        </is>
      </c>
      <c r="B1319" s="4" t="inlineStr">
        <is>
          <t>Facility &amp; Modules</t>
        </is>
      </c>
      <c r="C1319" s="4" t="inlineStr">
        <is>
          <t>D33</t>
        </is>
      </c>
      <c r="D1319" s="4" t="inlineStr">
        <is>
          <t>5% maintenance</t>
        </is>
      </c>
      <c r="E1319" s="4" t="inlineStr">
        <is>
          <t>5% maintenance</t>
        </is>
      </c>
      <c r="F1319" s="4" t="inlineStr">
        <is>
          <t>GOC Bed Unit-Costing Model v2 — working original.xlsx</t>
        </is>
      </c>
    </row>
    <row r="1320" ht="40" customHeight="1">
      <c r="A1320" s="4" t="inlineStr">
        <is>
          <t>original:Facility &amp; Modules!E33</t>
        </is>
      </c>
      <c r="B1320" s="4" t="inlineStr">
        <is>
          <t>Facility &amp; Modules</t>
        </is>
      </c>
      <c r="C1320" s="4" t="inlineStr">
        <is>
          <t>E33</t>
        </is>
      </c>
      <c r="D1320" s="4" t="inlineStr">
        <is>
          <t>Shredders, presses, tools, machinery</t>
        </is>
      </c>
      <c r="E1320" s="4" t="inlineStr">
        <is>
          <t>Shredders, presses, tools, machinery</t>
        </is>
      </c>
      <c r="F1320" s="4" t="inlineStr">
        <is>
          <t>GOC Bed Unit-Costing Model v2 — working original.xlsx</t>
        </is>
      </c>
    </row>
    <row r="1321" ht="40" customHeight="1">
      <c r="A1321" s="4" t="inlineStr">
        <is>
          <t>original:Facility &amp; Modules!A34</t>
        </is>
      </c>
      <c r="B1321" s="4" t="inlineStr">
        <is>
          <t>Facility &amp; Modules</t>
        </is>
      </c>
      <c r="C1321" s="4" t="inlineStr">
        <is>
          <t>A34</t>
        </is>
      </c>
      <c r="D1321" s="4" t="inlineStr">
        <is>
          <t>Place</t>
        </is>
      </c>
      <c r="E1321" s="4" t="inlineStr">
        <is>
          <t>Place</t>
        </is>
      </c>
      <c r="F1321" s="4" t="inlineStr">
        <is>
          <t>GOC Bed Unit-Costing Model v2 — working original.xlsx</t>
        </is>
      </c>
    </row>
    <row r="1322" ht="40" customHeight="1">
      <c r="A1322" s="4" t="inlineStr">
        <is>
          <t>original:Facility &amp; Modules!B34</t>
        </is>
      </c>
      <c r="B1322" s="4" t="inlineStr">
        <is>
          <t>Facility &amp; Modules</t>
        </is>
      </c>
      <c r="C1322" s="4" t="inlineStr">
        <is>
          <t>B34</t>
        </is>
      </c>
      <c r="D1322" s="4" t="inlineStr">
        <is>
          <t>1 + 2</t>
        </is>
      </c>
      <c r="E1322" s="4" t="inlineStr">
        <is>
          <t>1 + 2</t>
        </is>
      </c>
      <c r="F1322" s="4" t="inlineStr">
        <is>
          <t>GOC Bed Unit-Costing Model v2 — working original.xlsx</t>
        </is>
      </c>
    </row>
    <row r="1323" ht="40" customHeight="1">
      <c r="A1323" s="4" t="inlineStr">
        <is>
          <t>original:Facility &amp; Modules!C34</t>
        </is>
      </c>
      <c r="B1323" s="4" t="inlineStr">
        <is>
          <t>Facility &amp; Modules</t>
        </is>
      </c>
      <c r="C1323" s="4" t="inlineStr">
        <is>
          <t>C34</t>
        </is>
      </c>
      <c r="D1323" s="4" t="inlineStr">
        <is>
          <t>Yes (site base)</t>
        </is>
      </c>
      <c r="E1323" s="4" t="inlineStr">
        <is>
          <t>Yes (site base)</t>
        </is>
      </c>
      <c r="F1323" s="4" t="inlineStr">
        <is>
          <t>GOC Bed Unit-Costing Model v2 — working original.xlsx</t>
        </is>
      </c>
    </row>
    <row r="1324" ht="40" customHeight="1">
      <c r="A1324" s="4" t="inlineStr">
        <is>
          <t>original:Facility &amp; Modules!D34</t>
        </is>
      </c>
      <c r="B1324" s="4" t="inlineStr">
        <is>
          <t>Facility &amp; Modules</t>
        </is>
      </c>
      <c r="C1324" s="4" t="inlineStr">
        <is>
          <t>D34</t>
        </is>
      </c>
      <c r="D1324" s="4" t="inlineStr">
        <is>
          <t>Rent, insurance, upkeep</t>
        </is>
      </c>
      <c r="E1324" s="4" t="inlineStr">
        <is>
          <t>Rent, insurance, upkeep</t>
        </is>
      </c>
      <c r="F1324" s="4" t="inlineStr">
        <is>
          <t>GOC Bed Unit-Costing Model v2 — working original.xlsx</t>
        </is>
      </c>
    </row>
    <row r="1325" ht="60" customHeight="1">
      <c r="A1325" s="4" t="inlineStr">
        <is>
          <t>original:Facility &amp; Modules!E34</t>
        </is>
      </c>
      <c r="B1325" s="4" t="inlineStr">
        <is>
          <t>Facility &amp; Modules</t>
        </is>
      </c>
      <c r="C1325" s="4" t="inlineStr">
        <is>
          <t>E34</t>
        </is>
      </c>
      <c r="D1325" s="4" t="inlineStr">
        <is>
          <t>Shed or complete facility. Rent splits 50/50 between production and program.</t>
        </is>
      </c>
      <c r="E1325" s="4" t="inlineStr">
        <is>
          <t>Shed or complete facility. Rent splits 50/50 between production and program.</t>
        </is>
      </c>
      <c r="F1325" s="4" t="inlineStr">
        <is>
          <t>GOC Bed Unit-Costing Model v2 — working original.xlsx</t>
        </is>
      </c>
    </row>
    <row r="1326" ht="40" customHeight="1">
      <c r="A1326" s="4" t="inlineStr">
        <is>
          <t>original:Facility &amp; Modules!A35</t>
        </is>
      </c>
      <c r="B1326" s="4" t="inlineStr">
        <is>
          <t>Facility &amp; Modules</t>
        </is>
      </c>
      <c r="C1326" s="4" t="inlineStr">
        <is>
          <t>A35</t>
        </is>
      </c>
      <c r="D1326" s="4" t="inlineStr">
        <is>
          <t>Skills</t>
        </is>
      </c>
      <c r="E1326" s="4" t="inlineStr">
        <is>
          <t>Skills</t>
        </is>
      </c>
      <c r="F1326" s="4" t="inlineStr">
        <is>
          <t>GOC Bed Unit-Costing Model v2 — working original.xlsx</t>
        </is>
      </c>
    </row>
    <row r="1327" ht="40" customHeight="1">
      <c r="A1327" s="4" t="inlineStr">
        <is>
          <t>original:Facility &amp; Modules!B35</t>
        </is>
      </c>
      <c r="B1327" s="4" t="inlineStr">
        <is>
          <t>Facility &amp; Modules</t>
        </is>
      </c>
      <c r="C1327" s="4" t="inlineStr">
        <is>
          <t>B35</t>
        </is>
      </c>
      <c r="D1327" s="4" t="n">
        <v>2</v>
      </c>
      <c r="E1327" s="4" t="n">
        <v>2</v>
      </c>
      <c r="F1327" s="4" t="inlineStr">
        <is>
          <t>GOC Bed Unit-Costing Model v2 — working original.xlsx</t>
        </is>
      </c>
    </row>
    <row r="1328" ht="40" customHeight="1">
      <c r="A1328" s="4" t="inlineStr">
        <is>
          <t>original:Facility &amp; Modules!C35</t>
        </is>
      </c>
      <c r="B1328" s="4" t="inlineStr">
        <is>
          <t>Facility &amp; Modules</t>
        </is>
      </c>
      <c r="C1328" s="4" t="inlineStr">
        <is>
          <t>C35</t>
        </is>
      </c>
      <c r="D1328" s="4" t="inlineStr">
        <is>
          <t>No</t>
        </is>
      </c>
      <c r="E1328" s="4" t="inlineStr">
        <is>
          <t>No</t>
        </is>
      </c>
      <c r="F1328" s="4" t="inlineStr">
        <is>
          <t>GOC Bed Unit-Costing Model v2 — working original.xlsx</t>
        </is>
      </c>
    </row>
    <row r="1329" ht="40" customHeight="1">
      <c r="A1329" s="4" t="inlineStr">
        <is>
          <t>original:Facility &amp; Modules!D35</t>
        </is>
      </c>
      <c r="B1329" s="4" t="inlineStr">
        <is>
          <t>Facility &amp; Modules</t>
        </is>
      </c>
      <c r="C1329" s="4" t="inlineStr">
        <is>
          <t>D35</t>
        </is>
      </c>
      <c r="D1329" s="4" t="inlineStr">
        <is>
          <t>Trainer / WHS ~$40K/site/yr</t>
        </is>
      </c>
      <c r="E1329" s="4" t="inlineStr">
        <is>
          <t>Trainer / WHS ~$40K/site/yr</t>
        </is>
      </c>
      <c r="F1329" s="4" t="inlineStr">
        <is>
          <t>GOC Bed Unit-Costing Model v2 — working original.xlsx</t>
        </is>
      </c>
    </row>
    <row r="1330" ht="45" customHeight="1">
      <c r="A1330" s="4" t="inlineStr">
        <is>
          <t>original:Facility &amp; Modules!E35</t>
        </is>
      </c>
      <c r="B1330" s="4" t="inlineStr">
        <is>
          <t>Facility &amp; Modules</t>
        </is>
      </c>
      <c r="C1330" s="4" t="inlineStr">
        <is>
          <t>E35</t>
        </is>
      </c>
      <c r="D1330" s="4" t="inlineStr">
        <is>
          <t>Installation, production, maintenance, enterprise training</t>
        </is>
      </c>
      <c r="E1330" s="4" t="inlineStr">
        <is>
          <t>Installation, production, maintenance, enterprise training</t>
        </is>
      </c>
      <c r="F1330" s="4" t="inlineStr">
        <is>
          <t>GOC Bed Unit-Costing Model v2 — working original.xlsx</t>
        </is>
      </c>
    </row>
    <row r="1331" ht="40" customHeight="1">
      <c r="A1331" s="4" t="inlineStr">
        <is>
          <t>original:Facility &amp; Modules!A36</t>
        </is>
      </c>
      <c r="B1331" s="4" t="inlineStr">
        <is>
          <t>Facility &amp; Modules</t>
        </is>
      </c>
      <c r="C1331" s="4" t="inlineStr">
        <is>
          <t>A36</t>
        </is>
      </c>
      <c r="D1331" s="4" t="inlineStr">
        <is>
          <t>People</t>
        </is>
      </c>
      <c r="E1331" s="4" t="inlineStr">
        <is>
          <t>People</t>
        </is>
      </c>
      <c r="F1331" s="4" t="inlineStr">
        <is>
          <t>GOC Bed Unit-Costing Model v2 — working original.xlsx</t>
        </is>
      </c>
    </row>
    <row r="1332" ht="40" customHeight="1">
      <c r="A1332" s="4" t="inlineStr">
        <is>
          <t>original:Facility &amp; Modules!B36</t>
        </is>
      </c>
      <c r="B1332" s="4" t="inlineStr">
        <is>
          <t>Facility &amp; Modules</t>
        </is>
      </c>
      <c r="C1332" s="4" t="inlineStr">
        <is>
          <t>B36</t>
        </is>
      </c>
      <c r="D1332" s="4" t="n">
        <v>2</v>
      </c>
      <c r="E1332" s="4" t="n">
        <v>2</v>
      </c>
      <c r="F1332" s="4" t="inlineStr">
        <is>
          <t>GOC Bed Unit-Costing Model v2 — working original.xlsx</t>
        </is>
      </c>
    </row>
    <row r="1333" ht="40" customHeight="1">
      <c r="A1333" s="4" t="inlineStr">
        <is>
          <t>original:Facility &amp; Modules!C36</t>
        </is>
      </c>
      <c r="B1333" s="4" t="inlineStr">
        <is>
          <t>Facility &amp; Modules</t>
        </is>
      </c>
      <c r="C1333" s="4" t="inlineStr">
        <is>
          <t>C36</t>
        </is>
      </c>
      <c r="D1333" s="4" t="inlineStr">
        <is>
          <t>No</t>
        </is>
      </c>
      <c r="E1333" s="4" t="inlineStr">
        <is>
          <t>No</t>
        </is>
      </c>
      <c r="F1333" s="4" t="inlineStr">
        <is>
          <t>GOC Bed Unit-Costing Model v2 — working original.xlsx</t>
        </is>
      </c>
    </row>
    <row r="1334" ht="40" customHeight="1">
      <c r="A1334" s="4" t="inlineStr">
        <is>
          <t>original:Facility &amp; Modules!D36</t>
        </is>
      </c>
      <c r="B1334" s="4" t="inlineStr">
        <is>
          <t>Facility &amp; Modules</t>
        </is>
      </c>
      <c r="C1334" s="4" t="inlineStr">
        <is>
          <t>D36</t>
        </is>
      </c>
      <c r="D1334" s="4" t="inlineStr">
        <is>
          <t>$90K coordinator or $150K manager</t>
        </is>
      </c>
      <c r="E1334" s="4" t="inlineStr">
        <is>
          <t>$90K coordinator or $150K manager</t>
        </is>
      </c>
      <c r="F1334" s="4" t="inlineStr">
        <is>
          <t>GOC Bed Unit-Costing Model v2 — working original.xlsx</t>
        </is>
      </c>
    </row>
    <row r="1335" ht="40" customHeight="1">
      <c r="A1335" s="4" t="inlineStr">
        <is>
          <t>original:Facility &amp; Modules!E36</t>
        </is>
      </c>
      <c r="B1335" s="4" t="inlineStr">
        <is>
          <t>Facility &amp; Modules</t>
        </is>
      </c>
      <c r="C1335" s="4" t="inlineStr">
        <is>
          <t>E36</t>
        </is>
      </c>
      <c r="D1335" s="4" t="inlineStr">
        <is>
          <t>Local operators, mentors, specialist support</t>
        </is>
      </c>
      <c r="E1335" s="4" t="inlineStr">
        <is>
          <t>Local operators, mentors, specialist support</t>
        </is>
      </c>
      <c r="F1335" s="4" t="inlineStr">
        <is>
          <t>GOC Bed Unit-Costing Model v2 — working original.xlsx</t>
        </is>
      </c>
    </row>
    <row r="1336" ht="40" customHeight="1">
      <c r="A1336" s="4" t="inlineStr">
        <is>
          <t>original:Facility &amp; Modules!A37</t>
        </is>
      </c>
      <c r="B1336" s="4" t="inlineStr">
        <is>
          <t>Facility &amp; Modules</t>
        </is>
      </c>
      <c r="C1336" s="4" t="inlineStr">
        <is>
          <t>A37</t>
        </is>
      </c>
      <c r="D1336" s="4" t="inlineStr">
        <is>
          <t>Systems</t>
        </is>
      </c>
      <c r="E1336" s="4" t="inlineStr">
        <is>
          <t>Systems</t>
        </is>
      </c>
      <c r="F1336" s="4" t="inlineStr">
        <is>
          <t>GOC Bed Unit-Costing Model v2 — working original.xlsx</t>
        </is>
      </c>
    </row>
    <row r="1337" ht="40" customHeight="1">
      <c r="A1337" s="4" t="inlineStr">
        <is>
          <t>original:Facility &amp; Modules!B37</t>
        </is>
      </c>
      <c r="B1337" s="4" t="inlineStr">
        <is>
          <t>Facility &amp; Modules</t>
        </is>
      </c>
      <c r="C1337" s="4" t="inlineStr">
        <is>
          <t>B37</t>
        </is>
      </c>
      <c r="D1337" s="4" t="n">
        <v>1</v>
      </c>
      <c r="E1337" s="4" t="n">
        <v>1</v>
      </c>
      <c r="F1337" s="4" t="inlineStr">
        <is>
          <t>GOC Bed Unit-Costing Model v2 — working original.xlsx</t>
        </is>
      </c>
    </row>
    <row r="1338" ht="40" customHeight="1">
      <c r="A1338" s="4" t="inlineStr">
        <is>
          <t>original:Facility &amp; Modules!C37</t>
        </is>
      </c>
      <c r="B1338" s="4" t="inlineStr">
        <is>
          <t>Facility &amp; Modules</t>
        </is>
      </c>
      <c r="C1338" s="4" t="inlineStr">
        <is>
          <t>C37</t>
        </is>
      </c>
      <c r="D1338" s="4" t="inlineStr">
        <is>
          <t>No</t>
        </is>
      </c>
      <c r="E1338" s="4" t="inlineStr">
        <is>
          <t>No</t>
        </is>
      </c>
      <c r="F1338" s="4" t="inlineStr">
        <is>
          <t>GOC Bed Unit-Costing Model v2 — working original.xlsx</t>
        </is>
      </c>
    </row>
    <row r="1339" ht="40" customHeight="1">
      <c r="A1339" s="4" t="inlineStr">
        <is>
          <t>original:Facility &amp; Modules!D37</t>
        </is>
      </c>
      <c r="B1339" s="4" t="inlineStr">
        <is>
          <t>Facility &amp; Modules</t>
        </is>
      </c>
      <c r="C1339" s="4" t="inlineStr">
        <is>
          <t>D37</t>
        </is>
      </c>
      <c r="D1339" s="4" t="inlineStr">
        <is>
          <t>In the $109,500 network block</t>
        </is>
      </c>
      <c r="E1339" s="4" t="inlineStr">
        <is>
          <t>In the $109,500 network block</t>
        </is>
      </c>
      <c r="F1339" s="4" t="inlineStr">
        <is>
          <t>GOC Bed Unit-Costing Model v2 — working original.xlsx</t>
        </is>
      </c>
    </row>
    <row r="1340" ht="40" customHeight="1">
      <c r="A1340" s="4" t="inlineStr">
        <is>
          <t>original:Facility &amp; Modules!E37</t>
        </is>
      </c>
      <c r="B1340" s="4" t="inlineStr">
        <is>
          <t>Facility &amp; Modules</t>
        </is>
      </c>
      <c r="C1340" s="4" t="inlineStr">
        <is>
          <t>E37</t>
        </is>
      </c>
      <c r="D1340" s="4" t="inlineStr">
        <is>
          <t>Suppliers, QC, logistics, administration</t>
        </is>
      </c>
      <c r="E1340" s="4" t="inlineStr">
        <is>
          <t>Suppliers, QC, logistics, administration</t>
        </is>
      </c>
      <c r="F1340" s="4" t="inlineStr">
        <is>
          <t>GOC Bed Unit-Costing Model v2 — working original.xlsx</t>
        </is>
      </c>
    </row>
    <row r="1341" ht="40" customHeight="1">
      <c r="A1341" s="4" t="inlineStr">
        <is>
          <t>original:Facility &amp; Modules!A38</t>
        </is>
      </c>
      <c r="B1341" s="4" t="inlineStr">
        <is>
          <t>Facility &amp; Modules</t>
        </is>
      </c>
      <c r="C1341" s="4" t="inlineStr">
        <is>
          <t>A38</t>
        </is>
      </c>
      <c r="D1341" s="4" t="inlineStr">
        <is>
          <t>Enterprise</t>
        </is>
      </c>
      <c r="E1341" s="4" t="inlineStr">
        <is>
          <t>Enterprise</t>
        </is>
      </c>
      <c r="F1341" s="4" t="inlineStr">
        <is>
          <t>GOC Bed Unit-Costing Model v2 — working original.xlsx</t>
        </is>
      </c>
    </row>
    <row r="1342" ht="40" customHeight="1">
      <c r="A1342" s="4" t="inlineStr">
        <is>
          <t>original:Facility &amp; Modules!B38</t>
        </is>
      </c>
      <c r="B1342" s="4" t="inlineStr">
        <is>
          <t>Facility &amp; Modules</t>
        </is>
      </c>
      <c r="C1342" s="4" t="inlineStr">
        <is>
          <t>B38</t>
        </is>
      </c>
      <c r="D1342" s="4" t="n">
        <v>1</v>
      </c>
      <c r="E1342" s="4" t="n">
        <v>1</v>
      </c>
      <c r="F1342" s="4" t="inlineStr">
        <is>
          <t>GOC Bed Unit-Costing Model v2 — working original.xlsx</t>
        </is>
      </c>
    </row>
    <row r="1343" ht="40" customHeight="1">
      <c r="A1343" s="4" t="inlineStr">
        <is>
          <t>original:Facility &amp; Modules!C38</t>
        </is>
      </c>
      <c r="B1343" s="4" t="inlineStr">
        <is>
          <t>Facility &amp; Modules</t>
        </is>
      </c>
      <c r="C1343" s="4" t="inlineStr">
        <is>
          <t>C38</t>
        </is>
      </c>
      <c r="D1343" s="4" t="inlineStr">
        <is>
          <t>No</t>
        </is>
      </c>
      <c r="E1343" s="4" t="inlineStr">
        <is>
          <t>No</t>
        </is>
      </c>
      <c r="F1343" s="4" t="inlineStr">
        <is>
          <t>GOC Bed Unit-Costing Model v2 — working original.xlsx</t>
        </is>
      </c>
    </row>
    <row r="1344" ht="40" customHeight="1">
      <c r="A1344" s="4" t="inlineStr">
        <is>
          <t>original:Facility &amp; Modules!D38</t>
        </is>
      </c>
      <c r="B1344" s="4" t="inlineStr">
        <is>
          <t>Facility &amp; Modules</t>
        </is>
      </c>
      <c r="C1344" s="4" t="inlineStr">
        <is>
          <t>D38</t>
        </is>
      </c>
      <c r="D1344" s="4" t="inlineStr">
        <is>
          <t>In the network block</t>
        </is>
      </c>
      <c r="E1344" s="4" t="inlineStr">
        <is>
          <t>In the network block</t>
        </is>
      </c>
      <c r="F1344" s="4" t="inlineStr">
        <is>
          <t>GOC Bed Unit-Costing Model v2 — working original.xlsx</t>
        </is>
      </c>
    </row>
    <row r="1345" ht="45" customHeight="1">
      <c r="A1345" s="4" t="inlineStr">
        <is>
          <t>original:Facility &amp; Modules!E38</t>
        </is>
      </c>
      <c r="B1345" s="4" t="inlineStr">
        <is>
          <t>Facility &amp; Modules</t>
        </is>
      </c>
      <c r="C1345" s="4" t="inlineStr">
        <is>
          <t>E38</t>
        </is>
      </c>
      <c r="D1345" s="4" t="inlineStr">
        <is>
          <t>Customers, contracts, revenue, governance, ownership</t>
        </is>
      </c>
      <c r="E1345" s="4" t="inlineStr">
        <is>
          <t>Customers, contracts, revenue, governance, ownership</t>
        </is>
      </c>
      <c r="F1345" s="4" t="inlineStr">
        <is>
          <t>GOC Bed Unit-Costing Model v2 — working original.xlsx</t>
        </is>
      </c>
    </row>
    <row r="1346" ht="40" customHeight="1">
      <c r="A1346" s="4" t="inlineStr">
        <is>
          <t>original:Facility &amp; Modules!A39</t>
        </is>
      </c>
      <c r="B1346" s="4" t="inlineStr">
        <is>
          <t>Facility &amp; Modules</t>
        </is>
      </c>
      <c r="C1346" s="4" t="inlineStr">
        <is>
          <t>A39</t>
        </is>
      </c>
      <c r="D1346" s="4" t="inlineStr">
        <is>
          <t>Money</t>
        </is>
      </c>
      <c r="E1346" s="4" t="inlineStr">
        <is>
          <t>Money</t>
        </is>
      </c>
      <c r="F1346" s="4" t="inlineStr">
        <is>
          <t>GOC Bed Unit-Costing Model v2 — working original.xlsx</t>
        </is>
      </c>
    </row>
    <row r="1347" ht="40" customHeight="1">
      <c r="A1347" s="4" t="inlineStr">
        <is>
          <t>original:Facility &amp; Modules!B39</t>
        </is>
      </c>
      <c r="B1347" s="4" t="inlineStr">
        <is>
          <t>Facility &amp; Modules</t>
        </is>
      </c>
      <c r="C1347" s="4" t="inlineStr">
        <is>
          <t>B39</t>
        </is>
      </c>
      <c r="D1347" s="4" t="inlineStr">
        <is>
          <t>-</t>
        </is>
      </c>
      <c r="E1347" s="4" t="inlineStr">
        <is>
          <t>-</t>
        </is>
      </c>
      <c r="F1347" s="4" t="inlineStr">
        <is>
          <t>GOC Bed Unit-Costing Model v2 — working original.xlsx</t>
        </is>
      </c>
    </row>
    <row r="1348" ht="40" customHeight="1">
      <c r="A1348" s="4" t="inlineStr">
        <is>
          <t>original:Facility &amp; Modules!C39</t>
        </is>
      </c>
      <c r="B1348" s="4" t="inlineStr">
        <is>
          <t>Facility &amp; Modules</t>
        </is>
      </c>
      <c r="C1348" s="4" t="inlineStr">
        <is>
          <t>C39</t>
        </is>
      </c>
      <c r="D1348" s="4" t="inlineStr">
        <is>
          <t>n/a</t>
        </is>
      </c>
      <c r="E1348" s="4" t="inlineStr">
        <is>
          <t>n/a</t>
        </is>
      </c>
      <c r="F1348" s="4" t="inlineStr">
        <is>
          <t>GOC Bed Unit-Costing Model v2 — working original.xlsx</t>
        </is>
      </c>
    </row>
    <row r="1349" ht="40" customHeight="1">
      <c r="A1349" s="4" t="inlineStr">
        <is>
          <t>original:Facility &amp; Modules!D39</t>
        </is>
      </c>
      <c r="B1349" s="4" t="inlineStr">
        <is>
          <t>Facility &amp; Modules</t>
        </is>
      </c>
      <c r="C1349" s="4" t="inlineStr">
        <is>
          <t>D39</t>
        </is>
      </c>
      <c r="D1349" s="4" t="inlineStr">
        <is>
          <t>n/a</t>
        </is>
      </c>
      <c r="E1349" s="4" t="inlineStr">
        <is>
          <t>n/a</t>
        </is>
      </c>
      <c r="F1349" s="4" t="inlineStr">
        <is>
          <t>GOC Bed Unit-Costing Model v2 — working original.xlsx</t>
        </is>
      </c>
    </row>
    <row r="1350" ht="75" customHeight="1">
      <c r="A1350" s="4" t="inlineStr">
        <is>
          <t>original:Facility &amp; Modules!E39</t>
        </is>
      </c>
      <c r="B1350" s="4" t="inlineStr">
        <is>
          <t>Facility &amp; Modules</t>
        </is>
      </c>
      <c r="C1350" s="4" t="inlineStr">
        <is>
          <t>E39</t>
        </is>
      </c>
      <c r="D1350" s="4" t="inlineStr">
        <is>
          <t>Repayable loans bridging orders and working capital, and the site capital that finishes the transfer</t>
        </is>
      </c>
      <c r="E1350" s="4" t="inlineStr">
        <is>
          <t>Repayable loans bridging orders and working capital, and the site capital that finishes the transfer</t>
        </is>
      </c>
      <c r="F1350" s="4" t="inlineStr">
        <is>
          <t>GOC Bed Unit-Costing Model v2 — working original.xlsx</t>
        </is>
      </c>
    </row>
    <row r="1351" ht="40" customHeight="1">
      <c r="A1351" s="4" t="inlineStr">
        <is>
          <t>original:Facility &amp; Modules!A40</t>
        </is>
      </c>
      <c r="B1351" s="4" t="inlineStr">
        <is>
          <t>Facility &amp; Modules</t>
        </is>
      </c>
      <c r="C1351" s="4" t="inlineStr">
        <is>
          <t>A40</t>
        </is>
      </c>
      <c r="D1351" s="4" t="inlineStr">
        <is>
          <t>Story + evidence</t>
        </is>
      </c>
      <c r="E1351" s="4" t="inlineStr">
        <is>
          <t>Story + evidence</t>
        </is>
      </c>
      <c r="F1351" s="4" t="inlineStr">
        <is>
          <t>GOC Bed Unit-Costing Model v2 — working original.xlsx</t>
        </is>
      </c>
    </row>
    <row r="1352" ht="40" customHeight="1">
      <c r="A1352" s="4" t="inlineStr">
        <is>
          <t>original:Facility &amp; Modules!B40</t>
        </is>
      </c>
      <c r="B1352" s="4" t="inlineStr">
        <is>
          <t>Facility &amp; Modules</t>
        </is>
      </c>
      <c r="C1352" s="4" t="inlineStr">
        <is>
          <t>B40</t>
        </is>
      </c>
      <c r="D1352" s="4" t="n">
        <v>2</v>
      </c>
      <c r="E1352" s="4" t="n">
        <v>2</v>
      </c>
      <c r="F1352" s="4" t="inlineStr">
        <is>
          <t>GOC Bed Unit-Costing Model v2 — working original.xlsx</t>
        </is>
      </c>
    </row>
    <row r="1353" ht="40" customHeight="1">
      <c r="A1353" s="4" t="inlineStr">
        <is>
          <t>original:Facility &amp; Modules!C40</t>
        </is>
      </c>
      <c r="B1353" s="4" t="inlineStr">
        <is>
          <t>Facility &amp; Modules</t>
        </is>
      </c>
      <c r="C1353" s="4" t="inlineStr">
        <is>
          <t>C40</t>
        </is>
      </c>
      <c r="D1353" s="4" t="inlineStr">
        <is>
          <t>No</t>
        </is>
      </c>
      <c r="E1353" s="4" t="inlineStr">
        <is>
          <t>No</t>
        </is>
      </c>
      <c r="F1353" s="4" t="inlineStr">
        <is>
          <t>GOC Bed Unit-Costing Model v2 — working original.xlsx</t>
        </is>
      </c>
    </row>
    <row r="1354" ht="40" customHeight="1">
      <c r="A1354" s="4" t="inlineStr">
        <is>
          <t>original:Facility &amp; Modules!D40</t>
        </is>
      </c>
      <c r="B1354" s="4" t="inlineStr">
        <is>
          <t>Facility &amp; Modules</t>
        </is>
      </c>
      <c r="C1354" s="4" t="inlineStr">
        <is>
          <t>D40</t>
        </is>
      </c>
      <c r="D1354" s="4" t="inlineStr">
        <is>
          <t>Grant funded</t>
        </is>
      </c>
      <c r="E1354" s="4" t="inlineStr">
        <is>
          <t>Grant funded</t>
        </is>
      </c>
      <c r="F1354" s="4" t="inlineStr">
        <is>
          <t>GOC Bed Unit-Costing Model v2 — working original.xlsx</t>
        </is>
      </c>
    </row>
    <row r="1355" ht="45" customHeight="1">
      <c r="A1355" s="4" t="inlineStr">
        <is>
          <t>original:Facility &amp; Modules!E40</t>
        </is>
      </c>
      <c r="B1355" s="4" t="inlineStr">
        <is>
          <t>Facility &amp; Modules</t>
        </is>
      </c>
      <c r="C1355" s="4" t="inlineStr">
        <is>
          <t>E40</t>
        </is>
      </c>
      <c r="D1355" s="4" t="inlineStr">
        <is>
          <t>Community-approved media, outcomes and learning</t>
        </is>
      </c>
      <c r="E1355" s="4" t="inlineStr">
        <is>
          <t>Community-approved media, outcomes and learning</t>
        </is>
      </c>
      <c r="F1355" s="4" t="inlineStr">
        <is>
          <t>GOC Bed Unit-Costing Model v2 — working original.xlsx</t>
        </is>
      </c>
    </row>
    <row r="1356" ht="45" customHeight="1">
      <c r="A1356" s="4" t="inlineStr">
        <is>
          <t>original:Facility &amp; Modules!A42</t>
        </is>
      </c>
      <c r="B1356" s="4" t="inlineStr">
        <is>
          <t>Facility &amp; Modules</t>
        </is>
      </c>
      <c r="C1356" s="4" t="inlineStr">
        <is>
          <t>A42</t>
        </is>
      </c>
      <c r="D1356" s="4" t="inlineStr">
        <is>
          <t>5. THE TWO POTS - the rule that keeps this honest</t>
        </is>
      </c>
      <c r="E1356" s="4" t="inlineStr">
        <is>
          <t>5. THE TWO POTS - the rule that keeps this honest</t>
        </is>
      </c>
      <c r="F1356" s="4" t="inlineStr">
        <is>
          <t>GOC Bed Unit-Costing Model v2 — working original.xlsx</t>
        </is>
      </c>
    </row>
    <row r="1357" ht="105" customHeight="1">
      <c r="A1357" s="4" t="inlineStr">
        <is>
          <t>original:Facility &amp; Modules!A43</t>
        </is>
      </c>
      <c r="B1357" s="4" t="inlineStr">
        <is>
          <t>Facility &amp; Modules</t>
        </is>
      </c>
      <c r="C1357" s="4" t="inlineStr">
        <is>
          <t>A43</t>
        </is>
      </c>
      <c r="D1357" s="4" t="inlineStr">
        <is>
          <t>POT 1 - PRODUCTION. Pays for itself at volume. Network block ~$109,500/yr plus the site production block. Bed sales carry this and nothing else.</t>
        </is>
      </c>
      <c r="E1357" s="4" t="inlineStr">
        <is>
          <t>POT 1 - PRODUCTION. Pays for itself at volume. Network block ~$109,500/yr plus the site production block. Bed sales carry this and nothing else.</t>
        </is>
      </c>
      <c r="F1357" s="4" t="inlineStr">
        <is>
          <t>GOC Bed Unit-Costing Model v2 — working original.xlsx</t>
        </is>
      </c>
    </row>
    <row r="1358" ht="120" customHeight="1">
      <c r="A1358" s="4" t="inlineStr">
        <is>
          <t>original:Facility &amp; Modules!A44</t>
        </is>
      </c>
      <c r="B1358" s="4" t="inlineStr">
        <is>
          <t>Facility &amp; Modules</t>
        </is>
      </c>
      <c r="C1358" s="4" t="inlineStr">
        <is>
          <t>A44</t>
        </is>
      </c>
      <c r="D1358" s="4" t="inlineStr">
        <is>
          <t>POT 2 - COMMUNITY WRAPAROUND. Grant funded by design. Bare facility ~$151,666/site/yr, fully staffed ~$341,666/site/yr, employment program $300,000/site/yr. Bed sales NEVER carry this.</t>
        </is>
      </c>
      <c r="E1358" s="4" t="inlineStr">
        <is>
          <t>POT 2 - COMMUNITY WRAPAROUND. Grant funded by design. Bare facility ~$151,666/site/yr, fully staffed ~$341,666/site/yr, employment program $300,000/site/yr. Bed sales NEVER carry this.</t>
        </is>
      </c>
      <c r="F1358" s="4" t="inlineStr">
        <is>
          <t>GOC Bed Unit-Costing Model v2 — working original.xlsx</t>
        </is>
      </c>
    </row>
    <row r="1359" ht="135" customHeight="1">
      <c r="A1359" s="4" t="inlineStr">
        <is>
          <t>original:Facility &amp; Modules!A45</t>
        </is>
      </c>
      <c r="B1359" s="4" t="inlineStr">
        <is>
          <t>Facility &amp; Modules</t>
        </is>
      </c>
      <c r="C1359" s="4" t="inlineStr">
        <is>
          <t>A45</t>
        </is>
      </c>
      <c r="D1359" s="4" t="inlineStr">
        <is>
          <t>The test an investor should apply: if a site's grant ends, does production keep running? If yes, the two-pot claim is true. Model it so that question can be answered from the sheet - see MODEL (live) row 75.</t>
        </is>
      </c>
      <c r="E1359" s="4" t="inlineStr">
        <is>
          <t>The test an investor should apply: if a site's grant ends, does production keep running? If yes, the two-pot claim is true. Model it so that question can be answered from the sheet - see MODEL (live) row 75.</t>
        </is>
      </c>
      <c r="F1359" s="4" t="inlineStr">
        <is>
          <t>GOC Bed Unit-Costing Model v2 — working original.xlsx</t>
        </is>
      </c>
    </row>
    <row r="1360" ht="60" customHeight="1">
      <c r="A1360" s="4" t="inlineStr">
        <is>
          <t>original:Community Economics!A1</t>
        </is>
      </c>
      <c r="B1360" s="4" t="inlineStr">
        <is>
          <t>Community Economics</t>
        </is>
      </c>
      <c r="C1360" s="4" t="inlineStr">
        <is>
          <t>A1</t>
        </is>
      </c>
      <c r="D1360" s="4" t="inlineStr">
        <is>
          <t>What a community gets, which no earlier version of this model could answer</t>
        </is>
      </c>
      <c r="E1360" s="4" t="inlineStr">
        <is>
          <t>What a community gets, which no earlier version of this model could answer</t>
        </is>
      </c>
      <c r="F1360" s="4" t="inlineStr">
        <is>
          <t>GOC Bed Unit-Costing Model v2 — working original.xlsx</t>
        </is>
      </c>
    </row>
    <row r="1361" ht="105" customHeight="1">
      <c r="A1361" s="4" t="inlineStr">
        <is>
          <t>original:Community Economics!A3</t>
        </is>
      </c>
      <c r="B1361" s="4" t="inlineStr">
        <is>
          <t>Community Economics</t>
        </is>
      </c>
      <c r="C1361" s="4" t="inlineStr">
        <is>
          <t>A3</t>
        </is>
      </c>
      <c r="D1361" s="4" t="inlineStr">
        <is>
          <t>NOTHING HERE HAS BEEN OFFERED TO ANY COMMUNITY. No community sees a price for their own pathway before they have been walked through it in person.</t>
        </is>
      </c>
      <c r="E1361" s="4" t="inlineStr">
        <is>
          <t>NOTHING HERE HAS BEEN OFFERED TO ANY COMMUNITY. No community sees a price for their own pathway before they have been walked through it in person.</t>
        </is>
      </c>
      <c r="F1361" s="4" t="inlineStr">
        <is>
          <t>GOC Bed Unit-Costing Model v2 — working original.xlsx</t>
        </is>
      </c>
    </row>
    <row r="1362" ht="60" customHeight="1">
      <c r="A1362" s="4" t="inlineStr">
        <is>
          <t>original:Community Economics!A5</t>
        </is>
      </c>
      <c r="B1362" s="4" t="inlineStr">
        <is>
          <t>Community Economics</t>
        </is>
      </c>
      <c r="C1362" s="4" t="inlineStr">
        <is>
          <t>A5</t>
        </is>
      </c>
      <c r="D1362" s="4" t="inlineStr">
        <is>
          <t>1. THE VALUE LADDER - what each step of the chain is worth, per bed's worth of material</t>
        </is>
      </c>
      <c r="E1362" s="4" t="inlineStr">
        <is>
          <t>1. THE VALUE LADDER - what each step of the chain is worth, per bed's worth of material</t>
        </is>
      </c>
      <c r="F1362" s="4" t="inlineStr">
        <is>
          <t>GOC Bed Unit-Costing Model v2 — working original.xlsx</t>
        </is>
      </c>
    </row>
    <row r="1363" ht="165" customHeight="1">
      <c r="A1363" s="4" t="inlineStr">
        <is>
          <t>original:Community Economics!A6</t>
        </is>
      </c>
      <c r="B1363" s="4" t="inlineStr">
        <is>
          <t>Community Economics</t>
        </is>
      </c>
      <c r="C1363" s="4" t="inlineStr">
        <is>
          <t>A6</t>
        </is>
      </c>
      <c r="D1363" s="4" t="inlineStr">
        <is>
          <t>Every priced rung is what Goods ALREADY PAYS Defy today, from a named invoice. That is what makes the offer checkable rather than aspirational: this money goes to Sydney now, and we would rather it went to the community doing the work.</t>
        </is>
      </c>
      <c r="E1363" s="4" t="inlineStr">
        <is>
          <t>Every priced rung is what Goods ALREADY PAYS Defy today, from a named invoice. That is what makes the offer checkable rather than aspirational: this money goes to Sydney now, and we would rather it went to the community doing the work.</t>
        </is>
      </c>
      <c r="F1363" s="4" t="inlineStr">
        <is>
          <t>GOC Bed Unit-Costing Model v2 — working original.xlsx</t>
        </is>
      </c>
    </row>
    <row r="1364" ht="40" customHeight="1">
      <c r="A1364" s="4" t="inlineStr">
        <is>
          <t>original:Community Economics!A7</t>
        </is>
      </c>
      <c r="B1364" s="4" t="inlineStr">
        <is>
          <t>Community Economics</t>
        </is>
      </c>
      <c r="C1364" s="4" t="inlineStr">
        <is>
          <t>A7</t>
        </is>
      </c>
      <c r="D1364" s="4" t="inlineStr">
        <is>
          <t>Step</t>
        </is>
      </c>
      <c r="E1364" s="4" t="inlineStr">
        <is>
          <t>Step</t>
        </is>
      </c>
      <c r="F1364" s="4" t="inlineStr">
        <is>
          <t>GOC Bed Unit-Costing Model v2 — working original.xlsx</t>
        </is>
      </c>
    </row>
    <row r="1365" ht="40" customHeight="1">
      <c r="A1365" s="4" t="inlineStr">
        <is>
          <t>original:Community Economics!B7</t>
        </is>
      </c>
      <c r="B1365" s="4" t="inlineStr">
        <is>
          <t>Community Economics</t>
        </is>
      </c>
      <c r="C1365" s="4" t="inlineStr">
        <is>
          <t>B7</t>
        </is>
      </c>
      <c r="D1365" s="4" t="inlineStr">
        <is>
          <t>What the community ends up holding</t>
        </is>
      </c>
      <c r="E1365" s="4" t="inlineStr">
        <is>
          <t>What the community ends up holding</t>
        </is>
      </c>
      <c r="F1365" s="4" t="inlineStr">
        <is>
          <t>GOC Bed Unit-Costing Model v2 — working original.xlsx</t>
        </is>
      </c>
    </row>
    <row r="1366" ht="40" customHeight="1">
      <c r="A1366" s="4" t="inlineStr">
        <is>
          <t>original:Community Economics!C7</t>
        </is>
      </c>
      <c r="B1366" s="4" t="inlineStr">
        <is>
          <t>Community Economics</t>
        </is>
      </c>
      <c r="C1366" s="4" t="inlineStr">
        <is>
          <t>C7</t>
        </is>
      </c>
      <c r="D1366" s="4" t="inlineStr">
        <is>
          <t>Worth per bed $</t>
        </is>
      </c>
      <c r="E1366" s="4" t="inlineStr">
        <is>
          <t>Worth per bed $</t>
        </is>
      </c>
      <c r="F1366" s="4" t="inlineStr">
        <is>
          <t>GOC Bed Unit-Costing Model v2 — working original.xlsx</t>
        </is>
      </c>
    </row>
    <row r="1367" ht="40" customHeight="1">
      <c r="A1367" s="4" t="inlineStr">
        <is>
          <t>original:Community Economics!D7</t>
        </is>
      </c>
      <c r="B1367" s="4" t="inlineStr">
        <is>
          <t>Community Economics</t>
        </is>
      </c>
      <c r="C1367" s="4" t="inlineStr">
        <is>
          <t>D7</t>
        </is>
      </c>
      <c r="D1367" s="4" t="inlineStr">
        <is>
          <t>Grade</t>
        </is>
      </c>
      <c r="E1367" s="4" t="inlineStr">
        <is>
          <t>Grade</t>
        </is>
      </c>
      <c r="F1367" s="4" t="inlineStr">
        <is>
          <t>GOC Bed Unit-Costing Model v2 — working original.xlsx</t>
        </is>
      </c>
    </row>
    <row r="1368" ht="40" customHeight="1">
      <c r="A1368" s="4" t="inlineStr">
        <is>
          <t>original:Community Economics!E7</t>
        </is>
      </c>
      <c r="B1368" s="4" t="inlineStr">
        <is>
          <t>Community Economics</t>
        </is>
      </c>
      <c r="C1368" s="4" t="inlineStr">
        <is>
          <t>E7</t>
        </is>
      </c>
      <c r="D1368" s="4" t="inlineStr">
        <is>
          <t>Source</t>
        </is>
      </c>
      <c r="E1368" s="4" t="inlineStr">
        <is>
          <t>Source</t>
        </is>
      </c>
      <c r="F1368" s="4" t="inlineStr">
        <is>
          <t>GOC Bed Unit-Costing Model v2 — working original.xlsx</t>
        </is>
      </c>
    </row>
    <row r="1369" ht="40" customHeight="1">
      <c r="A1369" s="4" t="inlineStr">
        <is>
          <t>original:Community Economics!A8</t>
        </is>
      </c>
      <c r="B1369" s="4" t="inlineStr">
        <is>
          <t>Community Economics</t>
        </is>
      </c>
      <c r="C1369" s="4" t="inlineStr">
        <is>
          <t>A8</t>
        </is>
      </c>
      <c r="D1369" s="4" t="inlineStr">
        <is>
          <t>collection baling</t>
        </is>
      </c>
      <c r="E1369" s="4" t="inlineStr">
        <is>
          <t>collection baling</t>
        </is>
      </c>
      <c r="F1369" s="4" t="inlineStr">
        <is>
          <t>GOC Bed Unit-Costing Model v2 — working original.xlsx</t>
        </is>
      </c>
    </row>
    <row r="1370" ht="40" customHeight="1">
      <c r="A1370" s="4" t="inlineStr">
        <is>
          <t>original:Community Economics!B8</t>
        </is>
      </c>
      <c r="B1370" s="4" t="inlineStr">
        <is>
          <t>Community Economics</t>
        </is>
      </c>
      <c r="C1370" s="4" t="inlineStr">
        <is>
          <t>B8</t>
        </is>
      </c>
      <c r="D1370" s="4" t="inlineStr">
        <is>
          <t>Sorted, caged HDPE ready to shred</t>
        </is>
      </c>
      <c r="E1370" s="4" t="inlineStr">
        <is>
          <t>Sorted, caged HDPE ready to shred</t>
        </is>
      </c>
      <c r="F1370" s="4" t="inlineStr">
        <is>
          <t>GOC Bed Unit-Costing Model v2 — working original.xlsx</t>
        </is>
      </c>
    </row>
    <row r="1371" ht="40" customHeight="1">
      <c r="A1371" s="4" t="inlineStr">
        <is>
          <t>original:Community Economics!C8</t>
        </is>
      </c>
      <c r="B1371" s="4" t="inlineStr">
        <is>
          <t>Community Economics</t>
        </is>
      </c>
      <c r="C1371" s="4" t="inlineStr">
        <is>
          <t>C8</t>
        </is>
      </c>
      <c r="D1371" s="4" t="inlineStr">
        <is>
          <t>no price exists</t>
        </is>
      </c>
      <c r="E1371" s="4" t="inlineStr">
        <is>
          <t>no price exists</t>
        </is>
      </c>
      <c r="F1371" s="4" t="inlineStr">
        <is>
          <t>GOC Bed Unit-Costing Model v2 — working original.xlsx</t>
        </is>
      </c>
    </row>
    <row r="1372" ht="40" customHeight="1">
      <c r="A1372" s="4" t="inlineStr">
        <is>
          <t>original:Community Economics!D8</t>
        </is>
      </c>
      <c r="B1372" s="4" t="inlineStr">
        <is>
          <t>Community Economics</t>
        </is>
      </c>
      <c r="C1372" s="4" t="inlineStr">
        <is>
          <t>D8</t>
        </is>
      </c>
      <c r="D1372" s="4" t="inlineStr">
        <is>
          <t>open</t>
        </is>
      </c>
      <c r="E1372" s="4" t="inlineStr">
        <is>
          <t>open</t>
        </is>
      </c>
      <c r="F1372" s="4" t="inlineStr">
        <is>
          <t>GOC Bed Unit-Costing Model v2 — working original.xlsx</t>
        </is>
      </c>
    </row>
    <row r="1373" ht="60" customHeight="1">
      <c r="A1373" s="4" t="inlineStr">
        <is>
          <t>original:Community Economics!E8</t>
        </is>
      </c>
      <c r="B1373" s="4" t="inlineStr">
        <is>
          <t>Community Economics</t>
        </is>
      </c>
      <c r="C1373" s="4" t="inlineStr">
        <is>
          <t>E8</t>
        </is>
      </c>
      <c r="D1373" s="4" t="inlineStr">
        <is>
          <t>No purchase price exists. Feedstock enters the cost model at $0 (free, community-collected).</t>
        </is>
      </c>
      <c r="E1373" s="4" t="inlineStr">
        <is>
          <t>No purchase price exists. Feedstock enters the cost model at $0 (free, community-collected).</t>
        </is>
      </c>
      <c r="F1373" s="4" t="inlineStr">
        <is>
          <t>GOC Bed Unit-Costing Model v2 — working original.xlsx</t>
        </is>
      </c>
    </row>
    <row r="1374" ht="40" customHeight="1">
      <c r="A1374" s="4" t="inlineStr">
        <is>
          <t>original:Community Economics!A9</t>
        </is>
      </c>
      <c r="B1374" s="4" t="inlineStr">
        <is>
          <t>Community Economics</t>
        </is>
      </c>
      <c r="C1374" s="4" t="inlineStr">
        <is>
          <t>A9</t>
        </is>
      </c>
      <c r="D1374" s="4" t="inlineStr">
        <is>
          <t>shredding</t>
        </is>
      </c>
      <c r="E1374" s="4" t="inlineStr">
        <is>
          <t>shredding</t>
        </is>
      </c>
      <c r="F1374" s="4" t="inlineStr">
        <is>
          <t>GOC Bed Unit-Costing Model v2 — working original.xlsx</t>
        </is>
      </c>
    </row>
    <row r="1375" ht="40" customHeight="1">
      <c r="A1375" s="4" t="inlineStr">
        <is>
          <t>original:Community Economics!B9</t>
        </is>
      </c>
      <c r="B1375" s="4" t="inlineStr">
        <is>
          <t>Community Economics</t>
        </is>
      </c>
      <c r="C1375" s="4" t="inlineStr">
        <is>
          <t>B9</t>
        </is>
      </c>
      <c r="D1375" s="4" t="inlineStr">
        <is>
          <t>HDPE shred</t>
        </is>
      </c>
      <c r="E1375" s="4" t="inlineStr">
        <is>
          <t>HDPE shred</t>
        </is>
      </c>
      <c r="F1375" s="4" t="inlineStr">
        <is>
          <t>GOC Bed Unit-Costing Model v2 — working original.xlsx</t>
        </is>
      </c>
    </row>
    <row r="1376" ht="40" customHeight="1">
      <c r="A1376" s="4" t="inlineStr">
        <is>
          <t>original:Community Economics!C9</t>
        </is>
      </c>
      <c r="B1376" s="4" t="inlineStr">
        <is>
          <t>Community Economics</t>
        </is>
      </c>
      <c r="C1376" s="4" t="inlineStr">
        <is>
          <t>C9</t>
        </is>
      </c>
      <c r="D1376" s="4" t="n">
        <v>40</v>
      </c>
      <c r="E1376" s="4" t="n">
        <v>40</v>
      </c>
      <c r="F1376" s="4" t="inlineStr">
        <is>
          <t>GOC Bed Unit-Costing Model v2 — working original.xlsx</t>
        </is>
      </c>
    </row>
    <row r="1377" ht="40" customHeight="1">
      <c r="A1377" s="4" t="inlineStr">
        <is>
          <t>original:Community Economics!D9</t>
        </is>
      </c>
      <c r="B1377" s="4" t="inlineStr">
        <is>
          <t>Community Economics</t>
        </is>
      </c>
      <c r="C1377" s="4" t="inlineStr">
        <is>
          <t>D9</t>
        </is>
      </c>
      <c r="D1377" s="4" t="inlineStr">
        <is>
          <t>verified</t>
        </is>
      </c>
      <c r="E1377" s="4" t="inlineStr">
        <is>
          <t>verified</t>
        </is>
      </c>
      <c r="F1377" s="4" t="inlineStr">
        <is>
          <t>GOC Bed Unit-Costing Model v2 — working original.xlsx</t>
        </is>
      </c>
    </row>
    <row r="1378" ht="40" customHeight="1">
      <c r="A1378" s="4" t="inlineStr">
        <is>
          <t>original:Community Economics!E9</t>
        </is>
      </c>
      <c r="B1378" s="4" t="inlineStr">
        <is>
          <t>Community Economics</t>
        </is>
      </c>
      <c r="C1378" s="4" t="inlineStr">
        <is>
          <t>E9</t>
        </is>
      </c>
      <c r="D1378" s="4" t="inlineStr">
        <is>
          <t>Defy INV-1731: $2.00/kg x 20kg per bed</t>
        </is>
      </c>
      <c r="E1378" s="4" t="inlineStr">
        <is>
          <t>Defy INV-1731: $2.00/kg x 20kg per bed</t>
        </is>
      </c>
      <c r="F1378" s="4" t="inlineStr">
        <is>
          <t>GOC Bed Unit-Costing Model v2 — working original.xlsx</t>
        </is>
      </c>
    </row>
    <row r="1379" ht="40" customHeight="1">
      <c r="A1379" s="4" t="inlineStr">
        <is>
          <t>original:Community Economics!A10</t>
        </is>
      </c>
      <c r="B1379" s="4" t="inlineStr">
        <is>
          <t>Community Economics</t>
        </is>
      </c>
      <c r="C1379" s="4" t="inlineStr">
        <is>
          <t>A10</t>
        </is>
      </c>
      <c r="D1379" s="4" t="inlineStr">
        <is>
          <t>pressing cnc</t>
        </is>
      </c>
      <c r="E1379" s="4" t="inlineStr">
        <is>
          <t>pressing cnc</t>
        </is>
      </c>
      <c r="F1379" s="4" t="inlineStr">
        <is>
          <t>GOC Bed Unit-Costing Model v2 — working original.xlsx</t>
        </is>
      </c>
    </row>
    <row r="1380" ht="40" customHeight="1">
      <c r="A1380" s="4" t="inlineStr">
        <is>
          <t>original:Community Economics!B10</t>
        </is>
      </c>
      <c r="B1380" s="4" t="inlineStr">
        <is>
          <t>Community Economics</t>
        </is>
      </c>
      <c r="C1380" s="4" t="inlineStr">
        <is>
          <t>B10</t>
        </is>
      </c>
      <c r="D1380" s="4" t="inlineStr">
        <is>
          <t>Finished HDPE leg kit, cut and edged</t>
        </is>
      </c>
      <c r="E1380" s="4" t="inlineStr">
        <is>
          <t>Finished HDPE leg kit, cut and edged</t>
        </is>
      </c>
      <c r="F1380" s="4" t="inlineStr">
        <is>
          <t>GOC Bed Unit-Costing Model v2 — working original.xlsx</t>
        </is>
      </c>
    </row>
    <row r="1381" ht="40" customHeight="1">
      <c r="A1381" s="4" t="inlineStr">
        <is>
          <t>original:Community Economics!C10</t>
        </is>
      </c>
      <c r="B1381" s="4" t="inlineStr">
        <is>
          <t>Community Economics</t>
        </is>
      </c>
      <c r="C1381" s="4" t="inlineStr">
        <is>
          <t>C10</t>
        </is>
      </c>
      <c r="D1381" s="4" t="n">
        <v>344.05</v>
      </c>
      <c r="E1381" s="4" t="n">
        <v>344.05</v>
      </c>
      <c r="F1381" s="4" t="inlineStr">
        <is>
          <t>GOC Bed Unit-Costing Model v2 — working original.xlsx</t>
        </is>
      </c>
    </row>
    <row r="1382" ht="40" customHeight="1">
      <c r="A1382" s="4" t="inlineStr">
        <is>
          <t>original:Community Economics!D10</t>
        </is>
      </c>
      <c r="B1382" s="4" t="inlineStr">
        <is>
          <t>Community Economics</t>
        </is>
      </c>
      <c r="C1382" s="4" t="inlineStr">
        <is>
          <t>D10</t>
        </is>
      </c>
      <c r="D1382" s="4" t="inlineStr">
        <is>
          <t>verified</t>
        </is>
      </c>
      <c r="E1382" s="4" t="inlineStr">
        <is>
          <t>verified</t>
        </is>
      </c>
      <c r="F1382" s="4" t="inlineStr">
        <is>
          <t>GOC Bed Unit-Costing Model v2 — working original.xlsx</t>
        </is>
      </c>
    </row>
    <row r="1383" ht="40" customHeight="1">
      <c r="A1383" s="4" t="inlineStr">
        <is>
          <t>original:Community Economics!E10</t>
        </is>
      </c>
      <c r="B1383" s="4" t="inlineStr">
        <is>
          <t>Community Economics</t>
        </is>
      </c>
      <c r="C1383" s="4" t="inlineStr">
        <is>
          <t>E10</t>
        </is>
      </c>
      <c r="D1383" s="4" t="inlineStr">
        <is>
          <t>Defy INV-1602 (92 kits) + INV-1732 (50 kits)</t>
        </is>
      </c>
      <c r="E1383" s="4" t="inlineStr">
        <is>
          <t>Defy INV-1602 (92 kits) + INV-1732 (50 kits)</t>
        </is>
      </c>
      <c r="F1383" s="4" t="inlineStr">
        <is>
          <t>GOC Bed Unit-Costing Model v2 — working original.xlsx</t>
        </is>
      </c>
    </row>
    <row r="1384" ht="40" customHeight="1">
      <c r="A1384" s="4" t="inlineStr">
        <is>
          <t>original:Community Economics!A11</t>
        </is>
      </c>
      <c r="B1384" s="4" t="inlineStr">
        <is>
          <t>Community Economics</t>
        </is>
      </c>
      <c r="C1384" s="4" t="inlineStr">
        <is>
          <t>A11</t>
        </is>
      </c>
      <c r="D1384" s="4" t="inlineStr">
        <is>
          <t>assembly</t>
        </is>
      </c>
      <c r="E1384" s="4" t="inlineStr">
        <is>
          <t>assembly</t>
        </is>
      </c>
      <c r="F1384" s="4" t="inlineStr">
        <is>
          <t>GOC Bed Unit-Costing Model v2 — working original.xlsx</t>
        </is>
      </c>
    </row>
    <row r="1385" ht="40" customHeight="1">
      <c r="A1385" s="4" t="inlineStr">
        <is>
          <t>original:Community Economics!B11</t>
        </is>
      </c>
      <c r="B1385" s="4" t="inlineStr">
        <is>
          <t>Community Economics</t>
        </is>
      </c>
      <c r="C1385" s="4" t="inlineStr">
        <is>
          <t>B11</t>
        </is>
      </c>
      <c r="D1385" s="4" t="inlineStr">
        <is>
          <t>A finished bed, ready to go out</t>
        </is>
      </c>
      <c r="E1385" s="4" t="inlineStr">
        <is>
          <t>A finished bed, ready to go out</t>
        </is>
      </c>
      <c r="F1385" s="4" t="inlineStr">
        <is>
          <t>GOC Bed Unit-Costing Model v2 — working original.xlsx</t>
        </is>
      </c>
    </row>
    <row r="1386" ht="40" customHeight="1">
      <c r="A1386" s="4" t="inlineStr">
        <is>
          <t>original:Community Economics!C11</t>
        </is>
      </c>
      <c r="B1386" s="4" t="inlineStr">
        <is>
          <t>Community Economics</t>
        </is>
      </c>
      <c r="C1386" s="4" t="inlineStr">
        <is>
          <t>C11</t>
        </is>
      </c>
      <c r="D1386" s="4" t="n">
        <v>400</v>
      </c>
      <c r="E1386" s="4" t="n">
        <v>400</v>
      </c>
      <c r="F1386" s="4" t="inlineStr">
        <is>
          <t>GOC Bed Unit-Costing Model v2 — working original.xlsx</t>
        </is>
      </c>
    </row>
    <row r="1387" ht="40" customHeight="1">
      <c r="A1387" s="4" t="inlineStr">
        <is>
          <t>original:Community Economics!D11</t>
        </is>
      </c>
      <c r="B1387" s="4" t="inlineStr">
        <is>
          <t>Community Economics</t>
        </is>
      </c>
      <c r="C1387" s="4" t="inlineStr">
        <is>
          <t>D11</t>
        </is>
      </c>
      <c r="D1387" s="4" t="inlineStr">
        <is>
          <t>verified</t>
        </is>
      </c>
      <c r="E1387" s="4" t="inlineStr">
        <is>
          <t>verified</t>
        </is>
      </c>
      <c r="F1387" s="4" t="inlineStr">
        <is>
          <t>GOC Bed Unit-Costing Model v2 — working original.xlsx</t>
        </is>
      </c>
    </row>
    <row r="1388" ht="45" customHeight="1">
      <c r="A1388" s="4" t="inlineStr">
        <is>
          <t>original:Community Economics!E11</t>
        </is>
      </c>
      <c r="B1388" s="4" t="inlineStr">
        <is>
          <t>Community Economics</t>
        </is>
      </c>
      <c r="C1388" s="4" t="inlineStr">
        <is>
          <t>E11</t>
        </is>
      </c>
      <c r="D1388" s="4" t="inlineStr">
        <is>
          <t>Defy kit $344.05 + assembly labour $55.95 (2026-03-19 line)</t>
        </is>
      </c>
      <c r="E1388" s="4" t="inlineStr">
        <is>
          <t>Defy kit $344.05 + assembly labour $55.95 (2026-03-19 line)</t>
        </is>
      </c>
      <c r="F1388" s="4" t="inlineStr">
        <is>
          <t>GOC Bed Unit-Costing Model v2 — working original.xlsx</t>
        </is>
      </c>
    </row>
    <row r="1389" ht="40" customHeight="1">
      <c r="A1389" s="4" t="inlineStr">
        <is>
          <t>original:Community Economics!A12</t>
        </is>
      </c>
      <c r="B1389" s="4" t="inlineStr">
        <is>
          <t>Community Economics</t>
        </is>
      </c>
      <c r="C1389" s="4" t="inlineStr">
        <is>
          <t>A12</t>
        </is>
      </c>
      <c r="D1389" s="4" t="inlineStr">
        <is>
          <t>sales delivery</t>
        </is>
      </c>
      <c r="E1389" s="4" t="inlineStr">
        <is>
          <t>sales delivery</t>
        </is>
      </c>
      <c r="F1389" s="4" t="inlineStr">
        <is>
          <t>GOC Bed Unit-Costing Model v2 — working original.xlsx</t>
        </is>
      </c>
    </row>
    <row r="1390" ht="40" customHeight="1">
      <c r="A1390" s="4" t="inlineStr">
        <is>
          <t>original:Community Economics!B12</t>
        </is>
      </c>
      <c r="B1390" s="4" t="inlineStr">
        <is>
          <t>Community Economics</t>
        </is>
      </c>
      <c r="C1390" s="4" t="inlineStr">
        <is>
          <t>B12</t>
        </is>
      </c>
      <c r="D1390" s="4" t="inlineStr">
        <is>
          <t>Beds in homes, sold by the community</t>
        </is>
      </c>
      <c r="E1390" s="4" t="inlineStr">
        <is>
          <t>Beds in homes, sold by the community</t>
        </is>
      </c>
      <c r="F1390" s="4" t="inlineStr">
        <is>
          <t>GOC Bed Unit-Costing Model v2 — working original.xlsx</t>
        </is>
      </c>
    </row>
    <row r="1391" ht="40" customHeight="1">
      <c r="A1391" s="4" t="inlineStr">
        <is>
          <t>original:Community Economics!C12</t>
        </is>
      </c>
      <c r="B1391" s="4" t="inlineStr">
        <is>
          <t>Community Economics</t>
        </is>
      </c>
      <c r="C1391" s="4" t="inlineStr">
        <is>
          <t>C12</t>
        </is>
      </c>
      <c r="D1391" s="4" t="n">
        <v>750</v>
      </c>
      <c r="E1391" s="4" t="n">
        <v>750</v>
      </c>
      <c r="F1391" s="4" t="inlineStr">
        <is>
          <t>GOC Bed Unit-Costing Model v2 — working original.xlsx</t>
        </is>
      </c>
    </row>
    <row r="1392" ht="40" customHeight="1">
      <c r="A1392" s="4" t="inlineStr">
        <is>
          <t>original:Community Economics!D12</t>
        </is>
      </c>
      <c r="B1392" s="4" t="inlineStr">
        <is>
          <t>Community Economics</t>
        </is>
      </c>
      <c r="C1392" s="4" t="inlineStr">
        <is>
          <t>D12</t>
        </is>
      </c>
      <c r="D1392" s="4" t="inlineStr">
        <is>
          <t>verified</t>
        </is>
      </c>
      <c r="E1392" s="4" t="inlineStr">
        <is>
          <t>verified</t>
        </is>
      </c>
      <c r="F1392" s="4" t="inlineStr">
        <is>
          <t>GOC Bed Unit-Costing Model v2 — working original.xlsx</t>
        </is>
      </c>
    </row>
    <row r="1393" ht="40" customHeight="1">
      <c r="A1393" s="4" t="inlineStr">
        <is>
          <t>original:Community Economics!E12</t>
        </is>
      </c>
      <c r="B1393" s="4" t="inlineStr">
        <is>
          <t>Community Economics</t>
        </is>
      </c>
      <c r="C1393" s="4" t="inlineStr">
        <is>
          <t>E12</t>
        </is>
      </c>
      <c r="D1393" s="4" t="inlineStr">
        <is>
          <t>Stretch Bed shop price, canon</t>
        </is>
      </c>
      <c r="E1393" s="4" t="inlineStr">
        <is>
          <t>Stretch Bed shop price, canon</t>
        </is>
      </c>
      <c r="F1393" s="4" t="inlineStr">
        <is>
          <t>GOC Bed Unit-Costing Model v2 — working original.xlsx</t>
        </is>
      </c>
    </row>
    <row r="1394" ht="90" customHeight="1">
      <c r="A1394" s="4" t="inlineStr">
        <is>
          <t>original:Community Economics!A13</t>
        </is>
      </c>
      <c r="B1394" s="4" t="inlineStr">
        <is>
          <t>Community Economics</t>
        </is>
      </c>
      <c r="C1394" s="4" t="inlineStr">
        <is>
          <t>A13</t>
        </is>
      </c>
      <c r="D1394" s="4" t="inlineStr">
        <is>
          <t>Shred to pressed kits multiplies what a bed is worth to a community by 8.6x ($40 to $344.05). Everything before it is preparation.</t>
        </is>
      </c>
      <c r="E1394" s="4" t="inlineStr">
        <is>
          <t>Shred to pressed kits multiplies what a bed is worth to a community by 8.6x ($40 to $344.05). Everything before it is preparation.</t>
        </is>
      </c>
      <c r="F1394" s="4" t="inlineStr">
        <is>
          <t>GOC Bed Unit-Costing Model v2 — working original.xlsx</t>
        </is>
      </c>
    </row>
    <row r="1395" ht="40" customHeight="1">
      <c r="A1395" s="4" t="inlineStr">
        <is>
          <t>original:Community Economics!A15</t>
        </is>
      </c>
      <c r="B1395" s="4" t="inlineStr">
        <is>
          <t>Community Economics</t>
        </is>
      </c>
      <c r="C1395" s="4" t="inlineStr">
        <is>
          <t>A15</t>
        </is>
      </c>
      <c r="D1395" s="4" t="inlineStr">
        <is>
          <t>2. THE FOUR LIVE PATHWAYS</t>
        </is>
      </c>
      <c r="E1395" s="4" t="inlineStr">
        <is>
          <t>2. THE FOUR LIVE PATHWAYS</t>
        </is>
      </c>
      <c r="F1395" s="4" t="inlineStr">
        <is>
          <t>GOC Bed Unit-Costing Model v2 — working original.xlsx</t>
        </is>
      </c>
    </row>
    <row r="1396" ht="40" customHeight="1">
      <c r="A1396" s="4" t="inlineStr">
        <is>
          <t>original:Community Economics!B15</t>
        </is>
      </c>
      <c r="B1396" s="4" t="inlineStr">
        <is>
          <t>Community Economics</t>
        </is>
      </c>
      <c r="C1396" s="4" t="inlineStr">
        <is>
          <t>B15</t>
        </is>
      </c>
      <c r="D1396" s="4" t="inlineStr">
        <is>
          <t>at 450 beds' worth of material a year</t>
        </is>
      </c>
      <c r="E1396" s="4" t="inlineStr">
        <is>
          <t>at 450 beds' worth of material a year</t>
        </is>
      </c>
      <c r="F1396" s="4" t="inlineStr">
        <is>
          <t>GOC Bed Unit-Costing Model v2 — working original.xlsx</t>
        </is>
      </c>
    </row>
    <row r="1397" ht="40" customHeight="1">
      <c r="A1397" s="4" t="inlineStr">
        <is>
          <t>original:Community Economics!A16</t>
        </is>
      </c>
      <c r="B1397" s="4" t="inlineStr">
        <is>
          <t>Community Economics</t>
        </is>
      </c>
      <c r="C1397" s="4" t="inlineStr">
        <is>
          <t>A16</t>
        </is>
      </c>
      <c r="D1397" s="4" t="inlineStr">
        <is>
          <t>Community</t>
        </is>
      </c>
      <c r="E1397" s="4" t="inlineStr">
        <is>
          <t>Community</t>
        </is>
      </c>
      <c r="F1397" s="4" t="inlineStr">
        <is>
          <t>GOC Bed Unit-Costing Model v2 — working original.xlsx</t>
        </is>
      </c>
    </row>
    <row r="1398" ht="40" customHeight="1">
      <c r="A1398" s="4" t="inlineStr">
        <is>
          <t>original:Community Economics!B16</t>
        </is>
      </c>
      <c r="B1398" s="4" t="inlineStr">
        <is>
          <t>Community Economics</t>
        </is>
      </c>
      <c r="C1398" s="4" t="inlineStr">
        <is>
          <t>B16</t>
        </is>
      </c>
      <c r="D1398" s="4" t="inlineStr">
        <is>
          <t>Produces</t>
        </is>
      </c>
      <c r="E1398" s="4" t="inlineStr">
        <is>
          <t>Produces</t>
        </is>
      </c>
      <c r="F1398" s="4" t="inlineStr">
        <is>
          <t>GOC Bed Unit-Costing Model v2 — working original.xlsx</t>
        </is>
      </c>
    </row>
    <row r="1399" ht="40" customHeight="1">
      <c r="A1399" s="4" t="inlineStr">
        <is>
          <t>original:Community Economics!C16</t>
        </is>
      </c>
      <c r="B1399" s="4" t="inlineStr">
        <is>
          <t>Community Economics</t>
        </is>
      </c>
      <c r="C1399" s="4" t="inlineStr">
        <is>
          <t>C16</t>
        </is>
      </c>
      <c r="D1399" s="4" t="inlineStr">
        <is>
          <t>Setup low $</t>
        </is>
      </c>
      <c r="E1399" s="4" t="inlineStr">
        <is>
          <t>Setup low $</t>
        </is>
      </c>
      <c r="F1399" s="4" t="inlineStr">
        <is>
          <t>GOC Bed Unit-Costing Model v2 — working original.xlsx</t>
        </is>
      </c>
    </row>
    <row r="1400" ht="40" customHeight="1">
      <c r="A1400" s="4" t="inlineStr">
        <is>
          <t>original:Community Economics!D16</t>
        </is>
      </c>
      <c r="B1400" s="4" t="inlineStr">
        <is>
          <t>Community Economics</t>
        </is>
      </c>
      <c r="C1400" s="4" t="inlineStr">
        <is>
          <t>D16</t>
        </is>
      </c>
      <c r="D1400" s="4" t="inlineStr">
        <is>
          <t>Setup high $</t>
        </is>
      </c>
      <c r="E1400" s="4" t="inlineStr">
        <is>
          <t>Setup high $</t>
        </is>
      </c>
      <c r="F1400" s="4" t="inlineStr">
        <is>
          <t>GOC Bed Unit-Costing Model v2 — working original.xlsx</t>
        </is>
      </c>
    </row>
    <row r="1401" ht="40" customHeight="1">
      <c r="A1401" s="4" t="inlineStr">
        <is>
          <t>original:Community Economics!E16</t>
        </is>
      </c>
      <c r="B1401" s="4" t="inlineStr">
        <is>
          <t>Community Economics</t>
        </is>
      </c>
      <c r="C1401" s="4" t="inlineStr">
        <is>
          <t>E16</t>
        </is>
      </c>
      <c r="D1401" s="4" t="inlineStr">
        <is>
          <t>Earns/yr $</t>
        </is>
      </c>
      <c r="E1401" s="4" t="inlineStr">
        <is>
          <t>Earns/yr $</t>
        </is>
      </c>
      <c r="F1401" s="4" t="inlineStr">
        <is>
          <t>GOC Bed Unit-Costing Model v2 — working original.xlsx</t>
        </is>
      </c>
    </row>
    <row r="1402" ht="40" customHeight="1">
      <c r="A1402" s="4" t="inlineStr">
        <is>
          <t>original:Community Economics!F16</t>
        </is>
      </c>
      <c r="B1402" s="4" t="inlineStr">
        <is>
          <t>Community Economics</t>
        </is>
      </c>
      <c r="C1402" s="4" t="inlineStr">
        <is>
          <t>F16</t>
        </is>
      </c>
      <c r="D1402" s="4" t="inlineStr">
        <is>
          <t>Running cost/yr $</t>
        </is>
      </c>
      <c r="E1402" s="4" t="inlineStr">
        <is>
          <t>Running cost/yr $</t>
        </is>
      </c>
      <c r="F1402" s="4" t="inlineStr">
        <is>
          <t>GOC Bed Unit-Costing Model v2 — working original.xlsx</t>
        </is>
      </c>
    </row>
    <row r="1403" ht="40" customHeight="1">
      <c r="A1403" s="4" t="inlineStr">
        <is>
          <t>original:Community Economics!G16</t>
        </is>
      </c>
      <c r="B1403" s="4" t="inlineStr">
        <is>
          <t>Community Economics</t>
        </is>
      </c>
      <c r="C1403" s="4" t="inlineStr">
        <is>
          <t>G16</t>
        </is>
      </c>
      <c r="D1403" s="4" t="inlineStr">
        <is>
          <t>Left over/yr $</t>
        </is>
      </c>
      <c r="E1403" s="4" t="inlineStr">
        <is>
          <t>Left over/yr $</t>
        </is>
      </c>
      <c r="F1403" s="4" t="inlineStr">
        <is>
          <t>GOC Bed Unit-Costing Model v2 — working original.xlsx</t>
        </is>
      </c>
    </row>
    <row r="1404" ht="40" customHeight="1">
      <c r="A1404" s="4" t="inlineStr">
        <is>
          <t>original:Community Economics!H16</t>
        </is>
      </c>
      <c r="B1404" s="4" t="inlineStr">
        <is>
          <t>Community Economics</t>
        </is>
      </c>
      <c r="C1404" s="4" t="inlineStr">
        <is>
          <t>H16</t>
        </is>
      </c>
      <c r="D1404" s="4" t="inlineStr">
        <is>
          <t>Note</t>
        </is>
      </c>
      <c r="E1404" s="4" t="inlineStr">
        <is>
          <t>Note</t>
        </is>
      </c>
      <c r="F1404" s="4" t="inlineStr">
        <is>
          <t>GOC Bed Unit-Costing Model v2 — working original.xlsx</t>
        </is>
      </c>
    </row>
    <row r="1405" ht="40" customHeight="1">
      <c r="A1405" s="4" t="inlineStr">
        <is>
          <t>original:Community Economics!A17</t>
        </is>
      </c>
      <c r="B1405" s="4" t="inlineStr">
        <is>
          <t>Community Economics</t>
        </is>
      </c>
      <c r="C1405" s="4" t="inlineStr">
        <is>
          <t>A17</t>
        </is>
      </c>
      <c r="D1405" s="4" t="inlineStr">
        <is>
          <t>Tennant Creek</t>
        </is>
      </c>
      <c r="E1405" s="4" t="inlineStr">
        <is>
          <t>Tennant Creek</t>
        </is>
      </c>
      <c r="F1405" s="4" t="inlineStr">
        <is>
          <t>GOC Bed Unit-Costing Model v2 — working original.xlsx</t>
        </is>
      </c>
    </row>
    <row r="1406" ht="40" customHeight="1">
      <c r="A1406" s="4" t="inlineStr">
        <is>
          <t>original:Community Economics!B17</t>
        </is>
      </c>
      <c r="B1406" s="4" t="inlineStr">
        <is>
          <t>Community Economics</t>
        </is>
      </c>
      <c r="C1406" s="4" t="inlineStr">
        <is>
          <t>B17</t>
        </is>
      </c>
      <c r="D1406" s="4" t="inlineStr">
        <is>
          <t>A finished bed, ready to go out</t>
        </is>
      </c>
      <c r="E1406" s="4" t="inlineStr">
        <is>
          <t>A finished bed, ready to go out</t>
        </is>
      </c>
      <c r="F1406" s="4" t="inlineStr">
        <is>
          <t>GOC Bed Unit-Costing Model v2 — working original.xlsx</t>
        </is>
      </c>
    </row>
    <row r="1407" ht="40" customHeight="1">
      <c r="A1407" s="4" t="inlineStr">
        <is>
          <t>original:Community Economics!C17</t>
        </is>
      </c>
      <c r="B1407" s="4" t="inlineStr">
        <is>
          <t>Community Economics</t>
        </is>
      </c>
      <c r="C1407" s="4" t="inlineStr">
        <is>
          <t>C17</t>
        </is>
      </c>
      <c r="D1407" s="4" t="n">
        <v>90767</v>
      </c>
      <c r="E1407" s="4" t="n">
        <v>90767</v>
      </c>
      <c r="F1407" s="4" t="inlineStr">
        <is>
          <t>GOC Bed Unit-Costing Model v2 — working original.xlsx</t>
        </is>
      </c>
    </row>
    <row r="1408" ht="40" customHeight="1">
      <c r="A1408" s="4" t="inlineStr">
        <is>
          <t>original:Community Economics!D17</t>
        </is>
      </c>
      <c r="B1408" s="4" t="inlineStr">
        <is>
          <t>Community Economics</t>
        </is>
      </c>
      <c r="C1408" s="4" t="inlineStr">
        <is>
          <t>D17</t>
        </is>
      </c>
      <c r="D1408" s="4" t="n">
        <v>122967</v>
      </c>
      <c r="E1408" s="4" t="n">
        <v>122967</v>
      </c>
      <c r="F1408" s="4" t="inlineStr">
        <is>
          <t>GOC Bed Unit-Costing Model v2 — working original.xlsx</t>
        </is>
      </c>
    </row>
    <row r="1409" ht="40" customHeight="1">
      <c r="A1409" s="4" t="inlineStr">
        <is>
          <t>original:Community Economics!E17</t>
        </is>
      </c>
      <c r="B1409" s="4" t="inlineStr">
        <is>
          <t>Community Economics</t>
        </is>
      </c>
      <c r="C1409" s="4" t="inlineStr">
        <is>
          <t>E17</t>
        </is>
      </c>
      <c r="D1409" s="4" t="n">
        <v>337500</v>
      </c>
      <c r="E1409" s="4" t="n">
        <v>337500</v>
      </c>
      <c r="F1409" s="4" t="inlineStr">
        <is>
          <t>GOC Bed Unit-Costing Model v2 — working original.xlsx</t>
        </is>
      </c>
    </row>
    <row r="1410" ht="40" customHeight="1">
      <c r="A1410" s="4" t="inlineStr">
        <is>
          <t>original:Community Economics!F17</t>
        </is>
      </c>
      <c r="B1410" s="4" t="inlineStr">
        <is>
          <t>Community Economics</t>
        </is>
      </c>
      <c r="C1410" s="4" t="inlineStr">
        <is>
          <t>F17</t>
        </is>
      </c>
      <c r="D1410" s="4" t="n">
        <v>75733</v>
      </c>
      <c r="E1410" s="4" t="n">
        <v>75733</v>
      </c>
      <c r="F1410" s="4" t="inlineStr">
        <is>
          <t>GOC Bed Unit-Costing Model v2 — working original.xlsx</t>
        </is>
      </c>
    </row>
    <row r="1411" ht="40" customHeight="1">
      <c r="A1411" s="4" t="inlineStr">
        <is>
          <t>original:Community Economics!G17</t>
        </is>
      </c>
      <c r="B1411" s="4" t="inlineStr">
        <is>
          <t>Community Economics</t>
        </is>
      </c>
      <c r="C1411" s="4" t="inlineStr">
        <is>
          <t>G17</t>
        </is>
      </c>
      <c r="D1411" s="4" t="n">
        <v>261767</v>
      </c>
      <c r="E1411" s="4" t="n">
        <v>261767</v>
      </c>
      <c r="F1411" s="4" t="inlineStr">
        <is>
          <t>GOC Bed Unit-Costing Model v2 — working original.xlsx</t>
        </is>
      </c>
    </row>
    <row r="1412" ht="90" customHeight="1">
      <c r="A1412" s="4" t="inlineStr">
        <is>
          <t>original:Community Economics!H17</t>
        </is>
      </c>
      <c r="B1412" s="4" t="inlineStr">
        <is>
          <t>Community Economics</t>
        </is>
      </c>
      <c r="C1412" s="4" t="inlineStr">
        <is>
          <t>H17</t>
        </is>
      </c>
      <c r="D1412" s="4" t="inlineStr">
        <is>
          <t>Reads high because the plastic it must BUY IN is not costed here. The true figure is lower and we do not yet know by how much.</t>
        </is>
      </c>
      <c r="E1412" s="4" t="inlineStr">
        <is>
          <t>Reads high because the plastic it must BUY IN is not costed here. The true figure is lower and we do not yet know by how much.</t>
        </is>
      </c>
      <c r="F1412" s="4" t="inlineStr">
        <is>
          <t>GOC Bed Unit-Costing Model v2 — working original.xlsx</t>
        </is>
      </c>
    </row>
    <row r="1413" ht="40" customHeight="1">
      <c r="A1413" s="4" t="inlineStr">
        <is>
          <t>original:Community Economics!A18</t>
        </is>
      </c>
      <c r="B1413" s="4" t="inlineStr">
        <is>
          <t>Community Economics</t>
        </is>
      </c>
      <c r="C1413" s="4" t="inlineStr">
        <is>
          <t>A18</t>
        </is>
      </c>
      <c r="D1413" s="4" t="inlineStr">
        <is>
          <t>Utopia Homelands</t>
        </is>
      </c>
      <c r="E1413" s="4" t="inlineStr">
        <is>
          <t>Utopia Homelands</t>
        </is>
      </c>
      <c r="F1413" s="4" t="inlineStr">
        <is>
          <t>GOC Bed Unit-Costing Model v2 — working original.xlsx</t>
        </is>
      </c>
    </row>
    <row r="1414" ht="40" customHeight="1">
      <c r="A1414" s="4" t="inlineStr">
        <is>
          <t>original:Community Economics!B18</t>
        </is>
      </c>
      <c r="B1414" s="4" t="inlineStr">
        <is>
          <t>Community Economics</t>
        </is>
      </c>
      <c r="C1414" s="4" t="inlineStr">
        <is>
          <t>B18</t>
        </is>
      </c>
      <c r="D1414" s="4" t="inlineStr">
        <is>
          <t>HDPE shred</t>
        </is>
      </c>
      <c r="E1414" s="4" t="inlineStr">
        <is>
          <t>HDPE shred</t>
        </is>
      </c>
      <c r="F1414" s="4" t="inlineStr">
        <is>
          <t>GOC Bed Unit-Costing Model v2 — working original.xlsx</t>
        </is>
      </c>
    </row>
    <row r="1415" ht="40" customHeight="1">
      <c r="A1415" s="4" t="inlineStr">
        <is>
          <t>original:Community Economics!C18</t>
        </is>
      </c>
      <c r="B1415" s="4" t="inlineStr">
        <is>
          <t>Community Economics</t>
        </is>
      </c>
      <c r="C1415" s="4" t="inlineStr">
        <is>
          <t>C18</t>
        </is>
      </c>
      <c r="D1415" s="4" t="n">
        <v>56600</v>
      </c>
      <c r="E1415" s="4" t="n">
        <v>56600</v>
      </c>
      <c r="F1415" s="4" t="inlineStr">
        <is>
          <t>GOC Bed Unit-Costing Model v2 — working original.xlsx</t>
        </is>
      </c>
    </row>
    <row r="1416" ht="40" customHeight="1">
      <c r="A1416" s="4" t="inlineStr">
        <is>
          <t>original:Community Economics!D18</t>
        </is>
      </c>
      <c r="B1416" s="4" t="inlineStr">
        <is>
          <t>Community Economics</t>
        </is>
      </c>
      <c r="C1416" s="4" t="inlineStr">
        <is>
          <t>D18</t>
        </is>
      </c>
      <c r="D1416" s="4" t="n">
        <v>103300</v>
      </c>
      <c r="E1416" s="4" t="n">
        <v>103300</v>
      </c>
      <c r="F1416" s="4" t="inlineStr">
        <is>
          <t>GOC Bed Unit-Costing Model v2 — working original.xlsx</t>
        </is>
      </c>
    </row>
    <row r="1417" ht="40" customHeight="1">
      <c r="A1417" s="4" t="inlineStr">
        <is>
          <t>original:Community Economics!E18</t>
        </is>
      </c>
      <c r="B1417" s="4" t="inlineStr">
        <is>
          <t>Community Economics</t>
        </is>
      </c>
      <c r="C1417" s="4" t="inlineStr">
        <is>
          <t>E18</t>
        </is>
      </c>
      <c r="D1417" s="4" t="n">
        <v>18000</v>
      </c>
      <c r="E1417" s="4" t="n">
        <v>18000</v>
      </c>
      <c r="F1417" s="4" t="inlineStr">
        <is>
          <t>GOC Bed Unit-Costing Model v2 — working original.xlsx</t>
        </is>
      </c>
    </row>
    <row r="1418" ht="40" customHeight="1">
      <c r="A1418" s="4" t="inlineStr">
        <is>
          <t>original:Community Economics!F18</t>
        </is>
      </c>
      <c r="B1418" s="4" t="inlineStr">
        <is>
          <t>Community Economics</t>
        </is>
      </c>
      <c r="C1418" s="4" t="inlineStr">
        <is>
          <t>F18</t>
        </is>
      </c>
      <c r="D1418" s="4" t="n">
        <v>51043</v>
      </c>
      <c r="E1418" s="4" t="n">
        <v>51043</v>
      </c>
      <c r="F1418" s="4" t="inlineStr">
        <is>
          <t>GOC Bed Unit-Costing Model v2 — working original.xlsx</t>
        </is>
      </c>
    </row>
    <row r="1419" ht="40" customHeight="1">
      <c r="A1419" s="4" t="inlineStr">
        <is>
          <t>original:Community Economics!G18</t>
        </is>
      </c>
      <c r="B1419" s="4" t="inlineStr">
        <is>
          <t>Community Economics</t>
        </is>
      </c>
      <c r="C1419" s="4" t="inlineStr">
        <is>
          <t>G18</t>
        </is>
      </c>
      <c r="D1419" s="4" t="n">
        <v>-33043</v>
      </c>
      <c r="E1419" s="4" t="n">
        <v>-33043</v>
      </c>
      <c r="F1419" s="4" t="inlineStr">
        <is>
          <t>GOC Bed Unit-Costing Model v2 — working original.xlsx</t>
        </is>
      </c>
    </row>
    <row r="1420" ht="225" customHeight="1">
      <c r="A1420" s="4" t="inlineStr">
        <is>
          <t>original:Community Economics!H18</t>
        </is>
      </c>
      <c r="B1420" s="4" t="inlineStr">
        <is>
          <t>Community Economics</t>
        </is>
      </c>
      <c r="C1420" s="4" t="inlineStr">
        <is>
          <t>H18</t>
        </is>
      </c>
      <c r="D1420" s="4" t="inlineStr">
        <is>
          <t>NEEDS GRANT BEHIND IT - not a community out of pocket. This step does not pay for itself out of what it sells, because the $35,000 site floor lands the moment anyone works there at all. It is a Pot 2 proposition until the chain reaches pressing or selling. See the options block below: selling closes this gap without a press.</t>
        </is>
      </c>
      <c r="E1420" s="4" t="inlineStr">
        <is>
          <t>NEEDS GRANT BEHIND IT - not a community out of pocket. This step does not pay for itself out of what it sells, because the $35,000 site floor lands the moment anyone works there at all. It is a Pot 2 proposition until the chain reaches pressing or selling. See the options block below: selling closes this gap without a press.</t>
        </is>
      </c>
      <c r="F1420" s="4" t="inlineStr">
        <is>
          <t>GOC Bed Unit-Costing Model v2 — working original.xlsx</t>
        </is>
      </c>
    </row>
    <row r="1421" ht="40" customHeight="1">
      <c r="A1421" s="4" t="inlineStr">
        <is>
          <t>original:Community Economics!A19</t>
        </is>
      </c>
      <c r="B1421" s="4" t="inlineStr">
        <is>
          <t>Community Economics</t>
        </is>
      </c>
      <c r="C1421" s="4" t="inlineStr">
        <is>
          <t>A19</t>
        </is>
      </c>
      <c r="D1421" s="4" t="inlineStr">
        <is>
          <t>Oonchiumpa</t>
        </is>
      </c>
      <c r="E1421" s="4" t="inlineStr">
        <is>
          <t>Oonchiumpa</t>
        </is>
      </c>
      <c r="F1421" s="4" t="inlineStr">
        <is>
          <t>GOC Bed Unit-Costing Model v2 — working original.xlsx</t>
        </is>
      </c>
    </row>
    <row r="1422" ht="40" customHeight="1">
      <c r="A1422" s="4" t="inlineStr">
        <is>
          <t>original:Community Economics!B19</t>
        </is>
      </c>
      <c r="B1422" s="4" t="inlineStr">
        <is>
          <t>Community Economics</t>
        </is>
      </c>
      <c r="C1422" s="4" t="inlineStr">
        <is>
          <t>B19</t>
        </is>
      </c>
      <c r="D1422" s="4" t="inlineStr">
        <is>
          <t>A finished bed, ready to go out</t>
        </is>
      </c>
      <c r="E1422" s="4" t="inlineStr">
        <is>
          <t>A finished bed, ready to go out</t>
        </is>
      </c>
      <c r="F1422" s="4" t="inlineStr">
        <is>
          <t>GOC Bed Unit-Costing Model v2 — working original.xlsx</t>
        </is>
      </c>
    </row>
    <row r="1423" ht="40" customHeight="1">
      <c r="A1423" s="4" t="inlineStr">
        <is>
          <t>original:Community Economics!C19</t>
        </is>
      </c>
      <c r="B1423" s="4" t="inlineStr">
        <is>
          <t>Community Economics</t>
        </is>
      </c>
      <c r="C1423" s="4" t="inlineStr">
        <is>
          <t>C19</t>
        </is>
      </c>
      <c r="D1423" s="4" t="n">
        <v>95767</v>
      </c>
      <c r="E1423" s="4" t="n">
        <v>95767</v>
      </c>
      <c r="F1423" s="4" t="inlineStr">
        <is>
          <t>GOC Bed Unit-Costing Model v2 — working original.xlsx</t>
        </is>
      </c>
    </row>
    <row r="1424" ht="40" customHeight="1">
      <c r="A1424" s="4" t="inlineStr">
        <is>
          <t>original:Community Economics!D19</t>
        </is>
      </c>
      <c r="B1424" s="4" t="inlineStr">
        <is>
          <t>Community Economics</t>
        </is>
      </c>
      <c r="C1424" s="4" t="inlineStr">
        <is>
          <t>D19</t>
        </is>
      </c>
      <c r="D1424" s="4" t="n">
        <v>142467</v>
      </c>
      <c r="E1424" s="4" t="n">
        <v>142467</v>
      </c>
      <c r="F1424" s="4" t="inlineStr">
        <is>
          <t>GOC Bed Unit-Costing Model v2 — working original.xlsx</t>
        </is>
      </c>
    </row>
    <row r="1425" ht="40" customHeight="1">
      <c r="A1425" s="4" t="inlineStr">
        <is>
          <t>original:Community Economics!E19</t>
        </is>
      </c>
      <c r="B1425" s="4" t="inlineStr">
        <is>
          <t>Community Economics</t>
        </is>
      </c>
      <c r="C1425" s="4" t="inlineStr">
        <is>
          <t>E19</t>
        </is>
      </c>
      <c r="D1425" s="4" t="n">
        <v>337500</v>
      </c>
      <c r="E1425" s="4" t="n">
        <v>337500</v>
      </c>
      <c r="F1425" s="4" t="inlineStr">
        <is>
          <t>GOC Bed Unit-Costing Model v2 — working original.xlsx</t>
        </is>
      </c>
    </row>
    <row r="1426" ht="40" customHeight="1">
      <c r="A1426" s="4" t="inlineStr">
        <is>
          <t>original:Community Economics!F19</t>
        </is>
      </c>
      <c r="B1426" s="4" t="inlineStr">
        <is>
          <t>Community Economics</t>
        </is>
      </c>
      <c r="C1426" s="4" t="inlineStr">
        <is>
          <t>F19</t>
        </is>
      </c>
      <c r="D1426" s="4" t="n">
        <v>79333</v>
      </c>
      <c r="E1426" s="4" t="n">
        <v>79333</v>
      </c>
      <c r="F1426" s="4" t="inlineStr">
        <is>
          <t>GOC Bed Unit-Costing Model v2 — working original.xlsx</t>
        </is>
      </c>
    </row>
    <row r="1427" ht="40" customHeight="1">
      <c r="A1427" s="4" t="inlineStr">
        <is>
          <t>original:Community Economics!G19</t>
        </is>
      </c>
      <c r="B1427" s="4" t="inlineStr">
        <is>
          <t>Community Economics</t>
        </is>
      </c>
      <c r="C1427" s="4" t="inlineStr">
        <is>
          <t>G19</t>
        </is>
      </c>
      <c r="D1427" s="4" t="n">
        <v>258167</v>
      </c>
      <c r="E1427" s="4" t="n">
        <v>258167</v>
      </c>
      <c r="F1427" s="4" t="inlineStr">
        <is>
          <t>GOC Bed Unit-Costing Model v2 — working original.xlsx</t>
        </is>
      </c>
    </row>
    <row r="1428" ht="60" customHeight="1">
      <c r="A1428" s="4" t="inlineStr">
        <is>
          <t>original:Community Economics!A22</t>
        </is>
      </c>
      <c r="B1428" s="4" t="inlineStr">
        <is>
          <t>Community Economics</t>
        </is>
      </c>
      <c r="C1428" s="4" t="inlineStr">
        <is>
          <t>A22</t>
        </is>
      </c>
      <c r="D1428" s="4" t="inlineStr">
        <is>
          <t>3. THE OPTIONS OPEN TO A COMMUNITY THAT STARTED EARLY - the live Utopia question</t>
        </is>
      </c>
      <c r="E1428" s="4" t="inlineStr">
        <is>
          <t>3. THE OPTIONS OPEN TO A COMMUNITY THAT STARTED EARLY - the live Utopia question</t>
        </is>
      </c>
      <c r="F1428" s="4" t="inlineStr">
        <is>
          <t>GOC Bed Unit-Costing Model v2 — working original.xlsx</t>
        </is>
      </c>
    </row>
    <row r="1429" ht="255" customHeight="1">
      <c r="A1429" s="4" t="inlineStr">
        <is>
          <t>original:Community Economics!A23</t>
        </is>
      </c>
      <c r="B1429" s="4" t="inlineStr">
        <is>
          <t>Community Economics</t>
        </is>
      </c>
      <c r="C1429" s="4" t="inlineStr">
        <is>
          <t>A23</t>
        </is>
      </c>
      <c r="D1429" s="4" t="inlineStr">
        <is>
          <t>Selling and delivering does NOT depend on making. An earlier version of this model treated it as the last link of a physical chain and so quietly forbade the most interesting option a shredder community has: supplying beds to its own people. The spread is $350/bed, the retail price less the cost of a finished bed. FREIGHT COMES OUT OF THAT AND IS NOT MODELLED - right shape, unproven size.</t>
        </is>
      </c>
      <c r="E1429" s="4" t="inlineStr">
        <is>
          <t>Selling and delivering does NOT depend on making. An earlier version of this model treated it as the last link of a physical chain and so quietly forbade the most interesting option a shredder community has: supplying beds to its own people. The spread is $350/bed, the retail price less the cost of a finished bed. FREIGHT COMES OUT OF THAT AND IS NOT MODELLED - right shape, unproven size.</t>
        </is>
      </c>
      <c r="F1429" s="4" t="inlineStr">
        <is>
          <t>GOC Bed Unit-Costing Model v2 — working original.xlsx</t>
        </is>
      </c>
    </row>
    <row r="1430" ht="40" customHeight="1">
      <c r="A1430" s="4" t="inlineStr">
        <is>
          <t>original:Community Economics!A24</t>
        </is>
      </c>
      <c r="B1430" s="4" t="inlineStr">
        <is>
          <t>Community Economics</t>
        </is>
      </c>
      <c r="C1430" s="4" t="inlineStr">
        <is>
          <t>A24</t>
        </is>
      </c>
      <c r="D1430" s="4" t="inlineStr">
        <is>
          <t>Option</t>
        </is>
      </c>
      <c r="E1430" s="4" t="inlineStr">
        <is>
          <t>Option</t>
        </is>
      </c>
      <c r="F1430" s="4" t="inlineStr">
        <is>
          <t>GOC Bed Unit-Costing Model v2 — working original.xlsx</t>
        </is>
      </c>
    </row>
    <row r="1431" ht="40" customHeight="1">
      <c r="A1431" s="4" t="inlineStr">
        <is>
          <t>original:Community Economics!B24</t>
        </is>
      </c>
      <c r="B1431" s="4" t="inlineStr">
        <is>
          <t>Community Economics</t>
        </is>
      </c>
      <c r="C1431" s="4" t="inlineStr">
        <is>
          <t>B24</t>
        </is>
      </c>
      <c r="D1431" s="4" t="inlineStr">
        <is>
          <t>Setup low $</t>
        </is>
      </c>
      <c r="E1431" s="4" t="inlineStr">
        <is>
          <t>Setup low $</t>
        </is>
      </c>
      <c r="F1431" s="4" t="inlineStr">
        <is>
          <t>GOC Bed Unit-Costing Model v2 — working original.xlsx</t>
        </is>
      </c>
    </row>
    <row r="1432" ht="40" customHeight="1">
      <c r="A1432" s="4" t="inlineStr">
        <is>
          <t>original:Community Economics!C24</t>
        </is>
      </c>
      <c r="B1432" s="4" t="inlineStr">
        <is>
          <t>Community Economics</t>
        </is>
      </c>
      <c r="C1432" s="4" t="inlineStr">
        <is>
          <t>C24</t>
        </is>
      </c>
      <c r="D1432" s="4" t="inlineStr">
        <is>
          <t>Setup high $</t>
        </is>
      </c>
      <c r="E1432" s="4" t="inlineStr">
        <is>
          <t>Setup high $</t>
        </is>
      </c>
      <c r="F1432" s="4" t="inlineStr">
        <is>
          <t>GOC Bed Unit-Costing Model v2 — working original.xlsx</t>
        </is>
      </c>
    </row>
    <row r="1433" ht="40" customHeight="1">
      <c r="A1433" s="4" t="inlineStr">
        <is>
          <t>original:Community Economics!D24</t>
        </is>
      </c>
      <c r="B1433" s="4" t="inlineStr">
        <is>
          <t>Community Economics</t>
        </is>
      </c>
      <c r="C1433" s="4" t="inlineStr">
        <is>
          <t>D24</t>
        </is>
      </c>
      <c r="D1433" s="4" t="inlineStr">
        <is>
          <t>Earns/yr $</t>
        </is>
      </c>
      <c r="E1433" s="4" t="inlineStr">
        <is>
          <t>Earns/yr $</t>
        </is>
      </c>
      <c r="F1433" s="4" t="inlineStr">
        <is>
          <t>GOC Bed Unit-Costing Model v2 — working original.xlsx</t>
        </is>
      </c>
    </row>
    <row r="1434" ht="40" customHeight="1">
      <c r="A1434" s="4" t="inlineStr">
        <is>
          <t>original:Community Economics!E24</t>
        </is>
      </c>
      <c r="B1434" s="4" t="inlineStr">
        <is>
          <t>Community Economics</t>
        </is>
      </c>
      <c r="C1434" s="4" t="inlineStr">
        <is>
          <t>E24</t>
        </is>
      </c>
      <c r="D1434" s="4" t="inlineStr">
        <is>
          <t>Running cost/yr $</t>
        </is>
      </c>
      <c r="E1434" s="4" t="inlineStr">
        <is>
          <t>Running cost/yr $</t>
        </is>
      </c>
      <c r="F1434" s="4" t="inlineStr">
        <is>
          <t>GOC Bed Unit-Costing Model v2 — working original.xlsx</t>
        </is>
      </c>
    </row>
    <row r="1435" ht="40" customHeight="1">
      <c r="A1435" s="4" t="inlineStr">
        <is>
          <t>original:Community Economics!F24</t>
        </is>
      </c>
      <c r="B1435" s="4" t="inlineStr">
        <is>
          <t>Community Economics</t>
        </is>
      </c>
      <c r="C1435" s="4" t="inlineStr">
        <is>
          <t>F24</t>
        </is>
      </c>
      <c r="D1435" s="4" t="inlineStr">
        <is>
          <t>Left over/yr $</t>
        </is>
      </c>
      <c r="E1435" s="4" t="inlineStr">
        <is>
          <t>Left over/yr $</t>
        </is>
      </c>
      <c r="F1435" s="4" t="inlineStr">
        <is>
          <t>GOC Bed Unit-Costing Model v2 — working original.xlsx</t>
        </is>
      </c>
    </row>
    <row r="1436" ht="40" customHeight="1">
      <c r="A1436" s="4" t="inlineStr">
        <is>
          <t>original:Community Economics!A25</t>
        </is>
      </c>
      <c r="B1436" s="4" t="inlineStr">
        <is>
          <t>Community Economics</t>
        </is>
      </c>
      <c r="C1436" s="4" t="inlineStr">
        <is>
          <t>A25</t>
        </is>
      </c>
      <c r="D1436" s="4" t="inlineStr">
        <is>
          <t>Collect and shred (today’s ask)</t>
        </is>
      </c>
      <c r="E1436" s="4" t="inlineStr">
        <is>
          <t>Collect and shred (today’s ask)</t>
        </is>
      </c>
      <c r="F1436" s="4" t="inlineStr">
        <is>
          <t>GOC Bed Unit-Costing Model v2 — working original.xlsx</t>
        </is>
      </c>
    </row>
    <row r="1437" ht="40" customHeight="1">
      <c r="A1437" s="4" t="inlineStr">
        <is>
          <t>original:Community Economics!B25</t>
        </is>
      </c>
      <c r="B1437" s="4" t="inlineStr">
        <is>
          <t>Community Economics</t>
        </is>
      </c>
      <c r="C1437" s="4" t="inlineStr">
        <is>
          <t>B25</t>
        </is>
      </c>
      <c r="D1437" s="4" t="n">
        <v>56600</v>
      </c>
      <c r="E1437" s="4" t="n">
        <v>56600</v>
      </c>
      <c r="F1437" s="4" t="inlineStr">
        <is>
          <t>GOC Bed Unit-Costing Model v2 — working original.xlsx</t>
        </is>
      </c>
    </row>
    <row r="1438" ht="40" customHeight="1">
      <c r="A1438" s="4" t="inlineStr">
        <is>
          <t>original:Community Economics!C25</t>
        </is>
      </c>
      <c r="B1438" s="4" t="inlineStr">
        <is>
          <t>Community Economics</t>
        </is>
      </c>
      <c r="C1438" s="4" t="inlineStr">
        <is>
          <t>C25</t>
        </is>
      </c>
      <c r="D1438" s="4" t="n">
        <v>103300</v>
      </c>
      <c r="E1438" s="4" t="n">
        <v>103300</v>
      </c>
      <c r="F1438" s="4" t="inlineStr">
        <is>
          <t>GOC Bed Unit-Costing Model v2 — working original.xlsx</t>
        </is>
      </c>
    </row>
    <row r="1439" ht="40" customHeight="1">
      <c r="A1439" s="4" t="inlineStr">
        <is>
          <t>original:Community Economics!D25</t>
        </is>
      </c>
      <c r="B1439" s="4" t="inlineStr">
        <is>
          <t>Community Economics</t>
        </is>
      </c>
      <c r="C1439" s="4" t="inlineStr">
        <is>
          <t>D25</t>
        </is>
      </c>
      <c r="D1439" s="4" t="n">
        <v>18000</v>
      </c>
      <c r="E1439" s="4" t="n">
        <v>18000</v>
      </c>
      <c r="F1439" s="4" t="inlineStr">
        <is>
          <t>GOC Bed Unit-Costing Model v2 — working original.xlsx</t>
        </is>
      </c>
    </row>
    <row r="1440" ht="40" customHeight="1">
      <c r="A1440" s="4" t="inlineStr">
        <is>
          <t>original:Community Economics!E25</t>
        </is>
      </c>
      <c r="B1440" s="4" t="inlineStr">
        <is>
          <t>Community Economics</t>
        </is>
      </c>
      <c r="C1440" s="4" t="inlineStr">
        <is>
          <t>E25</t>
        </is>
      </c>
      <c r="D1440" s="4" t="n">
        <v>51043</v>
      </c>
      <c r="E1440" s="4" t="n">
        <v>51043</v>
      </c>
      <c r="F1440" s="4" t="inlineStr">
        <is>
          <t>GOC Bed Unit-Costing Model v2 — working original.xlsx</t>
        </is>
      </c>
    </row>
    <row r="1441" ht="40" customHeight="1">
      <c r="A1441" s="4" t="inlineStr">
        <is>
          <t>original:Community Economics!F25</t>
        </is>
      </c>
      <c r="B1441" s="4" t="inlineStr">
        <is>
          <t>Community Economics</t>
        </is>
      </c>
      <c r="C1441" s="4" t="inlineStr">
        <is>
          <t>F25</t>
        </is>
      </c>
      <c r="D1441" s="4" t="n">
        <v>-33043</v>
      </c>
      <c r="E1441" s="4" t="n">
        <v>-33043</v>
      </c>
      <c r="F1441" s="4" t="inlineStr">
        <is>
          <t>GOC Bed Unit-Costing Model v2 — working original.xlsx</t>
        </is>
      </c>
    </row>
    <row r="1442" ht="40" customHeight="1">
      <c r="A1442" s="4" t="inlineStr">
        <is>
          <t>original:Community Economics!A26</t>
        </is>
      </c>
      <c r="B1442" s="4" t="inlineStr">
        <is>
          <t>Community Economics</t>
        </is>
      </c>
      <c r="C1442" s="4" t="inlineStr">
        <is>
          <t>A26</t>
        </is>
      </c>
      <c r="D1442" s="4" t="inlineStr">
        <is>
          <t>Collect, shred and SELL</t>
        </is>
      </c>
      <c r="E1442" s="4" t="inlineStr">
        <is>
          <t>Collect, shred and SELL</t>
        </is>
      </c>
      <c r="F1442" s="4" t="inlineStr">
        <is>
          <t>GOC Bed Unit-Costing Model v2 — working original.xlsx</t>
        </is>
      </c>
    </row>
    <row r="1443" ht="40" customHeight="1">
      <c r="A1443" s="4" t="inlineStr">
        <is>
          <t>original:Community Economics!B26</t>
        </is>
      </c>
      <c r="B1443" s="4" t="inlineStr">
        <is>
          <t>Community Economics</t>
        </is>
      </c>
      <c r="C1443" s="4" t="inlineStr">
        <is>
          <t>B26</t>
        </is>
      </c>
      <c r="D1443" s="4" t="n">
        <v>56600</v>
      </c>
      <c r="E1443" s="4" t="n">
        <v>56600</v>
      </c>
      <c r="F1443" s="4" t="inlineStr">
        <is>
          <t>GOC Bed Unit-Costing Model v2 — working original.xlsx</t>
        </is>
      </c>
    </row>
    <row r="1444" ht="40" customHeight="1">
      <c r="A1444" s="4" t="inlineStr">
        <is>
          <t>original:Community Economics!C26</t>
        </is>
      </c>
      <c r="B1444" s="4" t="inlineStr">
        <is>
          <t>Community Economics</t>
        </is>
      </c>
      <c r="C1444" s="4" t="inlineStr">
        <is>
          <t>C26</t>
        </is>
      </c>
      <c r="D1444" s="4" t="n">
        <v>103300</v>
      </c>
      <c r="E1444" s="4" t="n">
        <v>103300</v>
      </c>
      <c r="F1444" s="4" t="inlineStr">
        <is>
          <t>GOC Bed Unit-Costing Model v2 — working original.xlsx</t>
        </is>
      </c>
    </row>
    <row r="1445" ht="40" customHeight="1">
      <c r="A1445" s="4" t="inlineStr">
        <is>
          <t>original:Community Economics!D26</t>
        </is>
      </c>
      <c r="B1445" s="4" t="inlineStr">
        <is>
          <t>Community Economics</t>
        </is>
      </c>
      <c r="C1445" s="4" t="inlineStr">
        <is>
          <t>D26</t>
        </is>
      </c>
      <c r="D1445" s="4" t="n">
        <v>175500</v>
      </c>
      <c r="E1445" s="4" t="n">
        <v>175500</v>
      </c>
      <c r="F1445" s="4" t="inlineStr">
        <is>
          <t>GOC Bed Unit-Costing Model v2 — working original.xlsx</t>
        </is>
      </c>
    </row>
    <row r="1446" ht="40" customHeight="1">
      <c r="A1446" s="4" t="inlineStr">
        <is>
          <t>original:Community Economics!E26</t>
        </is>
      </c>
      <c r="B1446" s="4" t="inlineStr">
        <is>
          <t>Community Economics</t>
        </is>
      </c>
      <c r="C1446" s="4" t="inlineStr">
        <is>
          <t>E26</t>
        </is>
      </c>
      <c r="D1446" s="4" t="n">
        <v>52843</v>
      </c>
      <c r="E1446" s="4" t="n">
        <v>52843</v>
      </c>
      <c r="F1446" s="4" t="inlineStr">
        <is>
          <t>GOC Bed Unit-Costing Model v2 — working original.xlsx</t>
        </is>
      </c>
    </row>
    <row r="1447" ht="40" customHeight="1">
      <c r="A1447" s="4" t="inlineStr">
        <is>
          <t>original:Community Economics!F26</t>
        </is>
      </c>
      <c r="B1447" s="4" t="inlineStr">
        <is>
          <t>Community Economics</t>
        </is>
      </c>
      <c r="C1447" s="4" t="inlineStr">
        <is>
          <t>F26</t>
        </is>
      </c>
      <c r="D1447" s="4" t="n">
        <v>122657</v>
      </c>
      <c r="E1447" s="4" t="n">
        <v>122657</v>
      </c>
      <c r="F1447" s="4" t="inlineStr">
        <is>
          <t>GOC Bed Unit-Costing Model v2 — working original.xlsx</t>
        </is>
      </c>
    </row>
    <row r="1448" ht="40" customHeight="1">
      <c r="A1448" s="4" t="inlineStr">
        <is>
          <t>original:Community Economics!A27</t>
        </is>
      </c>
      <c r="B1448" s="4" t="inlineStr">
        <is>
          <t>Community Economics</t>
        </is>
      </c>
      <c r="C1448" s="4" t="inlineStr">
        <is>
          <t>A27</t>
        </is>
      </c>
      <c r="D1448" s="4" t="inlineStr">
        <is>
          <t>Collect, shred and PRESS</t>
        </is>
      </c>
      <c r="E1448" s="4" t="inlineStr">
        <is>
          <t>Collect, shred and PRESS</t>
        </is>
      </c>
      <c r="F1448" s="4" t="inlineStr">
        <is>
          <t>GOC Bed Unit-Costing Model v2 — working original.xlsx</t>
        </is>
      </c>
    </row>
    <row r="1449" ht="40" customHeight="1">
      <c r="A1449" s="4" t="inlineStr">
        <is>
          <t>original:Community Economics!B27</t>
        </is>
      </c>
      <c r="B1449" s="4" t="inlineStr">
        <is>
          <t>Community Economics</t>
        </is>
      </c>
      <c r="C1449" s="4" t="inlineStr">
        <is>
          <t>B27</t>
        </is>
      </c>
      <c r="D1449" s="4" t="n">
        <v>89380</v>
      </c>
      <c r="E1449" s="4" t="n">
        <v>89380</v>
      </c>
      <c r="F1449" s="4" t="inlineStr">
        <is>
          <t>GOC Bed Unit-Costing Model v2 — working original.xlsx</t>
        </is>
      </c>
    </row>
    <row r="1450" ht="40" customHeight="1">
      <c r="A1450" s="4" t="inlineStr">
        <is>
          <t>original:Community Economics!C27</t>
        </is>
      </c>
      <c r="B1450" s="4" t="inlineStr">
        <is>
          <t>Community Economics</t>
        </is>
      </c>
      <c r="C1450" s="4" t="inlineStr">
        <is>
          <t>C27</t>
        </is>
      </c>
      <c r="D1450" s="4" t="n">
        <v>136080</v>
      </c>
      <c r="E1450" s="4" t="n">
        <v>136080</v>
      </c>
      <c r="F1450" s="4" t="inlineStr">
        <is>
          <t>GOC Bed Unit-Costing Model v2 — working original.xlsx</t>
        </is>
      </c>
    </row>
    <row r="1451" ht="40" customHeight="1">
      <c r="A1451" s="4" t="inlineStr">
        <is>
          <t>original:Community Economics!D27</t>
        </is>
      </c>
      <c r="B1451" s="4" t="inlineStr">
        <is>
          <t>Community Economics</t>
        </is>
      </c>
      <c r="C1451" s="4" t="inlineStr">
        <is>
          <t>D27</t>
        </is>
      </c>
      <c r="D1451" s="4" t="n">
        <v>154822.5</v>
      </c>
      <c r="E1451" s="4" t="n">
        <v>154822.5</v>
      </c>
      <c r="F1451" s="4" t="inlineStr">
        <is>
          <t>GOC Bed Unit-Costing Model v2 — working original.xlsx</t>
        </is>
      </c>
    </row>
    <row r="1452" ht="40" customHeight="1">
      <c r="A1452" s="4" t="inlineStr">
        <is>
          <t>original:Community Economics!E27</t>
        </is>
      </c>
      <c r="B1452" s="4" t="inlineStr">
        <is>
          <t>Community Economics</t>
        </is>
      </c>
      <c r="C1452" s="4" t="inlineStr">
        <is>
          <t>E27</t>
        </is>
      </c>
      <c r="D1452" s="4" t="n">
        <v>71081</v>
      </c>
      <c r="E1452" s="4" t="n">
        <v>71081</v>
      </c>
      <c r="F1452" s="4" t="inlineStr">
        <is>
          <t>GOC Bed Unit-Costing Model v2 — working original.xlsx</t>
        </is>
      </c>
    </row>
    <row r="1453" ht="40" customHeight="1">
      <c r="A1453" s="4" t="inlineStr">
        <is>
          <t>original:Community Economics!F27</t>
        </is>
      </c>
      <c r="B1453" s="4" t="inlineStr">
        <is>
          <t>Community Economics</t>
        </is>
      </c>
      <c r="C1453" s="4" t="inlineStr">
        <is>
          <t>F27</t>
        </is>
      </c>
      <c r="D1453" s="4" t="n">
        <v>83741.5</v>
      </c>
      <c r="E1453" s="4" t="n">
        <v>83741.5</v>
      </c>
      <c r="F1453" s="4" t="inlineStr">
        <is>
          <t>GOC Bed Unit-Costing Model v2 — working original.xlsx</t>
        </is>
      </c>
    </row>
    <row r="1454" ht="40" customHeight="1">
      <c r="A1454" s="4" t="inlineStr">
        <is>
          <t>original:Community Economics!A28</t>
        </is>
      </c>
      <c r="B1454" s="4" t="inlineStr">
        <is>
          <t>Community Economics</t>
        </is>
      </c>
      <c r="C1454" s="4" t="inlineStr">
        <is>
          <t>A28</t>
        </is>
      </c>
      <c r="D1454" s="4" t="inlineStr">
        <is>
          <t>Sell and deliver only, no plant</t>
        </is>
      </c>
      <c r="E1454" s="4" t="inlineStr">
        <is>
          <t>Sell and deliver only, no plant</t>
        </is>
      </c>
      <c r="F1454" s="4" t="inlineStr">
        <is>
          <t>GOC Bed Unit-Costing Model v2 — working original.xlsx</t>
        </is>
      </c>
    </row>
    <row r="1455" ht="40" customHeight="1">
      <c r="A1455" s="4" t="inlineStr">
        <is>
          <t>original:Community Economics!B28</t>
        </is>
      </c>
      <c r="B1455" s="4" t="inlineStr">
        <is>
          <t>Community Economics</t>
        </is>
      </c>
      <c r="C1455" s="4" t="inlineStr">
        <is>
          <t>B28</t>
        </is>
      </c>
      <c r="D1455" s="4" t="n">
        <v>31800</v>
      </c>
      <c r="E1455" s="4" t="n">
        <v>31800</v>
      </c>
      <c r="F1455" s="4" t="inlineStr">
        <is>
          <t>GOC Bed Unit-Costing Model v2 — working original.xlsx</t>
        </is>
      </c>
    </row>
    <row r="1456" ht="40" customHeight="1">
      <c r="A1456" s="4" t="inlineStr">
        <is>
          <t>original:Community Economics!C28</t>
        </is>
      </c>
      <c r="B1456" s="4" t="inlineStr">
        <is>
          <t>Community Economics</t>
        </is>
      </c>
      <c r="C1456" s="4" t="inlineStr">
        <is>
          <t>C28</t>
        </is>
      </c>
      <c r="D1456" s="4" t="n">
        <v>64000</v>
      </c>
      <c r="E1456" s="4" t="n">
        <v>64000</v>
      </c>
      <c r="F1456" s="4" t="inlineStr">
        <is>
          <t>GOC Bed Unit-Costing Model v2 — working original.xlsx</t>
        </is>
      </c>
    </row>
    <row r="1457" ht="40" customHeight="1">
      <c r="A1457" s="4" t="inlineStr">
        <is>
          <t>original:Community Economics!D28</t>
        </is>
      </c>
      <c r="B1457" s="4" t="inlineStr">
        <is>
          <t>Community Economics</t>
        </is>
      </c>
      <c r="C1457" s="4" t="inlineStr">
        <is>
          <t>D28</t>
        </is>
      </c>
      <c r="D1457" s="4" t="n">
        <v>157500</v>
      </c>
      <c r="E1457" s="4" t="n">
        <v>157500</v>
      </c>
      <c r="F1457" s="4" t="inlineStr">
        <is>
          <t>GOC Bed Unit-Costing Model v2 — working original.xlsx</t>
        </is>
      </c>
    </row>
    <row r="1458" ht="40" customHeight="1">
      <c r="A1458" s="4" t="inlineStr">
        <is>
          <t>original:Community Economics!E28</t>
        </is>
      </c>
      <c r="B1458" s="4" t="inlineStr">
        <is>
          <t>Community Economics</t>
        </is>
      </c>
      <c r="C1458" s="4" t="inlineStr">
        <is>
          <t>E28</t>
        </is>
      </c>
      <c r="D1458" s="4" t="n">
        <v>36800</v>
      </c>
      <c r="E1458" s="4" t="n">
        <v>36800</v>
      </c>
      <c r="F1458" s="4" t="inlineStr">
        <is>
          <t>GOC Bed Unit-Costing Model v2 — working original.xlsx</t>
        </is>
      </c>
    </row>
    <row r="1459" ht="40" customHeight="1">
      <c r="A1459" s="4" t="inlineStr">
        <is>
          <t>original:Community Economics!F28</t>
        </is>
      </c>
      <c r="B1459" s="4" t="inlineStr">
        <is>
          <t>Community Economics</t>
        </is>
      </c>
      <c r="C1459" s="4" t="inlineStr">
        <is>
          <t>F28</t>
        </is>
      </c>
      <c r="D1459" s="4" t="n">
        <v>120700</v>
      </c>
      <c r="E1459" s="4" t="n">
        <v>120700</v>
      </c>
      <c r="F1459" s="4" t="inlineStr">
        <is>
          <t>GOC Bed Unit-Costing Model v2 — working original.xlsx</t>
        </is>
      </c>
    </row>
    <row r="1460" ht="40" customHeight="1">
      <c r="A1460" s="4" t="inlineStr">
        <is>
          <t>original:Community Economics!A29</t>
        </is>
      </c>
      <c r="B1460" s="4" t="inlineStr">
        <is>
          <t>Community Economics</t>
        </is>
      </c>
      <c r="C1460" s="4" t="inlineStr">
        <is>
          <t>A29</t>
        </is>
      </c>
      <c r="D1460" s="4" t="inlineStr">
        <is>
          <t>The whole chain</t>
        </is>
      </c>
      <c r="E1460" s="4" t="inlineStr">
        <is>
          <t>The whole chain</t>
        </is>
      </c>
      <c r="F1460" s="4" t="inlineStr">
        <is>
          <t>GOC Bed Unit-Costing Model v2 — working original.xlsx</t>
        </is>
      </c>
    </row>
    <row r="1461" ht="40" customHeight="1">
      <c r="A1461" s="4" t="inlineStr">
        <is>
          <t>original:Community Economics!B29</t>
        </is>
      </c>
      <c r="B1461" s="4" t="inlineStr">
        <is>
          <t>Community Economics</t>
        </is>
      </c>
      <c r="C1461" s="4" t="inlineStr">
        <is>
          <t>B29</t>
        </is>
      </c>
      <c r="D1461" s="4" t="n">
        <v>95767</v>
      </c>
      <c r="E1461" s="4" t="n">
        <v>95767</v>
      </c>
      <c r="F1461" s="4" t="inlineStr">
        <is>
          <t>GOC Bed Unit-Costing Model v2 — working original.xlsx</t>
        </is>
      </c>
    </row>
    <row r="1462" ht="40" customHeight="1">
      <c r="A1462" s="4" t="inlineStr">
        <is>
          <t>original:Community Economics!C29</t>
        </is>
      </c>
      <c r="B1462" s="4" t="inlineStr">
        <is>
          <t>Community Economics</t>
        </is>
      </c>
      <c r="C1462" s="4" t="inlineStr">
        <is>
          <t>C29</t>
        </is>
      </c>
      <c r="D1462" s="4" t="n">
        <v>142467</v>
      </c>
      <c r="E1462" s="4" t="n">
        <v>142467</v>
      </c>
      <c r="F1462" s="4" t="inlineStr">
        <is>
          <t>GOC Bed Unit-Costing Model v2 — working original.xlsx</t>
        </is>
      </c>
    </row>
    <row r="1463" ht="40" customHeight="1">
      <c r="A1463" s="4" t="inlineStr">
        <is>
          <t>original:Community Economics!D29</t>
        </is>
      </c>
      <c r="B1463" s="4" t="inlineStr">
        <is>
          <t>Community Economics</t>
        </is>
      </c>
      <c r="C1463" s="4" t="inlineStr">
        <is>
          <t>D29</t>
        </is>
      </c>
      <c r="D1463" s="4" t="n">
        <v>337500</v>
      </c>
      <c r="E1463" s="4" t="n">
        <v>337500</v>
      </c>
      <c r="F1463" s="4" t="inlineStr">
        <is>
          <t>GOC Bed Unit-Costing Model v2 — working original.xlsx</t>
        </is>
      </c>
    </row>
    <row r="1464" ht="40" customHeight="1">
      <c r="A1464" s="4" t="inlineStr">
        <is>
          <t>original:Community Economics!E29</t>
        </is>
      </c>
      <c r="B1464" s="4" t="inlineStr">
        <is>
          <t>Community Economics</t>
        </is>
      </c>
      <c r="C1464" s="4" t="inlineStr">
        <is>
          <t>E29</t>
        </is>
      </c>
      <c r="D1464" s="4" t="n">
        <v>79333</v>
      </c>
      <c r="E1464" s="4" t="n">
        <v>79333</v>
      </c>
      <c r="F1464" s="4" t="inlineStr">
        <is>
          <t>GOC Bed Unit-Costing Model v2 — working original.xlsx</t>
        </is>
      </c>
    </row>
    <row r="1465" ht="40" customHeight="1">
      <c r="A1465" s="4" t="inlineStr">
        <is>
          <t>original:Community Economics!F29</t>
        </is>
      </c>
      <c r="B1465" s="4" t="inlineStr">
        <is>
          <t>Community Economics</t>
        </is>
      </c>
      <c r="C1465" s="4" t="inlineStr">
        <is>
          <t>F29</t>
        </is>
      </c>
      <c r="D1465" s="4" t="n">
        <v>258167</v>
      </c>
      <c r="E1465" s="4" t="n">
        <v>258167</v>
      </c>
      <c r="F1465" s="4" t="inlineStr">
        <is>
          <t>GOC Bed Unit-Costing Model v2 — working original.xlsx</t>
        </is>
      </c>
    </row>
    <row r="1466" ht="165" customHeight="1">
      <c r="A1466" s="4" t="inlineStr">
        <is>
          <t>original:Community Economics!A30</t>
        </is>
      </c>
      <c r="B1466" s="4" t="inlineStr">
        <is>
          <t>Community Economics</t>
        </is>
      </c>
      <c r="C1466" s="4" t="inlineStr">
        <is>
          <t>A30</t>
        </is>
      </c>
      <c r="D1466" s="4" t="inlineStr">
        <is>
          <t>THE FINDING: selling is worth MORE than pressing and needs NO extra capex, because the site base is already there. Two decisions sit behind it that are not ours alone - what a community pays for a finished bed, and who carries freight.</t>
        </is>
      </c>
      <c r="E1466" s="4" t="inlineStr">
        <is>
          <t>THE FINDING: selling is worth MORE than pressing and needs NO extra capex, because the site base is already there. Two decisions sit behind it that are not ours alone - what a community pays for a finished bed, and who carries freight.</t>
        </is>
      </c>
      <c r="F1466" s="4" t="inlineStr">
        <is>
          <t>GOC Bed Unit-Costing Model v2 — working original.xlsx</t>
        </is>
      </c>
    </row>
    <row r="1467" ht="60" customHeight="1">
      <c r="A1467" s="4" t="inlineStr">
        <is>
          <t>original:Community Economics!A32</t>
        </is>
      </c>
      <c r="B1467" s="4" t="inlineStr">
        <is>
          <t>Community Economics</t>
        </is>
      </c>
      <c r="C1467" s="4" t="inlineStr">
        <is>
          <t>A32</t>
        </is>
      </c>
      <c r="D1467" s="4" t="inlineStr">
        <is>
          <t>4. THE NETWORK FEE - why the third site is in the FIRST community's interest</t>
        </is>
      </c>
      <c r="E1467" s="4" t="inlineStr">
        <is>
          <t>4. THE NETWORK FEE - why the third site is in the FIRST community's interest</t>
        </is>
      </c>
      <c r="F1467" s="4" t="inlineStr">
        <is>
          <t>GOC Bed Unit-Costing Model v2 — working original.xlsx</t>
        </is>
      </c>
    </row>
    <row r="1468" ht="165" customHeight="1">
      <c r="A1468" s="4" t="inlineStr">
        <is>
          <t>original:Community Economics!A33</t>
        </is>
      </c>
      <c r="B1468" s="4" t="inlineStr">
        <is>
          <t>Community Economics</t>
        </is>
      </c>
      <c r="C1468" s="4" t="inlineStr">
        <is>
          <t>A33</t>
        </is>
      </c>
      <c r="D1468" s="4" t="inlineStr">
        <is>
          <t>The shared team behind every site costs $109,500/yr whether there is one site or five. So every community that joins makes every other community's share smaller. NOT AGREED WITH ANY COMMUNITY - this is the arithmetic, not an offer.</t>
        </is>
      </c>
      <c r="E1468" s="4" t="inlineStr">
        <is>
          <t>The shared team behind every site costs $109,500/yr whether there is one site or five. So every community that joins makes every other community's share smaller. NOT AGREED WITH ANY COMMUNITY - this is the arithmetic, not an offer.</t>
        </is>
      </c>
      <c r="F1468" s="4" t="inlineStr">
        <is>
          <t>GOC Bed Unit-Costing Model v2 — working original.xlsx</t>
        </is>
      </c>
    </row>
    <row r="1469" ht="40" customHeight="1">
      <c r="A1469" s="4" t="inlineStr">
        <is>
          <t>original:Community Economics!A34</t>
        </is>
      </c>
      <c r="B1469" s="4" t="inlineStr">
        <is>
          <t>Community Economics</t>
        </is>
      </c>
      <c r="C1469" s="4" t="inlineStr">
        <is>
          <t>A34</t>
        </is>
      </c>
      <c r="D1469" s="4" t="inlineStr">
        <is>
          <t>Sites in the network</t>
        </is>
      </c>
      <c r="E1469" s="4" t="inlineStr">
        <is>
          <t>Sites in the network</t>
        </is>
      </c>
      <c r="F1469" s="4" t="inlineStr">
        <is>
          <t>GOC Bed Unit-Costing Model v2 — working original.xlsx</t>
        </is>
      </c>
    </row>
    <row r="1470" ht="40" customHeight="1">
      <c r="A1470" s="4" t="inlineStr">
        <is>
          <t>original:Community Economics!B34</t>
        </is>
      </c>
      <c r="B1470" s="4" t="inlineStr">
        <is>
          <t>Community Economics</t>
        </is>
      </c>
      <c r="C1470" s="4" t="inlineStr">
        <is>
          <t>B34</t>
        </is>
      </c>
      <c r="D1470" s="4" t="inlineStr">
        <is>
          <t>Shared cost per site $</t>
        </is>
      </c>
      <c r="E1470" s="4" t="inlineStr">
        <is>
          <t>Shared cost per site $</t>
        </is>
      </c>
      <c r="F1470" s="4" t="inlineStr">
        <is>
          <t>GOC Bed Unit-Costing Model v2 — working original.xlsx</t>
        </is>
      </c>
    </row>
    <row r="1471" ht="40" customHeight="1">
      <c r="A1471" s="4" t="inlineStr">
        <is>
          <t>original:Community Economics!A35</t>
        </is>
      </c>
      <c r="B1471" s="4" t="inlineStr">
        <is>
          <t>Community Economics</t>
        </is>
      </c>
      <c r="C1471" s="4" t="inlineStr">
        <is>
          <t>A35</t>
        </is>
      </c>
      <c r="D1471" s="4" t="n">
        <v>1</v>
      </c>
      <c r="E1471" s="4" t="n">
        <v>1</v>
      </c>
      <c r="F1471" s="4" t="inlineStr">
        <is>
          <t>GOC Bed Unit-Costing Model v2 — working original.xlsx</t>
        </is>
      </c>
    </row>
    <row r="1472" ht="40" customHeight="1">
      <c r="A1472" s="4" t="inlineStr">
        <is>
          <t>original:Community Economics!B35</t>
        </is>
      </c>
      <c r="B1472" s="4" t="inlineStr">
        <is>
          <t>Community Economics</t>
        </is>
      </c>
      <c r="C1472" s="4" t="inlineStr">
        <is>
          <t>B35</t>
        </is>
      </c>
      <c r="D1472" s="4" t="n">
        <v>109500</v>
      </c>
      <c r="E1472" s="4" t="n">
        <v>109500</v>
      </c>
      <c r="F1472" s="4" t="inlineStr">
        <is>
          <t>GOC Bed Unit-Costing Model v2 — working original.xlsx</t>
        </is>
      </c>
    </row>
    <row r="1473" ht="40" customHeight="1">
      <c r="A1473" s="4" t="inlineStr">
        <is>
          <t>original:Community Economics!A36</t>
        </is>
      </c>
      <c r="B1473" s="4" t="inlineStr">
        <is>
          <t>Community Economics</t>
        </is>
      </c>
      <c r="C1473" s="4" t="inlineStr">
        <is>
          <t>A36</t>
        </is>
      </c>
      <c r="D1473" s="4" t="n">
        <v>2</v>
      </c>
      <c r="E1473" s="4" t="n">
        <v>2</v>
      </c>
      <c r="F1473" s="4" t="inlineStr">
        <is>
          <t>GOC Bed Unit-Costing Model v2 — working original.xlsx</t>
        </is>
      </c>
    </row>
    <row r="1474" ht="40" customHeight="1">
      <c r="A1474" s="4" t="inlineStr">
        <is>
          <t>original:Community Economics!B36</t>
        </is>
      </c>
      <c r="B1474" s="4" t="inlineStr">
        <is>
          <t>Community Economics</t>
        </is>
      </c>
      <c r="C1474" s="4" t="inlineStr">
        <is>
          <t>B36</t>
        </is>
      </c>
      <c r="D1474" s="4" t="n">
        <v>54750</v>
      </c>
      <c r="E1474" s="4" t="n">
        <v>54750</v>
      </c>
      <c r="F1474" s="4" t="inlineStr">
        <is>
          <t>GOC Bed Unit-Costing Model v2 — working original.xlsx</t>
        </is>
      </c>
    </row>
    <row r="1475" ht="40" customHeight="1">
      <c r="A1475" s="4" t="inlineStr">
        <is>
          <t>original:Community Economics!A37</t>
        </is>
      </c>
      <c r="B1475" s="4" t="inlineStr">
        <is>
          <t>Community Economics</t>
        </is>
      </c>
      <c r="C1475" s="4" t="inlineStr">
        <is>
          <t>A37</t>
        </is>
      </c>
      <c r="D1475" s="4" t="n">
        <v>3</v>
      </c>
      <c r="E1475" s="4" t="n">
        <v>3</v>
      </c>
      <c r="F1475" s="4" t="inlineStr">
        <is>
          <t>GOC Bed Unit-Costing Model v2 — working original.xlsx</t>
        </is>
      </c>
    </row>
    <row r="1476" ht="40" customHeight="1">
      <c r="A1476" s="4" t="inlineStr">
        <is>
          <t>original:Community Economics!B37</t>
        </is>
      </c>
      <c r="B1476" s="4" t="inlineStr">
        <is>
          <t>Community Economics</t>
        </is>
      </c>
      <c r="C1476" s="4" t="inlineStr">
        <is>
          <t>B37</t>
        </is>
      </c>
      <c r="D1476" s="4" t="n">
        <v>36500</v>
      </c>
      <c r="E1476" s="4" t="n">
        <v>36500</v>
      </c>
      <c r="F1476" s="4" t="inlineStr">
        <is>
          <t>GOC Bed Unit-Costing Model v2 — working original.xlsx</t>
        </is>
      </c>
    </row>
    <row r="1477" ht="40" customHeight="1">
      <c r="A1477" s="4" t="inlineStr">
        <is>
          <t>original:Community Economics!A38</t>
        </is>
      </c>
      <c r="B1477" s="4" t="inlineStr">
        <is>
          <t>Community Economics</t>
        </is>
      </c>
      <c r="C1477" s="4" t="inlineStr">
        <is>
          <t>A38</t>
        </is>
      </c>
      <c r="D1477" s="4" t="n">
        <v>4</v>
      </c>
      <c r="E1477" s="4" t="n">
        <v>4</v>
      </c>
      <c r="F1477" s="4" t="inlineStr">
        <is>
          <t>GOC Bed Unit-Costing Model v2 — working original.xlsx</t>
        </is>
      </c>
    </row>
    <row r="1478" ht="40" customHeight="1">
      <c r="A1478" s="4" t="inlineStr">
        <is>
          <t>original:Community Economics!B38</t>
        </is>
      </c>
      <c r="B1478" s="4" t="inlineStr">
        <is>
          <t>Community Economics</t>
        </is>
      </c>
      <c r="C1478" s="4" t="inlineStr">
        <is>
          <t>B38</t>
        </is>
      </c>
      <c r="D1478" s="4" t="n">
        <v>27375</v>
      </c>
      <c r="E1478" s="4" t="n">
        <v>27375</v>
      </c>
      <c r="F1478" s="4" t="inlineStr">
        <is>
          <t>GOC Bed Unit-Costing Model v2 — working original.xlsx</t>
        </is>
      </c>
    </row>
    <row r="1479" ht="40" customHeight="1">
      <c r="A1479" s="4" t="inlineStr">
        <is>
          <t>original:Community Economics!A40</t>
        </is>
      </c>
      <c r="B1479" s="4" t="inlineStr">
        <is>
          <t>Community Economics</t>
        </is>
      </c>
      <c r="C1479" s="4" t="inlineStr">
        <is>
          <t>A40</t>
        </is>
      </c>
      <c r="D1479" s="4" t="inlineStr">
        <is>
          <t>5. WHAT THIS MODEL DELIBERATELY WILL NOT SAY</t>
        </is>
      </c>
      <c r="E1479" s="4" t="inlineStr">
        <is>
          <t>5. WHAT THIS MODEL DELIBERATELY WILL NOT SAY</t>
        </is>
      </c>
      <c r="F1479" s="4" t="inlineStr">
        <is>
          <t>GOC Bed Unit-Costing Model v2 — working original.xlsx</t>
        </is>
      </c>
    </row>
    <row r="1480" ht="165" customHeight="1">
      <c r="A1480" s="4" t="inlineStr">
        <is>
          <t>original:Community Economics!A41</t>
        </is>
      </c>
      <c r="B1480" s="4" t="inlineStr">
        <is>
          <t>Community Economics</t>
        </is>
      </c>
      <c r="C1480" s="4" t="inlineStr">
        <is>
          <t>A41</t>
        </is>
      </c>
      <c r="D1480" s="4" t="inlineStr">
        <is>
          <t>It never splits the money arriving at a community into wages and surplus. That split is the community's decision, and a model that guesses it repeats exactly the mistake this tab replaces: putting a number where a conversation belongs.</t>
        </is>
      </c>
      <c r="E1480" s="4" t="inlineStr">
        <is>
          <t>It never splits the money arriving at a community into wages and surplus. That split is the community's decision, and a model that guesses it repeats exactly the mistake this tab replaces: putting a number where a conversation belongs.</t>
        </is>
      </c>
      <c r="F1480" s="4" t="inlineStr">
        <is>
          <t>GOC Bed Unit-Costing Model v2 — working original.xlsx</t>
        </is>
      </c>
    </row>
    <row r="1481" ht="60" customHeight="1">
      <c r="A1481" s="4" t="inlineStr">
        <is>
          <t>original:Community Economics!A42</t>
        </is>
      </c>
      <c r="B1481" s="4" t="inlineStr">
        <is>
          <t>Community Economics</t>
        </is>
      </c>
      <c r="C1481" s="4" t="inlineStr">
        <is>
          <t>A42</t>
        </is>
      </c>
      <c r="D1481" s="4" t="inlineStr">
        <is>
          <t>It does not cost bought-in feedstock for a pathway that starts partway down the chain.</t>
        </is>
      </c>
      <c r="E1481" s="4" t="inlineStr">
        <is>
          <t>It does not cost bought-in feedstock for a pathway that starts partway down the chain.</t>
        </is>
      </c>
      <c r="F1481" s="4" t="inlineStr">
        <is>
          <t>GOC Bed Unit-Costing Model v2 — working original.xlsx</t>
        </is>
      </c>
    </row>
    <row r="1482" ht="60" customHeight="1">
      <c r="A1482" s="4" t="inlineStr">
        <is>
          <t>original:Community Economics!A43</t>
        </is>
      </c>
      <c r="B1482" s="4" t="inlineStr">
        <is>
          <t>Community Economics</t>
        </is>
      </c>
      <c r="C1482" s="4" t="inlineStr">
        <is>
          <t>A43</t>
        </is>
      </c>
      <c r="D1482" s="4" t="inlineStr">
        <is>
          <t>It does not price a site base for a community that asked for no production modules.</t>
        </is>
      </c>
      <c r="E1482" s="4" t="inlineStr">
        <is>
          <t>It does not price a site base for a community that asked for no production modules.</t>
        </is>
      </c>
      <c r="F1482" s="4" t="inlineStr">
        <is>
          <t>GOC Bed Unit-Costing Model v2 — working original.xlsx</t>
        </is>
      </c>
    </row>
    <row r="1483" ht="40" customHeight="1">
      <c r="A1483" s="4" t="inlineStr">
        <is>
          <t>original:Notes!A1</t>
        </is>
      </c>
      <c r="B1483" s="4" t="inlineStr">
        <is>
          <t>Notes</t>
        </is>
      </c>
      <c r="C1483" s="4" t="inlineStr">
        <is>
          <t>A1</t>
        </is>
      </c>
      <c r="D1483" s="4" t="inlineStr">
        <is>
          <t>Provenance, assumptions &amp; open items (v2)</t>
        </is>
      </c>
      <c r="E1483" s="4" t="inlineStr">
        <is>
          <t>Provenance, assumptions &amp; open items (v2)</t>
        </is>
      </c>
      <c r="F1483" s="4" t="inlineStr">
        <is>
          <t>GOC Bed Unit-Costing Model v2 — working original.xlsx</t>
        </is>
      </c>
    </row>
    <row r="1484" ht="40" customHeight="1">
      <c r="A1484" s="4" t="inlineStr">
        <is>
          <t>original:Notes!A3</t>
        </is>
      </c>
      <c r="B1484" s="4" t="inlineStr">
        <is>
          <t>Notes</t>
        </is>
      </c>
      <c r="C1484" s="4" t="inlineStr">
        <is>
          <t>A3</t>
        </is>
      </c>
      <c r="D1484" s="4" t="inlineStr">
        <is>
          <t>VERSION LOG:</t>
        </is>
      </c>
      <c r="E1484" s="4" t="inlineStr">
        <is>
          <t>VERSION LOG:</t>
        </is>
      </c>
      <c r="F1484" s="4" t="inlineStr">
        <is>
          <t>GOC Bed Unit-Costing Model v2 — working original.xlsx</t>
        </is>
      </c>
    </row>
    <row r="1485" ht="90" customHeight="1">
      <c r="A1485" s="4" t="inlineStr">
        <is>
          <t>original:Notes!A4</t>
        </is>
      </c>
      <c r="B1485" s="4" t="inlineStr">
        <is>
          <t>Notes</t>
        </is>
      </c>
      <c r="C1485" s="4" t="inlineStr">
        <is>
          <t>A4</t>
        </is>
      </c>
      <c r="D1485" s="4" t="inlineStr">
        <is>
          <t xml:space="preserve">  v1 (2026-07-22): single-path model with selector + override. Superseded; kept in folder as GOC Investment Model v1.xlsx.</t>
        </is>
      </c>
      <c r="E1485" s="4" t="inlineStr">
        <is>
          <t xml:space="preserve">  v1 (2026-07-22): single-path model with selector + override. Superseded; kept in folder as GOC Investment Model v1.xlsx.</t>
        </is>
      </c>
      <c r="F1485" s="4" t="inlineStr">
        <is>
          <t>GOC Bed Unit-Costing Model v2 — working original.xlsx</t>
        </is>
      </c>
    </row>
    <row r="1486" ht="135" customHeight="1">
      <c r="A1486" s="4" t="inlineStr">
        <is>
          <t>original:Notes!A5</t>
        </is>
      </c>
      <c r="B1486" s="4" t="inlineStr">
        <is>
          <t>Notes</t>
        </is>
      </c>
      <c r="C1486" s="4" t="inlineStr">
        <is>
          <t>A5</t>
        </is>
      </c>
      <c r="D1486" s="4" t="inlineStr">
        <is>
          <t xml:space="preserve">  v2 (2026-07-22): three production paths run in parallel; per-path cost/contribution/margin; path-specific volumes; breakeven KPI removed (not meaningful under a mixed-path volume model).</t>
        </is>
      </c>
      <c r="E1486" s="4" t="inlineStr">
        <is>
          <t xml:space="preserve">  v2 (2026-07-22): three production paths run in parallel; per-path cost/contribution/margin; path-specific volumes; breakeven KPI removed (not meaningful under a mixed-path volume model).</t>
        </is>
      </c>
      <c r="F1486" s="4" t="inlineStr">
        <is>
          <t>GOC Bed Unit-Costing Model v2 — working original.xlsx</t>
        </is>
      </c>
    </row>
    <row r="1487" ht="75" customHeight="1">
      <c r="A1487" s="4" t="inlineStr">
        <is>
          <t>original:Notes!A7</t>
        </is>
      </c>
      <c r="B1487" s="4" t="inlineStr">
        <is>
          <t>Notes</t>
        </is>
      </c>
      <c r="C1487" s="4" t="inlineStr">
        <is>
          <t>A7</t>
        </is>
      </c>
      <c r="D1487" s="4" t="inlineStr">
        <is>
          <t>SOURCES (project folder, "Goods - Financial Model &amp; QBE Bundle (2026-05)", as-of 2026-05-30, v6 cost model):</t>
        </is>
      </c>
      <c r="E1487" s="4" t="inlineStr">
        <is>
          <t>SOURCES (project folder, "Goods - Financial Model &amp; QBE Bundle (2026-05)", as-of 2026-05-30, v6 cost model):</t>
        </is>
      </c>
      <c r="F1487" s="4" t="inlineStr">
        <is>
          <t>GOC Bed Unit-Costing Model v2 — working original.xlsx</t>
        </is>
      </c>
    </row>
    <row r="1488" ht="60" customHeight="1">
      <c r="A1488" s="4" t="inlineStr">
        <is>
          <t>original:Notes!A8</t>
        </is>
      </c>
      <c r="B1488" s="4" t="inlineStr">
        <is>
          <t>Notes</t>
        </is>
      </c>
      <c r="C1488" s="4" t="inlineStr">
        <is>
          <t>A8</t>
        </is>
      </c>
      <c r="D1488" s="4" t="inlineStr">
        <is>
          <t xml:space="preserve">  01-bill-of-materials.md — verified BOM; steel $27, canvas $93.50, hardware $5.24.</t>
        </is>
      </c>
      <c r="E1488" s="4" t="inlineStr">
        <is>
          <t xml:space="preserve">  01-bill-of-materials.md — verified BOM; steel $27, canvas $93.50, hardware $5.24.</t>
        </is>
      </c>
      <c r="F1488" s="4" t="inlineStr">
        <is>
          <t>GOC Bed Unit-Costing Model v2 — working original.xlsx</t>
        </is>
      </c>
    </row>
    <row r="1489" ht="90" customHeight="1">
      <c r="A1489" s="4" t="inlineStr">
        <is>
          <t>original:Notes!A9</t>
        </is>
      </c>
      <c r="B1489" s="4" t="inlineStr">
        <is>
          <t>Notes</t>
        </is>
      </c>
      <c r="C1489" s="4" t="inlineStr">
        <is>
          <t>A9</t>
        </is>
      </c>
      <c r="D1489" s="4" t="inlineStr">
        <is>
          <t xml:space="preserve">  02-supplier-quotes.md — Defy kit $344.05 (valid 30 Jun 2026), raw shred $2.75/kg delivered; DNA Steel + Centre Canvas valid 31 Dec 2026.</t>
        </is>
      </c>
      <c r="E1489" s="4" t="inlineStr">
        <is>
          <t xml:space="preserve">  02-supplier-quotes.md — Defy kit $344.05 (valid 30 Jun 2026), raw shred $2.75/kg delivered; DNA Steel + Centre Canvas valid 31 Dec 2026.</t>
        </is>
      </c>
      <c r="F1489" s="4" t="inlineStr">
        <is>
          <t>GOC Bed Unit-Costing Model v2 — working original.xlsx</t>
        </is>
      </c>
    </row>
    <row r="1490" ht="75" customHeight="1">
      <c r="A1490" s="4" t="inlineStr">
        <is>
          <t>original:Notes!A10</t>
        </is>
      </c>
      <c r="B1490" s="4" t="inlineStr">
        <is>
          <t>Notes</t>
        </is>
      </c>
      <c r="C1490" s="4" t="inlineStr">
        <is>
          <t>A10</t>
        </is>
      </c>
      <c r="D1490" s="4" t="inlineStr">
        <is>
          <t xml:space="preserve">  03-cost-model-and-build-paths.md — build paths, $109,500 fixed block, equipment capex ranges.</t>
        </is>
      </c>
      <c r="E1490" s="4" t="inlineStr">
        <is>
          <t xml:space="preserve">  03-cost-model-and-build-paths.md — build paths, $109,500 fixed block, equipment capex ranges.</t>
        </is>
      </c>
      <c r="F1490" s="4" t="inlineStr">
        <is>
          <t>GOC Bed Unit-Costing Model v2 — working original.xlsx</t>
        </is>
      </c>
    </row>
    <row r="1491" ht="105" customHeight="1">
      <c r="A1491" s="4" t="inlineStr">
        <is>
          <t>original:Notes!A11</t>
        </is>
      </c>
      <c r="B1491" s="4" t="inlineStr">
        <is>
          <t>Notes</t>
        </is>
      </c>
      <c r="C1491" s="4" t="inlineStr">
        <is>
          <t>A11</t>
        </is>
      </c>
      <c r="D1491" s="4" t="inlineStr">
        <is>
          <t xml:space="preserve">  04-verified-financials.md — founder $560/day locked; capital base case QBE $400K + SEFA $300K + philanthropy $500K; $110,046 already invested.</t>
        </is>
      </c>
      <c r="E1491" s="4" t="inlineStr">
        <is>
          <t xml:space="preserve">  04-verified-financials.md — founder $560/day locked; capital base case QBE $400K + SEFA $300K + philanthropy $500K; $110,046 already invested.</t>
        </is>
      </c>
      <c r="F1491" s="4" t="inlineStr">
        <is>
          <t>GOC Bed Unit-Costing Model v2 — working original.xlsx</t>
        </is>
      </c>
    </row>
    <row r="1492" ht="60" customHeight="1">
      <c r="A1492" s="4" t="inlineStr">
        <is>
          <t>original:Notes!A12</t>
        </is>
      </c>
      <c r="B1492" s="4" t="inlineStr">
        <is>
          <t>Notes</t>
        </is>
      </c>
      <c r="C1492" s="4" t="inlineStr">
        <is>
          <t>A12</t>
        </is>
      </c>
      <c r="D1492" s="4" t="inlineStr">
        <is>
          <t xml:space="preserve">  Capex Estimates sheet — desktop research 2026-07-22, per-line sources &amp; confidence labels.</t>
        </is>
      </c>
      <c r="E1492" s="4" t="inlineStr">
        <is>
          <t xml:space="preserve">  Capex Estimates sheet — desktop research 2026-07-22, per-line sources &amp; confidence labels.</t>
        </is>
      </c>
      <c r="F1492" s="4" t="inlineStr">
        <is>
          <t>GOC Bed Unit-Costing Model v2 — working original.xlsx</t>
        </is>
      </c>
    </row>
    <row r="1493" ht="40" customHeight="1">
      <c r="A1493" s="4" t="inlineStr">
        <is>
          <t>original:Notes!A14</t>
        </is>
      </c>
      <c r="B1493" s="4" t="inlineStr">
        <is>
          <t>Notes</t>
        </is>
      </c>
      <c r="C1493" s="4" t="inlineStr">
        <is>
          <t>A14</t>
        </is>
      </c>
      <c r="D1493" s="4" t="inlineStr">
        <is>
          <t>MODEL LOGIC (v2):</t>
        </is>
      </c>
      <c r="E1493" s="4" t="inlineStr">
        <is>
          <t>MODEL LOGIC (v2):</t>
        </is>
      </c>
      <c r="F1493" s="4" t="inlineStr">
        <is>
          <t>GOC Bed Unit-Costing Model v2 — working original.xlsx</t>
        </is>
      </c>
    </row>
    <row r="1494" ht="90" customHeight="1">
      <c r="A1494" s="4" t="inlineStr">
        <is>
          <t>original:Notes!A15</t>
        </is>
      </c>
      <c r="B1494" s="4" t="inlineStr">
        <is>
          <t>Notes</t>
        </is>
      </c>
      <c r="C1494" s="4" t="inlineStr">
        <is>
          <t>A15</t>
        </is>
      </c>
      <c r="D1494" s="4" t="inlineStr">
        <is>
          <t xml:space="preserve">  Factory-path beds/yr = No. factories x beds/yr per factory. Community-path beds/yr = No. containers x beds/yr per container.</t>
        </is>
      </c>
      <c r="E1494" s="4" t="inlineStr">
        <is>
          <t xml:space="preserve">  Factory-path beds/yr = No. factories x beds/yr per factory. Community-path beds/yr = No. containers x beds/yr per container.</t>
        </is>
      </c>
      <c r="F1494" s="4" t="inlineStr">
        <is>
          <t>GOC Bed Unit-Costing Model v2 — working original.xlsx</t>
        </is>
      </c>
    </row>
    <row r="1495" ht="105" customHeight="1">
      <c r="A1495" s="4" t="inlineStr">
        <is>
          <t>original:Notes!A16</t>
        </is>
      </c>
      <c r="B1495" s="4" t="inlineStr">
        <is>
          <t>Notes</t>
        </is>
      </c>
      <c r="C1495" s="4" t="inlineStr">
        <is>
          <t>A16</t>
        </is>
      </c>
      <c r="D1495" s="4" t="inlineStr">
        <is>
          <t xml:space="preserve">  Kit-path beds/yr = standalone input (no infrastructure); AUTO-TAPERS to zero from the first year in-house capacity (Factory + Community beds) &gt;= the Kit input.</t>
        </is>
      </c>
      <c r="E1495" s="4" t="inlineStr">
        <is>
          <t xml:space="preserve">  Kit-path beds/yr = standalone input (no infrastructure); AUTO-TAPERS to zero from the first year in-house capacity (Factory + Community beds) &gt;= the Kit input.</t>
        </is>
      </c>
      <c r="F1495" s="4" t="inlineStr">
        <is>
          <t>GOC Bed Unit-Costing Model v2 — working original.xlsx</t>
        </is>
      </c>
    </row>
    <row r="1496" ht="60" customHeight="1">
      <c r="A1496" s="4" t="inlineStr">
        <is>
          <t>original:Notes!A17</t>
        </is>
      </c>
      <c r="B1496" s="4" t="inlineStr">
        <is>
          <t>Notes</t>
        </is>
      </c>
      <c r="C1496" s="4" t="inlineStr">
        <is>
          <t>A17</t>
        </is>
      </c>
      <c r="D1496" s="4" t="inlineStr">
        <is>
          <t xml:space="preserve">  Bed costs = sum of (path beds x path cost). Revenue = total beds x single selling price.</t>
        </is>
      </c>
      <c r="E1496" s="4" t="inlineStr">
        <is>
          <t xml:space="preserve">  Bed costs = sum of (path beds x path cost). Revenue = total beds x single selling price.</t>
        </is>
      </c>
      <c r="F1496" s="4" t="inlineStr">
        <is>
          <t>GOC Bed Unit-Costing Model v2 — working original.xlsx</t>
        </is>
      </c>
    </row>
    <row r="1497" ht="105" customHeight="1">
      <c r="A1497" s="4" t="inlineStr">
        <is>
          <t>original:Notes!A18</t>
        </is>
      </c>
      <c r="B1497" s="4" t="inlineStr">
        <is>
          <t>Notes</t>
        </is>
      </c>
      <c r="C1497" s="4" t="inlineStr">
        <is>
          <t>A18</t>
        </is>
      </c>
      <c r="D1497" s="4" t="inlineStr">
        <is>
          <t xml:space="preserve">  Year-1 containers funded by capital stack. From Year 2, a container auto-builds when the self-fund pool (cumulative op surplus less prior self-funded builds)</t>
        </is>
      </c>
      <c r="E1497" s="4" t="inlineStr">
        <is>
          <t xml:space="preserve">  Year-1 containers funded by capital stack. From Year 2, a container auto-builds when the self-fund pool (cumulative op surplus less prior self-funded builds)</t>
        </is>
      </c>
      <c r="F1497" s="4" t="inlineStr">
        <is>
          <t>GOC Bed Unit-Costing Model v2 — working original.xlsx</t>
        </is>
      </c>
    </row>
    <row r="1498" ht="90" customHeight="1">
      <c r="A1498" s="4" t="inlineStr">
        <is>
          <t>original:Notes!A19</t>
        </is>
      </c>
      <c r="B1498" s="4" t="inlineStr">
        <is>
          <t>Notes</t>
        </is>
      </c>
      <c r="C1498" s="4" t="inlineStr">
        <is>
          <t>A19</t>
        </is>
      </c>
      <c r="D1498" s="4" t="inlineStr">
        <is>
          <t xml:space="preserve">  &gt;= total facility build cost, capped at Max new container builds/yr (default 1). New containers produce from their build year.</t>
        </is>
      </c>
      <c r="E1498" s="4" t="inlineStr">
        <is>
          <t xml:space="preserve">  &gt;= total facility build cost, capped at Max new container builds/yr (default 1). New containers produce from their build year.</t>
        </is>
      </c>
      <c r="F1498" s="4" t="inlineStr">
        <is>
          <t>GOC Bed Unit-Costing Model v2 — working original.xlsx</t>
        </is>
      </c>
    </row>
    <row r="1499" ht="75" customHeight="1">
      <c r="A1499" s="4" t="inlineStr">
        <is>
          <t>original:Notes!A20</t>
        </is>
      </c>
      <c r="B1499" s="4" t="inlineStr">
        <is>
          <t>Notes</t>
        </is>
      </c>
      <c r="C1499" s="4" t="inlineStr">
        <is>
          <t>A20</t>
        </is>
      </c>
      <c r="D1499" s="4" t="inlineStr">
        <is>
          <t xml:space="preserve">  Capex expensed in full in build year (no depreciation) — cash-flow view, not statutory P&amp;L.</t>
        </is>
      </c>
      <c r="E1499" s="4" t="inlineStr">
        <is>
          <t xml:space="preserve">  Capex expensed in full in build year (no depreciation) — cash-flow view, not statutory P&amp;L.</t>
        </is>
      </c>
      <c r="F1499" s="4" t="inlineStr">
        <is>
          <t>GOC Bed Unit-Costing Model v2 — working original.xlsx</t>
        </is>
      </c>
    </row>
    <row r="1500" ht="40" customHeight="1">
      <c r="A1500" s="4" t="inlineStr">
        <is>
          <t>original:Notes!A22</t>
        </is>
      </c>
      <c r="B1500" s="4" t="inlineStr">
        <is>
          <t>Notes</t>
        </is>
      </c>
      <c r="C1500" s="4" t="inlineStr">
        <is>
          <t>A22</t>
        </is>
      </c>
      <c r="D1500" s="4" t="inlineStr">
        <is>
          <t>DECISIONS LOG:</t>
        </is>
      </c>
      <c r="E1500" s="4" t="inlineStr">
        <is>
          <t>DECISIONS LOG:</t>
        </is>
      </c>
      <c r="F1500" s="4" t="inlineStr">
        <is>
          <t>GOC Bed Unit-Costing Model v2 — working original.xlsx</t>
        </is>
      </c>
    </row>
    <row r="1501" ht="90" customHeight="1">
      <c r="A1501" s="4" t="inlineStr">
        <is>
          <t>original:Notes!A23</t>
        </is>
      </c>
      <c r="B1501" s="4" t="inlineStr">
        <is>
          <t>Notes</t>
        </is>
      </c>
      <c r="C1501" s="4" t="inlineStr">
        <is>
          <t>A23</t>
        </is>
      </c>
      <c r="D1501" s="4" t="inlineStr">
        <is>
          <t xml:space="preserve">  2026-07-22: genset (~$12,000 ex GST, verified retail) INCLUDED in electrical &amp; safety. Install &amp; training $3,000/site, in-house.</t>
        </is>
      </c>
      <c r="E1501" s="4" t="inlineStr">
        <is>
          <t xml:space="preserve">  2026-07-22: genset (~$12,000 ex GST, verified retail) INCLUDED in electrical &amp; safety. Install &amp; training $3,000/site, in-house.</t>
        </is>
      </c>
      <c r="F1501" s="4" t="inlineStr">
        <is>
          <t>GOC Bed Unit-Costing Model v2 — working original.xlsx</t>
        </is>
      </c>
    </row>
    <row r="1502" ht="105" customHeight="1">
      <c r="A1502" s="4" t="inlineStr">
        <is>
          <t>original:Notes!A24</t>
        </is>
      </c>
      <c r="B1502" s="4" t="inlineStr">
        <is>
          <t>Notes</t>
        </is>
      </c>
      <c r="C1502" s="4" t="inlineStr">
        <is>
          <t>A24</t>
        </is>
      </c>
      <c r="D1502" s="4" t="inlineStr">
        <is>
          <t xml:space="preserve">  2026-07-22: v2 restructure per Matt — per-path volumes; override/used columns and breakeven KPI removed; labour reverts to pure path defaults ($40/$80/$130).</t>
        </is>
      </c>
      <c r="E1502" s="4" t="inlineStr">
        <is>
          <t xml:space="preserve">  2026-07-22: v2 restructure per Matt — per-path volumes; override/used columns and breakeven KPI removed; labour reverts to pure path defaults ($40/$80/$130).</t>
        </is>
      </c>
      <c r="F1502" s="4" t="inlineStr">
        <is>
          <t>GOC Bed Unit-Costing Model v2 — working original.xlsx</t>
        </is>
      </c>
    </row>
    <row r="1503" ht="40" customHeight="1">
      <c r="A1503" s="4" t="inlineStr">
        <is>
          <t>original:Notes!A26</t>
        </is>
      </c>
      <c r="B1503" s="4" t="inlineStr">
        <is>
          <t>Notes</t>
        </is>
      </c>
      <c r="C1503" s="4" t="inlineStr">
        <is>
          <t>A26</t>
        </is>
      </c>
      <c r="D1503" s="4" t="inlineStr">
        <is>
          <t>DELIBERATE EXCLUSIONS / FLAGS:</t>
        </is>
      </c>
      <c r="E1503" s="4" t="inlineStr">
        <is>
          <t>DELIBERATE EXCLUSIONS / FLAGS:</t>
        </is>
      </c>
      <c r="F1503" s="4" t="inlineStr">
        <is>
          <t>GOC Bed Unit-Costing Model v2 — working original.xlsx</t>
        </is>
      </c>
    </row>
    <row r="1504" ht="75" customHeight="1">
      <c r="A1504" s="4" t="inlineStr">
        <is>
          <t>original:Notes!A27</t>
        </is>
      </c>
      <c r="B1504" s="4" t="inlineStr">
        <is>
          <t>Notes</t>
        </is>
      </c>
      <c r="C1504" s="4" t="inlineStr">
        <is>
          <t>A27</t>
        </is>
      </c>
      <c r="D1504" s="4" t="inlineStr">
        <is>
          <t xml:space="preserve">  - Facility rent line ($27,000) added to overheads so total matches v6 fixed block $109,500. Set to 0 to exclude.</t>
        </is>
      </c>
      <c r="E1504" s="4" t="inlineStr">
        <is>
          <t xml:space="preserve">  - Facility rent line ($27,000) added to overheads so total matches v6 fixed block $109,500. Set to 0 to exclude.</t>
        </is>
      </c>
      <c r="F1504" s="4" t="inlineStr">
        <is>
          <t>GOC Bed Unit-Costing Model v2 — working original.xlsx</t>
        </is>
      </c>
    </row>
    <row r="1505" ht="75" customHeight="1">
      <c r="A1505" s="4" t="inlineStr">
        <is>
          <t>original:Notes!A28</t>
        </is>
      </c>
      <c r="B1505" s="4" t="inlineStr">
        <is>
          <t>Notes</t>
        </is>
      </c>
      <c r="C1505" s="4" t="inlineStr">
        <is>
          <t>A28</t>
        </is>
      </c>
      <c r="D1505" s="4" t="inlineStr">
        <is>
          <t xml:space="preserve">  - Founder non-production time ($67,200/yr) EXCLUDED, consistent with v6 basis (cost of capital, not unit cost).</t>
        </is>
      </c>
      <c r="E1505" s="4" t="inlineStr">
        <is>
          <t xml:space="preserve">  - Founder non-production time ($67,200/yr) EXCLUDED, consistent with v6 basis (cost of capital, not unit cost).</t>
        </is>
      </c>
      <c r="F1505" s="4" t="inlineStr">
        <is>
          <t>GOC Bed Unit-Costing Model v2 — working original.xlsx</t>
        </is>
      </c>
    </row>
    <row r="1506" ht="60" customHeight="1">
      <c r="A1506" s="4" t="inlineStr">
        <is>
          <t>original:Notes!A29</t>
        </is>
      </c>
      <c r="B1506" s="4" t="inlineStr">
        <is>
          <t>Notes</t>
        </is>
      </c>
      <c r="C1506" s="4" t="inlineStr">
        <is>
          <t>A29</t>
        </is>
      </c>
      <c r="D1506" s="4" t="inlineStr">
        <is>
          <t xml:space="preserve">  - Capital stack values are PLACEHOLDERS; eligible/match/other split unconfirmed.</t>
        </is>
      </c>
      <c r="E1506" s="4" t="inlineStr">
        <is>
          <t xml:space="preserve">  - Capital stack values are PLACEHOLDERS; eligible/match/other split unconfirmed.</t>
        </is>
      </c>
      <c r="F1506" s="4" t="inlineStr">
        <is>
          <t>GOC Bed Unit-Costing Model v2 — working original.xlsx</t>
        </is>
      </c>
    </row>
    <row r="1507" ht="120" customHeight="1">
      <c r="A1507" s="4" t="inlineStr">
        <is>
          <t>original:Notes!A30</t>
        </is>
      </c>
      <c r="B1507" s="4" t="inlineStr">
        <is>
          <t>Notes</t>
        </is>
      </c>
      <c r="C1507" s="4" t="inlineStr">
        <is>
          <t>A30</t>
        </is>
      </c>
      <c r="D1507" s="4" t="inlineStr">
        <is>
          <t xml:space="preserve">  - Equipment costs are modelled midpoints of $112K-$222K gross range — not firm-quoted. Ventilation, safety-kit and remote final-leg lines are allowances needing quotes.</t>
        </is>
      </c>
      <c r="E1507" s="4" t="inlineStr">
        <is>
          <t xml:space="preserve">  - Equipment costs are modelled midpoints of $112K-$222K gross range — not firm-quoted. Ventilation, safety-kit and remote final-leg lines are allowances needing quotes.</t>
        </is>
      </c>
      <c r="F1507" s="4" t="inlineStr">
        <is>
          <t>GOC Bed Unit-Costing Model v2 — working original.xlsx</t>
        </is>
      </c>
    </row>
    <row r="1508" ht="135" customHeight="1">
      <c r="A1508" s="4" t="inlineStr">
        <is>
          <t>original:Notes!A31</t>
        </is>
      </c>
      <c r="B1508" s="4" t="inlineStr">
        <is>
          <t>Notes</t>
        </is>
      </c>
      <c r="C1508" s="4" t="inlineStr">
        <is>
          <t>A31</t>
        </is>
      </c>
      <c r="D1508" s="4" t="inlineStr">
        <is>
          <t xml:space="preserve">  - No price indexation, cost inflation, working-capital timing, GST, or demand constraint. Volume is capacity-driven; demand check (communities that can absorb ~500 beds/yr) remains open (MAL chat notes).</t>
        </is>
      </c>
      <c r="E1508" s="4" t="inlineStr">
        <is>
          <t xml:space="preserve">  - No price indexation, cost inflation, working-capital timing, GST, or demand constraint. Volume is capacity-driven; demand check (communities that can absorb ~500 beds/yr) remains open (MAL chat notes).</t>
        </is>
      </c>
      <c r="F1508" s="4" t="inlineStr">
        <is>
          <t>GOC Bed Unit-Costing Model v2 — working original.xlsx</t>
        </is>
      </c>
    </row>
    <row r="1509" ht="105" customHeight="1">
      <c r="A1509" s="4" t="inlineStr">
        <is>
          <t>original:Notes!A32</t>
        </is>
      </c>
      <c r="B1509" s="4" t="inlineStr">
        <is>
          <t>Notes</t>
        </is>
      </c>
      <c r="C1509" s="4" t="inlineStr">
        <is>
          <t>A32</t>
        </is>
      </c>
      <c r="D1509" s="4" t="inlineStr">
        <is>
          <t xml:space="preserve">  - Kit auto-taper is a cliff (all-or-nothing), not a glide path: kit volume runs at the input level until in-house capacity covers it, then drops to zero.</t>
        </is>
      </c>
      <c r="E1509" s="4" t="inlineStr">
        <is>
          <t xml:space="preserve">  - Kit auto-taper is a cliff (all-or-nothing), not a glide path: kit volume runs at the input level until in-house capacity covers it, then drops to zero.</t>
        </is>
      </c>
      <c r="F1509" s="4" t="inlineStr">
        <is>
          <t>GOC Bed Unit-Costing Model v2 — working original.xlsx</t>
        </is>
      </c>
    </row>
    <row r="1510" ht="75" customHeight="1">
      <c r="A1510" s="4" t="inlineStr">
        <is>
          <t>original:Notes!A33</t>
        </is>
      </c>
      <c r="B1510" s="4" t="inlineStr">
        <is>
          <t>Notes</t>
        </is>
      </c>
      <c r="C1510" s="4" t="inlineStr">
        <is>
          <t>A33</t>
        </is>
      </c>
      <c r="D1510" s="4" t="inlineStr">
        <is>
          <t xml:space="preserve">  - Historical actuals (~89% grant-funded, $340,585 surplus before founder time) are NOT in this forward model.</t>
        </is>
      </c>
      <c r="E1510" s="4" t="inlineStr">
        <is>
          <t xml:space="preserve">  - Historical actuals (~89% grant-funded, $340,585 surplus before founder time) are NOT in this forward model.</t>
        </is>
      </c>
      <c r="F1510" s="4" t="inlineStr">
        <is>
          <t>GOC Bed Unit-Costing Model v2 — working original.xlsx</t>
        </is>
      </c>
    </row>
    <row r="1511" ht="45" customHeight="1">
      <c r="A1511" s="4" t="inlineStr">
        <is>
          <t>original:Notes!A35</t>
        </is>
      </c>
      <c r="B1511" s="4" t="inlineStr">
        <is>
          <t>Notes</t>
        </is>
      </c>
      <c r="C1511" s="4" t="inlineStr">
        <is>
          <t>A35</t>
        </is>
      </c>
      <c r="D1511" s="4" t="inlineStr">
        <is>
          <t>RECONCILIATION CHECKS (against 03-cost-model v6):</t>
        </is>
      </c>
      <c r="E1511" s="4" t="inlineStr">
        <is>
          <t>RECONCILIATION CHECKS (against 03-cost-model v6):</t>
        </is>
      </c>
      <c r="F1511" s="4" t="inlineStr">
        <is>
          <t>GOC Bed Unit-Costing Model v2 — working original.xlsx</t>
        </is>
      </c>
    </row>
    <row r="1512" ht="90" customHeight="1">
      <c r="A1512" s="4" t="inlineStr">
        <is>
          <t>original:Notes!A36</t>
        </is>
      </c>
      <c r="B1512" s="4" t="inlineStr">
        <is>
          <t>Notes</t>
        </is>
      </c>
      <c r="C1512" s="4" t="inlineStr">
        <is>
          <t>A36</t>
        </is>
      </c>
      <c r="D1512" s="4" t="inlineStr">
        <is>
          <t xml:space="preserve">  Cost per bed row 13: Buy-Kit $684.79 / Factory $425.74 / Community $420.74 = source marginal costs incl. freight. PASS if unedited.</t>
        </is>
      </c>
      <c r="E1512" s="4" t="inlineStr">
        <is>
          <t xml:space="preserve">  Cost per bed row 13: Buy-Kit $684.79 / Factory $425.74 / Community $420.74 = source marginal costs incl. freight. PASS if unedited.</t>
        </is>
      </c>
      <c r="F1512" s="4" t="inlineStr">
        <is>
          <t>GOC Bed Unit-Costing Model v2 — working original.xlsx</t>
        </is>
      </c>
    </row>
    <row r="1513" ht="120" customHeight="1">
      <c r="A1513" s="4" t="inlineStr">
        <is>
          <t>original:Notes!A37</t>
        </is>
      </c>
      <c r="B1513" s="4" t="inlineStr">
        <is>
          <t>Notes</t>
        </is>
      </c>
      <c r="C1513" s="4" t="inlineStr">
        <is>
          <t>A37</t>
        </is>
      </c>
      <c r="D1513" s="4" t="inlineStr">
        <is>
          <t xml:space="preserve">  Contribution at $750: $65.21 / $324.26 / $329.26 per bed. Implied standalone breakevens vs $109,500 fixed block: 1,679 / 338 / 333 beds/yr (not shown in model; v6 §C).</t>
        </is>
      </c>
      <c r="E1513" s="4" t="inlineStr">
        <is>
          <t xml:space="preserve">  Contribution at $750: $65.21 / $324.26 / $329.26 per bed. Implied standalone breakevens vs $109,500 fixed block: 1,679 / 338 / 333 beds/yr (not shown in model; v6 §C).</t>
        </is>
      </c>
      <c r="F1513" s="4" t="inlineStr">
        <is>
          <t>GOC Bed Unit-Costing Model v2 — working original.xlsx</t>
        </is>
      </c>
    </row>
    <row r="1514" ht="90" customHeight="1">
      <c r="A1514" s="4" t="inlineStr">
        <is>
          <t>original:Notes!A39</t>
        </is>
      </c>
      <c r="B1514" s="4" t="inlineStr">
        <is>
          <t>Notes</t>
        </is>
      </c>
      <c r="C1514" s="4" t="inlineStr">
        <is>
          <t>A39</t>
        </is>
      </c>
      <c r="D1514" s="4" t="inlineStr">
        <is>
          <t>v2.1 UPDATE (2026-07-22) - from GoC Q&amp;A parse (Artifact - Cost advisors Q&amp;A, DRAFT founder review, Notion export in folder):</t>
        </is>
      </c>
      <c r="E1514" s="4" t="inlineStr">
        <is>
          <t>v2.1 UPDATE (2026-07-22) - from GoC Q&amp;A parse (Artifact - Cost advisors Q&amp;A, DRAFT founder review, Notion export in folder):</t>
        </is>
      </c>
      <c r="F1514" s="4" t="inlineStr">
        <is>
          <t>GOC Bed Unit-Costing Model v2 — working original.xlsx</t>
        </is>
      </c>
    </row>
    <row r="1515" ht="105" customHeight="1">
      <c r="A1515" s="4" t="inlineStr">
        <is>
          <t>original:Notes!A40</t>
        </is>
      </c>
      <c r="B1515" s="4" t="inlineStr">
        <is>
          <t>Notes</t>
        </is>
      </c>
      <c r="C1515" s="4" t="inlineStr">
        <is>
          <t>A40</t>
        </is>
      </c>
      <c r="D1515" s="4" t="inlineStr">
        <is>
          <t xml:space="preserve">  1. Equipment maintenance added: 5% of equipment subtotal ($167K) per facility per year = $8,350/facility/yr, scaling with (factories + containers).</t>
        </is>
      </c>
      <c r="E1515" s="4" t="inlineStr">
        <is>
          <t xml:space="preserve">  1. Equipment maintenance added: 5% of equipment subtotal ($167K) per facility per year = $8,350/facility/yr, scaling with (factories + containers).</t>
        </is>
      </c>
      <c r="F1515" s="4" t="inlineStr">
        <is>
          <t>GOC Bed Unit-Costing Model v2 — working original.xlsx</t>
        </is>
      </c>
    </row>
    <row r="1516" ht="120" customHeight="1">
      <c r="A1516" s="4" t="inlineStr">
        <is>
          <t>original:Notes!A41</t>
        </is>
      </c>
      <c r="B1516" s="4" t="inlineStr">
        <is>
          <t>Notes</t>
        </is>
      </c>
      <c r="C1516" s="4" t="inlineStr">
        <is>
          <t>A41</t>
        </is>
      </c>
      <c r="D1516" s="4" t="inlineStr">
        <is>
          <t xml:space="preserve">     GoC placeholder basis (Q9: 3-5% pending vendor quotes; covers blades, filters, CNC bits, EnRoute CAM licence, annual service). Replace with quoted figures when they land.</t>
        </is>
      </c>
      <c r="E1516" s="4" t="inlineStr">
        <is>
          <t xml:space="preserve">     GoC placeholder basis (Q9: 3-5% pending vendor quotes; covers blades, filters, CNC bits, EnRoute CAM licence, annual service). Replace with quoted figures when they land.</t>
        </is>
      </c>
      <c r="F1516" s="4" t="inlineStr">
        <is>
          <t>GOC Bed Unit-Costing Model v2 — working original.xlsx</t>
        </is>
      </c>
    </row>
    <row r="1517" ht="90" customHeight="1">
      <c r="A1517" s="4" t="inlineStr">
        <is>
          <t>original:Notes!A42</t>
        </is>
      </c>
      <c r="B1517" s="4" t="inlineStr">
        <is>
          <t>Notes</t>
        </is>
      </c>
      <c r="C1517" s="4" t="inlineStr">
        <is>
          <t>A42</t>
        </is>
      </c>
      <c r="D1517" s="4" t="inlineStr">
        <is>
          <t xml:space="preserve">  2. First-year utilisation ramp added (default 40%): new facilities (and the factory in Year 1) run at partial rate in their first year.</t>
        </is>
      </c>
      <c r="E1517" s="4" t="inlineStr">
        <is>
          <t xml:space="preserve">  2. First-year utilisation ramp added (default 40%): new facilities (and the factory in Year 1) run at partial rate in their first year.</t>
        </is>
      </c>
      <c r="F1517" s="4" t="inlineStr">
        <is>
          <t>GOC Bed Unit-Costing Model v2 — working original.xlsx</t>
        </is>
      </c>
    </row>
    <row r="1518" ht="135" customHeight="1">
      <c r="A1518" s="4" t="inlineStr">
        <is>
          <t>original:Notes!A43</t>
        </is>
      </c>
      <c r="B1518" s="4" t="inlineStr">
        <is>
          <t>Notes</t>
        </is>
      </c>
      <c r="C1518" s="4" t="inlineStr">
        <is>
          <t>A43</t>
        </is>
      </c>
      <c r="D1518" s="4" t="inlineStr">
        <is>
          <t xml:space="preserve">     Basis: GoC production gate (Q3): 100 beds/yr 2026 (1 facility) -&gt; 600/yr 2027 (2 facilities) -&gt; 2,500/yr 2030 (5-6 facilities); also "200 beds per cycle" per containerised facility (cycle undefined).</t>
        </is>
      </c>
      <c r="E1518" s="4" t="inlineStr">
        <is>
          <t xml:space="preserve">     Basis: GoC production gate (Q3): 100 beds/yr 2026 (1 facility) -&gt; 600/yr 2027 (2 facilities) -&gt; 2,500/yr 2030 (5-6 facilities); also "200 beds per cycle" per containerised facility (cycle undefined).</t>
        </is>
      </c>
      <c r="F1518" s="4" t="inlineStr">
        <is>
          <t>GOC Bed Unit-Costing Model v2 — working original.xlsx</t>
        </is>
      </c>
    </row>
    <row r="1519" ht="165" customHeight="1">
      <c r="A1519" s="4" t="inlineStr">
        <is>
          <t>original:Notes!A44</t>
        </is>
      </c>
      <c r="B1519" s="4" t="inlineStr">
        <is>
          <t>Notes</t>
        </is>
      </c>
      <c r="C1519" s="4" t="inlineStr">
        <is>
          <t>A44</t>
        </is>
      </c>
      <c r="D1519" s="4" t="inlineStr">
        <is>
          <t xml:space="preserve">  3. Factory HDPE kept at $55/bed (20kg x $2.75 verified ex Defy INV-1731). OPEN ITEM for Ben: Q&amp;A (Q10) states "we currently buy shredded HDPE at $1-2/kg, 25kg per bed" - inconsistent quantity AND rate; reconcile before investor use.</t>
        </is>
      </c>
      <c r="E1519" s="4" t="inlineStr">
        <is>
          <t xml:space="preserve">  3. Factory HDPE kept at $55/bed (20kg x $2.75 verified ex Defy INV-1731). OPEN ITEM for Ben: Q&amp;A (Q10) states "we currently buy shredded HDPE at $1-2/kg, 25kg per bed" - inconsistent quantity AND rate; reconcile before investor use.</t>
        </is>
      </c>
      <c r="F1519" s="4" t="inlineStr">
        <is>
          <t>GOC Bed Unit-Costing Model v2 — working original.xlsx</t>
        </is>
      </c>
    </row>
    <row r="1520" ht="180" customHeight="1">
      <c r="A1520" s="4" t="inlineStr">
        <is>
          <t>original:Notes!A45</t>
        </is>
      </c>
      <c r="B1520" s="4" t="inlineStr">
        <is>
          <t>Notes</t>
        </is>
      </c>
      <c r="C1520" s="4" t="inlineStr">
        <is>
          <t>A45</t>
        </is>
      </c>
      <c r="D1520" s="4" t="inlineStr">
        <is>
          <t xml:space="preserve">  4. OWNERSHIP FLAG (Q12): the $110,046 "already invested" facility/tooling is NOT GoC-owned (funded $80K TFN + $20K ACT); handover targeted end-Aug 2026. Model never re-charges it, but net-capital-ask framing in the source bundle weakens until handover completes.</t>
        </is>
      </c>
      <c r="E1520" s="4" t="inlineStr">
        <is>
          <t xml:space="preserve">  4. OWNERSHIP FLAG (Q12): the $110,046 "already invested" facility/tooling is NOT GoC-owned (funded $80K TFN + $20K ACT); handover targeted end-Aug 2026. Model never re-charges it, but net-capital-ask framing in the source bundle weakens until handover completes.</t>
        </is>
      </c>
      <c r="F1520" s="4" t="inlineStr">
        <is>
          <t>GOC Bed Unit-Costing Model v2 — working original.xlsx</t>
        </is>
      </c>
    </row>
    <row r="1521" ht="210" customHeight="1">
      <c r="A1521" s="4" t="inlineStr">
        <is>
          <t>original:Notes!A46</t>
        </is>
      </c>
      <c r="B1521" s="4" t="inlineStr">
        <is>
          <t>Notes</t>
        </is>
      </c>
      <c r="C1521" s="4" t="inlineStr">
        <is>
          <t>A46</t>
        </is>
      </c>
      <c r="D1521" s="4" t="inlineStr">
        <is>
          <t xml:space="preserve">  5. UPSIDES DELIBERATELY EXCLUDED (consistent with GoC treatment, Q6/Q11): council paid collection at $2-8/kg (would flip plastic to $40-160/bed REVENUE - a $95-215/bed swing); ADN Street free feedstock offer (transport quote pending); REAL Innovation Fund EOI ($150K supply + $50K/yr support). None contracted.</t>
        </is>
      </c>
      <c r="E1521" s="4" t="inlineStr">
        <is>
          <t xml:space="preserve">  5. UPSIDES DELIBERATELY EXCLUDED (consistent with GoC treatment, Q6/Q11): council paid collection at $2-8/kg (would flip plastic to $40-160/bed REVENUE - a $95-215/bed swing); ADN Street free feedstock offer (transport quote pending); REAL Innovation Fund EOI ($150K supply + $50K/yr support). None contracted.</t>
        </is>
      </c>
      <c r="F1521" s="4" t="inlineStr">
        <is>
          <t>GOC Bed Unit-Costing Model v2 — working original.xlsx</t>
        </is>
      </c>
    </row>
    <row r="1522" ht="90" customHeight="1">
      <c r="A1522" s="4" t="inlineStr">
        <is>
          <t>original:Notes!A47</t>
        </is>
      </c>
      <c r="B1522" s="4" t="inlineStr">
        <is>
          <t>Notes</t>
        </is>
      </c>
      <c r="C1522" s="4" t="inlineStr">
        <is>
          <t>A47</t>
        </is>
      </c>
      <c r="D1522" s="4" t="inlineStr">
        <is>
          <t xml:space="preserve">  6. VALIDATION (Q1): GoC confirms the $109,500 fixed block breakdown exactly as modelled, including the $27,000 facility rent line.</t>
        </is>
      </c>
      <c r="E1522" s="4" t="inlineStr">
        <is>
          <t xml:space="preserve">  6. VALIDATION (Q1): GoC confirms the $109,500 fixed block breakdown exactly as modelled, including the $27,000 facility rent line.</t>
        </is>
      </c>
      <c r="F1522" s="4" t="inlineStr">
        <is>
          <t>GOC Bed Unit-Costing Model v2 — working original.xlsx</t>
        </is>
      </c>
    </row>
    <row r="1523" ht="90" customHeight="1">
      <c r="A1523" s="4" t="inlineStr">
        <is>
          <t>original:Notes!A48</t>
        </is>
      </c>
      <c r="B1523" s="4" t="inlineStr">
        <is>
          <t>Notes</t>
        </is>
      </c>
      <c r="C1523" s="4" t="inlineStr">
        <is>
          <t>A48</t>
        </is>
      </c>
      <c r="D1523" s="4" t="inlineStr">
        <is>
          <t xml:space="preserve">  7. Date correction: capex research and decisions previously stamped 2026-07-05 were made 2026-07-22; stamps corrected.</t>
        </is>
      </c>
      <c r="E1523" s="4" t="inlineStr">
        <is>
          <t xml:space="preserve">  7. Date correction: capex research and decisions previously stamped 2026-07-05 were made 2026-07-22; stamps corrected.</t>
        </is>
      </c>
      <c r="F1523" s="4" t="inlineStr">
        <is>
          <t>GOC Bed Unit-Costing Model v2 — working original.xlsx</t>
        </is>
      </c>
    </row>
    <row r="1524" ht="40" customHeight="1">
      <c r="A1524" s="4" t="inlineStr">
        <is>
          <t>original:NM Play!A1</t>
        </is>
      </c>
      <c r="B1524" s="4" t="inlineStr">
        <is>
          <t>NM Play</t>
        </is>
      </c>
      <c r="C1524" s="4" t="inlineStr">
        <is>
          <t>A1</t>
        </is>
      </c>
      <c r="D1524" s="4" t="inlineStr">
        <is>
          <t>Goods on Country — Investment Model v2</t>
        </is>
      </c>
      <c r="E1524" s="4" t="inlineStr">
        <is>
          <t>Goods on Country — Investment Model v2</t>
        </is>
      </c>
      <c r="F1524" s="4" t="inlineStr">
        <is>
          <t>GOC Bed Unit-Costing Model v2 — working original.xlsx</t>
        </is>
      </c>
    </row>
    <row r="1525" ht="120" customHeight="1">
      <c r="A1525" s="4" t="inlineStr">
        <is>
          <t>original:NM Play!A2</t>
        </is>
      </c>
      <c r="B1525" s="4" t="inlineStr">
        <is>
          <t>NM Play</t>
        </is>
      </c>
      <c r="C1525" s="4" t="inlineStr">
        <is>
          <t>A2</t>
        </is>
      </c>
      <c r="D1525" s="4" t="inlineStr">
        <is>
          <t>Blue = editable input.  Black = formula.  Green = link to another sheet.  All AUD ex-GST. Three production paths run in parallel (set the production path mix in block 4).</t>
        </is>
      </c>
      <c r="E1525" s="4" t="inlineStr">
        <is>
          <t>Blue = editable input.  Black = formula.  Green = link to another sheet.  All AUD ex-GST. Three production paths run in parallel (set the production path mix in block 4).</t>
        </is>
      </c>
      <c r="F1525" s="4" t="inlineStr">
        <is>
          <t>GOC Bed Unit-Costing Model v2 — working original.xlsx</t>
        </is>
      </c>
    </row>
    <row r="1526" ht="40" customHeight="1">
      <c r="A1526" s="4" t="inlineStr">
        <is>
          <t>original:NM Play!A4</t>
        </is>
      </c>
      <c r="B1526" s="4" t="inlineStr">
        <is>
          <t>NM Play</t>
        </is>
      </c>
      <c r="C1526" s="4" t="inlineStr">
        <is>
          <t>A4</t>
        </is>
      </c>
      <c r="D1526" s="4" t="inlineStr">
        <is>
          <t>1. COST PER BED BY PRODUCTION PATH ($/bed)</t>
        </is>
      </c>
      <c r="E1526" s="4" t="inlineStr">
        <is>
          <t>1. COST PER BED BY PRODUCTION PATH ($/bed)</t>
        </is>
      </c>
      <c r="F1526" s="4" t="inlineStr">
        <is>
          <t>GOC Bed Unit-Costing Model v2 — working original.xlsx</t>
        </is>
      </c>
    </row>
    <row r="1527" ht="40" customHeight="1">
      <c r="A1527" s="4" t="inlineStr">
        <is>
          <t>original:NM Play!A5</t>
        </is>
      </c>
      <c r="B1527" s="4" t="inlineStr">
        <is>
          <t>NM Play</t>
        </is>
      </c>
      <c r="C1527" s="4" t="inlineStr">
        <is>
          <t>A5</t>
        </is>
      </c>
      <c r="D1527" s="4" t="inlineStr">
        <is>
          <t>Component</t>
        </is>
      </c>
      <c r="E1527" s="4" t="inlineStr">
        <is>
          <t>Component</t>
        </is>
      </c>
      <c r="F1527" s="4" t="inlineStr">
        <is>
          <t>GOC Bed Unit-Costing Model v2 — working original.xlsx</t>
        </is>
      </c>
    </row>
    <row r="1528" ht="40" customHeight="1">
      <c r="A1528" s="4" t="inlineStr">
        <is>
          <t>original:NM Play!B5</t>
        </is>
      </c>
      <c r="B1528" s="4" t="inlineStr">
        <is>
          <t>NM Play</t>
        </is>
      </c>
      <c r="C1528" s="4" t="inlineStr">
        <is>
          <t>B5</t>
        </is>
      </c>
      <c r="D1528" s="4" t="inlineStr">
        <is>
          <t>Buy-Kit</t>
        </is>
      </c>
      <c r="E1528" s="4" t="inlineStr">
        <is>
          <t>Buy-Kit</t>
        </is>
      </c>
      <c r="F1528" s="4" t="inlineStr">
        <is>
          <t>GOC Bed Unit-Costing Model v2 — working original.xlsx</t>
        </is>
      </c>
    </row>
    <row r="1529" ht="40" customHeight="1">
      <c r="A1529" s="4" t="inlineStr">
        <is>
          <t>original:NM Play!C5</t>
        </is>
      </c>
      <c r="B1529" s="4" t="inlineStr">
        <is>
          <t>NM Play</t>
        </is>
      </c>
      <c r="C1529" s="4" t="inlineStr">
        <is>
          <t>C5</t>
        </is>
      </c>
      <c r="D1529" s="4" t="inlineStr">
        <is>
          <t>Factory - defy sheet</t>
        </is>
      </c>
      <c r="E1529" s="4" t="inlineStr">
        <is>
          <t>Factory - defy sheet</t>
        </is>
      </c>
      <c r="F1529" s="4" t="inlineStr">
        <is>
          <t>GOC Bed Unit-Costing Model v2 — working original.xlsx</t>
        </is>
      </c>
    </row>
    <row r="1530" ht="40" customHeight="1">
      <c r="A1530" s="4" t="inlineStr">
        <is>
          <t>original:NM Play!D5</t>
        </is>
      </c>
      <c r="B1530" s="4" t="inlineStr">
        <is>
          <t>NM Play</t>
        </is>
      </c>
      <c r="C1530" s="4" t="inlineStr">
        <is>
          <t>D5</t>
        </is>
      </c>
      <c r="D1530" s="4" t="inlineStr">
        <is>
          <t>Factory</t>
        </is>
      </c>
      <c r="E1530" s="4" t="inlineStr">
        <is>
          <t>Factory</t>
        </is>
      </c>
      <c r="F1530" s="4" t="inlineStr">
        <is>
          <t>GOC Bed Unit-Costing Model v2 — working original.xlsx</t>
        </is>
      </c>
    </row>
    <row r="1531" ht="40" customHeight="1">
      <c r="A1531" s="4" t="inlineStr">
        <is>
          <t>original:NM Play!E5</t>
        </is>
      </c>
      <c r="B1531" s="4" t="inlineStr">
        <is>
          <t>NM Play</t>
        </is>
      </c>
      <c r="C1531" s="4" t="inlineStr">
        <is>
          <t>E5</t>
        </is>
      </c>
      <c r="D1531" s="4" t="inlineStr">
        <is>
          <t>Source / notes</t>
        </is>
      </c>
      <c r="E1531" s="4" t="inlineStr">
        <is>
          <t>Source / notes</t>
        </is>
      </c>
      <c r="F1531" s="4" t="inlineStr">
        <is>
          <t>GOC Bed Unit-Costing Model v2 — working original.xlsx</t>
        </is>
      </c>
    </row>
    <row r="1532" ht="40" customHeight="1">
      <c r="A1532" s="4" t="inlineStr">
        <is>
          <t>original:NM Play!A6</t>
        </is>
      </c>
      <c r="B1532" s="4" t="inlineStr">
        <is>
          <t>NM Play</t>
        </is>
      </c>
      <c r="C1532" s="4" t="inlineStr">
        <is>
          <t>A6</t>
        </is>
      </c>
      <c r="D1532" s="4" t="inlineStr">
        <is>
          <t>Bed Kit - HDPE Parts</t>
        </is>
      </c>
      <c r="E1532" s="4" t="inlineStr">
        <is>
          <t>Bed Kit - HDPE Parts</t>
        </is>
      </c>
      <c r="F1532" s="4" t="inlineStr">
        <is>
          <t>GOC Bed Unit-Costing Model v2 — working original.xlsx</t>
        </is>
      </c>
    </row>
    <row r="1533" ht="40" customHeight="1">
      <c r="A1533" s="4" t="inlineStr">
        <is>
          <t>original:NM Play!B6</t>
        </is>
      </c>
      <c r="B1533" s="4" t="inlineStr">
        <is>
          <t>NM Play</t>
        </is>
      </c>
      <c r="C1533" s="4" t="inlineStr">
        <is>
          <t>B6</t>
        </is>
      </c>
      <c r="D1533" s="4" t="n">
        <v>344.05</v>
      </c>
      <c r="E1533" s="4" t="n">
        <v>344.05</v>
      </c>
      <c r="F1533" s="4" t="inlineStr">
        <is>
          <t>GOC Bed Unit-Costing Model v2 — working original.xlsx</t>
        </is>
      </c>
    </row>
    <row r="1534" ht="40" customHeight="1">
      <c r="A1534" s="4" t="inlineStr">
        <is>
          <t>original:NM Play!C6</t>
        </is>
      </c>
      <c r="B1534" s="4" t="inlineStr">
        <is>
          <t>NM Play</t>
        </is>
      </c>
      <c r="C1534" s="4" t="inlineStr">
        <is>
          <t>C6</t>
        </is>
      </c>
      <c r="D1534" s="4" t="inlineStr">
        <is>
          <t>=B94</t>
        </is>
      </c>
      <c r="E1534" s="4" t="n">
        <v>345</v>
      </c>
      <c r="F1534" s="4" t="inlineStr">
        <is>
          <t>GOC Bed Unit-Costing Model v2 — working original.xlsx</t>
        </is>
      </c>
    </row>
    <row r="1535" ht="40" customHeight="1">
      <c r="A1535" s="4" t="inlineStr">
        <is>
          <t>original:NM Play!D6</t>
        </is>
      </c>
      <c r="B1535" s="4" t="inlineStr">
        <is>
          <t>NM Play</t>
        </is>
      </c>
      <c r="C1535" s="4" t="inlineStr">
        <is>
          <t>D6</t>
        </is>
      </c>
      <c r="D1535" s="4" t="inlineStr">
        <is>
          <t>=B95</t>
        </is>
      </c>
      <c r="E1535" s="4" t="n">
        <v>370</v>
      </c>
      <c r="F1535" s="4" t="inlineStr">
        <is>
          <t>GOC Bed Unit-Costing Model v2 — working original.xlsx</t>
        </is>
      </c>
    </row>
    <row r="1536" ht="90" customHeight="1">
      <c r="A1536" s="4" t="inlineStr">
        <is>
          <t>original:NM Play!E6</t>
        </is>
      </c>
      <c r="B1536" s="4" t="inlineStr">
        <is>
          <t>NM Play</t>
        </is>
      </c>
      <c r="C1536" s="4" t="inlineStr">
        <is>
          <t>E6</t>
        </is>
      </c>
      <c r="D1536" s="4" t="inlineStr">
        <is>
          <t>Buy-Kit: Defy INV-1602/1732 (verified). Factory: 20kg raw shred @ $2.75/kg (02-supplier-quotes). Community: free waste feedstock (future).</t>
        </is>
      </c>
      <c r="E1536" s="4" t="inlineStr">
        <is>
          <t>Buy-Kit: Defy INV-1602/1732 (verified). Factory: 20kg raw shred @ $2.75/kg (02-supplier-quotes). Community: free waste feedstock (future).</t>
        </is>
      </c>
      <c r="F1536" s="4" t="inlineStr">
        <is>
          <t>GOC Bed Unit-Costing Model v2 — working original.xlsx</t>
        </is>
      </c>
    </row>
    <row r="1537" ht="40" customHeight="1">
      <c r="A1537" s="4" t="inlineStr">
        <is>
          <t>original:NM Play!A7</t>
        </is>
      </c>
      <c r="B1537" s="4" t="inlineStr">
        <is>
          <t>NM Play</t>
        </is>
      </c>
      <c r="C1537" s="4" t="inlineStr">
        <is>
          <t>A7</t>
        </is>
      </c>
      <c r="D1537" s="4" t="inlineStr">
        <is>
          <t>Steel poles x2 (DNA Steel)</t>
        </is>
      </c>
      <c r="E1537" s="4" t="inlineStr">
        <is>
          <t>Steel poles x2 (DNA Steel)</t>
        </is>
      </c>
      <c r="F1537" s="4" t="inlineStr">
        <is>
          <t>GOC Bed Unit-Costing Model v2 — working original.xlsx</t>
        </is>
      </c>
    </row>
    <row r="1538" ht="40" customHeight="1">
      <c r="A1538" s="4" t="inlineStr">
        <is>
          <t>original:NM Play!B7</t>
        </is>
      </c>
      <c r="B1538" s="4" t="inlineStr">
        <is>
          <t>NM Play</t>
        </is>
      </c>
      <c r="C1538" s="4" t="inlineStr">
        <is>
          <t>B7</t>
        </is>
      </c>
      <c r="D1538" s="4" t="n">
        <v>27</v>
      </c>
      <c r="E1538" s="4" t="n">
        <v>27</v>
      </c>
      <c r="F1538" s="4" t="inlineStr">
        <is>
          <t>GOC Bed Unit-Costing Model v2 — working original.xlsx</t>
        </is>
      </c>
    </row>
    <row r="1539" ht="40" customHeight="1">
      <c r="A1539" s="4" t="inlineStr">
        <is>
          <t>original:NM Play!C7</t>
        </is>
      </c>
      <c r="B1539" s="4" t="inlineStr">
        <is>
          <t>NM Play</t>
        </is>
      </c>
      <c r="C1539" s="4" t="inlineStr">
        <is>
          <t>C7</t>
        </is>
      </c>
      <c r="D1539" s="4" t="n">
        <v>27</v>
      </c>
      <c r="E1539" s="4" t="n">
        <v>27</v>
      </c>
      <c r="F1539" s="4" t="inlineStr">
        <is>
          <t>GOC Bed Unit-Costing Model v2 — working original.xlsx</t>
        </is>
      </c>
    </row>
    <row r="1540" ht="40" customHeight="1">
      <c r="A1540" s="4" t="inlineStr">
        <is>
          <t>original:NM Play!D7</t>
        </is>
      </c>
      <c r="B1540" s="4" t="inlineStr">
        <is>
          <t>NM Play</t>
        </is>
      </c>
      <c r="C1540" s="4" t="inlineStr">
        <is>
          <t>D7</t>
        </is>
      </c>
      <c r="D1540" s="4" t="n">
        <v>27</v>
      </c>
      <c r="E1540" s="4" t="n">
        <v>27</v>
      </c>
      <c r="F1540" s="4" t="inlineStr">
        <is>
          <t>GOC Bed Unit-Costing Model v2 — working original.xlsx</t>
        </is>
      </c>
    </row>
    <row r="1541" ht="60" customHeight="1">
      <c r="A1541" s="4" t="inlineStr">
        <is>
          <t>original:NM Play!E7</t>
        </is>
      </c>
      <c r="B1541" s="4" t="inlineStr">
        <is>
          <t>NM Play</t>
        </is>
      </c>
      <c r="C1541" s="4" t="inlineStr">
        <is>
          <t>E7</t>
        </is>
      </c>
      <c r="D1541" s="4" t="inlineStr">
        <is>
          <t>Verified — Notion BOM StretchBed v2; quote valid to 31 Dec 2026 (02-supplier-quotes).</t>
        </is>
      </c>
      <c r="E1541" s="4" t="inlineStr">
        <is>
          <t>Verified — Notion BOM StretchBed v2; quote valid to 31 Dec 2026 (02-supplier-quotes).</t>
        </is>
      </c>
      <c r="F1541" s="4" t="inlineStr">
        <is>
          <t>GOC Bed Unit-Costing Model v2 — working original.xlsx</t>
        </is>
      </c>
    </row>
    <row r="1542" ht="40" customHeight="1">
      <c r="A1542" s="4" t="inlineStr">
        <is>
          <t>original:NM Play!A8</t>
        </is>
      </c>
      <c r="B1542" s="4" t="inlineStr">
        <is>
          <t>NM Play</t>
        </is>
      </c>
      <c r="C1542" s="4" t="inlineStr">
        <is>
          <t>A8</t>
        </is>
      </c>
      <c r="D1542" s="4" t="inlineStr">
        <is>
          <t>Canvas (Centre Canvas)</t>
        </is>
      </c>
      <c r="E1542" s="4" t="inlineStr">
        <is>
          <t>Canvas (Centre Canvas)</t>
        </is>
      </c>
      <c r="F1542" s="4" t="inlineStr">
        <is>
          <t>GOC Bed Unit-Costing Model v2 — working original.xlsx</t>
        </is>
      </c>
    </row>
    <row r="1543" ht="40" customHeight="1">
      <c r="A1543" s="4" t="inlineStr">
        <is>
          <t>original:NM Play!B8</t>
        </is>
      </c>
      <c r="B1543" s="4" t="inlineStr">
        <is>
          <t>NM Play</t>
        </is>
      </c>
      <c r="C1543" s="4" t="inlineStr">
        <is>
          <t>B8</t>
        </is>
      </c>
      <c r="D1543" s="4" t="n">
        <v>93.5</v>
      </c>
      <c r="E1543" s="4" t="n">
        <v>93.5</v>
      </c>
      <c r="F1543" s="4" t="inlineStr">
        <is>
          <t>GOC Bed Unit-Costing Model v2 — working original.xlsx</t>
        </is>
      </c>
    </row>
    <row r="1544" ht="40" customHeight="1">
      <c r="A1544" s="4" t="inlineStr">
        <is>
          <t>original:NM Play!C8</t>
        </is>
      </c>
      <c r="B1544" s="4" t="inlineStr">
        <is>
          <t>NM Play</t>
        </is>
      </c>
      <c r="C1544" s="4" t="inlineStr">
        <is>
          <t>C8</t>
        </is>
      </c>
      <c r="D1544" s="4" t="n">
        <v>93.5</v>
      </c>
      <c r="E1544" s="4" t="n">
        <v>93.5</v>
      </c>
      <c r="F1544" s="4" t="inlineStr">
        <is>
          <t>GOC Bed Unit-Costing Model v2 — working original.xlsx</t>
        </is>
      </c>
    </row>
    <row r="1545" ht="40" customHeight="1">
      <c r="A1545" s="4" t="inlineStr">
        <is>
          <t>original:NM Play!D8</t>
        </is>
      </c>
      <c r="B1545" s="4" t="inlineStr">
        <is>
          <t>NM Play</t>
        </is>
      </c>
      <c r="C1545" s="4" t="inlineStr">
        <is>
          <t>D8</t>
        </is>
      </c>
      <c r="D1545" s="4" t="n">
        <v>93.5</v>
      </c>
      <c r="E1545" s="4" t="n">
        <v>93.5</v>
      </c>
      <c r="F1545" s="4" t="inlineStr">
        <is>
          <t>GOC Bed Unit-Costing Model v2 — working original.xlsx</t>
        </is>
      </c>
    </row>
    <row r="1546" ht="60" customHeight="1">
      <c r="A1546" s="4" t="inlineStr">
        <is>
          <t>original:NM Play!E8</t>
        </is>
      </c>
      <c r="B1546" s="4" t="inlineStr">
        <is>
          <t>NM Play</t>
        </is>
      </c>
      <c r="C1546" s="4" t="inlineStr">
        <is>
          <t>E8</t>
        </is>
      </c>
      <c r="D1546" s="4" t="inlineStr">
        <is>
          <t>Verified — 3 invoices 2026, 270 covers @ $93.50; valid to 31 Dec 2026 (02-supplier-quotes).</t>
        </is>
      </c>
      <c r="E1546" s="4" t="inlineStr">
        <is>
          <t>Verified — 3 invoices 2026, 270 covers @ $93.50; valid to 31 Dec 2026 (02-supplier-quotes).</t>
        </is>
      </c>
      <c r="F1546" s="4" t="inlineStr">
        <is>
          <t>GOC Bed Unit-Costing Model v2 — working original.xlsx</t>
        </is>
      </c>
    </row>
    <row r="1547" ht="40" customHeight="1">
      <c r="A1547" s="4" t="inlineStr">
        <is>
          <t>original:NM Play!A9</t>
        </is>
      </c>
      <c r="B1547" s="4" t="inlineStr">
        <is>
          <t>NM Play</t>
        </is>
      </c>
      <c r="C1547" s="4" t="inlineStr">
        <is>
          <t>A9</t>
        </is>
      </c>
      <c r="D1547" s="4" t="inlineStr">
        <is>
          <t>Hardware (caps/screws/bolts)</t>
        </is>
      </c>
      <c r="E1547" s="4" t="inlineStr">
        <is>
          <t>Hardware (caps/screws/bolts)</t>
        </is>
      </c>
      <c r="F1547" s="4" t="inlineStr">
        <is>
          <t>GOC Bed Unit-Costing Model v2 — working original.xlsx</t>
        </is>
      </c>
    </row>
    <row r="1548" ht="40" customHeight="1">
      <c r="A1548" s="4" t="inlineStr">
        <is>
          <t>original:NM Play!B9</t>
        </is>
      </c>
      <c r="B1548" s="4" t="inlineStr">
        <is>
          <t>NM Play</t>
        </is>
      </c>
      <c r="C1548" s="4" t="inlineStr">
        <is>
          <t>B9</t>
        </is>
      </c>
      <c r="D1548" s="4" t="n">
        <v>5.24</v>
      </c>
      <c r="E1548" s="4" t="n">
        <v>5.24</v>
      </c>
      <c r="F1548" s="4" t="inlineStr">
        <is>
          <t>GOC Bed Unit-Costing Model v2 — working original.xlsx</t>
        </is>
      </c>
    </row>
    <row r="1549" ht="40" customHeight="1">
      <c r="A1549" s="4" t="inlineStr">
        <is>
          <t>original:NM Play!C9</t>
        </is>
      </c>
      <c r="B1549" s="4" t="inlineStr">
        <is>
          <t>NM Play</t>
        </is>
      </c>
      <c r="C1549" s="4" t="inlineStr">
        <is>
          <t>C9</t>
        </is>
      </c>
      <c r="D1549" s="4" t="n">
        <v>5.24</v>
      </c>
      <c r="E1549" s="4" t="n">
        <v>5.24</v>
      </c>
      <c r="F1549" s="4" t="inlineStr">
        <is>
          <t>GOC Bed Unit-Costing Model v2 — working original.xlsx</t>
        </is>
      </c>
    </row>
    <row r="1550" ht="40" customHeight="1">
      <c r="A1550" s="4" t="inlineStr">
        <is>
          <t>original:NM Play!D9</t>
        </is>
      </c>
      <c r="B1550" s="4" t="inlineStr">
        <is>
          <t>NM Play</t>
        </is>
      </c>
      <c r="C1550" s="4" t="inlineStr">
        <is>
          <t>D9</t>
        </is>
      </c>
      <c r="D1550" s="4" t="n">
        <v>5.24</v>
      </c>
      <c r="E1550" s="4" t="n">
        <v>5.24</v>
      </c>
      <c r="F1550" s="4" t="inlineStr">
        <is>
          <t>GOC Bed Unit-Costing Model v2 — working original.xlsx</t>
        </is>
      </c>
    </row>
    <row r="1551" ht="60" customHeight="1">
      <c r="A1551" s="4" t="inlineStr">
        <is>
          <t>original:NM Play!E9</t>
        </is>
      </c>
      <c r="B1551" s="4" t="inlineStr">
        <is>
          <t>NM Play</t>
        </is>
      </c>
      <c r="C1551" s="4" t="inlineStr">
        <is>
          <t>E9</t>
        </is>
      </c>
      <c r="D1551" s="4" t="inlineStr">
        <is>
          <t>Caps $3.20 + screws $1.04 (verified) + bolts $1.00 (inferred) (01-bill-of-materials).</t>
        </is>
      </c>
      <c r="E1551" s="4" t="inlineStr">
        <is>
          <t>Caps $3.20 + screws $1.04 (verified) + bolts $1.00 (inferred) (01-bill-of-materials).</t>
        </is>
      </c>
      <c r="F1551" s="4" t="inlineStr">
        <is>
          <t>GOC Bed Unit-Costing Model v2 — working original.xlsx</t>
        </is>
      </c>
    </row>
    <row r="1552" ht="40" customHeight="1">
      <c r="A1552" s="4" t="inlineStr">
        <is>
          <t>original:NM Play!A10</t>
        </is>
      </c>
      <c r="B1552" s="4" t="inlineStr">
        <is>
          <t>NM Play</t>
        </is>
      </c>
      <c r="C1552" s="4" t="inlineStr">
        <is>
          <t>A10</t>
        </is>
      </c>
      <c r="D1552" s="4" t="inlineStr">
        <is>
          <t xml:space="preserve">Labour - assembly </t>
        </is>
      </c>
      <c r="E1552" s="4" t="inlineStr">
        <is>
          <t xml:space="preserve">Labour - assembly </t>
        </is>
      </c>
      <c r="F1552" s="4" t="inlineStr">
        <is>
          <t>GOC Bed Unit-Costing Model v2 — working original.xlsx</t>
        </is>
      </c>
    </row>
    <row r="1553" ht="40" customHeight="1">
      <c r="A1553" s="4" t="inlineStr">
        <is>
          <t>original:NM Play!B10</t>
        </is>
      </c>
      <c r="B1553" s="4" t="inlineStr">
        <is>
          <t>NM Play</t>
        </is>
      </c>
      <c r="C1553" s="4" t="inlineStr">
        <is>
          <t>B10</t>
        </is>
      </c>
      <c r="D1553" s="4" t="n">
        <v>40</v>
      </c>
      <c r="E1553" s="4" t="n">
        <v>40</v>
      </c>
      <c r="F1553" s="4" t="inlineStr">
        <is>
          <t>GOC Bed Unit-Costing Model v2 — working original.xlsx</t>
        </is>
      </c>
    </row>
    <row r="1554" ht="40" customHeight="1">
      <c r="A1554" s="4" t="inlineStr">
        <is>
          <t>original:NM Play!D10</t>
        </is>
      </c>
      <c r="B1554" s="4" t="inlineStr">
        <is>
          <t>NM Play</t>
        </is>
      </c>
      <c r="C1554" s="4" t="inlineStr">
        <is>
          <t>D10</t>
        </is>
      </c>
      <c r="D1554" s="4" t="n">
        <v>40</v>
      </c>
      <c r="E1554" s="4" t="n">
        <v>40</v>
      </c>
      <c r="F1554" s="4" t="inlineStr">
        <is>
          <t>GOC Bed Unit-Costing Model v2 — working original.xlsx</t>
        </is>
      </c>
    </row>
    <row r="1555" ht="90" customHeight="1">
      <c r="A1555" s="4" t="inlineStr">
        <is>
          <t>original:NM Play!E10</t>
        </is>
      </c>
      <c r="B1555" s="4" t="inlineStr">
        <is>
          <t>NM Play</t>
        </is>
      </c>
      <c r="C1555" s="4" t="inlineStr">
        <is>
          <t>E10</t>
        </is>
      </c>
      <c r="D1555" s="4" t="inlineStr">
        <is>
          <t>Buy-Kit: in-house assembly $40 (v6 marginal table). Factory: $400/day / 5 beds. Community: $130/bed fair wage (band $100-160), v6 reframe.</t>
        </is>
      </c>
      <c r="E1555" s="4" t="inlineStr">
        <is>
          <t>Buy-Kit: in-house assembly $40 (v6 marginal table). Factory: $400/day / 5 beds. Community: $130/bed fair wage (band $100-160), v6 reframe.</t>
        </is>
      </c>
      <c r="F1555" s="4" t="inlineStr">
        <is>
          <t>GOC Bed Unit-Costing Model v2 — working original.xlsx</t>
        </is>
      </c>
    </row>
    <row r="1556" ht="90" customHeight="1">
      <c r="A1556" s="4" t="inlineStr">
        <is>
          <t>original:NM Play!E11</t>
        </is>
      </c>
      <c r="B1556" s="4" t="inlineStr">
        <is>
          <t>NM Play</t>
        </is>
      </c>
      <c r="C1556" s="4" t="inlineStr">
        <is>
          <t>E11</t>
        </is>
      </c>
      <c r="D1556" s="4" t="inlineStr">
        <is>
          <t>Long-haul ~$150/bed (modelled); Buy-Kit adds $25 local. Factory/Community local freight included in direct costs (03-cost-model §C).</t>
        </is>
      </c>
      <c r="E1556" s="4" t="inlineStr">
        <is>
          <t>Long-haul ~$150/bed (modelled); Buy-Kit adds $25 local. Factory/Community local freight included in direct costs (03-cost-model §C).</t>
        </is>
      </c>
      <c r="F1556" s="4" t="inlineStr">
        <is>
          <t>GOC Bed Unit-Costing Model v2 — working original.xlsx</t>
        </is>
      </c>
    </row>
    <row r="1557" ht="40" customHeight="1">
      <c r="A1557" s="4" t="inlineStr">
        <is>
          <t>original:NM Play!A12</t>
        </is>
      </c>
      <c r="B1557" s="4" t="inlineStr">
        <is>
          <t>NM Play</t>
        </is>
      </c>
      <c r="C1557" s="4" t="inlineStr">
        <is>
          <t>A12</t>
        </is>
      </c>
      <c r="D1557" s="4" t="inlineStr">
        <is>
          <t>TOTAL COST PER BED</t>
        </is>
      </c>
      <c r="E1557" s="4" t="inlineStr">
        <is>
          <t>TOTAL COST PER BED</t>
        </is>
      </c>
      <c r="F1557" s="4" t="inlineStr">
        <is>
          <t>GOC Bed Unit-Costing Model v2 — working original.xlsx</t>
        </is>
      </c>
    </row>
    <row r="1558" ht="40" customHeight="1">
      <c r="A1558" s="4" t="inlineStr">
        <is>
          <t>original:NM Play!B12</t>
        </is>
      </c>
      <c r="B1558" s="4" t="inlineStr">
        <is>
          <t>NM Play</t>
        </is>
      </c>
      <c r="C1558" s="4" t="inlineStr">
        <is>
          <t>B12</t>
        </is>
      </c>
      <c r="D1558" s="4" t="inlineStr">
        <is>
          <t>=SUM(B6:B11)</t>
        </is>
      </c>
      <c r="E1558" s="4" t="n">
        <v>509.79</v>
      </c>
      <c r="F1558" s="4" t="inlineStr">
        <is>
          <t>GOC Bed Unit-Costing Model v2 — working original.xlsx</t>
        </is>
      </c>
    </row>
    <row r="1559" ht="40" customHeight="1">
      <c r="A1559" s="4" t="inlineStr">
        <is>
          <t>original:NM Play!C12</t>
        </is>
      </c>
      <c r="B1559" s="4" t="inlineStr">
        <is>
          <t>NM Play</t>
        </is>
      </c>
      <c r="C1559" s="4" t="inlineStr">
        <is>
          <t>C12</t>
        </is>
      </c>
      <c r="D1559" s="4" t="inlineStr">
        <is>
          <t>=SUM(C6:C11)</t>
        </is>
      </c>
      <c r="E1559" s="4" t="n">
        <v>470.74</v>
      </c>
      <c r="F1559" s="4" t="inlineStr">
        <is>
          <t>GOC Bed Unit-Costing Model v2 — working original.xlsx</t>
        </is>
      </c>
    </row>
    <row r="1560" ht="40" customHeight="1">
      <c r="A1560" s="4" t="inlineStr">
        <is>
          <t>original:NM Play!D12</t>
        </is>
      </c>
      <c r="B1560" s="4" t="inlineStr">
        <is>
          <t>NM Play</t>
        </is>
      </c>
      <c r="C1560" s="4" t="inlineStr">
        <is>
          <t>D12</t>
        </is>
      </c>
      <c r="D1560" s="4" t="inlineStr">
        <is>
          <t>=SUM(D6:D11)</t>
        </is>
      </c>
      <c r="E1560" s="4" t="n">
        <v>535.74</v>
      </c>
      <c r="F1560" s="4" t="inlineStr">
        <is>
          <t>GOC Bed Unit-Costing Model v2 — working original.xlsx</t>
        </is>
      </c>
    </row>
    <row r="1561" ht="40" customHeight="1">
      <c r="A1561" s="4" t="inlineStr">
        <is>
          <t>original:NM Play!A13</t>
        </is>
      </c>
      <c r="B1561" s="4" t="inlineStr">
        <is>
          <t>NM Play</t>
        </is>
      </c>
      <c r="C1561" s="4" t="inlineStr">
        <is>
          <t>A13</t>
        </is>
      </c>
      <c r="D1561" s="4" t="inlineStr">
        <is>
          <t>Contribution per bed</t>
        </is>
      </c>
      <c r="E1561" s="4" t="inlineStr">
        <is>
          <t>Contribution per bed</t>
        </is>
      </c>
      <c r="F1561" s="4" t="inlineStr">
        <is>
          <t>GOC Bed Unit-Costing Model v2 — working original.xlsx</t>
        </is>
      </c>
    </row>
    <row r="1562" ht="40" customHeight="1">
      <c r="A1562" s="4" t="inlineStr">
        <is>
          <t>original:NM Play!B13</t>
        </is>
      </c>
      <c r="B1562" s="4" t="inlineStr">
        <is>
          <t>NM Play</t>
        </is>
      </c>
      <c r="C1562" s="4" t="inlineStr">
        <is>
          <t>B13</t>
        </is>
      </c>
      <c r="D1562" s="4" t="inlineStr">
        <is>
          <t>=$B$38-B12</t>
        </is>
      </c>
      <c r="E1562" s="4" t="n">
        <v>240.21</v>
      </c>
      <c r="F1562" s="4" t="inlineStr">
        <is>
          <t>GOC Bed Unit-Costing Model v2 — working original.xlsx</t>
        </is>
      </c>
    </row>
    <row r="1563" ht="40" customHeight="1">
      <c r="A1563" s="4" t="inlineStr">
        <is>
          <t>original:NM Play!C13</t>
        </is>
      </c>
      <c r="B1563" s="4" t="inlineStr">
        <is>
          <t>NM Play</t>
        </is>
      </c>
      <c r="C1563" s="4" t="inlineStr">
        <is>
          <t>C13</t>
        </is>
      </c>
      <c r="D1563" s="4" t="inlineStr">
        <is>
          <t>=$B$38-C12</t>
        </is>
      </c>
      <c r="E1563" s="4" t="n">
        <v>279.26</v>
      </c>
      <c r="F1563" s="4" t="inlineStr">
        <is>
          <t>GOC Bed Unit-Costing Model v2 — working original.xlsx</t>
        </is>
      </c>
    </row>
    <row r="1564" ht="40" customHeight="1">
      <c r="A1564" s="4" t="inlineStr">
        <is>
          <t>original:NM Play!D13</t>
        </is>
      </c>
      <c r="B1564" s="4" t="inlineStr">
        <is>
          <t>NM Play</t>
        </is>
      </c>
      <c r="C1564" s="4" t="inlineStr">
        <is>
          <t>D13</t>
        </is>
      </c>
      <c r="D1564" s="4" t="inlineStr">
        <is>
          <t>=$B$38-D12</t>
        </is>
      </c>
      <c r="E1564" s="4" t="n">
        <v>214.26</v>
      </c>
      <c r="F1564" s="4" t="inlineStr">
        <is>
          <t>GOC Bed Unit-Costing Model v2 — working original.xlsx</t>
        </is>
      </c>
    </row>
    <row r="1565" ht="40" customHeight="1">
      <c r="A1565" s="4" t="inlineStr">
        <is>
          <t>original:NM Play!A14</t>
        </is>
      </c>
      <c r="B1565" s="4" t="inlineStr">
        <is>
          <t>NM Play</t>
        </is>
      </c>
      <c r="C1565" s="4" t="inlineStr">
        <is>
          <t>A14</t>
        </is>
      </c>
      <c r="D1565" s="4" t="inlineStr">
        <is>
          <t>Contribution margin</t>
        </is>
      </c>
      <c r="E1565" s="4" t="inlineStr">
        <is>
          <t>Contribution margin</t>
        </is>
      </c>
      <c r="F1565" s="4" t="inlineStr">
        <is>
          <t>GOC Bed Unit-Costing Model v2 — working original.xlsx</t>
        </is>
      </c>
    </row>
    <row r="1566" ht="40" customHeight="1">
      <c r="A1566" s="4" t="inlineStr">
        <is>
          <t>original:NM Play!B14</t>
        </is>
      </c>
      <c r="B1566" s="4" t="inlineStr">
        <is>
          <t>NM Play</t>
        </is>
      </c>
      <c r="C1566" s="4" t="inlineStr">
        <is>
          <t>B14</t>
        </is>
      </c>
      <c r="D1566" s="4" t="inlineStr">
        <is>
          <t>=IF($B$38&gt;0,B13/$B$38,0)</t>
        </is>
      </c>
      <c r="E1566" s="4" t="n">
        <v>0.32028</v>
      </c>
      <c r="F1566" s="4" t="inlineStr">
        <is>
          <t>GOC Bed Unit-Costing Model v2 — working original.xlsx</t>
        </is>
      </c>
    </row>
    <row r="1567" ht="40" customHeight="1">
      <c r="A1567" s="4" t="inlineStr">
        <is>
          <t>original:NM Play!C14</t>
        </is>
      </c>
      <c r="B1567" s="4" t="inlineStr">
        <is>
          <t>NM Play</t>
        </is>
      </c>
      <c r="C1567" s="4" t="inlineStr">
        <is>
          <t>C14</t>
        </is>
      </c>
      <c r="D1567" s="4" t="inlineStr">
        <is>
          <t>=IF($B$38&gt;0,C13/$B$38,0)</t>
        </is>
      </c>
      <c r="E1567" s="4" t="n">
        <v>0.3723466667</v>
      </c>
      <c r="F1567" s="4" t="inlineStr">
        <is>
          <t>GOC Bed Unit-Costing Model v2 — working original.xlsx</t>
        </is>
      </c>
    </row>
    <row r="1568" ht="40" customHeight="1">
      <c r="A1568" s="4" t="inlineStr">
        <is>
          <t>original:NM Play!D14</t>
        </is>
      </c>
      <c r="B1568" s="4" t="inlineStr">
        <is>
          <t>NM Play</t>
        </is>
      </c>
      <c r="C1568" s="4" t="inlineStr">
        <is>
          <t>D14</t>
        </is>
      </c>
      <c r="D1568" s="4" t="inlineStr">
        <is>
          <t>=IF($B$38&gt;0,D13/$B$38,0)</t>
        </is>
      </c>
      <c r="E1568" s="4" t="n">
        <v>0.28568</v>
      </c>
      <c r="F1568" s="4" t="inlineStr">
        <is>
          <t>GOC Bed Unit-Costing Model v2 — working original.xlsx</t>
        </is>
      </c>
    </row>
    <row r="1569" ht="90" customHeight="1">
      <c r="A1569" s="4" t="inlineStr">
        <is>
          <t>original:NM Play!A15</t>
        </is>
      </c>
      <c r="B1569" s="4" t="inlineStr">
        <is>
          <t>NM Play</t>
        </is>
      </c>
      <c r="C1569" s="4" t="inlineStr">
        <is>
          <t>A15</t>
        </is>
      </c>
      <c r="D1569" s="4" t="inlineStr">
        <is>
          <t>Path totals reconcile to v6 marginal costs incl. freight: Buy-Kit $684.79 / Factory $425.74 / Community $420.74 (03-cost-model §C).</t>
        </is>
      </c>
      <c r="E1569" s="4" t="inlineStr">
        <is>
          <t>Path totals reconcile to v6 marginal costs incl. freight: Buy-Kit $684.79 / Factory $425.74 / Community $420.74 (03-cost-model §C).</t>
        </is>
      </c>
      <c r="F1569" s="4" t="inlineStr">
        <is>
          <t>GOC Bed Unit-Costing Model v2 — working original.xlsx</t>
        </is>
      </c>
    </row>
    <row r="1570" ht="40" customHeight="1">
      <c r="A1570" s="4" t="inlineStr">
        <is>
          <t>original:NM Play!A17</t>
        </is>
      </c>
      <c r="B1570" s="4" t="inlineStr">
        <is>
          <t>NM Play</t>
        </is>
      </c>
      <c r="C1570" s="4" t="inlineStr">
        <is>
          <t>A17</t>
        </is>
      </c>
      <c r="D1570" s="4" t="inlineStr">
        <is>
          <t>2. FACILITY BUILD COSTS (per container build)</t>
        </is>
      </c>
      <c r="E1570" s="4" t="inlineStr">
        <is>
          <t>2. FACILITY BUILD COSTS (per container build)</t>
        </is>
      </c>
      <c r="F1570" s="4" t="inlineStr">
        <is>
          <t>GOC Bed Unit-Costing Model v2 — working original.xlsx</t>
        </is>
      </c>
    </row>
    <row r="1571" ht="40" customHeight="1">
      <c r="A1571" s="4" t="inlineStr">
        <is>
          <t>original:NM Play!A18</t>
        </is>
      </c>
      <c r="B1571" s="4" t="inlineStr">
        <is>
          <t>NM Play</t>
        </is>
      </c>
      <c r="C1571" s="4" t="inlineStr">
        <is>
          <t>A18</t>
        </is>
      </c>
      <c r="D1571" s="4" t="inlineStr">
        <is>
          <t>Shredder</t>
        </is>
      </c>
      <c r="E1571" s="4" t="inlineStr">
        <is>
          <t>Shredder</t>
        </is>
      </c>
      <c r="F1571" s="4" t="inlineStr">
        <is>
          <t>GOC Bed Unit-Costing Model v2 — working original.xlsx</t>
        </is>
      </c>
    </row>
    <row r="1572" ht="40" customHeight="1">
      <c r="A1572" s="4" t="inlineStr">
        <is>
          <t>original:NM Play!B18</t>
        </is>
      </c>
      <c r="B1572" s="4" t="inlineStr">
        <is>
          <t>NM Play</t>
        </is>
      </c>
      <c r="C1572" s="4" t="inlineStr">
        <is>
          <t>B18</t>
        </is>
      </c>
      <c r="D1572" s="4" t="n">
        <v>22500</v>
      </c>
      <c r="E1572" s="4" t="n">
        <v>22500</v>
      </c>
      <c r="F1572" s="4" t="inlineStr">
        <is>
          <t>GOC Bed Unit-Costing Model v2 — working original.xlsx</t>
        </is>
      </c>
    </row>
    <row r="1573" ht="60" customHeight="1">
      <c r="A1573" s="4" t="inlineStr">
        <is>
          <t>original:NM Play!C18</t>
        </is>
      </c>
      <c r="B1573" s="4" t="inlineStr">
        <is>
          <t>NM Play</t>
        </is>
      </c>
      <c r="C1573" s="4" t="inlineStr">
        <is>
          <t>C18</t>
        </is>
      </c>
      <c r="D1573" s="4" t="inlineStr">
        <is>
          <t>Modelled range $15K-$30K (03-cost-model §D); midpoint default. Not firm-quoted.</t>
        </is>
      </c>
      <c r="E1573" s="4" t="inlineStr">
        <is>
          <t>Modelled range $15K-$30K (03-cost-model §D); midpoint default. Not firm-quoted.</t>
        </is>
      </c>
      <c r="F1573" s="4" t="inlineStr">
        <is>
          <t>GOC Bed Unit-Costing Model v2 — working original.xlsx</t>
        </is>
      </c>
    </row>
    <row r="1574" ht="40" customHeight="1">
      <c r="A1574" s="4" t="inlineStr">
        <is>
          <t>original:NM Play!A19</t>
        </is>
      </c>
      <c r="B1574" s="4" t="inlineStr">
        <is>
          <t>NM Play</t>
        </is>
      </c>
      <c r="C1574" s="4" t="inlineStr">
        <is>
          <t>A19</t>
        </is>
      </c>
      <c r="D1574" s="4" t="inlineStr">
        <is>
          <t>Hot press line</t>
        </is>
      </c>
      <c r="E1574" s="4" t="inlineStr">
        <is>
          <t>Hot press line</t>
        </is>
      </c>
      <c r="F1574" s="4" t="inlineStr">
        <is>
          <t>GOC Bed Unit-Costing Model v2 — working original.xlsx</t>
        </is>
      </c>
    </row>
    <row r="1575" ht="40" customHeight="1">
      <c r="A1575" s="4" t="inlineStr">
        <is>
          <t>original:NM Play!B19</t>
        </is>
      </c>
      <c r="B1575" s="4" t="inlineStr">
        <is>
          <t>NM Play</t>
        </is>
      </c>
      <c r="C1575" s="4" t="inlineStr">
        <is>
          <t>B19</t>
        </is>
      </c>
      <c r="D1575" s="4" t="n">
        <v>115000</v>
      </c>
      <c r="E1575" s="4" t="n">
        <v>115000</v>
      </c>
      <c r="F1575" s="4" t="inlineStr">
        <is>
          <t>GOC Bed Unit-Costing Model v2 — working original.xlsx</t>
        </is>
      </c>
    </row>
    <row r="1576" ht="45" customHeight="1">
      <c r="A1576" s="4" t="inlineStr">
        <is>
          <t>original:NM Play!C19</t>
        </is>
      </c>
      <c r="B1576" s="4" t="inlineStr">
        <is>
          <t>NM Play</t>
        </is>
      </c>
      <c r="C1576" s="4" t="inlineStr">
        <is>
          <t>C19</t>
        </is>
      </c>
      <c r="D1576" s="4" t="inlineStr">
        <is>
          <t>Modelled range $80K-$150K; midpoint default. Not firm-quoted.</t>
        </is>
      </c>
      <c r="E1576" s="4" t="inlineStr">
        <is>
          <t>Modelled range $80K-$150K; midpoint default. Not firm-quoted.</t>
        </is>
      </c>
      <c r="F1576" s="4" t="inlineStr">
        <is>
          <t>GOC Bed Unit-Costing Model v2 — working original.xlsx</t>
        </is>
      </c>
    </row>
    <row r="1577" ht="40" customHeight="1">
      <c r="A1577" s="4" t="inlineStr">
        <is>
          <t>original:NM Play!A20</t>
        </is>
      </c>
      <c r="B1577" s="4" t="inlineStr">
        <is>
          <t>NM Play</t>
        </is>
      </c>
      <c r="C1577" s="4" t="inlineStr">
        <is>
          <t>A20</t>
        </is>
      </c>
      <c r="D1577" s="4" t="inlineStr">
        <is>
          <t>CNC router</t>
        </is>
      </c>
      <c r="E1577" s="4" t="inlineStr">
        <is>
          <t>CNC router</t>
        </is>
      </c>
      <c r="F1577" s="4" t="inlineStr">
        <is>
          <t>GOC Bed Unit-Costing Model v2 — working original.xlsx</t>
        </is>
      </c>
    </row>
    <row r="1578" ht="40" customHeight="1">
      <c r="A1578" s="4" t="inlineStr">
        <is>
          <t>original:NM Play!B20</t>
        </is>
      </c>
      <c r="B1578" s="4" t="inlineStr">
        <is>
          <t>NM Play</t>
        </is>
      </c>
      <c r="C1578" s="4" t="inlineStr">
        <is>
          <t>B20</t>
        </is>
      </c>
      <c r="D1578" s="4" t="n">
        <v>27500</v>
      </c>
      <c r="E1578" s="4" t="n">
        <v>27500</v>
      </c>
      <c r="F1578" s="4" t="inlineStr">
        <is>
          <t>GOC Bed Unit-Costing Model v2 — working original.xlsx</t>
        </is>
      </c>
    </row>
    <row r="1579" ht="45" customHeight="1">
      <c r="A1579" s="4" t="inlineStr">
        <is>
          <t>original:NM Play!C20</t>
        </is>
      </c>
      <c r="B1579" s="4" t="inlineStr">
        <is>
          <t>NM Play</t>
        </is>
      </c>
      <c r="C1579" s="4" t="inlineStr">
        <is>
          <t>C20</t>
        </is>
      </c>
      <c r="D1579" s="4" t="inlineStr">
        <is>
          <t>Modelled range $15K-$40K; midpoint default. Not firm-quoted.</t>
        </is>
      </c>
      <c r="E1579" s="4" t="inlineStr">
        <is>
          <t>Modelled range $15K-$40K; midpoint default. Not firm-quoted.</t>
        </is>
      </c>
      <c r="F1579" s="4" t="inlineStr">
        <is>
          <t>GOC Bed Unit-Costing Model v2 — working original.xlsx</t>
        </is>
      </c>
    </row>
    <row r="1580" ht="40" customHeight="1">
      <c r="A1580" s="4" t="inlineStr">
        <is>
          <t>original:NM Play!A21</t>
        </is>
      </c>
      <c r="B1580" s="4" t="inlineStr">
        <is>
          <t>NM Play</t>
        </is>
      </c>
      <c r="C1580" s="4" t="inlineStr">
        <is>
          <t>A21</t>
        </is>
      </c>
      <c r="D1580" s="4" t="inlineStr">
        <is>
          <t>Benches &amp; tooling</t>
        </is>
      </c>
      <c r="E1580" s="4" t="inlineStr">
        <is>
          <t>Benches &amp; tooling</t>
        </is>
      </c>
      <c r="F1580" s="4" t="inlineStr">
        <is>
          <t>GOC Bed Unit-Costing Model v2 — working original.xlsx</t>
        </is>
      </c>
    </row>
    <row r="1581" ht="40" customHeight="1">
      <c r="A1581" s="4" t="inlineStr">
        <is>
          <t>original:NM Play!B21</t>
        </is>
      </c>
      <c r="B1581" s="4" t="inlineStr">
        <is>
          <t>NM Play</t>
        </is>
      </c>
      <c r="C1581" s="4" t="inlineStr">
        <is>
          <t>B21</t>
        </is>
      </c>
      <c r="D1581" s="4" t="n">
        <v>2000</v>
      </c>
      <c r="E1581" s="4" t="n">
        <v>2000</v>
      </c>
      <c r="F1581" s="4" t="inlineStr">
        <is>
          <t>GOC Bed Unit-Costing Model v2 — working original.xlsx</t>
        </is>
      </c>
    </row>
    <row r="1582" ht="40" customHeight="1">
      <c r="A1582" s="4" t="inlineStr">
        <is>
          <t>original:NM Play!C21</t>
        </is>
      </c>
      <c r="B1582" s="4" t="inlineStr">
        <is>
          <t>NM Play</t>
        </is>
      </c>
      <c r="C1582" s="4" t="inlineStr">
        <is>
          <t>C21</t>
        </is>
      </c>
      <c r="D1582" s="4" t="inlineStr">
        <is>
          <t>Modelled (03-cost-model §D capex table).</t>
        </is>
      </c>
      <c r="E1582" s="4" t="inlineStr">
        <is>
          <t>Modelled (03-cost-model §D capex table).</t>
        </is>
      </c>
      <c r="F1582" s="4" t="inlineStr">
        <is>
          <t>GOC Bed Unit-Costing Model v2 — working original.xlsx</t>
        </is>
      </c>
    </row>
    <row r="1583" ht="40" customHeight="1">
      <c r="A1583" s="4" t="inlineStr">
        <is>
          <t>original:NM Play!A22</t>
        </is>
      </c>
      <c r="B1583" s="4" t="inlineStr">
        <is>
          <t>NM Play</t>
        </is>
      </c>
      <c r="C1583" s="4" t="inlineStr">
        <is>
          <t>A22</t>
        </is>
      </c>
      <c r="D1583" s="4" t="inlineStr">
        <is>
          <t>Container shell &amp; fit-out</t>
        </is>
      </c>
      <c r="E1583" s="4" t="inlineStr">
        <is>
          <t>Container shell &amp; fit-out</t>
        </is>
      </c>
      <c r="F1583" s="4" t="inlineStr">
        <is>
          <t>GOC Bed Unit-Costing Model v2 — working original.xlsx</t>
        </is>
      </c>
    </row>
    <row r="1584" ht="40" customHeight="1">
      <c r="A1584" s="4" t="inlineStr">
        <is>
          <t>original:NM Play!B22</t>
        </is>
      </c>
      <c r="B1584" s="4" t="inlineStr">
        <is>
          <t>NM Play</t>
        </is>
      </c>
      <c r="C1584" s="4" t="inlineStr">
        <is>
          <t>B22</t>
        </is>
      </c>
      <c r="D1584" s="4" t="inlineStr">
        <is>
          <t>='Capex Estimates'!D9</t>
        </is>
      </c>
      <c r="E1584" s="4" t="n">
        <v>13950</v>
      </c>
      <c r="F1584" s="4" t="inlineStr">
        <is>
          <t>GOC Bed Unit-Costing Model v2 — working original.xlsx</t>
        </is>
      </c>
    </row>
    <row r="1585" ht="60" customHeight="1">
      <c r="A1585" s="4" t="inlineStr">
        <is>
          <t>original:NM Play!C22</t>
        </is>
      </c>
      <c r="B1585" s="4" t="inlineStr">
        <is>
          <t>NM Play</t>
        </is>
      </c>
      <c r="C1585" s="4" t="inlineStr">
        <is>
          <t>C22</t>
        </is>
      </c>
      <c r="D1585" s="4" t="inlineStr">
        <is>
          <t>Linked from Capex Estimates (Subtotal A). Type a value here to override.</t>
        </is>
      </c>
      <c r="E1585" s="4" t="inlineStr">
        <is>
          <t>Linked from Capex Estimates (Subtotal A). Type a value here to override.</t>
        </is>
      </c>
      <c r="F1585" s="4" t="inlineStr">
        <is>
          <t>GOC Bed Unit-Costing Model v2 — working original.xlsx</t>
        </is>
      </c>
    </row>
    <row r="1586" ht="40" customHeight="1">
      <c r="A1586" s="4" t="inlineStr">
        <is>
          <t>original:NM Play!A23</t>
        </is>
      </c>
      <c r="B1586" s="4" t="inlineStr">
        <is>
          <t>NM Play</t>
        </is>
      </c>
      <c r="C1586" s="4" t="inlineStr">
        <is>
          <t>A23</t>
        </is>
      </c>
      <c r="D1586" s="4" t="inlineStr">
        <is>
          <t>Electrical &amp; safety</t>
        </is>
      </c>
      <c r="E1586" s="4" t="inlineStr">
        <is>
          <t>Electrical &amp; safety</t>
        </is>
      </c>
      <c r="F1586" s="4" t="inlineStr">
        <is>
          <t>GOC Bed Unit-Costing Model v2 — working original.xlsx</t>
        </is>
      </c>
    </row>
    <row r="1587" ht="40" customHeight="1">
      <c r="A1587" s="4" t="inlineStr">
        <is>
          <t>original:NM Play!B23</t>
        </is>
      </c>
      <c r="B1587" s="4" t="inlineStr">
        <is>
          <t>NM Play</t>
        </is>
      </c>
      <c r="C1587" s="4" t="inlineStr">
        <is>
          <t>B23</t>
        </is>
      </c>
      <c r="D1587" s="4" t="inlineStr">
        <is>
          <t>='Capex Estimates'!D17</t>
        </is>
      </c>
      <c r="E1587" s="4" t="n">
        <v>18500</v>
      </c>
      <c r="F1587" s="4" t="inlineStr">
        <is>
          <t>GOC Bed Unit-Costing Model v2 — working original.xlsx</t>
        </is>
      </c>
    </row>
    <row r="1588" ht="75" customHeight="1">
      <c r="A1588" s="4" t="inlineStr">
        <is>
          <t>original:NM Play!C23</t>
        </is>
      </c>
      <c r="B1588" s="4" t="inlineStr">
        <is>
          <t>NM Play</t>
        </is>
      </c>
      <c r="C1588" s="4" t="inlineStr">
        <is>
          <t>C23</t>
        </is>
      </c>
      <c r="D1588" s="4" t="inlineStr">
        <is>
          <t>Linked from Capex Estimates (Subtotal B). Includes 30kVA genset ($12,000 ex GST) per decision 2026-07-22.</t>
        </is>
      </c>
      <c r="E1588" s="4" t="inlineStr">
        <is>
          <t>Linked from Capex Estimates (Subtotal B). Includes 30kVA genset ($12,000 ex GST) per decision 2026-07-22.</t>
        </is>
      </c>
      <c r="F1588" s="4" t="inlineStr">
        <is>
          <t>GOC Bed Unit-Costing Model v2 — working original.xlsx</t>
        </is>
      </c>
    </row>
    <row r="1589" ht="40" customHeight="1">
      <c r="A1589" s="4" t="inlineStr">
        <is>
          <t>original:NM Play!A24</t>
        </is>
      </c>
      <c r="B1589" s="4" t="inlineStr">
        <is>
          <t>NM Play</t>
        </is>
      </c>
      <c r="C1589" s="4" t="inlineStr">
        <is>
          <t>A24</t>
        </is>
      </c>
      <c r="D1589" s="4" t="inlineStr">
        <is>
          <t>Freight to site</t>
        </is>
      </c>
      <c r="E1589" s="4" t="inlineStr">
        <is>
          <t>Freight to site</t>
        </is>
      </c>
      <c r="F1589" s="4" t="inlineStr">
        <is>
          <t>GOC Bed Unit-Costing Model v2 — working original.xlsx</t>
        </is>
      </c>
    </row>
    <row r="1590" ht="40" customHeight="1">
      <c r="A1590" s="4" t="inlineStr">
        <is>
          <t>original:NM Play!B24</t>
        </is>
      </c>
      <c r="B1590" s="4" t="inlineStr">
        <is>
          <t>NM Play</t>
        </is>
      </c>
      <c r="C1590" s="4" t="inlineStr">
        <is>
          <t>B24</t>
        </is>
      </c>
      <c r="D1590" s="4" t="inlineStr">
        <is>
          <t>='Capex Estimates'!D22</t>
        </is>
      </c>
      <c r="E1590" s="4" t="n">
        <v>5000</v>
      </c>
      <c r="F1590" s="4" t="inlineStr">
        <is>
          <t>GOC Bed Unit-Costing Model v2 — working original.xlsx</t>
        </is>
      </c>
    </row>
    <row r="1591" ht="45" customHeight="1">
      <c r="A1591" s="4" t="inlineStr">
        <is>
          <t>original:NM Play!C24</t>
        </is>
      </c>
      <c r="B1591" s="4" t="inlineStr">
        <is>
          <t>NM Play</t>
        </is>
      </c>
      <c r="C1591" s="4" t="inlineStr">
        <is>
          <t>C24</t>
        </is>
      </c>
      <c r="D1591" s="4" t="inlineStr">
        <is>
          <t>Linked from Capex Estimates (Subtotal C), 2,500 km assumption.</t>
        </is>
      </c>
      <c r="E1591" s="4" t="inlineStr">
        <is>
          <t>Linked from Capex Estimates (Subtotal C), 2,500 km assumption.</t>
        </is>
      </c>
      <c r="F1591" s="4" t="inlineStr">
        <is>
          <t>GOC Bed Unit-Costing Model v2 — working original.xlsx</t>
        </is>
      </c>
    </row>
    <row r="1592" ht="40" customHeight="1">
      <c r="A1592" s="4" t="inlineStr">
        <is>
          <t>original:NM Play!A25</t>
        </is>
      </c>
      <c r="B1592" s="4" t="inlineStr">
        <is>
          <t>NM Play</t>
        </is>
      </c>
      <c r="C1592" s="4" t="inlineStr">
        <is>
          <t>A25</t>
        </is>
      </c>
      <c r="D1592" s="4" t="inlineStr">
        <is>
          <t>Installation &amp; training</t>
        </is>
      </c>
      <c r="E1592" s="4" t="inlineStr">
        <is>
          <t>Installation &amp; training</t>
        </is>
      </c>
      <c r="F1592" s="4" t="inlineStr">
        <is>
          <t>GOC Bed Unit-Costing Model v2 — working original.xlsx</t>
        </is>
      </c>
    </row>
    <row r="1593" ht="40" customHeight="1">
      <c r="A1593" s="4" t="inlineStr">
        <is>
          <t>original:NM Play!B25</t>
        </is>
      </c>
      <c r="B1593" s="4" t="inlineStr">
        <is>
          <t>NM Play</t>
        </is>
      </c>
      <c r="C1593" s="4" t="inlineStr">
        <is>
          <t>B25</t>
        </is>
      </c>
      <c r="D1593" s="4" t="inlineStr">
        <is>
          <t>='Capex Estimates'!D25</t>
        </is>
      </c>
      <c r="E1593" s="4" t="n">
        <v>3000</v>
      </c>
      <c r="F1593" s="4" t="inlineStr">
        <is>
          <t>GOC Bed Unit-Costing Model v2 — working original.xlsx</t>
        </is>
      </c>
    </row>
    <row r="1594" ht="60" customHeight="1">
      <c r="A1594" s="4" t="inlineStr">
        <is>
          <t>original:NM Play!C25</t>
        </is>
      </c>
      <c r="B1594" s="4" t="inlineStr">
        <is>
          <t>NM Play</t>
        </is>
      </c>
      <c r="C1594" s="4" t="inlineStr">
        <is>
          <t>C25</t>
        </is>
      </c>
      <c r="D1594" s="4" t="inlineStr">
        <is>
          <t>Linked from Capex Estimates (D25) — $3,000/site in-house, per Matt 2026-07-22.</t>
        </is>
      </c>
      <c r="E1594" s="4" t="inlineStr">
        <is>
          <t>Linked from Capex Estimates (D25) — $3,000/site in-house, per Matt 2026-07-22.</t>
        </is>
      </c>
      <c r="F1594" s="4" t="inlineStr">
        <is>
          <t>GOC Bed Unit-Costing Model v2 — working original.xlsx</t>
        </is>
      </c>
    </row>
    <row r="1595" ht="40" customHeight="1">
      <c r="A1595" s="4" t="inlineStr">
        <is>
          <t>original:NM Play!A26</t>
        </is>
      </c>
      <c r="B1595" s="4" t="inlineStr">
        <is>
          <t>NM Play</t>
        </is>
      </c>
      <c r="C1595" s="4" t="inlineStr">
        <is>
          <t>A26</t>
        </is>
      </c>
      <c r="D1595" s="4" t="inlineStr">
        <is>
          <t>TOTAL FACILITY BUILD COST</t>
        </is>
      </c>
      <c r="E1595" s="4" t="inlineStr">
        <is>
          <t>TOTAL FACILITY BUILD COST</t>
        </is>
      </c>
      <c r="F1595" s="4" t="inlineStr">
        <is>
          <t>GOC Bed Unit-Costing Model v2 — working original.xlsx</t>
        </is>
      </c>
    </row>
    <row r="1596" ht="40" customHeight="1">
      <c r="A1596" s="4" t="inlineStr">
        <is>
          <t>original:NM Play!B26</t>
        </is>
      </c>
      <c r="B1596" s="4" t="inlineStr">
        <is>
          <t>NM Play</t>
        </is>
      </c>
      <c r="C1596" s="4" t="inlineStr">
        <is>
          <t>B26</t>
        </is>
      </c>
      <c r="D1596" s="4" t="inlineStr">
        <is>
          <t>=SUM(B18:B25)</t>
        </is>
      </c>
      <c r="E1596" s="4" t="n">
        <v>207450</v>
      </c>
      <c r="F1596" s="4" t="inlineStr">
        <is>
          <t>GOC Bed Unit-Costing Model v2 — working original.xlsx</t>
        </is>
      </c>
    </row>
    <row r="1597" ht="90" customHeight="1">
      <c r="A1597" s="4" t="inlineStr">
        <is>
          <t>original:NM Play!C26</t>
        </is>
      </c>
      <c r="B1597" s="4" t="inlineStr">
        <is>
          <t>NM Play</t>
        </is>
      </c>
      <c r="C1597" s="4" t="inlineStr">
        <is>
          <t>C26</t>
        </is>
      </c>
      <c r="D1597" s="4" t="inlineStr">
        <is>
          <t>Charged in full in the year each container is built. Sunshine Coast facility already invested ($110,046) is NOT re-charged.</t>
        </is>
      </c>
      <c r="E1597" s="4" t="inlineStr">
        <is>
          <t>Charged in full in the year each container is built. Sunshine Coast facility already invested ($110,046) is NOT re-charged.</t>
        </is>
      </c>
      <c r="F1597" s="4" t="inlineStr">
        <is>
          <t>GOC Bed Unit-Costing Model v2 — working original.xlsx</t>
        </is>
      </c>
    </row>
    <row r="1598" ht="40" customHeight="1">
      <c r="A1598" s="4" t="inlineStr">
        <is>
          <t>original:NM Play!A28</t>
        </is>
      </c>
      <c r="B1598" s="4" t="inlineStr">
        <is>
          <t>NM Play</t>
        </is>
      </c>
      <c r="C1598" s="4" t="inlineStr">
        <is>
          <t>A28</t>
        </is>
      </c>
      <c r="D1598" s="4" t="inlineStr">
        <is>
          <t>3. OVERHEAD COSTS PER YEAR</t>
        </is>
      </c>
      <c r="E1598" s="4" t="inlineStr">
        <is>
          <t>3. OVERHEAD COSTS PER YEAR</t>
        </is>
      </c>
      <c r="F1598" s="4" t="inlineStr">
        <is>
          <t>GOC Bed Unit-Costing Model v2 — working original.xlsx</t>
        </is>
      </c>
    </row>
    <row r="1599" ht="40" customHeight="1">
      <c r="A1599" s="4" t="inlineStr">
        <is>
          <t>original:NM Play!A29</t>
        </is>
      </c>
      <c r="B1599" s="4" t="inlineStr">
        <is>
          <t>NM Play</t>
        </is>
      </c>
      <c r="C1599" s="4" t="inlineStr">
        <is>
          <t>A29</t>
        </is>
      </c>
      <c r="D1599" s="4" t="inlineStr">
        <is>
          <t>Production lead days / yr</t>
        </is>
      </c>
      <c r="E1599" s="4" t="inlineStr">
        <is>
          <t>Production lead days / yr</t>
        </is>
      </c>
      <c r="F1599" s="4" t="inlineStr">
        <is>
          <t>GOC Bed Unit-Costing Model v2 — working original.xlsx</t>
        </is>
      </c>
    </row>
    <row r="1600" ht="40" customHeight="1">
      <c r="A1600" s="4" t="inlineStr">
        <is>
          <t>original:NM Play!B29</t>
        </is>
      </c>
      <c r="B1600" s="4" t="inlineStr">
        <is>
          <t>NM Play</t>
        </is>
      </c>
      <c r="C1600" s="4" t="inlineStr">
        <is>
          <t>B29</t>
        </is>
      </c>
      <c r="D1600" s="4" t="n">
        <v>30</v>
      </c>
      <c r="E1600" s="4" t="n">
        <v>30</v>
      </c>
      <c r="F1600" s="4" t="inlineStr">
        <is>
          <t>GOC Bed Unit-Costing Model v2 — working original.xlsx</t>
        </is>
      </c>
    </row>
    <row r="1601" ht="45" customHeight="1">
      <c r="A1601" s="4" t="inlineStr">
        <is>
          <t>original:NM Play!C29</t>
        </is>
      </c>
      <c r="B1601" s="4" t="inlineStr">
        <is>
          <t>NM Play</t>
        </is>
      </c>
      <c r="C1601" s="4" t="inlineStr">
        <is>
          <t>C29</t>
        </is>
      </c>
      <c r="D1601" s="4" t="inlineStr">
        <is>
          <t>Founder production time; 30 days locked basis 2026-05-29.</t>
        </is>
      </c>
      <c r="E1601" s="4" t="inlineStr">
        <is>
          <t>Founder production time; 30 days locked basis 2026-05-29.</t>
        </is>
      </c>
      <c r="F1601" s="4" t="inlineStr">
        <is>
          <t>GOC Bed Unit-Costing Model v2 — working original.xlsx</t>
        </is>
      </c>
    </row>
    <row r="1602" ht="40" customHeight="1">
      <c r="A1602" s="4" t="inlineStr">
        <is>
          <t>original:NM Play!A30</t>
        </is>
      </c>
      <c r="B1602" s="4" t="inlineStr">
        <is>
          <t>NM Play</t>
        </is>
      </c>
      <c r="C1602" s="4" t="inlineStr">
        <is>
          <t>A30</t>
        </is>
      </c>
      <c r="D1602" s="4" t="inlineStr">
        <is>
          <t>Production lead daily rate</t>
        </is>
      </c>
      <c r="E1602" s="4" t="inlineStr">
        <is>
          <t>Production lead daily rate</t>
        </is>
      </c>
      <c r="F1602" s="4" t="inlineStr">
        <is>
          <t>GOC Bed Unit-Costing Model v2 — working original.xlsx</t>
        </is>
      </c>
    </row>
    <row r="1603" ht="40" customHeight="1">
      <c r="A1603" s="4" t="inlineStr">
        <is>
          <t>original:NM Play!B30</t>
        </is>
      </c>
      <c r="B1603" s="4" t="inlineStr">
        <is>
          <t>NM Play</t>
        </is>
      </c>
      <c r="C1603" s="4" t="inlineStr">
        <is>
          <t>B30</t>
        </is>
      </c>
      <c r="D1603" s="4" t="n">
        <v>560</v>
      </c>
      <c r="E1603" s="4" t="n">
        <v>560</v>
      </c>
      <c r="F1603" s="4" t="inlineStr">
        <is>
          <t>GOC Bed Unit-Costing Model v2 — working original.xlsx</t>
        </is>
      </c>
    </row>
    <row r="1604" ht="60" customHeight="1">
      <c r="A1604" s="4" t="inlineStr">
        <is>
          <t>original:NM Play!C30</t>
        </is>
      </c>
      <c r="B1604" s="4" t="inlineStr">
        <is>
          <t>NM Play</t>
        </is>
      </c>
      <c r="C1604" s="4" t="inlineStr">
        <is>
          <t>C30</t>
        </is>
      </c>
      <c r="D1604" s="4" t="inlineStr">
        <is>
          <t>Founder day-rate $560 (fair-market $140K/yr basis, LOCKED 2026-05-29).</t>
        </is>
      </c>
      <c r="E1604" s="4" t="inlineStr">
        <is>
          <t>Founder day-rate $560 (fair-market $140K/yr basis, LOCKED 2026-05-29).</t>
        </is>
      </c>
      <c r="F1604" s="4" t="inlineStr">
        <is>
          <t>GOC Bed Unit-Costing Model v2 — working original.xlsx</t>
        </is>
      </c>
    </row>
    <row r="1605" ht="40" customHeight="1">
      <c r="A1605" s="4" t="inlineStr">
        <is>
          <t>original:NM Play!A31</t>
        </is>
      </c>
      <c r="B1605" s="4" t="inlineStr">
        <is>
          <t>NM Play</t>
        </is>
      </c>
      <c r="C1605" s="4" t="inlineStr">
        <is>
          <t>A31</t>
        </is>
      </c>
      <c r="D1605" s="4" t="inlineStr">
        <is>
          <t>Production lead cost p.a.</t>
        </is>
      </c>
      <c r="E1605" s="4" t="inlineStr">
        <is>
          <t>Production lead cost p.a.</t>
        </is>
      </c>
      <c r="F1605" s="4" t="inlineStr">
        <is>
          <t>GOC Bed Unit-Costing Model v2 — working original.xlsx</t>
        </is>
      </c>
    </row>
    <row r="1606" ht="40" customHeight="1">
      <c r="A1606" s="4" t="inlineStr">
        <is>
          <t>original:NM Play!B31</t>
        </is>
      </c>
      <c r="B1606" s="4" t="inlineStr">
        <is>
          <t>NM Play</t>
        </is>
      </c>
      <c r="C1606" s="4" t="inlineStr">
        <is>
          <t>B31</t>
        </is>
      </c>
      <c r="D1606" s="4" t="inlineStr">
        <is>
          <t>=B29*B30</t>
        </is>
      </c>
      <c r="E1606" s="4" t="n">
        <v>16800</v>
      </c>
      <c r="F1606" s="4" t="inlineStr">
        <is>
          <t>GOC Bed Unit-Costing Model v2 — working original.xlsx</t>
        </is>
      </c>
    </row>
    <row r="1607" ht="40" customHeight="1">
      <c r="A1607" s="4" t="inlineStr">
        <is>
          <t>original:NM Play!C31</t>
        </is>
      </c>
      <c r="B1607" s="4" t="inlineStr">
        <is>
          <t>NM Play</t>
        </is>
      </c>
      <c r="C1607" s="4" t="inlineStr">
        <is>
          <t>C31</t>
        </is>
      </c>
      <c r="D1607" s="4" t="inlineStr">
        <is>
          <t>Days x rate.</t>
        </is>
      </c>
      <c r="E1607" s="4" t="inlineStr">
        <is>
          <t>Days x rate.</t>
        </is>
      </c>
      <c r="F1607" s="4" t="inlineStr">
        <is>
          <t>GOC Bed Unit-Costing Model v2 — working original.xlsx</t>
        </is>
      </c>
    </row>
    <row r="1608" ht="40" customHeight="1">
      <c r="A1608" s="4" t="inlineStr">
        <is>
          <t>original:NM Play!A32</t>
        </is>
      </c>
      <c r="B1608" s="4" t="inlineStr">
        <is>
          <t>NM Play</t>
        </is>
      </c>
      <c r="C1608" s="4" t="inlineStr">
        <is>
          <t>A32</t>
        </is>
      </c>
      <c r="D1608" s="4" t="inlineStr">
        <is>
          <t>Admin per year</t>
        </is>
      </c>
      <c r="E1608" s="4" t="inlineStr">
        <is>
          <t>Admin per year</t>
        </is>
      </c>
      <c r="F1608" s="4" t="inlineStr">
        <is>
          <t>GOC Bed Unit-Costing Model v2 — working original.xlsx</t>
        </is>
      </c>
    </row>
    <row r="1609" ht="40" customHeight="1">
      <c r="A1609" s="4" t="inlineStr">
        <is>
          <t>original:NM Play!B32</t>
        </is>
      </c>
      <c r="B1609" s="4" t="inlineStr">
        <is>
          <t>NM Play</t>
        </is>
      </c>
      <c r="C1609" s="4" t="inlineStr">
        <is>
          <t>B32</t>
        </is>
      </c>
      <c r="D1609" s="4" t="n">
        <v>14700</v>
      </c>
      <c r="E1609" s="4" t="n">
        <v>14700</v>
      </c>
      <c r="F1609" s="4" t="inlineStr">
        <is>
          <t>GOC Bed Unit-Costing Model v2 — working original.xlsx</t>
        </is>
      </c>
    </row>
    <row r="1610" ht="40" customHeight="1">
      <c r="A1610" s="4" t="inlineStr">
        <is>
          <t>original:NM Play!C32</t>
        </is>
      </c>
      <c r="B1610" s="4" t="inlineStr">
        <is>
          <t>NM Play</t>
        </is>
      </c>
      <c r="C1610" s="4" t="inlineStr">
        <is>
          <t>C32</t>
        </is>
      </c>
      <c r="D1610" s="4" t="inlineStr">
        <is>
          <t>v6 fixed block (04-verified-financials).</t>
        </is>
      </c>
      <c r="E1610" s="4" t="inlineStr">
        <is>
          <t>v6 fixed block (04-verified-financials).</t>
        </is>
      </c>
      <c r="F1610" s="4" t="inlineStr">
        <is>
          <t>GOC Bed Unit-Costing Model v2 — working original.xlsx</t>
        </is>
      </c>
    </row>
    <row r="1611" ht="40" customHeight="1">
      <c r="A1611" s="4" t="inlineStr">
        <is>
          <t>original:NM Play!A33</t>
        </is>
      </c>
      <c r="B1611" s="4" t="inlineStr">
        <is>
          <t>NM Play</t>
        </is>
      </c>
      <c r="C1611" s="4" t="inlineStr">
        <is>
          <t>A33</t>
        </is>
      </c>
      <c r="D1611" s="4" t="inlineStr">
        <is>
          <t>Field travel per year</t>
        </is>
      </c>
      <c r="E1611" s="4" t="inlineStr">
        <is>
          <t>Field travel per year</t>
        </is>
      </c>
      <c r="F1611" s="4" t="inlineStr">
        <is>
          <t>GOC Bed Unit-Costing Model v2 — working original.xlsx</t>
        </is>
      </c>
    </row>
    <row r="1612" ht="40" customHeight="1">
      <c r="A1612" s="4" t="inlineStr">
        <is>
          <t>original:NM Play!B33</t>
        </is>
      </c>
      <c r="B1612" s="4" t="inlineStr">
        <is>
          <t>NM Play</t>
        </is>
      </c>
      <c r="C1612" s="4" t="inlineStr">
        <is>
          <t>B33</t>
        </is>
      </c>
      <c r="D1612" s="4" t="n">
        <v>51000</v>
      </c>
      <c r="E1612" s="4" t="n">
        <v>51000</v>
      </c>
      <c r="F1612" s="4" t="inlineStr">
        <is>
          <t>GOC Bed Unit-Costing Model v2 — working original.xlsx</t>
        </is>
      </c>
    </row>
    <row r="1613" ht="40" customHeight="1">
      <c r="A1613" s="4" t="inlineStr">
        <is>
          <t>original:NM Play!C33</t>
        </is>
      </c>
      <c r="B1613" s="4" t="inlineStr">
        <is>
          <t>NM Play</t>
        </is>
      </c>
      <c r="C1613" s="4" t="inlineStr">
        <is>
          <t>C33</t>
        </is>
      </c>
      <c r="D1613" s="4" t="inlineStr">
        <is>
          <t>v6 fixed block.</t>
        </is>
      </c>
      <c r="E1613" s="4" t="inlineStr">
        <is>
          <t>v6 fixed block.</t>
        </is>
      </c>
      <c r="F1613" s="4" t="inlineStr">
        <is>
          <t>GOC Bed Unit-Costing Model v2 — working original.xlsx</t>
        </is>
      </c>
    </row>
    <row r="1614" ht="40" customHeight="1">
      <c r="A1614" s="4" t="inlineStr">
        <is>
          <t>original:NM Play!A34</t>
        </is>
      </c>
      <c r="B1614" s="4" t="inlineStr">
        <is>
          <t>NM Play</t>
        </is>
      </c>
      <c r="C1614" s="4" t="inlineStr">
        <is>
          <t>A34</t>
        </is>
      </c>
      <c r="D1614" s="4" t="inlineStr">
        <is>
          <t>Facility rent (Goods share)</t>
        </is>
      </c>
      <c r="E1614" s="4" t="inlineStr">
        <is>
          <t>Facility rent (Goods share)</t>
        </is>
      </c>
      <c r="F1614" s="4" t="inlineStr">
        <is>
          <t>GOC Bed Unit-Costing Model v2 — working original.xlsx</t>
        </is>
      </c>
    </row>
    <row r="1615" ht="40" customHeight="1">
      <c r="A1615" s="4" t="inlineStr">
        <is>
          <t>original:NM Play!B34</t>
        </is>
      </c>
      <c r="B1615" s="4" t="inlineStr">
        <is>
          <t>NM Play</t>
        </is>
      </c>
      <c r="C1615" s="4" t="inlineStr">
        <is>
          <t>B34</t>
        </is>
      </c>
      <c r="D1615" s="4" t="n">
        <v>27000</v>
      </c>
      <c r="E1615" s="4" t="n">
        <v>27000</v>
      </c>
      <c r="F1615" s="4" t="inlineStr">
        <is>
          <t>GOC Bed Unit-Costing Model v2 — working original.xlsx</t>
        </is>
      </c>
    </row>
    <row r="1616" ht="75" customHeight="1">
      <c r="A1616" s="4" t="inlineStr">
        <is>
          <t>original:NM Play!C34</t>
        </is>
      </c>
      <c r="B1616" s="4" t="inlineStr">
        <is>
          <t>NM Play</t>
        </is>
      </c>
      <c r="C1616" s="4" t="inlineStr">
        <is>
          <t>C34</t>
        </is>
      </c>
      <c r="D1616" s="4" t="inlineStr">
        <is>
          <t>ADDED from v6 fixed block (Kirmos, 50% to beds) so total matches source $109,500. Set to 0 to exclude.</t>
        </is>
      </c>
      <c r="E1616" s="4" t="inlineStr">
        <is>
          <t>ADDED from v6 fixed block (Kirmos, 50% to beds) so total matches source $109,500. Set to 0 to exclude.</t>
        </is>
      </c>
      <c r="F1616" s="4" t="inlineStr">
        <is>
          <t>GOC Bed Unit-Costing Model v2 — working original.xlsx</t>
        </is>
      </c>
    </row>
    <row r="1617" ht="40" customHeight="1">
      <c r="A1617" s="4" t="inlineStr">
        <is>
          <t>original:NM Play!A35</t>
        </is>
      </c>
      <c r="B1617" s="4" t="inlineStr">
        <is>
          <t>NM Play</t>
        </is>
      </c>
      <c r="C1617" s="4" t="inlineStr">
        <is>
          <t>A35</t>
        </is>
      </c>
      <c r="D1617" s="4" t="inlineStr">
        <is>
          <t>TOTAL OVERHEADS / YR</t>
        </is>
      </c>
      <c r="E1617" s="4" t="inlineStr">
        <is>
          <t>TOTAL OVERHEADS / YR</t>
        </is>
      </c>
      <c r="F1617" s="4" t="inlineStr">
        <is>
          <t>GOC Bed Unit-Costing Model v2 — working original.xlsx</t>
        </is>
      </c>
    </row>
    <row r="1618" ht="40" customHeight="1">
      <c r="A1618" s="4" t="inlineStr">
        <is>
          <t>original:NM Play!B35</t>
        </is>
      </c>
      <c r="B1618" s="4" t="inlineStr">
        <is>
          <t>NM Play</t>
        </is>
      </c>
      <c r="C1618" s="4" t="inlineStr">
        <is>
          <t>B35</t>
        </is>
      </c>
      <c r="D1618" s="4" t="inlineStr">
        <is>
          <t>=B31+B32+B33+B34</t>
        </is>
      </c>
      <c r="E1618" s="4" t="n">
        <v>109500</v>
      </c>
      <c r="F1618" s="4" t="inlineStr">
        <is>
          <t>GOC Bed Unit-Costing Model v2 — working original.xlsx</t>
        </is>
      </c>
    </row>
    <row r="1619" ht="40" customHeight="1">
      <c r="A1619" s="4" t="inlineStr">
        <is>
          <t>original:NM Play!A36</t>
        </is>
      </c>
      <c r="B1619" s="4" t="inlineStr">
        <is>
          <t>NM Play</t>
        </is>
      </c>
      <c r="C1619" s="4" t="inlineStr">
        <is>
          <t>A36</t>
        </is>
      </c>
      <c r="D1619" s="4" t="inlineStr">
        <is>
          <t>Equipment maintenance % of capex /yr</t>
        </is>
      </c>
      <c r="E1619" s="4" t="inlineStr">
        <is>
          <t>Equipment maintenance % of capex /yr</t>
        </is>
      </c>
      <c r="F1619" s="4" t="inlineStr">
        <is>
          <t>GOC Bed Unit-Costing Model v2 — working original.xlsx</t>
        </is>
      </c>
    </row>
    <row r="1620" ht="40" customHeight="1">
      <c r="A1620" s="4" t="inlineStr">
        <is>
          <t>original:NM Play!B36</t>
        </is>
      </c>
      <c r="B1620" s="4" t="inlineStr">
        <is>
          <t>NM Play</t>
        </is>
      </c>
      <c r="C1620" s="4" t="inlineStr">
        <is>
          <t>B36</t>
        </is>
      </c>
      <c r="D1620" s="4" t="n">
        <v>0.05</v>
      </c>
      <c r="E1620" s="4" t="n">
        <v>0.05</v>
      </c>
      <c r="F1620" s="4" t="inlineStr">
        <is>
          <t>GOC Bed Unit-Costing Model v2 — working original.xlsx</t>
        </is>
      </c>
    </row>
    <row r="1621" ht="255" customHeight="1">
      <c r="A1621" s="4" t="inlineStr">
        <is>
          <t>original:NM Play!C36</t>
        </is>
      </c>
      <c r="B1621" s="4" t="inlineStr">
        <is>
          <t>NM Play</t>
        </is>
      </c>
      <c r="C1621" s="4" t="inlineStr">
        <is>
          <t>C36</t>
        </is>
      </c>
      <c r="D1621" s="4" t="inlineStr">
        <is>
          <t>GoC placeholder per Q&amp;A Q9 (3-5% of EQUIPMENT capex pending vendor quotes; Matt selected 5%, 2026-07-22). Applied PER FACILITY (factories + containers) to the equipment subtotal (shredder+press+CNC+benches = $167K -&gt; $8,350/facility/yr). Covers blades, filters, CNC bits, software licences (EnRoute CAM), annual service. NOT in the flat overhead total above - it scales in the Projection.</t>
        </is>
      </c>
      <c r="E1621" s="4" t="inlineStr">
        <is>
          <t>GoC placeholder per Q&amp;A Q9 (3-5% of EQUIPMENT capex pending vendor quotes; Matt selected 5%, 2026-07-22). Applied PER FACILITY (factories + containers) to the equipment subtotal (shredder+press+CNC+benches = $167K -&gt; $8,350/facility/yr). Covers blades, filters, CNC bits, software licences (EnRoute CAM), annual service. NOT in the flat overhead total above - it scales in the Projection.</t>
        </is>
      </c>
      <c r="F1621" s="4" t="inlineStr">
        <is>
          <t>GOC Bed Unit-Costing Model v2 — working original.xlsx</t>
        </is>
      </c>
    </row>
    <row r="1622" ht="40" customHeight="1">
      <c r="A1622" s="4" t="inlineStr">
        <is>
          <t>original:NM Play!A37</t>
        </is>
      </c>
      <c r="B1622" s="4" t="inlineStr">
        <is>
          <t>NM Play</t>
        </is>
      </c>
      <c r="C1622" s="4" t="inlineStr">
        <is>
          <t>A37</t>
        </is>
      </c>
      <c r="D1622" s="4" t="inlineStr">
        <is>
          <t>4. PRODUCTION &amp; SALES</t>
        </is>
      </c>
      <c r="E1622" s="4" t="inlineStr">
        <is>
          <t>4. PRODUCTION &amp; SALES</t>
        </is>
      </c>
      <c r="F1622" s="4" t="inlineStr">
        <is>
          <t>GOC Bed Unit-Costing Model v2 — working original.xlsx</t>
        </is>
      </c>
    </row>
    <row r="1623" ht="40" customHeight="1">
      <c r="A1623" s="4" t="inlineStr">
        <is>
          <t>original:NM Play!A38</t>
        </is>
      </c>
      <c r="B1623" s="4" t="inlineStr">
        <is>
          <t>NM Play</t>
        </is>
      </c>
      <c r="C1623" s="4" t="inlineStr">
        <is>
          <t>A38</t>
        </is>
      </c>
      <c r="D1623" s="4" t="inlineStr">
        <is>
          <t>Selling price per bed</t>
        </is>
      </c>
      <c r="E1623" s="4" t="inlineStr">
        <is>
          <t>Selling price per bed</t>
        </is>
      </c>
      <c r="F1623" s="4" t="inlineStr">
        <is>
          <t>GOC Bed Unit-Costing Model v2 — working original.xlsx</t>
        </is>
      </c>
    </row>
    <row r="1624" ht="40" customHeight="1">
      <c r="A1624" s="4" t="inlineStr">
        <is>
          <t>original:NM Play!B38</t>
        </is>
      </c>
      <c r="B1624" s="4" t="inlineStr">
        <is>
          <t>NM Play</t>
        </is>
      </c>
      <c r="C1624" s="4" t="inlineStr">
        <is>
          <t>B38</t>
        </is>
      </c>
      <c r="D1624" s="4" t="n">
        <v>750</v>
      </c>
      <c r="E1624" s="4" t="n">
        <v>750</v>
      </c>
      <c r="F1624" s="4" t="inlineStr">
        <is>
          <t>GOC Bed Unit-Costing Model v2 — working original.xlsx</t>
        </is>
      </c>
    </row>
    <row r="1625" ht="60" customHeight="1">
      <c r="A1625" s="4" t="inlineStr">
        <is>
          <t>original:NM Play!C38</t>
        </is>
      </c>
      <c r="B1625" s="4" t="inlineStr">
        <is>
          <t>NM Play</t>
        </is>
      </c>
      <c r="C1625" s="4" t="inlineStr">
        <is>
          <t>C38</t>
        </is>
      </c>
      <c r="D1625" s="4" t="inlineStr">
        <is>
          <t>Verified — shop stretch-bed-single, held flat in v6 model. Same price across all paths.</t>
        </is>
      </c>
      <c r="E1625" s="4" t="inlineStr">
        <is>
          <t>Verified — shop stretch-bed-single, held flat in v6 model. Same price across all paths.</t>
        </is>
      </c>
      <c r="F1625" s="4" t="inlineStr">
        <is>
          <t>GOC Bed Unit-Costing Model v2 — working original.xlsx</t>
        </is>
      </c>
    </row>
    <row r="1626" ht="40" customHeight="1">
      <c r="A1626" s="4" t="inlineStr">
        <is>
          <t>original:NM Play!A39</t>
        </is>
      </c>
      <c r="B1626" s="4" t="inlineStr">
        <is>
          <t>NM Play</t>
        </is>
      </c>
      <c r="C1626" s="4" t="inlineStr">
        <is>
          <t>A39</t>
        </is>
      </c>
      <c r="D1626" s="4" t="inlineStr">
        <is>
          <t>Number of factories</t>
        </is>
      </c>
      <c r="E1626" s="4" t="inlineStr">
        <is>
          <t>Number of factories</t>
        </is>
      </c>
      <c r="F1626" s="4" t="inlineStr">
        <is>
          <t>GOC Bed Unit-Costing Model v2 — working original.xlsx</t>
        </is>
      </c>
    </row>
    <row r="1627" ht="40" customHeight="1">
      <c r="A1627" s="4" t="inlineStr">
        <is>
          <t>original:NM Play!B39</t>
        </is>
      </c>
      <c r="B1627" s="4" t="inlineStr">
        <is>
          <t>NM Play</t>
        </is>
      </c>
      <c r="C1627" s="4" t="inlineStr">
        <is>
          <t>B39</t>
        </is>
      </c>
      <c r="D1627" s="4" t="n">
        <v>1</v>
      </c>
      <c r="E1627" s="4" t="n">
        <v>1</v>
      </c>
      <c r="F1627" s="4" t="inlineStr">
        <is>
          <t>GOC Bed Unit-Costing Model v2 — working original.xlsx</t>
        </is>
      </c>
    </row>
    <row r="1628" ht="60" customHeight="1">
      <c r="A1628" s="4" t="inlineStr">
        <is>
          <t>original:NM Play!C39</t>
        </is>
      </c>
      <c r="B1628" s="4" t="inlineStr">
        <is>
          <t>NM Play</t>
        </is>
      </c>
      <c r="C1628" s="4" t="inlineStr">
        <is>
          <t>C39</t>
        </is>
      </c>
      <c r="D1628" s="4" t="inlineStr">
        <is>
          <t>Sunshine Coast facility; produces Factory-path beds. Constant across projection.</t>
        </is>
      </c>
      <c r="E1628" s="4" t="inlineStr">
        <is>
          <t>Sunshine Coast facility; produces Factory-path beds. Constant across projection.</t>
        </is>
      </c>
      <c r="F1628" s="4" t="inlineStr">
        <is>
          <t>GOC Bed Unit-Costing Model v2 — working original.xlsx</t>
        </is>
      </c>
    </row>
    <row r="1629" ht="40" customHeight="1">
      <c r="A1629" s="4" t="inlineStr">
        <is>
          <t>original:NM Play!A40</t>
        </is>
      </c>
      <c r="B1629" s="4" t="inlineStr">
        <is>
          <t>NM Play</t>
        </is>
      </c>
      <c r="C1629" s="4" t="inlineStr">
        <is>
          <t>A40</t>
        </is>
      </c>
      <c r="D1629" s="4" t="inlineStr">
        <is>
          <t>Starting containers (Year 1)</t>
        </is>
      </c>
      <c r="E1629" s="4" t="inlineStr">
        <is>
          <t>Starting containers (Year 1)</t>
        </is>
      </c>
      <c r="F1629" s="4" t="inlineStr">
        <is>
          <t>GOC Bed Unit-Costing Model v2 — working original.xlsx</t>
        </is>
      </c>
    </row>
    <row r="1630" ht="40" customHeight="1">
      <c r="A1630" s="4" t="inlineStr">
        <is>
          <t>original:NM Play!B40</t>
        </is>
      </c>
      <c r="B1630" s="4" t="inlineStr">
        <is>
          <t>NM Play</t>
        </is>
      </c>
      <c r="C1630" s="4" t="inlineStr">
        <is>
          <t>B40</t>
        </is>
      </c>
      <c r="D1630" s="4" t="n">
        <v>1</v>
      </c>
      <c r="E1630" s="4" t="n">
        <v>1</v>
      </c>
      <c r="F1630" s="4" t="inlineStr">
        <is>
          <t>GOC Bed Unit-Costing Model v2 — working original.xlsx</t>
        </is>
      </c>
    </row>
    <row r="1631" ht="90" customHeight="1">
      <c r="A1631" s="4" t="inlineStr">
        <is>
          <t>original:NM Play!C40</t>
        </is>
      </c>
      <c r="B1631" s="4" t="inlineStr">
        <is>
          <t>NM Play</t>
        </is>
      </c>
      <c r="C1631" s="4" t="inlineStr">
        <is>
          <t>C40</t>
        </is>
      </c>
      <c r="D1631" s="4" t="inlineStr">
        <is>
          <t>Built Year 1, funded by capital stack; containers produce Community-path beds. Further containers auto-build from surplus.</t>
        </is>
      </c>
      <c r="E1631" s="4" t="inlineStr">
        <is>
          <t>Built Year 1, funded by capital stack; containers produce Community-path beds. Further containers auto-build from surplus.</t>
        </is>
      </c>
      <c r="F1631" s="4" t="inlineStr">
        <is>
          <t>GOC Bed Unit-Costing Model v2 — working original.xlsx</t>
        </is>
      </c>
    </row>
    <row r="1632" ht="40" customHeight="1">
      <c r="A1632" s="4" t="inlineStr">
        <is>
          <t>original:NM Play!A41</t>
        </is>
      </c>
      <c r="B1632" s="4" t="inlineStr">
        <is>
          <t>NM Play</t>
        </is>
      </c>
      <c r="C1632" s="4" t="inlineStr">
        <is>
          <t>A41</t>
        </is>
      </c>
      <c r="D1632" s="4" t="inlineStr">
        <is>
          <t>Beds / yr per FACTORY</t>
        </is>
      </c>
      <c r="E1632" s="4" t="inlineStr">
        <is>
          <t>Beds / yr per FACTORY</t>
        </is>
      </c>
      <c r="F1632" s="4" t="inlineStr">
        <is>
          <t>GOC Bed Unit-Costing Model v2 — working original.xlsx</t>
        </is>
      </c>
    </row>
    <row r="1633" ht="40" customHeight="1">
      <c r="A1633" s="4" t="inlineStr">
        <is>
          <t>original:NM Play!B41</t>
        </is>
      </c>
      <c r="B1633" s="4" t="inlineStr">
        <is>
          <t>NM Play</t>
        </is>
      </c>
      <c r="C1633" s="4" t="inlineStr">
        <is>
          <t>B41</t>
        </is>
      </c>
      <c r="D1633" s="4" t="n">
        <v>500</v>
      </c>
      <c r="E1633" s="4" t="n">
        <v>500</v>
      </c>
      <c r="F1633" s="4" t="inlineStr">
        <is>
          <t>GOC Bed Unit-Costing Model v2 — working original.xlsx</t>
        </is>
      </c>
    </row>
    <row r="1634" ht="75" customHeight="1">
      <c r="A1634" s="4" t="inlineStr">
        <is>
          <t>original:NM Play!C41</t>
        </is>
      </c>
      <c r="B1634" s="4" t="inlineStr">
        <is>
          <t>NM Play</t>
        </is>
      </c>
      <c r="C1634" s="4" t="inlineStr">
        <is>
          <t>C41</t>
        </is>
      </c>
      <c r="D1634" s="4" t="inlineStr">
        <is>
          <t>Factory-path volume = No. factories x this rate. Practical max ~1,000/yr (4-5 beds/day x 250 days).</t>
        </is>
      </c>
      <c r="E1634" s="4" t="inlineStr">
        <is>
          <t>Factory-path volume = No. factories x this rate. Practical max ~1,000/yr (4-5 beds/day x 250 days).</t>
        </is>
      </c>
      <c r="F1634" s="4" t="inlineStr">
        <is>
          <t>GOC Bed Unit-Costing Model v2 — working original.xlsx</t>
        </is>
      </c>
    </row>
    <row r="1635" ht="40" customHeight="1">
      <c r="A1635" s="4" t="inlineStr">
        <is>
          <t>original:NM Play!A42</t>
        </is>
      </c>
      <c r="B1635" s="4" t="inlineStr">
        <is>
          <t>NM Play</t>
        </is>
      </c>
      <c r="C1635" s="4" t="inlineStr">
        <is>
          <t>A42</t>
        </is>
      </c>
      <c r="D1635" s="4" t="inlineStr">
        <is>
          <t>Beds / yr per CONTAINER</t>
        </is>
      </c>
      <c r="E1635" s="4" t="inlineStr">
        <is>
          <t>Beds / yr per CONTAINER</t>
        </is>
      </c>
      <c r="F1635" s="4" t="inlineStr">
        <is>
          <t>GOC Bed Unit-Costing Model v2 — working original.xlsx</t>
        </is>
      </c>
    </row>
    <row r="1636" ht="40" customHeight="1">
      <c r="A1636" s="4" t="inlineStr">
        <is>
          <t>original:NM Play!B42</t>
        </is>
      </c>
      <c r="B1636" s="4" t="inlineStr">
        <is>
          <t>NM Play</t>
        </is>
      </c>
      <c r="C1636" s="4" t="inlineStr">
        <is>
          <t>B42</t>
        </is>
      </c>
      <c r="D1636" s="4" t="n">
        <v>500</v>
      </c>
      <c r="E1636" s="4" t="n">
        <v>500</v>
      </c>
      <c r="F1636" s="4" t="inlineStr">
        <is>
          <t>GOC Bed Unit-Costing Model v2 — working original.xlsx</t>
        </is>
      </c>
    </row>
    <row r="1637" ht="60" customHeight="1">
      <c r="A1637" s="4" t="inlineStr">
        <is>
          <t>original:NM Play!C42</t>
        </is>
      </c>
      <c r="B1637" s="4" t="inlineStr">
        <is>
          <t>NM Play</t>
        </is>
      </c>
      <c r="C1637" s="4" t="inlineStr">
        <is>
          <t>C42</t>
        </is>
      </c>
      <c r="D1637" s="4" t="inlineStr">
        <is>
          <t>Community-path volume = No. containers x this rate. Same ~1,000/yr practical max.</t>
        </is>
      </c>
      <c r="E1637" s="4" t="inlineStr">
        <is>
          <t>Community-path volume = No. containers x this rate. Same ~1,000/yr practical max.</t>
        </is>
      </c>
      <c r="F1637" s="4" t="inlineStr">
        <is>
          <t>GOC Bed Unit-Costing Model v2 — working original.xlsx</t>
        </is>
      </c>
    </row>
    <row r="1638" ht="40" customHeight="1">
      <c r="A1638" s="4" t="inlineStr">
        <is>
          <t>original:NM Play!A43</t>
        </is>
      </c>
      <c r="B1638" s="4" t="inlineStr">
        <is>
          <t>NM Play</t>
        </is>
      </c>
      <c r="C1638" s="4" t="inlineStr">
        <is>
          <t>A43</t>
        </is>
      </c>
      <c r="D1638" s="4" t="inlineStr">
        <is>
          <t>Kit (Defy) beds / yr</t>
        </is>
      </c>
      <c r="E1638" s="4" t="inlineStr">
        <is>
          <t>Kit (Defy) beds / yr</t>
        </is>
      </c>
      <c r="F1638" s="4" t="inlineStr">
        <is>
          <t>GOC Bed Unit-Costing Model v2 — working original.xlsx</t>
        </is>
      </c>
    </row>
    <row r="1639" ht="40" customHeight="1">
      <c r="A1639" s="4" t="inlineStr">
        <is>
          <t>original:NM Play!B43</t>
        </is>
      </c>
      <c r="B1639" s="4" t="inlineStr">
        <is>
          <t>NM Play</t>
        </is>
      </c>
      <c r="C1639" s="4" t="inlineStr">
        <is>
          <t>B43</t>
        </is>
      </c>
      <c r="D1639" s="4" t="n">
        <v>100</v>
      </c>
      <c r="E1639" s="4" t="n">
        <v>100</v>
      </c>
      <c r="F1639" s="4" t="inlineStr">
        <is>
          <t>GOC Bed Unit-Costing Model v2 — working original.xlsx</t>
        </is>
      </c>
    </row>
    <row r="1640" ht="150" customHeight="1">
      <c r="A1640" s="4" t="inlineStr">
        <is>
          <t>original:NM Play!C43</t>
        </is>
      </c>
      <c r="B1640" s="4" t="inlineStr">
        <is>
          <t>NM Play</t>
        </is>
      </c>
      <c r="C1640" s="4" t="inlineStr">
        <is>
          <t>C43</t>
        </is>
      </c>
      <c r="D1640" s="4" t="inlineStr">
        <is>
          <t>Bought-in Buy-Kit volume, no infrastructure needed. Default = current state ~100/yr. AUTO-TAPERS to zero from the first year that in-house capacity (Factory + Community beds) is greater than or equal to this figure.</t>
        </is>
      </c>
      <c r="E1640" s="4" t="inlineStr">
        <is>
          <t>Bought-in Buy-Kit volume, no infrastructure needed. Default = current state ~100/yr. AUTO-TAPERS to zero from the first year that in-house capacity (Factory + Community beds) is greater than or equal to this figure.</t>
        </is>
      </c>
      <c r="F1640" s="4" t="inlineStr">
        <is>
          <t>GOC Bed Unit-Costing Model v2 — working original.xlsx</t>
        </is>
      </c>
    </row>
    <row r="1641" ht="40" customHeight="1">
      <c r="A1641" s="4" t="inlineStr">
        <is>
          <t>original:NM Play!A44</t>
        </is>
      </c>
      <c r="B1641" s="4" t="inlineStr">
        <is>
          <t>NM Play</t>
        </is>
      </c>
      <c r="C1641" s="4" t="inlineStr">
        <is>
          <t>A44</t>
        </is>
      </c>
      <c r="D1641" s="4" t="inlineStr">
        <is>
          <t>Max new container builds / yr</t>
        </is>
      </c>
      <c r="E1641" s="4" t="inlineStr">
        <is>
          <t>Max new container builds / yr</t>
        </is>
      </c>
      <c r="F1641" s="4" t="inlineStr">
        <is>
          <t>GOC Bed Unit-Costing Model v2 — working original.xlsx</t>
        </is>
      </c>
    </row>
    <row r="1642" ht="40" customHeight="1">
      <c r="A1642" s="4" t="inlineStr">
        <is>
          <t>original:NM Play!B44</t>
        </is>
      </c>
      <c r="B1642" s="4" t="inlineStr">
        <is>
          <t>NM Play</t>
        </is>
      </c>
      <c r="C1642" s="4" t="inlineStr">
        <is>
          <t>B44</t>
        </is>
      </c>
      <c r="D1642" s="4" t="n">
        <v>3</v>
      </c>
      <c r="E1642" s="4" t="n">
        <v>3</v>
      </c>
      <c r="F1642" s="4" t="inlineStr">
        <is>
          <t>GOC Bed Unit-Costing Model v2 — working original.xlsx</t>
        </is>
      </c>
    </row>
    <row r="1643" ht="60" customHeight="1">
      <c r="A1643" s="4" t="inlineStr">
        <is>
          <t>original:NM Play!C44</t>
        </is>
      </c>
      <c r="B1643" s="4" t="inlineStr">
        <is>
          <t>NM Play</t>
        </is>
      </c>
      <c r="C1643" s="4" t="inlineStr">
        <is>
          <t>C44</t>
        </is>
      </c>
      <c r="D1643" s="4" t="inlineStr">
        <is>
          <t xml:space="preserve">Governor on the auto-build trigger — build capacity, install &amp; training constrain rollout. </t>
        </is>
      </c>
      <c r="E1643" s="4" t="inlineStr">
        <is>
          <t xml:space="preserve">Governor on the auto-build trigger — build capacity, install &amp; training constrain rollout. </t>
        </is>
      </c>
      <c r="F1643" s="4" t="inlineStr">
        <is>
          <t>GOC Bed Unit-Costing Model v2 — working original.xlsx</t>
        </is>
      </c>
    </row>
    <row r="1644" ht="40" customHeight="1">
      <c r="A1644" s="4" t="inlineStr">
        <is>
          <t>original:NM Play!A45</t>
        </is>
      </c>
      <c r="B1644" s="4" t="inlineStr">
        <is>
          <t>NM Play</t>
        </is>
      </c>
      <c r="C1644" s="4" t="inlineStr">
        <is>
          <t>A45</t>
        </is>
      </c>
      <c r="D1644" s="4" t="inlineStr">
        <is>
          <t>First-year utilisation of new facilities</t>
        </is>
      </c>
      <c r="E1644" s="4" t="inlineStr">
        <is>
          <t>First-year utilisation of new facilities</t>
        </is>
      </c>
      <c r="F1644" s="4" t="inlineStr">
        <is>
          <t>GOC Bed Unit-Costing Model v2 — working original.xlsx</t>
        </is>
      </c>
    </row>
    <row r="1645" ht="40" customHeight="1">
      <c r="A1645" s="4" t="inlineStr">
        <is>
          <t>original:NM Play!B45</t>
        </is>
      </c>
      <c r="B1645" s="4" t="inlineStr">
        <is>
          <t>NM Play</t>
        </is>
      </c>
      <c r="C1645" s="4" t="inlineStr">
        <is>
          <t>B45</t>
        </is>
      </c>
      <c r="D1645" s="4" t="n">
        <v>0.4</v>
      </c>
      <c r="E1645" s="4" t="n">
        <v>0.4</v>
      </c>
      <c r="F1645" s="4" t="inlineStr">
        <is>
          <t>GOC Bed Unit-Costing Model v2 — working original.xlsx</t>
        </is>
      </c>
    </row>
    <row r="1646" ht="195" customHeight="1">
      <c r="A1646" s="4" t="inlineStr">
        <is>
          <t>original:NM Play!C45</t>
        </is>
      </c>
      <c r="B1646" s="4" t="inlineStr">
        <is>
          <t>NM Play</t>
        </is>
      </c>
      <c r="C1646" s="4" t="inlineStr">
        <is>
          <t>C45</t>
        </is>
      </c>
      <c r="D1646" s="4" t="inlineStr">
        <is>
          <t xml:space="preserve">Ramp per Q&amp;A Q3: GoC's own production gate is 100 beds/yr (2026, 1 facility) -&gt; 600 (2027, 2 facilities) -&gt; 2,500 by 2030 (5-6 facilities), i.e. facilities do not hit full rate in year one. Applies to the factory in Year 1 and to each container in its build year; 100% thereafter. </t>
        </is>
      </c>
      <c r="E1646" s="4" t="inlineStr">
        <is>
          <t xml:space="preserve">Ramp per Q&amp;A Q3: GoC's own production gate is 100 beds/yr (2026, 1 facility) -&gt; 600 (2027, 2 facilities) -&gt; 2,500 by 2030 (5-6 facilities), i.e. facilities do not hit full rate in year one. Applies to the factory in Year 1 and to each container in its build year; 100% thereafter. </t>
        </is>
      </c>
      <c r="F1646" s="4" t="inlineStr">
        <is>
          <t>GOC Bed Unit-Costing Model v2 — working original.xlsx</t>
        </is>
      </c>
    </row>
    <row r="1647" ht="40" customHeight="1">
      <c r="A1647" s="4" t="inlineStr">
        <is>
          <t>original:NM Play!A46</t>
        </is>
      </c>
      <c r="B1647" s="4" t="inlineStr">
        <is>
          <t>NM Play</t>
        </is>
      </c>
      <c r="C1647" s="4" t="inlineStr">
        <is>
          <t>A46</t>
        </is>
      </c>
      <c r="D1647" s="4" t="inlineStr">
        <is>
          <t>5. CAPITAL STACK</t>
        </is>
      </c>
      <c r="E1647" s="4" t="inlineStr">
        <is>
          <t>5. CAPITAL STACK</t>
        </is>
      </c>
      <c r="F1647" s="4" t="inlineStr">
        <is>
          <t>GOC Bed Unit-Costing Model v2 — working original.xlsx</t>
        </is>
      </c>
    </row>
    <row r="1648" ht="40" customHeight="1">
      <c r="A1648" s="4" t="inlineStr">
        <is>
          <t>original:NM Play!A47</t>
        </is>
      </c>
      <c r="B1648" s="4" t="inlineStr">
        <is>
          <t>NM Play</t>
        </is>
      </c>
      <c r="C1648" s="4" t="inlineStr">
        <is>
          <t>A47</t>
        </is>
      </c>
      <c r="D1648" s="4" t="inlineStr">
        <is>
          <t>QBE match-eligible</t>
        </is>
      </c>
      <c r="E1648" s="4" t="inlineStr">
        <is>
          <t>QBE match-eligible</t>
        </is>
      </c>
      <c r="F1648" s="4" t="inlineStr">
        <is>
          <t>GOC Bed Unit-Costing Model v2 — working original.xlsx</t>
        </is>
      </c>
    </row>
    <row r="1649" ht="40" customHeight="1">
      <c r="A1649" s="4" t="inlineStr">
        <is>
          <t>original:NM Play!B47</t>
        </is>
      </c>
      <c r="B1649" s="4" t="inlineStr">
        <is>
          <t>NM Play</t>
        </is>
      </c>
      <c r="C1649" s="4" t="inlineStr">
        <is>
          <t>B47</t>
        </is>
      </c>
      <c r="D1649" s="4" t="n">
        <v>250000</v>
      </c>
      <c r="E1649" s="4" t="n">
        <v>250000</v>
      </c>
      <c r="F1649" s="4" t="inlineStr">
        <is>
          <t>GOC Bed Unit-Costing Model v2 — working original.xlsx</t>
        </is>
      </c>
    </row>
    <row r="1650" ht="120" customHeight="1">
      <c r="A1650" s="4" t="inlineStr">
        <is>
          <t>original:NM Play!C47</t>
        </is>
      </c>
      <c r="B1650" s="4" t="inlineStr">
        <is>
          <t>NM Play</t>
        </is>
      </c>
      <c r="C1650" s="4" t="inlineStr">
        <is>
          <t>C47</t>
        </is>
      </c>
      <c r="D1650" s="4" t="inlineStr">
        <is>
          <t>PLACEHOLDER — base-case stack per 04-verified-financials (QBE $400K + SEFA $300K + philanthropy $500K); eligible/match/other split needs confirmation with Ben/QBE.</t>
        </is>
      </c>
      <c r="E1650" s="4" t="inlineStr">
        <is>
          <t>PLACEHOLDER — base-case stack per 04-verified-financials (QBE $400K + SEFA $300K + philanthropy $500K); eligible/match/other split needs confirmation with Ben/QBE.</t>
        </is>
      </c>
      <c r="F1650" s="4" t="inlineStr">
        <is>
          <t>GOC Bed Unit-Costing Model v2 — working original.xlsx</t>
        </is>
      </c>
    </row>
    <row r="1651" ht="40" customHeight="1">
      <c r="A1651" s="4" t="inlineStr">
        <is>
          <t>original:NM Play!A48</t>
        </is>
      </c>
      <c r="B1651" s="4" t="inlineStr">
        <is>
          <t>NM Play</t>
        </is>
      </c>
      <c r="C1651" s="4" t="inlineStr">
        <is>
          <t>A48</t>
        </is>
      </c>
      <c r="D1651" s="4" t="inlineStr">
        <is>
          <t>QBE match</t>
        </is>
      </c>
      <c r="E1651" s="4" t="inlineStr">
        <is>
          <t>QBE match</t>
        </is>
      </c>
      <c r="F1651" s="4" t="inlineStr">
        <is>
          <t>GOC Bed Unit-Costing Model v2 — working original.xlsx</t>
        </is>
      </c>
    </row>
    <row r="1652" ht="40" customHeight="1">
      <c r="A1652" s="4" t="inlineStr">
        <is>
          <t>original:NM Play!B48</t>
        </is>
      </c>
      <c r="B1652" s="4" t="inlineStr">
        <is>
          <t>NM Play</t>
        </is>
      </c>
      <c r="C1652" s="4" t="inlineStr">
        <is>
          <t>B48</t>
        </is>
      </c>
      <c r="D1652" s="4" t="n">
        <v>250000</v>
      </c>
      <c r="E1652" s="4" t="n">
        <v>250000</v>
      </c>
      <c r="F1652" s="4" t="inlineStr">
        <is>
          <t>GOC Bed Unit-Costing Model v2 — working original.xlsx</t>
        </is>
      </c>
    </row>
    <row r="1653" ht="45" customHeight="1">
      <c r="A1653" s="4" t="inlineStr">
        <is>
          <t>original:NM Play!C48</t>
        </is>
      </c>
      <c r="B1653" s="4" t="inlineStr">
        <is>
          <t>NM Play</t>
        </is>
      </c>
      <c r="C1653" s="4" t="inlineStr">
        <is>
          <t>C48</t>
        </is>
      </c>
      <c r="D1653" s="4" t="inlineStr">
        <is>
          <t>PLACEHOLDER — assumed 1:1 match. Confirm program terms.</t>
        </is>
      </c>
      <c r="E1653" s="4" t="inlineStr">
        <is>
          <t>PLACEHOLDER — assumed 1:1 match. Confirm program terms.</t>
        </is>
      </c>
      <c r="F1653" s="4" t="inlineStr">
        <is>
          <t>GOC Bed Unit-Costing Model v2 — working original.xlsx</t>
        </is>
      </c>
    </row>
    <row r="1654" ht="40" customHeight="1">
      <c r="A1654" s="4" t="inlineStr">
        <is>
          <t>original:NM Play!A49</t>
        </is>
      </c>
      <c r="B1654" s="4" t="inlineStr">
        <is>
          <t>NM Play</t>
        </is>
      </c>
      <c r="C1654" s="4" t="inlineStr">
        <is>
          <t>A49</t>
        </is>
      </c>
      <c r="D1654" s="4" t="inlineStr">
        <is>
          <t>Other</t>
        </is>
      </c>
      <c r="E1654" s="4" t="inlineStr">
        <is>
          <t>Other</t>
        </is>
      </c>
      <c r="F1654" s="4" t="inlineStr">
        <is>
          <t>GOC Bed Unit-Costing Model v2 — working original.xlsx</t>
        </is>
      </c>
    </row>
    <row r="1655" ht="40" customHeight="1">
      <c r="A1655" s="4" t="inlineStr">
        <is>
          <t>original:NM Play!B49</t>
        </is>
      </c>
      <c r="B1655" s="4" t="inlineStr">
        <is>
          <t>NM Play</t>
        </is>
      </c>
      <c r="C1655" s="4" t="inlineStr">
        <is>
          <t>B49</t>
        </is>
      </c>
      <c r="D1655" s="4" t="n">
        <v>100000</v>
      </c>
      <c r="E1655" s="4" t="n">
        <v>100000</v>
      </c>
      <c r="F1655" s="4" t="inlineStr">
        <is>
          <t>GOC Bed Unit-Costing Model v2 — working original.xlsx</t>
        </is>
      </c>
    </row>
    <row r="1656" ht="40" customHeight="1">
      <c r="A1656" s="4" t="inlineStr">
        <is>
          <t>original:NM Play!C49</t>
        </is>
      </c>
      <c r="B1656" s="4" t="inlineStr">
        <is>
          <t>NM Play</t>
        </is>
      </c>
      <c r="C1656" s="4" t="inlineStr">
        <is>
          <t>C49</t>
        </is>
      </c>
      <c r="D1656" s="4" t="inlineStr">
        <is>
          <t>PLACEHOLDER — anchor philanthropy.</t>
        </is>
      </c>
      <c r="E1656" s="4" t="inlineStr">
        <is>
          <t>PLACEHOLDER — anchor philanthropy.</t>
        </is>
      </c>
      <c r="F1656" s="4" t="inlineStr">
        <is>
          <t>GOC Bed Unit-Costing Model v2 — working original.xlsx</t>
        </is>
      </c>
    </row>
    <row r="1657" ht="40" customHeight="1">
      <c r="A1657" s="4" t="inlineStr">
        <is>
          <t>original:NM Play!A50</t>
        </is>
      </c>
      <c r="B1657" s="4" t="inlineStr">
        <is>
          <t>NM Play</t>
        </is>
      </c>
      <c r="C1657" s="4" t="inlineStr">
        <is>
          <t>A50</t>
        </is>
      </c>
      <c r="D1657" s="4" t="inlineStr">
        <is>
          <t>TOTAL CAPITAL STACK</t>
        </is>
      </c>
      <c r="E1657" s="4" t="inlineStr">
        <is>
          <t>TOTAL CAPITAL STACK</t>
        </is>
      </c>
      <c r="F1657" s="4" t="inlineStr">
        <is>
          <t>GOC Bed Unit-Costing Model v2 — working original.xlsx</t>
        </is>
      </c>
    </row>
    <row r="1658" ht="40" customHeight="1">
      <c r="A1658" s="4" t="inlineStr">
        <is>
          <t>original:NM Play!B50</t>
        </is>
      </c>
      <c r="B1658" s="4" t="inlineStr">
        <is>
          <t>NM Play</t>
        </is>
      </c>
      <c r="C1658" s="4" t="inlineStr">
        <is>
          <t>B50</t>
        </is>
      </c>
      <c r="D1658" s="4" t="inlineStr">
        <is>
          <t>=SUM(B47:B49)</t>
        </is>
      </c>
      <c r="E1658" s="4" t="n">
        <v>600000</v>
      </c>
      <c r="F1658" s="4" t="inlineStr">
        <is>
          <t>GOC Bed Unit-Costing Model v2 — working original.xlsx</t>
        </is>
      </c>
    </row>
    <row r="1659" ht="40" customHeight="1">
      <c r="A1659" s="4" t="inlineStr">
        <is>
          <t>original:NM Play!A52</t>
        </is>
      </c>
      <c r="B1659" s="4" t="inlineStr">
        <is>
          <t>NM Play</t>
        </is>
      </c>
      <c r="C1659" s="4" t="inlineStr">
        <is>
          <t>A52</t>
        </is>
      </c>
      <c r="D1659" s="4" t="inlineStr">
        <is>
          <t>KEY OUTPUTS</t>
        </is>
      </c>
      <c r="E1659" s="4" t="inlineStr">
        <is>
          <t>KEY OUTPUTS</t>
        </is>
      </c>
      <c r="F1659" s="4" t="inlineStr">
        <is>
          <t>GOC Bed Unit-Costing Model v2 — working original.xlsx</t>
        </is>
      </c>
    </row>
    <row r="1660" ht="40" customHeight="1">
      <c r="A1660" s="4" t="inlineStr">
        <is>
          <t>original:NM Play!A53</t>
        </is>
      </c>
      <c r="B1660" s="4" t="inlineStr">
        <is>
          <t>NM Play</t>
        </is>
      </c>
      <c r="C1660" s="4" t="inlineStr">
        <is>
          <t>A53</t>
        </is>
      </c>
      <c r="D1660" s="4" t="inlineStr">
        <is>
          <t>First SELF-FUNDED container build</t>
        </is>
      </c>
      <c r="E1660" s="4" t="inlineStr">
        <is>
          <t>First SELF-FUNDED container build</t>
        </is>
      </c>
      <c r="F1660" s="4" t="inlineStr">
        <is>
          <t>GOC Bed Unit-Costing Model v2 — working original.xlsx</t>
        </is>
      </c>
    </row>
    <row r="1661" ht="40" customHeight="1">
      <c r="A1661" s="4" t="inlineStr">
        <is>
          <t>original:NM Play!B53</t>
        </is>
      </c>
      <c r="B1661" s="4" t="inlineStr">
        <is>
          <t>NM Play</t>
        </is>
      </c>
      <c r="C1661" s="4" t="inlineStr">
        <is>
          <t>B53</t>
        </is>
      </c>
      <c r="D1661" s="4" t="inlineStr">
        <is>
          <t>=IF(COUNT(Projection!R5:R13)=0,"Not within 10 years","Year "&amp;MIN(Projection!R5:R13))</t>
        </is>
      </c>
      <c r="E1661" s="4" t="inlineStr">
        <is>
          <t>Year 4</t>
        </is>
      </c>
      <c r="F1661" s="4" t="inlineStr">
        <is>
          <t>GOC Bed Unit-Costing Model v2 — working original.xlsx</t>
        </is>
      </c>
    </row>
    <row r="1662" ht="40" customHeight="1">
      <c r="A1662" s="4" t="inlineStr">
        <is>
          <t>original:NM Play!A54</t>
        </is>
      </c>
      <c r="B1662" s="4" t="inlineStr">
        <is>
          <t>NM Play</t>
        </is>
      </c>
      <c r="C1662" s="4" t="inlineStr">
        <is>
          <t>A54</t>
        </is>
      </c>
      <c r="D1662" s="4" t="inlineStr">
        <is>
          <t>Minimum cash position (10 yrs)</t>
        </is>
      </c>
      <c r="E1662" s="4" t="inlineStr">
        <is>
          <t>Minimum cash position (10 yrs)</t>
        </is>
      </c>
      <c r="F1662" s="4" t="inlineStr">
        <is>
          <t>GOC Bed Unit-Costing Model v2 — working original.xlsx</t>
        </is>
      </c>
    </row>
    <row r="1663" ht="40" customHeight="1">
      <c r="A1663" s="4" t="inlineStr">
        <is>
          <t>original:NM Play!B54</t>
        </is>
      </c>
      <c r="B1663" s="4" t="inlineStr">
        <is>
          <t>NM Play</t>
        </is>
      </c>
      <c r="C1663" s="4" t="inlineStr">
        <is>
          <t>B54</t>
        </is>
      </c>
      <c r="D1663" s="4" t="inlineStr">
        <is>
          <t>=MIN(Projection!O4:O13)</t>
        </is>
      </c>
      <c r="E1663" s="4" t="n">
        <v>397054</v>
      </c>
      <c r="F1663" s="4" t="inlineStr">
        <is>
          <t>GOC Bed Unit-Costing Model v2 — working original.xlsx</t>
        </is>
      </c>
    </row>
    <row r="1664" ht="40" customHeight="1">
      <c r="A1664" s="4" t="inlineStr">
        <is>
          <t>original:NM Play!A55</t>
        </is>
      </c>
      <c r="B1664" s="4" t="inlineStr">
        <is>
          <t>NM Play</t>
        </is>
      </c>
      <c r="C1664" s="4" t="inlineStr">
        <is>
          <t>A55</t>
        </is>
      </c>
      <c r="D1664" s="4" t="inlineStr">
        <is>
          <t>Capital remaining after Year-1 build</t>
        </is>
      </c>
      <c r="E1664" s="4" t="inlineStr">
        <is>
          <t>Capital remaining after Year-1 build</t>
        </is>
      </c>
      <c r="F1664" s="4" t="inlineStr">
        <is>
          <t>GOC Bed Unit-Costing Model v2 — working original.xlsx</t>
        </is>
      </c>
    </row>
    <row r="1665" ht="40" customHeight="1">
      <c r="A1665" s="4" t="inlineStr">
        <is>
          <t>original:NM Play!B55</t>
        </is>
      </c>
      <c r="B1665" s="4" t="inlineStr">
        <is>
          <t>NM Play</t>
        </is>
      </c>
      <c r="C1665" s="4" t="inlineStr">
        <is>
          <t>B55</t>
        </is>
      </c>
      <c r="D1665" s="4" t="inlineStr">
        <is>
          <t>=B50-B40*B26</t>
        </is>
      </c>
      <c r="E1665" s="4" t="n">
        <v>392550</v>
      </c>
      <c r="F1665" s="4" t="inlineStr">
        <is>
          <t>GOC Bed Unit-Costing Model v2 — working original.xlsx</t>
        </is>
      </c>
    </row>
    <row r="1666" ht="40" customHeight="1">
      <c r="A1666" s="4" t="inlineStr">
        <is>
          <t>original:NM Play!B65</t>
        </is>
      </c>
      <c r="B1666" s="4" t="inlineStr">
        <is>
          <t>NM Play</t>
        </is>
      </c>
      <c r="C1666" s="4" t="inlineStr">
        <is>
          <t>B65</t>
        </is>
      </c>
      <c r="D1666" s="4" t="inlineStr">
        <is>
          <t xml:space="preserve">A Day </t>
        </is>
      </c>
      <c r="E1666" s="4" t="inlineStr">
        <is>
          <t xml:space="preserve">A Day </t>
        </is>
      </c>
      <c r="F1666" s="4" t="inlineStr">
        <is>
          <t>GOC Bed Unit-Costing Model v2 — working original.xlsx</t>
        </is>
      </c>
    </row>
    <row r="1667" ht="40" customHeight="1">
      <c r="A1667" s="4" t="inlineStr">
        <is>
          <t>original:NM Play!C65</t>
        </is>
      </c>
      <c r="B1667" s="4" t="inlineStr">
        <is>
          <t>NM Play</t>
        </is>
      </c>
      <c r="C1667" s="4" t="inlineStr">
        <is>
          <t>C65</t>
        </is>
      </c>
      <c r="D1667" s="4" t="inlineStr">
        <is>
          <t xml:space="preserve">A week </t>
        </is>
      </c>
      <c r="E1667" s="4" t="inlineStr">
        <is>
          <t xml:space="preserve">A week </t>
        </is>
      </c>
      <c r="F1667" s="4" t="inlineStr">
        <is>
          <t>GOC Bed Unit-Costing Model v2 — working original.xlsx</t>
        </is>
      </c>
    </row>
    <row r="1668" ht="40" customHeight="1">
      <c r="A1668" s="4" t="inlineStr">
        <is>
          <t>original:NM Play!D65</t>
        </is>
      </c>
      <c r="B1668" s="4" t="inlineStr">
        <is>
          <t>NM Play</t>
        </is>
      </c>
      <c r="C1668" s="4" t="inlineStr">
        <is>
          <t>D65</t>
        </is>
      </c>
      <c r="D1668" s="4" t="inlineStr">
        <is>
          <t>A month</t>
        </is>
      </c>
      <c r="E1668" s="4" t="inlineStr">
        <is>
          <t>A month</t>
        </is>
      </c>
      <c r="F1668" s="4" t="inlineStr">
        <is>
          <t>GOC Bed Unit-Costing Model v2 — working original.xlsx</t>
        </is>
      </c>
    </row>
    <row r="1669" ht="40" customHeight="1">
      <c r="A1669" s="4" t="inlineStr">
        <is>
          <t>original:NM Play!A66</t>
        </is>
      </c>
      <c r="B1669" s="4" t="inlineStr">
        <is>
          <t>NM Play</t>
        </is>
      </c>
      <c r="C1669" s="4" t="inlineStr">
        <is>
          <t>A66</t>
        </is>
      </c>
      <c r="D1669" s="4" t="inlineStr">
        <is>
          <t xml:space="preserve">Plastic Sheet Making </t>
        </is>
      </c>
      <c r="E1669" s="4" t="inlineStr">
        <is>
          <t xml:space="preserve">Plastic Sheet Making </t>
        </is>
      </c>
      <c r="F1669" s="4" t="inlineStr">
        <is>
          <t>GOC Bed Unit-Costing Model v2 — working original.xlsx</t>
        </is>
      </c>
    </row>
    <row r="1670" ht="40" customHeight="1">
      <c r="A1670" s="4" t="inlineStr">
        <is>
          <t>original:NM Play!B66</t>
        </is>
      </c>
      <c r="B1670" s="4" t="inlineStr">
        <is>
          <t>NM Play</t>
        </is>
      </c>
      <c r="C1670" s="4" t="inlineStr">
        <is>
          <t>B66</t>
        </is>
      </c>
      <c r="D1670" s="4" t="n">
        <v>6</v>
      </c>
      <c r="E1670" s="4" t="n">
        <v>6</v>
      </c>
      <c r="F1670" s="4" t="inlineStr">
        <is>
          <t>GOC Bed Unit-Costing Model v2 — working original.xlsx</t>
        </is>
      </c>
    </row>
    <row r="1671" ht="40" customHeight="1">
      <c r="A1671" s="4" t="inlineStr">
        <is>
          <t>original:NM Play!C66</t>
        </is>
      </c>
      <c r="B1671" s="4" t="inlineStr">
        <is>
          <t>NM Play</t>
        </is>
      </c>
      <c r="C1671" s="4" t="inlineStr">
        <is>
          <t>C66</t>
        </is>
      </c>
      <c r="D1671" s="4" t="inlineStr">
        <is>
          <t>=B66*5</t>
        </is>
      </c>
      <c r="E1671" s="4" t="n">
        <v>30</v>
      </c>
      <c r="F1671" s="4" t="inlineStr">
        <is>
          <t>GOC Bed Unit-Costing Model v2 — working original.xlsx</t>
        </is>
      </c>
    </row>
    <row r="1672" ht="40" customHeight="1">
      <c r="A1672" s="4" t="inlineStr">
        <is>
          <t>original:NM Play!D66</t>
        </is>
      </c>
      <c r="B1672" s="4" t="inlineStr">
        <is>
          <t>NM Play</t>
        </is>
      </c>
      <c r="C1672" s="4" t="inlineStr">
        <is>
          <t>D66</t>
        </is>
      </c>
      <c r="D1672" s="4" t="inlineStr">
        <is>
          <t>=B66*30</t>
        </is>
      </c>
      <c r="E1672" s="4" t="n">
        <v>180</v>
      </c>
      <c r="F1672" s="4" t="inlineStr">
        <is>
          <t>GOC Bed Unit-Costing Model v2 — working original.xlsx</t>
        </is>
      </c>
    </row>
    <row r="1673" ht="40" customHeight="1">
      <c r="A1673" s="4" t="inlineStr">
        <is>
          <t>original:NM Play!A67</t>
        </is>
      </c>
      <c r="B1673" s="4" t="inlineStr">
        <is>
          <t>NM Play</t>
        </is>
      </c>
      <c r="C1673" s="4" t="inlineStr">
        <is>
          <t>A67</t>
        </is>
      </c>
      <c r="D1673" s="4" t="inlineStr">
        <is>
          <t xml:space="preserve">Electricity </t>
        </is>
      </c>
      <c r="E1673" s="4" t="inlineStr">
        <is>
          <t xml:space="preserve">Electricity </t>
        </is>
      </c>
      <c r="F1673" s="4" t="inlineStr">
        <is>
          <t>GOC Bed Unit-Costing Model v2 — working original.xlsx</t>
        </is>
      </c>
    </row>
    <row r="1674" ht="40" customHeight="1">
      <c r="A1674" s="4" t="inlineStr">
        <is>
          <t>original:NM Play!B67</t>
        </is>
      </c>
      <c r="B1674" s="4" t="inlineStr">
        <is>
          <t>NM Play</t>
        </is>
      </c>
      <c r="C1674" s="4" t="inlineStr">
        <is>
          <t>B67</t>
        </is>
      </c>
      <c r="D1674" s="4" t="n">
        <v>50</v>
      </c>
      <c r="E1674" s="4" t="n">
        <v>50</v>
      </c>
      <c r="F1674" s="4" t="inlineStr">
        <is>
          <t>GOC Bed Unit-Costing Model v2 — working original.xlsx</t>
        </is>
      </c>
    </row>
    <row r="1675" ht="40" customHeight="1">
      <c r="A1675" s="4" t="inlineStr">
        <is>
          <t>original:NM Play!A68</t>
        </is>
      </c>
      <c r="B1675" s="4" t="inlineStr">
        <is>
          <t>NM Play</t>
        </is>
      </c>
      <c r="C1675" s="4" t="inlineStr">
        <is>
          <t>A68</t>
        </is>
      </c>
      <c r="D1675" s="4" t="inlineStr">
        <is>
          <t xml:space="preserve">Plastic  20x6 * 3 </t>
        </is>
      </c>
      <c r="E1675" s="4" t="inlineStr">
        <is>
          <t xml:space="preserve">Plastic  20x6 * 3 </t>
        </is>
      </c>
      <c r="F1675" s="4" t="inlineStr">
        <is>
          <t>GOC Bed Unit-Costing Model v2 — working original.xlsx</t>
        </is>
      </c>
    </row>
    <row r="1676" ht="40" customHeight="1">
      <c r="A1676" s="4" t="inlineStr">
        <is>
          <t>original:NM Play!B68</t>
        </is>
      </c>
      <c r="B1676" s="4" t="inlineStr">
        <is>
          <t>NM Play</t>
        </is>
      </c>
      <c r="C1676" s="4" t="inlineStr">
        <is>
          <t>B68</t>
        </is>
      </c>
      <c r="D1676" s="4" t="n">
        <v>360</v>
      </c>
      <c r="E1676" s="4" t="n">
        <v>360</v>
      </c>
      <c r="F1676" s="4" t="inlineStr">
        <is>
          <t>GOC Bed Unit-Costing Model v2 — working original.xlsx</t>
        </is>
      </c>
    </row>
    <row r="1677" ht="40" customHeight="1">
      <c r="A1677" s="4" t="inlineStr">
        <is>
          <t>original:NM Play!A69</t>
        </is>
      </c>
      <c r="B1677" s="4" t="inlineStr">
        <is>
          <t>NM Play</t>
        </is>
      </c>
      <c r="C1677" s="4" t="inlineStr">
        <is>
          <t>A69</t>
        </is>
      </c>
      <c r="D1677" s="4" t="inlineStr">
        <is>
          <t>Total</t>
        </is>
      </c>
      <c r="E1677" s="4" t="inlineStr">
        <is>
          <t>Total</t>
        </is>
      </c>
      <c r="F1677" s="4" t="inlineStr">
        <is>
          <t>GOC Bed Unit-Costing Model v2 — working original.xlsx</t>
        </is>
      </c>
    </row>
    <row r="1678" ht="40" customHeight="1">
      <c r="A1678" s="4" t="inlineStr">
        <is>
          <t>original:NM Play!B69</t>
        </is>
      </c>
      <c r="B1678" s="4" t="inlineStr">
        <is>
          <t>NM Play</t>
        </is>
      </c>
      <c r="C1678" s="4" t="inlineStr">
        <is>
          <t>B69</t>
        </is>
      </c>
      <c r="D1678" s="4" t="inlineStr">
        <is>
          <t>=SUM(B67:B68)</t>
        </is>
      </c>
      <c r="E1678" s="4" t="n">
        <v>410</v>
      </c>
      <c r="F1678" s="4" t="inlineStr">
        <is>
          <t>GOC Bed Unit-Costing Model v2 — working original.xlsx</t>
        </is>
      </c>
    </row>
    <row r="1679" ht="40" customHeight="1">
      <c r="A1679" s="4" t="inlineStr">
        <is>
          <t>original:NM Play!C69</t>
        </is>
      </c>
      <c r="B1679" s="4" t="inlineStr">
        <is>
          <t>NM Play</t>
        </is>
      </c>
      <c r="C1679" s="4" t="inlineStr">
        <is>
          <t>C69</t>
        </is>
      </c>
      <c r="D1679" s="4" t="inlineStr">
        <is>
          <t>=B69*C66</t>
        </is>
      </c>
      <c r="E1679" s="4" t="n">
        <v>12300</v>
      </c>
      <c r="F1679" s="4" t="inlineStr">
        <is>
          <t>GOC Bed Unit-Costing Model v2 — working original.xlsx</t>
        </is>
      </c>
    </row>
    <row r="1680" ht="40" customHeight="1">
      <c r="A1680" s="4" t="inlineStr">
        <is>
          <t>original:NM Play!D69</t>
        </is>
      </c>
      <c r="B1680" s="4" t="inlineStr">
        <is>
          <t>NM Play</t>
        </is>
      </c>
      <c r="C1680" s="4" t="inlineStr">
        <is>
          <t>D69</t>
        </is>
      </c>
      <c r="D1680" s="4" t="inlineStr">
        <is>
          <t>=B69*D66</t>
        </is>
      </c>
      <c r="E1680" s="4" t="n">
        <v>73800</v>
      </c>
      <c r="F1680" s="4" t="inlineStr">
        <is>
          <t>GOC Bed Unit-Costing Model v2 — working original.xlsx</t>
        </is>
      </c>
    </row>
    <row r="1681" ht="40" customHeight="1">
      <c r="A1681" s="4" t="inlineStr">
        <is>
          <t>original:NM Play!A70</t>
        </is>
      </c>
      <c r="B1681" s="4" t="inlineStr">
        <is>
          <t>NM Play</t>
        </is>
      </c>
      <c r="C1681" s="4" t="inlineStr">
        <is>
          <t>A70</t>
        </is>
      </c>
      <c r="D1681" s="4" t="inlineStr">
        <is>
          <t>Per Sheet</t>
        </is>
      </c>
      <c r="E1681" s="4" t="inlineStr">
        <is>
          <t>Per Sheet</t>
        </is>
      </c>
      <c r="F1681" s="4" t="inlineStr">
        <is>
          <t>GOC Bed Unit-Costing Model v2 — working original.xlsx</t>
        </is>
      </c>
    </row>
    <row r="1682" ht="40" customHeight="1">
      <c r="A1682" s="4" t="inlineStr">
        <is>
          <t>original:NM Play!B70</t>
        </is>
      </c>
      <c r="B1682" s="4" t="inlineStr">
        <is>
          <t>NM Play</t>
        </is>
      </c>
      <c r="C1682" s="4" t="inlineStr">
        <is>
          <t>B70</t>
        </is>
      </c>
      <c r="D1682" s="4" t="inlineStr">
        <is>
          <t>=SUM(B67:B68)/B66</t>
        </is>
      </c>
      <c r="E1682" s="4" t="n">
        <v>68.33333333</v>
      </c>
      <c r="F1682" s="4" t="inlineStr">
        <is>
          <t>GOC Bed Unit-Costing Model v2 — working original.xlsx</t>
        </is>
      </c>
    </row>
    <row r="1683" ht="40" customHeight="1">
      <c r="A1683" s="4" t="inlineStr">
        <is>
          <t>original:NM Play!A73</t>
        </is>
      </c>
      <c r="B1683" s="4" t="inlineStr">
        <is>
          <t>NM Play</t>
        </is>
      </c>
      <c r="C1683" s="4" t="inlineStr">
        <is>
          <t>A73</t>
        </is>
      </c>
      <c r="D1683" s="4" t="inlineStr">
        <is>
          <t>CNC Throughput = 8 hour day</t>
        </is>
      </c>
      <c r="E1683" s="4" t="inlineStr">
        <is>
          <t>CNC Throughput = 8 hour day</t>
        </is>
      </c>
      <c r="F1683" s="4" t="inlineStr">
        <is>
          <t>GOC Bed Unit-Costing Model v2 — working original.xlsx</t>
        </is>
      </c>
    </row>
    <row r="1684" ht="40" customHeight="1">
      <c r="A1684" s="4" t="inlineStr">
        <is>
          <t>original:NM Play!B73</t>
        </is>
      </c>
      <c r="B1684" s="4" t="inlineStr">
        <is>
          <t>NM Play</t>
        </is>
      </c>
      <c r="C1684" s="4" t="inlineStr">
        <is>
          <t>B73</t>
        </is>
      </c>
      <c r="D1684" s="4" t="n">
        <v>480</v>
      </c>
      <c r="E1684" s="4" t="n">
        <v>480</v>
      </c>
      <c r="F1684" s="4" t="inlineStr">
        <is>
          <t>GOC Bed Unit-Costing Model v2 — working original.xlsx</t>
        </is>
      </c>
    </row>
    <row r="1685" ht="40" customHeight="1">
      <c r="A1685" s="4" t="inlineStr">
        <is>
          <t>original:NM Play!C73</t>
        </is>
      </c>
      <c r="B1685" s="4" t="inlineStr">
        <is>
          <t>NM Play</t>
        </is>
      </c>
      <c r="C1685" s="4" t="inlineStr">
        <is>
          <t>C73</t>
        </is>
      </c>
      <c r="D1685" s="4" t="inlineStr">
        <is>
          <t>mins</t>
        </is>
      </c>
      <c r="E1685" s="4" t="inlineStr">
        <is>
          <t>mins</t>
        </is>
      </c>
      <c r="F1685" s="4" t="inlineStr">
        <is>
          <t>GOC Bed Unit-Costing Model v2 — working original.xlsx</t>
        </is>
      </c>
    </row>
    <row r="1686" ht="40" customHeight="1">
      <c r="A1686" s="4" t="inlineStr">
        <is>
          <t>original:NM Play!D73</t>
        </is>
      </c>
      <c r="B1686" s="4" t="inlineStr">
        <is>
          <t>NM Play</t>
        </is>
      </c>
      <c r="C1686" s="4" t="inlineStr">
        <is>
          <t>D73</t>
        </is>
      </c>
      <c r="D1686" s="4" t="inlineStr">
        <is>
          <t xml:space="preserve">with buffer </t>
        </is>
      </c>
      <c r="E1686" s="4" t="inlineStr">
        <is>
          <t xml:space="preserve">with buffer </t>
        </is>
      </c>
      <c r="F1686" s="4" t="inlineStr">
        <is>
          <t>GOC Bed Unit-Costing Model v2 — working original.xlsx</t>
        </is>
      </c>
    </row>
    <row r="1687" ht="40" customHeight="1">
      <c r="A1687" s="4" t="inlineStr">
        <is>
          <t>original:NM Play!E73</t>
        </is>
      </c>
      <c r="B1687" s="4" t="inlineStr">
        <is>
          <t>NM Play</t>
        </is>
      </c>
      <c r="C1687" s="4" t="inlineStr">
        <is>
          <t>E73</t>
        </is>
      </c>
      <c r="D1687" s="4" t="inlineStr">
        <is>
          <t>week</t>
        </is>
      </c>
      <c r="E1687" s="4" t="inlineStr">
        <is>
          <t>week</t>
        </is>
      </c>
      <c r="F1687" s="4" t="inlineStr">
        <is>
          <t>GOC Bed Unit-Costing Model v2 — working original.xlsx</t>
        </is>
      </c>
    </row>
    <row r="1688" ht="40" customHeight="1">
      <c r="A1688" s="4" t="inlineStr">
        <is>
          <t>original:NM Play!A74</t>
        </is>
      </c>
      <c r="B1688" s="4" t="inlineStr">
        <is>
          <t>NM Play</t>
        </is>
      </c>
      <c r="C1688" s="4" t="inlineStr">
        <is>
          <t>A74</t>
        </is>
      </c>
      <c r="D1688" s="4" t="inlineStr">
        <is>
          <t>Rectangle Sheets</t>
        </is>
      </c>
      <c r="E1688" s="4" t="inlineStr">
        <is>
          <t>Rectangle Sheets</t>
        </is>
      </c>
      <c r="F1688" s="4" t="inlineStr">
        <is>
          <t>GOC Bed Unit-Costing Model v2 — working original.xlsx</t>
        </is>
      </c>
    </row>
    <row r="1689" ht="40" customHeight="1">
      <c r="A1689" s="4" t="inlineStr">
        <is>
          <t>original:NM Play!B74</t>
        </is>
      </c>
      <c r="B1689" s="4" t="inlineStr">
        <is>
          <t>NM Play</t>
        </is>
      </c>
      <c r="C1689" s="4" t="inlineStr">
        <is>
          <t>B74</t>
        </is>
      </c>
      <c r="D1689" s="4" t="n">
        <v>20</v>
      </c>
      <c r="E1689" s="4" t="n">
        <v>20</v>
      </c>
      <c r="F1689" s="4" t="inlineStr">
        <is>
          <t>GOC Bed Unit-Costing Model v2 — working original.xlsx</t>
        </is>
      </c>
    </row>
    <row r="1690" ht="40" customHeight="1">
      <c r="A1690" s="4" t="inlineStr">
        <is>
          <t>original:NM Play!C74</t>
        </is>
      </c>
      <c r="B1690" s="4" t="inlineStr">
        <is>
          <t>NM Play</t>
        </is>
      </c>
      <c r="C1690" s="4" t="inlineStr">
        <is>
          <t>C74</t>
        </is>
      </c>
      <c r="D1690" s="4" t="inlineStr">
        <is>
          <t>=480/B74</t>
        </is>
      </c>
      <c r="E1690" s="4" t="n">
        <v>24</v>
      </c>
      <c r="F1690" s="4" t="inlineStr">
        <is>
          <t>GOC Bed Unit-Costing Model v2 — working original.xlsx</t>
        </is>
      </c>
    </row>
    <row r="1691" ht="40" customHeight="1">
      <c r="A1691" s="4" t="inlineStr">
        <is>
          <t>original:NM Play!D74</t>
        </is>
      </c>
      <c r="B1691" s="4" t="inlineStr">
        <is>
          <t>NM Play</t>
        </is>
      </c>
      <c r="C1691" s="4" t="inlineStr">
        <is>
          <t>D74</t>
        </is>
      </c>
      <c r="D1691" s="4" t="n">
        <v>22</v>
      </c>
      <c r="E1691" s="4" t="n">
        <v>22</v>
      </c>
      <c r="F1691" s="4" t="inlineStr">
        <is>
          <t>GOC Bed Unit-Costing Model v2 — working original.xlsx</t>
        </is>
      </c>
    </row>
    <row r="1692" ht="40" customHeight="1">
      <c r="A1692" s="4" t="inlineStr">
        <is>
          <t>original:NM Play!E74</t>
        </is>
      </c>
      <c r="B1692" s="4" t="inlineStr">
        <is>
          <t>NM Play</t>
        </is>
      </c>
      <c r="C1692" s="4" t="inlineStr">
        <is>
          <t>E74</t>
        </is>
      </c>
      <c r="D1692" s="4" t="inlineStr">
        <is>
          <t>=D74*5</t>
        </is>
      </c>
      <c r="E1692" s="4" t="n">
        <v>110</v>
      </c>
      <c r="F1692" s="4" t="inlineStr">
        <is>
          <t>GOC Bed Unit-Costing Model v2 — working original.xlsx</t>
        </is>
      </c>
    </row>
    <row r="1693" ht="45" customHeight="1">
      <c r="A1693" s="4" t="inlineStr">
        <is>
          <t>original:NM Play!G74</t>
        </is>
      </c>
      <c r="B1693" s="4" t="inlineStr">
        <is>
          <t>NM Play</t>
        </is>
      </c>
      <c r="C1693" s="4" t="inlineStr">
        <is>
          <t>G74</t>
        </is>
      </c>
      <c r="D1693" s="4" t="inlineStr">
        <is>
          <t xml:space="preserve">We can make ~ 70 beds worth of cutting material a week </t>
        </is>
      </c>
      <c r="E1693" s="4" t="inlineStr">
        <is>
          <t xml:space="preserve">We can make ~ 70 beds worth of cutting material a week </t>
        </is>
      </c>
      <c r="F1693" s="4" t="inlineStr">
        <is>
          <t>GOC Bed Unit-Costing Model v2 — working original.xlsx</t>
        </is>
      </c>
    </row>
    <row r="1694" ht="40" customHeight="1">
      <c r="A1694" s="4" t="inlineStr">
        <is>
          <t>original:NM Play!A75</t>
        </is>
      </c>
      <c r="B1694" s="4" t="inlineStr">
        <is>
          <t>NM Play</t>
        </is>
      </c>
      <c r="C1694" s="4" t="inlineStr">
        <is>
          <t>A75</t>
        </is>
      </c>
      <c r="D1694" s="4" t="inlineStr">
        <is>
          <t>Leg Sheets</t>
        </is>
      </c>
      <c r="E1694" s="4" t="inlineStr">
        <is>
          <t>Leg Sheets</t>
        </is>
      </c>
      <c r="F1694" s="4" t="inlineStr">
        <is>
          <t>GOC Bed Unit-Costing Model v2 — working original.xlsx</t>
        </is>
      </c>
    </row>
    <row r="1695" ht="40" customHeight="1">
      <c r="A1695" s="4" t="inlineStr">
        <is>
          <t>original:NM Play!B75</t>
        </is>
      </c>
      <c r="B1695" s="4" t="inlineStr">
        <is>
          <t>NM Play</t>
        </is>
      </c>
      <c r="C1695" s="4" t="inlineStr">
        <is>
          <t>B75</t>
        </is>
      </c>
      <c r="D1695" s="4" t="n">
        <v>30</v>
      </c>
      <c r="E1695" s="4" t="n">
        <v>30</v>
      </c>
      <c r="F1695" s="4" t="inlineStr">
        <is>
          <t>GOC Bed Unit-Costing Model v2 — working original.xlsx</t>
        </is>
      </c>
    </row>
    <row r="1696" ht="40" customHeight="1">
      <c r="A1696" s="4" t="inlineStr">
        <is>
          <t>original:NM Play!C75</t>
        </is>
      </c>
      <c r="B1696" s="4" t="inlineStr">
        <is>
          <t>NM Play</t>
        </is>
      </c>
      <c r="C1696" s="4" t="inlineStr">
        <is>
          <t>C75</t>
        </is>
      </c>
      <c r="D1696" s="4" t="inlineStr">
        <is>
          <t>=480/B75</t>
        </is>
      </c>
      <c r="E1696" s="4" t="n">
        <v>16</v>
      </c>
      <c r="F1696" s="4" t="inlineStr">
        <is>
          <t>GOC Bed Unit-Costing Model v2 — working original.xlsx</t>
        </is>
      </c>
    </row>
    <row r="1697" ht="40" customHeight="1">
      <c r="A1697" s="4" t="inlineStr">
        <is>
          <t>original:NM Play!D75</t>
        </is>
      </c>
      <c r="B1697" s="4" t="inlineStr">
        <is>
          <t>NM Play</t>
        </is>
      </c>
      <c r="C1697" s="4" t="inlineStr">
        <is>
          <t>D75</t>
        </is>
      </c>
      <c r="D1697" s="4" t="n">
        <v>14</v>
      </c>
      <c r="E1697" s="4" t="n">
        <v>14</v>
      </c>
      <c r="F1697" s="4" t="inlineStr">
        <is>
          <t>GOC Bed Unit-Costing Model v2 — working original.xlsx</t>
        </is>
      </c>
    </row>
    <row r="1698" ht="40" customHeight="1">
      <c r="A1698" s="4" t="inlineStr">
        <is>
          <t>original:NM Play!E75</t>
        </is>
      </c>
      <c r="B1698" s="4" t="inlineStr">
        <is>
          <t>NM Play</t>
        </is>
      </c>
      <c r="C1698" s="4" t="inlineStr">
        <is>
          <t>E75</t>
        </is>
      </c>
      <c r="D1698" s="4" t="inlineStr">
        <is>
          <t>=D75*5</t>
        </is>
      </c>
      <c r="E1698" s="4" t="n">
        <v>70</v>
      </c>
      <c r="F1698" s="4" t="inlineStr">
        <is>
          <t>GOC Bed Unit-Costing Model v2 — working original.xlsx</t>
        </is>
      </c>
    </row>
    <row r="1699" ht="40" customHeight="1">
      <c r="A1699" s="4" t="inlineStr">
        <is>
          <t>original:NM Play!A77</t>
        </is>
      </c>
      <c r="B1699" s="4" t="inlineStr">
        <is>
          <t>NM Play</t>
        </is>
      </c>
      <c r="C1699" s="4" t="inlineStr">
        <is>
          <t>A77</t>
        </is>
      </c>
      <c r="D1699" s="4" t="inlineStr">
        <is>
          <t>Eding - Gaps in Day</t>
        </is>
      </c>
      <c r="E1699" s="4" t="inlineStr">
        <is>
          <t>Eding - Gaps in Day</t>
        </is>
      </c>
      <c r="F1699" s="4" t="inlineStr">
        <is>
          <t>GOC Bed Unit-Costing Model v2 — working original.xlsx</t>
        </is>
      </c>
    </row>
    <row r="1700" ht="40" customHeight="1">
      <c r="A1700" s="4" t="inlineStr">
        <is>
          <t>original:NM Play!A78</t>
        </is>
      </c>
      <c r="B1700" s="4" t="inlineStr">
        <is>
          <t>NM Play</t>
        </is>
      </c>
      <c r="C1700" s="4" t="inlineStr">
        <is>
          <t>A78</t>
        </is>
      </c>
      <c r="D1700" s="4" t="inlineStr">
        <is>
          <t xml:space="preserve">Shredding - Gaps in day </t>
        </is>
      </c>
      <c r="E1700" s="4" t="inlineStr">
        <is>
          <t xml:space="preserve">Shredding - Gaps in day </t>
        </is>
      </c>
      <c r="F1700" s="4" t="inlineStr">
        <is>
          <t>GOC Bed Unit-Costing Model v2 — working original.xlsx</t>
        </is>
      </c>
    </row>
    <row r="1701" ht="40" customHeight="1">
      <c r="A1701" s="4" t="inlineStr">
        <is>
          <t>original:NM Play!A81</t>
        </is>
      </c>
      <c r="B1701" s="4" t="inlineStr">
        <is>
          <t>NM Play</t>
        </is>
      </c>
      <c r="C1701" s="4" t="inlineStr">
        <is>
          <t>A81</t>
        </is>
      </c>
      <c r="D1701" s="4" t="inlineStr">
        <is>
          <t>Whats out limit - sheet production</t>
        </is>
      </c>
      <c r="E1701" s="4" t="inlineStr">
        <is>
          <t>Whats out limit - sheet production</t>
        </is>
      </c>
      <c r="F1701" s="4" t="inlineStr">
        <is>
          <t>GOC Bed Unit-Costing Model v2 — working original.xlsx</t>
        </is>
      </c>
    </row>
    <row r="1702" ht="40" customHeight="1">
      <c r="A1702" s="4" t="inlineStr">
        <is>
          <t>original:NM Play!C81</t>
        </is>
      </c>
      <c r="B1702" s="4" t="inlineStr">
        <is>
          <t>NM Play</t>
        </is>
      </c>
      <c r="C1702" s="4" t="inlineStr">
        <is>
          <t>C81</t>
        </is>
      </c>
      <c r="D1702" s="4" t="inlineStr">
        <is>
          <t>cost per bed</t>
        </is>
      </c>
      <c r="E1702" s="4" t="inlineStr">
        <is>
          <t>cost per bed</t>
        </is>
      </c>
      <c r="F1702" s="4" t="inlineStr">
        <is>
          <t>GOC Bed Unit-Costing Model v2 — working original.xlsx</t>
        </is>
      </c>
    </row>
    <row r="1703" ht="40" customHeight="1">
      <c r="A1703" s="4" t="inlineStr">
        <is>
          <t>original:NM Play!D81</t>
        </is>
      </c>
      <c r="B1703" s="4" t="inlineStr">
        <is>
          <t>NM Play</t>
        </is>
      </c>
      <c r="C1703" s="4" t="inlineStr">
        <is>
          <t>D81</t>
        </is>
      </c>
      <c r="D1703" s="4" t="inlineStr">
        <is>
          <t>week</t>
        </is>
      </c>
      <c r="E1703" s="4" t="inlineStr">
        <is>
          <t>week</t>
        </is>
      </c>
      <c r="F1703" s="4" t="inlineStr">
        <is>
          <t>GOC Bed Unit-Costing Model v2 — working original.xlsx</t>
        </is>
      </c>
    </row>
    <row r="1704" ht="40" customHeight="1">
      <c r="A1704" s="4" t="inlineStr">
        <is>
          <t>original:NM Play!A82</t>
        </is>
      </c>
      <c r="B1704" s="4" t="inlineStr">
        <is>
          <t>NM Play</t>
        </is>
      </c>
      <c r="C1704" s="4" t="inlineStr">
        <is>
          <t>A82</t>
        </is>
      </c>
      <c r="D1704" s="4" t="inlineStr">
        <is>
          <t xml:space="preserve">if we defy panel for legs = 30 beds a week </t>
        </is>
      </c>
      <c r="E1704" s="4" t="inlineStr">
        <is>
          <t xml:space="preserve">if we defy panel for legs = 30 beds a week </t>
        </is>
      </c>
      <c r="F1704" s="4" t="inlineStr">
        <is>
          <t>GOC Bed Unit-Costing Model v2 — working original.xlsx</t>
        </is>
      </c>
    </row>
    <row r="1705" ht="40" customHeight="1">
      <c r="A1705" s="4" t="inlineStr">
        <is>
          <t>original:NM Play!B82</t>
        </is>
      </c>
      <c r="B1705" s="4" t="inlineStr">
        <is>
          <t>NM Play</t>
        </is>
      </c>
      <c r="C1705" s="4" t="inlineStr">
        <is>
          <t>B82</t>
        </is>
      </c>
      <c r="D1705" s="4" t="inlineStr">
        <is>
          <t>Defy Sheet $160 per bed</t>
        </is>
      </c>
      <c r="E1705" s="4" t="inlineStr">
        <is>
          <t>Defy Sheet $160 per bed</t>
        </is>
      </c>
      <c r="F1705" s="4" t="inlineStr">
        <is>
          <t>GOC Bed Unit-Costing Model v2 — working original.xlsx</t>
        </is>
      </c>
    </row>
    <row r="1706" ht="40" customHeight="1">
      <c r="A1706" s="4" t="inlineStr">
        <is>
          <t>original:NM Play!C82</t>
        </is>
      </c>
      <c r="B1706" s="4" t="inlineStr">
        <is>
          <t>NM Play</t>
        </is>
      </c>
      <c r="C1706" s="4" t="inlineStr">
        <is>
          <t>C82</t>
        </is>
      </c>
      <c r="D1706" s="4" t="inlineStr">
        <is>
          <t>=B70+160</t>
        </is>
      </c>
      <c r="E1706" s="4" t="n">
        <v>228.3333333</v>
      </c>
      <c r="F1706" s="4" t="inlineStr">
        <is>
          <t>GOC Bed Unit-Costing Model v2 — working original.xlsx</t>
        </is>
      </c>
    </row>
    <row r="1707" ht="40" customHeight="1">
      <c r="A1707" s="4" t="inlineStr">
        <is>
          <t>original:NM Play!D82</t>
        </is>
      </c>
      <c r="B1707" s="4" t="inlineStr">
        <is>
          <t>NM Play</t>
        </is>
      </c>
      <c r="C1707" s="4" t="inlineStr">
        <is>
          <t>D82</t>
        </is>
      </c>
      <c r="D1707" s="4" t="n">
        <v>30</v>
      </c>
      <c r="E1707" s="4" t="n">
        <v>30</v>
      </c>
      <c r="F1707" s="4" t="inlineStr">
        <is>
          <t>GOC Bed Unit-Costing Model v2 — working original.xlsx</t>
        </is>
      </c>
    </row>
    <row r="1708" ht="40" customHeight="1">
      <c r="A1708" s="4" t="inlineStr">
        <is>
          <t>original:NM Play!E82</t>
        </is>
      </c>
      <c r="B1708" s="4" t="inlineStr">
        <is>
          <t>NM Play</t>
        </is>
      </c>
      <c r="C1708" s="4" t="inlineStr">
        <is>
          <t>E82</t>
        </is>
      </c>
      <c r="D1708" s="4" t="inlineStr">
        <is>
          <t>=D82*C82</t>
        </is>
      </c>
      <c r="E1708" s="4" t="n">
        <v>6850</v>
      </c>
      <c r="F1708" s="4" t="inlineStr">
        <is>
          <t>GOC Bed Unit-Costing Model v2 — working original.xlsx</t>
        </is>
      </c>
    </row>
    <row r="1709" ht="40" customHeight="1">
      <c r="A1709" s="4" t="inlineStr">
        <is>
          <t>original:NM Play!A83</t>
        </is>
      </c>
      <c r="B1709" s="4" t="inlineStr">
        <is>
          <t>NM Play</t>
        </is>
      </c>
      <c r="C1709" s="4" t="inlineStr">
        <is>
          <t>A83</t>
        </is>
      </c>
      <c r="D1709" s="4" t="inlineStr">
        <is>
          <t xml:space="preserve">if we make the panel - 15 beds a week </t>
        </is>
      </c>
      <c r="E1709" s="4" t="inlineStr">
        <is>
          <t xml:space="preserve">if we make the panel - 15 beds a week </t>
        </is>
      </c>
      <c r="F1709" s="4" t="inlineStr">
        <is>
          <t>GOC Bed Unit-Costing Model v2 — working original.xlsx</t>
        </is>
      </c>
    </row>
    <row r="1710" ht="40" customHeight="1">
      <c r="A1710" s="4" t="inlineStr">
        <is>
          <t>original:NM Play!B83</t>
        </is>
      </c>
      <c r="B1710" s="4" t="inlineStr">
        <is>
          <t>NM Play</t>
        </is>
      </c>
      <c r="C1710" s="4" t="inlineStr">
        <is>
          <t>B83</t>
        </is>
      </c>
      <c r="D1710" s="4" t="inlineStr">
        <is>
          <t>Two sheets per bed</t>
        </is>
      </c>
      <c r="E1710" s="4" t="inlineStr">
        <is>
          <t>Two sheets per bed</t>
        </is>
      </c>
      <c r="F1710" s="4" t="inlineStr">
        <is>
          <t>GOC Bed Unit-Costing Model v2 — working original.xlsx</t>
        </is>
      </c>
    </row>
    <row r="1711" ht="40" customHeight="1">
      <c r="A1711" s="4" t="inlineStr">
        <is>
          <t>original:NM Play!C83</t>
        </is>
      </c>
      <c r="B1711" s="4" t="inlineStr">
        <is>
          <t>NM Play</t>
        </is>
      </c>
      <c r="C1711" s="4" t="inlineStr">
        <is>
          <t>C83</t>
        </is>
      </c>
      <c r="D1711" s="4" t="inlineStr">
        <is>
          <t>=B70*2</t>
        </is>
      </c>
      <c r="E1711" s="4" t="n">
        <v>136.6666667</v>
      </c>
      <c r="F1711" s="4" t="inlineStr">
        <is>
          <t>GOC Bed Unit-Costing Model v2 — working original.xlsx</t>
        </is>
      </c>
    </row>
    <row r="1712" ht="40" customHeight="1">
      <c r="A1712" s="4" t="inlineStr">
        <is>
          <t>original:NM Play!D83</t>
        </is>
      </c>
      <c r="B1712" s="4" t="inlineStr">
        <is>
          <t>NM Play</t>
        </is>
      </c>
      <c r="C1712" s="4" t="inlineStr">
        <is>
          <t>D83</t>
        </is>
      </c>
      <c r="D1712" s="4" t="n">
        <v>15</v>
      </c>
      <c r="E1712" s="4" t="n">
        <v>15</v>
      </c>
      <c r="F1712" s="4" t="inlineStr">
        <is>
          <t>GOC Bed Unit-Costing Model v2 — working original.xlsx</t>
        </is>
      </c>
    </row>
    <row r="1713" ht="40" customHeight="1">
      <c r="A1713" s="4" t="inlineStr">
        <is>
          <t>original:NM Play!E83</t>
        </is>
      </c>
      <c r="B1713" s="4" t="inlineStr">
        <is>
          <t>NM Play</t>
        </is>
      </c>
      <c r="C1713" s="4" t="inlineStr">
        <is>
          <t>E83</t>
        </is>
      </c>
      <c r="D1713" s="4" t="inlineStr">
        <is>
          <t>=D83*C83</t>
        </is>
      </c>
      <c r="E1713" s="4" t="n">
        <v>2050</v>
      </c>
      <c r="F1713" s="4" t="inlineStr">
        <is>
          <t>GOC Bed Unit-Costing Model v2 — working original.xlsx</t>
        </is>
      </c>
    </row>
    <row r="1714" ht="40" customHeight="1">
      <c r="A1714" s="4" t="inlineStr">
        <is>
          <t>original:NM Play!A86</t>
        </is>
      </c>
      <c r="B1714" s="4" t="inlineStr">
        <is>
          <t>NM Play</t>
        </is>
      </c>
      <c r="C1714" s="4" t="inlineStr">
        <is>
          <t>A86</t>
        </is>
      </c>
      <c r="D1714" s="4" t="inlineStr">
        <is>
          <t xml:space="preserve">Factory Cost </t>
        </is>
      </c>
      <c r="E1714" s="4" t="inlineStr">
        <is>
          <t xml:space="preserve">Factory Cost </t>
        </is>
      </c>
      <c r="F1714" s="4" t="inlineStr">
        <is>
          <t>GOC Bed Unit-Costing Model v2 — working original.xlsx</t>
        </is>
      </c>
    </row>
    <row r="1715" ht="40" customHeight="1">
      <c r="A1715" s="4" t="inlineStr">
        <is>
          <t>original:NM Play!B86</t>
        </is>
      </c>
      <c r="B1715" s="4" t="inlineStr">
        <is>
          <t>NM Play</t>
        </is>
      </c>
      <c r="C1715" s="4" t="inlineStr">
        <is>
          <t>B86</t>
        </is>
      </c>
      <c r="D1715" s="4" t="inlineStr">
        <is>
          <t>day</t>
        </is>
      </c>
      <c r="E1715" s="4" t="inlineStr">
        <is>
          <t>day</t>
        </is>
      </c>
      <c r="F1715" s="4" t="inlineStr">
        <is>
          <t>GOC Bed Unit-Costing Model v2 — working original.xlsx</t>
        </is>
      </c>
    </row>
    <row r="1716" ht="40" customHeight="1">
      <c r="A1716" s="4" t="inlineStr">
        <is>
          <t>original:NM Play!C86</t>
        </is>
      </c>
      <c r="B1716" s="4" t="inlineStr">
        <is>
          <t>NM Play</t>
        </is>
      </c>
      <c r="C1716" s="4" t="inlineStr">
        <is>
          <t>C86</t>
        </is>
      </c>
      <c r="D1716" s="4" t="inlineStr">
        <is>
          <t>week</t>
        </is>
      </c>
      <c r="E1716" s="4" t="inlineStr">
        <is>
          <t>week</t>
        </is>
      </c>
      <c r="F1716" s="4" t="inlineStr">
        <is>
          <t>GOC Bed Unit-Costing Model v2 — working original.xlsx</t>
        </is>
      </c>
    </row>
    <row r="1717" ht="40" customHeight="1">
      <c r="A1717" s="4" t="inlineStr">
        <is>
          <t>original:NM Play!A87</t>
        </is>
      </c>
      <c r="B1717" s="4" t="inlineStr">
        <is>
          <t>NM Play</t>
        </is>
      </c>
      <c r="C1717" s="4" t="inlineStr">
        <is>
          <t>A87</t>
        </is>
      </c>
      <c r="D1717" s="4" t="inlineStr">
        <is>
          <t>Joey</t>
        </is>
      </c>
      <c r="E1717" s="4" t="inlineStr">
        <is>
          <t>Joey</t>
        </is>
      </c>
      <c r="F1717" s="4" t="inlineStr">
        <is>
          <t>GOC Bed Unit-Costing Model v2 — working original.xlsx</t>
        </is>
      </c>
    </row>
    <row r="1718" ht="40" customHeight="1">
      <c r="A1718" s="4" t="inlineStr">
        <is>
          <t>original:NM Play!B87</t>
        </is>
      </c>
      <c r="B1718" s="4" t="inlineStr">
        <is>
          <t>NM Play</t>
        </is>
      </c>
      <c r="C1718" s="4" t="inlineStr">
        <is>
          <t>B87</t>
        </is>
      </c>
      <c r="D1718" s="4" t="n">
        <v>400</v>
      </c>
      <c r="E1718" s="4" t="n">
        <v>400</v>
      </c>
      <c r="F1718" s="4" t="inlineStr">
        <is>
          <t>GOC Bed Unit-Costing Model v2 — working original.xlsx</t>
        </is>
      </c>
    </row>
    <row r="1719" ht="40" customHeight="1">
      <c r="A1719" s="4" t="inlineStr">
        <is>
          <t>original:NM Play!C87</t>
        </is>
      </c>
      <c r="B1719" s="4" t="inlineStr">
        <is>
          <t>NM Play</t>
        </is>
      </c>
      <c r="C1719" s="4" t="inlineStr">
        <is>
          <t>C87</t>
        </is>
      </c>
      <c r="D1719" s="4" t="inlineStr">
        <is>
          <t>=B87*5</t>
        </is>
      </c>
      <c r="E1719" s="4" t="n">
        <v>2000</v>
      </c>
      <c r="F1719" s="4" t="inlineStr">
        <is>
          <t>GOC Bed Unit-Costing Model v2 — working original.xlsx</t>
        </is>
      </c>
    </row>
    <row r="1720" ht="40" customHeight="1">
      <c r="A1720" s="4" t="inlineStr">
        <is>
          <t>original:NM Play!A88</t>
        </is>
      </c>
      <c r="B1720" s="4" t="inlineStr">
        <is>
          <t>NM Play</t>
        </is>
      </c>
      <c r="C1720" s="4" t="inlineStr">
        <is>
          <t>A88</t>
        </is>
      </c>
      <c r="D1720" s="4" t="inlineStr">
        <is>
          <t>Katrina</t>
        </is>
      </c>
      <c r="E1720" s="4" t="inlineStr">
        <is>
          <t>Katrina</t>
        </is>
      </c>
      <c r="F1720" s="4" t="inlineStr">
        <is>
          <t>GOC Bed Unit-Costing Model v2 — working original.xlsx</t>
        </is>
      </c>
    </row>
    <row r="1721" ht="40" customHeight="1">
      <c r="A1721" s="4" t="inlineStr">
        <is>
          <t>original:NM Play!C88</t>
        </is>
      </c>
      <c r="B1721" s="4" t="inlineStr">
        <is>
          <t>NM Play</t>
        </is>
      </c>
      <c r="C1721" s="4" t="inlineStr">
        <is>
          <t>C88</t>
        </is>
      </c>
      <c r="D1721" s="4" t="inlineStr">
        <is>
          <t>=B88*5</t>
        </is>
      </c>
      <c r="E1721" s="4" t="n">
        <v>0</v>
      </c>
      <c r="F1721" s="4" t="inlineStr">
        <is>
          <t>GOC Bed Unit-Costing Model v2 — working original.xlsx</t>
        </is>
      </c>
    </row>
    <row r="1722" ht="40" customHeight="1">
      <c r="A1722" s="4" t="inlineStr">
        <is>
          <t>original:NM Play!A89</t>
        </is>
      </c>
      <c r="B1722" s="4" t="inlineStr">
        <is>
          <t>NM Play</t>
        </is>
      </c>
      <c r="C1722" s="4" t="inlineStr">
        <is>
          <t>A89</t>
        </is>
      </c>
      <c r="D1722" s="4" t="inlineStr">
        <is>
          <t xml:space="preserve">Consumables </t>
        </is>
      </c>
      <c r="E1722" s="4" t="inlineStr">
        <is>
          <t xml:space="preserve">Consumables </t>
        </is>
      </c>
      <c r="F1722" s="4" t="inlineStr">
        <is>
          <t>GOC Bed Unit-Costing Model v2 — working original.xlsx</t>
        </is>
      </c>
    </row>
    <row r="1723" ht="40" customHeight="1">
      <c r="A1723" s="4" t="inlineStr">
        <is>
          <t>original:NM Play!B89</t>
        </is>
      </c>
      <c r="B1723" s="4" t="inlineStr">
        <is>
          <t>NM Play</t>
        </is>
      </c>
      <c r="C1723" s="4" t="inlineStr">
        <is>
          <t>B89</t>
        </is>
      </c>
      <c r="D1723" s="4" t="n">
        <v>100</v>
      </c>
      <c r="E1723" s="4" t="n">
        <v>100</v>
      </c>
      <c r="F1723" s="4" t="inlineStr">
        <is>
          <t>GOC Bed Unit-Costing Model v2 — working original.xlsx</t>
        </is>
      </c>
    </row>
    <row r="1724" ht="40" customHeight="1">
      <c r="A1724" s="4" t="inlineStr">
        <is>
          <t>original:NM Play!C89</t>
        </is>
      </c>
      <c r="B1724" s="4" t="inlineStr">
        <is>
          <t>NM Play</t>
        </is>
      </c>
      <c r="C1724" s="4" t="inlineStr">
        <is>
          <t>C89</t>
        </is>
      </c>
      <c r="D1724" s="4" t="inlineStr">
        <is>
          <t>=B89*5</t>
        </is>
      </c>
      <c r="E1724" s="4" t="n">
        <v>500</v>
      </c>
      <c r="F1724" s="4" t="inlineStr">
        <is>
          <t>GOC Bed Unit-Costing Model v2 — working original.xlsx</t>
        </is>
      </c>
    </row>
    <row r="1725" ht="40" customHeight="1">
      <c r="A1725" s="4" t="inlineStr">
        <is>
          <t>original:NM Play!A90</t>
        </is>
      </c>
      <c r="B1725" s="4" t="inlineStr">
        <is>
          <t>NM Play</t>
        </is>
      </c>
      <c r="C1725" s="4" t="inlineStr">
        <is>
          <t>A90</t>
        </is>
      </c>
      <c r="D1725" s="4" t="inlineStr">
        <is>
          <t xml:space="preserve">Rent </t>
        </is>
      </c>
      <c r="E1725" s="4" t="inlineStr">
        <is>
          <t xml:space="preserve">Rent </t>
        </is>
      </c>
      <c r="F1725" s="4" t="inlineStr">
        <is>
          <t>GOC Bed Unit-Costing Model v2 — working original.xlsx</t>
        </is>
      </c>
    </row>
    <row r="1726" ht="40" customHeight="1">
      <c r="A1726" s="4" t="inlineStr">
        <is>
          <t>original:NM Play!B90</t>
        </is>
      </c>
      <c r="B1726" s="4" t="inlineStr">
        <is>
          <t>NM Play</t>
        </is>
      </c>
      <c r="C1726" s="4" t="inlineStr">
        <is>
          <t>B90</t>
        </is>
      </c>
      <c r="D1726" s="4" t="n">
        <v>200</v>
      </c>
      <c r="E1726" s="4" t="n">
        <v>200</v>
      </c>
      <c r="F1726" s="4" t="inlineStr">
        <is>
          <t>GOC Bed Unit-Costing Model v2 — working original.xlsx</t>
        </is>
      </c>
    </row>
    <row r="1727" ht="40" customHeight="1">
      <c r="A1727" s="4" t="inlineStr">
        <is>
          <t>original:NM Play!C90</t>
        </is>
      </c>
      <c r="B1727" s="4" t="inlineStr">
        <is>
          <t>NM Play</t>
        </is>
      </c>
      <c r="C1727" s="4" t="inlineStr">
        <is>
          <t>C90</t>
        </is>
      </c>
      <c r="D1727" s="4" t="inlineStr">
        <is>
          <t>=B90*5</t>
        </is>
      </c>
      <c r="E1727" s="4" t="n">
        <v>1000</v>
      </c>
      <c r="F1727" s="4" t="inlineStr">
        <is>
          <t>GOC Bed Unit-Costing Model v2 — working original.xlsx</t>
        </is>
      </c>
    </row>
    <row r="1728" ht="40" customHeight="1">
      <c r="A1728" s="4" t="inlineStr">
        <is>
          <t>original:NM Play!B91</t>
        </is>
      </c>
      <c r="B1728" s="4" t="inlineStr">
        <is>
          <t>NM Play</t>
        </is>
      </c>
      <c r="C1728" s="4" t="inlineStr">
        <is>
          <t>B91</t>
        </is>
      </c>
      <c r="D1728" s="4" t="inlineStr">
        <is>
          <t>=sum(B87:B90)</t>
        </is>
      </c>
      <c r="E1728" s="4" t="n">
        <v>700</v>
      </c>
      <c r="F1728" s="4" t="inlineStr">
        <is>
          <t>GOC Bed Unit-Costing Model v2 — working original.xlsx</t>
        </is>
      </c>
    </row>
    <row r="1729" ht="40" customHeight="1">
      <c r="A1729" s="4" t="inlineStr">
        <is>
          <t>original:NM Play!C91</t>
        </is>
      </c>
      <c r="B1729" s="4" t="inlineStr">
        <is>
          <t>NM Play</t>
        </is>
      </c>
      <c r="C1729" s="4" t="inlineStr">
        <is>
          <t>C91</t>
        </is>
      </c>
      <c r="D1729" s="4" t="inlineStr">
        <is>
          <t>=B91*5</t>
        </is>
      </c>
      <c r="E1729" s="4" t="n">
        <v>3500</v>
      </c>
      <c r="F1729" s="4" t="inlineStr">
        <is>
          <t>GOC Bed Unit-Costing Model v2 — working original.xlsx</t>
        </is>
      </c>
    </row>
    <row r="1730" ht="40" customHeight="1">
      <c r="A1730" s="4" t="inlineStr">
        <is>
          <t>original:NM Play!A94</t>
        </is>
      </c>
      <c r="B1730" s="4" t="inlineStr">
        <is>
          <t>NM Play</t>
        </is>
      </c>
      <c r="C1730" s="4" t="inlineStr">
        <is>
          <t>A94</t>
        </is>
      </c>
      <c r="D1730" s="4" t="inlineStr">
        <is>
          <t>Cost per bed - defy sheet</t>
        </is>
      </c>
      <c r="E1730" s="4" t="inlineStr">
        <is>
          <t>Cost per bed - defy sheet</t>
        </is>
      </c>
      <c r="F1730" s="4" t="inlineStr">
        <is>
          <t>GOC Bed Unit-Costing Model v2 — working original.xlsx</t>
        </is>
      </c>
    </row>
    <row r="1731" ht="40" customHeight="1">
      <c r="A1731" s="4" t="inlineStr">
        <is>
          <t>original:NM Play!B94</t>
        </is>
      </c>
      <c r="B1731" s="4" t="inlineStr">
        <is>
          <t>NM Play</t>
        </is>
      </c>
      <c r="C1731" s="4" t="inlineStr">
        <is>
          <t>B94</t>
        </is>
      </c>
      <c r="D1731" s="4" t="inlineStr">
        <is>
          <t>=(C91+E82)/D82</t>
        </is>
      </c>
      <c r="E1731" s="4" t="n">
        <v>345</v>
      </c>
      <c r="F1731" s="4" t="inlineStr">
        <is>
          <t>GOC Bed Unit-Costing Model v2 — working original.xlsx</t>
        </is>
      </c>
    </row>
    <row r="1732" ht="40" customHeight="1">
      <c r="A1732" s="4" t="inlineStr">
        <is>
          <t>original:NM Play!A95</t>
        </is>
      </c>
      <c r="B1732" s="4" t="inlineStr">
        <is>
          <t>NM Play</t>
        </is>
      </c>
      <c r="C1732" s="4" t="inlineStr">
        <is>
          <t>A95</t>
        </is>
      </c>
      <c r="D1732" s="4" t="inlineStr">
        <is>
          <t>Cost per bed - our sheet</t>
        </is>
      </c>
      <c r="E1732" s="4" t="inlineStr">
        <is>
          <t>Cost per bed - our sheet</t>
        </is>
      </c>
      <c r="F1732" s="4" t="inlineStr">
        <is>
          <t>GOC Bed Unit-Costing Model v2 — working original.xlsx</t>
        </is>
      </c>
    </row>
    <row r="1733" ht="40" customHeight="1">
      <c r="A1733" s="4" t="inlineStr">
        <is>
          <t>original:NM Play!B95</t>
        </is>
      </c>
      <c r="B1733" s="4" t="inlineStr">
        <is>
          <t>NM Play</t>
        </is>
      </c>
      <c r="C1733" s="4" t="inlineStr">
        <is>
          <t>B95</t>
        </is>
      </c>
      <c r="D1733" s="4" t="inlineStr">
        <is>
          <t>=(C91+E83)/15</t>
        </is>
      </c>
      <c r="E1733" s="4" t="n">
        <v>370</v>
      </c>
      <c r="F1733" s="4" t="inlineStr">
        <is>
          <t>GOC Bed Unit-Costing Model v2 — working original.xlsx</t>
        </is>
      </c>
    </row>
    <row r="1734" ht="40" customHeight="1">
      <c r="A1734" s="4" t="inlineStr">
        <is>
          <t>original:NM Play!A103</t>
        </is>
      </c>
      <c r="B1734" s="4" t="inlineStr">
        <is>
          <t>NM Play</t>
        </is>
      </c>
      <c r="C1734" s="4" t="inlineStr">
        <is>
          <t>A103</t>
        </is>
      </c>
      <c r="D1734" s="4" t="inlineStr">
        <is>
          <t>Palm</t>
        </is>
      </c>
      <c r="E1734" s="4" t="inlineStr">
        <is>
          <t>Palm</t>
        </is>
      </c>
      <c r="F1734" s="4" t="inlineStr">
        <is>
          <t>GOC Bed Unit-Costing Model v2 — working original.xlsx</t>
        </is>
      </c>
    </row>
    <row r="1735" ht="40" customHeight="1">
      <c r="A1735" s="4" t="inlineStr">
        <is>
          <t>original:NM Play!B103</t>
        </is>
      </c>
      <c r="B1735" s="4" t="inlineStr">
        <is>
          <t>NM Play</t>
        </is>
      </c>
      <c r="C1735" s="4" t="inlineStr">
        <is>
          <t>B103</t>
        </is>
      </c>
      <c r="D1735" s="4" t="n">
        <v>50</v>
      </c>
      <c r="E1735" s="4" t="n">
        <v>50</v>
      </c>
      <c r="F1735" s="4" t="inlineStr">
        <is>
          <t>GOC Bed Unit-Costing Model v2 — working original.xlsx</t>
        </is>
      </c>
    </row>
    <row r="1736" ht="40" customHeight="1">
      <c r="A1736" s="4" t="inlineStr">
        <is>
          <t>original:NM Play!A104</t>
        </is>
      </c>
      <c r="B1736" s="4" t="inlineStr">
        <is>
          <t>NM Play</t>
        </is>
      </c>
      <c r="C1736" s="4" t="inlineStr">
        <is>
          <t>A104</t>
        </is>
      </c>
      <c r="D1736" s="4" t="inlineStr">
        <is>
          <t>Mt Isa + DOOMAGEE</t>
        </is>
      </c>
      <c r="E1736" s="4" t="inlineStr">
        <is>
          <t>Mt Isa + DOOMAGEE</t>
        </is>
      </c>
      <c r="F1736" s="4" t="inlineStr">
        <is>
          <t>GOC Bed Unit-Costing Model v2 — working original.xlsx</t>
        </is>
      </c>
    </row>
    <row r="1737" ht="40" customHeight="1">
      <c r="A1737" s="4" t="inlineStr">
        <is>
          <t>original:NM Play!B104</t>
        </is>
      </c>
      <c r="B1737" s="4" t="inlineStr">
        <is>
          <t>NM Play</t>
        </is>
      </c>
      <c r="C1737" s="4" t="inlineStr">
        <is>
          <t>B104</t>
        </is>
      </c>
      <c r="D1737" s="4" t="n">
        <v>100</v>
      </c>
      <c r="E1737" s="4" t="n">
        <v>100</v>
      </c>
      <c r="F1737" s="4" t="inlineStr">
        <is>
          <t>GOC Bed Unit-Costing Model v2 — working original.xlsx</t>
        </is>
      </c>
    </row>
    <row r="1738" ht="40" customHeight="1">
      <c r="A1738" s="4" t="inlineStr">
        <is>
          <t>original:NM Play!A105</t>
        </is>
      </c>
      <c r="B1738" s="4" t="inlineStr">
        <is>
          <t>NM Play</t>
        </is>
      </c>
      <c r="C1738" s="4" t="inlineStr">
        <is>
          <t>A105</t>
        </is>
      </c>
      <c r="D1738" s="4" t="inlineStr">
        <is>
          <t xml:space="preserve">Maningrida </t>
        </is>
      </c>
      <c r="E1738" s="4" t="inlineStr">
        <is>
          <t xml:space="preserve">Maningrida </t>
        </is>
      </c>
      <c r="F1738" s="4" t="inlineStr">
        <is>
          <t>GOC Bed Unit-Costing Model v2 — working original.xlsx</t>
        </is>
      </c>
    </row>
    <row r="1739" ht="40" customHeight="1">
      <c r="A1739" s="4" t="inlineStr">
        <is>
          <t>original:NM Play!B105</t>
        </is>
      </c>
      <c r="B1739" s="4" t="inlineStr">
        <is>
          <t>NM Play</t>
        </is>
      </c>
      <c r="C1739" s="4" t="inlineStr">
        <is>
          <t>B105</t>
        </is>
      </c>
      <c r="D1739" s="4" t="n">
        <v>100</v>
      </c>
      <c r="E1739" s="4" t="n">
        <v>100</v>
      </c>
      <c r="F1739" s="4" t="inlineStr">
        <is>
          <t>GOC Bed Unit-Costing Model v2 — working original.xlsx</t>
        </is>
      </c>
    </row>
    <row r="1740" ht="40" customHeight="1">
      <c r="A1740" s="4" t="inlineStr">
        <is>
          <t>original:NM Play!A106</t>
        </is>
      </c>
      <c r="B1740" s="4" t="inlineStr">
        <is>
          <t>NM Play</t>
        </is>
      </c>
      <c r="C1740" s="4" t="inlineStr">
        <is>
          <t>A106</t>
        </is>
      </c>
      <c r="D1740" s="4" t="inlineStr">
        <is>
          <t xml:space="preserve">Kunna </t>
        </is>
      </c>
      <c r="E1740" s="4" t="inlineStr">
        <is>
          <t xml:space="preserve">Kunna </t>
        </is>
      </c>
      <c r="F1740" s="4" t="inlineStr">
        <is>
          <t>GOC Bed Unit-Costing Model v2 — working original.xlsx</t>
        </is>
      </c>
    </row>
    <row r="1741" ht="40" customHeight="1">
      <c r="A1741" s="4" t="inlineStr">
        <is>
          <t>original:NM Play!B106</t>
        </is>
      </c>
      <c r="B1741" s="4" t="inlineStr">
        <is>
          <t>NM Play</t>
        </is>
      </c>
      <c r="C1741" s="4" t="inlineStr">
        <is>
          <t>B106</t>
        </is>
      </c>
      <c r="D1741" s="4" t="n">
        <v>100</v>
      </c>
      <c r="E1741" s="4" t="n">
        <v>100</v>
      </c>
      <c r="F1741" s="4" t="inlineStr">
        <is>
          <t>GOC Bed Unit-Costing Model v2 — working original.xlsx</t>
        </is>
      </c>
    </row>
    <row r="1742" ht="40" customHeight="1">
      <c r="A1742" s="4" t="inlineStr">
        <is>
          <t>original:NM Play!A107</t>
        </is>
      </c>
      <c r="B1742" s="4" t="inlineStr">
        <is>
          <t>NM Play</t>
        </is>
      </c>
      <c r="C1742" s="4" t="inlineStr">
        <is>
          <t>A107</t>
        </is>
      </c>
      <c r="D1742" s="4" t="inlineStr">
        <is>
          <t>Ceduna + Port</t>
        </is>
      </c>
      <c r="E1742" s="4" t="inlineStr">
        <is>
          <t>Ceduna + Port</t>
        </is>
      </c>
      <c r="F1742" s="4" t="inlineStr">
        <is>
          <t>GOC Bed Unit-Costing Model v2 — working original.xlsx</t>
        </is>
      </c>
    </row>
    <row r="1743" ht="40" customHeight="1">
      <c r="A1743" s="4" t="inlineStr">
        <is>
          <t>original:NM Play!B107</t>
        </is>
      </c>
      <c r="B1743" s="4" t="inlineStr">
        <is>
          <t>NM Play</t>
        </is>
      </c>
      <c r="C1743" s="4" t="inlineStr">
        <is>
          <t>B107</t>
        </is>
      </c>
      <c r="D1743" s="4" t="n">
        <v>100</v>
      </c>
      <c r="E1743" s="4" t="n">
        <v>100</v>
      </c>
      <c r="F1743" s="4" t="inlineStr">
        <is>
          <t>GOC Bed Unit-Costing Model v2 — working original.xlsx</t>
        </is>
      </c>
    </row>
    <row r="1744" ht="40" customHeight="1">
      <c r="A1744" s="4" t="inlineStr">
        <is>
          <t>original:NM Play!A108</t>
        </is>
      </c>
      <c r="B1744" s="4" t="inlineStr">
        <is>
          <t>NM Play</t>
        </is>
      </c>
      <c r="C1744" s="4" t="inlineStr">
        <is>
          <t>A108</t>
        </is>
      </c>
      <c r="D1744" s="4" t="inlineStr">
        <is>
          <t>Utopia</t>
        </is>
      </c>
      <c r="E1744" s="4" t="inlineStr">
        <is>
          <t>Utopia</t>
        </is>
      </c>
      <c r="F1744" s="4" t="inlineStr">
        <is>
          <t>GOC Bed Unit-Costing Model v2 — working original.xlsx</t>
        </is>
      </c>
    </row>
    <row r="1745" ht="40" customHeight="1">
      <c r="A1745" s="4" t="inlineStr">
        <is>
          <t>original:NM Play!B108</t>
        </is>
      </c>
      <c r="B1745" s="4" t="inlineStr">
        <is>
          <t>NM Play</t>
        </is>
      </c>
      <c r="C1745" s="4" t="inlineStr">
        <is>
          <t>B108</t>
        </is>
      </c>
      <c r="D1745" s="4" t="n">
        <v>50</v>
      </c>
      <c r="E1745" s="4" t="n">
        <v>50</v>
      </c>
      <c r="F1745" s="4" t="inlineStr">
        <is>
          <t>GOC Bed Unit-Costing Model v2 — working original.xlsx</t>
        </is>
      </c>
    </row>
    <row r="1746" ht="40" customHeight="1">
      <c r="A1746" s="4" t="inlineStr">
        <is>
          <t>original:NM Play!A109</t>
        </is>
      </c>
      <c r="B1746" s="4" t="inlineStr">
        <is>
          <t>NM Play</t>
        </is>
      </c>
      <c r="C1746" s="4" t="inlineStr">
        <is>
          <t>A109</t>
        </is>
      </c>
      <c r="D1746" s="4" t="inlineStr">
        <is>
          <t>Tennant</t>
        </is>
      </c>
      <c r="E1746" s="4" t="inlineStr">
        <is>
          <t>Tennant</t>
        </is>
      </c>
      <c r="F1746" s="4" t="inlineStr">
        <is>
          <t>GOC Bed Unit-Costing Model v2 — working original.xlsx</t>
        </is>
      </c>
    </row>
    <row r="1747" ht="40" customHeight="1">
      <c r="A1747" s="4" t="inlineStr">
        <is>
          <t>original:NM Play!B109</t>
        </is>
      </c>
      <c r="B1747" s="4" t="inlineStr">
        <is>
          <t>NM Play</t>
        </is>
      </c>
      <c r="C1747" s="4" t="inlineStr">
        <is>
          <t>B109</t>
        </is>
      </c>
      <c r="D1747" s="4" t="n">
        <v>50</v>
      </c>
      <c r="E1747" s="4" t="n">
        <v>50</v>
      </c>
      <c r="F1747" s="4" t="inlineStr">
        <is>
          <t>GOC Bed Unit-Costing Model v2 — working original.xlsx</t>
        </is>
      </c>
    </row>
    <row r="1748" ht="40" customHeight="1">
      <c r="A1748" s="4" t="inlineStr">
        <is>
          <t>original:NM Play!A110</t>
        </is>
      </c>
      <c r="B1748" s="4" t="inlineStr">
        <is>
          <t>NM Play</t>
        </is>
      </c>
      <c r="C1748" s="4" t="inlineStr">
        <is>
          <t>A110</t>
        </is>
      </c>
      <c r="D1748" s="4" t="inlineStr">
        <is>
          <t xml:space="preserve">Katherine </t>
        </is>
      </c>
      <c r="E1748" s="4" t="inlineStr">
        <is>
          <t xml:space="preserve">Katherine </t>
        </is>
      </c>
      <c r="F1748" s="4" t="inlineStr">
        <is>
          <t>GOC Bed Unit-Costing Model v2 — working original.xlsx</t>
        </is>
      </c>
    </row>
    <row r="1749" ht="40" customHeight="1">
      <c r="A1749" s="4" t="inlineStr">
        <is>
          <t>original:NM Play!B110</t>
        </is>
      </c>
      <c r="B1749" s="4" t="inlineStr">
        <is>
          <t>NM Play</t>
        </is>
      </c>
      <c r="C1749" s="4" t="inlineStr">
        <is>
          <t>B110</t>
        </is>
      </c>
      <c r="D1749" s="4" t="n">
        <v>50</v>
      </c>
      <c r="E1749" s="4" t="n">
        <v>50</v>
      </c>
      <c r="F1749" s="4" t="inlineStr">
        <is>
          <t>GOC Bed Unit-Costing Model v2 — working original.xlsx</t>
        </is>
      </c>
    </row>
    <row r="1750" ht="40" customHeight="1">
      <c r="A1750" s="4" t="inlineStr">
        <is>
          <t>original:NM Play!A111</t>
        </is>
      </c>
      <c r="B1750" s="4" t="inlineStr">
        <is>
          <t>NM Play</t>
        </is>
      </c>
      <c r="C1750" s="4" t="inlineStr">
        <is>
          <t>A111</t>
        </is>
      </c>
      <c r="D1750" s="4" t="inlineStr">
        <is>
          <t xml:space="preserve">Kalgoorlie </t>
        </is>
      </c>
      <c r="E1750" s="4" t="inlineStr">
        <is>
          <t xml:space="preserve">Kalgoorlie </t>
        </is>
      </c>
      <c r="F1750" s="4" t="inlineStr">
        <is>
          <t>GOC Bed Unit-Costing Model v2 — working original.xlsx</t>
        </is>
      </c>
    </row>
    <row r="1751" ht="40" customHeight="1">
      <c r="A1751" s="4" t="inlineStr">
        <is>
          <t>original:NM Play!B111</t>
        </is>
      </c>
      <c r="B1751" s="4" t="inlineStr">
        <is>
          <t>NM Play</t>
        </is>
      </c>
      <c r="C1751" s="4" t="inlineStr">
        <is>
          <t>B111</t>
        </is>
      </c>
      <c r="D1751" s="4" t="n">
        <v>50</v>
      </c>
      <c r="E1751" s="4" t="n">
        <v>50</v>
      </c>
      <c r="F1751" s="4" t="inlineStr">
        <is>
          <t>GOC Bed Unit-Costing Model v2 — working original.xlsx</t>
        </is>
      </c>
    </row>
    <row r="1752" ht="40" customHeight="1">
      <c r="A1752" s="4" t="inlineStr">
        <is>
          <t>original:NM Play!A112</t>
        </is>
      </c>
      <c r="B1752" s="4" t="inlineStr">
        <is>
          <t>NM Play</t>
        </is>
      </c>
      <c r="C1752" s="4" t="inlineStr">
        <is>
          <t>A112</t>
        </is>
      </c>
      <c r="D1752" s="4" t="inlineStr">
        <is>
          <t>Dubbo</t>
        </is>
      </c>
      <c r="E1752" s="4" t="inlineStr">
        <is>
          <t>Dubbo</t>
        </is>
      </c>
      <c r="F1752" s="4" t="inlineStr">
        <is>
          <t>GOC Bed Unit-Costing Model v2 — working original.xlsx</t>
        </is>
      </c>
    </row>
    <row r="1753" ht="40" customHeight="1">
      <c r="A1753" s="4" t="inlineStr">
        <is>
          <t>original:NM Play!B112</t>
        </is>
      </c>
      <c r="B1753" s="4" t="inlineStr">
        <is>
          <t>NM Play</t>
        </is>
      </c>
      <c r="C1753" s="4" t="inlineStr">
        <is>
          <t>B112</t>
        </is>
      </c>
      <c r="D1753" s="4" t="n">
        <v>50</v>
      </c>
      <c r="E1753" s="4" t="n">
        <v>50</v>
      </c>
      <c r="F1753" s="4" t="inlineStr">
        <is>
          <t>GOC Bed Unit-Costing Model v2 — working original.xlsx</t>
        </is>
      </c>
    </row>
    <row r="1754" ht="40" customHeight="1">
      <c r="A1754" s="4" t="inlineStr">
        <is>
          <t>original:NM Play!A113</t>
        </is>
      </c>
      <c r="B1754" s="4" t="inlineStr">
        <is>
          <t>NM Play</t>
        </is>
      </c>
      <c r="C1754" s="4" t="inlineStr">
        <is>
          <t>A113</t>
        </is>
      </c>
      <c r="D1754" s="4" t="inlineStr">
        <is>
          <t xml:space="preserve">Darwin </t>
        </is>
      </c>
      <c r="E1754" s="4" t="inlineStr">
        <is>
          <t xml:space="preserve">Darwin </t>
        </is>
      </c>
      <c r="F1754" s="4" t="inlineStr">
        <is>
          <t>GOC Bed Unit-Costing Model v2 — working original.xlsx</t>
        </is>
      </c>
    </row>
    <row r="1755" ht="40" customHeight="1">
      <c r="A1755" s="4" t="inlineStr">
        <is>
          <t>original:NM Play!B113</t>
        </is>
      </c>
      <c r="B1755" s="4" t="inlineStr">
        <is>
          <t>NM Play</t>
        </is>
      </c>
      <c r="C1755" s="4" t="inlineStr">
        <is>
          <t>B113</t>
        </is>
      </c>
      <c r="D1755" s="4" t="n">
        <v>50</v>
      </c>
      <c r="E1755" s="4" t="n">
        <v>50</v>
      </c>
      <c r="F1755" s="4" t="inlineStr">
        <is>
          <t>GOC Bed Unit-Costing Model v2 — working original.xlsx</t>
        </is>
      </c>
    </row>
    <row r="1756" ht="40" customHeight="1">
      <c r="A1756" s="4" t="inlineStr">
        <is>
          <t>original:NM Play!A114</t>
        </is>
      </c>
      <c r="B1756" s="4" t="inlineStr">
        <is>
          <t>NM Play</t>
        </is>
      </c>
      <c r="C1756" s="4" t="inlineStr">
        <is>
          <t>A114</t>
        </is>
      </c>
      <c r="D1756" s="4" t="inlineStr">
        <is>
          <t>Halls Creek</t>
        </is>
      </c>
      <c r="E1756" s="4" t="inlineStr">
        <is>
          <t>Halls Creek</t>
        </is>
      </c>
      <c r="F1756" s="4" t="inlineStr">
        <is>
          <t>GOC Bed Unit-Costing Model v2 — working original.xlsx</t>
        </is>
      </c>
    </row>
    <row r="1757" ht="40" customHeight="1">
      <c r="A1757" s="4" t="inlineStr">
        <is>
          <t>original:NM Play!B114</t>
        </is>
      </c>
      <c r="B1757" s="4" t="inlineStr">
        <is>
          <t>NM Play</t>
        </is>
      </c>
      <c r="C1757" s="4" t="inlineStr">
        <is>
          <t>B114</t>
        </is>
      </c>
      <c r="D1757" s="4" t="n">
        <v>50</v>
      </c>
      <c r="E1757" s="4" t="n">
        <v>50</v>
      </c>
      <c r="F1757" s="4" t="inlineStr">
        <is>
          <t>GOC Bed Unit-Costing Model v2 — working original.xlsx</t>
        </is>
      </c>
    </row>
    <row r="1758" ht="40" customHeight="1">
      <c r="A1758" s="4" t="inlineStr">
        <is>
          <t>original:NM Play!A115</t>
        </is>
      </c>
      <c r="B1758" s="4" t="inlineStr">
        <is>
          <t>NM Play</t>
        </is>
      </c>
      <c r="C1758" s="4" t="inlineStr">
        <is>
          <t>A115</t>
        </is>
      </c>
      <c r="D1758" s="4" t="inlineStr">
        <is>
          <t>Derby</t>
        </is>
      </c>
      <c r="E1758" s="4" t="inlineStr">
        <is>
          <t>Derby</t>
        </is>
      </c>
      <c r="F1758" s="4" t="inlineStr">
        <is>
          <t>GOC Bed Unit-Costing Model v2 — working original.xlsx</t>
        </is>
      </c>
    </row>
    <row r="1759" ht="40" customHeight="1">
      <c r="A1759" s="4" t="inlineStr">
        <is>
          <t>original:NM Play!B115</t>
        </is>
      </c>
      <c r="B1759" s="4" t="inlineStr">
        <is>
          <t>NM Play</t>
        </is>
      </c>
      <c r="C1759" s="4" t="inlineStr">
        <is>
          <t>B115</t>
        </is>
      </c>
      <c r="D1759" s="4" t="n">
        <v>50</v>
      </c>
      <c r="E1759" s="4" t="n">
        <v>50</v>
      </c>
      <c r="F1759" s="4" t="inlineStr">
        <is>
          <t>GOC Bed Unit-Costing Model v2 — working original.xlsx</t>
        </is>
      </c>
    </row>
    <row r="1760" ht="40" customHeight="1">
      <c r="A1760" s="4" t="inlineStr">
        <is>
          <t>original:NM Play!A116</t>
        </is>
      </c>
      <c r="B1760" s="4" t="inlineStr">
        <is>
          <t>NM Play</t>
        </is>
      </c>
      <c r="C1760" s="4" t="inlineStr">
        <is>
          <t>A116</t>
        </is>
      </c>
      <c r="D1760" s="4" t="inlineStr">
        <is>
          <t xml:space="preserve">Hopevale </t>
        </is>
      </c>
      <c r="E1760" s="4" t="inlineStr">
        <is>
          <t xml:space="preserve">Hopevale </t>
        </is>
      </c>
      <c r="F1760" s="4" t="inlineStr">
        <is>
          <t>GOC Bed Unit-Costing Model v2 — working original.xlsx</t>
        </is>
      </c>
    </row>
    <row r="1761" ht="40" customHeight="1">
      <c r="A1761" s="4" t="inlineStr">
        <is>
          <t>original:NM Play!B116</t>
        </is>
      </c>
      <c r="B1761" s="4" t="inlineStr">
        <is>
          <t>NM Play</t>
        </is>
      </c>
      <c r="C1761" s="4" t="inlineStr">
        <is>
          <t>B116</t>
        </is>
      </c>
      <c r="D1761" s="4" t="n">
        <v>50</v>
      </c>
      <c r="E1761" s="4" t="n">
        <v>50</v>
      </c>
      <c r="F1761" s="4" t="inlineStr">
        <is>
          <t>GOC Bed Unit-Costing Model v2 — working original.xlsx</t>
        </is>
      </c>
    </row>
    <row r="1762" ht="40" customHeight="1">
      <c r="A1762" s="4" t="inlineStr">
        <is>
          <t>original:NM Play!A117</t>
        </is>
      </c>
      <c r="B1762" s="4" t="inlineStr">
        <is>
          <t>NM Play</t>
        </is>
      </c>
      <c r="C1762" s="4" t="inlineStr">
        <is>
          <t>A117</t>
        </is>
      </c>
      <c r="D1762" s="4" t="inlineStr">
        <is>
          <t>TI</t>
        </is>
      </c>
      <c r="E1762" s="4" t="inlineStr">
        <is>
          <t>TI</t>
        </is>
      </c>
      <c r="F1762" s="4" t="inlineStr">
        <is>
          <t>GOC Bed Unit-Costing Model v2 — working original.xlsx</t>
        </is>
      </c>
    </row>
    <row r="1763" ht="40" customHeight="1">
      <c r="A1763" s="4" t="inlineStr">
        <is>
          <t>original:NM Play!B117</t>
        </is>
      </c>
      <c r="B1763" s="4" t="inlineStr">
        <is>
          <t>NM Play</t>
        </is>
      </c>
      <c r="C1763" s="4" t="inlineStr">
        <is>
          <t>B117</t>
        </is>
      </c>
      <c r="D1763" s="4" t="n">
        <v>50</v>
      </c>
      <c r="E1763" s="4" t="n">
        <v>50</v>
      </c>
      <c r="F1763" s="4" t="inlineStr">
        <is>
          <t>GOC Bed Unit-Costing Model v2 — working original.xlsx</t>
        </is>
      </c>
    </row>
    <row r="1764" ht="40" customHeight="1">
      <c r="A1764" s="4" t="inlineStr">
        <is>
          <t>original:NM Play!A118</t>
        </is>
      </c>
      <c r="B1764" s="4" t="inlineStr">
        <is>
          <t>NM Play</t>
        </is>
      </c>
      <c r="C1764" s="4" t="inlineStr">
        <is>
          <t>A118</t>
        </is>
      </c>
      <c r="D1764" s="4" t="inlineStr">
        <is>
          <t xml:space="preserve">Mornington </t>
        </is>
      </c>
      <c r="E1764" s="4" t="inlineStr">
        <is>
          <t xml:space="preserve">Mornington </t>
        </is>
      </c>
      <c r="F1764" s="4" t="inlineStr">
        <is>
          <t>GOC Bed Unit-Costing Model v2 — working original.xlsx</t>
        </is>
      </c>
    </row>
    <row r="1765" ht="40" customHeight="1">
      <c r="A1765" s="4" t="inlineStr">
        <is>
          <t>original:NM Play!B118</t>
        </is>
      </c>
      <c r="B1765" s="4" t="inlineStr">
        <is>
          <t>NM Play</t>
        </is>
      </c>
      <c r="C1765" s="4" t="inlineStr">
        <is>
          <t>B118</t>
        </is>
      </c>
      <c r="D1765" s="4" t="n">
        <v>50</v>
      </c>
      <c r="E1765" s="4" t="n">
        <v>50</v>
      </c>
      <c r="F1765" s="4" t="inlineStr">
        <is>
          <t>GOC Bed Unit-Costing Model v2 — working original.xlsx</t>
        </is>
      </c>
    </row>
    <row r="1766" ht="40" customHeight="1">
      <c r="A1766" s="4" t="inlineStr">
        <is>
          <t>original:NM Play!A119</t>
        </is>
      </c>
      <c r="B1766" s="4" t="inlineStr">
        <is>
          <t>NM Play</t>
        </is>
      </c>
      <c r="C1766" s="4" t="inlineStr">
        <is>
          <t>A119</t>
        </is>
      </c>
      <c r="D1766" s="4" t="inlineStr">
        <is>
          <t>Total</t>
        </is>
      </c>
      <c r="E1766" s="4" t="inlineStr">
        <is>
          <t>Total</t>
        </is>
      </c>
      <c r="F1766" s="4" t="inlineStr">
        <is>
          <t>GOC Bed Unit-Costing Model v2 — working original.xlsx</t>
        </is>
      </c>
    </row>
    <row r="1767" ht="40" customHeight="1">
      <c r="A1767" s="4" t="inlineStr">
        <is>
          <t>original:NM Play!B119</t>
        </is>
      </c>
      <c r="B1767" s="4" t="inlineStr">
        <is>
          <t>NM Play</t>
        </is>
      </c>
      <c r="C1767" s="4" t="inlineStr">
        <is>
          <t>B119</t>
        </is>
      </c>
      <c r="D1767" s="4" t="inlineStr">
        <is>
          <t>=SUM(B103:B118)</t>
        </is>
      </c>
      <c r="E1767" s="4" t="n">
        <v>1000</v>
      </c>
      <c r="F1767" s="4" t="inlineStr">
        <is>
          <t>GOC Bed Unit-Costing Model v2 — working original.xlsx</t>
        </is>
      </c>
    </row>
    <row r="1768" ht="40" customHeight="1">
      <c r="A1768" s="4" t="inlineStr">
        <is>
          <t>original:NM Play!E119</t>
        </is>
      </c>
      <c r="B1768" s="4" t="inlineStr">
        <is>
          <t>NM Play</t>
        </is>
      </c>
      <c r="C1768" s="4" t="inlineStr">
        <is>
          <t>E119</t>
        </is>
      </c>
      <c r="D1768" s="4" t="inlineStr">
        <is>
          <t>=B119*750</t>
        </is>
      </c>
      <c r="E1768" s="4" t="n">
        <v>750000</v>
      </c>
      <c r="F1768" s="4" t="inlineStr">
        <is>
          <t>GOC Bed Unit-Costing Model v2 — working original.xlsx</t>
        </is>
      </c>
    </row>
    <row r="1769" ht="40" customHeight="1">
      <c r="A1769" s="4" t="inlineStr">
        <is>
          <t>original:NM Play!A121</t>
        </is>
      </c>
      <c r="B1769" s="4" t="inlineStr">
        <is>
          <t>NM Play</t>
        </is>
      </c>
      <c r="C1769" s="4" t="inlineStr">
        <is>
          <t>A121</t>
        </is>
      </c>
      <c r="D1769" s="4" t="inlineStr">
        <is>
          <t>a</t>
        </is>
      </c>
      <c r="E1769" s="4" t="inlineStr">
        <is>
          <t>a</t>
        </is>
      </c>
      <c r="F1769" s="4" t="inlineStr">
        <is>
          <t>GOC Bed Unit-Costing Model v2 — working original.xlsx</t>
        </is>
      </c>
    </row>
    <row r="1770" ht="40" customHeight="1">
      <c r="A1770" s="4" t="inlineStr">
        <is>
          <t>original:NM Play!B121</t>
        </is>
      </c>
      <c r="B1770" s="4" t="inlineStr">
        <is>
          <t>NM Play</t>
        </is>
      </c>
      <c r="C1770" s="4" t="inlineStr">
        <is>
          <t>B121</t>
        </is>
      </c>
      <c r="D1770" s="4" t="inlineStr">
        <is>
          <t>month</t>
        </is>
      </c>
      <c r="E1770" s="4" t="inlineStr">
        <is>
          <t>month</t>
        </is>
      </c>
      <c r="F1770" s="4" t="inlineStr">
        <is>
          <t>GOC Bed Unit-Costing Model v2 — working original.xlsx</t>
        </is>
      </c>
    </row>
    <row r="1771" ht="40" customHeight="1">
      <c r="A1771" s="4" t="inlineStr">
        <is>
          <t>original:NM Play!C121</t>
        </is>
      </c>
      <c r="B1771" s="4" t="inlineStr">
        <is>
          <t>NM Play</t>
        </is>
      </c>
      <c r="C1771" s="4" t="inlineStr">
        <is>
          <t>C121</t>
        </is>
      </c>
      <c r="D1771" s="4" t="inlineStr">
        <is>
          <t>year (48 weeks)</t>
        </is>
      </c>
      <c r="E1771" s="4" t="inlineStr">
        <is>
          <t>year (48 weeks)</t>
        </is>
      </c>
      <c r="F1771" s="4" t="inlineStr">
        <is>
          <t>GOC Bed Unit-Costing Model v2 — working original.xlsx</t>
        </is>
      </c>
    </row>
    <row r="1772" ht="40" customHeight="1">
      <c r="A1772" s="4" t="inlineStr">
        <is>
          <t>original:NM Play!A122</t>
        </is>
      </c>
      <c r="B1772" s="4" t="inlineStr">
        <is>
          <t>NM Play</t>
        </is>
      </c>
      <c r="C1772" s="4" t="inlineStr">
        <is>
          <t>A122</t>
        </is>
      </c>
      <c r="D1772" s="4" t="n">
        <v>30</v>
      </c>
      <c r="E1772" s="4" t="n">
        <v>30</v>
      </c>
      <c r="F1772" s="4" t="inlineStr">
        <is>
          <t>GOC Bed Unit-Costing Model v2 — working original.xlsx</t>
        </is>
      </c>
    </row>
    <row r="1773" ht="40" customHeight="1">
      <c r="A1773" s="4" t="inlineStr">
        <is>
          <t>original:NM Play!B122</t>
        </is>
      </c>
      <c r="B1773" s="4" t="inlineStr">
        <is>
          <t>NM Play</t>
        </is>
      </c>
      <c r="C1773" s="4" t="inlineStr">
        <is>
          <t>B122</t>
        </is>
      </c>
      <c r="D1773" s="4" t="inlineStr">
        <is>
          <t>=A122*4</t>
        </is>
      </c>
      <c r="E1773" s="4" t="n">
        <v>120</v>
      </c>
      <c r="F1773" s="4" t="inlineStr">
        <is>
          <t>GOC Bed Unit-Costing Model v2 — working original.xlsx</t>
        </is>
      </c>
    </row>
    <row r="1774" ht="40" customHeight="1">
      <c r="A1774" s="4" t="inlineStr">
        <is>
          <t>original:NM Play!C122</t>
        </is>
      </c>
      <c r="B1774" s="4" t="inlineStr">
        <is>
          <t>NM Play</t>
        </is>
      </c>
      <c r="C1774" s="4" t="inlineStr">
        <is>
          <t>C122</t>
        </is>
      </c>
      <c r="D1774" s="4" t="inlineStr">
        <is>
          <t>=A122*48</t>
        </is>
      </c>
      <c r="E1774" s="4" t="n">
        <v>1440</v>
      </c>
      <c r="F1774" s="4" t="inlineStr">
        <is>
          <t>GOC Bed Unit-Costing Model v2 — working original.xlsx</t>
        </is>
      </c>
    </row>
    <row r="1775" ht="40" customHeight="1">
      <c r="A1775" s="4" t="inlineStr">
        <is>
          <t>original:NM Play!E122</t>
        </is>
      </c>
      <c r="B1775" s="4" t="inlineStr">
        <is>
          <t>NM Play</t>
        </is>
      </c>
      <c r="C1775" s="4" t="inlineStr">
        <is>
          <t>E122</t>
        </is>
      </c>
      <c r="D1775" s="4" t="inlineStr">
        <is>
          <t>=C122*750</t>
        </is>
      </c>
      <c r="E1775" s="4" t="n">
        <v>1080000</v>
      </c>
      <c r="F1775" s="4" t="inlineStr">
        <is>
          <t>GOC Bed Unit-Costing Model v2 — working original.xlsx</t>
        </is>
      </c>
    </row>
    <row r="1776" ht="40" customHeight="1">
      <c r="A1776" s="4" t="inlineStr">
        <is>
          <t>original:NM Play!E123</t>
        </is>
      </c>
      <c r="B1776" s="4" t="inlineStr">
        <is>
          <t>NM Play</t>
        </is>
      </c>
      <c r="C1776" s="4" t="inlineStr">
        <is>
          <t>E123</t>
        </is>
      </c>
      <c r="D1776" s="4" t="inlineStr">
        <is>
          <t>=C122*200</t>
        </is>
      </c>
      <c r="E1776" s="4" t="n">
        <v>288000</v>
      </c>
      <c r="F1776" s="4" t="inlineStr">
        <is>
          <t>GOC Bed Unit-Costing Model v2 — working original.xlsx</t>
        </is>
      </c>
    </row>
    <row r="1777" ht="40" customHeight="1">
      <c r="A1777" s="4" t="inlineStr">
        <is>
          <t>original:NM Play!A127</t>
        </is>
      </c>
      <c r="B1777" s="4" t="inlineStr">
        <is>
          <t>NM Play</t>
        </is>
      </c>
      <c r="C1777" s="4" t="inlineStr">
        <is>
          <t>A127</t>
        </is>
      </c>
      <c r="D1777" s="4" t="inlineStr">
        <is>
          <t>Palm Island / Cape</t>
        </is>
      </c>
      <c r="E1777" s="4" t="inlineStr">
        <is>
          <t>Palm Island / Cape</t>
        </is>
      </c>
      <c r="F1777" s="4" t="inlineStr">
        <is>
          <t>GOC Bed Unit-Costing Model v2 — working original.xlsx</t>
        </is>
      </c>
    </row>
    <row r="1778" ht="40" customHeight="1">
      <c r="A1778" s="4" t="inlineStr">
        <is>
          <t>original:NM Play!B127</t>
        </is>
      </c>
      <c r="B1778" s="4" t="inlineStr">
        <is>
          <t>NM Play</t>
        </is>
      </c>
      <c r="C1778" s="4" t="inlineStr">
        <is>
          <t>B127</t>
        </is>
      </c>
      <c r="D1778" s="4" t="n">
        <v>200</v>
      </c>
      <c r="E1778" s="4" t="n">
        <v>200</v>
      </c>
      <c r="F1778" s="4" t="inlineStr">
        <is>
          <t>GOC Bed Unit-Costing Model v2 — working original.xlsx</t>
        </is>
      </c>
    </row>
    <row r="1779" ht="40" customHeight="1">
      <c r="A1779" s="4" t="inlineStr">
        <is>
          <t>original:NM Play!C127</t>
        </is>
      </c>
      <c r="B1779" s="4" t="inlineStr">
        <is>
          <t>NM Play</t>
        </is>
      </c>
      <c r="C1779" s="4" t="inlineStr">
        <is>
          <t>C127</t>
        </is>
      </c>
      <c r="D1779" s="4" t="inlineStr">
        <is>
          <t>=B127*750</t>
        </is>
      </c>
      <c r="E1779" s="4" t="n">
        <v>150000</v>
      </c>
      <c r="F1779" s="4" t="inlineStr">
        <is>
          <t>GOC Bed Unit-Costing Model v2 — working original.xlsx</t>
        </is>
      </c>
    </row>
    <row r="1780" ht="40" customHeight="1">
      <c r="A1780" s="4" t="inlineStr">
        <is>
          <t>original:NM Play!A128</t>
        </is>
      </c>
      <c r="B1780" s="4" t="inlineStr">
        <is>
          <t>NM Play</t>
        </is>
      </c>
      <c r="C1780" s="4" t="inlineStr">
        <is>
          <t>A128</t>
        </is>
      </c>
      <c r="D1780" s="4" t="inlineStr">
        <is>
          <t xml:space="preserve">Central Desert </t>
        </is>
      </c>
      <c r="E1780" s="4" t="inlineStr">
        <is>
          <t xml:space="preserve">Central Desert </t>
        </is>
      </c>
      <c r="F1780" s="4" t="inlineStr">
        <is>
          <t>GOC Bed Unit-Costing Model v2 — working original.xlsx</t>
        </is>
      </c>
    </row>
    <row r="1781" ht="40" customHeight="1">
      <c r="A1781" s="4" t="inlineStr">
        <is>
          <t>original:NM Play!B128</t>
        </is>
      </c>
      <c r="B1781" s="4" t="inlineStr">
        <is>
          <t>NM Play</t>
        </is>
      </c>
      <c r="C1781" s="4" t="inlineStr">
        <is>
          <t>B128</t>
        </is>
      </c>
      <c r="D1781" s="4" t="n">
        <v>200</v>
      </c>
      <c r="E1781" s="4" t="n">
        <v>200</v>
      </c>
      <c r="F1781" s="4" t="inlineStr">
        <is>
          <t>GOC Bed Unit-Costing Model v2 — working original.xlsx</t>
        </is>
      </c>
    </row>
    <row r="1782" ht="40" customHeight="1">
      <c r="A1782" s="4" t="inlineStr">
        <is>
          <t>original:NM Play!C128</t>
        </is>
      </c>
      <c r="B1782" s="4" t="inlineStr">
        <is>
          <t>NM Play</t>
        </is>
      </c>
      <c r="C1782" s="4" t="inlineStr">
        <is>
          <t>C128</t>
        </is>
      </c>
      <c r="D1782" s="4" t="inlineStr">
        <is>
          <t>=B128*750</t>
        </is>
      </c>
      <c r="E1782" s="4" t="n">
        <v>150000</v>
      </c>
      <c r="F1782" s="4" t="inlineStr">
        <is>
          <t>GOC Bed Unit-Costing Model v2 — working original.xlsx</t>
        </is>
      </c>
    </row>
    <row r="1783" ht="40" customHeight="1">
      <c r="A1783" s="4" t="inlineStr">
        <is>
          <t>original:NM Play!A129</t>
        </is>
      </c>
      <c r="B1783" s="4" t="inlineStr">
        <is>
          <t>NM Play</t>
        </is>
      </c>
      <c r="C1783" s="4" t="inlineStr">
        <is>
          <t>A129</t>
        </is>
      </c>
      <c r="D1783" s="4" t="inlineStr">
        <is>
          <t>SA</t>
        </is>
      </c>
      <c r="E1783" s="4" t="inlineStr">
        <is>
          <t>SA</t>
        </is>
      </c>
      <c r="F1783" s="4" t="inlineStr">
        <is>
          <t>GOC Bed Unit-Costing Model v2 — working original.xlsx</t>
        </is>
      </c>
    </row>
    <row r="1784" ht="40" customHeight="1">
      <c r="A1784" s="4" t="inlineStr">
        <is>
          <t>original:NM Play!B129</t>
        </is>
      </c>
      <c r="B1784" s="4" t="inlineStr">
        <is>
          <t>NM Play</t>
        </is>
      </c>
      <c r="C1784" s="4" t="inlineStr">
        <is>
          <t>B129</t>
        </is>
      </c>
      <c r="D1784" s="4" t="n">
        <v>200</v>
      </c>
      <c r="E1784" s="4" t="n">
        <v>200</v>
      </c>
      <c r="F1784" s="4" t="inlineStr">
        <is>
          <t>GOC Bed Unit-Costing Model v2 — working original.xlsx</t>
        </is>
      </c>
    </row>
    <row r="1785" ht="40" customHeight="1">
      <c r="A1785" s="4" t="inlineStr">
        <is>
          <t>original:NM Play!C129</t>
        </is>
      </c>
      <c r="B1785" s="4" t="inlineStr">
        <is>
          <t>NM Play</t>
        </is>
      </c>
      <c r="C1785" s="4" t="inlineStr">
        <is>
          <t>C129</t>
        </is>
      </c>
      <c r="D1785" s="4" t="inlineStr">
        <is>
          <t>=B129*750</t>
        </is>
      </c>
      <c r="E1785" s="4" t="n">
        <v>150000</v>
      </c>
      <c r="F1785" s="4" t="inlineStr">
        <is>
          <t>GOC Bed Unit-Costing Model v2 — working original.xlsx</t>
        </is>
      </c>
    </row>
    <row r="1786" ht="40" customHeight="1">
      <c r="A1786" s="4" t="inlineStr">
        <is>
          <t>original:NM Play!A130</t>
        </is>
      </c>
      <c r="B1786" s="4" t="inlineStr">
        <is>
          <t>NM Play</t>
        </is>
      </c>
      <c r="C1786" s="4" t="inlineStr">
        <is>
          <t>A130</t>
        </is>
      </c>
      <c r="D1786" s="4" t="inlineStr">
        <is>
          <t xml:space="preserve">Maningrida </t>
        </is>
      </c>
      <c r="E1786" s="4" t="inlineStr">
        <is>
          <t xml:space="preserve">Maningrida </t>
        </is>
      </c>
      <c r="F1786" s="4" t="inlineStr">
        <is>
          <t>GOC Bed Unit-Costing Model v2 — working original.xlsx</t>
        </is>
      </c>
    </row>
    <row r="1787" ht="40" customHeight="1">
      <c r="A1787" s="4" t="inlineStr">
        <is>
          <t>original:NM Play!B130</t>
        </is>
      </c>
      <c r="B1787" s="4" t="inlineStr">
        <is>
          <t>NM Play</t>
        </is>
      </c>
      <c r="C1787" s="4" t="inlineStr">
        <is>
          <t>B130</t>
        </is>
      </c>
      <c r="D1787" s="4" t="n">
        <v>200</v>
      </c>
      <c r="E1787" s="4" t="n">
        <v>200</v>
      </c>
      <c r="F1787" s="4" t="inlineStr">
        <is>
          <t>GOC Bed Unit-Costing Model v2 — working original.xlsx</t>
        </is>
      </c>
    </row>
    <row r="1788" ht="40" customHeight="1">
      <c r="A1788" s="4" t="inlineStr">
        <is>
          <t>original:NM Play!C130</t>
        </is>
      </c>
      <c r="B1788" s="4" t="inlineStr">
        <is>
          <t>NM Play</t>
        </is>
      </c>
      <c r="C1788" s="4" t="inlineStr">
        <is>
          <t>C130</t>
        </is>
      </c>
      <c r="D1788" s="4" t="inlineStr">
        <is>
          <t>=B130*750</t>
        </is>
      </c>
      <c r="E1788" s="4" t="n">
        <v>150000</v>
      </c>
      <c r="F1788" s="4" t="inlineStr">
        <is>
          <t>GOC Bed Unit-Costing Model v2 — working original.xlsx</t>
        </is>
      </c>
    </row>
    <row r="1789" ht="40" customHeight="1">
      <c r="A1789" s="4" t="inlineStr">
        <is>
          <t>original:NM Play!A131</t>
        </is>
      </c>
      <c r="B1789" s="4" t="inlineStr">
        <is>
          <t>NM Play</t>
        </is>
      </c>
      <c r="C1789" s="4" t="inlineStr">
        <is>
          <t>A131</t>
        </is>
      </c>
      <c r="D1789" s="4" t="inlineStr">
        <is>
          <t xml:space="preserve">Kimberlies </t>
        </is>
      </c>
      <c r="E1789" s="4" t="inlineStr">
        <is>
          <t xml:space="preserve">Kimberlies </t>
        </is>
      </c>
      <c r="F1789" s="4" t="inlineStr">
        <is>
          <t>GOC Bed Unit-Costing Model v2 — working original.xlsx</t>
        </is>
      </c>
    </row>
    <row r="1790" ht="40" customHeight="1">
      <c r="A1790" s="4" t="inlineStr">
        <is>
          <t>original:NM Play!B131</t>
        </is>
      </c>
      <c r="B1790" s="4" t="inlineStr">
        <is>
          <t>NM Play</t>
        </is>
      </c>
      <c r="C1790" s="4" t="inlineStr">
        <is>
          <t>B131</t>
        </is>
      </c>
      <c r="D1790" s="4" t="n">
        <v>200</v>
      </c>
      <c r="E1790" s="4" t="n">
        <v>200</v>
      </c>
      <c r="F1790" s="4" t="inlineStr">
        <is>
          <t>GOC Bed Unit-Costing Model v2 — working original.xlsx</t>
        </is>
      </c>
    </row>
    <row r="1791" ht="40" customHeight="1">
      <c r="A1791" s="4" t="inlineStr">
        <is>
          <t>original:NM Play!C131</t>
        </is>
      </c>
      <c r="B1791" s="4" t="inlineStr">
        <is>
          <t>NM Play</t>
        </is>
      </c>
      <c r="C1791" s="4" t="inlineStr">
        <is>
          <t>C131</t>
        </is>
      </c>
      <c r="D1791" s="4" t="inlineStr">
        <is>
          <t>=B131*750</t>
        </is>
      </c>
      <c r="E1791" s="4" t="n">
        <v>150000</v>
      </c>
      <c r="F1791" s="4" t="inlineStr">
        <is>
          <t>GOC Bed Unit-Costing Model v2 — working original.xlsx</t>
        </is>
      </c>
    </row>
    <row r="1792" ht="40" customHeight="1">
      <c r="A1792" s="4" t="inlineStr">
        <is>
          <t>original:NM Play!A132</t>
        </is>
      </c>
      <c r="B1792" s="4" t="inlineStr">
        <is>
          <t>NM Play</t>
        </is>
      </c>
      <c r="C1792" s="4" t="inlineStr">
        <is>
          <t>A132</t>
        </is>
      </c>
      <c r="D1792" s="4" t="inlineStr">
        <is>
          <t>5 communities 200 beds each</t>
        </is>
      </c>
      <c r="E1792" s="4" t="inlineStr">
        <is>
          <t>5 communities 200 beds each</t>
        </is>
      </c>
      <c r="F1792" s="4" t="inlineStr">
        <is>
          <t>GOC Bed Unit-Costing Model v2 — working original.xlsx</t>
        </is>
      </c>
    </row>
    <row r="1793" ht="40" customHeight="1">
      <c r="A1793" s="4" t="inlineStr">
        <is>
          <t>original:NM Play!B132</t>
        </is>
      </c>
      <c r="B1793" s="4" t="inlineStr">
        <is>
          <t>NM Play</t>
        </is>
      </c>
      <c r="C1793" s="4" t="inlineStr">
        <is>
          <t>B132</t>
        </is>
      </c>
      <c r="D1793" s="4" t="inlineStr">
        <is>
          <t>=SUM(B127:B131)</t>
        </is>
      </c>
      <c r="E1793" s="4" t="n">
        <v>1000</v>
      </c>
      <c r="F1793" s="4" t="inlineStr">
        <is>
          <t>GOC Bed Unit-Costing Model v2 — working original.xlsx</t>
        </is>
      </c>
    </row>
    <row r="1794" ht="40" customHeight="1">
      <c r="A1794" s="4" t="inlineStr">
        <is>
          <t>original:NM Play!C132</t>
        </is>
      </c>
      <c r="B1794" s="4" t="inlineStr">
        <is>
          <t>NM Play</t>
        </is>
      </c>
      <c r="C1794" s="4" t="inlineStr">
        <is>
          <t>C132</t>
        </is>
      </c>
      <c r="D1794" s="4" t="inlineStr">
        <is>
          <t>rrp $750</t>
        </is>
      </c>
      <c r="E1794" s="4" t="inlineStr">
        <is>
          <t>rrp $750</t>
        </is>
      </c>
      <c r="F1794" s="4" t="inlineStr">
        <is>
          <t>GOC Bed Unit-Costing Model v2 — working original.xlsx</t>
        </is>
      </c>
    </row>
    <row r="1795" ht="40" customHeight="1">
      <c r="A1795" s="4" t="inlineStr">
        <is>
          <t>original:NM Play!C133</t>
        </is>
      </c>
      <c r="B1795" s="4" t="inlineStr">
        <is>
          <t>NM Play</t>
        </is>
      </c>
      <c r="C1795" s="4" t="inlineStr">
        <is>
          <t>C133</t>
        </is>
      </c>
      <c r="D1795" s="4" t="inlineStr">
        <is>
          <t>=B132*750</t>
        </is>
      </c>
      <c r="E1795" s="4" t="n">
        <v>750000</v>
      </c>
      <c r="F1795" s="4" t="inlineStr">
        <is>
          <t>GOC Bed Unit-Costing Model v2 — working original.xlsx</t>
        </is>
      </c>
    </row>
    <row r="1796" ht="40" customHeight="1">
      <c r="A1796" s="4" t="inlineStr">
        <is>
          <t>original:NM Play!A135</t>
        </is>
      </c>
      <c r="B1796" s="4" t="inlineStr">
        <is>
          <t>NM Play</t>
        </is>
      </c>
      <c r="C1796" s="4" t="inlineStr">
        <is>
          <t>A135</t>
        </is>
      </c>
      <c r="D1796" s="4" t="inlineStr">
        <is>
          <t>2nd Production plant</t>
        </is>
      </c>
      <c r="E1796" s="4" t="inlineStr">
        <is>
          <t>2nd Production plant</t>
        </is>
      </c>
      <c r="F1796" s="4" t="inlineStr">
        <is>
          <t>GOC Bed Unit-Costing Model v2 — working original.xlsx</t>
        </is>
      </c>
    </row>
    <row r="1797" ht="40" customHeight="1">
      <c r="A1797" s="4" t="inlineStr">
        <is>
          <t>original:NM Play!B135</t>
        </is>
      </c>
      <c r="B1797" s="4" t="inlineStr">
        <is>
          <t>NM Play</t>
        </is>
      </c>
      <c r="C1797" s="4" t="inlineStr">
        <is>
          <t>B135</t>
        </is>
      </c>
      <c r="D1797" s="4" t="inlineStr">
        <is>
          <t>150k</t>
        </is>
      </c>
      <c r="E1797" s="4" t="inlineStr">
        <is>
          <t>150k</t>
        </is>
      </c>
      <c r="F1797" s="4" t="inlineStr">
        <is>
          <t>GOC Bed Unit-Costing Model v2 — working original.xlsx</t>
        </is>
      </c>
    </row>
    <row r="1798" ht="40" customHeight="1">
      <c r="A1798" s="4" t="inlineStr">
        <is>
          <t>original:NM Play!B137</t>
        </is>
      </c>
      <c r="B1798" s="4" t="inlineStr">
        <is>
          <t>NM Play</t>
        </is>
      </c>
      <c r="C1798" s="4" t="inlineStr">
        <is>
          <t>B137</t>
        </is>
      </c>
      <c r="D1798" s="4" t="inlineStr">
        <is>
          <t xml:space="preserve">This week </t>
        </is>
      </c>
      <c r="E1798" s="4" t="inlineStr">
        <is>
          <t xml:space="preserve">This week </t>
        </is>
      </c>
      <c r="F1798" s="4" t="inlineStr">
        <is>
          <t>GOC Bed Unit-Costing Model v2 — working original.xlsx</t>
        </is>
      </c>
    </row>
    <row r="1799" ht="40" customHeight="1">
      <c r="A1799" s="4" t="inlineStr">
        <is>
          <t>original:NM Play!B138</t>
        </is>
      </c>
      <c r="B1799" s="4" t="inlineStr">
        <is>
          <t>NM Play</t>
        </is>
      </c>
      <c r="C1799" s="4" t="inlineStr">
        <is>
          <t>B138</t>
        </is>
      </c>
      <c r="D1799" s="4" t="n">
        <v>5</v>
      </c>
      <c r="E1799" s="4" t="n">
        <v>5</v>
      </c>
      <c r="F1799" s="4" t="inlineStr">
        <is>
          <t>GOC Bed Unit-Costing Model v2 — working original.xlsx</t>
        </is>
      </c>
    </row>
    <row r="1800" ht="40" customHeight="1">
      <c r="A1800" s="4" t="inlineStr">
        <is>
          <t>original:NM Play!C138</t>
        </is>
      </c>
      <c r="B1800" s="4" t="inlineStr">
        <is>
          <t>NM Play</t>
        </is>
      </c>
      <c r="C1800" s="4" t="inlineStr">
        <is>
          <t>C138</t>
        </is>
      </c>
      <c r="D1800" s="4" t="inlineStr">
        <is>
          <t>=B138+5</t>
        </is>
      </c>
      <c r="E1800" s="4" t="n">
        <v>10</v>
      </c>
      <c r="F1800" s="4" t="inlineStr">
        <is>
          <t>GOC Bed Unit-Costing Model v2 — working original.xlsx</t>
        </is>
      </c>
    </row>
    <row r="1801" ht="40" customHeight="1">
      <c r="A1801" s="4" t="inlineStr">
        <is>
          <t>original:NM Play!D138</t>
        </is>
      </c>
      <c r="B1801" s="4" t="inlineStr">
        <is>
          <t>NM Play</t>
        </is>
      </c>
      <c r="C1801" s="4" t="inlineStr">
        <is>
          <t>D138</t>
        </is>
      </c>
      <c r="D1801" s="4" t="inlineStr">
        <is>
          <t>=C138+5</t>
        </is>
      </c>
      <c r="E1801" s="4" t="n">
        <v>15</v>
      </c>
      <c r="F1801" s="4" t="inlineStr">
        <is>
          <t>GOC Bed Unit-Costing Model v2 — working original.xlsx</t>
        </is>
      </c>
    </row>
    <row r="1802" ht="40" customHeight="1">
      <c r="A1802" s="4" t="inlineStr">
        <is>
          <t>original:NM Play!E138</t>
        </is>
      </c>
      <c r="B1802" s="4" t="inlineStr">
        <is>
          <t>NM Play</t>
        </is>
      </c>
      <c r="C1802" s="4" t="inlineStr">
        <is>
          <t>E138</t>
        </is>
      </c>
      <c r="D1802" s="4" t="inlineStr">
        <is>
          <t>=D138+5</t>
        </is>
      </c>
      <c r="E1802" s="4" t="n">
        <v>20</v>
      </c>
      <c r="F1802" s="4" t="inlineStr">
        <is>
          <t>GOC Bed Unit-Costing Model v2 — working original.xlsx</t>
        </is>
      </c>
    </row>
    <row r="1803" ht="40" customHeight="1">
      <c r="A1803" s="4" t="inlineStr">
        <is>
          <t>original:NM Play!F138</t>
        </is>
      </c>
      <c r="B1803" s="4" t="inlineStr">
        <is>
          <t>NM Play</t>
        </is>
      </c>
      <c r="C1803" s="4" t="inlineStr">
        <is>
          <t>F138</t>
        </is>
      </c>
      <c r="D1803" s="4" t="inlineStr">
        <is>
          <t>=E138+5</t>
        </is>
      </c>
      <c r="E1803" s="4" t="n">
        <v>25</v>
      </c>
      <c r="F1803" s="4" t="inlineStr">
        <is>
          <t>GOC Bed Unit-Costing Model v2 — working original.xlsx</t>
        </is>
      </c>
    </row>
    <row r="1804" ht="40" customHeight="1">
      <c r="A1804" s="4" t="inlineStr">
        <is>
          <t>original:NM Play!G138</t>
        </is>
      </c>
      <c r="B1804" s="4" t="inlineStr">
        <is>
          <t>NM Play</t>
        </is>
      </c>
      <c r="C1804" s="4" t="inlineStr">
        <is>
          <t>G138</t>
        </is>
      </c>
      <c r="D1804" s="4" t="inlineStr">
        <is>
          <t>=F138+5</t>
        </is>
      </c>
      <c r="E1804" s="4" t="n">
        <v>30</v>
      </c>
      <c r="F1804" s="4" t="inlineStr">
        <is>
          <t>GOC Bed Unit-Costing Model v2 — working original.xlsx</t>
        </is>
      </c>
    </row>
    <row r="1805" ht="40" customHeight="1">
      <c r="A1805" s="4" t="inlineStr">
        <is>
          <t>original:NM Play!H138</t>
        </is>
      </c>
      <c r="B1805" s="4" t="inlineStr">
        <is>
          <t>NM Play</t>
        </is>
      </c>
      <c r="C1805" s="4" t="inlineStr">
        <is>
          <t>H138</t>
        </is>
      </c>
      <c r="D1805" s="4" t="inlineStr">
        <is>
          <t>=G138+5</t>
        </is>
      </c>
      <c r="E1805" s="4" t="n">
        <v>35</v>
      </c>
      <c r="F1805" s="4" t="inlineStr">
        <is>
          <t>GOC Bed Unit-Costing Model v2 — working original.xlsx</t>
        </is>
      </c>
    </row>
    <row r="1806" ht="40" customHeight="1">
      <c r="A1806" s="4" t="inlineStr">
        <is>
          <t>original:NM Play!I138</t>
        </is>
      </c>
      <c r="B1806" s="4" t="inlineStr">
        <is>
          <t>NM Play</t>
        </is>
      </c>
      <c r="C1806" s="4" t="inlineStr">
        <is>
          <t>I138</t>
        </is>
      </c>
      <c r="D1806" s="4" t="inlineStr">
        <is>
          <t>=H138+5</t>
        </is>
      </c>
      <c r="E1806" s="4" t="n">
        <v>40</v>
      </c>
      <c r="F1806" s="4" t="inlineStr">
        <is>
          <t>GOC Bed Unit-Costing Model v2 — working original.xlsx</t>
        </is>
      </c>
    </row>
    <row r="1807" ht="40" customHeight="1">
      <c r="A1807" s="4" t="inlineStr">
        <is>
          <t>original:NM Play!J138</t>
        </is>
      </c>
      <c r="B1807" s="4" t="inlineStr">
        <is>
          <t>NM Play</t>
        </is>
      </c>
      <c r="C1807" s="4" t="inlineStr">
        <is>
          <t>J138</t>
        </is>
      </c>
      <c r="D1807" s="4" t="inlineStr">
        <is>
          <t>=I138+5</t>
        </is>
      </c>
      <c r="E1807" s="4" t="n">
        <v>45</v>
      </c>
      <c r="F1807" s="4" t="inlineStr">
        <is>
          <t>GOC Bed Unit-Costing Model v2 — working original.xlsx</t>
        </is>
      </c>
    </row>
    <row r="1808" ht="40" customHeight="1">
      <c r="A1808" s="4" t="inlineStr">
        <is>
          <t>original:NM Play!K138</t>
        </is>
      </c>
      <c r="B1808" s="4" t="inlineStr">
        <is>
          <t>NM Play</t>
        </is>
      </c>
      <c r="C1808" s="4" t="inlineStr">
        <is>
          <t>K138</t>
        </is>
      </c>
      <c r="D1808" s="4" t="inlineStr">
        <is>
          <t>=J138+5</t>
        </is>
      </c>
      <c r="E1808" s="4" t="n">
        <v>50</v>
      </c>
      <c r="F1808" s="4" t="inlineStr">
        <is>
          <t>GOC Bed Unit-Costing Model v2 — working original.xlsx</t>
        </is>
      </c>
    </row>
    <row r="1809" ht="40" customHeight="1">
      <c r="A1809" s="4" t="inlineStr">
        <is>
          <t>original:NM Play!L138</t>
        </is>
      </c>
      <c r="B1809" s="4" t="inlineStr">
        <is>
          <t>NM Play</t>
        </is>
      </c>
      <c r="C1809" s="4" t="inlineStr">
        <is>
          <t>L138</t>
        </is>
      </c>
      <c r="D1809" s="4" t="inlineStr">
        <is>
          <t>=K138+5</t>
        </is>
      </c>
      <c r="E1809" s="4" t="n">
        <v>55</v>
      </c>
      <c r="F1809" s="4" t="inlineStr">
        <is>
          <t>GOC Bed Unit-Costing Model v2 — working original.xlsx</t>
        </is>
      </c>
    </row>
    <row r="1810" ht="40" customHeight="1">
      <c r="A1810" s="4" t="inlineStr">
        <is>
          <t>original:NM Play!M138</t>
        </is>
      </c>
      <c r="B1810" s="4" t="inlineStr">
        <is>
          <t>NM Play</t>
        </is>
      </c>
      <c r="C1810" s="4" t="inlineStr">
        <is>
          <t>M138</t>
        </is>
      </c>
      <c r="D1810" s="4" t="inlineStr">
        <is>
          <t>=L138+5</t>
        </is>
      </c>
      <c r="E1810" s="4" t="n">
        <v>60</v>
      </c>
      <c r="F1810" s="4" t="inlineStr">
        <is>
          <t>GOC Bed Unit-Costing Model v2 — working original.xlsx</t>
        </is>
      </c>
    </row>
    <row r="1811" ht="40" customHeight="1">
      <c r="A1811" s="4" t="inlineStr">
        <is>
          <t>original:NM Play!N138</t>
        </is>
      </c>
      <c r="B1811" s="4" t="inlineStr">
        <is>
          <t>NM Play</t>
        </is>
      </c>
      <c r="C1811" s="4" t="inlineStr">
        <is>
          <t>N138</t>
        </is>
      </c>
      <c r="D1811" s="4" t="inlineStr">
        <is>
          <t>=M138+5</t>
        </is>
      </c>
      <c r="E1811" s="4" t="n">
        <v>65</v>
      </c>
      <c r="F1811" s="4" t="inlineStr">
        <is>
          <t>GOC Bed Unit-Costing Model v2 — working original.xlsx</t>
        </is>
      </c>
    </row>
    <row r="1812" ht="40" customHeight="1">
      <c r="A1812" s="4" t="inlineStr">
        <is>
          <t>original:NM Play!O138</t>
        </is>
      </c>
      <c r="B1812" s="4" t="inlineStr">
        <is>
          <t>NM Play</t>
        </is>
      </c>
      <c r="C1812" s="4" t="inlineStr">
        <is>
          <t>O138</t>
        </is>
      </c>
      <c r="D1812" s="4" t="inlineStr">
        <is>
          <t>=N138+5</t>
        </is>
      </c>
      <c r="E1812" s="4" t="n">
        <v>70</v>
      </c>
      <c r="F1812" s="4" t="inlineStr">
        <is>
          <t>GOC Bed Unit-Costing Model v2 — working original.xlsx</t>
        </is>
      </c>
    </row>
    <row r="1813" ht="40" customHeight="1">
      <c r="A1813" s="4" t="inlineStr">
        <is>
          <t>original:NM Play!P138</t>
        </is>
      </c>
      <c r="B1813" s="4" t="inlineStr">
        <is>
          <t>NM Play</t>
        </is>
      </c>
      <c r="C1813" s="4" t="inlineStr">
        <is>
          <t>P138</t>
        </is>
      </c>
      <c r="D1813" s="4" t="inlineStr">
        <is>
          <t>=O138+5</t>
        </is>
      </c>
      <c r="E1813" s="4" t="n">
        <v>75</v>
      </c>
      <c r="F1813" s="4" t="inlineStr">
        <is>
          <t>GOC Bed Unit-Costing Model v2 — working original.xlsx</t>
        </is>
      </c>
    </row>
    <row r="1814" ht="40" customHeight="1">
      <c r="A1814" s="4" t="inlineStr">
        <is>
          <t>original:NM Play!Q138</t>
        </is>
      </c>
      <c r="B1814" s="4" t="inlineStr">
        <is>
          <t>NM Play</t>
        </is>
      </c>
      <c r="C1814" s="4" t="inlineStr">
        <is>
          <t>Q138</t>
        </is>
      </c>
      <c r="D1814" s="4" t="inlineStr">
        <is>
          <t>=P138+5</t>
        </is>
      </c>
      <c r="E1814" s="4" t="n">
        <v>80</v>
      </c>
      <c r="F1814" s="4" t="inlineStr">
        <is>
          <t>GOC Bed Unit-Costing Model v2 — working original.xlsx</t>
        </is>
      </c>
    </row>
    <row r="1815" ht="40" customHeight="1">
      <c r="A1815" s="4" t="inlineStr">
        <is>
          <t>original:NM Play!R138</t>
        </is>
      </c>
      <c r="B1815" s="4" t="inlineStr">
        <is>
          <t>NM Play</t>
        </is>
      </c>
      <c r="C1815" s="4" t="inlineStr">
        <is>
          <t>R138</t>
        </is>
      </c>
      <c r="D1815" s="4" t="inlineStr">
        <is>
          <t>=Q138+5</t>
        </is>
      </c>
      <c r="E1815" s="4" t="n">
        <v>85</v>
      </c>
      <c r="F1815" s="4" t="inlineStr">
        <is>
          <t>GOC Bed Unit-Costing Model v2 — working original.xlsx</t>
        </is>
      </c>
    </row>
    <row r="1816" ht="40" customHeight="1">
      <c r="A1816" s="4" t="inlineStr">
        <is>
          <t>original:NM Play!S138</t>
        </is>
      </c>
      <c r="B1816" s="4" t="inlineStr">
        <is>
          <t>NM Play</t>
        </is>
      </c>
      <c r="C1816" s="4" t="inlineStr">
        <is>
          <t>S138</t>
        </is>
      </c>
      <c r="D1816" s="4" t="inlineStr">
        <is>
          <t>=R138+5</t>
        </is>
      </c>
      <c r="E1816" s="4" t="n">
        <v>90</v>
      </c>
      <c r="F1816" s="4" t="inlineStr">
        <is>
          <t>GOC Bed Unit-Costing Model v2 — working original.xlsx</t>
        </is>
      </c>
    </row>
    <row r="1817" ht="40" customHeight="1">
      <c r="A1817" s="4" t="inlineStr">
        <is>
          <t>original:NM Play!T138</t>
        </is>
      </c>
      <c r="B1817" s="4" t="inlineStr">
        <is>
          <t>NM Play</t>
        </is>
      </c>
      <c r="C1817" s="4" t="inlineStr">
        <is>
          <t>T138</t>
        </is>
      </c>
      <c r="D1817" s="4" t="inlineStr">
        <is>
          <t>=S138+5</t>
        </is>
      </c>
      <c r="E1817" s="4" t="n">
        <v>95</v>
      </c>
      <c r="F1817" s="4" t="inlineStr">
        <is>
          <t>GOC Bed Unit-Costing Model v2 — working original.xlsx</t>
        </is>
      </c>
    </row>
    <row r="1818" ht="40" customHeight="1">
      <c r="A1818" s="4" t="inlineStr">
        <is>
          <t>original:NM Play!B139</t>
        </is>
      </c>
      <c r="B1818" s="4" t="inlineStr">
        <is>
          <t>NM Play</t>
        </is>
      </c>
      <c r="C1818" s="4" t="inlineStr">
        <is>
          <t>B139</t>
        </is>
      </c>
      <c r="D1818" s="4" t="n">
        <v>36</v>
      </c>
      <c r="E1818" s="4" t="n">
        <v>36</v>
      </c>
      <c r="F1818" s="4" t="inlineStr">
        <is>
          <t>GOC Bed Unit-Costing Model v2 — working original.xlsx</t>
        </is>
      </c>
    </row>
    <row r="1819" ht="40" customHeight="1">
      <c r="A1819" s="4" t="inlineStr">
        <is>
          <t>original:NM Play!C139</t>
        </is>
      </c>
      <c r="B1819" s="4" t="inlineStr">
        <is>
          <t>NM Play</t>
        </is>
      </c>
      <c r="C1819" s="4" t="inlineStr">
        <is>
          <t>C139</t>
        </is>
      </c>
      <c r="D1819" s="4" t="n">
        <v>37</v>
      </c>
      <c r="E1819" s="4" t="n">
        <v>37</v>
      </c>
      <c r="F1819" s="4" t="inlineStr">
        <is>
          <t>GOC Bed Unit-Costing Model v2 — working original.xlsx</t>
        </is>
      </c>
    </row>
    <row r="1820" ht="40" customHeight="1">
      <c r="A1820" s="4" t="inlineStr">
        <is>
          <t>original:NM Play!D139</t>
        </is>
      </c>
      <c r="B1820" s="4" t="inlineStr">
        <is>
          <t>NM Play</t>
        </is>
      </c>
      <c r="C1820" s="4" t="inlineStr">
        <is>
          <t>D139</t>
        </is>
      </c>
      <c r="D1820" s="4" t="inlineStr">
        <is>
          <t>=C139+1</t>
        </is>
      </c>
      <c r="E1820" s="4" t="n">
        <v>38</v>
      </c>
      <c r="F1820" s="4" t="inlineStr">
        <is>
          <t>GOC Bed Unit-Costing Model v2 — working original.xlsx</t>
        </is>
      </c>
    </row>
    <row r="1821" ht="40" customHeight="1">
      <c r="A1821" s="4" t="inlineStr">
        <is>
          <t>original:NM Play!E139</t>
        </is>
      </c>
      <c r="B1821" s="4" t="inlineStr">
        <is>
          <t>NM Play</t>
        </is>
      </c>
      <c r="C1821" s="4" t="inlineStr">
        <is>
          <t>E139</t>
        </is>
      </c>
      <c r="D1821" s="4" t="inlineStr">
        <is>
          <t>=D139+1</t>
        </is>
      </c>
      <c r="E1821" s="4" t="n">
        <v>39</v>
      </c>
      <c r="F1821" s="4" t="inlineStr">
        <is>
          <t>GOC Bed Unit-Costing Model v2 — working original.xlsx</t>
        </is>
      </c>
    </row>
    <row r="1822" ht="40" customHeight="1">
      <c r="A1822" s="4" t="inlineStr">
        <is>
          <t>original:NM Play!F139</t>
        </is>
      </c>
      <c r="B1822" s="4" t="inlineStr">
        <is>
          <t>NM Play</t>
        </is>
      </c>
      <c r="C1822" s="4" t="inlineStr">
        <is>
          <t>F139</t>
        </is>
      </c>
      <c r="D1822" s="4" t="inlineStr">
        <is>
          <t>=E139+1</t>
        </is>
      </c>
      <c r="E1822" s="4" t="n">
        <v>40</v>
      </c>
      <c r="F1822" s="4" t="inlineStr">
        <is>
          <t>GOC Bed Unit-Costing Model v2 — working original.xlsx</t>
        </is>
      </c>
    </row>
    <row r="1823" ht="40" customHeight="1">
      <c r="A1823" s="4" t="inlineStr">
        <is>
          <t>original:NM Play!G139</t>
        </is>
      </c>
      <c r="B1823" s="4" t="inlineStr">
        <is>
          <t>NM Play</t>
        </is>
      </c>
      <c r="C1823" s="4" t="inlineStr">
        <is>
          <t>G139</t>
        </is>
      </c>
      <c r="D1823" s="4" t="inlineStr">
        <is>
          <t>=F139+1</t>
        </is>
      </c>
      <c r="E1823" s="4" t="n">
        <v>41</v>
      </c>
      <c r="F1823" s="4" t="inlineStr">
        <is>
          <t>GOC Bed Unit-Costing Model v2 — working original.xlsx</t>
        </is>
      </c>
    </row>
    <row r="1824" ht="40" customHeight="1">
      <c r="A1824" s="4" t="inlineStr">
        <is>
          <t>original:NM Play!H139</t>
        </is>
      </c>
      <c r="B1824" s="4" t="inlineStr">
        <is>
          <t>NM Play</t>
        </is>
      </c>
      <c r="C1824" s="4" t="inlineStr">
        <is>
          <t>H139</t>
        </is>
      </c>
      <c r="D1824" s="4" t="inlineStr">
        <is>
          <t>=G139+1</t>
        </is>
      </c>
      <c r="E1824" s="4" t="n">
        <v>42</v>
      </c>
      <c r="F1824" s="4" t="inlineStr">
        <is>
          <t>GOC Bed Unit-Costing Model v2 — working original.xlsx</t>
        </is>
      </c>
    </row>
    <row r="1825" ht="40" customHeight="1">
      <c r="A1825" s="4" t="inlineStr">
        <is>
          <t>original:NM Play!I139</t>
        </is>
      </c>
      <c r="B1825" s="4" t="inlineStr">
        <is>
          <t>NM Play</t>
        </is>
      </c>
      <c r="C1825" s="4" t="inlineStr">
        <is>
          <t>I139</t>
        </is>
      </c>
      <c r="D1825" s="4" t="inlineStr">
        <is>
          <t>=H139+1</t>
        </is>
      </c>
      <c r="E1825" s="4" t="n">
        <v>43</v>
      </c>
      <c r="F1825" s="4" t="inlineStr">
        <is>
          <t>GOC Bed Unit-Costing Model v2 — working original.xlsx</t>
        </is>
      </c>
    </row>
    <row r="1826" ht="40" customHeight="1">
      <c r="A1826" s="4" t="inlineStr">
        <is>
          <t>original:NM Play!J139</t>
        </is>
      </c>
      <c r="B1826" s="4" t="inlineStr">
        <is>
          <t>NM Play</t>
        </is>
      </c>
      <c r="C1826" s="4" t="inlineStr">
        <is>
          <t>J139</t>
        </is>
      </c>
      <c r="D1826" s="4" t="inlineStr">
        <is>
          <t>=I139+1</t>
        </is>
      </c>
      <c r="E1826" s="4" t="n">
        <v>44</v>
      </c>
      <c r="F1826" s="4" t="inlineStr">
        <is>
          <t>GOC Bed Unit-Costing Model v2 — working original.xlsx</t>
        </is>
      </c>
    </row>
    <row r="1827" ht="40" customHeight="1">
      <c r="A1827" s="4" t="inlineStr">
        <is>
          <t>original:NM Play!K139</t>
        </is>
      </c>
      <c r="B1827" s="4" t="inlineStr">
        <is>
          <t>NM Play</t>
        </is>
      </c>
      <c r="C1827" s="4" t="inlineStr">
        <is>
          <t>K139</t>
        </is>
      </c>
      <c r="D1827" s="4" t="inlineStr">
        <is>
          <t>=J139+1</t>
        </is>
      </c>
      <c r="E1827" s="4" t="n">
        <v>45</v>
      </c>
      <c r="F1827" s="4" t="inlineStr">
        <is>
          <t>GOC Bed Unit-Costing Model v2 — working original.xlsx</t>
        </is>
      </c>
    </row>
    <row r="1828" ht="40" customHeight="1">
      <c r="A1828" s="4" t="inlineStr">
        <is>
          <t>original:NM Play!L139</t>
        </is>
      </c>
      <c r="B1828" s="4" t="inlineStr">
        <is>
          <t>NM Play</t>
        </is>
      </c>
      <c r="C1828" s="4" t="inlineStr">
        <is>
          <t>L139</t>
        </is>
      </c>
      <c r="D1828" s="4" t="inlineStr">
        <is>
          <t>=K139+1</t>
        </is>
      </c>
      <c r="E1828" s="4" t="n">
        <v>46</v>
      </c>
      <c r="F1828" s="4" t="inlineStr">
        <is>
          <t>GOC Bed Unit-Costing Model v2 — working original.xlsx</t>
        </is>
      </c>
    </row>
    <row r="1829" ht="40" customHeight="1">
      <c r="A1829" s="4" t="inlineStr">
        <is>
          <t>original:NM Play!M139</t>
        </is>
      </c>
      <c r="B1829" s="4" t="inlineStr">
        <is>
          <t>NM Play</t>
        </is>
      </c>
      <c r="C1829" s="4" t="inlineStr">
        <is>
          <t>M139</t>
        </is>
      </c>
      <c r="D1829" s="4" t="inlineStr">
        <is>
          <t>=L139+1</t>
        </is>
      </c>
      <c r="E1829" s="4" t="n">
        <v>47</v>
      </c>
      <c r="F1829" s="4" t="inlineStr">
        <is>
          <t>GOC Bed Unit-Costing Model v2 — working original.xlsx</t>
        </is>
      </c>
    </row>
    <row r="1830" ht="40" customHeight="1">
      <c r="A1830" s="4" t="inlineStr">
        <is>
          <t>original:NM Play!N139</t>
        </is>
      </c>
      <c r="B1830" s="4" t="inlineStr">
        <is>
          <t>NM Play</t>
        </is>
      </c>
      <c r="C1830" s="4" t="inlineStr">
        <is>
          <t>N139</t>
        </is>
      </c>
      <c r="D1830" s="4" t="inlineStr">
        <is>
          <t>=M139+1</t>
        </is>
      </c>
      <c r="E1830" s="4" t="n">
        <v>48</v>
      </c>
      <c r="F1830" s="4" t="inlineStr">
        <is>
          <t>GOC Bed Unit-Costing Model v2 — working original.xlsx</t>
        </is>
      </c>
    </row>
    <row r="1831" ht="40" customHeight="1">
      <c r="A1831" s="4" t="inlineStr">
        <is>
          <t>original:NM Play!O139</t>
        </is>
      </c>
      <c r="B1831" s="4" t="inlineStr">
        <is>
          <t>NM Play</t>
        </is>
      </c>
      <c r="C1831" s="4" t="inlineStr">
        <is>
          <t>O139</t>
        </is>
      </c>
      <c r="D1831" s="4" t="inlineStr">
        <is>
          <t>=N139+1</t>
        </is>
      </c>
      <c r="E1831" s="4" t="n">
        <v>49</v>
      </c>
      <c r="F1831" s="4" t="inlineStr">
        <is>
          <t>GOC Bed Unit-Costing Model v2 — working original.xlsx</t>
        </is>
      </c>
    </row>
    <row r="1832" ht="40" customHeight="1">
      <c r="A1832" s="4" t="inlineStr">
        <is>
          <t>original:NM Play!P139</t>
        </is>
      </c>
      <c r="B1832" s="4" t="inlineStr">
        <is>
          <t>NM Play</t>
        </is>
      </c>
      <c r="C1832" s="4" t="inlineStr">
        <is>
          <t>P139</t>
        </is>
      </c>
      <c r="D1832" s="4" t="inlineStr">
        <is>
          <t>=O139+1</t>
        </is>
      </c>
      <c r="E1832" s="4" t="n">
        <v>50</v>
      </c>
      <c r="F1832" s="4" t="inlineStr">
        <is>
          <t>GOC Bed Unit-Costing Model v2 — working original.xlsx</t>
        </is>
      </c>
    </row>
    <row r="1833" ht="40" customHeight="1">
      <c r="A1833" s="4" t="inlineStr">
        <is>
          <t>original:NM Play!Q139</t>
        </is>
      </c>
      <c r="B1833" s="4" t="inlineStr">
        <is>
          <t>NM Play</t>
        </is>
      </c>
      <c r="C1833" s="4" t="inlineStr">
        <is>
          <t>Q139</t>
        </is>
      </c>
      <c r="D1833" s="4" t="inlineStr">
        <is>
          <t>=P139+1</t>
        </is>
      </c>
      <c r="E1833" s="4" t="n">
        <v>51</v>
      </c>
      <c r="F1833" s="4" t="inlineStr">
        <is>
          <t>GOC Bed Unit-Costing Model v2 — working original.xlsx</t>
        </is>
      </c>
    </row>
    <row r="1834" ht="40" customHeight="1">
      <c r="A1834" s="4" t="inlineStr">
        <is>
          <t>original:NM Play!R139</t>
        </is>
      </c>
      <c r="B1834" s="4" t="inlineStr">
        <is>
          <t>NM Play</t>
        </is>
      </c>
      <c r="C1834" s="4" t="inlineStr">
        <is>
          <t>R139</t>
        </is>
      </c>
      <c r="D1834" s="4" t="inlineStr">
        <is>
          <t>=Q139+1</t>
        </is>
      </c>
      <c r="E1834" s="4" t="n">
        <v>52</v>
      </c>
      <c r="F1834" s="4" t="inlineStr">
        <is>
          <t>GOC Bed Unit-Costing Model v2 — working original.xlsx</t>
        </is>
      </c>
    </row>
    <row r="1835" ht="40" customHeight="1">
      <c r="A1835" s="4" t="inlineStr">
        <is>
          <t>original:NM Play!S139</t>
        </is>
      </c>
      <c r="B1835" s="4" t="inlineStr">
        <is>
          <t>NM Play</t>
        </is>
      </c>
      <c r="C1835" s="4" t="inlineStr">
        <is>
          <t>S139</t>
        </is>
      </c>
      <c r="D1835" s="4" t="n">
        <v>1</v>
      </c>
      <c r="E1835" s="4" t="n">
        <v>1</v>
      </c>
      <c r="F1835" s="4" t="inlineStr">
        <is>
          <t>GOC Bed Unit-Costing Model v2 — working original.xlsx</t>
        </is>
      </c>
    </row>
    <row r="1836" ht="40" customHeight="1">
      <c r="A1836" s="4" t="inlineStr">
        <is>
          <t>original:NM Play!T139</t>
        </is>
      </c>
      <c r="B1836" s="4" t="inlineStr">
        <is>
          <t>NM Play</t>
        </is>
      </c>
      <c r="C1836" s="4" t="inlineStr">
        <is>
          <t>T139</t>
        </is>
      </c>
      <c r="D1836" s="4" t="n">
        <v>2</v>
      </c>
      <c r="E1836" s="4" t="n">
        <v>2</v>
      </c>
      <c r="F1836" s="4" t="inlineStr">
        <is>
          <t>GOC Bed Unit-Costing Model v2 — working original.xlsx</t>
        </is>
      </c>
    </row>
    <row r="1837" ht="40" customHeight="1">
      <c r="A1837" s="4" t="inlineStr">
        <is>
          <t>original:NM Play!U139</t>
        </is>
      </c>
      <c r="B1837" s="4" t="inlineStr">
        <is>
          <t>NM Play</t>
        </is>
      </c>
      <c r="C1837" s="4" t="inlineStr">
        <is>
          <t>U139</t>
        </is>
      </c>
      <c r="D1837" s="4" t="n">
        <v>3</v>
      </c>
      <c r="E1837" s="4" t="n">
        <v>3</v>
      </c>
      <c r="F1837" s="4" t="inlineStr">
        <is>
          <t>GOC Bed Unit-Costing Model v2 — working original.xlsx</t>
        </is>
      </c>
    </row>
    <row r="1838" ht="40" customHeight="1">
      <c r="A1838" s="4" t="inlineStr">
        <is>
          <t>original:NM Play!V139</t>
        </is>
      </c>
      <c r="B1838" s="4" t="inlineStr">
        <is>
          <t>NM Play</t>
        </is>
      </c>
      <c r="C1838" s="4" t="inlineStr">
        <is>
          <t>V139</t>
        </is>
      </c>
      <c r="D1838" s="4" t="n">
        <v>4</v>
      </c>
      <c r="E1838" s="4" t="n">
        <v>4</v>
      </c>
      <c r="F1838" s="4" t="inlineStr">
        <is>
          <t>GOC Bed Unit-Costing Model v2 — working original.xlsx</t>
        </is>
      </c>
    </row>
    <row r="1839" ht="40" customHeight="1">
      <c r="A1839" s="4" t="inlineStr">
        <is>
          <t>original:NM Play!W139</t>
        </is>
      </c>
      <c r="B1839" s="4" t="inlineStr">
        <is>
          <t>NM Play</t>
        </is>
      </c>
      <c r="C1839" s="4" t="inlineStr">
        <is>
          <t>W139</t>
        </is>
      </c>
      <c r="D1839" s="4" t="n">
        <v>5</v>
      </c>
      <c r="E1839" s="4" t="n">
        <v>5</v>
      </c>
      <c r="F1839" s="4" t="inlineStr">
        <is>
          <t>GOC Bed Unit-Costing Model v2 — working original.xlsx</t>
        </is>
      </c>
    </row>
    <row r="1840" ht="40" customHeight="1">
      <c r="A1840" s="4" t="inlineStr">
        <is>
          <t>original:NM Play!X139</t>
        </is>
      </c>
      <c r="B1840" s="4" t="inlineStr">
        <is>
          <t>NM Play</t>
        </is>
      </c>
      <c r="C1840" s="4" t="inlineStr">
        <is>
          <t>X139</t>
        </is>
      </c>
      <c r="D1840" s="4" t="n">
        <v>6</v>
      </c>
      <c r="E1840" s="4" t="n">
        <v>6</v>
      </c>
      <c r="F1840" s="4" t="inlineStr">
        <is>
          <t>GOC Bed Unit-Costing Model v2 — working original.xlsx</t>
        </is>
      </c>
    </row>
    <row r="1841" ht="40" customHeight="1">
      <c r="A1841" s="4" t="inlineStr">
        <is>
          <t>original:NM Play!Y139</t>
        </is>
      </c>
      <c r="B1841" s="4" t="inlineStr">
        <is>
          <t>NM Play</t>
        </is>
      </c>
      <c r="C1841" s="4" t="inlineStr">
        <is>
          <t>Y139</t>
        </is>
      </c>
      <c r="D1841" s="4" t="n">
        <v>7</v>
      </c>
      <c r="E1841" s="4" t="n">
        <v>7</v>
      </c>
      <c r="F1841" s="4" t="inlineStr">
        <is>
          <t>GOC Bed Unit-Costing Model v2 — working original.xlsx</t>
        </is>
      </c>
    </row>
    <row r="1842" ht="40" customHeight="1">
      <c r="A1842" s="4" t="inlineStr">
        <is>
          <t>original:NM Play!Z139</t>
        </is>
      </c>
      <c r="B1842" s="4" t="inlineStr">
        <is>
          <t>NM Play</t>
        </is>
      </c>
      <c r="C1842" s="4" t="inlineStr">
        <is>
          <t>Z139</t>
        </is>
      </c>
      <c r="D1842" s="4" t="n">
        <v>8</v>
      </c>
      <c r="E1842" s="4" t="n">
        <v>8</v>
      </c>
      <c r="F1842" s="4" t="inlineStr">
        <is>
          <t>GOC Bed Unit-Costing Model v2 — working original.xlsx</t>
        </is>
      </c>
    </row>
    <row r="1843" ht="40" customHeight="1">
      <c r="A1843" s="4" t="inlineStr">
        <is>
          <t>original:NM Play!A140</t>
        </is>
      </c>
      <c r="B1843" s="4" t="inlineStr">
        <is>
          <t>NM Play</t>
        </is>
      </c>
      <c r="C1843" s="4" t="inlineStr">
        <is>
          <t>A140</t>
        </is>
      </c>
      <c r="D1843" s="4" t="inlineStr">
        <is>
          <t>Tab sheets</t>
        </is>
      </c>
      <c r="E1843" s="4" t="inlineStr">
        <is>
          <t>Tab sheets</t>
        </is>
      </c>
      <c r="F1843" s="4" t="inlineStr">
        <is>
          <t>GOC Bed Unit-Costing Model v2 — working original.xlsx</t>
        </is>
      </c>
    </row>
    <row r="1844" ht="40" customHeight="1">
      <c r="A1844" s="4" t="inlineStr">
        <is>
          <t>original:NM Play!B140</t>
        </is>
      </c>
      <c r="B1844" s="4" t="inlineStr">
        <is>
          <t>NM Play</t>
        </is>
      </c>
      <c r="C1844" s="4" t="inlineStr">
        <is>
          <t>B140</t>
        </is>
      </c>
      <c r="D1844" s="4" t="inlineStr">
        <is>
          <t>=61+12</t>
        </is>
      </c>
      <c r="E1844" s="4" t="n">
        <v>73</v>
      </c>
      <c r="F1844" s="4" t="inlineStr">
        <is>
          <t>GOC Bed Unit-Costing Model v2 — working original.xlsx</t>
        </is>
      </c>
    </row>
    <row r="1845" ht="40" customHeight="1">
      <c r="A1845" s="4" t="inlineStr">
        <is>
          <t>original:NM Play!C140</t>
        </is>
      </c>
      <c r="B1845" s="4" t="inlineStr">
        <is>
          <t>NM Play</t>
        </is>
      </c>
      <c r="C1845" s="4" t="inlineStr">
        <is>
          <t>C140</t>
        </is>
      </c>
      <c r="D1845" s="4" t="inlineStr">
        <is>
          <t>=B140+30</t>
        </is>
      </c>
      <c r="E1845" s="4" t="n">
        <v>103</v>
      </c>
      <c r="F1845" s="4" t="inlineStr">
        <is>
          <t>GOC Bed Unit-Costing Model v2 — working original.xlsx</t>
        </is>
      </c>
    </row>
    <row r="1846" ht="40" customHeight="1">
      <c r="A1846" s="4" t="inlineStr">
        <is>
          <t>original:NM Play!D140</t>
        </is>
      </c>
      <c r="B1846" s="4" t="inlineStr">
        <is>
          <t>NM Play</t>
        </is>
      </c>
      <c r="C1846" s="4" t="inlineStr">
        <is>
          <t>D140</t>
        </is>
      </c>
      <c r="D1846" s="4" t="inlineStr">
        <is>
          <t>=C140+30</t>
        </is>
      </c>
      <c r="E1846" s="4" t="n">
        <v>133</v>
      </c>
      <c r="F1846" s="4" t="inlineStr">
        <is>
          <t>GOC Bed Unit-Costing Model v2 — working original.xlsx</t>
        </is>
      </c>
    </row>
    <row r="1847" ht="40" customHeight="1">
      <c r="A1847" s="4" t="inlineStr">
        <is>
          <t>original:NM Play!E140</t>
        </is>
      </c>
      <c r="B1847" s="4" t="inlineStr">
        <is>
          <t>NM Play</t>
        </is>
      </c>
      <c r="C1847" s="4" t="inlineStr">
        <is>
          <t>E140</t>
        </is>
      </c>
      <c r="D1847" s="4" t="inlineStr">
        <is>
          <t>=D140+30</t>
        </is>
      </c>
      <c r="E1847" s="4" t="n">
        <v>163</v>
      </c>
      <c r="F1847" s="4" t="inlineStr">
        <is>
          <t>GOC Bed Unit-Costing Model v2 — working original.xlsx</t>
        </is>
      </c>
    </row>
    <row r="1848" ht="40" customHeight="1">
      <c r="A1848" s="4" t="inlineStr">
        <is>
          <t>original:NM Play!F140</t>
        </is>
      </c>
      <c r="B1848" s="4" t="inlineStr">
        <is>
          <t>NM Play</t>
        </is>
      </c>
      <c r="C1848" s="4" t="inlineStr">
        <is>
          <t>F140</t>
        </is>
      </c>
      <c r="D1848" s="4" t="inlineStr">
        <is>
          <t>=E140+30</t>
        </is>
      </c>
      <c r="E1848" s="4" t="n">
        <v>193</v>
      </c>
      <c r="F1848" s="4" t="inlineStr">
        <is>
          <t>GOC Bed Unit-Costing Model v2 — working original.xlsx</t>
        </is>
      </c>
    </row>
    <row r="1849" ht="40" customHeight="1">
      <c r="A1849" s="4" t="inlineStr">
        <is>
          <t>original:NM Play!G140</t>
        </is>
      </c>
      <c r="B1849" s="4" t="inlineStr">
        <is>
          <t>NM Play</t>
        </is>
      </c>
      <c r="C1849" s="4" t="inlineStr">
        <is>
          <t>G140</t>
        </is>
      </c>
      <c r="D1849" s="4" t="inlineStr">
        <is>
          <t>=F140+30</t>
        </is>
      </c>
      <c r="E1849" s="4" t="n">
        <v>223</v>
      </c>
      <c r="F1849" s="4" t="inlineStr">
        <is>
          <t>GOC Bed Unit-Costing Model v2 — working original.xlsx</t>
        </is>
      </c>
    </row>
    <row r="1850" ht="40" customHeight="1">
      <c r="A1850" s="4" t="inlineStr">
        <is>
          <t>original:NM Play!H140</t>
        </is>
      </c>
      <c r="B1850" s="4" t="inlineStr">
        <is>
          <t>NM Play</t>
        </is>
      </c>
      <c r="C1850" s="4" t="inlineStr">
        <is>
          <t>H140</t>
        </is>
      </c>
      <c r="D1850" s="4" t="inlineStr">
        <is>
          <t>=G140+30</t>
        </is>
      </c>
      <c r="E1850" s="4" t="n">
        <v>253</v>
      </c>
      <c r="F1850" s="4" t="inlineStr">
        <is>
          <t>GOC Bed Unit-Costing Model v2 — working original.xlsx</t>
        </is>
      </c>
    </row>
    <row r="1851" ht="40" customHeight="1">
      <c r="A1851" s="4" t="inlineStr">
        <is>
          <t>original:NM Play!I140</t>
        </is>
      </c>
      <c r="B1851" s="4" t="inlineStr">
        <is>
          <t>NM Play</t>
        </is>
      </c>
      <c r="C1851" s="4" t="inlineStr">
        <is>
          <t>I140</t>
        </is>
      </c>
      <c r="D1851" s="4" t="inlineStr">
        <is>
          <t>=H140+30</t>
        </is>
      </c>
      <c r="E1851" s="4" t="n">
        <v>283</v>
      </c>
      <c r="F1851" s="4" t="inlineStr">
        <is>
          <t>GOC Bed Unit-Costing Model v2 — working original.xlsx</t>
        </is>
      </c>
    </row>
    <row r="1852" ht="40" customHeight="1">
      <c r="A1852" s="4" t="inlineStr">
        <is>
          <t>original:NM Play!J140</t>
        </is>
      </c>
      <c r="B1852" s="4" t="inlineStr">
        <is>
          <t>NM Play</t>
        </is>
      </c>
      <c r="C1852" s="4" t="inlineStr">
        <is>
          <t>J140</t>
        </is>
      </c>
      <c r="D1852" s="4" t="inlineStr">
        <is>
          <t>=I140+30</t>
        </is>
      </c>
      <c r="E1852" s="4" t="n">
        <v>313</v>
      </c>
      <c r="F1852" s="4" t="inlineStr">
        <is>
          <t>GOC Bed Unit-Costing Model v2 — working original.xlsx</t>
        </is>
      </c>
    </row>
    <row r="1853" ht="40" customHeight="1">
      <c r="A1853" s="4" t="inlineStr">
        <is>
          <t>original:NM Play!K140</t>
        </is>
      </c>
      <c r="B1853" s="4" t="inlineStr">
        <is>
          <t>NM Play</t>
        </is>
      </c>
      <c r="C1853" s="4" t="inlineStr">
        <is>
          <t>K140</t>
        </is>
      </c>
      <c r="D1853" s="4" t="inlineStr">
        <is>
          <t>=J140+30</t>
        </is>
      </c>
      <c r="E1853" s="4" t="n">
        <v>343</v>
      </c>
      <c r="F1853" s="4" t="inlineStr">
        <is>
          <t>GOC Bed Unit-Costing Model v2 — working original.xlsx</t>
        </is>
      </c>
    </row>
    <row r="1854" ht="40" customHeight="1">
      <c r="A1854" s="4" t="inlineStr">
        <is>
          <t>original:NM Play!L140</t>
        </is>
      </c>
      <c r="B1854" s="4" t="inlineStr">
        <is>
          <t>NM Play</t>
        </is>
      </c>
      <c r="C1854" s="4" t="inlineStr">
        <is>
          <t>L140</t>
        </is>
      </c>
      <c r="D1854" s="4" t="inlineStr">
        <is>
          <t>=K140+30</t>
        </is>
      </c>
      <c r="E1854" s="4" t="n">
        <v>373</v>
      </c>
      <c r="F1854" s="4" t="inlineStr">
        <is>
          <t>GOC Bed Unit-Costing Model v2 — working original.xlsx</t>
        </is>
      </c>
    </row>
    <row r="1855" ht="40" customHeight="1">
      <c r="A1855" s="4" t="inlineStr">
        <is>
          <t>original:NM Play!M140</t>
        </is>
      </c>
      <c r="B1855" s="4" t="inlineStr">
        <is>
          <t>NM Play</t>
        </is>
      </c>
      <c r="C1855" s="4" t="inlineStr">
        <is>
          <t>M140</t>
        </is>
      </c>
      <c r="D1855" s="4" t="inlineStr">
        <is>
          <t>=L140+30</t>
        </is>
      </c>
      <c r="E1855" s="4" t="n">
        <v>403</v>
      </c>
      <c r="F1855" s="4" t="inlineStr">
        <is>
          <t>GOC Bed Unit-Costing Model v2 — working original.xlsx</t>
        </is>
      </c>
    </row>
    <row r="1856" ht="40" customHeight="1">
      <c r="A1856" s="4" t="inlineStr">
        <is>
          <t>original:NM Play!N140</t>
        </is>
      </c>
      <c r="B1856" s="4" t="inlineStr">
        <is>
          <t>NM Play</t>
        </is>
      </c>
      <c r="C1856" s="4" t="inlineStr">
        <is>
          <t>N140</t>
        </is>
      </c>
      <c r="D1856" s="4" t="inlineStr">
        <is>
          <t>=M140+30</t>
        </is>
      </c>
      <c r="E1856" s="4" t="n">
        <v>433</v>
      </c>
      <c r="F1856" s="4" t="inlineStr">
        <is>
          <t>GOC Bed Unit-Costing Model v2 — working original.xlsx</t>
        </is>
      </c>
    </row>
    <row r="1857" ht="40" customHeight="1">
      <c r="A1857" s="4" t="inlineStr">
        <is>
          <t>original:NM Play!O140</t>
        </is>
      </c>
      <c r="B1857" s="4" t="inlineStr">
        <is>
          <t>NM Play</t>
        </is>
      </c>
      <c r="C1857" s="4" t="inlineStr">
        <is>
          <t>O140</t>
        </is>
      </c>
      <c r="D1857" s="4" t="inlineStr">
        <is>
          <t>=N140+30</t>
        </is>
      </c>
      <c r="E1857" s="4" t="n">
        <v>463</v>
      </c>
      <c r="F1857" s="4" t="inlineStr">
        <is>
          <t>GOC Bed Unit-Costing Model v2 — working original.xlsx</t>
        </is>
      </c>
    </row>
    <row r="1858" ht="40" customHeight="1">
      <c r="A1858" s="4" t="inlineStr">
        <is>
          <t>original:NM Play!C141</t>
        </is>
      </c>
      <c r="B1858" s="4" t="inlineStr">
        <is>
          <t>NM Play</t>
        </is>
      </c>
      <c r="C1858" s="4" t="inlineStr">
        <is>
          <t>C141</t>
        </is>
      </c>
      <c r="D1858" s="4" t="inlineStr">
        <is>
          <t>=30*15</t>
        </is>
      </c>
      <c r="E1858" s="4" t="n">
        <v>450</v>
      </c>
      <c r="F1858" s="4" t="inlineStr">
        <is>
          <t>GOC Bed Unit-Costing Model v2 — working original.xlsx</t>
        </is>
      </c>
    </row>
    <row r="1859" ht="40" customHeight="1">
      <c r="A1859" s="4" t="inlineStr">
        <is>
          <t>original:NM Play!D141</t>
        </is>
      </c>
      <c r="B1859" s="4" t="inlineStr">
        <is>
          <t>NM Play</t>
        </is>
      </c>
      <c r="C1859" s="4" t="inlineStr">
        <is>
          <t>D141</t>
        </is>
      </c>
      <c r="D1859" s="4" t="inlineStr">
        <is>
          <t>=30*15+C141</t>
        </is>
      </c>
      <c r="E1859" s="4" t="n">
        <v>900</v>
      </c>
      <c r="F1859" s="4" t="inlineStr">
        <is>
          <t>GOC Bed Unit-Costing Model v2 — working original.xlsx</t>
        </is>
      </c>
    </row>
    <row r="1860" ht="40" customHeight="1">
      <c r="A1860" s="4" t="inlineStr">
        <is>
          <t>original:NM Play!E141</t>
        </is>
      </c>
      <c r="B1860" s="4" t="inlineStr">
        <is>
          <t>NM Play</t>
        </is>
      </c>
      <c r="C1860" s="4" t="inlineStr">
        <is>
          <t>E141</t>
        </is>
      </c>
      <c r="D1860" s="4" t="inlineStr">
        <is>
          <t>=30*15+D141</t>
        </is>
      </c>
      <c r="E1860" s="4" t="n">
        <v>1350</v>
      </c>
      <c r="F1860" s="4" t="inlineStr">
        <is>
          <t>GOC Bed Unit-Costing Model v2 — working original.xlsx</t>
        </is>
      </c>
    </row>
    <row r="1861" ht="40" customHeight="1">
      <c r="A1861" s="4" t="inlineStr">
        <is>
          <t>original:NM Play!F141</t>
        </is>
      </c>
      <c r="B1861" s="4" t="inlineStr">
        <is>
          <t>NM Play</t>
        </is>
      </c>
      <c r="C1861" s="4" t="inlineStr">
        <is>
          <t>F141</t>
        </is>
      </c>
      <c r="D1861" s="4" t="inlineStr">
        <is>
          <t xml:space="preserve">run out if plastic </t>
        </is>
      </c>
      <c r="E1861" s="4" t="inlineStr">
        <is>
          <t xml:space="preserve">run out if plastic </t>
        </is>
      </c>
      <c r="F1861" s="4" t="inlineStr">
        <is>
          <t>GOC Bed Unit-Costing Model v2 — working original.xlsx</t>
        </is>
      </c>
    </row>
    <row r="1862" ht="40" customHeight="1">
      <c r="A1862" s="4" t="inlineStr">
        <is>
          <t>original:NM Play!A142</t>
        </is>
      </c>
      <c r="B1862" s="4" t="inlineStr">
        <is>
          <t>NM Play</t>
        </is>
      </c>
      <c r="C1862" s="4" t="inlineStr">
        <is>
          <t>A142</t>
        </is>
      </c>
      <c r="D1862" s="4" t="inlineStr">
        <is>
          <t xml:space="preserve">660 tabs  ready </t>
        </is>
      </c>
      <c r="E1862" s="4" t="inlineStr">
        <is>
          <t xml:space="preserve">660 tabs  ready </t>
        </is>
      </c>
      <c r="F1862" s="4" t="inlineStr">
        <is>
          <t>GOC Bed Unit-Costing Model v2 — working original.xlsx</t>
        </is>
      </c>
    </row>
    <row r="1863" ht="40" customHeight="1">
      <c r="A1863" s="4" t="inlineStr">
        <is>
          <t>original:NM Play!A143</t>
        </is>
      </c>
      <c r="B1863" s="4" t="inlineStr">
        <is>
          <t>NM Play</t>
        </is>
      </c>
      <c r="C1863" s="4" t="inlineStr">
        <is>
          <t>A143</t>
        </is>
      </c>
      <c r="D1863" s="4" t="inlineStr">
        <is>
          <t>=660/8</t>
        </is>
      </c>
      <c r="E1863" s="4" t="n">
        <v>82.5</v>
      </c>
      <c r="F1863" s="4" t="inlineStr">
        <is>
          <t>GOC Bed Unit-Costing Model v2 — working original.xlsx</t>
        </is>
      </c>
    </row>
    <row r="1864" ht="40" customHeight="1">
      <c r="A1864" s="4" t="inlineStr">
        <is>
          <t>original:NM Play!A144</t>
        </is>
      </c>
      <c r="B1864" s="4" t="inlineStr">
        <is>
          <t>NM Play</t>
        </is>
      </c>
      <c r="C1864" s="4" t="inlineStr">
        <is>
          <t>A144</t>
        </is>
      </c>
      <c r="D1864" s="4" t="inlineStr">
        <is>
          <t>=A143+O140</t>
        </is>
      </c>
      <c r="E1864" s="4" t="n">
        <v>545.5</v>
      </c>
      <c r="F1864" s="4" t="inlineStr">
        <is>
          <t>GOC Bed Unit-Costing Model v2 — working original.xlsx</t>
        </is>
      </c>
    </row>
    <row r="1865" ht="40" customHeight="1">
      <c r="A1865" s="4" t="inlineStr">
        <is>
          <t>original:NM Play!A145</t>
        </is>
      </c>
      <c r="B1865" s="4" t="inlineStr">
        <is>
          <t>NM Play</t>
        </is>
      </c>
      <c r="C1865" s="4" t="inlineStr">
        <is>
          <t>A145</t>
        </is>
      </c>
      <c r="D1865" s="4" t="inlineStr">
        <is>
          <t>=A144-A143</t>
        </is>
      </c>
      <c r="E1865" s="4" t="n">
        <v>463</v>
      </c>
      <c r="F1865" s="4" t="inlineStr">
        <is>
          <t>GOC Bed Unit-Costing Model v2 — working original.xlsx</t>
        </is>
      </c>
    </row>
    <row r="1866" ht="40" customHeight="1">
      <c r="A1866" s="4" t="inlineStr">
        <is>
          <t>original:NM Play!A146</t>
        </is>
      </c>
      <c r="B1866" s="4" t="inlineStr">
        <is>
          <t>NM Play</t>
        </is>
      </c>
      <c r="C1866" s="4" t="inlineStr">
        <is>
          <t>A146</t>
        </is>
      </c>
      <c r="D1866" s="4" t="inlineStr">
        <is>
          <t xml:space="preserve">464 Legs </t>
        </is>
      </c>
      <c r="E1866" s="4" t="inlineStr">
        <is>
          <t xml:space="preserve">464 Legs </t>
        </is>
      </c>
      <c r="F1866" s="4" t="inlineStr">
        <is>
          <t>GOC Bed Unit-Costing Model v2 — working original.xlsx</t>
        </is>
      </c>
    </row>
    <row r="1867" ht="40" customHeight="1">
      <c r="A1867" s="4" t="inlineStr">
        <is>
          <t>original:NM Play!A147</t>
        </is>
      </c>
      <c r="B1867" s="4" t="inlineStr">
        <is>
          <t>NM Play</t>
        </is>
      </c>
      <c r="C1867" s="4" t="inlineStr">
        <is>
          <t>A147</t>
        </is>
      </c>
      <c r="D1867" s="4" t="inlineStr">
        <is>
          <t>=464/8</t>
        </is>
      </c>
      <c r="E1867" s="4" t="n">
        <v>58</v>
      </c>
      <c r="F1867" s="4" t="inlineStr">
        <is>
          <t>GOC Bed Unit-Costing Model v2 — working original.xlsx</t>
        </is>
      </c>
    </row>
    <row r="1868" ht="40" customHeight="1">
      <c r="A1868" s="4" t="inlineStr">
        <is>
          <t>original:NM Play!B147</t>
        </is>
      </c>
      <c r="B1868" s="4" t="inlineStr">
        <is>
          <t>NM Play</t>
        </is>
      </c>
      <c r="C1868" s="4" t="inlineStr">
        <is>
          <t>B147</t>
        </is>
      </c>
      <c r="D1868" s="4" t="n">
        <v>18</v>
      </c>
      <c r="E1868" s="4" t="n">
        <v>18</v>
      </c>
      <c r="F1868" s="4" t="inlineStr">
        <is>
          <t>GOC Bed Unit-Costing Model v2 — working original.xlsx</t>
        </is>
      </c>
    </row>
    <row r="1869" ht="40" customHeight="1">
      <c r="A1869" s="4" t="inlineStr">
        <is>
          <t>original:NM Play!F147</t>
        </is>
      </c>
      <c r="B1869" s="4" t="inlineStr">
        <is>
          <t>NM Play</t>
        </is>
      </c>
      <c r="C1869" s="4" t="inlineStr">
        <is>
          <t>F147</t>
        </is>
      </c>
      <c r="D1869" s="4" t="n">
        <v>30</v>
      </c>
      <c r="E1869" s="4" t="n">
        <v>30</v>
      </c>
      <c r="F1869" s="4" t="inlineStr">
        <is>
          <t>GOC Bed Unit-Costing Model v2 — working original.xlsx</t>
        </is>
      </c>
    </row>
    <row r="1870" ht="40" customHeight="1">
      <c r="A1870" s="4" t="inlineStr">
        <is>
          <t>original:NM Play!H147</t>
        </is>
      </c>
      <c r="B1870" s="4" t="inlineStr">
        <is>
          <t>NM Play</t>
        </is>
      </c>
      <c r="C1870" s="4" t="inlineStr">
        <is>
          <t>H147</t>
        </is>
      </c>
      <c r="D1870" s="4" t="n">
        <v>105</v>
      </c>
      <c r="E1870" s="4" t="n">
        <v>105</v>
      </c>
      <c r="F1870" s="4" t="inlineStr">
        <is>
          <t>GOC Bed Unit-Costing Model v2 — working original.xlsx</t>
        </is>
      </c>
    </row>
    <row r="1871" ht="40" customHeight="1">
      <c r="A1871" s="4" t="inlineStr">
        <is>
          <t>original:NM Play!K147</t>
        </is>
      </c>
      <c r="B1871" s="4" t="inlineStr">
        <is>
          <t>NM Play</t>
        </is>
      </c>
      <c r="C1871" s="4" t="inlineStr">
        <is>
          <t>K147</t>
        </is>
      </c>
      <c r="D1871" s="4" t="n">
        <v>312</v>
      </c>
      <c r="E1871" s="4" t="n">
        <v>312</v>
      </c>
      <c r="F1871" s="4" t="inlineStr">
        <is>
          <t>GOC Bed Unit-Costing Model v2 — working original.xlsx</t>
        </is>
      </c>
    </row>
    <row r="1872" ht="40" customHeight="1">
      <c r="A1872" s="4" t="inlineStr">
        <is>
          <t>original:NM Play!A148</t>
        </is>
      </c>
      <c r="B1872" s="4" t="inlineStr">
        <is>
          <t>NM Play</t>
        </is>
      </c>
      <c r="C1872" s="4" t="inlineStr">
        <is>
          <t>A148</t>
        </is>
      </c>
      <c r="D1872" s="4" t="inlineStr">
        <is>
          <t>=sum(A147:R147)</t>
        </is>
      </c>
      <c r="E1872" s="4" t="n">
        <v>523</v>
      </c>
      <c r="F1872" s="4" t="inlineStr">
        <is>
          <t>GOC Bed Unit-Costing Model v2 — working original.xlsx</t>
        </is>
      </c>
    </row>
    <row r="1873" ht="40" customHeight="1">
      <c r="A1873" s="4" t="inlineStr">
        <is>
          <t>original:NM Play!A149</t>
        </is>
      </c>
      <c r="B1873" s="4" t="inlineStr">
        <is>
          <t>NM Play</t>
        </is>
      </c>
      <c r="C1873" s="4" t="inlineStr">
        <is>
          <t>A149</t>
        </is>
      </c>
      <c r="D1873" s="4" t="inlineStr">
        <is>
          <t>=A148-A147</t>
        </is>
      </c>
      <c r="E1873" s="4" t="n">
        <v>465</v>
      </c>
      <c r="F1873" s="4" t="inlineStr">
        <is>
          <t>GOC Bed Unit-Costing Model v2 — working original.xlsx</t>
        </is>
      </c>
    </row>
    <row r="1874" ht="40" customHeight="1">
      <c r="A1874" s="4" t="inlineStr">
        <is>
          <t>original:NM Play!A154</t>
        </is>
      </c>
      <c r="B1874" s="4" t="inlineStr">
        <is>
          <t>NM Play</t>
        </is>
      </c>
      <c r="C1874" s="4" t="inlineStr">
        <is>
          <t>A154</t>
        </is>
      </c>
      <c r="D1874" s="4" t="inlineStr">
        <is>
          <t>15 Sheets Day Legs</t>
        </is>
      </c>
      <c r="E1874" s="4" t="inlineStr">
        <is>
          <t>15 Sheets Day Legs</t>
        </is>
      </c>
      <c r="F1874" s="4" t="inlineStr">
        <is>
          <t>GOC Bed Unit-Costing Model v2 — working original.xlsx</t>
        </is>
      </c>
    </row>
    <row r="1875" ht="40" customHeight="1">
      <c r="A1875" s="4" t="inlineStr">
        <is>
          <t>original:NM Play!B154</t>
        </is>
      </c>
      <c r="B1875" s="4" t="inlineStr">
        <is>
          <t>NM Play</t>
        </is>
      </c>
      <c r="C1875" s="4" t="inlineStr">
        <is>
          <t>B154</t>
        </is>
      </c>
      <c r="D1875" s="4" t="inlineStr">
        <is>
          <t>=A149/15</t>
        </is>
      </c>
      <c r="E1875" s="4" t="n">
        <v>31</v>
      </c>
      <c r="F1875" s="4" t="inlineStr">
        <is>
          <t>GOC Bed Unit-Costing Model v2 — working original.xlsx</t>
        </is>
      </c>
    </row>
    <row r="1876" ht="40" customHeight="1">
      <c r="A1876" s="4" t="inlineStr">
        <is>
          <t>original:NM Play!C154</t>
        </is>
      </c>
      <c r="B1876" s="4" t="inlineStr">
        <is>
          <t>NM Play</t>
        </is>
      </c>
      <c r="C1876" s="4" t="inlineStr">
        <is>
          <t>C154</t>
        </is>
      </c>
      <c r="D1876" s="4" t="inlineStr">
        <is>
          <t xml:space="preserve">31 Days Leg Cutting </t>
        </is>
      </c>
      <c r="E1876" s="4" t="inlineStr">
        <is>
          <t xml:space="preserve">31 Days Leg Cutting </t>
        </is>
      </c>
      <c r="F1876" s="4" t="inlineStr">
        <is>
          <t>GOC Bed Unit-Costing Model v2 — working original.xlsx</t>
        </is>
      </c>
    </row>
    <row r="1877" ht="40" customHeight="1">
      <c r="A1877" s="4" t="inlineStr">
        <is>
          <t>original:NM Play!A155</t>
        </is>
      </c>
      <c r="B1877" s="4" t="inlineStr">
        <is>
          <t>NM Play</t>
        </is>
      </c>
      <c r="C1877" s="4" t="inlineStr">
        <is>
          <t>A155</t>
        </is>
      </c>
      <c r="D1877" s="4" t="inlineStr">
        <is>
          <t xml:space="preserve">20 Tabs Day </t>
        </is>
      </c>
      <c r="E1877" s="4" t="inlineStr">
        <is>
          <t xml:space="preserve">20 Tabs Day </t>
        </is>
      </c>
      <c r="F1877" s="4" t="inlineStr">
        <is>
          <t>GOC Bed Unit-Costing Model v2 — working original.xlsx</t>
        </is>
      </c>
    </row>
    <row r="1878" ht="40" customHeight="1">
      <c r="A1878" s="4" t="inlineStr">
        <is>
          <t>original:NM Play!B155</t>
        </is>
      </c>
      <c r="B1878" s="4" t="inlineStr">
        <is>
          <t>NM Play</t>
        </is>
      </c>
      <c r="C1878" s="4" t="inlineStr">
        <is>
          <t>B155</t>
        </is>
      </c>
      <c r="D1878" s="4" t="inlineStr">
        <is>
          <t>=(A148-A147)/20</t>
        </is>
      </c>
      <c r="E1878" s="4" t="n">
        <v>23.25</v>
      </c>
      <c r="F1878" s="4" t="inlineStr">
        <is>
          <t>GOC Bed Unit-Costing Model v2 — working original.xlsx</t>
        </is>
      </c>
    </row>
    <row r="1879" ht="40" customHeight="1">
      <c r="A1879" s="4" t="inlineStr">
        <is>
          <t>original:NM Play!C155</t>
        </is>
      </c>
      <c r="B1879" s="4" t="inlineStr">
        <is>
          <t>NM Play</t>
        </is>
      </c>
      <c r="C1879" s="4" t="inlineStr">
        <is>
          <t>C155</t>
        </is>
      </c>
      <c r="D1879" s="4" t="inlineStr">
        <is>
          <t>23 Days Tab Cutting</t>
        </is>
      </c>
      <c r="E1879" s="4" t="inlineStr">
        <is>
          <t>23 Days Tab Cutting</t>
        </is>
      </c>
      <c r="F1879" s="4" t="inlineStr">
        <is>
          <t>GOC Bed Unit-Costing Model v2 — working original.xlsx</t>
        </is>
      </c>
    </row>
    <row r="1880" ht="40" customHeight="1">
      <c r="A1880" s="4" t="inlineStr">
        <is>
          <t>original:NM Play!C156</t>
        </is>
      </c>
      <c r="B1880" s="4" t="inlineStr">
        <is>
          <t>NM Play</t>
        </is>
      </c>
      <c r="C1880" s="4" t="inlineStr">
        <is>
          <t>C156</t>
        </is>
      </c>
      <c r="D1880" s="4" t="inlineStr">
        <is>
          <t xml:space="preserve">54 days </t>
        </is>
      </c>
      <c r="E1880" s="4" t="inlineStr">
        <is>
          <t xml:space="preserve">54 days </t>
        </is>
      </c>
      <c r="F1880" s="4" t="inlineStr">
        <is>
          <t>GOC Bed Unit-Costing Model v2 — working original.xlsx</t>
        </is>
      </c>
    </row>
    <row r="1881" ht="40" customHeight="1">
      <c r="A1881" s="4" t="inlineStr">
        <is>
          <t>original:NM Play!A158</t>
        </is>
      </c>
      <c r="B1881" s="4" t="inlineStr">
        <is>
          <t>NM Play</t>
        </is>
      </c>
      <c r="C1881" s="4" t="inlineStr">
        <is>
          <t>A158</t>
        </is>
      </c>
      <c r="D1881" s="4" t="inlineStr">
        <is>
          <t>Plastic Needed</t>
        </is>
      </c>
      <c r="E1881" s="4" t="inlineStr">
        <is>
          <t>Plastic Needed</t>
        </is>
      </c>
      <c r="F1881" s="4" t="inlineStr">
        <is>
          <t>GOC Bed Unit-Costing Model v2 — working original.xlsx</t>
        </is>
      </c>
    </row>
    <row r="1882" ht="40" customHeight="1">
      <c r="A1882" s="4" t="inlineStr">
        <is>
          <t>original:NM Play!A159</t>
        </is>
      </c>
      <c r="B1882" s="4" t="inlineStr">
        <is>
          <t>NM Play</t>
        </is>
      </c>
      <c r="C1882" s="4" t="inlineStr">
        <is>
          <t>A159</t>
        </is>
      </c>
      <c r="D1882" s="4" t="inlineStr">
        <is>
          <t>=O140*15</t>
        </is>
      </c>
      <c r="E1882" s="4" t="n">
        <v>6945</v>
      </c>
      <c r="F1882" s="4" t="inlineStr">
        <is>
          <t>GOC Bed Unit-Costing Model v2 — working original.xlsx</t>
        </is>
      </c>
    </row>
    <row r="1883" ht="40" customHeight="1">
      <c r="A1883" s="4" t="inlineStr">
        <is>
          <t>original:NM Play!A160</t>
        </is>
      </c>
      <c r="B1883" s="4" t="inlineStr">
        <is>
          <t>NM Play</t>
        </is>
      </c>
      <c r="C1883" s="4" t="inlineStr">
        <is>
          <t>A160</t>
        </is>
      </c>
      <c r="D1883" s="4" t="n">
        <v>1800</v>
      </c>
      <c r="E1883" s="4" t="n">
        <v>1800</v>
      </c>
      <c r="F1883" s="4" t="inlineStr">
        <is>
          <t>GOC Bed Unit-Costing Model v2 — working original.xlsx</t>
        </is>
      </c>
    </row>
    <row r="1884" ht="40" customHeight="1">
      <c r="A1884" s="4" t="inlineStr">
        <is>
          <t>original:NM Play!B160</t>
        </is>
      </c>
      <c r="B1884" s="4" t="inlineStr">
        <is>
          <t>NM Play</t>
        </is>
      </c>
      <c r="C1884" s="4" t="inlineStr">
        <is>
          <t>B160</t>
        </is>
      </c>
      <c r="D1884" s="4" t="inlineStr">
        <is>
          <t>in stock</t>
        </is>
      </c>
      <c r="E1884" s="4" t="inlineStr">
        <is>
          <t>in stock</t>
        </is>
      </c>
      <c r="F1884" s="4" t="inlineStr">
        <is>
          <t>GOC Bed Unit-Costing Model v2 — working original.xlsx</t>
        </is>
      </c>
    </row>
    <row r="1885" ht="40" customHeight="1">
      <c r="A1885" s="4" t="inlineStr">
        <is>
          <t>original:NM Play!A161</t>
        </is>
      </c>
      <c r="B1885" s="4" t="inlineStr">
        <is>
          <t>NM Play</t>
        </is>
      </c>
      <c r="C1885" s="4" t="inlineStr">
        <is>
          <t>A161</t>
        </is>
      </c>
      <c r="D1885" s="4" t="inlineStr">
        <is>
          <t>=A159-A160</t>
        </is>
      </c>
      <c r="E1885" s="4" t="n">
        <v>5145</v>
      </c>
      <c r="F1885" s="4" t="inlineStr">
        <is>
          <t>GOC Bed Unit-Costing Model v2 — working original.xlsx</t>
        </is>
      </c>
    </row>
    <row r="1886" ht="40" customHeight="1">
      <c r="A1886" s="4" t="inlineStr">
        <is>
          <t>original:NM Play!A162</t>
        </is>
      </c>
      <c r="B1886" s="4" t="inlineStr">
        <is>
          <t>NM Play</t>
        </is>
      </c>
      <c r="C1886" s="4" t="inlineStr">
        <is>
          <t>A162</t>
        </is>
      </c>
      <c r="D1886" s="4" t="inlineStr">
        <is>
          <t>=A161/600</t>
        </is>
      </c>
      <c r="E1886" s="4" t="n">
        <v>8.574999999999999</v>
      </c>
      <c r="F1886" s="4" t="inlineStr">
        <is>
          <t>GOC Bed Unit-Costing Model v2 — working original.xlsx</t>
        </is>
      </c>
    </row>
    <row r="1887" ht="40" customHeight="1">
      <c r="A1887" s="4" t="inlineStr">
        <is>
          <t>original:NM Play!A164</t>
        </is>
      </c>
      <c r="B1887" s="4" t="inlineStr">
        <is>
          <t>NM Play</t>
        </is>
      </c>
      <c r="C1887" s="4" t="inlineStr">
        <is>
          <t>A164</t>
        </is>
      </c>
      <c r="D1887" s="4" t="inlineStr">
        <is>
          <t>Another 8 Bags</t>
        </is>
      </c>
      <c r="E1887" s="4" t="inlineStr">
        <is>
          <t>Another 8 Bags</t>
        </is>
      </c>
      <c r="F1887" s="4" t="inlineStr">
        <is>
          <t>GOC Bed Unit-Costing Model v2 — working original.xlsx</t>
        </is>
      </c>
    </row>
    <row r="1888" ht="40" customHeight="1">
      <c r="A1888" s="4" t="inlineStr">
        <is>
          <t>original:NM Play!B164</t>
        </is>
      </c>
      <c r="B1888" s="4" t="inlineStr">
        <is>
          <t>NM Play</t>
        </is>
      </c>
      <c r="C1888" s="4" t="inlineStr">
        <is>
          <t>B164</t>
        </is>
      </c>
      <c r="D1888" s="4" t="n">
        <v>8000</v>
      </c>
      <c r="E1888" s="4" t="n">
        <v>8000</v>
      </c>
      <c r="F1888" s="4" t="inlineStr">
        <is>
          <t>GOC Bed Unit-Costing Model v2 — working original.xlsx</t>
        </is>
      </c>
    </row>
    <row r="1889" ht="40" customHeight="1">
      <c r="A1889" s="4" t="inlineStr">
        <is>
          <t>original:NM Play!A165</t>
        </is>
      </c>
      <c r="B1889" s="4" t="inlineStr">
        <is>
          <t>NM Play</t>
        </is>
      </c>
      <c r="C1889" s="4" t="inlineStr">
        <is>
          <t>A165</t>
        </is>
      </c>
      <c r="D1889" s="4" t="inlineStr">
        <is>
          <t xml:space="preserve">Sheets </t>
        </is>
      </c>
      <c r="E1889" s="4" t="inlineStr">
        <is>
          <t xml:space="preserve">Sheets </t>
        </is>
      </c>
      <c r="F1889" s="4" t="inlineStr">
        <is>
          <t>GOC Bed Unit-Costing Model v2 — working original.xlsx</t>
        </is>
      </c>
    </row>
    <row r="1890" ht="40" customHeight="1">
      <c r="A1890" s="4" t="inlineStr">
        <is>
          <t>original:NM Play!B165</t>
        </is>
      </c>
      <c r="B1890" s="4" t="inlineStr">
        <is>
          <t>NM Play</t>
        </is>
      </c>
      <c r="C1890" s="4" t="inlineStr">
        <is>
          <t>B165</t>
        </is>
      </c>
      <c r="D1890" s="4" t="inlineStr">
        <is>
          <t>16k</t>
        </is>
      </c>
      <c r="E1890" s="4" t="inlineStr">
        <is>
          <t>16k</t>
        </is>
      </c>
      <c r="F1890" s="4" t="inlineStr">
        <is>
          <t>GOC Bed Unit-Costing Model v2 — working original.xlsx</t>
        </is>
      </c>
    </row>
    <row r="1891" ht="40" customHeight="1">
      <c r="A1891" s="4" t="inlineStr">
        <is>
          <t>original:NM Play!A166</t>
        </is>
      </c>
      <c r="B1891" s="4" t="inlineStr">
        <is>
          <t>NM Play</t>
        </is>
      </c>
      <c r="C1891" s="4" t="inlineStr">
        <is>
          <t>A166</t>
        </is>
      </c>
      <c r="D1891" s="4" t="inlineStr">
        <is>
          <t>=K147/3</t>
        </is>
      </c>
      <c r="E1891" s="4" t="n">
        <v>104</v>
      </c>
      <c r="F1891" s="4" t="inlineStr">
        <is>
          <t>GOC Bed Unit-Costing Model v2 — working original.xlsx</t>
        </is>
      </c>
    </row>
    <row r="1892" ht="40" customHeight="1">
      <c r="A1892" s="4" t="inlineStr">
        <is>
          <t>original:NM Play!B166</t>
        </is>
      </c>
      <c r="B1892" s="4" t="inlineStr">
        <is>
          <t>NM Play</t>
        </is>
      </c>
      <c r="C1892" s="4" t="inlineStr">
        <is>
          <t>B166</t>
        </is>
      </c>
      <c r="D1892" s="4" t="inlineStr">
        <is>
          <t>=A167*A166</t>
        </is>
      </c>
      <c r="E1892" s="4" t="n">
        <v>47528</v>
      </c>
      <c r="F1892" s="4" t="inlineStr">
        <is>
          <t>GOC Bed Unit-Costing Model v2 — working original.xlsx</t>
        </is>
      </c>
    </row>
    <row r="1893" ht="40" customHeight="1">
      <c r="A1893" s="4" t="inlineStr">
        <is>
          <t>original:NM Play!A167</t>
        </is>
      </c>
      <c r="B1893" s="4" t="inlineStr">
        <is>
          <t>NM Play</t>
        </is>
      </c>
      <c r="C1893" s="4" t="inlineStr">
        <is>
          <t>A167</t>
        </is>
      </c>
      <c r="D1893" s="4" t="n">
        <v>457</v>
      </c>
      <c r="E1893" s="4" t="n">
        <v>457</v>
      </c>
      <c r="F1893" s="4" t="inlineStr">
        <is>
          <t>GOC Bed Unit-Costing Model v2 — working original.xlsx</t>
        </is>
      </c>
    </row>
    <row r="1894" ht="40" customHeight="1">
      <c r="A1894" s="4" t="inlineStr">
        <is>
          <t>original:NM Play!B167</t>
        </is>
      </c>
      <c r="B1894" s="4" t="inlineStr">
        <is>
          <t>NM Play</t>
        </is>
      </c>
      <c r="C1894" s="4" t="inlineStr">
        <is>
          <t>B167</t>
        </is>
      </c>
      <c r="D1894" s="4" t="inlineStr">
        <is>
          <t>sheet</t>
        </is>
      </c>
      <c r="E1894" s="4" t="inlineStr">
        <is>
          <t>sheet</t>
        </is>
      </c>
      <c r="F1894" s="4" t="inlineStr">
        <is>
          <t>GOC Bed Unit-Costing Model v2 — working original.xlsx</t>
        </is>
      </c>
    </row>
    <row r="1895" ht="40" customHeight="1">
      <c r="A1895" s="4" t="inlineStr">
        <is>
          <t>original:NM Cashflow!B1</t>
        </is>
      </c>
      <c r="B1895" s="4" t="inlineStr">
        <is>
          <t>NM Cashflow</t>
        </is>
      </c>
      <c r="C1895" s="4" t="inlineStr">
        <is>
          <t>B1</t>
        </is>
      </c>
      <c r="D1895" s="4" t="n">
        <v>2026</v>
      </c>
      <c r="E1895" s="4" t="n">
        <v>2026</v>
      </c>
      <c r="F1895" s="4" t="inlineStr">
        <is>
          <t>GOC Bed Unit-Costing Model v2 — working original.xlsx</t>
        </is>
      </c>
    </row>
    <row r="1896" ht="40" customHeight="1">
      <c r="A1896" s="4" t="inlineStr">
        <is>
          <t>original:NM Cashflow!F1</t>
        </is>
      </c>
      <c r="B1896" s="4" t="inlineStr">
        <is>
          <t>NM Cashflow</t>
        </is>
      </c>
      <c r="C1896" s="4" t="inlineStr">
        <is>
          <t>F1</t>
        </is>
      </c>
      <c r="D1896" s="4" t="n">
        <v>2027</v>
      </c>
      <c r="E1896" s="4" t="n">
        <v>2027</v>
      </c>
      <c r="F1896" s="4" t="inlineStr">
        <is>
          <t>GOC Bed Unit-Costing Model v2 — working original.xlsx</t>
        </is>
      </c>
    </row>
    <row r="1897" ht="40" customHeight="1">
      <c r="A1897" s="4" t="inlineStr">
        <is>
          <t>original:NM Cashflow!R1</t>
        </is>
      </c>
      <c r="B1897" s="4" t="inlineStr">
        <is>
          <t>NM Cashflow</t>
        </is>
      </c>
      <c r="C1897" s="4" t="inlineStr">
        <is>
          <t>R1</t>
        </is>
      </c>
      <c r="D1897" s="4" t="n">
        <v>2028</v>
      </c>
      <c r="E1897" s="4" t="n">
        <v>2028</v>
      </c>
      <c r="F1897" s="4" t="inlineStr">
        <is>
          <t>GOC Bed Unit-Costing Model v2 — working original.xlsx</t>
        </is>
      </c>
    </row>
    <row r="1898" ht="40" customHeight="1">
      <c r="A1898" s="4" t="inlineStr">
        <is>
          <t>original:NM Cashflow!B2</t>
        </is>
      </c>
      <c r="B1898" s="4" t="inlineStr">
        <is>
          <t>NM Cashflow</t>
        </is>
      </c>
      <c r="C1898" s="4" t="inlineStr">
        <is>
          <t>B2</t>
        </is>
      </c>
      <c r="D1898" s="4" t="inlineStr">
        <is>
          <t>SEPT</t>
        </is>
      </c>
      <c r="E1898" s="4" t="inlineStr">
        <is>
          <t>SEPT</t>
        </is>
      </c>
      <c r="F1898" s="4" t="inlineStr">
        <is>
          <t>GOC Bed Unit-Costing Model v2 — working original.xlsx</t>
        </is>
      </c>
    </row>
    <row r="1899" ht="40" customHeight="1">
      <c r="A1899" s="4" t="inlineStr">
        <is>
          <t>original:NM Cashflow!C2</t>
        </is>
      </c>
      <c r="B1899" s="4" t="inlineStr">
        <is>
          <t>NM Cashflow</t>
        </is>
      </c>
      <c r="C1899" s="4" t="inlineStr">
        <is>
          <t>C2</t>
        </is>
      </c>
      <c r="D1899" s="4" t="inlineStr">
        <is>
          <t>OCT</t>
        </is>
      </c>
      <c r="E1899" s="4" t="inlineStr">
        <is>
          <t>OCT</t>
        </is>
      </c>
      <c r="F1899" s="4" t="inlineStr">
        <is>
          <t>GOC Bed Unit-Costing Model v2 — working original.xlsx</t>
        </is>
      </c>
    </row>
    <row r="1900" ht="40" customHeight="1">
      <c r="A1900" s="4" t="inlineStr">
        <is>
          <t>original:NM Cashflow!D2</t>
        </is>
      </c>
      <c r="B1900" s="4" t="inlineStr">
        <is>
          <t>NM Cashflow</t>
        </is>
      </c>
      <c r="C1900" s="4" t="inlineStr">
        <is>
          <t>D2</t>
        </is>
      </c>
      <c r="D1900" s="4" t="inlineStr">
        <is>
          <t>NOV</t>
        </is>
      </c>
      <c r="E1900" s="4" t="inlineStr">
        <is>
          <t>NOV</t>
        </is>
      </c>
      <c r="F1900" s="4" t="inlineStr">
        <is>
          <t>GOC Bed Unit-Costing Model v2 — working original.xlsx</t>
        </is>
      </c>
    </row>
    <row r="1901" ht="40" customHeight="1">
      <c r="A1901" s="4" t="inlineStr">
        <is>
          <t>original:NM Cashflow!E2</t>
        </is>
      </c>
      <c r="B1901" s="4" t="inlineStr">
        <is>
          <t>NM Cashflow</t>
        </is>
      </c>
      <c r="C1901" s="4" t="inlineStr">
        <is>
          <t>E2</t>
        </is>
      </c>
      <c r="D1901" s="4" t="inlineStr">
        <is>
          <t>DEC</t>
        </is>
      </c>
      <c r="E1901" s="4" t="inlineStr">
        <is>
          <t>DEC</t>
        </is>
      </c>
      <c r="F1901" s="4" t="inlineStr">
        <is>
          <t>GOC Bed Unit-Costing Model v2 — working original.xlsx</t>
        </is>
      </c>
    </row>
    <row r="1902" ht="40" customHeight="1">
      <c r="A1902" s="4" t="inlineStr">
        <is>
          <t>original:NM Cashflow!F2</t>
        </is>
      </c>
      <c r="B1902" s="4" t="inlineStr">
        <is>
          <t>NM Cashflow</t>
        </is>
      </c>
      <c r="C1902" s="4" t="inlineStr">
        <is>
          <t>F2</t>
        </is>
      </c>
      <c r="D1902" s="4" t="inlineStr">
        <is>
          <t>JAN</t>
        </is>
      </c>
      <c r="E1902" s="4" t="inlineStr">
        <is>
          <t>JAN</t>
        </is>
      </c>
      <c r="F1902" s="4" t="inlineStr">
        <is>
          <t>GOC Bed Unit-Costing Model v2 — working original.xlsx</t>
        </is>
      </c>
    </row>
    <row r="1903" ht="40" customHeight="1">
      <c r="A1903" s="4" t="inlineStr">
        <is>
          <t>original:NM Cashflow!G2</t>
        </is>
      </c>
      <c r="B1903" s="4" t="inlineStr">
        <is>
          <t>NM Cashflow</t>
        </is>
      </c>
      <c r="C1903" s="4" t="inlineStr">
        <is>
          <t>G2</t>
        </is>
      </c>
      <c r="D1903" s="4" t="inlineStr">
        <is>
          <t>FEB</t>
        </is>
      </c>
      <c r="E1903" s="4" t="inlineStr">
        <is>
          <t>FEB</t>
        </is>
      </c>
      <c r="F1903" s="4" t="inlineStr">
        <is>
          <t>GOC Bed Unit-Costing Model v2 — working original.xlsx</t>
        </is>
      </c>
    </row>
    <row r="1904" ht="40" customHeight="1">
      <c r="A1904" s="4" t="inlineStr">
        <is>
          <t>original:NM Cashflow!H2</t>
        </is>
      </c>
      <c r="B1904" s="4" t="inlineStr">
        <is>
          <t>NM Cashflow</t>
        </is>
      </c>
      <c r="C1904" s="4" t="inlineStr">
        <is>
          <t>H2</t>
        </is>
      </c>
      <c r="D1904" s="4" t="inlineStr">
        <is>
          <t>MARH</t>
        </is>
      </c>
      <c r="E1904" s="4" t="inlineStr">
        <is>
          <t>MARH</t>
        </is>
      </c>
      <c r="F1904" s="4" t="inlineStr">
        <is>
          <t>GOC Bed Unit-Costing Model v2 — working original.xlsx</t>
        </is>
      </c>
    </row>
    <row r="1905" ht="40" customHeight="1">
      <c r="A1905" s="4" t="inlineStr">
        <is>
          <t>original:NM Cashflow!I2</t>
        </is>
      </c>
      <c r="B1905" s="4" t="inlineStr">
        <is>
          <t>NM Cashflow</t>
        </is>
      </c>
      <c r="C1905" s="4" t="inlineStr">
        <is>
          <t>I2</t>
        </is>
      </c>
      <c r="D1905" s="4" t="inlineStr">
        <is>
          <t>APRIL</t>
        </is>
      </c>
      <c r="E1905" s="4" t="inlineStr">
        <is>
          <t>APRIL</t>
        </is>
      </c>
      <c r="F1905" s="4" t="inlineStr">
        <is>
          <t>GOC Bed Unit-Costing Model v2 — working original.xlsx</t>
        </is>
      </c>
    </row>
    <row r="1906" ht="40" customHeight="1">
      <c r="A1906" s="4" t="inlineStr">
        <is>
          <t>original:NM Cashflow!J2</t>
        </is>
      </c>
      <c r="B1906" s="4" t="inlineStr">
        <is>
          <t>NM Cashflow</t>
        </is>
      </c>
      <c r="C1906" s="4" t="inlineStr">
        <is>
          <t>J2</t>
        </is>
      </c>
      <c r="D1906" s="4" t="inlineStr">
        <is>
          <t>MAY</t>
        </is>
      </c>
      <c r="E1906" s="4" t="inlineStr">
        <is>
          <t>MAY</t>
        </is>
      </c>
      <c r="F1906" s="4" t="inlineStr">
        <is>
          <t>GOC Bed Unit-Costing Model v2 — working original.xlsx</t>
        </is>
      </c>
    </row>
    <row r="1907" ht="40" customHeight="1">
      <c r="A1907" s="4" t="inlineStr">
        <is>
          <t>original:NM Cashflow!K2</t>
        </is>
      </c>
      <c r="B1907" s="4" t="inlineStr">
        <is>
          <t>NM Cashflow</t>
        </is>
      </c>
      <c r="C1907" s="4" t="inlineStr">
        <is>
          <t>K2</t>
        </is>
      </c>
      <c r="D1907" s="4" t="inlineStr">
        <is>
          <t>JUNE</t>
        </is>
      </c>
      <c r="E1907" s="4" t="inlineStr">
        <is>
          <t>JUNE</t>
        </is>
      </c>
      <c r="F1907" s="4" t="inlineStr">
        <is>
          <t>GOC Bed Unit-Costing Model v2 — working original.xlsx</t>
        </is>
      </c>
    </row>
    <row r="1908" ht="40" customHeight="1">
      <c r="A1908" s="4" t="inlineStr">
        <is>
          <t>original:NM Cashflow!L2</t>
        </is>
      </c>
      <c r="B1908" s="4" t="inlineStr">
        <is>
          <t>NM Cashflow</t>
        </is>
      </c>
      <c r="C1908" s="4" t="inlineStr">
        <is>
          <t>L2</t>
        </is>
      </c>
      <c r="D1908" s="4" t="inlineStr">
        <is>
          <t>JULY</t>
        </is>
      </c>
      <c r="E1908" s="4" t="inlineStr">
        <is>
          <t>JULY</t>
        </is>
      </c>
      <c r="F1908" s="4" t="inlineStr">
        <is>
          <t>GOC Bed Unit-Costing Model v2 — working original.xlsx</t>
        </is>
      </c>
    </row>
    <row r="1909" ht="40" customHeight="1">
      <c r="A1909" s="4" t="inlineStr">
        <is>
          <t>original:NM Cashflow!M2</t>
        </is>
      </c>
      <c r="B1909" s="4" t="inlineStr">
        <is>
          <t>NM Cashflow</t>
        </is>
      </c>
      <c r="C1909" s="4" t="inlineStr">
        <is>
          <t>M2</t>
        </is>
      </c>
      <c r="D1909" s="4" t="inlineStr">
        <is>
          <t>AUG</t>
        </is>
      </c>
      <c r="E1909" s="4" t="inlineStr">
        <is>
          <t>AUG</t>
        </is>
      </c>
      <c r="F1909" s="4" t="inlineStr">
        <is>
          <t>GOC Bed Unit-Costing Model v2 — working original.xlsx</t>
        </is>
      </c>
    </row>
    <row r="1910" ht="40" customHeight="1">
      <c r="A1910" s="4" t="inlineStr">
        <is>
          <t>original:NM Cashflow!N2</t>
        </is>
      </c>
      <c r="B1910" s="4" t="inlineStr">
        <is>
          <t>NM Cashflow</t>
        </is>
      </c>
      <c r="C1910" s="4" t="inlineStr">
        <is>
          <t>N2</t>
        </is>
      </c>
      <c r="D1910" s="4" t="inlineStr">
        <is>
          <t>SEPT</t>
        </is>
      </c>
      <c r="E1910" s="4" t="inlineStr">
        <is>
          <t>SEPT</t>
        </is>
      </c>
      <c r="F1910" s="4" t="inlineStr">
        <is>
          <t>GOC Bed Unit-Costing Model v2 — working original.xlsx</t>
        </is>
      </c>
    </row>
    <row r="1911" ht="40" customHeight="1">
      <c r="A1911" s="4" t="inlineStr">
        <is>
          <t>original:NM Cashflow!O2</t>
        </is>
      </c>
      <c r="B1911" s="4" t="inlineStr">
        <is>
          <t>NM Cashflow</t>
        </is>
      </c>
      <c r="C1911" s="4" t="inlineStr">
        <is>
          <t>O2</t>
        </is>
      </c>
      <c r="D1911" s="4" t="inlineStr">
        <is>
          <t>OCT</t>
        </is>
      </c>
      <c r="E1911" s="4" t="inlineStr">
        <is>
          <t>OCT</t>
        </is>
      </c>
      <c r="F1911" s="4" t="inlineStr">
        <is>
          <t>GOC Bed Unit-Costing Model v2 — working original.xlsx</t>
        </is>
      </c>
    </row>
    <row r="1912" ht="40" customHeight="1">
      <c r="A1912" s="4" t="inlineStr">
        <is>
          <t>original:NM Cashflow!P2</t>
        </is>
      </c>
      <c r="B1912" s="4" t="inlineStr">
        <is>
          <t>NM Cashflow</t>
        </is>
      </c>
      <c r="C1912" s="4" t="inlineStr">
        <is>
          <t>P2</t>
        </is>
      </c>
      <c r="D1912" s="4" t="inlineStr">
        <is>
          <t>NOV</t>
        </is>
      </c>
      <c r="E1912" s="4" t="inlineStr">
        <is>
          <t>NOV</t>
        </is>
      </c>
      <c r="F1912" s="4" t="inlineStr">
        <is>
          <t>GOC Bed Unit-Costing Model v2 — working original.xlsx</t>
        </is>
      </c>
    </row>
    <row r="1913" ht="40" customHeight="1">
      <c r="A1913" s="4" t="inlineStr">
        <is>
          <t>original:NM Cashflow!Q2</t>
        </is>
      </c>
      <c r="B1913" s="4" t="inlineStr">
        <is>
          <t>NM Cashflow</t>
        </is>
      </c>
      <c r="C1913" s="4" t="inlineStr">
        <is>
          <t>Q2</t>
        </is>
      </c>
      <c r="D1913" s="4" t="inlineStr">
        <is>
          <t>DEC</t>
        </is>
      </c>
      <c r="E1913" s="4" t="inlineStr">
        <is>
          <t>DEC</t>
        </is>
      </c>
      <c r="F1913" s="4" t="inlineStr">
        <is>
          <t>GOC Bed Unit-Costing Model v2 — working original.xlsx</t>
        </is>
      </c>
    </row>
    <row r="1914" ht="40" customHeight="1">
      <c r="A1914" s="4" t="inlineStr">
        <is>
          <t>original:NM Cashflow!R2</t>
        </is>
      </c>
      <c r="B1914" s="4" t="inlineStr">
        <is>
          <t>NM Cashflow</t>
        </is>
      </c>
      <c r="C1914" s="4" t="inlineStr">
        <is>
          <t>R2</t>
        </is>
      </c>
      <c r="D1914" s="4" t="inlineStr">
        <is>
          <t>JAN</t>
        </is>
      </c>
      <c r="E1914" s="4" t="inlineStr">
        <is>
          <t>JAN</t>
        </is>
      </c>
      <c r="F1914" s="4" t="inlineStr">
        <is>
          <t>GOC Bed Unit-Costing Model v2 — working original.xlsx</t>
        </is>
      </c>
    </row>
    <row r="1915" ht="40" customHeight="1">
      <c r="A1915" s="4" t="inlineStr">
        <is>
          <t>original:NM Cashflow!S2</t>
        </is>
      </c>
      <c r="B1915" s="4" t="inlineStr">
        <is>
          <t>NM Cashflow</t>
        </is>
      </c>
      <c r="C1915" s="4" t="inlineStr">
        <is>
          <t>S2</t>
        </is>
      </c>
      <c r="D1915" s="4" t="inlineStr">
        <is>
          <t>FEB</t>
        </is>
      </c>
      <c r="E1915" s="4" t="inlineStr">
        <is>
          <t>FEB</t>
        </is>
      </c>
      <c r="F1915" s="4" t="inlineStr">
        <is>
          <t>GOC Bed Unit-Costing Model v2 — working original.xlsx</t>
        </is>
      </c>
    </row>
    <row r="1916" ht="40" customHeight="1">
      <c r="A1916" s="4" t="inlineStr">
        <is>
          <t>original:NM Cashflow!T2</t>
        </is>
      </c>
      <c r="B1916" s="4" t="inlineStr">
        <is>
          <t>NM Cashflow</t>
        </is>
      </c>
      <c r="C1916" s="4" t="inlineStr">
        <is>
          <t>T2</t>
        </is>
      </c>
      <c r="D1916" s="4" t="inlineStr">
        <is>
          <t>MARH</t>
        </is>
      </c>
      <c r="E1916" s="4" t="inlineStr">
        <is>
          <t>MARH</t>
        </is>
      </c>
      <c r="F1916" s="4" t="inlineStr">
        <is>
          <t>GOC Bed Unit-Costing Model v2 — working original.xlsx</t>
        </is>
      </c>
    </row>
    <row r="1917" ht="40" customHeight="1">
      <c r="A1917" s="4" t="inlineStr">
        <is>
          <t>original:NM Cashflow!U2</t>
        </is>
      </c>
      <c r="B1917" s="4" t="inlineStr">
        <is>
          <t>NM Cashflow</t>
        </is>
      </c>
      <c r="C1917" s="4" t="inlineStr">
        <is>
          <t>U2</t>
        </is>
      </c>
      <c r="D1917" s="4" t="inlineStr">
        <is>
          <t>APRIL</t>
        </is>
      </c>
      <c r="E1917" s="4" t="inlineStr">
        <is>
          <t>APRIL</t>
        </is>
      </c>
      <c r="F1917" s="4" t="inlineStr">
        <is>
          <t>GOC Bed Unit-Costing Model v2 — working original.xlsx</t>
        </is>
      </c>
    </row>
    <row r="1918" ht="40" customHeight="1">
      <c r="A1918" s="4" t="inlineStr">
        <is>
          <t>original:NM Cashflow!V2</t>
        </is>
      </c>
      <c r="B1918" s="4" t="inlineStr">
        <is>
          <t>NM Cashflow</t>
        </is>
      </c>
      <c r="C1918" s="4" t="inlineStr">
        <is>
          <t>V2</t>
        </is>
      </c>
      <c r="D1918" s="4" t="inlineStr">
        <is>
          <t>MAY</t>
        </is>
      </c>
      <c r="E1918" s="4" t="inlineStr">
        <is>
          <t>MAY</t>
        </is>
      </c>
      <c r="F1918" s="4" t="inlineStr">
        <is>
          <t>GOC Bed Unit-Costing Model v2 — working original.xlsx</t>
        </is>
      </c>
    </row>
    <row r="1919" ht="40" customHeight="1">
      <c r="A1919" s="4" t="inlineStr">
        <is>
          <t>original:NM Cashflow!W2</t>
        </is>
      </c>
      <c r="B1919" s="4" t="inlineStr">
        <is>
          <t>NM Cashflow</t>
        </is>
      </c>
      <c r="C1919" s="4" t="inlineStr">
        <is>
          <t>W2</t>
        </is>
      </c>
      <c r="D1919" s="4" t="inlineStr">
        <is>
          <t>JUNE</t>
        </is>
      </c>
      <c r="E1919" s="4" t="inlineStr">
        <is>
          <t>JUNE</t>
        </is>
      </c>
      <c r="F1919" s="4" t="inlineStr">
        <is>
          <t>GOC Bed Unit-Costing Model v2 — working original.xlsx</t>
        </is>
      </c>
    </row>
    <row r="1920" ht="40" customHeight="1">
      <c r="A1920" s="4" t="inlineStr">
        <is>
          <t>original:NM Cashflow!X2</t>
        </is>
      </c>
      <c r="B1920" s="4" t="inlineStr">
        <is>
          <t>NM Cashflow</t>
        </is>
      </c>
      <c r="C1920" s="4" t="inlineStr">
        <is>
          <t>X2</t>
        </is>
      </c>
      <c r="D1920" s="4" t="inlineStr">
        <is>
          <t>JULY</t>
        </is>
      </c>
      <c r="E1920" s="4" t="inlineStr">
        <is>
          <t>JULY</t>
        </is>
      </c>
      <c r="F1920" s="4" t="inlineStr">
        <is>
          <t>GOC Bed Unit-Costing Model v2 — working original.xlsx</t>
        </is>
      </c>
    </row>
    <row r="1921" ht="40" customHeight="1">
      <c r="A1921" s="4" t="inlineStr">
        <is>
          <t>original:NM Cashflow!Y2</t>
        </is>
      </c>
      <c r="B1921" s="4" t="inlineStr">
        <is>
          <t>NM Cashflow</t>
        </is>
      </c>
      <c r="C1921" s="4" t="inlineStr">
        <is>
          <t>Y2</t>
        </is>
      </c>
      <c r="D1921" s="4" t="inlineStr">
        <is>
          <t>AUG</t>
        </is>
      </c>
      <c r="E1921" s="4" t="inlineStr">
        <is>
          <t>AUG</t>
        </is>
      </c>
      <c r="F1921" s="4" t="inlineStr">
        <is>
          <t>GOC Bed Unit-Costing Model v2 — working original.xlsx</t>
        </is>
      </c>
    </row>
    <row r="1922" ht="40" customHeight="1">
      <c r="A1922" s="4" t="inlineStr">
        <is>
          <t>original:NM Cashflow!Z2</t>
        </is>
      </c>
      <c r="B1922" s="4" t="inlineStr">
        <is>
          <t>NM Cashflow</t>
        </is>
      </c>
      <c r="C1922" s="4" t="inlineStr">
        <is>
          <t>Z2</t>
        </is>
      </c>
      <c r="D1922" s="4" t="inlineStr">
        <is>
          <t>SEPT</t>
        </is>
      </c>
      <c r="E1922" s="4" t="inlineStr">
        <is>
          <t>SEPT</t>
        </is>
      </c>
      <c r="F1922" s="4" t="inlineStr">
        <is>
          <t>GOC Bed Unit-Costing Model v2 — working original.xlsx</t>
        </is>
      </c>
    </row>
    <row r="1923" ht="40" customHeight="1">
      <c r="A1923" s="4" t="inlineStr">
        <is>
          <t>original:NM Cashflow!AA2</t>
        </is>
      </c>
      <c r="B1923" s="4" t="inlineStr">
        <is>
          <t>NM Cashflow</t>
        </is>
      </c>
      <c r="C1923" s="4" t="inlineStr">
        <is>
          <t>AA2</t>
        </is>
      </c>
      <c r="D1923" s="4" t="inlineStr">
        <is>
          <t>OCT</t>
        </is>
      </c>
      <c r="E1923" s="4" t="inlineStr">
        <is>
          <t>OCT</t>
        </is>
      </c>
      <c r="F1923" s="4" t="inlineStr">
        <is>
          <t>GOC Bed Unit-Costing Model v2 — working original.xlsx</t>
        </is>
      </c>
    </row>
    <row r="1924" ht="40" customHeight="1">
      <c r="A1924" s="4" t="inlineStr">
        <is>
          <t>original:NM Cashflow!AB2</t>
        </is>
      </c>
      <c r="B1924" s="4" t="inlineStr">
        <is>
          <t>NM Cashflow</t>
        </is>
      </c>
      <c r="C1924" s="4" t="inlineStr">
        <is>
          <t>AB2</t>
        </is>
      </c>
      <c r="D1924" s="4" t="inlineStr">
        <is>
          <t>NOV</t>
        </is>
      </c>
      <c r="E1924" s="4" t="inlineStr">
        <is>
          <t>NOV</t>
        </is>
      </c>
      <c r="F1924" s="4" t="inlineStr">
        <is>
          <t>GOC Bed Unit-Costing Model v2 — working original.xlsx</t>
        </is>
      </c>
    </row>
    <row r="1925" ht="40" customHeight="1">
      <c r="A1925" s="4" t="inlineStr">
        <is>
          <t>original:NM Cashflow!AC2</t>
        </is>
      </c>
      <c r="B1925" s="4" t="inlineStr">
        <is>
          <t>NM Cashflow</t>
        </is>
      </c>
      <c r="C1925" s="4" t="inlineStr">
        <is>
          <t>AC2</t>
        </is>
      </c>
      <c r="D1925" s="4" t="inlineStr">
        <is>
          <t>DEC</t>
        </is>
      </c>
      <c r="E1925" s="4" t="inlineStr">
        <is>
          <t>DEC</t>
        </is>
      </c>
      <c r="F1925" s="4" t="inlineStr">
        <is>
          <t>GOC Bed Unit-Costing Model v2 — working original.xlsx</t>
        </is>
      </c>
    </row>
    <row r="1926" ht="40" customHeight="1">
      <c r="A1926" s="4" t="inlineStr">
        <is>
          <t>original:NM Cashflow!A4</t>
        </is>
      </c>
      <c r="B1926" s="4" t="inlineStr">
        <is>
          <t>NM Cashflow</t>
        </is>
      </c>
      <c r="C1926" s="4" t="inlineStr">
        <is>
          <t>A4</t>
        </is>
      </c>
      <c r="D1926" s="4" t="inlineStr">
        <is>
          <t xml:space="preserve">Goods Bed Production </t>
        </is>
      </c>
      <c r="E1926" s="4" t="inlineStr">
        <is>
          <t xml:space="preserve">Goods Bed Production </t>
        </is>
      </c>
      <c r="F1926" s="4" t="inlineStr">
        <is>
          <t>GOC Bed Unit-Costing Model v2 — working original.xlsx</t>
        </is>
      </c>
    </row>
    <row r="1927" ht="40" customHeight="1">
      <c r="A1927" s="4" t="inlineStr">
        <is>
          <t>original:NM Cashflow!B4</t>
        </is>
      </c>
      <c r="B1927" s="4" t="inlineStr">
        <is>
          <t>NM Cashflow</t>
        </is>
      </c>
      <c r="C1927" s="4" t="inlineStr">
        <is>
          <t>B4</t>
        </is>
      </c>
      <c r="D1927" s="4" t="n">
        <v>130</v>
      </c>
      <c r="E1927" s="4" t="n">
        <v>130</v>
      </c>
      <c r="F1927" s="4" t="inlineStr">
        <is>
          <t>GOC Bed Unit-Costing Model v2 — working original.xlsx</t>
        </is>
      </c>
    </row>
    <row r="1928" ht="40" customHeight="1">
      <c r="A1928" s="4" t="inlineStr">
        <is>
          <t>original:NM Cashflow!C4</t>
        </is>
      </c>
      <c r="B1928" s="4" t="inlineStr">
        <is>
          <t>NM Cashflow</t>
        </is>
      </c>
      <c r="C1928" s="4" t="inlineStr">
        <is>
          <t>C4</t>
        </is>
      </c>
      <c r="D1928" s="4" t="n">
        <v>130</v>
      </c>
      <c r="E1928" s="4" t="n">
        <v>130</v>
      </c>
      <c r="F1928" s="4" t="inlineStr">
        <is>
          <t>GOC Bed Unit-Costing Model v2 — working original.xlsx</t>
        </is>
      </c>
    </row>
    <row r="1929" ht="40" customHeight="1">
      <c r="A1929" s="4" t="inlineStr">
        <is>
          <t>original:NM Cashflow!D4</t>
        </is>
      </c>
      <c r="B1929" s="4" t="inlineStr">
        <is>
          <t>NM Cashflow</t>
        </is>
      </c>
      <c r="C1929" s="4" t="inlineStr">
        <is>
          <t>D4</t>
        </is>
      </c>
      <c r="D1929" s="4" t="n">
        <v>130</v>
      </c>
      <c r="E1929" s="4" t="n">
        <v>130</v>
      </c>
      <c r="F1929" s="4" t="inlineStr">
        <is>
          <t>GOC Bed Unit-Costing Model v2 — working original.xlsx</t>
        </is>
      </c>
    </row>
    <row r="1930" ht="40" customHeight="1">
      <c r="A1930" s="4" t="inlineStr">
        <is>
          <t>original:NM Cashflow!G4</t>
        </is>
      </c>
      <c r="B1930" s="4" t="inlineStr">
        <is>
          <t>NM Cashflow</t>
        </is>
      </c>
      <c r="C1930" s="4" t="inlineStr">
        <is>
          <t>G4</t>
        </is>
      </c>
      <c r="D1930" s="4" t="n">
        <v>130</v>
      </c>
      <c r="E1930" s="4" t="n">
        <v>130</v>
      </c>
      <c r="F1930" s="4" t="inlineStr">
        <is>
          <t>GOC Bed Unit-Costing Model v2 — working original.xlsx</t>
        </is>
      </c>
    </row>
    <row r="1931" ht="40" customHeight="1">
      <c r="A1931" s="4" t="inlineStr">
        <is>
          <t>original:NM Cashflow!H4</t>
        </is>
      </c>
      <c r="B1931" s="4" t="inlineStr">
        <is>
          <t>NM Cashflow</t>
        </is>
      </c>
      <c r="C1931" s="4" t="inlineStr">
        <is>
          <t>H4</t>
        </is>
      </c>
      <c r="D1931" s="4" t="n">
        <v>130</v>
      </c>
      <c r="E1931" s="4" t="n">
        <v>130</v>
      </c>
      <c r="F1931" s="4" t="inlineStr">
        <is>
          <t>GOC Bed Unit-Costing Model v2 — working original.xlsx</t>
        </is>
      </c>
    </row>
    <row r="1932" ht="40" customHeight="1">
      <c r="A1932" s="4" t="inlineStr">
        <is>
          <t>original:NM Cashflow!I4</t>
        </is>
      </c>
      <c r="B1932" s="4" t="inlineStr">
        <is>
          <t>NM Cashflow</t>
        </is>
      </c>
      <c r="C1932" s="4" t="inlineStr">
        <is>
          <t>I4</t>
        </is>
      </c>
      <c r="D1932" s="4" t="n">
        <v>130</v>
      </c>
      <c r="E1932" s="4" t="n">
        <v>130</v>
      </c>
      <c r="F1932" s="4" t="inlineStr">
        <is>
          <t>GOC Bed Unit-Costing Model v2 — working original.xlsx</t>
        </is>
      </c>
    </row>
    <row r="1933" ht="40" customHeight="1">
      <c r="A1933" s="4" t="inlineStr">
        <is>
          <t>original:NM Cashflow!J4</t>
        </is>
      </c>
      <c r="B1933" s="4" t="inlineStr">
        <is>
          <t>NM Cashflow</t>
        </is>
      </c>
      <c r="C1933" s="4" t="inlineStr">
        <is>
          <t>J4</t>
        </is>
      </c>
      <c r="D1933" s="4" t="n">
        <v>130</v>
      </c>
      <c r="E1933" s="4" t="n">
        <v>130</v>
      </c>
      <c r="F1933" s="4" t="inlineStr">
        <is>
          <t>GOC Bed Unit-Costing Model v2 — working original.xlsx</t>
        </is>
      </c>
    </row>
    <row r="1934" ht="40" customHeight="1">
      <c r="A1934" s="4" t="inlineStr">
        <is>
          <t>original:NM Cashflow!K4</t>
        </is>
      </c>
      <c r="B1934" s="4" t="inlineStr">
        <is>
          <t>NM Cashflow</t>
        </is>
      </c>
      <c r="C1934" s="4" t="inlineStr">
        <is>
          <t>K4</t>
        </is>
      </c>
      <c r="D1934" s="4" t="n">
        <v>130</v>
      </c>
      <c r="E1934" s="4" t="n">
        <v>130</v>
      </c>
      <c r="F1934" s="4" t="inlineStr">
        <is>
          <t>GOC Bed Unit-Costing Model v2 — working original.xlsx</t>
        </is>
      </c>
    </row>
    <row r="1935" ht="40" customHeight="1">
      <c r="A1935" s="4" t="inlineStr">
        <is>
          <t>original:NM Cashflow!L4</t>
        </is>
      </c>
      <c r="B1935" s="4" t="inlineStr">
        <is>
          <t>NM Cashflow</t>
        </is>
      </c>
      <c r="C1935" s="4" t="inlineStr">
        <is>
          <t>L4</t>
        </is>
      </c>
      <c r="D1935" s="4" t="n">
        <v>130</v>
      </c>
      <c r="E1935" s="4" t="n">
        <v>130</v>
      </c>
      <c r="F1935" s="4" t="inlineStr">
        <is>
          <t>GOC Bed Unit-Costing Model v2 — working original.xlsx</t>
        </is>
      </c>
    </row>
    <row r="1936" ht="40" customHeight="1">
      <c r="A1936" s="4" t="inlineStr">
        <is>
          <t>original:NM Cashflow!A6</t>
        </is>
      </c>
      <c r="B1936" s="4" t="inlineStr">
        <is>
          <t>NM Cashflow</t>
        </is>
      </c>
      <c r="C1936" s="4" t="inlineStr">
        <is>
          <t>A6</t>
        </is>
      </c>
      <c r="D1936" s="4" t="inlineStr">
        <is>
          <t>Community Factory 1 - Mparntwe</t>
        </is>
      </c>
      <c r="E1936" s="4" t="inlineStr">
        <is>
          <t>Community Factory 1 - Mparntwe</t>
        </is>
      </c>
      <c r="F1936" s="4" t="inlineStr">
        <is>
          <t>GOC Bed Unit-Costing Model v2 — working original.xlsx</t>
        </is>
      </c>
    </row>
    <row r="1937" ht="40" customHeight="1">
      <c r="A1937" s="4" t="inlineStr">
        <is>
          <t>original:NM Cashflow!D6</t>
        </is>
      </c>
      <c r="B1937" s="4" t="inlineStr">
        <is>
          <t>NM Cashflow</t>
        </is>
      </c>
      <c r="C1937" s="4" t="inlineStr">
        <is>
          <t>D6</t>
        </is>
      </c>
      <c r="D1937" s="4" t="n">
        <v>100</v>
      </c>
      <c r="E1937" s="4" t="n">
        <v>100</v>
      </c>
      <c r="F1937" s="4" t="inlineStr">
        <is>
          <t>GOC Bed Unit-Costing Model v2 — working original.xlsx</t>
        </is>
      </c>
    </row>
    <row r="1938" ht="40" customHeight="1">
      <c r="A1938" s="4" t="inlineStr">
        <is>
          <t>original:NM Cashflow!G6</t>
        </is>
      </c>
      <c r="B1938" s="4" t="inlineStr">
        <is>
          <t>NM Cashflow</t>
        </is>
      </c>
      <c r="C1938" s="4" t="inlineStr">
        <is>
          <t>G6</t>
        </is>
      </c>
      <c r="D1938" s="4" t="n">
        <v>100</v>
      </c>
      <c r="E1938" s="4" t="n">
        <v>100</v>
      </c>
      <c r="F1938" s="4" t="inlineStr">
        <is>
          <t>GOC Bed Unit-Costing Model v2 — working original.xlsx</t>
        </is>
      </c>
    </row>
    <row r="1939" ht="40" customHeight="1">
      <c r="A1939" s="4" t="inlineStr">
        <is>
          <t>original:NM Cashflow!H6</t>
        </is>
      </c>
      <c r="B1939" s="4" t="inlineStr">
        <is>
          <t>NM Cashflow</t>
        </is>
      </c>
      <c r="C1939" s="4" t="inlineStr">
        <is>
          <t>H6</t>
        </is>
      </c>
      <c r="D1939" s="4" t="n">
        <v>100</v>
      </c>
      <c r="E1939" s="4" t="n">
        <v>100</v>
      </c>
      <c r="F1939" s="4" t="inlineStr">
        <is>
          <t>GOC Bed Unit-Costing Model v2 — working original.xlsx</t>
        </is>
      </c>
    </row>
    <row r="1940" ht="40" customHeight="1">
      <c r="A1940" s="4" t="inlineStr">
        <is>
          <t>original:NM Cashflow!I6</t>
        </is>
      </c>
      <c r="B1940" s="4" t="inlineStr">
        <is>
          <t>NM Cashflow</t>
        </is>
      </c>
      <c r="C1940" s="4" t="inlineStr">
        <is>
          <t>I6</t>
        </is>
      </c>
      <c r="D1940" s="4" t="n">
        <v>100</v>
      </c>
      <c r="E1940" s="4" t="n">
        <v>100</v>
      </c>
      <c r="F1940" s="4" t="inlineStr">
        <is>
          <t>GOC Bed Unit-Costing Model v2 — working original.xlsx</t>
        </is>
      </c>
    </row>
    <row r="1941" ht="40" customHeight="1">
      <c r="A1941" s="4" t="inlineStr">
        <is>
          <t>original:NM Cashflow!J6</t>
        </is>
      </c>
      <c r="B1941" s="4" t="inlineStr">
        <is>
          <t>NM Cashflow</t>
        </is>
      </c>
      <c r="C1941" s="4" t="inlineStr">
        <is>
          <t>J6</t>
        </is>
      </c>
      <c r="D1941" s="4" t="n">
        <v>100</v>
      </c>
      <c r="E1941" s="4" t="n">
        <v>100</v>
      </c>
      <c r="F1941" s="4" t="inlineStr">
        <is>
          <t>GOC Bed Unit-Costing Model v2 — working original.xlsx</t>
        </is>
      </c>
    </row>
    <row r="1942" ht="40" customHeight="1">
      <c r="A1942" s="4" t="inlineStr">
        <is>
          <t>original:NM Cashflow!K6</t>
        </is>
      </c>
      <c r="B1942" s="4" t="inlineStr">
        <is>
          <t>NM Cashflow</t>
        </is>
      </c>
      <c r="C1942" s="4" t="inlineStr">
        <is>
          <t>K6</t>
        </is>
      </c>
      <c r="D1942" s="4" t="n">
        <v>100</v>
      </c>
      <c r="E1942" s="4" t="n">
        <v>100</v>
      </c>
      <c r="F1942" s="4" t="inlineStr">
        <is>
          <t>GOC Bed Unit-Costing Model v2 — working original.xlsx</t>
        </is>
      </c>
    </row>
    <row r="1943" ht="40" customHeight="1">
      <c r="A1943" s="4" t="inlineStr">
        <is>
          <t>original:NM Cashflow!L6</t>
        </is>
      </c>
      <c r="B1943" s="4" t="inlineStr">
        <is>
          <t>NM Cashflow</t>
        </is>
      </c>
      <c r="C1943" s="4" t="inlineStr">
        <is>
          <t>L6</t>
        </is>
      </c>
      <c r="D1943" s="4" t="n">
        <v>100</v>
      </c>
      <c r="E1943" s="4" t="n">
        <v>100</v>
      </c>
      <c r="F1943" s="4" t="inlineStr">
        <is>
          <t>GOC Bed Unit-Costing Model v2 — working original.xlsx</t>
        </is>
      </c>
    </row>
    <row r="1944" ht="40" customHeight="1">
      <c r="A1944" s="4" t="inlineStr">
        <is>
          <t>original:NM Cashflow!M6</t>
        </is>
      </c>
      <c r="B1944" s="4" t="inlineStr">
        <is>
          <t>NM Cashflow</t>
        </is>
      </c>
      <c r="C1944" s="4" t="inlineStr">
        <is>
          <t>M6</t>
        </is>
      </c>
      <c r="D1944" s="4" t="n">
        <v>100</v>
      </c>
      <c r="E1944" s="4" t="n">
        <v>100</v>
      </c>
      <c r="F1944" s="4" t="inlineStr">
        <is>
          <t>GOC Bed Unit-Costing Model v2 — working original.xlsx</t>
        </is>
      </c>
    </row>
    <row r="1945" ht="40" customHeight="1">
      <c r="A1945" s="4" t="inlineStr">
        <is>
          <t>original:NM Cashflow!N6</t>
        </is>
      </c>
      <c r="B1945" s="4" t="inlineStr">
        <is>
          <t>NM Cashflow</t>
        </is>
      </c>
      <c r="C1945" s="4" t="inlineStr">
        <is>
          <t>N6</t>
        </is>
      </c>
      <c r="D1945" s="4" t="n">
        <v>100</v>
      </c>
      <c r="E1945" s="4" t="n">
        <v>100</v>
      </c>
      <c r="F1945" s="4" t="inlineStr">
        <is>
          <t>GOC Bed Unit-Costing Model v2 — working original.xlsx</t>
        </is>
      </c>
    </row>
    <row r="1946" ht="40" customHeight="1">
      <c r="A1946" s="4" t="inlineStr">
        <is>
          <t>original:NM Cashflow!O6</t>
        </is>
      </c>
      <c r="B1946" s="4" t="inlineStr">
        <is>
          <t>NM Cashflow</t>
        </is>
      </c>
      <c r="C1946" s="4" t="inlineStr">
        <is>
          <t>O6</t>
        </is>
      </c>
      <c r="D1946" s="4" t="n">
        <v>100</v>
      </c>
      <c r="E1946" s="4" t="n">
        <v>100</v>
      </c>
      <c r="F1946" s="4" t="inlineStr">
        <is>
          <t>GOC Bed Unit-Costing Model v2 — working original.xlsx</t>
        </is>
      </c>
    </row>
    <row r="1947" ht="40" customHeight="1">
      <c r="A1947" s="4" t="inlineStr">
        <is>
          <t>original:NM Cashflow!P6</t>
        </is>
      </c>
      <c r="B1947" s="4" t="inlineStr">
        <is>
          <t>NM Cashflow</t>
        </is>
      </c>
      <c r="C1947" s="4" t="inlineStr">
        <is>
          <t>P6</t>
        </is>
      </c>
      <c r="D1947" s="4" t="n">
        <v>100</v>
      </c>
      <c r="E1947" s="4" t="n">
        <v>100</v>
      </c>
      <c r="F1947" s="4" t="inlineStr">
        <is>
          <t>GOC Bed Unit-Costing Model v2 — working original.xlsx</t>
        </is>
      </c>
    </row>
    <row r="1948" ht="40" customHeight="1">
      <c r="A1948" s="4" t="inlineStr">
        <is>
          <t>original:NM Cashflow!S6</t>
        </is>
      </c>
      <c r="B1948" s="4" t="inlineStr">
        <is>
          <t>NM Cashflow</t>
        </is>
      </c>
      <c r="C1948" s="4" t="inlineStr">
        <is>
          <t>S6</t>
        </is>
      </c>
      <c r="D1948" s="4" t="n">
        <v>100</v>
      </c>
      <c r="E1948" s="4" t="n">
        <v>100</v>
      </c>
      <c r="F1948" s="4" t="inlineStr">
        <is>
          <t>GOC Bed Unit-Costing Model v2 — working original.xlsx</t>
        </is>
      </c>
    </row>
    <row r="1949" ht="40" customHeight="1">
      <c r="A1949" s="4" t="inlineStr">
        <is>
          <t>original:NM Cashflow!T6</t>
        </is>
      </c>
      <c r="B1949" s="4" t="inlineStr">
        <is>
          <t>NM Cashflow</t>
        </is>
      </c>
      <c r="C1949" s="4" t="inlineStr">
        <is>
          <t>T6</t>
        </is>
      </c>
      <c r="D1949" s="4" t="n">
        <v>100</v>
      </c>
      <c r="E1949" s="4" t="n">
        <v>100</v>
      </c>
      <c r="F1949" s="4" t="inlineStr">
        <is>
          <t>GOC Bed Unit-Costing Model v2 — working original.xlsx</t>
        </is>
      </c>
    </row>
    <row r="1950" ht="40" customHeight="1">
      <c r="A1950" s="4" t="inlineStr">
        <is>
          <t>original:NM Cashflow!U6</t>
        </is>
      </c>
      <c r="B1950" s="4" t="inlineStr">
        <is>
          <t>NM Cashflow</t>
        </is>
      </c>
      <c r="C1950" s="4" t="inlineStr">
        <is>
          <t>U6</t>
        </is>
      </c>
      <c r="D1950" s="4" t="n">
        <v>100</v>
      </c>
      <c r="E1950" s="4" t="n">
        <v>100</v>
      </c>
      <c r="F1950" s="4" t="inlineStr">
        <is>
          <t>GOC Bed Unit-Costing Model v2 — working original.xlsx</t>
        </is>
      </c>
    </row>
    <row r="1951" ht="40" customHeight="1">
      <c r="A1951" s="4" t="inlineStr">
        <is>
          <t>original:NM Cashflow!V6</t>
        </is>
      </c>
      <c r="B1951" s="4" t="inlineStr">
        <is>
          <t>NM Cashflow</t>
        </is>
      </c>
      <c r="C1951" s="4" t="inlineStr">
        <is>
          <t>V6</t>
        </is>
      </c>
      <c r="D1951" s="4" t="n">
        <v>100</v>
      </c>
      <c r="E1951" s="4" t="n">
        <v>100</v>
      </c>
      <c r="F1951" s="4" t="inlineStr">
        <is>
          <t>GOC Bed Unit-Costing Model v2 — working original.xlsx</t>
        </is>
      </c>
    </row>
    <row r="1952" ht="40" customHeight="1">
      <c r="A1952" s="4" t="inlineStr">
        <is>
          <t>original:NM Cashflow!W6</t>
        </is>
      </c>
      <c r="B1952" s="4" t="inlineStr">
        <is>
          <t>NM Cashflow</t>
        </is>
      </c>
      <c r="C1952" s="4" t="inlineStr">
        <is>
          <t>W6</t>
        </is>
      </c>
      <c r="D1952" s="4" t="n">
        <v>100</v>
      </c>
      <c r="E1952" s="4" t="n">
        <v>100</v>
      </c>
      <c r="F1952" s="4" t="inlineStr">
        <is>
          <t>GOC Bed Unit-Costing Model v2 — working original.xlsx</t>
        </is>
      </c>
    </row>
    <row r="1953" ht="40" customHeight="1">
      <c r="A1953" s="4" t="inlineStr">
        <is>
          <t>original:NM Cashflow!X6</t>
        </is>
      </c>
      <c r="B1953" s="4" t="inlineStr">
        <is>
          <t>NM Cashflow</t>
        </is>
      </c>
      <c r="C1953" s="4" t="inlineStr">
        <is>
          <t>X6</t>
        </is>
      </c>
      <c r="D1953" s="4" t="n">
        <v>100</v>
      </c>
      <c r="E1953" s="4" t="n">
        <v>100</v>
      </c>
      <c r="F1953" s="4" t="inlineStr">
        <is>
          <t>GOC Bed Unit-Costing Model v2 — working original.xlsx</t>
        </is>
      </c>
    </row>
    <row r="1954" ht="40" customHeight="1">
      <c r="A1954" s="4" t="inlineStr">
        <is>
          <t>original:NM Cashflow!A7</t>
        </is>
      </c>
      <c r="B1954" s="4" t="inlineStr">
        <is>
          <t>NM Cashflow</t>
        </is>
      </c>
      <c r="C1954" s="4" t="inlineStr">
        <is>
          <t>A7</t>
        </is>
      </c>
      <c r="D1954" s="4" t="inlineStr">
        <is>
          <t>Community Factory 2 - TBC</t>
        </is>
      </c>
      <c r="E1954" s="4" t="inlineStr">
        <is>
          <t>Community Factory 2 - TBC</t>
        </is>
      </c>
      <c r="F1954" s="4" t="inlineStr">
        <is>
          <t>GOC Bed Unit-Costing Model v2 — working original.xlsx</t>
        </is>
      </c>
    </row>
    <row r="1955" ht="40" customHeight="1">
      <c r="A1955" s="4" t="inlineStr">
        <is>
          <t>original:NM Cashflow!I7</t>
        </is>
      </c>
      <c r="B1955" s="4" t="inlineStr">
        <is>
          <t>NM Cashflow</t>
        </is>
      </c>
      <c r="C1955" s="4" t="inlineStr">
        <is>
          <t>I7</t>
        </is>
      </c>
      <c r="D1955" s="4" t="n">
        <v>100</v>
      </c>
      <c r="E1955" s="4" t="n">
        <v>100</v>
      </c>
      <c r="F1955" s="4" t="inlineStr">
        <is>
          <t>GOC Bed Unit-Costing Model v2 — working original.xlsx</t>
        </is>
      </c>
    </row>
    <row r="1956" ht="40" customHeight="1">
      <c r="A1956" s="4" t="inlineStr">
        <is>
          <t>original:NM Cashflow!J7</t>
        </is>
      </c>
      <c r="B1956" s="4" t="inlineStr">
        <is>
          <t>NM Cashflow</t>
        </is>
      </c>
      <c r="C1956" s="4" t="inlineStr">
        <is>
          <t>J7</t>
        </is>
      </c>
      <c r="D1956" s="4" t="n">
        <v>100</v>
      </c>
      <c r="E1956" s="4" t="n">
        <v>100</v>
      </c>
      <c r="F1956" s="4" t="inlineStr">
        <is>
          <t>GOC Bed Unit-Costing Model v2 — working original.xlsx</t>
        </is>
      </c>
    </row>
    <row r="1957" ht="40" customHeight="1">
      <c r="A1957" s="4" t="inlineStr">
        <is>
          <t>original:NM Cashflow!K7</t>
        </is>
      </c>
      <c r="B1957" s="4" t="inlineStr">
        <is>
          <t>NM Cashflow</t>
        </is>
      </c>
      <c r="C1957" s="4" t="inlineStr">
        <is>
          <t>K7</t>
        </is>
      </c>
      <c r="D1957" s="4" t="n">
        <v>100</v>
      </c>
      <c r="E1957" s="4" t="n">
        <v>100</v>
      </c>
      <c r="F1957" s="4" t="inlineStr">
        <is>
          <t>GOC Bed Unit-Costing Model v2 — working original.xlsx</t>
        </is>
      </c>
    </row>
    <row r="1958" ht="40" customHeight="1">
      <c r="A1958" s="4" t="inlineStr">
        <is>
          <t>original:NM Cashflow!L7</t>
        </is>
      </c>
      <c r="B1958" s="4" t="inlineStr">
        <is>
          <t>NM Cashflow</t>
        </is>
      </c>
      <c r="C1958" s="4" t="inlineStr">
        <is>
          <t>L7</t>
        </is>
      </c>
      <c r="D1958" s="4" t="n">
        <v>100</v>
      </c>
      <c r="E1958" s="4" t="n">
        <v>100</v>
      </c>
      <c r="F1958" s="4" t="inlineStr">
        <is>
          <t>GOC Bed Unit-Costing Model v2 — working original.xlsx</t>
        </is>
      </c>
    </row>
    <row r="1959" ht="40" customHeight="1">
      <c r="A1959" s="4" t="inlineStr">
        <is>
          <t>original:NM Cashflow!M7</t>
        </is>
      </c>
      <c r="B1959" s="4" t="inlineStr">
        <is>
          <t>NM Cashflow</t>
        </is>
      </c>
      <c r="C1959" s="4" t="inlineStr">
        <is>
          <t>M7</t>
        </is>
      </c>
      <c r="D1959" s="4" t="n">
        <v>100</v>
      </c>
      <c r="E1959" s="4" t="n">
        <v>100</v>
      </c>
      <c r="F1959" s="4" t="inlineStr">
        <is>
          <t>GOC Bed Unit-Costing Model v2 — working original.xlsx</t>
        </is>
      </c>
    </row>
    <row r="1960" ht="40" customHeight="1">
      <c r="A1960" s="4" t="inlineStr">
        <is>
          <t>original:NM Cashflow!N7</t>
        </is>
      </c>
      <c r="B1960" s="4" t="inlineStr">
        <is>
          <t>NM Cashflow</t>
        </is>
      </c>
      <c r="C1960" s="4" t="inlineStr">
        <is>
          <t>N7</t>
        </is>
      </c>
      <c r="D1960" s="4" t="n">
        <v>100</v>
      </c>
      <c r="E1960" s="4" t="n">
        <v>100</v>
      </c>
      <c r="F1960" s="4" t="inlineStr">
        <is>
          <t>GOC Bed Unit-Costing Model v2 — working original.xlsx</t>
        </is>
      </c>
    </row>
    <row r="1961" ht="40" customHeight="1">
      <c r="A1961" s="4" t="inlineStr">
        <is>
          <t>original:NM Cashflow!O7</t>
        </is>
      </c>
      <c r="B1961" s="4" t="inlineStr">
        <is>
          <t>NM Cashflow</t>
        </is>
      </c>
      <c r="C1961" s="4" t="inlineStr">
        <is>
          <t>O7</t>
        </is>
      </c>
      <c r="D1961" s="4" t="n">
        <v>100</v>
      </c>
      <c r="E1961" s="4" t="n">
        <v>100</v>
      </c>
      <c r="F1961" s="4" t="inlineStr">
        <is>
          <t>GOC Bed Unit-Costing Model v2 — working original.xlsx</t>
        </is>
      </c>
    </row>
    <row r="1962" ht="40" customHeight="1">
      <c r="A1962" s="4" t="inlineStr">
        <is>
          <t>original:NM Cashflow!P7</t>
        </is>
      </c>
      <c r="B1962" s="4" t="inlineStr">
        <is>
          <t>NM Cashflow</t>
        </is>
      </c>
      <c r="C1962" s="4" t="inlineStr">
        <is>
          <t>P7</t>
        </is>
      </c>
      <c r="D1962" s="4" t="n">
        <v>100</v>
      </c>
      <c r="E1962" s="4" t="n">
        <v>100</v>
      </c>
      <c r="F1962" s="4" t="inlineStr">
        <is>
          <t>GOC Bed Unit-Costing Model v2 — working original.xlsx</t>
        </is>
      </c>
    </row>
    <row r="1963" ht="40" customHeight="1">
      <c r="A1963" s="4" t="inlineStr">
        <is>
          <t>original:NM Cashflow!S7</t>
        </is>
      </c>
      <c r="B1963" s="4" t="inlineStr">
        <is>
          <t>NM Cashflow</t>
        </is>
      </c>
      <c r="C1963" s="4" t="inlineStr">
        <is>
          <t>S7</t>
        </is>
      </c>
      <c r="D1963" s="4" t="n">
        <v>100</v>
      </c>
      <c r="E1963" s="4" t="n">
        <v>100</v>
      </c>
      <c r="F1963" s="4" t="inlineStr">
        <is>
          <t>GOC Bed Unit-Costing Model v2 — working original.xlsx</t>
        </is>
      </c>
    </row>
    <row r="1964" ht="40" customHeight="1">
      <c r="A1964" s="4" t="inlineStr">
        <is>
          <t>original:NM Cashflow!T7</t>
        </is>
      </c>
      <c r="B1964" s="4" t="inlineStr">
        <is>
          <t>NM Cashflow</t>
        </is>
      </c>
      <c r="C1964" s="4" t="inlineStr">
        <is>
          <t>T7</t>
        </is>
      </c>
      <c r="D1964" s="4" t="n">
        <v>100</v>
      </c>
      <c r="E1964" s="4" t="n">
        <v>100</v>
      </c>
      <c r="F1964" s="4" t="inlineStr">
        <is>
          <t>GOC Bed Unit-Costing Model v2 — working original.xlsx</t>
        </is>
      </c>
    </row>
    <row r="1965" ht="40" customHeight="1">
      <c r="A1965" s="4" t="inlineStr">
        <is>
          <t>original:NM Cashflow!U7</t>
        </is>
      </c>
      <c r="B1965" s="4" t="inlineStr">
        <is>
          <t>NM Cashflow</t>
        </is>
      </c>
      <c r="C1965" s="4" t="inlineStr">
        <is>
          <t>U7</t>
        </is>
      </c>
      <c r="D1965" s="4" t="n">
        <v>100</v>
      </c>
      <c r="E1965" s="4" t="n">
        <v>100</v>
      </c>
      <c r="F1965" s="4" t="inlineStr">
        <is>
          <t>GOC Bed Unit-Costing Model v2 — working original.xlsx</t>
        </is>
      </c>
    </row>
    <row r="1966" ht="40" customHeight="1">
      <c r="A1966" s="4" t="inlineStr">
        <is>
          <t>original:NM Cashflow!V7</t>
        </is>
      </c>
      <c r="B1966" s="4" t="inlineStr">
        <is>
          <t>NM Cashflow</t>
        </is>
      </c>
      <c r="C1966" s="4" t="inlineStr">
        <is>
          <t>V7</t>
        </is>
      </c>
      <c r="D1966" s="4" t="n">
        <v>100</v>
      </c>
      <c r="E1966" s="4" t="n">
        <v>100</v>
      </c>
      <c r="F1966" s="4" t="inlineStr">
        <is>
          <t>GOC Bed Unit-Costing Model v2 — working original.xlsx</t>
        </is>
      </c>
    </row>
    <row r="1967" ht="40" customHeight="1">
      <c r="A1967" s="4" t="inlineStr">
        <is>
          <t>original:NM Cashflow!W7</t>
        </is>
      </c>
      <c r="B1967" s="4" t="inlineStr">
        <is>
          <t>NM Cashflow</t>
        </is>
      </c>
      <c r="C1967" s="4" t="inlineStr">
        <is>
          <t>W7</t>
        </is>
      </c>
      <c r="D1967" s="4" t="n">
        <v>100</v>
      </c>
      <c r="E1967" s="4" t="n">
        <v>100</v>
      </c>
      <c r="F1967" s="4" t="inlineStr">
        <is>
          <t>GOC Bed Unit-Costing Model v2 — working original.xlsx</t>
        </is>
      </c>
    </row>
    <row r="1968" ht="40" customHeight="1">
      <c r="A1968" s="4" t="inlineStr">
        <is>
          <t>original:NM Cashflow!X7</t>
        </is>
      </c>
      <c r="B1968" s="4" t="inlineStr">
        <is>
          <t>NM Cashflow</t>
        </is>
      </c>
      <c r="C1968" s="4" t="inlineStr">
        <is>
          <t>X7</t>
        </is>
      </c>
      <c r="D1968" s="4" t="n">
        <v>100</v>
      </c>
      <c r="E1968" s="4" t="n">
        <v>100</v>
      </c>
      <c r="F1968" s="4" t="inlineStr">
        <is>
          <t>GOC Bed Unit-Costing Model v2 — working original.xlsx</t>
        </is>
      </c>
    </row>
    <row r="1969" ht="40" customHeight="1">
      <c r="A1969" s="4" t="inlineStr">
        <is>
          <t>original:NM Cashflow!A8</t>
        </is>
      </c>
      <c r="B1969" s="4" t="inlineStr">
        <is>
          <t>NM Cashflow</t>
        </is>
      </c>
      <c r="C1969" s="4" t="inlineStr">
        <is>
          <t>A8</t>
        </is>
      </c>
      <c r="D1969" s="4" t="inlineStr">
        <is>
          <t>Community Factory 3 - TBC</t>
        </is>
      </c>
      <c r="E1969" s="4" t="inlineStr">
        <is>
          <t>Community Factory 3 - TBC</t>
        </is>
      </c>
      <c r="F1969" s="4" t="inlineStr">
        <is>
          <t>GOC Bed Unit-Costing Model v2 — working original.xlsx</t>
        </is>
      </c>
    </row>
    <row r="1970" ht="40" customHeight="1">
      <c r="A1970" s="4" t="inlineStr">
        <is>
          <t>original:NM Cashflow!J8</t>
        </is>
      </c>
      <c r="B1970" s="4" t="inlineStr">
        <is>
          <t>NM Cashflow</t>
        </is>
      </c>
      <c r="C1970" s="4" t="inlineStr">
        <is>
          <t>J8</t>
        </is>
      </c>
      <c r="D1970" s="4" t="n">
        <v>100</v>
      </c>
      <c r="E1970" s="4" t="n">
        <v>100</v>
      </c>
      <c r="F1970" s="4" t="inlineStr">
        <is>
          <t>GOC Bed Unit-Costing Model v2 — working original.xlsx</t>
        </is>
      </c>
    </row>
    <row r="1971" ht="40" customHeight="1">
      <c r="A1971" s="4" t="inlineStr">
        <is>
          <t>original:NM Cashflow!K8</t>
        </is>
      </c>
      <c r="B1971" s="4" t="inlineStr">
        <is>
          <t>NM Cashflow</t>
        </is>
      </c>
      <c r="C1971" s="4" t="inlineStr">
        <is>
          <t>K8</t>
        </is>
      </c>
      <c r="D1971" s="4" t="n">
        <v>100</v>
      </c>
      <c r="E1971" s="4" t="n">
        <v>100</v>
      </c>
      <c r="F1971" s="4" t="inlineStr">
        <is>
          <t>GOC Bed Unit-Costing Model v2 — working original.xlsx</t>
        </is>
      </c>
    </row>
    <row r="1972" ht="40" customHeight="1">
      <c r="A1972" s="4" t="inlineStr">
        <is>
          <t>original:NM Cashflow!L8</t>
        </is>
      </c>
      <c r="B1972" s="4" t="inlineStr">
        <is>
          <t>NM Cashflow</t>
        </is>
      </c>
      <c r="C1972" s="4" t="inlineStr">
        <is>
          <t>L8</t>
        </is>
      </c>
      <c r="D1972" s="4" t="n">
        <v>100</v>
      </c>
      <c r="E1972" s="4" t="n">
        <v>100</v>
      </c>
      <c r="F1972" s="4" t="inlineStr">
        <is>
          <t>GOC Bed Unit-Costing Model v2 — working original.xlsx</t>
        </is>
      </c>
    </row>
    <row r="1973" ht="40" customHeight="1">
      <c r="A1973" s="4" t="inlineStr">
        <is>
          <t>original:NM Cashflow!M8</t>
        </is>
      </c>
      <c r="B1973" s="4" t="inlineStr">
        <is>
          <t>NM Cashflow</t>
        </is>
      </c>
      <c r="C1973" s="4" t="inlineStr">
        <is>
          <t>M8</t>
        </is>
      </c>
      <c r="D1973" s="4" t="n">
        <v>100</v>
      </c>
      <c r="E1973" s="4" t="n">
        <v>100</v>
      </c>
      <c r="F1973" s="4" t="inlineStr">
        <is>
          <t>GOC Bed Unit-Costing Model v2 — working original.xlsx</t>
        </is>
      </c>
    </row>
    <row r="1974" ht="40" customHeight="1">
      <c r="A1974" s="4" t="inlineStr">
        <is>
          <t>original:NM Cashflow!N8</t>
        </is>
      </c>
      <c r="B1974" s="4" t="inlineStr">
        <is>
          <t>NM Cashflow</t>
        </is>
      </c>
      <c r="C1974" s="4" t="inlineStr">
        <is>
          <t>N8</t>
        </is>
      </c>
      <c r="D1974" s="4" t="n">
        <v>100</v>
      </c>
      <c r="E1974" s="4" t="n">
        <v>100</v>
      </c>
      <c r="F1974" s="4" t="inlineStr">
        <is>
          <t>GOC Bed Unit-Costing Model v2 — working original.xlsx</t>
        </is>
      </c>
    </row>
    <row r="1975" ht="40" customHeight="1">
      <c r="A1975" s="4" t="inlineStr">
        <is>
          <t>original:NM Cashflow!O8</t>
        </is>
      </c>
      <c r="B1975" s="4" t="inlineStr">
        <is>
          <t>NM Cashflow</t>
        </is>
      </c>
      <c r="C1975" s="4" t="inlineStr">
        <is>
          <t>O8</t>
        </is>
      </c>
      <c r="D1975" s="4" t="n">
        <v>100</v>
      </c>
      <c r="E1975" s="4" t="n">
        <v>100</v>
      </c>
      <c r="F1975" s="4" t="inlineStr">
        <is>
          <t>GOC Bed Unit-Costing Model v2 — working original.xlsx</t>
        </is>
      </c>
    </row>
    <row r="1976" ht="40" customHeight="1">
      <c r="A1976" s="4" t="inlineStr">
        <is>
          <t>original:NM Cashflow!P8</t>
        </is>
      </c>
      <c r="B1976" s="4" t="inlineStr">
        <is>
          <t>NM Cashflow</t>
        </is>
      </c>
      <c r="C1976" s="4" t="inlineStr">
        <is>
          <t>P8</t>
        </is>
      </c>
      <c r="D1976" s="4" t="n">
        <v>100</v>
      </c>
      <c r="E1976" s="4" t="n">
        <v>100</v>
      </c>
      <c r="F1976" s="4" t="inlineStr">
        <is>
          <t>GOC Bed Unit-Costing Model v2 — working original.xlsx</t>
        </is>
      </c>
    </row>
    <row r="1977" ht="40" customHeight="1">
      <c r="A1977" s="4" t="inlineStr">
        <is>
          <t>original:NM Cashflow!S8</t>
        </is>
      </c>
      <c r="B1977" s="4" t="inlineStr">
        <is>
          <t>NM Cashflow</t>
        </is>
      </c>
      <c r="C1977" s="4" t="inlineStr">
        <is>
          <t>S8</t>
        </is>
      </c>
      <c r="D1977" s="4" t="n">
        <v>100</v>
      </c>
      <c r="E1977" s="4" t="n">
        <v>100</v>
      </c>
      <c r="F1977" s="4" t="inlineStr">
        <is>
          <t>GOC Bed Unit-Costing Model v2 — working original.xlsx</t>
        </is>
      </c>
    </row>
    <row r="1978" ht="40" customHeight="1">
      <c r="A1978" s="4" t="inlineStr">
        <is>
          <t>original:NM Cashflow!T8</t>
        </is>
      </c>
      <c r="B1978" s="4" t="inlineStr">
        <is>
          <t>NM Cashflow</t>
        </is>
      </c>
      <c r="C1978" s="4" t="inlineStr">
        <is>
          <t>T8</t>
        </is>
      </c>
      <c r="D1978" s="4" t="n">
        <v>100</v>
      </c>
      <c r="E1978" s="4" t="n">
        <v>100</v>
      </c>
      <c r="F1978" s="4" t="inlineStr">
        <is>
          <t>GOC Bed Unit-Costing Model v2 — working original.xlsx</t>
        </is>
      </c>
    </row>
    <row r="1979" ht="40" customHeight="1">
      <c r="A1979" s="4" t="inlineStr">
        <is>
          <t>original:NM Cashflow!U8</t>
        </is>
      </c>
      <c r="B1979" s="4" t="inlineStr">
        <is>
          <t>NM Cashflow</t>
        </is>
      </c>
      <c r="C1979" s="4" t="inlineStr">
        <is>
          <t>U8</t>
        </is>
      </c>
      <c r="D1979" s="4" t="n">
        <v>100</v>
      </c>
      <c r="E1979" s="4" t="n">
        <v>100</v>
      </c>
      <c r="F1979" s="4" t="inlineStr">
        <is>
          <t>GOC Bed Unit-Costing Model v2 — working original.xlsx</t>
        </is>
      </c>
    </row>
    <row r="1980" ht="40" customHeight="1">
      <c r="A1980" s="4" t="inlineStr">
        <is>
          <t>original:NM Cashflow!V8</t>
        </is>
      </c>
      <c r="B1980" s="4" t="inlineStr">
        <is>
          <t>NM Cashflow</t>
        </is>
      </c>
      <c r="C1980" s="4" t="inlineStr">
        <is>
          <t>V8</t>
        </is>
      </c>
      <c r="D1980" s="4" t="n">
        <v>100</v>
      </c>
      <c r="E1980" s="4" t="n">
        <v>100</v>
      </c>
      <c r="F1980" s="4" t="inlineStr">
        <is>
          <t>GOC Bed Unit-Costing Model v2 — working original.xlsx</t>
        </is>
      </c>
    </row>
    <row r="1981" ht="40" customHeight="1">
      <c r="A1981" s="4" t="inlineStr">
        <is>
          <t>original:NM Cashflow!W8</t>
        </is>
      </c>
      <c r="B1981" s="4" t="inlineStr">
        <is>
          <t>NM Cashflow</t>
        </is>
      </c>
      <c r="C1981" s="4" t="inlineStr">
        <is>
          <t>W8</t>
        </is>
      </c>
      <c r="D1981" s="4" t="n">
        <v>100</v>
      </c>
      <c r="E1981" s="4" t="n">
        <v>100</v>
      </c>
      <c r="F1981" s="4" t="inlineStr">
        <is>
          <t>GOC Bed Unit-Costing Model v2 — working original.xlsx</t>
        </is>
      </c>
    </row>
    <row r="1982" ht="40" customHeight="1">
      <c r="A1982" s="4" t="inlineStr">
        <is>
          <t>original:NM Cashflow!X8</t>
        </is>
      </c>
      <c r="B1982" s="4" t="inlineStr">
        <is>
          <t>NM Cashflow</t>
        </is>
      </c>
      <c r="C1982" s="4" t="inlineStr">
        <is>
          <t>X8</t>
        </is>
      </c>
      <c r="D1982" s="4" t="n">
        <v>100</v>
      </c>
      <c r="E1982" s="4" t="n">
        <v>100</v>
      </c>
      <c r="F1982" s="4" t="inlineStr">
        <is>
          <t>GOC Bed Unit-Costing Model v2 — working original.xlsx</t>
        </is>
      </c>
    </row>
    <row r="1983" ht="40" customHeight="1">
      <c r="A1983" s="4" t="inlineStr">
        <is>
          <t>original:NM Cashflow!A9</t>
        </is>
      </c>
      <c r="B1983" s="4" t="inlineStr">
        <is>
          <t>NM Cashflow</t>
        </is>
      </c>
      <c r="C1983" s="4" t="inlineStr">
        <is>
          <t>A9</t>
        </is>
      </c>
      <c r="D1983" s="4" t="inlineStr">
        <is>
          <t>Community Factory 4 - TBC</t>
        </is>
      </c>
      <c r="E1983" s="4" t="inlineStr">
        <is>
          <t>Community Factory 4 - TBC</t>
        </is>
      </c>
      <c r="F1983" s="4" t="inlineStr">
        <is>
          <t>GOC Bed Unit-Costing Model v2 — working original.xlsx</t>
        </is>
      </c>
    </row>
    <row r="1984" ht="40" customHeight="1">
      <c r="A1984" s="4" t="inlineStr">
        <is>
          <t>original:NM Cashflow!K9</t>
        </is>
      </c>
      <c r="B1984" s="4" t="inlineStr">
        <is>
          <t>NM Cashflow</t>
        </is>
      </c>
      <c r="C1984" s="4" t="inlineStr">
        <is>
          <t>K9</t>
        </is>
      </c>
      <c r="D1984" s="4" t="n">
        <v>100</v>
      </c>
      <c r="E1984" s="4" t="n">
        <v>100</v>
      </c>
      <c r="F1984" s="4" t="inlineStr">
        <is>
          <t>GOC Bed Unit-Costing Model v2 — working original.xlsx</t>
        </is>
      </c>
    </row>
    <row r="1985" ht="40" customHeight="1">
      <c r="A1985" s="4" t="inlineStr">
        <is>
          <t>original:NM Cashflow!L9</t>
        </is>
      </c>
      <c r="B1985" s="4" t="inlineStr">
        <is>
          <t>NM Cashflow</t>
        </is>
      </c>
      <c r="C1985" s="4" t="inlineStr">
        <is>
          <t>L9</t>
        </is>
      </c>
      <c r="D1985" s="4" t="n">
        <v>100</v>
      </c>
      <c r="E1985" s="4" t="n">
        <v>100</v>
      </c>
      <c r="F1985" s="4" t="inlineStr">
        <is>
          <t>GOC Bed Unit-Costing Model v2 — working original.xlsx</t>
        </is>
      </c>
    </row>
    <row r="1986" ht="40" customHeight="1">
      <c r="A1986" s="4" t="inlineStr">
        <is>
          <t>original:NM Cashflow!M9</t>
        </is>
      </c>
      <c r="B1986" s="4" t="inlineStr">
        <is>
          <t>NM Cashflow</t>
        </is>
      </c>
      <c r="C1986" s="4" t="inlineStr">
        <is>
          <t>M9</t>
        </is>
      </c>
      <c r="D1986" s="4" t="n">
        <v>100</v>
      </c>
      <c r="E1986" s="4" t="n">
        <v>100</v>
      </c>
      <c r="F1986" s="4" t="inlineStr">
        <is>
          <t>GOC Bed Unit-Costing Model v2 — working original.xlsx</t>
        </is>
      </c>
    </row>
    <row r="1987" ht="40" customHeight="1">
      <c r="A1987" s="4" t="inlineStr">
        <is>
          <t>original:NM Cashflow!N9</t>
        </is>
      </c>
      <c r="B1987" s="4" t="inlineStr">
        <is>
          <t>NM Cashflow</t>
        </is>
      </c>
      <c r="C1987" s="4" t="inlineStr">
        <is>
          <t>N9</t>
        </is>
      </c>
      <c r="D1987" s="4" t="n">
        <v>100</v>
      </c>
      <c r="E1987" s="4" t="n">
        <v>100</v>
      </c>
      <c r="F1987" s="4" t="inlineStr">
        <is>
          <t>GOC Bed Unit-Costing Model v2 — working original.xlsx</t>
        </is>
      </c>
    </row>
    <row r="1988" ht="40" customHeight="1">
      <c r="A1988" s="4" t="inlineStr">
        <is>
          <t>original:NM Cashflow!O9</t>
        </is>
      </c>
      <c r="B1988" s="4" t="inlineStr">
        <is>
          <t>NM Cashflow</t>
        </is>
      </c>
      <c r="C1988" s="4" t="inlineStr">
        <is>
          <t>O9</t>
        </is>
      </c>
      <c r="D1988" s="4" t="n">
        <v>100</v>
      </c>
      <c r="E1988" s="4" t="n">
        <v>100</v>
      </c>
      <c r="F1988" s="4" t="inlineStr">
        <is>
          <t>GOC Bed Unit-Costing Model v2 — working original.xlsx</t>
        </is>
      </c>
    </row>
    <row r="1989" ht="40" customHeight="1">
      <c r="A1989" s="4" t="inlineStr">
        <is>
          <t>original:NM Cashflow!P9</t>
        </is>
      </c>
      <c r="B1989" s="4" t="inlineStr">
        <is>
          <t>NM Cashflow</t>
        </is>
      </c>
      <c r="C1989" s="4" t="inlineStr">
        <is>
          <t>P9</t>
        </is>
      </c>
      <c r="D1989" s="4" t="n">
        <v>100</v>
      </c>
      <c r="E1989" s="4" t="n">
        <v>100</v>
      </c>
      <c r="F1989" s="4" t="inlineStr">
        <is>
          <t>GOC Bed Unit-Costing Model v2 — working original.xlsx</t>
        </is>
      </c>
    </row>
    <row r="1990" ht="40" customHeight="1">
      <c r="A1990" s="4" t="inlineStr">
        <is>
          <t>original:NM Cashflow!S9</t>
        </is>
      </c>
      <c r="B1990" s="4" t="inlineStr">
        <is>
          <t>NM Cashflow</t>
        </is>
      </c>
      <c r="C1990" s="4" t="inlineStr">
        <is>
          <t>S9</t>
        </is>
      </c>
      <c r="D1990" s="4" t="n">
        <v>100</v>
      </c>
      <c r="E1990" s="4" t="n">
        <v>100</v>
      </c>
      <c r="F1990" s="4" t="inlineStr">
        <is>
          <t>GOC Bed Unit-Costing Model v2 — working original.xlsx</t>
        </is>
      </c>
    </row>
    <row r="1991" ht="40" customHeight="1">
      <c r="A1991" s="4" t="inlineStr">
        <is>
          <t>original:NM Cashflow!T9</t>
        </is>
      </c>
      <c r="B1991" s="4" t="inlineStr">
        <is>
          <t>NM Cashflow</t>
        </is>
      </c>
      <c r="C1991" s="4" t="inlineStr">
        <is>
          <t>T9</t>
        </is>
      </c>
      <c r="D1991" s="4" t="n">
        <v>100</v>
      </c>
      <c r="E1991" s="4" t="n">
        <v>100</v>
      </c>
      <c r="F1991" s="4" t="inlineStr">
        <is>
          <t>GOC Bed Unit-Costing Model v2 — working original.xlsx</t>
        </is>
      </c>
    </row>
    <row r="1992" ht="40" customHeight="1">
      <c r="A1992" s="4" t="inlineStr">
        <is>
          <t>original:NM Cashflow!U9</t>
        </is>
      </c>
      <c r="B1992" s="4" t="inlineStr">
        <is>
          <t>NM Cashflow</t>
        </is>
      </c>
      <c r="C1992" s="4" t="inlineStr">
        <is>
          <t>U9</t>
        </is>
      </c>
      <c r="D1992" s="4" t="n">
        <v>100</v>
      </c>
      <c r="E1992" s="4" t="n">
        <v>100</v>
      </c>
      <c r="F1992" s="4" t="inlineStr">
        <is>
          <t>GOC Bed Unit-Costing Model v2 — working original.xlsx</t>
        </is>
      </c>
    </row>
    <row r="1993" ht="40" customHeight="1">
      <c r="A1993" s="4" t="inlineStr">
        <is>
          <t>original:NM Cashflow!V9</t>
        </is>
      </c>
      <c r="B1993" s="4" t="inlineStr">
        <is>
          <t>NM Cashflow</t>
        </is>
      </c>
      <c r="C1993" s="4" t="inlineStr">
        <is>
          <t>V9</t>
        </is>
      </c>
      <c r="D1993" s="4" t="n">
        <v>100</v>
      </c>
      <c r="E1993" s="4" t="n">
        <v>100</v>
      </c>
      <c r="F1993" s="4" t="inlineStr">
        <is>
          <t>GOC Bed Unit-Costing Model v2 — working original.xlsx</t>
        </is>
      </c>
    </row>
    <row r="1994" ht="40" customHeight="1">
      <c r="A1994" s="4" t="inlineStr">
        <is>
          <t>original:NM Cashflow!W9</t>
        </is>
      </c>
      <c r="B1994" s="4" t="inlineStr">
        <is>
          <t>NM Cashflow</t>
        </is>
      </c>
      <c r="C1994" s="4" t="inlineStr">
        <is>
          <t>W9</t>
        </is>
      </c>
      <c r="D1994" s="4" t="n">
        <v>100</v>
      </c>
      <c r="E1994" s="4" t="n">
        <v>100</v>
      </c>
      <c r="F1994" s="4" t="inlineStr">
        <is>
          <t>GOC Bed Unit-Costing Model v2 — working original.xlsx</t>
        </is>
      </c>
    </row>
    <row r="1995" ht="40" customHeight="1">
      <c r="A1995" s="4" t="inlineStr">
        <is>
          <t>original:NM Cashflow!X9</t>
        </is>
      </c>
      <c r="B1995" s="4" t="inlineStr">
        <is>
          <t>NM Cashflow</t>
        </is>
      </c>
      <c r="C1995" s="4" t="inlineStr">
        <is>
          <t>X9</t>
        </is>
      </c>
      <c r="D1995" s="4" t="n">
        <v>100</v>
      </c>
      <c r="E1995" s="4" t="n">
        <v>100</v>
      </c>
      <c r="F1995" s="4" t="inlineStr">
        <is>
          <t>GOC Bed Unit-Costing Model v2 — working original.xlsx</t>
        </is>
      </c>
    </row>
    <row r="1996" ht="40" customHeight="1">
      <c r="A1996" s="4" t="inlineStr">
        <is>
          <t>original:NM Cashflow!A10</t>
        </is>
      </c>
      <c r="B1996" s="4" t="inlineStr">
        <is>
          <t>NM Cashflow</t>
        </is>
      </c>
      <c r="C1996" s="4" t="inlineStr">
        <is>
          <t>A10</t>
        </is>
      </c>
      <c r="D1996" s="4" t="inlineStr">
        <is>
          <t>Community Factory 5 - TBC</t>
        </is>
      </c>
      <c r="E1996" s="4" t="inlineStr">
        <is>
          <t>Community Factory 5 - TBC</t>
        </is>
      </c>
      <c r="F1996" s="4" t="inlineStr">
        <is>
          <t>GOC Bed Unit-Costing Model v2 — working original.xlsx</t>
        </is>
      </c>
    </row>
    <row r="1997" ht="40" customHeight="1">
      <c r="A1997" s="4" t="inlineStr">
        <is>
          <t>original:NM Cashflow!L10</t>
        </is>
      </c>
      <c r="B1997" s="4" t="inlineStr">
        <is>
          <t>NM Cashflow</t>
        </is>
      </c>
      <c r="C1997" s="4" t="inlineStr">
        <is>
          <t>L10</t>
        </is>
      </c>
      <c r="D1997" s="4" t="n">
        <v>100</v>
      </c>
      <c r="E1997" s="4" t="n">
        <v>100</v>
      </c>
      <c r="F1997" s="4" t="inlineStr">
        <is>
          <t>GOC Bed Unit-Costing Model v2 — working original.xlsx</t>
        </is>
      </c>
    </row>
    <row r="1998" ht="40" customHeight="1">
      <c r="A1998" s="4" t="inlineStr">
        <is>
          <t>original:NM Cashflow!M10</t>
        </is>
      </c>
      <c r="B1998" s="4" t="inlineStr">
        <is>
          <t>NM Cashflow</t>
        </is>
      </c>
      <c r="C1998" s="4" t="inlineStr">
        <is>
          <t>M10</t>
        </is>
      </c>
      <c r="D1998" s="4" t="n">
        <v>100</v>
      </c>
      <c r="E1998" s="4" t="n">
        <v>100</v>
      </c>
      <c r="F1998" s="4" t="inlineStr">
        <is>
          <t>GOC Bed Unit-Costing Model v2 — working original.xlsx</t>
        </is>
      </c>
    </row>
    <row r="1999" ht="40" customHeight="1">
      <c r="A1999" s="4" t="inlineStr">
        <is>
          <t>original:NM Cashflow!N10</t>
        </is>
      </c>
      <c r="B1999" s="4" t="inlineStr">
        <is>
          <t>NM Cashflow</t>
        </is>
      </c>
      <c r="C1999" s="4" t="inlineStr">
        <is>
          <t>N10</t>
        </is>
      </c>
      <c r="D1999" s="4" t="n">
        <v>100</v>
      </c>
      <c r="E1999" s="4" t="n">
        <v>100</v>
      </c>
      <c r="F1999" s="4" t="inlineStr">
        <is>
          <t>GOC Bed Unit-Costing Model v2 — working original.xlsx</t>
        </is>
      </c>
    </row>
    <row r="2000" ht="40" customHeight="1">
      <c r="A2000" s="4" t="inlineStr">
        <is>
          <t>original:NM Cashflow!O10</t>
        </is>
      </c>
      <c r="B2000" s="4" t="inlineStr">
        <is>
          <t>NM Cashflow</t>
        </is>
      </c>
      <c r="C2000" s="4" t="inlineStr">
        <is>
          <t>O10</t>
        </is>
      </c>
      <c r="D2000" s="4" t="n">
        <v>100</v>
      </c>
      <c r="E2000" s="4" t="n">
        <v>100</v>
      </c>
      <c r="F2000" s="4" t="inlineStr">
        <is>
          <t>GOC Bed Unit-Costing Model v2 — working original.xlsx</t>
        </is>
      </c>
    </row>
    <row r="2001" ht="40" customHeight="1">
      <c r="A2001" s="4" t="inlineStr">
        <is>
          <t>original:NM Cashflow!P10</t>
        </is>
      </c>
      <c r="B2001" s="4" t="inlineStr">
        <is>
          <t>NM Cashflow</t>
        </is>
      </c>
      <c r="C2001" s="4" t="inlineStr">
        <is>
          <t>P10</t>
        </is>
      </c>
      <c r="D2001" s="4" t="n">
        <v>100</v>
      </c>
      <c r="E2001" s="4" t="n">
        <v>100</v>
      </c>
      <c r="F2001" s="4" t="inlineStr">
        <is>
          <t>GOC Bed Unit-Costing Model v2 — working original.xlsx</t>
        </is>
      </c>
    </row>
    <row r="2002" ht="40" customHeight="1">
      <c r="A2002" s="4" t="inlineStr">
        <is>
          <t>original:NM Cashflow!S10</t>
        </is>
      </c>
      <c r="B2002" s="4" t="inlineStr">
        <is>
          <t>NM Cashflow</t>
        </is>
      </c>
      <c r="C2002" s="4" t="inlineStr">
        <is>
          <t>S10</t>
        </is>
      </c>
      <c r="D2002" s="4" t="n">
        <v>100</v>
      </c>
      <c r="E2002" s="4" t="n">
        <v>100</v>
      </c>
      <c r="F2002" s="4" t="inlineStr">
        <is>
          <t>GOC Bed Unit-Costing Model v2 — working original.xlsx</t>
        </is>
      </c>
    </row>
    <row r="2003" ht="40" customHeight="1">
      <c r="A2003" s="4" t="inlineStr">
        <is>
          <t>original:NM Cashflow!T10</t>
        </is>
      </c>
      <c r="B2003" s="4" t="inlineStr">
        <is>
          <t>NM Cashflow</t>
        </is>
      </c>
      <c r="C2003" s="4" t="inlineStr">
        <is>
          <t>T10</t>
        </is>
      </c>
      <c r="D2003" s="4" t="n">
        <v>100</v>
      </c>
      <c r="E2003" s="4" t="n">
        <v>100</v>
      </c>
      <c r="F2003" s="4" t="inlineStr">
        <is>
          <t>GOC Bed Unit-Costing Model v2 — working original.xlsx</t>
        </is>
      </c>
    </row>
    <row r="2004" ht="40" customHeight="1">
      <c r="A2004" s="4" t="inlineStr">
        <is>
          <t>original:NM Cashflow!U10</t>
        </is>
      </c>
      <c r="B2004" s="4" t="inlineStr">
        <is>
          <t>NM Cashflow</t>
        </is>
      </c>
      <c r="C2004" s="4" t="inlineStr">
        <is>
          <t>U10</t>
        </is>
      </c>
      <c r="D2004" s="4" t="n">
        <v>100</v>
      </c>
      <c r="E2004" s="4" t="n">
        <v>100</v>
      </c>
      <c r="F2004" s="4" t="inlineStr">
        <is>
          <t>GOC Bed Unit-Costing Model v2 — working original.xlsx</t>
        </is>
      </c>
    </row>
    <row r="2005" ht="40" customHeight="1">
      <c r="A2005" s="4" t="inlineStr">
        <is>
          <t>original:NM Cashflow!V10</t>
        </is>
      </c>
      <c r="B2005" s="4" t="inlineStr">
        <is>
          <t>NM Cashflow</t>
        </is>
      </c>
      <c r="C2005" s="4" t="inlineStr">
        <is>
          <t>V10</t>
        </is>
      </c>
      <c r="D2005" s="4" t="n">
        <v>100</v>
      </c>
      <c r="E2005" s="4" t="n">
        <v>100</v>
      </c>
      <c r="F2005" s="4" t="inlineStr">
        <is>
          <t>GOC Bed Unit-Costing Model v2 — working original.xlsx</t>
        </is>
      </c>
    </row>
    <row r="2006" ht="40" customHeight="1">
      <c r="A2006" s="4" t="inlineStr">
        <is>
          <t>original:NM Cashflow!W10</t>
        </is>
      </c>
      <c r="B2006" s="4" t="inlineStr">
        <is>
          <t>NM Cashflow</t>
        </is>
      </c>
      <c r="C2006" s="4" t="inlineStr">
        <is>
          <t>W10</t>
        </is>
      </c>
      <c r="D2006" s="4" t="n">
        <v>100</v>
      </c>
      <c r="E2006" s="4" t="n">
        <v>100</v>
      </c>
      <c r="F2006" s="4" t="inlineStr">
        <is>
          <t>GOC Bed Unit-Costing Model v2 — working original.xlsx</t>
        </is>
      </c>
    </row>
    <row r="2007" ht="40" customHeight="1">
      <c r="A2007" s="4" t="inlineStr">
        <is>
          <t>original:NM Cashflow!X10</t>
        </is>
      </c>
      <c r="B2007" s="4" t="inlineStr">
        <is>
          <t>NM Cashflow</t>
        </is>
      </c>
      <c r="C2007" s="4" t="inlineStr">
        <is>
          <t>X10</t>
        </is>
      </c>
      <c r="D2007" s="4" t="n">
        <v>100</v>
      </c>
      <c r="E2007" s="4" t="n">
        <v>100</v>
      </c>
      <c r="F2007" s="4" t="inlineStr">
        <is>
          <t>GOC Bed Unit-Costing Model v2 — working original.xlsx</t>
        </is>
      </c>
    </row>
    <row r="2008" ht="40" customHeight="1">
      <c r="A2008" s="4" t="inlineStr">
        <is>
          <t>original:NM Cashflow!A12</t>
        </is>
      </c>
      <c r="B2008" s="4" t="inlineStr">
        <is>
          <t>NM Cashflow</t>
        </is>
      </c>
      <c r="C2008" s="4" t="inlineStr">
        <is>
          <t>A12</t>
        </is>
      </c>
      <c r="D2008" s="4" t="inlineStr">
        <is>
          <t>Monthly Total Stretch Beds</t>
        </is>
      </c>
      <c r="E2008" s="4" t="inlineStr">
        <is>
          <t>Monthly Total Stretch Beds</t>
        </is>
      </c>
      <c r="F2008" s="4" t="inlineStr">
        <is>
          <t>GOC Bed Unit-Costing Model v2 — working original.xlsx</t>
        </is>
      </c>
    </row>
    <row r="2009" ht="40" customHeight="1">
      <c r="A2009" s="4" t="inlineStr">
        <is>
          <t>original:NM Cashflow!B12</t>
        </is>
      </c>
      <c r="B2009" s="4" t="inlineStr">
        <is>
          <t>NM Cashflow</t>
        </is>
      </c>
      <c r="C2009" s="4" t="inlineStr">
        <is>
          <t>B12</t>
        </is>
      </c>
      <c r="D2009" s="4" t="inlineStr">
        <is>
          <t>=SUM(B4:B11)</t>
        </is>
      </c>
      <c r="E2009" s="4" t="n">
        <v>130</v>
      </c>
      <c r="F2009" s="4" t="inlineStr">
        <is>
          <t>GOC Bed Unit-Costing Model v2 — working original.xlsx</t>
        </is>
      </c>
    </row>
    <row r="2010" ht="40" customHeight="1">
      <c r="A2010" s="4" t="inlineStr">
        <is>
          <t>original:NM Cashflow!C12</t>
        </is>
      </c>
      <c r="B2010" s="4" t="inlineStr">
        <is>
          <t>NM Cashflow</t>
        </is>
      </c>
      <c r="C2010" s="4" t="inlineStr">
        <is>
          <t>C12</t>
        </is>
      </c>
      <c r="D2010" s="4" t="inlineStr">
        <is>
          <t>=SUM(C4:C11)</t>
        </is>
      </c>
      <c r="E2010" s="4" t="n">
        <v>130</v>
      </c>
      <c r="F2010" s="4" t="inlineStr">
        <is>
          <t>GOC Bed Unit-Costing Model v2 — working original.xlsx</t>
        </is>
      </c>
    </row>
    <row r="2011" ht="40" customHeight="1">
      <c r="A2011" s="4" t="inlineStr">
        <is>
          <t>original:NM Cashflow!D12</t>
        </is>
      </c>
      <c r="B2011" s="4" t="inlineStr">
        <is>
          <t>NM Cashflow</t>
        </is>
      </c>
      <c r="C2011" s="4" t="inlineStr">
        <is>
          <t>D12</t>
        </is>
      </c>
      <c r="D2011" s="4" t="inlineStr">
        <is>
          <t>=SUM(D4:D11)</t>
        </is>
      </c>
      <c r="E2011" s="4" t="n">
        <v>230</v>
      </c>
      <c r="F2011" s="4" t="inlineStr">
        <is>
          <t>GOC Bed Unit-Costing Model v2 — working original.xlsx</t>
        </is>
      </c>
    </row>
    <row r="2012" ht="40" customHeight="1">
      <c r="A2012" s="4" t="inlineStr">
        <is>
          <t>original:NM Cashflow!E12</t>
        </is>
      </c>
      <c r="B2012" s="4" t="inlineStr">
        <is>
          <t>NM Cashflow</t>
        </is>
      </c>
      <c r="C2012" s="4" t="inlineStr">
        <is>
          <t>E12</t>
        </is>
      </c>
      <c r="D2012" s="4" t="inlineStr">
        <is>
          <t>=SUM(E4:E11)</t>
        </is>
      </c>
      <c r="E2012" s="4" t="n">
        <v>0</v>
      </c>
      <c r="F2012" s="4" t="inlineStr">
        <is>
          <t>GOC Bed Unit-Costing Model v2 — working original.xlsx</t>
        </is>
      </c>
    </row>
    <row r="2013" ht="40" customHeight="1">
      <c r="A2013" s="4" t="inlineStr">
        <is>
          <t>original:NM Cashflow!F12</t>
        </is>
      </c>
      <c r="B2013" s="4" t="inlineStr">
        <is>
          <t>NM Cashflow</t>
        </is>
      </c>
      <c r="C2013" s="4" t="inlineStr">
        <is>
          <t>F12</t>
        </is>
      </c>
      <c r="D2013" s="4" t="inlineStr">
        <is>
          <t>=SUM(F4:F11)</t>
        </is>
      </c>
      <c r="E2013" s="4" t="n">
        <v>0</v>
      </c>
      <c r="F2013" s="4" t="inlineStr">
        <is>
          <t>GOC Bed Unit-Costing Model v2 — working original.xlsx</t>
        </is>
      </c>
    </row>
    <row r="2014" ht="40" customHeight="1">
      <c r="A2014" s="4" t="inlineStr">
        <is>
          <t>original:NM Cashflow!G12</t>
        </is>
      </c>
      <c r="B2014" s="4" t="inlineStr">
        <is>
          <t>NM Cashflow</t>
        </is>
      </c>
      <c r="C2014" s="4" t="inlineStr">
        <is>
          <t>G12</t>
        </is>
      </c>
      <c r="D2014" s="4" t="inlineStr">
        <is>
          <t>=SUM(G4:G11)</t>
        </is>
      </c>
      <c r="E2014" s="4" t="n">
        <v>230</v>
      </c>
      <c r="F2014" s="4" t="inlineStr">
        <is>
          <t>GOC Bed Unit-Costing Model v2 — working original.xlsx</t>
        </is>
      </c>
    </row>
    <row r="2015" ht="40" customHeight="1">
      <c r="A2015" s="4" t="inlineStr">
        <is>
          <t>original:NM Cashflow!H12</t>
        </is>
      </c>
      <c r="B2015" s="4" t="inlineStr">
        <is>
          <t>NM Cashflow</t>
        </is>
      </c>
      <c r="C2015" s="4" t="inlineStr">
        <is>
          <t>H12</t>
        </is>
      </c>
      <c r="D2015" s="4" t="inlineStr">
        <is>
          <t>=SUM(H4:H11)</t>
        </is>
      </c>
      <c r="E2015" s="4" t="n">
        <v>230</v>
      </c>
      <c r="F2015" s="4" t="inlineStr">
        <is>
          <t>GOC Bed Unit-Costing Model v2 — working original.xlsx</t>
        </is>
      </c>
    </row>
    <row r="2016" ht="40" customHeight="1">
      <c r="A2016" s="4" t="inlineStr">
        <is>
          <t>original:NM Cashflow!I12</t>
        </is>
      </c>
      <c r="B2016" s="4" t="inlineStr">
        <is>
          <t>NM Cashflow</t>
        </is>
      </c>
      <c r="C2016" s="4" t="inlineStr">
        <is>
          <t>I12</t>
        </is>
      </c>
      <c r="D2016" s="4" t="inlineStr">
        <is>
          <t>=SUM(I4:I11)</t>
        </is>
      </c>
      <c r="E2016" s="4" t="n">
        <v>330</v>
      </c>
      <c r="F2016" s="4" t="inlineStr">
        <is>
          <t>GOC Bed Unit-Costing Model v2 — working original.xlsx</t>
        </is>
      </c>
    </row>
    <row r="2017" ht="40" customHeight="1">
      <c r="A2017" s="4" t="inlineStr">
        <is>
          <t>original:NM Cashflow!J12</t>
        </is>
      </c>
      <c r="B2017" s="4" t="inlineStr">
        <is>
          <t>NM Cashflow</t>
        </is>
      </c>
      <c r="C2017" s="4" t="inlineStr">
        <is>
          <t>J12</t>
        </is>
      </c>
      <c r="D2017" s="4" t="inlineStr">
        <is>
          <t>=SUM(J4:J11)</t>
        </is>
      </c>
      <c r="E2017" s="4" t="n">
        <v>430</v>
      </c>
      <c r="F2017" s="4" t="inlineStr">
        <is>
          <t>GOC Bed Unit-Costing Model v2 — working original.xlsx</t>
        </is>
      </c>
    </row>
    <row r="2018" ht="40" customHeight="1">
      <c r="A2018" s="4" t="inlineStr">
        <is>
          <t>original:NM Cashflow!K12</t>
        </is>
      </c>
      <c r="B2018" s="4" t="inlineStr">
        <is>
          <t>NM Cashflow</t>
        </is>
      </c>
      <c r="C2018" s="4" t="inlineStr">
        <is>
          <t>K12</t>
        </is>
      </c>
      <c r="D2018" s="4" t="inlineStr">
        <is>
          <t>=SUM(K4:K11)</t>
        </is>
      </c>
      <c r="E2018" s="4" t="n">
        <v>530</v>
      </c>
      <c r="F2018" s="4" t="inlineStr">
        <is>
          <t>GOC Bed Unit-Costing Model v2 — working original.xlsx</t>
        </is>
      </c>
    </row>
    <row r="2019" ht="40" customHeight="1">
      <c r="A2019" s="4" t="inlineStr">
        <is>
          <t>original:NM Cashflow!L12</t>
        </is>
      </c>
      <c r="B2019" s="4" t="inlineStr">
        <is>
          <t>NM Cashflow</t>
        </is>
      </c>
      <c r="C2019" s="4" t="inlineStr">
        <is>
          <t>L12</t>
        </is>
      </c>
      <c r="D2019" s="4" t="inlineStr">
        <is>
          <t>=SUM(L4:L11)</t>
        </is>
      </c>
      <c r="E2019" s="4" t="n">
        <v>630</v>
      </c>
      <c r="F2019" s="4" t="inlineStr">
        <is>
          <t>GOC Bed Unit-Costing Model v2 — working original.xlsx</t>
        </is>
      </c>
    </row>
    <row r="2020" ht="40" customHeight="1">
      <c r="A2020" s="4" t="inlineStr">
        <is>
          <t>original:NM Cashflow!M12</t>
        </is>
      </c>
      <c r="B2020" s="4" t="inlineStr">
        <is>
          <t>NM Cashflow</t>
        </is>
      </c>
      <c r="C2020" s="4" t="inlineStr">
        <is>
          <t>M12</t>
        </is>
      </c>
      <c r="D2020" s="4" t="inlineStr">
        <is>
          <t>=SUM(M4:M11)</t>
        </is>
      </c>
      <c r="E2020" s="4" t="n">
        <v>500</v>
      </c>
      <c r="F2020" s="4" t="inlineStr">
        <is>
          <t>GOC Bed Unit-Costing Model v2 — working original.xlsx</t>
        </is>
      </c>
    </row>
    <row r="2021" ht="40" customHeight="1">
      <c r="A2021" s="4" t="inlineStr">
        <is>
          <t>original:NM Cashflow!N12</t>
        </is>
      </c>
      <c r="B2021" s="4" t="inlineStr">
        <is>
          <t>NM Cashflow</t>
        </is>
      </c>
      <c r="C2021" s="4" t="inlineStr">
        <is>
          <t>N12</t>
        </is>
      </c>
      <c r="D2021" s="4" t="inlineStr">
        <is>
          <t>=SUM(N4:N11)</t>
        </is>
      </c>
      <c r="E2021" s="4" t="n">
        <v>500</v>
      </c>
      <c r="F2021" s="4" t="inlineStr">
        <is>
          <t>GOC Bed Unit-Costing Model v2 — working original.xlsx</t>
        </is>
      </c>
    </row>
    <row r="2022" ht="40" customHeight="1">
      <c r="A2022" s="4" t="inlineStr">
        <is>
          <t>original:NM Cashflow!O12</t>
        </is>
      </c>
      <c r="B2022" s="4" t="inlineStr">
        <is>
          <t>NM Cashflow</t>
        </is>
      </c>
      <c r="C2022" s="4" t="inlineStr">
        <is>
          <t>O12</t>
        </is>
      </c>
      <c r="D2022" s="4" t="inlineStr">
        <is>
          <t>=SUM(O4:O11)</t>
        </is>
      </c>
      <c r="E2022" s="4" t="n">
        <v>500</v>
      </c>
      <c r="F2022" s="4" t="inlineStr">
        <is>
          <t>GOC Bed Unit-Costing Model v2 — working original.xlsx</t>
        </is>
      </c>
    </row>
    <row r="2023" ht="40" customHeight="1">
      <c r="A2023" s="4" t="inlineStr">
        <is>
          <t>original:NM Cashflow!P12</t>
        </is>
      </c>
      <c r="B2023" s="4" t="inlineStr">
        <is>
          <t>NM Cashflow</t>
        </is>
      </c>
      <c r="C2023" s="4" t="inlineStr">
        <is>
          <t>P12</t>
        </is>
      </c>
      <c r="D2023" s="4" t="inlineStr">
        <is>
          <t>=SUM(P4:P11)</t>
        </is>
      </c>
      <c r="E2023" s="4" t="n">
        <v>500</v>
      </c>
      <c r="F2023" s="4" t="inlineStr">
        <is>
          <t>GOC Bed Unit-Costing Model v2 — working original.xlsx</t>
        </is>
      </c>
    </row>
    <row r="2024" ht="40" customHeight="1">
      <c r="A2024" s="4" t="inlineStr">
        <is>
          <t>original:NM Cashflow!Q12</t>
        </is>
      </c>
      <c r="B2024" s="4" t="inlineStr">
        <is>
          <t>NM Cashflow</t>
        </is>
      </c>
      <c r="C2024" s="4" t="inlineStr">
        <is>
          <t>Q12</t>
        </is>
      </c>
      <c r="D2024" s="4" t="inlineStr">
        <is>
          <t>=SUM(Q4:Q11)</t>
        </is>
      </c>
      <c r="E2024" s="4" t="n">
        <v>0</v>
      </c>
      <c r="F2024" s="4" t="inlineStr">
        <is>
          <t>GOC Bed Unit-Costing Model v2 — working original.xlsx</t>
        </is>
      </c>
    </row>
    <row r="2025" ht="40" customHeight="1">
      <c r="A2025" s="4" t="inlineStr">
        <is>
          <t>original:NM Cashflow!R12</t>
        </is>
      </c>
      <c r="B2025" s="4" t="inlineStr">
        <is>
          <t>NM Cashflow</t>
        </is>
      </c>
      <c r="C2025" s="4" t="inlineStr">
        <is>
          <t>R12</t>
        </is>
      </c>
      <c r="D2025" s="4" t="inlineStr">
        <is>
          <t>=SUM(R4:R11)</t>
        </is>
      </c>
      <c r="E2025" s="4" t="n">
        <v>0</v>
      </c>
      <c r="F2025" s="4" t="inlineStr">
        <is>
          <t>GOC Bed Unit-Costing Model v2 — working original.xlsx</t>
        </is>
      </c>
    </row>
    <row r="2026" ht="40" customHeight="1">
      <c r="A2026" s="4" t="inlineStr">
        <is>
          <t>original:NM Cashflow!S12</t>
        </is>
      </c>
      <c r="B2026" s="4" t="inlineStr">
        <is>
          <t>NM Cashflow</t>
        </is>
      </c>
      <c r="C2026" s="4" t="inlineStr">
        <is>
          <t>S12</t>
        </is>
      </c>
      <c r="D2026" s="4" t="inlineStr">
        <is>
          <t>=SUM(S4:S11)</t>
        </is>
      </c>
      <c r="E2026" s="4" t="n">
        <v>500</v>
      </c>
      <c r="F2026" s="4" t="inlineStr">
        <is>
          <t>GOC Bed Unit-Costing Model v2 — working original.xlsx</t>
        </is>
      </c>
    </row>
    <row r="2027" ht="40" customHeight="1">
      <c r="A2027" s="4" t="inlineStr">
        <is>
          <t>original:NM Cashflow!T12</t>
        </is>
      </c>
      <c r="B2027" s="4" t="inlineStr">
        <is>
          <t>NM Cashflow</t>
        </is>
      </c>
      <c r="C2027" s="4" t="inlineStr">
        <is>
          <t>T12</t>
        </is>
      </c>
      <c r="D2027" s="4" t="inlineStr">
        <is>
          <t>=SUM(T4:T11)</t>
        </is>
      </c>
      <c r="E2027" s="4" t="n">
        <v>500</v>
      </c>
      <c r="F2027" s="4" t="inlineStr">
        <is>
          <t>GOC Bed Unit-Costing Model v2 — working original.xlsx</t>
        </is>
      </c>
    </row>
    <row r="2028" ht="40" customHeight="1">
      <c r="A2028" s="4" t="inlineStr">
        <is>
          <t>original:NM Cashflow!U12</t>
        </is>
      </c>
      <c r="B2028" s="4" t="inlineStr">
        <is>
          <t>NM Cashflow</t>
        </is>
      </c>
      <c r="C2028" s="4" t="inlineStr">
        <is>
          <t>U12</t>
        </is>
      </c>
      <c r="D2028" s="4" t="inlineStr">
        <is>
          <t>=SUM(U4:U11)</t>
        </is>
      </c>
      <c r="E2028" s="4" t="n">
        <v>500</v>
      </c>
      <c r="F2028" s="4" t="inlineStr">
        <is>
          <t>GOC Bed Unit-Costing Model v2 — working original.xlsx</t>
        </is>
      </c>
    </row>
    <row r="2029" ht="40" customHeight="1">
      <c r="A2029" s="4" t="inlineStr">
        <is>
          <t>original:NM Cashflow!V12</t>
        </is>
      </c>
      <c r="B2029" s="4" t="inlineStr">
        <is>
          <t>NM Cashflow</t>
        </is>
      </c>
      <c r="C2029" s="4" t="inlineStr">
        <is>
          <t>V12</t>
        </is>
      </c>
      <c r="D2029" s="4" t="inlineStr">
        <is>
          <t>=SUM(V4:V11)</t>
        </is>
      </c>
      <c r="E2029" s="4" t="n">
        <v>500</v>
      </c>
      <c r="F2029" s="4" t="inlineStr">
        <is>
          <t>GOC Bed Unit-Costing Model v2 — working original.xlsx</t>
        </is>
      </c>
    </row>
    <row r="2030" ht="40" customHeight="1">
      <c r="A2030" s="4" t="inlineStr">
        <is>
          <t>original:NM Cashflow!W12</t>
        </is>
      </c>
      <c r="B2030" s="4" t="inlineStr">
        <is>
          <t>NM Cashflow</t>
        </is>
      </c>
      <c r="C2030" s="4" t="inlineStr">
        <is>
          <t>W12</t>
        </is>
      </c>
      <c r="D2030" s="4" t="inlineStr">
        <is>
          <t>=SUM(W4:W11)</t>
        </is>
      </c>
      <c r="E2030" s="4" t="n">
        <v>500</v>
      </c>
      <c r="F2030" s="4" t="inlineStr">
        <is>
          <t>GOC Bed Unit-Costing Model v2 — working original.xlsx</t>
        </is>
      </c>
    </row>
    <row r="2031" ht="40" customHeight="1">
      <c r="A2031" s="4" t="inlineStr">
        <is>
          <t>original:NM Cashflow!X12</t>
        </is>
      </c>
      <c r="B2031" s="4" t="inlineStr">
        <is>
          <t>NM Cashflow</t>
        </is>
      </c>
      <c r="C2031" s="4" t="inlineStr">
        <is>
          <t>X12</t>
        </is>
      </c>
      <c r="D2031" s="4" t="inlineStr">
        <is>
          <t>=SUM(X4:X11)</t>
        </is>
      </c>
      <c r="E2031" s="4" t="n">
        <v>500</v>
      </c>
      <c r="F2031" s="4" t="inlineStr">
        <is>
          <t>GOC Bed Unit-Costing Model v2 — working original.xlsx</t>
        </is>
      </c>
    </row>
    <row r="2032" ht="40" customHeight="1">
      <c r="A2032" s="4" t="inlineStr">
        <is>
          <t>original:NM Cashflow!Y12</t>
        </is>
      </c>
      <c r="B2032" s="4" t="inlineStr">
        <is>
          <t>NM Cashflow</t>
        </is>
      </c>
      <c r="C2032" s="4" t="inlineStr">
        <is>
          <t>Y12</t>
        </is>
      </c>
      <c r="D2032" s="4" t="inlineStr">
        <is>
          <t>=SUM(Y4:Y11)</t>
        </is>
      </c>
      <c r="E2032" s="4" t="n">
        <v>0</v>
      </c>
      <c r="F2032" s="4" t="inlineStr">
        <is>
          <t>GOC Bed Unit-Costing Model v2 — working original.xlsx</t>
        </is>
      </c>
    </row>
    <row r="2033" ht="40" customHeight="1">
      <c r="A2033" s="4" t="inlineStr">
        <is>
          <t>original:NM Cashflow!Z12</t>
        </is>
      </c>
      <c r="B2033" s="4" t="inlineStr">
        <is>
          <t>NM Cashflow</t>
        </is>
      </c>
      <c r="C2033" s="4" t="inlineStr">
        <is>
          <t>Z12</t>
        </is>
      </c>
      <c r="D2033" s="4" t="inlineStr">
        <is>
          <t>=SUM(Z4:Z11)</t>
        </is>
      </c>
      <c r="E2033" s="4" t="n">
        <v>0</v>
      </c>
      <c r="F2033" s="4" t="inlineStr">
        <is>
          <t>GOC Bed Unit-Costing Model v2 — working original.xlsx</t>
        </is>
      </c>
    </row>
    <row r="2034" ht="40" customHeight="1">
      <c r="A2034" s="4" t="inlineStr">
        <is>
          <t>original:NM Cashflow!AA12</t>
        </is>
      </c>
      <c r="B2034" s="4" t="inlineStr">
        <is>
          <t>NM Cashflow</t>
        </is>
      </c>
      <c r="C2034" s="4" t="inlineStr">
        <is>
          <t>AA12</t>
        </is>
      </c>
      <c r="D2034" s="4" t="inlineStr">
        <is>
          <t>=SUM(AA4:AA11)</t>
        </is>
      </c>
      <c r="E2034" s="4" t="n">
        <v>0</v>
      </c>
      <c r="F2034" s="4" t="inlineStr">
        <is>
          <t>GOC Bed Unit-Costing Model v2 — working original.xlsx</t>
        </is>
      </c>
    </row>
    <row r="2035" ht="40" customHeight="1">
      <c r="A2035" s="4" t="inlineStr">
        <is>
          <t>original:NM Cashflow!AB12</t>
        </is>
      </c>
      <c r="B2035" s="4" t="inlineStr">
        <is>
          <t>NM Cashflow</t>
        </is>
      </c>
      <c r="C2035" s="4" t="inlineStr">
        <is>
          <t>AB12</t>
        </is>
      </c>
      <c r="D2035" s="4" t="inlineStr">
        <is>
          <t>=SUM(AB4:AB11)</t>
        </is>
      </c>
      <c r="E2035" s="4" t="n">
        <v>0</v>
      </c>
      <c r="F2035" s="4" t="inlineStr">
        <is>
          <t>GOC Bed Unit-Costing Model v2 — working original.xlsx</t>
        </is>
      </c>
    </row>
    <row r="2036" ht="40" customHeight="1">
      <c r="A2036" s="4" t="inlineStr">
        <is>
          <t>original:NM Cashflow!AC12</t>
        </is>
      </c>
      <c r="B2036" s="4" t="inlineStr">
        <is>
          <t>NM Cashflow</t>
        </is>
      </c>
      <c r="C2036" s="4" t="inlineStr">
        <is>
          <t>AC12</t>
        </is>
      </c>
      <c r="D2036" s="4" t="inlineStr">
        <is>
          <t>=SUM(AC4:AC11)</t>
        </is>
      </c>
      <c r="E2036" s="4" t="n">
        <v>0</v>
      </c>
      <c r="F2036" s="4" t="inlineStr">
        <is>
          <t>GOC Bed Unit-Costing Model v2 — working original.xlsx</t>
        </is>
      </c>
    </row>
    <row r="2037" ht="40" customHeight="1">
      <c r="A2037" s="4" t="inlineStr">
        <is>
          <t>original:NM Cashflow!A13</t>
        </is>
      </c>
      <c r="B2037" s="4" t="inlineStr">
        <is>
          <t>NM Cashflow</t>
        </is>
      </c>
      <c r="C2037" s="4" t="inlineStr">
        <is>
          <t>A13</t>
        </is>
      </c>
      <c r="D2037" s="4" t="inlineStr">
        <is>
          <t>Total Stretch Beds Rolling</t>
        </is>
      </c>
      <c r="E2037" s="4" t="inlineStr">
        <is>
          <t>Total Stretch Beds Rolling</t>
        </is>
      </c>
      <c r="F2037" s="4" t="inlineStr">
        <is>
          <t>GOC Bed Unit-Costing Model v2 — working original.xlsx</t>
        </is>
      </c>
    </row>
    <row r="2038" ht="40" customHeight="1">
      <c r="A2038" s="4" t="inlineStr">
        <is>
          <t>original:NM Cashflow!B13</t>
        </is>
      </c>
      <c r="B2038" s="4" t="inlineStr">
        <is>
          <t>NM Cashflow</t>
        </is>
      </c>
      <c r="C2038" s="4" t="inlineStr">
        <is>
          <t>B13</t>
        </is>
      </c>
      <c r="D2038" s="4" t="inlineStr">
        <is>
          <t>=B12</t>
        </is>
      </c>
      <c r="E2038" s="4" t="n">
        <v>130</v>
      </c>
      <c r="F2038" s="4" t="inlineStr">
        <is>
          <t>GOC Bed Unit-Costing Model v2 — working original.xlsx</t>
        </is>
      </c>
    </row>
    <row r="2039" ht="40" customHeight="1">
      <c r="A2039" s="4" t="inlineStr">
        <is>
          <t>original:NM Cashflow!C13</t>
        </is>
      </c>
      <c r="B2039" s="4" t="inlineStr">
        <is>
          <t>NM Cashflow</t>
        </is>
      </c>
      <c r="C2039" s="4" t="inlineStr">
        <is>
          <t>C13</t>
        </is>
      </c>
      <c r="D2039" s="4" t="inlineStr">
        <is>
          <t>=B13+C12</t>
        </is>
      </c>
      <c r="E2039" s="4" t="n">
        <v>260</v>
      </c>
      <c r="F2039" s="4" t="inlineStr">
        <is>
          <t>GOC Bed Unit-Costing Model v2 — working original.xlsx</t>
        </is>
      </c>
    </row>
    <row r="2040" ht="40" customHeight="1">
      <c r="A2040" s="4" t="inlineStr">
        <is>
          <t>original:NM Cashflow!D13</t>
        </is>
      </c>
      <c r="B2040" s="4" t="inlineStr">
        <is>
          <t>NM Cashflow</t>
        </is>
      </c>
      <c r="C2040" s="4" t="inlineStr">
        <is>
          <t>D13</t>
        </is>
      </c>
      <c r="D2040" s="4" t="inlineStr">
        <is>
          <t>=C13+D12</t>
        </is>
      </c>
      <c r="E2040" s="4" t="n">
        <v>490</v>
      </c>
      <c r="F2040" s="4" t="inlineStr">
        <is>
          <t>GOC Bed Unit-Costing Model v2 — working original.xlsx</t>
        </is>
      </c>
    </row>
    <row r="2041" ht="40" customHeight="1">
      <c r="A2041" s="4" t="inlineStr">
        <is>
          <t>original:NM Cashflow!E13</t>
        </is>
      </c>
      <c r="B2041" s="4" t="inlineStr">
        <is>
          <t>NM Cashflow</t>
        </is>
      </c>
      <c r="C2041" s="4" t="inlineStr">
        <is>
          <t>E13</t>
        </is>
      </c>
      <c r="D2041" s="4" t="inlineStr">
        <is>
          <t>=D13+E12</t>
        </is>
      </c>
      <c r="E2041" s="4" t="n">
        <v>490</v>
      </c>
      <c r="F2041" s="4" t="inlineStr">
        <is>
          <t>GOC Bed Unit-Costing Model v2 — working original.xlsx</t>
        </is>
      </c>
    </row>
    <row r="2042" ht="40" customHeight="1">
      <c r="A2042" s="4" t="inlineStr">
        <is>
          <t>original:NM Cashflow!F13</t>
        </is>
      </c>
      <c r="B2042" s="4" t="inlineStr">
        <is>
          <t>NM Cashflow</t>
        </is>
      </c>
      <c r="C2042" s="4" t="inlineStr">
        <is>
          <t>F13</t>
        </is>
      </c>
      <c r="D2042" s="4" t="inlineStr">
        <is>
          <t>=E13+F12</t>
        </is>
      </c>
      <c r="E2042" s="4" t="n">
        <v>490</v>
      </c>
      <c r="F2042" s="4" t="inlineStr">
        <is>
          <t>GOC Bed Unit-Costing Model v2 — working original.xlsx</t>
        </is>
      </c>
    </row>
    <row r="2043" ht="40" customHeight="1">
      <c r="A2043" s="4" t="inlineStr">
        <is>
          <t>original:NM Cashflow!G13</t>
        </is>
      </c>
      <c r="B2043" s="4" t="inlineStr">
        <is>
          <t>NM Cashflow</t>
        </is>
      </c>
      <c r="C2043" s="4" t="inlineStr">
        <is>
          <t>G13</t>
        </is>
      </c>
      <c r="D2043" s="4" t="inlineStr">
        <is>
          <t>=F13+G12</t>
        </is>
      </c>
      <c r="E2043" s="4" t="n">
        <v>720</v>
      </c>
      <c r="F2043" s="4" t="inlineStr">
        <is>
          <t>GOC Bed Unit-Costing Model v2 — working original.xlsx</t>
        </is>
      </c>
    </row>
    <row r="2044" ht="40" customHeight="1">
      <c r="A2044" s="4" t="inlineStr">
        <is>
          <t>original:NM Cashflow!H13</t>
        </is>
      </c>
      <c r="B2044" s="4" t="inlineStr">
        <is>
          <t>NM Cashflow</t>
        </is>
      </c>
      <c r="C2044" s="4" t="inlineStr">
        <is>
          <t>H13</t>
        </is>
      </c>
      <c r="D2044" s="4" t="inlineStr">
        <is>
          <t>=G13+H12</t>
        </is>
      </c>
      <c r="E2044" s="4" t="n">
        <v>950</v>
      </c>
      <c r="F2044" s="4" t="inlineStr">
        <is>
          <t>GOC Bed Unit-Costing Model v2 — working original.xlsx</t>
        </is>
      </c>
    </row>
    <row r="2045" ht="40" customHeight="1">
      <c r="A2045" s="4" t="inlineStr">
        <is>
          <t>original:NM Cashflow!I13</t>
        </is>
      </c>
      <c r="B2045" s="4" t="inlineStr">
        <is>
          <t>NM Cashflow</t>
        </is>
      </c>
      <c r="C2045" s="4" t="inlineStr">
        <is>
          <t>I13</t>
        </is>
      </c>
      <c r="D2045" s="4" t="inlineStr">
        <is>
          <t>=H13+I12</t>
        </is>
      </c>
      <c r="E2045" s="4" t="n">
        <v>1280</v>
      </c>
      <c r="F2045" s="4" t="inlineStr">
        <is>
          <t>GOC Bed Unit-Costing Model v2 — working original.xlsx</t>
        </is>
      </c>
    </row>
    <row r="2046" ht="40" customHeight="1">
      <c r="A2046" s="4" t="inlineStr">
        <is>
          <t>original:NM Cashflow!J13</t>
        </is>
      </c>
      <c r="B2046" s="4" t="inlineStr">
        <is>
          <t>NM Cashflow</t>
        </is>
      </c>
      <c r="C2046" s="4" t="inlineStr">
        <is>
          <t>J13</t>
        </is>
      </c>
      <c r="D2046" s="4" t="inlineStr">
        <is>
          <t>=I13+J12</t>
        </is>
      </c>
      <c r="E2046" s="4" t="n">
        <v>1710</v>
      </c>
      <c r="F2046" s="4" t="inlineStr">
        <is>
          <t>GOC Bed Unit-Costing Model v2 — working original.xlsx</t>
        </is>
      </c>
    </row>
    <row r="2047" ht="40" customHeight="1">
      <c r="A2047" s="4" t="inlineStr">
        <is>
          <t>original:NM Cashflow!K13</t>
        </is>
      </c>
      <c r="B2047" s="4" t="inlineStr">
        <is>
          <t>NM Cashflow</t>
        </is>
      </c>
      <c r="C2047" s="4" t="inlineStr">
        <is>
          <t>K13</t>
        </is>
      </c>
      <c r="D2047" s="4" t="inlineStr">
        <is>
          <t>=J13+K12</t>
        </is>
      </c>
      <c r="E2047" s="4" t="n">
        <v>2240</v>
      </c>
      <c r="F2047" s="4" t="inlineStr">
        <is>
          <t>GOC Bed Unit-Costing Model v2 — working original.xlsx</t>
        </is>
      </c>
    </row>
    <row r="2048" ht="40" customHeight="1">
      <c r="A2048" s="4" t="inlineStr">
        <is>
          <t>original:NM Cashflow!L13</t>
        </is>
      </c>
      <c r="B2048" s="4" t="inlineStr">
        <is>
          <t>NM Cashflow</t>
        </is>
      </c>
      <c r="C2048" s="4" t="inlineStr">
        <is>
          <t>L13</t>
        </is>
      </c>
      <c r="D2048" s="4" t="inlineStr">
        <is>
          <t>=K13+L12</t>
        </is>
      </c>
      <c r="E2048" s="4" t="n">
        <v>2870</v>
      </c>
      <c r="F2048" s="4" t="inlineStr">
        <is>
          <t>GOC Bed Unit-Costing Model v2 — working original.xlsx</t>
        </is>
      </c>
    </row>
    <row r="2049" ht="40" customHeight="1">
      <c r="A2049" s="4" t="inlineStr">
        <is>
          <t>original:NM Cashflow!M13</t>
        </is>
      </c>
      <c r="B2049" s="4" t="inlineStr">
        <is>
          <t>NM Cashflow</t>
        </is>
      </c>
      <c r="C2049" s="4" t="inlineStr">
        <is>
          <t>M13</t>
        </is>
      </c>
      <c r="D2049" s="4" t="inlineStr">
        <is>
          <t>=L13+M12</t>
        </is>
      </c>
      <c r="E2049" s="4" t="n">
        <v>3370</v>
      </c>
      <c r="F2049" s="4" t="inlineStr">
        <is>
          <t>GOC Bed Unit-Costing Model v2 — working original.xlsx</t>
        </is>
      </c>
    </row>
    <row r="2050" ht="40" customHeight="1">
      <c r="A2050" s="4" t="inlineStr">
        <is>
          <t>original:NM Cashflow!N13</t>
        </is>
      </c>
      <c r="B2050" s="4" t="inlineStr">
        <is>
          <t>NM Cashflow</t>
        </is>
      </c>
      <c r="C2050" s="4" t="inlineStr">
        <is>
          <t>N13</t>
        </is>
      </c>
      <c r="D2050" s="4" t="inlineStr">
        <is>
          <t>=M13+N12</t>
        </is>
      </c>
      <c r="E2050" s="4" t="n">
        <v>3870</v>
      </c>
      <c r="F2050" s="4" t="inlineStr">
        <is>
          <t>GOC Bed Unit-Costing Model v2 — working original.xlsx</t>
        </is>
      </c>
    </row>
    <row r="2051" ht="40" customHeight="1">
      <c r="A2051" s="4" t="inlineStr">
        <is>
          <t>original:NM Cashflow!O13</t>
        </is>
      </c>
      <c r="B2051" s="4" t="inlineStr">
        <is>
          <t>NM Cashflow</t>
        </is>
      </c>
      <c r="C2051" s="4" t="inlineStr">
        <is>
          <t>O13</t>
        </is>
      </c>
      <c r="D2051" s="4" t="inlineStr">
        <is>
          <t>=N13+O12</t>
        </is>
      </c>
      <c r="E2051" s="4" t="n">
        <v>4370</v>
      </c>
      <c r="F2051" s="4" t="inlineStr">
        <is>
          <t>GOC Bed Unit-Costing Model v2 — working original.xlsx</t>
        </is>
      </c>
    </row>
    <row r="2052" ht="40" customHeight="1">
      <c r="A2052" s="4" t="inlineStr">
        <is>
          <t>original:NM Cashflow!P13</t>
        </is>
      </c>
      <c r="B2052" s="4" t="inlineStr">
        <is>
          <t>NM Cashflow</t>
        </is>
      </c>
      <c r="C2052" s="4" t="inlineStr">
        <is>
          <t>P13</t>
        </is>
      </c>
      <c r="D2052" s="4" t="inlineStr">
        <is>
          <t>=O13+P12</t>
        </is>
      </c>
      <c r="E2052" s="4" t="n">
        <v>4870</v>
      </c>
      <c r="F2052" s="4" t="inlineStr">
        <is>
          <t>GOC Bed Unit-Costing Model v2 — working original.xlsx</t>
        </is>
      </c>
    </row>
    <row r="2053" ht="40" customHeight="1">
      <c r="A2053" s="4" t="inlineStr">
        <is>
          <t>original:NM Cashflow!Q13</t>
        </is>
      </c>
      <c r="B2053" s="4" t="inlineStr">
        <is>
          <t>NM Cashflow</t>
        </is>
      </c>
      <c r="C2053" s="4" t="inlineStr">
        <is>
          <t>Q13</t>
        </is>
      </c>
      <c r="D2053" s="4" t="inlineStr">
        <is>
          <t>=P13+Q12</t>
        </is>
      </c>
      <c r="E2053" s="4" t="n">
        <v>4870</v>
      </c>
      <c r="F2053" s="4" t="inlineStr">
        <is>
          <t>GOC Bed Unit-Costing Model v2 — working original.xlsx</t>
        </is>
      </c>
    </row>
    <row r="2054" ht="40" customHeight="1">
      <c r="A2054" s="4" t="inlineStr">
        <is>
          <t>original:NM Cashflow!R13</t>
        </is>
      </c>
      <c r="B2054" s="4" t="inlineStr">
        <is>
          <t>NM Cashflow</t>
        </is>
      </c>
      <c r="C2054" s="4" t="inlineStr">
        <is>
          <t>R13</t>
        </is>
      </c>
      <c r="D2054" s="4" t="inlineStr">
        <is>
          <t>=Q13+R12</t>
        </is>
      </c>
      <c r="E2054" s="4" t="n">
        <v>4870</v>
      </c>
      <c r="F2054" s="4" t="inlineStr">
        <is>
          <t>GOC Bed Unit-Costing Model v2 — working original.xlsx</t>
        </is>
      </c>
    </row>
    <row r="2055" ht="40" customHeight="1">
      <c r="A2055" s="4" t="inlineStr">
        <is>
          <t>original:NM Cashflow!S13</t>
        </is>
      </c>
      <c r="B2055" s="4" t="inlineStr">
        <is>
          <t>NM Cashflow</t>
        </is>
      </c>
      <c r="C2055" s="4" t="inlineStr">
        <is>
          <t>S13</t>
        </is>
      </c>
      <c r="D2055" s="4" t="inlineStr">
        <is>
          <t>=R13+S12</t>
        </is>
      </c>
      <c r="E2055" s="4" t="n">
        <v>5370</v>
      </c>
      <c r="F2055" s="4" t="inlineStr">
        <is>
          <t>GOC Bed Unit-Costing Model v2 — working original.xlsx</t>
        </is>
      </c>
    </row>
    <row r="2056" ht="40" customHeight="1">
      <c r="A2056" s="4" t="inlineStr">
        <is>
          <t>original:NM Cashflow!T13</t>
        </is>
      </c>
      <c r="B2056" s="4" t="inlineStr">
        <is>
          <t>NM Cashflow</t>
        </is>
      </c>
      <c r="C2056" s="4" t="inlineStr">
        <is>
          <t>T13</t>
        </is>
      </c>
      <c r="D2056" s="4" t="inlineStr">
        <is>
          <t>=S13+T12</t>
        </is>
      </c>
      <c r="E2056" s="4" t="n">
        <v>5870</v>
      </c>
      <c r="F2056" s="4" t="inlineStr">
        <is>
          <t>GOC Bed Unit-Costing Model v2 — working original.xlsx</t>
        </is>
      </c>
    </row>
    <row r="2057" ht="40" customHeight="1">
      <c r="A2057" s="4" t="inlineStr">
        <is>
          <t>original:NM Cashflow!U13</t>
        </is>
      </c>
      <c r="B2057" s="4" t="inlineStr">
        <is>
          <t>NM Cashflow</t>
        </is>
      </c>
      <c r="C2057" s="4" t="inlineStr">
        <is>
          <t>U13</t>
        </is>
      </c>
      <c r="D2057" s="4" t="inlineStr">
        <is>
          <t>=T13+U12</t>
        </is>
      </c>
      <c r="E2057" s="4" t="n">
        <v>6370</v>
      </c>
      <c r="F2057" s="4" t="inlineStr">
        <is>
          <t>GOC Bed Unit-Costing Model v2 — working original.xlsx</t>
        </is>
      </c>
    </row>
    <row r="2058" ht="40" customHeight="1">
      <c r="A2058" s="4" t="inlineStr">
        <is>
          <t>original:NM Cashflow!V13</t>
        </is>
      </c>
      <c r="B2058" s="4" t="inlineStr">
        <is>
          <t>NM Cashflow</t>
        </is>
      </c>
      <c r="C2058" s="4" t="inlineStr">
        <is>
          <t>V13</t>
        </is>
      </c>
      <c r="D2058" s="4" t="inlineStr">
        <is>
          <t>=U13+V12</t>
        </is>
      </c>
      <c r="E2058" s="4" t="n">
        <v>6870</v>
      </c>
      <c r="F2058" s="4" t="inlineStr">
        <is>
          <t>GOC Bed Unit-Costing Model v2 — working original.xlsx</t>
        </is>
      </c>
    </row>
    <row r="2059" ht="40" customHeight="1">
      <c r="A2059" s="4" t="inlineStr">
        <is>
          <t>original:NM Cashflow!W13</t>
        </is>
      </c>
      <c r="B2059" s="4" t="inlineStr">
        <is>
          <t>NM Cashflow</t>
        </is>
      </c>
      <c r="C2059" s="4" t="inlineStr">
        <is>
          <t>W13</t>
        </is>
      </c>
      <c r="D2059" s="4" t="inlineStr">
        <is>
          <t>=V13+W12</t>
        </is>
      </c>
      <c r="E2059" s="4" t="n">
        <v>7370</v>
      </c>
      <c r="F2059" s="4" t="inlineStr">
        <is>
          <t>GOC Bed Unit-Costing Model v2 — working original.xlsx</t>
        </is>
      </c>
    </row>
    <row r="2060" ht="40" customHeight="1">
      <c r="A2060" s="4" t="inlineStr">
        <is>
          <t>original:NM Cashflow!X13</t>
        </is>
      </c>
      <c r="B2060" s="4" t="inlineStr">
        <is>
          <t>NM Cashflow</t>
        </is>
      </c>
      <c r="C2060" s="4" t="inlineStr">
        <is>
          <t>X13</t>
        </is>
      </c>
      <c r="D2060" s="4" t="inlineStr">
        <is>
          <t>=W13+X12</t>
        </is>
      </c>
      <c r="E2060" s="4" t="n">
        <v>7870</v>
      </c>
      <c r="F2060" s="4" t="inlineStr">
        <is>
          <t>GOC Bed Unit-Costing Model v2 — working original.xlsx</t>
        </is>
      </c>
    </row>
    <row r="2061" ht="40" customHeight="1">
      <c r="A2061" s="4" t="inlineStr">
        <is>
          <t>original:NM Cashflow!Y13</t>
        </is>
      </c>
      <c r="B2061" s="4" t="inlineStr">
        <is>
          <t>NM Cashflow</t>
        </is>
      </c>
      <c r="C2061" s="4" t="inlineStr">
        <is>
          <t>Y13</t>
        </is>
      </c>
      <c r="D2061" s="4" t="inlineStr">
        <is>
          <t>=X13+Y12</t>
        </is>
      </c>
      <c r="E2061" s="4" t="n">
        <v>7870</v>
      </c>
      <c r="F2061" s="4" t="inlineStr">
        <is>
          <t>GOC Bed Unit-Costing Model v2 — working original.xlsx</t>
        </is>
      </c>
    </row>
    <row r="2062" ht="40" customHeight="1">
      <c r="A2062" s="4" t="inlineStr">
        <is>
          <t>original:NM Cashflow!Z13</t>
        </is>
      </c>
      <c r="B2062" s="4" t="inlineStr">
        <is>
          <t>NM Cashflow</t>
        </is>
      </c>
      <c r="C2062" s="4" t="inlineStr">
        <is>
          <t>Z13</t>
        </is>
      </c>
      <c r="D2062" s="4" t="inlineStr">
        <is>
          <t>=Y13+Z12</t>
        </is>
      </c>
      <c r="E2062" s="4" t="n">
        <v>7870</v>
      </c>
      <c r="F2062" s="4" t="inlineStr">
        <is>
          <t>GOC Bed Unit-Costing Model v2 — working original.xlsx</t>
        </is>
      </c>
    </row>
    <row r="2063" ht="40" customHeight="1">
      <c r="A2063" s="4" t="inlineStr">
        <is>
          <t>original:NM Cashflow!A15</t>
        </is>
      </c>
      <c r="B2063" s="4" t="inlineStr">
        <is>
          <t>NM Cashflow</t>
        </is>
      </c>
      <c r="C2063" s="4" t="inlineStr">
        <is>
          <t>A15</t>
        </is>
      </c>
      <c r="D2063" s="4" t="inlineStr">
        <is>
          <t>$ Bed Revenue</t>
        </is>
      </c>
      <c r="E2063" s="4" t="inlineStr">
        <is>
          <t>$ Bed Revenue</t>
        </is>
      </c>
      <c r="F2063" s="4" t="inlineStr">
        <is>
          <t>GOC Bed Unit-Costing Model v2 — working original.xlsx</t>
        </is>
      </c>
    </row>
    <row r="2064" ht="40" customHeight="1">
      <c r="A2064" s="4" t="inlineStr">
        <is>
          <t>original:NM Cashflow!B15</t>
        </is>
      </c>
      <c r="B2064" s="4" t="inlineStr">
        <is>
          <t>NM Cashflow</t>
        </is>
      </c>
      <c r="C2064" s="4" t="inlineStr">
        <is>
          <t>B15</t>
        </is>
      </c>
      <c r="D2064" s="4" t="inlineStr">
        <is>
          <t>=B13*750</t>
        </is>
      </c>
      <c r="E2064" s="4" t="n">
        <v>97500</v>
      </c>
      <c r="F2064" s="4" t="inlineStr">
        <is>
          <t>GOC Bed Unit-Costing Model v2 — working original.xlsx</t>
        </is>
      </c>
    </row>
    <row r="2065" ht="40" customHeight="1">
      <c r="A2065" s="4" t="inlineStr">
        <is>
          <t>original:NM Cashflow!C15</t>
        </is>
      </c>
      <c r="B2065" s="4" t="inlineStr">
        <is>
          <t>NM Cashflow</t>
        </is>
      </c>
      <c r="C2065" s="4" t="inlineStr">
        <is>
          <t>C15</t>
        </is>
      </c>
      <c r="D2065" s="4" t="inlineStr">
        <is>
          <t>=C13*750</t>
        </is>
      </c>
      <c r="E2065" s="4" t="n">
        <v>195000</v>
      </c>
      <c r="F2065" s="4" t="inlineStr">
        <is>
          <t>GOC Bed Unit-Costing Model v2 — working original.xlsx</t>
        </is>
      </c>
    </row>
    <row r="2066" ht="40" customHeight="1">
      <c r="A2066" s="4" t="inlineStr">
        <is>
          <t>original:NM Cashflow!D15</t>
        </is>
      </c>
      <c r="B2066" s="4" t="inlineStr">
        <is>
          <t>NM Cashflow</t>
        </is>
      </c>
      <c r="C2066" s="4" t="inlineStr">
        <is>
          <t>D15</t>
        </is>
      </c>
      <c r="D2066" s="4" t="inlineStr">
        <is>
          <t>=D13*750</t>
        </is>
      </c>
      <c r="E2066" s="4" t="n">
        <v>367500</v>
      </c>
      <c r="F2066" s="4" t="inlineStr">
        <is>
          <t>GOC Bed Unit-Costing Model v2 — working original.xlsx</t>
        </is>
      </c>
    </row>
    <row r="2067" ht="40" customHeight="1">
      <c r="A2067" s="4" t="inlineStr">
        <is>
          <t>original:NM Cashflow!E15</t>
        </is>
      </c>
      <c r="B2067" s="4" t="inlineStr">
        <is>
          <t>NM Cashflow</t>
        </is>
      </c>
      <c r="C2067" s="4" t="inlineStr">
        <is>
          <t>E15</t>
        </is>
      </c>
      <c r="D2067" s="4" t="inlineStr">
        <is>
          <t>=E13*750</t>
        </is>
      </c>
      <c r="E2067" s="4" t="n">
        <v>367500</v>
      </c>
      <c r="F2067" s="4" t="inlineStr">
        <is>
          <t>GOC Bed Unit-Costing Model v2 — working original.xlsx</t>
        </is>
      </c>
    </row>
    <row r="2068" ht="40" customHeight="1">
      <c r="A2068" s="4" t="inlineStr">
        <is>
          <t>original:NM Cashflow!F15</t>
        </is>
      </c>
      <c r="B2068" s="4" t="inlineStr">
        <is>
          <t>NM Cashflow</t>
        </is>
      </c>
      <c r="C2068" s="4" t="inlineStr">
        <is>
          <t>F15</t>
        </is>
      </c>
      <c r="D2068" s="4" t="inlineStr">
        <is>
          <t>=F13*750</t>
        </is>
      </c>
      <c r="E2068" s="4" t="n">
        <v>367500</v>
      </c>
      <c r="F2068" s="4" t="inlineStr">
        <is>
          <t>GOC Bed Unit-Costing Model v2 — working original.xlsx</t>
        </is>
      </c>
    </row>
    <row r="2069" ht="40" customHeight="1">
      <c r="A2069" s="4" t="inlineStr">
        <is>
          <t>original:NM Cashflow!G15</t>
        </is>
      </c>
      <c r="B2069" s="4" t="inlineStr">
        <is>
          <t>NM Cashflow</t>
        </is>
      </c>
      <c r="C2069" s="4" t="inlineStr">
        <is>
          <t>G15</t>
        </is>
      </c>
      <c r="D2069" s="4" t="inlineStr">
        <is>
          <t>=G13*750</t>
        </is>
      </c>
      <c r="E2069" s="4" t="n">
        <v>540000</v>
      </c>
      <c r="F2069" s="4" t="inlineStr">
        <is>
          <t>GOC Bed Unit-Costing Model v2 — working original.xlsx</t>
        </is>
      </c>
    </row>
    <row r="2070" ht="40" customHeight="1">
      <c r="A2070" s="4" t="inlineStr">
        <is>
          <t>original:NM Cashflow!H15</t>
        </is>
      </c>
      <c r="B2070" s="4" t="inlineStr">
        <is>
          <t>NM Cashflow</t>
        </is>
      </c>
      <c r="C2070" s="4" t="inlineStr">
        <is>
          <t>H15</t>
        </is>
      </c>
      <c r="D2070" s="4" t="inlineStr">
        <is>
          <t>=H13*750</t>
        </is>
      </c>
      <c r="E2070" s="4" t="n">
        <v>712500</v>
      </c>
      <c r="F2070" s="4" t="inlineStr">
        <is>
          <t>GOC Bed Unit-Costing Model v2 — working original.xlsx</t>
        </is>
      </c>
    </row>
    <row r="2071" ht="40" customHeight="1">
      <c r="A2071" s="4" t="inlineStr">
        <is>
          <t>original:NM Cashflow!I15</t>
        </is>
      </c>
      <c r="B2071" s="4" t="inlineStr">
        <is>
          <t>NM Cashflow</t>
        </is>
      </c>
      <c r="C2071" s="4" t="inlineStr">
        <is>
          <t>I15</t>
        </is>
      </c>
      <c r="D2071" s="4" t="inlineStr">
        <is>
          <t>=I13*750</t>
        </is>
      </c>
      <c r="E2071" s="4" t="n">
        <v>960000</v>
      </c>
      <c r="F2071" s="4" t="inlineStr">
        <is>
          <t>GOC Bed Unit-Costing Model v2 — working original.xlsx</t>
        </is>
      </c>
    </row>
    <row r="2072" ht="40" customHeight="1">
      <c r="A2072" s="4" t="inlineStr">
        <is>
          <t>original:NM Cashflow!J15</t>
        </is>
      </c>
      <c r="B2072" s="4" t="inlineStr">
        <is>
          <t>NM Cashflow</t>
        </is>
      </c>
      <c r="C2072" s="4" t="inlineStr">
        <is>
          <t>J15</t>
        </is>
      </c>
      <c r="D2072" s="4" t="inlineStr">
        <is>
          <t>=J13*750</t>
        </is>
      </c>
      <c r="E2072" s="4" t="n">
        <v>1282500</v>
      </c>
      <c r="F2072" s="4" t="inlineStr">
        <is>
          <t>GOC Bed Unit-Costing Model v2 — working original.xlsx</t>
        </is>
      </c>
    </row>
    <row r="2073" ht="40" customHeight="1">
      <c r="A2073" s="4" t="inlineStr">
        <is>
          <t>original:NM Cashflow!K15</t>
        </is>
      </c>
      <c r="B2073" s="4" t="inlineStr">
        <is>
          <t>NM Cashflow</t>
        </is>
      </c>
      <c r="C2073" s="4" t="inlineStr">
        <is>
          <t>K15</t>
        </is>
      </c>
      <c r="D2073" s="4" t="inlineStr">
        <is>
          <t>=K13*750</t>
        </is>
      </c>
      <c r="E2073" s="4" t="n">
        <v>1680000</v>
      </c>
      <c r="F2073" s="4" t="inlineStr">
        <is>
          <t>GOC Bed Unit-Costing Model v2 — working original.xlsx</t>
        </is>
      </c>
    </row>
    <row r="2074" ht="40" customHeight="1">
      <c r="A2074" s="4" t="inlineStr">
        <is>
          <t>original:NM Cashflow!L15</t>
        </is>
      </c>
      <c r="B2074" s="4" t="inlineStr">
        <is>
          <t>NM Cashflow</t>
        </is>
      </c>
      <c r="C2074" s="4" t="inlineStr">
        <is>
          <t>L15</t>
        </is>
      </c>
      <c r="D2074" s="4" t="inlineStr">
        <is>
          <t>=L13*750</t>
        </is>
      </c>
      <c r="E2074" s="4" t="n">
        <v>2152500</v>
      </c>
      <c r="F2074" s="4" t="inlineStr">
        <is>
          <t>GOC Bed Unit-Costing Model v2 — working original.xlsx</t>
        </is>
      </c>
    </row>
    <row r="2075" ht="40" customHeight="1">
      <c r="A2075" s="4" t="inlineStr">
        <is>
          <t>original:NM Cashflow!M15</t>
        </is>
      </c>
      <c r="B2075" s="4" t="inlineStr">
        <is>
          <t>NM Cashflow</t>
        </is>
      </c>
      <c r="C2075" s="4" t="inlineStr">
        <is>
          <t>M15</t>
        </is>
      </c>
      <c r="D2075" s="4" t="inlineStr">
        <is>
          <t>=M13*750</t>
        </is>
      </c>
      <c r="E2075" s="4" t="n">
        <v>2527500</v>
      </c>
      <c r="F2075" s="4" t="inlineStr">
        <is>
          <t>GOC Bed Unit-Costing Model v2 — working original.xlsx</t>
        </is>
      </c>
    </row>
    <row r="2076" ht="40" customHeight="1">
      <c r="A2076" s="4" t="inlineStr">
        <is>
          <t>original:NM Cashflow!N15</t>
        </is>
      </c>
      <c r="B2076" s="4" t="inlineStr">
        <is>
          <t>NM Cashflow</t>
        </is>
      </c>
      <c r="C2076" s="4" t="inlineStr">
        <is>
          <t>N15</t>
        </is>
      </c>
      <c r="D2076" s="4" t="inlineStr">
        <is>
          <t>=N13*750</t>
        </is>
      </c>
      <c r="E2076" s="4" t="n">
        <v>2902500</v>
      </c>
      <c r="F2076" s="4" t="inlineStr">
        <is>
          <t>GOC Bed Unit-Costing Model v2 — working original.xlsx</t>
        </is>
      </c>
    </row>
    <row r="2077" ht="40" customHeight="1">
      <c r="A2077" s="4" t="inlineStr">
        <is>
          <t>original:NM Cashflow!O15</t>
        </is>
      </c>
      <c r="B2077" s="4" t="inlineStr">
        <is>
          <t>NM Cashflow</t>
        </is>
      </c>
      <c r="C2077" s="4" t="inlineStr">
        <is>
          <t>O15</t>
        </is>
      </c>
      <c r="D2077" s="4" t="inlineStr">
        <is>
          <t>=O13*750</t>
        </is>
      </c>
      <c r="E2077" s="4" t="n">
        <v>3277500</v>
      </c>
      <c r="F2077" s="4" t="inlineStr">
        <is>
          <t>GOC Bed Unit-Costing Model v2 — working original.xlsx</t>
        </is>
      </c>
    </row>
    <row r="2078" ht="40" customHeight="1">
      <c r="A2078" s="4" t="inlineStr">
        <is>
          <t>original:NM Cashflow!P15</t>
        </is>
      </c>
      <c r="B2078" s="4" t="inlineStr">
        <is>
          <t>NM Cashflow</t>
        </is>
      </c>
      <c r="C2078" s="4" t="inlineStr">
        <is>
          <t>P15</t>
        </is>
      </c>
      <c r="D2078" s="4" t="inlineStr">
        <is>
          <t>=P13*750</t>
        </is>
      </c>
      <c r="E2078" s="4" t="n">
        <v>3652500</v>
      </c>
      <c r="F2078" s="4" t="inlineStr">
        <is>
          <t>GOC Bed Unit-Costing Model v2 — working original.xlsx</t>
        </is>
      </c>
    </row>
    <row r="2079" ht="40" customHeight="1">
      <c r="A2079" s="4" t="inlineStr">
        <is>
          <t>original:NM Cashflow!Q15</t>
        </is>
      </c>
      <c r="B2079" s="4" t="inlineStr">
        <is>
          <t>NM Cashflow</t>
        </is>
      </c>
      <c r="C2079" s="4" t="inlineStr">
        <is>
          <t>Q15</t>
        </is>
      </c>
      <c r="D2079" s="4" t="inlineStr">
        <is>
          <t>=Q13*750</t>
        </is>
      </c>
      <c r="E2079" s="4" t="n">
        <v>3652500</v>
      </c>
      <c r="F2079" s="4" t="inlineStr">
        <is>
          <t>GOC Bed Unit-Costing Model v2 — working original.xlsx</t>
        </is>
      </c>
    </row>
    <row r="2080" ht="40" customHeight="1">
      <c r="A2080" s="4" t="inlineStr">
        <is>
          <t>original:NM Cashflow!R15</t>
        </is>
      </c>
      <c r="B2080" s="4" t="inlineStr">
        <is>
          <t>NM Cashflow</t>
        </is>
      </c>
      <c r="C2080" s="4" t="inlineStr">
        <is>
          <t>R15</t>
        </is>
      </c>
      <c r="D2080" s="4" t="inlineStr">
        <is>
          <t>=R13*750</t>
        </is>
      </c>
      <c r="E2080" s="4" t="n">
        <v>3652500</v>
      </c>
      <c r="F2080" s="4" t="inlineStr">
        <is>
          <t>GOC Bed Unit-Costing Model v2 — working original.xlsx</t>
        </is>
      </c>
    </row>
    <row r="2081" ht="40" customHeight="1">
      <c r="A2081" s="4" t="inlineStr">
        <is>
          <t>original:NM Cashflow!S15</t>
        </is>
      </c>
      <c r="B2081" s="4" t="inlineStr">
        <is>
          <t>NM Cashflow</t>
        </is>
      </c>
      <c r="C2081" s="4" t="inlineStr">
        <is>
          <t>S15</t>
        </is>
      </c>
      <c r="D2081" s="4" t="inlineStr">
        <is>
          <t>=S13*750</t>
        </is>
      </c>
      <c r="E2081" s="4" t="n">
        <v>4027500</v>
      </c>
      <c r="F2081" s="4" t="inlineStr">
        <is>
          <t>GOC Bed Unit-Costing Model v2 — working original.xlsx</t>
        </is>
      </c>
    </row>
    <row r="2082" ht="40" customHeight="1">
      <c r="A2082" s="4" t="inlineStr">
        <is>
          <t>original:NM Cashflow!T15</t>
        </is>
      </c>
      <c r="B2082" s="4" t="inlineStr">
        <is>
          <t>NM Cashflow</t>
        </is>
      </c>
      <c r="C2082" s="4" t="inlineStr">
        <is>
          <t>T15</t>
        </is>
      </c>
      <c r="D2082" s="4" t="inlineStr">
        <is>
          <t>=T13*750</t>
        </is>
      </c>
      <c r="E2082" s="4" t="n">
        <v>4402500</v>
      </c>
      <c r="F2082" s="4" t="inlineStr">
        <is>
          <t>GOC Bed Unit-Costing Model v2 — working original.xlsx</t>
        </is>
      </c>
    </row>
    <row r="2083" ht="40" customHeight="1">
      <c r="A2083" s="4" t="inlineStr">
        <is>
          <t>original:NM Cashflow!U15</t>
        </is>
      </c>
      <c r="B2083" s="4" t="inlineStr">
        <is>
          <t>NM Cashflow</t>
        </is>
      </c>
      <c r="C2083" s="4" t="inlineStr">
        <is>
          <t>U15</t>
        </is>
      </c>
      <c r="D2083" s="4" t="inlineStr">
        <is>
          <t>=U13*750</t>
        </is>
      </c>
      <c r="E2083" s="4" t="n">
        <v>4777500</v>
      </c>
      <c r="F2083" s="4" t="inlineStr">
        <is>
          <t>GOC Bed Unit-Costing Model v2 — working original.xlsx</t>
        </is>
      </c>
    </row>
    <row r="2084" ht="40" customHeight="1">
      <c r="A2084" s="4" t="inlineStr">
        <is>
          <t>original:NM Cashflow!V15</t>
        </is>
      </c>
      <c r="B2084" s="4" t="inlineStr">
        <is>
          <t>NM Cashflow</t>
        </is>
      </c>
      <c r="C2084" s="4" t="inlineStr">
        <is>
          <t>V15</t>
        </is>
      </c>
      <c r="D2084" s="4" t="inlineStr">
        <is>
          <t>=V13*750</t>
        </is>
      </c>
      <c r="E2084" s="4" t="n">
        <v>5152500</v>
      </c>
      <c r="F2084" s="4" t="inlineStr">
        <is>
          <t>GOC Bed Unit-Costing Model v2 — working original.xlsx</t>
        </is>
      </c>
    </row>
    <row r="2085" ht="40" customHeight="1">
      <c r="A2085" s="4" t="inlineStr">
        <is>
          <t>original:NM Cashflow!W15</t>
        </is>
      </c>
      <c r="B2085" s="4" t="inlineStr">
        <is>
          <t>NM Cashflow</t>
        </is>
      </c>
      <c r="C2085" s="4" t="inlineStr">
        <is>
          <t>W15</t>
        </is>
      </c>
      <c r="D2085" s="4" t="inlineStr">
        <is>
          <t>=W13*750</t>
        </is>
      </c>
      <c r="E2085" s="4" t="n">
        <v>5527500</v>
      </c>
      <c r="F2085" s="4" t="inlineStr">
        <is>
          <t>GOC Bed Unit-Costing Model v2 — working original.xlsx</t>
        </is>
      </c>
    </row>
    <row r="2086" ht="40" customHeight="1">
      <c r="A2086" s="4" t="inlineStr">
        <is>
          <t>original:NM Cashflow!X15</t>
        </is>
      </c>
      <c r="B2086" s="4" t="inlineStr">
        <is>
          <t>NM Cashflow</t>
        </is>
      </c>
      <c r="C2086" s="4" t="inlineStr">
        <is>
          <t>X15</t>
        </is>
      </c>
      <c r="D2086" s="4" t="inlineStr">
        <is>
          <t>=X13*750</t>
        </is>
      </c>
      <c r="E2086" s="4" t="n">
        <v>5902500</v>
      </c>
      <c r="F2086" s="4" t="inlineStr">
        <is>
          <t>GOC Bed Unit-Costing Model v2 — working original.xlsx</t>
        </is>
      </c>
    </row>
    <row r="2087" ht="40" customHeight="1">
      <c r="A2087" s="4" t="inlineStr">
        <is>
          <t>original:NM Cashflow!Y15</t>
        </is>
      </c>
      <c r="B2087" s="4" t="inlineStr">
        <is>
          <t>NM Cashflow</t>
        </is>
      </c>
      <c r="C2087" s="4" t="inlineStr">
        <is>
          <t>Y15</t>
        </is>
      </c>
      <c r="D2087" s="4" t="inlineStr">
        <is>
          <t>=Y13*750</t>
        </is>
      </c>
      <c r="E2087" s="4" t="n">
        <v>5902500</v>
      </c>
      <c r="F2087" s="4" t="inlineStr">
        <is>
          <t>GOC Bed Unit-Costing Model v2 — working original.xlsx</t>
        </is>
      </c>
    </row>
    <row r="2088" ht="40" customHeight="1">
      <c r="A2088" s="4" t="inlineStr">
        <is>
          <t>original:NM Cashflow!Z15</t>
        </is>
      </c>
      <c r="B2088" s="4" t="inlineStr">
        <is>
          <t>NM Cashflow</t>
        </is>
      </c>
      <c r="C2088" s="4" t="inlineStr">
        <is>
          <t>Z15</t>
        </is>
      </c>
      <c r="D2088" s="4" t="inlineStr">
        <is>
          <t>=Z13*750</t>
        </is>
      </c>
      <c r="E2088" s="4" t="n">
        <v>5902500</v>
      </c>
      <c r="F2088" s="4" t="inlineStr">
        <is>
          <t>GOC Bed Unit-Costing Model v2 — working original.xlsx</t>
        </is>
      </c>
    </row>
    <row r="2089" ht="40" customHeight="1">
      <c r="A2089" s="4" t="inlineStr">
        <is>
          <t>original:NM Cashflow!A16</t>
        </is>
      </c>
      <c r="B2089" s="4" t="inlineStr">
        <is>
          <t>NM Cashflow</t>
        </is>
      </c>
      <c r="C2089" s="4" t="inlineStr">
        <is>
          <t>A16</t>
        </is>
      </c>
      <c r="D2089" s="4" t="inlineStr">
        <is>
          <t>Bed Profit $200</t>
        </is>
      </c>
      <c r="E2089" s="4" t="inlineStr">
        <is>
          <t>Bed Profit $200</t>
        </is>
      </c>
      <c r="F2089" s="4" t="inlineStr">
        <is>
          <t>GOC Bed Unit-Costing Model v2 — working original.xlsx</t>
        </is>
      </c>
    </row>
    <row r="2090" ht="40" customHeight="1">
      <c r="A2090" s="4" t="inlineStr">
        <is>
          <t>original:NM Cashflow!B16</t>
        </is>
      </c>
      <c r="B2090" s="4" t="inlineStr">
        <is>
          <t>NM Cashflow</t>
        </is>
      </c>
      <c r="C2090" s="4" t="inlineStr">
        <is>
          <t>B16</t>
        </is>
      </c>
      <c r="D2090" s="4" t="inlineStr">
        <is>
          <t>=B13*200</t>
        </is>
      </c>
      <c r="E2090" s="4" t="n">
        <v>26000</v>
      </c>
      <c r="F2090" s="4" t="inlineStr">
        <is>
          <t>GOC Bed Unit-Costing Model v2 — working original.xlsx</t>
        </is>
      </c>
    </row>
    <row r="2091" ht="40" customHeight="1">
      <c r="A2091" s="4" t="inlineStr">
        <is>
          <t>original:NM Cashflow!C16</t>
        </is>
      </c>
      <c r="B2091" s="4" t="inlineStr">
        <is>
          <t>NM Cashflow</t>
        </is>
      </c>
      <c r="C2091" s="4" t="inlineStr">
        <is>
          <t>C16</t>
        </is>
      </c>
      <c r="D2091" s="4" t="inlineStr">
        <is>
          <t>=C13*200</t>
        </is>
      </c>
      <c r="E2091" s="4" t="n">
        <v>52000</v>
      </c>
      <c r="F2091" s="4" t="inlineStr">
        <is>
          <t>GOC Bed Unit-Costing Model v2 — working original.xlsx</t>
        </is>
      </c>
    </row>
    <row r="2092" ht="40" customHeight="1">
      <c r="A2092" s="4" t="inlineStr">
        <is>
          <t>original:NM Cashflow!D16</t>
        </is>
      </c>
      <c r="B2092" s="4" t="inlineStr">
        <is>
          <t>NM Cashflow</t>
        </is>
      </c>
      <c r="C2092" s="4" t="inlineStr">
        <is>
          <t>D16</t>
        </is>
      </c>
      <c r="D2092" s="4" t="inlineStr">
        <is>
          <t>=D13*200</t>
        </is>
      </c>
      <c r="E2092" s="4" t="n">
        <v>98000</v>
      </c>
      <c r="F2092" s="4" t="inlineStr">
        <is>
          <t>GOC Bed Unit-Costing Model v2 — working original.xlsx</t>
        </is>
      </c>
    </row>
    <row r="2093" ht="40" customHeight="1">
      <c r="A2093" s="4" t="inlineStr">
        <is>
          <t>original:NM Cashflow!E16</t>
        </is>
      </c>
      <c r="B2093" s="4" t="inlineStr">
        <is>
          <t>NM Cashflow</t>
        </is>
      </c>
      <c r="C2093" s="4" t="inlineStr">
        <is>
          <t>E16</t>
        </is>
      </c>
      <c r="D2093" s="4" t="inlineStr">
        <is>
          <t>=E13*200</t>
        </is>
      </c>
      <c r="E2093" s="4" t="n">
        <v>98000</v>
      </c>
      <c r="F2093" s="4" t="inlineStr">
        <is>
          <t>GOC Bed Unit-Costing Model v2 — working original.xlsx</t>
        </is>
      </c>
    </row>
    <row r="2094" ht="40" customHeight="1">
      <c r="A2094" s="4" t="inlineStr">
        <is>
          <t>original:NM Cashflow!F16</t>
        </is>
      </c>
      <c r="B2094" s="4" t="inlineStr">
        <is>
          <t>NM Cashflow</t>
        </is>
      </c>
      <c r="C2094" s="4" t="inlineStr">
        <is>
          <t>F16</t>
        </is>
      </c>
      <c r="D2094" s="4" t="inlineStr">
        <is>
          <t>=F13*200</t>
        </is>
      </c>
      <c r="E2094" s="4" t="n">
        <v>98000</v>
      </c>
      <c r="F2094" s="4" t="inlineStr">
        <is>
          <t>GOC Bed Unit-Costing Model v2 — working original.xlsx</t>
        </is>
      </c>
    </row>
    <row r="2095" ht="40" customHeight="1">
      <c r="A2095" s="4" t="inlineStr">
        <is>
          <t>original:NM Cashflow!G16</t>
        </is>
      </c>
      <c r="B2095" s="4" t="inlineStr">
        <is>
          <t>NM Cashflow</t>
        </is>
      </c>
      <c r="C2095" s="4" t="inlineStr">
        <is>
          <t>G16</t>
        </is>
      </c>
      <c r="D2095" s="4" t="inlineStr">
        <is>
          <t>=G13*200</t>
        </is>
      </c>
      <c r="E2095" s="4" t="n">
        <v>144000</v>
      </c>
      <c r="F2095" s="4" t="inlineStr">
        <is>
          <t>GOC Bed Unit-Costing Model v2 — working original.xlsx</t>
        </is>
      </c>
    </row>
    <row r="2096" ht="40" customHeight="1">
      <c r="A2096" s="4" t="inlineStr">
        <is>
          <t>original:NM Cashflow!H16</t>
        </is>
      </c>
      <c r="B2096" s="4" t="inlineStr">
        <is>
          <t>NM Cashflow</t>
        </is>
      </c>
      <c r="C2096" s="4" t="inlineStr">
        <is>
          <t>H16</t>
        </is>
      </c>
      <c r="D2096" s="4" t="inlineStr">
        <is>
          <t>=H13*200</t>
        </is>
      </c>
      <c r="E2096" s="4" t="n">
        <v>190000</v>
      </c>
      <c r="F2096" s="4" t="inlineStr">
        <is>
          <t>GOC Bed Unit-Costing Model v2 — working original.xlsx</t>
        </is>
      </c>
    </row>
    <row r="2097" ht="40" customHeight="1">
      <c r="A2097" s="4" t="inlineStr">
        <is>
          <t>original:NM Cashflow!I16</t>
        </is>
      </c>
      <c r="B2097" s="4" t="inlineStr">
        <is>
          <t>NM Cashflow</t>
        </is>
      </c>
      <c r="C2097" s="4" t="inlineStr">
        <is>
          <t>I16</t>
        </is>
      </c>
      <c r="D2097" s="4" t="inlineStr">
        <is>
          <t>=I13*200</t>
        </is>
      </c>
      <c r="E2097" s="4" t="n">
        <v>256000</v>
      </c>
      <c r="F2097" s="4" t="inlineStr">
        <is>
          <t>GOC Bed Unit-Costing Model v2 — working original.xlsx</t>
        </is>
      </c>
    </row>
    <row r="2098" ht="40" customHeight="1">
      <c r="A2098" s="4" t="inlineStr">
        <is>
          <t>original:NM Cashflow!J16</t>
        </is>
      </c>
      <c r="B2098" s="4" t="inlineStr">
        <is>
          <t>NM Cashflow</t>
        </is>
      </c>
      <c r="C2098" s="4" t="inlineStr">
        <is>
          <t>J16</t>
        </is>
      </c>
      <c r="D2098" s="4" t="inlineStr">
        <is>
          <t>=J13*200</t>
        </is>
      </c>
      <c r="E2098" s="4" t="n">
        <v>342000</v>
      </c>
      <c r="F2098" s="4" t="inlineStr">
        <is>
          <t>GOC Bed Unit-Costing Model v2 — working original.xlsx</t>
        </is>
      </c>
    </row>
    <row r="2099" ht="40" customHeight="1">
      <c r="A2099" s="4" t="inlineStr">
        <is>
          <t>original:NM Cashflow!K16</t>
        </is>
      </c>
      <c r="B2099" s="4" t="inlineStr">
        <is>
          <t>NM Cashflow</t>
        </is>
      </c>
      <c r="C2099" s="4" t="inlineStr">
        <is>
          <t>K16</t>
        </is>
      </c>
      <c r="D2099" s="4" t="inlineStr">
        <is>
          <t>=K13*200</t>
        </is>
      </c>
      <c r="E2099" s="4" t="n">
        <v>448000</v>
      </c>
      <c r="F2099" s="4" t="inlineStr">
        <is>
          <t>GOC Bed Unit-Costing Model v2 — working original.xlsx</t>
        </is>
      </c>
    </row>
    <row r="2100" ht="40" customHeight="1">
      <c r="A2100" s="4" t="inlineStr">
        <is>
          <t>original:NM Cashflow!L16</t>
        </is>
      </c>
      <c r="B2100" s="4" t="inlineStr">
        <is>
          <t>NM Cashflow</t>
        </is>
      </c>
      <c r="C2100" s="4" t="inlineStr">
        <is>
          <t>L16</t>
        </is>
      </c>
      <c r="D2100" s="4" t="inlineStr">
        <is>
          <t>=L13*200</t>
        </is>
      </c>
      <c r="E2100" s="4" t="n">
        <v>574000</v>
      </c>
      <c r="F2100" s="4" t="inlineStr">
        <is>
          <t>GOC Bed Unit-Costing Model v2 — working original.xlsx</t>
        </is>
      </c>
    </row>
    <row r="2101" ht="40" customHeight="1">
      <c r="A2101" s="4" t="inlineStr">
        <is>
          <t>original:NM Cashflow!M16</t>
        </is>
      </c>
      <c r="B2101" s="4" t="inlineStr">
        <is>
          <t>NM Cashflow</t>
        </is>
      </c>
      <c r="C2101" s="4" t="inlineStr">
        <is>
          <t>M16</t>
        </is>
      </c>
      <c r="D2101" s="4" t="inlineStr">
        <is>
          <t>=M13*200</t>
        </is>
      </c>
      <c r="E2101" s="4" t="n">
        <v>674000</v>
      </c>
      <c r="F2101" s="4" t="inlineStr">
        <is>
          <t>GOC Bed Unit-Costing Model v2 — working original.xlsx</t>
        </is>
      </c>
    </row>
    <row r="2102" ht="40" customHeight="1">
      <c r="A2102" s="4" t="inlineStr">
        <is>
          <t>original:NM Cashflow!N16</t>
        </is>
      </c>
      <c r="B2102" s="4" t="inlineStr">
        <is>
          <t>NM Cashflow</t>
        </is>
      </c>
      <c r="C2102" s="4" t="inlineStr">
        <is>
          <t>N16</t>
        </is>
      </c>
      <c r="D2102" s="4" t="inlineStr">
        <is>
          <t>=N13*200</t>
        </is>
      </c>
      <c r="E2102" s="4" t="n">
        <v>774000</v>
      </c>
      <c r="F2102" s="4" t="inlineStr">
        <is>
          <t>GOC Bed Unit-Costing Model v2 — working original.xlsx</t>
        </is>
      </c>
    </row>
    <row r="2103" ht="40" customHeight="1">
      <c r="A2103" s="4" t="inlineStr">
        <is>
          <t>original:NM Cashflow!O16</t>
        </is>
      </c>
      <c r="B2103" s="4" t="inlineStr">
        <is>
          <t>NM Cashflow</t>
        </is>
      </c>
      <c r="C2103" s="4" t="inlineStr">
        <is>
          <t>O16</t>
        </is>
      </c>
      <c r="D2103" s="4" t="inlineStr">
        <is>
          <t>=O13*200</t>
        </is>
      </c>
      <c r="E2103" s="4" t="n">
        <v>874000</v>
      </c>
      <c r="F2103" s="4" t="inlineStr">
        <is>
          <t>GOC Bed Unit-Costing Model v2 — working original.xlsx</t>
        </is>
      </c>
    </row>
    <row r="2104" ht="40" customHeight="1">
      <c r="A2104" s="4" t="inlineStr">
        <is>
          <t>original:NM Cashflow!P16</t>
        </is>
      </c>
      <c r="B2104" s="4" t="inlineStr">
        <is>
          <t>NM Cashflow</t>
        </is>
      </c>
      <c r="C2104" s="4" t="inlineStr">
        <is>
          <t>P16</t>
        </is>
      </c>
      <c r="D2104" s="4" t="inlineStr">
        <is>
          <t>=P13*200</t>
        </is>
      </c>
      <c r="E2104" s="4" t="n">
        <v>974000</v>
      </c>
      <c r="F2104" s="4" t="inlineStr">
        <is>
          <t>GOC Bed Unit-Costing Model v2 — working original.xlsx</t>
        </is>
      </c>
    </row>
    <row r="2105" ht="40" customHeight="1">
      <c r="A2105" s="4" t="inlineStr">
        <is>
          <t>original:NM Cashflow!Q16</t>
        </is>
      </c>
      <c r="B2105" s="4" t="inlineStr">
        <is>
          <t>NM Cashflow</t>
        </is>
      </c>
      <c r="C2105" s="4" t="inlineStr">
        <is>
          <t>Q16</t>
        </is>
      </c>
      <c r="D2105" s="4" t="inlineStr">
        <is>
          <t>=Q13*200</t>
        </is>
      </c>
      <c r="E2105" s="4" t="n">
        <v>974000</v>
      </c>
      <c r="F2105" s="4" t="inlineStr">
        <is>
          <t>GOC Bed Unit-Costing Model v2 — working original.xlsx</t>
        </is>
      </c>
    </row>
    <row r="2106" ht="40" customHeight="1">
      <c r="A2106" s="4" t="inlineStr">
        <is>
          <t>original:NM Cashflow!R16</t>
        </is>
      </c>
      <c r="B2106" s="4" t="inlineStr">
        <is>
          <t>NM Cashflow</t>
        </is>
      </c>
      <c r="C2106" s="4" t="inlineStr">
        <is>
          <t>R16</t>
        </is>
      </c>
      <c r="D2106" s="4" t="inlineStr">
        <is>
          <t>=R13*200</t>
        </is>
      </c>
      <c r="E2106" s="4" t="n">
        <v>974000</v>
      </c>
      <c r="F2106" s="4" t="inlineStr">
        <is>
          <t>GOC Bed Unit-Costing Model v2 — working original.xlsx</t>
        </is>
      </c>
    </row>
    <row r="2107" ht="40" customHeight="1">
      <c r="A2107" s="4" t="inlineStr">
        <is>
          <t>original:NM Cashflow!S16</t>
        </is>
      </c>
      <c r="B2107" s="4" t="inlineStr">
        <is>
          <t>NM Cashflow</t>
        </is>
      </c>
      <c r="C2107" s="4" t="inlineStr">
        <is>
          <t>S16</t>
        </is>
      </c>
      <c r="D2107" s="4" t="inlineStr">
        <is>
          <t>=S13*200</t>
        </is>
      </c>
      <c r="E2107" s="4" t="n">
        <v>1074000</v>
      </c>
      <c r="F2107" s="4" t="inlineStr">
        <is>
          <t>GOC Bed Unit-Costing Model v2 — working original.xlsx</t>
        </is>
      </c>
    </row>
    <row r="2108" ht="40" customHeight="1">
      <c r="A2108" s="4" t="inlineStr">
        <is>
          <t>original:NM Cashflow!T16</t>
        </is>
      </c>
      <c r="B2108" s="4" t="inlineStr">
        <is>
          <t>NM Cashflow</t>
        </is>
      </c>
      <c r="C2108" s="4" t="inlineStr">
        <is>
          <t>T16</t>
        </is>
      </c>
      <c r="D2108" s="4" t="inlineStr">
        <is>
          <t>=T13*200</t>
        </is>
      </c>
      <c r="E2108" s="4" t="n">
        <v>1174000</v>
      </c>
      <c r="F2108" s="4" t="inlineStr">
        <is>
          <t>GOC Bed Unit-Costing Model v2 — working original.xlsx</t>
        </is>
      </c>
    </row>
    <row r="2109" ht="40" customHeight="1">
      <c r="A2109" s="4" t="inlineStr">
        <is>
          <t>original:NM Cashflow!U16</t>
        </is>
      </c>
      <c r="B2109" s="4" t="inlineStr">
        <is>
          <t>NM Cashflow</t>
        </is>
      </c>
      <c r="C2109" s="4" t="inlineStr">
        <is>
          <t>U16</t>
        </is>
      </c>
      <c r="D2109" s="4" t="inlineStr">
        <is>
          <t>=U13*200</t>
        </is>
      </c>
      <c r="E2109" s="4" t="n">
        <v>1274000</v>
      </c>
      <c r="F2109" s="4" t="inlineStr">
        <is>
          <t>GOC Bed Unit-Costing Model v2 — working original.xlsx</t>
        </is>
      </c>
    </row>
    <row r="2110" ht="40" customHeight="1">
      <c r="A2110" s="4" t="inlineStr">
        <is>
          <t>original:NM Cashflow!V16</t>
        </is>
      </c>
      <c r="B2110" s="4" t="inlineStr">
        <is>
          <t>NM Cashflow</t>
        </is>
      </c>
      <c r="C2110" s="4" t="inlineStr">
        <is>
          <t>V16</t>
        </is>
      </c>
      <c r="D2110" s="4" t="inlineStr">
        <is>
          <t>=V13*200</t>
        </is>
      </c>
      <c r="E2110" s="4" t="n">
        <v>1374000</v>
      </c>
      <c r="F2110" s="4" t="inlineStr">
        <is>
          <t>GOC Bed Unit-Costing Model v2 — working original.xlsx</t>
        </is>
      </c>
    </row>
    <row r="2111" ht="40" customHeight="1">
      <c r="A2111" s="4" t="inlineStr">
        <is>
          <t>original:NM Cashflow!W16</t>
        </is>
      </c>
      <c r="B2111" s="4" t="inlineStr">
        <is>
          <t>NM Cashflow</t>
        </is>
      </c>
      <c r="C2111" s="4" t="inlineStr">
        <is>
          <t>W16</t>
        </is>
      </c>
      <c r="D2111" s="4" t="inlineStr">
        <is>
          <t>=W13*200</t>
        </is>
      </c>
      <c r="E2111" s="4" t="n">
        <v>1474000</v>
      </c>
      <c r="F2111" s="4" t="inlineStr">
        <is>
          <t>GOC Bed Unit-Costing Model v2 — working original.xlsx</t>
        </is>
      </c>
    </row>
    <row r="2112" ht="40" customHeight="1">
      <c r="A2112" s="4" t="inlineStr">
        <is>
          <t>original:NM Cashflow!X16</t>
        </is>
      </c>
      <c r="B2112" s="4" t="inlineStr">
        <is>
          <t>NM Cashflow</t>
        </is>
      </c>
      <c r="C2112" s="4" t="inlineStr">
        <is>
          <t>X16</t>
        </is>
      </c>
      <c r="D2112" s="4" t="inlineStr">
        <is>
          <t>=X13*200</t>
        </is>
      </c>
      <c r="E2112" s="4" t="n">
        <v>1574000</v>
      </c>
      <c r="F2112" s="4" t="inlineStr">
        <is>
          <t>GOC Bed Unit-Costing Model v2 — working original.xlsx</t>
        </is>
      </c>
    </row>
    <row r="2113" ht="40" customHeight="1">
      <c r="A2113" s="4" t="inlineStr">
        <is>
          <t>original:NM Cashflow!Y16</t>
        </is>
      </c>
      <c r="B2113" s="4" t="inlineStr">
        <is>
          <t>NM Cashflow</t>
        </is>
      </c>
      <c r="C2113" s="4" t="inlineStr">
        <is>
          <t>Y16</t>
        </is>
      </c>
      <c r="D2113" s="4" t="inlineStr">
        <is>
          <t>=Y13*200</t>
        </is>
      </c>
      <c r="E2113" s="4" t="n">
        <v>1574000</v>
      </c>
      <c r="F2113" s="4" t="inlineStr">
        <is>
          <t>GOC Bed Unit-Costing Model v2 — working original.xlsx</t>
        </is>
      </c>
    </row>
    <row r="2114" ht="40" customHeight="1">
      <c r="A2114" s="4" t="inlineStr">
        <is>
          <t>original:NM Cashflow!Z16</t>
        </is>
      </c>
      <c r="B2114" s="4" t="inlineStr">
        <is>
          <t>NM Cashflow</t>
        </is>
      </c>
      <c r="C2114" s="4" t="inlineStr">
        <is>
          <t>Z16</t>
        </is>
      </c>
      <c r="D2114" s="4" t="inlineStr">
        <is>
          <t>=Z13*200</t>
        </is>
      </c>
      <c r="E2114" s="4" t="n">
        <v>1574000</v>
      </c>
      <c r="F2114" s="4" t="inlineStr">
        <is>
          <t>GOC Bed Unit-Costing Model v2 — working original.xlsx</t>
        </is>
      </c>
    </row>
    <row r="2115" ht="40" customHeight="1">
      <c r="A2115" s="4" t="inlineStr">
        <is>
          <t>original:NM Cashflow!A17</t>
        </is>
      </c>
      <c r="B2115" s="4" t="inlineStr">
        <is>
          <t>NM Cashflow</t>
        </is>
      </c>
      <c r="C2115" s="4" t="inlineStr">
        <is>
          <t>A17</t>
        </is>
      </c>
      <c r="D2115" s="4" t="inlineStr">
        <is>
          <t>Kgs Plastic Waste</t>
        </is>
      </c>
      <c r="E2115" s="4" t="inlineStr">
        <is>
          <t>Kgs Plastic Waste</t>
        </is>
      </c>
      <c r="F2115" s="4" t="inlineStr">
        <is>
          <t>GOC Bed Unit-Costing Model v2 — working original.xlsx</t>
        </is>
      </c>
    </row>
    <row r="2116" ht="40" customHeight="1">
      <c r="A2116" s="4" t="inlineStr">
        <is>
          <t>original:NM Cashflow!B17</t>
        </is>
      </c>
      <c r="B2116" s="4" t="inlineStr">
        <is>
          <t>NM Cashflow</t>
        </is>
      </c>
      <c r="C2116" s="4" t="inlineStr">
        <is>
          <t>B17</t>
        </is>
      </c>
      <c r="D2116" s="4" t="inlineStr">
        <is>
          <t>=B13*20</t>
        </is>
      </c>
      <c r="E2116" s="4" t="n">
        <v>2600</v>
      </c>
      <c r="F2116" s="4" t="inlineStr">
        <is>
          <t>GOC Bed Unit-Costing Model v2 — working original.xlsx</t>
        </is>
      </c>
    </row>
    <row r="2117" ht="40" customHeight="1">
      <c r="A2117" s="4" t="inlineStr">
        <is>
          <t>original:NM Cashflow!C17</t>
        </is>
      </c>
      <c r="B2117" s="4" t="inlineStr">
        <is>
          <t>NM Cashflow</t>
        </is>
      </c>
      <c r="C2117" s="4" t="inlineStr">
        <is>
          <t>C17</t>
        </is>
      </c>
      <c r="D2117" s="4" t="inlineStr">
        <is>
          <t>=C13*20</t>
        </is>
      </c>
      <c r="E2117" s="4" t="n">
        <v>5200</v>
      </c>
      <c r="F2117" s="4" t="inlineStr">
        <is>
          <t>GOC Bed Unit-Costing Model v2 — working original.xlsx</t>
        </is>
      </c>
    </row>
    <row r="2118" ht="40" customHeight="1">
      <c r="A2118" s="4" t="inlineStr">
        <is>
          <t>original:NM Cashflow!D17</t>
        </is>
      </c>
      <c r="B2118" s="4" t="inlineStr">
        <is>
          <t>NM Cashflow</t>
        </is>
      </c>
      <c r="C2118" s="4" t="inlineStr">
        <is>
          <t>D17</t>
        </is>
      </c>
      <c r="D2118" s="4" t="inlineStr">
        <is>
          <t>=D13*20</t>
        </is>
      </c>
      <c r="E2118" s="4" t="n">
        <v>9800</v>
      </c>
      <c r="F2118" s="4" t="inlineStr">
        <is>
          <t>GOC Bed Unit-Costing Model v2 — working original.xlsx</t>
        </is>
      </c>
    </row>
    <row r="2119" ht="40" customHeight="1">
      <c r="A2119" s="4" t="inlineStr">
        <is>
          <t>original:NM Cashflow!E17</t>
        </is>
      </c>
      <c r="B2119" s="4" t="inlineStr">
        <is>
          <t>NM Cashflow</t>
        </is>
      </c>
      <c r="C2119" s="4" t="inlineStr">
        <is>
          <t>E17</t>
        </is>
      </c>
      <c r="D2119" s="4" t="inlineStr">
        <is>
          <t>=E13*20</t>
        </is>
      </c>
      <c r="E2119" s="4" t="n">
        <v>9800</v>
      </c>
      <c r="F2119" s="4" t="inlineStr">
        <is>
          <t>GOC Bed Unit-Costing Model v2 — working original.xlsx</t>
        </is>
      </c>
    </row>
    <row r="2120" ht="40" customHeight="1">
      <c r="A2120" s="4" t="inlineStr">
        <is>
          <t>original:NM Cashflow!F17</t>
        </is>
      </c>
      <c r="B2120" s="4" t="inlineStr">
        <is>
          <t>NM Cashflow</t>
        </is>
      </c>
      <c r="C2120" s="4" t="inlineStr">
        <is>
          <t>F17</t>
        </is>
      </c>
      <c r="D2120" s="4" t="inlineStr">
        <is>
          <t>=F13*20</t>
        </is>
      </c>
      <c r="E2120" s="4" t="n">
        <v>9800</v>
      </c>
      <c r="F2120" s="4" t="inlineStr">
        <is>
          <t>GOC Bed Unit-Costing Model v2 — working original.xlsx</t>
        </is>
      </c>
    </row>
    <row r="2121" ht="40" customHeight="1">
      <c r="A2121" s="4" t="inlineStr">
        <is>
          <t>original:NM Cashflow!G17</t>
        </is>
      </c>
      <c r="B2121" s="4" t="inlineStr">
        <is>
          <t>NM Cashflow</t>
        </is>
      </c>
      <c r="C2121" s="4" t="inlineStr">
        <is>
          <t>G17</t>
        </is>
      </c>
      <c r="D2121" s="4" t="inlineStr">
        <is>
          <t>=G13*20</t>
        </is>
      </c>
      <c r="E2121" s="4" t="n">
        <v>14400</v>
      </c>
      <c r="F2121" s="4" t="inlineStr">
        <is>
          <t>GOC Bed Unit-Costing Model v2 — working original.xlsx</t>
        </is>
      </c>
    </row>
    <row r="2122" ht="40" customHeight="1">
      <c r="A2122" s="4" t="inlineStr">
        <is>
          <t>original:NM Cashflow!H17</t>
        </is>
      </c>
      <c r="B2122" s="4" t="inlineStr">
        <is>
          <t>NM Cashflow</t>
        </is>
      </c>
      <c r="C2122" s="4" t="inlineStr">
        <is>
          <t>H17</t>
        </is>
      </c>
      <c r="D2122" s="4" t="inlineStr">
        <is>
          <t>=H13*20</t>
        </is>
      </c>
      <c r="E2122" s="4" t="n">
        <v>19000</v>
      </c>
      <c r="F2122" s="4" t="inlineStr">
        <is>
          <t>GOC Bed Unit-Costing Model v2 — working original.xlsx</t>
        </is>
      </c>
    </row>
    <row r="2123" ht="40" customHeight="1">
      <c r="A2123" s="4" t="inlineStr">
        <is>
          <t>original:NM Cashflow!I17</t>
        </is>
      </c>
      <c r="B2123" s="4" t="inlineStr">
        <is>
          <t>NM Cashflow</t>
        </is>
      </c>
      <c r="C2123" s="4" t="inlineStr">
        <is>
          <t>I17</t>
        </is>
      </c>
      <c r="D2123" s="4" t="inlineStr">
        <is>
          <t>=I13*20</t>
        </is>
      </c>
      <c r="E2123" s="4" t="n">
        <v>25600</v>
      </c>
      <c r="F2123" s="4" t="inlineStr">
        <is>
          <t>GOC Bed Unit-Costing Model v2 — working original.xlsx</t>
        </is>
      </c>
    </row>
    <row r="2124" ht="40" customHeight="1">
      <c r="A2124" s="4" t="inlineStr">
        <is>
          <t>original:NM Cashflow!J17</t>
        </is>
      </c>
      <c r="B2124" s="4" t="inlineStr">
        <is>
          <t>NM Cashflow</t>
        </is>
      </c>
      <c r="C2124" s="4" t="inlineStr">
        <is>
          <t>J17</t>
        </is>
      </c>
      <c r="D2124" s="4" t="inlineStr">
        <is>
          <t>=J13*20</t>
        </is>
      </c>
      <c r="E2124" s="4" t="n">
        <v>34200</v>
      </c>
      <c r="F2124" s="4" t="inlineStr">
        <is>
          <t>GOC Bed Unit-Costing Model v2 — working original.xlsx</t>
        </is>
      </c>
    </row>
    <row r="2125" ht="40" customHeight="1">
      <c r="A2125" s="4" t="inlineStr">
        <is>
          <t>original:NM Cashflow!K17</t>
        </is>
      </c>
      <c r="B2125" s="4" t="inlineStr">
        <is>
          <t>NM Cashflow</t>
        </is>
      </c>
      <c r="C2125" s="4" t="inlineStr">
        <is>
          <t>K17</t>
        </is>
      </c>
      <c r="D2125" s="4" t="inlineStr">
        <is>
          <t>=K13*20</t>
        </is>
      </c>
      <c r="E2125" s="4" t="n">
        <v>44800</v>
      </c>
      <c r="F2125" s="4" t="inlineStr">
        <is>
          <t>GOC Bed Unit-Costing Model v2 — working original.xlsx</t>
        </is>
      </c>
    </row>
    <row r="2126" ht="40" customHeight="1">
      <c r="A2126" s="4" t="inlineStr">
        <is>
          <t>original:NM Cashflow!L17</t>
        </is>
      </c>
      <c r="B2126" s="4" t="inlineStr">
        <is>
          <t>NM Cashflow</t>
        </is>
      </c>
      <c r="C2126" s="4" t="inlineStr">
        <is>
          <t>L17</t>
        </is>
      </c>
      <c r="D2126" s="4" t="inlineStr">
        <is>
          <t>=L13*20</t>
        </is>
      </c>
      <c r="E2126" s="4" t="n">
        <v>57400</v>
      </c>
      <c r="F2126" s="4" t="inlineStr">
        <is>
          <t>GOC Bed Unit-Costing Model v2 — working original.xlsx</t>
        </is>
      </c>
    </row>
    <row r="2127" ht="40" customHeight="1">
      <c r="A2127" s="4" t="inlineStr">
        <is>
          <t>original:NM Cashflow!M17</t>
        </is>
      </c>
      <c r="B2127" s="4" t="inlineStr">
        <is>
          <t>NM Cashflow</t>
        </is>
      </c>
      <c r="C2127" s="4" t="inlineStr">
        <is>
          <t>M17</t>
        </is>
      </c>
      <c r="D2127" s="4" t="inlineStr">
        <is>
          <t>=M13*20</t>
        </is>
      </c>
      <c r="E2127" s="4" t="n">
        <v>67400</v>
      </c>
      <c r="F2127" s="4" t="inlineStr">
        <is>
          <t>GOC Bed Unit-Costing Model v2 — working original.xlsx</t>
        </is>
      </c>
    </row>
    <row r="2128" ht="40" customHeight="1">
      <c r="A2128" s="4" t="inlineStr">
        <is>
          <t>original:NM Cashflow!N17</t>
        </is>
      </c>
      <c r="B2128" s="4" t="inlineStr">
        <is>
          <t>NM Cashflow</t>
        </is>
      </c>
      <c r="C2128" s="4" t="inlineStr">
        <is>
          <t>N17</t>
        </is>
      </c>
      <c r="D2128" s="4" t="inlineStr">
        <is>
          <t>=N13*20</t>
        </is>
      </c>
      <c r="E2128" s="4" t="n">
        <v>77400</v>
      </c>
      <c r="F2128" s="4" t="inlineStr">
        <is>
          <t>GOC Bed Unit-Costing Model v2 — working original.xlsx</t>
        </is>
      </c>
    </row>
    <row r="2129" ht="40" customHeight="1">
      <c r="A2129" s="4" t="inlineStr">
        <is>
          <t>original:NM Cashflow!O17</t>
        </is>
      </c>
      <c r="B2129" s="4" t="inlineStr">
        <is>
          <t>NM Cashflow</t>
        </is>
      </c>
      <c r="C2129" s="4" t="inlineStr">
        <is>
          <t>O17</t>
        </is>
      </c>
      <c r="D2129" s="4" t="inlineStr">
        <is>
          <t>=O13*20</t>
        </is>
      </c>
      <c r="E2129" s="4" t="n">
        <v>87400</v>
      </c>
      <c r="F2129" s="4" t="inlineStr">
        <is>
          <t>GOC Bed Unit-Costing Model v2 — working original.xlsx</t>
        </is>
      </c>
    </row>
    <row r="2130" ht="40" customHeight="1">
      <c r="A2130" s="4" t="inlineStr">
        <is>
          <t>original:NM Cashflow!P17</t>
        </is>
      </c>
      <c r="B2130" s="4" t="inlineStr">
        <is>
          <t>NM Cashflow</t>
        </is>
      </c>
      <c r="C2130" s="4" t="inlineStr">
        <is>
          <t>P17</t>
        </is>
      </c>
      <c r="D2130" s="4" t="inlineStr">
        <is>
          <t>=P13*20</t>
        </is>
      </c>
      <c r="E2130" s="4" t="n">
        <v>97400</v>
      </c>
      <c r="F2130" s="4" t="inlineStr">
        <is>
          <t>GOC Bed Unit-Costing Model v2 — working original.xlsx</t>
        </is>
      </c>
    </row>
    <row r="2131" ht="40" customHeight="1">
      <c r="A2131" s="4" t="inlineStr">
        <is>
          <t>original:NM Cashflow!Q17</t>
        </is>
      </c>
      <c r="B2131" s="4" t="inlineStr">
        <is>
          <t>NM Cashflow</t>
        </is>
      </c>
      <c r="C2131" s="4" t="inlineStr">
        <is>
          <t>Q17</t>
        </is>
      </c>
      <c r="D2131" s="4" t="inlineStr">
        <is>
          <t>=Q13*20</t>
        </is>
      </c>
      <c r="E2131" s="4" t="n">
        <v>97400</v>
      </c>
      <c r="F2131" s="4" t="inlineStr">
        <is>
          <t>GOC Bed Unit-Costing Model v2 — working original.xlsx</t>
        </is>
      </c>
    </row>
    <row r="2132" ht="40" customHeight="1">
      <c r="A2132" s="4" t="inlineStr">
        <is>
          <t>original:NM Cashflow!R17</t>
        </is>
      </c>
      <c r="B2132" s="4" t="inlineStr">
        <is>
          <t>NM Cashflow</t>
        </is>
      </c>
      <c r="C2132" s="4" t="inlineStr">
        <is>
          <t>R17</t>
        </is>
      </c>
      <c r="D2132" s="4" t="inlineStr">
        <is>
          <t>=R13*20</t>
        </is>
      </c>
      <c r="E2132" s="4" t="n">
        <v>97400</v>
      </c>
      <c r="F2132" s="4" t="inlineStr">
        <is>
          <t>GOC Bed Unit-Costing Model v2 — working original.xlsx</t>
        </is>
      </c>
    </row>
    <row r="2133" ht="40" customHeight="1">
      <c r="A2133" s="4" t="inlineStr">
        <is>
          <t>original:NM Cashflow!S17</t>
        </is>
      </c>
      <c r="B2133" s="4" t="inlineStr">
        <is>
          <t>NM Cashflow</t>
        </is>
      </c>
      <c r="C2133" s="4" t="inlineStr">
        <is>
          <t>S17</t>
        </is>
      </c>
      <c r="D2133" s="4" t="inlineStr">
        <is>
          <t>=S13*20</t>
        </is>
      </c>
      <c r="E2133" s="4" t="n">
        <v>107400</v>
      </c>
      <c r="F2133" s="4" t="inlineStr">
        <is>
          <t>GOC Bed Unit-Costing Model v2 — working original.xlsx</t>
        </is>
      </c>
    </row>
    <row r="2134" ht="40" customHeight="1">
      <c r="A2134" s="4" t="inlineStr">
        <is>
          <t>original:NM Cashflow!T17</t>
        </is>
      </c>
      <c r="B2134" s="4" t="inlineStr">
        <is>
          <t>NM Cashflow</t>
        </is>
      </c>
      <c r="C2134" s="4" t="inlineStr">
        <is>
          <t>T17</t>
        </is>
      </c>
      <c r="D2134" s="4" t="inlineStr">
        <is>
          <t>=T13*20</t>
        </is>
      </c>
      <c r="E2134" s="4" t="n">
        <v>117400</v>
      </c>
      <c r="F2134" s="4" t="inlineStr">
        <is>
          <t>GOC Bed Unit-Costing Model v2 — working original.xlsx</t>
        </is>
      </c>
    </row>
    <row r="2135" ht="40" customHeight="1">
      <c r="A2135" s="4" t="inlineStr">
        <is>
          <t>original:NM Cashflow!U17</t>
        </is>
      </c>
      <c r="B2135" s="4" t="inlineStr">
        <is>
          <t>NM Cashflow</t>
        </is>
      </c>
      <c r="C2135" s="4" t="inlineStr">
        <is>
          <t>U17</t>
        </is>
      </c>
      <c r="D2135" s="4" t="inlineStr">
        <is>
          <t>=U13*20</t>
        </is>
      </c>
      <c r="E2135" s="4" t="n">
        <v>127400</v>
      </c>
      <c r="F2135" s="4" t="inlineStr">
        <is>
          <t>GOC Bed Unit-Costing Model v2 — working original.xlsx</t>
        </is>
      </c>
    </row>
    <row r="2136" ht="40" customHeight="1">
      <c r="A2136" s="4" t="inlineStr">
        <is>
          <t>original:NM Cashflow!V17</t>
        </is>
      </c>
      <c r="B2136" s="4" t="inlineStr">
        <is>
          <t>NM Cashflow</t>
        </is>
      </c>
      <c r="C2136" s="4" t="inlineStr">
        <is>
          <t>V17</t>
        </is>
      </c>
      <c r="D2136" s="4" t="inlineStr">
        <is>
          <t>=V13*20</t>
        </is>
      </c>
      <c r="E2136" s="4" t="n">
        <v>137400</v>
      </c>
      <c r="F2136" s="4" t="inlineStr">
        <is>
          <t>GOC Bed Unit-Costing Model v2 — working original.xlsx</t>
        </is>
      </c>
    </row>
    <row r="2137" ht="40" customHeight="1">
      <c r="A2137" s="4" t="inlineStr">
        <is>
          <t>original:NM Cashflow!W17</t>
        </is>
      </c>
      <c r="B2137" s="4" t="inlineStr">
        <is>
          <t>NM Cashflow</t>
        </is>
      </c>
      <c r="C2137" s="4" t="inlineStr">
        <is>
          <t>W17</t>
        </is>
      </c>
      <c r="D2137" s="4" t="inlineStr">
        <is>
          <t>=W13*20</t>
        </is>
      </c>
      <c r="E2137" s="4" t="n">
        <v>147400</v>
      </c>
      <c r="F2137" s="4" t="inlineStr">
        <is>
          <t>GOC Bed Unit-Costing Model v2 — working original.xlsx</t>
        </is>
      </c>
    </row>
    <row r="2138" ht="40" customHeight="1">
      <c r="A2138" s="4" t="inlineStr">
        <is>
          <t>original:NM Cashflow!X17</t>
        </is>
      </c>
      <c r="B2138" s="4" t="inlineStr">
        <is>
          <t>NM Cashflow</t>
        </is>
      </c>
      <c r="C2138" s="4" t="inlineStr">
        <is>
          <t>X17</t>
        </is>
      </c>
      <c r="D2138" s="4" t="inlineStr">
        <is>
          <t>=X13*20</t>
        </is>
      </c>
      <c r="E2138" s="4" t="n">
        <v>157400</v>
      </c>
      <c r="F2138" s="4" t="inlineStr">
        <is>
          <t>GOC Bed Unit-Costing Model v2 — working original.xlsx</t>
        </is>
      </c>
    </row>
    <row r="2139" ht="40" customHeight="1">
      <c r="A2139" s="4" t="inlineStr">
        <is>
          <t>original:NM Cashflow!Y17</t>
        </is>
      </c>
      <c r="B2139" s="4" t="inlineStr">
        <is>
          <t>NM Cashflow</t>
        </is>
      </c>
      <c r="C2139" s="4" t="inlineStr">
        <is>
          <t>Y17</t>
        </is>
      </c>
      <c r="D2139" s="4" t="inlineStr">
        <is>
          <t>=Y13*20</t>
        </is>
      </c>
      <c r="E2139" s="4" t="n">
        <v>157400</v>
      </c>
      <c r="F2139" s="4" t="inlineStr">
        <is>
          <t>GOC Bed Unit-Costing Model v2 — working original.xlsx</t>
        </is>
      </c>
    </row>
    <row r="2140" ht="40" customHeight="1">
      <c r="A2140" s="4" t="inlineStr">
        <is>
          <t>original:NM Cashflow!Z17</t>
        </is>
      </c>
      <c r="B2140" s="4" t="inlineStr">
        <is>
          <t>NM Cashflow</t>
        </is>
      </c>
      <c r="C2140" s="4" t="inlineStr">
        <is>
          <t>Z17</t>
        </is>
      </c>
      <c r="D2140" s="4" t="inlineStr">
        <is>
          <t>=Z13*20</t>
        </is>
      </c>
      <c r="E2140" s="4" t="n">
        <v>157400</v>
      </c>
      <c r="F2140" s="4" t="inlineStr">
        <is>
          <t>GOC Bed Unit-Costing Model v2 — working original.xlsx</t>
        </is>
      </c>
    </row>
    <row r="2141" ht="40" customHeight="1">
      <c r="A2141" s="4" t="inlineStr">
        <is>
          <t>original:NM Cashflow!A18</t>
        </is>
      </c>
      <c r="B2141" s="4" t="inlineStr">
        <is>
          <t>NM Cashflow</t>
        </is>
      </c>
      <c r="C2141" s="4" t="inlineStr">
        <is>
          <t>A18</t>
        </is>
      </c>
      <c r="D2141" s="4" t="inlineStr">
        <is>
          <t xml:space="preserve">Heart - people off ground </t>
        </is>
      </c>
      <c r="E2141" s="4" t="inlineStr">
        <is>
          <t xml:space="preserve">Heart - people off ground </t>
        </is>
      </c>
      <c r="F2141" s="4" t="inlineStr">
        <is>
          <t>GOC Bed Unit-Costing Model v2 — working original.xlsx</t>
        </is>
      </c>
    </row>
    <row r="2142" ht="40" customHeight="1">
      <c r="A2142" s="4" t="inlineStr">
        <is>
          <t>original:NM Cashflow!B18</t>
        </is>
      </c>
      <c r="B2142" s="4" t="inlineStr">
        <is>
          <t>NM Cashflow</t>
        </is>
      </c>
      <c r="C2142" s="4" t="inlineStr">
        <is>
          <t>B18</t>
        </is>
      </c>
      <c r="D2142" s="4" t="inlineStr">
        <is>
          <t>=B13</t>
        </is>
      </c>
      <c r="E2142" s="4" t="n">
        <v>130</v>
      </c>
      <c r="F2142" s="4" t="inlineStr">
        <is>
          <t>GOC Bed Unit-Costing Model v2 — working original.xlsx</t>
        </is>
      </c>
    </row>
    <row r="2143" ht="40" customHeight="1">
      <c r="A2143" s="4" t="inlineStr">
        <is>
          <t>original:NM Cashflow!C18</t>
        </is>
      </c>
      <c r="B2143" s="4" t="inlineStr">
        <is>
          <t>NM Cashflow</t>
        </is>
      </c>
      <c r="C2143" s="4" t="inlineStr">
        <is>
          <t>C18</t>
        </is>
      </c>
      <c r="D2143" s="4" t="inlineStr">
        <is>
          <t>=C13</t>
        </is>
      </c>
      <c r="E2143" s="4" t="n">
        <v>260</v>
      </c>
      <c r="F2143" s="4" t="inlineStr">
        <is>
          <t>GOC Bed Unit-Costing Model v2 — working original.xlsx</t>
        </is>
      </c>
    </row>
    <row r="2144" ht="40" customHeight="1">
      <c r="A2144" s="4" t="inlineStr">
        <is>
          <t>original:NM Cashflow!D18</t>
        </is>
      </c>
      <c r="B2144" s="4" t="inlineStr">
        <is>
          <t>NM Cashflow</t>
        </is>
      </c>
      <c r="C2144" s="4" t="inlineStr">
        <is>
          <t>D18</t>
        </is>
      </c>
      <c r="D2144" s="4" t="inlineStr">
        <is>
          <t>=D13</t>
        </is>
      </c>
      <c r="E2144" s="4" t="n">
        <v>490</v>
      </c>
      <c r="F2144" s="4" t="inlineStr">
        <is>
          <t>GOC Bed Unit-Costing Model v2 — working original.xlsx</t>
        </is>
      </c>
    </row>
    <row r="2145" ht="40" customHeight="1">
      <c r="A2145" s="4" t="inlineStr">
        <is>
          <t>original:NM Cashflow!E18</t>
        </is>
      </c>
      <c r="B2145" s="4" t="inlineStr">
        <is>
          <t>NM Cashflow</t>
        </is>
      </c>
      <c r="C2145" s="4" t="inlineStr">
        <is>
          <t>E18</t>
        </is>
      </c>
      <c r="D2145" s="4" t="inlineStr">
        <is>
          <t>=E13</t>
        </is>
      </c>
      <c r="E2145" s="4" t="n">
        <v>490</v>
      </c>
      <c r="F2145" s="4" t="inlineStr">
        <is>
          <t>GOC Bed Unit-Costing Model v2 — working original.xlsx</t>
        </is>
      </c>
    </row>
    <row r="2146" ht="40" customHeight="1">
      <c r="A2146" s="4" t="inlineStr">
        <is>
          <t>original:NM Cashflow!F18</t>
        </is>
      </c>
      <c r="B2146" s="4" t="inlineStr">
        <is>
          <t>NM Cashflow</t>
        </is>
      </c>
      <c r="C2146" s="4" t="inlineStr">
        <is>
          <t>F18</t>
        </is>
      </c>
      <c r="D2146" s="4" t="inlineStr">
        <is>
          <t>=F13</t>
        </is>
      </c>
      <c r="E2146" s="4" t="n">
        <v>490</v>
      </c>
      <c r="F2146" s="4" t="inlineStr">
        <is>
          <t>GOC Bed Unit-Costing Model v2 — working original.xlsx</t>
        </is>
      </c>
    </row>
    <row r="2147" ht="40" customHeight="1">
      <c r="A2147" s="4" t="inlineStr">
        <is>
          <t>original:NM Cashflow!G18</t>
        </is>
      </c>
      <c r="B2147" s="4" t="inlineStr">
        <is>
          <t>NM Cashflow</t>
        </is>
      </c>
      <c r="C2147" s="4" t="inlineStr">
        <is>
          <t>G18</t>
        </is>
      </c>
      <c r="D2147" s="4" t="inlineStr">
        <is>
          <t>=G13</t>
        </is>
      </c>
      <c r="E2147" s="4" t="n">
        <v>720</v>
      </c>
      <c r="F2147" s="4" t="inlineStr">
        <is>
          <t>GOC Bed Unit-Costing Model v2 — working original.xlsx</t>
        </is>
      </c>
    </row>
    <row r="2148" ht="40" customHeight="1">
      <c r="A2148" s="4" t="inlineStr">
        <is>
          <t>original:NM Cashflow!H18</t>
        </is>
      </c>
      <c r="B2148" s="4" t="inlineStr">
        <is>
          <t>NM Cashflow</t>
        </is>
      </c>
      <c r="C2148" s="4" t="inlineStr">
        <is>
          <t>H18</t>
        </is>
      </c>
      <c r="D2148" s="4" t="inlineStr">
        <is>
          <t>=H13</t>
        </is>
      </c>
      <c r="E2148" s="4" t="n">
        <v>950</v>
      </c>
      <c r="F2148" s="4" t="inlineStr">
        <is>
          <t>GOC Bed Unit-Costing Model v2 — working original.xlsx</t>
        </is>
      </c>
    </row>
    <row r="2149" ht="40" customHeight="1">
      <c r="A2149" s="4" t="inlineStr">
        <is>
          <t>original:NM Cashflow!I18</t>
        </is>
      </c>
      <c r="B2149" s="4" t="inlineStr">
        <is>
          <t>NM Cashflow</t>
        </is>
      </c>
      <c r="C2149" s="4" t="inlineStr">
        <is>
          <t>I18</t>
        </is>
      </c>
      <c r="D2149" s="4" t="inlineStr">
        <is>
          <t>=I13</t>
        </is>
      </c>
      <c r="E2149" s="4" t="n">
        <v>1280</v>
      </c>
      <c r="F2149" s="4" t="inlineStr">
        <is>
          <t>GOC Bed Unit-Costing Model v2 — working original.xlsx</t>
        </is>
      </c>
    </row>
    <row r="2150" ht="40" customHeight="1">
      <c r="A2150" s="4" t="inlineStr">
        <is>
          <t>original:NM Cashflow!J18</t>
        </is>
      </c>
      <c r="B2150" s="4" t="inlineStr">
        <is>
          <t>NM Cashflow</t>
        </is>
      </c>
      <c r="C2150" s="4" t="inlineStr">
        <is>
          <t>J18</t>
        </is>
      </c>
      <c r="D2150" s="4" t="inlineStr">
        <is>
          <t>=J13</t>
        </is>
      </c>
      <c r="E2150" s="4" t="n">
        <v>1710</v>
      </c>
      <c r="F2150" s="4" t="inlineStr">
        <is>
          <t>GOC Bed Unit-Costing Model v2 — working original.xlsx</t>
        </is>
      </c>
    </row>
    <row r="2151" ht="40" customHeight="1">
      <c r="A2151" s="4" t="inlineStr">
        <is>
          <t>original:NM Cashflow!K18</t>
        </is>
      </c>
      <c r="B2151" s="4" t="inlineStr">
        <is>
          <t>NM Cashflow</t>
        </is>
      </c>
      <c r="C2151" s="4" t="inlineStr">
        <is>
          <t>K18</t>
        </is>
      </c>
      <c r="D2151" s="4" t="inlineStr">
        <is>
          <t>=K13</t>
        </is>
      </c>
      <c r="E2151" s="4" t="n">
        <v>2240</v>
      </c>
      <c r="F2151" s="4" t="inlineStr">
        <is>
          <t>GOC Bed Unit-Costing Model v2 — working original.xlsx</t>
        </is>
      </c>
    </row>
    <row r="2152" ht="40" customHeight="1">
      <c r="A2152" s="4" t="inlineStr">
        <is>
          <t>original:NM Cashflow!L18</t>
        </is>
      </c>
      <c r="B2152" s="4" t="inlineStr">
        <is>
          <t>NM Cashflow</t>
        </is>
      </c>
      <c r="C2152" s="4" t="inlineStr">
        <is>
          <t>L18</t>
        </is>
      </c>
      <c r="D2152" s="4" t="inlineStr">
        <is>
          <t>=L13</t>
        </is>
      </c>
      <c r="E2152" s="4" t="n">
        <v>2870</v>
      </c>
      <c r="F2152" s="4" t="inlineStr">
        <is>
          <t>GOC Bed Unit-Costing Model v2 — working original.xlsx</t>
        </is>
      </c>
    </row>
    <row r="2153" ht="40" customHeight="1">
      <c r="A2153" s="4" t="inlineStr">
        <is>
          <t>original:NM Cashflow!M18</t>
        </is>
      </c>
      <c r="B2153" s="4" t="inlineStr">
        <is>
          <t>NM Cashflow</t>
        </is>
      </c>
      <c r="C2153" s="4" t="inlineStr">
        <is>
          <t>M18</t>
        </is>
      </c>
      <c r="D2153" s="4" t="inlineStr">
        <is>
          <t>=M13</t>
        </is>
      </c>
      <c r="E2153" s="4" t="n">
        <v>3370</v>
      </c>
      <c r="F2153" s="4" t="inlineStr">
        <is>
          <t>GOC Bed Unit-Costing Model v2 — working original.xlsx</t>
        </is>
      </c>
    </row>
    <row r="2154" ht="40" customHeight="1">
      <c r="A2154" s="4" t="inlineStr">
        <is>
          <t>original:NM Cashflow!N18</t>
        </is>
      </c>
      <c r="B2154" s="4" t="inlineStr">
        <is>
          <t>NM Cashflow</t>
        </is>
      </c>
      <c r="C2154" s="4" t="inlineStr">
        <is>
          <t>N18</t>
        </is>
      </c>
      <c r="D2154" s="4" t="inlineStr">
        <is>
          <t>=N13</t>
        </is>
      </c>
      <c r="E2154" s="4" t="n">
        <v>3870</v>
      </c>
      <c r="F2154" s="4" t="inlineStr">
        <is>
          <t>GOC Bed Unit-Costing Model v2 — working original.xlsx</t>
        </is>
      </c>
    </row>
    <row r="2155" ht="40" customHeight="1">
      <c r="A2155" s="4" t="inlineStr">
        <is>
          <t>original:NM Cashflow!O18</t>
        </is>
      </c>
      <c r="B2155" s="4" t="inlineStr">
        <is>
          <t>NM Cashflow</t>
        </is>
      </c>
      <c r="C2155" s="4" t="inlineStr">
        <is>
          <t>O18</t>
        </is>
      </c>
      <c r="D2155" s="4" t="inlineStr">
        <is>
          <t>=O13</t>
        </is>
      </c>
      <c r="E2155" s="4" t="n">
        <v>4370</v>
      </c>
      <c r="F2155" s="4" t="inlineStr">
        <is>
          <t>GOC Bed Unit-Costing Model v2 — working original.xlsx</t>
        </is>
      </c>
    </row>
    <row r="2156" ht="40" customHeight="1">
      <c r="A2156" s="4" t="inlineStr">
        <is>
          <t>original:NM Cashflow!P18</t>
        </is>
      </c>
      <c r="B2156" s="4" t="inlineStr">
        <is>
          <t>NM Cashflow</t>
        </is>
      </c>
      <c r="C2156" s="4" t="inlineStr">
        <is>
          <t>P18</t>
        </is>
      </c>
      <c r="D2156" s="4" t="inlineStr">
        <is>
          <t>=P13</t>
        </is>
      </c>
      <c r="E2156" s="4" t="n">
        <v>4870</v>
      </c>
      <c r="F2156" s="4" t="inlineStr">
        <is>
          <t>GOC Bed Unit-Costing Model v2 — working original.xlsx</t>
        </is>
      </c>
    </row>
    <row r="2157" ht="40" customHeight="1">
      <c r="A2157" s="4" t="inlineStr">
        <is>
          <t>original:NM Cashflow!Q18</t>
        </is>
      </c>
      <c r="B2157" s="4" t="inlineStr">
        <is>
          <t>NM Cashflow</t>
        </is>
      </c>
      <c r="C2157" s="4" t="inlineStr">
        <is>
          <t>Q18</t>
        </is>
      </c>
      <c r="D2157" s="4" t="inlineStr">
        <is>
          <t>=Q13</t>
        </is>
      </c>
      <c r="E2157" s="4" t="n">
        <v>4870</v>
      </c>
      <c r="F2157" s="4" t="inlineStr">
        <is>
          <t>GOC Bed Unit-Costing Model v2 — working original.xlsx</t>
        </is>
      </c>
    </row>
    <row r="2158" ht="40" customHeight="1">
      <c r="A2158" s="4" t="inlineStr">
        <is>
          <t>original:NM Cashflow!R18</t>
        </is>
      </c>
      <c r="B2158" s="4" t="inlineStr">
        <is>
          <t>NM Cashflow</t>
        </is>
      </c>
      <c r="C2158" s="4" t="inlineStr">
        <is>
          <t>R18</t>
        </is>
      </c>
      <c r="D2158" s="4" t="inlineStr">
        <is>
          <t>=R13</t>
        </is>
      </c>
      <c r="E2158" s="4" t="n">
        <v>4870</v>
      </c>
      <c r="F2158" s="4" t="inlineStr">
        <is>
          <t>GOC Bed Unit-Costing Model v2 — working original.xlsx</t>
        </is>
      </c>
    </row>
    <row r="2159" ht="40" customHeight="1">
      <c r="A2159" s="4" t="inlineStr">
        <is>
          <t>original:NM Cashflow!S18</t>
        </is>
      </c>
      <c r="B2159" s="4" t="inlineStr">
        <is>
          <t>NM Cashflow</t>
        </is>
      </c>
      <c r="C2159" s="4" t="inlineStr">
        <is>
          <t>S18</t>
        </is>
      </c>
      <c r="D2159" s="4" t="inlineStr">
        <is>
          <t>=S13</t>
        </is>
      </c>
      <c r="E2159" s="4" t="n">
        <v>5370</v>
      </c>
      <c r="F2159" s="4" t="inlineStr">
        <is>
          <t>GOC Bed Unit-Costing Model v2 — working original.xlsx</t>
        </is>
      </c>
    </row>
    <row r="2160" ht="40" customHeight="1">
      <c r="A2160" s="4" t="inlineStr">
        <is>
          <t>original:NM Cashflow!T18</t>
        </is>
      </c>
      <c r="B2160" s="4" t="inlineStr">
        <is>
          <t>NM Cashflow</t>
        </is>
      </c>
      <c r="C2160" s="4" t="inlineStr">
        <is>
          <t>T18</t>
        </is>
      </c>
      <c r="D2160" s="4" t="inlineStr">
        <is>
          <t>=T13</t>
        </is>
      </c>
      <c r="E2160" s="4" t="n">
        <v>5870</v>
      </c>
      <c r="F2160" s="4" t="inlineStr">
        <is>
          <t>GOC Bed Unit-Costing Model v2 — working original.xlsx</t>
        </is>
      </c>
    </row>
    <row r="2161" ht="40" customHeight="1">
      <c r="A2161" s="4" t="inlineStr">
        <is>
          <t>original:NM Cashflow!U18</t>
        </is>
      </c>
      <c r="B2161" s="4" t="inlineStr">
        <is>
          <t>NM Cashflow</t>
        </is>
      </c>
      <c r="C2161" s="4" t="inlineStr">
        <is>
          <t>U18</t>
        </is>
      </c>
      <c r="D2161" s="4" t="inlineStr">
        <is>
          <t>=U13</t>
        </is>
      </c>
      <c r="E2161" s="4" t="n">
        <v>6370</v>
      </c>
      <c r="F2161" s="4" t="inlineStr">
        <is>
          <t>GOC Bed Unit-Costing Model v2 — working original.xlsx</t>
        </is>
      </c>
    </row>
    <row r="2162" ht="40" customHeight="1">
      <c r="A2162" s="4" t="inlineStr">
        <is>
          <t>original:NM Cashflow!V18</t>
        </is>
      </c>
      <c r="B2162" s="4" t="inlineStr">
        <is>
          <t>NM Cashflow</t>
        </is>
      </c>
      <c r="C2162" s="4" t="inlineStr">
        <is>
          <t>V18</t>
        </is>
      </c>
      <c r="D2162" s="4" t="inlineStr">
        <is>
          <t>=V13</t>
        </is>
      </c>
      <c r="E2162" s="4" t="n">
        <v>6870</v>
      </c>
      <c r="F2162" s="4" t="inlineStr">
        <is>
          <t>GOC Bed Unit-Costing Model v2 — working original.xlsx</t>
        </is>
      </c>
    </row>
    <row r="2163" ht="40" customHeight="1">
      <c r="A2163" s="4" t="inlineStr">
        <is>
          <t>original:NM Cashflow!W18</t>
        </is>
      </c>
      <c r="B2163" s="4" t="inlineStr">
        <is>
          <t>NM Cashflow</t>
        </is>
      </c>
      <c r="C2163" s="4" t="inlineStr">
        <is>
          <t>W18</t>
        </is>
      </c>
      <c r="D2163" s="4" t="inlineStr">
        <is>
          <t>=W13</t>
        </is>
      </c>
      <c r="E2163" s="4" t="n">
        <v>7370</v>
      </c>
      <c r="F2163" s="4" t="inlineStr">
        <is>
          <t>GOC Bed Unit-Costing Model v2 — working original.xlsx</t>
        </is>
      </c>
    </row>
    <row r="2164" ht="40" customHeight="1">
      <c r="A2164" s="4" t="inlineStr">
        <is>
          <t>original:NM Cashflow!X18</t>
        </is>
      </c>
      <c r="B2164" s="4" t="inlineStr">
        <is>
          <t>NM Cashflow</t>
        </is>
      </c>
      <c r="C2164" s="4" t="inlineStr">
        <is>
          <t>X18</t>
        </is>
      </c>
      <c r="D2164" s="4" t="inlineStr">
        <is>
          <t>=X13</t>
        </is>
      </c>
      <c r="E2164" s="4" t="n">
        <v>7870</v>
      </c>
      <c r="F2164" s="4" t="inlineStr">
        <is>
          <t>GOC Bed Unit-Costing Model v2 — working original.xlsx</t>
        </is>
      </c>
    </row>
    <row r="2165" ht="40" customHeight="1">
      <c r="A2165" s="4" t="inlineStr">
        <is>
          <t>original:NM Cashflow!Y18</t>
        </is>
      </c>
      <c r="B2165" s="4" t="inlineStr">
        <is>
          <t>NM Cashflow</t>
        </is>
      </c>
      <c r="C2165" s="4" t="inlineStr">
        <is>
          <t>Y18</t>
        </is>
      </c>
      <c r="D2165" s="4" t="inlineStr">
        <is>
          <t>=Y13</t>
        </is>
      </c>
      <c r="E2165" s="4" t="n">
        <v>7870</v>
      </c>
      <c r="F2165" s="4" t="inlineStr">
        <is>
          <t>GOC Bed Unit-Costing Model v2 — working original.xlsx</t>
        </is>
      </c>
    </row>
    <row r="2166" ht="40" customHeight="1">
      <c r="A2166" s="4" t="inlineStr">
        <is>
          <t>original:NM Cashflow!Z18</t>
        </is>
      </c>
      <c r="B2166" s="4" t="inlineStr">
        <is>
          <t>NM Cashflow</t>
        </is>
      </c>
      <c r="C2166" s="4" t="inlineStr">
        <is>
          <t>Z18</t>
        </is>
      </c>
      <c r="D2166" s="4" t="inlineStr">
        <is>
          <t>=Z13</t>
        </is>
      </c>
      <c r="E2166" s="4" t="n">
        <v>7870</v>
      </c>
      <c r="F2166" s="4" t="inlineStr">
        <is>
          <t>GOC Bed Unit-Costing Model v2 — working original.xlsx</t>
        </is>
      </c>
    </row>
    <row r="2167" ht="40" customHeight="1">
      <c r="A2167" s="4" t="inlineStr">
        <is>
          <t>original:NM Cashflow!AA18</t>
        </is>
      </c>
      <c r="B2167" s="4" t="inlineStr">
        <is>
          <t>NM Cashflow</t>
        </is>
      </c>
      <c r="C2167" s="4" t="inlineStr">
        <is>
          <t>AA18</t>
        </is>
      </c>
      <c r="D2167" s="4" t="inlineStr">
        <is>
          <t>=AA13</t>
        </is>
      </c>
      <c r="E2167" s="4" t="n"/>
      <c r="F2167" s="4" t="inlineStr">
        <is>
          <t>GOC Bed Unit-Costing Model v2 — working original.xlsx</t>
        </is>
      </c>
    </row>
    <row r="2168" ht="40" customHeight="1">
      <c r="A2168" s="4" t="inlineStr">
        <is>
          <t>original:NM Cashflow!A19</t>
        </is>
      </c>
      <c r="B2168" s="4" t="inlineStr">
        <is>
          <t>NM Cashflow</t>
        </is>
      </c>
      <c r="C2168" s="4" t="inlineStr">
        <is>
          <t>A19</t>
        </is>
      </c>
      <c r="D2168" s="4" t="inlineStr">
        <is>
          <t xml:space="preserve">Hrs Employment  4.8 hrs per bed </t>
        </is>
      </c>
      <c r="E2168" s="4" t="inlineStr">
        <is>
          <t xml:space="preserve">Hrs Employment  4.8 hrs per bed </t>
        </is>
      </c>
      <c r="F2168" s="4" t="inlineStr">
        <is>
          <t>GOC Bed Unit-Costing Model v2 — working original.xlsx</t>
        </is>
      </c>
    </row>
    <row r="2169" ht="40" customHeight="1">
      <c r="A2169" s="4" t="inlineStr">
        <is>
          <t>original:NM Cashflow!B19</t>
        </is>
      </c>
      <c r="B2169" s="4" t="inlineStr">
        <is>
          <t>NM Cashflow</t>
        </is>
      </c>
      <c r="C2169" s="4" t="inlineStr">
        <is>
          <t>B19</t>
        </is>
      </c>
      <c r="D2169" s="4" t="inlineStr">
        <is>
          <t>=B13*4.8</t>
        </is>
      </c>
      <c r="E2169" s="4" t="n">
        <v>624</v>
      </c>
      <c r="F2169" s="4" t="inlineStr">
        <is>
          <t>GOC Bed Unit-Costing Model v2 — working original.xlsx</t>
        </is>
      </c>
    </row>
    <row r="2170" ht="40" customHeight="1">
      <c r="A2170" s="4" t="inlineStr">
        <is>
          <t>original:NM Cashflow!C19</t>
        </is>
      </c>
      <c r="B2170" s="4" t="inlineStr">
        <is>
          <t>NM Cashflow</t>
        </is>
      </c>
      <c r="C2170" s="4" t="inlineStr">
        <is>
          <t>C19</t>
        </is>
      </c>
      <c r="D2170" s="4" t="inlineStr">
        <is>
          <t>=C13*4.8</t>
        </is>
      </c>
      <c r="E2170" s="4" t="n">
        <v>1248</v>
      </c>
      <c r="F2170" s="4" t="inlineStr">
        <is>
          <t>GOC Bed Unit-Costing Model v2 — working original.xlsx</t>
        </is>
      </c>
    </row>
    <row r="2171" ht="40" customHeight="1">
      <c r="A2171" s="4" t="inlineStr">
        <is>
          <t>original:NM Cashflow!D19</t>
        </is>
      </c>
      <c r="B2171" s="4" t="inlineStr">
        <is>
          <t>NM Cashflow</t>
        </is>
      </c>
      <c r="C2171" s="4" t="inlineStr">
        <is>
          <t>D19</t>
        </is>
      </c>
      <c r="D2171" s="4" t="inlineStr">
        <is>
          <t>=D13*4.8</t>
        </is>
      </c>
      <c r="E2171" s="4" t="n">
        <v>2352</v>
      </c>
      <c r="F2171" s="4" t="inlineStr">
        <is>
          <t>GOC Bed Unit-Costing Model v2 — working original.xlsx</t>
        </is>
      </c>
    </row>
    <row r="2172" ht="40" customHeight="1">
      <c r="A2172" s="4" t="inlineStr">
        <is>
          <t>original:NM Cashflow!E19</t>
        </is>
      </c>
      <c r="B2172" s="4" t="inlineStr">
        <is>
          <t>NM Cashflow</t>
        </is>
      </c>
      <c r="C2172" s="4" t="inlineStr">
        <is>
          <t>E19</t>
        </is>
      </c>
      <c r="D2172" s="4" t="inlineStr">
        <is>
          <t>=E13*4.8</t>
        </is>
      </c>
      <c r="E2172" s="4" t="n">
        <v>2352</v>
      </c>
      <c r="F2172" s="4" t="inlineStr">
        <is>
          <t>GOC Bed Unit-Costing Model v2 — working original.xlsx</t>
        </is>
      </c>
    </row>
    <row r="2173" ht="40" customHeight="1">
      <c r="A2173" s="4" t="inlineStr">
        <is>
          <t>original:NM Cashflow!F19</t>
        </is>
      </c>
      <c r="B2173" s="4" t="inlineStr">
        <is>
          <t>NM Cashflow</t>
        </is>
      </c>
      <c r="C2173" s="4" t="inlineStr">
        <is>
          <t>F19</t>
        </is>
      </c>
      <c r="D2173" s="4" t="inlineStr">
        <is>
          <t>=F13*4.8</t>
        </is>
      </c>
      <c r="E2173" s="4" t="n">
        <v>2352</v>
      </c>
      <c r="F2173" s="4" t="inlineStr">
        <is>
          <t>GOC Bed Unit-Costing Model v2 — working original.xlsx</t>
        </is>
      </c>
    </row>
    <row r="2174" ht="40" customHeight="1">
      <c r="A2174" s="4" t="inlineStr">
        <is>
          <t>original:NM Cashflow!G19</t>
        </is>
      </c>
      <c r="B2174" s="4" t="inlineStr">
        <is>
          <t>NM Cashflow</t>
        </is>
      </c>
      <c r="C2174" s="4" t="inlineStr">
        <is>
          <t>G19</t>
        </is>
      </c>
      <c r="D2174" s="4" t="inlineStr">
        <is>
          <t>=G13*4.8</t>
        </is>
      </c>
      <c r="E2174" s="4" t="n">
        <v>3456</v>
      </c>
      <c r="F2174" s="4" t="inlineStr">
        <is>
          <t>GOC Bed Unit-Costing Model v2 — working original.xlsx</t>
        </is>
      </c>
    </row>
    <row r="2175" ht="40" customHeight="1">
      <c r="A2175" s="4" t="inlineStr">
        <is>
          <t>original:NM Cashflow!H19</t>
        </is>
      </c>
      <c r="B2175" s="4" t="inlineStr">
        <is>
          <t>NM Cashflow</t>
        </is>
      </c>
      <c r="C2175" s="4" t="inlineStr">
        <is>
          <t>H19</t>
        </is>
      </c>
      <c r="D2175" s="4" t="inlineStr">
        <is>
          <t>=H13*4.8</t>
        </is>
      </c>
      <c r="E2175" s="4" t="n">
        <v>4560</v>
      </c>
      <c r="F2175" s="4" t="inlineStr">
        <is>
          <t>GOC Bed Unit-Costing Model v2 — working original.xlsx</t>
        </is>
      </c>
    </row>
    <row r="2176" ht="40" customHeight="1">
      <c r="A2176" s="4" t="inlineStr">
        <is>
          <t>original:NM Cashflow!I19</t>
        </is>
      </c>
      <c r="B2176" s="4" t="inlineStr">
        <is>
          <t>NM Cashflow</t>
        </is>
      </c>
      <c r="C2176" s="4" t="inlineStr">
        <is>
          <t>I19</t>
        </is>
      </c>
      <c r="D2176" s="4" t="inlineStr">
        <is>
          <t>=I13*4.8</t>
        </is>
      </c>
      <c r="E2176" s="4" t="n">
        <v>6144</v>
      </c>
      <c r="F2176" s="4" t="inlineStr">
        <is>
          <t>GOC Bed Unit-Costing Model v2 — working original.xlsx</t>
        </is>
      </c>
    </row>
    <row r="2177" ht="40" customHeight="1">
      <c r="A2177" s="4" t="inlineStr">
        <is>
          <t>original:NM Cashflow!J19</t>
        </is>
      </c>
      <c r="B2177" s="4" t="inlineStr">
        <is>
          <t>NM Cashflow</t>
        </is>
      </c>
      <c r="C2177" s="4" t="inlineStr">
        <is>
          <t>J19</t>
        </is>
      </c>
      <c r="D2177" s="4" t="inlineStr">
        <is>
          <t>=J13*4.8</t>
        </is>
      </c>
      <c r="E2177" s="4" t="n">
        <v>8208</v>
      </c>
      <c r="F2177" s="4" t="inlineStr">
        <is>
          <t>GOC Bed Unit-Costing Model v2 — working original.xlsx</t>
        </is>
      </c>
    </row>
    <row r="2178" ht="40" customHeight="1">
      <c r="A2178" s="4" t="inlineStr">
        <is>
          <t>original:NM Cashflow!K19</t>
        </is>
      </c>
      <c r="B2178" s="4" t="inlineStr">
        <is>
          <t>NM Cashflow</t>
        </is>
      </c>
      <c r="C2178" s="4" t="inlineStr">
        <is>
          <t>K19</t>
        </is>
      </c>
      <c r="D2178" s="4" t="inlineStr">
        <is>
          <t>=K13*4.8</t>
        </is>
      </c>
      <c r="E2178" s="4" t="n">
        <v>10752</v>
      </c>
      <c r="F2178" s="4" t="inlineStr">
        <is>
          <t>GOC Bed Unit-Costing Model v2 — working original.xlsx</t>
        </is>
      </c>
    </row>
    <row r="2179" ht="40" customHeight="1">
      <c r="A2179" s="4" t="inlineStr">
        <is>
          <t>original:NM Cashflow!L19</t>
        </is>
      </c>
      <c r="B2179" s="4" t="inlineStr">
        <is>
          <t>NM Cashflow</t>
        </is>
      </c>
      <c r="C2179" s="4" t="inlineStr">
        <is>
          <t>L19</t>
        </is>
      </c>
      <c r="D2179" s="4" t="inlineStr">
        <is>
          <t>=L13*4.8</t>
        </is>
      </c>
      <c r="E2179" s="4" t="n">
        <v>13776</v>
      </c>
      <c r="F2179" s="4" t="inlineStr">
        <is>
          <t>GOC Bed Unit-Costing Model v2 — working original.xlsx</t>
        </is>
      </c>
    </row>
    <row r="2180" ht="40" customHeight="1">
      <c r="A2180" s="4" t="inlineStr">
        <is>
          <t>original:NM Cashflow!M19</t>
        </is>
      </c>
      <c r="B2180" s="4" t="inlineStr">
        <is>
          <t>NM Cashflow</t>
        </is>
      </c>
      <c r="C2180" s="4" t="inlineStr">
        <is>
          <t>M19</t>
        </is>
      </c>
      <c r="D2180" s="4" t="inlineStr">
        <is>
          <t>=M13*4.8</t>
        </is>
      </c>
      <c r="E2180" s="4" t="n">
        <v>16176</v>
      </c>
      <c r="F2180" s="4" t="inlineStr">
        <is>
          <t>GOC Bed Unit-Costing Model v2 — working original.xlsx</t>
        </is>
      </c>
    </row>
    <row r="2181" ht="40" customHeight="1">
      <c r="A2181" s="4" t="inlineStr">
        <is>
          <t>original:NM Cashflow!N19</t>
        </is>
      </c>
      <c r="B2181" s="4" t="inlineStr">
        <is>
          <t>NM Cashflow</t>
        </is>
      </c>
      <c r="C2181" s="4" t="inlineStr">
        <is>
          <t>N19</t>
        </is>
      </c>
      <c r="D2181" s="4" t="inlineStr">
        <is>
          <t>=N13*4.8</t>
        </is>
      </c>
      <c r="E2181" s="4" t="n">
        <v>18576</v>
      </c>
      <c r="F2181" s="4" t="inlineStr">
        <is>
          <t>GOC Bed Unit-Costing Model v2 — working original.xlsx</t>
        </is>
      </c>
    </row>
    <row r="2182" ht="40" customHeight="1">
      <c r="A2182" s="4" t="inlineStr">
        <is>
          <t>original:NM Cashflow!O19</t>
        </is>
      </c>
      <c r="B2182" s="4" t="inlineStr">
        <is>
          <t>NM Cashflow</t>
        </is>
      </c>
      <c r="C2182" s="4" t="inlineStr">
        <is>
          <t>O19</t>
        </is>
      </c>
      <c r="D2182" s="4" t="inlineStr">
        <is>
          <t>=O13*4.8</t>
        </is>
      </c>
      <c r="E2182" s="4" t="n">
        <v>20976</v>
      </c>
      <c r="F2182" s="4" t="inlineStr">
        <is>
          <t>GOC Bed Unit-Costing Model v2 — working original.xlsx</t>
        </is>
      </c>
    </row>
    <row r="2183" ht="40" customHeight="1">
      <c r="A2183" s="4" t="inlineStr">
        <is>
          <t>original:NM Cashflow!P19</t>
        </is>
      </c>
      <c r="B2183" s="4" t="inlineStr">
        <is>
          <t>NM Cashflow</t>
        </is>
      </c>
      <c r="C2183" s="4" t="inlineStr">
        <is>
          <t>P19</t>
        </is>
      </c>
      <c r="D2183" s="4" t="inlineStr">
        <is>
          <t>=P13*4.8</t>
        </is>
      </c>
      <c r="E2183" s="4" t="n">
        <v>23376</v>
      </c>
      <c r="F2183" s="4" t="inlineStr">
        <is>
          <t>GOC Bed Unit-Costing Model v2 — working original.xlsx</t>
        </is>
      </c>
    </row>
    <row r="2184" ht="40" customHeight="1">
      <c r="A2184" s="4" t="inlineStr">
        <is>
          <t>original:NM Cashflow!Q19</t>
        </is>
      </c>
      <c r="B2184" s="4" t="inlineStr">
        <is>
          <t>NM Cashflow</t>
        </is>
      </c>
      <c r="C2184" s="4" t="inlineStr">
        <is>
          <t>Q19</t>
        </is>
      </c>
      <c r="D2184" s="4" t="inlineStr">
        <is>
          <t>=Q13*4.8</t>
        </is>
      </c>
      <c r="E2184" s="4" t="n">
        <v>23376</v>
      </c>
      <c r="F2184" s="4" t="inlineStr">
        <is>
          <t>GOC Bed Unit-Costing Model v2 — working original.xlsx</t>
        </is>
      </c>
    </row>
    <row r="2185" ht="40" customHeight="1">
      <c r="A2185" s="4" t="inlineStr">
        <is>
          <t>original:NM Cashflow!R19</t>
        </is>
      </c>
      <c r="B2185" s="4" t="inlineStr">
        <is>
          <t>NM Cashflow</t>
        </is>
      </c>
      <c r="C2185" s="4" t="inlineStr">
        <is>
          <t>R19</t>
        </is>
      </c>
      <c r="D2185" s="4" t="inlineStr">
        <is>
          <t>=R13*4.8</t>
        </is>
      </c>
      <c r="E2185" s="4" t="n">
        <v>23376</v>
      </c>
      <c r="F2185" s="4" t="inlineStr">
        <is>
          <t>GOC Bed Unit-Costing Model v2 — working original.xlsx</t>
        </is>
      </c>
    </row>
    <row r="2186" ht="40" customHeight="1">
      <c r="A2186" s="4" t="inlineStr">
        <is>
          <t>original:NM Cashflow!S19</t>
        </is>
      </c>
      <c r="B2186" s="4" t="inlineStr">
        <is>
          <t>NM Cashflow</t>
        </is>
      </c>
      <c r="C2186" s="4" t="inlineStr">
        <is>
          <t>S19</t>
        </is>
      </c>
      <c r="D2186" s="4" t="inlineStr">
        <is>
          <t>=S13*4.8</t>
        </is>
      </c>
      <c r="E2186" s="4" t="n">
        <v>25776</v>
      </c>
      <c r="F2186" s="4" t="inlineStr">
        <is>
          <t>GOC Bed Unit-Costing Model v2 — working original.xlsx</t>
        </is>
      </c>
    </row>
    <row r="2187" ht="40" customHeight="1">
      <c r="A2187" s="4" t="inlineStr">
        <is>
          <t>original:NM Cashflow!T19</t>
        </is>
      </c>
      <c r="B2187" s="4" t="inlineStr">
        <is>
          <t>NM Cashflow</t>
        </is>
      </c>
      <c r="C2187" s="4" t="inlineStr">
        <is>
          <t>T19</t>
        </is>
      </c>
      <c r="D2187" s="4" t="inlineStr">
        <is>
          <t>=T13*4.8</t>
        </is>
      </c>
      <c r="E2187" s="4" t="n">
        <v>28176</v>
      </c>
      <c r="F2187" s="4" t="inlineStr">
        <is>
          <t>GOC Bed Unit-Costing Model v2 — working original.xlsx</t>
        </is>
      </c>
    </row>
    <row r="2188" ht="40" customHeight="1">
      <c r="A2188" s="4" t="inlineStr">
        <is>
          <t>original:NM Cashflow!U19</t>
        </is>
      </c>
      <c r="B2188" s="4" t="inlineStr">
        <is>
          <t>NM Cashflow</t>
        </is>
      </c>
      <c r="C2188" s="4" t="inlineStr">
        <is>
          <t>U19</t>
        </is>
      </c>
      <c r="D2188" s="4" t="inlineStr">
        <is>
          <t>=U13*4.8</t>
        </is>
      </c>
      <c r="E2188" s="4" t="n">
        <v>30576</v>
      </c>
      <c r="F2188" s="4" t="inlineStr">
        <is>
          <t>GOC Bed Unit-Costing Model v2 — working original.xlsx</t>
        </is>
      </c>
    </row>
    <row r="2189" ht="40" customHeight="1">
      <c r="A2189" s="4" t="inlineStr">
        <is>
          <t>original:NM Cashflow!V19</t>
        </is>
      </c>
      <c r="B2189" s="4" t="inlineStr">
        <is>
          <t>NM Cashflow</t>
        </is>
      </c>
      <c r="C2189" s="4" t="inlineStr">
        <is>
          <t>V19</t>
        </is>
      </c>
      <c r="D2189" s="4" t="inlineStr">
        <is>
          <t>=V13*4.8</t>
        </is>
      </c>
      <c r="E2189" s="4" t="n">
        <v>32976</v>
      </c>
      <c r="F2189" s="4" t="inlineStr">
        <is>
          <t>GOC Bed Unit-Costing Model v2 — working original.xlsx</t>
        </is>
      </c>
    </row>
    <row r="2190" ht="40" customHeight="1">
      <c r="A2190" s="4" t="inlineStr">
        <is>
          <t>original:NM Cashflow!W19</t>
        </is>
      </c>
      <c r="B2190" s="4" t="inlineStr">
        <is>
          <t>NM Cashflow</t>
        </is>
      </c>
      <c r="C2190" s="4" t="inlineStr">
        <is>
          <t>W19</t>
        </is>
      </c>
      <c r="D2190" s="4" t="inlineStr">
        <is>
          <t>=W13*4.8</t>
        </is>
      </c>
      <c r="E2190" s="4" t="n">
        <v>35376</v>
      </c>
      <c r="F2190" s="4" t="inlineStr">
        <is>
          <t>GOC Bed Unit-Costing Model v2 — working original.xlsx</t>
        </is>
      </c>
    </row>
    <row r="2191" ht="40" customHeight="1">
      <c r="A2191" s="4" t="inlineStr">
        <is>
          <t>original:NM Cashflow!X19</t>
        </is>
      </c>
      <c r="B2191" s="4" t="inlineStr">
        <is>
          <t>NM Cashflow</t>
        </is>
      </c>
      <c r="C2191" s="4" t="inlineStr">
        <is>
          <t>X19</t>
        </is>
      </c>
      <c r="D2191" s="4" t="inlineStr">
        <is>
          <t>=X13*4.8</t>
        </is>
      </c>
      <c r="E2191" s="4" t="n">
        <v>37776</v>
      </c>
      <c r="F2191" s="4" t="inlineStr">
        <is>
          <t>GOC Bed Unit-Costing Model v2 — working original.xlsx</t>
        </is>
      </c>
    </row>
    <row r="2192" ht="40" customHeight="1">
      <c r="A2192" s="4" t="inlineStr">
        <is>
          <t>original:NM Cashflow!Y19</t>
        </is>
      </c>
      <c r="B2192" s="4" t="inlineStr">
        <is>
          <t>NM Cashflow</t>
        </is>
      </c>
      <c r="C2192" s="4" t="inlineStr">
        <is>
          <t>Y19</t>
        </is>
      </c>
      <c r="D2192" s="4" t="inlineStr">
        <is>
          <t>=Y13*4.8</t>
        </is>
      </c>
      <c r="E2192" s="4" t="n">
        <v>37776</v>
      </c>
      <c r="F2192" s="4" t="inlineStr">
        <is>
          <t>GOC Bed Unit-Costing Model v2 — working original.xlsx</t>
        </is>
      </c>
    </row>
    <row r="2193" ht="40" customHeight="1">
      <c r="A2193" s="4" t="inlineStr">
        <is>
          <t>original:NM Cashflow!Z19</t>
        </is>
      </c>
      <c r="B2193" s="4" t="inlineStr">
        <is>
          <t>NM Cashflow</t>
        </is>
      </c>
      <c r="C2193" s="4" t="inlineStr">
        <is>
          <t>Z19</t>
        </is>
      </c>
      <c r="D2193" s="4" t="inlineStr">
        <is>
          <t>=Z13*4.8</t>
        </is>
      </c>
      <c r="E2193" s="4" t="n">
        <v>37776</v>
      </c>
      <c r="F2193" s="4" t="inlineStr">
        <is>
          <t>GOC Bed Unit-Costing Model v2 — working original.xlsx</t>
        </is>
      </c>
    </row>
    <row r="2194" ht="40" customHeight="1">
      <c r="A2194" s="4" t="inlineStr">
        <is>
          <t>original:NM Cashflow!A22</t>
        </is>
      </c>
      <c r="B2194" s="4" t="inlineStr">
        <is>
          <t>NM Cashflow</t>
        </is>
      </c>
      <c r="C2194" s="4" t="inlineStr">
        <is>
          <t>A22</t>
        </is>
      </c>
      <c r="D2194" s="4" t="inlineStr">
        <is>
          <t>Goods Washer Production</t>
        </is>
      </c>
      <c r="E2194" s="4" t="inlineStr">
        <is>
          <t>Goods Washer Production</t>
        </is>
      </c>
      <c r="F2194" s="4" t="inlineStr">
        <is>
          <t>GOC Bed Unit-Costing Model v2 — working original.xlsx</t>
        </is>
      </c>
    </row>
    <row r="2195" ht="40" customHeight="1">
      <c r="A2195" s="4" t="inlineStr">
        <is>
          <t>original:NM Cashflow!C22</t>
        </is>
      </c>
      <c r="B2195" s="4" t="inlineStr">
        <is>
          <t>NM Cashflow</t>
        </is>
      </c>
      <c r="C2195" s="4" t="inlineStr">
        <is>
          <t>C22</t>
        </is>
      </c>
      <c r="D2195" s="4" t="n">
        <v>5</v>
      </c>
      <c r="E2195" s="4" t="n">
        <v>5</v>
      </c>
      <c r="F2195" s="4" t="inlineStr">
        <is>
          <t>GOC Bed Unit-Costing Model v2 — working original.xlsx</t>
        </is>
      </c>
    </row>
    <row r="2196" ht="40" customHeight="1">
      <c r="A2196" s="4" t="inlineStr">
        <is>
          <t>original:NM Cashflow!D22</t>
        </is>
      </c>
      <c r="B2196" s="4" t="inlineStr">
        <is>
          <t>NM Cashflow</t>
        </is>
      </c>
      <c r="C2196" s="4" t="inlineStr">
        <is>
          <t>D22</t>
        </is>
      </c>
      <c r="D2196" s="4" t="n">
        <v>10</v>
      </c>
      <c r="E2196" s="4" t="n">
        <v>10</v>
      </c>
      <c r="F2196" s="4" t="inlineStr">
        <is>
          <t>GOC Bed Unit-Costing Model v2 — working original.xlsx</t>
        </is>
      </c>
    </row>
    <row r="2197" ht="40" customHeight="1">
      <c r="A2197" s="4" t="inlineStr">
        <is>
          <t>original:NM Cashflow!E22</t>
        </is>
      </c>
      <c r="B2197" s="4" t="inlineStr">
        <is>
          <t>NM Cashflow</t>
        </is>
      </c>
      <c r="C2197" s="4" t="inlineStr">
        <is>
          <t>E22</t>
        </is>
      </c>
      <c r="D2197" s="4" t="n">
        <v>15</v>
      </c>
      <c r="E2197" s="4" t="n">
        <v>15</v>
      </c>
      <c r="F2197" s="4" t="inlineStr">
        <is>
          <t>GOC Bed Unit-Costing Model v2 — working original.xlsx</t>
        </is>
      </c>
    </row>
    <row r="2198" ht="40" customHeight="1">
      <c r="A2198" s="4" t="inlineStr">
        <is>
          <t>original:NM Cashflow!I22</t>
        </is>
      </c>
      <c r="B2198" s="4" t="inlineStr">
        <is>
          <t>NM Cashflow</t>
        </is>
      </c>
      <c r="C2198" s="4" t="inlineStr">
        <is>
          <t>I22</t>
        </is>
      </c>
      <c r="D2198" s="4" t="n">
        <v>30</v>
      </c>
      <c r="E2198" s="4" t="n">
        <v>30</v>
      </c>
      <c r="F2198" s="4" t="inlineStr">
        <is>
          <t>GOC Bed Unit-Costing Model v2 — working original.xlsx</t>
        </is>
      </c>
    </row>
    <row r="2199" ht="40" customHeight="1">
      <c r="A2199" s="4" t="inlineStr">
        <is>
          <t>original:NM Cashflow!L22</t>
        </is>
      </c>
      <c r="B2199" s="4" t="inlineStr">
        <is>
          <t>NM Cashflow</t>
        </is>
      </c>
      <c r="C2199" s="4" t="inlineStr">
        <is>
          <t>L22</t>
        </is>
      </c>
      <c r="D2199" s="4" t="n">
        <v>50</v>
      </c>
      <c r="E2199" s="4" t="n">
        <v>50</v>
      </c>
      <c r="F2199" s="4" t="inlineStr">
        <is>
          <t>GOC Bed Unit-Costing Model v2 — working original.xlsx</t>
        </is>
      </c>
    </row>
    <row r="2200" ht="40" customHeight="1">
      <c r="A2200" s="4" t="inlineStr">
        <is>
          <t>original:NM Cashflow!A25</t>
        </is>
      </c>
      <c r="B2200" s="4" t="inlineStr">
        <is>
          <t>NM Cashflow</t>
        </is>
      </c>
      <c r="C2200" s="4" t="inlineStr">
        <is>
          <t>A25</t>
        </is>
      </c>
      <c r="D2200" s="4" t="inlineStr">
        <is>
          <t xml:space="preserve">Income </t>
        </is>
      </c>
      <c r="E2200" s="4" t="inlineStr">
        <is>
          <t xml:space="preserve">Income </t>
        </is>
      </c>
      <c r="F2200" s="4" t="inlineStr">
        <is>
          <t>GOC Bed Unit-Costing Model v2 — working original.xlsx</t>
        </is>
      </c>
    </row>
    <row r="2201" ht="40" customHeight="1">
      <c r="A2201" s="4" t="inlineStr">
        <is>
          <t>original:NM Cashflow!A26</t>
        </is>
      </c>
      <c r="B2201" s="4" t="inlineStr">
        <is>
          <t>NM Cashflow</t>
        </is>
      </c>
      <c r="C2201" s="4" t="inlineStr">
        <is>
          <t>A26</t>
        </is>
      </c>
      <c r="D2201" s="4" t="inlineStr">
        <is>
          <t xml:space="preserve">Bed Sales </t>
        </is>
      </c>
      <c r="E2201" s="4" t="inlineStr">
        <is>
          <t xml:space="preserve">Bed Sales </t>
        </is>
      </c>
      <c r="F2201" s="4" t="inlineStr">
        <is>
          <t>GOC Bed Unit-Costing Model v2 — working original.xlsx</t>
        </is>
      </c>
    </row>
    <row r="2202" ht="40" customHeight="1">
      <c r="A2202" s="4" t="inlineStr">
        <is>
          <t>original:NM Cashflow!B26</t>
        </is>
      </c>
      <c r="B2202" s="4" t="inlineStr">
        <is>
          <t>NM Cashflow</t>
        </is>
      </c>
      <c r="C2202" s="4" t="inlineStr">
        <is>
          <t>B26</t>
        </is>
      </c>
      <c r="D2202" s="4" t="inlineStr">
        <is>
          <t>=100*750</t>
        </is>
      </c>
      <c r="E2202" s="4" t="n">
        <v>75000</v>
      </c>
      <c r="F2202" s="4" t="inlineStr">
        <is>
          <t>GOC Bed Unit-Costing Model v2 — working original.xlsx</t>
        </is>
      </c>
    </row>
    <row r="2203" ht="40" customHeight="1">
      <c r="A2203" s="4" t="inlineStr">
        <is>
          <t>original:NM Cashflow!A27</t>
        </is>
      </c>
      <c r="B2203" s="4" t="inlineStr">
        <is>
          <t>NM Cashflow</t>
        </is>
      </c>
      <c r="C2203" s="4" t="inlineStr">
        <is>
          <t>A27</t>
        </is>
      </c>
      <c r="D2203" s="4" t="inlineStr">
        <is>
          <t>Community Factory 1 - Mparntwe</t>
        </is>
      </c>
      <c r="E2203" s="4" t="inlineStr">
        <is>
          <t>Community Factory 1 - Mparntwe</t>
        </is>
      </c>
      <c r="F2203" s="4" t="inlineStr">
        <is>
          <t>GOC Bed Unit-Costing Model v2 — working original.xlsx</t>
        </is>
      </c>
    </row>
    <row r="2204" ht="40" customHeight="1">
      <c r="A2204" s="4" t="inlineStr">
        <is>
          <t>original:NM Cashflow!C27</t>
        </is>
      </c>
      <c r="B2204" s="4" t="inlineStr">
        <is>
          <t>NM Cashflow</t>
        </is>
      </c>
      <c r="C2204" s="4" t="inlineStr">
        <is>
          <t>C27</t>
        </is>
      </c>
      <c r="D2204" s="4" t="n">
        <v>1500</v>
      </c>
      <c r="E2204" s="4" t="n">
        <v>1500</v>
      </c>
      <c r="F2204" s="4" t="inlineStr">
        <is>
          <t>GOC Bed Unit-Costing Model v2 — working original.xlsx</t>
        </is>
      </c>
    </row>
    <row r="2205" ht="40" customHeight="1">
      <c r="A2205" s="4" t="inlineStr">
        <is>
          <t>original:NM Cashflow!D27</t>
        </is>
      </c>
      <c r="B2205" s="4" t="inlineStr">
        <is>
          <t>NM Cashflow</t>
        </is>
      </c>
      <c r="C2205" s="4" t="inlineStr">
        <is>
          <t>D27</t>
        </is>
      </c>
      <c r="D2205" s="4" t="n">
        <v>1500</v>
      </c>
      <c r="E2205" s="4" t="n">
        <v>1500</v>
      </c>
      <c r="F2205" s="4" t="inlineStr">
        <is>
          <t>GOC Bed Unit-Costing Model v2 — working original.xlsx</t>
        </is>
      </c>
    </row>
    <row r="2206" ht="40" customHeight="1">
      <c r="A2206" s="4" t="inlineStr">
        <is>
          <t>original:NM Cashflow!E27</t>
        </is>
      </c>
      <c r="B2206" s="4" t="inlineStr">
        <is>
          <t>NM Cashflow</t>
        </is>
      </c>
      <c r="C2206" s="4" t="inlineStr">
        <is>
          <t>E27</t>
        </is>
      </c>
      <c r="D2206" s="4" t="n">
        <v>1500</v>
      </c>
      <c r="E2206" s="4" t="n">
        <v>1500</v>
      </c>
      <c r="F2206" s="4" t="inlineStr">
        <is>
          <t>GOC Bed Unit-Costing Model v2 — working original.xlsx</t>
        </is>
      </c>
    </row>
    <row r="2207" ht="40" customHeight="1">
      <c r="A2207" s="4" t="inlineStr">
        <is>
          <t>original:NM Cashflow!F27</t>
        </is>
      </c>
      <c r="B2207" s="4" t="inlineStr">
        <is>
          <t>NM Cashflow</t>
        </is>
      </c>
      <c r="C2207" s="4" t="inlineStr">
        <is>
          <t>F27</t>
        </is>
      </c>
      <c r="D2207" s="4" t="n">
        <v>1500</v>
      </c>
      <c r="E2207" s="4" t="n">
        <v>1500</v>
      </c>
      <c r="F2207" s="4" t="inlineStr">
        <is>
          <t>GOC Bed Unit-Costing Model v2 — working original.xlsx</t>
        </is>
      </c>
    </row>
    <row r="2208" ht="40" customHeight="1">
      <c r="A2208" s="4" t="inlineStr">
        <is>
          <t>original:NM Cashflow!G27</t>
        </is>
      </c>
      <c r="B2208" s="4" t="inlineStr">
        <is>
          <t>NM Cashflow</t>
        </is>
      </c>
      <c r="C2208" s="4" t="inlineStr">
        <is>
          <t>G27</t>
        </is>
      </c>
      <c r="D2208" s="4" t="n">
        <v>1500</v>
      </c>
      <c r="E2208" s="4" t="n">
        <v>1500</v>
      </c>
      <c r="F2208" s="4" t="inlineStr">
        <is>
          <t>GOC Bed Unit-Costing Model v2 — working original.xlsx</t>
        </is>
      </c>
    </row>
    <row r="2209" ht="40" customHeight="1">
      <c r="A2209" s="4" t="inlineStr">
        <is>
          <t>original:NM Cashflow!H27</t>
        </is>
      </c>
      <c r="B2209" s="4" t="inlineStr">
        <is>
          <t>NM Cashflow</t>
        </is>
      </c>
      <c r="C2209" s="4" t="inlineStr">
        <is>
          <t>H27</t>
        </is>
      </c>
      <c r="D2209" s="4" t="n">
        <v>1500</v>
      </c>
      <c r="E2209" s="4" t="n">
        <v>1500</v>
      </c>
      <c r="F2209" s="4" t="inlineStr">
        <is>
          <t>GOC Bed Unit-Costing Model v2 — working original.xlsx</t>
        </is>
      </c>
    </row>
    <row r="2210" ht="40" customHeight="1">
      <c r="A2210" s="4" t="inlineStr">
        <is>
          <t>original:NM Cashflow!I27</t>
        </is>
      </c>
      <c r="B2210" s="4" t="inlineStr">
        <is>
          <t>NM Cashflow</t>
        </is>
      </c>
      <c r="C2210" s="4" t="inlineStr">
        <is>
          <t>I27</t>
        </is>
      </c>
      <c r="D2210" s="4" t="n">
        <v>1500</v>
      </c>
      <c r="E2210" s="4" t="n">
        <v>1500</v>
      </c>
      <c r="F2210" s="4" t="inlineStr">
        <is>
          <t>GOC Bed Unit-Costing Model v2 — working original.xlsx</t>
        </is>
      </c>
    </row>
    <row r="2211" ht="40" customHeight="1">
      <c r="A2211" s="4" t="inlineStr">
        <is>
          <t>original:NM Cashflow!J27</t>
        </is>
      </c>
      <c r="B2211" s="4" t="inlineStr">
        <is>
          <t>NM Cashflow</t>
        </is>
      </c>
      <c r="C2211" s="4" t="inlineStr">
        <is>
          <t>J27</t>
        </is>
      </c>
      <c r="D2211" s="4" t="n">
        <v>1500</v>
      </c>
      <c r="E2211" s="4" t="n">
        <v>1500</v>
      </c>
      <c r="F2211" s="4" t="inlineStr">
        <is>
          <t>GOC Bed Unit-Costing Model v2 — working original.xlsx</t>
        </is>
      </c>
    </row>
    <row r="2212" ht="40" customHeight="1">
      <c r="A2212" s="4" t="inlineStr">
        <is>
          <t>original:NM Cashflow!A28</t>
        </is>
      </c>
      <c r="B2212" s="4" t="inlineStr">
        <is>
          <t>NM Cashflow</t>
        </is>
      </c>
      <c r="C2212" s="4" t="inlineStr">
        <is>
          <t>A28</t>
        </is>
      </c>
      <c r="D2212" s="4" t="inlineStr">
        <is>
          <t>Grant TFFF</t>
        </is>
      </c>
      <c r="E2212" s="4" t="inlineStr">
        <is>
          <t>Grant TFFF</t>
        </is>
      </c>
      <c r="F2212" s="4" t="inlineStr">
        <is>
          <t>GOC Bed Unit-Costing Model v2 — working original.xlsx</t>
        </is>
      </c>
    </row>
    <row r="2213" ht="40" customHeight="1">
      <c r="A2213" s="4" t="inlineStr">
        <is>
          <t>original:NM Cashflow!D28</t>
        </is>
      </c>
      <c r="B2213" s="4" t="inlineStr">
        <is>
          <t>NM Cashflow</t>
        </is>
      </c>
      <c r="C2213" s="4" t="inlineStr">
        <is>
          <t>D28</t>
        </is>
      </c>
      <c r="D2213" s="4" t="n">
        <v>100000</v>
      </c>
      <c r="E2213" s="4" t="n">
        <v>100000</v>
      </c>
      <c r="F2213" s="4" t="inlineStr">
        <is>
          <t>GOC Bed Unit-Costing Model v2 — working original.xlsx</t>
        </is>
      </c>
    </row>
    <row r="2214" ht="40" customHeight="1">
      <c r="A2214" s="4" t="inlineStr">
        <is>
          <t>original:NM Cashflow!L28</t>
        </is>
      </c>
      <c r="B2214" s="4" t="inlineStr">
        <is>
          <t>NM Cashflow</t>
        </is>
      </c>
      <c r="C2214" s="4" t="inlineStr">
        <is>
          <t>L28</t>
        </is>
      </c>
      <c r="D2214" s="4" t="n">
        <v>100000</v>
      </c>
      <c r="E2214" s="4" t="n">
        <v>100000</v>
      </c>
      <c r="F2214" s="4" t="inlineStr">
        <is>
          <t>GOC Bed Unit-Costing Model v2 — working original.xlsx</t>
        </is>
      </c>
    </row>
    <row r="2215" ht="40" customHeight="1">
      <c r="A2215" s="4" t="inlineStr">
        <is>
          <t>original:NM Cashflow!X28</t>
        </is>
      </c>
      <c r="B2215" s="4" t="inlineStr">
        <is>
          <t>NM Cashflow</t>
        </is>
      </c>
      <c r="C2215" s="4" t="inlineStr">
        <is>
          <t>X28</t>
        </is>
      </c>
      <c r="D2215" s="4" t="n">
        <v>100000</v>
      </c>
      <c r="E2215" s="4" t="n">
        <v>100000</v>
      </c>
      <c r="F2215" s="4" t="inlineStr">
        <is>
          <t>GOC Bed Unit-Costing Model v2 — working original.xlsx</t>
        </is>
      </c>
    </row>
    <row r="2216" ht="40" customHeight="1">
      <c r="A2216" s="4" t="inlineStr">
        <is>
          <t>original:NM Cashflow!A29</t>
        </is>
      </c>
      <c r="B2216" s="4" t="inlineStr">
        <is>
          <t>NM Cashflow</t>
        </is>
      </c>
      <c r="C2216" s="4" t="inlineStr">
        <is>
          <t>A29</t>
        </is>
      </c>
      <c r="D2216" s="4" t="inlineStr">
        <is>
          <t>Grant BDCF</t>
        </is>
      </c>
      <c r="E2216" s="4" t="inlineStr">
        <is>
          <t>Grant BDCF</t>
        </is>
      </c>
      <c r="F2216" s="4" t="inlineStr">
        <is>
          <t>GOC Bed Unit-Costing Model v2 — working original.xlsx</t>
        </is>
      </c>
    </row>
    <row r="2217" ht="40" customHeight="1">
      <c r="A2217" s="4" t="inlineStr">
        <is>
          <t>original:NM Cashflow!D29</t>
        </is>
      </c>
      <c r="B2217" s="4" t="inlineStr">
        <is>
          <t>NM Cashflow</t>
        </is>
      </c>
      <c r="C2217" s="4" t="inlineStr">
        <is>
          <t>D29</t>
        </is>
      </c>
      <c r="D2217" s="4" t="n">
        <v>100000</v>
      </c>
      <c r="E2217" s="4" t="n">
        <v>100000</v>
      </c>
      <c r="F2217" s="4" t="inlineStr">
        <is>
          <t>GOC Bed Unit-Costing Model v2 — working original.xlsx</t>
        </is>
      </c>
    </row>
    <row r="2218" ht="40" customHeight="1">
      <c r="A2218" s="4" t="inlineStr">
        <is>
          <t>original:NM Cashflow!A30</t>
        </is>
      </c>
      <c r="B2218" s="4" t="inlineStr">
        <is>
          <t>NM Cashflow</t>
        </is>
      </c>
      <c r="C2218" s="4" t="inlineStr">
        <is>
          <t>A30</t>
        </is>
      </c>
      <c r="D2218" s="4" t="inlineStr">
        <is>
          <t>Grant QBE</t>
        </is>
      </c>
      <c r="E2218" s="4" t="inlineStr">
        <is>
          <t>Grant QBE</t>
        </is>
      </c>
      <c r="F2218" s="4" t="inlineStr">
        <is>
          <t>GOC Bed Unit-Costing Model v2 — working original.xlsx</t>
        </is>
      </c>
    </row>
    <row r="2219" ht="40" customHeight="1">
      <c r="A2219" s="4" t="inlineStr">
        <is>
          <t>original:NM Cashflow!D30</t>
        </is>
      </c>
      <c r="B2219" s="4" t="inlineStr">
        <is>
          <t>NM Cashflow</t>
        </is>
      </c>
      <c r="C2219" s="4" t="inlineStr">
        <is>
          <t>D30</t>
        </is>
      </c>
      <c r="D2219" s="4" t="n">
        <v>300000</v>
      </c>
      <c r="E2219" s="4" t="n">
        <v>300000</v>
      </c>
      <c r="F2219" s="4" t="inlineStr">
        <is>
          <t>GOC Bed Unit-Costing Model v2 — working original.xlsx</t>
        </is>
      </c>
    </row>
    <row r="2220" ht="40" customHeight="1">
      <c r="A2220" s="4" t="inlineStr">
        <is>
          <t>original:NM Cashflow!A31</t>
        </is>
      </c>
      <c r="B2220" s="4" t="inlineStr">
        <is>
          <t>NM Cashflow</t>
        </is>
      </c>
      <c r="C2220" s="4" t="inlineStr">
        <is>
          <t>A31</t>
        </is>
      </c>
      <c r="D2220" s="4" t="inlineStr">
        <is>
          <t>Grant SNOW</t>
        </is>
      </c>
      <c r="E2220" s="4" t="inlineStr">
        <is>
          <t>Grant SNOW</t>
        </is>
      </c>
      <c r="F2220" s="4" t="inlineStr">
        <is>
          <t>GOC Bed Unit-Costing Model v2 — working original.xlsx</t>
        </is>
      </c>
    </row>
    <row r="2221" ht="40" customHeight="1">
      <c r="A2221" s="4" t="inlineStr">
        <is>
          <t>original:NM Cashflow!G31</t>
        </is>
      </c>
      <c r="B2221" s="4" t="inlineStr">
        <is>
          <t>NM Cashflow</t>
        </is>
      </c>
      <c r="C2221" s="4" t="inlineStr">
        <is>
          <t>G31</t>
        </is>
      </c>
      <c r="D2221" s="4" t="n">
        <v>150000</v>
      </c>
      <c r="E2221" s="4" t="n">
        <v>150000</v>
      </c>
      <c r="F2221" s="4" t="inlineStr">
        <is>
          <t>GOC Bed Unit-Costing Model v2 — working original.xlsx</t>
        </is>
      </c>
    </row>
    <row r="2222" ht="40" customHeight="1">
      <c r="A2222" s="4" t="inlineStr">
        <is>
          <t>original:NM Cashflow!A34</t>
        </is>
      </c>
      <c r="B2222" s="4" t="inlineStr">
        <is>
          <t>NM Cashflow</t>
        </is>
      </c>
      <c r="C2222" s="4" t="inlineStr">
        <is>
          <t>A34</t>
        </is>
      </c>
      <c r="D2222" s="4" t="inlineStr">
        <is>
          <t xml:space="preserve">Expenses </t>
        </is>
      </c>
      <c r="E2222" s="4" t="inlineStr">
        <is>
          <t xml:space="preserve">Expenses </t>
        </is>
      </c>
      <c r="F2222" s="4" t="inlineStr">
        <is>
          <t>GOC Bed Unit-Costing Model v2 — working original.xlsx</t>
        </is>
      </c>
    </row>
    <row r="2223" ht="40" customHeight="1">
      <c r="A2223" s="4" t="inlineStr">
        <is>
          <t>original:NM Cashflow!A35</t>
        </is>
      </c>
      <c r="B2223" s="4" t="inlineStr">
        <is>
          <t>NM Cashflow</t>
        </is>
      </c>
      <c r="C2223" s="4" t="inlineStr">
        <is>
          <t>A35</t>
        </is>
      </c>
      <c r="D2223" s="4" t="inlineStr">
        <is>
          <t xml:space="preserve">Founder Wages </t>
        </is>
      </c>
      <c r="E2223" s="4" t="inlineStr">
        <is>
          <t xml:space="preserve">Founder Wages </t>
        </is>
      </c>
      <c r="F2223" s="4" t="inlineStr">
        <is>
          <t>GOC Bed Unit-Costing Model v2 — working original.xlsx</t>
        </is>
      </c>
    </row>
    <row r="2224" ht="40" customHeight="1">
      <c r="A2224" s="4" t="inlineStr">
        <is>
          <t>original:NM Cashflow!B35</t>
        </is>
      </c>
      <c r="B2224" s="4" t="inlineStr">
        <is>
          <t>NM Cashflow</t>
        </is>
      </c>
      <c r="C2224" s="4" t="inlineStr">
        <is>
          <t>B35</t>
        </is>
      </c>
      <c r="D2224" s="4" t="n">
        <v>12000</v>
      </c>
      <c r="E2224" s="4" t="n">
        <v>12000</v>
      </c>
      <c r="F2224" s="4" t="inlineStr">
        <is>
          <t>GOC Bed Unit-Costing Model v2 — working original.xlsx</t>
        </is>
      </c>
    </row>
    <row r="2225" ht="40" customHeight="1">
      <c r="A2225" s="4" t="inlineStr">
        <is>
          <t>original:NM Cashflow!C35</t>
        </is>
      </c>
      <c r="B2225" s="4" t="inlineStr">
        <is>
          <t>NM Cashflow</t>
        </is>
      </c>
      <c r="C2225" s="4" t="inlineStr">
        <is>
          <t>C35</t>
        </is>
      </c>
      <c r="D2225" s="4" t="n">
        <v>12000</v>
      </c>
      <c r="E2225" s="4" t="n">
        <v>12000</v>
      </c>
      <c r="F2225" s="4" t="inlineStr">
        <is>
          <t>GOC Bed Unit-Costing Model v2 — working original.xlsx</t>
        </is>
      </c>
    </row>
    <row r="2226" ht="40" customHeight="1">
      <c r="A2226" s="4" t="inlineStr">
        <is>
          <t>original:NM Cashflow!D35</t>
        </is>
      </c>
      <c r="B2226" s="4" t="inlineStr">
        <is>
          <t>NM Cashflow</t>
        </is>
      </c>
      <c r="C2226" s="4" t="inlineStr">
        <is>
          <t>D35</t>
        </is>
      </c>
      <c r="D2226" s="4" t="n">
        <v>12000</v>
      </c>
      <c r="E2226" s="4" t="n">
        <v>12000</v>
      </c>
      <c r="F2226" s="4" t="inlineStr">
        <is>
          <t>GOC Bed Unit-Costing Model v2 — working original.xlsx</t>
        </is>
      </c>
    </row>
    <row r="2227" ht="40" customHeight="1">
      <c r="A2227" s="4" t="inlineStr">
        <is>
          <t>original:NM Cashflow!E35</t>
        </is>
      </c>
      <c r="B2227" s="4" t="inlineStr">
        <is>
          <t>NM Cashflow</t>
        </is>
      </c>
      <c r="C2227" s="4" t="inlineStr">
        <is>
          <t>E35</t>
        </is>
      </c>
      <c r="D2227" s="4" t="n">
        <v>12000</v>
      </c>
      <c r="E2227" s="4" t="n">
        <v>12000</v>
      </c>
      <c r="F2227" s="4" t="inlineStr">
        <is>
          <t>GOC Bed Unit-Costing Model v2 — working original.xlsx</t>
        </is>
      </c>
    </row>
    <row r="2228" ht="40" customHeight="1">
      <c r="A2228" s="4" t="inlineStr">
        <is>
          <t>original:NM Cashflow!F35</t>
        </is>
      </c>
      <c r="B2228" s="4" t="inlineStr">
        <is>
          <t>NM Cashflow</t>
        </is>
      </c>
      <c r="C2228" s="4" t="inlineStr">
        <is>
          <t>F35</t>
        </is>
      </c>
      <c r="D2228" s="4" t="n">
        <v>12000</v>
      </c>
      <c r="E2228" s="4" t="n">
        <v>12000</v>
      </c>
      <c r="F2228" s="4" t="inlineStr">
        <is>
          <t>GOC Bed Unit-Costing Model v2 — working original.xlsx</t>
        </is>
      </c>
    </row>
    <row r="2229" ht="40" customHeight="1">
      <c r="A2229" s="4" t="inlineStr">
        <is>
          <t>original:NM Cashflow!G35</t>
        </is>
      </c>
      <c r="B2229" s="4" t="inlineStr">
        <is>
          <t>NM Cashflow</t>
        </is>
      </c>
      <c r="C2229" s="4" t="inlineStr">
        <is>
          <t>G35</t>
        </is>
      </c>
      <c r="D2229" s="4" t="n">
        <v>12000</v>
      </c>
      <c r="E2229" s="4" t="n">
        <v>12000</v>
      </c>
      <c r="F2229" s="4" t="inlineStr">
        <is>
          <t>GOC Bed Unit-Costing Model v2 — working original.xlsx</t>
        </is>
      </c>
    </row>
    <row r="2230" ht="40" customHeight="1">
      <c r="A2230" s="4" t="inlineStr">
        <is>
          <t>original:NM Cashflow!H35</t>
        </is>
      </c>
      <c r="B2230" s="4" t="inlineStr">
        <is>
          <t>NM Cashflow</t>
        </is>
      </c>
      <c r="C2230" s="4" t="inlineStr">
        <is>
          <t>H35</t>
        </is>
      </c>
      <c r="D2230" s="4" t="n">
        <v>12000</v>
      </c>
      <c r="E2230" s="4" t="n">
        <v>12000</v>
      </c>
      <c r="F2230" s="4" t="inlineStr">
        <is>
          <t>GOC Bed Unit-Costing Model v2 — working original.xlsx</t>
        </is>
      </c>
    </row>
    <row r="2231" ht="40" customHeight="1">
      <c r="A2231" s="4" t="inlineStr">
        <is>
          <t>original:NM Cashflow!I35</t>
        </is>
      </c>
      <c r="B2231" s="4" t="inlineStr">
        <is>
          <t>NM Cashflow</t>
        </is>
      </c>
      <c r="C2231" s="4" t="inlineStr">
        <is>
          <t>I35</t>
        </is>
      </c>
      <c r="D2231" s="4" t="n">
        <v>12000</v>
      </c>
      <c r="E2231" s="4" t="n">
        <v>12000</v>
      </c>
      <c r="F2231" s="4" t="inlineStr">
        <is>
          <t>GOC Bed Unit-Costing Model v2 — working original.xlsx</t>
        </is>
      </c>
    </row>
    <row r="2232" ht="40" customHeight="1">
      <c r="A2232" s="4" t="inlineStr">
        <is>
          <t>original:NM Cashflow!J35</t>
        </is>
      </c>
      <c r="B2232" s="4" t="inlineStr">
        <is>
          <t>NM Cashflow</t>
        </is>
      </c>
      <c r="C2232" s="4" t="inlineStr">
        <is>
          <t>J35</t>
        </is>
      </c>
      <c r="D2232" s="4" t="n">
        <v>12000</v>
      </c>
      <c r="E2232" s="4" t="n">
        <v>12000</v>
      </c>
      <c r="F2232" s="4" t="inlineStr">
        <is>
          <t>GOC Bed Unit-Costing Model v2 — working original.xlsx</t>
        </is>
      </c>
    </row>
    <row r="2233" ht="40" customHeight="1">
      <c r="A2233" s="4" t="inlineStr">
        <is>
          <t>original:NM Cashflow!K35</t>
        </is>
      </c>
      <c r="B2233" s="4" t="inlineStr">
        <is>
          <t>NM Cashflow</t>
        </is>
      </c>
      <c r="C2233" s="4" t="inlineStr">
        <is>
          <t>K35</t>
        </is>
      </c>
      <c r="D2233" s="4" t="n">
        <v>12000</v>
      </c>
      <c r="E2233" s="4" t="n">
        <v>12000</v>
      </c>
      <c r="F2233" s="4" t="inlineStr">
        <is>
          <t>GOC Bed Unit-Costing Model v2 — working original.xlsx</t>
        </is>
      </c>
    </row>
    <row r="2234" ht="40" customHeight="1">
      <c r="A2234" s="4" t="inlineStr">
        <is>
          <t>original:NM Cashflow!L35</t>
        </is>
      </c>
      <c r="B2234" s="4" t="inlineStr">
        <is>
          <t>NM Cashflow</t>
        </is>
      </c>
      <c r="C2234" s="4" t="inlineStr">
        <is>
          <t>L35</t>
        </is>
      </c>
      <c r="D2234" s="4" t="n">
        <v>12000</v>
      </c>
      <c r="E2234" s="4" t="n">
        <v>12000</v>
      </c>
      <c r="F2234" s="4" t="inlineStr">
        <is>
          <t>GOC Bed Unit-Costing Model v2 — working original.xlsx</t>
        </is>
      </c>
    </row>
    <row r="2235" ht="40" customHeight="1">
      <c r="A2235" s="4" t="inlineStr">
        <is>
          <t>original:NM Cashflow!M35</t>
        </is>
      </c>
      <c r="B2235" s="4" t="inlineStr">
        <is>
          <t>NM Cashflow</t>
        </is>
      </c>
      <c r="C2235" s="4" t="inlineStr">
        <is>
          <t>M35</t>
        </is>
      </c>
      <c r="D2235" s="4" t="n">
        <v>12000</v>
      </c>
      <c r="E2235" s="4" t="n">
        <v>12000</v>
      </c>
      <c r="F2235" s="4" t="inlineStr">
        <is>
          <t>GOC Bed Unit-Costing Model v2 — working original.xlsx</t>
        </is>
      </c>
    </row>
    <row r="2236" ht="40" customHeight="1">
      <c r="A2236" s="4" t="inlineStr">
        <is>
          <t>original:NM Cashflow!N35</t>
        </is>
      </c>
      <c r="B2236" s="4" t="inlineStr">
        <is>
          <t>NM Cashflow</t>
        </is>
      </c>
      <c r="C2236" s="4" t="inlineStr">
        <is>
          <t>N35</t>
        </is>
      </c>
      <c r="D2236" s="4" t="n">
        <v>12000</v>
      </c>
      <c r="E2236" s="4" t="n">
        <v>12000</v>
      </c>
      <c r="F2236" s="4" t="inlineStr">
        <is>
          <t>GOC Bed Unit-Costing Model v2 — working original.xlsx</t>
        </is>
      </c>
    </row>
    <row r="2237" ht="40" customHeight="1">
      <c r="A2237" s="4" t="inlineStr">
        <is>
          <t>original:NM Cashflow!O35</t>
        </is>
      </c>
      <c r="B2237" s="4" t="inlineStr">
        <is>
          <t>NM Cashflow</t>
        </is>
      </c>
      <c r="C2237" s="4" t="inlineStr">
        <is>
          <t>O35</t>
        </is>
      </c>
      <c r="D2237" s="4" t="n">
        <v>12000</v>
      </c>
      <c r="E2237" s="4" t="n">
        <v>12000</v>
      </c>
      <c r="F2237" s="4" t="inlineStr">
        <is>
          <t>GOC Bed Unit-Costing Model v2 — working original.xlsx</t>
        </is>
      </c>
    </row>
    <row r="2238" ht="40" customHeight="1">
      <c r="A2238" s="4" t="inlineStr">
        <is>
          <t>original:NM Cashflow!P35</t>
        </is>
      </c>
      <c r="B2238" s="4" t="inlineStr">
        <is>
          <t>NM Cashflow</t>
        </is>
      </c>
      <c r="C2238" s="4" t="inlineStr">
        <is>
          <t>P35</t>
        </is>
      </c>
      <c r="D2238" s="4" t="n">
        <v>12000</v>
      </c>
      <c r="E2238" s="4" t="n">
        <v>12000</v>
      </c>
      <c r="F2238" s="4" t="inlineStr">
        <is>
          <t>GOC Bed Unit-Costing Model v2 — working original.xlsx</t>
        </is>
      </c>
    </row>
    <row r="2239" ht="40" customHeight="1">
      <c r="A2239" s="4" t="inlineStr">
        <is>
          <t>original:NM Cashflow!Q35</t>
        </is>
      </c>
      <c r="B2239" s="4" t="inlineStr">
        <is>
          <t>NM Cashflow</t>
        </is>
      </c>
      <c r="C2239" s="4" t="inlineStr">
        <is>
          <t>Q35</t>
        </is>
      </c>
      <c r="D2239" s="4" t="n">
        <v>12000</v>
      </c>
      <c r="E2239" s="4" t="n">
        <v>12000</v>
      </c>
      <c r="F2239" s="4" t="inlineStr">
        <is>
          <t>GOC Bed Unit-Costing Model v2 — working original.xlsx</t>
        </is>
      </c>
    </row>
    <row r="2240" ht="40" customHeight="1">
      <c r="A2240" s="4" t="inlineStr">
        <is>
          <t>original:NM Cashflow!R35</t>
        </is>
      </c>
      <c r="B2240" s="4" t="inlineStr">
        <is>
          <t>NM Cashflow</t>
        </is>
      </c>
      <c r="C2240" s="4" t="inlineStr">
        <is>
          <t>R35</t>
        </is>
      </c>
      <c r="D2240" s="4" t="n">
        <v>12000</v>
      </c>
      <c r="E2240" s="4" t="n">
        <v>12000</v>
      </c>
      <c r="F2240" s="4" t="inlineStr">
        <is>
          <t>GOC Bed Unit-Costing Model v2 — working original.xlsx</t>
        </is>
      </c>
    </row>
    <row r="2241" ht="40" customHeight="1">
      <c r="A2241" s="4" t="inlineStr">
        <is>
          <t>original:NM Cashflow!S35</t>
        </is>
      </c>
      <c r="B2241" s="4" t="inlineStr">
        <is>
          <t>NM Cashflow</t>
        </is>
      </c>
      <c r="C2241" s="4" t="inlineStr">
        <is>
          <t>S35</t>
        </is>
      </c>
      <c r="D2241" s="4" t="n">
        <v>12000</v>
      </c>
      <c r="E2241" s="4" t="n">
        <v>12000</v>
      </c>
      <c r="F2241" s="4" t="inlineStr">
        <is>
          <t>GOC Bed Unit-Costing Model v2 — working original.xlsx</t>
        </is>
      </c>
    </row>
    <row r="2242" ht="40" customHeight="1">
      <c r="A2242" s="4" t="inlineStr">
        <is>
          <t>original:NM Cashflow!T35</t>
        </is>
      </c>
      <c r="B2242" s="4" t="inlineStr">
        <is>
          <t>NM Cashflow</t>
        </is>
      </c>
      <c r="C2242" s="4" t="inlineStr">
        <is>
          <t>T35</t>
        </is>
      </c>
      <c r="D2242" s="4" t="n">
        <v>12000</v>
      </c>
      <c r="E2242" s="4" t="n">
        <v>12000</v>
      </c>
      <c r="F2242" s="4" t="inlineStr">
        <is>
          <t>GOC Bed Unit-Costing Model v2 — working original.xlsx</t>
        </is>
      </c>
    </row>
    <row r="2243" ht="40" customHeight="1">
      <c r="A2243" s="4" t="inlineStr">
        <is>
          <t>original:NM Cashflow!U35</t>
        </is>
      </c>
      <c r="B2243" s="4" t="inlineStr">
        <is>
          <t>NM Cashflow</t>
        </is>
      </c>
      <c r="C2243" s="4" t="inlineStr">
        <is>
          <t>U35</t>
        </is>
      </c>
      <c r="D2243" s="4" t="n">
        <v>12000</v>
      </c>
      <c r="E2243" s="4" t="n">
        <v>12000</v>
      </c>
      <c r="F2243" s="4" t="inlineStr">
        <is>
          <t>GOC Bed Unit-Costing Model v2 — working original.xlsx</t>
        </is>
      </c>
    </row>
    <row r="2244" ht="40" customHeight="1">
      <c r="A2244" s="4" t="inlineStr">
        <is>
          <t>original:NM Cashflow!V35</t>
        </is>
      </c>
      <c r="B2244" s="4" t="inlineStr">
        <is>
          <t>NM Cashflow</t>
        </is>
      </c>
      <c r="C2244" s="4" t="inlineStr">
        <is>
          <t>V35</t>
        </is>
      </c>
      <c r="D2244" s="4" t="n">
        <v>12000</v>
      </c>
      <c r="E2244" s="4" t="n">
        <v>12000</v>
      </c>
      <c r="F2244" s="4" t="inlineStr">
        <is>
          <t>GOC Bed Unit-Costing Model v2 — working original.xlsx</t>
        </is>
      </c>
    </row>
    <row r="2245" ht="40" customHeight="1">
      <c r="A2245" s="4" t="inlineStr">
        <is>
          <t>original:NM Cashflow!W35</t>
        </is>
      </c>
      <c r="B2245" s="4" t="inlineStr">
        <is>
          <t>NM Cashflow</t>
        </is>
      </c>
      <c r="C2245" s="4" t="inlineStr">
        <is>
          <t>W35</t>
        </is>
      </c>
      <c r="D2245" s="4" t="n">
        <v>12000</v>
      </c>
      <c r="E2245" s="4" t="n">
        <v>12000</v>
      </c>
      <c r="F2245" s="4" t="inlineStr">
        <is>
          <t>GOC Bed Unit-Costing Model v2 — working original.xlsx</t>
        </is>
      </c>
    </row>
    <row r="2246" ht="40" customHeight="1">
      <c r="A2246" s="4" t="inlineStr">
        <is>
          <t>original:NM Cashflow!X35</t>
        </is>
      </c>
      <c r="B2246" s="4" t="inlineStr">
        <is>
          <t>NM Cashflow</t>
        </is>
      </c>
      <c r="C2246" s="4" t="inlineStr">
        <is>
          <t>X35</t>
        </is>
      </c>
      <c r="D2246" s="4" t="n">
        <v>12000</v>
      </c>
      <c r="E2246" s="4" t="n">
        <v>12000</v>
      </c>
      <c r="F2246" s="4" t="inlineStr">
        <is>
          <t>GOC Bed Unit-Costing Model v2 — working original.xlsx</t>
        </is>
      </c>
    </row>
    <row r="2247" ht="40" customHeight="1">
      <c r="A2247" s="4" t="inlineStr">
        <is>
          <t>original:NM Cashflow!Y35</t>
        </is>
      </c>
      <c r="B2247" s="4" t="inlineStr">
        <is>
          <t>NM Cashflow</t>
        </is>
      </c>
      <c r="C2247" s="4" t="inlineStr">
        <is>
          <t>Y35</t>
        </is>
      </c>
      <c r="D2247" s="4" t="n">
        <v>12000</v>
      </c>
      <c r="E2247" s="4" t="n">
        <v>12000</v>
      </c>
      <c r="F2247" s="4" t="inlineStr">
        <is>
          <t>GOC Bed Unit-Costing Model v2 — working original.xlsx</t>
        </is>
      </c>
    </row>
    <row r="2248" ht="40" customHeight="1">
      <c r="A2248" s="4" t="inlineStr">
        <is>
          <t>original:NM Cashflow!Z35</t>
        </is>
      </c>
      <c r="B2248" s="4" t="inlineStr">
        <is>
          <t>NM Cashflow</t>
        </is>
      </c>
      <c r="C2248" s="4" t="inlineStr">
        <is>
          <t>Z35</t>
        </is>
      </c>
      <c r="D2248" s="4" t="n">
        <v>12000</v>
      </c>
      <c r="E2248" s="4" t="n">
        <v>12000</v>
      </c>
      <c r="F2248" s="4" t="inlineStr">
        <is>
          <t>GOC Bed Unit-Costing Model v2 — working original.xlsx</t>
        </is>
      </c>
    </row>
    <row r="2249" ht="40" customHeight="1">
      <c r="A2249" s="4" t="inlineStr">
        <is>
          <t>original:NM Cashflow!A36</t>
        </is>
      </c>
      <c r="B2249" s="4" t="inlineStr">
        <is>
          <t>NM Cashflow</t>
        </is>
      </c>
      <c r="C2249" s="4" t="inlineStr">
        <is>
          <t>A36</t>
        </is>
      </c>
      <c r="D2249" s="4" t="inlineStr">
        <is>
          <t>Sales / GM</t>
        </is>
      </c>
      <c r="E2249" s="4" t="inlineStr">
        <is>
          <t>Sales / GM</t>
        </is>
      </c>
      <c r="F2249" s="4" t="inlineStr">
        <is>
          <t>GOC Bed Unit-Costing Model v2 — working original.xlsx</t>
        </is>
      </c>
    </row>
    <row r="2250" ht="40" customHeight="1">
      <c r="A2250" s="4" t="inlineStr">
        <is>
          <t>original:NM Cashflow!D36</t>
        </is>
      </c>
      <c r="B2250" s="4" t="inlineStr">
        <is>
          <t>NM Cashflow</t>
        </is>
      </c>
      <c r="C2250" s="4" t="inlineStr">
        <is>
          <t>D36</t>
        </is>
      </c>
      <c r="D2250" s="4" t="n">
        <v>6000</v>
      </c>
      <c r="E2250" s="4" t="n">
        <v>6000</v>
      </c>
      <c r="F2250" s="4" t="inlineStr">
        <is>
          <t>GOC Bed Unit-Costing Model v2 — working original.xlsx</t>
        </is>
      </c>
    </row>
    <row r="2251" ht="40" customHeight="1">
      <c r="A2251" s="4" t="inlineStr">
        <is>
          <t>original:NM Cashflow!E36</t>
        </is>
      </c>
      <c r="B2251" s="4" t="inlineStr">
        <is>
          <t>NM Cashflow</t>
        </is>
      </c>
      <c r="C2251" s="4" t="inlineStr">
        <is>
          <t>E36</t>
        </is>
      </c>
      <c r="D2251" s="4" t="n">
        <v>6000</v>
      </c>
      <c r="E2251" s="4" t="n">
        <v>6000</v>
      </c>
      <c r="F2251" s="4" t="inlineStr">
        <is>
          <t>GOC Bed Unit-Costing Model v2 — working original.xlsx</t>
        </is>
      </c>
    </row>
    <row r="2252" ht="40" customHeight="1">
      <c r="A2252" s="4" t="inlineStr">
        <is>
          <t>original:NM Cashflow!F36</t>
        </is>
      </c>
      <c r="B2252" s="4" t="inlineStr">
        <is>
          <t>NM Cashflow</t>
        </is>
      </c>
      <c r="C2252" s="4" t="inlineStr">
        <is>
          <t>F36</t>
        </is>
      </c>
      <c r="D2252" s="4" t="n">
        <v>6000</v>
      </c>
      <c r="E2252" s="4" t="n">
        <v>6000</v>
      </c>
      <c r="F2252" s="4" t="inlineStr">
        <is>
          <t>GOC Bed Unit-Costing Model v2 — working original.xlsx</t>
        </is>
      </c>
    </row>
    <row r="2253" ht="40" customHeight="1">
      <c r="A2253" s="4" t="inlineStr">
        <is>
          <t>original:NM Cashflow!G36</t>
        </is>
      </c>
      <c r="B2253" s="4" t="inlineStr">
        <is>
          <t>NM Cashflow</t>
        </is>
      </c>
      <c r="C2253" s="4" t="inlineStr">
        <is>
          <t>G36</t>
        </is>
      </c>
      <c r="D2253" s="4" t="n">
        <v>6000</v>
      </c>
      <c r="E2253" s="4" t="n">
        <v>6000</v>
      </c>
      <c r="F2253" s="4" t="inlineStr">
        <is>
          <t>GOC Bed Unit-Costing Model v2 — working original.xlsx</t>
        </is>
      </c>
    </row>
    <row r="2254" ht="40" customHeight="1">
      <c r="A2254" s="4" t="inlineStr">
        <is>
          <t>original:NM Cashflow!H36</t>
        </is>
      </c>
      <c r="B2254" s="4" t="inlineStr">
        <is>
          <t>NM Cashflow</t>
        </is>
      </c>
      <c r="C2254" s="4" t="inlineStr">
        <is>
          <t>H36</t>
        </is>
      </c>
      <c r="D2254" s="4" t="n">
        <v>6000</v>
      </c>
      <c r="E2254" s="4" t="n">
        <v>6000</v>
      </c>
      <c r="F2254" s="4" t="inlineStr">
        <is>
          <t>GOC Bed Unit-Costing Model v2 — working original.xlsx</t>
        </is>
      </c>
    </row>
    <row r="2255" ht="40" customHeight="1">
      <c r="A2255" s="4" t="inlineStr">
        <is>
          <t>original:NM Cashflow!I36</t>
        </is>
      </c>
      <c r="B2255" s="4" t="inlineStr">
        <is>
          <t>NM Cashflow</t>
        </is>
      </c>
      <c r="C2255" s="4" t="inlineStr">
        <is>
          <t>I36</t>
        </is>
      </c>
      <c r="D2255" s="4" t="n">
        <v>6000</v>
      </c>
      <c r="E2255" s="4" t="n">
        <v>6000</v>
      </c>
      <c r="F2255" s="4" t="inlineStr">
        <is>
          <t>GOC Bed Unit-Costing Model v2 — working original.xlsx</t>
        </is>
      </c>
    </row>
    <row r="2256" ht="40" customHeight="1">
      <c r="A2256" s="4" t="inlineStr">
        <is>
          <t>original:NM Cashflow!J36</t>
        </is>
      </c>
      <c r="B2256" s="4" t="inlineStr">
        <is>
          <t>NM Cashflow</t>
        </is>
      </c>
      <c r="C2256" s="4" t="inlineStr">
        <is>
          <t>J36</t>
        </is>
      </c>
      <c r="D2256" s="4" t="n">
        <v>6000</v>
      </c>
      <c r="E2256" s="4" t="n">
        <v>6000</v>
      </c>
      <c r="F2256" s="4" t="inlineStr">
        <is>
          <t>GOC Bed Unit-Costing Model v2 — working original.xlsx</t>
        </is>
      </c>
    </row>
    <row r="2257" ht="40" customHeight="1">
      <c r="A2257" s="4" t="inlineStr">
        <is>
          <t>original:NM Cashflow!K36</t>
        </is>
      </c>
      <c r="B2257" s="4" t="inlineStr">
        <is>
          <t>NM Cashflow</t>
        </is>
      </c>
      <c r="C2257" s="4" t="inlineStr">
        <is>
          <t>K36</t>
        </is>
      </c>
      <c r="D2257" s="4" t="n">
        <v>6000</v>
      </c>
      <c r="E2257" s="4" t="n">
        <v>6000</v>
      </c>
      <c r="F2257" s="4" t="inlineStr">
        <is>
          <t>GOC Bed Unit-Costing Model v2 — working original.xlsx</t>
        </is>
      </c>
    </row>
    <row r="2258" ht="40" customHeight="1">
      <c r="A2258" s="4" t="inlineStr">
        <is>
          <t>original:NM Cashflow!L36</t>
        </is>
      </c>
      <c r="B2258" s="4" t="inlineStr">
        <is>
          <t>NM Cashflow</t>
        </is>
      </c>
      <c r="C2258" s="4" t="inlineStr">
        <is>
          <t>L36</t>
        </is>
      </c>
      <c r="D2258" s="4" t="n">
        <v>6000</v>
      </c>
      <c r="E2258" s="4" t="n">
        <v>6000</v>
      </c>
      <c r="F2258" s="4" t="inlineStr">
        <is>
          <t>GOC Bed Unit-Costing Model v2 — working original.xlsx</t>
        </is>
      </c>
    </row>
    <row r="2259" ht="40" customHeight="1">
      <c r="A2259" s="4" t="inlineStr">
        <is>
          <t>original:NM Cashflow!M36</t>
        </is>
      </c>
      <c r="B2259" s="4" t="inlineStr">
        <is>
          <t>NM Cashflow</t>
        </is>
      </c>
      <c r="C2259" s="4" t="inlineStr">
        <is>
          <t>M36</t>
        </is>
      </c>
      <c r="D2259" s="4" t="n">
        <v>6000</v>
      </c>
      <c r="E2259" s="4" t="n">
        <v>6000</v>
      </c>
      <c r="F2259" s="4" t="inlineStr">
        <is>
          <t>GOC Bed Unit-Costing Model v2 — working original.xlsx</t>
        </is>
      </c>
    </row>
    <row r="2260" ht="40" customHeight="1">
      <c r="A2260" s="4" t="inlineStr">
        <is>
          <t>original:NM Cashflow!N36</t>
        </is>
      </c>
      <c r="B2260" s="4" t="inlineStr">
        <is>
          <t>NM Cashflow</t>
        </is>
      </c>
      <c r="C2260" s="4" t="inlineStr">
        <is>
          <t>N36</t>
        </is>
      </c>
      <c r="D2260" s="4" t="n">
        <v>6000</v>
      </c>
      <c r="E2260" s="4" t="n">
        <v>6000</v>
      </c>
      <c r="F2260" s="4" t="inlineStr">
        <is>
          <t>GOC Bed Unit-Costing Model v2 — working original.xlsx</t>
        </is>
      </c>
    </row>
    <row r="2261" ht="40" customHeight="1">
      <c r="A2261" s="4" t="inlineStr">
        <is>
          <t>original:NM Cashflow!O36</t>
        </is>
      </c>
      <c r="B2261" s="4" t="inlineStr">
        <is>
          <t>NM Cashflow</t>
        </is>
      </c>
      <c r="C2261" s="4" t="inlineStr">
        <is>
          <t>O36</t>
        </is>
      </c>
      <c r="D2261" s="4" t="n">
        <v>6000</v>
      </c>
      <c r="E2261" s="4" t="n">
        <v>6000</v>
      </c>
      <c r="F2261" s="4" t="inlineStr">
        <is>
          <t>GOC Bed Unit-Costing Model v2 — working original.xlsx</t>
        </is>
      </c>
    </row>
    <row r="2262" ht="40" customHeight="1">
      <c r="A2262" s="4" t="inlineStr">
        <is>
          <t>original:NM Cashflow!P36</t>
        </is>
      </c>
      <c r="B2262" s="4" t="inlineStr">
        <is>
          <t>NM Cashflow</t>
        </is>
      </c>
      <c r="C2262" s="4" t="inlineStr">
        <is>
          <t>P36</t>
        </is>
      </c>
      <c r="D2262" s="4" t="n">
        <v>6000</v>
      </c>
      <c r="E2262" s="4" t="n">
        <v>6000</v>
      </c>
      <c r="F2262" s="4" t="inlineStr">
        <is>
          <t>GOC Bed Unit-Costing Model v2 — working original.xlsx</t>
        </is>
      </c>
    </row>
    <row r="2263" ht="40" customHeight="1">
      <c r="A2263" s="4" t="inlineStr">
        <is>
          <t>original:NM Cashflow!Q36</t>
        </is>
      </c>
      <c r="B2263" s="4" t="inlineStr">
        <is>
          <t>NM Cashflow</t>
        </is>
      </c>
      <c r="C2263" s="4" t="inlineStr">
        <is>
          <t>Q36</t>
        </is>
      </c>
      <c r="D2263" s="4" t="n">
        <v>6000</v>
      </c>
      <c r="E2263" s="4" t="n">
        <v>6000</v>
      </c>
      <c r="F2263" s="4" t="inlineStr">
        <is>
          <t>GOC Bed Unit-Costing Model v2 — working original.xlsx</t>
        </is>
      </c>
    </row>
    <row r="2264" ht="40" customHeight="1">
      <c r="A2264" s="4" t="inlineStr">
        <is>
          <t>original:NM Cashflow!R36</t>
        </is>
      </c>
      <c r="B2264" s="4" t="inlineStr">
        <is>
          <t>NM Cashflow</t>
        </is>
      </c>
      <c r="C2264" s="4" t="inlineStr">
        <is>
          <t>R36</t>
        </is>
      </c>
      <c r="D2264" s="4" t="n">
        <v>6000</v>
      </c>
      <c r="E2264" s="4" t="n">
        <v>6000</v>
      </c>
      <c r="F2264" s="4" t="inlineStr">
        <is>
          <t>GOC Bed Unit-Costing Model v2 — working original.xlsx</t>
        </is>
      </c>
    </row>
    <row r="2265" ht="40" customHeight="1">
      <c r="A2265" s="4" t="inlineStr">
        <is>
          <t>original:NM Cashflow!S36</t>
        </is>
      </c>
      <c r="B2265" s="4" t="inlineStr">
        <is>
          <t>NM Cashflow</t>
        </is>
      </c>
      <c r="C2265" s="4" t="inlineStr">
        <is>
          <t>S36</t>
        </is>
      </c>
      <c r="D2265" s="4" t="n">
        <v>6000</v>
      </c>
      <c r="E2265" s="4" t="n">
        <v>6000</v>
      </c>
      <c r="F2265" s="4" t="inlineStr">
        <is>
          <t>GOC Bed Unit-Costing Model v2 — working original.xlsx</t>
        </is>
      </c>
    </row>
    <row r="2266" ht="40" customHeight="1">
      <c r="A2266" s="4" t="inlineStr">
        <is>
          <t>original:NM Cashflow!T36</t>
        </is>
      </c>
      <c r="B2266" s="4" t="inlineStr">
        <is>
          <t>NM Cashflow</t>
        </is>
      </c>
      <c r="C2266" s="4" t="inlineStr">
        <is>
          <t>T36</t>
        </is>
      </c>
      <c r="D2266" s="4" t="n">
        <v>6000</v>
      </c>
      <c r="E2266" s="4" t="n">
        <v>6000</v>
      </c>
      <c r="F2266" s="4" t="inlineStr">
        <is>
          <t>GOC Bed Unit-Costing Model v2 — working original.xlsx</t>
        </is>
      </c>
    </row>
    <row r="2267" ht="40" customHeight="1">
      <c r="A2267" s="4" t="inlineStr">
        <is>
          <t>original:NM Cashflow!U36</t>
        </is>
      </c>
      <c r="B2267" s="4" t="inlineStr">
        <is>
          <t>NM Cashflow</t>
        </is>
      </c>
      <c r="C2267" s="4" t="inlineStr">
        <is>
          <t>U36</t>
        </is>
      </c>
      <c r="D2267" s="4" t="n">
        <v>6000</v>
      </c>
      <c r="E2267" s="4" t="n">
        <v>6000</v>
      </c>
      <c r="F2267" s="4" t="inlineStr">
        <is>
          <t>GOC Bed Unit-Costing Model v2 — working original.xlsx</t>
        </is>
      </c>
    </row>
    <row r="2268" ht="40" customHeight="1">
      <c r="A2268" s="4" t="inlineStr">
        <is>
          <t>original:NM Cashflow!V36</t>
        </is>
      </c>
      <c r="B2268" s="4" t="inlineStr">
        <is>
          <t>NM Cashflow</t>
        </is>
      </c>
      <c r="C2268" s="4" t="inlineStr">
        <is>
          <t>V36</t>
        </is>
      </c>
      <c r="D2268" s="4" t="n">
        <v>6000</v>
      </c>
      <c r="E2268" s="4" t="n">
        <v>6000</v>
      </c>
      <c r="F2268" s="4" t="inlineStr">
        <is>
          <t>GOC Bed Unit-Costing Model v2 — working original.xlsx</t>
        </is>
      </c>
    </row>
    <row r="2269" ht="40" customHeight="1">
      <c r="A2269" s="4" t="inlineStr">
        <is>
          <t>original:NM Cashflow!W36</t>
        </is>
      </c>
      <c r="B2269" s="4" t="inlineStr">
        <is>
          <t>NM Cashflow</t>
        </is>
      </c>
      <c r="C2269" s="4" t="inlineStr">
        <is>
          <t>W36</t>
        </is>
      </c>
      <c r="D2269" s="4" t="n">
        <v>6000</v>
      </c>
      <c r="E2269" s="4" t="n">
        <v>6000</v>
      </c>
      <c r="F2269" s="4" t="inlineStr">
        <is>
          <t>GOC Bed Unit-Costing Model v2 — working original.xlsx</t>
        </is>
      </c>
    </row>
    <row r="2270" ht="40" customHeight="1">
      <c r="A2270" s="4" t="inlineStr">
        <is>
          <t>original:NM Cashflow!X36</t>
        </is>
      </c>
      <c r="B2270" s="4" t="inlineStr">
        <is>
          <t>NM Cashflow</t>
        </is>
      </c>
      <c r="C2270" s="4" t="inlineStr">
        <is>
          <t>X36</t>
        </is>
      </c>
      <c r="D2270" s="4" t="n">
        <v>6000</v>
      </c>
      <c r="E2270" s="4" t="n">
        <v>6000</v>
      </c>
      <c r="F2270" s="4" t="inlineStr">
        <is>
          <t>GOC Bed Unit-Costing Model v2 — working original.xlsx</t>
        </is>
      </c>
    </row>
    <row r="2271" ht="40" customHeight="1">
      <c r="A2271" s="4" t="inlineStr">
        <is>
          <t>original:NM Cashflow!Y36</t>
        </is>
      </c>
      <c r="B2271" s="4" t="inlineStr">
        <is>
          <t>NM Cashflow</t>
        </is>
      </c>
      <c r="C2271" s="4" t="inlineStr">
        <is>
          <t>Y36</t>
        </is>
      </c>
      <c r="D2271" s="4" t="n">
        <v>6000</v>
      </c>
      <c r="E2271" s="4" t="n">
        <v>6000</v>
      </c>
      <c r="F2271" s="4" t="inlineStr">
        <is>
          <t>GOC Bed Unit-Costing Model v2 — working original.xlsx</t>
        </is>
      </c>
    </row>
    <row r="2272" ht="40" customHeight="1">
      <c r="A2272" s="4" t="inlineStr">
        <is>
          <t>original:NM Cashflow!Z36</t>
        </is>
      </c>
      <c r="B2272" s="4" t="inlineStr">
        <is>
          <t>NM Cashflow</t>
        </is>
      </c>
      <c r="C2272" s="4" t="inlineStr">
        <is>
          <t>Z36</t>
        </is>
      </c>
      <c r="D2272" s="4" t="n">
        <v>6000</v>
      </c>
      <c r="E2272" s="4" t="n">
        <v>6000</v>
      </c>
      <c r="F2272" s="4" t="inlineStr">
        <is>
          <t>GOC Bed Unit-Costing Model v2 — working original.xlsx</t>
        </is>
      </c>
    </row>
    <row r="2273" ht="40" customHeight="1">
      <c r="A2273" s="4" t="inlineStr">
        <is>
          <t>original:NM Cashflow!A37</t>
        </is>
      </c>
      <c r="B2273" s="4" t="inlineStr">
        <is>
          <t>NM Cashflow</t>
        </is>
      </c>
      <c r="C2273" s="4" t="inlineStr">
        <is>
          <t>A37</t>
        </is>
      </c>
      <c r="D2273" s="4" t="inlineStr">
        <is>
          <t>RnD</t>
        </is>
      </c>
      <c r="E2273" s="4" t="inlineStr">
        <is>
          <t>RnD</t>
        </is>
      </c>
      <c r="F2273" s="4" t="inlineStr">
        <is>
          <t>GOC Bed Unit-Costing Model v2 — working original.xlsx</t>
        </is>
      </c>
    </row>
    <row r="2274" ht="40" customHeight="1">
      <c r="A2274" s="4" t="inlineStr">
        <is>
          <t>original:NM Cashflow!D37</t>
        </is>
      </c>
      <c r="B2274" s="4" t="inlineStr">
        <is>
          <t>NM Cashflow</t>
        </is>
      </c>
      <c r="C2274" s="4" t="inlineStr">
        <is>
          <t>D37</t>
        </is>
      </c>
      <c r="D2274" s="4" t="n">
        <v>2000</v>
      </c>
      <c r="E2274" s="4" t="n">
        <v>2000</v>
      </c>
      <c r="F2274" s="4" t="inlineStr">
        <is>
          <t>GOC Bed Unit-Costing Model v2 — working original.xlsx</t>
        </is>
      </c>
    </row>
    <row r="2275" ht="40" customHeight="1">
      <c r="A2275" s="4" t="inlineStr">
        <is>
          <t>original:NM Cashflow!E37</t>
        </is>
      </c>
      <c r="B2275" s="4" t="inlineStr">
        <is>
          <t>NM Cashflow</t>
        </is>
      </c>
      <c r="C2275" s="4" t="inlineStr">
        <is>
          <t>E37</t>
        </is>
      </c>
      <c r="D2275" s="4" t="n">
        <v>2000</v>
      </c>
      <c r="E2275" s="4" t="n">
        <v>2000</v>
      </c>
      <c r="F2275" s="4" t="inlineStr">
        <is>
          <t>GOC Bed Unit-Costing Model v2 — working original.xlsx</t>
        </is>
      </c>
    </row>
    <row r="2276" ht="40" customHeight="1">
      <c r="A2276" s="4" t="inlineStr">
        <is>
          <t>original:NM Cashflow!F37</t>
        </is>
      </c>
      <c r="B2276" s="4" t="inlineStr">
        <is>
          <t>NM Cashflow</t>
        </is>
      </c>
      <c r="C2276" s="4" t="inlineStr">
        <is>
          <t>F37</t>
        </is>
      </c>
      <c r="D2276" s="4" t="n">
        <v>2000</v>
      </c>
      <c r="E2276" s="4" t="n">
        <v>2000</v>
      </c>
      <c r="F2276" s="4" t="inlineStr">
        <is>
          <t>GOC Bed Unit-Costing Model v2 — working original.xlsx</t>
        </is>
      </c>
    </row>
    <row r="2277" ht="40" customHeight="1">
      <c r="A2277" s="4" t="inlineStr">
        <is>
          <t>original:NM Cashflow!G37</t>
        </is>
      </c>
      <c r="B2277" s="4" t="inlineStr">
        <is>
          <t>NM Cashflow</t>
        </is>
      </c>
      <c r="C2277" s="4" t="inlineStr">
        <is>
          <t>G37</t>
        </is>
      </c>
      <c r="D2277" s="4" t="n">
        <v>2000</v>
      </c>
      <c r="E2277" s="4" t="n">
        <v>2000</v>
      </c>
      <c r="F2277" s="4" t="inlineStr">
        <is>
          <t>GOC Bed Unit-Costing Model v2 — working original.xlsx</t>
        </is>
      </c>
    </row>
    <row r="2278" ht="40" customHeight="1">
      <c r="A2278" s="4" t="inlineStr">
        <is>
          <t>original:NM Cashflow!H37</t>
        </is>
      </c>
      <c r="B2278" s="4" t="inlineStr">
        <is>
          <t>NM Cashflow</t>
        </is>
      </c>
      <c r="C2278" s="4" t="inlineStr">
        <is>
          <t>H37</t>
        </is>
      </c>
      <c r="D2278" s="4" t="n">
        <v>2000</v>
      </c>
      <c r="E2278" s="4" t="n">
        <v>2000</v>
      </c>
      <c r="F2278" s="4" t="inlineStr">
        <is>
          <t>GOC Bed Unit-Costing Model v2 — working original.xlsx</t>
        </is>
      </c>
    </row>
    <row r="2279" ht="40" customHeight="1">
      <c r="A2279" s="4" t="inlineStr">
        <is>
          <t>original:NM Cashflow!A38</t>
        </is>
      </c>
      <c r="B2279" s="4" t="inlineStr">
        <is>
          <t>NM Cashflow</t>
        </is>
      </c>
      <c r="C2279" s="4" t="inlineStr">
        <is>
          <t>A38</t>
        </is>
      </c>
      <c r="D2279" s="4" t="inlineStr">
        <is>
          <t xml:space="preserve">Operations Support </t>
        </is>
      </c>
      <c r="E2279" s="4" t="inlineStr">
        <is>
          <t xml:space="preserve">Operations Support </t>
        </is>
      </c>
      <c r="F2279" s="4" t="inlineStr">
        <is>
          <t>GOC Bed Unit-Costing Model v2 — working original.xlsx</t>
        </is>
      </c>
    </row>
    <row r="2280" ht="40" customHeight="1">
      <c r="A2280" s="4" t="inlineStr">
        <is>
          <t>original:NM Cashflow!D38</t>
        </is>
      </c>
      <c r="B2280" s="4" t="inlineStr">
        <is>
          <t>NM Cashflow</t>
        </is>
      </c>
      <c r="C2280" s="4" t="inlineStr">
        <is>
          <t>D38</t>
        </is>
      </c>
      <c r="D2280" s="4" t="n">
        <v>2000</v>
      </c>
      <c r="E2280" s="4" t="n">
        <v>2000</v>
      </c>
      <c r="F2280" s="4" t="inlineStr">
        <is>
          <t>GOC Bed Unit-Costing Model v2 — working original.xlsx</t>
        </is>
      </c>
    </row>
    <row r="2281" ht="40" customHeight="1">
      <c r="A2281" s="4" t="inlineStr">
        <is>
          <t>original:NM Cashflow!G38</t>
        </is>
      </c>
      <c r="B2281" s="4" t="inlineStr">
        <is>
          <t>NM Cashflow</t>
        </is>
      </c>
      <c r="C2281" s="4" t="inlineStr">
        <is>
          <t>G38</t>
        </is>
      </c>
      <c r="D2281" s="4" t="n">
        <v>2000</v>
      </c>
      <c r="E2281" s="4" t="n">
        <v>2000</v>
      </c>
      <c r="F2281" s="4" t="inlineStr">
        <is>
          <t>GOC Bed Unit-Costing Model v2 — working original.xlsx</t>
        </is>
      </c>
    </row>
    <row r="2282" ht="40" customHeight="1">
      <c r="A2282" s="4" t="inlineStr">
        <is>
          <t>original:NM Cashflow!H38</t>
        </is>
      </c>
      <c r="B2282" s="4" t="inlineStr">
        <is>
          <t>NM Cashflow</t>
        </is>
      </c>
      <c r="C2282" s="4" t="inlineStr">
        <is>
          <t>H38</t>
        </is>
      </c>
      <c r="D2282" s="4" t="n">
        <v>2000</v>
      </c>
      <c r="E2282" s="4" t="n">
        <v>2000</v>
      </c>
      <c r="F2282" s="4" t="inlineStr">
        <is>
          <t>GOC Bed Unit-Costing Model v2 — working original.xlsx</t>
        </is>
      </c>
    </row>
    <row r="2283" ht="40" customHeight="1">
      <c r="A2283" s="4" t="inlineStr">
        <is>
          <t>original:NM Cashflow!I38</t>
        </is>
      </c>
      <c r="B2283" s="4" t="inlineStr">
        <is>
          <t>NM Cashflow</t>
        </is>
      </c>
      <c r="C2283" s="4" t="inlineStr">
        <is>
          <t>I38</t>
        </is>
      </c>
      <c r="D2283" s="4" t="n">
        <v>2000</v>
      </c>
      <c r="E2283" s="4" t="n">
        <v>2000</v>
      </c>
      <c r="F2283" s="4" t="inlineStr">
        <is>
          <t>GOC Bed Unit-Costing Model v2 — working original.xlsx</t>
        </is>
      </c>
    </row>
    <row r="2284" ht="40" customHeight="1">
      <c r="A2284" s="4" t="inlineStr">
        <is>
          <t>original:NM Cashflow!J38</t>
        </is>
      </c>
      <c r="B2284" s="4" t="inlineStr">
        <is>
          <t>NM Cashflow</t>
        </is>
      </c>
      <c r="C2284" s="4" t="inlineStr">
        <is>
          <t>J38</t>
        </is>
      </c>
      <c r="D2284" s="4" t="n">
        <v>2000</v>
      </c>
      <c r="E2284" s="4" t="n">
        <v>2000</v>
      </c>
      <c r="F2284" s="4" t="inlineStr">
        <is>
          <t>GOC Bed Unit-Costing Model v2 — working original.xlsx</t>
        </is>
      </c>
    </row>
    <row r="2285" ht="40" customHeight="1">
      <c r="A2285" s="4" t="inlineStr">
        <is>
          <t>original:NM Cashflow!K38</t>
        </is>
      </c>
      <c r="B2285" s="4" t="inlineStr">
        <is>
          <t>NM Cashflow</t>
        </is>
      </c>
      <c r="C2285" s="4" t="inlineStr">
        <is>
          <t>K38</t>
        </is>
      </c>
      <c r="D2285" s="4" t="n">
        <v>2000</v>
      </c>
      <c r="E2285" s="4" t="n">
        <v>2000</v>
      </c>
      <c r="F2285" s="4" t="inlineStr">
        <is>
          <t>GOC Bed Unit-Costing Model v2 — working original.xlsx</t>
        </is>
      </c>
    </row>
    <row r="2286" ht="40" customHeight="1">
      <c r="A2286" s="4" t="inlineStr">
        <is>
          <t>original:NM Cashflow!L38</t>
        </is>
      </c>
      <c r="B2286" s="4" t="inlineStr">
        <is>
          <t>NM Cashflow</t>
        </is>
      </c>
      <c r="C2286" s="4" t="inlineStr">
        <is>
          <t>L38</t>
        </is>
      </c>
      <c r="D2286" s="4" t="n">
        <v>2000</v>
      </c>
      <c r="E2286" s="4" t="n">
        <v>2000</v>
      </c>
      <c r="F2286" s="4" t="inlineStr">
        <is>
          <t>GOC Bed Unit-Costing Model v2 — working original.xlsx</t>
        </is>
      </c>
    </row>
    <row r="2287" ht="40" customHeight="1">
      <c r="A2287" s="4" t="inlineStr">
        <is>
          <t>original:NM Cashflow!M38</t>
        </is>
      </c>
      <c r="B2287" s="4" t="inlineStr">
        <is>
          <t>NM Cashflow</t>
        </is>
      </c>
      <c r="C2287" s="4" t="inlineStr">
        <is>
          <t>M38</t>
        </is>
      </c>
      <c r="D2287" s="4" t="n">
        <v>2000</v>
      </c>
      <c r="E2287" s="4" t="n">
        <v>2000</v>
      </c>
      <c r="F2287" s="4" t="inlineStr">
        <is>
          <t>GOC Bed Unit-Costing Model v2 — working original.xlsx</t>
        </is>
      </c>
    </row>
    <row r="2288" ht="40" customHeight="1">
      <c r="A2288" s="4" t="inlineStr">
        <is>
          <t>original:NM Cashflow!N38</t>
        </is>
      </c>
      <c r="B2288" s="4" t="inlineStr">
        <is>
          <t>NM Cashflow</t>
        </is>
      </c>
      <c r="C2288" s="4" t="inlineStr">
        <is>
          <t>N38</t>
        </is>
      </c>
      <c r="D2288" s="4" t="n">
        <v>2000</v>
      </c>
      <c r="E2288" s="4" t="n">
        <v>2000</v>
      </c>
      <c r="F2288" s="4" t="inlineStr">
        <is>
          <t>GOC Bed Unit-Costing Model v2 — working original.xlsx</t>
        </is>
      </c>
    </row>
    <row r="2289" ht="40" customHeight="1">
      <c r="A2289" s="4" t="inlineStr">
        <is>
          <t>original:NM Cashflow!O38</t>
        </is>
      </c>
      <c r="B2289" s="4" t="inlineStr">
        <is>
          <t>NM Cashflow</t>
        </is>
      </c>
      <c r="C2289" s="4" t="inlineStr">
        <is>
          <t>O38</t>
        </is>
      </c>
      <c r="D2289" s="4" t="n">
        <v>2000</v>
      </c>
      <c r="E2289" s="4" t="n">
        <v>2000</v>
      </c>
      <c r="F2289" s="4" t="inlineStr">
        <is>
          <t>GOC Bed Unit-Costing Model v2 — working original.xlsx</t>
        </is>
      </c>
    </row>
    <row r="2290" ht="40" customHeight="1">
      <c r="A2290" s="4" t="inlineStr">
        <is>
          <t>original:NM Cashflow!P38</t>
        </is>
      </c>
      <c r="B2290" s="4" t="inlineStr">
        <is>
          <t>NM Cashflow</t>
        </is>
      </c>
      <c r="C2290" s="4" t="inlineStr">
        <is>
          <t>P38</t>
        </is>
      </c>
      <c r="D2290" s="4" t="n">
        <v>2000</v>
      </c>
      <c r="E2290" s="4" t="n">
        <v>2000</v>
      </c>
      <c r="F2290" s="4" t="inlineStr">
        <is>
          <t>GOC Bed Unit-Costing Model v2 — working original.xlsx</t>
        </is>
      </c>
    </row>
    <row r="2291" ht="40" customHeight="1">
      <c r="A2291" s="4" t="inlineStr">
        <is>
          <t>original:NM Cashflow!Q38</t>
        </is>
      </c>
      <c r="B2291" s="4" t="inlineStr">
        <is>
          <t>NM Cashflow</t>
        </is>
      </c>
      <c r="C2291" s="4" t="inlineStr">
        <is>
          <t>Q38</t>
        </is>
      </c>
      <c r="D2291" s="4" t="n">
        <v>2000</v>
      </c>
      <c r="E2291" s="4" t="n">
        <v>2000</v>
      </c>
      <c r="F2291" s="4" t="inlineStr">
        <is>
          <t>GOC Bed Unit-Costing Model v2 — working original.xlsx</t>
        </is>
      </c>
    </row>
    <row r="2292" ht="40" customHeight="1">
      <c r="A2292" s="4" t="inlineStr">
        <is>
          <t>original:NM Cashflow!R38</t>
        </is>
      </c>
      <c r="B2292" s="4" t="inlineStr">
        <is>
          <t>NM Cashflow</t>
        </is>
      </c>
      <c r="C2292" s="4" t="inlineStr">
        <is>
          <t>R38</t>
        </is>
      </c>
      <c r="D2292" s="4" t="n">
        <v>2000</v>
      </c>
      <c r="E2292" s="4" t="n">
        <v>2000</v>
      </c>
      <c r="F2292" s="4" t="inlineStr">
        <is>
          <t>GOC Bed Unit-Costing Model v2 — working original.xlsx</t>
        </is>
      </c>
    </row>
    <row r="2293" ht="40" customHeight="1">
      <c r="A2293" s="4" t="inlineStr">
        <is>
          <t>original:NM Cashflow!S38</t>
        </is>
      </c>
      <c r="B2293" s="4" t="inlineStr">
        <is>
          <t>NM Cashflow</t>
        </is>
      </c>
      <c r="C2293" s="4" t="inlineStr">
        <is>
          <t>S38</t>
        </is>
      </c>
      <c r="D2293" s="4" t="n">
        <v>2000</v>
      </c>
      <c r="E2293" s="4" t="n">
        <v>2000</v>
      </c>
      <c r="F2293" s="4" t="inlineStr">
        <is>
          <t>GOC Bed Unit-Costing Model v2 — working original.xlsx</t>
        </is>
      </c>
    </row>
    <row r="2294" ht="40" customHeight="1">
      <c r="A2294" s="4" t="inlineStr">
        <is>
          <t>original:NM Cashflow!A39</t>
        </is>
      </c>
      <c r="B2294" s="4" t="inlineStr">
        <is>
          <t>NM Cashflow</t>
        </is>
      </c>
      <c r="C2294" s="4" t="inlineStr">
        <is>
          <t>A39</t>
        </is>
      </c>
      <c r="D2294" s="4" t="inlineStr">
        <is>
          <t>Facility Power, Tools, Rent</t>
        </is>
      </c>
      <c r="E2294" s="4" t="inlineStr">
        <is>
          <t>Facility Power, Tools, Rent</t>
        </is>
      </c>
      <c r="F2294" s="4" t="inlineStr">
        <is>
          <t>GOC Bed Unit-Costing Model v2 — working original.xlsx</t>
        </is>
      </c>
    </row>
    <row r="2295" ht="40" customHeight="1">
      <c r="A2295" s="4" t="inlineStr">
        <is>
          <t>original:NM Cashflow!B39</t>
        </is>
      </c>
      <c r="B2295" s="4" t="inlineStr">
        <is>
          <t>NM Cashflow</t>
        </is>
      </c>
      <c r="C2295" s="4" t="inlineStr">
        <is>
          <t>B39</t>
        </is>
      </c>
      <c r="D2295" s="4" t="n">
        <v>4000</v>
      </c>
      <c r="E2295" s="4" t="n">
        <v>4000</v>
      </c>
      <c r="F2295" s="4" t="inlineStr">
        <is>
          <t>GOC Bed Unit-Costing Model v2 — working original.xlsx</t>
        </is>
      </c>
    </row>
    <row r="2296" ht="40" customHeight="1">
      <c r="A2296" s="4" t="inlineStr">
        <is>
          <t>original:NM Cashflow!C39</t>
        </is>
      </c>
      <c r="B2296" s="4" t="inlineStr">
        <is>
          <t>NM Cashflow</t>
        </is>
      </c>
      <c r="C2296" s="4" t="inlineStr">
        <is>
          <t>C39</t>
        </is>
      </c>
      <c r="D2296" s="4" t="n">
        <v>4000</v>
      </c>
      <c r="E2296" s="4" t="n">
        <v>4000</v>
      </c>
      <c r="F2296" s="4" t="inlineStr">
        <is>
          <t>GOC Bed Unit-Costing Model v2 — working original.xlsx</t>
        </is>
      </c>
    </row>
    <row r="2297" ht="40" customHeight="1">
      <c r="A2297" s="4" t="inlineStr">
        <is>
          <t>original:NM Cashflow!D39</t>
        </is>
      </c>
      <c r="B2297" s="4" t="inlineStr">
        <is>
          <t>NM Cashflow</t>
        </is>
      </c>
      <c r="C2297" s="4" t="inlineStr">
        <is>
          <t>D39</t>
        </is>
      </c>
      <c r="D2297" s="4" t="n">
        <v>4000</v>
      </c>
      <c r="E2297" s="4" t="n">
        <v>4000</v>
      </c>
      <c r="F2297" s="4" t="inlineStr">
        <is>
          <t>GOC Bed Unit-Costing Model v2 — working original.xlsx</t>
        </is>
      </c>
    </row>
    <row r="2298" ht="40" customHeight="1">
      <c r="A2298" s="4" t="inlineStr">
        <is>
          <t>original:NM Cashflow!E39</t>
        </is>
      </c>
      <c r="B2298" s="4" t="inlineStr">
        <is>
          <t>NM Cashflow</t>
        </is>
      </c>
      <c r="C2298" s="4" t="inlineStr">
        <is>
          <t>E39</t>
        </is>
      </c>
      <c r="D2298" s="4" t="n">
        <v>4000</v>
      </c>
      <c r="E2298" s="4" t="n">
        <v>4000</v>
      </c>
      <c r="F2298" s="4" t="inlineStr">
        <is>
          <t>GOC Bed Unit-Costing Model v2 — working original.xlsx</t>
        </is>
      </c>
    </row>
    <row r="2299" ht="40" customHeight="1">
      <c r="A2299" s="4" t="inlineStr">
        <is>
          <t>original:NM Cashflow!F39</t>
        </is>
      </c>
      <c r="B2299" s="4" t="inlineStr">
        <is>
          <t>NM Cashflow</t>
        </is>
      </c>
      <c r="C2299" s="4" t="inlineStr">
        <is>
          <t>F39</t>
        </is>
      </c>
      <c r="D2299" s="4" t="n">
        <v>4000</v>
      </c>
      <c r="E2299" s="4" t="n">
        <v>4000</v>
      </c>
      <c r="F2299" s="4" t="inlineStr">
        <is>
          <t>GOC Bed Unit-Costing Model v2 — working original.xlsx</t>
        </is>
      </c>
    </row>
    <row r="2300" ht="40" customHeight="1">
      <c r="A2300" s="4" t="inlineStr">
        <is>
          <t>original:NM Cashflow!G39</t>
        </is>
      </c>
      <c r="B2300" s="4" t="inlineStr">
        <is>
          <t>NM Cashflow</t>
        </is>
      </c>
      <c r="C2300" s="4" t="inlineStr">
        <is>
          <t>G39</t>
        </is>
      </c>
      <c r="D2300" s="4" t="n">
        <v>4000</v>
      </c>
      <c r="E2300" s="4" t="n">
        <v>4000</v>
      </c>
      <c r="F2300" s="4" t="inlineStr">
        <is>
          <t>GOC Bed Unit-Costing Model v2 — working original.xlsx</t>
        </is>
      </c>
    </row>
    <row r="2301" ht="40" customHeight="1">
      <c r="A2301" s="4" t="inlineStr">
        <is>
          <t>original:NM Cashflow!H39</t>
        </is>
      </c>
      <c r="B2301" s="4" t="inlineStr">
        <is>
          <t>NM Cashflow</t>
        </is>
      </c>
      <c r="C2301" s="4" t="inlineStr">
        <is>
          <t>H39</t>
        </is>
      </c>
      <c r="D2301" s="4" t="n">
        <v>4000</v>
      </c>
      <c r="E2301" s="4" t="n">
        <v>4000</v>
      </c>
      <c r="F2301" s="4" t="inlineStr">
        <is>
          <t>GOC Bed Unit-Costing Model v2 — working original.xlsx</t>
        </is>
      </c>
    </row>
    <row r="2302" ht="40" customHeight="1">
      <c r="A2302" s="4" t="inlineStr">
        <is>
          <t>original:NM Cashflow!I39</t>
        </is>
      </c>
      <c r="B2302" s="4" t="inlineStr">
        <is>
          <t>NM Cashflow</t>
        </is>
      </c>
      <c r="C2302" s="4" t="inlineStr">
        <is>
          <t>I39</t>
        </is>
      </c>
      <c r="D2302" s="4" t="n">
        <v>4000</v>
      </c>
      <c r="E2302" s="4" t="n">
        <v>4000</v>
      </c>
      <c r="F2302" s="4" t="inlineStr">
        <is>
          <t>GOC Bed Unit-Costing Model v2 — working original.xlsx</t>
        </is>
      </c>
    </row>
    <row r="2303" ht="40" customHeight="1">
      <c r="A2303" s="4" t="inlineStr">
        <is>
          <t>original:NM Cashflow!J39</t>
        </is>
      </c>
      <c r="B2303" s="4" t="inlineStr">
        <is>
          <t>NM Cashflow</t>
        </is>
      </c>
      <c r="C2303" s="4" t="inlineStr">
        <is>
          <t>J39</t>
        </is>
      </c>
      <c r="D2303" s="4" t="n">
        <v>4000</v>
      </c>
      <c r="E2303" s="4" t="n">
        <v>4000</v>
      </c>
      <c r="F2303" s="4" t="inlineStr">
        <is>
          <t>GOC Bed Unit-Costing Model v2 — working original.xlsx</t>
        </is>
      </c>
    </row>
    <row r="2304" ht="40" customHeight="1">
      <c r="A2304" s="4" t="inlineStr">
        <is>
          <t>original:NM Cashflow!K39</t>
        </is>
      </c>
      <c r="B2304" s="4" t="inlineStr">
        <is>
          <t>NM Cashflow</t>
        </is>
      </c>
      <c r="C2304" s="4" t="inlineStr">
        <is>
          <t>K39</t>
        </is>
      </c>
      <c r="D2304" s="4" t="n">
        <v>4000</v>
      </c>
      <c r="E2304" s="4" t="n">
        <v>4000</v>
      </c>
      <c r="F2304" s="4" t="inlineStr">
        <is>
          <t>GOC Bed Unit-Costing Model v2 — working original.xlsx</t>
        </is>
      </c>
    </row>
    <row r="2305" ht="40" customHeight="1">
      <c r="A2305" s="4" t="inlineStr">
        <is>
          <t>original:NM Cashflow!L39</t>
        </is>
      </c>
      <c r="B2305" s="4" t="inlineStr">
        <is>
          <t>NM Cashflow</t>
        </is>
      </c>
      <c r="C2305" s="4" t="inlineStr">
        <is>
          <t>L39</t>
        </is>
      </c>
      <c r="D2305" s="4" t="n">
        <v>4000</v>
      </c>
      <c r="E2305" s="4" t="n">
        <v>4000</v>
      </c>
      <c r="F2305" s="4" t="inlineStr">
        <is>
          <t>GOC Bed Unit-Costing Model v2 — working original.xlsx</t>
        </is>
      </c>
    </row>
    <row r="2306" ht="40" customHeight="1">
      <c r="A2306" s="4" t="inlineStr">
        <is>
          <t>original:NM Cashflow!M39</t>
        </is>
      </c>
      <c r="B2306" s="4" t="inlineStr">
        <is>
          <t>NM Cashflow</t>
        </is>
      </c>
      <c r="C2306" s="4" t="inlineStr">
        <is>
          <t>M39</t>
        </is>
      </c>
      <c r="D2306" s="4" t="n">
        <v>4000</v>
      </c>
      <c r="E2306" s="4" t="n">
        <v>4000</v>
      </c>
      <c r="F2306" s="4" t="inlineStr">
        <is>
          <t>GOC Bed Unit-Costing Model v2 — working original.xlsx</t>
        </is>
      </c>
    </row>
    <row r="2307" ht="40" customHeight="1">
      <c r="A2307" s="4" t="inlineStr">
        <is>
          <t>original:NM Cashflow!N39</t>
        </is>
      </c>
      <c r="B2307" s="4" t="inlineStr">
        <is>
          <t>NM Cashflow</t>
        </is>
      </c>
      <c r="C2307" s="4" t="inlineStr">
        <is>
          <t>N39</t>
        </is>
      </c>
      <c r="D2307" s="4" t="n">
        <v>4000</v>
      </c>
      <c r="E2307" s="4" t="n">
        <v>4000</v>
      </c>
      <c r="F2307" s="4" t="inlineStr">
        <is>
          <t>GOC Bed Unit-Costing Model v2 — working original.xlsx</t>
        </is>
      </c>
    </row>
    <row r="2308" ht="40" customHeight="1">
      <c r="A2308" s="4" t="inlineStr">
        <is>
          <t>original:NM Cashflow!O39</t>
        </is>
      </c>
      <c r="B2308" s="4" t="inlineStr">
        <is>
          <t>NM Cashflow</t>
        </is>
      </c>
      <c r="C2308" s="4" t="inlineStr">
        <is>
          <t>O39</t>
        </is>
      </c>
      <c r="D2308" s="4" t="n">
        <v>4000</v>
      </c>
      <c r="E2308" s="4" t="n">
        <v>4000</v>
      </c>
      <c r="F2308" s="4" t="inlineStr">
        <is>
          <t>GOC Bed Unit-Costing Model v2 — working original.xlsx</t>
        </is>
      </c>
    </row>
    <row r="2309" ht="40" customHeight="1">
      <c r="A2309" s="4" t="inlineStr">
        <is>
          <t>original:NM Cashflow!P39</t>
        </is>
      </c>
      <c r="B2309" s="4" t="inlineStr">
        <is>
          <t>NM Cashflow</t>
        </is>
      </c>
      <c r="C2309" s="4" t="inlineStr">
        <is>
          <t>P39</t>
        </is>
      </c>
      <c r="D2309" s="4" t="n">
        <v>4000</v>
      </c>
      <c r="E2309" s="4" t="n">
        <v>4000</v>
      </c>
      <c r="F2309" s="4" t="inlineStr">
        <is>
          <t>GOC Bed Unit-Costing Model v2 — working original.xlsx</t>
        </is>
      </c>
    </row>
    <row r="2310" ht="40" customHeight="1">
      <c r="A2310" s="4" t="inlineStr">
        <is>
          <t>original:NM Cashflow!Q39</t>
        </is>
      </c>
      <c r="B2310" s="4" t="inlineStr">
        <is>
          <t>NM Cashflow</t>
        </is>
      </c>
      <c r="C2310" s="4" t="inlineStr">
        <is>
          <t>Q39</t>
        </is>
      </c>
      <c r="D2310" s="4" t="n">
        <v>4000</v>
      </c>
      <c r="E2310" s="4" t="n">
        <v>4000</v>
      </c>
      <c r="F2310" s="4" t="inlineStr">
        <is>
          <t>GOC Bed Unit-Costing Model v2 — working original.xlsx</t>
        </is>
      </c>
    </row>
    <row r="2311" ht="40" customHeight="1">
      <c r="A2311" s="4" t="inlineStr">
        <is>
          <t>original:NM Cashflow!R39</t>
        </is>
      </c>
      <c r="B2311" s="4" t="inlineStr">
        <is>
          <t>NM Cashflow</t>
        </is>
      </c>
      <c r="C2311" s="4" t="inlineStr">
        <is>
          <t>R39</t>
        </is>
      </c>
      <c r="D2311" s="4" t="n">
        <v>4000</v>
      </c>
      <c r="E2311" s="4" t="n">
        <v>4000</v>
      </c>
      <c r="F2311" s="4" t="inlineStr">
        <is>
          <t>GOC Bed Unit-Costing Model v2 — working original.xlsx</t>
        </is>
      </c>
    </row>
    <row r="2312" ht="40" customHeight="1">
      <c r="A2312" s="4" t="inlineStr">
        <is>
          <t>original:NM Cashflow!S39</t>
        </is>
      </c>
      <c r="B2312" s="4" t="inlineStr">
        <is>
          <t>NM Cashflow</t>
        </is>
      </c>
      <c r="C2312" s="4" t="inlineStr">
        <is>
          <t>S39</t>
        </is>
      </c>
      <c r="D2312" s="4" t="n">
        <v>4000</v>
      </c>
      <c r="E2312" s="4" t="n">
        <v>4000</v>
      </c>
      <c r="F2312" s="4" t="inlineStr">
        <is>
          <t>GOC Bed Unit-Costing Model v2 — working original.xlsx</t>
        </is>
      </c>
    </row>
    <row r="2313" ht="40" customHeight="1">
      <c r="A2313" s="4" t="inlineStr">
        <is>
          <t>original:NM Cashflow!T39</t>
        </is>
      </c>
      <c r="B2313" s="4" t="inlineStr">
        <is>
          <t>NM Cashflow</t>
        </is>
      </c>
      <c r="C2313" s="4" t="inlineStr">
        <is>
          <t>T39</t>
        </is>
      </c>
      <c r="D2313" s="4" t="n">
        <v>4000</v>
      </c>
      <c r="E2313" s="4" t="n">
        <v>4000</v>
      </c>
      <c r="F2313" s="4" t="inlineStr">
        <is>
          <t>GOC Bed Unit-Costing Model v2 — working original.xlsx</t>
        </is>
      </c>
    </row>
    <row r="2314" ht="40" customHeight="1">
      <c r="A2314" s="4" t="inlineStr">
        <is>
          <t>original:NM Cashflow!U39</t>
        </is>
      </c>
      <c r="B2314" s="4" t="inlineStr">
        <is>
          <t>NM Cashflow</t>
        </is>
      </c>
      <c r="C2314" s="4" t="inlineStr">
        <is>
          <t>U39</t>
        </is>
      </c>
      <c r="D2314" s="4" t="n">
        <v>4000</v>
      </c>
      <c r="E2314" s="4" t="n">
        <v>4000</v>
      </c>
      <c r="F2314" s="4" t="inlineStr">
        <is>
          <t>GOC Bed Unit-Costing Model v2 — working original.xlsx</t>
        </is>
      </c>
    </row>
    <row r="2315" ht="40" customHeight="1">
      <c r="A2315" s="4" t="inlineStr">
        <is>
          <t>original:NM Cashflow!V39</t>
        </is>
      </c>
      <c r="B2315" s="4" t="inlineStr">
        <is>
          <t>NM Cashflow</t>
        </is>
      </c>
      <c r="C2315" s="4" t="inlineStr">
        <is>
          <t>V39</t>
        </is>
      </c>
      <c r="D2315" s="4" t="n">
        <v>4000</v>
      </c>
      <c r="E2315" s="4" t="n">
        <v>4000</v>
      </c>
      <c r="F2315" s="4" t="inlineStr">
        <is>
          <t>GOC Bed Unit-Costing Model v2 — working original.xlsx</t>
        </is>
      </c>
    </row>
    <row r="2316" ht="40" customHeight="1">
      <c r="A2316" s="4" t="inlineStr">
        <is>
          <t>original:NM Cashflow!W39</t>
        </is>
      </c>
      <c r="B2316" s="4" t="inlineStr">
        <is>
          <t>NM Cashflow</t>
        </is>
      </c>
      <c r="C2316" s="4" t="inlineStr">
        <is>
          <t>W39</t>
        </is>
      </c>
      <c r="D2316" s="4" t="n">
        <v>4000</v>
      </c>
      <c r="E2316" s="4" t="n">
        <v>4000</v>
      </c>
      <c r="F2316" s="4" t="inlineStr">
        <is>
          <t>GOC Bed Unit-Costing Model v2 — working original.xlsx</t>
        </is>
      </c>
    </row>
    <row r="2317" ht="40" customHeight="1">
      <c r="A2317" s="4" t="inlineStr">
        <is>
          <t>original:NM Cashflow!X39</t>
        </is>
      </c>
      <c r="B2317" s="4" t="inlineStr">
        <is>
          <t>NM Cashflow</t>
        </is>
      </c>
      <c r="C2317" s="4" t="inlineStr">
        <is>
          <t>X39</t>
        </is>
      </c>
      <c r="D2317" s="4" t="n">
        <v>4000</v>
      </c>
      <c r="E2317" s="4" t="n">
        <v>4000</v>
      </c>
      <c r="F2317" s="4" t="inlineStr">
        <is>
          <t>GOC Bed Unit-Costing Model v2 — working original.xlsx</t>
        </is>
      </c>
    </row>
    <row r="2318" ht="40" customHeight="1">
      <c r="A2318" s="4" t="inlineStr">
        <is>
          <t>original:NM Cashflow!Y39</t>
        </is>
      </c>
      <c r="B2318" s="4" t="inlineStr">
        <is>
          <t>NM Cashflow</t>
        </is>
      </c>
      <c r="C2318" s="4" t="inlineStr">
        <is>
          <t>Y39</t>
        </is>
      </c>
      <c r="D2318" s="4" t="n">
        <v>4000</v>
      </c>
      <c r="E2318" s="4" t="n">
        <v>4000</v>
      </c>
      <c r="F2318" s="4" t="inlineStr">
        <is>
          <t>GOC Bed Unit-Costing Model v2 — working original.xlsx</t>
        </is>
      </c>
    </row>
    <row r="2319" ht="40" customHeight="1">
      <c r="A2319" s="4" t="inlineStr">
        <is>
          <t>original:NM Cashflow!Z39</t>
        </is>
      </c>
      <c r="B2319" s="4" t="inlineStr">
        <is>
          <t>NM Cashflow</t>
        </is>
      </c>
      <c r="C2319" s="4" t="inlineStr">
        <is>
          <t>Z39</t>
        </is>
      </c>
      <c r="D2319" s="4" t="n">
        <v>4000</v>
      </c>
      <c r="E2319" s="4" t="n">
        <v>4000</v>
      </c>
      <c r="F2319" s="4" t="inlineStr">
        <is>
          <t>GOC Bed Unit-Costing Model v2 — working original.xlsx</t>
        </is>
      </c>
    </row>
    <row r="2320" ht="40" customHeight="1">
      <c r="A2320" s="4" t="inlineStr">
        <is>
          <t>original:NM Cashflow!A42</t>
        </is>
      </c>
      <c r="B2320" s="4" t="inlineStr">
        <is>
          <t>NM Cashflow</t>
        </is>
      </c>
      <c r="C2320" s="4" t="inlineStr">
        <is>
          <t>A42</t>
        </is>
      </c>
      <c r="D2320" s="4" t="inlineStr">
        <is>
          <t xml:space="preserve">Assets </t>
        </is>
      </c>
      <c r="E2320" s="4" t="inlineStr">
        <is>
          <t xml:space="preserve">Assets </t>
        </is>
      </c>
      <c r="F2320" s="4" t="inlineStr">
        <is>
          <t>GOC Bed Unit-Costing Model v2 — working original.xlsx</t>
        </is>
      </c>
    </row>
    <row r="2321" ht="40" customHeight="1">
      <c r="A2321" s="4" t="inlineStr">
        <is>
          <t>original:NM Cashflow!A43</t>
        </is>
      </c>
      <c r="B2321" s="4" t="inlineStr">
        <is>
          <t>NM Cashflow</t>
        </is>
      </c>
      <c r="C2321" s="4" t="inlineStr">
        <is>
          <t>A43</t>
        </is>
      </c>
      <c r="D2321" s="4" t="inlineStr">
        <is>
          <t>Factory 2</t>
        </is>
      </c>
      <c r="E2321" s="4" t="inlineStr">
        <is>
          <t>Factory 2</t>
        </is>
      </c>
      <c r="F2321" s="4" t="inlineStr">
        <is>
          <t>GOC Bed Unit-Costing Model v2 — working original.xlsx</t>
        </is>
      </c>
    </row>
    <row r="2322" ht="40" customHeight="1">
      <c r="A2322" s="4" t="inlineStr">
        <is>
          <t>original:NM Cashflow!D43</t>
        </is>
      </c>
      <c r="B2322" s="4" t="inlineStr">
        <is>
          <t>NM Cashflow</t>
        </is>
      </c>
      <c r="C2322" s="4" t="inlineStr">
        <is>
          <t>D43</t>
        </is>
      </c>
      <c r="D2322" s="4" t="n">
        <v>75000</v>
      </c>
      <c r="E2322" s="4" t="n">
        <v>75000</v>
      </c>
      <c r="F2322" s="4" t="inlineStr">
        <is>
          <t>GOC Bed Unit-Costing Model v2 — working original.xlsx</t>
        </is>
      </c>
    </row>
    <row r="2323" ht="40" customHeight="1">
      <c r="A2323" s="4" t="inlineStr">
        <is>
          <t>original:NM Cashflow!E43</t>
        </is>
      </c>
      <c r="B2323" s="4" t="inlineStr">
        <is>
          <t>NM Cashflow</t>
        </is>
      </c>
      <c r="C2323" s="4" t="inlineStr">
        <is>
          <t>E43</t>
        </is>
      </c>
      <c r="D2323" s="4" t="n">
        <v>75000</v>
      </c>
      <c r="E2323" s="4" t="n">
        <v>75000</v>
      </c>
      <c r="F2323" s="4" t="inlineStr">
        <is>
          <t>GOC Bed Unit-Costing Model v2 — working original.xlsx</t>
        </is>
      </c>
    </row>
    <row r="2324" ht="40" customHeight="1">
      <c r="A2324" s="4" t="inlineStr">
        <is>
          <t>original:NM Cashflow!A44</t>
        </is>
      </c>
      <c r="B2324" s="4" t="inlineStr">
        <is>
          <t>NM Cashflow</t>
        </is>
      </c>
      <c r="C2324" s="4" t="inlineStr">
        <is>
          <t>A44</t>
        </is>
      </c>
      <c r="D2324" s="4" t="inlineStr">
        <is>
          <t>Factory 3</t>
        </is>
      </c>
      <c r="E2324" s="4" t="inlineStr">
        <is>
          <t>Factory 3</t>
        </is>
      </c>
      <c r="F2324" s="4" t="inlineStr">
        <is>
          <t>GOC Bed Unit-Costing Model v2 — working original.xlsx</t>
        </is>
      </c>
    </row>
    <row r="2325" ht="40" customHeight="1">
      <c r="A2325" s="4" t="inlineStr">
        <is>
          <t>original:NM Cashflow!G44</t>
        </is>
      </c>
      <c r="B2325" s="4" t="inlineStr">
        <is>
          <t>NM Cashflow</t>
        </is>
      </c>
      <c r="C2325" s="4" t="inlineStr">
        <is>
          <t>G44</t>
        </is>
      </c>
      <c r="D2325" s="4" t="n">
        <v>75000</v>
      </c>
      <c r="E2325" s="4" t="n">
        <v>75000</v>
      </c>
      <c r="F2325" s="4" t="inlineStr">
        <is>
          <t>GOC Bed Unit-Costing Model v2 — working original.xlsx</t>
        </is>
      </c>
    </row>
    <row r="2326" ht="40" customHeight="1">
      <c r="A2326" s="4" t="inlineStr">
        <is>
          <t>original:NM Cashflow!H44</t>
        </is>
      </c>
      <c r="B2326" s="4" t="inlineStr">
        <is>
          <t>NM Cashflow</t>
        </is>
      </c>
      <c r="C2326" s="4" t="inlineStr">
        <is>
          <t>H44</t>
        </is>
      </c>
      <c r="D2326" s="4" t="n">
        <v>75000</v>
      </c>
      <c r="E2326" s="4" t="n">
        <v>75000</v>
      </c>
      <c r="F2326" s="4" t="inlineStr">
        <is>
          <t>GOC Bed Unit-Costing Model v2 — working original.xlsx</t>
        </is>
      </c>
    </row>
    <row r="2327" ht="40" customHeight="1">
      <c r="A2327" s="4" t="inlineStr">
        <is>
          <t>original:NM Cashflow!A45</t>
        </is>
      </c>
      <c r="B2327" s="4" t="inlineStr">
        <is>
          <t>NM Cashflow</t>
        </is>
      </c>
      <c r="C2327" s="4" t="inlineStr">
        <is>
          <t>A45</t>
        </is>
      </c>
      <c r="D2327" s="4" t="inlineStr">
        <is>
          <t>Factory 4</t>
        </is>
      </c>
      <c r="E2327" s="4" t="inlineStr">
        <is>
          <t>Factory 4</t>
        </is>
      </c>
      <c r="F2327" s="4" t="inlineStr">
        <is>
          <t>GOC Bed Unit-Costing Model v2 — working original.xlsx</t>
        </is>
      </c>
    </row>
    <row r="2328" ht="40" customHeight="1">
      <c r="A2328" s="4" t="inlineStr">
        <is>
          <t>original:NM Cashflow!H45</t>
        </is>
      </c>
      <c r="B2328" s="4" t="inlineStr">
        <is>
          <t>NM Cashflow</t>
        </is>
      </c>
      <c r="C2328" s="4" t="inlineStr">
        <is>
          <t>H45</t>
        </is>
      </c>
      <c r="D2328" s="4" t="n">
        <v>75000</v>
      </c>
      <c r="E2328" s="4" t="n">
        <v>75000</v>
      </c>
      <c r="F2328" s="4" t="inlineStr">
        <is>
          <t>GOC Bed Unit-Costing Model v2 — working original.xlsx</t>
        </is>
      </c>
    </row>
    <row r="2329" ht="40" customHeight="1">
      <c r="A2329" s="4" t="inlineStr">
        <is>
          <t>original:NM Cashflow!I45</t>
        </is>
      </c>
      <c r="B2329" s="4" t="inlineStr">
        <is>
          <t>NM Cashflow</t>
        </is>
      </c>
      <c r="C2329" s="4" t="inlineStr">
        <is>
          <t>I45</t>
        </is>
      </c>
      <c r="D2329" s="4" t="n">
        <v>75000</v>
      </c>
      <c r="E2329" s="4" t="n">
        <v>75000</v>
      </c>
      <c r="F2329" s="4" t="inlineStr">
        <is>
          <t>GOC Bed Unit-Costing Model v2 — working original.xlsx</t>
        </is>
      </c>
    </row>
    <row r="2330" ht="40" customHeight="1">
      <c r="A2330" s="4" t="inlineStr">
        <is>
          <t>original:NM Cashflow!A46</t>
        </is>
      </c>
      <c r="B2330" s="4" t="inlineStr">
        <is>
          <t>NM Cashflow</t>
        </is>
      </c>
      <c r="C2330" s="4" t="inlineStr">
        <is>
          <t>A46</t>
        </is>
      </c>
      <c r="D2330" s="4" t="inlineStr">
        <is>
          <t>Factory 5</t>
        </is>
      </c>
      <c r="E2330" s="4" t="inlineStr">
        <is>
          <t>Factory 5</t>
        </is>
      </c>
      <c r="F2330" s="4" t="inlineStr">
        <is>
          <t>GOC Bed Unit-Costing Model v2 — working original.xlsx</t>
        </is>
      </c>
    </row>
    <row r="2331" ht="40" customHeight="1">
      <c r="A2331" s="4" t="inlineStr">
        <is>
          <t>original:NM Cashflow!I46</t>
        </is>
      </c>
      <c r="B2331" s="4" t="inlineStr">
        <is>
          <t>NM Cashflow</t>
        </is>
      </c>
      <c r="C2331" s="4" t="inlineStr">
        <is>
          <t>I46</t>
        </is>
      </c>
      <c r="D2331" s="4" t="n">
        <v>75000</v>
      </c>
      <c r="E2331" s="4" t="n">
        <v>75000</v>
      </c>
      <c r="F2331" s="4" t="inlineStr">
        <is>
          <t>GOC Bed Unit-Costing Model v2 — working original.xlsx</t>
        </is>
      </c>
    </row>
    <row r="2332" ht="40" customHeight="1">
      <c r="A2332" s="4" t="inlineStr">
        <is>
          <t>original:NM Cashflow!J46</t>
        </is>
      </c>
      <c r="B2332" s="4" t="inlineStr">
        <is>
          <t>NM Cashflow</t>
        </is>
      </c>
      <c r="C2332" s="4" t="inlineStr">
        <is>
          <t>J46</t>
        </is>
      </c>
      <c r="D2332" s="4" t="n">
        <v>75000</v>
      </c>
      <c r="E2332" s="4" t="n">
        <v>75000</v>
      </c>
      <c r="F2332" s="4" t="inlineStr">
        <is>
          <t>GOC Bed Unit-Costing Model v2 — working original.xlsx</t>
        </is>
      </c>
    </row>
    <row r="2333" ht="40" customHeight="1">
      <c r="A2333" s="4" t="inlineStr">
        <is>
          <t>original:NM Cashflow!A49</t>
        </is>
      </c>
      <c r="B2333" s="4" t="inlineStr">
        <is>
          <t>NM Cashflow</t>
        </is>
      </c>
      <c r="C2333" s="4" t="inlineStr">
        <is>
          <t>A49</t>
        </is>
      </c>
      <c r="D2333" s="4" t="inlineStr">
        <is>
          <t xml:space="preserve"> </t>
        </is>
      </c>
      <c r="E2333" s="4" t="inlineStr">
        <is>
          <t xml:space="preserve"> </t>
        </is>
      </c>
      <c r="F2333" s="4" t="inlineStr">
        <is>
          <t>GOC Bed Unit-Costing Model v2 — working original.xlsx</t>
        </is>
      </c>
    </row>
    <row r="2334" ht="40" customHeight="1">
      <c r="A2334" s="4" t="inlineStr">
        <is>
          <t>original:README!B2</t>
        </is>
      </c>
      <c r="B2334" s="4" t="inlineStr">
        <is>
          <t>README</t>
        </is>
      </c>
      <c r="C2334" s="4" t="inlineStr">
        <is>
          <t>B2</t>
        </is>
      </c>
      <c r="D2334" s="4" t="inlineStr">
        <is>
          <t>Goods on Country — Entity Financial Model</t>
        </is>
      </c>
      <c r="E2334" s="4" t="inlineStr">
        <is>
          <t>Goods on Country — Entity Financial Model</t>
        </is>
      </c>
      <c r="F2334" s="4" t="inlineStr">
        <is>
          <t>GOC Bed Unit-Costing Model v2 — working original.xlsx</t>
        </is>
      </c>
    </row>
    <row r="2335" ht="60" customHeight="1">
      <c r="A2335" s="4" t="inlineStr">
        <is>
          <t>original:README!B3</t>
        </is>
      </c>
      <c r="B2335" s="4" t="inlineStr">
        <is>
          <t>README</t>
        </is>
      </c>
      <c r="C2335" s="4" t="inlineStr">
        <is>
          <t>B3</t>
        </is>
      </c>
      <c r="D2335" s="4" t="inlineStr">
        <is>
          <t>Whole-of-organisation 3-statement model, 3 years. AUD, ex-GST throughout.</t>
        </is>
      </c>
      <c r="E2335" s="4" t="inlineStr">
        <is>
          <t>Whole-of-organisation 3-statement model, 3 years. AUD, ex-GST throughout.</t>
        </is>
      </c>
      <c r="F2335" s="4" t="inlineStr">
        <is>
          <t>GOC Bed Unit-Costing Model v2 — working original.xlsx</t>
        </is>
      </c>
    </row>
    <row r="2336" ht="105" customHeight="1">
      <c r="A2336" s="4" t="inlineStr">
        <is>
          <t>original:README!B4</t>
        </is>
      </c>
      <c r="B2336" s="4" t="inlineStr">
        <is>
          <t>README</t>
        </is>
      </c>
      <c r="C2336" s="4" t="inlineStr">
        <is>
          <t>B4</t>
        </is>
      </c>
      <c r="D2336" s="4" t="inlineStr">
        <is>
          <t>Version 1.0 · built 10 August 2026 · built from "GoC Entity Financial Model .xlsx" (Matt) + the QBE bundle (2026-05) + GOC Bed Unit-Costing Model v2</t>
        </is>
      </c>
      <c r="E2336" s="4" t="inlineStr">
        <is>
          <t>Version 1.0 · built 10 August 2026 · built from "GoC Entity Financial Model .xlsx" (Matt) + the QBE bundle (2026-05) + GOC Bed Unit-Costing Model v2</t>
        </is>
      </c>
      <c r="F2336" s="4" t="inlineStr">
        <is>
          <t>GOC Bed Unit-Costing Model v2 — working original.xlsx</t>
        </is>
      </c>
    </row>
    <row r="2337" ht="40" customHeight="1">
      <c r="A2337" s="4" t="inlineStr">
        <is>
          <t>original:README!B7</t>
        </is>
      </c>
      <c r="B2337" s="4" t="inlineStr">
        <is>
          <t>README</t>
        </is>
      </c>
      <c r="C2337" s="4" t="inlineStr">
        <is>
          <t>B7</t>
        </is>
      </c>
      <c r="D2337" s="4" t="inlineStr">
        <is>
          <t>WHAT THIS MODEL IS FOR</t>
        </is>
      </c>
      <c r="E2337" s="4" t="inlineStr">
        <is>
          <t>WHAT THIS MODEL IS FOR</t>
        </is>
      </c>
      <c r="F2337" s="4" t="inlineStr">
        <is>
          <t>GOC Bed Unit-Costing Model v2 — working original.xlsx</t>
        </is>
      </c>
    </row>
    <row r="2338" ht="40" customHeight="1">
      <c r="A2338" s="4" t="inlineStr">
        <is>
          <t>original:README!B8</t>
        </is>
      </c>
      <c r="B2338" s="4" t="inlineStr">
        <is>
          <t>README</t>
        </is>
      </c>
      <c r="C2338" s="4" t="inlineStr">
        <is>
          <t>B8</t>
        </is>
      </c>
      <c r="D2338" s="4" t="inlineStr">
        <is>
          <t>The story it tells</t>
        </is>
      </c>
      <c r="E2338" s="4" t="inlineStr">
        <is>
          <t>The story it tells</t>
        </is>
      </c>
      <c r="F2338" s="4" t="inlineStr">
        <is>
          <t>GOC Bed Unit-Costing Model v2 — working original.xlsx</t>
        </is>
      </c>
    </row>
    <row r="2339" ht="90" customHeight="1">
      <c r="A2339" s="4" t="inlineStr">
        <is>
          <t>original:README!C8</t>
        </is>
      </c>
      <c r="B2339" s="4" t="inlineStr">
        <is>
          <t>README</t>
        </is>
      </c>
      <c r="C2339" s="4" t="inlineStr">
        <is>
          <t>C8</t>
        </is>
      </c>
      <c r="D2339" s="4" t="inlineStr">
        <is>
          <t>A startup enterprise with a pathway to scale and profitability. It is the high-level source of truth for making the case for support.</t>
        </is>
      </c>
      <c r="E2339" s="4" t="inlineStr">
        <is>
          <t>A startup enterprise with a pathway to scale and profitability. It is the high-level source of truth for making the case for support.</t>
        </is>
      </c>
      <c r="F2339" s="4" t="inlineStr">
        <is>
          <t>GOC Bed Unit-Costing Model v2 — working original.xlsx</t>
        </is>
      </c>
    </row>
    <row r="2340" ht="40" customHeight="1">
      <c r="A2340" s="4" t="inlineStr">
        <is>
          <t>original:README!B9</t>
        </is>
      </c>
      <c r="B2340" s="4" t="inlineStr">
        <is>
          <t>README</t>
        </is>
      </c>
      <c r="C2340" s="4" t="inlineStr">
        <is>
          <t>B9</t>
        </is>
      </c>
      <c r="D2340" s="4" t="inlineStr">
        <is>
          <t>What it is not</t>
        </is>
      </c>
      <c r="E2340" s="4" t="inlineStr">
        <is>
          <t>What it is not</t>
        </is>
      </c>
      <c r="F2340" s="4" t="inlineStr">
        <is>
          <t>GOC Bed Unit-Costing Model v2 — working original.xlsx</t>
        </is>
      </c>
    </row>
    <row r="2341" ht="180" customHeight="1">
      <c r="A2341" s="4" t="inlineStr">
        <is>
          <t>original:README!C9</t>
        </is>
      </c>
      <c r="B2341" s="4" t="inlineStr">
        <is>
          <t>README</t>
        </is>
      </c>
      <c r="C2341" s="4" t="inlineStr">
        <is>
          <t>C9</t>
        </is>
      </c>
      <c r="D2341" s="4" t="inlineStr">
        <is>
          <t>It is not the bed unit-costing model. That model tells the "containers fund more containers" story: the marginal cost and contribution of one more bed, and how much labour, diesel and material is embodied in each one. Use GOC Bed Unit-Costing Model v2.xlsx for that.</t>
        </is>
      </c>
      <c r="E2341" s="4" t="inlineStr">
        <is>
          <t>It is not the bed unit-costing model. That model tells the "containers fund more containers" story: the marginal cost and contribution of one more bed, and how much labour, diesel and material is embodied in each one. Use GOC Bed Unit-Costing Model v2.xlsx for that.</t>
        </is>
      </c>
      <c r="F2341" s="4" t="inlineStr">
        <is>
          <t>GOC Bed Unit-Costing Model v2 — working original.xlsx</t>
        </is>
      </c>
    </row>
    <row r="2342" ht="40" customHeight="1">
      <c r="A2342" s="4" t="inlineStr">
        <is>
          <t>original:README!B10</t>
        </is>
      </c>
      <c r="B2342" s="4" t="inlineStr">
        <is>
          <t>README</t>
        </is>
      </c>
      <c r="C2342" s="4" t="inlineStr">
        <is>
          <t>B10</t>
        </is>
      </c>
      <c r="D2342" s="4" t="inlineStr">
        <is>
          <t>How costs are shown</t>
        </is>
      </c>
      <c r="E2342" s="4" t="inlineStr">
        <is>
          <t>How costs are shown</t>
        </is>
      </c>
      <c r="F2342" s="4" t="inlineStr">
        <is>
          <t>GOC Bed Unit-Costing Model v2 — working original.xlsx</t>
        </is>
      </c>
    </row>
    <row r="2343" ht="180" customHeight="1">
      <c r="A2343" s="4" t="inlineStr">
        <is>
          <t>original:README!C10</t>
        </is>
      </c>
      <c r="B2343" s="4" t="inlineStr">
        <is>
          <t>README</t>
        </is>
      </c>
      <c r="C2343" s="4" t="inlineStr">
        <is>
          <t>C10</t>
        </is>
      </c>
      <c r="D2343" s="4" t="inlineStr">
        <is>
          <t>As simply as possible, and inside their own cost centre. Head-office and admin costs are NOT apportioned across sites. When writing a grant you make your own call on how to pull costs out, e.g. stating that each grant-funded facility returns a set amount to the parent body.</t>
        </is>
      </c>
      <c r="E2343" s="4" t="inlineStr">
        <is>
          <t>As simply as possible, and inside their own cost centre. Head-office and admin costs are NOT apportioned across sites. When writing a grant you make your own call on how to pull costs out, e.g. stating that each grant-funded facility returns a set amount to the parent body.</t>
        </is>
      </c>
      <c r="F2343" s="4" t="inlineStr">
        <is>
          <t>GOC Bed Unit-Costing Model v2 — working original.xlsx</t>
        </is>
      </c>
    </row>
    <row r="2344" ht="40" customHeight="1">
      <c r="A2344" s="4" t="inlineStr">
        <is>
          <t>original:README!B11</t>
        </is>
      </c>
      <c r="B2344" s="4" t="inlineStr">
        <is>
          <t>README</t>
        </is>
      </c>
      <c r="C2344" s="4" t="inlineStr">
        <is>
          <t>B11</t>
        </is>
      </c>
      <c r="D2344" s="4" t="inlineStr">
        <is>
          <t>The four cost centres</t>
        </is>
      </c>
      <c r="E2344" s="4" t="inlineStr">
        <is>
          <t>The four cost centres</t>
        </is>
      </c>
      <c r="F2344" s="4" t="inlineStr">
        <is>
          <t>GOC Bed Unit-Costing Model v2 — working original.xlsx</t>
        </is>
      </c>
    </row>
    <row r="2345" ht="75" customHeight="1">
      <c r="A2345" s="4" t="inlineStr">
        <is>
          <t>original:README!C11</t>
        </is>
      </c>
      <c r="B2345" s="4" t="inlineStr">
        <is>
          <t>README</t>
        </is>
      </c>
      <c r="C2345" s="4" t="inlineStr">
        <is>
          <t>C11</t>
        </is>
      </c>
      <c r="D2345" s="4" t="inlineStr">
        <is>
          <t>1. Central / head office   2. Factory sites   3. Container (on-Country) sites   4. Youth employment programs</t>
        </is>
      </c>
      <c r="E2345" s="4" t="inlineStr">
        <is>
          <t>1. Central / head office   2. Factory sites   3. Container (on-Country) sites   4. Youth employment programs</t>
        </is>
      </c>
      <c r="F2345" s="4" t="inlineStr">
        <is>
          <t>GOC Bed Unit-Costing Model v2 — working original.xlsx</t>
        </is>
      </c>
    </row>
    <row r="2346" ht="40" customHeight="1">
      <c r="A2346" s="4" t="inlineStr">
        <is>
          <t>original:README!B13</t>
        </is>
      </c>
      <c r="B2346" s="4" t="inlineStr">
        <is>
          <t>README</t>
        </is>
      </c>
      <c r="C2346" s="4" t="inlineStr">
        <is>
          <t>B13</t>
        </is>
      </c>
      <c r="D2346" s="4" t="inlineStr">
        <is>
          <t>HOW THE TWO MODELS DIFFER ON BED COST</t>
        </is>
      </c>
      <c r="E2346" s="4" t="inlineStr">
        <is>
          <t>HOW THE TWO MODELS DIFFER ON BED COST</t>
        </is>
      </c>
      <c r="F2346" s="4" t="inlineStr">
        <is>
          <t>GOC Bed Unit-Costing Model v2 — working original.xlsx</t>
        </is>
      </c>
    </row>
    <row r="2347" ht="40" customHeight="1">
      <c r="A2347" s="4" t="inlineStr">
        <is>
          <t>original:README!B14</t>
        </is>
      </c>
      <c r="B2347" s="4" t="inlineStr">
        <is>
          <t>README</t>
        </is>
      </c>
      <c r="C2347" s="4" t="inlineStr">
        <is>
          <t>B14</t>
        </is>
      </c>
      <c r="D2347" s="4" t="inlineStr">
        <is>
          <t>Unit-costing model</t>
        </is>
      </c>
      <c r="E2347" s="4" t="inlineStr">
        <is>
          <t>Unit-costing model</t>
        </is>
      </c>
      <c r="F2347" s="4" t="inlineStr">
        <is>
          <t>GOC Bed Unit-Costing Model v2 — working original.xlsx</t>
        </is>
      </c>
    </row>
    <row r="2348" ht="120" customHeight="1">
      <c r="A2348" s="4" t="inlineStr">
        <is>
          <t>original:README!C14</t>
        </is>
      </c>
      <c r="B2348" s="4" t="inlineStr">
        <is>
          <t>README</t>
        </is>
      </c>
      <c r="C2348" s="4" t="inlineStr">
        <is>
          <t>C14</t>
        </is>
      </c>
      <c r="D2348" s="4" t="inlineStr">
        <is>
          <t>A bed carries a full loaded cost: materials + power + freight + per-bed labour ($80 factory / $130 community fair wage), and the fixed block is amortised over volume.</t>
        </is>
      </c>
      <c r="E2348" s="4" t="inlineStr">
        <is>
          <t>A bed carries a full loaded cost: materials + power + freight + per-bed labour ($80 factory / $130 community fair wage), and the fixed block is amortised over volume.</t>
        </is>
      </c>
      <c r="F2348" s="4" t="inlineStr">
        <is>
          <t>GOC Bed Unit-Costing Model v2 — working original.xlsx</t>
        </is>
      </c>
    </row>
    <row r="2349" ht="40" customHeight="1">
      <c r="A2349" s="4" t="inlineStr">
        <is>
          <t>original:README!B15</t>
        </is>
      </c>
      <c r="B2349" s="4" t="inlineStr">
        <is>
          <t>README</t>
        </is>
      </c>
      <c r="C2349" s="4" t="inlineStr">
        <is>
          <t>B15</t>
        </is>
      </c>
      <c r="D2349" s="4" t="inlineStr">
        <is>
          <t>This model</t>
        </is>
      </c>
      <c r="E2349" s="4" t="inlineStr">
        <is>
          <t>This model</t>
        </is>
      </c>
      <c r="F2349" s="4" t="inlineStr">
        <is>
          <t>GOC Bed Unit-Costing Model v2 — working original.xlsx</t>
        </is>
      </c>
    </row>
    <row r="2350" ht="165" customHeight="1">
      <c r="A2350" s="4" t="inlineStr">
        <is>
          <t>original:README!C15</t>
        </is>
      </c>
      <c r="B2350" s="4" t="inlineStr">
        <is>
          <t>README</t>
        </is>
      </c>
      <c r="C2350" s="4" t="inlineStr">
        <is>
          <t>C15</t>
        </is>
      </c>
      <c r="D2350" s="4" t="inlineStr">
        <is>
          <t>A bed carries its DIRECT production costs only: materials + power + freight. All labour sits as an annual cost in the site cost centre that employs it. The two models will therefore report different costs per bed. That is deliberate, not an error.</t>
        </is>
      </c>
      <c r="E2350" s="4" t="inlineStr">
        <is>
          <t>A bed carries its DIRECT production costs only: materials + power + freight. All labour sits as an annual cost in the site cost centre that employs it. The two models will therefore report different costs per bed. That is deliberate, not an error.</t>
        </is>
      </c>
      <c r="F2350" s="4" t="inlineStr">
        <is>
          <t>GOC Bed Unit-Costing Model v2 — working original.xlsx</t>
        </is>
      </c>
    </row>
    <row r="2351" ht="40" customHeight="1">
      <c r="A2351" s="4" t="inlineStr">
        <is>
          <t>original:README!B17</t>
        </is>
      </c>
      <c r="B2351" s="4" t="inlineStr">
        <is>
          <t>README</t>
        </is>
      </c>
      <c r="C2351" s="4" t="inlineStr">
        <is>
          <t>B17</t>
        </is>
      </c>
      <c r="D2351" s="4" t="inlineStr">
        <is>
          <t>HOW TO READ THE COLOURS</t>
        </is>
      </c>
      <c r="E2351" s="4" t="inlineStr">
        <is>
          <t>HOW TO READ THE COLOURS</t>
        </is>
      </c>
      <c r="F2351" s="4" t="inlineStr">
        <is>
          <t>GOC Bed Unit-Costing Model v2 — working original.xlsx</t>
        </is>
      </c>
    </row>
    <row r="2352" ht="40" customHeight="1">
      <c r="A2352" s="4" t="inlineStr">
        <is>
          <t>original:README!B18</t>
        </is>
      </c>
      <c r="B2352" s="4" t="inlineStr">
        <is>
          <t>README</t>
        </is>
      </c>
      <c r="C2352" s="4" t="inlineStr">
        <is>
          <t>B18</t>
        </is>
      </c>
      <c r="D2352" s="4" t="inlineStr">
        <is>
          <t>Blue text</t>
        </is>
      </c>
      <c r="E2352" s="4" t="inlineStr">
        <is>
          <t>Blue text</t>
        </is>
      </c>
      <c r="F2352" s="4" t="inlineStr">
        <is>
          <t>GOC Bed Unit-Costing Model v2 — working original.xlsx</t>
        </is>
      </c>
    </row>
    <row r="2353" ht="40" customHeight="1">
      <c r="A2353" s="4" t="inlineStr">
        <is>
          <t>original:README!C18</t>
        </is>
      </c>
      <c r="B2353" s="4" t="inlineStr">
        <is>
          <t>README</t>
        </is>
      </c>
      <c r="C2353" s="4" t="inlineStr">
        <is>
          <t>C18</t>
        </is>
      </c>
      <c r="D2353" s="4" t="inlineStr">
        <is>
          <t>A hardcoded input. Change it freely.</t>
        </is>
      </c>
      <c r="E2353" s="4" t="inlineStr">
        <is>
          <t>A hardcoded input. Change it freely.</t>
        </is>
      </c>
      <c r="F2353" s="4" t="inlineStr">
        <is>
          <t>GOC Bed Unit-Costing Model v2 — working original.xlsx</t>
        </is>
      </c>
    </row>
    <row r="2354" ht="40" customHeight="1">
      <c r="A2354" s="4" t="inlineStr">
        <is>
          <t>original:README!B19</t>
        </is>
      </c>
      <c r="B2354" s="4" t="inlineStr">
        <is>
          <t>README</t>
        </is>
      </c>
      <c r="C2354" s="4" t="inlineStr">
        <is>
          <t>B19</t>
        </is>
      </c>
      <c r="D2354" s="4" t="inlineStr">
        <is>
          <t>Blue text on cream fill</t>
        </is>
      </c>
      <c r="E2354" s="4" t="inlineStr">
        <is>
          <t>Blue text on cream fill</t>
        </is>
      </c>
      <c r="F2354" s="4" t="inlineStr">
        <is>
          <t>GOC Bed Unit-Costing Model v2 — working original.xlsx</t>
        </is>
      </c>
    </row>
    <row r="2355" ht="105" customHeight="1">
      <c r="A2355" s="4" t="inlineStr">
        <is>
          <t>original:README!C19</t>
        </is>
      </c>
      <c r="B2355" s="4" t="inlineStr">
        <is>
          <t>README</t>
        </is>
      </c>
      <c r="C2355" s="4" t="inlineStr">
        <is>
          <t>C19</t>
        </is>
      </c>
      <c r="D2355" s="4" t="inlineStr">
        <is>
          <t>An input that still needs to be confirmed or ground-truthed. Every one of these is listed on the Open Items sheet with its source and what is needed.</t>
        </is>
      </c>
      <c r="E2355" s="4" t="inlineStr">
        <is>
          <t>An input that still needs to be confirmed or ground-truthed. Every one of these is listed on the Open Items sheet with its source and what is needed.</t>
        </is>
      </c>
      <c r="F2355" s="4" t="inlineStr">
        <is>
          <t>GOC Bed Unit-Costing Model v2 — working original.xlsx</t>
        </is>
      </c>
    </row>
    <row r="2356" ht="40" customHeight="1">
      <c r="A2356" s="4" t="inlineStr">
        <is>
          <t>original:README!B20</t>
        </is>
      </c>
      <c r="B2356" s="4" t="inlineStr">
        <is>
          <t>README</t>
        </is>
      </c>
      <c r="C2356" s="4" t="inlineStr">
        <is>
          <t>B20</t>
        </is>
      </c>
      <c r="D2356" s="4" t="inlineStr">
        <is>
          <t>Black text</t>
        </is>
      </c>
      <c r="E2356" s="4" t="inlineStr">
        <is>
          <t>Black text</t>
        </is>
      </c>
      <c r="F2356" s="4" t="inlineStr">
        <is>
          <t>GOC Bed Unit-Costing Model v2 — working original.xlsx</t>
        </is>
      </c>
    </row>
    <row r="2357" ht="40" customHeight="1">
      <c r="A2357" s="4" t="inlineStr">
        <is>
          <t>original:README!C20</t>
        </is>
      </c>
      <c r="B2357" s="4" t="inlineStr">
        <is>
          <t>README</t>
        </is>
      </c>
      <c r="C2357" s="4" t="inlineStr">
        <is>
          <t>C20</t>
        </is>
      </c>
      <c r="D2357" s="4" t="inlineStr">
        <is>
          <t>A formula. Do not overwrite.</t>
        </is>
      </c>
      <c r="E2357" s="4" t="inlineStr">
        <is>
          <t>A formula. Do not overwrite.</t>
        </is>
      </c>
      <c r="F2357" s="4" t="inlineStr">
        <is>
          <t>GOC Bed Unit-Costing Model v2 — working original.xlsx</t>
        </is>
      </c>
    </row>
    <row r="2358" ht="40" customHeight="1">
      <c r="A2358" s="4" t="inlineStr">
        <is>
          <t>original:README!B21</t>
        </is>
      </c>
      <c r="B2358" s="4" t="inlineStr">
        <is>
          <t>README</t>
        </is>
      </c>
      <c r="C2358" s="4" t="inlineStr">
        <is>
          <t>B21</t>
        </is>
      </c>
      <c r="D2358" s="4" t="inlineStr">
        <is>
          <t>Green text</t>
        </is>
      </c>
      <c r="E2358" s="4" t="inlineStr">
        <is>
          <t>Green text</t>
        </is>
      </c>
      <c r="F2358" s="4" t="inlineStr">
        <is>
          <t>GOC Bed Unit-Costing Model v2 — working original.xlsx</t>
        </is>
      </c>
    </row>
    <row r="2359" ht="40" customHeight="1">
      <c r="A2359" s="4" t="inlineStr">
        <is>
          <t>original:README!C21</t>
        </is>
      </c>
      <c r="B2359" s="4" t="inlineStr">
        <is>
          <t>README</t>
        </is>
      </c>
      <c r="C2359" s="4" t="inlineStr">
        <is>
          <t>C21</t>
        </is>
      </c>
      <c r="D2359" s="4" t="inlineStr">
        <is>
          <t>A link to another sheet in this workbook.</t>
        </is>
      </c>
      <c r="E2359" s="4" t="inlineStr">
        <is>
          <t>A link to another sheet in this workbook.</t>
        </is>
      </c>
      <c r="F2359" s="4" t="inlineStr">
        <is>
          <t>GOC Bed Unit-Costing Model v2 — working original.xlsx</t>
        </is>
      </c>
    </row>
    <row r="2360" ht="40" customHeight="1">
      <c r="A2360" s="4" t="inlineStr">
        <is>
          <t>original:README!B23</t>
        </is>
      </c>
      <c r="B2360" s="4" t="inlineStr">
        <is>
          <t>README</t>
        </is>
      </c>
      <c r="C2360" s="4" t="inlineStr">
        <is>
          <t>B23</t>
        </is>
      </c>
      <c r="D2360" s="4" t="inlineStr">
        <is>
          <t>HOW TO ADD SOMETHING NEW</t>
        </is>
      </c>
      <c r="E2360" s="4" t="inlineStr">
        <is>
          <t>HOW TO ADD SOMETHING NEW</t>
        </is>
      </c>
      <c r="F2360" s="4" t="inlineStr">
        <is>
          <t>GOC Bed Unit-Costing Model v2 — working original.xlsx</t>
        </is>
      </c>
    </row>
    <row r="2361" ht="40" customHeight="1">
      <c r="A2361" s="4" t="inlineStr">
        <is>
          <t>original:README!B24</t>
        </is>
      </c>
      <c r="B2361" s="4" t="inlineStr">
        <is>
          <t>README</t>
        </is>
      </c>
      <c r="C2361" s="4" t="inlineStr">
        <is>
          <t>B24</t>
        </is>
      </c>
      <c r="D2361" s="4" t="inlineStr">
        <is>
          <t>A new product (e.g. washing machines)</t>
        </is>
      </c>
      <c r="E2361" s="4" t="inlineStr">
        <is>
          <t>A new product (e.g. washing machines)</t>
        </is>
      </c>
      <c r="F2361" s="4" t="inlineStr">
        <is>
          <t>GOC Bed Unit-Costing Model v2 — working original.xlsx</t>
        </is>
      </c>
    </row>
    <row r="2362" ht="255" customHeight="1">
      <c r="A2362" s="4" t="inlineStr">
        <is>
          <t>original:README!C24</t>
        </is>
      </c>
      <c r="B2362" s="4" t="inlineStr">
        <is>
          <t>README</t>
        </is>
      </c>
      <c r="C2362" s="4" t="inlineStr">
        <is>
          <t>C24</t>
        </is>
      </c>
      <c r="D2362" s="4" t="inlineStr">
        <is>
          <t>Add a Materials and a Production Unit Cost line for it on Inputs, add a volume and price row under Projection Settings, then add a matching volume row, revenue row and direct-cost row in the same three blocks on Workings. The Statements sheet sums the block, so it picks the new line up automatically if you insert the row inside the existing block rather than below it.</t>
        </is>
      </c>
      <c r="E2362" s="4" t="inlineStr">
        <is>
          <t>Add a Materials and a Production Unit Cost line for it on Inputs, add a volume and price row under Projection Settings, then add a matching volume row, revenue row and direct-cost row in the same three blocks on Workings. The Statements sheet sums the block, so it picks the new line up automatically if you insert the row inside the existing block rather than below it.</t>
        </is>
      </c>
      <c r="F2362" s="4" t="inlineStr">
        <is>
          <t>GOC Bed Unit-Costing Model v2 — working original.xlsx</t>
        </is>
      </c>
    </row>
    <row r="2363" ht="40" customHeight="1">
      <c r="A2363" s="4" t="inlineStr">
        <is>
          <t>original:README!B25</t>
        </is>
      </c>
      <c r="B2363" s="4" t="inlineStr">
        <is>
          <t>README</t>
        </is>
      </c>
      <c r="C2363" s="4" t="inlineStr">
        <is>
          <t>B25</t>
        </is>
      </c>
      <c r="D2363" s="4" t="inlineStr">
        <is>
          <t>A new overhead account</t>
        </is>
      </c>
      <c r="E2363" s="4" t="inlineStr">
        <is>
          <t>A new overhead account</t>
        </is>
      </c>
      <c r="F2363" s="4" t="inlineStr">
        <is>
          <t>GOC Bed Unit-Costing Model v2 — working original.xlsx</t>
        </is>
      </c>
    </row>
    <row r="2364" ht="180" customHeight="1">
      <c r="A2364" s="4" t="inlineStr">
        <is>
          <t>original:README!C25</t>
        </is>
      </c>
      <c r="B2364" s="4" t="inlineStr">
        <is>
          <t>README</t>
        </is>
      </c>
      <c r="C2364" s="4" t="inlineStr">
        <is>
          <t>C25</t>
        </is>
      </c>
      <c r="D2364" s="4" t="inlineStr">
        <is>
          <t>Insert a row inside the Overhead and Admin block on Inputs (between the first and last existing lines). The total on row 16 and the Central cost centre on Workings both use whole-block sums, so a row inserted inside the block flows through with no other edit.</t>
        </is>
      </c>
      <c r="E2364" s="4" t="inlineStr">
        <is>
          <t>Insert a row inside the Overhead and Admin block on Inputs (between the first and last existing lines). The total on row 16 and the Central cost centre on Workings both use whole-block sums, so a row inserted inside the block flows through with no other edit.</t>
        </is>
      </c>
      <c r="F2364" s="4" t="inlineStr">
        <is>
          <t>GOC Bed Unit-Costing Model v2 — working original.xlsx</t>
        </is>
      </c>
    </row>
    <row r="2365" ht="40" customHeight="1">
      <c r="A2365" s="4" t="inlineStr">
        <is>
          <t>original:README!B26</t>
        </is>
      </c>
      <c r="B2365" s="4" t="inlineStr">
        <is>
          <t>README</t>
        </is>
      </c>
      <c r="C2365" s="4" t="inlineStr">
        <is>
          <t>B26</t>
        </is>
      </c>
      <c r="D2365" s="4" t="inlineStr">
        <is>
          <t>A new grant or capital source</t>
        </is>
      </c>
      <c r="E2365" s="4" t="inlineStr">
        <is>
          <t>A new grant or capital source</t>
        </is>
      </c>
      <c r="F2365" s="4" t="inlineStr">
        <is>
          <t>GOC Bed Unit-Costing Model v2 — working original.xlsx</t>
        </is>
      </c>
    </row>
    <row r="2366" ht="75" customHeight="1">
      <c r="A2366" s="4" t="inlineStr">
        <is>
          <t>original:README!C26</t>
        </is>
      </c>
      <c r="B2366" s="4" t="inlineStr">
        <is>
          <t>README</t>
        </is>
      </c>
      <c r="C2366" s="4" t="inlineStr">
        <is>
          <t>C26</t>
        </is>
      </c>
      <c r="D2366" s="4" t="inlineStr">
        <is>
          <t>Use the spare Program / Source rows on Inputs. If you need more than three, insert rows inside the existing block.</t>
        </is>
      </c>
      <c r="E2366" s="4" t="inlineStr">
        <is>
          <t>Use the spare Program / Source rows on Inputs. If you need more than three, insert rows inside the existing block.</t>
        </is>
      </c>
      <c r="F2366" s="4" t="inlineStr">
        <is>
          <t>GOC Bed Unit-Costing Model v2 — working original.xlsx</t>
        </is>
      </c>
    </row>
    <row r="2367" ht="40" customHeight="1">
      <c r="A2367" s="4" t="inlineStr">
        <is>
          <t>original:README!B27</t>
        </is>
      </c>
      <c r="B2367" s="4" t="inlineStr">
        <is>
          <t>README</t>
        </is>
      </c>
      <c r="C2367" s="4" t="inlineStr">
        <is>
          <t>B27</t>
        </is>
      </c>
      <c r="D2367" s="4" t="inlineStr">
        <is>
          <t>A new site type</t>
        </is>
      </c>
      <c r="E2367" s="4" t="inlineStr">
        <is>
          <t>A new site type</t>
        </is>
      </c>
      <c r="F2367" s="4" t="inlineStr">
        <is>
          <t>GOC Bed Unit-Costing Model v2 — working original.xlsx</t>
        </is>
      </c>
    </row>
    <row r="2368" ht="105" customHeight="1">
      <c r="A2368" s="4" t="inlineStr">
        <is>
          <t>original:README!C27</t>
        </is>
      </c>
      <c r="B2368" s="4" t="inlineStr">
        <is>
          <t>README</t>
        </is>
      </c>
      <c r="C2368" s="4" t="inlineStr">
        <is>
          <t>C27</t>
        </is>
      </c>
      <c r="D2368" s="4" t="inlineStr">
        <is>
          <t>Copy the Container block on Inputs and the Container site cost block on Workings, then add the new block to the cost-of-production section of the P&amp;L.</t>
        </is>
      </c>
      <c r="E2368" s="4" t="inlineStr">
        <is>
          <t>Copy the Container block on Inputs and the Container site cost block on Workings, then add the new block to the cost-of-production section of the P&amp;L.</t>
        </is>
      </c>
      <c r="F2368" s="4" t="inlineStr">
        <is>
          <t>GOC Bed Unit-Costing Model v2 — working original.xlsx</t>
        </is>
      </c>
    </row>
    <row r="2369" ht="40" customHeight="1">
      <c r="A2369" s="4" t="inlineStr">
        <is>
          <t>original:README!B29</t>
        </is>
      </c>
      <c r="B2369" s="4" t="inlineStr">
        <is>
          <t>README</t>
        </is>
      </c>
      <c r="C2369" s="4" t="inlineStr">
        <is>
          <t>B29</t>
        </is>
      </c>
      <c r="D2369" s="4" t="inlineStr">
        <is>
          <t>ACCOUNTING TREATMENTS USED</t>
        </is>
      </c>
      <c r="E2369" s="4" t="inlineStr">
        <is>
          <t>ACCOUNTING TREATMENTS USED</t>
        </is>
      </c>
      <c r="F2369" s="4" t="inlineStr">
        <is>
          <t>GOC Bed Unit-Costing Model v2 — working original.xlsx</t>
        </is>
      </c>
    </row>
    <row r="2370" ht="40" customHeight="1">
      <c r="A2370" s="4" t="inlineStr">
        <is>
          <t>original:README!B30</t>
        </is>
      </c>
      <c r="B2370" s="4" t="inlineStr">
        <is>
          <t>README</t>
        </is>
      </c>
      <c r="C2370" s="4" t="inlineStr">
        <is>
          <t>B30</t>
        </is>
      </c>
      <c r="D2370" s="4" t="inlineStr">
        <is>
          <t>Grant income</t>
        </is>
      </c>
      <c r="E2370" s="4" t="inlineStr">
        <is>
          <t>Grant income</t>
        </is>
      </c>
      <c r="F2370" s="4" t="inlineStr">
        <is>
          <t>GOC Bed Unit-Costing Model v2 — working original.xlsx</t>
        </is>
      </c>
    </row>
    <row r="2371" ht="135" customHeight="1">
      <c r="A2371" s="4" t="inlineStr">
        <is>
          <t>original:README!C30</t>
        </is>
      </c>
      <c r="B2371" s="4" t="inlineStr">
        <is>
          <t>README</t>
        </is>
      </c>
      <c r="C2371" s="4" t="inlineStr">
        <is>
          <t>C30</t>
        </is>
      </c>
      <c r="D2371" s="4" t="inlineStr">
        <is>
          <t>Recognised when received. Tied and untied are shown as separate income lines. No deferred-income liability is modelled, because in this model a tied grant and the beds it funds fall in the same year.</t>
        </is>
      </c>
      <c r="E2371" s="4" t="inlineStr">
        <is>
          <t>Recognised when received. Tied and untied are shown as separate income lines. No deferred-income liability is modelled, because in this model a tied grant and the beds it funds fall in the same year.</t>
        </is>
      </c>
      <c r="F2371" s="4" t="inlineStr">
        <is>
          <t>GOC Bed Unit-Costing Model v2 — working original.xlsx</t>
        </is>
      </c>
    </row>
    <row r="2372" ht="40" customHeight="1">
      <c r="A2372" s="4" t="inlineStr">
        <is>
          <t>original:README!B31</t>
        </is>
      </c>
      <c r="B2372" s="4" t="inlineStr">
        <is>
          <t>README</t>
        </is>
      </c>
      <c r="C2372" s="4" t="inlineStr">
        <is>
          <t>B31</t>
        </is>
      </c>
      <c r="D2372" s="4" t="inlineStr">
        <is>
          <t>Grant-funded beds</t>
        </is>
      </c>
      <c r="E2372" s="4" t="inlineStr">
        <is>
          <t>Grant-funded beds</t>
        </is>
      </c>
      <c r="F2372" s="4" t="inlineStr">
        <is>
          <t>GOC Bed Unit-Costing Model v2 — working original.xlsx</t>
        </is>
      </c>
    </row>
    <row r="2373" ht="270" customHeight="1">
      <c r="A2373" s="4" t="inlineStr">
        <is>
          <t>original:README!C31</t>
        </is>
      </c>
      <c r="B2373" s="4" t="inlineStr">
        <is>
          <t>README</t>
        </is>
      </c>
      <c r="C2373" s="4" t="inlineStr">
        <is>
          <t>C31</t>
        </is>
      </c>
      <c r="D2373" s="4" t="inlineStr">
        <is>
          <t>A tied grant that funds beds adds those beds to that year's production volume and they carry their direct production cost. They generate no separate sales revenue, because the grant is the income. Worked example: 40 grant-funded beds on a facility slated to make 400 beds/yr equals 440 beds/yr. Grant-funded beds are split between factory and container production in the same ratio as commercial beds.</t>
        </is>
      </c>
      <c r="E2373" s="4" t="inlineStr">
        <is>
          <t>A tied grant that funds beds adds those beds to that year's production volume and they carry their direct production cost. They generate no separate sales revenue, because the grant is the income. Worked example: 40 grant-funded beds on a facility slated to make 400 beds/yr equals 440 beds/yr. Grant-funded beds are split between factory and container production in the same ratio as commercial beds.</t>
        </is>
      </c>
      <c r="F2373" s="4" t="inlineStr">
        <is>
          <t>GOC Bed Unit-Costing Model v2 — working original.xlsx</t>
        </is>
      </c>
    </row>
    <row r="2374" ht="40" customHeight="1">
      <c r="A2374" s="4" t="inlineStr">
        <is>
          <t>original:README!B32</t>
        </is>
      </c>
      <c r="B2374" s="4" t="inlineStr">
        <is>
          <t>README</t>
        </is>
      </c>
      <c r="C2374" s="4" t="inlineStr">
        <is>
          <t>B32</t>
        </is>
      </c>
      <c r="D2374" s="4" t="inlineStr">
        <is>
          <t>Capital expenditure</t>
        </is>
      </c>
      <c r="E2374" s="4" t="inlineStr">
        <is>
          <t>Capital expenditure</t>
        </is>
      </c>
      <c r="F2374" s="4" t="inlineStr">
        <is>
          <t>GOC Bed Unit-Costing Model v2 — working original.xlsx</t>
        </is>
      </c>
    </row>
    <row r="2375" ht="165" customHeight="1">
      <c r="A2375" s="4" t="inlineStr">
        <is>
          <t>original:README!C32</t>
        </is>
      </c>
      <c r="B2375" s="4" t="inlineStr">
        <is>
          <t>README</t>
        </is>
      </c>
      <c r="C2375" s="4" t="inlineStr">
        <is>
          <t>C32</t>
        </is>
      </c>
      <c r="D2375" s="4" t="inlineStr">
        <is>
          <t>A facility build is capitalised, not expensed. It hits cash in the year of the build and the P&amp;L through depreciation. This is the opposite of the unit-costing model, which expenses capex in full in the build year to give a pure cash view.</t>
        </is>
      </c>
      <c r="E2375" s="4" t="inlineStr">
        <is>
          <t>A facility build is capitalised, not expensed. It hits cash in the year of the build and the P&amp;L through depreciation. This is the opposite of the unit-costing model, which expenses capex in full in the build year to give a pure cash view.</t>
        </is>
      </c>
      <c r="F2375" s="4" t="inlineStr">
        <is>
          <t>GOC Bed Unit-Costing Model v2 — working original.xlsx</t>
        </is>
      </c>
    </row>
    <row r="2376" ht="40" customHeight="1">
      <c r="A2376" s="4" t="inlineStr">
        <is>
          <t>original:README!B33</t>
        </is>
      </c>
      <c r="B2376" s="4" t="inlineStr">
        <is>
          <t>README</t>
        </is>
      </c>
      <c r="C2376" s="4" t="inlineStr">
        <is>
          <t>B33</t>
        </is>
      </c>
      <c r="D2376" s="4" t="inlineStr">
        <is>
          <t>Depreciation</t>
        </is>
      </c>
      <c r="E2376" s="4" t="inlineStr">
        <is>
          <t>Depreciation</t>
        </is>
      </c>
      <c r="F2376" s="4" t="inlineStr">
        <is>
          <t>GOC Bed Unit-Costing Model v2 — working original.xlsx</t>
        </is>
      </c>
    </row>
    <row r="2377" ht="105" customHeight="1">
      <c r="A2377" s="4" t="inlineStr">
        <is>
          <t>original:README!C33</t>
        </is>
      </c>
      <c r="B2377" s="4" t="inlineStr">
        <is>
          <t>README</t>
        </is>
      </c>
      <c r="C2377" s="4" t="inlineStr">
        <is>
          <t>C33</t>
        </is>
      </c>
      <c r="D2377" s="4" t="inlineStr">
        <is>
          <t>Straight line over the life on Inputs B47. A full year is charged in the year of acquisition. Opening PP&amp;E is depreciated over the same life.</t>
        </is>
      </c>
      <c r="E2377" s="4" t="inlineStr">
        <is>
          <t>Straight line over the life on Inputs B47. A full year is charged in the year of acquisition. Opening PP&amp;E is depreciated over the same life.</t>
        </is>
      </c>
      <c r="F2377" s="4" t="inlineStr">
        <is>
          <t>GOC Bed Unit-Costing Model v2 — working original.xlsx</t>
        </is>
      </c>
    </row>
    <row r="2378" ht="40" customHeight="1">
      <c r="A2378" s="4" t="inlineStr">
        <is>
          <t>original:README!B34</t>
        </is>
      </c>
      <c r="B2378" s="4" t="inlineStr">
        <is>
          <t>README</t>
        </is>
      </c>
      <c r="C2378" s="4" t="inlineStr">
        <is>
          <t>B34</t>
        </is>
      </c>
      <c r="D2378" s="4" t="inlineStr">
        <is>
          <t>Tax</t>
        </is>
      </c>
      <c r="E2378" s="4" t="inlineStr">
        <is>
          <t>Tax</t>
        </is>
      </c>
      <c r="F2378" s="4" t="inlineStr">
        <is>
          <t>GOC Bed Unit-Costing Model v2 — working original.xlsx</t>
        </is>
      </c>
    </row>
    <row r="2379" ht="120" customHeight="1">
      <c r="A2379" s="4" t="inlineStr">
        <is>
          <t>original:README!C34</t>
        </is>
      </c>
      <c r="B2379" s="4" t="inlineStr">
        <is>
          <t>README</t>
        </is>
      </c>
      <c r="C2379" s="4" t="inlineStr">
        <is>
          <t>C34</t>
        </is>
      </c>
      <c r="D2379" s="4" t="inlineStr">
        <is>
          <t>Applied to positive taxable income only, with prior-year losses carried forward and offset. Set the rate to 0% on Inputs B48 if the trading entity is not taxable.</t>
        </is>
      </c>
      <c r="E2379" s="4" t="inlineStr">
        <is>
          <t>Applied to positive taxable income only, with prior-year losses carried forward and offset. Set the rate to 0% on Inputs B48 if the trading entity is not taxable.</t>
        </is>
      </c>
      <c r="F2379" s="4" t="inlineStr">
        <is>
          <t>GOC Bed Unit-Costing Model v2 — working original.xlsx</t>
        </is>
      </c>
    </row>
    <row r="2380" ht="40" customHeight="1">
      <c r="A2380" s="4" t="inlineStr">
        <is>
          <t>original:README!B35</t>
        </is>
      </c>
      <c r="B2380" s="4" t="inlineStr">
        <is>
          <t>README</t>
        </is>
      </c>
      <c r="C2380" s="4" t="inlineStr">
        <is>
          <t>B35</t>
        </is>
      </c>
      <c r="D2380" s="4" t="inlineStr">
        <is>
          <t>Working capital</t>
        </is>
      </c>
      <c r="E2380" s="4" t="inlineStr">
        <is>
          <t>Working capital</t>
        </is>
      </c>
      <c r="F2380" s="4" t="inlineStr">
        <is>
          <t>GOC Bed Unit-Costing Model v2 — working original.xlsx</t>
        </is>
      </c>
    </row>
    <row r="2381" ht="165" customHeight="1">
      <c r="A2381" s="4" t="inlineStr">
        <is>
          <t>original:README!C35</t>
        </is>
      </c>
      <c r="B2381" s="4" t="inlineStr">
        <is>
          <t>README</t>
        </is>
      </c>
      <c r="C2381" s="4" t="inlineStr">
        <is>
          <t>C35</t>
        </is>
      </c>
      <c r="D2381" s="4" t="inlineStr">
        <is>
          <t>Trade receivables only, driven by debtor days on bed sales. Grant income and all costs are assumed to settle in the year they occur. Trade payables are not modelled: accounts payable were verified at approximately nil on 2026-05-29.</t>
        </is>
      </c>
      <c r="E2381" s="4" t="inlineStr">
        <is>
          <t>Trade receivables only, driven by debtor days on bed sales. Grant income and all costs are assumed to settle in the year they occur. Trade payables are not modelled: accounts payable were verified at approximately nil on 2026-05-29.</t>
        </is>
      </c>
      <c r="F2381" s="4" t="inlineStr">
        <is>
          <t>GOC Bed Unit-Costing Model v2 — working original.xlsx</t>
        </is>
      </c>
    </row>
    <row r="2382" ht="40" customHeight="1">
      <c r="A2382" s="4" t="inlineStr">
        <is>
          <t>original:README!B36</t>
        </is>
      </c>
      <c r="B2382" s="4" t="inlineStr">
        <is>
          <t>README</t>
        </is>
      </c>
      <c r="C2382" s="4" t="inlineStr">
        <is>
          <t>B36</t>
        </is>
      </c>
      <c r="D2382" s="4" t="inlineStr">
        <is>
          <t>GST</t>
        </is>
      </c>
      <c r="E2382" s="4" t="inlineStr">
        <is>
          <t>GST</t>
        </is>
      </c>
      <c r="F2382" s="4" t="inlineStr">
        <is>
          <t>GOC Bed Unit-Costing Model v2 — working original.xlsx</t>
        </is>
      </c>
    </row>
    <row r="2383" ht="90" customHeight="1">
      <c r="A2383" s="4" t="inlineStr">
        <is>
          <t>original:README!C36</t>
        </is>
      </c>
      <c r="B2383" s="4" t="inlineStr">
        <is>
          <t>README</t>
        </is>
      </c>
      <c r="C2383" s="4" t="inlineStr">
        <is>
          <t>C36</t>
        </is>
      </c>
      <c r="D2383" s="4" t="inlineStr">
        <is>
          <t>The model is ex-GST throughout. Where a source figure was inc-GST it has been converted on its own line and the note says so.</t>
        </is>
      </c>
      <c r="E2383" s="4" t="inlineStr">
        <is>
          <t>The model is ex-GST throughout. Where a source figure was inc-GST it has been converted on its own line and the note says so.</t>
        </is>
      </c>
      <c r="F2383" s="4" t="inlineStr">
        <is>
          <t>GOC Bed Unit-Costing Model v2 — working original.xlsx</t>
        </is>
      </c>
    </row>
    <row r="2384" ht="40" customHeight="1">
      <c r="A2384" s="4" t="inlineStr">
        <is>
          <t>original:README!B38</t>
        </is>
      </c>
      <c r="B2384" s="4" t="inlineStr">
        <is>
          <t>README</t>
        </is>
      </c>
      <c r="C2384" s="4" t="inlineStr">
        <is>
          <t>B38</t>
        </is>
      </c>
      <c r="D2384" s="4" t="inlineStr">
        <is>
          <t>SOURCES</t>
        </is>
      </c>
      <c r="E2384" s="4" t="inlineStr">
        <is>
          <t>SOURCES</t>
        </is>
      </c>
      <c r="F2384" s="4" t="inlineStr">
        <is>
          <t>GOC Bed Unit-Costing Model v2 — working original.xlsx</t>
        </is>
      </c>
    </row>
    <row r="2385" ht="40" customHeight="1">
      <c r="A2385" s="4" t="inlineStr">
        <is>
          <t>original:README!B39</t>
        </is>
      </c>
      <c r="B2385" s="4" t="inlineStr">
        <is>
          <t>README</t>
        </is>
      </c>
      <c r="C2385" s="4" t="inlineStr">
        <is>
          <t>B39</t>
        </is>
      </c>
      <c r="D2385" s="4" t="inlineStr">
        <is>
          <t>Input page</t>
        </is>
      </c>
      <c r="E2385" s="4" t="inlineStr">
        <is>
          <t>Input page</t>
        </is>
      </c>
      <c r="F2385" s="4" t="inlineStr">
        <is>
          <t>GOC Bed Unit-Costing Model v2 — working original.xlsx</t>
        </is>
      </c>
    </row>
    <row r="2386" ht="75" customHeight="1">
      <c r="A2386" s="4" t="inlineStr">
        <is>
          <t>original:README!C39</t>
        </is>
      </c>
      <c r="B2386" s="4" t="inlineStr">
        <is>
          <t>README</t>
        </is>
      </c>
      <c r="C2386" s="4" t="inlineStr">
        <is>
          <t>C39</t>
        </is>
      </c>
      <c r="D2386" s="4" t="inlineStr">
        <is>
          <t>GoC Entity Financial Model .xlsx (Matt, 2026-08-10) — labels, structure and the majority of cost inputs.</t>
        </is>
      </c>
      <c r="E2386" s="4" t="inlineStr">
        <is>
          <t>GoC Entity Financial Model .xlsx (Matt, 2026-08-10) — labels, structure and the majority of cost inputs.</t>
        </is>
      </c>
      <c r="F2386" s="4" t="inlineStr">
        <is>
          <t>GOC Bed Unit-Costing Model v2 — working original.xlsx</t>
        </is>
      </c>
    </row>
    <row r="2387" ht="40" customHeight="1">
      <c r="A2387" s="4" t="inlineStr">
        <is>
          <t>original:README!B40</t>
        </is>
      </c>
      <c r="B2387" s="4" t="inlineStr">
        <is>
          <t>README</t>
        </is>
      </c>
      <c r="C2387" s="4" t="inlineStr">
        <is>
          <t>B40</t>
        </is>
      </c>
      <c r="D2387" s="4" t="inlineStr">
        <is>
          <t>Volumes and build costs</t>
        </is>
      </c>
      <c r="E2387" s="4" t="inlineStr">
        <is>
          <t>Volumes and build costs</t>
        </is>
      </c>
      <c r="F2387" s="4" t="inlineStr">
        <is>
          <t>GOC Bed Unit-Costing Model v2 — working original.xlsx</t>
        </is>
      </c>
    </row>
    <row r="2388" ht="90" customHeight="1">
      <c r="A2388" s="4" t="inlineStr">
        <is>
          <t>original:README!C40</t>
        </is>
      </c>
      <c r="B2388" s="4" t="inlineStr">
        <is>
          <t>README</t>
        </is>
      </c>
      <c r="C2388" s="4" t="inlineStr">
        <is>
          <t>C40</t>
        </is>
      </c>
      <c r="D2388" s="4" t="inlineStr">
        <is>
          <t>GOC Bed Unit-Costing Model v2.xlsx (2026-07-22) — per Matt 2026-08-10, this model uses that model's volume and facility-build figures.</t>
        </is>
      </c>
      <c r="E2388" s="4" t="inlineStr">
        <is>
          <t>GOC Bed Unit-Costing Model v2.xlsx (2026-07-22) — per Matt 2026-08-10, this model uses that model's volume and facility-build figures.</t>
        </is>
      </c>
      <c r="F2388" s="4" t="inlineStr">
        <is>
          <t>GOC Bed Unit-Costing Model v2 — working original.xlsx</t>
        </is>
      </c>
    </row>
    <row r="2389" ht="40" customHeight="1">
      <c r="A2389" s="4" t="inlineStr">
        <is>
          <t>original:README!B41</t>
        </is>
      </c>
      <c r="B2389" s="4" t="inlineStr">
        <is>
          <t>README</t>
        </is>
      </c>
      <c r="C2389" s="4" t="inlineStr">
        <is>
          <t>B41</t>
        </is>
      </c>
      <c r="D2389" s="4" t="inlineStr">
        <is>
          <t>Cost evidence</t>
        </is>
      </c>
      <c r="E2389" s="4" t="inlineStr">
        <is>
          <t>Cost evidence</t>
        </is>
      </c>
      <c r="F2389" s="4" t="inlineStr">
        <is>
          <t>GOC Bed Unit-Costing Model v2 — working original.xlsx</t>
        </is>
      </c>
    </row>
    <row r="2390" ht="105" customHeight="1">
      <c r="A2390" s="4" t="inlineStr">
        <is>
          <t>original:README!C41</t>
        </is>
      </c>
      <c r="B2390" s="4" t="inlineStr">
        <is>
          <t>README</t>
        </is>
      </c>
      <c r="C2390" s="4" t="inlineStr">
        <is>
          <t>C41</t>
        </is>
      </c>
      <c r="D2390" s="4" t="inlineStr">
        <is>
          <t>Goods - Financial Model &amp; QBE Bundle (2026-05): 03-cost-model-and-build-paths.md, 04-verified-financials.md, 01-bill-of-materials.md, 02-supplier-quotes.md.</t>
        </is>
      </c>
      <c r="E2390" s="4" t="inlineStr">
        <is>
          <t>Goods - Financial Model &amp; QBE Bundle (2026-05): 03-cost-model-and-build-paths.md, 04-verified-financials.md, 01-bill-of-materials.md, 02-supplier-quotes.md.</t>
        </is>
      </c>
      <c r="F2390" s="4" t="inlineStr">
        <is>
          <t>GOC Bed Unit-Costing Model v2 — working original.xlsx</t>
        </is>
      </c>
    </row>
    <row r="2391" ht="40" customHeight="1">
      <c r="A2391" s="4" t="inlineStr">
        <is>
          <t>original:README!B42</t>
        </is>
      </c>
      <c r="B2391" s="4" t="inlineStr">
        <is>
          <t>README</t>
        </is>
      </c>
      <c r="C2391" s="4" t="inlineStr">
        <is>
          <t>B42</t>
        </is>
      </c>
      <c r="D2391" s="4" t="inlineStr">
        <is>
          <t>Founder and overhead basis</t>
        </is>
      </c>
      <c r="E2391" s="4" t="inlineStr">
        <is>
          <t>Founder and overhead basis</t>
        </is>
      </c>
      <c r="F2391" s="4" t="inlineStr">
        <is>
          <t>GOC Bed Unit-Costing Model v2 — working original.xlsx</t>
        </is>
      </c>
    </row>
    <row r="2392" ht="75" customHeight="1">
      <c r="A2392" s="4" t="inlineStr">
        <is>
          <t>original:README!C42</t>
        </is>
      </c>
      <c r="B2392" s="4" t="inlineStr">
        <is>
          <t>README</t>
        </is>
      </c>
      <c r="C2392" s="4" t="inlineStr">
        <is>
          <t>C42</t>
        </is>
      </c>
      <c r="D2392" s="4" t="inlineStr">
        <is>
          <t>04-verified-financials.md §3 and Artifact · Cost advisors Q&amp;A (DRAFT, founder review).pdf, Q1, Q9, Q12.</t>
        </is>
      </c>
      <c r="E2392" s="4" t="inlineStr">
        <is>
          <t>04-verified-financials.md §3 and Artifact · Cost advisors Q&amp;A (DRAFT, founder review).pdf, Q1, Q9, Q12.</t>
        </is>
      </c>
      <c r="F2392" s="4" t="inlineStr">
        <is>
          <t>GOC Bed Unit-Costing Model v2 — working original.xlsx</t>
        </is>
      </c>
    </row>
    <row r="2393" ht="45" customHeight="1">
      <c r="A2393" s="4" t="inlineStr">
        <is>
          <t>original:Inputs (1)!A1</t>
        </is>
      </c>
      <c r="B2393" s="4" t="inlineStr">
        <is>
          <t>Inputs (1)</t>
        </is>
      </c>
      <c r="C2393" s="4" t="inlineStr">
        <is>
          <t>A1</t>
        </is>
      </c>
      <c r="D2393" s="4" t="inlineStr">
        <is>
          <t>Goods on Country — Entity Financial Model: Inputs</t>
        </is>
      </c>
      <c r="E2393" s="4" t="inlineStr">
        <is>
          <t>Goods on Country — Entity Financial Model: Inputs</t>
        </is>
      </c>
      <c r="F2393" s="4" t="inlineStr">
        <is>
          <t>GOC Bed Unit-Costing Model v2 — working original.xlsx</t>
        </is>
      </c>
    </row>
    <row r="2394" ht="90" customHeight="1">
      <c r="A2394" s="4" t="inlineStr">
        <is>
          <t>original:Inputs (1)!A2</t>
        </is>
      </c>
      <c r="B2394" s="4" t="inlineStr">
        <is>
          <t>Inputs (1)</t>
        </is>
      </c>
      <c r="C2394" s="4" t="inlineStr">
        <is>
          <t>A2</t>
        </is>
      </c>
      <c r="D2394" s="4" t="inlineStr">
        <is>
          <t>Blue = editable input.  Blue on cream = input still to be confirmed, see Open Items.  Black = formula.  All AUD, ex-GST.</t>
        </is>
      </c>
      <c r="E2394" s="4" t="inlineStr">
        <is>
          <t>Blue = editable input.  Blue on cream = input still to be confirmed, see Open Items.  Black = formula.  All AUD, ex-GST.</t>
        </is>
      </c>
      <c r="F2394" s="4" t="inlineStr">
        <is>
          <t>GOC Bed Unit-Costing Model v2 — working original.xlsx</t>
        </is>
      </c>
    </row>
    <row r="2395" ht="60" customHeight="1">
      <c r="A2395" s="4" t="inlineStr">
        <is>
          <t>original:Inputs (1)!A4</t>
        </is>
      </c>
      <c r="B2395" s="4" t="inlineStr">
        <is>
          <t>Inputs (1)</t>
        </is>
      </c>
      <c r="C2395" s="4" t="inlineStr">
        <is>
          <t>A4</t>
        </is>
      </c>
      <c r="D2395" s="4" t="inlineStr">
        <is>
          <t>STARTING ASSUMPTIONS  (opening balance sheet at the first day of Year 1)</t>
        </is>
      </c>
      <c r="E2395" s="4" t="inlineStr">
        <is>
          <t>STARTING ASSUMPTIONS  (opening balance sheet at the first day of Year 1)</t>
        </is>
      </c>
      <c r="F2395" s="4" t="inlineStr">
        <is>
          <t>GOC Bed Unit-Costing Model v2 — working original.xlsx</t>
        </is>
      </c>
    </row>
    <row r="2396" ht="40" customHeight="1">
      <c r="A2396" s="4" t="inlineStr">
        <is>
          <t>original:Inputs (1)!D4</t>
        </is>
      </c>
      <c r="B2396" s="4" t="inlineStr">
        <is>
          <t>Inputs (1)</t>
        </is>
      </c>
      <c r="C2396" s="4" t="inlineStr">
        <is>
          <t>D4</t>
        </is>
      </c>
      <c r="D2396" s="4" t="inlineStr">
        <is>
          <t>Notes</t>
        </is>
      </c>
      <c r="E2396" s="4" t="inlineStr">
        <is>
          <t>Notes</t>
        </is>
      </c>
      <c r="F2396" s="4" t="inlineStr">
        <is>
          <t>GOC Bed Unit-Costing Model v2 — working original.xlsx</t>
        </is>
      </c>
    </row>
    <row r="2397" ht="40" customHeight="1">
      <c r="A2397" s="4" t="inlineStr">
        <is>
          <t>original:Inputs (1)!F4</t>
        </is>
      </c>
      <c r="B2397" s="4" t="inlineStr">
        <is>
          <t>Inputs (1)</t>
        </is>
      </c>
      <c r="C2397" s="4" t="inlineStr">
        <is>
          <t>F4</t>
        </is>
      </c>
      <c r="D2397" s="4" t="inlineStr">
        <is>
          <t>PROJECTION SETTINGS</t>
        </is>
      </c>
      <c r="E2397" s="4" t="inlineStr">
        <is>
          <t>PROJECTION SETTINGS</t>
        </is>
      </c>
      <c r="F2397" s="4" t="inlineStr">
        <is>
          <t>GOC Bed Unit-Costing Model v2 — working original.xlsx</t>
        </is>
      </c>
    </row>
    <row r="2398" ht="40" customHeight="1">
      <c r="A2398" s="4" t="inlineStr">
        <is>
          <t>original:Inputs (1)!J4</t>
        </is>
      </c>
      <c r="B2398" s="4" t="inlineStr">
        <is>
          <t>Inputs (1)</t>
        </is>
      </c>
      <c r="C2398" s="4" t="inlineStr">
        <is>
          <t>J4</t>
        </is>
      </c>
      <c r="D2398" s="4" t="inlineStr">
        <is>
          <t>Notes</t>
        </is>
      </c>
      <c r="E2398" s="4" t="inlineStr">
        <is>
          <t>Notes</t>
        </is>
      </c>
      <c r="F2398" s="4" t="inlineStr">
        <is>
          <t>GOC Bed Unit-Costing Model v2 — working original.xlsx</t>
        </is>
      </c>
    </row>
    <row r="2399" ht="40" customHeight="1">
      <c r="A2399" s="4" t="inlineStr">
        <is>
          <t>original:Inputs (1)!A5</t>
        </is>
      </c>
      <c r="B2399" s="4" t="inlineStr">
        <is>
          <t>Inputs (1)</t>
        </is>
      </c>
      <c r="C2399" s="4" t="inlineStr">
        <is>
          <t>A5</t>
        </is>
      </c>
      <c r="D2399" s="4" t="inlineStr">
        <is>
          <t>Property, Plant &amp; Equipment Value</t>
        </is>
      </c>
      <c r="E2399" s="4" t="inlineStr">
        <is>
          <t>Property, Plant &amp; Equipment Value</t>
        </is>
      </c>
      <c r="F2399" s="4" t="inlineStr">
        <is>
          <t>GOC Bed Unit-Costing Model v2 — working original.xlsx</t>
        </is>
      </c>
    </row>
    <row r="2400" ht="40" customHeight="1">
      <c r="A2400" s="4" t="inlineStr">
        <is>
          <t>original:Inputs (1)!B5</t>
        </is>
      </c>
      <c r="B2400" s="4" t="inlineStr">
        <is>
          <t>Inputs (1)</t>
        </is>
      </c>
      <c r="C2400" s="4" t="inlineStr">
        <is>
          <t>B5</t>
        </is>
      </c>
      <c r="D2400" s="4" t="n">
        <v>110046</v>
      </c>
      <c r="E2400" s="4" t="n">
        <v>110046</v>
      </c>
      <c r="F2400" s="4" t="inlineStr">
        <is>
          <t>GOC Bed Unit-Costing Model v2 — working original.xlsx</t>
        </is>
      </c>
    </row>
    <row r="2401" ht="195" customHeight="1">
      <c r="A2401" s="4" t="inlineStr">
        <is>
          <t>original:Inputs (1)!D5</t>
        </is>
      </c>
      <c r="B2401" s="4" t="inlineStr">
        <is>
          <t>Inputs (1)</t>
        </is>
      </c>
      <c r="C2401" s="4" t="inlineStr">
        <is>
          <t>D5</t>
        </is>
      </c>
      <c r="D2401" s="4" t="inlineStr">
        <is>
          <t>TO CONFIRM. $100,000 facility + $10,046 Carbatec tooling (Known Other Costs A6; Ben ruling 2026-07-25). Conflicts with Q&amp;A Q12: "nothing owned by GoC, handover due end Aug 2026". Excludes CNC ~$6,000, gensets $6,600 and container $5,904, all pending confirmation. Some source figures are inc-GST.</t>
        </is>
      </c>
      <c r="E2401" s="4" t="inlineStr">
        <is>
          <t>TO CONFIRM. $100,000 facility + $10,046 Carbatec tooling (Known Other Costs A6; Ben ruling 2026-07-25). Conflicts with Q&amp;A Q12: "nothing owned by GoC, handover due end Aug 2026". Excludes CNC ~$6,000, gensets $6,600 and container $5,904, all pending confirmation. Some source figures are inc-GST.</t>
        </is>
      </c>
      <c r="F2401" s="4" t="inlineStr">
        <is>
          <t>GOC Bed Unit-Costing Model v2 — working original.xlsx</t>
        </is>
      </c>
    </row>
    <row r="2402" ht="40" customHeight="1">
      <c r="A2402" s="4" t="inlineStr">
        <is>
          <t>original:Inputs (1)!G5</t>
        </is>
      </c>
      <c r="B2402" s="4" t="inlineStr">
        <is>
          <t>Inputs (1)</t>
        </is>
      </c>
      <c r="C2402" s="4" t="inlineStr">
        <is>
          <t>G5</t>
        </is>
      </c>
      <c r="D2402" s="4" t="inlineStr">
        <is>
          <t>(Year 1)</t>
        </is>
      </c>
      <c r="E2402" s="4" t="inlineStr">
        <is>
          <t>(Year 1)</t>
        </is>
      </c>
      <c r="F2402" s="4" t="inlineStr">
        <is>
          <t>GOC Bed Unit-Costing Model v2 — working original.xlsx</t>
        </is>
      </c>
    </row>
    <row r="2403" ht="40" customHeight="1">
      <c r="A2403" s="4" t="inlineStr">
        <is>
          <t>original:Inputs (1)!H5</t>
        </is>
      </c>
      <c r="B2403" s="4" t="inlineStr">
        <is>
          <t>Inputs (1)</t>
        </is>
      </c>
      <c r="C2403" s="4" t="inlineStr">
        <is>
          <t>H5</t>
        </is>
      </c>
      <c r="D2403" s="4" t="inlineStr">
        <is>
          <t>(Year 2)</t>
        </is>
      </c>
      <c r="E2403" s="4" t="inlineStr">
        <is>
          <t>(Year 2)</t>
        </is>
      </c>
      <c r="F2403" s="4" t="inlineStr">
        <is>
          <t>GOC Bed Unit-Costing Model v2 — working original.xlsx</t>
        </is>
      </c>
    </row>
    <row r="2404" ht="40" customHeight="1">
      <c r="A2404" s="4" t="inlineStr">
        <is>
          <t>original:Inputs (1)!I5</t>
        </is>
      </c>
      <c r="B2404" s="4" t="inlineStr">
        <is>
          <t>Inputs (1)</t>
        </is>
      </c>
      <c r="C2404" s="4" t="inlineStr">
        <is>
          <t>I5</t>
        </is>
      </c>
      <c r="D2404" s="4" t="inlineStr">
        <is>
          <t>(Year 3)</t>
        </is>
      </c>
      <c r="E2404" s="4" t="inlineStr">
        <is>
          <t>(Year 3)</t>
        </is>
      </c>
      <c r="F2404" s="4" t="inlineStr">
        <is>
          <t>GOC Bed Unit-Costing Model v2 — working original.xlsx</t>
        </is>
      </c>
    </row>
    <row r="2405" ht="40" customHeight="1">
      <c r="A2405" s="4" t="inlineStr">
        <is>
          <t>original:Inputs (1)!A6</t>
        </is>
      </c>
      <c r="B2405" s="4" t="inlineStr">
        <is>
          <t>Inputs (1)</t>
        </is>
      </c>
      <c r="C2405" s="4" t="inlineStr">
        <is>
          <t>A6</t>
        </is>
      </c>
      <c r="D2405" s="4" t="inlineStr">
        <is>
          <t>Cash in bank</t>
        </is>
      </c>
      <c r="E2405" s="4" t="inlineStr">
        <is>
          <t>Cash in bank</t>
        </is>
      </c>
      <c r="F2405" s="4" t="inlineStr">
        <is>
          <t>GOC Bed Unit-Costing Model v2 — working original.xlsx</t>
        </is>
      </c>
    </row>
    <row r="2406" ht="40" customHeight="1">
      <c r="A2406" s="4" t="inlineStr">
        <is>
          <t>original:Inputs (1)!B6</t>
        </is>
      </c>
      <c r="B2406" s="4" t="inlineStr">
        <is>
          <t>Inputs (1)</t>
        </is>
      </c>
      <c r="C2406" s="4" t="inlineStr">
        <is>
          <t>B6</t>
        </is>
      </c>
      <c r="D2406" s="4" t="n">
        <v>50000</v>
      </c>
      <c r="E2406" s="4" t="n">
        <v>50000</v>
      </c>
      <c r="F2406" s="4" t="inlineStr">
        <is>
          <t>GOC Bed Unit-Costing Model v2 — working original.xlsx</t>
        </is>
      </c>
    </row>
    <row r="2407" ht="90" customHeight="1">
      <c r="A2407" s="4" t="inlineStr">
        <is>
          <t>original:Inputs (1)!D6</t>
        </is>
      </c>
      <c r="B2407" s="4" t="inlineStr">
        <is>
          <t>Inputs (1)</t>
        </is>
      </c>
      <c r="C2407" s="4" t="inlineStr">
        <is>
          <t>D6</t>
        </is>
      </c>
      <c r="D2407" s="4" t="inlineStr">
        <is>
          <t>TO CONFIRM. Placeholder only. 04-verified-financials §4 calls the $50,000 opening cash "the most important open input".</t>
        </is>
      </c>
      <c r="E2407" s="4" t="inlineStr">
        <is>
          <t>TO CONFIRM. Placeholder only. 04-verified-financials §4 calls the $50,000 opening cash "the most important open input".</t>
        </is>
      </c>
      <c r="F2407" s="4" t="inlineStr">
        <is>
          <t>GOC Bed Unit-Costing Model v2 — working original.xlsx</t>
        </is>
      </c>
    </row>
    <row r="2408" ht="40" customHeight="1">
      <c r="A2408" s="4" t="inlineStr">
        <is>
          <t>original:Inputs (1)!A7</t>
        </is>
      </c>
      <c r="B2408" s="4" t="inlineStr">
        <is>
          <t>Inputs (1)</t>
        </is>
      </c>
      <c r="C2408" s="4" t="inlineStr">
        <is>
          <t>A7</t>
        </is>
      </c>
      <c r="D2408" s="4" t="inlineStr">
        <is>
          <t>Trade receivables</t>
        </is>
      </c>
      <c r="E2408" s="4" t="inlineStr">
        <is>
          <t>Trade receivables</t>
        </is>
      </c>
      <c r="F2408" s="4" t="inlineStr">
        <is>
          <t>GOC Bed Unit-Costing Model v2 — working original.xlsx</t>
        </is>
      </c>
    </row>
    <row r="2409" ht="40" customHeight="1">
      <c r="A2409" s="4" t="inlineStr">
        <is>
          <t>original:Inputs (1)!B7</t>
        </is>
      </c>
      <c r="B2409" s="4" t="inlineStr">
        <is>
          <t>Inputs (1)</t>
        </is>
      </c>
      <c r="C2409" s="4" t="inlineStr">
        <is>
          <t>B7</t>
        </is>
      </c>
      <c r="D2409" s="4" t="n">
        <v>82500</v>
      </c>
      <c r="E2409" s="4" t="n">
        <v>82500</v>
      </c>
      <c r="F2409" s="4" t="inlineStr">
        <is>
          <t>GOC Bed Unit-Costing Model v2 — working original.xlsx</t>
        </is>
      </c>
    </row>
    <row r="2410" ht="60" customHeight="1">
      <c r="A2410" s="4" t="inlineStr">
        <is>
          <t>original:Inputs (1)!D7</t>
        </is>
      </c>
      <c r="B2410" s="4" t="inlineStr">
        <is>
          <t>Inputs (1)</t>
        </is>
      </c>
      <c r="C2410" s="4" t="inlineStr">
        <is>
          <t>D7</t>
        </is>
      </c>
      <c r="D2410" s="4" t="inlineStr">
        <is>
          <t>Verified receivable at 2026-05-29 (Rotary), 04-verified-financials §1.</t>
        </is>
      </c>
      <c r="E2410" s="4" t="inlineStr">
        <is>
          <t>Verified receivable at 2026-05-29 (Rotary), 04-verified-financials §1.</t>
        </is>
      </c>
      <c r="F2410" s="4" t="inlineStr">
        <is>
          <t>GOC Bed Unit-Costing Model v2 — working original.xlsx</t>
        </is>
      </c>
    </row>
    <row r="2411" ht="40" customHeight="1">
      <c r="A2411" s="4" t="inlineStr">
        <is>
          <t>original:Inputs (1)!F7</t>
        </is>
      </c>
      <c r="B2411" s="4" t="inlineStr">
        <is>
          <t>Inputs (1)</t>
        </is>
      </c>
      <c r="C2411" s="4" t="inlineStr">
        <is>
          <t>F7</t>
        </is>
      </c>
      <c r="D2411" s="4" t="inlineStr">
        <is>
          <t>Selling Price / bed</t>
        </is>
      </c>
      <c r="E2411" s="4" t="inlineStr">
        <is>
          <t>Selling Price / bed</t>
        </is>
      </c>
      <c r="F2411" s="4" t="inlineStr">
        <is>
          <t>GOC Bed Unit-Costing Model v2 — working original.xlsx</t>
        </is>
      </c>
    </row>
    <row r="2412" ht="40" customHeight="1">
      <c r="A2412" s="4" t="inlineStr">
        <is>
          <t>original:Inputs (1)!G7</t>
        </is>
      </c>
      <c r="B2412" s="4" t="inlineStr">
        <is>
          <t>Inputs (1)</t>
        </is>
      </c>
      <c r="C2412" s="4" t="inlineStr">
        <is>
          <t>G7</t>
        </is>
      </c>
      <c r="D2412" s="4" t="n">
        <v>750</v>
      </c>
      <c r="E2412" s="4" t="n">
        <v>750</v>
      </c>
      <c r="F2412" s="4" t="inlineStr">
        <is>
          <t>GOC Bed Unit-Costing Model v2 — working original.xlsx</t>
        </is>
      </c>
    </row>
    <row r="2413" ht="40" customHeight="1">
      <c r="A2413" s="4" t="inlineStr">
        <is>
          <t>original:Inputs (1)!H7</t>
        </is>
      </c>
      <c r="B2413" s="4" t="inlineStr">
        <is>
          <t>Inputs (1)</t>
        </is>
      </c>
      <c r="C2413" s="4" t="inlineStr">
        <is>
          <t>H7</t>
        </is>
      </c>
      <c r="D2413" s="4" t="n">
        <v>750</v>
      </c>
      <c r="E2413" s="4" t="n">
        <v>750</v>
      </c>
      <c r="F2413" s="4" t="inlineStr">
        <is>
          <t>GOC Bed Unit-Costing Model v2 — working original.xlsx</t>
        </is>
      </c>
    </row>
    <row r="2414" ht="40" customHeight="1">
      <c r="A2414" s="4" t="inlineStr">
        <is>
          <t>original:Inputs (1)!I7</t>
        </is>
      </c>
      <c r="B2414" s="4" t="inlineStr">
        <is>
          <t>Inputs (1)</t>
        </is>
      </c>
      <c r="C2414" s="4" t="inlineStr">
        <is>
          <t>I7</t>
        </is>
      </c>
      <c r="D2414" s="4" t="n">
        <v>750</v>
      </c>
      <c r="E2414" s="4" t="n">
        <v>750</v>
      </c>
      <c r="F2414" s="4" t="inlineStr">
        <is>
          <t>GOC Bed Unit-Costing Model v2 — working original.xlsx</t>
        </is>
      </c>
    </row>
    <row r="2415" ht="180" customHeight="1">
      <c r="A2415" s="4" t="inlineStr">
        <is>
          <t>original:Inputs (1)!J7</t>
        </is>
      </c>
      <c r="B2415" s="4" t="inlineStr">
        <is>
          <t>Inputs (1)</t>
        </is>
      </c>
      <c r="C2415" s="4" t="inlineStr">
        <is>
          <t>J7</t>
        </is>
      </c>
      <c r="D2415" s="4" t="inlineStr">
        <is>
          <t>Verified shop price for stretch-bed-single, held flat across the v6 model and across all production paths (03-cost-model). TO CONFIRM whether a different price applies to on-Country or community sales; the Community Economics sheet holds that open deliberately.</t>
        </is>
      </c>
      <c r="E2415" s="4" t="inlineStr">
        <is>
          <t>Verified shop price for stretch-bed-single, held flat across the v6 model and across all production paths (03-cost-model). TO CONFIRM whether a different price applies to on-Country or community sales; the Community Economics sheet holds that open deliberately.</t>
        </is>
      </c>
      <c r="F2415" s="4" t="inlineStr">
        <is>
          <t>GOC Bed Unit-Costing Model v2 — working original.xlsx</t>
        </is>
      </c>
    </row>
    <row r="2416" ht="40" customHeight="1">
      <c r="A2416" s="4" t="inlineStr">
        <is>
          <t>original:Inputs (1)!A8</t>
        </is>
      </c>
      <c r="B2416" s="4" t="inlineStr">
        <is>
          <t>Inputs (1)</t>
        </is>
      </c>
      <c r="C2416" s="4" t="inlineStr">
        <is>
          <t>A8</t>
        </is>
      </c>
      <c r="D2416" s="4" t="inlineStr">
        <is>
          <t>Borrowings</t>
        </is>
      </c>
      <c r="E2416" s="4" t="inlineStr">
        <is>
          <t>Borrowings</t>
        </is>
      </c>
      <c r="F2416" s="4" t="inlineStr">
        <is>
          <t>GOC Bed Unit-Costing Model v2 — working original.xlsx</t>
        </is>
      </c>
    </row>
    <row r="2417" ht="40" customHeight="1">
      <c r="A2417" s="4" t="inlineStr">
        <is>
          <t>original:Inputs (1)!B8</t>
        </is>
      </c>
      <c r="B2417" s="4" t="inlineStr">
        <is>
          <t>Inputs (1)</t>
        </is>
      </c>
      <c r="C2417" s="4" t="inlineStr">
        <is>
          <t>B8</t>
        </is>
      </c>
      <c r="D2417" s="4" t="n">
        <v>0</v>
      </c>
      <c r="E2417" s="4" t="n">
        <v>0</v>
      </c>
      <c r="F2417" s="4" t="inlineStr">
        <is>
          <t>GOC Bed Unit-Costing Model v2 — working original.xlsx</t>
        </is>
      </c>
    </row>
    <row r="2418" ht="105" customHeight="1">
      <c r="A2418" s="4" t="inlineStr">
        <is>
          <t>original:Inputs (1)!D8</t>
        </is>
      </c>
      <c r="B2418" s="4" t="inlineStr">
        <is>
          <t>Inputs (1)</t>
        </is>
      </c>
      <c r="C2418" s="4" t="inlineStr">
        <is>
          <t>D8</t>
        </is>
      </c>
      <c r="D2418" s="4" t="inlineStr">
        <is>
          <t>Nil. Accounts payable also verified at approximately nil 2026-05-29: the $126,878 Xero "due" is a payment-matching gap, not debt (04-verified-financials §2).</t>
        </is>
      </c>
      <c r="E2418" s="4" t="inlineStr">
        <is>
          <t>Nil. Accounts payable also verified at approximately nil 2026-05-29: the $126,878 Xero "due" is a payment-matching gap, not debt (04-verified-financials §2).</t>
        </is>
      </c>
      <c r="F2418" s="4" t="inlineStr">
        <is>
          <t>GOC Bed Unit-Costing Model v2 — working original.xlsx</t>
        </is>
      </c>
    </row>
    <row r="2419" ht="40" customHeight="1">
      <c r="A2419" s="4" t="inlineStr">
        <is>
          <t>original:Inputs (1)!A9</t>
        </is>
      </c>
      <c r="B2419" s="4" t="inlineStr">
        <is>
          <t>Inputs (1)</t>
        </is>
      </c>
      <c r="C2419" s="4" t="inlineStr">
        <is>
          <t>A9</t>
        </is>
      </c>
      <c r="D2419" s="4" t="inlineStr">
        <is>
          <t>Opening equity (balancing figure)</t>
        </is>
      </c>
      <c r="E2419" s="4" t="inlineStr">
        <is>
          <t>Opening equity (balancing figure)</t>
        </is>
      </c>
      <c r="F2419" s="4" t="inlineStr">
        <is>
          <t>GOC Bed Unit-Costing Model v2 — working original.xlsx</t>
        </is>
      </c>
    </row>
    <row r="2420" ht="40" customHeight="1">
      <c r="A2420" s="4" t="inlineStr">
        <is>
          <t>original:Inputs (1)!B9</t>
        </is>
      </c>
      <c r="B2420" s="4" t="inlineStr">
        <is>
          <t>Inputs (1)</t>
        </is>
      </c>
      <c r="C2420" s="4" t="inlineStr">
        <is>
          <t>B9</t>
        </is>
      </c>
      <c r="D2420" s="4" t="inlineStr">
        <is>
          <t>=B5+B6+B7-B8</t>
        </is>
      </c>
      <c r="E2420" s="4" t="n">
        <v>242546</v>
      </c>
      <c r="F2420" s="4" t="inlineStr">
        <is>
          <t>GOC Bed Unit-Costing Model v2 — working original.xlsx</t>
        </is>
      </c>
    </row>
    <row r="2421" ht="40" customHeight="1">
      <c r="A2421" s="4" t="inlineStr">
        <is>
          <t>original:Inputs (1)!F9</t>
        </is>
      </c>
      <c r="B2421" s="4" t="inlineStr">
        <is>
          <t>Inputs (1)</t>
        </is>
      </c>
      <c r="C2421" s="4" t="inlineStr">
        <is>
          <t>F9</t>
        </is>
      </c>
      <c r="D2421" s="4" t="inlineStr">
        <is>
          <t>Factories</t>
        </is>
      </c>
      <c r="E2421" s="4" t="inlineStr">
        <is>
          <t>Factories</t>
        </is>
      </c>
      <c r="F2421" s="4" t="inlineStr">
        <is>
          <t>GOC Bed Unit-Costing Model v2 — working original.xlsx</t>
        </is>
      </c>
    </row>
    <row r="2422" ht="40" customHeight="1">
      <c r="A2422" s="4" t="inlineStr">
        <is>
          <t>original:Inputs (1)!F10</t>
        </is>
      </c>
      <c r="B2422" s="4" t="inlineStr">
        <is>
          <t>Inputs (1)</t>
        </is>
      </c>
      <c r="C2422" s="4" t="inlineStr">
        <is>
          <t>F10</t>
        </is>
      </c>
      <c r="D2422" s="4" t="inlineStr">
        <is>
          <t>Beds per Facility</t>
        </is>
      </c>
      <c r="E2422" s="4" t="inlineStr">
        <is>
          <t>Beds per Facility</t>
        </is>
      </c>
      <c r="F2422" s="4" t="inlineStr">
        <is>
          <t>GOC Bed Unit-Costing Model v2 — working original.xlsx</t>
        </is>
      </c>
    </row>
    <row r="2423" ht="40" customHeight="1">
      <c r="A2423" s="4" t="inlineStr">
        <is>
          <t>original:Inputs (1)!G10</t>
        </is>
      </c>
      <c r="B2423" s="4" t="inlineStr">
        <is>
          <t>Inputs (1)</t>
        </is>
      </c>
      <c r="C2423" s="4" t="inlineStr">
        <is>
          <t>G10</t>
        </is>
      </c>
      <c r="D2423" s="4" t="n">
        <v>200</v>
      </c>
      <c r="E2423" s="4" t="n">
        <v>200</v>
      </c>
      <c r="F2423" s="4" t="inlineStr">
        <is>
          <t>GOC Bed Unit-Costing Model v2 — working original.xlsx</t>
        </is>
      </c>
    </row>
    <row r="2424" ht="40" customHeight="1">
      <c r="A2424" s="4" t="inlineStr">
        <is>
          <t>original:Inputs (1)!H10</t>
        </is>
      </c>
      <c r="B2424" s="4" t="inlineStr">
        <is>
          <t>Inputs (1)</t>
        </is>
      </c>
      <c r="C2424" s="4" t="inlineStr">
        <is>
          <t>H10</t>
        </is>
      </c>
      <c r="D2424" s="4" t="n">
        <v>500</v>
      </c>
      <c r="E2424" s="4" t="n">
        <v>500</v>
      </c>
      <c r="F2424" s="4" t="inlineStr">
        <is>
          <t>GOC Bed Unit-Costing Model v2 — working original.xlsx</t>
        </is>
      </c>
    </row>
    <row r="2425" ht="40" customHeight="1">
      <c r="A2425" s="4" t="inlineStr">
        <is>
          <t>original:Inputs (1)!I10</t>
        </is>
      </c>
      <c r="B2425" s="4" t="inlineStr">
        <is>
          <t>Inputs (1)</t>
        </is>
      </c>
      <c r="C2425" s="4" t="inlineStr">
        <is>
          <t>I10</t>
        </is>
      </c>
      <c r="D2425" s="4" t="n">
        <v>500</v>
      </c>
      <c r="E2425" s="4" t="n">
        <v>500</v>
      </c>
      <c r="F2425" s="4" t="inlineStr">
        <is>
          <t>GOC Bed Unit-Costing Model v2 — working original.xlsx</t>
        </is>
      </c>
    </row>
    <row r="2426" ht="120" customHeight="1">
      <c r="A2426" s="4" t="inlineStr">
        <is>
          <t>original:Inputs (1)!J10</t>
        </is>
      </c>
      <c r="B2426" s="4" t="inlineStr">
        <is>
          <t>Inputs (1)</t>
        </is>
      </c>
      <c r="C2426" s="4" t="inlineStr">
        <is>
          <t>J10</t>
        </is>
      </c>
      <c r="D2426" s="4" t="inlineStr">
        <is>
          <t>Unit-Costing Model v2: 500 beds/yr per facility, at 40% first-year utilisation in Year 1 (500 x 40% = 200). Practical maximum is about 1,000/yr at 4-5 beds/day over 250 days.</t>
        </is>
      </c>
      <c r="E2426" s="4" t="inlineStr">
        <is>
          <t>Unit-Costing Model v2: 500 beds/yr per facility, at 40% first-year utilisation in Year 1 (500 x 40% = 200). Practical maximum is about 1,000/yr at 4-5 beds/day over 250 days.</t>
        </is>
      </c>
      <c r="F2426" s="4" t="inlineStr">
        <is>
          <t>GOC Bed Unit-Costing Model v2 — working original.xlsx</t>
        </is>
      </c>
    </row>
    <row r="2427" ht="60" customHeight="1">
      <c r="A2427" s="4" t="inlineStr">
        <is>
          <t>original:Inputs (1)!A11</t>
        </is>
      </c>
      <c r="B2427" s="4" t="inlineStr">
        <is>
          <t>Inputs (1)</t>
        </is>
      </c>
      <c r="C2427" s="4" t="inlineStr">
        <is>
          <t>A11</t>
        </is>
      </c>
      <c r="D2427" s="4" t="inlineStr">
        <is>
          <t>OVERHEAD AND ADMIN COSTS  (Central cost centre, per year, not apportioned to sites)</t>
        </is>
      </c>
      <c r="E2427" s="4" t="inlineStr">
        <is>
          <t>OVERHEAD AND ADMIN COSTS  (Central cost centre, per year, not apportioned to sites)</t>
        </is>
      </c>
      <c r="F2427" s="4" t="inlineStr">
        <is>
          <t>GOC Bed Unit-Costing Model v2 — working original.xlsx</t>
        </is>
      </c>
    </row>
    <row r="2428" ht="40" customHeight="1">
      <c r="A2428" s="4" t="inlineStr">
        <is>
          <t>original:Inputs (1)!D11</t>
        </is>
      </c>
      <c r="B2428" s="4" t="inlineStr">
        <is>
          <t>Inputs (1)</t>
        </is>
      </c>
      <c r="C2428" s="4" t="inlineStr">
        <is>
          <t>D11</t>
        </is>
      </c>
      <c r="D2428" s="4" t="inlineStr">
        <is>
          <t>Notes</t>
        </is>
      </c>
      <c r="E2428" s="4" t="inlineStr">
        <is>
          <t>Notes</t>
        </is>
      </c>
      <c r="F2428" s="4" t="inlineStr">
        <is>
          <t>GOC Bed Unit-Costing Model v2 — working original.xlsx</t>
        </is>
      </c>
    </row>
    <row r="2429" ht="40" customHeight="1">
      <c r="A2429" s="4" t="inlineStr">
        <is>
          <t>original:Inputs (1)!F11</t>
        </is>
      </c>
      <c r="B2429" s="4" t="inlineStr">
        <is>
          <t>Inputs (1)</t>
        </is>
      </c>
      <c r="C2429" s="4" t="inlineStr">
        <is>
          <t>F11</t>
        </is>
      </c>
      <c r="D2429" s="4" t="inlineStr">
        <is>
          <t>No. Facilities</t>
        </is>
      </c>
      <c r="E2429" s="4" t="inlineStr">
        <is>
          <t>No. Facilities</t>
        </is>
      </c>
      <c r="F2429" s="4" t="inlineStr">
        <is>
          <t>GOC Bed Unit-Costing Model v2 — working original.xlsx</t>
        </is>
      </c>
    </row>
    <row r="2430" ht="40" customHeight="1">
      <c r="A2430" s="4" t="inlineStr">
        <is>
          <t>original:Inputs (1)!G11</t>
        </is>
      </c>
      <c r="B2430" s="4" t="inlineStr">
        <is>
          <t>Inputs (1)</t>
        </is>
      </c>
      <c r="C2430" s="4" t="inlineStr">
        <is>
          <t>G11</t>
        </is>
      </c>
      <c r="D2430" s="4" t="n">
        <v>1</v>
      </c>
      <c r="E2430" s="4" t="n">
        <v>1</v>
      </c>
      <c r="F2430" s="4" t="inlineStr">
        <is>
          <t>GOC Bed Unit-Costing Model v2 — working original.xlsx</t>
        </is>
      </c>
    </row>
    <row r="2431" ht="40" customHeight="1">
      <c r="A2431" s="4" t="inlineStr">
        <is>
          <t>original:Inputs (1)!H11</t>
        </is>
      </c>
      <c r="B2431" s="4" t="inlineStr">
        <is>
          <t>Inputs (1)</t>
        </is>
      </c>
      <c r="C2431" s="4" t="inlineStr">
        <is>
          <t>H11</t>
        </is>
      </c>
      <c r="D2431" s="4" t="n">
        <v>1</v>
      </c>
      <c r="E2431" s="4" t="n">
        <v>1</v>
      </c>
      <c r="F2431" s="4" t="inlineStr">
        <is>
          <t>GOC Bed Unit-Costing Model v2 — working original.xlsx</t>
        </is>
      </c>
    </row>
    <row r="2432" ht="40" customHeight="1">
      <c r="A2432" s="4" t="inlineStr">
        <is>
          <t>original:Inputs (1)!I11</t>
        </is>
      </c>
      <c r="B2432" s="4" t="inlineStr">
        <is>
          <t>Inputs (1)</t>
        </is>
      </c>
      <c r="C2432" s="4" t="inlineStr">
        <is>
          <t>I11</t>
        </is>
      </c>
      <c r="D2432" s="4" t="n">
        <v>1</v>
      </c>
      <c r="E2432" s="4" t="n">
        <v>1</v>
      </c>
      <c r="F2432" s="4" t="inlineStr">
        <is>
          <t>GOC Bed Unit-Costing Model v2 — working original.xlsx</t>
        </is>
      </c>
    </row>
    <row r="2433" ht="60" customHeight="1">
      <c r="A2433" s="4" t="inlineStr">
        <is>
          <t>original:Inputs (1)!J11</t>
        </is>
      </c>
      <c r="B2433" s="4" t="inlineStr">
        <is>
          <t>Inputs (1)</t>
        </is>
      </c>
      <c r="C2433" s="4" t="inlineStr">
        <is>
          <t>J11</t>
        </is>
      </c>
      <c r="D2433" s="4" t="inlineStr">
        <is>
          <t>Sunshine Coast facility. Constant across the projection in the unit-costing model.</t>
        </is>
      </c>
      <c r="E2433" s="4" t="inlineStr">
        <is>
          <t>Sunshine Coast facility. Constant across the projection in the unit-costing model.</t>
        </is>
      </c>
      <c r="F2433" s="4" t="inlineStr">
        <is>
          <t>GOC Bed Unit-Costing Model v2 — working original.xlsx</t>
        </is>
      </c>
    </row>
    <row r="2434" ht="40" customHeight="1">
      <c r="A2434" s="4" t="inlineStr">
        <is>
          <t>original:Inputs (1)!A12</t>
        </is>
      </c>
      <c r="B2434" s="4" t="inlineStr">
        <is>
          <t>Inputs (1)</t>
        </is>
      </c>
      <c r="C2434" s="4" t="inlineStr">
        <is>
          <t>A12</t>
        </is>
      </c>
      <c r="D2434" s="4" t="inlineStr">
        <is>
          <t>Wages and Salaries</t>
        </is>
      </c>
      <c r="E2434" s="4" t="inlineStr">
        <is>
          <t>Wages and Salaries</t>
        </is>
      </c>
      <c r="F2434" s="4" t="inlineStr">
        <is>
          <t>GOC Bed Unit-Costing Model v2 — working original.xlsx</t>
        </is>
      </c>
    </row>
    <row r="2435" ht="40" customHeight="1">
      <c r="A2435" s="4" t="inlineStr">
        <is>
          <t>original:Inputs (1)!B12</t>
        </is>
      </c>
      <c r="B2435" s="4" t="inlineStr">
        <is>
          <t>Inputs (1)</t>
        </is>
      </c>
      <c r="C2435" s="4" t="inlineStr">
        <is>
          <t>B12</t>
        </is>
      </c>
      <c r="D2435" s="4" t="n">
        <v>0</v>
      </c>
      <c r="E2435" s="4" t="n">
        <v>0</v>
      </c>
      <c r="F2435" s="4" t="inlineStr">
        <is>
          <t>GOC Bed Unit-Costing Model v2 — working original.xlsx</t>
        </is>
      </c>
    </row>
    <row r="2436" ht="120" customHeight="1">
      <c r="A2436" s="4" t="inlineStr">
        <is>
          <t>original:Inputs (1)!D12</t>
        </is>
      </c>
      <c r="B2436" s="4" t="inlineStr">
        <is>
          <t>Inputs (1)</t>
        </is>
      </c>
      <c r="C2436" s="4" t="inlineStr">
        <is>
          <t>D12</t>
        </is>
      </c>
      <c r="D2436" s="4" t="inlineStr">
        <is>
          <t>TO CONFIRM. Non-founder central staff. No figure exists in any source. The kickoff notes flag modelling three salespeople and a head of manufacturing at some point.</t>
        </is>
      </c>
      <c r="E2436" s="4" t="inlineStr">
        <is>
          <t>TO CONFIRM. Non-founder central staff. No figure exists in any source. The kickoff notes flag modelling three salespeople and a head of manufacturing at some point.</t>
        </is>
      </c>
      <c r="F2436" s="4" t="inlineStr">
        <is>
          <t>GOC Bed Unit-Costing Model v2 — working original.xlsx</t>
        </is>
      </c>
    </row>
    <row r="2437" ht="40" customHeight="1">
      <c r="A2437" s="4" t="inlineStr">
        <is>
          <t>original:Inputs (1)!F12</t>
        </is>
      </c>
      <c r="B2437" s="4" t="inlineStr">
        <is>
          <t>Inputs (1)</t>
        </is>
      </c>
      <c r="C2437" s="4" t="inlineStr">
        <is>
          <t>F12</t>
        </is>
      </c>
      <c r="D2437" s="4" t="inlineStr">
        <is>
          <t>New Facilities built this yr</t>
        </is>
      </c>
      <c r="E2437" s="4" t="inlineStr">
        <is>
          <t>New Facilities built this yr</t>
        </is>
      </c>
      <c r="F2437" s="4" t="inlineStr">
        <is>
          <t>GOC Bed Unit-Costing Model v2 — working original.xlsx</t>
        </is>
      </c>
    </row>
    <row r="2438" ht="40" customHeight="1">
      <c r="A2438" s="4" t="inlineStr">
        <is>
          <t>original:Inputs (1)!G12</t>
        </is>
      </c>
      <c r="B2438" s="4" t="inlineStr">
        <is>
          <t>Inputs (1)</t>
        </is>
      </c>
      <c r="C2438" s="4" t="inlineStr">
        <is>
          <t>G12</t>
        </is>
      </c>
      <c r="D2438" s="4" t="n">
        <v>0</v>
      </c>
      <c r="E2438" s="4" t="n">
        <v>0</v>
      </c>
      <c r="F2438" s="4" t="inlineStr">
        <is>
          <t>GOC Bed Unit-Costing Model v2 — working original.xlsx</t>
        </is>
      </c>
    </row>
    <row r="2439" ht="40" customHeight="1">
      <c r="A2439" s="4" t="inlineStr">
        <is>
          <t>original:Inputs (1)!H12</t>
        </is>
      </c>
      <c r="B2439" s="4" t="inlineStr">
        <is>
          <t>Inputs (1)</t>
        </is>
      </c>
      <c r="C2439" s="4" t="inlineStr">
        <is>
          <t>H12</t>
        </is>
      </c>
      <c r="D2439" s="4" t="n">
        <v>0</v>
      </c>
      <c r="E2439" s="4" t="n">
        <v>0</v>
      </c>
      <c r="F2439" s="4" t="inlineStr">
        <is>
          <t>GOC Bed Unit-Costing Model v2 — working original.xlsx</t>
        </is>
      </c>
    </row>
    <row r="2440" ht="40" customHeight="1">
      <c r="A2440" s="4" t="inlineStr">
        <is>
          <t>original:Inputs (1)!I12</t>
        </is>
      </c>
      <c r="B2440" s="4" t="inlineStr">
        <is>
          <t>Inputs (1)</t>
        </is>
      </c>
      <c r="C2440" s="4" t="inlineStr">
        <is>
          <t>I12</t>
        </is>
      </c>
      <c r="D2440" s="4" t="n">
        <v>0</v>
      </c>
      <c r="E2440" s="4" t="n">
        <v>0</v>
      </c>
      <c r="F2440" s="4" t="inlineStr">
        <is>
          <t>GOC Bed Unit-Costing Model v2 — working original.xlsx</t>
        </is>
      </c>
    </row>
    <row r="2441" ht="75" customHeight="1">
      <c r="A2441" s="4" t="inlineStr">
        <is>
          <t>original:Inputs (1)!J12</t>
        </is>
      </c>
      <c r="B2441" s="4" t="inlineStr">
        <is>
          <t>Inputs (1)</t>
        </is>
      </c>
      <c r="C2441" s="4" t="inlineStr">
        <is>
          <t>J12</t>
        </is>
      </c>
      <c r="D2441" s="4" t="inlineStr">
        <is>
          <t>Drives capex. Nil because the Sunshine Coast facility already exists and its cost is in opening PP&amp;E.</t>
        </is>
      </c>
      <c r="E2441" s="4" t="inlineStr">
        <is>
          <t>Drives capex. Nil because the Sunshine Coast facility already exists and its cost is in opening PP&amp;E.</t>
        </is>
      </c>
      <c r="F2441" s="4" t="inlineStr">
        <is>
          <t>GOC Bed Unit-Costing Model v2 — working original.xlsx</t>
        </is>
      </c>
    </row>
    <row r="2442" ht="40" customHeight="1">
      <c r="A2442" s="4" t="inlineStr">
        <is>
          <t>original:Inputs (1)!A13</t>
        </is>
      </c>
      <c r="B2442" s="4" t="inlineStr">
        <is>
          <t>Inputs (1)</t>
        </is>
      </c>
      <c r="C2442" s="4" t="inlineStr">
        <is>
          <t>A13</t>
        </is>
      </c>
      <c r="D2442" s="4" t="inlineStr">
        <is>
          <t>Founder Salaries</t>
        </is>
      </c>
      <c r="E2442" s="4" t="inlineStr">
        <is>
          <t>Founder Salaries</t>
        </is>
      </c>
      <c r="F2442" s="4" t="inlineStr">
        <is>
          <t>GOC Bed Unit-Costing Model v2 — working original.xlsx</t>
        </is>
      </c>
    </row>
    <row r="2443" ht="40" customHeight="1">
      <c r="A2443" s="4" t="inlineStr">
        <is>
          <t>original:Inputs (1)!B13</t>
        </is>
      </c>
      <c r="B2443" s="4" t="inlineStr">
        <is>
          <t>Inputs (1)</t>
        </is>
      </c>
      <c r="C2443" s="4" t="inlineStr">
        <is>
          <t>B13</t>
        </is>
      </c>
      <c r="D2443" s="4" t="inlineStr">
        <is>
          <t>=84000+67200</t>
        </is>
      </c>
      <c r="E2443" s="4" t="n">
        <v>151200</v>
      </c>
      <c r="F2443" s="4" t="inlineStr">
        <is>
          <t>GOC Bed Unit-Costing Model v2 — working original.xlsx</t>
        </is>
      </c>
    </row>
    <row r="2444" ht="240" customHeight="1">
      <c r="A2444" s="4" t="inlineStr">
        <is>
          <t>original:Inputs (1)!D13</t>
        </is>
      </c>
      <c r="B2444" s="4" t="inlineStr">
        <is>
          <t>Inputs (1)</t>
        </is>
      </c>
      <c r="C2444" s="4" t="inlineStr">
        <is>
          <t>D13</t>
        </is>
      </c>
      <c r="D2444" s="4" t="inlineStr">
        <is>
          <t>Total founder salaries, not apportioned to production. Per Matt 2026-08-10, keep at $151,200. Note for the reader: 04-verified-financials §3 locks Goods founder cost at $84,000/yr (150 days x $560), of which $67,200 is the non-production subset. This line therefore sits above the locked figure and reads as a forward-looking founder wage provision.</t>
        </is>
      </c>
      <c r="E2444" s="4" t="inlineStr">
        <is>
          <t>Total founder salaries, not apportioned to production. Per Matt 2026-08-10, keep at $151,200. Note for the reader: 04-verified-financials §3 locks Goods founder cost at $84,000/yr (150 days x $560), of which $67,200 is the non-production subset. This line therefore sits above the locked figure and reads as a forward-looking founder wage provision.</t>
        </is>
      </c>
      <c r="F2444" s="4" t="inlineStr">
        <is>
          <t>GOC Bed Unit-Costing Model v2 — working original.xlsx</t>
        </is>
      </c>
    </row>
    <row r="2445" ht="40" customHeight="1">
      <c r="A2445" s="4" t="inlineStr">
        <is>
          <t>original:Inputs (1)!F13</t>
        </is>
      </c>
      <c r="B2445" s="4" t="inlineStr">
        <is>
          <t>Inputs (1)</t>
        </is>
      </c>
      <c r="C2445" s="4" t="inlineStr">
        <is>
          <t>F13</t>
        </is>
      </c>
      <c r="D2445" s="4" t="inlineStr">
        <is>
          <t>No. Youth Emp. Programs</t>
        </is>
      </c>
      <c r="E2445" s="4" t="inlineStr">
        <is>
          <t>No. Youth Emp. Programs</t>
        </is>
      </c>
      <c r="F2445" s="4" t="inlineStr">
        <is>
          <t>GOC Bed Unit-Costing Model v2 — working original.xlsx</t>
        </is>
      </c>
    </row>
    <row r="2446" ht="40" customHeight="1">
      <c r="A2446" s="4" t="inlineStr">
        <is>
          <t>original:Inputs (1)!G13</t>
        </is>
      </c>
      <c r="B2446" s="4" t="inlineStr">
        <is>
          <t>Inputs (1)</t>
        </is>
      </c>
      <c r="C2446" s="4" t="inlineStr">
        <is>
          <t>G13</t>
        </is>
      </c>
      <c r="D2446" s="4" t="n">
        <v>0</v>
      </c>
      <c r="E2446" s="4" t="n">
        <v>0</v>
      </c>
      <c r="F2446" s="4" t="inlineStr">
        <is>
          <t>GOC Bed Unit-Costing Model v2 — working original.xlsx</t>
        </is>
      </c>
    </row>
    <row r="2447" ht="40" customHeight="1">
      <c r="A2447" s="4" t="inlineStr">
        <is>
          <t>original:Inputs (1)!H13</t>
        </is>
      </c>
      <c r="B2447" s="4" t="inlineStr">
        <is>
          <t>Inputs (1)</t>
        </is>
      </c>
      <c r="C2447" s="4" t="inlineStr">
        <is>
          <t>H13</t>
        </is>
      </c>
      <c r="D2447" s="4" t="n">
        <v>0</v>
      </c>
      <c r="E2447" s="4" t="n">
        <v>0</v>
      </c>
      <c r="F2447" s="4" t="inlineStr">
        <is>
          <t>GOC Bed Unit-Costing Model v2 — working original.xlsx</t>
        </is>
      </c>
    </row>
    <row r="2448" ht="40" customHeight="1">
      <c r="A2448" s="4" t="inlineStr">
        <is>
          <t>original:Inputs (1)!I13</t>
        </is>
      </c>
      <c r="B2448" s="4" t="inlineStr">
        <is>
          <t>Inputs (1)</t>
        </is>
      </c>
      <c r="C2448" s="4" t="inlineStr">
        <is>
          <t>I13</t>
        </is>
      </c>
      <c r="D2448" s="4" t="n">
        <v>0</v>
      </c>
      <c r="E2448" s="4" t="n">
        <v>0</v>
      </c>
      <c r="F2448" s="4" t="inlineStr">
        <is>
          <t>GOC Bed Unit-Costing Model v2 — working original.xlsx</t>
        </is>
      </c>
    </row>
    <row r="2449" ht="135" customHeight="1">
      <c r="A2449" s="4" t="inlineStr">
        <is>
          <t>original:Inputs (1)!J13</t>
        </is>
      </c>
      <c r="B2449" s="4" t="inlineStr">
        <is>
          <t>Inputs (1)</t>
        </is>
      </c>
      <c r="C2449" s="4" t="inlineStr">
        <is>
          <t>J13</t>
        </is>
      </c>
      <c r="D2449" s="4" t="inlineStr">
        <is>
          <t>TO CONFIRM. No source gives a number of youth employment programs by year. Left at nil so nothing loads silently. Each program costs the Youth Employment Program Support figure on the left.</t>
        </is>
      </c>
      <c r="E2449" s="4" t="inlineStr">
        <is>
          <t>TO CONFIRM. No source gives a number of youth employment programs by year. Left at nil so nothing loads silently. Each program costs the Youth Employment Program Support figure on the left.</t>
        </is>
      </c>
      <c r="F2449" s="4" t="inlineStr">
        <is>
          <t>GOC Bed Unit-Costing Model v2 — working original.xlsx</t>
        </is>
      </c>
    </row>
    <row r="2450" ht="40" customHeight="1">
      <c r="A2450" s="4" t="inlineStr">
        <is>
          <t>original:Inputs (1)!A14</t>
        </is>
      </c>
      <c r="B2450" s="4" t="inlineStr">
        <is>
          <t>Inputs (1)</t>
        </is>
      </c>
      <c r="C2450" s="4" t="inlineStr">
        <is>
          <t>A14</t>
        </is>
      </c>
      <c r="D2450" s="4" t="inlineStr">
        <is>
          <t>Head office costs</t>
        </is>
      </c>
      <c r="E2450" s="4" t="inlineStr">
        <is>
          <t>Head office costs</t>
        </is>
      </c>
      <c r="F2450" s="4" t="inlineStr">
        <is>
          <t>GOC Bed Unit-Costing Model v2 — working original.xlsx</t>
        </is>
      </c>
    </row>
    <row r="2451" ht="40" customHeight="1">
      <c r="A2451" s="4" t="inlineStr">
        <is>
          <t>original:Inputs (1)!B14</t>
        </is>
      </c>
      <c r="B2451" s="4" t="inlineStr">
        <is>
          <t>Inputs (1)</t>
        </is>
      </c>
      <c r="C2451" s="4" t="inlineStr">
        <is>
          <t>B14</t>
        </is>
      </c>
      <c r="D2451" s="4" t="n">
        <v>53000</v>
      </c>
      <c r="E2451" s="4" t="n">
        <v>53000</v>
      </c>
      <c r="F2451" s="4" t="inlineStr">
        <is>
          <t>GOC Bed Unit-Costing Model v2 — working original.xlsx</t>
        </is>
      </c>
    </row>
    <row r="2452" ht="120" customHeight="1">
      <c r="A2452" s="4" t="inlineStr">
        <is>
          <t>original:Inputs (1)!D14</t>
        </is>
      </c>
      <c r="B2452" s="4" t="inlineStr">
        <is>
          <t>Inputs (1)</t>
        </is>
      </c>
      <c r="C2452" s="4" t="inlineStr">
        <is>
          <t>D14</t>
        </is>
      </c>
      <c r="D2452" s="4" t="inlineStr">
        <is>
          <t>Q20 central entity overhead budget: insurance $12K, accounting/audit $15K, legal/entity setup $10K, software/IT $8K, banking $3K, governance $5K (Known Other Costs A49).</t>
        </is>
      </c>
      <c r="E2452" s="4" t="inlineStr">
        <is>
          <t>Q20 central entity overhead budget: insurance $12K, accounting/audit $15K, legal/entity setup $10K, software/IT $8K, banking $3K, governance $5K (Known Other Costs A49).</t>
        </is>
      </c>
      <c r="F2452" s="4" t="inlineStr">
        <is>
          <t>GOC Bed Unit-Costing Model v2 — working original.xlsx</t>
        </is>
      </c>
    </row>
    <row r="2453" ht="40" customHeight="1">
      <c r="A2453" s="4" t="inlineStr">
        <is>
          <t>original:Inputs (1)!A15</t>
        </is>
      </c>
      <c r="B2453" s="4" t="inlineStr">
        <is>
          <t>Inputs (1)</t>
        </is>
      </c>
      <c r="C2453" s="4" t="inlineStr">
        <is>
          <t>A15</t>
        </is>
      </c>
      <c r="D2453" s="4" t="inlineStr">
        <is>
          <t>Advertising and Marketing</t>
        </is>
      </c>
      <c r="E2453" s="4" t="inlineStr">
        <is>
          <t>Advertising and Marketing</t>
        </is>
      </c>
      <c r="F2453" s="4" t="inlineStr">
        <is>
          <t>GOC Bed Unit-Costing Model v2 — working original.xlsx</t>
        </is>
      </c>
    </row>
    <row r="2454" ht="40" customHeight="1">
      <c r="A2454" s="4" t="inlineStr">
        <is>
          <t>original:Inputs (1)!B15</t>
        </is>
      </c>
      <c r="B2454" s="4" t="inlineStr">
        <is>
          <t>Inputs (1)</t>
        </is>
      </c>
      <c r="C2454" s="4" t="inlineStr">
        <is>
          <t>B15</t>
        </is>
      </c>
      <c r="D2454" s="4" t="n">
        <v>35000</v>
      </c>
      <c r="E2454" s="4" t="n">
        <v>35000</v>
      </c>
      <c r="F2454" s="4" t="inlineStr">
        <is>
          <t>GOC Bed Unit-Costing Model v2 — working original.xlsx</t>
        </is>
      </c>
    </row>
    <row r="2455" ht="40" customHeight="1">
      <c r="A2455" s="4" t="inlineStr">
        <is>
          <t>original:Inputs (1)!D15</t>
        </is>
      </c>
      <c r="B2455" s="4" t="inlineStr">
        <is>
          <t>Inputs (1)</t>
        </is>
      </c>
      <c r="C2455" s="4" t="inlineStr">
        <is>
          <t>D15</t>
        </is>
      </c>
      <c r="D2455" s="4" t="inlineStr">
        <is>
          <t>Estimate based on last year breakdown (Matt).</t>
        </is>
      </c>
      <c r="E2455" s="4" t="inlineStr">
        <is>
          <t>Estimate based on last year breakdown (Matt).</t>
        </is>
      </c>
      <c r="F2455" s="4" t="inlineStr">
        <is>
          <t>GOC Bed Unit-Costing Model v2 — working original.xlsx</t>
        </is>
      </c>
    </row>
    <row r="2456" ht="40" customHeight="1">
      <c r="A2456" s="4" t="inlineStr">
        <is>
          <t>original:Inputs (1)!F15</t>
        </is>
      </c>
      <c r="B2456" s="4" t="inlineStr">
        <is>
          <t>Inputs (1)</t>
        </is>
      </c>
      <c r="C2456" s="4" t="inlineStr">
        <is>
          <t>F15</t>
        </is>
      </c>
      <c r="D2456" s="4" t="inlineStr">
        <is>
          <t>Containers</t>
        </is>
      </c>
      <c r="E2456" s="4" t="inlineStr">
        <is>
          <t>Containers</t>
        </is>
      </c>
      <c r="F2456" s="4" t="inlineStr">
        <is>
          <t>GOC Bed Unit-Costing Model v2 — working original.xlsx</t>
        </is>
      </c>
    </row>
    <row r="2457" ht="40" customHeight="1">
      <c r="A2457" s="4" t="inlineStr">
        <is>
          <t>original:Inputs (1)!A16</t>
        </is>
      </c>
      <c r="B2457" s="4" t="inlineStr">
        <is>
          <t>Inputs (1)</t>
        </is>
      </c>
      <c r="C2457" s="4" t="inlineStr">
        <is>
          <t>A16</t>
        </is>
      </c>
      <c r="D2457" s="4" t="inlineStr">
        <is>
          <t>Field Travel</t>
        </is>
      </c>
      <c r="E2457" s="4" t="inlineStr">
        <is>
          <t>Field Travel</t>
        </is>
      </c>
      <c r="F2457" s="4" t="inlineStr">
        <is>
          <t>GOC Bed Unit-Costing Model v2 — working original.xlsx</t>
        </is>
      </c>
    </row>
    <row r="2458" ht="40" customHeight="1">
      <c r="A2458" s="4" t="inlineStr">
        <is>
          <t>original:Inputs (1)!B16</t>
        </is>
      </c>
      <c r="B2458" s="4" t="inlineStr">
        <is>
          <t>Inputs (1)</t>
        </is>
      </c>
      <c r="C2458" s="4" t="inlineStr">
        <is>
          <t>B16</t>
        </is>
      </c>
      <c r="D2458" s="4" t="n">
        <v>51000</v>
      </c>
      <c r="E2458" s="4" t="n">
        <v>51000</v>
      </c>
      <c r="F2458" s="4" t="inlineStr">
        <is>
          <t>GOC Bed Unit-Costing Model v2 — working original.xlsx</t>
        </is>
      </c>
    </row>
    <row r="2459" ht="40" customHeight="1">
      <c r="A2459" s="4" t="inlineStr">
        <is>
          <t>original:Inputs (1)!D16</t>
        </is>
      </c>
      <c r="B2459" s="4" t="inlineStr">
        <is>
          <t>Inputs (1)</t>
        </is>
      </c>
      <c r="C2459" s="4" t="inlineStr">
        <is>
          <t>D16</t>
        </is>
      </c>
      <c r="D2459" s="4" t="inlineStr">
        <is>
          <t>v6 fixed block (03-cost-model §C).</t>
        </is>
      </c>
      <c r="E2459" s="4" t="inlineStr">
        <is>
          <t>v6 fixed block (03-cost-model §C).</t>
        </is>
      </c>
      <c r="F2459" s="4" t="inlineStr">
        <is>
          <t>GOC Bed Unit-Costing Model v2 — working original.xlsx</t>
        </is>
      </c>
    </row>
    <row r="2460" ht="40" customHeight="1">
      <c r="A2460" s="4" t="inlineStr">
        <is>
          <t>original:Inputs (1)!F16</t>
        </is>
      </c>
      <c r="B2460" s="4" t="inlineStr">
        <is>
          <t>Inputs (1)</t>
        </is>
      </c>
      <c r="C2460" s="4" t="inlineStr">
        <is>
          <t>F16</t>
        </is>
      </c>
      <c r="D2460" s="4" t="inlineStr">
        <is>
          <t>Beds per Facility</t>
        </is>
      </c>
      <c r="E2460" s="4" t="inlineStr">
        <is>
          <t>Beds per Facility</t>
        </is>
      </c>
      <c r="F2460" s="4" t="inlineStr">
        <is>
          <t>GOC Bed Unit-Costing Model v2 — working original.xlsx</t>
        </is>
      </c>
    </row>
    <row r="2461" ht="40" customHeight="1">
      <c r="A2461" s="4" t="inlineStr">
        <is>
          <t>original:Inputs (1)!G16</t>
        </is>
      </c>
      <c r="B2461" s="4" t="inlineStr">
        <is>
          <t>Inputs (1)</t>
        </is>
      </c>
      <c r="C2461" s="4" t="inlineStr">
        <is>
          <t>G16</t>
        </is>
      </c>
      <c r="D2461" s="4" t="n">
        <v>200</v>
      </c>
      <c r="E2461" s="4" t="n">
        <v>200</v>
      </c>
      <c r="F2461" s="4" t="inlineStr">
        <is>
          <t>GOC Bed Unit-Costing Model v2 — working original.xlsx</t>
        </is>
      </c>
    </row>
    <row r="2462" ht="40" customHeight="1">
      <c r="A2462" s="4" t="inlineStr">
        <is>
          <t>original:Inputs (1)!H16</t>
        </is>
      </c>
      <c r="B2462" s="4" t="inlineStr">
        <is>
          <t>Inputs (1)</t>
        </is>
      </c>
      <c r="C2462" s="4" t="inlineStr">
        <is>
          <t>H16</t>
        </is>
      </c>
      <c r="D2462" s="4" t="n">
        <v>500</v>
      </c>
      <c r="E2462" s="4" t="n">
        <v>500</v>
      </c>
      <c r="F2462" s="4" t="inlineStr">
        <is>
          <t>GOC Bed Unit-Costing Model v2 — working original.xlsx</t>
        </is>
      </c>
    </row>
    <row r="2463" ht="40" customHeight="1">
      <c r="A2463" s="4" t="inlineStr">
        <is>
          <t>original:Inputs (1)!I16</t>
        </is>
      </c>
      <c r="B2463" s="4" t="inlineStr">
        <is>
          <t>Inputs (1)</t>
        </is>
      </c>
      <c r="C2463" s="4" t="inlineStr">
        <is>
          <t>I16</t>
        </is>
      </c>
      <c r="D2463" s="4" t="n">
        <v>500</v>
      </c>
      <c r="E2463" s="4" t="n">
        <v>500</v>
      </c>
      <c r="F2463" s="4" t="inlineStr">
        <is>
          <t>GOC Bed Unit-Costing Model v2 — working original.xlsx</t>
        </is>
      </c>
    </row>
    <row r="2464" ht="75" customHeight="1">
      <c r="A2464" s="4" t="inlineStr">
        <is>
          <t>original:Inputs (1)!J16</t>
        </is>
      </c>
      <c r="B2464" s="4" t="inlineStr">
        <is>
          <t>Inputs (1)</t>
        </is>
      </c>
      <c r="C2464" s="4" t="inlineStr">
        <is>
          <t>J16</t>
        </is>
      </c>
      <c r="D2464" s="4" t="inlineStr">
        <is>
          <t>Unit-Costing Model v2, same basis as the factory: 500/yr, at 40% utilisation in the build year.</t>
        </is>
      </c>
      <c r="E2464" s="4" t="inlineStr">
        <is>
          <t>Unit-Costing Model v2, same basis as the factory: 500/yr, at 40% utilisation in the build year.</t>
        </is>
      </c>
      <c r="F2464" s="4" t="inlineStr">
        <is>
          <t>GOC Bed Unit-Costing Model v2 — working original.xlsx</t>
        </is>
      </c>
    </row>
    <row r="2465" ht="40" customHeight="1">
      <c r="A2465" s="4" t="inlineStr">
        <is>
          <t>original:Inputs (1)!A17</t>
        </is>
      </c>
      <c r="B2465" s="4" t="inlineStr">
        <is>
          <t>Inputs (1)</t>
        </is>
      </c>
      <c r="C2465" s="4" t="inlineStr">
        <is>
          <t>A17</t>
        </is>
      </c>
      <c r="D2465" s="4" t="inlineStr">
        <is>
          <t>R&amp;D</t>
        </is>
      </c>
      <c r="E2465" s="4" t="inlineStr">
        <is>
          <t>R&amp;D</t>
        </is>
      </c>
      <c r="F2465" s="4" t="inlineStr">
        <is>
          <t>GOC Bed Unit-Costing Model v2 — working original.xlsx</t>
        </is>
      </c>
    </row>
    <row r="2466" ht="40" customHeight="1">
      <c r="A2466" s="4" t="inlineStr">
        <is>
          <t>original:Inputs (1)!B17</t>
        </is>
      </c>
      <c r="B2466" s="4" t="inlineStr">
        <is>
          <t>Inputs (1)</t>
        </is>
      </c>
      <c r="C2466" s="4" t="inlineStr">
        <is>
          <t>B17</t>
        </is>
      </c>
      <c r="D2466" s="4" t="n">
        <v>0</v>
      </c>
      <c r="E2466" s="4" t="n">
        <v>0</v>
      </c>
      <c r="F2466" s="4" t="inlineStr">
        <is>
          <t>GOC Bed Unit-Costing Model v2 — working original.xlsx</t>
        </is>
      </c>
    </row>
    <row r="2467" ht="150" customHeight="1">
      <c r="A2467" s="4" t="inlineStr">
        <is>
          <t>original:Inputs (1)!D17</t>
        </is>
      </c>
      <c r="B2467" s="4" t="inlineStr">
        <is>
          <t>Inputs (1)</t>
        </is>
      </c>
      <c r="C2467" s="4" t="inlineStr">
        <is>
          <t>D17</t>
        </is>
      </c>
      <c r="D2467" s="4" t="inlineStr">
        <is>
          <t>TO CONFIRM. Defy design + Samuel Hafer $19.5K is an open accountant item with R&amp;D Tax Incentive scope (04-verified-financials §6, item 4). Amount and treatment both unresolved; no R&amp;D offset income is modelled.</t>
        </is>
      </c>
      <c r="E2467" s="4" t="inlineStr">
        <is>
          <t>TO CONFIRM. Defy design + Samuel Hafer $19.5K is an open accountant item with R&amp;D Tax Incentive scope (04-verified-financials §6, item 4). Amount and treatment both unresolved; no R&amp;D offset income is modelled.</t>
        </is>
      </c>
      <c r="F2467" s="4" t="inlineStr">
        <is>
          <t>GOC Bed Unit-Costing Model v2 — working original.xlsx</t>
        </is>
      </c>
    </row>
    <row r="2468" ht="40" customHeight="1">
      <c r="A2468" s="4" t="inlineStr">
        <is>
          <t>original:Inputs (1)!F17</t>
        </is>
      </c>
      <c r="B2468" s="4" t="inlineStr">
        <is>
          <t>Inputs (1)</t>
        </is>
      </c>
      <c r="C2468" s="4" t="inlineStr">
        <is>
          <t>F17</t>
        </is>
      </c>
      <c r="D2468" s="4" t="inlineStr">
        <is>
          <t>No. Facilities</t>
        </is>
      </c>
      <c r="E2468" s="4" t="inlineStr">
        <is>
          <t>No. Facilities</t>
        </is>
      </c>
      <c r="F2468" s="4" t="inlineStr">
        <is>
          <t>GOC Bed Unit-Costing Model v2 — working original.xlsx</t>
        </is>
      </c>
    </row>
    <row r="2469" ht="40" customHeight="1">
      <c r="A2469" s="4" t="inlineStr">
        <is>
          <t>original:Inputs (1)!G17</t>
        </is>
      </c>
      <c r="B2469" s="4" t="inlineStr">
        <is>
          <t>Inputs (1)</t>
        </is>
      </c>
      <c r="C2469" s="4" t="inlineStr">
        <is>
          <t>G17</t>
        </is>
      </c>
      <c r="D2469" s="4" t="n">
        <v>1</v>
      </c>
      <c r="E2469" s="4" t="n">
        <v>1</v>
      </c>
      <c r="F2469" s="4" t="inlineStr">
        <is>
          <t>GOC Bed Unit-Costing Model v2 — working original.xlsx</t>
        </is>
      </c>
    </row>
    <row r="2470" ht="40" customHeight="1">
      <c r="A2470" s="4" t="inlineStr">
        <is>
          <t>original:Inputs (1)!H17</t>
        </is>
      </c>
      <c r="B2470" s="4" t="inlineStr">
        <is>
          <t>Inputs (1)</t>
        </is>
      </c>
      <c r="C2470" s="4" t="inlineStr">
        <is>
          <t>H17</t>
        </is>
      </c>
      <c r="D2470" s="4" t="n">
        <v>1</v>
      </c>
      <c r="E2470" s="4" t="n">
        <v>1</v>
      </c>
      <c r="F2470" s="4" t="inlineStr">
        <is>
          <t>GOC Bed Unit-Costing Model v2 — working original.xlsx</t>
        </is>
      </c>
    </row>
    <row r="2471" ht="40" customHeight="1">
      <c r="A2471" s="4" t="inlineStr">
        <is>
          <t>original:Inputs (1)!I17</t>
        </is>
      </c>
      <c r="B2471" s="4" t="inlineStr">
        <is>
          <t>Inputs (1)</t>
        </is>
      </c>
      <c r="C2471" s="4" t="inlineStr">
        <is>
          <t>I17</t>
        </is>
      </c>
      <c r="D2471" s="4" t="n">
        <v>1</v>
      </c>
      <c r="E2471" s="4" t="n">
        <v>1</v>
      </c>
      <c r="F2471" s="4" t="inlineStr">
        <is>
          <t>GOC Bed Unit-Costing Model v2 — working original.xlsx</t>
        </is>
      </c>
    </row>
    <row r="2472" ht="165" customHeight="1">
      <c r="A2472" s="4" t="inlineStr">
        <is>
          <t>original:Inputs (1)!J17</t>
        </is>
      </c>
      <c r="B2472" s="4" t="inlineStr">
        <is>
          <t>Inputs (1)</t>
        </is>
      </c>
      <c r="C2472" s="4" t="inlineStr">
        <is>
          <t>J17</t>
        </is>
      </c>
      <c r="D2472" s="4" t="inlineStr">
        <is>
          <t>One container built in Year 1 and funded from the capital stack. Running the unit-costing model's self-funding trigger on these settings, the first self-funded build lands in Year 4, so the count holds at 1 across this 3-year window.</t>
        </is>
      </c>
      <c r="E2472" s="4" t="inlineStr">
        <is>
          <t>One container built in Year 1 and funded from the capital stack. Running the unit-costing model's self-funding trigger on these settings, the first self-funded build lands in Year 4, so the count holds at 1 across this 3-year window.</t>
        </is>
      </c>
      <c r="F2472" s="4" t="inlineStr">
        <is>
          <t>GOC Bed Unit-Costing Model v2 — working original.xlsx</t>
        </is>
      </c>
    </row>
    <row r="2473" ht="40" customHeight="1">
      <c r="A2473" s="4" t="inlineStr">
        <is>
          <t>original:Inputs (1)!A18</t>
        </is>
      </c>
      <c r="B2473" s="4" t="inlineStr">
        <is>
          <t>Inputs (1)</t>
        </is>
      </c>
      <c r="C2473" s="4" t="inlineStr">
        <is>
          <t>A18</t>
        </is>
      </c>
      <c r="D2473" s="4" t="inlineStr">
        <is>
          <t>Consulting &amp; Accounting</t>
        </is>
      </c>
      <c r="E2473" s="4" t="inlineStr">
        <is>
          <t>Consulting &amp; Accounting</t>
        </is>
      </c>
      <c r="F2473" s="4" t="inlineStr">
        <is>
          <t>GOC Bed Unit-Costing Model v2 — working original.xlsx</t>
        </is>
      </c>
    </row>
    <row r="2474" ht="40" customHeight="1">
      <c r="A2474" s="4" t="inlineStr">
        <is>
          <t>original:Inputs (1)!B18</t>
        </is>
      </c>
      <c r="B2474" s="4" t="inlineStr">
        <is>
          <t>Inputs (1)</t>
        </is>
      </c>
      <c r="C2474" s="4" t="inlineStr">
        <is>
          <t>B18</t>
        </is>
      </c>
      <c r="D2474" s="4" t="n">
        <v>50000</v>
      </c>
      <c r="E2474" s="4" t="n">
        <v>50000</v>
      </c>
      <c r="F2474" s="4" t="inlineStr">
        <is>
          <t>GOC Bed Unit-Costing Model v2 — working original.xlsx</t>
        </is>
      </c>
    </row>
    <row r="2475" ht="90" customHeight="1">
      <c r="A2475" s="4" t="inlineStr">
        <is>
          <t>original:Inputs (1)!D18</t>
        </is>
      </c>
      <c r="B2475" s="4" t="inlineStr">
        <is>
          <t>Inputs (1)</t>
        </is>
      </c>
      <c r="C2475" s="4" t="inlineStr">
        <is>
          <t>D18</t>
        </is>
      </c>
      <c r="D2475" s="4" t="inlineStr">
        <is>
          <t>Estimate based on last year breakdown (Matt). Overlaps the $15,000 accounting/audit inside Head office costs above by roughly that amount.</t>
        </is>
      </c>
      <c r="E2475" s="4" t="inlineStr">
        <is>
          <t>Estimate based on last year breakdown (Matt). Overlaps the $15,000 accounting/audit inside Head office costs above by roughly that amount.</t>
        </is>
      </c>
      <c r="F2475" s="4" t="inlineStr">
        <is>
          <t>GOC Bed Unit-Costing Model v2 — working original.xlsx</t>
        </is>
      </c>
    </row>
    <row r="2476" ht="40" customHeight="1">
      <c r="A2476" s="4" t="inlineStr">
        <is>
          <t>original:Inputs (1)!F18</t>
        </is>
      </c>
      <c r="B2476" s="4" t="inlineStr">
        <is>
          <t>Inputs (1)</t>
        </is>
      </c>
      <c r="C2476" s="4" t="inlineStr">
        <is>
          <t>F18</t>
        </is>
      </c>
      <c r="D2476" s="4" t="inlineStr">
        <is>
          <t>New Containers built this yr</t>
        </is>
      </c>
      <c r="E2476" s="4" t="inlineStr">
        <is>
          <t>New Containers built this yr</t>
        </is>
      </c>
      <c r="F2476" s="4" t="inlineStr">
        <is>
          <t>GOC Bed Unit-Costing Model v2 — working original.xlsx</t>
        </is>
      </c>
    </row>
    <row r="2477" ht="40" customHeight="1">
      <c r="A2477" s="4" t="inlineStr">
        <is>
          <t>original:Inputs (1)!G18</t>
        </is>
      </c>
      <c r="B2477" s="4" t="inlineStr">
        <is>
          <t>Inputs (1)</t>
        </is>
      </c>
      <c r="C2477" s="4" t="inlineStr">
        <is>
          <t>G18</t>
        </is>
      </c>
      <c r="D2477" s="4" t="n">
        <v>1</v>
      </c>
      <c r="E2477" s="4" t="n">
        <v>1</v>
      </c>
      <c r="F2477" s="4" t="inlineStr">
        <is>
          <t>GOC Bed Unit-Costing Model v2 — working original.xlsx</t>
        </is>
      </c>
    </row>
    <row r="2478" ht="40" customHeight="1">
      <c r="A2478" s="4" t="inlineStr">
        <is>
          <t>original:Inputs (1)!H18</t>
        </is>
      </c>
      <c r="B2478" s="4" t="inlineStr">
        <is>
          <t>Inputs (1)</t>
        </is>
      </c>
      <c r="C2478" s="4" t="inlineStr">
        <is>
          <t>H18</t>
        </is>
      </c>
      <c r="D2478" s="4" t="n">
        <v>0</v>
      </c>
      <c r="E2478" s="4" t="n">
        <v>0</v>
      </c>
      <c r="F2478" s="4" t="inlineStr">
        <is>
          <t>GOC Bed Unit-Costing Model v2 — working original.xlsx</t>
        </is>
      </c>
    </row>
    <row r="2479" ht="40" customHeight="1">
      <c r="A2479" s="4" t="inlineStr">
        <is>
          <t>original:Inputs (1)!I18</t>
        </is>
      </c>
      <c r="B2479" s="4" t="inlineStr">
        <is>
          <t>Inputs (1)</t>
        </is>
      </c>
      <c r="C2479" s="4" t="inlineStr">
        <is>
          <t>I18</t>
        </is>
      </c>
      <c r="D2479" s="4" t="n">
        <v>0</v>
      </c>
      <c r="E2479" s="4" t="n">
        <v>0</v>
      </c>
      <c r="F2479" s="4" t="inlineStr">
        <is>
          <t>GOC Bed Unit-Costing Model v2 — working original.xlsx</t>
        </is>
      </c>
    </row>
    <row r="2480" ht="60" customHeight="1">
      <c r="A2480" s="4" t="inlineStr">
        <is>
          <t>original:Inputs (1)!J18</t>
        </is>
      </c>
      <c r="B2480" s="4" t="inlineStr">
        <is>
          <t>Inputs (1)</t>
        </is>
      </c>
      <c r="C2480" s="4" t="inlineStr">
        <is>
          <t>J18</t>
        </is>
      </c>
      <c r="D2480" s="4" t="inlineStr">
        <is>
          <t>Drives capex. Cap on rollout in the unit-costing model is 3 new builds a year.</t>
        </is>
      </c>
      <c r="E2480" s="4" t="inlineStr">
        <is>
          <t>Drives capex. Cap on rollout in the unit-costing model is 3 new builds a year.</t>
        </is>
      </c>
      <c r="F2480" s="4" t="inlineStr">
        <is>
          <t>GOC Bed Unit-Costing Model v2 — working original.xlsx</t>
        </is>
      </c>
    </row>
    <row r="2481" ht="40" customHeight="1">
      <c r="A2481" s="4" t="inlineStr">
        <is>
          <t>original:Inputs (1)!A19</t>
        </is>
      </c>
      <c r="B2481" s="4" t="inlineStr">
        <is>
          <t>Inputs (1)</t>
        </is>
      </c>
      <c r="C2481" s="4" t="inlineStr">
        <is>
          <t>A19</t>
        </is>
      </c>
      <c r="D2481" s="4" t="inlineStr">
        <is>
          <t>TOTAL OVERHEAD AND ADMIN</t>
        </is>
      </c>
      <c r="E2481" s="4" t="inlineStr">
        <is>
          <t>TOTAL OVERHEAD AND ADMIN</t>
        </is>
      </c>
      <c r="F2481" s="4" t="inlineStr">
        <is>
          <t>GOC Bed Unit-Costing Model v2 — working original.xlsx</t>
        </is>
      </c>
    </row>
    <row r="2482" ht="40" customHeight="1">
      <c r="A2482" s="4" t="inlineStr">
        <is>
          <t>original:Inputs (1)!B19</t>
        </is>
      </c>
      <c r="B2482" s="4" t="inlineStr">
        <is>
          <t>Inputs (1)</t>
        </is>
      </c>
      <c r="C2482" s="4" t="inlineStr">
        <is>
          <t>B19</t>
        </is>
      </c>
      <c r="D2482" s="4" t="inlineStr">
        <is>
          <t>=SUM(B12:B18)</t>
        </is>
      </c>
      <c r="E2482" s="4" t="n">
        <v>340200</v>
      </c>
      <c r="F2482" s="4" t="inlineStr">
        <is>
          <t>GOC Bed Unit-Costing Model v2 — working original.xlsx</t>
        </is>
      </c>
    </row>
    <row r="2483" ht="40" customHeight="1">
      <c r="A2483" s="4" t="inlineStr">
        <is>
          <t>original:Inputs (1)!F19</t>
        </is>
      </c>
      <c r="B2483" s="4" t="inlineStr">
        <is>
          <t>Inputs (1)</t>
        </is>
      </c>
      <c r="C2483" s="4" t="inlineStr">
        <is>
          <t>F19</t>
        </is>
      </c>
      <c r="D2483" s="4" t="inlineStr">
        <is>
          <t>No. Youth Emp. Programs</t>
        </is>
      </c>
      <c r="E2483" s="4" t="inlineStr">
        <is>
          <t>No. Youth Emp. Programs</t>
        </is>
      </c>
      <c r="F2483" s="4" t="inlineStr">
        <is>
          <t>GOC Bed Unit-Costing Model v2 — working original.xlsx</t>
        </is>
      </c>
    </row>
    <row r="2484" ht="40" customHeight="1">
      <c r="A2484" s="4" t="inlineStr">
        <is>
          <t>original:Inputs (1)!G19</t>
        </is>
      </c>
      <c r="B2484" s="4" t="inlineStr">
        <is>
          <t>Inputs (1)</t>
        </is>
      </c>
      <c r="C2484" s="4" t="inlineStr">
        <is>
          <t>G19</t>
        </is>
      </c>
      <c r="D2484" s="4" t="n">
        <v>0</v>
      </c>
      <c r="E2484" s="4" t="n">
        <v>0</v>
      </c>
      <c r="F2484" s="4" t="inlineStr">
        <is>
          <t>GOC Bed Unit-Costing Model v2 — working original.xlsx</t>
        </is>
      </c>
    </row>
    <row r="2485" ht="40" customHeight="1">
      <c r="A2485" s="4" t="inlineStr">
        <is>
          <t>original:Inputs (1)!H19</t>
        </is>
      </c>
      <c r="B2485" s="4" t="inlineStr">
        <is>
          <t>Inputs (1)</t>
        </is>
      </c>
      <c r="C2485" s="4" t="inlineStr">
        <is>
          <t>H19</t>
        </is>
      </c>
      <c r="D2485" s="4" t="n">
        <v>0</v>
      </c>
      <c r="E2485" s="4" t="n">
        <v>0</v>
      </c>
      <c r="F2485" s="4" t="inlineStr">
        <is>
          <t>GOC Bed Unit-Costing Model v2 — working original.xlsx</t>
        </is>
      </c>
    </row>
    <row r="2486" ht="40" customHeight="1">
      <c r="A2486" s="4" t="inlineStr">
        <is>
          <t>original:Inputs (1)!I19</t>
        </is>
      </c>
      <c r="B2486" s="4" t="inlineStr">
        <is>
          <t>Inputs (1)</t>
        </is>
      </c>
      <c r="C2486" s="4" t="inlineStr">
        <is>
          <t>I19</t>
        </is>
      </c>
      <c r="D2486" s="4" t="n">
        <v>0</v>
      </c>
      <c r="E2486" s="4" t="n">
        <v>0</v>
      </c>
      <c r="F2486" s="4" t="inlineStr">
        <is>
          <t>GOC Bed Unit-Costing Model v2 — working original.xlsx</t>
        </is>
      </c>
    </row>
    <row r="2487" ht="40" customHeight="1">
      <c r="A2487" s="4" t="inlineStr">
        <is>
          <t>original:Inputs (1)!J19</t>
        </is>
      </c>
      <c r="B2487" s="4" t="inlineStr">
        <is>
          <t>Inputs (1)</t>
        </is>
      </c>
      <c r="C2487" s="4" t="inlineStr">
        <is>
          <t>J19</t>
        </is>
      </c>
      <c r="D2487" s="4" t="inlineStr">
        <is>
          <t>TO CONFIRM, as above.</t>
        </is>
      </c>
      <c r="E2487" s="4" t="inlineStr">
        <is>
          <t>TO CONFIRM, as above.</t>
        </is>
      </c>
      <c r="F2487" s="4" t="inlineStr">
        <is>
          <t>GOC Bed Unit-Costing Model v2 — working original.xlsx</t>
        </is>
      </c>
    </row>
    <row r="2488" ht="40" customHeight="1">
      <c r="A2488" s="4" t="inlineStr">
        <is>
          <t>original:Inputs (1)!A21</t>
        </is>
      </c>
      <c r="B2488" s="4" t="inlineStr">
        <is>
          <t>Inputs (1)</t>
        </is>
      </c>
      <c r="C2488" s="4" t="inlineStr">
        <is>
          <t>A21</t>
        </is>
      </c>
      <c r="D2488" s="4" t="inlineStr">
        <is>
          <t>PRODUCTION COSTS</t>
        </is>
      </c>
      <c r="E2488" s="4" t="inlineStr">
        <is>
          <t>PRODUCTION COSTS</t>
        </is>
      </c>
      <c r="F2488" s="4" t="inlineStr">
        <is>
          <t>GOC Bed Unit-Costing Model v2 — working original.xlsx</t>
        </is>
      </c>
    </row>
    <row r="2489" ht="40" customHeight="1">
      <c r="A2489" s="4" t="inlineStr">
        <is>
          <t>original:Inputs (1)!D21</t>
        </is>
      </c>
      <c r="B2489" s="4" t="inlineStr">
        <is>
          <t>Inputs (1)</t>
        </is>
      </c>
      <c r="C2489" s="4" t="inlineStr">
        <is>
          <t>D21</t>
        </is>
      </c>
      <c r="D2489" s="4" t="inlineStr">
        <is>
          <t>Notes</t>
        </is>
      </c>
      <c r="E2489" s="4" t="inlineStr">
        <is>
          <t>Notes</t>
        </is>
      </c>
      <c r="F2489" s="4" t="inlineStr">
        <is>
          <t>GOC Bed Unit-Costing Model v2 — working original.xlsx</t>
        </is>
      </c>
    </row>
    <row r="2490" ht="40" customHeight="1">
      <c r="A2490" s="4" t="inlineStr">
        <is>
          <t>original:Inputs (1)!F21</t>
        </is>
      </c>
      <c r="B2490" s="4" t="inlineStr">
        <is>
          <t>Inputs (1)</t>
        </is>
      </c>
      <c r="C2490" s="4" t="inlineStr">
        <is>
          <t>F21</t>
        </is>
      </c>
      <c r="D2490" s="4" t="inlineStr">
        <is>
          <t>GRANT INCOME (TIED)</t>
        </is>
      </c>
      <c r="E2490" s="4" t="inlineStr">
        <is>
          <t>GRANT INCOME (TIED)</t>
        </is>
      </c>
      <c r="F2490" s="4" t="inlineStr">
        <is>
          <t>GOC Bed Unit-Costing Model v2 — working original.xlsx</t>
        </is>
      </c>
    </row>
    <row r="2491" ht="40" customHeight="1">
      <c r="A2491" s="4" t="inlineStr">
        <is>
          <t>original:Inputs (1)!J21</t>
        </is>
      </c>
      <c r="B2491" s="4" t="inlineStr">
        <is>
          <t>Inputs (1)</t>
        </is>
      </c>
      <c r="C2491" s="4" t="inlineStr">
        <is>
          <t>J21</t>
        </is>
      </c>
      <c r="D2491" s="4" t="inlineStr">
        <is>
          <t>Notes</t>
        </is>
      </c>
      <c r="E2491" s="4" t="inlineStr">
        <is>
          <t>Notes</t>
        </is>
      </c>
      <c r="F2491" s="4" t="inlineStr">
        <is>
          <t>GOC Bed Unit-Costing Model v2 — working original.xlsx</t>
        </is>
      </c>
    </row>
    <row r="2492" ht="40" customHeight="1">
      <c r="A2492" s="4" t="inlineStr">
        <is>
          <t>original:Inputs (1)!A22</t>
        </is>
      </c>
      <c r="B2492" s="4" t="inlineStr">
        <is>
          <t>Inputs (1)</t>
        </is>
      </c>
      <c r="C2492" s="4" t="inlineStr">
        <is>
          <t>A22</t>
        </is>
      </c>
      <c r="D2492" s="4" t="inlineStr">
        <is>
          <t>Materials</t>
        </is>
      </c>
      <c r="E2492" s="4" t="inlineStr">
        <is>
          <t>Materials</t>
        </is>
      </c>
      <c r="F2492" s="4" t="inlineStr">
        <is>
          <t>GOC Bed Unit-Costing Model v2 — working original.xlsx</t>
        </is>
      </c>
    </row>
    <row r="2493" ht="40" customHeight="1">
      <c r="A2493" s="4" t="inlineStr">
        <is>
          <t>original:Inputs (1)!B22</t>
        </is>
      </c>
      <c r="B2493" s="4" t="inlineStr">
        <is>
          <t>Inputs (1)</t>
        </is>
      </c>
      <c r="C2493" s="4" t="inlineStr">
        <is>
          <t>B22</t>
        </is>
      </c>
      <c r="D2493" s="4" t="inlineStr">
        <is>
          <t>(Factory)</t>
        </is>
      </c>
      <c r="E2493" s="4" t="inlineStr">
        <is>
          <t>(Factory)</t>
        </is>
      </c>
      <c r="F2493" s="4" t="inlineStr">
        <is>
          <t>GOC Bed Unit-Costing Model v2 — working original.xlsx</t>
        </is>
      </c>
    </row>
    <row r="2494" ht="40" customHeight="1">
      <c r="A2494" s="4" t="inlineStr">
        <is>
          <t>original:Inputs (1)!C22</t>
        </is>
      </c>
      <c r="B2494" s="4" t="inlineStr">
        <is>
          <t>Inputs (1)</t>
        </is>
      </c>
      <c r="C2494" s="4" t="inlineStr">
        <is>
          <t>C22</t>
        </is>
      </c>
      <c r="D2494" s="4" t="inlineStr">
        <is>
          <t>(Community)</t>
        </is>
      </c>
      <c r="E2494" s="4" t="inlineStr">
        <is>
          <t>(Community)</t>
        </is>
      </c>
      <c r="F2494" s="4" t="inlineStr">
        <is>
          <t>GOC Bed Unit-Costing Model v2 — working original.xlsx</t>
        </is>
      </c>
    </row>
    <row r="2495" ht="40" customHeight="1">
      <c r="A2495" s="4" t="inlineStr">
        <is>
          <t>original:Inputs (1)!F22</t>
        </is>
      </c>
      <c r="B2495" s="4" t="inlineStr">
        <is>
          <t>Inputs (1)</t>
        </is>
      </c>
      <c r="C2495" s="4" t="inlineStr">
        <is>
          <t>F22</t>
        </is>
      </c>
      <c r="D2495" s="4" t="inlineStr">
        <is>
          <t>Program 1</t>
        </is>
      </c>
      <c r="E2495" s="4" t="inlineStr">
        <is>
          <t>Program 1</t>
        </is>
      </c>
      <c r="F2495" s="4" t="inlineStr">
        <is>
          <t>GOC Bed Unit-Costing Model v2 — working original.xlsx</t>
        </is>
      </c>
    </row>
    <row r="2496" ht="40" customHeight="1">
      <c r="A2496" s="4" t="inlineStr">
        <is>
          <t>original:Inputs (1)!G22</t>
        </is>
      </c>
      <c r="B2496" s="4" t="inlineStr">
        <is>
          <t>Inputs (1)</t>
        </is>
      </c>
      <c r="C2496" s="4" t="inlineStr">
        <is>
          <t>G22</t>
        </is>
      </c>
      <c r="D2496" s="4" t="n">
        <v>0</v>
      </c>
      <c r="E2496" s="4" t="n">
        <v>0</v>
      </c>
      <c r="F2496" s="4" t="inlineStr">
        <is>
          <t>GOC Bed Unit-Costing Model v2 — working original.xlsx</t>
        </is>
      </c>
    </row>
    <row r="2497" ht="40" customHeight="1">
      <c r="A2497" s="4" t="inlineStr">
        <is>
          <t>original:Inputs (1)!H22</t>
        </is>
      </c>
      <c r="B2497" s="4" t="inlineStr">
        <is>
          <t>Inputs (1)</t>
        </is>
      </c>
      <c r="C2497" s="4" t="inlineStr">
        <is>
          <t>H22</t>
        </is>
      </c>
      <c r="D2497" s="4" t="n">
        <v>0</v>
      </c>
      <c r="E2497" s="4" t="n">
        <v>0</v>
      </c>
      <c r="F2497" s="4" t="inlineStr">
        <is>
          <t>GOC Bed Unit-Costing Model v2 — working original.xlsx</t>
        </is>
      </c>
    </row>
    <row r="2498" ht="40" customHeight="1">
      <c r="A2498" s="4" t="inlineStr">
        <is>
          <t>original:Inputs (1)!I22</t>
        </is>
      </c>
      <c r="B2498" s="4" t="inlineStr">
        <is>
          <t>Inputs (1)</t>
        </is>
      </c>
      <c r="C2498" s="4" t="inlineStr">
        <is>
          <t>I22</t>
        </is>
      </c>
      <c r="D2498" s="4" t="n">
        <v>0</v>
      </c>
      <c r="E2498" s="4" t="n">
        <v>0</v>
      </c>
      <c r="F2498" s="4" t="inlineStr">
        <is>
          <t>GOC Bed Unit-Costing Model v2 — working original.xlsx</t>
        </is>
      </c>
    </row>
    <row r="2499" ht="120" customHeight="1">
      <c r="A2499" s="4" t="inlineStr">
        <is>
          <t>original:Inputs (1)!J22</t>
        </is>
      </c>
      <c r="B2499" s="4" t="inlineStr">
        <is>
          <t>Inputs (1)</t>
        </is>
      </c>
      <c r="C2499" s="4" t="inlineStr">
        <is>
          <t>J22</t>
        </is>
      </c>
      <c r="D2499" s="4" t="inlineStr">
        <is>
          <t>TO CONFIRM. Candidate: REAL Innovation Fund (NT), EOI lodged 2 March 2026, $150,000 to Goods to supply the facility plus $50,000/yr support. Not awarded, so entered at nil.</t>
        </is>
      </c>
      <c r="E2499" s="4" t="inlineStr">
        <is>
          <t>TO CONFIRM. Candidate: REAL Innovation Fund (NT), EOI lodged 2 March 2026, $150,000 to Goods to supply the facility plus $50,000/yr support. Not awarded, so entered at nil.</t>
        </is>
      </c>
      <c r="F2499" s="4" t="inlineStr">
        <is>
          <t>GOC Bed Unit-Costing Model v2 — working original.xlsx</t>
        </is>
      </c>
    </row>
    <row r="2500" ht="40" customHeight="1">
      <c r="A2500" s="4" t="inlineStr">
        <is>
          <t>original:Inputs (1)!A23</t>
        </is>
      </c>
      <c r="B2500" s="4" t="inlineStr">
        <is>
          <t>Inputs (1)</t>
        </is>
      </c>
      <c r="C2500" s="4" t="inlineStr">
        <is>
          <t>A23</t>
        </is>
      </c>
      <c r="D2500" s="4" t="inlineStr">
        <is>
          <t>Beds&gt;</t>
        </is>
      </c>
      <c r="E2500" s="4" t="inlineStr">
        <is>
          <t>Beds&gt;</t>
        </is>
      </c>
      <c r="F2500" s="4" t="inlineStr">
        <is>
          <t>GOC Bed Unit-Costing Model v2 — working original.xlsx</t>
        </is>
      </c>
    </row>
    <row r="2501" ht="40" customHeight="1">
      <c r="A2501" s="4" t="inlineStr">
        <is>
          <t>original:Inputs (1)!B23</t>
        </is>
      </c>
      <c r="B2501" s="4" t="inlineStr">
        <is>
          <t>Inputs (1)</t>
        </is>
      </c>
      <c r="C2501" s="4" t="inlineStr">
        <is>
          <t>B23</t>
        </is>
      </c>
      <c r="D2501" s="4" t="inlineStr">
        <is>
          <t>=55+27+93.5+5.24</t>
        </is>
      </c>
      <c r="E2501" s="4" t="n">
        <v>180.74</v>
      </c>
      <c r="F2501" s="4" t="inlineStr">
        <is>
          <t>GOC Bed Unit-Costing Model v2 — working original.xlsx</t>
        </is>
      </c>
    </row>
    <row r="2502" ht="40" customHeight="1">
      <c r="A2502" s="4" t="inlineStr">
        <is>
          <t>original:Inputs (1)!C23</t>
        </is>
      </c>
      <c r="B2502" s="4" t="inlineStr">
        <is>
          <t>Inputs (1)</t>
        </is>
      </c>
      <c r="C2502" s="4" t="inlineStr">
        <is>
          <t>C23</t>
        </is>
      </c>
      <c r="D2502" s="4" t="inlineStr">
        <is>
          <t>=27+93.5+5.24</t>
        </is>
      </c>
      <c r="E2502" s="4" t="n">
        <v>125.74</v>
      </c>
      <c r="F2502" s="4" t="inlineStr">
        <is>
          <t>GOC Bed Unit-Costing Model v2 — working original.xlsx</t>
        </is>
      </c>
    </row>
    <row r="2503" ht="165" customHeight="1">
      <c r="A2503" s="4" t="inlineStr">
        <is>
          <t>original:Inputs (1)!D23</t>
        </is>
      </c>
      <c r="B2503" s="4" t="inlineStr">
        <is>
          <t>Inputs (1)</t>
        </is>
      </c>
      <c r="C2503" s="4" t="inlineStr">
        <is>
          <t>D23</t>
        </is>
      </c>
      <c r="D2503" s="4" t="inlineStr">
        <is>
          <t>Factory: raw HDPE shred 20kg @ $2.75/kg delivered $55 + steel poles $27 + canvas $93.50 + hardware $5.24. Community: free community-collected feedstock, so no plastic cost. All verified except bolts (01-bill-of-materials, 02-supplier-quotes).</t>
        </is>
      </c>
      <c r="E2503" s="4" t="inlineStr">
        <is>
          <t>Factory: raw HDPE shred 20kg @ $2.75/kg delivered $55 + steel poles $27 + canvas $93.50 + hardware $5.24. Community: free community-collected feedstock, so no plastic cost. All verified except bolts (01-bill-of-materials, 02-supplier-quotes).</t>
        </is>
      </c>
      <c r="F2503" s="4" t="inlineStr">
        <is>
          <t>GOC Bed Unit-Costing Model v2 — working original.xlsx</t>
        </is>
      </c>
    </row>
    <row r="2504" ht="40" customHeight="1">
      <c r="A2504" s="4" t="inlineStr">
        <is>
          <t>original:Inputs (1)!F23</t>
        </is>
      </c>
      <c r="B2504" s="4" t="inlineStr">
        <is>
          <t>Inputs (1)</t>
        </is>
      </c>
      <c r="C2504" s="4" t="inlineStr">
        <is>
          <t>F23</t>
        </is>
      </c>
      <c r="D2504" s="4" t="inlineStr">
        <is>
          <t xml:space="preserve">   of which beds funded</t>
        </is>
      </c>
      <c r="E2504" s="4" t="inlineStr">
        <is>
          <t xml:space="preserve">   of which beds funded</t>
        </is>
      </c>
      <c r="F2504" s="4" t="inlineStr">
        <is>
          <t>GOC Bed Unit-Costing Model v2 — working original.xlsx</t>
        </is>
      </c>
    </row>
    <row r="2505" ht="40" customHeight="1">
      <c r="A2505" s="4" t="inlineStr">
        <is>
          <t>original:Inputs (1)!G23</t>
        </is>
      </c>
      <c r="B2505" s="4" t="inlineStr">
        <is>
          <t>Inputs (1)</t>
        </is>
      </c>
      <c r="C2505" s="4" t="inlineStr">
        <is>
          <t>G23</t>
        </is>
      </c>
      <c r="D2505" s="4" t="n">
        <v>0</v>
      </c>
      <c r="E2505" s="4" t="n">
        <v>0</v>
      </c>
      <c r="F2505" s="4" t="inlineStr">
        <is>
          <t>GOC Bed Unit-Costing Model v2 — working original.xlsx</t>
        </is>
      </c>
    </row>
    <row r="2506" ht="40" customHeight="1">
      <c r="A2506" s="4" t="inlineStr">
        <is>
          <t>original:Inputs (1)!H23</t>
        </is>
      </c>
      <c r="B2506" s="4" t="inlineStr">
        <is>
          <t>Inputs (1)</t>
        </is>
      </c>
      <c r="C2506" s="4" t="inlineStr">
        <is>
          <t>H23</t>
        </is>
      </c>
      <c r="D2506" s="4" t="n">
        <v>0</v>
      </c>
      <c r="E2506" s="4" t="n">
        <v>0</v>
      </c>
      <c r="F2506" s="4" t="inlineStr">
        <is>
          <t>GOC Bed Unit-Costing Model v2 — working original.xlsx</t>
        </is>
      </c>
    </row>
    <row r="2507" ht="40" customHeight="1">
      <c r="A2507" s="4" t="inlineStr">
        <is>
          <t>original:Inputs (1)!I23</t>
        </is>
      </c>
      <c r="B2507" s="4" t="inlineStr">
        <is>
          <t>Inputs (1)</t>
        </is>
      </c>
      <c r="C2507" s="4" t="inlineStr">
        <is>
          <t>I23</t>
        </is>
      </c>
      <c r="D2507" s="4" t="n">
        <v>0</v>
      </c>
      <c r="E2507" s="4" t="n">
        <v>0</v>
      </c>
      <c r="F2507" s="4" t="inlineStr">
        <is>
          <t>GOC Bed Unit-Costing Model v2 — working original.xlsx</t>
        </is>
      </c>
    </row>
    <row r="2508" ht="40" customHeight="1">
      <c r="A2508" s="4" t="inlineStr">
        <is>
          <t>original:Inputs (1)!F24</t>
        </is>
      </c>
      <c r="B2508" s="4" t="inlineStr">
        <is>
          <t>Inputs (1)</t>
        </is>
      </c>
      <c r="C2508" s="4" t="inlineStr">
        <is>
          <t>F24</t>
        </is>
      </c>
      <c r="D2508" s="4" t="inlineStr">
        <is>
          <t>Program 2</t>
        </is>
      </c>
      <c r="E2508" s="4" t="inlineStr">
        <is>
          <t>Program 2</t>
        </is>
      </c>
      <c r="F2508" s="4" t="inlineStr">
        <is>
          <t>GOC Bed Unit-Costing Model v2 — working original.xlsx</t>
        </is>
      </c>
    </row>
    <row r="2509" ht="40" customHeight="1">
      <c r="A2509" s="4" t="inlineStr">
        <is>
          <t>original:Inputs (1)!G24</t>
        </is>
      </c>
      <c r="B2509" s="4" t="inlineStr">
        <is>
          <t>Inputs (1)</t>
        </is>
      </c>
      <c r="C2509" s="4" t="inlineStr">
        <is>
          <t>G24</t>
        </is>
      </c>
      <c r="D2509" s="4" t="n">
        <v>0</v>
      </c>
      <c r="E2509" s="4" t="n">
        <v>0</v>
      </c>
      <c r="F2509" s="4" t="inlineStr">
        <is>
          <t>GOC Bed Unit-Costing Model v2 — working original.xlsx</t>
        </is>
      </c>
    </row>
    <row r="2510" ht="40" customHeight="1">
      <c r="A2510" s="4" t="inlineStr">
        <is>
          <t>original:Inputs (1)!H24</t>
        </is>
      </c>
      <c r="B2510" s="4" t="inlineStr">
        <is>
          <t>Inputs (1)</t>
        </is>
      </c>
      <c r="C2510" s="4" t="inlineStr">
        <is>
          <t>H24</t>
        </is>
      </c>
      <c r="D2510" s="4" t="n">
        <v>0</v>
      </c>
      <c r="E2510" s="4" t="n">
        <v>0</v>
      </c>
      <c r="F2510" s="4" t="inlineStr">
        <is>
          <t>GOC Bed Unit-Costing Model v2 — working original.xlsx</t>
        </is>
      </c>
    </row>
    <row r="2511" ht="40" customHeight="1">
      <c r="A2511" s="4" t="inlineStr">
        <is>
          <t>original:Inputs (1)!I24</t>
        </is>
      </c>
      <c r="B2511" s="4" t="inlineStr">
        <is>
          <t>Inputs (1)</t>
        </is>
      </c>
      <c r="C2511" s="4" t="inlineStr">
        <is>
          <t>I24</t>
        </is>
      </c>
      <c r="D2511" s="4" t="n">
        <v>0</v>
      </c>
      <c r="E2511" s="4" t="n">
        <v>0</v>
      </c>
      <c r="F2511" s="4" t="inlineStr">
        <is>
          <t>GOC Bed Unit-Costing Model v2 — working original.xlsx</t>
        </is>
      </c>
    </row>
    <row r="2512" ht="105" customHeight="1">
      <c r="A2512" s="4" t="inlineStr">
        <is>
          <t>original:Inputs (1)!J24</t>
        </is>
      </c>
      <c r="B2512" s="4" t="inlineStr">
        <is>
          <t>Inputs (1)</t>
        </is>
      </c>
      <c r="C2512" s="4" t="inlineStr">
        <is>
          <t>J24</t>
        </is>
      </c>
      <c r="D2512" s="4" t="inlineStr">
        <is>
          <t>TO CONFIRM. Candidate: DEWR machinery + trainer/WHS line, $63,333/site/yr, which Known Other Costs A48 flags as revenue to Goods that no model currently shows.</t>
        </is>
      </c>
      <c r="E2512" s="4" t="inlineStr">
        <is>
          <t>TO CONFIRM. Candidate: DEWR machinery + trainer/WHS line, $63,333/site/yr, which Known Other Costs A48 flags as revenue to Goods that no model currently shows.</t>
        </is>
      </c>
      <c r="F2512" s="4" t="inlineStr">
        <is>
          <t>GOC Bed Unit-Costing Model v2 — working original.xlsx</t>
        </is>
      </c>
    </row>
    <row r="2513" ht="40" customHeight="1">
      <c r="A2513" s="4" t="inlineStr">
        <is>
          <t>original:Inputs (1)!A25</t>
        </is>
      </c>
      <c r="B2513" s="4" t="inlineStr">
        <is>
          <t>Inputs (1)</t>
        </is>
      </c>
      <c r="C2513" s="4" t="inlineStr">
        <is>
          <t>A25</t>
        </is>
      </c>
      <c r="D2513" s="4" t="inlineStr">
        <is>
          <t>Production Unit Costs</t>
        </is>
      </c>
      <c r="E2513" s="4" t="inlineStr">
        <is>
          <t>Production Unit Costs</t>
        </is>
      </c>
      <c r="F2513" s="4" t="inlineStr">
        <is>
          <t>GOC Bed Unit-Costing Model v2 — working original.xlsx</t>
        </is>
      </c>
    </row>
    <row r="2514" ht="40" customHeight="1">
      <c r="A2514" s="4" t="inlineStr">
        <is>
          <t>original:Inputs (1)!B25</t>
        </is>
      </c>
      <c r="B2514" s="4" t="inlineStr">
        <is>
          <t>Inputs (1)</t>
        </is>
      </c>
      <c r="C2514" s="4" t="inlineStr">
        <is>
          <t>B25</t>
        </is>
      </c>
      <c r="D2514" s="4" t="inlineStr">
        <is>
          <t>(Factory)</t>
        </is>
      </c>
      <c r="E2514" s="4" t="inlineStr">
        <is>
          <t>(Factory)</t>
        </is>
      </c>
      <c r="F2514" s="4" t="inlineStr">
        <is>
          <t>GOC Bed Unit-Costing Model v2 — working original.xlsx</t>
        </is>
      </c>
    </row>
    <row r="2515" ht="40" customHeight="1">
      <c r="A2515" s="4" t="inlineStr">
        <is>
          <t>original:Inputs (1)!C25</t>
        </is>
      </c>
      <c r="B2515" s="4" t="inlineStr">
        <is>
          <t>Inputs (1)</t>
        </is>
      </c>
      <c r="C2515" s="4" t="inlineStr">
        <is>
          <t>C25</t>
        </is>
      </c>
      <c r="D2515" s="4" t="inlineStr">
        <is>
          <t>(Community)</t>
        </is>
      </c>
      <c r="E2515" s="4" t="inlineStr">
        <is>
          <t>(Community)</t>
        </is>
      </c>
      <c r="F2515" s="4" t="inlineStr">
        <is>
          <t>GOC Bed Unit-Costing Model v2 — working original.xlsx</t>
        </is>
      </c>
    </row>
    <row r="2516" ht="40" customHeight="1">
      <c r="A2516" s="4" t="inlineStr">
        <is>
          <t>original:Inputs (1)!F25</t>
        </is>
      </c>
      <c r="B2516" s="4" t="inlineStr">
        <is>
          <t>Inputs (1)</t>
        </is>
      </c>
      <c r="C2516" s="4" t="inlineStr">
        <is>
          <t>F25</t>
        </is>
      </c>
      <c r="D2516" s="4" t="inlineStr">
        <is>
          <t xml:space="preserve">   of which beds funded</t>
        </is>
      </c>
      <c r="E2516" s="4" t="inlineStr">
        <is>
          <t xml:space="preserve">   of which beds funded</t>
        </is>
      </c>
      <c r="F2516" s="4" t="inlineStr">
        <is>
          <t>GOC Bed Unit-Costing Model v2 — working original.xlsx</t>
        </is>
      </c>
    </row>
    <row r="2517" ht="40" customHeight="1">
      <c r="A2517" s="4" t="inlineStr">
        <is>
          <t>original:Inputs (1)!G25</t>
        </is>
      </c>
      <c r="B2517" s="4" t="inlineStr">
        <is>
          <t>Inputs (1)</t>
        </is>
      </c>
      <c r="C2517" s="4" t="inlineStr">
        <is>
          <t>G25</t>
        </is>
      </c>
      <c r="D2517" s="4" t="n">
        <v>0</v>
      </c>
      <c r="E2517" s="4" t="n">
        <v>0</v>
      </c>
      <c r="F2517" s="4" t="inlineStr">
        <is>
          <t>GOC Bed Unit-Costing Model v2 — working original.xlsx</t>
        </is>
      </c>
    </row>
    <row r="2518" ht="40" customHeight="1">
      <c r="A2518" s="4" t="inlineStr">
        <is>
          <t>original:Inputs (1)!H25</t>
        </is>
      </c>
      <c r="B2518" s="4" t="inlineStr">
        <is>
          <t>Inputs (1)</t>
        </is>
      </c>
      <c r="C2518" s="4" t="inlineStr">
        <is>
          <t>H25</t>
        </is>
      </c>
      <c r="D2518" s="4" t="n">
        <v>0</v>
      </c>
      <c r="E2518" s="4" t="n">
        <v>0</v>
      </c>
      <c r="F2518" s="4" t="inlineStr">
        <is>
          <t>GOC Bed Unit-Costing Model v2 — working original.xlsx</t>
        </is>
      </c>
    </row>
    <row r="2519" ht="40" customHeight="1">
      <c r="A2519" s="4" t="inlineStr">
        <is>
          <t>original:Inputs (1)!I25</t>
        </is>
      </c>
      <c r="B2519" s="4" t="inlineStr">
        <is>
          <t>Inputs (1)</t>
        </is>
      </c>
      <c r="C2519" s="4" t="inlineStr">
        <is>
          <t>I25</t>
        </is>
      </c>
      <c r="D2519" s="4" t="n">
        <v>0</v>
      </c>
      <c r="E2519" s="4" t="n">
        <v>0</v>
      </c>
      <c r="F2519" s="4" t="inlineStr">
        <is>
          <t>GOC Bed Unit-Costing Model v2 — working original.xlsx</t>
        </is>
      </c>
    </row>
    <row r="2520" ht="40" customHeight="1">
      <c r="A2520" s="4" t="inlineStr">
        <is>
          <t>original:Inputs (1)!A26</t>
        </is>
      </c>
      <c r="B2520" s="4" t="inlineStr">
        <is>
          <t>Inputs (1)</t>
        </is>
      </c>
      <c r="C2520" s="4" t="inlineStr">
        <is>
          <t>A26</t>
        </is>
      </c>
      <c r="D2520" s="4" t="inlineStr">
        <is>
          <t>Power</t>
        </is>
      </c>
      <c r="E2520" s="4" t="inlineStr">
        <is>
          <t>Power</t>
        </is>
      </c>
      <c r="F2520" s="4" t="inlineStr">
        <is>
          <t>GOC Bed Unit-Costing Model v2 — working original.xlsx</t>
        </is>
      </c>
    </row>
    <row r="2521" ht="40" customHeight="1">
      <c r="A2521" s="4" t="inlineStr">
        <is>
          <t>original:Inputs (1)!B26</t>
        </is>
      </c>
      <c r="B2521" s="4" t="inlineStr">
        <is>
          <t>Inputs (1)</t>
        </is>
      </c>
      <c r="C2521" s="4" t="inlineStr">
        <is>
          <t>B26</t>
        </is>
      </c>
      <c r="D2521" s="4" t="n">
        <v>15</v>
      </c>
      <c r="E2521" s="4" t="n">
        <v>15</v>
      </c>
      <c r="F2521" s="4" t="inlineStr">
        <is>
          <t>GOC Bed Unit-Costing Model v2 — working original.xlsx</t>
        </is>
      </c>
    </row>
    <row r="2522" ht="40" customHeight="1">
      <c r="A2522" s="4" t="inlineStr">
        <is>
          <t>original:Inputs (1)!C26</t>
        </is>
      </c>
      <c r="B2522" s="4" t="inlineStr">
        <is>
          <t>Inputs (1)</t>
        </is>
      </c>
      <c r="C2522" s="4" t="inlineStr">
        <is>
          <t>C26</t>
        </is>
      </c>
      <c r="D2522" s="4" t="n">
        <v>15</v>
      </c>
      <c r="E2522" s="4" t="n">
        <v>15</v>
      </c>
      <c r="F2522" s="4" t="inlineStr">
        <is>
          <t>GOC Bed Unit-Costing Model v2 — working original.xlsx</t>
        </is>
      </c>
    </row>
    <row r="2523" ht="135" customHeight="1">
      <c r="A2523" s="4" t="inlineStr">
        <is>
          <t>original:Inputs (1)!D26</t>
        </is>
      </c>
      <c r="B2523" s="4" t="inlineStr">
        <is>
          <t>Inputs (1)</t>
        </is>
      </c>
      <c r="C2523" s="4" t="inlineStr">
        <is>
          <t>D26</t>
        </is>
      </c>
      <c r="D2523" s="4" t="inlineStr">
        <is>
          <t>Electricity in the factory, diesel in the community. TO CONFIRM on the factory side: the $15 is the diesel calc (25L/day / 5 beds, 03-cost-model §D) carried across to grid electricity. No kWh source exists.</t>
        </is>
      </c>
      <c r="E2523" s="4" t="inlineStr">
        <is>
          <t>Electricity in the factory, diesel in the community. TO CONFIRM on the factory side: the $15 is the diesel calc (25L/day / 5 beds, 03-cost-model §D) carried across to grid electricity. No kWh source exists.</t>
        </is>
      </c>
      <c r="F2523" s="4" t="inlineStr">
        <is>
          <t>GOC Bed Unit-Costing Model v2 — working original.xlsx</t>
        </is>
      </c>
    </row>
    <row r="2524" ht="40" customHeight="1">
      <c r="A2524" s="4" t="inlineStr">
        <is>
          <t>original:Inputs (1)!F26</t>
        </is>
      </c>
      <c r="B2524" s="4" t="inlineStr">
        <is>
          <t>Inputs (1)</t>
        </is>
      </c>
      <c r="C2524" s="4" t="inlineStr">
        <is>
          <t>F26</t>
        </is>
      </c>
      <c r="D2524" s="4" t="inlineStr">
        <is>
          <t>Program 3</t>
        </is>
      </c>
      <c r="E2524" s="4" t="inlineStr">
        <is>
          <t>Program 3</t>
        </is>
      </c>
      <c r="F2524" s="4" t="inlineStr">
        <is>
          <t>GOC Bed Unit-Costing Model v2 — working original.xlsx</t>
        </is>
      </c>
    </row>
    <row r="2525" ht="40" customHeight="1">
      <c r="A2525" s="4" t="inlineStr">
        <is>
          <t>original:Inputs (1)!G26</t>
        </is>
      </c>
      <c r="B2525" s="4" t="inlineStr">
        <is>
          <t>Inputs (1)</t>
        </is>
      </c>
      <c r="C2525" s="4" t="inlineStr">
        <is>
          <t>G26</t>
        </is>
      </c>
      <c r="D2525" s="4" t="n">
        <v>0</v>
      </c>
      <c r="E2525" s="4" t="n">
        <v>0</v>
      </c>
      <c r="F2525" s="4" t="inlineStr">
        <is>
          <t>GOC Bed Unit-Costing Model v2 — working original.xlsx</t>
        </is>
      </c>
    </row>
    <row r="2526" ht="40" customHeight="1">
      <c r="A2526" s="4" t="inlineStr">
        <is>
          <t>original:Inputs (1)!H26</t>
        </is>
      </c>
      <c r="B2526" s="4" t="inlineStr">
        <is>
          <t>Inputs (1)</t>
        </is>
      </c>
      <c r="C2526" s="4" t="inlineStr">
        <is>
          <t>H26</t>
        </is>
      </c>
      <c r="D2526" s="4" t="n">
        <v>0</v>
      </c>
      <c r="E2526" s="4" t="n">
        <v>0</v>
      </c>
      <c r="F2526" s="4" t="inlineStr">
        <is>
          <t>GOC Bed Unit-Costing Model v2 — working original.xlsx</t>
        </is>
      </c>
    </row>
    <row r="2527" ht="40" customHeight="1">
      <c r="A2527" s="4" t="inlineStr">
        <is>
          <t>original:Inputs (1)!I26</t>
        </is>
      </c>
      <c r="B2527" s="4" t="inlineStr">
        <is>
          <t>Inputs (1)</t>
        </is>
      </c>
      <c r="C2527" s="4" t="inlineStr">
        <is>
          <t>I26</t>
        </is>
      </c>
      <c r="D2527" s="4" t="n">
        <v>0</v>
      </c>
      <c r="E2527" s="4" t="n">
        <v>0</v>
      </c>
      <c r="F2527" s="4" t="inlineStr">
        <is>
          <t>GOC Bed Unit-Costing Model v2 — working original.xlsx</t>
        </is>
      </c>
    </row>
    <row r="2528" ht="40" customHeight="1">
      <c r="A2528" s="4" t="inlineStr">
        <is>
          <t>original:Inputs (1)!J26</t>
        </is>
      </c>
      <c r="B2528" s="4" t="inlineStr">
        <is>
          <t>Inputs (1)</t>
        </is>
      </c>
      <c r="C2528" s="4" t="inlineStr">
        <is>
          <t>J26</t>
        </is>
      </c>
      <c r="D2528" s="4" t="inlineStr">
        <is>
          <t>TO CONFIRM.</t>
        </is>
      </c>
      <c r="E2528" s="4" t="inlineStr">
        <is>
          <t>TO CONFIRM.</t>
        </is>
      </c>
      <c r="F2528" s="4" t="inlineStr">
        <is>
          <t>GOC Bed Unit-Costing Model v2 — working original.xlsx</t>
        </is>
      </c>
    </row>
    <row r="2529" ht="40" customHeight="1">
      <c r="A2529" s="4" t="inlineStr">
        <is>
          <t>original:Inputs (1)!A27</t>
        </is>
      </c>
      <c r="B2529" s="4" t="inlineStr">
        <is>
          <t>Inputs (1)</t>
        </is>
      </c>
      <c r="C2529" s="4" t="inlineStr">
        <is>
          <t>A27</t>
        </is>
      </c>
      <c r="D2529" s="4" t="inlineStr">
        <is>
          <t>Freight</t>
        </is>
      </c>
      <c r="E2529" s="4" t="inlineStr">
        <is>
          <t>Freight</t>
        </is>
      </c>
      <c r="F2529" s="4" t="inlineStr">
        <is>
          <t>GOC Bed Unit-Costing Model v2 — working original.xlsx</t>
        </is>
      </c>
    </row>
    <row r="2530" ht="40" customHeight="1">
      <c r="A2530" s="4" t="inlineStr">
        <is>
          <t>original:Inputs (1)!B27</t>
        </is>
      </c>
      <c r="B2530" s="4" t="inlineStr">
        <is>
          <t>Inputs (1)</t>
        </is>
      </c>
      <c r="C2530" s="4" t="inlineStr">
        <is>
          <t>B27</t>
        </is>
      </c>
      <c r="D2530" s="4" t="n">
        <v>100</v>
      </c>
      <c r="E2530" s="4" t="n">
        <v>100</v>
      </c>
      <c r="F2530" s="4" t="inlineStr">
        <is>
          <t>GOC Bed Unit-Costing Model v2 — working original.xlsx</t>
        </is>
      </c>
    </row>
    <row r="2531" ht="40" customHeight="1">
      <c r="A2531" s="4" t="inlineStr">
        <is>
          <t>original:Inputs (1)!C27</t>
        </is>
      </c>
      <c r="B2531" s="4" t="inlineStr">
        <is>
          <t>Inputs (1)</t>
        </is>
      </c>
      <c r="C2531" s="4" t="inlineStr">
        <is>
          <t>C27</t>
        </is>
      </c>
      <c r="D2531" s="4" t="n">
        <v>50</v>
      </c>
      <c r="E2531" s="4" t="n">
        <v>50</v>
      </c>
      <c r="F2531" s="4" t="inlineStr">
        <is>
          <t>GOC Bed Unit-Costing Model v2 — working original.xlsx</t>
        </is>
      </c>
    </row>
    <row r="2532" ht="165" customHeight="1">
      <c r="A2532" s="4" t="inlineStr">
        <is>
          <t>original:Inputs (1)!D27</t>
        </is>
      </c>
      <c r="B2532" s="4" t="inlineStr">
        <is>
          <t>Inputs (1)</t>
        </is>
      </c>
      <c r="C2532" s="4" t="inlineStr">
        <is>
          <t>D27</t>
        </is>
      </c>
      <c r="D2532" s="4" t="inlineStr">
        <is>
          <t>TO CONFIRM. Community production should cut freight drastically, but the unit-costing model applies $150 long-haul + $25 local to every path. The two need reconciling, and it needs settling whether freight is recovered from the customer or absorbed.</t>
        </is>
      </c>
      <c r="E2532" s="4" t="inlineStr">
        <is>
          <t>TO CONFIRM. Community production should cut freight drastically, but the unit-costing model applies $150 long-haul + $25 local to every path. The two need reconciling, and it needs settling whether freight is recovered from the customer or absorbed.</t>
        </is>
      </c>
      <c r="F2532" s="4" t="inlineStr">
        <is>
          <t>GOC Bed Unit-Costing Model v2 — working original.xlsx</t>
        </is>
      </c>
    </row>
    <row r="2533" ht="40" customHeight="1">
      <c r="A2533" s="4" t="inlineStr">
        <is>
          <t>original:Inputs (1)!F27</t>
        </is>
      </c>
      <c r="B2533" s="4" t="inlineStr">
        <is>
          <t>Inputs (1)</t>
        </is>
      </c>
      <c r="C2533" s="4" t="inlineStr">
        <is>
          <t>F27</t>
        </is>
      </c>
      <c r="D2533" s="4" t="inlineStr">
        <is>
          <t xml:space="preserve">   of which beds funded</t>
        </is>
      </c>
      <c r="E2533" s="4" t="inlineStr">
        <is>
          <t xml:space="preserve">   of which beds funded</t>
        </is>
      </c>
      <c r="F2533" s="4" t="inlineStr">
        <is>
          <t>GOC Bed Unit-Costing Model v2 — working original.xlsx</t>
        </is>
      </c>
    </row>
    <row r="2534" ht="40" customHeight="1">
      <c r="A2534" s="4" t="inlineStr">
        <is>
          <t>original:Inputs (1)!G27</t>
        </is>
      </c>
      <c r="B2534" s="4" t="inlineStr">
        <is>
          <t>Inputs (1)</t>
        </is>
      </c>
      <c r="C2534" s="4" t="inlineStr">
        <is>
          <t>G27</t>
        </is>
      </c>
      <c r="D2534" s="4" t="n">
        <v>0</v>
      </c>
      <c r="E2534" s="4" t="n">
        <v>0</v>
      </c>
      <c r="F2534" s="4" t="inlineStr">
        <is>
          <t>GOC Bed Unit-Costing Model v2 — working original.xlsx</t>
        </is>
      </c>
    </row>
    <row r="2535" ht="40" customHeight="1">
      <c r="A2535" s="4" t="inlineStr">
        <is>
          <t>original:Inputs (1)!H27</t>
        </is>
      </c>
      <c r="B2535" s="4" t="inlineStr">
        <is>
          <t>Inputs (1)</t>
        </is>
      </c>
      <c r="C2535" s="4" t="inlineStr">
        <is>
          <t>H27</t>
        </is>
      </c>
      <c r="D2535" s="4" t="n">
        <v>0</v>
      </c>
      <c r="E2535" s="4" t="n">
        <v>0</v>
      </c>
      <c r="F2535" s="4" t="inlineStr">
        <is>
          <t>GOC Bed Unit-Costing Model v2 — working original.xlsx</t>
        </is>
      </c>
    </row>
    <row r="2536" ht="40" customHeight="1">
      <c r="A2536" s="4" t="inlineStr">
        <is>
          <t>original:Inputs (1)!I27</t>
        </is>
      </c>
      <c r="B2536" s="4" t="inlineStr">
        <is>
          <t>Inputs (1)</t>
        </is>
      </c>
      <c r="C2536" s="4" t="inlineStr">
        <is>
          <t>I27</t>
        </is>
      </c>
      <c r="D2536" s="4" t="n">
        <v>0</v>
      </c>
      <c r="E2536" s="4" t="n">
        <v>0</v>
      </c>
      <c r="F2536" s="4" t="inlineStr">
        <is>
          <t>GOC Bed Unit-Costing Model v2 — working original.xlsx</t>
        </is>
      </c>
    </row>
    <row r="2537" ht="40" customHeight="1">
      <c r="A2537" s="4" t="inlineStr">
        <is>
          <t>original:Inputs (1)!A28</t>
        </is>
      </c>
      <c r="B2537" s="4" t="inlineStr">
        <is>
          <t>Inputs (1)</t>
        </is>
      </c>
      <c r="C2537" s="4" t="inlineStr">
        <is>
          <t>A28</t>
        </is>
      </c>
      <c r="D2537" s="4" t="inlineStr">
        <is>
          <t>TOTAL DIRECT COST PER BED</t>
        </is>
      </c>
      <c r="E2537" s="4" t="inlineStr">
        <is>
          <t>TOTAL DIRECT COST PER BED</t>
        </is>
      </c>
      <c r="F2537" s="4" t="inlineStr">
        <is>
          <t>GOC Bed Unit-Costing Model v2 — working original.xlsx</t>
        </is>
      </c>
    </row>
    <row r="2538" ht="40" customHeight="1">
      <c r="A2538" s="4" t="inlineStr">
        <is>
          <t>original:Inputs (1)!B28</t>
        </is>
      </c>
      <c r="B2538" s="4" t="inlineStr">
        <is>
          <t>Inputs (1)</t>
        </is>
      </c>
      <c r="C2538" s="4" t="inlineStr">
        <is>
          <t>B28</t>
        </is>
      </c>
      <c r="D2538" s="4" t="inlineStr">
        <is>
          <t>=B23+B26+B27</t>
        </is>
      </c>
      <c r="E2538" s="4" t="n">
        <v>295.74</v>
      </c>
      <c r="F2538" s="4" t="inlineStr">
        <is>
          <t>GOC Bed Unit-Costing Model v2 — working original.xlsx</t>
        </is>
      </c>
    </row>
    <row r="2539" ht="40" customHeight="1">
      <c r="A2539" s="4" t="inlineStr">
        <is>
          <t>original:Inputs (1)!C28</t>
        </is>
      </c>
      <c r="B2539" s="4" t="inlineStr">
        <is>
          <t>Inputs (1)</t>
        </is>
      </c>
      <c r="C2539" s="4" t="inlineStr">
        <is>
          <t>C28</t>
        </is>
      </c>
      <c r="D2539" s="4" t="inlineStr">
        <is>
          <t>=C23+C26+C27</t>
        </is>
      </c>
      <c r="E2539" s="4" t="n">
        <v>190.74</v>
      </c>
      <c r="F2539" s="4" t="inlineStr">
        <is>
          <t>GOC Bed Unit-Costing Model v2 — working original.xlsx</t>
        </is>
      </c>
    </row>
    <row r="2540" ht="40" customHeight="1">
      <c r="A2540" s="4" t="inlineStr">
        <is>
          <t>original:Inputs (1)!F28</t>
        </is>
      </c>
      <c r="B2540" s="4" t="inlineStr">
        <is>
          <t>Inputs (1)</t>
        </is>
      </c>
      <c r="C2540" s="4" t="inlineStr">
        <is>
          <t>F28</t>
        </is>
      </c>
      <c r="D2540" s="4" t="inlineStr">
        <is>
          <t>TOTAL TIED GRANT INCOME</t>
        </is>
      </c>
      <c r="E2540" s="4" t="inlineStr">
        <is>
          <t>TOTAL TIED GRANT INCOME</t>
        </is>
      </c>
      <c r="F2540" s="4" t="inlineStr">
        <is>
          <t>GOC Bed Unit-Costing Model v2 — working original.xlsx</t>
        </is>
      </c>
    </row>
    <row r="2541" ht="40" customHeight="1">
      <c r="A2541" s="4" t="inlineStr">
        <is>
          <t>original:Inputs (1)!G28</t>
        </is>
      </c>
      <c r="B2541" s="4" t="inlineStr">
        <is>
          <t>Inputs (1)</t>
        </is>
      </c>
      <c r="C2541" s="4" t="inlineStr">
        <is>
          <t>G28</t>
        </is>
      </c>
      <c r="D2541" s="4" t="inlineStr">
        <is>
          <t>=SUM(G22,G24,G26)</t>
        </is>
      </c>
      <c r="E2541" s="4" t="n">
        <v>0</v>
      </c>
      <c r="F2541" s="4" t="inlineStr">
        <is>
          <t>GOC Bed Unit-Costing Model v2 — working original.xlsx</t>
        </is>
      </c>
    </row>
    <row r="2542" ht="40" customHeight="1">
      <c r="A2542" s="4" t="inlineStr">
        <is>
          <t>original:Inputs (1)!H28</t>
        </is>
      </c>
      <c r="B2542" s="4" t="inlineStr">
        <is>
          <t>Inputs (1)</t>
        </is>
      </c>
      <c r="C2542" s="4" t="inlineStr">
        <is>
          <t>H28</t>
        </is>
      </c>
      <c r="D2542" s="4" t="inlineStr">
        <is>
          <t>=SUM(H22,H24,H26)</t>
        </is>
      </c>
      <c r="E2542" s="4" t="n">
        <v>0</v>
      </c>
      <c r="F2542" s="4" t="inlineStr">
        <is>
          <t>GOC Bed Unit-Costing Model v2 — working original.xlsx</t>
        </is>
      </c>
    </row>
    <row r="2543" ht="40" customHeight="1">
      <c r="A2543" s="4" t="inlineStr">
        <is>
          <t>original:Inputs (1)!I28</t>
        </is>
      </c>
      <c r="B2543" s="4" t="inlineStr">
        <is>
          <t>Inputs (1)</t>
        </is>
      </c>
      <c r="C2543" s="4" t="inlineStr">
        <is>
          <t>I28</t>
        </is>
      </c>
      <c r="D2543" s="4" t="inlineStr">
        <is>
          <t>=SUM(I22,I24,I26)</t>
        </is>
      </c>
      <c r="E2543" s="4" t="n">
        <v>0</v>
      </c>
      <c r="F2543" s="4" t="inlineStr">
        <is>
          <t>GOC Bed Unit-Costing Model v2 — working original.xlsx</t>
        </is>
      </c>
    </row>
    <row r="2544" ht="40" customHeight="1">
      <c r="A2544" s="4" t="inlineStr">
        <is>
          <t>original:Inputs (1)!A29</t>
        </is>
      </c>
      <c r="B2544" s="4" t="inlineStr">
        <is>
          <t>Inputs (1)</t>
        </is>
      </c>
      <c r="C2544" s="4" t="inlineStr">
        <is>
          <t>A29</t>
        </is>
      </c>
      <c r="D2544" s="4" t="inlineStr">
        <is>
          <t>Contribution per bed</t>
        </is>
      </c>
      <c r="E2544" s="4" t="inlineStr">
        <is>
          <t>Contribution per bed</t>
        </is>
      </c>
      <c r="F2544" s="4" t="inlineStr">
        <is>
          <t>GOC Bed Unit-Costing Model v2 — working original.xlsx</t>
        </is>
      </c>
    </row>
    <row r="2545" ht="40" customHeight="1">
      <c r="A2545" s="4" t="inlineStr">
        <is>
          <t>original:Inputs (1)!B29</t>
        </is>
      </c>
      <c r="B2545" s="4" t="inlineStr">
        <is>
          <t>Inputs (1)</t>
        </is>
      </c>
      <c r="C2545" s="4" t="inlineStr">
        <is>
          <t>B29</t>
        </is>
      </c>
      <c r="D2545" s="4" t="inlineStr">
        <is>
          <t>=$G$7-B28</t>
        </is>
      </c>
      <c r="E2545" s="4" t="n">
        <v>454.26</v>
      </c>
      <c r="F2545" s="4" t="inlineStr">
        <is>
          <t>GOC Bed Unit-Costing Model v2 — working original.xlsx</t>
        </is>
      </c>
    </row>
    <row r="2546" ht="40" customHeight="1">
      <c r="A2546" s="4" t="inlineStr">
        <is>
          <t>original:Inputs (1)!C29</t>
        </is>
      </c>
      <c r="B2546" s="4" t="inlineStr">
        <is>
          <t>Inputs (1)</t>
        </is>
      </c>
      <c r="C2546" s="4" t="inlineStr">
        <is>
          <t>C29</t>
        </is>
      </c>
      <c r="D2546" s="4" t="inlineStr">
        <is>
          <t>=$G$7-C28</t>
        </is>
      </c>
      <c r="E2546" s="4" t="n">
        <v>559.26</v>
      </c>
      <c r="F2546" s="4" t="inlineStr">
        <is>
          <t>GOC Bed Unit-Costing Model v2 — working original.xlsx</t>
        </is>
      </c>
    </row>
    <row r="2547" ht="90" customHeight="1">
      <c r="A2547" s="4" t="inlineStr">
        <is>
          <t>original:Inputs (1)!D29</t>
        </is>
      </c>
      <c r="B2547" s="4" t="inlineStr">
        <is>
          <t>Inputs (1)</t>
        </is>
      </c>
      <c r="C2547" s="4" t="inlineStr">
        <is>
          <t>D29</t>
        </is>
      </c>
      <c r="D2547" s="4" t="inlineStr">
        <is>
          <t>Direct contribution only. Site labour, site overhead and central overhead are all carried below the line, in their own cost centres.</t>
        </is>
      </c>
      <c r="E2547" s="4" t="inlineStr">
        <is>
          <t>Direct contribution only. Site labour, site overhead and central overhead are all carried below the line, in their own cost centres.</t>
        </is>
      </c>
      <c r="F2547" s="4" t="inlineStr">
        <is>
          <t>GOC Bed Unit-Costing Model v2 — working original.xlsx</t>
        </is>
      </c>
    </row>
    <row r="2548" ht="40" customHeight="1">
      <c r="A2548" s="4" t="inlineStr">
        <is>
          <t>original:Inputs (1)!F29</t>
        </is>
      </c>
      <c r="B2548" s="4" t="inlineStr">
        <is>
          <t>Inputs (1)</t>
        </is>
      </c>
      <c r="C2548" s="4" t="inlineStr">
        <is>
          <t>F29</t>
        </is>
      </c>
      <c r="D2548" s="4" t="inlineStr">
        <is>
          <t>TOTAL GRANT-FUNDED BEDS</t>
        </is>
      </c>
      <c r="E2548" s="4" t="inlineStr">
        <is>
          <t>TOTAL GRANT-FUNDED BEDS</t>
        </is>
      </c>
      <c r="F2548" s="4" t="inlineStr">
        <is>
          <t>GOC Bed Unit-Costing Model v2 — working original.xlsx</t>
        </is>
      </c>
    </row>
    <row r="2549" ht="40" customHeight="1">
      <c r="A2549" s="4" t="inlineStr">
        <is>
          <t>original:Inputs (1)!G29</t>
        </is>
      </c>
      <c r="B2549" s="4" t="inlineStr">
        <is>
          <t>Inputs (1)</t>
        </is>
      </c>
      <c r="C2549" s="4" t="inlineStr">
        <is>
          <t>G29</t>
        </is>
      </c>
      <c r="D2549" s="4" t="inlineStr">
        <is>
          <t>=SUM(G23,G25,G27)</t>
        </is>
      </c>
      <c r="E2549" s="4" t="n">
        <v>0</v>
      </c>
      <c r="F2549" s="4" t="inlineStr">
        <is>
          <t>GOC Bed Unit-Costing Model v2 — working original.xlsx</t>
        </is>
      </c>
    </row>
    <row r="2550" ht="40" customHeight="1">
      <c r="A2550" s="4" t="inlineStr">
        <is>
          <t>original:Inputs (1)!H29</t>
        </is>
      </c>
      <c r="B2550" s="4" t="inlineStr">
        <is>
          <t>Inputs (1)</t>
        </is>
      </c>
      <c r="C2550" s="4" t="inlineStr">
        <is>
          <t>H29</t>
        </is>
      </c>
      <c r="D2550" s="4" t="inlineStr">
        <is>
          <t>=SUM(H23,H25,H27)</t>
        </is>
      </c>
      <c r="E2550" s="4" t="n">
        <v>0</v>
      </c>
      <c r="F2550" s="4" t="inlineStr">
        <is>
          <t>GOC Bed Unit-Costing Model v2 — working original.xlsx</t>
        </is>
      </c>
    </row>
    <row r="2551" ht="40" customHeight="1">
      <c r="A2551" s="4" t="inlineStr">
        <is>
          <t>original:Inputs (1)!I29</t>
        </is>
      </c>
      <c r="B2551" s="4" t="inlineStr">
        <is>
          <t>Inputs (1)</t>
        </is>
      </c>
      <c r="C2551" s="4" t="inlineStr">
        <is>
          <t>I29</t>
        </is>
      </c>
      <c r="D2551" s="4" t="inlineStr">
        <is>
          <t>=SUM(I23,I25,I27)</t>
        </is>
      </c>
      <c r="E2551" s="4" t="n">
        <v>0</v>
      </c>
      <c r="F2551" s="4" t="inlineStr">
        <is>
          <t>GOC Bed Unit-Costing Model v2 — working original.xlsx</t>
        </is>
      </c>
    </row>
    <row r="2552" ht="40" customHeight="1">
      <c r="A2552" s="4" t="inlineStr">
        <is>
          <t>original:Inputs (1)!A31</t>
        </is>
      </c>
      <c r="B2552" s="4" t="inlineStr">
        <is>
          <t>Inputs (1)</t>
        </is>
      </c>
      <c r="C2552" s="4" t="inlineStr">
        <is>
          <t>A31</t>
        </is>
      </c>
      <c r="D2552" s="4" t="inlineStr">
        <is>
          <t>Direct Labour</t>
        </is>
      </c>
      <c r="E2552" s="4" t="inlineStr">
        <is>
          <t>Direct Labour</t>
        </is>
      </c>
      <c r="F2552" s="4" t="inlineStr">
        <is>
          <t>GOC Bed Unit-Costing Model v2 — working original.xlsx</t>
        </is>
      </c>
    </row>
    <row r="2553" ht="40" customHeight="1">
      <c r="A2553" s="4" t="inlineStr">
        <is>
          <t>original:Inputs (1)!B31</t>
        </is>
      </c>
      <c r="B2553" s="4" t="inlineStr">
        <is>
          <t>Inputs (1)</t>
        </is>
      </c>
      <c r="C2553" s="4" t="inlineStr">
        <is>
          <t>B31</t>
        </is>
      </c>
      <c r="D2553" s="4" t="inlineStr">
        <is>
          <t>(Factory)</t>
        </is>
      </c>
      <c r="E2553" s="4" t="inlineStr">
        <is>
          <t>(Factory)</t>
        </is>
      </c>
      <c r="F2553" s="4" t="inlineStr">
        <is>
          <t>GOC Bed Unit-Costing Model v2 — working original.xlsx</t>
        </is>
      </c>
    </row>
    <row r="2554" ht="40" customHeight="1">
      <c r="A2554" s="4" t="inlineStr">
        <is>
          <t>original:Inputs (1)!C31</t>
        </is>
      </c>
      <c r="B2554" s="4" t="inlineStr">
        <is>
          <t>Inputs (1)</t>
        </is>
      </c>
      <c r="C2554" s="4" t="inlineStr">
        <is>
          <t>C31</t>
        </is>
      </c>
      <c r="D2554" s="4" t="inlineStr">
        <is>
          <t>(Community)</t>
        </is>
      </c>
      <c r="E2554" s="4" t="inlineStr">
        <is>
          <t>(Community)</t>
        </is>
      </c>
      <c r="F2554" s="4" t="inlineStr">
        <is>
          <t>GOC Bed Unit-Costing Model v2 — working original.xlsx</t>
        </is>
      </c>
    </row>
    <row r="2555" ht="40" customHeight="1">
      <c r="A2555" s="4" t="inlineStr">
        <is>
          <t>original:Inputs (1)!D31</t>
        </is>
      </c>
      <c r="B2555" s="4" t="inlineStr">
        <is>
          <t>Inputs (1)</t>
        </is>
      </c>
      <c r="C2555" s="4" t="inlineStr">
        <is>
          <t>D31</t>
        </is>
      </c>
      <c r="D2555" s="4" t="inlineStr">
        <is>
          <t>per site, per year</t>
        </is>
      </c>
      <c r="E2555" s="4" t="inlineStr">
        <is>
          <t>per site, per year</t>
        </is>
      </c>
      <c r="F2555" s="4" t="inlineStr">
        <is>
          <t>GOC Bed Unit-Costing Model v2 — working original.xlsx</t>
        </is>
      </c>
    </row>
    <row r="2556" ht="40" customHeight="1">
      <c r="A2556" s="4" t="inlineStr">
        <is>
          <t>original:Inputs (1)!F31</t>
        </is>
      </c>
      <c r="B2556" s="4" t="inlineStr">
        <is>
          <t>Inputs (1)</t>
        </is>
      </c>
      <c r="C2556" s="4" t="inlineStr">
        <is>
          <t>F31</t>
        </is>
      </c>
      <c r="D2556" s="4" t="inlineStr">
        <is>
          <t>GRANT INCOME (UNTIED)</t>
        </is>
      </c>
      <c r="E2556" s="4" t="inlineStr">
        <is>
          <t>GRANT INCOME (UNTIED)</t>
        </is>
      </c>
      <c r="F2556" s="4" t="inlineStr">
        <is>
          <t>GOC Bed Unit-Costing Model v2 — working original.xlsx</t>
        </is>
      </c>
    </row>
    <row r="2557" ht="40" customHeight="1">
      <c r="A2557" s="4" t="inlineStr">
        <is>
          <t>original:Inputs (1)!J31</t>
        </is>
      </c>
      <c r="B2557" s="4" t="inlineStr">
        <is>
          <t>Inputs (1)</t>
        </is>
      </c>
      <c r="C2557" s="4" t="inlineStr">
        <is>
          <t>J31</t>
        </is>
      </c>
      <c r="D2557" s="4" t="inlineStr">
        <is>
          <t>Notes</t>
        </is>
      </c>
      <c r="E2557" s="4" t="inlineStr">
        <is>
          <t>Notes</t>
        </is>
      </c>
      <c r="F2557" s="4" t="inlineStr">
        <is>
          <t>GOC Bed Unit-Costing Model v2 — working original.xlsx</t>
        </is>
      </c>
    </row>
    <row r="2558" ht="40" customHeight="1">
      <c r="A2558" s="4" t="inlineStr">
        <is>
          <t>original:Inputs (1)!A32</t>
        </is>
      </c>
      <c r="B2558" s="4" t="inlineStr">
        <is>
          <t>Inputs (1)</t>
        </is>
      </c>
      <c r="C2558" s="4" t="inlineStr">
        <is>
          <t>A32</t>
        </is>
      </c>
      <c r="D2558" s="4" t="inlineStr">
        <is>
          <t>Site Management/ Coordination</t>
        </is>
      </c>
      <c r="E2558" s="4" t="inlineStr">
        <is>
          <t>Site Management/ Coordination</t>
        </is>
      </c>
      <c r="F2558" s="4" t="inlineStr">
        <is>
          <t>GOC Bed Unit-Costing Model v2 — working original.xlsx</t>
        </is>
      </c>
    </row>
    <row r="2559" ht="40" customHeight="1">
      <c r="A2559" s="4" t="inlineStr">
        <is>
          <t>original:Inputs (1)!B32</t>
        </is>
      </c>
      <c r="B2559" s="4" t="inlineStr">
        <is>
          <t>Inputs (1)</t>
        </is>
      </c>
      <c r="C2559" s="4" t="inlineStr">
        <is>
          <t>B32</t>
        </is>
      </c>
      <c r="D2559" s="4" t="n">
        <v>90000</v>
      </c>
      <c r="E2559" s="4" t="n">
        <v>90000</v>
      </c>
      <c r="F2559" s="4" t="inlineStr">
        <is>
          <t>GOC Bed Unit-Costing Model v2 — working original.xlsx</t>
        </is>
      </c>
    </row>
    <row r="2560" ht="40" customHeight="1">
      <c r="A2560" s="4" t="inlineStr">
        <is>
          <t>original:Inputs (1)!C32</t>
        </is>
      </c>
      <c r="B2560" s="4" t="inlineStr">
        <is>
          <t>Inputs (1)</t>
        </is>
      </c>
      <c r="C2560" s="4" t="inlineStr">
        <is>
          <t>C32</t>
        </is>
      </c>
      <c r="D2560" s="4" t="n">
        <v>90000</v>
      </c>
      <c r="E2560" s="4" t="n">
        <v>90000</v>
      </c>
      <c r="F2560" s="4" t="inlineStr">
        <is>
          <t>GOC Bed Unit-Costing Model v2 — working original.xlsx</t>
        </is>
      </c>
    </row>
    <row r="2561" ht="105" customHeight="1">
      <c r="A2561" s="4" t="inlineStr">
        <is>
          <t>original:Inputs (1)!D32</t>
        </is>
      </c>
      <c r="B2561" s="4" t="inlineStr">
        <is>
          <t>Inputs (1)</t>
        </is>
      </c>
      <c r="C2561" s="4" t="inlineStr">
        <is>
          <t>D32</t>
        </is>
      </c>
      <c r="D2561" s="4" t="inlineStr">
        <is>
          <t>Including super. The $90K coordinator is the production-only archetype; the staffed archetype is a $150K community project manager (Known Other Costs A44).</t>
        </is>
      </c>
      <c r="E2561" s="4" t="inlineStr">
        <is>
          <t>Including super. The $90K coordinator is the production-only archetype; the staffed archetype is a $150K community project manager (Known Other Costs A44).</t>
        </is>
      </c>
      <c r="F2561" s="4" t="inlineStr">
        <is>
          <t>GOC Bed Unit-Costing Model v2 — working original.xlsx</t>
        </is>
      </c>
    </row>
    <row r="2562" ht="40" customHeight="1">
      <c r="A2562" s="4" t="inlineStr">
        <is>
          <t>original:Inputs (1)!F32</t>
        </is>
      </c>
      <c r="B2562" s="4" t="inlineStr">
        <is>
          <t>Inputs (1)</t>
        </is>
      </c>
      <c r="C2562" s="4" t="inlineStr">
        <is>
          <t>F32</t>
        </is>
      </c>
      <c r="D2562" s="4" t="inlineStr">
        <is>
          <t>Program 1  (QBE match-eligible)</t>
        </is>
      </c>
      <c r="E2562" s="4" t="inlineStr">
        <is>
          <t>Program 1  (QBE match-eligible)</t>
        </is>
      </c>
      <c r="F2562" s="4" t="inlineStr">
        <is>
          <t>GOC Bed Unit-Costing Model v2 — working original.xlsx</t>
        </is>
      </c>
    </row>
    <row r="2563" ht="40" customHeight="1">
      <c r="A2563" s="4" t="inlineStr">
        <is>
          <t>original:Inputs (1)!G32</t>
        </is>
      </c>
      <c r="B2563" s="4" t="inlineStr">
        <is>
          <t>Inputs (1)</t>
        </is>
      </c>
      <c r="C2563" s="4" t="inlineStr">
        <is>
          <t>G32</t>
        </is>
      </c>
      <c r="D2563" s="4" t="n">
        <v>250000</v>
      </c>
      <c r="E2563" s="4" t="n">
        <v>250000</v>
      </c>
      <c r="F2563" s="4" t="inlineStr">
        <is>
          <t>GOC Bed Unit-Costing Model v2 — working original.xlsx</t>
        </is>
      </c>
    </row>
    <row r="2564" ht="40" customHeight="1">
      <c r="A2564" s="4" t="inlineStr">
        <is>
          <t>original:Inputs (1)!H32</t>
        </is>
      </c>
      <c r="B2564" s="4" t="inlineStr">
        <is>
          <t>Inputs (1)</t>
        </is>
      </c>
      <c r="C2564" s="4" t="inlineStr">
        <is>
          <t>H32</t>
        </is>
      </c>
      <c r="D2564" s="4" t="n">
        <v>0</v>
      </c>
      <c r="E2564" s="4" t="n">
        <v>0</v>
      </c>
      <c r="F2564" s="4" t="inlineStr">
        <is>
          <t>GOC Bed Unit-Costing Model v2 — working original.xlsx</t>
        </is>
      </c>
    </row>
    <row r="2565" ht="40" customHeight="1">
      <c r="A2565" s="4" t="inlineStr">
        <is>
          <t>original:Inputs (1)!I32</t>
        </is>
      </c>
      <c r="B2565" s="4" t="inlineStr">
        <is>
          <t>Inputs (1)</t>
        </is>
      </c>
      <c r="C2565" s="4" t="inlineStr">
        <is>
          <t>I32</t>
        </is>
      </c>
      <c r="D2565" s="4" t="n">
        <v>0</v>
      </c>
      <c r="E2565" s="4" t="n">
        <v>0</v>
      </c>
      <c r="F2565" s="4" t="inlineStr">
        <is>
          <t>GOC Bed Unit-Costing Model v2 — working original.xlsx</t>
        </is>
      </c>
    </row>
    <row r="2566" ht="90" customHeight="1">
      <c r="A2566" s="4" t="inlineStr">
        <is>
          <t>original:Inputs (1)!J32</t>
        </is>
      </c>
      <c r="B2566" s="4" t="inlineStr">
        <is>
          <t>Inputs (1)</t>
        </is>
      </c>
      <c r="C2566" s="4" t="inlineStr">
        <is>
          <t>J32</t>
        </is>
      </c>
      <c r="D2566" s="4" t="inlineStr">
        <is>
          <t>PLACEHOLDER, per Unit-Costing Model v2 Inputs B48. The eligible / match / other split needs confirming with Ben and QBE.</t>
        </is>
      </c>
      <c r="E2566" s="4" t="inlineStr">
        <is>
          <t>PLACEHOLDER, per Unit-Costing Model v2 Inputs B48. The eligible / match / other split needs confirming with Ben and QBE.</t>
        </is>
      </c>
      <c r="F2566" s="4" t="inlineStr">
        <is>
          <t>GOC Bed Unit-Costing Model v2 — working original.xlsx</t>
        </is>
      </c>
    </row>
    <row r="2567" ht="40" customHeight="1">
      <c r="A2567" s="4" t="inlineStr">
        <is>
          <t>original:Inputs (1)!A33</t>
        </is>
      </c>
      <c r="B2567" s="4" t="inlineStr">
        <is>
          <t>Inputs (1)</t>
        </is>
      </c>
      <c r="C2567" s="4" t="inlineStr">
        <is>
          <t>A33</t>
        </is>
      </c>
      <c r="D2567" s="4" t="inlineStr">
        <is>
          <t>Trainer/ WHS Officer</t>
        </is>
      </c>
      <c r="E2567" s="4" t="inlineStr">
        <is>
          <t>Trainer/ WHS Officer</t>
        </is>
      </c>
      <c r="F2567" s="4" t="inlineStr">
        <is>
          <t>GOC Bed Unit-Costing Model v2 — working original.xlsx</t>
        </is>
      </c>
    </row>
    <row r="2568" ht="40" customHeight="1">
      <c r="A2568" s="4" t="inlineStr">
        <is>
          <t>original:Inputs (1)!B33</t>
        </is>
      </c>
      <c r="B2568" s="4" t="inlineStr">
        <is>
          <t>Inputs (1)</t>
        </is>
      </c>
      <c r="C2568" s="4" t="inlineStr">
        <is>
          <t>B33</t>
        </is>
      </c>
      <c r="D2568" s="4" t="n">
        <v>40000</v>
      </c>
      <c r="E2568" s="4" t="n">
        <v>40000</v>
      </c>
      <c r="F2568" s="4" t="inlineStr">
        <is>
          <t>GOC Bed Unit-Costing Model v2 — working original.xlsx</t>
        </is>
      </c>
    </row>
    <row r="2569" ht="40" customHeight="1">
      <c r="A2569" s="4" t="inlineStr">
        <is>
          <t>original:Inputs (1)!C33</t>
        </is>
      </c>
      <c r="B2569" s="4" t="inlineStr">
        <is>
          <t>Inputs (1)</t>
        </is>
      </c>
      <c r="C2569" s="4" t="inlineStr">
        <is>
          <t>C33</t>
        </is>
      </c>
      <c r="D2569" s="4" t="n">
        <v>40000</v>
      </c>
      <c r="E2569" s="4" t="n">
        <v>40000</v>
      </c>
      <c r="F2569" s="4" t="inlineStr">
        <is>
          <t>GOC Bed Unit-Costing Model v2 — working original.xlsx</t>
        </is>
      </c>
    </row>
    <row r="2570" ht="90" customHeight="1">
      <c r="A2570" s="4" t="inlineStr">
        <is>
          <t>original:Inputs (1)!D33</t>
        </is>
      </c>
      <c r="B2570" s="4" t="inlineStr">
        <is>
          <t>Inputs (1)</t>
        </is>
      </c>
      <c r="C2570" s="4" t="inlineStr">
        <is>
          <t>D33</t>
        </is>
      </c>
      <c r="D2570" s="4" t="inlineStr">
        <is>
          <t>TO CONFIRM: compulsory for all sites? Modelled split of the DEWR ACT $190K line, not a stated standalone figure (Known Other Costs A45).</t>
        </is>
      </c>
      <c r="E2570" s="4" t="inlineStr">
        <is>
          <t>TO CONFIRM: compulsory for all sites? Modelled split of the DEWR ACT $190K line, not a stated standalone figure (Known Other Costs A45).</t>
        </is>
      </c>
      <c r="F2570" s="4" t="inlineStr">
        <is>
          <t>GOC Bed Unit-Costing Model v2 — working original.xlsx</t>
        </is>
      </c>
    </row>
    <row r="2571" ht="40" customHeight="1">
      <c r="A2571" s="4" t="inlineStr">
        <is>
          <t>original:Inputs (1)!F33</t>
        </is>
      </c>
      <c r="B2571" s="4" t="inlineStr">
        <is>
          <t>Inputs (1)</t>
        </is>
      </c>
      <c r="C2571" s="4" t="inlineStr">
        <is>
          <t>F33</t>
        </is>
      </c>
      <c r="D2571" s="4" t="inlineStr">
        <is>
          <t>Program 2  (QBE match)</t>
        </is>
      </c>
      <c r="E2571" s="4" t="inlineStr">
        <is>
          <t>Program 2  (QBE match)</t>
        </is>
      </c>
      <c r="F2571" s="4" t="inlineStr">
        <is>
          <t>GOC Bed Unit-Costing Model v2 — working original.xlsx</t>
        </is>
      </c>
    </row>
    <row r="2572" ht="40" customHeight="1">
      <c r="A2572" s="4" t="inlineStr">
        <is>
          <t>original:Inputs (1)!G33</t>
        </is>
      </c>
      <c r="B2572" s="4" t="inlineStr">
        <is>
          <t>Inputs (1)</t>
        </is>
      </c>
      <c r="C2572" s="4" t="inlineStr">
        <is>
          <t>G33</t>
        </is>
      </c>
      <c r="D2572" s="4" t="n">
        <v>250000</v>
      </c>
      <c r="E2572" s="4" t="n">
        <v>250000</v>
      </c>
      <c r="F2572" s="4" t="inlineStr">
        <is>
          <t>GOC Bed Unit-Costing Model v2 — working original.xlsx</t>
        </is>
      </c>
    </row>
    <row r="2573" ht="40" customHeight="1">
      <c r="A2573" s="4" t="inlineStr">
        <is>
          <t>original:Inputs (1)!H33</t>
        </is>
      </c>
      <c r="B2573" s="4" t="inlineStr">
        <is>
          <t>Inputs (1)</t>
        </is>
      </c>
      <c r="C2573" s="4" t="inlineStr">
        <is>
          <t>H33</t>
        </is>
      </c>
      <c r="D2573" s="4" t="n">
        <v>0</v>
      </c>
      <c r="E2573" s="4" t="n">
        <v>0</v>
      </c>
      <c r="F2573" s="4" t="inlineStr">
        <is>
          <t>GOC Bed Unit-Costing Model v2 — working original.xlsx</t>
        </is>
      </c>
    </row>
    <row r="2574" ht="40" customHeight="1">
      <c r="A2574" s="4" t="inlineStr">
        <is>
          <t>original:Inputs (1)!I33</t>
        </is>
      </c>
      <c r="B2574" s="4" t="inlineStr">
        <is>
          <t>Inputs (1)</t>
        </is>
      </c>
      <c r="C2574" s="4" t="inlineStr">
        <is>
          <t>I33</t>
        </is>
      </c>
      <c r="D2574" s="4" t="n">
        <v>0</v>
      </c>
      <c r="E2574" s="4" t="n">
        <v>0</v>
      </c>
      <c r="F2574" s="4" t="inlineStr">
        <is>
          <t>GOC Bed Unit-Costing Model v2 — working original.xlsx</t>
        </is>
      </c>
    </row>
    <row r="2575" ht="45" customHeight="1">
      <c r="A2575" s="4" t="inlineStr">
        <is>
          <t>original:Inputs (1)!J33</t>
        </is>
      </c>
      <c r="B2575" s="4" t="inlineStr">
        <is>
          <t>Inputs (1)</t>
        </is>
      </c>
      <c r="C2575" s="4" t="inlineStr">
        <is>
          <t>J33</t>
        </is>
      </c>
      <c r="D2575" s="4" t="inlineStr">
        <is>
          <t>PLACEHOLDER. Assumed 1:1 match. Confirm the program terms.</t>
        </is>
      </c>
      <c r="E2575" s="4" t="inlineStr">
        <is>
          <t>PLACEHOLDER. Assumed 1:1 match. Confirm the program terms.</t>
        </is>
      </c>
      <c r="F2575" s="4" t="inlineStr">
        <is>
          <t>GOC Bed Unit-Costing Model v2 — working original.xlsx</t>
        </is>
      </c>
    </row>
    <row r="2576" ht="40" customHeight="1">
      <c r="A2576" s="4" t="inlineStr">
        <is>
          <t>original:Inputs (1)!A34</t>
        </is>
      </c>
      <c r="B2576" s="4" t="inlineStr">
        <is>
          <t>Inputs (1)</t>
        </is>
      </c>
      <c r="C2576" s="4" t="inlineStr">
        <is>
          <t>A34</t>
        </is>
      </c>
      <c r="D2576" s="4" t="inlineStr">
        <is>
          <t>Youth Employment Program Support</t>
        </is>
      </c>
      <c r="E2576" s="4" t="inlineStr">
        <is>
          <t>Youth Employment Program Support</t>
        </is>
      </c>
      <c r="F2576" s="4" t="inlineStr">
        <is>
          <t>GOC Bed Unit-Costing Model v2 — working original.xlsx</t>
        </is>
      </c>
    </row>
    <row r="2577" ht="40" customHeight="1">
      <c r="A2577" s="4" t="inlineStr">
        <is>
          <t>original:Inputs (1)!B34</t>
        </is>
      </c>
      <c r="B2577" s="4" t="inlineStr">
        <is>
          <t>Inputs (1)</t>
        </is>
      </c>
      <c r="C2577" s="4" t="inlineStr">
        <is>
          <t>B34</t>
        </is>
      </c>
      <c r="D2577" s="4" t="n">
        <v>60000</v>
      </c>
      <c r="E2577" s="4" t="n">
        <v>60000</v>
      </c>
      <c r="F2577" s="4" t="inlineStr">
        <is>
          <t>GOC Bed Unit-Costing Model v2 — working original.xlsx</t>
        </is>
      </c>
    </row>
    <row r="2578" ht="40" customHeight="1">
      <c r="A2578" s="4" t="inlineStr">
        <is>
          <t>original:Inputs (1)!C34</t>
        </is>
      </c>
      <c r="B2578" s="4" t="inlineStr">
        <is>
          <t>Inputs (1)</t>
        </is>
      </c>
      <c r="C2578" s="4" t="inlineStr">
        <is>
          <t>C34</t>
        </is>
      </c>
      <c r="D2578" s="4" t="n">
        <v>60000</v>
      </c>
      <c r="E2578" s="4" t="n">
        <v>60000</v>
      </c>
      <c r="F2578" s="4" t="inlineStr">
        <is>
          <t>GOC Bed Unit-Costing Model v2 — working original.xlsx</t>
        </is>
      </c>
    </row>
    <row r="2579" ht="195" customHeight="1">
      <c r="A2579" s="4" t="inlineStr">
        <is>
          <t>original:Inputs (1)!D34</t>
        </is>
      </c>
      <c r="B2579" s="4" t="inlineStr">
        <is>
          <t>Inputs (1)</t>
        </is>
      </c>
      <c r="C2579" s="4" t="inlineStr">
        <is>
          <t>D34</t>
        </is>
      </c>
      <c r="D2579" s="4" t="inlineStr">
        <is>
          <t>The difference between a production-only and a production + youth program model. Driven by the number of youth programs, not the number of sites. Distinct from the DEWR employment program brokerage and wages of $300,000/site/yr, which is Pot 2 and is never carried by bed sales.</t>
        </is>
      </c>
      <c r="E2579" s="4" t="inlineStr">
        <is>
          <t>The difference between a production-only and a production + youth program model. Driven by the number of youth programs, not the number of sites. Distinct from the DEWR employment program brokerage and wages of $300,000/site/yr, which is Pot 2 and is never carried by bed sales.</t>
        </is>
      </c>
      <c r="F2579" s="4" t="inlineStr">
        <is>
          <t>GOC Bed Unit-Costing Model v2 — working original.xlsx</t>
        </is>
      </c>
    </row>
    <row r="2580" ht="40" customHeight="1">
      <c r="A2580" s="4" t="inlineStr">
        <is>
          <t>original:Inputs (1)!F34</t>
        </is>
      </c>
      <c r="B2580" s="4" t="inlineStr">
        <is>
          <t>Inputs (1)</t>
        </is>
      </c>
      <c r="C2580" s="4" t="inlineStr">
        <is>
          <t>F34</t>
        </is>
      </c>
      <c r="D2580" s="4" t="inlineStr">
        <is>
          <t>Program 3  (Anchor philanthropy)</t>
        </is>
      </c>
      <c r="E2580" s="4" t="inlineStr">
        <is>
          <t>Program 3  (Anchor philanthropy)</t>
        </is>
      </c>
      <c r="F2580" s="4" t="inlineStr">
        <is>
          <t>GOC Bed Unit-Costing Model v2 — working original.xlsx</t>
        </is>
      </c>
    </row>
    <row r="2581" ht="40" customHeight="1">
      <c r="A2581" s="4" t="inlineStr">
        <is>
          <t>original:Inputs (1)!G34</t>
        </is>
      </c>
      <c r="B2581" s="4" t="inlineStr">
        <is>
          <t>Inputs (1)</t>
        </is>
      </c>
      <c r="C2581" s="4" t="inlineStr">
        <is>
          <t>G34</t>
        </is>
      </c>
      <c r="D2581" s="4" t="n">
        <v>100000</v>
      </c>
      <c r="E2581" s="4" t="n">
        <v>100000</v>
      </c>
      <c r="F2581" s="4" t="inlineStr">
        <is>
          <t>GOC Bed Unit-Costing Model v2 — working original.xlsx</t>
        </is>
      </c>
    </row>
    <row r="2582" ht="40" customHeight="1">
      <c r="A2582" s="4" t="inlineStr">
        <is>
          <t>original:Inputs (1)!H34</t>
        </is>
      </c>
      <c r="B2582" s="4" t="inlineStr">
        <is>
          <t>Inputs (1)</t>
        </is>
      </c>
      <c r="C2582" s="4" t="inlineStr">
        <is>
          <t>H34</t>
        </is>
      </c>
      <c r="D2582" s="4" t="n">
        <v>0</v>
      </c>
      <c r="E2582" s="4" t="n">
        <v>0</v>
      </c>
      <c r="F2582" s="4" t="inlineStr">
        <is>
          <t>GOC Bed Unit-Costing Model v2 — working original.xlsx</t>
        </is>
      </c>
    </row>
    <row r="2583" ht="40" customHeight="1">
      <c r="A2583" s="4" t="inlineStr">
        <is>
          <t>original:Inputs (1)!I34</t>
        </is>
      </c>
      <c r="B2583" s="4" t="inlineStr">
        <is>
          <t>Inputs (1)</t>
        </is>
      </c>
      <c r="C2583" s="4" t="inlineStr">
        <is>
          <t>I34</t>
        </is>
      </c>
      <c r="D2583" s="4" t="n">
        <v>0</v>
      </c>
      <c r="E2583" s="4" t="n">
        <v>0</v>
      </c>
      <c r="F2583" s="4" t="inlineStr">
        <is>
          <t>GOC Bed Unit-Costing Model v2 — working original.xlsx</t>
        </is>
      </c>
    </row>
    <row r="2584" ht="150" customHeight="1">
      <c r="A2584" s="4" t="inlineStr">
        <is>
          <t>original:Inputs (1)!J34</t>
        </is>
      </c>
      <c r="B2584" s="4" t="inlineStr">
        <is>
          <t>Inputs (1)</t>
        </is>
      </c>
      <c r="C2584" s="4" t="inlineStr">
        <is>
          <t>J34</t>
        </is>
      </c>
      <c r="D2584" s="4" t="inlineStr">
        <is>
          <t>PLACEHOLDER. 04-verified-financials §4 records a larger base-case stack (QBE $400K Sep-26 + SEFA $300K Nov-26 + anchor philanthropy $500K Jan-27). None of it is committed. The lower unit-costing figures are used here.</t>
        </is>
      </c>
      <c r="E2584" s="4" t="inlineStr">
        <is>
          <t>PLACEHOLDER. 04-verified-financials §4 records a larger base-case stack (QBE $400K Sep-26 + SEFA $300K Nov-26 + anchor philanthropy $500K Jan-27). None of it is committed. The lower unit-costing figures are used here.</t>
        </is>
      </c>
      <c r="F2584" s="4" t="inlineStr">
        <is>
          <t>GOC Bed Unit-Costing Model v2 — working original.xlsx</t>
        </is>
      </c>
    </row>
    <row r="2585" ht="40" customHeight="1">
      <c r="A2585" s="4" t="inlineStr">
        <is>
          <t>original:Inputs (1)!F35</t>
        </is>
      </c>
      <c r="B2585" s="4" t="inlineStr">
        <is>
          <t>Inputs (1)</t>
        </is>
      </c>
      <c r="C2585" s="4" t="inlineStr">
        <is>
          <t>F35</t>
        </is>
      </c>
      <c r="D2585" s="4" t="inlineStr">
        <is>
          <t>TOTAL UNTIED GRANT INCOME</t>
        </is>
      </c>
      <c r="E2585" s="4" t="inlineStr">
        <is>
          <t>TOTAL UNTIED GRANT INCOME</t>
        </is>
      </c>
      <c r="F2585" s="4" t="inlineStr">
        <is>
          <t>GOC Bed Unit-Costing Model v2 — working original.xlsx</t>
        </is>
      </c>
    </row>
    <row r="2586" ht="40" customHeight="1">
      <c r="A2586" s="4" t="inlineStr">
        <is>
          <t>original:Inputs (1)!G35</t>
        </is>
      </c>
      <c r="B2586" s="4" t="inlineStr">
        <is>
          <t>Inputs (1)</t>
        </is>
      </c>
      <c r="C2586" s="4" t="inlineStr">
        <is>
          <t>G35</t>
        </is>
      </c>
      <c r="D2586" s="4" t="inlineStr">
        <is>
          <t>=SUM(G32:G34)</t>
        </is>
      </c>
      <c r="E2586" s="4" t="n">
        <v>600000</v>
      </c>
      <c r="F2586" s="4" t="inlineStr">
        <is>
          <t>GOC Bed Unit-Costing Model v2 — working original.xlsx</t>
        </is>
      </c>
    </row>
    <row r="2587" ht="40" customHeight="1">
      <c r="A2587" s="4" t="inlineStr">
        <is>
          <t>original:Inputs (1)!H35</t>
        </is>
      </c>
      <c r="B2587" s="4" t="inlineStr">
        <is>
          <t>Inputs (1)</t>
        </is>
      </c>
      <c r="C2587" s="4" t="inlineStr">
        <is>
          <t>H35</t>
        </is>
      </c>
      <c r="D2587" s="4" t="inlineStr">
        <is>
          <t>=SUM(H32:H34)</t>
        </is>
      </c>
      <c r="E2587" s="4" t="n">
        <v>0</v>
      </c>
      <c r="F2587" s="4" t="inlineStr">
        <is>
          <t>GOC Bed Unit-Costing Model v2 — working original.xlsx</t>
        </is>
      </c>
    </row>
    <row r="2588" ht="40" customHeight="1">
      <c r="A2588" s="4" t="inlineStr">
        <is>
          <t>original:Inputs (1)!I35</t>
        </is>
      </c>
      <c r="B2588" s="4" t="inlineStr">
        <is>
          <t>Inputs (1)</t>
        </is>
      </c>
      <c r="C2588" s="4" t="inlineStr">
        <is>
          <t>I35</t>
        </is>
      </c>
      <c r="D2588" s="4" t="inlineStr">
        <is>
          <t>=SUM(I32:I34)</t>
        </is>
      </c>
      <c r="E2588" s="4" t="n">
        <v>0</v>
      </c>
      <c r="F2588" s="4" t="inlineStr">
        <is>
          <t>GOC Bed Unit-Costing Model v2 — working original.xlsx</t>
        </is>
      </c>
    </row>
    <row r="2589" ht="40" customHeight="1">
      <c r="A2589" s="4" t="inlineStr">
        <is>
          <t>original:Inputs (1)!A36</t>
        </is>
      </c>
      <c r="B2589" s="4" t="inlineStr">
        <is>
          <t>Inputs (1)</t>
        </is>
      </c>
      <c r="C2589" s="4" t="inlineStr">
        <is>
          <t>A36</t>
        </is>
      </c>
      <c r="D2589" s="4" t="inlineStr">
        <is>
          <t>Plant and Equipment Costs</t>
        </is>
      </c>
      <c r="E2589" s="4" t="inlineStr">
        <is>
          <t>Plant and Equipment Costs</t>
        </is>
      </c>
      <c r="F2589" s="4" t="inlineStr">
        <is>
          <t>GOC Bed Unit-Costing Model v2 — working original.xlsx</t>
        </is>
      </c>
    </row>
    <row r="2590" ht="40" customHeight="1">
      <c r="A2590" s="4" t="inlineStr">
        <is>
          <t>original:Inputs (1)!B36</t>
        </is>
      </c>
      <c r="B2590" s="4" t="inlineStr">
        <is>
          <t>Inputs (1)</t>
        </is>
      </c>
      <c r="C2590" s="4" t="inlineStr">
        <is>
          <t>B36</t>
        </is>
      </c>
      <c r="D2590" s="4" t="inlineStr">
        <is>
          <t>(Factory)</t>
        </is>
      </c>
      <c r="E2590" s="4" t="inlineStr">
        <is>
          <t>(Factory)</t>
        </is>
      </c>
      <c r="F2590" s="4" t="inlineStr">
        <is>
          <t>GOC Bed Unit-Costing Model v2 — working original.xlsx</t>
        </is>
      </c>
    </row>
    <row r="2591" ht="40" customHeight="1">
      <c r="A2591" s="4" t="inlineStr">
        <is>
          <t>original:Inputs (1)!C36</t>
        </is>
      </c>
      <c r="B2591" s="4" t="inlineStr">
        <is>
          <t>Inputs (1)</t>
        </is>
      </c>
      <c r="C2591" s="4" t="inlineStr">
        <is>
          <t>C36</t>
        </is>
      </c>
      <c r="D2591" s="4" t="inlineStr">
        <is>
          <t>(Community)</t>
        </is>
      </c>
      <c r="E2591" s="4" t="inlineStr">
        <is>
          <t>(Community)</t>
        </is>
      </c>
      <c r="F2591" s="4" t="inlineStr">
        <is>
          <t>GOC Bed Unit-Costing Model v2 — working original.xlsx</t>
        </is>
      </c>
    </row>
    <row r="2592" ht="40" customHeight="1">
      <c r="A2592" s="4" t="inlineStr">
        <is>
          <t>original:Inputs (1)!A37</t>
        </is>
      </c>
      <c r="B2592" s="4" t="inlineStr">
        <is>
          <t>Inputs (1)</t>
        </is>
      </c>
      <c r="C2592" s="4" t="inlineStr">
        <is>
          <t>A37</t>
        </is>
      </c>
      <c r="D2592" s="4" t="inlineStr">
        <is>
          <t>Bed Facility Build (low)</t>
        </is>
      </c>
      <c r="E2592" s="4" t="inlineStr">
        <is>
          <t>Bed Facility Build (low)</t>
        </is>
      </c>
      <c r="F2592" s="4" t="inlineStr">
        <is>
          <t>GOC Bed Unit-Costing Model v2 — working original.xlsx</t>
        </is>
      </c>
    </row>
    <row r="2593" ht="40" customHeight="1">
      <c r="A2593" s="4" t="inlineStr">
        <is>
          <t>original:Inputs (1)!B37</t>
        </is>
      </c>
      <c r="B2593" s="4" t="inlineStr">
        <is>
          <t>Inputs (1)</t>
        </is>
      </c>
      <c r="C2593" s="4" t="inlineStr">
        <is>
          <t>B37</t>
        </is>
      </c>
      <c r="D2593" s="4" t="n">
        <v>105000</v>
      </c>
      <c r="E2593" s="4" t="n">
        <v>105000</v>
      </c>
      <c r="F2593" s="4" t="inlineStr">
        <is>
          <t>GOC Bed Unit-Costing Model v2 — working original.xlsx</t>
        </is>
      </c>
    </row>
    <row r="2594" ht="40" customHeight="1">
      <c r="A2594" s="4" t="inlineStr">
        <is>
          <t>original:Inputs (1)!C37</t>
        </is>
      </c>
      <c r="B2594" s="4" t="inlineStr">
        <is>
          <t>Inputs (1)</t>
        </is>
      </c>
      <c r="C2594" s="4" t="inlineStr">
        <is>
          <t>C37</t>
        </is>
      </c>
      <c r="D2594" s="4" t="n">
        <v>105000</v>
      </c>
      <c r="E2594" s="4" t="n">
        <v>105000</v>
      </c>
      <c r="F2594" s="4" t="inlineStr">
        <is>
          <t>GOC Bed Unit-Costing Model v2 — working original.xlsx</t>
        </is>
      </c>
    </row>
    <row r="2595" ht="135" customHeight="1">
      <c r="A2595" s="4" t="inlineStr">
        <is>
          <t>original:Inputs (1)!D37</t>
        </is>
      </c>
      <c r="B2595" s="4" t="inlineStr">
        <is>
          <t>Inputs (1)</t>
        </is>
      </c>
      <c r="C2595" s="4" t="inlineStr">
        <is>
          <t>D37</t>
        </is>
      </c>
      <c r="D2595" s="4" t="inlineStr">
        <is>
          <t>Minimal viable facility replication midpoint, built on the equipment set Goods already runs (Known Other Costs A31). Excludes freight to site and installation, so the line below is added to it.</t>
        </is>
      </c>
      <c r="E2595" s="4" t="inlineStr">
        <is>
          <t>Minimal viable facility replication midpoint, built on the equipment set Goods already runs (Known Other Costs A31). Excludes freight to site and installation, so the line below is added to it.</t>
        </is>
      </c>
      <c r="F2595" s="4" t="inlineStr">
        <is>
          <t>GOC Bed Unit-Costing Model v2 — working original.xlsx</t>
        </is>
      </c>
    </row>
    <row r="2596" ht="40" customHeight="1">
      <c r="A2596" s="4" t="inlineStr">
        <is>
          <t>original:Inputs (1)!F37</t>
        </is>
      </c>
      <c r="B2596" s="4" t="inlineStr">
        <is>
          <t>Inputs (1)</t>
        </is>
      </c>
      <c r="C2596" s="4" t="inlineStr">
        <is>
          <t>F37</t>
        </is>
      </c>
      <c r="D2596" s="4" t="inlineStr">
        <is>
          <t>REPAYABLE CAPITAL</t>
        </is>
      </c>
      <c r="E2596" s="4" t="inlineStr">
        <is>
          <t>REPAYABLE CAPITAL</t>
        </is>
      </c>
      <c r="F2596" s="4" t="inlineStr">
        <is>
          <t>GOC Bed Unit-Costing Model v2 — working original.xlsx</t>
        </is>
      </c>
    </row>
    <row r="2597" ht="40" customHeight="1">
      <c r="A2597" s="4" t="inlineStr">
        <is>
          <t>original:Inputs (1)!J37</t>
        </is>
      </c>
      <c r="B2597" s="4" t="inlineStr">
        <is>
          <t>Inputs (1)</t>
        </is>
      </c>
      <c r="C2597" s="4" t="inlineStr">
        <is>
          <t>J37</t>
        </is>
      </c>
      <c r="D2597" s="4" t="inlineStr">
        <is>
          <t>Notes</t>
        </is>
      </c>
      <c r="E2597" s="4" t="inlineStr">
        <is>
          <t>Notes</t>
        </is>
      </c>
      <c r="F2597" s="4" t="inlineStr">
        <is>
          <t>GOC Bed Unit-Costing Model v2 — working original.xlsx</t>
        </is>
      </c>
    </row>
    <row r="2598" ht="40" customHeight="1">
      <c r="A2598" s="4" t="inlineStr">
        <is>
          <t>original:Inputs (1)!A38</t>
        </is>
      </c>
      <c r="B2598" s="4" t="inlineStr">
        <is>
          <t>Inputs (1)</t>
        </is>
      </c>
      <c r="C2598" s="4" t="inlineStr">
        <is>
          <t>A38</t>
        </is>
      </c>
      <c r="D2598" s="4" t="inlineStr">
        <is>
          <t>Bed Facility Build (high)</t>
        </is>
      </c>
      <c r="E2598" s="4" t="inlineStr">
        <is>
          <t>Bed Facility Build (high)</t>
        </is>
      </c>
      <c r="F2598" s="4" t="inlineStr">
        <is>
          <t>GOC Bed Unit-Costing Model v2 — working original.xlsx</t>
        </is>
      </c>
    </row>
    <row r="2599" ht="40" customHeight="1">
      <c r="A2599" s="4" t="inlineStr">
        <is>
          <t>original:Inputs (1)!B38</t>
        </is>
      </c>
      <c r="B2599" s="4" t="inlineStr">
        <is>
          <t>Inputs (1)</t>
        </is>
      </c>
      <c r="C2599" s="4" t="inlineStr">
        <is>
          <t>B38</t>
        </is>
      </c>
      <c r="D2599" s="4" t="n">
        <v>207450</v>
      </c>
      <c r="E2599" s="4" t="n">
        <v>207450</v>
      </c>
      <c r="F2599" s="4" t="inlineStr">
        <is>
          <t>GOC Bed Unit-Costing Model v2 — working original.xlsx</t>
        </is>
      </c>
    </row>
    <row r="2600" ht="40" customHeight="1">
      <c r="A2600" s="4" t="inlineStr">
        <is>
          <t>original:Inputs (1)!C38</t>
        </is>
      </c>
      <c r="B2600" s="4" t="inlineStr">
        <is>
          <t>Inputs (1)</t>
        </is>
      </c>
      <c r="C2600" s="4" t="inlineStr">
        <is>
          <t>C38</t>
        </is>
      </c>
      <c r="D2600" s="4" t="n">
        <v>207450</v>
      </c>
      <c r="E2600" s="4" t="n">
        <v>207450</v>
      </c>
      <c r="F2600" s="4" t="inlineStr">
        <is>
          <t>GOC Bed Unit-Costing Model v2 — working original.xlsx</t>
        </is>
      </c>
    </row>
    <row r="2601" ht="165" customHeight="1">
      <c r="A2601" s="4" t="inlineStr">
        <is>
          <t>original:Inputs (1)!D38</t>
        </is>
      </c>
      <c r="B2601" s="4" t="inlineStr">
        <is>
          <t>Inputs (1)</t>
        </is>
      </c>
      <c r="C2601" s="4" t="inlineStr">
        <is>
          <t>D38</t>
        </is>
      </c>
      <c r="D2601" s="4" t="inlineStr">
        <is>
          <t>Turnkey 40ft container workshop, bought new: $167,000 equipment midpoint + $40,450 container lines (Unit-Costing Model v2, Inputs B27). ALREADY INCLUDES freight to site $5,000 and installation and training $3,000, so the line below is NOT added to it.</t>
        </is>
      </c>
      <c r="E2601" s="4" t="inlineStr">
        <is>
          <t>Turnkey 40ft container workshop, bought new: $167,000 equipment midpoint + $40,450 container lines (Unit-Costing Model v2, Inputs B27). ALREADY INCLUDES freight to site $5,000 and installation and training $3,000, so the line below is NOT added to it.</t>
        </is>
      </c>
      <c r="F2601" s="4" t="inlineStr">
        <is>
          <t>GOC Bed Unit-Costing Model v2 — working original.xlsx</t>
        </is>
      </c>
    </row>
    <row r="2602" ht="40" customHeight="1">
      <c r="A2602" s="4" t="inlineStr">
        <is>
          <t>original:Inputs (1)!F38</t>
        </is>
      </c>
      <c r="B2602" s="4" t="inlineStr">
        <is>
          <t>Inputs (1)</t>
        </is>
      </c>
      <c r="C2602" s="4" t="inlineStr">
        <is>
          <t>F38</t>
        </is>
      </c>
      <c r="D2602" s="4" t="inlineStr">
        <is>
          <t>Source 1</t>
        </is>
      </c>
      <c r="E2602" s="4" t="inlineStr">
        <is>
          <t>Source 1</t>
        </is>
      </c>
      <c r="F2602" s="4" t="inlineStr">
        <is>
          <t>GOC Bed Unit-Costing Model v2 — working original.xlsx</t>
        </is>
      </c>
    </row>
    <row r="2603" ht="40" customHeight="1">
      <c r="A2603" s="4" t="inlineStr">
        <is>
          <t>original:Inputs (1)!G38</t>
        </is>
      </c>
      <c r="B2603" s="4" t="inlineStr">
        <is>
          <t>Inputs (1)</t>
        </is>
      </c>
      <c r="C2603" s="4" t="inlineStr">
        <is>
          <t>G38</t>
        </is>
      </c>
      <c r="D2603" s="4" t="n">
        <v>0</v>
      </c>
      <c r="E2603" s="4" t="n">
        <v>0</v>
      </c>
      <c r="F2603" s="4" t="inlineStr">
        <is>
          <t>GOC Bed Unit-Costing Model v2 — working original.xlsx</t>
        </is>
      </c>
    </row>
    <row r="2604" ht="40" customHeight="1">
      <c r="A2604" s="4" t="inlineStr">
        <is>
          <t>original:Inputs (1)!H38</t>
        </is>
      </c>
      <c r="B2604" s="4" t="inlineStr">
        <is>
          <t>Inputs (1)</t>
        </is>
      </c>
      <c r="C2604" s="4" t="inlineStr">
        <is>
          <t>H38</t>
        </is>
      </c>
      <c r="D2604" s="4" t="n">
        <v>0</v>
      </c>
      <c r="E2604" s="4" t="n">
        <v>0</v>
      </c>
      <c r="F2604" s="4" t="inlineStr">
        <is>
          <t>GOC Bed Unit-Costing Model v2 — working original.xlsx</t>
        </is>
      </c>
    </row>
    <row r="2605" ht="40" customHeight="1">
      <c r="A2605" s="4" t="inlineStr">
        <is>
          <t>original:Inputs (1)!I38</t>
        </is>
      </c>
      <c r="B2605" s="4" t="inlineStr">
        <is>
          <t>Inputs (1)</t>
        </is>
      </c>
      <c r="C2605" s="4" t="inlineStr">
        <is>
          <t>I38</t>
        </is>
      </c>
      <c r="D2605" s="4" t="n">
        <v>0</v>
      </c>
      <c r="E2605" s="4" t="n">
        <v>0</v>
      </c>
      <c r="F2605" s="4" t="inlineStr">
        <is>
          <t>GOC Bed Unit-Costing Model v2 — working original.xlsx</t>
        </is>
      </c>
    </row>
    <row r="2606" ht="150" customHeight="1">
      <c r="A2606" s="4" t="inlineStr">
        <is>
          <t>original:Inputs (1)!J38</t>
        </is>
      </c>
      <c r="B2606" s="4" t="inlineStr">
        <is>
          <t>Inputs (1)</t>
        </is>
      </c>
      <c r="C2606" s="4" t="inlineStr">
        <is>
          <t>J38</t>
        </is>
      </c>
      <c r="D2606" s="4" t="inlineStr">
        <is>
          <t>TO CONFIRM. Candidate: SEFA $300,000, November 2026, in the documented base-case stack (04-verified-financials §4). Entered at nil because no interest rate, term or repayment commencement exists in any source.</t>
        </is>
      </c>
      <c r="E2606" s="4" t="inlineStr">
        <is>
          <t>TO CONFIRM. Candidate: SEFA $300,000, November 2026, in the documented base-case stack (04-verified-financials §4). Entered at nil because no interest rate, term or repayment commencement exists in any source.</t>
        </is>
      </c>
      <c r="F2606" s="4" t="inlineStr">
        <is>
          <t>GOC Bed Unit-Costing Model v2 — working original.xlsx</t>
        </is>
      </c>
    </row>
    <row r="2607" ht="40" customHeight="1">
      <c r="A2607" s="4" t="inlineStr">
        <is>
          <t>original:Inputs (1)!A39</t>
        </is>
      </c>
      <c r="B2607" s="4" t="inlineStr">
        <is>
          <t>Inputs (1)</t>
        </is>
      </c>
      <c r="C2607" s="4" t="inlineStr">
        <is>
          <t>A39</t>
        </is>
      </c>
      <c r="D2607" s="4" t="inlineStr">
        <is>
          <t>Build cost basis used  (Low or High)</t>
        </is>
      </c>
      <c r="E2607" s="4" t="inlineStr">
        <is>
          <t>Build cost basis used  (Low or High)</t>
        </is>
      </c>
      <c r="F2607" s="4" t="inlineStr">
        <is>
          <t>GOC Bed Unit-Costing Model v2 — working original.xlsx</t>
        </is>
      </c>
    </row>
    <row r="2608" ht="40" customHeight="1">
      <c r="A2608" s="4" t="inlineStr">
        <is>
          <t>original:Inputs (1)!B39</t>
        </is>
      </c>
      <c r="B2608" s="4" t="inlineStr">
        <is>
          <t>Inputs (1)</t>
        </is>
      </c>
      <c r="C2608" s="4" t="inlineStr">
        <is>
          <t>B39</t>
        </is>
      </c>
      <c r="D2608" s="4" t="inlineStr">
        <is>
          <t>High</t>
        </is>
      </c>
      <c r="E2608" s="4" t="inlineStr">
        <is>
          <t>High</t>
        </is>
      </c>
      <c r="F2608" s="4" t="inlineStr">
        <is>
          <t>GOC Bed Unit-Costing Model v2 — working original.xlsx</t>
        </is>
      </c>
    </row>
    <row r="2609" ht="40" customHeight="1">
      <c r="A2609" s="4" t="inlineStr">
        <is>
          <t>original:Inputs (1)!C39</t>
        </is>
      </c>
      <c r="B2609" s="4" t="inlineStr">
        <is>
          <t>Inputs (1)</t>
        </is>
      </c>
      <c r="C2609" s="4" t="inlineStr">
        <is>
          <t>C39</t>
        </is>
      </c>
      <c r="D2609" s="4" t="inlineStr">
        <is>
          <t>High</t>
        </is>
      </c>
      <c r="E2609" s="4" t="inlineStr">
        <is>
          <t>High</t>
        </is>
      </c>
      <c r="F2609" s="4" t="inlineStr">
        <is>
          <t>GOC Bed Unit-Costing Model v2 — working original.xlsx</t>
        </is>
      </c>
    </row>
    <row r="2610" ht="120" customHeight="1">
      <c r="A2610" s="4" t="inlineStr">
        <is>
          <t>original:Inputs (1)!D39</t>
        </is>
      </c>
      <c r="B2610" s="4" t="inlineStr">
        <is>
          <t>Inputs (1)</t>
        </is>
      </c>
      <c r="C2610" s="4" t="inlineStr">
        <is>
          <t>D39</t>
        </is>
      </c>
      <c r="D2610" s="4" t="inlineStr">
        <is>
          <t>TO CONFIRM which basis is the base case. Type Low or High. Defaulted to High: it is the conservative, investor-facing figure and it is what the unit-costing model uses.</t>
        </is>
      </c>
      <c r="E2610" s="4" t="inlineStr">
        <is>
          <t>TO CONFIRM which basis is the base case. Type Low or High. Defaulted to High: it is the conservative, investor-facing figure and it is what the unit-costing model uses.</t>
        </is>
      </c>
      <c r="F2610" s="4" t="inlineStr">
        <is>
          <t>GOC Bed Unit-Costing Model v2 — working original.xlsx</t>
        </is>
      </c>
    </row>
    <row r="2611" ht="40" customHeight="1">
      <c r="A2611" s="4" t="inlineStr">
        <is>
          <t>original:Inputs (1)!F39</t>
        </is>
      </c>
      <c r="B2611" s="4" t="inlineStr">
        <is>
          <t>Inputs (1)</t>
        </is>
      </c>
      <c r="C2611" s="4" t="inlineStr">
        <is>
          <t>F39</t>
        </is>
      </c>
      <c r="D2611" s="4" t="inlineStr">
        <is>
          <t>Source 2</t>
        </is>
      </c>
      <c r="E2611" s="4" t="inlineStr">
        <is>
          <t>Source 2</t>
        </is>
      </c>
      <c r="F2611" s="4" t="inlineStr">
        <is>
          <t>GOC Bed Unit-Costing Model v2 — working original.xlsx</t>
        </is>
      </c>
    </row>
    <row r="2612" ht="40" customHeight="1">
      <c r="A2612" s="4" t="inlineStr">
        <is>
          <t>original:Inputs (1)!G39</t>
        </is>
      </c>
      <c r="B2612" s="4" t="inlineStr">
        <is>
          <t>Inputs (1)</t>
        </is>
      </c>
      <c r="C2612" s="4" t="inlineStr">
        <is>
          <t>G39</t>
        </is>
      </c>
      <c r="D2612" s="4" t="n">
        <v>0</v>
      </c>
      <c r="E2612" s="4" t="n">
        <v>0</v>
      </c>
      <c r="F2612" s="4" t="inlineStr">
        <is>
          <t>GOC Bed Unit-Costing Model v2 — working original.xlsx</t>
        </is>
      </c>
    </row>
    <row r="2613" ht="40" customHeight="1">
      <c r="A2613" s="4" t="inlineStr">
        <is>
          <t>original:Inputs (1)!H39</t>
        </is>
      </c>
      <c r="B2613" s="4" t="inlineStr">
        <is>
          <t>Inputs (1)</t>
        </is>
      </c>
      <c r="C2613" s="4" t="inlineStr">
        <is>
          <t>H39</t>
        </is>
      </c>
      <c r="D2613" s="4" t="n">
        <v>0</v>
      </c>
      <c r="E2613" s="4" t="n">
        <v>0</v>
      </c>
      <c r="F2613" s="4" t="inlineStr">
        <is>
          <t>GOC Bed Unit-Costing Model v2 — working original.xlsx</t>
        </is>
      </c>
    </row>
    <row r="2614" ht="40" customHeight="1">
      <c r="A2614" s="4" t="inlineStr">
        <is>
          <t>original:Inputs (1)!I39</t>
        </is>
      </c>
      <c r="B2614" s="4" t="inlineStr">
        <is>
          <t>Inputs (1)</t>
        </is>
      </c>
      <c r="C2614" s="4" t="inlineStr">
        <is>
          <t>I39</t>
        </is>
      </c>
      <c r="D2614" s="4" t="n">
        <v>0</v>
      </c>
      <c r="E2614" s="4" t="n">
        <v>0</v>
      </c>
      <c r="F2614" s="4" t="inlineStr">
        <is>
          <t>GOC Bed Unit-Costing Model v2 — working original.xlsx</t>
        </is>
      </c>
    </row>
    <row r="2615" ht="40" customHeight="1">
      <c r="A2615" s="4" t="inlineStr">
        <is>
          <t>original:Inputs (1)!J39</t>
        </is>
      </c>
      <c r="B2615" s="4" t="inlineStr">
        <is>
          <t>Inputs (1)</t>
        </is>
      </c>
      <c r="C2615" s="4" t="inlineStr">
        <is>
          <t>J39</t>
        </is>
      </c>
      <c r="D2615" s="4" t="inlineStr">
        <is>
          <t>TO CONFIRM.</t>
        </is>
      </c>
      <c r="E2615" s="4" t="inlineStr">
        <is>
          <t>TO CONFIRM.</t>
        </is>
      </c>
      <c r="F2615" s="4" t="inlineStr">
        <is>
          <t>GOC Bed Unit-Costing Model v2 — working original.xlsx</t>
        </is>
      </c>
    </row>
    <row r="2616" ht="40" customHeight="1">
      <c r="A2616" s="4" t="inlineStr">
        <is>
          <t>original:Inputs (1)!A40</t>
        </is>
      </c>
      <c r="B2616" s="4" t="inlineStr">
        <is>
          <t>Inputs (1)</t>
        </is>
      </c>
      <c r="C2616" s="4" t="inlineStr">
        <is>
          <t>A40</t>
        </is>
      </c>
      <c r="D2616" s="4" t="inlineStr">
        <is>
          <t>Container Freight, Installation and Training</t>
        </is>
      </c>
      <c r="E2616" s="4" t="inlineStr">
        <is>
          <t>Container Freight, Installation and Training</t>
        </is>
      </c>
      <c r="F2616" s="4" t="inlineStr">
        <is>
          <t>GOC Bed Unit-Costing Model v2 — working original.xlsx</t>
        </is>
      </c>
    </row>
    <row r="2617" ht="40" customHeight="1">
      <c r="A2617" s="4" t="inlineStr">
        <is>
          <t>original:Inputs (1)!B40</t>
        </is>
      </c>
      <c r="B2617" s="4" t="inlineStr">
        <is>
          <t>Inputs (1)</t>
        </is>
      </c>
      <c r="C2617" s="4" t="inlineStr">
        <is>
          <t>B40</t>
        </is>
      </c>
      <c r="D2617" s="4" t="n">
        <v>0</v>
      </c>
      <c r="E2617" s="4" t="n">
        <v>0</v>
      </c>
      <c r="F2617" s="4" t="inlineStr">
        <is>
          <t>GOC Bed Unit-Costing Model v2 — working original.xlsx</t>
        </is>
      </c>
    </row>
    <row r="2618" ht="40" customHeight="1">
      <c r="A2618" s="4" t="inlineStr">
        <is>
          <t>original:Inputs (1)!C40</t>
        </is>
      </c>
      <c r="B2618" s="4" t="inlineStr">
        <is>
          <t>Inputs (1)</t>
        </is>
      </c>
      <c r="C2618" s="4" t="inlineStr">
        <is>
          <t>C40</t>
        </is>
      </c>
      <c r="D2618" s="4" t="n">
        <v>8000</v>
      </c>
      <c r="E2618" s="4" t="n">
        <v>8000</v>
      </c>
      <c r="F2618" s="4" t="inlineStr">
        <is>
          <t>GOC Bed Unit-Costing Model v2 — working original.xlsx</t>
        </is>
      </c>
    </row>
    <row r="2619" ht="165" customHeight="1">
      <c r="A2619" s="4" t="inlineStr">
        <is>
          <t>original:Inputs (1)!D40</t>
        </is>
      </c>
      <c r="B2619" s="4" t="inlineStr">
        <is>
          <t>Inputs (1)</t>
        </is>
      </c>
      <c r="C2619" s="4" t="inlineStr">
        <is>
          <t>D40</t>
        </is>
      </c>
      <c r="D2619" s="4" t="inlineStr">
        <is>
          <t>Freight to site $5,000 + installation and training $3,000 (Capex Estimates C and D). Nil for a factory, which is not shipped. Applied only when the Low basis is selected, to avoid double-counting the same two items inside the High figure.</t>
        </is>
      </c>
      <c r="E2619" s="4" t="inlineStr">
        <is>
          <t>Freight to site $5,000 + installation and training $3,000 (Capex Estimates C and D). Nil for a factory, which is not shipped. Applied only when the Low basis is selected, to avoid double-counting the same two items inside the High figure.</t>
        </is>
      </c>
      <c r="F2619" s="4" t="inlineStr">
        <is>
          <t>GOC Bed Unit-Costing Model v2 — working original.xlsx</t>
        </is>
      </c>
    </row>
    <row r="2620" ht="40" customHeight="1">
      <c r="A2620" s="4" t="inlineStr">
        <is>
          <t>original:Inputs (1)!F40</t>
        </is>
      </c>
      <c r="B2620" s="4" t="inlineStr">
        <is>
          <t>Inputs (1)</t>
        </is>
      </c>
      <c r="C2620" s="4" t="inlineStr">
        <is>
          <t>F40</t>
        </is>
      </c>
      <c r="D2620" s="4" t="inlineStr">
        <is>
          <t>Source 3</t>
        </is>
      </c>
      <c r="E2620" s="4" t="inlineStr">
        <is>
          <t>Source 3</t>
        </is>
      </c>
      <c r="F2620" s="4" t="inlineStr">
        <is>
          <t>GOC Bed Unit-Costing Model v2 — working original.xlsx</t>
        </is>
      </c>
    </row>
    <row r="2621" ht="40" customHeight="1">
      <c r="A2621" s="4" t="inlineStr">
        <is>
          <t>original:Inputs (1)!G40</t>
        </is>
      </c>
      <c r="B2621" s="4" t="inlineStr">
        <is>
          <t>Inputs (1)</t>
        </is>
      </c>
      <c r="C2621" s="4" t="inlineStr">
        <is>
          <t>G40</t>
        </is>
      </c>
      <c r="D2621" s="4" t="n">
        <v>0</v>
      </c>
      <c r="E2621" s="4" t="n">
        <v>0</v>
      </c>
      <c r="F2621" s="4" t="inlineStr">
        <is>
          <t>GOC Bed Unit-Costing Model v2 — working original.xlsx</t>
        </is>
      </c>
    </row>
    <row r="2622" ht="40" customHeight="1">
      <c r="A2622" s="4" t="inlineStr">
        <is>
          <t>original:Inputs (1)!H40</t>
        </is>
      </c>
      <c r="B2622" s="4" t="inlineStr">
        <is>
          <t>Inputs (1)</t>
        </is>
      </c>
      <c r="C2622" s="4" t="inlineStr">
        <is>
          <t>H40</t>
        </is>
      </c>
      <c r="D2622" s="4" t="n">
        <v>0</v>
      </c>
      <c r="E2622" s="4" t="n">
        <v>0</v>
      </c>
      <c r="F2622" s="4" t="inlineStr">
        <is>
          <t>GOC Bed Unit-Costing Model v2 — working original.xlsx</t>
        </is>
      </c>
    </row>
    <row r="2623" ht="40" customHeight="1">
      <c r="A2623" s="4" t="inlineStr">
        <is>
          <t>original:Inputs (1)!I40</t>
        </is>
      </c>
      <c r="B2623" s="4" t="inlineStr">
        <is>
          <t>Inputs (1)</t>
        </is>
      </c>
      <c r="C2623" s="4" t="inlineStr">
        <is>
          <t>I40</t>
        </is>
      </c>
      <c r="D2623" s="4" t="n">
        <v>0</v>
      </c>
      <c r="E2623" s="4" t="n">
        <v>0</v>
      </c>
      <c r="F2623" s="4" t="inlineStr">
        <is>
          <t>GOC Bed Unit-Costing Model v2 — working original.xlsx</t>
        </is>
      </c>
    </row>
    <row r="2624" ht="40" customHeight="1">
      <c r="A2624" s="4" t="inlineStr">
        <is>
          <t>original:Inputs (1)!J40</t>
        </is>
      </c>
      <c r="B2624" s="4" t="inlineStr">
        <is>
          <t>Inputs (1)</t>
        </is>
      </c>
      <c r="C2624" s="4" t="inlineStr">
        <is>
          <t>J40</t>
        </is>
      </c>
      <c r="D2624" s="4" t="inlineStr">
        <is>
          <t>TO CONFIRM.</t>
        </is>
      </c>
      <c r="E2624" s="4" t="inlineStr">
        <is>
          <t>TO CONFIRM.</t>
        </is>
      </c>
      <c r="F2624" s="4" t="inlineStr">
        <is>
          <t>GOC Bed Unit-Costing Model v2 — working original.xlsx</t>
        </is>
      </c>
    </row>
    <row r="2625" ht="40" customHeight="1">
      <c r="A2625" s="4" t="inlineStr">
        <is>
          <t>original:Inputs (1)!A41</t>
        </is>
      </c>
      <c r="B2625" s="4" t="inlineStr">
        <is>
          <t>Inputs (1)</t>
        </is>
      </c>
      <c r="C2625" s="4" t="inlineStr">
        <is>
          <t>A41</t>
        </is>
      </c>
      <c r="D2625" s="4" t="inlineStr">
        <is>
          <t>FACILITY BUILD COST USED</t>
        </is>
      </c>
      <c r="E2625" s="4" t="inlineStr">
        <is>
          <t>FACILITY BUILD COST USED</t>
        </is>
      </c>
      <c r="F2625" s="4" t="inlineStr">
        <is>
          <t>GOC Bed Unit-Costing Model v2 — working original.xlsx</t>
        </is>
      </c>
    </row>
    <row r="2626" ht="40" customHeight="1">
      <c r="A2626" s="4" t="inlineStr">
        <is>
          <t>original:Inputs (1)!B41</t>
        </is>
      </c>
      <c r="B2626" s="4" t="inlineStr">
        <is>
          <t>Inputs (1)</t>
        </is>
      </c>
      <c r="C2626" s="4" t="inlineStr">
        <is>
          <t>B41</t>
        </is>
      </c>
      <c r="D2626" s="4" t="inlineStr">
        <is>
          <t>=IF(B39="Low",B37+B40,B38)</t>
        </is>
      </c>
      <c r="E2626" s="4" t="n">
        <v>207450</v>
      </c>
      <c r="F2626" s="4" t="inlineStr">
        <is>
          <t>GOC Bed Unit-Costing Model v2 — working original.xlsx</t>
        </is>
      </c>
    </row>
    <row r="2627" ht="40" customHeight="1">
      <c r="A2627" s="4" t="inlineStr">
        <is>
          <t>original:Inputs (1)!C41</t>
        </is>
      </c>
      <c r="B2627" s="4" t="inlineStr">
        <is>
          <t>Inputs (1)</t>
        </is>
      </c>
      <c r="C2627" s="4" t="inlineStr">
        <is>
          <t>C41</t>
        </is>
      </c>
      <c r="D2627" s="4" t="inlineStr">
        <is>
          <t>=IF(C39="Low",C37+C40,C38)</t>
        </is>
      </c>
      <c r="E2627" s="4" t="n">
        <v>207450</v>
      </c>
      <c r="F2627" s="4" t="inlineStr">
        <is>
          <t>GOC Bed Unit-Costing Model v2 — working original.xlsx</t>
        </is>
      </c>
    </row>
    <row r="2628" ht="40" customHeight="1">
      <c r="A2628" s="4" t="inlineStr">
        <is>
          <t>original:Inputs (1)!F41</t>
        </is>
      </c>
      <c r="B2628" s="4" t="inlineStr">
        <is>
          <t>Inputs (1)</t>
        </is>
      </c>
      <c r="C2628" s="4" t="inlineStr">
        <is>
          <t>F41</t>
        </is>
      </c>
      <c r="D2628" s="4" t="inlineStr">
        <is>
          <t>TOTAL REPAYABLE CAPITAL DRAWN</t>
        </is>
      </c>
      <c r="E2628" s="4" t="inlineStr">
        <is>
          <t>TOTAL REPAYABLE CAPITAL DRAWN</t>
        </is>
      </c>
      <c r="F2628" s="4" t="inlineStr">
        <is>
          <t>GOC Bed Unit-Costing Model v2 — working original.xlsx</t>
        </is>
      </c>
    </row>
    <row r="2629" ht="40" customHeight="1">
      <c r="A2629" s="4" t="inlineStr">
        <is>
          <t>original:Inputs (1)!G41</t>
        </is>
      </c>
      <c r="B2629" s="4" t="inlineStr">
        <is>
          <t>Inputs (1)</t>
        </is>
      </c>
      <c r="C2629" s="4" t="inlineStr">
        <is>
          <t>G41</t>
        </is>
      </c>
      <c r="D2629" s="4" t="inlineStr">
        <is>
          <t>=SUM(G38:G40)</t>
        </is>
      </c>
      <c r="E2629" s="4" t="n">
        <v>0</v>
      </c>
      <c r="F2629" s="4" t="inlineStr">
        <is>
          <t>GOC Bed Unit-Costing Model v2 — working original.xlsx</t>
        </is>
      </c>
    </row>
    <row r="2630" ht="40" customHeight="1">
      <c r="A2630" s="4" t="inlineStr">
        <is>
          <t>original:Inputs (1)!H41</t>
        </is>
      </c>
      <c r="B2630" s="4" t="inlineStr">
        <is>
          <t>Inputs (1)</t>
        </is>
      </c>
      <c r="C2630" s="4" t="inlineStr">
        <is>
          <t>H41</t>
        </is>
      </c>
      <c r="D2630" s="4" t="inlineStr">
        <is>
          <t>=SUM(H38:H40)</t>
        </is>
      </c>
      <c r="E2630" s="4" t="n">
        <v>0</v>
      </c>
      <c r="F2630" s="4" t="inlineStr">
        <is>
          <t>GOC Bed Unit-Costing Model v2 — working original.xlsx</t>
        </is>
      </c>
    </row>
    <row r="2631" ht="40" customHeight="1">
      <c r="A2631" s="4" t="inlineStr">
        <is>
          <t>original:Inputs (1)!I41</t>
        </is>
      </c>
      <c r="B2631" s="4" t="inlineStr">
        <is>
          <t>Inputs (1)</t>
        </is>
      </c>
      <c r="C2631" s="4" t="inlineStr">
        <is>
          <t>I41</t>
        </is>
      </c>
      <c r="D2631" s="4" t="inlineStr">
        <is>
          <t>=SUM(I38:I40)</t>
        </is>
      </c>
      <c r="E2631" s="4" t="n">
        <v>0</v>
      </c>
      <c r="F2631" s="4" t="inlineStr">
        <is>
          <t>GOC Bed Unit-Costing Model v2 — working original.xlsx</t>
        </is>
      </c>
    </row>
    <row r="2632" ht="40" customHeight="1">
      <c r="A2632" s="4" t="inlineStr">
        <is>
          <t>original:Inputs (1)!A42</t>
        </is>
      </c>
      <c r="B2632" s="4" t="inlineStr">
        <is>
          <t>Inputs (1)</t>
        </is>
      </c>
      <c r="C2632" s="4" t="inlineStr">
        <is>
          <t>A42</t>
        </is>
      </c>
      <c r="D2632" s="4" t="inlineStr">
        <is>
          <t>Equipment Maintenance p/a</t>
        </is>
      </c>
      <c r="E2632" s="4" t="inlineStr">
        <is>
          <t>Equipment Maintenance p/a</t>
        </is>
      </c>
      <c r="F2632" s="4" t="inlineStr">
        <is>
          <t>GOC Bed Unit-Costing Model v2 — working original.xlsx</t>
        </is>
      </c>
    </row>
    <row r="2633" ht="40" customHeight="1">
      <c r="A2633" s="4" t="inlineStr">
        <is>
          <t>original:Inputs (1)!B42</t>
        </is>
      </c>
      <c r="B2633" s="4" t="inlineStr">
        <is>
          <t>Inputs (1)</t>
        </is>
      </c>
      <c r="C2633" s="4" t="inlineStr">
        <is>
          <t>B42</t>
        </is>
      </c>
      <c r="D2633" s="4" t="n">
        <v>8350</v>
      </c>
      <c r="E2633" s="4" t="n">
        <v>8350</v>
      </c>
      <c r="F2633" s="4" t="inlineStr">
        <is>
          <t>GOC Bed Unit-Costing Model v2 — working original.xlsx</t>
        </is>
      </c>
    </row>
    <row r="2634" ht="40" customHeight="1">
      <c r="A2634" s="4" t="inlineStr">
        <is>
          <t>original:Inputs (1)!C42</t>
        </is>
      </c>
      <c r="B2634" s="4" t="inlineStr">
        <is>
          <t>Inputs (1)</t>
        </is>
      </c>
      <c r="C2634" s="4" t="inlineStr">
        <is>
          <t>C42</t>
        </is>
      </c>
      <c r="D2634" s="4" t="n">
        <v>8350</v>
      </c>
      <c r="E2634" s="4" t="n">
        <v>8350</v>
      </c>
      <c r="F2634" s="4" t="inlineStr">
        <is>
          <t>GOC Bed Unit-Costing Model v2 — working original.xlsx</t>
        </is>
      </c>
    </row>
    <row r="2635" ht="165" customHeight="1">
      <c r="A2635" s="4" t="inlineStr">
        <is>
          <t>original:Inputs (1)!D42</t>
        </is>
      </c>
      <c r="B2635" s="4" t="inlineStr">
        <is>
          <t>Inputs (1)</t>
        </is>
      </c>
      <c r="C2635" s="4" t="inlineStr">
        <is>
          <t>D42</t>
        </is>
      </c>
      <c r="D2635" s="4" t="inlineStr">
        <is>
          <t>TO CONFIRM. 5% of the $167,000 equipment subtotal, per Q&amp;A Q9, pending the three vendor quotes. Covers blades, filters, CNC bits, the EnRoute CAM licence and an annual service. Can be combined across products or split per product line.</t>
        </is>
      </c>
      <c r="E2635" s="4" t="inlineStr">
        <is>
          <t>TO CONFIRM. 5% of the $167,000 equipment subtotal, per Q&amp;A Q9, pending the three vendor quotes. Covers blades, filters, CNC bits, the EnRoute CAM licence and an annual service. Can be combined across products or split per product line.</t>
        </is>
      </c>
      <c r="F2635" s="4" t="inlineStr">
        <is>
          <t>GOC Bed Unit-Costing Model v2 — working original.xlsx</t>
        </is>
      </c>
    </row>
    <row r="2636" ht="40" customHeight="1">
      <c r="A2636" s="4" t="inlineStr">
        <is>
          <t>original:Inputs (1)!F43</t>
        </is>
      </c>
      <c r="B2636" s="4" t="inlineStr">
        <is>
          <t>Inputs (1)</t>
        </is>
      </c>
      <c r="C2636" s="4" t="inlineStr">
        <is>
          <t>F43</t>
        </is>
      </c>
      <c r="D2636" s="4" t="inlineStr">
        <is>
          <t>CAPITAL TERMS</t>
        </is>
      </c>
      <c r="E2636" s="4" t="inlineStr">
        <is>
          <t>CAPITAL TERMS</t>
        </is>
      </c>
      <c r="F2636" s="4" t="inlineStr">
        <is>
          <t>GOC Bed Unit-Costing Model v2 — working original.xlsx</t>
        </is>
      </c>
    </row>
    <row r="2637" ht="40" customHeight="1">
      <c r="A2637" s="4" t="inlineStr">
        <is>
          <t>original:Inputs (1)!J43</t>
        </is>
      </c>
      <c r="B2637" s="4" t="inlineStr">
        <is>
          <t>Inputs (1)</t>
        </is>
      </c>
      <c r="C2637" s="4" t="inlineStr">
        <is>
          <t>J43</t>
        </is>
      </c>
      <c r="D2637" s="4" t="inlineStr">
        <is>
          <t>Notes</t>
        </is>
      </c>
      <c r="E2637" s="4" t="inlineStr">
        <is>
          <t>Notes</t>
        </is>
      </c>
      <c r="F2637" s="4" t="inlineStr">
        <is>
          <t>GOC Bed Unit-Costing Model v2 — working original.xlsx</t>
        </is>
      </c>
    </row>
    <row r="2638" ht="40" customHeight="1">
      <c r="A2638" s="4" t="inlineStr">
        <is>
          <t>original:Inputs (1)!A44</t>
        </is>
      </c>
      <c r="B2638" s="4" t="inlineStr">
        <is>
          <t>Inputs (1)</t>
        </is>
      </c>
      <c r="C2638" s="4" t="inlineStr">
        <is>
          <t>A44</t>
        </is>
      </c>
      <c r="D2638" s="4" t="inlineStr">
        <is>
          <t>Production Overheads</t>
        </is>
      </c>
      <c r="E2638" s="4" t="inlineStr">
        <is>
          <t>Production Overheads</t>
        </is>
      </c>
      <c r="F2638" s="4" t="inlineStr">
        <is>
          <t>GOC Bed Unit-Costing Model v2 — working original.xlsx</t>
        </is>
      </c>
    </row>
    <row r="2639" ht="40" customHeight="1">
      <c r="A2639" s="4" t="inlineStr">
        <is>
          <t>original:Inputs (1)!B44</t>
        </is>
      </c>
      <c r="B2639" s="4" t="inlineStr">
        <is>
          <t>Inputs (1)</t>
        </is>
      </c>
      <c r="C2639" s="4" t="inlineStr">
        <is>
          <t>B44</t>
        </is>
      </c>
      <c r="D2639" s="4" t="inlineStr">
        <is>
          <t>(Factory)</t>
        </is>
      </c>
      <c r="E2639" s="4" t="inlineStr">
        <is>
          <t>(Factory)</t>
        </is>
      </c>
      <c r="F2639" s="4" t="inlineStr">
        <is>
          <t>GOC Bed Unit-Costing Model v2 — working original.xlsx</t>
        </is>
      </c>
    </row>
    <row r="2640" ht="40" customHeight="1">
      <c r="A2640" s="4" t="inlineStr">
        <is>
          <t>original:Inputs (1)!C44</t>
        </is>
      </c>
      <c r="B2640" s="4" t="inlineStr">
        <is>
          <t>Inputs (1)</t>
        </is>
      </c>
      <c r="C2640" s="4" t="inlineStr">
        <is>
          <t>C44</t>
        </is>
      </c>
      <c r="D2640" s="4" t="inlineStr">
        <is>
          <t>(Community)</t>
        </is>
      </c>
      <c r="E2640" s="4" t="inlineStr">
        <is>
          <t>(Community)</t>
        </is>
      </c>
      <c r="F2640" s="4" t="inlineStr">
        <is>
          <t>GOC Bed Unit-Costing Model v2 — working original.xlsx</t>
        </is>
      </c>
    </row>
    <row r="2641" ht="40" customHeight="1">
      <c r="A2641" s="4" t="inlineStr">
        <is>
          <t>original:Inputs (1)!D44</t>
        </is>
      </c>
      <c r="B2641" s="4" t="inlineStr">
        <is>
          <t>Inputs (1)</t>
        </is>
      </c>
      <c r="C2641" s="4" t="inlineStr">
        <is>
          <t>D44</t>
        </is>
      </c>
      <c r="D2641" s="4" t="inlineStr">
        <is>
          <t>per site, per year</t>
        </is>
      </c>
      <c r="E2641" s="4" t="inlineStr">
        <is>
          <t>per site, per year</t>
        </is>
      </c>
      <c r="F2641" s="4" t="inlineStr">
        <is>
          <t>GOC Bed Unit-Costing Model v2 — working original.xlsx</t>
        </is>
      </c>
    </row>
    <row r="2642" ht="40" customHeight="1">
      <c r="A2642" s="4" t="inlineStr">
        <is>
          <t>original:Inputs (1)!G44</t>
        </is>
      </c>
      <c r="B2642" s="4" t="inlineStr">
        <is>
          <t>Inputs (1)</t>
        </is>
      </c>
      <c r="C2642" s="4" t="inlineStr">
        <is>
          <t>G44</t>
        </is>
      </c>
      <c r="D2642" s="4" t="inlineStr">
        <is>
          <t>Interest</t>
        </is>
      </c>
      <c r="E2642" s="4" t="inlineStr">
        <is>
          <t>Interest</t>
        </is>
      </c>
      <c r="F2642" s="4" t="inlineStr">
        <is>
          <t>GOC Bed Unit-Costing Model v2 — working original.xlsx</t>
        </is>
      </c>
    </row>
    <row r="2643" ht="40" customHeight="1">
      <c r="A2643" s="4" t="inlineStr">
        <is>
          <t>original:Inputs (1)!H44</t>
        </is>
      </c>
      <c r="B2643" s="4" t="inlineStr">
        <is>
          <t>Inputs (1)</t>
        </is>
      </c>
      <c r="C2643" s="4" t="inlineStr">
        <is>
          <t>H44</t>
        </is>
      </c>
      <c r="D2643" s="4" t="inlineStr">
        <is>
          <t>Years</t>
        </is>
      </c>
      <c r="E2643" s="4" t="inlineStr">
        <is>
          <t>Years</t>
        </is>
      </c>
      <c r="F2643" s="4" t="inlineStr">
        <is>
          <t>GOC Bed Unit-Costing Model v2 — working original.xlsx</t>
        </is>
      </c>
    </row>
    <row r="2644" ht="40" customHeight="1">
      <c r="A2644" s="4" t="inlineStr">
        <is>
          <t>original:Inputs (1)!I44</t>
        </is>
      </c>
      <c r="B2644" s="4" t="inlineStr">
        <is>
          <t>Inputs (1)</t>
        </is>
      </c>
      <c r="C2644" s="4" t="inlineStr">
        <is>
          <t>I44</t>
        </is>
      </c>
      <c r="D2644" s="4" t="inlineStr">
        <is>
          <t>Commencing</t>
        </is>
      </c>
      <c r="E2644" s="4" t="inlineStr">
        <is>
          <t>Commencing</t>
        </is>
      </c>
      <c r="F2644" s="4" t="inlineStr">
        <is>
          <t>GOC Bed Unit-Costing Model v2 — working original.xlsx</t>
        </is>
      </c>
    </row>
    <row r="2645" ht="105" customHeight="1">
      <c r="A2645" s="4" t="inlineStr">
        <is>
          <t>original:Inputs (1)!J44</t>
        </is>
      </c>
      <c r="B2645" s="4" t="inlineStr">
        <is>
          <t>Inputs (1)</t>
        </is>
      </c>
      <c r="C2645" s="4" t="inlineStr">
        <is>
          <t>J44</t>
        </is>
      </c>
      <c r="D2645" s="4" t="inlineStr">
        <is>
          <t>Commencing indicates the Year (1, 2 or 3) when principal repayments start. Interest accrues from drawdown. Principal is repaid straight line over the term.</t>
        </is>
      </c>
      <c r="E2645" s="4" t="inlineStr">
        <is>
          <t>Commencing indicates the Year (1, 2 or 3) when principal repayments start. Interest accrues from drawdown. Principal is repaid straight line over the term.</t>
        </is>
      </c>
      <c r="F2645" s="4" t="inlineStr">
        <is>
          <t>GOC Bed Unit-Costing Model v2 — working original.xlsx</t>
        </is>
      </c>
    </row>
    <row r="2646" ht="40" customHeight="1">
      <c r="A2646" s="4" t="inlineStr">
        <is>
          <t>original:Inputs (1)!A45</t>
        </is>
      </c>
      <c r="B2646" s="4" t="inlineStr">
        <is>
          <t>Inputs (1)</t>
        </is>
      </c>
      <c r="C2646" s="4" t="inlineStr">
        <is>
          <t>A45</t>
        </is>
      </c>
      <c r="D2646" s="4" t="inlineStr">
        <is>
          <t>Site lease</t>
        </is>
      </c>
      <c r="E2646" s="4" t="inlineStr">
        <is>
          <t>Site lease</t>
        </is>
      </c>
      <c r="F2646" s="4" t="inlineStr">
        <is>
          <t>GOC Bed Unit-Costing Model v2 — working original.xlsx</t>
        </is>
      </c>
    </row>
    <row r="2647" ht="40" customHeight="1">
      <c r="A2647" s="4" t="inlineStr">
        <is>
          <t>original:Inputs (1)!B45</t>
        </is>
      </c>
      <c r="B2647" s="4" t="inlineStr">
        <is>
          <t>Inputs (1)</t>
        </is>
      </c>
      <c r="C2647" s="4" t="inlineStr">
        <is>
          <t>B45</t>
        </is>
      </c>
      <c r="D2647" s="4" t="n">
        <v>27000</v>
      </c>
      <c r="E2647" s="4" t="n">
        <v>27000</v>
      </c>
      <c r="F2647" s="4" t="inlineStr">
        <is>
          <t>GOC Bed Unit-Costing Model v2 — working original.xlsx</t>
        </is>
      </c>
    </row>
    <row r="2648" ht="40" customHeight="1">
      <c r="A2648" s="4" t="inlineStr">
        <is>
          <t>original:Inputs (1)!C45</t>
        </is>
      </c>
      <c r="B2648" s="4" t="inlineStr">
        <is>
          <t>Inputs (1)</t>
        </is>
      </c>
      <c r="C2648" s="4" t="inlineStr">
        <is>
          <t>C45</t>
        </is>
      </c>
      <c r="D2648" s="4" t="n">
        <v>60000</v>
      </c>
      <c r="E2648" s="4" t="n">
        <v>60000</v>
      </c>
      <c r="F2648" s="4" t="inlineStr">
        <is>
          <t>GOC Bed Unit-Costing Model v2 — working original.xlsx</t>
        </is>
      </c>
    </row>
    <row r="2649" ht="210" customHeight="1">
      <c r="A2649" s="4" t="inlineStr">
        <is>
          <t>original:Inputs (1)!D45</t>
        </is>
      </c>
      <c r="B2649" s="4" t="inlineStr">
        <is>
          <t>Inputs (1)</t>
        </is>
      </c>
      <c r="C2649" s="4" t="inlineStr">
        <is>
          <t>D45</t>
        </is>
      </c>
      <c r="D2649" s="4" t="inlineStr">
        <is>
          <t>TO CONFIRM both. Factory $27,000 is the 50% bed share of the Kirmos facility (03-cost-model §C); a whole-of-org view arguably carries the full ~$54,000. Community $60,000 is lease, rent, utilities and site as written in the Oonchiumpa DEWR application, which itself splits 50/50 between production and program.</t>
        </is>
      </c>
      <c r="E2649" s="4" t="inlineStr">
        <is>
          <t>TO CONFIRM both. Factory $27,000 is the 50% bed share of the Kirmos facility (03-cost-model §C); a whole-of-org view arguably carries the full ~$54,000. Community $60,000 is lease, rent, utilities and site as written in the Oonchiumpa DEWR application, which itself splits 50/50 between production and program.</t>
        </is>
      </c>
      <c r="F2649" s="4" t="inlineStr">
        <is>
          <t>GOC Bed Unit-Costing Model v2 — working original.xlsx</t>
        </is>
      </c>
    </row>
    <row r="2650" ht="40" customHeight="1">
      <c r="A2650" s="4" t="inlineStr">
        <is>
          <t>original:Inputs (1)!F45</t>
        </is>
      </c>
      <c r="B2650" s="4" t="inlineStr">
        <is>
          <t>Inputs (1)</t>
        </is>
      </c>
      <c r="C2650" s="4" t="inlineStr">
        <is>
          <t>F45</t>
        </is>
      </c>
      <c r="D2650" s="4" t="inlineStr">
        <is>
          <t>Source 1</t>
        </is>
      </c>
      <c r="E2650" s="4" t="inlineStr">
        <is>
          <t>Source 1</t>
        </is>
      </c>
      <c r="F2650" s="4" t="inlineStr">
        <is>
          <t>GOC Bed Unit-Costing Model v2 — working original.xlsx</t>
        </is>
      </c>
    </row>
    <row r="2651" ht="40" customHeight="1">
      <c r="A2651" s="4" t="inlineStr">
        <is>
          <t>original:Inputs (1)!G45</t>
        </is>
      </c>
      <c r="B2651" s="4" t="inlineStr">
        <is>
          <t>Inputs (1)</t>
        </is>
      </c>
      <c r="C2651" s="4" t="inlineStr">
        <is>
          <t>G45</t>
        </is>
      </c>
      <c r="D2651" s="4" t="n">
        <v>0</v>
      </c>
      <c r="E2651" s="4" t="n">
        <v>0</v>
      </c>
      <c r="F2651" s="4" t="inlineStr">
        <is>
          <t>GOC Bed Unit-Costing Model v2 — working original.xlsx</t>
        </is>
      </c>
    </row>
    <row r="2652" ht="40" customHeight="1">
      <c r="A2652" s="4" t="inlineStr">
        <is>
          <t>original:Inputs (1)!H45</t>
        </is>
      </c>
      <c r="B2652" s="4" t="inlineStr">
        <is>
          <t>Inputs (1)</t>
        </is>
      </c>
      <c r="C2652" s="4" t="inlineStr">
        <is>
          <t>H45</t>
        </is>
      </c>
      <c r="D2652" s="4" t="n">
        <v>0</v>
      </c>
      <c r="E2652" s="4" t="n">
        <v>0</v>
      </c>
      <c r="F2652" s="4" t="inlineStr">
        <is>
          <t>GOC Bed Unit-Costing Model v2 — working original.xlsx</t>
        </is>
      </c>
    </row>
    <row r="2653" ht="40" customHeight="1">
      <c r="A2653" s="4" t="inlineStr">
        <is>
          <t>original:Inputs (1)!I45</t>
        </is>
      </c>
      <c r="B2653" s="4" t="inlineStr">
        <is>
          <t>Inputs (1)</t>
        </is>
      </c>
      <c r="C2653" s="4" t="inlineStr">
        <is>
          <t>I45</t>
        </is>
      </c>
      <c r="D2653" s="4" t="n">
        <v>0</v>
      </c>
      <c r="E2653" s="4" t="n">
        <v>0</v>
      </c>
      <c r="F2653" s="4" t="inlineStr">
        <is>
          <t>GOC Bed Unit-Costing Model v2 — working original.xlsx</t>
        </is>
      </c>
    </row>
    <row r="2654" ht="40" customHeight="1">
      <c r="A2654" s="4" t="inlineStr">
        <is>
          <t>original:Inputs (1)!A46</t>
        </is>
      </c>
      <c r="B2654" s="4" t="inlineStr">
        <is>
          <t>Inputs (1)</t>
        </is>
      </c>
      <c r="C2654" s="4" t="inlineStr">
        <is>
          <t>A46</t>
        </is>
      </c>
      <c r="D2654" s="4" t="inlineStr">
        <is>
          <t>Insurance</t>
        </is>
      </c>
      <c r="E2654" s="4" t="inlineStr">
        <is>
          <t>Insurance</t>
        </is>
      </c>
      <c r="F2654" s="4" t="inlineStr">
        <is>
          <t>GOC Bed Unit-Costing Model v2 — working original.xlsx</t>
        </is>
      </c>
    </row>
    <row r="2655" ht="40" customHeight="1">
      <c r="A2655" s="4" t="inlineStr">
        <is>
          <t>original:Inputs (1)!B46</t>
        </is>
      </c>
      <c r="B2655" s="4" t="inlineStr">
        <is>
          <t>Inputs (1)</t>
        </is>
      </c>
      <c r="C2655" s="4" t="inlineStr">
        <is>
          <t>B46</t>
        </is>
      </c>
      <c r="D2655" s="4" t="n">
        <v>0</v>
      </c>
      <c r="E2655" s="4" t="n">
        <v>0</v>
      </c>
      <c r="F2655" s="4" t="inlineStr">
        <is>
          <t>GOC Bed Unit-Costing Model v2 — working original.xlsx</t>
        </is>
      </c>
    </row>
    <row r="2656" ht="40" customHeight="1">
      <c r="A2656" s="4" t="inlineStr">
        <is>
          <t>original:Inputs (1)!C46</t>
        </is>
      </c>
      <c r="B2656" s="4" t="inlineStr">
        <is>
          <t>Inputs (1)</t>
        </is>
      </c>
      <c r="C2656" s="4" t="inlineStr">
        <is>
          <t>C46</t>
        </is>
      </c>
      <c r="D2656" s="4" t="n">
        <v>12000</v>
      </c>
      <c r="E2656" s="4" t="n">
        <v>12000</v>
      </c>
      <c r="F2656" s="4" t="inlineStr">
        <is>
          <t>GOC Bed Unit-Costing Model v2 — working original.xlsx</t>
        </is>
      </c>
    </row>
    <row r="2657" ht="150" customHeight="1">
      <c r="A2657" s="4" t="inlineStr">
        <is>
          <t>original:Inputs (1)!D46</t>
        </is>
      </c>
      <c r="B2657" s="4" t="inlineStr">
        <is>
          <t>Inputs (1)</t>
        </is>
      </c>
      <c r="C2657" s="4" t="inlineStr">
        <is>
          <t>D46</t>
        </is>
      </c>
      <c r="D2657" s="4" t="inlineStr">
        <is>
          <t>TO CONFIRM both. Factory nil on the basis that Head office costs already carry $12,000 of insurance. Community $12,000 is a guess needing quotes; the Oonchiumpa DEWR application as written says $40,000/site/yr.</t>
        </is>
      </c>
      <c r="E2657" s="4" t="inlineStr">
        <is>
          <t>TO CONFIRM both. Factory nil on the basis that Head office costs already carry $12,000 of insurance. Community $12,000 is a guess needing quotes; the Oonchiumpa DEWR application as written says $40,000/site/yr.</t>
        </is>
      </c>
      <c r="F2657" s="4" t="inlineStr">
        <is>
          <t>GOC Bed Unit-Costing Model v2 — working original.xlsx</t>
        </is>
      </c>
    </row>
    <row r="2658" ht="40" customHeight="1">
      <c r="A2658" s="4" t="inlineStr">
        <is>
          <t>original:Inputs (1)!F46</t>
        </is>
      </c>
      <c r="B2658" s="4" t="inlineStr">
        <is>
          <t>Inputs (1)</t>
        </is>
      </c>
      <c r="C2658" s="4" t="inlineStr">
        <is>
          <t>F46</t>
        </is>
      </c>
      <c r="D2658" s="4" t="inlineStr">
        <is>
          <t>Source 2</t>
        </is>
      </c>
      <c r="E2658" s="4" t="inlineStr">
        <is>
          <t>Source 2</t>
        </is>
      </c>
      <c r="F2658" s="4" t="inlineStr">
        <is>
          <t>GOC Bed Unit-Costing Model v2 — working original.xlsx</t>
        </is>
      </c>
    </row>
    <row r="2659" ht="40" customHeight="1">
      <c r="A2659" s="4" t="inlineStr">
        <is>
          <t>original:Inputs (1)!G46</t>
        </is>
      </c>
      <c r="B2659" s="4" t="inlineStr">
        <is>
          <t>Inputs (1)</t>
        </is>
      </c>
      <c r="C2659" s="4" t="inlineStr">
        <is>
          <t>G46</t>
        </is>
      </c>
      <c r="D2659" s="4" t="n">
        <v>0</v>
      </c>
      <c r="E2659" s="4" t="n">
        <v>0</v>
      </c>
      <c r="F2659" s="4" t="inlineStr">
        <is>
          <t>GOC Bed Unit-Costing Model v2 — working original.xlsx</t>
        </is>
      </c>
    </row>
    <row r="2660" ht="40" customHeight="1">
      <c r="A2660" s="4" t="inlineStr">
        <is>
          <t>original:Inputs (1)!H46</t>
        </is>
      </c>
      <c r="B2660" s="4" t="inlineStr">
        <is>
          <t>Inputs (1)</t>
        </is>
      </c>
      <c r="C2660" s="4" t="inlineStr">
        <is>
          <t>H46</t>
        </is>
      </c>
      <c r="D2660" s="4" t="n">
        <v>0</v>
      </c>
      <c r="E2660" s="4" t="n">
        <v>0</v>
      </c>
      <c r="F2660" s="4" t="inlineStr">
        <is>
          <t>GOC Bed Unit-Costing Model v2 — working original.xlsx</t>
        </is>
      </c>
    </row>
    <row r="2661" ht="40" customHeight="1">
      <c r="A2661" s="4" t="inlineStr">
        <is>
          <t>original:Inputs (1)!I46</t>
        </is>
      </c>
      <c r="B2661" s="4" t="inlineStr">
        <is>
          <t>Inputs (1)</t>
        </is>
      </c>
      <c r="C2661" s="4" t="inlineStr">
        <is>
          <t>I46</t>
        </is>
      </c>
      <c r="D2661" s="4" t="n">
        <v>0</v>
      </c>
      <c r="E2661" s="4" t="n">
        <v>0</v>
      </c>
      <c r="F2661" s="4" t="inlineStr">
        <is>
          <t>GOC Bed Unit-Costing Model v2 — working original.xlsx</t>
        </is>
      </c>
    </row>
    <row r="2662" ht="40" customHeight="1">
      <c r="A2662" s="4" t="inlineStr">
        <is>
          <t>original:Inputs (1)!A47</t>
        </is>
      </c>
      <c r="B2662" s="4" t="inlineStr">
        <is>
          <t>Inputs (1)</t>
        </is>
      </c>
      <c r="C2662" s="4" t="inlineStr">
        <is>
          <t>A47</t>
        </is>
      </c>
      <c r="D2662" s="4" t="inlineStr">
        <is>
          <t>TOTAL SITE OVERHEAD / YR</t>
        </is>
      </c>
      <c r="E2662" s="4" t="inlineStr">
        <is>
          <t>TOTAL SITE OVERHEAD / YR</t>
        </is>
      </c>
      <c r="F2662" s="4" t="inlineStr">
        <is>
          <t>GOC Bed Unit-Costing Model v2 — working original.xlsx</t>
        </is>
      </c>
    </row>
    <row r="2663" ht="40" customHeight="1">
      <c r="A2663" s="4" t="inlineStr">
        <is>
          <t>original:Inputs (1)!B47</t>
        </is>
      </c>
      <c r="B2663" s="4" t="inlineStr">
        <is>
          <t>Inputs (1)</t>
        </is>
      </c>
      <c r="C2663" s="4" t="inlineStr">
        <is>
          <t>B47</t>
        </is>
      </c>
      <c r="D2663" s="4" t="inlineStr">
        <is>
          <t>=B45+B46</t>
        </is>
      </c>
      <c r="E2663" s="4" t="n">
        <v>27000</v>
      </c>
      <c r="F2663" s="4" t="inlineStr">
        <is>
          <t>GOC Bed Unit-Costing Model v2 — working original.xlsx</t>
        </is>
      </c>
    </row>
    <row r="2664" ht="40" customHeight="1">
      <c r="A2664" s="4" t="inlineStr">
        <is>
          <t>original:Inputs (1)!C47</t>
        </is>
      </c>
      <c r="B2664" s="4" t="inlineStr">
        <is>
          <t>Inputs (1)</t>
        </is>
      </c>
      <c r="C2664" s="4" t="inlineStr">
        <is>
          <t>C47</t>
        </is>
      </c>
      <c r="D2664" s="4" t="inlineStr">
        <is>
          <t>=C45+C46</t>
        </is>
      </c>
      <c r="E2664" s="4" t="n">
        <v>72000</v>
      </c>
      <c r="F2664" s="4" t="inlineStr">
        <is>
          <t>GOC Bed Unit-Costing Model v2 — working original.xlsx</t>
        </is>
      </c>
    </row>
    <row r="2665" ht="40" customHeight="1">
      <c r="A2665" s="4" t="inlineStr">
        <is>
          <t>original:Inputs (1)!F47</t>
        </is>
      </c>
      <c r="B2665" s="4" t="inlineStr">
        <is>
          <t>Inputs (1)</t>
        </is>
      </c>
      <c r="C2665" s="4" t="inlineStr">
        <is>
          <t>F47</t>
        </is>
      </c>
      <c r="D2665" s="4" t="inlineStr">
        <is>
          <t>Source 3</t>
        </is>
      </c>
      <c r="E2665" s="4" t="inlineStr">
        <is>
          <t>Source 3</t>
        </is>
      </c>
      <c r="F2665" s="4" t="inlineStr">
        <is>
          <t>GOC Bed Unit-Costing Model v2 — working original.xlsx</t>
        </is>
      </c>
    </row>
    <row r="2666" ht="40" customHeight="1">
      <c r="A2666" s="4" t="inlineStr">
        <is>
          <t>original:Inputs (1)!G47</t>
        </is>
      </c>
      <c r="B2666" s="4" t="inlineStr">
        <is>
          <t>Inputs (1)</t>
        </is>
      </c>
      <c r="C2666" s="4" t="inlineStr">
        <is>
          <t>G47</t>
        </is>
      </c>
      <c r="D2666" s="4" t="n">
        <v>0</v>
      </c>
      <c r="E2666" s="4" t="n">
        <v>0</v>
      </c>
      <c r="F2666" s="4" t="inlineStr">
        <is>
          <t>GOC Bed Unit-Costing Model v2 — working original.xlsx</t>
        </is>
      </c>
    </row>
    <row r="2667" ht="40" customHeight="1">
      <c r="A2667" s="4" t="inlineStr">
        <is>
          <t>original:Inputs (1)!H47</t>
        </is>
      </c>
      <c r="B2667" s="4" t="inlineStr">
        <is>
          <t>Inputs (1)</t>
        </is>
      </c>
      <c r="C2667" s="4" t="inlineStr">
        <is>
          <t>H47</t>
        </is>
      </c>
      <c r="D2667" s="4" t="n">
        <v>0</v>
      </c>
      <c r="E2667" s="4" t="n">
        <v>0</v>
      </c>
      <c r="F2667" s="4" t="inlineStr">
        <is>
          <t>GOC Bed Unit-Costing Model v2 — working original.xlsx</t>
        </is>
      </c>
    </row>
    <row r="2668" ht="40" customHeight="1">
      <c r="A2668" s="4" t="inlineStr">
        <is>
          <t>original:Inputs (1)!I47</t>
        </is>
      </c>
      <c r="B2668" s="4" t="inlineStr">
        <is>
          <t>Inputs (1)</t>
        </is>
      </c>
      <c r="C2668" s="4" t="inlineStr">
        <is>
          <t>I47</t>
        </is>
      </c>
      <c r="D2668" s="4" t="n">
        <v>0</v>
      </c>
      <c r="E2668" s="4" t="n">
        <v>0</v>
      </c>
      <c r="F2668" s="4" t="inlineStr">
        <is>
          <t>GOC Bed Unit-Costing Model v2 — working original.xlsx</t>
        </is>
      </c>
    </row>
    <row r="2669" ht="40" customHeight="1">
      <c r="A2669" s="4" t="inlineStr">
        <is>
          <t>original:Inputs (1)!A49</t>
        </is>
      </c>
      <c r="B2669" s="4" t="inlineStr">
        <is>
          <t>Inputs (1)</t>
        </is>
      </c>
      <c r="C2669" s="4" t="inlineStr">
        <is>
          <t>A49</t>
        </is>
      </c>
      <c r="D2669" s="4" t="inlineStr">
        <is>
          <t>ACCOUNTING SETTINGS</t>
        </is>
      </c>
      <c r="E2669" s="4" t="inlineStr">
        <is>
          <t>ACCOUNTING SETTINGS</t>
        </is>
      </c>
      <c r="F2669" s="4" t="inlineStr">
        <is>
          <t>GOC Bed Unit-Costing Model v2 — working original.xlsx</t>
        </is>
      </c>
    </row>
    <row r="2670" ht="40" customHeight="1">
      <c r="A2670" s="4" t="inlineStr">
        <is>
          <t>original:Inputs (1)!D49</t>
        </is>
      </c>
      <c r="B2670" s="4" t="inlineStr">
        <is>
          <t>Inputs (1)</t>
        </is>
      </c>
      <c r="C2670" s="4" t="inlineStr">
        <is>
          <t>D49</t>
        </is>
      </c>
      <c r="D2670" s="4" t="inlineStr">
        <is>
          <t>Notes</t>
        </is>
      </c>
      <c r="E2670" s="4" t="inlineStr">
        <is>
          <t>Notes</t>
        </is>
      </c>
      <c r="F2670" s="4" t="inlineStr">
        <is>
          <t>GOC Bed Unit-Costing Model v2 — working original.xlsx</t>
        </is>
      </c>
    </row>
    <row r="2671" ht="40" customHeight="1">
      <c r="A2671" s="4" t="inlineStr">
        <is>
          <t>original:Inputs (1)!A50</t>
        </is>
      </c>
      <c r="B2671" s="4" t="inlineStr">
        <is>
          <t>Inputs (1)</t>
        </is>
      </c>
      <c r="C2671" s="4" t="inlineStr">
        <is>
          <t>A50</t>
        </is>
      </c>
      <c r="D2671" s="4" t="inlineStr">
        <is>
          <t>Year 1 financial year</t>
        </is>
      </c>
      <c r="E2671" s="4" t="inlineStr">
        <is>
          <t>Year 1 financial year</t>
        </is>
      </c>
      <c r="F2671" s="4" t="inlineStr">
        <is>
          <t>GOC Bed Unit-Costing Model v2 — working original.xlsx</t>
        </is>
      </c>
    </row>
    <row r="2672" ht="40" customHeight="1">
      <c r="A2672" s="4" t="inlineStr">
        <is>
          <t>original:Inputs (1)!B50</t>
        </is>
      </c>
      <c r="B2672" s="4" t="inlineStr">
        <is>
          <t>Inputs (1)</t>
        </is>
      </c>
      <c r="C2672" s="4" t="inlineStr">
        <is>
          <t>B50</t>
        </is>
      </c>
      <c r="D2672" s="4" t="inlineStr">
        <is>
          <t>FY2026-27</t>
        </is>
      </c>
      <c r="E2672" s="4" t="inlineStr">
        <is>
          <t>FY2026-27</t>
        </is>
      </c>
      <c r="F2672" s="4" t="inlineStr">
        <is>
          <t>GOC Bed Unit-Costing Model v2 — working original.xlsx</t>
        </is>
      </c>
    </row>
    <row r="2673" ht="135" customHeight="1">
      <c r="A2673" s="4" t="inlineStr">
        <is>
          <t>original:Inputs (1)!D50</t>
        </is>
      </c>
      <c r="B2673" s="4" t="inlineStr">
        <is>
          <t>Inputs (1)</t>
        </is>
      </c>
      <c r="C2673" s="4" t="inlineStr">
        <is>
          <t>D50</t>
        </is>
      </c>
      <c r="D2673" s="4" t="inlineStr">
        <is>
          <t>TO CONFIRM. FY2026-27 began 1 July 2026. A Curious Tractor Pty Ltd migrates as the trading entity this FY and the DGR home moves to The Butterfly Movement from about 1 July 2026 (04-verified-financials §5).</t>
        </is>
      </c>
      <c r="E2673" s="4" t="inlineStr">
        <is>
          <t>TO CONFIRM. FY2026-27 began 1 July 2026. A Curious Tractor Pty Ltd migrates as the trading entity this FY and the DGR home moves to The Butterfly Movement from about 1 July 2026 (04-verified-financials §5).</t>
        </is>
      </c>
      <c r="F2673" s="4" t="inlineStr">
        <is>
          <t>GOC Bed Unit-Costing Model v2 — working original.xlsx</t>
        </is>
      </c>
    </row>
    <row r="2674" ht="40" customHeight="1">
      <c r="A2674" s="4" t="inlineStr">
        <is>
          <t>original:Inputs (1)!A51</t>
        </is>
      </c>
      <c r="B2674" s="4" t="inlineStr">
        <is>
          <t>Inputs (1)</t>
        </is>
      </c>
      <c r="C2674" s="4" t="inlineStr">
        <is>
          <t>A51</t>
        </is>
      </c>
      <c r="D2674" s="4" t="inlineStr">
        <is>
          <t>Depreciation life (years)</t>
        </is>
      </c>
      <c r="E2674" s="4" t="inlineStr">
        <is>
          <t>Depreciation life (years)</t>
        </is>
      </c>
      <c r="F2674" s="4" t="inlineStr">
        <is>
          <t>GOC Bed Unit-Costing Model v2 — working original.xlsx</t>
        </is>
      </c>
    </row>
    <row r="2675" ht="40" customHeight="1">
      <c r="A2675" s="4" t="inlineStr">
        <is>
          <t>original:Inputs (1)!B51</t>
        </is>
      </c>
      <c r="B2675" s="4" t="inlineStr">
        <is>
          <t>Inputs (1)</t>
        </is>
      </c>
      <c r="C2675" s="4" t="inlineStr">
        <is>
          <t>B51</t>
        </is>
      </c>
      <c r="D2675" s="4" t="n">
        <v>10</v>
      </c>
      <c r="E2675" s="4" t="n">
        <v>10</v>
      </c>
      <c r="F2675" s="4" t="inlineStr">
        <is>
          <t>GOC Bed Unit-Costing Model v2 — working original.xlsx</t>
        </is>
      </c>
    </row>
    <row r="2676" ht="120" customHeight="1">
      <c r="A2676" s="4" t="inlineStr">
        <is>
          <t>original:Inputs (1)!D51</t>
        </is>
      </c>
      <c r="B2676" s="4" t="inlineStr">
        <is>
          <t>Inputs (1)</t>
        </is>
      </c>
      <c r="C2676" s="4" t="inlineStr">
        <is>
          <t>D51</t>
        </is>
      </c>
      <c r="D2676" s="4" t="inlineStr">
        <is>
          <t>TO CONFIRM. No source exists. 10 years straight line is a working default for containers and plant. Change it here and both the P&amp;L charge and the PP&amp;E roll-forward follow.</t>
        </is>
      </c>
      <c r="E2676" s="4" t="inlineStr">
        <is>
          <t>TO CONFIRM. No source exists. 10 years straight line is a working default for containers and plant. Change it here and both the P&amp;L charge and the PP&amp;E roll-forward follow.</t>
        </is>
      </c>
      <c r="F2676" s="4" t="inlineStr">
        <is>
          <t>GOC Bed Unit-Costing Model v2 — working original.xlsx</t>
        </is>
      </c>
    </row>
    <row r="2677" ht="40" customHeight="1">
      <c r="A2677" s="4" t="inlineStr">
        <is>
          <t>original:Inputs (1)!A52</t>
        </is>
      </c>
      <c r="B2677" s="4" t="inlineStr">
        <is>
          <t>Inputs (1)</t>
        </is>
      </c>
      <c r="C2677" s="4" t="inlineStr">
        <is>
          <t>A52</t>
        </is>
      </c>
      <c r="D2677" s="4" t="inlineStr">
        <is>
          <t>Company tax rate</t>
        </is>
      </c>
      <c r="E2677" s="4" t="inlineStr">
        <is>
          <t>Company tax rate</t>
        </is>
      </c>
      <c r="F2677" s="4" t="inlineStr">
        <is>
          <t>GOC Bed Unit-Costing Model v2 — working original.xlsx</t>
        </is>
      </c>
    </row>
    <row r="2678" ht="40" customHeight="1">
      <c r="A2678" s="4" t="inlineStr">
        <is>
          <t>original:Inputs (1)!B52</t>
        </is>
      </c>
      <c r="B2678" s="4" t="inlineStr">
        <is>
          <t>Inputs (1)</t>
        </is>
      </c>
      <c r="C2678" s="4" t="inlineStr">
        <is>
          <t>B52</t>
        </is>
      </c>
      <c r="D2678" s="4" t="n">
        <v>0.25</v>
      </c>
      <c r="E2678" s="4" t="n">
        <v>0.25</v>
      </c>
      <c r="F2678" s="4" t="inlineStr">
        <is>
          <t>GOC Bed Unit-Costing Model v2 — working original.xlsx</t>
        </is>
      </c>
    </row>
    <row r="2679" ht="105" customHeight="1">
      <c r="A2679" s="4" t="inlineStr">
        <is>
          <t>original:Inputs (1)!D52</t>
        </is>
      </c>
      <c r="B2679" s="4" t="inlineStr">
        <is>
          <t>Inputs (1)</t>
        </is>
      </c>
      <c r="C2679" s="4" t="inlineStr">
        <is>
          <t>D52</t>
        </is>
      </c>
      <c r="D2679" s="4" t="inlineStr">
        <is>
          <t>TO CONFIRM. Base-rate company rate. Set to 0% if the trading entity is not taxable, or if the model is meant to represent the charity rather than the Pty Ltd.</t>
        </is>
      </c>
      <c r="E2679" s="4" t="inlineStr">
        <is>
          <t>TO CONFIRM. Base-rate company rate. Set to 0% if the trading entity is not taxable, or if the model is meant to represent the charity rather than the Pty Ltd.</t>
        </is>
      </c>
      <c r="F2679" s="4" t="inlineStr">
        <is>
          <t>GOC Bed Unit-Costing Model v2 — working original.xlsx</t>
        </is>
      </c>
    </row>
    <row r="2680" ht="40" customHeight="1">
      <c r="A2680" s="4" t="inlineStr">
        <is>
          <t>original:Inputs (1)!A53</t>
        </is>
      </c>
      <c r="B2680" s="4" t="inlineStr">
        <is>
          <t>Inputs (1)</t>
        </is>
      </c>
      <c r="C2680" s="4" t="inlineStr">
        <is>
          <t>A53</t>
        </is>
      </c>
      <c r="D2680" s="4" t="inlineStr">
        <is>
          <t>Debtor days</t>
        </is>
      </c>
      <c r="E2680" s="4" t="inlineStr">
        <is>
          <t>Debtor days</t>
        </is>
      </c>
      <c r="F2680" s="4" t="inlineStr">
        <is>
          <t>GOC Bed Unit-Costing Model v2 — working original.xlsx</t>
        </is>
      </c>
    </row>
    <row r="2681" ht="40" customHeight="1">
      <c r="A2681" s="4" t="inlineStr">
        <is>
          <t>original:Inputs (1)!B53</t>
        </is>
      </c>
      <c r="B2681" s="4" t="inlineStr">
        <is>
          <t>Inputs (1)</t>
        </is>
      </c>
      <c r="C2681" s="4" t="inlineStr">
        <is>
          <t>B53</t>
        </is>
      </c>
      <c r="D2681" s="4" t="n">
        <v>45</v>
      </c>
      <c r="E2681" s="4" t="n">
        <v>45</v>
      </c>
      <c r="F2681" s="4" t="inlineStr">
        <is>
          <t>GOC Bed Unit-Costing Model v2 — working original.xlsx</t>
        </is>
      </c>
    </row>
    <row r="2682" ht="75" customHeight="1">
      <c r="A2682" s="4" t="inlineStr">
        <is>
          <t>original:Inputs (1)!D53</t>
        </is>
      </c>
      <c r="B2682" s="4" t="inlineStr">
        <is>
          <t>Inputs (1)</t>
        </is>
      </c>
      <c r="C2682" s="4" t="inlineStr">
        <is>
          <t>D53</t>
        </is>
      </c>
      <c r="D2682" s="4" t="inlineStr">
        <is>
          <t>TO CONFIRM. Applied to bed sales only. Grant income and all costs are assumed to settle within the year.</t>
        </is>
      </c>
      <c r="E2682" s="4" t="inlineStr">
        <is>
          <t>TO CONFIRM. Applied to bed sales only. Grant income and all costs are assumed to settle within the year.</t>
        </is>
      </c>
      <c r="F2682" s="4" t="inlineStr">
        <is>
          <t>GOC Bed Unit-Costing Model v2 — working original.xlsx</t>
        </is>
      </c>
    </row>
    <row r="2683" ht="40" customHeight="1">
      <c r="A2683" s="4" t="inlineStr">
        <is>
          <t>original:Inputs (1)!A54</t>
        </is>
      </c>
      <c r="B2683" s="4" t="inlineStr">
        <is>
          <t>Inputs (1)</t>
        </is>
      </c>
      <c r="C2683" s="4" t="inlineStr">
        <is>
          <t>A54</t>
        </is>
      </c>
      <c r="D2683" s="4" t="inlineStr">
        <is>
          <t>Grant income recognition</t>
        </is>
      </c>
      <c r="E2683" s="4" t="inlineStr">
        <is>
          <t>Grant income recognition</t>
        </is>
      </c>
      <c r="F2683" s="4" t="inlineStr">
        <is>
          <t>GOC Bed Unit-Costing Model v2 — working original.xlsx</t>
        </is>
      </c>
    </row>
    <row r="2684" ht="40" customHeight="1">
      <c r="A2684" s="4" t="inlineStr">
        <is>
          <t>original:Inputs (1)!B54</t>
        </is>
      </c>
      <c r="B2684" s="4" t="inlineStr">
        <is>
          <t>Inputs (1)</t>
        </is>
      </c>
      <c r="C2684" s="4" t="inlineStr">
        <is>
          <t>B54</t>
        </is>
      </c>
      <c r="D2684" s="4" t="inlineStr">
        <is>
          <t>As received</t>
        </is>
      </c>
      <c r="E2684" s="4" t="inlineStr">
        <is>
          <t>As received</t>
        </is>
      </c>
      <c r="F2684" s="4" t="inlineStr">
        <is>
          <t>GOC Bed Unit-Costing Model v2 — working original.xlsx</t>
        </is>
      </c>
    </row>
    <row r="2685" ht="105" customHeight="1">
      <c r="A2685" s="4" t="inlineStr">
        <is>
          <t>original:Inputs (1)!D54</t>
        </is>
      </c>
      <c r="B2685" s="4" t="inlineStr">
        <is>
          <t>Inputs (1)</t>
        </is>
      </c>
      <c r="C2685" s="4" t="inlineStr">
        <is>
          <t>D54</t>
        </is>
      </c>
      <c r="D2685" s="4" t="inlineStr">
        <is>
          <t>Fixed treatment in this version. Tied grants and the beds they fund fall in the same year here, so no deferred income liability is modelled.</t>
        </is>
      </c>
      <c r="E2685" s="4" t="inlineStr">
        <is>
          <t>Fixed treatment in this version. Tied grants and the beds they fund fall in the same year here, so no deferred income liability is modelled.</t>
        </is>
      </c>
      <c r="F2685" s="4" t="inlineStr">
        <is>
          <t>GOC Bed Unit-Costing Model v2 — working original.xlsx</t>
        </is>
      </c>
    </row>
    <row r="2686" ht="40" customHeight="1">
      <c r="A2686" s="4" t="inlineStr">
        <is>
          <t>original:Workings!A1</t>
        </is>
      </c>
      <c r="B2686" s="4" t="inlineStr">
        <is>
          <t>Workings</t>
        </is>
      </c>
      <c r="C2686" s="4" t="inlineStr">
        <is>
          <t>A1</t>
        </is>
      </c>
      <c r="D2686" s="4" t="inlineStr">
        <is>
          <t>Workings</t>
        </is>
      </c>
      <c r="E2686" s="4" t="inlineStr">
        <is>
          <t>Workings</t>
        </is>
      </c>
      <c r="F2686" s="4" t="inlineStr">
        <is>
          <t>GOC Bed Unit-Costing Model v2 — working original.xlsx</t>
        </is>
      </c>
    </row>
    <row r="2687" ht="60" customHeight="1">
      <c r="A2687" s="4" t="inlineStr">
        <is>
          <t>original:Workings!A2</t>
        </is>
      </c>
      <c r="B2687" s="4" t="inlineStr">
        <is>
          <t>Workings</t>
        </is>
      </c>
      <c r="C2687" s="4" t="inlineStr">
        <is>
          <t>A2</t>
        </is>
      </c>
      <c r="D2687" s="4" t="inlineStr">
        <is>
          <t>Every line here is a formula. Change nothing on this sheet: change the Inputs sheet.</t>
        </is>
      </c>
      <c r="E2687" s="4" t="inlineStr">
        <is>
          <t>Every line here is a formula. Change nothing on this sheet: change the Inputs sheet.</t>
        </is>
      </c>
      <c r="F2687" s="4" t="inlineStr">
        <is>
          <t>GOC Bed Unit-Costing Model v2 — working original.xlsx</t>
        </is>
      </c>
    </row>
    <row r="2688" ht="40" customHeight="1">
      <c r="A2688" s="4" t="inlineStr">
        <is>
          <t>original:Workings!A3</t>
        </is>
      </c>
      <c r="B2688" s="4" t="inlineStr">
        <is>
          <t>Workings</t>
        </is>
      </c>
      <c r="C2688" s="4" t="inlineStr">
        <is>
          <t>A3</t>
        </is>
      </c>
      <c r="D2688" s="4" t="inlineStr">
        <is>
          <t>Year number</t>
        </is>
      </c>
      <c r="E2688" s="4" t="inlineStr">
        <is>
          <t>Year number</t>
        </is>
      </c>
      <c r="F2688" s="4" t="inlineStr">
        <is>
          <t>GOC Bed Unit-Costing Model v2 — working original.xlsx</t>
        </is>
      </c>
    </row>
    <row r="2689" ht="40" customHeight="1">
      <c r="A2689" s="4" t="inlineStr">
        <is>
          <t>original:Workings!B3</t>
        </is>
      </c>
      <c r="B2689" s="4" t="inlineStr">
        <is>
          <t>Workings</t>
        </is>
      </c>
      <c r="C2689" s="4" t="inlineStr">
        <is>
          <t>B3</t>
        </is>
      </c>
      <c r="D2689" s="4" t="n">
        <v>1</v>
      </c>
      <c r="E2689" s="4" t="n">
        <v>1</v>
      </c>
      <c r="F2689" s="4" t="inlineStr">
        <is>
          <t>GOC Bed Unit-Costing Model v2 — working original.xlsx</t>
        </is>
      </c>
    </row>
    <row r="2690" ht="40" customHeight="1">
      <c r="A2690" s="4" t="inlineStr">
        <is>
          <t>original:Workings!C3</t>
        </is>
      </c>
      <c r="B2690" s="4" t="inlineStr">
        <is>
          <t>Workings</t>
        </is>
      </c>
      <c r="C2690" s="4" t="inlineStr">
        <is>
          <t>C3</t>
        </is>
      </c>
      <c r="D2690" s="4" t="n">
        <v>2</v>
      </c>
      <c r="E2690" s="4" t="n">
        <v>2</v>
      </c>
      <c r="F2690" s="4" t="inlineStr">
        <is>
          <t>GOC Bed Unit-Costing Model v2 — working original.xlsx</t>
        </is>
      </c>
    </row>
    <row r="2691" ht="40" customHeight="1">
      <c r="A2691" s="4" t="inlineStr">
        <is>
          <t>original:Workings!D3</t>
        </is>
      </c>
      <c r="B2691" s="4" t="inlineStr">
        <is>
          <t>Workings</t>
        </is>
      </c>
      <c r="C2691" s="4" t="inlineStr">
        <is>
          <t>D3</t>
        </is>
      </c>
      <c r="D2691" s="4" t="n">
        <v>3</v>
      </c>
      <c r="E2691" s="4" t="n">
        <v>3</v>
      </c>
      <c r="F2691" s="4" t="inlineStr">
        <is>
          <t>GOC Bed Unit-Costing Model v2 — working original.xlsx</t>
        </is>
      </c>
    </row>
    <row r="2692" ht="40" customHeight="1">
      <c r="A2692" s="4" t="inlineStr">
        <is>
          <t>original:Workings!A4</t>
        </is>
      </c>
      <c r="B2692" s="4" t="inlineStr">
        <is>
          <t>Workings</t>
        </is>
      </c>
      <c r="C2692" s="4" t="inlineStr">
        <is>
          <t>A4</t>
        </is>
      </c>
      <c r="D2692" s="4" t="inlineStr">
        <is>
          <t>Financial year (Year 1)</t>
        </is>
      </c>
      <c r="E2692" s="4" t="inlineStr">
        <is>
          <t>Financial year (Year 1)</t>
        </is>
      </c>
      <c r="F2692" s="4" t="inlineStr">
        <is>
          <t>GOC Bed Unit-Costing Model v2 — working original.xlsx</t>
        </is>
      </c>
    </row>
    <row r="2693" ht="40" customHeight="1">
      <c r="A2693" s="4" t="inlineStr">
        <is>
          <t>original:Workings!B4</t>
        </is>
      </c>
      <c r="B2693" s="4" t="inlineStr">
        <is>
          <t>Workings</t>
        </is>
      </c>
      <c r="C2693" s="4" t="inlineStr">
        <is>
          <t>B4</t>
        </is>
      </c>
      <c r="D2693" s="4" t="inlineStr">
        <is>
          <t>='Inputs (1)'!$B$50</t>
        </is>
      </c>
      <c r="E2693" s="4" t="inlineStr">
        <is>
          <t>FY2026-27</t>
        </is>
      </c>
      <c r="F2693" s="4" t="inlineStr">
        <is>
          <t>GOC Bed Unit-Costing Model v2 — working original.xlsx</t>
        </is>
      </c>
    </row>
    <row r="2694" ht="40" customHeight="1">
      <c r="A2694" s="4" t="inlineStr">
        <is>
          <t>original:Workings!A6</t>
        </is>
      </c>
      <c r="B2694" s="4" t="inlineStr">
        <is>
          <t>Workings</t>
        </is>
      </c>
      <c r="C2694" s="4" t="inlineStr">
        <is>
          <t>A6</t>
        </is>
      </c>
      <c r="D2694" s="4" t="inlineStr">
        <is>
          <t>VOLUME  (beds)</t>
        </is>
      </c>
      <c r="E2694" s="4" t="inlineStr">
        <is>
          <t>VOLUME  (beds)</t>
        </is>
      </c>
      <c r="F2694" s="4" t="inlineStr">
        <is>
          <t>GOC Bed Unit-Costing Model v2 — working original.xlsx</t>
        </is>
      </c>
    </row>
    <row r="2695" ht="40" customHeight="1">
      <c r="A2695" s="4" t="inlineStr">
        <is>
          <t>original:Workings!A7</t>
        </is>
      </c>
      <c r="B2695" s="4" t="inlineStr">
        <is>
          <t>Workings</t>
        </is>
      </c>
      <c r="C2695" s="4" t="inlineStr">
        <is>
          <t>A7</t>
        </is>
      </c>
      <c r="D2695" s="4" t="inlineStr">
        <is>
          <t>Factory beds, commercial</t>
        </is>
      </c>
      <c r="E2695" s="4" t="inlineStr">
        <is>
          <t>Factory beds, commercial</t>
        </is>
      </c>
      <c r="F2695" s="4" t="inlineStr">
        <is>
          <t>GOC Bed Unit-Costing Model v2 — working original.xlsx</t>
        </is>
      </c>
    </row>
    <row r="2696" ht="40" customHeight="1">
      <c r="A2696" s="4" t="inlineStr">
        <is>
          <t>original:Workings!B7</t>
        </is>
      </c>
      <c r="B2696" s="4" t="inlineStr">
        <is>
          <t>Workings</t>
        </is>
      </c>
      <c r="C2696" s="4" t="inlineStr">
        <is>
          <t>B7</t>
        </is>
      </c>
      <c r="D2696" s="4" t="inlineStr">
        <is>
          <t>='Inputs (1)'!G10*'Inputs (1)'!G11</t>
        </is>
      </c>
      <c r="E2696" s="4" t="n">
        <v>200</v>
      </c>
      <c r="F2696" s="4" t="inlineStr">
        <is>
          <t>GOC Bed Unit-Costing Model v2 — working original.xlsx</t>
        </is>
      </c>
    </row>
    <row r="2697" ht="40" customHeight="1">
      <c r="A2697" s="4" t="inlineStr">
        <is>
          <t>original:Workings!C7</t>
        </is>
      </c>
      <c r="B2697" s="4" t="inlineStr">
        <is>
          <t>Workings</t>
        </is>
      </c>
      <c r="C2697" s="4" t="inlineStr">
        <is>
          <t>C7</t>
        </is>
      </c>
      <c r="D2697" s="4" t="inlineStr">
        <is>
          <t>='Inputs (1)'!H10*'Inputs (1)'!H11</t>
        </is>
      </c>
      <c r="E2697" s="4" t="n">
        <v>500</v>
      </c>
      <c r="F2697" s="4" t="inlineStr">
        <is>
          <t>GOC Bed Unit-Costing Model v2 — working original.xlsx</t>
        </is>
      </c>
    </row>
    <row r="2698" ht="40" customHeight="1">
      <c r="A2698" s="4" t="inlineStr">
        <is>
          <t>original:Workings!D7</t>
        </is>
      </c>
      <c r="B2698" s="4" t="inlineStr">
        <is>
          <t>Workings</t>
        </is>
      </c>
      <c r="C2698" s="4" t="inlineStr">
        <is>
          <t>D7</t>
        </is>
      </c>
      <c r="D2698" s="4" t="inlineStr">
        <is>
          <t>='Inputs (1)'!I10*'Inputs (1)'!I11</t>
        </is>
      </c>
      <c r="E2698" s="4" t="n">
        <v>500</v>
      </c>
      <c r="F2698" s="4" t="inlineStr">
        <is>
          <t>GOC Bed Unit-Costing Model v2 — working original.xlsx</t>
        </is>
      </c>
    </row>
    <row r="2699" ht="40" customHeight="1">
      <c r="A2699" s="4" t="inlineStr">
        <is>
          <t>original:Workings!A8</t>
        </is>
      </c>
      <c r="B2699" s="4" t="inlineStr">
        <is>
          <t>Workings</t>
        </is>
      </c>
      <c r="C2699" s="4" t="inlineStr">
        <is>
          <t>A8</t>
        </is>
      </c>
      <c r="D2699" s="4" t="inlineStr">
        <is>
          <t>Container beds, commercial</t>
        </is>
      </c>
      <c r="E2699" s="4" t="inlineStr">
        <is>
          <t>Container beds, commercial</t>
        </is>
      </c>
      <c r="F2699" s="4" t="inlineStr">
        <is>
          <t>GOC Bed Unit-Costing Model v2 — working original.xlsx</t>
        </is>
      </c>
    </row>
    <row r="2700" ht="40" customHeight="1">
      <c r="A2700" s="4" t="inlineStr">
        <is>
          <t>original:Workings!B8</t>
        </is>
      </c>
      <c r="B2700" s="4" t="inlineStr">
        <is>
          <t>Workings</t>
        </is>
      </c>
      <c r="C2700" s="4" t="inlineStr">
        <is>
          <t>B8</t>
        </is>
      </c>
      <c r="D2700" s="4" t="inlineStr">
        <is>
          <t>='Inputs (1)'!G16*'Inputs (1)'!G17</t>
        </is>
      </c>
      <c r="E2700" s="4" t="n">
        <v>200</v>
      </c>
      <c r="F2700" s="4" t="inlineStr">
        <is>
          <t>GOC Bed Unit-Costing Model v2 — working original.xlsx</t>
        </is>
      </c>
    </row>
    <row r="2701" ht="40" customHeight="1">
      <c r="A2701" s="4" t="inlineStr">
        <is>
          <t>original:Workings!C8</t>
        </is>
      </c>
      <c r="B2701" s="4" t="inlineStr">
        <is>
          <t>Workings</t>
        </is>
      </c>
      <c r="C2701" s="4" t="inlineStr">
        <is>
          <t>C8</t>
        </is>
      </c>
      <c r="D2701" s="4" t="inlineStr">
        <is>
          <t>='Inputs (1)'!H16*'Inputs (1)'!H17</t>
        </is>
      </c>
      <c r="E2701" s="4" t="n">
        <v>500</v>
      </c>
      <c r="F2701" s="4" t="inlineStr">
        <is>
          <t>GOC Bed Unit-Costing Model v2 — working original.xlsx</t>
        </is>
      </c>
    </row>
    <row r="2702" ht="40" customHeight="1">
      <c r="A2702" s="4" t="inlineStr">
        <is>
          <t>original:Workings!D8</t>
        </is>
      </c>
      <c r="B2702" s="4" t="inlineStr">
        <is>
          <t>Workings</t>
        </is>
      </c>
      <c r="C2702" s="4" t="inlineStr">
        <is>
          <t>D8</t>
        </is>
      </c>
      <c r="D2702" s="4" t="inlineStr">
        <is>
          <t>='Inputs (1)'!I16*'Inputs (1)'!I17</t>
        </is>
      </c>
      <c r="E2702" s="4" t="n">
        <v>500</v>
      </c>
      <c r="F2702" s="4" t="inlineStr">
        <is>
          <t>GOC Bed Unit-Costing Model v2 — working original.xlsx</t>
        </is>
      </c>
    </row>
    <row r="2703" ht="40" customHeight="1">
      <c r="A2703" s="4" t="inlineStr">
        <is>
          <t>original:Workings!A9</t>
        </is>
      </c>
      <c r="B2703" s="4" t="inlineStr">
        <is>
          <t>Workings</t>
        </is>
      </c>
      <c r="C2703" s="4" t="inlineStr">
        <is>
          <t>A9</t>
        </is>
      </c>
      <c r="D2703" s="4" t="inlineStr">
        <is>
          <t>Commercial beds total</t>
        </is>
      </c>
      <c r="E2703" s="4" t="inlineStr">
        <is>
          <t>Commercial beds total</t>
        </is>
      </c>
      <c r="F2703" s="4" t="inlineStr">
        <is>
          <t>GOC Bed Unit-Costing Model v2 — working original.xlsx</t>
        </is>
      </c>
    </row>
    <row r="2704" ht="40" customHeight="1">
      <c r="A2704" s="4" t="inlineStr">
        <is>
          <t>original:Workings!B9</t>
        </is>
      </c>
      <c r="B2704" s="4" t="inlineStr">
        <is>
          <t>Workings</t>
        </is>
      </c>
      <c r="C2704" s="4" t="inlineStr">
        <is>
          <t>B9</t>
        </is>
      </c>
      <c r="D2704" s="4" t="inlineStr">
        <is>
          <t>=B7+B8</t>
        </is>
      </c>
      <c r="E2704" s="4" t="n">
        <v>400</v>
      </c>
      <c r="F2704" s="4" t="inlineStr">
        <is>
          <t>GOC Bed Unit-Costing Model v2 — working original.xlsx</t>
        </is>
      </c>
    </row>
    <row r="2705" ht="40" customHeight="1">
      <c r="A2705" s="4" t="inlineStr">
        <is>
          <t>original:Workings!C9</t>
        </is>
      </c>
      <c r="B2705" s="4" t="inlineStr">
        <is>
          <t>Workings</t>
        </is>
      </c>
      <c r="C2705" s="4" t="inlineStr">
        <is>
          <t>C9</t>
        </is>
      </c>
      <c r="D2705" s="4" t="inlineStr">
        <is>
          <t>=C7+C8</t>
        </is>
      </c>
      <c r="E2705" s="4" t="n">
        <v>1000</v>
      </c>
      <c r="F2705" s="4" t="inlineStr">
        <is>
          <t>GOC Bed Unit-Costing Model v2 — working original.xlsx</t>
        </is>
      </c>
    </row>
    <row r="2706" ht="40" customHeight="1">
      <c r="A2706" s="4" t="inlineStr">
        <is>
          <t>original:Workings!D9</t>
        </is>
      </c>
      <c r="B2706" s="4" t="inlineStr">
        <is>
          <t>Workings</t>
        </is>
      </c>
      <c r="C2706" s="4" t="inlineStr">
        <is>
          <t>D9</t>
        </is>
      </c>
      <c r="D2706" s="4" t="inlineStr">
        <is>
          <t>=D7+D8</t>
        </is>
      </c>
      <c r="E2706" s="4" t="n">
        <v>1000</v>
      </c>
      <c r="F2706" s="4" t="inlineStr">
        <is>
          <t>GOC Bed Unit-Costing Model v2 — working original.xlsx</t>
        </is>
      </c>
    </row>
    <row r="2707" ht="40" customHeight="1">
      <c r="A2707" s="4" t="inlineStr">
        <is>
          <t>original:Workings!A10</t>
        </is>
      </c>
      <c r="B2707" s="4" t="inlineStr">
        <is>
          <t>Workings</t>
        </is>
      </c>
      <c r="C2707" s="4" t="inlineStr">
        <is>
          <t>A10</t>
        </is>
      </c>
      <c r="D2707" s="4" t="inlineStr">
        <is>
          <t>Grant-funded beds</t>
        </is>
      </c>
      <c r="E2707" s="4" t="inlineStr">
        <is>
          <t>Grant-funded beds</t>
        </is>
      </c>
      <c r="F2707" s="4" t="inlineStr">
        <is>
          <t>GOC Bed Unit-Costing Model v2 — working original.xlsx</t>
        </is>
      </c>
    </row>
    <row r="2708" ht="40" customHeight="1">
      <c r="A2708" s="4" t="inlineStr">
        <is>
          <t>original:Workings!B10</t>
        </is>
      </c>
      <c r="B2708" s="4" t="inlineStr">
        <is>
          <t>Workings</t>
        </is>
      </c>
      <c r="C2708" s="4" t="inlineStr">
        <is>
          <t>B10</t>
        </is>
      </c>
      <c r="D2708" s="4" t="inlineStr">
        <is>
          <t>='Inputs (1)'!G29</t>
        </is>
      </c>
      <c r="E2708" s="4" t="n">
        <v>0</v>
      </c>
      <c r="F2708" s="4" t="inlineStr">
        <is>
          <t>GOC Bed Unit-Costing Model v2 — working original.xlsx</t>
        </is>
      </c>
    </row>
    <row r="2709" ht="40" customHeight="1">
      <c r="A2709" s="4" t="inlineStr">
        <is>
          <t>original:Workings!C10</t>
        </is>
      </c>
      <c r="B2709" s="4" t="inlineStr">
        <is>
          <t>Workings</t>
        </is>
      </c>
      <c r="C2709" s="4" t="inlineStr">
        <is>
          <t>C10</t>
        </is>
      </c>
      <c r="D2709" s="4" t="inlineStr">
        <is>
          <t>='Inputs (1)'!H29</t>
        </is>
      </c>
      <c r="E2709" s="4" t="n">
        <v>0</v>
      </c>
      <c r="F2709" s="4" t="inlineStr">
        <is>
          <t>GOC Bed Unit-Costing Model v2 — working original.xlsx</t>
        </is>
      </c>
    </row>
    <row r="2710" ht="40" customHeight="1">
      <c r="A2710" s="4" t="inlineStr">
        <is>
          <t>original:Workings!D10</t>
        </is>
      </c>
      <c r="B2710" s="4" t="inlineStr">
        <is>
          <t>Workings</t>
        </is>
      </c>
      <c r="C2710" s="4" t="inlineStr">
        <is>
          <t>D10</t>
        </is>
      </c>
      <c r="D2710" s="4" t="inlineStr">
        <is>
          <t>='Inputs (1)'!I29</t>
        </is>
      </c>
      <c r="E2710" s="4" t="n">
        <v>0</v>
      </c>
      <c r="F2710" s="4" t="inlineStr">
        <is>
          <t>GOC Bed Unit-Costing Model v2 — working original.xlsx</t>
        </is>
      </c>
    </row>
    <row r="2711" ht="75" customHeight="1">
      <c r="A2711" s="4" t="inlineStr">
        <is>
          <t>original:Workings!F10</t>
        </is>
      </c>
      <c r="B2711" s="4" t="inlineStr">
        <is>
          <t>Workings</t>
        </is>
      </c>
      <c r="C2711" s="4" t="inlineStr">
        <is>
          <t>F10</t>
        </is>
      </c>
      <c r="D2711" s="4" t="inlineStr">
        <is>
          <t>Beds funded by tied grant programs. Added to volume, carry their direct cost, generate no separate sales revenue.</t>
        </is>
      </c>
      <c r="E2711" s="4" t="inlineStr">
        <is>
          <t>Beds funded by tied grant programs. Added to volume, carry their direct cost, generate no separate sales revenue.</t>
        </is>
      </c>
      <c r="F2711" s="4" t="inlineStr">
        <is>
          <t>GOC Bed Unit-Costing Model v2 — working original.xlsx</t>
        </is>
      </c>
    </row>
    <row r="2712" ht="40" customHeight="1">
      <c r="A2712" s="4" t="inlineStr">
        <is>
          <t>original:Workings!A11</t>
        </is>
      </c>
      <c r="B2712" s="4" t="inlineStr">
        <is>
          <t>Workings</t>
        </is>
      </c>
      <c r="C2712" s="4" t="inlineStr">
        <is>
          <t>A11</t>
        </is>
      </c>
      <c r="D2712" s="4" t="inlineStr">
        <is>
          <t>TOTAL BEDS PRODUCED</t>
        </is>
      </c>
      <c r="E2712" s="4" t="inlineStr">
        <is>
          <t>TOTAL BEDS PRODUCED</t>
        </is>
      </c>
      <c r="F2712" s="4" t="inlineStr">
        <is>
          <t>GOC Bed Unit-Costing Model v2 — working original.xlsx</t>
        </is>
      </c>
    </row>
    <row r="2713" ht="40" customHeight="1">
      <c r="A2713" s="4" t="inlineStr">
        <is>
          <t>original:Workings!B11</t>
        </is>
      </c>
      <c r="B2713" s="4" t="inlineStr">
        <is>
          <t>Workings</t>
        </is>
      </c>
      <c r="C2713" s="4" t="inlineStr">
        <is>
          <t>B11</t>
        </is>
      </c>
      <c r="D2713" s="4" t="inlineStr">
        <is>
          <t>=B9+B10</t>
        </is>
      </c>
      <c r="E2713" s="4" t="n">
        <v>400</v>
      </c>
      <c r="F2713" s="4" t="inlineStr">
        <is>
          <t>GOC Bed Unit-Costing Model v2 — working original.xlsx</t>
        </is>
      </c>
    </row>
    <row r="2714" ht="40" customHeight="1">
      <c r="A2714" s="4" t="inlineStr">
        <is>
          <t>original:Workings!C11</t>
        </is>
      </c>
      <c r="B2714" s="4" t="inlineStr">
        <is>
          <t>Workings</t>
        </is>
      </c>
      <c r="C2714" s="4" t="inlineStr">
        <is>
          <t>C11</t>
        </is>
      </c>
      <c r="D2714" s="4" t="inlineStr">
        <is>
          <t>=C9+C10</t>
        </is>
      </c>
      <c r="E2714" s="4" t="n">
        <v>1000</v>
      </c>
      <c r="F2714" s="4" t="inlineStr">
        <is>
          <t>GOC Bed Unit-Costing Model v2 — working original.xlsx</t>
        </is>
      </c>
    </row>
    <row r="2715" ht="40" customHeight="1">
      <c r="A2715" s="4" t="inlineStr">
        <is>
          <t>original:Workings!D11</t>
        </is>
      </c>
      <c r="B2715" s="4" t="inlineStr">
        <is>
          <t>Workings</t>
        </is>
      </c>
      <c r="C2715" s="4" t="inlineStr">
        <is>
          <t>D11</t>
        </is>
      </c>
      <c r="D2715" s="4" t="inlineStr">
        <is>
          <t>=D9+D10</t>
        </is>
      </c>
      <c r="E2715" s="4" t="n">
        <v>1000</v>
      </c>
      <c r="F2715" s="4" t="inlineStr">
        <is>
          <t>GOC Bed Unit-Costing Model v2 — working original.xlsx</t>
        </is>
      </c>
    </row>
    <row r="2716" ht="40" customHeight="1">
      <c r="A2716" s="4" t="inlineStr">
        <is>
          <t>original:Workings!A12</t>
        </is>
      </c>
      <c r="B2716" s="4" t="inlineStr">
        <is>
          <t>Workings</t>
        </is>
      </c>
      <c r="C2716" s="4" t="inlineStr">
        <is>
          <t>A12</t>
        </is>
      </c>
      <c r="D2716" s="4" t="inlineStr">
        <is>
          <t xml:space="preserve">   grant-funded beds, factory share</t>
        </is>
      </c>
      <c r="E2716" s="4" t="inlineStr">
        <is>
          <t xml:space="preserve">   grant-funded beds, factory share</t>
        </is>
      </c>
      <c r="F2716" s="4" t="inlineStr">
        <is>
          <t>GOC Bed Unit-Costing Model v2 — working original.xlsx</t>
        </is>
      </c>
    </row>
    <row r="2717" ht="40" customHeight="1">
      <c r="A2717" s="4" t="inlineStr">
        <is>
          <t>original:Workings!B12</t>
        </is>
      </c>
      <c r="B2717" s="4" t="inlineStr">
        <is>
          <t>Workings</t>
        </is>
      </c>
      <c r="C2717" s="4" t="inlineStr">
        <is>
          <t>B12</t>
        </is>
      </c>
      <c r="D2717" s="4" t="inlineStr">
        <is>
          <t>=IF(B9&gt;0,B10*B7/B9,0)</t>
        </is>
      </c>
      <c r="E2717" s="4" t="n">
        <v>0</v>
      </c>
      <c r="F2717" s="4" t="inlineStr">
        <is>
          <t>GOC Bed Unit-Costing Model v2 — working original.xlsx</t>
        </is>
      </c>
    </row>
    <row r="2718" ht="40" customHeight="1">
      <c r="A2718" s="4" t="inlineStr">
        <is>
          <t>original:Workings!C12</t>
        </is>
      </c>
      <c r="B2718" s="4" t="inlineStr">
        <is>
          <t>Workings</t>
        </is>
      </c>
      <c r="C2718" s="4" t="inlineStr">
        <is>
          <t>C12</t>
        </is>
      </c>
      <c r="D2718" s="4" t="inlineStr">
        <is>
          <t>=IF(C9&gt;0,C10*C7/C9,0)</t>
        </is>
      </c>
      <c r="E2718" s="4" t="n">
        <v>0</v>
      </c>
      <c r="F2718" s="4" t="inlineStr">
        <is>
          <t>GOC Bed Unit-Costing Model v2 — working original.xlsx</t>
        </is>
      </c>
    </row>
    <row r="2719" ht="40" customHeight="1">
      <c r="A2719" s="4" t="inlineStr">
        <is>
          <t>original:Workings!D12</t>
        </is>
      </c>
      <c r="B2719" s="4" t="inlineStr">
        <is>
          <t>Workings</t>
        </is>
      </c>
      <c r="C2719" s="4" t="inlineStr">
        <is>
          <t>D12</t>
        </is>
      </c>
      <c r="D2719" s="4" t="inlineStr">
        <is>
          <t>=IF(D9&gt;0,D10*D7/D9,0)</t>
        </is>
      </c>
      <c r="E2719" s="4" t="n">
        <v>0</v>
      </c>
      <c r="F2719" s="4" t="inlineStr">
        <is>
          <t>GOC Bed Unit-Costing Model v2 — working original.xlsx</t>
        </is>
      </c>
    </row>
    <row r="2720" ht="75" customHeight="1">
      <c r="A2720" s="4" t="inlineStr">
        <is>
          <t>original:Workings!F12</t>
        </is>
      </c>
      <c r="B2720" s="4" t="inlineStr">
        <is>
          <t>Workings</t>
        </is>
      </c>
      <c r="C2720" s="4" t="inlineStr">
        <is>
          <t>F12</t>
        </is>
      </c>
      <c r="D2720" s="4" t="inlineStr">
        <is>
          <t>Grant-funded beds are split between the two production types in the same ratio as commercial beds.</t>
        </is>
      </c>
      <c r="E2720" s="4" t="inlineStr">
        <is>
          <t>Grant-funded beds are split between the two production types in the same ratio as commercial beds.</t>
        </is>
      </c>
      <c r="F2720" s="4" t="inlineStr">
        <is>
          <t>GOC Bed Unit-Costing Model v2 — working original.xlsx</t>
        </is>
      </c>
    </row>
    <row r="2721" ht="40" customHeight="1">
      <c r="A2721" s="4" t="inlineStr">
        <is>
          <t>original:Workings!A13</t>
        </is>
      </c>
      <c r="B2721" s="4" t="inlineStr">
        <is>
          <t>Workings</t>
        </is>
      </c>
      <c r="C2721" s="4" t="inlineStr">
        <is>
          <t>A13</t>
        </is>
      </c>
      <c r="D2721" s="4" t="inlineStr">
        <is>
          <t xml:space="preserve">   grant-funded beds, container share</t>
        </is>
      </c>
      <c r="E2721" s="4" t="inlineStr">
        <is>
          <t xml:space="preserve">   grant-funded beds, container share</t>
        </is>
      </c>
      <c r="F2721" s="4" t="inlineStr">
        <is>
          <t>GOC Bed Unit-Costing Model v2 — working original.xlsx</t>
        </is>
      </c>
    </row>
    <row r="2722" ht="40" customHeight="1">
      <c r="A2722" s="4" t="inlineStr">
        <is>
          <t>original:Workings!B13</t>
        </is>
      </c>
      <c r="B2722" s="4" t="inlineStr">
        <is>
          <t>Workings</t>
        </is>
      </c>
      <c r="C2722" s="4" t="inlineStr">
        <is>
          <t>B13</t>
        </is>
      </c>
      <c r="D2722" s="4" t="inlineStr">
        <is>
          <t>=B10-B12</t>
        </is>
      </c>
      <c r="E2722" s="4" t="n">
        <v>0</v>
      </c>
      <c r="F2722" s="4" t="inlineStr">
        <is>
          <t>GOC Bed Unit-Costing Model v2 — working original.xlsx</t>
        </is>
      </c>
    </row>
    <row r="2723" ht="40" customHeight="1">
      <c r="A2723" s="4" t="inlineStr">
        <is>
          <t>original:Workings!C13</t>
        </is>
      </c>
      <c r="B2723" s="4" t="inlineStr">
        <is>
          <t>Workings</t>
        </is>
      </c>
      <c r="C2723" s="4" t="inlineStr">
        <is>
          <t>C13</t>
        </is>
      </c>
      <c r="D2723" s="4" t="inlineStr">
        <is>
          <t>=C10-C12</t>
        </is>
      </c>
      <c r="E2723" s="4" t="n">
        <v>0</v>
      </c>
      <c r="F2723" s="4" t="inlineStr">
        <is>
          <t>GOC Bed Unit-Costing Model v2 — working original.xlsx</t>
        </is>
      </c>
    </row>
    <row r="2724" ht="40" customHeight="1">
      <c r="A2724" s="4" t="inlineStr">
        <is>
          <t>original:Workings!D13</t>
        </is>
      </c>
      <c r="B2724" s="4" t="inlineStr">
        <is>
          <t>Workings</t>
        </is>
      </c>
      <c r="C2724" s="4" t="inlineStr">
        <is>
          <t>D13</t>
        </is>
      </c>
      <c r="D2724" s="4" t="inlineStr">
        <is>
          <t>=D10-D12</t>
        </is>
      </c>
      <c r="E2724" s="4" t="n">
        <v>0</v>
      </c>
      <c r="F2724" s="4" t="inlineStr">
        <is>
          <t>GOC Bed Unit-Costing Model v2 — working original.xlsx</t>
        </is>
      </c>
    </row>
    <row r="2725" ht="40" customHeight="1">
      <c r="A2725" s="4" t="inlineStr">
        <is>
          <t>original:Workings!A14</t>
        </is>
      </c>
      <c r="B2725" s="4" t="inlineStr">
        <is>
          <t>Workings</t>
        </is>
      </c>
      <c r="C2725" s="4" t="inlineStr">
        <is>
          <t>A14</t>
        </is>
      </c>
      <c r="D2725" s="4" t="inlineStr">
        <is>
          <t>Total factory beds</t>
        </is>
      </c>
      <c r="E2725" s="4" t="inlineStr">
        <is>
          <t>Total factory beds</t>
        </is>
      </c>
      <c r="F2725" s="4" t="inlineStr">
        <is>
          <t>GOC Bed Unit-Costing Model v2 — working original.xlsx</t>
        </is>
      </c>
    </row>
    <row r="2726" ht="40" customHeight="1">
      <c r="A2726" s="4" t="inlineStr">
        <is>
          <t>original:Workings!B14</t>
        </is>
      </c>
      <c r="B2726" s="4" t="inlineStr">
        <is>
          <t>Workings</t>
        </is>
      </c>
      <c r="C2726" s="4" t="inlineStr">
        <is>
          <t>B14</t>
        </is>
      </c>
      <c r="D2726" s="4" t="inlineStr">
        <is>
          <t>=B7+B12</t>
        </is>
      </c>
      <c r="E2726" s="4" t="n">
        <v>200</v>
      </c>
      <c r="F2726" s="4" t="inlineStr">
        <is>
          <t>GOC Bed Unit-Costing Model v2 — working original.xlsx</t>
        </is>
      </c>
    </row>
    <row r="2727" ht="40" customHeight="1">
      <c r="A2727" s="4" t="inlineStr">
        <is>
          <t>original:Workings!C14</t>
        </is>
      </c>
      <c r="B2727" s="4" t="inlineStr">
        <is>
          <t>Workings</t>
        </is>
      </c>
      <c r="C2727" s="4" t="inlineStr">
        <is>
          <t>C14</t>
        </is>
      </c>
      <c r="D2727" s="4" t="inlineStr">
        <is>
          <t>=C7+C12</t>
        </is>
      </c>
      <c r="E2727" s="4" t="n">
        <v>500</v>
      </c>
      <c r="F2727" s="4" t="inlineStr">
        <is>
          <t>GOC Bed Unit-Costing Model v2 — working original.xlsx</t>
        </is>
      </c>
    </row>
    <row r="2728" ht="40" customHeight="1">
      <c r="A2728" s="4" t="inlineStr">
        <is>
          <t>original:Workings!D14</t>
        </is>
      </c>
      <c r="B2728" s="4" t="inlineStr">
        <is>
          <t>Workings</t>
        </is>
      </c>
      <c r="C2728" s="4" t="inlineStr">
        <is>
          <t>D14</t>
        </is>
      </c>
      <c r="D2728" s="4" t="inlineStr">
        <is>
          <t>=D7+D12</t>
        </is>
      </c>
      <c r="E2728" s="4" t="n">
        <v>500</v>
      </c>
      <c r="F2728" s="4" t="inlineStr">
        <is>
          <t>GOC Bed Unit-Costing Model v2 — working original.xlsx</t>
        </is>
      </c>
    </row>
    <row r="2729" ht="40" customHeight="1">
      <c r="A2729" s="4" t="inlineStr">
        <is>
          <t>original:Workings!A15</t>
        </is>
      </c>
      <c r="B2729" s="4" t="inlineStr">
        <is>
          <t>Workings</t>
        </is>
      </c>
      <c r="C2729" s="4" t="inlineStr">
        <is>
          <t>A15</t>
        </is>
      </c>
      <c r="D2729" s="4" t="inlineStr">
        <is>
          <t>Total container beds</t>
        </is>
      </c>
      <c r="E2729" s="4" t="inlineStr">
        <is>
          <t>Total container beds</t>
        </is>
      </c>
      <c r="F2729" s="4" t="inlineStr">
        <is>
          <t>GOC Bed Unit-Costing Model v2 — working original.xlsx</t>
        </is>
      </c>
    </row>
    <row r="2730" ht="40" customHeight="1">
      <c r="A2730" s="4" t="inlineStr">
        <is>
          <t>original:Workings!B15</t>
        </is>
      </c>
      <c r="B2730" s="4" t="inlineStr">
        <is>
          <t>Workings</t>
        </is>
      </c>
      <c r="C2730" s="4" t="inlineStr">
        <is>
          <t>B15</t>
        </is>
      </c>
      <c r="D2730" s="4" t="inlineStr">
        <is>
          <t>=B8+B13</t>
        </is>
      </c>
      <c r="E2730" s="4" t="n">
        <v>200</v>
      </c>
      <c r="F2730" s="4" t="inlineStr">
        <is>
          <t>GOC Bed Unit-Costing Model v2 — working original.xlsx</t>
        </is>
      </c>
    </row>
    <row r="2731" ht="40" customHeight="1">
      <c r="A2731" s="4" t="inlineStr">
        <is>
          <t>original:Workings!C15</t>
        </is>
      </c>
      <c r="B2731" s="4" t="inlineStr">
        <is>
          <t>Workings</t>
        </is>
      </c>
      <c r="C2731" s="4" t="inlineStr">
        <is>
          <t>C15</t>
        </is>
      </c>
      <c r="D2731" s="4" t="inlineStr">
        <is>
          <t>=C8+C13</t>
        </is>
      </c>
      <c r="E2731" s="4" t="n">
        <v>500</v>
      </c>
      <c r="F2731" s="4" t="inlineStr">
        <is>
          <t>GOC Bed Unit-Costing Model v2 — working original.xlsx</t>
        </is>
      </c>
    </row>
    <row r="2732" ht="40" customHeight="1">
      <c r="A2732" s="4" t="inlineStr">
        <is>
          <t>original:Workings!D15</t>
        </is>
      </c>
      <c r="B2732" s="4" t="inlineStr">
        <is>
          <t>Workings</t>
        </is>
      </c>
      <c r="C2732" s="4" t="inlineStr">
        <is>
          <t>D15</t>
        </is>
      </c>
      <c r="D2732" s="4" t="inlineStr">
        <is>
          <t>=D8+D13</t>
        </is>
      </c>
      <c r="E2732" s="4" t="n">
        <v>500</v>
      </c>
      <c r="F2732" s="4" t="inlineStr">
        <is>
          <t>GOC Bed Unit-Costing Model v2 — working original.xlsx</t>
        </is>
      </c>
    </row>
    <row r="2733" ht="40" customHeight="1">
      <c r="A2733" s="4" t="inlineStr">
        <is>
          <t>original:Workings!A17</t>
        </is>
      </c>
      <c r="B2733" s="4" t="inlineStr">
        <is>
          <t>Workings</t>
        </is>
      </c>
      <c r="C2733" s="4" t="inlineStr">
        <is>
          <t>A17</t>
        </is>
      </c>
      <c r="D2733" s="4" t="inlineStr">
        <is>
          <t>INCOME</t>
        </is>
      </c>
      <c r="E2733" s="4" t="inlineStr">
        <is>
          <t>INCOME</t>
        </is>
      </c>
      <c r="F2733" s="4" t="inlineStr">
        <is>
          <t>GOC Bed Unit-Costing Model v2 — working original.xlsx</t>
        </is>
      </c>
    </row>
    <row r="2734" ht="40" customHeight="1">
      <c r="A2734" s="4" t="inlineStr">
        <is>
          <t>original:Workings!A18</t>
        </is>
      </c>
      <c r="B2734" s="4" t="inlineStr">
        <is>
          <t>Workings</t>
        </is>
      </c>
      <c r="C2734" s="4" t="inlineStr">
        <is>
          <t>A18</t>
        </is>
      </c>
      <c r="D2734" s="4" t="inlineStr">
        <is>
          <t>Bed sales</t>
        </is>
      </c>
      <c r="E2734" s="4" t="inlineStr">
        <is>
          <t>Bed sales</t>
        </is>
      </c>
      <c r="F2734" s="4" t="inlineStr">
        <is>
          <t>GOC Bed Unit-Costing Model v2 — working original.xlsx</t>
        </is>
      </c>
    </row>
    <row r="2735" ht="40" customHeight="1">
      <c r="A2735" s="4" t="inlineStr">
        <is>
          <t>original:Workings!B18</t>
        </is>
      </c>
      <c r="B2735" s="4" t="inlineStr">
        <is>
          <t>Workings</t>
        </is>
      </c>
      <c r="C2735" s="4" t="inlineStr">
        <is>
          <t>B18</t>
        </is>
      </c>
      <c r="D2735" s="4" t="inlineStr">
        <is>
          <t>=B9*'Inputs (1)'!G7</t>
        </is>
      </c>
      <c r="E2735" s="4" t="n">
        <v>300000</v>
      </c>
      <c r="F2735" s="4" t="inlineStr">
        <is>
          <t>GOC Bed Unit-Costing Model v2 — working original.xlsx</t>
        </is>
      </c>
    </row>
    <row r="2736" ht="40" customHeight="1">
      <c r="A2736" s="4" t="inlineStr">
        <is>
          <t>original:Workings!C18</t>
        </is>
      </c>
      <c r="B2736" s="4" t="inlineStr">
        <is>
          <t>Workings</t>
        </is>
      </c>
      <c r="C2736" s="4" t="inlineStr">
        <is>
          <t>C18</t>
        </is>
      </c>
      <c r="D2736" s="4" t="inlineStr">
        <is>
          <t>=C9*'Inputs (1)'!H7</t>
        </is>
      </c>
      <c r="E2736" s="4" t="n">
        <v>750000</v>
      </c>
      <c r="F2736" s="4" t="inlineStr">
        <is>
          <t>GOC Bed Unit-Costing Model v2 — working original.xlsx</t>
        </is>
      </c>
    </row>
    <row r="2737" ht="40" customHeight="1">
      <c r="A2737" s="4" t="inlineStr">
        <is>
          <t>original:Workings!D18</t>
        </is>
      </c>
      <c r="B2737" s="4" t="inlineStr">
        <is>
          <t>Workings</t>
        </is>
      </c>
      <c r="C2737" s="4" t="inlineStr">
        <is>
          <t>D18</t>
        </is>
      </c>
      <c r="D2737" s="4" t="inlineStr">
        <is>
          <t>=D9*'Inputs (1)'!I7</t>
        </is>
      </c>
      <c r="E2737" s="4" t="n">
        <v>750000</v>
      </c>
      <c r="F2737" s="4" t="inlineStr">
        <is>
          <t>GOC Bed Unit-Costing Model v2 — working original.xlsx</t>
        </is>
      </c>
    </row>
    <row r="2738" ht="75" customHeight="1">
      <c r="A2738" s="4" t="inlineStr">
        <is>
          <t>original:Workings!F18</t>
        </is>
      </c>
      <c r="B2738" s="4" t="inlineStr">
        <is>
          <t>Workings</t>
        </is>
      </c>
      <c r="C2738" s="4" t="inlineStr">
        <is>
          <t>F18</t>
        </is>
      </c>
      <c r="D2738" s="4" t="inlineStr">
        <is>
          <t>Commercial beds only, at the selling price. Grant-funded beds are excluded here: their income is the grant.</t>
        </is>
      </c>
      <c r="E2738" s="4" t="inlineStr">
        <is>
          <t>Commercial beds only, at the selling price. Grant-funded beds are excluded here: their income is the grant.</t>
        </is>
      </c>
      <c r="F2738" s="4" t="inlineStr">
        <is>
          <t>GOC Bed Unit-Costing Model v2 — working original.xlsx</t>
        </is>
      </c>
    </row>
    <row r="2739" ht="40" customHeight="1">
      <c r="A2739" s="4" t="inlineStr">
        <is>
          <t>original:Workings!A19</t>
        </is>
      </c>
      <c r="B2739" s="4" t="inlineStr">
        <is>
          <t>Workings</t>
        </is>
      </c>
      <c r="C2739" s="4" t="inlineStr">
        <is>
          <t>A19</t>
        </is>
      </c>
      <c r="D2739" s="4" t="inlineStr">
        <is>
          <t>Grant income, tied</t>
        </is>
      </c>
      <c r="E2739" s="4" t="inlineStr">
        <is>
          <t>Grant income, tied</t>
        </is>
      </c>
      <c r="F2739" s="4" t="inlineStr">
        <is>
          <t>GOC Bed Unit-Costing Model v2 — working original.xlsx</t>
        </is>
      </c>
    </row>
    <row r="2740" ht="40" customHeight="1">
      <c r="A2740" s="4" t="inlineStr">
        <is>
          <t>original:Workings!B19</t>
        </is>
      </c>
      <c r="B2740" s="4" t="inlineStr">
        <is>
          <t>Workings</t>
        </is>
      </c>
      <c r="C2740" s="4" t="inlineStr">
        <is>
          <t>B19</t>
        </is>
      </c>
      <c r="D2740" s="4" t="inlineStr">
        <is>
          <t>='Inputs (1)'!G28</t>
        </is>
      </c>
      <c r="E2740" s="4" t="n">
        <v>0</v>
      </c>
      <c r="F2740" s="4" t="inlineStr">
        <is>
          <t>GOC Bed Unit-Costing Model v2 — working original.xlsx</t>
        </is>
      </c>
    </row>
    <row r="2741" ht="40" customHeight="1">
      <c r="A2741" s="4" t="inlineStr">
        <is>
          <t>original:Workings!C19</t>
        </is>
      </c>
      <c r="B2741" s="4" t="inlineStr">
        <is>
          <t>Workings</t>
        </is>
      </c>
      <c r="C2741" s="4" t="inlineStr">
        <is>
          <t>C19</t>
        </is>
      </c>
      <c r="D2741" s="4" t="inlineStr">
        <is>
          <t>='Inputs (1)'!H28</t>
        </is>
      </c>
      <c r="E2741" s="4" t="n">
        <v>0</v>
      </c>
      <c r="F2741" s="4" t="inlineStr">
        <is>
          <t>GOC Bed Unit-Costing Model v2 — working original.xlsx</t>
        </is>
      </c>
    </row>
    <row r="2742" ht="40" customHeight="1">
      <c r="A2742" s="4" t="inlineStr">
        <is>
          <t>original:Workings!D19</t>
        </is>
      </c>
      <c r="B2742" s="4" t="inlineStr">
        <is>
          <t>Workings</t>
        </is>
      </c>
      <c r="C2742" s="4" t="inlineStr">
        <is>
          <t>D19</t>
        </is>
      </c>
      <c r="D2742" s="4" t="inlineStr">
        <is>
          <t>='Inputs (1)'!I28</t>
        </is>
      </c>
      <c r="E2742" s="4" t="n">
        <v>0</v>
      </c>
      <c r="F2742" s="4" t="inlineStr">
        <is>
          <t>GOC Bed Unit-Costing Model v2 — working original.xlsx</t>
        </is>
      </c>
    </row>
    <row r="2743" ht="40" customHeight="1">
      <c r="A2743" s="4" t="inlineStr">
        <is>
          <t>original:Workings!A20</t>
        </is>
      </c>
      <c r="B2743" s="4" t="inlineStr">
        <is>
          <t>Workings</t>
        </is>
      </c>
      <c r="C2743" s="4" t="inlineStr">
        <is>
          <t>A20</t>
        </is>
      </c>
      <c r="D2743" s="4" t="inlineStr">
        <is>
          <t>Grant income, untied</t>
        </is>
      </c>
      <c r="E2743" s="4" t="inlineStr">
        <is>
          <t>Grant income, untied</t>
        </is>
      </c>
      <c r="F2743" s="4" t="inlineStr">
        <is>
          <t>GOC Bed Unit-Costing Model v2 — working original.xlsx</t>
        </is>
      </c>
    </row>
    <row r="2744" ht="40" customHeight="1">
      <c r="A2744" s="4" t="inlineStr">
        <is>
          <t>original:Workings!B20</t>
        </is>
      </c>
      <c r="B2744" s="4" t="inlineStr">
        <is>
          <t>Workings</t>
        </is>
      </c>
      <c r="C2744" s="4" t="inlineStr">
        <is>
          <t>B20</t>
        </is>
      </c>
      <c r="D2744" s="4" t="inlineStr">
        <is>
          <t>='Inputs (1)'!G35</t>
        </is>
      </c>
      <c r="E2744" s="4" t="n">
        <v>600000</v>
      </c>
      <c r="F2744" s="4" t="inlineStr">
        <is>
          <t>GOC Bed Unit-Costing Model v2 — working original.xlsx</t>
        </is>
      </c>
    </row>
    <row r="2745" ht="40" customHeight="1">
      <c r="A2745" s="4" t="inlineStr">
        <is>
          <t>original:Workings!C20</t>
        </is>
      </c>
      <c r="B2745" s="4" t="inlineStr">
        <is>
          <t>Workings</t>
        </is>
      </c>
      <c r="C2745" s="4" t="inlineStr">
        <is>
          <t>C20</t>
        </is>
      </c>
      <c r="D2745" s="4" t="inlineStr">
        <is>
          <t>='Inputs (1)'!H35</t>
        </is>
      </c>
      <c r="E2745" s="4" t="n">
        <v>0</v>
      </c>
      <c r="F2745" s="4" t="inlineStr">
        <is>
          <t>GOC Bed Unit-Costing Model v2 — working original.xlsx</t>
        </is>
      </c>
    </row>
    <row r="2746" ht="40" customHeight="1">
      <c r="A2746" s="4" t="inlineStr">
        <is>
          <t>original:Workings!D20</t>
        </is>
      </c>
      <c r="B2746" s="4" t="inlineStr">
        <is>
          <t>Workings</t>
        </is>
      </c>
      <c r="C2746" s="4" t="inlineStr">
        <is>
          <t>D20</t>
        </is>
      </c>
      <c r="D2746" s="4" t="inlineStr">
        <is>
          <t>='Inputs (1)'!I35</t>
        </is>
      </c>
      <c r="E2746" s="4" t="n">
        <v>0</v>
      </c>
      <c r="F2746" s="4" t="inlineStr">
        <is>
          <t>GOC Bed Unit-Costing Model v2 — working original.xlsx</t>
        </is>
      </c>
    </row>
    <row r="2747" ht="40" customHeight="1">
      <c r="A2747" s="4" t="inlineStr">
        <is>
          <t>original:Workings!A21</t>
        </is>
      </c>
      <c r="B2747" s="4" t="inlineStr">
        <is>
          <t>Workings</t>
        </is>
      </c>
      <c r="C2747" s="4" t="inlineStr">
        <is>
          <t>A21</t>
        </is>
      </c>
      <c r="D2747" s="4" t="inlineStr">
        <is>
          <t>TOTAL INCOME</t>
        </is>
      </c>
      <c r="E2747" s="4" t="inlineStr">
        <is>
          <t>TOTAL INCOME</t>
        </is>
      </c>
      <c r="F2747" s="4" t="inlineStr">
        <is>
          <t>GOC Bed Unit-Costing Model v2 — working original.xlsx</t>
        </is>
      </c>
    </row>
    <row r="2748" ht="40" customHeight="1">
      <c r="A2748" s="4" t="inlineStr">
        <is>
          <t>original:Workings!B21</t>
        </is>
      </c>
      <c r="B2748" s="4" t="inlineStr">
        <is>
          <t>Workings</t>
        </is>
      </c>
      <c r="C2748" s="4" t="inlineStr">
        <is>
          <t>B21</t>
        </is>
      </c>
      <c r="D2748" s="4" t="inlineStr">
        <is>
          <t>=SUM(B18:B20)</t>
        </is>
      </c>
      <c r="E2748" s="4" t="n">
        <v>900000</v>
      </c>
      <c r="F2748" s="4" t="inlineStr">
        <is>
          <t>GOC Bed Unit-Costing Model v2 — working original.xlsx</t>
        </is>
      </c>
    </row>
    <row r="2749" ht="40" customHeight="1">
      <c r="A2749" s="4" t="inlineStr">
        <is>
          <t>original:Workings!C21</t>
        </is>
      </c>
      <c r="B2749" s="4" t="inlineStr">
        <is>
          <t>Workings</t>
        </is>
      </c>
      <c r="C2749" s="4" t="inlineStr">
        <is>
          <t>C21</t>
        </is>
      </c>
      <c r="D2749" s="4" t="inlineStr">
        <is>
          <t>=SUM(C18:C20)</t>
        </is>
      </c>
      <c r="E2749" s="4" t="n">
        <v>750000</v>
      </c>
      <c r="F2749" s="4" t="inlineStr">
        <is>
          <t>GOC Bed Unit-Costing Model v2 — working original.xlsx</t>
        </is>
      </c>
    </row>
    <row r="2750" ht="40" customHeight="1">
      <c r="A2750" s="4" t="inlineStr">
        <is>
          <t>original:Workings!D21</t>
        </is>
      </c>
      <c r="B2750" s="4" t="inlineStr">
        <is>
          <t>Workings</t>
        </is>
      </c>
      <c r="C2750" s="4" t="inlineStr">
        <is>
          <t>D21</t>
        </is>
      </c>
      <c r="D2750" s="4" t="inlineStr">
        <is>
          <t>=SUM(D18:D20)</t>
        </is>
      </c>
      <c r="E2750" s="4" t="n">
        <v>750000</v>
      </c>
      <c r="F2750" s="4" t="inlineStr">
        <is>
          <t>GOC Bed Unit-Costing Model v2 — working original.xlsx</t>
        </is>
      </c>
    </row>
    <row r="2751" ht="40" customHeight="1">
      <c r="A2751" s="4" t="inlineStr">
        <is>
          <t>original:Workings!A23</t>
        </is>
      </c>
      <c r="B2751" s="4" t="inlineStr">
        <is>
          <t>Workings</t>
        </is>
      </c>
      <c r="C2751" s="4" t="inlineStr">
        <is>
          <t>A23</t>
        </is>
      </c>
      <c r="D2751" s="4" t="inlineStr">
        <is>
          <t>DIRECT BED COSTS</t>
        </is>
      </c>
      <c r="E2751" s="4" t="inlineStr">
        <is>
          <t>DIRECT BED COSTS</t>
        </is>
      </c>
      <c r="F2751" s="4" t="inlineStr">
        <is>
          <t>GOC Bed Unit-Costing Model v2 — working original.xlsx</t>
        </is>
      </c>
    </row>
    <row r="2752" ht="40" customHeight="1">
      <c r="A2752" s="4" t="inlineStr">
        <is>
          <t>original:Workings!A24</t>
        </is>
      </c>
      <c r="B2752" s="4" t="inlineStr">
        <is>
          <t>Workings</t>
        </is>
      </c>
      <c r="C2752" s="4" t="inlineStr">
        <is>
          <t>A24</t>
        </is>
      </c>
      <c r="D2752" s="4" t="inlineStr">
        <is>
          <t>Factory production</t>
        </is>
      </c>
      <c r="E2752" s="4" t="inlineStr">
        <is>
          <t>Factory production</t>
        </is>
      </c>
      <c r="F2752" s="4" t="inlineStr">
        <is>
          <t>GOC Bed Unit-Costing Model v2 — working original.xlsx</t>
        </is>
      </c>
    </row>
    <row r="2753" ht="40" customHeight="1">
      <c r="A2753" s="4" t="inlineStr">
        <is>
          <t>original:Workings!B24</t>
        </is>
      </c>
      <c r="B2753" s="4" t="inlineStr">
        <is>
          <t>Workings</t>
        </is>
      </c>
      <c r="C2753" s="4" t="inlineStr">
        <is>
          <t>B24</t>
        </is>
      </c>
      <c r="D2753" s="4" t="inlineStr">
        <is>
          <t>=B14*'Inputs (1)'!$B$28</t>
        </is>
      </c>
      <c r="E2753" s="4" t="n">
        <v>59148</v>
      </c>
      <c r="F2753" s="4" t="inlineStr">
        <is>
          <t>GOC Bed Unit-Costing Model v2 — working original.xlsx</t>
        </is>
      </c>
    </row>
    <row r="2754" ht="40" customHeight="1">
      <c r="A2754" s="4" t="inlineStr">
        <is>
          <t>original:Workings!C24</t>
        </is>
      </c>
      <c r="B2754" s="4" t="inlineStr">
        <is>
          <t>Workings</t>
        </is>
      </c>
      <c r="C2754" s="4" t="inlineStr">
        <is>
          <t>C24</t>
        </is>
      </c>
      <c r="D2754" s="4" t="inlineStr">
        <is>
          <t>=C14*'Inputs (1)'!$B$28</t>
        </is>
      </c>
      <c r="E2754" s="4" t="n">
        <v>147870</v>
      </c>
      <c r="F2754" s="4" t="inlineStr">
        <is>
          <t>GOC Bed Unit-Costing Model v2 — working original.xlsx</t>
        </is>
      </c>
    </row>
    <row r="2755" ht="40" customHeight="1">
      <c r="A2755" s="4" t="inlineStr">
        <is>
          <t>original:Workings!D24</t>
        </is>
      </c>
      <c r="B2755" s="4" t="inlineStr">
        <is>
          <t>Workings</t>
        </is>
      </c>
      <c r="C2755" s="4" t="inlineStr">
        <is>
          <t>D24</t>
        </is>
      </c>
      <c r="D2755" s="4" t="inlineStr">
        <is>
          <t>=D14*'Inputs (1)'!$B$28</t>
        </is>
      </c>
      <c r="E2755" s="4" t="n">
        <v>147870</v>
      </c>
      <c r="F2755" s="4" t="inlineStr">
        <is>
          <t>GOC Bed Unit-Costing Model v2 — working original.xlsx</t>
        </is>
      </c>
    </row>
    <row r="2756" ht="40" customHeight="1">
      <c r="A2756" s="4" t="inlineStr">
        <is>
          <t>original:Workings!A25</t>
        </is>
      </c>
      <c r="B2756" s="4" t="inlineStr">
        <is>
          <t>Workings</t>
        </is>
      </c>
      <c r="C2756" s="4" t="inlineStr">
        <is>
          <t>A25</t>
        </is>
      </c>
      <c r="D2756" s="4" t="inlineStr">
        <is>
          <t>Container production</t>
        </is>
      </c>
      <c r="E2756" s="4" t="inlineStr">
        <is>
          <t>Container production</t>
        </is>
      </c>
      <c r="F2756" s="4" t="inlineStr">
        <is>
          <t>GOC Bed Unit-Costing Model v2 — working original.xlsx</t>
        </is>
      </c>
    </row>
    <row r="2757" ht="40" customHeight="1">
      <c r="A2757" s="4" t="inlineStr">
        <is>
          <t>original:Workings!B25</t>
        </is>
      </c>
      <c r="B2757" s="4" t="inlineStr">
        <is>
          <t>Workings</t>
        </is>
      </c>
      <c r="C2757" s="4" t="inlineStr">
        <is>
          <t>B25</t>
        </is>
      </c>
      <c r="D2757" s="4" t="inlineStr">
        <is>
          <t>=B15*'Inputs (1)'!$C$28</t>
        </is>
      </c>
      <c r="E2757" s="4" t="n">
        <v>38148</v>
      </c>
      <c r="F2757" s="4" t="inlineStr">
        <is>
          <t>GOC Bed Unit-Costing Model v2 — working original.xlsx</t>
        </is>
      </c>
    </row>
    <row r="2758" ht="40" customHeight="1">
      <c r="A2758" s="4" t="inlineStr">
        <is>
          <t>original:Workings!C25</t>
        </is>
      </c>
      <c r="B2758" s="4" t="inlineStr">
        <is>
          <t>Workings</t>
        </is>
      </c>
      <c r="C2758" s="4" t="inlineStr">
        <is>
          <t>C25</t>
        </is>
      </c>
      <c r="D2758" s="4" t="inlineStr">
        <is>
          <t>=C15*'Inputs (1)'!$C$28</t>
        </is>
      </c>
      <c r="E2758" s="4" t="n">
        <v>95370</v>
      </c>
      <c r="F2758" s="4" t="inlineStr">
        <is>
          <t>GOC Bed Unit-Costing Model v2 — working original.xlsx</t>
        </is>
      </c>
    </row>
    <row r="2759" ht="40" customHeight="1">
      <c r="A2759" s="4" t="inlineStr">
        <is>
          <t>original:Workings!D25</t>
        </is>
      </c>
      <c r="B2759" s="4" t="inlineStr">
        <is>
          <t>Workings</t>
        </is>
      </c>
      <c r="C2759" s="4" t="inlineStr">
        <is>
          <t>D25</t>
        </is>
      </c>
      <c r="D2759" s="4" t="inlineStr">
        <is>
          <t>=D15*'Inputs (1)'!$C$28</t>
        </is>
      </c>
      <c r="E2759" s="4" t="n">
        <v>95370</v>
      </c>
      <c r="F2759" s="4" t="inlineStr">
        <is>
          <t>GOC Bed Unit-Costing Model v2 — working original.xlsx</t>
        </is>
      </c>
    </row>
    <row r="2760" ht="40" customHeight="1">
      <c r="A2760" s="4" t="inlineStr">
        <is>
          <t>original:Workings!A26</t>
        </is>
      </c>
      <c r="B2760" s="4" t="inlineStr">
        <is>
          <t>Workings</t>
        </is>
      </c>
      <c r="C2760" s="4" t="inlineStr">
        <is>
          <t>A26</t>
        </is>
      </c>
      <c r="D2760" s="4" t="inlineStr">
        <is>
          <t>TOTAL DIRECT BED COSTS</t>
        </is>
      </c>
      <c r="E2760" s="4" t="inlineStr">
        <is>
          <t>TOTAL DIRECT BED COSTS</t>
        </is>
      </c>
      <c r="F2760" s="4" t="inlineStr">
        <is>
          <t>GOC Bed Unit-Costing Model v2 — working original.xlsx</t>
        </is>
      </c>
    </row>
    <row r="2761" ht="40" customHeight="1">
      <c r="A2761" s="4" t="inlineStr">
        <is>
          <t>original:Workings!B26</t>
        </is>
      </c>
      <c r="B2761" s="4" t="inlineStr">
        <is>
          <t>Workings</t>
        </is>
      </c>
      <c r="C2761" s="4" t="inlineStr">
        <is>
          <t>B26</t>
        </is>
      </c>
      <c r="D2761" s="4" t="inlineStr">
        <is>
          <t>=B24+B25</t>
        </is>
      </c>
      <c r="E2761" s="4" t="n">
        <v>97296</v>
      </c>
      <c r="F2761" s="4" t="inlineStr">
        <is>
          <t>GOC Bed Unit-Costing Model v2 — working original.xlsx</t>
        </is>
      </c>
    </row>
    <row r="2762" ht="40" customHeight="1">
      <c r="A2762" s="4" t="inlineStr">
        <is>
          <t>original:Workings!C26</t>
        </is>
      </c>
      <c r="B2762" s="4" t="inlineStr">
        <is>
          <t>Workings</t>
        </is>
      </c>
      <c r="C2762" s="4" t="inlineStr">
        <is>
          <t>C26</t>
        </is>
      </c>
      <c r="D2762" s="4" t="inlineStr">
        <is>
          <t>=C24+C25</t>
        </is>
      </c>
      <c r="E2762" s="4" t="n">
        <v>243240</v>
      </c>
      <c r="F2762" s="4" t="inlineStr">
        <is>
          <t>GOC Bed Unit-Costing Model v2 — working original.xlsx</t>
        </is>
      </c>
    </row>
    <row r="2763" ht="40" customHeight="1">
      <c r="A2763" s="4" t="inlineStr">
        <is>
          <t>original:Workings!D26</t>
        </is>
      </c>
      <c r="B2763" s="4" t="inlineStr">
        <is>
          <t>Workings</t>
        </is>
      </c>
      <c r="C2763" s="4" t="inlineStr">
        <is>
          <t>D26</t>
        </is>
      </c>
      <c r="D2763" s="4" t="inlineStr">
        <is>
          <t>=D24+D25</t>
        </is>
      </c>
      <c r="E2763" s="4" t="n">
        <v>243240</v>
      </c>
      <c r="F2763" s="4" t="inlineStr">
        <is>
          <t>GOC Bed Unit-Costing Model v2 — working original.xlsx</t>
        </is>
      </c>
    </row>
    <row r="2764" ht="40" customHeight="1">
      <c r="A2764" s="4" t="inlineStr">
        <is>
          <t>original:Workings!A28</t>
        </is>
      </c>
      <c r="B2764" s="4" t="inlineStr">
        <is>
          <t>Workings</t>
        </is>
      </c>
      <c r="C2764" s="4" t="inlineStr">
        <is>
          <t>A28</t>
        </is>
      </c>
      <c r="D2764" s="4" t="inlineStr">
        <is>
          <t>COST CENTRE: FACTORY SITES</t>
        </is>
      </c>
      <c r="E2764" s="4" t="inlineStr">
        <is>
          <t>COST CENTRE: FACTORY SITES</t>
        </is>
      </c>
      <c r="F2764" s="4" t="inlineStr">
        <is>
          <t>GOC Bed Unit-Costing Model v2 — working original.xlsx</t>
        </is>
      </c>
    </row>
    <row r="2765" ht="40" customHeight="1">
      <c r="A2765" s="4" t="inlineStr">
        <is>
          <t>original:Workings!A29</t>
        </is>
      </c>
      <c r="B2765" s="4" t="inlineStr">
        <is>
          <t>Workings</t>
        </is>
      </c>
      <c r="C2765" s="4" t="inlineStr">
        <is>
          <t>A29</t>
        </is>
      </c>
      <c r="D2765" s="4" t="inlineStr">
        <is>
          <t>Site management / coordination</t>
        </is>
      </c>
      <c r="E2765" s="4" t="inlineStr">
        <is>
          <t>Site management / coordination</t>
        </is>
      </c>
      <c r="F2765" s="4" t="inlineStr">
        <is>
          <t>GOC Bed Unit-Costing Model v2 — working original.xlsx</t>
        </is>
      </c>
    </row>
    <row r="2766" ht="40" customHeight="1">
      <c r="A2766" s="4" t="inlineStr">
        <is>
          <t>original:Workings!B29</t>
        </is>
      </c>
      <c r="B2766" s="4" t="inlineStr">
        <is>
          <t>Workings</t>
        </is>
      </c>
      <c r="C2766" s="4" t="inlineStr">
        <is>
          <t>B29</t>
        </is>
      </c>
      <c r="D2766" s="4" t="inlineStr">
        <is>
          <t>='Inputs (1)'!$B$32*'Inputs (1)'!G11</t>
        </is>
      </c>
      <c r="E2766" s="4" t="n">
        <v>90000</v>
      </c>
      <c r="F2766" s="4" t="inlineStr">
        <is>
          <t>GOC Bed Unit-Costing Model v2 — working original.xlsx</t>
        </is>
      </c>
    </row>
    <row r="2767" ht="40" customHeight="1">
      <c r="A2767" s="4" t="inlineStr">
        <is>
          <t>original:Workings!C29</t>
        </is>
      </c>
      <c r="B2767" s="4" t="inlineStr">
        <is>
          <t>Workings</t>
        </is>
      </c>
      <c r="C2767" s="4" t="inlineStr">
        <is>
          <t>C29</t>
        </is>
      </c>
      <c r="D2767" s="4" t="inlineStr">
        <is>
          <t>='Inputs (1)'!$B$32*'Inputs (1)'!H11</t>
        </is>
      </c>
      <c r="E2767" s="4" t="n">
        <v>90000</v>
      </c>
      <c r="F2767" s="4" t="inlineStr">
        <is>
          <t>GOC Bed Unit-Costing Model v2 — working original.xlsx</t>
        </is>
      </c>
    </row>
    <row r="2768" ht="40" customHeight="1">
      <c r="A2768" s="4" t="inlineStr">
        <is>
          <t>original:Workings!D29</t>
        </is>
      </c>
      <c r="B2768" s="4" t="inlineStr">
        <is>
          <t>Workings</t>
        </is>
      </c>
      <c r="C2768" s="4" t="inlineStr">
        <is>
          <t>D29</t>
        </is>
      </c>
      <c r="D2768" s="4" t="inlineStr">
        <is>
          <t>='Inputs (1)'!$B$32*'Inputs (1)'!I11</t>
        </is>
      </c>
      <c r="E2768" s="4" t="n">
        <v>90000</v>
      </c>
      <c r="F2768" s="4" t="inlineStr">
        <is>
          <t>GOC Bed Unit-Costing Model v2 — working original.xlsx</t>
        </is>
      </c>
    </row>
    <row r="2769" ht="40" customHeight="1">
      <c r="A2769" s="4" t="inlineStr">
        <is>
          <t>original:Workings!A30</t>
        </is>
      </c>
      <c r="B2769" s="4" t="inlineStr">
        <is>
          <t>Workings</t>
        </is>
      </c>
      <c r="C2769" s="4" t="inlineStr">
        <is>
          <t>A30</t>
        </is>
      </c>
      <c r="D2769" s="4" t="inlineStr">
        <is>
          <t>Trainer / WHS officer</t>
        </is>
      </c>
      <c r="E2769" s="4" t="inlineStr">
        <is>
          <t>Trainer / WHS officer</t>
        </is>
      </c>
      <c r="F2769" s="4" t="inlineStr">
        <is>
          <t>GOC Bed Unit-Costing Model v2 — working original.xlsx</t>
        </is>
      </c>
    </row>
    <row r="2770" ht="40" customHeight="1">
      <c r="A2770" s="4" t="inlineStr">
        <is>
          <t>original:Workings!B30</t>
        </is>
      </c>
      <c r="B2770" s="4" t="inlineStr">
        <is>
          <t>Workings</t>
        </is>
      </c>
      <c r="C2770" s="4" t="inlineStr">
        <is>
          <t>B30</t>
        </is>
      </c>
      <c r="D2770" s="4" t="inlineStr">
        <is>
          <t>='Inputs (1)'!$B$33*'Inputs (1)'!G11</t>
        </is>
      </c>
      <c r="E2770" s="4" t="n">
        <v>40000</v>
      </c>
      <c r="F2770" s="4" t="inlineStr">
        <is>
          <t>GOC Bed Unit-Costing Model v2 — working original.xlsx</t>
        </is>
      </c>
    </row>
    <row r="2771" ht="40" customHeight="1">
      <c r="A2771" s="4" t="inlineStr">
        <is>
          <t>original:Workings!C30</t>
        </is>
      </c>
      <c r="B2771" s="4" t="inlineStr">
        <is>
          <t>Workings</t>
        </is>
      </c>
      <c r="C2771" s="4" t="inlineStr">
        <is>
          <t>C30</t>
        </is>
      </c>
      <c r="D2771" s="4" t="inlineStr">
        <is>
          <t>='Inputs (1)'!$B$33*'Inputs (1)'!H11</t>
        </is>
      </c>
      <c r="E2771" s="4" t="n">
        <v>40000</v>
      </c>
      <c r="F2771" s="4" t="inlineStr">
        <is>
          <t>GOC Bed Unit-Costing Model v2 — working original.xlsx</t>
        </is>
      </c>
    </row>
    <row r="2772" ht="40" customHeight="1">
      <c r="A2772" s="4" t="inlineStr">
        <is>
          <t>original:Workings!D30</t>
        </is>
      </c>
      <c r="B2772" s="4" t="inlineStr">
        <is>
          <t>Workings</t>
        </is>
      </c>
      <c r="C2772" s="4" t="inlineStr">
        <is>
          <t>D30</t>
        </is>
      </c>
      <c r="D2772" s="4" t="inlineStr">
        <is>
          <t>='Inputs (1)'!$B$33*'Inputs (1)'!I11</t>
        </is>
      </c>
      <c r="E2772" s="4" t="n">
        <v>40000</v>
      </c>
      <c r="F2772" s="4" t="inlineStr">
        <is>
          <t>GOC Bed Unit-Costing Model v2 — working original.xlsx</t>
        </is>
      </c>
    </row>
    <row r="2773" ht="40" customHeight="1">
      <c r="A2773" s="4" t="inlineStr">
        <is>
          <t>original:Workings!A31</t>
        </is>
      </c>
      <c r="B2773" s="4" t="inlineStr">
        <is>
          <t>Workings</t>
        </is>
      </c>
      <c r="C2773" s="4" t="inlineStr">
        <is>
          <t>A31</t>
        </is>
      </c>
      <c r="D2773" s="4" t="inlineStr">
        <is>
          <t>Site lease</t>
        </is>
      </c>
      <c r="E2773" s="4" t="inlineStr">
        <is>
          <t>Site lease</t>
        </is>
      </c>
      <c r="F2773" s="4" t="inlineStr">
        <is>
          <t>GOC Bed Unit-Costing Model v2 — working original.xlsx</t>
        </is>
      </c>
    </row>
    <row r="2774" ht="40" customHeight="1">
      <c r="A2774" s="4" t="inlineStr">
        <is>
          <t>original:Workings!B31</t>
        </is>
      </c>
      <c r="B2774" s="4" t="inlineStr">
        <is>
          <t>Workings</t>
        </is>
      </c>
      <c r="C2774" s="4" t="inlineStr">
        <is>
          <t>B31</t>
        </is>
      </c>
      <c r="D2774" s="4" t="inlineStr">
        <is>
          <t>='Inputs (1)'!$B$45*'Inputs (1)'!G11</t>
        </is>
      </c>
      <c r="E2774" s="4" t="n">
        <v>27000</v>
      </c>
      <c r="F2774" s="4" t="inlineStr">
        <is>
          <t>GOC Bed Unit-Costing Model v2 — working original.xlsx</t>
        </is>
      </c>
    </row>
    <row r="2775" ht="40" customHeight="1">
      <c r="A2775" s="4" t="inlineStr">
        <is>
          <t>original:Workings!C31</t>
        </is>
      </c>
      <c r="B2775" s="4" t="inlineStr">
        <is>
          <t>Workings</t>
        </is>
      </c>
      <c r="C2775" s="4" t="inlineStr">
        <is>
          <t>C31</t>
        </is>
      </c>
      <c r="D2775" s="4" t="inlineStr">
        <is>
          <t>='Inputs (1)'!$B$45*'Inputs (1)'!H11</t>
        </is>
      </c>
      <c r="E2775" s="4" t="n">
        <v>27000</v>
      </c>
      <c r="F2775" s="4" t="inlineStr">
        <is>
          <t>GOC Bed Unit-Costing Model v2 — working original.xlsx</t>
        </is>
      </c>
    </row>
    <row r="2776" ht="40" customHeight="1">
      <c r="A2776" s="4" t="inlineStr">
        <is>
          <t>original:Workings!D31</t>
        </is>
      </c>
      <c r="B2776" s="4" t="inlineStr">
        <is>
          <t>Workings</t>
        </is>
      </c>
      <c r="C2776" s="4" t="inlineStr">
        <is>
          <t>D31</t>
        </is>
      </c>
      <c r="D2776" s="4" t="inlineStr">
        <is>
          <t>='Inputs (1)'!$B$45*'Inputs (1)'!I11</t>
        </is>
      </c>
      <c r="E2776" s="4" t="n">
        <v>27000</v>
      </c>
      <c r="F2776" s="4" t="inlineStr">
        <is>
          <t>GOC Bed Unit-Costing Model v2 — working original.xlsx</t>
        </is>
      </c>
    </row>
    <row r="2777" ht="40" customHeight="1">
      <c r="A2777" s="4" t="inlineStr">
        <is>
          <t>original:Workings!A32</t>
        </is>
      </c>
      <c r="B2777" s="4" t="inlineStr">
        <is>
          <t>Workings</t>
        </is>
      </c>
      <c r="C2777" s="4" t="inlineStr">
        <is>
          <t>A32</t>
        </is>
      </c>
      <c r="D2777" s="4" t="inlineStr">
        <is>
          <t>Insurance</t>
        </is>
      </c>
      <c r="E2777" s="4" t="inlineStr">
        <is>
          <t>Insurance</t>
        </is>
      </c>
      <c r="F2777" s="4" t="inlineStr">
        <is>
          <t>GOC Bed Unit-Costing Model v2 — working original.xlsx</t>
        </is>
      </c>
    </row>
    <row r="2778" ht="40" customHeight="1">
      <c r="A2778" s="4" t="inlineStr">
        <is>
          <t>original:Workings!B32</t>
        </is>
      </c>
      <c r="B2778" s="4" t="inlineStr">
        <is>
          <t>Workings</t>
        </is>
      </c>
      <c r="C2778" s="4" t="inlineStr">
        <is>
          <t>B32</t>
        </is>
      </c>
      <c r="D2778" s="4" t="inlineStr">
        <is>
          <t>='Inputs (1)'!$B$46*'Inputs (1)'!G11</t>
        </is>
      </c>
      <c r="E2778" s="4" t="n">
        <v>0</v>
      </c>
      <c r="F2778" s="4" t="inlineStr">
        <is>
          <t>GOC Bed Unit-Costing Model v2 — working original.xlsx</t>
        </is>
      </c>
    </row>
    <row r="2779" ht="40" customHeight="1">
      <c r="A2779" s="4" t="inlineStr">
        <is>
          <t>original:Workings!C32</t>
        </is>
      </c>
      <c r="B2779" s="4" t="inlineStr">
        <is>
          <t>Workings</t>
        </is>
      </c>
      <c r="C2779" s="4" t="inlineStr">
        <is>
          <t>C32</t>
        </is>
      </c>
      <c r="D2779" s="4" t="inlineStr">
        <is>
          <t>='Inputs (1)'!$B$46*'Inputs (1)'!H11</t>
        </is>
      </c>
      <c r="E2779" s="4" t="n">
        <v>0</v>
      </c>
      <c r="F2779" s="4" t="inlineStr">
        <is>
          <t>GOC Bed Unit-Costing Model v2 — working original.xlsx</t>
        </is>
      </c>
    </row>
    <row r="2780" ht="40" customHeight="1">
      <c r="A2780" s="4" t="inlineStr">
        <is>
          <t>original:Workings!D32</t>
        </is>
      </c>
      <c r="B2780" s="4" t="inlineStr">
        <is>
          <t>Workings</t>
        </is>
      </c>
      <c r="C2780" s="4" t="inlineStr">
        <is>
          <t>D32</t>
        </is>
      </c>
      <c r="D2780" s="4" t="inlineStr">
        <is>
          <t>='Inputs (1)'!$B$46*'Inputs (1)'!I11</t>
        </is>
      </c>
      <c r="E2780" s="4" t="n">
        <v>0</v>
      </c>
      <c r="F2780" s="4" t="inlineStr">
        <is>
          <t>GOC Bed Unit-Costing Model v2 — working original.xlsx</t>
        </is>
      </c>
    </row>
    <row r="2781" ht="40" customHeight="1">
      <c r="A2781" s="4" t="inlineStr">
        <is>
          <t>original:Workings!A33</t>
        </is>
      </c>
      <c r="B2781" s="4" t="inlineStr">
        <is>
          <t>Workings</t>
        </is>
      </c>
      <c r="C2781" s="4" t="inlineStr">
        <is>
          <t>A33</t>
        </is>
      </c>
      <c r="D2781" s="4" t="inlineStr">
        <is>
          <t>Equipment maintenance</t>
        </is>
      </c>
      <c r="E2781" s="4" t="inlineStr">
        <is>
          <t>Equipment maintenance</t>
        </is>
      </c>
      <c r="F2781" s="4" t="inlineStr">
        <is>
          <t>GOC Bed Unit-Costing Model v2 — working original.xlsx</t>
        </is>
      </c>
    </row>
    <row r="2782" ht="40" customHeight="1">
      <c r="A2782" s="4" t="inlineStr">
        <is>
          <t>original:Workings!B33</t>
        </is>
      </c>
      <c r="B2782" s="4" t="inlineStr">
        <is>
          <t>Workings</t>
        </is>
      </c>
      <c r="C2782" s="4" t="inlineStr">
        <is>
          <t>B33</t>
        </is>
      </c>
      <c r="D2782" s="4" t="inlineStr">
        <is>
          <t>='Inputs (1)'!$B$42*'Inputs (1)'!G11</t>
        </is>
      </c>
      <c r="E2782" s="4" t="n">
        <v>8350</v>
      </c>
      <c r="F2782" s="4" t="inlineStr">
        <is>
          <t>GOC Bed Unit-Costing Model v2 — working original.xlsx</t>
        </is>
      </c>
    </row>
    <row r="2783" ht="40" customHeight="1">
      <c r="A2783" s="4" t="inlineStr">
        <is>
          <t>original:Workings!C33</t>
        </is>
      </c>
      <c r="B2783" s="4" t="inlineStr">
        <is>
          <t>Workings</t>
        </is>
      </c>
      <c r="C2783" s="4" t="inlineStr">
        <is>
          <t>C33</t>
        </is>
      </c>
      <c r="D2783" s="4" t="inlineStr">
        <is>
          <t>='Inputs (1)'!$B$42*'Inputs (1)'!H11</t>
        </is>
      </c>
      <c r="E2783" s="4" t="n">
        <v>8350</v>
      </c>
      <c r="F2783" s="4" t="inlineStr">
        <is>
          <t>GOC Bed Unit-Costing Model v2 — working original.xlsx</t>
        </is>
      </c>
    </row>
    <row r="2784" ht="40" customHeight="1">
      <c r="A2784" s="4" t="inlineStr">
        <is>
          <t>original:Workings!D33</t>
        </is>
      </c>
      <c r="B2784" s="4" t="inlineStr">
        <is>
          <t>Workings</t>
        </is>
      </c>
      <c r="C2784" s="4" t="inlineStr">
        <is>
          <t>D33</t>
        </is>
      </c>
      <c r="D2784" s="4" t="inlineStr">
        <is>
          <t>='Inputs (1)'!$B$42*'Inputs (1)'!I11</t>
        </is>
      </c>
      <c r="E2784" s="4" t="n">
        <v>8350</v>
      </c>
      <c r="F2784" s="4" t="inlineStr">
        <is>
          <t>GOC Bed Unit-Costing Model v2 — working original.xlsx</t>
        </is>
      </c>
    </row>
    <row r="2785" ht="40" customHeight="1">
      <c r="A2785" s="4" t="inlineStr">
        <is>
          <t>original:Workings!A34</t>
        </is>
      </c>
      <c r="B2785" s="4" t="inlineStr">
        <is>
          <t>Workings</t>
        </is>
      </c>
      <c r="C2785" s="4" t="inlineStr">
        <is>
          <t>A34</t>
        </is>
      </c>
      <c r="D2785" s="4" t="inlineStr">
        <is>
          <t>TOTAL FACTORY SITE COSTS</t>
        </is>
      </c>
      <c r="E2785" s="4" t="inlineStr">
        <is>
          <t>TOTAL FACTORY SITE COSTS</t>
        </is>
      </c>
      <c r="F2785" s="4" t="inlineStr">
        <is>
          <t>GOC Bed Unit-Costing Model v2 — working original.xlsx</t>
        </is>
      </c>
    </row>
    <row r="2786" ht="40" customHeight="1">
      <c r="A2786" s="4" t="inlineStr">
        <is>
          <t>original:Workings!B34</t>
        </is>
      </c>
      <c r="B2786" s="4" t="inlineStr">
        <is>
          <t>Workings</t>
        </is>
      </c>
      <c r="C2786" s="4" t="inlineStr">
        <is>
          <t>B34</t>
        </is>
      </c>
      <c r="D2786" s="4" t="inlineStr">
        <is>
          <t>=SUM(B29:B33)</t>
        </is>
      </c>
      <c r="E2786" s="4" t="n">
        <v>165350</v>
      </c>
      <c r="F2786" s="4" t="inlineStr">
        <is>
          <t>GOC Bed Unit-Costing Model v2 — working original.xlsx</t>
        </is>
      </c>
    </row>
    <row r="2787" ht="40" customHeight="1">
      <c r="A2787" s="4" t="inlineStr">
        <is>
          <t>original:Workings!C34</t>
        </is>
      </c>
      <c r="B2787" s="4" t="inlineStr">
        <is>
          <t>Workings</t>
        </is>
      </c>
      <c r="C2787" s="4" t="inlineStr">
        <is>
          <t>C34</t>
        </is>
      </c>
      <c r="D2787" s="4" t="inlineStr">
        <is>
          <t>=SUM(C29:C33)</t>
        </is>
      </c>
      <c r="E2787" s="4" t="n">
        <v>165350</v>
      </c>
      <c r="F2787" s="4" t="inlineStr">
        <is>
          <t>GOC Bed Unit-Costing Model v2 — working original.xlsx</t>
        </is>
      </c>
    </row>
    <row r="2788" ht="40" customHeight="1">
      <c r="A2788" s="4" t="inlineStr">
        <is>
          <t>original:Workings!D34</t>
        </is>
      </c>
      <c r="B2788" s="4" t="inlineStr">
        <is>
          <t>Workings</t>
        </is>
      </c>
      <c r="C2788" s="4" t="inlineStr">
        <is>
          <t>D34</t>
        </is>
      </c>
      <c r="D2788" s="4" t="inlineStr">
        <is>
          <t>=SUM(D29:D33)</t>
        </is>
      </c>
      <c r="E2788" s="4" t="n">
        <v>165350</v>
      </c>
      <c r="F2788" s="4" t="inlineStr">
        <is>
          <t>GOC Bed Unit-Costing Model v2 — working original.xlsx</t>
        </is>
      </c>
    </row>
    <row r="2789" ht="40" customHeight="1">
      <c r="A2789" s="4" t="inlineStr">
        <is>
          <t>original:Workings!A36</t>
        </is>
      </c>
      <c r="B2789" s="4" t="inlineStr">
        <is>
          <t>Workings</t>
        </is>
      </c>
      <c r="C2789" s="4" t="inlineStr">
        <is>
          <t>A36</t>
        </is>
      </c>
      <c r="D2789" s="4" t="inlineStr">
        <is>
          <t>COST CENTRE: CONTAINER (ON-COUNTRY) SITES</t>
        </is>
      </c>
      <c r="E2789" s="4" t="inlineStr">
        <is>
          <t>COST CENTRE: CONTAINER (ON-COUNTRY) SITES</t>
        </is>
      </c>
      <c r="F2789" s="4" t="inlineStr">
        <is>
          <t>GOC Bed Unit-Costing Model v2 — working original.xlsx</t>
        </is>
      </c>
    </row>
    <row r="2790" ht="40" customHeight="1">
      <c r="A2790" s="4" t="inlineStr">
        <is>
          <t>original:Workings!A37</t>
        </is>
      </c>
      <c r="B2790" s="4" t="inlineStr">
        <is>
          <t>Workings</t>
        </is>
      </c>
      <c r="C2790" s="4" t="inlineStr">
        <is>
          <t>A37</t>
        </is>
      </c>
      <c r="D2790" s="4" t="inlineStr">
        <is>
          <t>Site management / coordination</t>
        </is>
      </c>
      <c r="E2790" s="4" t="inlineStr">
        <is>
          <t>Site management / coordination</t>
        </is>
      </c>
      <c r="F2790" s="4" t="inlineStr">
        <is>
          <t>GOC Bed Unit-Costing Model v2 — working original.xlsx</t>
        </is>
      </c>
    </row>
    <row r="2791" ht="40" customHeight="1">
      <c r="A2791" s="4" t="inlineStr">
        <is>
          <t>original:Workings!B37</t>
        </is>
      </c>
      <c r="B2791" s="4" t="inlineStr">
        <is>
          <t>Workings</t>
        </is>
      </c>
      <c r="C2791" s="4" t="inlineStr">
        <is>
          <t>B37</t>
        </is>
      </c>
      <c r="D2791" s="4" t="inlineStr">
        <is>
          <t>='Inputs (1)'!$C$32*'Inputs (1)'!G17</t>
        </is>
      </c>
      <c r="E2791" s="4" t="n">
        <v>90000</v>
      </c>
      <c r="F2791" s="4" t="inlineStr">
        <is>
          <t>GOC Bed Unit-Costing Model v2 — working original.xlsx</t>
        </is>
      </c>
    </row>
    <row r="2792" ht="40" customHeight="1">
      <c r="A2792" s="4" t="inlineStr">
        <is>
          <t>original:Workings!C37</t>
        </is>
      </c>
      <c r="B2792" s="4" t="inlineStr">
        <is>
          <t>Workings</t>
        </is>
      </c>
      <c r="C2792" s="4" t="inlineStr">
        <is>
          <t>C37</t>
        </is>
      </c>
      <c r="D2792" s="4" t="inlineStr">
        <is>
          <t>='Inputs (1)'!$C$32*'Inputs (1)'!H17</t>
        </is>
      </c>
      <c r="E2792" s="4" t="n">
        <v>90000</v>
      </c>
      <c r="F2792" s="4" t="inlineStr">
        <is>
          <t>GOC Bed Unit-Costing Model v2 — working original.xlsx</t>
        </is>
      </c>
    </row>
    <row r="2793" ht="40" customHeight="1">
      <c r="A2793" s="4" t="inlineStr">
        <is>
          <t>original:Workings!D37</t>
        </is>
      </c>
      <c r="B2793" s="4" t="inlineStr">
        <is>
          <t>Workings</t>
        </is>
      </c>
      <c r="C2793" s="4" t="inlineStr">
        <is>
          <t>D37</t>
        </is>
      </c>
      <c r="D2793" s="4" t="inlineStr">
        <is>
          <t>='Inputs (1)'!$C$32*'Inputs (1)'!I17</t>
        </is>
      </c>
      <c r="E2793" s="4" t="n">
        <v>90000</v>
      </c>
      <c r="F2793" s="4" t="inlineStr">
        <is>
          <t>GOC Bed Unit-Costing Model v2 — working original.xlsx</t>
        </is>
      </c>
    </row>
    <row r="2794" ht="40" customHeight="1">
      <c r="A2794" s="4" t="inlineStr">
        <is>
          <t>original:Workings!A38</t>
        </is>
      </c>
      <c r="B2794" s="4" t="inlineStr">
        <is>
          <t>Workings</t>
        </is>
      </c>
      <c r="C2794" s="4" t="inlineStr">
        <is>
          <t>A38</t>
        </is>
      </c>
      <c r="D2794" s="4" t="inlineStr">
        <is>
          <t>Trainer / WHS officer</t>
        </is>
      </c>
      <c r="E2794" s="4" t="inlineStr">
        <is>
          <t>Trainer / WHS officer</t>
        </is>
      </c>
      <c r="F2794" s="4" t="inlineStr">
        <is>
          <t>GOC Bed Unit-Costing Model v2 — working original.xlsx</t>
        </is>
      </c>
    </row>
    <row r="2795" ht="40" customHeight="1">
      <c r="A2795" s="4" t="inlineStr">
        <is>
          <t>original:Workings!B38</t>
        </is>
      </c>
      <c r="B2795" s="4" t="inlineStr">
        <is>
          <t>Workings</t>
        </is>
      </c>
      <c r="C2795" s="4" t="inlineStr">
        <is>
          <t>B38</t>
        </is>
      </c>
      <c r="D2795" s="4" t="inlineStr">
        <is>
          <t>='Inputs (1)'!$C$33*'Inputs (1)'!G17</t>
        </is>
      </c>
      <c r="E2795" s="4" t="n">
        <v>40000</v>
      </c>
      <c r="F2795" s="4" t="inlineStr">
        <is>
          <t>GOC Bed Unit-Costing Model v2 — working original.xlsx</t>
        </is>
      </c>
    </row>
    <row r="2796" ht="40" customHeight="1">
      <c r="A2796" s="4" t="inlineStr">
        <is>
          <t>original:Workings!C38</t>
        </is>
      </c>
      <c r="B2796" s="4" t="inlineStr">
        <is>
          <t>Workings</t>
        </is>
      </c>
      <c r="C2796" s="4" t="inlineStr">
        <is>
          <t>C38</t>
        </is>
      </c>
      <c r="D2796" s="4" t="inlineStr">
        <is>
          <t>='Inputs (1)'!$C$33*'Inputs (1)'!H17</t>
        </is>
      </c>
      <c r="E2796" s="4" t="n">
        <v>40000</v>
      </c>
      <c r="F2796" s="4" t="inlineStr">
        <is>
          <t>GOC Bed Unit-Costing Model v2 — working original.xlsx</t>
        </is>
      </c>
    </row>
    <row r="2797" ht="40" customHeight="1">
      <c r="A2797" s="4" t="inlineStr">
        <is>
          <t>original:Workings!D38</t>
        </is>
      </c>
      <c r="B2797" s="4" t="inlineStr">
        <is>
          <t>Workings</t>
        </is>
      </c>
      <c r="C2797" s="4" t="inlineStr">
        <is>
          <t>D38</t>
        </is>
      </c>
      <c r="D2797" s="4" t="inlineStr">
        <is>
          <t>='Inputs (1)'!$C$33*'Inputs (1)'!I17</t>
        </is>
      </c>
      <c r="E2797" s="4" t="n">
        <v>40000</v>
      </c>
      <c r="F2797" s="4" t="inlineStr">
        <is>
          <t>GOC Bed Unit-Costing Model v2 — working original.xlsx</t>
        </is>
      </c>
    </row>
    <row r="2798" ht="40" customHeight="1">
      <c r="A2798" s="4" t="inlineStr">
        <is>
          <t>original:Workings!A39</t>
        </is>
      </c>
      <c r="B2798" s="4" t="inlineStr">
        <is>
          <t>Workings</t>
        </is>
      </c>
      <c r="C2798" s="4" t="inlineStr">
        <is>
          <t>A39</t>
        </is>
      </c>
      <c r="D2798" s="4" t="inlineStr">
        <is>
          <t>Site lease</t>
        </is>
      </c>
      <c r="E2798" s="4" t="inlineStr">
        <is>
          <t>Site lease</t>
        </is>
      </c>
      <c r="F2798" s="4" t="inlineStr">
        <is>
          <t>GOC Bed Unit-Costing Model v2 — working original.xlsx</t>
        </is>
      </c>
    </row>
    <row r="2799" ht="40" customHeight="1">
      <c r="A2799" s="4" t="inlineStr">
        <is>
          <t>original:Workings!B39</t>
        </is>
      </c>
      <c r="B2799" s="4" t="inlineStr">
        <is>
          <t>Workings</t>
        </is>
      </c>
      <c r="C2799" s="4" t="inlineStr">
        <is>
          <t>B39</t>
        </is>
      </c>
      <c r="D2799" s="4" t="inlineStr">
        <is>
          <t>='Inputs (1)'!$C$45*'Inputs (1)'!G17</t>
        </is>
      </c>
      <c r="E2799" s="4" t="n">
        <v>60000</v>
      </c>
      <c r="F2799" s="4" t="inlineStr">
        <is>
          <t>GOC Bed Unit-Costing Model v2 — working original.xlsx</t>
        </is>
      </c>
    </row>
    <row r="2800" ht="40" customHeight="1">
      <c r="A2800" s="4" t="inlineStr">
        <is>
          <t>original:Workings!C39</t>
        </is>
      </c>
      <c r="B2800" s="4" t="inlineStr">
        <is>
          <t>Workings</t>
        </is>
      </c>
      <c r="C2800" s="4" t="inlineStr">
        <is>
          <t>C39</t>
        </is>
      </c>
      <c r="D2800" s="4" t="inlineStr">
        <is>
          <t>='Inputs (1)'!$C$45*'Inputs (1)'!H17</t>
        </is>
      </c>
      <c r="E2800" s="4" t="n">
        <v>60000</v>
      </c>
      <c r="F2800" s="4" t="inlineStr">
        <is>
          <t>GOC Bed Unit-Costing Model v2 — working original.xlsx</t>
        </is>
      </c>
    </row>
    <row r="2801" ht="40" customHeight="1">
      <c r="A2801" s="4" t="inlineStr">
        <is>
          <t>original:Workings!D39</t>
        </is>
      </c>
      <c r="B2801" s="4" t="inlineStr">
        <is>
          <t>Workings</t>
        </is>
      </c>
      <c r="C2801" s="4" t="inlineStr">
        <is>
          <t>D39</t>
        </is>
      </c>
      <c r="D2801" s="4" t="inlineStr">
        <is>
          <t>='Inputs (1)'!$C$45*'Inputs (1)'!I17</t>
        </is>
      </c>
      <c r="E2801" s="4" t="n">
        <v>60000</v>
      </c>
      <c r="F2801" s="4" t="inlineStr">
        <is>
          <t>GOC Bed Unit-Costing Model v2 — working original.xlsx</t>
        </is>
      </c>
    </row>
    <row r="2802" ht="40" customHeight="1">
      <c r="A2802" s="4" t="inlineStr">
        <is>
          <t>original:Workings!A40</t>
        </is>
      </c>
      <c r="B2802" s="4" t="inlineStr">
        <is>
          <t>Workings</t>
        </is>
      </c>
      <c r="C2802" s="4" t="inlineStr">
        <is>
          <t>A40</t>
        </is>
      </c>
      <c r="D2802" s="4" t="inlineStr">
        <is>
          <t>Insurance</t>
        </is>
      </c>
      <c r="E2802" s="4" t="inlineStr">
        <is>
          <t>Insurance</t>
        </is>
      </c>
      <c r="F2802" s="4" t="inlineStr">
        <is>
          <t>GOC Bed Unit-Costing Model v2 — working original.xlsx</t>
        </is>
      </c>
    </row>
    <row r="2803" ht="40" customHeight="1">
      <c r="A2803" s="4" t="inlineStr">
        <is>
          <t>original:Workings!B40</t>
        </is>
      </c>
      <c r="B2803" s="4" t="inlineStr">
        <is>
          <t>Workings</t>
        </is>
      </c>
      <c r="C2803" s="4" t="inlineStr">
        <is>
          <t>B40</t>
        </is>
      </c>
      <c r="D2803" s="4" t="inlineStr">
        <is>
          <t>='Inputs (1)'!$C$46*'Inputs (1)'!G17</t>
        </is>
      </c>
      <c r="E2803" s="4" t="n">
        <v>12000</v>
      </c>
      <c r="F2803" s="4" t="inlineStr">
        <is>
          <t>GOC Bed Unit-Costing Model v2 — working original.xlsx</t>
        </is>
      </c>
    </row>
    <row r="2804" ht="40" customHeight="1">
      <c r="A2804" s="4" t="inlineStr">
        <is>
          <t>original:Workings!C40</t>
        </is>
      </c>
      <c r="B2804" s="4" t="inlineStr">
        <is>
          <t>Workings</t>
        </is>
      </c>
      <c r="C2804" s="4" t="inlineStr">
        <is>
          <t>C40</t>
        </is>
      </c>
      <c r="D2804" s="4" t="inlineStr">
        <is>
          <t>='Inputs (1)'!$C$46*'Inputs (1)'!H17</t>
        </is>
      </c>
      <c r="E2804" s="4" t="n">
        <v>12000</v>
      </c>
      <c r="F2804" s="4" t="inlineStr">
        <is>
          <t>GOC Bed Unit-Costing Model v2 — working original.xlsx</t>
        </is>
      </c>
    </row>
    <row r="2805" ht="40" customHeight="1">
      <c r="A2805" s="4" t="inlineStr">
        <is>
          <t>original:Workings!D40</t>
        </is>
      </c>
      <c r="B2805" s="4" t="inlineStr">
        <is>
          <t>Workings</t>
        </is>
      </c>
      <c r="C2805" s="4" t="inlineStr">
        <is>
          <t>D40</t>
        </is>
      </c>
      <c r="D2805" s="4" t="inlineStr">
        <is>
          <t>='Inputs (1)'!$C$46*'Inputs (1)'!I17</t>
        </is>
      </c>
      <c r="E2805" s="4" t="n">
        <v>12000</v>
      </c>
      <c r="F2805" s="4" t="inlineStr">
        <is>
          <t>GOC Bed Unit-Costing Model v2 — working original.xlsx</t>
        </is>
      </c>
    </row>
    <row r="2806" ht="40" customHeight="1">
      <c r="A2806" s="4" t="inlineStr">
        <is>
          <t>original:Workings!A41</t>
        </is>
      </c>
      <c r="B2806" s="4" t="inlineStr">
        <is>
          <t>Workings</t>
        </is>
      </c>
      <c r="C2806" s="4" t="inlineStr">
        <is>
          <t>A41</t>
        </is>
      </c>
      <c r="D2806" s="4" t="inlineStr">
        <is>
          <t>Equipment maintenance</t>
        </is>
      </c>
      <c r="E2806" s="4" t="inlineStr">
        <is>
          <t>Equipment maintenance</t>
        </is>
      </c>
      <c r="F2806" s="4" t="inlineStr">
        <is>
          <t>GOC Bed Unit-Costing Model v2 — working original.xlsx</t>
        </is>
      </c>
    </row>
    <row r="2807" ht="40" customHeight="1">
      <c r="A2807" s="4" t="inlineStr">
        <is>
          <t>original:Workings!B41</t>
        </is>
      </c>
      <c r="B2807" s="4" t="inlineStr">
        <is>
          <t>Workings</t>
        </is>
      </c>
      <c r="C2807" s="4" t="inlineStr">
        <is>
          <t>B41</t>
        </is>
      </c>
      <c r="D2807" s="4" t="inlineStr">
        <is>
          <t>='Inputs (1)'!$C$42*'Inputs (1)'!G17</t>
        </is>
      </c>
      <c r="E2807" s="4" t="n">
        <v>8350</v>
      </c>
      <c r="F2807" s="4" t="inlineStr">
        <is>
          <t>GOC Bed Unit-Costing Model v2 — working original.xlsx</t>
        </is>
      </c>
    </row>
    <row r="2808" ht="40" customHeight="1">
      <c r="A2808" s="4" t="inlineStr">
        <is>
          <t>original:Workings!C41</t>
        </is>
      </c>
      <c r="B2808" s="4" t="inlineStr">
        <is>
          <t>Workings</t>
        </is>
      </c>
      <c r="C2808" s="4" t="inlineStr">
        <is>
          <t>C41</t>
        </is>
      </c>
      <c r="D2808" s="4" t="inlineStr">
        <is>
          <t>='Inputs (1)'!$C$42*'Inputs (1)'!H17</t>
        </is>
      </c>
      <c r="E2808" s="4" t="n">
        <v>8350</v>
      </c>
      <c r="F2808" s="4" t="inlineStr">
        <is>
          <t>GOC Bed Unit-Costing Model v2 — working original.xlsx</t>
        </is>
      </c>
    </row>
    <row r="2809" ht="40" customHeight="1">
      <c r="A2809" s="4" t="inlineStr">
        <is>
          <t>original:Workings!D41</t>
        </is>
      </c>
      <c r="B2809" s="4" t="inlineStr">
        <is>
          <t>Workings</t>
        </is>
      </c>
      <c r="C2809" s="4" t="inlineStr">
        <is>
          <t>D41</t>
        </is>
      </c>
      <c r="D2809" s="4" t="inlineStr">
        <is>
          <t>='Inputs (1)'!$C$42*'Inputs (1)'!I17</t>
        </is>
      </c>
      <c r="E2809" s="4" t="n">
        <v>8350</v>
      </c>
      <c r="F2809" s="4" t="inlineStr">
        <is>
          <t>GOC Bed Unit-Costing Model v2 — working original.xlsx</t>
        </is>
      </c>
    </row>
    <row r="2810" ht="40" customHeight="1">
      <c r="A2810" s="4" t="inlineStr">
        <is>
          <t>original:Workings!A42</t>
        </is>
      </c>
      <c r="B2810" s="4" t="inlineStr">
        <is>
          <t>Workings</t>
        </is>
      </c>
      <c r="C2810" s="4" t="inlineStr">
        <is>
          <t>A42</t>
        </is>
      </c>
      <c r="D2810" s="4" t="inlineStr">
        <is>
          <t>TOTAL CONTAINER SITE COSTS</t>
        </is>
      </c>
      <c r="E2810" s="4" t="inlineStr">
        <is>
          <t>TOTAL CONTAINER SITE COSTS</t>
        </is>
      </c>
      <c r="F2810" s="4" t="inlineStr">
        <is>
          <t>GOC Bed Unit-Costing Model v2 — working original.xlsx</t>
        </is>
      </c>
    </row>
    <row r="2811" ht="40" customHeight="1">
      <c r="A2811" s="4" t="inlineStr">
        <is>
          <t>original:Workings!B42</t>
        </is>
      </c>
      <c r="B2811" s="4" t="inlineStr">
        <is>
          <t>Workings</t>
        </is>
      </c>
      <c r="C2811" s="4" t="inlineStr">
        <is>
          <t>B42</t>
        </is>
      </c>
      <c r="D2811" s="4" t="inlineStr">
        <is>
          <t>=SUM(B37:B41)</t>
        </is>
      </c>
      <c r="E2811" s="4" t="n">
        <v>210350</v>
      </c>
      <c r="F2811" s="4" t="inlineStr">
        <is>
          <t>GOC Bed Unit-Costing Model v2 — working original.xlsx</t>
        </is>
      </c>
    </row>
    <row r="2812" ht="40" customHeight="1">
      <c r="A2812" s="4" t="inlineStr">
        <is>
          <t>original:Workings!C42</t>
        </is>
      </c>
      <c r="B2812" s="4" t="inlineStr">
        <is>
          <t>Workings</t>
        </is>
      </c>
      <c r="C2812" s="4" t="inlineStr">
        <is>
          <t>C42</t>
        </is>
      </c>
      <c r="D2812" s="4" t="inlineStr">
        <is>
          <t>=SUM(C37:C41)</t>
        </is>
      </c>
      <c r="E2812" s="4" t="n">
        <v>210350</v>
      </c>
      <c r="F2812" s="4" t="inlineStr">
        <is>
          <t>GOC Bed Unit-Costing Model v2 — working original.xlsx</t>
        </is>
      </c>
    </row>
    <row r="2813" ht="40" customHeight="1">
      <c r="A2813" s="4" t="inlineStr">
        <is>
          <t>original:Workings!D42</t>
        </is>
      </c>
      <c r="B2813" s="4" t="inlineStr">
        <is>
          <t>Workings</t>
        </is>
      </c>
      <c r="C2813" s="4" t="inlineStr">
        <is>
          <t>D42</t>
        </is>
      </c>
      <c r="D2813" s="4" t="inlineStr">
        <is>
          <t>=SUM(D37:D41)</t>
        </is>
      </c>
      <c r="E2813" s="4" t="n">
        <v>210350</v>
      </c>
      <c r="F2813" s="4" t="inlineStr">
        <is>
          <t>GOC Bed Unit-Costing Model v2 — working original.xlsx</t>
        </is>
      </c>
    </row>
    <row r="2814" ht="40" customHeight="1">
      <c r="A2814" s="4" t="inlineStr">
        <is>
          <t>original:Workings!A44</t>
        </is>
      </c>
      <c r="B2814" s="4" t="inlineStr">
        <is>
          <t>Workings</t>
        </is>
      </c>
      <c r="C2814" s="4" t="inlineStr">
        <is>
          <t>A44</t>
        </is>
      </c>
      <c r="D2814" s="4" t="inlineStr">
        <is>
          <t>COST CENTRE: YOUTH EMPLOYMENT PROGRAMS</t>
        </is>
      </c>
      <c r="E2814" s="4" t="inlineStr">
        <is>
          <t>COST CENTRE: YOUTH EMPLOYMENT PROGRAMS</t>
        </is>
      </c>
      <c r="F2814" s="4" t="inlineStr">
        <is>
          <t>GOC Bed Unit-Costing Model v2 — working original.xlsx</t>
        </is>
      </c>
    </row>
    <row r="2815" ht="40" customHeight="1">
      <c r="A2815" s="4" t="inlineStr">
        <is>
          <t>original:Workings!A45</t>
        </is>
      </c>
      <c r="B2815" s="4" t="inlineStr">
        <is>
          <t>Workings</t>
        </is>
      </c>
      <c r="C2815" s="4" t="inlineStr">
        <is>
          <t>A45</t>
        </is>
      </c>
      <c r="D2815" s="4" t="inlineStr">
        <is>
          <t>Programs at factory sites</t>
        </is>
      </c>
      <c r="E2815" s="4" t="inlineStr">
        <is>
          <t>Programs at factory sites</t>
        </is>
      </c>
      <c r="F2815" s="4" t="inlineStr">
        <is>
          <t>GOC Bed Unit-Costing Model v2 — working original.xlsx</t>
        </is>
      </c>
    </row>
    <row r="2816" ht="40" customHeight="1">
      <c r="A2816" s="4" t="inlineStr">
        <is>
          <t>original:Workings!B45</t>
        </is>
      </c>
      <c r="B2816" s="4" t="inlineStr">
        <is>
          <t>Workings</t>
        </is>
      </c>
      <c r="C2816" s="4" t="inlineStr">
        <is>
          <t>B45</t>
        </is>
      </c>
      <c r="D2816" s="4" t="inlineStr">
        <is>
          <t>='Inputs (1)'!G13</t>
        </is>
      </c>
      <c r="E2816" s="4" t="n">
        <v>0</v>
      </c>
      <c r="F2816" s="4" t="inlineStr">
        <is>
          <t>GOC Bed Unit-Costing Model v2 — working original.xlsx</t>
        </is>
      </c>
    </row>
    <row r="2817" ht="40" customHeight="1">
      <c r="A2817" s="4" t="inlineStr">
        <is>
          <t>original:Workings!C45</t>
        </is>
      </c>
      <c r="B2817" s="4" t="inlineStr">
        <is>
          <t>Workings</t>
        </is>
      </c>
      <c r="C2817" s="4" t="inlineStr">
        <is>
          <t>C45</t>
        </is>
      </c>
      <c r="D2817" s="4" t="inlineStr">
        <is>
          <t>='Inputs (1)'!H13</t>
        </is>
      </c>
      <c r="E2817" s="4" t="n">
        <v>0</v>
      </c>
      <c r="F2817" s="4" t="inlineStr">
        <is>
          <t>GOC Bed Unit-Costing Model v2 — working original.xlsx</t>
        </is>
      </c>
    </row>
    <row r="2818" ht="40" customHeight="1">
      <c r="A2818" s="4" t="inlineStr">
        <is>
          <t>original:Workings!D45</t>
        </is>
      </c>
      <c r="B2818" s="4" t="inlineStr">
        <is>
          <t>Workings</t>
        </is>
      </c>
      <c r="C2818" s="4" t="inlineStr">
        <is>
          <t>D45</t>
        </is>
      </c>
      <c r="D2818" s="4" t="inlineStr">
        <is>
          <t>='Inputs (1)'!I13</t>
        </is>
      </c>
      <c r="E2818" s="4" t="n">
        <v>0</v>
      </c>
      <c r="F2818" s="4" t="inlineStr">
        <is>
          <t>GOC Bed Unit-Costing Model v2 — working original.xlsx</t>
        </is>
      </c>
    </row>
    <row r="2819" ht="40" customHeight="1">
      <c r="A2819" s="4" t="inlineStr">
        <is>
          <t>original:Workings!A46</t>
        </is>
      </c>
      <c r="B2819" s="4" t="inlineStr">
        <is>
          <t>Workings</t>
        </is>
      </c>
      <c r="C2819" s="4" t="inlineStr">
        <is>
          <t>A46</t>
        </is>
      </c>
      <c r="D2819" s="4" t="inlineStr">
        <is>
          <t>Programs at container sites</t>
        </is>
      </c>
      <c r="E2819" s="4" t="inlineStr">
        <is>
          <t>Programs at container sites</t>
        </is>
      </c>
      <c r="F2819" s="4" t="inlineStr">
        <is>
          <t>GOC Bed Unit-Costing Model v2 — working original.xlsx</t>
        </is>
      </c>
    </row>
    <row r="2820" ht="40" customHeight="1">
      <c r="A2820" s="4" t="inlineStr">
        <is>
          <t>original:Workings!B46</t>
        </is>
      </c>
      <c r="B2820" s="4" t="inlineStr">
        <is>
          <t>Workings</t>
        </is>
      </c>
      <c r="C2820" s="4" t="inlineStr">
        <is>
          <t>B46</t>
        </is>
      </c>
      <c r="D2820" s="4" t="inlineStr">
        <is>
          <t>='Inputs (1)'!G19</t>
        </is>
      </c>
      <c r="E2820" s="4" t="n">
        <v>0</v>
      </c>
      <c r="F2820" s="4" t="inlineStr">
        <is>
          <t>GOC Bed Unit-Costing Model v2 — working original.xlsx</t>
        </is>
      </c>
    </row>
    <row r="2821" ht="40" customHeight="1">
      <c r="A2821" s="4" t="inlineStr">
        <is>
          <t>original:Workings!C46</t>
        </is>
      </c>
      <c r="B2821" s="4" t="inlineStr">
        <is>
          <t>Workings</t>
        </is>
      </c>
      <c r="C2821" s="4" t="inlineStr">
        <is>
          <t>C46</t>
        </is>
      </c>
      <c r="D2821" s="4" t="inlineStr">
        <is>
          <t>='Inputs (1)'!H19</t>
        </is>
      </c>
      <c r="E2821" s="4" t="n">
        <v>0</v>
      </c>
      <c r="F2821" s="4" t="inlineStr">
        <is>
          <t>GOC Bed Unit-Costing Model v2 — working original.xlsx</t>
        </is>
      </c>
    </row>
    <row r="2822" ht="40" customHeight="1">
      <c r="A2822" s="4" t="inlineStr">
        <is>
          <t>original:Workings!D46</t>
        </is>
      </c>
      <c r="B2822" s="4" t="inlineStr">
        <is>
          <t>Workings</t>
        </is>
      </c>
      <c r="C2822" s="4" t="inlineStr">
        <is>
          <t>D46</t>
        </is>
      </c>
      <c r="D2822" s="4" t="inlineStr">
        <is>
          <t>='Inputs (1)'!I19</t>
        </is>
      </c>
      <c r="E2822" s="4" t="n">
        <v>0</v>
      </c>
      <c r="F2822" s="4" t="inlineStr">
        <is>
          <t>GOC Bed Unit-Costing Model v2 — working original.xlsx</t>
        </is>
      </c>
    </row>
    <row r="2823" ht="40" customHeight="1">
      <c r="A2823" s="4" t="inlineStr">
        <is>
          <t>original:Workings!A47</t>
        </is>
      </c>
      <c r="B2823" s="4" t="inlineStr">
        <is>
          <t>Workings</t>
        </is>
      </c>
      <c r="C2823" s="4" t="inlineStr">
        <is>
          <t>A47</t>
        </is>
      </c>
      <c r="D2823" s="4" t="inlineStr">
        <is>
          <t>TOTAL YOUTH PROGRAM COSTS</t>
        </is>
      </c>
      <c r="E2823" s="4" t="inlineStr">
        <is>
          <t>TOTAL YOUTH PROGRAM COSTS</t>
        </is>
      </c>
      <c r="F2823" s="4" t="inlineStr">
        <is>
          <t>GOC Bed Unit-Costing Model v2 — working original.xlsx</t>
        </is>
      </c>
    </row>
    <row r="2824" ht="40" customHeight="1">
      <c r="A2824" s="4" t="inlineStr">
        <is>
          <t>original:Workings!B47</t>
        </is>
      </c>
      <c r="B2824" s="4" t="inlineStr">
        <is>
          <t>Workings</t>
        </is>
      </c>
      <c r="C2824" s="4" t="inlineStr">
        <is>
          <t>B47</t>
        </is>
      </c>
      <c r="D2824" s="4" t="inlineStr">
        <is>
          <t>='Inputs (1)'!$B$34*B45+'Inputs (1)'!$C$34*B46</t>
        </is>
      </c>
      <c r="E2824" s="4" t="n">
        <v>0</v>
      </c>
      <c r="F2824" s="4" t="inlineStr">
        <is>
          <t>GOC Bed Unit-Costing Model v2 — working original.xlsx</t>
        </is>
      </c>
    </row>
    <row r="2825" ht="40" customHeight="1">
      <c r="A2825" s="4" t="inlineStr">
        <is>
          <t>original:Workings!C47</t>
        </is>
      </c>
      <c r="B2825" s="4" t="inlineStr">
        <is>
          <t>Workings</t>
        </is>
      </c>
      <c r="C2825" s="4" t="inlineStr">
        <is>
          <t>C47</t>
        </is>
      </c>
      <c r="D2825" s="4" t="inlineStr">
        <is>
          <t>='Inputs (1)'!$B$34*C45+'Inputs (1)'!$C$34*C46</t>
        </is>
      </c>
      <c r="E2825" s="4" t="n">
        <v>0</v>
      </c>
      <c r="F2825" s="4" t="inlineStr">
        <is>
          <t>GOC Bed Unit-Costing Model v2 — working original.xlsx</t>
        </is>
      </c>
    </row>
    <row r="2826" ht="40" customHeight="1">
      <c r="A2826" s="4" t="inlineStr">
        <is>
          <t>original:Workings!D47</t>
        </is>
      </c>
      <c r="B2826" s="4" t="inlineStr">
        <is>
          <t>Workings</t>
        </is>
      </c>
      <c r="C2826" s="4" t="inlineStr">
        <is>
          <t>D47</t>
        </is>
      </c>
      <c r="D2826" s="4" t="inlineStr">
        <is>
          <t>='Inputs (1)'!$B$34*D45+'Inputs (1)'!$C$34*D46</t>
        </is>
      </c>
      <c r="E2826" s="4" t="n">
        <v>0</v>
      </c>
      <c r="F2826" s="4" t="inlineStr">
        <is>
          <t>GOC Bed Unit-Costing Model v2 — working original.xlsx</t>
        </is>
      </c>
    </row>
    <row r="2827" ht="90" customHeight="1">
      <c r="A2827" s="4" t="inlineStr">
        <is>
          <t>original:Workings!F47</t>
        </is>
      </c>
      <c r="B2827" s="4" t="inlineStr">
        <is>
          <t>Workings</t>
        </is>
      </c>
      <c r="C2827" s="4" t="inlineStr">
        <is>
          <t>F47</t>
        </is>
      </c>
      <c r="D2827" s="4" t="inlineStr">
        <is>
          <t>Pot 2 by design: grant funded, never carried by bed sales. Shown as its own cost centre so it can be matched to its own income.</t>
        </is>
      </c>
      <c r="E2827" s="4" t="inlineStr">
        <is>
          <t>Pot 2 by design: grant funded, never carried by bed sales. Shown as its own cost centre so it can be matched to its own income.</t>
        </is>
      </c>
      <c r="F2827" s="4" t="inlineStr">
        <is>
          <t>GOC Bed Unit-Costing Model v2 — working original.xlsx</t>
        </is>
      </c>
    </row>
    <row r="2828" ht="40" customHeight="1">
      <c r="A2828" s="4" t="inlineStr">
        <is>
          <t>original:Workings!A49</t>
        </is>
      </c>
      <c r="B2828" s="4" t="inlineStr">
        <is>
          <t>Workings</t>
        </is>
      </c>
      <c r="C2828" s="4" t="inlineStr">
        <is>
          <t>A49</t>
        </is>
      </c>
      <c r="D2828" s="4" t="inlineStr">
        <is>
          <t>COST CENTRE: CENTRAL / HEAD OFFICE</t>
        </is>
      </c>
      <c r="E2828" s="4" t="inlineStr">
        <is>
          <t>COST CENTRE: CENTRAL / HEAD OFFICE</t>
        </is>
      </c>
      <c r="F2828" s="4" t="inlineStr">
        <is>
          <t>GOC Bed Unit-Costing Model v2 — working original.xlsx</t>
        </is>
      </c>
    </row>
    <row r="2829" ht="40" customHeight="1">
      <c r="A2829" s="4" t="inlineStr">
        <is>
          <t>original:Workings!A50</t>
        </is>
      </c>
      <c r="B2829" s="4" t="inlineStr">
        <is>
          <t>Workings</t>
        </is>
      </c>
      <c r="C2829" s="4" t="inlineStr">
        <is>
          <t>A50</t>
        </is>
      </c>
      <c r="D2829" s="4" t="inlineStr">
        <is>
          <t>Wages and Salaries</t>
        </is>
      </c>
      <c r="E2829" s="4" t="inlineStr">
        <is>
          <t>Wages and Salaries</t>
        </is>
      </c>
      <c r="F2829" s="4" t="inlineStr">
        <is>
          <t>GOC Bed Unit-Costing Model v2 — working original.xlsx</t>
        </is>
      </c>
    </row>
    <row r="2830" ht="40" customHeight="1">
      <c r="A2830" s="4" t="inlineStr">
        <is>
          <t>original:Workings!B50</t>
        </is>
      </c>
      <c r="B2830" s="4" t="inlineStr">
        <is>
          <t>Workings</t>
        </is>
      </c>
      <c r="C2830" s="4" t="inlineStr">
        <is>
          <t>B50</t>
        </is>
      </c>
      <c r="D2830" s="4" t="inlineStr">
        <is>
          <t>='Inputs (1)'!$B$12</t>
        </is>
      </c>
      <c r="E2830" s="4" t="n">
        <v>0</v>
      </c>
      <c r="F2830" s="4" t="inlineStr">
        <is>
          <t>GOC Bed Unit-Costing Model v2 — working original.xlsx</t>
        </is>
      </c>
    </row>
    <row r="2831" ht="40" customHeight="1">
      <c r="A2831" s="4" t="inlineStr">
        <is>
          <t>original:Workings!C50</t>
        </is>
      </c>
      <c r="B2831" s="4" t="inlineStr">
        <is>
          <t>Workings</t>
        </is>
      </c>
      <c r="C2831" s="4" t="inlineStr">
        <is>
          <t>C50</t>
        </is>
      </c>
      <c r="D2831" s="4" t="inlineStr">
        <is>
          <t>='Inputs (1)'!$B$12</t>
        </is>
      </c>
      <c r="E2831" s="4" t="n">
        <v>0</v>
      </c>
      <c r="F2831" s="4" t="inlineStr">
        <is>
          <t>GOC Bed Unit-Costing Model v2 — working original.xlsx</t>
        </is>
      </c>
    </row>
    <row r="2832" ht="40" customHeight="1">
      <c r="A2832" s="4" t="inlineStr">
        <is>
          <t>original:Workings!D50</t>
        </is>
      </c>
      <c r="B2832" s="4" t="inlineStr">
        <is>
          <t>Workings</t>
        </is>
      </c>
      <c r="C2832" s="4" t="inlineStr">
        <is>
          <t>D50</t>
        </is>
      </c>
      <c r="D2832" s="4" t="inlineStr">
        <is>
          <t>='Inputs (1)'!$B$12</t>
        </is>
      </c>
      <c r="E2832" s="4" t="n">
        <v>0</v>
      </c>
      <c r="F2832" s="4" t="inlineStr">
        <is>
          <t>GOC Bed Unit-Costing Model v2 — working original.xlsx</t>
        </is>
      </c>
    </row>
    <row r="2833" ht="40" customHeight="1">
      <c r="A2833" s="4" t="inlineStr">
        <is>
          <t>original:Workings!A51</t>
        </is>
      </c>
      <c r="B2833" s="4" t="inlineStr">
        <is>
          <t>Workings</t>
        </is>
      </c>
      <c r="C2833" s="4" t="inlineStr">
        <is>
          <t>A51</t>
        </is>
      </c>
      <c r="D2833" s="4" t="inlineStr">
        <is>
          <t>Founder Salaries</t>
        </is>
      </c>
      <c r="E2833" s="4" t="inlineStr">
        <is>
          <t>Founder Salaries</t>
        </is>
      </c>
      <c r="F2833" s="4" t="inlineStr">
        <is>
          <t>GOC Bed Unit-Costing Model v2 — working original.xlsx</t>
        </is>
      </c>
    </row>
    <row r="2834" ht="40" customHeight="1">
      <c r="A2834" s="4" t="inlineStr">
        <is>
          <t>original:Workings!B51</t>
        </is>
      </c>
      <c r="B2834" s="4" t="inlineStr">
        <is>
          <t>Workings</t>
        </is>
      </c>
      <c r="C2834" s="4" t="inlineStr">
        <is>
          <t>B51</t>
        </is>
      </c>
      <c r="D2834" s="4" t="inlineStr">
        <is>
          <t>='Inputs (1)'!$B$13</t>
        </is>
      </c>
      <c r="E2834" s="4" t="n">
        <v>151200</v>
      </c>
      <c r="F2834" s="4" t="inlineStr">
        <is>
          <t>GOC Bed Unit-Costing Model v2 — working original.xlsx</t>
        </is>
      </c>
    </row>
    <row r="2835" ht="40" customHeight="1">
      <c r="A2835" s="4" t="inlineStr">
        <is>
          <t>original:Workings!C51</t>
        </is>
      </c>
      <c r="B2835" s="4" t="inlineStr">
        <is>
          <t>Workings</t>
        </is>
      </c>
      <c r="C2835" s="4" t="inlineStr">
        <is>
          <t>C51</t>
        </is>
      </c>
      <c r="D2835" s="4" t="inlineStr">
        <is>
          <t>='Inputs (1)'!$B$13</t>
        </is>
      </c>
      <c r="E2835" s="4" t="n">
        <v>151200</v>
      </c>
      <c r="F2835" s="4" t="inlineStr">
        <is>
          <t>GOC Bed Unit-Costing Model v2 — working original.xlsx</t>
        </is>
      </c>
    </row>
    <row r="2836" ht="40" customHeight="1">
      <c r="A2836" s="4" t="inlineStr">
        <is>
          <t>original:Workings!D51</t>
        </is>
      </c>
      <c r="B2836" s="4" t="inlineStr">
        <is>
          <t>Workings</t>
        </is>
      </c>
      <c r="C2836" s="4" t="inlineStr">
        <is>
          <t>D51</t>
        </is>
      </c>
      <c r="D2836" s="4" t="inlineStr">
        <is>
          <t>='Inputs (1)'!$B$13</t>
        </is>
      </c>
      <c r="E2836" s="4" t="n">
        <v>151200</v>
      </c>
      <c r="F2836" s="4" t="inlineStr">
        <is>
          <t>GOC Bed Unit-Costing Model v2 — working original.xlsx</t>
        </is>
      </c>
    </row>
    <row r="2837" ht="40" customHeight="1">
      <c r="A2837" s="4" t="inlineStr">
        <is>
          <t>original:Workings!A52</t>
        </is>
      </c>
      <c r="B2837" s="4" t="inlineStr">
        <is>
          <t>Workings</t>
        </is>
      </c>
      <c r="C2837" s="4" t="inlineStr">
        <is>
          <t>A52</t>
        </is>
      </c>
      <c r="D2837" s="4" t="inlineStr">
        <is>
          <t>Head office costs</t>
        </is>
      </c>
      <c r="E2837" s="4" t="inlineStr">
        <is>
          <t>Head office costs</t>
        </is>
      </c>
      <c r="F2837" s="4" t="inlineStr">
        <is>
          <t>GOC Bed Unit-Costing Model v2 — working original.xlsx</t>
        </is>
      </c>
    </row>
    <row r="2838" ht="40" customHeight="1">
      <c r="A2838" s="4" t="inlineStr">
        <is>
          <t>original:Workings!B52</t>
        </is>
      </c>
      <c r="B2838" s="4" t="inlineStr">
        <is>
          <t>Workings</t>
        </is>
      </c>
      <c r="C2838" s="4" t="inlineStr">
        <is>
          <t>B52</t>
        </is>
      </c>
      <c r="D2838" s="4" t="inlineStr">
        <is>
          <t>='Inputs (1)'!$B$14</t>
        </is>
      </c>
      <c r="E2838" s="4" t="n">
        <v>53000</v>
      </c>
      <c r="F2838" s="4" t="inlineStr">
        <is>
          <t>GOC Bed Unit-Costing Model v2 — working original.xlsx</t>
        </is>
      </c>
    </row>
    <row r="2839" ht="40" customHeight="1">
      <c r="A2839" s="4" t="inlineStr">
        <is>
          <t>original:Workings!C52</t>
        </is>
      </c>
      <c r="B2839" s="4" t="inlineStr">
        <is>
          <t>Workings</t>
        </is>
      </c>
      <c r="C2839" s="4" t="inlineStr">
        <is>
          <t>C52</t>
        </is>
      </c>
      <c r="D2839" s="4" t="inlineStr">
        <is>
          <t>='Inputs (1)'!$B$14</t>
        </is>
      </c>
      <c r="E2839" s="4" t="n">
        <v>53000</v>
      </c>
      <c r="F2839" s="4" t="inlineStr">
        <is>
          <t>GOC Bed Unit-Costing Model v2 — working original.xlsx</t>
        </is>
      </c>
    </row>
    <row r="2840" ht="40" customHeight="1">
      <c r="A2840" s="4" t="inlineStr">
        <is>
          <t>original:Workings!D52</t>
        </is>
      </c>
      <c r="B2840" s="4" t="inlineStr">
        <is>
          <t>Workings</t>
        </is>
      </c>
      <c r="C2840" s="4" t="inlineStr">
        <is>
          <t>D52</t>
        </is>
      </c>
      <c r="D2840" s="4" t="inlineStr">
        <is>
          <t>='Inputs (1)'!$B$14</t>
        </is>
      </c>
      <c r="E2840" s="4" t="n">
        <v>53000</v>
      </c>
      <c r="F2840" s="4" t="inlineStr">
        <is>
          <t>GOC Bed Unit-Costing Model v2 — working original.xlsx</t>
        </is>
      </c>
    </row>
    <row r="2841" ht="40" customHeight="1">
      <c r="A2841" s="4" t="inlineStr">
        <is>
          <t>original:Workings!A53</t>
        </is>
      </c>
      <c r="B2841" s="4" t="inlineStr">
        <is>
          <t>Workings</t>
        </is>
      </c>
      <c r="C2841" s="4" t="inlineStr">
        <is>
          <t>A53</t>
        </is>
      </c>
      <c r="D2841" s="4" t="inlineStr">
        <is>
          <t>Advertising and Marketing</t>
        </is>
      </c>
      <c r="E2841" s="4" t="inlineStr">
        <is>
          <t>Advertising and Marketing</t>
        </is>
      </c>
      <c r="F2841" s="4" t="inlineStr">
        <is>
          <t>GOC Bed Unit-Costing Model v2 — working original.xlsx</t>
        </is>
      </c>
    </row>
    <row r="2842" ht="40" customHeight="1">
      <c r="A2842" s="4" t="inlineStr">
        <is>
          <t>original:Workings!B53</t>
        </is>
      </c>
      <c r="B2842" s="4" t="inlineStr">
        <is>
          <t>Workings</t>
        </is>
      </c>
      <c r="C2842" s="4" t="inlineStr">
        <is>
          <t>B53</t>
        </is>
      </c>
      <c r="D2842" s="4" t="inlineStr">
        <is>
          <t>='Inputs (1)'!$B$15</t>
        </is>
      </c>
      <c r="E2842" s="4" t="n">
        <v>35000</v>
      </c>
      <c r="F2842" s="4" t="inlineStr">
        <is>
          <t>GOC Bed Unit-Costing Model v2 — working original.xlsx</t>
        </is>
      </c>
    </row>
    <row r="2843" ht="40" customHeight="1">
      <c r="A2843" s="4" t="inlineStr">
        <is>
          <t>original:Workings!C53</t>
        </is>
      </c>
      <c r="B2843" s="4" t="inlineStr">
        <is>
          <t>Workings</t>
        </is>
      </c>
      <c r="C2843" s="4" t="inlineStr">
        <is>
          <t>C53</t>
        </is>
      </c>
      <c r="D2843" s="4" t="inlineStr">
        <is>
          <t>='Inputs (1)'!$B$15</t>
        </is>
      </c>
      <c r="E2843" s="4" t="n">
        <v>35000</v>
      </c>
      <c r="F2843" s="4" t="inlineStr">
        <is>
          <t>GOC Bed Unit-Costing Model v2 — working original.xlsx</t>
        </is>
      </c>
    </row>
    <row r="2844" ht="40" customHeight="1">
      <c r="A2844" s="4" t="inlineStr">
        <is>
          <t>original:Workings!D53</t>
        </is>
      </c>
      <c r="B2844" s="4" t="inlineStr">
        <is>
          <t>Workings</t>
        </is>
      </c>
      <c r="C2844" s="4" t="inlineStr">
        <is>
          <t>D53</t>
        </is>
      </c>
      <c r="D2844" s="4" t="inlineStr">
        <is>
          <t>='Inputs (1)'!$B$15</t>
        </is>
      </c>
      <c r="E2844" s="4" t="n">
        <v>35000</v>
      </c>
      <c r="F2844" s="4" t="inlineStr">
        <is>
          <t>GOC Bed Unit-Costing Model v2 — working original.xlsx</t>
        </is>
      </c>
    </row>
    <row r="2845" ht="40" customHeight="1">
      <c r="A2845" s="4" t="inlineStr">
        <is>
          <t>original:Workings!A54</t>
        </is>
      </c>
      <c r="B2845" s="4" t="inlineStr">
        <is>
          <t>Workings</t>
        </is>
      </c>
      <c r="C2845" s="4" t="inlineStr">
        <is>
          <t>A54</t>
        </is>
      </c>
      <c r="D2845" s="4" t="inlineStr">
        <is>
          <t>Field Travel</t>
        </is>
      </c>
      <c r="E2845" s="4" t="inlineStr">
        <is>
          <t>Field Travel</t>
        </is>
      </c>
      <c r="F2845" s="4" t="inlineStr">
        <is>
          <t>GOC Bed Unit-Costing Model v2 — working original.xlsx</t>
        </is>
      </c>
    </row>
    <row r="2846" ht="40" customHeight="1">
      <c r="A2846" s="4" t="inlineStr">
        <is>
          <t>original:Workings!B54</t>
        </is>
      </c>
      <c r="B2846" s="4" t="inlineStr">
        <is>
          <t>Workings</t>
        </is>
      </c>
      <c r="C2846" s="4" t="inlineStr">
        <is>
          <t>B54</t>
        </is>
      </c>
      <c r="D2846" s="4" t="inlineStr">
        <is>
          <t>='Inputs (1)'!$B$16</t>
        </is>
      </c>
      <c r="E2846" s="4" t="n">
        <v>51000</v>
      </c>
      <c r="F2846" s="4" t="inlineStr">
        <is>
          <t>GOC Bed Unit-Costing Model v2 — working original.xlsx</t>
        </is>
      </c>
    </row>
    <row r="2847" ht="40" customHeight="1">
      <c r="A2847" s="4" t="inlineStr">
        <is>
          <t>original:Workings!C54</t>
        </is>
      </c>
      <c r="B2847" s="4" t="inlineStr">
        <is>
          <t>Workings</t>
        </is>
      </c>
      <c r="C2847" s="4" t="inlineStr">
        <is>
          <t>C54</t>
        </is>
      </c>
      <c r="D2847" s="4" t="inlineStr">
        <is>
          <t>='Inputs (1)'!$B$16</t>
        </is>
      </c>
      <c r="E2847" s="4" t="n">
        <v>51000</v>
      </c>
      <c r="F2847" s="4" t="inlineStr">
        <is>
          <t>GOC Bed Unit-Costing Model v2 — working original.xlsx</t>
        </is>
      </c>
    </row>
    <row r="2848" ht="40" customHeight="1">
      <c r="A2848" s="4" t="inlineStr">
        <is>
          <t>original:Workings!D54</t>
        </is>
      </c>
      <c r="B2848" s="4" t="inlineStr">
        <is>
          <t>Workings</t>
        </is>
      </c>
      <c r="C2848" s="4" t="inlineStr">
        <is>
          <t>D54</t>
        </is>
      </c>
      <c r="D2848" s="4" t="inlineStr">
        <is>
          <t>='Inputs (1)'!$B$16</t>
        </is>
      </c>
      <c r="E2848" s="4" t="n">
        <v>51000</v>
      </c>
      <c r="F2848" s="4" t="inlineStr">
        <is>
          <t>GOC Bed Unit-Costing Model v2 — working original.xlsx</t>
        </is>
      </c>
    </row>
    <row r="2849" ht="40" customHeight="1">
      <c r="A2849" s="4" t="inlineStr">
        <is>
          <t>original:Workings!A55</t>
        </is>
      </c>
      <c r="B2849" s="4" t="inlineStr">
        <is>
          <t>Workings</t>
        </is>
      </c>
      <c r="C2849" s="4" t="inlineStr">
        <is>
          <t>A55</t>
        </is>
      </c>
      <c r="D2849" s="4" t="inlineStr">
        <is>
          <t>R&amp;D</t>
        </is>
      </c>
      <c r="E2849" s="4" t="inlineStr">
        <is>
          <t>R&amp;D</t>
        </is>
      </c>
      <c r="F2849" s="4" t="inlineStr">
        <is>
          <t>GOC Bed Unit-Costing Model v2 — working original.xlsx</t>
        </is>
      </c>
    </row>
    <row r="2850" ht="40" customHeight="1">
      <c r="A2850" s="4" t="inlineStr">
        <is>
          <t>original:Workings!B55</t>
        </is>
      </c>
      <c r="B2850" s="4" t="inlineStr">
        <is>
          <t>Workings</t>
        </is>
      </c>
      <c r="C2850" s="4" t="inlineStr">
        <is>
          <t>B55</t>
        </is>
      </c>
      <c r="D2850" s="4" t="inlineStr">
        <is>
          <t>='Inputs (1)'!$B$17</t>
        </is>
      </c>
      <c r="E2850" s="4" t="n">
        <v>0</v>
      </c>
      <c r="F2850" s="4" t="inlineStr">
        <is>
          <t>GOC Bed Unit-Costing Model v2 — working original.xlsx</t>
        </is>
      </c>
    </row>
    <row r="2851" ht="40" customHeight="1">
      <c r="A2851" s="4" t="inlineStr">
        <is>
          <t>original:Workings!C55</t>
        </is>
      </c>
      <c r="B2851" s="4" t="inlineStr">
        <is>
          <t>Workings</t>
        </is>
      </c>
      <c r="C2851" s="4" t="inlineStr">
        <is>
          <t>C55</t>
        </is>
      </c>
      <c r="D2851" s="4" t="inlineStr">
        <is>
          <t>='Inputs (1)'!$B$17</t>
        </is>
      </c>
      <c r="E2851" s="4" t="n">
        <v>0</v>
      </c>
      <c r="F2851" s="4" t="inlineStr">
        <is>
          <t>GOC Bed Unit-Costing Model v2 — working original.xlsx</t>
        </is>
      </c>
    </row>
    <row r="2852" ht="40" customHeight="1">
      <c r="A2852" s="4" t="inlineStr">
        <is>
          <t>original:Workings!D55</t>
        </is>
      </c>
      <c r="B2852" s="4" t="inlineStr">
        <is>
          <t>Workings</t>
        </is>
      </c>
      <c r="C2852" s="4" t="inlineStr">
        <is>
          <t>D55</t>
        </is>
      </c>
      <c r="D2852" s="4" t="inlineStr">
        <is>
          <t>='Inputs (1)'!$B$17</t>
        </is>
      </c>
      <c r="E2852" s="4" t="n">
        <v>0</v>
      </c>
      <c r="F2852" s="4" t="inlineStr">
        <is>
          <t>GOC Bed Unit-Costing Model v2 — working original.xlsx</t>
        </is>
      </c>
    </row>
    <row r="2853" ht="40" customHeight="1">
      <c r="A2853" s="4" t="inlineStr">
        <is>
          <t>original:Workings!A56</t>
        </is>
      </c>
      <c r="B2853" s="4" t="inlineStr">
        <is>
          <t>Workings</t>
        </is>
      </c>
      <c r="C2853" s="4" t="inlineStr">
        <is>
          <t>A56</t>
        </is>
      </c>
      <c r="D2853" s="4" t="inlineStr">
        <is>
          <t>Consulting &amp; Accounting</t>
        </is>
      </c>
      <c r="E2853" s="4" t="inlineStr">
        <is>
          <t>Consulting &amp; Accounting</t>
        </is>
      </c>
      <c r="F2853" s="4" t="inlineStr">
        <is>
          <t>GOC Bed Unit-Costing Model v2 — working original.xlsx</t>
        </is>
      </c>
    </row>
    <row r="2854" ht="40" customHeight="1">
      <c r="A2854" s="4" t="inlineStr">
        <is>
          <t>original:Workings!B56</t>
        </is>
      </c>
      <c r="B2854" s="4" t="inlineStr">
        <is>
          <t>Workings</t>
        </is>
      </c>
      <c r="C2854" s="4" t="inlineStr">
        <is>
          <t>B56</t>
        </is>
      </c>
      <c r="D2854" s="4" t="inlineStr">
        <is>
          <t>='Inputs (1)'!$B$18</t>
        </is>
      </c>
      <c r="E2854" s="4" t="n">
        <v>50000</v>
      </c>
      <c r="F2854" s="4" t="inlineStr">
        <is>
          <t>GOC Bed Unit-Costing Model v2 — working original.xlsx</t>
        </is>
      </c>
    </row>
    <row r="2855" ht="40" customHeight="1">
      <c r="A2855" s="4" t="inlineStr">
        <is>
          <t>original:Workings!C56</t>
        </is>
      </c>
      <c r="B2855" s="4" t="inlineStr">
        <is>
          <t>Workings</t>
        </is>
      </c>
      <c r="C2855" s="4" t="inlineStr">
        <is>
          <t>C56</t>
        </is>
      </c>
      <c r="D2855" s="4" t="inlineStr">
        <is>
          <t>='Inputs (1)'!$B$18</t>
        </is>
      </c>
      <c r="E2855" s="4" t="n">
        <v>50000</v>
      </c>
      <c r="F2855" s="4" t="inlineStr">
        <is>
          <t>GOC Bed Unit-Costing Model v2 — working original.xlsx</t>
        </is>
      </c>
    </row>
    <row r="2856" ht="40" customHeight="1">
      <c r="A2856" s="4" t="inlineStr">
        <is>
          <t>original:Workings!D56</t>
        </is>
      </c>
      <c r="B2856" s="4" t="inlineStr">
        <is>
          <t>Workings</t>
        </is>
      </c>
      <c r="C2856" s="4" t="inlineStr">
        <is>
          <t>D56</t>
        </is>
      </c>
      <c r="D2856" s="4" t="inlineStr">
        <is>
          <t>='Inputs (1)'!$B$18</t>
        </is>
      </c>
      <c r="E2856" s="4" t="n">
        <v>50000</v>
      </c>
      <c r="F2856" s="4" t="inlineStr">
        <is>
          <t>GOC Bed Unit-Costing Model v2 — working original.xlsx</t>
        </is>
      </c>
    </row>
    <row r="2857" ht="40" customHeight="1">
      <c r="A2857" s="4" t="inlineStr">
        <is>
          <t>original:Workings!A57</t>
        </is>
      </c>
      <c r="B2857" s="4" t="inlineStr">
        <is>
          <t>Workings</t>
        </is>
      </c>
      <c r="C2857" s="4" t="inlineStr">
        <is>
          <t>A57</t>
        </is>
      </c>
      <c r="D2857" s="4" t="inlineStr">
        <is>
          <t>TOTAL CENTRAL COSTS</t>
        </is>
      </c>
      <c r="E2857" s="4" t="inlineStr">
        <is>
          <t>TOTAL CENTRAL COSTS</t>
        </is>
      </c>
      <c r="F2857" s="4" t="inlineStr">
        <is>
          <t>GOC Bed Unit-Costing Model v2 — working original.xlsx</t>
        </is>
      </c>
    </row>
    <row r="2858" ht="40" customHeight="1">
      <c r="A2858" s="4" t="inlineStr">
        <is>
          <t>original:Workings!B57</t>
        </is>
      </c>
      <c r="B2858" s="4" t="inlineStr">
        <is>
          <t>Workings</t>
        </is>
      </c>
      <c r="C2858" s="4" t="inlineStr">
        <is>
          <t>B57</t>
        </is>
      </c>
      <c r="D2858" s="4" t="inlineStr">
        <is>
          <t>=SUM(B50:B56)</t>
        </is>
      </c>
      <c r="E2858" s="4" t="n">
        <v>340200</v>
      </c>
      <c r="F2858" s="4" t="inlineStr">
        <is>
          <t>GOC Bed Unit-Costing Model v2 — working original.xlsx</t>
        </is>
      </c>
    </row>
    <row r="2859" ht="40" customHeight="1">
      <c r="A2859" s="4" t="inlineStr">
        <is>
          <t>original:Workings!C57</t>
        </is>
      </c>
      <c r="B2859" s="4" t="inlineStr">
        <is>
          <t>Workings</t>
        </is>
      </c>
      <c r="C2859" s="4" t="inlineStr">
        <is>
          <t>C57</t>
        </is>
      </c>
      <c r="D2859" s="4" t="inlineStr">
        <is>
          <t>=SUM(C50:C56)</t>
        </is>
      </c>
      <c r="E2859" s="4" t="n">
        <v>340200</v>
      </c>
      <c r="F2859" s="4" t="inlineStr">
        <is>
          <t>GOC Bed Unit-Costing Model v2 — working original.xlsx</t>
        </is>
      </c>
    </row>
    <row r="2860" ht="40" customHeight="1">
      <c r="A2860" s="4" t="inlineStr">
        <is>
          <t>original:Workings!D57</t>
        </is>
      </c>
      <c r="B2860" s="4" t="inlineStr">
        <is>
          <t>Workings</t>
        </is>
      </c>
      <c r="C2860" s="4" t="inlineStr">
        <is>
          <t>D57</t>
        </is>
      </c>
      <c r="D2860" s="4" t="inlineStr">
        <is>
          <t>=SUM(D50:D56)</t>
        </is>
      </c>
      <c r="E2860" s="4" t="n">
        <v>340200</v>
      </c>
      <c r="F2860" s="4" t="inlineStr">
        <is>
          <t>GOC Bed Unit-Costing Model v2 — working original.xlsx</t>
        </is>
      </c>
    </row>
    <row r="2861" ht="40" customHeight="1">
      <c r="A2861" s="4" t="inlineStr">
        <is>
          <t>original:Workings!A59</t>
        </is>
      </c>
      <c r="B2861" s="4" t="inlineStr">
        <is>
          <t>Workings</t>
        </is>
      </c>
      <c r="C2861" s="4" t="inlineStr">
        <is>
          <t>A59</t>
        </is>
      </c>
      <c r="D2861" s="4" t="inlineStr">
        <is>
          <t>CAPITAL EXPENDITURE AND DEPRECIATION</t>
        </is>
      </c>
      <c r="E2861" s="4" t="inlineStr">
        <is>
          <t>CAPITAL EXPENDITURE AND DEPRECIATION</t>
        </is>
      </c>
      <c r="F2861" s="4" t="inlineStr">
        <is>
          <t>GOC Bed Unit-Costing Model v2 — working original.xlsx</t>
        </is>
      </c>
    </row>
    <row r="2862" ht="40" customHeight="1">
      <c r="A2862" s="4" t="inlineStr">
        <is>
          <t>original:Workings!A60</t>
        </is>
      </c>
      <c r="B2862" s="4" t="inlineStr">
        <is>
          <t>Workings</t>
        </is>
      </c>
      <c r="C2862" s="4" t="inlineStr">
        <is>
          <t>A60</t>
        </is>
      </c>
      <c r="D2862" s="4" t="inlineStr">
        <is>
          <t>New factory builds</t>
        </is>
      </c>
      <c r="E2862" s="4" t="inlineStr">
        <is>
          <t>New factory builds</t>
        </is>
      </c>
      <c r="F2862" s="4" t="inlineStr">
        <is>
          <t>GOC Bed Unit-Costing Model v2 — working original.xlsx</t>
        </is>
      </c>
    </row>
    <row r="2863" ht="40" customHeight="1">
      <c r="A2863" s="4" t="inlineStr">
        <is>
          <t>original:Workings!B60</t>
        </is>
      </c>
      <c r="B2863" s="4" t="inlineStr">
        <is>
          <t>Workings</t>
        </is>
      </c>
      <c r="C2863" s="4" t="inlineStr">
        <is>
          <t>B60</t>
        </is>
      </c>
      <c r="D2863" s="4" t="inlineStr">
        <is>
          <t>='Inputs (1)'!G12</t>
        </is>
      </c>
      <c r="E2863" s="4" t="n">
        <v>0</v>
      </c>
      <c r="F2863" s="4" t="inlineStr">
        <is>
          <t>GOC Bed Unit-Costing Model v2 — working original.xlsx</t>
        </is>
      </c>
    </row>
    <row r="2864" ht="40" customHeight="1">
      <c r="A2864" s="4" t="inlineStr">
        <is>
          <t>original:Workings!C60</t>
        </is>
      </c>
      <c r="B2864" s="4" t="inlineStr">
        <is>
          <t>Workings</t>
        </is>
      </c>
      <c r="C2864" s="4" t="inlineStr">
        <is>
          <t>C60</t>
        </is>
      </c>
      <c r="D2864" s="4" t="inlineStr">
        <is>
          <t>='Inputs (1)'!H12</t>
        </is>
      </c>
      <c r="E2864" s="4" t="n">
        <v>0</v>
      </c>
      <c r="F2864" s="4" t="inlineStr">
        <is>
          <t>GOC Bed Unit-Costing Model v2 — working original.xlsx</t>
        </is>
      </c>
    </row>
    <row r="2865" ht="40" customHeight="1">
      <c r="A2865" s="4" t="inlineStr">
        <is>
          <t>original:Workings!D60</t>
        </is>
      </c>
      <c r="B2865" s="4" t="inlineStr">
        <is>
          <t>Workings</t>
        </is>
      </c>
      <c r="C2865" s="4" t="inlineStr">
        <is>
          <t>D60</t>
        </is>
      </c>
      <c r="D2865" s="4" t="inlineStr">
        <is>
          <t>='Inputs (1)'!I12</t>
        </is>
      </c>
      <c r="E2865" s="4" t="n">
        <v>0</v>
      </c>
      <c r="F2865" s="4" t="inlineStr">
        <is>
          <t>GOC Bed Unit-Costing Model v2 — working original.xlsx</t>
        </is>
      </c>
    </row>
    <row r="2866" ht="40" customHeight="1">
      <c r="A2866" s="4" t="inlineStr">
        <is>
          <t>original:Workings!A61</t>
        </is>
      </c>
      <c r="B2866" s="4" t="inlineStr">
        <is>
          <t>Workings</t>
        </is>
      </c>
      <c r="C2866" s="4" t="inlineStr">
        <is>
          <t>A61</t>
        </is>
      </c>
      <c r="D2866" s="4" t="inlineStr">
        <is>
          <t>New container builds</t>
        </is>
      </c>
      <c r="E2866" s="4" t="inlineStr">
        <is>
          <t>New container builds</t>
        </is>
      </c>
      <c r="F2866" s="4" t="inlineStr">
        <is>
          <t>GOC Bed Unit-Costing Model v2 — working original.xlsx</t>
        </is>
      </c>
    </row>
    <row r="2867" ht="40" customHeight="1">
      <c r="A2867" s="4" t="inlineStr">
        <is>
          <t>original:Workings!B61</t>
        </is>
      </c>
      <c r="B2867" s="4" t="inlineStr">
        <is>
          <t>Workings</t>
        </is>
      </c>
      <c r="C2867" s="4" t="inlineStr">
        <is>
          <t>B61</t>
        </is>
      </c>
      <c r="D2867" s="4" t="inlineStr">
        <is>
          <t>='Inputs (1)'!G18</t>
        </is>
      </c>
      <c r="E2867" s="4" t="n">
        <v>1</v>
      </c>
      <c r="F2867" s="4" t="inlineStr">
        <is>
          <t>GOC Bed Unit-Costing Model v2 — working original.xlsx</t>
        </is>
      </c>
    </row>
    <row r="2868" ht="40" customHeight="1">
      <c r="A2868" s="4" t="inlineStr">
        <is>
          <t>original:Workings!C61</t>
        </is>
      </c>
      <c r="B2868" s="4" t="inlineStr">
        <is>
          <t>Workings</t>
        </is>
      </c>
      <c r="C2868" s="4" t="inlineStr">
        <is>
          <t>C61</t>
        </is>
      </c>
      <c r="D2868" s="4" t="inlineStr">
        <is>
          <t>='Inputs (1)'!H18</t>
        </is>
      </c>
      <c r="E2868" s="4" t="n">
        <v>0</v>
      </c>
      <c r="F2868" s="4" t="inlineStr">
        <is>
          <t>GOC Bed Unit-Costing Model v2 — working original.xlsx</t>
        </is>
      </c>
    </row>
    <row r="2869" ht="40" customHeight="1">
      <c r="A2869" s="4" t="inlineStr">
        <is>
          <t>original:Workings!D61</t>
        </is>
      </c>
      <c r="B2869" s="4" t="inlineStr">
        <is>
          <t>Workings</t>
        </is>
      </c>
      <c r="C2869" s="4" t="inlineStr">
        <is>
          <t>D61</t>
        </is>
      </c>
      <c r="D2869" s="4" t="inlineStr">
        <is>
          <t>='Inputs (1)'!I18</t>
        </is>
      </c>
      <c r="E2869" s="4" t="n">
        <v>0</v>
      </c>
      <c r="F2869" s="4" t="inlineStr">
        <is>
          <t>GOC Bed Unit-Costing Model v2 — working original.xlsx</t>
        </is>
      </c>
    </row>
    <row r="2870" ht="40" customHeight="1">
      <c r="A2870" s="4" t="inlineStr">
        <is>
          <t>original:Workings!A62</t>
        </is>
      </c>
      <c r="B2870" s="4" t="inlineStr">
        <is>
          <t>Workings</t>
        </is>
      </c>
      <c r="C2870" s="4" t="inlineStr">
        <is>
          <t>A62</t>
        </is>
      </c>
      <c r="D2870" s="4" t="inlineStr">
        <is>
          <t>CAPEX THIS YEAR</t>
        </is>
      </c>
      <c r="E2870" s="4" t="inlineStr">
        <is>
          <t>CAPEX THIS YEAR</t>
        </is>
      </c>
      <c r="F2870" s="4" t="inlineStr">
        <is>
          <t>GOC Bed Unit-Costing Model v2 — working original.xlsx</t>
        </is>
      </c>
    </row>
    <row r="2871" ht="40" customHeight="1">
      <c r="A2871" s="4" t="inlineStr">
        <is>
          <t>original:Workings!B62</t>
        </is>
      </c>
      <c r="B2871" s="4" t="inlineStr">
        <is>
          <t>Workings</t>
        </is>
      </c>
      <c r="C2871" s="4" t="inlineStr">
        <is>
          <t>B62</t>
        </is>
      </c>
      <c r="D2871" s="4" t="inlineStr">
        <is>
          <t>=B60*'Inputs (1)'!$B$41+B61*'Inputs (1)'!$C$41</t>
        </is>
      </c>
      <c r="E2871" s="4" t="n">
        <v>207450</v>
      </c>
      <c r="F2871" s="4" t="inlineStr">
        <is>
          <t>GOC Bed Unit-Costing Model v2 — working original.xlsx</t>
        </is>
      </c>
    </row>
    <row r="2872" ht="40" customHeight="1">
      <c r="A2872" s="4" t="inlineStr">
        <is>
          <t>original:Workings!C62</t>
        </is>
      </c>
      <c r="B2872" s="4" t="inlineStr">
        <is>
          <t>Workings</t>
        </is>
      </c>
      <c r="C2872" s="4" t="inlineStr">
        <is>
          <t>C62</t>
        </is>
      </c>
      <c r="D2872" s="4" t="inlineStr">
        <is>
          <t>=C60*'Inputs (1)'!$B$41+C61*'Inputs (1)'!$C$41</t>
        </is>
      </c>
      <c r="E2872" s="4" t="n">
        <v>0</v>
      </c>
      <c r="F2872" s="4" t="inlineStr">
        <is>
          <t>GOC Bed Unit-Costing Model v2 — working original.xlsx</t>
        </is>
      </c>
    </row>
    <row r="2873" ht="40" customHeight="1">
      <c r="A2873" s="4" t="inlineStr">
        <is>
          <t>original:Workings!D62</t>
        </is>
      </c>
      <c r="B2873" s="4" t="inlineStr">
        <is>
          <t>Workings</t>
        </is>
      </c>
      <c r="C2873" s="4" t="inlineStr">
        <is>
          <t>D62</t>
        </is>
      </c>
      <c r="D2873" s="4" t="inlineStr">
        <is>
          <t>=D60*'Inputs (1)'!$B$41+D61*'Inputs (1)'!$C$41</t>
        </is>
      </c>
      <c r="E2873" s="4" t="n">
        <v>0</v>
      </c>
      <c r="F2873" s="4" t="inlineStr">
        <is>
          <t>GOC Bed Unit-Costing Model v2 — working original.xlsx</t>
        </is>
      </c>
    </row>
    <row r="2874" ht="40" customHeight="1">
      <c r="A2874" s="4" t="inlineStr">
        <is>
          <t>original:Workings!A63</t>
        </is>
      </c>
      <c r="B2874" s="4" t="inlineStr">
        <is>
          <t>Workings</t>
        </is>
      </c>
      <c r="C2874" s="4" t="inlineStr">
        <is>
          <t>A63</t>
        </is>
      </c>
      <c r="D2874" s="4" t="inlineStr">
        <is>
          <t>Cumulative capex</t>
        </is>
      </c>
      <c r="E2874" s="4" t="inlineStr">
        <is>
          <t>Cumulative capex</t>
        </is>
      </c>
      <c r="F2874" s="4" t="inlineStr">
        <is>
          <t>GOC Bed Unit-Costing Model v2 — working original.xlsx</t>
        </is>
      </c>
    </row>
    <row r="2875" ht="40" customHeight="1">
      <c r="A2875" s="4" t="inlineStr">
        <is>
          <t>original:Workings!B63</t>
        </is>
      </c>
      <c r="B2875" s="4" t="inlineStr">
        <is>
          <t>Workings</t>
        </is>
      </c>
      <c r="C2875" s="4" t="inlineStr">
        <is>
          <t>B63</t>
        </is>
      </c>
      <c r="D2875" s="4" t="inlineStr">
        <is>
          <t>=B62</t>
        </is>
      </c>
      <c r="E2875" s="4" t="n">
        <v>207450</v>
      </c>
      <c r="F2875" s="4" t="inlineStr">
        <is>
          <t>GOC Bed Unit-Costing Model v2 — working original.xlsx</t>
        </is>
      </c>
    </row>
    <row r="2876" ht="40" customHeight="1">
      <c r="A2876" s="4" t="inlineStr">
        <is>
          <t>original:Workings!C63</t>
        </is>
      </c>
      <c r="B2876" s="4" t="inlineStr">
        <is>
          <t>Workings</t>
        </is>
      </c>
      <c r="C2876" s="4" t="inlineStr">
        <is>
          <t>C63</t>
        </is>
      </c>
      <c r="D2876" s="4" t="inlineStr">
        <is>
          <t>=B63+C62</t>
        </is>
      </c>
      <c r="E2876" s="4" t="n">
        <v>207450</v>
      </c>
      <c r="F2876" s="4" t="inlineStr">
        <is>
          <t>GOC Bed Unit-Costing Model v2 — working original.xlsx</t>
        </is>
      </c>
    </row>
    <row r="2877" ht="40" customHeight="1">
      <c r="A2877" s="4" t="inlineStr">
        <is>
          <t>original:Workings!D63</t>
        </is>
      </c>
      <c r="B2877" s="4" t="inlineStr">
        <is>
          <t>Workings</t>
        </is>
      </c>
      <c r="C2877" s="4" t="inlineStr">
        <is>
          <t>D63</t>
        </is>
      </c>
      <c r="D2877" s="4" t="inlineStr">
        <is>
          <t>=C63+D62</t>
        </is>
      </c>
      <c r="E2877" s="4" t="n">
        <v>207450</v>
      </c>
      <c r="F2877" s="4" t="inlineStr">
        <is>
          <t>GOC Bed Unit-Costing Model v2 — working original.xlsx</t>
        </is>
      </c>
    </row>
    <row r="2878" ht="40" customHeight="1">
      <c r="A2878" s="4" t="inlineStr">
        <is>
          <t>original:Workings!A64</t>
        </is>
      </c>
      <c r="B2878" s="4" t="inlineStr">
        <is>
          <t>Workings</t>
        </is>
      </c>
      <c r="C2878" s="4" t="inlineStr">
        <is>
          <t>A64</t>
        </is>
      </c>
      <c r="D2878" s="4" t="inlineStr">
        <is>
          <t>Depreciation on opening PP&amp;E</t>
        </is>
      </c>
      <c r="E2878" s="4" t="inlineStr">
        <is>
          <t>Depreciation on opening PP&amp;E</t>
        </is>
      </c>
      <c r="F2878" s="4" t="inlineStr">
        <is>
          <t>GOC Bed Unit-Costing Model v2 — working original.xlsx</t>
        </is>
      </c>
    </row>
    <row r="2879" ht="40" customHeight="1">
      <c r="A2879" s="4" t="inlineStr">
        <is>
          <t>original:Workings!B64</t>
        </is>
      </c>
      <c r="B2879" s="4" t="inlineStr">
        <is>
          <t>Workings</t>
        </is>
      </c>
      <c r="C2879" s="4" t="inlineStr">
        <is>
          <t>B64</t>
        </is>
      </c>
      <c r="D2879" s="4" t="inlineStr">
        <is>
          <t>=IF('Inputs (1)'!$B$51&gt;0,'Inputs (1)'!$B$5/'Inputs (1)'!$B$51,0)</t>
        </is>
      </c>
      <c r="E2879" s="4" t="n">
        <v>11004.6</v>
      </c>
      <c r="F2879" s="4" t="inlineStr">
        <is>
          <t>GOC Bed Unit-Costing Model v2 — working original.xlsx</t>
        </is>
      </c>
    </row>
    <row r="2880" ht="40" customHeight="1">
      <c r="A2880" s="4" t="inlineStr">
        <is>
          <t>original:Workings!C64</t>
        </is>
      </c>
      <c r="B2880" s="4" t="inlineStr">
        <is>
          <t>Workings</t>
        </is>
      </c>
      <c r="C2880" s="4" t="inlineStr">
        <is>
          <t>C64</t>
        </is>
      </c>
      <c r="D2880" s="4" t="inlineStr">
        <is>
          <t>=IF('Inputs (1)'!$B$51&gt;0,'Inputs (1)'!$B$5/'Inputs (1)'!$B$51,0)</t>
        </is>
      </c>
      <c r="E2880" s="4" t="n">
        <v>11004.6</v>
      </c>
      <c r="F2880" s="4" t="inlineStr">
        <is>
          <t>GOC Bed Unit-Costing Model v2 — working original.xlsx</t>
        </is>
      </c>
    </row>
    <row r="2881" ht="40" customHeight="1">
      <c r="A2881" s="4" t="inlineStr">
        <is>
          <t>original:Workings!D64</t>
        </is>
      </c>
      <c r="B2881" s="4" t="inlineStr">
        <is>
          <t>Workings</t>
        </is>
      </c>
      <c r="C2881" s="4" t="inlineStr">
        <is>
          <t>D64</t>
        </is>
      </c>
      <c r="D2881" s="4" t="inlineStr">
        <is>
          <t>=IF('Inputs (1)'!$B$51&gt;0,'Inputs (1)'!$B$5/'Inputs (1)'!$B$51,0)</t>
        </is>
      </c>
      <c r="E2881" s="4" t="n">
        <v>11004.6</v>
      </c>
      <c r="F2881" s="4" t="inlineStr">
        <is>
          <t>GOC Bed Unit-Costing Model v2 — working original.xlsx</t>
        </is>
      </c>
    </row>
    <row r="2882" ht="40" customHeight="1">
      <c r="A2882" s="4" t="inlineStr">
        <is>
          <t>original:Workings!A65</t>
        </is>
      </c>
      <c r="B2882" s="4" t="inlineStr">
        <is>
          <t>Workings</t>
        </is>
      </c>
      <c r="C2882" s="4" t="inlineStr">
        <is>
          <t>A65</t>
        </is>
      </c>
      <c r="D2882" s="4" t="inlineStr">
        <is>
          <t>Depreciation on new capex</t>
        </is>
      </c>
      <c r="E2882" s="4" t="inlineStr">
        <is>
          <t>Depreciation on new capex</t>
        </is>
      </c>
      <c r="F2882" s="4" t="inlineStr">
        <is>
          <t>GOC Bed Unit-Costing Model v2 — working original.xlsx</t>
        </is>
      </c>
    </row>
    <row r="2883" ht="40" customHeight="1">
      <c r="A2883" s="4" t="inlineStr">
        <is>
          <t>original:Workings!B65</t>
        </is>
      </c>
      <c r="B2883" s="4" t="inlineStr">
        <is>
          <t>Workings</t>
        </is>
      </c>
      <c r="C2883" s="4" t="inlineStr">
        <is>
          <t>B65</t>
        </is>
      </c>
      <c r="D2883" s="4" t="inlineStr">
        <is>
          <t>=IF('Inputs (1)'!$B$51&gt;0,B63/'Inputs (1)'!$B$51,0)</t>
        </is>
      </c>
      <c r="E2883" s="4" t="n">
        <v>20745</v>
      </c>
      <c r="F2883" s="4" t="inlineStr">
        <is>
          <t>GOC Bed Unit-Costing Model v2 — working original.xlsx</t>
        </is>
      </c>
    </row>
    <row r="2884" ht="40" customHeight="1">
      <c r="A2884" s="4" t="inlineStr">
        <is>
          <t>original:Workings!C65</t>
        </is>
      </c>
      <c r="B2884" s="4" t="inlineStr">
        <is>
          <t>Workings</t>
        </is>
      </c>
      <c r="C2884" s="4" t="inlineStr">
        <is>
          <t>C65</t>
        </is>
      </c>
      <c r="D2884" s="4" t="inlineStr">
        <is>
          <t>=IF('Inputs (1)'!$B$51&gt;0,C63/'Inputs (1)'!$B$51,0)</t>
        </is>
      </c>
      <c r="E2884" s="4" t="n">
        <v>20745</v>
      </c>
      <c r="F2884" s="4" t="inlineStr">
        <is>
          <t>GOC Bed Unit-Costing Model v2 — working original.xlsx</t>
        </is>
      </c>
    </row>
    <row r="2885" ht="40" customHeight="1">
      <c r="A2885" s="4" t="inlineStr">
        <is>
          <t>original:Workings!D65</t>
        </is>
      </c>
      <c r="B2885" s="4" t="inlineStr">
        <is>
          <t>Workings</t>
        </is>
      </c>
      <c r="C2885" s="4" t="inlineStr">
        <is>
          <t>D65</t>
        </is>
      </c>
      <c r="D2885" s="4" t="inlineStr">
        <is>
          <t>=IF('Inputs (1)'!$B$51&gt;0,D63/'Inputs (1)'!$B$51,0)</t>
        </is>
      </c>
      <c r="E2885" s="4" t="n">
        <v>20745</v>
      </c>
      <c r="F2885" s="4" t="inlineStr">
        <is>
          <t>GOC Bed Unit-Costing Model v2 — working original.xlsx</t>
        </is>
      </c>
    </row>
    <row r="2886" ht="75" customHeight="1">
      <c r="A2886" s="4" t="inlineStr">
        <is>
          <t>original:Workings!F65</t>
        </is>
      </c>
      <c r="B2886" s="4" t="inlineStr">
        <is>
          <t>Workings</t>
        </is>
      </c>
      <c r="C2886" s="4" t="inlineStr">
        <is>
          <t>F65</t>
        </is>
      </c>
      <c r="D2886" s="4" t="inlineStr">
        <is>
          <t>Straight line over the life on Inputs B51. A full year is charged in the year of acquisition.</t>
        </is>
      </c>
      <c r="E2886" s="4" t="inlineStr">
        <is>
          <t>Straight line over the life on Inputs B51. A full year is charged in the year of acquisition.</t>
        </is>
      </c>
      <c r="F2886" s="4" t="inlineStr">
        <is>
          <t>GOC Bed Unit-Costing Model v2 — working original.xlsx</t>
        </is>
      </c>
    </row>
    <row r="2887" ht="40" customHeight="1">
      <c r="A2887" s="4" t="inlineStr">
        <is>
          <t>original:Workings!A66</t>
        </is>
      </c>
      <c r="B2887" s="4" t="inlineStr">
        <is>
          <t>Workings</t>
        </is>
      </c>
      <c r="C2887" s="4" t="inlineStr">
        <is>
          <t>A66</t>
        </is>
      </c>
      <c r="D2887" s="4" t="inlineStr">
        <is>
          <t>TOTAL DEPRECIATION</t>
        </is>
      </c>
      <c r="E2887" s="4" t="inlineStr">
        <is>
          <t>TOTAL DEPRECIATION</t>
        </is>
      </c>
      <c r="F2887" s="4" t="inlineStr">
        <is>
          <t>GOC Bed Unit-Costing Model v2 — working original.xlsx</t>
        </is>
      </c>
    </row>
    <row r="2888" ht="40" customHeight="1">
      <c r="A2888" s="4" t="inlineStr">
        <is>
          <t>original:Workings!B66</t>
        </is>
      </c>
      <c r="B2888" s="4" t="inlineStr">
        <is>
          <t>Workings</t>
        </is>
      </c>
      <c r="C2888" s="4" t="inlineStr">
        <is>
          <t>B66</t>
        </is>
      </c>
      <c r="D2888" s="4" t="inlineStr">
        <is>
          <t>=B64+B65</t>
        </is>
      </c>
      <c r="E2888" s="4" t="n">
        <v>31749.6</v>
      </c>
      <c r="F2888" s="4" t="inlineStr">
        <is>
          <t>GOC Bed Unit-Costing Model v2 — working original.xlsx</t>
        </is>
      </c>
    </row>
    <row r="2889" ht="40" customHeight="1">
      <c r="A2889" s="4" t="inlineStr">
        <is>
          <t>original:Workings!C66</t>
        </is>
      </c>
      <c r="B2889" s="4" t="inlineStr">
        <is>
          <t>Workings</t>
        </is>
      </c>
      <c r="C2889" s="4" t="inlineStr">
        <is>
          <t>C66</t>
        </is>
      </c>
      <c r="D2889" s="4" t="inlineStr">
        <is>
          <t>=C64+C65</t>
        </is>
      </c>
      <c r="E2889" s="4" t="n">
        <v>31749.6</v>
      </c>
      <c r="F2889" s="4" t="inlineStr">
        <is>
          <t>GOC Bed Unit-Costing Model v2 — working original.xlsx</t>
        </is>
      </c>
    </row>
    <row r="2890" ht="40" customHeight="1">
      <c r="A2890" s="4" t="inlineStr">
        <is>
          <t>original:Workings!D66</t>
        </is>
      </c>
      <c r="B2890" s="4" t="inlineStr">
        <is>
          <t>Workings</t>
        </is>
      </c>
      <c r="C2890" s="4" t="inlineStr">
        <is>
          <t>D66</t>
        </is>
      </c>
      <c r="D2890" s="4" t="inlineStr">
        <is>
          <t>=D64+D65</t>
        </is>
      </c>
      <c r="E2890" s="4" t="n">
        <v>31749.6</v>
      </c>
      <c r="F2890" s="4" t="inlineStr">
        <is>
          <t>GOC Bed Unit-Costing Model v2 — working original.xlsx</t>
        </is>
      </c>
    </row>
    <row r="2891" ht="40" customHeight="1">
      <c r="A2891" s="4" t="inlineStr">
        <is>
          <t>original:Workings!A67</t>
        </is>
      </c>
      <c r="B2891" s="4" t="inlineStr">
        <is>
          <t>Workings</t>
        </is>
      </c>
      <c r="C2891" s="4" t="inlineStr">
        <is>
          <t>A67</t>
        </is>
      </c>
      <c r="D2891" s="4" t="inlineStr">
        <is>
          <t>Accumulated depreciation</t>
        </is>
      </c>
      <c r="E2891" s="4" t="inlineStr">
        <is>
          <t>Accumulated depreciation</t>
        </is>
      </c>
      <c r="F2891" s="4" t="inlineStr">
        <is>
          <t>GOC Bed Unit-Costing Model v2 — working original.xlsx</t>
        </is>
      </c>
    </row>
    <row r="2892" ht="40" customHeight="1">
      <c r="A2892" s="4" t="inlineStr">
        <is>
          <t>original:Workings!B67</t>
        </is>
      </c>
      <c r="B2892" s="4" t="inlineStr">
        <is>
          <t>Workings</t>
        </is>
      </c>
      <c r="C2892" s="4" t="inlineStr">
        <is>
          <t>B67</t>
        </is>
      </c>
      <c r="D2892" s="4" t="inlineStr">
        <is>
          <t>=B66</t>
        </is>
      </c>
      <c r="E2892" s="4" t="n">
        <v>31749.6</v>
      </c>
      <c r="F2892" s="4" t="inlineStr">
        <is>
          <t>GOC Bed Unit-Costing Model v2 — working original.xlsx</t>
        </is>
      </c>
    </row>
    <row r="2893" ht="40" customHeight="1">
      <c r="A2893" s="4" t="inlineStr">
        <is>
          <t>original:Workings!C67</t>
        </is>
      </c>
      <c r="B2893" s="4" t="inlineStr">
        <is>
          <t>Workings</t>
        </is>
      </c>
      <c r="C2893" s="4" t="inlineStr">
        <is>
          <t>C67</t>
        </is>
      </c>
      <c r="D2893" s="4" t="inlineStr">
        <is>
          <t>=B67+C66</t>
        </is>
      </c>
      <c r="E2893" s="4" t="n">
        <v>63499.2</v>
      </c>
      <c r="F2893" s="4" t="inlineStr">
        <is>
          <t>GOC Bed Unit-Costing Model v2 — working original.xlsx</t>
        </is>
      </c>
    </row>
    <row r="2894" ht="40" customHeight="1">
      <c r="A2894" s="4" t="inlineStr">
        <is>
          <t>original:Workings!D67</t>
        </is>
      </c>
      <c r="B2894" s="4" t="inlineStr">
        <is>
          <t>Workings</t>
        </is>
      </c>
      <c r="C2894" s="4" t="inlineStr">
        <is>
          <t>D67</t>
        </is>
      </c>
      <c r="D2894" s="4" t="inlineStr">
        <is>
          <t>=C67+D66</t>
        </is>
      </c>
      <c r="E2894" s="4" t="n">
        <v>95248.8</v>
      </c>
      <c r="F2894" s="4" t="inlineStr">
        <is>
          <t>GOC Bed Unit-Costing Model v2 — working original.xlsx</t>
        </is>
      </c>
    </row>
    <row r="2895" ht="40" customHeight="1">
      <c r="A2895" s="4" t="inlineStr">
        <is>
          <t>original:Workings!A68</t>
        </is>
      </c>
      <c r="B2895" s="4" t="inlineStr">
        <is>
          <t>Workings</t>
        </is>
      </c>
      <c r="C2895" s="4" t="inlineStr">
        <is>
          <t>A68</t>
        </is>
      </c>
      <c r="D2895" s="4" t="inlineStr">
        <is>
          <t>PP&amp;E, net closing</t>
        </is>
      </c>
      <c r="E2895" s="4" t="inlineStr">
        <is>
          <t>PP&amp;E, net closing</t>
        </is>
      </c>
      <c r="F2895" s="4" t="inlineStr">
        <is>
          <t>GOC Bed Unit-Costing Model v2 — working original.xlsx</t>
        </is>
      </c>
    </row>
    <row r="2896" ht="40" customHeight="1">
      <c r="A2896" s="4" t="inlineStr">
        <is>
          <t>original:Workings!B68</t>
        </is>
      </c>
      <c r="B2896" s="4" t="inlineStr">
        <is>
          <t>Workings</t>
        </is>
      </c>
      <c r="C2896" s="4" t="inlineStr">
        <is>
          <t>B68</t>
        </is>
      </c>
      <c r="D2896" s="4" t="inlineStr">
        <is>
          <t>='Inputs (1)'!$B$5+B63-B67</t>
        </is>
      </c>
      <c r="E2896" s="4" t="n">
        <v>285746.4</v>
      </c>
      <c r="F2896" s="4" t="inlineStr">
        <is>
          <t>GOC Bed Unit-Costing Model v2 — working original.xlsx</t>
        </is>
      </c>
    </row>
    <row r="2897" ht="40" customHeight="1">
      <c r="A2897" s="4" t="inlineStr">
        <is>
          <t>original:Workings!C68</t>
        </is>
      </c>
      <c r="B2897" s="4" t="inlineStr">
        <is>
          <t>Workings</t>
        </is>
      </c>
      <c r="C2897" s="4" t="inlineStr">
        <is>
          <t>C68</t>
        </is>
      </c>
      <c r="D2897" s="4" t="inlineStr">
        <is>
          <t>='Inputs (1)'!$B$5+C63-C67</t>
        </is>
      </c>
      <c r="E2897" s="4" t="n">
        <v>253996.8</v>
      </c>
      <c r="F2897" s="4" t="inlineStr">
        <is>
          <t>GOC Bed Unit-Costing Model v2 — working original.xlsx</t>
        </is>
      </c>
    </row>
    <row r="2898" ht="40" customHeight="1">
      <c r="A2898" s="4" t="inlineStr">
        <is>
          <t>original:Workings!D68</t>
        </is>
      </c>
      <c r="B2898" s="4" t="inlineStr">
        <is>
          <t>Workings</t>
        </is>
      </c>
      <c r="C2898" s="4" t="inlineStr">
        <is>
          <t>D68</t>
        </is>
      </c>
      <c r="D2898" s="4" t="inlineStr">
        <is>
          <t>='Inputs (1)'!$B$5+D63-D67</t>
        </is>
      </c>
      <c r="E2898" s="4" t="n">
        <v>222247.2</v>
      </c>
      <c r="F2898" s="4" t="inlineStr">
        <is>
          <t>GOC Bed Unit-Costing Model v2 — working original.xlsx</t>
        </is>
      </c>
    </row>
    <row r="2899" ht="40" customHeight="1">
      <c r="A2899" s="4" t="inlineStr">
        <is>
          <t>original:Workings!A70</t>
        </is>
      </c>
      <c r="B2899" s="4" t="inlineStr">
        <is>
          <t>Workings</t>
        </is>
      </c>
      <c r="C2899" s="4" t="inlineStr">
        <is>
          <t>A70</t>
        </is>
      </c>
      <c r="D2899" s="4" t="inlineStr">
        <is>
          <t>REPAYABLE CAPITAL</t>
        </is>
      </c>
      <c r="E2899" s="4" t="inlineStr">
        <is>
          <t>REPAYABLE CAPITAL</t>
        </is>
      </c>
      <c r="F2899" s="4" t="inlineStr">
        <is>
          <t>GOC Bed Unit-Costing Model v2 — working original.xlsx</t>
        </is>
      </c>
    </row>
    <row r="2900" ht="40" customHeight="1">
      <c r="A2900" s="4" t="inlineStr">
        <is>
          <t>original:Workings!A71</t>
        </is>
      </c>
      <c r="B2900" s="4" t="inlineStr">
        <is>
          <t>Workings</t>
        </is>
      </c>
      <c r="C2900" s="4" t="inlineStr">
        <is>
          <t>A71</t>
        </is>
      </c>
      <c r="D2900" s="4" t="inlineStr">
        <is>
          <t>Source 1: opening balance</t>
        </is>
      </c>
      <c r="E2900" s="4" t="inlineStr">
        <is>
          <t>Source 1: opening balance</t>
        </is>
      </c>
      <c r="F2900" s="4" t="inlineStr">
        <is>
          <t>GOC Bed Unit-Costing Model v2 — working original.xlsx</t>
        </is>
      </c>
    </row>
    <row r="2901" ht="40" customHeight="1">
      <c r="A2901" s="4" t="inlineStr">
        <is>
          <t>original:Workings!B71</t>
        </is>
      </c>
      <c r="B2901" s="4" t="inlineStr">
        <is>
          <t>Workings</t>
        </is>
      </c>
      <c r="C2901" s="4" t="inlineStr">
        <is>
          <t>B71</t>
        </is>
      </c>
      <c r="D2901" s="4" t="n">
        <v>0</v>
      </c>
      <c r="E2901" s="4" t="n">
        <v>0</v>
      </c>
      <c r="F2901" s="4" t="inlineStr">
        <is>
          <t>GOC Bed Unit-Costing Model v2 — working original.xlsx</t>
        </is>
      </c>
    </row>
    <row r="2902" ht="40" customHeight="1">
      <c r="A2902" s="4" t="inlineStr">
        <is>
          <t>original:Workings!C71</t>
        </is>
      </c>
      <c r="B2902" s="4" t="inlineStr">
        <is>
          <t>Workings</t>
        </is>
      </c>
      <c r="C2902" s="4" t="inlineStr">
        <is>
          <t>C71</t>
        </is>
      </c>
      <c r="D2902" s="4" t="inlineStr">
        <is>
          <t>=B75</t>
        </is>
      </c>
      <c r="E2902" s="4" t="n">
        <v>0</v>
      </c>
      <c r="F2902" s="4" t="inlineStr">
        <is>
          <t>GOC Bed Unit-Costing Model v2 — working original.xlsx</t>
        </is>
      </c>
    </row>
    <row r="2903" ht="40" customHeight="1">
      <c r="A2903" s="4" t="inlineStr">
        <is>
          <t>original:Workings!D71</t>
        </is>
      </c>
      <c r="B2903" s="4" t="inlineStr">
        <is>
          <t>Workings</t>
        </is>
      </c>
      <c r="C2903" s="4" t="inlineStr">
        <is>
          <t>D71</t>
        </is>
      </c>
      <c r="D2903" s="4" t="inlineStr">
        <is>
          <t>=C75</t>
        </is>
      </c>
      <c r="E2903" s="4" t="n">
        <v>0</v>
      </c>
      <c r="F2903" s="4" t="inlineStr">
        <is>
          <t>GOC Bed Unit-Costing Model v2 — working original.xlsx</t>
        </is>
      </c>
    </row>
    <row r="2904" ht="40" customHeight="1">
      <c r="A2904" s="4" t="inlineStr">
        <is>
          <t>original:Workings!A72</t>
        </is>
      </c>
      <c r="B2904" s="4" t="inlineStr">
        <is>
          <t>Workings</t>
        </is>
      </c>
      <c r="C2904" s="4" t="inlineStr">
        <is>
          <t>A72</t>
        </is>
      </c>
      <c r="D2904" s="4" t="inlineStr">
        <is>
          <t>Source 1: drawn this year</t>
        </is>
      </c>
      <c r="E2904" s="4" t="inlineStr">
        <is>
          <t>Source 1: drawn this year</t>
        </is>
      </c>
      <c r="F2904" s="4" t="inlineStr">
        <is>
          <t>GOC Bed Unit-Costing Model v2 — working original.xlsx</t>
        </is>
      </c>
    </row>
    <row r="2905" ht="40" customHeight="1">
      <c r="A2905" s="4" t="inlineStr">
        <is>
          <t>original:Workings!B72</t>
        </is>
      </c>
      <c r="B2905" s="4" t="inlineStr">
        <is>
          <t>Workings</t>
        </is>
      </c>
      <c r="C2905" s="4" t="inlineStr">
        <is>
          <t>B72</t>
        </is>
      </c>
      <c r="D2905" s="4" t="inlineStr">
        <is>
          <t>='Inputs (1)'!G38</t>
        </is>
      </c>
      <c r="E2905" s="4" t="n">
        <v>0</v>
      </c>
      <c r="F2905" s="4" t="inlineStr">
        <is>
          <t>GOC Bed Unit-Costing Model v2 — working original.xlsx</t>
        </is>
      </c>
    </row>
    <row r="2906" ht="40" customHeight="1">
      <c r="A2906" s="4" t="inlineStr">
        <is>
          <t>original:Workings!C72</t>
        </is>
      </c>
      <c r="B2906" s="4" t="inlineStr">
        <is>
          <t>Workings</t>
        </is>
      </c>
      <c r="C2906" s="4" t="inlineStr">
        <is>
          <t>C72</t>
        </is>
      </c>
      <c r="D2906" s="4" t="inlineStr">
        <is>
          <t>='Inputs (1)'!H38</t>
        </is>
      </c>
      <c r="E2906" s="4" t="n">
        <v>0</v>
      </c>
      <c r="F2906" s="4" t="inlineStr">
        <is>
          <t>GOC Bed Unit-Costing Model v2 — working original.xlsx</t>
        </is>
      </c>
    </row>
    <row r="2907" ht="40" customHeight="1">
      <c r="A2907" s="4" t="inlineStr">
        <is>
          <t>original:Workings!D72</t>
        </is>
      </c>
      <c r="B2907" s="4" t="inlineStr">
        <is>
          <t>Workings</t>
        </is>
      </c>
      <c r="C2907" s="4" t="inlineStr">
        <is>
          <t>D72</t>
        </is>
      </c>
      <c r="D2907" s="4" t="inlineStr">
        <is>
          <t>='Inputs (1)'!I38</t>
        </is>
      </c>
      <c r="E2907" s="4" t="n">
        <v>0</v>
      </c>
      <c r="F2907" s="4" t="inlineStr">
        <is>
          <t>GOC Bed Unit-Costing Model v2 — working original.xlsx</t>
        </is>
      </c>
    </row>
    <row r="2908" ht="40" customHeight="1">
      <c r="A2908" s="4" t="inlineStr">
        <is>
          <t>original:Workings!A73</t>
        </is>
      </c>
      <c r="B2908" s="4" t="inlineStr">
        <is>
          <t>Workings</t>
        </is>
      </c>
      <c r="C2908" s="4" t="inlineStr">
        <is>
          <t>A73</t>
        </is>
      </c>
      <c r="D2908" s="4" t="inlineStr">
        <is>
          <t>Source 1: cumulative drawn</t>
        </is>
      </c>
      <c r="E2908" s="4" t="inlineStr">
        <is>
          <t>Source 1: cumulative drawn</t>
        </is>
      </c>
      <c r="F2908" s="4" t="inlineStr">
        <is>
          <t>GOC Bed Unit-Costing Model v2 — working original.xlsx</t>
        </is>
      </c>
    </row>
    <row r="2909" ht="40" customHeight="1">
      <c r="A2909" s="4" t="inlineStr">
        <is>
          <t>original:Workings!B73</t>
        </is>
      </c>
      <c r="B2909" s="4" t="inlineStr">
        <is>
          <t>Workings</t>
        </is>
      </c>
      <c r="C2909" s="4" t="inlineStr">
        <is>
          <t>B73</t>
        </is>
      </c>
      <c r="D2909" s="4" t="inlineStr">
        <is>
          <t>=B72</t>
        </is>
      </c>
      <c r="E2909" s="4" t="n">
        <v>0</v>
      </c>
      <c r="F2909" s="4" t="inlineStr">
        <is>
          <t>GOC Bed Unit-Costing Model v2 — working original.xlsx</t>
        </is>
      </c>
    </row>
    <row r="2910" ht="40" customHeight="1">
      <c r="A2910" s="4" t="inlineStr">
        <is>
          <t>original:Workings!C73</t>
        </is>
      </c>
      <c r="B2910" s="4" t="inlineStr">
        <is>
          <t>Workings</t>
        </is>
      </c>
      <c r="C2910" s="4" t="inlineStr">
        <is>
          <t>C73</t>
        </is>
      </c>
      <c r="D2910" s="4" t="inlineStr">
        <is>
          <t>=B73+C72</t>
        </is>
      </c>
      <c r="E2910" s="4" t="n">
        <v>0</v>
      </c>
      <c r="F2910" s="4" t="inlineStr">
        <is>
          <t>GOC Bed Unit-Costing Model v2 — working original.xlsx</t>
        </is>
      </c>
    </row>
    <row r="2911" ht="40" customHeight="1">
      <c r="A2911" s="4" t="inlineStr">
        <is>
          <t>original:Workings!D73</t>
        </is>
      </c>
      <c r="B2911" s="4" t="inlineStr">
        <is>
          <t>Workings</t>
        </is>
      </c>
      <c r="C2911" s="4" t="inlineStr">
        <is>
          <t>D73</t>
        </is>
      </c>
      <c r="D2911" s="4" t="inlineStr">
        <is>
          <t>=C73+D72</t>
        </is>
      </c>
      <c r="E2911" s="4" t="n">
        <v>0</v>
      </c>
      <c r="F2911" s="4" t="inlineStr">
        <is>
          <t>GOC Bed Unit-Costing Model v2 — working original.xlsx</t>
        </is>
      </c>
    </row>
    <row r="2912" ht="40" customHeight="1">
      <c r="A2912" s="4" t="inlineStr">
        <is>
          <t>original:Workings!A74</t>
        </is>
      </c>
      <c r="B2912" s="4" t="inlineStr">
        <is>
          <t>Workings</t>
        </is>
      </c>
      <c r="C2912" s="4" t="inlineStr">
        <is>
          <t>A74</t>
        </is>
      </c>
      <c r="D2912" s="4" t="inlineStr">
        <is>
          <t>Source 1: principal repaid</t>
        </is>
      </c>
      <c r="E2912" s="4" t="inlineStr">
        <is>
          <t>Source 1: principal repaid</t>
        </is>
      </c>
      <c r="F2912" s="4" t="inlineStr">
        <is>
          <t>GOC Bed Unit-Costing Model v2 — working original.xlsx</t>
        </is>
      </c>
    </row>
    <row r="2913" ht="40" customHeight="1">
      <c r="A2913" s="4" t="inlineStr">
        <is>
          <t>original:Workings!B74</t>
        </is>
      </c>
      <c r="B2913" s="4" t="inlineStr">
        <is>
          <t>Workings</t>
        </is>
      </c>
      <c r="C2913" s="4" t="inlineStr">
        <is>
          <t>B74</t>
        </is>
      </c>
      <c r="D2913" s="4" t="inlineStr">
        <is>
          <t>=IF(AND('Inputs (1)'!$H$45&gt;0,B$3&gt;='Inputs (1)'!$I$45),MIN(B71+B72,B73/'Inputs (1)'!$H$45),0)</t>
        </is>
      </c>
      <c r="E2913" s="4" t="n">
        <v>0</v>
      </c>
      <c r="F2913" s="4" t="inlineStr">
        <is>
          <t>GOC Bed Unit-Costing Model v2 — working original.xlsx</t>
        </is>
      </c>
    </row>
    <row r="2914" ht="40" customHeight="1">
      <c r="A2914" s="4" t="inlineStr">
        <is>
          <t>original:Workings!C74</t>
        </is>
      </c>
      <c r="B2914" s="4" t="inlineStr">
        <is>
          <t>Workings</t>
        </is>
      </c>
      <c r="C2914" s="4" t="inlineStr">
        <is>
          <t>C74</t>
        </is>
      </c>
      <c r="D2914" s="4" t="inlineStr">
        <is>
          <t>=IF(AND('Inputs (1)'!$H$45&gt;0,C$3&gt;='Inputs (1)'!$I$45),MIN(C71+C72,C73/'Inputs (1)'!$H$45),0)</t>
        </is>
      </c>
      <c r="E2914" s="4" t="n">
        <v>0</v>
      </c>
      <c r="F2914" s="4" t="inlineStr">
        <is>
          <t>GOC Bed Unit-Costing Model v2 — working original.xlsx</t>
        </is>
      </c>
    </row>
    <row r="2915" ht="40" customHeight="1">
      <c r="A2915" s="4" t="inlineStr">
        <is>
          <t>original:Workings!D74</t>
        </is>
      </c>
      <c r="B2915" s="4" t="inlineStr">
        <is>
          <t>Workings</t>
        </is>
      </c>
      <c r="C2915" s="4" t="inlineStr">
        <is>
          <t>D74</t>
        </is>
      </c>
      <c r="D2915" s="4" t="inlineStr">
        <is>
          <t>=IF(AND('Inputs (1)'!$H$45&gt;0,D$3&gt;='Inputs (1)'!$I$45),MIN(D71+D72,D73/'Inputs (1)'!$H$45),0)</t>
        </is>
      </c>
      <c r="E2915" s="4" t="n">
        <v>0</v>
      </c>
      <c r="F2915" s="4" t="inlineStr">
        <is>
          <t>GOC Bed Unit-Costing Model v2 — working original.xlsx</t>
        </is>
      </c>
    </row>
    <row r="2916" ht="40" customHeight="1">
      <c r="A2916" s="4" t="inlineStr">
        <is>
          <t>original:Workings!A75</t>
        </is>
      </c>
      <c r="B2916" s="4" t="inlineStr">
        <is>
          <t>Workings</t>
        </is>
      </c>
      <c r="C2916" s="4" t="inlineStr">
        <is>
          <t>A75</t>
        </is>
      </c>
      <c r="D2916" s="4" t="inlineStr">
        <is>
          <t>Source 1: closing balance</t>
        </is>
      </c>
      <c r="E2916" s="4" t="inlineStr">
        <is>
          <t>Source 1: closing balance</t>
        </is>
      </c>
      <c r="F2916" s="4" t="inlineStr">
        <is>
          <t>GOC Bed Unit-Costing Model v2 — working original.xlsx</t>
        </is>
      </c>
    </row>
    <row r="2917" ht="40" customHeight="1">
      <c r="A2917" s="4" t="inlineStr">
        <is>
          <t>original:Workings!B75</t>
        </is>
      </c>
      <c r="B2917" s="4" t="inlineStr">
        <is>
          <t>Workings</t>
        </is>
      </c>
      <c r="C2917" s="4" t="inlineStr">
        <is>
          <t>B75</t>
        </is>
      </c>
      <c r="D2917" s="4" t="inlineStr">
        <is>
          <t>=B71+B72-B74</t>
        </is>
      </c>
      <c r="E2917" s="4" t="n">
        <v>0</v>
      </c>
      <c r="F2917" s="4" t="inlineStr">
        <is>
          <t>GOC Bed Unit-Costing Model v2 — working original.xlsx</t>
        </is>
      </c>
    </row>
    <row r="2918" ht="40" customHeight="1">
      <c r="A2918" s="4" t="inlineStr">
        <is>
          <t>original:Workings!C75</t>
        </is>
      </c>
      <c r="B2918" s="4" t="inlineStr">
        <is>
          <t>Workings</t>
        </is>
      </c>
      <c r="C2918" s="4" t="inlineStr">
        <is>
          <t>C75</t>
        </is>
      </c>
      <c r="D2918" s="4" t="inlineStr">
        <is>
          <t>=C71+C72-C74</t>
        </is>
      </c>
      <c r="E2918" s="4" t="n">
        <v>0</v>
      </c>
      <c r="F2918" s="4" t="inlineStr">
        <is>
          <t>GOC Bed Unit-Costing Model v2 — working original.xlsx</t>
        </is>
      </c>
    </row>
    <row r="2919" ht="40" customHeight="1">
      <c r="A2919" s="4" t="inlineStr">
        <is>
          <t>original:Workings!D75</t>
        </is>
      </c>
      <c r="B2919" s="4" t="inlineStr">
        <is>
          <t>Workings</t>
        </is>
      </c>
      <c r="C2919" s="4" t="inlineStr">
        <is>
          <t>D75</t>
        </is>
      </c>
      <c r="D2919" s="4" t="inlineStr">
        <is>
          <t>=D71+D72-D74</t>
        </is>
      </c>
      <c r="E2919" s="4" t="n">
        <v>0</v>
      </c>
      <c r="F2919" s="4" t="inlineStr">
        <is>
          <t>GOC Bed Unit-Costing Model v2 — working original.xlsx</t>
        </is>
      </c>
    </row>
    <row r="2920" ht="40" customHeight="1">
      <c r="A2920" s="4" t="inlineStr">
        <is>
          <t>original:Workings!A76</t>
        </is>
      </c>
      <c r="B2920" s="4" t="inlineStr">
        <is>
          <t>Workings</t>
        </is>
      </c>
      <c r="C2920" s="4" t="inlineStr">
        <is>
          <t>A76</t>
        </is>
      </c>
      <c r="D2920" s="4" t="inlineStr">
        <is>
          <t>Source 1: interest</t>
        </is>
      </c>
      <c r="E2920" s="4" t="inlineStr">
        <is>
          <t>Source 1: interest</t>
        </is>
      </c>
      <c r="F2920" s="4" t="inlineStr">
        <is>
          <t>GOC Bed Unit-Costing Model v2 — working original.xlsx</t>
        </is>
      </c>
    </row>
    <row r="2921" ht="40" customHeight="1">
      <c r="A2921" s="4" t="inlineStr">
        <is>
          <t>original:Workings!B76</t>
        </is>
      </c>
      <c r="B2921" s="4" t="inlineStr">
        <is>
          <t>Workings</t>
        </is>
      </c>
      <c r="C2921" s="4" t="inlineStr">
        <is>
          <t>B76</t>
        </is>
      </c>
      <c r="D2921" s="4" t="inlineStr">
        <is>
          <t>=(B71+B72)*'Inputs (1)'!$G$45</t>
        </is>
      </c>
      <c r="E2921" s="4" t="n">
        <v>0</v>
      </c>
      <c r="F2921" s="4" t="inlineStr">
        <is>
          <t>GOC Bed Unit-Costing Model v2 — working original.xlsx</t>
        </is>
      </c>
    </row>
    <row r="2922" ht="40" customHeight="1">
      <c r="A2922" s="4" t="inlineStr">
        <is>
          <t>original:Workings!C76</t>
        </is>
      </c>
      <c r="B2922" s="4" t="inlineStr">
        <is>
          <t>Workings</t>
        </is>
      </c>
      <c r="C2922" s="4" t="inlineStr">
        <is>
          <t>C76</t>
        </is>
      </c>
      <c r="D2922" s="4" t="inlineStr">
        <is>
          <t>=(C71+C72)*'Inputs (1)'!$G$45</t>
        </is>
      </c>
      <c r="E2922" s="4" t="n">
        <v>0</v>
      </c>
      <c r="F2922" s="4" t="inlineStr">
        <is>
          <t>GOC Bed Unit-Costing Model v2 — working original.xlsx</t>
        </is>
      </c>
    </row>
    <row r="2923" ht="40" customHeight="1">
      <c r="A2923" s="4" t="inlineStr">
        <is>
          <t>original:Workings!D76</t>
        </is>
      </c>
      <c r="B2923" s="4" t="inlineStr">
        <is>
          <t>Workings</t>
        </is>
      </c>
      <c r="C2923" s="4" t="inlineStr">
        <is>
          <t>D76</t>
        </is>
      </c>
      <c r="D2923" s="4" t="inlineStr">
        <is>
          <t>=(D71+D72)*'Inputs (1)'!$G$45</t>
        </is>
      </c>
      <c r="E2923" s="4" t="n">
        <v>0</v>
      </c>
      <c r="F2923" s="4" t="inlineStr">
        <is>
          <t>GOC Bed Unit-Costing Model v2 — working original.xlsx</t>
        </is>
      </c>
    </row>
    <row r="2924" ht="40" customHeight="1">
      <c r="A2924" s="4" t="inlineStr">
        <is>
          <t>original:Workings!A77</t>
        </is>
      </c>
      <c r="B2924" s="4" t="inlineStr">
        <is>
          <t>Workings</t>
        </is>
      </c>
      <c r="C2924" s="4" t="inlineStr">
        <is>
          <t>A77</t>
        </is>
      </c>
      <c r="D2924" s="4" t="inlineStr">
        <is>
          <t>Source 2: opening balance</t>
        </is>
      </c>
      <c r="E2924" s="4" t="inlineStr">
        <is>
          <t>Source 2: opening balance</t>
        </is>
      </c>
      <c r="F2924" s="4" t="inlineStr">
        <is>
          <t>GOC Bed Unit-Costing Model v2 — working original.xlsx</t>
        </is>
      </c>
    </row>
    <row r="2925" ht="40" customHeight="1">
      <c r="A2925" s="4" t="inlineStr">
        <is>
          <t>original:Workings!B77</t>
        </is>
      </c>
      <c r="B2925" s="4" t="inlineStr">
        <is>
          <t>Workings</t>
        </is>
      </c>
      <c r="C2925" s="4" t="inlineStr">
        <is>
          <t>B77</t>
        </is>
      </c>
      <c r="D2925" s="4" t="n">
        <v>0</v>
      </c>
      <c r="E2925" s="4" t="n">
        <v>0</v>
      </c>
      <c r="F2925" s="4" t="inlineStr">
        <is>
          <t>GOC Bed Unit-Costing Model v2 — working original.xlsx</t>
        </is>
      </c>
    </row>
    <row r="2926" ht="40" customHeight="1">
      <c r="A2926" s="4" t="inlineStr">
        <is>
          <t>original:Workings!C77</t>
        </is>
      </c>
      <c r="B2926" s="4" t="inlineStr">
        <is>
          <t>Workings</t>
        </is>
      </c>
      <c r="C2926" s="4" t="inlineStr">
        <is>
          <t>C77</t>
        </is>
      </c>
      <c r="D2926" s="4" t="inlineStr">
        <is>
          <t>=B81</t>
        </is>
      </c>
      <c r="E2926" s="4" t="n">
        <v>0</v>
      </c>
      <c r="F2926" s="4" t="inlineStr">
        <is>
          <t>GOC Bed Unit-Costing Model v2 — working original.xlsx</t>
        </is>
      </c>
    </row>
    <row r="2927" ht="40" customHeight="1">
      <c r="A2927" s="4" t="inlineStr">
        <is>
          <t>original:Workings!D77</t>
        </is>
      </c>
      <c r="B2927" s="4" t="inlineStr">
        <is>
          <t>Workings</t>
        </is>
      </c>
      <c r="C2927" s="4" t="inlineStr">
        <is>
          <t>D77</t>
        </is>
      </c>
      <c r="D2927" s="4" t="inlineStr">
        <is>
          <t>=C81</t>
        </is>
      </c>
      <c r="E2927" s="4" t="n">
        <v>0</v>
      </c>
      <c r="F2927" s="4" t="inlineStr">
        <is>
          <t>GOC Bed Unit-Costing Model v2 — working original.xlsx</t>
        </is>
      </c>
    </row>
    <row r="2928" ht="40" customHeight="1">
      <c r="A2928" s="4" t="inlineStr">
        <is>
          <t>original:Workings!A78</t>
        </is>
      </c>
      <c r="B2928" s="4" t="inlineStr">
        <is>
          <t>Workings</t>
        </is>
      </c>
      <c r="C2928" s="4" t="inlineStr">
        <is>
          <t>A78</t>
        </is>
      </c>
      <c r="D2928" s="4" t="inlineStr">
        <is>
          <t>Source 2: drawn this year</t>
        </is>
      </c>
      <c r="E2928" s="4" t="inlineStr">
        <is>
          <t>Source 2: drawn this year</t>
        </is>
      </c>
      <c r="F2928" s="4" t="inlineStr">
        <is>
          <t>GOC Bed Unit-Costing Model v2 — working original.xlsx</t>
        </is>
      </c>
    </row>
    <row r="2929" ht="40" customHeight="1">
      <c r="A2929" s="4" t="inlineStr">
        <is>
          <t>original:Workings!B78</t>
        </is>
      </c>
      <c r="B2929" s="4" t="inlineStr">
        <is>
          <t>Workings</t>
        </is>
      </c>
      <c r="C2929" s="4" t="inlineStr">
        <is>
          <t>B78</t>
        </is>
      </c>
      <c r="D2929" s="4" t="inlineStr">
        <is>
          <t>='Inputs (1)'!G39</t>
        </is>
      </c>
      <c r="E2929" s="4" t="n">
        <v>0</v>
      </c>
      <c r="F2929" s="4" t="inlineStr">
        <is>
          <t>GOC Bed Unit-Costing Model v2 — working original.xlsx</t>
        </is>
      </c>
    </row>
    <row r="2930" ht="40" customHeight="1">
      <c r="A2930" s="4" t="inlineStr">
        <is>
          <t>original:Workings!C78</t>
        </is>
      </c>
      <c r="B2930" s="4" t="inlineStr">
        <is>
          <t>Workings</t>
        </is>
      </c>
      <c r="C2930" s="4" t="inlineStr">
        <is>
          <t>C78</t>
        </is>
      </c>
      <c r="D2930" s="4" t="inlineStr">
        <is>
          <t>='Inputs (1)'!H39</t>
        </is>
      </c>
      <c r="E2930" s="4" t="n">
        <v>0</v>
      </c>
      <c r="F2930" s="4" t="inlineStr">
        <is>
          <t>GOC Bed Unit-Costing Model v2 — working original.xlsx</t>
        </is>
      </c>
    </row>
    <row r="2931" ht="40" customHeight="1">
      <c r="A2931" s="4" t="inlineStr">
        <is>
          <t>original:Workings!D78</t>
        </is>
      </c>
      <c r="B2931" s="4" t="inlineStr">
        <is>
          <t>Workings</t>
        </is>
      </c>
      <c r="C2931" s="4" t="inlineStr">
        <is>
          <t>D78</t>
        </is>
      </c>
      <c r="D2931" s="4" t="inlineStr">
        <is>
          <t>='Inputs (1)'!I39</t>
        </is>
      </c>
      <c r="E2931" s="4" t="n">
        <v>0</v>
      </c>
      <c r="F2931" s="4" t="inlineStr">
        <is>
          <t>GOC Bed Unit-Costing Model v2 — working original.xlsx</t>
        </is>
      </c>
    </row>
    <row r="2932" ht="40" customHeight="1">
      <c r="A2932" s="4" t="inlineStr">
        <is>
          <t>original:Workings!A79</t>
        </is>
      </c>
      <c r="B2932" s="4" t="inlineStr">
        <is>
          <t>Workings</t>
        </is>
      </c>
      <c r="C2932" s="4" t="inlineStr">
        <is>
          <t>A79</t>
        </is>
      </c>
      <c r="D2932" s="4" t="inlineStr">
        <is>
          <t>Source 2: cumulative drawn</t>
        </is>
      </c>
      <c r="E2932" s="4" t="inlineStr">
        <is>
          <t>Source 2: cumulative drawn</t>
        </is>
      </c>
      <c r="F2932" s="4" t="inlineStr">
        <is>
          <t>GOC Bed Unit-Costing Model v2 — working original.xlsx</t>
        </is>
      </c>
    </row>
    <row r="2933" ht="40" customHeight="1">
      <c r="A2933" s="4" t="inlineStr">
        <is>
          <t>original:Workings!B79</t>
        </is>
      </c>
      <c r="B2933" s="4" t="inlineStr">
        <is>
          <t>Workings</t>
        </is>
      </c>
      <c r="C2933" s="4" t="inlineStr">
        <is>
          <t>B79</t>
        </is>
      </c>
      <c r="D2933" s="4" t="inlineStr">
        <is>
          <t>=B78</t>
        </is>
      </c>
      <c r="E2933" s="4" t="n">
        <v>0</v>
      </c>
      <c r="F2933" s="4" t="inlineStr">
        <is>
          <t>GOC Bed Unit-Costing Model v2 — working original.xlsx</t>
        </is>
      </c>
    </row>
    <row r="2934" ht="40" customHeight="1">
      <c r="A2934" s="4" t="inlineStr">
        <is>
          <t>original:Workings!C79</t>
        </is>
      </c>
      <c r="B2934" s="4" t="inlineStr">
        <is>
          <t>Workings</t>
        </is>
      </c>
      <c r="C2934" s="4" t="inlineStr">
        <is>
          <t>C79</t>
        </is>
      </c>
      <c r="D2934" s="4" t="inlineStr">
        <is>
          <t>=B79+C78</t>
        </is>
      </c>
      <c r="E2934" s="4" t="n">
        <v>0</v>
      </c>
      <c r="F2934" s="4" t="inlineStr">
        <is>
          <t>GOC Bed Unit-Costing Model v2 — working original.xlsx</t>
        </is>
      </c>
    </row>
    <row r="2935" ht="40" customHeight="1">
      <c r="A2935" s="4" t="inlineStr">
        <is>
          <t>original:Workings!D79</t>
        </is>
      </c>
      <c r="B2935" s="4" t="inlineStr">
        <is>
          <t>Workings</t>
        </is>
      </c>
      <c r="C2935" s="4" t="inlineStr">
        <is>
          <t>D79</t>
        </is>
      </c>
      <c r="D2935" s="4" t="inlineStr">
        <is>
          <t>=C79+D78</t>
        </is>
      </c>
      <c r="E2935" s="4" t="n">
        <v>0</v>
      </c>
      <c r="F2935" s="4" t="inlineStr">
        <is>
          <t>GOC Bed Unit-Costing Model v2 — working original.xlsx</t>
        </is>
      </c>
    </row>
    <row r="2936" ht="40" customHeight="1">
      <c r="A2936" s="4" t="inlineStr">
        <is>
          <t>original:Workings!A80</t>
        </is>
      </c>
      <c r="B2936" s="4" t="inlineStr">
        <is>
          <t>Workings</t>
        </is>
      </c>
      <c r="C2936" s="4" t="inlineStr">
        <is>
          <t>A80</t>
        </is>
      </c>
      <c r="D2936" s="4" t="inlineStr">
        <is>
          <t>Source 2: principal repaid</t>
        </is>
      </c>
      <c r="E2936" s="4" t="inlineStr">
        <is>
          <t>Source 2: principal repaid</t>
        </is>
      </c>
      <c r="F2936" s="4" t="inlineStr">
        <is>
          <t>GOC Bed Unit-Costing Model v2 — working original.xlsx</t>
        </is>
      </c>
    </row>
    <row r="2937" ht="40" customHeight="1">
      <c r="A2937" s="4" t="inlineStr">
        <is>
          <t>original:Workings!B80</t>
        </is>
      </c>
      <c r="B2937" s="4" t="inlineStr">
        <is>
          <t>Workings</t>
        </is>
      </c>
      <c r="C2937" s="4" t="inlineStr">
        <is>
          <t>B80</t>
        </is>
      </c>
      <c r="D2937" s="4" t="inlineStr">
        <is>
          <t>=IF(AND('Inputs (1)'!$H$46&gt;0,B$3&gt;='Inputs (1)'!$I$46),MIN(B77+B78,B79/'Inputs (1)'!$H$46),0)</t>
        </is>
      </c>
      <c r="E2937" s="4" t="n">
        <v>0</v>
      </c>
      <c r="F2937" s="4" t="inlineStr">
        <is>
          <t>GOC Bed Unit-Costing Model v2 — working original.xlsx</t>
        </is>
      </c>
    </row>
    <row r="2938" ht="40" customHeight="1">
      <c r="A2938" s="4" t="inlineStr">
        <is>
          <t>original:Workings!C80</t>
        </is>
      </c>
      <c r="B2938" s="4" t="inlineStr">
        <is>
          <t>Workings</t>
        </is>
      </c>
      <c r="C2938" s="4" t="inlineStr">
        <is>
          <t>C80</t>
        </is>
      </c>
      <c r="D2938" s="4" t="inlineStr">
        <is>
          <t>=IF(AND('Inputs (1)'!$H$46&gt;0,C$3&gt;='Inputs (1)'!$I$46),MIN(C77+C78,C79/'Inputs (1)'!$H$46),0)</t>
        </is>
      </c>
      <c r="E2938" s="4" t="n">
        <v>0</v>
      </c>
      <c r="F2938" s="4" t="inlineStr">
        <is>
          <t>GOC Bed Unit-Costing Model v2 — working original.xlsx</t>
        </is>
      </c>
    </row>
    <row r="2939" ht="40" customHeight="1">
      <c r="A2939" s="4" t="inlineStr">
        <is>
          <t>original:Workings!D80</t>
        </is>
      </c>
      <c r="B2939" s="4" t="inlineStr">
        <is>
          <t>Workings</t>
        </is>
      </c>
      <c r="C2939" s="4" t="inlineStr">
        <is>
          <t>D80</t>
        </is>
      </c>
      <c r="D2939" s="4" t="inlineStr">
        <is>
          <t>=IF(AND('Inputs (1)'!$H$46&gt;0,D$3&gt;='Inputs (1)'!$I$46),MIN(D77+D78,D79/'Inputs (1)'!$H$46),0)</t>
        </is>
      </c>
      <c r="E2939" s="4" t="n">
        <v>0</v>
      </c>
      <c r="F2939" s="4" t="inlineStr">
        <is>
          <t>GOC Bed Unit-Costing Model v2 — working original.xlsx</t>
        </is>
      </c>
    </row>
    <row r="2940" ht="40" customHeight="1">
      <c r="A2940" s="4" t="inlineStr">
        <is>
          <t>original:Workings!A81</t>
        </is>
      </c>
      <c r="B2940" s="4" t="inlineStr">
        <is>
          <t>Workings</t>
        </is>
      </c>
      <c r="C2940" s="4" t="inlineStr">
        <is>
          <t>A81</t>
        </is>
      </c>
      <c r="D2940" s="4" t="inlineStr">
        <is>
          <t>Source 2: closing balance</t>
        </is>
      </c>
      <c r="E2940" s="4" t="inlineStr">
        <is>
          <t>Source 2: closing balance</t>
        </is>
      </c>
      <c r="F2940" s="4" t="inlineStr">
        <is>
          <t>GOC Bed Unit-Costing Model v2 — working original.xlsx</t>
        </is>
      </c>
    </row>
    <row r="2941" ht="40" customHeight="1">
      <c r="A2941" s="4" t="inlineStr">
        <is>
          <t>original:Workings!B81</t>
        </is>
      </c>
      <c r="B2941" s="4" t="inlineStr">
        <is>
          <t>Workings</t>
        </is>
      </c>
      <c r="C2941" s="4" t="inlineStr">
        <is>
          <t>B81</t>
        </is>
      </c>
      <c r="D2941" s="4" t="inlineStr">
        <is>
          <t>=B77+B78-B80</t>
        </is>
      </c>
      <c r="E2941" s="4" t="n">
        <v>0</v>
      </c>
      <c r="F2941" s="4" t="inlineStr">
        <is>
          <t>GOC Bed Unit-Costing Model v2 — working original.xlsx</t>
        </is>
      </c>
    </row>
    <row r="2942" ht="40" customHeight="1">
      <c r="A2942" s="4" t="inlineStr">
        <is>
          <t>original:Workings!C81</t>
        </is>
      </c>
      <c r="B2942" s="4" t="inlineStr">
        <is>
          <t>Workings</t>
        </is>
      </c>
      <c r="C2942" s="4" t="inlineStr">
        <is>
          <t>C81</t>
        </is>
      </c>
      <c r="D2942" s="4" t="inlineStr">
        <is>
          <t>=C77+C78-C80</t>
        </is>
      </c>
      <c r="E2942" s="4" t="n">
        <v>0</v>
      </c>
      <c r="F2942" s="4" t="inlineStr">
        <is>
          <t>GOC Bed Unit-Costing Model v2 — working original.xlsx</t>
        </is>
      </c>
    </row>
    <row r="2943" ht="40" customHeight="1">
      <c r="A2943" s="4" t="inlineStr">
        <is>
          <t>original:Workings!D81</t>
        </is>
      </c>
      <c r="B2943" s="4" t="inlineStr">
        <is>
          <t>Workings</t>
        </is>
      </c>
      <c r="C2943" s="4" t="inlineStr">
        <is>
          <t>D81</t>
        </is>
      </c>
      <c r="D2943" s="4" t="inlineStr">
        <is>
          <t>=D77+D78-D80</t>
        </is>
      </c>
      <c r="E2943" s="4" t="n">
        <v>0</v>
      </c>
      <c r="F2943" s="4" t="inlineStr">
        <is>
          <t>GOC Bed Unit-Costing Model v2 — working original.xlsx</t>
        </is>
      </c>
    </row>
    <row r="2944" ht="40" customHeight="1">
      <c r="A2944" s="4" t="inlineStr">
        <is>
          <t>original:Workings!A82</t>
        </is>
      </c>
      <c r="B2944" s="4" t="inlineStr">
        <is>
          <t>Workings</t>
        </is>
      </c>
      <c r="C2944" s="4" t="inlineStr">
        <is>
          <t>A82</t>
        </is>
      </c>
      <c r="D2944" s="4" t="inlineStr">
        <is>
          <t>Source 2: interest</t>
        </is>
      </c>
      <c r="E2944" s="4" t="inlineStr">
        <is>
          <t>Source 2: interest</t>
        </is>
      </c>
      <c r="F2944" s="4" t="inlineStr">
        <is>
          <t>GOC Bed Unit-Costing Model v2 — working original.xlsx</t>
        </is>
      </c>
    </row>
    <row r="2945" ht="40" customHeight="1">
      <c r="A2945" s="4" t="inlineStr">
        <is>
          <t>original:Workings!B82</t>
        </is>
      </c>
      <c r="B2945" s="4" t="inlineStr">
        <is>
          <t>Workings</t>
        </is>
      </c>
      <c r="C2945" s="4" t="inlineStr">
        <is>
          <t>B82</t>
        </is>
      </c>
      <c r="D2945" s="4" t="inlineStr">
        <is>
          <t>=(B77+B78)*'Inputs (1)'!$G$46</t>
        </is>
      </c>
      <c r="E2945" s="4" t="n">
        <v>0</v>
      </c>
      <c r="F2945" s="4" t="inlineStr">
        <is>
          <t>GOC Bed Unit-Costing Model v2 — working original.xlsx</t>
        </is>
      </c>
    </row>
    <row r="2946" ht="40" customHeight="1">
      <c r="A2946" s="4" t="inlineStr">
        <is>
          <t>original:Workings!C82</t>
        </is>
      </c>
      <c r="B2946" s="4" t="inlineStr">
        <is>
          <t>Workings</t>
        </is>
      </c>
      <c r="C2946" s="4" t="inlineStr">
        <is>
          <t>C82</t>
        </is>
      </c>
      <c r="D2946" s="4" t="inlineStr">
        <is>
          <t>=(C77+C78)*'Inputs (1)'!$G$46</t>
        </is>
      </c>
      <c r="E2946" s="4" t="n">
        <v>0</v>
      </c>
      <c r="F2946" s="4" t="inlineStr">
        <is>
          <t>GOC Bed Unit-Costing Model v2 — working original.xlsx</t>
        </is>
      </c>
    </row>
    <row r="2947" ht="40" customHeight="1">
      <c r="A2947" s="4" t="inlineStr">
        <is>
          <t>original:Workings!D82</t>
        </is>
      </c>
      <c r="B2947" s="4" t="inlineStr">
        <is>
          <t>Workings</t>
        </is>
      </c>
      <c r="C2947" s="4" t="inlineStr">
        <is>
          <t>D82</t>
        </is>
      </c>
      <c r="D2947" s="4" t="inlineStr">
        <is>
          <t>=(D77+D78)*'Inputs (1)'!$G$46</t>
        </is>
      </c>
      <c r="E2947" s="4" t="n">
        <v>0</v>
      </c>
      <c r="F2947" s="4" t="inlineStr">
        <is>
          <t>GOC Bed Unit-Costing Model v2 — working original.xlsx</t>
        </is>
      </c>
    </row>
    <row r="2948" ht="40" customHeight="1">
      <c r="A2948" s="4" t="inlineStr">
        <is>
          <t>original:Workings!A83</t>
        </is>
      </c>
      <c r="B2948" s="4" t="inlineStr">
        <is>
          <t>Workings</t>
        </is>
      </c>
      <c r="C2948" s="4" t="inlineStr">
        <is>
          <t>A83</t>
        </is>
      </c>
      <c r="D2948" s="4" t="inlineStr">
        <is>
          <t>Source 3: opening balance</t>
        </is>
      </c>
      <c r="E2948" s="4" t="inlineStr">
        <is>
          <t>Source 3: opening balance</t>
        </is>
      </c>
      <c r="F2948" s="4" t="inlineStr">
        <is>
          <t>GOC Bed Unit-Costing Model v2 — working original.xlsx</t>
        </is>
      </c>
    </row>
    <row r="2949" ht="40" customHeight="1">
      <c r="A2949" s="4" t="inlineStr">
        <is>
          <t>original:Workings!B83</t>
        </is>
      </c>
      <c r="B2949" s="4" t="inlineStr">
        <is>
          <t>Workings</t>
        </is>
      </c>
      <c r="C2949" s="4" t="inlineStr">
        <is>
          <t>B83</t>
        </is>
      </c>
      <c r="D2949" s="4" t="n">
        <v>0</v>
      </c>
      <c r="E2949" s="4" t="n">
        <v>0</v>
      </c>
      <c r="F2949" s="4" t="inlineStr">
        <is>
          <t>GOC Bed Unit-Costing Model v2 — working original.xlsx</t>
        </is>
      </c>
    </row>
    <row r="2950" ht="40" customHeight="1">
      <c r="A2950" s="4" t="inlineStr">
        <is>
          <t>original:Workings!C83</t>
        </is>
      </c>
      <c r="B2950" s="4" t="inlineStr">
        <is>
          <t>Workings</t>
        </is>
      </c>
      <c r="C2950" s="4" t="inlineStr">
        <is>
          <t>C83</t>
        </is>
      </c>
      <c r="D2950" s="4" t="inlineStr">
        <is>
          <t>=B87</t>
        </is>
      </c>
      <c r="E2950" s="4" t="n">
        <v>0</v>
      </c>
      <c r="F2950" s="4" t="inlineStr">
        <is>
          <t>GOC Bed Unit-Costing Model v2 — working original.xlsx</t>
        </is>
      </c>
    </row>
    <row r="2951" ht="40" customHeight="1">
      <c r="A2951" s="4" t="inlineStr">
        <is>
          <t>original:Workings!D83</t>
        </is>
      </c>
      <c r="B2951" s="4" t="inlineStr">
        <is>
          <t>Workings</t>
        </is>
      </c>
      <c r="C2951" s="4" t="inlineStr">
        <is>
          <t>D83</t>
        </is>
      </c>
      <c r="D2951" s="4" t="inlineStr">
        <is>
          <t>=C87</t>
        </is>
      </c>
      <c r="E2951" s="4" t="n">
        <v>0</v>
      </c>
      <c r="F2951" s="4" t="inlineStr">
        <is>
          <t>GOC Bed Unit-Costing Model v2 — working original.xlsx</t>
        </is>
      </c>
    </row>
    <row r="2952" ht="40" customHeight="1">
      <c r="A2952" s="4" t="inlineStr">
        <is>
          <t>original:Workings!A84</t>
        </is>
      </c>
      <c r="B2952" s="4" t="inlineStr">
        <is>
          <t>Workings</t>
        </is>
      </c>
      <c r="C2952" s="4" t="inlineStr">
        <is>
          <t>A84</t>
        </is>
      </c>
      <c r="D2952" s="4" t="inlineStr">
        <is>
          <t>Source 3: drawn this year</t>
        </is>
      </c>
      <c r="E2952" s="4" t="inlineStr">
        <is>
          <t>Source 3: drawn this year</t>
        </is>
      </c>
      <c r="F2952" s="4" t="inlineStr">
        <is>
          <t>GOC Bed Unit-Costing Model v2 — working original.xlsx</t>
        </is>
      </c>
    </row>
    <row r="2953" ht="40" customHeight="1">
      <c r="A2953" s="4" t="inlineStr">
        <is>
          <t>original:Workings!B84</t>
        </is>
      </c>
      <c r="B2953" s="4" t="inlineStr">
        <is>
          <t>Workings</t>
        </is>
      </c>
      <c r="C2953" s="4" t="inlineStr">
        <is>
          <t>B84</t>
        </is>
      </c>
      <c r="D2953" s="4" t="inlineStr">
        <is>
          <t>='Inputs (1)'!G40</t>
        </is>
      </c>
      <c r="E2953" s="4" t="n">
        <v>0</v>
      </c>
      <c r="F2953" s="4" t="inlineStr">
        <is>
          <t>GOC Bed Unit-Costing Model v2 — working original.xlsx</t>
        </is>
      </c>
    </row>
    <row r="2954" ht="40" customHeight="1">
      <c r="A2954" s="4" t="inlineStr">
        <is>
          <t>original:Workings!C84</t>
        </is>
      </c>
      <c r="B2954" s="4" t="inlineStr">
        <is>
          <t>Workings</t>
        </is>
      </c>
      <c r="C2954" s="4" t="inlineStr">
        <is>
          <t>C84</t>
        </is>
      </c>
      <c r="D2954" s="4" t="inlineStr">
        <is>
          <t>='Inputs (1)'!H40</t>
        </is>
      </c>
      <c r="E2954" s="4" t="n">
        <v>0</v>
      </c>
      <c r="F2954" s="4" t="inlineStr">
        <is>
          <t>GOC Bed Unit-Costing Model v2 — working original.xlsx</t>
        </is>
      </c>
    </row>
    <row r="2955" ht="40" customHeight="1">
      <c r="A2955" s="4" t="inlineStr">
        <is>
          <t>original:Workings!D84</t>
        </is>
      </c>
      <c r="B2955" s="4" t="inlineStr">
        <is>
          <t>Workings</t>
        </is>
      </c>
      <c r="C2955" s="4" t="inlineStr">
        <is>
          <t>D84</t>
        </is>
      </c>
      <c r="D2955" s="4" t="inlineStr">
        <is>
          <t>='Inputs (1)'!I40</t>
        </is>
      </c>
      <c r="E2955" s="4" t="n">
        <v>0</v>
      </c>
      <c r="F2955" s="4" t="inlineStr">
        <is>
          <t>GOC Bed Unit-Costing Model v2 — working original.xlsx</t>
        </is>
      </c>
    </row>
    <row r="2956" ht="40" customHeight="1">
      <c r="A2956" s="4" t="inlineStr">
        <is>
          <t>original:Workings!A85</t>
        </is>
      </c>
      <c r="B2956" s="4" t="inlineStr">
        <is>
          <t>Workings</t>
        </is>
      </c>
      <c r="C2956" s="4" t="inlineStr">
        <is>
          <t>A85</t>
        </is>
      </c>
      <c r="D2956" s="4" t="inlineStr">
        <is>
          <t>Source 3: cumulative drawn</t>
        </is>
      </c>
      <c r="E2956" s="4" t="inlineStr">
        <is>
          <t>Source 3: cumulative drawn</t>
        </is>
      </c>
      <c r="F2956" s="4" t="inlineStr">
        <is>
          <t>GOC Bed Unit-Costing Model v2 — working original.xlsx</t>
        </is>
      </c>
    </row>
    <row r="2957" ht="40" customHeight="1">
      <c r="A2957" s="4" t="inlineStr">
        <is>
          <t>original:Workings!B85</t>
        </is>
      </c>
      <c r="B2957" s="4" t="inlineStr">
        <is>
          <t>Workings</t>
        </is>
      </c>
      <c r="C2957" s="4" t="inlineStr">
        <is>
          <t>B85</t>
        </is>
      </c>
      <c r="D2957" s="4" t="inlineStr">
        <is>
          <t>=B84</t>
        </is>
      </c>
      <c r="E2957" s="4" t="n">
        <v>0</v>
      </c>
      <c r="F2957" s="4" t="inlineStr">
        <is>
          <t>GOC Bed Unit-Costing Model v2 — working original.xlsx</t>
        </is>
      </c>
    </row>
    <row r="2958" ht="40" customHeight="1">
      <c r="A2958" s="4" t="inlineStr">
        <is>
          <t>original:Workings!C85</t>
        </is>
      </c>
      <c r="B2958" s="4" t="inlineStr">
        <is>
          <t>Workings</t>
        </is>
      </c>
      <c r="C2958" s="4" t="inlineStr">
        <is>
          <t>C85</t>
        </is>
      </c>
      <c r="D2958" s="4" t="inlineStr">
        <is>
          <t>=B85+C84</t>
        </is>
      </c>
      <c r="E2958" s="4" t="n">
        <v>0</v>
      </c>
      <c r="F2958" s="4" t="inlineStr">
        <is>
          <t>GOC Bed Unit-Costing Model v2 — working original.xlsx</t>
        </is>
      </c>
    </row>
    <row r="2959" ht="40" customHeight="1">
      <c r="A2959" s="4" t="inlineStr">
        <is>
          <t>original:Workings!D85</t>
        </is>
      </c>
      <c r="B2959" s="4" t="inlineStr">
        <is>
          <t>Workings</t>
        </is>
      </c>
      <c r="C2959" s="4" t="inlineStr">
        <is>
          <t>D85</t>
        </is>
      </c>
      <c r="D2959" s="4" t="inlineStr">
        <is>
          <t>=C85+D84</t>
        </is>
      </c>
      <c r="E2959" s="4" t="n">
        <v>0</v>
      </c>
      <c r="F2959" s="4" t="inlineStr">
        <is>
          <t>GOC Bed Unit-Costing Model v2 — working original.xlsx</t>
        </is>
      </c>
    </row>
    <row r="2960" ht="40" customHeight="1">
      <c r="A2960" s="4" t="inlineStr">
        <is>
          <t>original:Workings!A86</t>
        </is>
      </c>
      <c r="B2960" s="4" t="inlineStr">
        <is>
          <t>Workings</t>
        </is>
      </c>
      <c r="C2960" s="4" t="inlineStr">
        <is>
          <t>A86</t>
        </is>
      </c>
      <c r="D2960" s="4" t="inlineStr">
        <is>
          <t>Source 3: principal repaid</t>
        </is>
      </c>
      <c r="E2960" s="4" t="inlineStr">
        <is>
          <t>Source 3: principal repaid</t>
        </is>
      </c>
      <c r="F2960" s="4" t="inlineStr">
        <is>
          <t>GOC Bed Unit-Costing Model v2 — working original.xlsx</t>
        </is>
      </c>
    </row>
    <row r="2961" ht="40" customHeight="1">
      <c r="A2961" s="4" t="inlineStr">
        <is>
          <t>original:Workings!B86</t>
        </is>
      </c>
      <c r="B2961" s="4" t="inlineStr">
        <is>
          <t>Workings</t>
        </is>
      </c>
      <c r="C2961" s="4" t="inlineStr">
        <is>
          <t>B86</t>
        </is>
      </c>
      <c r="D2961" s="4" t="inlineStr">
        <is>
          <t>=IF(AND('Inputs (1)'!$H$47&gt;0,B$3&gt;='Inputs (1)'!$I$47),MIN(B83+B84,B85/'Inputs (1)'!$H$47),0)</t>
        </is>
      </c>
      <c r="E2961" s="4" t="n">
        <v>0</v>
      </c>
      <c r="F2961" s="4" t="inlineStr">
        <is>
          <t>GOC Bed Unit-Costing Model v2 — working original.xlsx</t>
        </is>
      </c>
    </row>
    <row r="2962" ht="40" customHeight="1">
      <c r="A2962" s="4" t="inlineStr">
        <is>
          <t>original:Workings!C86</t>
        </is>
      </c>
      <c r="B2962" s="4" t="inlineStr">
        <is>
          <t>Workings</t>
        </is>
      </c>
      <c r="C2962" s="4" t="inlineStr">
        <is>
          <t>C86</t>
        </is>
      </c>
      <c r="D2962" s="4" t="inlineStr">
        <is>
          <t>=IF(AND('Inputs (1)'!$H$47&gt;0,C$3&gt;='Inputs (1)'!$I$47),MIN(C83+C84,C85/'Inputs (1)'!$H$47),0)</t>
        </is>
      </c>
      <c r="E2962" s="4" t="n">
        <v>0</v>
      </c>
      <c r="F2962" s="4" t="inlineStr">
        <is>
          <t>GOC Bed Unit-Costing Model v2 — working original.xlsx</t>
        </is>
      </c>
    </row>
    <row r="2963" ht="40" customHeight="1">
      <c r="A2963" s="4" t="inlineStr">
        <is>
          <t>original:Workings!D86</t>
        </is>
      </c>
      <c r="B2963" s="4" t="inlineStr">
        <is>
          <t>Workings</t>
        </is>
      </c>
      <c r="C2963" s="4" t="inlineStr">
        <is>
          <t>D86</t>
        </is>
      </c>
      <c r="D2963" s="4" t="inlineStr">
        <is>
          <t>=IF(AND('Inputs (1)'!$H$47&gt;0,D$3&gt;='Inputs (1)'!$I$47),MIN(D83+D84,D85/'Inputs (1)'!$H$47),0)</t>
        </is>
      </c>
      <c r="E2963" s="4" t="n">
        <v>0</v>
      </c>
      <c r="F2963" s="4" t="inlineStr">
        <is>
          <t>GOC Bed Unit-Costing Model v2 — working original.xlsx</t>
        </is>
      </c>
    </row>
    <row r="2964" ht="40" customHeight="1">
      <c r="A2964" s="4" t="inlineStr">
        <is>
          <t>original:Workings!A87</t>
        </is>
      </c>
      <c r="B2964" s="4" t="inlineStr">
        <is>
          <t>Workings</t>
        </is>
      </c>
      <c r="C2964" s="4" t="inlineStr">
        <is>
          <t>A87</t>
        </is>
      </c>
      <c r="D2964" s="4" t="inlineStr">
        <is>
          <t>Source 3: closing balance</t>
        </is>
      </c>
      <c r="E2964" s="4" t="inlineStr">
        <is>
          <t>Source 3: closing balance</t>
        </is>
      </c>
      <c r="F2964" s="4" t="inlineStr">
        <is>
          <t>GOC Bed Unit-Costing Model v2 — working original.xlsx</t>
        </is>
      </c>
    </row>
    <row r="2965" ht="40" customHeight="1">
      <c r="A2965" s="4" t="inlineStr">
        <is>
          <t>original:Workings!B87</t>
        </is>
      </c>
      <c r="B2965" s="4" t="inlineStr">
        <is>
          <t>Workings</t>
        </is>
      </c>
      <c r="C2965" s="4" t="inlineStr">
        <is>
          <t>B87</t>
        </is>
      </c>
      <c r="D2965" s="4" t="inlineStr">
        <is>
          <t>=B83+B84-B86</t>
        </is>
      </c>
      <c r="E2965" s="4" t="n">
        <v>0</v>
      </c>
      <c r="F2965" s="4" t="inlineStr">
        <is>
          <t>GOC Bed Unit-Costing Model v2 — working original.xlsx</t>
        </is>
      </c>
    </row>
    <row r="2966" ht="40" customHeight="1">
      <c r="A2966" s="4" t="inlineStr">
        <is>
          <t>original:Workings!C87</t>
        </is>
      </c>
      <c r="B2966" s="4" t="inlineStr">
        <is>
          <t>Workings</t>
        </is>
      </c>
      <c r="C2966" s="4" t="inlineStr">
        <is>
          <t>C87</t>
        </is>
      </c>
      <c r="D2966" s="4" t="inlineStr">
        <is>
          <t>=C83+C84-C86</t>
        </is>
      </c>
      <c r="E2966" s="4" t="n">
        <v>0</v>
      </c>
      <c r="F2966" s="4" t="inlineStr">
        <is>
          <t>GOC Bed Unit-Costing Model v2 — working original.xlsx</t>
        </is>
      </c>
    </row>
    <row r="2967" ht="40" customHeight="1">
      <c r="A2967" s="4" t="inlineStr">
        <is>
          <t>original:Workings!D87</t>
        </is>
      </c>
      <c r="B2967" s="4" t="inlineStr">
        <is>
          <t>Workings</t>
        </is>
      </c>
      <c r="C2967" s="4" t="inlineStr">
        <is>
          <t>D87</t>
        </is>
      </c>
      <c r="D2967" s="4" t="inlineStr">
        <is>
          <t>=D83+D84-D86</t>
        </is>
      </c>
      <c r="E2967" s="4" t="n">
        <v>0</v>
      </c>
      <c r="F2967" s="4" t="inlineStr">
        <is>
          <t>GOC Bed Unit-Costing Model v2 — working original.xlsx</t>
        </is>
      </c>
    </row>
    <row r="2968" ht="40" customHeight="1">
      <c r="A2968" s="4" t="inlineStr">
        <is>
          <t>original:Workings!A88</t>
        </is>
      </c>
      <c r="B2968" s="4" t="inlineStr">
        <is>
          <t>Workings</t>
        </is>
      </c>
      <c r="C2968" s="4" t="inlineStr">
        <is>
          <t>A88</t>
        </is>
      </c>
      <c r="D2968" s="4" t="inlineStr">
        <is>
          <t>Source 3: interest</t>
        </is>
      </c>
      <c r="E2968" s="4" t="inlineStr">
        <is>
          <t>Source 3: interest</t>
        </is>
      </c>
      <c r="F2968" s="4" t="inlineStr">
        <is>
          <t>GOC Bed Unit-Costing Model v2 — working original.xlsx</t>
        </is>
      </c>
    </row>
    <row r="2969" ht="40" customHeight="1">
      <c r="A2969" s="4" t="inlineStr">
        <is>
          <t>original:Workings!B88</t>
        </is>
      </c>
      <c r="B2969" s="4" t="inlineStr">
        <is>
          <t>Workings</t>
        </is>
      </c>
      <c r="C2969" s="4" t="inlineStr">
        <is>
          <t>B88</t>
        </is>
      </c>
      <c r="D2969" s="4" t="inlineStr">
        <is>
          <t>=(B83+B84)*'Inputs (1)'!$G$47</t>
        </is>
      </c>
      <c r="E2969" s="4" t="n">
        <v>0</v>
      </c>
      <c r="F2969" s="4" t="inlineStr">
        <is>
          <t>GOC Bed Unit-Costing Model v2 — working original.xlsx</t>
        </is>
      </c>
    </row>
    <row r="2970" ht="40" customHeight="1">
      <c r="A2970" s="4" t="inlineStr">
        <is>
          <t>original:Workings!C88</t>
        </is>
      </c>
      <c r="B2970" s="4" t="inlineStr">
        <is>
          <t>Workings</t>
        </is>
      </c>
      <c r="C2970" s="4" t="inlineStr">
        <is>
          <t>C88</t>
        </is>
      </c>
      <c r="D2970" s="4" t="inlineStr">
        <is>
          <t>=(C83+C84)*'Inputs (1)'!$G$47</t>
        </is>
      </c>
      <c r="E2970" s="4" t="n">
        <v>0</v>
      </c>
      <c r="F2970" s="4" t="inlineStr">
        <is>
          <t>GOC Bed Unit-Costing Model v2 — working original.xlsx</t>
        </is>
      </c>
    </row>
    <row r="2971" ht="40" customHeight="1">
      <c r="A2971" s="4" t="inlineStr">
        <is>
          <t>original:Workings!D88</t>
        </is>
      </c>
      <c r="B2971" s="4" t="inlineStr">
        <is>
          <t>Workings</t>
        </is>
      </c>
      <c r="C2971" s="4" t="inlineStr">
        <is>
          <t>D88</t>
        </is>
      </c>
      <c r="D2971" s="4" t="inlineStr">
        <is>
          <t>=(D83+D84)*'Inputs (1)'!$G$47</t>
        </is>
      </c>
      <c r="E2971" s="4" t="n">
        <v>0</v>
      </c>
      <c r="F2971" s="4" t="inlineStr">
        <is>
          <t>GOC Bed Unit-Costing Model v2 — working original.xlsx</t>
        </is>
      </c>
    </row>
    <row r="2972" ht="40" customHeight="1">
      <c r="A2972" s="4" t="inlineStr">
        <is>
          <t>original:Workings!A89</t>
        </is>
      </c>
      <c r="B2972" s="4" t="inlineStr">
        <is>
          <t>Workings</t>
        </is>
      </c>
      <c r="C2972" s="4" t="inlineStr">
        <is>
          <t>A89</t>
        </is>
      </c>
      <c r="D2972" s="4" t="inlineStr">
        <is>
          <t>TOTAL DRAWN</t>
        </is>
      </c>
      <c r="E2972" s="4" t="inlineStr">
        <is>
          <t>TOTAL DRAWN</t>
        </is>
      </c>
      <c r="F2972" s="4" t="inlineStr">
        <is>
          <t>GOC Bed Unit-Costing Model v2 — working original.xlsx</t>
        </is>
      </c>
    </row>
    <row r="2973" ht="40" customHeight="1">
      <c r="A2973" s="4" t="inlineStr">
        <is>
          <t>original:Workings!B89</t>
        </is>
      </c>
      <c r="B2973" s="4" t="inlineStr">
        <is>
          <t>Workings</t>
        </is>
      </c>
      <c r="C2973" s="4" t="inlineStr">
        <is>
          <t>B89</t>
        </is>
      </c>
      <c r="D2973" s="4" t="inlineStr">
        <is>
          <t>=B72+B78+B84</t>
        </is>
      </c>
      <c r="E2973" s="4" t="n">
        <v>0</v>
      </c>
      <c r="F2973" s="4" t="inlineStr">
        <is>
          <t>GOC Bed Unit-Costing Model v2 — working original.xlsx</t>
        </is>
      </c>
    </row>
    <row r="2974" ht="40" customHeight="1">
      <c r="A2974" s="4" t="inlineStr">
        <is>
          <t>original:Workings!C89</t>
        </is>
      </c>
      <c r="B2974" s="4" t="inlineStr">
        <is>
          <t>Workings</t>
        </is>
      </c>
      <c r="C2974" s="4" t="inlineStr">
        <is>
          <t>C89</t>
        </is>
      </c>
      <c r="D2974" s="4" t="inlineStr">
        <is>
          <t>=C72+C78+C84</t>
        </is>
      </c>
      <c r="E2974" s="4" t="n">
        <v>0</v>
      </c>
      <c r="F2974" s="4" t="inlineStr">
        <is>
          <t>GOC Bed Unit-Costing Model v2 — working original.xlsx</t>
        </is>
      </c>
    </row>
    <row r="2975" ht="40" customHeight="1">
      <c r="A2975" s="4" t="inlineStr">
        <is>
          <t>original:Workings!D89</t>
        </is>
      </c>
      <c r="B2975" s="4" t="inlineStr">
        <is>
          <t>Workings</t>
        </is>
      </c>
      <c r="C2975" s="4" t="inlineStr">
        <is>
          <t>D89</t>
        </is>
      </c>
      <c r="D2975" s="4" t="inlineStr">
        <is>
          <t>=D72+D78+D84</t>
        </is>
      </c>
      <c r="E2975" s="4" t="n">
        <v>0</v>
      </c>
      <c r="F2975" s="4" t="inlineStr">
        <is>
          <t>GOC Bed Unit-Costing Model v2 — working original.xlsx</t>
        </is>
      </c>
    </row>
    <row r="2976" ht="40" customHeight="1">
      <c r="A2976" s="4" t="inlineStr">
        <is>
          <t>original:Workings!A90</t>
        </is>
      </c>
      <c r="B2976" s="4" t="inlineStr">
        <is>
          <t>Workings</t>
        </is>
      </c>
      <c r="C2976" s="4" t="inlineStr">
        <is>
          <t>A90</t>
        </is>
      </c>
      <c r="D2976" s="4" t="inlineStr">
        <is>
          <t>TOTAL PRINCIPAL REPAID</t>
        </is>
      </c>
      <c r="E2976" s="4" t="inlineStr">
        <is>
          <t>TOTAL PRINCIPAL REPAID</t>
        </is>
      </c>
      <c r="F2976" s="4" t="inlineStr">
        <is>
          <t>GOC Bed Unit-Costing Model v2 — working original.xlsx</t>
        </is>
      </c>
    </row>
    <row r="2977" ht="40" customHeight="1">
      <c r="A2977" s="4" t="inlineStr">
        <is>
          <t>original:Workings!B90</t>
        </is>
      </c>
      <c r="B2977" s="4" t="inlineStr">
        <is>
          <t>Workings</t>
        </is>
      </c>
      <c r="C2977" s="4" t="inlineStr">
        <is>
          <t>B90</t>
        </is>
      </c>
      <c r="D2977" s="4" t="inlineStr">
        <is>
          <t>=B74+B80+B86</t>
        </is>
      </c>
      <c r="E2977" s="4" t="n">
        <v>0</v>
      </c>
      <c r="F2977" s="4" t="inlineStr">
        <is>
          <t>GOC Bed Unit-Costing Model v2 — working original.xlsx</t>
        </is>
      </c>
    </row>
    <row r="2978" ht="40" customHeight="1">
      <c r="A2978" s="4" t="inlineStr">
        <is>
          <t>original:Workings!C90</t>
        </is>
      </c>
      <c r="B2978" s="4" t="inlineStr">
        <is>
          <t>Workings</t>
        </is>
      </c>
      <c r="C2978" s="4" t="inlineStr">
        <is>
          <t>C90</t>
        </is>
      </c>
      <c r="D2978" s="4" t="inlineStr">
        <is>
          <t>=C74+C80+C86</t>
        </is>
      </c>
      <c r="E2978" s="4" t="n">
        <v>0</v>
      </c>
      <c r="F2978" s="4" t="inlineStr">
        <is>
          <t>GOC Bed Unit-Costing Model v2 — working original.xlsx</t>
        </is>
      </c>
    </row>
    <row r="2979" ht="40" customHeight="1">
      <c r="A2979" s="4" t="inlineStr">
        <is>
          <t>original:Workings!D90</t>
        </is>
      </c>
      <c r="B2979" s="4" t="inlineStr">
        <is>
          <t>Workings</t>
        </is>
      </c>
      <c r="C2979" s="4" t="inlineStr">
        <is>
          <t>D90</t>
        </is>
      </c>
      <c r="D2979" s="4" t="inlineStr">
        <is>
          <t>=D74+D80+D86</t>
        </is>
      </c>
      <c r="E2979" s="4" t="n">
        <v>0</v>
      </c>
      <c r="F2979" s="4" t="inlineStr">
        <is>
          <t>GOC Bed Unit-Costing Model v2 — working original.xlsx</t>
        </is>
      </c>
    </row>
    <row r="2980" ht="40" customHeight="1">
      <c r="A2980" s="4" t="inlineStr">
        <is>
          <t>original:Workings!A91</t>
        </is>
      </c>
      <c r="B2980" s="4" t="inlineStr">
        <is>
          <t>Workings</t>
        </is>
      </c>
      <c r="C2980" s="4" t="inlineStr">
        <is>
          <t>A91</t>
        </is>
      </c>
      <c r="D2980" s="4" t="inlineStr">
        <is>
          <t>TOTAL BORROWINGS, CLOSING</t>
        </is>
      </c>
      <c r="E2980" s="4" t="inlineStr">
        <is>
          <t>TOTAL BORROWINGS, CLOSING</t>
        </is>
      </c>
      <c r="F2980" s="4" t="inlineStr">
        <is>
          <t>GOC Bed Unit-Costing Model v2 — working original.xlsx</t>
        </is>
      </c>
    </row>
    <row r="2981" ht="40" customHeight="1">
      <c r="A2981" s="4" t="inlineStr">
        <is>
          <t>original:Workings!B91</t>
        </is>
      </c>
      <c r="B2981" s="4" t="inlineStr">
        <is>
          <t>Workings</t>
        </is>
      </c>
      <c r="C2981" s="4" t="inlineStr">
        <is>
          <t>B91</t>
        </is>
      </c>
      <c r="D2981" s="4" t="inlineStr">
        <is>
          <t>=B75+B81+B87</t>
        </is>
      </c>
      <c r="E2981" s="4" t="n">
        <v>0</v>
      </c>
      <c r="F2981" s="4" t="inlineStr">
        <is>
          <t>GOC Bed Unit-Costing Model v2 — working original.xlsx</t>
        </is>
      </c>
    </row>
    <row r="2982" ht="40" customHeight="1">
      <c r="A2982" s="4" t="inlineStr">
        <is>
          <t>original:Workings!C91</t>
        </is>
      </c>
      <c r="B2982" s="4" t="inlineStr">
        <is>
          <t>Workings</t>
        </is>
      </c>
      <c r="C2982" s="4" t="inlineStr">
        <is>
          <t>C91</t>
        </is>
      </c>
      <c r="D2982" s="4" t="inlineStr">
        <is>
          <t>=C75+C81+C87</t>
        </is>
      </c>
      <c r="E2982" s="4" t="n">
        <v>0</v>
      </c>
      <c r="F2982" s="4" t="inlineStr">
        <is>
          <t>GOC Bed Unit-Costing Model v2 — working original.xlsx</t>
        </is>
      </c>
    </row>
    <row r="2983" ht="40" customHeight="1">
      <c r="A2983" s="4" t="inlineStr">
        <is>
          <t>original:Workings!D91</t>
        </is>
      </c>
      <c r="B2983" s="4" t="inlineStr">
        <is>
          <t>Workings</t>
        </is>
      </c>
      <c r="C2983" s="4" t="inlineStr">
        <is>
          <t>D91</t>
        </is>
      </c>
      <c r="D2983" s="4" t="inlineStr">
        <is>
          <t>=D75+D81+D87</t>
        </is>
      </c>
      <c r="E2983" s="4" t="n">
        <v>0</v>
      </c>
      <c r="F2983" s="4" t="inlineStr">
        <is>
          <t>GOC Bed Unit-Costing Model v2 — working original.xlsx</t>
        </is>
      </c>
    </row>
    <row r="2984" ht="40" customHeight="1">
      <c r="A2984" s="4" t="inlineStr">
        <is>
          <t>original:Workings!A92</t>
        </is>
      </c>
      <c r="B2984" s="4" t="inlineStr">
        <is>
          <t>Workings</t>
        </is>
      </c>
      <c r="C2984" s="4" t="inlineStr">
        <is>
          <t>A92</t>
        </is>
      </c>
      <c r="D2984" s="4" t="inlineStr">
        <is>
          <t>TOTAL INTEREST EXPENSE</t>
        </is>
      </c>
      <c r="E2984" s="4" t="inlineStr">
        <is>
          <t>TOTAL INTEREST EXPENSE</t>
        </is>
      </c>
      <c r="F2984" s="4" t="inlineStr">
        <is>
          <t>GOC Bed Unit-Costing Model v2 — working original.xlsx</t>
        </is>
      </c>
    </row>
    <row r="2985" ht="40" customHeight="1">
      <c r="A2985" s="4" t="inlineStr">
        <is>
          <t>original:Workings!B92</t>
        </is>
      </c>
      <c r="B2985" s="4" t="inlineStr">
        <is>
          <t>Workings</t>
        </is>
      </c>
      <c r="C2985" s="4" t="inlineStr">
        <is>
          <t>B92</t>
        </is>
      </c>
      <c r="D2985" s="4" t="inlineStr">
        <is>
          <t>=B76+B82+B88</t>
        </is>
      </c>
      <c r="E2985" s="4" t="n">
        <v>0</v>
      </c>
      <c r="F2985" s="4" t="inlineStr">
        <is>
          <t>GOC Bed Unit-Costing Model v2 — working original.xlsx</t>
        </is>
      </c>
    </row>
    <row r="2986" ht="40" customHeight="1">
      <c r="A2986" s="4" t="inlineStr">
        <is>
          <t>original:Workings!C92</t>
        </is>
      </c>
      <c r="B2986" s="4" t="inlineStr">
        <is>
          <t>Workings</t>
        </is>
      </c>
      <c r="C2986" s="4" t="inlineStr">
        <is>
          <t>C92</t>
        </is>
      </c>
      <c r="D2986" s="4" t="inlineStr">
        <is>
          <t>=C76+C82+C88</t>
        </is>
      </c>
      <c r="E2986" s="4" t="n">
        <v>0</v>
      </c>
      <c r="F2986" s="4" t="inlineStr">
        <is>
          <t>GOC Bed Unit-Costing Model v2 — working original.xlsx</t>
        </is>
      </c>
    </row>
    <row r="2987" ht="40" customHeight="1">
      <c r="A2987" s="4" t="inlineStr">
        <is>
          <t>original:Workings!D92</t>
        </is>
      </c>
      <c r="B2987" s="4" t="inlineStr">
        <is>
          <t>Workings</t>
        </is>
      </c>
      <c r="C2987" s="4" t="inlineStr">
        <is>
          <t>D92</t>
        </is>
      </c>
      <c r="D2987" s="4" t="inlineStr">
        <is>
          <t>=D76+D82+D88</t>
        </is>
      </c>
      <c r="E2987" s="4" t="n">
        <v>0</v>
      </c>
      <c r="F2987" s="4" t="inlineStr">
        <is>
          <t>GOC Bed Unit-Costing Model v2 — working original.xlsx</t>
        </is>
      </c>
    </row>
    <row r="2988" ht="40" customHeight="1">
      <c r="A2988" s="4" t="inlineStr">
        <is>
          <t>original:Workings!A94</t>
        </is>
      </c>
      <c r="B2988" s="4" t="inlineStr">
        <is>
          <t>Workings</t>
        </is>
      </c>
      <c r="C2988" s="4" t="inlineStr">
        <is>
          <t>A94</t>
        </is>
      </c>
      <c r="D2988" s="4" t="inlineStr">
        <is>
          <t>WORKING CAPITAL</t>
        </is>
      </c>
      <c r="E2988" s="4" t="inlineStr">
        <is>
          <t>WORKING CAPITAL</t>
        </is>
      </c>
      <c r="F2988" s="4" t="inlineStr">
        <is>
          <t>GOC Bed Unit-Costing Model v2 — working original.xlsx</t>
        </is>
      </c>
    </row>
    <row r="2989" ht="40" customHeight="1">
      <c r="A2989" s="4" t="inlineStr">
        <is>
          <t>original:Workings!A95</t>
        </is>
      </c>
      <c r="B2989" s="4" t="inlineStr">
        <is>
          <t>Workings</t>
        </is>
      </c>
      <c r="C2989" s="4" t="inlineStr">
        <is>
          <t>A95</t>
        </is>
      </c>
      <c r="D2989" s="4" t="inlineStr">
        <is>
          <t>Trade receivables, opening</t>
        </is>
      </c>
      <c r="E2989" s="4" t="inlineStr">
        <is>
          <t>Trade receivables, opening</t>
        </is>
      </c>
      <c r="F2989" s="4" t="inlineStr">
        <is>
          <t>GOC Bed Unit-Costing Model v2 — working original.xlsx</t>
        </is>
      </c>
    </row>
    <row r="2990" ht="40" customHeight="1">
      <c r="A2990" s="4" t="inlineStr">
        <is>
          <t>original:Workings!B95</t>
        </is>
      </c>
      <c r="B2990" s="4" t="inlineStr">
        <is>
          <t>Workings</t>
        </is>
      </c>
      <c r="C2990" s="4" t="inlineStr">
        <is>
          <t>B95</t>
        </is>
      </c>
      <c r="D2990" s="4" t="inlineStr">
        <is>
          <t>='Inputs (1)'!$B$7</t>
        </is>
      </c>
      <c r="E2990" s="4" t="n">
        <v>82500</v>
      </c>
      <c r="F2990" s="4" t="inlineStr">
        <is>
          <t>GOC Bed Unit-Costing Model v2 — working original.xlsx</t>
        </is>
      </c>
    </row>
    <row r="2991" ht="40" customHeight="1">
      <c r="A2991" s="4" t="inlineStr">
        <is>
          <t>original:Workings!C95</t>
        </is>
      </c>
      <c r="B2991" s="4" t="inlineStr">
        <is>
          <t>Workings</t>
        </is>
      </c>
      <c r="C2991" s="4" t="inlineStr">
        <is>
          <t>C95</t>
        </is>
      </c>
      <c r="D2991" s="4" t="inlineStr">
        <is>
          <t>=B96</t>
        </is>
      </c>
      <c r="E2991" s="4" t="n">
        <v>36986.30137</v>
      </c>
      <c r="F2991" s="4" t="inlineStr">
        <is>
          <t>GOC Bed Unit-Costing Model v2 — working original.xlsx</t>
        </is>
      </c>
    </row>
    <row r="2992" ht="40" customHeight="1">
      <c r="A2992" s="4" t="inlineStr">
        <is>
          <t>original:Workings!D95</t>
        </is>
      </c>
      <c r="B2992" s="4" t="inlineStr">
        <is>
          <t>Workings</t>
        </is>
      </c>
      <c r="C2992" s="4" t="inlineStr">
        <is>
          <t>D95</t>
        </is>
      </c>
      <c r="D2992" s="4" t="inlineStr">
        <is>
          <t>=C96</t>
        </is>
      </c>
      <c r="E2992" s="4" t="n">
        <v>92465.75341999999</v>
      </c>
      <c r="F2992" s="4" t="inlineStr">
        <is>
          <t>GOC Bed Unit-Costing Model v2 — working original.xlsx</t>
        </is>
      </c>
    </row>
    <row r="2993" ht="40" customHeight="1">
      <c r="A2993" s="4" t="inlineStr">
        <is>
          <t>original:Workings!A96</t>
        </is>
      </c>
      <c r="B2993" s="4" t="inlineStr">
        <is>
          <t>Workings</t>
        </is>
      </c>
      <c r="C2993" s="4" t="inlineStr">
        <is>
          <t>A96</t>
        </is>
      </c>
      <c r="D2993" s="4" t="inlineStr">
        <is>
          <t>Trade receivables, closing</t>
        </is>
      </c>
      <c r="E2993" s="4" t="inlineStr">
        <is>
          <t>Trade receivables, closing</t>
        </is>
      </c>
      <c r="F2993" s="4" t="inlineStr">
        <is>
          <t>GOC Bed Unit-Costing Model v2 — working original.xlsx</t>
        </is>
      </c>
    </row>
    <row r="2994" ht="40" customHeight="1">
      <c r="A2994" s="4" t="inlineStr">
        <is>
          <t>original:Workings!B96</t>
        </is>
      </c>
      <c r="B2994" s="4" t="inlineStr">
        <is>
          <t>Workings</t>
        </is>
      </c>
      <c r="C2994" s="4" t="inlineStr">
        <is>
          <t>B96</t>
        </is>
      </c>
      <c r="D2994" s="4" t="inlineStr">
        <is>
          <t>=B18*'Inputs (1)'!$B$53/365</t>
        </is>
      </c>
      <c r="E2994" s="4" t="n">
        <v>36986.30137</v>
      </c>
      <c r="F2994" s="4" t="inlineStr">
        <is>
          <t>GOC Bed Unit-Costing Model v2 — working original.xlsx</t>
        </is>
      </c>
    </row>
    <row r="2995" ht="40" customHeight="1">
      <c r="A2995" s="4" t="inlineStr">
        <is>
          <t>original:Workings!C96</t>
        </is>
      </c>
      <c r="B2995" s="4" t="inlineStr">
        <is>
          <t>Workings</t>
        </is>
      </c>
      <c r="C2995" s="4" t="inlineStr">
        <is>
          <t>C96</t>
        </is>
      </c>
      <c r="D2995" s="4" t="inlineStr">
        <is>
          <t>=C18*'Inputs (1)'!$B$53/365</t>
        </is>
      </c>
      <c r="E2995" s="4" t="n">
        <v>92465.75341999999</v>
      </c>
      <c r="F2995" s="4" t="inlineStr">
        <is>
          <t>GOC Bed Unit-Costing Model v2 — working original.xlsx</t>
        </is>
      </c>
    </row>
    <row r="2996" ht="40" customHeight="1">
      <c r="A2996" s="4" t="inlineStr">
        <is>
          <t>original:Workings!D96</t>
        </is>
      </c>
      <c r="B2996" s="4" t="inlineStr">
        <is>
          <t>Workings</t>
        </is>
      </c>
      <c r="C2996" s="4" t="inlineStr">
        <is>
          <t>D96</t>
        </is>
      </c>
      <c r="D2996" s="4" t="inlineStr">
        <is>
          <t>=D18*'Inputs (1)'!$B$53/365</t>
        </is>
      </c>
      <c r="E2996" s="4" t="n">
        <v>92465.75341999999</v>
      </c>
      <c r="F2996" s="4" t="inlineStr">
        <is>
          <t>GOC Bed Unit-Costing Model v2 — working original.xlsx</t>
        </is>
      </c>
    </row>
    <row r="2997" ht="60" customHeight="1">
      <c r="A2997" s="4" t="inlineStr">
        <is>
          <t>original:Workings!F96</t>
        </is>
      </c>
      <c r="B2997" s="4" t="inlineStr">
        <is>
          <t>Workings</t>
        </is>
      </c>
      <c r="C2997" s="4" t="inlineStr">
        <is>
          <t>F96</t>
        </is>
      </c>
      <c r="D2997" s="4" t="inlineStr">
        <is>
          <t>Debtor days applied to bed sales. Grant income assumed received within the year.</t>
        </is>
      </c>
      <c r="E2997" s="4" t="inlineStr">
        <is>
          <t>Debtor days applied to bed sales. Grant income assumed received within the year.</t>
        </is>
      </c>
      <c r="F2997" s="4" t="inlineStr">
        <is>
          <t>GOC Bed Unit-Costing Model v2 — working original.xlsx</t>
        </is>
      </c>
    </row>
    <row r="2998" ht="40" customHeight="1">
      <c r="A2998" s="4" t="inlineStr">
        <is>
          <t>original:Workings!A97</t>
        </is>
      </c>
      <c r="B2998" s="4" t="inlineStr">
        <is>
          <t>Workings</t>
        </is>
      </c>
      <c r="C2998" s="4" t="inlineStr">
        <is>
          <t>A97</t>
        </is>
      </c>
      <c r="D2998" s="4" t="inlineStr">
        <is>
          <t>Movement in receivables (cash effect)</t>
        </is>
      </c>
      <c r="E2998" s="4" t="inlineStr">
        <is>
          <t>Movement in receivables (cash effect)</t>
        </is>
      </c>
      <c r="F2998" s="4" t="inlineStr">
        <is>
          <t>GOC Bed Unit-Costing Model v2 — working original.xlsx</t>
        </is>
      </c>
    </row>
    <row r="2999" ht="40" customHeight="1">
      <c r="A2999" s="4" t="inlineStr">
        <is>
          <t>original:Workings!B97</t>
        </is>
      </c>
      <c r="B2999" s="4" t="inlineStr">
        <is>
          <t>Workings</t>
        </is>
      </c>
      <c r="C2999" s="4" t="inlineStr">
        <is>
          <t>B97</t>
        </is>
      </c>
      <c r="D2999" s="4" t="inlineStr">
        <is>
          <t>=B95-B96</t>
        </is>
      </c>
      <c r="E2999" s="4" t="n">
        <v>45513.69863</v>
      </c>
      <c r="F2999" s="4" t="inlineStr">
        <is>
          <t>GOC Bed Unit-Costing Model v2 — working original.xlsx</t>
        </is>
      </c>
    </row>
    <row r="3000" ht="40" customHeight="1">
      <c r="A3000" s="4" t="inlineStr">
        <is>
          <t>original:Workings!C97</t>
        </is>
      </c>
      <c r="B3000" s="4" t="inlineStr">
        <is>
          <t>Workings</t>
        </is>
      </c>
      <c r="C3000" s="4" t="inlineStr">
        <is>
          <t>C97</t>
        </is>
      </c>
      <c r="D3000" s="4" t="inlineStr">
        <is>
          <t>=C95-C96</t>
        </is>
      </c>
      <c r="E3000" s="4" t="n">
        <v>-55479.45205</v>
      </c>
      <c r="F3000" s="4" t="inlineStr">
        <is>
          <t>GOC Bed Unit-Costing Model v2 — working original.xlsx</t>
        </is>
      </c>
    </row>
    <row r="3001" ht="40" customHeight="1">
      <c r="A3001" s="4" t="inlineStr">
        <is>
          <t>original:Workings!D97</t>
        </is>
      </c>
      <c r="B3001" s="4" t="inlineStr">
        <is>
          <t>Workings</t>
        </is>
      </c>
      <c r="C3001" s="4" t="inlineStr">
        <is>
          <t>D97</t>
        </is>
      </c>
      <c r="D3001" s="4" t="inlineStr">
        <is>
          <t>=D95-D96</t>
        </is>
      </c>
      <c r="E3001" s="4" t="n">
        <v>0</v>
      </c>
      <c r="F3001" s="4" t="inlineStr">
        <is>
          <t>GOC Bed Unit-Costing Model v2 — working original.xlsx</t>
        </is>
      </c>
    </row>
    <row r="3002" ht="40" customHeight="1">
      <c r="A3002" s="4" t="inlineStr">
        <is>
          <t>original:Workings!A99</t>
        </is>
      </c>
      <c r="B3002" s="4" t="inlineStr">
        <is>
          <t>Workings</t>
        </is>
      </c>
      <c r="C3002" s="4" t="inlineStr">
        <is>
          <t>A99</t>
        </is>
      </c>
      <c r="D3002" s="4" t="inlineStr">
        <is>
          <t>TAX</t>
        </is>
      </c>
      <c r="E3002" s="4" t="inlineStr">
        <is>
          <t>TAX</t>
        </is>
      </c>
      <c r="F3002" s="4" t="inlineStr">
        <is>
          <t>GOC Bed Unit-Costing Model v2 — working original.xlsx</t>
        </is>
      </c>
    </row>
    <row r="3003" ht="40" customHeight="1">
      <c r="A3003" s="4" t="inlineStr">
        <is>
          <t>original:Workings!A100</t>
        </is>
      </c>
      <c r="B3003" s="4" t="inlineStr">
        <is>
          <t>Workings</t>
        </is>
      </c>
      <c r="C3003" s="4" t="inlineStr">
        <is>
          <t>A100</t>
        </is>
      </c>
      <c r="D3003" s="4" t="inlineStr">
        <is>
          <t>Net profit before tax</t>
        </is>
      </c>
      <c r="E3003" s="4" t="inlineStr">
        <is>
          <t>Net profit before tax</t>
        </is>
      </c>
      <c r="F3003" s="4" t="inlineStr">
        <is>
          <t>GOC Bed Unit-Costing Model v2 — working original.xlsx</t>
        </is>
      </c>
    </row>
    <row r="3004" ht="40" customHeight="1">
      <c r="A3004" s="4" t="inlineStr">
        <is>
          <t>original:Workings!B100</t>
        </is>
      </c>
      <c r="B3004" s="4" t="inlineStr">
        <is>
          <t>Workings</t>
        </is>
      </c>
      <c r="C3004" s="4" t="inlineStr">
        <is>
          <t>B100</t>
        </is>
      </c>
      <c r="D3004" s="4" t="inlineStr">
        <is>
          <t>=Statements!B35</t>
        </is>
      </c>
      <c r="E3004" s="4" t="n">
        <v>55054.4</v>
      </c>
      <c r="F3004" s="4" t="inlineStr">
        <is>
          <t>GOC Bed Unit-Costing Model v2 — working original.xlsx</t>
        </is>
      </c>
    </row>
    <row r="3005" ht="40" customHeight="1">
      <c r="A3005" s="4" t="inlineStr">
        <is>
          <t>original:Workings!C100</t>
        </is>
      </c>
      <c r="B3005" s="4" t="inlineStr">
        <is>
          <t>Workings</t>
        </is>
      </c>
      <c r="C3005" s="4" t="inlineStr">
        <is>
          <t>C100</t>
        </is>
      </c>
      <c r="D3005" s="4" t="inlineStr">
        <is>
          <t>=Statements!C35</t>
        </is>
      </c>
      <c r="E3005" s="4" t="n">
        <v>-240889.6</v>
      </c>
      <c r="F3005" s="4" t="inlineStr">
        <is>
          <t>GOC Bed Unit-Costing Model v2 — working original.xlsx</t>
        </is>
      </c>
    </row>
    <row r="3006" ht="40" customHeight="1">
      <c r="A3006" s="4" t="inlineStr">
        <is>
          <t>original:Workings!D100</t>
        </is>
      </c>
      <c r="B3006" s="4" t="inlineStr">
        <is>
          <t>Workings</t>
        </is>
      </c>
      <c r="C3006" s="4" t="inlineStr">
        <is>
          <t>D100</t>
        </is>
      </c>
      <c r="D3006" s="4" t="inlineStr">
        <is>
          <t>=Statements!D35</t>
        </is>
      </c>
      <c r="E3006" s="4" t="n">
        <v>-240889.6</v>
      </c>
      <c r="F3006" s="4" t="inlineStr">
        <is>
          <t>GOC Bed Unit-Costing Model v2 — working original.xlsx</t>
        </is>
      </c>
    </row>
    <row r="3007" ht="40" customHeight="1">
      <c r="A3007" s="4" t="inlineStr">
        <is>
          <t>original:Workings!F100</t>
        </is>
      </c>
      <c r="B3007" s="4" t="inlineStr">
        <is>
          <t>Workings</t>
        </is>
      </c>
      <c r="C3007" s="4" t="inlineStr">
        <is>
          <t>F100</t>
        </is>
      </c>
      <c r="D3007" s="4" t="inlineStr">
        <is>
          <t>Pulled from the P&amp;L on the Statements sheet.</t>
        </is>
      </c>
      <c r="E3007" s="4" t="inlineStr">
        <is>
          <t>Pulled from the P&amp;L on the Statements sheet.</t>
        </is>
      </c>
      <c r="F3007" s="4" t="inlineStr">
        <is>
          <t>GOC Bed Unit-Costing Model v2 — working original.xlsx</t>
        </is>
      </c>
    </row>
    <row r="3008" ht="40" customHeight="1">
      <c r="A3008" s="4" t="inlineStr">
        <is>
          <t>original:Workings!A101</t>
        </is>
      </c>
      <c r="B3008" s="4" t="inlineStr">
        <is>
          <t>Workings</t>
        </is>
      </c>
      <c r="C3008" s="4" t="inlineStr">
        <is>
          <t>A101</t>
        </is>
      </c>
      <c r="D3008" s="4" t="inlineStr">
        <is>
          <t>Losses brought forward</t>
        </is>
      </c>
      <c r="E3008" s="4" t="inlineStr">
        <is>
          <t>Losses brought forward</t>
        </is>
      </c>
      <c r="F3008" s="4" t="inlineStr">
        <is>
          <t>GOC Bed Unit-Costing Model v2 — working original.xlsx</t>
        </is>
      </c>
    </row>
    <row r="3009" ht="40" customHeight="1">
      <c r="A3009" s="4" t="inlineStr">
        <is>
          <t>original:Workings!B101</t>
        </is>
      </c>
      <c r="B3009" s="4" t="inlineStr">
        <is>
          <t>Workings</t>
        </is>
      </c>
      <c r="C3009" s="4" t="inlineStr">
        <is>
          <t>B101</t>
        </is>
      </c>
      <c r="D3009" s="4" t="inlineStr">
        <is>
          <t>=0</t>
        </is>
      </c>
      <c r="E3009" s="4" t="n">
        <v>0</v>
      </c>
      <c r="F3009" s="4" t="inlineStr">
        <is>
          <t>GOC Bed Unit-Costing Model v2 — working original.xlsx</t>
        </is>
      </c>
    </row>
    <row r="3010" ht="40" customHeight="1">
      <c r="A3010" s="4" t="inlineStr">
        <is>
          <t>original:Workings!C101</t>
        </is>
      </c>
      <c r="B3010" s="4" t="inlineStr">
        <is>
          <t>Workings</t>
        </is>
      </c>
      <c r="C3010" s="4" t="inlineStr">
        <is>
          <t>C101</t>
        </is>
      </c>
      <c r="D3010" s="4" t="inlineStr">
        <is>
          <t>=B103</t>
        </is>
      </c>
      <c r="E3010" s="4" t="n">
        <v>0</v>
      </c>
      <c r="F3010" s="4" t="inlineStr">
        <is>
          <t>GOC Bed Unit-Costing Model v2 — working original.xlsx</t>
        </is>
      </c>
    </row>
    <row r="3011" ht="40" customHeight="1">
      <c r="A3011" s="4" t="inlineStr">
        <is>
          <t>original:Workings!D101</t>
        </is>
      </c>
      <c r="B3011" s="4" t="inlineStr">
        <is>
          <t>Workings</t>
        </is>
      </c>
      <c r="C3011" s="4" t="inlineStr">
        <is>
          <t>D101</t>
        </is>
      </c>
      <c r="D3011" s="4" t="inlineStr">
        <is>
          <t>=C103</t>
        </is>
      </c>
      <c r="E3011" s="4" t="n">
        <v>240889.6</v>
      </c>
      <c r="F3011" s="4" t="inlineStr">
        <is>
          <t>GOC Bed Unit-Costing Model v2 — working original.xlsx</t>
        </is>
      </c>
    </row>
    <row r="3012" ht="40" customHeight="1">
      <c r="A3012" s="4" t="inlineStr">
        <is>
          <t>original:Workings!A102</t>
        </is>
      </c>
      <c r="B3012" s="4" t="inlineStr">
        <is>
          <t>Workings</t>
        </is>
      </c>
      <c r="C3012" s="4" t="inlineStr">
        <is>
          <t>A102</t>
        </is>
      </c>
      <c r="D3012" s="4" t="inlineStr">
        <is>
          <t>Taxable income</t>
        </is>
      </c>
      <c r="E3012" s="4" t="inlineStr">
        <is>
          <t>Taxable income</t>
        </is>
      </c>
      <c r="F3012" s="4" t="inlineStr">
        <is>
          <t>GOC Bed Unit-Costing Model v2 — working original.xlsx</t>
        </is>
      </c>
    </row>
    <row r="3013" ht="40" customHeight="1">
      <c r="A3013" s="4" t="inlineStr">
        <is>
          <t>original:Workings!B102</t>
        </is>
      </c>
      <c r="B3013" s="4" t="inlineStr">
        <is>
          <t>Workings</t>
        </is>
      </c>
      <c r="C3013" s="4" t="inlineStr">
        <is>
          <t>B102</t>
        </is>
      </c>
      <c r="D3013" s="4" t="inlineStr">
        <is>
          <t>=MAX(0,B100-B101)</t>
        </is>
      </c>
      <c r="E3013" s="4" t="n">
        <v>55054.4</v>
      </c>
      <c r="F3013" s="4" t="inlineStr">
        <is>
          <t>GOC Bed Unit-Costing Model v2 — working original.xlsx</t>
        </is>
      </c>
    </row>
    <row r="3014" ht="40" customHeight="1">
      <c r="A3014" s="4" t="inlineStr">
        <is>
          <t>original:Workings!C102</t>
        </is>
      </c>
      <c r="B3014" s="4" t="inlineStr">
        <is>
          <t>Workings</t>
        </is>
      </c>
      <c r="C3014" s="4" t="inlineStr">
        <is>
          <t>C102</t>
        </is>
      </c>
      <c r="D3014" s="4" t="inlineStr">
        <is>
          <t>=MAX(0,C100-C101)</t>
        </is>
      </c>
      <c r="E3014" s="4" t="n">
        <v>0</v>
      </c>
      <c r="F3014" s="4" t="inlineStr">
        <is>
          <t>GOC Bed Unit-Costing Model v2 — working original.xlsx</t>
        </is>
      </c>
    </row>
    <row r="3015" ht="40" customHeight="1">
      <c r="A3015" s="4" t="inlineStr">
        <is>
          <t>original:Workings!D102</t>
        </is>
      </c>
      <c r="B3015" s="4" t="inlineStr">
        <is>
          <t>Workings</t>
        </is>
      </c>
      <c r="C3015" s="4" t="inlineStr">
        <is>
          <t>D102</t>
        </is>
      </c>
      <c r="D3015" s="4" t="inlineStr">
        <is>
          <t>=MAX(0,D100-D101)</t>
        </is>
      </c>
      <c r="E3015" s="4" t="n">
        <v>0</v>
      </c>
      <c r="F3015" s="4" t="inlineStr">
        <is>
          <t>GOC Bed Unit-Costing Model v2 — working original.xlsx</t>
        </is>
      </c>
    </row>
    <row r="3016" ht="40" customHeight="1">
      <c r="A3016" s="4" t="inlineStr">
        <is>
          <t>original:Workings!A103</t>
        </is>
      </c>
      <c r="B3016" s="4" t="inlineStr">
        <is>
          <t>Workings</t>
        </is>
      </c>
      <c r="C3016" s="4" t="inlineStr">
        <is>
          <t>A103</t>
        </is>
      </c>
      <c r="D3016" s="4" t="inlineStr">
        <is>
          <t>Losses carried forward</t>
        </is>
      </c>
      <c r="E3016" s="4" t="inlineStr">
        <is>
          <t>Losses carried forward</t>
        </is>
      </c>
      <c r="F3016" s="4" t="inlineStr">
        <is>
          <t>GOC Bed Unit-Costing Model v2 — working original.xlsx</t>
        </is>
      </c>
    </row>
    <row r="3017" ht="40" customHeight="1">
      <c r="A3017" s="4" t="inlineStr">
        <is>
          <t>original:Workings!B103</t>
        </is>
      </c>
      <c r="B3017" s="4" t="inlineStr">
        <is>
          <t>Workings</t>
        </is>
      </c>
      <c r="C3017" s="4" t="inlineStr">
        <is>
          <t>B103</t>
        </is>
      </c>
      <c r="D3017" s="4" t="inlineStr">
        <is>
          <t>=MAX(0,B101-B100)</t>
        </is>
      </c>
      <c r="E3017" s="4" t="n">
        <v>0</v>
      </c>
      <c r="F3017" s="4" t="inlineStr">
        <is>
          <t>GOC Bed Unit-Costing Model v2 — working original.xlsx</t>
        </is>
      </c>
    </row>
    <row r="3018" ht="40" customHeight="1">
      <c r="A3018" s="4" t="inlineStr">
        <is>
          <t>original:Workings!C103</t>
        </is>
      </c>
      <c r="B3018" s="4" t="inlineStr">
        <is>
          <t>Workings</t>
        </is>
      </c>
      <c r="C3018" s="4" t="inlineStr">
        <is>
          <t>C103</t>
        </is>
      </c>
      <c r="D3018" s="4" t="inlineStr">
        <is>
          <t>=MAX(0,C101-C100)</t>
        </is>
      </c>
      <c r="E3018" s="4" t="n">
        <v>240889.6</v>
      </c>
      <c r="F3018" s="4" t="inlineStr">
        <is>
          <t>GOC Bed Unit-Costing Model v2 — working original.xlsx</t>
        </is>
      </c>
    </row>
    <row r="3019" ht="40" customHeight="1">
      <c r="A3019" s="4" t="inlineStr">
        <is>
          <t>original:Workings!D103</t>
        </is>
      </c>
      <c r="B3019" s="4" t="inlineStr">
        <is>
          <t>Workings</t>
        </is>
      </c>
      <c r="C3019" s="4" t="inlineStr">
        <is>
          <t>D103</t>
        </is>
      </c>
      <c r="D3019" s="4" t="inlineStr">
        <is>
          <t>=MAX(0,D101-D100)</t>
        </is>
      </c>
      <c r="E3019" s="4" t="n">
        <v>481779.2</v>
      </c>
      <c r="F3019" s="4" t="inlineStr">
        <is>
          <t>GOC Bed Unit-Costing Model v2 — working original.xlsx</t>
        </is>
      </c>
    </row>
    <row r="3020" ht="40" customHeight="1">
      <c r="A3020" s="4" t="inlineStr">
        <is>
          <t>original:Workings!A104</t>
        </is>
      </c>
      <c r="B3020" s="4" t="inlineStr">
        <is>
          <t>Workings</t>
        </is>
      </c>
      <c r="C3020" s="4" t="inlineStr">
        <is>
          <t>A104</t>
        </is>
      </c>
      <c r="D3020" s="4" t="inlineStr">
        <is>
          <t>INCOME TAX EXPENSE</t>
        </is>
      </c>
      <c r="E3020" s="4" t="inlineStr">
        <is>
          <t>INCOME TAX EXPENSE</t>
        </is>
      </c>
      <c r="F3020" s="4" t="inlineStr">
        <is>
          <t>GOC Bed Unit-Costing Model v2 — working original.xlsx</t>
        </is>
      </c>
    </row>
    <row r="3021" ht="40" customHeight="1">
      <c r="A3021" s="4" t="inlineStr">
        <is>
          <t>original:Workings!B104</t>
        </is>
      </c>
      <c r="B3021" s="4" t="inlineStr">
        <is>
          <t>Workings</t>
        </is>
      </c>
      <c r="C3021" s="4" t="inlineStr">
        <is>
          <t>B104</t>
        </is>
      </c>
      <c r="D3021" s="4" t="inlineStr">
        <is>
          <t>=B102*'Inputs (1)'!$B$52</t>
        </is>
      </c>
      <c r="E3021" s="4" t="n">
        <v>13763.6</v>
      </c>
      <c r="F3021" s="4" t="inlineStr">
        <is>
          <t>GOC Bed Unit-Costing Model v2 — working original.xlsx</t>
        </is>
      </c>
    </row>
    <row r="3022" ht="40" customHeight="1">
      <c r="A3022" s="4" t="inlineStr">
        <is>
          <t>original:Workings!C104</t>
        </is>
      </c>
      <c r="B3022" s="4" t="inlineStr">
        <is>
          <t>Workings</t>
        </is>
      </c>
      <c r="C3022" s="4" t="inlineStr">
        <is>
          <t>C104</t>
        </is>
      </c>
      <c r="D3022" s="4" t="inlineStr">
        <is>
          <t>=C102*'Inputs (1)'!$B$52</t>
        </is>
      </c>
      <c r="E3022" s="4" t="n">
        <v>0</v>
      </c>
      <c r="F3022" s="4" t="inlineStr">
        <is>
          <t>GOC Bed Unit-Costing Model v2 — working original.xlsx</t>
        </is>
      </c>
    </row>
    <row r="3023" ht="40" customHeight="1">
      <c r="A3023" s="4" t="inlineStr">
        <is>
          <t>original:Workings!D104</t>
        </is>
      </c>
      <c r="B3023" s="4" t="inlineStr">
        <is>
          <t>Workings</t>
        </is>
      </c>
      <c r="C3023" s="4" t="inlineStr">
        <is>
          <t>D104</t>
        </is>
      </c>
      <c r="D3023" s="4" t="inlineStr">
        <is>
          <t>=D102*'Inputs (1)'!$B$52</t>
        </is>
      </c>
      <c r="E3023" s="4" t="n">
        <v>0</v>
      </c>
      <c r="F3023" s="4" t="inlineStr">
        <is>
          <t>GOC Bed Unit-Costing Model v2 — working original.xlsx</t>
        </is>
      </c>
    </row>
    <row r="3024" ht="40" customHeight="1">
      <c r="A3024" s="4" t="inlineStr">
        <is>
          <t>original:Statements!A1</t>
        </is>
      </c>
      <c r="B3024" s="4" t="inlineStr">
        <is>
          <t>Statements</t>
        </is>
      </c>
      <c r="C3024" s="4" t="inlineStr">
        <is>
          <t>A1</t>
        </is>
      </c>
      <c r="D3024" s="4" t="inlineStr">
        <is>
          <t>Goods on Country — Financial Statements</t>
        </is>
      </c>
      <c r="E3024" s="4" t="inlineStr">
        <is>
          <t>Goods on Country — Financial Statements</t>
        </is>
      </c>
      <c r="F3024" s="4" t="inlineStr">
        <is>
          <t>GOC Bed Unit-Costing Model v2 — working original.xlsx</t>
        </is>
      </c>
    </row>
    <row r="3025" ht="105" customHeight="1">
      <c r="A3025" s="4" t="inlineStr">
        <is>
          <t>original:Statements!A2</t>
        </is>
      </c>
      <c r="B3025" s="4" t="inlineStr">
        <is>
          <t>Statements</t>
        </is>
      </c>
      <c r="C3025" s="4" t="inlineStr">
        <is>
          <t>A2</t>
        </is>
      </c>
      <c r="D3025" s="4" t="inlineStr">
        <is>
          <t>Three years. AUD, ex-GST. Costs are shown as positive numbers and subtracted in the total lines. Year 1 is the financial year named on Inputs B50.</t>
        </is>
      </c>
      <c r="E3025" s="4" t="inlineStr">
        <is>
          <t>Three years. AUD, ex-GST. Costs are shown as positive numbers and subtracted in the total lines. Year 1 is the financial year named on Inputs B50.</t>
        </is>
      </c>
      <c r="F3025" s="4" t="inlineStr">
        <is>
          <t>GOC Bed Unit-Costing Model v2 — working original.xlsx</t>
        </is>
      </c>
    </row>
    <row r="3026" ht="40" customHeight="1">
      <c r="A3026" s="4" t="inlineStr">
        <is>
          <t>original:Statements!A3</t>
        </is>
      </c>
      <c r="B3026" s="4" t="inlineStr">
        <is>
          <t>Statements</t>
        </is>
      </c>
      <c r="C3026" s="4" t="inlineStr">
        <is>
          <t>A3</t>
        </is>
      </c>
      <c r="D3026" s="4" t="inlineStr">
        <is>
          <t>Year</t>
        </is>
      </c>
      <c r="E3026" s="4" t="inlineStr">
        <is>
          <t>Year</t>
        </is>
      </c>
      <c r="F3026" s="4" t="inlineStr">
        <is>
          <t>GOC Bed Unit-Costing Model v2 — working original.xlsx</t>
        </is>
      </c>
    </row>
    <row r="3027" ht="40" customHeight="1">
      <c r="A3027" s="4" t="inlineStr">
        <is>
          <t>original:Statements!B3</t>
        </is>
      </c>
      <c r="B3027" s="4" t="inlineStr">
        <is>
          <t>Statements</t>
        </is>
      </c>
      <c r="C3027" s="4" t="inlineStr">
        <is>
          <t>B3</t>
        </is>
      </c>
      <c r="D3027" s="4" t="inlineStr">
        <is>
          <t>Year 1</t>
        </is>
      </c>
      <c r="E3027" s="4" t="inlineStr">
        <is>
          <t>Year 1</t>
        </is>
      </c>
      <c r="F3027" s="4" t="inlineStr">
        <is>
          <t>GOC Bed Unit-Costing Model v2 — working original.xlsx</t>
        </is>
      </c>
    </row>
    <row r="3028" ht="40" customHeight="1">
      <c r="A3028" s="4" t="inlineStr">
        <is>
          <t>original:Statements!C3</t>
        </is>
      </c>
      <c r="B3028" s="4" t="inlineStr">
        <is>
          <t>Statements</t>
        </is>
      </c>
      <c r="C3028" s="4" t="inlineStr">
        <is>
          <t>C3</t>
        </is>
      </c>
      <c r="D3028" s="4" t="inlineStr">
        <is>
          <t>Year 2</t>
        </is>
      </c>
      <c r="E3028" s="4" t="inlineStr">
        <is>
          <t>Year 2</t>
        </is>
      </c>
      <c r="F3028" s="4" t="inlineStr">
        <is>
          <t>GOC Bed Unit-Costing Model v2 — working original.xlsx</t>
        </is>
      </c>
    </row>
    <row r="3029" ht="40" customHeight="1">
      <c r="A3029" s="4" t="inlineStr">
        <is>
          <t>original:Statements!D3</t>
        </is>
      </c>
      <c r="B3029" s="4" t="inlineStr">
        <is>
          <t>Statements</t>
        </is>
      </c>
      <c r="C3029" s="4" t="inlineStr">
        <is>
          <t>D3</t>
        </is>
      </c>
      <c r="D3029" s="4" t="inlineStr">
        <is>
          <t>Year 3</t>
        </is>
      </c>
      <c r="E3029" s="4" t="inlineStr">
        <is>
          <t>Year 3</t>
        </is>
      </c>
      <c r="F3029" s="4" t="inlineStr">
        <is>
          <t>GOC Bed Unit-Costing Model v2 — working original.xlsx</t>
        </is>
      </c>
    </row>
    <row r="3030" ht="40" customHeight="1">
      <c r="A3030" s="4" t="inlineStr">
        <is>
          <t>original:Statements!A5</t>
        </is>
      </c>
      <c r="B3030" s="4" t="inlineStr">
        <is>
          <t>Statements</t>
        </is>
      </c>
      <c r="C3030" s="4" t="inlineStr">
        <is>
          <t>A5</t>
        </is>
      </c>
      <c r="D3030" s="4" t="inlineStr">
        <is>
          <t>PROFIT AND LOSS</t>
        </is>
      </c>
      <c r="E3030" s="4" t="inlineStr">
        <is>
          <t>PROFIT AND LOSS</t>
        </is>
      </c>
      <c r="F3030" s="4" t="inlineStr">
        <is>
          <t>GOC Bed Unit-Costing Model v2 — working original.xlsx</t>
        </is>
      </c>
    </row>
    <row r="3031" ht="40" customHeight="1">
      <c r="A3031" s="4" t="inlineStr">
        <is>
          <t>original:Statements!A6</t>
        </is>
      </c>
      <c r="B3031" s="4" t="inlineStr">
        <is>
          <t>Statements</t>
        </is>
      </c>
      <c r="C3031" s="4" t="inlineStr">
        <is>
          <t>A6</t>
        </is>
      </c>
      <c r="D3031" s="4" t="inlineStr">
        <is>
          <t>Income</t>
        </is>
      </c>
      <c r="E3031" s="4" t="inlineStr">
        <is>
          <t>Income</t>
        </is>
      </c>
      <c r="F3031" s="4" t="inlineStr">
        <is>
          <t>GOC Bed Unit-Costing Model v2 — working original.xlsx</t>
        </is>
      </c>
    </row>
    <row r="3032" ht="40" customHeight="1">
      <c r="A3032" s="4" t="inlineStr">
        <is>
          <t>original:Statements!A7</t>
        </is>
      </c>
      <c r="B3032" s="4" t="inlineStr">
        <is>
          <t>Statements</t>
        </is>
      </c>
      <c r="C3032" s="4" t="inlineStr">
        <is>
          <t>A7</t>
        </is>
      </c>
      <c r="D3032" s="4" t="inlineStr">
        <is>
          <t>Bed sales</t>
        </is>
      </c>
      <c r="E3032" s="4" t="inlineStr">
        <is>
          <t>Bed sales</t>
        </is>
      </c>
      <c r="F3032" s="4" t="inlineStr">
        <is>
          <t>GOC Bed Unit-Costing Model v2 — working original.xlsx</t>
        </is>
      </c>
    </row>
    <row r="3033" ht="40" customHeight="1">
      <c r="A3033" s="4" t="inlineStr">
        <is>
          <t>original:Statements!B7</t>
        </is>
      </c>
      <c r="B3033" s="4" t="inlineStr">
        <is>
          <t>Statements</t>
        </is>
      </c>
      <c r="C3033" s="4" t="inlineStr">
        <is>
          <t>B7</t>
        </is>
      </c>
      <c r="D3033" s="4" t="inlineStr">
        <is>
          <t>=Workings!B18</t>
        </is>
      </c>
      <c r="E3033" s="4" t="n">
        <v>300000</v>
      </c>
      <c r="F3033" s="4" t="inlineStr">
        <is>
          <t>GOC Bed Unit-Costing Model v2 — working original.xlsx</t>
        </is>
      </c>
    </row>
    <row r="3034" ht="40" customHeight="1">
      <c r="A3034" s="4" t="inlineStr">
        <is>
          <t>original:Statements!C7</t>
        </is>
      </c>
      <c r="B3034" s="4" t="inlineStr">
        <is>
          <t>Statements</t>
        </is>
      </c>
      <c r="C3034" s="4" t="inlineStr">
        <is>
          <t>C7</t>
        </is>
      </c>
      <c r="D3034" s="4" t="inlineStr">
        <is>
          <t>=Workings!C18</t>
        </is>
      </c>
      <c r="E3034" s="4" t="n">
        <v>750000</v>
      </c>
      <c r="F3034" s="4" t="inlineStr">
        <is>
          <t>GOC Bed Unit-Costing Model v2 — working original.xlsx</t>
        </is>
      </c>
    </row>
    <row r="3035" ht="40" customHeight="1">
      <c r="A3035" s="4" t="inlineStr">
        <is>
          <t>original:Statements!D7</t>
        </is>
      </c>
      <c r="B3035" s="4" t="inlineStr">
        <is>
          <t>Statements</t>
        </is>
      </c>
      <c r="C3035" s="4" t="inlineStr">
        <is>
          <t>D7</t>
        </is>
      </c>
      <c r="D3035" s="4" t="inlineStr">
        <is>
          <t>=Workings!D18</t>
        </is>
      </c>
      <c r="E3035" s="4" t="n">
        <v>750000</v>
      </c>
      <c r="F3035" s="4" t="inlineStr">
        <is>
          <t>GOC Bed Unit-Costing Model v2 — working original.xlsx</t>
        </is>
      </c>
    </row>
    <row r="3036" ht="40" customHeight="1">
      <c r="A3036" s="4" t="inlineStr">
        <is>
          <t>original:Statements!A8</t>
        </is>
      </c>
      <c r="B3036" s="4" t="inlineStr">
        <is>
          <t>Statements</t>
        </is>
      </c>
      <c r="C3036" s="4" t="inlineStr">
        <is>
          <t>A8</t>
        </is>
      </c>
      <c r="D3036" s="4" t="inlineStr">
        <is>
          <t>Grant income, tied</t>
        </is>
      </c>
      <c r="E3036" s="4" t="inlineStr">
        <is>
          <t>Grant income, tied</t>
        </is>
      </c>
      <c r="F3036" s="4" t="inlineStr">
        <is>
          <t>GOC Bed Unit-Costing Model v2 — working original.xlsx</t>
        </is>
      </c>
    </row>
    <row r="3037" ht="40" customHeight="1">
      <c r="A3037" s="4" t="inlineStr">
        <is>
          <t>original:Statements!B8</t>
        </is>
      </c>
      <c r="B3037" s="4" t="inlineStr">
        <is>
          <t>Statements</t>
        </is>
      </c>
      <c r="C3037" s="4" t="inlineStr">
        <is>
          <t>B8</t>
        </is>
      </c>
      <c r="D3037" s="4" t="inlineStr">
        <is>
          <t>=Workings!B19</t>
        </is>
      </c>
      <c r="E3037" s="4" t="n">
        <v>0</v>
      </c>
      <c r="F3037" s="4" t="inlineStr">
        <is>
          <t>GOC Bed Unit-Costing Model v2 — working original.xlsx</t>
        </is>
      </c>
    </row>
    <row r="3038" ht="40" customHeight="1">
      <c r="A3038" s="4" t="inlineStr">
        <is>
          <t>original:Statements!C8</t>
        </is>
      </c>
      <c r="B3038" s="4" t="inlineStr">
        <is>
          <t>Statements</t>
        </is>
      </c>
      <c r="C3038" s="4" t="inlineStr">
        <is>
          <t>C8</t>
        </is>
      </c>
      <c r="D3038" s="4" t="inlineStr">
        <is>
          <t>=Workings!C19</t>
        </is>
      </c>
      <c r="E3038" s="4" t="n">
        <v>0</v>
      </c>
      <c r="F3038" s="4" t="inlineStr">
        <is>
          <t>GOC Bed Unit-Costing Model v2 — working original.xlsx</t>
        </is>
      </c>
    </row>
    <row r="3039" ht="40" customHeight="1">
      <c r="A3039" s="4" t="inlineStr">
        <is>
          <t>original:Statements!D8</t>
        </is>
      </c>
      <c r="B3039" s="4" t="inlineStr">
        <is>
          <t>Statements</t>
        </is>
      </c>
      <c r="C3039" s="4" t="inlineStr">
        <is>
          <t>D8</t>
        </is>
      </c>
      <c r="D3039" s="4" t="inlineStr">
        <is>
          <t>=Workings!D19</t>
        </is>
      </c>
      <c r="E3039" s="4" t="n">
        <v>0</v>
      </c>
      <c r="F3039" s="4" t="inlineStr">
        <is>
          <t>GOC Bed Unit-Costing Model v2 — working original.xlsx</t>
        </is>
      </c>
    </row>
    <row r="3040" ht="40" customHeight="1">
      <c r="A3040" s="4" t="inlineStr">
        <is>
          <t>original:Statements!A9</t>
        </is>
      </c>
      <c r="B3040" s="4" t="inlineStr">
        <is>
          <t>Statements</t>
        </is>
      </c>
      <c r="C3040" s="4" t="inlineStr">
        <is>
          <t>A9</t>
        </is>
      </c>
      <c r="D3040" s="4" t="inlineStr">
        <is>
          <t>Grant income, untied</t>
        </is>
      </c>
      <c r="E3040" s="4" t="inlineStr">
        <is>
          <t>Grant income, untied</t>
        </is>
      </c>
      <c r="F3040" s="4" t="inlineStr">
        <is>
          <t>GOC Bed Unit-Costing Model v2 — working original.xlsx</t>
        </is>
      </c>
    </row>
    <row r="3041" ht="40" customHeight="1">
      <c r="A3041" s="4" t="inlineStr">
        <is>
          <t>original:Statements!B9</t>
        </is>
      </c>
      <c r="B3041" s="4" t="inlineStr">
        <is>
          <t>Statements</t>
        </is>
      </c>
      <c r="C3041" s="4" t="inlineStr">
        <is>
          <t>B9</t>
        </is>
      </c>
      <c r="D3041" s="4" t="inlineStr">
        <is>
          <t>=Workings!B20</t>
        </is>
      </c>
      <c r="E3041" s="4" t="n">
        <v>600000</v>
      </c>
      <c r="F3041" s="4" t="inlineStr">
        <is>
          <t>GOC Bed Unit-Costing Model v2 — working original.xlsx</t>
        </is>
      </c>
    </row>
    <row r="3042" ht="40" customHeight="1">
      <c r="A3042" s="4" t="inlineStr">
        <is>
          <t>original:Statements!C9</t>
        </is>
      </c>
      <c r="B3042" s="4" t="inlineStr">
        <is>
          <t>Statements</t>
        </is>
      </c>
      <c r="C3042" s="4" t="inlineStr">
        <is>
          <t>C9</t>
        </is>
      </c>
      <c r="D3042" s="4" t="inlineStr">
        <is>
          <t>=Workings!C20</t>
        </is>
      </c>
      <c r="E3042" s="4" t="n">
        <v>0</v>
      </c>
      <c r="F3042" s="4" t="inlineStr">
        <is>
          <t>GOC Bed Unit-Costing Model v2 — working original.xlsx</t>
        </is>
      </c>
    </row>
    <row r="3043" ht="40" customHeight="1">
      <c r="A3043" s="4" t="inlineStr">
        <is>
          <t>original:Statements!D9</t>
        </is>
      </c>
      <c r="B3043" s="4" t="inlineStr">
        <is>
          <t>Statements</t>
        </is>
      </c>
      <c r="C3043" s="4" t="inlineStr">
        <is>
          <t>D9</t>
        </is>
      </c>
      <c r="D3043" s="4" t="inlineStr">
        <is>
          <t>=Workings!D20</t>
        </is>
      </c>
      <c r="E3043" s="4" t="n">
        <v>0</v>
      </c>
      <c r="F3043" s="4" t="inlineStr">
        <is>
          <t>GOC Bed Unit-Costing Model v2 — working original.xlsx</t>
        </is>
      </c>
    </row>
    <row r="3044" ht="40" customHeight="1">
      <c r="A3044" s="4" t="inlineStr">
        <is>
          <t>original:Statements!A10</t>
        </is>
      </c>
      <c r="B3044" s="4" t="inlineStr">
        <is>
          <t>Statements</t>
        </is>
      </c>
      <c r="C3044" s="4" t="inlineStr">
        <is>
          <t>A10</t>
        </is>
      </c>
      <c r="D3044" s="4" t="inlineStr">
        <is>
          <t>Total income</t>
        </is>
      </c>
      <c r="E3044" s="4" t="inlineStr">
        <is>
          <t>Total income</t>
        </is>
      </c>
      <c r="F3044" s="4" t="inlineStr">
        <is>
          <t>GOC Bed Unit-Costing Model v2 — working original.xlsx</t>
        </is>
      </c>
    </row>
    <row r="3045" ht="40" customHeight="1">
      <c r="A3045" s="4" t="inlineStr">
        <is>
          <t>original:Statements!B10</t>
        </is>
      </c>
      <c r="B3045" s="4" t="inlineStr">
        <is>
          <t>Statements</t>
        </is>
      </c>
      <c r="C3045" s="4" t="inlineStr">
        <is>
          <t>B10</t>
        </is>
      </c>
      <c r="D3045" s="4" t="inlineStr">
        <is>
          <t>=SUM(B7:B9)</t>
        </is>
      </c>
      <c r="E3045" s="4" t="n">
        <v>900000</v>
      </c>
      <c r="F3045" s="4" t="inlineStr">
        <is>
          <t>GOC Bed Unit-Costing Model v2 — working original.xlsx</t>
        </is>
      </c>
    </row>
    <row r="3046" ht="40" customHeight="1">
      <c r="A3046" s="4" t="inlineStr">
        <is>
          <t>original:Statements!C10</t>
        </is>
      </c>
      <c r="B3046" s="4" t="inlineStr">
        <is>
          <t>Statements</t>
        </is>
      </c>
      <c r="C3046" s="4" t="inlineStr">
        <is>
          <t>C10</t>
        </is>
      </c>
      <c r="D3046" s="4" t="inlineStr">
        <is>
          <t>=SUM(C7:C9)</t>
        </is>
      </c>
      <c r="E3046" s="4" t="n">
        <v>750000</v>
      </c>
      <c r="F3046" s="4" t="inlineStr">
        <is>
          <t>GOC Bed Unit-Costing Model v2 — working original.xlsx</t>
        </is>
      </c>
    </row>
    <row r="3047" ht="40" customHeight="1">
      <c r="A3047" s="4" t="inlineStr">
        <is>
          <t>original:Statements!D10</t>
        </is>
      </c>
      <c r="B3047" s="4" t="inlineStr">
        <is>
          <t>Statements</t>
        </is>
      </c>
      <c r="C3047" s="4" t="inlineStr">
        <is>
          <t>D10</t>
        </is>
      </c>
      <c r="D3047" s="4" t="inlineStr">
        <is>
          <t>=SUM(D7:D9)</t>
        </is>
      </c>
      <c r="E3047" s="4" t="n">
        <v>750000</v>
      </c>
      <c r="F3047" s="4" t="inlineStr">
        <is>
          <t>GOC Bed Unit-Costing Model v2 — working original.xlsx</t>
        </is>
      </c>
    </row>
    <row r="3048" ht="40" customHeight="1">
      <c r="A3048" s="4" t="inlineStr">
        <is>
          <t>original:Statements!A12</t>
        </is>
      </c>
      <c r="B3048" s="4" t="inlineStr">
        <is>
          <t>Statements</t>
        </is>
      </c>
      <c r="C3048" s="4" t="inlineStr">
        <is>
          <t>A12</t>
        </is>
      </c>
      <c r="D3048" s="4" t="inlineStr">
        <is>
          <t>Cost of production</t>
        </is>
      </c>
      <c r="E3048" s="4" t="inlineStr">
        <is>
          <t>Cost of production</t>
        </is>
      </c>
      <c r="F3048" s="4" t="inlineStr">
        <is>
          <t>GOC Bed Unit-Costing Model v2 — working original.xlsx</t>
        </is>
      </c>
    </row>
    <row r="3049" ht="40" customHeight="1">
      <c r="A3049" s="4" t="inlineStr">
        <is>
          <t>original:Statements!A13</t>
        </is>
      </c>
      <c r="B3049" s="4" t="inlineStr">
        <is>
          <t>Statements</t>
        </is>
      </c>
      <c r="C3049" s="4" t="inlineStr">
        <is>
          <t>A13</t>
        </is>
      </c>
      <c r="D3049" s="4" t="inlineStr">
        <is>
          <t>Direct bed costs</t>
        </is>
      </c>
      <c r="E3049" s="4" t="inlineStr">
        <is>
          <t>Direct bed costs</t>
        </is>
      </c>
      <c r="F3049" s="4" t="inlineStr">
        <is>
          <t>GOC Bed Unit-Costing Model v2 — working original.xlsx</t>
        </is>
      </c>
    </row>
    <row r="3050" ht="40" customHeight="1">
      <c r="A3050" s="4" t="inlineStr">
        <is>
          <t>original:Statements!B13</t>
        </is>
      </c>
      <c r="B3050" s="4" t="inlineStr">
        <is>
          <t>Statements</t>
        </is>
      </c>
      <c r="C3050" s="4" t="inlineStr">
        <is>
          <t>B13</t>
        </is>
      </c>
      <c r="D3050" s="4" t="inlineStr">
        <is>
          <t>=Workings!B26</t>
        </is>
      </c>
      <c r="E3050" s="4" t="n">
        <v>97296</v>
      </c>
      <c r="F3050" s="4" t="inlineStr">
        <is>
          <t>GOC Bed Unit-Costing Model v2 — working original.xlsx</t>
        </is>
      </c>
    </row>
    <row r="3051" ht="40" customHeight="1">
      <c r="A3051" s="4" t="inlineStr">
        <is>
          <t>original:Statements!C13</t>
        </is>
      </c>
      <c r="B3051" s="4" t="inlineStr">
        <is>
          <t>Statements</t>
        </is>
      </c>
      <c r="C3051" s="4" t="inlineStr">
        <is>
          <t>C13</t>
        </is>
      </c>
      <c r="D3051" s="4" t="inlineStr">
        <is>
          <t>=Workings!C26</t>
        </is>
      </c>
      <c r="E3051" s="4" t="n">
        <v>243240</v>
      </c>
      <c r="F3051" s="4" t="inlineStr">
        <is>
          <t>GOC Bed Unit-Costing Model v2 — working original.xlsx</t>
        </is>
      </c>
    </row>
    <row r="3052" ht="40" customHeight="1">
      <c r="A3052" s="4" t="inlineStr">
        <is>
          <t>original:Statements!D13</t>
        </is>
      </c>
      <c r="B3052" s="4" t="inlineStr">
        <is>
          <t>Statements</t>
        </is>
      </c>
      <c r="C3052" s="4" t="inlineStr">
        <is>
          <t>D13</t>
        </is>
      </c>
      <c r="D3052" s="4" t="inlineStr">
        <is>
          <t>=Workings!D26</t>
        </is>
      </c>
      <c r="E3052" s="4" t="n">
        <v>243240</v>
      </c>
      <c r="F3052" s="4" t="inlineStr">
        <is>
          <t>GOC Bed Unit-Costing Model v2 — working original.xlsx</t>
        </is>
      </c>
    </row>
    <row r="3053" ht="60" customHeight="1">
      <c r="A3053" s="4" t="inlineStr">
        <is>
          <t>original:Statements!F13</t>
        </is>
      </c>
      <c r="B3053" s="4" t="inlineStr">
        <is>
          <t>Statements</t>
        </is>
      </c>
      <c r="C3053" s="4" t="inlineStr">
        <is>
          <t>F13</t>
        </is>
      </c>
      <c r="D3053" s="4" t="inlineStr">
        <is>
          <t>Materials, power and freight only. All labour sits in the site cost centres below.</t>
        </is>
      </c>
      <c r="E3053" s="4" t="inlineStr">
        <is>
          <t>Materials, power and freight only. All labour sits in the site cost centres below.</t>
        </is>
      </c>
      <c r="F3053" s="4" t="inlineStr">
        <is>
          <t>GOC Bed Unit-Costing Model v2 — working original.xlsx</t>
        </is>
      </c>
    </row>
    <row r="3054" ht="40" customHeight="1">
      <c r="A3054" s="4" t="inlineStr">
        <is>
          <t>original:Statements!A14</t>
        </is>
      </c>
      <c r="B3054" s="4" t="inlineStr">
        <is>
          <t>Statements</t>
        </is>
      </c>
      <c r="C3054" s="4" t="inlineStr">
        <is>
          <t>A14</t>
        </is>
      </c>
      <c r="D3054" s="4" t="inlineStr">
        <is>
          <t>Factory sites</t>
        </is>
      </c>
      <c r="E3054" s="4" t="inlineStr">
        <is>
          <t>Factory sites</t>
        </is>
      </c>
      <c r="F3054" s="4" t="inlineStr">
        <is>
          <t>GOC Bed Unit-Costing Model v2 — working original.xlsx</t>
        </is>
      </c>
    </row>
    <row r="3055" ht="40" customHeight="1">
      <c r="A3055" s="4" t="inlineStr">
        <is>
          <t>original:Statements!B14</t>
        </is>
      </c>
      <c r="B3055" s="4" t="inlineStr">
        <is>
          <t>Statements</t>
        </is>
      </c>
      <c r="C3055" s="4" t="inlineStr">
        <is>
          <t>B14</t>
        </is>
      </c>
      <c r="D3055" s="4" t="inlineStr">
        <is>
          <t>=Workings!B34</t>
        </is>
      </c>
      <c r="E3055" s="4" t="n">
        <v>165350</v>
      </c>
      <c r="F3055" s="4" t="inlineStr">
        <is>
          <t>GOC Bed Unit-Costing Model v2 — working original.xlsx</t>
        </is>
      </c>
    </row>
    <row r="3056" ht="40" customHeight="1">
      <c r="A3056" s="4" t="inlineStr">
        <is>
          <t>original:Statements!C14</t>
        </is>
      </c>
      <c r="B3056" s="4" t="inlineStr">
        <is>
          <t>Statements</t>
        </is>
      </c>
      <c r="C3056" s="4" t="inlineStr">
        <is>
          <t>C14</t>
        </is>
      </c>
      <c r="D3056" s="4" t="inlineStr">
        <is>
          <t>=Workings!C34</t>
        </is>
      </c>
      <c r="E3056" s="4" t="n">
        <v>165350</v>
      </c>
      <c r="F3056" s="4" t="inlineStr">
        <is>
          <t>GOC Bed Unit-Costing Model v2 — working original.xlsx</t>
        </is>
      </c>
    </row>
    <row r="3057" ht="40" customHeight="1">
      <c r="A3057" s="4" t="inlineStr">
        <is>
          <t>original:Statements!D14</t>
        </is>
      </c>
      <c r="B3057" s="4" t="inlineStr">
        <is>
          <t>Statements</t>
        </is>
      </c>
      <c r="C3057" s="4" t="inlineStr">
        <is>
          <t>D14</t>
        </is>
      </c>
      <c r="D3057" s="4" t="inlineStr">
        <is>
          <t>=Workings!D34</t>
        </is>
      </c>
      <c r="E3057" s="4" t="n">
        <v>165350</v>
      </c>
      <c r="F3057" s="4" t="inlineStr">
        <is>
          <t>GOC Bed Unit-Costing Model v2 — working original.xlsx</t>
        </is>
      </c>
    </row>
    <row r="3058" ht="40" customHeight="1">
      <c r="A3058" s="4" t="inlineStr">
        <is>
          <t>original:Statements!A15</t>
        </is>
      </c>
      <c r="B3058" s="4" t="inlineStr">
        <is>
          <t>Statements</t>
        </is>
      </c>
      <c r="C3058" s="4" t="inlineStr">
        <is>
          <t>A15</t>
        </is>
      </c>
      <c r="D3058" s="4" t="inlineStr">
        <is>
          <t>Container (on-Country) sites</t>
        </is>
      </c>
      <c r="E3058" s="4" t="inlineStr">
        <is>
          <t>Container (on-Country) sites</t>
        </is>
      </c>
      <c r="F3058" s="4" t="inlineStr">
        <is>
          <t>GOC Bed Unit-Costing Model v2 — working original.xlsx</t>
        </is>
      </c>
    </row>
    <row r="3059" ht="40" customHeight="1">
      <c r="A3059" s="4" t="inlineStr">
        <is>
          <t>original:Statements!B15</t>
        </is>
      </c>
      <c r="B3059" s="4" t="inlineStr">
        <is>
          <t>Statements</t>
        </is>
      </c>
      <c r="C3059" s="4" t="inlineStr">
        <is>
          <t>B15</t>
        </is>
      </c>
      <c r="D3059" s="4" t="inlineStr">
        <is>
          <t>=Workings!B42</t>
        </is>
      </c>
      <c r="E3059" s="4" t="n">
        <v>210350</v>
      </c>
      <c r="F3059" s="4" t="inlineStr">
        <is>
          <t>GOC Bed Unit-Costing Model v2 — working original.xlsx</t>
        </is>
      </c>
    </row>
    <row r="3060" ht="40" customHeight="1">
      <c r="A3060" s="4" t="inlineStr">
        <is>
          <t>original:Statements!C15</t>
        </is>
      </c>
      <c r="B3060" s="4" t="inlineStr">
        <is>
          <t>Statements</t>
        </is>
      </c>
      <c r="C3060" s="4" t="inlineStr">
        <is>
          <t>C15</t>
        </is>
      </c>
      <c r="D3060" s="4" t="inlineStr">
        <is>
          <t>=Workings!C42</t>
        </is>
      </c>
      <c r="E3060" s="4" t="n">
        <v>210350</v>
      </c>
      <c r="F3060" s="4" t="inlineStr">
        <is>
          <t>GOC Bed Unit-Costing Model v2 — working original.xlsx</t>
        </is>
      </c>
    </row>
    <row r="3061" ht="40" customHeight="1">
      <c r="A3061" s="4" t="inlineStr">
        <is>
          <t>original:Statements!D15</t>
        </is>
      </c>
      <c r="B3061" s="4" t="inlineStr">
        <is>
          <t>Statements</t>
        </is>
      </c>
      <c r="C3061" s="4" t="inlineStr">
        <is>
          <t>D15</t>
        </is>
      </c>
      <c r="D3061" s="4" t="inlineStr">
        <is>
          <t>=Workings!D42</t>
        </is>
      </c>
      <c r="E3061" s="4" t="n">
        <v>210350</v>
      </c>
      <c r="F3061" s="4" t="inlineStr">
        <is>
          <t>GOC Bed Unit-Costing Model v2 — working original.xlsx</t>
        </is>
      </c>
    </row>
    <row r="3062" ht="40" customHeight="1">
      <c r="A3062" s="4" t="inlineStr">
        <is>
          <t>original:Statements!A16</t>
        </is>
      </c>
      <c r="B3062" s="4" t="inlineStr">
        <is>
          <t>Statements</t>
        </is>
      </c>
      <c r="C3062" s="4" t="inlineStr">
        <is>
          <t>A16</t>
        </is>
      </c>
      <c r="D3062" s="4" t="inlineStr">
        <is>
          <t>Youth employment programs</t>
        </is>
      </c>
      <c r="E3062" s="4" t="inlineStr">
        <is>
          <t>Youth employment programs</t>
        </is>
      </c>
      <c r="F3062" s="4" t="inlineStr">
        <is>
          <t>GOC Bed Unit-Costing Model v2 — working original.xlsx</t>
        </is>
      </c>
    </row>
    <row r="3063" ht="40" customHeight="1">
      <c r="A3063" s="4" t="inlineStr">
        <is>
          <t>original:Statements!B16</t>
        </is>
      </c>
      <c r="B3063" s="4" t="inlineStr">
        <is>
          <t>Statements</t>
        </is>
      </c>
      <c r="C3063" s="4" t="inlineStr">
        <is>
          <t>B16</t>
        </is>
      </c>
      <c r="D3063" s="4" t="inlineStr">
        <is>
          <t>=Workings!B47</t>
        </is>
      </c>
      <c r="E3063" s="4" t="n">
        <v>0</v>
      </c>
      <c r="F3063" s="4" t="inlineStr">
        <is>
          <t>GOC Bed Unit-Costing Model v2 — working original.xlsx</t>
        </is>
      </c>
    </row>
    <row r="3064" ht="40" customHeight="1">
      <c r="A3064" s="4" t="inlineStr">
        <is>
          <t>original:Statements!C16</t>
        </is>
      </c>
      <c r="B3064" s="4" t="inlineStr">
        <is>
          <t>Statements</t>
        </is>
      </c>
      <c r="C3064" s="4" t="inlineStr">
        <is>
          <t>C16</t>
        </is>
      </c>
      <c r="D3064" s="4" t="inlineStr">
        <is>
          <t>=Workings!C47</t>
        </is>
      </c>
      <c r="E3064" s="4" t="n">
        <v>0</v>
      </c>
      <c r="F3064" s="4" t="inlineStr">
        <is>
          <t>GOC Bed Unit-Costing Model v2 — working original.xlsx</t>
        </is>
      </c>
    </row>
    <row r="3065" ht="40" customHeight="1">
      <c r="A3065" s="4" t="inlineStr">
        <is>
          <t>original:Statements!D16</t>
        </is>
      </c>
      <c r="B3065" s="4" t="inlineStr">
        <is>
          <t>Statements</t>
        </is>
      </c>
      <c r="C3065" s="4" t="inlineStr">
        <is>
          <t>D16</t>
        </is>
      </c>
      <c r="D3065" s="4" t="inlineStr">
        <is>
          <t>=Workings!D47</t>
        </is>
      </c>
      <c r="E3065" s="4" t="n">
        <v>0</v>
      </c>
      <c r="F3065" s="4" t="inlineStr">
        <is>
          <t>GOC Bed Unit-Costing Model v2 — working original.xlsx</t>
        </is>
      </c>
    </row>
    <row r="3066" ht="40" customHeight="1">
      <c r="A3066" s="4" t="inlineStr">
        <is>
          <t>original:Statements!A17</t>
        </is>
      </c>
      <c r="B3066" s="4" t="inlineStr">
        <is>
          <t>Statements</t>
        </is>
      </c>
      <c r="C3066" s="4" t="inlineStr">
        <is>
          <t>A17</t>
        </is>
      </c>
      <c r="D3066" s="4" t="inlineStr">
        <is>
          <t>Total cost of production</t>
        </is>
      </c>
      <c r="E3066" s="4" t="inlineStr">
        <is>
          <t>Total cost of production</t>
        </is>
      </c>
      <c r="F3066" s="4" t="inlineStr">
        <is>
          <t>GOC Bed Unit-Costing Model v2 — working original.xlsx</t>
        </is>
      </c>
    </row>
    <row r="3067" ht="40" customHeight="1">
      <c r="A3067" s="4" t="inlineStr">
        <is>
          <t>original:Statements!B17</t>
        </is>
      </c>
      <c r="B3067" s="4" t="inlineStr">
        <is>
          <t>Statements</t>
        </is>
      </c>
      <c r="C3067" s="4" t="inlineStr">
        <is>
          <t>B17</t>
        </is>
      </c>
      <c r="D3067" s="4" t="inlineStr">
        <is>
          <t>=SUM(B13:B16)</t>
        </is>
      </c>
      <c r="E3067" s="4" t="n">
        <v>472996</v>
      </c>
      <c r="F3067" s="4" t="inlineStr">
        <is>
          <t>GOC Bed Unit-Costing Model v2 — working original.xlsx</t>
        </is>
      </c>
    </row>
    <row r="3068" ht="40" customHeight="1">
      <c r="A3068" s="4" t="inlineStr">
        <is>
          <t>original:Statements!C17</t>
        </is>
      </c>
      <c r="B3068" s="4" t="inlineStr">
        <is>
          <t>Statements</t>
        </is>
      </c>
      <c r="C3068" s="4" t="inlineStr">
        <is>
          <t>C17</t>
        </is>
      </c>
      <c r="D3068" s="4" t="inlineStr">
        <is>
          <t>=SUM(C13:C16)</t>
        </is>
      </c>
      <c r="E3068" s="4" t="n">
        <v>618940</v>
      </c>
      <c r="F3068" s="4" t="inlineStr">
        <is>
          <t>GOC Bed Unit-Costing Model v2 — working original.xlsx</t>
        </is>
      </c>
    </row>
    <row r="3069" ht="40" customHeight="1">
      <c r="A3069" s="4" t="inlineStr">
        <is>
          <t>original:Statements!D17</t>
        </is>
      </c>
      <c r="B3069" s="4" t="inlineStr">
        <is>
          <t>Statements</t>
        </is>
      </c>
      <c r="C3069" s="4" t="inlineStr">
        <is>
          <t>D17</t>
        </is>
      </c>
      <c r="D3069" s="4" t="inlineStr">
        <is>
          <t>=SUM(D13:D16)</t>
        </is>
      </c>
      <c r="E3069" s="4" t="n">
        <v>618940</v>
      </c>
      <c r="F3069" s="4" t="inlineStr">
        <is>
          <t>GOC Bed Unit-Costing Model v2 — working original.xlsx</t>
        </is>
      </c>
    </row>
    <row r="3070" ht="40" customHeight="1">
      <c r="A3070" s="4" t="inlineStr">
        <is>
          <t>original:Statements!A19</t>
        </is>
      </c>
      <c r="B3070" s="4" t="inlineStr">
        <is>
          <t>Statements</t>
        </is>
      </c>
      <c r="C3070" s="4" t="inlineStr">
        <is>
          <t>A19</t>
        </is>
      </c>
      <c r="D3070" s="4" t="inlineStr">
        <is>
          <t>GROSS SURPLUS</t>
        </is>
      </c>
      <c r="E3070" s="4" t="inlineStr">
        <is>
          <t>GROSS SURPLUS</t>
        </is>
      </c>
      <c r="F3070" s="4" t="inlineStr">
        <is>
          <t>GOC Bed Unit-Costing Model v2 — working original.xlsx</t>
        </is>
      </c>
    </row>
    <row r="3071" ht="40" customHeight="1">
      <c r="A3071" s="4" t="inlineStr">
        <is>
          <t>original:Statements!B19</t>
        </is>
      </c>
      <c r="B3071" s="4" t="inlineStr">
        <is>
          <t>Statements</t>
        </is>
      </c>
      <c r="C3071" s="4" t="inlineStr">
        <is>
          <t>B19</t>
        </is>
      </c>
      <c r="D3071" s="4" t="inlineStr">
        <is>
          <t>=B10-B17</t>
        </is>
      </c>
      <c r="E3071" s="4" t="n">
        <v>427004</v>
      </c>
      <c r="F3071" s="4" t="inlineStr">
        <is>
          <t>GOC Bed Unit-Costing Model v2 — working original.xlsx</t>
        </is>
      </c>
    </row>
    <row r="3072" ht="40" customHeight="1">
      <c r="A3072" s="4" t="inlineStr">
        <is>
          <t>original:Statements!C19</t>
        </is>
      </c>
      <c r="B3072" s="4" t="inlineStr">
        <is>
          <t>Statements</t>
        </is>
      </c>
      <c r="C3072" s="4" t="inlineStr">
        <is>
          <t>C19</t>
        </is>
      </c>
      <c r="D3072" s="4" t="inlineStr">
        <is>
          <t>=C10-C17</t>
        </is>
      </c>
      <c r="E3072" s="4" t="n">
        <v>131060</v>
      </c>
      <c r="F3072" s="4" t="inlineStr">
        <is>
          <t>GOC Bed Unit-Costing Model v2 — working original.xlsx</t>
        </is>
      </c>
    </row>
    <row r="3073" ht="40" customHeight="1">
      <c r="A3073" s="4" t="inlineStr">
        <is>
          <t>original:Statements!D19</t>
        </is>
      </c>
      <c r="B3073" s="4" t="inlineStr">
        <is>
          <t>Statements</t>
        </is>
      </c>
      <c r="C3073" s="4" t="inlineStr">
        <is>
          <t>D19</t>
        </is>
      </c>
      <c r="D3073" s="4" t="inlineStr">
        <is>
          <t>=D10-D17</t>
        </is>
      </c>
      <c r="E3073" s="4" t="n">
        <v>131060</v>
      </c>
      <c r="F3073" s="4" t="inlineStr">
        <is>
          <t>GOC Bed Unit-Costing Model v2 — working original.xlsx</t>
        </is>
      </c>
    </row>
    <row r="3074" ht="40" customHeight="1">
      <c r="A3074" s="4" t="inlineStr">
        <is>
          <t>original:Statements!A21</t>
        </is>
      </c>
      <c r="B3074" s="4" t="inlineStr">
        <is>
          <t>Statements</t>
        </is>
      </c>
      <c r="C3074" s="4" t="inlineStr">
        <is>
          <t>A21</t>
        </is>
      </c>
      <c r="D3074" s="4" t="inlineStr">
        <is>
          <t>Overhead and admin (Central cost centre)</t>
        </is>
      </c>
      <c r="E3074" s="4" t="inlineStr">
        <is>
          <t>Overhead and admin (Central cost centre)</t>
        </is>
      </c>
      <c r="F3074" s="4" t="inlineStr">
        <is>
          <t>GOC Bed Unit-Costing Model v2 — working original.xlsx</t>
        </is>
      </c>
    </row>
    <row r="3075" ht="40" customHeight="1">
      <c r="A3075" s="4" t="inlineStr">
        <is>
          <t>original:Statements!A22</t>
        </is>
      </c>
      <c r="B3075" s="4" t="inlineStr">
        <is>
          <t>Statements</t>
        </is>
      </c>
      <c r="C3075" s="4" t="inlineStr">
        <is>
          <t>A22</t>
        </is>
      </c>
      <c r="D3075" s="4" t="inlineStr">
        <is>
          <t>Wages and Salaries</t>
        </is>
      </c>
      <c r="E3075" s="4" t="inlineStr">
        <is>
          <t>Wages and Salaries</t>
        </is>
      </c>
      <c r="F3075" s="4" t="inlineStr">
        <is>
          <t>GOC Bed Unit-Costing Model v2 — working original.xlsx</t>
        </is>
      </c>
    </row>
    <row r="3076" ht="40" customHeight="1">
      <c r="A3076" s="4" t="inlineStr">
        <is>
          <t>original:Statements!B22</t>
        </is>
      </c>
      <c r="B3076" s="4" t="inlineStr">
        <is>
          <t>Statements</t>
        </is>
      </c>
      <c r="C3076" s="4" t="inlineStr">
        <is>
          <t>B22</t>
        </is>
      </c>
      <c r="D3076" s="4" t="inlineStr">
        <is>
          <t>=Workings!B50</t>
        </is>
      </c>
      <c r="E3076" s="4" t="n">
        <v>0</v>
      </c>
      <c r="F3076" s="4" t="inlineStr">
        <is>
          <t>GOC Bed Unit-Costing Model v2 — working original.xlsx</t>
        </is>
      </c>
    </row>
    <row r="3077" ht="40" customHeight="1">
      <c r="A3077" s="4" t="inlineStr">
        <is>
          <t>original:Statements!C22</t>
        </is>
      </c>
      <c r="B3077" s="4" t="inlineStr">
        <is>
          <t>Statements</t>
        </is>
      </c>
      <c r="C3077" s="4" t="inlineStr">
        <is>
          <t>C22</t>
        </is>
      </c>
      <c r="D3077" s="4" t="inlineStr">
        <is>
          <t>=Workings!C50</t>
        </is>
      </c>
      <c r="E3077" s="4" t="n">
        <v>0</v>
      </c>
      <c r="F3077" s="4" t="inlineStr">
        <is>
          <t>GOC Bed Unit-Costing Model v2 — working original.xlsx</t>
        </is>
      </c>
    </row>
    <row r="3078" ht="40" customHeight="1">
      <c r="A3078" s="4" t="inlineStr">
        <is>
          <t>original:Statements!D22</t>
        </is>
      </c>
      <c r="B3078" s="4" t="inlineStr">
        <is>
          <t>Statements</t>
        </is>
      </c>
      <c r="C3078" s="4" t="inlineStr">
        <is>
          <t>D22</t>
        </is>
      </c>
      <c r="D3078" s="4" t="inlineStr">
        <is>
          <t>=Workings!D50</t>
        </is>
      </c>
      <c r="E3078" s="4" t="n">
        <v>0</v>
      </c>
      <c r="F3078" s="4" t="inlineStr">
        <is>
          <t>GOC Bed Unit-Costing Model v2 — working original.xlsx</t>
        </is>
      </c>
    </row>
    <row r="3079" ht="40" customHeight="1">
      <c r="A3079" s="4" t="inlineStr">
        <is>
          <t>original:Statements!A23</t>
        </is>
      </c>
      <c r="B3079" s="4" t="inlineStr">
        <is>
          <t>Statements</t>
        </is>
      </c>
      <c r="C3079" s="4" t="inlineStr">
        <is>
          <t>A23</t>
        </is>
      </c>
      <c r="D3079" s="4" t="inlineStr">
        <is>
          <t>Founder Salaries</t>
        </is>
      </c>
      <c r="E3079" s="4" t="inlineStr">
        <is>
          <t>Founder Salaries</t>
        </is>
      </c>
      <c r="F3079" s="4" t="inlineStr">
        <is>
          <t>GOC Bed Unit-Costing Model v2 — working original.xlsx</t>
        </is>
      </c>
    </row>
    <row r="3080" ht="40" customHeight="1">
      <c r="A3080" s="4" t="inlineStr">
        <is>
          <t>original:Statements!B23</t>
        </is>
      </c>
      <c r="B3080" s="4" t="inlineStr">
        <is>
          <t>Statements</t>
        </is>
      </c>
      <c r="C3080" s="4" t="inlineStr">
        <is>
          <t>B23</t>
        </is>
      </c>
      <c r="D3080" s="4" t="inlineStr">
        <is>
          <t>=Workings!B51</t>
        </is>
      </c>
      <c r="E3080" s="4" t="n">
        <v>151200</v>
      </c>
      <c r="F3080" s="4" t="inlineStr">
        <is>
          <t>GOC Bed Unit-Costing Model v2 — working original.xlsx</t>
        </is>
      </c>
    </row>
    <row r="3081" ht="40" customHeight="1">
      <c r="A3081" s="4" t="inlineStr">
        <is>
          <t>original:Statements!C23</t>
        </is>
      </c>
      <c r="B3081" s="4" t="inlineStr">
        <is>
          <t>Statements</t>
        </is>
      </c>
      <c r="C3081" s="4" t="inlineStr">
        <is>
          <t>C23</t>
        </is>
      </c>
      <c r="D3081" s="4" t="inlineStr">
        <is>
          <t>=Workings!C51</t>
        </is>
      </c>
      <c r="E3081" s="4" t="n">
        <v>151200</v>
      </c>
      <c r="F3081" s="4" t="inlineStr">
        <is>
          <t>GOC Bed Unit-Costing Model v2 — working original.xlsx</t>
        </is>
      </c>
    </row>
    <row r="3082" ht="40" customHeight="1">
      <c r="A3082" s="4" t="inlineStr">
        <is>
          <t>original:Statements!D23</t>
        </is>
      </c>
      <c r="B3082" s="4" t="inlineStr">
        <is>
          <t>Statements</t>
        </is>
      </c>
      <c r="C3082" s="4" t="inlineStr">
        <is>
          <t>D23</t>
        </is>
      </c>
      <c r="D3082" s="4" t="inlineStr">
        <is>
          <t>=Workings!D51</t>
        </is>
      </c>
      <c r="E3082" s="4" t="n">
        <v>151200</v>
      </c>
      <c r="F3082" s="4" t="inlineStr">
        <is>
          <t>GOC Bed Unit-Costing Model v2 — working original.xlsx</t>
        </is>
      </c>
    </row>
    <row r="3083" ht="40" customHeight="1">
      <c r="A3083" s="4" t="inlineStr">
        <is>
          <t>original:Statements!A24</t>
        </is>
      </c>
      <c r="B3083" s="4" t="inlineStr">
        <is>
          <t>Statements</t>
        </is>
      </c>
      <c r="C3083" s="4" t="inlineStr">
        <is>
          <t>A24</t>
        </is>
      </c>
      <c r="D3083" s="4" t="inlineStr">
        <is>
          <t>Head office costs</t>
        </is>
      </c>
      <c r="E3083" s="4" t="inlineStr">
        <is>
          <t>Head office costs</t>
        </is>
      </c>
      <c r="F3083" s="4" t="inlineStr">
        <is>
          <t>GOC Bed Unit-Costing Model v2 — working original.xlsx</t>
        </is>
      </c>
    </row>
    <row r="3084" ht="40" customHeight="1">
      <c r="A3084" s="4" t="inlineStr">
        <is>
          <t>original:Statements!B24</t>
        </is>
      </c>
      <c r="B3084" s="4" t="inlineStr">
        <is>
          <t>Statements</t>
        </is>
      </c>
      <c r="C3084" s="4" t="inlineStr">
        <is>
          <t>B24</t>
        </is>
      </c>
      <c r="D3084" s="4" t="inlineStr">
        <is>
          <t>=Workings!B52</t>
        </is>
      </c>
      <c r="E3084" s="4" t="n">
        <v>53000</v>
      </c>
      <c r="F3084" s="4" t="inlineStr">
        <is>
          <t>GOC Bed Unit-Costing Model v2 — working original.xlsx</t>
        </is>
      </c>
    </row>
    <row r="3085" ht="40" customHeight="1">
      <c r="A3085" s="4" t="inlineStr">
        <is>
          <t>original:Statements!C24</t>
        </is>
      </c>
      <c r="B3085" s="4" t="inlineStr">
        <is>
          <t>Statements</t>
        </is>
      </c>
      <c r="C3085" s="4" t="inlineStr">
        <is>
          <t>C24</t>
        </is>
      </c>
      <c r="D3085" s="4" t="inlineStr">
        <is>
          <t>=Workings!C52</t>
        </is>
      </c>
      <c r="E3085" s="4" t="n">
        <v>53000</v>
      </c>
      <c r="F3085" s="4" t="inlineStr">
        <is>
          <t>GOC Bed Unit-Costing Model v2 — working original.xlsx</t>
        </is>
      </c>
    </row>
    <row r="3086" ht="40" customHeight="1">
      <c r="A3086" s="4" t="inlineStr">
        <is>
          <t>original:Statements!D24</t>
        </is>
      </c>
      <c r="B3086" s="4" t="inlineStr">
        <is>
          <t>Statements</t>
        </is>
      </c>
      <c r="C3086" s="4" t="inlineStr">
        <is>
          <t>D24</t>
        </is>
      </c>
      <c r="D3086" s="4" t="inlineStr">
        <is>
          <t>=Workings!D52</t>
        </is>
      </c>
      <c r="E3086" s="4" t="n">
        <v>53000</v>
      </c>
      <c r="F3086" s="4" t="inlineStr">
        <is>
          <t>GOC Bed Unit-Costing Model v2 — working original.xlsx</t>
        </is>
      </c>
    </row>
    <row r="3087" ht="40" customHeight="1">
      <c r="A3087" s="4" t="inlineStr">
        <is>
          <t>original:Statements!A25</t>
        </is>
      </c>
      <c r="B3087" s="4" t="inlineStr">
        <is>
          <t>Statements</t>
        </is>
      </c>
      <c r="C3087" s="4" t="inlineStr">
        <is>
          <t>A25</t>
        </is>
      </c>
      <c r="D3087" s="4" t="inlineStr">
        <is>
          <t>Advertising and Marketing</t>
        </is>
      </c>
      <c r="E3087" s="4" t="inlineStr">
        <is>
          <t>Advertising and Marketing</t>
        </is>
      </c>
      <c r="F3087" s="4" t="inlineStr">
        <is>
          <t>GOC Bed Unit-Costing Model v2 — working original.xlsx</t>
        </is>
      </c>
    </row>
    <row r="3088" ht="40" customHeight="1">
      <c r="A3088" s="4" t="inlineStr">
        <is>
          <t>original:Statements!B25</t>
        </is>
      </c>
      <c r="B3088" s="4" t="inlineStr">
        <is>
          <t>Statements</t>
        </is>
      </c>
      <c r="C3088" s="4" t="inlineStr">
        <is>
          <t>B25</t>
        </is>
      </c>
      <c r="D3088" s="4" t="inlineStr">
        <is>
          <t>=Workings!B53</t>
        </is>
      </c>
      <c r="E3088" s="4" t="n">
        <v>35000</v>
      </c>
      <c r="F3088" s="4" t="inlineStr">
        <is>
          <t>GOC Bed Unit-Costing Model v2 — working original.xlsx</t>
        </is>
      </c>
    </row>
    <row r="3089" ht="40" customHeight="1">
      <c r="A3089" s="4" t="inlineStr">
        <is>
          <t>original:Statements!C25</t>
        </is>
      </c>
      <c r="B3089" s="4" t="inlineStr">
        <is>
          <t>Statements</t>
        </is>
      </c>
      <c r="C3089" s="4" t="inlineStr">
        <is>
          <t>C25</t>
        </is>
      </c>
      <c r="D3089" s="4" t="inlineStr">
        <is>
          <t>=Workings!C53</t>
        </is>
      </c>
      <c r="E3089" s="4" t="n">
        <v>35000</v>
      </c>
      <c r="F3089" s="4" t="inlineStr">
        <is>
          <t>GOC Bed Unit-Costing Model v2 — working original.xlsx</t>
        </is>
      </c>
    </row>
    <row r="3090" ht="40" customHeight="1">
      <c r="A3090" s="4" t="inlineStr">
        <is>
          <t>original:Statements!D25</t>
        </is>
      </c>
      <c r="B3090" s="4" t="inlineStr">
        <is>
          <t>Statements</t>
        </is>
      </c>
      <c r="C3090" s="4" t="inlineStr">
        <is>
          <t>D25</t>
        </is>
      </c>
      <c r="D3090" s="4" t="inlineStr">
        <is>
          <t>=Workings!D53</t>
        </is>
      </c>
      <c r="E3090" s="4" t="n">
        <v>35000</v>
      </c>
      <c r="F3090" s="4" t="inlineStr">
        <is>
          <t>GOC Bed Unit-Costing Model v2 — working original.xlsx</t>
        </is>
      </c>
    </row>
    <row r="3091" ht="40" customHeight="1">
      <c r="A3091" s="4" t="inlineStr">
        <is>
          <t>original:Statements!A26</t>
        </is>
      </c>
      <c r="B3091" s="4" t="inlineStr">
        <is>
          <t>Statements</t>
        </is>
      </c>
      <c r="C3091" s="4" t="inlineStr">
        <is>
          <t>A26</t>
        </is>
      </c>
      <c r="D3091" s="4" t="inlineStr">
        <is>
          <t>Field Travel</t>
        </is>
      </c>
      <c r="E3091" s="4" t="inlineStr">
        <is>
          <t>Field Travel</t>
        </is>
      </c>
      <c r="F3091" s="4" t="inlineStr">
        <is>
          <t>GOC Bed Unit-Costing Model v2 — working original.xlsx</t>
        </is>
      </c>
    </row>
    <row r="3092" ht="40" customHeight="1">
      <c r="A3092" s="4" t="inlineStr">
        <is>
          <t>original:Statements!B26</t>
        </is>
      </c>
      <c r="B3092" s="4" t="inlineStr">
        <is>
          <t>Statements</t>
        </is>
      </c>
      <c r="C3092" s="4" t="inlineStr">
        <is>
          <t>B26</t>
        </is>
      </c>
      <c r="D3092" s="4" t="inlineStr">
        <is>
          <t>=Workings!B54</t>
        </is>
      </c>
      <c r="E3092" s="4" t="n">
        <v>51000</v>
      </c>
      <c r="F3092" s="4" t="inlineStr">
        <is>
          <t>GOC Bed Unit-Costing Model v2 — working original.xlsx</t>
        </is>
      </c>
    </row>
    <row r="3093" ht="40" customHeight="1">
      <c r="A3093" s="4" t="inlineStr">
        <is>
          <t>original:Statements!C26</t>
        </is>
      </c>
      <c r="B3093" s="4" t="inlineStr">
        <is>
          <t>Statements</t>
        </is>
      </c>
      <c r="C3093" s="4" t="inlineStr">
        <is>
          <t>C26</t>
        </is>
      </c>
      <c r="D3093" s="4" t="inlineStr">
        <is>
          <t>=Workings!C54</t>
        </is>
      </c>
      <c r="E3093" s="4" t="n">
        <v>51000</v>
      </c>
      <c r="F3093" s="4" t="inlineStr">
        <is>
          <t>GOC Bed Unit-Costing Model v2 — working original.xlsx</t>
        </is>
      </c>
    </row>
    <row r="3094" ht="40" customHeight="1">
      <c r="A3094" s="4" t="inlineStr">
        <is>
          <t>original:Statements!D26</t>
        </is>
      </c>
      <c r="B3094" s="4" t="inlineStr">
        <is>
          <t>Statements</t>
        </is>
      </c>
      <c r="C3094" s="4" t="inlineStr">
        <is>
          <t>D26</t>
        </is>
      </c>
      <c r="D3094" s="4" t="inlineStr">
        <is>
          <t>=Workings!D54</t>
        </is>
      </c>
      <c r="E3094" s="4" t="n">
        <v>51000</v>
      </c>
      <c r="F3094" s="4" t="inlineStr">
        <is>
          <t>GOC Bed Unit-Costing Model v2 — working original.xlsx</t>
        </is>
      </c>
    </row>
    <row r="3095" ht="40" customHeight="1">
      <c r="A3095" s="4" t="inlineStr">
        <is>
          <t>original:Statements!A27</t>
        </is>
      </c>
      <c r="B3095" s="4" t="inlineStr">
        <is>
          <t>Statements</t>
        </is>
      </c>
      <c r="C3095" s="4" t="inlineStr">
        <is>
          <t>A27</t>
        </is>
      </c>
      <c r="D3095" s="4" t="inlineStr">
        <is>
          <t>R&amp;D</t>
        </is>
      </c>
      <c r="E3095" s="4" t="inlineStr">
        <is>
          <t>R&amp;D</t>
        </is>
      </c>
      <c r="F3095" s="4" t="inlineStr">
        <is>
          <t>GOC Bed Unit-Costing Model v2 — working original.xlsx</t>
        </is>
      </c>
    </row>
    <row r="3096" ht="40" customHeight="1">
      <c r="A3096" s="4" t="inlineStr">
        <is>
          <t>original:Statements!B27</t>
        </is>
      </c>
      <c r="B3096" s="4" t="inlineStr">
        <is>
          <t>Statements</t>
        </is>
      </c>
      <c r="C3096" s="4" t="inlineStr">
        <is>
          <t>B27</t>
        </is>
      </c>
      <c r="D3096" s="4" t="inlineStr">
        <is>
          <t>=Workings!B55</t>
        </is>
      </c>
      <c r="E3096" s="4" t="n">
        <v>0</v>
      </c>
      <c r="F3096" s="4" t="inlineStr">
        <is>
          <t>GOC Bed Unit-Costing Model v2 — working original.xlsx</t>
        </is>
      </c>
    </row>
    <row r="3097" ht="40" customHeight="1">
      <c r="A3097" s="4" t="inlineStr">
        <is>
          <t>original:Statements!C27</t>
        </is>
      </c>
      <c r="B3097" s="4" t="inlineStr">
        <is>
          <t>Statements</t>
        </is>
      </c>
      <c r="C3097" s="4" t="inlineStr">
        <is>
          <t>C27</t>
        </is>
      </c>
      <c r="D3097" s="4" t="inlineStr">
        <is>
          <t>=Workings!C55</t>
        </is>
      </c>
      <c r="E3097" s="4" t="n">
        <v>0</v>
      </c>
      <c r="F3097" s="4" t="inlineStr">
        <is>
          <t>GOC Bed Unit-Costing Model v2 — working original.xlsx</t>
        </is>
      </c>
    </row>
    <row r="3098" ht="40" customHeight="1">
      <c r="A3098" s="4" t="inlineStr">
        <is>
          <t>original:Statements!D27</t>
        </is>
      </c>
      <c r="B3098" s="4" t="inlineStr">
        <is>
          <t>Statements</t>
        </is>
      </c>
      <c r="C3098" s="4" t="inlineStr">
        <is>
          <t>D27</t>
        </is>
      </c>
      <c r="D3098" s="4" t="inlineStr">
        <is>
          <t>=Workings!D55</t>
        </is>
      </c>
      <c r="E3098" s="4" t="n">
        <v>0</v>
      </c>
      <c r="F3098" s="4" t="inlineStr">
        <is>
          <t>GOC Bed Unit-Costing Model v2 — working original.xlsx</t>
        </is>
      </c>
    </row>
    <row r="3099" ht="40" customHeight="1">
      <c r="A3099" s="4" t="inlineStr">
        <is>
          <t>original:Statements!A28</t>
        </is>
      </c>
      <c r="B3099" s="4" t="inlineStr">
        <is>
          <t>Statements</t>
        </is>
      </c>
      <c r="C3099" s="4" t="inlineStr">
        <is>
          <t>A28</t>
        </is>
      </c>
      <c r="D3099" s="4" t="inlineStr">
        <is>
          <t>Consulting &amp; Accounting</t>
        </is>
      </c>
      <c r="E3099" s="4" t="inlineStr">
        <is>
          <t>Consulting &amp; Accounting</t>
        </is>
      </c>
      <c r="F3099" s="4" t="inlineStr">
        <is>
          <t>GOC Bed Unit-Costing Model v2 — working original.xlsx</t>
        </is>
      </c>
    </row>
    <row r="3100" ht="40" customHeight="1">
      <c r="A3100" s="4" t="inlineStr">
        <is>
          <t>original:Statements!B28</t>
        </is>
      </c>
      <c r="B3100" s="4" t="inlineStr">
        <is>
          <t>Statements</t>
        </is>
      </c>
      <c r="C3100" s="4" t="inlineStr">
        <is>
          <t>B28</t>
        </is>
      </c>
      <c r="D3100" s="4" t="inlineStr">
        <is>
          <t>=Workings!B56</t>
        </is>
      </c>
      <c r="E3100" s="4" t="n">
        <v>50000</v>
      </c>
      <c r="F3100" s="4" t="inlineStr">
        <is>
          <t>GOC Bed Unit-Costing Model v2 — working original.xlsx</t>
        </is>
      </c>
    </row>
    <row r="3101" ht="40" customHeight="1">
      <c r="A3101" s="4" t="inlineStr">
        <is>
          <t>original:Statements!C28</t>
        </is>
      </c>
      <c r="B3101" s="4" t="inlineStr">
        <is>
          <t>Statements</t>
        </is>
      </c>
      <c r="C3101" s="4" t="inlineStr">
        <is>
          <t>C28</t>
        </is>
      </c>
      <c r="D3101" s="4" t="inlineStr">
        <is>
          <t>=Workings!C56</t>
        </is>
      </c>
      <c r="E3101" s="4" t="n">
        <v>50000</v>
      </c>
      <c r="F3101" s="4" t="inlineStr">
        <is>
          <t>GOC Bed Unit-Costing Model v2 — working original.xlsx</t>
        </is>
      </c>
    </row>
    <row r="3102" ht="40" customHeight="1">
      <c r="A3102" s="4" t="inlineStr">
        <is>
          <t>original:Statements!D28</t>
        </is>
      </c>
      <c r="B3102" s="4" t="inlineStr">
        <is>
          <t>Statements</t>
        </is>
      </c>
      <c r="C3102" s="4" t="inlineStr">
        <is>
          <t>D28</t>
        </is>
      </c>
      <c r="D3102" s="4" t="inlineStr">
        <is>
          <t>=Workings!D56</t>
        </is>
      </c>
      <c r="E3102" s="4" t="n">
        <v>50000</v>
      </c>
      <c r="F3102" s="4" t="inlineStr">
        <is>
          <t>GOC Bed Unit-Costing Model v2 — working original.xlsx</t>
        </is>
      </c>
    </row>
    <row r="3103" ht="40" customHeight="1">
      <c r="A3103" s="4" t="inlineStr">
        <is>
          <t>original:Statements!A29</t>
        </is>
      </c>
      <c r="B3103" s="4" t="inlineStr">
        <is>
          <t>Statements</t>
        </is>
      </c>
      <c r="C3103" s="4" t="inlineStr">
        <is>
          <t>A29</t>
        </is>
      </c>
      <c r="D3103" s="4" t="inlineStr">
        <is>
          <t>Total overhead and admin</t>
        </is>
      </c>
      <c r="E3103" s="4" t="inlineStr">
        <is>
          <t>Total overhead and admin</t>
        </is>
      </c>
      <c r="F3103" s="4" t="inlineStr">
        <is>
          <t>GOC Bed Unit-Costing Model v2 — working original.xlsx</t>
        </is>
      </c>
    </row>
    <row r="3104" ht="40" customHeight="1">
      <c r="A3104" s="4" t="inlineStr">
        <is>
          <t>original:Statements!B29</t>
        </is>
      </c>
      <c r="B3104" s="4" t="inlineStr">
        <is>
          <t>Statements</t>
        </is>
      </c>
      <c r="C3104" s="4" t="inlineStr">
        <is>
          <t>B29</t>
        </is>
      </c>
      <c r="D3104" s="4" t="inlineStr">
        <is>
          <t>=SUM(B22:B28)</t>
        </is>
      </c>
      <c r="E3104" s="4" t="n">
        <v>340200</v>
      </c>
      <c r="F3104" s="4" t="inlineStr">
        <is>
          <t>GOC Bed Unit-Costing Model v2 — working original.xlsx</t>
        </is>
      </c>
    </row>
    <row r="3105" ht="40" customHeight="1">
      <c r="A3105" s="4" t="inlineStr">
        <is>
          <t>original:Statements!C29</t>
        </is>
      </c>
      <c r="B3105" s="4" t="inlineStr">
        <is>
          <t>Statements</t>
        </is>
      </c>
      <c r="C3105" s="4" t="inlineStr">
        <is>
          <t>C29</t>
        </is>
      </c>
      <c r="D3105" s="4" t="inlineStr">
        <is>
          <t>=SUM(C22:C28)</t>
        </is>
      </c>
      <c r="E3105" s="4" t="n">
        <v>340200</v>
      </c>
      <c r="F3105" s="4" t="inlineStr">
        <is>
          <t>GOC Bed Unit-Costing Model v2 — working original.xlsx</t>
        </is>
      </c>
    </row>
    <row r="3106" ht="40" customHeight="1">
      <c r="A3106" s="4" t="inlineStr">
        <is>
          <t>original:Statements!D29</t>
        </is>
      </c>
      <c r="B3106" s="4" t="inlineStr">
        <is>
          <t>Statements</t>
        </is>
      </c>
      <c r="C3106" s="4" t="inlineStr">
        <is>
          <t>D29</t>
        </is>
      </c>
      <c r="D3106" s="4" t="inlineStr">
        <is>
          <t>=SUM(D22:D28)</t>
        </is>
      </c>
      <c r="E3106" s="4" t="n">
        <v>340200</v>
      </c>
      <c r="F3106" s="4" t="inlineStr">
        <is>
          <t>GOC Bed Unit-Costing Model v2 — working original.xlsx</t>
        </is>
      </c>
    </row>
    <row r="3107" ht="40" customHeight="1">
      <c r="A3107" s="4" t="inlineStr">
        <is>
          <t>original:Statements!A31</t>
        </is>
      </c>
      <c r="B3107" s="4" t="inlineStr">
        <is>
          <t>Statements</t>
        </is>
      </c>
      <c r="C3107" s="4" t="inlineStr">
        <is>
          <t>A31</t>
        </is>
      </c>
      <c r="D3107" s="4" t="inlineStr">
        <is>
          <t>EBITDA</t>
        </is>
      </c>
      <c r="E3107" s="4" t="inlineStr">
        <is>
          <t>EBITDA</t>
        </is>
      </c>
      <c r="F3107" s="4" t="inlineStr">
        <is>
          <t>GOC Bed Unit-Costing Model v2 — working original.xlsx</t>
        </is>
      </c>
    </row>
    <row r="3108" ht="40" customHeight="1">
      <c r="A3108" s="4" t="inlineStr">
        <is>
          <t>original:Statements!B31</t>
        </is>
      </c>
      <c r="B3108" s="4" t="inlineStr">
        <is>
          <t>Statements</t>
        </is>
      </c>
      <c r="C3108" s="4" t="inlineStr">
        <is>
          <t>B31</t>
        </is>
      </c>
      <c r="D3108" s="4" t="inlineStr">
        <is>
          <t>=B19-B29</t>
        </is>
      </c>
      <c r="E3108" s="4" t="n">
        <v>86804</v>
      </c>
      <c r="F3108" s="4" t="inlineStr">
        <is>
          <t>GOC Bed Unit-Costing Model v2 — working original.xlsx</t>
        </is>
      </c>
    </row>
    <row r="3109" ht="40" customHeight="1">
      <c r="A3109" s="4" t="inlineStr">
        <is>
          <t>original:Statements!C31</t>
        </is>
      </c>
      <c r="B3109" s="4" t="inlineStr">
        <is>
          <t>Statements</t>
        </is>
      </c>
      <c r="C3109" s="4" t="inlineStr">
        <is>
          <t>C31</t>
        </is>
      </c>
      <c r="D3109" s="4" t="inlineStr">
        <is>
          <t>=C19-C29</t>
        </is>
      </c>
      <c r="E3109" s="4" t="n">
        <v>-209140</v>
      </c>
      <c r="F3109" s="4" t="inlineStr">
        <is>
          <t>GOC Bed Unit-Costing Model v2 — working original.xlsx</t>
        </is>
      </c>
    </row>
    <row r="3110" ht="40" customHeight="1">
      <c r="A3110" s="4" t="inlineStr">
        <is>
          <t>original:Statements!D31</t>
        </is>
      </c>
      <c r="B3110" s="4" t="inlineStr">
        <is>
          <t>Statements</t>
        </is>
      </c>
      <c r="C3110" s="4" t="inlineStr">
        <is>
          <t>D31</t>
        </is>
      </c>
      <c r="D3110" s="4" t="inlineStr">
        <is>
          <t>=D19-D29</t>
        </is>
      </c>
      <c r="E3110" s="4" t="n">
        <v>-209140</v>
      </c>
      <c r="F3110" s="4" t="inlineStr">
        <is>
          <t>GOC Bed Unit-Costing Model v2 — working original.xlsx</t>
        </is>
      </c>
    </row>
    <row r="3111" ht="40" customHeight="1">
      <c r="A3111" s="4" t="inlineStr">
        <is>
          <t>original:Statements!A32</t>
        </is>
      </c>
      <c r="B3111" s="4" t="inlineStr">
        <is>
          <t>Statements</t>
        </is>
      </c>
      <c r="C3111" s="4" t="inlineStr">
        <is>
          <t>A32</t>
        </is>
      </c>
      <c r="D3111" s="4" t="inlineStr">
        <is>
          <t>Depreciation</t>
        </is>
      </c>
      <c r="E3111" s="4" t="inlineStr">
        <is>
          <t>Depreciation</t>
        </is>
      </c>
      <c r="F3111" s="4" t="inlineStr">
        <is>
          <t>GOC Bed Unit-Costing Model v2 — working original.xlsx</t>
        </is>
      </c>
    </row>
    <row r="3112" ht="40" customHeight="1">
      <c r="A3112" s="4" t="inlineStr">
        <is>
          <t>original:Statements!B32</t>
        </is>
      </c>
      <c r="B3112" s="4" t="inlineStr">
        <is>
          <t>Statements</t>
        </is>
      </c>
      <c r="C3112" s="4" t="inlineStr">
        <is>
          <t>B32</t>
        </is>
      </c>
      <c r="D3112" s="4" t="inlineStr">
        <is>
          <t>=Workings!B66</t>
        </is>
      </c>
      <c r="E3112" s="4" t="n">
        <v>31749.6</v>
      </c>
      <c r="F3112" s="4" t="inlineStr">
        <is>
          <t>GOC Bed Unit-Costing Model v2 — working original.xlsx</t>
        </is>
      </c>
    </row>
    <row r="3113" ht="40" customHeight="1">
      <c r="A3113" s="4" t="inlineStr">
        <is>
          <t>original:Statements!C32</t>
        </is>
      </c>
      <c r="B3113" s="4" t="inlineStr">
        <is>
          <t>Statements</t>
        </is>
      </c>
      <c r="C3113" s="4" t="inlineStr">
        <is>
          <t>C32</t>
        </is>
      </c>
      <c r="D3113" s="4" t="inlineStr">
        <is>
          <t>=Workings!C66</t>
        </is>
      </c>
      <c r="E3113" s="4" t="n">
        <v>31749.6</v>
      </c>
      <c r="F3113" s="4" t="inlineStr">
        <is>
          <t>GOC Bed Unit-Costing Model v2 — working original.xlsx</t>
        </is>
      </c>
    </row>
    <row r="3114" ht="40" customHeight="1">
      <c r="A3114" s="4" t="inlineStr">
        <is>
          <t>original:Statements!D32</t>
        </is>
      </c>
      <c r="B3114" s="4" t="inlineStr">
        <is>
          <t>Statements</t>
        </is>
      </c>
      <c r="C3114" s="4" t="inlineStr">
        <is>
          <t>D32</t>
        </is>
      </c>
      <c r="D3114" s="4" t="inlineStr">
        <is>
          <t>=Workings!D66</t>
        </is>
      </c>
      <c r="E3114" s="4" t="n">
        <v>31749.6</v>
      </c>
      <c r="F3114" s="4" t="inlineStr">
        <is>
          <t>GOC Bed Unit-Costing Model v2 — working original.xlsx</t>
        </is>
      </c>
    </row>
    <row r="3115" ht="40" customHeight="1">
      <c r="A3115" s="4" t="inlineStr">
        <is>
          <t>original:Statements!A33</t>
        </is>
      </c>
      <c r="B3115" s="4" t="inlineStr">
        <is>
          <t>Statements</t>
        </is>
      </c>
      <c r="C3115" s="4" t="inlineStr">
        <is>
          <t>A33</t>
        </is>
      </c>
      <c r="D3115" s="4" t="inlineStr">
        <is>
          <t>EBIT</t>
        </is>
      </c>
      <c r="E3115" s="4" t="inlineStr">
        <is>
          <t>EBIT</t>
        </is>
      </c>
      <c r="F3115" s="4" t="inlineStr">
        <is>
          <t>GOC Bed Unit-Costing Model v2 — working original.xlsx</t>
        </is>
      </c>
    </row>
    <row r="3116" ht="40" customHeight="1">
      <c r="A3116" s="4" t="inlineStr">
        <is>
          <t>original:Statements!B33</t>
        </is>
      </c>
      <c r="B3116" s="4" t="inlineStr">
        <is>
          <t>Statements</t>
        </is>
      </c>
      <c r="C3116" s="4" t="inlineStr">
        <is>
          <t>B33</t>
        </is>
      </c>
      <c r="D3116" s="4" t="inlineStr">
        <is>
          <t>=B31-B32</t>
        </is>
      </c>
      <c r="E3116" s="4" t="n">
        <v>55054.4</v>
      </c>
      <c r="F3116" s="4" t="inlineStr">
        <is>
          <t>GOC Bed Unit-Costing Model v2 — working original.xlsx</t>
        </is>
      </c>
    </row>
    <row r="3117" ht="40" customHeight="1">
      <c r="A3117" s="4" t="inlineStr">
        <is>
          <t>original:Statements!C33</t>
        </is>
      </c>
      <c r="B3117" s="4" t="inlineStr">
        <is>
          <t>Statements</t>
        </is>
      </c>
      <c r="C3117" s="4" t="inlineStr">
        <is>
          <t>C33</t>
        </is>
      </c>
      <c r="D3117" s="4" t="inlineStr">
        <is>
          <t>=C31-C32</t>
        </is>
      </c>
      <c r="E3117" s="4" t="n">
        <v>-240889.6</v>
      </c>
      <c r="F3117" s="4" t="inlineStr">
        <is>
          <t>GOC Bed Unit-Costing Model v2 — working original.xlsx</t>
        </is>
      </c>
    </row>
    <row r="3118" ht="40" customHeight="1">
      <c r="A3118" s="4" t="inlineStr">
        <is>
          <t>original:Statements!D33</t>
        </is>
      </c>
      <c r="B3118" s="4" t="inlineStr">
        <is>
          <t>Statements</t>
        </is>
      </c>
      <c r="C3118" s="4" t="inlineStr">
        <is>
          <t>D33</t>
        </is>
      </c>
      <c r="D3118" s="4" t="inlineStr">
        <is>
          <t>=D31-D32</t>
        </is>
      </c>
      <c r="E3118" s="4" t="n">
        <v>-240889.6</v>
      </c>
      <c r="F3118" s="4" t="inlineStr">
        <is>
          <t>GOC Bed Unit-Costing Model v2 — working original.xlsx</t>
        </is>
      </c>
    </row>
    <row r="3119" ht="40" customHeight="1">
      <c r="A3119" s="4" t="inlineStr">
        <is>
          <t>original:Statements!A34</t>
        </is>
      </c>
      <c r="B3119" s="4" t="inlineStr">
        <is>
          <t>Statements</t>
        </is>
      </c>
      <c r="C3119" s="4" t="inlineStr">
        <is>
          <t>A34</t>
        </is>
      </c>
      <c r="D3119" s="4" t="inlineStr">
        <is>
          <t>Interest expense</t>
        </is>
      </c>
      <c r="E3119" s="4" t="inlineStr">
        <is>
          <t>Interest expense</t>
        </is>
      </c>
      <c r="F3119" s="4" t="inlineStr">
        <is>
          <t>GOC Bed Unit-Costing Model v2 — working original.xlsx</t>
        </is>
      </c>
    </row>
    <row r="3120" ht="40" customHeight="1">
      <c r="A3120" s="4" t="inlineStr">
        <is>
          <t>original:Statements!B34</t>
        </is>
      </c>
      <c r="B3120" s="4" t="inlineStr">
        <is>
          <t>Statements</t>
        </is>
      </c>
      <c r="C3120" s="4" t="inlineStr">
        <is>
          <t>B34</t>
        </is>
      </c>
      <c r="D3120" s="4" t="inlineStr">
        <is>
          <t>=Workings!B92</t>
        </is>
      </c>
      <c r="E3120" s="4" t="n">
        <v>0</v>
      </c>
      <c r="F3120" s="4" t="inlineStr">
        <is>
          <t>GOC Bed Unit-Costing Model v2 — working original.xlsx</t>
        </is>
      </c>
    </row>
    <row r="3121" ht="40" customHeight="1">
      <c r="A3121" s="4" t="inlineStr">
        <is>
          <t>original:Statements!C34</t>
        </is>
      </c>
      <c r="B3121" s="4" t="inlineStr">
        <is>
          <t>Statements</t>
        </is>
      </c>
      <c r="C3121" s="4" t="inlineStr">
        <is>
          <t>C34</t>
        </is>
      </c>
      <c r="D3121" s="4" t="inlineStr">
        <is>
          <t>=Workings!C92</t>
        </is>
      </c>
      <c r="E3121" s="4" t="n">
        <v>0</v>
      </c>
      <c r="F3121" s="4" t="inlineStr">
        <is>
          <t>GOC Bed Unit-Costing Model v2 — working original.xlsx</t>
        </is>
      </c>
    </row>
    <row r="3122" ht="40" customHeight="1">
      <c r="A3122" s="4" t="inlineStr">
        <is>
          <t>original:Statements!D34</t>
        </is>
      </c>
      <c r="B3122" s="4" t="inlineStr">
        <is>
          <t>Statements</t>
        </is>
      </c>
      <c r="C3122" s="4" t="inlineStr">
        <is>
          <t>D34</t>
        </is>
      </c>
      <c r="D3122" s="4" t="inlineStr">
        <is>
          <t>=Workings!D92</t>
        </is>
      </c>
      <c r="E3122" s="4" t="n">
        <v>0</v>
      </c>
      <c r="F3122" s="4" t="inlineStr">
        <is>
          <t>GOC Bed Unit-Costing Model v2 — working original.xlsx</t>
        </is>
      </c>
    </row>
    <row r="3123" ht="40" customHeight="1">
      <c r="A3123" s="4" t="inlineStr">
        <is>
          <t>original:Statements!A35</t>
        </is>
      </c>
      <c r="B3123" s="4" t="inlineStr">
        <is>
          <t>Statements</t>
        </is>
      </c>
      <c r="C3123" s="4" t="inlineStr">
        <is>
          <t>A35</t>
        </is>
      </c>
      <c r="D3123" s="4" t="inlineStr">
        <is>
          <t>NET PROFIT BEFORE TAX</t>
        </is>
      </c>
      <c r="E3123" s="4" t="inlineStr">
        <is>
          <t>NET PROFIT BEFORE TAX</t>
        </is>
      </c>
      <c r="F3123" s="4" t="inlineStr">
        <is>
          <t>GOC Bed Unit-Costing Model v2 — working original.xlsx</t>
        </is>
      </c>
    </row>
    <row r="3124" ht="40" customHeight="1">
      <c r="A3124" s="4" t="inlineStr">
        <is>
          <t>original:Statements!B35</t>
        </is>
      </c>
      <c r="B3124" s="4" t="inlineStr">
        <is>
          <t>Statements</t>
        </is>
      </c>
      <c r="C3124" s="4" t="inlineStr">
        <is>
          <t>B35</t>
        </is>
      </c>
      <c r="D3124" s="4" t="inlineStr">
        <is>
          <t>=B33-B34</t>
        </is>
      </c>
      <c r="E3124" s="4" t="n">
        <v>55054.4</v>
      </c>
      <c r="F3124" s="4" t="inlineStr">
        <is>
          <t>GOC Bed Unit-Costing Model v2 — working original.xlsx</t>
        </is>
      </c>
    </row>
    <row r="3125" ht="40" customHeight="1">
      <c r="A3125" s="4" t="inlineStr">
        <is>
          <t>original:Statements!C35</t>
        </is>
      </c>
      <c r="B3125" s="4" t="inlineStr">
        <is>
          <t>Statements</t>
        </is>
      </c>
      <c r="C3125" s="4" t="inlineStr">
        <is>
          <t>C35</t>
        </is>
      </c>
      <c r="D3125" s="4" t="inlineStr">
        <is>
          <t>=C33-C34</t>
        </is>
      </c>
      <c r="E3125" s="4" t="n">
        <v>-240889.6</v>
      </c>
      <c r="F3125" s="4" t="inlineStr">
        <is>
          <t>GOC Bed Unit-Costing Model v2 — working original.xlsx</t>
        </is>
      </c>
    </row>
    <row r="3126" ht="40" customHeight="1">
      <c r="A3126" s="4" t="inlineStr">
        <is>
          <t>original:Statements!D35</t>
        </is>
      </c>
      <c r="B3126" s="4" t="inlineStr">
        <is>
          <t>Statements</t>
        </is>
      </c>
      <c r="C3126" s="4" t="inlineStr">
        <is>
          <t>D35</t>
        </is>
      </c>
      <c r="D3126" s="4" t="inlineStr">
        <is>
          <t>=D33-D34</t>
        </is>
      </c>
      <c r="E3126" s="4" t="n">
        <v>-240889.6</v>
      </c>
      <c r="F3126" s="4" t="inlineStr">
        <is>
          <t>GOC Bed Unit-Costing Model v2 — working original.xlsx</t>
        </is>
      </c>
    </row>
    <row r="3127" ht="40" customHeight="1">
      <c r="A3127" s="4" t="inlineStr">
        <is>
          <t>original:Statements!A36</t>
        </is>
      </c>
      <c r="B3127" s="4" t="inlineStr">
        <is>
          <t>Statements</t>
        </is>
      </c>
      <c r="C3127" s="4" t="inlineStr">
        <is>
          <t>A36</t>
        </is>
      </c>
      <c r="D3127" s="4" t="inlineStr">
        <is>
          <t>Income tax expense</t>
        </is>
      </c>
      <c r="E3127" s="4" t="inlineStr">
        <is>
          <t>Income tax expense</t>
        </is>
      </c>
      <c r="F3127" s="4" t="inlineStr">
        <is>
          <t>GOC Bed Unit-Costing Model v2 — working original.xlsx</t>
        </is>
      </c>
    </row>
    <row r="3128" ht="40" customHeight="1">
      <c r="A3128" s="4" t="inlineStr">
        <is>
          <t>original:Statements!B36</t>
        </is>
      </c>
      <c r="B3128" s="4" t="inlineStr">
        <is>
          <t>Statements</t>
        </is>
      </c>
      <c r="C3128" s="4" t="inlineStr">
        <is>
          <t>B36</t>
        </is>
      </c>
      <c r="D3128" s="4" t="inlineStr">
        <is>
          <t>=Workings!B104</t>
        </is>
      </c>
      <c r="E3128" s="4" t="n">
        <v>13763.6</v>
      </c>
      <c r="F3128" s="4" t="inlineStr">
        <is>
          <t>GOC Bed Unit-Costing Model v2 — working original.xlsx</t>
        </is>
      </c>
    </row>
    <row r="3129" ht="40" customHeight="1">
      <c r="A3129" s="4" t="inlineStr">
        <is>
          <t>original:Statements!C36</t>
        </is>
      </c>
      <c r="B3129" s="4" t="inlineStr">
        <is>
          <t>Statements</t>
        </is>
      </c>
      <c r="C3129" s="4" t="inlineStr">
        <is>
          <t>C36</t>
        </is>
      </c>
      <c r="D3129" s="4" t="inlineStr">
        <is>
          <t>=Workings!C104</t>
        </is>
      </c>
      <c r="E3129" s="4" t="n">
        <v>0</v>
      </c>
      <c r="F3129" s="4" t="inlineStr">
        <is>
          <t>GOC Bed Unit-Costing Model v2 — working original.xlsx</t>
        </is>
      </c>
    </row>
    <row r="3130" ht="40" customHeight="1">
      <c r="A3130" s="4" t="inlineStr">
        <is>
          <t>original:Statements!D36</t>
        </is>
      </c>
      <c r="B3130" s="4" t="inlineStr">
        <is>
          <t>Statements</t>
        </is>
      </c>
      <c r="C3130" s="4" t="inlineStr">
        <is>
          <t>D36</t>
        </is>
      </c>
      <c r="D3130" s="4" t="inlineStr">
        <is>
          <t>=Workings!D104</t>
        </is>
      </c>
      <c r="E3130" s="4" t="n">
        <v>0</v>
      </c>
      <c r="F3130" s="4" t="inlineStr">
        <is>
          <t>GOC Bed Unit-Costing Model v2 — working original.xlsx</t>
        </is>
      </c>
    </row>
    <row r="3131" ht="40" customHeight="1">
      <c r="A3131" s="4" t="inlineStr">
        <is>
          <t>original:Statements!A37</t>
        </is>
      </c>
      <c r="B3131" s="4" t="inlineStr">
        <is>
          <t>Statements</t>
        </is>
      </c>
      <c r="C3131" s="4" t="inlineStr">
        <is>
          <t>A37</t>
        </is>
      </c>
      <c r="D3131" s="4" t="inlineStr">
        <is>
          <t>NET PROFIT AFTER TAX</t>
        </is>
      </c>
      <c r="E3131" s="4" t="inlineStr">
        <is>
          <t>NET PROFIT AFTER TAX</t>
        </is>
      </c>
      <c r="F3131" s="4" t="inlineStr">
        <is>
          <t>GOC Bed Unit-Costing Model v2 — working original.xlsx</t>
        </is>
      </c>
    </row>
    <row r="3132" ht="40" customHeight="1">
      <c r="A3132" s="4" t="inlineStr">
        <is>
          <t>original:Statements!B37</t>
        </is>
      </c>
      <c r="B3132" s="4" t="inlineStr">
        <is>
          <t>Statements</t>
        </is>
      </c>
      <c r="C3132" s="4" t="inlineStr">
        <is>
          <t>B37</t>
        </is>
      </c>
      <c r="D3132" s="4" t="inlineStr">
        <is>
          <t>=B35-B36</t>
        </is>
      </c>
      <c r="E3132" s="4" t="n">
        <v>41290.8</v>
      </c>
      <c r="F3132" s="4" t="inlineStr">
        <is>
          <t>GOC Bed Unit-Costing Model v2 — working original.xlsx</t>
        </is>
      </c>
    </row>
    <row r="3133" ht="40" customHeight="1">
      <c r="A3133" s="4" t="inlineStr">
        <is>
          <t>original:Statements!C37</t>
        </is>
      </c>
      <c r="B3133" s="4" t="inlineStr">
        <is>
          <t>Statements</t>
        </is>
      </c>
      <c r="C3133" s="4" t="inlineStr">
        <is>
          <t>C37</t>
        </is>
      </c>
      <c r="D3133" s="4" t="inlineStr">
        <is>
          <t>=C35-C36</t>
        </is>
      </c>
      <c r="E3133" s="4" t="n">
        <v>-240889.6</v>
      </c>
      <c r="F3133" s="4" t="inlineStr">
        <is>
          <t>GOC Bed Unit-Costing Model v2 — working original.xlsx</t>
        </is>
      </c>
    </row>
    <row r="3134" ht="40" customHeight="1">
      <c r="A3134" s="4" t="inlineStr">
        <is>
          <t>original:Statements!D37</t>
        </is>
      </c>
      <c r="B3134" s="4" t="inlineStr">
        <is>
          <t>Statements</t>
        </is>
      </c>
      <c r="C3134" s="4" t="inlineStr">
        <is>
          <t>D37</t>
        </is>
      </c>
      <c r="D3134" s="4" t="inlineStr">
        <is>
          <t>=D35-D36</t>
        </is>
      </c>
      <c r="E3134" s="4" t="n">
        <v>-240889.6</v>
      </c>
      <c r="F3134" s="4" t="inlineStr">
        <is>
          <t>GOC Bed Unit-Costing Model v2 — working original.xlsx</t>
        </is>
      </c>
    </row>
    <row r="3135" ht="40" customHeight="1">
      <c r="A3135" s="4" t="inlineStr">
        <is>
          <t>original:Statements!A39</t>
        </is>
      </c>
      <c r="B3135" s="4" t="inlineStr">
        <is>
          <t>Statements</t>
        </is>
      </c>
      <c r="C3135" s="4" t="inlineStr">
        <is>
          <t>A39</t>
        </is>
      </c>
      <c r="D3135" s="4" t="inlineStr">
        <is>
          <t>CASH FLOW</t>
        </is>
      </c>
      <c r="E3135" s="4" t="inlineStr">
        <is>
          <t>CASH FLOW</t>
        </is>
      </c>
      <c r="F3135" s="4" t="inlineStr">
        <is>
          <t>GOC Bed Unit-Costing Model v2 — working original.xlsx</t>
        </is>
      </c>
    </row>
    <row r="3136" ht="40" customHeight="1">
      <c r="A3136" s="4" t="inlineStr">
        <is>
          <t>original:Statements!A40</t>
        </is>
      </c>
      <c r="B3136" s="4" t="inlineStr">
        <is>
          <t>Statements</t>
        </is>
      </c>
      <c r="C3136" s="4" t="inlineStr">
        <is>
          <t>A40</t>
        </is>
      </c>
      <c r="D3136" s="4" t="inlineStr">
        <is>
          <t>Operating</t>
        </is>
      </c>
      <c r="E3136" s="4" t="inlineStr">
        <is>
          <t>Operating</t>
        </is>
      </c>
      <c r="F3136" s="4" t="inlineStr">
        <is>
          <t>GOC Bed Unit-Costing Model v2 — working original.xlsx</t>
        </is>
      </c>
    </row>
    <row r="3137" ht="40" customHeight="1">
      <c r="A3137" s="4" t="inlineStr">
        <is>
          <t>original:Statements!A41</t>
        </is>
      </c>
      <c r="B3137" s="4" t="inlineStr">
        <is>
          <t>Statements</t>
        </is>
      </c>
      <c r="C3137" s="4" t="inlineStr">
        <is>
          <t>A41</t>
        </is>
      </c>
      <c r="D3137" s="4" t="inlineStr">
        <is>
          <t>Net profit after tax</t>
        </is>
      </c>
      <c r="E3137" s="4" t="inlineStr">
        <is>
          <t>Net profit after tax</t>
        </is>
      </c>
      <c r="F3137" s="4" t="inlineStr">
        <is>
          <t>GOC Bed Unit-Costing Model v2 — working original.xlsx</t>
        </is>
      </c>
    </row>
    <row r="3138" ht="40" customHeight="1">
      <c r="A3138" s="4" t="inlineStr">
        <is>
          <t>original:Statements!B41</t>
        </is>
      </c>
      <c r="B3138" s="4" t="inlineStr">
        <is>
          <t>Statements</t>
        </is>
      </c>
      <c r="C3138" s="4" t="inlineStr">
        <is>
          <t>B41</t>
        </is>
      </c>
      <c r="D3138" s="4" t="inlineStr">
        <is>
          <t>=B37</t>
        </is>
      </c>
      <c r="E3138" s="4" t="n">
        <v>41290.8</v>
      </c>
      <c r="F3138" s="4" t="inlineStr">
        <is>
          <t>GOC Bed Unit-Costing Model v2 — working original.xlsx</t>
        </is>
      </c>
    </row>
    <row r="3139" ht="40" customHeight="1">
      <c r="A3139" s="4" t="inlineStr">
        <is>
          <t>original:Statements!C41</t>
        </is>
      </c>
      <c r="B3139" s="4" t="inlineStr">
        <is>
          <t>Statements</t>
        </is>
      </c>
      <c r="C3139" s="4" t="inlineStr">
        <is>
          <t>C41</t>
        </is>
      </c>
      <c r="D3139" s="4" t="inlineStr">
        <is>
          <t>=C37</t>
        </is>
      </c>
      <c r="E3139" s="4" t="n">
        <v>-240889.6</v>
      </c>
      <c r="F3139" s="4" t="inlineStr">
        <is>
          <t>GOC Bed Unit-Costing Model v2 — working original.xlsx</t>
        </is>
      </c>
    </row>
    <row r="3140" ht="40" customHeight="1">
      <c r="A3140" s="4" t="inlineStr">
        <is>
          <t>original:Statements!D41</t>
        </is>
      </c>
      <c r="B3140" s="4" t="inlineStr">
        <is>
          <t>Statements</t>
        </is>
      </c>
      <c r="C3140" s="4" t="inlineStr">
        <is>
          <t>D41</t>
        </is>
      </c>
      <c r="D3140" s="4" t="inlineStr">
        <is>
          <t>=D37</t>
        </is>
      </c>
      <c r="E3140" s="4" t="n">
        <v>-240889.6</v>
      </c>
      <c r="F3140" s="4" t="inlineStr">
        <is>
          <t>GOC Bed Unit-Costing Model v2 — working original.xlsx</t>
        </is>
      </c>
    </row>
    <row r="3141" ht="40" customHeight="1">
      <c r="A3141" s="4" t="inlineStr">
        <is>
          <t>original:Statements!A42</t>
        </is>
      </c>
      <c r="B3141" s="4" t="inlineStr">
        <is>
          <t>Statements</t>
        </is>
      </c>
      <c r="C3141" s="4" t="inlineStr">
        <is>
          <t>A42</t>
        </is>
      </c>
      <c r="D3141" s="4" t="inlineStr">
        <is>
          <t>Add back depreciation</t>
        </is>
      </c>
      <c r="E3141" s="4" t="inlineStr">
        <is>
          <t>Add back depreciation</t>
        </is>
      </c>
      <c r="F3141" s="4" t="inlineStr">
        <is>
          <t>GOC Bed Unit-Costing Model v2 — working original.xlsx</t>
        </is>
      </c>
    </row>
    <row r="3142" ht="40" customHeight="1">
      <c r="A3142" s="4" t="inlineStr">
        <is>
          <t>original:Statements!B42</t>
        </is>
      </c>
      <c r="B3142" s="4" t="inlineStr">
        <is>
          <t>Statements</t>
        </is>
      </c>
      <c r="C3142" s="4" t="inlineStr">
        <is>
          <t>B42</t>
        </is>
      </c>
      <c r="D3142" s="4" t="inlineStr">
        <is>
          <t>=B32</t>
        </is>
      </c>
      <c r="E3142" s="4" t="n">
        <v>31749.6</v>
      </c>
      <c r="F3142" s="4" t="inlineStr">
        <is>
          <t>GOC Bed Unit-Costing Model v2 — working original.xlsx</t>
        </is>
      </c>
    </row>
    <row r="3143" ht="40" customHeight="1">
      <c r="A3143" s="4" t="inlineStr">
        <is>
          <t>original:Statements!C42</t>
        </is>
      </c>
      <c r="B3143" s="4" t="inlineStr">
        <is>
          <t>Statements</t>
        </is>
      </c>
      <c r="C3143" s="4" t="inlineStr">
        <is>
          <t>C42</t>
        </is>
      </c>
      <c r="D3143" s="4" t="inlineStr">
        <is>
          <t>=C32</t>
        </is>
      </c>
      <c r="E3143" s="4" t="n">
        <v>31749.6</v>
      </c>
      <c r="F3143" s="4" t="inlineStr">
        <is>
          <t>GOC Bed Unit-Costing Model v2 — working original.xlsx</t>
        </is>
      </c>
    </row>
    <row r="3144" ht="40" customHeight="1">
      <c r="A3144" s="4" t="inlineStr">
        <is>
          <t>original:Statements!D42</t>
        </is>
      </c>
      <c r="B3144" s="4" t="inlineStr">
        <is>
          <t>Statements</t>
        </is>
      </c>
      <c r="C3144" s="4" t="inlineStr">
        <is>
          <t>D42</t>
        </is>
      </c>
      <c r="D3144" s="4" t="inlineStr">
        <is>
          <t>=D32</t>
        </is>
      </c>
      <c r="E3144" s="4" t="n">
        <v>31749.6</v>
      </c>
      <c r="F3144" s="4" t="inlineStr">
        <is>
          <t>GOC Bed Unit-Costing Model v2 — working original.xlsx</t>
        </is>
      </c>
    </row>
    <row r="3145" ht="40" customHeight="1">
      <c r="A3145" s="4" t="inlineStr">
        <is>
          <t>original:Statements!A43</t>
        </is>
      </c>
      <c r="B3145" s="4" t="inlineStr">
        <is>
          <t>Statements</t>
        </is>
      </c>
      <c r="C3145" s="4" t="inlineStr">
        <is>
          <t>A43</t>
        </is>
      </c>
      <c r="D3145" s="4" t="inlineStr">
        <is>
          <t>Movement in trade receivables</t>
        </is>
      </c>
      <c r="E3145" s="4" t="inlineStr">
        <is>
          <t>Movement in trade receivables</t>
        </is>
      </c>
      <c r="F3145" s="4" t="inlineStr">
        <is>
          <t>GOC Bed Unit-Costing Model v2 — working original.xlsx</t>
        </is>
      </c>
    </row>
    <row r="3146" ht="40" customHeight="1">
      <c r="A3146" s="4" t="inlineStr">
        <is>
          <t>original:Statements!B43</t>
        </is>
      </c>
      <c r="B3146" s="4" t="inlineStr">
        <is>
          <t>Statements</t>
        </is>
      </c>
      <c r="C3146" s="4" t="inlineStr">
        <is>
          <t>B43</t>
        </is>
      </c>
      <c r="D3146" s="4" t="inlineStr">
        <is>
          <t>=Workings!B97</t>
        </is>
      </c>
      <c r="E3146" s="4" t="n">
        <v>45513.69863</v>
      </c>
      <c r="F3146" s="4" t="inlineStr">
        <is>
          <t>GOC Bed Unit-Costing Model v2 — working original.xlsx</t>
        </is>
      </c>
    </row>
    <row r="3147" ht="40" customHeight="1">
      <c r="A3147" s="4" t="inlineStr">
        <is>
          <t>original:Statements!C43</t>
        </is>
      </c>
      <c r="B3147" s="4" t="inlineStr">
        <is>
          <t>Statements</t>
        </is>
      </c>
      <c r="C3147" s="4" t="inlineStr">
        <is>
          <t>C43</t>
        </is>
      </c>
      <c r="D3147" s="4" t="inlineStr">
        <is>
          <t>=Workings!C97</t>
        </is>
      </c>
      <c r="E3147" s="4" t="n">
        <v>-55479.45205</v>
      </c>
      <c r="F3147" s="4" t="inlineStr">
        <is>
          <t>GOC Bed Unit-Costing Model v2 — working original.xlsx</t>
        </is>
      </c>
    </row>
    <row r="3148" ht="40" customHeight="1">
      <c r="A3148" s="4" t="inlineStr">
        <is>
          <t>original:Statements!D43</t>
        </is>
      </c>
      <c r="B3148" s="4" t="inlineStr">
        <is>
          <t>Statements</t>
        </is>
      </c>
      <c r="C3148" s="4" t="inlineStr">
        <is>
          <t>D43</t>
        </is>
      </c>
      <c r="D3148" s="4" t="inlineStr">
        <is>
          <t>=Workings!D97</t>
        </is>
      </c>
      <c r="E3148" s="4" t="n">
        <v>0</v>
      </c>
      <c r="F3148" s="4" t="inlineStr">
        <is>
          <t>GOC Bed Unit-Costing Model v2 — working original.xlsx</t>
        </is>
      </c>
    </row>
    <row r="3149" ht="40" customHeight="1">
      <c r="A3149" s="4" t="inlineStr">
        <is>
          <t>original:Statements!A44</t>
        </is>
      </c>
      <c r="B3149" s="4" t="inlineStr">
        <is>
          <t>Statements</t>
        </is>
      </c>
      <c r="C3149" s="4" t="inlineStr">
        <is>
          <t>A44</t>
        </is>
      </c>
      <c r="D3149" s="4" t="inlineStr">
        <is>
          <t>Net operating cash flow</t>
        </is>
      </c>
      <c r="E3149" s="4" t="inlineStr">
        <is>
          <t>Net operating cash flow</t>
        </is>
      </c>
      <c r="F3149" s="4" t="inlineStr">
        <is>
          <t>GOC Bed Unit-Costing Model v2 — working original.xlsx</t>
        </is>
      </c>
    </row>
    <row r="3150" ht="40" customHeight="1">
      <c r="A3150" s="4" t="inlineStr">
        <is>
          <t>original:Statements!B44</t>
        </is>
      </c>
      <c r="B3150" s="4" t="inlineStr">
        <is>
          <t>Statements</t>
        </is>
      </c>
      <c r="C3150" s="4" t="inlineStr">
        <is>
          <t>B44</t>
        </is>
      </c>
      <c r="D3150" s="4" t="inlineStr">
        <is>
          <t>=SUM(B41:B43)</t>
        </is>
      </c>
      <c r="E3150" s="4" t="n">
        <v>118554.0986</v>
      </c>
      <c r="F3150" s="4" t="inlineStr">
        <is>
          <t>GOC Bed Unit-Costing Model v2 — working original.xlsx</t>
        </is>
      </c>
    </row>
    <row r="3151" ht="40" customHeight="1">
      <c r="A3151" s="4" t="inlineStr">
        <is>
          <t>original:Statements!C44</t>
        </is>
      </c>
      <c r="B3151" s="4" t="inlineStr">
        <is>
          <t>Statements</t>
        </is>
      </c>
      <c r="C3151" s="4" t="inlineStr">
        <is>
          <t>C44</t>
        </is>
      </c>
      <c r="D3151" s="4" t="inlineStr">
        <is>
          <t>=SUM(C41:C43)</t>
        </is>
      </c>
      <c r="E3151" s="4" t="n">
        <v>-264619.4521</v>
      </c>
      <c r="F3151" s="4" t="inlineStr">
        <is>
          <t>GOC Bed Unit-Costing Model v2 — working original.xlsx</t>
        </is>
      </c>
    </row>
    <row r="3152" ht="40" customHeight="1">
      <c r="A3152" s="4" t="inlineStr">
        <is>
          <t>original:Statements!D44</t>
        </is>
      </c>
      <c r="B3152" s="4" t="inlineStr">
        <is>
          <t>Statements</t>
        </is>
      </c>
      <c r="C3152" s="4" t="inlineStr">
        <is>
          <t>D44</t>
        </is>
      </c>
      <c r="D3152" s="4" t="inlineStr">
        <is>
          <t>=SUM(D41:D43)</t>
        </is>
      </c>
      <c r="E3152" s="4" t="n">
        <v>-209140</v>
      </c>
      <c r="F3152" s="4" t="inlineStr">
        <is>
          <t>GOC Bed Unit-Costing Model v2 — working original.xlsx</t>
        </is>
      </c>
    </row>
    <row r="3153" ht="40" customHeight="1">
      <c r="A3153" s="4" t="inlineStr">
        <is>
          <t>original:Statements!A46</t>
        </is>
      </c>
      <c r="B3153" s="4" t="inlineStr">
        <is>
          <t>Statements</t>
        </is>
      </c>
      <c r="C3153" s="4" t="inlineStr">
        <is>
          <t>A46</t>
        </is>
      </c>
      <c r="D3153" s="4" t="inlineStr">
        <is>
          <t>Investing</t>
        </is>
      </c>
      <c r="E3153" s="4" t="inlineStr">
        <is>
          <t>Investing</t>
        </is>
      </c>
      <c r="F3153" s="4" t="inlineStr">
        <is>
          <t>GOC Bed Unit-Costing Model v2 — working original.xlsx</t>
        </is>
      </c>
    </row>
    <row r="3154" ht="40" customHeight="1">
      <c r="A3154" s="4" t="inlineStr">
        <is>
          <t>original:Statements!A47</t>
        </is>
      </c>
      <c r="B3154" s="4" t="inlineStr">
        <is>
          <t>Statements</t>
        </is>
      </c>
      <c r="C3154" s="4" t="inlineStr">
        <is>
          <t>A47</t>
        </is>
      </c>
      <c r="D3154" s="4" t="inlineStr">
        <is>
          <t>Facility capex</t>
        </is>
      </c>
      <c r="E3154" s="4" t="inlineStr">
        <is>
          <t>Facility capex</t>
        </is>
      </c>
      <c r="F3154" s="4" t="inlineStr">
        <is>
          <t>GOC Bed Unit-Costing Model v2 — working original.xlsx</t>
        </is>
      </c>
    </row>
    <row r="3155" ht="40" customHeight="1">
      <c r="A3155" s="4" t="inlineStr">
        <is>
          <t>original:Statements!B47</t>
        </is>
      </c>
      <c r="B3155" s="4" t="inlineStr">
        <is>
          <t>Statements</t>
        </is>
      </c>
      <c r="C3155" s="4" t="inlineStr">
        <is>
          <t>B47</t>
        </is>
      </c>
      <c r="D3155" s="4" t="inlineStr">
        <is>
          <t>=-Workings!B62</t>
        </is>
      </c>
      <c r="E3155" s="4" t="n">
        <v>-207450</v>
      </c>
      <c r="F3155" s="4" t="inlineStr">
        <is>
          <t>GOC Bed Unit-Costing Model v2 — working original.xlsx</t>
        </is>
      </c>
    </row>
    <row r="3156" ht="40" customHeight="1">
      <c r="A3156" s="4" t="inlineStr">
        <is>
          <t>original:Statements!C47</t>
        </is>
      </c>
      <c r="B3156" s="4" t="inlineStr">
        <is>
          <t>Statements</t>
        </is>
      </c>
      <c r="C3156" s="4" t="inlineStr">
        <is>
          <t>C47</t>
        </is>
      </c>
      <c r="D3156" s="4" t="inlineStr">
        <is>
          <t>=-Workings!C62</t>
        </is>
      </c>
      <c r="E3156" s="4" t="n">
        <v>0</v>
      </c>
      <c r="F3156" s="4" t="inlineStr">
        <is>
          <t>GOC Bed Unit-Costing Model v2 — working original.xlsx</t>
        </is>
      </c>
    </row>
    <row r="3157" ht="40" customHeight="1">
      <c r="A3157" s="4" t="inlineStr">
        <is>
          <t>original:Statements!D47</t>
        </is>
      </c>
      <c r="B3157" s="4" t="inlineStr">
        <is>
          <t>Statements</t>
        </is>
      </c>
      <c r="C3157" s="4" t="inlineStr">
        <is>
          <t>D47</t>
        </is>
      </c>
      <c r="D3157" s="4" t="inlineStr">
        <is>
          <t>=-Workings!D62</t>
        </is>
      </c>
      <c r="E3157" s="4" t="n">
        <v>0</v>
      </c>
      <c r="F3157" s="4" t="inlineStr">
        <is>
          <t>GOC Bed Unit-Costing Model v2 — working original.xlsx</t>
        </is>
      </c>
    </row>
    <row r="3158" ht="40" customHeight="1">
      <c r="A3158" s="4" t="inlineStr">
        <is>
          <t>original:Statements!A48</t>
        </is>
      </c>
      <c r="B3158" s="4" t="inlineStr">
        <is>
          <t>Statements</t>
        </is>
      </c>
      <c r="C3158" s="4" t="inlineStr">
        <is>
          <t>A48</t>
        </is>
      </c>
      <c r="D3158" s="4" t="inlineStr">
        <is>
          <t>Net investing cash flow</t>
        </is>
      </c>
      <c r="E3158" s="4" t="inlineStr">
        <is>
          <t>Net investing cash flow</t>
        </is>
      </c>
      <c r="F3158" s="4" t="inlineStr">
        <is>
          <t>GOC Bed Unit-Costing Model v2 — working original.xlsx</t>
        </is>
      </c>
    </row>
    <row r="3159" ht="40" customHeight="1">
      <c r="A3159" s="4" t="inlineStr">
        <is>
          <t>original:Statements!B48</t>
        </is>
      </c>
      <c r="B3159" s="4" t="inlineStr">
        <is>
          <t>Statements</t>
        </is>
      </c>
      <c r="C3159" s="4" t="inlineStr">
        <is>
          <t>B48</t>
        </is>
      </c>
      <c r="D3159" s="4" t="inlineStr">
        <is>
          <t>=B47</t>
        </is>
      </c>
      <c r="E3159" s="4" t="n">
        <v>-207450</v>
      </c>
      <c r="F3159" s="4" t="inlineStr">
        <is>
          <t>GOC Bed Unit-Costing Model v2 — working original.xlsx</t>
        </is>
      </c>
    </row>
    <row r="3160" ht="40" customHeight="1">
      <c r="A3160" s="4" t="inlineStr">
        <is>
          <t>original:Statements!C48</t>
        </is>
      </c>
      <c r="B3160" s="4" t="inlineStr">
        <is>
          <t>Statements</t>
        </is>
      </c>
      <c r="C3160" s="4" t="inlineStr">
        <is>
          <t>C48</t>
        </is>
      </c>
      <c r="D3160" s="4" t="inlineStr">
        <is>
          <t>=C47</t>
        </is>
      </c>
      <c r="E3160" s="4" t="n">
        <v>0</v>
      </c>
      <c r="F3160" s="4" t="inlineStr">
        <is>
          <t>GOC Bed Unit-Costing Model v2 — working original.xlsx</t>
        </is>
      </c>
    </row>
    <row r="3161" ht="40" customHeight="1">
      <c r="A3161" s="4" t="inlineStr">
        <is>
          <t>original:Statements!D48</t>
        </is>
      </c>
      <c r="B3161" s="4" t="inlineStr">
        <is>
          <t>Statements</t>
        </is>
      </c>
      <c r="C3161" s="4" t="inlineStr">
        <is>
          <t>D48</t>
        </is>
      </c>
      <c r="D3161" s="4" t="inlineStr">
        <is>
          <t>=D47</t>
        </is>
      </c>
      <c r="E3161" s="4" t="n">
        <v>0</v>
      </c>
      <c r="F3161" s="4" t="inlineStr">
        <is>
          <t>GOC Bed Unit-Costing Model v2 — working original.xlsx</t>
        </is>
      </c>
    </row>
    <row r="3162" ht="40" customHeight="1">
      <c r="A3162" s="4" t="inlineStr">
        <is>
          <t>original:Statements!A50</t>
        </is>
      </c>
      <c r="B3162" s="4" t="inlineStr">
        <is>
          <t>Statements</t>
        </is>
      </c>
      <c r="C3162" s="4" t="inlineStr">
        <is>
          <t>A50</t>
        </is>
      </c>
      <c r="D3162" s="4" t="inlineStr">
        <is>
          <t>Financing</t>
        </is>
      </c>
      <c r="E3162" s="4" t="inlineStr">
        <is>
          <t>Financing</t>
        </is>
      </c>
      <c r="F3162" s="4" t="inlineStr">
        <is>
          <t>GOC Bed Unit-Costing Model v2 — working original.xlsx</t>
        </is>
      </c>
    </row>
    <row r="3163" ht="40" customHeight="1">
      <c r="A3163" s="4" t="inlineStr">
        <is>
          <t>original:Statements!A51</t>
        </is>
      </c>
      <c r="B3163" s="4" t="inlineStr">
        <is>
          <t>Statements</t>
        </is>
      </c>
      <c r="C3163" s="4" t="inlineStr">
        <is>
          <t>A51</t>
        </is>
      </c>
      <c r="D3163" s="4" t="inlineStr">
        <is>
          <t>Repayable capital drawn</t>
        </is>
      </c>
      <c r="E3163" s="4" t="inlineStr">
        <is>
          <t>Repayable capital drawn</t>
        </is>
      </c>
      <c r="F3163" s="4" t="inlineStr">
        <is>
          <t>GOC Bed Unit-Costing Model v2 — working original.xlsx</t>
        </is>
      </c>
    </row>
    <row r="3164" ht="40" customHeight="1">
      <c r="A3164" s="4" t="inlineStr">
        <is>
          <t>original:Statements!B51</t>
        </is>
      </c>
      <c r="B3164" s="4" t="inlineStr">
        <is>
          <t>Statements</t>
        </is>
      </c>
      <c r="C3164" s="4" t="inlineStr">
        <is>
          <t>B51</t>
        </is>
      </c>
      <c r="D3164" s="4" t="inlineStr">
        <is>
          <t>=Workings!B89</t>
        </is>
      </c>
      <c r="E3164" s="4" t="n">
        <v>0</v>
      </c>
      <c r="F3164" s="4" t="inlineStr">
        <is>
          <t>GOC Bed Unit-Costing Model v2 — working original.xlsx</t>
        </is>
      </c>
    </row>
    <row r="3165" ht="40" customHeight="1">
      <c r="A3165" s="4" t="inlineStr">
        <is>
          <t>original:Statements!C51</t>
        </is>
      </c>
      <c r="B3165" s="4" t="inlineStr">
        <is>
          <t>Statements</t>
        </is>
      </c>
      <c r="C3165" s="4" t="inlineStr">
        <is>
          <t>C51</t>
        </is>
      </c>
      <c r="D3165" s="4" t="inlineStr">
        <is>
          <t>=Workings!C89</t>
        </is>
      </c>
      <c r="E3165" s="4" t="n">
        <v>0</v>
      </c>
      <c r="F3165" s="4" t="inlineStr">
        <is>
          <t>GOC Bed Unit-Costing Model v2 — working original.xlsx</t>
        </is>
      </c>
    </row>
    <row r="3166" ht="40" customHeight="1">
      <c r="A3166" s="4" t="inlineStr">
        <is>
          <t>original:Statements!D51</t>
        </is>
      </c>
      <c r="B3166" s="4" t="inlineStr">
        <is>
          <t>Statements</t>
        </is>
      </c>
      <c r="C3166" s="4" t="inlineStr">
        <is>
          <t>D51</t>
        </is>
      </c>
      <c r="D3166" s="4" t="inlineStr">
        <is>
          <t>=Workings!D89</t>
        </is>
      </c>
      <c r="E3166" s="4" t="n">
        <v>0</v>
      </c>
      <c r="F3166" s="4" t="inlineStr">
        <is>
          <t>GOC Bed Unit-Costing Model v2 — working original.xlsx</t>
        </is>
      </c>
    </row>
    <row r="3167" ht="40" customHeight="1">
      <c r="A3167" s="4" t="inlineStr">
        <is>
          <t>original:Statements!A52</t>
        </is>
      </c>
      <c r="B3167" s="4" t="inlineStr">
        <is>
          <t>Statements</t>
        </is>
      </c>
      <c r="C3167" s="4" t="inlineStr">
        <is>
          <t>A52</t>
        </is>
      </c>
      <c r="D3167" s="4" t="inlineStr">
        <is>
          <t>Principal repayments</t>
        </is>
      </c>
      <c r="E3167" s="4" t="inlineStr">
        <is>
          <t>Principal repayments</t>
        </is>
      </c>
      <c r="F3167" s="4" t="inlineStr">
        <is>
          <t>GOC Bed Unit-Costing Model v2 — working original.xlsx</t>
        </is>
      </c>
    </row>
    <row r="3168" ht="40" customHeight="1">
      <c r="A3168" s="4" t="inlineStr">
        <is>
          <t>original:Statements!B52</t>
        </is>
      </c>
      <c r="B3168" s="4" t="inlineStr">
        <is>
          <t>Statements</t>
        </is>
      </c>
      <c r="C3168" s="4" t="inlineStr">
        <is>
          <t>B52</t>
        </is>
      </c>
      <c r="D3168" s="4" t="inlineStr">
        <is>
          <t>=-Workings!B90</t>
        </is>
      </c>
      <c r="E3168" s="4" t="n">
        <v>0</v>
      </c>
      <c r="F3168" s="4" t="inlineStr">
        <is>
          <t>GOC Bed Unit-Costing Model v2 — working original.xlsx</t>
        </is>
      </c>
    </row>
    <row r="3169" ht="40" customHeight="1">
      <c r="A3169" s="4" t="inlineStr">
        <is>
          <t>original:Statements!C52</t>
        </is>
      </c>
      <c r="B3169" s="4" t="inlineStr">
        <is>
          <t>Statements</t>
        </is>
      </c>
      <c r="C3169" s="4" t="inlineStr">
        <is>
          <t>C52</t>
        </is>
      </c>
      <c r="D3169" s="4" t="inlineStr">
        <is>
          <t>=-Workings!C90</t>
        </is>
      </c>
      <c r="E3169" s="4" t="n">
        <v>0</v>
      </c>
      <c r="F3169" s="4" t="inlineStr">
        <is>
          <t>GOC Bed Unit-Costing Model v2 — working original.xlsx</t>
        </is>
      </c>
    </row>
    <row r="3170" ht="40" customHeight="1">
      <c r="A3170" s="4" t="inlineStr">
        <is>
          <t>original:Statements!D52</t>
        </is>
      </c>
      <c r="B3170" s="4" t="inlineStr">
        <is>
          <t>Statements</t>
        </is>
      </c>
      <c r="C3170" s="4" t="inlineStr">
        <is>
          <t>D52</t>
        </is>
      </c>
      <c r="D3170" s="4" t="inlineStr">
        <is>
          <t>=-Workings!D90</t>
        </is>
      </c>
      <c r="E3170" s="4" t="n">
        <v>0</v>
      </c>
      <c r="F3170" s="4" t="inlineStr">
        <is>
          <t>GOC Bed Unit-Costing Model v2 — working original.xlsx</t>
        </is>
      </c>
    </row>
    <row r="3171" ht="40" customHeight="1">
      <c r="A3171" s="4" t="inlineStr">
        <is>
          <t>original:Statements!A53</t>
        </is>
      </c>
      <c r="B3171" s="4" t="inlineStr">
        <is>
          <t>Statements</t>
        </is>
      </c>
      <c r="C3171" s="4" t="inlineStr">
        <is>
          <t>A53</t>
        </is>
      </c>
      <c r="D3171" s="4" t="inlineStr">
        <is>
          <t>Net financing cash flow</t>
        </is>
      </c>
      <c r="E3171" s="4" t="inlineStr">
        <is>
          <t>Net financing cash flow</t>
        </is>
      </c>
      <c r="F3171" s="4" t="inlineStr">
        <is>
          <t>GOC Bed Unit-Costing Model v2 — working original.xlsx</t>
        </is>
      </c>
    </row>
    <row r="3172" ht="40" customHeight="1">
      <c r="A3172" s="4" t="inlineStr">
        <is>
          <t>original:Statements!B53</t>
        </is>
      </c>
      <c r="B3172" s="4" t="inlineStr">
        <is>
          <t>Statements</t>
        </is>
      </c>
      <c r="C3172" s="4" t="inlineStr">
        <is>
          <t>B53</t>
        </is>
      </c>
      <c r="D3172" s="4" t="inlineStr">
        <is>
          <t>=SUM(B51:B52)</t>
        </is>
      </c>
      <c r="E3172" s="4" t="n">
        <v>0</v>
      </c>
      <c r="F3172" s="4" t="inlineStr">
        <is>
          <t>GOC Bed Unit-Costing Model v2 — working original.xlsx</t>
        </is>
      </c>
    </row>
    <row r="3173" ht="40" customHeight="1">
      <c r="A3173" s="4" t="inlineStr">
        <is>
          <t>original:Statements!C53</t>
        </is>
      </c>
      <c r="B3173" s="4" t="inlineStr">
        <is>
          <t>Statements</t>
        </is>
      </c>
      <c r="C3173" s="4" t="inlineStr">
        <is>
          <t>C53</t>
        </is>
      </c>
      <c r="D3173" s="4" t="inlineStr">
        <is>
          <t>=SUM(C51:C52)</t>
        </is>
      </c>
      <c r="E3173" s="4" t="n">
        <v>0</v>
      </c>
      <c r="F3173" s="4" t="inlineStr">
        <is>
          <t>GOC Bed Unit-Costing Model v2 — working original.xlsx</t>
        </is>
      </c>
    </row>
    <row r="3174" ht="40" customHeight="1">
      <c r="A3174" s="4" t="inlineStr">
        <is>
          <t>original:Statements!D53</t>
        </is>
      </c>
      <c r="B3174" s="4" t="inlineStr">
        <is>
          <t>Statements</t>
        </is>
      </c>
      <c r="C3174" s="4" t="inlineStr">
        <is>
          <t>D53</t>
        </is>
      </c>
      <c r="D3174" s="4" t="inlineStr">
        <is>
          <t>=SUM(D51:D52)</t>
        </is>
      </c>
      <c r="E3174" s="4" t="n">
        <v>0</v>
      </c>
      <c r="F3174" s="4" t="inlineStr">
        <is>
          <t>GOC Bed Unit-Costing Model v2 — working original.xlsx</t>
        </is>
      </c>
    </row>
    <row r="3175" ht="40" customHeight="1">
      <c r="A3175" s="4" t="inlineStr">
        <is>
          <t>original:Statements!A55</t>
        </is>
      </c>
      <c r="B3175" s="4" t="inlineStr">
        <is>
          <t>Statements</t>
        </is>
      </c>
      <c r="C3175" s="4" t="inlineStr">
        <is>
          <t>A55</t>
        </is>
      </c>
      <c r="D3175" s="4" t="inlineStr">
        <is>
          <t>Net movement in cash</t>
        </is>
      </c>
      <c r="E3175" s="4" t="inlineStr">
        <is>
          <t>Net movement in cash</t>
        </is>
      </c>
      <c r="F3175" s="4" t="inlineStr">
        <is>
          <t>GOC Bed Unit-Costing Model v2 — working original.xlsx</t>
        </is>
      </c>
    </row>
    <row r="3176" ht="40" customHeight="1">
      <c r="A3176" s="4" t="inlineStr">
        <is>
          <t>original:Statements!B55</t>
        </is>
      </c>
      <c r="B3176" s="4" t="inlineStr">
        <is>
          <t>Statements</t>
        </is>
      </c>
      <c r="C3176" s="4" t="inlineStr">
        <is>
          <t>B55</t>
        </is>
      </c>
      <c r="D3176" s="4" t="inlineStr">
        <is>
          <t>=B44+B48+B53</t>
        </is>
      </c>
      <c r="E3176" s="4" t="n">
        <v>-88895.90137000001</v>
      </c>
      <c r="F3176" s="4" t="inlineStr">
        <is>
          <t>GOC Bed Unit-Costing Model v2 — working original.xlsx</t>
        </is>
      </c>
    </row>
    <row r="3177" ht="40" customHeight="1">
      <c r="A3177" s="4" t="inlineStr">
        <is>
          <t>original:Statements!C55</t>
        </is>
      </c>
      <c r="B3177" s="4" t="inlineStr">
        <is>
          <t>Statements</t>
        </is>
      </c>
      <c r="C3177" s="4" t="inlineStr">
        <is>
          <t>C55</t>
        </is>
      </c>
      <c r="D3177" s="4" t="inlineStr">
        <is>
          <t>=C44+C48+C53</t>
        </is>
      </c>
      <c r="E3177" s="4" t="n">
        <v>-264619.4521</v>
      </c>
      <c r="F3177" s="4" t="inlineStr">
        <is>
          <t>GOC Bed Unit-Costing Model v2 — working original.xlsx</t>
        </is>
      </c>
    </row>
    <row r="3178" ht="40" customHeight="1">
      <c r="A3178" s="4" t="inlineStr">
        <is>
          <t>original:Statements!D55</t>
        </is>
      </c>
      <c r="B3178" s="4" t="inlineStr">
        <is>
          <t>Statements</t>
        </is>
      </c>
      <c r="C3178" s="4" t="inlineStr">
        <is>
          <t>D55</t>
        </is>
      </c>
      <c r="D3178" s="4" t="inlineStr">
        <is>
          <t>=D44+D48+D53</t>
        </is>
      </c>
      <c r="E3178" s="4" t="n">
        <v>-209140</v>
      </c>
      <c r="F3178" s="4" t="inlineStr">
        <is>
          <t>GOC Bed Unit-Costing Model v2 — working original.xlsx</t>
        </is>
      </c>
    </row>
    <row r="3179" ht="40" customHeight="1">
      <c r="A3179" s="4" t="inlineStr">
        <is>
          <t>original:Statements!A56</t>
        </is>
      </c>
      <c r="B3179" s="4" t="inlineStr">
        <is>
          <t>Statements</t>
        </is>
      </c>
      <c r="C3179" s="4" t="inlineStr">
        <is>
          <t>A56</t>
        </is>
      </c>
      <c r="D3179" s="4" t="inlineStr">
        <is>
          <t>Opening cash</t>
        </is>
      </c>
      <c r="E3179" s="4" t="inlineStr">
        <is>
          <t>Opening cash</t>
        </is>
      </c>
      <c r="F3179" s="4" t="inlineStr">
        <is>
          <t>GOC Bed Unit-Costing Model v2 — working original.xlsx</t>
        </is>
      </c>
    </row>
    <row r="3180" ht="40" customHeight="1">
      <c r="A3180" s="4" t="inlineStr">
        <is>
          <t>original:Statements!B56</t>
        </is>
      </c>
      <c r="B3180" s="4" t="inlineStr">
        <is>
          <t>Statements</t>
        </is>
      </c>
      <c r="C3180" s="4" t="inlineStr">
        <is>
          <t>B56</t>
        </is>
      </c>
      <c r="D3180" s="4" t="inlineStr">
        <is>
          <t>='Inputs (1)'!$B$6</t>
        </is>
      </c>
      <c r="E3180" s="4" t="n">
        <v>50000</v>
      </c>
      <c r="F3180" s="4" t="inlineStr">
        <is>
          <t>GOC Bed Unit-Costing Model v2 — working original.xlsx</t>
        </is>
      </c>
    </row>
    <row r="3181" ht="40" customHeight="1">
      <c r="A3181" s="4" t="inlineStr">
        <is>
          <t>original:Statements!C56</t>
        </is>
      </c>
      <c r="B3181" s="4" t="inlineStr">
        <is>
          <t>Statements</t>
        </is>
      </c>
      <c r="C3181" s="4" t="inlineStr">
        <is>
          <t>C56</t>
        </is>
      </c>
      <c r="D3181" s="4" t="inlineStr">
        <is>
          <t>=B57</t>
        </is>
      </c>
      <c r="E3181" s="4" t="n">
        <v>-38895.90137</v>
      </c>
      <c r="F3181" s="4" t="inlineStr">
        <is>
          <t>GOC Bed Unit-Costing Model v2 — working original.xlsx</t>
        </is>
      </c>
    </row>
    <row r="3182" ht="40" customHeight="1">
      <c r="A3182" s="4" t="inlineStr">
        <is>
          <t>original:Statements!D56</t>
        </is>
      </c>
      <c r="B3182" s="4" t="inlineStr">
        <is>
          <t>Statements</t>
        </is>
      </c>
      <c r="C3182" s="4" t="inlineStr">
        <is>
          <t>D56</t>
        </is>
      </c>
      <c r="D3182" s="4" t="inlineStr">
        <is>
          <t>=C57</t>
        </is>
      </c>
      <c r="E3182" s="4" t="n">
        <v>-303515.3534</v>
      </c>
      <c r="F3182" s="4" t="inlineStr">
        <is>
          <t>GOC Bed Unit-Costing Model v2 — working original.xlsx</t>
        </is>
      </c>
    </row>
    <row r="3183" ht="40" customHeight="1">
      <c r="A3183" s="4" t="inlineStr">
        <is>
          <t>original:Statements!A57</t>
        </is>
      </c>
      <c r="B3183" s="4" t="inlineStr">
        <is>
          <t>Statements</t>
        </is>
      </c>
      <c r="C3183" s="4" t="inlineStr">
        <is>
          <t>A57</t>
        </is>
      </c>
      <c r="D3183" s="4" t="inlineStr">
        <is>
          <t>CLOSING CASH</t>
        </is>
      </c>
      <c r="E3183" s="4" t="inlineStr">
        <is>
          <t>CLOSING CASH</t>
        </is>
      </c>
      <c r="F3183" s="4" t="inlineStr">
        <is>
          <t>GOC Bed Unit-Costing Model v2 — working original.xlsx</t>
        </is>
      </c>
    </row>
    <row r="3184" ht="40" customHeight="1">
      <c r="A3184" s="4" t="inlineStr">
        <is>
          <t>original:Statements!B57</t>
        </is>
      </c>
      <c r="B3184" s="4" t="inlineStr">
        <is>
          <t>Statements</t>
        </is>
      </c>
      <c r="C3184" s="4" t="inlineStr">
        <is>
          <t>B57</t>
        </is>
      </c>
      <c r="D3184" s="4" t="inlineStr">
        <is>
          <t>=B56+B55</t>
        </is>
      </c>
      <c r="E3184" s="4" t="n">
        <v>-38895.90137</v>
      </c>
      <c r="F3184" s="4" t="inlineStr">
        <is>
          <t>GOC Bed Unit-Costing Model v2 — working original.xlsx</t>
        </is>
      </c>
    </row>
    <row r="3185" ht="40" customHeight="1">
      <c r="A3185" s="4" t="inlineStr">
        <is>
          <t>original:Statements!C57</t>
        </is>
      </c>
      <c r="B3185" s="4" t="inlineStr">
        <is>
          <t>Statements</t>
        </is>
      </c>
      <c r="C3185" s="4" t="inlineStr">
        <is>
          <t>C57</t>
        </is>
      </c>
      <c r="D3185" s="4" t="inlineStr">
        <is>
          <t>=C56+C55</t>
        </is>
      </c>
      <c r="E3185" s="4" t="n">
        <v>-303515.3534</v>
      </c>
      <c r="F3185" s="4" t="inlineStr">
        <is>
          <t>GOC Bed Unit-Costing Model v2 — working original.xlsx</t>
        </is>
      </c>
    </row>
    <row r="3186" ht="40" customHeight="1">
      <c r="A3186" s="4" t="inlineStr">
        <is>
          <t>original:Statements!D57</t>
        </is>
      </c>
      <c r="B3186" s="4" t="inlineStr">
        <is>
          <t>Statements</t>
        </is>
      </c>
      <c r="C3186" s="4" t="inlineStr">
        <is>
          <t>D57</t>
        </is>
      </c>
      <c r="D3186" s="4" t="inlineStr">
        <is>
          <t>=D56+D55</t>
        </is>
      </c>
      <c r="E3186" s="4" t="n">
        <v>-512655.3534</v>
      </c>
      <c r="F3186" s="4" t="inlineStr">
        <is>
          <t>GOC Bed Unit-Costing Model v2 — working original.xlsx</t>
        </is>
      </c>
    </row>
    <row r="3187" ht="165" customHeight="1">
      <c r="A3187" s="4" t="inlineStr">
        <is>
          <t>original:Statements!F57</t>
        </is>
      </c>
      <c r="B3187" s="4" t="inlineStr">
        <is>
          <t>Statements</t>
        </is>
      </c>
      <c r="C3187" s="4" t="inlineStr">
        <is>
          <t>F57</t>
        </is>
      </c>
      <c r="D3187" s="4" t="inlineStr">
        <is>
          <t>Cash goes negative from Year 1 because the untied grant income placeholders sit in Year 1 only and nothing has been entered for Years 2 and 3. Fill the grant and repayable capital blocks on Inputs before reading the cash line as a forecast.</t>
        </is>
      </c>
      <c r="E3187" s="4" t="inlineStr">
        <is>
          <t>Cash goes negative from Year 1 because the untied grant income placeholders sit in Year 1 only and nothing has been entered for Years 2 and 3. Fill the grant and repayable capital blocks on Inputs before reading the cash line as a forecast.</t>
        </is>
      </c>
      <c r="F3187" s="4" t="inlineStr">
        <is>
          <t>GOC Bed Unit-Costing Model v2 — working original.xlsx</t>
        </is>
      </c>
    </row>
    <row r="3188" ht="40" customHeight="1">
      <c r="A3188" s="4" t="inlineStr">
        <is>
          <t>original:Statements!A59</t>
        </is>
      </c>
      <c r="B3188" s="4" t="inlineStr">
        <is>
          <t>Statements</t>
        </is>
      </c>
      <c r="C3188" s="4" t="inlineStr">
        <is>
          <t>A59</t>
        </is>
      </c>
      <c r="D3188" s="4" t="inlineStr">
        <is>
          <t>BALANCE SHEET</t>
        </is>
      </c>
      <c r="E3188" s="4" t="inlineStr">
        <is>
          <t>BALANCE SHEET</t>
        </is>
      </c>
      <c r="F3188" s="4" t="inlineStr">
        <is>
          <t>GOC Bed Unit-Costing Model v2 — working original.xlsx</t>
        </is>
      </c>
    </row>
    <row r="3189" ht="40" customHeight="1">
      <c r="A3189" s="4" t="inlineStr">
        <is>
          <t>original:Statements!A60</t>
        </is>
      </c>
      <c r="B3189" s="4" t="inlineStr">
        <is>
          <t>Statements</t>
        </is>
      </c>
      <c r="C3189" s="4" t="inlineStr">
        <is>
          <t>A60</t>
        </is>
      </c>
      <c r="D3189" s="4" t="inlineStr">
        <is>
          <t>Assets</t>
        </is>
      </c>
      <c r="E3189" s="4" t="inlineStr">
        <is>
          <t>Assets</t>
        </is>
      </c>
      <c r="F3189" s="4" t="inlineStr">
        <is>
          <t>GOC Bed Unit-Costing Model v2 — working original.xlsx</t>
        </is>
      </c>
    </row>
    <row r="3190" ht="40" customHeight="1">
      <c r="A3190" s="4" t="inlineStr">
        <is>
          <t>original:Statements!A61</t>
        </is>
      </c>
      <c r="B3190" s="4" t="inlineStr">
        <is>
          <t>Statements</t>
        </is>
      </c>
      <c r="C3190" s="4" t="inlineStr">
        <is>
          <t>A61</t>
        </is>
      </c>
      <c r="D3190" s="4" t="inlineStr">
        <is>
          <t>Cash</t>
        </is>
      </c>
      <c r="E3190" s="4" t="inlineStr">
        <is>
          <t>Cash</t>
        </is>
      </c>
      <c r="F3190" s="4" t="inlineStr">
        <is>
          <t>GOC Bed Unit-Costing Model v2 — working original.xlsx</t>
        </is>
      </c>
    </row>
    <row r="3191" ht="40" customHeight="1">
      <c r="A3191" s="4" t="inlineStr">
        <is>
          <t>original:Statements!B61</t>
        </is>
      </c>
      <c r="B3191" s="4" t="inlineStr">
        <is>
          <t>Statements</t>
        </is>
      </c>
      <c r="C3191" s="4" t="inlineStr">
        <is>
          <t>B61</t>
        </is>
      </c>
      <c r="D3191" s="4" t="inlineStr">
        <is>
          <t>=B57</t>
        </is>
      </c>
      <c r="E3191" s="4" t="n">
        <v>-38895.90137</v>
      </c>
      <c r="F3191" s="4" t="inlineStr">
        <is>
          <t>GOC Bed Unit-Costing Model v2 — working original.xlsx</t>
        </is>
      </c>
    </row>
    <row r="3192" ht="40" customHeight="1">
      <c r="A3192" s="4" t="inlineStr">
        <is>
          <t>original:Statements!C61</t>
        </is>
      </c>
      <c r="B3192" s="4" t="inlineStr">
        <is>
          <t>Statements</t>
        </is>
      </c>
      <c r="C3192" s="4" t="inlineStr">
        <is>
          <t>C61</t>
        </is>
      </c>
      <c r="D3192" s="4" t="inlineStr">
        <is>
          <t>=C57</t>
        </is>
      </c>
      <c r="E3192" s="4" t="n">
        <v>-303515.3534</v>
      </c>
      <c r="F3192" s="4" t="inlineStr">
        <is>
          <t>GOC Bed Unit-Costing Model v2 — working original.xlsx</t>
        </is>
      </c>
    </row>
    <row r="3193" ht="40" customHeight="1">
      <c r="A3193" s="4" t="inlineStr">
        <is>
          <t>original:Statements!D61</t>
        </is>
      </c>
      <c r="B3193" s="4" t="inlineStr">
        <is>
          <t>Statements</t>
        </is>
      </c>
      <c r="C3193" s="4" t="inlineStr">
        <is>
          <t>D61</t>
        </is>
      </c>
      <c r="D3193" s="4" t="inlineStr">
        <is>
          <t>=D57</t>
        </is>
      </c>
      <c r="E3193" s="4" t="n">
        <v>-512655.3534</v>
      </c>
      <c r="F3193" s="4" t="inlineStr">
        <is>
          <t>GOC Bed Unit-Costing Model v2 — working original.xlsx</t>
        </is>
      </c>
    </row>
    <row r="3194" ht="40" customHeight="1">
      <c r="A3194" s="4" t="inlineStr">
        <is>
          <t>original:Statements!A62</t>
        </is>
      </c>
      <c r="B3194" s="4" t="inlineStr">
        <is>
          <t>Statements</t>
        </is>
      </c>
      <c r="C3194" s="4" t="inlineStr">
        <is>
          <t>A62</t>
        </is>
      </c>
      <c r="D3194" s="4" t="inlineStr">
        <is>
          <t>Trade receivables</t>
        </is>
      </c>
      <c r="E3194" s="4" t="inlineStr">
        <is>
          <t>Trade receivables</t>
        </is>
      </c>
      <c r="F3194" s="4" t="inlineStr">
        <is>
          <t>GOC Bed Unit-Costing Model v2 — working original.xlsx</t>
        </is>
      </c>
    </row>
    <row r="3195" ht="40" customHeight="1">
      <c r="A3195" s="4" t="inlineStr">
        <is>
          <t>original:Statements!B62</t>
        </is>
      </c>
      <c r="B3195" s="4" t="inlineStr">
        <is>
          <t>Statements</t>
        </is>
      </c>
      <c r="C3195" s="4" t="inlineStr">
        <is>
          <t>B62</t>
        </is>
      </c>
      <c r="D3195" s="4" t="inlineStr">
        <is>
          <t>=Workings!B96</t>
        </is>
      </c>
      <c r="E3195" s="4" t="n">
        <v>36986.30137</v>
      </c>
      <c r="F3195" s="4" t="inlineStr">
        <is>
          <t>GOC Bed Unit-Costing Model v2 — working original.xlsx</t>
        </is>
      </c>
    </row>
    <row r="3196" ht="40" customHeight="1">
      <c r="A3196" s="4" t="inlineStr">
        <is>
          <t>original:Statements!C62</t>
        </is>
      </c>
      <c r="B3196" s="4" t="inlineStr">
        <is>
          <t>Statements</t>
        </is>
      </c>
      <c r="C3196" s="4" t="inlineStr">
        <is>
          <t>C62</t>
        </is>
      </c>
      <c r="D3196" s="4" t="inlineStr">
        <is>
          <t>=Workings!C96</t>
        </is>
      </c>
      <c r="E3196" s="4" t="n">
        <v>92465.75341999999</v>
      </c>
      <c r="F3196" s="4" t="inlineStr">
        <is>
          <t>GOC Bed Unit-Costing Model v2 — working original.xlsx</t>
        </is>
      </c>
    </row>
    <row r="3197" ht="40" customHeight="1">
      <c r="A3197" s="4" t="inlineStr">
        <is>
          <t>original:Statements!D62</t>
        </is>
      </c>
      <c r="B3197" s="4" t="inlineStr">
        <is>
          <t>Statements</t>
        </is>
      </c>
      <c r="C3197" s="4" t="inlineStr">
        <is>
          <t>D62</t>
        </is>
      </c>
      <c r="D3197" s="4" t="inlineStr">
        <is>
          <t>=Workings!D96</t>
        </is>
      </c>
      <c r="E3197" s="4" t="n">
        <v>92465.75341999999</v>
      </c>
      <c r="F3197" s="4" t="inlineStr">
        <is>
          <t>GOC Bed Unit-Costing Model v2 — working original.xlsx</t>
        </is>
      </c>
    </row>
    <row r="3198" ht="40" customHeight="1">
      <c r="A3198" s="4" t="inlineStr">
        <is>
          <t>original:Statements!A63</t>
        </is>
      </c>
      <c r="B3198" s="4" t="inlineStr">
        <is>
          <t>Statements</t>
        </is>
      </c>
      <c r="C3198" s="4" t="inlineStr">
        <is>
          <t>A63</t>
        </is>
      </c>
      <c r="D3198" s="4" t="inlineStr">
        <is>
          <t>Property, plant and equipment (net)</t>
        </is>
      </c>
      <c r="E3198" s="4" t="inlineStr">
        <is>
          <t>Property, plant and equipment (net)</t>
        </is>
      </c>
      <c r="F3198" s="4" t="inlineStr">
        <is>
          <t>GOC Bed Unit-Costing Model v2 — working original.xlsx</t>
        </is>
      </c>
    </row>
    <row r="3199" ht="40" customHeight="1">
      <c r="A3199" s="4" t="inlineStr">
        <is>
          <t>original:Statements!B63</t>
        </is>
      </c>
      <c r="B3199" s="4" t="inlineStr">
        <is>
          <t>Statements</t>
        </is>
      </c>
      <c r="C3199" s="4" t="inlineStr">
        <is>
          <t>B63</t>
        </is>
      </c>
      <c r="D3199" s="4" t="inlineStr">
        <is>
          <t>=Workings!B68</t>
        </is>
      </c>
      <c r="E3199" s="4" t="n">
        <v>285746.4</v>
      </c>
      <c r="F3199" s="4" t="inlineStr">
        <is>
          <t>GOC Bed Unit-Costing Model v2 — working original.xlsx</t>
        </is>
      </c>
    </row>
    <row r="3200" ht="40" customHeight="1">
      <c r="A3200" s="4" t="inlineStr">
        <is>
          <t>original:Statements!C63</t>
        </is>
      </c>
      <c r="B3200" s="4" t="inlineStr">
        <is>
          <t>Statements</t>
        </is>
      </c>
      <c r="C3200" s="4" t="inlineStr">
        <is>
          <t>C63</t>
        </is>
      </c>
      <c r="D3200" s="4" t="inlineStr">
        <is>
          <t>=Workings!C68</t>
        </is>
      </c>
      <c r="E3200" s="4" t="n">
        <v>253996.8</v>
      </c>
      <c r="F3200" s="4" t="inlineStr">
        <is>
          <t>GOC Bed Unit-Costing Model v2 — working original.xlsx</t>
        </is>
      </c>
    </row>
    <row r="3201" ht="40" customHeight="1">
      <c r="A3201" s="4" t="inlineStr">
        <is>
          <t>original:Statements!D63</t>
        </is>
      </c>
      <c r="B3201" s="4" t="inlineStr">
        <is>
          <t>Statements</t>
        </is>
      </c>
      <c r="C3201" s="4" t="inlineStr">
        <is>
          <t>D63</t>
        </is>
      </c>
      <c r="D3201" s="4" t="inlineStr">
        <is>
          <t>=Workings!D68</t>
        </is>
      </c>
      <c r="E3201" s="4" t="n">
        <v>222247.2</v>
      </c>
      <c r="F3201" s="4" t="inlineStr">
        <is>
          <t>GOC Bed Unit-Costing Model v2 — working original.xlsx</t>
        </is>
      </c>
    </row>
    <row r="3202" ht="40" customHeight="1">
      <c r="A3202" s="4" t="inlineStr">
        <is>
          <t>original:Statements!A64</t>
        </is>
      </c>
      <c r="B3202" s="4" t="inlineStr">
        <is>
          <t>Statements</t>
        </is>
      </c>
      <c r="C3202" s="4" t="inlineStr">
        <is>
          <t>A64</t>
        </is>
      </c>
      <c r="D3202" s="4" t="inlineStr">
        <is>
          <t>Total assets</t>
        </is>
      </c>
      <c r="E3202" s="4" t="inlineStr">
        <is>
          <t>Total assets</t>
        </is>
      </c>
      <c r="F3202" s="4" t="inlineStr">
        <is>
          <t>GOC Bed Unit-Costing Model v2 — working original.xlsx</t>
        </is>
      </c>
    </row>
    <row r="3203" ht="40" customHeight="1">
      <c r="A3203" s="4" t="inlineStr">
        <is>
          <t>original:Statements!B64</t>
        </is>
      </c>
      <c r="B3203" s="4" t="inlineStr">
        <is>
          <t>Statements</t>
        </is>
      </c>
      <c r="C3203" s="4" t="inlineStr">
        <is>
          <t>B64</t>
        </is>
      </c>
      <c r="D3203" s="4" t="inlineStr">
        <is>
          <t>=SUM(B61:B63)</t>
        </is>
      </c>
      <c r="E3203" s="4" t="n">
        <v>283836.8</v>
      </c>
      <c r="F3203" s="4" t="inlineStr">
        <is>
          <t>GOC Bed Unit-Costing Model v2 — working original.xlsx</t>
        </is>
      </c>
    </row>
    <row r="3204" ht="40" customHeight="1">
      <c r="A3204" s="4" t="inlineStr">
        <is>
          <t>original:Statements!C64</t>
        </is>
      </c>
      <c r="B3204" s="4" t="inlineStr">
        <is>
          <t>Statements</t>
        </is>
      </c>
      <c r="C3204" s="4" t="inlineStr">
        <is>
          <t>C64</t>
        </is>
      </c>
      <c r="D3204" s="4" t="inlineStr">
        <is>
          <t>=SUM(C61:C63)</t>
        </is>
      </c>
      <c r="E3204" s="4" t="n">
        <v>42947.2</v>
      </c>
      <c r="F3204" s="4" t="inlineStr">
        <is>
          <t>GOC Bed Unit-Costing Model v2 — working original.xlsx</t>
        </is>
      </c>
    </row>
    <row r="3205" ht="40" customHeight="1">
      <c r="A3205" s="4" t="inlineStr">
        <is>
          <t>original:Statements!D64</t>
        </is>
      </c>
      <c r="B3205" s="4" t="inlineStr">
        <is>
          <t>Statements</t>
        </is>
      </c>
      <c r="C3205" s="4" t="inlineStr">
        <is>
          <t>D64</t>
        </is>
      </c>
      <c r="D3205" s="4" t="inlineStr">
        <is>
          <t>=SUM(D61:D63)</t>
        </is>
      </c>
      <c r="E3205" s="4" t="n">
        <v>-197942.4</v>
      </c>
      <c r="F3205" s="4" t="inlineStr">
        <is>
          <t>GOC Bed Unit-Costing Model v2 — working original.xlsx</t>
        </is>
      </c>
    </row>
    <row r="3206" ht="40" customHeight="1">
      <c r="A3206" s="4" t="inlineStr">
        <is>
          <t>original:Statements!A66</t>
        </is>
      </c>
      <c r="B3206" s="4" t="inlineStr">
        <is>
          <t>Statements</t>
        </is>
      </c>
      <c r="C3206" s="4" t="inlineStr">
        <is>
          <t>A66</t>
        </is>
      </c>
      <c r="D3206" s="4" t="inlineStr">
        <is>
          <t>Liabilities</t>
        </is>
      </c>
      <c r="E3206" s="4" t="inlineStr">
        <is>
          <t>Liabilities</t>
        </is>
      </c>
      <c r="F3206" s="4" t="inlineStr">
        <is>
          <t>GOC Bed Unit-Costing Model v2 — working original.xlsx</t>
        </is>
      </c>
    </row>
    <row r="3207" ht="40" customHeight="1">
      <c r="A3207" s="4" t="inlineStr">
        <is>
          <t>original:Statements!A67</t>
        </is>
      </c>
      <c r="B3207" s="4" t="inlineStr">
        <is>
          <t>Statements</t>
        </is>
      </c>
      <c r="C3207" s="4" t="inlineStr">
        <is>
          <t>A67</t>
        </is>
      </c>
      <c r="D3207" s="4" t="inlineStr">
        <is>
          <t>Borrowings</t>
        </is>
      </c>
      <c r="E3207" s="4" t="inlineStr">
        <is>
          <t>Borrowings</t>
        </is>
      </c>
      <c r="F3207" s="4" t="inlineStr">
        <is>
          <t>GOC Bed Unit-Costing Model v2 — working original.xlsx</t>
        </is>
      </c>
    </row>
    <row r="3208" ht="40" customHeight="1">
      <c r="A3208" s="4" t="inlineStr">
        <is>
          <t>original:Statements!B67</t>
        </is>
      </c>
      <c r="B3208" s="4" t="inlineStr">
        <is>
          <t>Statements</t>
        </is>
      </c>
      <c r="C3208" s="4" t="inlineStr">
        <is>
          <t>B67</t>
        </is>
      </c>
      <c r="D3208" s="4" t="inlineStr">
        <is>
          <t>=Workings!B91</t>
        </is>
      </c>
      <c r="E3208" s="4" t="n">
        <v>0</v>
      </c>
      <c r="F3208" s="4" t="inlineStr">
        <is>
          <t>GOC Bed Unit-Costing Model v2 — working original.xlsx</t>
        </is>
      </c>
    </row>
    <row r="3209" ht="40" customHeight="1">
      <c r="A3209" s="4" t="inlineStr">
        <is>
          <t>original:Statements!C67</t>
        </is>
      </c>
      <c r="B3209" s="4" t="inlineStr">
        <is>
          <t>Statements</t>
        </is>
      </c>
      <c r="C3209" s="4" t="inlineStr">
        <is>
          <t>C67</t>
        </is>
      </c>
      <c r="D3209" s="4" t="inlineStr">
        <is>
          <t>=Workings!C91</t>
        </is>
      </c>
      <c r="E3209" s="4" t="n">
        <v>0</v>
      </c>
      <c r="F3209" s="4" t="inlineStr">
        <is>
          <t>GOC Bed Unit-Costing Model v2 — working original.xlsx</t>
        </is>
      </c>
    </row>
    <row r="3210" ht="40" customHeight="1">
      <c r="A3210" s="4" t="inlineStr">
        <is>
          <t>original:Statements!D67</t>
        </is>
      </c>
      <c r="B3210" s="4" t="inlineStr">
        <is>
          <t>Statements</t>
        </is>
      </c>
      <c r="C3210" s="4" t="inlineStr">
        <is>
          <t>D67</t>
        </is>
      </c>
      <c r="D3210" s="4" t="inlineStr">
        <is>
          <t>=Workings!D91</t>
        </is>
      </c>
      <c r="E3210" s="4" t="n">
        <v>0</v>
      </c>
      <c r="F3210" s="4" t="inlineStr">
        <is>
          <t>GOC Bed Unit-Costing Model v2 — working original.xlsx</t>
        </is>
      </c>
    </row>
    <row r="3211" ht="40" customHeight="1">
      <c r="A3211" s="4" t="inlineStr">
        <is>
          <t>original:Statements!A68</t>
        </is>
      </c>
      <c r="B3211" s="4" t="inlineStr">
        <is>
          <t>Statements</t>
        </is>
      </c>
      <c r="C3211" s="4" t="inlineStr">
        <is>
          <t>A68</t>
        </is>
      </c>
      <c r="D3211" s="4" t="inlineStr">
        <is>
          <t>Total liabilities</t>
        </is>
      </c>
      <c r="E3211" s="4" t="inlineStr">
        <is>
          <t>Total liabilities</t>
        </is>
      </c>
      <c r="F3211" s="4" t="inlineStr">
        <is>
          <t>GOC Bed Unit-Costing Model v2 — working original.xlsx</t>
        </is>
      </c>
    </row>
    <row r="3212" ht="40" customHeight="1">
      <c r="A3212" s="4" t="inlineStr">
        <is>
          <t>original:Statements!B68</t>
        </is>
      </c>
      <c r="B3212" s="4" t="inlineStr">
        <is>
          <t>Statements</t>
        </is>
      </c>
      <c r="C3212" s="4" t="inlineStr">
        <is>
          <t>B68</t>
        </is>
      </c>
      <c r="D3212" s="4" t="inlineStr">
        <is>
          <t>=B67</t>
        </is>
      </c>
      <c r="E3212" s="4" t="n">
        <v>0</v>
      </c>
      <c r="F3212" s="4" t="inlineStr">
        <is>
          <t>GOC Bed Unit-Costing Model v2 — working original.xlsx</t>
        </is>
      </c>
    </row>
    <row r="3213" ht="40" customHeight="1">
      <c r="A3213" s="4" t="inlineStr">
        <is>
          <t>original:Statements!C68</t>
        </is>
      </c>
      <c r="B3213" s="4" t="inlineStr">
        <is>
          <t>Statements</t>
        </is>
      </c>
      <c r="C3213" s="4" t="inlineStr">
        <is>
          <t>C68</t>
        </is>
      </c>
      <c r="D3213" s="4" t="inlineStr">
        <is>
          <t>=C67</t>
        </is>
      </c>
      <c r="E3213" s="4" t="n">
        <v>0</v>
      </c>
      <c r="F3213" s="4" t="inlineStr">
        <is>
          <t>GOC Bed Unit-Costing Model v2 — working original.xlsx</t>
        </is>
      </c>
    </row>
    <row r="3214" ht="40" customHeight="1">
      <c r="A3214" s="4" t="inlineStr">
        <is>
          <t>original:Statements!D68</t>
        </is>
      </c>
      <c r="B3214" s="4" t="inlineStr">
        <is>
          <t>Statements</t>
        </is>
      </c>
      <c r="C3214" s="4" t="inlineStr">
        <is>
          <t>D68</t>
        </is>
      </c>
      <c r="D3214" s="4" t="inlineStr">
        <is>
          <t>=D67</t>
        </is>
      </c>
      <c r="E3214" s="4" t="n">
        <v>0</v>
      </c>
      <c r="F3214" s="4" t="inlineStr">
        <is>
          <t>GOC Bed Unit-Costing Model v2 — working original.xlsx</t>
        </is>
      </c>
    </row>
    <row r="3215" ht="40" customHeight="1">
      <c r="A3215" s="4" t="inlineStr">
        <is>
          <t>original:Statements!A70</t>
        </is>
      </c>
      <c r="B3215" s="4" t="inlineStr">
        <is>
          <t>Statements</t>
        </is>
      </c>
      <c r="C3215" s="4" t="inlineStr">
        <is>
          <t>A70</t>
        </is>
      </c>
      <c r="D3215" s="4" t="inlineStr">
        <is>
          <t>NET ASSETS</t>
        </is>
      </c>
      <c r="E3215" s="4" t="inlineStr">
        <is>
          <t>NET ASSETS</t>
        </is>
      </c>
      <c r="F3215" s="4" t="inlineStr">
        <is>
          <t>GOC Bed Unit-Costing Model v2 — working original.xlsx</t>
        </is>
      </c>
    </row>
    <row r="3216" ht="40" customHeight="1">
      <c r="A3216" s="4" t="inlineStr">
        <is>
          <t>original:Statements!B70</t>
        </is>
      </c>
      <c r="B3216" s="4" t="inlineStr">
        <is>
          <t>Statements</t>
        </is>
      </c>
      <c r="C3216" s="4" t="inlineStr">
        <is>
          <t>B70</t>
        </is>
      </c>
      <c r="D3216" s="4" t="inlineStr">
        <is>
          <t>=B64-B68</t>
        </is>
      </c>
      <c r="E3216" s="4" t="n">
        <v>283836.8</v>
      </c>
      <c r="F3216" s="4" t="inlineStr">
        <is>
          <t>GOC Bed Unit-Costing Model v2 — working original.xlsx</t>
        </is>
      </c>
    </row>
    <row r="3217" ht="40" customHeight="1">
      <c r="A3217" s="4" t="inlineStr">
        <is>
          <t>original:Statements!C70</t>
        </is>
      </c>
      <c r="B3217" s="4" t="inlineStr">
        <is>
          <t>Statements</t>
        </is>
      </c>
      <c r="C3217" s="4" t="inlineStr">
        <is>
          <t>C70</t>
        </is>
      </c>
      <c r="D3217" s="4" t="inlineStr">
        <is>
          <t>=C64-C68</t>
        </is>
      </c>
      <c r="E3217" s="4" t="n">
        <v>42947.2</v>
      </c>
      <c r="F3217" s="4" t="inlineStr">
        <is>
          <t>GOC Bed Unit-Costing Model v2 — working original.xlsx</t>
        </is>
      </c>
    </row>
    <row r="3218" ht="40" customHeight="1">
      <c r="A3218" s="4" t="inlineStr">
        <is>
          <t>original:Statements!D70</t>
        </is>
      </c>
      <c r="B3218" s="4" t="inlineStr">
        <is>
          <t>Statements</t>
        </is>
      </c>
      <c r="C3218" s="4" t="inlineStr">
        <is>
          <t>D70</t>
        </is>
      </c>
      <c r="D3218" s="4" t="inlineStr">
        <is>
          <t>=D64-D68</t>
        </is>
      </c>
      <c r="E3218" s="4" t="n">
        <v>-197942.4</v>
      </c>
      <c r="F3218" s="4" t="inlineStr">
        <is>
          <t>GOC Bed Unit-Costing Model v2 — working original.xlsx</t>
        </is>
      </c>
    </row>
    <row r="3219" ht="40" customHeight="1">
      <c r="A3219" s="4" t="inlineStr">
        <is>
          <t>original:Statements!A72</t>
        </is>
      </c>
      <c r="B3219" s="4" t="inlineStr">
        <is>
          <t>Statements</t>
        </is>
      </c>
      <c r="C3219" s="4" t="inlineStr">
        <is>
          <t>A72</t>
        </is>
      </c>
      <c r="D3219" s="4" t="inlineStr">
        <is>
          <t>Equity</t>
        </is>
      </c>
      <c r="E3219" s="4" t="inlineStr">
        <is>
          <t>Equity</t>
        </is>
      </c>
      <c r="F3219" s="4" t="inlineStr">
        <is>
          <t>GOC Bed Unit-Costing Model v2 — working original.xlsx</t>
        </is>
      </c>
    </row>
    <row r="3220" ht="40" customHeight="1">
      <c r="A3220" s="4" t="inlineStr">
        <is>
          <t>original:Statements!A73</t>
        </is>
      </c>
      <c r="B3220" s="4" t="inlineStr">
        <is>
          <t>Statements</t>
        </is>
      </c>
      <c r="C3220" s="4" t="inlineStr">
        <is>
          <t>A73</t>
        </is>
      </c>
      <c r="D3220" s="4" t="inlineStr">
        <is>
          <t>Opening equity</t>
        </is>
      </c>
      <c r="E3220" s="4" t="inlineStr">
        <is>
          <t>Opening equity</t>
        </is>
      </c>
      <c r="F3220" s="4" t="inlineStr">
        <is>
          <t>GOC Bed Unit-Costing Model v2 — working original.xlsx</t>
        </is>
      </c>
    </row>
    <row r="3221" ht="40" customHeight="1">
      <c r="A3221" s="4" t="inlineStr">
        <is>
          <t>original:Statements!B73</t>
        </is>
      </c>
      <c r="B3221" s="4" t="inlineStr">
        <is>
          <t>Statements</t>
        </is>
      </c>
      <c r="C3221" s="4" t="inlineStr">
        <is>
          <t>B73</t>
        </is>
      </c>
      <c r="D3221" s="4" t="inlineStr">
        <is>
          <t>='Inputs (1)'!$B$9</t>
        </is>
      </c>
      <c r="E3221" s="4" t="n">
        <v>242546</v>
      </c>
      <c r="F3221" s="4" t="inlineStr">
        <is>
          <t>GOC Bed Unit-Costing Model v2 — working original.xlsx</t>
        </is>
      </c>
    </row>
    <row r="3222" ht="40" customHeight="1">
      <c r="A3222" s="4" t="inlineStr">
        <is>
          <t>original:Statements!C73</t>
        </is>
      </c>
      <c r="B3222" s="4" t="inlineStr">
        <is>
          <t>Statements</t>
        </is>
      </c>
      <c r="C3222" s="4" t="inlineStr">
        <is>
          <t>C73</t>
        </is>
      </c>
      <c r="D3222" s="4" t="inlineStr">
        <is>
          <t>=B75</t>
        </is>
      </c>
      <c r="E3222" s="4" t="n">
        <v>283836.8</v>
      </c>
      <c r="F3222" s="4" t="inlineStr">
        <is>
          <t>GOC Bed Unit-Costing Model v2 — working original.xlsx</t>
        </is>
      </c>
    </row>
    <row r="3223" ht="40" customHeight="1">
      <c r="A3223" s="4" t="inlineStr">
        <is>
          <t>original:Statements!D73</t>
        </is>
      </c>
      <c r="B3223" s="4" t="inlineStr">
        <is>
          <t>Statements</t>
        </is>
      </c>
      <c r="C3223" s="4" t="inlineStr">
        <is>
          <t>D73</t>
        </is>
      </c>
      <c r="D3223" s="4" t="inlineStr">
        <is>
          <t>=C75</t>
        </is>
      </c>
      <c r="E3223" s="4" t="n">
        <v>42947.2</v>
      </c>
      <c r="F3223" s="4" t="inlineStr">
        <is>
          <t>GOC Bed Unit-Costing Model v2 — working original.xlsx</t>
        </is>
      </c>
    </row>
    <row r="3224" ht="40" customHeight="1">
      <c r="A3224" s="4" t="inlineStr">
        <is>
          <t>original:Statements!A74</t>
        </is>
      </c>
      <c r="B3224" s="4" t="inlineStr">
        <is>
          <t>Statements</t>
        </is>
      </c>
      <c r="C3224" s="4" t="inlineStr">
        <is>
          <t>A74</t>
        </is>
      </c>
      <c r="D3224" s="4" t="inlineStr">
        <is>
          <t>Net profit after tax</t>
        </is>
      </c>
      <c r="E3224" s="4" t="inlineStr">
        <is>
          <t>Net profit after tax</t>
        </is>
      </c>
      <c r="F3224" s="4" t="inlineStr">
        <is>
          <t>GOC Bed Unit-Costing Model v2 — working original.xlsx</t>
        </is>
      </c>
    </row>
    <row r="3225" ht="40" customHeight="1">
      <c r="A3225" s="4" t="inlineStr">
        <is>
          <t>original:Statements!B74</t>
        </is>
      </c>
      <c r="B3225" s="4" t="inlineStr">
        <is>
          <t>Statements</t>
        </is>
      </c>
      <c r="C3225" s="4" t="inlineStr">
        <is>
          <t>B74</t>
        </is>
      </c>
      <c r="D3225" s="4" t="inlineStr">
        <is>
          <t>=B37</t>
        </is>
      </c>
      <c r="E3225" s="4" t="n">
        <v>41290.8</v>
      </c>
      <c r="F3225" s="4" t="inlineStr">
        <is>
          <t>GOC Bed Unit-Costing Model v2 — working original.xlsx</t>
        </is>
      </c>
    </row>
    <row r="3226" ht="40" customHeight="1">
      <c r="A3226" s="4" t="inlineStr">
        <is>
          <t>original:Statements!C74</t>
        </is>
      </c>
      <c r="B3226" s="4" t="inlineStr">
        <is>
          <t>Statements</t>
        </is>
      </c>
      <c r="C3226" s="4" t="inlineStr">
        <is>
          <t>C74</t>
        </is>
      </c>
      <c r="D3226" s="4" t="inlineStr">
        <is>
          <t>=C37</t>
        </is>
      </c>
      <c r="E3226" s="4" t="n">
        <v>-240889.6</v>
      </c>
      <c r="F3226" s="4" t="inlineStr">
        <is>
          <t>GOC Bed Unit-Costing Model v2 — working original.xlsx</t>
        </is>
      </c>
    </row>
    <row r="3227" ht="40" customHeight="1">
      <c r="A3227" s="4" t="inlineStr">
        <is>
          <t>original:Statements!D74</t>
        </is>
      </c>
      <c r="B3227" s="4" t="inlineStr">
        <is>
          <t>Statements</t>
        </is>
      </c>
      <c r="C3227" s="4" t="inlineStr">
        <is>
          <t>D74</t>
        </is>
      </c>
      <c r="D3227" s="4" t="inlineStr">
        <is>
          <t>=D37</t>
        </is>
      </c>
      <c r="E3227" s="4" t="n">
        <v>-240889.6</v>
      </c>
      <c r="F3227" s="4" t="inlineStr">
        <is>
          <t>GOC Bed Unit-Costing Model v2 — working original.xlsx</t>
        </is>
      </c>
    </row>
    <row r="3228" ht="40" customHeight="1">
      <c r="A3228" s="4" t="inlineStr">
        <is>
          <t>original:Statements!A75</t>
        </is>
      </c>
      <c r="B3228" s="4" t="inlineStr">
        <is>
          <t>Statements</t>
        </is>
      </c>
      <c r="C3228" s="4" t="inlineStr">
        <is>
          <t>A75</t>
        </is>
      </c>
      <c r="D3228" s="4" t="inlineStr">
        <is>
          <t>CLOSING EQUITY</t>
        </is>
      </c>
      <c r="E3228" s="4" t="inlineStr">
        <is>
          <t>CLOSING EQUITY</t>
        </is>
      </c>
      <c r="F3228" s="4" t="inlineStr">
        <is>
          <t>GOC Bed Unit-Costing Model v2 — working original.xlsx</t>
        </is>
      </c>
    </row>
    <row r="3229" ht="40" customHeight="1">
      <c r="A3229" s="4" t="inlineStr">
        <is>
          <t>original:Statements!B75</t>
        </is>
      </c>
      <c r="B3229" s="4" t="inlineStr">
        <is>
          <t>Statements</t>
        </is>
      </c>
      <c r="C3229" s="4" t="inlineStr">
        <is>
          <t>B75</t>
        </is>
      </c>
      <c r="D3229" s="4" t="inlineStr">
        <is>
          <t>=B73+B74</t>
        </is>
      </c>
      <c r="E3229" s="4" t="n">
        <v>283836.8</v>
      </c>
      <c r="F3229" s="4" t="inlineStr">
        <is>
          <t>GOC Bed Unit-Costing Model v2 — working original.xlsx</t>
        </is>
      </c>
    </row>
    <row r="3230" ht="40" customHeight="1">
      <c r="A3230" s="4" t="inlineStr">
        <is>
          <t>original:Statements!C75</t>
        </is>
      </c>
      <c r="B3230" s="4" t="inlineStr">
        <is>
          <t>Statements</t>
        </is>
      </c>
      <c r="C3230" s="4" t="inlineStr">
        <is>
          <t>C75</t>
        </is>
      </c>
      <c r="D3230" s="4" t="inlineStr">
        <is>
          <t>=C73+C74</t>
        </is>
      </c>
      <c r="E3230" s="4" t="n">
        <v>42947.2</v>
      </c>
      <c r="F3230" s="4" t="inlineStr">
        <is>
          <t>GOC Bed Unit-Costing Model v2 — working original.xlsx</t>
        </is>
      </c>
    </row>
    <row r="3231" ht="40" customHeight="1">
      <c r="A3231" s="4" t="inlineStr">
        <is>
          <t>original:Statements!D75</t>
        </is>
      </c>
      <c r="B3231" s="4" t="inlineStr">
        <is>
          <t>Statements</t>
        </is>
      </c>
      <c r="C3231" s="4" t="inlineStr">
        <is>
          <t>D75</t>
        </is>
      </c>
      <c r="D3231" s="4" t="inlineStr">
        <is>
          <t>=D73+D74</t>
        </is>
      </c>
      <c r="E3231" s="4" t="n">
        <v>-197942.4</v>
      </c>
      <c r="F3231" s="4" t="inlineStr">
        <is>
          <t>GOC Bed Unit-Costing Model v2 — working original.xlsx</t>
        </is>
      </c>
    </row>
    <row r="3232" ht="40" customHeight="1">
      <c r="A3232" s="4" t="inlineStr">
        <is>
          <t>original:Statements!A77</t>
        </is>
      </c>
      <c r="B3232" s="4" t="inlineStr">
        <is>
          <t>Statements</t>
        </is>
      </c>
      <c r="C3232" s="4" t="inlineStr">
        <is>
          <t>A77</t>
        </is>
      </c>
      <c r="D3232" s="4" t="inlineStr">
        <is>
          <t>Check: net assets less closing equity</t>
        </is>
      </c>
      <c r="E3232" s="4" t="inlineStr">
        <is>
          <t>Check: net assets less closing equity</t>
        </is>
      </c>
      <c r="F3232" s="4" t="inlineStr">
        <is>
          <t>GOC Bed Unit-Costing Model v2 — working original.xlsx</t>
        </is>
      </c>
    </row>
    <row r="3233" ht="40" customHeight="1">
      <c r="A3233" s="4" t="inlineStr">
        <is>
          <t>original:Statements!B77</t>
        </is>
      </c>
      <c r="B3233" s="4" t="inlineStr">
        <is>
          <t>Statements</t>
        </is>
      </c>
      <c r="C3233" s="4" t="inlineStr">
        <is>
          <t>B77</t>
        </is>
      </c>
      <c r="D3233" s="4" t="inlineStr">
        <is>
          <t>=B70-B75</t>
        </is>
      </c>
      <c r="E3233" s="4" t="n">
        <v>0</v>
      </c>
      <c r="F3233" s="4" t="inlineStr">
        <is>
          <t>GOC Bed Unit-Costing Model v2 — working original.xlsx</t>
        </is>
      </c>
    </row>
    <row r="3234" ht="40" customHeight="1">
      <c r="A3234" s="4" t="inlineStr">
        <is>
          <t>original:Statements!C77</t>
        </is>
      </c>
      <c r="B3234" s="4" t="inlineStr">
        <is>
          <t>Statements</t>
        </is>
      </c>
      <c r="C3234" s="4" t="inlineStr">
        <is>
          <t>C77</t>
        </is>
      </c>
      <c r="D3234" s="4" t="inlineStr">
        <is>
          <t>=C70-C75</t>
        </is>
      </c>
      <c r="E3234" s="4" t="n">
        <v>0</v>
      </c>
      <c r="F3234" s="4" t="inlineStr">
        <is>
          <t>GOC Bed Unit-Costing Model v2 — working original.xlsx</t>
        </is>
      </c>
    </row>
    <row r="3235" ht="40" customHeight="1">
      <c r="A3235" s="4" t="inlineStr">
        <is>
          <t>original:Statements!D77</t>
        </is>
      </c>
      <c r="B3235" s="4" t="inlineStr">
        <is>
          <t>Statements</t>
        </is>
      </c>
      <c r="C3235" s="4" t="inlineStr">
        <is>
          <t>D77</t>
        </is>
      </c>
      <c r="D3235" s="4" t="inlineStr">
        <is>
          <t>=D70-D75</t>
        </is>
      </c>
      <c r="E3235" s="4" t="n">
        <v>0</v>
      </c>
      <c r="F3235" s="4" t="inlineStr">
        <is>
          <t>GOC Bed Unit-Costing Model v2 — working original.xlsx</t>
        </is>
      </c>
    </row>
    <row r="3236" ht="45" customHeight="1">
      <c r="A3236" s="4" t="inlineStr">
        <is>
          <t>original:Statements!F77</t>
        </is>
      </c>
      <c r="B3236" s="4" t="inlineStr">
        <is>
          <t>Statements</t>
        </is>
      </c>
      <c r="C3236" s="4" t="inlineStr">
        <is>
          <t>F77</t>
        </is>
      </c>
      <c r="D3236" s="4" t="inlineStr">
        <is>
          <t>Must be nil in every year. If it is not, a link has been broken.</t>
        </is>
      </c>
      <c r="E3236" s="4" t="inlineStr">
        <is>
          <t>Must be nil in every year. If it is not, a link has been broken.</t>
        </is>
      </c>
      <c r="F3236" s="4" t="inlineStr">
        <is>
          <t>GOC Bed Unit-Costing Model v2 — working original.xlsx</t>
        </is>
      </c>
    </row>
    <row r="3237" ht="40" customHeight="1">
      <c r="A3237" s="4" t="inlineStr">
        <is>
          <t>original:Statements!A79</t>
        </is>
      </c>
      <c r="B3237" s="4" t="inlineStr">
        <is>
          <t>Statements</t>
        </is>
      </c>
      <c r="C3237" s="4" t="inlineStr">
        <is>
          <t>A79</t>
        </is>
      </c>
      <c r="D3237" s="4" t="inlineStr">
        <is>
          <t>KEY OUTPUTS</t>
        </is>
      </c>
      <c r="E3237" s="4" t="inlineStr">
        <is>
          <t>KEY OUTPUTS</t>
        </is>
      </c>
      <c r="F3237" s="4" t="inlineStr">
        <is>
          <t>GOC Bed Unit-Costing Model v2 — working original.xlsx</t>
        </is>
      </c>
    </row>
    <row r="3238" ht="40" customHeight="1">
      <c r="A3238" s="4" t="inlineStr">
        <is>
          <t>original:Statements!A80</t>
        </is>
      </c>
      <c r="B3238" s="4" t="inlineStr">
        <is>
          <t>Statements</t>
        </is>
      </c>
      <c r="C3238" s="4" t="inlineStr">
        <is>
          <t>A80</t>
        </is>
      </c>
      <c r="D3238" s="4" t="inlineStr">
        <is>
          <t>Total beds produced</t>
        </is>
      </c>
      <c r="E3238" s="4" t="inlineStr">
        <is>
          <t>Total beds produced</t>
        </is>
      </c>
      <c r="F3238" s="4" t="inlineStr">
        <is>
          <t>GOC Bed Unit-Costing Model v2 — working original.xlsx</t>
        </is>
      </c>
    </row>
    <row r="3239" ht="40" customHeight="1">
      <c r="A3239" s="4" t="inlineStr">
        <is>
          <t>original:Statements!B80</t>
        </is>
      </c>
      <c r="B3239" s="4" t="inlineStr">
        <is>
          <t>Statements</t>
        </is>
      </c>
      <c r="C3239" s="4" t="inlineStr">
        <is>
          <t>B80</t>
        </is>
      </c>
      <c r="D3239" s="4" t="inlineStr">
        <is>
          <t>=Workings!B11</t>
        </is>
      </c>
      <c r="E3239" s="4" t="n">
        <v>400</v>
      </c>
      <c r="F3239" s="4" t="inlineStr">
        <is>
          <t>GOC Bed Unit-Costing Model v2 — working original.xlsx</t>
        </is>
      </c>
    </row>
    <row r="3240" ht="40" customHeight="1">
      <c r="A3240" s="4" t="inlineStr">
        <is>
          <t>original:Statements!C80</t>
        </is>
      </c>
      <c r="B3240" s="4" t="inlineStr">
        <is>
          <t>Statements</t>
        </is>
      </c>
      <c r="C3240" s="4" t="inlineStr">
        <is>
          <t>C80</t>
        </is>
      </c>
      <c r="D3240" s="4" t="inlineStr">
        <is>
          <t>=Workings!C11</t>
        </is>
      </c>
      <c r="E3240" s="4" t="n">
        <v>1000</v>
      </c>
      <c r="F3240" s="4" t="inlineStr">
        <is>
          <t>GOC Bed Unit-Costing Model v2 — working original.xlsx</t>
        </is>
      </c>
    </row>
    <row r="3241" ht="40" customHeight="1">
      <c r="A3241" s="4" t="inlineStr">
        <is>
          <t>original:Statements!D80</t>
        </is>
      </c>
      <c r="B3241" s="4" t="inlineStr">
        <is>
          <t>Statements</t>
        </is>
      </c>
      <c r="C3241" s="4" t="inlineStr">
        <is>
          <t>D80</t>
        </is>
      </c>
      <c r="D3241" s="4" t="inlineStr">
        <is>
          <t>=Workings!D11</t>
        </is>
      </c>
      <c r="E3241" s="4" t="n">
        <v>1000</v>
      </c>
      <c r="F3241" s="4" t="inlineStr">
        <is>
          <t>GOC Bed Unit-Costing Model v2 — working original.xlsx</t>
        </is>
      </c>
    </row>
    <row r="3242" ht="40" customHeight="1">
      <c r="A3242" s="4" t="inlineStr">
        <is>
          <t>original:Statements!A81</t>
        </is>
      </c>
      <c r="B3242" s="4" t="inlineStr">
        <is>
          <t>Statements</t>
        </is>
      </c>
      <c r="C3242" s="4" t="inlineStr">
        <is>
          <t>A81</t>
        </is>
      </c>
      <c r="D3242" s="4" t="inlineStr">
        <is>
          <t>Bed sales as a share of total income</t>
        </is>
      </c>
      <c r="E3242" s="4" t="inlineStr">
        <is>
          <t>Bed sales as a share of total income</t>
        </is>
      </c>
      <c r="F3242" s="4" t="inlineStr">
        <is>
          <t>GOC Bed Unit-Costing Model v2 — working original.xlsx</t>
        </is>
      </c>
    </row>
    <row r="3243" ht="40" customHeight="1">
      <c r="A3243" s="4" t="inlineStr">
        <is>
          <t>original:Statements!B81</t>
        </is>
      </c>
      <c r="B3243" s="4" t="inlineStr">
        <is>
          <t>Statements</t>
        </is>
      </c>
      <c r="C3243" s="4" t="inlineStr">
        <is>
          <t>B81</t>
        </is>
      </c>
      <c r="D3243" s="4" t="inlineStr">
        <is>
          <t>=IF(B10&gt;0,B7/B10,0)</t>
        </is>
      </c>
      <c r="E3243" s="4" t="n">
        <v>0.3333333333</v>
      </c>
      <c r="F3243" s="4" t="inlineStr">
        <is>
          <t>GOC Bed Unit-Costing Model v2 — working original.xlsx</t>
        </is>
      </c>
    </row>
    <row r="3244" ht="40" customHeight="1">
      <c r="A3244" s="4" t="inlineStr">
        <is>
          <t>original:Statements!C81</t>
        </is>
      </c>
      <c r="B3244" s="4" t="inlineStr">
        <is>
          <t>Statements</t>
        </is>
      </c>
      <c r="C3244" s="4" t="inlineStr">
        <is>
          <t>C81</t>
        </is>
      </c>
      <c r="D3244" s="4" t="inlineStr">
        <is>
          <t>=IF(C10&gt;0,C7/C10,0)</t>
        </is>
      </c>
      <c r="E3244" s="4" t="n">
        <v>1</v>
      </c>
      <c r="F3244" s="4" t="inlineStr">
        <is>
          <t>GOC Bed Unit-Costing Model v2 — working original.xlsx</t>
        </is>
      </c>
    </row>
    <row r="3245" ht="40" customHeight="1">
      <c r="A3245" s="4" t="inlineStr">
        <is>
          <t>original:Statements!D81</t>
        </is>
      </c>
      <c r="B3245" s="4" t="inlineStr">
        <is>
          <t>Statements</t>
        </is>
      </c>
      <c r="C3245" s="4" t="inlineStr">
        <is>
          <t>D81</t>
        </is>
      </c>
      <c r="D3245" s="4" t="inlineStr">
        <is>
          <t>=IF(D10&gt;0,D7/D10,0)</t>
        </is>
      </c>
      <c r="E3245" s="4" t="n">
        <v>1</v>
      </c>
      <c r="F3245" s="4" t="inlineStr">
        <is>
          <t>GOC Bed Unit-Costing Model v2 — working original.xlsx</t>
        </is>
      </c>
    </row>
    <row r="3246" ht="40" customHeight="1">
      <c r="A3246" s="4" t="inlineStr">
        <is>
          <t>original:Statements!A82</t>
        </is>
      </c>
      <c r="B3246" s="4" t="inlineStr">
        <is>
          <t>Statements</t>
        </is>
      </c>
      <c r="C3246" s="4" t="inlineStr">
        <is>
          <t>A82</t>
        </is>
      </c>
      <c r="D3246" s="4" t="inlineStr">
        <is>
          <t>Direct contribution from bed sales</t>
        </is>
      </c>
      <c r="E3246" s="4" t="inlineStr">
        <is>
          <t>Direct contribution from bed sales</t>
        </is>
      </c>
      <c r="F3246" s="4" t="inlineStr">
        <is>
          <t>GOC Bed Unit-Costing Model v2 — working original.xlsx</t>
        </is>
      </c>
    </row>
    <row r="3247" ht="40" customHeight="1">
      <c r="A3247" s="4" t="inlineStr">
        <is>
          <t>original:Statements!B82</t>
        </is>
      </c>
      <c r="B3247" s="4" t="inlineStr">
        <is>
          <t>Statements</t>
        </is>
      </c>
      <c r="C3247" s="4" t="inlineStr">
        <is>
          <t>B82</t>
        </is>
      </c>
      <c r="D3247" s="4" t="inlineStr">
        <is>
          <t>=B7-B13</t>
        </is>
      </c>
      <c r="E3247" s="4" t="n">
        <v>202704</v>
      </c>
      <c r="F3247" s="4" t="inlineStr">
        <is>
          <t>GOC Bed Unit-Costing Model v2 — working original.xlsx</t>
        </is>
      </c>
    </row>
    <row r="3248" ht="40" customHeight="1">
      <c r="A3248" s="4" t="inlineStr">
        <is>
          <t>original:Statements!C82</t>
        </is>
      </c>
      <c r="B3248" s="4" t="inlineStr">
        <is>
          <t>Statements</t>
        </is>
      </c>
      <c r="C3248" s="4" t="inlineStr">
        <is>
          <t>C82</t>
        </is>
      </c>
      <c r="D3248" s="4" t="inlineStr">
        <is>
          <t>=C7-C13</t>
        </is>
      </c>
      <c r="E3248" s="4" t="n">
        <v>506760</v>
      </c>
      <c r="F3248" s="4" t="inlineStr">
        <is>
          <t>GOC Bed Unit-Costing Model v2 — working original.xlsx</t>
        </is>
      </c>
    </row>
    <row r="3249" ht="40" customHeight="1">
      <c r="A3249" s="4" t="inlineStr">
        <is>
          <t>original:Statements!D82</t>
        </is>
      </c>
      <c r="B3249" s="4" t="inlineStr">
        <is>
          <t>Statements</t>
        </is>
      </c>
      <c r="C3249" s="4" t="inlineStr">
        <is>
          <t>D82</t>
        </is>
      </c>
      <c r="D3249" s="4" t="inlineStr">
        <is>
          <t>=D7-D13</t>
        </is>
      </c>
      <c r="E3249" s="4" t="n">
        <v>506760</v>
      </c>
      <c r="F3249" s="4" t="inlineStr">
        <is>
          <t>GOC Bed Unit-Costing Model v2 — working original.xlsx</t>
        </is>
      </c>
    </row>
    <row r="3250" ht="40" customHeight="1">
      <c r="A3250" s="4" t="inlineStr">
        <is>
          <t>original:Statements!A83</t>
        </is>
      </c>
      <c r="B3250" s="4" t="inlineStr">
        <is>
          <t>Statements</t>
        </is>
      </c>
      <c r="C3250" s="4" t="inlineStr">
        <is>
          <t>A83</t>
        </is>
      </c>
      <c r="D3250" s="4" t="inlineStr">
        <is>
          <t>All-in cost per bed produced</t>
        </is>
      </c>
      <c r="E3250" s="4" t="inlineStr">
        <is>
          <t>All-in cost per bed produced</t>
        </is>
      </c>
      <c r="F3250" s="4" t="inlineStr">
        <is>
          <t>GOC Bed Unit-Costing Model v2 — working original.xlsx</t>
        </is>
      </c>
    </row>
    <row r="3251" ht="40" customHeight="1">
      <c r="A3251" s="4" t="inlineStr">
        <is>
          <t>original:Statements!B83</t>
        </is>
      </c>
      <c r="B3251" s="4" t="inlineStr">
        <is>
          <t>Statements</t>
        </is>
      </c>
      <c r="C3251" s="4" t="inlineStr">
        <is>
          <t>B83</t>
        </is>
      </c>
      <c r="D3251" s="4" t="inlineStr">
        <is>
          <t>=IF(Workings!B11&gt;0,(B17+B29+B32+B34)/Workings!B11,0)</t>
        </is>
      </c>
      <c r="E3251" s="4" t="n">
        <v>2112.364</v>
      </c>
      <c r="F3251" s="4" t="inlineStr">
        <is>
          <t>GOC Bed Unit-Costing Model v2 — working original.xlsx</t>
        </is>
      </c>
    </row>
    <row r="3252" ht="40" customHeight="1">
      <c r="A3252" s="4" t="inlineStr">
        <is>
          <t>original:Statements!C83</t>
        </is>
      </c>
      <c r="B3252" s="4" t="inlineStr">
        <is>
          <t>Statements</t>
        </is>
      </c>
      <c r="C3252" s="4" t="inlineStr">
        <is>
          <t>C83</t>
        </is>
      </c>
      <c r="D3252" s="4" t="inlineStr">
        <is>
          <t>=IF(Workings!C11&gt;0,(C17+C29+C32+C34)/Workings!C11,0)</t>
        </is>
      </c>
      <c r="E3252" s="4" t="n">
        <v>990.8896</v>
      </c>
      <c r="F3252" s="4" t="inlineStr">
        <is>
          <t>GOC Bed Unit-Costing Model v2 — working original.xlsx</t>
        </is>
      </c>
    </row>
    <row r="3253" ht="40" customHeight="1">
      <c r="A3253" s="4" t="inlineStr">
        <is>
          <t>original:Statements!D83</t>
        </is>
      </c>
      <c r="B3253" s="4" t="inlineStr">
        <is>
          <t>Statements</t>
        </is>
      </c>
      <c r="C3253" s="4" t="inlineStr">
        <is>
          <t>D83</t>
        </is>
      </c>
      <c r="D3253" s="4" t="inlineStr">
        <is>
          <t>=IF(Workings!D11&gt;0,(D17+D29+D32+D34)/Workings!D11,0)</t>
        </is>
      </c>
      <c r="E3253" s="4" t="n">
        <v>990.8896</v>
      </c>
      <c r="F3253" s="4" t="inlineStr">
        <is>
          <t>GOC Bed Unit-Costing Model v2 — working original.xlsx</t>
        </is>
      </c>
    </row>
    <row r="3254" ht="165" customHeight="1">
      <c r="A3254" s="4" t="inlineStr">
        <is>
          <t>original:Statements!F83</t>
        </is>
      </c>
      <c r="B3254" s="4" t="inlineStr">
        <is>
          <t>Statements</t>
        </is>
      </c>
      <c r="C3254" s="4" t="inlineStr">
        <is>
          <t>F83</t>
        </is>
      </c>
      <c r="D3254" s="4" t="inlineStr">
        <is>
          <t>Total cost of production plus overhead, depreciation and interest, divided by every bed produced including grant-funded ones. This is the entity view. It is not the marginal cost of one more bed: for that, use the bed unit-costing model.</t>
        </is>
      </c>
      <c r="E3254" s="4" t="inlineStr">
        <is>
          <t>Total cost of production plus overhead, depreciation and interest, divided by every bed produced including grant-funded ones. This is the entity view. It is not the marginal cost of one more bed: for that, use the bed unit-costing model.</t>
        </is>
      </c>
      <c r="F3254" s="4" t="inlineStr">
        <is>
          <t>GOC Bed Unit-Costing Model v2 — working original.xlsx</t>
        </is>
      </c>
    </row>
    <row r="3255" ht="40" customHeight="1">
      <c r="A3255" s="4" t="inlineStr">
        <is>
          <t>original:Statements!A84</t>
        </is>
      </c>
      <c r="B3255" s="4" t="inlineStr">
        <is>
          <t>Statements</t>
        </is>
      </c>
      <c r="C3255" s="4" t="inlineStr">
        <is>
          <t>A84</t>
        </is>
      </c>
      <c r="D3255" s="4" t="inlineStr">
        <is>
          <t>Commercial beds needed to break even</t>
        </is>
      </c>
      <c r="E3255" s="4" t="inlineStr">
        <is>
          <t>Commercial beds needed to break even</t>
        </is>
      </c>
      <c r="F3255" s="4" t="inlineStr">
        <is>
          <t>GOC Bed Unit-Costing Model v2 — working original.xlsx</t>
        </is>
      </c>
    </row>
    <row r="3256" ht="45" customHeight="1">
      <c r="A3256" s="4" t="inlineStr">
        <is>
          <t>original:Statements!B84</t>
        </is>
      </c>
      <c r="B3256" s="4" t="inlineStr">
        <is>
          <t>Statements</t>
        </is>
      </c>
      <c r="C3256" s="4" t="inlineStr">
        <is>
          <t>B84</t>
        </is>
      </c>
      <c r="D3256" s="4" t="inlineStr">
        <is>
          <t>=IF(('Inputs (1)'!G7-IF(Workings!B11&gt;0,Workings!B26/Workings!B11,0))&gt;0,(B14+B15+B16+B29+B32+B34)/('Inputs (1)'!G7-IF(Workings!B11&gt;0,Workings!B26/Workings!B11,0)),0)</t>
        </is>
      </c>
      <c r="E3256" s="4" t="n">
        <v>1475.352435</v>
      </c>
      <c r="F3256" s="4" t="inlineStr">
        <is>
          <t>GOC Bed Unit-Costing Model v2 — working original.xlsx</t>
        </is>
      </c>
    </row>
    <row r="3257" ht="45" customHeight="1">
      <c r="A3257" s="4" t="inlineStr">
        <is>
          <t>original:Statements!C84</t>
        </is>
      </c>
      <c r="B3257" s="4" t="inlineStr">
        <is>
          <t>Statements</t>
        </is>
      </c>
      <c r="C3257" s="4" t="inlineStr">
        <is>
          <t>C84</t>
        </is>
      </c>
      <c r="D3257" s="4" t="inlineStr">
        <is>
          <t>=IF(('Inputs (1)'!H7-IF(Workings!C11&gt;0,Workings!C26/Workings!C11,0))&gt;0,(C14+C15+C16+C29+C32+C34)/('Inputs (1)'!H7-IF(Workings!C11&gt;0,Workings!C26/Workings!C11,0)),0)</t>
        </is>
      </c>
      <c r="E3257" s="4" t="n">
        <v>1475.352435</v>
      </c>
      <c r="F3257" s="4" t="inlineStr">
        <is>
          <t>GOC Bed Unit-Costing Model v2 — working original.xlsx</t>
        </is>
      </c>
    </row>
    <row r="3258" ht="45" customHeight="1">
      <c r="A3258" s="4" t="inlineStr">
        <is>
          <t>original:Statements!D84</t>
        </is>
      </c>
      <c r="B3258" s="4" t="inlineStr">
        <is>
          <t>Statements</t>
        </is>
      </c>
      <c r="C3258" s="4" t="inlineStr">
        <is>
          <t>D84</t>
        </is>
      </c>
      <c r="D3258" s="4" t="inlineStr">
        <is>
          <t>=IF(('Inputs (1)'!I7-IF(Workings!D11&gt;0,Workings!D26/Workings!D11,0))&gt;0,(D14+D15+D16+D29+D32+D34)/('Inputs (1)'!I7-IF(Workings!D11&gt;0,Workings!D26/Workings!D11,0)),0)</t>
        </is>
      </c>
      <c r="E3258" s="4" t="n">
        <v>1475.352435</v>
      </c>
      <c r="F3258" s="4" t="inlineStr">
        <is>
          <t>GOC Bed Unit-Costing Model v2 — working original.xlsx</t>
        </is>
      </c>
    </row>
    <row r="3259" ht="135" customHeight="1">
      <c r="A3259" s="4" t="inlineStr">
        <is>
          <t>original:Statements!F84</t>
        </is>
      </c>
      <c r="B3259" s="4" t="inlineStr">
        <is>
          <t>Statements</t>
        </is>
      </c>
      <c r="C3259" s="4" t="inlineStr">
        <is>
          <t>F84</t>
        </is>
      </c>
      <c r="D3259" s="4" t="inlineStr">
        <is>
          <t>Excludes grant income. All site, overhead, depreciation and interest costs divided by the contribution on one commercially sold bed (price less the weighted average direct cost per bed).</t>
        </is>
      </c>
      <c r="E3259" s="4" t="inlineStr">
        <is>
          <t>Excludes grant income. All site, overhead, depreciation and interest costs divided by the contribution on one commercially sold bed (price less the weighted average direct cost per bed).</t>
        </is>
      </c>
      <c r="F3259" s="4" t="inlineStr">
        <is>
          <t>GOC Bed Unit-Costing Model v2 — working original.xlsx</t>
        </is>
      </c>
    </row>
    <row r="3260" ht="40" customHeight="1">
      <c r="A3260" s="4" t="inlineStr">
        <is>
          <t>original:Statements!A85</t>
        </is>
      </c>
      <c r="B3260" s="4" t="inlineStr">
        <is>
          <t>Statements</t>
        </is>
      </c>
      <c r="C3260" s="4" t="inlineStr">
        <is>
          <t>A85</t>
        </is>
      </c>
      <c r="D3260" s="4" t="inlineStr">
        <is>
          <t>Operating surplus before founder salaries</t>
        </is>
      </c>
      <c r="E3260" s="4" t="inlineStr">
        <is>
          <t>Operating surplus before founder salaries</t>
        </is>
      </c>
      <c r="F3260" s="4" t="inlineStr">
        <is>
          <t>GOC Bed Unit-Costing Model v2 — working original.xlsx</t>
        </is>
      </c>
    </row>
    <row r="3261" ht="40" customHeight="1">
      <c r="A3261" s="4" t="inlineStr">
        <is>
          <t>original:Statements!B85</t>
        </is>
      </c>
      <c r="B3261" s="4" t="inlineStr">
        <is>
          <t>Statements</t>
        </is>
      </c>
      <c r="C3261" s="4" t="inlineStr">
        <is>
          <t>B85</t>
        </is>
      </c>
      <c r="D3261" s="4" t="inlineStr">
        <is>
          <t>=B35+Workings!B51</t>
        </is>
      </c>
      <c r="E3261" s="4" t="n">
        <v>206254.4</v>
      </c>
      <c r="F3261" s="4" t="inlineStr">
        <is>
          <t>GOC Bed Unit-Costing Model v2 — working original.xlsx</t>
        </is>
      </c>
    </row>
    <row r="3262" ht="40" customHeight="1">
      <c r="A3262" s="4" t="inlineStr">
        <is>
          <t>original:Statements!C85</t>
        </is>
      </c>
      <c r="B3262" s="4" t="inlineStr">
        <is>
          <t>Statements</t>
        </is>
      </c>
      <c r="C3262" s="4" t="inlineStr">
        <is>
          <t>C85</t>
        </is>
      </c>
      <c r="D3262" s="4" t="inlineStr">
        <is>
          <t>=C35+Workings!C51</t>
        </is>
      </c>
      <c r="E3262" s="4" t="n">
        <v>-89689.60000000001</v>
      </c>
      <c r="F3262" s="4" t="inlineStr">
        <is>
          <t>GOC Bed Unit-Costing Model v2 — working original.xlsx</t>
        </is>
      </c>
    </row>
    <row r="3263" ht="40" customHeight="1">
      <c r="A3263" s="4" t="inlineStr">
        <is>
          <t>original:Statements!D85</t>
        </is>
      </c>
      <c r="B3263" s="4" t="inlineStr">
        <is>
          <t>Statements</t>
        </is>
      </c>
      <c r="C3263" s="4" t="inlineStr">
        <is>
          <t>D85</t>
        </is>
      </c>
      <c r="D3263" s="4" t="inlineStr">
        <is>
          <t>=D35+Workings!D51</t>
        </is>
      </c>
      <c r="E3263" s="4" t="n">
        <v>-89689.60000000001</v>
      </c>
      <c r="F3263" s="4" t="inlineStr">
        <is>
          <t>GOC Bed Unit-Costing Model v2 — working original.xlsx</t>
        </is>
      </c>
    </row>
    <row r="3264" ht="75" customHeight="1">
      <c r="A3264" s="4" t="inlineStr">
        <is>
          <t>original:Statements!F85</t>
        </is>
      </c>
      <c r="B3264" s="4" t="inlineStr">
        <is>
          <t>Statements</t>
        </is>
      </c>
      <c r="C3264" s="4" t="inlineStr">
        <is>
          <t>F85</t>
        </is>
      </c>
      <c r="D3264" s="4" t="inlineStr">
        <is>
          <t>The test an investor applies: does the model stack up only because the founders are not paid?</t>
        </is>
      </c>
      <c r="E3264" s="4" t="inlineStr">
        <is>
          <t>The test an investor applies: does the model stack up only because the founders are not paid?</t>
        </is>
      </c>
      <c r="F3264" s="4" t="inlineStr">
        <is>
          <t>GOC Bed Unit-Costing Model v2 — working original.xlsx</t>
        </is>
      </c>
    </row>
    <row r="3265" ht="40" customHeight="1">
      <c r="A3265" s="4" t="inlineStr">
        <is>
          <t>original:Open Items!A1</t>
        </is>
      </c>
      <c r="B3265" s="4" t="inlineStr">
        <is>
          <t>Open Items</t>
        </is>
      </c>
      <c r="C3265" s="4" t="inlineStr">
        <is>
          <t>A1</t>
        </is>
      </c>
      <c r="D3265" s="4" t="inlineStr">
        <is>
          <t>Open items — everything still to be answered</t>
        </is>
      </c>
      <c r="E3265" s="4" t="inlineStr">
        <is>
          <t>Open items — everything still to be answered</t>
        </is>
      </c>
      <c r="F3265" s="4" t="inlineStr">
        <is>
          <t>GOC Bed Unit-Costing Model v2 — working original.xlsx</t>
        </is>
      </c>
    </row>
    <row r="3266" ht="195" customHeight="1">
      <c r="A3266" s="4" t="inlineStr">
        <is>
          <t>original:Open Items!A2</t>
        </is>
      </c>
      <c r="B3266" s="4" t="inlineStr">
        <is>
          <t>Open Items</t>
        </is>
      </c>
      <c r="C3266" s="4" t="inlineStr">
        <is>
          <t>A2</t>
        </is>
      </c>
      <c r="D3266" s="4" t="inlineStr">
        <is>
          <t>Grouped by what kind of answer is needed. Nothing in this model has been guessed: where a figure is entered it has a cited basis, and where no basis exists the cell is left at nil. Every row below points at a cream-filled cell on the Inputs sheet unless the Cell column says otherwise.</t>
        </is>
      </c>
      <c r="E3266" s="4" t="inlineStr">
        <is>
          <t>Grouped by what kind of answer is needed. Nothing in this model has been guessed: where a figure is entered it has a cited basis, and where no basis exists the cell is left at nil. Every row below points at a cream-filled cell on the Inputs sheet unless the Cell column says otherwise.</t>
        </is>
      </c>
      <c r="F3266" s="4" t="inlineStr">
        <is>
          <t>GOC Bed Unit-Costing Model v2 — working original.xlsx</t>
        </is>
      </c>
    </row>
    <row r="3267" ht="40" customHeight="1">
      <c r="A3267" s="4" t="inlineStr">
        <is>
          <t>original:Open Items!A4</t>
        </is>
      </c>
      <c r="B3267" s="4" t="inlineStr">
        <is>
          <t>Open Items</t>
        </is>
      </c>
      <c r="C3267" s="4" t="inlineStr">
        <is>
          <t>A4</t>
        </is>
      </c>
      <c r="D3267" s="4" t="inlineStr">
        <is>
          <t>#</t>
        </is>
      </c>
      <c r="E3267" s="4" t="inlineStr">
        <is>
          <t>#</t>
        </is>
      </c>
      <c r="F3267" s="4" t="inlineStr">
        <is>
          <t>GOC Bed Unit-Costing Model v2 — working original.xlsx</t>
        </is>
      </c>
    </row>
    <row r="3268" ht="40" customHeight="1">
      <c r="A3268" s="4" t="inlineStr">
        <is>
          <t>original:Open Items!B4</t>
        </is>
      </c>
      <c r="B3268" s="4" t="inlineStr">
        <is>
          <t>Open Items</t>
        </is>
      </c>
      <c r="C3268" s="4" t="inlineStr">
        <is>
          <t>B4</t>
        </is>
      </c>
      <c r="D3268" s="4" t="inlineStr">
        <is>
          <t>Item</t>
        </is>
      </c>
      <c r="E3268" s="4" t="inlineStr">
        <is>
          <t>Item</t>
        </is>
      </c>
      <c r="F3268" s="4" t="inlineStr">
        <is>
          <t>GOC Bed Unit-Costing Model v2 — working original.xlsx</t>
        </is>
      </c>
    </row>
    <row r="3269" ht="40" customHeight="1">
      <c r="A3269" s="4" t="inlineStr">
        <is>
          <t>original:Open Items!C4</t>
        </is>
      </c>
      <c r="B3269" s="4" t="inlineStr">
        <is>
          <t>Open Items</t>
        </is>
      </c>
      <c r="C3269" s="4" t="inlineStr">
        <is>
          <t>C4</t>
        </is>
      </c>
      <c r="D3269" s="4" t="inlineStr">
        <is>
          <t>Cell</t>
        </is>
      </c>
      <c r="E3269" s="4" t="inlineStr">
        <is>
          <t>Cell</t>
        </is>
      </c>
      <c r="F3269" s="4" t="inlineStr">
        <is>
          <t>GOC Bed Unit-Costing Model v2 — working original.xlsx</t>
        </is>
      </c>
    </row>
    <row r="3270" ht="40" customHeight="1">
      <c r="A3270" s="4" t="inlineStr">
        <is>
          <t>original:Open Items!D4</t>
        </is>
      </c>
      <c r="B3270" s="4" t="inlineStr">
        <is>
          <t>Open Items</t>
        </is>
      </c>
      <c r="C3270" s="4" t="inlineStr">
        <is>
          <t>D4</t>
        </is>
      </c>
      <c r="D3270" s="4" t="inlineStr">
        <is>
          <t>How it stands now, and why</t>
        </is>
      </c>
      <c r="E3270" s="4" t="inlineStr">
        <is>
          <t>How it stands now, and why</t>
        </is>
      </c>
      <c r="F3270" s="4" t="inlineStr">
        <is>
          <t>GOC Bed Unit-Costing Model v2 — working original.xlsx</t>
        </is>
      </c>
    </row>
    <row r="3271" ht="40" customHeight="1">
      <c r="A3271" s="4" t="inlineStr">
        <is>
          <t>original:Open Items!E4</t>
        </is>
      </c>
      <c r="B3271" s="4" t="inlineStr">
        <is>
          <t>Open Items</t>
        </is>
      </c>
      <c r="C3271" s="4" t="inlineStr">
        <is>
          <t>E4</t>
        </is>
      </c>
      <c r="D3271" s="4" t="inlineStr">
        <is>
          <t>What is needed</t>
        </is>
      </c>
      <c r="E3271" s="4" t="inlineStr">
        <is>
          <t>What is needed</t>
        </is>
      </c>
      <c r="F3271" s="4" t="inlineStr">
        <is>
          <t>GOC Bed Unit-Costing Model v2 — working original.xlsx</t>
        </is>
      </c>
    </row>
    <row r="3272" ht="40" customHeight="1">
      <c r="A3272" s="4" t="inlineStr">
        <is>
          <t>original:Open Items!F4</t>
        </is>
      </c>
      <c r="B3272" s="4" t="inlineStr">
        <is>
          <t>Open Items</t>
        </is>
      </c>
      <c r="C3272" s="4" t="inlineStr">
        <is>
          <t>F4</t>
        </is>
      </c>
      <c r="D3272" s="4" t="inlineStr">
        <is>
          <t>Owner</t>
        </is>
      </c>
      <c r="E3272" s="4" t="inlineStr">
        <is>
          <t>Owner</t>
        </is>
      </c>
      <c r="F3272" s="4" t="inlineStr">
        <is>
          <t>GOC Bed Unit-Costing Model v2 — working original.xlsx</t>
        </is>
      </c>
    </row>
    <row r="3273" ht="45" customHeight="1">
      <c r="A3273" s="4" t="inlineStr">
        <is>
          <t>original:Open Items!A5</t>
        </is>
      </c>
      <c r="B3273" s="4" t="inlineStr">
        <is>
          <t>Open Items</t>
        </is>
      </c>
      <c r="C3273" s="4" t="inlineStr">
        <is>
          <t>A5</t>
        </is>
      </c>
      <c r="D3273" s="4" t="inlineStr">
        <is>
          <t>A.  BLANKS — a number is needed before the model forecasts anything</t>
        </is>
      </c>
      <c r="E3273" s="4" t="inlineStr">
        <is>
          <t>A.  BLANKS — a number is needed before the model forecasts anything</t>
        </is>
      </c>
      <c r="F3273" s="4" t="inlineStr">
        <is>
          <t>GOC Bed Unit-Costing Model v2 — working original.xlsx</t>
        </is>
      </c>
    </row>
    <row r="3274" ht="40" customHeight="1">
      <c r="A3274" s="4" t="inlineStr">
        <is>
          <t>original:Open Items!A6</t>
        </is>
      </c>
      <c r="B3274" s="4" t="inlineStr">
        <is>
          <t>Open Items</t>
        </is>
      </c>
      <c r="C3274" s="4" t="inlineStr">
        <is>
          <t>A6</t>
        </is>
      </c>
      <c r="D3274" s="4" t="n">
        <v>1</v>
      </c>
      <c r="E3274" s="4" t="n">
        <v>1</v>
      </c>
      <c r="F3274" s="4" t="inlineStr">
        <is>
          <t>GOC Bed Unit-Costing Model v2 — working original.xlsx</t>
        </is>
      </c>
    </row>
    <row r="3275" ht="40" customHeight="1">
      <c r="A3275" s="4" t="inlineStr">
        <is>
          <t>original:Open Items!B6</t>
        </is>
      </c>
      <c r="B3275" s="4" t="inlineStr">
        <is>
          <t>Open Items</t>
        </is>
      </c>
      <c r="C3275" s="4" t="inlineStr">
        <is>
          <t>B6</t>
        </is>
      </c>
      <c r="D3275" s="4" t="inlineStr">
        <is>
          <t>Opening cash</t>
        </is>
      </c>
      <c r="E3275" s="4" t="inlineStr">
        <is>
          <t>Opening cash</t>
        </is>
      </c>
      <c r="F3275" s="4" t="inlineStr">
        <is>
          <t>GOC Bed Unit-Costing Model v2 — working original.xlsx</t>
        </is>
      </c>
    </row>
    <row r="3276" ht="40" customHeight="1">
      <c r="A3276" s="4" t="inlineStr">
        <is>
          <t>original:Open Items!C6</t>
        </is>
      </c>
      <c r="B3276" s="4" t="inlineStr">
        <is>
          <t>Open Items</t>
        </is>
      </c>
      <c r="C3276" s="4" t="inlineStr">
        <is>
          <t>C6</t>
        </is>
      </c>
      <c r="D3276" s="4" t="inlineStr">
        <is>
          <t>Inputs B6</t>
        </is>
      </c>
      <c r="E3276" s="4" t="inlineStr">
        <is>
          <t>Inputs B6</t>
        </is>
      </c>
      <c r="F3276" s="4" t="inlineStr">
        <is>
          <t>GOC Bed Unit-Costing Model v2 — working original.xlsx</t>
        </is>
      </c>
    </row>
    <row r="3277" ht="45" customHeight="1">
      <c r="A3277" s="4" t="inlineStr">
        <is>
          <t>original:Open Items!D6</t>
        </is>
      </c>
      <c r="B3277" s="4" t="inlineStr">
        <is>
          <t>Open Items</t>
        </is>
      </c>
      <c r="C3277" s="4" t="inlineStr">
        <is>
          <t>D6</t>
        </is>
      </c>
      <c r="D3277" s="4" t="inlineStr">
        <is>
          <t>$50,000, explicitly a placeholder in 04-verified-financials §4.</t>
        </is>
      </c>
      <c r="E3277" s="4" t="inlineStr">
        <is>
          <t>$50,000, explicitly a placeholder in 04-verified-financials §4.</t>
        </is>
      </c>
      <c r="F3277" s="4" t="inlineStr">
        <is>
          <t>GOC Bed Unit-Costing Model v2 — working original.xlsx</t>
        </is>
      </c>
    </row>
    <row r="3278" ht="75" customHeight="1">
      <c r="A3278" s="4" t="inlineStr">
        <is>
          <t>original:Open Items!E6</t>
        </is>
      </c>
      <c r="B3278" s="4" t="inlineStr">
        <is>
          <t>Open Items</t>
        </is>
      </c>
      <c r="C3278" s="4" t="inlineStr">
        <is>
          <t>E6</t>
        </is>
      </c>
      <c r="D3278" s="4" t="inlineStr">
        <is>
          <t>The actual bank balance at the start of Year 1. Called out in the source as the single most important open input.</t>
        </is>
      </c>
      <c r="E3278" s="4" t="inlineStr">
        <is>
          <t>The actual bank balance at the start of Year 1. Called out in the source as the single most important open input.</t>
        </is>
      </c>
      <c r="F3278" s="4" t="inlineStr">
        <is>
          <t>GOC Bed Unit-Costing Model v2 — working original.xlsx</t>
        </is>
      </c>
    </row>
    <row r="3279" ht="40" customHeight="1">
      <c r="A3279" s="4" t="inlineStr">
        <is>
          <t>original:Open Items!F6</t>
        </is>
      </c>
      <c r="B3279" s="4" t="inlineStr">
        <is>
          <t>Open Items</t>
        </is>
      </c>
      <c r="C3279" s="4" t="inlineStr">
        <is>
          <t>F6</t>
        </is>
      </c>
      <c r="D3279" s="4" t="inlineStr">
        <is>
          <t>Ben + bookkeeper</t>
        </is>
      </c>
      <c r="E3279" s="4" t="inlineStr">
        <is>
          <t>Ben + bookkeeper</t>
        </is>
      </c>
      <c r="F3279" s="4" t="inlineStr">
        <is>
          <t>GOC Bed Unit-Costing Model v2 — working original.xlsx</t>
        </is>
      </c>
    </row>
    <row r="3280" ht="40" customHeight="1">
      <c r="A3280" s="4" t="inlineStr">
        <is>
          <t>original:Open Items!A7</t>
        </is>
      </c>
      <c r="B3280" s="4" t="inlineStr">
        <is>
          <t>Open Items</t>
        </is>
      </c>
      <c r="C3280" s="4" t="inlineStr">
        <is>
          <t>A7</t>
        </is>
      </c>
      <c r="D3280" s="4" t="n">
        <v>2</v>
      </c>
      <c r="E3280" s="4" t="n">
        <v>2</v>
      </c>
      <c r="F3280" s="4" t="inlineStr">
        <is>
          <t>GOC Bed Unit-Costing Model v2 — working original.xlsx</t>
        </is>
      </c>
    </row>
    <row r="3281" ht="40" customHeight="1">
      <c r="A3281" s="4" t="inlineStr">
        <is>
          <t>original:Open Items!B7</t>
        </is>
      </c>
      <c r="B3281" s="4" t="inlineStr">
        <is>
          <t>Open Items</t>
        </is>
      </c>
      <c r="C3281" s="4" t="inlineStr">
        <is>
          <t>B7</t>
        </is>
      </c>
      <c r="D3281" s="4" t="inlineStr">
        <is>
          <t>Opening PP&amp;E</t>
        </is>
      </c>
      <c r="E3281" s="4" t="inlineStr">
        <is>
          <t>Opening PP&amp;E</t>
        </is>
      </c>
      <c r="F3281" s="4" t="inlineStr">
        <is>
          <t>GOC Bed Unit-Costing Model v2 — working original.xlsx</t>
        </is>
      </c>
    </row>
    <row r="3282" ht="40" customHeight="1">
      <c r="A3282" s="4" t="inlineStr">
        <is>
          <t>original:Open Items!C7</t>
        </is>
      </c>
      <c r="B3282" s="4" t="inlineStr">
        <is>
          <t>Open Items</t>
        </is>
      </c>
      <c r="C3282" s="4" t="inlineStr">
        <is>
          <t>C7</t>
        </is>
      </c>
      <c r="D3282" s="4" t="inlineStr">
        <is>
          <t>Inputs B5</t>
        </is>
      </c>
      <c r="E3282" s="4" t="inlineStr">
        <is>
          <t>Inputs B5</t>
        </is>
      </c>
      <c r="F3282" s="4" t="inlineStr">
        <is>
          <t>GOC Bed Unit-Costing Model v2 — working original.xlsx</t>
        </is>
      </c>
    </row>
    <row r="3283" ht="75" customHeight="1">
      <c r="A3283" s="4" t="inlineStr">
        <is>
          <t>original:Open Items!D7</t>
        </is>
      </c>
      <c r="B3283" s="4" t="inlineStr">
        <is>
          <t>Open Items</t>
        </is>
      </c>
      <c r="C3283" s="4" t="inlineStr">
        <is>
          <t>D7</t>
        </is>
      </c>
      <c r="D3283" s="4" t="inlineStr">
        <is>
          <t>$110,046, being $100,000 facility + $10,046 Carbatec tooling (Known Other Costs A6, Ben ruling 2026-07-25).</t>
        </is>
      </c>
      <c r="E3283" s="4" t="inlineStr">
        <is>
          <t>$110,046, being $100,000 facility + $10,046 Carbatec tooling (Known Other Costs A6, Ben ruling 2026-07-25).</t>
        </is>
      </c>
      <c r="F3283" s="4" t="inlineStr">
        <is>
          <t>GOC Bed Unit-Costing Model v2 — working original.xlsx</t>
        </is>
      </c>
    </row>
    <row r="3284" ht="210" customHeight="1">
      <c r="A3284" s="4" t="inlineStr">
        <is>
          <t>original:Open Items!E7</t>
        </is>
      </c>
      <c r="B3284" s="4" t="inlineStr">
        <is>
          <t>Open Items</t>
        </is>
      </c>
      <c r="C3284" s="4" t="inlineStr">
        <is>
          <t>E7</t>
        </is>
      </c>
      <c r="D3284" s="4" t="inlineStr">
        <is>
          <t>Q&amp;A Q12 says nothing is owned by GoC and handover was due end August 2026, which contradicts carrying it as an opening asset. Also excludes the CNC (~$6,000), two gensets ($6,600) and a container ($5,904), all pending confirmation, and some source figures are inc-GST. Confirm the opening figure and its GST basis.</t>
        </is>
      </c>
      <c r="E3284" s="4" t="inlineStr">
        <is>
          <t>Q&amp;A Q12 says nothing is owned by GoC and handover was due end August 2026, which contradicts carrying it as an opening asset. Also excludes the CNC (~$6,000), two gensets ($6,600) and a container ($5,904), all pending confirmation, and some source figures are inc-GST. Confirm the opening figure and its GST basis.</t>
        </is>
      </c>
      <c r="F3284" s="4" t="inlineStr">
        <is>
          <t>GOC Bed Unit-Costing Model v2 — working original.xlsx</t>
        </is>
      </c>
    </row>
    <row r="3285" ht="40" customHeight="1">
      <c r="A3285" s="4" t="inlineStr">
        <is>
          <t>original:Open Items!F7</t>
        </is>
      </c>
      <c r="B3285" s="4" t="inlineStr">
        <is>
          <t>Open Items</t>
        </is>
      </c>
      <c r="C3285" s="4" t="inlineStr">
        <is>
          <t>F7</t>
        </is>
      </c>
      <c r="D3285" s="4" t="inlineStr">
        <is>
          <t>Ben + accountant</t>
        </is>
      </c>
      <c r="E3285" s="4" t="inlineStr">
        <is>
          <t>Ben + accountant</t>
        </is>
      </c>
      <c r="F3285" s="4" t="inlineStr">
        <is>
          <t>GOC Bed Unit-Costing Model v2 — working original.xlsx</t>
        </is>
      </c>
    </row>
    <row r="3286" ht="40" customHeight="1">
      <c r="A3286" s="4" t="inlineStr">
        <is>
          <t>original:Open Items!A8</t>
        </is>
      </c>
      <c r="B3286" s="4" t="inlineStr">
        <is>
          <t>Open Items</t>
        </is>
      </c>
      <c r="C3286" s="4" t="inlineStr">
        <is>
          <t>A8</t>
        </is>
      </c>
      <c r="D3286" s="4" t="n">
        <v>3</v>
      </c>
      <c r="E3286" s="4" t="n">
        <v>3</v>
      </c>
      <c r="F3286" s="4" t="inlineStr">
        <is>
          <t>GOC Bed Unit-Costing Model v2 — working original.xlsx</t>
        </is>
      </c>
    </row>
    <row r="3287" ht="40" customHeight="1">
      <c r="A3287" s="4" t="inlineStr">
        <is>
          <t>original:Open Items!B8</t>
        </is>
      </c>
      <c r="B3287" s="4" t="inlineStr">
        <is>
          <t>Open Items</t>
        </is>
      </c>
      <c r="C3287" s="4" t="inlineStr">
        <is>
          <t>B8</t>
        </is>
      </c>
      <c r="D3287" s="4" t="inlineStr">
        <is>
          <t>Non-founder central wages</t>
        </is>
      </c>
      <c r="E3287" s="4" t="inlineStr">
        <is>
          <t>Non-founder central wages</t>
        </is>
      </c>
      <c r="F3287" s="4" t="inlineStr">
        <is>
          <t>GOC Bed Unit-Costing Model v2 — working original.xlsx</t>
        </is>
      </c>
    </row>
    <row r="3288" ht="40" customHeight="1">
      <c r="A3288" s="4" t="inlineStr">
        <is>
          <t>original:Open Items!C8</t>
        </is>
      </c>
      <c r="B3288" s="4" t="inlineStr">
        <is>
          <t>Open Items</t>
        </is>
      </c>
      <c r="C3288" s="4" t="inlineStr">
        <is>
          <t>C8</t>
        </is>
      </c>
      <c r="D3288" s="4" t="inlineStr">
        <is>
          <t>Inputs B12</t>
        </is>
      </c>
      <c r="E3288" s="4" t="inlineStr">
        <is>
          <t>Inputs B12</t>
        </is>
      </c>
      <c r="F3288" s="4" t="inlineStr">
        <is>
          <t>GOC Bed Unit-Costing Model v2 — working original.xlsx</t>
        </is>
      </c>
    </row>
    <row r="3289" ht="40" customHeight="1">
      <c r="A3289" s="4" t="inlineStr">
        <is>
          <t>original:Open Items!D8</t>
        </is>
      </c>
      <c r="B3289" s="4" t="inlineStr">
        <is>
          <t>Open Items</t>
        </is>
      </c>
      <c r="C3289" s="4" t="inlineStr">
        <is>
          <t>D8</t>
        </is>
      </c>
      <c r="D3289" s="4" t="inlineStr">
        <is>
          <t>Nil. No figure exists in any source.</t>
        </is>
      </c>
      <c r="E3289" s="4" t="inlineStr">
        <is>
          <t>Nil. No figure exists in any source.</t>
        </is>
      </c>
      <c r="F3289" s="4" t="inlineStr">
        <is>
          <t>GOC Bed Unit-Costing Model v2 — working original.xlsx</t>
        </is>
      </c>
    </row>
    <row r="3290" ht="120" customHeight="1">
      <c r="A3290" s="4" t="inlineStr">
        <is>
          <t>original:Open Items!E8</t>
        </is>
      </c>
      <c r="B3290" s="4" t="inlineStr">
        <is>
          <t>Open Items</t>
        </is>
      </c>
      <c r="C3290" s="4" t="inlineStr">
        <is>
          <t>E8</t>
        </is>
      </c>
      <c r="D3290" s="4" t="inlineStr">
        <is>
          <t>Whether any non-founder central staff are budgeted in Years 1 to 3, and at what cost. The kickoff notes flag three salespeople and a head of manufacturing as a future scenario.</t>
        </is>
      </c>
      <c r="E3290" s="4" t="inlineStr">
        <is>
          <t>Whether any non-founder central staff are budgeted in Years 1 to 3, and at what cost. The kickoff notes flag three salespeople and a head of manufacturing as a future scenario.</t>
        </is>
      </c>
      <c r="F3290" s="4" t="inlineStr">
        <is>
          <t>GOC Bed Unit-Costing Model v2 — working original.xlsx</t>
        </is>
      </c>
    </row>
    <row r="3291" ht="40" customHeight="1">
      <c r="A3291" s="4" t="inlineStr">
        <is>
          <t>original:Open Items!F8</t>
        </is>
      </c>
      <c r="B3291" s="4" t="inlineStr">
        <is>
          <t>Open Items</t>
        </is>
      </c>
      <c r="C3291" s="4" t="inlineStr">
        <is>
          <t>F8</t>
        </is>
      </c>
      <c r="D3291" s="4" t="inlineStr">
        <is>
          <t>Nic + Ben</t>
        </is>
      </c>
      <c r="E3291" s="4" t="inlineStr">
        <is>
          <t>Nic + Ben</t>
        </is>
      </c>
      <c r="F3291" s="4" t="inlineStr">
        <is>
          <t>GOC Bed Unit-Costing Model v2 — working original.xlsx</t>
        </is>
      </c>
    </row>
    <row r="3292" ht="40" customHeight="1">
      <c r="A3292" s="4" t="inlineStr">
        <is>
          <t>original:Open Items!A9</t>
        </is>
      </c>
      <c r="B3292" s="4" t="inlineStr">
        <is>
          <t>Open Items</t>
        </is>
      </c>
      <c r="C3292" s="4" t="inlineStr">
        <is>
          <t>A9</t>
        </is>
      </c>
      <c r="D3292" s="4" t="n">
        <v>4</v>
      </c>
      <c r="E3292" s="4" t="n">
        <v>4</v>
      </c>
      <c r="F3292" s="4" t="inlineStr">
        <is>
          <t>GOC Bed Unit-Costing Model v2 — working original.xlsx</t>
        </is>
      </c>
    </row>
    <row r="3293" ht="40" customHeight="1">
      <c r="A3293" s="4" t="inlineStr">
        <is>
          <t>original:Open Items!B9</t>
        </is>
      </c>
      <c r="B3293" s="4" t="inlineStr">
        <is>
          <t>Open Items</t>
        </is>
      </c>
      <c r="C3293" s="4" t="inlineStr">
        <is>
          <t>B9</t>
        </is>
      </c>
      <c r="D3293" s="4" t="inlineStr">
        <is>
          <t>R&amp;D</t>
        </is>
      </c>
      <c r="E3293" s="4" t="inlineStr">
        <is>
          <t>R&amp;D</t>
        </is>
      </c>
      <c r="F3293" s="4" t="inlineStr">
        <is>
          <t>GOC Bed Unit-Costing Model v2 — working original.xlsx</t>
        </is>
      </c>
    </row>
    <row r="3294" ht="40" customHeight="1">
      <c r="A3294" s="4" t="inlineStr">
        <is>
          <t>original:Open Items!C9</t>
        </is>
      </c>
      <c r="B3294" s="4" t="inlineStr">
        <is>
          <t>Open Items</t>
        </is>
      </c>
      <c r="C3294" s="4" t="inlineStr">
        <is>
          <t>C9</t>
        </is>
      </c>
      <c r="D3294" s="4" t="inlineStr">
        <is>
          <t>Inputs B17</t>
        </is>
      </c>
      <c r="E3294" s="4" t="inlineStr">
        <is>
          <t>Inputs B17</t>
        </is>
      </c>
      <c r="F3294" s="4" t="inlineStr">
        <is>
          <t>GOC Bed Unit-Costing Model v2 — working original.xlsx</t>
        </is>
      </c>
    </row>
    <row r="3295" ht="40" customHeight="1">
      <c r="A3295" s="4" t="inlineStr">
        <is>
          <t>original:Open Items!D9</t>
        </is>
      </c>
      <c r="B3295" s="4" t="inlineStr">
        <is>
          <t>Open Items</t>
        </is>
      </c>
      <c r="C3295" s="4" t="inlineStr">
        <is>
          <t>D9</t>
        </is>
      </c>
      <c r="D3295" s="4" t="inlineStr">
        <is>
          <t>Nil.</t>
        </is>
      </c>
      <c r="E3295" s="4" t="inlineStr">
        <is>
          <t>Nil.</t>
        </is>
      </c>
      <c r="F3295" s="4" t="inlineStr">
        <is>
          <t>GOC Bed Unit-Costing Model v2 — working original.xlsx</t>
        </is>
      </c>
    </row>
    <row r="3296" ht="165" customHeight="1">
      <c r="A3296" s="4" t="inlineStr">
        <is>
          <t>original:Open Items!E9</t>
        </is>
      </c>
      <c r="B3296" s="4" t="inlineStr">
        <is>
          <t>Open Items</t>
        </is>
      </c>
      <c r="C3296" s="4" t="inlineStr">
        <is>
          <t>E9</t>
        </is>
      </c>
      <c r="D3296" s="4" t="inlineStr">
        <is>
          <t>The R&amp;D figure and its treatment. Defy design plus Samuel Hafer $19.5K is an open accountant item with R&amp;D Tax Incentive scope (04-verified-financials §6). Decide expense vs capitalise, and whether to model the refundable offset as income.</t>
        </is>
      </c>
      <c r="E3296" s="4" t="inlineStr">
        <is>
          <t>The R&amp;D figure and its treatment. Defy design plus Samuel Hafer $19.5K is an open accountant item with R&amp;D Tax Incentive scope (04-verified-financials §6). Decide expense vs capitalise, and whether to model the refundable offset as income.</t>
        </is>
      </c>
      <c r="F3296" s="4" t="inlineStr">
        <is>
          <t>GOC Bed Unit-Costing Model v2 — working original.xlsx</t>
        </is>
      </c>
    </row>
    <row r="3297" ht="40" customHeight="1">
      <c r="A3297" s="4" t="inlineStr">
        <is>
          <t>original:Open Items!F9</t>
        </is>
      </c>
      <c r="B3297" s="4" t="inlineStr">
        <is>
          <t>Open Items</t>
        </is>
      </c>
      <c r="C3297" s="4" t="inlineStr">
        <is>
          <t>F9</t>
        </is>
      </c>
      <c r="D3297" s="4" t="inlineStr">
        <is>
          <t>Accountant</t>
        </is>
      </c>
      <c r="E3297" s="4" t="inlineStr">
        <is>
          <t>Accountant</t>
        </is>
      </c>
      <c r="F3297" s="4" t="inlineStr">
        <is>
          <t>GOC Bed Unit-Costing Model v2 — working original.xlsx</t>
        </is>
      </c>
    </row>
    <row r="3298" ht="40" customHeight="1">
      <c r="A3298" s="4" t="inlineStr">
        <is>
          <t>original:Open Items!A10</t>
        </is>
      </c>
      <c r="B3298" s="4" t="inlineStr">
        <is>
          <t>Open Items</t>
        </is>
      </c>
      <c r="C3298" s="4" t="inlineStr">
        <is>
          <t>A10</t>
        </is>
      </c>
      <c r="D3298" s="4" t="n">
        <v>5</v>
      </c>
      <c r="E3298" s="4" t="n">
        <v>5</v>
      </c>
      <c r="F3298" s="4" t="inlineStr">
        <is>
          <t>GOC Bed Unit-Costing Model v2 — working original.xlsx</t>
        </is>
      </c>
    </row>
    <row r="3299" ht="40" customHeight="1">
      <c r="A3299" s="4" t="inlineStr">
        <is>
          <t>original:Open Items!B10</t>
        </is>
      </c>
      <c r="B3299" s="4" t="inlineStr">
        <is>
          <t>Open Items</t>
        </is>
      </c>
      <c r="C3299" s="4" t="inlineStr">
        <is>
          <t>B10</t>
        </is>
      </c>
      <c r="D3299" s="4" t="inlineStr">
        <is>
          <t>Youth employment programs</t>
        </is>
      </c>
      <c r="E3299" s="4" t="inlineStr">
        <is>
          <t>Youth employment programs</t>
        </is>
      </c>
      <c r="F3299" s="4" t="inlineStr">
        <is>
          <t>GOC Bed Unit-Costing Model v2 — working original.xlsx</t>
        </is>
      </c>
    </row>
    <row r="3300" ht="40" customHeight="1">
      <c r="A3300" s="4" t="inlineStr">
        <is>
          <t>original:Open Items!C10</t>
        </is>
      </c>
      <c r="B3300" s="4" t="inlineStr">
        <is>
          <t>Open Items</t>
        </is>
      </c>
      <c r="C3300" s="4" t="inlineStr">
        <is>
          <t>C10</t>
        </is>
      </c>
      <c r="D3300" s="4" t="inlineStr">
        <is>
          <t>Inputs F13:H13, F19:H19</t>
        </is>
      </c>
      <c r="E3300" s="4" t="inlineStr">
        <is>
          <t>Inputs F13:H13, F19:H19</t>
        </is>
      </c>
      <c r="F3300" s="4" t="inlineStr">
        <is>
          <t>GOC Bed Unit-Costing Model v2 — working original.xlsx</t>
        </is>
      </c>
    </row>
    <row r="3301" ht="40" customHeight="1">
      <c r="A3301" s="4" t="inlineStr">
        <is>
          <t>original:Open Items!D10</t>
        </is>
      </c>
      <c r="B3301" s="4" t="inlineStr">
        <is>
          <t>Open Items</t>
        </is>
      </c>
      <c r="C3301" s="4" t="inlineStr">
        <is>
          <t>D10</t>
        </is>
      </c>
      <c r="D3301" s="4" t="inlineStr">
        <is>
          <t>Nil in every year.</t>
        </is>
      </c>
      <c r="E3301" s="4" t="inlineStr">
        <is>
          <t>Nil in every year.</t>
        </is>
      </c>
      <c r="F3301" s="4" t="inlineStr">
        <is>
          <t>GOC Bed Unit-Costing Model v2 — working original.xlsx</t>
        </is>
      </c>
    </row>
    <row r="3302" ht="120" customHeight="1">
      <c r="A3302" s="4" t="inlineStr">
        <is>
          <t>original:Open Items!E10</t>
        </is>
      </c>
      <c r="B3302" s="4" t="inlineStr">
        <is>
          <t>Open Items</t>
        </is>
      </c>
      <c r="C3302" s="4" t="inlineStr">
        <is>
          <t>E10</t>
        </is>
      </c>
      <c r="D3302" s="4" t="inlineStr">
        <is>
          <t>How many youth employment programs run in each of the three years, and at which sites. No source gives a count. Until this is set, the $60,000 support cost never loads.</t>
        </is>
      </c>
      <c r="E3302" s="4" t="inlineStr">
        <is>
          <t>How many youth employment programs run in each of the three years, and at which sites. No source gives a count. Until this is set, the $60,000 support cost never loads.</t>
        </is>
      </c>
      <c r="F3302" s="4" t="inlineStr">
        <is>
          <t>GOC Bed Unit-Costing Model v2 — working original.xlsx</t>
        </is>
      </c>
    </row>
    <row r="3303" ht="40" customHeight="1">
      <c r="A3303" s="4" t="inlineStr">
        <is>
          <t>original:Open Items!F10</t>
        </is>
      </c>
      <c r="B3303" s="4" t="inlineStr">
        <is>
          <t>Open Items</t>
        </is>
      </c>
      <c r="C3303" s="4" t="inlineStr">
        <is>
          <t>F10</t>
        </is>
      </c>
      <c r="D3303" s="4" t="inlineStr">
        <is>
          <t>Nic + Ben</t>
        </is>
      </c>
      <c r="E3303" s="4" t="inlineStr">
        <is>
          <t>Nic + Ben</t>
        </is>
      </c>
      <c r="F3303" s="4" t="inlineStr">
        <is>
          <t>GOC Bed Unit-Costing Model v2 — working original.xlsx</t>
        </is>
      </c>
    </row>
    <row r="3304" ht="40" customHeight="1">
      <c r="A3304" s="4" t="inlineStr">
        <is>
          <t>original:Open Items!A11</t>
        </is>
      </c>
      <c r="B3304" s="4" t="inlineStr">
        <is>
          <t>Open Items</t>
        </is>
      </c>
      <c r="C3304" s="4" t="inlineStr">
        <is>
          <t>A11</t>
        </is>
      </c>
      <c r="D3304" s="4" t="n">
        <v>6</v>
      </c>
      <c r="E3304" s="4" t="n">
        <v>6</v>
      </c>
      <c r="F3304" s="4" t="inlineStr">
        <is>
          <t>GOC Bed Unit-Costing Model v2 — working original.xlsx</t>
        </is>
      </c>
    </row>
    <row r="3305" ht="40" customHeight="1">
      <c r="A3305" s="4" t="inlineStr">
        <is>
          <t>original:Open Items!B11</t>
        </is>
      </c>
      <c r="B3305" s="4" t="inlineStr">
        <is>
          <t>Open Items</t>
        </is>
      </c>
      <c r="C3305" s="4" t="inlineStr">
        <is>
          <t>B11</t>
        </is>
      </c>
      <c r="D3305" s="4" t="inlineStr">
        <is>
          <t>Tied grant programs</t>
        </is>
      </c>
      <c r="E3305" s="4" t="inlineStr">
        <is>
          <t>Tied grant programs</t>
        </is>
      </c>
      <c r="F3305" s="4" t="inlineStr">
        <is>
          <t>GOC Bed Unit-Costing Model v2 — working original.xlsx</t>
        </is>
      </c>
    </row>
    <row r="3306" ht="40" customHeight="1">
      <c r="A3306" s="4" t="inlineStr">
        <is>
          <t>original:Open Items!C11</t>
        </is>
      </c>
      <c r="B3306" s="4" t="inlineStr">
        <is>
          <t>Open Items</t>
        </is>
      </c>
      <c r="C3306" s="4" t="inlineStr">
        <is>
          <t>C11</t>
        </is>
      </c>
      <c r="D3306" s="4" t="inlineStr">
        <is>
          <t>Inputs F22:H27</t>
        </is>
      </c>
      <c r="E3306" s="4" t="inlineStr">
        <is>
          <t>Inputs F22:H27</t>
        </is>
      </c>
      <c r="F3306" s="4" t="inlineStr">
        <is>
          <t>GOC Bed Unit-Costing Model v2 — working original.xlsx</t>
        </is>
      </c>
    </row>
    <row r="3307" ht="40" customHeight="1">
      <c r="A3307" s="4" t="inlineStr">
        <is>
          <t>original:Open Items!D11</t>
        </is>
      </c>
      <c r="B3307" s="4" t="inlineStr">
        <is>
          <t>Open Items</t>
        </is>
      </c>
      <c r="C3307" s="4" t="inlineStr">
        <is>
          <t>D11</t>
        </is>
      </c>
      <c r="D3307" s="4" t="inlineStr">
        <is>
          <t>Nil. Structure is built and ready.</t>
        </is>
      </c>
      <c r="E3307" s="4" t="inlineStr">
        <is>
          <t>Nil. Structure is built and ready.</t>
        </is>
      </c>
      <c r="F3307" s="4" t="inlineStr">
        <is>
          <t>GOC Bed Unit-Costing Model v2 — working original.xlsx</t>
        </is>
      </c>
    </row>
    <row r="3308" ht="255" customHeight="1">
      <c r="A3308" s="4" t="inlineStr">
        <is>
          <t>original:Open Items!E11</t>
        </is>
      </c>
      <c r="B3308" s="4" t="inlineStr">
        <is>
          <t>Open Items</t>
        </is>
      </c>
      <c r="C3308" s="4" t="inlineStr">
        <is>
          <t>E11</t>
        </is>
      </c>
      <c r="D3308" s="4" t="inlineStr">
        <is>
          <t>Which tied grants to name, their amounts by year, and for each one the number of beds it funds. Candidates in the material: REAL Innovation Fund ($150,000 supply plus $50,000/yr support, EOI lodged March 2026, not awarded) and the DEWR machinery plus trainer/WHS line at $63,333/site/yr, which Known Other Costs A48 flags as revenue to Goods that no model currently shows.</t>
        </is>
      </c>
      <c r="E3308" s="4" t="inlineStr">
        <is>
          <t>Which tied grants to name, their amounts by year, and for each one the number of beds it funds. Candidates in the material: REAL Innovation Fund ($150,000 supply plus $50,000/yr support, EOI lodged March 2026, not awarded) and the DEWR machinery plus trainer/WHS line at $63,333/site/yr, which Known Other Costs A48 flags as revenue to Goods that no model currently shows.</t>
        </is>
      </c>
      <c r="F3308" s="4" t="inlineStr">
        <is>
          <t>GOC Bed Unit-Costing Model v2 — working original.xlsx</t>
        </is>
      </c>
    </row>
    <row r="3309" ht="40" customHeight="1">
      <c r="A3309" s="4" t="inlineStr">
        <is>
          <t>original:Open Items!F11</t>
        </is>
      </c>
      <c r="B3309" s="4" t="inlineStr">
        <is>
          <t>Open Items</t>
        </is>
      </c>
      <c r="C3309" s="4" t="inlineStr">
        <is>
          <t>F11</t>
        </is>
      </c>
      <c r="D3309" s="4" t="inlineStr">
        <is>
          <t>Nic + Ben</t>
        </is>
      </c>
      <c r="E3309" s="4" t="inlineStr">
        <is>
          <t>Nic + Ben</t>
        </is>
      </c>
      <c r="F3309" s="4" t="inlineStr">
        <is>
          <t>GOC Bed Unit-Costing Model v2 — working original.xlsx</t>
        </is>
      </c>
    </row>
    <row r="3310" ht="40" customHeight="1">
      <c r="A3310" s="4" t="inlineStr">
        <is>
          <t>original:Open Items!A12</t>
        </is>
      </c>
      <c r="B3310" s="4" t="inlineStr">
        <is>
          <t>Open Items</t>
        </is>
      </c>
      <c r="C3310" s="4" t="inlineStr">
        <is>
          <t>A12</t>
        </is>
      </c>
      <c r="D3310" s="4" t="n">
        <v>7</v>
      </c>
      <c r="E3310" s="4" t="n">
        <v>7</v>
      </c>
      <c r="F3310" s="4" t="inlineStr">
        <is>
          <t>GOC Bed Unit-Costing Model v2 — working original.xlsx</t>
        </is>
      </c>
    </row>
    <row r="3311" ht="40" customHeight="1">
      <c r="A3311" s="4" t="inlineStr">
        <is>
          <t>original:Open Items!B12</t>
        </is>
      </c>
      <c r="B3311" s="4" t="inlineStr">
        <is>
          <t>Open Items</t>
        </is>
      </c>
      <c r="C3311" s="4" t="inlineStr">
        <is>
          <t>B12</t>
        </is>
      </c>
      <c r="D3311" s="4" t="inlineStr">
        <is>
          <t>Untied grant income</t>
        </is>
      </c>
      <c r="E3311" s="4" t="inlineStr">
        <is>
          <t>Untied grant income</t>
        </is>
      </c>
      <c r="F3311" s="4" t="inlineStr">
        <is>
          <t>GOC Bed Unit-Costing Model v2 — working original.xlsx</t>
        </is>
      </c>
    </row>
    <row r="3312" ht="40" customHeight="1">
      <c r="A3312" s="4" t="inlineStr">
        <is>
          <t>original:Open Items!C12</t>
        </is>
      </c>
      <c r="B3312" s="4" t="inlineStr">
        <is>
          <t>Open Items</t>
        </is>
      </c>
      <c r="C3312" s="4" t="inlineStr">
        <is>
          <t>C12</t>
        </is>
      </c>
      <c r="D3312" s="4" t="inlineStr">
        <is>
          <t>Inputs F32:H34</t>
        </is>
      </c>
      <c r="E3312" s="4" t="inlineStr">
        <is>
          <t>Inputs F32:H34</t>
        </is>
      </c>
      <c r="F3312" s="4" t="inlineStr">
        <is>
          <t>GOC Bed Unit-Costing Model v2 — working original.xlsx</t>
        </is>
      </c>
    </row>
    <row r="3313" ht="75" customHeight="1">
      <c r="A3313" s="4" t="inlineStr">
        <is>
          <t>original:Open Items!D12</t>
        </is>
      </c>
      <c r="B3313" s="4" t="inlineStr">
        <is>
          <t>Open Items</t>
        </is>
      </c>
      <c r="C3313" s="4" t="inlineStr">
        <is>
          <t>D12</t>
        </is>
      </c>
      <c r="D3313" s="4" t="inlineStr">
        <is>
          <t>$250,000 + $250,000 + $100,000 in Year 1, per Unit-Costing Model v2, all marked PLACEHOLDER there.</t>
        </is>
      </c>
      <c r="E3313" s="4" t="inlineStr">
        <is>
          <t>$250,000 + $250,000 + $100,000 in Year 1, per Unit-Costing Model v2, all marked PLACEHOLDER there.</t>
        </is>
      </c>
      <c r="F3313" s="4" t="inlineStr">
        <is>
          <t>GOC Bed Unit-Costing Model v2 — working original.xlsx</t>
        </is>
      </c>
    </row>
    <row r="3314" ht="150" customHeight="1">
      <c r="A3314" s="4" t="inlineStr">
        <is>
          <t>original:Open Items!E12</t>
        </is>
      </c>
      <c r="B3314" s="4" t="inlineStr">
        <is>
          <t>Open Items</t>
        </is>
      </c>
      <c r="C3314" s="4" t="inlineStr">
        <is>
          <t>E12</t>
        </is>
      </c>
      <c r="D3314" s="4" t="inlineStr">
        <is>
          <t>Confirm the eligible / match / other split with Ben and QBE. 04-verified-financials §4 records a larger and equally uncommitted base case: QBE $400,000 Sep-26, SEFA $300,000 Nov-26, anchor philanthropy $500,000 Jan-27.</t>
        </is>
      </c>
      <c r="E3314" s="4" t="inlineStr">
        <is>
          <t>Confirm the eligible / match / other split with Ben and QBE. 04-verified-financials §4 records a larger and equally uncommitted base case: QBE $400,000 Sep-26, SEFA $300,000 Nov-26, anchor philanthropy $500,000 Jan-27.</t>
        </is>
      </c>
      <c r="F3314" s="4" t="inlineStr">
        <is>
          <t>GOC Bed Unit-Costing Model v2 — working original.xlsx</t>
        </is>
      </c>
    </row>
    <row r="3315" ht="40" customHeight="1">
      <c r="A3315" s="4" t="inlineStr">
        <is>
          <t>original:Open Items!F12</t>
        </is>
      </c>
      <c r="B3315" s="4" t="inlineStr">
        <is>
          <t>Open Items</t>
        </is>
      </c>
      <c r="C3315" s="4" t="inlineStr">
        <is>
          <t>F12</t>
        </is>
      </c>
      <c r="D3315" s="4" t="inlineStr">
        <is>
          <t>Nic + Ben + QBE</t>
        </is>
      </c>
      <c r="E3315" s="4" t="inlineStr">
        <is>
          <t>Nic + Ben + QBE</t>
        </is>
      </c>
      <c r="F3315" s="4" t="inlineStr">
        <is>
          <t>GOC Bed Unit-Costing Model v2 — working original.xlsx</t>
        </is>
      </c>
    </row>
    <row r="3316" ht="40" customHeight="1">
      <c r="A3316" s="4" t="inlineStr">
        <is>
          <t>original:Open Items!A13</t>
        </is>
      </c>
      <c r="B3316" s="4" t="inlineStr">
        <is>
          <t>Open Items</t>
        </is>
      </c>
      <c r="C3316" s="4" t="inlineStr">
        <is>
          <t>A13</t>
        </is>
      </c>
      <c r="D3316" s="4" t="n">
        <v>8</v>
      </c>
      <c r="E3316" s="4" t="n">
        <v>8</v>
      </c>
      <c r="F3316" s="4" t="inlineStr">
        <is>
          <t>GOC Bed Unit-Costing Model v2 — working original.xlsx</t>
        </is>
      </c>
    </row>
    <row r="3317" ht="40" customHeight="1">
      <c r="A3317" s="4" t="inlineStr">
        <is>
          <t>original:Open Items!B13</t>
        </is>
      </c>
      <c r="B3317" s="4" t="inlineStr">
        <is>
          <t>Open Items</t>
        </is>
      </c>
      <c r="C3317" s="4" t="inlineStr">
        <is>
          <t>B13</t>
        </is>
      </c>
      <c r="D3317" s="4" t="inlineStr">
        <is>
          <t>Repayable capital</t>
        </is>
      </c>
      <c r="E3317" s="4" t="inlineStr">
        <is>
          <t>Repayable capital</t>
        </is>
      </c>
      <c r="F3317" s="4" t="inlineStr">
        <is>
          <t>GOC Bed Unit-Costing Model v2 — working original.xlsx</t>
        </is>
      </c>
    </row>
    <row r="3318" ht="40" customHeight="1">
      <c r="A3318" s="4" t="inlineStr">
        <is>
          <t>original:Open Items!C13</t>
        </is>
      </c>
      <c r="B3318" s="4" t="inlineStr">
        <is>
          <t>Open Items</t>
        </is>
      </c>
      <c r="C3318" s="4" t="inlineStr">
        <is>
          <t>C13</t>
        </is>
      </c>
      <c r="D3318" s="4" t="inlineStr">
        <is>
          <t>Inputs F38:H40, F45:H47</t>
        </is>
      </c>
      <c r="E3318" s="4" t="inlineStr">
        <is>
          <t>Inputs F38:H40, F45:H47</t>
        </is>
      </c>
      <c r="F3318" s="4" t="inlineStr">
        <is>
          <t>GOC Bed Unit-Costing Model v2 — working original.xlsx</t>
        </is>
      </c>
    </row>
    <row r="3319" ht="40" customHeight="1">
      <c r="A3319" s="4" t="inlineStr">
        <is>
          <t>original:Open Items!D13</t>
        </is>
      </c>
      <c r="B3319" s="4" t="inlineStr">
        <is>
          <t>Open Items</t>
        </is>
      </c>
      <c r="C3319" s="4" t="inlineStr">
        <is>
          <t>D13</t>
        </is>
      </c>
      <c r="D3319" s="4" t="inlineStr">
        <is>
          <t>Nil, with no terms.</t>
        </is>
      </c>
      <c r="E3319" s="4" t="inlineStr">
        <is>
          <t>Nil, with no terms.</t>
        </is>
      </c>
      <c r="F3319" s="4" t="inlineStr">
        <is>
          <t>GOC Bed Unit-Costing Model v2 — working original.xlsx</t>
        </is>
      </c>
    </row>
    <row r="3320" ht="120" customHeight="1">
      <c r="A3320" s="4" t="inlineStr">
        <is>
          <t>original:Open Items!E13</t>
        </is>
      </c>
      <c r="B3320" s="4" t="inlineStr">
        <is>
          <t>Open Items</t>
        </is>
      </c>
      <c r="C3320" s="4" t="inlineStr">
        <is>
          <t>E13</t>
        </is>
      </c>
      <c r="D3320" s="4" t="inlineStr">
        <is>
          <t>If SEFA $300,000 (November 2026) is to be modelled, it needs an interest rate, a term in years and the year repayments commence. None of the three exists in any source.</t>
        </is>
      </c>
      <c r="E3320" s="4" t="inlineStr">
        <is>
          <t>If SEFA $300,000 (November 2026) is to be modelled, it needs an interest rate, a term in years and the year repayments commence. None of the three exists in any source.</t>
        </is>
      </c>
      <c r="F3320" s="4" t="inlineStr">
        <is>
          <t>GOC Bed Unit-Costing Model v2 — working original.xlsx</t>
        </is>
      </c>
    </row>
    <row r="3321" ht="40" customHeight="1">
      <c r="A3321" s="4" t="inlineStr">
        <is>
          <t>original:Open Items!F13</t>
        </is>
      </c>
      <c r="B3321" s="4" t="inlineStr">
        <is>
          <t>Open Items</t>
        </is>
      </c>
      <c r="C3321" s="4" t="inlineStr">
        <is>
          <t>F13</t>
        </is>
      </c>
      <c r="D3321" s="4" t="inlineStr">
        <is>
          <t>Nic + Ben + SEFA</t>
        </is>
      </c>
      <c r="E3321" s="4" t="inlineStr">
        <is>
          <t>Nic + Ben + SEFA</t>
        </is>
      </c>
      <c r="F3321" s="4" t="inlineStr">
        <is>
          <t>GOC Bed Unit-Costing Model v2 — working original.xlsx</t>
        </is>
      </c>
    </row>
    <row r="3322" ht="45" customHeight="1">
      <c r="A3322" s="4" t="inlineStr">
        <is>
          <t>original:Open Items!A14</t>
        </is>
      </c>
      <c r="B3322" s="4" t="inlineStr">
        <is>
          <t>Open Items</t>
        </is>
      </c>
      <c r="C3322" s="4" t="inlineStr">
        <is>
          <t>A14</t>
        </is>
      </c>
      <c r="D3322" s="4" t="inlineStr">
        <is>
          <t>B.  GROUND-TRUTH — a figure is in the model but needs verifying</t>
        </is>
      </c>
      <c r="E3322" s="4" t="inlineStr">
        <is>
          <t>B.  GROUND-TRUTH — a figure is in the model but needs verifying</t>
        </is>
      </c>
      <c r="F3322" s="4" t="inlineStr">
        <is>
          <t>GOC Bed Unit-Costing Model v2 — working original.xlsx</t>
        </is>
      </c>
    </row>
    <row r="3323" ht="40" customHeight="1">
      <c r="A3323" s="4" t="inlineStr">
        <is>
          <t>original:Open Items!A15</t>
        </is>
      </c>
      <c r="B3323" s="4" t="inlineStr">
        <is>
          <t>Open Items</t>
        </is>
      </c>
      <c r="C3323" s="4" t="inlineStr">
        <is>
          <t>A15</t>
        </is>
      </c>
      <c r="D3323" s="4" t="n">
        <v>9</v>
      </c>
      <c r="E3323" s="4" t="n">
        <v>9</v>
      </c>
      <c r="F3323" s="4" t="inlineStr">
        <is>
          <t>GOC Bed Unit-Costing Model v2 — working original.xlsx</t>
        </is>
      </c>
    </row>
    <row r="3324" ht="40" customHeight="1">
      <c r="A3324" s="4" t="inlineStr">
        <is>
          <t>original:Open Items!B15</t>
        </is>
      </c>
      <c r="B3324" s="4" t="inlineStr">
        <is>
          <t>Open Items</t>
        </is>
      </c>
      <c r="C3324" s="4" t="inlineStr">
        <is>
          <t>B15</t>
        </is>
      </c>
      <c r="D3324" s="4" t="inlineStr">
        <is>
          <t>Freight per bed</t>
        </is>
      </c>
      <c r="E3324" s="4" t="inlineStr">
        <is>
          <t>Freight per bed</t>
        </is>
      </c>
      <c r="F3324" s="4" t="inlineStr">
        <is>
          <t>GOC Bed Unit-Costing Model v2 — working original.xlsx</t>
        </is>
      </c>
    </row>
    <row r="3325" ht="40" customHeight="1">
      <c r="A3325" s="4" t="inlineStr">
        <is>
          <t>original:Open Items!C15</t>
        </is>
      </c>
      <c r="B3325" s="4" t="inlineStr">
        <is>
          <t>Open Items</t>
        </is>
      </c>
      <c r="C3325" s="4" t="inlineStr">
        <is>
          <t>C15</t>
        </is>
      </c>
      <c r="D3325" s="4" t="inlineStr">
        <is>
          <t>Inputs B27, C27</t>
        </is>
      </c>
      <c r="E3325" s="4" t="inlineStr">
        <is>
          <t>Inputs B27, C27</t>
        </is>
      </c>
      <c r="F3325" s="4" t="inlineStr">
        <is>
          <t>GOC Bed Unit-Costing Model v2 — working original.xlsx</t>
        </is>
      </c>
    </row>
    <row r="3326" ht="45" customHeight="1">
      <c r="A3326" s="4" t="inlineStr">
        <is>
          <t>original:Open Items!D15</t>
        </is>
      </c>
      <c r="B3326" s="4" t="inlineStr">
        <is>
          <t>Open Items</t>
        </is>
      </c>
      <c r="C3326" s="4" t="inlineStr">
        <is>
          <t>D15</t>
        </is>
      </c>
      <c r="D3326" s="4" t="inlineStr">
        <is>
          <t>$100 factory and $50 community, as entered on the input page.</t>
        </is>
      </c>
      <c r="E3326" s="4" t="inlineStr">
        <is>
          <t>$100 factory and $50 community, as entered on the input page.</t>
        </is>
      </c>
      <c r="F3326" s="4" t="inlineStr">
        <is>
          <t>GOC Bed Unit-Costing Model v2 — working original.xlsx</t>
        </is>
      </c>
    </row>
    <row r="3327" ht="120" customHeight="1">
      <c r="A3327" s="4" t="inlineStr">
        <is>
          <t>original:Open Items!E15</t>
        </is>
      </c>
      <c r="B3327" s="4" t="inlineStr">
        <is>
          <t>Open Items</t>
        </is>
      </c>
      <c r="C3327" s="4" t="inlineStr">
        <is>
          <t>E15</t>
        </is>
      </c>
      <c r="D3327" s="4" t="inlineStr">
        <is>
          <t>The unit-costing model applies $150 long-haul plus $25 local to every path. The two need reconciling, and it needs deciding whether freight is recovered from the customer or absorbed.</t>
        </is>
      </c>
      <c r="E3327" s="4" t="inlineStr">
        <is>
          <t>The unit-costing model applies $150 long-haul plus $25 local to every path. The two need reconciling, and it needs deciding whether freight is recovered from the customer or absorbed.</t>
        </is>
      </c>
      <c r="F3327" s="4" t="inlineStr">
        <is>
          <t>GOC Bed Unit-Costing Model v2 — working original.xlsx</t>
        </is>
      </c>
    </row>
    <row r="3328" ht="40" customHeight="1">
      <c r="A3328" s="4" t="inlineStr">
        <is>
          <t>original:Open Items!F15</t>
        </is>
      </c>
      <c r="B3328" s="4" t="inlineStr">
        <is>
          <t>Open Items</t>
        </is>
      </c>
      <c r="C3328" s="4" t="inlineStr">
        <is>
          <t>F15</t>
        </is>
      </c>
      <c r="D3328" s="4" t="inlineStr">
        <is>
          <t>Nic + Ben</t>
        </is>
      </c>
      <c r="E3328" s="4" t="inlineStr">
        <is>
          <t>Nic + Ben</t>
        </is>
      </c>
      <c r="F3328" s="4" t="inlineStr">
        <is>
          <t>GOC Bed Unit-Costing Model v2 — working original.xlsx</t>
        </is>
      </c>
    </row>
    <row r="3329" ht="40" customHeight="1">
      <c r="A3329" s="4" t="inlineStr">
        <is>
          <t>original:Open Items!A16</t>
        </is>
      </c>
      <c r="B3329" s="4" t="inlineStr">
        <is>
          <t>Open Items</t>
        </is>
      </c>
      <c r="C3329" s="4" t="inlineStr">
        <is>
          <t>A16</t>
        </is>
      </c>
      <c r="D3329" s="4" t="n">
        <v>10</v>
      </c>
      <c r="E3329" s="4" t="n">
        <v>10</v>
      </c>
      <c r="F3329" s="4" t="inlineStr">
        <is>
          <t>GOC Bed Unit-Costing Model v2 — working original.xlsx</t>
        </is>
      </c>
    </row>
    <row r="3330" ht="40" customHeight="1">
      <c r="A3330" s="4" t="inlineStr">
        <is>
          <t>original:Open Items!B16</t>
        </is>
      </c>
      <c r="B3330" s="4" t="inlineStr">
        <is>
          <t>Open Items</t>
        </is>
      </c>
      <c r="C3330" s="4" t="inlineStr">
        <is>
          <t>B16</t>
        </is>
      </c>
      <c r="D3330" s="4" t="inlineStr">
        <is>
          <t>Site lease</t>
        </is>
      </c>
      <c r="E3330" s="4" t="inlineStr">
        <is>
          <t>Site lease</t>
        </is>
      </c>
      <c r="F3330" s="4" t="inlineStr">
        <is>
          <t>GOC Bed Unit-Costing Model v2 — working original.xlsx</t>
        </is>
      </c>
    </row>
    <row r="3331" ht="40" customHeight="1">
      <c r="A3331" s="4" t="inlineStr">
        <is>
          <t>original:Open Items!C16</t>
        </is>
      </c>
      <c r="B3331" s="4" t="inlineStr">
        <is>
          <t>Open Items</t>
        </is>
      </c>
      <c r="C3331" s="4" t="inlineStr">
        <is>
          <t>C16</t>
        </is>
      </c>
      <c r="D3331" s="4" t="inlineStr">
        <is>
          <t>Inputs B45, C45</t>
        </is>
      </c>
      <c r="E3331" s="4" t="inlineStr">
        <is>
          <t>Inputs B45, C45</t>
        </is>
      </c>
      <c r="F3331" s="4" t="inlineStr">
        <is>
          <t>GOC Bed Unit-Costing Model v2 — working original.xlsx</t>
        </is>
      </c>
    </row>
    <row r="3332" ht="40" customHeight="1">
      <c r="A3332" s="4" t="inlineStr">
        <is>
          <t>original:Open Items!D16</t>
        </is>
      </c>
      <c r="B3332" s="4" t="inlineStr">
        <is>
          <t>Open Items</t>
        </is>
      </c>
      <c r="C3332" s="4" t="inlineStr">
        <is>
          <t>D16</t>
        </is>
      </c>
      <c r="D3332" s="4" t="inlineStr">
        <is>
          <t>$27,000 factory and $60,000 community.</t>
        </is>
      </c>
      <c r="E3332" s="4" t="inlineStr">
        <is>
          <t>$27,000 factory and $60,000 community.</t>
        </is>
      </c>
      <c r="F3332" s="4" t="inlineStr">
        <is>
          <t>GOC Bed Unit-Costing Model v2 — working original.xlsx</t>
        </is>
      </c>
    </row>
    <row r="3333" ht="195" customHeight="1">
      <c r="A3333" s="4" t="inlineStr">
        <is>
          <t>original:Open Items!E16</t>
        </is>
      </c>
      <c r="B3333" s="4" t="inlineStr">
        <is>
          <t>Open Items</t>
        </is>
      </c>
      <c r="C3333" s="4" t="inlineStr">
        <is>
          <t>E16</t>
        </is>
      </c>
      <c r="D3333" s="4" t="inlineStr">
        <is>
          <t>Factory: $27,000 is the 50% bed share of the Kirmos facility, so a whole-of-org view arguably carries the full ~$54,000. Also confirm who pays it while handover is incomplete. Community: $60,000 is the Oonchiumpa DEWR figure, which itself splits 50/50 between production and program.</t>
        </is>
      </c>
      <c r="E3333" s="4" t="inlineStr">
        <is>
          <t>Factory: $27,000 is the 50% bed share of the Kirmos facility, so a whole-of-org view arguably carries the full ~$54,000. Also confirm who pays it while handover is incomplete. Community: $60,000 is the Oonchiumpa DEWR figure, which itself splits 50/50 between production and program.</t>
        </is>
      </c>
      <c r="F3333" s="4" t="inlineStr">
        <is>
          <t>GOC Bed Unit-Costing Model v2 — working original.xlsx</t>
        </is>
      </c>
    </row>
    <row r="3334" ht="40" customHeight="1">
      <c r="A3334" s="4" t="inlineStr">
        <is>
          <t>original:Open Items!F16</t>
        </is>
      </c>
      <c r="B3334" s="4" t="inlineStr">
        <is>
          <t>Open Items</t>
        </is>
      </c>
      <c r="C3334" s="4" t="inlineStr">
        <is>
          <t>F16</t>
        </is>
      </c>
      <c r="D3334" s="4" t="inlineStr">
        <is>
          <t>Ben</t>
        </is>
      </c>
      <c r="E3334" s="4" t="inlineStr">
        <is>
          <t>Ben</t>
        </is>
      </c>
      <c r="F3334" s="4" t="inlineStr">
        <is>
          <t>GOC Bed Unit-Costing Model v2 — working original.xlsx</t>
        </is>
      </c>
    </row>
    <row r="3335" ht="40" customHeight="1">
      <c r="A3335" s="4" t="inlineStr">
        <is>
          <t>original:Open Items!A17</t>
        </is>
      </c>
      <c r="B3335" s="4" t="inlineStr">
        <is>
          <t>Open Items</t>
        </is>
      </c>
      <c r="C3335" s="4" t="inlineStr">
        <is>
          <t>A17</t>
        </is>
      </c>
      <c r="D3335" s="4" t="n">
        <v>11</v>
      </c>
      <c r="E3335" s="4" t="n">
        <v>11</v>
      </c>
      <c r="F3335" s="4" t="inlineStr">
        <is>
          <t>GOC Bed Unit-Costing Model v2 — working original.xlsx</t>
        </is>
      </c>
    </row>
    <row r="3336" ht="40" customHeight="1">
      <c r="A3336" s="4" t="inlineStr">
        <is>
          <t>original:Open Items!B17</t>
        </is>
      </c>
      <c r="B3336" s="4" t="inlineStr">
        <is>
          <t>Open Items</t>
        </is>
      </c>
      <c r="C3336" s="4" t="inlineStr">
        <is>
          <t>B17</t>
        </is>
      </c>
      <c r="D3336" s="4" t="inlineStr">
        <is>
          <t>Insurance</t>
        </is>
      </c>
      <c r="E3336" s="4" t="inlineStr">
        <is>
          <t>Insurance</t>
        </is>
      </c>
      <c r="F3336" s="4" t="inlineStr">
        <is>
          <t>GOC Bed Unit-Costing Model v2 — working original.xlsx</t>
        </is>
      </c>
    </row>
    <row r="3337" ht="40" customHeight="1">
      <c r="A3337" s="4" t="inlineStr">
        <is>
          <t>original:Open Items!C17</t>
        </is>
      </c>
      <c r="B3337" s="4" t="inlineStr">
        <is>
          <t>Open Items</t>
        </is>
      </c>
      <c r="C3337" s="4" t="inlineStr">
        <is>
          <t>C17</t>
        </is>
      </c>
      <c r="D3337" s="4" t="inlineStr">
        <is>
          <t>Inputs B46, C46</t>
        </is>
      </c>
      <c r="E3337" s="4" t="inlineStr">
        <is>
          <t>Inputs B46, C46</t>
        </is>
      </c>
      <c r="F3337" s="4" t="inlineStr">
        <is>
          <t>GOC Bed Unit-Costing Model v2 — working original.xlsx</t>
        </is>
      </c>
    </row>
    <row r="3338" ht="40" customHeight="1">
      <c r="A3338" s="4" t="inlineStr">
        <is>
          <t>original:Open Items!D17</t>
        </is>
      </c>
      <c r="B3338" s="4" t="inlineStr">
        <is>
          <t>Open Items</t>
        </is>
      </c>
      <c r="C3338" s="4" t="inlineStr">
        <is>
          <t>D17</t>
        </is>
      </c>
      <c r="D3338" s="4" t="inlineStr">
        <is>
          <t>Nil factory, $12,000 community.</t>
        </is>
      </c>
      <c r="E3338" s="4" t="inlineStr">
        <is>
          <t>Nil factory, $12,000 community.</t>
        </is>
      </c>
      <c r="F3338" s="4" t="inlineStr">
        <is>
          <t>GOC Bed Unit-Costing Model v2 — working original.xlsx</t>
        </is>
      </c>
    </row>
    <row r="3339" ht="195" customHeight="1">
      <c r="A3339" s="4" t="inlineStr">
        <is>
          <t>original:Open Items!E17</t>
        </is>
      </c>
      <c r="B3339" s="4" t="inlineStr">
        <is>
          <t>Open Items</t>
        </is>
      </c>
      <c r="C3339" s="4" t="inlineStr">
        <is>
          <t>E17</t>
        </is>
      </c>
      <c r="D3339" s="4" t="inlineStr">
        <is>
          <t>Factory nil assumes the $12,000 inside Head office costs covers it. Community $12,000 is a guess needing quotes; the Oonchiumpa DEWR application as written says $40,000/site/yr, alongside admin/IT $33,333 and machine upkeep $18,333 that this model does not carry at site level.</t>
        </is>
      </c>
      <c r="E3339" s="4" t="inlineStr">
        <is>
          <t>Factory nil assumes the $12,000 inside Head office costs covers it. Community $12,000 is a guess needing quotes; the Oonchiumpa DEWR application as written says $40,000/site/yr, alongside admin/IT $33,333 and machine upkeep $18,333 that this model does not carry at site level.</t>
        </is>
      </c>
      <c r="F3339" s="4" t="inlineStr">
        <is>
          <t>GOC Bed Unit-Costing Model v2 — working original.xlsx</t>
        </is>
      </c>
    </row>
    <row r="3340" ht="40" customHeight="1">
      <c r="A3340" s="4" t="inlineStr">
        <is>
          <t>original:Open Items!F17</t>
        </is>
      </c>
      <c r="B3340" s="4" t="inlineStr">
        <is>
          <t>Open Items</t>
        </is>
      </c>
      <c r="C3340" s="4" t="inlineStr">
        <is>
          <t>F17</t>
        </is>
      </c>
      <c r="D3340" s="4" t="inlineStr">
        <is>
          <t>Ben + broker</t>
        </is>
      </c>
      <c r="E3340" s="4" t="inlineStr">
        <is>
          <t>Ben + broker</t>
        </is>
      </c>
      <c r="F3340" s="4" t="inlineStr">
        <is>
          <t>GOC Bed Unit-Costing Model v2 — working original.xlsx</t>
        </is>
      </c>
    </row>
    <row r="3341" ht="40" customHeight="1">
      <c r="A3341" s="4" t="inlineStr">
        <is>
          <t>original:Open Items!A18</t>
        </is>
      </c>
      <c r="B3341" s="4" t="inlineStr">
        <is>
          <t>Open Items</t>
        </is>
      </c>
      <c r="C3341" s="4" t="inlineStr">
        <is>
          <t>A18</t>
        </is>
      </c>
      <c r="D3341" s="4" t="n">
        <v>12</v>
      </c>
      <c r="E3341" s="4" t="n">
        <v>12</v>
      </c>
      <c r="F3341" s="4" t="inlineStr">
        <is>
          <t>GOC Bed Unit-Costing Model v2 — working original.xlsx</t>
        </is>
      </c>
    </row>
    <row r="3342" ht="40" customHeight="1">
      <c r="A3342" s="4" t="inlineStr">
        <is>
          <t>original:Open Items!B18</t>
        </is>
      </c>
      <c r="B3342" s="4" t="inlineStr">
        <is>
          <t>Open Items</t>
        </is>
      </c>
      <c r="C3342" s="4" t="inlineStr">
        <is>
          <t>B18</t>
        </is>
      </c>
      <c r="D3342" s="4" t="inlineStr">
        <is>
          <t>Trainer / WHS officer</t>
        </is>
      </c>
      <c r="E3342" s="4" t="inlineStr">
        <is>
          <t>Trainer / WHS officer</t>
        </is>
      </c>
      <c r="F3342" s="4" t="inlineStr">
        <is>
          <t>GOC Bed Unit-Costing Model v2 — working original.xlsx</t>
        </is>
      </c>
    </row>
    <row r="3343" ht="40" customHeight="1">
      <c r="A3343" s="4" t="inlineStr">
        <is>
          <t>original:Open Items!C18</t>
        </is>
      </c>
      <c r="B3343" s="4" t="inlineStr">
        <is>
          <t>Open Items</t>
        </is>
      </c>
      <c r="C3343" s="4" t="inlineStr">
        <is>
          <t>C18</t>
        </is>
      </c>
      <c r="D3343" s="4" t="inlineStr">
        <is>
          <t>Inputs B33, C33</t>
        </is>
      </c>
      <c r="E3343" s="4" t="inlineStr">
        <is>
          <t>Inputs B33, C33</t>
        </is>
      </c>
      <c r="F3343" s="4" t="inlineStr">
        <is>
          <t>GOC Bed Unit-Costing Model v2 — working original.xlsx</t>
        </is>
      </c>
    </row>
    <row r="3344" ht="40" customHeight="1">
      <c r="A3344" s="4" t="inlineStr">
        <is>
          <t>original:Open Items!D18</t>
        </is>
      </c>
      <c r="B3344" s="4" t="inlineStr">
        <is>
          <t>Open Items</t>
        </is>
      </c>
      <c r="C3344" s="4" t="inlineStr">
        <is>
          <t>D18</t>
        </is>
      </c>
      <c r="D3344" s="4" t="inlineStr">
        <is>
          <t>$40,000 per site.</t>
        </is>
      </c>
      <c r="E3344" s="4" t="inlineStr">
        <is>
          <t>$40,000 per site.</t>
        </is>
      </c>
      <c r="F3344" s="4" t="inlineStr">
        <is>
          <t>GOC Bed Unit-Costing Model v2 — working original.xlsx</t>
        </is>
      </c>
    </row>
    <row r="3345" ht="105" customHeight="1">
      <c r="A3345" s="4" t="inlineStr">
        <is>
          <t>original:Open Items!E18</t>
        </is>
      </c>
      <c r="B3345" s="4" t="inlineStr">
        <is>
          <t>Open Items</t>
        </is>
      </c>
      <c r="C3345" s="4" t="inlineStr">
        <is>
          <t>E18</t>
        </is>
      </c>
      <c r="D3345" s="4" t="inlineStr">
        <is>
          <t>Whether the role is compulsory at every site. The figure is a modelled split of the DEWR ACT $190K line, not a stated standalone number (Known Other Costs A45).</t>
        </is>
      </c>
      <c r="E3345" s="4" t="inlineStr">
        <is>
          <t>Whether the role is compulsory at every site. The figure is a modelled split of the DEWR ACT $190K line, not a stated standalone number (Known Other Costs A45).</t>
        </is>
      </c>
      <c r="F3345" s="4" t="inlineStr">
        <is>
          <t>GOC Bed Unit-Costing Model v2 — working original.xlsx</t>
        </is>
      </c>
    </row>
    <row r="3346" ht="40" customHeight="1">
      <c r="A3346" s="4" t="inlineStr">
        <is>
          <t>original:Open Items!F18</t>
        </is>
      </c>
      <c r="B3346" s="4" t="inlineStr">
        <is>
          <t>Open Items</t>
        </is>
      </c>
      <c r="C3346" s="4" t="inlineStr">
        <is>
          <t>F18</t>
        </is>
      </c>
      <c r="D3346" s="4" t="inlineStr">
        <is>
          <t>Ben</t>
        </is>
      </c>
      <c r="E3346" s="4" t="inlineStr">
        <is>
          <t>Ben</t>
        </is>
      </c>
      <c r="F3346" s="4" t="inlineStr">
        <is>
          <t>GOC Bed Unit-Costing Model v2 — working original.xlsx</t>
        </is>
      </c>
    </row>
    <row r="3347" ht="40" customHeight="1">
      <c r="A3347" s="4" t="inlineStr">
        <is>
          <t>original:Open Items!A19</t>
        </is>
      </c>
      <c r="B3347" s="4" t="inlineStr">
        <is>
          <t>Open Items</t>
        </is>
      </c>
      <c r="C3347" s="4" t="inlineStr">
        <is>
          <t>A19</t>
        </is>
      </c>
      <c r="D3347" s="4" t="n">
        <v>13</v>
      </c>
      <c r="E3347" s="4" t="n">
        <v>13</v>
      </c>
      <c r="F3347" s="4" t="inlineStr">
        <is>
          <t>GOC Bed Unit-Costing Model v2 — working original.xlsx</t>
        </is>
      </c>
    </row>
    <row r="3348" ht="40" customHeight="1">
      <c r="A3348" s="4" t="inlineStr">
        <is>
          <t>original:Open Items!B19</t>
        </is>
      </c>
      <c r="B3348" s="4" t="inlineStr">
        <is>
          <t>Open Items</t>
        </is>
      </c>
      <c r="C3348" s="4" t="inlineStr">
        <is>
          <t>B19</t>
        </is>
      </c>
      <c r="D3348" s="4" t="inlineStr">
        <is>
          <t>Equipment maintenance</t>
        </is>
      </c>
      <c r="E3348" s="4" t="inlineStr">
        <is>
          <t>Equipment maintenance</t>
        </is>
      </c>
      <c r="F3348" s="4" t="inlineStr">
        <is>
          <t>GOC Bed Unit-Costing Model v2 — working original.xlsx</t>
        </is>
      </c>
    </row>
    <row r="3349" ht="40" customHeight="1">
      <c r="A3349" s="4" t="inlineStr">
        <is>
          <t>original:Open Items!C19</t>
        </is>
      </c>
      <c r="B3349" s="4" t="inlineStr">
        <is>
          <t>Open Items</t>
        </is>
      </c>
      <c r="C3349" s="4" t="inlineStr">
        <is>
          <t>C19</t>
        </is>
      </c>
      <c r="D3349" s="4" t="inlineStr">
        <is>
          <t>Inputs B42, C42</t>
        </is>
      </c>
      <c r="E3349" s="4" t="inlineStr">
        <is>
          <t>Inputs B42, C42</t>
        </is>
      </c>
      <c r="F3349" s="4" t="inlineStr">
        <is>
          <t>GOC Bed Unit-Costing Model v2 — working original.xlsx</t>
        </is>
      </c>
    </row>
    <row r="3350" ht="45" customHeight="1">
      <c r="A3350" s="4" t="inlineStr">
        <is>
          <t>original:Open Items!D19</t>
        </is>
      </c>
      <c r="B3350" s="4" t="inlineStr">
        <is>
          <t>Open Items</t>
        </is>
      </c>
      <c r="C3350" s="4" t="inlineStr">
        <is>
          <t>D19</t>
        </is>
      </c>
      <c r="D3350" s="4" t="inlineStr">
        <is>
          <t>$8,350/site/yr, being 5% of the $167,000 equipment subtotal.</t>
        </is>
      </c>
      <c r="E3350" s="4" t="inlineStr">
        <is>
          <t>$8,350/site/yr, being 5% of the $167,000 equipment subtotal.</t>
        </is>
      </c>
      <c r="F3350" s="4" t="inlineStr">
        <is>
          <t>GOC Bed Unit-Costing Model v2 — working original.xlsx</t>
        </is>
      </c>
    </row>
    <row r="3351" ht="75" customHeight="1">
      <c r="A3351" s="4" t="inlineStr">
        <is>
          <t>original:Open Items!E19</t>
        </is>
      </c>
      <c r="B3351" s="4" t="inlineStr">
        <is>
          <t>Open Items</t>
        </is>
      </c>
      <c r="C3351" s="4" t="inlineStr">
        <is>
          <t>E19</t>
        </is>
      </c>
      <c r="D3351" s="4" t="inlineStr">
        <is>
          <t>The three vendor quotes (shredder, hot press, CNC) with their service schedules and priced spares, per Q&amp;A Q9.</t>
        </is>
      </c>
      <c r="E3351" s="4" t="inlineStr">
        <is>
          <t>The three vendor quotes (shredder, hot press, CNC) with their service schedules and priced spares, per Q&amp;A Q9.</t>
        </is>
      </c>
      <c r="F3351" s="4" t="inlineStr">
        <is>
          <t>GOC Bed Unit-Costing Model v2 — working original.xlsx</t>
        </is>
      </c>
    </row>
    <row r="3352" ht="40" customHeight="1">
      <c r="A3352" s="4" t="inlineStr">
        <is>
          <t>original:Open Items!F19</t>
        </is>
      </c>
      <c r="B3352" s="4" t="inlineStr">
        <is>
          <t>Open Items</t>
        </is>
      </c>
      <c r="C3352" s="4" t="inlineStr">
        <is>
          <t>F19</t>
        </is>
      </c>
      <c r="D3352" s="4" t="inlineStr">
        <is>
          <t>Ben</t>
        </is>
      </c>
      <c r="E3352" s="4" t="inlineStr">
        <is>
          <t>Ben</t>
        </is>
      </c>
      <c r="F3352" s="4" t="inlineStr">
        <is>
          <t>GOC Bed Unit-Costing Model v2 — working original.xlsx</t>
        </is>
      </c>
    </row>
    <row r="3353" ht="40" customHeight="1">
      <c r="A3353" s="4" t="inlineStr">
        <is>
          <t>original:Open Items!A20</t>
        </is>
      </c>
      <c r="B3353" s="4" t="inlineStr">
        <is>
          <t>Open Items</t>
        </is>
      </c>
      <c r="C3353" s="4" t="inlineStr">
        <is>
          <t>A20</t>
        </is>
      </c>
      <c r="D3353" s="4" t="n">
        <v>14</v>
      </c>
      <c r="E3353" s="4" t="n">
        <v>14</v>
      </c>
      <c r="F3353" s="4" t="inlineStr">
        <is>
          <t>GOC Bed Unit-Costing Model v2 — working original.xlsx</t>
        </is>
      </c>
    </row>
    <row r="3354" ht="40" customHeight="1">
      <c r="A3354" s="4" t="inlineStr">
        <is>
          <t>original:Open Items!B20</t>
        </is>
      </c>
      <c r="B3354" s="4" t="inlineStr">
        <is>
          <t>Open Items</t>
        </is>
      </c>
      <c r="C3354" s="4" t="inlineStr">
        <is>
          <t>B20</t>
        </is>
      </c>
      <c r="D3354" s="4" t="inlineStr">
        <is>
          <t>Factory power per bed</t>
        </is>
      </c>
      <c r="E3354" s="4" t="inlineStr">
        <is>
          <t>Factory power per bed</t>
        </is>
      </c>
      <c r="F3354" s="4" t="inlineStr">
        <is>
          <t>GOC Bed Unit-Costing Model v2 — working original.xlsx</t>
        </is>
      </c>
    </row>
    <row r="3355" ht="40" customHeight="1">
      <c r="A3355" s="4" t="inlineStr">
        <is>
          <t>original:Open Items!C20</t>
        </is>
      </c>
      <c r="B3355" s="4" t="inlineStr">
        <is>
          <t>Open Items</t>
        </is>
      </c>
      <c r="C3355" s="4" t="inlineStr">
        <is>
          <t>C20</t>
        </is>
      </c>
      <c r="D3355" s="4" t="inlineStr">
        <is>
          <t>Inputs B26</t>
        </is>
      </c>
      <c r="E3355" s="4" t="inlineStr">
        <is>
          <t>Inputs B26</t>
        </is>
      </c>
      <c r="F3355" s="4" t="inlineStr">
        <is>
          <t>GOC Bed Unit-Costing Model v2 — working original.xlsx</t>
        </is>
      </c>
    </row>
    <row r="3356" ht="60" customHeight="1">
      <c r="A3356" s="4" t="inlineStr">
        <is>
          <t>original:Open Items!D20</t>
        </is>
      </c>
      <c r="B3356" s="4" t="inlineStr">
        <is>
          <t>Open Items</t>
        </is>
      </c>
      <c r="C3356" s="4" t="inlineStr">
        <is>
          <t>D20</t>
        </is>
      </c>
      <c r="D3356" s="4" t="inlineStr">
        <is>
          <t>$15, carried across from the diesel calculation (25L/day over 5 beds).</t>
        </is>
      </c>
      <c r="E3356" s="4" t="inlineStr">
        <is>
          <t>$15, carried across from the diesel calculation (25L/day over 5 beds).</t>
        </is>
      </c>
      <c r="F3356" s="4" t="inlineStr">
        <is>
          <t>GOC Bed Unit-Costing Model v2 — working original.xlsx</t>
        </is>
      </c>
    </row>
    <row r="3357" ht="75" customHeight="1">
      <c r="A3357" s="4" t="inlineStr">
        <is>
          <t>original:Open Items!E20</t>
        </is>
      </c>
      <c r="B3357" s="4" t="inlineStr">
        <is>
          <t>Open Items</t>
        </is>
      </c>
      <c r="C3357" s="4" t="inlineStr">
        <is>
          <t>E20</t>
        </is>
      </c>
      <c r="D3357" s="4" t="inlineStr">
        <is>
          <t>A grid-electricity estimate for the Sunshine Coast facility. No kWh figure exists anywhere in the source material.</t>
        </is>
      </c>
      <c r="E3357" s="4" t="inlineStr">
        <is>
          <t>A grid-electricity estimate for the Sunshine Coast facility. No kWh figure exists anywhere in the source material.</t>
        </is>
      </c>
      <c r="F3357" s="4" t="inlineStr">
        <is>
          <t>GOC Bed Unit-Costing Model v2 — working original.xlsx</t>
        </is>
      </c>
    </row>
    <row r="3358" ht="40" customHeight="1">
      <c r="A3358" s="4" t="inlineStr">
        <is>
          <t>original:Open Items!F20</t>
        </is>
      </c>
      <c r="B3358" s="4" t="inlineStr">
        <is>
          <t>Open Items</t>
        </is>
      </c>
      <c r="C3358" s="4" t="inlineStr">
        <is>
          <t>F20</t>
        </is>
      </c>
      <c r="D3358" s="4" t="inlineStr">
        <is>
          <t>Ben</t>
        </is>
      </c>
      <c r="E3358" s="4" t="inlineStr">
        <is>
          <t>Ben</t>
        </is>
      </c>
      <c r="F3358" s="4" t="inlineStr">
        <is>
          <t>GOC Bed Unit-Costing Model v2 — working original.xlsx</t>
        </is>
      </c>
    </row>
    <row r="3359" ht="45" customHeight="1">
      <c r="A3359" s="4" t="inlineStr">
        <is>
          <t>original:Open Items!A21</t>
        </is>
      </c>
      <c r="B3359" s="4" t="inlineStr">
        <is>
          <t>Open Items</t>
        </is>
      </c>
      <c r="C3359" s="4" t="inlineStr">
        <is>
          <t>A21</t>
        </is>
      </c>
      <c r="D3359" s="4" t="inlineStr">
        <is>
          <t>C.  ERRORS AND DOUBLE-COUNTS found in the source material</t>
        </is>
      </c>
      <c r="E3359" s="4" t="inlineStr">
        <is>
          <t>C.  ERRORS AND DOUBLE-COUNTS found in the source material</t>
        </is>
      </c>
      <c r="F3359" s="4" t="inlineStr">
        <is>
          <t>GOC Bed Unit-Costing Model v2 — working original.xlsx</t>
        </is>
      </c>
    </row>
    <row r="3360" ht="40" customHeight="1">
      <c r="A3360" s="4" t="inlineStr">
        <is>
          <t>original:Open Items!A22</t>
        </is>
      </c>
      <c r="B3360" s="4" t="inlineStr">
        <is>
          <t>Open Items</t>
        </is>
      </c>
      <c r="C3360" s="4" t="inlineStr">
        <is>
          <t>A22</t>
        </is>
      </c>
      <c r="D3360" s="4" t="n">
        <v>15</v>
      </c>
      <c r="E3360" s="4" t="n">
        <v>15</v>
      </c>
      <c r="F3360" s="4" t="inlineStr">
        <is>
          <t>GOC Bed Unit-Costing Model v2 — working original.xlsx</t>
        </is>
      </c>
    </row>
    <row r="3361" ht="45" customHeight="1">
      <c r="A3361" s="4" t="inlineStr">
        <is>
          <t>original:Open Items!B22</t>
        </is>
      </c>
      <c r="B3361" s="4" t="inlineStr">
        <is>
          <t>Open Items</t>
        </is>
      </c>
      <c r="C3361" s="4" t="inlineStr">
        <is>
          <t>B22</t>
        </is>
      </c>
      <c r="D3361" s="4" t="inlineStr">
        <is>
          <t>Head office and Consulting &amp; Accounting overlap</t>
        </is>
      </c>
      <c r="E3361" s="4" t="inlineStr">
        <is>
          <t>Head office and Consulting &amp; Accounting overlap</t>
        </is>
      </c>
      <c r="F3361" s="4" t="inlineStr">
        <is>
          <t>GOC Bed Unit-Costing Model v2 — working original.xlsx</t>
        </is>
      </c>
    </row>
    <row r="3362" ht="40" customHeight="1">
      <c r="A3362" s="4" t="inlineStr">
        <is>
          <t>original:Open Items!C22</t>
        </is>
      </c>
      <c r="B3362" s="4" t="inlineStr">
        <is>
          <t>Open Items</t>
        </is>
      </c>
      <c r="C3362" s="4" t="inlineStr">
        <is>
          <t>C22</t>
        </is>
      </c>
      <c r="D3362" s="4" t="inlineStr">
        <is>
          <t>Inputs B14, B18</t>
        </is>
      </c>
      <c r="E3362" s="4" t="inlineStr">
        <is>
          <t>Inputs B14, B18</t>
        </is>
      </c>
      <c r="F3362" s="4" t="inlineStr">
        <is>
          <t>GOC Bed Unit-Costing Model v2 — working original.xlsx</t>
        </is>
      </c>
    </row>
    <row r="3363" ht="210" customHeight="1">
      <c r="A3363" s="4" t="inlineStr">
        <is>
          <t>original:Open Items!D22</t>
        </is>
      </c>
      <c r="B3363" s="4" t="inlineStr">
        <is>
          <t>Open Items</t>
        </is>
      </c>
      <c r="C3363" s="4" t="inlineStr">
        <is>
          <t>D22</t>
        </is>
      </c>
      <c r="D3363" s="4" t="inlineStr">
        <is>
          <t>Both lines are carried in full. Head office costs of $53,000 is the Q20 central overhead budget, which itemises accounting and audit at $15,000 (Known Other Costs A49). Consulting &amp; Accounting of $50,000 is a separate line estimated from last year's spend. Roughly $15,000 is therefore counted twice.</t>
        </is>
      </c>
      <c r="E3363" s="4" t="inlineStr">
        <is>
          <t>Both lines are carried in full. Head office costs of $53,000 is the Q20 central overhead budget, which itemises accounting and audit at $15,000 (Known Other Costs A49). Consulting &amp; Accounting of $50,000 is a separate line estimated from last year's spend. Roughly $15,000 is therefore counted twice.</t>
        </is>
      </c>
      <c r="F3363" s="4" t="inlineStr">
        <is>
          <t>GOC Bed Unit-Costing Model v2 — working original.xlsx</t>
        </is>
      </c>
    </row>
    <row r="3364" ht="75" customHeight="1">
      <c r="A3364" s="4" t="inlineStr">
        <is>
          <t>original:Open Items!E22</t>
        </is>
      </c>
      <c r="B3364" s="4" t="inlineStr">
        <is>
          <t>Open Items</t>
        </is>
      </c>
      <c r="C3364" s="4" t="inlineStr">
        <is>
          <t>E22</t>
        </is>
      </c>
      <c r="D3364" s="4" t="inlineStr">
        <is>
          <t>Confirm what the $50,000 actually covers, then strip the overlap out of one line or the other.</t>
        </is>
      </c>
      <c r="E3364" s="4" t="inlineStr">
        <is>
          <t>Confirm what the $50,000 actually covers, then strip the overlap out of one line or the other.</t>
        </is>
      </c>
      <c r="F3364" s="4" t="inlineStr">
        <is>
          <t>GOC Bed Unit-Costing Model v2 — working original.xlsx</t>
        </is>
      </c>
    </row>
    <row r="3365" ht="40" customHeight="1">
      <c r="A3365" s="4" t="inlineStr">
        <is>
          <t>original:Open Items!F22</t>
        </is>
      </c>
      <c r="B3365" s="4" t="inlineStr">
        <is>
          <t>Open Items</t>
        </is>
      </c>
      <c r="C3365" s="4" t="inlineStr">
        <is>
          <t>F22</t>
        </is>
      </c>
      <c r="D3365" s="4" t="inlineStr">
        <is>
          <t>Ben + bookkeeper</t>
        </is>
      </c>
      <c r="E3365" s="4" t="inlineStr">
        <is>
          <t>Ben + bookkeeper</t>
        </is>
      </c>
      <c r="F3365" s="4" t="inlineStr">
        <is>
          <t>GOC Bed Unit-Costing Model v2 — working original.xlsx</t>
        </is>
      </c>
    </row>
    <row r="3366" ht="40" customHeight="1">
      <c r="A3366" s="4" t="inlineStr">
        <is>
          <t>original:Open Items!A23</t>
        </is>
      </c>
      <c r="B3366" s="4" t="inlineStr">
        <is>
          <t>Open Items</t>
        </is>
      </c>
      <c r="C3366" s="4" t="inlineStr">
        <is>
          <t>A23</t>
        </is>
      </c>
      <c r="D3366" s="4" t="n">
        <v>16</v>
      </c>
      <c r="E3366" s="4" t="n">
        <v>16</v>
      </c>
      <c r="F3366" s="4" t="inlineStr">
        <is>
          <t>GOC Bed Unit-Costing Model v2 — working original.xlsx</t>
        </is>
      </c>
    </row>
    <row r="3367" ht="40" customHeight="1">
      <c r="A3367" s="4" t="inlineStr">
        <is>
          <t>original:Open Items!B23</t>
        </is>
      </c>
      <c r="B3367" s="4" t="inlineStr">
        <is>
          <t>Open Items</t>
        </is>
      </c>
      <c r="C3367" s="4" t="inlineStr">
        <is>
          <t>B23</t>
        </is>
      </c>
      <c r="D3367" s="4" t="inlineStr">
        <is>
          <t>The v6 admin line of $14,700</t>
        </is>
      </c>
      <c r="E3367" s="4" t="inlineStr">
        <is>
          <t>The v6 admin line of $14,700</t>
        </is>
      </c>
      <c r="F3367" s="4" t="inlineStr">
        <is>
          <t>GOC Bed Unit-Costing Model v2 — working original.xlsx</t>
        </is>
      </c>
    </row>
    <row r="3368" ht="40" customHeight="1">
      <c r="A3368" s="4" t="inlineStr">
        <is>
          <t>original:Open Items!C23</t>
        </is>
      </c>
      <c r="B3368" s="4" t="inlineStr">
        <is>
          <t>Open Items</t>
        </is>
      </c>
      <c r="C3368" s="4" t="inlineStr">
        <is>
          <t>C23</t>
        </is>
      </c>
      <c r="D3368" s="4" t="inlineStr">
        <is>
          <t>Inputs, Overhead and Admin block</t>
        </is>
      </c>
      <c r="E3368" s="4" t="inlineStr">
        <is>
          <t>Inputs, Overhead and Admin block</t>
        </is>
      </c>
      <c r="F3368" s="4" t="inlineStr">
        <is>
          <t>GOC Bed Unit-Costing Model v2 — working original.xlsx</t>
        </is>
      </c>
    </row>
    <row r="3369" ht="150" customHeight="1">
      <c r="A3369" s="4" t="inlineStr">
        <is>
          <t>original:Open Items!D23</t>
        </is>
      </c>
      <c r="B3369" s="4" t="inlineStr">
        <is>
          <t>Open Items</t>
        </is>
      </c>
      <c r="C3369" s="4" t="inlineStr">
        <is>
          <t>D23</t>
        </is>
      </c>
      <c r="D3369" s="4" t="inlineStr">
        <is>
          <t>Not carried anywhere in this model. The v6 fixed block of $109,500 includes admin of $14,700/yr, and Known Other Costs A49 states the $53,000 central overhead sits OUTSIDE that block, which implies both should exist.</t>
        </is>
      </c>
      <c r="E3369" s="4" t="inlineStr">
        <is>
          <t>Not carried anywhere in this model. The v6 fixed block of $109,500 includes admin of $14,700/yr, and Known Other Costs A49 states the $53,000 central overhead sits OUTSIDE that block, which implies both should exist.</t>
        </is>
      </c>
      <c r="F3369" s="4" t="inlineStr">
        <is>
          <t>GOC Bed Unit-Costing Model v2 — working original.xlsx</t>
        </is>
      </c>
    </row>
    <row r="3370" ht="90" customHeight="1">
      <c r="A3370" s="4" t="inlineStr">
        <is>
          <t>original:Open Items!E23</t>
        </is>
      </c>
      <c r="B3370" s="4" t="inlineStr">
        <is>
          <t>Open Items</t>
        </is>
      </c>
      <c r="C3370" s="4" t="inlineStr">
        <is>
          <t>E23</t>
        </is>
      </c>
      <c r="D3370" s="4" t="inlineStr">
        <is>
          <t>Confirm whether the $14,700 is deliberately superseded by the $53,000 head office line, or whether it should be added as its own row.</t>
        </is>
      </c>
      <c r="E3370" s="4" t="inlineStr">
        <is>
          <t>Confirm whether the $14,700 is deliberately superseded by the $53,000 head office line, or whether it should be added as its own row.</t>
        </is>
      </c>
      <c r="F3370" s="4" t="inlineStr">
        <is>
          <t>GOC Bed Unit-Costing Model v2 — working original.xlsx</t>
        </is>
      </c>
    </row>
    <row r="3371" ht="40" customHeight="1">
      <c r="A3371" s="4" t="inlineStr">
        <is>
          <t>original:Open Items!F23</t>
        </is>
      </c>
      <c r="B3371" s="4" t="inlineStr">
        <is>
          <t>Open Items</t>
        </is>
      </c>
      <c r="C3371" s="4" t="inlineStr">
        <is>
          <t>F23</t>
        </is>
      </c>
      <c r="D3371" s="4" t="inlineStr">
        <is>
          <t>Ben</t>
        </is>
      </c>
      <c r="E3371" s="4" t="inlineStr">
        <is>
          <t>Ben</t>
        </is>
      </c>
      <c r="F3371" s="4" t="inlineStr">
        <is>
          <t>GOC Bed Unit-Costing Model v2 — working original.xlsx</t>
        </is>
      </c>
    </row>
    <row r="3372" ht="40" customHeight="1">
      <c r="A3372" s="4" t="inlineStr">
        <is>
          <t>original:Open Items!A24</t>
        </is>
      </c>
      <c r="B3372" s="4" t="inlineStr">
        <is>
          <t>Open Items</t>
        </is>
      </c>
      <c r="C3372" s="4" t="inlineStr">
        <is>
          <t>A24</t>
        </is>
      </c>
      <c r="D3372" s="4" t="n">
        <v>17</v>
      </c>
      <c r="E3372" s="4" t="n">
        <v>17</v>
      </c>
      <c r="F3372" s="4" t="inlineStr">
        <is>
          <t>GOC Bed Unit-Costing Model v2 — working original.xlsx</t>
        </is>
      </c>
    </row>
    <row r="3373" ht="40" customHeight="1">
      <c r="A3373" s="4" t="inlineStr">
        <is>
          <t>original:Open Items!B24</t>
        </is>
      </c>
      <c r="B3373" s="4" t="inlineStr">
        <is>
          <t>Open Items</t>
        </is>
      </c>
      <c r="C3373" s="4" t="inlineStr">
        <is>
          <t>B24</t>
        </is>
      </c>
      <c r="D3373" s="4" t="inlineStr">
        <is>
          <t>Scope of the $207,450 build cost</t>
        </is>
      </c>
      <c r="E3373" s="4" t="inlineStr">
        <is>
          <t>Scope of the $207,450 build cost</t>
        </is>
      </c>
      <c r="F3373" s="4" t="inlineStr">
        <is>
          <t>GOC Bed Unit-Costing Model v2 — working original.xlsx</t>
        </is>
      </c>
    </row>
    <row r="3374" ht="40" customHeight="1">
      <c r="A3374" s="4" t="inlineStr">
        <is>
          <t>original:Open Items!C24</t>
        </is>
      </c>
      <c r="B3374" s="4" t="inlineStr">
        <is>
          <t>Open Items</t>
        </is>
      </c>
      <c r="C3374" s="4" t="inlineStr">
        <is>
          <t>C24</t>
        </is>
      </c>
      <c r="D3374" s="4" t="inlineStr">
        <is>
          <t>Inputs B38, C38, B40, C40</t>
        </is>
      </c>
      <c r="E3374" s="4" t="inlineStr">
        <is>
          <t>Inputs B38, C38, B40, C40</t>
        </is>
      </c>
      <c r="F3374" s="4" t="inlineStr">
        <is>
          <t>GOC Bed Unit-Costing Model v2 — working original.xlsx</t>
        </is>
      </c>
    </row>
    <row r="3375" ht="195" customHeight="1">
      <c r="A3375" s="4" t="inlineStr">
        <is>
          <t>original:Open Items!D24</t>
        </is>
      </c>
      <c r="B3375" s="4" t="inlineStr">
        <is>
          <t>Open Items</t>
        </is>
      </c>
      <c r="C3375" s="4" t="inlineStr">
        <is>
          <t>D24</t>
        </is>
      </c>
      <c r="D3375" s="4" t="inlineStr">
        <is>
          <t>Treated as fully delivered and installed. The $207,450 turnkey figure already contains freight to site of $5,000 and installation and training of $3,000, so the workbook adds the separate $8,000 container line only when the Low build basis is selected. Adding it to both would double-count.</t>
        </is>
      </c>
      <c r="E3375" s="4" t="inlineStr">
        <is>
          <t>Treated as fully delivered and installed. The $207,450 turnkey figure already contains freight to site of $5,000 and installation and training of $3,000, so the workbook adds the separate $8,000 container line only when the Low build basis is selected. Adding it to both would double-count.</t>
        </is>
      </c>
      <c r="F3375" s="4" t="inlineStr">
        <is>
          <t>GOC Bed Unit-Costing Model v2 — working original.xlsx</t>
        </is>
      </c>
    </row>
    <row r="3376" ht="90" customHeight="1">
      <c r="A3376" s="4" t="inlineStr">
        <is>
          <t>original:Open Items!E24</t>
        </is>
      </c>
      <c r="B3376" s="4" t="inlineStr">
        <is>
          <t>Open Items</t>
        </is>
      </c>
      <c r="C3376" s="4" t="inlineStr">
        <is>
          <t>E24</t>
        </is>
      </c>
      <c r="D3376" s="4" t="inlineStr">
        <is>
          <t>Confirm the $207,450 is the delivered, installed cost. If it is ex-freight, the logic in Inputs B41 and C41 needs reversing.</t>
        </is>
      </c>
      <c r="E3376" s="4" t="inlineStr">
        <is>
          <t>Confirm the $207,450 is the delivered, installed cost. If it is ex-freight, the logic in Inputs B41 and C41 needs reversing.</t>
        </is>
      </c>
      <c r="F3376" s="4" t="inlineStr">
        <is>
          <t>GOC Bed Unit-Costing Model v2 — working original.xlsx</t>
        </is>
      </c>
    </row>
    <row r="3377" ht="40" customHeight="1">
      <c r="A3377" s="4" t="inlineStr">
        <is>
          <t>original:Open Items!F24</t>
        </is>
      </c>
      <c r="B3377" s="4" t="inlineStr">
        <is>
          <t>Open Items</t>
        </is>
      </c>
      <c r="C3377" s="4" t="inlineStr">
        <is>
          <t>F24</t>
        </is>
      </c>
      <c r="D3377" s="4" t="inlineStr">
        <is>
          <t>Ben</t>
        </is>
      </c>
      <c r="E3377" s="4" t="inlineStr">
        <is>
          <t>Ben</t>
        </is>
      </c>
      <c r="F3377" s="4" t="inlineStr">
        <is>
          <t>GOC Bed Unit-Costing Model v2 — working original.xlsx</t>
        </is>
      </c>
    </row>
    <row r="3378" ht="40" customHeight="1">
      <c r="A3378" s="4" t="inlineStr">
        <is>
          <t>original:Open Items!A25</t>
        </is>
      </c>
      <c r="B3378" s="4" t="inlineStr">
        <is>
          <t>Open Items</t>
        </is>
      </c>
      <c r="C3378" s="4" t="inlineStr">
        <is>
          <t>A25</t>
        </is>
      </c>
      <c r="D3378" s="4" t="n">
        <v>18</v>
      </c>
      <c r="E3378" s="4" t="n">
        <v>18</v>
      </c>
      <c r="F3378" s="4" t="inlineStr">
        <is>
          <t>GOC Bed Unit-Costing Model v2 — working original.xlsx</t>
        </is>
      </c>
    </row>
    <row r="3379" ht="40" customHeight="1">
      <c r="A3379" s="4" t="inlineStr">
        <is>
          <t>original:Open Items!B25</t>
        </is>
      </c>
      <c r="B3379" s="4" t="inlineStr">
        <is>
          <t>Open Items</t>
        </is>
      </c>
      <c r="C3379" s="4" t="inlineStr">
        <is>
          <t>B25</t>
        </is>
      </c>
      <c r="D3379" s="4" t="inlineStr">
        <is>
          <t>Founder salaries</t>
        </is>
      </c>
      <c r="E3379" s="4" t="inlineStr">
        <is>
          <t>Founder salaries</t>
        </is>
      </c>
      <c r="F3379" s="4" t="inlineStr">
        <is>
          <t>GOC Bed Unit-Costing Model v2 — working original.xlsx</t>
        </is>
      </c>
    </row>
    <row r="3380" ht="40" customHeight="1">
      <c r="A3380" s="4" t="inlineStr">
        <is>
          <t>original:Open Items!C25</t>
        </is>
      </c>
      <c r="B3380" s="4" t="inlineStr">
        <is>
          <t>Open Items</t>
        </is>
      </c>
      <c r="C3380" s="4" t="inlineStr">
        <is>
          <t>C25</t>
        </is>
      </c>
      <c r="D3380" s="4" t="inlineStr">
        <is>
          <t>Inputs B13</t>
        </is>
      </c>
      <c r="E3380" s="4" t="inlineStr">
        <is>
          <t>Inputs B13</t>
        </is>
      </c>
      <c r="F3380" s="4" t="inlineStr">
        <is>
          <t>GOC Bed Unit-Costing Model v2 — working original.xlsx</t>
        </is>
      </c>
    </row>
    <row r="3381" ht="40" customHeight="1">
      <c r="A3381" s="4" t="inlineStr">
        <is>
          <t>original:Open Items!D25</t>
        </is>
      </c>
      <c r="B3381" s="4" t="inlineStr">
        <is>
          <t>Open Items</t>
        </is>
      </c>
      <c r="C3381" s="4" t="inlineStr">
        <is>
          <t>D25</t>
        </is>
      </c>
      <c r="D3381" s="4" t="inlineStr">
        <is>
          <t>$151,200, per Matt 2026-08-10.</t>
        </is>
      </c>
      <c r="E3381" s="4" t="inlineStr">
        <is>
          <t>$151,200, per Matt 2026-08-10.</t>
        </is>
      </c>
      <c r="F3381" s="4" t="inlineStr">
        <is>
          <t>GOC Bed Unit-Costing Model v2 — working original.xlsx</t>
        </is>
      </c>
    </row>
    <row r="3382" ht="210" customHeight="1">
      <c r="A3382" s="4" t="inlineStr">
        <is>
          <t>original:Open Items!E25</t>
        </is>
      </c>
      <c r="B3382" s="4" t="inlineStr">
        <is>
          <t>Open Items</t>
        </is>
      </c>
      <c r="C3382" s="4" t="inlineStr">
        <is>
          <t>E25</t>
        </is>
      </c>
      <c r="D3382" s="4" t="inlineStr">
        <is>
          <t>Noted for transparency, not blocking: 04-verified-financials §3 locks the Goods founder cost at $84,000/yr, of which $67,200 is the non-production subset. The $151,200 therefore reads as a forward-looking wage provision rather than the locked allocation. Worth a line of explanation when the model goes out.</t>
        </is>
      </c>
      <c r="E3382" s="4" t="inlineStr">
        <is>
          <t>Noted for transparency, not blocking: 04-verified-financials §3 locks the Goods founder cost at $84,000/yr, of which $67,200 is the non-production subset. The $151,200 therefore reads as a forward-looking wage provision rather than the locked allocation. Worth a line of explanation when the model goes out.</t>
        </is>
      </c>
      <c r="F3382" s="4" t="inlineStr">
        <is>
          <t>GOC Bed Unit-Costing Model v2 — working original.xlsx</t>
        </is>
      </c>
    </row>
    <row r="3383" ht="40" customHeight="1">
      <c r="A3383" s="4" t="inlineStr">
        <is>
          <t>original:Open Items!F25</t>
        </is>
      </c>
      <c r="B3383" s="4" t="inlineStr">
        <is>
          <t>Open Items</t>
        </is>
      </c>
      <c r="C3383" s="4" t="inlineStr">
        <is>
          <t>F25</t>
        </is>
      </c>
      <c r="D3383" s="4" t="inlineStr">
        <is>
          <t>Matt</t>
        </is>
      </c>
      <c r="E3383" s="4" t="inlineStr">
        <is>
          <t>Matt</t>
        </is>
      </c>
      <c r="F3383" s="4" t="inlineStr">
        <is>
          <t>GOC Bed Unit-Costing Model v2 — working original.xlsx</t>
        </is>
      </c>
    </row>
    <row r="3384" ht="40" customHeight="1">
      <c r="A3384" s="4" t="inlineStr">
        <is>
          <t>original:Open Items!A26</t>
        </is>
      </c>
      <c r="B3384" s="4" t="inlineStr">
        <is>
          <t>Open Items</t>
        </is>
      </c>
      <c r="C3384" s="4" t="inlineStr">
        <is>
          <t>A26</t>
        </is>
      </c>
      <c r="D3384" s="4" t="inlineStr">
        <is>
          <t>D.  TREATMENT CALLS — a decision, not a number</t>
        </is>
      </c>
      <c r="E3384" s="4" t="inlineStr">
        <is>
          <t>D.  TREATMENT CALLS — a decision, not a number</t>
        </is>
      </c>
      <c r="F3384" s="4" t="inlineStr">
        <is>
          <t>GOC Bed Unit-Costing Model v2 — working original.xlsx</t>
        </is>
      </c>
    </row>
    <row r="3385" ht="40" customHeight="1">
      <c r="A3385" s="4" t="inlineStr">
        <is>
          <t>original:Open Items!A27</t>
        </is>
      </c>
      <c r="B3385" s="4" t="inlineStr">
        <is>
          <t>Open Items</t>
        </is>
      </c>
      <c r="C3385" s="4" t="inlineStr">
        <is>
          <t>A27</t>
        </is>
      </c>
      <c r="D3385" s="4" t="n">
        <v>19</v>
      </c>
      <c r="E3385" s="4" t="n">
        <v>19</v>
      </c>
      <c r="F3385" s="4" t="inlineStr">
        <is>
          <t>GOC Bed Unit-Costing Model v2 — working original.xlsx</t>
        </is>
      </c>
    </row>
    <row r="3386" ht="40" customHeight="1">
      <c r="A3386" s="4" t="inlineStr">
        <is>
          <t>original:Open Items!B27</t>
        </is>
      </c>
      <c r="B3386" s="4" t="inlineStr">
        <is>
          <t>Open Items</t>
        </is>
      </c>
      <c r="C3386" s="4" t="inlineStr">
        <is>
          <t>B27</t>
        </is>
      </c>
      <c r="D3386" s="4" t="inlineStr">
        <is>
          <t>Facility build basis</t>
        </is>
      </c>
      <c r="E3386" s="4" t="inlineStr">
        <is>
          <t>Facility build basis</t>
        </is>
      </c>
      <c r="F3386" s="4" t="inlineStr">
        <is>
          <t>GOC Bed Unit-Costing Model v2 — working original.xlsx</t>
        </is>
      </c>
    </row>
    <row r="3387" ht="40" customHeight="1">
      <c r="A3387" s="4" t="inlineStr">
        <is>
          <t>original:Open Items!C27</t>
        </is>
      </c>
      <c r="B3387" s="4" t="inlineStr">
        <is>
          <t>Open Items</t>
        </is>
      </c>
      <c r="C3387" s="4" t="inlineStr">
        <is>
          <t>C27</t>
        </is>
      </c>
      <c r="D3387" s="4" t="inlineStr">
        <is>
          <t>Inputs B39, C39</t>
        </is>
      </c>
      <c r="E3387" s="4" t="inlineStr">
        <is>
          <t>Inputs B39, C39</t>
        </is>
      </c>
      <c r="F3387" s="4" t="inlineStr">
        <is>
          <t>GOC Bed Unit-Costing Model v2 — working original.xlsx</t>
        </is>
      </c>
    </row>
    <row r="3388" ht="45" customHeight="1">
      <c r="A3388" s="4" t="inlineStr">
        <is>
          <t>original:Open Items!D27</t>
        </is>
      </c>
      <c r="B3388" s="4" t="inlineStr">
        <is>
          <t>Open Items</t>
        </is>
      </c>
      <c r="C3388" s="4" t="inlineStr">
        <is>
          <t>D27</t>
        </is>
      </c>
      <c r="D3388" s="4" t="inlineStr">
        <is>
          <t>High, being the $207,450 turnkey container workshop.</t>
        </is>
      </c>
      <c r="E3388" s="4" t="inlineStr">
        <is>
          <t>High, being the $207,450 turnkey container workshop.</t>
        </is>
      </c>
      <c r="F3388" s="4" t="inlineStr">
        <is>
          <t>GOC Bed Unit-Costing Model v2 — working original.xlsx</t>
        </is>
      </c>
    </row>
    <row r="3389" ht="150" customHeight="1">
      <c r="A3389" s="4" t="inlineStr">
        <is>
          <t>original:Open Items!E27</t>
        </is>
      </c>
      <c r="B3389" s="4" t="inlineStr">
        <is>
          <t>Open Items</t>
        </is>
      </c>
      <c r="C3389" s="4" t="inlineStr">
        <is>
          <t>E27</t>
        </is>
      </c>
      <c r="D3389" s="4" t="inlineStr">
        <is>
          <t>Which basis is the base case. The alternative is the $105,000 minimal viable facility. Note the workbook adds container freight and installation only on the Low basis, because the High figure already contains both.</t>
        </is>
      </c>
      <c r="E3389" s="4" t="inlineStr">
        <is>
          <t>Which basis is the base case. The alternative is the $105,000 minimal viable facility. Note the workbook adds container freight and installation only on the Low basis, because the High figure already contains both.</t>
        </is>
      </c>
      <c r="F3389" s="4" t="inlineStr">
        <is>
          <t>GOC Bed Unit-Costing Model v2 — working original.xlsx</t>
        </is>
      </c>
    </row>
    <row r="3390" ht="40" customHeight="1">
      <c r="A3390" s="4" t="inlineStr">
        <is>
          <t>original:Open Items!F27</t>
        </is>
      </c>
      <c r="B3390" s="4" t="inlineStr">
        <is>
          <t>Open Items</t>
        </is>
      </c>
      <c r="C3390" s="4" t="inlineStr">
        <is>
          <t>F27</t>
        </is>
      </c>
      <c r="D3390" s="4" t="inlineStr">
        <is>
          <t>Matt + Ben</t>
        </is>
      </c>
      <c r="E3390" s="4" t="inlineStr">
        <is>
          <t>Matt + Ben</t>
        </is>
      </c>
      <c r="F3390" s="4" t="inlineStr">
        <is>
          <t>GOC Bed Unit-Costing Model v2 — working original.xlsx</t>
        </is>
      </c>
    </row>
    <row r="3391" ht="40" customHeight="1">
      <c r="A3391" s="4" t="inlineStr">
        <is>
          <t>original:Open Items!A28</t>
        </is>
      </c>
      <c r="B3391" s="4" t="inlineStr">
        <is>
          <t>Open Items</t>
        </is>
      </c>
      <c r="C3391" s="4" t="inlineStr">
        <is>
          <t>A28</t>
        </is>
      </c>
      <c r="D3391" s="4" t="n">
        <v>20</v>
      </c>
      <c r="E3391" s="4" t="n">
        <v>20</v>
      </c>
      <c r="F3391" s="4" t="inlineStr">
        <is>
          <t>GOC Bed Unit-Costing Model v2 — working original.xlsx</t>
        </is>
      </c>
    </row>
    <row r="3392" ht="40" customHeight="1">
      <c r="A3392" s="4" t="inlineStr">
        <is>
          <t>original:Open Items!B28</t>
        </is>
      </c>
      <c r="B3392" s="4" t="inlineStr">
        <is>
          <t>Open Items</t>
        </is>
      </c>
      <c r="C3392" s="4" t="inlineStr">
        <is>
          <t>B28</t>
        </is>
      </c>
      <c r="D3392" s="4" t="inlineStr">
        <is>
          <t>Bought-in Defy kit beds</t>
        </is>
      </c>
      <c r="E3392" s="4" t="inlineStr">
        <is>
          <t>Bought-in Defy kit beds</t>
        </is>
      </c>
      <c r="F3392" s="4" t="inlineStr">
        <is>
          <t>GOC Bed Unit-Costing Model v2 — working original.xlsx</t>
        </is>
      </c>
    </row>
    <row r="3393" ht="40" customHeight="1">
      <c r="A3393" s="4" t="inlineStr">
        <is>
          <t>original:Open Items!C28</t>
        </is>
      </c>
      <c r="B3393" s="4" t="inlineStr">
        <is>
          <t>Open Items</t>
        </is>
      </c>
      <c r="C3393" s="4" t="inlineStr">
        <is>
          <t>C28</t>
        </is>
      </c>
      <c r="D3393" s="4" t="inlineStr">
        <is>
          <t>Inputs F10:H10, F16:H16</t>
        </is>
      </c>
      <c r="E3393" s="4" t="inlineStr">
        <is>
          <t>Inputs F10:H10, F16:H16</t>
        </is>
      </c>
      <c r="F3393" s="4" t="inlineStr">
        <is>
          <t>GOC Bed Unit-Costing Model v2 — working original.xlsx</t>
        </is>
      </c>
    </row>
    <row r="3394" ht="195" customHeight="1">
      <c r="A3394" s="4" t="inlineStr">
        <is>
          <t>original:Open Items!D28</t>
        </is>
      </c>
      <c r="B3394" s="4" t="inlineStr">
        <is>
          <t>Open Items</t>
        </is>
      </c>
      <c r="C3394" s="4" t="inlineStr">
        <is>
          <t>D28</t>
        </is>
      </c>
      <c r="D3394" s="4" t="inlineStr">
        <is>
          <t>None modelled. On these settings the unit-costing model tapers kit beds to zero in Year 1, because in-house capacity already exceeds the 100-bed kit volume. But 03-cost-model describes Buy-Kit at $344.05/bed as what Goods does today, and the Q&amp;A uses the present tense for the Defy kit.</t>
        </is>
      </c>
      <c r="E3394" s="4" t="inlineStr">
        <is>
          <t>None modelled. On these settings the unit-costing model tapers kit beds to zero in Year 1, because in-house capacity already exceeds the 100-bed kit volume. But 03-cost-model describes Buy-Kit at $344.05/bed as what Goods does today, and the Q&amp;A uses the present tense for the Defy kit.</t>
        </is>
      </c>
      <c r="F3394" s="4" t="inlineStr">
        <is>
          <t>GOC Bed Unit-Costing Model v2 — working original.xlsx</t>
        </is>
      </c>
    </row>
    <row r="3395" ht="105" customHeight="1">
      <c r="A3395" s="4" t="inlineStr">
        <is>
          <t>original:Open Items!E28</t>
        </is>
      </c>
      <c r="B3395" s="4" t="inlineStr">
        <is>
          <t>Open Items</t>
        </is>
      </c>
      <c r="C3395" s="4" t="inlineStr">
        <is>
          <t>E28</t>
        </is>
      </c>
      <c r="D3395" s="4" t="inlineStr">
        <is>
          <t>Confirm no beds are bought in as finished Defy kits during Year 1. If some are, they need a third cost column on Inputs and their own volume row.</t>
        </is>
      </c>
      <c r="E3395" s="4" t="inlineStr">
        <is>
          <t>Confirm no beds are bought in as finished Defy kits during Year 1. If some are, they need a third cost column on Inputs and their own volume row.</t>
        </is>
      </c>
      <c r="F3395" s="4" t="inlineStr">
        <is>
          <t>GOC Bed Unit-Costing Model v2 — working original.xlsx</t>
        </is>
      </c>
    </row>
    <row r="3396" ht="40" customHeight="1">
      <c r="A3396" s="4" t="inlineStr">
        <is>
          <t>original:Open Items!F28</t>
        </is>
      </c>
      <c r="B3396" s="4" t="inlineStr">
        <is>
          <t>Open Items</t>
        </is>
      </c>
      <c r="C3396" s="4" t="inlineStr">
        <is>
          <t>F28</t>
        </is>
      </c>
      <c r="D3396" s="4" t="inlineStr">
        <is>
          <t>Nic + Ben</t>
        </is>
      </c>
      <c r="E3396" s="4" t="inlineStr">
        <is>
          <t>Nic + Ben</t>
        </is>
      </c>
      <c r="F3396" s="4" t="inlineStr">
        <is>
          <t>GOC Bed Unit-Costing Model v2 — working original.xlsx</t>
        </is>
      </c>
    </row>
    <row r="3397" ht="40" customHeight="1">
      <c r="A3397" s="4" t="inlineStr">
        <is>
          <t>original:Open Items!A29</t>
        </is>
      </c>
      <c r="B3397" s="4" t="inlineStr">
        <is>
          <t>Open Items</t>
        </is>
      </c>
      <c r="C3397" s="4" t="inlineStr">
        <is>
          <t>A29</t>
        </is>
      </c>
      <c r="D3397" s="4" t="n">
        <v>21</v>
      </c>
      <c r="E3397" s="4" t="n">
        <v>21</v>
      </c>
      <c r="F3397" s="4" t="inlineStr">
        <is>
          <t>GOC Bed Unit-Costing Model v2 — working original.xlsx</t>
        </is>
      </c>
    </row>
    <row r="3398" ht="40" customHeight="1">
      <c r="A3398" s="4" t="inlineStr">
        <is>
          <t>original:Open Items!B29</t>
        </is>
      </c>
      <c r="B3398" s="4" t="inlineStr">
        <is>
          <t>Open Items</t>
        </is>
      </c>
      <c r="C3398" s="4" t="inlineStr">
        <is>
          <t>B29</t>
        </is>
      </c>
      <c r="D3398" s="4" t="inlineStr">
        <is>
          <t>Selling price</t>
        </is>
      </c>
      <c r="E3398" s="4" t="inlineStr">
        <is>
          <t>Selling price</t>
        </is>
      </c>
      <c r="F3398" s="4" t="inlineStr">
        <is>
          <t>GOC Bed Unit-Costing Model v2 — working original.xlsx</t>
        </is>
      </c>
    </row>
    <row r="3399" ht="40" customHeight="1">
      <c r="A3399" s="4" t="inlineStr">
        <is>
          <t>original:Open Items!C29</t>
        </is>
      </c>
      <c r="B3399" s="4" t="inlineStr">
        <is>
          <t>Open Items</t>
        </is>
      </c>
      <c r="C3399" s="4" t="inlineStr">
        <is>
          <t>C29</t>
        </is>
      </c>
      <c r="D3399" s="4" t="inlineStr">
        <is>
          <t>Inputs F7:H7</t>
        </is>
      </c>
      <c r="E3399" s="4" t="inlineStr">
        <is>
          <t>Inputs F7:H7</t>
        </is>
      </c>
      <c r="F3399" s="4" t="inlineStr">
        <is>
          <t>GOC Bed Unit-Costing Model v2 — working original.xlsx</t>
        </is>
      </c>
    </row>
    <row r="3400" ht="40" customHeight="1">
      <c r="A3400" s="4" t="inlineStr">
        <is>
          <t>original:Open Items!D29</t>
        </is>
      </c>
      <c r="B3400" s="4" t="inlineStr">
        <is>
          <t>Open Items</t>
        </is>
      </c>
      <c r="C3400" s="4" t="inlineStr">
        <is>
          <t>D29</t>
        </is>
      </c>
      <c r="D3400" s="4" t="inlineStr">
        <is>
          <t>$750, verified shop price, held flat.</t>
        </is>
      </c>
      <c r="E3400" s="4" t="inlineStr">
        <is>
          <t>$750, verified shop price, held flat.</t>
        </is>
      </c>
      <c r="F3400" s="4" t="inlineStr">
        <is>
          <t>GOC Bed Unit-Costing Model v2 — working original.xlsx</t>
        </is>
      </c>
    </row>
    <row r="3401" ht="120" customHeight="1">
      <c r="A3401" s="4" t="inlineStr">
        <is>
          <t>original:Open Items!E29</t>
        </is>
      </c>
      <c r="B3401" s="4" t="inlineStr">
        <is>
          <t>Open Items</t>
        </is>
      </c>
      <c r="C3401" s="4" t="inlineStr">
        <is>
          <t>E29</t>
        </is>
      </c>
      <c r="D3401" s="4" t="inlineStr">
        <is>
          <t>Whether a different price applies to on-Country or community sales. The Community Economics sheet holds that open deliberately, calling it a conversation rather than a number.</t>
        </is>
      </c>
      <c r="E3401" s="4" t="inlineStr">
        <is>
          <t>Whether a different price applies to on-Country or community sales. The Community Economics sheet holds that open deliberately, calling it a conversation rather than a number.</t>
        </is>
      </c>
      <c r="F3401" s="4" t="inlineStr">
        <is>
          <t>GOC Bed Unit-Costing Model v2 — working original.xlsx</t>
        </is>
      </c>
    </row>
    <row r="3402" ht="40" customHeight="1">
      <c r="A3402" s="4" t="inlineStr">
        <is>
          <t>original:Open Items!F29</t>
        </is>
      </c>
      <c r="B3402" s="4" t="inlineStr">
        <is>
          <t>Open Items</t>
        </is>
      </c>
      <c r="C3402" s="4" t="inlineStr">
        <is>
          <t>F29</t>
        </is>
      </c>
      <c r="D3402" s="4" t="inlineStr">
        <is>
          <t>Nic</t>
        </is>
      </c>
      <c r="E3402" s="4" t="inlineStr">
        <is>
          <t>Nic</t>
        </is>
      </c>
      <c r="F3402" s="4" t="inlineStr">
        <is>
          <t>GOC Bed Unit-Costing Model v2 — working original.xlsx</t>
        </is>
      </c>
    </row>
    <row r="3403" ht="40" customHeight="1">
      <c r="A3403" s="4" t="inlineStr">
        <is>
          <t>original:Open Items!A30</t>
        </is>
      </c>
      <c r="B3403" s="4" t="inlineStr">
        <is>
          <t>Open Items</t>
        </is>
      </c>
      <c r="C3403" s="4" t="inlineStr">
        <is>
          <t>A30</t>
        </is>
      </c>
      <c r="D3403" s="4" t="n">
        <v>22</v>
      </c>
      <c r="E3403" s="4" t="n">
        <v>22</v>
      </c>
      <c r="F3403" s="4" t="inlineStr">
        <is>
          <t>GOC Bed Unit-Costing Model v2 — working original.xlsx</t>
        </is>
      </c>
    </row>
    <row r="3404" ht="40" customHeight="1">
      <c r="A3404" s="4" t="inlineStr">
        <is>
          <t>original:Open Items!B30</t>
        </is>
      </c>
      <c r="B3404" s="4" t="inlineStr">
        <is>
          <t>Open Items</t>
        </is>
      </c>
      <c r="C3404" s="4" t="inlineStr">
        <is>
          <t>B30</t>
        </is>
      </c>
      <c r="D3404" s="4" t="inlineStr">
        <is>
          <t>Year 1 financial year</t>
        </is>
      </c>
      <c r="E3404" s="4" t="inlineStr">
        <is>
          <t>Year 1 financial year</t>
        </is>
      </c>
      <c r="F3404" s="4" t="inlineStr">
        <is>
          <t>GOC Bed Unit-Costing Model v2 — working original.xlsx</t>
        </is>
      </c>
    </row>
    <row r="3405" ht="40" customHeight="1">
      <c r="A3405" s="4" t="inlineStr">
        <is>
          <t>original:Open Items!C30</t>
        </is>
      </c>
      <c r="B3405" s="4" t="inlineStr">
        <is>
          <t>Open Items</t>
        </is>
      </c>
      <c r="C3405" s="4" t="inlineStr">
        <is>
          <t>C30</t>
        </is>
      </c>
      <c r="D3405" s="4" t="inlineStr">
        <is>
          <t>Inputs B50</t>
        </is>
      </c>
      <c r="E3405" s="4" t="inlineStr">
        <is>
          <t>Inputs B50</t>
        </is>
      </c>
      <c r="F3405" s="4" t="inlineStr">
        <is>
          <t>GOC Bed Unit-Costing Model v2 — working original.xlsx</t>
        </is>
      </c>
    </row>
    <row r="3406" ht="40" customHeight="1">
      <c r="A3406" s="4" t="inlineStr">
        <is>
          <t>original:Open Items!D30</t>
        </is>
      </c>
      <c r="B3406" s="4" t="inlineStr">
        <is>
          <t>Open Items</t>
        </is>
      </c>
      <c r="C3406" s="4" t="inlineStr">
        <is>
          <t>D30</t>
        </is>
      </c>
      <c r="D3406" s="4" t="inlineStr">
        <is>
          <t>FY2026-27.</t>
        </is>
      </c>
      <c r="E3406" s="4" t="inlineStr">
        <is>
          <t>FY2026-27.</t>
        </is>
      </c>
      <c r="F3406" s="4" t="inlineStr">
        <is>
          <t>GOC Bed Unit-Costing Model v2 — working original.xlsx</t>
        </is>
      </c>
    </row>
    <row r="3407" ht="60" customHeight="1">
      <c r="A3407" s="4" t="inlineStr">
        <is>
          <t>original:Open Items!E30</t>
        </is>
      </c>
      <c r="B3407" s="4" t="inlineStr">
        <is>
          <t>Open Items</t>
        </is>
      </c>
      <c r="C3407" s="4" t="inlineStr">
        <is>
          <t>E30</t>
        </is>
      </c>
      <c r="D3407" s="4" t="inlineStr">
        <is>
          <t>Confirm Year 1 is FY2026-27 and that three years is the right horizon rather than five.</t>
        </is>
      </c>
      <c r="E3407" s="4" t="inlineStr">
        <is>
          <t>Confirm Year 1 is FY2026-27 and that three years is the right horizon rather than five.</t>
        </is>
      </c>
      <c r="F3407" s="4" t="inlineStr">
        <is>
          <t>GOC Bed Unit-Costing Model v2 — working original.xlsx</t>
        </is>
      </c>
    </row>
    <row r="3408" ht="40" customHeight="1">
      <c r="A3408" s="4" t="inlineStr">
        <is>
          <t>original:Open Items!F30</t>
        </is>
      </c>
      <c r="B3408" s="4" t="inlineStr">
        <is>
          <t>Open Items</t>
        </is>
      </c>
      <c r="C3408" s="4" t="inlineStr">
        <is>
          <t>F30</t>
        </is>
      </c>
      <c r="D3408" s="4" t="inlineStr">
        <is>
          <t>Matt</t>
        </is>
      </c>
      <c r="E3408" s="4" t="inlineStr">
        <is>
          <t>Matt</t>
        </is>
      </c>
      <c r="F3408" s="4" t="inlineStr">
        <is>
          <t>GOC Bed Unit-Costing Model v2 — working original.xlsx</t>
        </is>
      </c>
    </row>
    <row r="3409" ht="45" customHeight="1">
      <c r="A3409" s="4" t="inlineStr">
        <is>
          <t>original:Open Items!A31</t>
        </is>
      </c>
      <c r="B3409" s="4" t="inlineStr">
        <is>
          <t>Open Items</t>
        </is>
      </c>
      <c r="C3409" s="4" t="inlineStr">
        <is>
          <t>A31</t>
        </is>
      </c>
      <c r="D3409" s="4" t="inlineStr">
        <is>
          <t>E.  ACCOUNTING POLICY — defaults set in this model, to be confirmed</t>
        </is>
      </c>
      <c r="E3409" s="4" t="inlineStr">
        <is>
          <t>E.  ACCOUNTING POLICY — defaults set in this model, to be confirmed</t>
        </is>
      </c>
      <c r="F3409" s="4" t="inlineStr">
        <is>
          <t>GOC Bed Unit-Costing Model v2 — working original.xlsx</t>
        </is>
      </c>
    </row>
    <row r="3410" ht="40" customHeight="1">
      <c r="A3410" s="4" t="inlineStr">
        <is>
          <t>original:Open Items!A32</t>
        </is>
      </c>
      <c r="B3410" s="4" t="inlineStr">
        <is>
          <t>Open Items</t>
        </is>
      </c>
      <c r="C3410" s="4" t="inlineStr">
        <is>
          <t>A32</t>
        </is>
      </c>
      <c r="D3410" s="4" t="n">
        <v>23</v>
      </c>
      <c r="E3410" s="4" t="n">
        <v>23</v>
      </c>
      <c r="F3410" s="4" t="inlineStr">
        <is>
          <t>GOC Bed Unit-Costing Model v2 — working original.xlsx</t>
        </is>
      </c>
    </row>
    <row r="3411" ht="40" customHeight="1">
      <c r="A3411" s="4" t="inlineStr">
        <is>
          <t>original:Open Items!B32</t>
        </is>
      </c>
      <c r="B3411" s="4" t="inlineStr">
        <is>
          <t>Open Items</t>
        </is>
      </c>
      <c r="C3411" s="4" t="inlineStr">
        <is>
          <t>B32</t>
        </is>
      </c>
      <c r="D3411" s="4" t="inlineStr">
        <is>
          <t>Depreciation life</t>
        </is>
      </c>
      <c r="E3411" s="4" t="inlineStr">
        <is>
          <t>Depreciation life</t>
        </is>
      </c>
      <c r="F3411" s="4" t="inlineStr">
        <is>
          <t>GOC Bed Unit-Costing Model v2 — working original.xlsx</t>
        </is>
      </c>
    </row>
    <row r="3412" ht="40" customHeight="1">
      <c r="A3412" s="4" t="inlineStr">
        <is>
          <t>original:Open Items!C32</t>
        </is>
      </c>
      <c r="B3412" s="4" t="inlineStr">
        <is>
          <t>Open Items</t>
        </is>
      </c>
      <c r="C3412" s="4" t="inlineStr">
        <is>
          <t>C32</t>
        </is>
      </c>
      <c r="D3412" s="4" t="inlineStr">
        <is>
          <t>Inputs B51</t>
        </is>
      </c>
      <c r="E3412" s="4" t="inlineStr">
        <is>
          <t>Inputs B51</t>
        </is>
      </c>
      <c r="F3412" s="4" t="inlineStr">
        <is>
          <t>GOC Bed Unit-Costing Model v2 — working original.xlsx</t>
        </is>
      </c>
    </row>
    <row r="3413" ht="40" customHeight="1">
      <c r="A3413" s="4" t="inlineStr">
        <is>
          <t>original:Open Items!D32</t>
        </is>
      </c>
      <c r="B3413" s="4" t="inlineStr">
        <is>
          <t>Open Items</t>
        </is>
      </c>
      <c r="C3413" s="4" t="inlineStr">
        <is>
          <t>D32</t>
        </is>
      </c>
      <c r="D3413" s="4" t="inlineStr">
        <is>
          <t>10 years straight line.</t>
        </is>
      </c>
      <c r="E3413" s="4" t="inlineStr">
        <is>
          <t>10 years straight line.</t>
        </is>
      </c>
      <c r="F3413" s="4" t="inlineStr">
        <is>
          <t>GOC Bed Unit-Costing Model v2 — working original.xlsx</t>
        </is>
      </c>
    </row>
    <row r="3414" ht="75" customHeight="1">
      <c r="A3414" s="4" t="inlineStr">
        <is>
          <t>original:Open Items!E32</t>
        </is>
      </c>
      <c r="B3414" s="4" t="inlineStr">
        <is>
          <t>Open Items</t>
        </is>
      </c>
      <c r="C3414" s="4" t="inlineStr">
        <is>
          <t>E32</t>
        </is>
      </c>
      <c r="D3414" s="4" t="inlineStr">
        <is>
          <t>A policy decision. No source exists. Consider ATO effective life for the container and each machine class.</t>
        </is>
      </c>
      <c r="E3414" s="4" t="inlineStr">
        <is>
          <t>A policy decision. No source exists. Consider ATO effective life for the container and each machine class.</t>
        </is>
      </c>
      <c r="F3414" s="4" t="inlineStr">
        <is>
          <t>GOC Bed Unit-Costing Model v2 — working original.xlsx</t>
        </is>
      </c>
    </row>
    <row r="3415" ht="40" customHeight="1">
      <c r="A3415" s="4" t="inlineStr">
        <is>
          <t>original:Open Items!F32</t>
        </is>
      </c>
      <c r="B3415" s="4" t="inlineStr">
        <is>
          <t>Open Items</t>
        </is>
      </c>
      <c r="C3415" s="4" t="inlineStr">
        <is>
          <t>F32</t>
        </is>
      </c>
      <c r="D3415" s="4" t="inlineStr">
        <is>
          <t>Accountant</t>
        </is>
      </c>
      <c r="E3415" s="4" t="inlineStr">
        <is>
          <t>Accountant</t>
        </is>
      </c>
      <c r="F3415" s="4" t="inlineStr">
        <is>
          <t>GOC Bed Unit-Costing Model v2 — working original.xlsx</t>
        </is>
      </c>
    </row>
    <row r="3416" ht="40" customHeight="1">
      <c r="A3416" s="4" t="inlineStr">
        <is>
          <t>original:Open Items!A33</t>
        </is>
      </c>
      <c r="B3416" s="4" t="inlineStr">
        <is>
          <t>Open Items</t>
        </is>
      </c>
      <c r="C3416" s="4" t="inlineStr">
        <is>
          <t>A33</t>
        </is>
      </c>
      <c r="D3416" s="4" t="n">
        <v>24</v>
      </c>
      <c r="E3416" s="4" t="n">
        <v>24</v>
      </c>
      <c r="F3416" s="4" t="inlineStr">
        <is>
          <t>GOC Bed Unit-Costing Model v2 — working original.xlsx</t>
        </is>
      </c>
    </row>
    <row r="3417" ht="40" customHeight="1">
      <c r="A3417" s="4" t="inlineStr">
        <is>
          <t>original:Open Items!B33</t>
        </is>
      </c>
      <c r="B3417" s="4" t="inlineStr">
        <is>
          <t>Open Items</t>
        </is>
      </c>
      <c r="C3417" s="4" t="inlineStr">
        <is>
          <t>B33</t>
        </is>
      </c>
      <c r="D3417" s="4" t="inlineStr">
        <is>
          <t>Company tax rate</t>
        </is>
      </c>
      <c r="E3417" s="4" t="inlineStr">
        <is>
          <t>Company tax rate</t>
        </is>
      </c>
      <c r="F3417" s="4" t="inlineStr">
        <is>
          <t>GOC Bed Unit-Costing Model v2 — working original.xlsx</t>
        </is>
      </c>
    </row>
    <row r="3418" ht="40" customHeight="1">
      <c r="A3418" s="4" t="inlineStr">
        <is>
          <t>original:Open Items!C33</t>
        </is>
      </c>
      <c r="B3418" s="4" t="inlineStr">
        <is>
          <t>Open Items</t>
        </is>
      </c>
      <c r="C3418" s="4" t="inlineStr">
        <is>
          <t>C33</t>
        </is>
      </c>
      <c r="D3418" s="4" t="inlineStr">
        <is>
          <t>Inputs B52</t>
        </is>
      </c>
      <c r="E3418" s="4" t="inlineStr">
        <is>
          <t>Inputs B52</t>
        </is>
      </c>
      <c r="F3418" s="4" t="inlineStr">
        <is>
          <t>GOC Bed Unit-Costing Model v2 — working original.xlsx</t>
        </is>
      </c>
    </row>
    <row r="3419" ht="40" customHeight="1">
      <c r="A3419" s="4" t="inlineStr">
        <is>
          <t>original:Open Items!D33</t>
        </is>
      </c>
      <c r="B3419" s="4" t="inlineStr">
        <is>
          <t>Open Items</t>
        </is>
      </c>
      <c r="C3419" s="4" t="inlineStr">
        <is>
          <t>D33</t>
        </is>
      </c>
      <c r="D3419" s="4" t="inlineStr">
        <is>
          <t>25%.</t>
        </is>
      </c>
      <c r="E3419" s="4" t="inlineStr">
        <is>
          <t>25%.</t>
        </is>
      </c>
      <c r="F3419" s="4" t="inlineStr">
        <is>
          <t>GOC Bed Unit-Costing Model v2 — working original.xlsx</t>
        </is>
      </c>
    </row>
    <row r="3420" ht="165" customHeight="1">
      <c r="A3420" s="4" t="inlineStr">
        <is>
          <t>original:Open Items!E33</t>
        </is>
      </c>
      <c r="B3420" s="4" t="inlineStr">
        <is>
          <t>Open Items</t>
        </is>
      </c>
      <c r="C3420" s="4" t="inlineStr">
        <is>
          <t>E33</t>
        </is>
      </c>
      <c r="D3420" s="4" t="inlineStr">
        <is>
          <t>Which entity the model represents. A Curious Tractor Pty Ltd is the go-forward trading company; the DGR home is The Butterfly Movement. Confirm whether to model the Pty Ltd standalone or consolidated, and whether tax applies at all.</t>
        </is>
      </c>
      <c r="E3420" s="4" t="inlineStr">
        <is>
          <t>Which entity the model represents. A Curious Tractor Pty Ltd is the go-forward trading company; the DGR home is The Butterfly Movement. Confirm whether to model the Pty Ltd standalone or consolidated, and whether tax applies at all.</t>
        </is>
      </c>
      <c r="F3420" s="4" t="inlineStr">
        <is>
          <t>GOC Bed Unit-Costing Model v2 — working original.xlsx</t>
        </is>
      </c>
    </row>
    <row r="3421" ht="40" customHeight="1">
      <c r="A3421" s="4" t="inlineStr">
        <is>
          <t>original:Open Items!F33</t>
        </is>
      </c>
      <c r="B3421" s="4" t="inlineStr">
        <is>
          <t>Open Items</t>
        </is>
      </c>
      <c r="C3421" s="4" t="inlineStr">
        <is>
          <t>F33</t>
        </is>
      </c>
      <c r="D3421" s="4" t="inlineStr">
        <is>
          <t>Accountant</t>
        </is>
      </c>
      <c r="E3421" s="4" t="inlineStr">
        <is>
          <t>Accountant</t>
        </is>
      </c>
      <c r="F3421" s="4" t="inlineStr">
        <is>
          <t>GOC Bed Unit-Costing Model v2 — working original.xlsx</t>
        </is>
      </c>
    </row>
    <row r="3422" ht="40" customHeight="1">
      <c r="A3422" s="4" t="inlineStr">
        <is>
          <t>original:Open Items!A34</t>
        </is>
      </c>
      <c r="B3422" s="4" t="inlineStr">
        <is>
          <t>Open Items</t>
        </is>
      </c>
      <c r="C3422" s="4" t="inlineStr">
        <is>
          <t>A34</t>
        </is>
      </c>
      <c r="D3422" s="4" t="n">
        <v>25</v>
      </c>
      <c r="E3422" s="4" t="n">
        <v>25</v>
      </c>
      <c r="F3422" s="4" t="inlineStr">
        <is>
          <t>GOC Bed Unit-Costing Model v2 — working original.xlsx</t>
        </is>
      </c>
    </row>
    <row r="3423" ht="40" customHeight="1">
      <c r="A3423" s="4" t="inlineStr">
        <is>
          <t>original:Open Items!B34</t>
        </is>
      </c>
      <c r="B3423" s="4" t="inlineStr">
        <is>
          <t>Open Items</t>
        </is>
      </c>
      <c r="C3423" s="4" t="inlineStr">
        <is>
          <t>B34</t>
        </is>
      </c>
      <c r="D3423" s="4" t="inlineStr">
        <is>
          <t>Debtor days</t>
        </is>
      </c>
      <c r="E3423" s="4" t="inlineStr">
        <is>
          <t>Debtor days</t>
        </is>
      </c>
      <c r="F3423" s="4" t="inlineStr">
        <is>
          <t>GOC Bed Unit-Costing Model v2 — working original.xlsx</t>
        </is>
      </c>
    </row>
    <row r="3424" ht="40" customHeight="1">
      <c r="A3424" s="4" t="inlineStr">
        <is>
          <t>original:Open Items!C34</t>
        </is>
      </c>
      <c r="B3424" s="4" t="inlineStr">
        <is>
          <t>Open Items</t>
        </is>
      </c>
      <c r="C3424" s="4" t="inlineStr">
        <is>
          <t>C34</t>
        </is>
      </c>
      <c r="D3424" s="4" t="inlineStr">
        <is>
          <t>Inputs B53</t>
        </is>
      </c>
      <c r="E3424" s="4" t="inlineStr">
        <is>
          <t>Inputs B53</t>
        </is>
      </c>
      <c r="F3424" s="4" t="inlineStr">
        <is>
          <t>GOC Bed Unit-Costing Model v2 — working original.xlsx</t>
        </is>
      </c>
    </row>
    <row r="3425" ht="40" customHeight="1">
      <c r="A3425" s="4" t="inlineStr">
        <is>
          <t>original:Open Items!D34</t>
        </is>
      </c>
      <c r="B3425" s="4" t="inlineStr">
        <is>
          <t>Open Items</t>
        </is>
      </c>
      <c r="C3425" s="4" t="inlineStr">
        <is>
          <t>D34</t>
        </is>
      </c>
      <c r="D3425" s="4" t="inlineStr">
        <is>
          <t>45 days on bed sales.</t>
        </is>
      </c>
      <c r="E3425" s="4" t="inlineStr">
        <is>
          <t>45 days on bed sales.</t>
        </is>
      </c>
      <c r="F3425" s="4" t="inlineStr">
        <is>
          <t>GOC Bed Unit-Costing Model v2 — working original.xlsx</t>
        </is>
      </c>
    </row>
    <row r="3426" ht="60" customHeight="1">
      <c r="A3426" s="4" t="inlineStr">
        <is>
          <t>original:Open Items!E34</t>
        </is>
      </c>
      <c r="B3426" s="4" t="inlineStr">
        <is>
          <t>Open Items</t>
        </is>
      </c>
      <c r="C3426" s="4" t="inlineStr">
        <is>
          <t>E34</t>
        </is>
      </c>
      <c r="D3426" s="4" t="inlineStr">
        <is>
          <t>A working assumption. Actual payment behaviour by buyer type would sharpen it.</t>
        </is>
      </c>
      <c r="E3426" s="4" t="inlineStr">
        <is>
          <t>A working assumption. Actual payment behaviour by buyer type would sharpen it.</t>
        </is>
      </c>
      <c r="F3426" s="4" t="inlineStr">
        <is>
          <t>GOC Bed Unit-Costing Model v2 — working original.xlsx</t>
        </is>
      </c>
    </row>
    <row r="3427" ht="40" customHeight="1">
      <c r="A3427" s="4" t="inlineStr">
        <is>
          <t>original:Open Items!F34</t>
        </is>
      </c>
      <c r="B3427" s="4" t="inlineStr">
        <is>
          <t>Open Items</t>
        </is>
      </c>
      <c r="C3427" s="4" t="inlineStr">
        <is>
          <t>F34</t>
        </is>
      </c>
      <c r="D3427" s="4" t="inlineStr">
        <is>
          <t>Bookkeeper</t>
        </is>
      </c>
      <c r="E3427" s="4" t="inlineStr">
        <is>
          <t>Bookkeeper</t>
        </is>
      </c>
      <c r="F3427" s="4" t="inlineStr">
        <is>
          <t>GOC Bed Unit-Costing Model v2 — working original.xlsx</t>
        </is>
      </c>
    </row>
    <row r="3428" ht="40" customHeight="1">
      <c r="A3428" s="4" t="inlineStr">
        <is>
          <t>original:Open Items!A35</t>
        </is>
      </c>
      <c r="B3428" s="4" t="inlineStr">
        <is>
          <t>Open Items</t>
        </is>
      </c>
      <c r="C3428" s="4" t="inlineStr">
        <is>
          <t>A35</t>
        </is>
      </c>
      <c r="D3428" s="4" t="n">
        <v>26</v>
      </c>
      <c r="E3428" s="4" t="n">
        <v>26</v>
      </c>
      <c r="F3428" s="4" t="inlineStr">
        <is>
          <t>GOC Bed Unit-Costing Model v2 — working original.xlsx</t>
        </is>
      </c>
    </row>
    <row r="3429" ht="40" customHeight="1">
      <c r="A3429" s="4" t="inlineStr">
        <is>
          <t>original:Open Items!B35</t>
        </is>
      </c>
      <c r="B3429" s="4" t="inlineStr">
        <is>
          <t>Open Items</t>
        </is>
      </c>
      <c r="C3429" s="4" t="inlineStr">
        <is>
          <t>B35</t>
        </is>
      </c>
      <c r="D3429" s="4" t="inlineStr">
        <is>
          <t>Grant income recognition</t>
        </is>
      </c>
      <c r="E3429" s="4" t="inlineStr">
        <is>
          <t>Grant income recognition</t>
        </is>
      </c>
      <c r="F3429" s="4" t="inlineStr">
        <is>
          <t>GOC Bed Unit-Costing Model v2 — working original.xlsx</t>
        </is>
      </c>
    </row>
    <row r="3430" ht="40" customHeight="1">
      <c r="A3430" s="4" t="inlineStr">
        <is>
          <t>original:Open Items!C35</t>
        </is>
      </c>
      <c r="B3430" s="4" t="inlineStr">
        <is>
          <t>Open Items</t>
        </is>
      </c>
      <c r="C3430" s="4" t="inlineStr">
        <is>
          <t>C35</t>
        </is>
      </c>
      <c r="D3430" s="4" t="inlineStr">
        <is>
          <t>Inputs B54</t>
        </is>
      </c>
      <c r="E3430" s="4" t="inlineStr">
        <is>
          <t>Inputs B54</t>
        </is>
      </c>
      <c r="F3430" s="4" t="inlineStr">
        <is>
          <t>GOC Bed Unit-Costing Model v2 — working original.xlsx</t>
        </is>
      </c>
    </row>
    <row r="3431" ht="105" customHeight="1">
      <c r="A3431" s="4" t="inlineStr">
        <is>
          <t>original:Open Items!D35</t>
        </is>
      </c>
      <c r="B3431" s="4" t="inlineStr">
        <is>
          <t>Open Items</t>
        </is>
      </c>
      <c r="C3431" s="4" t="inlineStr">
        <is>
          <t>D35</t>
        </is>
      </c>
      <c r="D3431" s="4" t="inlineStr">
        <is>
          <t>Recognised when received. No deferred income liability is modelled, on the basis that a tied grant and the beds it funds fall in the same year here.</t>
        </is>
      </c>
      <c r="E3431" s="4" t="inlineStr">
        <is>
          <t>Recognised when received. No deferred income liability is modelled, on the basis that a tied grant and the beds it funds fall in the same year here.</t>
        </is>
      </c>
      <c r="F3431" s="4" t="inlineStr">
        <is>
          <t>GOC Bed Unit-Costing Model v2 — working original.xlsx</t>
        </is>
      </c>
    </row>
    <row r="3432" ht="90" customHeight="1">
      <c r="A3432" s="4" t="inlineStr">
        <is>
          <t>original:Open Items!E35</t>
        </is>
      </c>
      <c r="B3432" s="4" t="inlineStr">
        <is>
          <t>Open Items</t>
        </is>
      </c>
      <c r="C3432" s="4" t="inlineStr">
        <is>
          <t>E35</t>
        </is>
      </c>
      <c r="D3432" s="4" t="inlineStr">
        <is>
          <t>Confirm with the accountant, particularly for any multi-year tied grant whose delivery obligation runs past the year the money arrives.</t>
        </is>
      </c>
      <c r="E3432" s="4" t="inlineStr">
        <is>
          <t>Confirm with the accountant, particularly for any multi-year tied grant whose delivery obligation runs past the year the money arrives.</t>
        </is>
      </c>
      <c r="F3432" s="4" t="inlineStr">
        <is>
          <t>GOC Bed Unit-Costing Model v2 — working original.xlsx</t>
        </is>
      </c>
    </row>
    <row r="3433" ht="40" customHeight="1">
      <c r="A3433" s="4" t="inlineStr">
        <is>
          <t>original:Open Items!F35</t>
        </is>
      </c>
      <c r="B3433" s="4" t="inlineStr">
        <is>
          <t>Open Items</t>
        </is>
      </c>
      <c r="C3433" s="4" t="inlineStr">
        <is>
          <t>F35</t>
        </is>
      </c>
      <c r="D3433" s="4" t="inlineStr">
        <is>
          <t>Accountant</t>
        </is>
      </c>
      <c r="E3433" s="4" t="inlineStr">
        <is>
          <t>Accountant</t>
        </is>
      </c>
      <c r="F3433" s="4" t="inlineStr">
        <is>
          <t>GOC Bed Unit-Costing Model v2 — working original.xlsx</t>
        </is>
      </c>
    </row>
    <row r="3434" ht="40" customHeight="1">
      <c r="A3434" s="4" t="inlineStr">
        <is>
          <t>original:Open Items!A36</t>
        </is>
      </c>
      <c r="B3434" s="4" t="inlineStr">
        <is>
          <t>Open Items</t>
        </is>
      </c>
      <c r="C3434" s="4" t="inlineStr">
        <is>
          <t>A36</t>
        </is>
      </c>
      <c r="D3434" s="4" t="inlineStr">
        <is>
          <t>F.  ACCESS</t>
        </is>
      </c>
      <c r="E3434" s="4" t="inlineStr">
        <is>
          <t>F.  ACCESS</t>
        </is>
      </c>
      <c r="F3434" s="4" t="inlineStr">
        <is>
          <t>GOC Bed Unit-Costing Model v2 — working original.xlsx</t>
        </is>
      </c>
    </row>
    <row r="3435" ht="40" customHeight="1">
      <c r="A3435" s="4" t="inlineStr">
        <is>
          <t>original:Open Items!A37</t>
        </is>
      </c>
      <c r="B3435" s="4" t="inlineStr">
        <is>
          <t>Open Items</t>
        </is>
      </c>
      <c r="C3435" s="4" t="inlineStr">
        <is>
          <t>A37</t>
        </is>
      </c>
      <c r="D3435" s="4" t="n">
        <v>27</v>
      </c>
      <c r="E3435" s="4" t="n">
        <v>27</v>
      </c>
      <c r="F3435" s="4" t="inlineStr">
        <is>
          <t>GOC Bed Unit-Costing Model v2 — working original.xlsx</t>
        </is>
      </c>
    </row>
    <row r="3436" ht="40" customHeight="1">
      <c r="A3436" s="4" t="inlineStr">
        <is>
          <t>original:Open Items!B37</t>
        </is>
      </c>
      <c r="B3436" s="4" t="inlineStr">
        <is>
          <t>Open Items</t>
        </is>
      </c>
      <c r="C3436" s="4" t="inlineStr">
        <is>
          <t>B37</t>
        </is>
      </c>
      <c r="D3436" s="4" t="inlineStr">
        <is>
          <t>Notion source pages</t>
        </is>
      </c>
      <c r="E3436" s="4" t="inlineStr">
        <is>
          <t>Notion source pages</t>
        </is>
      </c>
      <c r="F3436" s="4" t="inlineStr">
        <is>
          <t>GOC Bed Unit-Costing Model v2 — working original.xlsx</t>
        </is>
      </c>
    </row>
    <row r="3437" ht="40" customHeight="1">
      <c r="A3437" s="4" t="inlineStr">
        <is>
          <t>original:Open Items!C37</t>
        </is>
      </c>
      <c r="B3437" s="4" t="inlineStr">
        <is>
          <t>Open Items</t>
        </is>
      </c>
      <c r="C3437" s="4" t="inlineStr">
        <is>
          <t>C37</t>
        </is>
      </c>
      <c r="D3437" s="4" t="inlineStr">
        <is>
          <t>n/a</t>
        </is>
      </c>
      <c r="E3437" s="4" t="inlineStr">
        <is>
          <t>n/a</t>
        </is>
      </c>
      <c r="F3437" s="4" t="inlineStr">
        <is>
          <t>GOC Bed Unit-Costing Model v2 — working original.xlsx</t>
        </is>
      </c>
    </row>
    <row r="3438" ht="195" customHeight="1">
      <c r="A3438" s="4" t="inlineStr">
        <is>
          <t>original:Open Items!D37</t>
        </is>
      </c>
      <c r="B3438" s="4" t="inlineStr">
        <is>
          <t>Open Items</t>
        </is>
      </c>
      <c r="C3438" s="4" t="inlineStr">
        <is>
          <t>D37</t>
        </is>
      </c>
      <c r="D3438" s="4" t="inlineStr">
        <is>
          <t>Not read. The two Notion pages attached to this project (TBC Goods Models, and The 22 open questions) could not be opened from the session this model was built in. Known Other Costs cites settled answers Q13, Q15, Q16 and Q20 that are not in the Q&amp;A PDF and most likely live there.</t>
        </is>
      </c>
      <c r="E3438" s="4" t="inlineStr">
        <is>
          <t>Not read. The two Notion pages attached to this project (TBC Goods Models, and The 22 open questions) could not be opened from the session this model was built in. Known Other Costs cites settled answers Q13, Q15, Q16 and Q20 that are not in the Q&amp;A PDF and most likely live there.</t>
        </is>
      </c>
      <c r="F3438" s="4" t="inlineStr">
        <is>
          <t>GOC Bed Unit-Costing Model v2 — working original.xlsx</t>
        </is>
      </c>
    </row>
    <row r="3439" ht="75" customHeight="1">
      <c r="A3439" s="4" t="inlineStr">
        <is>
          <t>original:Open Items!E37</t>
        </is>
      </c>
      <c r="B3439" s="4" t="inlineStr">
        <is>
          <t>Open Items</t>
        </is>
      </c>
      <c r="C3439" s="4" t="inlineStr">
        <is>
          <t>E37</t>
        </is>
      </c>
      <c r="D3439" s="4" t="inlineStr">
        <is>
          <t>Export or share those pages, so anything already settled can be pulled into the model rather than asked again.</t>
        </is>
      </c>
      <c r="E3439" s="4" t="inlineStr">
        <is>
          <t>Export or share those pages, so anything already settled can be pulled into the model rather than asked again.</t>
        </is>
      </c>
      <c r="F3439" s="4" t="inlineStr">
        <is>
          <t>GOC Bed Unit-Costing Model v2 — working original.xlsx</t>
        </is>
      </c>
    </row>
    <row r="3440" ht="40" customHeight="1">
      <c r="A3440" s="4" t="inlineStr">
        <is>
          <t>original:Open Items!F37</t>
        </is>
      </c>
      <c r="B3440" s="4" t="inlineStr">
        <is>
          <t>Open Items</t>
        </is>
      </c>
      <c r="C3440" s="4" t="inlineStr">
        <is>
          <t>F37</t>
        </is>
      </c>
      <c r="D3440" s="4" t="inlineStr">
        <is>
          <t>Matt</t>
        </is>
      </c>
      <c r="E3440" s="4" t="inlineStr">
        <is>
          <t>Matt</t>
        </is>
      </c>
      <c r="F3440" s="4" t="inlineStr">
        <is>
          <t>GOC Bed Unit-Costing Model v2 — working original.xlsx</t>
        </is>
      </c>
    </row>
    <row r="3441" ht="40" customHeight="1">
      <c r="A3441" s="4" t="inlineStr">
        <is>
          <t>original:Overview!A1</t>
        </is>
      </c>
      <c r="B3441" s="4" t="inlineStr">
        <is>
          <t>Overview</t>
        </is>
      </c>
      <c r="C3441" s="4" t="inlineStr">
        <is>
          <t>A1</t>
        </is>
      </c>
      <c r="D3441" s="4" t="inlineStr">
        <is>
          <t>Goods production and funding</t>
        </is>
      </c>
      <c r="E3441" s="4" t="inlineStr">
        <is>
          <t>Goods production and funding</t>
        </is>
      </c>
      <c r="F3441" s="4" t="inlineStr">
        <is>
          <t>GOC Bed Unit-Costing Model v2 — working original.xlsx</t>
        </is>
      </c>
    </row>
    <row r="3442" ht="60" customHeight="1">
      <c r="A3442" s="4" t="inlineStr">
        <is>
          <t>original:Overview!A3</t>
        </is>
      </c>
      <c r="B3442" s="4" t="inlineStr">
        <is>
          <t>Overview</t>
        </is>
      </c>
      <c r="C3442" s="4" t="inlineStr">
        <is>
          <t>A3</t>
        </is>
      </c>
      <c r="D3442" s="4" t="inlineStr">
        <is>
          <t>Working twelve-month phase model. AUD ex GST. Two new facilities plus Witta.</t>
        </is>
      </c>
      <c r="E3442" s="4" t="inlineStr">
        <is>
          <t>Working twelve-month phase model. AUD ex GST. Two new facilities plus Witta.</t>
        </is>
      </c>
      <c r="F3442" s="4" t="inlineStr">
        <is>
          <t>GOC Bed Unit-Costing Model v2 — working original.xlsx</t>
        </is>
      </c>
    </row>
    <row r="3443" ht="40" customHeight="1">
      <c r="A3443" s="4" t="inlineStr">
        <is>
          <t>original:Overview!A5</t>
        </is>
      </c>
      <c r="B3443" s="4" t="inlineStr">
        <is>
          <t>Overview</t>
        </is>
      </c>
      <c r="C3443" s="4" t="inlineStr">
        <is>
          <t>A5</t>
        </is>
      </c>
      <c r="D3443" s="4" t="inlineStr">
        <is>
          <t>QBE scenario request</t>
        </is>
      </c>
      <c r="E3443" s="4" t="inlineStr">
        <is>
          <t>QBE scenario request</t>
        </is>
      </c>
      <c r="F3443" s="4" t="inlineStr">
        <is>
          <t>GOC Bed Unit-Costing Model v2 — working original.xlsx</t>
        </is>
      </c>
    </row>
    <row r="3444" ht="40" customHeight="1">
      <c r="A3444" s="4" t="inlineStr">
        <is>
          <t>original:Overview!B5</t>
        </is>
      </c>
      <c r="B3444" s="4" t="inlineStr">
        <is>
          <t>Overview</t>
        </is>
      </c>
      <c r="C3444" s="4" t="inlineStr">
        <is>
          <t>B5</t>
        </is>
      </c>
      <c r="D3444" s="4" t="n">
        <v>250000</v>
      </c>
      <c r="E3444" s="4" t="n">
        <v>250000</v>
      </c>
      <c r="F3444" s="4" t="inlineStr">
        <is>
          <t>GOC Bed Unit-Costing Model v2 — working original.xlsx</t>
        </is>
      </c>
    </row>
    <row r="3445" ht="45" customHeight="1">
      <c r="A3445" s="4" t="inlineStr">
        <is>
          <t>original:Overview!D5</t>
        </is>
      </c>
      <c r="B3445" s="4" t="inlineStr">
        <is>
          <t>Overview</t>
        </is>
      </c>
      <c r="C3445" s="4" t="inlineStr">
        <is>
          <t>D5</t>
        </is>
      </c>
      <c r="D3445" s="4" t="inlineStr">
        <is>
          <t>Change the request here: 0, 100,000, 250,000 or 400,000.</t>
        </is>
      </c>
      <c r="E3445" s="4" t="inlineStr">
        <is>
          <t>Change the request here: 0, 100,000, 250,000 or 400,000.</t>
        </is>
      </c>
      <c r="F3445" s="4" t="inlineStr">
        <is>
          <t>GOC Bed Unit-Costing Model v2 — working original.xlsx</t>
        </is>
      </c>
    </row>
    <row r="3446" ht="40" customHeight="1">
      <c r="A3446" s="4" t="inlineStr">
        <is>
          <t>original:Overview!A6</t>
        </is>
      </c>
      <c r="B3446" s="4" t="inlineStr">
        <is>
          <t>Overview</t>
        </is>
      </c>
      <c r="C3446" s="4" t="inlineStr">
        <is>
          <t>A6</t>
        </is>
      </c>
      <c r="D3446" s="4" t="inlineStr">
        <is>
          <t>First planning month</t>
        </is>
      </c>
      <c r="E3446" s="4" t="inlineStr">
        <is>
          <t>First planning month</t>
        </is>
      </c>
      <c r="F3446" s="4" t="inlineStr">
        <is>
          <t>GOC Bed Unit-Costing Model v2 — working original.xlsx</t>
        </is>
      </c>
    </row>
    <row r="3447" ht="40" customHeight="1">
      <c r="A3447" s="4" t="inlineStr">
        <is>
          <t>original:Overview!B6</t>
        </is>
      </c>
      <c r="B3447" s="4" t="inlineStr">
        <is>
          <t>Overview</t>
        </is>
      </c>
      <c r="C3447" s="4" t="inlineStr">
        <is>
          <t>B6</t>
        </is>
      </c>
      <c r="D3447" s="4" t="inlineStr">
        <is>
          <t>2026-12-01T00:00:00</t>
        </is>
      </c>
      <c r="E3447" s="4" t="inlineStr">
        <is>
          <t>2026-12-01T00:00:00</t>
        </is>
      </c>
      <c r="F3447" s="4" t="inlineStr">
        <is>
          <t>GOC Bed Unit-Costing Model v2 — working original.xlsx</t>
        </is>
      </c>
    </row>
    <row r="3448" ht="45" customHeight="1">
      <c r="A3448" s="4" t="inlineStr">
        <is>
          <t>original:Overview!D6</t>
        </is>
      </c>
      <c r="B3448" s="4" t="inlineStr">
        <is>
          <t>Overview</t>
        </is>
      </c>
      <c r="C3448" s="4" t="inlineStr">
        <is>
          <t>D6</t>
        </is>
      </c>
      <c r="D3448" s="4" t="inlineStr">
        <is>
          <t>Planning date only. Funding and commissioning dates must be agreed.</t>
        </is>
      </c>
      <c r="E3448" s="4" t="inlineStr">
        <is>
          <t>Planning date only. Funding and commissioning dates must be agreed.</t>
        </is>
      </c>
      <c r="F3448" s="4" t="inlineStr">
        <is>
          <t>GOC Bed Unit-Costing Model v2 — working original.xlsx</t>
        </is>
      </c>
    </row>
    <row r="3449" ht="40" customHeight="1">
      <c r="A3449" s="4" t="inlineStr">
        <is>
          <t>original:Overview!A7</t>
        </is>
      </c>
      <c r="B3449" s="4" t="inlineStr">
        <is>
          <t>Overview</t>
        </is>
      </c>
      <c r="C3449" s="4" t="inlineStr">
        <is>
          <t>A7</t>
        </is>
      </c>
      <c r="D3449" s="4" t="inlineStr">
        <is>
          <t>Opening phase cash assumption</t>
        </is>
      </c>
      <c r="E3449" s="4" t="inlineStr">
        <is>
          <t>Opening phase cash assumption</t>
        </is>
      </c>
      <c r="F3449" s="4" t="inlineStr">
        <is>
          <t>GOC Bed Unit-Costing Model v2 — working original.xlsx</t>
        </is>
      </c>
    </row>
    <row r="3450" ht="40" customHeight="1">
      <c r="A3450" s="4" t="inlineStr">
        <is>
          <t>original:Overview!B7</t>
        </is>
      </c>
      <c r="B3450" s="4" t="inlineStr">
        <is>
          <t>Overview</t>
        </is>
      </c>
      <c r="C3450" s="4" t="inlineStr">
        <is>
          <t>B7</t>
        </is>
      </c>
      <c r="D3450" s="4" t="n">
        <v>0</v>
      </c>
      <c r="E3450" s="4" t="n">
        <v>0</v>
      </c>
      <c r="F3450" s="4" t="inlineStr">
        <is>
          <t>GOC Bed Unit-Costing Model v2 — working original.xlsx</t>
        </is>
      </c>
    </row>
    <row r="3451" ht="60" customHeight="1">
      <c r="A3451" s="4" t="inlineStr">
        <is>
          <t>original:Overview!D7</t>
        </is>
      </c>
      <c r="B3451" s="4" t="inlineStr">
        <is>
          <t>Overview</t>
        </is>
      </c>
      <c r="C3451" s="4" t="inlineStr">
        <is>
          <t>D7</t>
        </is>
      </c>
      <c r="D3451" s="4" t="inlineStr">
        <is>
          <t>Zero is the incremental scenario assumption, not the organisation’s bank balance.</t>
        </is>
      </c>
      <c r="E3451" s="4" t="inlineStr">
        <is>
          <t>Zero is the incremental scenario assumption, not the organisation’s bank balance.</t>
        </is>
      </c>
      <c r="F3451" s="4" t="inlineStr">
        <is>
          <t>GOC Bed Unit-Costing Model v2 — working original.xlsx</t>
        </is>
      </c>
    </row>
    <row r="3452" ht="40" customHeight="1">
      <c r="A3452" s="4" t="inlineStr">
        <is>
          <t>original:Overview!A8</t>
        </is>
      </c>
      <c r="B3452" s="4" t="inlineStr">
        <is>
          <t>Overview</t>
        </is>
      </c>
      <c r="C3452" s="4" t="inlineStr">
        <is>
          <t>A8</t>
        </is>
      </c>
      <c r="D3452" s="4" t="inlineStr">
        <is>
          <t>Buyer sale price / bed</t>
        </is>
      </c>
      <c r="E3452" s="4" t="inlineStr">
        <is>
          <t>Buyer sale price / bed</t>
        </is>
      </c>
      <c r="F3452" s="4" t="inlineStr">
        <is>
          <t>GOC Bed Unit-Costing Model v2 — working original.xlsx</t>
        </is>
      </c>
    </row>
    <row r="3453" ht="40" customHeight="1">
      <c r="A3453" s="4" t="inlineStr">
        <is>
          <t>original:Overview!B8</t>
        </is>
      </c>
      <c r="B3453" s="4" t="inlineStr">
        <is>
          <t>Overview</t>
        </is>
      </c>
      <c r="C3453" s="4" t="inlineStr">
        <is>
          <t>B8</t>
        </is>
      </c>
      <c r="D3453" s="4" t="n">
        <v>750</v>
      </c>
      <c r="E3453" s="4" t="n">
        <v>750</v>
      </c>
      <c r="F3453" s="4" t="inlineStr">
        <is>
          <t>GOC Bed Unit-Costing Model v2 — working original.xlsx</t>
        </is>
      </c>
    </row>
    <row r="3454" ht="60" customHeight="1">
      <c r="A3454" s="4" t="inlineStr">
        <is>
          <t>original:Overview!D8</t>
        </is>
      </c>
      <c r="B3454" s="4" t="inlineStr">
        <is>
          <t>Overview</t>
        </is>
      </c>
      <c r="C3454" s="4" t="inlineStr">
        <is>
          <t>D8</t>
        </is>
      </c>
      <c r="D3454" s="4" t="inlineStr">
        <is>
          <t>Source workbook price convention; confirm buyer contract and tax basis.</t>
        </is>
      </c>
      <c r="E3454" s="4" t="inlineStr">
        <is>
          <t>Source workbook price convention; confirm buyer contract and tax basis.</t>
        </is>
      </c>
      <c r="F3454" s="4" t="inlineStr">
        <is>
          <t>GOC Bed Unit-Costing Model v2 — working original.xlsx</t>
        </is>
      </c>
    </row>
    <row r="3455" ht="40" customHeight="1">
      <c r="A3455" s="4" t="inlineStr">
        <is>
          <t>original:Overview!A9</t>
        </is>
      </c>
      <c r="B3455" s="4" t="inlineStr">
        <is>
          <t>Overview</t>
        </is>
      </c>
      <c r="C3455" s="4" t="inlineStr">
        <is>
          <t>A9</t>
        </is>
      </c>
      <c r="D3455" s="4" t="inlineStr">
        <is>
          <t>Buyer collection lag / months</t>
        </is>
      </c>
      <c r="E3455" s="4" t="inlineStr">
        <is>
          <t>Buyer collection lag / months</t>
        </is>
      </c>
      <c r="F3455" s="4" t="inlineStr">
        <is>
          <t>GOC Bed Unit-Costing Model v2 — working original.xlsx</t>
        </is>
      </c>
    </row>
    <row r="3456" ht="40" customHeight="1">
      <c r="A3456" s="4" t="inlineStr">
        <is>
          <t>original:Overview!B9</t>
        </is>
      </c>
      <c r="B3456" s="4" t="inlineStr">
        <is>
          <t>Overview</t>
        </is>
      </c>
      <c r="C3456" s="4" t="inlineStr">
        <is>
          <t>B9</t>
        </is>
      </c>
      <c r="D3456" s="4" t="n">
        <v>1</v>
      </c>
      <c r="E3456" s="4" t="n">
        <v>1</v>
      </c>
      <c r="F3456" s="4" t="inlineStr">
        <is>
          <t>GOC Bed Unit-Costing Model v2 — working original.xlsx</t>
        </is>
      </c>
    </row>
    <row r="3457" ht="45" customHeight="1">
      <c r="A3457" s="4" t="inlineStr">
        <is>
          <t>original:Overview!D9</t>
        </is>
      </c>
      <c r="B3457" s="4" t="inlineStr">
        <is>
          <t>Overview</t>
        </is>
      </c>
      <c r="C3457" s="4" t="inlineStr">
        <is>
          <t>D9</t>
        </is>
      </c>
      <c r="D3457" s="4" t="inlineStr">
        <is>
          <t>Buyer cash follows delivery/invoicing. No deposit is assumed.</t>
        </is>
      </c>
      <c r="E3457" s="4" t="inlineStr">
        <is>
          <t>Buyer cash follows delivery/invoicing. No deposit is assumed.</t>
        </is>
      </c>
      <c r="F3457" s="4" t="inlineStr">
        <is>
          <t>GOC Bed Unit-Costing Model v2 — working original.xlsx</t>
        </is>
      </c>
    </row>
    <row r="3458" ht="40" customHeight="1">
      <c r="A3458" s="4" t="inlineStr">
        <is>
          <t>original:Overview!A10</t>
        </is>
      </c>
      <c r="B3458" s="4" t="inlineStr">
        <is>
          <t>Overview</t>
        </is>
      </c>
      <c r="C3458" s="4" t="inlineStr">
        <is>
          <t>A10</t>
        </is>
      </c>
      <c r="D3458" s="4" t="inlineStr">
        <is>
          <t>BMD full-funding condition met? 1 / 0</t>
        </is>
      </c>
      <c r="E3458" s="4" t="inlineStr">
        <is>
          <t>BMD full-funding condition met? 1 / 0</t>
        </is>
      </c>
      <c r="F3458" s="4" t="inlineStr">
        <is>
          <t>GOC Bed Unit-Costing Model v2 — working original.xlsx</t>
        </is>
      </c>
    </row>
    <row r="3459" ht="40" customHeight="1">
      <c r="A3459" s="4" t="inlineStr">
        <is>
          <t>original:Overview!B10</t>
        </is>
      </c>
      <c r="B3459" s="4" t="inlineStr">
        <is>
          <t>Overview</t>
        </is>
      </c>
      <c r="C3459" s="4" t="inlineStr">
        <is>
          <t>B10</t>
        </is>
      </c>
      <c r="D3459" s="4" t="n">
        <v>0</v>
      </c>
      <c r="E3459" s="4" t="n">
        <v>0</v>
      </c>
      <c r="F3459" s="4" t="inlineStr">
        <is>
          <t>GOC Bed Unit-Costing Model v2 — working original.xlsx</t>
        </is>
      </c>
    </row>
    <row r="3460" ht="60" customHeight="1">
      <c r="A3460" s="4" t="inlineStr">
        <is>
          <t>original:Overview!D10</t>
        </is>
      </c>
      <c r="B3460" s="4" t="inlineStr">
        <is>
          <t>Overview</t>
        </is>
      </c>
      <c r="C3460" s="4" t="inlineStr">
        <is>
          <t>D10</t>
        </is>
      </c>
      <c r="D3460" s="4" t="inlineStr">
        <is>
          <t>0 withholds BMD cash. 1 illustrates its condition being satisfied; not an award.</t>
        </is>
      </c>
      <c r="E3460" s="4" t="inlineStr">
        <is>
          <t>0 withholds BMD cash. 1 illustrates its condition being satisfied; not an award.</t>
        </is>
      </c>
      <c r="F3460" s="4" t="inlineStr">
        <is>
          <t>GOC Bed Unit-Costing Model v2 — working original.xlsx</t>
        </is>
      </c>
    </row>
    <row r="3461" ht="40" customHeight="1">
      <c r="A3461" s="4" t="inlineStr">
        <is>
          <t>original:Overview!A15</t>
        </is>
      </c>
      <c r="B3461" s="4" t="inlineStr">
        <is>
          <t>Overview</t>
        </is>
      </c>
      <c r="C3461" s="4" t="inlineStr">
        <is>
          <t>A15</t>
        </is>
      </c>
      <c r="D3461" s="4" t="inlineStr">
        <is>
          <t>Priced phase cost subtotal</t>
        </is>
      </c>
      <c r="E3461" s="4" t="inlineStr">
        <is>
          <t>Priced phase cost subtotal</t>
        </is>
      </c>
      <c r="F3461" s="4" t="inlineStr">
        <is>
          <t>GOC Bed Unit-Costing Model v2 — working original.xlsx</t>
        </is>
      </c>
    </row>
    <row r="3462" ht="40" customHeight="1">
      <c r="A3462" s="4" t="inlineStr">
        <is>
          <t>original:Overview!B15</t>
        </is>
      </c>
      <c r="B3462" s="4" t="inlineStr">
        <is>
          <t>Overview</t>
        </is>
      </c>
      <c r="C3462" s="4" t="inlineStr">
        <is>
          <t>B15</t>
        </is>
      </c>
      <c r="D3462" s="4" t="inlineStr">
        <is>
          <t>=SUM('Cost plan'!H6:H30)</t>
        </is>
      </c>
      <c r="E3462" s="4" t="n">
        <v>527583.5</v>
      </c>
      <c r="F3462" s="4" t="inlineStr">
        <is>
          <t>GOC Bed Unit-Costing Model v2 — working original.xlsx</t>
        </is>
      </c>
    </row>
    <row r="3463" ht="60" customHeight="1">
      <c r="A3463" s="4" t="inlineStr">
        <is>
          <t>original:Overview!D15</t>
        </is>
      </c>
      <c r="B3463" s="4" t="inlineStr">
        <is>
          <t>Overview</t>
        </is>
      </c>
      <c r="C3463" s="4" t="inlineStr">
        <is>
          <t>D15</t>
        </is>
      </c>
      <c r="D3463" s="4" t="inlineStr">
        <is>
          <t>Daily workflow: change Cost plan, Production and Funding; return here to compare requests.</t>
        </is>
      </c>
      <c r="E3463" s="4" t="inlineStr">
        <is>
          <t>Daily workflow: change Cost plan, Production and Funding; return here to compare requests.</t>
        </is>
      </c>
      <c r="F3463" s="4" t="inlineStr">
        <is>
          <t>GOC Bed Unit-Costing Model v2 — working original.xlsx</t>
        </is>
      </c>
    </row>
    <row r="3464" ht="40" customHeight="1">
      <c r="A3464" s="4" t="inlineStr">
        <is>
          <t>original:Overview!A16</t>
        </is>
      </c>
      <c r="B3464" s="4" t="inlineStr">
        <is>
          <t>Overview</t>
        </is>
      </c>
      <c r="C3464" s="4" t="inlineStr">
        <is>
          <t>A16</t>
        </is>
      </c>
      <c r="D3464" s="4" t="inlineStr">
        <is>
          <t>Unpriced cost lines</t>
        </is>
      </c>
      <c r="E3464" s="4" t="inlineStr">
        <is>
          <t>Unpriced cost lines</t>
        </is>
      </c>
      <c r="F3464" s="4" t="inlineStr">
        <is>
          <t>GOC Bed Unit-Costing Model v2 — working original.xlsx</t>
        </is>
      </c>
    </row>
    <row r="3465" ht="40" customHeight="1">
      <c r="A3465" s="4" t="inlineStr">
        <is>
          <t>original:Overview!B16</t>
        </is>
      </c>
      <c r="B3465" s="4" t="inlineStr">
        <is>
          <t>Overview</t>
        </is>
      </c>
      <c r="C3465" s="4" t="inlineStr">
        <is>
          <t>B16</t>
        </is>
      </c>
      <c r="D3465" s="4" t="inlineStr">
        <is>
          <t>=COUNTBLANK('Cost plan'!H6:H30)</t>
        </is>
      </c>
      <c r="E3465" s="4" t="n">
        <v>12</v>
      </c>
      <c r="F3465" s="4" t="inlineStr">
        <is>
          <t>GOC Bed Unit-Costing Model v2 — working original.xlsx</t>
        </is>
      </c>
    </row>
    <row r="3466" ht="40" customHeight="1">
      <c r="A3466" s="4" t="inlineStr">
        <is>
          <t>original:Overview!A17</t>
        </is>
      </c>
      <c r="B3466" s="4" t="inlineStr">
        <is>
          <t>Overview</t>
        </is>
      </c>
      <c r="C3466" s="4" t="inlineStr">
        <is>
          <t>A17</t>
        </is>
      </c>
      <c r="D3466" s="4" t="inlineStr">
        <is>
          <t>Full phase cost</t>
        </is>
      </c>
      <c r="E3466" s="4" t="inlineStr">
        <is>
          <t>Full phase cost</t>
        </is>
      </c>
      <c r="F3466" s="4" t="inlineStr">
        <is>
          <t>GOC Bed Unit-Costing Model v2 — working original.xlsx</t>
        </is>
      </c>
    </row>
    <row r="3467" ht="40" customHeight="1">
      <c r="A3467" s="4" t="inlineStr">
        <is>
          <t>original:Overview!B17</t>
        </is>
      </c>
      <c r="B3467" s="4" t="inlineStr">
        <is>
          <t>Overview</t>
        </is>
      </c>
      <c r="C3467" s="4" t="inlineStr">
        <is>
          <t>B17</t>
        </is>
      </c>
      <c r="D3467" s="4" t="inlineStr">
        <is>
          <t>=IF(B16&gt;0,"Not fully costed",B15)</t>
        </is>
      </c>
      <c r="E3467" s="4" t="inlineStr">
        <is>
          <t>Not fully costed</t>
        </is>
      </c>
      <c r="F3467" s="4" t="inlineStr">
        <is>
          <t>GOC Bed Unit-Costing Model v2 — working original.xlsx</t>
        </is>
      </c>
    </row>
    <row r="3468" ht="75" customHeight="1">
      <c r="A3468" s="4" t="inlineStr">
        <is>
          <t>original:Overview!D17</t>
        </is>
      </c>
      <c r="B3468" s="4" t="inlineStr">
        <is>
          <t>Overview</t>
        </is>
      </c>
      <c r="C3468" s="4" t="inlineStr">
        <is>
          <t>D17</t>
        </is>
      </c>
      <c r="D3468" s="4" t="inlineStr">
        <is>
          <t>Missing site, supervision, governance and support prices prevent a final request recommendation.</t>
        </is>
      </c>
      <c r="E3468" s="4" t="inlineStr">
        <is>
          <t>Missing site, supervision, governance and support prices prevent a final request recommendation.</t>
        </is>
      </c>
      <c r="F3468" s="4" t="inlineStr">
        <is>
          <t>GOC Bed Unit-Costing Model v2 — working original.xlsx</t>
        </is>
      </c>
    </row>
    <row r="3469" ht="40" customHeight="1">
      <c r="A3469" s="4" t="inlineStr">
        <is>
          <t>original:Overview!A18</t>
        </is>
      </c>
      <c r="B3469" s="4" t="inlineStr">
        <is>
          <t>Overview</t>
        </is>
      </c>
      <c r="C3469" s="4" t="inlineStr">
        <is>
          <t>A18</t>
        </is>
      </c>
      <c r="D3469" s="4" t="inlineStr">
        <is>
          <t>Planned units made</t>
        </is>
      </c>
      <c r="E3469" s="4" t="inlineStr">
        <is>
          <t>Planned units made</t>
        </is>
      </c>
      <c r="F3469" s="4" t="inlineStr">
        <is>
          <t>GOC Bed Unit-Costing Model v2 — working original.xlsx</t>
        </is>
      </c>
    </row>
    <row r="3470" ht="40" customHeight="1">
      <c r="A3470" s="4" t="inlineStr">
        <is>
          <t>original:Overview!B18</t>
        </is>
      </c>
      <c r="B3470" s="4" t="inlineStr">
        <is>
          <t>Overview</t>
        </is>
      </c>
      <c r="C3470" s="4" t="inlineStr">
        <is>
          <t>B18</t>
        </is>
      </c>
      <c r="D3470" s="4" t="inlineStr">
        <is>
          <t>=SUM(Production!F6:F41)</t>
        </is>
      </c>
      <c r="E3470" s="4" t="n">
        <v>400</v>
      </c>
      <c r="F3470" s="4" t="inlineStr">
        <is>
          <t>GOC Bed Unit-Costing Model v2 — working original.xlsx</t>
        </is>
      </c>
    </row>
    <row r="3471" ht="40" customHeight="1">
      <c r="A3471" s="4" t="inlineStr">
        <is>
          <t>original:Overview!A19</t>
        </is>
      </c>
      <c r="B3471" s="4" t="inlineStr">
        <is>
          <t>Overview</t>
        </is>
      </c>
      <c r="C3471" s="4" t="inlineStr">
        <is>
          <t>A19</t>
        </is>
      </c>
      <c r="D3471" s="4" t="inlineStr">
        <is>
          <t>Planned grant deliveries</t>
        </is>
      </c>
      <c r="E3471" s="4" t="inlineStr">
        <is>
          <t>Planned grant deliveries</t>
        </is>
      </c>
      <c r="F3471" s="4" t="inlineStr">
        <is>
          <t>GOC Bed Unit-Costing Model v2 — working original.xlsx</t>
        </is>
      </c>
    </row>
    <row r="3472" ht="40" customHeight="1">
      <c r="A3472" s="4" t="inlineStr">
        <is>
          <t>original:Overview!B19</t>
        </is>
      </c>
      <c r="B3472" s="4" t="inlineStr">
        <is>
          <t>Overview</t>
        </is>
      </c>
      <c r="C3472" s="4" t="inlineStr">
        <is>
          <t>B19</t>
        </is>
      </c>
      <c r="D3472" s="4" t="inlineStr">
        <is>
          <t>=SUM(Production!G6:G41)</t>
        </is>
      </c>
      <c r="E3472" s="4" t="n">
        <v>400</v>
      </c>
      <c r="F3472" s="4" t="inlineStr">
        <is>
          <t>GOC Bed Unit-Costing Model v2 — working original.xlsx</t>
        </is>
      </c>
    </row>
    <row r="3473" ht="75" customHeight="1">
      <c r="A3473" s="4" t="inlineStr">
        <is>
          <t>original:Overview!D19</t>
        </is>
      </c>
      <c r="B3473" s="4" t="inlineStr">
        <is>
          <t>Overview</t>
        </is>
      </c>
      <c r="C3473" s="4" t="inlineStr">
        <is>
          <t>D19</t>
        </is>
      </c>
      <c r="D3473" s="4" t="inlineStr">
        <is>
          <t>The first 50 measured beds are within this pool. Planned deliveries are not authorised community allocations.</t>
        </is>
      </c>
      <c r="E3473" s="4" t="inlineStr">
        <is>
          <t>The first 50 measured beds are within this pool. Planned deliveries are not authorised community allocations.</t>
        </is>
      </c>
      <c r="F3473" s="4" t="inlineStr">
        <is>
          <t>GOC Bed Unit-Costing Model v2 — working original.xlsx</t>
        </is>
      </c>
    </row>
    <row r="3474" ht="40" customHeight="1">
      <c r="A3474" s="4" t="inlineStr">
        <is>
          <t>original:Overview!A20</t>
        </is>
      </c>
      <c r="B3474" s="4" t="inlineStr">
        <is>
          <t>Overview</t>
        </is>
      </c>
      <c r="C3474" s="4" t="inlineStr">
        <is>
          <t>A20</t>
        </is>
      </c>
      <c r="D3474" s="4" t="inlineStr">
        <is>
          <t>Planned buyer deliveries</t>
        </is>
      </c>
      <c r="E3474" s="4" t="inlineStr">
        <is>
          <t>Planned buyer deliveries</t>
        </is>
      </c>
      <c r="F3474" s="4" t="inlineStr">
        <is>
          <t>GOC Bed Unit-Costing Model v2 — working original.xlsx</t>
        </is>
      </c>
    </row>
    <row r="3475" ht="40" customHeight="1">
      <c r="A3475" s="4" t="inlineStr">
        <is>
          <t>original:Overview!B20</t>
        </is>
      </c>
      <c r="B3475" s="4" t="inlineStr">
        <is>
          <t>Overview</t>
        </is>
      </c>
      <c r="C3475" s="4" t="inlineStr">
        <is>
          <t>B20</t>
        </is>
      </c>
      <c r="D3475" s="4" t="inlineStr">
        <is>
          <t>=SUM(Production!H6:H41)</t>
        </is>
      </c>
      <c r="E3475" s="4" t="n">
        <v>0</v>
      </c>
      <c r="F3475" s="4" t="inlineStr">
        <is>
          <t>GOC Bed Unit-Costing Model v2 — working original.xlsx</t>
        </is>
      </c>
    </row>
    <row r="3476" ht="40" customHeight="1">
      <c r="A3476" s="4" t="inlineStr">
        <is>
          <t>original:Overview!A21</t>
        </is>
      </c>
      <c r="B3476" s="4" t="inlineStr">
        <is>
          <t>Overview</t>
        </is>
      </c>
      <c r="C3476" s="4" t="inlineStr">
        <is>
          <t>A21</t>
        </is>
      </c>
      <c r="D3476" s="4" t="inlineStr">
        <is>
          <t>Minimum scenario cash on priced costs</t>
        </is>
      </c>
      <c r="E3476" s="4" t="inlineStr">
        <is>
          <t>Minimum scenario cash on priced costs</t>
        </is>
      </c>
      <c r="F3476" s="4" t="inlineStr">
        <is>
          <t>GOC Bed Unit-Costing Model v2 — working original.xlsx</t>
        </is>
      </c>
    </row>
    <row r="3477" ht="40" customHeight="1">
      <c r="A3477" s="4" t="inlineStr">
        <is>
          <t>original:Overview!B21</t>
        </is>
      </c>
      <c r="B3477" s="4" t="inlineStr">
        <is>
          <t>Overview</t>
        </is>
      </c>
      <c r="C3477" s="4" t="inlineStr">
        <is>
          <t>B21</t>
        </is>
      </c>
      <c r="D3477" s="4" t="inlineStr">
        <is>
          <t>=MIN('Cash flow'!N6:N17)</t>
        </is>
      </c>
      <c r="E3477" s="4" t="n">
        <v>-177583.5</v>
      </c>
      <c r="F3477" s="4" t="inlineStr">
        <is>
          <t>GOC Bed Unit-Costing Model v2 — working original.xlsx</t>
        </is>
      </c>
    </row>
    <row r="3478" ht="60" customHeight="1">
      <c r="A3478" s="4" t="inlineStr">
        <is>
          <t>original:Overview!D21</t>
        </is>
      </c>
      <c r="B3478" s="4" t="inlineStr">
        <is>
          <t>Overview</t>
        </is>
      </c>
      <c r="C3478" s="4" t="inlineStr">
        <is>
          <t>D21</t>
        </is>
      </c>
      <c r="D3478" s="4" t="inlineStr">
        <is>
          <t>Cash excludes unknown costs and GST. A deficit needs a timing, scope or funding decision.</t>
        </is>
      </c>
      <c r="E3478" s="4" t="inlineStr">
        <is>
          <t>Cash excludes unknown costs and GST. A deficit needs a timing, scope or funding decision.</t>
        </is>
      </c>
      <c r="F3478" s="4" t="inlineStr">
        <is>
          <t>GOC Bed Unit-Costing Model v2 — working original.xlsx</t>
        </is>
      </c>
    </row>
    <row r="3479" ht="40" customHeight="1">
      <c r="A3479" s="4" t="inlineStr">
        <is>
          <t>original:Overview!A22</t>
        </is>
      </c>
      <c r="B3479" s="4" t="inlineStr">
        <is>
          <t>Overview</t>
        </is>
      </c>
      <c r="C3479" s="4" t="inlineStr">
        <is>
          <t>A22</t>
        </is>
      </c>
      <c r="D3479" s="4" t="inlineStr">
        <is>
          <t>Confirmed usable funding entered</t>
        </is>
      </c>
      <c r="E3479" s="4" t="inlineStr">
        <is>
          <t>Confirmed usable funding entered</t>
        </is>
      </c>
      <c r="F3479" s="4" t="inlineStr">
        <is>
          <t>GOC Bed Unit-Costing Model v2 — working original.xlsx</t>
        </is>
      </c>
    </row>
    <row r="3480" ht="40" customHeight="1">
      <c r="A3480" s="4" t="inlineStr">
        <is>
          <t>original:Overview!B22</t>
        </is>
      </c>
      <c r="B3480" s="4" t="inlineStr">
        <is>
          <t>Overview</t>
        </is>
      </c>
      <c r="C3480" s="4" t="inlineStr">
        <is>
          <t>B22</t>
        </is>
      </c>
      <c r="D3480" s="4" t="inlineStr">
        <is>
          <t>=SUM(Funding!H6:H9)</t>
        </is>
      </c>
      <c r="E3480" s="4" t="n">
        <v>0</v>
      </c>
      <c r="F3480" s="4" t="inlineStr">
        <is>
          <t>GOC Bed Unit-Costing Model v2 — working original.xlsx</t>
        </is>
      </c>
    </row>
    <row r="3481" ht="40" customHeight="1">
      <c r="A3481" s="4" t="inlineStr">
        <is>
          <t>original:Overview!A26</t>
        </is>
      </c>
      <c r="B3481" s="4" t="inlineStr">
        <is>
          <t>Overview</t>
        </is>
      </c>
      <c r="C3481" s="4" t="inlineStr">
        <is>
          <t>A26</t>
        </is>
      </c>
      <c r="D3481" s="4" t="inlineStr">
        <is>
          <t>QBE case</t>
        </is>
      </c>
      <c r="E3481" s="4" t="inlineStr">
        <is>
          <t>QBE case</t>
        </is>
      </c>
      <c r="F3481" s="4" t="inlineStr">
        <is>
          <t>GOC Bed Unit-Costing Model v2 — working original.xlsx</t>
        </is>
      </c>
    </row>
    <row r="3482" ht="40" customHeight="1">
      <c r="A3482" s="4" t="inlineStr">
        <is>
          <t>original:Overview!B26</t>
        </is>
      </c>
      <c r="B3482" s="4" t="inlineStr">
        <is>
          <t>Overview</t>
        </is>
      </c>
      <c r="C3482" s="4" t="inlineStr">
        <is>
          <t>B26</t>
        </is>
      </c>
      <c r="D3482" s="4" t="inlineStr">
        <is>
          <t>Invitations + selected prospects</t>
        </is>
      </c>
      <c r="E3482" s="4" t="inlineStr">
        <is>
          <t>Invitations + selected prospects</t>
        </is>
      </c>
      <c r="F3482" s="4" t="inlineStr">
        <is>
          <t>GOC Bed Unit-Costing Model v2 — working original.xlsx</t>
        </is>
      </c>
    </row>
    <row r="3483" ht="40" customHeight="1">
      <c r="A3483" s="4" t="inlineStr">
        <is>
          <t>original:Overview!C26</t>
        </is>
      </c>
      <c r="B3483" s="4" t="inlineStr">
        <is>
          <t>Overview</t>
        </is>
      </c>
      <c r="C3483" s="4" t="inlineStr">
        <is>
          <t>C26</t>
        </is>
      </c>
      <c r="D3483" s="4" t="inlineStr">
        <is>
          <t>Funds if all pay</t>
        </is>
      </c>
      <c r="E3483" s="4" t="inlineStr">
        <is>
          <t>Funds if all pay</t>
        </is>
      </c>
      <c r="F3483" s="4" t="inlineStr">
        <is>
          <t>GOC Bed Unit-Costing Model v2 — working original.xlsx</t>
        </is>
      </c>
    </row>
    <row r="3484" ht="40" customHeight="1">
      <c r="A3484" s="4" t="inlineStr">
        <is>
          <t>original:Overview!D26</t>
        </is>
      </c>
      <c r="B3484" s="4" t="inlineStr">
        <is>
          <t>Overview</t>
        </is>
      </c>
      <c r="C3484" s="4" t="inlineStr">
        <is>
          <t>D26</t>
        </is>
      </c>
      <c r="D3484" s="4" t="inlineStr">
        <is>
          <t>Priced cost subtotal</t>
        </is>
      </c>
      <c r="E3484" s="4" t="inlineStr">
        <is>
          <t>Priced cost subtotal</t>
        </is>
      </c>
      <c r="F3484" s="4" t="inlineStr">
        <is>
          <t>GOC Bed Unit-Costing Model v2 — working original.xlsx</t>
        </is>
      </c>
    </row>
    <row r="3485" ht="40" customHeight="1">
      <c r="A3485" s="4" t="inlineStr">
        <is>
          <t>original:Overview!E26</t>
        </is>
      </c>
      <c r="B3485" s="4" t="inlineStr">
        <is>
          <t>Overview</t>
        </is>
      </c>
      <c r="C3485" s="4" t="inlineStr">
        <is>
          <t>E26</t>
        </is>
      </c>
      <c r="D3485" s="4" t="inlineStr">
        <is>
          <t>Gap on priced costs</t>
        </is>
      </c>
      <c r="E3485" s="4" t="inlineStr">
        <is>
          <t>Gap on priced costs</t>
        </is>
      </c>
      <c r="F3485" s="4" t="inlineStr">
        <is>
          <t>GOC Bed Unit-Costing Model v2 — working original.xlsx</t>
        </is>
      </c>
    </row>
    <row r="3486" ht="40" customHeight="1">
      <c r="A3486" s="4" t="inlineStr">
        <is>
          <t>original:Overview!F26</t>
        </is>
      </c>
      <c r="B3486" s="4" t="inlineStr">
        <is>
          <t>Overview</t>
        </is>
      </c>
      <c r="C3486" s="4" t="inlineStr">
        <is>
          <t>F26</t>
        </is>
      </c>
      <c r="D3486" s="4" t="inlineStr">
        <is>
          <t>Unpriced lines</t>
        </is>
      </c>
      <c r="E3486" s="4" t="inlineStr">
        <is>
          <t>Unpriced lines</t>
        </is>
      </c>
      <c r="F3486" s="4" t="inlineStr">
        <is>
          <t>GOC Bed Unit-Costing Model v2 — working original.xlsx</t>
        </is>
      </c>
    </row>
    <row r="3487" ht="40" customHeight="1">
      <c r="A3487" s="4" t="inlineStr">
        <is>
          <t>original:Overview!G26</t>
        </is>
      </c>
      <c r="B3487" s="4" t="inlineStr">
        <is>
          <t>Overview</t>
        </is>
      </c>
      <c r="C3487" s="4" t="inlineStr">
        <is>
          <t>G26</t>
        </is>
      </c>
      <c r="D3487" s="4" t="inlineStr">
        <is>
          <t>Proposed capital</t>
        </is>
      </c>
      <c r="E3487" s="4" t="inlineStr">
        <is>
          <t>Proposed capital</t>
        </is>
      </c>
      <c r="F3487" s="4" t="inlineStr">
        <is>
          <t>GOC Bed Unit-Costing Model v2 — working original.xlsx</t>
        </is>
      </c>
    </row>
    <row r="3488" ht="40" customHeight="1">
      <c r="A3488" s="4" t="inlineStr">
        <is>
          <t>original:Overview!H26</t>
        </is>
      </c>
      <c r="B3488" s="4" t="inlineStr">
        <is>
          <t>Overview</t>
        </is>
      </c>
      <c r="C3488" s="4" t="inlineStr">
        <is>
          <t>H26</t>
        </is>
      </c>
      <c r="D3488" s="4" t="inlineStr">
        <is>
          <t>Planned beds</t>
        </is>
      </c>
      <c r="E3488" s="4" t="inlineStr">
        <is>
          <t>Planned beds</t>
        </is>
      </c>
      <c r="F3488" s="4" t="inlineStr">
        <is>
          <t>GOC Bed Unit-Costing Model v2 — working original.xlsx</t>
        </is>
      </c>
    </row>
    <row r="3489" ht="40" customHeight="1">
      <c r="A3489" s="4" t="inlineStr">
        <is>
          <t>original:Overview!A27</t>
        </is>
      </c>
      <c r="B3489" s="4" t="inlineStr">
        <is>
          <t>Overview</t>
        </is>
      </c>
      <c r="C3489" s="4" t="inlineStr">
        <is>
          <t>A27</t>
        </is>
      </c>
      <c r="D3489" s="4" t="n">
        <v>0</v>
      </c>
      <c r="E3489" s="4" t="n">
        <v>0</v>
      </c>
      <c r="F3489" s="4" t="inlineStr">
        <is>
          <t>GOC Bed Unit-Costing Model v2 — working original.xlsx</t>
        </is>
      </c>
    </row>
    <row r="3490" ht="40" customHeight="1">
      <c r="A3490" s="4" t="inlineStr">
        <is>
          <t>original:Overview!B27</t>
        </is>
      </c>
      <c r="B3490" s="4" t="inlineStr">
        <is>
          <t>Overview</t>
        </is>
      </c>
      <c r="C3490" s="4" t="inlineStr">
        <is>
          <t>B27</t>
        </is>
      </c>
      <c r="D3490" s="4" t="inlineStr">
        <is>
          <t>=SUM(Funding!D7:D9)</t>
        </is>
      </c>
      <c r="E3490" s="4" t="n">
        <v>200000</v>
      </c>
      <c r="F3490" s="4" t="inlineStr">
        <is>
          <t>GOC Bed Unit-Costing Model v2 — working original.xlsx</t>
        </is>
      </c>
    </row>
    <row r="3491" ht="40" customHeight="1">
      <c r="A3491" s="4" t="inlineStr">
        <is>
          <t>original:Overview!C27</t>
        </is>
      </c>
      <c r="B3491" s="4" t="inlineStr">
        <is>
          <t>Overview</t>
        </is>
      </c>
      <c r="C3491" s="4" t="inlineStr">
        <is>
          <t>C27</t>
        </is>
      </c>
      <c r="D3491" s="4" t="inlineStr">
        <is>
          <t>=SUM(A27:B27)</t>
        </is>
      </c>
      <c r="E3491" s="4" t="n">
        <v>200000</v>
      </c>
      <c r="F3491" s="4" t="inlineStr">
        <is>
          <t>GOC Bed Unit-Costing Model v2 — working original.xlsx</t>
        </is>
      </c>
    </row>
    <row r="3492" ht="40" customHeight="1">
      <c r="A3492" s="4" t="inlineStr">
        <is>
          <t>original:Overview!D27</t>
        </is>
      </c>
      <c r="B3492" s="4" t="inlineStr">
        <is>
          <t>Overview</t>
        </is>
      </c>
      <c r="C3492" s="4" t="inlineStr">
        <is>
          <t>D27</t>
        </is>
      </c>
      <c r="D3492" s="4" t="inlineStr">
        <is>
          <t>=$B$15</t>
        </is>
      </c>
      <c r="E3492" s="4" t="n">
        <v>527583.5</v>
      </c>
      <c r="F3492" s="4" t="inlineStr">
        <is>
          <t>GOC Bed Unit-Costing Model v2 — working original.xlsx</t>
        </is>
      </c>
    </row>
    <row r="3493" ht="40" customHeight="1">
      <c r="A3493" s="4" t="inlineStr">
        <is>
          <t>original:Overview!E27</t>
        </is>
      </c>
      <c r="B3493" s="4" t="inlineStr">
        <is>
          <t>Overview</t>
        </is>
      </c>
      <c r="C3493" s="4" t="inlineStr">
        <is>
          <t>E27</t>
        </is>
      </c>
      <c r="D3493" s="4" t="inlineStr">
        <is>
          <t>=MAX(0,D27-C27-SUM(Production!M6:M41))</t>
        </is>
      </c>
      <c r="E3493" s="4" t="n">
        <v>327583.5</v>
      </c>
      <c r="F3493" s="4" t="inlineStr">
        <is>
          <t>GOC Bed Unit-Costing Model v2 — working original.xlsx</t>
        </is>
      </c>
    </row>
    <row r="3494" ht="40" customHeight="1">
      <c r="A3494" s="4" t="inlineStr">
        <is>
          <t>original:Overview!F27</t>
        </is>
      </c>
      <c r="B3494" s="4" t="inlineStr">
        <is>
          <t>Overview</t>
        </is>
      </c>
      <c r="C3494" s="4" t="inlineStr">
        <is>
          <t>F27</t>
        </is>
      </c>
      <c r="D3494" s="4" t="inlineStr">
        <is>
          <t>=$B$16</t>
        </is>
      </c>
      <c r="E3494" s="4" t="n">
        <v>12</v>
      </c>
      <c r="F3494" s="4" t="inlineStr">
        <is>
          <t>GOC Bed Unit-Costing Model v2 — working original.xlsx</t>
        </is>
      </c>
    </row>
    <row r="3495" ht="40" customHeight="1">
      <c r="A3495" s="4" t="inlineStr">
        <is>
          <t>original:Overview!G27</t>
        </is>
      </c>
      <c r="B3495" s="4" t="inlineStr">
        <is>
          <t>Overview</t>
        </is>
      </c>
      <c r="C3495" s="4" t="inlineStr">
        <is>
          <t>G27</t>
        </is>
      </c>
      <c r="D3495" s="4" t="inlineStr">
        <is>
          <t>=SUM(Sites!E7:E8)</t>
        </is>
      </c>
      <c r="E3495" s="4" t="n">
        <v>226000</v>
      </c>
      <c r="F3495" s="4" t="inlineStr">
        <is>
          <t>GOC Bed Unit-Costing Model v2 — working original.xlsx</t>
        </is>
      </c>
    </row>
    <row r="3496" ht="40" customHeight="1">
      <c r="A3496" s="4" t="inlineStr">
        <is>
          <t>original:Overview!H27</t>
        </is>
      </c>
      <c r="B3496" s="4" t="inlineStr">
        <is>
          <t>Overview</t>
        </is>
      </c>
      <c r="C3496" s="4" t="inlineStr">
        <is>
          <t>H27</t>
        </is>
      </c>
      <c r="D3496" s="4" t="inlineStr">
        <is>
          <t>=$B$18</t>
        </is>
      </c>
      <c r="E3496" s="4" t="n">
        <v>400</v>
      </c>
      <c r="F3496" s="4" t="inlineStr">
        <is>
          <t>GOC Bed Unit-Costing Model v2 — working original.xlsx</t>
        </is>
      </c>
    </row>
    <row r="3497" ht="40" customHeight="1">
      <c r="A3497" s="4" t="inlineStr">
        <is>
          <t>original:Overview!A28</t>
        </is>
      </c>
      <c r="B3497" s="4" t="inlineStr">
        <is>
          <t>Overview</t>
        </is>
      </c>
      <c r="C3497" s="4" t="inlineStr">
        <is>
          <t>A28</t>
        </is>
      </c>
      <c r="D3497" s="4" t="n">
        <v>100000</v>
      </c>
      <c r="E3497" s="4" t="n">
        <v>100000</v>
      </c>
      <c r="F3497" s="4" t="inlineStr">
        <is>
          <t>GOC Bed Unit-Costing Model v2 — working original.xlsx</t>
        </is>
      </c>
    </row>
    <row r="3498" ht="40" customHeight="1">
      <c r="A3498" s="4" t="inlineStr">
        <is>
          <t>original:Overview!B28</t>
        </is>
      </c>
      <c r="B3498" s="4" t="inlineStr">
        <is>
          <t>Overview</t>
        </is>
      </c>
      <c r="C3498" s="4" t="inlineStr">
        <is>
          <t>B28</t>
        </is>
      </c>
      <c r="D3498" s="4" t="inlineStr">
        <is>
          <t>=SUM(Funding!D7:D9)</t>
        </is>
      </c>
      <c r="E3498" s="4" t="n">
        <v>200000</v>
      </c>
      <c r="F3498" s="4" t="inlineStr">
        <is>
          <t>GOC Bed Unit-Costing Model v2 — working original.xlsx</t>
        </is>
      </c>
    </row>
    <row r="3499" ht="40" customHeight="1">
      <c r="A3499" s="4" t="inlineStr">
        <is>
          <t>original:Overview!C28</t>
        </is>
      </c>
      <c r="B3499" s="4" t="inlineStr">
        <is>
          <t>Overview</t>
        </is>
      </c>
      <c r="C3499" s="4" t="inlineStr">
        <is>
          <t>C28</t>
        </is>
      </c>
      <c r="D3499" s="4" t="inlineStr">
        <is>
          <t>=SUM(A28:B28)</t>
        </is>
      </c>
      <c r="E3499" s="4" t="n">
        <v>300000</v>
      </c>
      <c r="F3499" s="4" t="inlineStr">
        <is>
          <t>GOC Bed Unit-Costing Model v2 — working original.xlsx</t>
        </is>
      </c>
    </row>
    <row r="3500" ht="40" customHeight="1">
      <c r="A3500" s="4" t="inlineStr">
        <is>
          <t>original:Overview!D28</t>
        </is>
      </c>
      <c r="B3500" s="4" t="inlineStr">
        <is>
          <t>Overview</t>
        </is>
      </c>
      <c r="C3500" s="4" t="inlineStr">
        <is>
          <t>D28</t>
        </is>
      </c>
      <c r="D3500" s="4" t="inlineStr">
        <is>
          <t>=$B$15</t>
        </is>
      </c>
      <c r="E3500" s="4" t="n">
        <v>527583.5</v>
      </c>
      <c r="F3500" s="4" t="inlineStr">
        <is>
          <t>GOC Bed Unit-Costing Model v2 — working original.xlsx</t>
        </is>
      </c>
    </row>
    <row r="3501" ht="40" customHeight="1">
      <c r="A3501" s="4" t="inlineStr">
        <is>
          <t>original:Overview!E28</t>
        </is>
      </c>
      <c r="B3501" s="4" t="inlineStr">
        <is>
          <t>Overview</t>
        </is>
      </c>
      <c r="C3501" s="4" t="inlineStr">
        <is>
          <t>E28</t>
        </is>
      </c>
      <c r="D3501" s="4" t="inlineStr">
        <is>
          <t>=MAX(0,D28-C28-SUM(Production!M6:M41))</t>
        </is>
      </c>
      <c r="E3501" s="4" t="n">
        <v>227583.5</v>
      </c>
      <c r="F3501" s="4" t="inlineStr">
        <is>
          <t>GOC Bed Unit-Costing Model v2 — working original.xlsx</t>
        </is>
      </c>
    </row>
    <row r="3502" ht="40" customHeight="1">
      <c r="A3502" s="4" t="inlineStr">
        <is>
          <t>original:Overview!F28</t>
        </is>
      </c>
      <c r="B3502" s="4" t="inlineStr">
        <is>
          <t>Overview</t>
        </is>
      </c>
      <c r="C3502" s="4" t="inlineStr">
        <is>
          <t>F28</t>
        </is>
      </c>
      <c r="D3502" s="4" t="inlineStr">
        <is>
          <t>=$B$16</t>
        </is>
      </c>
      <c r="E3502" s="4" t="n">
        <v>12</v>
      </c>
      <c r="F3502" s="4" t="inlineStr">
        <is>
          <t>GOC Bed Unit-Costing Model v2 — working original.xlsx</t>
        </is>
      </c>
    </row>
    <row r="3503" ht="40" customHeight="1">
      <c r="A3503" s="4" t="inlineStr">
        <is>
          <t>original:Overview!G28</t>
        </is>
      </c>
      <c r="B3503" s="4" t="inlineStr">
        <is>
          <t>Overview</t>
        </is>
      </c>
      <c r="C3503" s="4" t="inlineStr">
        <is>
          <t>G28</t>
        </is>
      </c>
      <c r="D3503" s="4" t="inlineStr">
        <is>
          <t>=SUM(Sites!E7:E8)</t>
        </is>
      </c>
      <c r="E3503" s="4" t="n">
        <v>226000</v>
      </c>
      <c r="F3503" s="4" t="inlineStr">
        <is>
          <t>GOC Bed Unit-Costing Model v2 — working original.xlsx</t>
        </is>
      </c>
    </row>
    <row r="3504" ht="40" customHeight="1">
      <c r="A3504" s="4" t="inlineStr">
        <is>
          <t>original:Overview!H28</t>
        </is>
      </c>
      <c r="B3504" s="4" t="inlineStr">
        <is>
          <t>Overview</t>
        </is>
      </c>
      <c r="C3504" s="4" t="inlineStr">
        <is>
          <t>H28</t>
        </is>
      </c>
      <c r="D3504" s="4" t="inlineStr">
        <is>
          <t>=$B$18</t>
        </is>
      </c>
      <c r="E3504" s="4" t="n">
        <v>400</v>
      </c>
      <c r="F3504" s="4" t="inlineStr">
        <is>
          <t>GOC Bed Unit-Costing Model v2 — working original.xlsx</t>
        </is>
      </c>
    </row>
    <row r="3505" ht="40" customHeight="1">
      <c r="A3505" s="4" t="inlineStr">
        <is>
          <t>original:Overview!A29</t>
        </is>
      </c>
      <c r="B3505" s="4" t="inlineStr">
        <is>
          <t>Overview</t>
        </is>
      </c>
      <c r="C3505" s="4" t="inlineStr">
        <is>
          <t>A29</t>
        </is>
      </c>
      <c r="D3505" s="4" t="n">
        <v>250000</v>
      </c>
      <c r="E3505" s="4" t="n">
        <v>250000</v>
      </c>
      <c r="F3505" s="4" t="inlineStr">
        <is>
          <t>GOC Bed Unit-Costing Model v2 — working original.xlsx</t>
        </is>
      </c>
    </row>
    <row r="3506" ht="40" customHeight="1">
      <c r="A3506" s="4" t="inlineStr">
        <is>
          <t>original:Overview!B29</t>
        </is>
      </c>
      <c r="B3506" s="4" t="inlineStr">
        <is>
          <t>Overview</t>
        </is>
      </c>
      <c r="C3506" s="4" t="inlineStr">
        <is>
          <t>B29</t>
        </is>
      </c>
      <c r="D3506" s="4" t="inlineStr">
        <is>
          <t>=SUM(Funding!D7:D9)</t>
        </is>
      </c>
      <c r="E3506" s="4" t="n">
        <v>200000</v>
      </c>
      <c r="F3506" s="4" t="inlineStr">
        <is>
          <t>GOC Bed Unit-Costing Model v2 — working original.xlsx</t>
        </is>
      </c>
    </row>
    <row r="3507" ht="40" customHeight="1">
      <c r="A3507" s="4" t="inlineStr">
        <is>
          <t>original:Overview!C29</t>
        </is>
      </c>
      <c r="B3507" s="4" t="inlineStr">
        <is>
          <t>Overview</t>
        </is>
      </c>
      <c r="C3507" s="4" t="inlineStr">
        <is>
          <t>C29</t>
        </is>
      </c>
      <c r="D3507" s="4" t="inlineStr">
        <is>
          <t>=SUM(A29:B29)</t>
        </is>
      </c>
      <c r="E3507" s="4" t="n">
        <v>450000</v>
      </c>
      <c r="F3507" s="4" t="inlineStr">
        <is>
          <t>GOC Bed Unit-Costing Model v2 — working original.xlsx</t>
        </is>
      </c>
    </row>
    <row r="3508" ht="40" customHeight="1">
      <c r="A3508" s="4" t="inlineStr">
        <is>
          <t>original:Overview!D29</t>
        </is>
      </c>
      <c r="B3508" s="4" t="inlineStr">
        <is>
          <t>Overview</t>
        </is>
      </c>
      <c r="C3508" s="4" t="inlineStr">
        <is>
          <t>D29</t>
        </is>
      </c>
      <c r="D3508" s="4" t="inlineStr">
        <is>
          <t>=$B$15</t>
        </is>
      </c>
      <c r="E3508" s="4" t="n">
        <v>527583.5</v>
      </c>
      <c r="F3508" s="4" t="inlineStr">
        <is>
          <t>GOC Bed Unit-Costing Model v2 — working original.xlsx</t>
        </is>
      </c>
    </row>
    <row r="3509" ht="40" customHeight="1">
      <c r="A3509" s="4" t="inlineStr">
        <is>
          <t>original:Overview!E29</t>
        </is>
      </c>
      <c r="B3509" s="4" t="inlineStr">
        <is>
          <t>Overview</t>
        </is>
      </c>
      <c r="C3509" s="4" t="inlineStr">
        <is>
          <t>E29</t>
        </is>
      </c>
      <c r="D3509" s="4" t="inlineStr">
        <is>
          <t>=MAX(0,D29-C29-SUM(Production!M6:M41))</t>
        </is>
      </c>
      <c r="E3509" s="4" t="n">
        <v>77583.5</v>
      </c>
      <c r="F3509" s="4" t="inlineStr">
        <is>
          <t>GOC Bed Unit-Costing Model v2 — working original.xlsx</t>
        </is>
      </c>
    </row>
    <row r="3510" ht="40" customHeight="1">
      <c r="A3510" s="4" t="inlineStr">
        <is>
          <t>original:Overview!F29</t>
        </is>
      </c>
      <c r="B3510" s="4" t="inlineStr">
        <is>
          <t>Overview</t>
        </is>
      </c>
      <c r="C3510" s="4" t="inlineStr">
        <is>
          <t>F29</t>
        </is>
      </c>
      <c r="D3510" s="4" t="inlineStr">
        <is>
          <t>=$B$16</t>
        </is>
      </c>
      <c r="E3510" s="4" t="n">
        <v>12</v>
      </c>
      <c r="F3510" s="4" t="inlineStr">
        <is>
          <t>GOC Bed Unit-Costing Model v2 — working original.xlsx</t>
        </is>
      </c>
    </row>
    <row r="3511" ht="40" customHeight="1">
      <c r="A3511" s="4" t="inlineStr">
        <is>
          <t>original:Overview!G29</t>
        </is>
      </c>
      <c r="B3511" s="4" t="inlineStr">
        <is>
          <t>Overview</t>
        </is>
      </c>
      <c r="C3511" s="4" t="inlineStr">
        <is>
          <t>G29</t>
        </is>
      </c>
      <c r="D3511" s="4" t="inlineStr">
        <is>
          <t>=SUM(Sites!E7:E8)</t>
        </is>
      </c>
      <c r="E3511" s="4" t="n">
        <v>226000</v>
      </c>
      <c r="F3511" s="4" t="inlineStr">
        <is>
          <t>GOC Bed Unit-Costing Model v2 — working original.xlsx</t>
        </is>
      </c>
    </row>
    <row r="3512" ht="40" customHeight="1">
      <c r="A3512" s="4" t="inlineStr">
        <is>
          <t>original:Overview!H29</t>
        </is>
      </c>
      <c r="B3512" s="4" t="inlineStr">
        <is>
          <t>Overview</t>
        </is>
      </c>
      <c r="C3512" s="4" t="inlineStr">
        <is>
          <t>H29</t>
        </is>
      </c>
      <c r="D3512" s="4" t="inlineStr">
        <is>
          <t>=$B$18</t>
        </is>
      </c>
      <c r="E3512" s="4" t="n">
        <v>400</v>
      </c>
      <c r="F3512" s="4" t="inlineStr">
        <is>
          <t>GOC Bed Unit-Costing Model v2 — working original.xlsx</t>
        </is>
      </c>
    </row>
    <row r="3513" ht="40" customHeight="1">
      <c r="A3513" s="4" t="inlineStr">
        <is>
          <t>original:Overview!A30</t>
        </is>
      </c>
      <c r="B3513" s="4" t="inlineStr">
        <is>
          <t>Overview</t>
        </is>
      </c>
      <c r="C3513" s="4" t="inlineStr">
        <is>
          <t>A30</t>
        </is>
      </c>
      <c r="D3513" s="4" t="n">
        <v>400000</v>
      </c>
      <c r="E3513" s="4" t="n">
        <v>400000</v>
      </c>
      <c r="F3513" s="4" t="inlineStr">
        <is>
          <t>GOC Bed Unit-Costing Model v2 — working original.xlsx</t>
        </is>
      </c>
    </row>
    <row r="3514" ht="40" customHeight="1">
      <c r="A3514" s="4" t="inlineStr">
        <is>
          <t>original:Overview!B30</t>
        </is>
      </c>
      <c r="B3514" s="4" t="inlineStr">
        <is>
          <t>Overview</t>
        </is>
      </c>
      <c r="C3514" s="4" t="inlineStr">
        <is>
          <t>B30</t>
        </is>
      </c>
      <c r="D3514" s="4" t="inlineStr">
        <is>
          <t>=SUM(Funding!D7:D9)</t>
        </is>
      </c>
      <c r="E3514" s="4" t="n">
        <v>200000</v>
      </c>
      <c r="F3514" s="4" t="inlineStr">
        <is>
          <t>GOC Bed Unit-Costing Model v2 — working original.xlsx</t>
        </is>
      </c>
    </row>
    <row r="3515" ht="40" customHeight="1">
      <c r="A3515" s="4" t="inlineStr">
        <is>
          <t>original:Overview!C30</t>
        </is>
      </c>
      <c r="B3515" s="4" t="inlineStr">
        <is>
          <t>Overview</t>
        </is>
      </c>
      <c r="C3515" s="4" t="inlineStr">
        <is>
          <t>C30</t>
        </is>
      </c>
      <c r="D3515" s="4" t="inlineStr">
        <is>
          <t>=SUM(A30:B30)</t>
        </is>
      </c>
      <c r="E3515" s="4" t="n">
        <v>600000</v>
      </c>
      <c r="F3515" s="4" t="inlineStr">
        <is>
          <t>GOC Bed Unit-Costing Model v2 — working original.xlsx</t>
        </is>
      </c>
    </row>
    <row r="3516" ht="40" customHeight="1">
      <c r="A3516" s="4" t="inlineStr">
        <is>
          <t>original:Overview!D30</t>
        </is>
      </c>
      <c r="B3516" s="4" t="inlineStr">
        <is>
          <t>Overview</t>
        </is>
      </c>
      <c r="C3516" s="4" t="inlineStr">
        <is>
          <t>D30</t>
        </is>
      </c>
      <c r="D3516" s="4" t="inlineStr">
        <is>
          <t>=$B$15</t>
        </is>
      </c>
      <c r="E3516" s="4" t="n">
        <v>527583.5</v>
      </c>
      <c r="F3516" s="4" t="inlineStr">
        <is>
          <t>GOC Bed Unit-Costing Model v2 — working original.xlsx</t>
        </is>
      </c>
    </row>
    <row r="3517" ht="40" customHeight="1">
      <c r="A3517" s="4" t="inlineStr">
        <is>
          <t>original:Overview!E30</t>
        </is>
      </c>
      <c r="B3517" s="4" t="inlineStr">
        <is>
          <t>Overview</t>
        </is>
      </c>
      <c r="C3517" s="4" t="inlineStr">
        <is>
          <t>E30</t>
        </is>
      </c>
      <c r="D3517" s="4" t="inlineStr">
        <is>
          <t>=MAX(0,D30-C30-SUM(Production!M6:M41))</t>
        </is>
      </c>
      <c r="E3517" s="4" t="n">
        <v>0</v>
      </c>
      <c r="F3517" s="4" t="inlineStr">
        <is>
          <t>GOC Bed Unit-Costing Model v2 — working original.xlsx</t>
        </is>
      </c>
    </row>
    <row r="3518" ht="40" customHeight="1">
      <c r="A3518" s="4" t="inlineStr">
        <is>
          <t>original:Overview!F30</t>
        </is>
      </c>
      <c r="B3518" s="4" t="inlineStr">
        <is>
          <t>Overview</t>
        </is>
      </c>
      <c r="C3518" s="4" t="inlineStr">
        <is>
          <t>F30</t>
        </is>
      </c>
      <c r="D3518" s="4" t="inlineStr">
        <is>
          <t>=$B$16</t>
        </is>
      </c>
      <c r="E3518" s="4" t="n">
        <v>12</v>
      </c>
      <c r="F3518" s="4" t="inlineStr">
        <is>
          <t>GOC Bed Unit-Costing Model v2 — working original.xlsx</t>
        </is>
      </c>
    </row>
    <row r="3519" ht="40" customHeight="1">
      <c r="A3519" s="4" t="inlineStr">
        <is>
          <t>original:Overview!G30</t>
        </is>
      </c>
      <c r="B3519" s="4" t="inlineStr">
        <is>
          <t>Overview</t>
        </is>
      </c>
      <c r="C3519" s="4" t="inlineStr">
        <is>
          <t>G30</t>
        </is>
      </c>
      <c r="D3519" s="4" t="inlineStr">
        <is>
          <t>=SUM(Sites!E7:E8)</t>
        </is>
      </c>
      <c r="E3519" s="4" t="n">
        <v>226000</v>
      </c>
      <c r="F3519" s="4" t="inlineStr">
        <is>
          <t>GOC Bed Unit-Costing Model v2 — working original.xlsx</t>
        </is>
      </c>
    </row>
    <row r="3520" ht="40" customHeight="1">
      <c r="A3520" s="4" t="inlineStr">
        <is>
          <t>original:Overview!H30</t>
        </is>
      </c>
      <c r="B3520" s="4" t="inlineStr">
        <is>
          <t>Overview</t>
        </is>
      </c>
      <c r="C3520" s="4" t="inlineStr">
        <is>
          <t>H30</t>
        </is>
      </c>
      <c r="D3520" s="4" t="inlineStr">
        <is>
          <t>=$B$18</t>
        </is>
      </c>
      <c r="E3520" s="4" t="n">
        <v>400</v>
      </c>
      <c r="F3520" s="4" t="inlineStr">
        <is>
          <t>GOC Bed Unit-Costing Model v2 — working original.xlsx</t>
        </is>
      </c>
    </row>
    <row r="3521" ht="120" customHeight="1">
      <c r="A3521" s="4" t="inlineStr">
        <is>
          <t>original:Overview!A33</t>
        </is>
      </c>
      <c r="B3521" s="4" t="inlineStr">
        <is>
          <t>Overview</t>
        </is>
      </c>
      <c r="C3521" s="4" t="inlineStr">
        <is>
          <t>A33</t>
        </is>
      </c>
      <c r="D3521" s="4" t="inlineStr">
        <is>
          <t>The table assumes both invitations and selected warm scenarios pay; Cash flow withholds BMD while its condition is unmet. Warm foundations starts with no prospects selected.</t>
        </is>
      </c>
      <c r="E3521" s="4" t="inlineStr">
        <is>
          <t>The table assumes both invitations and selected warm scenarios pay; Cash flow withholds BMD while its condition is unmet. Warm foundations starts with no prospects selected.</t>
        </is>
      </c>
      <c r="F3521" s="4" t="inlineStr">
        <is>
          <t>GOC Bed Unit-Costing Model v2 — working original.xlsx</t>
        </is>
      </c>
    </row>
    <row r="3522" ht="120" customHeight="1">
      <c r="A3522" s="4" t="inlineStr">
        <is>
          <t>original:Overview!A36</t>
        </is>
      </c>
      <c r="B3522" s="4" t="inlineStr">
        <is>
          <t>Overview</t>
        </is>
      </c>
      <c r="C3522" s="4" t="inlineStr">
        <is>
          <t>A36</t>
        </is>
      </c>
      <c r="D3522" s="4" t="inlineStr">
        <is>
          <t>QBE clarity: name the funded cost lines, the extra beds or earlier commissioning enabled, other funding conditions, the smaller viable scope and the accountable operator.</t>
        </is>
      </c>
      <c r="E3522" s="4" t="inlineStr">
        <is>
          <t>QBE clarity: name the funded cost lines, the extra beds or earlier commissioning enabled, other funding conditions, the smaller viable scope and the accountable operator.</t>
        </is>
      </c>
      <c r="F3522" s="4" t="inlineStr">
        <is>
          <t>GOC Bed Unit-Costing Model v2 — working original.xlsx</t>
        </is>
      </c>
    </row>
    <row r="3523" ht="90" customHeight="1">
      <c r="A3523" s="4" t="inlineStr">
        <is>
          <t>original:Overview!A39</t>
        </is>
      </c>
      <c r="B3523" s="4" t="inlineStr">
        <is>
          <t>Overview</t>
        </is>
      </c>
      <c r="C3523" s="4" t="inlineStr">
        <is>
          <t>A39</t>
        </is>
      </c>
      <c r="D3523" s="4" t="inlineStr">
        <is>
          <t>National prospect registers and buyer case studies remain in the companion research exports. Prospects and modelled need are not orders.</t>
        </is>
      </c>
      <c r="E3523" s="4" t="inlineStr">
        <is>
          <t>National prospect registers and buyer case studies remain in the companion research exports. Prospects and modelled need are not orders.</t>
        </is>
      </c>
      <c r="F3523" s="4" t="inlineStr">
        <is>
          <t>GOC Bed Unit-Costing Model v2 — working original.xlsx</t>
        </is>
      </c>
    </row>
    <row r="3524" ht="90" customHeight="1">
      <c r="A3524" s="4" t="inlineStr">
        <is>
          <t>original:Overview!A42</t>
        </is>
      </c>
      <c r="B3524" s="4" t="inlineStr">
        <is>
          <t>Overview</t>
        </is>
      </c>
      <c r="C3524" s="4" t="inlineStr">
        <is>
          <t>A42</t>
        </is>
      </c>
      <c r="D3524" s="4" t="inlineStr">
        <is>
          <t>Formulas update live in this Google Sheet. The admin summary is a dated verified snapshot; it does not automatically sync edits.</t>
        </is>
      </c>
      <c r="E3524" s="4" t="inlineStr">
        <is>
          <t>Formulas update live in this Google Sheet. The admin summary is a dated verified snapshot; it does not automatically sync edits.</t>
        </is>
      </c>
      <c r="F3524" s="4" t="inlineStr">
        <is>
          <t>GOC Bed Unit-Costing Model v2 — working original.xlsx</t>
        </is>
      </c>
    </row>
    <row r="3525" ht="40" customHeight="1">
      <c r="A3525" s="4" t="inlineStr">
        <is>
          <t>original:Overview!A46</t>
        </is>
      </c>
      <c r="B3525" s="4" t="inlineStr">
        <is>
          <t>Overview</t>
        </is>
      </c>
      <c r="C3525" s="4" t="inlineStr">
        <is>
          <t>A46</t>
        </is>
      </c>
      <c r="D3525" s="4" t="inlineStr">
        <is>
          <t>What QBE adds to the funding scenario</t>
        </is>
      </c>
      <c r="E3525" s="4" t="inlineStr">
        <is>
          <t>What QBE adds to the funding scenario</t>
        </is>
      </c>
      <c r="F3525" s="4" t="inlineStr">
        <is>
          <t>GOC Bed Unit-Costing Model v2 — working original.xlsx</t>
        </is>
      </c>
    </row>
    <row r="3526" ht="40" customHeight="1">
      <c r="A3526" s="4" t="inlineStr">
        <is>
          <t>original:Overview!A48</t>
        </is>
      </c>
      <c r="B3526" s="4" t="inlineStr">
        <is>
          <t>Overview</t>
        </is>
      </c>
      <c r="C3526" s="4" t="inlineStr">
        <is>
          <t>A48</t>
        </is>
      </c>
      <c r="D3526" s="4" t="inlineStr">
        <is>
          <t>Fairfax + BMD year-one scenario</t>
        </is>
      </c>
      <c r="E3526" s="4" t="inlineStr">
        <is>
          <t>Fairfax + BMD year-one scenario</t>
        </is>
      </c>
      <c r="F3526" s="4" t="inlineStr">
        <is>
          <t>GOC Bed Unit-Costing Model v2 — working original.xlsx</t>
        </is>
      </c>
    </row>
    <row r="3527" ht="40" customHeight="1">
      <c r="A3527" s="4" t="inlineStr">
        <is>
          <t>original:Overview!B48</t>
        </is>
      </c>
      <c r="B3527" s="4" t="inlineStr">
        <is>
          <t>Overview</t>
        </is>
      </c>
      <c r="C3527" s="4" t="inlineStr">
        <is>
          <t>B48</t>
        </is>
      </c>
      <c r="D3527" s="4" t="inlineStr">
        <is>
          <t>=SUM(Funding!D7:D8)</t>
        </is>
      </c>
      <c r="E3527" s="4" t="n">
        <v>200000</v>
      </c>
      <c r="F3527" s="4" t="inlineStr">
        <is>
          <t>GOC Bed Unit-Costing Model v2 — working original.xlsx</t>
        </is>
      </c>
    </row>
    <row r="3528" ht="105" customHeight="1">
      <c r="A3528" s="4" t="inlineStr">
        <is>
          <t>original:Overview!D48</t>
        </is>
      </c>
      <c r="B3528" s="4" t="inlineStr">
        <is>
          <t>Overview</t>
        </is>
      </c>
      <c r="C3528" s="4" t="inlineStr">
        <is>
          <t>D48</t>
        </is>
      </c>
      <c r="D3528" s="4" t="inlineStr">
        <is>
          <t>A funding ratio, not an impact multiplier or award promise. $200k external + $250k QBE = $450k (2.25x); output depends on the full cost and operating plan.</t>
        </is>
      </c>
      <c r="E3528" s="4" t="inlineStr">
        <is>
          <t>A funding ratio, not an impact multiplier or award promise. $200k external + $250k QBE = $450k (2.25x); output depends on the full cost and operating plan.</t>
        </is>
      </c>
      <c r="F3528" s="4" t="inlineStr">
        <is>
          <t>GOC Bed Unit-Costing Model v2 — working original.xlsx</t>
        </is>
      </c>
    </row>
    <row r="3529" ht="40" customHeight="1">
      <c r="A3529" s="4" t="inlineStr">
        <is>
          <t>original:Overview!A49</t>
        </is>
      </c>
      <c r="B3529" s="4" t="inlineStr">
        <is>
          <t>Overview</t>
        </is>
      </c>
      <c r="C3529" s="4" t="inlineStr">
        <is>
          <t>A49</t>
        </is>
      </c>
      <c r="D3529" s="4" t="inlineStr">
        <is>
          <t>Selected additional warm prospects</t>
        </is>
      </c>
      <c r="E3529" s="4" t="inlineStr">
        <is>
          <t>Selected additional warm prospects</t>
        </is>
      </c>
      <c r="F3529" s="4" t="inlineStr">
        <is>
          <t>GOC Bed Unit-Costing Model v2 — working original.xlsx</t>
        </is>
      </c>
    </row>
    <row r="3530" ht="40" customHeight="1">
      <c r="A3530" s="4" t="inlineStr">
        <is>
          <t>original:Overview!B49</t>
        </is>
      </c>
      <c r="B3530" s="4" t="inlineStr">
        <is>
          <t>Overview</t>
        </is>
      </c>
      <c r="C3530" s="4" t="inlineStr">
        <is>
          <t>B49</t>
        </is>
      </c>
      <c r="D3530" s="4" t="inlineStr">
        <is>
          <t>=Funding!D9</t>
        </is>
      </c>
      <c r="E3530" s="4" t="n">
        <v>0</v>
      </c>
      <c r="F3530" s="4" t="inlineStr">
        <is>
          <t>GOC Bed Unit-Costing Model v2 — working original.xlsx</t>
        </is>
      </c>
    </row>
    <row r="3531" ht="40" customHeight="1">
      <c r="A3531" s="4" t="inlineStr">
        <is>
          <t>original:Overview!A50</t>
        </is>
      </c>
      <c r="B3531" s="4" t="inlineStr">
        <is>
          <t>Overview</t>
        </is>
      </c>
      <c r="C3531" s="4" t="inlineStr">
        <is>
          <t>A50</t>
        </is>
      </c>
      <c r="D3531" s="4" t="inlineStr">
        <is>
          <t>External foundation scenario</t>
        </is>
      </c>
      <c r="E3531" s="4" t="inlineStr">
        <is>
          <t>External foundation scenario</t>
        </is>
      </c>
      <c r="F3531" s="4" t="inlineStr">
        <is>
          <t>GOC Bed Unit-Costing Model v2 — working original.xlsx</t>
        </is>
      </c>
    </row>
    <row r="3532" ht="40" customHeight="1">
      <c r="A3532" s="4" t="inlineStr">
        <is>
          <t>original:Overview!B50</t>
        </is>
      </c>
      <c r="B3532" s="4" t="inlineStr">
        <is>
          <t>Overview</t>
        </is>
      </c>
      <c r="C3532" s="4" t="inlineStr">
        <is>
          <t>B50</t>
        </is>
      </c>
      <c r="D3532" s="4" t="inlineStr">
        <is>
          <t>=SUM(B48:B49)</t>
        </is>
      </c>
      <c r="E3532" s="4" t="n">
        <v>200000</v>
      </c>
      <c r="F3532" s="4" t="inlineStr">
        <is>
          <t>GOC Bed Unit-Costing Model v2 — working original.xlsx</t>
        </is>
      </c>
    </row>
    <row r="3533" ht="40" customHeight="1">
      <c r="A3533" s="4" t="inlineStr">
        <is>
          <t>original:Overview!A51</t>
        </is>
      </c>
      <c r="B3533" s="4" t="inlineStr">
        <is>
          <t>Overview</t>
        </is>
      </c>
      <c r="C3533" s="4" t="inlineStr">
        <is>
          <t>A51</t>
        </is>
      </c>
      <c r="D3533" s="4" t="inlineStr">
        <is>
          <t>Combined with QBE request</t>
        </is>
      </c>
      <c r="E3533" s="4" t="inlineStr">
        <is>
          <t>Combined with QBE request</t>
        </is>
      </c>
      <c r="F3533" s="4" t="inlineStr">
        <is>
          <t>GOC Bed Unit-Costing Model v2 — working original.xlsx</t>
        </is>
      </c>
    </row>
    <row r="3534" ht="40" customHeight="1">
      <c r="A3534" s="4" t="inlineStr">
        <is>
          <t>original:Overview!B51</t>
        </is>
      </c>
      <c r="B3534" s="4" t="inlineStr">
        <is>
          <t>Overview</t>
        </is>
      </c>
      <c r="C3534" s="4" t="inlineStr">
        <is>
          <t>B51</t>
        </is>
      </c>
      <c r="D3534" s="4" t="inlineStr">
        <is>
          <t>=B50+B5</t>
        </is>
      </c>
      <c r="E3534" s="4" t="n">
        <v>450000</v>
      </c>
      <c r="F3534" s="4" t="inlineStr">
        <is>
          <t>GOC Bed Unit-Costing Model v2 — working original.xlsx</t>
        </is>
      </c>
    </row>
    <row r="3535" ht="40" customHeight="1">
      <c r="A3535" s="4" t="inlineStr">
        <is>
          <t>original:Overview!A52</t>
        </is>
      </c>
      <c r="B3535" s="4" t="inlineStr">
        <is>
          <t>Overview</t>
        </is>
      </c>
      <c r="C3535" s="4" t="inlineStr">
        <is>
          <t>A52</t>
        </is>
      </c>
      <c r="D3535" s="4" t="inlineStr">
        <is>
          <t>Combined / external funding ratio</t>
        </is>
      </c>
      <c r="E3535" s="4" t="inlineStr">
        <is>
          <t>Combined / external funding ratio</t>
        </is>
      </c>
      <c r="F3535" s="4" t="inlineStr">
        <is>
          <t>GOC Bed Unit-Costing Model v2 — working original.xlsx</t>
        </is>
      </c>
    </row>
    <row r="3536" ht="40" customHeight="1">
      <c r="A3536" s="4" t="inlineStr">
        <is>
          <t>original:Overview!B52</t>
        </is>
      </c>
      <c r="B3536" s="4" t="inlineStr">
        <is>
          <t>Overview</t>
        </is>
      </c>
      <c r="C3536" s="4" t="inlineStr">
        <is>
          <t>B52</t>
        </is>
      </c>
      <c r="D3536" s="4" t="inlineStr">
        <is>
          <t>=IF(B50&gt;0,B51/B50,"")</t>
        </is>
      </c>
      <c r="E3536" s="4" t="n">
        <v>2.25</v>
      </c>
      <c r="F3536" s="4" t="inlineStr">
        <is>
          <t>GOC Bed Unit-Costing Model v2 — working original.xlsx</t>
        </is>
      </c>
    </row>
    <row r="3537" ht="40" customHeight="1">
      <c r="A3537" s="4" t="inlineStr">
        <is>
          <t>original:Overview!A53</t>
        </is>
      </c>
      <c r="B3537" s="4" t="inlineStr">
        <is>
          <t>Overview</t>
        </is>
      </c>
      <c r="C3537" s="4" t="inlineStr">
        <is>
          <t>A53</t>
        </is>
      </c>
      <c r="D3537" s="4" t="inlineStr">
        <is>
          <t>Selected prospects still unpriced</t>
        </is>
      </c>
      <c r="E3537" s="4" t="inlineStr">
        <is>
          <t>Selected prospects still unpriced</t>
        </is>
      </c>
      <c r="F3537" s="4" t="inlineStr">
        <is>
          <t>GOC Bed Unit-Costing Model v2 — working original.xlsx</t>
        </is>
      </c>
    </row>
    <row r="3538" ht="40" customHeight="1">
      <c r="A3538" s="4" t="inlineStr">
        <is>
          <t>original:Overview!B53</t>
        </is>
      </c>
      <c r="B3538" s="4" t="inlineStr">
        <is>
          <t>Overview</t>
        </is>
      </c>
      <c r="C3538" s="4" t="inlineStr">
        <is>
          <t>B53</t>
        </is>
      </c>
      <c r="D3538" s="4" t="inlineStr">
        <is>
          <t>='Warm foundations'!D11</t>
        </is>
      </c>
      <c r="E3538" s="4" t="n">
        <v>0</v>
      </c>
      <c r="F3538" s="4" t="inlineStr">
        <is>
          <t>GOC Bed Unit-Costing Model v2 — working original.xlsx</t>
        </is>
      </c>
    </row>
    <row r="3539" ht="40" customHeight="1">
      <c r="A3539" s="4" t="inlineStr">
        <is>
          <t>original:Cost plan!A1</t>
        </is>
      </c>
      <c r="B3539" s="4" t="inlineStr">
        <is>
          <t>Cost plan</t>
        </is>
      </c>
      <c r="C3539" s="4" t="inlineStr">
        <is>
          <t>A1</t>
        </is>
      </c>
      <c r="D3539" s="4" t="inlineStr">
        <is>
          <t>Phase cost plan</t>
        </is>
      </c>
      <c r="E3539" s="4" t="inlineStr">
        <is>
          <t>Phase cost plan</t>
        </is>
      </c>
      <c r="F3539" s="4" t="inlineStr">
        <is>
          <t>GOC Bed Unit-Costing Model v2 — working original.xlsx</t>
        </is>
      </c>
    </row>
    <row r="3540" ht="90" customHeight="1">
      <c r="A3540" s="4" t="inlineStr">
        <is>
          <t>original:Cost plan!A3</t>
        </is>
      </c>
      <c r="B3540" s="4" t="inlineStr">
        <is>
          <t>Cost plan</t>
        </is>
      </c>
      <c r="C3540" s="4" t="inlineStr">
        <is>
          <t>A3</t>
        </is>
      </c>
      <c r="D3540" s="4" t="inlineStr">
        <is>
          <t>AUD ex GST. Amber cells are editable. Blank prices mean unpriced. Funding allocations are proposed, subject to each grant agreement.</t>
        </is>
      </c>
      <c r="E3540" s="4" t="inlineStr">
        <is>
          <t>AUD ex GST. Amber cells are editable. Blank prices mean unpriced. Funding allocations are proposed, subject to each grant agreement.</t>
        </is>
      </c>
      <c r="F3540" s="4" t="inlineStr">
        <is>
          <t>GOC Bed Unit-Costing Model v2 — working original.xlsx</t>
        </is>
      </c>
    </row>
    <row r="3541" ht="40" customHeight="1">
      <c r="A3541" s="4" t="inlineStr">
        <is>
          <t>original:Cost plan!A5</t>
        </is>
      </c>
      <c r="B3541" s="4" t="inlineStr">
        <is>
          <t>Cost plan</t>
        </is>
      </c>
      <c r="C3541" s="4" t="inlineStr">
        <is>
          <t>A5</t>
        </is>
      </c>
      <c r="D3541" s="4" t="inlineStr">
        <is>
          <t>Cost ID</t>
        </is>
      </c>
      <c r="E3541" s="4" t="inlineStr">
        <is>
          <t>Cost ID</t>
        </is>
      </c>
      <c r="F3541" s="4" t="inlineStr">
        <is>
          <t>GOC Bed Unit-Costing Model v2 — working original.xlsx</t>
        </is>
      </c>
    </row>
    <row r="3542" ht="40" customHeight="1">
      <c r="A3542" s="4" t="inlineStr">
        <is>
          <t>original:Cost plan!B5</t>
        </is>
      </c>
      <c r="B3542" s="4" t="inlineStr">
        <is>
          <t>Cost plan</t>
        </is>
      </c>
      <c r="C3542" s="4" t="inlineStr">
        <is>
          <t>B5</t>
        </is>
      </c>
      <c r="D3542" s="4" t="inlineStr">
        <is>
          <t>Cost</t>
        </is>
      </c>
      <c r="E3542" s="4" t="inlineStr">
        <is>
          <t>Cost</t>
        </is>
      </c>
      <c r="F3542" s="4" t="inlineStr">
        <is>
          <t>GOC Bed Unit-Costing Model v2 — working original.xlsx</t>
        </is>
      </c>
    </row>
    <row r="3543" ht="40" customHeight="1">
      <c r="A3543" s="4" t="inlineStr">
        <is>
          <t>original:Cost plan!C5</t>
        </is>
      </c>
      <c r="B3543" s="4" t="inlineStr">
        <is>
          <t>Cost plan</t>
        </is>
      </c>
      <c r="C3543" s="4" t="inlineStr">
        <is>
          <t>C5</t>
        </is>
      </c>
      <c r="D3543" s="4" t="inlineStr">
        <is>
          <t>Site</t>
        </is>
      </c>
      <c r="E3543" s="4" t="inlineStr">
        <is>
          <t>Site</t>
        </is>
      </c>
      <c r="F3543" s="4" t="inlineStr">
        <is>
          <t>GOC Bed Unit-Costing Model v2 — working original.xlsx</t>
        </is>
      </c>
    </row>
    <row r="3544" ht="40" customHeight="1">
      <c r="A3544" s="4" t="inlineStr">
        <is>
          <t>original:Cost plan!D5</t>
        </is>
      </c>
      <c r="B3544" s="4" t="inlineStr">
        <is>
          <t>Cost plan</t>
        </is>
      </c>
      <c r="C3544" s="4" t="inlineStr">
        <is>
          <t>D5</t>
        </is>
      </c>
      <c r="D3544" s="4" t="inlineStr">
        <is>
          <t>Cost centre</t>
        </is>
      </c>
      <c r="E3544" s="4" t="inlineStr">
        <is>
          <t>Cost centre</t>
        </is>
      </c>
      <c r="F3544" s="4" t="inlineStr">
        <is>
          <t>GOC Bed Unit-Costing Model v2 — working original.xlsx</t>
        </is>
      </c>
    </row>
    <row r="3545" ht="40" customHeight="1">
      <c r="A3545" s="4" t="inlineStr">
        <is>
          <t>original:Cost plan!E5</t>
        </is>
      </c>
      <c r="B3545" s="4" t="inlineStr">
        <is>
          <t>Cost plan</t>
        </is>
      </c>
      <c r="C3545" s="4" t="inlineStr">
        <is>
          <t>E5</t>
        </is>
      </c>
      <c r="D3545" s="4" t="inlineStr">
        <is>
          <t>Unit</t>
        </is>
      </c>
      <c r="E3545" s="4" t="inlineStr">
        <is>
          <t>Unit</t>
        </is>
      </c>
      <c r="F3545" s="4" t="inlineStr">
        <is>
          <t>GOC Bed Unit-Costing Model v2 — working original.xlsx</t>
        </is>
      </c>
    </row>
    <row r="3546" ht="40" customHeight="1">
      <c r="A3546" s="4" t="inlineStr">
        <is>
          <t>original:Cost plan!F5</t>
        </is>
      </c>
      <c r="B3546" s="4" t="inlineStr">
        <is>
          <t>Cost plan</t>
        </is>
      </c>
      <c r="C3546" s="4" t="inlineStr">
        <is>
          <t>F5</t>
        </is>
      </c>
      <c r="D3546" s="4" t="inlineStr">
        <is>
          <t>Quantity</t>
        </is>
      </c>
      <c r="E3546" s="4" t="inlineStr">
        <is>
          <t>Quantity</t>
        </is>
      </c>
      <c r="F3546" s="4" t="inlineStr">
        <is>
          <t>GOC Bed Unit-Costing Model v2 — working original.xlsx</t>
        </is>
      </c>
    </row>
    <row r="3547" ht="40" customHeight="1">
      <c r="A3547" s="4" t="inlineStr">
        <is>
          <t>original:Cost plan!G5</t>
        </is>
      </c>
      <c r="B3547" s="4" t="inlineStr">
        <is>
          <t>Cost plan</t>
        </is>
      </c>
      <c r="C3547" s="4" t="inlineStr">
        <is>
          <t>G5</t>
        </is>
      </c>
      <c r="D3547" s="4" t="inlineStr">
        <is>
          <t>Unit price</t>
        </is>
      </c>
      <c r="E3547" s="4" t="inlineStr">
        <is>
          <t>Unit price</t>
        </is>
      </c>
      <c r="F3547" s="4" t="inlineStr">
        <is>
          <t>GOC Bed Unit-Costing Model v2 — working original.xlsx</t>
        </is>
      </c>
    </row>
    <row r="3548" ht="40" customHeight="1">
      <c r="A3548" s="4" t="inlineStr">
        <is>
          <t>original:Cost plan!H5</t>
        </is>
      </c>
      <c r="B3548" s="4" t="inlineStr">
        <is>
          <t>Cost plan</t>
        </is>
      </c>
      <c r="C3548" s="4" t="inlineStr">
        <is>
          <t>H5</t>
        </is>
      </c>
      <c r="D3548" s="4" t="inlineStr">
        <is>
          <t>Phase cost</t>
        </is>
      </c>
      <c r="E3548" s="4" t="inlineStr">
        <is>
          <t>Phase cost</t>
        </is>
      </c>
      <c r="F3548" s="4" t="inlineStr">
        <is>
          <t>GOC Bed Unit-Costing Model v2 — working original.xlsx</t>
        </is>
      </c>
    </row>
    <row r="3549" ht="40" customHeight="1">
      <c r="A3549" s="4" t="inlineStr">
        <is>
          <t>original:Cost plan!I5</t>
        </is>
      </c>
      <c r="B3549" s="4" t="inlineStr">
        <is>
          <t>Cost plan</t>
        </is>
      </c>
      <c r="C3549" s="4" t="inlineStr">
        <is>
          <t>I5</t>
        </is>
      </c>
      <c r="D3549" s="4" t="inlineStr">
        <is>
          <t>Start month</t>
        </is>
      </c>
      <c r="E3549" s="4" t="inlineStr">
        <is>
          <t>Start month</t>
        </is>
      </c>
      <c r="F3549" s="4" t="inlineStr">
        <is>
          <t>GOC Bed Unit-Costing Model v2 — working original.xlsx</t>
        </is>
      </c>
    </row>
    <row r="3550" ht="40" customHeight="1">
      <c r="A3550" s="4" t="inlineStr">
        <is>
          <t>original:Cost plan!J5</t>
        </is>
      </c>
      <c r="B3550" s="4" t="inlineStr">
        <is>
          <t>Cost plan</t>
        </is>
      </c>
      <c r="C3550" s="4" t="inlineStr">
        <is>
          <t>J5</t>
        </is>
      </c>
      <c r="D3550" s="4" t="inlineStr">
        <is>
          <t>Months paid</t>
        </is>
      </c>
      <c r="E3550" s="4" t="inlineStr">
        <is>
          <t>Months paid</t>
        </is>
      </c>
      <c r="F3550" s="4" t="inlineStr">
        <is>
          <t>GOC Bed Unit-Costing Model v2 — working original.xlsx</t>
        </is>
      </c>
    </row>
    <row r="3551" ht="40" customHeight="1">
      <c r="A3551" s="4" t="inlineStr">
        <is>
          <t>original:Cost plan!K5</t>
        </is>
      </c>
      <c r="B3551" s="4" t="inlineStr">
        <is>
          <t>Cost plan</t>
        </is>
      </c>
      <c r="C3551" s="4" t="inlineStr">
        <is>
          <t>K5</t>
        </is>
      </c>
      <c r="D3551" s="4" t="inlineStr">
        <is>
          <t>QBE candidate</t>
        </is>
      </c>
      <c r="E3551" s="4" t="inlineStr">
        <is>
          <t>QBE candidate</t>
        </is>
      </c>
      <c r="F3551" s="4" t="inlineStr">
        <is>
          <t>GOC Bed Unit-Costing Model v2 — working original.xlsx</t>
        </is>
      </c>
    </row>
    <row r="3552" ht="40" customHeight="1">
      <c r="A3552" s="4" t="inlineStr">
        <is>
          <t>original:Cost plan!L5</t>
        </is>
      </c>
      <c r="B3552" s="4" t="inlineStr">
        <is>
          <t>Cost plan</t>
        </is>
      </c>
      <c r="C3552" s="4" t="inlineStr">
        <is>
          <t>L5</t>
        </is>
      </c>
      <c r="D3552" s="4" t="inlineStr">
        <is>
          <t>Proposed QBE</t>
        </is>
      </c>
      <c r="E3552" s="4" t="inlineStr">
        <is>
          <t>Proposed QBE</t>
        </is>
      </c>
      <c r="F3552" s="4" t="inlineStr">
        <is>
          <t>GOC Bed Unit-Costing Model v2 — working original.xlsx</t>
        </is>
      </c>
    </row>
    <row r="3553" ht="40" customHeight="1">
      <c r="A3553" s="4" t="inlineStr">
        <is>
          <t>original:Cost plan!M5</t>
        </is>
      </c>
      <c r="B3553" s="4" t="inlineStr">
        <is>
          <t>Cost plan</t>
        </is>
      </c>
      <c r="C3553" s="4" t="inlineStr">
        <is>
          <t>M5</t>
        </is>
      </c>
      <c r="D3553" s="4" t="inlineStr">
        <is>
          <t>Other invitations</t>
        </is>
      </c>
      <c r="E3553" s="4" t="inlineStr">
        <is>
          <t>Other invitations</t>
        </is>
      </c>
      <c r="F3553" s="4" t="inlineStr">
        <is>
          <t>GOC Bed Unit-Costing Model v2 — working original.xlsx</t>
        </is>
      </c>
    </row>
    <row r="3554" ht="40" customHeight="1">
      <c r="A3554" s="4" t="inlineStr">
        <is>
          <t>original:Cost plan!N5</t>
        </is>
      </c>
      <c r="B3554" s="4" t="inlineStr">
        <is>
          <t>Cost plan</t>
        </is>
      </c>
      <c r="C3554" s="4" t="inlineStr">
        <is>
          <t>N5</t>
        </is>
      </c>
      <c r="D3554" s="4" t="inlineStr">
        <is>
          <t>Buyer scenario sales</t>
        </is>
      </c>
      <c r="E3554" s="4" t="inlineStr">
        <is>
          <t>Buyer scenario sales</t>
        </is>
      </c>
      <c r="F3554" s="4" t="inlineStr">
        <is>
          <t>GOC Bed Unit-Costing Model v2 — working original.xlsx</t>
        </is>
      </c>
    </row>
    <row r="3555" ht="40" customHeight="1">
      <c r="A3555" s="4" t="inlineStr">
        <is>
          <t>original:Cost plan!O5</t>
        </is>
      </c>
      <c r="B3555" s="4" t="inlineStr">
        <is>
          <t>Cost plan</t>
        </is>
      </c>
      <c r="C3555" s="4" t="inlineStr">
        <is>
          <t>O5</t>
        </is>
      </c>
      <c r="D3555" s="4" t="inlineStr">
        <is>
          <t>Unfunded priced cost</t>
        </is>
      </c>
      <c r="E3555" s="4" t="inlineStr">
        <is>
          <t>Unfunded priced cost</t>
        </is>
      </c>
      <c r="F3555" s="4" t="inlineStr">
        <is>
          <t>GOC Bed Unit-Costing Model v2 — working original.xlsx</t>
        </is>
      </c>
    </row>
    <row r="3556" ht="40" customHeight="1">
      <c r="A3556" s="4" t="inlineStr">
        <is>
          <t>original:Cost plan!P5</t>
        </is>
      </c>
      <c r="B3556" s="4" t="inlineStr">
        <is>
          <t>Cost plan</t>
        </is>
      </c>
      <c r="C3556" s="4" t="inlineStr">
        <is>
          <t>P5</t>
        </is>
      </c>
      <c r="D3556" s="4" t="inlineStr">
        <is>
          <t>Basis and next evidence</t>
        </is>
      </c>
      <c r="E3556" s="4" t="inlineStr">
        <is>
          <t>Basis and next evidence</t>
        </is>
      </c>
      <c r="F3556" s="4" t="inlineStr">
        <is>
          <t>GOC Bed Unit-Costing Model v2 — working original.xlsx</t>
        </is>
      </c>
    </row>
    <row r="3557" ht="40" customHeight="1">
      <c r="A3557" s="4" t="inlineStr">
        <is>
          <t>original:Cost plan!A6</t>
        </is>
      </c>
      <c r="B3557" s="4" t="inlineStr">
        <is>
          <t>Cost plan</t>
        </is>
      </c>
      <c r="C3557" s="4" t="inlineStr">
        <is>
          <t>A6</t>
        </is>
      </c>
      <c r="D3557" s="4" t="inlineStr">
        <is>
          <t>CAP1</t>
        </is>
      </c>
      <c r="E3557" s="4" t="inlineStr">
        <is>
          <t>CAP1</t>
        </is>
      </c>
      <c r="F3557" s="4" t="inlineStr">
        <is>
          <t>GOC Bed Unit-Costing Model v2 — working original.xlsx</t>
        </is>
      </c>
    </row>
    <row r="3558" ht="40" customHeight="1">
      <c r="A3558" s="4" t="inlineStr">
        <is>
          <t>original:Cost plan!B6</t>
        </is>
      </c>
      <c r="B3558" s="4" t="inlineStr">
        <is>
          <t>Cost plan</t>
        </is>
      </c>
      <c r="C3558" s="4" t="inlineStr">
        <is>
          <t>B6</t>
        </is>
      </c>
      <c r="D3558" s="4" t="inlineStr">
        <is>
          <t>New facility 1</t>
        </is>
      </c>
      <c r="E3558" s="4" t="inlineStr">
        <is>
          <t>New facility 1</t>
        </is>
      </c>
      <c r="F3558" s="4" t="inlineStr">
        <is>
          <t>GOC Bed Unit-Costing Model v2 — working original.xlsx</t>
        </is>
      </c>
    </row>
    <row r="3559" ht="40" customHeight="1">
      <c r="A3559" s="4" t="inlineStr">
        <is>
          <t>original:Cost plan!C6</t>
        </is>
      </c>
      <c r="B3559" s="4" t="inlineStr">
        <is>
          <t>Cost plan</t>
        </is>
      </c>
      <c r="C3559" s="4" t="inlineStr">
        <is>
          <t>C6</t>
        </is>
      </c>
      <c r="D3559" s="4" t="inlineStr">
        <is>
          <t>NEW1</t>
        </is>
      </c>
      <c r="E3559" s="4" t="inlineStr">
        <is>
          <t>NEW1</t>
        </is>
      </c>
      <c r="F3559" s="4" t="inlineStr">
        <is>
          <t>GOC Bed Unit-Costing Model v2 — working original.xlsx</t>
        </is>
      </c>
    </row>
    <row r="3560" ht="40" customHeight="1">
      <c r="A3560" s="4" t="inlineStr">
        <is>
          <t>original:Cost plan!D6</t>
        </is>
      </c>
      <c r="B3560" s="4" t="inlineStr">
        <is>
          <t>Cost plan</t>
        </is>
      </c>
      <c r="C3560" s="4" t="inlineStr">
        <is>
          <t>D6</t>
        </is>
      </c>
      <c r="D3560" s="4" t="inlineStr">
        <is>
          <t>Production capital</t>
        </is>
      </c>
      <c r="E3560" s="4" t="inlineStr">
        <is>
          <t>Production capital</t>
        </is>
      </c>
      <c r="F3560" s="4" t="inlineStr">
        <is>
          <t>GOC Bed Unit-Costing Model v2 — working original.xlsx</t>
        </is>
      </c>
    </row>
    <row r="3561" ht="40" customHeight="1">
      <c r="A3561" s="4" t="inlineStr">
        <is>
          <t>original:Cost plan!E6</t>
        </is>
      </c>
      <c r="B3561" s="4" t="inlineStr">
        <is>
          <t>Cost plan</t>
        </is>
      </c>
      <c r="C3561" s="4" t="inlineStr">
        <is>
          <t>E6</t>
        </is>
      </c>
      <c r="D3561" s="4" t="inlineStr">
        <is>
          <t>build</t>
        </is>
      </c>
      <c r="E3561" s="4" t="inlineStr">
        <is>
          <t>build</t>
        </is>
      </c>
      <c r="F3561" s="4" t="inlineStr">
        <is>
          <t>GOC Bed Unit-Costing Model v2 — working original.xlsx</t>
        </is>
      </c>
    </row>
    <row r="3562" ht="40" customHeight="1">
      <c r="A3562" s="4" t="inlineStr">
        <is>
          <t>original:Cost plan!F6</t>
        </is>
      </c>
      <c r="B3562" s="4" t="inlineStr">
        <is>
          <t>Cost plan</t>
        </is>
      </c>
      <c r="C3562" s="4" t="inlineStr">
        <is>
          <t>F6</t>
        </is>
      </c>
      <c r="D3562" s="4" t="n">
        <v>1</v>
      </c>
      <c r="E3562" s="4" t="n">
        <v>1</v>
      </c>
      <c r="F3562" s="4" t="inlineStr">
        <is>
          <t>GOC Bed Unit-Costing Model v2 — working original.xlsx</t>
        </is>
      </c>
    </row>
    <row r="3563" ht="40" customHeight="1">
      <c r="A3563" s="4" t="inlineStr">
        <is>
          <t>original:Cost plan!G6</t>
        </is>
      </c>
      <c r="B3563" s="4" t="inlineStr">
        <is>
          <t>Cost plan</t>
        </is>
      </c>
      <c r="C3563" s="4" t="inlineStr">
        <is>
          <t>G6</t>
        </is>
      </c>
      <c r="D3563" s="4" t="inlineStr">
        <is>
          <t>=Sites!E7</t>
        </is>
      </c>
      <c r="E3563" s="4" t="n">
        <v>113000</v>
      </c>
      <c r="F3563" s="4" t="inlineStr">
        <is>
          <t>GOC Bed Unit-Costing Model v2 — working original.xlsx</t>
        </is>
      </c>
    </row>
    <row r="3564" ht="40" customHeight="1">
      <c r="A3564" s="4" t="inlineStr">
        <is>
          <t>original:Cost plan!H6</t>
        </is>
      </c>
      <c r="B3564" s="4" t="inlineStr">
        <is>
          <t>Cost plan</t>
        </is>
      </c>
      <c r="C3564" s="4" t="inlineStr">
        <is>
          <t>H6</t>
        </is>
      </c>
      <c r="D3564" s="4" t="inlineStr">
        <is>
          <t>=IF(COUNT(F6:G6)=2,F6*G6,"")</t>
        </is>
      </c>
      <c r="E3564" s="4" t="n">
        <v>113000</v>
      </c>
      <c r="F3564" s="4" t="inlineStr">
        <is>
          <t>GOC Bed Unit-Costing Model v2 — working original.xlsx</t>
        </is>
      </c>
    </row>
    <row r="3565" ht="40" customHeight="1">
      <c r="A3565" s="4" t="inlineStr">
        <is>
          <t>original:Cost plan!I6</t>
        </is>
      </c>
      <c r="B3565" s="4" t="inlineStr">
        <is>
          <t>Cost plan</t>
        </is>
      </c>
      <c r="C3565" s="4" t="inlineStr">
        <is>
          <t>I6</t>
        </is>
      </c>
      <c r="D3565" s="4" t="n">
        <v>1</v>
      </c>
      <c r="E3565" s="4" t="n">
        <v>1</v>
      </c>
      <c r="F3565" s="4" t="inlineStr">
        <is>
          <t>GOC Bed Unit-Costing Model v2 — working original.xlsx</t>
        </is>
      </c>
    </row>
    <row r="3566" ht="40" customHeight="1">
      <c r="A3566" s="4" t="inlineStr">
        <is>
          <t>original:Cost plan!J6</t>
        </is>
      </c>
      <c r="B3566" s="4" t="inlineStr">
        <is>
          <t>Cost plan</t>
        </is>
      </c>
      <c r="C3566" s="4" t="inlineStr">
        <is>
          <t>J6</t>
        </is>
      </c>
      <c r="D3566" s="4" t="n">
        <v>1</v>
      </c>
      <c r="E3566" s="4" t="n">
        <v>1</v>
      </c>
      <c r="F3566" s="4" t="inlineStr">
        <is>
          <t>GOC Bed Unit-Costing Model v2 — working original.xlsx</t>
        </is>
      </c>
    </row>
    <row r="3567" ht="40" customHeight="1">
      <c r="A3567" s="4" t="inlineStr">
        <is>
          <t>original:Cost plan!K6</t>
        </is>
      </c>
      <c r="B3567" s="4" t="inlineStr">
        <is>
          <t>Cost plan</t>
        </is>
      </c>
      <c r="C3567" s="4" t="inlineStr">
        <is>
          <t>K6</t>
        </is>
      </c>
      <c r="D3567" s="4" t="inlineStr">
        <is>
          <t>Yes</t>
        </is>
      </c>
      <c r="E3567" s="4" t="inlineStr">
        <is>
          <t>Yes</t>
        </is>
      </c>
      <c r="F3567" s="4" t="inlineStr">
        <is>
          <t>GOC Bed Unit-Costing Model v2 — working original.xlsx</t>
        </is>
      </c>
    </row>
    <row r="3568" ht="40" customHeight="1">
      <c r="A3568" s="4" t="inlineStr">
        <is>
          <t>original:Cost plan!L6</t>
        </is>
      </c>
      <c r="B3568" s="4" t="inlineStr">
        <is>
          <t>Cost plan</t>
        </is>
      </c>
      <c r="C3568" s="4" t="inlineStr">
        <is>
          <t>L6</t>
        </is>
      </c>
      <c r="D3568" s="4" t="inlineStr">
        <is>
          <t>=IF(AND(ISNUMBER(H6),K6="Yes"),MIN(H6,MAX(0,Overview!$B$5-SUM(L$5:L5))),0)</t>
        </is>
      </c>
      <c r="E3568" s="4" t="n">
        <v>113000</v>
      </c>
      <c r="F3568" s="4" t="inlineStr">
        <is>
          <t>GOC Bed Unit-Costing Model v2 — working original.xlsx</t>
        </is>
      </c>
    </row>
    <row r="3569" ht="40" customHeight="1">
      <c r="A3569" s="4" t="inlineStr">
        <is>
          <t>original:Cost plan!M6</t>
        </is>
      </c>
      <c r="B3569" s="4" t="inlineStr">
        <is>
          <t>Cost plan</t>
        </is>
      </c>
      <c r="C3569" s="4" t="inlineStr">
        <is>
          <t>M6</t>
        </is>
      </c>
      <c r="D3569" s="4" t="inlineStr">
        <is>
          <t>=IF(ISNUMBER(H6),MIN(MAX(0,H6-L6-N6),MAX(0,SUM(Funding!D7:D9)-SUM(M$5:M5))),0)</t>
        </is>
      </c>
      <c r="E3569" s="4" t="n">
        <v>0</v>
      </c>
      <c r="F3569" s="4" t="inlineStr">
        <is>
          <t>GOC Bed Unit-Costing Model v2 — working original.xlsx</t>
        </is>
      </c>
    </row>
    <row r="3570" ht="40" customHeight="1">
      <c r="A3570" s="4" t="inlineStr">
        <is>
          <t>original:Cost plan!N6</t>
        </is>
      </c>
      <c r="B3570" s="4" t="inlineStr">
        <is>
          <t>Cost plan</t>
        </is>
      </c>
      <c r="C3570" s="4" t="inlineStr">
        <is>
          <t>N6</t>
        </is>
      </c>
      <c r="D3570" s="4" t="inlineStr">
        <is>
          <t>=IF(ISNUMBER(H6),MIN(MAX(0,H6-L6),MAX(0,SUM(Production!M6:M41)-SUM(N$5:N5))),0)</t>
        </is>
      </c>
      <c r="E3570" s="4" t="n">
        <v>0</v>
      </c>
      <c r="F3570" s="4" t="inlineStr">
        <is>
          <t>GOC Bed Unit-Costing Model v2 — working original.xlsx</t>
        </is>
      </c>
    </row>
    <row r="3571" ht="40" customHeight="1">
      <c r="A3571" s="4" t="inlineStr">
        <is>
          <t>original:Cost plan!O6</t>
        </is>
      </c>
      <c r="B3571" s="4" t="inlineStr">
        <is>
          <t>Cost plan</t>
        </is>
      </c>
      <c r="C3571" s="4" t="inlineStr">
        <is>
          <t>O6</t>
        </is>
      </c>
      <c r="D3571" s="4" t="inlineStr">
        <is>
          <t>=IF(ISNUMBER(H6),H6-SUM(L6:N6),"")</t>
        </is>
      </c>
      <c r="E3571" s="4" t="n">
        <v>0</v>
      </c>
      <c r="F3571" s="4" t="inlineStr">
        <is>
          <t>GOC Bed Unit-Costing Model v2 — working original.xlsx</t>
        </is>
      </c>
    </row>
    <row r="3572" ht="40" customHeight="1">
      <c r="A3572" s="4" t="inlineStr">
        <is>
          <t>original:Cost plan!P6</t>
        </is>
      </c>
      <c r="B3572" s="4" t="inlineStr">
        <is>
          <t>Cost plan</t>
        </is>
      </c>
      <c r="C3572" s="4" t="inlineStr">
        <is>
          <t>P6</t>
        </is>
      </c>
      <c r="D3572" s="4" t="inlineStr">
        <is>
          <t>Workbook alternative, not quote</t>
        </is>
      </c>
      <c r="E3572" s="4" t="inlineStr">
        <is>
          <t>Workbook alternative, not quote</t>
        </is>
      </c>
      <c r="F3572" s="4" t="inlineStr">
        <is>
          <t>GOC Bed Unit-Costing Model v2 — working original.xlsx</t>
        </is>
      </c>
    </row>
    <row r="3573" ht="40" customHeight="1">
      <c r="A3573" s="4" t="inlineStr">
        <is>
          <t>original:Cost plan!A7</t>
        </is>
      </c>
      <c r="B3573" s="4" t="inlineStr">
        <is>
          <t>Cost plan</t>
        </is>
      </c>
      <c r="C3573" s="4" t="inlineStr">
        <is>
          <t>A7</t>
        </is>
      </c>
      <c r="D3573" s="4" t="inlineStr">
        <is>
          <t>CAP2</t>
        </is>
      </c>
      <c r="E3573" s="4" t="inlineStr">
        <is>
          <t>CAP2</t>
        </is>
      </c>
      <c r="F3573" s="4" t="inlineStr">
        <is>
          <t>GOC Bed Unit-Costing Model v2 — working original.xlsx</t>
        </is>
      </c>
    </row>
    <row r="3574" ht="40" customHeight="1">
      <c r="A3574" s="4" t="inlineStr">
        <is>
          <t>original:Cost plan!B7</t>
        </is>
      </c>
      <c r="B3574" s="4" t="inlineStr">
        <is>
          <t>Cost plan</t>
        </is>
      </c>
      <c r="C3574" s="4" t="inlineStr">
        <is>
          <t>B7</t>
        </is>
      </c>
      <c r="D3574" s="4" t="inlineStr">
        <is>
          <t>New facility 2</t>
        </is>
      </c>
      <c r="E3574" s="4" t="inlineStr">
        <is>
          <t>New facility 2</t>
        </is>
      </c>
      <c r="F3574" s="4" t="inlineStr">
        <is>
          <t>GOC Bed Unit-Costing Model v2 — working original.xlsx</t>
        </is>
      </c>
    </row>
    <row r="3575" ht="40" customHeight="1">
      <c r="A3575" s="4" t="inlineStr">
        <is>
          <t>original:Cost plan!C7</t>
        </is>
      </c>
      <c r="B3575" s="4" t="inlineStr">
        <is>
          <t>Cost plan</t>
        </is>
      </c>
      <c r="C3575" s="4" t="inlineStr">
        <is>
          <t>C7</t>
        </is>
      </c>
      <c r="D3575" s="4" t="inlineStr">
        <is>
          <t>NEW2</t>
        </is>
      </c>
      <c r="E3575" s="4" t="inlineStr">
        <is>
          <t>NEW2</t>
        </is>
      </c>
      <c r="F3575" s="4" t="inlineStr">
        <is>
          <t>GOC Bed Unit-Costing Model v2 — working original.xlsx</t>
        </is>
      </c>
    </row>
    <row r="3576" ht="40" customHeight="1">
      <c r="A3576" s="4" t="inlineStr">
        <is>
          <t>original:Cost plan!D7</t>
        </is>
      </c>
      <c r="B3576" s="4" t="inlineStr">
        <is>
          <t>Cost plan</t>
        </is>
      </c>
      <c r="C3576" s="4" t="inlineStr">
        <is>
          <t>D7</t>
        </is>
      </c>
      <c r="D3576" s="4" t="inlineStr">
        <is>
          <t>Production capital</t>
        </is>
      </c>
      <c r="E3576" s="4" t="inlineStr">
        <is>
          <t>Production capital</t>
        </is>
      </c>
      <c r="F3576" s="4" t="inlineStr">
        <is>
          <t>GOC Bed Unit-Costing Model v2 — working original.xlsx</t>
        </is>
      </c>
    </row>
    <row r="3577" ht="40" customHeight="1">
      <c r="A3577" s="4" t="inlineStr">
        <is>
          <t>original:Cost plan!E7</t>
        </is>
      </c>
      <c r="B3577" s="4" t="inlineStr">
        <is>
          <t>Cost plan</t>
        </is>
      </c>
      <c r="C3577" s="4" t="inlineStr">
        <is>
          <t>E7</t>
        </is>
      </c>
      <c r="D3577" s="4" t="inlineStr">
        <is>
          <t>build</t>
        </is>
      </c>
      <c r="E3577" s="4" t="inlineStr">
        <is>
          <t>build</t>
        </is>
      </c>
      <c r="F3577" s="4" t="inlineStr">
        <is>
          <t>GOC Bed Unit-Costing Model v2 — working original.xlsx</t>
        </is>
      </c>
    </row>
    <row r="3578" ht="40" customHeight="1">
      <c r="A3578" s="4" t="inlineStr">
        <is>
          <t>original:Cost plan!F7</t>
        </is>
      </c>
      <c r="B3578" s="4" t="inlineStr">
        <is>
          <t>Cost plan</t>
        </is>
      </c>
      <c r="C3578" s="4" t="inlineStr">
        <is>
          <t>F7</t>
        </is>
      </c>
      <c r="D3578" s="4" t="n">
        <v>1</v>
      </c>
      <c r="E3578" s="4" t="n">
        <v>1</v>
      </c>
      <c r="F3578" s="4" t="inlineStr">
        <is>
          <t>GOC Bed Unit-Costing Model v2 — working original.xlsx</t>
        </is>
      </c>
    </row>
    <row r="3579" ht="40" customHeight="1">
      <c r="A3579" s="4" t="inlineStr">
        <is>
          <t>original:Cost plan!G7</t>
        </is>
      </c>
      <c r="B3579" s="4" t="inlineStr">
        <is>
          <t>Cost plan</t>
        </is>
      </c>
      <c r="C3579" s="4" t="inlineStr">
        <is>
          <t>G7</t>
        </is>
      </c>
      <c r="D3579" s="4" t="inlineStr">
        <is>
          <t>=Sites!E8</t>
        </is>
      </c>
      <c r="E3579" s="4" t="n">
        <v>113000</v>
      </c>
      <c r="F3579" s="4" t="inlineStr">
        <is>
          <t>GOC Bed Unit-Costing Model v2 — working original.xlsx</t>
        </is>
      </c>
    </row>
    <row r="3580" ht="40" customHeight="1">
      <c r="A3580" s="4" t="inlineStr">
        <is>
          <t>original:Cost plan!H7</t>
        </is>
      </c>
      <c r="B3580" s="4" t="inlineStr">
        <is>
          <t>Cost plan</t>
        </is>
      </c>
      <c r="C3580" s="4" t="inlineStr">
        <is>
          <t>H7</t>
        </is>
      </c>
      <c r="D3580" s="4" t="inlineStr">
        <is>
          <t>=IF(COUNT(F7:G7)=2,F7*G7,"")</t>
        </is>
      </c>
      <c r="E3580" s="4" t="n">
        <v>113000</v>
      </c>
      <c r="F3580" s="4" t="inlineStr">
        <is>
          <t>GOC Bed Unit-Costing Model v2 — working original.xlsx</t>
        </is>
      </c>
    </row>
    <row r="3581" ht="40" customHeight="1">
      <c r="A3581" s="4" t="inlineStr">
        <is>
          <t>original:Cost plan!I7</t>
        </is>
      </c>
      <c r="B3581" s="4" t="inlineStr">
        <is>
          <t>Cost plan</t>
        </is>
      </c>
      <c r="C3581" s="4" t="inlineStr">
        <is>
          <t>I7</t>
        </is>
      </c>
      <c r="D3581" s="4" t="n">
        <v>4</v>
      </c>
      <c r="E3581" s="4" t="n">
        <v>4</v>
      </c>
      <c r="F3581" s="4" t="inlineStr">
        <is>
          <t>GOC Bed Unit-Costing Model v2 — working original.xlsx</t>
        </is>
      </c>
    </row>
    <row r="3582" ht="40" customHeight="1">
      <c r="A3582" s="4" t="inlineStr">
        <is>
          <t>original:Cost plan!J7</t>
        </is>
      </c>
      <c r="B3582" s="4" t="inlineStr">
        <is>
          <t>Cost plan</t>
        </is>
      </c>
      <c r="C3582" s="4" t="inlineStr">
        <is>
          <t>J7</t>
        </is>
      </c>
      <c r="D3582" s="4" t="n">
        <v>1</v>
      </c>
      <c r="E3582" s="4" t="n">
        <v>1</v>
      </c>
      <c r="F3582" s="4" t="inlineStr">
        <is>
          <t>GOC Bed Unit-Costing Model v2 — working original.xlsx</t>
        </is>
      </c>
    </row>
    <row r="3583" ht="40" customHeight="1">
      <c r="A3583" s="4" t="inlineStr">
        <is>
          <t>original:Cost plan!K7</t>
        </is>
      </c>
      <c r="B3583" s="4" t="inlineStr">
        <is>
          <t>Cost plan</t>
        </is>
      </c>
      <c r="C3583" s="4" t="inlineStr">
        <is>
          <t>K7</t>
        </is>
      </c>
      <c r="D3583" s="4" t="inlineStr">
        <is>
          <t>Yes</t>
        </is>
      </c>
      <c r="E3583" s="4" t="inlineStr">
        <is>
          <t>Yes</t>
        </is>
      </c>
      <c r="F3583" s="4" t="inlineStr">
        <is>
          <t>GOC Bed Unit-Costing Model v2 — working original.xlsx</t>
        </is>
      </c>
    </row>
    <row r="3584" ht="40" customHeight="1">
      <c r="A3584" s="4" t="inlineStr">
        <is>
          <t>original:Cost plan!L7</t>
        </is>
      </c>
      <c r="B3584" s="4" t="inlineStr">
        <is>
          <t>Cost plan</t>
        </is>
      </c>
      <c r="C3584" s="4" t="inlineStr">
        <is>
          <t>L7</t>
        </is>
      </c>
      <c r="D3584" s="4" t="inlineStr">
        <is>
          <t>=IF(AND(ISNUMBER(H7),K7="Yes"),MIN(H7,MAX(0,Overview!$B$5-SUM(L$5:L6))),0)</t>
        </is>
      </c>
      <c r="E3584" s="4" t="n">
        <v>113000</v>
      </c>
      <c r="F3584" s="4" t="inlineStr">
        <is>
          <t>GOC Bed Unit-Costing Model v2 — working original.xlsx</t>
        </is>
      </c>
    </row>
    <row r="3585" ht="40" customHeight="1">
      <c r="A3585" s="4" t="inlineStr">
        <is>
          <t>original:Cost plan!M7</t>
        </is>
      </c>
      <c r="B3585" s="4" t="inlineStr">
        <is>
          <t>Cost plan</t>
        </is>
      </c>
      <c r="C3585" s="4" t="inlineStr">
        <is>
          <t>M7</t>
        </is>
      </c>
      <c r="D3585" s="4" t="inlineStr">
        <is>
          <t>=IF(ISNUMBER(H7),MIN(MAX(0,H7-L7-N7),MAX(0,SUM(Funding!D7:D9)-SUM(M$5:M6))),0)</t>
        </is>
      </c>
      <c r="E3585" s="4" t="n">
        <v>0</v>
      </c>
      <c r="F3585" s="4" t="inlineStr">
        <is>
          <t>GOC Bed Unit-Costing Model v2 — working original.xlsx</t>
        </is>
      </c>
    </row>
    <row r="3586" ht="40" customHeight="1">
      <c r="A3586" s="4" t="inlineStr">
        <is>
          <t>original:Cost plan!N7</t>
        </is>
      </c>
      <c r="B3586" s="4" t="inlineStr">
        <is>
          <t>Cost plan</t>
        </is>
      </c>
      <c r="C3586" s="4" t="inlineStr">
        <is>
          <t>N7</t>
        </is>
      </c>
      <c r="D3586" s="4" t="inlineStr">
        <is>
          <t>=IF(ISNUMBER(H7),MIN(MAX(0,H7-L7),MAX(0,SUM(Production!M6:M41)-SUM(N$5:N6))),0)</t>
        </is>
      </c>
      <c r="E3586" s="4" t="n">
        <v>0</v>
      </c>
      <c r="F3586" s="4" t="inlineStr">
        <is>
          <t>GOC Bed Unit-Costing Model v2 — working original.xlsx</t>
        </is>
      </c>
    </row>
    <row r="3587" ht="40" customHeight="1">
      <c r="A3587" s="4" t="inlineStr">
        <is>
          <t>original:Cost plan!O7</t>
        </is>
      </c>
      <c r="B3587" s="4" t="inlineStr">
        <is>
          <t>Cost plan</t>
        </is>
      </c>
      <c r="C3587" s="4" t="inlineStr">
        <is>
          <t>O7</t>
        </is>
      </c>
      <c r="D3587" s="4" t="inlineStr">
        <is>
          <t>=IF(ISNUMBER(H7),H7-SUM(L7:N7),"")</t>
        </is>
      </c>
      <c r="E3587" s="4" t="n">
        <v>0</v>
      </c>
      <c r="F3587" s="4" t="inlineStr">
        <is>
          <t>GOC Bed Unit-Costing Model v2 — working original.xlsx</t>
        </is>
      </c>
    </row>
    <row r="3588" ht="40" customHeight="1">
      <c r="A3588" s="4" t="inlineStr">
        <is>
          <t>original:Cost plan!P7</t>
        </is>
      </c>
      <c r="B3588" s="4" t="inlineStr">
        <is>
          <t>Cost plan</t>
        </is>
      </c>
      <c r="C3588" s="4" t="inlineStr">
        <is>
          <t>P7</t>
        </is>
      </c>
      <c r="D3588" s="4" t="inlineStr">
        <is>
          <t>Workbook alternative, not quote</t>
        </is>
      </c>
      <c r="E3588" s="4" t="inlineStr">
        <is>
          <t>Workbook alternative, not quote</t>
        </is>
      </c>
      <c r="F3588" s="4" t="inlineStr">
        <is>
          <t>GOC Bed Unit-Costing Model v2 — working original.xlsx</t>
        </is>
      </c>
    </row>
    <row r="3589" ht="40" customHeight="1">
      <c r="A3589" s="4" t="inlineStr">
        <is>
          <t>original:Cost plan!A8</t>
        </is>
      </c>
      <c r="B3589" s="4" t="inlineStr">
        <is>
          <t>Cost plan</t>
        </is>
      </c>
      <c r="C3589" s="4" t="inlineStr">
        <is>
          <t>A8</t>
        </is>
      </c>
      <c r="D3589" s="4" t="inlineStr">
        <is>
          <t>BED1</t>
        </is>
      </c>
      <c r="E3589" s="4" t="inlineStr">
        <is>
          <t>BED1</t>
        </is>
      </c>
      <c r="F3589" s="4" t="inlineStr">
        <is>
          <t>GOC Bed Unit-Costing Model v2 — working original.xlsx</t>
        </is>
      </c>
    </row>
    <row r="3590" ht="40" customHeight="1">
      <c r="A3590" s="4" t="inlineStr">
        <is>
          <t>original:Cost plan!B8</t>
        </is>
      </c>
      <c r="B3590" s="4" t="inlineStr">
        <is>
          <t>Cost plan</t>
        </is>
      </c>
      <c r="C3590" s="4" t="inlineStr">
        <is>
          <t>B8</t>
        </is>
      </c>
      <c r="D3590" s="4" t="inlineStr">
        <is>
          <t>Witta manufacturing</t>
        </is>
      </c>
      <c r="E3590" s="4" t="inlineStr">
        <is>
          <t>Witta manufacturing</t>
        </is>
      </c>
      <c r="F3590" s="4" t="inlineStr">
        <is>
          <t>GOC Bed Unit-Costing Model v2 — working original.xlsx</t>
        </is>
      </c>
    </row>
    <row r="3591" ht="40" customHeight="1">
      <c r="A3591" s="4" t="inlineStr">
        <is>
          <t>original:Cost plan!C8</t>
        </is>
      </c>
      <c r="B3591" s="4" t="inlineStr">
        <is>
          <t>Cost plan</t>
        </is>
      </c>
      <c r="C3591" s="4" t="inlineStr">
        <is>
          <t>C8</t>
        </is>
      </c>
      <c r="D3591" s="4" t="inlineStr">
        <is>
          <t>WITTA</t>
        </is>
      </c>
      <c r="E3591" s="4" t="inlineStr">
        <is>
          <t>WITTA</t>
        </is>
      </c>
      <c r="F3591" s="4" t="inlineStr">
        <is>
          <t>GOC Bed Unit-Costing Model v2 — working original.xlsx</t>
        </is>
      </c>
    </row>
    <row r="3592" ht="40" customHeight="1">
      <c r="A3592" s="4" t="inlineStr">
        <is>
          <t>original:Cost plan!D8</t>
        </is>
      </c>
      <c r="B3592" s="4" t="inlineStr">
        <is>
          <t>Cost plan</t>
        </is>
      </c>
      <c r="C3592" s="4" t="inlineStr">
        <is>
          <t>D8</t>
        </is>
      </c>
      <c r="D3592" s="4" t="inlineStr">
        <is>
          <t>Product making</t>
        </is>
      </c>
      <c r="E3592" s="4" t="inlineStr">
        <is>
          <t>Product making</t>
        </is>
      </c>
      <c r="F3592" s="4" t="inlineStr">
        <is>
          <t>GOC Bed Unit-Costing Model v2 — working original.xlsx</t>
        </is>
      </c>
    </row>
    <row r="3593" ht="40" customHeight="1">
      <c r="A3593" s="4" t="inlineStr">
        <is>
          <t>original:Cost plan!E8</t>
        </is>
      </c>
      <c r="B3593" s="4" t="inlineStr">
        <is>
          <t>Cost plan</t>
        </is>
      </c>
      <c r="C3593" s="4" t="inlineStr">
        <is>
          <t>E8</t>
        </is>
      </c>
      <c r="D3593" s="4" t="inlineStr">
        <is>
          <t>phase</t>
        </is>
      </c>
      <c r="E3593" s="4" t="inlineStr">
        <is>
          <t>phase</t>
        </is>
      </c>
      <c r="F3593" s="4" t="inlineStr">
        <is>
          <t>GOC Bed Unit-Costing Model v2 — working original.xlsx</t>
        </is>
      </c>
    </row>
    <row r="3594" ht="40" customHeight="1">
      <c r="A3594" s="4" t="inlineStr">
        <is>
          <t>original:Cost plan!F8</t>
        </is>
      </c>
      <c r="B3594" s="4" t="inlineStr">
        <is>
          <t>Cost plan</t>
        </is>
      </c>
      <c r="C3594" s="4" t="inlineStr">
        <is>
          <t>F8</t>
        </is>
      </c>
      <c r="D3594" s="4" t="n">
        <v>1</v>
      </c>
      <c r="E3594" s="4" t="n">
        <v>1</v>
      </c>
      <c r="F3594" s="4" t="inlineStr">
        <is>
          <t>GOC Bed Unit-Costing Model v2 — working original.xlsx</t>
        </is>
      </c>
    </row>
    <row r="3595" ht="40" customHeight="1">
      <c r="A3595" s="4" t="inlineStr">
        <is>
          <t>original:Cost plan!G8</t>
        </is>
      </c>
      <c r="B3595" s="4" t="inlineStr">
        <is>
          <t>Cost plan</t>
        </is>
      </c>
      <c r="C3595" s="4" t="inlineStr">
        <is>
          <t>G8</t>
        </is>
      </c>
      <c r="D3595" s="4" t="inlineStr">
        <is>
          <t>=IF(COUNT(Production!K6:K41)=36,SUMIF(Production!B6:B41,"WITTA",Production!K6:K41),"")</t>
        </is>
      </c>
      <c r="E3595" s="4" t="n">
        <v>59148</v>
      </c>
      <c r="F3595" s="4" t="inlineStr">
        <is>
          <t>GOC Bed Unit-Costing Model v2 — working original.xlsx</t>
        </is>
      </c>
    </row>
    <row r="3596" ht="40" customHeight="1">
      <c r="A3596" s="4" t="inlineStr">
        <is>
          <t>original:Cost plan!H8</t>
        </is>
      </c>
      <c r="B3596" s="4" t="inlineStr">
        <is>
          <t>Cost plan</t>
        </is>
      </c>
      <c r="C3596" s="4" t="inlineStr">
        <is>
          <t>H8</t>
        </is>
      </c>
      <c r="D3596" s="4" t="inlineStr">
        <is>
          <t>=IF(COUNT(F8:G8)=2,F8*G8,"")</t>
        </is>
      </c>
      <c r="E3596" s="4" t="n">
        <v>59148</v>
      </c>
      <c r="F3596" s="4" t="inlineStr">
        <is>
          <t>GOC Bed Unit-Costing Model v2 — working original.xlsx</t>
        </is>
      </c>
    </row>
    <row r="3597" ht="40" customHeight="1">
      <c r="A3597" s="4" t="inlineStr">
        <is>
          <t>original:Cost plan!I8</t>
        </is>
      </c>
      <c r="B3597" s="4" t="inlineStr">
        <is>
          <t>Cost plan</t>
        </is>
      </c>
      <c r="C3597" s="4" t="inlineStr">
        <is>
          <t>I8</t>
        </is>
      </c>
      <c r="D3597" s="4" t="n">
        <v>1</v>
      </c>
      <c r="E3597" s="4" t="n">
        <v>1</v>
      </c>
      <c r="F3597" s="4" t="inlineStr">
        <is>
          <t>GOC Bed Unit-Costing Model v2 — working original.xlsx</t>
        </is>
      </c>
    </row>
    <row r="3598" ht="40" customHeight="1">
      <c r="A3598" s="4" t="inlineStr">
        <is>
          <t>original:Cost plan!J8</t>
        </is>
      </c>
      <c r="B3598" s="4" t="inlineStr">
        <is>
          <t>Cost plan</t>
        </is>
      </c>
      <c r="C3598" s="4" t="inlineStr">
        <is>
          <t>J8</t>
        </is>
      </c>
      <c r="D3598" s="4" t="n">
        <v>12</v>
      </c>
      <c r="E3598" s="4" t="n">
        <v>12</v>
      </c>
      <c r="F3598" s="4" t="inlineStr">
        <is>
          <t>GOC Bed Unit-Costing Model v2 — working original.xlsx</t>
        </is>
      </c>
    </row>
    <row r="3599" ht="40" customHeight="1">
      <c r="A3599" s="4" t="inlineStr">
        <is>
          <t>original:Cost plan!K8</t>
        </is>
      </c>
      <c r="B3599" s="4" t="inlineStr">
        <is>
          <t>Cost plan</t>
        </is>
      </c>
      <c r="C3599" s="4" t="inlineStr">
        <is>
          <t>K8</t>
        </is>
      </c>
      <c r="D3599" s="4" t="inlineStr">
        <is>
          <t>Yes</t>
        </is>
      </c>
      <c r="E3599" s="4" t="inlineStr">
        <is>
          <t>Yes</t>
        </is>
      </c>
      <c r="F3599" s="4" t="inlineStr">
        <is>
          <t>GOC Bed Unit-Costing Model v2 — working original.xlsx</t>
        </is>
      </c>
    </row>
    <row r="3600" ht="40" customHeight="1">
      <c r="A3600" s="4" t="inlineStr">
        <is>
          <t>original:Cost plan!L8</t>
        </is>
      </c>
      <c r="B3600" s="4" t="inlineStr">
        <is>
          <t>Cost plan</t>
        </is>
      </c>
      <c r="C3600" s="4" t="inlineStr">
        <is>
          <t>L8</t>
        </is>
      </c>
      <c r="D3600" s="4" t="inlineStr">
        <is>
          <t>=IF(AND(ISNUMBER(H8),K8="Yes"),MIN(H8,MAX(0,Overview!$B$5-SUM(L$5:L7))),0)</t>
        </is>
      </c>
      <c r="E3600" s="4" t="n">
        <v>24000</v>
      </c>
      <c r="F3600" s="4" t="inlineStr">
        <is>
          <t>GOC Bed Unit-Costing Model v2 — working original.xlsx</t>
        </is>
      </c>
    </row>
    <row r="3601" ht="40" customHeight="1">
      <c r="A3601" s="4" t="inlineStr">
        <is>
          <t>original:Cost plan!M8</t>
        </is>
      </c>
      <c r="B3601" s="4" t="inlineStr">
        <is>
          <t>Cost plan</t>
        </is>
      </c>
      <c r="C3601" s="4" t="inlineStr">
        <is>
          <t>M8</t>
        </is>
      </c>
      <c r="D3601" s="4" t="inlineStr">
        <is>
          <t>=IF(ISNUMBER(H8),MIN(MAX(0,H8-L8-N8),MAX(0,SUM(Funding!D7:D9)-SUM(M$5:M7))),0)</t>
        </is>
      </c>
      <c r="E3601" s="4" t="n">
        <v>35148</v>
      </c>
      <c r="F3601" s="4" t="inlineStr">
        <is>
          <t>GOC Bed Unit-Costing Model v2 — working original.xlsx</t>
        </is>
      </c>
    </row>
    <row r="3602" ht="40" customHeight="1">
      <c r="A3602" s="4" t="inlineStr">
        <is>
          <t>original:Cost plan!N8</t>
        </is>
      </c>
      <c r="B3602" s="4" t="inlineStr">
        <is>
          <t>Cost plan</t>
        </is>
      </c>
      <c r="C3602" s="4" t="inlineStr">
        <is>
          <t>N8</t>
        </is>
      </c>
      <c r="D3602" s="4" t="inlineStr">
        <is>
          <t>=IF(ISNUMBER(H8),MIN(MAX(0,H8-L8),MAX(0,SUM(Production!M6:M41)-SUM(N$5:N7))),0)</t>
        </is>
      </c>
      <c r="E3602" s="4" t="n">
        <v>0</v>
      </c>
      <c r="F3602" s="4" t="inlineStr">
        <is>
          <t>GOC Bed Unit-Costing Model v2 — working original.xlsx</t>
        </is>
      </c>
    </row>
    <row r="3603" ht="40" customHeight="1">
      <c r="A3603" s="4" t="inlineStr">
        <is>
          <t>original:Cost plan!O8</t>
        </is>
      </c>
      <c r="B3603" s="4" t="inlineStr">
        <is>
          <t>Cost plan</t>
        </is>
      </c>
      <c r="C3603" s="4" t="inlineStr">
        <is>
          <t>O8</t>
        </is>
      </c>
      <c r="D3603" s="4" t="inlineStr">
        <is>
          <t>=IF(ISNUMBER(H8),H8-SUM(L8:N8),"")</t>
        </is>
      </c>
      <c r="E3603" s="4" t="n">
        <v>0</v>
      </c>
      <c r="F3603" s="4" t="inlineStr">
        <is>
          <t>GOC Bed Unit-Costing Model v2 — working original.xlsx</t>
        </is>
      </c>
    </row>
    <row r="3604" ht="40" customHeight="1">
      <c r="A3604" s="4" t="inlineStr">
        <is>
          <t>original:Cost plan!P8</t>
        </is>
      </c>
      <c r="B3604" s="4" t="inlineStr">
        <is>
          <t>Cost plan</t>
        </is>
      </c>
      <c r="C3604" s="4" t="inlineStr">
        <is>
          <t>P8</t>
        </is>
      </c>
      <c r="D3604" s="4" t="inlineStr">
        <is>
          <t>Unit costs × monthly units made</t>
        </is>
      </c>
      <c r="E3604" s="4" t="inlineStr">
        <is>
          <t>Unit costs × monthly units made</t>
        </is>
      </c>
      <c r="F3604" s="4" t="inlineStr">
        <is>
          <t>GOC Bed Unit-Costing Model v2 — working original.xlsx</t>
        </is>
      </c>
    </row>
    <row r="3605" ht="40" customHeight="1">
      <c r="A3605" s="4" t="inlineStr">
        <is>
          <t>original:Cost plan!A9</t>
        </is>
      </c>
      <c r="B3605" s="4" t="inlineStr">
        <is>
          <t>Cost plan</t>
        </is>
      </c>
      <c r="C3605" s="4" t="inlineStr">
        <is>
          <t>A9</t>
        </is>
      </c>
      <c r="D3605" s="4" t="inlineStr">
        <is>
          <t>BED2</t>
        </is>
      </c>
      <c r="E3605" s="4" t="inlineStr">
        <is>
          <t>BED2</t>
        </is>
      </c>
      <c r="F3605" s="4" t="inlineStr">
        <is>
          <t>GOC Bed Unit-Costing Model v2 — working original.xlsx</t>
        </is>
      </c>
    </row>
    <row r="3606" ht="40" customHeight="1">
      <c r="A3606" s="4" t="inlineStr">
        <is>
          <t>original:Cost plan!B9</t>
        </is>
      </c>
      <c r="B3606" s="4" t="inlineStr">
        <is>
          <t>Cost plan</t>
        </is>
      </c>
      <c r="C3606" s="4" t="inlineStr">
        <is>
          <t>B9</t>
        </is>
      </c>
      <c r="D3606" s="4" t="inlineStr">
        <is>
          <t>New facility 1 manufacturing</t>
        </is>
      </c>
      <c r="E3606" s="4" t="inlineStr">
        <is>
          <t>New facility 1 manufacturing</t>
        </is>
      </c>
      <c r="F3606" s="4" t="inlineStr">
        <is>
          <t>GOC Bed Unit-Costing Model v2 — working original.xlsx</t>
        </is>
      </c>
    </row>
    <row r="3607" ht="40" customHeight="1">
      <c r="A3607" s="4" t="inlineStr">
        <is>
          <t>original:Cost plan!C9</t>
        </is>
      </c>
      <c r="B3607" s="4" t="inlineStr">
        <is>
          <t>Cost plan</t>
        </is>
      </c>
      <c r="C3607" s="4" t="inlineStr">
        <is>
          <t>C9</t>
        </is>
      </c>
      <c r="D3607" s="4" t="inlineStr">
        <is>
          <t>NEW1</t>
        </is>
      </c>
      <c r="E3607" s="4" t="inlineStr">
        <is>
          <t>NEW1</t>
        </is>
      </c>
      <c r="F3607" s="4" t="inlineStr">
        <is>
          <t>GOC Bed Unit-Costing Model v2 — working original.xlsx</t>
        </is>
      </c>
    </row>
    <row r="3608" ht="40" customHeight="1">
      <c r="A3608" s="4" t="inlineStr">
        <is>
          <t>original:Cost plan!D9</t>
        </is>
      </c>
      <c r="B3608" s="4" t="inlineStr">
        <is>
          <t>Cost plan</t>
        </is>
      </c>
      <c r="C3608" s="4" t="inlineStr">
        <is>
          <t>D9</t>
        </is>
      </c>
      <c r="D3608" s="4" t="inlineStr">
        <is>
          <t>Product making</t>
        </is>
      </c>
      <c r="E3608" s="4" t="inlineStr">
        <is>
          <t>Product making</t>
        </is>
      </c>
      <c r="F3608" s="4" t="inlineStr">
        <is>
          <t>GOC Bed Unit-Costing Model v2 — working original.xlsx</t>
        </is>
      </c>
    </row>
    <row r="3609" ht="40" customHeight="1">
      <c r="A3609" s="4" t="inlineStr">
        <is>
          <t>original:Cost plan!E9</t>
        </is>
      </c>
      <c r="B3609" s="4" t="inlineStr">
        <is>
          <t>Cost plan</t>
        </is>
      </c>
      <c r="C3609" s="4" t="inlineStr">
        <is>
          <t>E9</t>
        </is>
      </c>
      <c r="D3609" s="4" t="inlineStr">
        <is>
          <t>phase</t>
        </is>
      </c>
      <c r="E3609" s="4" t="inlineStr">
        <is>
          <t>phase</t>
        </is>
      </c>
      <c r="F3609" s="4" t="inlineStr">
        <is>
          <t>GOC Bed Unit-Costing Model v2 — working original.xlsx</t>
        </is>
      </c>
    </row>
    <row r="3610" ht="40" customHeight="1">
      <c r="A3610" s="4" t="inlineStr">
        <is>
          <t>original:Cost plan!F9</t>
        </is>
      </c>
      <c r="B3610" s="4" t="inlineStr">
        <is>
          <t>Cost plan</t>
        </is>
      </c>
      <c r="C3610" s="4" t="inlineStr">
        <is>
          <t>F9</t>
        </is>
      </c>
      <c r="D3610" s="4" t="n">
        <v>1</v>
      </c>
      <c r="E3610" s="4" t="n">
        <v>1</v>
      </c>
      <c r="F3610" s="4" t="inlineStr">
        <is>
          <t>GOC Bed Unit-Costing Model v2 — working original.xlsx</t>
        </is>
      </c>
    </row>
    <row r="3611" ht="40" customHeight="1">
      <c r="A3611" s="4" t="inlineStr">
        <is>
          <t>original:Cost plan!G9</t>
        </is>
      </c>
      <c r="B3611" s="4" t="inlineStr">
        <is>
          <t>Cost plan</t>
        </is>
      </c>
      <c r="C3611" s="4" t="inlineStr">
        <is>
          <t>G9</t>
        </is>
      </c>
      <c r="D3611" s="4" t="inlineStr">
        <is>
          <t>=IF(COUNT(Production!K6:K41)=36,SUMIF(Production!B6:B41,"NEW1",Production!K6:K41),"")</t>
        </is>
      </c>
      <c r="E3611" s="4" t="n">
        <v>27074</v>
      </c>
      <c r="F3611" s="4" t="inlineStr">
        <is>
          <t>GOC Bed Unit-Costing Model v2 — working original.xlsx</t>
        </is>
      </c>
    </row>
    <row r="3612" ht="40" customHeight="1">
      <c r="A3612" s="4" t="inlineStr">
        <is>
          <t>original:Cost plan!H9</t>
        </is>
      </c>
      <c r="B3612" s="4" t="inlineStr">
        <is>
          <t>Cost plan</t>
        </is>
      </c>
      <c r="C3612" s="4" t="inlineStr">
        <is>
          <t>H9</t>
        </is>
      </c>
      <c r="D3612" s="4" t="inlineStr">
        <is>
          <t>=IF(COUNT(F9:G9)=2,F9*G9,"")</t>
        </is>
      </c>
      <c r="E3612" s="4" t="n">
        <v>27074</v>
      </c>
      <c r="F3612" s="4" t="inlineStr">
        <is>
          <t>GOC Bed Unit-Costing Model v2 — working original.xlsx</t>
        </is>
      </c>
    </row>
    <row r="3613" ht="40" customHeight="1">
      <c r="A3613" s="4" t="inlineStr">
        <is>
          <t>original:Cost plan!I9</t>
        </is>
      </c>
      <c r="B3613" s="4" t="inlineStr">
        <is>
          <t>Cost plan</t>
        </is>
      </c>
      <c r="C3613" s="4" t="inlineStr">
        <is>
          <t>I9</t>
        </is>
      </c>
      <c r="D3613" s="4" t="n">
        <v>4</v>
      </c>
      <c r="E3613" s="4" t="n">
        <v>4</v>
      </c>
      <c r="F3613" s="4" t="inlineStr">
        <is>
          <t>GOC Bed Unit-Costing Model v2 — working original.xlsx</t>
        </is>
      </c>
    </row>
    <row r="3614" ht="40" customHeight="1">
      <c r="A3614" s="4" t="inlineStr">
        <is>
          <t>original:Cost plan!J9</t>
        </is>
      </c>
      <c r="B3614" s="4" t="inlineStr">
        <is>
          <t>Cost plan</t>
        </is>
      </c>
      <c r="C3614" s="4" t="inlineStr">
        <is>
          <t>J9</t>
        </is>
      </c>
      <c r="D3614" s="4" t="n">
        <v>9</v>
      </c>
      <c r="E3614" s="4" t="n">
        <v>9</v>
      </c>
      <c r="F3614" s="4" t="inlineStr">
        <is>
          <t>GOC Bed Unit-Costing Model v2 — working original.xlsx</t>
        </is>
      </c>
    </row>
    <row r="3615" ht="40" customHeight="1">
      <c r="A3615" s="4" t="inlineStr">
        <is>
          <t>original:Cost plan!K9</t>
        </is>
      </c>
      <c r="B3615" s="4" t="inlineStr">
        <is>
          <t>Cost plan</t>
        </is>
      </c>
      <c r="C3615" s="4" t="inlineStr">
        <is>
          <t>K9</t>
        </is>
      </c>
      <c r="D3615" s="4" t="inlineStr">
        <is>
          <t>Yes</t>
        </is>
      </c>
      <c r="E3615" s="4" t="inlineStr">
        <is>
          <t>Yes</t>
        </is>
      </c>
      <c r="F3615" s="4" t="inlineStr">
        <is>
          <t>GOC Bed Unit-Costing Model v2 — working original.xlsx</t>
        </is>
      </c>
    </row>
    <row r="3616" ht="40" customHeight="1">
      <c r="A3616" s="4" t="inlineStr">
        <is>
          <t>original:Cost plan!L9</t>
        </is>
      </c>
      <c r="B3616" s="4" t="inlineStr">
        <is>
          <t>Cost plan</t>
        </is>
      </c>
      <c r="C3616" s="4" t="inlineStr">
        <is>
          <t>L9</t>
        </is>
      </c>
      <c r="D3616" s="4" t="inlineStr">
        <is>
          <t>=IF(AND(ISNUMBER(H9),K9="Yes"),MIN(H9,MAX(0,Overview!$B$5-SUM(L$5:L8))),0)</t>
        </is>
      </c>
      <c r="E3616" s="4" t="n">
        <v>0</v>
      </c>
      <c r="F3616" s="4" t="inlineStr">
        <is>
          <t>GOC Bed Unit-Costing Model v2 — working original.xlsx</t>
        </is>
      </c>
    </row>
    <row r="3617" ht="40" customHeight="1">
      <c r="A3617" s="4" t="inlineStr">
        <is>
          <t>original:Cost plan!M9</t>
        </is>
      </c>
      <c r="B3617" s="4" t="inlineStr">
        <is>
          <t>Cost plan</t>
        </is>
      </c>
      <c r="C3617" s="4" t="inlineStr">
        <is>
          <t>M9</t>
        </is>
      </c>
      <c r="D3617" s="4" t="inlineStr">
        <is>
          <t>=IF(ISNUMBER(H9),MIN(MAX(0,H9-L9-N9),MAX(0,SUM(Funding!D7:D9)-SUM(M$5:M8))),0)</t>
        </is>
      </c>
      <c r="E3617" s="4" t="n">
        <v>27074</v>
      </c>
      <c r="F3617" s="4" t="inlineStr">
        <is>
          <t>GOC Bed Unit-Costing Model v2 — working original.xlsx</t>
        </is>
      </c>
    </row>
    <row r="3618" ht="40" customHeight="1">
      <c r="A3618" s="4" t="inlineStr">
        <is>
          <t>original:Cost plan!N9</t>
        </is>
      </c>
      <c r="B3618" s="4" t="inlineStr">
        <is>
          <t>Cost plan</t>
        </is>
      </c>
      <c r="C3618" s="4" t="inlineStr">
        <is>
          <t>N9</t>
        </is>
      </c>
      <c r="D3618" s="4" t="inlineStr">
        <is>
          <t>=IF(ISNUMBER(H9),MIN(MAX(0,H9-L9),MAX(0,SUM(Production!M6:M41)-SUM(N$5:N8))),0)</t>
        </is>
      </c>
      <c r="E3618" s="4" t="n">
        <v>0</v>
      </c>
      <c r="F3618" s="4" t="inlineStr">
        <is>
          <t>GOC Bed Unit-Costing Model v2 — working original.xlsx</t>
        </is>
      </c>
    </row>
    <row r="3619" ht="40" customHeight="1">
      <c r="A3619" s="4" t="inlineStr">
        <is>
          <t>original:Cost plan!O9</t>
        </is>
      </c>
      <c r="B3619" s="4" t="inlineStr">
        <is>
          <t>Cost plan</t>
        </is>
      </c>
      <c r="C3619" s="4" t="inlineStr">
        <is>
          <t>O9</t>
        </is>
      </c>
      <c r="D3619" s="4" t="inlineStr">
        <is>
          <t>=IF(ISNUMBER(H9),H9-SUM(L9:N9),"")</t>
        </is>
      </c>
      <c r="E3619" s="4" t="n">
        <v>0</v>
      </c>
      <c r="F3619" s="4" t="inlineStr">
        <is>
          <t>GOC Bed Unit-Costing Model v2 — working original.xlsx</t>
        </is>
      </c>
    </row>
    <row r="3620" ht="40" customHeight="1">
      <c r="A3620" s="4" t="inlineStr">
        <is>
          <t>original:Cost plan!P9</t>
        </is>
      </c>
      <c r="B3620" s="4" t="inlineStr">
        <is>
          <t>Cost plan</t>
        </is>
      </c>
      <c r="C3620" s="4" t="inlineStr">
        <is>
          <t>P9</t>
        </is>
      </c>
      <c r="D3620" s="4" t="inlineStr">
        <is>
          <t>Local feedstock/labour need validation</t>
        </is>
      </c>
      <c r="E3620" s="4" t="inlineStr">
        <is>
          <t>Local feedstock/labour need validation</t>
        </is>
      </c>
      <c r="F3620" s="4" t="inlineStr">
        <is>
          <t>GOC Bed Unit-Costing Model v2 — working original.xlsx</t>
        </is>
      </c>
    </row>
    <row r="3621" ht="40" customHeight="1">
      <c r="A3621" s="4" t="inlineStr">
        <is>
          <t>original:Cost plan!A10</t>
        </is>
      </c>
      <c r="B3621" s="4" t="inlineStr">
        <is>
          <t>Cost plan</t>
        </is>
      </c>
      <c r="C3621" s="4" t="inlineStr">
        <is>
          <t>A10</t>
        </is>
      </c>
      <c r="D3621" s="4" t="inlineStr">
        <is>
          <t>BED3</t>
        </is>
      </c>
      <c r="E3621" s="4" t="inlineStr">
        <is>
          <t>BED3</t>
        </is>
      </c>
      <c r="F3621" s="4" t="inlineStr">
        <is>
          <t>GOC Bed Unit-Costing Model v2 — working original.xlsx</t>
        </is>
      </c>
    </row>
    <row r="3622" ht="40" customHeight="1">
      <c r="A3622" s="4" t="inlineStr">
        <is>
          <t>original:Cost plan!B10</t>
        </is>
      </c>
      <c r="B3622" s="4" t="inlineStr">
        <is>
          <t>Cost plan</t>
        </is>
      </c>
      <c r="C3622" s="4" t="inlineStr">
        <is>
          <t>B10</t>
        </is>
      </c>
      <c r="D3622" s="4" t="inlineStr">
        <is>
          <t>New facility 2 manufacturing</t>
        </is>
      </c>
      <c r="E3622" s="4" t="inlineStr">
        <is>
          <t>New facility 2 manufacturing</t>
        </is>
      </c>
      <c r="F3622" s="4" t="inlineStr">
        <is>
          <t>GOC Bed Unit-Costing Model v2 — working original.xlsx</t>
        </is>
      </c>
    </row>
    <row r="3623" ht="40" customHeight="1">
      <c r="A3623" s="4" t="inlineStr">
        <is>
          <t>original:Cost plan!C10</t>
        </is>
      </c>
      <c r="B3623" s="4" t="inlineStr">
        <is>
          <t>Cost plan</t>
        </is>
      </c>
      <c r="C3623" s="4" t="inlineStr">
        <is>
          <t>C10</t>
        </is>
      </c>
      <c r="D3623" s="4" t="inlineStr">
        <is>
          <t>NEW2</t>
        </is>
      </c>
      <c r="E3623" s="4" t="inlineStr">
        <is>
          <t>NEW2</t>
        </is>
      </c>
      <c r="F3623" s="4" t="inlineStr">
        <is>
          <t>GOC Bed Unit-Costing Model v2 — working original.xlsx</t>
        </is>
      </c>
    </row>
    <row r="3624" ht="40" customHeight="1">
      <c r="A3624" s="4" t="inlineStr">
        <is>
          <t>original:Cost plan!D10</t>
        </is>
      </c>
      <c r="B3624" s="4" t="inlineStr">
        <is>
          <t>Cost plan</t>
        </is>
      </c>
      <c r="C3624" s="4" t="inlineStr">
        <is>
          <t>D10</t>
        </is>
      </c>
      <c r="D3624" s="4" t="inlineStr">
        <is>
          <t>Product making</t>
        </is>
      </c>
      <c r="E3624" s="4" t="inlineStr">
        <is>
          <t>Product making</t>
        </is>
      </c>
      <c r="F3624" s="4" t="inlineStr">
        <is>
          <t>GOC Bed Unit-Costing Model v2 — working original.xlsx</t>
        </is>
      </c>
    </row>
    <row r="3625" ht="40" customHeight="1">
      <c r="A3625" s="4" t="inlineStr">
        <is>
          <t>original:Cost plan!E10</t>
        </is>
      </c>
      <c r="B3625" s="4" t="inlineStr">
        <is>
          <t>Cost plan</t>
        </is>
      </c>
      <c r="C3625" s="4" t="inlineStr">
        <is>
          <t>E10</t>
        </is>
      </c>
      <c r="D3625" s="4" t="inlineStr">
        <is>
          <t>phase</t>
        </is>
      </c>
      <c r="E3625" s="4" t="inlineStr">
        <is>
          <t>phase</t>
        </is>
      </c>
      <c r="F3625" s="4" t="inlineStr">
        <is>
          <t>GOC Bed Unit-Costing Model v2 — working original.xlsx</t>
        </is>
      </c>
    </row>
    <row r="3626" ht="40" customHeight="1">
      <c r="A3626" s="4" t="inlineStr">
        <is>
          <t>original:Cost plan!F10</t>
        </is>
      </c>
      <c r="B3626" s="4" t="inlineStr">
        <is>
          <t>Cost plan</t>
        </is>
      </c>
      <c r="C3626" s="4" t="inlineStr">
        <is>
          <t>F10</t>
        </is>
      </c>
      <c r="D3626" s="4" t="n">
        <v>1</v>
      </c>
      <c r="E3626" s="4" t="n">
        <v>1</v>
      </c>
      <c r="F3626" s="4" t="inlineStr">
        <is>
          <t>GOC Bed Unit-Costing Model v2 — working original.xlsx</t>
        </is>
      </c>
    </row>
    <row r="3627" ht="40" customHeight="1">
      <c r="A3627" s="4" t="inlineStr">
        <is>
          <t>original:Cost plan!G10</t>
        </is>
      </c>
      <c r="B3627" s="4" t="inlineStr">
        <is>
          <t>Cost plan</t>
        </is>
      </c>
      <c r="C3627" s="4" t="inlineStr">
        <is>
          <t>G10</t>
        </is>
      </c>
      <c r="D3627" s="4" t="inlineStr">
        <is>
          <t>=IF(COUNT(Production!K6:K41)=36,SUMIF(Production!B6:B41,"NEW2",Production!K6:K41),"")</t>
        </is>
      </c>
      <c r="E3627" s="4" t="n">
        <v>27074</v>
      </c>
      <c r="F3627" s="4" t="inlineStr">
        <is>
          <t>GOC Bed Unit-Costing Model v2 — working original.xlsx</t>
        </is>
      </c>
    </row>
    <row r="3628" ht="40" customHeight="1">
      <c r="A3628" s="4" t="inlineStr">
        <is>
          <t>original:Cost plan!H10</t>
        </is>
      </c>
      <c r="B3628" s="4" t="inlineStr">
        <is>
          <t>Cost plan</t>
        </is>
      </c>
      <c r="C3628" s="4" t="inlineStr">
        <is>
          <t>H10</t>
        </is>
      </c>
      <c r="D3628" s="4" t="inlineStr">
        <is>
          <t>=IF(COUNT(F10:G10)=2,F10*G10,"")</t>
        </is>
      </c>
      <c r="E3628" s="4" t="n">
        <v>27074</v>
      </c>
      <c r="F3628" s="4" t="inlineStr">
        <is>
          <t>GOC Bed Unit-Costing Model v2 — working original.xlsx</t>
        </is>
      </c>
    </row>
    <row r="3629" ht="40" customHeight="1">
      <c r="A3629" s="4" t="inlineStr">
        <is>
          <t>original:Cost plan!I10</t>
        </is>
      </c>
      <c r="B3629" s="4" t="inlineStr">
        <is>
          <t>Cost plan</t>
        </is>
      </c>
      <c r="C3629" s="4" t="inlineStr">
        <is>
          <t>I10</t>
        </is>
      </c>
      <c r="D3629" s="4" t="n">
        <v>7</v>
      </c>
      <c r="E3629" s="4" t="n">
        <v>7</v>
      </c>
      <c r="F3629" s="4" t="inlineStr">
        <is>
          <t>GOC Bed Unit-Costing Model v2 — working original.xlsx</t>
        </is>
      </c>
    </row>
    <row r="3630" ht="40" customHeight="1">
      <c r="A3630" s="4" t="inlineStr">
        <is>
          <t>original:Cost plan!J10</t>
        </is>
      </c>
      <c r="B3630" s="4" t="inlineStr">
        <is>
          <t>Cost plan</t>
        </is>
      </c>
      <c r="C3630" s="4" t="inlineStr">
        <is>
          <t>J10</t>
        </is>
      </c>
      <c r="D3630" s="4" t="n">
        <v>6</v>
      </c>
      <c r="E3630" s="4" t="n">
        <v>6</v>
      </c>
      <c r="F3630" s="4" t="inlineStr">
        <is>
          <t>GOC Bed Unit-Costing Model v2 — working original.xlsx</t>
        </is>
      </c>
    </row>
    <row r="3631" ht="40" customHeight="1">
      <c r="A3631" s="4" t="inlineStr">
        <is>
          <t>original:Cost plan!K10</t>
        </is>
      </c>
      <c r="B3631" s="4" t="inlineStr">
        <is>
          <t>Cost plan</t>
        </is>
      </c>
      <c r="C3631" s="4" t="inlineStr">
        <is>
          <t>K10</t>
        </is>
      </c>
      <c r="D3631" s="4" t="inlineStr">
        <is>
          <t>Yes</t>
        </is>
      </c>
      <c r="E3631" s="4" t="inlineStr">
        <is>
          <t>Yes</t>
        </is>
      </c>
      <c r="F3631" s="4" t="inlineStr">
        <is>
          <t>GOC Bed Unit-Costing Model v2 — working original.xlsx</t>
        </is>
      </c>
    </row>
    <row r="3632" ht="40" customHeight="1">
      <c r="A3632" s="4" t="inlineStr">
        <is>
          <t>original:Cost plan!L10</t>
        </is>
      </c>
      <c r="B3632" s="4" t="inlineStr">
        <is>
          <t>Cost plan</t>
        </is>
      </c>
      <c r="C3632" s="4" t="inlineStr">
        <is>
          <t>L10</t>
        </is>
      </c>
      <c r="D3632" s="4" t="inlineStr">
        <is>
          <t>=IF(AND(ISNUMBER(H10),K10="Yes"),MIN(H10,MAX(0,Overview!$B$5-SUM(L$5:L9))),0)</t>
        </is>
      </c>
      <c r="E3632" s="4" t="n">
        <v>0</v>
      </c>
      <c r="F3632" s="4" t="inlineStr">
        <is>
          <t>GOC Bed Unit-Costing Model v2 — working original.xlsx</t>
        </is>
      </c>
    </row>
    <row r="3633" ht="40" customHeight="1">
      <c r="A3633" s="4" t="inlineStr">
        <is>
          <t>original:Cost plan!M10</t>
        </is>
      </c>
      <c r="B3633" s="4" t="inlineStr">
        <is>
          <t>Cost plan</t>
        </is>
      </c>
      <c r="C3633" s="4" t="inlineStr">
        <is>
          <t>M10</t>
        </is>
      </c>
      <c r="D3633" s="4" t="inlineStr">
        <is>
          <t>=IF(ISNUMBER(H10),MIN(MAX(0,H10-L10-N10),MAX(0,SUM(Funding!D7:D9)-SUM(M$5:M9))),0)</t>
        </is>
      </c>
      <c r="E3633" s="4" t="n">
        <v>27074</v>
      </c>
      <c r="F3633" s="4" t="inlineStr">
        <is>
          <t>GOC Bed Unit-Costing Model v2 — working original.xlsx</t>
        </is>
      </c>
    </row>
    <row r="3634" ht="40" customHeight="1">
      <c r="A3634" s="4" t="inlineStr">
        <is>
          <t>original:Cost plan!N10</t>
        </is>
      </c>
      <c r="B3634" s="4" t="inlineStr">
        <is>
          <t>Cost plan</t>
        </is>
      </c>
      <c r="C3634" s="4" t="inlineStr">
        <is>
          <t>N10</t>
        </is>
      </c>
      <c r="D3634" s="4" t="inlineStr">
        <is>
          <t>=IF(ISNUMBER(H10),MIN(MAX(0,H10-L10),MAX(0,SUM(Production!M6:M41)-SUM(N$5:N9))),0)</t>
        </is>
      </c>
      <c r="E3634" s="4" t="n">
        <v>0</v>
      </c>
      <c r="F3634" s="4" t="inlineStr">
        <is>
          <t>GOC Bed Unit-Costing Model v2 — working original.xlsx</t>
        </is>
      </c>
    </row>
    <row r="3635" ht="40" customHeight="1">
      <c r="A3635" s="4" t="inlineStr">
        <is>
          <t>original:Cost plan!O10</t>
        </is>
      </c>
      <c r="B3635" s="4" t="inlineStr">
        <is>
          <t>Cost plan</t>
        </is>
      </c>
      <c r="C3635" s="4" t="inlineStr">
        <is>
          <t>O10</t>
        </is>
      </c>
      <c r="D3635" s="4" t="inlineStr">
        <is>
          <t>=IF(ISNUMBER(H10),H10-SUM(L10:N10),"")</t>
        </is>
      </c>
      <c r="E3635" s="4" t="n">
        <v>0</v>
      </c>
      <c r="F3635" s="4" t="inlineStr">
        <is>
          <t>GOC Bed Unit-Costing Model v2 — working original.xlsx</t>
        </is>
      </c>
    </row>
    <row r="3636" ht="40" customHeight="1">
      <c r="A3636" s="4" t="inlineStr">
        <is>
          <t>original:Cost plan!P10</t>
        </is>
      </c>
      <c r="B3636" s="4" t="inlineStr">
        <is>
          <t>Cost plan</t>
        </is>
      </c>
      <c r="C3636" s="4" t="inlineStr">
        <is>
          <t>P10</t>
        </is>
      </c>
      <c r="D3636" s="4" t="inlineStr">
        <is>
          <t>Local feedstock/labour need validation</t>
        </is>
      </c>
      <c r="E3636" s="4" t="inlineStr">
        <is>
          <t>Local feedstock/labour need validation</t>
        </is>
      </c>
      <c r="F3636" s="4" t="inlineStr">
        <is>
          <t>GOC Bed Unit-Costing Model v2 — working original.xlsx</t>
        </is>
      </c>
    </row>
    <row r="3637" ht="40" customHeight="1">
      <c r="A3637" s="4" t="inlineStr">
        <is>
          <t>original:Cost plan!A11</t>
        </is>
      </c>
      <c r="B3637" s="4" t="inlineStr">
        <is>
          <t>Cost plan</t>
        </is>
      </c>
      <c r="C3637" s="4" t="inlineStr">
        <is>
          <t>A11</t>
        </is>
      </c>
      <c r="D3637" s="4" t="inlineStr">
        <is>
          <t>FRT</t>
        </is>
      </c>
      <c r="E3637" s="4" t="inlineStr">
        <is>
          <t>FRT</t>
        </is>
      </c>
      <c r="F3637" s="4" t="inlineStr">
        <is>
          <t>GOC Bed Unit-Costing Model v2 — working original.xlsx</t>
        </is>
      </c>
    </row>
    <row r="3638" ht="40" customHeight="1">
      <c r="A3638" s="4" t="inlineStr">
        <is>
          <t>original:Cost plan!B11</t>
        </is>
      </c>
      <c r="B3638" s="4" t="inlineStr">
        <is>
          <t>Cost plan</t>
        </is>
      </c>
      <c r="C3638" s="4" t="inlineStr">
        <is>
          <t>B11</t>
        </is>
      </c>
      <c r="D3638" s="4" t="inlineStr">
        <is>
          <t>Bed delivery freight</t>
        </is>
      </c>
      <c r="E3638" s="4" t="inlineStr">
        <is>
          <t>Bed delivery freight</t>
        </is>
      </c>
      <c r="F3638" s="4" t="inlineStr">
        <is>
          <t>GOC Bed Unit-Costing Model v2 — working original.xlsx</t>
        </is>
      </c>
    </row>
    <row r="3639" ht="40" customHeight="1">
      <c r="A3639" s="4" t="inlineStr">
        <is>
          <t>original:Cost plan!C11</t>
        </is>
      </c>
      <c r="B3639" s="4" t="inlineStr">
        <is>
          <t>Cost plan</t>
        </is>
      </c>
      <c r="C3639" s="4" t="inlineStr">
        <is>
          <t>C11</t>
        </is>
      </c>
      <c r="D3639" s="4" t="inlineStr">
        <is>
          <t>All</t>
        </is>
      </c>
      <c r="E3639" s="4" t="inlineStr">
        <is>
          <t>All</t>
        </is>
      </c>
      <c r="F3639" s="4" t="inlineStr">
        <is>
          <t>GOC Bed Unit-Costing Model v2 — working original.xlsx</t>
        </is>
      </c>
    </row>
    <row r="3640" ht="40" customHeight="1">
      <c r="A3640" s="4" t="inlineStr">
        <is>
          <t>original:Cost plan!D11</t>
        </is>
      </c>
      <c r="B3640" s="4" t="inlineStr">
        <is>
          <t>Cost plan</t>
        </is>
      </c>
      <c r="C3640" s="4" t="inlineStr">
        <is>
          <t>D11</t>
        </is>
      </c>
      <c r="D3640" s="4" t="inlineStr">
        <is>
          <t>Product delivery</t>
        </is>
      </c>
      <c r="E3640" s="4" t="inlineStr">
        <is>
          <t>Product delivery</t>
        </is>
      </c>
      <c r="F3640" s="4" t="inlineStr">
        <is>
          <t>GOC Bed Unit-Costing Model v2 — working original.xlsx</t>
        </is>
      </c>
    </row>
    <row r="3641" ht="40" customHeight="1">
      <c r="A3641" s="4" t="inlineStr">
        <is>
          <t>original:Cost plan!E11</t>
        </is>
      </c>
      <c r="B3641" s="4" t="inlineStr">
        <is>
          <t>Cost plan</t>
        </is>
      </c>
      <c r="C3641" s="4" t="inlineStr">
        <is>
          <t>E11</t>
        </is>
      </c>
      <c r="D3641" s="4" t="inlineStr">
        <is>
          <t>phase</t>
        </is>
      </c>
      <c r="E3641" s="4" t="inlineStr">
        <is>
          <t>phase</t>
        </is>
      </c>
      <c r="F3641" s="4" t="inlineStr">
        <is>
          <t>GOC Bed Unit-Costing Model v2 — working original.xlsx</t>
        </is>
      </c>
    </row>
    <row r="3642" ht="40" customHeight="1">
      <c r="A3642" s="4" t="inlineStr">
        <is>
          <t>original:Cost plan!F11</t>
        </is>
      </c>
      <c r="B3642" s="4" t="inlineStr">
        <is>
          <t>Cost plan</t>
        </is>
      </c>
      <c r="C3642" s="4" t="inlineStr">
        <is>
          <t>F11</t>
        </is>
      </c>
      <c r="D3642" s="4" t="n">
        <v>1</v>
      </c>
      <c r="E3642" s="4" t="n">
        <v>1</v>
      </c>
      <c r="F3642" s="4" t="inlineStr">
        <is>
          <t>GOC Bed Unit-Costing Model v2 — working original.xlsx</t>
        </is>
      </c>
    </row>
    <row r="3643" ht="40" customHeight="1">
      <c r="A3643" s="4" t="inlineStr">
        <is>
          <t>original:Cost plan!G11</t>
        </is>
      </c>
      <c r="B3643" s="4" t="inlineStr">
        <is>
          <t>Cost plan</t>
        </is>
      </c>
      <c r="C3643" s="4" t="inlineStr">
        <is>
          <t>G11</t>
        </is>
      </c>
      <c r="D3643" s="4" t="inlineStr">
        <is>
          <t>=IF(COUNT(Production!L6:L41)=36,SUM(Production!L6:L41),"")</t>
        </is>
      </c>
      <c r="E3643" s="4" t="n">
        <v>60000</v>
      </c>
      <c r="F3643" s="4" t="inlineStr">
        <is>
          <t>GOC Bed Unit-Costing Model v2 — working original.xlsx</t>
        </is>
      </c>
    </row>
    <row r="3644" ht="40" customHeight="1">
      <c r="A3644" s="4" t="inlineStr">
        <is>
          <t>original:Cost plan!H11</t>
        </is>
      </c>
      <c r="B3644" s="4" t="inlineStr">
        <is>
          <t>Cost plan</t>
        </is>
      </c>
      <c r="C3644" s="4" t="inlineStr">
        <is>
          <t>H11</t>
        </is>
      </c>
      <c r="D3644" s="4" t="inlineStr">
        <is>
          <t>=IF(COUNT(F11:G11)=2,F11*G11,"")</t>
        </is>
      </c>
      <c r="E3644" s="4" t="n">
        <v>60000</v>
      </c>
      <c r="F3644" s="4" t="inlineStr">
        <is>
          <t>GOC Bed Unit-Costing Model v2 — working original.xlsx</t>
        </is>
      </c>
    </row>
    <row r="3645" ht="40" customHeight="1">
      <c r="A3645" s="4" t="inlineStr">
        <is>
          <t>original:Cost plan!I11</t>
        </is>
      </c>
      <c r="B3645" s="4" t="inlineStr">
        <is>
          <t>Cost plan</t>
        </is>
      </c>
      <c r="C3645" s="4" t="inlineStr">
        <is>
          <t>I11</t>
        </is>
      </c>
      <c r="D3645" s="4" t="n">
        <v>1</v>
      </c>
      <c r="E3645" s="4" t="n">
        <v>1</v>
      </c>
      <c r="F3645" s="4" t="inlineStr">
        <is>
          <t>GOC Bed Unit-Costing Model v2 — working original.xlsx</t>
        </is>
      </c>
    </row>
    <row r="3646" ht="40" customHeight="1">
      <c r="A3646" s="4" t="inlineStr">
        <is>
          <t>original:Cost plan!J11</t>
        </is>
      </c>
      <c r="B3646" s="4" t="inlineStr">
        <is>
          <t>Cost plan</t>
        </is>
      </c>
      <c r="C3646" s="4" t="inlineStr">
        <is>
          <t>J11</t>
        </is>
      </c>
      <c r="D3646" s="4" t="n">
        <v>12</v>
      </c>
      <c r="E3646" s="4" t="n">
        <v>12</v>
      </c>
      <c r="F3646" s="4" t="inlineStr">
        <is>
          <t>GOC Bed Unit-Costing Model v2 — working original.xlsx</t>
        </is>
      </c>
    </row>
    <row r="3647" ht="40" customHeight="1">
      <c r="A3647" s="4" t="inlineStr">
        <is>
          <t>original:Cost plan!K11</t>
        </is>
      </c>
      <c r="B3647" s="4" t="inlineStr">
        <is>
          <t>Cost plan</t>
        </is>
      </c>
      <c r="C3647" s="4" t="inlineStr">
        <is>
          <t>K11</t>
        </is>
      </c>
      <c r="D3647" s="4" t="inlineStr">
        <is>
          <t>Yes</t>
        </is>
      </c>
      <c r="E3647" s="4" t="inlineStr">
        <is>
          <t>Yes</t>
        </is>
      </c>
      <c r="F3647" s="4" t="inlineStr">
        <is>
          <t>GOC Bed Unit-Costing Model v2 — working original.xlsx</t>
        </is>
      </c>
    </row>
    <row r="3648" ht="40" customHeight="1">
      <c r="A3648" s="4" t="inlineStr">
        <is>
          <t>original:Cost plan!L11</t>
        </is>
      </c>
      <c r="B3648" s="4" t="inlineStr">
        <is>
          <t>Cost plan</t>
        </is>
      </c>
      <c r="C3648" s="4" t="inlineStr">
        <is>
          <t>L11</t>
        </is>
      </c>
      <c r="D3648" s="4" t="inlineStr">
        <is>
          <t>=IF(AND(ISNUMBER(H11),K11="Yes"),MIN(H11,MAX(0,Overview!$B$5-SUM(L$5:L10))),0)</t>
        </is>
      </c>
      <c r="E3648" s="4" t="n">
        <v>0</v>
      </c>
      <c r="F3648" s="4" t="inlineStr">
        <is>
          <t>GOC Bed Unit-Costing Model v2 — working original.xlsx</t>
        </is>
      </c>
    </row>
    <row r="3649" ht="40" customHeight="1">
      <c r="A3649" s="4" t="inlineStr">
        <is>
          <t>original:Cost plan!M11</t>
        </is>
      </c>
      <c r="B3649" s="4" t="inlineStr">
        <is>
          <t>Cost plan</t>
        </is>
      </c>
      <c r="C3649" s="4" t="inlineStr">
        <is>
          <t>M11</t>
        </is>
      </c>
      <c r="D3649" s="4" t="inlineStr">
        <is>
          <t>=IF(ISNUMBER(H11),MIN(MAX(0,H11-L11-N11),MAX(0,SUM(Funding!D7:D9)-SUM(M$5:M10))),0)</t>
        </is>
      </c>
      <c r="E3649" s="4" t="n">
        <v>60000</v>
      </c>
      <c r="F3649" s="4" t="inlineStr">
        <is>
          <t>GOC Bed Unit-Costing Model v2 — working original.xlsx</t>
        </is>
      </c>
    </row>
    <row r="3650" ht="40" customHeight="1">
      <c r="A3650" s="4" t="inlineStr">
        <is>
          <t>original:Cost plan!N11</t>
        </is>
      </c>
      <c r="B3650" s="4" t="inlineStr">
        <is>
          <t>Cost plan</t>
        </is>
      </c>
      <c r="C3650" s="4" t="inlineStr">
        <is>
          <t>N11</t>
        </is>
      </c>
      <c r="D3650" s="4" t="inlineStr">
        <is>
          <t>=IF(ISNUMBER(H11),MIN(MAX(0,H11-L11),MAX(0,SUM(Production!M6:M41)-SUM(N$5:N10))),0)</t>
        </is>
      </c>
      <c r="E3650" s="4" t="n">
        <v>0</v>
      </c>
      <c r="F3650" s="4" t="inlineStr">
        <is>
          <t>GOC Bed Unit-Costing Model v2 — working original.xlsx</t>
        </is>
      </c>
    </row>
    <row r="3651" ht="40" customHeight="1">
      <c r="A3651" s="4" t="inlineStr">
        <is>
          <t>original:Cost plan!O11</t>
        </is>
      </c>
      <c r="B3651" s="4" t="inlineStr">
        <is>
          <t>Cost plan</t>
        </is>
      </c>
      <c r="C3651" s="4" t="inlineStr">
        <is>
          <t>O11</t>
        </is>
      </c>
      <c r="D3651" s="4" t="inlineStr">
        <is>
          <t>=IF(ISNUMBER(H11),H11-SUM(L11:N11),"")</t>
        </is>
      </c>
      <c r="E3651" s="4" t="n">
        <v>0</v>
      </c>
      <c r="F3651" s="4" t="inlineStr">
        <is>
          <t>GOC Bed Unit-Costing Model v2 — working original.xlsx</t>
        </is>
      </c>
    </row>
    <row r="3652" ht="40" customHeight="1">
      <c r="A3652" s="4" t="inlineStr">
        <is>
          <t>original:Cost plan!P11</t>
        </is>
      </c>
      <c r="B3652" s="4" t="inlineStr">
        <is>
          <t>Cost plan</t>
        </is>
      </c>
      <c r="C3652" s="4" t="inlineStr">
        <is>
          <t>P11</t>
        </is>
      </c>
      <c r="D3652" s="4" t="inlineStr">
        <is>
          <t>Charge on deliveries, not inventory</t>
        </is>
      </c>
      <c r="E3652" s="4" t="inlineStr">
        <is>
          <t>Charge on deliveries, not inventory</t>
        </is>
      </c>
      <c r="F3652" s="4" t="inlineStr">
        <is>
          <t>GOC Bed Unit-Costing Model v2 — working original.xlsx</t>
        </is>
      </c>
    </row>
    <row r="3653" ht="40" customHeight="1">
      <c r="A3653" s="4" t="inlineStr">
        <is>
          <t>original:Cost plan!A12</t>
        </is>
      </c>
      <c r="B3653" s="4" t="inlineStr">
        <is>
          <t>Cost plan</t>
        </is>
      </c>
      <c r="C3653" s="4" t="inlineStr">
        <is>
          <t>A12</t>
        </is>
      </c>
      <c r="D3653" s="4" t="inlineStr">
        <is>
          <t>WRENT</t>
        </is>
      </c>
      <c r="E3653" s="4" t="inlineStr">
        <is>
          <t>WRENT</t>
        </is>
      </c>
      <c r="F3653" s="4" t="inlineStr">
        <is>
          <t>GOC Bed Unit-Costing Model v2 — working original.xlsx</t>
        </is>
      </c>
    </row>
    <row r="3654" ht="40" customHeight="1">
      <c r="A3654" s="4" t="inlineStr">
        <is>
          <t>original:Cost plan!B12</t>
        </is>
      </c>
      <c r="B3654" s="4" t="inlineStr">
        <is>
          <t>Cost plan</t>
        </is>
      </c>
      <c r="C3654" s="4" t="inlineStr">
        <is>
          <t>B12</t>
        </is>
      </c>
      <c r="D3654" s="4" t="inlineStr">
        <is>
          <t>Witta facility rent share</t>
        </is>
      </c>
      <c r="E3654" s="4" t="inlineStr">
        <is>
          <t>Witta facility rent share</t>
        </is>
      </c>
      <c r="F3654" s="4" t="inlineStr">
        <is>
          <t>GOC Bed Unit-Costing Model v2 — working original.xlsx</t>
        </is>
      </c>
    </row>
    <row r="3655" ht="40" customHeight="1">
      <c r="A3655" s="4" t="inlineStr">
        <is>
          <t>original:Cost plan!C12</t>
        </is>
      </c>
      <c r="B3655" s="4" t="inlineStr">
        <is>
          <t>Cost plan</t>
        </is>
      </c>
      <c r="C3655" s="4" t="inlineStr">
        <is>
          <t>C12</t>
        </is>
      </c>
      <c r="D3655" s="4" t="inlineStr">
        <is>
          <t>WITTA</t>
        </is>
      </c>
      <c r="E3655" s="4" t="inlineStr">
        <is>
          <t>WITTA</t>
        </is>
      </c>
      <c r="F3655" s="4" t="inlineStr">
        <is>
          <t>GOC Bed Unit-Costing Model v2 — working original.xlsx</t>
        </is>
      </c>
    </row>
    <row r="3656" ht="40" customHeight="1">
      <c r="A3656" s="4" t="inlineStr">
        <is>
          <t>original:Cost plan!D12</t>
        </is>
      </c>
      <c r="B3656" s="4" t="inlineStr">
        <is>
          <t>Cost plan</t>
        </is>
      </c>
      <c r="C3656" s="4" t="inlineStr">
        <is>
          <t>D12</t>
        </is>
      </c>
      <c r="D3656" s="4" t="inlineStr">
        <is>
          <t>Site operations</t>
        </is>
      </c>
      <c r="E3656" s="4" t="inlineStr">
        <is>
          <t>Site operations</t>
        </is>
      </c>
      <c r="F3656" s="4" t="inlineStr">
        <is>
          <t>GOC Bed Unit-Costing Model v2 — working original.xlsx</t>
        </is>
      </c>
    </row>
    <row r="3657" ht="40" customHeight="1">
      <c r="A3657" s="4" t="inlineStr">
        <is>
          <t>original:Cost plan!E12</t>
        </is>
      </c>
      <c r="B3657" s="4" t="inlineStr">
        <is>
          <t>Cost plan</t>
        </is>
      </c>
      <c r="C3657" s="4" t="inlineStr">
        <is>
          <t>E12</t>
        </is>
      </c>
      <c r="D3657" s="4" t="inlineStr">
        <is>
          <t>year</t>
        </is>
      </c>
      <c r="E3657" s="4" t="inlineStr">
        <is>
          <t>year</t>
        </is>
      </c>
      <c r="F3657" s="4" t="inlineStr">
        <is>
          <t>GOC Bed Unit-Costing Model v2 — working original.xlsx</t>
        </is>
      </c>
    </row>
    <row r="3658" ht="40" customHeight="1">
      <c r="A3658" s="4" t="inlineStr">
        <is>
          <t>original:Cost plan!F12</t>
        </is>
      </c>
      <c r="B3658" s="4" t="inlineStr">
        <is>
          <t>Cost plan</t>
        </is>
      </c>
      <c r="C3658" s="4" t="inlineStr">
        <is>
          <t>F12</t>
        </is>
      </c>
      <c r="D3658" s="4" t="n">
        <v>1</v>
      </c>
      <c r="E3658" s="4" t="n">
        <v>1</v>
      </c>
      <c r="F3658" s="4" t="inlineStr">
        <is>
          <t>GOC Bed Unit-Costing Model v2 — working original.xlsx</t>
        </is>
      </c>
    </row>
    <row r="3659" ht="40" customHeight="1">
      <c r="A3659" s="4" t="inlineStr">
        <is>
          <t>original:Cost plan!G12</t>
        </is>
      </c>
      <c r="B3659" s="4" t="inlineStr">
        <is>
          <t>Cost plan</t>
        </is>
      </c>
      <c r="C3659" s="4" t="inlineStr">
        <is>
          <t>G12</t>
        </is>
      </c>
      <c r="D3659" s="4" t="inlineStr">
        <is>
          <t>=Inputs!B35</t>
        </is>
      </c>
      <c r="E3659" s="4" t="n">
        <v>27000</v>
      </c>
      <c r="F3659" s="4" t="inlineStr">
        <is>
          <t>GOC Bed Unit-Costing Model v2 — working original.xlsx</t>
        </is>
      </c>
    </row>
    <row r="3660" ht="40" customHeight="1">
      <c r="A3660" s="4" t="inlineStr">
        <is>
          <t>original:Cost plan!H12</t>
        </is>
      </c>
      <c r="B3660" s="4" t="inlineStr">
        <is>
          <t>Cost plan</t>
        </is>
      </c>
      <c r="C3660" s="4" t="inlineStr">
        <is>
          <t>H12</t>
        </is>
      </c>
      <c r="D3660" s="4" t="inlineStr">
        <is>
          <t>=IF(COUNT(F12:G12)=2,F12*G12,"")</t>
        </is>
      </c>
      <c r="E3660" s="4" t="n">
        <v>27000</v>
      </c>
      <c r="F3660" s="4" t="inlineStr">
        <is>
          <t>GOC Bed Unit-Costing Model v2 — working original.xlsx</t>
        </is>
      </c>
    </row>
    <row r="3661" ht="40" customHeight="1">
      <c r="A3661" s="4" t="inlineStr">
        <is>
          <t>original:Cost plan!I12</t>
        </is>
      </c>
      <c r="B3661" s="4" t="inlineStr">
        <is>
          <t>Cost plan</t>
        </is>
      </c>
      <c r="C3661" s="4" t="inlineStr">
        <is>
          <t>I12</t>
        </is>
      </c>
      <c r="D3661" s="4" t="n">
        <v>1</v>
      </c>
      <c r="E3661" s="4" t="n">
        <v>1</v>
      </c>
      <c r="F3661" s="4" t="inlineStr">
        <is>
          <t>GOC Bed Unit-Costing Model v2 — working original.xlsx</t>
        </is>
      </c>
    </row>
    <row r="3662" ht="40" customHeight="1">
      <c r="A3662" s="4" t="inlineStr">
        <is>
          <t>original:Cost plan!J12</t>
        </is>
      </c>
      <c r="B3662" s="4" t="inlineStr">
        <is>
          <t>Cost plan</t>
        </is>
      </c>
      <c r="C3662" s="4" t="inlineStr">
        <is>
          <t>J12</t>
        </is>
      </c>
      <c r="D3662" s="4" t="n">
        <v>12</v>
      </c>
      <c r="E3662" s="4" t="n">
        <v>12</v>
      </c>
      <c r="F3662" s="4" t="inlineStr">
        <is>
          <t>GOC Bed Unit-Costing Model v2 — working original.xlsx</t>
        </is>
      </c>
    </row>
    <row r="3663" ht="40" customHeight="1">
      <c r="A3663" s="4" t="inlineStr">
        <is>
          <t>original:Cost plan!K12</t>
        </is>
      </c>
      <c r="B3663" s="4" t="inlineStr">
        <is>
          <t>Cost plan</t>
        </is>
      </c>
      <c r="C3663" s="4" t="inlineStr">
        <is>
          <t>K12</t>
        </is>
      </c>
      <c r="D3663" s="4" t="inlineStr">
        <is>
          <t>No</t>
        </is>
      </c>
      <c r="E3663" s="4" t="inlineStr">
        <is>
          <t>No</t>
        </is>
      </c>
      <c r="F3663" s="4" t="inlineStr">
        <is>
          <t>GOC Bed Unit-Costing Model v2 — working original.xlsx</t>
        </is>
      </c>
    </row>
    <row r="3664" ht="40" customHeight="1">
      <c r="A3664" s="4" t="inlineStr">
        <is>
          <t>original:Cost plan!L12</t>
        </is>
      </c>
      <c r="B3664" s="4" t="inlineStr">
        <is>
          <t>Cost plan</t>
        </is>
      </c>
      <c r="C3664" s="4" t="inlineStr">
        <is>
          <t>L12</t>
        </is>
      </c>
      <c r="D3664" s="4" t="inlineStr">
        <is>
          <t>=IF(AND(ISNUMBER(H12),K12="Yes"),MIN(H12,MAX(0,Overview!$B$5-SUM(L$5:L11))),0)</t>
        </is>
      </c>
      <c r="E3664" s="4" t="n">
        <v>0</v>
      </c>
      <c r="F3664" s="4" t="inlineStr">
        <is>
          <t>GOC Bed Unit-Costing Model v2 — working original.xlsx</t>
        </is>
      </c>
    </row>
    <row r="3665" ht="40" customHeight="1">
      <c r="A3665" s="4" t="inlineStr">
        <is>
          <t>original:Cost plan!M12</t>
        </is>
      </c>
      <c r="B3665" s="4" t="inlineStr">
        <is>
          <t>Cost plan</t>
        </is>
      </c>
      <c r="C3665" s="4" t="inlineStr">
        <is>
          <t>M12</t>
        </is>
      </c>
      <c r="D3665" s="4" t="inlineStr">
        <is>
          <t>=IF(ISNUMBER(H12),MIN(MAX(0,H12-L12-N12),MAX(0,SUM(Funding!D7:D9)-SUM(M$5:M11))),0)</t>
        </is>
      </c>
      <c r="E3665" s="4" t="n">
        <v>27000</v>
      </c>
      <c r="F3665" s="4" t="inlineStr">
        <is>
          <t>GOC Bed Unit-Costing Model v2 — working original.xlsx</t>
        </is>
      </c>
    </row>
    <row r="3666" ht="40" customHeight="1">
      <c r="A3666" s="4" t="inlineStr">
        <is>
          <t>original:Cost plan!N12</t>
        </is>
      </c>
      <c r="B3666" s="4" t="inlineStr">
        <is>
          <t>Cost plan</t>
        </is>
      </c>
      <c r="C3666" s="4" t="inlineStr">
        <is>
          <t>N12</t>
        </is>
      </c>
      <c r="D3666" s="4" t="inlineStr">
        <is>
          <t>=IF(ISNUMBER(H12),MIN(MAX(0,H12-L12),MAX(0,SUM(Production!M6:M41)-SUM(N$5:N11))),0)</t>
        </is>
      </c>
      <c r="E3666" s="4" t="n">
        <v>0</v>
      </c>
      <c r="F3666" s="4" t="inlineStr">
        <is>
          <t>GOC Bed Unit-Costing Model v2 — working original.xlsx</t>
        </is>
      </c>
    </row>
    <row r="3667" ht="40" customHeight="1">
      <c r="A3667" s="4" t="inlineStr">
        <is>
          <t>original:Cost plan!O12</t>
        </is>
      </c>
      <c r="B3667" s="4" t="inlineStr">
        <is>
          <t>Cost plan</t>
        </is>
      </c>
      <c r="C3667" s="4" t="inlineStr">
        <is>
          <t>O12</t>
        </is>
      </c>
      <c r="D3667" s="4" t="inlineStr">
        <is>
          <t>=IF(ISNUMBER(H12),H12-SUM(L12:N12),"")</t>
        </is>
      </c>
      <c r="E3667" s="4" t="n">
        <v>0</v>
      </c>
      <c r="F3667" s="4" t="inlineStr">
        <is>
          <t>GOC Bed Unit-Costing Model v2 — working original.xlsx</t>
        </is>
      </c>
    </row>
    <row r="3668" ht="40" customHeight="1">
      <c r="A3668" s="4" t="inlineStr">
        <is>
          <t>original:Cost plan!P12</t>
        </is>
      </c>
      <c r="B3668" s="4" t="inlineStr">
        <is>
          <t>Cost plan</t>
        </is>
      </c>
      <c r="C3668" s="4" t="inlineStr">
        <is>
          <t>P12</t>
        </is>
      </c>
      <c r="D3668" s="4" t="inlineStr">
        <is>
          <t>Inputs!B35; selected phase allowance</t>
        </is>
      </c>
      <c r="E3668" s="4" t="inlineStr">
        <is>
          <t>Inputs!B35; selected phase allowance</t>
        </is>
      </c>
      <c r="F3668" s="4" t="inlineStr">
        <is>
          <t>GOC Bed Unit-Costing Model v2 — working original.xlsx</t>
        </is>
      </c>
    </row>
    <row r="3669" ht="40" customHeight="1">
      <c r="A3669" s="4" t="inlineStr">
        <is>
          <t>original:Cost plan!A13</t>
        </is>
      </c>
      <c r="B3669" s="4" t="inlineStr">
        <is>
          <t>Cost plan</t>
        </is>
      </c>
      <c r="C3669" s="4" t="inlineStr">
        <is>
          <t>A13</t>
        </is>
      </c>
      <c r="D3669" s="4" t="inlineStr">
        <is>
          <t>LEAD</t>
        </is>
      </c>
      <c r="E3669" s="4" t="inlineStr">
        <is>
          <t>LEAD</t>
        </is>
      </c>
      <c r="F3669" s="4" t="inlineStr">
        <is>
          <t>GOC Bed Unit-Costing Model v2 — working original.xlsx</t>
        </is>
      </c>
    </row>
    <row r="3670" ht="40" customHeight="1">
      <c r="A3670" s="4" t="inlineStr">
        <is>
          <t>original:Cost plan!B13</t>
        </is>
      </c>
      <c r="B3670" s="4" t="inlineStr">
        <is>
          <t>Cost plan</t>
        </is>
      </c>
      <c r="C3670" s="4" t="inlineStr">
        <is>
          <t>B13</t>
        </is>
      </c>
      <c r="D3670" s="4" t="inlineStr">
        <is>
          <t>Production lead allocation</t>
        </is>
      </c>
      <c r="E3670" s="4" t="inlineStr">
        <is>
          <t>Production lead allocation</t>
        </is>
      </c>
      <c r="F3670" s="4" t="inlineStr">
        <is>
          <t>GOC Bed Unit-Costing Model v2 — working original.xlsx</t>
        </is>
      </c>
    </row>
    <row r="3671" ht="40" customHeight="1">
      <c r="A3671" s="4" t="inlineStr">
        <is>
          <t>original:Cost plan!C13</t>
        </is>
      </c>
      <c r="B3671" s="4" t="inlineStr">
        <is>
          <t>Cost plan</t>
        </is>
      </c>
      <c r="C3671" s="4" t="inlineStr">
        <is>
          <t>C13</t>
        </is>
      </c>
      <c r="D3671" s="4" t="inlineStr">
        <is>
          <t>Shared</t>
        </is>
      </c>
      <c r="E3671" s="4" t="inlineStr">
        <is>
          <t>Shared</t>
        </is>
      </c>
      <c r="F3671" s="4" t="inlineStr">
        <is>
          <t>GOC Bed Unit-Costing Model v2 — working original.xlsx</t>
        </is>
      </c>
    </row>
    <row r="3672" ht="40" customHeight="1">
      <c r="A3672" s="4" t="inlineStr">
        <is>
          <t>original:Cost plan!D13</t>
        </is>
      </c>
      <c r="B3672" s="4" t="inlineStr">
        <is>
          <t>Cost plan</t>
        </is>
      </c>
      <c r="C3672" s="4" t="inlineStr">
        <is>
          <t>D13</t>
        </is>
      </c>
      <c r="D3672" s="4" t="inlineStr">
        <is>
          <t>Goods network</t>
        </is>
      </c>
      <c r="E3672" s="4" t="inlineStr">
        <is>
          <t>Goods network</t>
        </is>
      </c>
      <c r="F3672" s="4" t="inlineStr">
        <is>
          <t>GOC Bed Unit-Costing Model v2 — working original.xlsx</t>
        </is>
      </c>
    </row>
    <row r="3673" ht="40" customHeight="1">
      <c r="A3673" s="4" t="inlineStr">
        <is>
          <t>original:Cost plan!E13</t>
        </is>
      </c>
      <c r="B3673" s="4" t="inlineStr">
        <is>
          <t>Cost plan</t>
        </is>
      </c>
      <c r="C3673" s="4" t="inlineStr">
        <is>
          <t>E13</t>
        </is>
      </c>
      <c r="D3673" s="4" t="inlineStr">
        <is>
          <t>year</t>
        </is>
      </c>
      <c r="E3673" s="4" t="inlineStr">
        <is>
          <t>year</t>
        </is>
      </c>
      <c r="F3673" s="4" t="inlineStr">
        <is>
          <t>GOC Bed Unit-Costing Model v2 — working original.xlsx</t>
        </is>
      </c>
    </row>
    <row r="3674" ht="40" customHeight="1">
      <c r="A3674" s="4" t="inlineStr">
        <is>
          <t>original:Cost plan!F13</t>
        </is>
      </c>
      <c r="B3674" s="4" t="inlineStr">
        <is>
          <t>Cost plan</t>
        </is>
      </c>
      <c r="C3674" s="4" t="inlineStr">
        <is>
          <t>F13</t>
        </is>
      </c>
      <c r="D3674" s="4" t="n">
        <v>1</v>
      </c>
      <c r="E3674" s="4" t="n">
        <v>1</v>
      </c>
      <c r="F3674" s="4" t="inlineStr">
        <is>
          <t>GOC Bed Unit-Costing Model v2 — working original.xlsx</t>
        </is>
      </c>
    </row>
    <row r="3675" ht="40" customHeight="1">
      <c r="A3675" s="4" t="inlineStr">
        <is>
          <t>original:Cost plan!G13</t>
        </is>
      </c>
      <c r="B3675" s="4" t="inlineStr">
        <is>
          <t>Cost plan</t>
        </is>
      </c>
      <c r="C3675" s="4" t="inlineStr">
        <is>
          <t>G13</t>
        </is>
      </c>
      <c r="D3675" s="4" t="inlineStr">
        <is>
          <t>=Inputs!B32</t>
        </is>
      </c>
      <c r="E3675" s="4" t="n">
        <v>16800</v>
      </c>
      <c r="F3675" s="4" t="inlineStr">
        <is>
          <t>GOC Bed Unit-Costing Model v2 — working original.xlsx</t>
        </is>
      </c>
    </row>
    <row r="3676" ht="40" customHeight="1">
      <c r="A3676" s="4" t="inlineStr">
        <is>
          <t>original:Cost plan!H13</t>
        </is>
      </c>
      <c r="B3676" s="4" t="inlineStr">
        <is>
          <t>Cost plan</t>
        </is>
      </c>
      <c r="C3676" s="4" t="inlineStr">
        <is>
          <t>H13</t>
        </is>
      </c>
      <c r="D3676" s="4" t="inlineStr">
        <is>
          <t>=IF(COUNT(F13:G13)=2,F13*G13,"")</t>
        </is>
      </c>
      <c r="E3676" s="4" t="n">
        <v>16800</v>
      </c>
      <c r="F3676" s="4" t="inlineStr">
        <is>
          <t>GOC Bed Unit-Costing Model v2 — working original.xlsx</t>
        </is>
      </c>
    </row>
    <row r="3677" ht="40" customHeight="1">
      <c r="A3677" s="4" t="inlineStr">
        <is>
          <t>original:Cost plan!I13</t>
        </is>
      </c>
      <c r="B3677" s="4" t="inlineStr">
        <is>
          <t>Cost plan</t>
        </is>
      </c>
      <c r="C3677" s="4" t="inlineStr">
        <is>
          <t>I13</t>
        </is>
      </c>
      <c r="D3677" s="4" t="n">
        <v>1</v>
      </c>
      <c r="E3677" s="4" t="n">
        <v>1</v>
      </c>
      <c r="F3677" s="4" t="inlineStr">
        <is>
          <t>GOC Bed Unit-Costing Model v2 — working original.xlsx</t>
        </is>
      </c>
    </row>
    <row r="3678" ht="40" customHeight="1">
      <c r="A3678" s="4" t="inlineStr">
        <is>
          <t>original:Cost plan!J13</t>
        </is>
      </c>
      <c r="B3678" s="4" t="inlineStr">
        <is>
          <t>Cost plan</t>
        </is>
      </c>
      <c r="C3678" s="4" t="inlineStr">
        <is>
          <t>J13</t>
        </is>
      </c>
      <c r="D3678" s="4" t="n">
        <v>12</v>
      </c>
      <c r="E3678" s="4" t="n">
        <v>12</v>
      </c>
      <c r="F3678" s="4" t="inlineStr">
        <is>
          <t>GOC Bed Unit-Costing Model v2 — working original.xlsx</t>
        </is>
      </c>
    </row>
    <row r="3679" ht="40" customHeight="1">
      <c r="A3679" s="4" t="inlineStr">
        <is>
          <t>original:Cost plan!K13</t>
        </is>
      </c>
      <c r="B3679" s="4" t="inlineStr">
        <is>
          <t>Cost plan</t>
        </is>
      </c>
      <c r="C3679" s="4" t="inlineStr">
        <is>
          <t>K13</t>
        </is>
      </c>
      <c r="D3679" s="4" t="inlineStr">
        <is>
          <t>No</t>
        </is>
      </c>
      <c r="E3679" s="4" t="inlineStr">
        <is>
          <t>No</t>
        </is>
      </c>
      <c r="F3679" s="4" t="inlineStr">
        <is>
          <t>GOC Bed Unit-Costing Model v2 — working original.xlsx</t>
        </is>
      </c>
    </row>
    <row r="3680" ht="40" customHeight="1">
      <c r="A3680" s="4" t="inlineStr">
        <is>
          <t>original:Cost plan!L13</t>
        </is>
      </c>
      <c r="B3680" s="4" t="inlineStr">
        <is>
          <t>Cost plan</t>
        </is>
      </c>
      <c r="C3680" s="4" t="inlineStr">
        <is>
          <t>L13</t>
        </is>
      </c>
      <c r="D3680" s="4" t="inlineStr">
        <is>
          <t>=IF(AND(ISNUMBER(H13),K13="Yes"),MIN(H13,MAX(0,Overview!$B$5-SUM(L$5:L12))),0)</t>
        </is>
      </c>
      <c r="E3680" s="4" t="n">
        <v>0</v>
      </c>
      <c r="F3680" s="4" t="inlineStr">
        <is>
          <t>GOC Bed Unit-Costing Model v2 — working original.xlsx</t>
        </is>
      </c>
    </row>
    <row r="3681" ht="40" customHeight="1">
      <c r="A3681" s="4" t="inlineStr">
        <is>
          <t>original:Cost plan!M13</t>
        </is>
      </c>
      <c r="B3681" s="4" t="inlineStr">
        <is>
          <t>Cost plan</t>
        </is>
      </c>
      <c r="C3681" s="4" t="inlineStr">
        <is>
          <t>M13</t>
        </is>
      </c>
      <c r="D3681" s="4" t="inlineStr">
        <is>
          <t>=IF(ISNUMBER(H13),MIN(MAX(0,H13-L13-N13),MAX(0,SUM(Funding!D7:D9)-SUM(M$5:M12))),0)</t>
        </is>
      </c>
      <c r="E3681" s="4" t="n">
        <v>16800</v>
      </c>
      <c r="F3681" s="4" t="inlineStr">
        <is>
          <t>GOC Bed Unit-Costing Model v2 — working original.xlsx</t>
        </is>
      </c>
    </row>
    <row r="3682" ht="40" customHeight="1">
      <c r="A3682" s="4" t="inlineStr">
        <is>
          <t>original:Cost plan!N13</t>
        </is>
      </c>
      <c r="B3682" s="4" t="inlineStr">
        <is>
          <t>Cost plan</t>
        </is>
      </c>
      <c r="C3682" s="4" t="inlineStr">
        <is>
          <t>N13</t>
        </is>
      </c>
      <c r="D3682" s="4" t="inlineStr">
        <is>
          <t>=IF(ISNUMBER(H13),MIN(MAX(0,H13-L13),MAX(0,SUM(Production!M6:M41)-SUM(N$5:N12))),0)</t>
        </is>
      </c>
      <c r="E3682" s="4" t="n">
        <v>0</v>
      </c>
      <c r="F3682" s="4" t="inlineStr">
        <is>
          <t>GOC Bed Unit-Costing Model v2 — working original.xlsx</t>
        </is>
      </c>
    </row>
    <row r="3683" ht="40" customHeight="1">
      <c r="A3683" s="4" t="inlineStr">
        <is>
          <t>original:Cost plan!O13</t>
        </is>
      </c>
      <c r="B3683" s="4" t="inlineStr">
        <is>
          <t>Cost plan</t>
        </is>
      </c>
      <c r="C3683" s="4" t="inlineStr">
        <is>
          <t>O13</t>
        </is>
      </c>
      <c r="D3683" s="4" t="inlineStr">
        <is>
          <t>=IF(ISNUMBER(H13),H13-SUM(L13:N13),"")</t>
        </is>
      </c>
      <c r="E3683" s="4" t="n">
        <v>0</v>
      </c>
      <c r="F3683" s="4" t="inlineStr">
        <is>
          <t>GOC Bed Unit-Costing Model v2 — working original.xlsx</t>
        </is>
      </c>
    </row>
    <row r="3684" ht="45" customHeight="1">
      <c r="A3684" s="4" t="inlineStr">
        <is>
          <t>original:Cost plan!P13</t>
        </is>
      </c>
      <c r="B3684" s="4" t="inlineStr">
        <is>
          <t>Cost plan</t>
        </is>
      </c>
      <c r="C3684" s="4" t="inlineStr">
        <is>
          <t>P13</t>
        </is>
      </c>
      <c r="D3684" s="4" t="inlineStr">
        <is>
          <t>Inputs!B32; 30 days × $560; no duplicate operator pay</t>
        </is>
      </c>
      <c r="E3684" s="4" t="inlineStr">
        <is>
          <t>Inputs!B32; 30 days × $560; no duplicate operator pay</t>
        </is>
      </c>
      <c r="F3684" s="4" t="inlineStr">
        <is>
          <t>GOC Bed Unit-Costing Model v2 — working original.xlsx</t>
        </is>
      </c>
    </row>
    <row r="3685" ht="40" customHeight="1">
      <c r="A3685" s="4" t="inlineStr">
        <is>
          <t>original:Cost plan!A14</t>
        </is>
      </c>
      <c r="B3685" s="4" t="inlineStr">
        <is>
          <t>Cost plan</t>
        </is>
      </c>
      <c r="C3685" s="4" t="inlineStr">
        <is>
          <t>A14</t>
        </is>
      </c>
      <c r="D3685" s="4" t="inlineStr">
        <is>
          <t>ADMIN</t>
        </is>
      </c>
      <c r="E3685" s="4" t="inlineStr">
        <is>
          <t>ADMIN</t>
        </is>
      </c>
      <c r="F3685" s="4" t="inlineStr">
        <is>
          <t>GOC Bed Unit-Costing Model v2 — working original.xlsx</t>
        </is>
      </c>
    </row>
    <row r="3686" ht="40" customHeight="1">
      <c r="A3686" s="4" t="inlineStr">
        <is>
          <t>original:Cost plan!B14</t>
        </is>
      </c>
      <c r="B3686" s="4" t="inlineStr">
        <is>
          <t>Cost plan</t>
        </is>
      </c>
      <c r="C3686" s="4" t="inlineStr">
        <is>
          <t>B14</t>
        </is>
      </c>
      <c r="D3686" s="4" t="inlineStr">
        <is>
          <t>Shared administration</t>
        </is>
      </c>
      <c r="E3686" s="4" t="inlineStr">
        <is>
          <t>Shared administration</t>
        </is>
      </c>
      <c r="F3686" s="4" t="inlineStr">
        <is>
          <t>GOC Bed Unit-Costing Model v2 — working original.xlsx</t>
        </is>
      </c>
    </row>
    <row r="3687" ht="40" customHeight="1">
      <c r="A3687" s="4" t="inlineStr">
        <is>
          <t>original:Cost plan!C14</t>
        </is>
      </c>
      <c r="B3687" s="4" t="inlineStr">
        <is>
          <t>Cost plan</t>
        </is>
      </c>
      <c r="C3687" s="4" t="inlineStr">
        <is>
          <t>C14</t>
        </is>
      </c>
      <c r="D3687" s="4" t="inlineStr">
        <is>
          <t>Shared</t>
        </is>
      </c>
      <c r="E3687" s="4" t="inlineStr">
        <is>
          <t>Shared</t>
        </is>
      </c>
      <c r="F3687" s="4" t="inlineStr">
        <is>
          <t>GOC Bed Unit-Costing Model v2 — working original.xlsx</t>
        </is>
      </c>
    </row>
    <row r="3688" ht="40" customHeight="1">
      <c r="A3688" s="4" t="inlineStr">
        <is>
          <t>original:Cost plan!D14</t>
        </is>
      </c>
      <c r="B3688" s="4" t="inlineStr">
        <is>
          <t>Cost plan</t>
        </is>
      </c>
      <c r="C3688" s="4" t="inlineStr">
        <is>
          <t>D14</t>
        </is>
      </c>
      <c r="D3688" s="4" t="inlineStr">
        <is>
          <t>Goods network</t>
        </is>
      </c>
      <c r="E3688" s="4" t="inlineStr">
        <is>
          <t>Goods network</t>
        </is>
      </c>
      <c r="F3688" s="4" t="inlineStr">
        <is>
          <t>GOC Bed Unit-Costing Model v2 — working original.xlsx</t>
        </is>
      </c>
    </row>
    <row r="3689" ht="40" customHeight="1">
      <c r="A3689" s="4" t="inlineStr">
        <is>
          <t>original:Cost plan!E14</t>
        </is>
      </c>
      <c r="B3689" s="4" t="inlineStr">
        <is>
          <t>Cost plan</t>
        </is>
      </c>
      <c r="C3689" s="4" t="inlineStr">
        <is>
          <t>E14</t>
        </is>
      </c>
      <c r="D3689" s="4" t="inlineStr">
        <is>
          <t>year</t>
        </is>
      </c>
      <c r="E3689" s="4" t="inlineStr">
        <is>
          <t>year</t>
        </is>
      </c>
      <c r="F3689" s="4" t="inlineStr">
        <is>
          <t>GOC Bed Unit-Costing Model v2 — working original.xlsx</t>
        </is>
      </c>
    </row>
    <row r="3690" ht="40" customHeight="1">
      <c r="A3690" s="4" t="inlineStr">
        <is>
          <t>original:Cost plan!F14</t>
        </is>
      </c>
      <c r="B3690" s="4" t="inlineStr">
        <is>
          <t>Cost plan</t>
        </is>
      </c>
      <c r="C3690" s="4" t="inlineStr">
        <is>
          <t>F14</t>
        </is>
      </c>
      <c r="D3690" s="4" t="n">
        <v>1</v>
      </c>
      <c r="E3690" s="4" t="n">
        <v>1</v>
      </c>
      <c r="F3690" s="4" t="inlineStr">
        <is>
          <t>GOC Bed Unit-Costing Model v2 — working original.xlsx</t>
        </is>
      </c>
    </row>
    <row r="3691" ht="40" customHeight="1">
      <c r="A3691" s="4" t="inlineStr">
        <is>
          <t>original:Cost plan!G14</t>
        </is>
      </c>
      <c r="B3691" s="4" t="inlineStr">
        <is>
          <t>Cost plan</t>
        </is>
      </c>
      <c r="C3691" s="4" t="inlineStr">
        <is>
          <t>G14</t>
        </is>
      </c>
      <c r="D3691" s="4" t="inlineStr">
        <is>
          <t>=Inputs!B33</t>
        </is>
      </c>
      <c r="E3691" s="4" t="n">
        <v>14700</v>
      </c>
      <c r="F3691" s="4" t="inlineStr">
        <is>
          <t>GOC Bed Unit-Costing Model v2 — working original.xlsx</t>
        </is>
      </c>
    </row>
    <row r="3692" ht="40" customHeight="1">
      <c r="A3692" s="4" t="inlineStr">
        <is>
          <t>original:Cost plan!H14</t>
        </is>
      </c>
      <c r="B3692" s="4" t="inlineStr">
        <is>
          <t>Cost plan</t>
        </is>
      </c>
      <c r="C3692" s="4" t="inlineStr">
        <is>
          <t>H14</t>
        </is>
      </c>
      <c r="D3692" s="4" t="inlineStr">
        <is>
          <t>=IF(COUNT(F14:G14)=2,F14*G14,"")</t>
        </is>
      </c>
      <c r="E3692" s="4" t="n">
        <v>14700</v>
      </c>
      <c r="F3692" s="4" t="inlineStr">
        <is>
          <t>GOC Bed Unit-Costing Model v2 — working original.xlsx</t>
        </is>
      </c>
    </row>
    <row r="3693" ht="40" customHeight="1">
      <c r="A3693" s="4" t="inlineStr">
        <is>
          <t>original:Cost plan!I14</t>
        </is>
      </c>
      <c r="B3693" s="4" t="inlineStr">
        <is>
          <t>Cost plan</t>
        </is>
      </c>
      <c r="C3693" s="4" t="inlineStr">
        <is>
          <t>I14</t>
        </is>
      </c>
      <c r="D3693" s="4" t="n">
        <v>1</v>
      </c>
      <c r="E3693" s="4" t="n">
        <v>1</v>
      </c>
      <c r="F3693" s="4" t="inlineStr">
        <is>
          <t>GOC Bed Unit-Costing Model v2 — working original.xlsx</t>
        </is>
      </c>
    </row>
    <row r="3694" ht="40" customHeight="1">
      <c r="A3694" s="4" t="inlineStr">
        <is>
          <t>original:Cost plan!J14</t>
        </is>
      </c>
      <c r="B3694" s="4" t="inlineStr">
        <is>
          <t>Cost plan</t>
        </is>
      </c>
      <c r="C3694" s="4" t="inlineStr">
        <is>
          <t>J14</t>
        </is>
      </c>
      <c r="D3694" s="4" t="n">
        <v>12</v>
      </c>
      <c r="E3694" s="4" t="n">
        <v>12</v>
      </c>
      <c r="F3694" s="4" t="inlineStr">
        <is>
          <t>GOC Bed Unit-Costing Model v2 — working original.xlsx</t>
        </is>
      </c>
    </row>
    <row r="3695" ht="40" customHeight="1">
      <c r="A3695" s="4" t="inlineStr">
        <is>
          <t>original:Cost plan!K14</t>
        </is>
      </c>
      <c r="B3695" s="4" t="inlineStr">
        <is>
          <t>Cost plan</t>
        </is>
      </c>
      <c r="C3695" s="4" t="inlineStr">
        <is>
          <t>K14</t>
        </is>
      </c>
      <c r="D3695" s="4" t="inlineStr">
        <is>
          <t>No</t>
        </is>
      </c>
      <c r="E3695" s="4" t="inlineStr">
        <is>
          <t>No</t>
        </is>
      </c>
      <c r="F3695" s="4" t="inlineStr">
        <is>
          <t>GOC Bed Unit-Costing Model v2 — working original.xlsx</t>
        </is>
      </c>
    </row>
    <row r="3696" ht="40" customHeight="1">
      <c r="A3696" s="4" t="inlineStr">
        <is>
          <t>original:Cost plan!L14</t>
        </is>
      </c>
      <c r="B3696" s="4" t="inlineStr">
        <is>
          <t>Cost plan</t>
        </is>
      </c>
      <c r="C3696" s="4" t="inlineStr">
        <is>
          <t>L14</t>
        </is>
      </c>
      <c r="D3696" s="4" t="inlineStr">
        <is>
          <t>=IF(AND(ISNUMBER(H14),K14="Yes"),MIN(H14,MAX(0,Overview!$B$5-SUM(L$5:L13))),0)</t>
        </is>
      </c>
      <c r="E3696" s="4" t="n">
        <v>0</v>
      </c>
      <c r="F3696" s="4" t="inlineStr">
        <is>
          <t>GOC Bed Unit-Costing Model v2 — working original.xlsx</t>
        </is>
      </c>
    </row>
    <row r="3697" ht="40" customHeight="1">
      <c r="A3697" s="4" t="inlineStr">
        <is>
          <t>original:Cost plan!M14</t>
        </is>
      </c>
      <c r="B3697" s="4" t="inlineStr">
        <is>
          <t>Cost plan</t>
        </is>
      </c>
      <c r="C3697" s="4" t="inlineStr">
        <is>
          <t>M14</t>
        </is>
      </c>
      <c r="D3697" s="4" t="inlineStr">
        <is>
          <t>=IF(ISNUMBER(H14),MIN(MAX(0,H14-L14-N14),MAX(0,SUM(Funding!D7:D9)-SUM(M$5:M13))),0)</t>
        </is>
      </c>
      <c r="E3697" s="4" t="n">
        <v>6904</v>
      </c>
      <c r="F3697" s="4" t="inlineStr">
        <is>
          <t>GOC Bed Unit-Costing Model v2 — working original.xlsx</t>
        </is>
      </c>
    </row>
    <row r="3698" ht="40" customHeight="1">
      <c r="A3698" s="4" t="inlineStr">
        <is>
          <t>original:Cost plan!N14</t>
        </is>
      </c>
      <c r="B3698" s="4" t="inlineStr">
        <is>
          <t>Cost plan</t>
        </is>
      </c>
      <c r="C3698" s="4" t="inlineStr">
        <is>
          <t>N14</t>
        </is>
      </c>
      <c r="D3698" s="4" t="inlineStr">
        <is>
          <t>=IF(ISNUMBER(H14),MIN(MAX(0,H14-L14),MAX(0,SUM(Production!M6:M41)-SUM(N$5:N13))),0)</t>
        </is>
      </c>
      <c r="E3698" s="4" t="n">
        <v>0</v>
      </c>
      <c r="F3698" s="4" t="inlineStr">
        <is>
          <t>GOC Bed Unit-Costing Model v2 — working original.xlsx</t>
        </is>
      </c>
    </row>
    <row r="3699" ht="40" customHeight="1">
      <c r="A3699" s="4" t="inlineStr">
        <is>
          <t>original:Cost plan!O14</t>
        </is>
      </c>
      <c r="B3699" s="4" t="inlineStr">
        <is>
          <t>Cost plan</t>
        </is>
      </c>
      <c r="C3699" s="4" t="inlineStr">
        <is>
          <t>O14</t>
        </is>
      </c>
      <c r="D3699" s="4" t="inlineStr">
        <is>
          <t>=IF(ISNUMBER(H14),H14-SUM(L14:N14),"")</t>
        </is>
      </c>
      <c r="E3699" s="4" t="n">
        <v>7796</v>
      </c>
      <c r="F3699" s="4" t="inlineStr">
        <is>
          <t>GOC Bed Unit-Costing Model v2 — working original.xlsx</t>
        </is>
      </c>
    </row>
    <row r="3700" ht="40" customHeight="1">
      <c r="A3700" s="4" t="inlineStr">
        <is>
          <t>original:Cost plan!P14</t>
        </is>
      </c>
      <c r="B3700" s="4" t="inlineStr">
        <is>
          <t>Cost plan</t>
        </is>
      </c>
      <c r="C3700" s="4" t="inlineStr">
        <is>
          <t>P14</t>
        </is>
      </c>
      <c r="D3700" s="4" t="inlineStr">
        <is>
          <t>Inputs!B33; scope against finance/legal lines</t>
        </is>
      </c>
      <c r="E3700" s="4" t="inlineStr">
        <is>
          <t>Inputs!B33; scope against finance/legal lines</t>
        </is>
      </c>
      <c r="F3700" s="4" t="inlineStr">
        <is>
          <t>GOC Bed Unit-Costing Model v2 — working original.xlsx</t>
        </is>
      </c>
    </row>
    <row r="3701" ht="40" customHeight="1">
      <c r="A3701" s="4" t="inlineStr">
        <is>
          <t>original:Cost plan!A15</t>
        </is>
      </c>
      <c r="B3701" s="4" t="inlineStr">
        <is>
          <t>Cost plan</t>
        </is>
      </c>
      <c r="C3701" s="4" t="inlineStr">
        <is>
          <t>A15</t>
        </is>
      </c>
      <c r="D3701" s="4" t="inlineStr">
        <is>
          <t>TRAVEL</t>
        </is>
      </c>
      <c r="E3701" s="4" t="inlineStr">
        <is>
          <t>TRAVEL</t>
        </is>
      </c>
      <c r="F3701" s="4" t="inlineStr">
        <is>
          <t>GOC Bed Unit-Costing Model v2 — working original.xlsx</t>
        </is>
      </c>
    </row>
    <row r="3702" ht="40" customHeight="1">
      <c r="A3702" s="4" t="inlineStr">
        <is>
          <t>original:Cost plan!B15</t>
        </is>
      </c>
      <c r="B3702" s="4" t="inlineStr">
        <is>
          <t>Cost plan</t>
        </is>
      </c>
      <c r="C3702" s="4" t="inlineStr">
        <is>
          <t>B15</t>
        </is>
      </c>
      <c r="D3702" s="4" t="inlineStr">
        <is>
          <t>Field travel</t>
        </is>
      </c>
      <c r="E3702" s="4" t="inlineStr">
        <is>
          <t>Field travel</t>
        </is>
      </c>
      <c r="F3702" s="4" t="inlineStr">
        <is>
          <t>GOC Bed Unit-Costing Model v2 — working original.xlsx</t>
        </is>
      </c>
    </row>
    <row r="3703" ht="40" customHeight="1">
      <c r="A3703" s="4" t="inlineStr">
        <is>
          <t>original:Cost plan!C15</t>
        </is>
      </c>
      <c r="B3703" s="4" t="inlineStr">
        <is>
          <t>Cost plan</t>
        </is>
      </c>
      <c r="C3703" s="4" t="inlineStr">
        <is>
          <t>C15</t>
        </is>
      </c>
      <c r="D3703" s="4" t="inlineStr">
        <is>
          <t>Shared</t>
        </is>
      </c>
      <c r="E3703" s="4" t="inlineStr">
        <is>
          <t>Shared</t>
        </is>
      </c>
      <c r="F3703" s="4" t="inlineStr">
        <is>
          <t>GOC Bed Unit-Costing Model v2 — working original.xlsx</t>
        </is>
      </c>
    </row>
    <row r="3704" ht="40" customHeight="1">
      <c r="A3704" s="4" t="inlineStr">
        <is>
          <t>original:Cost plan!D15</t>
        </is>
      </c>
      <c r="B3704" s="4" t="inlineStr">
        <is>
          <t>Cost plan</t>
        </is>
      </c>
      <c r="C3704" s="4" t="inlineStr">
        <is>
          <t>D15</t>
        </is>
      </c>
      <c r="D3704" s="4" t="inlineStr">
        <is>
          <t>Goods network</t>
        </is>
      </c>
      <c r="E3704" s="4" t="inlineStr">
        <is>
          <t>Goods network</t>
        </is>
      </c>
      <c r="F3704" s="4" t="inlineStr">
        <is>
          <t>GOC Bed Unit-Costing Model v2 — working original.xlsx</t>
        </is>
      </c>
    </row>
    <row r="3705" ht="40" customHeight="1">
      <c r="A3705" s="4" t="inlineStr">
        <is>
          <t>original:Cost plan!E15</t>
        </is>
      </c>
      <c r="B3705" s="4" t="inlineStr">
        <is>
          <t>Cost plan</t>
        </is>
      </c>
      <c r="C3705" s="4" t="inlineStr">
        <is>
          <t>E15</t>
        </is>
      </c>
      <c r="D3705" s="4" t="inlineStr">
        <is>
          <t>year</t>
        </is>
      </c>
      <c r="E3705" s="4" t="inlineStr">
        <is>
          <t>year</t>
        </is>
      </c>
      <c r="F3705" s="4" t="inlineStr">
        <is>
          <t>GOC Bed Unit-Costing Model v2 — working original.xlsx</t>
        </is>
      </c>
    </row>
    <row r="3706" ht="40" customHeight="1">
      <c r="A3706" s="4" t="inlineStr">
        <is>
          <t>original:Cost plan!F15</t>
        </is>
      </c>
      <c r="B3706" s="4" t="inlineStr">
        <is>
          <t>Cost plan</t>
        </is>
      </c>
      <c r="C3706" s="4" t="inlineStr">
        <is>
          <t>F15</t>
        </is>
      </c>
      <c r="D3706" s="4" t="n">
        <v>1</v>
      </c>
      <c r="E3706" s="4" t="n">
        <v>1</v>
      </c>
      <c r="F3706" s="4" t="inlineStr">
        <is>
          <t>GOC Bed Unit-Costing Model v2 — working original.xlsx</t>
        </is>
      </c>
    </row>
    <row r="3707" ht="40" customHeight="1">
      <c r="A3707" s="4" t="inlineStr">
        <is>
          <t>original:Cost plan!G15</t>
        </is>
      </c>
      <c r="B3707" s="4" t="inlineStr">
        <is>
          <t>Cost plan</t>
        </is>
      </c>
      <c r="C3707" s="4" t="inlineStr">
        <is>
          <t>G15</t>
        </is>
      </c>
      <c r="D3707" s="4" t="inlineStr">
        <is>
          <t>=Inputs!B34</t>
        </is>
      </c>
      <c r="E3707" s="4" t="n">
        <v>51000</v>
      </c>
      <c r="F3707" s="4" t="inlineStr">
        <is>
          <t>GOC Bed Unit-Costing Model v2 — working original.xlsx</t>
        </is>
      </c>
    </row>
    <row r="3708" ht="40" customHeight="1">
      <c r="A3708" s="4" t="inlineStr">
        <is>
          <t>original:Cost plan!H15</t>
        </is>
      </c>
      <c r="B3708" s="4" t="inlineStr">
        <is>
          <t>Cost plan</t>
        </is>
      </c>
      <c r="C3708" s="4" t="inlineStr">
        <is>
          <t>H15</t>
        </is>
      </c>
      <c r="D3708" s="4" t="inlineStr">
        <is>
          <t>=IF(COUNT(F15:G15)=2,F15*G15,"")</t>
        </is>
      </c>
      <c r="E3708" s="4" t="n">
        <v>51000</v>
      </c>
      <c r="F3708" s="4" t="inlineStr">
        <is>
          <t>GOC Bed Unit-Costing Model v2 — working original.xlsx</t>
        </is>
      </c>
    </row>
    <row r="3709" ht="40" customHeight="1">
      <c r="A3709" s="4" t="inlineStr">
        <is>
          <t>original:Cost plan!I15</t>
        </is>
      </c>
      <c r="B3709" s="4" t="inlineStr">
        <is>
          <t>Cost plan</t>
        </is>
      </c>
      <c r="C3709" s="4" t="inlineStr">
        <is>
          <t>I15</t>
        </is>
      </c>
      <c r="D3709" s="4" t="n">
        <v>1</v>
      </c>
      <c r="E3709" s="4" t="n">
        <v>1</v>
      </c>
      <c r="F3709" s="4" t="inlineStr">
        <is>
          <t>GOC Bed Unit-Costing Model v2 — working original.xlsx</t>
        </is>
      </c>
    </row>
    <row r="3710" ht="40" customHeight="1">
      <c r="A3710" s="4" t="inlineStr">
        <is>
          <t>original:Cost plan!J15</t>
        </is>
      </c>
      <c r="B3710" s="4" t="inlineStr">
        <is>
          <t>Cost plan</t>
        </is>
      </c>
      <c r="C3710" s="4" t="inlineStr">
        <is>
          <t>J15</t>
        </is>
      </c>
      <c r="D3710" s="4" t="n">
        <v>12</v>
      </c>
      <c r="E3710" s="4" t="n">
        <v>12</v>
      </c>
      <c r="F3710" s="4" t="inlineStr">
        <is>
          <t>GOC Bed Unit-Costing Model v2 — working original.xlsx</t>
        </is>
      </c>
    </row>
    <row r="3711" ht="40" customHeight="1">
      <c r="A3711" s="4" t="inlineStr">
        <is>
          <t>original:Cost plan!K15</t>
        </is>
      </c>
      <c r="B3711" s="4" t="inlineStr">
        <is>
          <t>Cost plan</t>
        </is>
      </c>
      <c r="C3711" s="4" t="inlineStr">
        <is>
          <t>K15</t>
        </is>
      </c>
      <c r="D3711" s="4" t="inlineStr">
        <is>
          <t>No</t>
        </is>
      </c>
      <c r="E3711" s="4" t="inlineStr">
        <is>
          <t>No</t>
        </is>
      </c>
      <c r="F3711" s="4" t="inlineStr">
        <is>
          <t>GOC Bed Unit-Costing Model v2 — working original.xlsx</t>
        </is>
      </c>
    </row>
    <row r="3712" ht="40" customHeight="1">
      <c r="A3712" s="4" t="inlineStr">
        <is>
          <t>original:Cost plan!L15</t>
        </is>
      </c>
      <c r="B3712" s="4" t="inlineStr">
        <is>
          <t>Cost plan</t>
        </is>
      </c>
      <c r="C3712" s="4" t="inlineStr">
        <is>
          <t>L15</t>
        </is>
      </c>
      <c r="D3712" s="4" t="inlineStr">
        <is>
          <t>=IF(AND(ISNUMBER(H15),K15="Yes"),MIN(H15,MAX(0,Overview!$B$5-SUM(L$5:L14))),0)</t>
        </is>
      </c>
      <c r="E3712" s="4" t="n">
        <v>0</v>
      </c>
      <c r="F3712" s="4" t="inlineStr">
        <is>
          <t>GOC Bed Unit-Costing Model v2 — working original.xlsx</t>
        </is>
      </c>
    </row>
    <row r="3713" ht="40" customHeight="1">
      <c r="A3713" s="4" t="inlineStr">
        <is>
          <t>original:Cost plan!M15</t>
        </is>
      </c>
      <c r="B3713" s="4" t="inlineStr">
        <is>
          <t>Cost plan</t>
        </is>
      </c>
      <c r="C3713" s="4" t="inlineStr">
        <is>
          <t>M15</t>
        </is>
      </c>
      <c r="D3713" s="4" t="inlineStr">
        <is>
          <t>=IF(ISNUMBER(H15),MIN(MAX(0,H15-L15-N15),MAX(0,SUM(Funding!D7:D9)-SUM(M$5:M14))),0)</t>
        </is>
      </c>
      <c r="E3713" s="4" t="n">
        <v>0</v>
      </c>
      <c r="F3713" s="4" t="inlineStr">
        <is>
          <t>GOC Bed Unit-Costing Model v2 — working original.xlsx</t>
        </is>
      </c>
    </row>
    <row r="3714" ht="40" customHeight="1">
      <c r="A3714" s="4" t="inlineStr">
        <is>
          <t>original:Cost plan!N15</t>
        </is>
      </c>
      <c r="B3714" s="4" t="inlineStr">
        <is>
          <t>Cost plan</t>
        </is>
      </c>
      <c r="C3714" s="4" t="inlineStr">
        <is>
          <t>N15</t>
        </is>
      </c>
      <c r="D3714" s="4" t="inlineStr">
        <is>
          <t>=IF(ISNUMBER(H15),MIN(MAX(0,H15-L15),MAX(0,SUM(Production!M6:M41)-SUM(N$5:N14))),0)</t>
        </is>
      </c>
      <c r="E3714" s="4" t="n">
        <v>0</v>
      </c>
      <c r="F3714" s="4" t="inlineStr">
        <is>
          <t>GOC Bed Unit-Costing Model v2 — working original.xlsx</t>
        </is>
      </c>
    </row>
    <row r="3715" ht="40" customHeight="1">
      <c r="A3715" s="4" t="inlineStr">
        <is>
          <t>original:Cost plan!O15</t>
        </is>
      </c>
      <c r="B3715" s="4" t="inlineStr">
        <is>
          <t>Cost plan</t>
        </is>
      </c>
      <c r="C3715" s="4" t="inlineStr">
        <is>
          <t>O15</t>
        </is>
      </c>
      <c r="D3715" s="4" t="inlineStr">
        <is>
          <t>=IF(ISNUMBER(H15),H15-SUM(L15:N15),"")</t>
        </is>
      </c>
      <c r="E3715" s="4" t="n">
        <v>51000</v>
      </c>
      <c r="F3715" s="4" t="inlineStr">
        <is>
          <t>GOC Bed Unit-Costing Model v2 — working original.xlsx</t>
        </is>
      </c>
    </row>
    <row r="3716" ht="40" customHeight="1">
      <c r="A3716" s="4" t="inlineStr">
        <is>
          <t>original:Cost plan!P15</t>
        </is>
      </c>
      <c r="B3716" s="4" t="inlineStr">
        <is>
          <t>Cost plan</t>
        </is>
      </c>
      <c r="C3716" s="4" t="inlineStr">
        <is>
          <t>P15</t>
        </is>
      </c>
      <c r="D3716" s="4" t="inlineStr">
        <is>
          <t>Inputs!B34; do not duplicate delivery freight</t>
        </is>
      </c>
      <c r="E3716" s="4" t="inlineStr">
        <is>
          <t>Inputs!B34; do not duplicate delivery freight</t>
        </is>
      </c>
      <c r="F3716" s="4" t="inlineStr">
        <is>
          <t>GOC Bed Unit-Costing Model v2 — working original.xlsx</t>
        </is>
      </c>
    </row>
    <row r="3717" ht="40" customHeight="1">
      <c r="A3717" s="4" t="inlineStr">
        <is>
          <t>original:Cost plan!A16</t>
        </is>
      </c>
      <c r="B3717" s="4" t="inlineStr">
        <is>
          <t>Cost plan</t>
        </is>
      </c>
      <c r="C3717" s="4" t="inlineStr">
        <is>
          <t>A16</t>
        </is>
      </c>
      <c r="D3717" s="4" t="inlineStr">
        <is>
          <t>MNT0</t>
        </is>
      </c>
      <c r="E3717" s="4" t="inlineStr">
        <is>
          <t>MNT0</t>
        </is>
      </c>
      <c r="F3717" s="4" t="inlineStr">
        <is>
          <t>GOC Bed Unit-Costing Model v2 — working original.xlsx</t>
        </is>
      </c>
    </row>
    <row r="3718" ht="40" customHeight="1">
      <c r="A3718" s="4" t="inlineStr">
        <is>
          <t>original:Cost plan!B16</t>
        </is>
      </c>
      <c r="B3718" s="4" t="inlineStr">
        <is>
          <t>Cost plan</t>
        </is>
      </c>
      <c r="C3718" s="4" t="inlineStr">
        <is>
          <t>B16</t>
        </is>
      </c>
      <c r="D3718" s="4" t="inlineStr">
        <is>
          <t>Witta maintenance</t>
        </is>
      </c>
      <c r="E3718" s="4" t="inlineStr">
        <is>
          <t>Witta maintenance</t>
        </is>
      </c>
      <c r="F3718" s="4" t="inlineStr">
        <is>
          <t>GOC Bed Unit-Costing Model v2 — working original.xlsx</t>
        </is>
      </c>
    </row>
    <row r="3719" ht="40" customHeight="1">
      <c r="A3719" s="4" t="inlineStr">
        <is>
          <t>original:Cost plan!C16</t>
        </is>
      </c>
      <c r="B3719" s="4" t="inlineStr">
        <is>
          <t>Cost plan</t>
        </is>
      </c>
      <c r="C3719" s="4" t="inlineStr">
        <is>
          <t>C16</t>
        </is>
      </c>
      <c r="D3719" s="4" t="inlineStr">
        <is>
          <t>WITTA</t>
        </is>
      </c>
      <c r="E3719" s="4" t="inlineStr">
        <is>
          <t>WITTA</t>
        </is>
      </c>
      <c r="F3719" s="4" t="inlineStr">
        <is>
          <t>GOC Bed Unit-Costing Model v2 — working original.xlsx</t>
        </is>
      </c>
    </row>
    <row r="3720" ht="40" customHeight="1">
      <c r="A3720" s="4" t="inlineStr">
        <is>
          <t>original:Cost plan!D16</t>
        </is>
      </c>
      <c r="B3720" s="4" t="inlineStr">
        <is>
          <t>Cost plan</t>
        </is>
      </c>
      <c r="C3720" s="4" t="inlineStr">
        <is>
          <t>D16</t>
        </is>
      </c>
      <c r="D3720" s="4" t="inlineStr">
        <is>
          <t>Site operations</t>
        </is>
      </c>
      <c r="E3720" s="4" t="inlineStr">
        <is>
          <t>Site operations</t>
        </is>
      </c>
      <c r="F3720" s="4" t="inlineStr">
        <is>
          <t>GOC Bed Unit-Costing Model v2 — working original.xlsx</t>
        </is>
      </c>
    </row>
    <row r="3721" ht="40" customHeight="1">
      <c r="A3721" s="4" t="inlineStr">
        <is>
          <t>original:Cost plan!E16</t>
        </is>
      </c>
      <c r="B3721" s="4" t="inlineStr">
        <is>
          <t>Cost plan</t>
        </is>
      </c>
      <c r="C3721" s="4" t="inlineStr">
        <is>
          <t>E16</t>
        </is>
      </c>
      <c r="D3721" s="4" t="inlineStr">
        <is>
          <t>year</t>
        </is>
      </c>
      <c r="E3721" s="4" t="inlineStr">
        <is>
          <t>year</t>
        </is>
      </c>
      <c r="F3721" s="4" t="inlineStr">
        <is>
          <t>GOC Bed Unit-Costing Model v2 — working original.xlsx</t>
        </is>
      </c>
    </row>
    <row r="3722" ht="40" customHeight="1">
      <c r="A3722" s="4" t="inlineStr">
        <is>
          <t>original:Cost plan!F16</t>
        </is>
      </c>
      <c r="B3722" s="4" t="inlineStr">
        <is>
          <t>Cost plan</t>
        </is>
      </c>
      <c r="C3722" s="4" t="inlineStr">
        <is>
          <t>F16</t>
        </is>
      </c>
      <c r="D3722" s="4" t="n">
        <v>1</v>
      </c>
      <c r="E3722" s="4" t="n">
        <v>1</v>
      </c>
      <c r="F3722" s="4" t="inlineStr">
        <is>
          <t>GOC Bed Unit-Costing Model v2 — working original.xlsx</t>
        </is>
      </c>
    </row>
    <row r="3723" ht="40" customHeight="1">
      <c r="A3723" s="4" t="inlineStr">
        <is>
          <t>original:Cost plan!G16</t>
        </is>
      </c>
      <c r="B3723" s="4" t="inlineStr">
        <is>
          <t>Cost plan</t>
        </is>
      </c>
      <c r="C3723" s="4" t="inlineStr">
        <is>
          <t>G16</t>
        </is>
      </c>
      <c r="D3723" s="4" t="inlineStr">
        <is>
          <t>='Inputs (1)'!B42</t>
        </is>
      </c>
      <c r="E3723" s="4" t="n">
        <v>8350</v>
      </c>
      <c r="F3723" s="4" t="inlineStr">
        <is>
          <t>GOC Bed Unit-Costing Model v2 — working original.xlsx</t>
        </is>
      </c>
    </row>
    <row r="3724" ht="40" customHeight="1">
      <c r="A3724" s="4" t="inlineStr">
        <is>
          <t>original:Cost plan!H16</t>
        </is>
      </c>
      <c r="B3724" s="4" t="inlineStr">
        <is>
          <t>Cost plan</t>
        </is>
      </c>
      <c r="C3724" s="4" t="inlineStr">
        <is>
          <t>H16</t>
        </is>
      </c>
      <c r="D3724" s="4" t="inlineStr">
        <is>
          <t>=IF(COUNT(F16:G16)=2,F16*G16,"")</t>
        </is>
      </c>
      <c r="E3724" s="4" t="n">
        <v>8350</v>
      </c>
      <c r="F3724" s="4" t="inlineStr">
        <is>
          <t>GOC Bed Unit-Costing Model v2 — working original.xlsx</t>
        </is>
      </c>
    </row>
    <row r="3725" ht="40" customHeight="1">
      <c r="A3725" s="4" t="inlineStr">
        <is>
          <t>original:Cost plan!I16</t>
        </is>
      </c>
      <c r="B3725" s="4" t="inlineStr">
        <is>
          <t>Cost plan</t>
        </is>
      </c>
      <c r="C3725" s="4" t="inlineStr">
        <is>
          <t>I16</t>
        </is>
      </c>
      <c r="D3725" s="4" t="n">
        <v>1</v>
      </c>
      <c r="E3725" s="4" t="n">
        <v>1</v>
      </c>
      <c r="F3725" s="4" t="inlineStr">
        <is>
          <t>GOC Bed Unit-Costing Model v2 — working original.xlsx</t>
        </is>
      </c>
    </row>
    <row r="3726" ht="40" customHeight="1">
      <c r="A3726" s="4" t="inlineStr">
        <is>
          <t>original:Cost plan!J16</t>
        </is>
      </c>
      <c r="B3726" s="4" t="inlineStr">
        <is>
          <t>Cost plan</t>
        </is>
      </c>
      <c r="C3726" s="4" t="inlineStr">
        <is>
          <t>J16</t>
        </is>
      </c>
      <c r="D3726" s="4" t="n">
        <v>12</v>
      </c>
      <c r="E3726" s="4" t="n">
        <v>12</v>
      </c>
      <c r="F3726" s="4" t="inlineStr">
        <is>
          <t>GOC Bed Unit-Costing Model v2 — working original.xlsx</t>
        </is>
      </c>
    </row>
    <row r="3727" ht="40" customHeight="1">
      <c r="A3727" s="4" t="inlineStr">
        <is>
          <t>original:Cost plan!K16</t>
        </is>
      </c>
      <c r="B3727" s="4" t="inlineStr">
        <is>
          <t>Cost plan</t>
        </is>
      </c>
      <c r="C3727" s="4" t="inlineStr">
        <is>
          <t>K16</t>
        </is>
      </c>
      <c r="D3727" s="4" t="inlineStr">
        <is>
          <t>No</t>
        </is>
      </c>
      <c r="E3727" s="4" t="inlineStr">
        <is>
          <t>No</t>
        </is>
      </c>
      <c r="F3727" s="4" t="inlineStr">
        <is>
          <t>GOC Bed Unit-Costing Model v2 — working original.xlsx</t>
        </is>
      </c>
    </row>
    <row r="3728" ht="40" customHeight="1">
      <c r="A3728" s="4" t="inlineStr">
        <is>
          <t>original:Cost plan!L16</t>
        </is>
      </c>
      <c r="B3728" s="4" t="inlineStr">
        <is>
          <t>Cost plan</t>
        </is>
      </c>
      <c r="C3728" s="4" t="inlineStr">
        <is>
          <t>L16</t>
        </is>
      </c>
      <c r="D3728" s="4" t="inlineStr">
        <is>
          <t>=IF(AND(ISNUMBER(H16),K16="Yes"),MIN(H16,MAX(0,Overview!$B$5-SUM(L$5:L15))),0)</t>
        </is>
      </c>
      <c r="E3728" s="4" t="n">
        <v>0</v>
      </c>
      <c r="F3728" s="4" t="inlineStr">
        <is>
          <t>GOC Bed Unit-Costing Model v2 — working original.xlsx</t>
        </is>
      </c>
    </row>
    <row r="3729" ht="40" customHeight="1">
      <c r="A3729" s="4" t="inlineStr">
        <is>
          <t>original:Cost plan!M16</t>
        </is>
      </c>
      <c r="B3729" s="4" t="inlineStr">
        <is>
          <t>Cost plan</t>
        </is>
      </c>
      <c r="C3729" s="4" t="inlineStr">
        <is>
          <t>M16</t>
        </is>
      </c>
      <c r="D3729" s="4" t="inlineStr">
        <is>
          <t>=IF(ISNUMBER(H16),MIN(MAX(0,H16-L16-N16),MAX(0,SUM(Funding!D7:D9)-SUM(M$5:M15))),0)</t>
        </is>
      </c>
      <c r="E3729" s="4" t="n">
        <v>0</v>
      </c>
      <c r="F3729" s="4" t="inlineStr">
        <is>
          <t>GOC Bed Unit-Costing Model v2 — working original.xlsx</t>
        </is>
      </c>
    </row>
    <row r="3730" ht="40" customHeight="1">
      <c r="A3730" s="4" t="inlineStr">
        <is>
          <t>original:Cost plan!N16</t>
        </is>
      </c>
      <c r="B3730" s="4" t="inlineStr">
        <is>
          <t>Cost plan</t>
        </is>
      </c>
      <c r="C3730" s="4" t="inlineStr">
        <is>
          <t>N16</t>
        </is>
      </c>
      <c r="D3730" s="4" t="inlineStr">
        <is>
          <t>=IF(ISNUMBER(H16),MIN(MAX(0,H16-L16),MAX(0,SUM(Production!M6:M41)-SUM(N$5:N15))),0)</t>
        </is>
      </c>
      <c r="E3730" s="4" t="n">
        <v>0</v>
      </c>
      <c r="F3730" s="4" t="inlineStr">
        <is>
          <t>GOC Bed Unit-Costing Model v2 — working original.xlsx</t>
        </is>
      </c>
    </row>
    <row r="3731" ht="40" customHeight="1">
      <c r="A3731" s="4" t="inlineStr">
        <is>
          <t>original:Cost plan!O16</t>
        </is>
      </c>
      <c r="B3731" s="4" t="inlineStr">
        <is>
          <t>Cost plan</t>
        </is>
      </c>
      <c r="C3731" s="4" t="inlineStr">
        <is>
          <t>O16</t>
        </is>
      </c>
      <c r="D3731" s="4" t="inlineStr">
        <is>
          <t>=IF(ISNUMBER(H16),H16-SUM(L16:N16),"")</t>
        </is>
      </c>
      <c r="E3731" s="4" t="n">
        <v>8350</v>
      </c>
      <c r="F3731" s="4" t="inlineStr">
        <is>
          <t>GOC Bed Unit-Costing Model v2 — working original.xlsx</t>
        </is>
      </c>
    </row>
    <row r="3732" ht="40" customHeight="1">
      <c r="A3732" s="4" t="inlineStr">
        <is>
          <t>original:Cost plan!P16</t>
        </is>
      </c>
      <c r="B3732" s="4" t="inlineStr">
        <is>
          <t>Cost plan</t>
        </is>
      </c>
      <c r="C3732" s="4" t="inlineStr">
        <is>
          <t>P16</t>
        </is>
      </c>
      <c r="D3732" s="4" t="inlineStr">
        <is>
          <t>Inputs (1)!B42; placeholder 5% equipment</t>
        </is>
      </c>
      <c r="E3732" s="4" t="inlineStr">
        <is>
          <t>Inputs (1)!B42; placeholder 5% equipment</t>
        </is>
      </c>
      <c r="F3732" s="4" t="inlineStr">
        <is>
          <t>GOC Bed Unit-Costing Model v2 — working original.xlsx</t>
        </is>
      </c>
    </row>
    <row r="3733" ht="40" customHeight="1">
      <c r="A3733" s="4" t="inlineStr">
        <is>
          <t>original:Cost plan!A17</t>
        </is>
      </c>
      <c r="B3733" s="4" t="inlineStr">
        <is>
          <t>Cost plan</t>
        </is>
      </c>
      <c r="C3733" s="4" t="inlineStr">
        <is>
          <t>A17</t>
        </is>
      </c>
      <c r="D3733" s="4" t="inlineStr">
        <is>
          <t>MNT1</t>
        </is>
      </c>
      <c r="E3733" s="4" t="inlineStr">
        <is>
          <t>MNT1</t>
        </is>
      </c>
      <c r="F3733" s="4" t="inlineStr">
        <is>
          <t>GOC Bed Unit-Costing Model v2 — working original.xlsx</t>
        </is>
      </c>
    </row>
    <row r="3734" ht="40" customHeight="1">
      <c r="A3734" s="4" t="inlineStr">
        <is>
          <t>original:Cost plan!B17</t>
        </is>
      </c>
      <c r="B3734" s="4" t="inlineStr">
        <is>
          <t>Cost plan</t>
        </is>
      </c>
      <c r="C3734" s="4" t="inlineStr">
        <is>
          <t>B17</t>
        </is>
      </c>
      <c r="D3734" s="4" t="inlineStr">
        <is>
          <t>New facility 1 maintenance</t>
        </is>
      </c>
      <c r="E3734" s="4" t="inlineStr">
        <is>
          <t>New facility 1 maintenance</t>
        </is>
      </c>
      <c r="F3734" s="4" t="inlineStr">
        <is>
          <t>GOC Bed Unit-Costing Model v2 — working original.xlsx</t>
        </is>
      </c>
    </row>
    <row r="3735" ht="40" customHeight="1">
      <c r="A3735" s="4" t="inlineStr">
        <is>
          <t>original:Cost plan!C17</t>
        </is>
      </c>
      <c r="B3735" s="4" t="inlineStr">
        <is>
          <t>Cost plan</t>
        </is>
      </c>
      <c r="C3735" s="4" t="inlineStr">
        <is>
          <t>C17</t>
        </is>
      </c>
      <c r="D3735" s="4" t="inlineStr">
        <is>
          <t>NEW1</t>
        </is>
      </c>
      <c r="E3735" s="4" t="inlineStr">
        <is>
          <t>NEW1</t>
        </is>
      </c>
      <c r="F3735" s="4" t="inlineStr">
        <is>
          <t>GOC Bed Unit-Costing Model v2 — working original.xlsx</t>
        </is>
      </c>
    </row>
    <row r="3736" ht="40" customHeight="1">
      <c r="A3736" s="4" t="inlineStr">
        <is>
          <t>original:Cost plan!D17</t>
        </is>
      </c>
      <c r="B3736" s="4" t="inlineStr">
        <is>
          <t>Cost plan</t>
        </is>
      </c>
      <c r="C3736" s="4" t="inlineStr">
        <is>
          <t>D17</t>
        </is>
      </c>
      <c r="D3736" s="4" t="inlineStr">
        <is>
          <t>Site operations</t>
        </is>
      </c>
      <c r="E3736" s="4" t="inlineStr">
        <is>
          <t>Site operations</t>
        </is>
      </c>
      <c r="F3736" s="4" t="inlineStr">
        <is>
          <t>GOC Bed Unit-Costing Model v2 — working original.xlsx</t>
        </is>
      </c>
    </row>
    <row r="3737" ht="40" customHeight="1">
      <c r="A3737" s="4" t="inlineStr">
        <is>
          <t>original:Cost plan!E17</t>
        </is>
      </c>
      <c r="B3737" s="4" t="inlineStr">
        <is>
          <t>Cost plan</t>
        </is>
      </c>
      <c r="C3737" s="4" t="inlineStr">
        <is>
          <t>E17</t>
        </is>
      </c>
      <c r="D3737" s="4" t="inlineStr">
        <is>
          <t>year</t>
        </is>
      </c>
      <c r="E3737" s="4" t="inlineStr">
        <is>
          <t>year</t>
        </is>
      </c>
      <c r="F3737" s="4" t="inlineStr">
        <is>
          <t>GOC Bed Unit-Costing Model v2 — working original.xlsx</t>
        </is>
      </c>
    </row>
    <row r="3738" ht="40" customHeight="1">
      <c r="A3738" s="4" t="inlineStr">
        <is>
          <t>original:Cost plan!F17</t>
        </is>
      </c>
      <c r="B3738" s="4" t="inlineStr">
        <is>
          <t>Cost plan</t>
        </is>
      </c>
      <c r="C3738" s="4" t="inlineStr">
        <is>
          <t>F17</t>
        </is>
      </c>
      <c r="D3738" s="4" t="inlineStr">
        <is>
          <t>=J17/12</t>
        </is>
      </c>
      <c r="E3738" s="4" t="n">
        <v>0.75</v>
      </c>
      <c r="F3738" s="4" t="inlineStr">
        <is>
          <t>GOC Bed Unit-Costing Model v2 — working original.xlsx</t>
        </is>
      </c>
    </row>
    <row r="3739" ht="40" customHeight="1">
      <c r="A3739" s="4" t="inlineStr">
        <is>
          <t>original:Cost plan!G17</t>
        </is>
      </c>
      <c r="B3739" s="4" t="inlineStr">
        <is>
          <t>Cost plan</t>
        </is>
      </c>
      <c r="C3739" s="4" t="inlineStr">
        <is>
          <t>G17</t>
        </is>
      </c>
      <c r="D3739" s="4" t="inlineStr">
        <is>
          <t>='Inputs (1)'!C42</t>
        </is>
      </c>
      <c r="E3739" s="4" t="n">
        <v>8350</v>
      </c>
      <c r="F3739" s="4" t="inlineStr">
        <is>
          <t>GOC Bed Unit-Costing Model v2 — working original.xlsx</t>
        </is>
      </c>
    </row>
    <row r="3740" ht="40" customHeight="1">
      <c r="A3740" s="4" t="inlineStr">
        <is>
          <t>original:Cost plan!H17</t>
        </is>
      </c>
      <c r="B3740" s="4" t="inlineStr">
        <is>
          <t>Cost plan</t>
        </is>
      </c>
      <c r="C3740" s="4" t="inlineStr">
        <is>
          <t>H17</t>
        </is>
      </c>
      <c r="D3740" s="4" t="inlineStr">
        <is>
          <t>=IF(COUNT(F17:G17)=2,F17*G17,"")</t>
        </is>
      </c>
      <c r="E3740" s="4" t="n">
        <v>6262.5</v>
      </c>
      <c r="F3740" s="4" t="inlineStr">
        <is>
          <t>GOC Bed Unit-Costing Model v2 — working original.xlsx</t>
        </is>
      </c>
    </row>
    <row r="3741" ht="40" customHeight="1">
      <c r="A3741" s="4" t="inlineStr">
        <is>
          <t>original:Cost plan!I17</t>
        </is>
      </c>
      <c r="B3741" s="4" t="inlineStr">
        <is>
          <t>Cost plan</t>
        </is>
      </c>
      <c r="C3741" s="4" t="inlineStr">
        <is>
          <t>I17</t>
        </is>
      </c>
      <c r="D3741" s="4" t="inlineStr">
        <is>
          <t>=Sites!F7</t>
        </is>
      </c>
      <c r="E3741" s="4" t="n">
        <v>4</v>
      </c>
      <c r="F3741" s="4" t="inlineStr">
        <is>
          <t>GOC Bed Unit-Costing Model v2 — working original.xlsx</t>
        </is>
      </c>
    </row>
    <row r="3742" ht="40" customHeight="1">
      <c r="A3742" s="4" t="inlineStr">
        <is>
          <t>original:Cost plan!J17</t>
        </is>
      </c>
      <c r="B3742" s="4" t="inlineStr">
        <is>
          <t>Cost plan</t>
        </is>
      </c>
      <c r="C3742" s="4" t="inlineStr">
        <is>
          <t>J17</t>
        </is>
      </c>
      <c r="D3742" s="4" t="inlineStr">
        <is>
          <t>=MAX(0,13-I17)</t>
        </is>
      </c>
      <c r="E3742" s="4" t="n">
        <v>9</v>
      </c>
      <c r="F3742" s="4" t="inlineStr">
        <is>
          <t>GOC Bed Unit-Costing Model v2 — working original.xlsx</t>
        </is>
      </c>
    </row>
    <row r="3743" ht="40" customHeight="1">
      <c r="A3743" s="4" t="inlineStr">
        <is>
          <t>original:Cost plan!K17</t>
        </is>
      </c>
      <c r="B3743" s="4" t="inlineStr">
        <is>
          <t>Cost plan</t>
        </is>
      </c>
      <c r="C3743" s="4" t="inlineStr">
        <is>
          <t>K17</t>
        </is>
      </c>
      <c r="D3743" s="4" t="inlineStr">
        <is>
          <t>No</t>
        </is>
      </c>
      <c r="E3743" s="4" t="inlineStr">
        <is>
          <t>No</t>
        </is>
      </c>
      <c r="F3743" s="4" t="inlineStr">
        <is>
          <t>GOC Bed Unit-Costing Model v2 — working original.xlsx</t>
        </is>
      </c>
    </row>
    <row r="3744" ht="40" customHeight="1">
      <c r="A3744" s="4" t="inlineStr">
        <is>
          <t>original:Cost plan!L17</t>
        </is>
      </c>
      <c r="B3744" s="4" t="inlineStr">
        <is>
          <t>Cost plan</t>
        </is>
      </c>
      <c r="C3744" s="4" t="inlineStr">
        <is>
          <t>L17</t>
        </is>
      </c>
      <c r="D3744" s="4" t="inlineStr">
        <is>
          <t>=IF(AND(ISNUMBER(H17),K17="Yes"),MIN(H17,MAX(0,Overview!$B$5-SUM(L$5:L16))),0)</t>
        </is>
      </c>
      <c r="E3744" s="4" t="n">
        <v>0</v>
      </c>
      <c r="F3744" s="4" t="inlineStr">
        <is>
          <t>GOC Bed Unit-Costing Model v2 — working original.xlsx</t>
        </is>
      </c>
    </row>
    <row r="3745" ht="40" customHeight="1">
      <c r="A3745" s="4" t="inlineStr">
        <is>
          <t>original:Cost plan!M17</t>
        </is>
      </c>
      <c r="B3745" s="4" t="inlineStr">
        <is>
          <t>Cost plan</t>
        </is>
      </c>
      <c r="C3745" s="4" t="inlineStr">
        <is>
          <t>M17</t>
        </is>
      </c>
      <c r="D3745" s="4" t="inlineStr">
        <is>
          <t>=IF(ISNUMBER(H17),MIN(MAX(0,H17-L17-N17),MAX(0,SUM(Funding!D7:D9)-SUM(M$5:M16))),0)</t>
        </is>
      </c>
      <c r="E3745" s="4" t="n">
        <v>0</v>
      </c>
      <c r="F3745" s="4" t="inlineStr">
        <is>
          <t>GOC Bed Unit-Costing Model v2 — working original.xlsx</t>
        </is>
      </c>
    </row>
    <row r="3746" ht="40" customHeight="1">
      <c r="A3746" s="4" t="inlineStr">
        <is>
          <t>original:Cost plan!N17</t>
        </is>
      </c>
      <c r="B3746" s="4" t="inlineStr">
        <is>
          <t>Cost plan</t>
        </is>
      </c>
      <c r="C3746" s="4" t="inlineStr">
        <is>
          <t>N17</t>
        </is>
      </c>
      <c r="D3746" s="4" t="inlineStr">
        <is>
          <t>=IF(ISNUMBER(H17),MIN(MAX(0,H17-L17),MAX(0,SUM(Production!M6:M41)-SUM(N$5:N16))),0)</t>
        </is>
      </c>
      <c r="E3746" s="4" t="n">
        <v>0</v>
      </c>
      <c r="F3746" s="4" t="inlineStr">
        <is>
          <t>GOC Bed Unit-Costing Model v2 — working original.xlsx</t>
        </is>
      </c>
    </row>
    <row r="3747" ht="40" customHeight="1">
      <c r="A3747" s="4" t="inlineStr">
        <is>
          <t>original:Cost plan!O17</t>
        </is>
      </c>
      <c r="B3747" s="4" t="inlineStr">
        <is>
          <t>Cost plan</t>
        </is>
      </c>
      <c r="C3747" s="4" t="inlineStr">
        <is>
          <t>O17</t>
        </is>
      </c>
      <c r="D3747" s="4" t="inlineStr">
        <is>
          <t>=IF(ISNUMBER(H17),H17-SUM(L17:N17),"")</t>
        </is>
      </c>
      <c r="E3747" s="4" t="n">
        <v>6262.5</v>
      </c>
      <c r="F3747" s="4" t="inlineStr">
        <is>
          <t>GOC Bed Unit-Costing Model v2 — working original.xlsx</t>
        </is>
      </c>
    </row>
    <row r="3748" ht="45" customHeight="1">
      <c r="A3748" s="4" t="inlineStr">
        <is>
          <t>original:Cost plan!P17</t>
        </is>
      </c>
      <c r="B3748" s="4" t="inlineStr">
        <is>
          <t>Cost plan</t>
        </is>
      </c>
      <c r="C3748" s="4" t="inlineStr">
        <is>
          <t>P17</t>
        </is>
      </c>
      <c r="D3748" s="4" t="inlineStr">
        <is>
          <t>Old equipment allowance prorated after commissioning; quote required</t>
        </is>
      </c>
      <c r="E3748" s="4" t="inlineStr">
        <is>
          <t>Old equipment allowance prorated after commissioning; quote required</t>
        </is>
      </c>
      <c r="F3748" s="4" t="inlineStr">
        <is>
          <t>GOC Bed Unit-Costing Model v2 — working original.xlsx</t>
        </is>
      </c>
    </row>
    <row r="3749" ht="40" customHeight="1">
      <c r="A3749" s="4" t="inlineStr">
        <is>
          <t>original:Cost plan!A18</t>
        </is>
      </c>
      <c r="B3749" s="4" t="inlineStr">
        <is>
          <t>Cost plan</t>
        </is>
      </c>
      <c r="C3749" s="4" t="inlineStr">
        <is>
          <t>A18</t>
        </is>
      </c>
      <c r="D3749" s="4" t="inlineStr">
        <is>
          <t>MNT2</t>
        </is>
      </c>
      <c r="E3749" s="4" t="inlineStr">
        <is>
          <t>MNT2</t>
        </is>
      </c>
      <c r="F3749" s="4" t="inlineStr">
        <is>
          <t>GOC Bed Unit-Costing Model v2 — working original.xlsx</t>
        </is>
      </c>
    </row>
    <row r="3750" ht="40" customHeight="1">
      <c r="A3750" s="4" t="inlineStr">
        <is>
          <t>original:Cost plan!B18</t>
        </is>
      </c>
      <c r="B3750" s="4" t="inlineStr">
        <is>
          <t>Cost plan</t>
        </is>
      </c>
      <c r="C3750" s="4" t="inlineStr">
        <is>
          <t>B18</t>
        </is>
      </c>
      <c r="D3750" s="4" t="inlineStr">
        <is>
          <t>New facility 2 maintenance</t>
        </is>
      </c>
      <c r="E3750" s="4" t="inlineStr">
        <is>
          <t>New facility 2 maintenance</t>
        </is>
      </c>
      <c r="F3750" s="4" t="inlineStr">
        <is>
          <t>GOC Bed Unit-Costing Model v2 — working original.xlsx</t>
        </is>
      </c>
    </row>
    <row r="3751" ht="40" customHeight="1">
      <c r="A3751" s="4" t="inlineStr">
        <is>
          <t>original:Cost plan!C18</t>
        </is>
      </c>
      <c r="B3751" s="4" t="inlineStr">
        <is>
          <t>Cost plan</t>
        </is>
      </c>
      <c r="C3751" s="4" t="inlineStr">
        <is>
          <t>C18</t>
        </is>
      </c>
      <c r="D3751" s="4" t="inlineStr">
        <is>
          <t>NEW2</t>
        </is>
      </c>
      <c r="E3751" s="4" t="inlineStr">
        <is>
          <t>NEW2</t>
        </is>
      </c>
      <c r="F3751" s="4" t="inlineStr">
        <is>
          <t>GOC Bed Unit-Costing Model v2 — working original.xlsx</t>
        </is>
      </c>
    </row>
    <row r="3752" ht="40" customHeight="1">
      <c r="A3752" s="4" t="inlineStr">
        <is>
          <t>original:Cost plan!D18</t>
        </is>
      </c>
      <c r="B3752" s="4" t="inlineStr">
        <is>
          <t>Cost plan</t>
        </is>
      </c>
      <c r="C3752" s="4" t="inlineStr">
        <is>
          <t>D18</t>
        </is>
      </c>
      <c r="D3752" s="4" t="inlineStr">
        <is>
          <t>Site operations</t>
        </is>
      </c>
      <c r="E3752" s="4" t="inlineStr">
        <is>
          <t>Site operations</t>
        </is>
      </c>
      <c r="F3752" s="4" t="inlineStr">
        <is>
          <t>GOC Bed Unit-Costing Model v2 — working original.xlsx</t>
        </is>
      </c>
    </row>
    <row r="3753" ht="40" customHeight="1">
      <c r="A3753" s="4" t="inlineStr">
        <is>
          <t>original:Cost plan!E18</t>
        </is>
      </c>
      <c r="B3753" s="4" t="inlineStr">
        <is>
          <t>Cost plan</t>
        </is>
      </c>
      <c r="C3753" s="4" t="inlineStr">
        <is>
          <t>E18</t>
        </is>
      </c>
      <c r="D3753" s="4" t="inlineStr">
        <is>
          <t>year</t>
        </is>
      </c>
      <c r="E3753" s="4" t="inlineStr">
        <is>
          <t>year</t>
        </is>
      </c>
      <c r="F3753" s="4" t="inlineStr">
        <is>
          <t>GOC Bed Unit-Costing Model v2 — working original.xlsx</t>
        </is>
      </c>
    </row>
    <row r="3754" ht="40" customHeight="1">
      <c r="A3754" s="4" t="inlineStr">
        <is>
          <t>original:Cost plan!F18</t>
        </is>
      </c>
      <c r="B3754" s="4" t="inlineStr">
        <is>
          <t>Cost plan</t>
        </is>
      </c>
      <c r="C3754" s="4" t="inlineStr">
        <is>
          <t>F18</t>
        </is>
      </c>
      <c r="D3754" s="4" t="inlineStr">
        <is>
          <t>=J18/12</t>
        </is>
      </c>
      <c r="E3754" s="4" t="n">
        <v>0.5</v>
      </c>
      <c r="F3754" s="4" t="inlineStr">
        <is>
          <t>GOC Bed Unit-Costing Model v2 — working original.xlsx</t>
        </is>
      </c>
    </row>
    <row r="3755" ht="40" customHeight="1">
      <c r="A3755" s="4" t="inlineStr">
        <is>
          <t>original:Cost plan!G18</t>
        </is>
      </c>
      <c r="B3755" s="4" t="inlineStr">
        <is>
          <t>Cost plan</t>
        </is>
      </c>
      <c r="C3755" s="4" t="inlineStr">
        <is>
          <t>G18</t>
        </is>
      </c>
      <c r="D3755" s="4" t="inlineStr">
        <is>
          <t>='Inputs (1)'!C42</t>
        </is>
      </c>
      <c r="E3755" s="4" t="n">
        <v>8350</v>
      </c>
      <c r="F3755" s="4" t="inlineStr">
        <is>
          <t>GOC Bed Unit-Costing Model v2 — working original.xlsx</t>
        </is>
      </c>
    </row>
    <row r="3756" ht="40" customHeight="1">
      <c r="A3756" s="4" t="inlineStr">
        <is>
          <t>original:Cost plan!H18</t>
        </is>
      </c>
      <c r="B3756" s="4" t="inlineStr">
        <is>
          <t>Cost plan</t>
        </is>
      </c>
      <c r="C3756" s="4" t="inlineStr">
        <is>
          <t>H18</t>
        </is>
      </c>
      <c r="D3756" s="4" t="inlineStr">
        <is>
          <t>=IF(COUNT(F18:G18)=2,F18*G18,"")</t>
        </is>
      </c>
      <c r="E3756" s="4" t="n">
        <v>4175</v>
      </c>
      <c r="F3756" s="4" t="inlineStr">
        <is>
          <t>GOC Bed Unit-Costing Model v2 — working original.xlsx</t>
        </is>
      </c>
    </row>
    <row r="3757" ht="40" customHeight="1">
      <c r="A3757" s="4" t="inlineStr">
        <is>
          <t>original:Cost plan!I18</t>
        </is>
      </c>
      <c r="B3757" s="4" t="inlineStr">
        <is>
          <t>Cost plan</t>
        </is>
      </c>
      <c r="C3757" s="4" t="inlineStr">
        <is>
          <t>I18</t>
        </is>
      </c>
      <c r="D3757" s="4" t="inlineStr">
        <is>
          <t>=Sites!F8</t>
        </is>
      </c>
      <c r="E3757" s="4" t="n">
        <v>7</v>
      </c>
      <c r="F3757" s="4" t="inlineStr">
        <is>
          <t>GOC Bed Unit-Costing Model v2 — working original.xlsx</t>
        </is>
      </c>
    </row>
    <row r="3758" ht="40" customHeight="1">
      <c r="A3758" s="4" t="inlineStr">
        <is>
          <t>original:Cost plan!J18</t>
        </is>
      </c>
      <c r="B3758" s="4" t="inlineStr">
        <is>
          <t>Cost plan</t>
        </is>
      </c>
      <c r="C3758" s="4" t="inlineStr">
        <is>
          <t>J18</t>
        </is>
      </c>
      <c r="D3758" s="4" t="inlineStr">
        <is>
          <t>=MAX(0,13-I18)</t>
        </is>
      </c>
      <c r="E3758" s="4" t="n">
        <v>6</v>
      </c>
      <c r="F3758" s="4" t="inlineStr">
        <is>
          <t>GOC Bed Unit-Costing Model v2 — working original.xlsx</t>
        </is>
      </c>
    </row>
    <row r="3759" ht="40" customHeight="1">
      <c r="A3759" s="4" t="inlineStr">
        <is>
          <t>original:Cost plan!K18</t>
        </is>
      </c>
      <c r="B3759" s="4" t="inlineStr">
        <is>
          <t>Cost plan</t>
        </is>
      </c>
      <c r="C3759" s="4" t="inlineStr">
        <is>
          <t>K18</t>
        </is>
      </c>
      <c r="D3759" s="4" t="inlineStr">
        <is>
          <t>No</t>
        </is>
      </c>
      <c r="E3759" s="4" t="inlineStr">
        <is>
          <t>No</t>
        </is>
      </c>
      <c r="F3759" s="4" t="inlineStr">
        <is>
          <t>GOC Bed Unit-Costing Model v2 — working original.xlsx</t>
        </is>
      </c>
    </row>
    <row r="3760" ht="40" customHeight="1">
      <c r="A3760" s="4" t="inlineStr">
        <is>
          <t>original:Cost plan!L18</t>
        </is>
      </c>
      <c r="B3760" s="4" t="inlineStr">
        <is>
          <t>Cost plan</t>
        </is>
      </c>
      <c r="C3760" s="4" t="inlineStr">
        <is>
          <t>L18</t>
        </is>
      </c>
      <c r="D3760" s="4" t="inlineStr">
        <is>
          <t>=IF(AND(ISNUMBER(H18),K18="Yes"),MIN(H18,MAX(0,Overview!$B$5-SUM(L$5:L17))),0)</t>
        </is>
      </c>
      <c r="E3760" s="4" t="n">
        <v>0</v>
      </c>
      <c r="F3760" s="4" t="inlineStr">
        <is>
          <t>GOC Bed Unit-Costing Model v2 — working original.xlsx</t>
        </is>
      </c>
    </row>
    <row r="3761" ht="40" customHeight="1">
      <c r="A3761" s="4" t="inlineStr">
        <is>
          <t>original:Cost plan!M18</t>
        </is>
      </c>
      <c r="B3761" s="4" t="inlineStr">
        <is>
          <t>Cost plan</t>
        </is>
      </c>
      <c r="C3761" s="4" t="inlineStr">
        <is>
          <t>M18</t>
        </is>
      </c>
      <c r="D3761" s="4" t="inlineStr">
        <is>
          <t>=IF(ISNUMBER(H18),MIN(MAX(0,H18-L18-N18),MAX(0,SUM(Funding!D7:D9)-SUM(M$5:M17))),0)</t>
        </is>
      </c>
      <c r="E3761" s="4" t="n">
        <v>0</v>
      </c>
      <c r="F3761" s="4" t="inlineStr">
        <is>
          <t>GOC Bed Unit-Costing Model v2 — working original.xlsx</t>
        </is>
      </c>
    </row>
    <row r="3762" ht="40" customHeight="1">
      <c r="A3762" s="4" t="inlineStr">
        <is>
          <t>original:Cost plan!N18</t>
        </is>
      </c>
      <c r="B3762" s="4" t="inlineStr">
        <is>
          <t>Cost plan</t>
        </is>
      </c>
      <c r="C3762" s="4" t="inlineStr">
        <is>
          <t>N18</t>
        </is>
      </c>
      <c r="D3762" s="4" t="inlineStr">
        <is>
          <t>=IF(ISNUMBER(H18),MIN(MAX(0,H18-L18),MAX(0,SUM(Production!M6:M41)-SUM(N$5:N17))),0)</t>
        </is>
      </c>
      <c r="E3762" s="4" t="n">
        <v>0</v>
      </c>
      <c r="F3762" s="4" t="inlineStr">
        <is>
          <t>GOC Bed Unit-Costing Model v2 — working original.xlsx</t>
        </is>
      </c>
    </row>
    <row r="3763" ht="40" customHeight="1">
      <c r="A3763" s="4" t="inlineStr">
        <is>
          <t>original:Cost plan!O18</t>
        </is>
      </c>
      <c r="B3763" s="4" t="inlineStr">
        <is>
          <t>Cost plan</t>
        </is>
      </c>
      <c r="C3763" s="4" t="inlineStr">
        <is>
          <t>O18</t>
        </is>
      </c>
      <c r="D3763" s="4" t="inlineStr">
        <is>
          <t>=IF(ISNUMBER(H18),H18-SUM(L18:N18),"")</t>
        </is>
      </c>
      <c r="E3763" s="4" t="n">
        <v>4175</v>
      </c>
      <c r="F3763" s="4" t="inlineStr">
        <is>
          <t>GOC Bed Unit-Costing Model v2 — working original.xlsx</t>
        </is>
      </c>
    </row>
    <row r="3764" ht="45" customHeight="1">
      <c r="A3764" s="4" t="inlineStr">
        <is>
          <t>original:Cost plan!P18</t>
        </is>
      </c>
      <c r="B3764" s="4" t="inlineStr">
        <is>
          <t>Cost plan</t>
        </is>
      </c>
      <c r="C3764" s="4" t="inlineStr">
        <is>
          <t>P18</t>
        </is>
      </c>
      <c r="D3764" s="4" t="inlineStr">
        <is>
          <t>Old equipment allowance prorated after commissioning; quote required</t>
        </is>
      </c>
      <c r="E3764" s="4" t="inlineStr">
        <is>
          <t>Old equipment allowance prorated after commissioning; quote required</t>
        </is>
      </c>
      <c r="F3764" s="4" t="inlineStr">
        <is>
          <t>GOC Bed Unit-Costing Model v2 — working original.xlsx</t>
        </is>
      </c>
    </row>
    <row r="3765" ht="40" customHeight="1">
      <c r="A3765" s="4" t="inlineStr">
        <is>
          <t>original:Cost plan!A19</t>
        </is>
      </c>
      <c r="B3765" s="4" t="inlineStr">
        <is>
          <t>Cost plan</t>
        </is>
      </c>
      <c r="C3765" s="4" t="inlineStr">
        <is>
          <t>A19</t>
        </is>
      </c>
      <c r="D3765" s="4" t="inlineStr">
        <is>
          <t>RENT1</t>
        </is>
      </c>
      <c r="E3765" s="4" t="inlineStr">
        <is>
          <t>RENT1</t>
        </is>
      </c>
      <c r="F3765" s="4" t="inlineStr">
        <is>
          <t>GOC Bed Unit-Costing Model v2 — working original.xlsx</t>
        </is>
      </c>
    </row>
    <row r="3766" ht="40" customHeight="1">
      <c r="A3766" s="4" t="inlineStr">
        <is>
          <t>original:Cost plan!B19</t>
        </is>
      </c>
      <c r="B3766" s="4" t="inlineStr">
        <is>
          <t>Cost plan</t>
        </is>
      </c>
      <c r="C3766" s="4" t="inlineStr">
        <is>
          <t>B19</t>
        </is>
      </c>
      <c r="D3766" s="4" t="inlineStr">
        <is>
          <t>New site 1 lease and utilities</t>
        </is>
      </c>
      <c r="E3766" s="4" t="inlineStr">
        <is>
          <t>New site 1 lease and utilities</t>
        </is>
      </c>
      <c r="F3766" s="4" t="inlineStr">
        <is>
          <t>GOC Bed Unit-Costing Model v2 — working original.xlsx</t>
        </is>
      </c>
    </row>
    <row r="3767" ht="40" customHeight="1">
      <c r="A3767" s="4" t="inlineStr">
        <is>
          <t>original:Cost plan!C19</t>
        </is>
      </c>
      <c r="B3767" s="4" t="inlineStr">
        <is>
          <t>Cost plan</t>
        </is>
      </c>
      <c r="C3767" s="4" t="inlineStr">
        <is>
          <t>C19</t>
        </is>
      </c>
      <c r="D3767" s="4" t="inlineStr">
        <is>
          <t>NEW1</t>
        </is>
      </c>
      <c r="E3767" s="4" t="inlineStr">
        <is>
          <t>NEW1</t>
        </is>
      </c>
      <c r="F3767" s="4" t="inlineStr">
        <is>
          <t>GOC Bed Unit-Costing Model v2 — working original.xlsx</t>
        </is>
      </c>
    </row>
    <row r="3768" ht="40" customHeight="1">
      <c r="A3768" s="4" t="inlineStr">
        <is>
          <t>original:Cost plan!D19</t>
        </is>
      </c>
      <c r="B3768" s="4" t="inlineStr">
        <is>
          <t>Cost plan</t>
        </is>
      </c>
      <c r="C3768" s="4" t="inlineStr">
        <is>
          <t>D19</t>
        </is>
      </c>
      <c r="D3768" s="4" t="inlineStr">
        <is>
          <t>Site operations</t>
        </is>
      </c>
      <c r="E3768" s="4" t="inlineStr">
        <is>
          <t>Site operations</t>
        </is>
      </c>
      <c r="F3768" s="4" t="inlineStr">
        <is>
          <t>GOC Bed Unit-Costing Model v2 — working original.xlsx</t>
        </is>
      </c>
    </row>
    <row r="3769" ht="40" customHeight="1">
      <c r="A3769" s="4" t="inlineStr">
        <is>
          <t>original:Cost plan!E19</t>
        </is>
      </c>
      <c r="B3769" s="4" t="inlineStr">
        <is>
          <t>Cost plan</t>
        </is>
      </c>
      <c r="C3769" s="4" t="inlineStr">
        <is>
          <t>E19</t>
        </is>
      </c>
      <c r="D3769" s="4" t="inlineStr">
        <is>
          <t>phase</t>
        </is>
      </c>
      <c r="E3769" s="4" t="inlineStr">
        <is>
          <t>phase</t>
        </is>
      </c>
      <c r="F3769" s="4" t="inlineStr">
        <is>
          <t>GOC Bed Unit-Costing Model v2 — working original.xlsx</t>
        </is>
      </c>
    </row>
    <row r="3770" ht="40" customHeight="1">
      <c r="A3770" s="4" t="inlineStr">
        <is>
          <t>original:Cost plan!F19</t>
        </is>
      </c>
      <c r="B3770" s="4" t="inlineStr">
        <is>
          <t>Cost plan</t>
        </is>
      </c>
      <c r="C3770" s="4" t="inlineStr">
        <is>
          <t>F19</t>
        </is>
      </c>
      <c r="D3770" s="4" t="n">
        <v>1</v>
      </c>
      <c r="E3770" s="4" t="n">
        <v>1</v>
      </c>
      <c r="F3770" s="4" t="inlineStr">
        <is>
          <t>GOC Bed Unit-Costing Model v2 — working original.xlsx</t>
        </is>
      </c>
    </row>
    <row r="3771" ht="40" customHeight="1">
      <c r="A3771" s="4" t="inlineStr">
        <is>
          <t>original:Cost plan!H19</t>
        </is>
      </c>
      <c r="B3771" s="4" t="inlineStr">
        <is>
          <t>Cost plan</t>
        </is>
      </c>
      <c r="C3771" s="4" t="inlineStr">
        <is>
          <t>H19</t>
        </is>
      </c>
      <c r="D3771" s="4" t="inlineStr">
        <is>
          <t>=IF(COUNT(F19:G19)=2,F19*G19,"")</t>
        </is>
      </c>
      <c r="E3771" s="4" t="n"/>
      <c r="F3771" s="4" t="inlineStr">
        <is>
          <t>GOC Bed Unit-Costing Model v2 — working original.xlsx</t>
        </is>
      </c>
    </row>
    <row r="3772" ht="40" customHeight="1">
      <c r="A3772" s="4" t="inlineStr">
        <is>
          <t>original:Cost plan!I19</t>
        </is>
      </c>
      <c r="B3772" s="4" t="inlineStr">
        <is>
          <t>Cost plan</t>
        </is>
      </c>
      <c r="C3772" s="4" t="inlineStr">
        <is>
          <t>I19</t>
        </is>
      </c>
      <c r="D3772" s="4" t="n">
        <v>4</v>
      </c>
      <c r="E3772" s="4" t="n">
        <v>4</v>
      </c>
      <c r="F3772" s="4" t="inlineStr">
        <is>
          <t>GOC Bed Unit-Costing Model v2 — working original.xlsx</t>
        </is>
      </c>
    </row>
    <row r="3773" ht="40" customHeight="1">
      <c r="A3773" s="4" t="inlineStr">
        <is>
          <t>original:Cost plan!J19</t>
        </is>
      </c>
      <c r="B3773" s="4" t="inlineStr">
        <is>
          <t>Cost plan</t>
        </is>
      </c>
      <c r="C3773" s="4" t="inlineStr">
        <is>
          <t>J19</t>
        </is>
      </c>
      <c r="D3773" s="4" t="n">
        <v>9</v>
      </c>
      <c r="E3773" s="4" t="n">
        <v>9</v>
      </c>
      <c r="F3773" s="4" t="inlineStr">
        <is>
          <t>GOC Bed Unit-Costing Model v2 — working original.xlsx</t>
        </is>
      </c>
    </row>
    <row r="3774" ht="40" customHeight="1">
      <c r="A3774" s="4" t="inlineStr">
        <is>
          <t>original:Cost plan!K19</t>
        </is>
      </c>
      <c r="B3774" s="4" t="inlineStr">
        <is>
          <t>Cost plan</t>
        </is>
      </c>
      <c r="C3774" s="4" t="inlineStr">
        <is>
          <t>K19</t>
        </is>
      </c>
      <c r="D3774" s="4" t="inlineStr">
        <is>
          <t>No</t>
        </is>
      </c>
      <c r="E3774" s="4" t="inlineStr">
        <is>
          <t>No</t>
        </is>
      </c>
      <c r="F3774" s="4" t="inlineStr">
        <is>
          <t>GOC Bed Unit-Costing Model v2 — working original.xlsx</t>
        </is>
      </c>
    </row>
    <row r="3775" ht="40" customHeight="1">
      <c r="A3775" s="4" t="inlineStr">
        <is>
          <t>original:Cost plan!L19</t>
        </is>
      </c>
      <c r="B3775" s="4" t="inlineStr">
        <is>
          <t>Cost plan</t>
        </is>
      </c>
      <c r="C3775" s="4" t="inlineStr">
        <is>
          <t>L19</t>
        </is>
      </c>
      <c r="D3775" s="4" t="inlineStr">
        <is>
          <t>=IF(AND(ISNUMBER(H19),K19="Yes"),MIN(H19,MAX(0,Overview!$B$5-SUM(L$5:L18))),0)</t>
        </is>
      </c>
      <c r="E3775" s="4" t="n">
        <v>0</v>
      </c>
      <c r="F3775" s="4" t="inlineStr">
        <is>
          <t>GOC Bed Unit-Costing Model v2 — working original.xlsx</t>
        </is>
      </c>
    </row>
    <row r="3776" ht="40" customHeight="1">
      <c r="A3776" s="4" t="inlineStr">
        <is>
          <t>original:Cost plan!M19</t>
        </is>
      </c>
      <c r="B3776" s="4" t="inlineStr">
        <is>
          <t>Cost plan</t>
        </is>
      </c>
      <c r="C3776" s="4" t="inlineStr">
        <is>
          <t>M19</t>
        </is>
      </c>
      <c r="D3776" s="4" t="inlineStr">
        <is>
          <t>=IF(ISNUMBER(H19),MIN(MAX(0,H19-L19-N19),MAX(0,SUM(Funding!D7:D9)-SUM(M$5:M18))),0)</t>
        </is>
      </c>
      <c r="E3776" s="4" t="n">
        <v>0</v>
      </c>
      <c r="F3776" s="4" t="inlineStr">
        <is>
          <t>GOC Bed Unit-Costing Model v2 — working original.xlsx</t>
        </is>
      </c>
    </row>
    <row r="3777" ht="40" customHeight="1">
      <c r="A3777" s="4" t="inlineStr">
        <is>
          <t>original:Cost plan!N19</t>
        </is>
      </c>
      <c r="B3777" s="4" t="inlineStr">
        <is>
          <t>Cost plan</t>
        </is>
      </c>
      <c r="C3777" s="4" t="inlineStr">
        <is>
          <t>N19</t>
        </is>
      </c>
      <c r="D3777" s="4" t="inlineStr">
        <is>
          <t>=IF(ISNUMBER(H19),MIN(MAX(0,H19-L19),MAX(0,SUM(Production!M6:M41)-SUM(N$5:N18))),0)</t>
        </is>
      </c>
      <c r="E3777" s="4" t="n">
        <v>0</v>
      </c>
      <c r="F3777" s="4" t="inlineStr">
        <is>
          <t>GOC Bed Unit-Costing Model v2 — working original.xlsx</t>
        </is>
      </c>
    </row>
    <row r="3778" ht="40" customHeight="1">
      <c r="A3778" s="4" t="inlineStr">
        <is>
          <t>original:Cost plan!O19</t>
        </is>
      </c>
      <c r="B3778" s="4" t="inlineStr">
        <is>
          <t>Cost plan</t>
        </is>
      </c>
      <c r="C3778" s="4" t="inlineStr">
        <is>
          <t>O19</t>
        </is>
      </c>
      <c r="D3778" s="4" t="inlineStr">
        <is>
          <t>=IF(ISNUMBER(H19),H19-SUM(L19:N19),"")</t>
        </is>
      </c>
      <c r="E3778" s="4" t="n"/>
      <c r="F3778" s="4" t="inlineStr">
        <is>
          <t>GOC Bed Unit-Costing Model v2 — working original.xlsx</t>
        </is>
      </c>
    </row>
    <row r="3779" ht="45" customHeight="1">
      <c r="A3779" s="4" t="inlineStr">
        <is>
          <t>original:Cost plan!P19</t>
        </is>
      </c>
      <c r="B3779" s="4" t="inlineStr">
        <is>
          <t>Cost plan</t>
        </is>
      </c>
      <c r="C3779" s="4" t="inlineStr">
        <is>
          <t>P19</t>
        </is>
      </c>
      <c r="D3779" s="4" t="inlineStr">
        <is>
          <t>Unpriced; separate production from program share</t>
        </is>
      </c>
      <c r="E3779" s="4" t="inlineStr">
        <is>
          <t>Unpriced; separate production from program share</t>
        </is>
      </c>
      <c r="F3779" s="4" t="inlineStr">
        <is>
          <t>GOC Bed Unit-Costing Model v2 — working original.xlsx</t>
        </is>
      </c>
    </row>
    <row r="3780" ht="40" customHeight="1">
      <c r="A3780" s="4" t="inlineStr">
        <is>
          <t>original:Cost plan!A20</t>
        </is>
      </c>
      <c r="B3780" s="4" t="inlineStr">
        <is>
          <t>Cost plan</t>
        </is>
      </c>
      <c r="C3780" s="4" t="inlineStr">
        <is>
          <t>A20</t>
        </is>
      </c>
      <c r="D3780" s="4" t="inlineStr">
        <is>
          <t>RENT2</t>
        </is>
      </c>
      <c r="E3780" s="4" t="inlineStr">
        <is>
          <t>RENT2</t>
        </is>
      </c>
      <c r="F3780" s="4" t="inlineStr">
        <is>
          <t>GOC Bed Unit-Costing Model v2 — working original.xlsx</t>
        </is>
      </c>
    </row>
    <row r="3781" ht="40" customHeight="1">
      <c r="A3781" s="4" t="inlineStr">
        <is>
          <t>original:Cost plan!B20</t>
        </is>
      </c>
      <c r="B3781" s="4" t="inlineStr">
        <is>
          <t>Cost plan</t>
        </is>
      </c>
      <c r="C3781" s="4" t="inlineStr">
        <is>
          <t>B20</t>
        </is>
      </c>
      <c r="D3781" s="4" t="inlineStr">
        <is>
          <t>New site 2 lease and utilities</t>
        </is>
      </c>
      <c r="E3781" s="4" t="inlineStr">
        <is>
          <t>New site 2 lease and utilities</t>
        </is>
      </c>
      <c r="F3781" s="4" t="inlineStr">
        <is>
          <t>GOC Bed Unit-Costing Model v2 — working original.xlsx</t>
        </is>
      </c>
    </row>
    <row r="3782" ht="40" customHeight="1">
      <c r="A3782" s="4" t="inlineStr">
        <is>
          <t>original:Cost plan!C20</t>
        </is>
      </c>
      <c r="B3782" s="4" t="inlineStr">
        <is>
          <t>Cost plan</t>
        </is>
      </c>
      <c r="C3782" s="4" t="inlineStr">
        <is>
          <t>C20</t>
        </is>
      </c>
      <c r="D3782" s="4" t="inlineStr">
        <is>
          <t>NEW2</t>
        </is>
      </c>
      <c r="E3782" s="4" t="inlineStr">
        <is>
          <t>NEW2</t>
        </is>
      </c>
      <c r="F3782" s="4" t="inlineStr">
        <is>
          <t>GOC Bed Unit-Costing Model v2 — working original.xlsx</t>
        </is>
      </c>
    </row>
    <row r="3783" ht="40" customHeight="1">
      <c r="A3783" s="4" t="inlineStr">
        <is>
          <t>original:Cost plan!D20</t>
        </is>
      </c>
      <c r="B3783" s="4" t="inlineStr">
        <is>
          <t>Cost plan</t>
        </is>
      </c>
      <c r="C3783" s="4" t="inlineStr">
        <is>
          <t>D20</t>
        </is>
      </c>
      <c r="D3783" s="4" t="inlineStr">
        <is>
          <t>Site operations</t>
        </is>
      </c>
      <c r="E3783" s="4" t="inlineStr">
        <is>
          <t>Site operations</t>
        </is>
      </c>
      <c r="F3783" s="4" t="inlineStr">
        <is>
          <t>GOC Bed Unit-Costing Model v2 — working original.xlsx</t>
        </is>
      </c>
    </row>
    <row r="3784" ht="40" customHeight="1">
      <c r="A3784" s="4" t="inlineStr">
        <is>
          <t>original:Cost plan!E20</t>
        </is>
      </c>
      <c r="B3784" s="4" t="inlineStr">
        <is>
          <t>Cost plan</t>
        </is>
      </c>
      <c r="C3784" s="4" t="inlineStr">
        <is>
          <t>E20</t>
        </is>
      </c>
      <c r="D3784" s="4" t="inlineStr">
        <is>
          <t>phase</t>
        </is>
      </c>
      <c r="E3784" s="4" t="inlineStr">
        <is>
          <t>phase</t>
        </is>
      </c>
      <c r="F3784" s="4" t="inlineStr">
        <is>
          <t>GOC Bed Unit-Costing Model v2 — working original.xlsx</t>
        </is>
      </c>
    </row>
    <row r="3785" ht="40" customHeight="1">
      <c r="A3785" s="4" t="inlineStr">
        <is>
          <t>original:Cost plan!F20</t>
        </is>
      </c>
      <c r="B3785" s="4" t="inlineStr">
        <is>
          <t>Cost plan</t>
        </is>
      </c>
      <c r="C3785" s="4" t="inlineStr">
        <is>
          <t>F20</t>
        </is>
      </c>
      <c r="D3785" s="4" t="n">
        <v>1</v>
      </c>
      <c r="E3785" s="4" t="n">
        <v>1</v>
      </c>
      <c r="F3785" s="4" t="inlineStr">
        <is>
          <t>GOC Bed Unit-Costing Model v2 — working original.xlsx</t>
        </is>
      </c>
    </row>
    <row r="3786" ht="40" customHeight="1">
      <c r="A3786" s="4" t="inlineStr">
        <is>
          <t>original:Cost plan!H20</t>
        </is>
      </c>
      <c r="B3786" s="4" t="inlineStr">
        <is>
          <t>Cost plan</t>
        </is>
      </c>
      <c r="C3786" s="4" t="inlineStr">
        <is>
          <t>H20</t>
        </is>
      </c>
      <c r="D3786" s="4" t="inlineStr">
        <is>
          <t>=IF(COUNT(F20:G20)=2,F20*G20,"")</t>
        </is>
      </c>
      <c r="E3786" s="4" t="n"/>
      <c r="F3786" s="4" t="inlineStr">
        <is>
          <t>GOC Bed Unit-Costing Model v2 — working original.xlsx</t>
        </is>
      </c>
    </row>
    <row r="3787" ht="40" customHeight="1">
      <c r="A3787" s="4" t="inlineStr">
        <is>
          <t>original:Cost plan!I20</t>
        </is>
      </c>
      <c r="B3787" s="4" t="inlineStr">
        <is>
          <t>Cost plan</t>
        </is>
      </c>
      <c r="C3787" s="4" t="inlineStr">
        <is>
          <t>I20</t>
        </is>
      </c>
      <c r="D3787" s="4" t="n">
        <v>7</v>
      </c>
      <c r="E3787" s="4" t="n">
        <v>7</v>
      </c>
      <c r="F3787" s="4" t="inlineStr">
        <is>
          <t>GOC Bed Unit-Costing Model v2 — working original.xlsx</t>
        </is>
      </c>
    </row>
    <row r="3788" ht="40" customHeight="1">
      <c r="A3788" s="4" t="inlineStr">
        <is>
          <t>original:Cost plan!J20</t>
        </is>
      </c>
      <c r="B3788" s="4" t="inlineStr">
        <is>
          <t>Cost plan</t>
        </is>
      </c>
      <c r="C3788" s="4" t="inlineStr">
        <is>
          <t>J20</t>
        </is>
      </c>
      <c r="D3788" s="4" t="n">
        <v>6</v>
      </c>
      <c r="E3788" s="4" t="n">
        <v>6</v>
      </c>
      <c r="F3788" s="4" t="inlineStr">
        <is>
          <t>GOC Bed Unit-Costing Model v2 — working original.xlsx</t>
        </is>
      </c>
    </row>
    <row r="3789" ht="40" customHeight="1">
      <c r="A3789" s="4" t="inlineStr">
        <is>
          <t>original:Cost plan!K20</t>
        </is>
      </c>
      <c r="B3789" s="4" t="inlineStr">
        <is>
          <t>Cost plan</t>
        </is>
      </c>
      <c r="C3789" s="4" t="inlineStr">
        <is>
          <t>K20</t>
        </is>
      </c>
      <c r="D3789" s="4" t="inlineStr">
        <is>
          <t>No</t>
        </is>
      </c>
      <c r="E3789" s="4" t="inlineStr">
        <is>
          <t>No</t>
        </is>
      </c>
      <c r="F3789" s="4" t="inlineStr">
        <is>
          <t>GOC Bed Unit-Costing Model v2 — working original.xlsx</t>
        </is>
      </c>
    </row>
    <row r="3790" ht="40" customHeight="1">
      <c r="A3790" s="4" t="inlineStr">
        <is>
          <t>original:Cost plan!L20</t>
        </is>
      </c>
      <c r="B3790" s="4" t="inlineStr">
        <is>
          <t>Cost plan</t>
        </is>
      </c>
      <c r="C3790" s="4" t="inlineStr">
        <is>
          <t>L20</t>
        </is>
      </c>
      <c r="D3790" s="4" t="inlineStr">
        <is>
          <t>=IF(AND(ISNUMBER(H20),K20="Yes"),MIN(H20,MAX(0,Overview!$B$5-SUM(L$5:L19))),0)</t>
        </is>
      </c>
      <c r="E3790" s="4" t="n">
        <v>0</v>
      </c>
      <c r="F3790" s="4" t="inlineStr">
        <is>
          <t>GOC Bed Unit-Costing Model v2 — working original.xlsx</t>
        </is>
      </c>
    </row>
    <row r="3791" ht="40" customHeight="1">
      <c r="A3791" s="4" t="inlineStr">
        <is>
          <t>original:Cost plan!M20</t>
        </is>
      </c>
      <c r="B3791" s="4" t="inlineStr">
        <is>
          <t>Cost plan</t>
        </is>
      </c>
      <c r="C3791" s="4" t="inlineStr">
        <is>
          <t>M20</t>
        </is>
      </c>
      <c r="D3791" s="4" t="inlineStr">
        <is>
          <t>=IF(ISNUMBER(H20),MIN(MAX(0,H20-L20-N20),MAX(0,SUM(Funding!D7:D9)-SUM(M$5:M19))),0)</t>
        </is>
      </c>
      <c r="E3791" s="4" t="n">
        <v>0</v>
      </c>
      <c r="F3791" s="4" t="inlineStr">
        <is>
          <t>GOC Bed Unit-Costing Model v2 — working original.xlsx</t>
        </is>
      </c>
    </row>
    <row r="3792" ht="40" customHeight="1">
      <c r="A3792" s="4" t="inlineStr">
        <is>
          <t>original:Cost plan!N20</t>
        </is>
      </c>
      <c r="B3792" s="4" t="inlineStr">
        <is>
          <t>Cost plan</t>
        </is>
      </c>
      <c r="C3792" s="4" t="inlineStr">
        <is>
          <t>N20</t>
        </is>
      </c>
      <c r="D3792" s="4" t="inlineStr">
        <is>
          <t>=IF(ISNUMBER(H20),MIN(MAX(0,H20-L20),MAX(0,SUM(Production!M6:M41)-SUM(N$5:N19))),0)</t>
        </is>
      </c>
      <c r="E3792" s="4" t="n">
        <v>0</v>
      </c>
      <c r="F3792" s="4" t="inlineStr">
        <is>
          <t>GOC Bed Unit-Costing Model v2 — working original.xlsx</t>
        </is>
      </c>
    </row>
    <row r="3793" ht="40" customHeight="1">
      <c r="A3793" s="4" t="inlineStr">
        <is>
          <t>original:Cost plan!O20</t>
        </is>
      </c>
      <c r="B3793" s="4" t="inlineStr">
        <is>
          <t>Cost plan</t>
        </is>
      </c>
      <c r="C3793" s="4" t="inlineStr">
        <is>
          <t>O20</t>
        </is>
      </c>
      <c r="D3793" s="4" t="inlineStr">
        <is>
          <t>=IF(ISNUMBER(H20),H20-SUM(L20:N20),"")</t>
        </is>
      </c>
      <c r="E3793" s="4" t="n"/>
      <c r="F3793" s="4" t="inlineStr">
        <is>
          <t>GOC Bed Unit-Costing Model v2 — working original.xlsx</t>
        </is>
      </c>
    </row>
    <row r="3794" ht="45" customHeight="1">
      <c r="A3794" s="4" t="inlineStr">
        <is>
          <t>original:Cost plan!P20</t>
        </is>
      </c>
      <c r="B3794" s="4" t="inlineStr">
        <is>
          <t>Cost plan</t>
        </is>
      </c>
      <c r="C3794" s="4" t="inlineStr">
        <is>
          <t>P20</t>
        </is>
      </c>
      <c r="D3794" s="4" t="inlineStr">
        <is>
          <t>Unpriced; separate production from program share</t>
        </is>
      </c>
      <c r="E3794" s="4" t="inlineStr">
        <is>
          <t>Unpriced; separate production from program share</t>
        </is>
      </c>
      <c r="F3794" s="4" t="inlineStr">
        <is>
          <t>GOC Bed Unit-Costing Model v2 — working original.xlsx</t>
        </is>
      </c>
    </row>
    <row r="3795" ht="40" customHeight="1">
      <c r="A3795" s="4" t="inlineStr">
        <is>
          <t>original:Cost plan!A21</t>
        </is>
      </c>
      <c r="B3795" s="4" t="inlineStr">
        <is>
          <t>Cost plan</t>
        </is>
      </c>
      <c r="C3795" s="4" t="inlineStr">
        <is>
          <t>A21</t>
        </is>
      </c>
      <c r="D3795" s="4" t="inlineStr">
        <is>
          <t>INS</t>
        </is>
      </c>
      <c r="E3795" s="4" t="inlineStr">
        <is>
          <t>INS</t>
        </is>
      </c>
      <c r="F3795" s="4" t="inlineStr">
        <is>
          <t>GOC Bed Unit-Costing Model v2 — working original.xlsx</t>
        </is>
      </c>
    </row>
    <row r="3796" ht="40" customHeight="1">
      <c r="A3796" s="4" t="inlineStr">
        <is>
          <t>original:Cost plan!B21</t>
        </is>
      </c>
      <c r="B3796" s="4" t="inlineStr">
        <is>
          <t>Cost plan</t>
        </is>
      </c>
      <c r="C3796" s="4" t="inlineStr">
        <is>
          <t>B21</t>
        </is>
      </c>
      <c r="D3796" s="4" t="inlineStr">
        <is>
          <t>New-site insurance</t>
        </is>
      </c>
      <c r="E3796" s="4" t="inlineStr">
        <is>
          <t>New-site insurance</t>
        </is>
      </c>
      <c r="F3796" s="4" t="inlineStr">
        <is>
          <t>GOC Bed Unit-Costing Model v2 — working original.xlsx</t>
        </is>
      </c>
    </row>
    <row r="3797" ht="40" customHeight="1">
      <c r="A3797" s="4" t="inlineStr">
        <is>
          <t>original:Cost plan!C21</t>
        </is>
      </c>
      <c r="B3797" s="4" t="inlineStr">
        <is>
          <t>Cost plan</t>
        </is>
      </c>
      <c r="C3797" s="4" t="inlineStr">
        <is>
          <t>C21</t>
        </is>
      </c>
      <c r="D3797" s="4" t="inlineStr">
        <is>
          <t>New sites</t>
        </is>
      </c>
      <c r="E3797" s="4" t="inlineStr">
        <is>
          <t>New sites</t>
        </is>
      </c>
      <c r="F3797" s="4" t="inlineStr">
        <is>
          <t>GOC Bed Unit-Costing Model v2 — working original.xlsx</t>
        </is>
      </c>
    </row>
    <row r="3798" ht="40" customHeight="1">
      <c r="A3798" s="4" t="inlineStr">
        <is>
          <t>original:Cost plan!D21</t>
        </is>
      </c>
      <c r="B3798" s="4" t="inlineStr">
        <is>
          <t>Cost plan</t>
        </is>
      </c>
      <c r="C3798" s="4" t="inlineStr">
        <is>
          <t>D21</t>
        </is>
      </c>
      <c r="D3798" s="4" t="inlineStr">
        <is>
          <t>Site operations</t>
        </is>
      </c>
      <c r="E3798" s="4" t="inlineStr">
        <is>
          <t>Site operations</t>
        </is>
      </c>
      <c r="F3798" s="4" t="inlineStr">
        <is>
          <t>GOC Bed Unit-Costing Model v2 — working original.xlsx</t>
        </is>
      </c>
    </row>
    <row r="3799" ht="40" customHeight="1">
      <c r="A3799" s="4" t="inlineStr">
        <is>
          <t>original:Cost plan!E21</t>
        </is>
      </c>
      <c r="B3799" s="4" t="inlineStr">
        <is>
          <t>Cost plan</t>
        </is>
      </c>
      <c r="C3799" s="4" t="inlineStr">
        <is>
          <t>E21</t>
        </is>
      </c>
      <c r="D3799" s="4" t="inlineStr">
        <is>
          <t>phase</t>
        </is>
      </c>
      <c r="E3799" s="4" t="inlineStr">
        <is>
          <t>phase</t>
        </is>
      </c>
      <c r="F3799" s="4" t="inlineStr">
        <is>
          <t>GOC Bed Unit-Costing Model v2 — working original.xlsx</t>
        </is>
      </c>
    </row>
    <row r="3800" ht="40" customHeight="1">
      <c r="A3800" s="4" t="inlineStr">
        <is>
          <t>original:Cost plan!F21</t>
        </is>
      </c>
      <c r="B3800" s="4" t="inlineStr">
        <is>
          <t>Cost plan</t>
        </is>
      </c>
      <c r="C3800" s="4" t="inlineStr">
        <is>
          <t>F21</t>
        </is>
      </c>
      <c r="D3800" s="4" t="n">
        <v>1</v>
      </c>
      <c r="E3800" s="4" t="n">
        <v>1</v>
      </c>
      <c r="F3800" s="4" t="inlineStr">
        <is>
          <t>GOC Bed Unit-Costing Model v2 — working original.xlsx</t>
        </is>
      </c>
    </row>
    <row r="3801" ht="40" customHeight="1">
      <c r="A3801" s="4" t="inlineStr">
        <is>
          <t>original:Cost plan!H21</t>
        </is>
      </c>
      <c r="B3801" s="4" t="inlineStr">
        <is>
          <t>Cost plan</t>
        </is>
      </c>
      <c r="C3801" s="4" t="inlineStr">
        <is>
          <t>H21</t>
        </is>
      </c>
      <c r="D3801" s="4" t="inlineStr">
        <is>
          <t>=IF(COUNT(F21:G21)=2,F21*G21,"")</t>
        </is>
      </c>
      <c r="E3801" s="4" t="n"/>
      <c r="F3801" s="4" t="inlineStr">
        <is>
          <t>GOC Bed Unit-Costing Model v2 — working original.xlsx</t>
        </is>
      </c>
    </row>
    <row r="3802" ht="40" customHeight="1">
      <c r="A3802" s="4" t="inlineStr">
        <is>
          <t>original:Cost plan!I21</t>
        </is>
      </c>
      <c r="B3802" s="4" t="inlineStr">
        <is>
          <t>Cost plan</t>
        </is>
      </c>
      <c r="C3802" s="4" t="inlineStr">
        <is>
          <t>I21</t>
        </is>
      </c>
      <c r="D3802" s="4" t="n">
        <v>1</v>
      </c>
      <c r="E3802" s="4" t="n">
        <v>1</v>
      </c>
      <c r="F3802" s="4" t="inlineStr">
        <is>
          <t>GOC Bed Unit-Costing Model v2 — working original.xlsx</t>
        </is>
      </c>
    </row>
    <row r="3803" ht="40" customHeight="1">
      <c r="A3803" s="4" t="inlineStr">
        <is>
          <t>original:Cost plan!J21</t>
        </is>
      </c>
      <c r="B3803" s="4" t="inlineStr">
        <is>
          <t>Cost plan</t>
        </is>
      </c>
      <c r="C3803" s="4" t="inlineStr">
        <is>
          <t>J21</t>
        </is>
      </c>
      <c r="D3803" s="4" t="n">
        <v>12</v>
      </c>
      <c r="E3803" s="4" t="n">
        <v>12</v>
      </c>
      <c r="F3803" s="4" t="inlineStr">
        <is>
          <t>GOC Bed Unit-Costing Model v2 — working original.xlsx</t>
        </is>
      </c>
    </row>
    <row r="3804" ht="40" customHeight="1">
      <c r="A3804" s="4" t="inlineStr">
        <is>
          <t>original:Cost plan!K21</t>
        </is>
      </c>
      <c r="B3804" s="4" t="inlineStr">
        <is>
          <t>Cost plan</t>
        </is>
      </c>
      <c r="C3804" s="4" t="inlineStr">
        <is>
          <t>K21</t>
        </is>
      </c>
      <c r="D3804" s="4" t="inlineStr">
        <is>
          <t>No</t>
        </is>
      </c>
      <c r="E3804" s="4" t="inlineStr">
        <is>
          <t>No</t>
        </is>
      </c>
      <c r="F3804" s="4" t="inlineStr">
        <is>
          <t>GOC Bed Unit-Costing Model v2 — working original.xlsx</t>
        </is>
      </c>
    </row>
    <row r="3805" ht="40" customHeight="1">
      <c r="A3805" s="4" t="inlineStr">
        <is>
          <t>original:Cost plan!L21</t>
        </is>
      </c>
      <c r="B3805" s="4" t="inlineStr">
        <is>
          <t>Cost plan</t>
        </is>
      </c>
      <c r="C3805" s="4" t="inlineStr">
        <is>
          <t>L21</t>
        </is>
      </c>
      <c r="D3805" s="4" t="inlineStr">
        <is>
          <t>=IF(AND(ISNUMBER(H21),K21="Yes"),MIN(H21,MAX(0,Overview!$B$5-SUM(L$5:L20))),0)</t>
        </is>
      </c>
      <c r="E3805" s="4" t="n">
        <v>0</v>
      </c>
      <c r="F3805" s="4" t="inlineStr">
        <is>
          <t>GOC Bed Unit-Costing Model v2 — working original.xlsx</t>
        </is>
      </c>
    </row>
    <row r="3806" ht="40" customHeight="1">
      <c r="A3806" s="4" t="inlineStr">
        <is>
          <t>original:Cost plan!M21</t>
        </is>
      </c>
      <c r="B3806" s="4" t="inlineStr">
        <is>
          <t>Cost plan</t>
        </is>
      </c>
      <c r="C3806" s="4" t="inlineStr">
        <is>
          <t>M21</t>
        </is>
      </c>
      <c r="D3806" s="4" t="inlineStr">
        <is>
          <t>=IF(ISNUMBER(H21),MIN(MAX(0,H21-L21-N21),MAX(0,SUM(Funding!D7:D9)-SUM(M$5:M20))),0)</t>
        </is>
      </c>
      <c r="E3806" s="4" t="n">
        <v>0</v>
      </c>
      <c r="F3806" s="4" t="inlineStr">
        <is>
          <t>GOC Bed Unit-Costing Model v2 — working original.xlsx</t>
        </is>
      </c>
    </row>
    <row r="3807" ht="40" customHeight="1">
      <c r="A3807" s="4" t="inlineStr">
        <is>
          <t>original:Cost plan!N21</t>
        </is>
      </c>
      <c r="B3807" s="4" t="inlineStr">
        <is>
          <t>Cost plan</t>
        </is>
      </c>
      <c r="C3807" s="4" t="inlineStr">
        <is>
          <t>N21</t>
        </is>
      </c>
      <c r="D3807" s="4" t="inlineStr">
        <is>
          <t>=IF(ISNUMBER(H21),MIN(MAX(0,H21-L21),MAX(0,SUM(Production!M6:M41)-SUM(N$5:N20))),0)</t>
        </is>
      </c>
      <c r="E3807" s="4" t="n">
        <v>0</v>
      </c>
      <c r="F3807" s="4" t="inlineStr">
        <is>
          <t>GOC Bed Unit-Costing Model v2 — working original.xlsx</t>
        </is>
      </c>
    </row>
    <row r="3808" ht="40" customHeight="1">
      <c r="A3808" s="4" t="inlineStr">
        <is>
          <t>original:Cost plan!O21</t>
        </is>
      </c>
      <c r="B3808" s="4" t="inlineStr">
        <is>
          <t>Cost plan</t>
        </is>
      </c>
      <c r="C3808" s="4" t="inlineStr">
        <is>
          <t>O21</t>
        </is>
      </c>
      <c r="D3808" s="4" t="inlineStr">
        <is>
          <t>=IF(ISNUMBER(H21),H21-SUM(L21:N21),"")</t>
        </is>
      </c>
      <c r="E3808" s="4" t="n"/>
      <c r="F3808" s="4" t="inlineStr">
        <is>
          <t>GOC Bed Unit-Costing Model v2 — working original.xlsx</t>
        </is>
      </c>
    </row>
    <row r="3809" ht="40" customHeight="1">
      <c r="A3809" s="4" t="inlineStr">
        <is>
          <t>original:Cost plan!P21</t>
        </is>
      </c>
      <c r="B3809" s="4" t="inlineStr">
        <is>
          <t>Cost plan</t>
        </is>
      </c>
      <c r="C3809" s="4" t="inlineStr">
        <is>
          <t>P21</t>
        </is>
      </c>
      <c r="D3809" s="4" t="inlineStr">
        <is>
          <t>Quote required; avoid head-office overlap</t>
        </is>
      </c>
      <c r="E3809" s="4" t="inlineStr">
        <is>
          <t>Quote required; avoid head-office overlap</t>
        </is>
      </c>
      <c r="F3809" s="4" t="inlineStr">
        <is>
          <t>GOC Bed Unit-Costing Model v2 — working original.xlsx</t>
        </is>
      </c>
    </row>
    <row r="3810" ht="40" customHeight="1">
      <c r="A3810" s="4" t="inlineStr">
        <is>
          <t>original:Cost plan!A22</t>
        </is>
      </c>
      <c r="B3810" s="4" t="inlineStr">
        <is>
          <t>Cost plan</t>
        </is>
      </c>
      <c r="C3810" s="4" t="inlineStr">
        <is>
          <t>A22</t>
        </is>
      </c>
      <c r="D3810" s="4" t="inlineStr">
        <is>
          <t>SUP</t>
        </is>
      </c>
      <c r="E3810" s="4" t="inlineStr">
        <is>
          <t>SUP</t>
        </is>
      </c>
      <c r="F3810" s="4" t="inlineStr">
        <is>
          <t>GOC Bed Unit-Costing Model v2 — working original.xlsx</t>
        </is>
      </c>
    </row>
    <row r="3811" ht="40" customHeight="1">
      <c r="A3811" s="4" t="inlineStr">
        <is>
          <t>original:Cost plan!B22</t>
        </is>
      </c>
      <c r="B3811" s="4" t="inlineStr">
        <is>
          <t>Cost plan</t>
        </is>
      </c>
      <c r="C3811" s="4" t="inlineStr">
        <is>
          <t>B22</t>
        </is>
      </c>
      <c r="D3811" s="4" t="inlineStr">
        <is>
          <t>Site supervision and idle-time pay</t>
        </is>
      </c>
      <c r="E3811" s="4" t="inlineStr">
        <is>
          <t>Site supervision and idle-time pay</t>
        </is>
      </c>
      <c r="F3811" s="4" t="inlineStr">
        <is>
          <t>GOC Bed Unit-Costing Model v2 — working original.xlsx</t>
        </is>
      </c>
    </row>
    <row r="3812" ht="40" customHeight="1">
      <c r="A3812" s="4" t="inlineStr">
        <is>
          <t>original:Cost plan!C22</t>
        </is>
      </c>
      <c r="B3812" s="4" t="inlineStr">
        <is>
          <t>Cost plan</t>
        </is>
      </c>
      <c r="C3812" s="4" t="inlineStr">
        <is>
          <t>C22</t>
        </is>
      </c>
      <c r="D3812" s="4" t="inlineStr">
        <is>
          <t>New sites</t>
        </is>
      </c>
      <c r="E3812" s="4" t="inlineStr">
        <is>
          <t>New sites</t>
        </is>
      </c>
      <c r="F3812" s="4" t="inlineStr">
        <is>
          <t>GOC Bed Unit-Costing Model v2 — working original.xlsx</t>
        </is>
      </c>
    </row>
    <row r="3813" ht="40" customHeight="1">
      <c r="A3813" s="4" t="inlineStr">
        <is>
          <t>original:Cost plan!D22</t>
        </is>
      </c>
      <c r="B3813" s="4" t="inlineStr">
        <is>
          <t>Cost plan</t>
        </is>
      </c>
      <c r="C3813" s="4" t="inlineStr">
        <is>
          <t>D22</t>
        </is>
      </c>
      <c r="D3813" s="4" t="inlineStr">
        <is>
          <t>Site operations</t>
        </is>
      </c>
      <c r="E3813" s="4" t="inlineStr">
        <is>
          <t>Site operations</t>
        </is>
      </c>
      <c r="F3813" s="4" t="inlineStr">
        <is>
          <t>GOC Bed Unit-Costing Model v2 — working original.xlsx</t>
        </is>
      </c>
    </row>
    <row r="3814" ht="40" customHeight="1">
      <c r="A3814" s="4" t="inlineStr">
        <is>
          <t>original:Cost plan!E22</t>
        </is>
      </c>
      <c r="B3814" s="4" t="inlineStr">
        <is>
          <t>Cost plan</t>
        </is>
      </c>
      <c r="C3814" s="4" t="inlineStr">
        <is>
          <t>E22</t>
        </is>
      </c>
      <c r="D3814" s="4" t="inlineStr">
        <is>
          <t>phase</t>
        </is>
      </c>
      <c r="E3814" s="4" t="inlineStr">
        <is>
          <t>phase</t>
        </is>
      </c>
      <c r="F3814" s="4" t="inlineStr">
        <is>
          <t>GOC Bed Unit-Costing Model v2 — working original.xlsx</t>
        </is>
      </c>
    </row>
    <row r="3815" ht="40" customHeight="1">
      <c r="A3815" s="4" t="inlineStr">
        <is>
          <t>original:Cost plan!F22</t>
        </is>
      </c>
      <c r="B3815" s="4" t="inlineStr">
        <is>
          <t>Cost plan</t>
        </is>
      </c>
      <c r="C3815" s="4" t="inlineStr">
        <is>
          <t>F22</t>
        </is>
      </c>
      <c r="D3815" s="4" t="n">
        <v>1</v>
      </c>
      <c r="E3815" s="4" t="n">
        <v>1</v>
      </c>
      <c r="F3815" s="4" t="inlineStr">
        <is>
          <t>GOC Bed Unit-Costing Model v2 — working original.xlsx</t>
        </is>
      </c>
    </row>
    <row r="3816" ht="40" customHeight="1">
      <c r="A3816" s="4" t="inlineStr">
        <is>
          <t>original:Cost plan!H22</t>
        </is>
      </c>
      <c r="B3816" s="4" t="inlineStr">
        <is>
          <t>Cost plan</t>
        </is>
      </c>
      <c r="C3816" s="4" t="inlineStr">
        <is>
          <t>H22</t>
        </is>
      </c>
      <c r="D3816" s="4" t="inlineStr">
        <is>
          <t>=IF(COUNT(F22:G22)=2,F22*G22,"")</t>
        </is>
      </c>
      <c r="E3816" s="4" t="n"/>
      <c r="F3816" s="4" t="inlineStr">
        <is>
          <t>GOC Bed Unit-Costing Model v2 — working original.xlsx</t>
        </is>
      </c>
    </row>
    <row r="3817" ht="40" customHeight="1">
      <c r="A3817" s="4" t="inlineStr">
        <is>
          <t>original:Cost plan!I22</t>
        </is>
      </c>
      <c r="B3817" s="4" t="inlineStr">
        <is>
          <t>Cost plan</t>
        </is>
      </c>
      <c r="C3817" s="4" t="inlineStr">
        <is>
          <t>I22</t>
        </is>
      </c>
      <c r="D3817" s="4" t="n">
        <v>1</v>
      </c>
      <c r="E3817" s="4" t="n">
        <v>1</v>
      </c>
      <c r="F3817" s="4" t="inlineStr">
        <is>
          <t>GOC Bed Unit-Costing Model v2 — working original.xlsx</t>
        </is>
      </c>
    </row>
    <row r="3818" ht="40" customHeight="1">
      <c r="A3818" s="4" t="inlineStr">
        <is>
          <t>original:Cost plan!J22</t>
        </is>
      </c>
      <c r="B3818" s="4" t="inlineStr">
        <is>
          <t>Cost plan</t>
        </is>
      </c>
      <c r="C3818" s="4" t="inlineStr">
        <is>
          <t>J22</t>
        </is>
      </c>
      <c r="D3818" s="4" t="n">
        <v>12</v>
      </c>
      <c r="E3818" s="4" t="n">
        <v>12</v>
      </c>
      <c r="F3818" s="4" t="inlineStr">
        <is>
          <t>GOC Bed Unit-Costing Model v2 — working original.xlsx</t>
        </is>
      </c>
    </row>
    <row r="3819" ht="40" customHeight="1">
      <c r="A3819" s="4" t="inlineStr">
        <is>
          <t>original:Cost plan!K22</t>
        </is>
      </c>
      <c r="B3819" s="4" t="inlineStr">
        <is>
          <t>Cost plan</t>
        </is>
      </c>
      <c r="C3819" s="4" t="inlineStr">
        <is>
          <t>K22</t>
        </is>
      </c>
      <c r="D3819" s="4" t="inlineStr">
        <is>
          <t>No</t>
        </is>
      </c>
      <c r="E3819" s="4" t="inlineStr">
        <is>
          <t>No</t>
        </is>
      </c>
      <c r="F3819" s="4" t="inlineStr">
        <is>
          <t>GOC Bed Unit-Costing Model v2 — working original.xlsx</t>
        </is>
      </c>
    </row>
    <row r="3820" ht="40" customHeight="1">
      <c r="A3820" s="4" t="inlineStr">
        <is>
          <t>original:Cost plan!L22</t>
        </is>
      </c>
      <c r="B3820" s="4" t="inlineStr">
        <is>
          <t>Cost plan</t>
        </is>
      </c>
      <c r="C3820" s="4" t="inlineStr">
        <is>
          <t>L22</t>
        </is>
      </c>
      <c r="D3820" s="4" t="inlineStr">
        <is>
          <t>=IF(AND(ISNUMBER(H22),K22="Yes"),MIN(H22,MAX(0,Overview!$B$5-SUM(L$5:L21))),0)</t>
        </is>
      </c>
      <c r="E3820" s="4" t="n">
        <v>0</v>
      </c>
      <c r="F3820" s="4" t="inlineStr">
        <is>
          <t>GOC Bed Unit-Costing Model v2 — working original.xlsx</t>
        </is>
      </c>
    </row>
    <row r="3821" ht="40" customHeight="1">
      <c r="A3821" s="4" t="inlineStr">
        <is>
          <t>original:Cost plan!M22</t>
        </is>
      </c>
      <c r="B3821" s="4" t="inlineStr">
        <is>
          <t>Cost plan</t>
        </is>
      </c>
      <c r="C3821" s="4" t="inlineStr">
        <is>
          <t>M22</t>
        </is>
      </c>
      <c r="D3821" s="4" t="inlineStr">
        <is>
          <t>=IF(ISNUMBER(H22),MIN(MAX(0,H22-L22-N22),MAX(0,SUM(Funding!D7:D9)-SUM(M$5:M21))),0)</t>
        </is>
      </c>
      <c r="E3821" s="4" t="n">
        <v>0</v>
      </c>
      <c r="F3821" s="4" t="inlineStr">
        <is>
          <t>GOC Bed Unit-Costing Model v2 — working original.xlsx</t>
        </is>
      </c>
    </row>
    <row r="3822" ht="40" customHeight="1">
      <c r="A3822" s="4" t="inlineStr">
        <is>
          <t>original:Cost plan!N22</t>
        </is>
      </c>
      <c r="B3822" s="4" t="inlineStr">
        <is>
          <t>Cost plan</t>
        </is>
      </c>
      <c r="C3822" s="4" t="inlineStr">
        <is>
          <t>N22</t>
        </is>
      </c>
      <c r="D3822" s="4" t="inlineStr">
        <is>
          <t>=IF(ISNUMBER(H22),MIN(MAX(0,H22-L22),MAX(0,SUM(Production!M6:M41)-SUM(N$5:N21))),0)</t>
        </is>
      </c>
      <c r="E3822" s="4" t="n">
        <v>0</v>
      </c>
      <c r="F3822" s="4" t="inlineStr">
        <is>
          <t>GOC Bed Unit-Costing Model v2 — working original.xlsx</t>
        </is>
      </c>
    </row>
    <row r="3823" ht="40" customHeight="1">
      <c r="A3823" s="4" t="inlineStr">
        <is>
          <t>original:Cost plan!O22</t>
        </is>
      </c>
      <c r="B3823" s="4" t="inlineStr">
        <is>
          <t>Cost plan</t>
        </is>
      </c>
      <c r="C3823" s="4" t="inlineStr">
        <is>
          <t>O22</t>
        </is>
      </c>
      <c r="D3823" s="4" t="inlineStr">
        <is>
          <t>=IF(ISNUMBER(H22),H22-SUM(L22:N22),"")</t>
        </is>
      </c>
      <c r="E3823" s="4" t="n"/>
      <c r="F3823" s="4" t="inlineStr">
        <is>
          <t>GOC Bed Unit-Costing Model v2 — working original.xlsx</t>
        </is>
      </c>
    </row>
    <row r="3824" ht="40" customHeight="1">
      <c r="A3824" s="4" t="inlineStr">
        <is>
          <t>original:Cost plan!P22</t>
        </is>
      </c>
      <c r="B3824" s="4" t="inlineStr">
        <is>
          <t>Cost plan</t>
        </is>
      </c>
      <c r="C3824" s="4" t="inlineStr">
        <is>
          <t>P22</t>
        </is>
      </c>
      <c r="D3824" s="4" t="inlineStr">
        <is>
          <t>Direct per-bed labour is already counted</t>
        </is>
      </c>
      <c r="E3824" s="4" t="inlineStr">
        <is>
          <t>Direct per-bed labour is already counted</t>
        </is>
      </c>
      <c r="F3824" s="4" t="inlineStr">
        <is>
          <t>GOC Bed Unit-Costing Model v2 — working original.xlsx</t>
        </is>
      </c>
    </row>
    <row r="3825" ht="40" customHeight="1">
      <c r="A3825" s="4" t="inlineStr">
        <is>
          <t>original:Cost plan!A23</t>
        </is>
      </c>
      <c r="B3825" s="4" t="inlineStr">
        <is>
          <t>Cost plan</t>
        </is>
      </c>
      <c r="C3825" s="4" t="inlineStr">
        <is>
          <t>A23</t>
        </is>
      </c>
      <c r="D3825" s="4" t="inlineStr">
        <is>
          <t>WHS</t>
        </is>
      </c>
      <c r="E3825" s="4" t="inlineStr">
        <is>
          <t>WHS</t>
        </is>
      </c>
      <c r="F3825" s="4" t="inlineStr">
        <is>
          <t>GOC Bed Unit-Costing Model v2 — working original.xlsx</t>
        </is>
      </c>
    </row>
    <row r="3826" ht="40" customHeight="1">
      <c r="A3826" s="4" t="inlineStr">
        <is>
          <t>original:Cost plan!B23</t>
        </is>
      </c>
      <c r="B3826" s="4" t="inlineStr">
        <is>
          <t>Cost plan</t>
        </is>
      </c>
      <c r="C3826" s="4" t="inlineStr">
        <is>
          <t>B23</t>
        </is>
      </c>
      <c r="D3826" s="4" t="inlineStr">
        <is>
          <t>Training and WHS</t>
        </is>
      </c>
      <c r="E3826" s="4" t="inlineStr">
        <is>
          <t>Training and WHS</t>
        </is>
      </c>
      <c r="F3826" s="4" t="inlineStr">
        <is>
          <t>GOC Bed Unit-Costing Model v2 — working original.xlsx</t>
        </is>
      </c>
    </row>
    <row r="3827" ht="40" customHeight="1">
      <c r="A3827" s="4" t="inlineStr">
        <is>
          <t>original:Cost plan!C23</t>
        </is>
      </c>
      <c r="B3827" s="4" t="inlineStr">
        <is>
          <t>Cost plan</t>
        </is>
      </c>
      <c r="C3827" s="4" t="inlineStr">
        <is>
          <t>C23</t>
        </is>
      </c>
      <c r="D3827" s="4" t="inlineStr">
        <is>
          <t>New sites</t>
        </is>
      </c>
      <c r="E3827" s="4" t="inlineStr">
        <is>
          <t>New sites</t>
        </is>
      </c>
      <c r="F3827" s="4" t="inlineStr">
        <is>
          <t>GOC Bed Unit-Costing Model v2 — working original.xlsx</t>
        </is>
      </c>
    </row>
    <row r="3828" ht="40" customHeight="1">
      <c r="A3828" s="4" t="inlineStr">
        <is>
          <t>original:Cost plan!D23</t>
        </is>
      </c>
      <c r="B3828" s="4" t="inlineStr">
        <is>
          <t>Cost plan</t>
        </is>
      </c>
      <c r="C3828" s="4" t="inlineStr">
        <is>
          <t>D23</t>
        </is>
      </c>
      <c r="D3828" s="4" t="inlineStr">
        <is>
          <t>Goods network</t>
        </is>
      </c>
      <c r="E3828" s="4" t="inlineStr">
        <is>
          <t>Goods network</t>
        </is>
      </c>
      <c r="F3828" s="4" t="inlineStr">
        <is>
          <t>GOC Bed Unit-Costing Model v2 — working original.xlsx</t>
        </is>
      </c>
    </row>
    <row r="3829" ht="40" customHeight="1">
      <c r="A3829" s="4" t="inlineStr">
        <is>
          <t>original:Cost plan!E23</t>
        </is>
      </c>
      <c r="B3829" s="4" t="inlineStr">
        <is>
          <t>Cost plan</t>
        </is>
      </c>
      <c r="C3829" s="4" t="inlineStr">
        <is>
          <t>E23</t>
        </is>
      </c>
      <c r="D3829" s="4" t="inlineStr">
        <is>
          <t>phase</t>
        </is>
      </c>
      <c r="E3829" s="4" t="inlineStr">
        <is>
          <t>phase</t>
        </is>
      </c>
      <c r="F3829" s="4" t="inlineStr">
        <is>
          <t>GOC Bed Unit-Costing Model v2 — working original.xlsx</t>
        </is>
      </c>
    </row>
    <row r="3830" ht="40" customHeight="1">
      <c r="A3830" s="4" t="inlineStr">
        <is>
          <t>original:Cost plan!F23</t>
        </is>
      </c>
      <c r="B3830" s="4" t="inlineStr">
        <is>
          <t>Cost plan</t>
        </is>
      </c>
      <c r="C3830" s="4" t="inlineStr">
        <is>
          <t>F23</t>
        </is>
      </c>
      <c r="D3830" s="4" t="n">
        <v>1</v>
      </c>
      <c r="E3830" s="4" t="n">
        <v>1</v>
      </c>
      <c r="F3830" s="4" t="inlineStr">
        <is>
          <t>GOC Bed Unit-Costing Model v2 — working original.xlsx</t>
        </is>
      </c>
    </row>
    <row r="3831" ht="40" customHeight="1">
      <c r="A3831" s="4" t="inlineStr">
        <is>
          <t>original:Cost plan!H23</t>
        </is>
      </c>
      <c r="B3831" s="4" t="inlineStr">
        <is>
          <t>Cost plan</t>
        </is>
      </c>
      <c r="C3831" s="4" t="inlineStr">
        <is>
          <t>H23</t>
        </is>
      </c>
      <c r="D3831" s="4" t="inlineStr">
        <is>
          <t>=IF(COUNT(F23:G23)=2,F23*G23,"")</t>
        </is>
      </c>
      <c r="E3831" s="4" t="n"/>
      <c r="F3831" s="4" t="inlineStr">
        <is>
          <t>GOC Bed Unit-Costing Model v2 — working original.xlsx</t>
        </is>
      </c>
    </row>
    <row r="3832" ht="40" customHeight="1">
      <c r="A3832" s="4" t="inlineStr">
        <is>
          <t>original:Cost plan!I23</t>
        </is>
      </c>
      <c r="B3832" s="4" t="inlineStr">
        <is>
          <t>Cost plan</t>
        </is>
      </c>
      <c r="C3832" s="4" t="inlineStr">
        <is>
          <t>I23</t>
        </is>
      </c>
      <c r="D3832" s="4" t="n">
        <v>1</v>
      </c>
      <c r="E3832" s="4" t="n">
        <v>1</v>
      </c>
      <c r="F3832" s="4" t="inlineStr">
        <is>
          <t>GOC Bed Unit-Costing Model v2 — working original.xlsx</t>
        </is>
      </c>
    </row>
    <row r="3833" ht="40" customHeight="1">
      <c r="A3833" s="4" t="inlineStr">
        <is>
          <t>original:Cost plan!J23</t>
        </is>
      </c>
      <c r="B3833" s="4" t="inlineStr">
        <is>
          <t>Cost plan</t>
        </is>
      </c>
      <c r="C3833" s="4" t="inlineStr">
        <is>
          <t>J23</t>
        </is>
      </c>
      <c r="D3833" s="4" t="n">
        <v>12</v>
      </c>
      <c r="E3833" s="4" t="n">
        <v>12</v>
      </c>
      <c r="F3833" s="4" t="inlineStr">
        <is>
          <t>GOC Bed Unit-Costing Model v2 — working original.xlsx</t>
        </is>
      </c>
    </row>
    <row r="3834" ht="40" customHeight="1">
      <c r="A3834" s="4" t="inlineStr">
        <is>
          <t>original:Cost plan!K23</t>
        </is>
      </c>
      <c r="B3834" s="4" t="inlineStr">
        <is>
          <t>Cost plan</t>
        </is>
      </c>
      <c r="C3834" s="4" t="inlineStr">
        <is>
          <t>K23</t>
        </is>
      </c>
      <c r="D3834" s="4" t="inlineStr">
        <is>
          <t>Yes</t>
        </is>
      </c>
      <c r="E3834" s="4" t="inlineStr">
        <is>
          <t>Yes</t>
        </is>
      </c>
      <c r="F3834" s="4" t="inlineStr">
        <is>
          <t>GOC Bed Unit-Costing Model v2 — working original.xlsx</t>
        </is>
      </c>
    </row>
    <row r="3835" ht="40" customHeight="1">
      <c r="A3835" s="4" t="inlineStr">
        <is>
          <t>original:Cost plan!L23</t>
        </is>
      </c>
      <c r="B3835" s="4" t="inlineStr">
        <is>
          <t>Cost plan</t>
        </is>
      </c>
      <c r="C3835" s="4" t="inlineStr">
        <is>
          <t>L23</t>
        </is>
      </c>
      <c r="D3835" s="4" t="inlineStr">
        <is>
          <t>=IF(AND(ISNUMBER(H23),K23="Yes"),MIN(H23,MAX(0,Overview!$B$5-SUM(L$5:L22))),0)</t>
        </is>
      </c>
      <c r="E3835" s="4" t="n">
        <v>0</v>
      </c>
      <c r="F3835" s="4" t="inlineStr">
        <is>
          <t>GOC Bed Unit-Costing Model v2 — working original.xlsx</t>
        </is>
      </c>
    </row>
    <row r="3836" ht="40" customHeight="1">
      <c r="A3836" s="4" t="inlineStr">
        <is>
          <t>original:Cost plan!M23</t>
        </is>
      </c>
      <c r="B3836" s="4" t="inlineStr">
        <is>
          <t>Cost plan</t>
        </is>
      </c>
      <c r="C3836" s="4" t="inlineStr">
        <is>
          <t>M23</t>
        </is>
      </c>
      <c r="D3836" s="4" t="inlineStr">
        <is>
          <t>=IF(ISNUMBER(H23),MIN(MAX(0,H23-L23-N23),MAX(0,SUM(Funding!D7:D9)-SUM(M$5:M22))),0)</t>
        </is>
      </c>
      <c r="E3836" s="4" t="n">
        <v>0</v>
      </c>
      <c r="F3836" s="4" t="inlineStr">
        <is>
          <t>GOC Bed Unit-Costing Model v2 — working original.xlsx</t>
        </is>
      </c>
    </row>
    <row r="3837" ht="40" customHeight="1">
      <c r="A3837" s="4" t="inlineStr">
        <is>
          <t>original:Cost plan!N23</t>
        </is>
      </c>
      <c r="B3837" s="4" t="inlineStr">
        <is>
          <t>Cost plan</t>
        </is>
      </c>
      <c r="C3837" s="4" t="inlineStr">
        <is>
          <t>N23</t>
        </is>
      </c>
      <c r="D3837" s="4" t="inlineStr">
        <is>
          <t>=IF(ISNUMBER(H23),MIN(MAX(0,H23-L23),MAX(0,SUM(Production!M6:M41)-SUM(N$5:N22))),0)</t>
        </is>
      </c>
      <c r="E3837" s="4" t="n">
        <v>0</v>
      </c>
      <c r="F3837" s="4" t="inlineStr">
        <is>
          <t>GOC Bed Unit-Costing Model v2 — working original.xlsx</t>
        </is>
      </c>
    </row>
    <row r="3838" ht="40" customHeight="1">
      <c r="A3838" s="4" t="inlineStr">
        <is>
          <t>original:Cost plan!O23</t>
        </is>
      </c>
      <c r="B3838" s="4" t="inlineStr">
        <is>
          <t>Cost plan</t>
        </is>
      </c>
      <c r="C3838" s="4" t="inlineStr">
        <is>
          <t>O23</t>
        </is>
      </c>
      <c r="D3838" s="4" t="inlineStr">
        <is>
          <t>=IF(ISNUMBER(H23),H23-SUM(L23:N23),"")</t>
        </is>
      </c>
      <c r="E3838" s="4" t="n"/>
      <c r="F3838" s="4" t="inlineStr">
        <is>
          <t>GOC Bed Unit-Costing Model v2 — working original.xlsx</t>
        </is>
      </c>
    </row>
    <row r="3839" ht="45" customHeight="1">
      <c r="A3839" s="4" t="inlineStr">
        <is>
          <t>original:Cost plan!P23</t>
        </is>
      </c>
      <c r="B3839" s="4" t="inlineStr">
        <is>
          <t>Cost plan</t>
        </is>
      </c>
      <c r="C3839" s="4" t="inlineStr">
        <is>
          <t>P23</t>
        </is>
      </c>
      <c r="D3839" s="4" t="inlineStr">
        <is>
          <t>Separate ongoing training from build installation allowance</t>
        </is>
      </c>
      <c r="E3839" s="4" t="inlineStr">
        <is>
          <t>Separate ongoing training from build installation allowance</t>
        </is>
      </c>
      <c r="F3839" s="4" t="inlineStr">
        <is>
          <t>GOC Bed Unit-Costing Model v2 — working original.xlsx</t>
        </is>
      </c>
    </row>
    <row r="3840" ht="40" customHeight="1">
      <c r="A3840" s="4" t="inlineStr">
        <is>
          <t>original:Cost plan!A24</t>
        </is>
      </c>
      <c r="B3840" s="4" t="inlineStr">
        <is>
          <t>Cost plan</t>
        </is>
      </c>
      <c r="C3840" s="4" t="inlineStr">
        <is>
          <t>A24</t>
        </is>
      </c>
      <c r="D3840" s="4" t="inlineStr">
        <is>
          <t>GOV</t>
        </is>
      </c>
      <c r="E3840" s="4" t="inlineStr">
        <is>
          <t>GOV</t>
        </is>
      </c>
      <c r="F3840" s="4" t="inlineStr">
        <is>
          <t>GOC Bed Unit-Costing Model v2 — working original.xlsx</t>
        </is>
      </c>
    </row>
    <row r="3841" ht="40" customHeight="1">
      <c r="A3841" s="4" t="inlineStr">
        <is>
          <t>original:Cost plan!B24</t>
        </is>
      </c>
      <c r="B3841" s="4" t="inlineStr">
        <is>
          <t>Cost plan</t>
        </is>
      </c>
      <c r="C3841" s="4" t="inlineStr">
        <is>
          <t>B24</t>
        </is>
      </c>
      <c r="D3841" s="4" t="inlineStr">
        <is>
          <t>Community governance and agreements</t>
        </is>
      </c>
      <c r="E3841" s="4" t="inlineStr">
        <is>
          <t>Community governance and agreements</t>
        </is>
      </c>
      <c r="F3841" s="4" t="inlineStr">
        <is>
          <t>GOC Bed Unit-Costing Model v2 — working original.xlsx</t>
        </is>
      </c>
    </row>
    <row r="3842" ht="40" customHeight="1">
      <c r="A3842" s="4" t="inlineStr">
        <is>
          <t>original:Cost plan!C24</t>
        </is>
      </c>
      <c r="B3842" s="4" t="inlineStr">
        <is>
          <t>Cost plan</t>
        </is>
      </c>
      <c r="C3842" s="4" t="inlineStr">
        <is>
          <t>C24</t>
        </is>
      </c>
      <c r="D3842" s="4" t="inlineStr">
        <is>
          <t>New sites</t>
        </is>
      </c>
      <c r="E3842" s="4" t="inlineStr">
        <is>
          <t>New sites</t>
        </is>
      </c>
      <c r="F3842" s="4" t="inlineStr">
        <is>
          <t>GOC Bed Unit-Costing Model v2 — working original.xlsx</t>
        </is>
      </c>
    </row>
    <row r="3843" ht="40" customHeight="1">
      <c r="A3843" s="4" t="inlineStr">
        <is>
          <t>original:Cost plan!D24</t>
        </is>
      </c>
      <c r="B3843" s="4" t="inlineStr">
        <is>
          <t>Cost plan</t>
        </is>
      </c>
      <c r="C3843" s="4" t="inlineStr">
        <is>
          <t>D24</t>
        </is>
      </c>
      <c r="D3843" s="4" t="inlineStr">
        <is>
          <t>Community support</t>
        </is>
      </c>
      <c r="E3843" s="4" t="inlineStr">
        <is>
          <t>Community support</t>
        </is>
      </c>
      <c r="F3843" s="4" t="inlineStr">
        <is>
          <t>GOC Bed Unit-Costing Model v2 — working original.xlsx</t>
        </is>
      </c>
    </row>
    <row r="3844" ht="40" customHeight="1">
      <c r="A3844" s="4" t="inlineStr">
        <is>
          <t>original:Cost plan!E24</t>
        </is>
      </c>
      <c r="B3844" s="4" t="inlineStr">
        <is>
          <t>Cost plan</t>
        </is>
      </c>
      <c r="C3844" s="4" t="inlineStr">
        <is>
          <t>E24</t>
        </is>
      </c>
      <c r="D3844" s="4" t="inlineStr">
        <is>
          <t>phase</t>
        </is>
      </c>
      <c r="E3844" s="4" t="inlineStr">
        <is>
          <t>phase</t>
        </is>
      </c>
      <c r="F3844" s="4" t="inlineStr">
        <is>
          <t>GOC Bed Unit-Costing Model v2 — working original.xlsx</t>
        </is>
      </c>
    </row>
    <row r="3845" ht="40" customHeight="1">
      <c r="A3845" s="4" t="inlineStr">
        <is>
          <t>original:Cost plan!F24</t>
        </is>
      </c>
      <c r="B3845" s="4" t="inlineStr">
        <is>
          <t>Cost plan</t>
        </is>
      </c>
      <c r="C3845" s="4" t="inlineStr">
        <is>
          <t>F24</t>
        </is>
      </c>
      <c r="D3845" s="4" t="n">
        <v>1</v>
      </c>
      <c r="E3845" s="4" t="n">
        <v>1</v>
      </c>
      <c r="F3845" s="4" t="inlineStr">
        <is>
          <t>GOC Bed Unit-Costing Model v2 — working original.xlsx</t>
        </is>
      </c>
    </row>
    <row r="3846" ht="40" customHeight="1">
      <c r="A3846" s="4" t="inlineStr">
        <is>
          <t>original:Cost plan!H24</t>
        </is>
      </c>
      <c r="B3846" s="4" t="inlineStr">
        <is>
          <t>Cost plan</t>
        </is>
      </c>
      <c r="C3846" s="4" t="inlineStr">
        <is>
          <t>H24</t>
        </is>
      </c>
      <c r="D3846" s="4" t="inlineStr">
        <is>
          <t>=IF(COUNT(F24:G24)=2,F24*G24,"")</t>
        </is>
      </c>
      <c r="E3846" s="4" t="n"/>
      <c r="F3846" s="4" t="inlineStr">
        <is>
          <t>GOC Bed Unit-Costing Model v2 — working original.xlsx</t>
        </is>
      </c>
    </row>
    <row r="3847" ht="40" customHeight="1">
      <c r="A3847" s="4" t="inlineStr">
        <is>
          <t>original:Cost plan!I24</t>
        </is>
      </c>
      <c r="B3847" s="4" t="inlineStr">
        <is>
          <t>Cost plan</t>
        </is>
      </c>
      <c r="C3847" s="4" t="inlineStr">
        <is>
          <t>I24</t>
        </is>
      </c>
      <c r="D3847" s="4" t="n">
        <v>1</v>
      </c>
      <c r="E3847" s="4" t="n">
        <v>1</v>
      </c>
      <c r="F3847" s="4" t="inlineStr">
        <is>
          <t>GOC Bed Unit-Costing Model v2 — working original.xlsx</t>
        </is>
      </c>
    </row>
    <row r="3848" ht="40" customHeight="1">
      <c r="A3848" s="4" t="inlineStr">
        <is>
          <t>original:Cost plan!J24</t>
        </is>
      </c>
      <c r="B3848" s="4" t="inlineStr">
        <is>
          <t>Cost plan</t>
        </is>
      </c>
      <c r="C3848" s="4" t="inlineStr">
        <is>
          <t>J24</t>
        </is>
      </c>
      <c r="D3848" s="4" t="n">
        <v>12</v>
      </c>
      <c r="E3848" s="4" t="n">
        <v>12</v>
      </c>
      <c r="F3848" s="4" t="inlineStr">
        <is>
          <t>GOC Bed Unit-Costing Model v2 — working original.xlsx</t>
        </is>
      </c>
    </row>
    <row r="3849" ht="40" customHeight="1">
      <c r="A3849" s="4" t="inlineStr">
        <is>
          <t>original:Cost plan!K24</t>
        </is>
      </c>
      <c r="B3849" s="4" t="inlineStr">
        <is>
          <t>Cost plan</t>
        </is>
      </c>
      <c r="C3849" s="4" t="inlineStr">
        <is>
          <t>K24</t>
        </is>
      </c>
      <c r="D3849" s="4" t="inlineStr">
        <is>
          <t>Yes</t>
        </is>
      </c>
      <c r="E3849" s="4" t="inlineStr">
        <is>
          <t>Yes</t>
        </is>
      </c>
      <c r="F3849" s="4" t="inlineStr">
        <is>
          <t>GOC Bed Unit-Costing Model v2 — working original.xlsx</t>
        </is>
      </c>
    </row>
    <row r="3850" ht="40" customHeight="1">
      <c r="A3850" s="4" t="inlineStr">
        <is>
          <t>original:Cost plan!L24</t>
        </is>
      </c>
      <c r="B3850" s="4" t="inlineStr">
        <is>
          <t>Cost plan</t>
        </is>
      </c>
      <c r="C3850" s="4" t="inlineStr">
        <is>
          <t>L24</t>
        </is>
      </c>
      <c r="D3850" s="4" t="inlineStr">
        <is>
          <t>=IF(AND(ISNUMBER(H24),K24="Yes"),MIN(H24,MAX(0,Overview!$B$5-SUM(L$5:L23))),0)</t>
        </is>
      </c>
      <c r="E3850" s="4" t="n">
        <v>0</v>
      </c>
      <c r="F3850" s="4" t="inlineStr">
        <is>
          <t>GOC Bed Unit-Costing Model v2 — working original.xlsx</t>
        </is>
      </c>
    </row>
    <row r="3851" ht="40" customHeight="1">
      <c r="A3851" s="4" t="inlineStr">
        <is>
          <t>original:Cost plan!M24</t>
        </is>
      </c>
      <c r="B3851" s="4" t="inlineStr">
        <is>
          <t>Cost plan</t>
        </is>
      </c>
      <c r="C3851" s="4" t="inlineStr">
        <is>
          <t>M24</t>
        </is>
      </c>
      <c r="D3851" s="4" t="inlineStr">
        <is>
          <t>=IF(ISNUMBER(H24),MIN(MAX(0,H24-L24-N24),MAX(0,SUM(Funding!D7:D9)-SUM(M$5:M23))),0)</t>
        </is>
      </c>
      <c r="E3851" s="4" t="n">
        <v>0</v>
      </c>
      <c r="F3851" s="4" t="inlineStr">
        <is>
          <t>GOC Bed Unit-Costing Model v2 — working original.xlsx</t>
        </is>
      </c>
    </row>
    <row r="3852" ht="40" customHeight="1">
      <c r="A3852" s="4" t="inlineStr">
        <is>
          <t>original:Cost plan!N24</t>
        </is>
      </c>
      <c r="B3852" s="4" t="inlineStr">
        <is>
          <t>Cost plan</t>
        </is>
      </c>
      <c r="C3852" s="4" t="inlineStr">
        <is>
          <t>N24</t>
        </is>
      </c>
      <c r="D3852" s="4" t="inlineStr">
        <is>
          <t>=IF(ISNUMBER(H24),MIN(MAX(0,H24-L24),MAX(0,SUM(Production!M6:M41)-SUM(N$5:N23))),0)</t>
        </is>
      </c>
      <c r="E3852" s="4" t="n">
        <v>0</v>
      </c>
      <c r="F3852" s="4" t="inlineStr">
        <is>
          <t>GOC Bed Unit-Costing Model v2 — working original.xlsx</t>
        </is>
      </c>
    </row>
    <row r="3853" ht="40" customHeight="1">
      <c r="A3853" s="4" t="inlineStr">
        <is>
          <t>original:Cost plan!O24</t>
        </is>
      </c>
      <c r="B3853" s="4" t="inlineStr">
        <is>
          <t>Cost plan</t>
        </is>
      </c>
      <c r="C3853" s="4" t="inlineStr">
        <is>
          <t>O24</t>
        </is>
      </c>
      <c r="D3853" s="4" t="inlineStr">
        <is>
          <t>=IF(ISNUMBER(H24),H24-SUM(L24:N24),"")</t>
        </is>
      </c>
      <c r="E3853" s="4" t="n"/>
      <c r="F3853" s="4" t="inlineStr">
        <is>
          <t>GOC Bed Unit-Costing Model v2 — working original.xlsx</t>
        </is>
      </c>
    </row>
    <row r="3854" ht="40" customHeight="1">
      <c r="A3854" s="4" t="inlineStr">
        <is>
          <t>original:Cost plan!P24</t>
        </is>
      </c>
      <c r="B3854" s="4" t="inlineStr">
        <is>
          <t>Cost plan</t>
        </is>
      </c>
      <c r="C3854" s="4" t="inlineStr">
        <is>
          <t>P24</t>
        </is>
      </c>
      <c r="D3854" s="4" t="inlineStr">
        <is>
          <t>Partner-led scope and paid time required</t>
        </is>
      </c>
      <c r="E3854" s="4" t="inlineStr">
        <is>
          <t>Partner-led scope and paid time required</t>
        </is>
      </c>
      <c r="F3854" s="4" t="inlineStr">
        <is>
          <t>GOC Bed Unit-Costing Model v2 — working original.xlsx</t>
        </is>
      </c>
    </row>
    <row r="3855" ht="40" customHeight="1">
      <c r="A3855" s="4" t="inlineStr">
        <is>
          <t>original:Cost plan!A25</t>
        </is>
      </c>
      <c r="B3855" s="4" t="inlineStr">
        <is>
          <t>Cost plan</t>
        </is>
      </c>
      <c r="C3855" s="4" t="inlineStr">
        <is>
          <t>A25</t>
        </is>
      </c>
      <c r="D3855" s="4" t="inlineStr">
        <is>
          <t>YOUTH</t>
        </is>
      </c>
      <c r="E3855" s="4" t="inlineStr">
        <is>
          <t>YOUTH</t>
        </is>
      </c>
      <c r="F3855" s="4" t="inlineStr">
        <is>
          <t>GOC Bed Unit-Costing Model v2 — working original.xlsx</t>
        </is>
      </c>
    </row>
    <row r="3856" ht="40" customHeight="1">
      <c r="A3856" s="4" t="inlineStr">
        <is>
          <t>original:Cost plan!B25</t>
        </is>
      </c>
      <c r="B3856" s="4" t="inlineStr">
        <is>
          <t>Cost plan</t>
        </is>
      </c>
      <c r="C3856" s="4" t="inlineStr">
        <is>
          <t>B25</t>
        </is>
      </c>
      <c r="D3856" s="4" t="inlineStr">
        <is>
          <t>Youth / employment wraparound</t>
        </is>
      </c>
      <c r="E3856" s="4" t="inlineStr">
        <is>
          <t>Youth / employment wraparound</t>
        </is>
      </c>
      <c r="F3856" s="4" t="inlineStr">
        <is>
          <t>GOC Bed Unit-Costing Model v2 — working original.xlsx</t>
        </is>
      </c>
    </row>
    <row r="3857" ht="40" customHeight="1">
      <c r="A3857" s="4" t="inlineStr">
        <is>
          <t>original:Cost plan!C25</t>
        </is>
      </c>
      <c r="B3857" s="4" t="inlineStr">
        <is>
          <t>Cost plan</t>
        </is>
      </c>
      <c r="C3857" s="4" t="inlineStr">
        <is>
          <t>C25</t>
        </is>
      </c>
      <c r="D3857" s="4" t="inlineStr">
        <is>
          <t>New sites</t>
        </is>
      </c>
      <c r="E3857" s="4" t="inlineStr">
        <is>
          <t>New sites</t>
        </is>
      </c>
      <c r="F3857" s="4" t="inlineStr">
        <is>
          <t>GOC Bed Unit-Costing Model v2 — working original.xlsx</t>
        </is>
      </c>
    </row>
    <row r="3858" ht="40" customHeight="1">
      <c r="A3858" s="4" t="inlineStr">
        <is>
          <t>original:Cost plan!D25</t>
        </is>
      </c>
      <c r="B3858" s="4" t="inlineStr">
        <is>
          <t>Cost plan</t>
        </is>
      </c>
      <c r="C3858" s="4" t="inlineStr">
        <is>
          <t>D25</t>
        </is>
      </c>
      <c r="D3858" s="4" t="inlineStr">
        <is>
          <t>Community support</t>
        </is>
      </c>
      <c r="E3858" s="4" t="inlineStr">
        <is>
          <t>Community support</t>
        </is>
      </c>
      <c r="F3858" s="4" t="inlineStr">
        <is>
          <t>GOC Bed Unit-Costing Model v2 — working original.xlsx</t>
        </is>
      </c>
    </row>
    <row r="3859" ht="40" customHeight="1">
      <c r="A3859" s="4" t="inlineStr">
        <is>
          <t>original:Cost plan!E25</t>
        </is>
      </c>
      <c r="B3859" s="4" t="inlineStr">
        <is>
          <t>Cost plan</t>
        </is>
      </c>
      <c r="C3859" s="4" t="inlineStr">
        <is>
          <t>E25</t>
        </is>
      </c>
      <c r="D3859" s="4" t="inlineStr">
        <is>
          <t>phase</t>
        </is>
      </c>
      <c r="E3859" s="4" t="inlineStr">
        <is>
          <t>phase</t>
        </is>
      </c>
      <c r="F3859" s="4" t="inlineStr">
        <is>
          <t>GOC Bed Unit-Costing Model v2 — working original.xlsx</t>
        </is>
      </c>
    </row>
    <row r="3860" ht="40" customHeight="1">
      <c r="A3860" s="4" t="inlineStr">
        <is>
          <t>original:Cost plan!F25</t>
        </is>
      </c>
      <c r="B3860" s="4" t="inlineStr">
        <is>
          <t>Cost plan</t>
        </is>
      </c>
      <c r="C3860" s="4" t="inlineStr">
        <is>
          <t>F25</t>
        </is>
      </c>
      <c r="D3860" s="4" t="n">
        <v>1</v>
      </c>
      <c r="E3860" s="4" t="n">
        <v>1</v>
      </c>
      <c r="F3860" s="4" t="inlineStr">
        <is>
          <t>GOC Bed Unit-Costing Model v2 — working original.xlsx</t>
        </is>
      </c>
    </row>
    <row r="3861" ht="40" customHeight="1">
      <c r="A3861" s="4" t="inlineStr">
        <is>
          <t>original:Cost plan!H25</t>
        </is>
      </c>
      <c r="B3861" s="4" t="inlineStr">
        <is>
          <t>Cost plan</t>
        </is>
      </c>
      <c r="C3861" s="4" t="inlineStr">
        <is>
          <t>H25</t>
        </is>
      </c>
      <c r="D3861" s="4" t="inlineStr">
        <is>
          <t>=IF(COUNT(F25:G25)=2,F25*G25,"")</t>
        </is>
      </c>
      <c r="E3861" s="4" t="n"/>
      <c r="F3861" s="4" t="inlineStr">
        <is>
          <t>GOC Bed Unit-Costing Model v2 — working original.xlsx</t>
        </is>
      </c>
    </row>
    <row r="3862" ht="40" customHeight="1">
      <c r="A3862" s="4" t="inlineStr">
        <is>
          <t>original:Cost plan!I25</t>
        </is>
      </c>
      <c r="B3862" s="4" t="inlineStr">
        <is>
          <t>Cost plan</t>
        </is>
      </c>
      <c r="C3862" s="4" t="inlineStr">
        <is>
          <t>I25</t>
        </is>
      </c>
      <c r="D3862" s="4" t="n">
        <v>1</v>
      </c>
      <c r="E3862" s="4" t="n">
        <v>1</v>
      </c>
      <c r="F3862" s="4" t="inlineStr">
        <is>
          <t>GOC Bed Unit-Costing Model v2 — working original.xlsx</t>
        </is>
      </c>
    </row>
    <row r="3863" ht="40" customHeight="1">
      <c r="A3863" s="4" t="inlineStr">
        <is>
          <t>original:Cost plan!J25</t>
        </is>
      </c>
      <c r="B3863" s="4" t="inlineStr">
        <is>
          <t>Cost plan</t>
        </is>
      </c>
      <c r="C3863" s="4" t="inlineStr">
        <is>
          <t>J25</t>
        </is>
      </c>
      <c r="D3863" s="4" t="n">
        <v>12</v>
      </c>
      <c r="E3863" s="4" t="n">
        <v>12</v>
      </c>
      <c r="F3863" s="4" t="inlineStr">
        <is>
          <t>GOC Bed Unit-Costing Model v2 — working original.xlsx</t>
        </is>
      </c>
    </row>
    <row r="3864" ht="40" customHeight="1">
      <c r="A3864" s="4" t="inlineStr">
        <is>
          <t>original:Cost plan!K25</t>
        </is>
      </c>
      <c r="B3864" s="4" t="inlineStr">
        <is>
          <t>Cost plan</t>
        </is>
      </c>
      <c r="C3864" s="4" t="inlineStr">
        <is>
          <t>K25</t>
        </is>
      </c>
      <c r="D3864" s="4" t="inlineStr">
        <is>
          <t>No</t>
        </is>
      </c>
      <c r="E3864" s="4" t="inlineStr">
        <is>
          <t>No</t>
        </is>
      </c>
      <c r="F3864" s="4" t="inlineStr">
        <is>
          <t>GOC Bed Unit-Costing Model v2 — working original.xlsx</t>
        </is>
      </c>
    </row>
    <row r="3865" ht="40" customHeight="1">
      <c r="A3865" s="4" t="inlineStr">
        <is>
          <t>original:Cost plan!L25</t>
        </is>
      </c>
      <c r="B3865" s="4" t="inlineStr">
        <is>
          <t>Cost plan</t>
        </is>
      </c>
      <c r="C3865" s="4" t="inlineStr">
        <is>
          <t>L25</t>
        </is>
      </c>
      <c r="D3865" s="4" t="inlineStr">
        <is>
          <t>=IF(AND(ISNUMBER(H25),K25="Yes"),MIN(H25,MAX(0,Overview!$B$5-SUM(L$5:L24))),0)</t>
        </is>
      </c>
      <c r="E3865" s="4" t="n">
        <v>0</v>
      </c>
      <c r="F3865" s="4" t="inlineStr">
        <is>
          <t>GOC Bed Unit-Costing Model v2 — working original.xlsx</t>
        </is>
      </c>
    </row>
    <row r="3866" ht="40" customHeight="1">
      <c r="A3866" s="4" t="inlineStr">
        <is>
          <t>original:Cost plan!M25</t>
        </is>
      </c>
      <c r="B3866" s="4" t="inlineStr">
        <is>
          <t>Cost plan</t>
        </is>
      </c>
      <c r="C3866" s="4" t="inlineStr">
        <is>
          <t>M25</t>
        </is>
      </c>
      <c r="D3866" s="4" t="inlineStr">
        <is>
          <t>=IF(ISNUMBER(H25),MIN(MAX(0,H25-L25-N25),MAX(0,SUM(Funding!D7:D9)-SUM(M$5:M24))),0)</t>
        </is>
      </c>
      <c r="E3866" s="4" t="n">
        <v>0</v>
      </c>
      <c r="F3866" s="4" t="inlineStr">
        <is>
          <t>GOC Bed Unit-Costing Model v2 — working original.xlsx</t>
        </is>
      </c>
    </row>
    <row r="3867" ht="40" customHeight="1">
      <c r="A3867" s="4" t="inlineStr">
        <is>
          <t>original:Cost plan!N25</t>
        </is>
      </c>
      <c r="B3867" s="4" t="inlineStr">
        <is>
          <t>Cost plan</t>
        </is>
      </c>
      <c r="C3867" s="4" t="inlineStr">
        <is>
          <t>N25</t>
        </is>
      </c>
      <c r="D3867" s="4" t="inlineStr">
        <is>
          <t>=IF(ISNUMBER(H25),MIN(MAX(0,H25-L25),MAX(0,SUM(Production!M6:M41)-SUM(N$5:N24))),0)</t>
        </is>
      </c>
      <c r="E3867" s="4" t="n">
        <v>0</v>
      </c>
      <c r="F3867" s="4" t="inlineStr">
        <is>
          <t>GOC Bed Unit-Costing Model v2 — working original.xlsx</t>
        </is>
      </c>
    </row>
    <row r="3868" ht="40" customHeight="1">
      <c r="A3868" s="4" t="inlineStr">
        <is>
          <t>original:Cost plan!O25</t>
        </is>
      </c>
      <c r="B3868" s="4" t="inlineStr">
        <is>
          <t>Cost plan</t>
        </is>
      </c>
      <c r="C3868" s="4" t="inlineStr">
        <is>
          <t>O25</t>
        </is>
      </c>
      <c r="D3868" s="4" t="inlineStr">
        <is>
          <t>=IF(ISNUMBER(H25),H25-SUM(L25:N25),"")</t>
        </is>
      </c>
      <c r="E3868" s="4" t="n"/>
      <c r="F3868" s="4" t="inlineStr">
        <is>
          <t>GOC Bed Unit-Costing Model v2 — working original.xlsx</t>
        </is>
      </c>
    </row>
    <row r="3869" ht="40" customHeight="1">
      <c r="A3869" s="4" t="inlineStr">
        <is>
          <t>original:Cost plan!P25</t>
        </is>
      </c>
      <c r="B3869" s="4" t="inlineStr">
        <is>
          <t>Cost plan</t>
        </is>
      </c>
      <c r="C3869" s="4" t="inlineStr">
        <is>
          <t>P25</t>
        </is>
      </c>
      <c r="D3869" s="4" t="inlineStr">
        <is>
          <t>Not hidden in the bed price</t>
        </is>
      </c>
      <c r="E3869" s="4" t="inlineStr">
        <is>
          <t>Not hidden in the bed price</t>
        </is>
      </c>
      <c r="F3869" s="4" t="inlineStr">
        <is>
          <t>GOC Bed Unit-Costing Model v2 — working original.xlsx</t>
        </is>
      </c>
    </row>
    <row r="3870" ht="40" customHeight="1">
      <c r="A3870" s="4" t="inlineStr">
        <is>
          <t>original:Cost plan!A26</t>
        </is>
      </c>
      <c r="B3870" s="4" t="inlineStr">
        <is>
          <t>Cost plan</t>
        </is>
      </c>
      <c r="C3870" s="4" t="inlineStr">
        <is>
          <t>A26</t>
        </is>
      </c>
      <c r="D3870" s="4" t="inlineStr">
        <is>
          <t>EVID</t>
        </is>
      </c>
      <c r="E3870" s="4" t="inlineStr">
        <is>
          <t>EVID</t>
        </is>
      </c>
      <c r="F3870" s="4" t="inlineStr">
        <is>
          <t>GOC Bed Unit-Costing Model v2 — working original.xlsx</t>
        </is>
      </c>
    </row>
    <row r="3871" ht="40" customHeight="1">
      <c r="A3871" s="4" t="inlineStr">
        <is>
          <t>original:Cost plan!B26</t>
        </is>
      </c>
      <c r="B3871" s="4" t="inlineStr">
        <is>
          <t>Cost plan</t>
        </is>
      </c>
      <c r="C3871" s="4" t="inlineStr">
        <is>
          <t>B26</t>
        </is>
      </c>
      <c r="D3871" s="4" t="inlineStr">
        <is>
          <t>First 50 beds: measurement and reporting</t>
        </is>
      </c>
      <c r="E3871" s="4" t="inlineStr">
        <is>
          <t>First 50 beds: measurement and reporting</t>
        </is>
      </c>
      <c r="F3871" s="4" t="inlineStr">
        <is>
          <t>GOC Bed Unit-Costing Model v2 — working original.xlsx</t>
        </is>
      </c>
    </row>
    <row r="3872" ht="40" customHeight="1">
      <c r="A3872" s="4" t="inlineStr">
        <is>
          <t>original:Cost plan!C26</t>
        </is>
      </c>
      <c r="B3872" s="4" t="inlineStr">
        <is>
          <t>Cost plan</t>
        </is>
      </c>
      <c r="C3872" s="4" t="inlineStr">
        <is>
          <t>C26</t>
        </is>
      </c>
      <c r="D3872" s="4" t="inlineStr">
        <is>
          <t>Shared</t>
        </is>
      </c>
      <c r="E3872" s="4" t="inlineStr">
        <is>
          <t>Shared</t>
        </is>
      </c>
      <c r="F3872" s="4" t="inlineStr">
        <is>
          <t>GOC Bed Unit-Costing Model v2 — working original.xlsx</t>
        </is>
      </c>
    </row>
    <row r="3873" ht="40" customHeight="1">
      <c r="A3873" s="4" t="inlineStr">
        <is>
          <t>original:Cost plan!D26</t>
        </is>
      </c>
      <c r="B3873" s="4" t="inlineStr">
        <is>
          <t>Cost plan</t>
        </is>
      </c>
      <c r="C3873" s="4" t="inlineStr">
        <is>
          <t>D26</t>
        </is>
      </c>
      <c r="D3873" s="4" t="inlineStr">
        <is>
          <t>Goods network</t>
        </is>
      </c>
      <c r="E3873" s="4" t="inlineStr">
        <is>
          <t>Goods network</t>
        </is>
      </c>
      <c r="F3873" s="4" t="inlineStr">
        <is>
          <t>GOC Bed Unit-Costing Model v2 — working original.xlsx</t>
        </is>
      </c>
    </row>
    <row r="3874" ht="40" customHeight="1">
      <c r="A3874" s="4" t="inlineStr">
        <is>
          <t>original:Cost plan!E26</t>
        </is>
      </c>
      <c r="B3874" s="4" t="inlineStr">
        <is>
          <t>Cost plan</t>
        </is>
      </c>
      <c r="C3874" s="4" t="inlineStr">
        <is>
          <t>E26</t>
        </is>
      </c>
      <c r="D3874" s="4" t="inlineStr">
        <is>
          <t>phase</t>
        </is>
      </c>
      <c r="E3874" s="4" t="inlineStr">
        <is>
          <t>phase</t>
        </is>
      </c>
      <c r="F3874" s="4" t="inlineStr">
        <is>
          <t>GOC Bed Unit-Costing Model v2 — working original.xlsx</t>
        </is>
      </c>
    </row>
    <row r="3875" ht="40" customHeight="1">
      <c r="A3875" s="4" t="inlineStr">
        <is>
          <t>original:Cost plan!F26</t>
        </is>
      </c>
      <c r="B3875" s="4" t="inlineStr">
        <is>
          <t>Cost plan</t>
        </is>
      </c>
      <c r="C3875" s="4" t="inlineStr">
        <is>
          <t>F26</t>
        </is>
      </c>
      <c r="D3875" s="4" t="n">
        <v>1</v>
      </c>
      <c r="E3875" s="4" t="n">
        <v>1</v>
      </c>
      <c r="F3875" s="4" t="inlineStr">
        <is>
          <t>GOC Bed Unit-Costing Model v2 — working original.xlsx</t>
        </is>
      </c>
    </row>
    <row r="3876" ht="40" customHeight="1">
      <c r="A3876" s="4" t="inlineStr">
        <is>
          <t>original:Cost plan!H26</t>
        </is>
      </c>
      <c r="B3876" s="4" t="inlineStr">
        <is>
          <t>Cost plan</t>
        </is>
      </c>
      <c r="C3876" s="4" t="inlineStr">
        <is>
          <t>H26</t>
        </is>
      </c>
      <c r="D3876" s="4" t="inlineStr">
        <is>
          <t>=IF(COUNT(F26:G26)=2,F26*G26,"")</t>
        </is>
      </c>
      <c r="E3876" s="4" t="n"/>
      <c r="F3876" s="4" t="inlineStr">
        <is>
          <t>GOC Bed Unit-Costing Model v2 — working original.xlsx</t>
        </is>
      </c>
    </row>
    <row r="3877" ht="40" customHeight="1">
      <c r="A3877" s="4" t="inlineStr">
        <is>
          <t>original:Cost plan!I26</t>
        </is>
      </c>
      <c r="B3877" s="4" t="inlineStr">
        <is>
          <t>Cost plan</t>
        </is>
      </c>
      <c r="C3877" s="4" t="inlineStr">
        <is>
          <t>I26</t>
        </is>
      </c>
      <c r="D3877" s="4" t="n">
        <v>1</v>
      </c>
      <c r="E3877" s="4" t="n">
        <v>1</v>
      </c>
      <c r="F3877" s="4" t="inlineStr">
        <is>
          <t>GOC Bed Unit-Costing Model v2 — working original.xlsx</t>
        </is>
      </c>
    </row>
    <row r="3878" ht="40" customHeight="1">
      <c r="A3878" s="4" t="inlineStr">
        <is>
          <t>original:Cost plan!J26</t>
        </is>
      </c>
      <c r="B3878" s="4" t="inlineStr">
        <is>
          <t>Cost plan</t>
        </is>
      </c>
      <c r="C3878" s="4" t="inlineStr">
        <is>
          <t>J26</t>
        </is>
      </c>
      <c r="D3878" s="4" t="n">
        <v>12</v>
      </c>
      <c r="E3878" s="4" t="n">
        <v>12</v>
      </c>
      <c r="F3878" s="4" t="inlineStr">
        <is>
          <t>GOC Bed Unit-Costing Model v2 — working original.xlsx</t>
        </is>
      </c>
    </row>
    <row r="3879" ht="40" customHeight="1">
      <c r="A3879" s="4" t="inlineStr">
        <is>
          <t>original:Cost plan!K26</t>
        </is>
      </c>
      <c r="B3879" s="4" t="inlineStr">
        <is>
          <t>Cost plan</t>
        </is>
      </c>
      <c r="C3879" s="4" t="inlineStr">
        <is>
          <t>K26</t>
        </is>
      </c>
      <c r="D3879" s="4" t="inlineStr">
        <is>
          <t>Yes</t>
        </is>
      </c>
      <c r="E3879" s="4" t="inlineStr">
        <is>
          <t>Yes</t>
        </is>
      </c>
      <c r="F3879" s="4" t="inlineStr">
        <is>
          <t>GOC Bed Unit-Costing Model v2 — working original.xlsx</t>
        </is>
      </c>
    </row>
    <row r="3880" ht="40" customHeight="1">
      <c r="A3880" s="4" t="inlineStr">
        <is>
          <t>original:Cost plan!L26</t>
        </is>
      </c>
      <c r="B3880" s="4" t="inlineStr">
        <is>
          <t>Cost plan</t>
        </is>
      </c>
      <c r="C3880" s="4" t="inlineStr">
        <is>
          <t>L26</t>
        </is>
      </c>
      <c r="D3880" s="4" t="inlineStr">
        <is>
          <t>=IF(AND(ISNUMBER(H26),K26="Yes"),MIN(H26,MAX(0,Overview!$B$5-SUM(L$5:L25))),0)</t>
        </is>
      </c>
      <c r="E3880" s="4" t="n">
        <v>0</v>
      </c>
      <c r="F3880" s="4" t="inlineStr">
        <is>
          <t>GOC Bed Unit-Costing Model v2 — working original.xlsx</t>
        </is>
      </c>
    </row>
    <row r="3881" ht="40" customHeight="1">
      <c r="A3881" s="4" t="inlineStr">
        <is>
          <t>original:Cost plan!M26</t>
        </is>
      </c>
      <c r="B3881" s="4" t="inlineStr">
        <is>
          <t>Cost plan</t>
        </is>
      </c>
      <c r="C3881" s="4" t="inlineStr">
        <is>
          <t>M26</t>
        </is>
      </c>
      <c r="D3881" s="4" t="inlineStr">
        <is>
          <t>=IF(ISNUMBER(H26),MIN(MAX(0,H26-L26-N26),MAX(0,SUM(Funding!D7:D9)-SUM(M$5:M25))),0)</t>
        </is>
      </c>
      <c r="E3881" s="4" t="n">
        <v>0</v>
      </c>
      <c r="F3881" s="4" t="inlineStr">
        <is>
          <t>GOC Bed Unit-Costing Model v2 — working original.xlsx</t>
        </is>
      </c>
    </row>
    <row r="3882" ht="40" customHeight="1">
      <c r="A3882" s="4" t="inlineStr">
        <is>
          <t>original:Cost plan!N26</t>
        </is>
      </c>
      <c r="B3882" s="4" t="inlineStr">
        <is>
          <t>Cost plan</t>
        </is>
      </c>
      <c r="C3882" s="4" t="inlineStr">
        <is>
          <t>N26</t>
        </is>
      </c>
      <c r="D3882" s="4" t="inlineStr">
        <is>
          <t>=IF(ISNUMBER(H26),MIN(MAX(0,H26-L26),MAX(0,SUM(Production!M6:M41)-SUM(N$5:N25))),0)</t>
        </is>
      </c>
      <c r="E3882" s="4" t="n">
        <v>0</v>
      </c>
      <c r="F3882" s="4" t="inlineStr">
        <is>
          <t>GOC Bed Unit-Costing Model v2 — working original.xlsx</t>
        </is>
      </c>
    </row>
    <row r="3883" ht="40" customHeight="1">
      <c r="A3883" s="4" t="inlineStr">
        <is>
          <t>original:Cost plan!O26</t>
        </is>
      </c>
      <c r="B3883" s="4" t="inlineStr">
        <is>
          <t>Cost plan</t>
        </is>
      </c>
      <c r="C3883" s="4" t="inlineStr">
        <is>
          <t>O26</t>
        </is>
      </c>
      <c r="D3883" s="4" t="inlineStr">
        <is>
          <t>=IF(ISNUMBER(H26),H26-SUM(L26:N26),"")</t>
        </is>
      </c>
      <c r="E3883" s="4" t="n"/>
      <c r="F3883" s="4" t="inlineStr">
        <is>
          <t>GOC Bed Unit-Costing Model v2 — working original.xlsx</t>
        </is>
      </c>
    </row>
    <row r="3884" ht="45" customHeight="1">
      <c r="A3884" s="4" t="inlineStr">
        <is>
          <t>original:Cost plan!P26</t>
        </is>
      </c>
      <c r="B3884" s="4" t="inlineStr">
        <is>
          <t>Cost plan</t>
        </is>
      </c>
      <c r="C3884" s="4" t="inlineStr">
        <is>
          <t>P26</t>
        </is>
      </c>
      <c r="D3884" s="4" t="inlineStr">
        <is>
          <t>50 is a subset of delivered beds, not another production pool</t>
        </is>
      </c>
      <c r="E3884" s="4" t="inlineStr">
        <is>
          <t>50 is a subset of delivered beds, not another production pool</t>
        </is>
      </c>
      <c r="F3884" s="4" t="inlineStr">
        <is>
          <t>GOC Bed Unit-Costing Model v2 — working original.xlsx</t>
        </is>
      </c>
    </row>
    <row r="3885" ht="40" customHeight="1">
      <c r="A3885" s="4" t="inlineStr">
        <is>
          <t>original:Cost plan!A27</t>
        </is>
      </c>
      <c r="B3885" s="4" t="inlineStr">
        <is>
          <t>Cost plan</t>
        </is>
      </c>
      <c r="C3885" s="4" t="inlineStr">
        <is>
          <t>A27</t>
        </is>
      </c>
      <c r="D3885" s="4" t="inlineStr">
        <is>
          <t>FOUND</t>
        </is>
      </c>
      <c r="E3885" s="4" t="inlineStr">
        <is>
          <t>FOUND</t>
        </is>
      </c>
      <c r="F3885" s="4" t="inlineStr">
        <is>
          <t>GOC Bed Unit-Costing Model v2 — working original.xlsx</t>
        </is>
      </c>
    </row>
    <row r="3886" ht="40" customHeight="1">
      <c r="A3886" s="4" t="inlineStr">
        <is>
          <t>original:Cost plan!B27</t>
        </is>
      </c>
      <c r="B3886" s="4" t="inlineStr">
        <is>
          <t>Cost plan</t>
        </is>
      </c>
      <c r="C3886" s="4" t="inlineStr">
        <is>
          <t>B27</t>
        </is>
      </c>
      <c r="D3886" s="4" t="inlineStr">
        <is>
          <t>Additional founder time</t>
        </is>
      </c>
      <c r="E3886" s="4" t="inlineStr">
        <is>
          <t>Additional founder time</t>
        </is>
      </c>
      <c r="F3886" s="4" t="inlineStr">
        <is>
          <t>GOC Bed Unit-Costing Model v2 — working original.xlsx</t>
        </is>
      </c>
    </row>
    <row r="3887" ht="40" customHeight="1">
      <c r="A3887" s="4" t="inlineStr">
        <is>
          <t>original:Cost plan!C27</t>
        </is>
      </c>
      <c r="B3887" s="4" t="inlineStr">
        <is>
          <t>Cost plan</t>
        </is>
      </c>
      <c r="C3887" s="4" t="inlineStr">
        <is>
          <t>C27</t>
        </is>
      </c>
      <c r="D3887" s="4" t="inlineStr">
        <is>
          <t>Shared</t>
        </is>
      </c>
      <c r="E3887" s="4" t="inlineStr">
        <is>
          <t>Shared</t>
        </is>
      </c>
      <c r="F3887" s="4" t="inlineStr">
        <is>
          <t>GOC Bed Unit-Costing Model v2 — working original.xlsx</t>
        </is>
      </c>
    </row>
    <row r="3888" ht="40" customHeight="1">
      <c r="A3888" s="4" t="inlineStr">
        <is>
          <t>original:Cost plan!D27</t>
        </is>
      </c>
      <c r="B3888" s="4" t="inlineStr">
        <is>
          <t>Cost plan</t>
        </is>
      </c>
      <c r="C3888" s="4" t="inlineStr">
        <is>
          <t>D27</t>
        </is>
      </c>
      <c r="D3888" s="4" t="inlineStr">
        <is>
          <t>Goods network</t>
        </is>
      </c>
      <c r="E3888" s="4" t="inlineStr">
        <is>
          <t>Goods network</t>
        </is>
      </c>
      <c r="F3888" s="4" t="inlineStr">
        <is>
          <t>GOC Bed Unit-Costing Model v2 — working original.xlsx</t>
        </is>
      </c>
    </row>
    <row r="3889" ht="40" customHeight="1">
      <c r="A3889" s="4" t="inlineStr">
        <is>
          <t>original:Cost plan!E27</t>
        </is>
      </c>
      <c r="B3889" s="4" t="inlineStr">
        <is>
          <t>Cost plan</t>
        </is>
      </c>
      <c r="C3889" s="4" t="inlineStr">
        <is>
          <t>E27</t>
        </is>
      </c>
      <c r="D3889" s="4" t="inlineStr">
        <is>
          <t>phase</t>
        </is>
      </c>
      <c r="E3889" s="4" t="inlineStr">
        <is>
          <t>phase</t>
        </is>
      </c>
      <c r="F3889" s="4" t="inlineStr">
        <is>
          <t>GOC Bed Unit-Costing Model v2 — working original.xlsx</t>
        </is>
      </c>
    </row>
    <row r="3890" ht="40" customHeight="1">
      <c r="A3890" s="4" t="inlineStr">
        <is>
          <t>original:Cost plan!F27</t>
        </is>
      </c>
      <c r="B3890" s="4" t="inlineStr">
        <is>
          <t>Cost plan</t>
        </is>
      </c>
      <c r="C3890" s="4" t="inlineStr">
        <is>
          <t>F27</t>
        </is>
      </c>
      <c r="D3890" s="4" t="n">
        <v>1</v>
      </c>
      <c r="E3890" s="4" t="n">
        <v>1</v>
      </c>
      <c r="F3890" s="4" t="inlineStr">
        <is>
          <t>GOC Bed Unit-Costing Model v2 — working original.xlsx</t>
        </is>
      </c>
    </row>
    <row r="3891" ht="40" customHeight="1">
      <c r="A3891" s="4" t="inlineStr">
        <is>
          <t>original:Cost plan!H27</t>
        </is>
      </c>
      <c r="B3891" s="4" t="inlineStr">
        <is>
          <t>Cost plan</t>
        </is>
      </c>
      <c r="C3891" s="4" t="inlineStr">
        <is>
          <t>H27</t>
        </is>
      </c>
      <c r="D3891" s="4" t="inlineStr">
        <is>
          <t>=IF(COUNT(F27:G27)=2,F27*G27,"")</t>
        </is>
      </c>
      <c r="E3891" s="4" t="n"/>
      <c r="F3891" s="4" t="inlineStr">
        <is>
          <t>GOC Bed Unit-Costing Model v2 — working original.xlsx</t>
        </is>
      </c>
    </row>
    <row r="3892" ht="40" customHeight="1">
      <c r="A3892" s="4" t="inlineStr">
        <is>
          <t>original:Cost plan!I27</t>
        </is>
      </c>
      <c r="B3892" s="4" t="inlineStr">
        <is>
          <t>Cost plan</t>
        </is>
      </c>
      <c r="C3892" s="4" t="inlineStr">
        <is>
          <t>I27</t>
        </is>
      </c>
      <c r="D3892" s="4" t="n">
        <v>1</v>
      </c>
      <c r="E3892" s="4" t="n">
        <v>1</v>
      </c>
      <c r="F3892" s="4" t="inlineStr">
        <is>
          <t>GOC Bed Unit-Costing Model v2 — working original.xlsx</t>
        </is>
      </c>
    </row>
    <row r="3893" ht="40" customHeight="1">
      <c r="A3893" s="4" t="inlineStr">
        <is>
          <t>original:Cost plan!J27</t>
        </is>
      </c>
      <c r="B3893" s="4" t="inlineStr">
        <is>
          <t>Cost plan</t>
        </is>
      </c>
      <c r="C3893" s="4" t="inlineStr">
        <is>
          <t>J27</t>
        </is>
      </c>
      <c r="D3893" s="4" t="n">
        <v>12</v>
      </c>
      <c r="E3893" s="4" t="n">
        <v>12</v>
      </c>
      <c r="F3893" s="4" t="inlineStr">
        <is>
          <t>GOC Bed Unit-Costing Model v2 — working original.xlsx</t>
        </is>
      </c>
    </row>
    <row r="3894" ht="40" customHeight="1">
      <c r="A3894" s="4" t="inlineStr">
        <is>
          <t>original:Cost plan!K27</t>
        </is>
      </c>
      <c r="B3894" s="4" t="inlineStr">
        <is>
          <t>Cost plan</t>
        </is>
      </c>
      <c r="C3894" s="4" t="inlineStr">
        <is>
          <t>K27</t>
        </is>
      </c>
      <c r="D3894" s="4" t="inlineStr">
        <is>
          <t>No</t>
        </is>
      </c>
      <c r="E3894" s="4" t="inlineStr">
        <is>
          <t>No</t>
        </is>
      </c>
      <c r="F3894" s="4" t="inlineStr">
        <is>
          <t>GOC Bed Unit-Costing Model v2 — working original.xlsx</t>
        </is>
      </c>
    </row>
    <row r="3895" ht="40" customHeight="1">
      <c r="A3895" s="4" t="inlineStr">
        <is>
          <t>original:Cost plan!L27</t>
        </is>
      </c>
      <c r="B3895" s="4" t="inlineStr">
        <is>
          <t>Cost plan</t>
        </is>
      </c>
      <c r="C3895" s="4" t="inlineStr">
        <is>
          <t>L27</t>
        </is>
      </c>
      <c r="D3895" s="4" t="inlineStr">
        <is>
          <t>=IF(AND(ISNUMBER(H27),K27="Yes"),MIN(H27,MAX(0,Overview!$B$5-SUM(L$5:L26))),0)</t>
        </is>
      </c>
      <c r="E3895" s="4" t="n">
        <v>0</v>
      </c>
      <c r="F3895" s="4" t="inlineStr">
        <is>
          <t>GOC Bed Unit-Costing Model v2 — working original.xlsx</t>
        </is>
      </c>
    </row>
    <row r="3896" ht="40" customHeight="1">
      <c r="A3896" s="4" t="inlineStr">
        <is>
          <t>original:Cost plan!M27</t>
        </is>
      </c>
      <c r="B3896" s="4" t="inlineStr">
        <is>
          <t>Cost plan</t>
        </is>
      </c>
      <c r="C3896" s="4" t="inlineStr">
        <is>
          <t>M27</t>
        </is>
      </c>
      <c r="D3896" s="4" t="inlineStr">
        <is>
          <t>=IF(ISNUMBER(H27),MIN(MAX(0,H27-L27-N27),MAX(0,SUM(Funding!D7:D9)-SUM(M$5:M26))),0)</t>
        </is>
      </c>
      <c r="E3896" s="4" t="n">
        <v>0</v>
      </c>
      <c r="F3896" s="4" t="inlineStr">
        <is>
          <t>GOC Bed Unit-Costing Model v2 — working original.xlsx</t>
        </is>
      </c>
    </row>
    <row r="3897" ht="40" customHeight="1">
      <c r="A3897" s="4" t="inlineStr">
        <is>
          <t>original:Cost plan!N27</t>
        </is>
      </c>
      <c r="B3897" s="4" t="inlineStr">
        <is>
          <t>Cost plan</t>
        </is>
      </c>
      <c r="C3897" s="4" t="inlineStr">
        <is>
          <t>N27</t>
        </is>
      </c>
      <c r="D3897" s="4" t="inlineStr">
        <is>
          <t>=IF(ISNUMBER(H27),MIN(MAX(0,H27-L27),MAX(0,SUM(Production!M6:M41)-SUM(N$5:N26))),0)</t>
        </is>
      </c>
      <c r="E3897" s="4" t="n">
        <v>0</v>
      </c>
      <c r="F3897" s="4" t="inlineStr">
        <is>
          <t>GOC Bed Unit-Costing Model v2 — working original.xlsx</t>
        </is>
      </c>
    </row>
    <row r="3898" ht="40" customHeight="1">
      <c r="A3898" s="4" t="inlineStr">
        <is>
          <t>original:Cost plan!O27</t>
        </is>
      </c>
      <c r="B3898" s="4" t="inlineStr">
        <is>
          <t>Cost plan</t>
        </is>
      </c>
      <c r="C3898" s="4" t="inlineStr">
        <is>
          <t>O27</t>
        </is>
      </c>
      <c r="D3898" s="4" t="inlineStr">
        <is>
          <t>=IF(ISNUMBER(H27),H27-SUM(L27:N27),"")</t>
        </is>
      </c>
      <c r="E3898" s="4" t="n"/>
      <c r="F3898" s="4" t="inlineStr">
        <is>
          <t>GOC Bed Unit-Costing Model v2 — working original.xlsx</t>
        </is>
      </c>
    </row>
    <row r="3899" ht="75" customHeight="1">
      <c r="A3899" s="4" t="inlineStr">
        <is>
          <t>original:Cost plan!P27</t>
        </is>
      </c>
      <c r="B3899" s="4" t="inlineStr">
        <is>
          <t>Cost plan</t>
        </is>
      </c>
      <c r="C3899" s="4" t="inlineStr">
        <is>
          <t>P27</t>
        </is>
      </c>
      <c r="D3899" s="4" t="inlineStr">
        <is>
          <t>Resolve $84,000 vs $151,200 provision; deduct already funded production time only after scope decision</t>
        </is>
      </c>
      <c r="E3899" s="4" t="inlineStr">
        <is>
          <t>Resolve $84,000 vs $151,200 provision; deduct already funded production time only after scope decision</t>
        </is>
      </c>
      <c r="F3899" s="4" t="inlineStr">
        <is>
          <t>GOC Bed Unit-Costing Model v2 — working original.xlsx</t>
        </is>
      </c>
    </row>
    <row r="3900" ht="40" customHeight="1">
      <c r="A3900" s="4" t="inlineStr">
        <is>
          <t>original:Cost plan!A28</t>
        </is>
      </c>
      <c r="B3900" s="4" t="inlineStr">
        <is>
          <t>Cost plan</t>
        </is>
      </c>
      <c r="C3900" s="4" t="inlineStr">
        <is>
          <t>A28</t>
        </is>
      </c>
      <c r="D3900" s="4" t="inlineStr">
        <is>
          <t>FIN</t>
        </is>
      </c>
      <c r="E3900" s="4" t="inlineStr">
        <is>
          <t>FIN</t>
        </is>
      </c>
      <c r="F3900" s="4" t="inlineStr">
        <is>
          <t>GOC Bed Unit-Costing Model v2 — working original.xlsx</t>
        </is>
      </c>
    </row>
    <row r="3901" ht="40" customHeight="1">
      <c r="A3901" s="4" t="inlineStr">
        <is>
          <t>original:Cost plan!B28</t>
        </is>
      </c>
      <c r="B3901" s="4" t="inlineStr">
        <is>
          <t>Cost plan</t>
        </is>
      </c>
      <c r="C3901" s="4" t="inlineStr">
        <is>
          <t>B28</t>
        </is>
      </c>
      <c r="D3901" s="4" t="inlineStr">
        <is>
          <t>Incremental finance, legal and governance</t>
        </is>
      </c>
      <c r="E3901" s="4" t="inlineStr">
        <is>
          <t>Incremental finance, legal and governance</t>
        </is>
      </c>
      <c r="F3901" s="4" t="inlineStr">
        <is>
          <t>GOC Bed Unit-Costing Model v2 — working original.xlsx</t>
        </is>
      </c>
    </row>
    <row r="3902" ht="40" customHeight="1">
      <c r="A3902" s="4" t="inlineStr">
        <is>
          <t>original:Cost plan!C28</t>
        </is>
      </c>
      <c r="B3902" s="4" t="inlineStr">
        <is>
          <t>Cost plan</t>
        </is>
      </c>
      <c r="C3902" s="4" t="inlineStr">
        <is>
          <t>C28</t>
        </is>
      </c>
      <c r="D3902" s="4" t="inlineStr">
        <is>
          <t>Shared</t>
        </is>
      </c>
      <c r="E3902" s="4" t="inlineStr">
        <is>
          <t>Shared</t>
        </is>
      </c>
      <c r="F3902" s="4" t="inlineStr">
        <is>
          <t>GOC Bed Unit-Costing Model v2 — working original.xlsx</t>
        </is>
      </c>
    </row>
    <row r="3903" ht="40" customHeight="1">
      <c r="A3903" s="4" t="inlineStr">
        <is>
          <t>original:Cost plan!D28</t>
        </is>
      </c>
      <c r="B3903" s="4" t="inlineStr">
        <is>
          <t>Cost plan</t>
        </is>
      </c>
      <c r="C3903" s="4" t="inlineStr">
        <is>
          <t>D28</t>
        </is>
      </c>
      <c r="D3903" s="4" t="inlineStr">
        <is>
          <t>Goods network</t>
        </is>
      </c>
      <c r="E3903" s="4" t="inlineStr">
        <is>
          <t>Goods network</t>
        </is>
      </c>
      <c r="F3903" s="4" t="inlineStr">
        <is>
          <t>GOC Bed Unit-Costing Model v2 — working original.xlsx</t>
        </is>
      </c>
    </row>
    <row r="3904" ht="40" customHeight="1">
      <c r="A3904" s="4" t="inlineStr">
        <is>
          <t>original:Cost plan!E28</t>
        </is>
      </c>
      <c r="B3904" s="4" t="inlineStr">
        <is>
          <t>Cost plan</t>
        </is>
      </c>
      <c r="C3904" s="4" t="inlineStr">
        <is>
          <t>E28</t>
        </is>
      </c>
      <c r="D3904" s="4" t="inlineStr">
        <is>
          <t>phase</t>
        </is>
      </c>
      <c r="E3904" s="4" t="inlineStr">
        <is>
          <t>phase</t>
        </is>
      </c>
      <c r="F3904" s="4" t="inlineStr">
        <is>
          <t>GOC Bed Unit-Costing Model v2 — working original.xlsx</t>
        </is>
      </c>
    </row>
    <row r="3905" ht="40" customHeight="1">
      <c r="A3905" s="4" t="inlineStr">
        <is>
          <t>original:Cost plan!F28</t>
        </is>
      </c>
      <c r="B3905" s="4" t="inlineStr">
        <is>
          <t>Cost plan</t>
        </is>
      </c>
      <c r="C3905" s="4" t="inlineStr">
        <is>
          <t>F28</t>
        </is>
      </c>
      <c r="D3905" s="4" t="n">
        <v>1</v>
      </c>
      <c r="E3905" s="4" t="n">
        <v>1</v>
      </c>
      <c r="F3905" s="4" t="inlineStr">
        <is>
          <t>GOC Bed Unit-Costing Model v2 — working original.xlsx</t>
        </is>
      </c>
    </row>
    <row r="3906" ht="40" customHeight="1">
      <c r="A3906" s="4" t="inlineStr">
        <is>
          <t>original:Cost plan!H28</t>
        </is>
      </c>
      <c r="B3906" s="4" t="inlineStr">
        <is>
          <t>Cost plan</t>
        </is>
      </c>
      <c r="C3906" s="4" t="inlineStr">
        <is>
          <t>H28</t>
        </is>
      </c>
      <c r="D3906" s="4" t="inlineStr">
        <is>
          <t>=IF(COUNT(F28:G28)=2,F28*G28,"")</t>
        </is>
      </c>
      <c r="E3906" s="4" t="n"/>
      <c r="F3906" s="4" t="inlineStr">
        <is>
          <t>GOC Bed Unit-Costing Model v2 — working original.xlsx</t>
        </is>
      </c>
    </row>
    <row r="3907" ht="40" customHeight="1">
      <c r="A3907" s="4" t="inlineStr">
        <is>
          <t>original:Cost plan!I28</t>
        </is>
      </c>
      <c r="B3907" s="4" t="inlineStr">
        <is>
          <t>Cost plan</t>
        </is>
      </c>
      <c r="C3907" s="4" t="inlineStr">
        <is>
          <t>I28</t>
        </is>
      </c>
      <c r="D3907" s="4" t="n">
        <v>1</v>
      </c>
      <c r="E3907" s="4" t="n">
        <v>1</v>
      </c>
      <c r="F3907" s="4" t="inlineStr">
        <is>
          <t>GOC Bed Unit-Costing Model v2 — working original.xlsx</t>
        </is>
      </c>
    </row>
    <row r="3908" ht="40" customHeight="1">
      <c r="A3908" s="4" t="inlineStr">
        <is>
          <t>original:Cost plan!J28</t>
        </is>
      </c>
      <c r="B3908" s="4" t="inlineStr">
        <is>
          <t>Cost plan</t>
        </is>
      </c>
      <c r="C3908" s="4" t="inlineStr">
        <is>
          <t>J28</t>
        </is>
      </c>
      <c r="D3908" s="4" t="n">
        <v>12</v>
      </c>
      <c r="E3908" s="4" t="n">
        <v>12</v>
      </c>
      <c r="F3908" s="4" t="inlineStr">
        <is>
          <t>GOC Bed Unit-Costing Model v2 — working original.xlsx</t>
        </is>
      </c>
    </row>
    <row r="3909" ht="40" customHeight="1">
      <c r="A3909" s="4" t="inlineStr">
        <is>
          <t>original:Cost plan!K28</t>
        </is>
      </c>
      <c r="B3909" s="4" t="inlineStr">
        <is>
          <t>Cost plan</t>
        </is>
      </c>
      <c r="C3909" s="4" t="inlineStr">
        <is>
          <t>K28</t>
        </is>
      </c>
      <c r="D3909" s="4" t="inlineStr">
        <is>
          <t>No</t>
        </is>
      </c>
      <c r="E3909" s="4" t="inlineStr">
        <is>
          <t>No</t>
        </is>
      </c>
      <c r="F3909" s="4" t="inlineStr">
        <is>
          <t>GOC Bed Unit-Costing Model v2 — working original.xlsx</t>
        </is>
      </c>
    </row>
    <row r="3910" ht="40" customHeight="1">
      <c r="A3910" s="4" t="inlineStr">
        <is>
          <t>original:Cost plan!L28</t>
        </is>
      </c>
      <c r="B3910" s="4" t="inlineStr">
        <is>
          <t>Cost plan</t>
        </is>
      </c>
      <c r="C3910" s="4" t="inlineStr">
        <is>
          <t>L28</t>
        </is>
      </c>
      <c r="D3910" s="4" t="inlineStr">
        <is>
          <t>=IF(AND(ISNUMBER(H28),K28="Yes"),MIN(H28,MAX(0,Overview!$B$5-SUM(L$5:L27))),0)</t>
        </is>
      </c>
      <c r="E3910" s="4" t="n">
        <v>0</v>
      </c>
      <c r="F3910" s="4" t="inlineStr">
        <is>
          <t>GOC Bed Unit-Costing Model v2 — working original.xlsx</t>
        </is>
      </c>
    </row>
    <row r="3911" ht="40" customHeight="1">
      <c r="A3911" s="4" t="inlineStr">
        <is>
          <t>original:Cost plan!M28</t>
        </is>
      </c>
      <c r="B3911" s="4" t="inlineStr">
        <is>
          <t>Cost plan</t>
        </is>
      </c>
      <c r="C3911" s="4" t="inlineStr">
        <is>
          <t>M28</t>
        </is>
      </c>
      <c r="D3911" s="4" t="inlineStr">
        <is>
          <t>=IF(ISNUMBER(H28),MIN(MAX(0,H28-L28-N28),MAX(0,SUM(Funding!D7:D9)-SUM(M$5:M27))),0)</t>
        </is>
      </c>
      <c r="E3911" s="4" t="n">
        <v>0</v>
      </c>
      <c r="F3911" s="4" t="inlineStr">
        <is>
          <t>GOC Bed Unit-Costing Model v2 — working original.xlsx</t>
        </is>
      </c>
    </row>
    <row r="3912" ht="40" customHeight="1">
      <c r="A3912" s="4" t="inlineStr">
        <is>
          <t>original:Cost plan!N28</t>
        </is>
      </c>
      <c r="B3912" s="4" t="inlineStr">
        <is>
          <t>Cost plan</t>
        </is>
      </c>
      <c r="C3912" s="4" t="inlineStr">
        <is>
          <t>N28</t>
        </is>
      </c>
      <c r="D3912" s="4" t="inlineStr">
        <is>
          <t>=IF(ISNUMBER(H28),MIN(MAX(0,H28-L28),MAX(0,SUM(Production!M6:M41)-SUM(N$5:N27))),0)</t>
        </is>
      </c>
      <c r="E3912" s="4" t="n">
        <v>0</v>
      </c>
      <c r="F3912" s="4" t="inlineStr">
        <is>
          <t>GOC Bed Unit-Costing Model v2 — working original.xlsx</t>
        </is>
      </c>
    </row>
    <row r="3913" ht="40" customHeight="1">
      <c r="A3913" s="4" t="inlineStr">
        <is>
          <t>original:Cost plan!O28</t>
        </is>
      </c>
      <c r="B3913" s="4" t="inlineStr">
        <is>
          <t>Cost plan</t>
        </is>
      </c>
      <c r="C3913" s="4" t="inlineStr">
        <is>
          <t>O28</t>
        </is>
      </c>
      <c r="D3913" s="4" t="inlineStr">
        <is>
          <t>=IF(ISNUMBER(H28),H28-SUM(L28:N28),"")</t>
        </is>
      </c>
      <c r="E3913" s="4" t="n"/>
      <c r="F3913" s="4" t="inlineStr">
        <is>
          <t>GOC Bed Unit-Costing Model v2 — working original.xlsx</t>
        </is>
      </c>
    </row>
    <row r="3914" ht="45" customHeight="1">
      <c r="A3914" s="4" t="inlineStr">
        <is>
          <t>original:Cost plan!P28</t>
        </is>
      </c>
      <c r="B3914" s="4" t="inlineStr">
        <is>
          <t>Cost plan</t>
        </is>
      </c>
      <c r="C3914" s="4" t="inlineStr">
        <is>
          <t>P28</t>
        </is>
      </c>
      <c r="D3914" s="4" t="inlineStr">
        <is>
          <t>Resolve accounting overlap; current applicant records</t>
        </is>
      </c>
      <c r="E3914" s="4" t="inlineStr">
        <is>
          <t>Resolve accounting overlap; current applicant records</t>
        </is>
      </c>
      <c r="F3914" s="4" t="inlineStr">
        <is>
          <t>GOC Bed Unit-Costing Model v2 — working original.xlsx</t>
        </is>
      </c>
    </row>
    <row r="3915" ht="40" customHeight="1">
      <c r="A3915" s="4" t="inlineStr">
        <is>
          <t>original:Cost plan!A29</t>
        </is>
      </c>
      <c r="B3915" s="4" t="inlineStr">
        <is>
          <t>Cost plan</t>
        </is>
      </c>
      <c r="C3915" s="4" t="inlineStr">
        <is>
          <t>A29</t>
        </is>
      </c>
      <c r="D3915" s="4" t="inlineStr">
        <is>
          <t>START</t>
        </is>
      </c>
      <c r="E3915" s="4" t="inlineStr">
        <is>
          <t>START</t>
        </is>
      </c>
      <c r="F3915" s="4" t="inlineStr">
        <is>
          <t>GOC Bed Unit-Costing Model v2 — working original.xlsx</t>
        </is>
      </c>
    </row>
    <row r="3916" ht="40" customHeight="1">
      <c r="A3916" s="4" t="inlineStr">
        <is>
          <t>original:Cost plan!B29</t>
        </is>
      </c>
      <c r="B3916" s="4" t="inlineStr">
        <is>
          <t>Cost plan</t>
        </is>
      </c>
      <c r="C3916" s="4" t="inlineStr">
        <is>
          <t>B29</t>
        </is>
      </c>
      <c r="D3916" s="4" t="inlineStr">
        <is>
          <t>Extra site works and commissioning</t>
        </is>
      </c>
      <c r="E3916" s="4" t="inlineStr">
        <is>
          <t>Extra site works and commissioning</t>
        </is>
      </c>
      <c r="F3916" s="4" t="inlineStr">
        <is>
          <t>GOC Bed Unit-Costing Model v2 — working original.xlsx</t>
        </is>
      </c>
    </row>
    <row r="3917" ht="40" customHeight="1">
      <c r="A3917" s="4" t="inlineStr">
        <is>
          <t>original:Cost plan!C29</t>
        </is>
      </c>
      <c r="B3917" s="4" t="inlineStr">
        <is>
          <t>Cost plan</t>
        </is>
      </c>
      <c r="C3917" s="4" t="inlineStr">
        <is>
          <t>C29</t>
        </is>
      </c>
      <c r="D3917" s="4" t="inlineStr">
        <is>
          <t>New sites</t>
        </is>
      </c>
      <c r="E3917" s="4" t="inlineStr">
        <is>
          <t>New sites</t>
        </is>
      </c>
      <c r="F3917" s="4" t="inlineStr">
        <is>
          <t>GOC Bed Unit-Costing Model v2 — working original.xlsx</t>
        </is>
      </c>
    </row>
    <row r="3918" ht="40" customHeight="1">
      <c r="A3918" s="4" t="inlineStr">
        <is>
          <t>original:Cost plan!D29</t>
        </is>
      </c>
      <c r="B3918" s="4" t="inlineStr">
        <is>
          <t>Cost plan</t>
        </is>
      </c>
      <c r="C3918" s="4" t="inlineStr">
        <is>
          <t>D29</t>
        </is>
      </c>
      <c r="D3918" s="4" t="inlineStr">
        <is>
          <t>Production capital</t>
        </is>
      </c>
      <c r="E3918" s="4" t="inlineStr">
        <is>
          <t>Production capital</t>
        </is>
      </c>
      <c r="F3918" s="4" t="inlineStr">
        <is>
          <t>GOC Bed Unit-Costing Model v2 — working original.xlsx</t>
        </is>
      </c>
    </row>
    <row r="3919" ht="40" customHeight="1">
      <c r="A3919" s="4" t="inlineStr">
        <is>
          <t>original:Cost plan!E29</t>
        </is>
      </c>
      <c r="B3919" s="4" t="inlineStr">
        <is>
          <t>Cost plan</t>
        </is>
      </c>
      <c r="C3919" s="4" t="inlineStr">
        <is>
          <t>E29</t>
        </is>
      </c>
      <c r="D3919" s="4" t="inlineStr">
        <is>
          <t>phase</t>
        </is>
      </c>
      <c r="E3919" s="4" t="inlineStr">
        <is>
          <t>phase</t>
        </is>
      </c>
      <c r="F3919" s="4" t="inlineStr">
        <is>
          <t>GOC Bed Unit-Costing Model v2 — working original.xlsx</t>
        </is>
      </c>
    </row>
    <row r="3920" ht="40" customHeight="1">
      <c r="A3920" s="4" t="inlineStr">
        <is>
          <t>original:Cost plan!F29</t>
        </is>
      </c>
      <c r="B3920" s="4" t="inlineStr">
        <is>
          <t>Cost plan</t>
        </is>
      </c>
      <c r="C3920" s="4" t="inlineStr">
        <is>
          <t>F29</t>
        </is>
      </c>
      <c r="D3920" s="4" t="n">
        <v>1</v>
      </c>
      <c r="E3920" s="4" t="n">
        <v>1</v>
      </c>
      <c r="F3920" s="4" t="inlineStr">
        <is>
          <t>GOC Bed Unit-Costing Model v2 — working original.xlsx</t>
        </is>
      </c>
    </row>
    <row r="3921" ht="40" customHeight="1">
      <c r="A3921" s="4" t="inlineStr">
        <is>
          <t>original:Cost plan!H29</t>
        </is>
      </c>
      <c r="B3921" s="4" t="inlineStr">
        <is>
          <t>Cost plan</t>
        </is>
      </c>
      <c r="C3921" s="4" t="inlineStr">
        <is>
          <t>H29</t>
        </is>
      </c>
      <c r="D3921" s="4" t="inlineStr">
        <is>
          <t>=IF(COUNT(F29:G29)=2,F29*G29,"")</t>
        </is>
      </c>
      <c r="E3921" s="4" t="n"/>
      <c r="F3921" s="4" t="inlineStr">
        <is>
          <t>GOC Bed Unit-Costing Model v2 — working original.xlsx</t>
        </is>
      </c>
    </row>
    <row r="3922" ht="40" customHeight="1">
      <c r="A3922" s="4" t="inlineStr">
        <is>
          <t>original:Cost plan!I29</t>
        </is>
      </c>
      <c r="B3922" s="4" t="inlineStr">
        <is>
          <t>Cost plan</t>
        </is>
      </c>
      <c r="C3922" s="4" t="inlineStr">
        <is>
          <t>I29</t>
        </is>
      </c>
      <c r="D3922" s="4" t="n">
        <v>1</v>
      </c>
      <c r="E3922" s="4" t="n">
        <v>1</v>
      </c>
      <c r="F3922" s="4" t="inlineStr">
        <is>
          <t>GOC Bed Unit-Costing Model v2 — working original.xlsx</t>
        </is>
      </c>
    </row>
    <row r="3923" ht="40" customHeight="1">
      <c r="A3923" s="4" t="inlineStr">
        <is>
          <t>original:Cost plan!J29</t>
        </is>
      </c>
      <c r="B3923" s="4" t="inlineStr">
        <is>
          <t>Cost plan</t>
        </is>
      </c>
      <c r="C3923" s="4" t="inlineStr">
        <is>
          <t>J29</t>
        </is>
      </c>
      <c r="D3923" s="4" t="n">
        <v>12</v>
      </c>
      <c r="E3923" s="4" t="n">
        <v>12</v>
      </c>
      <c r="F3923" s="4" t="inlineStr">
        <is>
          <t>GOC Bed Unit-Costing Model v2 — working original.xlsx</t>
        </is>
      </c>
    </row>
    <row r="3924" ht="40" customHeight="1">
      <c r="A3924" s="4" t="inlineStr">
        <is>
          <t>original:Cost plan!K29</t>
        </is>
      </c>
      <c r="B3924" s="4" t="inlineStr">
        <is>
          <t>Cost plan</t>
        </is>
      </c>
      <c r="C3924" s="4" t="inlineStr">
        <is>
          <t>K29</t>
        </is>
      </c>
      <c r="D3924" s="4" t="inlineStr">
        <is>
          <t>Yes</t>
        </is>
      </c>
      <c r="E3924" s="4" t="inlineStr">
        <is>
          <t>Yes</t>
        </is>
      </c>
      <c r="F3924" s="4" t="inlineStr">
        <is>
          <t>GOC Bed Unit-Costing Model v2 — working original.xlsx</t>
        </is>
      </c>
    </row>
    <row r="3925" ht="40" customHeight="1">
      <c r="A3925" s="4" t="inlineStr">
        <is>
          <t>original:Cost plan!L29</t>
        </is>
      </c>
      <c r="B3925" s="4" t="inlineStr">
        <is>
          <t>Cost plan</t>
        </is>
      </c>
      <c r="C3925" s="4" t="inlineStr">
        <is>
          <t>L29</t>
        </is>
      </c>
      <c r="D3925" s="4" t="inlineStr">
        <is>
          <t>=IF(AND(ISNUMBER(H29),K29="Yes"),MIN(H29,MAX(0,Overview!$B$5-SUM(L$5:L28))),0)</t>
        </is>
      </c>
      <c r="E3925" s="4" t="n">
        <v>0</v>
      </c>
      <c r="F3925" s="4" t="inlineStr">
        <is>
          <t>GOC Bed Unit-Costing Model v2 — working original.xlsx</t>
        </is>
      </c>
    </row>
    <row r="3926" ht="40" customHeight="1">
      <c r="A3926" s="4" t="inlineStr">
        <is>
          <t>original:Cost plan!M29</t>
        </is>
      </c>
      <c r="B3926" s="4" t="inlineStr">
        <is>
          <t>Cost plan</t>
        </is>
      </c>
      <c r="C3926" s="4" t="inlineStr">
        <is>
          <t>M29</t>
        </is>
      </c>
      <c r="D3926" s="4" t="inlineStr">
        <is>
          <t>=IF(ISNUMBER(H29),MIN(MAX(0,H29-L29-N29),MAX(0,SUM(Funding!D7:D9)-SUM(M$5:M28))),0)</t>
        </is>
      </c>
      <c r="E3926" s="4" t="n">
        <v>0</v>
      </c>
      <c r="F3926" s="4" t="inlineStr">
        <is>
          <t>GOC Bed Unit-Costing Model v2 — working original.xlsx</t>
        </is>
      </c>
    </row>
    <row r="3927" ht="40" customHeight="1">
      <c r="A3927" s="4" t="inlineStr">
        <is>
          <t>original:Cost plan!N29</t>
        </is>
      </c>
      <c r="B3927" s="4" t="inlineStr">
        <is>
          <t>Cost plan</t>
        </is>
      </c>
      <c r="C3927" s="4" t="inlineStr">
        <is>
          <t>N29</t>
        </is>
      </c>
      <c r="D3927" s="4" t="inlineStr">
        <is>
          <t>=IF(ISNUMBER(H29),MIN(MAX(0,H29-L29),MAX(0,SUM(Production!M6:M41)-SUM(N$5:N28))),0)</t>
        </is>
      </c>
      <c r="E3927" s="4" t="n">
        <v>0</v>
      </c>
      <c r="F3927" s="4" t="inlineStr">
        <is>
          <t>GOC Bed Unit-Costing Model v2 — working original.xlsx</t>
        </is>
      </c>
    </row>
    <row r="3928" ht="40" customHeight="1">
      <c r="A3928" s="4" t="inlineStr">
        <is>
          <t>original:Cost plan!O29</t>
        </is>
      </c>
      <c r="B3928" s="4" t="inlineStr">
        <is>
          <t>Cost plan</t>
        </is>
      </c>
      <c r="C3928" s="4" t="inlineStr">
        <is>
          <t>O29</t>
        </is>
      </c>
      <c r="D3928" s="4" t="inlineStr">
        <is>
          <t>=IF(ISNUMBER(H29),H29-SUM(L29:N29),"")</t>
        </is>
      </c>
      <c r="E3928" s="4" t="n"/>
      <c r="F3928" s="4" t="inlineStr">
        <is>
          <t>GOC Bed Unit-Costing Model v2 — working original.xlsx</t>
        </is>
      </c>
    </row>
    <row r="3929" ht="40" customHeight="1">
      <c r="A3929" s="4" t="inlineStr">
        <is>
          <t>original:Cost plan!P29</t>
        </is>
      </c>
      <c r="B3929" s="4" t="inlineStr">
        <is>
          <t>Cost plan</t>
        </is>
      </c>
      <c r="C3929" s="4" t="inlineStr">
        <is>
          <t>P29</t>
        </is>
      </c>
      <c r="D3929" s="4" t="inlineStr">
        <is>
          <t>Only costs outside selected build scope</t>
        </is>
      </c>
      <c r="E3929" s="4" t="inlineStr">
        <is>
          <t>Only costs outside selected build scope</t>
        </is>
      </c>
      <c r="F3929" s="4" t="inlineStr">
        <is>
          <t>GOC Bed Unit-Costing Model v2 — working original.xlsx</t>
        </is>
      </c>
    </row>
    <row r="3930" ht="40" customHeight="1">
      <c r="A3930" s="4" t="inlineStr">
        <is>
          <t>original:Cost plan!A30</t>
        </is>
      </c>
      <c r="B3930" s="4" t="inlineStr">
        <is>
          <t>Cost plan</t>
        </is>
      </c>
      <c r="C3930" s="4" t="inlineStr">
        <is>
          <t>A30</t>
        </is>
      </c>
      <c r="D3930" s="4" t="inlineStr">
        <is>
          <t>RESERVE</t>
        </is>
      </c>
      <c r="E3930" s="4" t="inlineStr">
        <is>
          <t>RESERVE</t>
        </is>
      </c>
      <c r="F3930" s="4" t="inlineStr">
        <is>
          <t>GOC Bed Unit-Costing Model v2 — working original.xlsx</t>
        </is>
      </c>
    </row>
    <row r="3931" ht="40" customHeight="1">
      <c r="A3931" s="4" t="inlineStr">
        <is>
          <t>original:Cost plan!B30</t>
        </is>
      </c>
      <c r="B3931" s="4" t="inlineStr">
        <is>
          <t>Cost plan</t>
        </is>
      </c>
      <c r="C3931" s="4" t="inlineStr">
        <is>
          <t>B30</t>
        </is>
      </c>
      <c r="D3931" s="4" t="inlineStr">
        <is>
          <t>Repairs, warranty and contingency</t>
        </is>
      </c>
      <c r="E3931" s="4" t="inlineStr">
        <is>
          <t>Repairs, warranty and contingency</t>
        </is>
      </c>
      <c r="F3931" s="4" t="inlineStr">
        <is>
          <t>GOC Bed Unit-Costing Model v2 — working original.xlsx</t>
        </is>
      </c>
    </row>
    <row r="3932" ht="40" customHeight="1">
      <c r="A3932" s="4" t="inlineStr">
        <is>
          <t>original:Cost plan!C30</t>
        </is>
      </c>
      <c r="B3932" s="4" t="inlineStr">
        <is>
          <t>Cost plan</t>
        </is>
      </c>
      <c r="C3932" s="4" t="inlineStr">
        <is>
          <t>C30</t>
        </is>
      </c>
      <c r="D3932" s="4" t="inlineStr">
        <is>
          <t>Shared</t>
        </is>
      </c>
      <c r="E3932" s="4" t="inlineStr">
        <is>
          <t>Shared</t>
        </is>
      </c>
      <c r="F3932" s="4" t="inlineStr">
        <is>
          <t>GOC Bed Unit-Costing Model v2 — working original.xlsx</t>
        </is>
      </c>
    </row>
    <row r="3933" ht="40" customHeight="1">
      <c r="A3933" s="4" t="inlineStr">
        <is>
          <t>original:Cost plan!D30</t>
        </is>
      </c>
      <c r="B3933" s="4" t="inlineStr">
        <is>
          <t>Cost plan</t>
        </is>
      </c>
      <c r="C3933" s="4" t="inlineStr">
        <is>
          <t>D30</t>
        </is>
      </c>
      <c r="D3933" s="4" t="inlineStr">
        <is>
          <t>Goods network</t>
        </is>
      </c>
      <c r="E3933" s="4" t="inlineStr">
        <is>
          <t>Goods network</t>
        </is>
      </c>
      <c r="F3933" s="4" t="inlineStr">
        <is>
          <t>GOC Bed Unit-Costing Model v2 — working original.xlsx</t>
        </is>
      </c>
    </row>
    <row r="3934" ht="40" customHeight="1">
      <c r="A3934" s="4" t="inlineStr">
        <is>
          <t>original:Cost plan!E30</t>
        </is>
      </c>
      <c r="B3934" s="4" t="inlineStr">
        <is>
          <t>Cost plan</t>
        </is>
      </c>
      <c r="C3934" s="4" t="inlineStr">
        <is>
          <t>E30</t>
        </is>
      </c>
      <c r="D3934" s="4" t="inlineStr">
        <is>
          <t>phase</t>
        </is>
      </c>
      <c r="E3934" s="4" t="inlineStr">
        <is>
          <t>phase</t>
        </is>
      </c>
      <c r="F3934" s="4" t="inlineStr">
        <is>
          <t>GOC Bed Unit-Costing Model v2 — working original.xlsx</t>
        </is>
      </c>
    </row>
    <row r="3935" ht="40" customHeight="1">
      <c r="A3935" s="4" t="inlineStr">
        <is>
          <t>original:Cost plan!F30</t>
        </is>
      </c>
      <c r="B3935" s="4" t="inlineStr">
        <is>
          <t>Cost plan</t>
        </is>
      </c>
      <c r="C3935" s="4" t="inlineStr">
        <is>
          <t>F30</t>
        </is>
      </c>
      <c r="D3935" s="4" t="n">
        <v>1</v>
      </c>
      <c r="E3935" s="4" t="n">
        <v>1</v>
      </c>
      <c r="F3935" s="4" t="inlineStr">
        <is>
          <t>GOC Bed Unit-Costing Model v2 — working original.xlsx</t>
        </is>
      </c>
    </row>
    <row r="3936" ht="40" customHeight="1">
      <c r="A3936" s="4" t="inlineStr">
        <is>
          <t>original:Cost plan!H30</t>
        </is>
      </c>
      <c r="B3936" s="4" t="inlineStr">
        <is>
          <t>Cost plan</t>
        </is>
      </c>
      <c r="C3936" s="4" t="inlineStr">
        <is>
          <t>H30</t>
        </is>
      </c>
      <c r="D3936" s="4" t="inlineStr">
        <is>
          <t>=IF(COUNT(F30:G30)=2,F30*G30,"")</t>
        </is>
      </c>
      <c r="E3936" s="4" t="n"/>
      <c r="F3936" s="4" t="inlineStr">
        <is>
          <t>GOC Bed Unit-Costing Model v2 — working original.xlsx</t>
        </is>
      </c>
    </row>
    <row r="3937" ht="40" customHeight="1">
      <c r="A3937" s="4" t="inlineStr">
        <is>
          <t>original:Cost plan!I30</t>
        </is>
      </c>
      <c r="B3937" s="4" t="inlineStr">
        <is>
          <t>Cost plan</t>
        </is>
      </c>
      <c r="C3937" s="4" t="inlineStr">
        <is>
          <t>I30</t>
        </is>
      </c>
      <c r="D3937" s="4" t="n">
        <v>1</v>
      </c>
      <c r="E3937" s="4" t="n">
        <v>1</v>
      </c>
      <c r="F3937" s="4" t="inlineStr">
        <is>
          <t>GOC Bed Unit-Costing Model v2 — working original.xlsx</t>
        </is>
      </c>
    </row>
    <row r="3938" ht="40" customHeight="1">
      <c r="A3938" s="4" t="inlineStr">
        <is>
          <t>original:Cost plan!J30</t>
        </is>
      </c>
      <c r="B3938" s="4" t="inlineStr">
        <is>
          <t>Cost plan</t>
        </is>
      </c>
      <c r="C3938" s="4" t="inlineStr">
        <is>
          <t>J30</t>
        </is>
      </c>
      <c r="D3938" s="4" t="n">
        <v>12</v>
      </c>
      <c r="E3938" s="4" t="n">
        <v>12</v>
      </c>
      <c r="F3938" s="4" t="inlineStr">
        <is>
          <t>GOC Bed Unit-Costing Model v2 — working original.xlsx</t>
        </is>
      </c>
    </row>
    <row r="3939" ht="40" customHeight="1">
      <c r="A3939" s="4" t="inlineStr">
        <is>
          <t>original:Cost plan!K30</t>
        </is>
      </c>
      <c r="B3939" s="4" t="inlineStr">
        <is>
          <t>Cost plan</t>
        </is>
      </c>
      <c r="C3939" s="4" t="inlineStr">
        <is>
          <t>K30</t>
        </is>
      </c>
      <c r="D3939" s="4" t="inlineStr">
        <is>
          <t>No</t>
        </is>
      </c>
      <c r="E3939" s="4" t="inlineStr">
        <is>
          <t>No</t>
        </is>
      </c>
      <c r="F3939" s="4" t="inlineStr">
        <is>
          <t>GOC Bed Unit-Costing Model v2 — working original.xlsx</t>
        </is>
      </c>
    </row>
    <row r="3940" ht="40" customHeight="1">
      <c r="A3940" s="4" t="inlineStr">
        <is>
          <t>original:Cost plan!L30</t>
        </is>
      </c>
      <c r="B3940" s="4" t="inlineStr">
        <is>
          <t>Cost plan</t>
        </is>
      </c>
      <c r="C3940" s="4" t="inlineStr">
        <is>
          <t>L30</t>
        </is>
      </c>
      <c r="D3940" s="4" t="inlineStr">
        <is>
          <t>=IF(AND(ISNUMBER(H30),K30="Yes"),MIN(H30,MAX(0,Overview!$B$5-SUM(L$5:L29))),0)</t>
        </is>
      </c>
      <c r="E3940" s="4" t="n">
        <v>0</v>
      </c>
      <c r="F3940" s="4" t="inlineStr">
        <is>
          <t>GOC Bed Unit-Costing Model v2 — working original.xlsx</t>
        </is>
      </c>
    </row>
    <row r="3941" ht="40" customHeight="1">
      <c r="A3941" s="4" t="inlineStr">
        <is>
          <t>original:Cost plan!M30</t>
        </is>
      </c>
      <c r="B3941" s="4" t="inlineStr">
        <is>
          <t>Cost plan</t>
        </is>
      </c>
      <c r="C3941" s="4" t="inlineStr">
        <is>
          <t>M30</t>
        </is>
      </c>
      <c r="D3941" s="4" t="inlineStr">
        <is>
          <t>=IF(ISNUMBER(H30),MIN(MAX(0,H30-L30-N30),MAX(0,SUM(Funding!D7:D9)-SUM(M$5:M29))),0)</t>
        </is>
      </c>
      <c r="E3941" s="4" t="n">
        <v>0</v>
      </c>
      <c r="F3941" s="4" t="inlineStr">
        <is>
          <t>GOC Bed Unit-Costing Model v2 — working original.xlsx</t>
        </is>
      </c>
    </row>
    <row r="3942" ht="40" customHeight="1">
      <c r="A3942" s="4" t="inlineStr">
        <is>
          <t>original:Cost plan!N30</t>
        </is>
      </c>
      <c r="B3942" s="4" t="inlineStr">
        <is>
          <t>Cost plan</t>
        </is>
      </c>
      <c r="C3942" s="4" t="inlineStr">
        <is>
          <t>N30</t>
        </is>
      </c>
      <c r="D3942" s="4" t="inlineStr">
        <is>
          <t>=IF(ISNUMBER(H30),MIN(MAX(0,H30-L30),MAX(0,SUM(Production!M6:M41)-SUM(N$5:N29))),0)</t>
        </is>
      </c>
      <c r="E3942" s="4" t="n">
        <v>0</v>
      </c>
      <c r="F3942" s="4" t="inlineStr">
        <is>
          <t>GOC Bed Unit-Costing Model v2 — working original.xlsx</t>
        </is>
      </c>
    </row>
    <row r="3943" ht="40" customHeight="1">
      <c r="A3943" s="4" t="inlineStr">
        <is>
          <t>original:Cost plan!O30</t>
        </is>
      </c>
      <c r="B3943" s="4" t="inlineStr">
        <is>
          <t>Cost plan</t>
        </is>
      </c>
      <c r="C3943" s="4" t="inlineStr">
        <is>
          <t>O30</t>
        </is>
      </c>
      <c r="D3943" s="4" t="inlineStr">
        <is>
          <t>=IF(ISNUMBER(H30),H30-SUM(L30:N30),"")</t>
        </is>
      </c>
      <c r="E3943" s="4" t="n"/>
      <c r="F3943" s="4" t="inlineStr">
        <is>
          <t>GOC Bed Unit-Costing Model v2 — working original.xlsx</t>
        </is>
      </c>
    </row>
    <row r="3944" ht="45" customHeight="1">
      <c r="A3944" s="4" t="inlineStr">
        <is>
          <t>original:Cost plan!P30</t>
        </is>
      </c>
      <c r="B3944" s="4" t="inlineStr">
        <is>
          <t>Cost plan</t>
        </is>
      </c>
      <c r="C3944" s="4" t="inlineStr">
        <is>
          <t>P30</t>
        </is>
      </c>
      <c r="D3944" s="4" t="inlineStr">
        <is>
          <t>Price the reserve; do not label absence as zero</t>
        </is>
      </c>
      <c r="E3944" s="4" t="inlineStr">
        <is>
          <t>Price the reserve; do not label absence as zero</t>
        </is>
      </c>
      <c r="F3944" s="4" t="inlineStr">
        <is>
          <t>GOC Bed Unit-Costing Model v2 — working original.xlsx</t>
        </is>
      </c>
    </row>
    <row r="3945" ht="120" customHeight="1">
      <c r="A3945" s="4" t="inlineStr">
        <is>
          <t>original:Cost plan!A33</t>
        </is>
      </c>
      <c r="B3945" s="4" t="inlineStr">
        <is>
          <t>Cost plan</t>
        </is>
      </c>
      <c r="C3945" s="4" t="inlineStr">
        <is>
          <t>A33</t>
        </is>
      </c>
      <c r="D3945" s="4" t="inlineStr">
        <is>
          <t>QBE allocation follows table priority among candidate costs. Candidate means proposed use, not confirmed eligibility. Change the candidates after checking the grant terms.</t>
        </is>
      </c>
      <c r="E3945" s="4" t="inlineStr">
        <is>
          <t>QBE allocation follows table priority among candidate costs. Candidate means proposed use, not confirmed eligibility. Change the candidates after checking the grant terms.</t>
        </is>
      </c>
      <c r="F3945" s="4" t="inlineStr">
        <is>
          <t>GOC Bed Unit-Costing Model v2 — working original.xlsx</t>
        </is>
      </c>
    </row>
    <row r="3946" ht="90" customHeight="1">
      <c r="A3946" s="4" t="inlineStr">
        <is>
          <t>original:Cost plan!A35</t>
        </is>
      </c>
      <c r="B3946" s="4" t="inlineStr">
        <is>
          <t>Cost plan</t>
        </is>
      </c>
      <c r="C3946" s="4" t="inlineStr">
        <is>
          <t>A35</t>
        </is>
      </c>
      <c r="D3946" s="4" t="inlineStr">
        <is>
          <t>Other invitations are a combined scenario allocation, not signed commitments. Confirm the cost-by-cost TFFF/BMD split before submission.</t>
        </is>
      </c>
      <c r="E3946" s="4" t="inlineStr">
        <is>
          <t>Other invitations are a combined scenario allocation, not signed commitments. Confirm the cost-by-cost TFFF/BMD split before submission.</t>
        </is>
      </c>
      <c r="F3946" s="4" t="inlineStr">
        <is>
          <t>GOC Bed Unit-Costing Model v2 — working original.xlsx</t>
        </is>
      </c>
    </row>
    <row r="3947" ht="105" customHeight="1">
      <c r="A3947" s="4" t="inlineStr">
        <is>
          <t>original:Cost plan!A37</t>
        </is>
      </c>
      <c r="B3947" s="4" t="inlineStr">
        <is>
          <t>Cost plan</t>
        </is>
      </c>
      <c r="C3947" s="4" t="inlineStr">
        <is>
          <t>A37</t>
        </is>
      </c>
      <c r="D3947" s="4" t="inlineStr">
        <is>
          <t>Working capital is the timing gap in Cash flow. Do not add it again as an expense. GST cash and entity-wide opening balances still require finance review.</t>
        </is>
      </c>
      <c r="E3947" s="4" t="inlineStr">
        <is>
          <t>Working capital is the timing gap in Cash flow. Do not add it again as an expense. GST cash and entity-wide opening balances still require finance review.</t>
        </is>
      </c>
      <c r="F3947" s="4" t="inlineStr">
        <is>
          <t>GOC Bed Unit-Costing Model v2 — working original.xlsx</t>
        </is>
      </c>
    </row>
    <row r="3948" ht="40" customHeight="1">
      <c r="A3948" s="4" t="inlineStr">
        <is>
          <t>original:Production!A1</t>
        </is>
      </c>
      <c r="B3948" s="4" t="inlineStr">
        <is>
          <t>Production</t>
        </is>
      </c>
      <c r="C3948" s="4" t="inlineStr">
        <is>
          <t>A1</t>
        </is>
      </c>
      <c r="D3948" s="4" t="inlineStr">
        <is>
          <t>Monthly production and deliveries</t>
        </is>
      </c>
      <c r="E3948" s="4" t="inlineStr">
        <is>
          <t>Monthly production and deliveries</t>
        </is>
      </c>
      <c r="F3948" s="4" t="inlineStr">
        <is>
          <t>GOC Bed Unit-Costing Model v2 — working original.xlsx</t>
        </is>
      </c>
    </row>
    <row r="3949" ht="75" customHeight="1">
      <c r="A3949" s="4" t="inlineStr">
        <is>
          <t>original:Production!A3</t>
        </is>
      </c>
      <c r="B3949" s="4" t="inlineStr">
        <is>
          <t>Production</t>
        </is>
      </c>
      <c r="C3949" s="4" t="inlineStr">
        <is>
          <t>A3</t>
        </is>
      </c>
      <c r="D3949" s="4" t="inlineStr">
        <is>
          <t>Illustrative 400-bed plan: 200 Witta, 100 per new facility. No buyer orders or community allocations are implied.</t>
        </is>
      </c>
      <c r="E3949" s="4" t="inlineStr">
        <is>
          <t>Illustrative 400-bed plan: 200 Witta, 100 per new facility. No buyer orders or community allocations are implied.</t>
        </is>
      </c>
      <c r="F3949" s="4" t="inlineStr">
        <is>
          <t>GOC Bed Unit-Costing Model v2 — working original.xlsx</t>
        </is>
      </c>
    </row>
    <row r="3950" ht="40" customHeight="1">
      <c r="A3950" s="4" t="inlineStr">
        <is>
          <t>original:Production!A5</t>
        </is>
      </c>
      <c r="B3950" s="4" t="inlineStr">
        <is>
          <t>Production</t>
        </is>
      </c>
      <c r="C3950" s="4" t="inlineStr">
        <is>
          <t>A5</t>
        </is>
      </c>
      <c r="D3950" s="4" t="inlineStr">
        <is>
          <t>Month</t>
        </is>
      </c>
      <c r="E3950" s="4" t="inlineStr">
        <is>
          <t>Month</t>
        </is>
      </c>
      <c r="F3950" s="4" t="inlineStr">
        <is>
          <t>GOC Bed Unit-Costing Model v2 — working original.xlsx</t>
        </is>
      </c>
    </row>
    <row r="3951" ht="40" customHeight="1">
      <c r="A3951" s="4" t="inlineStr">
        <is>
          <t>original:Production!B5</t>
        </is>
      </c>
      <c r="B3951" s="4" t="inlineStr">
        <is>
          <t>Production</t>
        </is>
      </c>
      <c r="C3951" s="4" t="inlineStr">
        <is>
          <t>B5</t>
        </is>
      </c>
      <c r="D3951" s="4" t="inlineStr">
        <is>
          <t>Site ID</t>
        </is>
      </c>
      <c r="E3951" s="4" t="inlineStr">
        <is>
          <t>Site ID</t>
        </is>
      </c>
      <c r="F3951" s="4" t="inlineStr">
        <is>
          <t>GOC Bed Unit-Costing Model v2 — working original.xlsx</t>
        </is>
      </c>
    </row>
    <row r="3952" ht="40" customHeight="1">
      <c r="A3952" s="4" t="inlineStr">
        <is>
          <t>original:Production!C5</t>
        </is>
      </c>
      <c r="B3952" s="4" t="inlineStr">
        <is>
          <t>Production</t>
        </is>
      </c>
      <c r="C3952" s="4" t="inlineStr">
        <is>
          <t>C5</t>
        </is>
      </c>
      <c r="D3952" s="4" t="inlineStr">
        <is>
          <t>Days available</t>
        </is>
      </c>
      <c r="E3952" s="4" t="inlineStr">
        <is>
          <t>Days available</t>
        </is>
      </c>
      <c r="F3952" s="4" t="inlineStr">
        <is>
          <t>GOC Bed Unit-Costing Model v2 — working original.xlsx</t>
        </is>
      </c>
    </row>
    <row r="3953" ht="40" customHeight="1">
      <c r="A3953" s="4" t="inlineStr">
        <is>
          <t>original:Production!D5</t>
        </is>
      </c>
      <c r="B3953" s="4" t="inlineStr">
        <is>
          <t>Production</t>
        </is>
      </c>
      <c r="C3953" s="4" t="inlineStr">
        <is>
          <t>D5</t>
        </is>
      </c>
      <c r="D3953" s="4" t="inlineStr">
        <is>
          <t>Utilisation</t>
        </is>
      </c>
      <c r="E3953" s="4" t="inlineStr">
        <is>
          <t>Utilisation</t>
        </is>
      </c>
      <c r="F3953" s="4" t="inlineStr">
        <is>
          <t>GOC Bed Unit-Costing Model v2 — working original.xlsx</t>
        </is>
      </c>
    </row>
    <row r="3954" ht="40" customHeight="1">
      <c r="A3954" s="4" t="inlineStr">
        <is>
          <t>original:Production!E5</t>
        </is>
      </c>
      <c r="B3954" s="4" t="inlineStr">
        <is>
          <t>Production</t>
        </is>
      </c>
      <c r="C3954" s="4" t="inlineStr">
        <is>
          <t>E5</t>
        </is>
      </c>
      <c r="D3954" s="4" t="inlineStr">
        <is>
          <t>Modelled capacity</t>
        </is>
      </c>
      <c r="E3954" s="4" t="inlineStr">
        <is>
          <t>Modelled capacity</t>
        </is>
      </c>
      <c r="F3954" s="4" t="inlineStr">
        <is>
          <t>GOC Bed Unit-Costing Model v2 — working original.xlsx</t>
        </is>
      </c>
    </row>
    <row r="3955" ht="40" customHeight="1">
      <c r="A3955" s="4" t="inlineStr">
        <is>
          <t>original:Production!F5</t>
        </is>
      </c>
      <c r="B3955" s="4" t="inlineStr">
        <is>
          <t>Production</t>
        </is>
      </c>
      <c r="C3955" s="4" t="inlineStr">
        <is>
          <t>F5</t>
        </is>
      </c>
      <c r="D3955" s="4" t="inlineStr">
        <is>
          <t>Units made</t>
        </is>
      </c>
      <c r="E3955" s="4" t="inlineStr">
        <is>
          <t>Units made</t>
        </is>
      </c>
      <c r="F3955" s="4" t="inlineStr">
        <is>
          <t>GOC Bed Unit-Costing Model v2 — working original.xlsx</t>
        </is>
      </c>
    </row>
    <row r="3956" ht="40" customHeight="1">
      <c r="A3956" s="4" t="inlineStr">
        <is>
          <t>original:Production!G5</t>
        </is>
      </c>
      <c r="B3956" s="4" t="inlineStr">
        <is>
          <t>Production</t>
        </is>
      </c>
      <c r="C3956" s="4" t="inlineStr">
        <is>
          <t>G5</t>
        </is>
      </c>
      <c r="D3956" s="4" t="inlineStr">
        <is>
          <t>Grant deliveries</t>
        </is>
      </c>
      <c r="E3956" s="4" t="inlineStr">
        <is>
          <t>Grant deliveries</t>
        </is>
      </c>
      <c r="F3956" s="4" t="inlineStr">
        <is>
          <t>GOC Bed Unit-Costing Model v2 — working original.xlsx</t>
        </is>
      </c>
    </row>
    <row r="3957" ht="40" customHeight="1">
      <c r="A3957" s="4" t="inlineStr">
        <is>
          <t>original:Production!H5</t>
        </is>
      </c>
      <c r="B3957" s="4" t="inlineStr">
        <is>
          <t>Production</t>
        </is>
      </c>
      <c r="C3957" s="4" t="inlineStr">
        <is>
          <t>H5</t>
        </is>
      </c>
      <c r="D3957" s="4" t="inlineStr">
        <is>
          <t>Buyer deliveries</t>
        </is>
      </c>
      <c r="E3957" s="4" t="inlineStr">
        <is>
          <t>Buyer deliveries</t>
        </is>
      </c>
      <c r="F3957" s="4" t="inlineStr">
        <is>
          <t>GOC Bed Unit-Costing Model v2 — working original.xlsx</t>
        </is>
      </c>
    </row>
    <row r="3958" ht="40" customHeight="1">
      <c r="A3958" s="4" t="inlineStr">
        <is>
          <t>original:Production!I5</t>
        </is>
      </c>
      <c r="B3958" s="4" t="inlineStr">
        <is>
          <t>Production</t>
        </is>
      </c>
      <c r="C3958" s="4" t="inlineStr">
        <is>
          <t>I5</t>
        </is>
      </c>
      <c r="D3958" s="4" t="inlineStr">
        <is>
          <t>Opening stock</t>
        </is>
      </c>
      <c r="E3958" s="4" t="inlineStr">
        <is>
          <t>Opening stock</t>
        </is>
      </c>
      <c r="F3958" s="4" t="inlineStr">
        <is>
          <t>GOC Bed Unit-Costing Model v2 — working original.xlsx</t>
        </is>
      </c>
    </row>
    <row r="3959" ht="40" customHeight="1">
      <c r="A3959" s="4" t="inlineStr">
        <is>
          <t>original:Production!J5</t>
        </is>
      </c>
      <c r="B3959" s="4" t="inlineStr">
        <is>
          <t>Production</t>
        </is>
      </c>
      <c r="C3959" s="4" t="inlineStr">
        <is>
          <t>J5</t>
        </is>
      </c>
      <c r="D3959" s="4" t="inlineStr">
        <is>
          <t>Closing stock</t>
        </is>
      </c>
      <c r="E3959" s="4" t="inlineStr">
        <is>
          <t>Closing stock</t>
        </is>
      </c>
      <c r="F3959" s="4" t="inlineStr">
        <is>
          <t>GOC Bed Unit-Costing Model v2 — working original.xlsx</t>
        </is>
      </c>
    </row>
    <row r="3960" ht="40" customHeight="1">
      <c r="A3960" s="4" t="inlineStr">
        <is>
          <t>original:Production!K5</t>
        </is>
      </c>
      <c r="B3960" s="4" t="inlineStr">
        <is>
          <t>Production</t>
        </is>
      </c>
      <c r="C3960" s="4" t="inlineStr">
        <is>
          <t>K5</t>
        </is>
      </c>
      <c r="D3960" s="4" t="inlineStr">
        <is>
          <t>Manufacturing cost</t>
        </is>
      </c>
      <c r="E3960" s="4" t="inlineStr">
        <is>
          <t>Manufacturing cost</t>
        </is>
      </c>
      <c r="F3960" s="4" t="inlineStr">
        <is>
          <t>GOC Bed Unit-Costing Model v2 — working original.xlsx</t>
        </is>
      </c>
    </row>
    <row r="3961" ht="40" customHeight="1">
      <c r="A3961" s="4" t="inlineStr">
        <is>
          <t>original:Production!L5</t>
        </is>
      </c>
      <c r="B3961" s="4" t="inlineStr">
        <is>
          <t>Production</t>
        </is>
      </c>
      <c r="C3961" s="4" t="inlineStr">
        <is>
          <t>L5</t>
        </is>
      </c>
      <c r="D3961" s="4" t="inlineStr">
        <is>
          <t>Freight cost</t>
        </is>
      </c>
      <c r="E3961" s="4" t="inlineStr">
        <is>
          <t>Freight cost</t>
        </is>
      </c>
      <c r="F3961" s="4" t="inlineStr">
        <is>
          <t>GOC Bed Unit-Costing Model v2 — working original.xlsx</t>
        </is>
      </c>
    </row>
    <row r="3962" ht="40" customHeight="1">
      <c r="A3962" s="4" t="inlineStr">
        <is>
          <t>original:Production!M5</t>
        </is>
      </c>
      <c r="B3962" s="4" t="inlineStr">
        <is>
          <t>Production</t>
        </is>
      </c>
      <c r="C3962" s="4" t="inlineStr">
        <is>
          <t>M5</t>
        </is>
      </c>
      <c r="D3962" s="4" t="inlineStr">
        <is>
          <t>Buyer invoiced</t>
        </is>
      </c>
      <c r="E3962" s="4" t="inlineStr">
        <is>
          <t>Buyer invoiced</t>
        </is>
      </c>
      <c r="F3962" s="4" t="inlineStr">
        <is>
          <t>GOC Bed Unit-Costing Model v2 — working original.xlsx</t>
        </is>
      </c>
    </row>
    <row r="3963" ht="40" customHeight="1">
      <c r="A3963" s="4" t="inlineStr">
        <is>
          <t>original:Production!N5</t>
        </is>
      </c>
      <c r="B3963" s="4" t="inlineStr">
        <is>
          <t>Production</t>
        </is>
      </c>
      <c r="C3963" s="4" t="inlineStr">
        <is>
          <t>N5</t>
        </is>
      </c>
      <c r="D3963" s="4" t="inlineStr">
        <is>
          <t>Capacity / stock check</t>
        </is>
      </c>
      <c r="E3963" s="4" t="inlineStr">
        <is>
          <t>Capacity / stock check</t>
        </is>
      </c>
      <c r="F3963" s="4" t="inlineStr">
        <is>
          <t>GOC Bed Unit-Costing Model v2 — working original.xlsx</t>
        </is>
      </c>
    </row>
    <row r="3964" ht="40" customHeight="1">
      <c r="A3964" s="4" t="inlineStr">
        <is>
          <t>original:Production!A6</t>
        </is>
      </c>
      <c r="B3964" s="4" t="inlineStr">
        <is>
          <t>Production</t>
        </is>
      </c>
      <c r="C3964" s="4" t="inlineStr">
        <is>
          <t>A6</t>
        </is>
      </c>
      <c r="D3964" s="4" t="n">
        <v>1</v>
      </c>
      <c r="E3964" s="4" t="n">
        <v>1</v>
      </c>
      <c r="F3964" s="4" t="inlineStr">
        <is>
          <t>GOC Bed Unit-Costing Model v2 — working original.xlsx</t>
        </is>
      </c>
    </row>
    <row r="3965" ht="40" customHeight="1">
      <c r="A3965" s="4" t="inlineStr">
        <is>
          <t>original:Production!B6</t>
        </is>
      </c>
      <c r="B3965" s="4" t="inlineStr">
        <is>
          <t>Production</t>
        </is>
      </c>
      <c r="C3965" s="4" t="inlineStr">
        <is>
          <t>B6</t>
        </is>
      </c>
      <c r="D3965" s="4" t="inlineStr">
        <is>
          <t>WITTA</t>
        </is>
      </c>
      <c r="E3965" s="4" t="inlineStr">
        <is>
          <t>WITTA</t>
        </is>
      </c>
      <c r="F3965" s="4" t="inlineStr">
        <is>
          <t>GOC Bed Unit-Costing Model v2 — working original.xlsx</t>
        </is>
      </c>
    </row>
    <row r="3966" ht="40" customHeight="1">
      <c r="A3966" s="4" t="inlineStr">
        <is>
          <t>original:Production!C6</t>
        </is>
      </c>
      <c r="B3966" s="4" t="inlineStr">
        <is>
          <t>Production</t>
        </is>
      </c>
      <c r="C3966" s="4" t="inlineStr">
        <is>
          <t>C6</t>
        </is>
      </c>
      <c r="D3966" s="4" t="inlineStr">
        <is>
          <t>=Sites!G6</t>
        </is>
      </c>
      <c r="E3966" s="4" t="n">
        <v>10</v>
      </c>
      <c r="F3966" s="4" t="inlineStr">
        <is>
          <t>GOC Bed Unit-Costing Model v2 — working original.xlsx</t>
        </is>
      </c>
    </row>
    <row r="3967" ht="40" customHeight="1">
      <c r="A3967" s="4" t="inlineStr">
        <is>
          <t>original:Production!D6</t>
        </is>
      </c>
      <c r="B3967" s="4" t="inlineStr">
        <is>
          <t>Production</t>
        </is>
      </c>
      <c r="C3967" s="4" t="inlineStr">
        <is>
          <t>D6</t>
        </is>
      </c>
      <c r="D3967" s="4" t="n">
        <v>0.5</v>
      </c>
      <c r="E3967" s="4" t="n">
        <v>0.5</v>
      </c>
      <c r="F3967" s="4" t="inlineStr">
        <is>
          <t>GOC Bed Unit-Costing Model v2 — working original.xlsx</t>
        </is>
      </c>
    </row>
    <row r="3968" ht="40" customHeight="1">
      <c r="A3968" s="4" t="inlineStr">
        <is>
          <t>original:Production!E6</t>
        </is>
      </c>
      <c r="B3968" s="4" t="inlineStr">
        <is>
          <t>Production</t>
        </is>
      </c>
      <c r="C3968" s="4" t="inlineStr">
        <is>
          <t>E6</t>
        </is>
      </c>
      <c r="D3968" s="4" t="inlineStr">
        <is>
          <t>=IF(A6&lt;Sites!F6,0,ROUNDDOWN(C6*D6*Sites!H6,0))</t>
        </is>
      </c>
      <c r="E3968" s="4" t="n">
        <v>20</v>
      </c>
      <c r="F3968" s="4" t="inlineStr">
        <is>
          <t>GOC Bed Unit-Costing Model v2 — working original.xlsx</t>
        </is>
      </c>
    </row>
    <row r="3969" ht="40" customHeight="1">
      <c r="A3969" s="4" t="inlineStr">
        <is>
          <t>original:Production!F6</t>
        </is>
      </c>
      <c r="B3969" s="4" t="inlineStr">
        <is>
          <t>Production</t>
        </is>
      </c>
      <c r="C3969" s="4" t="inlineStr">
        <is>
          <t>F6</t>
        </is>
      </c>
      <c r="D3969" s="4" t="n">
        <v>10</v>
      </c>
      <c r="E3969" s="4" t="n">
        <v>10</v>
      </c>
      <c r="F3969" s="4" t="inlineStr">
        <is>
          <t>GOC Bed Unit-Costing Model v2 — working original.xlsx</t>
        </is>
      </c>
    </row>
    <row r="3970" ht="40" customHeight="1">
      <c r="A3970" s="4" t="inlineStr">
        <is>
          <t>original:Production!G6</t>
        </is>
      </c>
      <c r="B3970" s="4" t="inlineStr">
        <is>
          <t>Production</t>
        </is>
      </c>
      <c r="C3970" s="4" t="inlineStr">
        <is>
          <t>G6</t>
        </is>
      </c>
      <c r="D3970" s="4" t="n">
        <v>10</v>
      </c>
      <c r="E3970" s="4" t="n">
        <v>10</v>
      </c>
      <c r="F3970" s="4" t="inlineStr">
        <is>
          <t>GOC Bed Unit-Costing Model v2 — working original.xlsx</t>
        </is>
      </c>
    </row>
    <row r="3971" ht="40" customHeight="1">
      <c r="A3971" s="4" t="inlineStr">
        <is>
          <t>original:Production!H6</t>
        </is>
      </c>
      <c r="B3971" s="4" t="inlineStr">
        <is>
          <t>Production</t>
        </is>
      </c>
      <c r="C3971" s="4" t="inlineStr">
        <is>
          <t>H6</t>
        </is>
      </c>
      <c r="D3971" s="4" t="n">
        <v>0</v>
      </c>
      <c r="E3971" s="4" t="n">
        <v>0</v>
      </c>
      <c r="F3971" s="4" t="inlineStr">
        <is>
          <t>GOC Bed Unit-Costing Model v2 — working original.xlsx</t>
        </is>
      </c>
    </row>
    <row r="3972" ht="40" customHeight="1">
      <c r="A3972" s="4" t="inlineStr">
        <is>
          <t>original:Production!I6</t>
        </is>
      </c>
      <c r="B3972" s="4" t="inlineStr">
        <is>
          <t>Production</t>
        </is>
      </c>
      <c r="C3972" s="4" t="inlineStr">
        <is>
          <t>I6</t>
        </is>
      </c>
      <c r="D3972" s="4" t="inlineStr">
        <is>
          <t>=0</t>
        </is>
      </c>
      <c r="E3972" s="4" t="n">
        <v>0</v>
      </c>
      <c r="F3972" s="4" t="inlineStr">
        <is>
          <t>GOC Bed Unit-Costing Model v2 — working original.xlsx</t>
        </is>
      </c>
    </row>
    <row r="3973" ht="40" customHeight="1">
      <c r="A3973" s="4" t="inlineStr">
        <is>
          <t>original:Production!J6</t>
        </is>
      </c>
      <c r="B3973" s="4" t="inlineStr">
        <is>
          <t>Production</t>
        </is>
      </c>
      <c r="C3973" s="4" t="inlineStr">
        <is>
          <t>J6</t>
        </is>
      </c>
      <c r="D3973" s="4" t="inlineStr">
        <is>
          <t>=I6+F6-G6-H6</t>
        </is>
      </c>
      <c r="E3973" s="4" t="n">
        <v>0</v>
      </c>
      <c r="F3973" s="4" t="inlineStr">
        <is>
          <t>GOC Bed Unit-Costing Model v2 — working original.xlsx</t>
        </is>
      </c>
    </row>
    <row r="3974" ht="40" customHeight="1">
      <c r="A3974" s="4" t="inlineStr">
        <is>
          <t>original:Production!K6</t>
        </is>
      </c>
      <c r="B3974" s="4" t="inlineStr">
        <is>
          <t>Production</t>
        </is>
      </c>
      <c r="C3974" s="4" t="inlineStr">
        <is>
          <t>K6</t>
        </is>
      </c>
      <c r="D3974" s="4" t="inlineStr">
        <is>
          <t>=IF(ISNUMBER('Unit costs'!C13),F6*'Unit costs'!C13,"")</t>
        </is>
      </c>
      <c r="E3974" s="4" t="n">
        <v>2957.4</v>
      </c>
      <c r="F3974" s="4" t="inlineStr">
        <is>
          <t>GOC Bed Unit-Costing Model v2 — working original.xlsx</t>
        </is>
      </c>
    </row>
    <row r="3975" ht="40" customHeight="1">
      <c r="A3975" s="4" t="inlineStr">
        <is>
          <t>original:Production!L6</t>
        </is>
      </c>
      <c r="B3975" s="4" t="inlineStr">
        <is>
          <t>Production</t>
        </is>
      </c>
      <c r="C3975" s="4" t="inlineStr">
        <is>
          <t>L6</t>
        </is>
      </c>
      <c r="D3975" s="4" t="inlineStr">
        <is>
          <t>=IF(ISNUMBER('Unit costs'!C12),(G6+H6)*'Unit costs'!C12,"")</t>
        </is>
      </c>
      <c r="E3975" s="4" t="n">
        <v>1500</v>
      </c>
      <c r="F3975" s="4" t="inlineStr">
        <is>
          <t>GOC Bed Unit-Costing Model v2 — working original.xlsx</t>
        </is>
      </c>
    </row>
    <row r="3976" ht="40" customHeight="1">
      <c r="A3976" s="4" t="inlineStr">
        <is>
          <t>original:Production!M6</t>
        </is>
      </c>
      <c r="B3976" s="4" t="inlineStr">
        <is>
          <t>Production</t>
        </is>
      </c>
      <c r="C3976" s="4" t="inlineStr">
        <is>
          <t>M6</t>
        </is>
      </c>
      <c r="D3976" s="4" t="inlineStr">
        <is>
          <t>=H6*Overview!$B$8</t>
        </is>
      </c>
      <c r="E3976" s="4" t="n">
        <v>0</v>
      </c>
      <c r="F3976" s="4" t="inlineStr">
        <is>
          <t>GOC Bed Unit-Costing Model v2 — working original.xlsx</t>
        </is>
      </c>
    </row>
    <row r="3977" ht="45" customHeight="1">
      <c r="A3977" s="4" t="inlineStr">
        <is>
          <t>original:Production!N6</t>
        </is>
      </c>
      <c r="B3977" s="4" t="inlineStr">
        <is>
          <t>Production</t>
        </is>
      </c>
      <c r="C3977" s="4" t="inlineStr">
        <is>
          <t>N6</t>
        </is>
      </c>
      <c r="D3977" s="4" t="inlineStr">
        <is>
          <t>=IF(OR(F6&lt;0,G6&lt;0,H6&lt;0,D6&lt;0,D6&gt;1),"Invalid input",IF(F6&gt;E6,"Above capacity",IF(J6&lt;0,"Not enough stock","Within modelled capacity")))</t>
        </is>
      </c>
      <c r="E3977" s="4" t="inlineStr">
        <is>
          <t>Within modelled capacity</t>
        </is>
      </c>
      <c r="F3977" s="4" t="inlineStr">
        <is>
          <t>GOC Bed Unit-Costing Model v2 — working original.xlsx</t>
        </is>
      </c>
    </row>
    <row r="3978" ht="40" customHeight="1">
      <c r="A3978" s="4" t="inlineStr">
        <is>
          <t>original:Production!A7</t>
        </is>
      </c>
      <c r="B3978" s="4" t="inlineStr">
        <is>
          <t>Production</t>
        </is>
      </c>
      <c r="C3978" s="4" t="inlineStr">
        <is>
          <t>A7</t>
        </is>
      </c>
      <c r="D3978" s="4" t="n">
        <v>1</v>
      </c>
      <c r="E3978" s="4" t="n">
        <v>1</v>
      </c>
      <c r="F3978" s="4" t="inlineStr">
        <is>
          <t>GOC Bed Unit-Costing Model v2 — working original.xlsx</t>
        </is>
      </c>
    </row>
    <row r="3979" ht="40" customHeight="1">
      <c r="A3979" s="4" t="inlineStr">
        <is>
          <t>original:Production!B7</t>
        </is>
      </c>
      <c r="B3979" s="4" t="inlineStr">
        <is>
          <t>Production</t>
        </is>
      </c>
      <c r="C3979" s="4" t="inlineStr">
        <is>
          <t>B7</t>
        </is>
      </c>
      <c r="D3979" s="4" t="inlineStr">
        <is>
          <t>NEW1</t>
        </is>
      </c>
      <c r="E3979" s="4" t="inlineStr">
        <is>
          <t>NEW1</t>
        </is>
      </c>
      <c r="F3979" s="4" t="inlineStr">
        <is>
          <t>GOC Bed Unit-Costing Model v2 — working original.xlsx</t>
        </is>
      </c>
    </row>
    <row r="3980" ht="40" customHeight="1">
      <c r="A3980" s="4" t="inlineStr">
        <is>
          <t>original:Production!C7</t>
        </is>
      </c>
      <c r="B3980" s="4" t="inlineStr">
        <is>
          <t>Production</t>
        </is>
      </c>
      <c r="C3980" s="4" t="inlineStr">
        <is>
          <t>C7</t>
        </is>
      </c>
      <c r="D3980" s="4" t="inlineStr">
        <is>
          <t>=Sites!G7</t>
        </is>
      </c>
      <c r="E3980" s="4" t="n">
        <v>10</v>
      </c>
      <c r="F3980" s="4" t="inlineStr">
        <is>
          <t>GOC Bed Unit-Costing Model v2 — working original.xlsx</t>
        </is>
      </c>
    </row>
    <row r="3981" ht="40" customHeight="1">
      <c r="A3981" s="4" t="inlineStr">
        <is>
          <t>original:Production!D7</t>
        </is>
      </c>
      <c r="B3981" s="4" t="inlineStr">
        <is>
          <t>Production</t>
        </is>
      </c>
      <c r="C3981" s="4" t="inlineStr">
        <is>
          <t>D7</t>
        </is>
      </c>
      <c r="D3981" s="4" t="n">
        <v>0</v>
      </c>
      <c r="E3981" s="4" t="n">
        <v>0</v>
      </c>
      <c r="F3981" s="4" t="inlineStr">
        <is>
          <t>GOC Bed Unit-Costing Model v2 — working original.xlsx</t>
        </is>
      </c>
    </row>
    <row r="3982" ht="40" customHeight="1">
      <c r="A3982" s="4" t="inlineStr">
        <is>
          <t>original:Production!E7</t>
        </is>
      </c>
      <c r="B3982" s="4" t="inlineStr">
        <is>
          <t>Production</t>
        </is>
      </c>
      <c r="C3982" s="4" t="inlineStr">
        <is>
          <t>E7</t>
        </is>
      </c>
      <c r="D3982" s="4" t="inlineStr">
        <is>
          <t>=IF(A7&lt;Sites!F7,0,ROUNDDOWN(C7*D7*Sites!H7,0))</t>
        </is>
      </c>
      <c r="E3982" s="4" t="n">
        <v>0</v>
      </c>
      <c r="F3982" s="4" t="inlineStr">
        <is>
          <t>GOC Bed Unit-Costing Model v2 — working original.xlsx</t>
        </is>
      </c>
    </row>
    <row r="3983" ht="40" customHeight="1">
      <c r="A3983" s="4" t="inlineStr">
        <is>
          <t>original:Production!F7</t>
        </is>
      </c>
      <c r="B3983" s="4" t="inlineStr">
        <is>
          <t>Production</t>
        </is>
      </c>
      <c r="C3983" s="4" t="inlineStr">
        <is>
          <t>F7</t>
        </is>
      </c>
      <c r="D3983" s="4" t="n">
        <v>0</v>
      </c>
      <c r="E3983" s="4" t="n">
        <v>0</v>
      </c>
      <c r="F3983" s="4" t="inlineStr">
        <is>
          <t>GOC Bed Unit-Costing Model v2 — working original.xlsx</t>
        </is>
      </c>
    </row>
    <row r="3984" ht="40" customHeight="1">
      <c r="A3984" s="4" t="inlineStr">
        <is>
          <t>original:Production!G7</t>
        </is>
      </c>
      <c r="B3984" s="4" t="inlineStr">
        <is>
          <t>Production</t>
        </is>
      </c>
      <c r="C3984" s="4" t="inlineStr">
        <is>
          <t>G7</t>
        </is>
      </c>
      <c r="D3984" s="4" t="n">
        <v>0</v>
      </c>
      <c r="E3984" s="4" t="n">
        <v>0</v>
      </c>
      <c r="F3984" s="4" t="inlineStr">
        <is>
          <t>GOC Bed Unit-Costing Model v2 — working original.xlsx</t>
        </is>
      </c>
    </row>
    <row r="3985" ht="40" customHeight="1">
      <c r="A3985" s="4" t="inlineStr">
        <is>
          <t>original:Production!H7</t>
        </is>
      </c>
      <c r="B3985" s="4" t="inlineStr">
        <is>
          <t>Production</t>
        </is>
      </c>
      <c r="C3985" s="4" t="inlineStr">
        <is>
          <t>H7</t>
        </is>
      </c>
      <c r="D3985" s="4" t="n">
        <v>0</v>
      </c>
      <c r="E3985" s="4" t="n">
        <v>0</v>
      </c>
      <c r="F3985" s="4" t="inlineStr">
        <is>
          <t>GOC Bed Unit-Costing Model v2 — working original.xlsx</t>
        </is>
      </c>
    </row>
    <row r="3986" ht="40" customHeight="1">
      <c r="A3986" s="4" t="inlineStr">
        <is>
          <t>original:Production!I7</t>
        </is>
      </c>
      <c r="B3986" s="4" t="inlineStr">
        <is>
          <t>Production</t>
        </is>
      </c>
      <c r="C3986" s="4" t="inlineStr">
        <is>
          <t>I7</t>
        </is>
      </c>
      <c r="D3986" s="4" t="inlineStr">
        <is>
          <t>=0</t>
        </is>
      </c>
      <c r="E3986" s="4" t="n">
        <v>0</v>
      </c>
      <c r="F3986" s="4" t="inlineStr">
        <is>
          <t>GOC Bed Unit-Costing Model v2 — working original.xlsx</t>
        </is>
      </c>
    </row>
    <row r="3987" ht="40" customHeight="1">
      <c r="A3987" s="4" t="inlineStr">
        <is>
          <t>original:Production!J7</t>
        </is>
      </c>
      <c r="B3987" s="4" t="inlineStr">
        <is>
          <t>Production</t>
        </is>
      </c>
      <c r="C3987" s="4" t="inlineStr">
        <is>
          <t>J7</t>
        </is>
      </c>
      <c r="D3987" s="4" t="inlineStr">
        <is>
          <t>=I7+F7-G7-H7</t>
        </is>
      </c>
      <c r="E3987" s="4" t="n">
        <v>0</v>
      </c>
      <c r="F3987" s="4" t="inlineStr">
        <is>
          <t>GOC Bed Unit-Costing Model v2 — working original.xlsx</t>
        </is>
      </c>
    </row>
    <row r="3988" ht="40" customHeight="1">
      <c r="A3988" s="4" t="inlineStr">
        <is>
          <t>original:Production!K7</t>
        </is>
      </c>
      <c r="B3988" s="4" t="inlineStr">
        <is>
          <t>Production</t>
        </is>
      </c>
      <c r="C3988" s="4" t="inlineStr">
        <is>
          <t>K7</t>
        </is>
      </c>
      <c r="D3988" s="4" t="inlineStr">
        <is>
          <t>=IF(ISNUMBER('Unit costs'!D13),F7*'Unit costs'!D13,"")</t>
        </is>
      </c>
      <c r="E3988" s="4" t="n">
        <v>0</v>
      </c>
      <c r="F3988" s="4" t="inlineStr">
        <is>
          <t>GOC Bed Unit-Costing Model v2 — working original.xlsx</t>
        </is>
      </c>
    </row>
    <row r="3989" ht="40" customHeight="1">
      <c r="A3989" s="4" t="inlineStr">
        <is>
          <t>original:Production!L7</t>
        </is>
      </c>
      <c r="B3989" s="4" t="inlineStr">
        <is>
          <t>Production</t>
        </is>
      </c>
      <c r="C3989" s="4" t="inlineStr">
        <is>
          <t>L7</t>
        </is>
      </c>
      <c r="D3989" s="4" t="inlineStr">
        <is>
          <t>=IF(ISNUMBER('Unit costs'!D12),(G7+H7)*'Unit costs'!D12,"")</t>
        </is>
      </c>
      <c r="E3989" s="4" t="n">
        <v>0</v>
      </c>
      <c r="F3989" s="4" t="inlineStr">
        <is>
          <t>GOC Bed Unit-Costing Model v2 — working original.xlsx</t>
        </is>
      </c>
    </row>
    <row r="3990" ht="40" customHeight="1">
      <c r="A3990" s="4" t="inlineStr">
        <is>
          <t>original:Production!M7</t>
        </is>
      </c>
      <c r="B3990" s="4" t="inlineStr">
        <is>
          <t>Production</t>
        </is>
      </c>
      <c r="C3990" s="4" t="inlineStr">
        <is>
          <t>M7</t>
        </is>
      </c>
      <c r="D3990" s="4" t="inlineStr">
        <is>
          <t>=H7*Overview!$B$8</t>
        </is>
      </c>
      <c r="E3990" s="4" t="n">
        <v>0</v>
      </c>
      <c r="F3990" s="4" t="inlineStr">
        <is>
          <t>GOC Bed Unit-Costing Model v2 — working original.xlsx</t>
        </is>
      </c>
    </row>
    <row r="3991" ht="45" customHeight="1">
      <c r="A3991" s="4" t="inlineStr">
        <is>
          <t>original:Production!N7</t>
        </is>
      </c>
      <c r="B3991" s="4" t="inlineStr">
        <is>
          <t>Production</t>
        </is>
      </c>
      <c r="C3991" s="4" t="inlineStr">
        <is>
          <t>N7</t>
        </is>
      </c>
      <c r="D3991" s="4" t="inlineStr">
        <is>
          <t>=IF(OR(F7&lt;0,G7&lt;0,H7&lt;0,D7&lt;0,D7&gt;1),"Invalid input",IF(F7&gt;E7,"Above capacity",IF(J7&lt;0,"Not enough stock","Within modelled capacity")))</t>
        </is>
      </c>
      <c r="E3991" s="4" t="inlineStr">
        <is>
          <t>Within modelled capacity</t>
        </is>
      </c>
      <c r="F3991" s="4" t="inlineStr">
        <is>
          <t>GOC Bed Unit-Costing Model v2 — working original.xlsx</t>
        </is>
      </c>
    </row>
    <row r="3992" ht="40" customHeight="1">
      <c r="A3992" s="4" t="inlineStr">
        <is>
          <t>original:Production!A8</t>
        </is>
      </c>
      <c r="B3992" s="4" t="inlineStr">
        <is>
          <t>Production</t>
        </is>
      </c>
      <c r="C3992" s="4" t="inlineStr">
        <is>
          <t>A8</t>
        </is>
      </c>
      <c r="D3992" s="4" t="n">
        <v>1</v>
      </c>
      <c r="E3992" s="4" t="n">
        <v>1</v>
      </c>
      <c r="F3992" s="4" t="inlineStr">
        <is>
          <t>GOC Bed Unit-Costing Model v2 — working original.xlsx</t>
        </is>
      </c>
    </row>
    <row r="3993" ht="40" customHeight="1">
      <c r="A3993" s="4" t="inlineStr">
        <is>
          <t>original:Production!B8</t>
        </is>
      </c>
      <c r="B3993" s="4" t="inlineStr">
        <is>
          <t>Production</t>
        </is>
      </c>
      <c r="C3993" s="4" t="inlineStr">
        <is>
          <t>B8</t>
        </is>
      </c>
      <c r="D3993" s="4" t="inlineStr">
        <is>
          <t>NEW2</t>
        </is>
      </c>
      <c r="E3993" s="4" t="inlineStr">
        <is>
          <t>NEW2</t>
        </is>
      </c>
      <c r="F3993" s="4" t="inlineStr">
        <is>
          <t>GOC Bed Unit-Costing Model v2 — working original.xlsx</t>
        </is>
      </c>
    </row>
    <row r="3994" ht="40" customHeight="1">
      <c r="A3994" s="4" t="inlineStr">
        <is>
          <t>original:Production!C8</t>
        </is>
      </c>
      <c r="B3994" s="4" t="inlineStr">
        <is>
          <t>Production</t>
        </is>
      </c>
      <c r="C3994" s="4" t="inlineStr">
        <is>
          <t>C8</t>
        </is>
      </c>
      <c r="D3994" s="4" t="inlineStr">
        <is>
          <t>=Sites!G8</t>
        </is>
      </c>
      <c r="E3994" s="4" t="n">
        <v>10</v>
      </c>
      <c r="F3994" s="4" t="inlineStr">
        <is>
          <t>GOC Bed Unit-Costing Model v2 — working original.xlsx</t>
        </is>
      </c>
    </row>
    <row r="3995" ht="40" customHeight="1">
      <c r="A3995" s="4" t="inlineStr">
        <is>
          <t>original:Production!D8</t>
        </is>
      </c>
      <c r="B3995" s="4" t="inlineStr">
        <is>
          <t>Production</t>
        </is>
      </c>
      <c r="C3995" s="4" t="inlineStr">
        <is>
          <t>D8</t>
        </is>
      </c>
      <c r="D3995" s="4" t="n">
        <v>0</v>
      </c>
      <c r="E3995" s="4" t="n">
        <v>0</v>
      </c>
      <c r="F3995" s="4" t="inlineStr">
        <is>
          <t>GOC Bed Unit-Costing Model v2 — working original.xlsx</t>
        </is>
      </c>
    </row>
    <row r="3996" ht="40" customHeight="1">
      <c r="A3996" s="4" t="inlineStr">
        <is>
          <t>original:Production!E8</t>
        </is>
      </c>
      <c r="B3996" s="4" t="inlineStr">
        <is>
          <t>Production</t>
        </is>
      </c>
      <c r="C3996" s="4" t="inlineStr">
        <is>
          <t>E8</t>
        </is>
      </c>
      <c r="D3996" s="4" t="inlineStr">
        <is>
          <t>=IF(A8&lt;Sites!F8,0,ROUNDDOWN(C8*D8*Sites!H8,0))</t>
        </is>
      </c>
      <c r="E3996" s="4" t="n">
        <v>0</v>
      </c>
      <c r="F3996" s="4" t="inlineStr">
        <is>
          <t>GOC Bed Unit-Costing Model v2 — working original.xlsx</t>
        </is>
      </c>
    </row>
    <row r="3997" ht="40" customHeight="1">
      <c r="A3997" s="4" t="inlineStr">
        <is>
          <t>original:Production!F8</t>
        </is>
      </c>
      <c r="B3997" s="4" t="inlineStr">
        <is>
          <t>Production</t>
        </is>
      </c>
      <c r="C3997" s="4" t="inlineStr">
        <is>
          <t>F8</t>
        </is>
      </c>
      <c r="D3997" s="4" t="n">
        <v>0</v>
      </c>
      <c r="E3997" s="4" t="n">
        <v>0</v>
      </c>
      <c r="F3997" s="4" t="inlineStr">
        <is>
          <t>GOC Bed Unit-Costing Model v2 — working original.xlsx</t>
        </is>
      </c>
    </row>
    <row r="3998" ht="40" customHeight="1">
      <c r="A3998" s="4" t="inlineStr">
        <is>
          <t>original:Production!G8</t>
        </is>
      </c>
      <c r="B3998" s="4" t="inlineStr">
        <is>
          <t>Production</t>
        </is>
      </c>
      <c r="C3998" s="4" t="inlineStr">
        <is>
          <t>G8</t>
        </is>
      </c>
      <c r="D3998" s="4" t="n">
        <v>0</v>
      </c>
      <c r="E3998" s="4" t="n">
        <v>0</v>
      </c>
      <c r="F3998" s="4" t="inlineStr">
        <is>
          <t>GOC Bed Unit-Costing Model v2 — working original.xlsx</t>
        </is>
      </c>
    </row>
    <row r="3999" ht="40" customHeight="1">
      <c r="A3999" s="4" t="inlineStr">
        <is>
          <t>original:Production!H8</t>
        </is>
      </c>
      <c r="B3999" s="4" t="inlineStr">
        <is>
          <t>Production</t>
        </is>
      </c>
      <c r="C3999" s="4" t="inlineStr">
        <is>
          <t>H8</t>
        </is>
      </c>
      <c r="D3999" s="4" t="n">
        <v>0</v>
      </c>
      <c r="E3999" s="4" t="n">
        <v>0</v>
      </c>
      <c r="F3999" s="4" t="inlineStr">
        <is>
          <t>GOC Bed Unit-Costing Model v2 — working original.xlsx</t>
        </is>
      </c>
    </row>
    <row r="4000" ht="40" customHeight="1">
      <c r="A4000" s="4" t="inlineStr">
        <is>
          <t>original:Production!I8</t>
        </is>
      </c>
      <c r="B4000" s="4" t="inlineStr">
        <is>
          <t>Production</t>
        </is>
      </c>
      <c r="C4000" s="4" t="inlineStr">
        <is>
          <t>I8</t>
        </is>
      </c>
      <c r="D4000" s="4" t="inlineStr">
        <is>
          <t>=0</t>
        </is>
      </c>
      <c r="E4000" s="4" t="n">
        <v>0</v>
      </c>
      <c r="F4000" s="4" t="inlineStr">
        <is>
          <t>GOC Bed Unit-Costing Model v2 — working original.xlsx</t>
        </is>
      </c>
    </row>
    <row r="4001" ht="40" customHeight="1">
      <c r="A4001" s="4" t="inlineStr">
        <is>
          <t>original:Production!J8</t>
        </is>
      </c>
      <c r="B4001" s="4" t="inlineStr">
        <is>
          <t>Production</t>
        </is>
      </c>
      <c r="C4001" s="4" t="inlineStr">
        <is>
          <t>J8</t>
        </is>
      </c>
      <c r="D4001" s="4" t="inlineStr">
        <is>
          <t>=I8+F8-G8-H8</t>
        </is>
      </c>
      <c r="E4001" s="4" t="n">
        <v>0</v>
      </c>
      <c r="F4001" s="4" t="inlineStr">
        <is>
          <t>GOC Bed Unit-Costing Model v2 — working original.xlsx</t>
        </is>
      </c>
    </row>
    <row r="4002" ht="40" customHeight="1">
      <c r="A4002" s="4" t="inlineStr">
        <is>
          <t>original:Production!K8</t>
        </is>
      </c>
      <c r="B4002" s="4" t="inlineStr">
        <is>
          <t>Production</t>
        </is>
      </c>
      <c r="C4002" s="4" t="inlineStr">
        <is>
          <t>K8</t>
        </is>
      </c>
      <c r="D4002" s="4" t="inlineStr">
        <is>
          <t>=IF(ISNUMBER('Unit costs'!E13),F8*'Unit costs'!E13,"")</t>
        </is>
      </c>
      <c r="E4002" s="4" t="n">
        <v>0</v>
      </c>
      <c r="F4002" s="4" t="inlineStr">
        <is>
          <t>GOC Bed Unit-Costing Model v2 — working original.xlsx</t>
        </is>
      </c>
    </row>
    <row r="4003" ht="40" customHeight="1">
      <c r="A4003" s="4" t="inlineStr">
        <is>
          <t>original:Production!L8</t>
        </is>
      </c>
      <c r="B4003" s="4" t="inlineStr">
        <is>
          <t>Production</t>
        </is>
      </c>
      <c r="C4003" s="4" t="inlineStr">
        <is>
          <t>L8</t>
        </is>
      </c>
      <c r="D4003" s="4" t="inlineStr">
        <is>
          <t>=IF(ISNUMBER('Unit costs'!E12),(G8+H8)*'Unit costs'!E12,"")</t>
        </is>
      </c>
      <c r="E4003" s="4" t="n">
        <v>0</v>
      </c>
      <c r="F4003" s="4" t="inlineStr">
        <is>
          <t>GOC Bed Unit-Costing Model v2 — working original.xlsx</t>
        </is>
      </c>
    </row>
    <row r="4004" ht="40" customHeight="1">
      <c r="A4004" s="4" t="inlineStr">
        <is>
          <t>original:Production!M8</t>
        </is>
      </c>
      <c r="B4004" s="4" t="inlineStr">
        <is>
          <t>Production</t>
        </is>
      </c>
      <c r="C4004" s="4" t="inlineStr">
        <is>
          <t>M8</t>
        </is>
      </c>
      <c r="D4004" s="4" t="inlineStr">
        <is>
          <t>=H8*Overview!$B$8</t>
        </is>
      </c>
      <c r="E4004" s="4" t="n">
        <v>0</v>
      </c>
      <c r="F4004" s="4" t="inlineStr">
        <is>
          <t>GOC Bed Unit-Costing Model v2 — working original.xlsx</t>
        </is>
      </c>
    </row>
    <row r="4005" ht="45" customHeight="1">
      <c r="A4005" s="4" t="inlineStr">
        <is>
          <t>original:Production!N8</t>
        </is>
      </c>
      <c r="B4005" s="4" t="inlineStr">
        <is>
          <t>Production</t>
        </is>
      </c>
      <c r="C4005" s="4" t="inlineStr">
        <is>
          <t>N8</t>
        </is>
      </c>
      <c r="D4005" s="4" t="inlineStr">
        <is>
          <t>=IF(OR(F8&lt;0,G8&lt;0,H8&lt;0,D8&lt;0,D8&gt;1),"Invalid input",IF(F8&gt;E8,"Above capacity",IF(J8&lt;0,"Not enough stock","Within modelled capacity")))</t>
        </is>
      </c>
      <c r="E4005" s="4" t="inlineStr">
        <is>
          <t>Within modelled capacity</t>
        </is>
      </c>
      <c r="F4005" s="4" t="inlineStr">
        <is>
          <t>GOC Bed Unit-Costing Model v2 — working original.xlsx</t>
        </is>
      </c>
    </row>
    <row r="4006" ht="40" customHeight="1">
      <c r="A4006" s="4" t="inlineStr">
        <is>
          <t>original:Production!A9</t>
        </is>
      </c>
      <c r="B4006" s="4" t="inlineStr">
        <is>
          <t>Production</t>
        </is>
      </c>
      <c r="C4006" s="4" t="inlineStr">
        <is>
          <t>A9</t>
        </is>
      </c>
      <c r="D4006" s="4" t="n">
        <v>2</v>
      </c>
      <c r="E4006" s="4" t="n">
        <v>2</v>
      </c>
      <c r="F4006" s="4" t="inlineStr">
        <is>
          <t>GOC Bed Unit-Costing Model v2 — working original.xlsx</t>
        </is>
      </c>
    </row>
    <row r="4007" ht="40" customHeight="1">
      <c r="A4007" s="4" t="inlineStr">
        <is>
          <t>original:Production!B9</t>
        </is>
      </c>
      <c r="B4007" s="4" t="inlineStr">
        <is>
          <t>Production</t>
        </is>
      </c>
      <c r="C4007" s="4" t="inlineStr">
        <is>
          <t>B9</t>
        </is>
      </c>
      <c r="D4007" s="4" t="inlineStr">
        <is>
          <t>WITTA</t>
        </is>
      </c>
      <c r="E4007" s="4" t="inlineStr">
        <is>
          <t>WITTA</t>
        </is>
      </c>
      <c r="F4007" s="4" t="inlineStr">
        <is>
          <t>GOC Bed Unit-Costing Model v2 — working original.xlsx</t>
        </is>
      </c>
    </row>
    <row r="4008" ht="40" customHeight="1">
      <c r="A4008" s="4" t="inlineStr">
        <is>
          <t>original:Production!C9</t>
        </is>
      </c>
      <c r="B4008" s="4" t="inlineStr">
        <is>
          <t>Production</t>
        </is>
      </c>
      <c r="C4008" s="4" t="inlineStr">
        <is>
          <t>C9</t>
        </is>
      </c>
      <c r="D4008" s="4" t="inlineStr">
        <is>
          <t>=Sites!G6</t>
        </is>
      </c>
      <c r="E4008" s="4" t="n">
        <v>10</v>
      </c>
      <c r="F4008" s="4" t="inlineStr">
        <is>
          <t>GOC Bed Unit-Costing Model v2 — working original.xlsx</t>
        </is>
      </c>
    </row>
    <row r="4009" ht="40" customHeight="1">
      <c r="A4009" s="4" t="inlineStr">
        <is>
          <t>original:Production!D9</t>
        </is>
      </c>
      <c r="B4009" s="4" t="inlineStr">
        <is>
          <t>Production</t>
        </is>
      </c>
      <c r="C4009" s="4" t="inlineStr">
        <is>
          <t>D9</t>
        </is>
      </c>
      <c r="D4009" s="4" t="n">
        <v>0.5</v>
      </c>
      <c r="E4009" s="4" t="n">
        <v>0.5</v>
      </c>
      <c r="F4009" s="4" t="inlineStr">
        <is>
          <t>GOC Bed Unit-Costing Model v2 — working original.xlsx</t>
        </is>
      </c>
    </row>
    <row r="4010" ht="40" customHeight="1">
      <c r="A4010" s="4" t="inlineStr">
        <is>
          <t>original:Production!E9</t>
        </is>
      </c>
      <c r="B4010" s="4" t="inlineStr">
        <is>
          <t>Production</t>
        </is>
      </c>
      <c r="C4010" s="4" t="inlineStr">
        <is>
          <t>E9</t>
        </is>
      </c>
      <c r="D4010" s="4" t="inlineStr">
        <is>
          <t>=IF(A9&lt;Sites!F6,0,ROUNDDOWN(C9*D9*Sites!H6,0))</t>
        </is>
      </c>
      <c r="E4010" s="4" t="n">
        <v>20</v>
      </c>
      <c r="F4010" s="4" t="inlineStr">
        <is>
          <t>GOC Bed Unit-Costing Model v2 — working original.xlsx</t>
        </is>
      </c>
    </row>
    <row r="4011" ht="40" customHeight="1">
      <c r="A4011" s="4" t="inlineStr">
        <is>
          <t>original:Production!F9</t>
        </is>
      </c>
      <c r="B4011" s="4" t="inlineStr">
        <is>
          <t>Production</t>
        </is>
      </c>
      <c r="C4011" s="4" t="inlineStr">
        <is>
          <t>F9</t>
        </is>
      </c>
      <c r="D4011" s="4" t="n">
        <v>10</v>
      </c>
      <c r="E4011" s="4" t="n">
        <v>10</v>
      </c>
      <c r="F4011" s="4" t="inlineStr">
        <is>
          <t>GOC Bed Unit-Costing Model v2 — working original.xlsx</t>
        </is>
      </c>
    </row>
    <row r="4012" ht="40" customHeight="1">
      <c r="A4012" s="4" t="inlineStr">
        <is>
          <t>original:Production!G9</t>
        </is>
      </c>
      <c r="B4012" s="4" t="inlineStr">
        <is>
          <t>Production</t>
        </is>
      </c>
      <c r="C4012" s="4" t="inlineStr">
        <is>
          <t>G9</t>
        </is>
      </c>
      <c r="D4012" s="4" t="n">
        <v>10</v>
      </c>
      <c r="E4012" s="4" t="n">
        <v>10</v>
      </c>
      <c r="F4012" s="4" t="inlineStr">
        <is>
          <t>GOC Bed Unit-Costing Model v2 — working original.xlsx</t>
        </is>
      </c>
    </row>
    <row r="4013" ht="40" customHeight="1">
      <c r="A4013" s="4" t="inlineStr">
        <is>
          <t>original:Production!H9</t>
        </is>
      </c>
      <c r="B4013" s="4" t="inlineStr">
        <is>
          <t>Production</t>
        </is>
      </c>
      <c r="C4013" s="4" t="inlineStr">
        <is>
          <t>H9</t>
        </is>
      </c>
      <c r="D4013" s="4" t="n">
        <v>0</v>
      </c>
      <c r="E4013" s="4" t="n">
        <v>0</v>
      </c>
      <c r="F4013" s="4" t="inlineStr">
        <is>
          <t>GOC Bed Unit-Costing Model v2 — working original.xlsx</t>
        </is>
      </c>
    </row>
    <row r="4014" ht="40" customHeight="1">
      <c r="A4014" s="4" t="inlineStr">
        <is>
          <t>original:Production!I9</t>
        </is>
      </c>
      <c r="B4014" s="4" t="inlineStr">
        <is>
          <t>Production</t>
        </is>
      </c>
      <c r="C4014" s="4" t="inlineStr">
        <is>
          <t>I9</t>
        </is>
      </c>
      <c r="D4014" s="4" t="inlineStr">
        <is>
          <t>=J6</t>
        </is>
      </c>
      <c r="E4014" s="4" t="n">
        <v>0</v>
      </c>
      <c r="F4014" s="4" t="inlineStr">
        <is>
          <t>GOC Bed Unit-Costing Model v2 — working original.xlsx</t>
        </is>
      </c>
    </row>
    <row r="4015" ht="40" customHeight="1">
      <c r="A4015" s="4" t="inlineStr">
        <is>
          <t>original:Production!J9</t>
        </is>
      </c>
      <c r="B4015" s="4" t="inlineStr">
        <is>
          <t>Production</t>
        </is>
      </c>
      <c r="C4015" s="4" t="inlineStr">
        <is>
          <t>J9</t>
        </is>
      </c>
      <c r="D4015" s="4" t="inlineStr">
        <is>
          <t>=I9+F9-G9-H9</t>
        </is>
      </c>
      <c r="E4015" s="4" t="n">
        <v>0</v>
      </c>
      <c r="F4015" s="4" t="inlineStr">
        <is>
          <t>GOC Bed Unit-Costing Model v2 — working original.xlsx</t>
        </is>
      </c>
    </row>
    <row r="4016" ht="40" customHeight="1">
      <c r="A4016" s="4" t="inlineStr">
        <is>
          <t>original:Production!K9</t>
        </is>
      </c>
      <c r="B4016" s="4" t="inlineStr">
        <is>
          <t>Production</t>
        </is>
      </c>
      <c r="C4016" s="4" t="inlineStr">
        <is>
          <t>K9</t>
        </is>
      </c>
      <c r="D4016" s="4" t="inlineStr">
        <is>
          <t>=IF(ISNUMBER('Unit costs'!C13),F9*'Unit costs'!C13,"")</t>
        </is>
      </c>
      <c r="E4016" s="4" t="n">
        <v>2957.4</v>
      </c>
      <c r="F4016" s="4" t="inlineStr">
        <is>
          <t>GOC Bed Unit-Costing Model v2 — working original.xlsx</t>
        </is>
      </c>
    </row>
    <row r="4017" ht="40" customHeight="1">
      <c r="A4017" s="4" t="inlineStr">
        <is>
          <t>original:Production!L9</t>
        </is>
      </c>
      <c r="B4017" s="4" t="inlineStr">
        <is>
          <t>Production</t>
        </is>
      </c>
      <c r="C4017" s="4" t="inlineStr">
        <is>
          <t>L9</t>
        </is>
      </c>
      <c r="D4017" s="4" t="inlineStr">
        <is>
          <t>=IF(ISNUMBER('Unit costs'!C12),(G9+H9)*'Unit costs'!C12,"")</t>
        </is>
      </c>
      <c r="E4017" s="4" t="n">
        <v>1500</v>
      </c>
      <c r="F4017" s="4" t="inlineStr">
        <is>
          <t>GOC Bed Unit-Costing Model v2 — working original.xlsx</t>
        </is>
      </c>
    </row>
    <row r="4018" ht="40" customHeight="1">
      <c r="A4018" s="4" t="inlineStr">
        <is>
          <t>original:Production!M9</t>
        </is>
      </c>
      <c r="B4018" s="4" t="inlineStr">
        <is>
          <t>Production</t>
        </is>
      </c>
      <c r="C4018" s="4" t="inlineStr">
        <is>
          <t>M9</t>
        </is>
      </c>
      <c r="D4018" s="4" t="inlineStr">
        <is>
          <t>=H9*Overview!$B$8</t>
        </is>
      </c>
      <c r="E4018" s="4" t="n">
        <v>0</v>
      </c>
      <c r="F4018" s="4" t="inlineStr">
        <is>
          <t>GOC Bed Unit-Costing Model v2 — working original.xlsx</t>
        </is>
      </c>
    </row>
    <row r="4019" ht="45" customHeight="1">
      <c r="A4019" s="4" t="inlineStr">
        <is>
          <t>original:Production!N9</t>
        </is>
      </c>
      <c r="B4019" s="4" t="inlineStr">
        <is>
          <t>Production</t>
        </is>
      </c>
      <c r="C4019" s="4" t="inlineStr">
        <is>
          <t>N9</t>
        </is>
      </c>
      <c r="D4019" s="4" t="inlineStr">
        <is>
          <t>=IF(OR(F9&lt;0,G9&lt;0,H9&lt;0,D9&lt;0,D9&gt;1),"Invalid input",IF(F9&gt;E9,"Above capacity",IF(J9&lt;0,"Not enough stock","Within modelled capacity")))</t>
        </is>
      </c>
      <c r="E4019" s="4" t="inlineStr">
        <is>
          <t>Within modelled capacity</t>
        </is>
      </c>
      <c r="F4019" s="4" t="inlineStr">
        <is>
          <t>GOC Bed Unit-Costing Model v2 — working original.xlsx</t>
        </is>
      </c>
    </row>
    <row r="4020" ht="40" customHeight="1">
      <c r="A4020" s="4" t="inlineStr">
        <is>
          <t>original:Production!A10</t>
        </is>
      </c>
      <c r="B4020" s="4" t="inlineStr">
        <is>
          <t>Production</t>
        </is>
      </c>
      <c r="C4020" s="4" t="inlineStr">
        <is>
          <t>A10</t>
        </is>
      </c>
      <c r="D4020" s="4" t="n">
        <v>2</v>
      </c>
      <c r="E4020" s="4" t="n">
        <v>2</v>
      </c>
      <c r="F4020" s="4" t="inlineStr">
        <is>
          <t>GOC Bed Unit-Costing Model v2 — working original.xlsx</t>
        </is>
      </c>
    </row>
    <row r="4021" ht="40" customHeight="1">
      <c r="A4021" s="4" t="inlineStr">
        <is>
          <t>original:Production!B10</t>
        </is>
      </c>
      <c r="B4021" s="4" t="inlineStr">
        <is>
          <t>Production</t>
        </is>
      </c>
      <c r="C4021" s="4" t="inlineStr">
        <is>
          <t>B10</t>
        </is>
      </c>
      <c r="D4021" s="4" t="inlineStr">
        <is>
          <t>NEW1</t>
        </is>
      </c>
      <c r="E4021" s="4" t="inlineStr">
        <is>
          <t>NEW1</t>
        </is>
      </c>
      <c r="F4021" s="4" t="inlineStr">
        <is>
          <t>GOC Bed Unit-Costing Model v2 — working original.xlsx</t>
        </is>
      </c>
    </row>
    <row r="4022" ht="40" customHeight="1">
      <c r="A4022" s="4" t="inlineStr">
        <is>
          <t>original:Production!C10</t>
        </is>
      </c>
      <c r="B4022" s="4" t="inlineStr">
        <is>
          <t>Production</t>
        </is>
      </c>
      <c r="C4022" s="4" t="inlineStr">
        <is>
          <t>C10</t>
        </is>
      </c>
      <c r="D4022" s="4" t="inlineStr">
        <is>
          <t>=Sites!G7</t>
        </is>
      </c>
      <c r="E4022" s="4" t="n">
        <v>10</v>
      </c>
      <c r="F4022" s="4" t="inlineStr">
        <is>
          <t>GOC Bed Unit-Costing Model v2 — working original.xlsx</t>
        </is>
      </c>
    </row>
    <row r="4023" ht="40" customHeight="1">
      <c r="A4023" s="4" t="inlineStr">
        <is>
          <t>original:Production!D10</t>
        </is>
      </c>
      <c r="B4023" s="4" t="inlineStr">
        <is>
          <t>Production</t>
        </is>
      </c>
      <c r="C4023" s="4" t="inlineStr">
        <is>
          <t>D10</t>
        </is>
      </c>
      <c r="D4023" s="4" t="n">
        <v>0</v>
      </c>
      <c r="E4023" s="4" t="n">
        <v>0</v>
      </c>
      <c r="F4023" s="4" t="inlineStr">
        <is>
          <t>GOC Bed Unit-Costing Model v2 — working original.xlsx</t>
        </is>
      </c>
    </row>
    <row r="4024" ht="40" customHeight="1">
      <c r="A4024" s="4" t="inlineStr">
        <is>
          <t>original:Production!E10</t>
        </is>
      </c>
      <c r="B4024" s="4" t="inlineStr">
        <is>
          <t>Production</t>
        </is>
      </c>
      <c r="C4024" s="4" t="inlineStr">
        <is>
          <t>E10</t>
        </is>
      </c>
      <c r="D4024" s="4" t="inlineStr">
        <is>
          <t>=IF(A10&lt;Sites!F7,0,ROUNDDOWN(C10*D10*Sites!H7,0))</t>
        </is>
      </c>
      <c r="E4024" s="4" t="n">
        <v>0</v>
      </c>
      <c r="F4024" s="4" t="inlineStr">
        <is>
          <t>GOC Bed Unit-Costing Model v2 — working original.xlsx</t>
        </is>
      </c>
    </row>
    <row r="4025" ht="40" customHeight="1">
      <c r="A4025" s="4" t="inlineStr">
        <is>
          <t>original:Production!F10</t>
        </is>
      </c>
      <c r="B4025" s="4" t="inlineStr">
        <is>
          <t>Production</t>
        </is>
      </c>
      <c r="C4025" s="4" t="inlineStr">
        <is>
          <t>F10</t>
        </is>
      </c>
      <c r="D4025" s="4" t="n">
        <v>0</v>
      </c>
      <c r="E4025" s="4" t="n">
        <v>0</v>
      </c>
      <c r="F4025" s="4" t="inlineStr">
        <is>
          <t>GOC Bed Unit-Costing Model v2 — working original.xlsx</t>
        </is>
      </c>
    </row>
    <row r="4026" ht="40" customHeight="1">
      <c r="A4026" s="4" t="inlineStr">
        <is>
          <t>original:Production!G10</t>
        </is>
      </c>
      <c r="B4026" s="4" t="inlineStr">
        <is>
          <t>Production</t>
        </is>
      </c>
      <c r="C4026" s="4" t="inlineStr">
        <is>
          <t>G10</t>
        </is>
      </c>
      <c r="D4026" s="4" t="n">
        <v>0</v>
      </c>
      <c r="E4026" s="4" t="n">
        <v>0</v>
      </c>
      <c r="F4026" s="4" t="inlineStr">
        <is>
          <t>GOC Bed Unit-Costing Model v2 — working original.xlsx</t>
        </is>
      </c>
    </row>
    <row r="4027" ht="40" customHeight="1">
      <c r="A4027" s="4" t="inlineStr">
        <is>
          <t>original:Production!H10</t>
        </is>
      </c>
      <c r="B4027" s="4" t="inlineStr">
        <is>
          <t>Production</t>
        </is>
      </c>
      <c r="C4027" s="4" t="inlineStr">
        <is>
          <t>H10</t>
        </is>
      </c>
      <c r="D4027" s="4" t="n">
        <v>0</v>
      </c>
      <c r="E4027" s="4" t="n">
        <v>0</v>
      </c>
      <c r="F4027" s="4" t="inlineStr">
        <is>
          <t>GOC Bed Unit-Costing Model v2 — working original.xlsx</t>
        </is>
      </c>
    </row>
    <row r="4028" ht="40" customHeight="1">
      <c r="A4028" s="4" t="inlineStr">
        <is>
          <t>original:Production!I10</t>
        </is>
      </c>
      <c r="B4028" s="4" t="inlineStr">
        <is>
          <t>Production</t>
        </is>
      </c>
      <c r="C4028" s="4" t="inlineStr">
        <is>
          <t>I10</t>
        </is>
      </c>
      <c r="D4028" s="4" t="inlineStr">
        <is>
          <t>=J7</t>
        </is>
      </c>
      <c r="E4028" s="4" t="n">
        <v>0</v>
      </c>
      <c r="F4028" s="4" t="inlineStr">
        <is>
          <t>GOC Bed Unit-Costing Model v2 — working original.xlsx</t>
        </is>
      </c>
    </row>
    <row r="4029" ht="40" customHeight="1">
      <c r="A4029" s="4" t="inlineStr">
        <is>
          <t>original:Production!J10</t>
        </is>
      </c>
      <c r="B4029" s="4" t="inlineStr">
        <is>
          <t>Production</t>
        </is>
      </c>
      <c r="C4029" s="4" t="inlineStr">
        <is>
          <t>J10</t>
        </is>
      </c>
      <c r="D4029" s="4" t="inlineStr">
        <is>
          <t>=I10+F10-G10-H10</t>
        </is>
      </c>
      <c r="E4029" s="4" t="n">
        <v>0</v>
      </c>
      <c r="F4029" s="4" t="inlineStr">
        <is>
          <t>GOC Bed Unit-Costing Model v2 — working original.xlsx</t>
        </is>
      </c>
    </row>
    <row r="4030" ht="40" customHeight="1">
      <c r="A4030" s="4" t="inlineStr">
        <is>
          <t>original:Production!K10</t>
        </is>
      </c>
      <c r="B4030" s="4" t="inlineStr">
        <is>
          <t>Production</t>
        </is>
      </c>
      <c r="C4030" s="4" t="inlineStr">
        <is>
          <t>K10</t>
        </is>
      </c>
      <c r="D4030" s="4" t="inlineStr">
        <is>
          <t>=IF(ISNUMBER('Unit costs'!D13),F10*'Unit costs'!D13,"")</t>
        </is>
      </c>
      <c r="E4030" s="4" t="n">
        <v>0</v>
      </c>
      <c r="F4030" s="4" t="inlineStr">
        <is>
          <t>GOC Bed Unit-Costing Model v2 — working original.xlsx</t>
        </is>
      </c>
    </row>
    <row r="4031" ht="40" customHeight="1">
      <c r="A4031" s="4" t="inlineStr">
        <is>
          <t>original:Production!L10</t>
        </is>
      </c>
      <c r="B4031" s="4" t="inlineStr">
        <is>
          <t>Production</t>
        </is>
      </c>
      <c r="C4031" s="4" t="inlineStr">
        <is>
          <t>L10</t>
        </is>
      </c>
      <c r="D4031" s="4" t="inlineStr">
        <is>
          <t>=IF(ISNUMBER('Unit costs'!D12),(G10+H10)*'Unit costs'!D12,"")</t>
        </is>
      </c>
      <c r="E4031" s="4" t="n">
        <v>0</v>
      </c>
      <c r="F4031" s="4" t="inlineStr">
        <is>
          <t>GOC Bed Unit-Costing Model v2 — working original.xlsx</t>
        </is>
      </c>
    </row>
    <row r="4032" ht="40" customHeight="1">
      <c r="A4032" s="4" t="inlineStr">
        <is>
          <t>original:Production!M10</t>
        </is>
      </c>
      <c r="B4032" s="4" t="inlineStr">
        <is>
          <t>Production</t>
        </is>
      </c>
      <c r="C4032" s="4" t="inlineStr">
        <is>
          <t>M10</t>
        </is>
      </c>
      <c r="D4032" s="4" t="inlineStr">
        <is>
          <t>=H10*Overview!$B$8</t>
        </is>
      </c>
      <c r="E4032" s="4" t="n">
        <v>0</v>
      </c>
      <c r="F4032" s="4" t="inlineStr">
        <is>
          <t>GOC Bed Unit-Costing Model v2 — working original.xlsx</t>
        </is>
      </c>
    </row>
    <row r="4033" ht="45" customHeight="1">
      <c r="A4033" s="4" t="inlineStr">
        <is>
          <t>original:Production!N10</t>
        </is>
      </c>
      <c r="B4033" s="4" t="inlineStr">
        <is>
          <t>Production</t>
        </is>
      </c>
      <c r="C4033" s="4" t="inlineStr">
        <is>
          <t>N10</t>
        </is>
      </c>
      <c r="D4033" s="4" t="inlineStr">
        <is>
          <t>=IF(OR(F10&lt;0,G10&lt;0,H10&lt;0,D10&lt;0,D10&gt;1),"Invalid input",IF(F10&gt;E10,"Above capacity",IF(J10&lt;0,"Not enough stock","Within modelled capacity")))</t>
        </is>
      </c>
      <c r="E4033" s="4" t="inlineStr">
        <is>
          <t>Within modelled capacity</t>
        </is>
      </c>
      <c r="F4033" s="4" t="inlineStr">
        <is>
          <t>GOC Bed Unit-Costing Model v2 — working original.xlsx</t>
        </is>
      </c>
    </row>
    <row r="4034" ht="40" customHeight="1">
      <c r="A4034" s="4" t="inlineStr">
        <is>
          <t>original:Production!A11</t>
        </is>
      </c>
      <c r="B4034" s="4" t="inlineStr">
        <is>
          <t>Production</t>
        </is>
      </c>
      <c r="C4034" s="4" t="inlineStr">
        <is>
          <t>A11</t>
        </is>
      </c>
      <c r="D4034" s="4" t="n">
        <v>2</v>
      </c>
      <c r="E4034" s="4" t="n">
        <v>2</v>
      </c>
      <c r="F4034" s="4" t="inlineStr">
        <is>
          <t>GOC Bed Unit-Costing Model v2 — working original.xlsx</t>
        </is>
      </c>
    </row>
    <row r="4035" ht="40" customHeight="1">
      <c r="A4035" s="4" t="inlineStr">
        <is>
          <t>original:Production!B11</t>
        </is>
      </c>
      <c r="B4035" s="4" t="inlineStr">
        <is>
          <t>Production</t>
        </is>
      </c>
      <c r="C4035" s="4" t="inlineStr">
        <is>
          <t>B11</t>
        </is>
      </c>
      <c r="D4035" s="4" t="inlineStr">
        <is>
          <t>NEW2</t>
        </is>
      </c>
      <c r="E4035" s="4" t="inlineStr">
        <is>
          <t>NEW2</t>
        </is>
      </c>
      <c r="F4035" s="4" t="inlineStr">
        <is>
          <t>GOC Bed Unit-Costing Model v2 — working original.xlsx</t>
        </is>
      </c>
    </row>
    <row r="4036" ht="40" customHeight="1">
      <c r="A4036" s="4" t="inlineStr">
        <is>
          <t>original:Production!C11</t>
        </is>
      </c>
      <c r="B4036" s="4" t="inlineStr">
        <is>
          <t>Production</t>
        </is>
      </c>
      <c r="C4036" s="4" t="inlineStr">
        <is>
          <t>C11</t>
        </is>
      </c>
      <c r="D4036" s="4" t="inlineStr">
        <is>
          <t>=Sites!G8</t>
        </is>
      </c>
      <c r="E4036" s="4" t="n">
        <v>10</v>
      </c>
      <c r="F4036" s="4" t="inlineStr">
        <is>
          <t>GOC Bed Unit-Costing Model v2 — working original.xlsx</t>
        </is>
      </c>
    </row>
    <row r="4037" ht="40" customHeight="1">
      <c r="A4037" s="4" t="inlineStr">
        <is>
          <t>original:Production!D11</t>
        </is>
      </c>
      <c r="B4037" s="4" t="inlineStr">
        <is>
          <t>Production</t>
        </is>
      </c>
      <c r="C4037" s="4" t="inlineStr">
        <is>
          <t>D11</t>
        </is>
      </c>
      <c r="D4037" s="4" t="n">
        <v>0</v>
      </c>
      <c r="E4037" s="4" t="n">
        <v>0</v>
      </c>
      <c r="F4037" s="4" t="inlineStr">
        <is>
          <t>GOC Bed Unit-Costing Model v2 — working original.xlsx</t>
        </is>
      </c>
    </row>
    <row r="4038" ht="40" customHeight="1">
      <c r="A4038" s="4" t="inlineStr">
        <is>
          <t>original:Production!E11</t>
        </is>
      </c>
      <c r="B4038" s="4" t="inlineStr">
        <is>
          <t>Production</t>
        </is>
      </c>
      <c r="C4038" s="4" t="inlineStr">
        <is>
          <t>E11</t>
        </is>
      </c>
      <c r="D4038" s="4" t="inlineStr">
        <is>
          <t>=IF(A11&lt;Sites!F8,0,ROUNDDOWN(C11*D11*Sites!H8,0))</t>
        </is>
      </c>
      <c r="E4038" s="4" t="n">
        <v>0</v>
      </c>
      <c r="F4038" s="4" t="inlineStr">
        <is>
          <t>GOC Bed Unit-Costing Model v2 — working original.xlsx</t>
        </is>
      </c>
    </row>
    <row r="4039" ht="40" customHeight="1">
      <c r="A4039" s="4" t="inlineStr">
        <is>
          <t>original:Production!F11</t>
        </is>
      </c>
      <c r="B4039" s="4" t="inlineStr">
        <is>
          <t>Production</t>
        </is>
      </c>
      <c r="C4039" s="4" t="inlineStr">
        <is>
          <t>F11</t>
        </is>
      </c>
      <c r="D4039" s="4" t="n">
        <v>0</v>
      </c>
      <c r="E4039" s="4" t="n">
        <v>0</v>
      </c>
      <c r="F4039" s="4" t="inlineStr">
        <is>
          <t>GOC Bed Unit-Costing Model v2 — working original.xlsx</t>
        </is>
      </c>
    </row>
    <row r="4040" ht="40" customHeight="1">
      <c r="A4040" s="4" t="inlineStr">
        <is>
          <t>original:Production!G11</t>
        </is>
      </c>
      <c r="B4040" s="4" t="inlineStr">
        <is>
          <t>Production</t>
        </is>
      </c>
      <c r="C4040" s="4" t="inlineStr">
        <is>
          <t>G11</t>
        </is>
      </c>
      <c r="D4040" s="4" t="n">
        <v>0</v>
      </c>
      <c r="E4040" s="4" t="n">
        <v>0</v>
      </c>
      <c r="F4040" s="4" t="inlineStr">
        <is>
          <t>GOC Bed Unit-Costing Model v2 — working original.xlsx</t>
        </is>
      </c>
    </row>
    <row r="4041" ht="40" customHeight="1">
      <c r="A4041" s="4" t="inlineStr">
        <is>
          <t>original:Production!H11</t>
        </is>
      </c>
      <c r="B4041" s="4" t="inlineStr">
        <is>
          <t>Production</t>
        </is>
      </c>
      <c r="C4041" s="4" t="inlineStr">
        <is>
          <t>H11</t>
        </is>
      </c>
      <c r="D4041" s="4" t="n">
        <v>0</v>
      </c>
      <c r="E4041" s="4" t="n">
        <v>0</v>
      </c>
      <c r="F4041" s="4" t="inlineStr">
        <is>
          <t>GOC Bed Unit-Costing Model v2 — working original.xlsx</t>
        </is>
      </c>
    </row>
    <row r="4042" ht="40" customHeight="1">
      <c r="A4042" s="4" t="inlineStr">
        <is>
          <t>original:Production!I11</t>
        </is>
      </c>
      <c r="B4042" s="4" t="inlineStr">
        <is>
          <t>Production</t>
        </is>
      </c>
      <c r="C4042" s="4" t="inlineStr">
        <is>
          <t>I11</t>
        </is>
      </c>
      <c r="D4042" s="4" t="inlineStr">
        <is>
          <t>=J8</t>
        </is>
      </c>
      <c r="E4042" s="4" t="n">
        <v>0</v>
      </c>
      <c r="F4042" s="4" t="inlineStr">
        <is>
          <t>GOC Bed Unit-Costing Model v2 — working original.xlsx</t>
        </is>
      </c>
    </row>
    <row r="4043" ht="40" customHeight="1">
      <c r="A4043" s="4" t="inlineStr">
        <is>
          <t>original:Production!J11</t>
        </is>
      </c>
      <c r="B4043" s="4" t="inlineStr">
        <is>
          <t>Production</t>
        </is>
      </c>
      <c r="C4043" s="4" t="inlineStr">
        <is>
          <t>J11</t>
        </is>
      </c>
      <c r="D4043" s="4" t="inlineStr">
        <is>
          <t>=I11+F11-G11-H11</t>
        </is>
      </c>
      <c r="E4043" s="4" t="n">
        <v>0</v>
      </c>
      <c r="F4043" s="4" t="inlineStr">
        <is>
          <t>GOC Bed Unit-Costing Model v2 — working original.xlsx</t>
        </is>
      </c>
    </row>
    <row r="4044" ht="40" customHeight="1">
      <c r="A4044" s="4" t="inlineStr">
        <is>
          <t>original:Production!K11</t>
        </is>
      </c>
      <c r="B4044" s="4" t="inlineStr">
        <is>
          <t>Production</t>
        </is>
      </c>
      <c r="C4044" s="4" t="inlineStr">
        <is>
          <t>K11</t>
        </is>
      </c>
      <c r="D4044" s="4" t="inlineStr">
        <is>
          <t>=IF(ISNUMBER('Unit costs'!E13),F11*'Unit costs'!E13,"")</t>
        </is>
      </c>
      <c r="E4044" s="4" t="n">
        <v>0</v>
      </c>
      <c r="F4044" s="4" t="inlineStr">
        <is>
          <t>GOC Bed Unit-Costing Model v2 — working original.xlsx</t>
        </is>
      </c>
    </row>
    <row r="4045" ht="40" customHeight="1">
      <c r="A4045" s="4" t="inlineStr">
        <is>
          <t>original:Production!L11</t>
        </is>
      </c>
      <c r="B4045" s="4" t="inlineStr">
        <is>
          <t>Production</t>
        </is>
      </c>
      <c r="C4045" s="4" t="inlineStr">
        <is>
          <t>L11</t>
        </is>
      </c>
      <c r="D4045" s="4" t="inlineStr">
        <is>
          <t>=IF(ISNUMBER('Unit costs'!E12),(G11+H11)*'Unit costs'!E12,"")</t>
        </is>
      </c>
      <c r="E4045" s="4" t="n">
        <v>0</v>
      </c>
      <c r="F4045" s="4" t="inlineStr">
        <is>
          <t>GOC Bed Unit-Costing Model v2 — working original.xlsx</t>
        </is>
      </c>
    </row>
    <row r="4046" ht="40" customHeight="1">
      <c r="A4046" s="4" t="inlineStr">
        <is>
          <t>original:Production!M11</t>
        </is>
      </c>
      <c r="B4046" s="4" t="inlineStr">
        <is>
          <t>Production</t>
        </is>
      </c>
      <c r="C4046" s="4" t="inlineStr">
        <is>
          <t>M11</t>
        </is>
      </c>
      <c r="D4046" s="4" t="inlineStr">
        <is>
          <t>=H11*Overview!$B$8</t>
        </is>
      </c>
      <c r="E4046" s="4" t="n">
        <v>0</v>
      </c>
      <c r="F4046" s="4" t="inlineStr">
        <is>
          <t>GOC Bed Unit-Costing Model v2 — working original.xlsx</t>
        </is>
      </c>
    </row>
    <row r="4047" ht="45" customHeight="1">
      <c r="A4047" s="4" t="inlineStr">
        <is>
          <t>original:Production!N11</t>
        </is>
      </c>
      <c r="B4047" s="4" t="inlineStr">
        <is>
          <t>Production</t>
        </is>
      </c>
      <c r="C4047" s="4" t="inlineStr">
        <is>
          <t>N11</t>
        </is>
      </c>
      <c r="D4047" s="4" t="inlineStr">
        <is>
          <t>=IF(OR(F11&lt;0,G11&lt;0,H11&lt;0,D11&lt;0,D11&gt;1),"Invalid input",IF(F11&gt;E11,"Above capacity",IF(J11&lt;0,"Not enough stock","Within modelled capacity")))</t>
        </is>
      </c>
      <c r="E4047" s="4" t="inlineStr">
        <is>
          <t>Within modelled capacity</t>
        </is>
      </c>
      <c r="F4047" s="4" t="inlineStr">
        <is>
          <t>GOC Bed Unit-Costing Model v2 — working original.xlsx</t>
        </is>
      </c>
    </row>
    <row r="4048" ht="40" customHeight="1">
      <c r="A4048" s="4" t="inlineStr">
        <is>
          <t>original:Production!A12</t>
        </is>
      </c>
      <c r="B4048" s="4" t="inlineStr">
        <is>
          <t>Production</t>
        </is>
      </c>
      <c r="C4048" s="4" t="inlineStr">
        <is>
          <t>A12</t>
        </is>
      </c>
      <c r="D4048" s="4" t="n">
        <v>3</v>
      </c>
      <c r="E4048" s="4" t="n">
        <v>3</v>
      </c>
      <c r="F4048" s="4" t="inlineStr">
        <is>
          <t>GOC Bed Unit-Costing Model v2 — working original.xlsx</t>
        </is>
      </c>
    </row>
    <row r="4049" ht="40" customHeight="1">
      <c r="A4049" s="4" t="inlineStr">
        <is>
          <t>original:Production!B12</t>
        </is>
      </c>
      <c r="B4049" s="4" t="inlineStr">
        <is>
          <t>Production</t>
        </is>
      </c>
      <c r="C4049" s="4" t="inlineStr">
        <is>
          <t>B12</t>
        </is>
      </c>
      <c r="D4049" s="4" t="inlineStr">
        <is>
          <t>WITTA</t>
        </is>
      </c>
      <c r="E4049" s="4" t="inlineStr">
        <is>
          <t>WITTA</t>
        </is>
      </c>
      <c r="F4049" s="4" t="inlineStr">
        <is>
          <t>GOC Bed Unit-Costing Model v2 — working original.xlsx</t>
        </is>
      </c>
    </row>
    <row r="4050" ht="40" customHeight="1">
      <c r="A4050" s="4" t="inlineStr">
        <is>
          <t>original:Production!C12</t>
        </is>
      </c>
      <c r="B4050" s="4" t="inlineStr">
        <is>
          <t>Production</t>
        </is>
      </c>
      <c r="C4050" s="4" t="inlineStr">
        <is>
          <t>C12</t>
        </is>
      </c>
      <c r="D4050" s="4" t="inlineStr">
        <is>
          <t>=Sites!G6</t>
        </is>
      </c>
      <c r="E4050" s="4" t="n">
        <v>10</v>
      </c>
      <c r="F4050" s="4" t="inlineStr">
        <is>
          <t>GOC Bed Unit-Costing Model v2 — working original.xlsx</t>
        </is>
      </c>
    </row>
    <row r="4051" ht="40" customHeight="1">
      <c r="A4051" s="4" t="inlineStr">
        <is>
          <t>original:Production!D12</t>
        </is>
      </c>
      <c r="B4051" s="4" t="inlineStr">
        <is>
          <t>Production</t>
        </is>
      </c>
      <c r="C4051" s="4" t="inlineStr">
        <is>
          <t>D12</t>
        </is>
      </c>
      <c r="D4051" s="4" t="n">
        <v>0.5</v>
      </c>
      <c r="E4051" s="4" t="n">
        <v>0.5</v>
      </c>
      <c r="F4051" s="4" t="inlineStr">
        <is>
          <t>GOC Bed Unit-Costing Model v2 — working original.xlsx</t>
        </is>
      </c>
    </row>
    <row r="4052" ht="40" customHeight="1">
      <c r="A4052" s="4" t="inlineStr">
        <is>
          <t>original:Production!E12</t>
        </is>
      </c>
      <c r="B4052" s="4" t="inlineStr">
        <is>
          <t>Production</t>
        </is>
      </c>
      <c r="C4052" s="4" t="inlineStr">
        <is>
          <t>E12</t>
        </is>
      </c>
      <c r="D4052" s="4" t="inlineStr">
        <is>
          <t>=IF(A12&lt;Sites!F6,0,ROUNDDOWN(C12*D12*Sites!H6,0))</t>
        </is>
      </c>
      <c r="E4052" s="4" t="n">
        <v>20</v>
      </c>
      <c r="F4052" s="4" t="inlineStr">
        <is>
          <t>GOC Bed Unit-Costing Model v2 — working original.xlsx</t>
        </is>
      </c>
    </row>
    <row r="4053" ht="40" customHeight="1">
      <c r="A4053" s="4" t="inlineStr">
        <is>
          <t>original:Production!F12</t>
        </is>
      </c>
      <c r="B4053" s="4" t="inlineStr">
        <is>
          <t>Production</t>
        </is>
      </c>
      <c r="C4053" s="4" t="inlineStr">
        <is>
          <t>F12</t>
        </is>
      </c>
      <c r="D4053" s="4" t="n">
        <v>10</v>
      </c>
      <c r="E4053" s="4" t="n">
        <v>10</v>
      </c>
      <c r="F4053" s="4" t="inlineStr">
        <is>
          <t>GOC Bed Unit-Costing Model v2 — working original.xlsx</t>
        </is>
      </c>
    </row>
    <row r="4054" ht="40" customHeight="1">
      <c r="A4054" s="4" t="inlineStr">
        <is>
          <t>original:Production!G12</t>
        </is>
      </c>
      <c r="B4054" s="4" t="inlineStr">
        <is>
          <t>Production</t>
        </is>
      </c>
      <c r="C4054" s="4" t="inlineStr">
        <is>
          <t>G12</t>
        </is>
      </c>
      <c r="D4054" s="4" t="n">
        <v>10</v>
      </c>
      <c r="E4054" s="4" t="n">
        <v>10</v>
      </c>
      <c r="F4054" s="4" t="inlineStr">
        <is>
          <t>GOC Bed Unit-Costing Model v2 — working original.xlsx</t>
        </is>
      </c>
    </row>
    <row r="4055" ht="40" customHeight="1">
      <c r="A4055" s="4" t="inlineStr">
        <is>
          <t>original:Production!H12</t>
        </is>
      </c>
      <c r="B4055" s="4" t="inlineStr">
        <is>
          <t>Production</t>
        </is>
      </c>
      <c r="C4055" s="4" t="inlineStr">
        <is>
          <t>H12</t>
        </is>
      </c>
      <c r="D4055" s="4" t="n">
        <v>0</v>
      </c>
      <c r="E4055" s="4" t="n">
        <v>0</v>
      </c>
      <c r="F4055" s="4" t="inlineStr">
        <is>
          <t>GOC Bed Unit-Costing Model v2 — working original.xlsx</t>
        </is>
      </c>
    </row>
    <row r="4056" ht="40" customHeight="1">
      <c r="A4056" s="4" t="inlineStr">
        <is>
          <t>original:Production!I12</t>
        </is>
      </c>
      <c r="B4056" s="4" t="inlineStr">
        <is>
          <t>Production</t>
        </is>
      </c>
      <c r="C4056" s="4" t="inlineStr">
        <is>
          <t>I12</t>
        </is>
      </c>
      <c r="D4056" s="4" t="inlineStr">
        <is>
          <t>=J9</t>
        </is>
      </c>
      <c r="E4056" s="4" t="n">
        <v>0</v>
      </c>
      <c r="F4056" s="4" t="inlineStr">
        <is>
          <t>GOC Bed Unit-Costing Model v2 — working original.xlsx</t>
        </is>
      </c>
    </row>
    <row r="4057" ht="40" customHeight="1">
      <c r="A4057" s="4" t="inlineStr">
        <is>
          <t>original:Production!J12</t>
        </is>
      </c>
      <c r="B4057" s="4" t="inlineStr">
        <is>
          <t>Production</t>
        </is>
      </c>
      <c r="C4057" s="4" t="inlineStr">
        <is>
          <t>J12</t>
        </is>
      </c>
      <c r="D4057" s="4" t="inlineStr">
        <is>
          <t>=I12+F12-G12-H12</t>
        </is>
      </c>
      <c r="E4057" s="4" t="n">
        <v>0</v>
      </c>
      <c r="F4057" s="4" t="inlineStr">
        <is>
          <t>GOC Bed Unit-Costing Model v2 — working original.xlsx</t>
        </is>
      </c>
    </row>
    <row r="4058" ht="40" customHeight="1">
      <c r="A4058" s="4" t="inlineStr">
        <is>
          <t>original:Production!K12</t>
        </is>
      </c>
      <c r="B4058" s="4" t="inlineStr">
        <is>
          <t>Production</t>
        </is>
      </c>
      <c r="C4058" s="4" t="inlineStr">
        <is>
          <t>K12</t>
        </is>
      </c>
      <c r="D4058" s="4" t="inlineStr">
        <is>
          <t>=IF(ISNUMBER('Unit costs'!C13),F12*'Unit costs'!C13,"")</t>
        </is>
      </c>
      <c r="E4058" s="4" t="n">
        <v>2957.4</v>
      </c>
      <c r="F4058" s="4" t="inlineStr">
        <is>
          <t>GOC Bed Unit-Costing Model v2 — working original.xlsx</t>
        </is>
      </c>
    </row>
    <row r="4059" ht="40" customHeight="1">
      <c r="A4059" s="4" t="inlineStr">
        <is>
          <t>original:Production!L12</t>
        </is>
      </c>
      <c r="B4059" s="4" t="inlineStr">
        <is>
          <t>Production</t>
        </is>
      </c>
      <c r="C4059" s="4" t="inlineStr">
        <is>
          <t>L12</t>
        </is>
      </c>
      <c r="D4059" s="4" t="inlineStr">
        <is>
          <t>=IF(ISNUMBER('Unit costs'!C12),(G12+H12)*'Unit costs'!C12,"")</t>
        </is>
      </c>
      <c r="E4059" s="4" t="n">
        <v>1500</v>
      </c>
      <c r="F4059" s="4" t="inlineStr">
        <is>
          <t>GOC Bed Unit-Costing Model v2 — working original.xlsx</t>
        </is>
      </c>
    </row>
    <row r="4060" ht="40" customHeight="1">
      <c r="A4060" s="4" t="inlineStr">
        <is>
          <t>original:Production!M12</t>
        </is>
      </c>
      <c r="B4060" s="4" t="inlineStr">
        <is>
          <t>Production</t>
        </is>
      </c>
      <c r="C4060" s="4" t="inlineStr">
        <is>
          <t>M12</t>
        </is>
      </c>
      <c r="D4060" s="4" t="inlineStr">
        <is>
          <t>=H12*Overview!$B$8</t>
        </is>
      </c>
      <c r="E4060" s="4" t="n">
        <v>0</v>
      </c>
      <c r="F4060" s="4" t="inlineStr">
        <is>
          <t>GOC Bed Unit-Costing Model v2 — working original.xlsx</t>
        </is>
      </c>
    </row>
    <row r="4061" ht="45" customHeight="1">
      <c r="A4061" s="4" t="inlineStr">
        <is>
          <t>original:Production!N12</t>
        </is>
      </c>
      <c r="B4061" s="4" t="inlineStr">
        <is>
          <t>Production</t>
        </is>
      </c>
      <c r="C4061" s="4" t="inlineStr">
        <is>
          <t>N12</t>
        </is>
      </c>
      <c r="D4061" s="4" t="inlineStr">
        <is>
          <t>=IF(OR(F12&lt;0,G12&lt;0,H12&lt;0,D12&lt;0,D12&gt;1),"Invalid input",IF(F12&gt;E12,"Above capacity",IF(J12&lt;0,"Not enough stock","Within modelled capacity")))</t>
        </is>
      </c>
      <c r="E4061" s="4" t="inlineStr">
        <is>
          <t>Within modelled capacity</t>
        </is>
      </c>
      <c r="F4061" s="4" t="inlineStr">
        <is>
          <t>GOC Bed Unit-Costing Model v2 — working original.xlsx</t>
        </is>
      </c>
    </row>
    <row r="4062" ht="40" customHeight="1">
      <c r="A4062" s="4" t="inlineStr">
        <is>
          <t>original:Production!A13</t>
        </is>
      </c>
      <c r="B4062" s="4" t="inlineStr">
        <is>
          <t>Production</t>
        </is>
      </c>
      <c r="C4062" s="4" t="inlineStr">
        <is>
          <t>A13</t>
        </is>
      </c>
      <c r="D4062" s="4" t="n">
        <v>3</v>
      </c>
      <c r="E4062" s="4" t="n">
        <v>3</v>
      </c>
      <c r="F4062" s="4" t="inlineStr">
        <is>
          <t>GOC Bed Unit-Costing Model v2 — working original.xlsx</t>
        </is>
      </c>
    </row>
    <row r="4063" ht="40" customHeight="1">
      <c r="A4063" s="4" t="inlineStr">
        <is>
          <t>original:Production!B13</t>
        </is>
      </c>
      <c r="B4063" s="4" t="inlineStr">
        <is>
          <t>Production</t>
        </is>
      </c>
      <c r="C4063" s="4" t="inlineStr">
        <is>
          <t>B13</t>
        </is>
      </c>
      <c r="D4063" s="4" t="inlineStr">
        <is>
          <t>NEW1</t>
        </is>
      </c>
      <c r="E4063" s="4" t="inlineStr">
        <is>
          <t>NEW1</t>
        </is>
      </c>
      <c r="F4063" s="4" t="inlineStr">
        <is>
          <t>GOC Bed Unit-Costing Model v2 — working original.xlsx</t>
        </is>
      </c>
    </row>
    <row r="4064" ht="40" customHeight="1">
      <c r="A4064" s="4" t="inlineStr">
        <is>
          <t>original:Production!C13</t>
        </is>
      </c>
      <c r="B4064" s="4" t="inlineStr">
        <is>
          <t>Production</t>
        </is>
      </c>
      <c r="C4064" s="4" t="inlineStr">
        <is>
          <t>C13</t>
        </is>
      </c>
      <c r="D4064" s="4" t="inlineStr">
        <is>
          <t>=Sites!G7</t>
        </is>
      </c>
      <c r="E4064" s="4" t="n">
        <v>10</v>
      </c>
      <c r="F4064" s="4" t="inlineStr">
        <is>
          <t>GOC Bed Unit-Costing Model v2 — working original.xlsx</t>
        </is>
      </c>
    </row>
    <row r="4065" ht="40" customHeight="1">
      <c r="A4065" s="4" t="inlineStr">
        <is>
          <t>original:Production!D13</t>
        </is>
      </c>
      <c r="B4065" s="4" t="inlineStr">
        <is>
          <t>Production</t>
        </is>
      </c>
      <c r="C4065" s="4" t="inlineStr">
        <is>
          <t>D13</t>
        </is>
      </c>
      <c r="D4065" s="4" t="n">
        <v>0</v>
      </c>
      <c r="E4065" s="4" t="n">
        <v>0</v>
      </c>
      <c r="F4065" s="4" t="inlineStr">
        <is>
          <t>GOC Bed Unit-Costing Model v2 — working original.xlsx</t>
        </is>
      </c>
    </row>
    <row r="4066" ht="40" customHeight="1">
      <c r="A4066" s="4" t="inlineStr">
        <is>
          <t>original:Production!E13</t>
        </is>
      </c>
      <c r="B4066" s="4" t="inlineStr">
        <is>
          <t>Production</t>
        </is>
      </c>
      <c r="C4066" s="4" t="inlineStr">
        <is>
          <t>E13</t>
        </is>
      </c>
      <c r="D4066" s="4" t="inlineStr">
        <is>
          <t>=IF(A13&lt;Sites!F7,0,ROUNDDOWN(C13*D13*Sites!H7,0))</t>
        </is>
      </c>
      <c r="E4066" s="4" t="n">
        <v>0</v>
      </c>
      <c r="F4066" s="4" t="inlineStr">
        <is>
          <t>GOC Bed Unit-Costing Model v2 — working original.xlsx</t>
        </is>
      </c>
    </row>
    <row r="4067" ht="40" customHeight="1">
      <c r="A4067" s="4" t="inlineStr">
        <is>
          <t>original:Production!F13</t>
        </is>
      </c>
      <c r="B4067" s="4" t="inlineStr">
        <is>
          <t>Production</t>
        </is>
      </c>
      <c r="C4067" s="4" t="inlineStr">
        <is>
          <t>F13</t>
        </is>
      </c>
      <c r="D4067" s="4" t="n">
        <v>0</v>
      </c>
      <c r="E4067" s="4" t="n">
        <v>0</v>
      </c>
      <c r="F4067" s="4" t="inlineStr">
        <is>
          <t>GOC Bed Unit-Costing Model v2 — working original.xlsx</t>
        </is>
      </c>
    </row>
    <row r="4068" ht="40" customHeight="1">
      <c r="A4068" s="4" t="inlineStr">
        <is>
          <t>original:Production!G13</t>
        </is>
      </c>
      <c r="B4068" s="4" t="inlineStr">
        <is>
          <t>Production</t>
        </is>
      </c>
      <c r="C4068" s="4" t="inlineStr">
        <is>
          <t>G13</t>
        </is>
      </c>
      <c r="D4068" s="4" t="n">
        <v>0</v>
      </c>
      <c r="E4068" s="4" t="n">
        <v>0</v>
      </c>
      <c r="F4068" s="4" t="inlineStr">
        <is>
          <t>GOC Bed Unit-Costing Model v2 — working original.xlsx</t>
        </is>
      </c>
    </row>
    <row r="4069" ht="40" customHeight="1">
      <c r="A4069" s="4" t="inlineStr">
        <is>
          <t>original:Production!H13</t>
        </is>
      </c>
      <c r="B4069" s="4" t="inlineStr">
        <is>
          <t>Production</t>
        </is>
      </c>
      <c r="C4069" s="4" t="inlineStr">
        <is>
          <t>H13</t>
        </is>
      </c>
      <c r="D4069" s="4" t="n">
        <v>0</v>
      </c>
      <c r="E4069" s="4" t="n">
        <v>0</v>
      </c>
      <c r="F4069" s="4" t="inlineStr">
        <is>
          <t>GOC Bed Unit-Costing Model v2 — working original.xlsx</t>
        </is>
      </c>
    </row>
    <row r="4070" ht="40" customHeight="1">
      <c r="A4070" s="4" t="inlineStr">
        <is>
          <t>original:Production!I13</t>
        </is>
      </c>
      <c r="B4070" s="4" t="inlineStr">
        <is>
          <t>Production</t>
        </is>
      </c>
      <c r="C4070" s="4" t="inlineStr">
        <is>
          <t>I13</t>
        </is>
      </c>
      <c r="D4070" s="4" t="inlineStr">
        <is>
          <t>=J10</t>
        </is>
      </c>
      <c r="E4070" s="4" t="n">
        <v>0</v>
      </c>
      <c r="F4070" s="4" t="inlineStr">
        <is>
          <t>GOC Bed Unit-Costing Model v2 — working original.xlsx</t>
        </is>
      </c>
    </row>
    <row r="4071" ht="40" customHeight="1">
      <c r="A4071" s="4" t="inlineStr">
        <is>
          <t>original:Production!J13</t>
        </is>
      </c>
      <c r="B4071" s="4" t="inlineStr">
        <is>
          <t>Production</t>
        </is>
      </c>
      <c r="C4071" s="4" t="inlineStr">
        <is>
          <t>J13</t>
        </is>
      </c>
      <c r="D4071" s="4" t="inlineStr">
        <is>
          <t>=I13+F13-G13-H13</t>
        </is>
      </c>
      <c r="E4071" s="4" t="n">
        <v>0</v>
      </c>
      <c r="F4071" s="4" t="inlineStr">
        <is>
          <t>GOC Bed Unit-Costing Model v2 — working original.xlsx</t>
        </is>
      </c>
    </row>
    <row r="4072" ht="40" customHeight="1">
      <c r="A4072" s="4" t="inlineStr">
        <is>
          <t>original:Production!K13</t>
        </is>
      </c>
      <c r="B4072" s="4" t="inlineStr">
        <is>
          <t>Production</t>
        </is>
      </c>
      <c r="C4072" s="4" t="inlineStr">
        <is>
          <t>K13</t>
        </is>
      </c>
      <c r="D4072" s="4" t="inlineStr">
        <is>
          <t>=IF(ISNUMBER('Unit costs'!D13),F13*'Unit costs'!D13,"")</t>
        </is>
      </c>
      <c r="E4072" s="4" t="n">
        <v>0</v>
      </c>
      <c r="F4072" s="4" t="inlineStr">
        <is>
          <t>GOC Bed Unit-Costing Model v2 — working original.xlsx</t>
        </is>
      </c>
    </row>
    <row r="4073" ht="40" customHeight="1">
      <c r="A4073" s="4" t="inlineStr">
        <is>
          <t>original:Production!L13</t>
        </is>
      </c>
      <c r="B4073" s="4" t="inlineStr">
        <is>
          <t>Production</t>
        </is>
      </c>
      <c r="C4073" s="4" t="inlineStr">
        <is>
          <t>L13</t>
        </is>
      </c>
      <c r="D4073" s="4" t="inlineStr">
        <is>
          <t>=IF(ISNUMBER('Unit costs'!D12),(G13+H13)*'Unit costs'!D12,"")</t>
        </is>
      </c>
      <c r="E4073" s="4" t="n">
        <v>0</v>
      </c>
      <c r="F4073" s="4" t="inlineStr">
        <is>
          <t>GOC Bed Unit-Costing Model v2 — working original.xlsx</t>
        </is>
      </c>
    </row>
    <row r="4074" ht="40" customHeight="1">
      <c r="A4074" s="4" t="inlineStr">
        <is>
          <t>original:Production!M13</t>
        </is>
      </c>
      <c r="B4074" s="4" t="inlineStr">
        <is>
          <t>Production</t>
        </is>
      </c>
      <c r="C4074" s="4" t="inlineStr">
        <is>
          <t>M13</t>
        </is>
      </c>
      <c r="D4074" s="4" t="inlineStr">
        <is>
          <t>=H13*Overview!$B$8</t>
        </is>
      </c>
      <c r="E4074" s="4" t="n">
        <v>0</v>
      </c>
      <c r="F4074" s="4" t="inlineStr">
        <is>
          <t>GOC Bed Unit-Costing Model v2 — working original.xlsx</t>
        </is>
      </c>
    </row>
    <row r="4075" ht="45" customHeight="1">
      <c r="A4075" s="4" t="inlineStr">
        <is>
          <t>original:Production!N13</t>
        </is>
      </c>
      <c r="B4075" s="4" t="inlineStr">
        <is>
          <t>Production</t>
        </is>
      </c>
      <c r="C4075" s="4" t="inlineStr">
        <is>
          <t>N13</t>
        </is>
      </c>
      <c r="D4075" s="4" t="inlineStr">
        <is>
          <t>=IF(OR(F13&lt;0,G13&lt;0,H13&lt;0,D13&lt;0,D13&gt;1),"Invalid input",IF(F13&gt;E13,"Above capacity",IF(J13&lt;0,"Not enough stock","Within modelled capacity")))</t>
        </is>
      </c>
      <c r="E4075" s="4" t="inlineStr">
        <is>
          <t>Within modelled capacity</t>
        </is>
      </c>
      <c r="F4075" s="4" t="inlineStr">
        <is>
          <t>GOC Bed Unit-Costing Model v2 — working original.xlsx</t>
        </is>
      </c>
    </row>
    <row r="4076" ht="40" customHeight="1">
      <c r="A4076" s="4" t="inlineStr">
        <is>
          <t>original:Production!A14</t>
        </is>
      </c>
      <c r="B4076" s="4" t="inlineStr">
        <is>
          <t>Production</t>
        </is>
      </c>
      <c r="C4076" s="4" t="inlineStr">
        <is>
          <t>A14</t>
        </is>
      </c>
      <c r="D4076" s="4" t="n">
        <v>3</v>
      </c>
      <c r="E4076" s="4" t="n">
        <v>3</v>
      </c>
      <c r="F4076" s="4" t="inlineStr">
        <is>
          <t>GOC Bed Unit-Costing Model v2 — working original.xlsx</t>
        </is>
      </c>
    </row>
    <row r="4077" ht="40" customHeight="1">
      <c r="A4077" s="4" t="inlineStr">
        <is>
          <t>original:Production!B14</t>
        </is>
      </c>
      <c r="B4077" s="4" t="inlineStr">
        <is>
          <t>Production</t>
        </is>
      </c>
      <c r="C4077" s="4" t="inlineStr">
        <is>
          <t>B14</t>
        </is>
      </c>
      <c r="D4077" s="4" t="inlineStr">
        <is>
          <t>NEW2</t>
        </is>
      </c>
      <c r="E4077" s="4" t="inlineStr">
        <is>
          <t>NEW2</t>
        </is>
      </c>
      <c r="F4077" s="4" t="inlineStr">
        <is>
          <t>GOC Bed Unit-Costing Model v2 — working original.xlsx</t>
        </is>
      </c>
    </row>
    <row r="4078" ht="40" customHeight="1">
      <c r="A4078" s="4" t="inlineStr">
        <is>
          <t>original:Production!C14</t>
        </is>
      </c>
      <c r="B4078" s="4" t="inlineStr">
        <is>
          <t>Production</t>
        </is>
      </c>
      <c r="C4078" s="4" t="inlineStr">
        <is>
          <t>C14</t>
        </is>
      </c>
      <c r="D4078" s="4" t="inlineStr">
        <is>
          <t>=Sites!G8</t>
        </is>
      </c>
      <c r="E4078" s="4" t="n">
        <v>10</v>
      </c>
      <c r="F4078" s="4" t="inlineStr">
        <is>
          <t>GOC Bed Unit-Costing Model v2 — working original.xlsx</t>
        </is>
      </c>
    </row>
    <row r="4079" ht="40" customHeight="1">
      <c r="A4079" s="4" t="inlineStr">
        <is>
          <t>original:Production!D14</t>
        </is>
      </c>
      <c r="B4079" s="4" t="inlineStr">
        <is>
          <t>Production</t>
        </is>
      </c>
      <c r="C4079" s="4" t="inlineStr">
        <is>
          <t>D14</t>
        </is>
      </c>
      <c r="D4079" s="4" t="n">
        <v>0</v>
      </c>
      <c r="E4079" s="4" t="n">
        <v>0</v>
      </c>
      <c r="F4079" s="4" t="inlineStr">
        <is>
          <t>GOC Bed Unit-Costing Model v2 — working original.xlsx</t>
        </is>
      </c>
    </row>
    <row r="4080" ht="40" customHeight="1">
      <c r="A4080" s="4" t="inlineStr">
        <is>
          <t>original:Production!E14</t>
        </is>
      </c>
      <c r="B4080" s="4" t="inlineStr">
        <is>
          <t>Production</t>
        </is>
      </c>
      <c r="C4080" s="4" t="inlineStr">
        <is>
          <t>E14</t>
        </is>
      </c>
      <c r="D4080" s="4" t="inlineStr">
        <is>
          <t>=IF(A14&lt;Sites!F8,0,ROUNDDOWN(C14*D14*Sites!H8,0))</t>
        </is>
      </c>
      <c r="E4080" s="4" t="n">
        <v>0</v>
      </c>
      <c r="F4080" s="4" t="inlineStr">
        <is>
          <t>GOC Bed Unit-Costing Model v2 — working original.xlsx</t>
        </is>
      </c>
    </row>
    <row r="4081" ht="40" customHeight="1">
      <c r="A4081" s="4" t="inlineStr">
        <is>
          <t>original:Production!F14</t>
        </is>
      </c>
      <c r="B4081" s="4" t="inlineStr">
        <is>
          <t>Production</t>
        </is>
      </c>
      <c r="C4081" s="4" t="inlineStr">
        <is>
          <t>F14</t>
        </is>
      </c>
      <c r="D4081" s="4" t="n">
        <v>0</v>
      </c>
      <c r="E4081" s="4" t="n">
        <v>0</v>
      </c>
      <c r="F4081" s="4" t="inlineStr">
        <is>
          <t>GOC Bed Unit-Costing Model v2 — working original.xlsx</t>
        </is>
      </c>
    </row>
    <row r="4082" ht="40" customHeight="1">
      <c r="A4082" s="4" t="inlineStr">
        <is>
          <t>original:Production!G14</t>
        </is>
      </c>
      <c r="B4082" s="4" t="inlineStr">
        <is>
          <t>Production</t>
        </is>
      </c>
      <c r="C4082" s="4" t="inlineStr">
        <is>
          <t>G14</t>
        </is>
      </c>
      <c r="D4082" s="4" t="n">
        <v>0</v>
      </c>
      <c r="E4082" s="4" t="n">
        <v>0</v>
      </c>
      <c r="F4082" s="4" t="inlineStr">
        <is>
          <t>GOC Bed Unit-Costing Model v2 — working original.xlsx</t>
        </is>
      </c>
    </row>
    <row r="4083" ht="40" customHeight="1">
      <c r="A4083" s="4" t="inlineStr">
        <is>
          <t>original:Production!H14</t>
        </is>
      </c>
      <c r="B4083" s="4" t="inlineStr">
        <is>
          <t>Production</t>
        </is>
      </c>
      <c r="C4083" s="4" t="inlineStr">
        <is>
          <t>H14</t>
        </is>
      </c>
      <c r="D4083" s="4" t="n">
        <v>0</v>
      </c>
      <c r="E4083" s="4" t="n">
        <v>0</v>
      </c>
      <c r="F4083" s="4" t="inlineStr">
        <is>
          <t>GOC Bed Unit-Costing Model v2 — working original.xlsx</t>
        </is>
      </c>
    </row>
    <row r="4084" ht="40" customHeight="1">
      <c r="A4084" s="4" t="inlineStr">
        <is>
          <t>original:Production!I14</t>
        </is>
      </c>
      <c r="B4084" s="4" t="inlineStr">
        <is>
          <t>Production</t>
        </is>
      </c>
      <c r="C4084" s="4" t="inlineStr">
        <is>
          <t>I14</t>
        </is>
      </c>
      <c r="D4084" s="4" t="inlineStr">
        <is>
          <t>=J11</t>
        </is>
      </c>
      <c r="E4084" s="4" t="n">
        <v>0</v>
      </c>
      <c r="F4084" s="4" t="inlineStr">
        <is>
          <t>GOC Bed Unit-Costing Model v2 — working original.xlsx</t>
        </is>
      </c>
    </row>
    <row r="4085" ht="40" customHeight="1">
      <c r="A4085" s="4" t="inlineStr">
        <is>
          <t>original:Production!J14</t>
        </is>
      </c>
      <c r="B4085" s="4" t="inlineStr">
        <is>
          <t>Production</t>
        </is>
      </c>
      <c r="C4085" s="4" t="inlineStr">
        <is>
          <t>J14</t>
        </is>
      </c>
      <c r="D4085" s="4" t="inlineStr">
        <is>
          <t>=I14+F14-G14-H14</t>
        </is>
      </c>
      <c r="E4085" s="4" t="n">
        <v>0</v>
      </c>
      <c r="F4085" s="4" t="inlineStr">
        <is>
          <t>GOC Bed Unit-Costing Model v2 — working original.xlsx</t>
        </is>
      </c>
    </row>
    <row r="4086" ht="40" customHeight="1">
      <c r="A4086" s="4" t="inlineStr">
        <is>
          <t>original:Production!K14</t>
        </is>
      </c>
      <c r="B4086" s="4" t="inlineStr">
        <is>
          <t>Production</t>
        </is>
      </c>
      <c r="C4086" s="4" t="inlineStr">
        <is>
          <t>K14</t>
        </is>
      </c>
      <c r="D4086" s="4" t="inlineStr">
        <is>
          <t>=IF(ISNUMBER('Unit costs'!E13),F14*'Unit costs'!E13,"")</t>
        </is>
      </c>
      <c r="E4086" s="4" t="n">
        <v>0</v>
      </c>
      <c r="F4086" s="4" t="inlineStr">
        <is>
          <t>GOC Bed Unit-Costing Model v2 — working original.xlsx</t>
        </is>
      </c>
    </row>
    <row r="4087" ht="40" customHeight="1">
      <c r="A4087" s="4" t="inlineStr">
        <is>
          <t>original:Production!L14</t>
        </is>
      </c>
      <c r="B4087" s="4" t="inlineStr">
        <is>
          <t>Production</t>
        </is>
      </c>
      <c r="C4087" s="4" t="inlineStr">
        <is>
          <t>L14</t>
        </is>
      </c>
      <c r="D4087" s="4" t="inlineStr">
        <is>
          <t>=IF(ISNUMBER('Unit costs'!E12),(G14+H14)*'Unit costs'!E12,"")</t>
        </is>
      </c>
      <c r="E4087" s="4" t="n">
        <v>0</v>
      </c>
      <c r="F4087" s="4" t="inlineStr">
        <is>
          <t>GOC Bed Unit-Costing Model v2 — working original.xlsx</t>
        </is>
      </c>
    </row>
    <row r="4088" ht="40" customHeight="1">
      <c r="A4088" s="4" t="inlineStr">
        <is>
          <t>original:Production!M14</t>
        </is>
      </c>
      <c r="B4088" s="4" t="inlineStr">
        <is>
          <t>Production</t>
        </is>
      </c>
      <c r="C4088" s="4" t="inlineStr">
        <is>
          <t>M14</t>
        </is>
      </c>
      <c r="D4088" s="4" t="inlineStr">
        <is>
          <t>=H14*Overview!$B$8</t>
        </is>
      </c>
      <c r="E4088" s="4" t="n">
        <v>0</v>
      </c>
      <c r="F4088" s="4" t="inlineStr">
        <is>
          <t>GOC Bed Unit-Costing Model v2 — working original.xlsx</t>
        </is>
      </c>
    </row>
    <row r="4089" ht="45" customHeight="1">
      <c r="A4089" s="4" t="inlineStr">
        <is>
          <t>original:Production!N14</t>
        </is>
      </c>
      <c r="B4089" s="4" t="inlineStr">
        <is>
          <t>Production</t>
        </is>
      </c>
      <c r="C4089" s="4" t="inlineStr">
        <is>
          <t>N14</t>
        </is>
      </c>
      <c r="D4089" s="4" t="inlineStr">
        <is>
          <t>=IF(OR(F14&lt;0,G14&lt;0,H14&lt;0,D14&lt;0,D14&gt;1),"Invalid input",IF(F14&gt;E14,"Above capacity",IF(J14&lt;0,"Not enough stock","Within modelled capacity")))</t>
        </is>
      </c>
      <c r="E4089" s="4" t="inlineStr">
        <is>
          <t>Within modelled capacity</t>
        </is>
      </c>
      <c r="F4089" s="4" t="inlineStr">
        <is>
          <t>GOC Bed Unit-Costing Model v2 — working original.xlsx</t>
        </is>
      </c>
    </row>
    <row r="4090" ht="40" customHeight="1">
      <c r="A4090" s="4" t="inlineStr">
        <is>
          <t>original:Production!A15</t>
        </is>
      </c>
      <c r="B4090" s="4" t="inlineStr">
        <is>
          <t>Production</t>
        </is>
      </c>
      <c r="C4090" s="4" t="inlineStr">
        <is>
          <t>A15</t>
        </is>
      </c>
      <c r="D4090" s="4" t="n">
        <v>4</v>
      </c>
      <c r="E4090" s="4" t="n">
        <v>4</v>
      </c>
      <c r="F4090" s="4" t="inlineStr">
        <is>
          <t>GOC Bed Unit-Costing Model v2 — working original.xlsx</t>
        </is>
      </c>
    </row>
    <row r="4091" ht="40" customHeight="1">
      <c r="A4091" s="4" t="inlineStr">
        <is>
          <t>original:Production!B15</t>
        </is>
      </c>
      <c r="B4091" s="4" t="inlineStr">
        <is>
          <t>Production</t>
        </is>
      </c>
      <c r="C4091" s="4" t="inlineStr">
        <is>
          <t>B15</t>
        </is>
      </c>
      <c r="D4091" s="4" t="inlineStr">
        <is>
          <t>WITTA</t>
        </is>
      </c>
      <c r="E4091" s="4" t="inlineStr">
        <is>
          <t>WITTA</t>
        </is>
      </c>
      <c r="F4091" s="4" t="inlineStr">
        <is>
          <t>GOC Bed Unit-Costing Model v2 — working original.xlsx</t>
        </is>
      </c>
    </row>
    <row r="4092" ht="40" customHeight="1">
      <c r="A4092" s="4" t="inlineStr">
        <is>
          <t>original:Production!C15</t>
        </is>
      </c>
      <c r="B4092" s="4" t="inlineStr">
        <is>
          <t>Production</t>
        </is>
      </c>
      <c r="C4092" s="4" t="inlineStr">
        <is>
          <t>C15</t>
        </is>
      </c>
      <c r="D4092" s="4" t="inlineStr">
        <is>
          <t>=Sites!G6</t>
        </is>
      </c>
      <c r="E4092" s="4" t="n">
        <v>10</v>
      </c>
      <c r="F4092" s="4" t="inlineStr">
        <is>
          <t>GOC Bed Unit-Costing Model v2 — working original.xlsx</t>
        </is>
      </c>
    </row>
    <row r="4093" ht="40" customHeight="1">
      <c r="A4093" s="4" t="inlineStr">
        <is>
          <t>original:Production!D15</t>
        </is>
      </c>
      <c r="B4093" s="4" t="inlineStr">
        <is>
          <t>Production</t>
        </is>
      </c>
      <c r="C4093" s="4" t="inlineStr">
        <is>
          <t>D15</t>
        </is>
      </c>
      <c r="D4093" s="4" t="n">
        <v>0.75</v>
      </c>
      <c r="E4093" s="4" t="n">
        <v>0.75</v>
      </c>
      <c r="F4093" s="4" t="inlineStr">
        <is>
          <t>GOC Bed Unit-Costing Model v2 — working original.xlsx</t>
        </is>
      </c>
    </row>
    <row r="4094" ht="40" customHeight="1">
      <c r="A4094" s="4" t="inlineStr">
        <is>
          <t>original:Production!E15</t>
        </is>
      </c>
      <c r="B4094" s="4" t="inlineStr">
        <is>
          <t>Production</t>
        </is>
      </c>
      <c r="C4094" s="4" t="inlineStr">
        <is>
          <t>E15</t>
        </is>
      </c>
      <c r="D4094" s="4" t="inlineStr">
        <is>
          <t>=IF(A15&lt;Sites!F6,0,ROUNDDOWN(C15*D15*Sites!H6,0))</t>
        </is>
      </c>
      <c r="E4094" s="4" t="n">
        <v>30</v>
      </c>
      <c r="F4094" s="4" t="inlineStr">
        <is>
          <t>GOC Bed Unit-Costing Model v2 — working original.xlsx</t>
        </is>
      </c>
    </row>
    <row r="4095" ht="40" customHeight="1">
      <c r="A4095" s="4" t="inlineStr">
        <is>
          <t>original:Production!F15</t>
        </is>
      </c>
      <c r="B4095" s="4" t="inlineStr">
        <is>
          <t>Production</t>
        </is>
      </c>
      <c r="C4095" s="4" t="inlineStr">
        <is>
          <t>F15</t>
        </is>
      </c>
      <c r="D4095" s="4" t="n">
        <v>15</v>
      </c>
      <c r="E4095" s="4" t="n">
        <v>15</v>
      </c>
      <c r="F4095" s="4" t="inlineStr">
        <is>
          <t>GOC Bed Unit-Costing Model v2 — working original.xlsx</t>
        </is>
      </c>
    </row>
    <row r="4096" ht="40" customHeight="1">
      <c r="A4096" s="4" t="inlineStr">
        <is>
          <t>original:Production!G15</t>
        </is>
      </c>
      <c r="B4096" s="4" t="inlineStr">
        <is>
          <t>Production</t>
        </is>
      </c>
      <c r="C4096" s="4" t="inlineStr">
        <is>
          <t>G15</t>
        </is>
      </c>
      <c r="D4096" s="4" t="n">
        <v>15</v>
      </c>
      <c r="E4096" s="4" t="n">
        <v>15</v>
      </c>
      <c r="F4096" s="4" t="inlineStr">
        <is>
          <t>GOC Bed Unit-Costing Model v2 — working original.xlsx</t>
        </is>
      </c>
    </row>
    <row r="4097" ht="40" customHeight="1">
      <c r="A4097" s="4" t="inlineStr">
        <is>
          <t>original:Production!H15</t>
        </is>
      </c>
      <c r="B4097" s="4" t="inlineStr">
        <is>
          <t>Production</t>
        </is>
      </c>
      <c r="C4097" s="4" t="inlineStr">
        <is>
          <t>H15</t>
        </is>
      </c>
      <c r="D4097" s="4" t="n">
        <v>0</v>
      </c>
      <c r="E4097" s="4" t="n">
        <v>0</v>
      </c>
      <c r="F4097" s="4" t="inlineStr">
        <is>
          <t>GOC Bed Unit-Costing Model v2 — working original.xlsx</t>
        </is>
      </c>
    </row>
    <row r="4098" ht="40" customHeight="1">
      <c r="A4098" s="4" t="inlineStr">
        <is>
          <t>original:Production!I15</t>
        </is>
      </c>
      <c r="B4098" s="4" t="inlineStr">
        <is>
          <t>Production</t>
        </is>
      </c>
      <c r="C4098" s="4" t="inlineStr">
        <is>
          <t>I15</t>
        </is>
      </c>
      <c r="D4098" s="4" t="inlineStr">
        <is>
          <t>=J12</t>
        </is>
      </c>
      <c r="E4098" s="4" t="n">
        <v>0</v>
      </c>
      <c r="F4098" s="4" t="inlineStr">
        <is>
          <t>GOC Bed Unit-Costing Model v2 — working original.xlsx</t>
        </is>
      </c>
    </row>
    <row r="4099" ht="40" customHeight="1">
      <c r="A4099" s="4" t="inlineStr">
        <is>
          <t>original:Production!J15</t>
        </is>
      </c>
      <c r="B4099" s="4" t="inlineStr">
        <is>
          <t>Production</t>
        </is>
      </c>
      <c r="C4099" s="4" t="inlineStr">
        <is>
          <t>J15</t>
        </is>
      </c>
      <c r="D4099" s="4" t="inlineStr">
        <is>
          <t>=I15+F15-G15-H15</t>
        </is>
      </c>
      <c r="E4099" s="4" t="n">
        <v>0</v>
      </c>
      <c r="F4099" s="4" t="inlineStr">
        <is>
          <t>GOC Bed Unit-Costing Model v2 — working original.xlsx</t>
        </is>
      </c>
    </row>
    <row r="4100" ht="40" customHeight="1">
      <c r="A4100" s="4" t="inlineStr">
        <is>
          <t>original:Production!K15</t>
        </is>
      </c>
      <c r="B4100" s="4" t="inlineStr">
        <is>
          <t>Production</t>
        </is>
      </c>
      <c r="C4100" s="4" t="inlineStr">
        <is>
          <t>K15</t>
        </is>
      </c>
      <c r="D4100" s="4" t="inlineStr">
        <is>
          <t>=IF(ISNUMBER('Unit costs'!C13),F15*'Unit costs'!C13,"")</t>
        </is>
      </c>
      <c r="E4100" s="4" t="n">
        <v>4436.1</v>
      </c>
      <c r="F4100" s="4" t="inlineStr">
        <is>
          <t>GOC Bed Unit-Costing Model v2 — working original.xlsx</t>
        </is>
      </c>
    </row>
    <row r="4101" ht="40" customHeight="1">
      <c r="A4101" s="4" t="inlineStr">
        <is>
          <t>original:Production!L15</t>
        </is>
      </c>
      <c r="B4101" s="4" t="inlineStr">
        <is>
          <t>Production</t>
        </is>
      </c>
      <c r="C4101" s="4" t="inlineStr">
        <is>
          <t>L15</t>
        </is>
      </c>
      <c r="D4101" s="4" t="inlineStr">
        <is>
          <t>=IF(ISNUMBER('Unit costs'!C12),(G15+H15)*'Unit costs'!C12,"")</t>
        </is>
      </c>
      <c r="E4101" s="4" t="n">
        <v>2250</v>
      </c>
      <c r="F4101" s="4" t="inlineStr">
        <is>
          <t>GOC Bed Unit-Costing Model v2 — working original.xlsx</t>
        </is>
      </c>
    </row>
    <row r="4102" ht="40" customHeight="1">
      <c r="A4102" s="4" t="inlineStr">
        <is>
          <t>original:Production!M15</t>
        </is>
      </c>
      <c r="B4102" s="4" t="inlineStr">
        <is>
          <t>Production</t>
        </is>
      </c>
      <c r="C4102" s="4" t="inlineStr">
        <is>
          <t>M15</t>
        </is>
      </c>
      <c r="D4102" s="4" t="inlineStr">
        <is>
          <t>=H15*Overview!$B$8</t>
        </is>
      </c>
      <c r="E4102" s="4" t="n">
        <v>0</v>
      </c>
      <c r="F4102" s="4" t="inlineStr">
        <is>
          <t>GOC Bed Unit-Costing Model v2 — working original.xlsx</t>
        </is>
      </c>
    </row>
    <row r="4103" ht="45" customHeight="1">
      <c r="A4103" s="4" t="inlineStr">
        <is>
          <t>original:Production!N15</t>
        </is>
      </c>
      <c r="B4103" s="4" t="inlineStr">
        <is>
          <t>Production</t>
        </is>
      </c>
      <c r="C4103" s="4" t="inlineStr">
        <is>
          <t>N15</t>
        </is>
      </c>
      <c r="D4103" s="4" t="inlineStr">
        <is>
          <t>=IF(OR(F15&lt;0,G15&lt;0,H15&lt;0,D15&lt;0,D15&gt;1),"Invalid input",IF(F15&gt;E15,"Above capacity",IF(J15&lt;0,"Not enough stock","Within modelled capacity")))</t>
        </is>
      </c>
      <c r="E4103" s="4" t="inlineStr">
        <is>
          <t>Within modelled capacity</t>
        </is>
      </c>
      <c r="F4103" s="4" t="inlineStr">
        <is>
          <t>GOC Bed Unit-Costing Model v2 — working original.xlsx</t>
        </is>
      </c>
    </row>
    <row r="4104" ht="40" customHeight="1">
      <c r="A4104" s="4" t="inlineStr">
        <is>
          <t>original:Production!A16</t>
        </is>
      </c>
      <c r="B4104" s="4" t="inlineStr">
        <is>
          <t>Production</t>
        </is>
      </c>
      <c r="C4104" s="4" t="inlineStr">
        <is>
          <t>A16</t>
        </is>
      </c>
      <c r="D4104" s="4" t="n">
        <v>4</v>
      </c>
      <c r="E4104" s="4" t="n">
        <v>4</v>
      </c>
      <c r="F4104" s="4" t="inlineStr">
        <is>
          <t>GOC Bed Unit-Costing Model v2 — working original.xlsx</t>
        </is>
      </c>
    </row>
    <row r="4105" ht="40" customHeight="1">
      <c r="A4105" s="4" t="inlineStr">
        <is>
          <t>original:Production!B16</t>
        </is>
      </c>
      <c r="B4105" s="4" t="inlineStr">
        <is>
          <t>Production</t>
        </is>
      </c>
      <c r="C4105" s="4" t="inlineStr">
        <is>
          <t>B16</t>
        </is>
      </c>
      <c r="D4105" s="4" t="inlineStr">
        <is>
          <t>NEW1</t>
        </is>
      </c>
      <c r="E4105" s="4" t="inlineStr">
        <is>
          <t>NEW1</t>
        </is>
      </c>
      <c r="F4105" s="4" t="inlineStr">
        <is>
          <t>GOC Bed Unit-Costing Model v2 — working original.xlsx</t>
        </is>
      </c>
    </row>
    <row r="4106" ht="40" customHeight="1">
      <c r="A4106" s="4" t="inlineStr">
        <is>
          <t>original:Production!C16</t>
        </is>
      </c>
      <c r="B4106" s="4" t="inlineStr">
        <is>
          <t>Production</t>
        </is>
      </c>
      <c r="C4106" s="4" t="inlineStr">
        <is>
          <t>C16</t>
        </is>
      </c>
      <c r="D4106" s="4" t="inlineStr">
        <is>
          <t>=Sites!G7</t>
        </is>
      </c>
      <c r="E4106" s="4" t="n">
        <v>10</v>
      </c>
      <c r="F4106" s="4" t="inlineStr">
        <is>
          <t>GOC Bed Unit-Costing Model v2 — working original.xlsx</t>
        </is>
      </c>
    </row>
    <row r="4107" ht="40" customHeight="1">
      <c r="A4107" s="4" t="inlineStr">
        <is>
          <t>original:Production!D16</t>
        </is>
      </c>
      <c r="B4107" s="4" t="inlineStr">
        <is>
          <t>Production</t>
        </is>
      </c>
      <c r="C4107" s="4" t="inlineStr">
        <is>
          <t>D16</t>
        </is>
      </c>
      <c r="D4107" s="4" t="n">
        <v>0.25</v>
      </c>
      <c r="E4107" s="4" t="n">
        <v>0.25</v>
      </c>
      <c r="F4107" s="4" t="inlineStr">
        <is>
          <t>GOC Bed Unit-Costing Model v2 — working original.xlsx</t>
        </is>
      </c>
    </row>
    <row r="4108" ht="40" customHeight="1">
      <c r="A4108" s="4" t="inlineStr">
        <is>
          <t>original:Production!E16</t>
        </is>
      </c>
      <c r="B4108" s="4" t="inlineStr">
        <is>
          <t>Production</t>
        </is>
      </c>
      <c r="C4108" s="4" t="inlineStr">
        <is>
          <t>E16</t>
        </is>
      </c>
      <c r="D4108" s="4" t="inlineStr">
        <is>
          <t>=IF(A16&lt;Sites!F7,0,ROUNDDOWN(C16*D16*Sites!H7,0))</t>
        </is>
      </c>
      <c r="E4108" s="4" t="n">
        <v>10</v>
      </c>
      <c r="F4108" s="4" t="inlineStr">
        <is>
          <t>GOC Bed Unit-Costing Model v2 — working original.xlsx</t>
        </is>
      </c>
    </row>
    <row r="4109" ht="40" customHeight="1">
      <c r="A4109" s="4" t="inlineStr">
        <is>
          <t>original:Production!F16</t>
        </is>
      </c>
      <c r="B4109" s="4" t="inlineStr">
        <is>
          <t>Production</t>
        </is>
      </c>
      <c r="C4109" s="4" t="inlineStr">
        <is>
          <t>F16</t>
        </is>
      </c>
      <c r="D4109" s="4" t="n">
        <v>5</v>
      </c>
      <c r="E4109" s="4" t="n">
        <v>5</v>
      </c>
      <c r="F4109" s="4" t="inlineStr">
        <is>
          <t>GOC Bed Unit-Costing Model v2 — working original.xlsx</t>
        </is>
      </c>
    </row>
    <row r="4110" ht="40" customHeight="1">
      <c r="A4110" s="4" t="inlineStr">
        <is>
          <t>original:Production!G16</t>
        </is>
      </c>
      <c r="B4110" s="4" t="inlineStr">
        <is>
          <t>Production</t>
        </is>
      </c>
      <c r="C4110" s="4" t="inlineStr">
        <is>
          <t>G16</t>
        </is>
      </c>
      <c r="D4110" s="4" t="n">
        <v>5</v>
      </c>
      <c r="E4110" s="4" t="n">
        <v>5</v>
      </c>
      <c r="F4110" s="4" t="inlineStr">
        <is>
          <t>GOC Bed Unit-Costing Model v2 — working original.xlsx</t>
        </is>
      </c>
    </row>
    <row r="4111" ht="40" customHeight="1">
      <c r="A4111" s="4" t="inlineStr">
        <is>
          <t>original:Production!H16</t>
        </is>
      </c>
      <c r="B4111" s="4" t="inlineStr">
        <is>
          <t>Production</t>
        </is>
      </c>
      <c r="C4111" s="4" t="inlineStr">
        <is>
          <t>H16</t>
        </is>
      </c>
      <c r="D4111" s="4" t="n">
        <v>0</v>
      </c>
      <c r="E4111" s="4" t="n">
        <v>0</v>
      </c>
      <c r="F4111" s="4" t="inlineStr">
        <is>
          <t>GOC Bed Unit-Costing Model v2 — working original.xlsx</t>
        </is>
      </c>
    </row>
    <row r="4112" ht="40" customHeight="1">
      <c r="A4112" s="4" t="inlineStr">
        <is>
          <t>original:Production!I16</t>
        </is>
      </c>
      <c r="B4112" s="4" t="inlineStr">
        <is>
          <t>Production</t>
        </is>
      </c>
      <c r="C4112" s="4" t="inlineStr">
        <is>
          <t>I16</t>
        </is>
      </c>
      <c r="D4112" s="4" t="inlineStr">
        <is>
          <t>=J13</t>
        </is>
      </c>
      <c r="E4112" s="4" t="n">
        <v>0</v>
      </c>
      <c r="F4112" s="4" t="inlineStr">
        <is>
          <t>GOC Bed Unit-Costing Model v2 — working original.xlsx</t>
        </is>
      </c>
    </row>
    <row r="4113" ht="40" customHeight="1">
      <c r="A4113" s="4" t="inlineStr">
        <is>
          <t>original:Production!J16</t>
        </is>
      </c>
      <c r="B4113" s="4" t="inlineStr">
        <is>
          <t>Production</t>
        </is>
      </c>
      <c r="C4113" s="4" t="inlineStr">
        <is>
          <t>J16</t>
        </is>
      </c>
      <c r="D4113" s="4" t="inlineStr">
        <is>
          <t>=I16+F16-G16-H16</t>
        </is>
      </c>
      <c r="E4113" s="4" t="n">
        <v>0</v>
      </c>
      <c r="F4113" s="4" t="inlineStr">
        <is>
          <t>GOC Bed Unit-Costing Model v2 — working original.xlsx</t>
        </is>
      </c>
    </row>
    <row r="4114" ht="40" customHeight="1">
      <c r="A4114" s="4" t="inlineStr">
        <is>
          <t>original:Production!K16</t>
        </is>
      </c>
      <c r="B4114" s="4" t="inlineStr">
        <is>
          <t>Production</t>
        </is>
      </c>
      <c r="C4114" s="4" t="inlineStr">
        <is>
          <t>K16</t>
        </is>
      </c>
      <c r="D4114" s="4" t="inlineStr">
        <is>
          <t>=IF(ISNUMBER('Unit costs'!D13),F16*'Unit costs'!D13,"")</t>
        </is>
      </c>
      <c r="E4114" s="4" t="n">
        <v>1353.7</v>
      </c>
      <c r="F4114" s="4" t="inlineStr">
        <is>
          <t>GOC Bed Unit-Costing Model v2 — working original.xlsx</t>
        </is>
      </c>
    </row>
    <row r="4115" ht="40" customHeight="1">
      <c r="A4115" s="4" t="inlineStr">
        <is>
          <t>original:Production!L16</t>
        </is>
      </c>
      <c r="B4115" s="4" t="inlineStr">
        <is>
          <t>Production</t>
        </is>
      </c>
      <c r="C4115" s="4" t="inlineStr">
        <is>
          <t>L16</t>
        </is>
      </c>
      <c r="D4115" s="4" t="inlineStr">
        <is>
          <t>=IF(ISNUMBER('Unit costs'!D12),(G16+H16)*'Unit costs'!D12,"")</t>
        </is>
      </c>
      <c r="E4115" s="4" t="n">
        <v>750</v>
      </c>
      <c r="F4115" s="4" t="inlineStr">
        <is>
          <t>GOC Bed Unit-Costing Model v2 — working original.xlsx</t>
        </is>
      </c>
    </row>
    <row r="4116" ht="40" customHeight="1">
      <c r="A4116" s="4" t="inlineStr">
        <is>
          <t>original:Production!M16</t>
        </is>
      </c>
      <c r="B4116" s="4" t="inlineStr">
        <is>
          <t>Production</t>
        </is>
      </c>
      <c r="C4116" s="4" t="inlineStr">
        <is>
          <t>M16</t>
        </is>
      </c>
      <c r="D4116" s="4" t="inlineStr">
        <is>
          <t>=H16*Overview!$B$8</t>
        </is>
      </c>
      <c r="E4116" s="4" t="n">
        <v>0</v>
      </c>
      <c r="F4116" s="4" t="inlineStr">
        <is>
          <t>GOC Bed Unit-Costing Model v2 — working original.xlsx</t>
        </is>
      </c>
    </row>
    <row r="4117" ht="45" customHeight="1">
      <c r="A4117" s="4" t="inlineStr">
        <is>
          <t>original:Production!N16</t>
        </is>
      </c>
      <c r="B4117" s="4" t="inlineStr">
        <is>
          <t>Production</t>
        </is>
      </c>
      <c r="C4117" s="4" t="inlineStr">
        <is>
          <t>N16</t>
        </is>
      </c>
      <c r="D4117" s="4" t="inlineStr">
        <is>
          <t>=IF(OR(F16&lt;0,G16&lt;0,H16&lt;0,D16&lt;0,D16&gt;1),"Invalid input",IF(F16&gt;E16,"Above capacity",IF(J16&lt;0,"Not enough stock","Within modelled capacity")))</t>
        </is>
      </c>
      <c r="E4117" s="4" t="inlineStr">
        <is>
          <t>Within modelled capacity</t>
        </is>
      </c>
      <c r="F4117" s="4" t="inlineStr">
        <is>
          <t>GOC Bed Unit-Costing Model v2 — working original.xlsx</t>
        </is>
      </c>
    </row>
    <row r="4118" ht="40" customHeight="1">
      <c r="A4118" s="4" t="inlineStr">
        <is>
          <t>original:Production!A17</t>
        </is>
      </c>
      <c r="B4118" s="4" t="inlineStr">
        <is>
          <t>Production</t>
        </is>
      </c>
      <c r="C4118" s="4" t="inlineStr">
        <is>
          <t>A17</t>
        </is>
      </c>
      <c r="D4118" s="4" t="n">
        <v>4</v>
      </c>
      <c r="E4118" s="4" t="n">
        <v>4</v>
      </c>
      <c r="F4118" s="4" t="inlineStr">
        <is>
          <t>GOC Bed Unit-Costing Model v2 — working original.xlsx</t>
        </is>
      </c>
    </row>
    <row r="4119" ht="40" customHeight="1">
      <c r="A4119" s="4" t="inlineStr">
        <is>
          <t>original:Production!B17</t>
        </is>
      </c>
      <c r="B4119" s="4" t="inlineStr">
        <is>
          <t>Production</t>
        </is>
      </c>
      <c r="C4119" s="4" t="inlineStr">
        <is>
          <t>B17</t>
        </is>
      </c>
      <c r="D4119" s="4" t="inlineStr">
        <is>
          <t>NEW2</t>
        </is>
      </c>
      <c r="E4119" s="4" t="inlineStr">
        <is>
          <t>NEW2</t>
        </is>
      </c>
      <c r="F4119" s="4" t="inlineStr">
        <is>
          <t>GOC Bed Unit-Costing Model v2 — working original.xlsx</t>
        </is>
      </c>
    </row>
    <row r="4120" ht="40" customHeight="1">
      <c r="A4120" s="4" t="inlineStr">
        <is>
          <t>original:Production!C17</t>
        </is>
      </c>
      <c r="B4120" s="4" t="inlineStr">
        <is>
          <t>Production</t>
        </is>
      </c>
      <c r="C4120" s="4" t="inlineStr">
        <is>
          <t>C17</t>
        </is>
      </c>
      <c r="D4120" s="4" t="inlineStr">
        <is>
          <t>=Sites!G8</t>
        </is>
      </c>
      <c r="E4120" s="4" t="n">
        <v>10</v>
      </c>
      <c r="F4120" s="4" t="inlineStr">
        <is>
          <t>GOC Bed Unit-Costing Model v2 — working original.xlsx</t>
        </is>
      </c>
    </row>
    <row r="4121" ht="40" customHeight="1">
      <c r="A4121" s="4" t="inlineStr">
        <is>
          <t>original:Production!D17</t>
        </is>
      </c>
      <c r="B4121" s="4" t="inlineStr">
        <is>
          <t>Production</t>
        </is>
      </c>
      <c r="C4121" s="4" t="inlineStr">
        <is>
          <t>D17</t>
        </is>
      </c>
      <c r="D4121" s="4" t="n">
        <v>0</v>
      </c>
      <c r="E4121" s="4" t="n">
        <v>0</v>
      </c>
      <c r="F4121" s="4" t="inlineStr">
        <is>
          <t>GOC Bed Unit-Costing Model v2 — working original.xlsx</t>
        </is>
      </c>
    </row>
    <row r="4122" ht="40" customHeight="1">
      <c r="A4122" s="4" t="inlineStr">
        <is>
          <t>original:Production!E17</t>
        </is>
      </c>
      <c r="B4122" s="4" t="inlineStr">
        <is>
          <t>Production</t>
        </is>
      </c>
      <c r="C4122" s="4" t="inlineStr">
        <is>
          <t>E17</t>
        </is>
      </c>
      <c r="D4122" s="4" t="inlineStr">
        <is>
          <t>=IF(A17&lt;Sites!F8,0,ROUNDDOWN(C17*D17*Sites!H8,0))</t>
        </is>
      </c>
      <c r="E4122" s="4" t="n">
        <v>0</v>
      </c>
      <c r="F4122" s="4" t="inlineStr">
        <is>
          <t>GOC Bed Unit-Costing Model v2 — working original.xlsx</t>
        </is>
      </c>
    </row>
    <row r="4123" ht="40" customHeight="1">
      <c r="A4123" s="4" t="inlineStr">
        <is>
          <t>original:Production!F17</t>
        </is>
      </c>
      <c r="B4123" s="4" t="inlineStr">
        <is>
          <t>Production</t>
        </is>
      </c>
      <c r="C4123" s="4" t="inlineStr">
        <is>
          <t>F17</t>
        </is>
      </c>
      <c r="D4123" s="4" t="n">
        <v>0</v>
      </c>
      <c r="E4123" s="4" t="n">
        <v>0</v>
      </c>
      <c r="F4123" s="4" t="inlineStr">
        <is>
          <t>GOC Bed Unit-Costing Model v2 — working original.xlsx</t>
        </is>
      </c>
    </row>
    <row r="4124" ht="40" customHeight="1">
      <c r="A4124" s="4" t="inlineStr">
        <is>
          <t>original:Production!G17</t>
        </is>
      </c>
      <c r="B4124" s="4" t="inlineStr">
        <is>
          <t>Production</t>
        </is>
      </c>
      <c r="C4124" s="4" t="inlineStr">
        <is>
          <t>G17</t>
        </is>
      </c>
      <c r="D4124" s="4" t="n">
        <v>0</v>
      </c>
      <c r="E4124" s="4" t="n">
        <v>0</v>
      </c>
      <c r="F4124" s="4" t="inlineStr">
        <is>
          <t>GOC Bed Unit-Costing Model v2 — working original.xlsx</t>
        </is>
      </c>
    </row>
    <row r="4125" ht="40" customHeight="1">
      <c r="A4125" s="4" t="inlineStr">
        <is>
          <t>original:Production!H17</t>
        </is>
      </c>
      <c r="B4125" s="4" t="inlineStr">
        <is>
          <t>Production</t>
        </is>
      </c>
      <c r="C4125" s="4" t="inlineStr">
        <is>
          <t>H17</t>
        </is>
      </c>
      <c r="D4125" s="4" t="n">
        <v>0</v>
      </c>
      <c r="E4125" s="4" t="n">
        <v>0</v>
      </c>
      <c r="F4125" s="4" t="inlineStr">
        <is>
          <t>GOC Bed Unit-Costing Model v2 — working original.xlsx</t>
        </is>
      </c>
    </row>
    <row r="4126" ht="40" customHeight="1">
      <c r="A4126" s="4" t="inlineStr">
        <is>
          <t>original:Production!I17</t>
        </is>
      </c>
      <c r="B4126" s="4" t="inlineStr">
        <is>
          <t>Production</t>
        </is>
      </c>
      <c r="C4126" s="4" t="inlineStr">
        <is>
          <t>I17</t>
        </is>
      </c>
      <c r="D4126" s="4" t="inlineStr">
        <is>
          <t>=J14</t>
        </is>
      </c>
      <c r="E4126" s="4" t="n">
        <v>0</v>
      </c>
      <c r="F4126" s="4" t="inlineStr">
        <is>
          <t>GOC Bed Unit-Costing Model v2 — working original.xlsx</t>
        </is>
      </c>
    </row>
    <row r="4127" ht="40" customHeight="1">
      <c r="A4127" s="4" t="inlineStr">
        <is>
          <t>original:Production!J17</t>
        </is>
      </c>
      <c r="B4127" s="4" t="inlineStr">
        <is>
          <t>Production</t>
        </is>
      </c>
      <c r="C4127" s="4" t="inlineStr">
        <is>
          <t>J17</t>
        </is>
      </c>
      <c r="D4127" s="4" t="inlineStr">
        <is>
          <t>=I17+F17-G17-H17</t>
        </is>
      </c>
      <c r="E4127" s="4" t="n">
        <v>0</v>
      </c>
      <c r="F4127" s="4" t="inlineStr">
        <is>
          <t>GOC Bed Unit-Costing Model v2 — working original.xlsx</t>
        </is>
      </c>
    </row>
    <row r="4128" ht="40" customHeight="1">
      <c r="A4128" s="4" t="inlineStr">
        <is>
          <t>original:Production!K17</t>
        </is>
      </c>
      <c r="B4128" s="4" t="inlineStr">
        <is>
          <t>Production</t>
        </is>
      </c>
      <c r="C4128" s="4" t="inlineStr">
        <is>
          <t>K17</t>
        </is>
      </c>
      <c r="D4128" s="4" t="inlineStr">
        <is>
          <t>=IF(ISNUMBER('Unit costs'!E13),F17*'Unit costs'!E13,"")</t>
        </is>
      </c>
      <c r="E4128" s="4" t="n">
        <v>0</v>
      </c>
      <c r="F4128" s="4" t="inlineStr">
        <is>
          <t>GOC Bed Unit-Costing Model v2 — working original.xlsx</t>
        </is>
      </c>
    </row>
    <row r="4129" ht="40" customHeight="1">
      <c r="A4129" s="4" t="inlineStr">
        <is>
          <t>original:Production!L17</t>
        </is>
      </c>
      <c r="B4129" s="4" t="inlineStr">
        <is>
          <t>Production</t>
        </is>
      </c>
      <c r="C4129" s="4" t="inlineStr">
        <is>
          <t>L17</t>
        </is>
      </c>
      <c r="D4129" s="4" t="inlineStr">
        <is>
          <t>=IF(ISNUMBER('Unit costs'!E12),(G17+H17)*'Unit costs'!E12,"")</t>
        </is>
      </c>
      <c r="E4129" s="4" t="n">
        <v>0</v>
      </c>
      <c r="F4129" s="4" t="inlineStr">
        <is>
          <t>GOC Bed Unit-Costing Model v2 — working original.xlsx</t>
        </is>
      </c>
    </row>
    <row r="4130" ht="40" customHeight="1">
      <c r="A4130" s="4" t="inlineStr">
        <is>
          <t>original:Production!M17</t>
        </is>
      </c>
      <c r="B4130" s="4" t="inlineStr">
        <is>
          <t>Production</t>
        </is>
      </c>
      <c r="C4130" s="4" t="inlineStr">
        <is>
          <t>M17</t>
        </is>
      </c>
      <c r="D4130" s="4" t="inlineStr">
        <is>
          <t>=H17*Overview!$B$8</t>
        </is>
      </c>
      <c r="E4130" s="4" t="n">
        <v>0</v>
      </c>
      <c r="F4130" s="4" t="inlineStr">
        <is>
          <t>GOC Bed Unit-Costing Model v2 — working original.xlsx</t>
        </is>
      </c>
    </row>
    <row r="4131" ht="45" customHeight="1">
      <c r="A4131" s="4" t="inlineStr">
        <is>
          <t>original:Production!N17</t>
        </is>
      </c>
      <c r="B4131" s="4" t="inlineStr">
        <is>
          <t>Production</t>
        </is>
      </c>
      <c r="C4131" s="4" t="inlineStr">
        <is>
          <t>N17</t>
        </is>
      </c>
      <c r="D4131" s="4" t="inlineStr">
        <is>
          <t>=IF(OR(F17&lt;0,G17&lt;0,H17&lt;0,D17&lt;0,D17&gt;1),"Invalid input",IF(F17&gt;E17,"Above capacity",IF(J17&lt;0,"Not enough stock","Within modelled capacity")))</t>
        </is>
      </c>
      <c r="E4131" s="4" t="inlineStr">
        <is>
          <t>Within modelled capacity</t>
        </is>
      </c>
      <c r="F4131" s="4" t="inlineStr">
        <is>
          <t>GOC Bed Unit-Costing Model v2 — working original.xlsx</t>
        </is>
      </c>
    </row>
    <row r="4132" ht="40" customHeight="1">
      <c r="A4132" s="4" t="inlineStr">
        <is>
          <t>original:Production!A18</t>
        </is>
      </c>
      <c r="B4132" s="4" t="inlineStr">
        <is>
          <t>Production</t>
        </is>
      </c>
      <c r="C4132" s="4" t="inlineStr">
        <is>
          <t>A18</t>
        </is>
      </c>
      <c r="D4132" s="4" t="n">
        <v>5</v>
      </c>
      <c r="E4132" s="4" t="n">
        <v>5</v>
      </c>
      <c r="F4132" s="4" t="inlineStr">
        <is>
          <t>GOC Bed Unit-Costing Model v2 — working original.xlsx</t>
        </is>
      </c>
    </row>
    <row r="4133" ht="40" customHeight="1">
      <c r="A4133" s="4" t="inlineStr">
        <is>
          <t>original:Production!B18</t>
        </is>
      </c>
      <c r="B4133" s="4" t="inlineStr">
        <is>
          <t>Production</t>
        </is>
      </c>
      <c r="C4133" s="4" t="inlineStr">
        <is>
          <t>B18</t>
        </is>
      </c>
      <c r="D4133" s="4" t="inlineStr">
        <is>
          <t>WITTA</t>
        </is>
      </c>
      <c r="E4133" s="4" t="inlineStr">
        <is>
          <t>WITTA</t>
        </is>
      </c>
      <c r="F4133" s="4" t="inlineStr">
        <is>
          <t>GOC Bed Unit-Costing Model v2 — working original.xlsx</t>
        </is>
      </c>
    </row>
    <row r="4134" ht="40" customHeight="1">
      <c r="A4134" s="4" t="inlineStr">
        <is>
          <t>original:Production!C18</t>
        </is>
      </c>
      <c r="B4134" s="4" t="inlineStr">
        <is>
          <t>Production</t>
        </is>
      </c>
      <c r="C4134" s="4" t="inlineStr">
        <is>
          <t>C18</t>
        </is>
      </c>
      <c r="D4134" s="4" t="inlineStr">
        <is>
          <t>=Sites!G6</t>
        </is>
      </c>
      <c r="E4134" s="4" t="n">
        <v>10</v>
      </c>
      <c r="F4134" s="4" t="inlineStr">
        <is>
          <t>GOC Bed Unit-Costing Model v2 — working original.xlsx</t>
        </is>
      </c>
    </row>
    <row r="4135" ht="40" customHeight="1">
      <c r="A4135" s="4" t="inlineStr">
        <is>
          <t>original:Production!D18</t>
        </is>
      </c>
      <c r="B4135" s="4" t="inlineStr">
        <is>
          <t>Production</t>
        </is>
      </c>
      <c r="C4135" s="4" t="inlineStr">
        <is>
          <t>D18</t>
        </is>
      </c>
      <c r="D4135" s="4" t="n">
        <v>0.75</v>
      </c>
      <c r="E4135" s="4" t="n">
        <v>0.75</v>
      </c>
      <c r="F4135" s="4" t="inlineStr">
        <is>
          <t>GOC Bed Unit-Costing Model v2 — working original.xlsx</t>
        </is>
      </c>
    </row>
    <row r="4136" ht="40" customHeight="1">
      <c r="A4136" s="4" t="inlineStr">
        <is>
          <t>original:Production!E18</t>
        </is>
      </c>
      <c r="B4136" s="4" t="inlineStr">
        <is>
          <t>Production</t>
        </is>
      </c>
      <c r="C4136" s="4" t="inlineStr">
        <is>
          <t>E18</t>
        </is>
      </c>
      <c r="D4136" s="4" t="inlineStr">
        <is>
          <t>=IF(A18&lt;Sites!F6,0,ROUNDDOWN(C18*D18*Sites!H6,0))</t>
        </is>
      </c>
      <c r="E4136" s="4" t="n">
        <v>30</v>
      </c>
      <c r="F4136" s="4" t="inlineStr">
        <is>
          <t>GOC Bed Unit-Costing Model v2 — working original.xlsx</t>
        </is>
      </c>
    </row>
    <row r="4137" ht="40" customHeight="1">
      <c r="A4137" s="4" t="inlineStr">
        <is>
          <t>original:Production!F18</t>
        </is>
      </c>
      <c r="B4137" s="4" t="inlineStr">
        <is>
          <t>Production</t>
        </is>
      </c>
      <c r="C4137" s="4" t="inlineStr">
        <is>
          <t>F18</t>
        </is>
      </c>
      <c r="D4137" s="4" t="n">
        <v>15</v>
      </c>
      <c r="E4137" s="4" t="n">
        <v>15</v>
      </c>
      <c r="F4137" s="4" t="inlineStr">
        <is>
          <t>GOC Bed Unit-Costing Model v2 — working original.xlsx</t>
        </is>
      </c>
    </row>
    <row r="4138" ht="40" customHeight="1">
      <c r="A4138" s="4" t="inlineStr">
        <is>
          <t>original:Production!G18</t>
        </is>
      </c>
      <c r="B4138" s="4" t="inlineStr">
        <is>
          <t>Production</t>
        </is>
      </c>
      <c r="C4138" s="4" t="inlineStr">
        <is>
          <t>G18</t>
        </is>
      </c>
      <c r="D4138" s="4" t="n">
        <v>15</v>
      </c>
      <c r="E4138" s="4" t="n">
        <v>15</v>
      </c>
      <c r="F4138" s="4" t="inlineStr">
        <is>
          <t>GOC Bed Unit-Costing Model v2 — working original.xlsx</t>
        </is>
      </c>
    </row>
    <row r="4139" ht="40" customHeight="1">
      <c r="A4139" s="4" t="inlineStr">
        <is>
          <t>original:Production!H18</t>
        </is>
      </c>
      <c r="B4139" s="4" t="inlineStr">
        <is>
          <t>Production</t>
        </is>
      </c>
      <c r="C4139" s="4" t="inlineStr">
        <is>
          <t>H18</t>
        </is>
      </c>
      <c r="D4139" s="4" t="n">
        <v>0</v>
      </c>
      <c r="E4139" s="4" t="n">
        <v>0</v>
      </c>
      <c r="F4139" s="4" t="inlineStr">
        <is>
          <t>GOC Bed Unit-Costing Model v2 — working original.xlsx</t>
        </is>
      </c>
    </row>
    <row r="4140" ht="40" customHeight="1">
      <c r="A4140" s="4" t="inlineStr">
        <is>
          <t>original:Production!I18</t>
        </is>
      </c>
      <c r="B4140" s="4" t="inlineStr">
        <is>
          <t>Production</t>
        </is>
      </c>
      <c r="C4140" s="4" t="inlineStr">
        <is>
          <t>I18</t>
        </is>
      </c>
      <c r="D4140" s="4" t="inlineStr">
        <is>
          <t>=J15</t>
        </is>
      </c>
      <c r="E4140" s="4" t="n">
        <v>0</v>
      </c>
      <c r="F4140" s="4" t="inlineStr">
        <is>
          <t>GOC Bed Unit-Costing Model v2 — working original.xlsx</t>
        </is>
      </c>
    </row>
    <row r="4141" ht="40" customHeight="1">
      <c r="A4141" s="4" t="inlineStr">
        <is>
          <t>original:Production!J18</t>
        </is>
      </c>
      <c r="B4141" s="4" t="inlineStr">
        <is>
          <t>Production</t>
        </is>
      </c>
      <c r="C4141" s="4" t="inlineStr">
        <is>
          <t>J18</t>
        </is>
      </c>
      <c r="D4141" s="4" t="inlineStr">
        <is>
          <t>=I18+F18-G18-H18</t>
        </is>
      </c>
      <c r="E4141" s="4" t="n">
        <v>0</v>
      </c>
      <c r="F4141" s="4" t="inlineStr">
        <is>
          <t>GOC Bed Unit-Costing Model v2 — working original.xlsx</t>
        </is>
      </c>
    </row>
    <row r="4142" ht="40" customHeight="1">
      <c r="A4142" s="4" t="inlineStr">
        <is>
          <t>original:Production!K18</t>
        </is>
      </c>
      <c r="B4142" s="4" t="inlineStr">
        <is>
          <t>Production</t>
        </is>
      </c>
      <c r="C4142" s="4" t="inlineStr">
        <is>
          <t>K18</t>
        </is>
      </c>
      <c r="D4142" s="4" t="inlineStr">
        <is>
          <t>=IF(ISNUMBER('Unit costs'!C13),F18*'Unit costs'!C13,"")</t>
        </is>
      </c>
      <c r="E4142" s="4" t="n">
        <v>4436.1</v>
      </c>
      <c r="F4142" s="4" t="inlineStr">
        <is>
          <t>GOC Bed Unit-Costing Model v2 — working original.xlsx</t>
        </is>
      </c>
    </row>
    <row r="4143" ht="40" customHeight="1">
      <c r="A4143" s="4" t="inlineStr">
        <is>
          <t>original:Production!L18</t>
        </is>
      </c>
      <c r="B4143" s="4" t="inlineStr">
        <is>
          <t>Production</t>
        </is>
      </c>
      <c r="C4143" s="4" t="inlineStr">
        <is>
          <t>L18</t>
        </is>
      </c>
      <c r="D4143" s="4" t="inlineStr">
        <is>
          <t>=IF(ISNUMBER('Unit costs'!C12),(G18+H18)*'Unit costs'!C12,"")</t>
        </is>
      </c>
      <c r="E4143" s="4" t="n">
        <v>2250</v>
      </c>
      <c r="F4143" s="4" t="inlineStr">
        <is>
          <t>GOC Bed Unit-Costing Model v2 — working original.xlsx</t>
        </is>
      </c>
    </row>
    <row r="4144" ht="40" customHeight="1">
      <c r="A4144" s="4" t="inlineStr">
        <is>
          <t>original:Production!M18</t>
        </is>
      </c>
      <c r="B4144" s="4" t="inlineStr">
        <is>
          <t>Production</t>
        </is>
      </c>
      <c r="C4144" s="4" t="inlineStr">
        <is>
          <t>M18</t>
        </is>
      </c>
      <c r="D4144" s="4" t="inlineStr">
        <is>
          <t>=H18*Overview!$B$8</t>
        </is>
      </c>
      <c r="E4144" s="4" t="n">
        <v>0</v>
      </c>
      <c r="F4144" s="4" t="inlineStr">
        <is>
          <t>GOC Bed Unit-Costing Model v2 — working original.xlsx</t>
        </is>
      </c>
    </row>
    <row r="4145" ht="45" customHeight="1">
      <c r="A4145" s="4" t="inlineStr">
        <is>
          <t>original:Production!N18</t>
        </is>
      </c>
      <c r="B4145" s="4" t="inlineStr">
        <is>
          <t>Production</t>
        </is>
      </c>
      <c r="C4145" s="4" t="inlineStr">
        <is>
          <t>N18</t>
        </is>
      </c>
      <c r="D4145" s="4" t="inlineStr">
        <is>
          <t>=IF(OR(F18&lt;0,G18&lt;0,H18&lt;0,D18&lt;0,D18&gt;1),"Invalid input",IF(F18&gt;E18,"Above capacity",IF(J18&lt;0,"Not enough stock","Within modelled capacity")))</t>
        </is>
      </c>
      <c r="E4145" s="4" t="inlineStr">
        <is>
          <t>Within modelled capacity</t>
        </is>
      </c>
      <c r="F4145" s="4" t="inlineStr">
        <is>
          <t>GOC Bed Unit-Costing Model v2 — working original.xlsx</t>
        </is>
      </c>
    </row>
    <row r="4146" ht="40" customHeight="1">
      <c r="A4146" s="4" t="inlineStr">
        <is>
          <t>original:Production!A19</t>
        </is>
      </c>
      <c r="B4146" s="4" t="inlineStr">
        <is>
          <t>Production</t>
        </is>
      </c>
      <c r="C4146" s="4" t="inlineStr">
        <is>
          <t>A19</t>
        </is>
      </c>
      <c r="D4146" s="4" t="n">
        <v>5</v>
      </c>
      <c r="E4146" s="4" t="n">
        <v>5</v>
      </c>
      <c r="F4146" s="4" t="inlineStr">
        <is>
          <t>GOC Bed Unit-Costing Model v2 — working original.xlsx</t>
        </is>
      </c>
    </row>
    <row r="4147" ht="40" customHeight="1">
      <c r="A4147" s="4" t="inlineStr">
        <is>
          <t>original:Production!B19</t>
        </is>
      </c>
      <c r="B4147" s="4" t="inlineStr">
        <is>
          <t>Production</t>
        </is>
      </c>
      <c r="C4147" s="4" t="inlineStr">
        <is>
          <t>B19</t>
        </is>
      </c>
      <c r="D4147" s="4" t="inlineStr">
        <is>
          <t>NEW1</t>
        </is>
      </c>
      <c r="E4147" s="4" t="inlineStr">
        <is>
          <t>NEW1</t>
        </is>
      </c>
      <c r="F4147" s="4" t="inlineStr">
        <is>
          <t>GOC Bed Unit-Costing Model v2 — working original.xlsx</t>
        </is>
      </c>
    </row>
    <row r="4148" ht="40" customHeight="1">
      <c r="A4148" s="4" t="inlineStr">
        <is>
          <t>original:Production!C19</t>
        </is>
      </c>
      <c r="B4148" s="4" t="inlineStr">
        <is>
          <t>Production</t>
        </is>
      </c>
      <c r="C4148" s="4" t="inlineStr">
        <is>
          <t>C19</t>
        </is>
      </c>
      <c r="D4148" s="4" t="inlineStr">
        <is>
          <t>=Sites!G7</t>
        </is>
      </c>
      <c r="E4148" s="4" t="n">
        <v>10</v>
      </c>
      <c r="F4148" s="4" t="inlineStr">
        <is>
          <t>GOC Bed Unit-Costing Model v2 — working original.xlsx</t>
        </is>
      </c>
    </row>
    <row r="4149" ht="40" customHeight="1">
      <c r="A4149" s="4" t="inlineStr">
        <is>
          <t>original:Production!D19</t>
        </is>
      </c>
      <c r="B4149" s="4" t="inlineStr">
        <is>
          <t>Production</t>
        </is>
      </c>
      <c r="C4149" s="4" t="inlineStr">
        <is>
          <t>D19</t>
        </is>
      </c>
      <c r="D4149" s="4" t="n">
        <v>0.5</v>
      </c>
      <c r="E4149" s="4" t="n">
        <v>0.5</v>
      </c>
      <c r="F4149" s="4" t="inlineStr">
        <is>
          <t>GOC Bed Unit-Costing Model v2 — working original.xlsx</t>
        </is>
      </c>
    </row>
    <row r="4150" ht="40" customHeight="1">
      <c r="A4150" s="4" t="inlineStr">
        <is>
          <t>original:Production!E19</t>
        </is>
      </c>
      <c r="B4150" s="4" t="inlineStr">
        <is>
          <t>Production</t>
        </is>
      </c>
      <c r="C4150" s="4" t="inlineStr">
        <is>
          <t>E19</t>
        </is>
      </c>
      <c r="D4150" s="4" t="inlineStr">
        <is>
          <t>=IF(A19&lt;Sites!F7,0,ROUNDDOWN(C19*D19*Sites!H7,0))</t>
        </is>
      </c>
      <c r="E4150" s="4" t="n">
        <v>20</v>
      </c>
      <c r="F4150" s="4" t="inlineStr">
        <is>
          <t>GOC Bed Unit-Costing Model v2 — working original.xlsx</t>
        </is>
      </c>
    </row>
    <row r="4151" ht="40" customHeight="1">
      <c r="A4151" s="4" t="inlineStr">
        <is>
          <t>original:Production!F19</t>
        </is>
      </c>
      <c r="B4151" s="4" t="inlineStr">
        <is>
          <t>Production</t>
        </is>
      </c>
      <c r="C4151" s="4" t="inlineStr">
        <is>
          <t>F19</t>
        </is>
      </c>
      <c r="D4151" s="4" t="n">
        <v>10</v>
      </c>
      <c r="E4151" s="4" t="n">
        <v>10</v>
      </c>
      <c r="F4151" s="4" t="inlineStr">
        <is>
          <t>GOC Bed Unit-Costing Model v2 — working original.xlsx</t>
        </is>
      </c>
    </row>
    <row r="4152" ht="40" customHeight="1">
      <c r="A4152" s="4" t="inlineStr">
        <is>
          <t>original:Production!G19</t>
        </is>
      </c>
      <c r="B4152" s="4" t="inlineStr">
        <is>
          <t>Production</t>
        </is>
      </c>
      <c r="C4152" s="4" t="inlineStr">
        <is>
          <t>G19</t>
        </is>
      </c>
      <c r="D4152" s="4" t="n">
        <v>10</v>
      </c>
      <c r="E4152" s="4" t="n">
        <v>10</v>
      </c>
      <c r="F4152" s="4" t="inlineStr">
        <is>
          <t>GOC Bed Unit-Costing Model v2 — working original.xlsx</t>
        </is>
      </c>
    </row>
    <row r="4153" ht="40" customHeight="1">
      <c r="A4153" s="4" t="inlineStr">
        <is>
          <t>original:Production!H19</t>
        </is>
      </c>
      <c r="B4153" s="4" t="inlineStr">
        <is>
          <t>Production</t>
        </is>
      </c>
      <c r="C4153" s="4" t="inlineStr">
        <is>
          <t>H19</t>
        </is>
      </c>
      <c r="D4153" s="4" t="n">
        <v>0</v>
      </c>
      <c r="E4153" s="4" t="n">
        <v>0</v>
      </c>
      <c r="F4153" s="4" t="inlineStr">
        <is>
          <t>GOC Bed Unit-Costing Model v2 — working original.xlsx</t>
        </is>
      </c>
    </row>
    <row r="4154" ht="40" customHeight="1">
      <c r="A4154" s="4" t="inlineStr">
        <is>
          <t>original:Production!I19</t>
        </is>
      </c>
      <c r="B4154" s="4" t="inlineStr">
        <is>
          <t>Production</t>
        </is>
      </c>
      <c r="C4154" s="4" t="inlineStr">
        <is>
          <t>I19</t>
        </is>
      </c>
      <c r="D4154" s="4" t="inlineStr">
        <is>
          <t>=J16</t>
        </is>
      </c>
      <c r="E4154" s="4" t="n">
        <v>0</v>
      </c>
      <c r="F4154" s="4" t="inlineStr">
        <is>
          <t>GOC Bed Unit-Costing Model v2 — working original.xlsx</t>
        </is>
      </c>
    </row>
    <row r="4155" ht="40" customHeight="1">
      <c r="A4155" s="4" t="inlineStr">
        <is>
          <t>original:Production!J19</t>
        </is>
      </c>
      <c r="B4155" s="4" t="inlineStr">
        <is>
          <t>Production</t>
        </is>
      </c>
      <c r="C4155" s="4" t="inlineStr">
        <is>
          <t>J19</t>
        </is>
      </c>
      <c r="D4155" s="4" t="inlineStr">
        <is>
          <t>=I19+F19-G19-H19</t>
        </is>
      </c>
      <c r="E4155" s="4" t="n">
        <v>0</v>
      </c>
      <c r="F4155" s="4" t="inlineStr">
        <is>
          <t>GOC Bed Unit-Costing Model v2 — working original.xlsx</t>
        </is>
      </c>
    </row>
    <row r="4156" ht="40" customHeight="1">
      <c r="A4156" s="4" t="inlineStr">
        <is>
          <t>original:Production!K19</t>
        </is>
      </c>
      <c r="B4156" s="4" t="inlineStr">
        <is>
          <t>Production</t>
        </is>
      </c>
      <c r="C4156" s="4" t="inlineStr">
        <is>
          <t>K19</t>
        </is>
      </c>
      <c r="D4156" s="4" t="inlineStr">
        <is>
          <t>=IF(ISNUMBER('Unit costs'!D13),F19*'Unit costs'!D13,"")</t>
        </is>
      </c>
      <c r="E4156" s="4" t="n">
        <v>2707.4</v>
      </c>
      <c r="F4156" s="4" t="inlineStr">
        <is>
          <t>GOC Bed Unit-Costing Model v2 — working original.xlsx</t>
        </is>
      </c>
    </row>
    <row r="4157" ht="40" customHeight="1">
      <c r="A4157" s="4" t="inlineStr">
        <is>
          <t>original:Production!L19</t>
        </is>
      </c>
      <c r="B4157" s="4" t="inlineStr">
        <is>
          <t>Production</t>
        </is>
      </c>
      <c r="C4157" s="4" t="inlineStr">
        <is>
          <t>L19</t>
        </is>
      </c>
      <c r="D4157" s="4" t="inlineStr">
        <is>
          <t>=IF(ISNUMBER('Unit costs'!D12),(G19+H19)*'Unit costs'!D12,"")</t>
        </is>
      </c>
      <c r="E4157" s="4" t="n">
        <v>1500</v>
      </c>
      <c r="F4157" s="4" t="inlineStr">
        <is>
          <t>GOC Bed Unit-Costing Model v2 — working original.xlsx</t>
        </is>
      </c>
    </row>
    <row r="4158" ht="40" customHeight="1">
      <c r="A4158" s="4" t="inlineStr">
        <is>
          <t>original:Production!M19</t>
        </is>
      </c>
      <c r="B4158" s="4" t="inlineStr">
        <is>
          <t>Production</t>
        </is>
      </c>
      <c r="C4158" s="4" t="inlineStr">
        <is>
          <t>M19</t>
        </is>
      </c>
      <c r="D4158" s="4" t="inlineStr">
        <is>
          <t>=H19*Overview!$B$8</t>
        </is>
      </c>
      <c r="E4158" s="4" t="n">
        <v>0</v>
      </c>
      <c r="F4158" s="4" t="inlineStr">
        <is>
          <t>GOC Bed Unit-Costing Model v2 — working original.xlsx</t>
        </is>
      </c>
    </row>
    <row r="4159" ht="45" customHeight="1">
      <c r="A4159" s="4" t="inlineStr">
        <is>
          <t>original:Production!N19</t>
        </is>
      </c>
      <c r="B4159" s="4" t="inlineStr">
        <is>
          <t>Production</t>
        </is>
      </c>
      <c r="C4159" s="4" t="inlineStr">
        <is>
          <t>N19</t>
        </is>
      </c>
      <c r="D4159" s="4" t="inlineStr">
        <is>
          <t>=IF(OR(F19&lt;0,G19&lt;0,H19&lt;0,D19&lt;0,D19&gt;1),"Invalid input",IF(F19&gt;E19,"Above capacity",IF(J19&lt;0,"Not enough stock","Within modelled capacity")))</t>
        </is>
      </c>
      <c r="E4159" s="4" t="inlineStr">
        <is>
          <t>Within modelled capacity</t>
        </is>
      </c>
      <c r="F4159" s="4" t="inlineStr">
        <is>
          <t>GOC Bed Unit-Costing Model v2 — working original.xlsx</t>
        </is>
      </c>
    </row>
    <row r="4160" ht="40" customHeight="1">
      <c r="A4160" s="4" t="inlineStr">
        <is>
          <t>original:Production!A20</t>
        </is>
      </c>
      <c r="B4160" s="4" t="inlineStr">
        <is>
          <t>Production</t>
        </is>
      </c>
      <c r="C4160" s="4" t="inlineStr">
        <is>
          <t>A20</t>
        </is>
      </c>
      <c r="D4160" s="4" t="n">
        <v>5</v>
      </c>
      <c r="E4160" s="4" t="n">
        <v>5</v>
      </c>
      <c r="F4160" s="4" t="inlineStr">
        <is>
          <t>GOC Bed Unit-Costing Model v2 — working original.xlsx</t>
        </is>
      </c>
    </row>
    <row r="4161" ht="40" customHeight="1">
      <c r="A4161" s="4" t="inlineStr">
        <is>
          <t>original:Production!B20</t>
        </is>
      </c>
      <c r="B4161" s="4" t="inlineStr">
        <is>
          <t>Production</t>
        </is>
      </c>
      <c r="C4161" s="4" t="inlineStr">
        <is>
          <t>B20</t>
        </is>
      </c>
      <c r="D4161" s="4" t="inlineStr">
        <is>
          <t>NEW2</t>
        </is>
      </c>
      <c r="E4161" s="4" t="inlineStr">
        <is>
          <t>NEW2</t>
        </is>
      </c>
      <c r="F4161" s="4" t="inlineStr">
        <is>
          <t>GOC Bed Unit-Costing Model v2 — working original.xlsx</t>
        </is>
      </c>
    </row>
    <row r="4162" ht="40" customHeight="1">
      <c r="A4162" s="4" t="inlineStr">
        <is>
          <t>original:Production!C20</t>
        </is>
      </c>
      <c r="B4162" s="4" t="inlineStr">
        <is>
          <t>Production</t>
        </is>
      </c>
      <c r="C4162" s="4" t="inlineStr">
        <is>
          <t>C20</t>
        </is>
      </c>
      <c r="D4162" s="4" t="inlineStr">
        <is>
          <t>=Sites!G8</t>
        </is>
      </c>
      <c r="E4162" s="4" t="n">
        <v>10</v>
      </c>
      <c r="F4162" s="4" t="inlineStr">
        <is>
          <t>GOC Bed Unit-Costing Model v2 — working original.xlsx</t>
        </is>
      </c>
    </row>
    <row r="4163" ht="40" customHeight="1">
      <c r="A4163" s="4" t="inlineStr">
        <is>
          <t>original:Production!D20</t>
        </is>
      </c>
      <c r="B4163" s="4" t="inlineStr">
        <is>
          <t>Production</t>
        </is>
      </c>
      <c r="C4163" s="4" t="inlineStr">
        <is>
          <t>D20</t>
        </is>
      </c>
      <c r="D4163" s="4" t="n">
        <v>0</v>
      </c>
      <c r="E4163" s="4" t="n">
        <v>0</v>
      </c>
      <c r="F4163" s="4" t="inlineStr">
        <is>
          <t>GOC Bed Unit-Costing Model v2 — working original.xlsx</t>
        </is>
      </c>
    </row>
    <row r="4164" ht="40" customHeight="1">
      <c r="A4164" s="4" t="inlineStr">
        <is>
          <t>original:Production!E20</t>
        </is>
      </c>
      <c r="B4164" s="4" t="inlineStr">
        <is>
          <t>Production</t>
        </is>
      </c>
      <c r="C4164" s="4" t="inlineStr">
        <is>
          <t>E20</t>
        </is>
      </c>
      <c r="D4164" s="4" t="inlineStr">
        <is>
          <t>=IF(A20&lt;Sites!F8,0,ROUNDDOWN(C20*D20*Sites!H8,0))</t>
        </is>
      </c>
      <c r="E4164" s="4" t="n">
        <v>0</v>
      </c>
      <c r="F4164" s="4" t="inlineStr">
        <is>
          <t>GOC Bed Unit-Costing Model v2 — working original.xlsx</t>
        </is>
      </c>
    </row>
    <row r="4165" ht="40" customHeight="1">
      <c r="A4165" s="4" t="inlineStr">
        <is>
          <t>original:Production!F20</t>
        </is>
      </c>
      <c r="B4165" s="4" t="inlineStr">
        <is>
          <t>Production</t>
        </is>
      </c>
      <c r="C4165" s="4" t="inlineStr">
        <is>
          <t>F20</t>
        </is>
      </c>
      <c r="D4165" s="4" t="n">
        <v>0</v>
      </c>
      <c r="E4165" s="4" t="n">
        <v>0</v>
      </c>
      <c r="F4165" s="4" t="inlineStr">
        <is>
          <t>GOC Bed Unit-Costing Model v2 — working original.xlsx</t>
        </is>
      </c>
    </row>
    <row r="4166" ht="40" customHeight="1">
      <c r="A4166" s="4" t="inlineStr">
        <is>
          <t>original:Production!G20</t>
        </is>
      </c>
      <c r="B4166" s="4" t="inlineStr">
        <is>
          <t>Production</t>
        </is>
      </c>
      <c r="C4166" s="4" t="inlineStr">
        <is>
          <t>G20</t>
        </is>
      </c>
      <c r="D4166" s="4" t="n">
        <v>0</v>
      </c>
      <c r="E4166" s="4" t="n">
        <v>0</v>
      </c>
      <c r="F4166" s="4" t="inlineStr">
        <is>
          <t>GOC Bed Unit-Costing Model v2 — working original.xlsx</t>
        </is>
      </c>
    </row>
    <row r="4167" ht="40" customHeight="1">
      <c r="A4167" s="4" t="inlineStr">
        <is>
          <t>original:Production!H20</t>
        </is>
      </c>
      <c r="B4167" s="4" t="inlineStr">
        <is>
          <t>Production</t>
        </is>
      </c>
      <c r="C4167" s="4" t="inlineStr">
        <is>
          <t>H20</t>
        </is>
      </c>
      <c r="D4167" s="4" t="n">
        <v>0</v>
      </c>
      <c r="E4167" s="4" t="n">
        <v>0</v>
      </c>
      <c r="F4167" s="4" t="inlineStr">
        <is>
          <t>GOC Bed Unit-Costing Model v2 — working original.xlsx</t>
        </is>
      </c>
    </row>
    <row r="4168" ht="40" customHeight="1">
      <c r="A4168" s="4" t="inlineStr">
        <is>
          <t>original:Production!I20</t>
        </is>
      </c>
      <c r="B4168" s="4" t="inlineStr">
        <is>
          <t>Production</t>
        </is>
      </c>
      <c r="C4168" s="4" t="inlineStr">
        <is>
          <t>I20</t>
        </is>
      </c>
      <c r="D4168" s="4" t="inlineStr">
        <is>
          <t>=J17</t>
        </is>
      </c>
      <c r="E4168" s="4" t="n">
        <v>0</v>
      </c>
      <c r="F4168" s="4" t="inlineStr">
        <is>
          <t>GOC Bed Unit-Costing Model v2 — working original.xlsx</t>
        </is>
      </c>
    </row>
    <row r="4169" ht="40" customHeight="1">
      <c r="A4169" s="4" t="inlineStr">
        <is>
          <t>original:Production!J20</t>
        </is>
      </c>
      <c r="B4169" s="4" t="inlineStr">
        <is>
          <t>Production</t>
        </is>
      </c>
      <c r="C4169" s="4" t="inlineStr">
        <is>
          <t>J20</t>
        </is>
      </c>
      <c r="D4169" s="4" t="inlineStr">
        <is>
          <t>=I20+F20-G20-H20</t>
        </is>
      </c>
      <c r="E4169" s="4" t="n">
        <v>0</v>
      </c>
      <c r="F4169" s="4" t="inlineStr">
        <is>
          <t>GOC Bed Unit-Costing Model v2 — working original.xlsx</t>
        </is>
      </c>
    </row>
    <row r="4170" ht="40" customHeight="1">
      <c r="A4170" s="4" t="inlineStr">
        <is>
          <t>original:Production!K20</t>
        </is>
      </c>
      <c r="B4170" s="4" t="inlineStr">
        <is>
          <t>Production</t>
        </is>
      </c>
      <c r="C4170" s="4" t="inlineStr">
        <is>
          <t>K20</t>
        </is>
      </c>
      <c r="D4170" s="4" t="inlineStr">
        <is>
          <t>=IF(ISNUMBER('Unit costs'!E13),F20*'Unit costs'!E13,"")</t>
        </is>
      </c>
      <c r="E4170" s="4" t="n">
        <v>0</v>
      </c>
      <c r="F4170" s="4" t="inlineStr">
        <is>
          <t>GOC Bed Unit-Costing Model v2 — working original.xlsx</t>
        </is>
      </c>
    </row>
    <row r="4171" ht="40" customHeight="1">
      <c r="A4171" s="4" t="inlineStr">
        <is>
          <t>original:Production!L20</t>
        </is>
      </c>
      <c r="B4171" s="4" t="inlineStr">
        <is>
          <t>Production</t>
        </is>
      </c>
      <c r="C4171" s="4" t="inlineStr">
        <is>
          <t>L20</t>
        </is>
      </c>
      <c r="D4171" s="4" t="inlineStr">
        <is>
          <t>=IF(ISNUMBER('Unit costs'!E12),(G20+H20)*'Unit costs'!E12,"")</t>
        </is>
      </c>
      <c r="E4171" s="4" t="n">
        <v>0</v>
      </c>
      <c r="F4171" s="4" t="inlineStr">
        <is>
          <t>GOC Bed Unit-Costing Model v2 — working original.xlsx</t>
        </is>
      </c>
    </row>
    <row r="4172" ht="40" customHeight="1">
      <c r="A4172" s="4" t="inlineStr">
        <is>
          <t>original:Production!M20</t>
        </is>
      </c>
      <c r="B4172" s="4" t="inlineStr">
        <is>
          <t>Production</t>
        </is>
      </c>
      <c r="C4172" s="4" t="inlineStr">
        <is>
          <t>M20</t>
        </is>
      </c>
      <c r="D4172" s="4" t="inlineStr">
        <is>
          <t>=H20*Overview!$B$8</t>
        </is>
      </c>
      <c r="E4172" s="4" t="n">
        <v>0</v>
      </c>
      <c r="F4172" s="4" t="inlineStr">
        <is>
          <t>GOC Bed Unit-Costing Model v2 — working original.xlsx</t>
        </is>
      </c>
    </row>
    <row r="4173" ht="45" customHeight="1">
      <c r="A4173" s="4" t="inlineStr">
        <is>
          <t>original:Production!N20</t>
        </is>
      </c>
      <c r="B4173" s="4" t="inlineStr">
        <is>
          <t>Production</t>
        </is>
      </c>
      <c r="C4173" s="4" t="inlineStr">
        <is>
          <t>N20</t>
        </is>
      </c>
      <c r="D4173" s="4" t="inlineStr">
        <is>
          <t>=IF(OR(F20&lt;0,G20&lt;0,H20&lt;0,D20&lt;0,D20&gt;1),"Invalid input",IF(F20&gt;E20,"Above capacity",IF(J20&lt;0,"Not enough stock","Within modelled capacity")))</t>
        </is>
      </c>
      <c r="E4173" s="4" t="inlineStr">
        <is>
          <t>Within modelled capacity</t>
        </is>
      </c>
      <c r="F4173" s="4" t="inlineStr">
        <is>
          <t>GOC Bed Unit-Costing Model v2 — working original.xlsx</t>
        </is>
      </c>
    </row>
    <row r="4174" ht="40" customHeight="1">
      <c r="A4174" s="4" t="inlineStr">
        <is>
          <t>original:Production!A21</t>
        </is>
      </c>
      <c r="B4174" s="4" t="inlineStr">
        <is>
          <t>Production</t>
        </is>
      </c>
      <c r="C4174" s="4" t="inlineStr">
        <is>
          <t>A21</t>
        </is>
      </c>
      <c r="D4174" s="4" t="n">
        <v>6</v>
      </c>
      <c r="E4174" s="4" t="n">
        <v>6</v>
      </c>
      <c r="F4174" s="4" t="inlineStr">
        <is>
          <t>GOC Bed Unit-Costing Model v2 — working original.xlsx</t>
        </is>
      </c>
    </row>
    <row r="4175" ht="40" customHeight="1">
      <c r="A4175" s="4" t="inlineStr">
        <is>
          <t>original:Production!B21</t>
        </is>
      </c>
      <c r="B4175" s="4" t="inlineStr">
        <is>
          <t>Production</t>
        </is>
      </c>
      <c r="C4175" s="4" t="inlineStr">
        <is>
          <t>B21</t>
        </is>
      </c>
      <c r="D4175" s="4" t="inlineStr">
        <is>
          <t>WITTA</t>
        </is>
      </c>
      <c r="E4175" s="4" t="inlineStr">
        <is>
          <t>WITTA</t>
        </is>
      </c>
      <c r="F4175" s="4" t="inlineStr">
        <is>
          <t>GOC Bed Unit-Costing Model v2 — working original.xlsx</t>
        </is>
      </c>
    </row>
    <row r="4176" ht="40" customHeight="1">
      <c r="A4176" s="4" t="inlineStr">
        <is>
          <t>original:Production!C21</t>
        </is>
      </c>
      <c r="B4176" s="4" t="inlineStr">
        <is>
          <t>Production</t>
        </is>
      </c>
      <c r="C4176" s="4" t="inlineStr">
        <is>
          <t>C21</t>
        </is>
      </c>
      <c r="D4176" s="4" t="inlineStr">
        <is>
          <t>=Sites!G6</t>
        </is>
      </c>
      <c r="E4176" s="4" t="n">
        <v>10</v>
      </c>
      <c r="F4176" s="4" t="inlineStr">
        <is>
          <t>GOC Bed Unit-Costing Model v2 — working original.xlsx</t>
        </is>
      </c>
    </row>
    <row r="4177" ht="40" customHeight="1">
      <c r="A4177" s="4" t="inlineStr">
        <is>
          <t>original:Production!D21</t>
        </is>
      </c>
      <c r="B4177" s="4" t="inlineStr">
        <is>
          <t>Production</t>
        </is>
      </c>
      <c r="C4177" s="4" t="inlineStr">
        <is>
          <t>D21</t>
        </is>
      </c>
      <c r="D4177" s="4" t="n">
        <v>0.75</v>
      </c>
      <c r="E4177" s="4" t="n">
        <v>0.75</v>
      </c>
      <c r="F4177" s="4" t="inlineStr">
        <is>
          <t>GOC Bed Unit-Costing Model v2 — working original.xlsx</t>
        </is>
      </c>
    </row>
    <row r="4178" ht="40" customHeight="1">
      <c r="A4178" s="4" t="inlineStr">
        <is>
          <t>original:Production!E21</t>
        </is>
      </c>
      <c r="B4178" s="4" t="inlineStr">
        <is>
          <t>Production</t>
        </is>
      </c>
      <c r="C4178" s="4" t="inlineStr">
        <is>
          <t>E21</t>
        </is>
      </c>
      <c r="D4178" s="4" t="inlineStr">
        <is>
          <t>=IF(A21&lt;Sites!F6,0,ROUNDDOWN(C21*D21*Sites!H6,0))</t>
        </is>
      </c>
      <c r="E4178" s="4" t="n">
        <v>30</v>
      </c>
      <c r="F4178" s="4" t="inlineStr">
        <is>
          <t>GOC Bed Unit-Costing Model v2 — working original.xlsx</t>
        </is>
      </c>
    </row>
    <row r="4179" ht="40" customHeight="1">
      <c r="A4179" s="4" t="inlineStr">
        <is>
          <t>original:Production!F21</t>
        </is>
      </c>
      <c r="B4179" s="4" t="inlineStr">
        <is>
          <t>Production</t>
        </is>
      </c>
      <c r="C4179" s="4" t="inlineStr">
        <is>
          <t>F21</t>
        </is>
      </c>
      <c r="D4179" s="4" t="n">
        <v>20</v>
      </c>
      <c r="E4179" s="4" t="n">
        <v>20</v>
      </c>
      <c r="F4179" s="4" t="inlineStr">
        <is>
          <t>GOC Bed Unit-Costing Model v2 — working original.xlsx</t>
        </is>
      </c>
    </row>
    <row r="4180" ht="40" customHeight="1">
      <c r="A4180" s="4" t="inlineStr">
        <is>
          <t>original:Production!G21</t>
        </is>
      </c>
      <c r="B4180" s="4" t="inlineStr">
        <is>
          <t>Production</t>
        </is>
      </c>
      <c r="C4180" s="4" t="inlineStr">
        <is>
          <t>G21</t>
        </is>
      </c>
      <c r="D4180" s="4" t="n">
        <v>20</v>
      </c>
      <c r="E4180" s="4" t="n">
        <v>20</v>
      </c>
      <c r="F4180" s="4" t="inlineStr">
        <is>
          <t>GOC Bed Unit-Costing Model v2 — working original.xlsx</t>
        </is>
      </c>
    </row>
    <row r="4181" ht="40" customHeight="1">
      <c r="A4181" s="4" t="inlineStr">
        <is>
          <t>original:Production!H21</t>
        </is>
      </c>
      <c r="B4181" s="4" t="inlineStr">
        <is>
          <t>Production</t>
        </is>
      </c>
      <c r="C4181" s="4" t="inlineStr">
        <is>
          <t>H21</t>
        </is>
      </c>
      <c r="D4181" s="4" t="n">
        <v>0</v>
      </c>
      <c r="E4181" s="4" t="n">
        <v>0</v>
      </c>
      <c r="F4181" s="4" t="inlineStr">
        <is>
          <t>GOC Bed Unit-Costing Model v2 — working original.xlsx</t>
        </is>
      </c>
    </row>
    <row r="4182" ht="40" customHeight="1">
      <c r="A4182" s="4" t="inlineStr">
        <is>
          <t>original:Production!I21</t>
        </is>
      </c>
      <c r="B4182" s="4" t="inlineStr">
        <is>
          <t>Production</t>
        </is>
      </c>
      <c r="C4182" s="4" t="inlineStr">
        <is>
          <t>I21</t>
        </is>
      </c>
      <c r="D4182" s="4" t="inlineStr">
        <is>
          <t>=J18</t>
        </is>
      </c>
      <c r="E4182" s="4" t="n">
        <v>0</v>
      </c>
      <c r="F4182" s="4" t="inlineStr">
        <is>
          <t>GOC Bed Unit-Costing Model v2 — working original.xlsx</t>
        </is>
      </c>
    </row>
    <row r="4183" ht="40" customHeight="1">
      <c r="A4183" s="4" t="inlineStr">
        <is>
          <t>original:Production!J21</t>
        </is>
      </c>
      <c r="B4183" s="4" t="inlineStr">
        <is>
          <t>Production</t>
        </is>
      </c>
      <c r="C4183" s="4" t="inlineStr">
        <is>
          <t>J21</t>
        </is>
      </c>
      <c r="D4183" s="4" t="inlineStr">
        <is>
          <t>=I21+F21-G21-H21</t>
        </is>
      </c>
      <c r="E4183" s="4" t="n">
        <v>0</v>
      </c>
      <c r="F4183" s="4" t="inlineStr">
        <is>
          <t>GOC Bed Unit-Costing Model v2 — working original.xlsx</t>
        </is>
      </c>
    </row>
    <row r="4184" ht="40" customHeight="1">
      <c r="A4184" s="4" t="inlineStr">
        <is>
          <t>original:Production!K21</t>
        </is>
      </c>
      <c r="B4184" s="4" t="inlineStr">
        <is>
          <t>Production</t>
        </is>
      </c>
      <c r="C4184" s="4" t="inlineStr">
        <is>
          <t>K21</t>
        </is>
      </c>
      <c r="D4184" s="4" t="inlineStr">
        <is>
          <t>=IF(ISNUMBER('Unit costs'!C13),F21*'Unit costs'!C13,"")</t>
        </is>
      </c>
      <c r="E4184" s="4" t="n">
        <v>5914.8</v>
      </c>
      <c r="F4184" s="4" t="inlineStr">
        <is>
          <t>GOC Bed Unit-Costing Model v2 — working original.xlsx</t>
        </is>
      </c>
    </row>
    <row r="4185" ht="40" customHeight="1">
      <c r="A4185" s="4" t="inlineStr">
        <is>
          <t>original:Production!L21</t>
        </is>
      </c>
      <c r="B4185" s="4" t="inlineStr">
        <is>
          <t>Production</t>
        </is>
      </c>
      <c r="C4185" s="4" t="inlineStr">
        <is>
          <t>L21</t>
        </is>
      </c>
      <c r="D4185" s="4" t="inlineStr">
        <is>
          <t>=IF(ISNUMBER('Unit costs'!C12),(G21+H21)*'Unit costs'!C12,"")</t>
        </is>
      </c>
      <c r="E4185" s="4" t="n">
        <v>3000</v>
      </c>
      <c r="F4185" s="4" t="inlineStr">
        <is>
          <t>GOC Bed Unit-Costing Model v2 — working original.xlsx</t>
        </is>
      </c>
    </row>
    <row r="4186" ht="40" customHeight="1">
      <c r="A4186" s="4" t="inlineStr">
        <is>
          <t>original:Production!M21</t>
        </is>
      </c>
      <c r="B4186" s="4" t="inlineStr">
        <is>
          <t>Production</t>
        </is>
      </c>
      <c r="C4186" s="4" t="inlineStr">
        <is>
          <t>M21</t>
        </is>
      </c>
      <c r="D4186" s="4" t="inlineStr">
        <is>
          <t>=H21*Overview!$B$8</t>
        </is>
      </c>
      <c r="E4186" s="4" t="n">
        <v>0</v>
      </c>
      <c r="F4186" s="4" t="inlineStr">
        <is>
          <t>GOC Bed Unit-Costing Model v2 — working original.xlsx</t>
        </is>
      </c>
    </row>
    <row r="4187" ht="45" customHeight="1">
      <c r="A4187" s="4" t="inlineStr">
        <is>
          <t>original:Production!N21</t>
        </is>
      </c>
      <c r="B4187" s="4" t="inlineStr">
        <is>
          <t>Production</t>
        </is>
      </c>
      <c r="C4187" s="4" t="inlineStr">
        <is>
          <t>N21</t>
        </is>
      </c>
      <c r="D4187" s="4" t="inlineStr">
        <is>
          <t>=IF(OR(F21&lt;0,G21&lt;0,H21&lt;0,D21&lt;0,D21&gt;1),"Invalid input",IF(F21&gt;E21,"Above capacity",IF(J21&lt;0,"Not enough stock","Within modelled capacity")))</t>
        </is>
      </c>
      <c r="E4187" s="4" t="inlineStr">
        <is>
          <t>Within modelled capacity</t>
        </is>
      </c>
      <c r="F4187" s="4" t="inlineStr">
        <is>
          <t>GOC Bed Unit-Costing Model v2 — working original.xlsx</t>
        </is>
      </c>
    </row>
    <row r="4188" ht="40" customHeight="1">
      <c r="A4188" s="4" t="inlineStr">
        <is>
          <t>original:Production!A22</t>
        </is>
      </c>
      <c r="B4188" s="4" t="inlineStr">
        <is>
          <t>Production</t>
        </is>
      </c>
      <c r="C4188" s="4" t="inlineStr">
        <is>
          <t>A22</t>
        </is>
      </c>
      <c r="D4188" s="4" t="n">
        <v>6</v>
      </c>
      <c r="E4188" s="4" t="n">
        <v>6</v>
      </c>
      <c r="F4188" s="4" t="inlineStr">
        <is>
          <t>GOC Bed Unit-Costing Model v2 — working original.xlsx</t>
        </is>
      </c>
    </row>
    <row r="4189" ht="40" customHeight="1">
      <c r="A4189" s="4" t="inlineStr">
        <is>
          <t>original:Production!B22</t>
        </is>
      </c>
      <c r="B4189" s="4" t="inlineStr">
        <is>
          <t>Production</t>
        </is>
      </c>
      <c r="C4189" s="4" t="inlineStr">
        <is>
          <t>B22</t>
        </is>
      </c>
      <c r="D4189" s="4" t="inlineStr">
        <is>
          <t>NEW1</t>
        </is>
      </c>
      <c r="E4189" s="4" t="inlineStr">
        <is>
          <t>NEW1</t>
        </is>
      </c>
      <c r="F4189" s="4" t="inlineStr">
        <is>
          <t>GOC Bed Unit-Costing Model v2 — working original.xlsx</t>
        </is>
      </c>
    </row>
    <row r="4190" ht="40" customHeight="1">
      <c r="A4190" s="4" t="inlineStr">
        <is>
          <t>original:Production!C22</t>
        </is>
      </c>
      <c r="B4190" s="4" t="inlineStr">
        <is>
          <t>Production</t>
        </is>
      </c>
      <c r="C4190" s="4" t="inlineStr">
        <is>
          <t>C22</t>
        </is>
      </c>
      <c r="D4190" s="4" t="inlineStr">
        <is>
          <t>=Sites!G7</t>
        </is>
      </c>
      <c r="E4190" s="4" t="n">
        <v>10</v>
      </c>
      <c r="F4190" s="4" t="inlineStr">
        <is>
          <t>GOC Bed Unit-Costing Model v2 — working original.xlsx</t>
        </is>
      </c>
    </row>
    <row r="4191" ht="40" customHeight="1">
      <c r="A4191" s="4" t="inlineStr">
        <is>
          <t>original:Production!D22</t>
        </is>
      </c>
      <c r="B4191" s="4" t="inlineStr">
        <is>
          <t>Production</t>
        </is>
      </c>
      <c r="C4191" s="4" t="inlineStr">
        <is>
          <t>D22</t>
        </is>
      </c>
      <c r="D4191" s="4" t="n">
        <v>0.75</v>
      </c>
      <c r="E4191" s="4" t="n">
        <v>0.75</v>
      </c>
      <c r="F4191" s="4" t="inlineStr">
        <is>
          <t>GOC Bed Unit-Costing Model v2 — working original.xlsx</t>
        </is>
      </c>
    </row>
    <row r="4192" ht="40" customHeight="1">
      <c r="A4192" s="4" t="inlineStr">
        <is>
          <t>original:Production!E22</t>
        </is>
      </c>
      <c r="B4192" s="4" t="inlineStr">
        <is>
          <t>Production</t>
        </is>
      </c>
      <c r="C4192" s="4" t="inlineStr">
        <is>
          <t>E22</t>
        </is>
      </c>
      <c r="D4192" s="4" t="inlineStr">
        <is>
          <t>=IF(A22&lt;Sites!F7,0,ROUNDDOWN(C22*D22*Sites!H7,0))</t>
        </is>
      </c>
      <c r="E4192" s="4" t="n">
        <v>30</v>
      </c>
      <c r="F4192" s="4" t="inlineStr">
        <is>
          <t>GOC Bed Unit-Costing Model v2 — working original.xlsx</t>
        </is>
      </c>
    </row>
    <row r="4193" ht="40" customHeight="1">
      <c r="A4193" s="4" t="inlineStr">
        <is>
          <t>original:Production!F22</t>
        </is>
      </c>
      <c r="B4193" s="4" t="inlineStr">
        <is>
          <t>Production</t>
        </is>
      </c>
      <c r="C4193" s="4" t="inlineStr">
        <is>
          <t>F22</t>
        </is>
      </c>
      <c r="D4193" s="4" t="n">
        <v>10</v>
      </c>
      <c r="E4193" s="4" t="n">
        <v>10</v>
      </c>
      <c r="F4193" s="4" t="inlineStr">
        <is>
          <t>GOC Bed Unit-Costing Model v2 — working original.xlsx</t>
        </is>
      </c>
    </row>
    <row r="4194" ht="40" customHeight="1">
      <c r="A4194" s="4" t="inlineStr">
        <is>
          <t>original:Production!G22</t>
        </is>
      </c>
      <c r="B4194" s="4" t="inlineStr">
        <is>
          <t>Production</t>
        </is>
      </c>
      <c r="C4194" s="4" t="inlineStr">
        <is>
          <t>G22</t>
        </is>
      </c>
      <c r="D4194" s="4" t="n">
        <v>10</v>
      </c>
      <c r="E4194" s="4" t="n">
        <v>10</v>
      </c>
      <c r="F4194" s="4" t="inlineStr">
        <is>
          <t>GOC Bed Unit-Costing Model v2 — working original.xlsx</t>
        </is>
      </c>
    </row>
    <row r="4195" ht="40" customHeight="1">
      <c r="A4195" s="4" t="inlineStr">
        <is>
          <t>original:Production!H22</t>
        </is>
      </c>
      <c r="B4195" s="4" t="inlineStr">
        <is>
          <t>Production</t>
        </is>
      </c>
      <c r="C4195" s="4" t="inlineStr">
        <is>
          <t>H22</t>
        </is>
      </c>
      <c r="D4195" s="4" t="n">
        <v>0</v>
      </c>
      <c r="E4195" s="4" t="n">
        <v>0</v>
      </c>
      <c r="F4195" s="4" t="inlineStr">
        <is>
          <t>GOC Bed Unit-Costing Model v2 — working original.xlsx</t>
        </is>
      </c>
    </row>
    <row r="4196" ht="40" customHeight="1">
      <c r="A4196" s="4" t="inlineStr">
        <is>
          <t>original:Production!I22</t>
        </is>
      </c>
      <c r="B4196" s="4" t="inlineStr">
        <is>
          <t>Production</t>
        </is>
      </c>
      <c r="C4196" s="4" t="inlineStr">
        <is>
          <t>I22</t>
        </is>
      </c>
      <c r="D4196" s="4" t="inlineStr">
        <is>
          <t>=J19</t>
        </is>
      </c>
      <c r="E4196" s="4" t="n">
        <v>0</v>
      </c>
      <c r="F4196" s="4" t="inlineStr">
        <is>
          <t>GOC Bed Unit-Costing Model v2 — working original.xlsx</t>
        </is>
      </c>
    </row>
    <row r="4197" ht="40" customHeight="1">
      <c r="A4197" s="4" t="inlineStr">
        <is>
          <t>original:Production!J22</t>
        </is>
      </c>
      <c r="B4197" s="4" t="inlineStr">
        <is>
          <t>Production</t>
        </is>
      </c>
      <c r="C4197" s="4" t="inlineStr">
        <is>
          <t>J22</t>
        </is>
      </c>
      <c r="D4197" s="4" t="inlineStr">
        <is>
          <t>=I22+F22-G22-H22</t>
        </is>
      </c>
      <c r="E4197" s="4" t="n">
        <v>0</v>
      </c>
      <c r="F4197" s="4" t="inlineStr">
        <is>
          <t>GOC Bed Unit-Costing Model v2 — working original.xlsx</t>
        </is>
      </c>
    </row>
    <row r="4198" ht="40" customHeight="1">
      <c r="A4198" s="4" t="inlineStr">
        <is>
          <t>original:Production!K22</t>
        </is>
      </c>
      <c r="B4198" s="4" t="inlineStr">
        <is>
          <t>Production</t>
        </is>
      </c>
      <c r="C4198" s="4" t="inlineStr">
        <is>
          <t>K22</t>
        </is>
      </c>
      <c r="D4198" s="4" t="inlineStr">
        <is>
          <t>=IF(ISNUMBER('Unit costs'!D13),F22*'Unit costs'!D13,"")</t>
        </is>
      </c>
      <c r="E4198" s="4" t="n">
        <v>2707.4</v>
      </c>
      <c r="F4198" s="4" t="inlineStr">
        <is>
          <t>GOC Bed Unit-Costing Model v2 — working original.xlsx</t>
        </is>
      </c>
    </row>
    <row r="4199" ht="40" customHeight="1">
      <c r="A4199" s="4" t="inlineStr">
        <is>
          <t>original:Production!L22</t>
        </is>
      </c>
      <c r="B4199" s="4" t="inlineStr">
        <is>
          <t>Production</t>
        </is>
      </c>
      <c r="C4199" s="4" t="inlineStr">
        <is>
          <t>L22</t>
        </is>
      </c>
      <c r="D4199" s="4" t="inlineStr">
        <is>
          <t>=IF(ISNUMBER('Unit costs'!D12),(G22+H22)*'Unit costs'!D12,"")</t>
        </is>
      </c>
      <c r="E4199" s="4" t="n">
        <v>1500</v>
      </c>
      <c r="F4199" s="4" t="inlineStr">
        <is>
          <t>GOC Bed Unit-Costing Model v2 — working original.xlsx</t>
        </is>
      </c>
    </row>
    <row r="4200" ht="40" customHeight="1">
      <c r="A4200" s="4" t="inlineStr">
        <is>
          <t>original:Production!M22</t>
        </is>
      </c>
      <c r="B4200" s="4" t="inlineStr">
        <is>
          <t>Production</t>
        </is>
      </c>
      <c r="C4200" s="4" t="inlineStr">
        <is>
          <t>M22</t>
        </is>
      </c>
      <c r="D4200" s="4" t="inlineStr">
        <is>
          <t>=H22*Overview!$B$8</t>
        </is>
      </c>
      <c r="E4200" s="4" t="n">
        <v>0</v>
      </c>
      <c r="F4200" s="4" t="inlineStr">
        <is>
          <t>GOC Bed Unit-Costing Model v2 — working original.xlsx</t>
        </is>
      </c>
    </row>
    <row r="4201" ht="45" customHeight="1">
      <c r="A4201" s="4" t="inlineStr">
        <is>
          <t>original:Production!N22</t>
        </is>
      </c>
      <c r="B4201" s="4" t="inlineStr">
        <is>
          <t>Production</t>
        </is>
      </c>
      <c r="C4201" s="4" t="inlineStr">
        <is>
          <t>N22</t>
        </is>
      </c>
      <c r="D4201" s="4" t="inlineStr">
        <is>
          <t>=IF(OR(F22&lt;0,G22&lt;0,H22&lt;0,D22&lt;0,D22&gt;1),"Invalid input",IF(F22&gt;E22,"Above capacity",IF(J22&lt;0,"Not enough stock","Within modelled capacity")))</t>
        </is>
      </c>
      <c r="E4201" s="4" t="inlineStr">
        <is>
          <t>Within modelled capacity</t>
        </is>
      </c>
      <c r="F4201" s="4" t="inlineStr">
        <is>
          <t>GOC Bed Unit-Costing Model v2 — working original.xlsx</t>
        </is>
      </c>
    </row>
    <row r="4202" ht="40" customHeight="1">
      <c r="A4202" s="4" t="inlineStr">
        <is>
          <t>original:Production!A23</t>
        </is>
      </c>
      <c r="B4202" s="4" t="inlineStr">
        <is>
          <t>Production</t>
        </is>
      </c>
      <c r="C4202" s="4" t="inlineStr">
        <is>
          <t>A23</t>
        </is>
      </c>
      <c r="D4202" s="4" t="n">
        <v>6</v>
      </c>
      <c r="E4202" s="4" t="n">
        <v>6</v>
      </c>
      <c r="F4202" s="4" t="inlineStr">
        <is>
          <t>GOC Bed Unit-Costing Model v2 — working original.xlsx</t>
        </is>
      </c>
    </row>
    <row r="4203" ht="40" customHeight="1">
      <c r="A4203" s="4" t="inlineStr">
        <is>
          <t>original:Production!B23</t>
        </is>
      </c>
      <c r="B4203" s="4" t="inlineStr">
        <is>
          <t>Production</t>
        </is>
      </c>
      <c r="C4203" s="4" t="inlineStr">
        <is>
          <t>B23</t>
        </is>
      </c>
      <c r="D4203" s="4" t="inlineStr">
        <is>
          <t>NEW2</t>
        </is>
      </c>
      <c r="E4203" s="4" t="inlineStr">
        <is>
          <t>NEW2</t>
        </is>
      </c>
      <c r="F4203" s="4" t="inlineStr">
        <is>
          <t>GOC Bed Unit-Costing Model v2 — working original.xlsx</t>
        </is>
      </c>
    </row>
    <row r="4204" ht="40" customHeight="1">
      <c r="A4204" s="4" t="inlineStr">
        <is>
          <t>original:Production!C23</t>
        </is>
      </c>
      <c r="B4204" s="4" t="inlineStr">
        <is>
          <t>Production</t>
        </is>
      </c>
      <c r="C4204" s="4" t="inlineStr">
        <is>
          <t>C23</t>
        </is>
      </c>
      <c r="D4204" s="4" t="inlineStr">
        <is>
          <t>=Sites!G8</t>
        </is>
      </c>
      <c r="E4204" s="4" t="n">
        <v>10</v>
      </c>
      <c r="F4204" s="4" t="inlineStr">
        <is>
          <t>GOC Bed Unit-Costing Model v2 — working original.xlsx</t>
        </is>
      </c>
    </row>
    <row r="4205" ht="40" customHeight="1">
      <c r="A4205" s="4" t="inlineStr">
        <is>
          <t>original:Production!D23</t>
        </is>
      </c>
      <c r="B4205" s="4" t="inlineStr">
        <is>
          <t>Production</t>
        </is>
      </c>
      <c r="C4205" s="4" t="inlineStr">
        <is>
          <t>D23</t>
        </is>
      </c>
      <c r="D4205" s="4" t="n">
        <v>0</v>
      </c>
      <c r="E4205" s="4" t="n">
        <v>0</v>
      </c>
      <c r="F4205" s="4" t="inlineStr">
        <is>
          <t>GOC Bed Unit-Costing Model v2 — working original.xlsx</t>
        </is>
      </c>
    </row>
    <row r="4206" ht="40" customHeight="1">
      <c r="A4206" s="4" t="inlineStr">
        <is>
          <t>original:Production!E23</t>
        </is>
      </c>
      <c r="B4206" s="4" t="inlineStr">
        <is>
          <t>Production</t>
        </is>
      </c>
      <c r="C4206" s="4" t="inlineStr">
        <is>
          <t>E23</t>
        </is>
      </c>
      <c r="D4206" s="4" t="inlineStr">
        <is>
          <t>=IF(A23&lt;Sites!F8,0,ROUNDDOWN(C23*D23*Sites!H8,0))</t>
        </is>
      </c>
      <c r="E4206" s="4" t="n">
        <v>0</v>
      </c>
      <c r="F4206" s="4" t="inlineStr">
        <is>
          <t>GOC Bed Unit-Costing Model v2 — working original.xlsx</t>
        </is>
      </c>
    </row>
    <row r="4207" ht="40" customHeight="1">
      <c r="A4207" s="4" t="inlineStr">
        <is>
          <t>original:Production!F23</t>
        </is>
      </c>
      <c r="B4207" s="4" t="inlineStr">
        <is>
          <t>Production</t>
        </is>
      </c>
      <c r="C4207" s="4" t="inlineStr">
        <is>
          <t>F23</t>
        </is>
      </c>
      <c r="D4207" s="4" t="n">
        <v>0</v>
      </c>
      <c r="E4207" s="4" t="n">
        <v>0</v>
      </c>
      <c r="F4207" s="4" t="inlineStr">
        <is>
          <t>GOC Bed Unit-Costing Model v2 — working original.xlsx</t>
        </is>
      </c>
    </row>
    <row r="4208" ht="40" customHeight="1">
      <c r="A4208" s="4" t="inlineStr">
        <is>
          <t>original:Production!G23</t>
        </is>
      </c>
      <c r="B4208" s="4" t="inlineStr">
        <is>
          <t>Production</t>
        </is>
      </c>
      <c r="C4208" s="4" t="inlineStr">
        <is>
          <t>G23</t>
        </is>
      </c>
      <c r="D4208" s="4" t="n">
        <v>0</v>
      </c>
      <c r="E4208" s="4" t="n">
        <v>0</v>
      </c>
      <c r="F4208" s="4" t="inlineStr">
        <is>
          <t>GOC Bed Unit-Costing Model v2 — working original.xlsx</t>
        </is>
      </c>
    </row>
    <row r="4209" ht="40" customHeight="1">
      <c r="A4209" s="4" t="inlineStr">
        <is>
          <t>original:Production!H23</t>
        </is>
      </c>
      <c r="B4209" s="4" t="inlineStr">
        <is>
          <t>Production</t>
        </is>
      </c>
      <c r="C4209" s="4" t="inlineStr">
        <is>
          <t>H23</t>
        </is>
      </c>
      <c r="D4209" s="4" t="n">
        <v>0</v>
      </c>
      <c r="E4209" s="4" t="n">
        <v>0</v>
      </c>
      <c r="F4209" s="4" t="inlineStr">
        <is>
          <t>GOC Bed Unit-Costing Model v2 — working original.xlsx</t>
        </is>
      </c>
    </row>
    <row r="4210" ht="40" customHeight="1">
      <c r="A4210" s="4" t="inlineStr">
        <is>
          <t>original:Production!I23</t>
        </is>
      </c>
      <c r="B4210" s="4" t="inlineStr">
        <is>
          <t>Production</t>
        </is>
      </c>
      <c r="C4210" s="4" t="inlineStr">
        <is>
          <t>I23</t>
        </is>
      </c>
      <c r="D4210" s="4" t="inlineStr">
        <is>
          <t>=J20</t>
        </is>
      </c>
      <c r="E4210" s="4" t="n">
        <v>0</v>
      </c>
      <c r="F4210" s="4" t="inlineStr">
        <is>
          <t>GOC Bed Unit-Costing Model v2 — working original.xlsx</t>
        </is>
      </c>
    </row>
    <row r="4211" ht="40" customHeight="1">
      <c r="A4211" s="4" t="inlineStr">
        <is>
          <t>original:Production!J23</t>
        </is>
      </c>
      <c r="B4211" s="4" t="inlineStr">
        <is>
          <t>Production</t>
        </is>
      </c>
      <c r="C4211" s="4" t="inlineStr">
        <is>
          <t>J23</t>
        </is>
      </c>
      <c r="D4211" s="4" t="inlineStr">
        <is>
          <t>=I23+F23-G23-H23</t>
        </is>
      </c>
      <c r="E4211" s="4" t="n">
        <v>0</v>
      </c>
      <c r="F4211" s="4" t="inlineStr">
        <is>
          <t>GOC Bed Unit-Costing Model v2 — working original.xlsx</t>
        </is>
      </c>
    </row>
    <row r="4212" ht="40" customHeight="1">
      <c r="A4212" s="4" t="inlineStr">
        <is>
          <t>original:Production!K23</t>
        </is>
      </c>
      <c r="B4212" s="4" t="inlineStr">
        <is>
          <t>Production</t>
        </is>
      </c>
      <c r="C4212" s="4" t="inlineStr">
        <is>
          <t>K23</t>
        </is>
      </c>
      <c r="D4212" s="4" t="inlineStr">
        <is>
          <t>=IF(ISNUMBER('Unit costs'!E13),F23*'Unit costs'!E13,"")</t>
        </is>
      </c>
      <c r="E4212" s="4" t="n">
        <v>0</v>
      </c>
      <c r="F4212" s="4" t="inlineStr">
        <is>
          <t>GOC Bed Unit-Costing Model v2 — working original.xlsx</t>
        </is>
      </c>
    </row>
    <row r="4213" ht="40" customHeight="1">
      <c r="A4213" s="4" t="inlineStr">
        <is>
          <t>original:Production!L23</t>
        </is>
      </c>
      <c r="B4213" s="4" t="inlineStr">
        <is>
          <t>Production</t>
        </is>
      </c>
      <c r="C4213" s="4" t="inlineStr">
        <is>
          <t>L23</t>
        </is>
      </c>
      <c r="D4213" s="4" t="inlineStr">
        <is>
          <t>=IF(ISNUMBER('Unit costs'!E12),(G23+H23)*'Unit costs'!E12,"")</t>
        </is>
      </c>
      <c r="E4213" s="4" t="n">
        <v>0</v>
      </c>
      <c r="F4213" s="4" t="inlineStr">
        <is>
          <t>GOC Bed Unit-Costing Model v2 — working original.xlsx</t>
        </is>
      </c>
    </row>
    <row r="4214" ht="40" customHeight="1">
      <c r="A4214" s="4" t="inlineStr">
        <is>
          <t>original:Production!M23</t>
        </is>
      </c>
      <c r="B4214" s="4" t="inlineStr">
        <is>
          <t>Production</t>
        </is>
      </c>
      <c r="C4214" s="4" t="inlineStr">
        <is>
          <t>M23</t>
        </is>
      </c>
      <c r="D4214" s="4" t="inlineStr">
        <is>
          <t>=H23*Overview!$B$8</t>
        </is>
      </c>
      <c r="E4214" s="4" t="n">
        <v>0</v>
      </c>
      <c r="F4214" s="4" t="inlineStr">
        <is>
          <t>GOC Bed Unit-Costing Model v2 — working original.xlsx</t>
        </is>
      </c>
    </row>
    <row r="4215" ht="45" customHeight="1">
      <c r="A4215" s="4" t="inlineStr">
        <is>
          <t>original:Production!N23</t>
        </is>
      </c>
      <c r="B4215" s="4" t="inlineStr">
        <is>
          <t>Production</t>
        </is>
      </c>
      <c r="C4215" s="4" t="inlineStr">
        <is>
          <t>N23</t>
        </is>
      </c>
      <c r="D4215" s="4" t="inlineStr">
        <is>
          <t>=IF(OR(F23&lt;0,G23&lt;0,H23&lt;0,D23&lt;0,D23&gt;1),"Invalid input",IF(F23&gt;E23,"Above capacity",IF(J23&lt;0,"Not enough stock","Within modelled capacity")))</t>
        </is>
      </c>
      <c r="E4215" s="4" t="inlineStr">
        <is>
          <t>Within modelled capacity</t>
        </is>
      </c>
      <c r="F4215" s="4" t="inlineStr">
        <is>
          <t>GOC Bed Unit-Costing Model v2 — working original.xlsx</t>
        </is>
      </c>
    </row>
    <row r="4216" ht="40" customHeight="1">
      <c r="A4216" s="4" t="inlineStr">
        <is>
          <t>original:Production!A24</t>
        </is>
      </c>
      <c r="B4216" s="4" t="inlineStr">
        <is>
          <t>Production</t>
        </is>
      </c>
      <c r="C4216" s="4" t="inlineStr">
        <is>
          <t>A24</t>
        </is>
      </c>
      <c r="D4216" s="4" t="n">
        <v>7</v>
      </c>
      <c r="E4216" s="4" t="n">
        <v>7</v>
      </c>
      <c r="F4216" s="4" t="inlineStr">
        <is>
          <t>GOC Bed Unit-Costing Model v2 — working original.xlsx</t>
        </is>
      </c>
    </row>
    <row r="4217" ht="40" customHeight="1">
      <c r="A4217" s="4" t="inlineStr">
        <is>
          <t>original:Production!B24</t>
        </is>
      </c>
      <c r="B4217" s="4" t="inlineStr">
        <is>
          <t>Production</t>
        </is>
      </c>
      <c r="C4217" s="4" t="inlineStr">
        <is>
          <t>B24</t>
        </is>
      </c>
      <c r="D4217" s="4" t="inlineStr">
        <is>
          <t>WITTA</t>
        </is>
      </c>
      <c r="E4217" s="4" t="inlineStr">
        <is>
          <t>WITTA</t>
        </is>
      </c>
      <c r="F4217" s="4" t="inlineStr">
        <is>
          <t>GOC Bed Unit-Costing Model v2 — working original.xlsx</t>
        </is>
      </c>
    </row>
    <row r="4218" ht="40" customHeight="1">
      <c r="A4218" s="4" t="inlineStr">
        <is>
          <t>original:Production!C24</t>
        </is>
      </c>
      <c r="B4218" s="4" t="inlineStr">
        <is>
          <t>Production</t>
        </is>
      </c>
      <c r="C4218" s="4" t="inlineStr">
        <is>
          <t>C24</t>
        </is>
      </c>
      <c r="D4218" s="4" t="inlineStr">
        <is>
          <t>=Sites!G6</t>
        </is>
      </c>
      <c r="E4218" s="4" t="n">
        <v>10</v>
      </c>
      <c r="F4218" s="4" t="inlineStr">
        <is>
          <t>GOC Bed Unit-Costing Model v2 — working original.xlsx</t>
        </is>
      </c>
    </row>
    <row r="4219" ht="40" customHeight="1">
      <c r="A4219" s="4" t="inlineStr">
        <is>
          <t>original:Production!D24</t>
        </is>
      </c>
      <c r="B4219" s="4" t="inlineStr">
        <is>
          <t>Production</t>
        </is>
      </c>
      <c r="C4219" s="4" t="inlineStr">
        <is>
          <t>D24</t>
        </is>
      </c>
      <c r="D4219" s="4" t="n">
        <v>1</v>
      </c>
      <c r="E4219" s="4" t="n">
        <v>1</v>
      </c>
      <c r="F4219" s="4" t="inlineStr">
        <is>
          <t>GOC Bed Unit-Costing Model v2 — working original.xlsx</t>
        </is>
      </c>
    </row>
    <row r="4220" ht="40" customHeight="1">
      <c r="A4220" s="4" t="inlineStr">
        <is>
          <t>original:Production!E24</t>
        </is>
      </c>
      <c r="B4220" s="4" t="inlineStr">
        <is>
          <t>Production</t>
        </is>
      </c>
      <c r="C4220" s="4" t="inlineStr">
        <is>
          <t>E24</t>
        </is>
      </c>
      <c r="D4220" s="4" t="inlineStr">
        <is>
          <t>=IF(A24&lt;Sites!F6,0,ROUNDDOWN(C24*D24*Sites!H6,0))</t>
        </is>
      </c>
      <c r="E4220" s="4" t="n">
        <v>40</v>
      </c>
      <c r="F4220" s="4" t="inlineStr">
        <is>
          <t>GOC Bed Unit-Costing Model v2 — working original.xlsx</t>
        </is>
      </c>
    </row>
    <row r="4221" ht="40" customHeight="1">
      <c r="A4221" s="4" t="inlineStr">
        <is>
          <t>original:Production!F24</t>
        </is>
      </c>
      <c r="B4221" s="4" t="inlineStr">
        <is>
          <t>Production</t>
        </is>
      </c>
      <c r="C4221" s="4" t="inlineStr">
        <is>
          <t>F24</t>
        </is>
      </c>
      <c r="D4221" s="4" t="n">
        <v>20</v>
      </c>
      <c r="E4221" s="4" t="n">
        <v>20</v>
      </c>
      <c r="F4221" s="4" t="inlineStr">
        <is>
          <t>GOC Bed Unit-Costing Model v2 — working original.xlsx</t>
        </is>
      </c>
    </row>
    <row r="4222" ht="40" customHeight="1">
      <c r="A4222" s="4" t="inlineStr">
        <is>
          <t>original:Production!G24</t>
        </is>
      </c>
      <c r="B4222" s="4" t="inlineStr">
        <is>
          <t>Production</t>
        </is>
      </c>
      <c r="C4222" s="4" t="inlineStr">
        <is>
          <t>G24</t>
        </is>
      </c>
      <c r="D4222" s="4" t="n">
        <v>20</v>
      </c>
      <c r="E4222" s="4" t="n">
        <v>20</v>
      </c>
      <c r="F4222" s="4" t="inlineStr">
        <is>
          <t>GOC Bed Unit-Costing Model v2 — working original.xlsx</t>
        </is>
      </c>
    </row>
    <row r="4223" ht="40" customHeight="1">
      <c r="A4223" s="4" t="inlineStr">
        <is>
          <t>original:Production!H24</t>
        </is>
      </c>
      <c r="B4223" s="4" t="inlineStr">
        <is>
          <t>Production</t>
        </is>
      </c>
      <c r="C4223" s="4" t="inlineStr">
        <is>
          <t>H24</t>
        </is>
      </c>
      <c r="D4223" s="4" t="n">
        <v>0</v>
      </c>
      <c r="E4223" s="4" t="n">
        <v>0</v>
      </c>
      <c r="F4223" s="4" t="inlineStr">
        <is>
          <t>GOC Bed Unit-Costing Model v2 — working original.xlsx</t>
        </is>
      </c>
    </row>
    <row r="4224" ht="40" customHeight="1">
      <c r="A4224" s="4" t="inlineStr">
        <is>
          <t>original:Production!I24</t>
        </is>
      </c>
      <c r="B4224" s="4" t="inlineStr">
        <is>
          <t>Production</t>
        </is>
      </c>
      <c r="C4224" s="4" t="inlineStr">
        <is>
          <t>I24</t>
        </is>
      </c>
      <c r="D4224" s="4" t="inlineStr">
        <is>
          <t>=J21</t>
        </is>
      </c>
      <c r="E4224" s="4" t="n">
        <v>0</v>
      </c>
      <c r="F4224" s="4" t="inlineStr">
        <is>
          <t>GOC Bed Unit-Costing Model v2 — working original.xlsx</t>
        </is>
      </c>
    </row>
    <row r="4225" ht="40" customHeight="1">
      <c r="A4225" s="4" t="inlineStr">
        <is>
          <t>original:Production!J24</t>
        </is>
      </c>
      <c r="B4225" s="4" t="inlineStr">
        <is>
          <t>Production</t>
        </is>
      </c>
      <c r="C4225" s="4" t="inlineStr">
        <is>
          <t>J24</t>
        </is>
      </c>
      <c r="D4225" s="4" t="inlineStr">
        <is>
          <t>=I24+F24-G24-H24</t>
        </is>
      </c>
      <c r="E4225" s="4" t="n">
        <v>0</v>
      </c>
      <c r="F4225" s="4" t="inlineStr">
        <is>
          <t>GOC Bed Unit-Costing Model v2 — working original.xlsx</t>
        </is>
      </c>
    </row>
    <row r="4226" ht="40" customHeight="1">
      <c r="A4226" s="4" t="inlineStr">
        <is>
          <t>original:Production!K24</t>
        </is>
      </c>
      <c r="B4226" s="4" t="inlineStr">
        <is>
          <t>Production</t>
        </is>
      </c>
      <c r="C4226" s="4" t="inlineStr">
        <is>
          <t>K24</t>
        </is>
      </c>
      <c r="D4226" s="4" t="inlineStr">
        <is>
          <t>=IF(ISNUMBER('Unit costs'!C13),F24*'Unit costs'!C13,"")</t>
        </is>
      </c>
      <c r="E4226" s="4" t="n">
        <v>5914.8</v>
      </c>
      <c r="F4226" s="4" t="inlineStr">
        <is>
          <t>GOC Bed Unit-Costing Model v2 — working original.xlsx</t>
        </is>
      </c>
    </row>
    <row r="4227" ht="40" customHeight="1">
      <c r="A4227" s="4" t="inlineStr">
        <is>
          <t>original:Production!L24</t>
        </is>
      </c>
      <c r="B4227" s="4" t="inlineStr">
        <is>
          <t>Production</t>
        </is>
      </c>
      <c r="C4227" s="4" t="inlineStr">
        <is>
          <t>L24</t>
        </is>
      </c>
      <c r="D4227" s="4" t="inlineStr">
        <is>
          <t>=IF(ISNUMBER('Unit costs'!C12),(G24+H24)*'Unit costs'!C12,"")</t>
        </is>
      </c>
      <c r="E4227" s="4" t="n">
        <v>3000</v>
      </c>
      <c r="F4227" s="4" t="inlineStr">
        <is>
          <t>GOC Bed Unit-Costing Model v2 — working original.xlsx</t>
        </is>
      </c>
    </row>
    <row r="4228" ht="40" customHeight="1">
      <c r="A4228" s="4" t="inlineStr">
        <is>
          <t>original:Production!M24</t>
        </is>
      </c>
      <c r="B4228" s="4" t="inlineStr">
        <is>
          <t>Production</t>
        </is>
      </c>
      <c r="C4228" s="4" t="inlineStr">
        <is>
          <t>M24</t>
        </is>
      </c>
      <c r="D4228" s="4" t="inlineStr">
        <is>
          <t>=H24*Overview!$B$8</t>
        </is>
      </c>
      <c r="E4228" s="4" t="n">
        <v>0</v>
      </c>
      <c r="F4228" s="4" t="inlineStr">
        <is>
          <t>GOC Bed Unit-Costing Model v2 — working original.xlsx</t>
        </is>
      </c>
    </row>
    <row r="4229" ht="45" customHeight="1">
      <c r="A4229" s="4" t="inlineStr">
        <is>
          <t>original:Production!N24</t>
        </is>
      </c>
      <c r="B4229" s="4" t="inlineStr">
        <is>
          <t>Production</t>
        </is>
      </c>
      <c r="C4229" s="4" t="inlineStr">
        <is>
          <t>N24</t>
        </is>
      </c>
      <c r="D4229" s="4" t="inlineStr">
        <is>
          <t>=IF(OR(F24&lt;0,G24&lt;0,H24&lt;0,D24&lt;0,D24&gt;1),"Invalid input",IF(F24&gt;E24,"Above capacity",IF(J24&lt;0,"Not enough stock","Within modelled capacity")))</t>
        </is>
      </c>
      <c r="E4229" s="4" t="inlineStr">
        <is>
          <t>Within modelled capacity</t>
        </is>
      </c>
      <c r="F4229" s="4" t="inlineStr">
        <is>
          <t>GOC Bed Unit-Costing Model v2 — working original.xlsx</t>
        </is>
      </c>
    </row>
    <row r="4230" ht="40" customHeight="1">
      <c r="A4230" s="4" t="inlineStr">
        <is>
          <t>original:Production!A25</t>
        </is>
      </c>
      <c r="B4230" s="4" t="inlineStr">
        <is>
          <t>Production</t>
        </is>
      </c>
      <c r="C4230" s="4" t="inlineStr">
        <is>
          <t>A25</t>
        </is>
      </c>
      <c r="D4230" s="4" t="n">
        <v>7</v>
      </c>
      <c r="E4230" s="4" t="n">
        <v>7</v>
      </c>
      <c r="F4230" s="4" t="inlineStr">
        <is>
          <t>GOC Bed Unit-Costing Model v2 — working original.xlsx</t>
        </is>
      </c>
    </row>
    <row r="4231" ht="40" customHeight="1">
      <c r="A4231" s="4" t="inlineStr">
        <is>
          <t>original:Production!B25</t>
        </is>
      </c>
      <c r="B4231" s="4" t="inlineStr">
        <is>
          <t>Production</t>
        </is>
      </c>
      <c r="C4231" s="4" t="inlineStr">
        <is>
          <t>B25</t>
        </is>
      </c>
      <c r="D4231" s="4" t="inlineStr">
        <is>
          <t>NEW1</t>
        </is>
      </c>
      <c r="E4231" s="4" t="inlineStr">
        <is>
          <t>NEW1</t>
        </is>
      </c>
      <c r="F4231" s="4" t="inlineStr">
        <is>
          <t>GOC Bed Unit-Costing Model v2 — working original.xlsx</t>
        </is>
      </c>
    </row>
    <row r="4232" ht="40" customHeight="1">
      <c r="A4232" s="4" t="inlineStr">
        <is>
          <t>original:Production!C25</t>
        </is>
      </c>
      <c r="B4232" s="4" t="inlineStr">
        <is>
          <t>Production</t>
        </is>
      </c>
      <c r="C4232" s="4" t="inlineStr">
        <is>
          <t>C25</t>
        </is>
      </c>
      <c r="D4232" s="4" t="inlineStr">
        <is>
          <t>=Sites!G7</t>
        </is>
      </c>
      <c r="E4232" s="4" t="n">
        <v>10</v>
      </c>
      <c r="F4232" s="4" t="inlineStr">
        <is>
          <t>GOC Bed Unit-Costing Model v2 — working original.xlsx</t>
        </is>
      </c>
    </row>
    <row r="4233" ht="40" customHeight="1">
      <c r="A4233" s="4" t="inlineStr">
        <is>
          <t>original:Production!D25</t>
        </is>
      </c>
      <c r="B4233" s="4" t="inlineStr">
        <is>
          <t>Production</t>
        </is>
      </c>
      <c r="C4233" s="4" t="inlineStr">
        <is>
          <t>D25</t>
        </is>
      </c>
      <c r="D4233" s="4" t="n">
        <v>1</v>
      </c>
      <c r="E4233" s="4" t="n">
        <v>1</v>
      </c>
      <c r="F4233" s="4" t="inlineStr">
        <is>
          <t>GOC Bed Unit-Costing Model v2 — working original.xlsx</t>
        </is>
      </c>
    </row>
    <row r="4234" ht="40" customHeight="1">
      <c r="A4234" s="4" t="inlineStr">
        <is>
          <t>original:Production!E25</t>
        </is>
      </c>
      <c r="B4234" s="4" t="inlineStr">
        <is>
          <t>Production</t>
        </is>
      </c>
      <c r="C4234" s="4" t="inlineStr">
        <is>
          <t>E25</t>
        </is>
      </c>
      <c r="D4234" s="4" t="inlineStr">
        <is>
          <t>=IF(A25&lt;Sites!F7,0,ROUNDDOWN(C25*D25*Sites!H7,0))</t>
        </is>
      </c>
      <c r="E4234" s="4" t="n">
        <v>40</v>
      </c>
      <c r="F4234" s="4" t="inlineStr">
        <is>
          <t>GOC Bed Unit-Costing Model v2 — working original.xlsx</t>
        </is>
      </c>
    </row>
    <row r="4235" ht="40" customHeight="1">
      <c r="A4235" s="4" t="inlineStr">
        <is>
          <t>original:Production!F25</t>
        </is>
      </c>
      <c r="B4235" s="4" t="inlineStr">
        <is>
          <t>Production</t>
        </is>
      </c>
      <c r="C4235" s="4" t="inlineStr">
        <is>
          <t>F25</t>
        </is>
      </c>
      <c r="D4235" s="4" t="n">
        <v>15</v>
      </c>
      <c r="E4235" s="4" t="n">
        <v>15</v>
      </c>
      <c r="F4235" s="4" t="inlineStr">
        <is>
          <t>GOC Bed Unit-Costing Model v2 — working original.xlsx</t>
        </is>
      </c>
    </row>
    <row r="4236" ht="40" customHeight="1">
      <c r="A4236" s="4" t="inlineStr">
        <is>
          <t>original:Production!G25</t>
        </is>
      </c>
      <c r="B4236" s="4" t="inlineStr">
        <is>
          <t>Production</t>
        </is>
      </c>
      <c r="C4236" s="4" t="inlineStr">
        <is>
          <t>G25</t>
        </is>
      </c>
      <c r="D4236" s="4" t="n">
        <v>15</v>
      </c>
      <c r="E4236" s="4" t="n">
        <v>15</v>
      </c>
      <c r="F4236" s="4" t="inlineStr">
        <is>
          <t>GOC Bed Unit-Costing Model v2 — working original.xlsx</t>
        </is>
      </c>
    </row>
    <row r="4237" ht="40" customHeight="1">
      <c r="A4237" s="4" t="inlineStr">
        <is>
          <t>original:Production!H25</t>
        </is>
      </c>
      <c r="B4237" s="4" t="inlineStr">
        <is>
          <t>Production</t>
        </is>
      </c>
      <c r="C4237" s="4" t="inlineStr">
        <is>
          <t>H25</t>
        </is>
      </c>
      <c r="D4237" s="4" t="n">
        <v>0</v>
      </c>
      <c r="E4237" s="4" t="n">
        <v>0</v>
      </c>
      <c r="F4237" s="4" t="inlineStr">
        <is>
          <t>GOC Bed Unit-Costing Model v2 — working original.xlsx</t>
        </is>
      </c>
    </row>
    <row r="4238" ht="40" customHeight="1">
      <c r="A4238" s="4" t="inlineStr">
        <is>
          <t>original:Production!I25</t>
        </is>
      </c>
      <c r="B4238" s="4" t="inlineStr">
        <is>
          <t>Production</t>
        </is>
      </c>
      <c r="C4238" s="4" t="inlineStr">
        <is>
          <t>I25</t>
        </is>
      </c>
      <c r="D4238" s="4" t="inlineStr">
        <is>
          <t>=J22</t>
        </is>
      </c>
      <c r="E4238" s="4" t="n">
        <v>0</v>
      </c>
      <c r="F4238" s="4" t="inlineStr">
        <is>
          <t>GOC Bed Unit-Costing Model v2 — working original.xlsx</t>
        </is>
      </c>
    </row>
    <row r="4239" ht="40" customHeight="1">
      <c r="A4239" s="4" t="inlineStr">
        <is>
          <t>original:Production!J25</t>
        </is>
      </c>
      <c r="B4239" s="4" t="inlineStr">
        <is>
          <t>Production</t>
        </is>
      </c>
      <c r="C4239" s="4" t="inlineStr">
        <is>
          <t>J25</t>
        </is>
      </c>
      <c r="D4239" s="4" t="inlineStr">
        <is>
          <t>=I25+F25-G25-H25</t>
        </is>
      </c>
      <c r="E4239" s="4" t="n">
        <v>0</v>
      </c>
      <c r="F4239" s="4" t="inlineStr">
        <is>
          <t>GOC Bed Unit-Costing Model v2 — working original.xlsx</t>
        </is>
      </c>
    </row>
    <row r="4240" ht="40" customHeight="1">
      <c r="A4240" s="4" t="inlineStr">
        <is>
          <t>original:Production!K25</t>
        </is>
      </c>
      <c r="B4240" s="4" t="inlineStr">
        <is>
          <t>Production</t>
        </is>
      </c>
      <c r="C4240" s="4" t="inlineStr">
        <is>
          <t>K25</t>
        </is>
      </c>
      <c r="D4240" s="4" t="inlineStr">
        <is>
          <t>=IF(ISNUMBER('Unit costs'!D13),F25*'Unit costs'!D13,"")</t>
        </is>
      </c>
      <c r="E4240" s="4" t="n">
        <v>4061.1</v>
      </c>
      <c r="F4240" s="4" t="inlineStr">
        <is>
          <t>GOC Bed Unit-Costing Model v2 — working original.xlsx</t>
        </is>
      </c>
    </row>
    <row r="4241" ht="40" customHeight="1">
      <c r="A4241" s="4" t="inlineStr">
        <is>
          <t>original:Production!L25</t>
        </is>
      </c>
      <c r="B4241" s="4" t="inlineStr">
        <is>
          <t>Production</t>
        </is>
      </c>
      <c r="C4241" s="4" t="inlineStr">
        <is>
          <t>L25</t>
        </is>
      </c>
      <c r="D4241" s="4" t="inlineStr">
        <is>
          <t>=IF(ISNUMBER('Unit costs'!D12),(G25+H25)*'Unit costs'!D12,"")</t>
        </is>
      </c>
      <c r="E4241" s="4" t="n">
        <v>2250</v>
      </c>
      <c r="F4241" s="4" t="inlineStr">
        <is>
          <t>GOC Bed Unit-Costing Model v2 — working original.xlsx</t>
        </is>
      </c>
    </row>
    <row r="4242" ht="40" customHeight="1">
      <c r="A4242" s="4" t="inlineStr">
        <is>
          <t>original:Production!M25</t>
        </is>
      </c>
      <c r="B4242" s="4" t="inlineStr">
        <is>
          <t>Production</t>
        </is>
      </c>
      <c r="C4242" s="4" t="inlineStr">
        <is>
          <t>M25</t>
        </is>
      </c>
      <c r="D4242" s="4" t="inlineStr">
        <is>
          <t>=H25*Overview!$B$8</t>
        </is>
      </c>
      <c r="E4242" s="4" t="n">
        <v>0</v>
      </c>
      <c r="F4242" s="4" t="inlineStr">
        <is>
          <t>GOC Bed Unit-Costing Model v2 — working original.xlsx</t>
        </is>
      </c>
    </row>
    <row r="4243" ht="45" customHeight="1">
      <c r="A4243" s="4" t="inlineStr">
        <is>
          <t>original:Production!N25</t>
        </is>
      </c>
      <c r="B4243" s="4" t="inlineStr">
        <is>
          <t>Production</t>
        </is>
      </c>
      <c r="C4243" s="4" t="inlineStr">
        <is>
          <t>N25</t>
        </is>
      </c>
      <c r="D4243" s="4" t="inlineStr">
        <is>
          <t>=IF(OR(F25&lt;0,G25&lt;0,H25&lt;0,D25&lt;0,D25&gt;1),"Invalid input",IF(F25&gt;E25,"Above capacity",IF(J25&lt;0,"Not enough stock","Within modelled capacity")))</t>
        </is>
      </c>
      <c r="E4243" s="4" t="inlineStr">
        <is>
          <t>Within modelled capacity</t>
        </is>
      </c>
      <c r="F4243" s="4" t="inlineStr">
        <is>
          <t>GOC Bed Unit-Costing Model v2 — working original.xlsx</t>
        </is>
      </c>
    </row>
    <row r="4244" ht="40" customHeight="1">
      <c r="A4244" s="4" t="inlineStr">
        <is>
          <t>original:Production!A26</t>
        </is>
      </c>
      <c r="B4244" s="4" t="inlineStr">
        <is>
          <t>Production</t>
        </is>
      </c>
      <c r="C4244" s="4" t="inlineStr">
        <is>
          <t>A26</t>
        </is>
      </c>
      <c r="D4244" s="4" t="n">
        <v>7</v>
      </c>
      <c r="E4244" s="4" t="n">
        <v>7</v>
      </c>
      <c r="F4244" s="4" t="inlineStr">
        <is>
          <t>GOC Bed Unit-Costing Model v2 — working original.xlsx</t>
        </is>
      </c>
    </row>
    <row r="4245" ht="40" customHeight="1">
      <c r="A4245" s="4" t="inlineStr">
        <is>
          <t>original:Production!B26</t>
        </is>
      </c>
      <c r="B4245" s="4" t="inlineStr">
        <is>
          <t>Production</t>
        </is>
      </c>
      <c r="C4245" s="4" t="inlineStr">
        <is>
          <t>B26</t>
        </is>
      </c>
      <c r="D4245" s="4" t="inlineStr">
        <is>
          <t>NEW2</t>
        </is>
      </c>
      <c r="E4245" s="4" t="inlineStr">
        <is>
          <t>NEW2</t>
        </is>
      </c>
      <c r="F4245" s="4" t="inlineStr">
        <is>
          <t>GOC Bed Unit-Costing Model v2 — working original.xlsx</t>
        </is>
      </c>
    </row>
    <row r="4246" ht="40" customHeight="1">
      <c r="A4246" s="4" t="inlineStr">
        <is>
          <t>original:Production!C26</t>
        </is>
      </c>
      <c r="B4246" s="4" t="inlineStr">
        <is>
          <t>Production</t>
        </is>
      </c>
      <c r="C4246" s="4" t="inlineStr">
        <is>
          <t>C26</t>
        </is>
      </c>
      <c r="D4246" s="4" t="inlineStr">
        <is>
          <t>=Sites!G8</t>
        </is>
      </c>
      <c r="E4246" s="4" t="n">
        <v>10</v>
      </c>
      <c r="F4246" s="4" t="inlineStr">
        <is>
          <t>GOC Bed Unit-Costing Model v2 — working original.xlsx</t>
        </is>
      </c>
    </row>
    <row r="4247" ht="40" customHeight="1">
      <c r="A4247" s="4" t="inlineStr">
        <is>
          <t>original:Production!D26</t>
        </is>
      </c>
      <c r="B4247" s="4" t="inlineStr">
        <is>
          <t>Production</t>
        </is>
      </c>
      <c r="C4247" s="4" t="inlineStr">
        <is>
          <t>D26</t>
        </is>
      </c>
      <c r="D4247" s="4" t="n">
        <v>0.25</v>
      </c>
      <c r="E4247" s="4" t="n">
        <v>0.25</v>
      </c>
      <c r="F4247" s="4" t="inlineStr">
        <is>
          <t>GOC Bed Unit-Costing Model v2 — working original.xlsx</t>
        </is>
      </c>
    </row>
    <row r="4248" ht="40" customHeight="1">
      <c r="A4248" s="4" t="inlineStr">
        <is>
          <t>original:Production!E26</t>
        </is>
      </c>
      <c r="B4248" s="4" t="inlineStr">
        <is>
          <t>Production</t>
        </is>
      </c>
      <c r="C4248" s="4" t="inlineStr">
        <is>
          <t>E26</t>
        </is>
      </c>
      <c r="D4248" s="4" t="inlineStr">
        <is>
          <t>=IF(A26&lt;Sites!F8,0,ROUNDDOWN(C26*D26*Sites!H8,0))</t>
        </is>
      </c>
      <c r="E4248" s="4" t="n">
        <v>10</v>
      </c>
      <c r="F4248" s="4" t="inlineStr">
        <is>
          <t>GOC Bed Unit-Costing Model v2 — working original.xlsx</t>
        </is>
      </c>
    </row>
    <row r="4249" ht="40" customHeight="1">
      <c r="A4249" s="4" t="inlineStr">
        <is>
          <t>original:Production!F26</t>
        </is>
      </c>
      <c r="B4249" s="4" t="inlineStr">
        <is>
          <t>Production</t>
        </is>
      </c>
      <c r="C4249" s="4" t="inlineStr">
        <is>
          <t>F26</t>
        </is>
      </c>
      <c r="D4249" s="4" t="n">
        <v>10</v>
      </c>
      <c r="E4249" s="4" t="n">
        <v>10</v>
      </c>
      <c r="F4249" s="4" t="inlineStr">
        <is>
          <t>GOC Bed Unit-Costing Model v2 — working original.xlsx</t>
        </is>
      </c>
    </row>
    <row r="4250" ht="40" customHeight="1">
      <c r="A4250" s="4" t="inlineStr">
        <is>
          <t>original:Production!G26</t>
        </is>
      </c>
      <c r="B4250" s="4" t="inlineStr">
        <is>
          <t>Production</t>
        </is>
      </c>
      <c r="C4250" s="4" t="inlineStr">
        <is>
          <t>G26</t>
        </is>
      </c>
      <c r="D4250" s="4" t="n">
        <v>10</v>
      </c>
      <c r="E4250" s="4" t="n">
        <v>10</v>
      </c>
      <c r="F4250" s="4" t="inlineStr">
        <is>
          <t>GOC Bed Unit-Costing Model v2 — working original.xlsx</t>
        </is>
      </c>
    </row>
    <row r="4251" ht="40" customHeight="1">
      <c r="A4251" s="4" t="inlineStr">
        <is>
          <t>original:Production!H26</t>
        </is>
      </c>
      <c r="B4251" s="4" t="inlineStr">
        <is>
          <t>Production</t>
        </is>
      </c>
      <c r="C4251" s="4" t="inlineStr">
        <is>
          <t>H26</t>
        </is>
      </c>
      <c r="D4251" s="4" t="n">
        <v>0</v>
      </c>
      <c r="E4251" s="4" t="n">
        <v>0</v>
      </c>
      <c r="F4251" s="4" t="inlineStr">
        <is>
          <t>GOC Bed Unit-Costing Model v2 — working original.xlsx</t>
        </is>
      </c>
    </row>
    <row r="4252" ht="40" customHeight="1">
      <c r="A4252" s="4" t="inlineStr">
        <is>
          <t>original:Production!I26</t>
        </is>
      </c>
      <c r="B4252" s="4" t="inlineStr">
        <is>
          <t>Production</t>
        </is>
      </c>
      <c r="C4252" s="4" t="inlineStr">
        <is>
          <t>I26</t>
        </is>
      </c>
      <c r="D4252" s="4" t="inlineStr">
        <is>
          <t>=J23</t>
        </is>
      </c>
      <c r="E4252" s="4" t="n">
        <v>0</v>
      </c>
      <c r="F4252" s="4" t="inlineStr">
        <is>
          <t>GOC Bed Unit-Costing Model v2 — working original.xlsx</t>
        </is>
      </c>
    </row>
    <row r="4253" ht="40" customHeight="1">
      <c r="A4253" s="4" t="inlineStr">
        <is>
          <t>original:Production!J26</t>
        </is>
      </c>
      <c r="B4253" s="4" t="inlineStr">
        <is>
          <t>Production</t>
        </is>
      </c>
      <c r="C4253" s="4" t="inlineStr">
        <is>
          <t>J26</t>
        </is>
      </c>
      <c r="D4253" s="4" t="inlineStr">
        <is>
          <t>=I26+F26-G26-H26</t>
        </is>
      </c>
      <c r="E4253" s="4" t="n">
        <v>0</v>
      </c>
      <c r="F4253" s="4" t="inlineStr">
        <is>
          <t>GOC Bed Unit-Costing Model v2 — working original.xlsx</t>
        </is>
      </c>
    </row>
    <row r="4254" ht="40" customHeight="1">
      <c r="A4254" s="4" t="inlineStr">
        <is>
          <t>original:Production!K26</t>
        </is>
      </c>
      <c r="B4254" s="4" t="inlineStr">
        <is>
          <t>Production</t>
        </is>
      </c>
      <c r="C4254" s="4" t="inlineStr">
        <is>
          <t>K26</t>
        </is>
      </c>
      <c r="D4254" s="4" t="inlineStr">
        <is>
          <t>=IF(ISNUMBER('Unit costs'!E13),F26*'Unit costs'!E13,"")</t>
        </is>
      </c>
      <c r="E4254" s="4" t="n">
        <v>2707.4</v>
      </c>
      <c r="F4254" s="4" t="inlineStr">
        <is>
          <t>GOC Bed Unit-Costing Model v2 — working original.xlsx</t>
        </is>
      </c>
    </row>
    <row r="4255" ht="40" customHeight="1">
      <c r="A4255" s="4" t="inlineStr">
        <is>
          <t>original:Production!L26</t>
        </is>
      </c>
      <c r="B4255" s="4" t="inlineStr">
        <is>
          <t>Production</t>
        </is>
      </c>
      <c r="C4255" s="4" t="inlineStr">
        <is>
          <t>L26</t>
        </is>
      </c>
      <c r="D4255" s="4" t="inlineStr">
        <is>
          <t>=IF(ISNUMBER('Unit costs'!E12),(G26+H26)*'Unit costs'!E12,"")</t>
        </is>
      </c>
      <c r="E4255" s="4" t="n">
        <v>1500</v>
      </c>
      <c r="F4255" s="4" t="inlineStr">
        <is>
          <t>GOC Bed Unit-Costing Model v2 — working original.xlsx</t>
        </is>
      </c>
    </row>
    <row r="4256" ht="40" customHeight="1">
      <c r="A4256" s="4" t="inlineStr">
        <is>
          <t>original:Production!M26</t>
        </is>
      </c>
      <c r="B4256" s="4" t="inlineStr">
        <is>
          <t>Production</t>
        </is>
      </c>
      <c r="C4256" s="4" t="inlineStr">
        <is>
          <t>M26</t>
        </is>
      </c>
      <c r="D4256" s="4" t="inlineStr">
        <is>
          <t>=H26*Overview!$B$8</t>
        </is>
      </c>
      <c r="E4256" s="4" t="n">
        <v>0</v>
      </c>
      <c r="F4256" s="4" t="inlineStr">
        <is>
          <t>GOC Bed Unit-Costing Model v2 — working original.xlsx</t>
        </is>
      </c>
    </row>
    <row r="4257" ht="45" customHeight="1">
      <c r="A4257" s="4" t="inlineStr">
        <is>
          <t>original:Production!N26</t>
        </is>
      </c>
      <c r="B4257" s="4" t="inlineStr">
        <is>
          <t>Production</t>
        </is>
      </c>
      <c r="C4257" s="4" t="inlineStr">
        <is>
          <t>N26</t>
        </is>
      </c>
      <c r="D4257" s="4" t="inlineStr">
        <is>
          <t>=IF(OR(F26&lt;0,G26&lt;0,H26&lt;0,D26&lt;0,D26&gt;1),"Invalid input",IF(F26&gt;E26,"Above capacity",IF(J26&lt;0,"Not enough stock","Within modelled capacity")))</t>
        </is>
      </c>
      <c r="E4257" s="4" t="inlineStr">
        <is>
          <t>Within modelled capacity</t>
        </is>
      </c>
      <c r="F4257" s="4" t="inlineStr">
        <is>
          <t>GOC Bed Unit-Costing Model v2 — working original.xlsx</t>
        </is>
      </c>
    </row>
    <row r="4258" ht="40" customHeight="1">
      <c r="A4258" s="4" t="inlineStr">
        <is>
          <t>original:Production!A27</t>
        </is>
      </c>
      <c r="B4258" s="4" t="inlineStr">
        <is>
          <t>Production</t>
        </is>
      </c>
      <c r="C4258" s="4" t="inlineStr">
        <is>
          <t>A27</t>
        </is>
      </c>
      <c r="D4258" s="4" t="n">
        <v>8</v>
      </c>
      <c r="E4258" s="4" t="n">
        <v>8</v>
      </c>
      <c r="F4258" s="4" t="inlineStr">
        <is>
          <t>GOC Bed Unit-Costing Model v2 — working original.xlsx</t>
        </is>
      </c>
    </row>
    <row r="4259" ht="40" customHeight="1">
      <c r="A4259" s="4" t="inlineStr">
        <is>
          <t>original:Production!B27</t>
        </is>
      </c>
      <c r="B4259" s="4" t="inlineStr">
        <is>
          <t>Production</t>
        </is>
      </c>
      <c r="C4259" s="4" t="inlineStr">
        <is>
          <t>B27</t>
        </is>
      </c>
      <c r="D4259" s="4" t="inlineStr">
        <is>
          <t>WITTA</t>
        </is>
      </c>
      <c r="E4259" s="4" t="inlineStr">
        <is>
          <t>WITTA</t>
        </is>
      </c>
      <c r="F4259" s="4" t="inlineStr">
        <is>
          <t>GOC Bed Unit-Costing Model v2 — working original.xlsx</t>
        </is>
      </c>
    </row>
    <row r="4260" ht="40" customHeight="1">
      <c r="A4260" s="4" t="inlineStr">
        <is>
          <t>original:Production!C27</t>
        </is>
      </c>
      <c r="B4260" s="4" t="inlineStr">
        <is>
          <t>Production</t>
        </is>
      </c>
      <c r="C4260" s="4" t="inlineStr">
        <is>
          <t>C27</t>
        </is>
      </c>
      <c r="D4260" s="4" t="inlineStr">
        <is>
          <t>=Sites!G6</t>
        </is>
      </c>
      <c r="E4260" s="4" t="n">
        <v>10</v>
      </c>
      <c r="F4260" s="4" t="inlineStr">
        <is>
          <t>GOC Bed Unit-Costing Model v2 — working original.xlsx</t>
        </is>
      </c>
    </row>
    <row r="4261" ht="40" customHeight="1">
      <c r="A4261" s="4" t="inlineStr">
        <is>
          <t>original:Production!D27</t>
        </is>
      </c>
      <c r="B4261" s="4" t="inlineStr">
        <is>
          <t>Production</t>
        </is>
      </c>
      <c r="C4261" s="4" t="inlineStr">
        <is>
          <t>D27</t>
        </is>
      </c>
      <c r="D4261" s="4" t="n">
        <v>1</v>
      </c>
      <c r="E4261" s="4" t="n">
        <v>1</v>
      </c>
      <c r="F4261" s="4" t="inlineStr">
        <is>
          <t>GOC Bed Unit-Costing Model v2 — working original.xlsx</t>
        </is>
      </c>
    </row>
    <row r="4262" ht="40" customHeight="1">
      <c r="A4262" s="4" t="inlineStr">
        <is>
          <t>original:Production!E27</t>
        </is>
      </c>
      <c r="B4262" s="4" t="inlineStr">
        <is>
          <t>Production</t>
        </is>
      </c>
      <c r="C4262" s="4" t="inlineStr">
        <is>
          <t>E27</t>
        </is>
      </c>
      <c r="D4262" s="4" t="inlineStr">
        <is>
          <t>=IF(A27&lt;Sites!F6,0,ROUNDDOWN(C27*D27*Sites!H6,0))</t>
        </is>
      </c>
      <c r="E4262" s="4" t="n">
        <v>40</v>
      </c>
      <c r="F4262" s="4" t="inlineStr">
        <is>
          <t>GOC Bed Unit-Costing Model v2 — working original.xlsx</t>
        </is>
      </c>
    </row>
    <row r="4263" ht="40" customHeight="1">
      <c r="A4263" s="4" t="inlineStr">
        <is>
          <t>original:Production!F27</t>
        </is>
      </c>
      <c r="B4263" s="4" t="inlineStr">
        <is>
          <t>Production</t>
        </is>
      </c>
      <c r="C4263" s="4" t="inlineStr">
        <is>
          <t>F27</t>
        </is>
      </c>
      <c r="D4263" s="4" t="n">
        <v>20</v>
      </c>
      <c r="E4263" s="4" t="n">
        <v>20</v>
      </c>
      <c r="F4263" s="4" t="inlineStr">
        <is>
          <t>GOC Bed Unit-Costing Model v2 — working original.xlsx</t>
        </is>
      </c>
    </row>
    <row r="4264" ht="40" customHeight="1">
      <c r="A4264" s="4" t="inlineStr">
        <is>
          <t>original:Production!G27</t>
        </is>
      </c>
      <c r="B4264" s="4" t="inlineStr">
        <is>
          <t>Production</t>
        </is>
      </c>
      <c r="C4264" s="4" t="inlineStr">
        <is>
          <t>G27</t>
        </is>
      </c>
      <c r="D4264" s="4" t="n">
        <v>20</v>
      </c>
      <c r="E4264" s="4" t="n">
        <v>20</v>
      </c>
      <c r="F4264" s="4" t="inlineStr">
        <is>
          <t>GOC Bed Unit-Costing Model v2 — working original.xlsx</t>
        </is>
      </c>
    </row>
    <row r="4265" ht="40" customHeight="1">
      <c r="A4265" s="4" t="inlineStr">
        <is>
          <t>original:Production!H27</t>
        </is>
      </c>
      <c r="B4265" s="4" t="inlineStr">
        <is>
          <t>Production</t>
        </is>
      </c>
      <c r="C4265" s="4" t="inlineStr">
        <is>
          <t>H27</t>
        </is>
      </c>
      <c r="D4265" s="4" t="n">
        <v>0</v>
      </c>
      <c r="E4265" s="4" t="n">
        <v>0</v>
      </c>
      <c r="F4265" s="4" t="inlineStr">
        <is>
          <t>GOC Bed Unit-Costing Model v2 — working original.xlsx</t>
        </is>
      </c>
    </row>
    <row r="4266" ht="40" customHeight="1">
      <c r="A4266" s="4" t="inlineStr">
        <is>
          <t>original:Production!I27</t>
        </is>
      </c>
      <c r="B4266" s="4" t="inlineStr">
        <is>
          <t>Production</t>
        </is>
      </c>
      <c r="C4266" s="4" t="inlineStr">
        <is>
          <t>I27</t>
        </is>
      </c>
      <c r="D4266" s="4" t="inlineStr">
        <is>
          <t>=J24</t>
        </is>
      </c>
      <c r="E4266" s="4" t="n">
        <v>0</v>
      </c>
      <c r="F4266" s="4" t="inlineStr">
        <is>
          <t>GOC Bed Unit-Costing Model v2 — working original.xlsx</t>
        </is>
      </c>
    </row>
    <row r="4267" ht="40" customHeight="1">
      <c r="A4267" s="4" t="inlineStr">
        <is>
          <t>original:Production!J27</t>
        </is>
      </c>
      <c r="B4267" s="4" t="inlineStr">
        <is>
          <t>Production</t>
        </is>
      </c>
      <c r="C4267" s="4" t="inlineStr">
        <is>
          <t>J27</t>
        </is>
      </c>
      <c r="D4267" s="4" t="inlineStr">
        <is>
          <t>=I27+F27-G27-H27</t>
        </is>
      </c>
      <c r="E4267" s="4" t="n">
        <v>0</v>
      </c>
      <c r="F4267" s="4" t="inlineStr">
        <is>
          <t>GOC Bed Unit-Costing Model v2 — working original.xlsx</t>
        </is>
      </c>
    </row>
    <row r="4268" ht="40" customHeight="1">
      <c r="A4268" s="4" t="inlineStr">
        <is>
          <t>original:Production!K27</t>
        </is>
      </c>
      <c r="B4268" s="4" t="inlineStr">
        <is>
          <t>Production</t>
        </is>
      </c>
      <c r="C4268" s="4" t="inlineStr">
        <is>
          <t>K27</t>
        </is>
      </c>
      <c r="D4268" s="4" t="inlineStr">
        <is>
          <t>=IF(ISNUMBER('Unit costs'!C13),F27*'Unit costs'!C13,"")</t>
        </is>
      </c>
      <c r="E4268" s="4" t="n">
        <v>5914.8</v>
      </c>
      <c r="F4268" s="4" t="inlineStr">
        <is>
          <t>GOC Bed Unit-Costing Model v2 — working original.xlsx</t>
        </is>
      </c>
    </row>
    <row r="4269" ht="40" customHeight="1">
      <c r="A4269" s="4" t="inlineStr">
        <is>
          <t>original:Production!L27</t>
        </is>
      </c>
      <c r="B4269" s="4" t="inlineStr">
        <is>
          <t>Production</t>
        </is>
      </c>
      <c r="C4269" s="4" t="inlineStr">
        <is>
          <t>L27</t>
        </is>
      </c>
      <c r="D4269" s="4" t="inlineStr">
        <is>
          <t>=IF(ISNUMBER('Unit costs'!C12),(G27+H27)*'Unit costs'!C12,"")</t>
        </is>
      </c>
      <c r="E4269" s="4" t="n">
        <v>3000</v>
      </c>
      <c r="F4269" s="4" t="inlineStr">
        <is>
          <t>GOC Bed Unit-Costing Model v2 — working original.xlsx</t>
        </is>
      </c>
    </row>
    <row r="4270" ht="40" customHeight="1">
      <c r="A4270" s="4" t="inlineStr">
        <is>
          <t>original:Production!M27</t>
        </is>
      </c>
      <c r="B4270" s="4" t="inlineStr">
        <is>
          <t>Production</t>
        </is>
      </c>
      <c r="C4270" s="4" t="inlineStr">
        <is>
          <t>M27</t>
        </is>
      </c>
      <c r="D4270" s="4" t="inlineStr">
        <is>
          <t>=H27*Overview!$B$8</t>
        </is>
      </c>
      <c r="E4270" s="4" t="n">
        <v>0</v>
      </c>
      <c r="F4270" s="4" t="inlineStr">
        <is>
          <t>GOC Bed Unit-Costing Model v2 — working original.xlsx</t>
        </is>
      </c>
    </row>
    <row r="4271" ht="45" customHeight="1">
      <c r="A4271" s="4" t="inlineStr">
        <is>
          <t>original:Production!N27</t>
        </is>
      </c>
      <c r="B4271" s="4" t="inlineStr">
        <is>
          <t>Production</t>
        </is>
      </c>
      <c r="C4271" s="4" t="inlineStr">
        <is>
          <t>N27</t>
        </is>
      </c>
      <c r="D4271" s="4" t="inlineStr">
        <is>
          <t>=IF(OR(F27&lt;0,G27&lt;0,H27&lt;0,D27&lt;0,D27&gt;1),"Invalid input",IF(F27&gt;E27,"Above capacity",IF(J27&lt;0,"Not enough stock","Within modelled capacity")))</t>
        </is>
      </c>
      <c r="E4271" s="4" t="inlineStr">
        <is>
          <t>Within modelled capacity</t>
        </is>
      </c>
      <c r="F4271" s="4" t="inlineStr">
        <is>
          <t>GOC Bed Unit-Costing Model v2 — working original.xlsx</t>
        </is>
      </c>
    </row>
    <row r="4272" ht="40" customHeight="1">
      <c r="A4272" s="4" t="inlineStr">
        <is>
          <t>original:Production!A28</t>
        </is>
      </c>
      <c r="B4272" s="4" t="inlineStr">
        <is>
          <t>Production</t>
        </is>
      </c>
      <c r="C4272" s="4" t="inlineStr">
        <is>
          <t>A28</t>
        </is>
      </c>
      <c r="D4272" s="4" t="n">
        <v>8</v>
      </c>
      <c r="E4272" s="4" t="n">
        <v>8</v>
      </c>
      <c r="F4272" s="4" t="inlineStr">
        <is>
          <t>GOC Bed Unit-Costing Model v2 — working original.xlsx</t>
        </is>
      </c>
    </row>
    <row r="4273" ht="40" customHeight="1">
      <c r="A4273" s="4" t="inlineStr">
        <is>
          <t>original:Production!B28</t>
        </is>
      </c>
      <c r="B4273" s="4" t="inlineStr">
        <is>
          <t>Production</t>
        </is>
      </c>
      <c r="C4273" s="4" t="inlineStr">
        <is>
          <t>B28</t>
        </is>
      </c>
      <c r="D4273" s="4" t="inlineStr">
        <is>
          <t>NEW1</t>
        </is>
      </c>
      <c r="E4273" s="4" t="inlineStr">
        <is>
          <t>NEW1</t>
        </is>
      </c>
      <c r="F4273" s="4" t="inlineStr">
        <is>
          <t>GOC Bed Unit-Costing Model v2 — working original.xlsx</t>
        </is>
      </c>
    </row>
    <row r="4274" ht="40" customHeight="1">
      <c r="A4274" s="4" t="inlineStr">
        <is>
          <t>original:Production!C28</t>
        </is>
      </c>
      <c r="B4274" s="4" t="inlineStr">
        <is>
          <t>Production</t>
        </is>
      </c>
      <c r="C4274" s="4" t="inlineStr">
        <is>
          <t>C28</t>
        </is>
      </c>
      <c r="D4274" s="4" t="inlineStr">
        <is>
          <t>=Sites!G7</t>
        </is>
      </c>
      <c r="E4274" s="4" t="n">
        <v>10</v>
      </c>
      <c r="F4274" s="4" t="inlineStr">
        <is>
          <t>GOC Bed Unit-Costing Model v2 — working original.xlsx</t>
        </is>
      </c>
    </row>
    <row r="4275" ht="40" customHeight="1">
      <c r="A4275" s="4" t="inlineStr">
        <is>
          <t>original:Production!D28</t>
        </is>
      </c>
      <c r="B4275" s="4" t="inlineStr">
        <is>
          <t>Production</t>
        </is>
      </c>
      <c r="C4275" s="4" t="inlineStr">
        <is>
          <t>D28</t>
        </is>
      </c>
      <c r="D4275" s="4" t="n">
        <v>1</v>
      </c>
      <c r="E4275" s="4" t="n">
        <v>1</v>
      </c>
      <c r="F4275" s="4" t="inlineStr">
        <is>
          <t>GOC Bed Unit-Costing Model v2 — working original.xlsx</t>
        </is>
      </c>
    </row>
    <row r="4276" ht="40" customHeight="1">
      <c r="A4276" s="4" t="inlineStr">
        <is>
          <t>original:Production!E28</t>
        </is>
      </c>
      <c r="B4276" s="4" t="inlineStr">
        <is>
          <t>Production</t>
        </is>
      </c>
      <c r="C4276" s="4" t="inlineStr">
        <is>
          <t>E28</t>
        </is>
      </c>
      <c r="D4276" s="4" t="inlineStr">
        <is>
          <t>=IF(A28&lt;Sites!F7,0,ROUNDDOWN(C28*D28*Sites!H7,0))</t>
        </is>
      </c>
      <c r="E4276" s="4" t="n">
        <v>40</v>
      </c>
      <c r="F4276" s="4" t="inlineStr">
        <is>
          <t>GOC Bed Unit-Costing Model v2 — working original.xlsx</t>
        </is>
      </c>
    </row>
    <row r="4277" ht="40" customHeight="1">
      <c r="A4277" s="4" t="inlineStr">
        <is>
          <t>original:Production!F28</t>
        </is>
      </c>
      <c r="B4277" s="4" t="inlineStr">
        <is>
          <t>Production</t>
        </is>
      </c>
      <c r="C4277" s="4" t="inlineStr">
        <is>
          <t>F28</t>
        </is>
      </c>
      <c r="D4277" s="4" t="n">
        <v>15</v>
      </c>
      <c r="E4277" s="4" t="n">
        <v>15</v>
      </c>
      <c r="F4277" s="4" t="inlineStr">
        <is>
          <t>GOC Bed Unit-Costing Model v2 — working original.xlsx</t>
        </is>
      </c>
    </row>
    <row r="4278" ht="40" customHeight="1">
      <c r="A4278" s="4" t="inlineStr">
        <is>
          <t>original:Production!G28</t>
        </is>
      </c>
      <c r="B4278" s="4" t="inlineStr">
        <is>
          <t>Production</t>
        </is>
      </c>
      <c r="C4278" s="4" t="inlineStr">
        <is>
          <t>G28</t>
        </is>
      </c>
      <c r="D4278" s="4" t="n">
        <v>15</v>
      </c>
      <c r="E4278" s="4" t="n">
        <v>15</v>
      </c>
      <c r="F4278" s="4" t="inlineStr">
        <is>
          <t>GOC Bed Unit-Costing Model v2 — working original.xlsx</t>
        </is>
      </c>
    </row>
    <row r="4279" ht="40" customHeight="1">
      <c r="A4279" s="4" t="inlineStr">
        <is>
          <t>original:Production!H28</t>
        </is>
      </c>
      <c r="B4279" s="4" t="inlineStr">
        <is>
          <t>Production</t>
        </is>
      </c>
      <c r="C4279" s="4" t="inlineStr">
        <is>
          <t>H28</t>
        </is>
      </c>
      <c r="D4279" s="4" t="n">
        <v>0</v>
      </c>
      <c r="E4279" s="4" t="n">
        <v>0</v>
      </c>
      <c r="F4279" s="4" t="inlineStr">
        <is>
          <t>GOC Bed Unit-Costing Model v2 — working original.xlsx</t>
        </is>
      </c>
    </row>
    <row r="4280" ht="40" customHeight="1">
      <c r="A4280" s="4" t="inlineStr">
        <is>
          <t>original:Production!I28</t>
        </is>
      </c>
      <c r="B4280" s="4" t="inlineStr">
        <is>
          <t>Production</t>
        </is>
      </c>
      <c r="C4280" s="4" t="inlineStr">
        <is>
          <t>I28</t>
        </is>
      </c>
      <c r="D4280" s="4" t="inlineStr">
        <is>
          <t>=J25</t>
        </is>
      </c>
      <c r="E4280" s="4" t="n">
        <v>0</v>
      </c>
      <c r="F4280" s="4" t="inlineStr">
        <is>
          <t>GOC Bed Unit-Costing Model v2 — working original.xlsx</t>
        </is>
      </c>
    </row>
    <row r="4281" ht="40" customHeight="1">
      <c r="A4281" s="4" t="inlineStr">
        <is>
          <t>original:Production!J28</t>
        </is>
      </c>
      <c r="B4281" s="4" t="inlineStr">
        <is>
          <t>Production</t>
        </is>
      </c>
      <c r="C4281" s="4" t="inlineStr">
        <is>
          <t>J28</t>
        </is>
      </c>
      <c r="D4281" s="4" t="inlineStr">
        <is>
          <t>=I28+F28-G28-H28</t>
        </is>
      </c>
      <c r="E4281" s="4" t="n">
        <v>0</v>
      </c>
      <c r="F4281" s="4" t="inlineStr">
        <is>
          <t>GOC Bed Unit-Costing Model v2 — working original.xlsx</t>
        </is>
      </c>
    </row>
    <row r="4282" ht="40" customHeight="1">
      <c r="A4282" s="4" t="inlineStr">
        <is>
          <t>original:Production!K28</t>
        </is>
      </c>
      <c r="B4282" s="4" t="inlineStr">
        <is>
          <t>Production</t>
        </is>
      </c>
      <c r="C4282" s="4" t="inlineStr">
        <is>
          <t>K28</t>
        </is>
      </c>
      <c r="D4282" s="4" t="inlineStr">
        <is>
          <t>=IF(ISNUMBER('Unit costs'!D13),F28*'Unit costs'!D13,"")</t>
        </is>
      </c>
      <c r="E4282" s="4" t="n">
        <v>4061.1</v>
      </c>
      <c r="F4282" s="4" t="inlineStr">
        <is>
          <t>GOC Bed Unit-Costing Model v2 — working original.xlsx</t>
        </is>
      </c>
    </row>
    <row r="4283" ht="40" customHeight="1">
      <c r="A4283" s="4" t="inlineStr">
        <is>
          <t>original:Production!L28</t>
        </is>
      </c>
      <c r="B4283" s="4" t="inlineStr">
        <is>
          <t>Production</t>
        </is>
      </c>
      <c r="C4283" s="4" t="inlineStr">
        <is>
          <t>L28</t>
        </is>
      </c>
      <c r="D4283" s="4" t="inlineStr">
        <is>
          <t>=IF(ISNUMBER('Unit costs'!D12),(G28+H28)*'Unit costs'!D12,"")</t>
        </is>
      </c>
      <c r="E4283" s="4" t="n">
        <v>2250</v>
      </c>
      <c r="F4283" s="4" t="inlineStr">
        <is>
          <t>GOC Bed Unit-Costing Model v2 — working original.xlsx</t>
        </is>
      </c>
    </row>
    <row r="4284" ht="40" customHeight="1">
      <c r="A4284" s="4" t="inlineStr">
        <is>
          <t>original:Production!M28</t>
        </is>
      </c>
      <c r="B4284" s="4" t="inlineStr">
        <is>
          <t>Production</t>
        </is>
      </c>
      <c r="C4284" s="4" t="inlineStr">
        <is>
          <t>M28</t>
        </is>
      </c>
      <c r="D4284" s="4" t="inlineStr">
        <is>
          <t>=H28*Overview!$B$8</t>
        </is>
      </c>
      <c r="E4284" s="4" t="n">
        <v>0</v>
      </c>
      <c r="F4284" s="4" t="inlineStr">
        <is>
          <t>GOC Bed Unit-Costing Model v2 — working original.xlsx</t>
        </is>
      </c>
    </row>
    <row r="4285" ht="45" customHeight="1">
      <c r="A4285" s="4" t="inlineStr">
        <is>
          <t>original:Production!N28</t>
        </is>
      </c>
      <c r="B4285" s="4" t="inlineStr">
        <is>
          <t>Production</t>
        </is>
      </c>
      <c r="C4285" s="4" t="inlineStr">
        <is>
          <t>N28</t>
        </is>
      </c>
      <c r="D4285" s="4" t="inlineStr">
        <is>
          <t>=IF(OR(F28&lt;0,G28&lt;0,H28&lt;0,D28&lt;0,D28&gt;1),"Invalid input",IF(F28&gt;E28,"Above capacity",IF(J28&lt;0,"Not enough stock","Within modelled capacity")))</t>
        </is>
      </c>
      <c r="E4285" s="4" t="inlineStr">
        <is>
          <t>Within modelled capacity</t>
        </is>
      </c>
      <c r="F4285" s="4" t="inlineStr">
        <is>
          <t>GOC Bed Unit-Costing Model v2 — working original.xlsx</t>
        </is>
      </c>
    </row>
    <row r="4286" ht="40" customHeight="1">
      <c r="A4286" s="4" t="inlineStr">
        <is>
          <t>original:Production!A29</t>
        </is>
      </c>
      <c r="B4286" s="4" t="inlineStr">
        <is>
          <t>Production</t>
        </is>
      </c>
      <c r="C4286" s="4" t="inlineStr">
        <is>
          <t>A29</t>
        </is>
      </c>
      <c r="D4286" s="4" t="n">
        <v>8</v>
      </c>
      <c r="E4286" s="4" t="n">
        <v>8</v>
      </c>
      <c r="F4286" s="4" t="inlineStr">
        <is>
          <t>GOC Bed Unit-Costing Model v2 — working original.xlsx</t>
        </is>
      </c>
    </row>
    <row r="4287" ht="40" customHeight="1">
      <c r="A4287" s="4" t="inlineStr">
        <is>
          <t>original:Production!B29</t>
        </is>
      </c>
      <c r="B4287" s="4" t="inlineStr">
        <is>
          <t>Production</t>
        </is>
      </c>
      <c r="C4287" s="4" t="inlineStr">
        <is>
          <t>B29</t>
        </is>
      </c>
      <c r="D4287" s="4" t="inlineStr">
        <is>
          <t>NEW2</t>
        </is>
      </c>
      <c r="E4287" s="4" t="inlineStr">
        <is>
          <t>NEW2</t>
        </is>
      </c>
      <c r="F4287" s="4" t="inlineStr">
        <is>
          <t>GOC Bed Unit-Costing Model v2 — working original.xlsx</t>
        </is>
      </c>
    </row>
    <row r="4288" ht="40" customHeight="1">
      <c r="A4288" s="4" t="inlineStr">
        <is>
          <t>original:Production!C29</t>
        </is>
      </c>
      <c r="B4288" s="4" t="inlineStr">
        <is>
          <t>Production</t>
        </is>
      </c>
      <c r="C4288" s="4" t="inlineStr">
        <is>
          <t>C29</t>
        </is>
      </c>
      <c r="D4288" s="4" t="inlineStr">
        <is>
          <t>=Sites!G8</t>
        </is>
      </c>
      <c r="E4288" s="4" t="n">
        <v>10</v>
      </c>
      <c r="F4288" s="4" t="inlineStr">
        <is>
          <t>GOC Bed Unit-Costing Model v2 — working original.xlsx</t>
        </is>
      </c>
    </row>
    <row r="4289" ht="40" customHeight="1">
      <c r="A4289" s="4" t="inlineStr">
        <is>
          <t>original:Production!D29</t>
        </is>
      </c>
      <c r="B4289" s="4" t="inlineStr">
        <is>
          <t>Production</t>
        </is>
      </c>
      <c r="C4289" s="4" t="inlineStr">
        <is>
          <t>D29</t>
        </is>
      </c>
      <c r="D4289" s="4" t="n">
        <v>0.5</v>
      </c>
      <c r="E4289" s="4" t="n">
        <v>0.5</v>
      </c>
      <c r="F4289" s="4" t="inlineStr">
        <is>
          <t>GOC Bed Unit-Costing Model v2 — working original.xlsx</t>
        </is>
      </c>
    </row>
    <row r="4290" ht="40" customHeight="1">
      <c r="A4290" s="4" t="inlineStr">
        <is>
          <t>original:Production!E29</t>
        </is>
      </c>
      <c r="B4290" s="4" t="inlineStr">
        <is>
          <t>Production</t>
        </is>
      </c>
      <c r="C4290" s="4" t="inlineStr">
        <is>
          <t>E29</t>
        </is>
      </c>
      <c r="D4290" s="4" t="inlineStr">
        <is>
          <t>=IF(A29&lt;Sites!F8,0,ROUNDDOWN(C29*D29*Sites!H8,0))</t>
        </is>
      </c>
      <c r="E4290" s="4" t="n">
        <v>20</v>
      </c>
      <c r="F4290" s="4" t="inlineStr">
        <is>
          <t>GOC Bed Unit-Costing Model v2 — working original.xlsx</t>
        </is>
      </c>
    </row>
    <row r="4291" ht="40" customHeight="1">
      <c r="A4291" s="4" t="inlineStr">
        <is>
          <t>original:Production!F29</t>
        </is>
      </c>
      <c r="B4291" s="4" t="inlineStr">
        <is>
          <t>Production</t>
        </is>
      </c>
      <c r="C4291" s="4" t="inlineStr">
        <is>
          <t>F29</t>
        </is>
      </c>
      <c r="D4291" s="4" t="n">
        <v>10</v>
      </c>
      <c r="E4291" s="4" t="n">
        <v>10</v>
      </c>
      <c r="F4291" s="4" t="inlineStr">
        <is>
          <t>GOC Bed Unit-Costing Model v2 — working original.xlsx</t>
        </is>
      </c>
    </row>
    <row r="4292" ht="40" customHeight="1">
      <c r="A4292" s="4" t="inlineStr">
        <is>
          <t>original:Production!G29</t>
        </is>
      </c>
      <c r="B4292" s="4" t="inlineStr">
        <is>
          <t>Production</t>
        </is>
      </c>
      <c r="C4292" s="4" t="inlineStr">
        <is>
          <t>G29</t>
        </is>
      </c>
      <c r="D4292" s="4" t="n">
        <v>10</v>
      </c>
      <c r="E4292" s="4" t="n">
        <v>10</v>
      </c>
      <c r="F4292" s="4" t="inlineStr">
        <is>
          <t>GOC Bed Unit-Costing Model v2 — working original.xlsx</t>
        </is>
      </c>
    </row>
    <row r="4293" ht="40" customHeight="1">
      <c r="A4293" s="4" t="inlineStr">
        <is>
          <t>original:Production!H29</t>
        </is>
      </c>
      <c r="B4293" s="4" t="inlineStr">
        <is>
          <t>Production</t>
        </is>
      </c>
      <c r="C4293" s="4" t="inlineStr">
        <is>
          <t>H29</t>
        </is>
      </c>
      <c r="D4293" s="4" t="n">
        <v>0</v>
      </c>
      <c r="E4293" s="4" t="n">
        <v>0</v>
      </c>
      <c r="F4293" s="4" t="inlineStr">
        <is>
          <t>GOC Bed Unit-Costing Model v2 — working original.xlsx</t>
        </is>
      </c>
    </row>
    <row r="4294" ht="40" customHeight="1">
      <c r="A4294" s="4" t="inlineStr">
        <is>
          <t>original:Production!I29</t>
        </is>
      </c>
      <c r="B4294" s="4" t="inlineStr">
        <is>
          <t>Production</t>
        </is>
      </c>
      <c r="C4294" s="4" t="inlineStr">
        <is>
          <t>I29</t>
        </is>
      </c>
      <c r="D4294" s="4" t="inlineStr">
        <is>
          <t>=J26</t>
        </is>
      </c>
      <c r="E4294" s="4" t="n">
        <v>0</v>
      </c>
      <c r="F4294" s="4" t="inlineStr">
        <is>
          <t>GOC Bed Unit-Costing Model v2 — working original.xlsx</t>
        </is>
      </c>
    </row>
    <row r="4295" ht="40" customHeight="1">
      <c r="A4295" s="4" t="inlineStr">
        <is>
          <t>original:Production!J29</t>
        </is>
      </c>
      <c r="B4295" s="4" t="inlineStr">
        <is>
          <t>Production</t>
        </is>
      </c>
      <c r="C4295" s="4" t="inlineStr">
        <is>
          <t>J29</t>
        </is>
      </c>
      <c r="D4295" s="4" t="inlineStr">
        <is>
          <t>=I29+F29-G29-H29</t>
        </is>
      </c>
      <c r="E4295" s="4" t="n">
        <v>0</v>
      </c>
      <c r="F4295" s="4" t="inlineStr">
        <is>
          <t>GOC Bed Unit-Costing Model v2 — working original.xlsx</t>
        </is>
      </c>
    </row>
    <row r="4296" ht="40" customHeight="1">
      <c r="A4296" s="4" t="inlineStr">
        <is>
          <t>original:Production!K29</t>
        </is>
      </c>
      <c r="B4296" s="4" t="inlineStr">
        <is>
          <t>Production</t>
        </is>
      </c>
      <c r="C4296" s="4" t="inlineStr">
        <is>
          <t>K29</t>
        </is>
      </c>
      <c r="D4296" s="4" t="inlineStr">
        <is>
          <t>=IF(ISNUMBER('Unit costs'!E13),F29*'Unit costs'!E13,"")</t>
        </is>
      </c>
      <c r="E4296" s="4" t="n">
        <v>2707.4</v>
      </c>
      <c r="F4296" s="4" t="inlineStr">
        <is>
          <t>GOC Bed Unit-Costing Model v2 — working original.xlsx</t>
        </is>
      </c>
    </row>
    <row r="4297" ht="40" customHeight="1">
      <c r="A4297" s="4" t="inlineStr">
        <is>
          <t>original:Production!L29</t>
        </is>
      </c>
      <c r="B4297" s="4" t="inlineStr">
        <is>
          <t>Production</t>
        </is>
      </c>
      <c r="C4297" s="4" t="inlineStr">
        <is>
          <t>L29</t>
        </is>
      </c>
      <c r="D4297" s="4" t="inlineStr">
        <is>
          <t>=IF(ISNUMBER('Unit costs'!E12),(G29+H29)*'Unit costs'!E12,"")</t>
        </is>
      </c>
      <c r="E4297" s="4" t="n">
        <v>1500</v>
      </c>
      <c r="F4297" s="4" t="inlineStr">
        <is>
          <t>GOC Bed Unit-Costing Model v2 — working original.xlsx</t>
        </is>
      </c>
    </row>
    <row r="4298" ht="40" customHeight="1">
      <c r="A4298" s="4" t="inlineStr">
        <is>
          <t>original:Production!M29</t>
        </is>
      </c>
      <c r="B4298" s="4" t="inlineStr">
        <is>
          <t>Production</t>
        </is>
      </c>
      <c r="C4298" s="4" t="inlineStr">
        <is>
          <t>M29</t>
        </is>
      </c>
      <c r="D4298" s="4" t="inlineStr">
        <is>
          <t>=H29*Overview!$B$8</t>
        </is>
      </c>
      <c r="E4298" s="4" t="n">
        <v>0</v>
      </c>
      <c r="F4298" s="4" t="inlineStr">
        <is>
          <t>GOC Bed Unit-Costing Model v2 — working original.xlsx</t>
        </is>
      </c>
    </row>
    <row r="4299" ht="45" customHeight="1">
      <c r="A4299" s="4" t="inlineStr">
        <is>
          <t>original:Production!N29</t>
        </is>
      </c>
      <c r="B4299" s="4" t="inlineStr">
        <is>
          <t>Production</t>
        </is>
      </c>
      <c r="C4299" s="4" t="inlineStr">
        <is>
          <t>N29</t>
        </is>
      </c>
      <c r="D4299" s="4" t="inlineStr">
        <is>
          <t>=IF(OR(F29&lt;0,G29&lt;0,H29&lt;0,D29&lt;0,D29&gt;1),"Invalid input",IF(F29&gt;E29,"Above capacity",IF(J29&lt;0,"Not enough stock","Within modelled capacity")))</t>
        </is>
      </c>
      <c r="E4299" s="4" t="inlineStr">
        <is>
          <t>Within modelled capacity</t>
        </is>
      </c>
      <c r="F4299" s="4" t="inlineStr">
        <is>
          <t>GOC Bed Unit-Costing Model v2 — working original.xlsx</t>
        </is>
      </c>
    </row>
    <row r="4300" ht="40" customHeight="1">
      <c r="A4300" s="4" t="inlineStr">
        <is>
          <t>original:Production!A30</t>
        </is>
      </c>
      <c r="B4300" s="4" t="inlineStr">
        <is>
          <t>Production</t>
        </is>
      </c>
      <c r="C4300" s="4" t="inlineStr">
        <is>
          <t>A30</t>
        </is>
      </c>
      <c r="D4300" s="4" t="n">
        <v>9</v>
      </c>
      <c r="E4300" s="4" t="n">
        <v>9</v>
      </c>
      <c r="F4300" s="4" t="inlineStr">
        <is>
          <t>GOC Bed Unit-Costing Model v2 — working original.xlsx</t>
        </is>
      </c>
    </row>
    <row r="4301" ht="40" customHeight="1">
      <c r="A4301" s="4" t="inlineStr">
        <is>
          <t>original:Production!B30</t>
        </is>
      </c>
      <c r="B4301" s="4" t="inlineStr">
        <is>
          <t>Production</t>
        </is>
      </c>
      <c r="C4301" s="4" t="inlineStr">
        <is>
          <t>B30</t>
        </is>
      </c>
      <c r="D4301" s="4" t="inlineStr">
        <is>
          <t>WITTA</t>
        </is>
      </c>
      <c r="E4301" s="4" t="inlineStr">
        <is>
          <t>WITTA</t>
        </is>
      </c>
      <c r="F4301" s="4" t="inlineStr">
        <is>
          <t>GOC Bed Unit-Costing Model v2 — working original.xlsx</t>
        </is>
      </c>
    </row>
    <row r="4302" ht="40" customHeight="1">
      <c r="A4302" s="4" t="inlineStr">
        <is>
          <t>original:Production!C30</t>
        </is>
      </c>
      <c r="B4302" s="4" t="inlineStr">
        <is>
          <t>Production</t>
        </is>
      </c>
      <c r="C4302" s="4" t="inlineStr">
        <is>
          <t>C30</t>
        </is>
      </c>
      <c r="D4302" s="4" t="inlineStr">
        <is>
          <t>=Sites!G6</t>
        </is>
      </c>
      <c r="E4302" s="4" t="n">
        <v>10</v>
      </c>
      <c r="F4302" s="4" t="inlineStr">
        <is>
          <t>GOC Bed Unit-Costing Model v2 — working original.xlsx</t>
        </is>
      </c>
    </row>
    <row r="4303" ht="40" customHeight="1">
      <c r="A4303" s="4" t="inlineStr">
        <is>
          <t>original:Production!D30</t>
        </is>
      </c>
      <c r="B4303" s="4" t="inlineStr">
        <is>
          <t>Production</t>
        </is>
      </c>
      <c r="C4303" s="4" t="inlineStr">
        <is>
          <t>D30</t>
        </is>
      </c>
      <c r="D4303" s="4" t="n">
        <v>1</v>
      </c>
      <c r="E4303" s="4" t="n">
        <v>1</v>
      </c>
      <c r="F4303" s="4" t="inlineStr">
        <is>
          <t>GOC Bed Unit-Costing Model v2 — working original.xlsx</t>
        </is>
      </c>
    </row>
    <row r="4304" ht="40" customHeight="1">
      <c r="A4304" s="4" t="inlineStr">
        <is>
          <t>original:Production!E30</t>
        </is>
      </c>
      <c r="B4304" s="4" t="inlineStr">
        <is>
          <t>Production</t>
        </is>
      </c>
      <c r="C4304" s="4" t="inlineStr">
        <is>
          <t>E30</t>
        </is>
      </c>
      <c r="D4304" s="4" t="inlineStr">
        <is>
          <t>=IF(A30&lt;Sites!F6,0,ROUNDDOWN(C30*D30*Sites!H6,0))</t>
        </is>
      </c>
      <c r="E4304" s="4" t="n">
        <v>40</v>
      </c>
      <c r="F4304" s="4" t="inlineStr">
        <is>
          <t>GOC Bed Unit-Costing Model v2 — working original.xlsx</t>
        </is>
      </c>
    </row>
    <row r="4305" ht="40" customHeight="1">
      <c r="A4305" s="4" t="inlineStr">
        <is>
          <t>original:Production!F30</t>
        </is>
      </c>
      <c r="B4305" s="4" t="inlineStr">
        <is>
          <t>Production</t>
        </is>
      </c>
      <c r="C4305" s="4" t="inlineStr">
        <is>
          <t>F30</t>
        </is>
      </c>
      <c r="D4305" s="4" t="n">
        <v>20</v>
      </c>
      <c r="E4305" s="4" t="n">
        <v>20</v>
      </c>
      <c r="F4305" s="4" t="inlineStr">
        <is>
          <t>GOC Bed Unit-Costing Model v2 — working original.xlsx</t>
        </is>
      </c>
    </row>
    <row r="4306" ht="40" customHeight="1">
      <c r="A4306" s="4" t="inlineStr">
        <is>
          <t>original:Production!G30</t>
        </is>
      </c>
      <c r="B4306" s="4" t="inlineStr">
        <is>
          <t>Production</t>
        </is>
      </c>
      <c r="C4306" s="4" t="inlineStr">
        <is>
          <t>G30</t>
        </is>
      </c>
      <c r="D4306" s="4" t="n">
        <v>20</v>
      </c>
      <c r="E4306" s="4" t="n">
        <v>20</v>
      </c>
      <c r="F4306" s="4" t="inlineStr">
        <is>
          <t>GOC Bed Unit-Costing Model v2 — working original.xlsx</t>
        </is>
      </c>
    </row>
    <row r="4307" ht="40" customHeight="1">
      <c r="A4307" s="4" t="inlineStr">
        <is>
          <t>original:Production!H30</t>
        </is>
      </c>
      <c r="B4307" s="4" t="inlineStr">
        <is>
          <t>Production</t>
        </is>
      </c>
      <c r="C4307" s="4" t="inlineStr">
        <is>
          <t>H30</t>
        </is>
      </c>
      <c r="D4307" s="4" t="n">
        <v>0</v>
      </c>
      <c r="E4307" s="4" t="n">
        <v>0</v>
      </c>
      <c r="F4307" s="4" t="inlineStr">
        <is>
          <t>GOC Bed Unit-Costing Model v2 — working original.xlsx</t>
        </is>
      </c>
    </row>
    <row r="4308" ht="40" customHeight="1">
      <c r="A4308" s="4" t="inlineStr">
        <is>
          <t>original:Production!I30</t>
        </is>
      </c>
      <c r="B4308" s="4" t="inlineStr">
        <is>
          <t>Production</t>
        </is>
      </c>
      <c r="C4308" s="4" t="inlineStr">
        <is>
          <t>I30</t>
        </is>
      </c>
      <c r="D4308" s="4" t="inlineStr">
        <is>
          <t>=J27</t>
        </is>
      </c>
      <c r="E4308" s="4" t="n">
        <v>0</v>
      </c>
      <c r="F4308" s="4" t="inlineStr">
        <is>
          <t>GOC Bed Unit-Costing Model v2 — working original.xlsx</t>
        </is>
      </c>
    </row>
    <row r="4309" ht="40" customHeight="1">
      <c r="A4309" s="4" t="inlineStr">
        <is>
          <t>original:Production!J30</t>
        </is>
      </c>
      <c r="B4309" s="4" t="inlineStr">
        <is>
          <t>Production</t>
        </is>
      </c>
      <c r="C4309" s="4" t="inlineStr">
        <is>
          <t>J30</t>
        </is>
      </c>
      <c r="D4309" s="4" t="inlineStr">
        <is>
          <t>=I30+F30-G30-H30</t>
        </is>
      </c>
      <c r="E4309" s="4" t="n">
        <v>0</v>
      </c>
      <c r="F4309" s="4" t="inlineStr">
        <is>
          <t>GOC Bed Unit-Costing Model v2 — working original.xlsx</t>
        </is>
      </c>
    </row>
    <row r="4310" ht="40" customHeight="1">
      <c r="A4310" s="4" t="inlineStr">
        <is>
          <t>original:Production!K30</t>
        </is>
      </c>
      <c r="B4310" s="4" t="inlineStr">
        <is>
          <t>Production</t>
        </is>
      </c>
      <c r="C4310" s="4" t="inlineStr">
        <is>
          <t>K30</t>
        </is>
      </c>
      <c r="D4310" s="4" t="inlineStr">
        <is>
          <t>=IF(ISNUMBER('Unit costs'!C13),F30*'Unit costs'!C13,"")</t>
        </is>
      </c>
      <c r="E4310" s="4" t="n">
        <v>5914.8</v>
      </c>
      <c r="F4310" s="4" t="inlineStr">
        <is>
          <t>GOC Bed Unit-Costing Model v2 — working original.xlsx</t>
        </is>
      </c>
    </row>
    <row r="4311" ht="40" customHeight="1">
      <c r="A4311" s="4" t="inlineStr">
        <is>
          <t>original:Production!L30</t>
        </is>
      </c>
      <c r="B4311" s="4" t="inlineStr">
        <is>
          <t>Production</t>
        </is>
      </c>
      <c r="C4311" s="4" t="inlineStr">
        <is>
          <t>L30</t>
        </is>
      </c>
      <c r="D4311" s="4" t="inlineStr">
        <is>
          <t>=IF(ISNUMBER('Unit costs'!C12),(G30+H30)*'Unit costs'!C12,"")</t>
        </is>
      </c>
      <c r="E4311" s="4" t="n">
        <v>3000</v>
      </c>
      <c r="F4311" s="4" t="inlineStr">
        <is>
          <t>GOC Bed Unit-Costing Model v2 — working original.xlsx</t>
        </is>
      </c>
    </row>
    <row r="4312" ht="40" customHeight="1">
      <c r="A4312" s="4" t="inlineStr">
        <is>
          <t>original:Production!M30</t>
        </is>
      </c>
      <c r="B4312" s="4" t="inlineStr">
        <is>
          <t>Production</t>
        </is>
      </c>
      <c r="C4312" s="4" t="inlineStr">
        <is>
          <t>M30</t>
        </is>
      </c>
      <c r="D4312" s="4" t="inlineStr">
        <is>
          <t>=H30*Overview!$B$8</t>
        </is>
      </c>
      <c r="E4312" s="4" t="n">
        <v>0</v>
      </c>
      <c r="F4312" s="4" t="inlineStr">
        <is>
          <t>GOC Bed Unit-Costing Model v2 — working original.xlsx</t>
        </is>
      </c>
    </row>
    <row r="4313" ht="45" customHeight="1">
      <c r="A4313" s="4" t="inlineStr">
        <is>
          <t>original:Production!N30</t>
        </is>
      </c>
      <c r="B4313" s="4" t="inlineStr">
        <is>
          <t>Production</t>
        </is>
      </c>
      <c r="C4313" s="4" t="inlineStr">
        <is>
          <t>N30</t>
        </is>
      </c>
      <c r="D4313" s="4" t="inlineStr">
        <is>
          <t>=IF(OR(F30&lt;0,G30&lt;0,H30&lt;0,D30&lt;0,D30&gt;1),"Invalid input",IF(F30&gt;E30,"Above capacity",IF(J30&lt;0,"Not enough stock","Within modelled capacity")))</t>
        </is>
      </c>
      <c r="E4313" s="4" t="inlineStr">
        <is>
          <t>Within modelled capacity</t>
        </is>
      </c>
      <c r="F4313" s="4" t="inlineStr">
        <is>
          <t>GOC Bed Unit-Costing Model v2 — working original.xlsx</t>
        </is>
      </c>
    </row>
    <row r="4314" ht="40" customHeight="1">
      <c r="A4314" s="4" t="inlineStr">
        <is>
          <t>original:Production!A31</t>
        </is>
      </c>
      <c r="B4314" s="4" t="inlineStr">
        <is>
          <t>Production</t>
        </is>
      </c>
      <c r="C4314" s="4" t="inlineStr">
        <is>
          <t>A31</t>
        </is>
      </c>
      <c r="D4314" s="4" t="n">
        <v>9</v>
      </c>
      <c r="E4314" s="4" t="n">
        <v>9</v>
      </c>
      <c r="F4314" s="4" t="inlineStr">
        <is>
          <t>GOC Bed Unit-Costing Model v2 — working original.xlsx</t>
        </is>
      </c>
    </row>
    <row r="4315" ht="40" customHeight="1">
      <c r="A4315" s="4" t="inlineStr">
        <is>
          <t>original:Production!B31</t>
        </is>
      </c>
      <c r="B4315" s="4" t="inlineStr">
        <is>
          <t>Production</t>
        </is>
      </c>
      <c r="C4315" s="4" t="inlineStr">
        <is>
          <t>B31</t>
        </is>
      </c>
      <c r="D4315" s="4" t="inlineStr">
        <is>
          <t>NEW1</t>
        </is>
      </c>
      <c r="E4315" s="4" t="inlineStr">
        <is>
          <t>NEW1</t>
        </is>
      </c>
      <c r="F4315" s="4" t="inlineStr">
        <is>
          <t>GOC Bed Unit-Costing Model v2 — working original.xlsx</t>
        </is>
      </c>
    </row>
    <row r="4316" ht="40" customHeight="1">
      <c r="A4316" s="4" t="inlineStr">
        <is>
          <t>original:Production!C31</t>
        </is>
      </c>
      <c r="B4316" s="4" t="inlineStr">
        <is>
          <t>Production</t>
        </is>
      </c>
      <c r="C4316" s="4" t="inlineStr">
        <is>
          <t>C31</t>
        </is>
      </c>
      <c r="D4316" s="4" t="inlineStr">
        <is>
          <t>=Sites!G7</t>
        </is>
      </c>
      <c r="E4316" s="4" t="n">
        <v>10</v>
      </c>
      <c r="F4316" s="4" t="inlineStr">
        <is>
          <t>GOC Bed Unit-Costing Model v2 — working original.xlsx</t>
        </is>
      </c>
    </row>
    <row r="4317" ht="40" customHeight="1">
      <c r="A4317" s="4" t="inlineStr">
        <is>
          <t>original:Production!D31</t>
        </is>
      </c>
      <c r="B4317" s="4" t="inlineStr">
        <is>
          <t>Production</t>
        </is>
      </c>
      <c r="C4317" s="4" t="inlineStr">
        <is>
          <t>D31</t>
        </is>
      </c>
      <c r="D4317" s="4" t="n">
        <v>1</v>
      </c>
      <c r="E4317" s="4" t="n">
        <v>1</v>
      </c>
      <c r="F4317" s="4" t="inlineStr">
        <is>
          <t>GOC Bed Unit-Costing Model v2 — working original.xlsx</t>
        </is>
      </c>
    </row>
    <row r="4318" ht="40" customHeight="1">
      <c r="A4318" s="4" t="inlineStr">
        <is>
          <t>original:Production!E31</t>
        </is>
      </c>
      <c r="B4318" s="4" t="inlineStr">
        <is>
          <t>Production</t>
        </is>
      </c>
      <c r="C4318" s="4" t="inlineStr">
        <is>
          <t>E31</t>
        </is>
      </c>
      <c r="D4318" s="4" t="inlineStr">
        <is>
          <t>=IF(A31&lt;Sites!F7,0,ROUNDDOWN(C31*D31*Sites!H7,0))</t>
        </is>
      </c>
      <c r="E4318" s="4" t="n">
        <v>40</v>
      </c>
      <c r="F4318" s="4" t="inlineStr">
        <is>
          <t>GOC Bed Unit-Costing Model v2 — working original.xlsx</t>
        </is>
      </c>
    </row>
    <row r="4319" ht="40" customHeight="1">
      <c r="A4319" s="4" t="inlineStr">
        <is>
          <t>original:Production!F31</t>
        </is>
      </c>
      <c r="B4319" s="4" t="inlineStr">
        <is>
          <t>Production</t>
        </is>
      </c>
      <c r="C4319" s="4" t="inlineStr">
        <is>
          <t>F31</t>
        </is>
      </c>
      <c r="D4319" s="4" t="n">
        <v>15</v>
      </c>
      <c r="E4319" s="4" t="n">
        <v>15</v>
      </c>
      <c r="F4319" s="4" t="inlineStr">
        <is>
          <t>GOC Bed Unit-Costing Model v2 — working original.xlsx</t>
        </is>
      </c>
    </row>
    <row r="4320" ht="40" customHeight="1">
      <c r="A4320" s="4" t="inlineStr">
        <is>
          <t>original:Production!G31</t>
        </is>
      </c>
      <c r="B4320" s="4" t="inlineStr">
        <is>
          <t>Production</t>
        </is>
      </c>
      <c r="C4320" s="4" t="inlineStr">
        <is>
          <t>G31</t>
        </is>
      </c>
      <c r="D4320" s="4" t="n">
        <v>15</v>
      </c>
      <c r="E4320" s="4" t="n">
        <v>15</v>
      </c>
      <c r="F4320" s="4" t="inlineStr">
        <is>
          <t>GOC Bed Unit-Costing Model v2 — working original.xlsx</t>
        </is>
      </c>
    </row>
    <row r="4321" ht="40" customHeight="1">
      <c r="A4321" s="4" t="inlineStr">
        <is>
          <t>original:Production!H31</t>
        </is>
      </c>
      <c r="B4321" s="4" t="inlineStr">
        <is>
          <t>Production</t>
        </is>
      </c>
      <c r="C4321" s="4" t="inlineStr">
        <is>
          <t>H31</t>
        </is>
      </c>
      <c r="D4321" s="4" t="n">
        <v>0</v>
      </c>
      <c r="E4321" s="4" t="n">
        <v>0</v>
      </c>
      <c r="F4321" s="4" t="inlineStr">
        <is>
          <t>GOC Bed Unit-Costing Model v2 — working original.xlsx</t>
        </is>
      </c>
    </row>
    <row r="4322" ht="40" customHeight="1">
      <c r="A4322" s="4" t="inlineStr">
        <is>
          <t>original:Production!I31</t>
        </is>
      </c>
      <c r="B4322" s="4" t="inlineStr">
        <is>
          <t>Production</t>
        </is>
      </c>
      <c r="C4322" s="4" t="inlineStr">
        <is>
          <t>I31</t>
        </is>
      </c>
      <c r="D4322" s="4" t="inlineStr">
        <is>
          <t>=J28</t>
        </is>
      </c>
      <c r="E4322" s="4" t="n">
        <v>0</v>
      </c>
      <c r="F4322" s="4" t="inlineStr">
        <is>
          <t>GOC Bed Unit-Costing Model v2 — working original.xlsx</t>
        </is>
      </c>
    </row>
    <row r="4323" ht="40" customHeight="1">
      <c r="A4323" s="4" t="inlineStr">
        <is>
          <t>original:Production!J31</t>
        </is>
      </c>
      <c r="B4323" s="4" t="inlineStr">
        <is>
          <t>Production</t>
        </is>
      </c>
      <c r="C4323" s="4" t="inlineStr">
        <is>
          <t>J31</t>
        </is>
      </c>
      <c r="D4323" s="4" t="inlineStr">
        <is>
          <t>=I31+F31-G31-H31</t>
        </is>
      </c>
      <c r="E4323" s="4" t="n">
        <v>0</v>
      </c>
      <c r="F4323" s="4" t="inlineStr">
        <is>
          <t>GOC Bed Unit-Costing Model v2 — working original.xlsx</t>
        </is>
      </c>
    </row>
    <row r="4324" ht="40" customHeight="1">
      <c r="A4324" s="4" t="inlineStr">
        <is>
          <t>original:Production!K31</t>
        </is>
      </c>
      <c r="B4324" s="4" t="inlineStr">
        <is>
          <t>Production</t>
        </is>
      </c>
      <c r="C4324" s="4" t="inlineStr">
        <is>
          <t>K31</t>
        </is>
      </c>
      <c r="D4324" s="4" t="inlineStr">
        <is>
          <t>=IF(ISNUMBER('Unit costs'!D13),F31*'Unit costs'!D13,"")</t>
        </is>
      </c>
      <c r="E4324" s="4" t="n">
        <v>4061.1</v>
      </c>
      <c r="F4324" s="4" t="inlineStr">
        <is>
          <t>GOC Bed Unit-Costing Model v2 — working original.xlsx</t>
        </is>
      </c>
    </row>
    <row r="4325" ht="40" customHeight="1">
      <c r="A4325" s="4" t="inlineStr">
        <is>
          <t>original:Production!L31</t>
        </is>
      </c>
      <c r="B4325" s="4" t="inlineStr">
        <is>
          <t>Production</t>
        </is>
      </c>
      <c r="C4325" s="4" t="inlineStr">
        <is>
          <t>L31</t>
        </is>
      </c>
      <c r="D4325" s="4" t="inlineStr">
        <is>
          <t>=IF(ISNUMBER('Unit costs'!D12),(G31+H31)*'Unit costs'!D12,"")</t>
        </is>
      </c>
      <c r="E4325" s="4" t="n">
        <v>2250</v>
      </c>
      <c r="F4325" s="4" t="inlineStr">
        <is>
          <t>GOC Bed Unit-Costing Model v2 — working original.xlsx</t>
        </is>
      </c>
    </row>
    <row r="4326" ht="40" customHeight="1">
      <c r="A4326" s="4" t="inlineStr">
        <is>
          <t>original:Production!M31</t>
        </is>
      </c>
      <c r="B4326" s="4" t="inlineStr">
        <is>
          <t>Production</t>
        </is>
      </c>
      <c r="C4326" s="4" t="inlineStr">
        <is>
          <t>M31</t>
        </is>
      </c>
      <c r="D4326" s="4" t="inlineStr">
        <is>
          <t>=H31*Overview!$B$8</t>
        </is>
      </c>
      <c r="E4326" s="4" t="n">
        <v>0</v>
      </c>
      <c r="F4326" s="4" t="inlineStr">
        <is>
          <t>GOC Bed Unit-Costing Model v2 — working original.xlsx</t>
        </is>
      </c>
    </row>
    <row r="4327" ht="45" customHeight="1">
      <c r="A4327" s="4" t="inlineStr">
        <is>
          <t>original:Production!N31</t>
        </is>
      </c>
      <c r="B4327" s="4" t="inlineStr">
        <is>
          <t>Production</t>
        </is>
      </c>
      <c r="C4327" s="4" t="inlineStr">
        <is>
          <t>N31</t>
        </is>
      </c>
      <c r="D4327" s="4" t="inlineStr">
        <is>
          <t>=IF(OR(F31&lt;0,G31&lt;0,H31&lt;0,D31&lt;0,D31&gt;1),"Invalid input",IF(F31&gt;E31,"Above capacity",IF(J31&lt;0,"Not enough stock","Within modelled capacity")))</t>
        </is>
      </c>
      <c r="E4327" s="4" t="inlineStr">
        <is>
          <t>Within modelled capacity</t>
        </is>
      </c>
      <c r="F4327" s="4" t="inlineStr">
        <is>
          <t>GOC Bed Unit-Costing Model v2 — working original.xlsx</t>
        </is>
      </c>
    </row>
    <row r="4328" ht="40" customHeight="1">
      <c r="A4328" s="4" t="inlineStr">
        <is>
          <t>original:Production!A32</t>
        </is>
      </c>
      <c r="B4328" s="4" t="inlineStr">
        <is>
          <t>Production</t>
        </is>
      </c>
      <c r="C4328" s="4" t="inlineStr">
        <is>
          <t>A32</t>
        </is>
      </c>
      <c r="D4328" s="4" t="n">
        <v>9</v>
      </c>
      <c r="E4328" s="4" t="n">
        <v>9</v>
      </c>
      <c r="F4328" s="4" t="inlineStr">
        <is>
          <t>GOC Bed Unit-Costing Model v2 — working original.xlsx</t>
        </is>
      </c>
    </row>
    <row r="4329" ht="40" customHeight="1">
      <c r="A4329" s="4" t="inlineStr">
        <is>
          <t>original:Production!B32</t>
        </is>
      </c>
      <c r="B4329" s="4" t="inlineStr">
        <is>
          <t>Production</t>
        </is>
      </c>
      <c r="C4329" s="4" t="inlineStr">
        <is>
          <t>B32</t>
        </is>
      </c>
      <c r="D4329" s="4" t="inlineStr">
        <is>
          <t>NEW2</t>
        </is>
      </c>
      <c r="E4329" s="4" t="inlineStr">
        <is>
          <t>NEW2</t>
        </is>
      </c>
      <c r="F4329" s="4" t="inlineStr">
        <is>
          <t>GOC Bed Unit-Costing Model v2 — working original.xlsx</t>
        </is>
      </c>
    </row>
    <row r="4330" ht="40" customHeight="1">
      <c r="A4330" s="4" t="inlineStr">
        <is>
          <t>original:Production!C32</t>
        </is>
      </c>
      <c r="B4330" s="4" t="inlineStr">
        <is>
          <t>Production</t>
        </is>
      </c>
      <c r="C4330" s="4" t="inlineStr">
        <is>
          <t>C32</t>
        </is>
      </c>
      <c r="D4330" s="4" t="inlineStr">
        <is>
          <t>=Sites!G8</t>
        </is>
      </c>
      <c r="E4330" s="4" t="n">
        <v>10</v>
      </c>
      <c r="F4330" s="4" t="inlineStr">
        <is>
          <t>GOC Bed Unit-Costing Model v2 — working original.xlsx</t>
        </is>
      </c>
    </row>
    <row r="4331" ht="40" customHeight="1">
      <c r="A4331" s="4" t="inlineStr">
        <is>
          <t>original:Production!D32</t>
        </is>
      </c>
      <c r="B4331" s="4" t="inlineStr">
        <is>
          <t>Production</t>
        </is>
      </c>
      <c r="C4331" s="4" t="inlineStr">
        <is>
          <t>D32</t>
        </is>
      </c>
      <c r="D4331" s="4" t="n">
        <v>0.75</v>
      </c>
      <c r="E4331" s="4" t="n">
        <v>0.75</v>
      </c>
      <c r="F4331" s="4" t="inlineStr">
        <is>
          <t>GOC Bed Unit-Costing Model v2 — working original.xlsx</t>
        </is>
      </c>
    </row>
    <row r="4332" ht="40" customHeight="1">
      <c r="A4332" s="4" t="inlineStr">
        <is>
          <t>original:Production!E32</t>
        </is>
      </c>
      <c r="B4332" s="4" t="inlineStr">
        <is>
          <t>Production</t>
        </is>
      </c>
      <c r="C4332" s="4" t="inlineStr">
        <is>
          <t>E32</t>
        </is>
      </c>
      <c r="D4332" s="4" t="inlineStr">
        <is>
          <t>=IF(A32&lt;Sites!F8,0,ROUNDDOWN(C32*D32*Sites!H8,0))</t>
        </is>
      </c>
      <c r="E4332" s="4" t="n">
        <v>30</v>
      </c>
      <c r="F4332" s="4" t="inlineStr">
        <is>
          <t>GOC Bed Unit-Costing Model v2 — working original.xlsx</t>
        </is>
      </c>
    </row>
    <row r="4333" ht="40" customHeight="1">
      <c r="A4333" s="4" t="inlineStr">
        <is>
          <t>original:Production!F32</t>
        </is>
      </c>
      <c r="B4333" s="4" t="inlineStr">
        <is>
          <t>Production</t>
        </is>
      </c>
      <c r="C4333" s="4" t="inlineStr">
        <is>
          <t>F32</t>
        </is>
      </c>
      <c r="D4333" s="4" t="n">
        <v>15</v>
      </c>
      <c r="E4333" s="4" t="n">
        <v>15</v>
      </c>
      <c r="F4333" s="4" t="inlineStr">
        <is>
          <t>GOC Bed Unit-Costing Model v2 — working original.xlsx</t>
        </is>
      </c>
    </row>
    <row r="4334" ht="40" customHeight="1">
      <c r="A4334" s="4" t="inlineStr">
        <is>
          <t>original:Production!G32</t>
        </is>
      </c>
      <c r="B4334" s="4" t="inlineStr">
        <is>
          <t>Production</t>
        </is>
      </c>
      <c r="C4334" s="4" t="inlineStr">
        <is>
          <t>G32</t>
        </is>
      </c>
      <c r="D4334" s="4" t="n">
        <v>15</v>
      </c>
      <c r="E4334" s="4" t="n">
        <v>15</v>
      </c>
      <c r="F4334" s="4" t="inlineStr">
        <is>
          <t>GOC Bed Unit-Costing Model v2 — working original.xlsx</t>
        </is>
      </c>
    </row>
    <row r="4335" ht="40" customHeight="1">
      <c r="A4335" s="4" t="inlineStr">
        <is>
          <t>original:Production!H32</t>
        </is>
      </c>
      <c r="B4335" s="4" t="inlineStr">
        <is>
          <t>Production</t>
        </is>
      </c>
      <c r="C4335" s="4" t="inlineStr">
        <is>
          <t>H32</t>
        </is>
      </c>
      <c r="D4335" s="4" t="n">
        <v>0</v>
      </c>
      <c r="E4335" s="4" t="n">
        <v>0</v>
      </c>
      <c r="F4335" s="4" t="inlineStr">
        <is>
          <t>GOC Bed Unit-Costing Model v2 — working original.xlsx</t>
        </is>
      </c>
    </row>
    <row r="4336" ht="40" customHeight="1">
      <c r="A4336" s="4" t="inlineStr">
        <is>
          <t>original:Production!I32</t>
        </is>
      </c>
      <c r="B4336" s="4" t="inlineStr">
        <is>
          <t>Production</t>
        </is>
      </c>
      <c r="C4336" s="4" t="inlineStr">
        <is>
          <t>I32</t>
        </is>
      </c>
      <c r="D4336" s="4" t="inlineStr">
        <is>
          <t>=J29</t>
        </is>
      </c>
      <c r="E4336" s="4" t="n">
        <v>0</v>
      </c>
      <c r="F4336" s="4" t="inlineStr">
        <is>
          <t>GOC Bed Unit-Costing Model v2 — working original.xlsx</t>
        </is>
      </c>
    </row>
    <row r="4337" ht="40" customHeight="1">
      <c r="A4337" s="4" t="inlineStr">
        <is>
          <t>original:Production!J32</t>
        </is>
      </c>
      <c r="B4337" s="4" t="inlineStr">
        <is>
          <t>Production</t>
        </is>
      </c>
      <c r="C4337" s="4" t="inlineStr">
        <is>
          <t>J32</t>
        </is>
      </c>
      <c r="D4337" s="4" t="inlineStr">
        <is>
          <t>=I32+F32-G32-H32</t>
        </is>
      </c>
      <c r="E4337" s="4" t="n">
        <v>0</v>
      </c>
      <c r="F4337" s="4" t="inlineStr">
        <is>
          <t>GOC Bed Unit-Costing Model v2 — working original.xlsx</t>
        </is>
      </c>
    </row>
    <row r="4338" ht="40" customHeight="1">
      <c r="A4338" s="4" t="inlineStr">
        <is>
          <t>original:Production!K32</t>
        </is>
      </c>
      <c r="B4338" s="4" t="inlineStr">
        <is>
          <t>Production</t>
        </is>
      </c>
      <c r="C4338" s="4" t="inlineStr">
        <is>
          <t>K32</t>
        </is>
      </c>
      <c r="D4338" s="4" t="inlineStr">
        <is>
          <t>=IF(ISNUMBER('Unit costs'!E13),F32*'Unit costs'!E13,"")</t>
        </is>
      </c>
      <c r="E4338" s="4" t="n">
        <v>4061.1</v>
      </c>
      <c r="F4338" s="4" t="inlineStr">
        <is>
          <t>GOC Bed Unit-Costing Model v2 — working original.xlsx</t>
        </is>
      </c>
    </row>
    <row r="4339" ht="40" customHeight="1">
      <c r="A4339" s="4" t="inlineStr">
        <is>
          <t>original:Production!L32</t>
        </is>
      </c>
      <c r="B4339" s="4" t="inlineStr">
        <is>
          <t>Production</t>
        </is>
      </c>
      <c r="C4339" s="4" t="inlineStr">
        <is>
          <t>L32</t>
        </is>
      </c>
      <c r="D4339" s="4" t="inlineStr">
        <is>
          <t>=IF(ISNUMBER('Unit costs'!E12),(G32+H32)*'Unit costs'!E12,"")</t>
        </is>
      </c>
      <c r="E4339" s="4" t="n">
        <v>2250</v>
      </c>
      <c r="F4339" s="4" t="inlineStr">
        <is>
          <t>GOC Bed Unit-Costing Model v2 — working original.xlsx</t>
        </is>
      </c>
    </row>
    <row r="4340" ht="40" customHeight="1">
      <c r="A4340" s="4" t="inlineStr">
        <is>
          <t>original:Production!M32</t>
        </is>
      </c>
      <c r="B4340" s="4" t="inlineStr">
        <is>
          <t>Production</t>
        </is>
      </c>
      <c r="C4340" s="4" t="inlineStr">
        <is>
          <t>M32</t>
        </is>
      </c>
      <c r="D4340" s="4" t="inlineStr">
        <is>
          <t>=H32*Overview!$B$8</t>
        </is>
      </c>
      <c r="E4340" s="4" t="n">
        <v>0</v>
      </c>
      <c r="F4340" s="4" t="inlineStr">
        <is>
          <t>GOC Bed Unit-Costing Model v2 — working original.xlsx</t>
        </is>
      </c>
    </row>
    <row r="4341" ht="45" customHeight="1">
      <c r="A4341" s="4" t="inlineStr">
        <is>
          <t>original:Production!N32</t>
        </is>
      </c>
      <c r="B4341" s="4" t="inlineStr">
        <is>
          <t>Production</t>
        </is>
      </c>
      <c r="C4341" s="4" t="inlineStr">
        <is>
          <t>N32</t>
        </is>
      </c>
      <c r="D4341" s="4" t="inlineStr">
        <is>
          <t>=IF(OR(F32&lt;0,G32&lt;0,H32&lt;0,D32&lt;0,D32&gt;1),"Invalid input",IF(F32&gt;E32,"Above capacity",IF(J32&lt;0,"Not enough stock","Within modelled capacity")))</t>
        </is>
      </c>
      <c r="E4341" s="4" t="inlineStr">
        <is>
          <t>Within modelled capacity</t>
        </is>
      </c>
      <c r="F4341" s="4" t="inlineStr">
        <is>
          <t>GOC Bed Unit-Costing Model v2 — working original.xlsx</t>
        </is>
      </c>
    </row>
    <row r="4342" ht="40" customHeight="1">
      <c r="A4342" s="4" t="inlineStr">
        <is>
          <t>original:Production!A33</t>
        </is>
      </c>
      <c r="B4342" s="4" t="inlineStr">
        <is>
          <t>Production</t>
        </is>
      </c>
      <c r="C4342" s="4" t="inlineStr">
        <is>
          <t>A33</t>
        </is>
      </c>
      <c r="D4342" s="4" t="n">
        <v>10</v>
      </c>
      <c r="E4342" s="4" t="n">
        <v>10</v>
      </c>
      <c r="F4342" s="4" t="inlineStr">
        <is>
          <t>GOC Bed Unit-Costing Model v2 — working original.xlsx</t>
        </is>
      </c>
    </row>
    <row r="4343" ht="40" customHeight="1">
      <c r="A4343" s="4" t="inlineStr">
        <is>
          <t>original:Production!B33</t>
        </is>
      </c>
      <c r="B4343" s="4" t="inlineStr">
        <is>
          <t>Production</t>
        </is>
      </c>
      <c r="C4343" s="4" t="inlineStr">
        <is>
          <t>B33</t>
        </is>
      </c>
      <c r="D4343" s="4" t="inlineStr">
        <is>
          <t>WITTA</t>
        </is>
      </c>
      <c r="E4343" s="4" t="inlineStr">
        <is>
          <t>WITTA</t>
        </is>
      </c>
      <c r="F4343" s="4" t="inlineStr">
        <is>
          <t>GOC Bed Unit-Costing Model v2 — working original.xlsx</t>
        </is>
      </c>
    </row>
    <row r="4344" ht="40" customHeight="1">
      <c r="A4344" s="4" t="inlineStr">
        <is>
          <t>original:Production!C33</t>
        </is>
      </c>
      <c r="B4344" s="4" t="inlineStr">
        <is>
          <t>Production</t>
        </is>
      </c>
      <c r="C4344" s="4" t="inlineStr">
        <is>
          <t>C33</t>
        </is>
      </c>
      <c r="D4344" s="4" t="inlineStr">
        <is>
          <t>=Sites!G6</t>
        </is>
      </c>
      <c r="E4344" s="4" t="n">
        <v>10</v>
      </c>
      <c r="F4344" s="4" t="inlineStr">
        <is>
          <t>GOC Bed Unit-Costing Model v2 — working original.xlsx</t>
        </is>
      </c>
    </row>
    <row r="4345" ht="40" customHeight="1">
      <c r="A4345" s="4" t="inlineStr">
        <is>
          <t>original:Production!D33</t>
        </is>
      </c>
      <c r="B4345" s="4" t="inlineStr">
        <is>
          <t>Production</t>
        </is>
      </c>
      <c r="C4345" s="4" t="inlineStr">
        <is>
          <t>D33</t>
        </is>
      </c>
      <c r="D4345" s="4" t="n">
        <v>1</v>
      </c>
      <c r="E4345" s="4" t="n">
        <v>1</v>
      </c>
      <c r="F4345" s="4" t="inlineStr">
        <is>
          <t>GOC Bed Unit-Costing Model v2 — working original.xlsx</t>
        </is>
      </c>
    </row>
    <row r="4346" ht="40" customHeight="1">
      <c r="A4346" s="4" t="inlineStr">
        <is>
          <t>original:Production!E33</t>
        </is>
      </c>
      <c r="B4346" s="4" t="inlineStr">
        <is>
          <t>Production</t>
        </is>
      </c>
      <c r="C4346" s="4" t="inlineStr">
        <is>
          <t>E33</t>
        </is>
      </c>
      <c r="D4346" s="4" t="inlineStr">
        <is>
          <t>=IF(A33&lt;Sites!F6,0,ROUNDDOWN(C33*D33*Sites!H6,0))</t>
        </is>
      </c>
      <c r="E4346" s="4" t="n">
        <v>40</v>
      </c>
      <c r="F4346" s="4" t="inlineStr">
        <is>
          <t>GOC Bed Unit-Costing Model v2 — working original.xlsx</t>
        </is>
      </c>
    </row>
    <row r="4347" ht="40" customHeight="1">
      <c r="A4347" s="4" t="inlineStr">
        <is>
          <t>original:Production!F33</t>
        </is>
      </c>
      <c r="B4347" s="4" t="inlineStr">
        <is>
          <t>Production</t>
        </is>
      </c>
      <c r="C4347" s="4" t="inlineStr">
        <is>
          <t>F33</t>
        </is>
      </c>
      <c r="D4347" s="4" t="n">
        <v>20</v>
      </c>
      <c r="E4347" s="4" t="n">
        <v>20</v>
      </c>
      <c r="F4347" s="4" t="inlineStr">
        <is>
          <t>GOC Bed Unit-Costing Model v2 — working original.xlsx</t>
        </is>
      </c>
    </row>
    <row r="4348" ht="40" customHeight="1">
      <c r="A4348" s="4" t="inlineStr">
        <is>
          <t>original:Production!G33</t>
        </is>
      </c>
      <c r="B4348" s="4" t="inlineStr">
        <is>
          <t>Production</t>
        </is>
      </c>
      <c r="C4348" s="4" t="inlineStr">
        <is>
          <t>G33</t>
        </is>
      </c>
      <c r="D4348" s="4" t="n">
        <v>20</v>
      </c>
      <c r="E4348" s="4" t="n">
        <v>20</v>
      </c>
      <c r="F4348" s="4" t="inlineStr">
        <is>
          <t>GOC Bed Unit-Costing Model v2 — working original.xlsx</t>
        </is>
      </c>
    </row>
    <row r="4349" ht="40" customHeight="1">
      <c r="A4349" s="4" t="inlineStr">
        <is>
          <t>original:Production!H33</t>
        </is>
      </c>
      <c r="B4349" s="4" t="inlineStr">
        <is>
          <t>Production</t>
        </is>
      </c>
      <c r="C4349" s="4" t="inlineStr">
        <is>
          <t>H33</t>
        </is>
      </c>
      <c r="D4349" s="4" t="n">
        <v>0</v>
      </c>
      <c r="E4349" s="4" t="n">
        <v>0</v>
      </c>
      <c r="F4349" s="4" t="inlineStr">
        <is>
          <t>GOC Bed Unit-Costing Model v2 — working original.xlsx</t>
        </is>
      </c>
    </row>
    <row r="4350" ht="40" customHeight="1">
      <c r="A4350" s="4" t="inlineStr">
        <is>
          <t>original:Production!I33</t>
        </is>
      </c>
      <c r="B4350" s="4" t="inlineStr">
        <is>
          <t>Production</t>
        </is>
      </c>
      <c r="C4350" s="4" t="inlineStr">
        <is>
          <t>I33</t>
        </is>
      </c>
      <c r="D4350" s="4" t="inlineStr">
        <is>
          <t>=J30</t>
        </is>
      </c>
      <c r="E4350" s="4" t="n">
        <v>0</v>
      </c>
      <c r="F4350" s="4" t="inlineStr">
        <is>
          <t>GOC Bed Unit-Costing Model v2 — working original.xlsx</t>
        </is>
      </c>
    </row>
    <row r="4351" ht="40" customHeight="1">
      <c r="A4351" s="4" t="inlineStr">
        <is>
          <t>original:Production!J33</t>
        </is>
      </c>
      <c r="B4351" s="4" t="inlineStr">
        <is>
          <t>Production</t>
        </is>
      </c>
      <c r="C4351" s="4" t="inlineStr">
        <is>
          <t>J33</t>
        </is>
      </c>
      <c r="D4351" s="4" t="inlineStr">
        <is>
          <t>=I33+F33-G33-H33</t>
        </is>
      </c>
      <c r="E4351" s="4" t="n">
        <v>0</v>
      </c>
      <c r="F4351" s="4" t="inlineStr">
        <is>
          <t>GOC Bed Unit-Costing Model v2 — working original.xlsx</t>
        </is>
      </c>
    </row>
    <row r="4352" ht="40" customHeight="1">
      <c r="A4352" s="4" t="inlineStr">
        <is>
          <t>original:Production!K33</t>
        </is>
      </c>
      <c r="B4352" s="4" t="inlineStr">
        <is>
          <t>Production</t>
        </is>
      </c>
      <c r="C4352" s="4" t="inlineStr">
        <is>
          <t>K33</t>
        </is>
      </c>
      <c r="D4352" s="4" t="inlineStr">
        <is>
          <t>=IF(ISNUMBER('Unit costs'!C13),F33*'Unit costs'!C13,"")</t>
        </is>
      </c>
      <c r="E4352" s="4" t="n">
        <v>5914.8</v>
      </c>
      <c r="F4352" s="4" t="inlineStr">
        <is>
          <t>GOC Bed Unit-Costing Model v2 — working original.xlsx</t>
        </is>
      </c>
    </row>
    <row r="4353" ht="40" customHeight="1">
      <c r="A4353" s="4" t="inlineStr">
        <is>
          <t>original:Production!L33</t>
        </is>
      </c>
      <c r="B4353" s="4" t="inlineStr">
        <is>
          <t>Production</t>
        </is>
      </c>
      <c r="C4353" s="4" t="inlineStr">
        <is>
          <t>L33</t>
        </is>
      </c>
      <c r="D4353" s="4" t="inlineStr">
        <is>
          <t>=IF(ISNUMBER('Unit costs'!C12),(G33+H33)*'Unit costs'!C12,"")</t>
        </is>
      </c>
      <c r="E4353" s="4" t="n">
        <v>3000</v>
      </c>
      <c r="F4353" s="4" t="inlineStr">
        <is>
          <t>GOC Bed Unit-Costing Model v2 — working original.xlsx</t>
        </is>
      </c>
    </row>
    <row r="4354" ht="40" customHeight="1">
      <c r="A4354" s="4" t="inlineStr">
        <is>
          <t>original:Production!M33</t>
        </is>
      </c>
      <c r="B4354" s="4" t="inlineStr">
        <is>
          <t>Production</t>
        </is>
      </c>
      <c r="C4354" s="4" t="inlineStr">
        <is>
          <t>M33</t>
        </is>
      </c>
      <c r="D4354" s="4" t="inlineStr">
        <is>
          <t>=H33*Overview!$B$8</t>
        </is>
      </c>
      <c r="E4354" s="4" t="n">
        <v>0</v>
      </c>
      <c r="F4354" s="4" t="inlineStr">
        <is>
          <t>GOC Bed Unit-Costing Model v2 — working original.xlsx</t>
        </is>
      </c>
    </row>
    <row r="4355" ht="45" customHeight="1">
      <c r="A4355" s="4" t="inlineStr">
        <is>
          <t>original:Production!N33</t>
        </is>
      </c>
      <c r="B4355" s="4" t="inlineStr">
        <is>
          <t>Production</t>
        </is>
      </c>
      <c r="C4355" s="4" t="inlineStr">
        <is>
          <t>N33</t>
        </is>
      </c>
      <c r="D4355" s="4" t="inlineStr">
        <is>
          <t>=IF(OR(F33&lt;0,G33&lt;0,H33&lt;0,D33&lt;0,D33&gt;1),"Invalid input",IF(F33&gt;E33,"Above capacity",IF(J33&lt;0,"Not enough stock","Within modelled capacity")))</t>
        </is>
      </c>
      <c r="E4355" s="4" t="inlineStr">
        <is>
          <t>Within modelled capacity</t>
        </is>
      </c>
      <c r="F4355" s="4" t="inlineStr">
        <is>
          <t>GOC Bed Unit-Costing Model v2 — working original.xlsx</t>
        </is>
      </c>
    </row>
    <row r="4356" ht="40" customHeight="1">
      <c r="A4356" s="4" t="inlineStr">
        <is>
          <t>original:Production!A34</t>
        </is>
      </c>
      <c r="B4356" s="4" t="inlineStr">
        <is>
          <t>Production</t>
        </is>
      </c>
      <c r="C4356" s="4" t="inlineStr">
        <is>
          <t>A34</t>
        </is>
      </c>
      <c r="D4356" s="4" t="n">
        <v>10</v>
      </c>
      <c r="E4356" s="4" t="n">
        <v>10</v>
      </c>
      <c r="F4356" s="4" t="inlineStr">
        <is>
          <t>GOC Bed Unit-Costing Model v2 — working original.xlsx</t>
        </is>
      </c>
    </row>
    <row r="4357" ht="40" customHeight="1">
      <c r="A4357" s="4" t="inlineStr">
        <is>
          <t>original:Production!B34</t>
        </is>
      </c>
      <c r="B4357" s="4" t="inlineStr">
        <is>
          <t>Production</t>
        </is>
      </c>
      <c r="C4357" s="4" t="inlineStr">
        <is>
          <t>B34</t>
        </is>
      </c>
      <c r="D4357" s="4" t="inlineStr">
        <is>
          <t>NEW1</t>
        </is>
      </c>
      <c r="E4357" s="4" t="inlineStr">
        <is>
          <t>NEW1</t>
        </is>
      </c>
      <c r="F4357" s="4" t="inlineStr">
        <is>
          <t>GOC Bed Unit-Costing Model v2 — working original.xlsx</t>
        </is>
      </c>
    </row>
    <row r="4358" ht="40" customHeight="1">
      <c r="A4358" s="4" t="inlineStr">
        <is>
          <t>original:Production!C34</t>
        </is>
      </c>
      <c r="B4358" s="4" t="inlineStr">
        <is>
          <t>Production</t>
        </is>
      </c>
      <c r="C4358" s="4" t="inlineStr">
        <is>
          <t>C34</t>
        </is>
      </c>
      <c r="D4358" s="4" t="inlineStr">
        <is>
          <t>=Sites!G7</t>
        </is>
      </c>
      <c r="E4358" s="4" t="n">
        <v>10</v>
      </c>
      <c r="F4358" s="4" t="inlineStr">
        <is>
          <t>GOC Bed Unit-Costing Model v2 — working original.xlsx</t>
        </is>
      </c>
    </row>
    <row r="4359" ht="40" customHeight="1">
      <c r="A4359" s="4" t="inlineStr">
        <is>
          <t>original:Production!D34</t>
        </is>
      </c>
      <c r="B4359" s="4" t="inlineStr">
        <is>
          <t>Production</t>
        </is>
      </c>
      <c r="C4359" s="4" t="inlineStr">
        <is>
          <t>D34</t>
        </is>
      </c>
      <c r="D4359" s="4" t="n">
        <v>1</v>
      </c>
      <c r="E4359" s="4" t="n">
        <v>1</v>
      </c>
      <c r="F4359" s="4" t="inlineStr">
        <is>
          <t>GOC Bed Unit-Costing Model v2 — working original.xlsx</t>
        </is>
      </c>
    </row>
    <row r="4360" ht="40" customHeight="1">
      <c r="A4360" s="4" t="inlineStr">
        <is>
          <t>original:Production!E34</t>
        </is>
      </c>
      <c r="B4360" s="4" t="inlineStr">
        <is>
          <t>Production</t>
        </is>
      </c>
      <c r="C4360" s="4" t="inlineStr">
        <is>
          <t>E34</t>
        </is>
      </c>
      <c r="D4360" s="4" t="inlineStr">
        <is>
          <t>=IF(A34&lt;Sites!F7,0,ROUNDDOWN(C34*D34*Sites!H7,0))</t>
        </is>
      </c>
      <c r="E4360" s="4" t="n">
        <v>40</v>
      </c>
      <c r="F4360" s="4" t="inlineStr">
        <is>
          <t>GOC Bed Unit-Costing Model v2 — working original.xlsx</t>
        </is>
      </c>
    </row>
    <row r="4361" ht="40" customHeight="1">
      <c r="A4361" s="4" t="inlineStr">
        <is>
          <t>original:Production!F34</t>
        </is>
      </c>
      <c r="B4361" s="4" t="inlineStr">
        <is>
          <t>Production</t>
        </is>
      </c>
      <c r="C4361" s="4" t="inlineStr">
        <is>
          <t>F34</t>
        </is>
      </c>
      <c r="D4361" s="4" t="n">
        <v>10</v>
      </c>
      <c r="E4361" s="4" t="n">
        <v>10</v>
      </c>
      <c r="F4361" s="4" t="inlineStr">
        <is>
          <t>GOC Bed Unit-Costing Model v2 — working original.xlsx</t>
        </is>
      </c>
    </row>
    <row r="4362" ht="40" customHeight="1">
      <c r="A4362" s="4" t="inlineStr">
        <is>
          <t>original:Production!G34</t>
        </is>
      </c>
      <c r="B4362" s="4" t="inlineStr">
        <is>
          <t>Production</t>
        </is>
      </c>
      <c r="C4362" s="4" t="inlineStr">
        <is>
          <t>G34</t>
        </is>
      </c>
      <c r="D4362" s="4" t="n">
        <v>10</v>
      </c>
      <c r="E4362" s="4" t="n">
        <v>10</v>
      </c>
      <c r="F4362" s="4" t="inlineStr">
        <is>
          <t>GOC Bed Unit-Costing Model v2 — working original.xlsx</t>
        </is>
      </c>
    </row>
    <row r="4363" ht="40" customHeight="1">
      <c r="A4363" s="4" t="inlineStr">
        <is>
          <t>original:Production!H34</t>
        </is>
      </c>
      <c r="B4363" s="4" t="inlineStr">
        <is>
          <t>Production</t>
        </is>
      </c>
      <c r="C4363" s="4" t="inlineStr">
        <is>
          <t>H34</t>
        </is>
      </c>
      <c r="D4363" s="4" t="n">
        <v>0</v>
      </c>
      <c r="E4363" s="4" t="n">
        <v>0</v>
      </c>
      <c r="F4363" s="4" t="inlineStr">
        <is>
          <t>GOC Bed Unit-Costing Model v2 — working original.xlsx</t>
        </is>
      </c>
    </row>
    <row r="4364" ht="40" customHeight="1">
      <c r="A4364" s="4" t="inlineStr">
        <is>
          <t>original:Production!I34</t>
        </is>
      </c>
      <c r="B4364" s="4" t="inlineStr">
        <is>
          <t>Production</t>
        </is>
      </c>
      <c r="C4364" s="4" t="inlineStr">
        <is>
          <t>I34</t>
        </is>
      </c>
      <c r="D4364" s="4" t="inlineStr">
        <is>
          <t>=J31</t>
        </is>
      </c>
      <c r="E4364" s="4" t="n">
        <v>0</v>
      </c>
      <c r="F4364" s="4" t="inlineStr">
        <is>
          <t>GOC Bed Unit-Costing Model v2 — working original.xlsx</t>
        </is>
      </c>
    </row>
    <row r="4365" ht="40" customHeight="1">
      <c r="A4365" s="4" t="inlineStr">
        <is>
          <t>original:Production!J34</t>
        </is>
      </c>
      <c r="B4365" s="4" t="inlineStr">
        <is>
          <t>Production</t>
        </is>
      </c>
      <c r="C4365" s="4" t="inlineStr">
        <is>
          <t>J34</t>
        </is>
      </c>
      <c r="D4365" s="4" t="inlineStr">
        <is>
          <t>=I34+F34-G34-H34</t>
        </is>
      </c>
      <c r="E4365" s="4" t="n">
        <v>0</v>
      </c>
      <c r="F4365" s="4" t="inlineStr">
        <is>
          <t>GOC Bed Unit-Costing Model v2 — working original.xlsx</t>
        </is>
      </c>
    </row>
    <row r="4366" ht="40" customHeight="1">
      <c r="A4366" s="4" t="inlineStr">
        <is>
          <t>original:Production!K34</t>
        </is>
      </c>
      <c r="B4366" s="4" t="inlineStr">
        <is>
          <t>Production</t>
        </is>
      </c>
      <c r="C4366" s="4" t="inlineStr">
        <is>
          <t>K34</t>
        </is>
      </c>
      <c r="D4366" s="4" t="inlineStr">
        <is>
          <t>=IF(ISNUMBER('Unit costs'!D13),F34*'Unit costs'!D13,"")</t>
        </is>
      </c>
      <c r="E4366" s="4" t="n">
        <v>2707.4</v>
      </c>
      <c r="F4366" s="4" t="inlineStr">
        <is>
          <t>GOC Bed Unit-Costing Model v2 — working original.xlsx</t>
        </is>
      </c>
    </row>
    <row r="4367" ht="40" customHeight="1">
      <c r="A4367" s="4" t="inlineStr">
        <is>
          <t>original:Production!L34</t>
        </is>
      </c>
      <c r="B4367" s="4" t="inlineStr">
        <is>
          <t>Production</t>
        </is>
      </c>
      <c r="C4367" s="4" t="inlineStr">
        <is>
          <t>L34</t>
        </is>
      </c>
      <c r="D4367" s="4" t="inlineStr">
        <is>
          <t>=IF(ISNUMBER('Unit costs'!D12),(G34+H34)*'Unit costs'!D12,"")</t>
        </is>
      </c>
      <c r="E4367" s="4" t="n">
        <v>1500</v>
      </c>
      <c r="F4367" s="4" t="inlineStr">
        <is>
          <t>GOC Bed Unit-Costing Model v2 — working original.xlsx</t>
        </is>
      </c>
    </row>
    <row r="4368" ht="40" customHeight="1">
      <c r="A4368" s="4" t="inlineStr">
        <is>
          <t>original:Production!M34</t>
        </is>
      </c>
      <c r="B4368" s="4" t="inlineStr">
        <is>
          <t>Production</t>
        </is>
      </c>
      <c r="C4368" s="4" t="inlineStr">
        <is>
          <t>M34</t>
        </is>
      </c>
      <c r="D4368" s="4" t="inlineStr">
        <is>
          <t>=H34*Overview!$B$8</t>
        </is>
      </c>
      <c r="E4368" s="4" t="n">
        <v>0</v>
      </c>
      <c r="F4368" s="4" t="inlineStr">
        <is>
          <t>GOC Bed Unit-Costing Model v2 — working original.xlsx</t>
        </is>
      </c>
    </row>
    <row r="4369" ht="45" customHeight="1">
      <c r="A4369" s="4" t="inlineStr">
        <is>
          <t>original:Production!N34</t>
        </is>
      </c>
      <c r="B4369" s="4" t="inlineStr">
        <is>
          <t>Production</t>
        </is>
      </c>
      <c r="C4369" s="4" t="inlineStr">
        <is>
          <t>N34</t>
        </is>
      </c>
      <c r="D4369" s="4" t="inlineStr">
        <is>
          <t>=IF(OR(F34&lt;0,G34&lt;0,H34&lt;0,D34&lt;0,D34&gt;1),"Invalid input",IF(F34&gt;E34,"Above capacity",IF(J34&lt;0,"Not enough stock","Within modelled capacity")))</t>
        </is>
      </c>
      <c r="E4369" s="4" t="inlineStr">
        <is>
          <t>Within modelled capacity</t>
        </is>
      </c>
      <c r="F4369" s="4" t="inlineStr">
        <is>
          <t>GOC Bed Unit-Costing Model v2 — working original.xlsx</t>
        </is>
      </c>
    </row>
    <row r="4370" ht="40" customHeight="1">
      <c r="A4370" s="4" t="inlineStr">
        <is>
          <t>original:Production!A35</t>
        </is>
      </c>
      <c r="B4370" s="4" t="inlineStr">
        <is>
          <t>Production</t>
        </is>
      </c>
      <c r="C4370" s="4" t="inlineStr">
        <is>
          <t>A35</t>
        </is>
      </c>
      <c r="D4370" s="4" t="n">
        <v>10</v>
      </c>
      <c r="E4370" s="4" t="n">
        <v>10</v>
      </c>
      <c r="F4370" s="4" t="inlineStr">
        <is>
          <t>GOC Bed Unit-Costing Model v2 — working original.xlsx</t>
        </is>
      </c>
    </row>
    <row r="4371" ht="40" customHeight="1">
      <c r="A4371" s="4" t="inlineStr">
        <is>
          <t>original:Production!B35</t>
        </is>
      </c>
      <c r="B4371" s="4" t="inlineStr">
        <is>
          <t>Production</t>
        </is>
      </c>
      <c r="C4371" s="4" t="inlineStr">
        <is>
          <t>B35</t>
        </is>
      </c>
      <c r="D4371" s="4" t="inlineStr">
        <is>
          <t>NEW2</t>
        </is>
      </c>
      <c r="E4371" s="4" t="inlineStr">
        <is>
          <t>NEW2</t>
        </is>
      </c>
      <c r="F4371" s="4" t="inlineStr">
        <is>
          <t>GOC Bed Unit-Costing Model v2 — working original.xlsx</t>
        </is>
      </c>
    </row>
    <row r="4372" ht="40" customHeight="1">
      <c r="A4372" s="4" t="inlineStr">
        <is>
          <t>original:Production!C35</t>
        </is>
      </c>
      <c r="B4372" s="4" t="inlineStr">
        <is>
          <t>Production</t>
        </is>
      </c>
      <c r="C4372" s="4" t="inlineStr">
        <is>
          <t>C35</t>
        </is>
      </c>
      <c r="D4372" s="4" t="inlineStr">
        <is>
          <t>=Sites!G8</t>
        </is>
      </c>
      <c r="E4372" s="4" t="n">
        <v>10</v>
      </c>
      <c r="F4372" s="4" t="inlineStr">
        <is>
          <t>GOC Bed Unit-Costing Model v2 — working original.xlsx</t>
        </is>
      </c>
    </row>
    <row r="4373" ht="40" customHeight="1">
      <c r="A4373" s="4" t="inlineStr">
        <is>
          <t>original:Production!D35</t>
        </is>
      </c>
      <c r="B4373" s="4" t="inlineStr">
        <is>
          <t>Production</t>
        </is>
      </c>
      <c r="C4373" s="4" t="inlineStr">
        <is>
          <t>D35</t>
        </is>
      </c>
      <c r="D4373" s="4" t="n">
        <v>1</v>
      </c>
      <c r="E4373" s="4" t="n">
        <v>1</v>
      </c>
      <c r="F4373" s="4" t="inlineStr">
        <is>
          <t>GOC Bed Unit-Costing Model v2 — working original.xlsx</t>
        </is>
      </c>
    </row>
    <row r="4374" ht="40" customHeight="1">
      <c r="A4374" s="4" t="inlineStr">
        <is>
          <t>original:Production!E35</t>
        </is>
      </c>
      <c r="B4374" s="4" t="inlineStr">
        <is>
          <t>Production</t>
        </is>
      </c>
      <c r="C4374" s="4" t="inlineStr">
        <is>
          <t>E35</t>
        </is>
      </c>
      <c r="D4374" s="4" t="inlineStr">
        <is>
          <t>=IF(A35&lt;Sites!F8,0,ROUNDDOWN(C35*D35*Sites!H8,0))</t>
        </is>
      </c>
      <c r="E4374" s="4" t="n">
        <v>40</v>
      </c>
      <c r="F4374" s="4" t="inlineStr">
        <is>
          <t>GOC Bed Unit-Costing Model v2 — working original.xlsx</t>
        </is>
      </c>
    </row>
    <row r="4375" ht="40" customHeight="1">
      <c r="A4375" s="4" t="inlineStr">
        <is>
          <t>original:Production!F35</t>
        </is>
      </c>
      <c r="B4375" s="4" t="inlineStr">
        <is>
          <t>Production</t>
        </is>
      </c>
      <c r="C4375" s="4" t="inlineStr">
        <is>
          <t>F35</t>
        </is>
      </c>
      <c r="D4375" s="4" t="n">
        <v>15</v>
      </c>
      <c r="E4375" s="4" t="n">
        <v>15</v>
      </c>
      <c r="F4375" s="4" t="inlineStr">
        <is>
          <t>GOC Bed Unit-Costing Model v2 — working original.xlsx</t>
        </is>
      </c>
    </row>
    <row r="4376" ht="40" customHeight="1">
      <c r="A4376" s="4" t="inlineStr">
        <is>
          <t>original:Production!G35</t>
        </is>
      </c>
      <c r="B4376" s="4" t="inlineStr">
        <is>
          <t>Production</t>
        </is>
      </c>
      <c r="C4376" s="4" t="inlineStr">
        <is>
          <t>G35</t>
        </is>
      </c>
      <c r="D4376" s="4" t="n">
        <v>15</v>
      </c>
      <c r="E4376" s="4" t="n">
        <v>15</v>
      </c>
      <c r="F4376" s="4" t="inlineStr">
        <is>
          <t>GOC Bed Unit-Costing Model v2 — working original.xlsx</t>
        </is>
      </c>
    </row>
    <row r="4377" ht="40" customHeight="1">
      <c r="A4377" s="4" t="inlineStr">
        <is>
          <t>original:Production!H35</t>
        </is>
      </c>
      <c r="B4377" s="4" t="inlineStr">
        <is>
          <t>Production</t>
        </is>
      </c>
      <c r="C4377" s="4" t="inlineStr">
        <is>
          <t>H35</t>
        </is>
      </c>
      <c r="D4377" s="4" t="n">
        <v>0</v>
      </c>
      <c r="E4377" s="4" t="n">
        <v>0</v>
      </c>
      <c r="F4377" s="4" t="inlineStr">
        <is>
          <t>GOC Bed Unit-Costing Model v2 — working original.xlsx</t>
        </is>
      </c>
    </row>
    <row r="4378" ht="40" customHeight="1">
      <c r="A4378" s="4" t="inlineStr">
        <is>
          <t>original:Production!I35</t>
        </is>
      </c>
      <c r="B4378" s="4" t="inlineStr">
        <is>
          <t>Production</t>
        </is>
      </c>
      <c r="C4378" s="4" t="inlineStr">
        <is>
          <t>I35</t>
        </is>
      </c>
      <c r="D4378" s="4" t="inlineStr">
        <is>
          <t>=J32</t>
        </is>
      </c>
      <c r="E4378" s="4" t="n">
        <v>0</v>
      </c>
      <c r="F4378" s="4" t="inlineStr">
        <is>
          <t>GOC Bed Unit-Costing Model v2 — working original.xlsx</t>
        </is>
      </c>
    </row>
    <row r="4379" ht="40" customHeight="1">
      <c r="A4379" s="4" t="inlineStr">
        <is>
          <t>original:Production!J35</t>
        </is>
      </c>
      <c r="B4379" s="4" t="inlineStr">
        <is>
          <t>Production</t>
        </is>
      </c>
      <c r="C4379" s="4" t="inlineStr">
        <is>
          <t>J35</t>
        </is>
      </c>
      <c r="D4379" s="4" t="inlineStr">
        <is>
          <t>=I35+F35-G35-H35</t>
        </is>
      </c>
      <c r="E4379" s="4" t="n">
        <v>0</v>
      </c>
      <c r="F4379" s="4" t="inlineStr">
        <is>
          <t>GOC Bed Unit-Costing Model v2 — working original.xlsx</t>
        </is>
      </c>
    </row>
    <row r="4380" ht="40" customHeight="1">
      <c r="A4380" s="4" t="inlineStr">
        <is>
          <t>original:Production!K35</t>
        </is>
      </c>
      <c r="B4380" s="4" t="inlineStr">
        <is>
          <t>Production</t>
        </is>
      </c>
      <c r="C4380" s="4" t="inlineStr">
        <is>
          <t>K35</t>
        </is>
      </c>
      <c r="D4380" s="4" t="inlineStr">
        <is>
          <t>=IF(ISNUMBER('Unit costs'!E13),F35*'Unit costs'!E13,"")</t>
        </is>
      </c>
      <c r="E4380" s="4" t="n">
        <v>4061.1</v>
      </c>
      <c r="F4380" s="4" t="inlineStr">
        <is>
          <t>GOC Bed Unit-Costing Model v2 — working original.xlsx</t>
        </is>
      </c>
    </row>
    <row r="4381" ht="40" customHeight="1">
      <c r="A4381" s="4" t="inlineStr">
        <is>
          <t>original:Production!L35</t>
        </is>
      </c>
      <c r="B4381" s="4" t="inlineStr">
        <is>
          <t>Production</t>
        </is>
      </c>
      <c r="C4381" s="4" t="inlineStr">
        <is>
          <t>L35</t>
        </is>
      </c>
      <c r="D4381" s="4" t="inlineStr">
        <is>
          <t>=IF(ISNUMBER('Unit costs'!E12),(G35+H35)*'Unit costs'!E12,"")</t>
        </is>
      </c>
      <c r="E4381" s="4" t="n">
        <v>2250</v>
      </c>
      <c r="F4381" s="4" t="inlineStr">
        <is>
          <t>GOC Bed Unit-Costing Model v2 — working original.xlsx</t>
        </is>
      </c>
    </row>
    <row r="4382" ht="40" customHeight="1">
      <c r="A4382" s="4" t="inlineStr">
        <is>
          <t>original:Production!M35</t>
        </is>
      </c>
      <c r="B4382" s="4" t="inlineStr">
        <is>
          <t>Production</t>
        </is>
      </c>
      <c r="C4382" s="4" t="inlineStr">
        <is>
          <t>M35</t>
        </is>
      </c>
      <c r="D4382" s="4" t="inlineStr">
        <is>
          <t>=H35*Overview!$B$8</t>
        </is>
      </c>
      <c r="E4382" s="4" t="n">
        <v>0</v>
      </c>
      <c r="F4382" s="4" t="inlineStr">
        <is>
          <t>GOC Bed Unit-Costing Model v2 — working original.xlsx</t>
        </is>
      </c>
    </row>
    <row r="4383" ht="45" customHeight="1">
      <c r="A4383" s="4" t="inlineStr">
        <is>
          <t>original:Production!N35</t>
        </is>
      </c>
      <c r="B4383" s="4" t="inlineStr">
        <is>
          <t>Production</t>
        </is>
      </c>
      <c r="C4383" s="4" t="inlineStr">
        <is>
          <t>N35</t>
        </is>
      </c>
      <c r="D4383" s="4" t="inlineStr">
        <is>
          <t>=IF(OR(F35&lt;0,G35&lt;0,H35&lt;0,D35&lt;0,D35&gt;1),"Invalid input",IF(F35&gt;E35,"Above capacity",IF(J35&lt;0,"Not enough stock","Within modelled capacity")))</t>
        </is>
      </c>
      <c r="E4383" s="4" t="inlineStr">
        <is>
          <t>Within modelled capacity</t>
        </is>
      </c>
      <c r="F4383" s="4" t="inlineStr">
        <is>
          <t>GOC Bed Unit-Costing Model v2 — working original.xlsx</t>
        </is>
      </c>
    </row>
    <row r="4384" ht="40" customHeight="1">
      <c r="A4384" s="4" t="inlineStr">
        <is>
          <t>original:Production!A36</t>
        </is>
      </c>
      <c r="B4384" s="4" t="inlineStr">
        <is>
          <t>Production</t>
        </is>
      </c>
      <c r="C4384" s="4" t="inlineStr">
        <is>
          <t>A36</t>
        </is>
      </c>
      <c r="D4384" s="4" t="n">
        <v>11</v>
      </c>
      <c r="E4384" s="4" t="n">
        <v>11</v>
      </c>
      <c r="F4384" s="4" t="inlineStr">
        <is>
          <t>GOC Bed Unit-Costing Model v2 — working original.xlsx</t>
        </is>
      </c>
    </row>
    <row r="4385" ht="40" customHeight="1">
      <c r="A4385" s="4" t="inlineStr">
        <is>
          <t>original:Production!B36</t>
        </is>
      </c>
      <c r="B4385" s="4" t="inlineStr">
        <is>
          <t>Production</t>
        </is>
      </c>
      <c r="C4385" s="4" t="inlineStr">
        <is>
          <t>B36</t>
        </is>
      </c>
      <c r="D4385" s="4" t="inlineStr">
        <is>
          <t>WITTA</t>
        </is>
      </c>
      <c r="E4385" s="4" t="inlineStr">
        <is>
          <t>WITTA</t>
        </is>
      </c>
      <c r="F4385" s="4" t="inlineStr">
        <is>
          <t>GOC Bed Unit-Costing Model v2 — working original.xlsx</t>
        </is>
      </c>
    </row>
    <row r="4386" ht="40" customHeight="1">
      <c r="A4386" s="4" t="inlineStr">
        <is>
          <t>original:Production!C36</t>
        </is>
      </c>
      <c r="B4386" s="4" t="inlineStr">
        <is>
          <t>Production</t>
        </is>
      </c>
      <c r="C4386" s="4" t="inlineStr">
        <is>
          <t>C36</t>
        </is>
      </c>
      <c r="D4386" s="4" t="inlineStr">
        <is>
          <t>=Sites!G6</t>
        </is>
      </c>
      <c r="E4386" s="4" t="n">
        <v>10</v>
      </c>
      <c r="F4386" s="4" t="inlineStr">
        <is>
          <t>GOC Bed Unit-Costing Model v2 — working original.xlsx</t>
        </is>
      </c>
    </row>
    <row r="4387" ht="40" customHeight="1">
      <c r="A4387" s="4" t="inlineStr">
        <is>
          <t>original:Production!D36</t>
        </is>
      </c>
      <c r="B4387" s="4" t="inlineStr">
        <is>
          <t>Production</t>
        </is>
      </c>
      <c r="C4387" s="4" t="inlineStr">
        <is>
          <t>D36</t>
        </is>
      </c>
      <c r="D4387" s="4" t="n">
        <v>1</v>
      </c>
      <c r="E4387" s="4" t="n">
        <v>1</v>
      </c>
      <c r="F4387" s="4" t="inlineStr">
        <is>
          <t>GOC Bed Unit-Costing Model v2 — working original.xlsx</t>
        </is>
      </c>
    </row>
    <row r="4388" ht="40" customHeight="1">
      <c r="A4388" s="4" t="inlineStr">
        <is>
          <t>original:Production!E36</t>
        </is>
      </c>
      <c r="B4388" s="4" t="inlineStr">
        <is>
          <t>Production</t>
        </is>
      </c>
      <c r="C4388" s="4" t="inlineStr">
        <is>
          <t>E36</t>
        </is>
      </c>
      <c r="D4388" s="4" t="inlineStr">
        <is>
          <t>=IF(A36&lt;Sites!F6,0,ROUNDDOWN(C36*D36*Sites!H6,0))</t>
        </is>
      </c>
      <c r="E4388" s="4" t="n">
        <v>40</v>
      </c>
      <c r="F4388" s="4" t="inlineStr">
        <is>
          <t>GOC Bed Unit-Costing Model v2 — working original.xlsx</t>
        </is>
      </c>
    </row>
    <row r="4389" ht="40" customHeight="1">
      <c r="A4389" s="4" t="inlineStr">
        <is>
          <t>original:Production!F36</t>
        </is>
      </c>
      <c r="B4389" s="4" t="inlineStr">
        <is>
          <t>Production</t>
        </is>
      </c>
      <c r="C4389" s="4" t="inlineStr">
        <is>
          <t>F36</t>
        </is>
      </c>
      <c r="D4389" s="4" t="n">
        <v>20</v>
      </c>
      <c r="E4389" s="4" t="n">
        <v>20</v>
      </c>
      <c r="F4389" s="4" t="inlineStr">
        <is>
          <t>GOC Bed Unit-Costing Model v2 — working original.xlsx</t>
        </is>
      </c>
    </row>
    <row r="4390" ht="40" customHeight="1">
      <c r="A4390" s="4" t="inlineStr">
        <is>
          <t>original:Production!G36</t>
        </is>
      </c>
      <c r="B4390" s="4" t="inlineStr">
        <is>
          <t>Production</t>
        </is>
      </c>
      <c r="C4390" s="4" t="inlineStr">
        <is>
          <t>G36</t>
        </is>
      </c>
      <c r="D4390" s="4" t="n">
        <v>20</v>
      </c>
      <c r="E4390" s="4" t="n">
        <v>20</v>
      </c>
      <c r="F4390" s="4" t="inlineStr">
        <is>
          <t>GOC Bed Unit-Costing Model v2 — working original.xlsx</t>
        </is>
      </c>
    </row>
    <row r="4391" ht="40" customHeight="1">
      <c r="A4391" s="4" t="inlineStr">
        <is>
          <t>original:Production!H36</t>
        </is>
      </c>
      <c r="B4391" s="4" t="inlineStr">
        <is>
          <t>Production</t>
        </is>
      </c>
      <c r="C4391" s="4" t="inlineStr">
        <is>
          <t>H36</t>
        </is>
      </c>
      <c r="D4391" s="4" t="n">
        <v>0</v>
      </c>
      <c r="E4391" s="4" t="n">
        <v>0</v>
      </c>
      <c r="F4391" s="4" t="inlineStr">
        <is>
          <t>GOC Bed Unit-Costing Model v2 — working original.xlsx</t>
        </is>
      </c>
    </row>
    <row r="4392" ht="40" customHeight="1">
      <c r="A4392" s="4" t="inlineStr">
        <is>
          <t>original:Production!I36</t>
        </is>
      </c>
      <c r="B4392" s="4" t="inlineStr">
        <is>
          <t>Production</t>
        </is>
      </c>
      <c r="C4392" s="4" t="inlineStr">
        <is>
          <t>I36</t>
        </is>
      </c>
      <c r="D4392" s="4" t="inlineStr">
        <is>
          <t>=J33</t>
        </is>
      </c>
      <c r="E4392" s="4" t="n">
        <v>0</v>
      </c>
      <c r="F4392" s="4" t="inlineStr">
        <is>
          <t>GOC Bed Unit-Costing Model v2 — working original.xlsx</t>
        </is>
      </c>
    </row>
    <row r="4393" ht="40" customHeight="1">
      <c r="A4393" s="4" t="inlineStr">
        <is>
          <t>original:Production!J36</t>
        </is>
      </c>
      <c r="B4393" s="4" t="inlineStr">
        <is>
          <t>Production</t>
        </is>
      </c>
      <c r="C4393" s="4" t="inlineStr">
        <is>
          <t>J36</t>
        </is>
      </c>
      <c r="D4393" s="4" t="inlineStr">
        <is>
          <t>=I36+F36-G36-H36</t>
        </is>
      </c>
      <c r="E4393" s="4" t="n">
        <v>0</v>
      </c>
      <c r="F4393" s="4" t="inlineStr">
        <is>
          <t>GOC Bed Unit-Costing Model v2 — working original.xlsx</t>
        </is>
      </c>
    </row>
    <row r="4394" ht="40" customHeight="1">
      <c r="A4394" s="4" t="inlineStr">
        <is>
          <t>original:Production!K36</t>
        </is>
      </c>
      <c r="B4394" s="4" t="inlineStr">
        <is>
          <t>Production</t>
        </is>
      </c>
      <c r="C4394" s="4" t="inlineStr">
        <is>
          <t>K36</t>
        </is>
      </c>
      <c r="D4394" s="4" t="inlineStr">
        <is>
          <t>=IF(ISNUMBER('Unit costs'!C13),F36*'Unit costs'!C13,"")</t>
        </is>
      </c>
      <c r="E4394" s="4" t="n">
        <v>5914.8</v>
      </c>
      <c r="F4394" s="4" t="inlineStr">
        <is>
          <t>GOC Bed Unit-Costing Model v2 — working original.xlsx</t>
        </is>
      </c>
    </row>
    <row r="4395" ht="40" customHeight="1">
      <c r="A4395" s="4" t="inlineStr">
        <is>
          <t>original:Production!L36</t>
        </is>
      </c>
      <c r="B4395" s="4" t="inlineStr">
        <is>
          <t>Production</t>
        </is>
      </c>
      <c r="C4395" s="4" t="inlineStr">
        <is>
          <t>L36</t>
        </is>
      </c>
      <c r="D4395" s="4" t="inlineStr">
        <is>
          <t>=IF(ISNUMBER('Unit costs'!C12),(G36+H36)*'Unit costs'!C12,"")</t>
        </is>
      </c>
      <c r="E4395" s="4" t="n">
        <v>3000</v>
      </c>
      <c r="F4395" s="4" t="inlineStr">
        <is>
          <t>GOC Bed Unit-Costing Model v2 — working original.xlsx</t>
        </is>
      </c>
    </row>
    <row r="4396" ht="40" customHeight="1">
      <c r="A4396" s="4" t="inlineStr">
        <is>
          <t>original:Production!M36</t>
        </is>
      </c>
      <c r="B4396" s="4" t="inlineStr">
        <is>
          <t>Production</t>
        </is>
      </c>
      <c r="C4396" s="4" t="inlineStr">
        <is>
          <t>M36</t>
        </is>
      </c>
      <c r="D4396" s="4" t="inlineStr">
        <is>
          <t>=H36*Overview!$B$8</t>
        </is>
      </c>
      <c r="E4396" s="4" t="n">
        <v>0</v>
      </c>
      <c r="F4396" s="4" t="inlineStr">
        <is>
          <t>GOC Bed Unit-Costing Model v2 — working original.xlsx</t>
        </is>
      </c>
    </row>
    <row r="4397" ht="45" customHeight="1">
      <c r="A4397" s="4" t="inlineStr">
        <is>
          <t>original:Production!N36</t>
        </is>
      </c>
      <c r="B4397" s="4" t="inlineStr">
        <is>
          <t>Production</t>
        </is>
      </c>
      <c r="C4397" s="4" t="inlineStr">
        <is>
          <t>N36</t>
        </is>
      </c>
      <c r="D4397" s="4" t="inlineStr">
        <is>
          <t>=IF(OR(F36&lt;0,G36&lt;0,H36&lt;0,D36&lt;0,D36&gt;1),"Invalid input",IF(F36&gt;E36,"Above capacity",IF(J36&lt;0,"Not enough stock","Within modelled capacity")))</t>
        </is>
      </c>
      <c r="E4397" s="4" t="inlineStr">
        <is>
          <t>Within modelled capacity</t>
        </is>
      </c>
      <c r="F4397" s="4" t="inlineStr">
        <is>
          <t>GOC Bed Unit-Costing Model v2 — working original.xlsx</t>
        </is>
      </c>
    </row>
    <row r="4398" ht="40" customHeight="1">
      <c r="A4398" s="4" t="inlineStr">
        <is>
          <t>original:Production!A37</t>
        </is>
      </c>
      <c r="B4398" s="4" t="inlineStr">
        <is>
          <t>Production</t>
        </is>
      </c>
      <c r="C4398" s="4" t="inlineStr">
        <is>
          <t>A37</t>
        </is>
      </c>
      <c r="D4398" s="4" t="n">
        <v>11</v>
      </c>
      <c r="E4398" s="4" t="n">
        <v>11</v>
      </c>
      <c r="F4398" s="4" t="inlineStr">
        <is>
          <t>GOC Bed Unit-Costing Model v2 — working original.xlsx</t>
        </is>
      </c>
    </row>
    <row r="4399" ht="40" customHeight="1">
      <c r="A4399" s="4" t="inlineStr">
        <is>
          <t>original:Production!B37</t>
        </is>
      </c>
      <c r="B4399" s="4" t="inlineStr">
        <is>
          <t>Production</t>
        </is>
      </c>
      <c r="C4399" s="4" t="inlineStr">
        <is>
          <t>B37</t>
        </is>
      </c>
      <c r="D4399" s="4" t="inlineStr">
        <is>
          <t>NEW1</t>
        </is>
      </c>
      <c r="E4399" s="4" t="inlineStr">
        <is>
          <t>NEW1</t>
        </is>
      </c>
      <c r="F4399" s="4" t="inlineStr">
        <is>
          <t>GOC Bed Unit-Costing Model v2 — working original.xlsx</t>
        </is>
      </c>
    </row>
    <row r="4400" ht="40" customHeight="1">
      <c r="A4400" s="4" t="inlineStr">
        <is>
          <t>original:Production!C37</t>
        </is>
      </c>
      <c r="B4400" s="4" t="inlineStr">
        <is>
          <t>Production</t>
        </is>
      </c>
      <c r="C4400" s="4" t="inlineStr">
        <is>
          <t>C37</t>
        </is>
      </c>
      <c r="D4400" s="4" t="inlineStr">
        <is>
          <t>=Sites!G7</t>
        </is>
      </c>
      <c r="E4400" s="4" t="n">
        <v>10</v>
      </c>
      <c r="F4400" s="4" t="inlineStr">
        <is>
          <t>GOC Bed Unit-Costing Model v2 — working original.xlsx</t>
        </is>
      </c>
    </row>
    <row r="4401" ht="40" customHeight="1">
      <c r="A4401" s="4" t="inlineStr">
        <is>
          <t>original:Production!D37</t>
        </is>
      </c>
      <c r="B4401" s="4" t="inlineStr">
        <is>
          <t>Production</t>
        </is>
      </c>
      <c r="C4401" s="4" t="inlineStr">
        <is>
          <t>D37</t>
        </is>
      </c>
      <c r="D4401" s="4" t="n">
        <v>1</v>
      </c>
      <c r="E4401" s="4" t="n">
        <v>1</v>
      </c>
      <c r="F4401" s="4" t="inlineStr">
        <is>
          <t>GOC Bed Unit-Costing Model v2 — working original.xlsx</t>
        </is>
      </c>
    </row>
    <row r="4402" ht="40" customHeight="1">
      <c r="A4402" s="4" t="inlineStr">
        <is>
          <t>original:Production!E37</t>
        </is>
      </c>
      <c r="B4402" s="4" t="inlineStr">
        <is>
          <t>Production</t>
        </is>
      </c>
      <c r="C4402" s="4" t="inlineStr">
        <is>
          <t>E37</t>
        </is>
      </c>
      <c r="D4402" s="4" t="inlineStr">
        <is>
          <t>=IF(A37&lt;Sites!F7,0,ROUNDDOWN(C37*D37*Sites!H7,0))</t>
        </is>
      </c>
      <c r="E4402" s="4" t="n">
        <v>40</v>
      </c>
      <c r="F4402" s="4" t="inlineStr">
        <is>
          <t>GOC Bed Unit-Costing Model v2 — working original.xlsx</t>
        </is>
      </c>
    </row>
    <row r="4403" ht="40" customHeight="1">
      <c r="A4403" s="4" t="inlineStr">
        <is>
          <t>original:Production!F37</t>
        </is>
      </c>
      <c r="B4403" s="4" t="inlineStr">
        <is>
          <t>Production</t>
        </is>
      </c>
      <c r="C4403" s="4" t="inlineStr">
        <is>
          <t>F37</t>
        </is>
      </c>
      <c r="D4403" s="4" t="n">
        <v>10</v>
      </c>
      <c r="E4403" s="4" t="n">
        <v>10</v>
      </c>
      <c r="F4403" s="4" t="inlineStr">
        <is>
          <t>GOC Bed Unit-Costing Model v2 — working original.xlsx</t>
        </is>
      </c>
    </row>
    <row r="4404" ht="40" customHeight="1">
      <c r="A4404" s="4" t="inlineStr">
        <is>
          <t>original:Production!G37</t>
        </is>
      </c>
      <c r="B4404" s="4" t="inlineStr">
        <is>
          <t>Production</t>
        </is>
      </c>
      <c r="C4404" s="4" t="inlineStr">
        <is>
          <t>G37</t>
        </is>
      </c>
      <c r="D4404" s="4" t="n">
        <v>10</v>
      </c>
      <c r="E4404" s="4" t="n">
        <v>10</v>
      </c>
      <c r="F4404" s="4" t="inlineStr">
        <is>
          <t>GOC Bed Unit-Costing Model v2 — working original.xlsx</t>
        </is>
      </c>
    </row>
    <row r="4405" ht="40" customHeight="1">
      <c r="A4405" s="4" t="inlineStr">
        <is>
          <t>original:Production!H37</t>
        </is>
      </c>
      <c r="B4405" s="4" t="inlineStr">
        <is>
          <t>Production</t>
        </is>
      </c>
      <c r="C4405" s="4" t="inlineStr">
        <is>
          <t>H37</t>
        </is>
      </c>
      <c r="D4405" s="4" t="n">
        <v>0</v>
      </c>
      <c r="E4405" s="4" t="n">
        <v>0</v>
      </c>
      <c r="F4405" s="4" t="inlineStr">
        <is>
          <t>GOC Bed Unit-Costing Model v2 — working original.xlsx</t>
        </is>
      </c>
    </row>
    <row r="4406" ht="40" customHeight="1">
      <c r="A4406" s="4" t="inlineStr">
        <is>
          <t>original:Production!I37</t>
        </is>
      </c>
      <c r="B4406" s="4" t="inlineStr">
        <is>
          <t>Production</t>
        </is>
      </c>
      <c r="C4406" s="4" t="inlineStr">
        <is>
          <t>I37</t>
        </is>
      </c>
      <c r="D4406" s="4" t="inlineStr">
        <is>
          <t>=J34</t>
        </is>
      </c>
      <c r="E4406" s="4" t="n">
        <v>0</v>
      </c>
      <c r="F4406" s="4" t="inlineStr">
        <is>
          <t>GOC Bed Unit-Costing Model v2 — working original.xlsx</t>
        </is>
      </c>
    </row>
    <row r="4407" ht="40" customHeight="1">
      <c r="A4407" s="4" t="inlineStr">
        <is>
          <t>original:Production!J37</t>
        </is>
      </c>
      <c r="B4407" s="4" t="inlineStr">
        <is>
          <t>Production</t>
        </is>
      </c>
      <c r="C4407" s="4" t="inlineStr">
        <is>
          <t>J37</t>
        </is>
      </c>
      <c r="D4407" s="4" t="inlineStr">
        <is>
          <t>=I37+F37-G37-H37</t>
        </is>
      </c>
      <c r="E4407" s="4" t="n">
        <v>0</v>
      </c>
      <c r="F4407" s="4" t="inlineStr">
        <is>
          <t>GOC Bed Unit-Costing Model v2 — working original.xlsx</t>
        </is>
      </c>
    </row>
    <row r="4408" ht="40" customHeight="1">
      <c r="A4408" s="4" t="inlineStr">
        <is>
          <t>original:Production!K37</t>
        </is>
      </c>
      <c r="B4408" s="4" t="inlineStr">
        <is>
          <t>Production</t>
        </is>
      </c>
      <c r="C4408" s="4" t="inlineStr">
        <is>
          <t>K37</t>
        </is>
      </c>
      <c r="D4408" s="4" t="inlineStr">
        <is>
          <t>=IF(ISNUMBER('Unit costs'!D13),F37*'Unit costs'!D13,"")</t>
        </is>
      </c>
      <c r="E4408" s="4" t="n">
        <v>2707.4</v>
      </c>
      <c r="F4408" s="4" t="inlineStr">
        <is>
          <t>GOC Bed Unit-Costing Model v2 — working original.xlsx</t>
        </is>
      </c>
    </row>
    <row r="4409" ht="40" customHeight="1">
      <c r="A4409" s="4" t="inlineStr">
        <is>
          <t>original:Production!L37</t>
        </is>
      </c>
      <c r="B4409" s="4" t="inlineStr">
        <is>
          <t>Production</t>
        </is>
      </c>
      <c r="C4409" s="4" t="inlineStr">
        <is>
          <t>L37</t>
        </is>
      </c>
      <c r="D4409" s="4" t="inlineStr">
        <is>
          <t>=IF(ISNUMBER('Unit costs'!D12),(G37+H37)*'Unit costs'!D12,"")</t>
        </is>
      </c>
      <c r="E4409" s="4" t="n">
        <v>1500</v>
      </c>
      <c r="F4409" s="4" t="inlineStr">
        <is>
          <t>GOC Bed Unit-Costing Model v2 — working original.xlsx</t>
        </is>
      </c>
    </row>
    <row r="4410" ht="40" customHeight="1">
      <c r="A4410" s="4" t="inlineStr">
        <is>
          <t>original:Production!M37</t>
        </is>
      </c>
      <c r="B4410" s="4" t="inlineStr">
        <is>
          <t>Production</t>
        </is>
      </c>
      <c r="C4410" s="4" t="inlineStr">
        <is>
          <t>M37</t>
        </is>
      </c>
      <c r="D4410" s="4" t="inlineStr">
        <is>
          <t>=H37*Overview!$B$8</t>
        </is>
      </c>
      <c r="E4410" s="4" t="n">
        <v>0</v>
      </c>
      <c r="F4410" s="4" t="inlineStr">
        <is>
          <t>GOC Bed Unit-Costing Model v2 — working original.xlsx</t>
        </is>
      </c>
    </row>
    <row r="4411" ht="45" customHeight="1">
      <c r="A4411" s="4" t="inlineStr">
        <is>
          <t>original:Production!N37</t>
        </is>
      </c>
      <c r="B4411" s="4" t="inlineStr">
        <is>
          <t>Production</t>
        </is>
      </c>
      <c r="C4411" s="4" t="inlineStr">
        <is>
          <t>N37</t>
        </is>
      </c>
      <c r="D4411" s="4" t="inlineStr">
        <is>
          <t>=IF(OR(F37&lt;0,G37&lt;0,H37&lt;0,D37&lt;0,D37&gt;1),"Invalid input",IF(F37&gt;E37,"Above capacity",IF(J37&lt;0,"Not enough stock","Within modelled capacity")))</t>
        </is>
      </c>
      <c r="E4411" s="4" t="inlineStr">
        <is>
          <t>Within modelled capacity</t>
        </is>
      </c>
      <c r="F4411" s="4" t="inlineStr">
        <is>
          <t>GOC Bed Unit-Costing Model v2 — working original.xlsx</t>
        </is>
      </c>
    </row>
    <row r="4412" ht="40" customHeight="1">
      <c r="A4412" s="4" t="inlineStr">
        <is>
          <t>original:Production!A38</t>
        </is>
      </c>
      <c r="B4412" s="4" t="inlineStr">
        <is>
          <t>Production</t>
        </is>
      </c>
      <c r="C4412" s="4" t="inlineStr">
        <is>
          <t>A38</t>
        </is>
      </c>
      <c r="D4412" s="4" t="n">
        <v>11</v>
      </c>
      <c r="E4412" s="4" t="n">
        <v>11</v>
      </c>
      <c r="F4412" s="4" t="inlineStr">
        <is>
          <t>GOC Bed Unit-Costing Model v2 — working original.xlsx</t>
        </is>
      </c>
    </row>
    <row r="4413" ht="40" customHeight="1">
      <c r="A4413" s="4" t="inlineStr">
        <is>
          <t>original:Production!B38</t>
        </is>
      </c>
      <c r="B4413" s="4" t="inlineStr">
        <is>
          <t>Production</t>
        </is>
      </c>
      <c r="C4413" s="4" t="inlineStr">
        <is>
          <t>B38</t>
        </is>
      </c>
      <c r="D4413" s="4" t="inlineStr">
        <is>
          <t>NEW2</t>
        </is>
      </c>
      <c r="E4413" s="4" t="inlineStr">
        <is>
          <t>NEW2</t>
        </is>
      </c>
      <c r="F4413" s="4" t="inlineStr">
        <is>
          <t>GOC Bed Unit-Costing Model v2 — working original.xlsx</t>
        </is>
      </c>
    </row>
    <row r="4414" ht="40" customHeight="1">
      <c r="A4414" s="4" t="inlineStr">
        <is>
          <t>original:Production!C38</t>
        </is>
      </c>
      <c r="B4414" s="4" t="inlineStr">
        <is>
          <t>Production</t>
        </is>
      </c>
      <c r="C4414" s="4" t="inlineStr">
        <is>
          <t>C38</t>
        </is>
      </c>
      <c r="D4414" s="4" t="inlineStr">
        <is>
          <t>=Sites!G8</t>
        </is>
      </c>
      <c r="E4414" s="4" t="n">
        <v>10</v>
      </c>
      <c r="F4414" s="4" t="inlineStr">
        <is>
          <t>GOC Bed Unit-Costing Model v2 — working original.xlsx</t>
        </is>
      </c>
    </row>
    <row r="4415" ht="40" customHeight="1">
      <c r="A4415" s="4" t="inlineStr">
        <is>
          <t>original:Production!D38</t>
        </is>
      </c>
      <c r="B4415" s="4" t="inlineStr">
        <is>
          <t>Production</t>
        </is>
      </c>
      <c r="C4415" s="4" t="inlineStr">
        <is>
          <t>D38</t>
        </is>
      </c>
      <c r="D4415" s="4" t="n">
        <v>1</v>
      </c>
      <c r="E4415" s="4" t="n">
        <v>1</v>
      </c>
      <c r="F4415" s="4" t="inlineStr">
        <is>
          <t>GOC Bed Unit-Costing Model v2 — working original.xlsx</t>
        </is>
      </c>
    </row>
    <row r="4416" ht="40" customHeight="1">
      <c r="A4416" s="4" t="inlineStr">
        <is>
          <t>original:Production!E38</t>
        </is>
      </c>
      <c r="B4416" s="4" t="inlineStr">
        <is>
          <t>Production</t>
        </is>
      </c>
      <c r="C4416" s="4" t="inlineStr">
        <is>
          <t>E38</t>
        </is>
      </c>
      <c r="D4416" s="4" t="inlineStr">
        <is>
          <t>=IF(A38&lt;Sites!F8,0,ROUNDDOWN(C38*D38*Sites!H8,0))</t>
        </is>
      </c>
      <c r="E4416" s="4" t="n">
        <v>40</v>
      </c>
      <c r="F4416" s="4" t="inlineStr">
        <is>
          <t>GOC Bed Unit-Costing Model v2 — working original.xlsx</t>
        </is>
      </c>
    </row>
    <row r="4417" ht="40" customHeight="1">
      <c r="A4417" s="4" t="inlineStr">
        <is>
          <t>original:Production!F38</t>
        </is>
      </c>
      <c r="B4417" s="4" t="inlineStr">
        <is>
          <t>Production</t>
        </is>
      </c>
      <c r="C4417" s="4" t="inlineStr">
        <is>
          <t>F38</t>
        </is>
      </c>
      <c r="D4417" s="4" t="n">
        <v>25</v>
      </c>
      <c r="E4417" s="4" t="n">
        <v>25</v>
      </c>
      <c r="F4417" s="4" t="inlineStr">
        <is>
          <t>GOC Bed Unit-Costing Model v2 — working original.xlsx</t>
        </is>
      </c>
    </row>
    <row r="4418" ht="40" customHeight="1">
      <c r="A4418" s="4" t="inlineStr">
        <is>
          <t>original:Production!G38</t>
        </is>
      </c>
      <c r="B4418" s="4" t="inlineStr">
        <is>
          <t>Production</t>
        </is>
      </c>
      <c r="C4418" s="4" t="inlineStr">
        <is>
          <t>G38</t>
        </is>
      </c>
      <c r="D4418" s="4" t="n">
        <v>25</v>
      </c>
      <c r="E4418" s="4" t="n">
        <v>25</v>
      </c>
      <c r="F4418" s="4" t="inlineStr">
        <is>
          <t>GOC Bed Unit-Costing Model v2 — working original.xlsx</t>
        </is>
      </c>
    </row>
    <row r="4419" ht="40" customHeight="1">
      <c r="A4419" s="4" t="inlineStr">
        <is>
          <t>original:Production!H38</t>
        </is>
      </c>
      <c r="B4419" s="4" t="inlineStr">
        <is>
          <t>Production</t>
        </is>
      </c>
      <c r="C4419" s="4" t="inlineStr">
        <is>
          <t>H38</t>
        </is>
      </c>
      <c r="D4419" s="4" t="n">
        <v>0</v>
      </c>
      <c r="E4419" s="4" t="n">
        <v>0</v>
      </c>
      <c r="F4419" s="4" t="inlineStr">
        <is>
          <t>GOC Bed Unit-Costing Model v2 — working original.xlsx</t>
        </is>
      </c>
    </row>
    <row r="4420" ht="40" customHeight="1">
      <c r="A4420" s="4" t="inlineStr">
        <is>
          <t>original:Production!I38</t>
        </is>
      </c>
      <c r="B4420" s="4" t="inlineStr">
        <is>
          <t>Production</t>
        </is>
      </c>
      <c r="C4420" s="4" t="inlineStr">
        <is>
          <t>I38</t>
        </is>
      </c>
      <c r="D4420" s="4" t="inlineStr">
        <is>
          <t>=J35</t>
        </is>
      </c>
      <c r="E4420" s="4" t="n">
        <v>0</v>
      </c>
      <c r="F4420" s="4" t="inlineStr">
        <is>
          <t>GOC Bed Unit-Costing Model v2 — working original.xlsx</t>
        </is>
      </c>
    </row>
    <row r="4421" ht="40" customHeight="1">
      <c r="A4421" s="4" t="inlineStr">
        <is>
          <t>original:Production!J38</t>
        </is>
      </c>
      <c r="B4421" s="4" t="inlineStr">
        <is>
          <t>Production</t>
        </is>
      </c>
      <c r="C4421" s="4" t="inlineStr">
        <is>
          <t>J38</t>
        </is>
      </c>
      <c r="D4421" s="4" t="inlineStr">
        <is>
          <t>=I38+F38-G38-H38</t>
        </is>
      </c>
      <c r="E4421" s="4" t="n">
        <v>0</v>
      </c>
      <c r="F4421" s="4" t="inlineStr">
        <is>
          <t>GOC Bed Unit-Costing Model v2 — working original.xlsx</t>
        </is>
      </c>
    </row>
    <row r="4422" ht="40" customHeight="1">
      <c r="A4422" s="4" t="inlineStr">
        <is>
          <t>original:Production!K38</t>
        </is>
      </c>
      <c r="B4422" s="4" t="inlineStr">
        <is>
          <t>Production</t>
        </is>
      </c>
      <c r="C4422" s="4" t="inlineStr">
        <is>
          <t>K38</t>
        </is>
      </c>
      <c r="D4422" s="4" t="inlineStr">
        <is>
          <t>=IF(ISNUMBER('Unit costs'!E13),F38*'Unit costs'!E13,"")</t>
        </is>
      </c>
      <c r="E4422" s="4" t="n">
        <v>6768.5</v>
      </c>
      <c r="F4422" s="4" t="inlineStr">
        <is>
          <t>GOC Bed Unit-Costing Model v2 — working original.xlsx</t>
        </is>
      </c>
    </row>
    <row r="4423" ht="40" customHeight="1">
      <c r="A4423" s="4" t="inlineStr">
        <is>
          <t>original:Production!L38</t>
        </is>
      </c>
      <c r="B4423" s="4" t="inlineStr">
        <is>
          <t>Production</t>
        </is>
      </c>
      <c r="C4423" s="4" t="inlineStr">
        <is>
          <t>L38</t>
        </is>
      </c>
      <c r="D4423" s="4" t="inlineStr">
        <is>
          <t>=IF(ISNUMBER('Unit costs'!E12),(G38+H38)*'Unit costs'!E12,"")</t>
        </is>
      </c>
      <c r="E4423" s="4" t="n">
        <v>3750</v>
      </c>
      <c r="F4423" s="4" t="inlineStr">
        <is>
          <t>GOC Bed Unit-Costing Model v2 — working original.xlsx</t>
        </is>
      </c>
    </row>
    <row r="4424" ht="40" customHeight="1">
      <c r="A4424" s="4" t="inlineStr">
        <is>
          <t>original:Production!M38</t>
        </is>
      </c>
      <c r="B4424" s="4" t="inlineStr">
        <is>
          <t>Production</t>
        </is>
      </c>
      <c r="C4424" s="4" t="inlineStr">
        <is>
          <t>M38</t>
        </is>
      </c>
      <c r="D4424" s="4" t="inlineStr">
        <is>
          <t>=H38*Overview!$B$8</t>
        </is>
      </c>
      <c r="E4424" s="4" t="n">
        <v>0</v>
      </c>
      <c r="F4424" s="4" t="inlineStr">
        <is>
          <t>GOC Bed Unit-Costing Model v2 — working original.xlsx</t>
        </is>
      </c>
    </row>
    <row r="4425" ht="45" customHeight="1">
      <c r="A4425" s="4" t="inlineStr">
        <is>
          <t>original:Production!N38</t>
        </is>
      </c>
      <c r="B4425" s="4" t="inlineStr">
        <is>
          <t>Production</t>
        </is>
      </c>
      <c r="C4425" s="4" t="inlineStr">
        <is>
          <t>N38</t>
        </is>
      </c>
      <c r="D4425" s="4" t="inlineStr">
        <is>
          <t>=IF(OR(F38&lt;0,G38&lt;0,H38&lt;0,D38&lt;0,D38&gt;1),"Invalid input",IF(F38&gt;E38,"Above capacity",IF(J38&lt;0,"Not enough stock","Within modelled capacity")))</t>
        </is>
      </c>
      <c r="E4425" s="4" t="inlineStr">
        <is>
          <t>Within modelled capacity</t>
        </is>
      </c>
      <c r="F4425" s="4" t="inlineStr">
        <is>
          <t>GOC Bed Unit-Costing Model v2 — working original.xlsx</t>
        </is>
      </c>
    </row>
    <row r="4426" ht="40" customHeight="1">
      <c r="A4426" s="4" t="inlineStr">
        <is>
          <t>original:Production!A39</t>
        </is>
      </c>
      <c r="B4426" s="4" t="inlineStr">
        <is>
          <t>Production</t>
        </is>
      </c>
      <c r="C4426" s="4" t="inlineStr">
        <is>
          <t>A39</t>
        </is>
      </c>
      <c r="D4426" s="4" t="n">
        <v>12</v>
      </c>
      <c r="E4426" s="4" t="n">
        <v>12</v>
      </c>
      <c r="F4426" s="4" t="inlineStr">
        <is>
          <t>GOC Bed Unit-Costing Model v2 — working original.xlsx</t>
        </is>
      </c>
    </row>
    <row r="4427" ht="40" customHeight="1">
      <c r="A4427" s="4" t="inlineStr">
        <is>
          <t>original:Production!B39</t>
        </is>
      </c>
      <c r="B4427" s="4" t="inlineStr">
        <is>
          <t>Production</t>
        </is>
      </c>
      <c r="C4427" s="4" t="inlineStr">
        <is>
          <t>B39</t>
        </is>
      </c>
      <c r="D4427" s="4" t="inlineStr">
        <is>
          <t>WITTA</t>
        </is>
      </c>
      <c r="E4427" s="4" t="inlineStr">
        <is>
          <t>WITTA</t>
        </is>
      </c>
      <c r="F4427" s="4" t="inlineStr">
        <is>
          <t>GOC Bed Unit-Costing Model v2 — working original.xlsx</t>
        </is>
      </c>
    </row>
    <row r="4428" ht="40" customHeight="1">
      <c r="A4428" s="4" t="inlineStr">
        <is>
          <t>original:Production!C39</t>
        </is>
      </c>
      <c r="B4428" s="4" t="inlineStr">
        <is>
          <t>Production</t>
        </is>
      </c>
      <c r="C4428" s="4" t="inlineStr">
        <is>
          <t>C39</t>
        </is>
      </c>
      <c r="D4428" s="4" t="inlineStr">
        <is>
          <t>=Sites!G6</t>
        </is>
      </c>
      <c r="E4428" s="4" t="n">
        <v>10</v>
      </c>
      <c r="F4428" s="4" t="inlineStr">
        <is>
          <t>GOC Bed Unit-Costing Model v2 — working original.xlsx</t>
        </is>
      </c>
    </row>
    <row r="4429" ht="40" customHeight="1">
      <c r="A4429" s="4" t="inlineStr">
        <is>
          <t>original:Production!D39</t>
        </is>
      </c>
      <c r="B4429" s="4" t="inlineStr">
        <is>
          <t>Production</t>
        </is>
      </c>
      <c r="C4429" s="4" t="inlineStr">
        <is>
          <t>D39</t>
        </is>
      </c>
      <c r="D4429" s="4" t="n">
        <v>1</v>
      </c>
      <c r="E4429" s="4" t="n">
        <v>1</v>
      </c>
      <c r="F4429" s="4" t="inlineStr">
        <is>
          <t>GOC Bed Unit-Costing Model v2 — working original.xlsx</t>
        </is>
      </c>
    </row>
    <row r="4430" ht="40" customHeight="1">
      <c r="A4430" s="4" t="inlineStr">
        <is>
          <t>original:Production!E39</t>
        </is>
      </c>
      <c r="B4430" s="4" t="inlineStr">
        <is>
          <t>Production</t>
        </is>
      </c>
      <c r="C4430" s="4" t="inlineStr">
        <is>
          <t>E39</t>
        </is>
      </c>
      <c r="D4430" s="4" t="inlineStr">
        <is>
          <t>=IF(A39&lt;Sites!F6,0,ROUNDDOWN(C39*D39*Sites!H6,0))</t>
        </is>
      </c>
      <c r="E4430" s="4" t="n">
        <v>40</v>
      </c>
      <c r="F4430" s="4" t="inlineStr">
        <is>
          <t>GOC Bed Unit-Costing Model v2 — working original.xlsx</t>
        </is>
      </c>
    </row>
    <row r="4431" ht="40" customHeight="1">
      <c r="A4431" s="4" t="inlineStr">
        <is>
          <t>original:Production!F39</t>
        </is>
      </c>
      <c r="B4431" s="4" t="inlineStr">
        <is>
          <t>Production</t>
        </is>
      </c>
      <c r="C4431" s="4" t="inlineStr">
        <is>
          <t>F39</t>
        </is>
      </c>
      <c r="D4431" s="4" t="n">
        <v>20</v>
      </c>
      <c r="E4431" s="4" t="n">
        <v>20</v>
      </c>
      <c r="F4431" s="4" t="inlineStr">
        <is>
          <t>GOC Bed Unit-Costing Model v2 — working original.xlsx</t>
        </is>
      </c>
    </row>
    <row r="4432" ht="40" customHeight="1">
      <c r="A4432" s="4" t="inlineStr">
        <is>
          <t>original:Production!G39</t>
        </is>
      </c>
      <c r="B4432" s="4" t="inlineStr">
        <is>
          <t>Production</t>
        </is>
      </c>
      <c r="C4432" s="4" t="inlineStr">
        <is>
          <t>G39</t>
        </is>
      </c>
      <c r="D4432" s="4" t="n">
        <v>20</v>
      </c>
      <c r="E4432" s="4" t="n">
        <v>20</v>
      </c>
      <c r="F4432" s="4" t="inlineStr">
        <is>
          <t>GOC Bed Unit-Costing Model v2 — working original.xlsx</t>
        </is>
      </c>
    </row>
    <row r="4433" ht="40" customHeight="1">
      <c r="A4433" s="4" t="inlineStr">
        <is>
          <t>original:Production!H39</t>
        </is>
      </c>
      <c r="B4433" s="4" t="inlineStr">
        <is>
          <t>Production</t>
        </is>
      </c>
      <c r="C4433" s="4" t="inlineStr">
        <is>
          <t>H39</t>
        </is>
      </c>
      <c r="D4433" s="4" t="n">
        <v>0</v>
      </c>
      <c r="E4433" s="4" t="n">
        <v>0</v>
      </c>
      <c r="F4433" s="4" t="inlineStr">
        <is>
          <t>GOC Bed Unit-Costing Model v2 — working original.xlsx</t>
        </is>
      </c>
    </row>
    <row r="4434" ht="40" customHeight="1">
      <c r="A4434" s="4" t="inlineStr">
        <is>
          <t>original:Production!I39</t>
        </is>
      </c>
      <c r="B4434" s="4" t="inlineStr">
        <is>
          <t>Production</t>
        </is>
      </c>
      <c r="C4434" s="4" t="inlineStr">
        <is>
          <t>I39</t>
        </is>
      </c>
      <c r="D4434" s="4" t="inlineStr">
        <is>
          <t>=J36</t>
        </is>
      </c>
      <c r="E4434" s="4" t="n">
        <v>0</v>
      </c>
      <c r="F4434" s="4" t="inlineStr">
        <is>
          <t>GOC Bed Unit-Costing Model v2 — working original.xlsx</t>
        </is>
      </c>
    </row>
    <row r="4435" ht="40" customHeight="1">
      <c r="A4435" s="4" t="inlineStr">
        <is>
          <t>original:Production!J39</t>
        </is>
      </c>
      <c r="B4435" s="4" t="inlineStr">
        <is>
          <t>Production</t>
        </is>
      </c>
      <c r="C4435" s="4" t="inlineStr">
        <is>
          <t>J39</t>
        </is>
      </c>
      <c r="D4435" s="4" t="inlineStr">
        <is>
          <t>=I39+F39-G39-H39</t>
        </is>
      </c>
      <c r="E4435" s="4" t="n">
        <v>0</v>
      </c>
      <c r="F4435" s="4" t="inlineStr">
        <is>
          <t>GOC Bed Unit-Costing Model v2 — working original.xlsx</t>
        </is>
      </c>
    </row>
    <row r="4436" ht="40" customHeight="1">
      <c r="A4436" s="4" t="inlineStr">
        <is>
          <t>original:Production!K39</t>
        </is>
      </c>
      <c r="B4436" s="4" t="inlineStr">
        <is>
          <t>Production</t>
        </is>
      </c>
      <c r="C4436" s="4" t="inlineStr">
        <is>
          <t>K39</t>
        </is>
      </c>
      <c r="D4436" s="4" t="inlineStr">
        <is>
          <t>=IF(ISNUMBER('Unit costs'!C13),F39*'Unit costs'!C13,"")</t>
        </is>
      </c>
      <c r="E4436" s="4" t="n">
        <v>5914.8</v>
      </c>
      <c r="F4436" s="4" t="inlineStr">
        <is>
          <t>GOC Bed Unit-Costing Model v2 — working original.xlsx</t>
        </is>
      </c>
    </row>
    <row r="4437" ht="40" customHeight="1">
      <c r="A4437" s="4" t="inlineStr">
        <is>
          <t>original:Production!L39</t>
        </is>
      </c>
      <c r="B4437" s="4" t="inlineStr">
        <is>
          <t>Production</t>
        </is>
      </c>
      <c r="C4437" s="4" t="inlineStr">
        <is>
          <t>L39</t>
        </is>
      </c>
      <c r="D4437" s="4" t="inlineStr">
        <is>
          <t>=IF(ISNUMBER('Unit costs'!C12),(G39+H39)*'Unit costs'!C12,"")</t>
        </is>
      </c>
      <c r="E4437" s="4" t="n">
        <v>3000</v>
      </c>
      <c r="F4437" s="4" t="inlineStr">
        <is>
          <t>GOC Bed Unit-Costing Model v2 — working original.xlsx</t>
        </is>
      </c>
    </row>
    <row r="4438" ht="40" customHeight="1">
      <c r="A4438" s="4" t="inlineStr">
        <is>
          <t>original:Production!M39</t>
        </is>
      </c>
      <c r="B4438" s="4" t="inlineStr">
        <is>
          <t>Production</t>
        </is>
      </c>
      <c r="C4438" s="4" t="inlineStr">
        <is>
          <t>M39</t>
        </is>
      </c>
      <c r="D4438" s="4" t="inlineStr">
        <is>
          <t>=H39*Overview!$B$8</t>
        </is>
      </c>
      <c r="E4438" s="4" t="n">
        <v>0</v>
      </c>
      <c r="F4438" s="4" t="inlineStr">
        <is>
          <t>GOC Bed Unit-Costing Model v2 — working original.xlsx</t>
        </is>
      </c>
    </row>
    <row r="4439" ht="45" customHeight="1">
      <c r="A4439" s="4" t="inlineStr">
        <is>
          <t>original:Production!N39</t>
        </is>
      </c>
      <c r="B4439" s="4" t="inlineStr">
        <is>
          <t>Production</t>
        </is>
      </c>
      <c r="C4439" s="4" t="inlineStr">
        <is>
          <t>N39</t>
        </is>
      </c>
      <c r="D4439" s="4" t="inlineStr">
        <is>
          <t>=IF(OR(F39&lt;0,G39&lt;0,H39&lt;0,D39&lt;0,D39&gt;1),"Invalid input",IF(F39&gt;E39,"Above capacity",IF(J39&lt;0,"Not enough stock","Within modelled capacity")))</t>
        </is>
      </c>
      <c r="E4439" s="4" t="inlineStr">
        <is>
          <t>Within modelled capacity</t>
        </is>
      </c>
      <c r="F4439" s="4" t="inlineStr">
        <is>
          <t>GOC Bed Unit-Costing Model v2 — working original.xlsx</t>
        </is>
      </c>
    </row>
    <row r="4440" ht="40" customHeight="1">
      <c r="A4440" s="4" t="inlineStr">
        <is>
          <t>original:Production!A40</t>
        </is>
      </c>
      <c r="B4440" s="4" t="inlineStr">
        <is>
          <t>Production</t>
        </is>
      </c>
      <c r="C4440" s="4" t="inlineStr">
        <is>
          <t>A40</t>
        </is>
      </c>
      <c r="D4440" s="4" t="n">
        <v>12</v>
      </c>
      <c r="E4440" s="4" t="n">
        <v>12</v>
      </c>
      <c r="F4440" s="4" t="inlineStr">
        <is>
          <t>GOC Bed Unit-Costing Model v2 — working original.xlsx</t>
        </is>
      </c>
    </row>
    <row r="4441" ht="40" customHeight="1">
      <c r="A4441" s="4" t="inlineStr">
        <is>
          <t>original:Production!B40</t>
        </is>
      </c>
      <c r="B4441" s="4" t="inlineStr">
        <is>
          <t>Production</t>
        </is>
      </c>
      <c r="C4441" s="4" t="inlineStr">
        <is>
          <t>B40</t>
        </is>
      </c>
      <c r="D4441" s="4" t="inlineStr">
        <is>
          <t>NEW1</t>
        </is>
      </c>
      <c r="E4441" s="4" t="inlineStr">
        <is>
          <t>NEW1</t>
        </is>
      </c>
      <c r="F4441" s="4" t="inlineStr">
        <is>
          <t>GOC Bed Unit-Costing Model v2 — working original.xlsx</t>
        </is>
      </c>
    </row>
    <row r="4442" ht="40" customHeight="1">
      <c r="A4442" s="4" t="inlineStr">
        <is>
          <t>original:Production!C40</t>
        </is>
      </c>
      <c r="B4442" s="4" t="inlineStr">
        <is>
          <t>Production</t>
        </is>
      </c>
      <c r="C4442" s="4" t="inlineStr">
        <is>
          <t>C40</t>
        </is>
      </c>
      <c r="D4442" s="4" t="inlineStr">
        <is>
          <t>=Sites!G7</t>
        </is>
      </c>
      <c r="E4442" s="4" t="n">
        <v>10</v>
      </c>
      <c r="F4442" s="4" t="inlineStr">
        <is>
          <t>GOC Bed Unit-Costing Model v2 — working original.xlsx</t>
        </is>
      </c>
    </row>
    <row r="4443" ht="40" customHeight="1">
      <c r="A4443" s="4" t="inlineStr">
        <is>
          <t>original:Production!D40</t>
        </is>
      </c>
      <c r="B4443" s="4" t="inlineStr">
        <is>
          <t>Production</t>
        </is>
      </c>
      <c r="C4443" s="4" t="inlineStr">
        <is>
          <t>D40</t>
        </is>
      </c>
      <c r="D4443" s="4" t="n">
        <v>1</v>
      </c>
      <c r="E4443" s="4" t="n">
        <v>1</v>
      </c>
      <c r="F4443" s="4" t="inlineStr">
        <is>
          <t>GOC Bed Unit-Costing Model v2 — working original.xlsx</t>
        </is>
      </c>
    </row>
    <row r="4444" ht="40" customHeight="1">
      <c r="A4444" s="4" t="inlineStr">
        <is>
          <t>original:Production!E40</t>
        </is>
      </c>
      <c r="B4444" s="4" t="inlineStr">
        <is>
          <t>Production</t>
        </is>
      </c>
      <c r="C4444" s="4" t="inlineStr">
        <is>
          <t>E40</t>
        </is>
      </c>
      <c r="D4444" s="4" t="inlineStr">
        <is>
          <t>=IF(A40&lt;Sites!F7,0,ROUNDDOWN(C40*D40*Sites!H7,0))</t>
        </is>
      </c>
      <c r="E4444" s="4" t="n">
        <v>40</v>
      </c>
      <c r="F4444" s="4" t="inlineStr">
        <is>
          <t>GOC Bed Unit-Costing Model v2 — working original.xlsx</t>
        </is>
      </c>
    </row>
    <row r="4445" ht="40" customHeight="1">
      <c r="A4445" s="4" t="inlineStr">
        <is>
          <t>original:Production!F40</t>
        </is>
      </c>
      <c r="B4445" s="4" t="inlineStr">
        <is>
          <t>Production</t>
        </is>
      </c>
      <c r="C4445" s="4" t="inlineStr">
        <is>
          <t>F40</t>
        </is>
      </c>
      <c r="D4445" s="4" t="n">
        <v>10</v>
      </c>
      <c r="E4445" s="4" t="n">
        <v>10</v>
      </c>
      <c r="F4445" s="4" t="inlineStr">
        <is>
          <t>GOC Bed Unit-Costing Model v2 — working original.xlsx</t>
        </is>
      </c>
    </row>
    <row r="4446" ht="40" customHeight="1">
      <c r="A4446" s="4" t="inlineStr">
        <is>
          <t>original:Production!G40</t>
        </is>
      </c>
      <c r="B4446" s="4" t="inlineStr">
        <is>
          <t>Production</t>
        </is>
      </c>
      <c r="C4446" s="4" t="inlineStr">
        <is>
          <t>G40</t>
        </is>
      </c>
      <c r="D4446" s="4" t="n">
        <v>10</v>
      </c>
      <c r="E4446" s="4" t="n">
        <v>10</v>
      </c>
      <c r="F4446" s="4" t="inlineStr">
        <is>
          <t>GOC Bed Unit-Costing Model v2 — working original.xlsx</t>
        </is>
      </c>
    </row>
    <row r="4447" ht="40" customHeight="1">
      <c r="A4447" s="4" t="inlineStr">
        <is>
          <t>original:Production!H40</t>
        </is>
      </c>
      <c r="B4447" s="4" t="inlineStr">
        <is>
          <t>Production</t>
        </is>
      </c>
      <c r="C4447" s="4" t="inlineStr">
        <is>
          <t>H40</t>
        </is>
      </c>
      <c r="D4447" s="4" t="n">
        <v>0</v>
      </c>
      <c r="E4447" s="4" t="n">
        <v>0</v>
      </c>
      <c r="F4447" s="4" t="inlineStr">
        <is>
          <t>GOC Bed Unit-Costing Model v2 — working original.xlsx</t>
        </is>
      </c>
    </row>
    <row r="4448" ht="40" customHeight="1">
      <c r="A4448" s="4" t="inlineStr">
        <is>
          <t>original:Production!I40</t>
        </is>
      </c>
      <c r="B4448" s="4" t="inlineStr">
        <is>
          <t>Production</t>
        </is>
      </c>
      <c r="C4448" s="4" t="inlineStr">
        <is>
          <t>I40</t>
        </is>
      </c>
      <c r="D4448" s="4" t="inlineStr">
        <is>
          <t>=J37</t>
        </is>
      </c>
      <c r="E4448" s="4" t="n">
        <v>0</v>
      </c>
      <c r="F4448" s="4" t="inlineStr">
        <is>
          <t>GOC Bed Unit-Costing Model v2 — working original.xlsx</t>
        </is>
      </c>
    </row>
    <row r="4449" ht="40" customHeight="1">
      <c r="A4449" s="4" t="inlineStr">
        <is>
          <t>original:Production!J40</t>
        </is>
      </c>
      <c r="B4449" s="4" t="inlineStr">
        <is>
          <t>Production</t>
        </is>
      </c>
      <c r="C4449" s="4" t="inlineStr">
        <is>
          <t>J40</t>
        </is>
      </c>
      <c r="D4449" s="4" t="inlineStr">
        <is>
          <t>=I40+F40-G40-H40</t>
        </is>
      </c>
      <c r="E4449" s="4" t="n">
        <v>0</v>
      </c>
      <c r="F4449" s="4" t="inlineStr">
        <is>
          <t>GOC Bed Unit-Costing Model v2 — working original.xlsx</t>
        </is>
      </c>
    </row>
    <row r="4450" ht="40" customHeight="1">
      <c r="A4450" s="4" t="inlineStr">
        <is>
          <t>original:Production!K40</t>
        </is>
      </c>
      <c r="B4450" s="4" t="inlineStr">
        <is>
          <t>Production</t>
        </is>
      </c>
      <c r="C4450" s="4" t="inlineStr">
        <is>
          <t>K40</t>
        </is>
      </c>
      <c r="D4450" s="4" t="inlineStr">
        <is>
          <t>=IF(ISNUMBER('Unit costs'!D13),F40*'Unit costs'!D13,"")</t>
        </is>
      </c>
      <c r="E4450" s="4" t="n">
        <v>2707.4</v>
      </c>
      <c r="F4450" s="4" t="inlineStr">
        <is>
          <t>GOC Bed Unit-Costing Model v2 — working original.xlsx</t>
        </is>
      </c>
    </row>
    <row r="4451" ht="40" customHeight="1">
      <c r="A4451" s="4" t="inlineStr">
        <is>
          <t>original:Production!L40</t>
        </is>
      </c>
      <c r="B4451" s="4" t="inlineStr">
        <is>
          <t>Production</t>
        </is>
      </c>
      <c r="C4451" s="4" t="inlineStr">
        <is>
          <t>L40</t>
        </is>
      </c>
      <c r="D4451" s="4" t="inlineStr">
        <is>
          <t>=IF(ISNUMBER('Unit costs'!D12),(G40+H40)*'Unit costs'!D12,"")</t>
        </is>
      </c>
      <c r="E4451" s="4" t="n">
        <v>1500</v>
      </c>
      <c r="F4451" s="4" t="inlineStr">
        <is>
          <t>GOC Bed Unit-Costing Model v2 — working original.xlsx</t>
        </is>
      </c>
    </row>
    <row r="4452" ht="40" customHeight="1">
      <c r="A4452" s="4" t="inlineStr">
        <is>
          <t>original:Production!M40</t>
        </is>
      </c>
      <c r="B4452" s="4" t="inlineStr">
        <is>
          <t>Production</t>
        </is>
      </c>
      <c r="C4452" s="4" t="inlineStr">
        <is>
          <t>M40</t>
        </is>
      </c>
      <c r="D4452" s="4" t="inlineStr">
        <is>
          <t>=H40*Overview!$B$8</t>
        </is>
      </c>
      <c r="E4452" s="4" t="n">
        <v>0</v>
      </c>
      <c r="F4452" s="4" t="inlineStr">
        <is>
          <t>GOC Bed Unit-Costing Model v2 — working original.xlsx</t>
        </is>
      </c>
    </row>
    <row r="4453" ht="45" customHeight="1">
      <c r="A4453" s="4" t="inlineStr">
        <is>
          <t>original:Production!N40</t>
        </is>
      </c>
      <c r="B4453" s="4" t="inlineStr">
        <is>
          <t>Production</t>
        </is>
      </c>
      <c r="C4453" s="4" t="inlineStr">
        <is>
          <t>N40</t>
        </is>
      </c>
      <c r="D4453" s="4" t="inlineStr">
        <is>
          <t>=IF(OR(F40&lt;0,G40&lt;0,H40&lt;0,D40&lt;0,D40&gt;1),"Invalid input",IF(F40&gt;E40,"Above capacity",IF(J40&lt;0,"Not enough stock","Within modelled capacity")))</t>
        </is>
      </c>
      <c r="E4453" s="4" t="inlineStr">
        <is>
          <t>Within modelled capacity</t>
        </is>
      </c>
      <c r="F4453" s="4" t="inlineStr">
        <is>
          <t>GOC Bed Unit-Costing Model v2 — working original.xlsx</t>
        </is>
      </c>
    </row>
    <row r="4454" ht="40" customHeight="1">
      <c r="A4454" s="4" t="inlineStr">
        <is>
          <t>original:Production!A41</t>
        </is>
      </c>
      <c r="B4454" s="4" t="inlineStr">
        <is>
          <t>Production</t>
        </is>
      </c>
      <c r="C4454" s="4" t="inlineStr">
        <is>
          <t>A41</t>
        </is>
      </c>
      <c r="D4454" s="4" t="n">
        <v>12</v>
      </c>
      <c r="E4454" s="4" t="n">
        <v>12</v>
      </c>
      <c r="F4454" s="4" t="inlineStr">
        <is>
          <t>GOC Bed Unit-Costing Model v2 — working original.xlsx</t>
        </is>
      </c>
    </row>
    <row r="4455" ht="40" customHeight="1">
      <c r="A4455" s="4" t="inlineStr">
        <is>
          <t>original:Production!B41</t>
        </is>
      </c>
      <c r="B4455" s="4" t="inlineStr">
        <is>
          <t>Production</t>
        </is>
      </c>
      <c r="C4455" s="4" t="inlineStr">
        <is>
          <t>B41</t>
        </is>
      </c>
      <c r="D4455" s="4" t="inlineStr">
        <is>
          <t>NEW2</t>
        </is>
      </c>
      <c r="E4455" s="4" t="inlineStr">
        <is>
          <t>NEW2</t>
        </is>
      </c>
      <c r="F4455" s="4" t="inlineStr">
        <is>
          <t>GOC Bed Unit-Costing Model v2 — working original.xlsx</t>
        </is>
      </c>
    </row>
    <row r="4456" ht="40" customHeight="1">
      <c r="A4456" s="4" t="inlineStr">
        <is>
          <t>original:Production!C41</t>
        </is>
      </c>
      <c r="B4456" s="4" t="inlineStr">
        <is>
          <t>Production</t>
        </is>
      </c>
      <c r="C4456" s="4" t="inlineStr">
        <is>
          <t>C41</t>
        </is>
      </c>
      <c r="D4456" s="4" t="inlineStr">
        <is>
          <t>=Sites!G8</t>
        </is>
      </c>
      <c r="E4456" s="4" t="n">
        <v>10</v>
      </c>
      <c r="F4456" s="4" t="inlineStr">
        <is>
          <t>GOC Bed Unit-Costing Model v2 — working original.xlsx</t>
        </is>
      </c>
    </row>
    <row r="4457" ht="40" customHeight="1">
      <c r="A4457" s="4" t="inlineStr">
        <is>
          <t>original:Production!D41</t>
        </is>
      </c>
      <c r="B4457" s="4" t="inlineStr">
        <is>
          <t>Production</t>
        </is>
      </c>
      <c r="C4457" s="4" t="inlineStr">
        <is>
          <t>D41</t>
        </is>
      </c>
      <c r="D4457" s="4" t="n">
        <v>1</v>
      </c>
      <c r="E4457" s="4" t="n">
        <v>1</v>
      </c>
      <c r="F4457" s="4" t="inlineStr">
        <is>
          <t>GOC Bed Unit-Costing Model v2 — working original.xlsx</t>
        </is>
      </c>
    </row>
    <row r="4458" ht="40" customHeight="1">
      <c r="A4458" s="4" t="inlineStr">
        <is>
          <t>original:Production!E41</t>
        </is>
      </c>
      <c r="B4458" s="4" t="inlineStr">
        <is>
          <t>Production</t>
        </is>
      </c>
      <c r="C4458" s="4" t="inlineStr">
        <is>
          <t>E41</t>
        </is>
      </c>
      <c r="D4458" s="4" t="inlineStr">
        <is>
          <t>=IF(A41&lt;Sites!F8,0,ROUNDDOWN(C41*D41*Sites!H8,0))</t>
        </is>
      </c>
      <c r="E4458" s="4" t="n">
        <v>40</v>
      </c>
      <c r="F4458" s="4" t="inlineStr">
        <is>
          <t>GOC Bed Unit-Costing Model v2 — working original.xlsx</t>
        </is>
      </c>
    </row>
    <row r="4459" ht="40" customHeight="1">
      <c r="A4459" s="4" t="inlineStr">
        <is>
          <t>original:Production!F41</t>
        </is>
      </c>
      <c r="B4459" s="4" t="inlineStr">
        <is>
          <t>Production</t>
        </is>
      </c>
      <c r="C4459" s="4" t="inlineStr">
        <is>
          <t>F41</t>
        </is>
      </c>
      <c r="D4459" s="4" t="n">
        <v>25</v>
      </c>
      <c r="E4459" s="4" t="n">
        <v>25</v>
      </c>
      <c r="F4459" s="4" t="inlineStr">
        <is>
          <t>GOC Bed Unit-Costing Model v2 — working original.xlsx</t>
        </is>
      </c>
    </row>
    <row r="4460" ht="40" customHeight="1">
      <c r="A4460" s="4" t="inlineStr">
        <is>
          <t>original:Production!G41</t>
        </is>
      </c>
      <c r="B4460" s="4" t="inlineStr">
        <is>
          <t>Production</t>
        </is>
      </c>
      <c r="C4460" s="4" t="inlineStr">
        <is>
          <t>G41</t>
        </is>
      </c>
      <c r="D4460" s="4" t="n">
        <v>25</v>
      </c>
      <c r="E4460" s="4" t="n">
        <v>25</v>
      </c>
      <c r="F4460" s="4" t="inlineStr">
        <is>
          <t>GOC Bed Unit-Costing Model v2 — working original.xlsx</t>
        </is>
      </c>
    </row>
    <row r="4461" ht="40" customHeight="1">
      <c r="A4461" s="4" t="inlineStr">
        <is>
          <t>original:Production!H41</t>
        </is>
      </c>
      <c r="B4461" s="4" t="inlineStr">
        <is>
          <t>Production</t>
        </is>
      </c>
      <c r="C4461" s="4" t="inlineStr">
        <is>
          <t>H41</t>
        </is>
      </c>
      <c r="D4461" s="4" t="n">
        <v>0</v>
      </c>
      <c r="E4461" s="4" t="n">
        <v>0</v>
      </c>
      <c r="F4461" s="4" t="inlineStr">
        <is>
          <t>GOC Bed Unit-Costing Model v2 — working original.xlsx</t>
        </is>
      </c>
    </row>
    <row r="4462" ht="40" customHeight="1">
      <c r="A4462" s="4" t="inlineStr">
        <is>
          <t>original:Production!I41</t>
        </is>
      </c>
      <c r="B4462" s="4" t="inlineStr">
        <is>
          <t>Production</t>
        </is>
      </c>
      <c r="C4462" s="4" t="inlineStr">
        <is>
          <t>I41</t>
        </is>
      </c>
      <c r="D4462" s="4" t="inlineStr">
        <is>
          <t>=J38</t>
        </is>
      </c>
      <c r="E4462" s="4" t="n">
        <v>0</v>
      </c>
      <c r="F4462" s="4" t="inlineStr">
        <is>
          <t>GOC Bed Unit-Costing Model v2 — working original.xlsx</t>
        </is>
      </c>
    </row>
    <row r="4463" ht="40" customHeight="1">
      <c r="A4463" s="4" t="inlineStr">
        <is>
          <t>original:Production!J41</t>
        </is>
      </c>
      <c r="B4463" s="4" t="inlineStr">
        <is>
          <t>Production</t>
        </is>
      </c>
      <c r="C4463" s="4" t="inlineStr">
        <is>
          <t>J41</t>
        </is>
      </c>
      <c r="D4463" s="4" t="inlineStr">
        <is>
          <t>=I41+F41-G41-H41</t>
        </is>
      </c>
      <c r="E4463" s="4" t="n">
        <v>0</v>
      </c>
      <c r="F4463" s="4" t="inlineStr">
        <is>
          <t>GOC Bed Unit-Costing Model v2 — working original.xlsx</t>
        </is>
      </c>
    </row>
    <row r="4464" ht="40" customHeight="1">
      <c r="A4464" s="4" t="inlineStr">
        <is>
          <t>original:Production!K41</t>
        </is>
      </c>
      <c r="B4464" s="4" t="inlineStr">
        <is>
          <t>Production</t>
        </is>
      </c>
      <c r="C4464" s="4" t="inlineStr">
        <is>
          <t>K41</t>
        </is>
      </c>
      <c r="D4464" s="4" t="inlineStr">
        <is>
          <t>=IF(ISNUMBER('Unit costs'!E13),F41*'Unit costs'!E13,"")</t>
        </is>
      </c>
      <c r="E4464" s="4" t="n">
        <v>6768.5</v>
      </c>
      <c r="F4464" s="4" t="inlineStr">
        <is>
          <t>GOC Bed Unit-Costing Model v2 — working original.xlsx</t>
        </is>
      </c>
    </row>
    <row r="4465" ht="40" customHeight="1">
      <c r="A4465" s="4" t="inlineStr">
        <is>
          <t>original:Production!L41</t>
        </is>
      </c>
      <c r="B4465" s="4" t="inlineStr">
        <is>
          <t>Production</t>
        </is>
      </c>
      <c r="C4465" s="4" t="inlineStr">
        <is>
          <t>L41</t>
        </is>
      </c>
      <c r="D4465" s="4" t="inlineStr">
        <is>
          <t>=IF(ISNUMBER('Unit costs'!E12),(G41+H41)*'Unit costs'!E12,"")</t>
        </is>
      </c>
      <c r="E4465" s="4" t="n">
        <v>3750</v>
      </c>
      <c r="F4465" s="4" t="inlineStr">
        <is>
          <t>GOC Bed Unit-Costing Model v2 — working original.xlsx</t>
        </is>
      </c>
    </row>
    <row r="4466" ht="40" customHeight="1">
      <c r="A4466" s="4" t="inlineStr">
        <is>
          <t>original:Production!M41</t>
        </is>
      </c>
      <c r="B4466" s="4" t="inlineStr">
        <is>
          <t>Production</t>
        </is>
      </c>
      <c r="C4466" s="4" t="inlineStr">
        <is>
          <t>M41</t>
        </is>
      </c>
      <c r="D4466" s="4" t="inlineStr">
        <is>
          <t>=H41*Overview!$B$8</t>
        </is>
      </c>
      <c r="E4466" s="4" t="n">
        <v>0</v>
      </c>
      <c r="F4466" s="4" t="inlineStr">
        <is>
          <t>GOC Bed Unit-Costing Model v2 — working original.xlsx</t>
        </is>
      </c>
    </row>
    <row r="4467" ht="45" customHeight="1">
      <c r="A4467" s="4" t="inlineStr">
        <is>
          <t>original:Production!N41</t>
        </is>
      </c>
      <c r="B4467" s="4" t="inlineStr">
        <is>
          <t>Production</t>
        </is>
      </c>
      <c r="C4467" s="4" t="inlineStr">
        <is>
          <t>N41</t>
        </is>
      </c>
      <c r="D4467" s="4" t="inlineStr">
        <is>
          <t>=IF(OR(F41&lt;0,G41&lt;0,H41&lt;0,D41&lt;0,D41&gt;1),"Invalid input",IF(F41&gt;E41,"Above capacity",IF(J41&lt;0,"Not enough stock","Within modelled capacity")))</t>
        </is>
      </c>
      <c r="E4467" s="4" t="inlineStr">
        <is>
          <t>Within modelled capacity</t>
        </is>
      </c>
      <c r="F4467" s="4" t="inlineStr">
        <is>
          <t>GOC Bed Unit-Costing Model v2 — working original.xlsx</t>
        </is>
      </c>
    </row>
    <row r="4468" ht="105" customHeight="1">
      <c r="A4468" s="4" t="inlineStr">
        <is>
          <t>original:Production!A44</t>
        </is>
      </c>
      <c r="B4468" s="4" t="inlineStr">
        <is>
          <t>Production</t>
        </is>
      </c>
      <c r="C4468" s="4" t="inlineStr">
        <is>
          <t>A44</t>
        </is>
      </c>
      <c r="D4468" s="4" t="inlineStr">
        <is>
          <t>Keep the first 50 measured beds inside the grant-delivery total. Replace capacity assumptions with accepted units, paid hours and rejects from that run.</t>
        </is>
      </c>
      <c r="E4468" s="4" t="inlineStr">
        <is>
          <t>Keep the first 50 measured beds inside the grant-delivery total. Replace capacity assumptions with accepted units, paid hours and rejects from that run.</t>
        </is>
      </c>
      <c r="F4468" s="4" t="inlineStr">
        <is>
          <t>GOC Bed Unit-Costing Model v2 — working original.xlsx</t>
        </is>
      </c>
    </row>
    <row r="4469" ht="105" customHeight="1">
      <c r="A4469" s="4" t="inlineStr">
        <is>
          <t>original:Production!A46</t>
        </is>
      </c>
      <c r="B4469" s="4" t="inlineStr">
        <is>
          <t>Production</t>
        </is>
      </c>
      <c r="C4469" s="4" t="inlineStr">
        <is>
          <t>A46</t>
        </is>
      </c>
      <c r="D4469" s="4" t="inlineStr">
        <is>
          <t>Buyer deliveries are zero until you choose a sales scenario. Enter the corresponding order and reduce grant deliveries to avoid allocating the same bed twice.</t>
        </is>
      </c>
      <c r="E4469" s="4" t="inlineStr">
        <is>
          <t>Buyer deliveries are zero until you choose a sales scenario. Enter the corresponding order and reduce grant deliveries to avoid allocating the same bed twice.</t>
        </is>
      </c>
      <c r="F4469" s="4" t="inlineStr">
        <is>
          <t>GOC Bed Unit-Costing Model v2 — working original.xlsx</t>
        </is>
      </c>
    </row>
    <row r="4470" ht="40" customHeight="1">
      <c r="A4470" s="4" t="inlineStr">
        <is>
          <t>original:Cash flow!A1</t>
        </is>
      </c>
      <c r="B4470" s="4" t="inlineStr">
        <is>
          <t>Cash flow</t>
        </is>
      </c>
      <c r="C4470" s="4" t="inlineStr">
        <is>
          <t>A1</t>
        </is>
      </c>
      <c r="D4470" s="4" t="inlineStr">
        <is>
          <t>Monthly cash requirement</t>
        </is>
      </c>
      <c r="E4470" s="4" t="inlineStr">
        <is>
          <t>Monthly cash requirement</t>
        </is>
      </c>
      <c r="F4470" s="4" t="inlineStr">
        <is>
          <t>GOC Bed Unit-Costing Model v2 — working original.xlsx</t>
        </is>
      </c>
    </row>
    <row r="4471" ht="90" customHeight="1">
      <c r="A4471" s="4" t="inlineStr">
        <is>
          <t>original:Cash flow!A3</t>
        </is>
      </c>
      <c r="B4471" s="4" t="inlineStr">
        <is>
          <t>Cash flow</t>
        </is>
      </c>
      <c r="C4471" s="4" t="inlineStr">
        <is>
          <t>A3</t>
        </is>
      </c>
      <c r="D4471" s="4" t="inlineStr">
        <is>
          <t>Illustrative incremental phase cash, ex GST, priced costs only. Not a bank forecast or permission to spend restricted grants.</t>
        </is>
      </c>
      <c r="E4471" s="4" t="inlineStr">
        <is>
          <t>Illustrative incremental phase cash, ex GST, priced costs only. Not a bank forecast or permission to spend restricted grants.</t>
        </is>
      </c>
      <c r="F4471" s="4" t="inlineStr">
        <is>
          <t>GOC Bed Unit-Costing Model v2 — working original.xlsx</t>
        </is>
      </c>
    </row>
    <row r="4472" ht="40" customHeight="1">
      <c r="A4472" s="4" t="inlineStr">
        <is>
          <t>original:Cash flow!A5</t>
        </is>
      </c>
      <c r="B4472" s="4" t="inlineStr">
        <is>
          <t>Cash flow</t>
        </is>
      </c>
      <c r="C4472" s="4" t="inlineStr">
        <is>
          <t>A5</t>
        </is>
      </c>
      <c r="D4472" s="4" t="inlineStr">
        <is>
          <t>Month</t>
        </is>
      </c>
      <c r="E4472" s="4" t="inlineStr">
        <is>
          <t>Month</t>
        </is>
      </c>
      <c r="F4472" s="4" t="inlineStr">
        <is>
          <t>GOC Bed Unit-Costing Model v2 — working original.xlsx</t>
        </is>
      </c>
    </row>
    <row r="4473" ht="40" customHeight="1">
      <c r="A4473" s="4" t="inlineStr">
        <is>
          <t>original:Cash flow!B5</t>
        </is>
      </c>
      <c r="B4473" s="4" t="inlineStr">
        <is>
          <t>Cash flow</t>
        </is>
      </c>
      <c r="C4473" s="4" t="inlineStr">
        <is>
          <t>B5</t>
        </is>
      </c>
      <c r="D4473" s="4" t="inlineStr">
        <is>
          <t>Period</t>
        </is>
      </c>
      <c r="E4473" s="4" t="inlineStr">
        <is>
          <t>Period</t>
        </is>
      </c>
      <c r="F4473" s="4" t="inlineStr">
        <is>
          <t>GOC Bed Unit-Costing Model v2 — working original.xlsx</t>
        </is>
      </c>
    </row>
    <row r="4474" ht="40" customHeight="1">
      <c r="A4474" s="4" t="inlineStr">
        <is>
          <t>original:Cash flow!C5</t>
        </is>
      </c>
      <c r="B4474" s="4" t="inlineStr">
        <is>
          <t>Cash flow</t>
        </is>
      </c>
      <c r="C4474" s="4" t="inlineStr">
        <is>
          <t>C5</t>
        </is>
      </c>
      <c r="D4474" s="4" t="inlineStr">
        <is>
          <t>Confirmed usable funding</t>
        </is>
      </c>
      <c r="E4474" s="4" t="inlineStr">
        <is>
          <t>Confirmed usable funding</t>
        </is>
      </c>
      <c r="F4474" s="4" t="inlineStr">
        <is>
          <t>GOC Bed Unit-Costing Model v2 — working original.xlsx</t>
        </is>
      </c>
    </row>
    <row r="4475" ht="40" customHeight="1">
      <c r="A4475" s="4" t="inlineStr">
        <is>
          <t>original:Cash flow!D5</t>
        </is>
      </c>
      <c r="B4475" s="4" t="inlineStr">
        <is>
          <t>Cash flow</t>
        </is>
      </c>
      <c r="C4475" s="4" t="inlineStr">
        <is>
          <t>D5</t>
        </is>
      </c>
      <c r="D4475" s="4" t="inlineStr">
        <is>
          <t>QBE scenario receipt</t>
        </is>
      </c>
      <c r="E4475" s="4" t="inlineStr">
        <is>
          <t>QBE scenario receipt</t>
        </is>
      </c>
      <c r="F4475" s="4" t="inlineStr">
        <is>
          <t>GOC Bed Unit-Costing Model v2 — working original.xlsx</t>
        </is>
      </c>
    </row>
    <row r="4476" ht="40" customHeight="1">
      <c r="A4476" s="4" t="inlineStr">
        <is>
          <t>original:Cash flow!E5</t>
        </is>
      </c>
      <c r="B4476" s="4" t="inlineStr">
        <is>
          <t>Cash flow</t>
        </is>
      </c>
      <c r="C4476" s="4" t="inlineStr">
        <is>
          <t>E5</t>
        </is>
      </c>
      <c r="D4476" s="4" t="inlineStr">
        <is>
          <t>TFFF scenario receipt</t>
        </is>
      </c>
      <c r="E4476" s="4" t="inlineStr">
        <is>
          <t>TFFF scenario receipt</t>
        </is>
      </c>
      <c r="F4476" s="4" t="inlineStr">
        <is>
          <t>GOC Bed Unit-Costing Model v2 — working original.xlsx</t>
        </is>
      </c>
    </row>
    <row r="4477" ht="40" customHeight="1">
      <c r="A4477" s="4" t="inlineStr">
        <is>
          <t>original:Cash flow!F5</t>
        </is>
      </c>
      <c r="B4477" s="4" t="inlineStr">
        <is>
          <t>Cash flow</t>
        </is>
      </c>
      <c r="C4477" s="4" t="inlineStr">
        <is>
          <t>F5</t>
        </is>
      </c>
      <c r="D4477" s="4" t="inlineStr">
        <is>
          <t>BMD conditional receipt</t>
        </is>
      </c>
      <c r="E4477" s="4" t="inlineStr">
        <is>
          <t>BMD conditional receipt</t>
        </is>
      </c>
      <c r="F4477" s="4" t="inlineStr">
        <is>
          <t>GOC Bed Unit-Costing Model v2 — working original.xlsx</t>
        </is>
      </c>
    </row>
    <row r="4478" ht="40" customHeight="1">
      <c r="A4478" s="4" t="inlineStr">
        <is>
          <t>original:Cash flow!G5</t>
        </is>
      </c>
      <c r="B4478" s="4" t="inlineStr">
        <is>
          <t>Cash flow</t>
        </is>
      </c>
      <c r="C4478" s="4" t="inlineStr">
        <is>
          <t>G5</t>
        </is>
      </c>
      <c r="D4478" s="4" t="inlineStr">
        <is>
          <t>Buyer cash</t>
        </is>
      </c>
      <c r="E4478" s="4" t="inlineStr">
        <is>
          <t>Buyer cash</t>
        </is>
      </c>
      <c r="F4478" s="4" t="inlineStr">
        <is>
          <t>GOC Bed Unit-Costing Model v2 — working original.xlsx</t>
        </is>
      </c>
    </row>
    <row r="4479" ht="40" customHeight="1">
      <c r="A4479" s="4" t="inlineStr">
        <is>
          <t>original:Cash flow!H5</t>
        </is>
      </c>
      <c r="B4479" s="4" t="inlineStr">
        <is>
          <t>Cash flow</t>
        </is>
      </c>
      <c r="C4479" s="4" t="inlineStr">
        <is>
          <t>H5</t>
        </is>
      </c>
      <c r="D4479" s="4" t="inlineStr">
        <is>
          <t>Capital paid</t>
        </is>
      </c>
      <c r="E4479" s="4" t="inlineStr">
        <is>
          <t>Capital paid</t>
        </is>
      </c>
      <c r="F4479" s="4" t="inlineStr">
        <is>
          <t>GOC Bed Unit-Costing Model v2 — working original.xlsx</t>
        </is>
      </c>
    </row>
    <row r="4480" ht="40" customHeight="1">
      <c r="A4480" s="4" t="inlineStr">
        <is>
          <t>original:Cash flow!I5</t>
        </is>
      </c>
      <c r="B4480" s="4" t="inlineStr">
        <is>
          <t>Cash flow</t>
        </is>
      </c>
      <c r="C4480" s="4" t="inlineStr">
        <is>
          <t>I5</t>
        </is>
      </c>
      <c r="D4480" s="4" t="inlineStr">
        <is>
          <t>Bed making + delivery</t>
        </is>
      </c>
      <c r="E4480" s="4" t="inlineStr">
        <is>
          <t>Bed making + delivery</t>
        </is>
      </c>
      <c r="F4480" s="4" t="inlineStr">
        <is>
          <t>GOC Bed Unit-Costing Model v2 — working original.xlsx</t>
        </is>
      </c>
    </row>
    <row r="4481" ht="40" customHeight="1">
      <c r="A4481" s="4" t="inlineStr">
        <is>
          <t>original:Cash flow!J5</t>
        </is>
      </c>
      <c r="B4481" s="4" t="inlineStr">
        <is>
          <t>Cash flow</t>
        </is>
      </c>
      <c r="C4481" s="4" t="inlineStr">
        <is>
          <t>J5</t>
        </is>
      </c>
      <c r="D4481" s="4" t="inlineStr">
        <is>
          <t>Other priced costs</t>
        </is>
      </c>
      <c r="E4481" s="4" t="inlineStr">
        <is>
          <t>Other priced costs</t>
        </is>
      </c>
      <c r="F4481" s="4" t="inlineStr">
        <is>
          <t>GOC Bed Unit-Costing Model v2 — working original.xlsx</t>
        </is>
      </c>
    </row>
    <row r="4482" ht="40" customHeight="1">
      <c r="A4482" s="4" t="inlineStr">
        <is>
          <t>original:Cash flow!K5</t>
        </is>
      </c>
      <c r="B4482" s="4" t="inlineStr">
        <is>
          <t>Cash flow</t>
        </is>
      </c>
      <c r="C4482" s="4" t="inlineStr">
        <is>
          <t>K5</t>
        </is>
      </c>
      <c r="D4482" s="4" t="inlineStr">
        <is>
          <t>Known outflow</t>
        </is>
      </c>
      <c r="E4482" s="4" t="inlineStr">
        <is>
          <t>Known outflow</t>
        </is>
      </c>
      <c r="F4482" s="4" t="inlineStr">
        <is>
          <t>GOC Bed Unit-Costing Model v2 — working original.xlsx</t>
        </is>
      </c>
    </row>
    <row r="4483" ht="40" customHeight="1">
      <c r="A4483" s="4" t="inlineStr">
        <is>
          <t>original:Cash flow!L5</t>
        </is>
      </c>
      <c r="B4483" s="4" t="inlineStr">
        <is>
          <t>Cash flow</t>
        </is>
      </c>
      <c r="C4483" s="4" t="inlineStr">
        <is>
          <t>L5</t>
        </is>
      </c>
      <c r="D4483" s="4" t="inlineStr">
        <is>
          <t>Opening scenario cash</t>
        </is>
      </c>
      <c r="E4483" s="4" t="inlineStr">
        <is>
          <t>Opening scenario cash</t>
        </is>
      </c>
      <c r="F4483" s="4" t="inlineStr">
        <is>
          <t>GOC Bed Unit-Costing Model v2 — working original.xlsx</t>
        </is>
      </c>
    </row>
    <row r="4484" ht="40" customHeight="1">
      <c r="A4484" s="4" t="inlineStr">
        <is>
          <t>original:Cash flow!M5</t>
        </is>
      </c>
      <c r="B4484" s="4" t="inlineStr">
        <is>
          <t>Cash flow</t>
        </is>
      </c>
      <c r="C4484" s="4" t="inlineStr">
        <is>
          <t>M5</t>
        </is>
      </c>
      <c r="D4484" s="4" t="inlineStr">
        <is>
          <t>Net flow</t>
        </is>
      </c>
      <c r="E4484" s="4" t="inlineStr">
        <is>
          <t>Net flow</t>
        </is>
      </c>
      <c r="F4484" s="4" t="inlineStr">
        <is>
          <t>GOC Bed Unit-Costing Model v2 — working original.xlsx</t>
        </is>
      </c>
    </row>
    <row r="4485" ht="40" customHeight="1">
      <c r="A4485" s="4" t="inlineStr">
        <is>
          <t>original:Cash flow!N5</t>
        </is>
      </c>
      <c r="B4485" s="4" t="inlineStr">
        <is>
          <t>Cash flow</t>
        </is>
      </c>
      <c r="C4485" s="4" t="inlineStr">
        <is>
          <t>N5</t>
        </is>
      </c>
      <c r="D4485" s="4" t="inlineStr">
        <is>
          <t>Closing scenario cash</t>
        </is>
      </c>
      <c r="E4485" s="4" t="inlineStr">
        <is>
          <t>Closing scenario cash</t>
        </is>
      </c>
      <c r="F4485" s="4" t="inlineStr">
        <is>
          <t>GOC Bed Unit-Costing Model v2 — working original.xlsx</t>
        </is>
      </c>
    </row>
    <row r="4486" ht="40" customHeight="1">
      <c r="A4486" s="4" t="inlineStr">
        <is>
          <t>original:Cash flow!O5</t>
        </is>
      </c>
      <c r="B4486" s="4" t="inlineStr">
        <is>
          <t>Cash flow</t>
        </is>
      </c>
      <c r="C4486" s="4" t="inlineStr">
        <is>
          <t>O5</t>
        </is>
      </c>
      <c r="D4486" s="4" t="inlineStr">
        <is>
          <t>Confirmed-only balance</t>
        </is>
      </c>
      <c r="E4486" s="4" t="inlineStr">
        <is>
          <t>Confirmed-only balance</t>
        </is>
      </c>
      <c r="F4486" s="4" t="inlineStr">
        <is>
          <t>GOC Bed Unit-Costing Model v2 — working original.xlsx</t>
        </is>
      </c>
    </row>
    <row r="4487" ht="40" customHeight="1">
      <c r="A4487" s="4" t="inlineStr">
        <is>
          <t>original:Cash flow!P5</t>
        </is>
      </c>
      <c r="B4487" s="4" t="inlineStr">
        <is>
          <t>Cash flow</t>
        </is>
      </c>
      <c r="C4487" s="4" t="inlineStr">
        <is>
          <t>P5</t>
        </is>
      </c>
      <c r="D4487" s="4" t="inlineStr">
        <is>
          <t>Unpriced cost lines</t>
        </is>
      </c>
      <c r="E4487" s="4" t="inlineStr">
        <is>
          <t>Unpriced cost lines</t>
        </is>
      </c>
      <c r="F4487" s="4" t="inlineStr">
        <is>
          <t>GOC Bed Unit-Costing Model v2 — working original.xlsx</t>
        </is>
      </c>
    </row>
    <row r="4488" ht="40" customHeight="1">
      <c r="A4488" s="4" t="inlineStr">
        <is>
          <t>original:Cash flow!A6</t>
        </is>
      </c>
      <c r="B4488" s="4" t="inlineStr">
        <is>
          <t>Cash flow</t>
        </is>
      </c>
      <c r="C4488" s="4" t="inlineStr">
        <is>
          <t>A6</t>
        </is>
      </c>
      <c r="D4488" s="4" t="n">
        <v>1</v>
      </c>
      <c r="E4488" s="4" t="n">
        <v>1</v>
      </c>
      <c r="F4488" s="4" t="inlineStr">
        <is>
          <t>GOC Bed Unit-Costing Model v2 — working original.xlsx</t>
        </is>
      </c>
    </row>
    <row r="4489" ht="40" customHeight="1">
      <c r="A4489" s="4" t="inlineStr">
        <is>
          <t>original:Cash flow!B6</t>
        </is>
      </c>
      <c r="B4489" s="4" t="inlineStr">
        <is>
          <t>Cash flow</t>
        </is>
      </c>
      <c r="C4489" s="4" t="inlineStr">
        <is>
          <t>B6</t>
        </is>
      </c>
      <c r="D4489" s="4" t="inlineStr">
        <is>
          <t>=DATE(YEAR(Overview!$B$6),MONTH(Overview!$B$6)+A6-1,1)</t>
        </is>
      </c>
      <c r="E4489" s="4" t="inlineStr">
        <is>
          <t>2026-12-01T00:00:00</t>
        </is>
      </c>
      <c r="F4489" s="4" t="inlineStr">
        <is>
          <t>GOC Bed Unit-Costing Model v2 — working original.xlsx</t>
        </is>
      </c>
    </row>
    <row r="4490" ht="40" customHeight="1">
      <c r="A4490" s="4" t="inlineStr">
        <is>
          <t>original:Cash flow!C6</t>
        </is>
      </c>
      <c r="B4490" s="4" t="inlineStr">
        <is>
          <t>Cash flow</t>
        </is>
      </c>
      <c r="C4490" s="4" t="inlineStr">
        <is>
          <t>C6</t>
        </is>
      </c>
      <c r="D4490" s="4" t="inlineStr">
        <is>
          <t>=SUMIF(Funding!F6:F9,A6,Funding!H6:H9)</t>
        </is>
      </c>
      <c r="E4490" s="4" t="n">
        <v>0</v>
      </c>
      <c r="F4490" s="4" t="inlineStr">
        <is>
          <t>GOC Bed Unit-Costing Model v2 — working original.xlsx</t>
        </is>
      </c>
    </row>
    <row r="4491" ht="40" customHeight="1">
      <c r="A4491" s="4" t="inlineStr">
        <is>
          <t>original:Cash flow!D6</t>
        </is>
      </c>
      <c r="B4491" s="4" t="inlineStr">
        <is>
          <t>Cash flow</t>
        </is>
      </c>
      <c r="C4491" s="4" t="inlineStr">
        <is>
          <t>D6</t>
        </is>
      </c>
      <c r="D4491" s="4" t="inlineStr">
        <is>
          <t>=IF(A6=Funding!F6,Funding!D6,0)</t>
        </is>
      </c>
      <c r="E4491" s="4" t="n">
        <v>250000</v>
      </c>
      <c r="F4491" s="4" t="inlineStr">
        <is>
          <t>GOC Bed Unit-Costing Model v2 — working original.xlsx</t>
        </is>
      </c>
    </row>
    <row r="4492" ht="40" customHeight="1">
      <c r="A4492" s="4" t="inlineStr">
        <is>
          <t>original:Cash flow!E6</t>
        </is>
      </c>
      <c r="B4492" s="4" t="inlineStr">
        <is>
          <t>Cash flow</t>
        </is>
      </c>
      <c r="C4492" s="4" t="inlineStr">
        <is>
          <t>E6</t>
        </is>
      </c>
      <c r="D4492" s="4" t="inlineStr">
        <is>
          <t>=IF(A6=Funding!F7,Funding!D7,0)+IF(A6=Funding!F9,Funding!D9,0)</t>
        </is>
      </c>
      <c r="E4492" s="4" t="n">
        <v>100000</v>
      </c>
      <c r="F4492" s="4" t="inlineStr">
        <is>
          <t>GOC Bed Unit-Costing Model v2 — working original.xlsx</t>
        </is>
      </c>
    </row>
    <row r="4493" ht="40" customHeight="1">
      <c r="A4493" s="4" t="inlineStr">
        <is>
          <t>original:Cash flow!F6</t>
        </is>
      </c>
      <c r="B4493" s="4" t="inlineStr">
        <is>
          <t>Cash flow</t>
        </is>
      </c>
      <c r="C4493" s="4" t="inlineStr">
        <is>
          <t>F6</t>
        </is>
      </c>
      <c r="D4493" s="4" t="inlineStr">
        <is>
          <t>=IF(AND(A6=Funding!F8,Overview!$B$10=1),Funding!D8,0)</t>
        </is>
      </c>
      <c r="E4493" s="4" t="n">
        <v>0</v>
      </c>
      <c r="F4493" s="4" t="inlineStr">
        <is>
          <t>GOC Bed Unit-Costing Model v2 — working original.xlsx</t>
        </is>
      </c>
    </row>
    <row r="4494" ht="40" customHeight="1">
      <c r="A4494" s="4" t="inlineStr">
        <is>
          <t>original:Cash flow!G6</t>
        </is>
      </c>
      <c r="B4494" s="4" t="inlineStr">
        <is>
          <t>Cash flow</t>
        </is>
      </c>
      <c r="C4494" s="4" t="inlineStr">
        <is>
          <t>G6</t>
        </is>
      </c>
      <c r="D4494" s="4" t="inlineStr">
        <is>
          <t>=SUMIF(Production!A6:A41,A6-Overview!$B$9,Production!M6:M41)</t>
        </is>
      </c>
      <c r="E4494" s="4" t="n">
        <v>0</v>
      </c>
      <c r="F4494" s="4" t="inlineStr">
        <is>
          <t>GOC Bed Unit-Costing Model v2 — working original.xlsx</t>
        </is>
      </c>
    </row>
    <row r="4495" ht="45" customHeight="1">
      <c r="A4495" s="4" t="inlineStr">
        <is>
          <t>original:Cash flow!H6</t>
        </is>
      </c>
      <c r="B4495" s="4" t="inlineStr">
        <is>
          <t>Cash flow</t>
        </is>
      </c>
      <c r="C4495" s="4" t="inlineStr">
        <is>
          <t>H6</t>
        </is>
      </c>
      <c r="D4495" s="4" t="inlineStr">
        <is>
          <t>=IF(A6=Sites!J7,Sites!E7*Sites!I7,0)+IF(A6=Sites!F7,Sites!E7*(1-Sites!I7),0)+IF(A6=Sites!J8,Sites!E8*Sites!I8,0)+IF(A6=Sites!F8,Sites!E8*(1-Sites!I8),0)</t>
        </is>
      </c>
      <c r="E4495" s="4" t="n">
        <v>56500</v>
      </c>
      <c r="F4495" s="4" t="inlineStr">
        <is>
          <t>GOC Bed Unit-Costing Model v2 — working original.xlsx</t>
        </is>
      </c>
    </row>
    <row r="4496" ht="40" customHeight="1">
      <c r="A4496" s="4" t="inlineStr">
        <is>
          <t>original:Cash flow!I6</t>
        </is>
      </c>
      <c r="B4496" s="4" t="inlineStr">
        <is>
          <t>Cash flow</t>
        </is>
      </c>
      <c r="C4496" s="4" t="inlineStr">
        <is>
          <t>I6</t>
        </is>
      </c>
      <c r="D4496" s="4" t="inlineStr">
        <is>
          <t>=SUMIF(Production!A6:A41,A6,Production!K6:K41)+SUMIF(Production!A6:A41,A6,Production!L6:L41)</t>
        </is>
      </c>
      <c r="E4496" s="4" t="n">
        <v>4457.4</v>
      </c>
      <c r="F4496" s="4" t="inlineStr">
        <is>
          <t>GOC Bed Unit-Costing Model v2 — working original.xlsx</t>
        </is>
      </c>
    </row>
    <row r="4497" ht="660" customHeight="1">
      <c r="A4497" s="4" t="inlineStr">
        <is>
          <t>original:Cash flow!J6</t>
        </is>
      </c>
      <c r="B4497" s="4" t="inlineStr">
        <is>
          <t>Cash flow</t>
        </is>
      </c>
      <c r="C4497" s="4" t="inlineStr">
        <is>
          <t>J6</t>
        </is>
      </c>
      <c r="D4497" s="4" t="inlineStr">
        <is>
          <t>=IF(AND(ISNUMBER('Cost plan'!H12),'Cost plan'!J12&gt;0,A6&gt;='Cost plan'!I12,A6&lt;'Cost plan'!I12+'Cost plan'!J12),'Cost plan'!H12/MAX(1,'Cost plan'!J12),0)+IF(AND(ISNUMBER('Cost plan'!H13),'Cost plan'!J13&gt;0,A6&gt;='Cost plan'!I13,A6&lt;'Cost plan'!I13+'Cost plan'!J13),'Cost plan'!H13/MAX(1,'Cost plan'!J13),0)+IF(AND(ISNUMBER('Cost plan'!H14),'Cost plan'!J14&gt;0,A6&gt;='Cost plan'!I14,A6&lt;'Cost plan'!I14+'Cost plan'!J14),'Cost plan'!H14/MAX(1,'Cost plan'!J14),0)+IF(AND(ISNUMBER('Cost plan'!H15),'Cost plan'!J15&gt;0,A6&gt;='Cost plan'!I15,A6&lt;'Cost plan'!I15+'Cost plan'!J15),'Cost plan'!H15/MAX(1,'Cost plan'!J15),0)+IF(AND(ISNUMBER('Cost plan'!H16),'Cost plan'!J16&gt;0,A6&gt;='Cost plan'!I16,A6&lt;'Cost plan'!I16+'Cost plan'!J16),'Cost plan'!H16/MAX(1,'Cost plan'!J16),0)+IF(AND(ISNUMBER('Cost plan'!H17),'Cost plan'!J17&gt;0,A6&gt;='Cost plan'!I17,A6&lt;'Cost plan'!I17+'Cost plan'!J17),'Cost plan'!H17/MAX(1,'Cost plan'!J17),0)+IF(AND(ISNUMBER('Cost plan'!H18),'Cost plan'!J18&gt;0,A6&gt;='Cost plan'!I18,A6&lt;'Cost plan'!I18+'Cost plan'!J18),'Cost plan'!H18/MAX(1,'Cost plan'!J18),0)+IF(AND(ISNUMBER('Cost plan'!H19),'Cost plan'!J19&gt;0,A6&gt;='Cost plan'!I19,A6&lt;'Cost plan'!I19+'Cost plan'!J19),'Cost plan'!H19/MAX(1,'Cost plan'!J19),0)+IF(AND(ISNUMBER('Cost plan'!H20),'Cost plan'!J20&gt;0,A6&gt;='Cost plan'!I20,A6&lt;'Cost plan'!I20+'Cost plan'!J20),'Cost plan'!H20/MAX(1,'Cost plan'!J20),0)+IF(AND(ISNUMBER('Cost plan'!H21),'Cost plan'!J21&gt;0,A6&gt;='Cost plan'!I21,A6&lt;'Cost plan'!I21+'Cost plan'!J21),'Cost plan'!H21/MAX(1,'Cost plan'!J21),0)+IF(AND(ISNUMBER('Cost plan'!H22),'Cost plan'!J22&gt;0,A6&gt;='Cost plan'!I22,A6&lt;'Cost plan'!I22+'Cost plan'!J22),'Cost plan'!H22/MAX(1,'Cost plan'!J22),0)+IF(AND(ISNUMBER('Cost plan'!H23),'Cost plan'!J23&gt;0,A6&gt;='Cost plan'!I23,A6&lt;'Cost plan'!I23+'Cost plan'!J23),'Cost plan'!H23/MAX(1,'Cost plan'!J23),0)+IF(AND(ISNUMBER('Cost plan'!H24),'Cost plan'!J24&gt;0,A6&gt;='Cost plan'!I24,A6&lt;'Cost plan'!I24+'Cost plan'!J24),'Cost plan'!H24/MAX(1,'Cost plan'!J24),0)+IF(AND(ISNUMBER('Cost plan'!H25),'Cost plan'!J25&gt;0,A6&gt;='Cost plan'!I25,A6&lt;'Cost plan'!I25+'Cost plan'!J25),'Cost plan'!H25/MAX(1,'Cost plan'!J25),0)+IF(AND(ISNUMBER('Cost plan'!H26),'Cost plan'!J26&gt;0,A6&gt;='Cost plan'!I26,A6&lt;'Cost plan'!I26+'Cost plan'!J26),'Cost plan'!H26/MAX(1,'Cost plan'!J26),0)+IF(AND(ISNUMBER('Cost plan'!H27),'Cost plan'!J27&gt;0,A6&gt;='Cost plan'!I27,A6&lt;'Cost plan'!I27+'Cost plan'!J27),'Cost plan'!H27/MAX(1,'Cost plan'!J27),0)+IF(AND(ISNUMBER('Cost plan'!H28),'Cost plan'!J28&gt;0,A6&gt;='Cost plan'!I28,A6&lt;'Cost plan'!I28+'Cost plan'!J28),'Cost plan'!H28/MAX(1,'Cost plan'!J28),0)+IF(AND(ISNUMBER('Cost plan'!H29),'Cost plan'!J29&gt;0,A6&gt;='Cost plan'!I29,A6&lt;'Cost plan'!I29+'Cost plan'!J29),'Cost plan'!H29/MAX(1,'Cost plan'!J29),0)+IF(AND(ISNUMBER('Cost plan'!H30),'Cost plan'!J30&gt;0,A6&gt;='Cost plan'!I30,A6&lt;'Cost plan'!I30+'Cost plan'!J30),'Cost plan'!H30/MAX(1,'Cost plan'!J30),0)</t>
        </is>
      </c>
      <c r="E4497" s="4" t="n">
        <v>9820.833333</v>
      </c>
      <c r="F4497" s="4" t="inlineStr">
        <is>
          <t>GOC Bed Unit-Costing Model v2 — working original.xlsx</t>
        </is>
      </c>
    </row>
    <row r="4498" ht="40" customHeight="1">
      <c r="A4498" s="4" t="inlineStr">
        <is>
          <t>original:Cash flow!K6</t>
        </is>
      </c>
      <c r="B4498" s="4" t="inlineStr">
        <is>
          <t>Cash flow</t>
        </is>
      </c>
      <c r="C4498" s="4" t="inlineStr">
        <is>
          <t>K6</t>
        </is>
      </c>
      <c r="D4498" s="4" t="inlineStr">
        <is>
          <t>=SUM(H6:J6)</t>
        </is>
      </c>
      <c r="E4498" s="4" t="n">
        <v>70778.23333</v>
      </c>
      <c r="F4498" s="4" t="inlineStr">
        <is>
          <t>GOC Bed Unit-Costing Model v2 — working original.xlsx</t>
        </is>
      </c>
    </row>
    <row r="4499" ht="40" customHeight="1">
      <c r="A4499" s="4" t="inlineStr">
        <is>
          <t>original:Cash flow!L6</t>
        </is>
      </c>
      <c r="B4499" s="4" t="inlineStr">
        <is>
          <t>Cash flow</t>
        </is>
      </c>
      <c r="C4499" s="4" t="inlineStr">
        <is>
          <t>L6</t>
        </is>
      </c>
      <c r="D4499" s="4" t="inlineStr">
        <is>
          <t>=Overview!B7</t>
        </is>
      </c>
      <c r="E4499" s="4" t="n">
        <v>0</v>
      </c>
      <c r="F4499" s="4" t="inlineStr">
        <is>
          <t>GOC Bed Unit-Costing Model v2 — working original.xlsx</t>
        </is>
      </c>
    </row>
    <row r="4500" ht="40" customHeight="1">
      <c r="A4500" s="4" t="inlineStr">
        <is>
          <t>original:Cash flow!M6</t>
        </is>
      </c>
      <c r="B4500" s="4" t="inlineStr">
        <is>
          <t>Cash flow</t>
        </is>
      </c>
      <c r="C4500" s="4" t="inlineStr">
        <is>
          <t>M6</t>
        </is>
      </c>
      <c r="D4500" s="4" t="inlineStr">
        <is>
          <t>=SUM(D6:G6)-K6</t>
        </is>
      </c>
      <c r="E4500" s="4" t="n">
        <v>279221.7667</v>
      </c>
      <c r="F4500" s="4" t="inlineStr">
        <is>
          <t>GOC Bed Unit-Costing Model v2 — working original.xlsx</t>
        </is>
      </c>
    </row>
    <row r="4501" ht="40" customHeight="1">
      <c r="A4501" s="4" t="inlineStr">
        <is>
          <t>original:Cash flow!N6</t>
        </is>
      </c>
      <c r="B4501" s="4" t="inlineStr">
        <is>
          <t>Cash flow</t>
        </is>
      </c>
      <c r="C4501" s="4" t="inlineStr">
        <is>
          <t>N6</t>
        </is>
      </c>
      <c r="D4501" s="4" t="inlineStr">
        <is>
          <t>=L6+M6</t>
        </is>
      </c>
      <c r="E4501" s="4" t="n">
        <v>279221.7667</v>
      </c>
      <c r="F4501" s="4" t="inlineStr">
        <is>
          <t>GOC Bed Unit-Costing Model v2 — working original.xlsx</t>
        </is>
      </c>
    </row>
    <row r="4502" ht="40" customHeight="1">
      <c r="A4502" s="4" t="inlineStr">
        <is>
          <t>original:Cash flow!O6</t>
        </is>
      </c>
      <c r="B4502" s="4" t="inlineStr">
        <is>
          <t>Cash flow</t>
        </is>
      </c>
      <c r="C4502" s="4" t="inlineStr">
        <is>
          <t>O6</t>
        </is>
      </c>
      <c r="D4502" s="4" t="inlineStr">
        <is>
          <t>=Overview!B7+C6-K6</t>
        </is>
      </c>
      <c r="E4502" s="4" t="n">
        <v>-70778.23333</v>
      </c>
      <c r="F4502" s="4" t="inlineStr">
        <is>
          <t>GOC Bed Unit-Costing Model v2 — working original.xlsx</t>
        </is>
      </c>
    </row>
    <row r="4503" ht="40" customHeight="1">
      <c r="A4503" s="4" t="inlineStr">
        <is>
          <t>original:Cash flow!P6</t>
        </is>
      </c>
      <c r="B4503" s="4" t="inlineStr">
        <is>
          <t>Cash flow</t>
        </is>
      </c>
      <c r="C4503" s="4" t="inlineStr">
        <is>
          <t>P6</t>
        </is>
      </c>
      <c r="D4503" s="4" t="inlineStr">
        <is>
          <t>=Overview!B16</t>
        </is>
      </c>
      <c r="E4503" s="4" t="n">
        <v>12</v>
      </c>
      <c r="F4503" s="4" t="inlineStr">
        <is>
          <t>GOC Bed Unit-Costing Model v2 — working original.xlsx</t>
        </is>
      </c>
    </row>
    <row r="4504" ht="40" customHeight="1">
      <c r="A4504" s="4" t="inlineStr">
        <is>
          <t>original:Cash flow!A7</t>
        </is>
      </c>
      <c r="B4504" s="4" t="inlineStr">
        <is>
          <t>Cash flow</t>
        </is>
      </c>
      <c r="C4504" s="4" t="inlineStr">
        <is>
          <t>A7</t>
        </is>
      </c>
      <c r="D4504" s="4" t="n">
        <v>2</v>
      </c>
      <c r="E4504" s="4" t="n">
        <v>2</v>
      </c>
      <c r="F4504" s="4" t="inlineStr">
        <is>
          <t>GOC Bed Unit-Costing Model v2 — working original.xlsx</t>
        </is>
      </c>
    </row>
    <row r="4505" ht="40" customHeight="1">
      <c r="A4505" s="4" t="inlineStr">
        <is>
          <t>original:Cash flow!B7</t>
        </is>
      </c>
      <c r="B4505" s="4" t="inlineStr">
        <is>
          <t>Cash flow</t>
        </is>
      </c>
      <c r="C4505" s="4" t="inlineStr">
        <is>
          <t>B7</t>
        </is>
      </c>
      <c r="D4505" s="4" t="inlineStr">
        <is>
          <t>=DATE(YEAR(Overview!$B$6),MONTH(Overview!$B$6)+A7-1,1)</t>
        </is>
      </c>
      <c r="E4505" s="4" t="inlineStr">
        <is>
          <t>2027-01-01T00:00:00</t>
        </is>
      </c>
      <c r="F4505" s="4" t="inlineStr">
        <is>
          <t>GOC Bed Unit-Costing Model v2 — working original.xlsx</t>
        </is>
      </c>
    </row>
    <row r="4506" ht="40" customHeight="1">
      <c r="A4506" s="4" t="inlineStr">
        <is>
          <t>original:Cash flow!C7</t>
        </is>
      </c>
      <c r="B4506" s="4" t="inlineStr">
        <is>
          <t>Cash flow</t>
        </is>
      </c>
      <c r="C4506" s="4" t="inlineStr">
        <is>
          <t>C7</t>
        </is>
      </c>
      <c r="D4506" s="4" t="inlineStr">
        <is>
          <t>=SUMIF(Funding!F6:F9,A7,Funding!H6:H9)</t>
        </is>
      </c>
      <c r="E4506" s="4" t="n">
        <v>0</v>
      </c>
      <c r="F4506" s="4" t="inlineStr">
        <is>
          <t>GOC Bed Unit-Costing Model v2 — working original.xlsx</t>
        </is>
      </c>
    </row>
    <row r="4507" ht="40" customHeight="1">
      <c r="A4507" s="4" t="inlineStr">
        <is>
          <t>original:Cash flow!D7</t>
        </is>
      </c>
      <c r="B4507" s="4" t="inlineStr">
        <is>
          <t>Cash flow</t>
        </is>
      </c>
      <c r="C4507" s="4" t="inlineStr">
        <is>
          <t>D7</t>
        </is>
      </c>
      <c r="D4507" s="4" t="inlineStr">
        <is>
          <t>=IF(A7=Funding!F6,Funding!D6,0)</t>
        </is>
      </c>
      <c r="E4507" s="4" t="n">
        <v>0</v>
      </c>
      <c r="F4507" s="4" t="inlineStr">
        <is>
          <t>GOC Bed Unit-Costing Model v2 — working original.xlsx</t>
        </is>
      </c>
    </row>
    <row r="4508" ht="40" customHeight="1">
      <c r="A4508" s="4" t="inlineStr">
        <is>
          <t>original:Cash flow!E7</t>
        </is>
      </c>
      <c r="B4508" s="4" t="inlineStr">
        <is>
          <t>Cash flow</t>
        </is>
      </c>
      <c r="C4508" s="4" t="inlineStr">
        <is>
          <t>E7</t>
        </is>
      </c>
      <c r="D4508" s="4" t="inlineStr">
        <is>
          <t>=IF(A7=Funding!F7,Funding!D7,0)+IF(A7=Funding!F9,Funding!D9,0)</t>
        </is>
      </c>
      <c r="E4508" s="4" t="n">
        <v>0</v>
      </c>
      <c r="F4508" s="4" t="inlineStr">
        <is>
          <t>GOC Bed Unit-Costing Model v2 — working original.xlsx</t>
        </is>
      </c>
    </row>
    <row r="4509" ht="40" customHeight="1">
      <c r="A4509" s="4" t="inlineStr">
        <is>
          <t>original:Cash flow!F7</t>
        </is>
      </c>
      <c r="B4509" s="4" t="inlineStr">
        <is>
          <t>Cash flow</t>
        </is>
      </c>
      <c r="C4509" s="4" t="inlineStr">
        <is>
          <t>F7</t>
        </is>
      </c>
      <c r="D4509" s="4" t="inlineStr">
        <is>
          <t>=IF(AND(A7=Funding!F8,Overview!$B$10=1),Funding!D8,0)</t>
        </is>
      </c>
      <c r="E4509" s="4" t="n">
        <v>0</v>
      </c>
      <c r="F4509" s="4" t="inlineStr">
        <is>
          <t>GOC Bed Unit-Costing Model v2 — working original.xlsx</t>
        </is>
      </c>
    </row>
    <row r="4510" ht="40" customHeight="1">
      <c r="A4510" s="4" t="inlineStr">
        <is>
          <t>original:Cash flow!G7</t>
        </is>
      </c>
      <c r="B4510" s="4" t="inlineStr">
        <is>
          <t>Cash flow</t>
        </is>
      </c>
      <c r="C4510" s="4" t="inlineStr">
        <is>
          <t>G7</t>
        </is>
      </c>
      <c r="D4510" s="4" t="inlineStr">
        <is>
          <t>=SUMIF(Production!A6:A41,A7-Overview!$B$9,Production!M6:M41)</t>
        </is>
      </c>
      <c r="E4510" s="4" t="n">
        <v>0</v>
      </c>
      <c r="F4510" s="4" t="inlineStr">
        <is>
          <t>GOC Bed Unit-Costing Model v2 — working original.xlsx</t>
        </is>
      </c>
    </row>
    <row r="4511" ht="45" customHeight="1">
      <c r="A4511" s="4" t="inlineStr">
        <is>
          <t>original:Cash flow!H7</t>
        </is>
      </c>
      <c r="B4511" s="4" t="inlineStr">
        <is>
          <t>Cash flow</t>
        </is>
      </c>
      <c r="C4511" s="4" t="inlineStr">
        <is>
          <t>H7</t>
        </is>
      </c>
      <c r="D4511" s="4" t="inlineStr">
        <is>
          <t>=IF(A7=Sites!J7,Sites!E7*Sites!I7,0)+IF(A7=Sites!F7,Sites!E7*(1-Sites!I7),0)+IF(A7=Sites!J8,Sites!E8*Sites!I8,0)+IF(A7=Sites!F8,Sites!E8*(1-Sites!I8),0)</t>
        </is>
      </c>
      <c r="E4511" s="4" t="n">
        <v>0</v>
      </c>
      <c r="F4511" s="4" t="inlineStr">
        <is>
          <t>GOC Bed Unit-Costing Model v2 — working original.xlsx</t>
        </is>
      </c>
    </row>
    <row r="4512" ht="40" customHeight="1">
      <c r="A4512" s="4" t="inlineStr">
        <is>
          <t>original:Cash flow!I7</t>
        </is>
      </c>
      <c r="B4512" s="4" t="inlineStr">
        <is>
          <t>Cash flow</t>
        </is>
      </c>
      <c r="C4512" s="4" t="inlineStr">
        <is>
          <t>I7</t>
        </is>
      </c>
      <c r="D4512" s="4" t="inlineStr">
        <is>
          <t>=SUMIF(Production!A6:A41,A7,Production!K6:K41)+SUMIF(Production!A6:A41,A7,Production!L6:L41)</t>
        </is>
      </c>
      <c r="E4512" s="4" t="n">
        <v>4457.4</v>
      </c>
      <c r="F4512" s="4" t="inlineStr">
        <is>
          <t>GOC Bed Unit-Costing Model v2 — working original.xlsx</t>
        </is>
      </c>
    </row>
    <row r="4513" ht="660" customHeight="1">
      <c r="A4513" s="4" t="inlineStr">
        <is>
          <t>original:Cash flow!J7</t>
        </is>
      </c>
      <c r="B4513" s="4" t="inlineStr">
        <is>
          <t>Cash flow</t>
        </is>
      </c>
      <c r="C4513" s="4" t="inlineStr">
        <is>
          <t>J7</t>
        </is>
      </c>
      <c r="D4513" s="4" t="inlineStr">
        <is>
          <t>=IF(AND(ISNUMBER('Cost plan'!H12),'Cost plan'!J12&gt;0,A7&gt;='Cost plan'!I12,A7&lt;'Cost plan'!I12+'Cost plan'!J12),'Cost plan'!H12/MAX(1,'Cost plan'!J12),0)+IF(AND(ISNUMBER('Cost plan'!H13),'Cost plan'!J13&gt;0,A7&gt;='Cost plan'!I13,A7&lt;'Cost plan'!I13+'Cost plan'!J13),'Cost plan'!H13/MAX(1,'Cost plan'!J13),0)+IF(AND(ISNUMBER('Cost plan'!H14),'Cost plan'!J14&gt;0,A7&gt;='Cost plan'!I14,A7&lt;'Cost plan'!I14+'Cost plan'!J14),'Cost plan'!H14/MAX(1,'Cost plan'!J14),0)+IF(AND(ISNUMBER('Cost plan'!H15),'Cost plan'!J15&gt;0,A7&gt;='Cost plan'!I15,A7&lt;'Cost plan'!I15+'Cost plan'!J15),'Cost plan'!H15/MAX(1,'Cost plan'!J15),0)+IF(AND(ISNUMBER('Cost plan'!H16),'Cost plan'!J16&gt;0,A7&gt;='Cost plan'!I16,A7&lt;'Cost plan'!I16+'Cost plan'!J16),'Cost plan'!H16/MAX(1,'Cost plan'!J16),0)+IF(AND(ISNUMBER('Cost plan'!H17),'Cost plan'!J17&gt;0,A7&gt;='Cost plan'!I17,A7&lt;'Cost plan'!I17+'Cost plan'!J17),'Cost plan'!H17/MAX(1,'Cost plan'!J17),0)+IF(AND(ISNUMBER('Cost plan'!H18),'Cost plan'!J18&gt;0,A7&gt;='Cost plan'!I18,A7&lt;'Cost plan'!I18+'Cost plan'!J18),'Cost plan'!H18/MAX(1,'Cost plan'!J18),0)+IF(AND(ISNUMBER('Cost plan'!H19),'Cost plan'!J19&gt;0,A7&gt;='Cost plan'!I19,A7&lt;'Cost plan'!I19+'Cost plan'!J19),'Cost plan'!H19/MAX(1,'Cost plan'!J19),0)+IF(AND(ISNUMBER('Cost plan'!H20),'Cost plan'!J20&gt;0,A7&gt;='Cost plan'!I20,A7&lt;'Cost plan'!I20+'Cost plan'!J20),'Cost plan'!H20/MAX(1,'Cost plan'!J20),0)+IF(AND(ISNUMBER('Cost plan'!H21),'Cost plan'!J21&gt;0,A7&gt;='Cost plan'!I21,A7&lt;'Cost plan'!I21+'Cost plan'!J21),'Cost plan'!H21/MAX(1,'Cost plan'!J21),0)+IF(AND(ISNUMBER('Cost plan'!H22),'Cost plan'!J22&gt;0,A7&gt;='Cost plan'!I22,A7&lt;'Cost plan'!I22+'Cost plan'!J22),'Cost plan'!H22/MAX(1,'Cost plan'!J22),0)+IF(AND(ISNUMBER('Cost plan'!H23),'Cost plan'!J23&gt;0,A7&gt;='Cost plan'!I23,A7&lt;'Cost plan'!I23+'Cost plan'!J23),'Cost plan'!H23/MAX(1,'Cost plan'!J23),0)+IF(AND(ISNUMBER('Cost plan'!H24),'Cost plan'!J24&gt;0,A7&gt;='Cost plan'!I24,A7&lt;'Cost plan'!I24+'Cost plan'!J24),'Cost plan'!H24/MAX(1,'Cost plan'!J24),0)+IF(AND(ISNUMBER('Cost plan'!H25),'Cost plan'!J25&gt;0,A7&gt;='Cost plan'!I25,A7&lt;'Cost plan'!I25+'Cost plan'!J25),'Cost plan'!H25/MAX(1,'Cost plan'!J25),0)+IF(AND(ISNUMBER('Cost plan'!H26),'Cost plan'!J26&gt;0,A7&gt;='Cost plan'!I26,A7&lt;'Cost plan'!I26+'Cost plan'!J26),'Cost plan'!H26/MAX(1,'Cost plan'!J26),0)+IF(AND(ISNUMBER('Cost plan'!H27),'Cost plan'!J27&gt;0,A7&gt;='Cost plan'!I27,A7&lt;'Cost plan'!I27+'Cost plan'!J27),'Cost plan'!H27/MAX(1,'Cost plan'!J27),0)+IF(AND(ISNUMBER('Cost plan'!H28),'Cost plan'!J28&gt;0,A7&gt;='Cost plan'!I28,A7&lt;'Cost plan'!I28+'Cost plan'!J28),'Cost plan'!H28/MAX(1,'Cost plan'!J28),0)+IF(AND(ISNUMBER('Cost plan'!H29),'Cost plan'!J29&gt;0,A7&gt;='Cost plan'!I29,A7&lt;'Cost plan'!I29+'Cost plan'!J29),'Cost plan'!H29/MAX(1,'Cost plan'!J29),0)+IF(AND(ISNUMBER('Cost plan'!H30),'Cost plan'!J30&gt;0,A7&gt;='Cost plan'!I30,A7&lt;'Cost plan'!I30+'Cost plan'!J30),'Cost plan'!H30/MAX(1,'Cost plan'!J30),0)</t>
        </is>
      </c>
      <c r="E4513" s="4" t="n">
        <v>9820.833333</v>
      </c>
      <c r="F4513" s="4" t="inlineStr">
        <is>
          <t>GOC Bed Unit-Costing Model v2 — working original.xlsx</t>
        </is>
      </c>
    </row>
    <row r="4514" ht="40" customHeight="1">
      <c r="A4514" s="4" t="inlineStr">
        <is>
          <t>original:Cash flow!K7</t>
        </is>
      </c>
      <c r="B4514" s="4" t="inlineStr">
        <is>
          <t>Cash flow</t>
        </is>
      </c>
      <c r="C4514" s="4" t="inlineStr">
        <is>
          <t>K7</t>
        </is>
      </c>
      <c r="D4514" s="4" t="inlineStr">
        <is>
          <t>=SUM(H7:J7)</t>
        </is>
      </c>
      <c r="E4514" s="4" t="n">
        <v>14278.23333</v>
      </c>
      <c r="F4514" s="4" t="inlineStr">
        <is>
          <t>GOC Bed Unit-Costing Model v2 — working original.xlsx</t>
        </is>
      </c>
    </row>
    <row r="4515" ht="40" customHeight="1">
      <c r="A4515" s="4" t="inlineStr">
        <is>
          <t>original:Cash flow!L7</t>
        </is>
      </c>
      <c r="B4515" s="4" t="inlineStr">
        <is>
          <t>Cash flow</t>
        </is>
      </c>
      <c r="C4515" s="4" t="inlineStr">
        <is>
          <t>L7</t>
        </is>
      </c>
      <c r="D4515" s="4" t="inlineStr">
        <is>
          <t>=N6</t>
        </is>
      </c>
      <c r="E4515" s="4" t="n">
        <v>279221.7667</v>
      </c>
      <c r="F4515" s="4" t="inlineStr">
        <is>
          <t>GOC Bed Unit-Costing Model v2 — working original.xlsx</t>
        </is>
      </c>
    </row>
    <row r="4516" ht="40" customHeight="1">
      <c r="A4516" s="4" t="inlineStr">
        <is>
          <t>original:Cash flow!M7</t>
        </is>
      </c>
      <c r="B4516" s="4" t="inlineStr">
        <is>
          <t>Cash flow</t>
        </is>
      </c>
      <c r="C4516" s="4" t="inlineStr">
        <is>
          <t>M7</t>
        </is>
      </c>
      <c r="D4516" s="4" t="inlineStr">
        <is>
          <t>=SUM(D7:G7)-K7</t>
        </is>
      </c>
      <c r="E4516" s="4" t="n">
        <v>-14278.23333</v>
      </c>
      <c r="F4516" s="4" t="inlineStr">
        <is>
          <t>GOC Bed Unit-Costing Model v2 — working original.xlsx</t>
        </is>
      </c>
    </row>
    <row r="4517" ht="40" customHeight="1">
      <c r="A4517" s="4" t="inlineStr">
        <is>
          <t>original:Cash flow!N7</t>
        </is>
      </c>
      <c r="B4517" s="4" t="inlineStr">
        <is>
          <t>Cash flow</t>
        </is>
      </c>
      <c r="C4517" s="4" t="inlineStr">
        <is>
          <t>N7</t>
        </is>
      </c>
      <c r="D4517" s="4" t="inlineStr">
        <is>
          <t>=L7+M7</t>
        </is>
      </c>
      <c r="E4517" s="4" t="n">
        <v>264943.5333</v>
      </c>
      <c r="F4517" s="4" t="inlineStr">
        <is>
          <t>GOC Bed Unit-Costing Model v2 — working original.xlsx</t>
        </is>
      </c>
    </row>
    <row r="4518" ht="40" customHeight="1">
      <c r="A4518" s="4" t="inlineStr">
        <is>
          <t>original:Cash flow!O7</t>
        </is>
      </c>
      <c r="B4518" s="4" t="inlineStr">
        <is>
          <t>Cash flow</t>
        </is>
      </c>
      <c r="C4518" s="4" t="inlineStr">
        <is>
          <t>O7</t>
        </is>
      </c>
      <c r="D4518" s="4" t="inlineStr">
        <is>
          <t>=O6+C7-K7</t>
        </is>
      </c>
      <c r="E4518" s="4" t="n">
        <v>-85056.46666999999</v>
      </c>
      <c r="F4518" s="4" t="inlineStr">
        <is>
          <t>GOC Bed Unit-Costing Model v2 — working original.xlsx</t>
        </is>
      </c>
    </row>
    <row r="4519" ht="40" customHeight="1">
      <c r="A4519" s="4" t="inlineStr">
        <is>
          <t>original:Cash flow!P7</t>
        </is>
      </c>
      <c r="B4519" s="4" t="inlineStr">
        <is>
          <t>Cash flow</t>
        </is>
      </c>
      <c r="C4519" s="4" t="inlineStr">
        <is>
          <t>P7</t>
        </is>
      </c>
      <c r="D4519" s="4" t="inlineStr">
        <is>
          <t>=Overview!B16</t>
        </is>
      </c>
      <c r="E4519" s="4" t="n">
        <v>12</v>
      </c>
      <c r="F4519" s="4" t="inlineStr">
        <is>
          <t>GOC Bed Unit-Costing Model v2 — working original.xlsx</t>
        </is>
      </c>
    </row>
    <row r="4520" ht="40" customHeight="1">
      <c r="A4520" s="4" t="inlineStr">
        <is>
          <t>original:Cash flow!A8</t>
        </is>
      </c>
      <c r="B4520" s="4" t="inlineStr">
        <is>
          <t>Cash flow</t>
        </is>
      </c>
      <c r="C4520" s="4" t="inlineStr">
        <is>
          <t>A8</t>
        </is>
      </c>
      <c r="D4520" s="4" t="n">
        <v>3</v>
      </c>
      <c r="E4520" s="4" t="n">
        <v>3</v>
      </c>
      <c r="F4520" s="4" t="inlineStr">
        <is>
          <t>GOC Bed Unit-Costing Model v2 — working original.xlsx</t>
        </is>
      </c>
    </row>
    <row r="4521" ht="40" customHeight="1">
      <c r="A4521" s="4" t="inlineStr">
        <is>
          <t>original:Cash flow!B8</t>
        </is>
      </c>
      <c r="B4521" s="4" t="inlineStr">
        <is>
          <t>Cash flow</t>
        </is>
      </c>
      <c r="C4521" s="4" t="inlineStr">
        <is>
          <t>B8</t>
        </is>
      </c>
      <c r="D4521" s="4" t="inlineStr">
        <is>
          <t>=DATE(YEAR(Overview!$B$6),MONTH(Overview!$B$6)+A8-1,1)</t>
        </is>
      </c>
      <c r="E4521" s="4" t="inlineStr">
        <is>
          <t>2027-02-01T00:00:00</t>
        </is>
      </c>
      <c r="F4521" s="4" t="inlineStr">
        <is>
          <t>GOC Bed Unit-Costing Model v2 — working original.xlsx</t>
        </is>
      </c>
    </row>
    <row r="4522" ht="40" customHeight="1">
      <c r="A4522" s="4" t="inlineStr">
        <is>
          <t>original:Cash flow!C8</t>
        </is>
      </c>
      <c r="B4522" s="4" t="inlineStr">
        <is>
          <t>Cash flow</t>
        </is>
      </c>
      <c r="C4522" s="4" t="inlineStr">
        <is>
          <t>C8</t>
        </is>
      </c>
      <c r="D4522" s="4" t="inlineStr">
        <is>
          <t>=SUMIF(Funding!F6:F9,A8,Funding!H6:H9)</t>
        </is>
      </c>
      <c r="E4522" s="4" t="n">
        <v>0</v>
      </c>
      <c r="F4522" s="4" t="inlineStr">
        <is>
          <t>GOC Bed Unit-Costing Model v2 — working original.xlsx</t>
        </is>
      </c>
    </row>
    <row r="4523" ht="40" customHeight="1">
      <c r="A4523" s="4" t="inlineStr">
        <is>
          <t>original:Cash flow!D8</t>
        </is>
      </c>
      <c r="B4523" s="4" t="inlineStr">
        <is>
          <t>Cash flow</t>
        </is>
      </c>
      <c r="C4523" s="4" t="inlineStr">
        <is>
          <t>D8</t>
        </is>
      </c>
      <c r="D4523" s="4" t="inlineStr">
        <is>
          <t>=IF(A8=Funding!F6,Funding!D6,0)</t>
        </is>
      </c>
      <c r="E4523" s="4" t="n">
        <v>0</v>
      </c>
      <c r="F4523" s="4" t="inlineStr">
        <is>
          <t>GOC Bed Unit-Costing Model v2 — working original.xlsx</t>
        </is>
      </c>
    </row>
    <row r="4524" ht="40" customHeight="1">
      <c r="A4524" s="4" t="inlineStr">
        <is>
          <t>original:Cash flow!E8</t>
        </is>
      </c>
      <c r="B4524" s="4" t="inlineStr">
        <is>
          <t>Cash flow</t>
        </is>
      </c>
      <c r="C4524" s="4" t="inlineStr">
        <is>
          <t>E8</t>
        </is>
      </c>
      <c r="D4524" s="4" t="inlineStr">
        <is>
          <t>=IF(A8=Funding!F7,Funding!D7,0)+IF(A8=Funding!F9,Funding!D9,0)</t>
        </is>
      </c>
      <c r="E4524" s="4" t="n">
        <v>0</v>
      </c>
      <c r="F4524" s="4" t="inlineStr">
        <is>
          <t>GOC Bed Unit-Costing Model v2 — working original.xlsx</t>
        </is>
      </c>
    </row>
    <row r="4525" ht="40" customHeight="1">
      <c r="A4525" s="4" t="inlineStr">
        <is>
          <t>original:Cash flow!F8</t>
        </is>
      </c>
      <c r="B4525" s="4" t="inlineStr">
        <is>
          <t>Cash flow</t>
        </is>
      </c>
      <c r="C4525" s="4" t="inlineStr">
        <is>
          <t>F8</t>
        </is>
      </c>
      <c r="D4525" s="4" t="inlineStr">
        <is>
          <t>=IF(AND(A8=Funding!F8,Overview!$B$10=1),Funding!D8,0)</t>
        </is>
      </c>
      <c r="E4525" s="4" t="n">
        <v>0</v>
      </c>
      <c r="F4525" s="4" t="inlineStr">
        <is>
          <t>GOC Bed Unit-Costing Model v2 — working original.xlsx</t>
        </is>
      </c>
    </row>
    <row r="4526" ht="40" customHeight="1">
      <c r="A4526" s="4" t="inlineStr">
        <is>
          <t>original:Cash flow!G8</t>
        </is>
      </c>
      <c r="B4526" s="4" t="inlineStr">
        <is>
          <t>Cash flow</t>
        </is>
      </c>
      <c r="C4526" s="4" t="inlineStr">
        <is>
          <t>G8</t>
        </is>
      </c>
      <c r="D4526" s="4" t="inlineStr">
        <is>
          <t>=SUMIF(Production!A6:A41,A8-Overview!$B$9,Production!M6:M41)</t>
        </is>
      </c>
      <c r="E4526" s="4" t="n">
        <v>0</v>
      </c>
      <c r="F4526" s="4" t="inlineStr">
        <is>
          <t>GOC Bed Unit-Costing Model v2 — working original.xlsx</t>
        </is>
      </c>
    </row>
    <row r="4527" ht="45" customHeight="1">
      <c r="A4527" s="4" t="inlineStr">
        <is>
          <t>original:Cash flow!H8</t>
        </is>
      </c>
      <c r="B4527" s="4" t="inlineStr">
        <is>
          <t>Cash flow</t>
        </is>
      </c>
      <c r="C4527" s="4" t="inlineStr">
        <is>
          <t>H8</t>
        </is>
      </c>
      <c r="D4527" s="4" t="inlineStr">
        <is>
          <t>=IF(A8=Sites!J7,Sites!E7*Sites!I7,0)+IF(A8=Sites!F7,Sites!E7*(1-Sites!I7),0)+IF(A8=Sites!J8,Sites!E8*Sites!I8,0)+IF(A8=Sites!F8,Sites!E8*(1-Sites!I8),0)</t>
        </is>
      </c>
      <c r="E4527" s="4" t="n">
        <v>0</v>
      </c>
      <c r="F4527" s="4" t="inlineStr">
        <is>
          <t>GOC Bed Unit-Costing Model v2 — working original.xlsx</t>
        </is>
      </c>
    </row>
    <row r="4528" ht="40" customHeight="1">
      <c r="A4528" s="4" t="inlineStr">
        <is>
          <t>original:Cash flow!I8</t>
        </is>
      </c>
      <c r="B4528" s="4" t="inlineStr">
        <is>
          <t>Cash flow</t>
        </is>
      </c>
      <c r="C4528" s="4" t="inlineStr">
        <is>
          <t>I8</t>
        </is>
      </c>
      <c r="D4528" s="4" t="inlineStr">
        <is>
          <t>=SUMIF(Production!A6:A41,A8,Production!K6:K41)+SUMIF(Production!A6:A41,A8,Production!L6:L41)</t>
        </is>
      </c>
      <c r="E4528" s="4" t="n">
        <v>4457.4</v>
      </c>
      <c r="F4528" s="4" t="inlineStr">
        <is>
          <t>GOC Bed Unit-Costing Model v2 — working original.xlsx</t>
        </is>
      </c>
    </row>
    <row r="4529" ht="660" customHeight="1">
      <c r="A4529" s="4" t="inlineStr">
        <is>
          <t>original:Cash flow!J8</t>
        </is>
      </c>
      <c r="B4529" s="4" t="inlineStr">
        <is>
          <t>Cash flow</t>
        </is>
      </c>
      <c r="C4529" s="4" t="inlineStr">
        <is>
          <t>J8</t>
        </is>
      </c>
      <c r="D4529" s="4" t="inlineStr">
        <is>
          <t>=IF(AND(ISNUMBER('Cost plan'!H12),'Cost plan'!J12&gt;0,A8&gt;='Cost plan'!I12,A8&lt;'Cost plan'!I12+'Cost plan'!J12),'Cost plan'!H12/MAX(1,'Cost plan'!J12),0)+IF(AND(ISNUMBER('Cost plan'!H13),'Cost plan'!J13&gt;0,A8&gt;='Cost plan'!I13,A8&lt;'Cost plan'!I13+'Cost plan'!J13),'Cost plan'!H13/MAX(1,'Cost plan'!J13),0)+IF(AND(ISNUMBER('Cost plan'!H14),'Cost plan'!J14&gt;0,A8&gt;='Cost plan'!I14,A8&lt;'Cost plan'!I14+'Cost plan'!J14),'Cost plan'!H14/MAX(1,'Cost plan'!J14),0)+IF(AND(ISNUMBER('Cost plan'!H15),'Cost plan'!J15&gt;0,A8&gt;='Cost plan'!I15,A8&lt;'Cost plan'!I15+'Cost plan'!J15),'Cost plan'!H15/MAX(1,'Cost plan'!J15),0)+IF(AND(ISNUMBER('Cost plan'!H16),'Cost plan'!J16&gt;0,A8&gt;='Cost plan'!I16,A8&lt;'Cost plan'!I16+'Cost plan'!J16),'Cost plan'!H16/MAX(1,'Cost plan'!J16),0)+IF(AND(ISNUMBER('Cost plan'!H17),'Cost plan'!J17&gt;0,A8&gt;='Cost plan'!I17,A8&lt;'Cost plan'!I17+'Cost plan'!J17),'Cost plan'!H17/MAX(1,'Cost plan'!J17),0)+IF(AND(ISNUMBER('Cost plan'!H18),'Cost plan'!J18&gt;0,A8&gt;='Cost plan'!I18,A8&lt;'Cost plan'!I18+'Cost plan'!J18),'Cost plan'!H18/MAX(1,'Cost plan'!J18),0)+IF(AND(ISNUMBER('Cost plan'!H19),'Cost plan'!J19&gt;0,A8&gt;='Cost plan'!I19,A8&lt;'Cost plan'!I19+'Cost plan'!J19),'Cost plan'!H19/MAX(1,'Cost plan'!J19),0)+IF(AND(ISNUMBER('Cost plan'!H20),'Cost plan'!J20&gt;0,A8&gt;='Cost plan'!I20,A8&lt;'Cost plan'!I20+'Cost plan'!J20),'Cost plan'!H20/MAX(1,'Cost plan'!J20),0)+IF(AND(ISNUMBER('Cost plan'!H21),'Cost plan'!J21&gt;0,A8&gt;='Cost plan'!I21,A8&lt;'Cost plan'!I21+'Cost plan'!J21),'Cost plan'!H21/MAX(1,'Cost plan'!J21),0)+IF(AND(ISNUMBER('Cost plan'!H22),'Cost plan'!J22&gt;0,A8&gt;='Cost plan'!I22,A8&lt;'Cost plan'!I22+'Cost plan'!J22),'Cost plan'!H22/MAX(1,'Cost plan'!J22),0)+IF(AND(ISNUMBER('Cost plan'!H23),'Cost plan'!J23&gt;0,A8&gt;='Cost plan'!I23,A8&lt;'Cost plan'!I23+'Cost plan'!J23),'Cost plan'!H23/MAX(1,'Cost plan'!J23),0)+IF(AND(ISNUMBER('Cost plan'!H24),'Cost plan'!J24&gt;0,A8&gt;='Cost plan'!I24,A8&lt;'Cost plan'!I24+'Cost plan'!J24),'Cost plan'!H24/MAX(1,'Cost plan'!J24),0)+IF(AND(ISNUMBER('Cost plan'!H25),'Cost plan'!J25&gt;0,A8&gt;='Cost plan'!I25,A8&lt;'Cost plan'!I25+'Cost plan'!J25),'Cost plan'!H25/MAX(1,'Cost plan'!J25),0)+IF(AND(ISNUMBER('Cost plan'!H26),'Cost plan'!J26&gt;0,A8&gt;='Cost plan'!I26,A8&lt;'Cost plan'!I26+'Cost plan'!J26),'Cost plan'!H26/MAX(1,'Cost plan'!J26),0)+IF(AND(ISNUMBER('Cost plan'!H27),'Cost plan'!J27&gt;0,A8&gt;='Cost plan'!I27,A8&lt;'Cost plan'!I27+'Cost plan'!J27),'Cost plan'!H27/MAX(1,'Cost plan'!J27),0)+IF(AND(ISNUMBER('Cost plan'!H28),'Cost plan'!J28&gt;0,A8&gt;='Cost plan'!I28,A8&lt;'Cost plan'!I28+'Cost plan'!J28),'Cost plan'!H28/MAX(1,'Cost plan'!J28),0)+IF(AND(ISNUMBER('Cost plan'!H29),'Cost plan'!J29&gt;0,A8&gt;='Cost plan'!I29,A8&lt;'Cost plan'!I29+'Cost plan'!J29),'Cost plan'!H29/MAX(1,'Cost plan'!J29),0)+IF(AND(ISNUMBER('Cost plan'!H30),'Cost plan'!J30&gt;0,A8&gt;='Cost plan'!I30,A8&lt;'Cost plan'!I30+'Cost plan'!J30),'Cost plan'!H30/MAX(1,'Cost plan'!J30),0)</t>
        </is>
      </c>
      <c r="E4529" s="4" t="n">
        <v>9820.833333</v>
      </c>
      <c r="F4529" s="4" t="inlineStr">
        <is>
          <t>GOC Bed Unit-Costing Model v2 — working original.xlsx</t>
        </is>
      </c>
    </row>
    <row r="4530" ht="40" customHeight="1">
      <c r="A4530" s="4" t="inlineStr">
        <is>
          <t>original:Cash flow!K8</t>
        </is>
      </c>
      <c r="B4530" s="4" t="inlineStr">
        <is>
          <t>Cash flow</t>
        </is>
      </c>
      <c r="C4530" s="4" t="inlineStr">
        <is>
          <t>K8</t>
        </is>
      </c>
      <c r="D4530" s="4" t="inlineStr">
        <is>
          <t>=SUM(H8:J8)</t>
        </is>
      </c>
      <c r="E4530" s="4" t="n">
        <v>14278.23333</v>
      </c>
      <c r="F4530" s="4" t="inlineStr">
        <is>
          <t>GOC Bed Unit-Costing Model v2 — working original.xlsx</t>
        </is>
      </c>
    </row>
    <row r="4531" ht="40" customHeight="1">
      <c r="A4531" s="4" t="inlineStr">
        <is>
          <t>original:Cash flow!L8</t>
        </is>
      </c>
      <c r="B4531" s="4" t="inlineStr">
        <is>
          <t>Cash flow</t>
        </is>
      </c>
      <c r="C4531" s="4" t="inlineStr">
        <is>
          <t>L8</t>
        </is>
      </c>
      <c r="D4531" s="4" t="inlineStr">
        <is>
          <t>=N7</t>
        </is>
      </c>
      <c r="E4531" s="4" t="n">
        <v>264943.5333</v>
      </c>
      <c r="F4531" s="4" t="inlineStr">
        <is>
          <t>GOC Bed Unit-Costing Model v2 — working original.xlsx</t>
        </is>
      </c>
    </row>
    <row r="4532" ht="40" customHeight="1">
      <c r="A4532" s="4" t="inlineStr">
        <is>
          <t>original:Cash flow!M8</t>
        </is>
      </c>
      <c r="B4532" s="4" t="inlineStr">
        <is>
          <t>Cash flow</t>
        </is>
      </c>
      <c r="C4532" s="4" t="inlineStr">
        <is>
          <t>M8</t>
        </is>
      </c>
      <c r="D4532" s="4" t="inlineStr">
        <is>
          <t>=SUM(D8:G8)-K8</t>
        </is>
      </c>
      <c r="E4532" s="4" t="n">
        <v>-14278.23333</v>
      </c>
      <c r="F4532" s="4" t="inlineStr">
        <is>
          <t>GOC Bed Unit-Costing Model v2 — working original.xlsx</t>
        </is>
      </c>
    </row>
    <row r="4533" ht="40" customHeight="1">
      <c r="A4533" s="4" t="inlineStr">
        <is>
          <t>original:Cash flow!N8</t>
        </is>
      </c>
      <c r="B4533" s="4" t="inlineStr">
        <is>
          <t>Cash flow</t>
        </is>
      </c>
      <c r="C4533" s="4" t="inlineStr">
        <is>
          <t>N8</t>
        </is>
      </c>
      <c r="D4533" s="4" t="inlineStr">
        <is>
          <t>=L8+M8</t>
        </is>
      </c>
      <c r="E4533" s="4" t="n">
        <v>250665.3</v>
      </c>
      <c r="F4533" s="4" t="inlineStr">
        <is>
          <t>GOC Bed Unit-Costing Model v2 — working original.xlsx</t>
        </is>
      </c>
    </row>
    <row r="4534" ht="40" customHeight="1">
      <c r="A4534" s="4" t="inlineStr">
        <is>
          <t>original:Cash flow!O8</t>
        </is>
      </c>
      <c r="B4534" s="4" t="inlineStr">
        <is>
          <t>Cash flow</t>
        </is>
      </c>
      <c r="C4534" s="4" t="inlineStr">
        <is>
          <t>O8</t>
        </is>
      </c>
      <c r="D4534" s="4" t="inlineStr">
        <is>
          <t>=O7+C8-K8</t>
        </is>
      </c>
      <c r="E4534" s="4" t="n">
        <v>-99334.7</v>
      </c>
      <c r="F4534" s="4" t="inlineStr">
        <is>
          <t>GOC Bed Unit-Costing Model v2 — working original.xlsx</t>
        </is>
      </c>
    </row>
    <row r="4535" ht="40" customHeight="1">
      <c r="A4535" s="4" t="inlineStr">
        <is>
          <t>original:Cash flow!P8</t>
        </is>
      </c>
      <c r="B4535" s="4" t="inlineStr">
        <is>
          <t>Cash flow</t>
        </is>
      </c>
      <c r="C4535" s="4" t="inlineStr">
        <is>
          <t>P8</t>
        </is>
      </c>
      <c r="D4535" s="4" t="inlineStr">
        <is>
          <t>=Overview!B16</t>
        </is>
      </c>
      <c r="E4535" s="4" t="n">
        <v>12</v>
      </c>
      <c r="F4535" s="4" t="inlineStr">
        <is>
          <t>GOC Bed Unit-Costing Model v2 — working original.xlsx</t>
        </is>
      </c>
    </row>
    <row r="4536" ht="40" customHeight="1">
      <c r="A4536" s="4" t="inlineStr">
        <is>
          <t>original:Cash flow!A9</t>
        </is>
      </c>
      <c r="B4536" s="4" t="inlineStr">
        <is>
          <t>Cash flow</t>
        </is>
      </c>
      <c r="C4536" s="4" t="inlineStr">
        <is>
          <t>A9</t>
        </is>
      </c>
      <c r="D4536" s="4" t="n">
        <v>4</v>
      </c>
      <c r="E4536" s="4" t="n">
        <v>4</v>
      </c>
      <c r="F4536" s="4" t="inlineStr">
        <is>
          <t>GOC Bed Unit-Costing Model v2 — working original.xlsx</t>
        </is>
      </c>
    </row>
    <row r="4537" ht="40" customHeight="1">
      <c r="A4537" s="4" t="inlineStr">
        <is>
          <t>original:Cash flow!B9</t>
        </is>
      </c>
      <c r="B4537" s="4" t="inlineStr">
        <is>
          <t>Cash flow</t>
        </is>
      </c>
      <c r="C4537" s="4" t="inlineStr">
        <is>
          <t>B9</t>
        </is>
      </c>
      <c r="D4537" s="4" t="inlineStr">
        <is>
          <t>=DATE(YEAR(Overview!$B$6),MONTH(Overview!$B$6)+A9-1,1)</t>
        </is>
      </c>
      <c r="E4537" s="4" t="inlineStr">
        <is>
          <t>2027-03-01T00:00:00</t>
        </is>
      </c>
      <c r="F4537" s="4" t="inlineStr">
        <is>
          <t>GOC Bed Unit-Costing Model v2 — working original.xlsx</t>
        </is>
      </c>
    </row>
    <row r="4538" ht="40" customHeight="1">
      <c r="A4538" s="4" t="inlineStr">
        <is>
          <t>original:Cash flow!C9</t>
        </is>
      </c>
      <c r="B4538" s="4" t="inlineStr">
        <is>
          <t>Cash flow</t>
        </is>
      </c>
      <c r="C4538" s="4" t="inlineStr">
        <is>
          <t>C9</t>
        </is>
      </c>
      <c r="D4538" s="4" t="inlineStr">
        <is>
          <t>=SUMIF(Funding!F6:F9,A9,Funding!H6:H9)</t>
        </is>
      </c>
      <c r="E4538" s="4" t="n">
        <v>0</v>
      </c>
      <c r="F4538" s="4" t="inlineStr">
        <is>
          <t>GOC Bed Unit-Costing Model v2 — working original.xlsx</t>
        </is>
      </c>
    </row>
    <row r="4539" ht="40" customHeight="1">
      <c r="A4539" s="4" t="inlineStr">
        <is>
          <t>original:Cash flow!D9</t>
        </is>
      </c>
      <c r="B4539" s="4" t="inlineStr">
        <is>
          <t>Cash flow</t>
        </is>
      </c>
      <c r="C4539" s="4" t="inlineStr">
        <is>
          <t>D9</t>
        </is>
      </c>
      <c r="D4539" s="4" t="inlineStr">
        <is>
          <t>=IF(A9=Funding!F6,Funding!D6,0)</t>
        </is>
      </c>
      <c r="E4539" s="4" t="n">
        <v>0</v>
      </c>
      <c r="F4539" s="4" t="inlineStr">
        <is>
          <t>GOC Bed Unit-Costing Model v2 — working original.xlsx</t>
        </is>
      </c>
    </row>
    <row r="4540" ht="40" customHeight="1">
      <c r="A4540" s="4" t="inlineStr">
        <is>
          <t>original:Cash flow!E9</t>
        </is>
      </c>
      <c r="B4540" s="4" t="inlineStr">
        <is>
          <t>Cash flow</t>
        </is>
      </c>
      <c r="C4540" s="4" t="inlineStr">
        <is>
          <t>E9</t>
        </is>
      </c>
      <c r="D4540" s="4" t="inlineStr">
        <is>
          <t>=IF(A9=Funding!F7,Funding!D7,0)+IF(A9=Funding!F9,Funding!D9,0)</t>
        </is>
      </c>
      <c r="E4540" s="4" t="n">
        <v>0</v>
      </c>
      <c r="F4540" s="4" t="inlineStr">
        <is>
          <t>GOC Bed Unit-Costing Model v2 — working original.xlsx</t>
        </is>
      </c>
    </row>
    <row r="4541" ht="40" customHeight="1">
      <c r="A4541" s="4" t="inlineStr">
        <is>
          <t>original:Cash flow!F9</t>
        </is>
      </c>
      <c r="B4541" s="4" t="inlineStr">
        <is>
          <t>Cash flow</t>
        </is>
      </c>
      <c r="C4541" s="4" t="inlineStr">
        <is>
          <t>F9</t>
        </is>
      </c>
      <c r="D4541" s="4" t="inlineStr">
        <is>
          <t>=IF(AND(A9=Funding!F8,Overview!$B$10=1),Funding!D8,0)</t>
        </is>
      </c>
      <c r="E4541" s="4" t="n">
        <v>0</v>
      </c>
      <c r="F4541" s="4" t="inlineStr">
        <is>
          <t>GOC Bed Unit-Costing Model v2 — working original.xlsx</t>
        </is>
      </c>
    </row>
    <row r="4542" ht="40" customHeight="1">
      <c r="A4542" s="4" t="inlineStr">
        <is>
          <t>original:Cash flow!G9</t>
        </is>
      </c>
      <c r="B4542" s="4" t="inlineStr">
        <is>
          <t>Cash flow</t>
        </is>
      </c>
      <c r="C4542" s="4" t="inlineStr">
        <is>
          <t>G9</t>
        </is>
      </c>
      <c r="D4542" s="4" t="inlineStr">
        <is>
          <t>=SUMIF(Production!A6:A41,A9-Overview!$B$9,Production!M6:M41)</t>
        </is>
      </c>
      <c r="E4542" s="4" t="n">
        <v>0</v>
      </c>
      <c r="F4542" s="4" t="inlineStr">
        <is>
          <t>GOC Bed Unit-Costing Model v2 — working original.xlsx</t>
        </is>
      </c>
    </row>
    <row r="4543" ht="45" customHeight="1">
      <c r="A4543" s="4" t="inlineStr">
        <is>
          <t>original:Cash flow!H9</t>
        </is>
      </c>
      <c r="B4543" s="4" t="inlineStr">
        <is>
          <t>Cash flow</t>
        </is>
      </c>
      <c r="C4543" s="4" t="inlineStr">
        <is>
          <t>H9</t>
        </is>
      </c>
      <c r="D4543" s="4" t="inlineStr">
        <is>
          <t>=IF(A9=Sites!J7,Sites!E7*Sites!I7,0)+IF(A9=Sites!F7,Sites!E7*(1-Sites!I7),0)+IF(A9=Sites!J8,Sites!E8*Sites!I8,0)+IF(A9=Sites!F8,Sites!E8*(1-Sites!I8),0)</t>
        </is>
      </c>
      <c r="E4543" s="4" t="n">
        <v>113000</v>
      </c>
      <c r="F4543" s="4" t="inlineStr">
        <is>
          <t>GOC Bed Unit-Costing Model v2 — working original.xlsx</t>
        </is>
      </c>
    </row>
    <row r="4544" ht="40" customHeight="1">
      <c r="A4544" s="4" t="inlineStr">
        <is>
          <t>original:Cash flow!I9</t>
        </is>
      </c>
      <c r="B4544" s="4" t="inlineStr">
        <is>
          <t>Cash flow</t>
        </is>
      </c>
      <c r="C4544" s="4" t="inlineStr">
        <is>
          <t>I9</t>
        </is>
      </c>
      <c r="D4544" s="4" t="inlineStr">
        <is>
          <t>=SUMIF(Production!A6:A41,A9,Production!K6:K41)+SUMIF(Production!A6:A41,A9,Production!L6:L41)</t>
        </is>
      </c>
      <c r="E4544" s="4" t="n">
        <v>8789.799999999999</v>
      </c>
      <c r="F4544" s="4" t="inlineStr">
        <is>
          <t>GOC Bed Unit-Costing Model v2 — working original.xlsx</t>
        </is>
      </c>
    </row>
    <row r="4545" ht="660" customHeight="1">
      <c r="A4545" s="4" t="inlineStr">
        <is>
          <t>original:Cash flow!J9</t>
        </is>
      </c>
      <c r="B4545" s="4" t="inlineStr">
        <is>
          <t>Cash flow</t>
        </is>
      </c>
      <c r="C4545" s="4" t="inlineStr">
        <is>
          <t>J9</t>
        </is>
      </c>
      <c r="D4545" s="4" t="inlineStr">
        <is>
          <t>=IF(AND(ISNUMBER('Cost plan'!H12),'Cost plan'!J12&gt;0,A9&gt;='Cost plan'!I12,A9&lt;'Cost plan'!I12+'Cost plan'!J12),'Cost plan'!H12/MAX(1,'Cost plan'!J12),0)+IF(AND(ISNUMBER('Cost plan'!H13),'Cost plan'!J13&gt;0,A9&gt;='Cost plan'!I13,A9&lt;'Cost plan'!I13+'Cost plan'!J13),'Cost plan'!H13/MAX(1,'Cost plan'!J13),0)+IF(AND(ISNUMBER('Cost plan'!H14),'Cost plan'!J14&gt;0,A9&gt;='Cost plan'!I14,A9&lt;'Cost plan'!I14+'Cost plan'!J14),'Cost plan'!H14/MAX(1,'Cost plan'!J14),0)+IF(AND(ISNUMBER('Cost plan'!H15),'Cost plan'!J15&gt;0,A9&gt;='Cost plan'!I15,A9&lt;'Cost plan'!I15+'Cost plan'!J15),'Cost plan'!H15/MAX(1,'Cost plan'!J15),0)+IF(AND(ISNUMBER('Cost plan'!H16),'Cost plan'!J16&gt;0,A9&gt;='Cost plan'!I16,A9&lt;'Cost plan'!I16+'Cost plan'!J16),'Cost plan'!H16/MAX(1,'Cost plan'!J16),0)+IF(AND(ISNUMBER('Cost plan'!H17),'Cost plan'!J17&gt;0,A9&gt;='Cost plan'!I17,A9&lt;'Cost plan'!I17+'Cost plan'!J17),'Cost plan'!H17/MAX(1,'Cost plan'!J17),0)+IF(AND(ISNUMBER('Cost plan'!H18),'Cost plan'!J18&gt;0,A9&gt;='Cost plan'!I18,A9&lt;'Cost plan'!I18+'Cost plan'!J18),'Cost plan'!H18/MAX(1,'Cost plan'!J18),0)+IF(AND(ISNUMBER('Cost plan'!H19),'Cost plan'!J19&gt;0,A9&gt;='Cost plan'!I19,A9&lt;'Cost plan'!I19+'Cost plan'!J19),'Cost plan'!H19/MAX(1,'Cost plan'!J19),0)+IF(AND(ISNUMBER('Cost plan'!H20),'Cost plan'!J20&gt;0,A9&gt;='Cost plan'!I20,A9&lt;'Cost plan'!I20+'Cost plan'!J20),'Cost plan'!H20/MAX(1,'Cost plan'!J20),0)+IF(AND(ISNUMBER('Cost plan'!H21),'Cost plan'!J21&gt;0,A9&gt;='Cost plan'!I21,A9&lt;'Cost plan'!I21+'Cost plan'!J21),'Cost plan'!H21/MAX(1,'Cost plan'!J21),0)+IF(AND(ISNUMBER('Cost plan'!H22),'Cost plan'!J22&gt;0,A9&gt;='Cost plan'!I22,A9&lt;'Cost plan'!I22+'Cost plan'!J22),'Cost plan'!H22/MAX(1,'Cost plan'!J22),0)+IF(AND(ISNUMBER('Cost plan'!H23),'Cost plan'!J23&gt;0,A9&gt;='Cost plan'!I23,A9&lt;'Cost plan'!I23+'Cost plan'!J23),'Cost plan'!H23/MAX(1,'Cost plan'!J23),0)+IF(AND(ISNUMBER('Cost plan'!H24),'Cost plan'!J24&gt;0,A9&gt;='Cost plan'!I24,A9&lt;'Cost plan'!I24+'Cost plan'!J24),'Cost plan'!H24/MAX(1,'Cost plan'!J24),0)+IF(AND(ISNUMBER('Cost plan'!H25),'Cost plan'!J25&gt;0,A9&gt;='Cost plan'!I25,A9&lt;'Cost plan'!I25+'Cost plan'!J25),'Cost plan'!H25/MAX(1,'Cost plan'!J25),0)+IF(AND(ISNUMBER('Cost plan'!H26),'Cost plan'!J26&gt;0,A9&gt;='Cost plan'!I26,A9&lt;'Cost plan'!I26+'Cost plan'!J26),'Cost plan'!H26/MAX(1,'Cost plan'!J26),0)+IF(AND(ISNUMBER('Cost plan'!H27),'Cost plan'!J27&gt;0,A9&gt;='Cost plan'!I27,A9&lt;'Cost plan'!I27+'Cost plan'!J27),'Cost plan'!H27/MAX(1,'Cost plan'!J27),0)+IF(AND(ISNUMBER('Cost plan'!H28),'Cost plan'!J28&gt;0,A9&gt;='Cost plan'!I28,A9&lt;'Cost plan'!I28+'Cost plan'!J28),'Cost plan'!H28/MAX(1,'Cost plan'!J28),0)+IF(AND(ISNUMBER('Cost plan'!H29),'Cost plan'!J29&gt;0,A9&gt;='Cost plan'!I29,A9&lt;'Cost plan'!I29+'Cost plan'!J29),'Cost plan'!H29/MAX(1,'Cost plan'!J29),0)+IF(AND(ISNUMBER('Cost plan'!H30),'Cost plan'!J30&gt;0,A9&gt;='Cost plan'!I30,A9&lt;'Cost plan'!I30+'Cost plan'!J30),'Cost plan'!H30/MAX(1,'Cost plan'!J30),0)</t>
        </is>
      </c>
      <c r="E4545" s="4" t="n">
        <v>10516.66667</v>
      </c>
      <c r="F4545" s="4" t="inlineStr">
        <is>
          <t>GOC Bed Unit-Costing Model v2 — working original.xlsx</t>
        </is>
      </c>
    </row>
    <row r="4546" ht="40" customHeight="1">
      <c r="A4546" s="4" t="inlineStr">
        <is>
          <t>original:Cash flow!K9</t>
        </is>
      </c>
      <c r="B4546" s="4" t="inlineStr">
        <is>
          <t>Cash flow</t>
        </is>
      </c>
      <c r="C4546" s="4" t="inlineStr">
        <is>
          <t>K9</t>
        </is>
      </c>
      <c r="D4546" s="4" t="inlineStr">
        <is>
          <t>=SUM(H9:J9)</t>
        </is>
      </c>
      <c r="E4546" s="4" t="n">
        <v>132306.4667</v>
      </c>
      <c r="F4546" s="4" t="inlineStr">
        <is>
          <t>GOC Bed Unit-Costing Model v2 — working original.xlsx</t>
        </is>
      </c>
    </row>
    <row r="4547" ht="40" customHeight="1">
      <c r="A4547" s="4" t="inlineStr">
        <is>
          <t>original:Cash flow!L9</t>
        </is>
      </c>
      <c r="B4547" s="4" t="inlineStr">
        <is>
          <t>Cash flow</t>
        </is>
      </c>
      <c r="C4547" s="4" t="inlineStr">
        <is>
          <t>L9</t>
        </is>
      </c>
      <c r="D4547" s="4" t="inlineStr">
        <is>
          <t>=N8</t>
        </is>
      </c>
      <c r="E4547" s="4" t="n">
        <v>250665.3</v>
      </c>
      <c r="F4547" s="4" t="inlineStr">
        <is>
          <t>GOC Bed Unit-Costing Model v2 — working original.xlsx</t>
        </is>
      </c>
    </row>
    <row r="4548" ht="40" customHeight="1">
      <c r="A4548" s="4" t="inlineStr">
        <is>
          <t>original:Cash flow!M9</t>
        </is>
      </c>
      <c r="B4548" s="4" t="inlineStr">
        <is>
          <t>Cash flow</t>
        </is>
      </c>
      <c r="C4548" s="4" t="inlineStr">
        <is>
          <t>M9</t>
        </is>
      </c>
      <c r="D4548" s="4" t="inlineStr">
        <is>
          <t>=SUM(D9:G9)-K9</t>
        </is>
      </c>
      <c r="E4548" s="4" t="n">
        <v>-132306.4667</v>
      </c>
      <c r="F4548" s="4" t="inlineStr">
        <is>
          <t>GOC Bed Unit-Costing Model v2 — working original.xlsx</t>
        </is>
      </c>
    </row>
    <row r="4549" ht="40" customHeight="1">
      <c r="A4549" s="4" t="inlineStr">
        <is>
          <t>original:Cash flow!N9</t>
        </is>
      </c>
      <c r="B4549" s="4" t="inlineStr">
        <is>
          <t>Cash flow</t>
        </is>
      </c>
      <c r="C4549" s="4" t="inlineStr">
        <is>
          <t>N9</t>
        </is>
      </c>
      <c r="D4549" s="4" t="inlineStr">
        <is>
          <t>=L9+M9</t>
        </is>
      </c>
      <c r="E4549" s="4" t="n">
        <v>118358.8333</v>
      </c>
      <c r="F4549" s="4" t="inlineStr">
        <is>
          <t>GOC Bed Unit-Costing Model v2 — working original.xlsx</t>
        </is>
      </c>
    </row>
    <row r="4550" ht="40" customHeight="1">
      <c r="A4550" s="4" t="inlineStr">
        <is>
          <t>original:Cash flow!O9</t>
        </is>
      </c>
      <c r="B4550" s="4" t="inlineStr">
        <is>
          <t>Cash flow</t>
        </is>
      </c>
      <c r="C4550" s="4" t="inlineStr">
        <is>
          <t>O9</t>
        </is>
      </c>
      <c r="D4550" s="4" t="inlineStr">
        <is>
          <t>=O8+C9-K9</t>
        </is>
      </c>
      <c r="E4550" s="4" t="n">
        <v>-231641.1667</v>
      </c>
      <c r="F4550" s="4" t="inlineStr">
        <is>
          <t>GOC Bed Unit-Costing Model v2 — working original.xlsx</t>
        </is>
      </c>
    </row>
    <row r="4551" ht="40" customHeight="1">
      <c r="A4551" s="4" t="inlineStr">
        <is>
          <t>original:Cash flow!P9</t>
        </is>
      </c>
      <c r="B4551" s="4" t="inlineStr">
        <is>
          <t>Cash flow</t>
        </is>
      </c>
      <c r="C4551" s="4" t="inlineStr">
        <is>
          <t>P9</t>
        </is>
      </c>
      <c r="D4551" s="4" t="inlineStr">
        <is>
          <t>=Overview!B16</t>
        </is>
      </c>
      <c r="E4551" s="4" t="n">
        <v>12</v>
      </c>
      <c r="F4551" s="4" t="inlineStr">
        <is>
          <t>GOC Bed Unit-Costing Model v2 — working original.xlsx</t>
        </is>
      </c>
    </row>
    <row r="4552" ht="40" customHeight="1">
      <c r="A4552" s="4" t="inlineStr">
        <is>
          <t>original:Cash flow!A10</t>
        </is>
      </c>
      <c r="B4552" s="4" t="inlineStr">
        <is>
          <t>Cash flow</t>
        </is>
      </c>
      <c r="C4552" s="4" t="inlineStr">
        <is>
          <t>A10</t>
        </is>
      </c>
      <c r="D4552" s="4" t="n">
        <v>5</v>
      </c>
      <c r="E4552" s="4" t="n">
        <v>5</v>
      </c>
      <c r="F4552" s="4" t="inlineStr">
        <is>
          <t>GOC Bed Unit-Costing Model v2 — working original.xlsx</t>
        </is>
      </c>
    </row>
    <row r="4553" ht="40" customHeight="1">
      <c r="A4553" s="4" t="inlineStr">
        <is>
          <t>original:Cash flow!B10</t>
        </is>
      </c>
      <c r="B4553" s="4" t="inlineStr">
        <is>
          <t>Cash flow</t>
        </is>
      </c>
      <c r="C4553" s="4" t="inlineStr">
        <is>
          <t>B10</t>
        </is>
      </c>
      <c r="D4553" s="4" t="inlineStr">
        <is>
          <t>=DATE(YEAR(Overview!$B$6),MONTH(Overview!$B$6)+A10-1,1)</t>
        </is>
      </c>
      <c r="E4553" s="4" t="inlineStr">
        <is>
          <t>2027-04-01T00:00:00</t>
        </is>
      </c>
      <c r="F4553" s="4" t="inlineStr">
        <is>
          <t>GOC Bed Unit-Costing Model v2 — working original.xlsx</t>
        </is>
      </c>
    </row>
    <row r="4554" ht="40" customHeight="1">
      <c r="A4554" s="4" t="inlineStr">
        <is>
          <t>original:Cash flow!C10</t>
        </is>
      </c>
      <c r="B4554" s="4" t="inlineStr">
        <is>
          <t>Cash flow</t>
        </is>
      </c>
      <c r="C4554" s="4" t="inlineStr">
        <is>
          <t>C10</t>
        </is>
      </c>
      <c r="D4554" s="4" t="inlineStr">
        <is>
          <t>=SUMIF(Funding!F6:F9,A10,Funding!H6:H9)</t>
        </is>
      </c>
      <c r="E4554" s="4" t="n">
        <v>0</v>
      </c>
      <c r="F4554" s="4" t="inlineStr">
        <is>
          <t>GOC Bed Unit-Costing Model v2 — working original.xlsx</t>
        </is>
      </c>
    </row>
    <row r="4555" ht="40" customHeight="1">
      <c r="A4555" s="4" t="inlineStr">
        <is>
          <t>original:Cash flow!D10</t>
        </is>
      </c>
      <c r="B4555" s="4" t="inlineStr">
        <is>
          <t>Cash flow</t>
        </is>
      </c>
      <c r="C4555" s="4" t="inlineStr">
        <is>
          <t>D10</t>
        </is>
      </c>
      <c r="D4555" s="4" t="inlineStr">
        <is>
          <t>=IF(A10=Funding!F6,Funding!D6,0)</t>
        </is>
      </c>
      <c r="E4555" s="4" t="n">
        <v>0</v>
      </c>
      <c r="F4555" s="4" t="inlineStr">
        <is>
          <t>GOC Bed Unit-Costing Model v2 — working original.xlsx</t>
        </is>
      </c>
    </row>
    <row r="4556" ht="40" customHeight="1">
      <c r="A4556" s="4" t="inlineStr">
        <is>
          <t>original:Cash flow!E10</t>
        </is>
      </c>
      <c r="B4556" s="4" t="inlineStr">
        <is>
          <t>Cash flow</t>
        </is>
      </c>
      <c r="C4556" s="4" t="inlineStr">
        <is>
          <t>E10</t>
        </is>
      </c>
      <c r="D4556" s="4" t="inlineStr">
        <is>
          <t>=IF(A10=Funding!F7,Funding!D7,0)+IF(A10=Funding!F9,Funding!D9,0)</t>
        </is>
      </c>
      <c r="E4556" s="4" t="n">
        <v>0</v>
      </c>
      <c r="F4556" s="4" t="inlineStr">
        <is>
          <t>GOC Bed Unit-Costing Model v2 — working original.xlsx</t>
        </is>
      </c>
    </row>
    <row r="4557" ht="40" customHeight="1">
      <c r="A4557" s="4" t="inlineStr">
        <is>
          <t>original:Cash flow!F10</t>
        </is>
      </c>
      <c r="B4557" s="4" t="inlineStr">
        <is>
          <t>Cash flow</t>
        </is>
      </c>
      <c r="C4557" s="4" t="inlineStr">
        <is>
          <t>F10</t>
        </is>
      </c>
      <c r="D4557" s="4" t="inlineStr">
        <is>
          <t>=IF(AND(A10=Funding!F8,Overview!$B$10=1),Funding!D8,0)</t>
        </is>
      </c>
      <c r="E4557" s="4" t="n">
        <v>0</v>
      </c>
      <c r="F4557" s="4" t="inlineStr">
        <is>
          <t>GOC Bed Unit-Costing Model v2 — working original.xlsx</t>
        </is>
      </c>
    </row>
    <row r="4558" ht="40" customHeight="1">
      <c r="A4558" s="4" t="inlineStr">
        <is>
          <t>original:Cash flow!G10</t>
        </is>
      </c>
      <c r="B4558" s="4" t="inlineStr">
        <is>
          <t>Cash flow</t>
        </is>
      </c>
      <c r="C4558" s="4" t="inlineStr">
        <is>
          <t>G10</t>
        </is>
      </c>
      <c r="D4558" s="4" t="inlineStr">
        <is>
          <t>=SUMIF(Production!A6:A41,A10-Overview!$B$9,Production!M6:M41)</t>
        </is>
      </c>
      <c r="E4558" s="4" t="n">
        <v>0</v>
      </c>
      <c r="F4558" s="4" t="inlineStr">
        <is>
          <t>GOC Bed Unit-Costing Model v2 — working original.xlsx</t>
        </is>
      </c>
    </row>
    <row r="4559" ht="45" customHeight="1">
      <c r="A4559" s="4" t="inlineStr">
        <is>
          <t>original:Cash flow!H10</t>
        </is>
      </c>
      <c r="B4559" s="4" t="inlineStr">
        <is>
          <t>Cash flow</t>
        </is>
      </c>
      <c r="C4559" s="4" t="inlineStr">
        <is>
          <t>H10</t>
        </is>
      </c>
      <c r="D4559" s="4" t="inlineStr">
        <is>
          <t>=IF(A10=Sites!J7,Sites!E7*Sites!I7,0)+IF(A10=Sites!F7,Sites!E7*(1-Sites!I7),0)+IF(A10=Sites!J8,Sites!E8*Sites!I8,0)+IF(A10=Sites!F8,Sites!E8*(1-Sites!I8),0)</t>
        </is>
      </c>
      <c r="E4559" s="4" t="n">
        <v>0</v>
      </c>
      <c r="F4559" s="4" t="inlineStr">
        <is>
          <t>GOC Bed Unit-Costing Model v2 — working original.xlsx</t>
        </is>
      </c>
    </row>
    <row r="4560" ht="40" customHeight="1">
      <c r="A4560" s="4" t="inlineStr">
        <is>
          <t>original:Cash flow!I10</t>
        </is>
      </c>
      <c r="B4560" s="4" t="inlineStr">
        <is>
          <t>Cash flow</t>
        </is>
      </c>
      <c r="C4560" s="4" t="inlineStr">
        <is>
          <t>I10</t>
        </is>
      </c>
      <c r="D4560" s="4" t="inlineStr">
        <is>
          <t>=SUMIF(Production!A6:A41,A10,Production!K6:K41)+SUMIF(Production!A6:A41,A10,Production!L6:L41)</t>
        </is>
      </c>
      <c r="E4560" s="4" t="n">
        <v>10893.5</v>
      </c>
      <c r="F4560" s="4" t="inlineStr">
        <is>
          <t>GOC Bed Unit-Costing Model v2 — working original.xlsx</t>
        </is>
      </c>
    </row>
    <row r="4561" ht="675" customHeight="1">
      <c r="A4561" s="4" t="inlineStr">
        <is>
          <t>original:Cash flow!J10</t>
        </is>
      </c>
      <c r="B4561" s="4" t="inlineStr">
        <is>
          <t>Cash flow</t>
        </is>
      </c>
      <c r="C4561" s="4" t="inlineStr">
        <is>
          <t>J10</t>
        </is>
      </c>
      <c r="D4561" s="4" t="inlineStr">
        <is>
          <t>=IF(AND(ISNUMBER('Cost plan'!H12),'Cost plan'!J12&gt;0,A10&gt;='Cost plan'!I12,A10&lt;'Cost plan'!I12+'Cost plan'!J12),'Cost plan'!H12/MAX(1,'Cost plan'!J12),0)+IF(AND(ISNUMBER('Cost plan'!H13),'Cost plan'!J13&gt;0,A10&gt;='Cost plan'!I13,A10&lt;'Cost plan'!I13+'Cost plan'!J13),'Cost plan'!H13/MAX(1,'Cost plan'!J13),0)+IF(AND(ISNUMBER('Cost plan'!H14),'Cost plan'!J14&gt;0,A10&gt;='Cost plan'!I14,A10&lt;'Cost plan'!I14+'Cost plan'!J14),'Cost plan'!H14/MAX(1,'Cost plan'!J14),0)+IF(AND(ISNUMBER('Cost plan'!H15),'Cost plan'!J15&gt;0,A10&gt;='Cost plan'!I15,A10&lt;'Cost plan'!I15+'Cost plan'!J15),'Cost plan'!H15/MAX(1,'Cost plan'!J15),0)+IF(AND(ISNUMBER('Cost plan'!H16),'Cost plan'!J16&gt;0,A10&gt;='Cost plan'!I16,A10&lt;'Cost plan'!I16+'Cost plan'!J16),'Cost plan'!H16/MAX(1,'Cost plan'!J16),0)+IF(AND(ISNUMBER('Cost plan'!H17),'Cost plan'!J17&gt;0,A10&gt;='Cost plan'!I17,A10&lt;'Cost plan'!I17+'Cost plan'!J17),'Cost plan'!H17/MAX(1,'Cost plan'!J17),0)+IF(AND(ISNUMBER('Cost plan'!H18),'Cost plan'!J18&gt;0,A10&gt;='Cost plan'!I18,A10&lt;'Cost plan'!I18+'Cost plan'!J18),'Cost plan'!H18/MAX(1,'Cost plan'!J18),0)+IF(AND(ISNUMBER('Cost plan'!H19),'Cost plan'!J19&gt;0,A10&gt;='Cost plan'!I19,A10&lt;'Cost plan'!I19+'Cost plan'!J19),'Cost plan'!H19/MAX(1,'Cost plan'!J19),0)+IF(AND(ISNUMBER('Cost plan'!H20),'Cost plan'!J20&gt;0,A10&gt;='Cost plan'!I20,A10&lt;'Cost plan'!I20+'Cost plan'!J20),'Cost plan'!H20/MAX(1,'Cost plan'!J20),0)+IF(AND(ISNUMBER('Cost plan'!H21),'Cost plan'!J21&gt;0,A10&gt;='Cost plan'!I21,A10&lt;'Cost plan'!I21+'Cost plan'!J21),'Cost plan'!H21/MAX(1,'Cost plan'!J21),0)+IF(AND(ISNUMBER('Cost plan'!H22),'Cost plan'!J22&gt;0,A10&gt;='Cost plan'!I22,A10&lt;'Cost plan'!I22+'Cost plan'!J22),'Cost plan'!H22/MAX(1,'Cost plan'!J22),0)+IF(AND(ISNUMBER('Cost plan'!H23),'Cost plan'!J23&gt;0,A10&gt;='Cost plan'!I23,A10&lt;'Cost plan'!I23+'Cost plan'!J23),'Cost plan'!H23/MAX(1,'Cost plan'!J23),0)+IF(AND(ISNUMBER('Cost plan'!H24),'Cost plan'!J24&gt;0,A10&gt;='Cost plan'!I24,A10&lt;'Cost plan'!I24+'Cost plan'!J24),'Cost plan'!H24/MAX(1,'Cost plan'!J24),0)+IF(AND(ISNUMBER('Cost plan'!H25),'Cost plan'!J25&gt;0,A10&gt;='Cost plan'!I25,A10&lt;'Cost plan'!I25+'Cost plan'!J25),'Cost plan'!H25/MAX(1,'Cost plan'!J25),0)+IF(AND(ISNUMBER('Cost plan'!H26),'Cost plan'!J26&gt;0,A10&gt;='Cost plan'!I26,A10&lt;'Cost plan'!I26+'Cost plan'!J26),'Cost plan'!H26/MAX(1,'Cost plan'!J26),0)+IF(AND(ISNUMBER('Cost plan'!H27),'Cost plan'!J27&gt;0,A10&gt;='Cost plan'!I27,A10&lt;'Cost plan'!I27+'Cost plan'!J27),'Cost plan'!H27/MAX(1,'Cost plan'!J27),0)+IF(AND(ISNUMBER('Cost plan'!H28),'Cost plan'!J28&gt;0,A10&gt;='Cost plan'!I28,A10&lt;'Cost plan'!I28+'Cost plan'!J28),'Cost plan'!H28/MAX(1,'Cost plan'!J28),0)+IF(AND(ISNUMBER('Cost plan'!H29),'Cost plan'!J29&gt;0,A10&gt;='Cost plan'!I29,A10&lt;'Cost plan'!I29+'Cost plan'!J29),'Cost plan'!H29/MAX(1,'Cost plan'!J29),0)+IF(AND(ISNUMBER('Cost plan'!H30),'Cost plan'!J30&gt;0,A10&gt;='Cost plan'!I30,A10&lt;'Cost plan'!I30+'Cost plan'!J30),'Cost plan'!H30/MAX(1,'Cost plan'!J30),0)</t>
        </is>
      </c>
      <c r="E4561" s="4" t="n">
        <v>10516.66667</v>
      </c>
      <c r="F4561" s="4" t="inlineStr">
        <is>
          <t>GOC Bed Unit-Costing Model v2 — working original.xlsx</t>
        </is>
      </c>
    </row>
    <row r="4562" ht="40" customHeight="1">
      <c r="A4562" s="4" t="inlineStr">
        <is>
          <t>original:Cash flow!K10</t>
        </is>
      </c>
      <c r="B4562" s="4" t="inlineStr">
        <is>
          <t>Cash flow</t>
        </is>
      </c>
      <c r="C4562" s="4" t="inlineStr">
        <is>
          <t>K10</t>
        </is>
      </c>
      <c r="D4562" s="4" t="inlineStr">
        <is>
          <t>=SUM(H10:J10)</t>
        </is>
      </c>
      <c r="E4562" s="4" t="n">
        <v>21410.16667</v>
      </c>
      <c r="F4562" s="4" t="inlineStr">
        <is>
          <t>GOC Bed Unit-Costing Model v2 — working original.xlsx</t>
        </is>
      </c>
    </row>
    <row r="4563" ht="40" customHeight="1">
      <c r="A4563" s="4" t="inlineStr">
        <is>
          <t>original:Cash flow!L10</t>
        </is>
      </c>
      <c r="B4563" s="4" t="inlineStr">
        <is>
          <t>Cash flow</t>
        </is>
      </c>
      <c r="C4563" s="4" t="inlineStr">
        <is>
          <t>L10</t>
        </is>
      </c>
      <c r="D4563" s="4" t="inlineStr">
        <is>
          <t>=N9</t>
        </is>
      </c>
      <c r="E4563" s="4" t="n">
        <v>118358.8333</v>
      </c>
      <c r="F4563" s="4" t="inlineStr">
        <is>
          <t>GOC Bed Unit-Costing Model v2 — working original.xlsx</t>
        </is>
      </c>
    </row>
    <row r="4564" ht="40" customHeight="1">
      <c r="A4564" s="4" t="inlineStr">
        <is>
          <t>original:Cash flow!M10</t>
        </is>
      </c>
      <c r="B4564" s="4" t="inlineStr">
        <is>
          <t>Cash flow</t>
        </is>
      </c>
      <c r="C4564" s="4" t="inlineStr">
        <is>
          <t>M10</t>
        </is>
      </c>
      <c r="D4564" s="4" t="inlineStr">
        <is>
          <t>=SUM(D10:G10)-K10</t>
        </is>
      </c>
      <c r="E4564" s="4" t="n">
        <v>-21410.16667</v>
      </c>
      <c r="F4564" s="4" t="inlineStr">
        <is>
          <t>GOC Bed Unit-Costing Model v2 — working original.xlsx</t>
        </is>
      </c>
    </row>
    <row r="4565" ht="40" customHeight="1">
      <c r="A4565" s="4" t="inlineStr">
        <is>
          <t>original:Cash flow!N10</t>
        </is>
      </c>
      <c r="B4565" s="4" t="inlineStr">
        <is>
          <t>Cash flow</t>
        </is>
      </c>
      <c r="C4565" s="4" t="inlineStr">
        <is>
          <t>N10</t>
        </is>
      </c>
      <c r="D4565" s="4" t="inlineStr">
        <is>
          <t>=L10+M10</t>
        </is>
      </c>
      <c r="E4565" s="4" t="n">
        <v>96948.66667000001</v>
      </c>
      <c r="F4565" s="4" t="inlineStr">
        <is>
          <t>GOC Bed Unit-Costing Model v2 — working original.xlsx</t>
        </is>
      </c>
    </row>
    <row r="4566" ht="40" customHeight="1">
      <c r="A4566" s="4" t="inlineStr">
        <is>
          <t>original:Cash flow!O10</t>
        </is>
      </c>
      <c r="B4566" s="4" t="inlineStr">
        <is>
          <t>Cash flow</t>
        </is>
      </c>
      <c r="C4566" s="4" t="inlineStr">
        <is>
          <t>O10</t>
        </is>
      </c>
      <c r="D4566" s="4" t="inlineStr">
        <is>
          <t>=O9+C10-K10</t>
        </is>
      </c>
      <c r="E4566" s="4" t="n">
        <v>-253051.3333</v>
      </c>
      <c r="F4566" s="4" t="inlineStr">
        <is>
          <t>GOC Bed Unit-Costing Model v2 — working original.xlsx</t>
        </is>
      </c>
    </row>
    <row r="4567" ht="40" customHeight="1">
      <c r="A4567" s="4" t="inlineStr">
        <is>
          <t>original:Cash flow!P10</t>
        </is>
      </c>
      <c r="B4567" s="4" t="inlineStr">
        <is>
          <t>Cash flow</t>
        </is>
      </c>
      <c r="C4567" s="4" t="inlineStr">
        <is>
          <t>P10</t>
        </is>
      </c>
      <c r="D4567" s="4" t="inlineStr">
        <is>
          <t>=Overview!B16</t>
        </is>
      </c>
      <c r="E4567" s="4" t="n">
        <v>12</v>
      </c>
      <c r="F4567" s="4" t="inlineStr">
        <is>
          <t>GOC Bed Unit-Costing Model v2 — working original.xlsx</t>
        </is>
      </c>
    </row>
    <row r="4568" ht="40" customHeight="1">
      <c r="A4568" s="4" t="inlineStr">
        <is>
          <t>original:Cash flow!A11</t>
        </is>
      </c>
      <c r="B4568" s="4" t="inlineStr">
        <is>
          <t>Cash flow</t>
        </is>
      </c>
      <c r="C4568" s="4" t="inlineStr">
        <is>
          <t>A11</t>
        </is>
      </c>
      <c r="D4568" s="4" t="n">
        <v>6</v>
      </c>
      <c r="E4568" s="4" t="n">
        <v>6</v>
      </c>
      <c r="F4568" s="4" t="inlineStr">
        <is>
          <t>GOC Bed Unit-Costing Model v2 — working original.xlsx</t>
        </is>
      </c>
    </row>
    <row r="4569" ht="40" customHeight="1">
      <c r="A4569" s="4" t="inlineStr">
        <is>
          <t>original:Cash flow!B11</t>
        </is>
      </c>
      <c r="B4569" s="4" t="inlineStr">
        <is>
          <t>Cash flow</t>
        </is>
      </c>
      <c r="C4569" s="4" t="inlineStr">
        <is>
          <t>B11</t>
        </is>
      </c>
      <c r="D4569" s="4" t="inlineStr">
        <is>
          <t>=DATE(YEAR(Overview!$B$6),MONTH(Overview!$B$6)+A11-1,1)</t>
        </is>
      </c>
      <c r="E4569" s="4" t="inlineStr">
        <is>
          <t>2027-05-01T00:00:00</t>
        </is>
      </c>
      <c r="F4569" s="4" t="inlineStr">
        <is>
          <t>GOC Bed Unit-Costing Model v2 — working original.xlsx</t>
        </is>
      </c>
    </row>
    <row r="4570" ht="40" customHeight="1">
      <c r="A4570" s="4" t="inlineStr">
        <is>
          <t>original:Cash flow!C11</t>
        </is>
      </c>
      <c r="B4570" s="4" t="inlineStr">
        <is>
          <t>Cash flow</t>
        </is>
      </c>
      <c r="C4570" s="4" t="inlineStr">
        <is>
          <t>C11</t>
        </is>
      </c>
      <c r="D4570" s="4" t="inlineStr">
        <is>
          <t>=SUMIF(Funding!F6:F9,A11,Funding!H6:H9)</t>
        </is>
      </c>
      <c r="E4570" s="4" t="n">
        <v>0</v>
      </c>
      <c r="F4570" s="4" t="inlineStr">
        <is>
          <t>GOC Bed Unit-Costing Model v2 — working original.xlsx</t>
        </is>
      </c>
    </row>
    <row r="4571" ht="40" customHeight="1">
      <c r="A4571" s="4" t="inlineStr">
        <is>
          <t>original:Cash flow!D11</t>
        </is>
      </c>
      <c r="B4571" s="4" t="inlineStr">
        <is>
          <t>Cash flow</t>
        </is>
      </c>
      <c r="C4571" s="4" t="inlineStr">
        <is>
          <t>D11</t>
        </is>
      </c>
      <c r="D4571" s="4" t="inlineStr">
        <is>
          <t>=IF(A11=Funding!F6,Funding!D6,0)</t>
        </is>
      </c>
      <c r="E4571" s="4" t="n">
        <v>0</v>
      </c>
      <c r="F4571" s="4" t="inlineStr">
        <is>
          <t>GOC Bed Unit-Costing Model v2 — working original.xlsx</t>
        </is>
      </c>
    </row>
    <row r="4572" ht="40" customHeight="1">
      <c r="A4572" s="4" t="inlineStr">
        <is>
          <t>original:Cash flow!E11</t>
        </is>
      </c>
      <c r="B4572" s="4" t="inlineStr">
        <is>
          <t>Cash flow</t>
        </is>
      </c>
      <c r="C4572" s="4" t="inlineStr">
        <is>
          <t>E11</t>
        </is>
      </c>
      <c r="D4572" s="4" t="inlineStr">
        <is>
          <t>=IF(A11=Funding!F7,Funding!D7,0)+IF(A11=Funding!F9,Funding!D9,0)</t>
        </is>
      </c>
      <c r="E4572" s="4" t="n">
        <v>0</v>
      </c>
      <c r="F4572" s="4" t="inlineStr">
        <is>
          <t>GOC Bed Unit-Costing Model v2 — working original.xlsx</t>
        </is>
      </c>
    </row>
    <row r="4573" ht="40" customHeight="1">
      <c r="A4573" s="4" t="inlineStr">
        <is>
          <t>original:Cash flow!F11</t>
        </is>
      </c>
      <c r="B4573" s="4" t="inlineStr">
        <is>
          <t>Cash flow</t>
        </is>
      </c>
      <c r="C4573" s="4" t="inlineStr">
        <is>
          <t>F11</t>
        </is>
      </c>
      <c r="D4573" s="4" t="inlineStr">
        <is>
          <t>=IF(AND(A11=Funding!F8,Overview!$B$10=1),Funding!D8,0)</t>
        </is>
      </c>
      <c r="E4573" s="4" t="n">
        <v>0</v>
      </c>
      <c r="F4573" s="4" t="inlineStr">
        <is>
          <t>GOC Bed Unit-Costing Model v2 — working original.xlsx</t>
        </is>
      </c>
    </row>
    <row r="4574" ht="40" customHeight="1">
      <c r="A4574" s="4" t="inlineStr">
        <is>
          <t>original:Cash flow!G11</t>
        </is>
      </c>
      <c r="B4574" s="4" t="inlineStr">
        <is>
          <t>Cash flow</t>
        </is>
      </c>
      <c r="C4574" s="4" t="inlineStr">
        <is>
          <t>G11</t>
        </is>
      </c>
      <c r="D4574" s="4" t="inlineStr">
        <is>
          <t>=SUMIF(Production!A6:A41,A11-Overview!$B$9,Production!M6:M41)</t>
        </is>
      </c>
      <c r="E4574" s="4" t="n">
        <v>0</v>
      </c>
      <c r="F4574" s="4" t="inlineStr">
        <is>
          <t>GOC Bed Unit-Costing Model v2 — working original.xlsx</t>
        </is>
      </c>
    </row>
    <row r="4575" ht="45" customHeight="1">
      <c r="A4575" s="4" t="inlineStr">
        <is>
          <t>original:Cash flow!H11</t>
        </is>
      </c>
      <c r="B4575" s="4" t="inlineStr">
        <is>
          <t>Cash flow</t>
        </is>
      </c>
      <c r="C4575" s="4" t="inlineStr">
        <is>
          <t>H11</t>
        </is>
      </c>
      <c r="D4575" s="4" t="inlineStr">
        <is>
          <t>=IF(A11=Sites!J7,Sites!E7*Sites!I7,0)+IF(A11=Sites!F7,Sites!E7*(1-Sites!I7),0)+IF(A11=Sites!J8,Sites!E8*Sites!I8,0)+IF(A11=Sites!F8,Sites!E8*(1-Sites!I8),0)</t>
        </is>
      </c>
      <c r="E4575" s="4" t="n">
        <v>0</v>
      </c>
      <c r="F4575" s="4" t="inlineStr">
        <is>
          <t>GOC Bed Unit-Costing Model v2 — working original.xlsx</t>
        </is>
      </c>
    </row>
    <row r="4576" ht="40" customHeight="1">
      <c r="A4576" s="4" t="inlineStr">
        <is>
          <t>original:Cash flow!I11</t>
        </is>
      </c>
      <c r="B4576" s="4" t="inlineStr">
        <is>
          <t>Cash flow</t>
        </is>
      </c>
      <c r="C4576" s="4" t="inlineStr">
        <is>
          <t>I11</t>
        </is>
      </c>
      <c r="D4576" s="4" t="inlineStr">
        <is>
          <t>=SUMIF(Production!A6:A41,A11,Production!K6:K41)+SUMIF(Production!A6:A41,A11,Production!L6:L41)</t>
        </is>
      </c>
      <c r="E4576" s="4" t="n">
        <v>13122.2</v>
      </c>
      <c r="F4576" s="4" t="inlineStr">
        <is>
          <t>GOC Bed Unit-Costing Model v2 — working original.xlsx</t>
        </is>
      </c>
    </row>
    <row r="4577" ht="675" customHeight="1">
      <c r="A4577" s="4" t="inlineStr">
        <is>
          <t>original:Cash flow!J11</t>
        </is>
      </c>
      <c r="B4577" s="4" t="inlineStr">
        <is>
          <t>Cash flow</t>
        </is>
      </c>
      <c r="C4577" s="4" t="inlineStr">
        <is>
          <t>J11</t>
        </is>
      </c>
      <c r="D4577" s="4" t="inlineStr">
        <is>
          <t>=IF(AND(ISNUMBER('Cost plan'!H12),'Cost plan'!J12&gt;0,A11&gt;='Cost plan'!I12,A11&lt;'Cost plan'!I12+'Cost plan'!J12),'Cost plan'!H12/MAX(1,'Cost plan'!J12),0)+IF(AND(ISNUMBER('Cost plan'!H13),'Cost plan'!J13&gt;0,A11&gt;='Cost plan'!I13,A11&lt;'Cost plan'!I13+'Cost plan'!J13),'Cost plan'!H13/MAX(1,'Cost plan'!J13),0)+IF(AND(ISNUMBER('Cost plan'!H14),'Cost plan'!J14&gt;0,A11&gt;='Cost plan'!I14,A11&lt;'Cost plan'!I14+'Cost plan'!J14),'Cost plan'!H14/MAX(1,'Cost plan'!J14),0)+IF(AND(ISNUMBER('Cost plan'!H15),'Cost plan'!J15&gt;0,A11&gt;='Cost plan'!I15,A11&lt;'Cost plan'!I15+'Cost plan'!J15),'Cost plan'!H15/MAX(1,'Cost plan'!J15),0)+IF(AND(ISNUMBER('Cost plan'!H16),'Cost plan'!J16&gt;0,A11&gt;='Cost plan'!I16,A11&lt;'Cost plan'!I16+'Cost plan'!J16),'Cost plan'!H16/MAX(1,'Cost plan'!J16),0)+IF(AND(ISNUMBER('Cost plan'!H17),'Cost plan'!J17&gt;0,A11&gt;='Cost plan'!I17,A11&lt;'Cost plan'!I17+'Cost plan'!J17),'Cost plan'!H17/MAX(1,'Cost plan'!J17),0)+IF(AND(ISNUMBER('Cost plan'!H18),'Cost plan'!J18&gt;0,A11&gt;='Cost plan'!I18,A11&lt;'Cost plan'!I18+'Cost plan'!J18),'Cost plan'!H18/MAX(1,'Cost plan'!J18),0)+IF(AND(ISNUMBER('Cost plan'!H19),'Cost plan'!J19&gt;0,A11&gt;='Cost plan'!I19,A11&lt;'Cost plan'!I19+'Cost plan'!J19),'Cost plan'!H19/MAX(1,'Cost plan'!J19),0)+IF(AND(ISNUMBER('Cost plan'!H20),'Cost plan'!J20&gt;0,A11&gt;='Cost plan'!I20,A11&lt;'Cost plan'!I20+'Cost plan'!J20),'Cost plan'!H20/MAX(1,'Cost plan'!J20),0)+IF(AND(ISNUMBER('Cost plan'!H21),'Cost plan'!J21&gt;0,A11&gt;='Cost plan'!I21,A11&lt;'Cost plan'!I21+'Cost plan'!J21),'Cost plan'!H21/MAX(1,'Cost plan'!J21),0)+IF(AND(ISNUMBER('Cost plan'!H22),'Cost plan'!J22&gt;0,A11&gt;='Cost plan'!I22,A11&lt;'Cost plan'!I22+'Cost plan'!J22),'Cost plan'!H22/MAX(1,'Cost plan'!J22),0)+IF(AND(ISNUMBER('Cost plan'!H23),'Cost plan'!J23&gt;0,A11&gt;='Cost plan'!I23,A11&lt;'Cost plan'!I23+'Cost plan'!J23),'Cost plan'!H23/MAX(1,'Cost plan'!J23),0)+IF(AND(ISNUMBER('Cost plan'!H24),'Cost plan'!J24&gt;0,A11&gt;='Cost plan'!I24,A11&lt;'Cost plan'!I24+'Cost plan'!J24),'Cost plan'!H24/MAX(1,'Cost plan'!J24),0)+IF(AND(ISNUMBER('Cost plan'!H25),'Cost plan'!J25&gt;0,A11&gt;='Cost plan'!I25,A11&lt;'Cost plan'!I25+'Cost plan'!J25),'Cost plan'!H25/MAX(1,'Cost plan'!J25),0)+IF(AND(ISNUMBER('Cost plan'!H26),'Cost plan'!J26&gt;0,A11&gt;='Cost plan'!I26,A11&lt;'Cost plan'!I26+'Cost plan'!J26),'Cost plan'!H26/MAX(1,'Cost plan'!J26),0)+IF(AND(ISNUMBER('Cost plan'!H27),'Cost plan'!J27&gt;0,A11&gt;='Cost plan'!I27,A11&lt;'Cost plan'!I27+'Cost plan'!J27),'Cost plan'!H27/MAX(1,'Cost plan'!J27),0)+IF(AND(ISNUMBER('Cost plan'!H28),'Cost plan'!J28&gt;0,A11&gt;='Cost plan'!I28,A11&lt;'Cost plan'!I28+'Cost plan'!J28),'Cost plan'!H28/MAX(1,'Cost plan'!J28),0)+IF(AND(ISNUMBER('Cost plan'!H29),'Cost plan'!J29&gt;0,A11&gt;='Cost plan'!I29,A11&lt;'Cost plan'!I29+'Cost plan'!J29),'Cost plan'!H29/MAX(1,'Cost plan'!J29),0)+IF(AND(ISNUMBER('Cost plan'!H30),'Cost plan'!J30&gt;0,A11&gt;='Cost plan'!I30,A11&lt;'Cost plan'!I30+'Cost plan'!J30),'Cost plan'!H30/MAX(1,'Cost plan'!J30),0)</t>
        </is>
      </c>
      <c r="E4577" s="4" t="n">
        <v>10516.66667</v>
      </c>
      <c r="F4577" s="4" t="inlineStr">
        <is>
          <t>GOC Bed Unit-Costing Model v2 — working original.xlsx</t>
        </is>
      </c>
    </row>
    <row r="4578" ht="40" customHeight="1">
      <c r="A4578" s="4" t="inlineStr">
        <is>
          <t>original:Cash flow!K11</t>
        </is>
      </c>
      <c r="B4578" s="4" t="inlineStr">
        <is>
          <t>Cash flow</t>
        </is>
      </c>
      <c r="C4578" s="4" t="inlineStr">
        <is>
          <t>K11</t>
        </is>
      </c>
      <c r="D4578" s="4" t="inlineStr">
        <is>
          <t>=SUM(H11:J11)</t>
        </is>
      </c>
      <c r="E4578" s="4" t="n">
        <v>23638.86667</v>
      </c>
      <c r="F4578" s="4" t="inlineStr">
        <is>
          <t>GOC Bed Unit-Costing Model v2 — working original.xlsx</t>
        </is>
      </c>
    </row>
    <row r="4579" ht="40" customHeight="1">
      <c r="A4579" s="4" t="inlineStr">
        <is>
          <t>original:Cash flow!L11</t>
        </is>
      </c>
      <c r="B4579" s="4" t="inlineStr">
        <is>
          <t>Cash flow</t>
        </is>
      </c>
      <c r="C4579" s="4" t="inlineStr">
        <is>
          <t>L11</t>
        </is>
      </c>
      <c r="D4579" s="4" t="inlineStr">
        <is>
          <t>=N10</t>
        </is>
      </c>
      <c r="E4579" s="4" t="n">
        <v>96948.66667000001</v>
      </c>
      <c r="F4579" s="4" t="inlineStr">
        <is>
          <t>GOC Bed Unit-Costing Model v2 — working original.xlsx</t>
        </is>
      </c>
    </row>
    <row r="4580" ht="40" customHeight="1">
      <c r="A4580" s="4" t="inlineStr">
        <is>
          <t>original:Cash flow!M11</t>
        </is>
      </c>
      <c r="B4580" s="4" t="inlineStr">
        <is>
          <t>Cash flow</t>
        </is>
      </c>
      <c r="C4580" s="4" t="inlineStr">
        <is>
          <t>M11</t>
        </is>
      </c>
      <c r="D4580" s="4" t="inlineStr">
        <is>
          <t>=SUM(D11:G11)-K11</t>
        </is>
      </c>
      <c r="E4580" s="4" t="n">
        <v>-23638.86667</v>
      </c>
      <c r="F4580" s="4" t="inlineStr">
        <is>
          <t>GOC Bed Unit-Costing Model v2 — working original.xlsx</t>
        </is>
      </c>
    </row>
    <row r="4581" ht="40" customHeight="1">
      <c r="A4581" s="4" t="inlineStr">
        <is>
          <t>original:Cash flow!N11</t>
        </is>
      </c>
      <c r="B4581" s="4" t="inlineStr">
        <is>
          <t>Cash flow</t>
        </is>
      </c>
      <c r="C4581" s="4" t="inlineStr">
        <is>
          <t>N11</t>
        </is>
      </c>
      <c r="D4581" s="4" t="inlineStr">
        <is>
          <t>=L11+M11</t>
        </is>
      </c>
      <c r="E4581" s="4" t="n">
        <v>73309.8</v>
      </c>
      <c r="F4581" s="4" t="inlineStr">
        <is>
          <t>GOC Bed Unit-Costing Model v2 — working original.xlsx</t>
        </is>
      </c>
    </row>
    <row r="4582" ht="40" customHeight="1">
      <c r="A4582" s="4" t="inlineStr">
        <is>
          <t>original:Cash flow!O11</t>
        </is>
      </c>
      <c r="B4582" s="4" t="inlineStr">
        <is>
          <t>Cash flow</t>
        </is>
      </c>
      <c r="C4582" s="4" t="inlineStr">
        <is>
          <t>O11</t>
        </is>
      </c>
      <c r="D4582" s="4" t="inlineStr">
        <is>
          <t>=O10+C11-K11</t>
        </is>
      </c>
      <c r="E4582" s="4" t="n">
        <v>-276690.2</v>
      </c>
      <c r="F4582" s="4" t="inlineStr">
        <is>
          <t>GOC Bed Unit-Costing Model v2 — working original.xlsx</t>
        </is>
      </c>
    </row>
    <row r="4583" ht="40" customHeight="1">
      <c r="A4583" s="4" t="inlineStr">
        <is>
          <t>original:Cash flow!P11</t>
        </is>
      </c>
      <c r="B4583" s="4" t="inlineStr">
        <is>
          <t>Cash flow</t>
        </is>
      </c>
      <c r="C4583" s="4" t="inlineStr">
        <is>
          <t>P11</t>
        </is>
      </c>
      <c r="D4583" s="4" t="inlineStr">
        <is>
          <t>=Overview!B16</t>
        </is>
      </c>
      <c r="E4583" s="4" t="n">
        <v>12</v>
      </c>
      <c r="F4583" s="4" t="inlineStr">
        <is>
          <t>GOC Bed Unit-Costing Model v2 — working original.xlsx</t>
        </is>
      </c>
    </row>
    <row r="4584" ht="40" customHeight="1">
      <c r="A4584" s="4" t="inlineStr">
        <is>
          <t>original:Cash flow!A12</t>
        </is>
      </c>
      <c r="B4584" s="4" t="inlineStr">
        <is>
          <t>Cash flow</t>
        </is>
      </c>
      <c r="C4584" s="4" t="inlineStr">
        <is>
          <t>A12</t>
        </is>
      </c>
      <c r="D4584" s="4" t="n">
        <v>7</v>
      </c>
      <c r="E4584" s="4" t="n">
        <v>7</v>
      </c>
      <c r="F4584" s="4" t="inlineStr">
        <is>
          <t>GOC Bed Unit-Costing Model v2 — working original.xlsx</t>
        </is>
      </c>
    </row>
    <row r="4585" ht="40" customHeight="1">
      <c r="A4585" s="4" t="inlineStr">
        <is>
          <t>original:Cash flow!B12</t>
        </is>
      </c>
      <c r="B4585" s="4" t="inlineStr">
        <is>
          <t>Cash flow</t>
        </is>
      </c>
      <c r="C4585" s="4" t="inlineStr">
        <is>
          <t>B12</t>
        </is>
      </c>
      <c r="D4585" s="4" t="inlineStr">
        <is>
          <t>=DATE(YEAR(Overview!$B$6),MONTH(Overview!$B$6)+A12-1,1)</t>
        </is>
      </c>
      <c r="E4585" s="4" t="inlineStr">
        <is>
          <t>2027-06-01T00:00:00</t>
        </is>
      </c>
      <c r="F4585" s="4" t="inlineStr">
        <is>
          <t>GOC Bed Unit-Costing Model v2 — working original.xlsx</t>
        </is>
      </c>
    </row>
    <row r="4586" ht="40" customHeight="1">
      <c r="A4586" s="4" t="inlineStr">
        <is>
          <t>original:Cash flow!C12</t>
        </is>
      </c>
      <c r="B4586" s="4" t="inlineStr">
        <is>
          <t>Cash flow</t>
        </is>
      </c>
      <c r="C4586" s="4" t="inlineStr">
        <is>
          <t>C12</t>
        </is>
      </c>
      <c r="D4586" s="4" t="inlineStr">
        <is>
          <t>=SUMIF(Funding!F6:F9,A12,Funding!H6:H9)</t>
        </is>
      </c>
      <c r="E4586" s="4" t="n">
        <v>0</v>
      </c>
      <c r="F4586" s="4" t="inlineStr">
        <is>
          <t>GOC Bed Unit-Costing Model v2 — working original.xlsx</t>
        </is>
      </c>
    </row>
    <row r="4587" ht="40" customHeight="1">
      <c r="A4587" s="4" t="inlineStr">
        <is>
          <t>original:Cash flow!D12</t>
        </is>
      </c>
      <c r="B4587" s="4" t="inlineStr">
        <is>
          <t>Cash flow</t>
        </is>
      </c>
      <c r="C4587" s="4" t="inlineStr">
        <is>
          <t>D12</t>
        </is>
      </c>
      <c r="D4587" s="4" t="inlineStr">
        <is>
          <t>=IF(A12=Funding!F6,Funding!D6,0)</t>
        </is>
      </c>
      <c r="E4587" s="4" t="n">
        <v>0</v>
      </c>
      <c r="F4587" s="4" t="inlineStr">
        <is>
          <t>GOC Bed Unit-Costing Model v2 — working original.xlsx</t>
        </is>
      </c>
    </row>
    <row r="4588" ht="40" customHeight="1">
      <c r="A4588" s="4" t="inlineStr">
        <is>
          <t>original:Cash flow!E12</t>
        </is>
      </c>
      <c r="B4588" s="4" t="inlineStr">
        <is>
          <t>Cash flow</t>
        </is>
      </c>
      <c r="C4588" s="4" t="inlineStr">
        <is>
          <t>E12</t>
        </is>
      </c>
      <c r="D4588" s="4" t="inlineStr">
        <is>
          <t>=IF(A12=Funding!F7,Funding!D7,0)+IF(A12=Funding!F9,Funding!D9,0)</t>
        </is>
      </c>
      <c r="E4588" s="4" t="n">
        <v>0</v>
      </c>
      <c r="F4588" s="4" t="inlineStr">
        <is>
          <t>GOC Bed Unit-Costing Model v2 — working original.xlsx</t>
        </is>
      </c>
    </row>
    <row r="4589" ht="40" customHeight="1">
      <c r="A4589" s="4" t="inlineStr">
        <is>
          <t>original:Cash flow!F12</t>
        </is>
      </c>
      <c r="B4589" s="4" t="inlineStr">
        <is>
          <t>Cash flow</t>
        </is>
      </c>
      <c r="C4589" s="4" t="inlineStr">
        <is>
          <t>F12</t>
        </is>
      </c>
      <c r="D4589" s="4" t="inlineStr">
        <is>
          <t>=IF(AND(A12=Funding!F8,Overview!$B$10=1),Funding!D8,0)</t>
        </is>
      </c>
      <c r="E4589" s="4" t="n">
        <v>0</v>
      </c>
      <c r="F4589" s="4" t="inlineStr">
        <is>
          <t>GOC Bed Unit-Costing Model v2 — working original.xlsx</t>
        </is>
      </c>
    </row>
    <row r="4590" ht="40" customHeight="1">
      <c r="A4590" s="4" t="inlineStr">
        <is>
          <t>original:Cash flow!G12</t>
        </is>
      </c>
      <c r="B4590" s="4" t="inlineStr">
        <is>
          <t>Cash flow</t>
        </is>
      </c>
      <c r="C4590" s="4" t="inlineStr">
        <is>
          <t>G12</t>
        </is>
      </c>
      <c r="D4590" s="4" t="inlineStr">
        <is>
          <t>=SUMIF(Production!A6:A41,A12-Overview!$B$9,Production!M6:M41)</t>
        </is>
      </c>
      <c r="E4590" s="4" t="n">
        <v>0</v>
      </c>
      <c r="F4590" s="4" t="inlineStr">
        <is>
          <t>GOC Bed Unit-Costing Model v2 — working original.xlsx</t>
        </is>
      </c>
    </row>
    <row r="4591" ht="45" customHeight="1">
      <c r="A4591" s="4" t="inlineStr">
        <is>
          <t>original:Cash flow!H12</t>
        </is>
      </c>
      <c r="B4591" s="4" t="inlineStr">
        <is>
          <t>Cash flow</t>
        </is>
      </c>
      <c r="C4591" s="4" t="inlineStr">
        <is>
          <t>H12</t>
        </is>
      </c>
      <c r="D4591" s="4" t="inlineStr">
        <is>
          <t>=IF(A12=Sites!J7,Sites!E7*Sites!I7,0)+IF(A12=Sites!F7,Sites!E7*(1-Sites!I7),0)+IF(A12=Sites!J8,Sites!E8*Sites!I8,0)+IF(A12=Sites!F8,Sites!E8*(1-Sites!I8),0)</t>
        </is>
      </c>
      <c r="E4591" s="4" t="n">
        <v>56500</v>
      </c>
      <c r="F4591" s="4" t="inlineStr">
        <is>
          <t>GOC Bed Unit-Costing Model v2 — working original.xlsx</t>
        </is>
      </c>
    </row>
    <row r="4592" ht="40" customHeight="1">
      <c r="A4592" s="4" t="inlineStr">
        <is>
          <t>original:Cash flow!I12</t>
        </is>
      </c>
      <c r="B4592" s="4" t="inlineStr">
        <is>
          <t>Cash flow</t>
        </is>
      </c>
      <c r="C4592" s="4" t="inlineStr">
        <is>
          <t>I12</t>
        </is>
      </c>
      <c r="D4592" s="4" t="inlineStr">
        <is>
          <t>=SUMIF(Production!A6:A41,A12,Production!K6:K41)+SUMIF(Production!A6:A41,A12,Production!L6:L41)</t>
        </is>
      </c>
      <c r="E4592" s="4" t="n">
        <v>19433.3</v>
      </c>
      <c r="F4592" s="4" t="inlineStr">
        <is>
          <t>GOC Bed Unit-Costing Model v2 — working original.xlsx</t>
        </is>
      </c>
    </row>
    <row r="4593" ht="675" customHeight="1">
      <c r="A4593" s="4" t="inlineStr">
        <is>
          <t>original:Cash flow!J12</t>
        </is>
      </c>
      <c r="B4593" s="4" t="inlineStr">
        <is>
          <t>Cash flow</t>
        </is>
      </c>
      <c r="C4593" s="4" t="inlineStr">
        <is>
          <t>J12</t>
        </is>
      </c>
      <c r="D4593" s="4" t="inlineStr">
        <is>
          <t>=IF(AND(ISNUMBER('Cost plan'!H12),'Cost plan'!J12&gt;0,A12&gt;='Cost plan'!I12,A12&lt;'Cost plan'!I12+'Cost plan'!J12),'Cost plan'!H12/MAX(1,'Cost plan'!J12),0)+IF(AND(ISNUMBER('Cost plan'!H13),'Cost plan'!J13&gt;0,A12&gt;='Cost plan'!I13,A12&lt;'Cost plan'!I13+'Cost plan'!J13),'Cost plan'!H13/MAX(1,'Cost plan'!J13),0)+IF(AND(ISNUMBER('Cost plan'!H14),'Cost plan'!J14&gt;0,A12&gt;='Cost plan'!I14,A12&lt;'Cost plan'!I14+'Cost plan'!J14),'Cost plan'!H14/MAX(1,'Cost plan'!J14),0)+IF(AND(ISNUMBER('Cost plan'!H15),'Cost plan'!J15&gt;0,A12&gt;='Cost plan'!I15,A12&lt;'Cost plan'!I15+'Cost plan'!J15),'Cost plan'!H15/MAX(1,'Cost plan'!J15),0)+IF(AND(ISNUMBER('Cost plan'!H16),'Cost plan'!J16&gt;0,A12&gt;='Cost plan'!I16,A12&lt;'Cost plan'!I16+'Cost plan'!J16),'Cost plan'!H16/MAX(1,'Cost plan'!J16),0)+IF(AND(ISNUMBER('Cost plan'!H17),'Cost plan'!J17&gt;0,A12&gt;='Cost plan'!I17,A12&lt;'Cost plan'!I17+'Cost plan'!J17),'Cost plan'!H17/MAX(1,'Cost plan'!J17),0)+IF(AND(ISNUMBER('Cost plan'!H18),'Cost plan'!J18&gt;0,A12&gt;='Cost plan'!I18,A12&lt;'Cost plan'!I18+'Cost plan'!J18),'Cost plan'!H18/MAX(1,'Cost plan'!J18),0)+IF(AND(ISNUMBER('Cost plan'!H19),'Cost plan'!J19&gt;0,A12&gt;='Cost plan'!I19,A12&lt;'Cost plan'!I19+'Cost plan'!J19),'Cost plan'!H19/MAX(1,'Cost plan'!J19),0)+IF(AND(ISNUMBER('Cost plan'!H20),'Cost plan'!J20&gt;0,A12&gt;='Cost plan'!I20,A12&lt;'Cost plan'!I20+'Cost plan'!J20),'Cost plan'!H20/MAX(1,'Cost plan'!J20),0)+IF(AND(ISNUMBER('Cost plan'!H21),'Cost plan'!J21&gt;0,A12&gt;='Cost plan'!I21,A12&lt;'Cost plan'!I21+'Cost plan'!J21),'Cost plan'!H21/MAX(1,'Cost plan'!J21),0)+IF(AND(ISNUMBER('Cost plan'!H22),'Cost plan'!J22&gt;0,A12&gt;='Cost plan'!I22,A12&lt;'Cost plan'!I22+'Cost plan'!J22),'Cost plan'!H22/MAX(1,'Cost plan'!J22),0)+IF(AND(ISNUMBER('Cost plan'!H23),'Cost plan'!J23&gt;0,A12&gt;='Cost plan'!I23,A12&lt;'Cost plan'!I23+'Cost plan'!J23),'Cost plan'!H23/MAX(1,'Cost plan'!J23),0)+IF(AND(ISNUMBER('Cost plan'!H24),'Cost plan'!J24&gt;0,A12&gt;='Cost plan'!I24,A12&lt;'Cost plan'!I24+'Cost plan'!J24),'Cost plan'!H24/MAX(1,'Cost plan'!J24),0)+IF(AND(ISNUMBER('Cost plan'!H25),'Cost plan'!J25&gt;0,A12&gt;='Cost plan'!I25,A12&lt;'Cost plan'!I25+'Cost plan'!J25),'Cost plan'!H25/MAX(1,'Cost plan'!J25),0)+IF(AND(ISNUMBER('Cost plan'!H26),'Cost plan'!J26&gt;0,A12&gt;='Cost plan'!I26,A12&lt;'Cost plan'!I26+'Cost plan'!J26),'Cost plan'!H26/MAX(1,'Cost plan'!J26),0)+IF(AND(ISNUMBER('Cost plan'!H27),'Cost plan'!J27&gt;0,A12&gt;='Cost plan'!I27,A12&lt;'Cost plan'!I27+'Cost plan'!J27),'Cost plan'!H27/MAX(1,'Cost plan'!J27),0)+IF(AND(ISNUMBER('Cost plan'!H28),'Cost plan'!J28&gt;0,A12&gt;='Cost plan'!I28,A12&lt;'Cost plan'!I28+'Cost plan'!J28),'Cost plan'!H28/MAX(1,'Cost plan'!J28),0)+IF(AND(ISNUMBER('Cost plan'!H29),'Cost plan'!J29&gt;0,A12&gt;='Cost plan'!I29,A12&lt;'Cost plan'!I29+'Cost plan'!J29),'Cost plan'!H29/MAX(1,'Cost plan'!J29),0)+IF(AND(ISNUMBER('Cost plan'!H30),'Cost plan'!J30&gt;0,A12&gt;='Cost plan'!I30,A12&lt;'Cost plan'!I30+'Cost plan'!J30),'Cost plan'!H30/MAX(1,'Cost plan'!J30),0)</t>
        </is>
      </c>
      <c r="E4593" s="4" t="n">
        <v>11212.5</v>
      </c>
      <c r="F4593" s="4" t="inlineStr">
        <is>
          <t>GOC Bed Unit-Costing Model v2 — working original.xlsx</t>
        </is>
      </c>
    </row>
    <row r="4594" ht="40" customHeight="1">
      <c r="A4594" s="4" t="inlineStr">
        <is>
          <t>original:Cash flow!K12</t>
        </is>
      </c>
      <c r="B4594" s="4" t="inlineStr">
        <is>
          <t>Cash flow</t>
        </is>
      </c>
      <c r="C4594" s="4" t="inlineStr">
        <is>
          <t>K12</t>
        </is>
      </c>
      <c r="D4594" s="4" t="inlineStr">
        <is>
          <t>=SUM(H12:J12)</t>
        </is>
      </c>
      <c r="E4594" s="4" t="n">
        <v>87145.8</v>
      </c>
      <c r="F4594" s="4" t="inlineStr">
        <is>
          <t>GOC Bed Unit-Costing Model v2 — working original.xlsx</t>
        </is>
      </c>
    </row>
    <row r="4595" ht="40" customHeight="1">
      <c r="A4595" s="4" t="inlineStr">
        <is>
          <t>original:Cash flow!L12</t>
        </is>
      </c>
      <c r="B4595" s="4" t="inlineStr">
        <is>
          <t>Cash flow</t>
        </is>
      </c>
      <c r="C4595" s="4" t="inlineStr">
        <is>
          <t>L12</t>
        </is>
      </c>
      <c r="D4595" s="4" t="inlineStr">
        <is>
          <t>=N11</t>
        </is>
      </c>
      <c r="E4595" s="4" t="n">
        <v>73309.8</v>
      </c>
      <c r="F4595" s="4" t="inlineStr">
        <is>
          <t>GOC Bed Unit-Costing Model v2 — working original.xlsx</t>
        </is>
      </c>
    </row>
    <row r="4596" ht="40" customHeight="1">
      <c r="A4596" s="4" t="inlineStr">
        <is>
          <t>original:Cash flow!M12</t>
        </is>
      </c>
      <c r="B4596" s="4" t="inlineStr">
        <is>
          <t>Cash flow</t>
        </is>
      </c>
      <c r="C4596" s="4" t="inlineStr">
        <is>
          <t>M12</t>
        </is>
      </c>
      <c r="D4596" s="4" t="inlineStr">
        <is>
          <t>=SUM(D12:G12)-K12</t>
        </is>
      </c>
      <c r="E4596" s="4" t="n">
        <v>-87145.8</v>
      </c>
      <c r="F4596" s="4" t="inlineStr">
        <is>
          <t>GOC Bed Unit-Costing Model v2 — working original.xlsx</t>
        </is>
      </c>
    </row>
    <row r="4597" ht="40" customHeight="1">
      <c r="A4597" s="4" t="inlineStr">
        <is>
          <t>original:Cash flow!N12</t>
        </is>
      </c>
      <c r="B4597" s="4" t="inlineStr">
        <is>
          <t>Cash flow</t>
        </is>
      </c>
      <c r="C4597" s="4" t="inlineStr">
        <is>
          <t>N12</t>
        </is>
      </c>
      <c r="D4597" s="4" t="inlineStr">
        <is>
          <t>=L12+M12</t>
        </is>
      </c>
      <c r="E4597" s="4" t="n">
        <v>-13836</v>
      </c>
      <c r="F4597" s="4" t="inlineStr">
        <is>
          <t>GOC Bed Unit-Costing Model v2 — working original.xlsx</t>
        </is>
      </c>
    </row>
    <row r="4598" ht="40" customHeight="1">
      <c r="A4598" s="4" t="inlineStr">
        <is>
          <t>original:Cash flow!O12</t>
        </is>
      </c>
      <c r="B4598" s="4" t="inlineStr">
        <is>
          <t>Cash flow</t>
        </is>
      </c>
      <c r="C4598" s="4" t="inlineStr">
        <is>
          <t>O12</t>
        </is>
      </c>
      <c r="D4598" s="4" t="inlineStr">
        <is>
          <t>=O11+C12-K12</t>
        </is>
      </c>
      <c r="E4598" s="4" t="n">
        <v>-363836</v>
      </c>
      <c r="F4598" s="4" t="inlineStr">
        <is>
          <t>GOC Bed Unit-Costing Model v2 — working original.xlsx</t>
        </is>
      </c>
    </row>
    <row r="4599" ht="40" customHeight="1">
      <c r="A4599" s="4" t="inlineStr">
        <is>
          <t>original:Cash flow!P12</t>
        </is>
      </c>
      <c r="B4599" s="4" t="inlineStr">
        <is>
          <t>Cash flow</t>
        </is>
      </c>
      <c r="C4599" s="4" t="inlineStr">
        <is>
          <t>P12</t>
        </is>
      </c>
      <c r="D4599" s="4" t="inlineStr">
        <is>
          <t>=Overview!B16</t>
        </is>
      </c>
      <c r="E4599" s="4" t="n">
        <v>12</v>
      </c>
      <c r="F4599" s="4" t="inlineStr">
        <is>
          <t>GOC Bed Unit-Costing Model v2 — working original.xlsx</t>
        </is>
      </c>
    </row>
    <row r="4600" ht="40" customHeight="1">
      <c r="A4600" s="4" t="inlineStr">
        <is>
          <t>original:Cash flow!A13</t>
        </is>
      </c>
      <c r="B4600" s="4" t="inlineStr">
        <is>
          <t>Cash flow</t>
        </is>
      </c>
      <c r="C4600" s="4" t="inlineStr">
        <is>
          <t>A13</t>
        </is>
      </c>
      <c r="D4600" s="4" t="n">
        <v>8</v>
      </c>
      <c r="E4600" s="4" t="n">
        <v>8</v>
      </c>
      <c r="F4600" s="4" t="inlineStr">
        <is>
          <t>GOC Bed Unit-Costing Model v2 — working original.xlsx</t>
        </is>
      </c>
    </row>
    <row r="4601" ht="40" customHeight="1">
      <c r="A4601" s="4" t="inlineStr">
        <is>
          <t>original:Cash flow!B13</t>
        </is>
      </c>
      <c r="B4601" s="4" t="inlineStr">
        <is>
          <t>Cash flow</t>
        </is>
      </c>
      <c r="C4601" s="4" t="inlineStr">
        <is>
          <t>B13</t>
        </is>
      </c>
      <c r="D4601" s="4" t="inlineStr">
        <is>
          <t>=DATE(YEAR(Overview!$B$6),MONTH(Overview!$B$6)+A13-1,1)</t>
        </is>
      </c>
      <c r="E4601" s="4" t="inlineStr">
        <is>
          <t>2027-07-01T00:00:00</t>
        </is>
      </c>
      <c r="F4601" s="4" t="inlineStr">
        <is>
          <t>GOC Bed Unit-Costing Model v2 — working original.xlsx</t>
        </is>
      </c>
    </row>
    <row r="4602" ht="40" customHeight="1">
      <c r="A4602" s="4" t="inlineStr">
        <is>
          <t>original:Cash flow!C13</t>
        </is>
      </c>
      <c r="B4602" s="4" t="inlineStr">
        <is>
          <t>Cash flow</t>
        </is>
      </c>
      <c r="C4602" s="4" t="inlineStr">
        <is>
          <t>C13</t>
        </is>
      </c>
      <c r="D4602" s="4" t="inlineStr">
        <is>
          <t>=SUMIF(Funding!F6:F9,A13,Funding!H6:H9)</t>
        </is>
      </c>
      <c r="E4602" s="4" t="n">
        <v>0</v>
      </c>
      <c r="F4602" s="4" t="inlineStr">
        <is>
          <t>GOC Bed Unit-Costing Model v2 — working original.xlsx</t>
        </is>
      </c>
    </row>
    <row r="4603" ht="40" customHeight="1">
      <c r="A4603" s="4" t="inlineStr">
        <is>
          <t>original:Cash flow!D13</t>
        </is>
      </c>
      <c r="B4603" s="4" t="inlineStr">
        <is>
          <t>Cash flow</t>
        </is>
      </c>
      <c r="C4603" s="4" t="inlineStr">
        <is>
          <t>D13</t>
        </is>
      </c>
      <c r="D4603" s="4" t="inlineStr">
        <is>
          <t>=IF(A13=Funding!F6,Funding!D6,0)</t>
        </is>
      </c>
      <c r="E4603" s="4" t="n">
        <v>0</v>
      </c>
      <c r="F4603" s="4" t="inlineStr">
        <is>
          <t>GOC Bed Unit-Costing Model v2 — working original.xlsx</t>
        </is>
      </c>
    </row>
    <row r="4604" ht="40" customHeight="1">
      <c r="A4604" s="4" t="inlineStr">
        <is>
          <t>original:Cash flow!E13</t>
        </is>
      </c>
      <c r="B4604" s="4" t="inlineStr">
        <is>
          <t>Cash flow</t>
        </is>
      </c>
      <c r="C4604" s="4" t="inlineStr">
        <is>
          <t>E13</t>
        </is>
      </c>
      <c r="D4604" s="4" t="inlineStr">
        <is>
          <t>=IF(A13=Funding!F7,Funding!D7,0)+IF(A13=Funding!F9,Funding!D9,0)</t>
        </is>
      </c>
      <c r="E4604" s="4" t="n">
        <v>0</v>
      </c>
      <c r="F4604" s="4" t="inlineStr">
        <is>
          <t>GOC Bed Unit-Costing Model v2 — working original.xlsx</t>
        </is>
      </c>
    </row>
    <row r="4605" ht="40" customHeight="1">
      <c r="A4605" s="4" t="inlineStr">
        <is>
          <t>original:Cash flow!F13</t>
        </is>
      </c>
      <c r="B4605" s="4" t="inlineStr">
        <is>
          <t>Cash flow</t>
        </is>
      </c>
      <c r="C4605" s="4" t="inlineStr">
        <is>
          <t>F13</t>
        </is>
      </c>
      <c r="D4605" s="4" t="inlineStr">
        <is>
          <t>=IF(AND(A13=Funding!F8,Overview!$B$10=1),Funding!D8,0)</t>
        </is>
      </c>
      <c r="E4605" s="4" t="n">
        <v>0</v>
      </c>
      <c r="F4605" s="4" t="inlineStr">
        <is>
          <t>GOC Bed Unit-Costing Model v2 — working original.xlsx</t>
        </is>
      </c>
    </row>
    <row r="4606" ht="40" customHeight="1">
      <c r="A4606" s="4" t="inlineStr">
        <is>
          <t>original:Cash flow!G13</t>
        </is>
      </c>
      <c r="B4606" s="4" t="inlineStr">
        <is>
          <t>Cash flow</t>
        </is>
      </c>
      <c r="C4606" s="4" t="inlineStr">
        <is>
          <t>G13</t>
        </is>
      </c>
      <c r="D4606" s="4" t="inlineStr">
        <is>
          <t>=SUMIF(Production!A6:A41,A13-Overview!$B$9,Production!M6:M41)</t>
        </is>
      </c>
      <c r="E4606" s="4" t="n">
        <v>0</v>
      </c>
      <c r="F4606" s="4" t="inlineStr">
        <is>
          <t>GOC Bed Unit-Costing Model v2 — working original.xlsx</t>
        </is>
      </c>
    </row>
    <row r="4607" ht="45" customHeight="1">
      <c r="A4607" s="4" t="inlineStr">
        <is>
          <t>original:Cash flow!H13</t>
        </is>
      </c>
      <c r="B4607" s="4" t="inlineStr">
        <is>
          <t>Cash flow</t>
        </is>
      </c>
      <c r="C4607" s="4" t="inlineStr">
        <is>
          <t>H13</t>
        </is>
      </c>
      <c r="D4607" s="4" t="inlineStr">
        <is>
          <t>=IF(A13=Sites!J7,Sites!E7*Sites!I7,0)+IF(A13=Sites!F7,Sites!E7*(1-Sites!I7),0)+IF(A13=Sites!J8,Sites!E8*Sites!I8,0)+IF(A13=Sites!F8,Sites!E8*(1-Sites!I8),0)</t>
        </is>
      </c>
      <c r="E4607" s="4" t="n">
        <v>0</v>
      </c>
      <c r="F4607" s="4" t="inlineStr">
        <is>
          <t>GOC Bed Unit-Costing Model v2 — working original.xlsx</t>
        </is>
      </c>
    </row>
    <row r="4608" ht="40" customHeight="1">
      <c r="A4608" s="4" t="inlineStr">
        <is>
          <t>original:Cash flow!I13</t>
        </is>
      </c>
      <c r="B4608" s="4" t="inlineStr">
        <is>
          <t>Cash flow</t>
        </is>
      </c>
      <c r="C4608" s="4" t="inlineStr">
        <is>
          <t>I13</t>
        </is>
      </c>
      <c r="D4608" s="4" t="inlineStr">
        <is>
          <t>=SUMIF(Production!A6:A41,A13,Production!K6:K41)+SUMIF(Production!A6:A41,A13,Production!L6:L41)</t>
        </is>
      </c>
      <c r="E4608" s="4" t="n">
        <v>19433.3</v>
      </c>
      <c r="F4608" s="4" t="inlineStr">
        <is>
          <t>GOC Bed Unit-Costing Model v2 — working original.xlsx</t>
        </is>
      </c>
    </row>
    <row r="4609" ht="675" customHeight="1">
      <c r="A4609" s="4" t="inlineStr">
        <is>
          <t>original:Cash flow!J13</t>
        </is>
      </c>
      <c r="B4609" s="4" t="inlineStr">
        <is>
          <t>Cash flow</t>
        </is>
      </c>
      <c r="C4609" s="4" t="inlineStr">
        <is>
          <t>J13</t>
        </is>
      </c>
      <c r="D4609" s="4" t="inlineStr">
        <is>
          <t>=IF(AND(ISNUMBER('Cost plan'!H12),'Cost plan'!J12&gt;0,A13&gt;='Cost plan'!I12,A13&lt;'Cost plan'!I12+'Cost plan'!J12),'Cost plan'!H12/MAX(1,'Cost plan'!J12),0)+IF(AND(ISNUMBER('Cost plan'!H13),'Cost plan'!J13&gt;0,A13&gt;='Cost plan'!I13,A13&lt;'Cost plan'!I13+'Cost plan'!J13),'Cost plan'!H13/MAX(1,'Cost plan'!J13),0)+IF(AND(ISNUMBER('Cost plan'!H14),'Cost plan'!J14&gt;0,A13&gt;='Cost plan'!I14,A13&lt;'Cost plan'!I14+'Cost plan'!J14),'Cost plan'!H14/MAX(1,'Cost plan'!J14),0)+IF(AND(ISNUMBER('Cost plan'!H15),'Cost plan'!J15&gt;0,A13&gt;='Cost plan'!I15,A13&lt;'Cost plan'!I15+'Cost plan'!J15),'Cost plan'!H15/MAX(1,'Cost plan'!J15),0)+IF(AND(ISNUMBER('Cost plan'!H16),'Cost plan'!J16&gt;0,A13&gt;='Cost plan'!I16,A13&lt;'Cost plan'!I16+'Cost plan'!J16),'Cost plan'!H16/MAX(1,'Cost plan'!J16),0)+IF(AND(ISNUMBER('Cost plan'!H17),'Cost plan'!J17&gt;0,A13&gt;='Cost plan'!I17,A13&lt;'Cost plan'!I17+'Cost plan'!J17),'Cost plan'!H17/MAX(1,'Cost plan'!J17),0)+IF(AND(ISNUMBER('Cost plan'!H18),'Cost plan'!J18&gt;0,A13&gt;='Cost plan'!I18,A13&lt;'Cost plan'!I18+'Cost plan'!J18),'Cost plan'!H18/MAX(1,'Cost plan'!J18),0)+IF(AND(ISNUMBER('Cost plan'!H19),'Cost plan'!J19&gt;0,A13&gt;='Cost plan'!I19,A13&lt;'Cost plan'!I19+'Cost plan'!J19),'Cost plan'!H19/MAX(1,'Cost plan'!J19),0)+IF(AND(ISNUMBER('Cost plan'!H20),'Cost plan'!J20&gt;0,A13&gt;='Cost plan'!I20,A13&lt;'Cost plan'!I20+'Cost plan'!J20),'Cost plan'!H20/MAX(1,'Cost plan'!J20),0)+IF(AND(ISNUMBER('Cost plan'!H21),'Cost plan'!J21&gt;0,A13&gt;='Cost plan'!I21,A13&lt;'Cost plan'!I21+'Cost plan'!J21),'Cost plan'!H21/MAX(1,'Cost plan'!J21),0)+IF(AND(ISNUMBER('Cost plan'!H22),'Cost plan'!J22&gt;0,A13&gt;='Cost plan'!I22,A13&lt;'Cost plan'!I22+'Cost plan'!J22),'Cost plan'!H22/MAX(1,'Cost plan'!J22),0)+IF(AND(ISNUMBER('Cost plan'!H23),'Cost plan'!J23&gt;0,A13&gt;='Cost plan'!I23,A13&lt;'Cost plan'!I23+'Cost plan'!J23),'Cost plan'!H23/MAX(1,'Cost plan'!J23),0)+IF(AND(ISNUMBER('Cost plan'!H24),'Cost plan'!J24&gt;0,A13&gt;='Cost plan'!I24,A13&lt;'Cost plan'!I24+'Cost plan'!J24),'Cost plan'!H24/MAX(1,'Cost plan'!J24),0)+IF(AND(ISNUMBER('Cost plan'!H25),'Cost plan'!J25&gt;0,A13&gt;='Cost plan'!I25,A13&lt;'Cost plan'!I25+'Cost plan'!J25),'Cost plan'!H25/MAX(1,'Cost plan'!J25),0)+IF(AND(ISNUMBER('Cost plan'!H26),'Cost plan'!J26&gt;0,A13&gt;='Cost plan'!I26,A13&lt;'Cost plan'!I26+'Cost plan'!J26),'Cost plan'!H26/MAX(1,'Cost plan'!J26),0)+IF(AND(ISNUMBER('Cost plan'!H27),'Cost plan'!J27&gt;0,A13&gt;='Cost plan'!I27,A13&lt;'Cost plan'!I27+'Cost plan'!J27),'Cost plan'!H27/MAX(1,'Cost plan'!J27),0)+IF(AND(ISNUMBER('Cost plan'!H28),'Cost plan'!J28&gt;0,A13&gt;='Cost plan'!I28,A13&lt;'Cost plan'!I28+'Cost plan'!J28),'Cost plan'!H28/MAX(1,'Cost plan'!J28),0)+IF(AND(ISNUMBER('Cost plan'!H29),'Cost plan'!J29&gt;0,A13&gt;='Cost plan'!I29,A13&lt;'Cost plan'!I29+'Cost plan'!J29),'Cost plan'!H29/MAX(1,'Cost plan'!J29),0)+IF(AND(ISNUMBER('Cost plan'!H30),'Cost plan'!J30&gt;0,A13&gt;='Cost plan'!I30,A13&lt;'Cost plan'!I30+'Cost plan'!J30),'Cost plan'!H30/MAX(1,'Cost plan'!J30),0)</t>
        </is>
      </c>
      <c r="E4609" s="4" t="n">
        <v>11212.5</v>
      </c>
      <c r="F4609" s="4" t="inlineStr">
        <is>
          <t>GOC Bed Unit-Costing Model v2 — working original.xlsx</t>
        </is>
      </c>
    </row>
    <row r="4610" ht="40" customHeight="1">
      <c r="A4610" s="4" t="inlineStr">
        <is>
          <t>original:Cash flow!K13</t>
        </is>
      </c>
      <c r="B4610" s="4" t="inlineStr">
        <is>
          <t>Cash flow</t>
        </is>
      </c>
      <c r="C4610" s="4" t="inlineStr">
        <is>
          <t>K13</t>
        </is>
      </c>
      <c r="D4610" s="4" t="inlineStr">
        <is>
          <t>=SUM(H13:J13)</t>
        </is>
      </c>
      <c r="E4610" s="4" t="n">
        <v>30645.8</v>
      </c>
      <c r="F4610" s="4" t="inlineStr">
        <is>
          <t>GOC Bed Unit-Costing Model v2 — working original.xlsx</t>
        </is>
      </c>
    </row>
    <row r="4611" ht="40" customHeight="1">
      <c r="A4611" s="4" t="inlineStr">
        <is>
          <t>original:Cash flow!L13</t>
        </is>
      </c>
      <c r="B4611" s="4" t="inlineStr">
        <is>
          <t>Cash flow</t>
        </is>
      </c>
      <c r="C4611" s="4" t="inlineStr">
        <is>
          <t>L13</t>
        </is>
      </c>
      <c r="D4611" s="4" t="inlineStr">
        <is>
          <t>=N12</t>
        </is>
      </c>
      <c r="E4611" s="4" t="n">
        <v>-13836</v>
      </c>
      <c r="F4611" s="4" t="inlineStr">
        <is>
          <t>GOC Bed Unit-Costing Model v2 — working original.xlsx</t>
        </is>
      </c>
    </row>
    <row r="4612" ht="40" customHeight="1">
      <c r="A4612" s="4" t="inlineStr">
        <is>
          <t>original:Cash flow!M13</t>
        </is>
      </c>
      <c r="B4612" s="4" t="inlineStr">
        <is>
          <t>Cash flow</t>
        </is>
      </c>
      <c r="C4612" s="4" t="inlineStr">
        <is>
          <t>M13</t>
        </is>
      </c>
      <c r="D4612" s="4" t="inlineStr">
        <is>
          <t>=SUM(D13:G13)-K13</t>
        </is>
      </c>
      <c r="E4612" s="4" t="n">
        <v>-30645.8</v>
      </c>
      <c r="F4612" s="4" t="inlineStr">
        <is>
          <t>GOC Bed Unit-Costing Model v2 — working original.xlsx</t>
        </is>
      </c>
    </row>
    <row r="4613" ht="40" customHeight="1">
      <c r="A4613" s="4" t="inlineStr">
        <is>
          <t>original:Cash flow!N13</t>
        </is>
      </c>
      <c r="B4613" s="4" t="inlineStr">
        <is>
          <t>Cash flow</t>
        </is>
      </c>
      <c r="C4613" s="4" t="inlineStr">
        <is>
          <t>N13</t>
        </is>
      </c>
      <c r="D4613" s="4" t="inlineStr">
        <is>
          <t>=L13+M13</t>
        </is>
      </c>
      <c r="E4613" s="4" t="n">
        <v>-44481.8</v>
      </c>
      <c r="F4613" s="4" t="inlineStr">
        <is>
          <t>GOC Bed Unit-Costing Model v2 — working original.xlsx</t>
        </is>
      </c>
    </row>
    <row r="4614" ht="40" customHeight="1">
      <c r="A4614" s="4" t="inlineStr">
        <is>
          <t>original:Cash flow!O13</t>
        </is>
      </c>
      <c r="B4614" s="4" t="inlineStr">
        <is>
          <t>Cash flow</t>
        </is>
      </c>
      <c r="C4614" s="4" t="inlineStr">
        <is>
          <t>O13</t>
        </is>
      </c>
      <c r="D4614" s="4" t="inlineStr">
        <is>
          <t>=O12+C13-K13</t>
        </is>
      </c>
      <c r="E4614" s="4" t="n">
        <v>-394481.8</v>
      </c>
      <c r="F4614" s="4" t="inlineStr">
        <is>
          <t>GOC Bed Unit-Costing Model v2 — working original.xlsx</t>
        </is>
      </c>
    </row>
    <row r="4615" ht="40" customHeight="1">
      <c r="A4615" s="4" t="inlineStr">
        <is>
          <t>original:Cash flow!P13</t>
        </is>
      </c>
      <c r="B4615" s="4" t="inlineStr">
        <is>
          <t>Cash flow</t>
        </is>
      </c>
      <c r="C4615" s="4" t="inlineStr">
        <is>
          <t>P13</t>
        </is>
      </c>
      <c r="D4615" s="4" t="inlineStr">
        <is>
          <t>=Overview!B16</t>
        </is>
      </c>
      <c r="E4615" s="4" t="n">
        <v>12</v>
      </c>
      <c r="F4615" s="4" t="inlineStr">
        <is>
          <t>GOC Bed Unit-Costing Model v2 — working original.xlsx</t>
        </is>
      </c>
    </row>
    <row r="4616" ht="40" customHeight="1">
      <c r="A4616" s="4" t="inlineStr">
        <is>
          <t>original:Cash flow!A14</t>
        </is>
      </c>
      <c r="B4616" s="4" t="inlineStr">
        <is>
          <t>Cash flow</t>
        </is>
      </c>
      <c r="C4616" s="4" t="inlineStr">
        <is>
          <t>A14</t>
        </is>
      </c>
      <c r="D4616" s="4" t="n">
        <v>9</v>
      </c>
      <c r="E4616" s="4" t="n">
        <v>9</v>
      </c>
      <c r="F4616" s="4" t="inlineStr">
        <is>
          <t>GOC Bed Unit-Costing Model v2 — working original.xlsx</t>
        </is>
      </c>
    </row>
    <row r="4617" ht="40" customHeight="1">
      <c r="A4617" s="4" t="inlineStr">
        <is>
          <t>original:Cash flow!B14</t>
        </is>
      </c>
      <c r="B4617" s="4" t="inlineStr">
        <is>
          <t>Cash flow</t>
        </is>
      </c>
      <c r="C4617" s="4" t="inlineStr">
        <is>
          <t>B14</t>
        </is>
      </c>
      <c r="D4617" s="4" t="inlineStr">
        <is>
          <t>=DATE(YEAR(Overview!$B$6),MONTH(Overview!$B$6)+A14-1,1)</t>
        </is>
      </c>
      <c r="E4617" s="4" t="inlineStr">
        <is>
          <t>2027-08-01T00:00:00</t>
        </is>
      </c>
      <c r="F4617" s="4" t="inlineStr">
        <is>
          <t>GOC Bed Unit-Costing Model v2 — working original.xlsx</t>
        </is>
      </c>
    </row>
    <row r="4618" ht="40" customHeight="1">
      <c r="A4618" s="4" t="inlineStr">
        <is>
          <t>original:Cash flow!C14</t>
        </is>
      </c>
      <c r="B4618" s="4" t="inlineStr">
        <is>
          <t>Cash flow</t>
        </is>
      </c>
      <c r="C4618" s="4" t="inlineStr">
        <is>
          <t>C14</t>
        </is>
      </c>
      <c r="D4618" s="4" t="inlineStr">
        <is>
          <t>=SUMIF(Funding!F6:F9,A14,Funding!H6:H9)</t>
        </is>
      </c>
      <c r="E4618" s="4" t="n">
        <v>0</v>
      </c>
      <c r="F4618" s="4" t="inlineStr">
        <is>
          <t>GOC Bed Unit-Costing Model v2 — working original.xlsx</t>
        </is>
      </c>
    </row>
    <row r="4619" ht="40" customHeight="1">
      <c r="A4619" s="4" t="inlineStr">
        <is>
          <t>original:Cash flow!D14</t>
        </is>
      </c>
      <c r="B4619" s="4" t="inlineStr">
        <is>
          <t>Cash flow</t>
        </is>
      </c>
      <c r="C4619" s="4" t="inlineStr">
        <is>
          <t>D14</t>
        </is>
      </c>
      <c r="D4619" s="4" t="inlineStr">
        <is>
          <t>=IF(A14=Funding!F6,Funding!D6,0)</t>
        </is>
      </c>
      <c r="E4619" s="4" t="n">
        <v>0</v>
      </c>
      <c r="F4619" s="4" t="inlineStr">
        <is>
          <t>GOC Bed Unit-Costing Model v2 — working original.xlsx</t>
        </is>
      </c>
    </row>
    <row r="4620" ht="40" customHeight="1">
      <c r="A4620" s="4" t="inlineStr">
        <is>
          <t>original:Cash flow!E14</t>
        </is>
      </c>
      <c r="B4620" s="4" t="inlineStr">
        <is>
          <t>Cash flow</t>
        </is>
      </c>
      <c r="C4620" s="4" t="inlineStr">
        <is>
          <t>E14</t>
        </is>
      </c>
      <c r="D4620" s="4" t="inlineStr">
        <is>
          <t>=IF(A14=Funding!F7,Funding!D7,0)+IF(A14=Funding!F9,Funding!D9,0)</t>
        </is>
      </c>
      <c r="E4620" s="4" t="n">
        <v>0</v>
      </c>
      <c r="F4620" s="4" t="inlineStr">
        <is>
          <t>GOC Bed Unit-Costing Model v2 — working original.xlsx</t>
        </is>
      </c>
    </row>
    <row r="4621" ht="40" customHeight="1">
      <c r="A4621" s="4" t="inlineStr">
        <is>
          <t>original:Cash flow!F14</t>
        </is>
      </c>
      <c r="B4621" s="4" t="inlineStr">
        <is>
          <t>Cash flow</t>
        </is>
      </c>
      <c r="C4621" s="4" t="inlineStr">
        <is>
          <t>F14</t>
        </is>
      </c>
      <c r="D4621" s="4" t="inlineStr">
        <is>
          <t>=IF(AND(A14=Funding!F8,Overview!$B$10=1),Funding!D8,0)</t>
        </is>
      </c>
      <c r="E4621" s="4" t="n">
        <v>0</v>
      </c>
      <c r="F4621" s="4" t="inlineStr">
        <is>
          <t>GOC Bed Unit-Costing Model v2 — working original.xlsx</t>
        </is>
      </c>
    </row>
    <row r="4622" ht="40" customHeight="1">
      <c r="A4622" s="4" t="inlineStr">
        <is>
          <t>original:Cash flow!G14</t>
        </is>
      </c>
      <c r="B4622" s="4" t="inlineStr">
        <is>
          <t>Cash flow</t>
        </is>
      </c>
      <c r="C4622" s="4" t="inlineStr">
        <is>
          <t>G14</t>
        </is>
      </c>
      <c r="D4622" s="4" t="inlineStr">
        <is>
          <t>=SUMIF(Production!A6:A41,A14-Overview!$B$9,Production!M6:M41)</t>
        </is>
      </c>
      <c r="E4622" s="4" t="n">
        <v>0</v>
      </c>
      <c r="F4622" s="4" t="inlineStr">
        <is>
          <t>GOC Bed Unit-Costing Model v2 — working original.xlsx</t>
        </is>
      </c>
    </row>
    <row r="4623" ht="45" customHeight="1">
      <c r="A4623" s="4" t="inlineStr">
        <is>
          <t>original:Cash flow!H14</t>
        </is>
      </c>
      <c r="B4623" s="4" t="inlineStr">
        <is>
          <t>Cash flow</t>
        </is>
      </c>
      <c r="C4623" s="4" t="inlineStr">
        <is>
          <t>H14</t>
        </is>
      </c>
      <c r="D4623" s="4" t="inlineStr">
        <is>
          <t>=IF(A14=Sites!J7,Sites!E7*Sites!I7,0)+IF(A14=Sites!F7,Sites!E7*(1-Sites!I7),0)+IF(A14=Sites!J8,Sites!E8*Sites!I8,0)+IF(A14=Sites!F8,Sites!E8*(1-Sites!I8),0)</t>
        </is>
      </c>
      <c r="E4623" s="4" t="n">
        <v>0</v>
      </c>
      <c r="F4623" s="4" t="inlineStr">
        <is>
          <t>GOC Bed Unit-Costing Model v2 — working original.xlsx</t>
        </is>
      </c>
    </row>
    <row r="4624" ht="40" customHeight="1">
      <c r="A4624" s="4" t="inlineStr">
        <is>
          <t>original:Cash flow!I14</t>
        </is>
      </c>
      <c r="B4624" s="4" t="inlineStr">
        <is>
          <t>Cash flow</t>
        </is>
      </c>
      <c r="C4624" s="4" t="inlineStr">
        <is>
          <t>I14</t>
        </is>
      </c>
      <c r="D4624" s="4" t="inlineStr">
        <is>
          <t>=SUMIF(Production!A6:A41,A14,Production!K6:K41)+SUMIF(Production!A6:A41,A14,Production!L6:L41)</t>
        </is>
      </c>
      <c r="E4624" s="4" t="n">
        <v>21537</v>
      </c>
      <c r="F4624" s="4" t="inlineStr">
        <is>
          <t>GOC Bed Unit-Costing Model v2 — working original.xlsx</t>
        </is>
      </c>
    </row>
    <row r="4625" ht="675" customHeight="1">
      <c r="A4625" s="4" t="inlineStr">
        <is>
          <t>original:Cash flow!J14</t>
        </is>
      </c>
      <c r="B4625" s="4" t="inlineStr">
        <is>
          <t>Cash flow</t>
        </is>
      </c>
      <c r="C4625" s="4" t="inlineStr">
        <is>
          <t>J14</t>
        </is>
      </c>
      <c r="D4625" s="4" t="inlineStr">
        <is>
          <t>=IF(AND(ISNUMBER('Cost plan'!H12),'Cost plan'!J12&gt;0,A14&gt;='Cost plan'!I12,A14&lt;'Cost plan'!I12+'Cost plan'!J12),'Cost plan'!H12/MAX(1,'Cost plan'!J12),0)+IF(AND(ISNUMBER('Cost plan'!H13),'Cost plan'!J13&gt;0,A14&gt;='Cost plan'!I13,A14&lt;'Cost plan'!I13+'Cost plan'!J13),'Cost plan'!H13/MAX(1,'Cost plan'!J13),0)+IF(AND(ISNUMBER('Cost plan'!H14),'Cost plan'!J14&gt;0,A14&gt;='Cost plan'!I14,A14&lt;'Cost plan'!I14+'Cost plan'!J14),'Cost plan'!H14/MAX(1,'Cost plan'!J14),0)+IF(AND(ISNUMBER('Cost plan'!H15),'Cost plan'!J15&gt;0,A14&gt;='Cost plan'!I15,A14&lt;'Cost plan'!I15+'Cost plan'!J15),'Cost plan'!H15/MAX(1,'Cost plan'!J15),0)+IF(AND(ISNUMBER('Cost plan'!H16),'Cost plan'!J16&gt;0,A14&gt;='Cost plan'!I16,A14&lt;'Cost plan'!I16+'Cost plan'!J16),'Cost plan'!H16/MAX(1,'Cost plan'!J16),0)+IF(AND(ISNUMBER('Cost plan'!H17),'Cost plan'!J17&gt;0,A14&gt;='Cost plan'!I17,A14&lt;'Cost plan'!I17+'Cost plan'!J17),'Cost plan'!H17/MAX(1,'Cost plan'!J17),0)+IF(AND(ISNUMBER('Cost plan'!H18),'Cost plan'!J18&gt;0,A14&gt;='Cost plan'!I18,A14&lt;'Cost plan'!I18+'Cost plan'!J18),'Cost plan'!H18/MAX(1,'Cost plan'!J18),0)+IF(AND(ISNUMBER('Cost plan'!H19),'Cost plan'!J19&gt;0,A14&gt;='Cost plan'!I19,A14&lt;'Cost plan'!I19+'Cost plan'!J19),'Cost plan'!H19/MAX(1,'Cost plan'!J19),0)+IF(AND(ISNUMBER('Cost plan'!H20),'Cost plan'!J20&gt;0,A14&gt;='Cost plan'!I20,A14&lt;'Cost plan'!I20+'Cost plan'!J20),'Cost plan'!H20/MAX(1,'Cost plan'!J20),0)+IF(AND(ISNUMBER('Cost plan'!H21),'Cost plan'!J21&gt;0,A14&gt;='Cost plan'!I21,A14&lt;'Cost plan'!I21+'Cost plan'!J21),'Cost plan'!H21/MAX(1,'Cost plan'!J21),0)+IF(AND(ISNUMBER('Cost plan'!H22),'Cost plan'!J22&gt;0,A14&gt;='Cost plan'!I22,A14&lt;'Cost plan'!I22+'Cost plan'!J22),'Cost plan'!H22/MAX(1,'Cost plan'!J22),0)+IF(AND(ISNUMBER('Cost plan'!H23),'Cost plan'!J23&gt;0,A14&gt;='Cost plan'!I23,A14&lt;'Cost plan'!I23+'Cost plan'!J23),'Cost plan'!H23/MAX(1,'Cost plan'!J23),0)+IF(AND(ISNUMBER('Cost plan'!H24),'Cost plan'!J24&gt;0,A14&gt;='Cost plan'!I24,A14&lt;'Cost plan'!I24+'Cost plan'!J24),'Cost plan'!H24/MAX(1,'Cost plan'!J24),0)+IF(AND(ISNUMBER('Cost plan'!H25),'Cost plan'!J25&gt;0,A14&gt;='Cost plan'!I25,A14&lt;'Cost plan'!I25+'Cost plan'!J25),'Cost plan'!H25/MAX(1,'Cost plan'!J25),0)+IF(AND(ISNUMBER('Cost plan'!H26),'Cost plan'!J26&gt;0,A14&gt;='Cost plan'!I26,A14&lt;'Cost plan'!I26+'Cost plan'!J26),'Cost plan'!H26/MAX(1,'Cost plan'!J26),0)+IF(AND(ISNUMBER('Cost plan'!H27),'Cost plan'!J27&gt;0,A14&gt;='Cost plan'!I27,A14&lt;'Cost plan'!I27+'Cost plan'!J27),'Cost plan'!H27/MAX(1,'Cost plan'!J27),0)+IF(AND(ISNUMBER('Cost plan'!H28),'Cost plan'!J28&gt;0,A14&gt;='Cost plan'!I28,A14&lt;'Cost plan'!I28+'Cost plan'!J28),'Cost plan'!H28/MAX(1,'Cost plan'!J28),0)+IF(AND(ISNUMBER('Cost plan'!H29),'Cost plan'!J29&gt;0,A14&gt;='Cost plan'!I29,A14&lt;'Cost plan'!I29+'Cost plan'!J29),'Cost plan'!H29/MAX(1,'Cost plan'!J29),0)+IF(AND(ISNUMBER('Cost plan'!H30),'Cost plan'!J30&gt;0,A14&gt;='Cost plan'!I30,A14&lt;'Cost plan'!I30+'Cost plan'!J30),'Cost plan'!H30/MAX(1,'Cost plan'!J30),0)</t>
        </is>
      </c>
      <c r="E4625" s="4" t="n">
        <v>11212.5</v>
      </c>
      <c r="F4625" s="4" t="inlineStr">
        <is>
          <t>GOC Bed Unit-Costing Model v2 — working original.xlsx</t>
        </is>
      </c>
    </row>
    <row r="4626" ht="40" customHeight="1">
      <c r="A4626" s="4" t="inlineStr">
        <is>
          <t>original:Cash flow!K14</t>
        </is>
      </c>
      <c r="B4626" s="4" t="inlineStr">
        <is>
          <t>Cash flow</t>
        </is>
      </c>
      <c r="C4626" s="4" t="inlineStr">
        <is>
          <t>K14</t>
        </is>
      </c>
      <c r="D4626" s="4" t="inlineStr">
        <is>
          <t>=SUM(H14:J14)</t>
        </is>
      </c>
      <c r="E4626" s="4" t="n">
        <v>32749.5</v>
      </c>
      <c r="F4626" s="4" t="inlineStr">
        <is>
          <t>GOC Bed Unit-Costing Model v2 — working original.xlsx</t>
        </is>
      </c>
    </row>
    <row r="4627" ht="40" customHeight="1">
      <c r="A4627" s="4" t="inlineStr">
        <is>
          <t>original:Cash flow!L14</t>
        </is>
      </c>
      <c r="B4627" s="4" t="inlineStr">
        <is>
          <t>Cash flow</t>
        </is>
      </c>
      <c r="C4627" s="4" t="inlineStr">
        <is>
          <t>L14</t>
        </is>
      </c>
      <c r="D4627" s="4" t="inlineStr">
        <is>
          <t>=N13</t>
        </is>
      </c>
      <c r="E4627" s="4" t="n">
        <v>-44481.8</v>
      </c>
      <c r="F4627" s="4" t="inlineStr">
        <is>
          <t>GOC Bed Unit-Costing Model v2 — working original.xlsx</t>
        </is>
      </c>
    </row>
    <row r="4628" ht="40" customHeight="1">
      <c r="A4628" s="4" t="inlineStr">
        <is>
          <t>original:Cash flow!M14</t>
        </is>
      </c>
      <c r="B4628" s="4" t="inlineStr">
        <is>
          <t>Cash flow</t>
        </is>
      </c>
      <c r="C4628" s="4" t="inlineStr">
        <is>
          <t>M14</t>
        </is>
      </c>
      <c r="D4628" s="4" t="inlineStr">
        <is>
          <t>=SUM(D14:G14)-K14</t>
        </is>
      </c>
      <c r="E4628" s="4" t="n">
        <v>-32749.5</v>
      </c>
      <c r="F4628" s="4" t="inlineStr">
        <is>
          <t>GOC Bed Unit-Costing Model v2 — working original.xlsx</t>
        </is>
      </c>
    </row>
    <row r="4629" ht="40" customHeight="1">
      <c r="A4629" s="4" t="inlineStr">
        <is>
          <t>original:Cash flow!N14</t>
        </is>
      </c>
      <c r="B4629" s="4" t="inlineStr">
        <is>
          <t>Cash flow</t>
        </is>
      </c>
      <c r="C4629" s="4" t="inlineStr">
        <is>
          <t>N14</t>
        </is>
      </c>
      <c r="D4629" s="4" t="inlineStr">
        <is>
          <t>=L14+M14</t>
        </is>
      </c>
      <c r="E4629" s="4" t="n">
        <v>-77231.3</v>
      </c>
      <c r="F4629" s="4" t="inlineStr">
        <is>
          <t>GOC Bed Unit-Costing Model v2 — working original.xlsx</t>
        </is>
      </c>
    </row>
    <row r="4630" ht="40" customHeight="1">
      <c r="A4630" s="4" t="inlineStr">
        <is>
          <t>original:Cash flow!O14</t>
        </is>
      </c>
      <c r="B4630" s="4" t="inlineStr">
        <is>
          <t>Cash flow</t>
        </is>
      </c>
      <c r="C4630" s="4" t="inlineStr">
        <is>
          <t>O14</t>
        </is>
      </c>
      <c r="D4630" s="4" t="inlineStr">
        <is>
          <t>=O13+C14-K14</t>
        </is>
      </c>
      <c r="E4630" s="4" t="n">
        <v>-427231.3</v>
      </c>
      <c r="F4630" s="4" t="inlineStr">
        <is>
          <t>GOC Bed Unit-Costing Model v2 — working original.xlsx</t>
        </is>
      </c>
    </row>
    <row r="4631" ht="40" customHeight="1">
      <c r="A4631" s="4" t="inlineStr">
        <is>
          <t>original:Cash flow!P14</t>
        </is>
      </c>
      <c r="B4631" s="4" t="inlineStr">
        <is>
          <t>Cash flow</t>
        </is>
      </c>
      <c r="C4631" s="4" t="inlineStr">
        <is>
          <t>P14</t>
        </is>
      </c>
      <c r="D4631" s="4" t="inlineStr">
        <is>
          <t>=Overview!B16</t>
        </is>
      </c>
      <c r="E4631" s="4" t="n">
        <v>12</v>
      </c>
      <c r="F4631" s="4" t="inlineStr">
        <is>
          <t>GOC Bed Unit-Costing Model v2 — working original.xlsx</t>
        </is>
      </c>
    </row>
    <row r="4632" ht="40" customHeight="1">
      <c r="A4632" s="4" t="inlineStr">
        <is>
          <t>original:Cash flow!A15</t>
        </is>
      </c>
      <c r="B4632" s="4" t="inlineStr">
        <is>
          <t>Cash flow</t>
        </is>
      </c>
      <c r="C4632" s="4" t="inlineStr">
        <is>
          <t>A15</t>
        </is>
      </c>
      <c r="D4632" s="4" t="n">
        <v>10</v>
      </c>
      <c r="E4632" s="4" t="n">
        <v>10</v>
      </c>
      <c r="F4632" s="4" t="inlineStr">
        <is>
          <t>GOC Bed Unit-Costing Model v2 — working original.xlsx</t>
        </is>
      </c>
    </row>
    <row r="4633" ht="40" customHeight="1">
      <c r="A4633" s="4" t="inlineStr">
        <is>
          <t>original:Cash flow!B15</t>
        </is>
      </c>
      <c r="B4633" s="4" t="inlineStr">
        <is>
          <t>Cash flow</t>
        </is>
      </c>
      <c r="C4633" s="4" t="inlineStr">
        <is>
          <t>B15</t>
        </is>
      </c>
      <c r="D4633" s="4" t="inlineStr">
        <is>
          <t>=DATE(YEAR(Overview!$B$6),MONTH(Overview!$B$6)+A15-1,1)</t>
        </is>
      </c>
      <c r="E4633" s="4" t="inlineStr">
        <is>
          <t>2027-09-01T00:00:00</t>
        </is>
      </c>
      <c r="F4633" s="4" t="inlineStr">
        <is>
          <t>GOC Bed Unit-Costing Model v2 — working original.xlsx</t>
        </is>
      </c>
    </row>
    <row r="4634" ht="40" customHeight="1">
      <c r="A4634" s="4" t="inlineStr">
        <is>
          <t>original:Cash flow!C15</t>
        </is>
      </c>
      <c r="B4634" s="4" t="inlineStr">
        <is>
          <t>Cash flow</t>
        </is>
      </c>
      <c r="C4634" s="4" t="inlineStr">
        <is>
          <t>C15</t>
        </is>
      </c>
      <c r="D4634" s="4" t="inlineStr">
        <is>
          <t>=SUMIF(Funding!F6:F9,A15,Funding!H6:H9)</t>
        </is>
      </c>
      <c r="E4634" s="4" t="n">
        <v>0</v>
      </c>
      <c r="F4634" s="4" t="inlineStr">
        <is>
          <t>GOC Bed Unit-Costing Model v2 — working original.xlsx</t>
        </is>
      </c>
    </row>
    <row r="4635" ht="40" customHeight="1">
      <c r="A4635" s="4" t="inlineStr">
        <is>
          <t>original:Cash flow!D15</t>
        </is>
      </c>
      <c r="B4635" s="4" t="inlineStr">
        <is>
          <t>Cash flow</t>
        </is>
      </c>
      <c r="C4635" s="4" t="inlineStr">
        <is>
          <t>D15</t>
        </is>
      </c>
      <c r="D4635" s="4" t="inlineStr">
        <is>
          <t>=IF(A15=Funding!F6,Funding!D6,0)</t>
        </is>
      </c>
      <c r="E4635" s="4" t="n">
        <v>0</v>
      </c>
      <c r="F4635" s="4" t="inlineStr">
        <is>
          <t>GOC Bed Unit-Costing Model v2 — working original.xlsx</t>
        </is>
      </c>
    </row>
    <row r="4636" ht="40" customHeight="1">
      <c r="A4636" s="4" t="inlineStr">
        <is>
          <t>original:Cash flow!E15</t>
        </is>
      </c>
      <c r="B4636" s="4" t="inlineStr">
        <is>
          <t>Cash flow</t>
        </is>
      </c>
      <c r="C4636" s="4" t="inlineStr">
        <is>
          <t>E15</t>
        </is>
      </c>
      <c r="D4636" s="4" t="inlineStr">
        <is>
          <t>=IF(A15=Funding!F7,Funding!D7,0)+IF(A15=Funding!F9,Funding!D9,0)</t>
        </is>
      </c>
      <c r="E4636" s="4" t="n">
        <v>0</v>
      </c>
      <c r="F4636" s="4" t="inlineStr">
        <is>
          <t>GOC Bed Unit-Costing Model v2 — working original.xlsx</t>
        </is>
      </c>
    </row>
    <row r="4637" ht="40" customHeight="1">
      <c r="A4637" s="4" t="inlineStr">
        <is>
          <t>original:Cash flow!F15</t>
        </is>
      </c>
      <c r="B4637" s="4" t="inlineStr">
        <is>
          <t>Cash flow</t>
        </is>
      </c>
      <c r="C4637" s="4" t="inlineStr">
        <is>
          <t>F15</t>
        </is>
      </c>
      <c r="D4637" s="4" t="inlineStr">
        <is>
          <t>=IF(AND(A15=Funding!F8,Overview!$B$10=1),Funding!D8,0)</t>
        </is>
      </c>
      <c r="E4637" s="4" t="n">
        <v>0</v>
      </c>
      <c r="F4637" s="4" t="inlineStr">
        <is>
          <t>GOC Bed Unit-Costing Model v2 — working original.xlsx</t>
        </is>
      </c>
    </row>
    <row r="4638" ht="40" customHeight="1">
      <c r="A4638" s="4" t="inlineStr">
        <is>
          <t>original:Cash flow!G15</t>
        </is>
      </c>
      <c r="B4638" s="4" t="inlineStr">
        <is>
          <t>Cash flow</t>
        </is>
      </c>
      <c r="C4638" s="4" t="inlineStr">
        <is>
          <t>G15</t>
        </is>
      </c>
      <c r="D4638" s="4" t="inlineStr">
        <is>
          <t>=SUMIF(Production!A6:A41,A15-Overview!$B$9,Production!M6:M41)</t>
        </is>
      </c>
      <c r="E4638" s="4" t="n">
        <v>0</v>
      </c>
      <c r="F4638" s="4" t="inlineStr">
        <is>
          <t>GOC Bed Unit-Costing Model v2 — working original.xlsx</t>
        </is>
      </c>
    </row>
    <row r="4639" ht="45" customHeight="1">
      <c r="A4639" s="4" t="inlineStr">
        <is>
          <t>original:Cash flow!H15</t>
        </is>
      </c>
      <c r="B4639" s="4" t="inlineStr">
        <is>
          <t>Cash flow</t>
        </is>
      </c>
      <c r="C4639" s="4" t="inlineStr">
        <is>
          <t>H15</t>
        </is>
      </c>
      <c r="D4639" s="4" t="inlineStr">
        <is>
          <t>=IF(A15=Sites!J7,Sites!E7*Sites!I7,0)+IF(A15=Sites!F7,Sites!E7*(1-Sites!I7),0)+IF(A15=Sites!J8,Sites!E8*Sites!I8,0)+IF(A15=Sites!F8,Sites!E8*(1-Sites!I8),0)</t>
        </is>
      </c>
      <c r="E4639" s="4" t="n">
        <v>0</v>
      </c>
      <c r="F4639" s="4" t="inlineStr">
        <is>
          <t>GOC Bed Unit-Costing Model v2 — working original.xlsx</t>
        </is>
      </c>
    </row>
    <row r="4640" ht="40" customHeight="1">
      <c r="A4640" s="4" t="inlineStr">
        <is>
          <t>original:Cash flow!I15</t>
        </is>
      </c>
      <c r="B4640" s="4" t="inlineStr">
        <is>
          <t>Cash flow</t>
        </is>
      </c>
      <c r="C4640" s="4" t="inlineStr">
        <is>
          <t>I15</t>
        </is>
      </c>
      <c r="D4640" s="4" t="inlineStr">
        <is>
          <t>=SUMIF(Production!A6:A41,A15,Production!K6:K41)+SUMIF(Production!A6:A41,A15,Production!L6:L41)</t>
        </is>
      </c>
      <c r="E4640" s="4" t="n">
        <v>19433.3</v>
      </c>
      <c r="F4640" s="4" t="inlineStr">
        <is>
          <t>GOC Bed Unit-Costing Model v2 — working original.xlsx</t>
        </is>
      </c>
    </row>
    <row r="4641" ht="675" customHeight="1">
      <c r="A4641" s="4" t="inlineStr">
        <is>
          <t>original:Cash flow!J15</t>
        </is>
      </c>
      <c r="B4641" s="4" t="inlineStr">
        <is>
          <t>Cash flow</t>
        </is>
      </c>
      <c r="C4641" s="4" t="inlineStr">
        <is>
          <t>J15</t>
        </is>
      </c>
      <c r="D4641" s="4" t="inlineStr">
        <is>
          <t>=IF(AND(ISNUMBER('Cost plan'!H12),'Cost plan'!J12&gt;0,A15&gt;='Cost plan'!I12,A15&lt;'Cost plan'!I12+'Cost plan'!J12),'Cost plan'!H12/MAX(1,'Cost plan'!J12),0)+IF(AND(ISNUMBER('Cost plan'!H13),'Cost plan'!J13&gt;0,A15&gt;='Cost plan'!I13,A15&lt;'Cost plan'!I13+'Cost plan'!J13),'Cost plan'!H13/MAX(1,'Cost plan'!J13),0)+IF(AND(ISNUMBER('Cost plan'!H14),'Cost plan'!J14&gt;0,A15&gt;='Cost plan'!I14,A15&lt;'Cost plan'!I14+'Cost plan'!J14),'Cost plan'!H14/MAX(1,'Cost plan'!J14),0)+IF(AND(ISNUMBER('Cost plan'!H15),'Cost plan'!J15&gt;0,A15&gt;='Cost plan'!I15,A15&lt;'Cost plan'!I15+'Cost plan'!J15),'Cost plan'!H15/MAX(1,'Cost plan'!J15),0)+IF(AND(ISNUMBER('Cost plan'!H16),'Cost plan'!J16&gt;0,A15&gt;='Cost plan'!I16,A15&lt;'Cost plan'!I16+'Cost plan'!J16),'Cost plan'!H16/MAX(1,'Cost plan'!J16),0)+IF(AND(ISNUMBER('Cost plan'!H17),'Cost plan'!J17&gt;0,A15&gt;='Cost plan'!I17,A15&lt;'Cost plan'!I17+'Cost plan'!J17),'Cost plan'!H17/MAX(1,'Cost plan'!J17),0)+IF(AND(ISNUMBER('Cost plan'!H18),'Cost plan'!J18&gt;0,A15&gt;='Cost plan'!I18,A15&lt;'Cost plan'!I18+'Cost plan'!J18),'Cost plan'!H18/MAX(1,'Cost plan'!J18),0)+IF(AND(ISNUMBER('Cost plan'!H19),'Cost plan'!J19&gt;0,A15&gt;='Cost plan'!I19,A15&lt;'Cost plan'!I19+'Cost plan'!J19),'Cost plan'!H19/MAX(1,'Cost plan'!J19),0)+IF(AND(ISNUMBER('Cost plan'!H20),'Cost plan'!J20&gt;0,A15&gt;='Cost plan'!I20,A15&lt;'Cost plan'!I20+'Cost plan'!J20),'Cost plan'!H20/MAX(1,'Cost plan'!J20),0)+IF(AND(ISNUMBER('Cost plan'!H21),'Cost plan'!J21&gt;0,A15&gt;='Cost plan'!I21,A15&lt;'Cost plan'!I21+'Cost plan'!J21),'Cost plan'!H21/MAX(1,'Cost plan'!J21),0)+IF(AND(ISNUMBER('Cost plan'!H22),'Cost plan'!J22&gt;0,A15&gt;='Cost plan'!I22,A15&lt;'Cost plan'!I22+'Cost plan'!J22),'Cost plan'!H22/MAX(1,'Cost plan'!J22),0)+IF(AND(ISNUMBER('Cost plan'!H23),'Cost plan'!J23&gt;0,A15&gt;='Cost plan'!I23,A15&lt;'Cost plan'!I23+'Cost plan'!J23),'Cost plan'!H23/MAX(1,'Cost plan'!J23),0)+IF(AND(ISNUMBER('Cost plan'!H24),'Cost plan'!J24&gt;0,A15&gt;='Cost plan'!I24,A15&lt;'Cost plan'!I24+'Cost plan'!J24),'Cost plan'!H24/MAX(1,'Cost plan'!J24),0)+IF(AND(ISNUMBER('Cost plan'!H25),'Cost plan'!J25&gt;0,A15&gt;='Cost plan'!I25,A15&lt;'Cost plan'!I25+'Cost plan'!J25),'Cost plan'!H25/MAX(1,'Cost plan'!J25),0)+IF(AND(ISNUMBER('Cost plan'!H26),'Cost plan'!J26&gt;0,A15&gt;='Cost plan'!I26,A15&lt;'Cost plan'!I26+'Cost plan'!J26),'Cost plan'!H26/MAX(1,'Cost plan'!J26),0)+IF(AND(ISNUMBER('Cost plan'!H27),'Cost plan'!J27&gt;0,A15&gt;='Cost plan'!I27,A15&lt;'Cost plan'!I27+'Cost plan'!J27),'Cost plan'!H27/MAX(1,'Cost plan'!J27),0)+IF(AND(ISNUMBER('Cost plan'!H28),'Cost plan'!J28&gt;0,A15&gt;='Cost plan'!I28,A15&lt;'Cost plan'!I28+'Cost plan'!J28),'Cost plan'!H28/MAX(1,'Cost plan'!J28),0)+IF(AND(ISNUMBER('Cost plan'!H29),'Cost plan'!J29&gt;0,A15&gt;='Cost plan'!I29,A15&lt;'Cost plan'!I29+'Cost plan'!J29),'Cost plan'!H29/MAX(1,'Cost plan'!J29),0)+IF(AND(ISNUMBER('Cost plan'!H30),'Cost plan'!J30&gt;0,A15&gt;='Cost plan'!I30,A15&lt;'Cost plan'!I30+'Cost plan'!J30),'Cost plan'!H30/MAX(1,'Cost plan'!J30),0)</t>
        </is>
      </c>
      <c r="E4641" s="4" t="n">
        <v>11212.5</v>
      </c>
      <c r="F4641" s="4" t="inlineStr">
        <is>
          <t>GOC Bed Unit-Costing Model v2 — working original.xlsx</t>
        </is>
      </c>
    </row>
    <row r="4642" ht="40" customHeight="1">
      <c r="A4642" s="4" t="inlineStr">
        <is>
          <t>original:Cash flow!K15</t>
        </is>
      </c>
      <c r="B4642" s="4" t="inlineStr">
        <is>
          <t>Cash flow</t>
        </is>
      </c>
      <c r="C4642" s="4" t="inlineStr">
        <is>
          <t>K15</t>
        </is>
      </c>
      <c r="D4642" s="4" t="inlineStr">
        <is>
          <t>=SUM(H15:J15)</t>
        </is>
      </c>
      <c r="E4642" s="4" t="n">
        <v>30645.8</v>
      </c>
      <c r="F4642" s="4" t="inlineStr">
        <is>
          <t>GOC Bed Unit-Costing Model v2 — working original.xlsx</t>
        </is>
      </c>
    </row>
    <row r="4643" ht="40" customHeight="1">
      <c r="A4643" s="4" t="inlineStr">
        <is>
          <t>original:Cash flow!L15</t>
        </is>
      </c>
      <c r="B4643" s="4" t="inlineStr">
        <is>
          <t>Cash flow</t>
        </is>
      </c>
      <c r="C4643" s="4" t="inlineStr">
        <is>
          <t>L15</t>
        </is>
      </c>
      <c r="D4643" s="4" t="inlineStr">
        <is>
          <t>=N14</t>
        </is>
      </c>
      <c r="E4643" s="4" t="n">
        <v>-77231.3</v>
      </c>
      <c r="F4643" s="4" t="inlineStr">
        <is>
          <t>GOC Bed Unit-Costing Model v2 — working original.xlsx</t>
        </is>
      </c>
    </row>
    <row r="4644" ht="40" customHeight="1">
      <c r="A4644" s="4" t="inlineStr">
        <is>
          <t>original:Cash flow!M15</t>
        </is>
      </c>
      <c r="B4644" s="4" t="inlineStr">
        <is>
          <t>Cash flow</t>
        </is>
      </c>
      <c r="C4644" s="4" t="inlineStr">
        <is>
          <t>M15</t>
        </is>
      </c>
      <c r="D4644" s="4" t="inlineStr">
        <is>
          <t>=SUM(D15:G15)-K15</t>
        </is>
      </c>
      <c r="E4644" s="4" t="n">
        <v>-30645.8</v>
      </c>
      <c r="F4644" s="4" t="inlineStr">
        <is>
          <t>GOC Bed Unit-Costing Model v2 — working original.xlsx</t>
        </is>
      </c>
    </row>
    <row r="4645" ht="40" customHeight="1">
      <c r="A4645" s="4" t="inlineStr">
        <is>
          <t>original:Cash flow!N15</t>
        </is>
      </c>
      <c r="B4645" s="4" t="inlineStr">
        <is>
          <t>Cash flow</t>
        </is>
      </c>
      <c r="C4645" s="4" t="inlineStr">
        <is>
          <t>N15</t>
        </is>
      </c>
      <c r="D4645" s="4" t="inlineStr">
        <is>
          <t>=L15+M15</t>
        </is>
      </c>
      <c r="E4645" s="4" t="n">
        <v>-107877.1</v>
      </c>
      <c r="F4645" s="4" t="inlineStr">
        <is>
          <t>GOC Bed Unit-Costing Model v2 — working original.xlsx</t>
        </is>
      </c>
    </row>
    <row r="4646" ht="40" customHeight="1">
      <c r="A4646" s="4" t="inlineStr">
        <is>
          <t>original:Cash flow!O15</t>
        </is>
      </c>
      <c r="B4646" s="4" t="inlineStr">
        <is>
          <t>Cash flow</t>
        </is>
      </c>
      <c r="C4646" s="4" t="inlineStr">
        <is>
          <t>O15</t>
        </is>
      </c>
      <c r="D4646" s="4" t="inlineStr">
        <is>
          <t>=O14+C15-K15</t>
        </is>
      </c>
      <c r="E4646" s="4" t="n">
        <v>-457877.1</v>
      </c>
      <c r="F4646" s="4" t="inlineStr">
        <is>
          <t>GOC Bed Unit-Costing Model v2 — working original.xlsx</t>
        </is>
      </c>
    </row>
    <row r="4647" ht="40" customHeight="1">
      <c r="A4647" s="4" t="inlineStr">
        <is>
          <t>original:Cash flow!P15</t>
        </is>
      </c>
      <c r="B4647" s="4" t="inlineStr">
        <is>
          <t>Cash flow</t>
        </is>
      </c>
      <c r="C4647" s="4" t="inlineStr">
        <is>
          <t>P15</t>
        </is>
      </c>
      <c r="D4647" s="4" t="inlineStr">
        <is>
          <t>=Overview!B16</t>
        </is>
      </c>
      <c r="E4647" s="4" t="n">
        <v>12</v>
      </c>
      <c r="F4647" s="4" t="inlineStr">
        <is>
          <t>GOC Bed Unit-Costing Model v2 — working original.xlsx</t>
        </is>
      </c>
    </row>
    <row r="4648" ht="40" customHeight="1">
      <c r="A4648" s="4" t="inlineStr">
        <is>
          <t>original:Cash flow!A16</t>
        </is>
      </c>
      <c r="B4648" s="4" t="inlineStr">
        <is>
          <t>Cash flow</t>
        </is>
      </c>
      <c r="C4648" s="4" t="inlineStr">
        <is>
          <t>A16</t>
        </is>
      </c>
      <c r="D4648" s="4" t="n">
        <v>11</v>
      </c>
      <c r="E4648" s="4" t="n">
        <v>11</v>
      </c>
      <c r="F4648" s="4" t="inlineStr">
        <is>
          <t>GOC Bed Unit-Costing Model v2 — working original.xlsx</t>
        </is>
      </c>
    </row>
    <row r="4649" ht="40" customHeight="1">
      <c r="A4649" s="4" t="inlineStr">
        <is>
          <t>original:Cash flow!B16</t>
        </is>
      </c>
      <c r="B4649" s="4" t="inlineStr">
        <is>
          <t>Cash flow</t>
        </is>
      </c>
      <c r="C4649" s="4" t="inlineStr">
        <is>
          <t>B16</t>
        </is>
      </c>
      <c r="D4649" s="4" t="inlineStr">
        <is>
          <t>=DATE(YEAR(Overview!$B$6),MONTH(Overview!$B$6)+A16-1,1)</t>
        </is>
      </c>
      <c r="E4649" s="4" t="inlineStr">
        <is>
          <t>2027-10-01T00:00:00</t>
        </is>
      </c>
      <c r="F4649" s="4" t="inlineStr">
        <is>
          <t>GOC Bed Unit-Costing Model v2 — working original.xlsx</t>
        </is>
      </c>
    </row>
    <row r="4650" ht="40" customHeight="1">
      <c r="A4650" s="4" t="inlineStr">
        <is>
          <t>original:Cash flow!C16</t>
        </is>
      </c>
      <c r="B4650" s="4" t="inlineStr">
        <is>
          <t>Cash flow</t>
        </is>
      </c>
      <c r="C4650" s="4" t="inlineStr">
        <is>
          <t>C16</t>
        </is>
      </c>
      <c r="D4650" s="4" t="inlineStr">
        <is>
          <t>=SUMIF(Funding!F6:F9,A16,Funding!H6:H9)</t>
        </is>
      </c>
      <c r="E4650" s="4" t="n">
        <v>0</v>
      </c>
      <c r="F4650" s="4" t="inlineStr">
        <is>
          <t>GOC Bed Unit-Costing Model v2 — working original.xlsx</t>
        </is>
      </c>
    </row>
    <row r="4651" ht="40" customHeight="1">
      <c r="A4651" s="4" t="inlineStr">
        <is>
          <t>original:Cash flow!D16</t>
        </is>
      </c>
      <c r="B4651" s="4" t="inlineStr">
        <is>
          <t>Cash flow</t>
        </is>
      </c>
      <c r="C4651" s="4" t="inlineStr">
        <is>
          <t>D16</t>
        </is>
      </c>
      <c r="D4651" s="4" t="inlineStr">
        <is>
          <t>=IF(A16=Funding!F6,Funding!D6,0)</t>
        </is>
      </c>
      <c r="E4651" s="4" t="n">
        <v>0</v>
      </c>
      <c r="F4651" s="4" t="inlineStr">
        <is>
          <t>GOC Bed Unit-Costing Model v2 — working original.xlsx</t>
        </is>
      </c>
    </row>
    <row r="4652" ht="40" customHeight="1">
      <c r="A4652" s="4" t="inlineStr">
        <is>
          <t>original:Cash flow!E16</t>
        </is>
      </c>
      <c r="B4652" s="4" t="inlineStr">
        <is>
          <t>Cash flow</t>
        </is>
      </c>
      <c r="C4652" s="4" t="inlineStr">
        <is>
          <t>E16</t>
        </is>
      </c>
      <c r="D4652" s="4" t="inlineStr">
        <is>
          <t>=IF(A16=Funding!F7,Funding!D7,0)+IF(A16=Funding!F9,Funding!D9,0)</t>
        </is>
      </c>
      <c r="E4652" s="4" t="n">
        <v>0</v>
      </c>
      <c r="F4652" s="4" t="inlineStr">
        <is>
          <t>GOC Bed Unit-Costing Model v2 — working original.xlsx</t>
        </is>
      </c>
    </row>
    <row r="4653" ht="40" customHeight="1">
      <c r="A4653" s="4" t="inlineStr">
        <is>
          <t>original:Cash flow!F16</t>
        </is>
      </c>
      <c r="B4653" s="4" t="inlineStr">
        <is>
          <t>Cash flow</t>
        </is>
      </c>
      <c r="C4653" s="4" t="inlineStr">
        <is>
          <t>F16</t>
        </is>
      </c>
      <c r="D4653" s="4" t="inlineStr">
        <is>
          <t>=IF(AND(A16=Funding!F8,Overview!$B$10=1),Funding!D8,0)</t>
        </is>
      </c>
      <c r="E4653" s="4" t="n">
        <v>0</v>
      </c>
      <c r="F4653" s="4" t="inlineStr">
        <is>
          <t>GOC Bed Unit-Costing Model v2 — working original.xlsx</t>
        </is>
      </c>
    </row>
    <row r="4654" ht="40" customHeight="1">
      <c r="A4654" s="4" t="inlineStr">
        <is>
          <t>original:Cash flow!G16</t>
        </is>
      </c>
      <c r="B4654" s="4" t="inlineStr">
        <is>
          <t>Cash flow</t>
        </is>
      </c>
      <c r="C4654" s="4" t="inlineStr">
        <is>
          <t>G16</t>
        </is>
      </c>
      <c r="D4654" s="4" t="inlineStr">
        <is>
          <t>=SUMIF(Production!A6:A41,A16-Overview!$B$9,Production!M6:M41)</t>
        </is>
      </c>
      <c r="E4654" s="4" t="n">
        <v>0</v>
      </c>
      <c r="F4654" s="4" t="inlineStr">
        <is>
          <t>GOC Bed Unit-Costing Model v2 — working original.xlsx</t>
        </is>
      </c>
    </row>
    <row r="4655" ht="45" customHeight="1">
      <c r="A4655" s="4" t="inlineStr">
        <is>
          <t>original:Cash flow!H16</t>
        </is>
      </c>
      <c r="B4655" s="4" t="inlineStr">
        <is>
          <t>Cash flow</t>
        </is>
      </c>
      <c r="C4655" s="4" t="inlineStr">
        <is>
          <t>H16</t>
        </is>
      </c>
      <c r="D4655" s="4" t="inlineStr">
        <is>
          <t>=IF(A16=Sites!J7,Sites!E7*Sites!I7,0)+IF(A16=Sites!F7,Sites!E7*(1-Sites!I7),0)+IF(A16=Sites!J8,Sites!E8*Sites!I8,0)+IF(A16=Sites!F8,Sites!E8*(1-Sites!I8),0)</t>
        </is>
      </c>
      <c r="E4655" s="4" t="n">
        <v>0</v>
      </c>
      <c r="F4655" s="4" t="inlineStr">
        <is>
          <t>GOC Bed Unit-Costing Model v2 — working original.xlsx</t>
        </is>
      </c>
    </row>
    <row r="4656" ht="40" customHeight="1">
      <c r="A4656" s="4" t="inlineStr">
        <is>
          <t>original:Cash flow!I16</t>
        </is>
      </c>
      <c r="B4656" s="4" t="inlineStr">
        <is>
          <t>Cash flow</t>
        </is>
      </c>
      <c r="C4656" s="4" t="inlineStr">
        <is>
          <t>I16</t>
        </is>
      </c>
      <c r="D4656" s="4" t="inlineStr">
        <is>
          <t>=SUMIF(Production!A6:A41,A16,Production!K6:K41)+SUMIF(Production!A6:A41,A16,Production!L6:L41)</t>
        </is>
      </c>
      <c r="E4656" s="4" t="n">
        <v>23640.7</v>
      </c>
      <c r="F4656" s="4" t="inlineStr">
        <is>
          <t>GOC Bed Unit-Costing Model v2 — working original.xlsx</t>
        </is>
      </c>
    </row>
    <row r="4657" ht="675" customHeight="1">
      <c r="A4657" s="4" t="inlineStr">
        <is>
          <t>original:Cash flow!J16</t>
        </is>
      </c>
      <c r="B4657" s="4" t="inlineStr">
        <is>
          <t>Cash flow</t>
        </is>
      </c>
      <c r="C4657" s="4" t="inlineStr">
        <is>
          <t>J16</t>
        </is>
      </c>
      <c r="D4657" s="4" t="inlineStr">
        <is>
          <t>=IF(AND(ISNUMBER('Cost plan'!H12),'Cost plan'!J12&gt;0,A16&gt;='Cost plan'!I12,A16&lt;'Cost plan'!I12+'Cost plan'!J12),'Cost plan'!H12/MAX(1,'Cost plan'!J12),0)+IF(AND(ISNUMBER('Cost plan'!H13),'Cost plan'!J13&gt;0,A16&gt;='Cost plan'!I13,A16&lt;'Cost plan'!I13+'Cost plan'!J13),'Cost plan'!H13/MAX(1,'Cost plan'!J13),0)+IF(AND(ISNUMBER('Cost plan'!H14),'Cost plan'!J14&gt;0,A16&gt;='Cost plan'!I14,A16&lt;'Cost plan'!I14+'Cost plan'!J14),'Cost plan'!H14/MAX(1,'Cost plan'!J14),0)+IF(AND(ISNUMBER('Cost plan'!H15),'Cost plan'!J15&gt;0,A16&gt;='Cost plan'!I15,A16&lt;'Cost plan'!I15+'Cost plan'!J15),'Cost plan'!H15/MAX(1,'Cost plan'!J15),0)+IF(AND(ISNUMBER('Cost plan'!H16),'Cost plan'!J16&gt;0,A16&gt;='Cost plan'!I16,A16&lt;'Cost plan'!I16+'Cost plan'!J16),'Cost plan'!H16/MAX(1,'Cost plan'!J16),0)+IF(AND(ISNUMBER('Cost plan'!H17),'Cost plan'!J17&gt;0,A16&gt;='Cost plan'!I17,A16&lt;'Cost plan'!I17+'Cost plan'!J17),'Cost plan'!H17/MAX(1,'Cost plan'!J17),0)+IF(AND(ISNUMBER('Cost plan'!H18),'Cost plan'!J18&gt;0,A16&gt;='Cost plan'!I18,A16&lt;'Cost plan'!I18+'Cost plan'!J18),'Cost plan'!H18/MAX(1,'Cost plan'!J18),0)+IF(AND(ISNUMBER('Cost plan'!H19),'Cost plan'!J19&gt;0,A16&gt;='Cost plan'!I19,A16&lt;'Cost plan'!I19+'Cost plan'!J19),'Cost plan'!H19/MAX(1,'Cost plan'!J19),0)+IF(AND(ISNUMBER('Cost plan'!H20),'Cost plan'!J20&gt;0,A16&gt;='Cost plan'!I20,A16&lt;'Cost plan'!I20+'Cost plan'!J20),'Cost plan'!H20/MAX(1,'Cost plan'!J20),0)+IF(AND(ISNUMBER('Cost plan'!H21),'Cost plan'!J21&gt;0,A16&gt;='Cost plan'!I21,A16&lt;'Cost plan'!I21+'Cost plan'!J21),'Cost plan'!H21/MAX(1,'Cost plan'!J21),0)+IF(AND(ISNUMBER('Cost plan'!H22),'Cost plan'!J22&gt;0,A16&gt;='Cost plan'!I22,A16&lt;'Cost plan'!I22+'Cost plan'!J22),'Cost plan'!H22/MAX(1,'Cost plan'!J22),0)+IF(AND(ISNUMBER('Cost plan'!H23),'Cost plan'!J23&gt;0,A16&gt;='Cost plan'!I23,A16&lt;'Cost plan'!I23+'Cost plan'!J23),'Cost plan'!H23/MAX(1,'Cost plan'!J23),0)+IF(AND(ISNUMBER('Cost plan'!H24),'Cost plan'!J24&gt;0,A16&gt;='Cost plan'!I24,A16&lt;'Cost plan'!I24+'Cost plan'!J24),'Cost plan'!H24/MAX(1,'Cost plan'!J24),0)+IF(AND(ISNUMBER('Cost plan'!H25),'Cost plan'!J25&gt;0,A16&gt;='Cost plan'!I25,A16&lt;'Cost plan'!I25+'Cost plan'!J25),'Cost plan'!H25/MAX(1,'Cost plan'!J25),0)+IF(AND(ISNUMBER('Cost plan'!H26),'Cost plan'!J26&gt;0,A16&gt;='Cost plan'!I26,A16&lt;'Cost plan'!I26+'Cost plan'!J26),'Cost plan'!H26/MAX(1,'Cost plan'!J26),0)+IF(AND(ISNUMBER('Cost plan'!H27),'Cost plan'!J27&gt;0,A16&gt;='Cost plan'!I27,A16&lt;'Cost plan'!I27+'Cost plan'!J27),'Cost plan'!H27/MAX(1,'Cost plan'!J27),0)+IF(AND(ISNUMBER('Cost plan'!H28),'Cost plan'!J28&gt;0,A16&gt;='Cost plan'!I28,A16&lt;'Cost plan'!I28+'Cost plan'!J28),'Cost plan'!H28/MAX(1,'Cost plan'!J28),0)+IF(AND(ISNUMBER('Cost plan'!H29),'Cost plan'!J29&gt;0,A16&gt;='Cost plan'!I29,A16&lt;'Cost plan'!I29+'Cost plan'!J29),'Cost plan'!H29/MAX(1,'Cost plan'!J29),0)+IF(AND(ISNUMBER('Cost plan'!H30),'Cost plan'!J30&gt;0,A16&gt;='Cost plan'!I30,A16&lt;'Cost plan'!I30+'Cost plan'!J30),'Cost plan'!H30/MAX(1,'Cost plan'!J30),0)</t>
        </is>
      </c>
      <c r="E4657" s="4" t="n">
        <v>11212.5</v>
      </c>
      <c r="F4657" s="4" t="inlineStr">
        <is>
          <t>GOC Bed Unit-Costing Model v2 — working original.xlsx</t>
        </is>
      </c>
    </row>
    <row r="4658" ht="40" customHeight="1">
      <c r="A4658" s="4" t="inlineStr">
        <is>
          <t>original:Cash flow!K16</t>
        </is>
      </c>
      <c r="B4658" s="4" t="inlineStr">
        <is>
          <t>Cash flow</t>
        </is>
      </c>
      <c r="C4658" s="4" t="inlineStr">
        <is>
          <t>K16</t>
        </is>
      </c>
      <c r="D4658" s="4" t="inlineStr">
        <is>
          <t>=SUM(H16:J16)</t>
        </is>
      </c>
      <c r="E4658" s="4" t="n">
        <v>34853.2</v>
      </c>
      <c r="F4658" s="4" t="inlineStr">
        <is>
          <t>GOC Bed Unit-Costing Model v2 — working original.xlsx</t>
        </is>
      </c>
    </row>
    <row r="4659" ht="40" customHeight="1">
      <c r="A4659" s="4" t="inlineStr">
        <is>
          <t>original:Cash flow!L16</t>
        </is>
      </c>
      <c r="B4659" s="4" t="inlineStr">
        <is>
          <t>Cash flow</t>
        </is>
      </c>
      <c r="C4659" s="4" t="inlineStr">
        <is>
          <t>L16</t>
        </is>
      </c>
      <c r="D4659" s="4" t="inlineStr">
        <is>
          <t>=N15</t>
        </is>
      </c>
      <c r="E4659" s="4" t="n">
        <v>-107877.1</v>
      </c>
      <c r="F4659" s="4" t="inlineStr">
        <is>
          <t>GOC Bed Unit-Costing Model v2 — working original.xlsx</t>
        </is>
      </c>
    </row>
    <row r="4660" ht="40" customHeight="1">
      <c r="A4660" s="4" t="inlineStr">
        <is>
          <t>original:Cash flow!M16</t>
        </is>
      </c>
      <c r="B4660" s="4" t="inlineStr">
        <is>
          <t>Cash flow</t>
        </is>
      </c>
      <c r="C4660" s="4" t="inlineStr">
        <is>
          <t>M16</t>
        </is>
      </c>
      <c r="D4660" s="4" t="inlineStr">
        <is>
          <t>=SUM(D16:G16)-K16</t>
        </is>
      </c>
      <c r="E4660" s="4" t="n">
        <v>-34853.2</v>
      </c>
      <c r="F4660" s="4" t="inlineStr">
        <is>
          <t>GOC Bed Unit-Costing Model v2 — working original.xlsx</t>
        </is>
      </c>
    </row>
    <row r="4661" ht="40" customHeight="1">
      <c r="A4661" s="4" t="inlineStr">
        <is>
          <t>original:Cash flow!N16</t>
        </is>
      </c>
      <c r="B4661" s="4" t="inlineStr">
        <is>
          <t>Cash flow</t>
        </is>
      </c>
      <c r="C4661" s="4" t="inlineStr">
        <is>
          <t>N16</t>
        </is>
      </c>
      <c r="D4661" s="4" t="inlineStr">
        <is>
          <t>=L16+M16</t>
        </is>
      </c>
      <c r="E4661" s="4" t="n">
        <v>-142730.3</v>
      </c>
      <c r="F4661" s="4" t="inlineStr">
        <is>
          <t>GOC Bed Unit-Costing Model v2 — working original.xlsx</t>
        </is>
      </c>
    </row>
    <row r="4662" ht="40" customHeight="1">
      <c r="A4662" s="4" t="inlineStr">
        <is>
          <t>original:Cash flow!O16</t>
        </is>
      </c>
      <c r="B4662" s="4" t="inlineStr">
        <is>
          <t>Cash flow</t>
        </is>
      </c>
      <c r="C4662" s="4" t="inlineStr">
        <is>
          <t>O16</t>
        </is>
      </c>
      <c r="D4662" s="4" t="inlineStr">
        <is>
          <t>=O15+C16-K16</t>
        </is>
      </c>
      <c r="E4662" s="4" t="n">
        <v>-492730.3</v>
      </c>
      <c r="F4662" s="4" t="inlineStr">
        <is>
          <t>GOC Bed Unit-Costing Model v2 — working original.xlsx</t>
        </is>
      </c>
    </row>
    <row r="4663" ht="40" customHeight="1">
      <c r="A4663" s="4" t="inlineStr">
        <is>
          <t>original:Cash flow!P16</t>
        </is>
      </c>
      <c r="B4663" s="4" t="inlineStr">
        <is>
          <t>Cash flow</t>
        </is>
      </c>
      <c r="C4663" s="4" t="inlineStr">
        <is>
          <t>P16</t>
        </is>
      </c>
      <c r="D4663" s="4" t="inlineStr">
        <is>
          <t>=Overview!B16</t>
        </is>
      </c>
      <c r="E4663" s="4" t="n">
        <v>12</v>
      </c>
      <c r="F4663" s="4" t="inlineStr">
        <is>
          <t>GOC Bed Unit-Costing Model v2 — working original.xlsx</t>
        </is>
      </c>
    </row>
    <row r="4664" ht="40" customHeight="1">
      <c r="A4664" s="4" t="inlineStr">
        <is>
          <t>original:Cash flow!A17</t>
        </is>
      </c>
      <c r="B4664" s="4" t="inlineStr">
        <is>
          <t>Cash flow</t>
        </is>
      </c>
      <c r="C4664" s="4" t="inlineStr">
        <is>
          <t>A17</t>
        </is>
      </c>
      <c r="D4664" s="4" t="n">
        <v>12</v>
      </c>
      <c r="E4664" s="4" t="n">
        <v>12</v>
      </c>
      <c r="F4664" s="4" t="inlineStr">
        <is>
          <t>GOC Bed Unit-Costing Model v2 — working original.xlsx</t>
        </is>
      </c>
    </row>
    <row r="4665" ht="40" customHeight="1">
      <c r="A4665" s="4" t="inlineStr">
        <is>
          <t>original:Cash flow!B17</t>
        </is>
      </c>
      <c r="B4665" s="4" t="inlineStr">
        <is>
          <t>Cash flow</t>
        </is>
      </c>
      <c r="C4665" s="4" t="inlineStr">
        <is>
          <t>B17</t>
        </is>
      </c>
      <c r="D4665" s="4" t="inlineStr">
        <is>
          <t>=DATE(YEAR(Overview!$B$6),MONTH(Overview!$B$6)+A17-1,1)</t>
        </is>
      </c>
      <c r="E4665" s="4" t="inlineStr">
        <is>
          <t>2027-11-01T00:00:00</t>
        </is>
      </c>
      <c r="F4665" s="4" t="inlineStr">
        <is>
          <t>GOC Bed Unit-Costing Model v2 — working original.xlsx</t>
        </is>
      </c>
    </row>
    <row r="4666" ht="40" customHeight="1">
      <c r="A4666" s="4" t="inlineStr">
        <is>
          <t>original:Cash flow!C17</t>
        </is>
      </c>
      <c r="B4666" s="4" t="inlineStr">
        <is>
          <t>Cash flow</t>
        </is>
      </c>
      <c r="C4666" s="4" t="inlineStr">
        <is>
          <t>C17</t>
        </is>
      </c>
      <c r="D4666" s="4" t="inlineStr">
        <is>
          <t>=SUMIF(Funding!F6:F9,A17,Funding!H6:H9)</t>
        </is>
      </c>
      <c r="E4666" s="4" t="n">
        <v>0</v>
      </c>
      <c r="F4666" s="4" t="inlineStr">
        <is>
          <t>GOC Bed Unit-Costing Model v2 — working original.xlsx</t>
        </is>
      </c>
    </row>
    <row r="4667" ht="40" customHeight="1">
      <c r="A4667" s="4" t="inlineStr">
        <is>
          <t>original:Cash flow!D17</t>
        </is>
      </c>
      <c r="B4667" s="4" t="inlineStr">
        <is>
          <t>Cash flow</t>
        </is>
      </c>
      <c r="C4667" s="4" t="inlineStr">
        <is>
          <t>D17</t>
        </is>
      </c>
      <c r="D4667" s="4" t="inlineStr">
        <is>
          <t>=IF(A17=Funding!F6,Funding!D6,0)</t>
        </is>
      </c>
      <c r="E4667" s="4" t="n">
        <v>0</v>
      </c>
      <c r="F4667" s="4" t="inlineStr">
        <is>
          <t>GOC Bed Unit-Costing Model v2 — working original.xlsx</t>
        </is>
      </c>
    </row>
    <row r="4668" ht="40" customHeight="1">
      <c r="A4668" s="4" t="inlineStr">
        <is>
          <t>original:Cash flow!E17</t>
        </is>
      </c>
      <c r="B4668" s="4" t="inlineStr">
        <is>
          <t>Cash flow</t>
        </is>
      </c>
      <c r="C4668" s="4" t="inlineStr">
        <is>
          <t>E17</t>
        </is>
      </c>
      <c r="D4668" s="4" t="inlineStr">
        <is>
          <t>=IF(A17=Funding!F7,Funding!D7,0)+IF(A17=Funding!F9,Funding!D9,0)</t>
        </is>
      </c>
      <c r="E4668" s="4" t="n">
        <v>0</v>
      </c>
      <c r="F4668" s="4" t="inlineStr">
        <is>
          <t>GOC Bed Unit-Costing Model v2 — working original.xlsx</t>
        </is>
      </c>
    </row>
    <row r="4669" ht="40" customHeight="1">
      <c r="A4669" s="4" t="inlineStr">
        <is>
          <t>original:Cash flow!F17</t>
        </is>
      </c>
      <c r="B4669" s="4" t="inlineStr">
        <is>
          <t>Cash flow</t>
        </is>
      </c>
      <c r="C4669" s="4" t="inlineStr">
        <is>
          <t>F17</t>
        </is>
      </c>
      <c r="D4669" s="4" t="inlineStr">
        <is>
          <t>=IF(AND(A17=Funding!F8,Overview!$B$10=1),Funding!D8,0)</t>
        </is>
      </c>
      <c r="E4669" s="4" t="n">
        <v>0</v>
      </c>
      <c r="F4669" s="4" t="inlineStr">
        <is>
          <t>GOC Bed Unit-Costing Model v2 — working original.xlsx</t>
        </is>
      </c>
    </row>
    <row r="4670" ht="40" customHeight="1">
      <c r="A4670" s="4" t="inlineStr">
        <is>
          <t>original:Cash flow!G17</t>
        </is>
      </c>
      <c r="B4670" s="4" t="inlineStr">
        <is>
          <t>Cash flow</t>
        </is>
      </c>
      <c r="C4670" s="4" t="inlineStr">
        <is>
          <t>G17</t>
        </is>
      </c>
      <c r="D4670" s="4" t="inlineStr">
        <is>
          <t>=SUMIF(Production!A6:A41,A17-Overview!$B$9,Production!M6:M41)</t>
        </is>
      </c>
      <c r="E4670" s="4" t="n">
        <v>0</v>
      </c>
      <c r="F4670" s="4" t="inlineStr">
        <is>
          <t>GOC Bed Unit-Costing Model v2 — working original.xlsx</t>
        </is>
      </c>
    </row>
    <row r="4671" ht="45" customHeight="1">
      <c r="A4671" s="4" t="inlineStr">
        <is>
          <t>original:Cash flow!H17</t>
        </is>
      </c>
      <c r="B4671" s="4" t="inlineStr">
        <is>
          <t>Cash flow</t>
        </is>
      </c>
      <c r="C4671" s="4" t="inlineStr">
        <is>
          <t>H17</t>
        </is>
      </c>
      <c r="D4671" s="4" t="inlineStr">
        <is>
          <t>=IF(A17=Sites!J7,Sites!E7*Sites!I7,0)+IF(A17=Sites!F7,Sites!E7*(1-Sites!I7),0)+IF(A17=Sites!J8,Sites!E8*Sites!I8,0)+IF(A17=Sites!F8,Sites!E8*(1-Sites!I8),0)</t>
        </is>
      </c>
      <c r="E4671" s="4" t="n">
        <v>0</v>
      </c>
      <c r="F4671" s="4" t="inlineStr">
        <is>
          <t>GOC Bed Unit-Costing Model v2 — working original.xlsx</t>
        </is>
      </c>
    </row>
    <row r="4672" ht="40" customHeight="1">
      <c r="A4672" s="4" t="inlineStr">
        <is>
          <t>original:Cash flow!I17</t>
        </is>
      </c>
      <c r="B4672" s="4" t="inlineStr">
        <is>
          <t>Cash flow</t>
        </is>
      </c>
      <c r="C4672" s="4" t="inlineStr">
        <is>
          <t>I17</t>
        </is>
      </c>
      <c r="D4672" s="4" t="inlineStr">
        <is>
          <t>=SUMIF(Production!A6:A41,A17,Production!K6:K41)+SUMIF(Production!A6:A41,A17,Production!L6:L41)</t>
        </is>
      </c>
      <c r="E4672" s="4" t="n">
        <v>23640.7</v>
      </c>
      <c r="F4672" s="4" t="inlineStr">
        <is>
          <t>GOC Bed Unit-Costing Model v2 — working original.xlsx</t>
        </is>
      </c>
    </row>
    <row r="4673" ht="675" customHeight="1">
      <c r="A4673" s="4" t="inlineStr">
        <is>
          <t>original:Cash flow!J17</t>
        </is>
      </c>
      <c r="B4673" s="4" t="inlineStr">
        <is>
          <t>Cash flow</t>
        </is>
      </c>
      <c r="C4673" s="4" t="inlineStr">
        <is>
          <t>J17</t>
        </is>
      </c>
      <c r="D4673" s="4" t="inlineStr">
        <is>
          <t>=IF(AND(ISNUMBER('Cost plan'!H12),'Cost plan'!J12&gt;0,A17&gt;='Cost plan'!I12,A17&lt;'Cost plan'!I12+'Cost plan'!J12),'Cost plan'!H12/MAX(1,'Cost plan'!J12),0)+IF(AND(ISNUMBER('Cost plan'!H13),'Cost plan'!J13&gt;0,A17&gt;='Cost plan'!I13,A17&lt;'Cost plan'!I13+'Cost plan'!J13),'Cost plan'!H13/MAX(1,'Cost plan'!J13),0)+IF(AND(ISNUMBER('Cost plan'!H14),'Cost plan'!J14&gt;0,A17&gt;='Cost plan'!I14,A17&lt;'Cost plan'!I14+'Cost plan'!J14),'Cost plan'!H14/MAX(1,'Cost plan'!J14),0)+IF(AND(ISNUMBER('Cost plan'!H15),'Cost plan'!J15&gt;0,A17&gt;='Cost plan'!I15,A17&lt;'Cost plan'!I15+'Cost plan'!J15),'Cost plan'!H15/MAX(1,'Cost plan'!J15),0)+IF(AND(ISNUMBER('Cost plan'!H16),'Cost plan'!J16&gt;0,A17&gt;='Cost plan'!I16,A17&lt;'Cost plan'!I16+'Cost plan'!J16),'Cost plan'!H16/MAX(1,'Cost plan'!J16),0)+IF(AND(ISNUMBER('Cost plan'!H17),'Cost plan'!J17&gt;0,A17&gt;='Cost plan'!I17,A17&lt;'Cost plan'!I17+'Cost plan'!J17),'Cost plan'!H17/MAX(1,'Cost plan'!J17),0)+IF(AND(ISNUMBER('Cost plan'!H18),'Cost plan'!J18&gt;0,A17&gt;='Cost plan'!I18,A17&lt;'Cost plan'!I18+'Cost plan'!J18),'Cost plan'!H18/MAX(1,'Cost plan'!J18),0)+IF(AND(ISNUMBER('Cost plan'!H19),'Cost plan'!J19&gt;0,A17&gt;='Cost plan'!I19,A17&lt;'Cost plan'!I19+'Cost plan'!J19),'Cost plan'!H19/MAX(1,'Cost plan'!J19),0)+IF(AND(ISNUMBER('Cost plan'!H20),'Cost plan'!J20&gt;0,A17&gt;='Cost plan'!I20,A17&lt;'Cost plan'!I20+'Cost plan'!J20),'Cost plan'!H20/MAX(1,'Cost plan'!J20),0)+IF(AND(ISNUMBER('Cost plan'!H21),'Cost plan'!J21&gt;0,A17&gt;='Cost plan'!I21,A17&lt;'Cost plan'!I21+'Cost plan'!J21),'Cost plan'!H21/MAX(1,'Cost plan'!J21),0)+IF(AND(ISNUMBER('Cost plan'!H22),'Cost plan'!J22&gt;0,A17&gt;='Cost plan'!I22,A17&lt;'Cost plan'!I22+'Cost plan'!J22),'Cost plan'!H22/MAX(1,'Cost plan'!J22),0)+IF(AND(ISNUMBER('Cost plan'!H23),'Cost plan'!J23&gt;0,A17&gt;='Cost plan'!I23,A17&lt;'Cost plan'!I23+'Cost plan'!J23),'Cost plan'!H23/MAX(1,'Cost plan'!J23),0)+IF(AND(ISNUMBER('Cost plan'!H24),'Cost plan'!J24&gt;0,A17&gt;='Cost plan'!I24,A17&lt;'Cost plan'!I24+'Cost plan'!J24),'Cost plan'!H24/MAX(1,'Cost plan'!J24),0)+IF(AND(ISNUMBER('Cost plan'!H25),'Cost plan'!J25&gt;0,A17&gt;='Cost plan'!I25,A17&lt;'Cost plan'!I25+'Cost plan'!J25),'Cost plan'!H25/MAX(1,'Cost plan'!J25),0)+IF(AND(ISNUMBER('Cost plan'!H26),'Cost plan'!J26&gt;0,A17&gt;='Cost plan'!I26,A17&lt;'Cost plan'!I26+'Cost plan'!J26),'Cost plan'!H26/MAX(1,'Cost plan'!J26),0)+IF(AND(ISNUMBER('Cost plan'!H27),'Cost plan'!J27&gt;0,A17&gt;='Cost plan'!I27,A17&lt;'Cost plan'!I27+'Cost plan'!J27),'Cost plan'!H27/MAX(1,'Cost plan'!J27),0)+IF(AND(ISNUMBER('Cost plan'!H28),'Cost plan'!J28&gt;0,A17&gt;='Cost plan'!I28,A17&lt;'Cost plan'!I28+'Cost plan'!J28),'Cost plan'!H28/MAX(1,'Cost plan'!J28),0)+IF(AND(ISNUMBER('Cost plan'!H29),'Cost plan'!J29&gt;0,A17&gt;='Cost plan'!I29,A17&lt;'Cost plan'!I29+'Cost plan'!J29),'Cost plan'!H29/MAX(1,'Cost plan'!J29),0)+IF(AND(ISNUMBER('Cost plan'!H30),'Cost plan'!J30&gt;0,A17&gt;='Cost plan'!I30,A17&lt;'Cost plan'!I30+'Cost plan'!J30),'Cost plan'!H30/MAX(1,'Cost plan'!J30),0)</t>
        </is>
      </c>
      <c r="E4673" s="4" t="n">
        <v>11212.5</v>
      </c>
      <c r="F4673" s="4" t="inlineStr">
        <is>
          <t>GOC Bed Unit-Costing Model v2 — working original.xlsx</t>
        </is>
      </c>
    </row>
    <row r="4674" ht="40" customHeight="1">
      <c r="A4674" s="4" t="inlineStr">
        <is>
          <t>original:Cash flow!K17</t>
        </is>
      </c>
      <c r="B4674" s="4" t="inlineStr">
        <is>
          <t>Cash flow</t>
        </is>
      </c>
      <c r="C4674" s="4" t="inlineStr">
        <is>
          <t>K17</t>
        </is>
      </c>
      <c r="D4674" s="4" t="inlineStr">
        <is>
          <t>=SUM(H17:J17)</t>
        </is>
      </c>
      <c r="E4674" s="4" t="n">
        <v>34853.2</v>
      </c>
      <c r="F4674" s="4" t="inlineStr">
        <is>
          <t>GOC Bed Unit-Costing Model v2 — working original.xlsx</t>
        </is>
      </c>
    </row>
    <row r="4675" ht="40" customHeight="1">
      <c r="A4675" s="4" t="inlineStr">
        <is>
          <t>original:Cash flow!L17</t>
        </is>
      </c>
      <c r="B4675" s="4" t="inlineStr">
        <is>
          <t>Cash flow</t>
        </is>
      </c>
      <c r="C4675" s="4" t="inlineStr">
        <is>
          <t>L17</t>
        </is>
      </c>
      <c r="D4675" s="4" t="inlineStr">
        <is>
          <t>=N16</t>
        </is>
      </c>
      <c r="E4675" s="4" t="n">
        <v>-142730.3</v>
      </c>
      <c r="F4675" s="4" t="inlineStr">
        <is>
          <t>GOC Bed Unit-Costing Model v2 — working original.xlsx</t>
        </is>
      </c>
    </row>
    <row r="4676" ht="40" customHeight="1">
      <c r="A4676" s="4" t="inlineStr">
        <is>
          <t>original:Cash flow!M17</t>
        </is>
      </c>
      <c r="B4676" s="4" t="inlineStr">
        <is>
          <t>Cash flow</t>
        </is>
      </c>
      <c r="C4676" s="4" t="inlineStr">
        <is>
          <t>M17</t>
        </is>
      </c>
      <c r="D4676" s="4" t="inlineStr">
        <is>
          <t>=SUM(D17:G17)-K17</t>
        </is>
      </c>
      <c r="E4676" s="4" t="n">
        <v>-34853.2</v>
      </c>
      <c r="F4676" s="4" t="inlineStr">
        <is>
          <t>GOC Bed Unit-Costing Model v2 — working original.xlsx</t>
        </is>
      </c>
    </row>
    <row r="4677" ht="40" customHeight="1">
      <c r="A4677" s="4" t="inlineStr">
        <is>
          <t>original:Cash flow!N17</t>
        </is>
      </c>
      <c r="B4677" s="4" t="inlineStr">
        <is>
          <t>Cash flow</t>
        </is>
      </c>
      <c r="C4677" s="4" t="inlineStr">
        <is>
          <t>N17</t>
        </is>
      </c>
      <c r="D4677" s="4" t="inlineStr">
        <is>
          <t>=L17+M17</t>
        </is>
      </c>
      <c r="E4677" s="4" t="n">
        <v>-177583.5</v>
      </c>
      <c r="F4677" s="4" t="inlineStr">
        <is>
          <t>GOC Bed Unit-Costing Model v2 — working original.xlsx</t>
        </is>
      </c>
    </row>
    <row r="4678" ht="40" customHeight="1">
      <c r="A4678" s="4" t="inlineStr">
        <is>
          <t>original:Cash flow!O17</t>
        </is>
      </c>
      <c r="B4678" s="4" t="inlineStr">
        <is>
          <t>Cash flow</t>
        </is>
      </c>
      <c r="C4678" s="4" t="inlineStr">
        <is>
          <t>O17</t>
        </is>
      </c>
      <c r="D4678" s="4" t="inlineStr">
        <is>
          <t>=O16+C17-K17</t>
        </is>
      </c>
      <c r="E4678" s="4" t="n">
        <v>-527583.5</v>
      </c>
      <c r="F4678" s="4" t="inlineStr">
        <is>
          <t>GOC Bed Unit-Costing Model v2 — working original.xlsx</t>
        </is>
      </c>
    </row>
    <row r="4679" ht="40" customHeight="1">
      <c r="A4679" s="4" t="inlineStr">
        <is>
          <t>original:Cash flow!P17</t>
        </is>
      </c>
      <c r="B4679" s="4" t="inlineStr">
        <is>
          <t>Cash flow</t>
        </is>
      </c>
      <c r="C4679" s="4" t="inlineStr">
        <is>
          <t>P17</t>
        </is>
      </c>
      <c r="D4679" s="4" t="inlineStr">
        <is>
          <t>=Overview!B16</t>
        </is>
      </c>
      <c r="E4679" s="4" t="n">
        <v>12</v>
      </c>
      <c r="F4679" s="4" t="inlineStr">
        <is>
          <t>GOC Bed Unit-Costing Model v2 — working original.xlsx</t>
        </is>
      </c>
    </row>
    <row r="4680" ht="105" customHeight="1">
      <c r="A4680" s="4" t="inlineStr">
        <is>
          <t>original:Cash flow!A20</t>
        </is>
      </c>
      <c r="B4680" s="4" t="inlineStr">
        <is>
          <t>Cash flow</t>
        </is>
      </c>
      <c r="C4680" s="4" t="inlineStr">
        <is>
          <t>A20</t>
        </is>
      </c>
      <c r="D4680" s="4" t="inlineStr">
        <is>
          <t>BMD cash is withheld until the Overview condition switch is set to 1. This models its full-project-funding dependency; it does not verify approval.</t>
        </is>
      </c>
      <c r="E4680" s="4" t="inlineStr">
        <is>
          <t>BMD cash is withheld until the Overview condition switch is set to 1. This models its full-project-funding dependency; it does not verify approval.</t>
        </is>
      </c>
      <c r="F4680" s="4" t="inlineStr">
        <is>
          <t>GOC Bed Unit-Costing Model v2 — working original.xlsx</t>
        </is>
      </c>
    </row>
    <row r="4681" ht="105" customHeight="1">
      <c r="A4681" s="4" t="inlineStr">
        <is>
          <t>original:Cash flow!A22</t>
        </is>
      </c>
      <c r="B4681" s="4" t="inlineStr">
        <is>
          <t>Cash flow</t>
        </is>
      </c>
      <c r="C4681" s="4" t="inlineStr">
        <is>
          <t>A22</t>
        </is>
      </c>
      <c r="D4681" s="4" t="inlineStr">
        <is>
          <t>Known outflows may understate the total while Cost plan has blank prices. Buyer revenue is collected after the selected lag, never assumed at production.</t>
        </is>
      </c>
      <c r="E4681" s="4" t="inlineStr">
        <is>
          <t>Known outflows may understate the total while Cost plan has blank prices. Buyer revenue is collected after the selected lag, never assumed at production.</t>
        </is>
      </c>
      <c r="F4681" s="4" t="inlineStr">
        <is>
          <t>GOC Bed Unit-Costing Model v2 — working original.xlsx</t>
        </is>
      </c>
    </row>
    <row r="4682" ht="120" customHeight="1">
      <c r="A4682" s="4" t="inlineStr">
        <is>
          <t>original:Cash flow!A24</t>
        </is>
      </c>
      <c r="B4682" s="4" t="inlineStr">
        <is>
          <t>Cash flow</t>
        </is>
      </c>
      <c r="C4682" s="4" t="inlineStr">
        <is>
          <t>A24</t>
        </is>
      </c>
      <c r="D4682" s="4" t="inlineStr">
        <is>
          <t>No loan or bridge is automatically drawn. A negative balance requires a funding, timing or scope decision. Confirmed-only balance excludes unconfirmed buyer scenarios.</t>
        </is>
      </c>
      <c r="E4682" s="4" t="inlineStr">
        <is>
          <t>No loan or bridge is automatically drawn. A negative balance requires a funding, timing or scope decision. Confirmed-only balance excludes unconfirmed buyer scenarios.</t>
        </is>
      </c>
      <c r="F4682" s="4" t="inlineStr">
        <is>
          <t>GOC Bed Unit-Costing Model v2 — working original.xlsx</t>
        </is>
      </c>
    </row>
    <row r="4683" ht="40" customHeight="1">
      <c r="A4683" s="4" t="inlineStr">
        <is>
          <t>original:Funding!A1</t>
        </is>
      </c>
      <c r="B4683" s="4" t="inlineStr">
        <is>
          <t>Funding</t>
        </is>
      </c>
      <c r="C4683" s="4" t="inlineStr">
        <is>
          <t>A1</t>
        </is>
      </c>
      <c r="D4683" s="4" t="inlineStr">
        <is>
          <t>Funding and conditions</t>
        </is>
      </c>
      <c r="E4683" s="4" t="inlineStr">
        <is>
          <t>Funding and conditions</t>
        </is>
      </c>
      <c r="F4683" s="4" t="inlineStr">
        <is>
          <t>GOC Bed Unit-Costing Model v2 — working original.xlsx</t>
        </is>
      </c>
    </row>
    <row r="4684" ht="75" customHeight="1">
      <c r="A4684" s="4" t="inlineStr">
        <is>
          <t>original:Funding!A3</t>
        </is>
      </c>
      <c r="B4684" s="4" t="inlineStr">
        <is>
          <t>Funding</t>
        </is>
      </c>
      <c r="C4684" s="4" t="inlineStr">
        <is>
          <t>A3</t>
        </is>
      </c>
      <c r="D4684" s="4" t="inlineStr">
        <is>
          <t>Invitations are not awards. Enter confirmed amounts only when supported by a document and usable terms.</t>
        </is>
      </c>
      <c r="E4684" s="4" t="inlineStr">
        <is>
          <t>Invitations are not awards. Enter confirmed amounts only when supported by a document and usable terms.</t>
        </is>
      </c>
      <c r="F4684" s="4" t="inlineStr">
        <is>
          <t>GOC Bed Unit-Costing Model v2 — working original.xlsx</t>
        </is>
      </c>
    </row>
    <row r="4685" ht="40" customHeight="1">
      <c r="A4685" s="4" t="inlineStr">
        <is>
          <t>original:Funding!A5</t>
        </is>
      </c>
      <c r="B4685" s="4" t="inlineStr">
        <is>
          <t>Funding</t>
        </is>
      </c>
      <c r="C4685" s="4" t="inlineStr">
        <is>
          <t>A5</t>
        </is>
      </c>
      <c r="D4685" s="4" t="inlineStr">
        <is>
          <t>Source ID</t>
        </is>
      </c>
      <c r="E4685" s="4" t="inlineStr">
        <is>
          <t>Source ID</t>
        </is>
      </c>
      <c r="F4685" s="4" t="inlineStr">
        <is>
          <t>GOC Bed Unit-Costing Model v2 — working original.xlsx</t>
        </is>
      </c>
    </row>
    <row r="4686" ht="40" customHeight="1">
      <c r="A4686" s="4" t="inlineStr">
        <is>
          <t>original:Funding!B5</t>
        </is>
      </c>
      <c r="B4686" s="4" t="inlineStr">
        <is>
          <t>Funding</t>
        </is>
      </c>
      <c r="C4686" s="4" t="inlineStr">
        <is>
          <t>B5</t>
        </is>
      </c>
      <c r="D4686" s="4" t="inlineStr">
        <is>
          <t>Source</t>
        </is>
      </c>
      <c r="E4686" s="4" t="inlineStr">
        <is>
          <t>Source</t>
        </is>
      </c>
      <c r="F4686" s="4" t="inlineStr">
        <is>
          <t>GOC Bed Unit-Costing Model v2 — working original.xlsx</t>
        </is>
      </c>
    </row>
    <row r="4687" ht="40" customHeight="1">
      <c r="A4687" s="4" t="inlineStr">
        <is>
          <t>original:Funding!C5</t>
        </is>
      </c>
      <c r="B4687" s="4" t="inlineStr">
        <is>
          <t>Funding</t>
        </is>
      </c>
      <c r="C4687" s="4" t="inlineStr">
        <is>
          <t>C5</t>
        </is>
      </c>
      <c r="D4687" s="4" t="inlineStr">
        <is>
          <t>Instrument</t>
        </is>
      </c>
      <c r="E4687" s="4" t="inlineStr">
        <is>
          <t>Instrument</t>
        </is>
      </c>
      <c r="F4687" s="4" t="inlineStr">
        <is>
          <t>GOC Bed Unit-Costing Model v2 — working original.xlsx</t>
        </is>
      </c>
    </row>
    <row r="4688" ht="40" customHeight="1">
      <c r="A4688" s="4" t="inlineStr">
        <is>
          <t>original:Funding!D5</t>
        </is>
      </c>
      <c r="B4688" s="4" t="inlineStr">
        <is>
          <t>Funding</t>
        </is>
      </c>
      <c r="C4688" s="4" t="inlineStr">
        <is>
          <t>D5</t>
        </is>
      </c>
      <c r="D4688" s="4" t="inlineStr">
        <is>
          <t>Year 1 scenario</t>
        </is>
      </c>
      <c r="E4688" s="4" t="inlineStr">
        <is>
          <t>Year 1 scenario</t>
        </is>
      </c>
      <c r="F4688" s="4" t="inlineStr">
        <is>
          <t>GOC Bed Unit-Costing Model v2 — working original.xlsx</t>
        </is>
      </c>
    </row>
    <row r="4689" ht="40" customHeight="1">
      <c r="A4689" s="4" t="inlineStr">
        <is>
          <t>original:Funding!E5</t>
        </is>
      </c>
      <c r="B4689" s="4" t="inlineStr">
        <is>
          <t>Funding</t>
        </is>
      </c>
      <c r="C4689" s="4" t="inlineStr">
        <is>
          <t>E5</t>
        </is>
      </c>
      <c r="D4689" s="4" t="inlineStr">
        <is>
          <t>Whole invitation</t>
        </is>
      </c>
      <c r="E4689" s="4" t="inlineStr">
        <is>
          <t>Whole invitation</t>
        </is>
      </c>
      <c r="F4689" s="4" t="inlineStr">
        <is>
          <t>GOC Bed Unit-Costing Model v2 — working original.xlsx</t>
        </is>
      </c>
    </row>
    <row r="4690" ht="40" customHeight="1">
      <c r="A4690" s="4" t="inlineStr">
        <is>
          <t>original:Funding!F5</t>
        </is>
      </c>
      <c r="B4690" s="4" t="inlineStr">
        <is>
          <t>Funding</t>
        </is>
      </c>
      <c r="C4690" s="4" t="inlineStr">
        <is>
          <t>F5</t>
        </is>
      </c>
      <c r="D4690" s="4" t="inlineStr">
        <is>
          <t>Receipt month</t>
        </is>
      </c>
      <c r="E4690" s="4" t="inlineStr">
        <is>
          <t>Receipt month</t>
        </is>
      </c>
      <c r="F4690" s="4" t="inlineStr">
        <is>
          <t>GOC Bed Unit-Costing Model v2 — working original.xlsx</t>
        </is>
      </c>
    </row>
    <row r="4691" ht="40" customHeight="1">
      <c r="A4691" s="4" t="inlineStr">
        <is>
          <t>original:Funding!G5</t>
        </is>
      </c>
      <c r="B4691" s="4" t="inlineStr">
        <is>
          <t>Funding</t>
        </is>
      </c>
      <c r="C4691" s="4" t="inlineStr">
        <is>
          <t>G5</t>
        </is>
      </c>
      <c r="D4691" s="4" t="inlineStr">
        <is>
          <t>Evidence status</t>
        </is>
      </c>
      <c r="E4691" s="4" t="inlineStr">
        <is>
          <t>Evidence status</t>
        </is>
      </c>
      <c r="F4691" s="4" t="inlineStr">
        <is>
          <t>GOC Bed Unit-Costing Model v2 — working original.xlsx</t>
        </is>
      </c>
    </row>
    <row r="4692" ht="40" customHeight="1">
      <c r="A4692" s="4" t="inlineStr">
        <is>
          <t>original:Funding!H5</t>
        </is>
      </c>
      <c r="B4692" s="4" t="inlineStr">
        <is>
          <t>Funding</t>
        </is>
      </c>
      <c r="C4692" s="4" t="inlineStr">
        <is>
          <t>H5</t>
        </is>
      </c>
      <c r="D4692" s="4" t="inlineStr">
        <is>
          <t>Confirmed usable amount</t>
        </is>
      </c>
      <c r="E4692" s="4" t="inlineStr">
        <is>
          <t>Confirmed usable amount</t>
        </is>
      </c>
      <c r="F4692" s="4" t="inlineStr">
        <is>
          <t>GOC Bed Unit-Costing Model v2 — working original.xlsx</t>
        </is>
      </c>
    </row>
    <row r="4693" ht="40" customHeight="1">
      <c r="A4693" s="4" t="inlineStr">
        <is>
          <t>original:Funding!I5</t>
        </is>
      </c>
      <c r="B4693" s="4" t="inlineStr">
        <is>
          <t>Funding</t>
        </is>
      </c>
      <c r="C4693" s="4" t="inlineStr">
        <is>
          <t>I5</t>
        </is>
      </c>
      <c r="D4693" s="4" t="inlineStr">
        <is>
          <t>Proposed purpose</t>
        </is>
      </c>
      <c r="E4693" s="4" t="inlineStr">
        <is>
          <t>Proposed purpose</t>
        </is>
      </c>
      <c r="F4693" s="4" t="inlineStr">
        <is>
          <t>GOC Bed Unit-Costing Model v2 — working original.xlsx</t>
        </is>
      </c>
    </row>
    <row r="4694" ht="40" customHeight="1">
      <c r="A4694" s="4" t="inlineStr">
        <is>
          <t>original:Funding!J5</t>
        </is>
      </c>
      <c r="B4694" s="4" t="inlineStr">
        <is>
          <t>Funding</t>
        </is>
      </c>
      <c r="C4694" s="4" t="inlineStr">
        <is>
          <t>J5</t>
        </is>
      </c>
      <c r="D4694" s="4" t="inlineStr">
        <is>
          <t>Release dependency</t>
        </is>
      </c>
      <c r="E4694" s="4" t="inlineStr">
        <is>
          <t>Release dependency</t>
        </is>
      </c>
      <c r="F4694" s="4" t="inlineStr">
        <is>
          <t>GOC Bed Unit-Costing Model v2 — working original.xlsx</t>
        </is>
      </c>
    </row>
    <row r="4695" ht="40" customHeight="1">
      <c r="A4695" s="4" t="inlineStr">
        <is>
          <t>original:Funding!K5</t>
        </is>
      </c>
      <c r="B4695" s="4" t="inlineStr">
        <is>
          <t>Funding</t>
        </is>
      </c>
      <c r="C4695" s="4" t="inlineStr">
        <is>
          <t>K5</t>
        </is>
      </c>
      <c r="D4695" s="4" t="inlineStr">
        <is>
          <t>Source</t>
        </is>
      </c>
      <c r="E4695" s="4" t="inlineStr">
        <is>
          <t>Source</t>
        </is>
      </c>
      <c r="F4695" s="4" t="inlineStr">
        <is>
          <t>GOC Bed Unit-Costing Model v2 — working original.xlsx</t>
        </is>
      </c>
    </row>
    <row r="4696" ht="40" customHeight="1">
      <c r="A4696" s="4" t="inlineStr">
        <is>
          <t>original:Funding!A6</t>
        </is>
      </c>
      <c r="B4696" s="4" t="inlineStr">
        <is>
          <t>Funding</t>
        </is>
      </c>
      <c r="C4696" s="4" t="inlineStr">
        <is>
          <t>A6</t>
        </is>
      </c>
      <c r="D4696" s="4" t="inlineStr">
        <is>
          <t>QBE</t>
        </is>
      </c>
      <c r="E4696" s="4" t="inlineStr">
        <is>
          <t>QBE</t>
        </is>
      </c>
      <c r="F4696" s="4" t="inlineStr">
        <is>
          <t>GOC Bed Unit-Costing Model v2 — working original.xlsx</t>
        </is>
      </c>
    </row>
    <row r="4697" ht="40" customHeight="1">
      <c r="A4697" s="4" t="inlineStr">
        <is>
          <t>original:Funding!B6</t>
        </is>
      </c>
      <c r="B4697" s="4" t="inlineStr">
        <is>
          <t>Funding</t>
        </is>
      </c>
      <c r="C4697" s="4" t="inlineStr">
        <is>
          <t>B6</t>
        </is>
      </c>
      <c r="D4697" s="4" t="inlineStr">
        <is>
          <t>QBE Catalysing Impact</t>
        </is>
      </c>
      <c r="E4697" s="4" t="inlineStr">
        <is>
          <t>QBE Catalysing Impact</t>
        </is>
      </c>
      <c r="F4697" s="4" t="inlineStr">
        <is>
          <t>GOC Bed Unit-Costing Model v2 — working original.xlsx</t>
        </is>
      </c>
    </row>
    <row r="4698" ht="40" customHeight="1">
      <c r="A4698" s="4" t="inlineStr">
        <is>
          <t>original:Funding!C6</t>
        </is>
      </c>
      <c r="B4698" s="4" t="inlineStr">
        <is>
          <t>Funding</t>
        </is>
      </c>
      <c r="C4698" s="4" t="inlineStr">
        <is>
          <t>C6</t>
        </is>
      </c>
      <c r="D4698" s="4" t="inlineStr">
        <is>
          <t>Grant</t>
        </is>
      </c>
      <c r="E4698" s="4" t="inlineStr">
        <is>
          <t>Grant</t>
        </is>
      </c>
      <c r="F4698" s="4" t="inlineStr">
        <is>
          <t>GOC Bed Unit-Costing Model v2 — working original.xlsx</t>
        </is>
      </c>
    </row>
    <row r="4699" ht="40" customHeight="1">
      <c r="A4699" s="4" t="inlineStr">
        <is>
          <t>original:Funding!D6</t>
        </is>
      </c>
      <c r="B4699" s="4" t="inlineStr">
        <is>
          <t>Funding</t>
        </is>
      </c>
      <c r="C4699" s="4" t="inlineStr">
        <is>
          <t>D6</t>
        </is>
      </c>
      <c r="D4699" s="4" t="inlineStr">
        <is>
          <t>=Overview!B5</t>
        </is>
      </c>
      <c r="E4699" s="4" t="n">
        <v>250000</v>
      </c>
      <c r="F4699" s="4" t="inlineStr">
        <is>
          <t>GOC Bed Unit-Costing Model v2 — working original.xlsx</t>
        </is>
      </c>
    </row>
    <row r="4700" ht="40" customHeight="1">
      <c r="A4700" s="4" t="inlineStr">
        <is>
          <t>original:Funding!E6</t>
        </is>
      </c>
      <c r="B4700" s="4" t="inlineStr">
        <is>
          <t>Funding</t>
        </is>
      </c>
      <c r="C4700" s="4" t="inlineStr">
        <is>
          <t>E6</t>
        </is>
      </c>
      <c r="D4700" s="4" t="inlineStr">
        <is>
          <t>=D6</t>
        </is>
      </c>
      <c r="E4700" s="4" t="n">
        <v>250000</v>
      </c>
      <c r="F4700" s="4" t="inlineStr">
        <is>
          <t>GOC Bed Unit-Costing Model v2 — working original.xlsx</t>
        </is>
      </c>
    </row>
    <row r="4701" ht="40" customHeight="1">
      <c r="A4701" s="4" t="inlineStr">
        <is>
          <t>original:Funding!F6</t>
        </is>
      </c>
      <c r="B4701" s="4" t="inlineStr">
        <is>
          <t>Funding</t>
        </is>
      </c>
      <c r="C4701" s="4" t="inlineStr">
        <is>
          <t>F6</t>
        </is>
      </c>
      <c r="D4701" s="4" t="n">
        <v>1</v>
      </c>
      <c r="E4701" s="4" t="n">
        <v>1</v>
      </c>
      <c r="F4701" s="4" t="inlineStr">
        <is>
          <t>GOC Bed Unit-Costing Model v2 — working original.xlsx</t>
        </is>
      </c>
    </row>
    <row r="4702" ht="40" customHeight="1">
      <c r="A4702" s="4" t="inlineStr">
        <is>
          <t>original:Funding!G6</t>
        </is>
      </c>
      <c r="B4702" s="4" t="inlineStr">
        <is>
          <t>Funding</t>
        </is>
      </c>
      <c r="C4702" s="4" t="inlineStr">
        <is>
          <t>G6</t>
        </is>
      </c>
      <c r="D4702" s="4" t="inlineStr">
        <is>
          <t>Request to determine</t>
        </is>
      </c>
      <c r="E4702" s="4" t="inlineStr">
        <is>
          <t>Request to determine</t>
        </is>
      </c>
      <c r="F4702" s="4" t="inlineStr">
        <is>
          <t>GOC Bed Unit-Costing Model v2 — working original.xlsx</t>
        </is>
      </c>
    </row>
    <row r="4703" ht="40" customHeight="1">
      <c r="A4703" s="4" t="inlineStr">
        <is>
          <t>original:Funding!H6</t>
        </is>
      </c>
      <c r="B4703" s="4" t="inlineStr">
        <is>
          <t>Funding</t>
        </is>
      </c>
      <c r="C4703" s="4" t="inlineStr">
        <is>
          <t>H6</t>
        </is>
      </c>
      <c r="D4703" s="4" t="n">
        <v>0</v>
      </c>
      <c r="E4703" s="4" t="n">
        <v>0</v>
      </c>
      <c r="F4703" s="4" t="inlineStr">
        <is>
          <t>GOC Bed Unit-Costing Model v2 — working original.xlsx</t>
        </is>
      </c>
    </row>
    <row r="4704" ht="40" customHeight="1">
      <c r="A4704" s="4" t="inlineStr">
        <is>
          <t>original:Funding!I6</t>
        </is>
      </c>
      <c r="B4704" s="4" t="inlineStr">
        <is>
          <t>Funding</t>
        </is>
      </c>
      <c r="C4704" s="4" t="inlineStr">
        <is>
          <t>I6</t>
        </is>
      </c>
      <c r="D4704" s="4" t="inlineStr">
        <is>
          <t>Catalytic facilities and bed phase</t>
        </is>
      </c>
      <c r="E4704" s="4" t="inlineStr">
        <is>
          <t>Catalytic facilities and bed phase</t>
        </is>
      </c>
      <c r="F4704" s="4" t="inlineStr">
        <is>
          <t>GOC Bed Unit-Costing Model v2 — working original.xlsx</t>
        </is>
      </c>
    </row>
    <row r="4705" ht="40" customHeight="1">
      <c r="A4705" s="4" t="inlineStr">
        <is>
          <t>original:Funding!J6</t>
        </is>
      </c>
      <c r="B4705" s="4" t="inlineStr">
        <is>
          <t>Funding</t>
        </is>
      </c>
      <c r="C4705" s="4" t="inlineStr">
        <is>
          <t>J6</t>
        </is>
      </c>
      <c r="D4705" s="4" t="inlineStr">
        <is>
          <t>Award, eligibility and grant agreement</t>
        </is>
      </c>
      <c r="E4705" s="4" t="inlineStr">
        <is>
          <t>Award, eligibility and grant agreement</t>
        </is>
      </c>
      <c r="F4705" s="4" t="inlineStr">
        <is>
          <t>GOC Bed Unit-Costing Model v2 — working original.xlsx</t>
        </is>
      </c>
    </row>
    <row r="4706" ht="40" customHeight="1">
      <c r="A4706" s="4" t="inlineStr">
        <is>
          <t>original:Funding!K6</t>
        </is>
      </c>
      <c r="B4706" s="4" t="inlineStr">
        <is>
          <t>Funding</t>
        </is>
      </c>
      <c r="C4706" s="4" t="inlineStr">
        <is>
          <t>K6</t>
        </is>
      </c>
      <c r="D4706" s="4" t="inlineStr">
        <is>
          <t>Supplied final application Q5–8, Q14–18</t>
        </is>
      </c>
      <c r="E4706" s="4" t="inlineStr">
        <is>
          <t>Supplied final application Q5–8, Q14–18</t>
        </is>
      </c>
      <c r="F4706" s="4" t="inlineStr">
        <is>
          <t>GOC Bed Unit-Costing Model v2 — working original.xlsx</t>
        </is>
      </c>
    </row>
    <row r="4707" ht="40" customHeight="1">
      <c r="A4707" s="4" t="inlineStr">
        <is>
          <t>original:Funding!A7</t>
        </is>
      </c>
      <c r="B4707" s="4" t="inlineStr">
        <is>
          <t>Funding</t>
        </is>
      </c>
      <c r="C4707" s="4" t="inlineStr">
        <is>
          <t>A7</t>
        </is>
      </c>
      <c r="D4707" s="4" t="inlineStr">
        <is>
          <t>TFFF</t>
        </is>
      </c>
      <c r="E4707" s="4" t="inlineStr">
        <is>
          <t>TFFF</t>
        </is>
      </c>
      <c r="F4707" s="4" t="inlineStr">
        <is>
          <t>GOC Bed Unit-Costing Model v2 — working original.xlsx</t>
        </is>
      </c>
    </row>
    <row r="4708" ht="40" customHeight="1">
      <c r="A4708" s="4" t="inlineStr">
        <is>
          <t>original:Funding!B7</t>
        </is>
      </c>
      <c r="B4708" s="4" t="inlineStr">
        <is>
          <t>Funding</t>
        </is>
      </c>
      <c r="C4708" s="4" t="inlineStr">
        <is>
          <t>B7</t>
        </is>
      </c>
      <c r="D4708" s="4" t="inlineStr">
        <is>
          <t>Tim Fairfax Family Foundation</t>
        </is>
      </c>
      <c r="E4708" s="4" t="inlineStr">
        <is>
          <t>Tim Fairfax Family Foundation</t>
        </is>
      </c>
      <c r="F4708" s="4" t="inlineStr">
        <is>
          <t>GOC Bed Unit-Costing Model v2 — working original.xlsx</t>
        </is>
      </c>
    </row>
    <row r="4709" ht="40" customHeight="1">
      <c r="A4709" s="4" t="inlineStr">
        <is>
          <t>original:Funding!C7</t>
        </is>
      </c>
      <c r="B4709" s="4" t="inlineStr">
        <is>
          <t>Funding</t>
        </is>
      </c>
      <c r="C4709" s="4" t="inlineStr">
        <is>
          <t>C7</t>
        </is>
      </c>
      <c r="D4709" s="4" t="inlineStr">
        <is>
          <t>Grant</t>
        </is>
      </c>
      <c r="E4709" s="4" t="inlineStr">
        <is>
          <t>Grant</t>
        </is>
      </c>
      <c r="F4709" s="4" t="inlineStr">
        <is>
          <t>GOC Bed Unit-Costing Model v2 — working original.xlsx</t>
        </is>
      </c>
    </row>
    <row r="4710" ht="40" customHeight="1">
      <c r="A4710" s="4" t="inlineStr">
        <is>
          <t>original:Funding!D7</t>
        </is>
      </c>
      <c r="B4710" s="4" t="inlineStr">
        <is>
          <t>Funding</t>
        </is>
      </c>
      <c r="C4710" s="4" t="inlineStr">
        <is>
          <t>D7</t>
        </is>
      </c>
      <c r="D4710" s="4" t="n">
        <v>100000</v>
      </c>
      <c r="E4710" s="4" t="n">
        <v>100000</v>
      </c>
      <c r="F4710" s="4" t="inlineStr">
        <is>
          <t>GOC Bed Unit-Costing Model v2 — working original.xlsx</t>
        </is>
      </c>
    </row>
    <row r="4711" ht="40" customHeight="1">
      <c r="A4711" s="4" t="inlineStr">
        <is>
          <t>original:Funding!E7</t>
        </is>
      </c>
      <c r="B4711" s="4" t="inlineStr">
        <is>
          <t>Funding</t>
        </is>
      </c>
      <c r="C4711" s="4" t="inlineStr">
        <is>
          <t>E7</t>
        </is>
      </c>
      <c r="D4711" s="4" t="n">
        <v>300000</v>
      </c>
      <c r="E4711" s="4" t="n">
        <v>300000</v>
      </c>
      <c r="F4711" s="4" t="inlineStr">
        <is>
          <t>GOC Bed Unit-Costing Model v2 — working original.xlsx</t>
        </is>
      </c>
    </row>
    <row r="4712" ht="40" customHeight="1">
      <c r="A4712" s="4" t="inlineStr">
        <is>
          <t>original:Funding!F7</t>
        </is>
      </c>
      <c r="B4712" s="4" t="inlineStr">
        <is>
          <t>Funding</t>
        </is>
      </c>
      <c r="C4712" s="4" t="inlineStr">
        <is>
          <t>F7</t>
        </is>
      </c>
      <c r="D4712" s="4" t="n">
        <v>1</v>
      </c>
      <c r="E4712" s="4" t="n">
        <v>1</v>
      </c>
      <c r="F4712" s="4" t="inlineStr">
        <is>
          <t>GOC Bed Unit-Costing Model v2 — working original.xlsx</t>
        </is>
      </c>
    </row>
    <row r="4713" ht="40" customHeight="1">
      <c r="A4713" s="4" t="inlineStr">
        <is>
          <t>original:Funding!G7</t>
        </is>
      </c>
      <c r="B4713" s="4" t="inlineStr">
        <is>
          <t>Funding</t>
        </is>
      </c>
      <c r="C4713" s="4" t="inlineStr">
        <is>
          <t>G7</t>
        </is>
      </c>
      <c r="D4713" s="4" t="inlineStr">
        <is>
          <t>Invited to apply</t>
        </is>
      </c>
      <c r="E4713" s="4" t="inlineStr">
        <is>
          <t>Invited to apply</t>
        </is>
      </c>
      <c r="F4713" s="4" t="inlineStr">
        <is>
          <t>GOC Bed Unit-Costing Model v2 — working original.xlsx</t>
        </is>
      </c>
    </row>
    <row r="4714" ht="40" customHeight="1">
      <c r="A4714" s="4" t="inlineStr">
        <is>
          <t>original:Funding!H7</t>
        </is>
      </c>
      <c r="B4714" s="4" t="inlineStr">
        <is>
          <t>Funding</t>
        </is>
      </c>
      <c r="C4714" s="4" t="inlineStr">
        <is>
          <t>H7</t>
        </is>
      </c>
      <c r="D4714" s="4" t="n">
        <v>0</v>
      </c>
      <c r="E4714" s="4" t="n">
        <v>0</v>
      </c>
      <c r="F4714" s="4" t="inlineStr">
        <is>
          <t>GOC Bed Unit-Costing Model v2 — working original.xlsx</t>
        </is>
      </c>
    </row>
    <row r="4715" ht="40" customHeight="1">
      <c r="A4715" s="4" t="inlineStr">
        <is>
          <t>original:Funding!I7</t>
        </is>
      </c>
      <c r="B4715" s="4" t="inlineStr">
        <is>
          <t>Funding</t>
        </is>
      </c>
      <c r="C4715" s="4" t="inlineStr">
        <is>
          <t>I7</t>
        </is>
      </c>
      <c r="D4715" s="4" t="inlineStr">
        <is>
          <t>Three-year capacity and community work</t>
        </is>
      </c>
      <c r="E4715" s="4" t="inlineStr">
        <is>
          <t>Three-year capacity and community work</t>
        </is>
      </c>
      <c r="F4715" s="4" t="inlineStr">
        <is>
          <t>GOC Bed Unit-Costing Model v2 — working original.xlsx</t>
        </is>
      </c>
    </row>
    <row r="4716" ht="45" customHeight="1">
      <c r="A4716" s="4" t="inlineStr">
        <is>
          <t>original:Funding!J7</t>
        </is>
      </c>
      <c r="B4716" s="4" t="inlineStr">
        <is>
          <t>Funding</t>
        </is>
      </c>
      <c r="C4716" s="4" t="inlineStr">
        <is>
          <t>J7</t>
        </is>
      </c>
      <c r="D4716" s="4" t="inlineStr">
        <is>
          <t>Board decision late November; payment dates unconfirmed</t>
        </is>
      </c>
      <c r="E4716" s="4" t="inlineStr">
        <is>
          <t>Board decision late November; payment dates unconfirmed</t>
        </is>
      </c>
      <c r="F4716" s="4" t="inlineStr">
        <is>
          <t>GOC Bed Unit-Costing Model v2 — working original.xlsx</t>
        </is>
      </c>
    </row>
    <row r="4717" ht="45" customHeight="1">
      <c r="A4717" s="4" t="inlineStr">
        <is>
          <t>original:Funding!K7</t>
        </is>
      </c>
      <c r="B4717" s="4" t="inlineStr">
        <is>
          <t>Funding</t>
        </is>
      </c>
      <c r="C4717" s="4" t="inlineStr">
        <is>
          <t>K7</t>
        </is>
      </c>
      <c r="D4717" s="4" t="inlineStr">
        <is>
          <t>31 Aug invitation; three equal payments over three years</t>
        </is>
      </c>
      <c r="E4717" s="4" t="inlineStr">
        <is>
          <t>31 Aug invitation; three equal payments over three years</t>
        </is>
      </c>
      <c r="F4717" s="4" t="inlineStr">
        <is>
          <t>GOC Bed Unit-Costing Model v2 — working original.xlsx</t>
        </is>
      </c>
    </row>
    <row r="4718" ht="40" customHeight="1">
      <c r="A4718" s="4" t="inlineStr">
        <is>
          <t>original:Funding!A8</t>
        </is>
      </c>
      <c r="B4718" s="4" t="inlineStr">
        <is>
          <t>Funding</t>
        </is>
      </c>
      <c r="C4718" s="4" t="inlineStr">
        <is>
          <t>A8</t>
        </is>
      </c>
      <c r="D4718" s="4" t="inlineStr">
        <is>
          <t>BMD</t>
        </is>
      </c>
      <c r="E4718" s="4" t="inlineStr">
        <is>
          <t>BMD</t>
        </is>
      </c>
      <c r="F4718" s="4" t="inlineStr">
        <is>
          <t>GOC Bed Unit-Costing Model v2 — working original.xlsx</t>
        </is>
      </c>
    </row>
    <row r="4719" ht="40" customHeight="1">
      <c r="A4719" s="4" t="inlineStr">
        <is>
          <t>original:Funding!B8</t>
        </is>
      </c>
      <c r="B4719" s="4" t="inlineStr">
        <is>
          <t>Funding</t>
        </is>
      </c>
      <c r="C4719" s="4" t="inlineStr">
        <is>
          <t>B8</t>
        </is>
      </c>
      <c r="D4719" s="4" t="inlineStr">
        <is>
          <t>Brian M. Davis Charitable Foundation</t>
        </is>
      </c>
      <c r="E4719" s="4" t="inlineStr">
        <is>
          <t>Brian M. Davis Charitable Foundation</t>
        </is>
      </c>
      <c r="F4719" s="4" t="inlineStr">
        <is>
          <t>GOC Bed Unit-Costing Model v2 — working original.xlsx</t>
        </is>
      </c>
    </row>
    <row r="4720" ht="40" customHeight="1">
      <c r="A4720" s="4" t="inlineStr">
        <is>
          <t>original:Funding!C8</t>
        </is>
      </c>
      <c r="B4720" s="4" t="inlineStr">
        <is>
          <t>Funding</t>
        </is>
      </c>
      <c r="C4720" s="4" t="inlineStr">
        <is>
          <t>C8</t>
        </is>
      </c>
      <c r="D4720" s="4" t="inlineStr">
        <is>
          <t>Grant</t>
        </is>
      </c>
      <c r="E4720" s="4" t="inlineStr">
        <is>
          <t>Grant</t>
        </is>
      </c>
      <c r="F4720" s="4" t="inlineStr">
        <is>
          <t>GOC Bed Unit-Costing Model v2 — working original.xlsx</t>
        </is>
      </c>
    </row>
    <row r="4721" ht="40" customHeight="1">
      <c r="A4721" s="4" t="inlineStr">
        <is>
          <t>original:Funding!D8</t>
        </is>
      </c>
      <c r="B4721" s="4" t="inlineStr">
        <is>
          <t>Funding</t>
        </is>
      </c>
      <c r="C4721" s="4" t="inlineStr">
        <is>
          <t>D8</t>
        </is>
      </c>
      <c r="D4721" s="4" t="n">
        <v>100000</v>
      </c>
      <c r="E4721" s="4" t="n">
        <v>100000</v>
      </c>
      <c r="F4721" s="4" t="inlineStr">
        <is>
          <t>GOC Bed Unit-Costing Model v2 — working original.xlsx</t>
        </is>
      </c>
    </row>
    <row r="4722" ht="40" customHeight="1">
      <c r="A4722" s="4" t="inlineStr">
        <is>
          <t>original:Funding!E8</t>
        </is>
      </c>
      <c r="B4722" s="4" t="inlineStr">
        <is>
          <t>Funding</t>
        </is>
      </c>
      <c r="C4722" s="4" t="inlineStr">
        <is>
          <t>E8</t>
        </is>
      </c>
      <c r="D4722" s="4" t="n">
        <v>100000</v>
      </c>
      <c r="E4722" s="4" t="n">
        <v>100000</v>
      </c>
      <c r="F4722" s="4" t="inlineStr">
        <is>
          <t>GOC Bed Unit-Costing Model v2 — working original.xlsx</t>
        </is>
      </c>
    </row>
    <row r="4723" ht="40" customHeight="1">
      <c r="A4723" s="4" t="inlineStr">
        <is>
          <t>original:Funding!F8</t>
        </is>
      </c>
      <c r="B4723" s="4" t="inlineStr">
        <is>
          <t>Funding</t>
        </is>
      </c>
      <c r="C4723" s="4" t="inlineStr">
        <is>
          <t>F8</t>
        </is>
      </c>
      <c r="D4723" s="4" t="n">
        <v>1</v>
      </c>
      <c r="E4723" s="4" t="n">
        <v>1</v>
      </c>
      <c r="F4723" s="4" t="inlineStr">
        <is>
          <t>GOC Bed Unit-Costing Model v2 — working original.xlsx</t>
        </is>
      </c>
    </row>
    <row r="4724" ht="40" customHeight="1">
      <c r="A4724" s="4" t="inlineStr">
        <is>
          <t>original:Funding!G8</t>
        </is>
      </c>
      <c r="B4724" s="4" t="inlineStr">
        <is>
          <t>Funding</t>
        </is>
      </c>
      <c r="C4724" s="4" t="inlineStr">
        <is>
          <t>G8</t>
        </is>
      </c>
      <c r="D4724" s="4" t="inlineStr">
        <is>
          <t>Invited to apply</t>
        </is>
      </c>
      <c r="E4724" s="4" t="inlineStr">
        <is>
          <t>Invited to apply</t>
        </is>
      </c>
      <c r="F4724" s="4" t="inlineStr">
        <is>
          <t>GOC Bed Unit-Costing Model v2 — working original.xlsx</t>
        </is>
      </c>
    </row>
    <row r="4725" ht="40" customHeight="1">
      <c r="A4725" s="4" t="inlineStr">
        <is>
          <t>original:Funding!H8</t>
        </is>
      </c>
      <c r="B4725" s="4" t="inlineStr">
        <is>
          <t>Funding</t>
        </is>
      </c>
      <c r="C4725" s="4" t="inlineStr">
        <is>
          <t>H8</t>
        </is>
      </c>
      <c r="D4725" s="4" t="n">
        <v>0</v>
      </c>
      <c r="E4725" s="4" t="n">
        <v>0</v>
      </c>
      <c r="F4725" s="4" t="inlineStr">
        <is>
          <t>GOC Bed Unit-Costing Model v2 — working original.xlsx</t>
        </is>
      </c>
    </row>
    <row r="4726" ht="40" customHeight="1">
      <c r="A4726" s="4" t="inlineStr">
        <is>
          <t>original:Funding!I8</t>
        </is>
      </c>
      <c r="B4726" s="4" t="inlineStr">
        <is>
          <t>Funding</t>
        </is>
      </c>
      <c r="C4726" s="4" t="inlineStr">
        <is>
          <t>I8</t>
        </is>
      </c>
      <c r="D4726" s="4" t="inlineStr">
        <is>
          <t>First-year youth, community and recycling work</t>
        </is>
      </c>
      <c r="E4726" s="4" t="inlineStr">
        <is>
          <t>First-year youth, community and recycling work</t>
        </is>
      </c>
      <c r="F4726" s="4" t="inlineStr">
        <is>
          <t>GOC Bed Unit-Costing Model v2 — working original.xlsx</t>
        </is>
      </c>
    </row>
    <row r="4727" ht="40" customHeight="1">
      <c r="A4727" s="4" t="inlineStr">
        <is>
          <t>original:Funding!J8</t>
        </is>
      </c>
      <c r="B4727" s="4" t="inlineStr">
        <is>
          <t>Funding</t>
        </is>
      </c>
      <c r="C4727" s="4" t="inlineStr">
        <is>
          <t>J8</t>
        </is>
      </c>
      <c r="D4727" s="4" t="inlineStr">
        <is>
          <t>All project funding confirmed before payment</t>
        </is>
      </c>
      <c r="E4727" s="4" t="inlineStr">
        <is>
          <t>All project funding confirmed before payment</t>
        </is>
      </c>
      <c r="F4727" s="4" t="inlineStr">
        <is>
          <t>GOC Bed Unit-Costing Model v2 — working original.xlsx</t>
        </is>
      </c>
    </row>
    <row r="4728" ht="45" customHeight="1">
      <c r="A4728" s="4" t="inlineStr">
        <is>
          <t>original:Funding!K8</t>
        </is>
      </c>
      <c r="B4728" s="4" t="inlineStr">
        <is>
          <t>Funding</t>
        </is>
      </c>
      <c r="C4728" s="4" t="inlineStr">
        <is>
          <t>K8</t>
        </is>
      </c>
      <c r="D4728" s="4" t="inlineStr">
        <is>
          <t>1 Sep invitation; board 19 Nov; initial twelve months</t>
        </is>
      </c>
      <c r="E4728" s="4" t="inlineStr">
        <is>
          <t>1 Sep invitation; board 19 Nov; initial twelve months</t>
        </is>
      </c>
      <c r="F4728" s="4" t="inlineStr">
        <is>
          <t>GOC Bed Unit-Costing Model v2 — working original.xlsx</t>
        </is>
      </c>
    </row>
    <row r="4729" ht="40" customHeight="1">
      <c r="A4729" s="4" t="inlineStr">
        <is>
          <t>original:Funding!A9</t>
        </is>
      </c>
      <c r="B4729" s="4" t="inlineStr">
        <is>
          <t>Funding</t>
        </is>
      </c>
      <c r="C4729" s="4" t="inlineStr">
        <is>
          <t>A9</t>
        </is>
      </c>
      <c r="D4729" s="4" t="inlineStr">
        <is>
          <t>OTHER</t>
        </is>
      </c>
      <c r="E4729" s="4" t="inlineStr">
        <is>
          <t>OTHER</t>
        </is>
      </c>
      <c r="F4729" s="4" t="inlineStr">
        <is>
          <t>GOC Bed Unit-Costing Model v2 — working original.xlsx</t>
        </is>
      </c>
    </row>
    <row r="4730" ht="40" customHeight="1">
      <c r="A4730" s="4" t="inlineStr">
        <is>
          <t>original:Funding!B9</t>
        </is>
      </c>
      <c r="B4730" s="4" t="inlineStr">
        <is>
          <t>Funding</t>
        </is>
      </c>
      <c r="C4730" s="4" t="inlineStr">
        <is>
          <t>B9</t>
        </is>
      </c>
      <c r="D4730" s="4" t="inlineStr">
        <is>
          <t>Selected warm foundation scenario</t>
        </is>
      </c>
      <c r="E4730" s="4" t="inlineStr">
        <is>
          <t>Selected warm foundation scenario</t>
        </is>
      </c>
      <c r="F4730" s="4" t="inlineStr">
        <is>
          <t>GOC Bed Unit-Costing Model v2 — working original.xlsx</t>
        </is>
      </c>
    </row>
    <row r="4731" ht="40" customHeight="1">
      <c r="A4731" s="4" t="inlineStr">
        <is>
          <t>original:Funding!C9</t>
        </is>
      </c>
      <c r="B4731" s="4" t="inlineStr">
        <is>
          <t>Funding</t>
        </is>
      </c>
      <c r="C4731" s="4" t="inlineStr">
        <is>
          <t>C9</t>
        </is>
      </c>
      <c r="D4731" s="4" t="inlineStr">
        <is>
          <t>Grant scenario</t>
        </is>
      </c>
      <c r="E4731" s="4" t="inlineStr">
        <is>
          <t>Grant scenario</t>
        </is>
      </c>
      <c r="F4731" s="4" t="inlineStr">
        <is>
          <t>GOC Bed Unit-Costing Model v2 — working original.xlsx</t>
        </is>
      </c>
    </row>
    <row r="4732" ht="40" customHeight="1">
      <c r="A4732" s="4" t="inlineStr">
        <is>
          <t>original:Funding!D9</t>
        </is>
      </c>
      <c r="B4732" s="4" t="inlineStr">
        <is>
          <t>Funding</t>
        </is>
      </c>
      <c r="C4732" s="4" t="inlineStr">
        <is>
          <t>D9</t>
        </is>
      </c>
      <c r="D4732" s="4" t="inlineStr">
        <is>
          <t>=SUM('Warm foundations'!F6:F8)</t>
        </is>
      </c>
      <c r="E4732" s="4" t="n">
        <v>0</v>
      </c>
      <c r="F4732" s="4" t="inlineStr">
        <is>
          <t>GOC Bed Unit-Costing Model v2 — working original.xlsx</t>
        </is>
      </c>
    </row>
    <row r="4733" ht="40" customHeight="1">
      <c r="A4733" s="4" t="inlineStr">
        <is>
          <t>original:Funding!E9</t>
        </is>
      </c>
      <c r="B4733" s="4" t="inlineStr">
        <is>
          <t>Funding</t>
        </is>
      </c>
      <c r="C4733" s="4" t="inlineStr">
        <is>
          <t>E9</t>
        </is>
      </c>
      <c r="D4733" s="4" t="inlineStr">
        <is>
          <t>=D9</t>
        </is>
      </c>
      <c r="E4733" s="4" t="n">
        <v>0</v>
      </c>
      <c r="F4733" s="4" t="inlineStr">
        <is>
          <t>GOC Bed Unit-Costing Model v2 — working original.xlsx</t>
        </is>
      </c>
    </row>
    <row r="4734" ht="40" customHeight="1">
      <c r="A4734" s="4" t="inlineStr">
        <is>
          <t>original:Funding!F9</t>
        </is>
      </c>
      <c r="B4734" s="4" t="inlineStr">
        <is>
          <t>Funding</t>
        </is>
      </c>
      <c r="C4734" s="4" t="inlineStr">
        <is>
          <t>F9</t>
        </is>
      </c>
      <c r="D4734" s="4" t="n">
        <v>1</v>
      </c>
      <c r="E4734" s="4" t="n">
        <v>1</v>
      </c>
      <c r="F4734" s="4" t="inlineStr">
        <is>
          <t>GOC Bed Unit-Costing Model v2 — working original.xlsx</t>
        </is>
      </c>
    </row>
    <row r="4735" ht="40" customHeight="1">
      <c r="A4735" s="4" t="inlineStr">
        <is>
          <t>original:Funding!G9</t>
        </is>
      </c>
      <c r="B4735" s="4" t="inlineStr">
        <is>
          <t>Funding</t>
        </is>
      </c>
      <c r="C4735" s="4" t="inlineStr">
        <is>
          <t>G9</t>
        </is>
      </c>
      <c r="D4735" s="4" t="inlineStr">
        <is>
          <t>Optional prospects, not committed</t>
        </is>
      </c>
      <c r="E4735" s="4" t="inlineStr">
        <is>
          <t>Optional prospects, not committed</t>
        </is>
      </c>
      <c r="F4735" s="4" t="inlineStr">
        <is>
          <t>GOC Bed Unit-Costing Model v2 — working original.xlsx</t>
        </is>
      </c>
    </row>
    <row r="4736" ht="40" customHeight="1">
      <c r="A4736" s="4" t="inlineStr">
        <is>
          <t>original:Funding!H9</t>
        </is>
      </c>
      <c r="B4736" s="4" t="inlineStr">
        <is>
          <t>Funding</t>
        </is>
      </c>
      <c r="C4736" s="4" t="inlineStr">
        <is>
          <t>H9</t>
        </is>
      </c>
      <c r="D4736" s="4" t="n">
        <v>0</v>
      </c>
      <c r="E4736" s="4" t="n">
        <v>0</v>
      </c>
      <c r="F4736" s="4" t="inlineStr">
        <is>
          <t>GOC Bed Unit-Costing Model v2 — working original.xlsx</t>
        </is>
      </c>
    </row>
    <row r="4737" ht="40" customHeight="1">
      <c r="A4737" s="4" t="inlineStr">
        <is>
          <t>original:Funding!I9</t>
        </is>
      </c>
      <c r="B4737" s="4" t="inlineStr">
        <is>
          <t>Funding</t>
        </is>
      </c>
      <c r="C4737" s="4" t="inlineStr">
        <is>
          <t>I9</t>
        </is>
      </c>
      <c r="D4737" s="4" t="inlineStr">
        <is>
          <t>See Warm foundations for proposed roles</t>
        </is>
      </c>
      <c r="E4737" s="4" t="inlineStr">
        <is>
          <t>See Warm foundations for proposed roles</t>
        </is>
      </c>
      <c r="F4737" s="4" t="inlineStr">
        <is>
          <t>GOC Bed Unit-Costing Model v2 — working original.xlsx</t>
        </is>
      </c>
    </row>
    <row r="4738" ht="45" customHeight="1">
      <c r="A4738" s="4" t="inlineStr">
        <is>
          <t>original:Funding!J9</t>
        </is>
      </c>
      <c r="B4738" s="4" t="inlineStr">
        <is>
          <t>Funding</t>
        </is>
      </c>
      <c r="C4738" s="4" t="inlineStr">
        <is>
          <t>J9</t>
        </is>
      </c>
      <c r="D4738" s="4" t="inlineStr">
        <is>
          <t>Illustrative shared receipt month; confirm timing separately</t>
        </is>
      </c>
      <c r="E4738" s="4" t="inlineStr">
        <is>
          <t>Illustrative shared receipt month; confirm timing separately</t>
        </is>
      </c>
      <c r="F4738" s="4" t="inlineStr">
        <is>
          <t>GOC Bed Unit-Costing Model v2 — working original.xlsx</t>
        </is>
      </c>
    </row>
    <row r="4739" ht="45" customHeight="1">
      <c r="A4739" s="4" t="inlineStr">
        <is>
          <t>original:Funding!K9</t>
        </is>
      </c>
      <c r="B4739" s="4" t="inlineStr">
        <is>
          <t>Funding</t>
        </is>
      </c>
      <c r="C4739" s="4" t="inlineStr">
        <is>
          <t>K9</t>
        </is>
      </c>
      <c r="D4739" s="4" t="inlineStr">
        <is>
          <t>Separate from the confirmed meaning of Fairfax + BMD $200,000</t>
        </is>
      </c>
      <c r="E4739" s="4" t="inlineStr">
        <is>
          <t>Separate from the confirmed meaning of Fairfax + BMD $200,000</t>
        </is>
      </c>
      <c r="F4739" s="4" t="inlineStr">
        <is>
          <t>GOC Bed Unit-Costing Model v2 — working original.xlsx</t>
        </is>
      </c>
    </row>
    <row r="4740" ht="120" customHeight="1">
      <c r="A4740" s="4" t="inlineStr">
        <is>
          <t>original:Funding!A12</t>
        </is>
      </c>
      <c r="B4740" s="4" t="inlineStr">
        <is>
          <t>Funding</t>
        </is>
      </c>
      <c r="C4740" s="4" t="inlineStr">
        <is>
          <t>A12</t>
        </is>
      </c>
      <c r="D4740" s="4" t="inlineStr">
        <is>
          <t>Ben confirmed 6 September: the $200,000 means Fairfax and Brian M. Davis combined. Year 1 uses $100,000 TFFF + up to $100,000 BMD. Award status and payment conditions remain separate.</t>
        </is>
      </c>
      <c r="E4740" s="4" t="inlineStr">
        <is>
          <t>Ben confirmed 6 September: the $200,000 means Fairfax and Brian M. Davis combined. Year 1 uses $100,000 TFFF + up to $100,000 BMD. Award status and payment conditions remain separate.</t>
        </is>
      </c>
      <c r="F4740" s="4" t="inlineStr">
        <is>
          <t>GOC Bed Unit-Costing Model v2 — working original.xlsx</t>
        </is>
      </c>
    </row>
    <row r="4741" ht="90" customHeight="1">
      <c r="A4741" s="4" t="inlineStr">
        <is>
          <t>original:Funding!A14</t>
        </is>
      </c>
      <c r="B4741" s="4" t="inlineStr">
        <is>
          <t>Funding</t>
        </is>
      </c>
      <c r="C4741" s="4" t="inlineStr">
        <is>
          <t>A14</t>
        </is>
      </c>
      <c r="D4741" s="4" t="inlineStr">
        <is>
          <t>Do not count a buyer deposit again as grant or investment capital. Buyers pay for an order and create a delivery obligation.</t>
        </is>
      </c>
      <c r="E4741" s="4" t="inlineStr">
        <is>
          <t>Do not count a buyer deposit again as grant or investment capital. Buyers pay for an order and create a delivery obligation.</t>
        </is>
      </c>
      <c r="F4741" s="4" t="inlineStr">
        <is>
          <t>GOC Bed Unit-Costing Model v2 — working original.xlsx</t>
        </is>
      </c>
    </row>
    <row r="4742" ht="90" customHeight="1">
      <c r="A4742" s="4" t="inlineStr">
        <is>
          <t>original:Funding!A16</t>
        </is>
      </c>
      <c r="B4742" s="4" t="inlineStr">
        <is>
          <t>Funding</t>
        </is>
      </c>
      <c r="C4742" s="4" t="inlineStr">
        <is>
          <t>A16</t>
        </is>
      </c>
      <c r="D4742" s="4" t="inlineStr">
        <is>
          <t>The separate $2M Oonchiumpa-led REAL application is excluded. Only an evidenced Goods contract within it can enter a future version.</t>
        </is>
      </c>
      <c r="E4742" s="4" t="inlineStr">
        <is>
          <t>The separate $2M Oonchiumpa-led REAL application is excluded. Only an evidenced Goods contract within it can enter a future version.</t>
        </is>
      </c>
      <c r="F4742" s="4" t="inlineStr">
        <is>
          <t>GOC Bed Unit-Costing Model v2 — working original.xlsx</t>
        </is>
      </c>
    </row>
    <row r="4743" ht="135" customHeight="1">
      <c r="A4743" s="4" t="inlineStr">
        <is>
          <t>original:Funding!A18</t>
        </is>
      </c>
      <c r="B4743" s="4" t="inlineStr">
        <is>
          <t>Funding</t>
        </is>
      </c>
      <c r="C4743" s="4" t="inlineStr">
        <is>
          <t>A18</t>
        </is>
      </c>
      <c r="D4743" s="4" t="inlineStr">
        <is>
          <t>Receipt months are timing assumptions counted from Overview start date. Confirmed usable amounts exclude unmet conditions; actual bank balances are outside this incremental phase model.</t>
        </is>
      </c>
      <c r="E4743" s="4" t="inlineStr">
        <is>
          <t>Receipt months are timing assumptions counted from Overview start date. Confirmed usable amounts exclude unmet conditions; actual bank balances are outside this incremental phase model.</t>
        </is>
      </c>
      <c r="F4743" s="4" t="inlineStr">
        <is>
          <t>GOC Bed Unit-Costing Model v2 — working original.xlsx</t>
        </is>
      </c>
    </row>
    <row r="4744" ht="40" customHeight="1">
      <c r="A4744" s="4" t="inlineStr">
        <is>
          <t>original:Warm foundations!A1</t>
        </is>
      </c>
      <c r="B4744" s="4" t="inlineStr">
        <is>
          <t>Warm foundations</t>
        </is>
      </c>
      <c r="C4744" s="4" t="inlineStr">
        <is>
          <t>A1</t>
        </is>
      </c>
      <c r="D4744" s="4" t="inlineStr">
        <is>
          <t>Warm foundation opportunities</t>
        </is>
      </c>
      <c r="E4744" s="4" t="inlineStr">
        <is>
          <t>Warm foundation opportunities</t>
        </is>
      </c>
      <c r="F4744" s="4" t="inlineStr">
        <is>
          <t>GOC Bed Unit-Costing Model v2 — working original.xlsx</t>
        </is>
      </c>
    </row>
    <row r="4745" ht="90" customHeight="1">
      <c r="A4745" s="4" t="inlineStr">
        <is>
          <t>original:Warm foundations!A3</t>
        </is>
      </c>
      <c r="B4745" s="4" t="inlineStr">
        <is>
          <t>Warm foundations</t>
        </is>
      </c>
      <c r="C4745" s="4" t="inlineStr">
        <is>
          <t>A3</t>
        </is>
      </c>
      <c r="D4745" s="4" t="inlineStr">
        <is>
          <t>Current relationship evidence and optional grant scenarios. Entered asks are not offers. Every scenario switch starts off.</t>
        </is>
      </c>
      <c r="E4745" s="4" t="inlineStr">
        <is>
          <t>Current relationship evidence and optional grant scenarios. Entered asks are not offers. Every scenario switch starts off.</t>
        </is>
      </c>
      <c r="F4745" s="4" t="inlineStr">
        <is>
          <t>GOC Bed Unit-Costing Model v2 — working original.xlsx</t>
        </is>
      </c>
    </row>
    <row r="4746" ht="40" customHeight="1">
      <c r="A4746" s="4" t="inlineStr">
        <is>
          <t>original:Warm foundations!A5</t>
        </is>
      </c>
      <c r="B4746" s="4" t="inlineStr">
        <is>
          <t>Warm foundations</t>
        </is>
      </c>
      <c r="C4746" s="4" t="inlineStr">
        <is>
          <t>A5</t>
        </is>
      </c>
      <c r="D4746" s="4" t="inlineStr">
        <is>
          <t>Foundation</t>
        </is>
      </c>
      <c r="E4746" s="4" t="inlineStr">
        <is>
          <t>Foundation</t>
        </is>
      </c>
      <c r="F4746" s="4" t="inlineStr">
        <is>
          <t>GOC Bed Unit-Costing Model v2 — working original.xlsx</t>
        </is>
      </c>
    </row>
    <row r="4747" ht="40" customHeight="1">
      <c r="A4747" s="4" t="inlineStr">
        <is>
          <t>original:Warm foundations!B5</t>
        </is>
      </c>
      <c r="B4747" s="4" t="inlineStr">
        <is>
          <t>Warm foundations</t>
        </is>
      </c>
      <c r="C4747" s="4" t="inlineStr">
        <is>
          <t>B5</t>
        </is>
      </c>
      <c r="D4747" s="4" t="inlineStr">
        <is>
          <t>Relationship</t>
        </is>
      </c>
      <c r="E4747" s="4" t="inlineStr">
        <is>
          <t>Relationship</t>
        </is>
      </c>
      <c r="F4747" s="4" t="inlineStr">
        <is>
          <t>GOC Bed Unit-Costing Model v2 — working original.xlsx</t>
        </is>
      </c>
    </row>
    <row r="4748" ht="40" customHeight="1">
      <c r="A4748" s="4" t="inlineStr">
        <is>
          <t>original:Warm foundations!C5</t>
        </is>
      </c>
      <c r="B4748" s="4" t="inlineStr">
        <is>
          <t>Warm foundations</t>
        </is>
      </c>
      <c r="C4748" s="4" t="inlineStr">
        <is>
          <t>C5</t>
        </is>
      </c>
      <c r="D4748" s="4" t="inlineStr">
        <is>
          <t>CRM entered ask</t>
        </is>
      </c>
      <c r="E4748" s="4" t="inlineStr">
        <is>
          <t>CRM entered ask</t>
        </is>
      </c>
      <c r="F4748" s="4" t="inlineStr">
        <is>
          <t>GOC Bed Unit-Costing Model v2 — working original.xlsx</t>
        </is>
      </c>
    </row>
    <row r="4749" ht="40" customHeight="1">
      <c r="A4749" s="4" t="inlineStr">
        <is>
          <t>original:Warm foundations!D5</t>
        </is>
      </c>
      <c r="B4749" s="4" t="inlineStr">
        <is>
          <t>Warm foundations</t>
        </is>
      </c>
      <c r="C4749" s="4" t="inlineStr">
        <is>
          <t>D5</t>
        </is>
      </c>
      <c r="D4749" s="4" t="inlineStr">
        <is>
          <t>Scenario amount</t>
        </is>
      </c>
      <c r="E4749" s="4" t="inlineStr">
        <is>
          <t>Scenario amount</t>
        </is>
      </c>
      <c r="F4749" s="4" t="inlineStr">
        <is>
          <t>GOC Bed Unit-Costing Model v2 — working original.xlsx</t>
        </is>
      </c>
    </row>
    <row r="4750" ht="40" customHeight="1">
      <c r="A4750" s="4" t="inlineStr">
        <is>
          <t>original:Warm foundations!E5</t>
        </is>
      </c>
      <c r="B4750" s="4" t="inlineStr">
        <is>
          <t>Warm foundations</t>
        </is>
      </c>
      <c r="C4750" s="4" t="inlineStr">
        <is>
          <t>E5</t>
        </is>
      </c>
      <c r="D4750" s="4" t="inlineStr">
        <is>
          <t>Include 1 / 0</t>
        </is>
      </c>
      <c r="E4750" s="4" t="inlineStr">
        <is>
          <t>Include 1 / 0</t>
        </is>
      </c>
      <c r="F4750" s="4" t="inlineStr">
        <is>
          <t>GOC Bed Unit-Costing Model v2 — working original.xlsx</t>
        </is>
      </c>
    </row>
    <row r="4751" ht="40" customHeight="1">
      <c r="A4751" s="4" t="inlineStr">
        <is>
          <t>original:Warm foundations!F5</t>
        </is>
      </c>
      <c r="B4751" s="4" t="inlineStr">
        <is>
          <t>Warm foundations</t>
        </is>
      </c>
      <c r="C4751" s="4" t="inlineStr">
        <is>
          <t>F5</t>
        </is>
      </c>
      <c r="D4751" s="4" t="inlineStr">
        <is>
          <t>Selected scenario</t>
        </is>
      </c>
      <c r="E4751" s="4" t="inlineStr">
        <is>
          <t>Selected scenario</t>
        </is>
      </c>
      <c r="F4751" s="4" t="inlineStr">
        <is>
          <t>GOC Bed Unit-Costing Model v2 — working original.xlsx</t>
        </is>
      </c>
    </row>
    <row r="4752" ht="40" customHeight="1">
      <c r="A4752" s="4" t="inlineStr">
        <is>
          <t>original:Warm foundations!G5</t>
        </is>
      </c>
      <c r="B4752" s="4" t="inlineStr">
        <is>
          <t>Warm foundations</t>
        </is>
      </c>
      <c r="C4752" s="4" t="inlineStr">
        <is>
          <t>G5</t>
        </is>
      </c>
      <c r="D4752" s="4" t="inlineStr">
        <is>
          <t>Evidence status</t>
        </is>
      </c>
      <c r="E4752" s="4" t="inlineStr">
        <is>
          <t>Evidence status</t>
        </is>
      </c>
      <c r="F4752" s="4" t="inlineStr">
        <is>
          <t>GOC Bed Unit-Costing Model v2 — working original.xlsx</t>
        </is>
      </c>
    </row>
    <row r="4753" ht="40" customHeight="1">
      <c r="A4753" s="4" t="inlineStr">
        <is>
          <t>original:Warm foundations!H5</t>
        </is>
      </c>
      <c r="B4753" s="4" t="inlineStr">
        <is>
          <t>Warm foundations</t>
        </is>
      </c>
      <c r="C4753" s="4" t="inlineStr">
        <is>
          <t>H5</t>
        </is>
      </c>
      <c r="D4753" s="4" t="inlineStr">
        <is>
          <t>Distinct proposed contribution</t>
        </is>
      </c>
      <c r="E4753" s="4" t="inlineStr">
        <is>
          <t>Distinct proposed contribution</t>
        </is>
      </c>
      <c r="F4753" s="4" t="inlineStr">
        <is>
          <t>GOC Bed Unit-Costing Model v2 — working original.xlsx</t>
        </is>
      </c>
    </row>
    <row r="4754" ht="40" customHeight="1">
      <c r="A4754" s="4" t="inlineStr">
        <is>
          <t>original:Warm foundations!I5</t>
        </is>
      </c>
      <c r="B4754" s="4" t="inlineStr">
        <is>
          <t>Warm foundations</t>
        </is>
      </c>
      <c r="C4754" s="4" t="inlineStr">
        <is>
          <t>I5</t>
        </is>
      </c>
      <c r="D4754" s="4" t="inlineStr">
        <is>
          <t>Next evidence</t>
        </is>
      </c>
      <c r="E4754" s="4" t="inlineStr">
        <is>
          <t>Next evidence</t>
        </is>
      </c>
      <c r="F4754" s="4" t="inlineStr">
        <is>
          <t>GOC Bed Unit-Costing Model v2 — working original.xlsx</t>
        </is>
      </c>
    </row>
    <row r="4755" ht="40" customHeight="1">
      <c r="A4755" s="4" t="inlineStr">
        <is>
          <t>original:Warm foundations!J5</t>
        </is>
      </c>
      <c r="B4755" s="4" t="inlineStr">
        <is>
          <t>Warm foundations</t>
        </is>
      </c>
      <c r="C4755" s="4" t="inlineStr">
        <is>
          <t>J5</t>
        </is>
      </c>
      <c r="D4755" s="4" t="inlineStr">
        <is>
          <t>Source</t>
        </is>
      </c>
      <c r="E4755" s="4" t="inlineStr">
        <is>
          <t>Source</t>
        </is>
      </c>
      <c r="F4755" s="4" t="inlineStr">
        <is>
          <t>GOC Bed Unit-Costing Model v2 — working original.xlsx</t>
        </is>
      </c>
    </row>
    <row r="4756" ht="40" customHeight="1">
      <c r="A4756" s="4" t="inlineStr">
        <is>
          <t>original:Warm foundations!K5</t>
        </is>
      </c>
      <c r="B4756" s="4" t="inlineStr">
        <is>
          <t>Warm foundations</t>
        </is>
      </c>
      <c r="C4756" s="4" t="inlineStr">
        <is>
          <t>K5</t>
        </is>
      </c>
      <c r="D4756" s="4" t="inlineStr">
        <is>
          <t>GHL opportunity ID</t>
        </is>
      </c>
      <c r="E4756" s="4" t="inlineStr">
        <is>
          <t>GHL opportunity ID</t>
        </is>
      </c>
      <c r="F4756" s="4" t="inlineStr">
        <is>
          <t>GOC Bed Unit-Costing Model v2 — working original.xlsx</t>
        </is>
      </c>
    </row>
    <row r="4757" ht="40" customHeight="1">
      <c r="A4757" s="4" t="inlineStr">
        <is>
          <t>original:Warm foundations!A6</t>
        </is>
      </c>
      <c r="B4757" s="4" t="inlineStr">
        <is>
          <t>Warm foundations</t>
        </is>
      </c>
      <c r="C4757" s="4" t="inlineStr">
        <is>
          <t>A6</t>
        </is>
      </c>
      <c r="D4757" s="4" t="inlineStr">
        <is>
          <t>Minderoo Foundation</t>
        </is>
      </c>
      <c r="E4757" s="4" t="inlineStr">
        <is>
          <t>Minderoo Foundation</t>
        </is>
      </c>
      <c r="F4757" s="4" t="inlineStr">
        <is>
          <t>GOC Bed Unit-Costing Model v2 — working original.xlsx</t>
        </is>
      </c>
    </row>
    <row r="4758" ht="40" customHeight="1">
      <c r="A4758" s="4" t="inlineStr">
        <is>
          <t>original:Warm foundations!B6</t>
        </is>
      </c>
      <c r="B4758" s="4" t="inlineStr">
        <is>
          <t>Warm foundations</t>
        </is>
      </c>
      <c r="C4758" s="4" t="inlineStr">
        <is>
          <t>B6</t>
        </is>
      </c>
      <c r="D4758" s="4" t="inlineStr">
        <is>
          <t>Lucy Stronach</t>
        </is>
      </c>
      <c r="E4758" s="4" t="inlineStr">
        <is>
          <t>Lucy Stronach</t>
        </is>
      </c>
      <c r="F4758" s="4" t="inlineStr">
        <is>
          <t>GOC Bed Unit-Costing Model v2 — working original.xlsx</t>
        </is>
      </c>
    </row>
    <row r="4759" ht="40" customHeight="1">
      <c r="A4759" s="4" t="inlineStr">
        <is>
          <t>original:Warm foundations!C6</t>
        </is>
      </c>
      <c r="B4759" s="4" t="inlineStr">
        <is>
          <t>Warm foundations</t>
        </is>
      </c>
      <c r="C4759" s="4" t="inlineStr">
        <is>
          <t>C6</t>
        </is>
      </c>
      <c r="D4759" s="4" t="n">
        <v>100000</v>
      </c>
      <c r="E4759" s="4" t="n">
        <v>100000</v>
      </c>
      <c r="F4759" s="4" t="inlineStr">
        <is>
          <t>GOC Bed Unit-Costing Model v2 — working original.xlsx</t>
        </is>
      </c>
    </row>
    <row r="4760" ht="40" customHeight="1">
      <c r="A4760" s="4" t="inlineStr">
        <is>
          <t>original:Warm foundations!D6</t>
        </is>
      </c>
      <c r="B4760" s="4" t="inlineStr">
        <is>
          <t>Warm foundations</t>
        </is>
      </c>
      <c r="C4760" s="4" t="inlineStr">
        <is>
          <t>D6</t>
        </is>
      </c>
      <c r="D4760" s="4" t="n">
        <v>100000</v>
      </c>
      <c r="E4760" s="4" t="n">
        <v>100000</v>
      </c>
      <c r="F4760" s="4" t="inlineStr">
        <is>
          <t>GOC Bed Unit-Costing Model v2 — working original.xlsx</t>
        </is>
      </c>
    </row>
    <row r="4761" ht="40" customHeight="1">
      <c r="A4761" s="4" t="inlineStr">
        <is>
          <t>original:Warm foundations!E6</t>
        </is>
      </c>
      <c r="B4761" s="4" t="inlineStr">
        <is>
          <t>Warm foundations</t>
        </is>
      </c>
      <c r="C4761" s="4" t="inlineStr">
        <is>
          <t>E6</t>
        </is>
      </c>
      <c r="D4761" s="4" t="n">
        <v>0</v>
      </c>
      <c r="E4761" s="4" t="n">
        <v>0</v>
      </c>
      <c r="F4761" s="4" t="inlineStr">
        <is>
          <t>GOC Bed Unit-Costing Model v2 — working original.xlsx</t>
        </is>
      </c>
    </row>
    <row r="4762" ht="40" customHeight="1">
      <c r="A4762" s="4" t="inlineStr">
        <is>
          <t>original:Warm foundations!F6</t>
        </is>
      </c>
      <c r="B4762" s="4" t="inlineStr">
        <is>
          <t>Warm foundations</t>
        </is>
      </c>
      <c r="C4762" s="4" t="inlineStr">
        <is>
          <t>F6</t>
        </is>
      </c>
      <c r="D4762" s="4" t="inlineStr">
        <is>
          <t>=IF(E6=1,IF(ISNUMBER(D6),D6,0),0)</t>
        </is>
      </c>
      <c r="E4762" s="4" t="n">
        <v>0</v>
      </c>
      <c r="F4762" s="4" t="inlineStr">
        <is>
          <t>GOC Bed Unit-Costing Model v2 — working original.xlsx</t>
        </is>
      </c>
    </row>
    <row r="4763" ht="40" customHeight="1">
      <c r="A4763" s="4" t="inlineStr">
        <is>
          <t>original:Warm foundations!G6</t>
        </is>
      </c>
      <c r="B4763" s="4" t="inlineStr">
        <is>
          <t>Warm foundations</t>
        </is>
      </c>
      <c r="C4763" s="4" t="inlineStr">
        <is>
          <t>G6</t>
        </is>
      </c>
      <c r="D4763" s="4" t="inlineStr">
        <is>
          <t>Warm relationship; CRM ask made, estimate</t>
        </is>
      </c>
      <c r="E4763" s="4" t="inlineStr">
        <is>
          <t>Warm relationship; CRM ask made, estimate</t>
        </is>
      </c>
      <c r="F4763" s="4" t="inlineStr">
        <is>
          <t>GOC Bed Unit-Costing Model v2 — working original.xlsx</t>
        </is>
      </c>
    </row>
    <row r="4764" ht="60" customHeight="1">
      <c r="A4764" s="4" t="inlineStr">
        <is>
          <t>original:Warm foundations!H6</t>
        </is>
      </c>
      <c r="B4764" s="4" t="inlineStr">
        <is>
          <t>Warm foundations</t>
        </is>
      </c>
      <c r="C4764" s="4" t="inlineStr">
        <is>
          <t>H6</t>
        </is>
      </c>
      <c r="D4764" s="4" t="inlineStr">
        <is>
          <t>Proposed: site commissioning, local capability or remaining phase costs</t>
        </is>
      </c>
      <c r="E4764" s="4" t="inlineStr">
        <is>
          <t>Proposed: site commissioning, local capability or remaining phase costs</t>
        </is>
      </c>
      <c r="F4764" s="4" t="inlineStr">
        <is>
          <t>GOC Bed Unit-Costing Model v2 — working original.xlsx</t>
        </is>
      </c>
    </row>
    <row r="4765" ht="45" customHeight="1">
      <c r="A4765" s="4" t="inlineStr">
        <is>
          <t>original:Warm foundations!I6</t>
        </is>
      </c>
      <c r="B4765" s="4" t="inlineStr">
        <is>
          <t>Warm foundations</t>
        </is>
      </c>
      <c r="C4765" s="4" t="inlineStr">
        <is>
          <t>I6</t>
        </is>
      </c>
      <c r="D4765" s="4" t="inlineStr">
        <is>
          <t>Reconfirm current amount, Goods-specific fit, decision date and terms</t>
        </is>
      </c>
      <c r="E4765" s="4" t="inlineStr">
        <is>
          <t>Reconfirm current amount, Goods-specific fit, decision date and terms</t>
        </is>
      </c>
      <c r="F4765" s="4" t="inlineStr">
        <is>
          <t>GOC Bed Unit-Costing Model v2 — working original.xlsx</t>
        </is>
      </c>
    </row>
    <row r="4766" ht="45" customHeight="1">
      <c r="A4766" s="4" t="inlineStr">
        <is>
          <t>original:Warm foundations!J6</t>
        </is>
      </c>
      <c r="B4766" s="4" t="inlineStr">
        <is>
          <t>Warm foundations</t>
        </is>
      </c>
      <c r="C4766" s="4" t="inlineStr">
        <is>
          <t>J6</t>
        </is>
      </c>
      <c r="D4766" s="4" t="inlineStr">
        <is>
          <t>https://mail.google.com/mail/#all/19d6baed92f16eb3</t>
        </is>
      </c>
      <c r="E4766" s="4" t="inlineStr">
        <is>
          <t>https://mail.google.com/mail/#all/19d6baed92f16eb3</t>
        </is>
      </c>
      <c r="F4766" s="4" t="inlineStr">
        <is>
          <t>GOC Bed Unit-Costing Model v2 — working original.xlsx</t>
        </is>
      </c>
    </row>
    <row r="4767" ht="40" customHeight="1">
      <c r="A4767" s="4" t="inlineStr">
        <is>
          <t>original:Warm foundations!K6</t>
        </is>
      </c>
      <c r="B4767" s="4" t="inlineStr">
        <is>
          <t>Warm foundations</t>
        </is>
      </c>
      <c r="C4767" s="4" t="inlineStr">
        <is>
          <t>K6</t>
        </is>
      </c>
      <c r="D4767" s="4" t="inlineStr">
        <is>
          <t>zQZWXJyILdvzwm8OACPr</t>
        </is>
      </c>
      <c r="E4767" s="4" t="inlineStr">
        <is>
          <t>zQZWXJyILdvzwm8OACPr</t>
        </is>
      </c>
      <c r="F4767" s="4" t="inlineStr">
        <is>
          <t>GOC Bed Unit-Costing Model v2 — working original.xlsx</t>
        </is>
      </c>
    </row>
    <row r="4768" ht="40" customHeight="1">
      <c r="A4768" s="4" t="inlineStr">
        <is>
          <t>original:Warm foundations!A7</t>
        </is>
      </c>
      <c r="B4768" s="4" t="inlineStr">
        <is>
          <t>Warm foundations</t>
        </is>
      </c>
      <c r="C4768" s="4" t="inlineStr">
        <is>
          <t>A7</t>
        </is>
      </c>
      <c r="D4768" s="4" t="inlineStr">
        <is>
          <t>Snow Foundation</t>
        </is>
      </c>
      <c r="E4768" s="4" t="inlineStr">
        <is>
          <t>Snow Foundation</t>
        </is>
      </c>
      <c r="F4768" s="4" t="inlineStr">
        <is>
          <t>GOC Bed Unit-Costing Model v2 — working original.xlsx</t>
        </is>
      </c>
    </row>
    <row r="4769" ht="40" customHeight="1">
      <c r="A4769" s="4" t="inlineStr">
        <is>
          <t>original:Warm foundations!B7</t>
        </is>
      </c>
      <c r="B4769" s="4" t="inlineStr">
        <is>
          <t>Warm foundations</t>
        </is>
      </c>
      <c r="C4769" s="4" t="inlineStr">
        <is>
          <t>B7</t>
        </is>
      </c>
      <c r="D4769" s="4" t="inlineStr">
        <is>
          <t>Sally Grimsley-Ballard</t>
        </is>
      </c>
      <c r="E4769" s="4" t="inlineStr">
        <is>
          <t>Sally Grimsley-Ballard</t>
        </is>
      </c>
      <c r="F4769" s="4" t="inlineStr">
        <is>
          <t>GOC Bed Unit-Costing Model v2 — working original.xlsx</t>
        </is>
      </c>
    </row>
    <row r="4770" ht="40" customHeight="1">
      <c r="A4770" s="4" t="inlineStr">
        <is>
          <t>original:Warm foundations!C7</t>
        </is>
      </c>
      <c r="B4770" s="4" t="inlineStr">
        <is>
          <t>Warm foundations</t>
        </is>
      </c>
      <c r="C4770" s="4" t="inlineStr">
        <is>
          <t>C7</t>
        </is>
      </c>
      <c r="D4770" s="4" t="n">
        <v>150000</v>
      </c>
      <c r="E4770" s="4" t="n">
        <v>150000</v>
      </c>
      <c r="F4770" s="4" t="inlineStr">
        <is>
          <t>GOC Bed Unit-Costing Model v2 — working original.xlsx</t>
        </is>
      </c>
    </row>
    <row r="4771" ht="40" customHeight="1">
      <c r="A4771" s="4" t="inlineStr">
        <is>
          <t>original:Warm foundations!D7</t>
        </is>
      </c>
      <c r="B4771" s="4" t="inlineStr">
        <is>
          <t>Warm foundations</t>
        </is>
      </c>
      <c r="C4771" s="4" t="inlineStr">
        <is>
          <t>D7</t>
        </is>
      </c>
      <c r="D4771" s="4" t="n">
        <v>150000</v>
      </c>
      <c r="E4771" s="4" t="n">
        <v>150000</v>
      </c>
      <c r="F4771" s="4" t="inlineStr">
        <is>
          <t>GOC Bed Unit-Costing Model v2 — working original.xlsx</t>
        </is>
      </c>
    </row>
    <row r="4772" ht="40" customHeight="1">
      <c r="A4772" s="4" t="inlineStr">
        <is>
          <t>original:Warm foundations!E7</t>
        </is>
      </c>
      <c r="B4772" s="4" t="inlineStr">
        <is>
          <t>Warm foundations</t>
        </is>
      </c>
      <c r="C4772" s="4" t="inlineStr">
        <is>
          <t>E7</t>
        </is>
      </c>
      <c r="D4772" s="4" t="n">
        <v>0</v>
      </c>
      <c r="E4772" s="4" t="n">
        <v>0</v>
      </c>
      <c r="F4772" s="4" t="inlineStr">
        <is>
          <t>GOC Bed Unit-Costing Model v2 — working original.xlsx</t>
        </is>
      </c>
    </row>
    <row r="4773" ht="40" customHeight="1">
      <c r="A4773" s="4" t="inlineStr">
        <is>
          <t>original:Warm foundations!F7</t>
        </is>
      </c>
      <c r="B4773" s="4" t="inlineStr">
        <is>
          <t>Warm foundations</t>
        </is>
      </c>
      <c r="C4773" s="4" t="inlineStr">
        <is>
          <t>F7</t>
        </is>
      </c>
      <c r="D4773" s="4" t="inlineStr">
        <is>
          <t>=IF(E7=1,IF(ISNUMBER(D7),D7,0),0)</t>
        </is>
      </c>
      <c r="E4773" s="4" t="n">
        <v>0</v>
      </c>
      <c r="F4773" s="4" t="inlineStr">
        <is>
          <t>GOC Bed Unit-Costing Model v2 — working original.xlsx</t>
        </is>
      </c>
    </row>
    <row r="4774" ht="40" customHeight="1">
      <c r="A4774" s="4" t="inlineStr">
        <is>
          <t>original:Warm foundations!G7</t>
        </is>
      </c>
      <c r="B4774" s="4" t="inlineStr">
        <is>
          <t>Warm foundations</t>
        </is>
      </c>
      <c r="C4774" s="4" t="inlineStr">
        <is>
          <t>G7</t>
        </is>
      </c>
      <c r="D4774" s="4" t="inlineStr">
        <is>
          <t>Repeat funder; new CRM ask, estimate</t>
        </is>
      </c>
      <c r="E4774" s="4" t="inlineStr">
        <is>
          <t>Repeat funder; new CRM ask, estimate</t>
        </is>
      </c>
      <c r="F4774" s="4" t="inlineStr">
        <is>
          <t>GOC Bed Unit-Costing Model v2 — working original.xlsx</t>
        </is>
      </c>
    </row>
    <row r="4775" ht="45" customHeight="1">
      <c r="A4775" s="4" t="inlineStr">
        <is>
          <t>original:Warm foundations!H7</t>
        </is>
      </c>
      <c r="B4775" s="4" t="inlineStr">
        <is>
          <t>Warm foundations</t>
        </is>
      </c>
      <c r="C4775" s="4" t="inlineStr">
        <is>
          <t>H7</t>
        </is>
      </c>
      <c r="D4775" s="4" t="inlineStr">
        <is>
          <t>Proposed: measured run and operating support while volume grows</t>
        </is>
      </c>
      <c r="E4775" s="4" t="inlineStr">
        <is>
          <t>Proposed: measured run and operating support while volume grows</t>
        </is>
      </c>
      <c r="F4775" s="4" t="inlineStr">
        <is>
          <t>GOC Bed Unit-Costing Model v2 — working original.xlsx</t>
        </is>
      </c>
    </row>
    <row r="4776" ht="60" customHeight="1">
      <c r="A4776" s="4" t="inlineStr">
        <is>
          <t>original:Warm foundations!I7</t>
        </is>
      </c>
      <c r="B4776" s="4" t="inlineStr">
        <is>
          <t>Warm foundations</t>
        </is>
      </c>
      <c r="C4776" s="4" t="inlineStr">
        <is>
          <t>I7</t>
        </is>
      </c>
      <c r="D4776" s="4" t="inlineStr">
        <is>
          <t>Separate this new ask from historical paid grants; agree current phase scope</t>
        </is>
      </c>
      <c r="E4776" s="4" t="inlineStr">
        <is>
          <t>Separate this new ask from historical paid grants; agree current phase scope</t>
        </is>
      </c>
      <c r="F4776" s="4" t="inlineStr">
        <is>
          <t>GOC Bed Unit-Costing Model v2 — working original.xlsx</t>
        </is>
      </c>
    </row>
    <row r="4777" ht="45" customHeight="1">
      <c r="A4777" s="4" t="inlineStr">
        <is>
          <t>original:Warm foundations!J7</t>
        </is>
      </c>
      <c r="B4777" s="4" t="inlineStr">
        <is>
          <t>Warm foundations</t>
        </is>
      </c>
      <c r="C4777" s="4" t="inlineStr">
        <is>
          <t>J7</t>
        </is>
      </c>
      <c r="D4777" s="4" t="inlineStr">
        <is>
          <t>https://app.notion.com/p/348ebcf981cf813e955fd76ba624f260</t>
        </is>
      </c>
      <c r="E4777" s="4" t="inlineStr">
        <is>
          <t>https://app.notion.com/p/348ebcf981cf813e955fd76ba624f260</t>
        </is>
      </c>
      <c r="F4777" s="4" t="inlineStr">
        <is>
          <t>GOC Bed Unit-Costing Model v2 — working original.xlsx</t>
        </is>
      </c>
    </row>
    <row r="4778" ht="40" customHeight="1">
      <c r="A4778" s="4" t="inlineStr">
        <is>
          <t>original:Warm foundations!K7</t>
        </is>
      </c>
      <c r="B4778" s="4" t="inlineStr">
        <is>
          <t>Warm foundations</t>
        </is>
      </c>
      <c r="C4778" s="4" t="inlineStr">
        <is>
          <t>K7</t>
        </is>
      </c>
      <c r="D4778" s="4" t="inlineStr">
        <is>
          <t>ZzPJCLAq3nkAo0bG7ot3</t>
        </is>
      </c>
      <c r="E4778" s="4" t="inlineStr">
        <is>
          <t>ZzPJCLAq3nkAo0bG7ot3</t>
        </is>
      </c>
      <c r="F4778" s="4" t="inlineStr">
        <is>
          <t>GOC Bed Unit-Costing Model v2 — working original.xlsx</t>
        </is>
      </c>
    </row>
    <row r="4779" ht="40" customHeight="1">
      <c r="A4779" s="4" t="inlineStr">
        <is>
          <t>original:Warm foundations!A8</t>
        </is>
      </c>
      <c r="B4779" s="4" t="inlineStr">
        <is>
          <t>Warm foundations</t>
        </is>
      </c>
      <c r="C4779" s="4" t="inlineStr">
        <is>
          <t>A8</t>
        </is>
      </c>
      <c r="D4779" s="4" t="inlineStr">
        <is>
          <t>Dusseldorp Forum</t>
        </is>
      </c>
      <c r="E4779" s="4" t="inlineStr">
        <is>
          <t>Dusseldorp Forum</t>
        </is>
      </c>
      <c r="F4779" s="4" t="inlineStr">
        <is>
          <t>GOC Bed Unit-Costing Model v2 — working original.xlsx</t>
        </is>
      </c>
    </row>
    <row r="4780" ht="40" customHeight="1">
      <c r="A4780" s="4" t="inlineStr">
        <is>
          <t>original:Warm foundations!B8</t>
        </is>
      </c>
      <c r="B4780" s="4" t="inlineStr">
        <is>
          <t>Warm foundations</t>
        </is>
      </c>
      <c r="C4780" s="4" t="inlineStr">
        <is>
          <t>B8</t>
        </is>
      </c>
      <c r="D4780" s="4" t="inlineStr">
        <is>
          <t>Rachel Fyfe</t>
        </is>
      </c>
      <c r="E4780" s="4" t="inlineStr">
        <is>
          <t>Rachel Fyfe</t>
        </is>
      </c>
      <c r="F4780" s="4" t="inlineStr">
        <is>
          <t>GOC Bed Unit-Costing Model v2 — working original.xlsx</t>
        </is>
      </c>
    </row>
    <row r="4781" ht="40" customHeight="1">
      <c r="A4781" s="4" t="inlineStr">
        <is>
          <t>original:Warm foundations!E8</t>
        </is>
      </c>
      <c r="B4781" s="4" t="inlineStr">
        <is>
          <t>Warm foundations</t>
        </is>
      </c>
      <c r="C4781" s="4" t="inlineStr">
        <is>
          <t>E8</t>
        </is>
      </c>
      <c r="D4781" s="4" t="n">
        <v>0</v>
      </c>
      <c r="E4781" s="4" t="n">
        <v>0</v>
      </c>
      <c r="F4781" s="4" t="inlineStr">
        <is>
          <t>GOC Bed Unit-Costing Model v2 — working original.xlsx</t>
        </is>
      </c>
    </row>
    <row r="4782" ht="40" customHeight="1">
      <c r="A4782" s="4" t="inlineStr">
        <is>
          <t>original:Warm foundations!F8</t>
        </is>
      </c>
      <c r="B4782" s="4" t="inlineStr">
        <is>
          <t>Warm foundations</t>
        </is>
      </c>
      <c r="C4782" s="4" t="inlineStr">
        <is>
          <t>F8</t>
        </is>
      </c>
      <c r="D4782" s="4" t="inlineStr">
        <is>
          <t>=IF(E8=1,IF(ISNUMBER(D8),D8,0),0)</t>
        </is>
      </c>
      <c r="E4782" s="4" t="n">
        <v>0</v>
      </c>
      <c r="F4782" s="4" t="inlineStr">
        <is>
          <t>GOC Bed Unit-Costing Model v2 — working original.xlsx</t>
        </is>
      </c>
    </row>
    <row r="4783" ht="40" customHeight="1">
      <c r="A4783" s="4" t="inlineStr">
        <is>
          <t>original:Warm foundations!G8</t>
        </is>
      </c>
      <c r="B4783" s="4" t="inlineStr">
        <is>
          <t>Warm foundations</t>
        </is>
      </c>
      <c r="C4783" s="4" t="inlineStr">
        <is>
          <t>G8</t>
        </is>
      </c>
      <c r="D4783" s="4" t="inlineStr">
        <is>
          <t>Ben: warm; July correspondence; CRM lost</t>
        </is>
      </c>
      <c r="E4783" s="4" t="inlineStr">
        <is>
          <t>Ben: warm; July correspondence; CRM lost</t>
        </is>
      </c>
      <c r="F4783" s="4" t="inlineStr">
        <is>
          <t>GOC Bed Unit-Costing Model v2 — working original.xlsx</t>
        </is>
      </c>
    </row>
    <row r="4784" ht="60" customHeight="1">
      <c r="A4784" s="4" t="inlineStr">
        <is>
          <t>original:Warm foundations!H8</t>
        </is>
      </c>
      <c r="B4784" s="4" t="inlineStr">
        <is>
          <t>Warm foundations</t>
        </is>
      </c>
      <c r="C4784" s="4" t="inlineStr">
        <is>
          <t>H8</t>
        </is>
      </c>
      <c r="D4784" s="4" t="inlineStr">
        <is>
          <t>Proposed: community authority, accountability, storytelling and paid support</t>
        </is>
      </c>
      <c r="E4784" s="4" t="inlineStr">
        <is>
          <t>Proposed: community authority, accountability, storytelling and paid support</t>
        </is>
      </c>
      <c r="F4784" s="4" t="inlineStr">
        <is>
          <t>GOC Bed Unit-Costing Model v2 — working original.xlsx</t>
        </is>
      </c>
    </row>
    <row r="4785" ht="60" customHeight="1">
      <c r="A4785" s="4" t="inlineStr">
        <is>
          <t>original:Warm foundations!I8</t>
        </is>
      </c>
      <c r="B4785" s="4" t="inlineStr">
        <is>
          <t>Warm foundations</t>
        </is>
      </c>
      <c r="C4785" s="4" t="inlineStr">
        <is>
          <t>I8</t>
        </is>
      </c>
      <c r="D4785" s="4" t="inlineStr">
        <is>
          <t>Resolve stale/closed opportunity versus current relationship; establish a Goods ask</t>
        </is>
      </c>
      <c r="E4785" s="4" t="inlineStr">
        <is>
          <t>Resolve stale/closed opportunity versus current relationship; establish a Goods ask</t>
        </is>
      </c>
      <c r="F4785" s="4" t="inlineStr">
        <is>
          <t>GOC Bed Unit-Costing Model v2 — working original.xlsx</t>
        </is>
      </c>
    </row>
    <row r="4786" ht="45" customHeight="1">
      <c r="A4786" s="4" t="inlineStr">
        <is>
          <t>original:Warm foundations!J8</t>
        </is>
      </c>
      <c r="B4786" s="4" t="inlineStr">
        <is>
          <t>Warm foundations</t>
        </is>
      </c>
      <c r="C4786" s="4" t="inlineStr">
        <is>
          <t>J8</t>
        </is>
      </c>
      <c r="D4786" s="4" t="inlineStr">
        <is>
          <t>https://mail.google.com/mail/#all/19fb082167a8e52f</t>
        </is>
      </c>
      <c r="E4786" s="4" t="inlineStr">
        <is>
          <t>https://mail.google.com/mail/#all/19fb082167a8e52f</t>
        </is>
      </c>
      <c r="F4786" s="4" t="inlineStr">
        <is>
          <t>GOC Bed Unit-Costing Model v2 — working original.xlsx</t>
        </is>
      </c>
    </row>
    <row r="4787" ht="40" customHeight="1">
      <c r="A4787" s="4" t="inlineStr">
        <is>
          <t>original:Warm foundations!K8</t>
        </is>
      </c>
      <c r="B4787" s="4" t="inlineStr">
        <is>
          <t>Warm foundations</t>
        </is>
      </c>
      <c r="C4787" s="4" t="inlineStr">
        <is>
          <t>K8</t>
        </is>
      </c>
      <c r="D4787" s="4" t="inlineStr">
        <is>
          <t>oZejjLcisgyDGnfJCbZj</t>
        </is>
      </c>
      <c r="E4787" s="4" t="inlineStr">
        <is>
          <t>oZejjLcisgyDGnfJCbZj</t>
        </is>
      </c>
      <c r="F4787" s="4" t="inlineStr">
        <is>
          <t>GOC Bed Unit-Costing Model v2 — working original.xlsx</t>
        </is>
      </c>
    </row>
    <row r="4788" ht="40" customHeight="1">
      <c r="A4788" s="4" t="inlineStr">
        <is>
          <t>original:Warm foundations!A11</t>
        </is>
      </c>
      <c r="B4788" s="4" t="inlineStr">
        <is>
          <t>Warm foundations</t>
        </is>
      </c>
      <c r="C4788" s="4" t="inlineStr">
        <is>
          <t>A11</t>
        </is>
      </c>
      <c r="D4788" s="4" t="inlineStr">
        <is>
          <t>Selected prospects without a price</t>
        </is>
      </c>
      <c r="E4788" s="4" t="inlineStr">
        <is>
          <t>Selected prospects without a price</t>
        </is>
      </c>
      <c r="F4788" s="4" t="inlineStr">
        <is>
          <t>GOC Bed Unit-Costing Model v2 — working original.xlsx</t>
        </is>
      </c>
    </row>
    <row r="4789" ht="40" customHeight="1">
      <c r="A4789" s="4" t="inlineStr">
        <is>
          <t>original:Warm foundations!D11</t>
        </is>
      </c>
      <c r="B4789" s="4" t="inlineStr">
        <is>
          <t>Warm foundations</t>
        </is>
      </c>
      <c r="C4789" s="4" t="inlineStr">
        <is>
          <t>D11</t>
        </is>
      </c>
      <c r="D4789" s="4" t="inlineStr">
        <is>
          <t>=IF(AND(E6=1,NOT(ISNUMBER(D6))),1,0)+IF(AND(E7=1,NOT(ISNUMBER(D7))),1,0)+IF(AND(E8=1,NOT(ISNUMBER(D8))),1,0)</t>
        </is>
      </c>
      <c r="E4789" s="4" t="n">
        <v>0</v>
      </c>
      <c r="F4789" s="4" t="inlineStr">
        <is>
          <t>GOC Bed Unit-Costing Model v2 — working original.xlsx</t>
        </is>
      </c>
    </row>
    <row r="4790" ht="120" customHeight="1">
      <c r="A4790" s="4" t="inlineStr">
        <is>
          <t>original:Warm foundations!A13</t>
        </is>
      </c>
      <c r="B4790" s="4" t="inlineStr">
        <is>
          <t>Warm foundations</t>
        </is>
      </c>
      <c r="C4790" s="4" t="inlineStr">
        <is>
          <t>A13</t>
        </is>
      </c>
      <c r="D4790" s="4" t="inlineStr">
        <is>
          <t>The $200,000 Fairfax/BMD invitation base is separate. Warm-foundation scenarios feed Funding once and use its Other receipt month. No grant is awarded by changing a switch.</t>
        </is>
      </c>
      <c r="E4790" s="4" t="inlineStr">
        <is>
          <t>The $200,000 Fairfax/BMD invitation base is separate. Warm-foundation scenarios feed Funding once and use its Other receipt month. No grant is awarded by changing a switch.</t>
        </is>
      </c>
      <c r="F4790" s="4" t="inlineStr">
        <is>
          <t>GOC Bed Unit-Costing Model v2 — working original.xlsx</t>
        </is>
      </c>
    </row>
    <row r="4791" ht="120" customHeight="1">
      <c r="A4791" s="4" t="inlineStr">
        <is>
          <t>original:Warm foundations!A15</t>
        </is>
      </c>
      <c r="B4791" s="4" t="inlineStr">
        <is>
          <t>Warm foundations</t>
        </is>
      </c>
      <c r="C4791" s="4" t="inlineStr">
        <is>
          <t>A15</t>
        </is>
      </c>
      <c r="D4791" s="4" t="inlineStr">
        <is>
          <t>Minderoo and Snow amounts were read from primary GHL opportunity records on 6 September. Dusseldorp CRM is lost although Ben and recent correspondence indicate a warm relationship.</t>
        </is>
      </c>
      <c r="E4791" s="4" t="inlineStr">
        <is>
          <t>Minderoo and Snow amounts were read from primary GHL opportunity records on 6 September. Dusseldorp CRM is lost although Ben and recent correspondence indicate a warm relationship.</t>
        </is>
      </c>
      <c r="F4791" s="4" t="inlineStr">
        <is>
          <t>GOC Bed Unit-Costing Model v2 — working original.xlsx</t>
        </is>
      </c>
    </row>
    <row r="4792" ht="105" customHeight="1">
      <c r="A4792" s="4" t="inlineStr">
        <is>
          <t>original:Warm foundations!A17</t>
        </is>
      </c>
      <c r="B4792" s="4" t="inlineStr">
        <is>
          <t>Warm foundations</t>
        </is>
      </c>
      <c r="C4792" s="4" t="inlineStr">
        <is>
          <t>A17</t>
        </is>
      </c>
      <c r="D4792" s="4" t="inlineStr">
        <is>
          <t>QBE is catalytic, not an automatic doubling promise. Show the joint budget, the specific extra capability and the evidence needed for each contribution.</t>
        </is>
      </c>
      <c r="E4792" s="4" t="inlineStr">
        <is>
          <t>QBE is catalytic, not an automatic doubling promise. Show the joint budget, the specific extra capability and the evidence needed for each contribution.</t>
        </is>
      </c>
      <c r="F4792" s="4" t="inlineStr">
        <is>
          <t>GOC Bed Unit-Costing Model v2 — working original.xlsx</t>
        </is>
      </c>
    </row>
    <row r="4793" ht="40" customHeight="1">
      <c r="A4793" s="4" t="inlineStr">
        <is>
          <t>original:Sites!A1</t>
        </is>
      </c>
      <c r="B4793" s="4" t="inlineStr">
        <is>
          <t>Sites</t>
        </is>
      </c>
      <c r="C4793" s="4" t="inlineStr">
        <is>
          <t>A1</t>
        </is>
      </c>
      <c r="D4793" s="4" t="inlineStr">
        <is>
          <t>Production sites</t>
        </is>
      </c>
      <c r="E4793" s="4" t="inlineStr">
        <is>
          <t>Production sites</t>
        </is>
      </c>
      <c r="F4793" s="4" t="inlineStr">
        <is>
          <t>GOC Bed Unit-Costing Model v2 — working original.xlsx</t>
        </is>
      </c>
    </row>
    <row r="4794" ht="75" customHeight="1">
      <c r="A4794" s="4" t="inlineStr">
        <is>
          <t>original:Sites!A3</t>
        </is>
      </c>
      <c r="B4794" s="4" t="inlineStr">
        <is>
          <t>Sites</t>
        </is>
      </c>
      <c r="C4794" s="4" t="inlineStr">
        <is>
          <t>A3</t>
        </is>
      </c>
      <c r="D4794" s="4" t="inlineStr">
        <is>
          <t>Two new facilities are additional to Witta. All new-site choices and dates below are editable illustrations.</t>
        </is>
      </c>
      <c r="E4794" s="4" t="inlineStr">
        <is>
          <t>Two new facilities are additional to Witta. All new-site choices and dates below are editable illustrations.</t>
        </is>
      </c>
      <c r="F4794" s="4" t="inlineStr">
        <is>
          <t>GOC Bed Unit-Costing Model v2 — working original.xlsx</t>
        </is>
      </c>
    </row>
    <row r="4795" ht="40" customHeight="1">
      <c r="A4795" s="4" t="inlineStr">
        <is>
          <t>original:Sites!A5</t>
        </is>
      </c>
      <c r="B4795" s="4" t="inlineStr">
        <is>
          <t>Sites</t>
        </is>
      </c>
      <c r="C4795" s="4" t="inlineStr">
        <is>
          <t>A5</t>
        </is>
      </c>
      <c r="D4795" s="4" t="inlineStr">
        <is>
          <t>Site ID</t>
        </is>
      </c>
      <c r="E4795" s="4" t="inlineStr">
        <is>
          <t>Site ID</t>
        </is>
      </c>
      <c r="F4795" s="4" t="inlineStr">
        <is>
          <t>GOC Bed Unit-Costing Model v2 — working original.xlsx</t>
        </is>
      </c>
    </row>
    <row r="4796" ht="40" customHeight="1">
      <c r="A4796" s="4" t="inlineStr">
        <is>
          <t>original:Sites!B5</t>
        </is>
      </c>
      <c r="B4796" s="4" t="inlineStr">
        <is>
          <t>Sites</t>
        </is>
      </c>
      <c r="C4796" s="4" t="inlineStr">
        <is>
          <t>B5</t>
        </is>
      </c>
      <c r="D4796" s="4" t="inlineStr">
        <is>
          <t>Site</t>
        </is>
      </c>
      <c r="E4796" s="4" t="inlineStr">
        <is>
          <t>Site</t>
        </is>
      </c>
      <c r="F4796" s="4" t="inlineStr">
        <is>
          <t>GOC Bed Unit-Costing Model v2 — working original.xlsx</t>
        </is>
      </c>
    </row>
    <row r="4797" ht="40" customHeight="1">
      <c r="A4797" s="4" t="inlineStr">
        <is>
          <t>original:Sites!C5</t>
        </is>
      </c>
      <c r="B4797" s="4" t="inlineStr">
        <is>
          <t>Sites</t>
        </is>
      </c>
      <c r="C4797" s="4" t="inlineStr">
        <is>
          <t>C5</t>
        </is>
      </c>
      <c r="D4797" s="4" t="inlineStr">
        <is>
          <t>Role</t>
        </is>
      </c>
      <c r="E4797" s="4" t="inlineStr">
        <is>
          <t>Role</t>
        </is>
      </c>
      <c r="F4797" s="4" t="inlineStr">
        <is>
          <t>GOC Bed Unit-Costing Model v2 — working original.xlsx</t>
        </is>
      </c>
    </row>
    <row r="4798" ht="40" customHeight="1">
      <c r="A4798" s="4" t="inlineStr">
        <is>
          <t>original:Sites!D5</t>
        </is>
      </c>
      <c r="B4798" s="4" t="inlineStr">
        <is>
          <t>Sites</t>
        </is>
      </c>
      <c r="C4798" s="4" t="inlineStr">
        <is>
          <t>D5</t>
        </is>
      </c>
      <c r="D4798" s="4" t="inlineStr">
        <is>
          <t>Build scope</t>
        </is>
      </c>
      <c r="E4798" s="4" t="inlineStr">
        <is>
          <t>Build scope</t>
        </is>
      </c>
      <c r="F4798" s="4" t="inlineStr">
        <is>
          <t>GOC Bed Unit-Costing Model v2 — working original.xlsx</t>
        </is>
      </c>
    </row>
    <row r="4799" ht="40" customHeight="1">
      <c r="A4799" s="4" t="inlineStr">
        <is>
          <t>original:Sites!E5</t>
        </is>
      </c>
      <c r="B4799" s="4" t="inlineStr">
        <is>
          <t>Sites</t>
        </is>
      </c>
      <c r="C4799" s="4" t="inlineStr">
        <is>
          <t>E5</t>
        </is>
      </c>
      <c r="D4799" s="4" t="inlineStr">
        <is>
          <t>New capital</t>
        </is>
      </c>
      <c r="E4799" s="4" t="inlineStr">
        <is>
          <t>New capital</t>
        </is>
      </c>
      <c r="F4799" s="4" t="inlineStr">
        <is>
          <t>GOC Bed Unit-Costing Model v2 — working original.xlsx</t>
        </is>
      </c>
    </row>
    <row r="4800" ht="40" customHeight="1">
      <c r="A4800" s="4" t="inlineStr">
        <is>
          <t>original:Sites!F5</t>
        </is>
      </c>
      <c r="B4800" s="4" t="inlineStr">
        <is>
          <t>Sites</t>
        </is>
      </c>
      <c r="C4800" s="4" t="inlineStr">
        <is>
          <t>F5</t>
        </is>
      </c>
      <c r="D4800" s="4" t="inlineStr">
        <is>
          <t>First production month</t>
        </is>
      </c>
      <c r="E4800" s="4" t="inlineStr">
        <is>
          <t>First production month</t>
        </is>
      </c>
      <c r="F4800" s="4" t="inlineStr">
        <is>
          <t>GOC Bed Unit-Costing Model v2 — working original.xlsx</t>
        </is>
      </c>
    </row>
    <row r="4801" ht="40" customHeight="1">
      <c r="A4801" s="4" t="inlineStr">
        <is>
          <t>original:Sites!G5</t>
        </is>
      </c>
      <c r="B4801" s="4" t="inlineStr">
        <is>
          <t>Sites</t>
        </is>
      </c>
      <c r="C4801" s="4" t="inlineStr">
        <is>
          <t>G5</t>
        </is>
      </c>
      <c r="D4801" s="4" t="inlineStr">
        <is>
          <t>Days available / month</t>
        </is>
      </c>
      <c r="E4801" s="4" t="inlineStr">
        <is>
          <t>Days available / month</t>
        </is>
      </c>
      <c r="F4801" s="4" t="inlineStr">
        <is>
          <t>GOC Bed Unit-Costing Model v2 — working original.xlsx</t>
        </is>
      </c>
    </row>
    <row r="4802" ht="40" customHeight="1">
      <c r="A4802" s="4" t="inlineStr">
        <is>
          <t>original:Sites!H5</t>
        </is>
      </c>
      <c r="B4802" s="4" t="inlineStr">
        <is>
          <t>Sites</t>
        </is>
      </c>
      <c r="C4802" s="4" t="inlineStr">
        <is>
          <t>H5</t>
        </is>
      </c>
      <c r="D4802" s="4" t="inlineStr">
        <is>
          <t>Beds / productive day</t>
        </is>
      </c>
      <c r="E4802" s="4" t="inlineStr">
        <is>
          <t>Beds / productive day</t>
        </is>
      </c>
      <c r="F4802" s="4" t="inlineStr">
        <is>
          <t>GOC Bed Unit-Costing Model v2 — working original.xlsx</t>
        </is>
      </c>
    </row>
    <row r="4803" ht="40" customHeight="1">
      <c r="A4803" s="4" t="inlineStr">
        <is>
          <t>original:Sites!I5</t>
        </is>
      </c>
      <c r="B4803" s="4" t="inlineStr">
        <is>
          <t>Sites</t>
        </is>
      </c>
      <c r="C4803" s="4" t="inlineStr">
        <is>
          <t>I5</t>
        </is>
      </c>
      <c r="D4803" s="4" t="inlineStr">
        <is>
          <t>Capital deposit</t>
        </is>
      </c>
      <c r="E4803" s="4" t="inlineStr">
        <is>
          <t>Capital deposit</t>
        </is>
      </c>
      <c r="F4803" s="4" t="inlineStr">
        <is>
          <t>GOC Bed Unit-Costing Model v2 — working original.xlsx</t>
        </is>
      </c>
    </row>
    <row r="4804" ht="40" customHeight="1">
      <c r="A4804" s="4" t="inlineStr">
        <is>
          <t>original:Sites!J5</t>
        </is>
      </c>
      <c r="B4804" s="4" t="inlineStr">
        <is>
          <t>Sites</t>
        </is>
      </c>
      <c r="C4804" s="4" t="inlineStr">
        <is>
          <t>J5</t>
        </is>
      </c>
      <c r="D4804" s="4" t="inlineStr">
        <is>
          <t>Deposit month</t>
        </is>
      </c>
      <c r="E4804" s="4" t="inlineStr">
        <is>
          <t>Deposit month</t>
        </is>
      </c>
      <c r="F4804" s="4" t="inlineStr">
        <is>
          <t>GOC Bed Unit-Costing Model v2 — working original.xlsx</t>
        </is>
      </c>
    </row>
    <row r="4805" ht="40" customHeight="1">
      <c r="A4805" s="4" t="inlineStr">
        <is>
          <t>original:Sites!K5</t>
        </is>
      </c>
      <c r="B4805" s="4" t="inlineStr">
        <is>
          <t>Sites</t>
        </is>
      </c>
      <c r="C4805" s="4" t="inlineStr">
        <is>
          <t>K5</t>
        </is>
      </c>
      <c r="D4805" s="4" t="inlineStr">
        <is>
          <t>Operator</t>
        </is>
      </c>
      <c r="E4805" s="4" t="inlineStr">
        <is>
          <t>Operator</t>
        </is>
      </c>
      <c r="F4805" s="4" t="inlineStr">
        <is>
          <t>GOC Bed Unit-Costing Model v2 — working original.xlsx</t>
        </is>
      </c>
    </row>
    <row r="4806" ht="40" customHeight="1">
      <c r="A4806" s="4" t="inlineStr">
        <is>
          <t>original:Sites!L5</t>
        </is>
      </c>
      <c r="B4806" s="4" t="inlineStr">
        <is>
          <t>Sites</t>
        </is>
      </c>
      <c r="C4806" s="4" t="inlineStr">
        <is>
          <t>L5</t>
        </is>
      </c>
      <c r="D4806" s="4" t="inlineStr">
        <is>
          <t>Site authority</t>
        </is>
      </c>
      <c r="E4806" s="4" t="inlineStr">
        <is>
          <t>Site authority</t>
        </is>
      </c>
      <c r="F4806" s="4" t="inlineStr">
        <is>
          <t>GOC Bed Unit-Costing Model v2 — working original.xlsx</t>
        </is>
      </c>
    </row>
    <row r="4807" ht="40" customHeight="1">
      <c r="A4807" s="4" t="inlineStr">
        <is>
          <t>original:Sites!A6</t>
        </is>
      </c>
      <c r="B4807" s="4" t="inlineStr">
        <is>
          <t>Sites</t>
        </is>
      </c>
      <c r="C4807" s="4" t="inlineStr">
        <is>
          <t>A6</t>
        </is>
      </c>
      <c r="D4807" s="4" t="inlineStr">
        <is>
          <t>WITTA</t>
        </is>
      </c>
      <c r="E4807" s="4" t="inlineStr">
        <is>
          <t>WITTA</t>
        </is>
      </c>
      <c r="F4807" s="4" t="inlineStr">
        <is>
          <t>GOC Bed Unit-Costing Model v2 — working original.xlsx</t>
        </is>
      </c>
    </row>
    <row r="4808" ht="40" customHeight="1">
      <c r="A4808" s="4" t="inlineStr">
        <is>
          <t>original:Sites!B6</t>
        </is>
      </c>
      <c r="B4808" s="4" t="inlineStr">
        <is>
          <t>Sites</t>
        </is>
      </c>
      <c r="C4808" s="4" t="inlineStr">
        <is>
          <t>B6</t>
        </is>
      </c>
      <c r="D4808" s="4" t="inlineStr">
        <is>
          <t>Witta / Sunshine Coast</t>
        </is>
      </c>
      <c r="E4808" s="4" t="inlineStr">
        <is>
          <t>Witta / Sunshine Coast</t>
        </is>
      </c>
      <c r="F4808" s="4" t="inlineStr">
        <is>
          <t>GOC Bed Unit-Costing Model v2 — working original.xlsx</t>
        </is>
      </c>
    </row>
    <row r="4809" ht="40" customHeight="1">
      <c r="A4809" s="4" t="inlineStr">
        <is>
          <t>original:Sites!C6</t>
        </is>
      </c>
      <c r="B4809" s="4" t="inlineStr">
        <is>
          <t>Sites</t>
        </is>
      </c>
      <c r="C4809" s="4" t="inlineStr">
        <is>
          <t>C6</t>
        </is>
      </c>
      <c r="D4809" s="4" t="inlineStr">
        <is>
          <t>Existing base</t>
        </is>
      </c>
      <c r="E4809" s="4" t="inlineStr">
        <is>
          <t>Existing base</t>
        </is>
      </c>
      <c r="F4809" s="4" t="inlineStr">
        <is>
          <t>GOC Bed Unit-Costing Model v2 — working original.xlsx</t>
        </is>
      </c>
    </row>
    <row r="4810" ht="40" customHeight="1">
      <c r="A4810" s="4" t="inlineStr">
        <is>
          <t>original:Sites!D6</t>
        </is>
      </c>
      <c r="B4810" s="4" t="inlineStr">
        <is>
          <t>Sites</t>
        </is>
      </c>
      <c r="C4810" s="4" t="inlineStr">
        <is>
          <t>D6</t>
        </is>
      </c>
      <c r="D4810" s="4" t="inlineStr">
        <is>
          <t>Existing</t>
        </is>
      </c>
      <c r="E4810" s="4" t="inlineStr">
        <is>
          <t>Existing</t>
        </is>
      </c>
      <c r="F4810" s="4" t="inlineStr">
        <is>
          <t>GOC Bed Unit-Costing Model v2 — working original.xlsx</t>
        </is>
      </c>
    </row>
    <row r="4811" ht="40" customHeight="1">
      <c r="A4811" s="4" t="inlineStr">
        <is>
          <t>original:Sites!E6</t>
        </is>
      </c>
      <c r="B4811" s="4" t="inlineStr">
        <is>
          <t>Sites</t>
        </is>
      </c>
      <c r="C4811" s="4" t="inlineStr">
        <is>
          <t>E6</t>
        </is>
      </c>
      <c r="D4811" s="4" t="n">
        <v>0</v>
      </c>
      <c r="E4811" s="4" t="n">
        <v>0</v>
      </c>
      <c r="F4811" s="4" t="inlineStr">
        <is>
          <t>GOC Bed Unit-Costing Model v2 — working original.xlsx</t>
        </is>
      </c>
    </row>
    <row r="4812" ht="40" customHeight="1">
      <c r="A4812" s="4" t="inlineStr">
        <is>
          <t>original:Sites!F6</t>
        </is>
      </c>
      <c r="B4812" s="4" t="inlineStr">
        <is>
          <t>Sites</t>
        </is>
      </c>
      <c r="C4812" s="4" t="inlineStr">
        <is>
          <t>F6</t>
        </is>
      </c>
      <c r="D4812" s="4" t="n">
        <v>1</v>
      </c>
      <c r="E4812" s="4" t="n">
        <v>1</v>
      </c>
      <c r="F4812" s="4" t="inlineStr">
        <is>
          <t>GOC Bed Unit-Costing Model v2 — working original.xlsx</t>
        </is>
      </c>
    </row>
    <row r="4813" ht="40" customHeight="1">
      <c r="A4813" s="4" t="inlineStr">
        <is>
          <t>original:Sites!G6</t>
        </is>
      </c>
      <c r="B4813" s="4" t="inlineStr">
        <is>
          <t>Sites</t>
        </is>
      </c>
      <c r="C4813" s="4" t="inlineStr">
        <is>
          <t>G6</t>
        </is>
      </c>
      <c r="D4813" s="4" t="n">
        <v>10</v>
      </c>
      <c r="E4813" s="4" t="n">
        <v>10</v>
      </c>
      <c r="F4813" s="4" t="inlineStr">
        <is>
          <t>GOC Bed Unit-Costing Model v2 — working original.xlsx</t>
        </is>
      </c>
    </row>
    <row r="4814" ht="40" customHeight="1">
      <c r="A4814" s="4" t="inlineStr">
        <is>
          <t>original:Sites!H6</t>
        </is>
      </c>
      <c r="B4814" s="4" t="inlineStr">
        <is>
          <t>Sites</t>
        </is>
      </c>
      <c r="C4814" s="4" t="inlineStr">
        <is>
          <t>H6</t>
        </is>
      </c>
      <c r="D4814" s="4" t="n">
        <v>4</v>
      </c>
      <c r="E4814" s="4" t="n">
        <v>4</v>
      </c>
      <c r="F4814" s="4" t="inlineStr">
        <is>
          <t>GOC Bed Unit-Costing Model v2 — working original.xlsx</t>
        </is>
      </c>
    </row>
    <row r="4815" ht="40" customHeight="1">
      <c r="A4815" s="4" t="inlineStr">
        <is>
          <t>original:Sites!I6</t>
        </is>
      </c>
      <c r="B4815" s="4" t="inlineStr">
        <is>
          <t>Sites</t>
        </is>
      </c>
      <c r="C4815" s="4" t="inlineStr">
        <is>
          <t>I6</t>
        </is>
      </c>
      <c r="D4815" s="4" t="n">
        <v>0</v>
      </c>
      <c r="E4815" s="4" t="n">
        <v>0</v>
      </c>
      <c r="F4815" s="4" t="inlineStr">
        <is>
          <t>GOC Bed Unit-Costing Model v2 — working original.xlsx</t>
        </is>
      </c>
    </row>
    <row r="4816" ht="40" customHeight="1">
      <c r="A4816" s="4" t="inlineStr">
        <is>
          <t>original:Sites!J6</t>
        </is>
      </c>
      <c r="B4816" s="4" t="inlineStr">
        <is>
          <t>Sites</t>
        </is>
      </c>
      <c r="C4816" s="4" t="inlineStr">
        <is>
          <t>J6</t>
        </is>
      </c>
      <c r="D4816" s="4" t="n">
        <v>1</v>
      </c>
      <c r="E4816" s="4" t="n">
        <v>1</v>
      </c>
      <c r="F4816" s="4" t="inlineStr">
        <is>
          <t>GOC Bed Unit-Costing Model v2 — working original.xlsx</t>
        </is>
      </c>
    </row>
    <row r="4817" ht="40" customHeight="1">
      <c r="A4817" s="4" t="inlineStr">
        <is>
          <t>original:Sites!K6</t>
        </is>
      </c>
      <c r="B4817" s="4" t="inlineStr">
        <is>
          <t>Sites</t>
        </is>
      </c>
      <c r="C4817" s="4" t="inlineStr">
        <is>
          <t>K6</t>
        </is>
      </c>
      <c r="D4817" s="4" t="inlineStr">
        <is>
          <t>Confirm paid production team</t>
        </is>
      </c>
      <c r="E4817" s="4" t="inlineStr">
        <is>
          <t>Confirm paid production team</t>
        </is>
      </c>
      <c r="F4817" s="4" t="inlineStr">
        <is>
          <t>GOC Bed Unit-Costing Model v2 — working original.xlsx</t>
        </is>
      </c>
    </row>
    <row r="4818" ht="40" customHeight="1">
      <c r="A4818" s="4" t="inlineStr">
        <is>
          <t>original:Sites!L6</t>
        </is>
      </c>
      <c r="B4818" s="4" t="inlineStr">
        <is>
          <t>Sites</t>
        </is>
      </c>
      <c r="C4818" s="4" t="inlineStr">
        <is>
          <t>L6</t>
        </is>
      </c>
      <c r="D4818" s="4" t="inlineStr">
        <is>
          <t>Existing base; verify operating arrangements</t>
        </is>
      </c>
      <c r="E4818" s="4" t="inlineStr">
        <is>
          <t>Existing base; verify operating arrangements</t>
        </is>
      </c>
      <c r="F4818" s="4" t="inlineStr">
        <is>
          <t>GOC Bed Unit-Costing Model v2 — working original.xlsx</t>
        </is>
      </c>
    </row>
    <row r="4819" ht="40" customHeight="1">
      <c r="A4819" s="4" t="inlineStr">
        <is>
          <t>original:Sites!A7</t>
        </is>
      </c>
      <c r="B4819" s="4" t="inlineStr">
        <is>
          <t>Sites</t>
        </is>
      </c>
      <c r="C4819" s="4" t="inlineStr">
        <is>
          <t>A7</t>
        </is>
      </c>
      <c r="D4819" s="4" t="inlineStr">
        <is>
          <t>NEW1</t>
        </is>
      </c>
      <c r="E4819" s="4" t="inlineStr">
        <is>
          <t>NEW1</t>
        </is>
      </c>
      <c r="F4819" s="4" t="inlineStr">
        <is>
          <t>GOC Bed Unit-Costing Model v2 — working original.xlsx</t>
        </is>
      </c>
    </row>
    <row r="4820" ht="40" customHeight="1">
      <c r="A4820" s="4" t="inlineStr">
        <is>
          <t>original:Sites!B7</t>
        </is>
      </c>
      <c r="B4820" s="4" t="inlineStr">
        <is>
          <t>Sites</t>
        </is>
      </c>
      <c r="C4820" s="4" t="inlineStr">
        <is>
          <t>B7</t>
        </is>
      </c>
      <c r="D4820" s="4" t="inlineStr">
        <is>
          <t>New facility 1</t>
        </is>
      </c>
      <c r="E4820" s="4" t="inlineStr">
        <is>
          <t>New facility 1</t>
        </is>
      </c>
      <c r="F4820" s="4" t="inlineStr">
        <is>
          <t>GOC Bed Unit-Costing Model v2 — working original.xlsx</t>
        </is>
      </c>
    </row>
    <row r="4821" ht="40" customHeight="1">
      <c r="A4821" s="4" t="inlineStr">
        <is>
          <t>original:Sites!C7</t>
        </is>
      </c>
      <c r="B4821" s="4" t="inlineStr">
        <is>
          <t>Sites</t>
        </is>
      </c>
      <c r="C4821" s="4" t="inlineStr">
        <is>
          <t>C7</t>
        </is>
      </c>
      <c r="D4821" s="4" t="inlineStr">
        <is>
          <t>New build</t>
        </is>
      </c>
      <c r="E4821" s="4" t="inlineStr">
        <is>
          <t>New build</t>
        </is>
      </c>
      <c r="F4821" s="4" t="inlineStr">
        <is>
          <t>GOC Bed Unit-Costing Model v2 — working original.xlsx</t>
        </is>
      </c>
    </row>
    <row r="4822" ht="40" customHeight="1">
      <c r="A4822" s="4" t="inlineStr">
        <is>
          <t>original:Sites!D7</t>
        </is>
      </c>
      <c r="B4822" s="4" t="inlineStr">
        <is>
          <t>Sites</t>
        </is>
      </c>
      <c r="C4822" s="4" t="inlineStr">
        <is>
          <t>D7</t>
        </is>
      </c>
      <c r="D4822" s="4" t="inlineStr">
        <is>
          <t>Replication</t>
        </is>
      </c>
      <c r="E4822" s="4" t="inlineStr">
        <is>
          <t>Replication</t>
        </is>
      </c>
      <c r="F4822" s="4" t="inlineStr">
        <is>
          <t>GOC Bed Unit-Costing Model v2 — working original.xlsx</t>
        </is>
      </c>
    </row>
    <row r="4823" ht="40" customHeight="1">
      <c r="A4823" s="4" t="inlineStr">
        <is>
          <t>original:Sites!E7</t>
        </is>
      </c>
      <c r="B4823" s="4" t="inlineStr">
        <is>
          <t>Sites</t>
        </is>
      </c>
      <c r="C4823" s="4" t="inlineStr">
        <is>
          <t>E7</t>
        </is>
      </c>
      <c r="D4823" s="4" t="inlineStr">
        <is>
          <t>=IF(D7="Replication",$B$13,IF(D7="Turnkey",$B$14,""))</t>
        </is>
      </c>
      <c r="E4823" s="4" t="n">
        <v>113000</v>
      </c>
      <c r="F4823" s="4" t="inlineStr">
        <is>
          <t>GOC Bed Unit-Costing Model v2 — working original.xlsx</t>
        </is>
      </c>
    </row>
    <row r="4824" ht="40" customHeight="1">
      <c r="A4824" s="4" t="inlineStr">
        <is>
          <t>original:Sites!F7</t>
        </is>
      </c>
      <c r="B4824" s="4" t="inlineStr">
        <is>
          <t>Sites</t>
        </is>
      </c>
      <c r="C4824" s="4" t="inlineStr">
        <is>
          <t>F7</t>
        </is>
      </c>
      <c r="D4824" s="4" t="n">
        <v>4</v>
      </c>
      <c r="E4824" s="4" t="n">
        <v>4</v>
      </c>
      <c r="F4824" s="4" t="inlineStr">
        <is>
          <t>GOC Bed Unit-Costing Model v2 — working original.xlsx</t>
        </is>
      </c>
    </row>
    <row r="4825" ht="40" customHeight="1">
      <c r="A4825" s="4" t="inlineStr">
        <is>
          <t>original:Sites!G7</t>
        </is>
      </c>
      <c r="B4825" s="4" t="inlineStr">
        <is>
          <t>Sites</t>
        </is>
      </c>
      <c r="C4825" s="4" t="inlineStr">
        <is>
          <t>G7</t>
        </is>
      </c>
      <c r="D4825" s="4" t="n">
        <v>10</v>
      </c>
      <c r="E4825" s="4" t="n">
        <v>10</v>
      </c>
      <c r="F4825" s="4" t="inlineStr">
        <is>
          <t>GOC Bed Unit-Costing Model v2 — working original.xlsx</t>
        </is>
      </c>
    </row>
    <row r="4826" ht="40" customHeight="1">
      <c r="A4826" s="4" t="inlineStr">
        <is>
          <t>original:Sites!H7</t>
        </is>
      </c>
      <c r="B4826" s="4" t="inlineStr">
        <is>
          <t>Sites</t>
        </is>
      </c>
      <c r="C4826" s="4" t="inlineStr">
        <is>
          <t>H7</t>
        </is>
      </c>
      <c r="D4826" s="4" t="n">
        <v>4</v>
      </c>
      <c r="E4826" s="4" t="n">
        <v>4</v>
      </c>
      <c r="F4826" s="4" t="inlineStr">
        <is>
          <t>GOC Bed Unit-Costing Model v2 — working original.xlsx</t>
        </is>
      </c>
    </row>
    <row r="4827" ht="40" customHeight="1">
      <c r="A4827" s="4" t="inlineStr">
        <is>
          <t>original:Sites!I7</t>
        </is>
      </c>
      <c r="B4827" s="4" t="inlineStr">
        <is>
          <t>Sites</t>
        </is>
      </c>
      <c r="C4827" s="4" t="inlineStr">
        <is>
          <t>I7</t>
        </is>
      </c>
      <c r="D4827" s="4" t="n">
        <v>0.5</v>
      </c>
      <c r="E4827" s="4" t="n">
        <v>0.5</v>
      </c>
      <c r="F4827" s="4" t="inlineStr">
        <is>
          <t>GOC Bed Unit-Costing Model v2 — working original.xlsx</t>
        </is>
      </c>
    </row>
    <row r="4828" ht="40" customHeight="1">
      <c r="A4828" s="4" t="inlineStr">
        <is>
          <t>original:Sites!J7</t>
        </is>
      </c>
      <c r="B4828" s="4" t="inlineStr">
        <is>
          <t>Sites</t>
        </is>
      </c>
      <c r="C4828" s="4" t="inlineStr">
        <is>
          <t>J7</t>
        </is>
      </c>
      <c r="D4828" s="4" t="n">
        <v>1</v>
      </c>
      <c r="E4828" s="4" t="n">
        <v>1</v>
      </c>
      <c r="F4828" s="4" t="inlineStr">
        <is>
          <t>GOC Bed Unit-Costing Model v2 — working original.xlsx</t>
        </is>
      </c>
    </row>
    <row r="4829" ht="40" customHeight="1">
      <c r="A4829" s="4" t="inlineStr">
        <is>
          <t>original:Sites!K7</t>
        </is>
      </c>
      <c r="B4829" s="4" t="inlineStr">
        <is>
          <t>Sites</t>
        </is>
      </c>
      <c r="C4829" s="4" t="inlineStr">
        <is>
          <t>K7</t>
        </is>
      </c>
      <c r="D4829" s="4" t="inlineStr">
        <is>
          <t>To appoint</t>
        </is>
      </c>
      <c r="E4829" s="4" t="inlineStr">
        <is>
          <t>To appoint</t>
        </is>
      </c>
      <c r="F4829" s="4" t="inlineStr">
        <is>
          <t>GOC Bed Unit-Costing Model v2 — working original.xlsx</t>
        </is>
      </c>
    </row>
    <row r="4830" ht="40" customHeight="1">
      <c r="A4830" s="4" t="inlineStr">
        <is>
          <t>original:Sites!L7</t>
        </is>
      </c>
      <c r="B4830" s="4" t="inlineStr">
        <is>
          <t>Sites</t>
        </is>
      </c>
      <c r="C4830" s="4" t="inlineStr">
        <is>
          <t>L7</t>
        </is>
      </c>
      <c r="D4830" s="4" t="inlineStr">
        <is>
          <t>Location and partner approval required</t>
        </is>
      </c>
      <c r="E4830" s="4" t="inlineStr">
        <is>
          <t>Location and partner approval required</t>
        </is>
      </c>
      <c r="F4830" s="4" t="inlineStr">
        <is>
          <t>GOC Bed Unit-Costing Model v2 — working original.xlsx</t>
        </is>
      </c>
    </row>
    <row r="4831" ht="40" customHeight="1">
      <c r="A4831" s="4" t="inlineStr">
        <is>
          <t>original:Sites!A8</t>
        </is>
      </c>
      <c r="B4831" s="4" t="inlineStr">
        <is>
          <t>Sites</t>
        </is>
      </c>
      <c r="C4831" s="4" t="inlineStr">
        <is>
          <t>A8</t>
        </is>
      </c>
      <c r="D4831" s="4" t="inlineStr">
        <is>
          <t>NEW2</t>
        </is>
      </c>
      <c r="E4831" s="4" t="inlineStr">
        <is>
          <t>NEW2</t>
        </is>
      </c>
      <c r="F4831" s="4" t="inlineStr">
        <is>
          <t>GOC Bed Unit-Costing Model v2 — working original.xlsx</t>
        </is>
      </c>
    </row>
    <row r="4832" ht="40" customHeight="1">
      <c r="A4832" s="4" t="inlineStr">
        <is>
          <t>original:Sites!B8</t>
        </is>
      </c>
      <c r="B4832" s="4" t="inlineStr">
        <is>
          <t>Sites</t>
        </is>
      </c>
      <c r="C4832" s="4" t="inlineStr">
        <is>
          <t>B8</t>
        </is>
      </c>
      <c r="D4832" s="4" t="inlineStr">
        <is>
          <t>New facility 2</t>
        </is>
      </c>
      <c r="E4832" s="4" t="inlineStr">
        <is>
          <t>New facility 2</t>
        </is>
      </c>
      <c r="F4832" s="4" t="inlineStr">
        <is>
          <t>GOC Bed Unit-Costing Model v2 — working original.xlsx</t>
        </is>
      </c>
    </row>
    <row r="4833" ht="40" customHeight="1">
      <c r="A4833" s="4" t="inlineStr">
        <is>
          <t>original:Sites!C8</t>
        </is>
      </c>
      <c r="B4833" s="4" t="inlineStr">
        <is>
          <t>Sites</t>
        </is>
      </c>
      <c r="C4833" s="4" t="inlineStr">
        <is>
          <t>C8</t>
        </is>
      </c>
      <c r="D4833" s="4" t="inlineStr">
        <is>
          <t>New build</t>
        </is>
      </c>
      <c r="E4833" s="4" t="inlineStr">
        <is>
          <t>New build</t>
        </is>
      </c>
      <c r="F4833" s="4" t="inlineStr">
        <is>
          <t>GOC Bed Unit-Costing Model v2 — working original.xlsx</t>
        </is>
      </c>
    </row>
    <row r="4834" ht="40" customHeight="1">
      <c r="A4834" s="4" t="inlineStr">
        <is>
          <t>original:Sites!D8</t>
        </is>
      </c>
      <c r="B4834" s="4" t="inlineStr">
        <is>
          <t>Sites</t>
        </is>
      </c>
      <c r="C4834" s="4" t="inlineStr">
        <is>
          <t>D8</t>
        </is>
      </c>
      <c r="D4834" s="4" t="inlineStr">
        <is>
          <t>Replication</t>
        </is>
      </c>
      <c r="E4834" s="4" t="inlineStr">
        <is>
          <t>Replication</t>
        </is>
      </c>
      <c r="F4834" s="4" t="inlineStr">
        <is>
          <t>GOC Bed Unit-Costing Model v2 — working original.xlsx</t>
        </is>
      </c>
    </row>
    <row r="4835" ht="40" customHeight="1">
      <c r="A4835" s="4" t="inlineStr">
        <is>
          <t>original:Sites!E8</t>
        </is>
      </c>
      <c r="B4835" s="4" t="inlineStr">
        <is>
          <t>Sites</t>
        </is>
      </c>
      <c r="C4835" s="4" t="inlineStr">
        <is>
          <t>E8</t>
        </is>
      </c>
      <c r="D4835" s="4" t="inlineStr">
        <is>
          <t>=IF(D8="Replication",$B$13,IF(D8="Turnkey",$B$14,""))</t>
        </is>
      </c>
      <c r="E4835" s="4" t="n">
        <v>113000</v>
      </c>
      <c r="F4835" s="4" t="inlineStr">
        <is>
          <t>GOC Bed Unit-Costing Model v2 — working original.xlsx</t>
        </is>
      </c>
    </row>
    <row r="4836" ht="40" customHeight="1">
      <c r="A4836" s="4" t="inlineStr">
        <is>
          <t>original:Sites!F8</t>
        </is>
      </c>
      <c r="B4836" s="4" t="inlineStr">
        <is>
          <t>Sites</t>
        </is>
      </c>
      <c r="C4836" s="4" t="inlineStr">
        <is>
          <t>F8</t>
        </is>
      </c>
      <c r="D4836" s="4" t="n">
        <v>7</v>
      </c>
      <c r="E4836" s="4" t="n">
        <v>7</v>
      </c>
      <c r="F4836" s="4" t="inlineStr">
        <is>
          <t>GOC Bed Unit-Costing Model v2 — working original.xlsx</t>
        </is>
      </c>
    </row>
    <row r="4837" ht="40" customHeight="1">
      <c r="A4837" s="4" t="inlineStr">
        <is>
          <t>original:Sites!G8</t>
        </is>
      </c>
      <c r="B4837" s="4" t="inlineStr">
        <is>
          <t>Sites</t>
        </is>
      </c>
      <c r="C4837" s="4" t="inlineStr">
        <is>
          <t>G8</t>
        </is>
      </c>
      <c r="D4837" s="4" t="n">
        <v>10</v>
      </c>
      <c r="E4837" s="4" t="n">
        <v>10</v>
      </c>
      <c r="F4837" s="4" t="inlineStr">
        <is>
          <t>GOC Bed Unit-Costing Model v2 — working original.xlsx</t>
        </is>
      </c>
    </row>
    <row r="4838" ht="40" customHeight="1">
      <c r="A4838" s="4" t="inlineStr">
        <is>
          <t>original:Sites!H8</t>
        </is>
      </c>
      <c r="B4838" s="4" t="inlineStr">
        <is>
          <t>Sites</t>
        </is>
      </c>
      <c r="C4838" s="4" t="inlineStr">
        <is>
          <t>H8</t>
        </is>
      </c>
      <c r="D4838" s="4" t="n">
        <v>4</v>
      </c>
      <c r="E4838" s="4" t="n">
        <v>4</v>
      </c>
      <c r="F4838" s="4" t="inlineStr">
        <is>
          <t>GOC Bed Unit-Costing Model v2 — working original.xlsx</t>
        </is>
      </c>
    </row>
    <row r="4839" ht="40" customHeight="1">
      <c r="A4839" s="4" t="inlineStr">
        <is>
          <t>original:Sites!I8</t>
        </is>
      </c>
      <c r="B4839" s="4" t="inlineStr">
        <is>
          <t>Sites</t>
        </is>
      </c>
      <c r="C4839" s="4" t="inlineStr">
        <is>
          <t>I8</t>
        </is>
      </c>
      <c r="D4839" s="4" t="n">
        <v>0.5</v>
      </c>
      <c r="E4839" s="4" t="n">
        <v>0.5</v>
      </c>
      <c r="F4839" s="4" t="inlineStr">
        <is>
          <t>GOC Bed Unit-Costing Model v2 — working original.xlsx</t>
        </is>
      </c>
    </row>
    <row r="4840" ht="40" customHeight="1">
      <c r="A4840" s="4" t="inlineStr">
        <is>
          <t>original:Sites!J8</t>
        </is>
      </c>
      <c r="B4840" s="4" t="inlineStr">
        <is>
          <t>Sites</t>
        </is>
      </c>
      <c r="C4840" s="4" t="inlineStr">
        <is>
          <t>J8</t>
        </is>
      </c>
      <c r="D4840" s="4" t="n">
        <v>4</v>
      </c>
      <c r="E4840" s="4" t="n">
        <v>4</v>
      </c>
      <c r="F4840" s="4" t="inlineStr">
        <is>
          <t>GOC Bed Unit-Costing Model v2 — working original.xlsx</t>
        </is>
      </c>
    </row>
    <row r="4841" ht="40" customHeight="1">
      <c r="A4841" s="4" t="inlineStr">
        <is>
          <t>original:Sites!K8</t>
        </is>
      </c>
      <c r="B4841" s="4" t="inlineStr">
        <is>
          <t>Sites</t>
        </is>
      </c>
      <c r="C4841" s="4" t="inlineStr">
        <is>
          <t>K8</t>
        </is>
      </c>
      <c r="D4841" s="4" t="inlineStr">
        <is>
          <t>To appoint</t>
        </is>
      </c>
      <c r="E4841" s="4" t="inlineStr">
        <is>
          <t>To appoint</t>
        </is>
      </c>
      <c r="F4841" s="4" t="inlineStr">
        <is>
          <t>GOC Bed Unit-Costing Model v2 — working original.xlsx</t>
        </is>
      </c>
    </row>
    <row r="4842" ht="40" customHeight="1">
      <c r="A4842" s="4" t="inlineStr">
        <is>
          <t>original:Sites!L8</t>
        </is>
      </c>
      <c r="B4842" s="4" t="inlineStr">
        <is>
          <t>Sites</t>
        </is>
      </c>
      <c r="C4842" s="4" t="inlineStr">
        <is>
          <t>L8</t>
        </is>
      </c>
      <c r="D4842" s="4" t="inlineStr">
        <is>
          <t>Location and partner approval required</t>
        </is>
      </c>
      <c r="E4842" s="4" t="inlineStr">
        <is>
          <t>Location and partner approval required</t>
        </is>
      </c>
      <c r="F4842" s="4" t="inlineStr">
        <is>
          <t>GOC Bed Unit-Costing Model v2 — working original.xlsx</t>
        </is>
      </c>
    </row>
    <row r="4843" ht="40" customHeight="1">
      <c r="A4843" s="4" t="inlineStr">
        <is>
          <t>original:Sites!A12</t>
        </is>
      </c>
      <c r="B4843" s="4" t="inlineStr">
        <is>
          <t>Sites</t>
        </is>
      </c>
      <c r="C4843" s="4" t="inlineStr">
        <is>
          <t>A12</t>
        </is>
      </c>
      <c r="D4843" s="4" t="inlineStr">
        <is>
          <t>Build alternatives</t>
        </is>
      </c>
      <c r="E4843" s="4" t="inlineStr">
        <is>
          <t>Build alternatives</t>
        </is>
      </c>
      <c r="F4843" s="4" t="inlineStr">
        <is>
          <t>GOC Bed Unit-Costing Model v2 — working original.xlsx</t>
        </is>
      </c>
    </row>
    <row r="4844" ht="40" customHeight="1">
      <c r="A4844" s="4" t="inlineStr">
        <is>
          <t>original:Sites!A13</t>
        </is>
      </c>
      <c r="B4844" s="4" t="inlineStr">
        <is>
          <t>Sites</t>
        </is>
      </c>
      <c r="C4844" s="4" t="inlineStr">
        <is>
          <t>A13</t>
        </is>
      </c>
      <c r="D4844" s="4" t="inlineStr">
        <is>
          <t>Replication + installation</t>
        </is>
      </c>
      <c r="E4844" s="4" t="inlineStr">
        <is>
          <t>Replication + installation</t>
        </is>
      </c>
      <c r="F4844" s="4" t="inlineStr">
        <is>
          <t>GOC Bed Unit-Costing Model v2 — working original.xlsx</t>
        </is>
      </c>
    </row>
    <row r="4845" ht="40" customHeight="1">
      <c r="A4845" s="4" t="inlineStr">
        <is>
          <t>original:Sites!B13</t>
        </is>
      </c>
      <c r="B4845" s="4" t="inlineStr">
        <is>
          <t>Sites</t>
        </is>
      </c>
      <c r="C4845" s="4" t="inlineStr">
        <is>
          <t>B13</t>
        </is>
      </c>
      <c r="D4845" s="4" t="inlineStr">
        <is>
          <t>='Inputs (1)'!C37+'Inputs (1)'!C40</t>
        </is>
      </c>
      <c r="E4845" s="4" t="n">
        <v>113000</v>
      </c>
      <c r="F4845" s="4" t="inlineStr">
        <is>
          <t>GOC Bed Unit-Costing Model v2 — working original.xlsx</t>
        </is>
      </c>
    </row>
    <row r="4846" ht="60" customHeight="1">
      <c r="A4846" s="4" t="inlineStr">
        <is>
          <t>original:Sites!D13</t>
        </is>
      </c>
      <c r="B4846" s="4" t="inlineStr">
        <is>
          <t>Sites</t>
        </is>
      </c>
      <c r="C4846" s="4" t="inlineStr">
        <is>
          <t>D13</t>
        </is>
      </c>
      <c r="D4846" s="4" t="inlineStr">
        <is>
          <t>Inputs (1)!C37 + C40: $105,000 + $8,000. Planning scope; new quote required.</t>
        </is>
      </c>
      <c r="E4846" s="4" t="inlineStr">
        <is>
          <t>Inputs (1)!C37 + C40: $105,000 + $8,000. Planning scope; new quote required.</t>
        </is>
      </c>
      <c r="F4846" s="4" t="inlineStr">
        <is>
          <t>GOC Bed Unit-Costing Model v2 — working original.xlsx</t>
        </is>
      </c>
    </row>
    <row r="4847" ht="40" customHeight="1">
      <c r="A4847" s="4" t="inlineStr">
        <is>
          <t>original:Sites!A14</t>
        </is>
      </c>
      <c r="B4847" s="4" t="inlineStr">
        <is>
          <t>Sites</t>
        </is>
      </c>
      <c r="C4847" s="4" t="inlineStr">
        <is>
          <t>A14</t>
        </is>
      </c>
      <c r="D4847" s="4" t="inlineStr">
        <is>
          <t>Turnkey workshop</t>
        </is>
      </c>
      <c r="E4847" s="4" t="inlineStr">
        <is>
          <t>Turnkey workshop</t>
        </is>
      </c>
      <c r="F4847" s="4" t="inlineStr">
        <is>
          <t>GOC Bed Unit-Costing Model v2 — working original.xlsx</t>
        </is>
      </c>
    </row>
    <row r="4848" ht="40" customHeight="1">
      <c r="A4848" s="4" t="inlineStr">
        <is>
          <t>original:Sites!B14</t>
        </is>
      </c>
      <c r="B4848" s="4" t="inlineStr">
        <is>
          <t>Sites</t>
        </is>
      </c>
      <c r="C4848" s="4" t="inlineStr">
        <is>
          <t>B14</t>
        </is>
      </c>
      <c r="D4848" s="4" t="inlineStr">
        <is>
          <t>='Inputs (1)'!C38</t>
        </is>
      </c>
      <c r="E4848" s="4" t="n">
        <v>207450</v>
      </c>
      <c r="F4848" s="4" t="inlineStr">
        <is>
          <t>GOC Bed Unit-Costing Model v2 — working original.xlsx</t>
        </is>
      </c>
    </row>
    <row r="4849" ht="60" customHeight="1">
      <c r="A4849" s="4" t="inlineStr">
        <is>
          <t>original:Sites!D14</t>
        </is>
      </c>
      <c r="B4849" s="4" t="inlineStr">
        <is>
          <t>Sites</t>
        </is>
      </c>
      <c r="C4849" s="4" t="inlineStr">
        <is>
          <t>D14</t>
        </is>
      </c>
      <c r="D4849" s="4" t="inlineStr">
        <is>
          <t>Inputs (1)!C38: freight and installation already included. Do not add them again.</t>
        </is>
      </c>
      <c r="E4849" s="4" t="inlineStr">
        <is>
          <t>Inputs (1)!C38: freight and installation already included. Do not add them again.</t>
        </is>
      </c>
      <c r="F4849" s="4" t="inlineStr">
        <is>
          <t>GOC Bed Unit-Costing Model v2 — working original.xlsx</t>
        </is>
      </c>
    </row>
    <row r="4850" ht="75" customHeight="1">
      <c r="A4850" s="4" t="inlineStr">
        <is>
          <t>original:Sites!A17</t>
        </is>
      </c>
      <c r="B4850" s="4" t="inlineStr">
        <is>
          <t>Sites</t>
        </is>
      </c>
      <c r="C4850" s="4" t="inlineStr">
        <is>
          <t>A17</t>
        </is>
      </c>
      <c r="D4850" s="4" t="inlineStr">
        <is>
          <t>Existing Witta sunk spend: $110,046 in the source workpaper, excluded from this new cash budget.</t>
        </is>
      </c>
      <c r="E4850" s="4" t="inlineStr">
        <is>
          <t>Existing Witta sunk spend: $110,046 in the source workpaper, excluded from this new cash budget.</t>
        </is>
      </c>
      <c r="F4850" s="4" t="inlineStr">
        <is>
          <t>GOC Bed Unit-Costing Model v2 — working original.xlsx</t>
        </is>
      </c>
    </row>
    <row r="4851" ht="105" customHeight="1">
      <c r="A4851" s="4" t="inlineStr">
        <is>
          <t>original:Sites!A19</t>
        </is>
      </c>
      <c r="B4851" s="4" t="inlineStr">
        <is>
          <t>Sites</t>
        </is>
      </c>
      <c r="C4851" s="4" t="inlineStr">
        <is>
          <t>A19</t>
        </is>
      </c>
      <c r="D4851" s="4" t="inlineStr">
        <is>
          <t>Four beds/day is a planning rate, not a measured capacity promise. Independent crews, feedstock and quality acceptance still need evidence.</t>
        </is>
      </c>
      <c r="E4851" s="4" t="inlineStr">
        <is>
          <t>Four beds/day is a planning rate, not a measured capacity promise. Independent crews, feedstock and quality acceptance still need evidence.</t>
        </is>
      </c>
      <c r="F4851" s="4" t="inlineStr">
        <is>
          <t>GOC Bed Unit-Costing Model v2 — working original.xlsx</t>
        </is>
      </c>
    </row>
    <row r="4852" ht="90" customHeight="1">
      <c r="A4852" s="4" t="inlineStr">
        <is>
          <t>original:Sites!A21</t>
        </is>
      </c>
      <c r="B4852" s="4" t="inlineStr">
        <is>
          <t>Sites</t>
        </is>
      </c>
      <c r="C4852" s="4" t="inlineStr">
        <is>
          <t>A21</t>
        </is>
      </c>
      <c r="D4852" s="4" t="inlineStr">
        <is>
          <t>Commissioning later than the planning window means no new-site capacity within the window. Capital payment dates must be revised with it.</t>
        </is>
      </c>
      <c r="E4852" s="4" t="inlineStr">
        <is>
          <t>Commissioning later than the planning window means no new-site capacity within the window. Capital payment dates must be revised with it.</t>
        </is>
      </c>
      <c r="F4852" s="4" t="inlineStr">
        <is>
          <t>GOC Bed Unit-Costing Model v2 — working original.xlsx</t>
        </is>
      </c>
    </row>
    <row r="4853" ht="40" customHeight="1">
      <c r="A4853" s="4" t="inlineStr">
        <is>
          <t>original:Unit costs!A1</t>
        </is>
      </c>
      <c r="B4853" s="4" t="inlineStr">
        <is>
          <t>Unit costs</t>
        </is>
      </c>
      <c r="C4853" s="4" t="inlineStr">
        <is>
          <t>A1</t>
        </is>
      </c>
      <c r="D4853" s="4" t="inlineStr">
        <is>
          <t>Cost per bed</t>
        </is>
      </c>
      <c r="E4853" s="4" t="inlineStr">
        <is>
          <t>Cost per bed</t>
        </is>
      </c>
      <c r="F4853" s="4" t="inlineStr">
        <is>
          <t>GOC Bed Unit-Costing Model v2 — working original.xlsx</t>
        </is>
      </c>
    </row>
    <row r="4854" ht="75" customHeight="1">
      <c r="A4854" s="4" t="inlineStr">
        <is>
          <t>original:Unit costs!A3</t>
        </is>
      </c>
      <c r="B4854" s="4" t="inlineStr">
        <is>
          <t>Unit costs</t>
        </is>
      </c>
      <c r="C4854" s="4" t="inlineStr">
        <is>
          <t>A3</t>
        </is>
      </c>
      <c r="D4854" s="4" t="inlineStr">
        <is>
          <t>AUD ex GST model. Freight is charged on deliveries; manufacturing costs are charged on units made.</t>
        </is>
      </c>
      <c r="E4854" s="4" t="inlineStr">
        <is>
          <t>AUD ex GST model. Freight is charged on deliveries; manufacturing costs are charged on units made.</t>
        </is>
      </c>
      <c r="F4854" s="4" t="inlineStr">
        <is>
          <t>GOC Bed Unit-Costing Model v2 — working original.xlsx</t>
        </is>
      </c>
    </row>
    <row r="4855" ht="40" customHeight="1">
      <c r="A4855" s="4" t="inlineStr">
        <is>
          <t>original:Unit costs!A5</t>
        </is>
      </c>
      <c r="B4855" s="4" t="inlineStr">
        <is>
          <t>Unit costs</t>
        </is>
      </c>
      <c r="C4855" s="4" t="inlineStr">
        <is>
          <t>A5</t>
        </is>
      </c>
      <c r="D4855" s="4" t="inlineStr">
        <is>
          <t>Component</t>
        </is>
      </c>
      <c r="E4855" s="4" t="inlineStr">
        <is>
          <t>Component</t>
        </is>
      </c>
      <c r="F4855" s="4" t="inlineStr">
        <is>
          <t>GOC Bed Unit-Costing Model v2 — working original.xlsx</t>
        </is>
      </c>
    </row>
    <row r="4856" ht="40" customHeight="1">
      <c r="A4856" s="4" t="inlineStr">
        <is>
          <t>original:Unit costs!B5</t>
        </is>
      </c>
      <c r="B4856" s="4" t="inlineStr">
        <is>
          <t>Unit costs</t>
        </is>
      </c>
      <c r="C4856" s="4" t="inlineStr">
        <is>
          <t>B5</t>
        </is>
      </c>
      <c r="D4856" s="4" t="inlineStr">
        <is>
          <t>Bought kit</t>
        </is>
      </c>
      <c r="E4856" s="4" t="inlineStr">
        <is>
          <t>Bought kit</t>
        </is>
      </c>
      <c r="F4856" s="4" t="inlineStr">
        <is>
          <t>GOC Bed Unit-Costing Model v2 — working original.xlsx</t>
        </is>
      </c>
    </row>
    <row r="4857" ht="40" customHeight="1">
      <c r="A4857" s="4" t="inlineStr">
        <is>
          <t>original:Unit costs!C5</t>
        </is>
      </c>
      <c r="B4857" s="4" t="inlineStr">
        <is>
          <t>Unit costs</t>
        </is>
      </c>
      <c r="C4857" s="4" t="inlineStr">
        <is>
          <t>C5</t>
        </is>
      </c>
      <c r="D4857" s="4" t="inlineStr">
        <is>
          <t>Witta</t>
        </is>
      </c>
      <c r="E4857" s="4" t="inlineStr">
        <is>
          <t>Witta</t>
        </is>
      </c>
      <c r="F4857" s="4" t="inlineStr">
        <is>
          <t>GOC Bed Unit-Costing Model v2 — working original.xlsx</t>
        </is>
      </c>
    </row>
    <row r="4858" ht="40" customHeight="1">
      <c r="A4858" s="4" t="inlineStr">
        <is>
          <t>original:Unit costs!D5</t>
        </is>
      </c>
      <c r="B4858" s="4" t="inlineStr">
        <is>
          <t>Unit costs</t>
        </is>
      </c>
      <c r="C4858" s="4" t="inlineStr">
        <is>
          <t>D5</t>
        </is>
      </c>
      <c r="D4858" s="4" t="inlineStr">
        <is>
          <t>New facility 1</t>
        </is>
      </c>
      <c r="E4858" s="4" t="inlineStr">
        <is>
          <t>New facility 1</t>
        </is>
      </c>
      <c r="F4858" s="4" t="inlineStr">
        <is>
          <t>GOC Bed Unit-Costing Model v2 — working original.xlsx</t>
        </is>
      </c>
    </row>
    <row r="4859" ht="40" customHeight="1">
      <c r="A4859" s="4" t="inlineStr">
        <is>
          <t>original:Unit costs!E5</t>
        </is>
      </c>
      <c r="B4859" s="4" t="inlineStr">
        <is>
          <t>Unit costs</t>
        </is>
      </c>
      <c r="C4859" s="4" t="inlineStr">
        <is>
          <t>E5</t>
        </is>
      </c>
      <c r="D4859" s="4" t="inlineStr">
        <is>
          <t>New facility 2</t>
        </is>
      </c>
      <c r="E4859" s="4" t="inlineStr">
        <is>
          <t>New facility 2</t>
        </is>
      </c>
      <c r="F4859" s="4" t="inlineStr">
        <is>
          <t>GOC Bed Unit-Costing Model v2 — working original.xlsx</t>
        </is>
      </c>
    </row>
    <row r="4860" ht="40" customHeight="1">
      <c r="A4860" s="4" t="inlineStr">
        <is>
          <t>original:Unit costs!F5</t>
        </is>
      </c>
      <c r="B4860" s="4" t="inlineStr">
        <is>
          <t>Unit costs</t>
        </is>
      </c>
      <c r="C4860" s="4" t="inlineStr">
        <is>
          <t>F5</t>
        </is>
      </c>
      <c r="D4860" s="4" t="inlineStr">
        <is>
          <t>Basis</t>
        </is>
      </c>
      <c r="E4860" s="4" t="inlineStr">
        <is>
          <t>Basis</t>
        </is>
      </c>
      <c r="F4860" s="4" t="inlineStr">
        <is>
          <t>GOC Bed Unit-Costing Model v2 — working original.xlsx</t>
        </is>
      </c>
    </row>
    <row r="4861" ht="40" customHeight="1">
      <c r="A4861" s="4" t="inlineStr">
        <is>
          <t>original:Unit costs!A6</t>
        </is>
      </c>
      <c r="B4861" s="4" t="inlineStr">
        <is>
          <t>Unit costs</t>
        </is>
      </c>
      <c r="C4861" s="4" t="inlineStr">
        <is>
          <t>A6</t>
        </is>
      </c>
      <c r="D4861" s="4" t="inlineStr">
        <is>
          <t>HDPE / finished leg kit</t>
        </is>
      </c>
      <c r="E4861" s="4" t="inlineStr">
        <is>
          <t>HDPE / finished leg kit</t>
        </is>
      </c>
      <c r="F4861" s="4" t="inlineStr">
        <is>
          <t>GOC Bed Unit-Costing Model v2 — working original.xlsx</t>
        </is>
      </c>
    </row>
    <row r="4862" ht="40" customHeight="1">
      <c r="A4862" s="4" t="inlineStr">
        <is>
          <t>original:Unit costs!B6</t>
        </is>
      </c>
      <c r="B4862" s="4" t="inlineStr">
        <is>
          <t>Unit costs</t>
        </is>
      </c>
      <c r="C4862" s="4" t="inlineStr">
        <is>
          <t>B6</t>
        </is>
      </c>
      <c r="D4862" s="4" t="inlineStr">
        <is>
          <t>=Inputs!B6</t>
        </is>
      </c>
      <c r="E4862" s="4" t="n">
        <v>344.05</v>
      </c>
      <c r="F4862" s="4" t="inlineStr">
        <is>
          <t>GOC Bed Unit-Costing Model v2 — working original.xlsx</t>
        </is>
      </c>
    </row>
    <row r="4863" ht="40" customHeight="1">
      <c r="A4863" s="4" t="inlineStr">
        <is>
          <t>original:Unit costs!C6</t>
        </is>
      </c>
      <c r="B4863" s="4" t="inlineStr">
        <is>
          <t>Unit costs</t>
        </is>
      </c>
      <c r="C4863" s="4" t="inlineStr">
        <is>
          <t>C6</t>
        </is>
      </c>
      <c r="D4863" s="4" t="inlineStr">
        <is>
          <t>=Inputs!C6</t>
        </is>
      </c>
      <c r="E4863" s="4" t="n">
        <v>55</v>
      </c>
      <c r="F4863" s="4" t="inlineStr">
        <is>
          <t>GOC Bed Unit-Costing Model v2 — working original.xlsx</t>
        </is>
      </c>
    </row>
    <row r="4864" ht="40" customHeight="1">
      <c r="A4864" s="4" t="inlineStr">
        <is>
          <t>original:Unit costs!D6</t>
        </is>
      </c>
      <c r="B4864" s="4" t="inlineStr">
        <is>
          <t>Unit costs</t>
        </is>
      </c>
      <c r="C4864" s="4" t="inlineStr">
        <is>
          <t>D6</t>
        </is>
      </c>
      <c r="D4864" s="4" t="inlineStr">
        <is>
          <t>=Inputs!D6</t>
        </is>
      </c>
      <c r="E4864" s="4" t="n">
        <v>0</v>
      </c>
      <c r="F4864" s="4" t="inlineStr">
        <is>
          <t>GOC Bed Unit-Costing Model v2 — working original.xlsx</t>
        </is>
      </c>
    </row>
    <row r="4865" ht="40" customHeight="1">
      <c r="A4865" s="4" t="inlineStr">
        <is>
          <t>original:Unit costs!E6</t>
        </is>
      </c>
      <c r="B4865" s="4" t="inlineStr">
        <is>
          <t>Unit costs</t>
        </is>
      </c>
      <c r="C4865" s="4" t="inlineStr">
        <is>
          <t>E6</t>
        </is>
      </c>
      <c r="D4865" s="4" t="inlineStr">
        <is>
          <t>=Inputs!D6</t>
        </is>
      </c>
      <c r="E4865" s="4" t="n">
        <v>0</v>
      </c>
      <c r="F4865" s="4" t="inlineStr">
        <is>
          <t>GOC Bed Unit-Costing Model v2 — working original.xlsx</t>
        </is>
      </c>
    </row>
    <row r="4866" ht="60" customHeight="1">
      <c r="A4866" s="4" t="inlineStr">
        <is>
          <t>original:Unit costs!F6</t>
        </is>
      </c>
      <c r="B4866" s="4" t="inlineStr">
        <is>
          <t>Unit costs</t>
        </is>
      </c>
      <c r="C4866" s="4" t="inlineStr">
        <is>
          <t>F6</t>
        </is>
      </c>
      <c r="D4866" s="4" t="inlineStr">
        <is>
          <t>Kit invoices; Witta purchased shred. Free community feedstock is an assumption.</t>
        </is>
      </c>
      <c r="E4866" s="4" t="inlineStr">
        <is>
          <t>Kit invoices; Witta purchased shred. Free community feedstock is an assumption.</t>
        </is>
      </c>
      <c r="F4866" s="4" t="inlineStr">
        <is>
          <t>GOC Bed Unit-Costing Model v2 — working original.xlsx</t>
        </is>
      </c>
    </row>
    <row r="4867" ht="40" customHeight="1">
      <c r="A4867" s="4" t="inlineStr">
        <is>
          <t>original:Unit costs!A7</t>
        </is>
      </c>
      <c r="B4867" s="4" t="inlineStr">
        <is>
          <t>Unit costs</t>
        </is>
      </c>
      <c r="C4867" s="4" t="inlineStr">
        <is>
          <t>A7</t>
        </is>
      </c>
      <c r="D4867" s="4" t="inlineStr">
        <is>
          <t>Steel poles</t>
        </is>
      </c>
      <c r="E4867" s="4" t="inlineStr">
        <is>
          <t>Steel poles</t>
        </is>
      </c>
      <c r="F4867" s="4" t="inlineStr">
        <is>
          <t>GOC Bed Unit-Costing Model v2 — working original.xlsx</t>
        </is>
      </c>
    </row>
    <row r="4868" ht="40" customHeight="1">
      <c r="A4868" s="4" t="inlineStr">
        <is>
          <t>original:Unit costs!B7</t>
        </is>
      </c>
      <c r="B4868" s="4" t="inlineStr">
        <is>
          <t>Unit costs</t>
        </is>
      </c>
      <c r="C4868" s="4" t="inlineStr">
        <is>
          <t>B7</t>
        </is>
      </c>
      <c r="D4868" s="4" t="inlineStr">
        <is>
          <t>=Inputs!B7</t>
        </is>
      </c>
      <c r="E4868" s="4" t="n">
        <v>27</v>
      </c>
      <c r="F4868" s="4" t="inlineStr">
        <is>
          <t>GOC Bed Unit-Costing Model v2 — working original.xlsx</t>
        </is>
      </c>
    </row>
    <row r="4869" ht="40" customHeight="1">
      <c r="A4869" s="4" t="inlineStr">
        <is>
          <t>original:Unit costs!C7</t>
        </is>
      </c>
      <c r="B4869" s="4" t="inlineStr">
        <is>
          <t>Unit costs</t>
        </is>
      </c>
      <c r="C4869" s="4" t="inlineStr">
        <is>
          <t>C7</t>
        </is>
      </c>
      <c r="D4869" s="4" t="inlineStr">
        <is>
          <t>=Inputs!C7</t>
        </is>
      </c>
      <c r="E4869" s="4" t="n">
        <v>27</v>
      </c>
      <c r="F4869" s="4" t="inlineStr">
        <is>
          <t>GOC Bed Unit-Costing Model v2 — working original.xlsx</t>
        </is>
      </c>
    </row>
    <row r="4870" ht="40" customHeight="1">
      <c r="A4870" s="4" t="inlineStr">
        <is>
          <t>original:Unit costs!D7</t>
        </is>
      </c>
      <c r="B4870" s="4" t="inlineStr">
        <is>
          <t>Unit costs</t>
        </is>
      </c>
      <c r="C4870" s="4" t="inlineStr">
        <is>
          <t>D7</t>
        </is>
      </c>
      <c r="D4870" s="4" t="inlineStr">
        <is>
          <t>=Inputs!D7</t>
        </is>
      </c>
      <c r="E4870" s="4" t="n">
        <v>27</v>
      </c>
      <c r="F4870" s="4" t="inlineStr">
        <is>
          <t>GOC Bed Unit-Costing Model v2 — working original.xlsx</t>
        </is>
      </c>
    </row>
    <row r="4871" ht="40" customHeight="1">
      <c r="A4871" s="4" t="inlineStr">
        <is>
          <t>original:Unit costs!E7</t>
        </is>
      </c>
      <c r="B4871" s="4" t="inlineStr">
        <is>
          <t>Unit costs</t>
        </is>
      </c>
      <c r="C4871" s="4" t="inlineStr">
        <is>
          <t>E7</t>
        </is>
      </c>
      <c r="D4871" s="4" t="inlineStr">
        <is>
          <t>=Inputs!D7</t>
        </is>
      </c>
      <c r="E4871" s="4" t="n">
        <v>27</v>
      </c>
      <c r="F4871" s="4" t="inlineStr">
        <is>
          <t>GOC Bed Unit-Costing Model v2 — working original.xlsx</t>
        </is>
      </c>
    </row>
    <row r="4872" ht="40" customHeight="1">
      <c r="A4872" s="4" t="inlineStr">
        <is>
          <t>original:Unit costs!F7</t>
        </is>
      </c>
      <c r="B4872" s="4" t="inlineStr">
        <is>
          <t>Unit costs</t>
        </is>
      </c>
      <c r="C4872" s="4" t="inlineStr">
        <is>
          <t>F7</t>
        </is>
      </c>
      <c r="D4872" s="4" t="inlineStr">
        <is>
          <t>Source workbook Inputs!B7:D7, DNA Steel</t>
        </is>
      </c>
      <c r="E4872" s="4" t="inlineStr">
        <is>
          <t>Source workbook Inputs!B7:D7, DNA Steel</t>
        </is>
      </c>
      <c r="F4872" s="4" t="inlineStr">
        <is>
          <t>GOC Bed Unit-Costing Model v2 — working original.xlsx</t>
        </is>
      </c>
    </row>
    <row r="4873" ht="40" customHeight="1">
      <c r="A4873" s="4" t="inlineStr">
        <is>
          <t>original:Unit costs!A8</t>
        </is>
      </c>
      <c r="B4873" s="4" t="inlineStr">
        <is>
          <t>Unit costs</t>
        </is>
      </c>
      <c r="C4873" s="4" t="inlineStr">
        <is>
          <t>A8</t>
        </is>
      </c>
      <c r="D4873" s="4" t="inlineStr">
        <is>
          <t>Canvas</t>
        </is>
      </c>
      <c r="E4873" s="4" t="inlineStr">
        <is>
          <t>Canvas</t>
        </is>
      </c>
      <c r="F4873" s="4" t="inlineStr">
        <is>
          <t>GOC Bed Unit-Costing Model v2 — working original.xlsx</t>
        </is>
      </c>
    </row>
    <row r="4874" ht="40" customHeight="1">
      <c r="A4874" s="4" t="inlineStr">
        <is>
          <t>original:Unit costs!B8</t>
        </is>
      </c>
      <c r="B4874" s="4" t="inlineStr">
        <is>
          <t>Unit costs</t>
        </is>
      </c>
      <c r="C4874" s="4" t="inlineStr">
        <is>
          <t>B8</t>
        </is>
      </c>
      <c r="D4874" s="4" t="inlineStr">
        <is>
          <t>=Inputs!B8</t>
        </is>
      </c>
      <c r="E4874" s="4" t="n">
        <v>93.5</v>
      </c>
      <c r="F4874" s="4" t="inlineStr">
        <is>
          <t>GOC Bed Unit-Costing Model v2 — working original.xlsx</t>
        </is>
      </c>
    </row>
    <row r="4875" ht="40" customHeight="1">
      <c r="A4875" s="4" t="inlineStr">
        <is>
          <t>original:Unit costs!C8</t>
        </is>
      </c>
      <c r="B4875" s="4" t="inlineStr">
        <is>
          <t>Unit costs</t>
        </is>
      </c>
      <c r="C4875" s="4" t="inlineStr">
        <is>
          <t>C8</t>
        </is>
      </c>
      <c r="D4875" s="4" t="inlineStr">
        <is>
          <t>=Inputs!C8</t>
        </is>
      </c>
      <c r="E4875" s="4" t="n">
        <v>93.5</v>
      </c>
      <c r="F4875" s="4" t="inlineStr">
        <is>
          <t>GOC Bed Unit-Costing Model v2 — working original.xlsx</t>
        </is>
      </c>
    </row>
    <row r="4876" ht="40" customHeight="1">
      <c r="A4876" s="4" t="inlineStr">
        <is>
          <t>original:Unit costs!D8</t>
        </is>
      </c>
      <c r="B4876" s="4" t="inlineStr">
        <is>
          <t>Unit costs</t>
        </is>
      </c>
      <c r="C4876" s="4" t="inlineStr">
        <is>
          <t>D8</t>
        </is>
      </c>
      <c r="D4876" s="4" t="inlineStr">
        <is>
          <t>=Inputs!D8</t>
        </is>
      </c>
      <c r="E4876" s="4" t="n">
        <v>93.5</v>
      </c>
      <c r="F4876" s="4" t="inlineStr">
        <is>
          <t>GOC Bed Unit-Costing Model v2 — working original.xlsx</t>
        </is>
      </c>
    </row>
    <row r="4877" ht="40" customHeight="1">
      <c r="A4877" s="4" t="inlineStr">
        <is>
          <t>original:Unit costs!E8</t>
        </is>
      </c>
      <c r="B4877" s="4" t="inlineStr">
        <is>
          <t>Unit costs</t>
        </is>
      </c>
      <c r="C4877" s="4" t="inlineStr">
        <is>
          <t>E8</t>
        </is>
      </c>
      <c r="D4877" s="4" t="inlineStr">
        <is>
          <t>=Inputs!D8</t>
        </is>
      </c>
      <c r="E4877" s="4" t="n">
        <v>93.5</v>
      </c>
      <c r="F4877" s="4" t="inlineStr">
        <is>
          <t>GOC Bed Unit-Costing Model v2 — working original.xlsx</t>
        </is>
      </c>
    </row>
    <row r="4878" ht="40" customHeight="1">
      <c r="A4878" s="4" t="inlineStr">
        <is>
          <t>original:Unit costs!F8</t>
        </is>
      </c>
      <c r="B4878" s="4" t="inlineStr">
        <is>
          <t>Unit costs</t>
        </is>
      </c>
      <c r="C4878" s="4" t="inlineStr">
        <is>
          <t>F8</t>
        </is>
      </c>
      <c r="D4878" s="4" t="inlineStr">
        <is>
          <t>Source workbook Inputs!B8:D8, Centre Canvas</t>
        </is>
      </c>
      <c r="E4878" s="4" t="inlineStr">
        <is>
          <t>Source workbook Inputs!B8:D8, Centre Canvas</t>
        </is>
      </c>
      <c r="F4878" s="4" t="inlineStr">
        <is>
          <t>GOC Bed Unit-Costing Model v2 — working original.xlsx</t>
        </is>
      </c>
    </row>
    <row r="4879" ht="40" customHeight="1">
      <c r="A4879" s="4" t="inlineStr">
        <is>
          <t>original:Unit costs!A9</t>
        </is>
      </c>
      <c r="B4879" s="4" t="inlineStr">
        <is>
          <t>Unit costs</t>
        </is>
      </c>
      <c r="C4879" s="4" t="inlineStr">
        <is>
          <t>A9</t>
        </is>
      </c>
      <c r="D4879" s="4" t="inlineStr">
        <is>
          <t>Hardware</t>
        </is>
      </c>
      <c r="E4879" s="4" t="inlineStr">
        <is>
          <t>Hardware</t>
        </is>
      </c>
      <c r="F4879" s="4" t="inlineStr">
        <is>
          <t>GOC Bed Unit-Costing Model v2 — working original.xlsx</t>
        </is>
      </c>
    </row>
    <row r="4880" ht="40" customHeight="1">
      <c r="A4880" s="4" t="inlineStr">
        <is>
          <t>original:Unit costs!B9</t>
        </is>
      </c>
      <c r="B4880" s="4" t="inlineStr">
        <is>
          <t>Unit costs</t>
        </is>
      </c>
      <c r="C4880" s="4" t="inlineStr">
        <is>
          <t>B9</t>
        </is>
      </c>
      <c r="D4880" s="4" t="inlineStr">
        <is>
          <t>=Inputs!B9</t>
        </is>
      </c>
      <c r="E4880" s="4" t="n">
        <v>5.24</v>
      </c>
      <c r="F4880" s="4" t="inlineStr">
        <is>
          <t>GOC Bed Unit-Costing Model v2 — working original.xlsx</t>
        </is>
      </c>
    </row>
    <row r="4881" ht="40" customHeight="1">
      <c r="A4881" s="4" t="inlineStr">
        <is>
          <t>original:Unit costs!C9</t>
        </is>
      </c>
      <c r="B4881" s="4" t="inlineStr">
        <is>
          <t>Unit costs</t>
        </is>
      </c>
      <c r="C4881" s="4" t="inlineStr">
        <is>
          <t>C9</t>
        </is>
      </c>
      <c r="D4881" s="4" t="inlineStr">
        <is>
          <t>=Inputs!C9</t>
        </is>
      </c>
      <c r="E4881" s="4" t="n">
        <v>5.24</v>
      </c>
      <c r="F4881" s="4" t="inlineStr">
        <is>
          <t>GOC Bed Unit-Costing Model v2 — working original.xlsx</t>
        </is>
      </c>
    </row>
    <row r="4882" ht="40" customHeight="1">
      <c r="A4882" s="4" t="inlineStr">
        <is>
          <t>original:Unit costs!D9</t>
        </is>
      </c>
      <c r="B4882" s="4" t="inlineStr">
        <is>
          <t>Unit costs</t>
        </is>
      </c>
      <c r="C4882" s="4" t="inlineStr">
        <is>
          <t>D9</t>
        </is>
      </c>
      <c r="D4882" s="4" t="inlineStr">
        <is>
          <t>=Inputs!D9</t>
        </is>
      </c>
      <c r="E4882" s="4" t="n">
        <v>5.24</v>
      </c>
      <c r="F4882" s="4" t="inlineStr">
        <is>
          <t>GOC Bed Unit-Costing Model v2 — working original.xlsx</t>
        </is>
      </c>
    </row>
    <row r="4883" ht="40" customHeight="1">
      <c r="A4883" s="4" t="inlineStr">
        <is>
          <t>original:Unit costs!E9</t>
        </is>
      </c>
      <c r="B4883" s="4" t="inlineStr">
        <is>
          <t>Unit costs</t>
        </is>
      </c>
      <c r="C4883" s="4" t="inlineStr">
        <is>
          <t>E9</t>
        </is>
      </c>
      <c r="D4883" s="4" t="inlineStr">
        <is>
          <t>=Inputs!D9</t>
        </is>
      </c>
      <c r="E4883" s="4" t="n">
        <v>5.24</v>
      </c>
      <c r="F4883" s="4" t="inlineStr">
        <is>
          <t>GOC Bed Unit-Costing Model v2 — working original.xlsx</t>
        </is>
      </c>
    </row>
    <row r="4884" ht="40" customHeight="1">
      <c r="A4884" s="4" t="inlineStr">
        <is>
          <t>original:Unit costs!F9</t>
        </is>
      </c>
      <c r="B4884" s="4" t="inlineStr">
        <is>
          <t>Unit costs</t>
        </is>
      </c>
      <c r="C4884" s="4" t="inlineStr">
        <is>
          <t>F9</t>
        </is>
      </c>
      <c r="D4884" s="4" t="inlineStr">
        <is>
          <t>Caps and screws plus inferred $1 bolts</t>
        </is>
      </c>
      <c r="E4884" s="4" t="inlineStr">
        <is>
          <t>Caps and screws plus inferred $1 bolts</t>
        </is>
      </c>
      <c r="F4884" s="4" t="inlineStr">
        <is>
          <t>GOC Bed Unit-Costing Model v2 — working original.xlsx</t>
        </is>
      </c>
    </row>
    <row r="4885" ht="40" customHeight="1">
      <c r="A4885" s="4" t="inlineStr">
        <is>
          <t>original:Unit costs!A10</t>
        </is>
      </c>
      <c r="B4885" s="4" t="inlineStr">
        <is>
          <t>Unit costs</t>
        </is>
      </c>
      <c r="C4885" s="4" t="inlineStr">
        <is>
          <t>A10</t>
        </is>
      </c>
      <c r="D4885" s="4" t="inlineStr">
        <is>
          <t>Power / diesel</t>
        </is>
      </c>
      <c r="E4885" s="4" t="inlineStr">
        <is>
          <t>Power / diesel</t>
        </is>
      </c>
      <c r="F4885" s="4" t="inlineStr">
        <is>
          <t>GOC Bed Unit-Costing Model v2 — working original.xlsx</t>
        </is>
      </c>
    </row>
    <row r="4886" ht="40" customHeight="1">
      <c r="A4886" s="4" t="inlineStr">
        <is>
          <t>original:Unit costs!B10</t>
        </is>
      </c>
      <c r="B4886" s="4" t="inlineStr">
        <is>
          <t>Unit costs</t>
        </is>
      </c>
      <c r="C4886" s="4" t="inlineStr">
        <is>
          <t>B10</t>
        </is>
      </c>
      <c r="D4886" s="4" t="inlineStr">
        <is>
          <t>=Inputs!B10</t>
        </is>
      </c>
      <c r="E4886" s="4" t="n">
        <v>0</v>
      </c>
      <c r="F4886" s="4" t="inlineStr">
        <is>
          <t>GOC Bed Unit-Costing Model v2 — working original.xlsx</t>
        </is>
      </c>
    </row>
    <row r="4887" ht="40" customHeight="1">
      <c r="A4887" s="4" t="inlineStr">
        <is>
          <t>original:Unit costs!C10</t>
        </is>
      </c>
      <c r="B4887" s="4" t="inlineStr">
        <is>
          <t>Unit costs</t>
        </is>
      </c>
      <c r="C4887" s="4" t="inlineStr">
        <is>
          <t>C10</t>
        </is>
      </c>
      <c r="D4887" s="4" t="inlineStr">
        <is>
          <t>=Inputs!C10</t>
        </is>
      </c>
      <c r="E4887" s="4" t="n">
        <v>15</v>
      </c>
      <c r="F4887" s="4" t="inlineStr">
        <is>
          <t>GOC Bed Unit-Costing Model v2 — working original.xlsx</t>
        </is>
      </c>
    </row>
    <row r="4888" ht="40" customHeight="1">
      <c r="A4888" s="4" t="inlineStr">
        <is>
          <t>original:Unit costs!D10</t>
        </is>
      </c>
      <c r="B4888" s="4" t="inlineStr">
        <is>
          <t>Unit costs</t>
        </is>
      </c>
      <c r="C4888" s="4" t="inlineStr">
        <is>
          <t>D10</t>
        </is>
      </c>
      <c r="D4888" s="4" t="inlineStr">
        <is>
          <t>=Inputs!D10</t>
        </is>
      </c>
      <c r="E4888" s="4" t="n">
        <v>15</v>
      </c>
      <c r="F4888" s="4" t="inlineStr">
        <is>
          <t>GOC Bed Unit-Costing Model v2 — working original.xlsx</t>
        </is>
      </c>
    </row>
    <row r="4889" ht="40" customHeight="1">
      <c r="A4889" s="4" t="inlineStr">
        <is>
          <t>original:Unit costs!E10</t>
        </is>
      </c>
      <c r="B4889" s="4" t="inlineStr">
        <is>
          <t>Unit costs</t>
        </is>
      </c>
      <c r="C4889" s="4" t="inlineStr">
        <is>
          <t>E10</t>
        </is>
      </c>
      <c r="D4889" s="4" t="inlineStr">
        <is>
          <t>=Inputs!D10</t>
        </is>
      </c>
      <c r="E4889" s="4" t="n">
        <v>15</v>
      </c>
      <c r="F4889" s="4" t="inlineStr">
        <is>
          <t>GOC Bed Unit-Costing Model v2 — working original.xlsx</t>
        </is>
      </c>
    </row>
    <row r="4890" ht="45" customHeight="1">
      <c r="A4890" s="4" t="inlineStr">
        <is>
          <t>original:Unit costs!F10</t>
        </is>
      </c>
      <c r="B4890" s="4" t="inlineStr">
        <is>
          <t>Unit costs</t>
        </is>
      </c>
      <c r="C4890" s="4" t="inlineStr">
        <is>
          <t>F10</t>
        </is>
      </c>
      <c r="D4890" s="4" t="inlineStr">
        <is>
          <t>Source workbook estimate; replace with site measurements</t>
        </is>
      </c>
      <c r="E4890" s="4" t="inlineStr">
        <is>
          <t>Source workbook estimate; replace with site measurements</t>
        </is>
      </c>
      <c r="F4890" s="4" t="inlineStr">
        <is>
          <t>GOC Bed Unit-Costing Model v2 — working original.xlsx</t>
        </is>
      </c>
    </row>
    <row r="4891" ht="40" customHeight="1">
      <c r="A4891" s="4" t="inlineStr">
        <is>
          <t>original:Unit costs!A11</t>
        </is>
      </c>
      <c r="B4891" s="4" t="inlineStr">
        <is>
          <t>Unit costs</t>
        </is>
      </c>
      <c r="C4891" s="4" t="inlineStr">
        <is>
          <t>A11</t>
        </is>
      </c>
      <c r="D4891" s="4" t="inlineStr">
        <is>
          <t>Direct paid labour</t>
        </is>
      </c>
      <c r="E4891" s="4" t="inlineStr">
        <is>
          <t>Direct paid labour</t>
        </is>
      </c>
      <c r="F4891" s="4" t="inlineStr">
        <is>
          <t>GOC Bed Unit-Costing Model v2 — working original.xlsx</t>
        </is>
      </c>
    </row>
    <row r="4892" ht="40" customHeight="1">
      <c r="A4892" s="4" t="inlineStr">
        <is>
          <t>original:Unit costs!B11</t>
        </is>
      </c>
      <c r="B4892" s="4" t="inlineStr">
        <is>
          <t>Unit costs</t>
        </is>
      </c>
      <c r="C4892" s="4" t="inlineStr">
        <is>
          <t>B11</t>
        </is>
      </c>
      <c r="D4892" s="4" t="inlineStr">
        <is>
          <t>=Inputs!B11</t>
        </is>
      </c>
      <c r="E4892" s="4" t="n">
        <v>40</v>
      </c>
      <c r="F4892" s="4" t="inlineStr">
        <is>
          <t>GOC Bed Unit-Costing Model v2 — working original.xlsx</t>
        </is>
      </c>
    </row>
    <row r="4893" ht="40" customHeight="1">
      <c r="A4893" s="4" t="inlineStr">
        <is>
          <t>original:Unit costs!C11</t>
        </is>
      </c>
      <c r="B4893" s="4" t="inlineStr">
        <is>
          <t>Unit costs</t>
        </is>
      </c>
      <c r="C4893" s="4" t="inlineStr">
        <is>
          <t>C11</t>
        </is>
      </c>
      <c r="D4893" s="4" t="inlineStr">
        <is>
          <t>=IF(Sites!H6&gt;0,$B$18/Sites!H6,"")</t>
        </is>
      </c>
      <c r="E4893" s="4" t="n">
        <v>100</v>
      </c>
      <c r="F4893" s="4" t="inlineStr">
        <is>
          <t>GOC Bed Unit-Costing Model v2 — working original.xlsx</t>
        </is>
      </c>
    </row>
    <row r="4894" ht="40" customHeight="1">
      <c r="A4894" s="4" t="inlineStr">
        <is>
          <t>original:Unit costs!D11</t>
        </is>
      </c>
      <c r="B4894" s="4" t="inlineStr">
        <is>
          <t>Unit costs</t>
        </is>
      </c>
      <c r="C4894" s="4" t="inlineStr">
        <is>
          <t>D11</t>
        </is>
      </c>
      <c r="D4894" s="4" t="inlineStr">
        <is>
          <t>=Inputs!D11</t>
        </is>
      </c>
      <c r="E4894" s="4" t="n">
        <v>130</v>
      </c>
      <c r="F4894" s="4" t="inlineStr">
        <is>
          <t>GOC Bed Unit-Costing Model v2 — working original.xlsx</t>
        </is>
      </c>
    </row>
    <row r="4895" ht="40" customHeight="1">
      <c r="A4895" s="4" t="inlineStr">
        <is>
          <t>original:Unit costs!E11</t>
        </is>
      </c>
      <c r="B4895" s="4" t="inlineStr">
        <is>
          <t>Unit costs</t>
        </is>
      </c>
      <c r="C4895" s="4" t="inlineStr">
        <is>
          <t>E11</t>
        </is>
      </c>
      <c r="D4895" s="4" t="inlineStr">
        <is>
          <t>=Inputs!D11</t>
        </is>
      </c>
      <c r="E4895" s="4" t="n">
        <v>130</v>
      </c>
      <c r="F4895" s="4" t="inlineStr">
        <is>
          <t>GOC Bed Unit-Costing Model v2 — working original.xlsx</t>
        </is>
      </c>
    </row>
    <row r="4896" ht="60" customHeight="1">
      <c r="A4896" s="4" t="inlineStr">
        <is>
          <t>original:Unit costs!F11</t>
        </is>
      </c>
      <c r="B4896" s="4" t="inlineStr">
        <is>
          <t>Unit costs</t>
        </is>
      </c>
      <c r="C4896" s="4" t="inlineStr">
        <is>
          <t>F11</t>
        </is>
      </c>
      <c r="D4896" s="4" t="inlineStr">
        <is>
          <t>Witta $400/day divided by its selected productive-day rate; community fair-wage estimate</t>
        </is>
      </c>
      <c r="E4896" s="4" t="inlineStr">
        <is>
          <t>Witta $400/day divided by its selected productive-day rate; community fair-wage estimate</t>
        </is>
      </c>
      <c r="F4896" s="4" t="inlineStr">
        <is>
          <t>GOC Bed Unit-Costing Model v2 — working original.xlsx</t>
        </is>
      </c>
    </row>
    <row r="4897" ht="40" customHeight="1">
      <c r="A4897" s="4" t="inlineStr">
        <is>
          <t>original:Unit costs!A12</t>
        </is>
      </c>
      <c r="B4897" s="4" t="inlineStr">
        <is>
          <t>Unit costs</t>
        </is>
      </c>
      <c r="C4897" s="4" t="inlineStr">
        <is>
          <t>A12</t>
        </is>
      </c>
      <c r="D4897" s="4" t="inlineStr">
        <is>
          <t>Delivery freight</t>
        </is>
      </c>
      <c r="E4897" s="4" t="inlineStr">
        <is>
          <t>Delivery freight</t>
        </is>
      </c>
      <c r="F4897" s="4" t="inlineStr">
        <is>
          <t>GOC Bed Unit-Costing Model v2 — working original.xlsx</t>
        </is>
      </c>
    </row>
    <row r="4898" ht="40" customHeight="1">
      <c r="A4898" s="4" t="inlineStr">
        <is>
          <t>original:Unit costs!B12</t>
        </is>
      </c>
      <c r="B4898" s="4" t="inlineStr">
        <is>
          <t>Unit costs</t>
        </is>
      </c>
      <c r="C4898" s="4" t="inlineStr">
        <is>
          <t>B12</t>
        </is>
      </c>
      <c r="D4898" s="4" t="inlineStr">
        <is>
          <t>=Inputs!B12</t>
        </is>
      </c>
      <c r="E4898" s="4" t="n">
        <v>175</v>
      </c>
      <c r="F4898" s="4" t="inlineStr">
        <is>
          <t>GOC Bed Unit-Costing Model v2 — working original.xlsx</t>
        </is>
      </c>
    </row>
    <row r="4899" ht="40" customHeight="1">
      <c r="A4899" s="4" t="inlineStr">
        <is>
          <t>original:Unit costs!C12</t>
        </is>
      </c>
      <c r="B4899" s="4" t="inlineStr">
        <is>
          <t>Unit costs</t>
        </is>
      </c>
      <c r="C4899" s="4" t="inlineStr">
        <is>
          <t>C12</t>
        </is>
      </c>
      <c r="D4899" s="4" t="inlineStr">
        <is>
          <t>=Inputs!C12</t>
        </is>
      </c>
      <c r="E4899" s="4" t="n">
        <v>150</v>
      </c>
      <c r="F4899" s="4" t="inlineStr">
        <is>
          <t>GOC Bed Unit-Costing Model v2 — working original.xlsx</t>
        </is>
      </c>
    </row>
    <row r="4900" ht="40" customHeight="1">
      <c r="A4900" s="4" t="inlineStr">
        <is>
          <t>original:Unit costs!D12</t>
        </is>
      </c>
      <c r="B4900" s="4" t="inlineStr">
        <is>
          <t>Unit costs</t>
        </is>
      </c>
      <c r="C4900" s="4" t="inlineStr">
        <is>
          <t>D12</t>
        </is>
      </c>
      <c r="D4900" s="4" t="inlineStr">
        <is>
          <t>=Inputs!D12</t>
        </is>
      </c>
      <c r="E4900" s="4" t="n">
        <v>150</v>
      </c>
      <c r="F4900" s="4" t="inlineStr">
        <is>
          <t>GOC Bed Unit-Costing Model v2 — working original.xlsx</t>
        </is>
      </c>
    </row>
    <row r="4901" ht="40" customHeight="1">
      <c r="A4901" s="4" t="inlineStr">
        <is>
          <t>original:Unit costs!E12</t>
        </is>
      </c>
      <c r="B4901" s="4" t="inlineStr">
        <is>
          <t>Unit costs</t>
        </is>
      </c>
      <c r="C4901" s="4" t="inlineStr">
        <is>
          <t>E12</t>
        </is>
      </c>
      <c r="D4901" s="4" t="inlineStr">
        <is>
          <t>=Inputs!D12</t>
        </is>
      </c>
      <c r="E4901" s="4" t="n">
        <v>150</v>
      </c>
      <c r="F4901" s="4" t="inlineStr">
        <is>
          <t>GOC Bed Unit-Costing Model v2 — working original.xlsx</t>
        </is>
      </c>
    </row>
    <row r="4902" ht="45" customHeight="1">
      <c r="A4902" s="4" t="inlineStr">
        <is>
          <t>original:Unit costs!F12</t>
        </is>
      </c>
      <c r="B4902" s="4" t="inlineStr">
        <is>
          <t>Unit costs</t>
        </is>
      </c>
      <c r="C4902" s="4" t="inlineStr">
        <is>
          <t>F12</t>
        </is>
      </c>
      <c r="D4902" s="4" t="inlineStr">
        <is>
          <t>Route allowance from source workbook; replace for actual destination</t>
        </is>
      </c>
      <c r="E4902" s="4" t="inlineStr">
        <is>
          <t>Route allowance from source workbook; replace for actual destination</t>
        </is>
      </c>
      <c r="F4902" s="4" t="inlineStr">
        <is>
          <t>GOC Bed Unit-Costing Model v2 — working original.xlsx</t>
        </is>
      </c>
    </row>
    <row r="4903" ht="40" customHeight="1">
      <c r="A4903" s="4" t="inlineStr">
        <is>
          <t>original:Unit costs!A13</t>
        </is>
      </c>
      <c r="B4903" s="4" t="inlineStr">
        <is>
          <t>Unit costs</t>
        </is>
      </c>
      <c r="C4903" s="4" t="inlineStr">
        <is>
          <t>A13</t>
        </is>
      </c>
      <c r="D4903" s="4" t="inlineStr">
        <is>
          <t>Manufacturing cost</t>
        </is>
      </c>
      <c r="E4903" s="4" t="inlineStr">
        <is>
          <t>Manufacturing cost</t>
        </is>
      </c>
      <c r="F4903" s="4" t="inlineStr">
        <is>
          <t>GOC Bed Unit-Costing Model v2 — working original.xlsx</t>
        </is>
      </c>
    </row>
    <row r="4904" ht="40" customHeight="1">
      <c r="A4904" s="4" t="inlineStr">
        <is>
          <t>original:Unit costs!B13</t>
        </is>
      </c>
      <c r="B4904" s="4" t="inlineStr">
        <is>
          <t>Unit costs</t>
        </is>
      </c>
      <c r="C4904" s="4" t="inlineStr">
        <is>
          <t>B13</t>
        </is>
      </c>
      <c r="D4904" s="4" t="inlineStr">
        <is>
          <t>=IF(COUNT(B6:B11)=6,SUM(B6:B11),"")</t>
        </is>
      </c>
      <c r="E4904" s="4" t="n">
        <v>509.79</v>
      </c>
      <c r="F4904" s="4" t="inlineStr">
        <is>
          <t>GOC Bed Unit-Costing Model v2 — working original.xlsx</t>
        </is>
      </c>
    </row>
    <row r="4905" ht="40" customHeight="1">
      <c r="A4905" s="4" t="inlineStr">
        <is>
          <t>original:Unit costs!C13</t>
        </is>
      </c>
      <c r="B4905" s="4" t="inlineStr">
        <is>
          <t>Unit costs</t>
        </is>
      </c>
      <c r="C4905" s="4" t="inlineStr">
        <is>
          <t>C13</t>
        </is>
      </c>
      <c r="D4905" s="4" t="inlineStr">
        <is>
          <t>=IF(COUNT(C6:C11)=6,SUM(C6:C11),"")</t>
        </is>
      </c>
      <c r="E4905" s="4" t="n">
        <v>295.74</v>
      </c>
      <c r="F4905" s="4" t="inlineStr">
        <is>
          <t>GOC Bed Unit-Costing Model v2 — working original.xlsx</t>
        </is>
      </c>
    </row>
    <row r="4906" ht="40" customHeight="1">
      <c r="A4906" s="4" t="inlineStr">
        <is>
          <t>original:Unit costs!D13</t>
        </is>
      </c>
      <c r="B4906" s="4" t="inlineStr">
        <is>
          <t>Unit costs</t>
        </is>
      </c>
      <c r="C4906" s="4" t="inlineStr">
        <is>
          <t>D13</t>
        </is>
      </c>
      <c r="D4906" s="4" t="inlineStr">
        <is>
          <t>=IF(COUNT(D6:D11)=6,SUM(D6:D11),"")</t>
        </is>
      </c>
      <c r="E4906" s="4" t="n">
        <v>270.74</v>
      </c>
      <c r="F4906" s="4" t="inlineStr">
        <is>
          <t>GOC Bed Unit-Costing Model v2 — working original.xlsx</t>
        </is>
      </c>
    </row>
    <row r="4907" ht="40" customHeight="1">
      <c r="A4907" s="4" t="inlineStr">
        <is>
          <t>original:Unit costs!E13</t>
        </is>
      </c>
      <c r="B4907" s="4" t="inlineStr">
        <is>
          <t>Unit costs</t>
        </is>
      </c>
      <c r="C4907" s="4" t="inlineStr">
        <is>
          <t>E13</t>
        </is>
      </c>
      <c r="D4907" s="4" t="inlineStr">
        <is>
          <t>=IF(COUNT(E6:E11)=6,SUM(E6:E11),"")</t>
        </is>
      </c>
      <c r="E4907" s="4" t="n">
        <v>270.74</v>
      </c>
      <c r="F4907" s="4" t="inlineStr">
        <is>
          <t>GOC Bed Unit-Costing Model v2 — working original.xlsx</t>
        </is>
      </c>
    </row>
    <row r="4908" ht="40" customHeight="1">
      <c r="A4908" s="4" t="inlineStr">
        <is>
          <t>original:Unit costs!F13</t>
        </is>
      </c>
      <c r="B4908" s="4" t="inlineStr">
        <is>
          <t>Unit costs</t>
        </is>
      </c>
      <c r="C4908" s="4" t="inlineStr">
        <is>
          <t>F13</t>
        </is>
      </c>
      <c r="D4908" s="4" t="inlineStr">
        <is>
          <t>Materials, power and paid production labour</t>
        </is>
      </c>
      <c r="E4908" s="4" t="inlineStr">
        <is>
          <t>Materials, power and paid production labour</t>
        </is>
      </c>
      <c r="F4908" s="4" t="inlineStr">
        <is>
          <t>GOC Bed Unit-Costing Model v2 — working original.xlsx</t>
        </is>
      </c>
    </row>
    <row r="4909" ht="40" customHeight="1">
      <c r="A4909" s="4" t="inlineStr">
        <is>
          <t>original:Unit costs!A14</t>
        </is>
      </c>
      <c r="B4909" s="4" t="inlineStr">
        <is>
          <t>Unit costs</t>
        </is>
      </c>
      <c r="C4909" s="4" t="inlineStr">
        <is>
          <t>A14</t>
        </is>
      </c>
      <c r="D4909" s="4" t="inlineStr">
        <is>
          <t>Delivered marginal cost</t>
        </is>
      </c>
      <c r="E4909" s="4" t="inlineStr">
        <is>
          <t>Delivered marginal cost</t>
        </is>
      </c>
      <c r="F4909" s="4" t="inlineStr">
        <is>
          <t>GOC Bed Unit-Costing Model v2 — working original.xlsx</t>
        </is>
      </c>
    </row>
    <row r="4910" ht="40" customHeight="1">
      <c r="A4910" s="4" t="inlineStr">
        <is>
          <t>original:Unit costs!B14</t>
        </is>
      </c>
      <c r="B4910" s="4" t="inlineStr">
        <is>
          <t>Unit costs</t>
        </is>
      </c>
      <c r="C4910" s="4" t="inlineStr">
        <is>
          <t>B14</t>
        </is>
      </c>
      <c r="D4910" s="4" t="inlineStr">
        <is>
          <t>=IF(COUNT(B6:B12)=7,SUM(B6:B12),"")</t>
        </is>
      </c>
      <c r="E4910" s="4" t="n">
        <v>684.79</v>
      </c>
      <c r="F4910" s="4" t="inlineStr">
        <is>
          <t>GOC Bed Unit-Costing Model v2 — working original.xlsx</t>
        </is>
      </c>
    </row>
    <row r="4911" ht="40" customHeight="1">
      <c r="A4911" s="4" t="inlineStr">
        <is>
          <t>original:Unit costs!C14</t>
        </is>
      </c>
      <c r="B4911" s="4" t="inlineStr">
        <is>
          <t>Unit costs</t>
        </is>
      </c>
      <c r="C4911" s="4" t="inlineStr">
        <is>
          <t>C14</t>
        </is>
      </c>
      <c r="D4911" s="4" t="inlineStr">
        <is>
          <t>=IF(COUNT(C6:C12)=7,SUM(C6:C12),"")</t>
        </is>
      </c>
      <c r="E4911" s="4" t="n">
        <v>445.74</v>
      </c>
      <c r="F4911" s="4" t="inlineStr">
        <is>
          <t>GOC Bed Unit-Costing Model v2 — working original.xlsx</t>
        </is>
      </c>
    </row>
    <row r="4912" ht="40" customHeight="1">
      <c r="A4912" s="4" t="inlineStr">
        <is>
          <t>original:Unit costs!D14</t>
        </is>
      </c>
      <c r="B4912" s="4" t="inlineStr">
        <is>
          <t>Unit costs</t>
        </is>
      </c>
      <c r="C4912" s="4" t="inlineStr">
        <is>
          <t>D14</t>
        </is>
      </c>
      <c r="D4912" s="4" t="inlineStr">
        <is>
          <t>=IF(COUNT(D6:D12)=7,SUM(D6:D12),"")</t>
        </is>
      </c>
      <c r="E4912" s="4" t="n">
        <v>420.74</v>
      </c>
      <c r="F4912" s="4" t="inlineStr">
        <is>
          <t>GOC Bed Unit-Costing Model v2 — working original.xlsx</t>
        </is>
      </c>
    </row>
    <row r="4913" ht="40" customHeight="1">
      <c r="A4913" s="4" t="inlineStr">
        <is>
          <t>original:Unit costs!E14</t>
        </is>
      </c>
      <c r="B4913" s="4" t="inlineStr">
        <is>
          <t>Unit costs</t>
        </is>
      </c>
      <c r="C4913" s="4" t="inlineStr">
        <is>
          <t>E14</t>
        </is>
      </c>
      <c r="D4913" s="4" t="inlineStr">
        <is>
          <t>=IF(COUNT(E6:E12)=7,SUM(E6:E12),"")</t>
        </is>
      </c>
      <c r="E4913" s="4" t="n">
        <v>420.74</v>
      </c>
      <c r="F4913" s="4" t="inlineStr">
        <is>
          <t>GOC Bed Unit-Costing Model v2 — working original.xlsx</t>
        </is>
      </c>
    </row>
    <row r="4914" ht="40" customHeight="1">
      <c r="A4914" s="4" t="inlineStr">
        <is>
          <t>original:Unit costs!F14</t>
        </is>
      </c>
      <c r="B4914" s="4" t="inlineStr">
        <is>
          <t>Unit costs</t>
        </is>
      </c>
      <c r="C4914" s="4" t="inlineStr">
        <is>
          <t>F14</t>
        </is>
      </c>
      <c r="D4914" s="4" t="inlineStr">
        <is>
          <t>Manufacturing plus the selected route freight</t>
        </is>
      </c>
      <c r="E4914" s="4" t="inlineStr">
        <is>
          <t>Manufacturing plus the selected route freight</t>
        </is>
      </c>
      <c r="F4914" s="4" t="inlineStr">
        <is>
          <t>GOC Bed Unit-Costing Model v2 — working original.xlsx</t>
        </is>
      </c>
    </row>
    <row r="4915" ht="40" customHeight="1">
      <c r="A4915" s="4" t="inlineStr">
        <is>
          <t>original:Unit costs!A15</t>
        </is>
      </c>
      <c r="B4915" s="4" t="inlineStr">
        <is>
          <t>Unit costs</t>
        </is>
      </c>
      <c r="C4915" s="4" t="inlineStr">
        <is>
          <t>A15</t>
        </is>
      </c>
      <c r="D4915" s="4" t="inlineStr">
        <is>
          <t>Source comparison</t>
        </is>
      </c>
      <c r="E4915" s="4" t="inlineStr">
        <is>
          <t>Source comparison</t>
        </is>
      </c>
      <c r="F4915" s="4" t="inlineStr">
        <is>
          <t>GOC Bed Unit-Costing Model v2 — working original.xlsx</t>
        </is>
      </c>
    </row>
    <row r="4916" ht="40" customHeight="1">
      <c r="A4916" s="4" t="inlineStr">
        <is>
          <t>original:Unit costs!B15</t>
        </is>
      </c>
      <c r="B4916" s="4" t="inlineStr">
        <is>
          <t>Unit costs</t>
        </is>
      </c>
      <c r="C4916" s="4" t="inlineStr">
        <is>
          <t>B15</t>
        </is>
      </c>
      <c r="D4916" s="4" t="n">
        <v>684.79</v>
      </c>
      <c r="E4916" s="4" t="n">
        <v>684.79</v>
      </c>
      <c r="F4916" s="4" t="inlineStr">
        <is>
          <t>GOC Bed Unit-Costing Model v2 — working original.xlsx</t>
        </is>
      </c>
    </row>
    <row r="4917" ht="40" customHeight="1">
      <c r="A4917" s="4" t="inlineStr">
        <is>
          <t>original:Unit costs!C15</t>
        </is>
      </c>
      <c r="B4917" s="4" t="inlineStr">
        <is>
          <t>Unit costs</t>
        </is>
      </c>
      <c r="C4917" s="4" t="inlineStr">
        <is>
          <t>C15</t>
        </is>
      </c>
      <c r="D4917" s="4" t="n">
        <v>425.74</v>
      </c>
      <c r="E4917" s="4" t="n">
        <v>425.74</v>
      </c>
      <c r="F4917" s="4" t="inlineStr">
        <is>
          <t>GOC Bed Unit-Costing Model v2 — working original.xlsx</t>
        </is>
      </c>
    </row>
    <row r="4918" ht="40" customHeight="1">
      <c r="A4918" s="4" t="inlineStr">
        <is>
          <t>original:Unit costs!D15</t>
        </is>
      </c>
      <c r="B4918" s="4" t="inlineStr">
        <is>
          <t>Unit costs</t>
        </is>
      </c>
      <c r="C4918" s="4" t="inlineStr">
        <is>
          <t>D15</t>
        </is>
      </c>
      <c r="D4918" s="4" t="n">
        <v>420.74</v>
      </c>
      <c r="E4918" s="4" t="n">
        <v>420.74</v>
      </c>
      <c r="F4918" s="4" t="inlineStr">
        <is>
          <t>GOC Bed Unit-Costing Model v2 — working original.xlsx</t>
        </is>
      </c>
    </row>
    <row r="4919" ht="40" customHeight="1">
      <c r="A4919" s="4" t="inlineStr">
        <is>
          <t>original:Unit costs!E15</t>
        </is>
      </c>
      <c r="B4919" s="4" t="inlineStr">
        <is>
          <t>Unit costs</t>
        </is>
      </c>
      <c r="C4919" s="4" t="inlineStr">
        <is>
          <t>E15</t>
        </is>
      </c>
      <c r="D4919" s="4" t="n">
        <v>420.74</v>
      </c>
      <c r="E4919" s="4" t="n">
        <v>420.74</v>
      </c>
      <c r="F4919" s="4" t="inlineStr">
        <is>
          <t>GOC Bed Unit-Costing Model v2 — working original.xlsx</t>
        </is>
      </c>
    </row>
    <row r="4920" ht="45" customHeight="1">
      <c r="A4920" s="4" t="inlineStr">
        <is>
          <t>original:Unit costs!F15</t>
        </is>
      </c>
      <c r="B4920" s="4" t="inlineStr">
        <is>
          <t>Unit costs</t>
        </is>
      </c>
      <c r="C4920" s="4" t="inlineStr">
        <is>
          <t>F15</t>
        </is>
      </c>
      <c r="D4920" s="4" t="inlineStr">
        <is>
          <t>Source workbook totals used five beds/day to cost Witta labour</t>
        </is>
      </c>
      <c r="E4920" s="4" t="inlineStr">
        <is>
          <t>Source workbook totals used five beds/day to cost Witta labour</t>
        </is>
      </c>
      <c r="F4920" s="4" t="inlineStr">
        <is>
          <t>GOC Bed Unit-Costing Model v2 — working original.xlsx</t>
        </is>
      </c>
    </row>
    <row r="4921" ht="40" customHeight="1">
      <c r="A4921" s="4" t="inlineStr">
        <is>
          <t>original:Unit costs!A18</t>
        </is>
      </c>
      <c r="B4921" s="4" t="inlineStr">
        <is>
          <t>Unit costs</t>
        </is>
      </c>
      <c r="C4921" s="4" t="inlineStr">
        <is>
          <t>A18</t>
        </is>
      </c>
      <c r="D4921" s="4" t="inlineStr">
        <is>
          <t>Witta operator cost / day</t>
        </is>
      </c>
      <c r="E4921" s="4" t="inlineStr">
        <is>
          <t>Witta operator cost / day</t>
        </is>
      </c>
      <c r="F4921" s="4" t="inlineStr">
        <is>
          <t>GOC Bed Unit-Costing Model v2 — working original.xlsx</t>
        </is>
      </c>
    </row>
    <row r="4922" ht="40" customHeight="1">
      <c r="A4922" s="4" t="inlineStr">
        <is>
          <t>original:Unit costs!B18</t>
        </is>
      </c>
      <c r="B4922" s="4" t="inlineStr">
        <is>
          <t>Unit costs</t>
        </is>
      </c>
      <c r="C4922" s="4" t="inlineStr">
        <is>
          <t>B18</t>
        </is>
      </c>
      <c r="D4922" s="4" t="n">
        <v>400</v>
      </c>
      <c r="E4922" s="4" t="n">
        <v>400</v>
      </c>
      <c r="F4922" s="4" t="inlineStr">
        <is>
          <t>GOC Bed Unit-Costing Model v2 — working original.xlsx</t>
        </is>
      </c>
    </row>
    <row r="4923" ht="75" customHeight="1">
      <c r="A4923" s="4" t="inlineStr">
        <is>
          <t>original:Unit costs!A20</t>
        </is>
      </c>
      <c r="B4923" s="4" t="inlineStr">
        <is>
          <t>Unit costs</t>
        </is>
      </c>
      <c r="C4923" s="4" t="inlineStr">
        <is>
          <t>A20</t>
        </is>
      </c>
      <c r="D4923" s="4" t="inlineStr">
        <is>
          <t>At four accepted beds/day, Witta labour is $100 and delivered cost is $445.74. At five, the model returns $425.74.</t>
        </is>
      </c>
      <c r="E4923" s="4" t="inlineStr">
        <is>
          <t>At four accepted beds/day, Witta labour is $100 and delivered cost is $445.74. At five, the model returns $425.74.</t>
        </is>
      </c>
      <c r="F4923" s="4" t="inlineStr">
        <is>
          <t>GOC Bed Unit-Costing Model v2 — working original.xlsx</t>
        </is>
      </c>
    </row>
    <row r="4924" ht="90" customHeight="1">
      <c r="A4924" s="4" t="inlineStr">
        <is>
          <t>original:Unit costs!A22</t>
        </is>
      </c>
      <c r="B4924" s="4" t="inlineStr">
        <is>
          <t>Unit costs</t>
        </is>
      </c>
      <c r="C4924" s="4" t="inlineStr">
        <is>
          <t>A22</t>
        </is>
      </c>
      <c r="D4924" s="4" t="inlineStr">
        <is>
          <t>No fixed salaries are silently added to direct labour. Price supervision, idle-time pay and training separately in Cost plan.</t>
        </is>
      </c>
      <c r="E4924" s="4" t="inlineStr">
        <is>
          <t>No fixed salaries are silently added to direct labour. Price supervision, idle-time pay and training separately in Cost plan.</t>
        </is>
      </c>
      <c r="F4924" s="4" t="inlineStr">
        <is>
          <t>GOC Bed Unit-Costing Model v2 — working original.xlsx</t>
        </is>
      </c>
    </row>
    <row r="4925" ht="90" customHeight="1">
      <c r="A4925" s="4" t="inlineStr">
        <is>
          <t>original:Unit costs!A24</t>
        </is>
      </c>
      <c r="B4925" s="4" t="inlineStr">
        <is>
          <t>Unit costs</t>
        </is>
      </c>
      <c r="C4925" s="4" t="inlineStr">
        <is>
          <t>A24</t>
        </is>
      </c>
      <c r="D4925" s="4" t="inlineStr">
        <is>
          <t>Bed price and all costing inputs use the source workbook ex-GST convention. Confirm contract prices and GST cash before committing spend.</t>
        </is>
      </c>
      <c r="E4925" s="4" t="inlineStr">
        <is>
          <t>Bed price and all costing inputs use the source workbook ex-GST convention. Confirm contract prices and GST cash before committing spend.</t>
        </is>
      </c>
      <c r="F4925" s="4" t="inlineStr">
        <is>
          <t>GOC Bed Unit-Costing Model v2 — working original.xlsx</t>
        </is>
      </c>
    </row>
    <row r="4926" ht="40" customHeight="1">
      <c r="A4926" s="4" t="inlineStr">
        <is>
          <t>original:Community sales!A1</t>
        </is>
      </c>
      <c r="B4926" s="4" t="inlineStr">
        <is>
          <t>Community sales</t>
        </is>
      </c>
      <c r="C4926" s="4" t="inlineStr">
        <is>
          <t>A1</t>
        </is>
      </c>
      <c r="D4926" s="4" t="inlineStr">
        <is>
          <t>Community stock and proceeds</t>
        </is>
      </c>
      <c r="E4926" s="4" t="inlineStr">
        <is>
          <t>Community stock and proceeds</t>
        </is>
      </c>
      <c r="F4926" s="4" t="inlineStr">
        <is>
          <t>GOC Bed Unit-Costing Model v2 — working original.xlsx</t>
        </is>
      </c>
    </row>
    <row r="4927" ht="90" customHeight="1">
      <c r="A4927" s="4" t="inlineStr">
        <is>
          <t>original:Community sales!A3</t>
        </is>
      </c>
      <c r="B4927" s="4" t="inlineStr">
        <is>
          <t>Community sales</t>
        </is>
      </c>
      <c r="C4927" s="4" t="inlineStr">
        <is>
          <t>A3</t>
        </is>
      </c>
      <c r="D4927" s="4" t="inlineStr">
        <is>
          <t>Generic internal illustrations, not community price offers. Stock ownership, resale permission and proceeds control require an agreement.</t>
        </is>
      </c>
      <c r="E4927" s="4" t="inlineStr">
        <is>
          <t>Generic internal illustrations, not community price offers. Stock ownership, resale permission and proceeds control require an agreement.</t>
        </is>
      </c>
      <c r="F4927" s="4" t="inlineStr">
        <is>
          <t>GOC Bed Unit-Costing Model v2 — working original.xlsx</t>
        </is>
      </c>
    </row>
    <row r="4928" ht="40" customHeight="1">
      <c r="A4928" s="4" t="inlineStr">
        <is>
          <t>original:Community sales!A5</t>
        </is>
      </c>
      <c r="B4928" s="4" t="inlineStr">
        <is>
          <t>Community sales</t>
        </is>
      </c>
      <c r="C4928" s="4" t="inlineStr">
        <is>
          <t>A5</t>
        </is>
      </c>
      <c r="D4928" s="4" t="inlineStr">
        <is>
          <t>Model</t>
        </is>
      </c>
      <c r="E4928" s="4" t="inlineStr">
        <is>
          <t>Model</t>
        </is>
      </c>
      <c r="F4928" s="4" t="inlineStr">
        <is>
          <t>GOC Bed Unit-Costing Model v2 — working original.xlsx</t>
        </is>
      </c>
    </row>
    <row r="4929" ht="40" customHeight="1">
      <c r="A4929" s="4" t="inlineStr">
        <is>
          <t>original:Community sales!B5</t>
        </is>
      </c>
      <c r="B4929" s="4" t="inlineStr">
        <is>
          <t>Community sales</t>
        </is>
      </c>
      <c r="C4929" s="4" t="inlineStr">
        <is>
          <t>B5</t>
        </is>
      </c>
      <c r="D4929" s="4" t="inlineStr">
        <is>
          <t>Stock supplied</t>
        </is>
      </c>
      <c r="E4929" s="4" t="inlineStr">
        <is>
          <t>Stock supplied</t>
        </is>
      </c>
      <c r="F4929" s="4" t="inlineStr">
        <is>
          <t>GOC Bed Unit-Costing Model v2 — working original.xlsx</t>
        </is>
      </c>
    </row>
    <row r="4930" ht="40" customHeight="1">
      <c r="A4930" s="4" t="inlineStr">
        <is>
          <t>original:Community sales!C5</t>
        </is>
      </c>
      <c r="B4930" s="4" t="inlineStr">
        <is>
          <t>Community sales</t>
        </is>
      </c>
      <c r="C4930" s="4" t="inlineStr">
        <is>
          <t>C5</t>
        </is>
      </c>
      <c r="D4930" s="4" t="inlineStr">
        <is>
          <t>Units sold</t>
        </is>
      </c>
      <c r="E4930" s="4" t="inlineStr">
        <is>
          <t>Units sold</t>
        </is>
      </c>
      <c r="F4930" s="4" t="inlineStr">
        <is>
          <t>GOC Bed Unit-Costing Model v2 — working original.xlsx</t>
        </is>
      </c>
    </row>
    <row r="4931" ht="40" customHeight="1">
      <c r="A4931" s="4" t="inlineStr">
        <is>
          <t>original:Community sales!D5</t>
        </is>
      </c>
      <c r="B4931" s="4" t="inlineStr">
        <is>
          <t>Community sales</t>
        </is>
      </c>
      <c r="C4931" s="4" t="inlineStr">
        <is>
          <t>D5</t>
        </is>
      </c>
      <c r="D4931" s="4" t="inlineStr">
        <is>
          <t>Units given</t>
        </is>
      </c>
      <c r="E4931" s="4" t="inlineStr">
        <is>
          <t>Units given</t>
        </is>
      </c>
      <c r="F4931" s="4" t="inlineStr">
        <is>
          <t>GOC Bed Unit-Costing Model v2 — working original.xlsx</t>
        </is>
      </c>
    </row>
    <row r="4932" ht="40" customHeight="1">
      <c r="A4932" s="4" t="inlineStr">
        <is>
          <t>original:Community sales!E5</t>
        </is>
      </c>
      <c r="B4932" s="4" t="inlineStr">
        <is>
          <t>Community sales</t>
        </is>
      </c>
      <c r="C4932" s="4" t="inlineStr">
        <is>
          <t>E5</t>
        </is>
      </c>
      <c r="D4932" s="4" t="inlineStr">
        <is>
          <t>Sale price</t>
        </is>
      </c>
      <c r="E4932" s="4" t="inlineStr">
        <is>
          <t>Sale price</t>
        </is>
      </c>
      <c r="F4932" s="4" t="inlineStr">
        <is>
          <t>GOC Bed Unit-Costing Model v2 — working original.xlsx</t>
        </is>
      </c>
    </row>
    <row r="4933" ht="40" customHeight="1">
      <c r="A4933" s="4" t="inlineStr">
        <is>
          <t>original:Community sales!F5</t>
        </is>
      </c>
      <c r="B4933" s="4" t="inlineStr">
        <is>
          <t>Community sales</t>
        </is>
      </c>
      <c r="C4933" s="4" t="inlineStr">
        <is>
          <t>F5</t>
        </is>
      </c>
      <c r="D4933" s="4" t="inlineStr">
        <is>
          <t>Stock cost / unit</t>
        </is>
      </c>
      <c r="E4933" s="4" t="inlineStr">
        <is>
          <t>Stock cost / unit</t>
        </is>
      </c>
      <c r="F4933" s="4" t="inlineStr">
        <is>
          <t>GOC Bed Unit-Costing Model v2 — working original.xlsx</t>
        </is>
      </c>
    </row>
    <row r="4934" ht="40" customHeight="1">
      <c r="A4934" s="4" t="inlineStr">
        <is>
          <t>original:Community sales!G5</t>
        </is>
      </c>
      <c r="B4934" s="4" t="inlineStr">
        <is>
          <t>Community sales</t>
        </is>
      </c>
      <c r="C4934" s="4" t="inlineStr">
        <is>
          <t>G5</t>
        </is>
      </c>
      <c r="D4934" s="4" t="inlineStr">
        <is>
          <t>Local delivery / sale</t>
        </is>
      </c>
      <c r="E4934" s="4" t="inlineStr">
        <is>
          <t>Local delivery / sale</t>
        </is>
      </c>
      <c r="F4934" s="4" t="inlineStr">
        <is>
          <t>GOC Bed Unit-Costing Model v2 — working original.xlsx</t>
        </is>
      </c>
    </row>
    <row r="4935" ht="40" customHeight="1">
      <c r="A4935" s="4" t="inlineStr">
        <is>
          <t>original:Community sales!H5</t>
        </is>
      </c>
      <c r="B4935" s="4" t="inlineStr">
        <is>
          <t>Community sales</t>
        </is>
      </c>
      <c r="C4935" s="4" t="inlineStr">
        <is>
          <t>H5</t>
        </is>
      </c>
      <c r="D4935" s="4" t="inlineStr">
        <is>
          <t>Paid work / sale</t>
        </is>
      </c>
      <c r="E4935" s="4" t="inlineStr">
        <is>
          <t>Paid work / sale</t>
        </is>
      </c>
      <c r="F4935" s="4" t="inlineStr">
        <is>
          <t>GOC Bed Unit-Costing Model v2 — working original.xlsx</t>
        </is>
      </c>
    </row>
    <row r="4936" ht="40" customHeight="1">
      <c r="A4936" s="4" t="inlineStr">
        <is>
          <t>original:Community sales!I5</t>
        </is>
      </c>
      <c r="B4936" s="4" t="inlineStr">
        <is>
          <t>Community sales</t>
        </is>
      </c>
      <c r="C4936" s="4" t="inlineStr">
        <is>
          <t>I5</t>
        </is>
      </c>
      <c r="D4936" s="4" t="inlineStr">
        <is>
          <t>Warranty reserve / sale</t>
        </is>
      </c>
      <c r="E4936" s="4" t="inlineStr">
        <is>
          <t>Warranty reserve / sale</t>
        </is>
      </c>
      <c r="F4936" s="4" t="inlineStr">
        <is>
          <t>GOC Bed Unit-Costing Model v2 — working original.xlsx</t>
        </is>
      </c>
    </row>
    <row r="4937" ht="40" customHeight="1">
      <c r="A4937" s="4" t="inlineStr">
        <is>
          <t>original:Community sales!J5</t>
        </is>
      </c>
      <c r="B4937" s="4" t="inlineStr">
        <is>
          <t>Community sales</t>
        </is>
      </c>
      <c r="C4937" s="4" t="inlineStr">
        <is>
          <t>J5</t>
        </is>
      </c>
      <c r="D4937" s="4" t="inlineStr">
        <is>
          <t>Other cash obligations</t>
        </is>
      </c>
      <c r="E4937" s="4" t="inlineStr">
        <is>
          <t>Other cash obligations</t>
        </is>
      </c>
      <c r="F4937" s="4" t="inlineStr">
        <is>
          <t>GOC Bed Unit-Costing Model v2 — working original.xlsx</t>
        </is>
      </c>
    </row>
    <row r="4938" ht="40" customHeight="1">
      <c r="A4938" s="4" t="inlineStr">
        <is>
          <t>original:Community sales!K5</t>
        </is>
      </c>
      <c r="B4938" s="4" t="inlineStr">
        <is>
          <t>Community sales</t>
        </is>
      </c>
      <c r="C4938" s="4" t="inlineStr">
        <is>
          <t>K5</t>
        </is>
      </c>
      <c r="D4938" s="4" t="inlineStr">
        <is>
          <t>Gross receipts</t>
        </is>
      </c>
      <c r="E4938" s="4" t="inlineStr">
        <is>
          <t>Gross receipts</t>
        </is>
      </c>
      <c r="F4938" s="4" t="inlineStr">
        <is>
          <t>GOC Bed Unit-Costing Model v2 — working original.xlsx</t>
        </is>
      </c>
    </row>
    <row r="4939" ht="40" customHeight="1">
      <c r="A4939" s="4" t="inlineStr">
        <is>
          <t>original:Community sales!L5</t>
        </is>
      </c>
      <c r="B4939" s="4" t="inlineStr">
        <is>
          <t>Community sales</t>
        </is>
      </c>
      <c r="C4939" s="4" t="inlineStr">
        <is>
          <t>L5</t>
        </is>
      </c>
      <c r="D4939" s="4" t="inlineStr">
        <is>
          <t>After variable costs</t>
        </is>
      </c>
      <c r="E4939" s="4" t="inlineStr">
        <is>
          <t>After variable costs</t>
        </is>
      </c>
      <c r="F4939" s="4" t="inlineStr">
        <is>
          <t>GOC Bed Unit-Costing Model v2 — working original.xlsx</t>
        </is>
      </c>
    </row>
    <row r="4940" ht="40" customHeight="1">
      <c r="A4940" s="4" t="inlineStr">
        <is>
          <t>original:Community sales!M5</t>
        </is>
      </c>
      <c r="B4940" s="4" t="inlineStr">
        <is>
          <t>Community sales</t>
        </is>
      </c>
      <c r="C4940" s="4" t="inlineStr">
        <is>
          <t>M5</t>
        </is>
      </c>
      <c r="D4940" s="4" t="inlineStr">
        <is>
          <t>Permission agreed?</t>
        </is>
      </c>
      <c r="E4940" s="4" t="inlineStr">
        <is>
          <t>Permission agreed?</t>
        </is>
      </c>
      <c r="F4940" s="4" t="inlineStr">
        <is>
          <t>GOC Bed Unit-Costing Model v2 — working original.xlsx</t>
        </is>
      </c>
    </row>
    <row r="4941" ht="40" customHeight="1">
      <c r="A4941" s="4" t="inlineStr">
        <is>
          <t>original:Community sales!N5</t>
        </is>
      </c>
      <c r="B4941" s="4" t="inlineStr">
        <is>
          <t>Community sales</t>
        </is>
      </c>
      <c r="C4941" s="4" t="inlineStr">
        <is>
          <t>N5</t>
        </is>
      </c>
      <c r="D4941" s="4" t="inlineStr">
        <is>
          <t>Available for reinvestment</t>
        </is>
      </c>
      <c r="E4941" s="4" t="inlineStr">
        <is>
          <t>Available for reinvestment</t>
        </is>
      </c>
      <c r="F4941" s="4" t="inlineStr">
        <is>
          <t>GOC Bed Unit-Costing Model v2 — working original.xlsx</t>
        </is>
      </c>
    </row>
    <row r="4942" ht="40" customHeight="1">
      <c r="A4942" s="4" t="inlineStr">
        <is>
          <t>original:Community sales!A6</t>
        </is>
      </c>
      <c r="B4942" s="4" t="inlineStr">
        <is>
          <t>Community sales</t>
        </is>
      </c>
      <c r="C4942" s="4" t="inlineStr">
        <is>
          <t>A6</t>
        </is>
      </c>
      <c r="D4942" s="4" t="inlineStr">
        <is>
          <t>Grant-funded distribution</t>
        </is>
      </c>
      <c r="E4942" s="4" t="inlineStr">
        <is>
          <t>Grant-funded distribution</t>
        </is>
      </c>
      <c r="F4942" s="4" t="inlineStr">
        <is>
          <t>GOC Bed Unit-Costing Model v2 — working original.xlsx</t>
        </is>
      </c>
    </row>
    <row r="4943" ht="40" customHeight="1">
      <c r="A4943" s="4" t="inlineStr">
        <is>
          <t>original:Community sales!B6</t>
        </is>
      </c>
      <c r="B4943" s="4" t="inlineStr">
        <is>
          <t>Community sales</t>
        </is>
      </c>
      <c r="C4943" s="4" t="inlineStr">
        <is>
          <t>B6</t>
        </is>
      </c>
      <c r="D4943" s="4" t="n">
        <v>50</v>
      </c>
      <c r="E4943" s="4" t="n">
        <v>50</v>
      </c>
      <c r="F4943" s="4" t="inlineStr">
        <is>
          <t>GOC Bed Unit-Costing Model v2 — working original.xlsx</t>
        </is>
      </c>
    </row>
    <row r="4944" ht="40" customHeight="1">
      <c r="A4944" s="4" t="inlineStr">
        <is>
          <t>original:Community sales!C6</t>
        </is>
      </c>
      <c r="B4944" s="4" t="inlineStr">
        <is>
          <t>Community sales</t>
        </is>
      </c>
      <c r="C4944" s="4" t="inlineStr">
        <is>
          <t>C6</t>
        </is>
      </c>
      <c r="D4944" s="4" t="n">
        <v>0</v>
      </c>
      <c r="E4944" s="4" t="n">
        <v>0</v>
      </c>
      <c r="F4944" s="4" t="inlineStr">
        <is>
          <t>GOC Bed Unit-Costing Model v2 — working original.xlsx</t>
        </is>
      </c>
    </row>
    <row r="4945" ht="40" customHeight="1">
      <c r="A4945" s="4" t="inlineStr">
        <is>
          <t>original:Community sales!D6</t>
        </is>
      </c>
      <c r="B4945" s="4" t="inlineStr">
        <is>
          <t>Community sales</t>
        </is>
      </c>
      <c r="C4945" s="4" t="inlineStr">
        <is>
          <t>D6</t>
        </is>
      </c>
      <c r="D4945" s="4" t="inlineStr">
        <is>
          <t>=B6-C6</t>
        </is>
      </c>
      <c r="E4945" s="4" t="n">
        <v>50</v>
      </c>
      <c r="F4945" s="4" t="inlineStr">
        <is>
          <t>GOC Bed Unit-Costing Model v2 — working original.xlsx</t>
        </is>
      </c>
    </row>
    <row r="4946" ht="40" customHeight="1">
      <c r="A4946" s="4" t="inlineStr">
        <is>
          <t>original:Community sales!E6</t>
        </is>
      </c>
      <c r="B4946" s="4" t="inlineStr">
        <is>
          <t>Community sales</t>
        </is>
      </c>
      <c r="C4946" s="4" t="inlineStr">
        <is>
          <t>E6</t>
        </is>
      </c>
      <c r="D4946" s="4" t="n">
        <v>0</v>
      </c>
      <c r="E4946" s="4" t="n">
        <v>0</v>
      </c>
      <c r="F4946" s="4" t="inlineStr">
        <is>
          <t>GOC Bed Unit-Costing Model v2 — working original.xlsx</t>
        </is>
      </c>
    </row>
    <row r="4947" ht="40" customHeight="1">
      <c r="A4947" s="4" t="inlineStr">
        <is>
          <t>original:Community sales!F6</t>
        </is>
      </c>
      <c r="B4947" s="4" t="inlineStr">
        <is>
          <t>Community sales</t>
        </is>
      </c>
      <c r="C4947" s="4" t="inlineStr">
        <is>
          <t>F6</t>
        </is>
      </c>
      <c r="D4947" s="4" t="n">
        <v>0</v>
      </c>
      <c r="E4947" s="4" t="n">
        <v>0</v>
      </c>
      <c r="F4947" s="4" t="inlineStr">
        <is>
          <t>GOC Bed Unit-Costing Model v2 — working original.xlsx</t>
        </is>
      </c>
    </row>
    <row r="4948" ht="40" customHeight="1">
      <c r="A4948" s="4" t="inlineStr">
        <is>
          <t>original:Community sales!G6</t>
        </is>
      </c>
      <c r="B4948" s="4" t="inlineStr">
        <is>
          <t>Community sales</t>
        </is>
      </c>
      <c r="C4948" s="4" t="inlineStr">
        <is>
          <t>G6</t>
        </is>
      </c>
      <c r="D4948" s="4" t="n">
        <v>0</v>
      </c>
      <c r="E4948" s="4" t="n">
        <v>0</v>
      </c>
      <c r="F4948" s="4" t="inlineStr">
        <is>
          <t>GOC Bed Unit-Costing Model v2 — working original.xlsx</t>
        </is>
      </c>
    </row>
    <row r="4949" ht="40" customHeight="1">
      <c r="A4949" s="4" t="inlineStr">
        <is>
          <t>original:Community sales!H6</t>
        </is>
      </c>
      <c r="B4949" s="4" t="inlineStr">
        <is>
          <t>Community sales</t>
        </is>
      </c>
      <c r="C4949" s="4" t="inlineStr">
        <is>
          <t>H6</t>
        </is>
      </c>
      <c r="D4949" s="4" t="n">
        <v>0</v>
      </c>
      <c r="E4949" s="4" t="n">
        <v>0</v>
      </c>
      <c r="F4949" s="4" t="inlineStr">
        <is>
          <t>GOC Bed Unit-Costing Model v2 — working original.xlsx</t>
        </is>
      </c>
    </row>
    <row r="4950" ht="40" customHeight="1">
      <c r="A4950" s="4" t="inlineStr">
        <is>
          <t>original:Community sales!I6</t>
        </is>
      </c>
      <c r="B4950" s="4" t="inlineStr">
        <is>
          <t>Community sales</t>
        </is>
      </c>
      <c r="C4950" s="4" t="inlineStr">
        <is>
          <t>I6</t>
        </is>
      </c>
      <c r="D4950" s="4" t="n">
        <v>0</v>
      </c>
      <c r="E4950" s="4" t="n">
        <v>0</v>
      </c>
      <c r="F4950" s="4" t="inlineStr">
        <is>
          <t>GOC Bed Unit-Costing Model v2 — working original.xlsx</t>
        </is>
      </c>
    </row>
    <row r="4951" ht="40" customHeight="1">
      <c r="A4951" s="4" t="inlineStr">
        <is>
          <t>original:Community sales!J6</t>
        </is>
      </c>
      <c r="B4951" s="4" t="inlineStr">
        <is>
          <t>Community sales</t>
        </is>
      </c>
      <c r="C4951" s="4" t="inlineStr">
        <is>
          <t>J6</t>
        </is>
      </c>
      <c r="D4951" s="4" t="n">
        <v>0</v>
      </c>
      <c r="E4951" s="4" t="n">
        <v>0</v>
      </c>
      <c r="F4951" s="4" t="inlineStr">
        <is>
          <t>GOC Bed Unit-Costing Model v2 — working original.xlsx</t>
        </is>
      </c>
    </row>
    <row r="4952" ht="40" customHeight="1">
      <c r="A4952" s="4" t="inlineStr">
        <is>
          <t>original:Community sales!K6</t>
        </is>
      </c>
      <c r="B4952" s="4" t="inlineStr">
        <is>
          <t>Community sales</t>
        </is>
      </c>
      <c r="C4952" s="4" t="inlineStr">
        <is>
          <t>K6</t>
        </is>
      </c>
      <c r="D4952" s="4" t="inlineStr">
        <is>
          <t>=IF(COUNT(C6,E6)=2,C6*E6,"")</t>
        </is>
      </c>
      <c r="E4952" s="4" t="n">
        <v>0</v>
      </c>
      <c r="F4952" s="4" t="inlineStr">
        <is>
          <t>GOC Bed Unit-Costing Model v2 — working original.xlsx</t>
        </is>
      </c>
    </row>
    <row r="4953" ht="40" customHeight="1">
      <c r="A4953" s="4" t="inlineStr">
        <is>
          <t>original:Community sales!L6</t>
        </is>
      </c>
      <c r="B4953" s="4" t="inlineStr">
        <is>
          <t>Community sales</t>
        </is>
      </c>
      <c r="C4953" s="4" t="inlineStr">
        <is>
          <t>L6</t>
        </is>
      </c>
      <c r="D4953" s="4" t="inlineStr">
        <is>
          <t>=IF(COUNT(E6:I6)=5,K6-B6*F6-C6*SUM(G6:I6),"")</t>
        </is>
      </c>
      <c r="E4953" s="4" t="n">
        <v>0</v>
      </c>
      <c r="F4953" s="4" t="inlineStr">
        <is>
          <t>GOC Bed Unit-Costing Model v2 — working original.xlsx</t>
        </is>
      </c>
    </row>
    <row r="4954" ht="40" customHeight="1">
      <c r="A4954" s="4" t="inlineStr">
        <is>
          <t>original:Community sales!M6</t>
        </is>
      </c>
      <c r="B4954" s="4" t="inlineStr">
        <is>
          <t>Community sales</t>
        </is>
      </c>
      <c r="C4954" s="4" t="inlineStr">
        <is>
          <t>M6</t>
        </is>
      </c>
      <c r="D4954" s="4" t="inlineStr">
        <is>
          <t>No</t>
        </is>
      </c>
      <c r="E4954" s="4" t="inlineStr">
        <is>
          <t>No</t>
        </is>
      </c>
      <c r="F4954" s="4" t="inlineStr">
        <is>
          <t>GOC Bed Unit-Costing Model v2 — working original.xlsx</t>
        </is>
      </c>
    </row>
    <row r="4955" ht="40" customHeight="1">
      <c r="A4955" s="4" t="inlineStr">
        <is>
          <t>original:Community sales!N6</t>
        </is>
      </c>
      <c r="B4955" s="4" t="inlineStr">
        <is>
          <t>Community sales</t>
        </is>
      </c>
      <c r="C4955" s="4" t="inlineStr">
        <is>
          <t>N6</t>
        </is>
      </c>
      <c r="D4955" s="4" t="inlineStr">
        <is>
          <t>=IF(OR(C6&lt;0,C6&gt;B6),"Invalid units",IF(M6&lt;&gt;"Yes","Agreement needed",IF(COUNT(J6,L6)&lt;&gt;2,"Costs incomplete",MAX(0,L6-J6))))</t>
        </is>
      </c>
      <c r="E4955" s="4" t="inlineStr">
        <is>
          <t>Agreement needed</t>
        </is>
      </c>
      <c r="F4955" s="4" t="inlineStr">
        <is>
          <t>GOC Bed Unit-Costing Model v2 — working original.xlsx</t>
        </is>
      </c>
    </row>
    <row r="4956" ht="40" customHeight="1">
      <c r="A4956" s="4" t="inlineStr">
        <is>
          <t>original:Community sales!A7</t>
        </is>
      </c>
      <c r="B4956" s="4" t="inlineStr">
        <is>
          <t>Community sales</t>
        </is>
      </c>
      <c r="C4956" s="4" t="inlineStr">
        <is>
          <t>A7</t>
        </is>
      </c>
      <c r="D4956" s="4" t="inlineStr">
        <is>
          <t>Grant-seeded resale illustration</t>
        </is>
      </c>
      <c r="E4956" s="4" t="inlineStr">
        <is>
          <t>Grant-seeded resale illustration</t>
        </is>
      </c>
      <c r="F4956" s="4" t="inlineStr">
        <is>
          <t>GOC Bed Unit-Costing Model v2 — working original.xlsx</t>
        </is>
      </c>
    </row>
    <row r="4957" ht="40" customHeight="1">
      <c r="A4957" s="4" t="inlineStr">
        <is>
          <t>original:Community sales!B7</t>
        </is>
      </c>
      <c r="B4957" s="4" t="inlineStr">
        <is>
          <t>Community sales</t>
        </is>
      </c>
      <c r="C4957" s="4" t="inlineStr">
        <is>
          <t>B7</t>
        </is>
      </c>
      <c r="D4957" s="4" t="n">
        <v>50</v>
      </c>
      <c r="E4957" s="4" t="n">
        <v>50</v>
      </c>
      <c r="F4957" s="4" t="inlineStr">
        <is>
          <t>GOC Bed Unit-Costing Model v2 — working original.xlsx</t>
        </is>
      </c>
    </row>
    <row r="4958" ht="40" customHeight="1">
      <c r="A4958" s="4" t="inlineStr">
        <is>
          <t>original:Community sales!C7</t>
        </is>
      </c>
      <c r="B4958" s="4" t="inlineStr">
        <is>
          <t>Community sales</t>
        </is>
      </c>
      <c r="C4958" s="4" t="inlineStr">
        <is>
          <t>C7</t>
        </is>
      </c>
      <c r="D4958" s="4" t="n">
        <v>30</v>
      </c>
      <c r="E4958" s="4" t="n">
        <v>30</v>
      </c>
      <c r="F4958" s="4" t="inlineStr">
        <is>
          <t>GOC Bed Unit-Costing Model v2 — working original.xlsx</t>
        </is>
      </c>
    </row>
    <row r="4959" ht="40" customHeight="1">
      <c r="A4959" s="4" t="inlineStr">
        <is>
          <t>original:Community sales!D7</t>
        </is>
      </c>
      <c r="B4959" s="4" t="inlineStr">
        <is>
          <t>Community sales</t>
        </is>
      </c>
      <c r="C4959" s="4" t="inlineStr">
        <is>
          <t>D7</t>
        </is>
      </c>
      <c r="D4959" s="4" t="inlineStr">
        <is>
          <t>=B7-C7</t>
        </is>
      </c>
      <c r="E4959" s="4" t="n">
        <v>20</v>
      </c>
      <c r="F4959" s="4" t="inlineStr">
        <is>
          <t>GOC Bed Unit-Costing Model v2 — working original.xlsx</t>
        </is>
      </c>
    </row>
    <row r="4960" ht="40" customHeight="1">
      <c r="A4960" s="4" t="inlineStr">
        <is>
          <t>original:Community sales!E7</t>
        </is>
      </c>
      <c r="B4960" s="4" t="inlineStr">
        <is>
          <t>Community sales</t>
        </is>
      </c>
      <c r="C4960" s="4" t="inlineStr">
        <is>
          <t>E7</t>
        </is>
      </c>
      <c r="D4960" s="4" t="n">
        <v>500</v>
      </c>
      <c r="E4960" s="4" t="n">
        <v>500</v>
      </c>
      <c r="F4960" s="4" t="inlineStr">
        <is>
          <t>GOC Bed Unit-Costing Model v2 — working original.xlsx</t>
        </is>
      </c>
    </row>
    <row r="4961" ht="40" customHeight="1">
      <c r="A4961" s="4" t="inlineStr">
        <is>
          <t>original:Community sales!F7</t>
        </is>
      </c>
      <c r="B4961" s="4" t="inlineStr">
        <is>
          <t>Community sales</t>
        </is>
      </c>
      <c r="C4961" s="4" t="inlineStr">
        <is>
          <t>F7</t>
        </is>
      </c>
      <c r="D4961" s="4" t="n">
        <v>0</v>
      </c>
      <c r="E4961" s="4" t="n">
        <v>0</v>
      </c>
      <c r="F4961" s="4" t="inlineStr">
        <is>
          <t>GOC Bed Unit-Costing Model v2 — working original.xlsx</t>
        </is>
      </c>
    </row>
    <row r="4962" ht="40" customHeight="1">
      <c r="A4962" s="4" t="inlineStr">
        <is>
          <t>original:Community sales!G7</t>
        </is>
      </c>
      <c r="B4962" s="4" t="inlineStr">
        <is>
          <t>Community sales</t>
        </is>
      </c>
      <c r="C4962" s="4" t="inlineStr">
        <is>
          <t>G7</t>
        </is>
      </c>
      <c r="D4962" s="4" t="n">
        <v>20</v>
      </c>
      <c r="E4962" s="4" t="n">
        <v>20</v>
      </c>
      <c r="F4962" s="4" t="inlineStr">
        <is>
          <t>GOC Bed Unit-Costing Model v2 — working original.xlsx</t>
        </is>
      </c>
    </row>
    <row r="4963" ht="40" customHeight="1">
      <c r="A4963" s="4" t="inlineStr">
        <is>
          <t>original:Community sales!H7</t>
        </is>
      </c>
      <c r="B4963" s="4" t="inlineStr">
        <is>
          <t>Community sales</t>
        </is>
      </c>
      <c r="C4963" s="4" t="inlineStr">
        <is>
          <t>H7</t>
        </is>
      </c>
      <c r="D4963" s="4" t="n">
        <v>10</v>
      </c>
      <c r="E4963" s="4" t="n">
        <v>10</v>
      </c>
      <c r="F4963" s="4" t="inlineStr">
        <is>
          <t>GOC Bed Unit-Costing Model v2 — working original.xlsx</t>
        </is>
      </c>
    </row>
    <row r="4964" ht="40" customHeight="1">
      <c r="A4964" s="4" t="inlineStr">
        <is>
          <t>original:Community sales!I7</t>
        </is>
      </c>
      <c r="B4964" s="4" t="inlineStr">
        <is>
          <t>Community sales</t>
        </is>
      </c>
      <c r="C4964" s="4" t="inlineStr">
        <is>
          <t>I7</t>
        </is>
      </c>
      <c r="D4964" s="4" t="n">
        <v>25</v>
      </c>
      <c r="E4964" s="4" t="n">
        <v>25</v>
      </c>
      <c r="F4964" s="4" t="inlineStr">
        <is>
          <t>GOC Bed Unit-Costing Model v2 — working original.xlsx</t>
        </is>
      </c>
    </row>
    <row r="4965" ht="40" customHeight="1">
      <c r="A4965" s="4" t="inlineStr">
        <is>
          <t>original:Community sales!K7</t>
        </is>
      </c>
      <c r="B4965" s="4" t="inlineStr">
        <is>
          <t>Community sales</t>
        </is>
      </c>
      <c r="C4965" s="4" t="inlineStr">
        <is>
          <t>K7</t>
        </is>
      </c>
      <c r="D4965" s="4" t="inlineStr">
        <is>
          <t>=IF(COUNT(C7,E7)=2,C7*E7,"")</t>
        </is>
      </c>
      <c r="E4965" s="4" t="n">
        <v>15000</v>
      </c>
      <c r="F4965" s="4" t="inlineStr">
        <is>
          <t>GOC Bed Unit-Costing Model v2 — working original.xlsx</t>
        </is>
      </c>
    </row>
    <row r="4966" ht="40" customHeight="1">
      <c r="A4966" s="4" t="inlineStr">
        <is>
          <t>original:Community sales!L7</t>
        </is>
      </c>
      <c r="B4966" s="4" t="inlineStr">
        <is>
          <t>Community sales</t>
        </is>
      </c>
      <c r="C4966" s="4" t="inlineStr">
        <is>
          <t>L7</t>
        </is>
      </c>
      <c r="D4966" s="4" t="inlineStr">
        <is>
          <t>=IF(COUNT(E7:I7)=5,K7-B7*F7-C7*SUM(G7:I7),"")</t>
        </is>
      </c>
      <c r="E4966" s="4" t="n">
        <v>13350</v>
      </c>
      <c r="F4966" s="4" t="inlineStr">
        <is>
          <t>GOC Bed Unit-Costing Model v2 — working original.xlsx</t>
        </is>
      </c>
    </row>
    <row r="4967" ht="40" customHeight="1">
      <c r="A4967" s="4" t="inlineStr">
        <is>
          <t>original:Community sales!M7</t>
        </is>
      </c>
      <c r="B4967" s="4" t="inlineStr">
        <is>
          <t>Community sales</t>
        </is>
      </c>
      <c r="C4967" s="4" t="inlineStr">
        <is>
          <t>M7</t>
        </is>
      </c>
      <c r="D4967" s="4" t="inlineStr">
        <is>
          <t>No</t>
        </is>
      </c>
      <c r="E4967" s="4" t="inlineStr">
        <is>
          <t>No</t>
        </is>
      </c>
      <c r="F4967" s="4" t="inlineStr">
        <is>
          <t>GOC Bed Unit-Costing Model v2 — working original.xlsx</t>
        </is>
      </c>
    </row>
    <row r="4968" ht="40" customHeight="1">
      <c r="A4968" s="4" t="inlineStr">
        <is>
          <t>original:Community sales!N7</t>
        </is>
      </c>
      <c r="B4968" s="4" t="inlineStr">
        <is>
          <t>Community sales</t>
        </is>
      </c>
      <c r="C4968" s="4" t="inlineStr">
        <is>
          <t>N7</t>
        </is>
      </c>
      <c r="D4968" s="4" t="inlineStr">
        <is>
          <t>=IF(OR(C7&lt;0,C7&gt;B7),"Invalid units",IF(M7&lt;&gt;"Yes","Agreement needed",IF(COUNT(J7,L7)&lt;&gt;2,"Costs incomplete",MAX(0,L7-J7))))</t>
        </is>
      </c>
      <c r="E4968" s="4" t="inlineStr">
        <is>
          <t>Agreement needed</t>
        </is>
      </c>
      <c r="F4968" s="4" t="inlineStr">
        <is>
          <t>GOC Bed Unit-Costing Model v2 — working original.xlsx</t>
        </is>
      </c>
    </row>
    <row r="4969" ht="40" customHeight="1">
      <c r="A4969" s="4" t="inlineStr">
        <is>
          <t>original:Community sales!A8</t>
        </is>
      </c>
      <c r="B4969" s="4" t="inlineStr">
        <is>
          <t>Community sales</t>
        </is>
      </c>
      <c r="C4969" s="4" t="inlineStr">
        <is>
          <t>A8</t>
        </is>
      </c>
      <c r="D4969" s="4" t="inlineStr">
        <is>
          <t>Purchased-stock resale</t>
        </is>
      </c>
      <c r="E4969" s="4" t="inlineStr">
        <is>
          <t>Purchased-stock resale</t>
        </is>
      </c>
      <c r="F4969" s="4" t="inlineStr">
        <is>
          <t>GOC Bed Unit-Costing Model v2 — working original.xlsx</t>
        </is>
      </c>
    </row>
    <row r="4970" ht="40" customHeight="1">
      <c r="A4970" s="4" t="inlineStr">
        <is>
          <t>original:Community sales!B8</t>
        </is>
      </c>
      <c r="B4970" s="4" t="inlineStr">
        <is>
          <t>Community sales</t>
        </is>
      </c>
      <c r="C4970" s="4" t="inlineStr">
        <is>
          <t>B8</t>
        </is>
      </c>
      <c r="D4970" s="4" t="n">
        <v>50</v>
      </c>
      <c r="E4970" s="4" t="n">
        <v>50</v>
      </c>
      <c r="F4970" s="4" t="inlineStr">
        <is>
          <t>GOC Bed Unit-Costing Model v2 — working original.xlsx</t>
        </is>
      </c>
    </row>
    <row r="4971" ht="40" customHeight="1">
      <c r="A4971" s="4" t="inlineStr">
        <is>
          <t>original:Community sales!C8</t>
        </is>
      </c>
      <c r="B4971" s="4" t="inlineStr">
        <is>
          <t>Community sales</t>
        </is>
      </c>
      <c r="C4971" s="4" t="inlineStr">
        <is>
          <t>C8</t>
        </is>
      </c>
      <c r="D4971" s="4" t="n">
        <v>50</v>
      </c>
      <c r="E4971" s="4" t="n">
        <v>50</v>
      </c>
      <c r="F4971" s="4" t="inlineStr">
        <is>
          <t>GOC Bed Unit-Costing Model v2 — working original.xlsx</t>
        </is>
      </c>
    </row>
    <row r="4972" ht="40" customHeight="1">
      <c r="A4972" s="4" t="inlineStr">
        <is>
          <t>original:Community sales!D8</t>
        </is>
      </c>
      <c r="B4972" s="4" t="inlineStr">
        <is>
          <t>Community sales</t>
        </is>
      </c>
      <c r="C4972" s="4" t="inlineStr">
        <is>
          <t>D8</t>
        </is>
      </c>
      <c r="D4972" s="4" t="inlineStr">
        <is>
          <t>=B8-C8</t>
        </is>
      </c>
      <c r="E4972" s="4" t="n">
        <v>0</v>
      </c>
      <c r="F4972" s="4" t="inlineStr">
        <is>
          <t>GOC Bed Unit-Costing Model v2 — working original.xlsx</t>
        </is>
      </c>
    </row>
    <row r="4973" ht="40" customHeight="1">
      <c r="A4973" s="4" t="inlineStr">
        <is>
          <t>original:Community sales!E8</t>
        </is>
      </c>
      <c r="B4973" s="4" t="inlineStr">
        <is>
          <t>Community sales</t>
        </is>
      </c>
      <c r="C4973" s="4" t="inlineStr">
        <is>
          <t>E8</t>
        </is>
      </c>
      <c r="D4973" s="4" t="n">
        <v>750</v>
      </c>
      <c r="E4973" s="4" t="n">
        <v>750</v>
      </c>
      <c r="F4973" s="4" t="inlineStr">
        <is>
          <t>GOC Bed Unit-Costing Model v2 — working original.xlsx</t>
        </is>
      </c>
    </row>
    <row r="4974" ht="40" customHeight="1">
      <c r="A4974" s="4" t="inlineStr">
        <is>
          <t>original:Community sales!K8</t>
        </is>
      </c>
      <c r="B4974" s="4" t="inlineStr">
        <is>
          <t>Community sales</t>
        </is>
      </c>
      <c r="C4974" s="4" t="inlineStr">
        <is>
          <t>K8</t>
        </is>
      </c>
      <c r="D4974" s="4" t="inlineStr">
        <is>
          <t>=IF(COUNT(C8,E8)=2,C8*E8,"")</t>
        </is>
      </c>
      <c r="E4974" s="4" t="n">
        <v>37500</v>
      </c>
      <c r="F4974" s="4" t="inlineStr">
        <is>
          <t>GOC Bed Unit-Costing Model v2 — working original.xlsx</t>
        </is>
      </c>
    </row>
    <row r="4975" ht="40" customHeight="1">
      <c r="A4975" s="4" t="inlineStr">
        <is>
          <t>original:Community sales!L8</t>
        </is>
      </c>
      <c r="B4975" s="4" t="inlineStr">
        <is>
          <t>Community sales</t>
        </is>
      </c>
      <c r="C4975" s="4" t="inlineStr">
        <is>
          <t>L8</t>
        </is>
      </c>
      <c r="D4975" s="4" t="inlineStr">
        <is>
          <t>=IF(COUNT(E8:I8)=5,K8-B8*F8-C8*SUM(G8:I8),"")</t>
        </is>
      </c>
      <c r="E4975" s="4" t="n"/>
      <c r="F4975" s="4" t="inlineStr">
        <is>
          <t>GOC Bed Unit-Costing Model v2 — working original.xlsx</t>
        </is>
      </c>
    </row>
    <row r="4976" ht="40" customHeight="1">
      <c r="A4976" s="4" t="inlineStr">
        <is>
          <t>original:Community sales!M8</t>
        </is>
      </c>
      <c r="B4976" s="4" t="inlineStr">
        <is>
          <t>Community sales</t>
        </is>
      </c>
      <c r="C4976" s="4" t="inlineStr">
        <is>
          <t>M8</t>
        </is>
      </c>
      <c r="D4976" s="4" t="inlineStr">
        <is>
          <t>No</t>
        </is>
      </c>
      <c r="E4976" s="4" t="inlineStr">
        <is>
          <t>No</t>
        </is>
      </c>
      <c r="F4976" s="4" t="inlineStr">
        <is>
          <t>GOC Bed Unit-Costing Model v2 — working original.xlsx</t>
        </is>
      </c>
    </row>
    <row r="4977" ht="40" customHeight="1">
      <c r="A4977" s="4" t="inlineStr">
        <is>
          <t>original:Community sales!N8</t>
        </is>
      </c>
      <c r="B4977" s="4" t="inlineStr">
        <is>
          <t>Community sales</t>
        </is>
      </c>
      <c r="C4977" s="4" t="inlineStr">
        <is>
          <t>N8</t>
        </is>
      </c>
      <c r="D4977" s="4" t="inlineStr">
        <is>
          <t>=IF(OR(C8&lt;0,C8&gt;B8),"Invalid units",IF(M8&lt;&gt;"Yes","Agreement needed",IF(COUNT(J8,L8)&lt;&gt;2,"Costs incomplete",MAX(0,L8-J8))))</t>
        </is>
      </c>
      <c r="E4977" s="4" t="inlineStr">
        <is>
          <t>Agreement needed</t>
        </is>
      </c>
      <c r="F4977" s="4" t="inlineStr">
        <is>
          <t>GOC Bed Unit-Costing Model v2 — working original.xlsx</t>
        </is>
      </c>
    </row>
    <row r="4978" ht="105" customHeight="1">
      <c r="A4978" s="4" t="inlineStr">
        <is>
          <t>original:Community sales!A12</t>
        </is>
      </c>
      <c r="B4978" s="4" t="inlineStr">
        <is>
          <t>Community sales</t>
        </is>
      </c>
      <c r="C4978" s="4" t="inlineStr">
        <is>
          <t>A12</t>
        </is>
      </c>
      <c r="D4978" s="4" t="inlineStr">
        <is>
          <t>Grant-seeded stock: the funder pays the agreed production/delivery cost once. Later community sales belong to the agreed stock owner, not a second Goods sale.</t>
        </is>
      </c>
      <c r="E4978" s="4" t="inlineStr">
        <is>
          <t>Grant-seeded stock: the funder pays the agreed production/delivery cost once. Later community sales belong to the agreed stock owner, not a second Goods sale.</t>
        </is>
      </c>
      <c r="F4978" s="4" t="inlineStr">
        <is>
          <t>GOC Bed Unit-Costing Model v2 — working original.xlsx</t>
        </is>
      </c>
    </row>
    <row r="4979" ht="105" customHeight="1">
      <c r="A4979" s="4" t="inlineStr">
        <is>
          <t>original:Community sales!A14</t>
        </is>
      </c>
      <c r="B4979" s="4" t="inlineStr">
        <is>
          <t>Community sales</t>
        </is>
      </c>
      <c r="C4979" s="4" t="inlineStr">
        <is>
          <t>A14</t>
        </is>
      </c>
      <c r="D4979" s="4" t="inlineStr">
        <is>
          <t>Purchased stock: Goods records its wholesale sale and production expense. The community records inventory purchases, household sales and its own operating costs.</t>
        </is>
      </c>
      <c r="E4979" s="4" t="inlineStr">
        <is>
          <t>Purchased stock: Goods records its wholesale sale and production expense. The community records inventory purchases, household sales and its own operating costs.</t>
        </is>
      </c>
      <c r="F4979" s="4" t="inlineStr">
        <is>
          <t>GOC Bed Unit-Costing Model v2 — working original.xlsx</t>
        </is>
      </c>
    </row>
    <row r="4980" ht="135" customHeight="1">
      <c r="A4980" s="4" t="inlineStr">
        <is>
          <t>original:Community sales!A16</t>
        </is>
      </c>
      <c r="B4980" s="4" t="inlineStr">
        <is>
          <t>Community sales</t>
        </is>
      </c>
      <c r="C4980" s="4" t="inlineStr">
        <is>
          <t>A16</t>
        </is>
      </c>
      <c r="D4980" s="4" t="inlineStr">
        <is>
          <t>Local production: the community operator pays materials and wages under its capability agreement. Decide product rights, quality, warranty, support fees and equipment ownership separately.</t>
        </is>
      </c>
      <c r="E4980" s="4" t="inlineStr">
        <is>
          <t>Local production: the community operator pays materials and wages under its capability agreement. Decide product rights, quality, warranty, support fees and equipment ownership separately.</t>
        </is>
      </c>
      <c r="F4980" s="4" t="inlineStr">
        <is>
          <t>GOC Bed Unit-Costing Model v2 — working original.xlsx</t>
        </is>
      </c>
    </row>
    <row r="4981" ht="120" customHeight="1">
      <c r="A4981" s="4" t="inlineStr">
        <is>
          <t>original:Community sales!A18</t>
        </is>
      </c>
      <c r="B4981" s="4" t="inlineStr">
        <is>
          <t>Community sales</t>
        </is>
      </c>
      <c r="C4981" s="4" t="inlineStr">
        <is>
          <t>A18</t>
        </is>
      </c>
      <c r="D4981" s="4" t="inlineStr">
        <is>
          <t>Reinvestment follows wages, replenishment, maintenance, warranty and restrictions. The community chooses approved uses of remaining proceeds; no automatic factory purchase is modelled.</t>
        </is>
      </c>
      <c r="E4981" s="4" t="inlineStr">
        <is>
          <t>Reinvestment follows wages, replenishment, maintenance, warranty and restrictions. The community chooses approved uses of remaining proceeds; no automatic factory purchase is modelled.</t>
        </is>
      </c>
      <c r="F4981" s="4" t="inlineStr">
        <is>
          <t>GOC Bed Unit-Costing Model v2 — working original.xlsx</t>
        </is>
      </c>
    </row>
    <row r="4982" ht="135" customHeight="1">
      <c r="A4982" s="4" t="inlineStr">
        <is>
          <t>original:Community sales!A20</t>
        </is>
      </c>
      <c r="B4982" s="4" t="inlineStr">
        <is>
          <t>Community sales</t>
        </is>
      </c>
      <c r="C4982" s="4" t="inlineStr">
        <is>
          <t>A20</t>
        </is>
      </c>
      <c r="D4982" s="4" t="inlineStr">
        <is>
          <t>Proposed Goods support: buyer introductions, joint ordering, quality checks, training, freight coordination, invoicing support and transparent reporting. Price this support in Cost plan.</t>
        </is>
      </c>
      <c r="E4982" s="4" t="inlineStr">
        <is>
          <t>Proposed Goods support: buyer introductions, joint ordering, quality checks, training, freight coordination, invoicing support and transparent reporting. Price this support in Cost plan.</t>
        </is>
      </c>
      <c r="F4982" s="4" t="inlineStr">
        <is>
          <t>GOC Bed Unit-Costing Model v2 — working original.xlsx</t>
        </is>
      </c>
    </row>
    <row r="4983" ht="40" customHeight="1">
      <c r="A4983" s="4" t="inlineStr">
        <is>
          <t>history:Cost records!A1</t>
        </is>
      </c>
      <c r="B4983" s="4" t="inlineStr">
        <is>
          <t>Cost records</t>
        </is>
      </c>
      <c r="C4983" s="4" t="inlineStr">
        <is>
          <t>A1</t>
        </is>
      </c>
      <c r="D4983" s="4" t="inlineStr">
        <is>
          <t>Payments and open commitments</t>
        </is>
      </c>
      <c r="E4983" s="4" t="inlineStr">
        <is>
          <t>Payments and open commitments</t>
        </is>
      </c>
      <c r="F4983" s="4" t="inlineStr">
        <is>
          <t>Goods-financial-plan.xlsx before consolidation</t>
        </is>
      </c>
    </row>
    <row r="4984" ht="90" customHeight="1">
      <c r="A4984" s="4" t="inlineStr">
        <is>
          <t>history:Cost records!A3</t>
        </is>
      </c>
      <c r="B4984" s="4" t="inlineStr">
        <is>
          <t>Cost records</t>
        </is>
      </c>
      <c r="C4984" s="4" t="inlineStr">
        <is>
          <t>A3</t>
        </is>
      </c>
      <c r="D4984" s="4" t="inlineStr">
        <is>
          <t>One row per payment or remaining unpaid commitment. Update open balances when paid; do not copy the full original order again.</t>
        </is>
      </c>
      <c r="E4984" s="4" t="inlineStr">
        <is>
          <t>One row per payment or remaining unpaid commitment. Update open balances when paid; do not copy the full original order again.</t>
        </is>
      </c>
      <c r="F4984" s="4" t="inlineStr">
        <is>
          <t>Goods-financial-plan.xlsx before consolidation</t>
        </is>
      </c>
    </row>
    <row r="4985" ht="40" customHeight="1">
      <c r="A4985" s="4" t="inlineStr">
        <is>
          <t>history:Cost records!A6</t>
        </is>
      </c>
      <c r="B4985" s="4" t="inlineStr">
        <is>
          <t>Cost records</t>
        </is>
      </c>
      <c r="C4985" s="4" t="inlineStr">
        <is>
          <t>A6</t>
        </is>
      </c>
      <c r="D4985" s="4" t="inlineStr">
        <is>
          <t>Record ID</t>
        </is>
      </c>
      <c r="E4985" s="4" t="inlineStr">
        <is>
          <t>Record ID</t>
        </is>
      </c>
      <c r="F4985" s="4" t="inlineStr">
        <is>
          <t>Goods-financial-plan.xlsx before consolidation</t>
        </is>
      </c>
    </row>
    <row r="4986" ht="40" customHeight="1">
      <c r="A4986" s="4" t="inlineStr">
        <is>
          <t>history:Cost records!B6</t>
        </is>
      </c>
      <c r="B4986" s="4" t="inlineStr">
        <is>
          <t>Cost records</t>
        </is>
      </c>
      <c r="C4986" s="4" t="inlineStr">
        <is>
          <t>B6</t>
        </is>
      </c>
      <c r="D4986" s="4" t="inlineStr">
        <is>
          <t>Cost ID</t>
        </is>
      </c>
      <c r="E4986" s="4" t="inlineStr">
        <is>
          <t>Cost ID</t>
        </is>
      </c>
      <c r="F4986" s="4" t="inlineStr">
        <is>
          <t>Goods-financial-plan.xlsx before consolidation</t>
        </is>
      </c>
    </row>
    <row r="4987" ht="40" customHeight="1">
      <c r="A4987" s="4" t="inlineStr">
        <is>
          <t>history:Cost records!C6</t>
        </is>
      </c>
      <c r="B4987" s="4" t="inlineStr">
        <is>
          <t>Cost records</t>
        </is>
      </c>
      <c r="C4987" s="4" t="inlineStr">
        <is>
          <t>C6</t>
        </is>
      </c>
      <c r="D4987" s="4" t="inlineStr">
        <is>
          <t>Record type</t>
        </is>
      </c>
      <c r="E4987" s="4" t="inlineStr">
        <is>
          <t>Record type</t>
        </is>
      </c>
      <c r="F4987" s="4" t="inlineStr">
        <is>
          <t>Goods-financial-plan.xlsx before consolidation</t>
        </is>
      </c>
    </row>
    <row r="4988" ht="40" customHeight="1">
      <c r="A4988" s="4" t="inlineStr">
        <is>
          <t>history:Cost records!D6</t>
        </is>
      </c>
      <c r="B4988" s="4" t="inlineStr">
        <is>
          <t>Cost records</t>
        </is>
      </c>
      <c r="C4988" s="4" t="inlineStr">
        <is>
          <t>D6</t>
        </is>
      </c>
      <c r="D4988" s="4" t="inlineStr">
        <is>
          <t>Cash / due date</t>
        </is>
      </c>
      <c r="E4988" s="4" t="inlineStr">
        <is>
          <t>Cash / due date</t>
        </is>
      </c>
      <c r="F4988" s="4" t="inlineStr">
        <is>
          <t>Goods-financial-plan.xlsx before consolidation</t>
        </is>
      </c>
    </row>
    <row r="4989" ht="40" customHeight="1">
      <c r="A4989" s="4" t="inlineStr">
        <is>
          <t>history:Cost records!E6</t>
        </is>
      </c>
      <c r="B4989" s="4" t="inlineStr">
        <is>
          <t>Cost records</t>
        </is>
      </c>
      <c r="C4989" s="4" t="inlineStr">
        <is>
          <t>E6</t>
        </is>
      </c>
      <c r="D4989" s="4" t="inlineStr">
        <is>
          <t>Supplier / payer</t>
        </is>
      </c>
      <c r="E4989" s="4" t="inlineStr">
        <is>
          <t>Supplier / payer</t>
        </is>
      </c>
      <c r="F4989" s="4" t="inlineStr">
        <is>
          <t>Goods-financial-plan.xlsx before consolidation</t>
        </is>
      </c>
    </row>
    <row r="4990" ht="40" customHeight="1">
      <c r="A4990" s="4" t="inlineStr">
        <is>
          <t>history:Cost records!F6</t>
        </is>
      </c>
      <c r="B4990" s="4" t="inlineStr">
        <is>
          <t>Cost records</t>
        </is>
      </c>
      <c r="C4990" s="4" t="inlineStr">
        <is>
          <t>F6</t>
        </is>
      </c>
      <c r="D4990" s="4" t="inlineStr">
        <is>
          <t>Amount AUD</t>
        </is>
      </c>
      <c r="E4990" s="4" t="inlineStr">
        <is>
          <t>Amount AUD</t>
        </is>
      </c>
      <c r="F4990" s="4" t="inlineStr">
        <is>
          <t>Goods-financial-plan.xlsx before consolidation</t>
        </is>
      </c>
    </row>
    <row r="4991" ht="40" customHeight="1">
      <c r="A4991" s="4" t="inlineStr">
        <is>
          <t>history:Cost records!G6</t>
        </is>
      </c>
      <c r="B4991" s="4" t="inlineStr">
        <is>
          <t>Cost records</t>
        </is>
      </c>
      <c r="C4991" s="4" t="inlineStr">
        <is>
          <t>G6</t>
        </is>
      </c>
      <c r="D4991" s="4" t="inlineStr">
        <is>
          <t>Funding ID</t>
        </is>
      </c>
      <c r="E4991" s="4" t="inlineStr">
        <is>
          <t>Funding ID</t>
        </is>
      </c>
      <c r="F4991" s="4" t="inlineStr">
        <is>
          <t>Goods-financial-plan.xlsx before consolidation</t>
        </is>
      </c>
    </row>
    <row r="4992" ht="40" customHeight="1">
      <c r="A4992" s="4" t="inlineStr">
        <is>
          <t>history:Cost records!H6</t>
        </is>
      </c>
      <c r="B4992" s="4" t="inlineStr">
        <is>
          <t>Cost records</t>
        </is>
      </c>
      <c r="C4992" s="4" t="inlineStr">
        <is>
          <t>H6</t>
        </is>
      </c>
      <c r="D4992" s="4" t="inlineStr">
        <is>
          <t>Invoice / agreement ID</t>
        </is>
      </c>
      <c r="E4992" s="4" t="inlineStr">
        <is>
          <t>Invoice / agreement ID</t>
        </is>
      </c>
      <c r="F4992" s="4" t="inlineStr">
        <is>
          <t>Goods-financial-plan.xlsx before consolidation</t>
        </is>
      </c>
    </row>
    <row r="4993" ht="40" customHeight="1">
      <c r="A4993" s="4" t="inlineStr">
        <is>
          <t>history:Cost records!I6</t>
        </is>
      </c>
      <c r="B4993" s="4" t="inlineStr">
        <is>
          <t>Cost records</t>
        </is>
      </c>
      <c r="C4993" s="4" t="inlineStr">
        <is>
          <t>I6</t>
        </is>
      </c>
      <c r="D4993" s="4" t="inlineStr">
        <is>
          <t>Evidence link</t>
        </is>
      </c>
      <c r="E4993" s="4" t="inlineStr">
        <is>
          <t>Evidence link</t>
        </is>
      </c>
      <c r="F4993" s="4" t="inlineStr">
        <is>
          <t>Goods-financial-plan.xlsx before consolidation</t>
        </is>
      </c>
    </row>
    <row r="4994" ht="40" customHeight="1">
      <c r="A4994" s="4" t="inlineStr">
        <is>
          <t>history:Cost records!J6</t>
        </is>
      </c>
      <c r="B4994" s="4" t="inlineStr">
        <is>
          <t>Cost records</t>
        </is>
      </c>
      <c r="C4994" s="4" t="inlineStr">
        <is>
          <t>J6</t>
        </is>
      </c>
      <c r="D4994" s="4" t="inlineStr">
        <is>
          <t>Note</t>
        </is>
      </c>
      <c r="E4994" s="4" t="inlineStr">
        <is>
          <t>Note</t>
        </is>
      </c>
      <c r="F4994" s="4" t="inlineStr">
        <is>
          <t>Goods-financial-plan.xlsx before consolidation</t>
        </is>
      </c>
    </row>
    <row r="4995" ht="40" customHeight="1">
      <c r="A4995" s="4" t="inlineStr">
        <is>
          <t>history:Delivery records!A1</t>
        </is>
      </c>
      <c r="B4995" s="4" t="inlineStr">
        <is>
          <t>Delivery records</t>
        </is>
      </c>
      <c r="C4995" s="4" t="inlineStr">
        <is>
          <t>A1</t>
        </is>
      </c>
      <c r="D4995" s="4" t="inlineStr">
        <is>
          <t>Delivery records</t>
        </is>
      </c>
      <c r="E4995" s="4" t="inlineStr">
        <is>
          <t>Delivery records</t>
        </is>
      </c>
      <c r="F4995" s="4" t="inlineStr">
        <is>
          <t>Goods-financial-plan.xlsx before consolidation</t>
        </is>
      </c>
    </row>
    <row r="4996" ht="90" customHeight="1">
      <c r="A4996" s="4" t="inlineStr">
        <is>
          <t>history:Delivery records!A3</t>
        </is>
      </c>
      <c r="B4996" s="4" t="inlineStr">
        <is>
          <t>Delivery records</t>
        </is>
      </c>
      <c r="C4996" s="4" t="inlineStr">
        <is>
          <t>A3</t>
        </is>
      </c>
      <c r="D4996" s="4" t="inlineStr">
        <is>
          <t>Use source IDs and private participant references. Keep personal information and consent documents in their appropriate records.</t>
        </is>
      </c>
      <c r="E4996" s="4" t="inlineStr">
        <is>
          <t>Use source IDs and private participant references. Keep personal information and consent documents in their appropriate records.</t>
        </is>
      </c>
      <c r="F4996" s="4" t="inlineStr">
        <is>
          <t>Goods-financial-plan.xlsx before consolidation</t>
        </is>
      </c>
    </row>
    <row r="4997" ht="40" customHeight="1">
      <c r="A4997" s="4" t="inlineStr">
        <is>
          <t>history:Delivery records!A6</t>
        </is>
      </c>
      <c r="B4997" s="4" t="inlineStr">
        <is>
          <t>Delivery records</t>
        </is>
      </c>
      <c r="C4997" s="4" t="inlineStr">
        <is>
          <t>A6</t>
        </is>
      </c>
      <c r="D4997" s="4" t="inlineStr">
        <is>
          <t>Asset ID</t>
        </is>
      </c>
      <c r="E4997" s="4" t="inlineStr">
        <is>
          <t>Asset ID</t>
        </is>
      </c>
      <c r="F4997" s="4" t="inlineStr">
        <is>
          <t>Goods-financial-plan.xlsx before consolidation</t>
        </is>
      </c>
    </row>
    <row r="4998" ht="40" customHeight="1">
      <c r="A4998" s="4" t="inlineStr">
        <is>
          <t>history:Delivery records!B6</t>
        </is>
      </c>
      <c r="B4998" s="4" t="inlineStr">
        <is>
          <t>Delivery records</t>
        </is>
      </c>
      <c r="C4998" s="4" t="inlineStr">
        <is>
          <t>B6</t>
        </is>
      </c>
      <c r="D4998" s="4" t="inlineStr">
        <is>
          <t>Delivery date</t>
        </is>
      </c>
      <c r="E4998" s="4" t="inlineStr">
        <is>
          <t>Delivery date</t>
        </is>
      </c>
      <c r="F4998" s="4" t="inlineStr">
        <is>
          <t>Goods-financial-plan.xlsx before consolidation</t>
        </is>
      </c>
    </row>
    <row r="4999" ht="40" customHeight="1">
      <c r="A4999" s="4" t="inlineStr">
        <is>
          <t>history:Delivery records!C6</t>
        </is>
      </c>
      <c r="B4999" s="4" t="inlineStr">
        <is>
          <t>Delivery records</t>
        </is>
      </c>
      <c r="C4999" s="4" t="inlineStr">
        <is>
          <t>C6</t>
        </is>
      </c>
      <c r="D4999" s="4" t="inlineStr">
        <is>
          <t>Site ID</t>
        </is>
      </c>
      <c r="E4999" s="4" t="inlineStr">
        <is>
          <t>Site ID</t>
        </is>
      </c>
      <c r="F4999" s="4" t="inlineStr">
        <is>
          <t>Goods-financial-plan.xlsx before consolidation</t>
        </is>
      </c>
    </row>
    <row r="5000" ht="40" customHeight="1">
      <c r="A5000" s="4" t="inlineStr">
        <is>
          <t>history:Delivery records!D6</t>
        </is>
      </c>
      <c r="B5000" s="4" t="inlineStr">
        <is>
          <t>Delivery records</t>
        </is>
      </c>
      <c r="C5000" s="4" t="inlineStr">
        <is>
          <t>D6</t>
        </is>
      </c>
      <c r="D5000" s="4" t="inlineStr">
        <is>
          <t>Delivery confirmed</t>
        </is>
      </c>
      <c r="E5000" s="4" t="inlineStr">
        <is>
          <t>Delivery confirmed</t>
        </is>
      </c>
      <c r="F5000" s="4" t="inlineStr">
        <is>
          <t>Goods-financial-plan.xlsx before consolidation</t>
        </is>
      </c>
    </row>
    <row r="5001" ht="40" customHeight="1">
      <c r="A5001" s="4" t="inlineStr">
        <is>
          <t>history:Delivery records!E6</t>
        </is>
      </c>
      <c r="B5001" s="4" t="inlineStr">
        <is>
          <t>Delivery records</t>
        </is>
      </c>
      <c r="C5001" s="4" t="inlineStr">
        <is>
          <t>E6</t>
        </is>
      </c>
      <c r="D5001" s="4" t="inlineStr">
        <is>
          <t>6-week contacted</t>
        </is>
      </c>
      <c r="E5001" s="4" t="inlineStr">
        <is>
          <t>6-week contacted</t>
        </is>
      </c>
      <c r="F5001" s="4" t="inlineStr">
        <is>
          <t>Goods-financial-plan.xlsx before consolidation</t>
        </is>
      </c>
    </row>
    <row r="5002" ht="40" customHeight="1">
      <c r="A5002" s="4" t="inlineStr">
        <is>
          <t>history:Delivery records!F6</t>
        </is>
      </c>
      <c r="B5002" s="4" t="inlineStr">
        <is>
          <t>Delivery records</t>
        </is>
      </c>
      <c r="C5002" s="4" t="inlineStr">
        <is>
          <t>F6</t>
        </is>
      </c>
      <c r="D5002" s="4" t="inlineStr">
        <is>
          <t>6-week in use</t>
        </is>
      </c>
      <c r="E5002" s="4" t="inlineStr">
        <is>
          <t>6-week in use</t>
        </is>
      </c>
      <c r="F5002" s="4" t="inlineStr">
        <is>
          <t>Goods-financial-plan.xlsx before consolidation</t>
        </is>
      </c>
    </row>
    <row r="5003" ht="40" customHeight="1">
      <c r="A5003" s="4" t="inlineStr">
        <is>
          <t>history:Delivery records!G6</t>
        </is>
      </c>
      <c r="B5003" s="4" t="inlineStr">
        <is>
          <t>Delivery records</t>
        </is>
      </c>
      <c r="C5003" s="4" t="inlineStr">
        <is>
          <t>G6</t>
        </is>
      </c>
      <c r="D5003" s="4" t="inlineStr">
        <is>
          <t>3-month contacted</t>
        </is>
      </c>
      <c r="E5003" s="4" t="inlineStr">
        <is>
          <t>3-month contacted</t>
        </is>
      </c>
      <c r="F5003" s="4" t="inlineStr">
        <is>
          <t>Goods-financial-plan.xlsx before consolidation</t>
        </is>
      </c>
    </row>
    <row r="5004" ht="40" customHeight="1">
      <c r="A5004" s="4" t="inlineStr">
        <is>
          <t>history:Delivery records!H6</t>
        </is>
      </c>
      <c r="B5004" s="4" t="inlineStr">
        <is>
          <t>Delivery records</t>
        </is>
      </c>
      <c r="C5004" s="4" t="inlineStr">
        <is>
          <t>H6</t>
        </is>
      </c>
      <c r="D5004" s="4" t="inlineStr">
        <is>
          <t>3-month in use</t>
        </is>
      </c>
      <c r="E5004" s="4" t="inlineStr">
        <is>
          <t>3-month in use</t>
        </is>
      </c>
      <c r="F5004" s="4" t="inlineStr">
        <is>
          <t>Goods-financial-plan.xlsx before consolidation</t>
        </is>
      </c>
    </row>
    <row r="5005" ht="40" customHeight="1">
      <c r="A5005" s="4" t="inlineStr">
        <is>
          <t>history:Delivery records!I6</t>
        </is>
      </c>
      <c r="B5005" s="4" t="inlineStr">
        <is>
          <t>Delivery records</t>
        </is>
      </c>
      <c r="C5005" s="4" t="inlineStr">
        <is>
          <t>I6</t>
        </is>
      </c>
      <c r="D5005" s="4" t="inlineStr">
        <is>
          <t>Fault reference</t>
        </is>
      </c>
      <c r="E5005" s="4" t="inlineStr">
        <is>
          <t>Fault reference</t>
        </is>
      </c>
      <c r="F5005" s="4" t="inlineStr">
        <is>
          <t>Goods-financial-plan.xlsx before consolidation</t>
        </is>
      </c>
    </row>
    <row r="5006" ht="40" customHeight="1">
      <c r="A5006" s="4" t="inlineStr">
        <is>
          <t>history:Delivery records!J6</t>
        </is>
      </c>
      <c r="B5006" s="4" t="inlineStr">
        <is>
          <t>Delivery records</t>
        </is>
      </c>
      <c r="C5006" s="4" t="inlineStr">
        <is>
          <t>J6</t>
        </is>
      </c>
      <c r="D5006" s="4" t="inlineStr">
        <is>
          <t>Action reference</t>
        </is>
      </c>
      <c r="E5006" s="4" t="inlineStr">
        <is>
          <t>Action reference</t>
        </is>
      </c>
      <c r="F5006" s="4" t="inlineStr">
        <is>
          <t>Goods-financial-plan.xlsx before consolidation</t>
        </is>
      </c>
    </row>
    <row r="5007" ht="40" customHeight="1">
      <c r="A5007" s="4" t="inlineStr">
        <is>
          <t>history:Delivery records!K6</t>
        </is>
      </c>
      <c r="B5007" s="4" t="inlineStr">
        <is>
          <t>Delivery records</t>
        </is>
      </c>
      <c r="C5007" s="4" t="inlineStr">
        <is>
          <t>K6</t>
        </is>
      </c>
      <c r="D5007" s="4" t="inlineStr">
        <is>
          <t>Consent reference</t>
        </is>
      </c>
      <c r="E5007" s="4" t="inlineStr">
        <is>
          <t>Consent reference</t>
        </is>
      </c>
      <c r="F5007" s="4" t="inlineStr">
        <is>
          <t>Goods-financial-plan.xlsx before consolidation</t>
        </is>
      </c>
    </row>
    <row r="5008" ht="40" customHeight="1">
      <c r="A5008" s="4" t="inlineStr">
        <is>
          <t>history:Work and materials!A1</t>
        </is>
      </c>
      <c r="B5008" s="4" t="inlineStr">
        <is>
          <t>Work and materials</t>
        </is>
      </c>
      <c r="C5008" s="4" t="inlineStr">
        <is>
          <t>A1</t>
        </is>
      </c>
      <c r="D5008" s="4" t="inlineStr">
        <is>
          <t>Work and materials</t>
        </is>
      </c>
      <c r="E5008" s="4" t="inlineStr">
        <is>
          <t>Work and materials</t>
        </is>
      </c>
      <c r="F5008" s="4" t="inlineStr">
        <is>
          <t>Goods-financial-plan.xlsx before consolidation</t>
        </is>
      </c>
    </row>
    <row r="5009" ht="90" customHeight="1">
      <c r="A5009" s="4" t="inlineStr">
        <is>
          <t>history:Work and materials!A3</t>
        </is>
      </c>
      <c r="B5009" s="4" t="inlineStr">
        <is>
          <t>Work and materials</t>
        </is>
      </c>
      <c r="C5009" s="4" t="inlineStr">
        <is>
          <t>A3</t>
        </is>
      </c>
      <c r="D5009" s="4" t="inlineStr">
        <is>
          <t>Use source IDs and private participant references. Keep personal information and consent documents in their appropriate records.</t>
        </is>
      </c>
      <c r="E5009" s="4" t="inlineStr">
        <is>
          <t>Use source IDs and private participant references. Keep personal information and consent documents in their appropriate records.</t>
        </is>
      </c>
      <c r="F5009" s="4" t="inlineStr">
        <is>
          <t>Goods-financial-plan.xlsx before consolidation</t>
        </is>
      </c>
    </row>
    <row r="5010" ht="40" customHeight="1">
      <c r="A5010" s="4" t="inlineStr">
        <is>
          <t>history:Work and materials!A6</t>
        </is>
      </c>
      <c r="B5010" s="4" t="inlineStr">
        <is>
          <t>Work and materials</t>
        </is>
      </c>
      <c r="C5010" s="4" t="inlineStr">
        <is>
          <t>A6</t>
        </is>
      </c>
      <c r="D5010" s="4" t="inlineStr">
        <is>
          <t>Shift / batch ID</t>
        </is>
      </c>
      <c r="E5010" s="4" t="inlineStr">
        <is>
          <t>Shift / batch ID</t>
        </is>
      </c>
      <c r="F5010" s="4" t="inlineStr">
        <is>
          <t>Goods-financial-plan.xlsx before consolidation</t>
        </is>
      </c>
    </row>
    <row r="5011" ht="40" customHeight="1">
      <c r="A5011" s="4" t="inlineStr">
        <is>
          <t>history:Work and materials!B6</t>
        </is>
      </c>
      <c r="B5011" s="4" t="inlineStr">
        <is>
          <t>Work and materials</t>
        </is>
      </c>
      <c r="C5011" s="4" t="inlineStr">
        <is>
          <t>B6</t>
        </is>
      </c>
      <c r="D5011" s="4" t="inlineStr">
        <is>
          <t>Date</t>
        </is>
      </c>
      <c r="E5011" s="4" t="inlineStr">
        <is>
          <t>Date</t>
        </is>
      </c>
      <c r="F5011" s="4" t="inlineStr">
        <is>
          <t>Goods-financial-plan.xlsx before consolidation</t>
        </is>
      </c>
    </row>
    <row r="5012" ht="40" customHeight="1">
      <c r="A5012" s="4" t="inlineStr">
        <is>
          <t>history:Work and materials!C6</t>
        </is>
      </c>
      <c r="B5012" s="4" t="inlineStr">
        <is>
          <t>Work and materials</t>
        </is>
      </c>
      <c r="C5012" s="4" t="inlineStr">
        <is>
          <t>C6</t>
        </is>
      </c>
      <c r="D5012" s="4" t="inlineStr">
        <is>
          <t>Site ID</t>
        </is>
      </c>
      <c r="E5012" s="4" t="inlineStr">
        <is>
          <t>Site ID</t>
        </is>
      </c>
      <c r="F5012" s="4" t="inlineStr">
        <is>
          <t>Goods-financial-plan.xlsx before consolidation</t>
        </is>
      </c>
    </row>
    <row r="5013" ht="40" customHeight="1">
      <c r="A5013" s="4" t="inlineStr">
        <is>
          <t>history:Work and materials!D6</t>
        </is>
      </c>
      <c r="B5013" s="4" t="inlineStr">
        <is>
          <t>Work and materials</t>
        </is>
      </c>
      <c r="C5013" s="4" t="inlineStr">
        <is>
          <t>D6</t>
        </is>
      </c>
      <c r="D5013" s="4" t="inlineStr">
        <is>
          <t>Worker reference</t>
        </is>
      </c>
      <c r="E5013" s="4" t="inlineStr">
        <is>
          <t>Worker reference</t>
        </is>
      </c>
      <c r="F5013" s="4" t="inlineStr">
        <is>
          <t>Goods-financial-plan.xlsx before consolidation</t>
        </is>
      </c>
    </row>
    <row r="5014" ht="40" customHeight="1">
      <c r="A5014" s="4" t="inlineStr">
        <is>
          <t>history:Work and materials!E6</t>
        </is>
      </c>
      <c r="B5014" s="4" t="inlineStr">
        <is>
          <t>Work and materials</t>
        </is>
      </c>
      <c r="C5014" s="4" t="inlineStr">
        <is>
          <t>E6</t>
        </is>
      </c>
      <c r="D5014" s="4" t="inlineStr">
        <is>
          <t>Paid hours</t>
        </is>
      </c>
      <c r="E5014" s="4" t="inlineStr">
        <is>
          <t>Paid hours</t>
        </is>
      </c>
      <c r="F5014" s="4" t="inlineStr">
        <is>
          <t>Goods-financial-plan.xlsx before consolidation</t>
        </is>
      </c>
    </row>
    <row r="5015" ht="40" customHeight="1">
      <c r="A5015" s="4" t="inlineStr">
        <is>
          <t>history:Work and materials!F6</t>
        </is>
      </c>
      <c r="B5015" s="4" t="inlineStr">
        <is>
          <t>Work and materials</t>
        </is>
      </c>
      <c r="C5015" s="4" t="inlineStr">
        <is>
          <t>F6</t>
        </is>
      </c>
      <c r="D5015" s="4" t="inlineStr">
        <is>
          <t>Paid amount AUD</t>
        </is>
      </c>
      <c r="E5015" s="4" t="inlineStr">
        <is>
          <t>Paid amount AUD</t>
        </is>
      </c>
      <c r="F5015" s="4" t="inlineStr">
        <is>
          <t>Goods-financial-plan.xlsx before consolidation</t>
        </is>
      </c>
    </row>
    <row r="5016" ht="40" customHeight="1">
      <c r="A5016" s="4" t="inlineStr">
        <is>
          <t>history:Work and materials!G6</t>
        </is>
      </c>
      <c r="B5016" s="4" t="inlineStr">
        <is>
          <t>Work and materials</t>
        </is>
      </c>
      <c r="C5016" s="4" t="inlineStr">
        <is>
          <t>G6</t>
        </is>
      </c>
      <c r="D5016" s="4" t="inlineStr">
        <is>
          <t>Feedstock kg</t>
        </is>
      </c>
      <c r="E5016" s="4" t="inlineStr">
        <is>
          <t>Feedstock kg</t>
        </is>
      </c>
      <c r="F5016" s="4" t="inlineStr">
        <is>
          <t>Goods-financial-plan.xlsx before consolidation</t>
        </is>
      </c>
    </row>
    <row r="5017" ht="40" customHeight="1">
      <c r="A5017" s="4" t="inlineStr">
        <is>
          <t>history:Work and materials!H6</t>
        </is>
      </c>
      <c r="B5017" s="4" t="inlineStr">
        <is>
          <t>Work and materials</t>
        </is>
      </c>
      <c r="C5017" s="4" t="inlineStr">
        <is>
          <t>H6</t>
        </is>
      </c>
      <c r="D5017" s="4" t="inlineStr">
        <is>
          <t>Accepted parts kg</t>
        </is>
      </c>
      <c r="E5017" s="4" t="inlineStr">
        <is>
          <t>Accepted parts kg</t>
        </is>
      </c>
      <c r="F5017" s="4" t="inlineStr">
        <is>
          <t>Goods-financial-plan.xlsx before consolidation</t>
        </is>
      </c>
    </row>
    <row r="5018" ht="40" customHeight="1">
      <c r="A5018" s="4" t="inlineStr">
        <is>
          <t>history:Work and materials!I6</t>
        </is>
      </c>
      <c r="B5018" s="4" t="inlineStr">
        <is>
          <t>Work and materials</t>
        </is>
      </c>
      <c r="C5018" s="4" t="inlineStr">
        <is>
          <t>I6</t>
        </is>
      </c>
      <c r="D5018" s="4" t="inlineStr">
        <is>
          <t>Reusable offcuts kg</t>
        </is>
      </c>
      <c r="E5018" s="4" t="inlineStr">
        <is>
          <t>Reusable offcuts kg</t>
        </is>
      </c>
      <c r="F5018" s="4" t="inlineStr">
        <is>
          <t>Goods-financial-plan.xlsx before consolidation</t>
        </is>
      </c>
    </row>
    <row r="5019" ht="40" customHeight="1">
      <c r="A5019" s="4" t="inlineStr">
        <is>
          <t>history:Work and materials!J6</t>
        </is>
      </c>
      <c r="B5019" s="4" t="inlineStr">
        <is>
          <t>Work and materials</t>
        </is>
      </c>
      <c r="C5019" s="4" t="inlineStr">
        <is>
          <t>J6</t>
        </is>
      </c>
      <c r="D5019" s="4" t="inlineStr">
        <is>
          <t>Waste kg</t>
        </is>
      </c>
      <c r="E5019" s="4" t="inlineStr">
        <is>
          <t>Waste kg</t>
        </is>
      </c>
      <c r="F5019" s="4" t="inlineStr">
        <is>
          <t>Goods-financial-plan.xlsx before consolidation</t>
        </is>
      </c>
    </row>
    <row r="5020" ht="40" customHeight="1">
      <c r="A5020" s="4" t="inlineStr">
        <is>
          <t>history:Work and materials!K6</t>
        </is>
      </c>
      <c r="B5020" s="4" t="inlineStr">
        <is>
          <t>Work and materials</t>
        </is>
      </c>
      <c r="C5020" s="4" t="inlineStr">
        <is>
          <t>K6</t>
        </is>
      </c>
      <c r="D5020" s="4" t="inlineStr">
        <is>
          <t>Mass difference kg</t>
        </is>
      </c>
      <c r="E5020" s="4" t="inlineStr">
        <is>
          <t>Mass difference kg</t>
        </is>
      </c>
      <c r="F5020" s="4" t="inlineStr">
        <is>
          <t>Goods-financial-plan.xlsx before consolidation</t>
        </is>
      </c>
    </row>
    <row r="5021" ht="40" customHeight="1">
      <c r="A5021" s="4" t="inlineStr">
        <is>
          <t>history:Work and materials!L6</t>
        </is>
      </c>
      <c r="B5021" s="4" t="inlineStr">
        <is>
          <t>Work and materials</t>
        </is>
      </c>
      <c r="C5021" s="4" t="inlineStr">
        <is>
          <t>L6</t>
        </is>
      </c>
      <c r="D5021" s="4" t="inlineStr">
        <is>
          <t>Payment reference</t>
        </is>
      </c>
      <c r="E5021" s="4" t="inlineStr">
        <is>
          <t>Payment reference</t>
        </is>
      </c>
      <c r="F5021" s="4" t="inlineStr">
        <is>
          <t>Goods-financial-plan.xlsx before consolidation</t>
        </is>
      </c>
    </row>
    <row r="5022" ht="40" customHeight="1">
      <c r="A5022" s="4" t="inlineStr">
        <is>
          <t>history:Work and materials!K7</t>
        </is>
      </c>
      <c r="B5022" s="4" t="inlineStr">
        <is>
          <t>Work and materials</t>
        </is>
      </c>
      <c r="C5022" s="4" t="inlineStr">
        <is>
          <t>K7</t>
        </is>
      </c>
      <c r="D5022" s="4" t="inlineStr">
        <is>
          <t>=IF(COUNT(G7:J7)&lt;4,"",G7-SUM(H7:J7))</t>
        </is>
      </c>
      <c r="E5022" s="4" t="n"/>
      <c r="F5022" s="4" t="inlineStr">
        <is>
          <t>Goods-financial-plan.xlsx before consolidation</t>
        </is>
      </c>
    </row>
    <row r="5023" ht="40" customHeight="1">
      <c r="A5023" s="4" t="inlineStr">
        <is>
          <t>history:Work and materials!K8</t>
        </is>
      </c>
      <c r="B5023" s="4" t="inlineStr">
        <is>
          <t>Work and materials</t>
        </is>
      </c>
      <c r="C5023" s="4" t="inlineStr">
        <is>
          <t>K8</t>
        </is>
      </c>
      <c r="D5023" s="4" t="inlineStr">
        <is>
          <t>=IF(COUNT(G8:J8)&lt;4,"",G8-SUM(H8:J8))</t>
        </is>
      </c>
      <c r="E5023" s="4" t="n"/>
      <c r="F5023" s="4" t="inlineStr">
        <is>
          <t>Goods-financial-plan.xlsx before consolidation</t>
        </is>
      </c>
    </row>
    <row r="5024" ht="40" customHeight="1">
      <c r="A5024" s="4" t="inlineStr">
        <is>
          <t>history:Work and materials!K9</t>
        </is>
      </c>
      <c r="B5024" s="4" t="inlineStr">
        <is>
          <t>Work and materials</t>
        </is>
      </c>
      <c r="C5024" s="4" t="inlineStr">
        <is>
          <t>K9</t>
        </is>
      </c>
      <c r="D5024" s="4" t="inlineStr">
        <is>
          <t>=IF(COUNT(G9:J9)&lt;4,"",G9-SUM(H9:J9))</t>
        </is>
      </c>
      <c r="E5024" s="4" t="n"/>
      <c r="F5024" s="4" t="inlineStr">
        <is>
          <t>Goods-financial-plan.xlsx before consolidation</t>
        </is>
      </c>
    </row>
    <row r="5025" ht="40" customHeight="1">
      <c r="A5025" s="4" t="inlineStr">
        <is>
          <t>history:Work and materials!K10</t>
        </is>
      </c>
      <c r="B5025" s="4" t="inlineStr">
        <is>
          <t>Work and materials</t>
        </is>
      </c>
      <c r="C5025" s="4" t="inlineStr">
        <is>
          <t>K10</t>
        </is>
      </c>
      <c r="D5025" s="4" t="inlineStr">
        <is>
          <t>=IF(COUNT(G10:J10)&lt;4,"",G10-SUM(H10:J10))</t>
        </is>
      </c>
      <c r="E5025" s="4" t="n"/>
      <c r="F5025" s="4" t="inlineStr">
        <is>
          <t>Goods-financial-plan.xlsx before consolidation</t>
        </is>
      </c>
    </row>
    <row r="5026" ht="40" customHeight="1">
      <c r="A5026" s="4" t="inlineStr">
        <is>
          <t>history:Work and materials!K11</t>
        </is>
      </c>
      <c r="B5026" s="4" t="inlineStr">
        <is>
          <t>Work and materials</t>
        </is>
      </c>
      <c r="C5026" s="4" t="inlineStr">
        <is>
          <t>K11</t>
        </is>
      </c>
      <c r="D5026" s="4" t="inlineStr">
        <is>
          <t>=IF(COUNT(G11:J11)&lt;4,"",G11-SUM(H11:J11))</t>
        </is>
      </c>
      <c r="E5026" s="4" t="n"/>
      <c r="F5026" s="4" t="inlineStr">
        <is>
          <t>Goods-financial-plan.xlsx before consolidation</t>
        </is>
      </c>
    </row>
    <row r="5027" ht="40" customHeight="1">
      <c r="A5027" s="4" t="inlineStr">
        <is>
          <t>history:Work and materials!K12</t>
        </is>
      </c>
      <c r="B5027" s="4" t="inlineStr">
        <is>
          <t>Work and materials</t>
        </is>
      </c>
      <c r="C5027" s="4" t="inlineStr">
        <is>
          <t>K12</t>
        </is>
      </c>
      <c r="D5027" s="4" t="inlineStr">
        <is>
          <t>=IF(COUNT(G12:J12)&lt;4,"",G12-SUM(H12:J12))</t>
        </is>
      </c>
      <c r="E5027" s="4" t="n"/>
      <c r="F5027" s="4" t="inlineStr">
        <is>
          <t>Goods-financial-plan.xlsx before consolidation</t>
        </is>
      </c>
    </row>
    <row r="5028" ht="40" customHeight="1">
      <c r="A5028" s="4" t="inlineStr">
        <is>
          <t>history:Work and materials!K13</t>
        </is>
      </c>
      <c r="B5028" s="4" t="inlineStr">
        <is>
          <t>Work and materials</t>
        </is>
      </c>
      <c r="C5028" s="4" t="inlineStr">
        <is>
          <t>K13</t>
        </is>
      </c>
      <c r="D5028" s="4" t="inlineStr">
        <is>
          <t>=IF(COUNT(G13:J13)&lt;4,"",G13-SUM(H13:J13))</t>
        </is>
      </c>
      <c r="E5028" s="4" t="n"/>
      <c r="F5028" s="4" t="inlineStr">
        <is>
          <t>Goods-financial-plan.xlsx before consolidation</t>
        </is>
      </c>
    </row>
    <row r="5029" ht="40" customHeight="1">
      <c r="A5029" s="4" t="inlineStr">
        <is>
          <t>history:Work and materials!K14</t>
        </is>
      </c>
      <c r="B5029" s="4" t="inlineStr">
        <is>
          <t>Work and materials</t>
        </is>
      </c>
      <c r="C5029" s="4" t="inlineStr">
        <is>
          <t>K14</t>
        </is>
      </c>
      <c r="D5029" s="4" t="inlineStr">
        <is>
          <t>=IF(COUNT(G14:J14)&lt;4,"",G14-SUM(H14:J14))</t>
        </is>
      </c>
      <c r="E5029" s="4" t="n"/>
      <c r="F5029" s="4" t="inlineStr">
        <is>
          <t>Goods-financial-plan.xlsx before consolidation</t>
        </is>
      </c>
    </row>
    <row r="5030" ht="40" customHeight="1">
      <c r="A5030" s="4" t="inlineStr">
        <is>
          <t>history:Work and materials!K15</t>
        </is>
      </c>
      <c r="B5030" s="4" t="inlineStr">
        <is>
          <t>Work and materials</t>
        </is>
      </c>
      <c r="C5030" s="4" t="inlineStr">
        <is>
          <t>K15</t>
        </is>
      </c>
      <c r="D5030" s="4" t="inlineStr">
        <is>
          <t>=IF(COUNT(G15:J15)&lt;4,"",G15-SUM(H15:J15))</t>
        </is>
      </c>
      <c r="E5030" s="4" t="n"/>
      <c r="F5030" s="4" t="inlineStr">
        <is>
          <t>Goods-financial-plan.xlsx before consolidation</t>
        </is>
      </c>
    </row>
    <row r="5031" ht="40" customHeight="1">
      <c r="A5031" s="4" t="inlineStr">
        <is>
          <t>history:Work and materials!K16</t>
        </is>
      </c>
      <c r="B5031" s="4" t="inlineStr">
        <is>
          <t>Work and materials</t>
        </is>
      </c>
      <c r="C5031" s="4" t="inlineStr">
        <is>
          <t>K16</t>
        </is>
      </c>
      <c r="D5031" s="4" t="inlineStr">
        <is>
          <t>=IF(COUNT(G16:J16)&lt;4,"",G16-SUM(H16:J16))</t>
        </is>
      </c>
      <c r="E5031" s="4" t="n"/>
      <c r="F5031" s="4" t="inlineStr">
        <is>
          <t>Goods-financial-plan.xlsx before consolidation</t>
        </is>
      </c>
    </row>
    <row r="5032" ht="40" customHeight="1">
      <c r="A5032" s="4" t="inlineStr">
        <is>
          <t>history:Work and materials!K17</t>
        </is>
      </c>
      <c r="B5032" s="4" t="inlineStr">
        <is>
          <t>Work and materials</t>
        </is>
      </c>
      <c r="C5032" s="4" t="inlineStr">
        <is>
          <t>K17</t>
        </is>
      </c>
      <c r="D5032" s="4" t="inlineStr">
        <is>
          <t>=IF(COUNT(G17:J17)&lt;4,"",G17-SUM(H17:J17))</t>
        </is>
      </c>
      <c r="E5032" s="4" t="n"/>
      <c r="F5032" s="4" t="inlineStr">
        <is>
          <t>Goods-financial-plan.xlsx before consolidation</t>
        </is>
      </c>
    </row>
    <row r="5033" ht="40" customHeight="1">
      <c r="A5033" s="4" t="inlineStr">
        <is>
          <t>history:Work and materials!K18</t>
        </is>
      </c>
      <c r="B5033" s="4" t="inlineStr">
        <is>
          <t>Work and materials</t>
        </is>
      </c>
      <c r="C5033" s="4" t="inlineStr">
        <is>
          <t>K18</t>
        </is>
      </c>
      <c r="D5033" s="4" t="inlineStr">
        <is>
          <t>=IF(COUNT(G18:J18)&lt;4,"",G18-SUM(H18:J18))</t>
        </is>
      </c>
      <c r="E5033" s="4" t="n"/>
      <c r="F5033" s="4" t="inlineStr">
        <is>
          <t>Goods-financial-plan.xlsx before consolidation</t>
        </is>
      </c>
    </row>
    <row r="5034" ht="40" customHeight="1">
      <c r="A5034" s="4" t="inlineStr">
        <is>
          <t>history:Work and materials!K19</t>
        </is>
      </c>
      <c r="B5034" s="4" t="inlineStr">
        <is>
          <t>Work and materials</t>
        </is>
      </c>
      <c r="C5034" s="4" t="inlineStr">
        <is>
          <t>K19</t>
        </is>
      </c>
      <c r="D5034" s="4" t="inlineStr">
        <is>
          <t>=IF(COUNT(G19:J19)&lt;4,"",G19-SUM(H19:J19))</t>
        </is>
      </c>
      <c r="E5034" s="4" t="n"/>
      <c r="F5034" s="4" t="inlineStr">
        <is>
          <t>Goods-financial-plan.xlsx before consolidation</t>
        </is>
      </c>
    </row>
    <row r="5035" ht="40" customHeight="1">
      <c r="A5035" s="4" t="inlineStr">
        <is>
          <t>history:Work and materials!K20</t>
        </is>
      </c>
      <c r="B5035" s="4" t="inlineStr">
        <is>
          <t>Work and materials</t>
        </is>
      </c>
      <c r="C5035" s="4" t="inlineStr">
        <is>
          <t>K20</t>
        </is>
      </c>
      <c r="D5035" s="4" t="inlineStr">
        <is>
          <t>=IF(COUNT(G20:J20)&lt;4,"",G20-SUM(H20:J20))</t>
        </is>
      </c>
      <c r="E5035" s="4" t="n"/>
      <c r="F5035" s="4" t="inlineStr">
        <is>
          <t>Goods-financial-plan.xlsx before consolidation</t>
        </is>
      </c>
    </row>
    <row r="5036" ht="40" customHeight="1">
      <c r="A5036" s="4" t="inlineStr">
        <is>
          <t>history:Work and materials!K21</t>
        </is>
      </c>
      <c r="B5036" s="4" t="inlineStr">
        <is>
          <t>Work and materials</t>
        </is>
      </c>
      <c r="C5036" s="4" t="inlineStr">
        <is>
          <t>K21</t>
        </is>
      </c>
      <c r="D5036" s="4" t="inlineStr">
        <is>
          <t>=IF(COUNT(G21:J21)&lt;4,"",G21-SUM(H21:J21))</t>
        </is>
      </c>
      <c r="E5036" s="4" t="n"/>
      <c r="F5036" s="4" t="inlineStr">
        <is>
          <t>Goods-financial-plan.xlsx before consolidation</t>
        </is>
      </c>
    </row>
    <row r="5037" ht="40" customHeight="1">
      <c r="A5037" s="4" t="inlineStr">
        <is>
          <t>history:Work and materials!K22</t>
        </is>
      </c>
      <c r="B5037" s="4" t="inlineStr">
        <is>
          <t>Work and materials</t>
        </is>
      </c>
      <c r="C5037" s="4" t="inlineStr">
        <is>
          <t>K22</t>
        </is>
      </c>
      <c r="D5037" s="4" t="inlineStr">
        <is>
          <t>=IF(COUNT(G22:J22)&lt;4,"",G22-SUM(H22:J22))</t>
        </is>
      </c>
      <c r="E5037" s="4" t="n"/>
      <c r="F5037" s="4" t="inlineStr">
        <is>
          <t>Goods-financial-plan.xlsx before consolidation</t>
        </is>
      </c>
    </row>
    <row r="5038" ht="40" customHeight="1">
      <c r="A5038" s="4" t="inlineStr">
        <is>
          <t>history:Work and materials!K23</t>
        </is>
      </c>
      <c r="B5038" s="4" t="inlineStr">
        <is>
          <t>Work and materials</t>
        </is>
      </c>
      <c r="C5038" s="4" t="inlineStr">
        <is>
          <t>K23</t>
        </is>
      </c>
      <c r="D5038" s="4" t="inlineStr">
        <is>
          <t>=IF(COUNT(G23:J23)&lt;4,"",G23-SUM(H23:J23))</t>
        </is>
      </c>
      <c r="E5038" s="4" t="n"/>
      <c r="F5038" s="4" t="inlineStr">
        <is>
          <t>Goods-financial-plan.xlsx before consolidation</t>
        </is>
      </c>
    </row>
    <row r="5039" ht="40" customHeight="1">
      <c r="A5039" s="4" t="inlineStr">
        <is>
          <t>history:Work and materials!K24</t>
        </is>
      </c>
      <c r="B5039" s="4" t="inlineStr">
        <is>
          <t>Work and materials</t>
        </is>
      </c>
      <c r="C5039" s="4" t="inlineStr">
        <is>
          <t>K24</t>
        </is>
      </c>
      <c r="D5039" s="4" t="inlineStr">
        <is>
          <t>=IF(COUNT(G24:J24)&lt;4,"",G24-SUM(H24:J24))</t>
        </is>
      </c>
      <c r="E5039" s="4" t="n"/>
      <c r="F5039" s="4" t="inlineStr">
        <is>
          <t>Goods-financial-plan.xlsx before consolidation</t>
        </is>
      </c>
    </row>
    <row r="5040" ht="40" customHeight="1">
      <c r="A5040" s="4" t="inlineStr">
        <is>
          <t>history:Work and materials!K25</t>
        </is>
      </c>
      <c r="B5040" s="4" t="inlineStr">
        <is>
          <t>Work and materials</t>
        </is>
      </c>
      <c r="C5040" s="4" t="inlineStr">
        <is>
          <t>K25</t>
        </is>
      </c>
      <c r="D5040" s="4" t="inlineStr">
        <is>
          <t>=IF(COUNT(G25:J25)&lt;4,"",G25-SUM(H25:J25))</t>
        </is>
      </c>
      <c r="E5040" s="4" t="n"/>
      <c r="F5040" s="4" t="inlineStr">
        <is>
          <t>Goods-financial-plan.xlsx before consolidation</t>
        </is>
      </c>
    </row>
    <row r="5041" ht="40" customHeight="1">
      <c r="A5041" s="4" t="inlineStr">
        <is>
          <t>history:Work and materials!K26</t>
        </is>
      </c>
      <c r="B5041" s="4" t="inlineStr">
        <is>
          <t>Work and materials</t>
        </is>
      </c>
      <c r="C5041" s="4" t="inlineStr">
        <is>
          <t>K26</t>
        </is>
      </c>
      <c r="D5041" s="4" t="inlineStr">
        <is>
          <t>=IF(COUNT(G26:J26)&lt;4,"",G26-SUM(H26:J26))</t>
        </is>
      </c>
      <c r="E5041" s="4" t="n"/>
      <c r="F5041" s="4" t="inlineStr">
        <is>
          <t>Goods-financial-plan.xlsx before consolidation</t>
        </is>
      </c>
    </row>
    <row r="5042" ht="40" customHeight="1">
      <c r="A5042" s="4" t="inlineStr">
        <is>
          <t>history:Work and materials!K27</t>
        </is>
      </c>
      <c r="B5042" s="4" t="inlineStr">
        <is>
          <t>Work and materials</t>
        </is>
      </c>
      <c r="C5042" s="4" t="inlineStr">
        <is>
          <t>K27</t>
        </is>
      </c>
      <c r="D5042" s="4" t="inlineStr">
        <is>
          <t>=IF(COUNT(G27:J27)&lt;4,"",G27-SUM(H27:J27))</t>
        </is>
      </c>
      <c r="E5042" s="4" t="n"/>
      <c r="F5042" s="4" t="inlineStr">
        <is>
          <t>Goods-financial-plan.xlsx before consolidation</t>
        </is>
      </c>
    </row>
    <row r="5043" ht="40" customHeight="1">
      <c r="A5043" s="4" t="inlineStr">
        <is>
          <t>history:Work and materials!K28</t>
        </is>
      </c>
      <c r="B5043" s="4" t="inlineStr">
        <is>
          <t>Work and materials</t>
        </is>
      </c>
      <c r="C5043" s="4" t="inlineStr">
        <is>
          <t>K28</t>
        </is>
      </c>
      <c r="D5043" s="4" t="inlineStr">
        <is>
          <t>=IF(COUNT(G28:J28)&lt;4,"",G28-SUM(H28:J28))</t>
        </is>
      </c>
      <c r="E5043" s="4" t="n"/>
      <c r="F5043" s="4" t="inlineStr">
        <is>
          <t>Goods-financial-plan.xlsx before consolidation</t>
        </is>
      </c>
    </row>
    <row r="5044" ht="40" customHeight="1">
      <c r="A5044" s="4" t="inlineStr">
        <is>
          <t>history:Work and materials!K29</t>
        </is>
      </c>
      <c r="B5044" s="4" t="inlineStr">
        <is>
          <t>Work and materials</t>
        </is>
      </c>
      <c r="C5044" s="4" t="inlineStr">
        <is>
          <t>K29</t>
        </is>
      </c>
      <c r="D5044" s="4" t="inlineStr">
        <is>
          <t>=IF(COUNT(G29:J29)&lt;4,"",G29-SUM(H29:J29))</t>
        </is>
      </c>
      <c r="E5044" s="4" t="n"/>
      <c r="F5044" s="4" t="inlineStr">
        <is>
          <t>Goods-financial-plan.xlsx before consolidation</t>
        </is>
      </c>
    </row>
    <row r="5045" ht="40" customHeight="1">
      <c r="A5045" s="4" t="inlineStr">
        <is>
          <t>history:Work and materials!K30</t>
        </is>
      </c>
      <c r="B5045" s="4" t="inlineStr">
        <is>
          <t>Work and materials</t>
        </is>
      </c>
      <c r="C5045" s="4" t="inlineStr">
        <is>
          <t>K30</t>
        </is>
      </c>
      <c r="D5045" s="4" t="inlineStr">
        <is>
          <t>=IF(COUNT(G30:J30)&lt;4,"",G30-SUM(H30:J30))</t>
        </is>
      </c>
      <c r="E5045" s="4" t="n"/>
      <c r="F5045" s="4" t="inlineStr">
        <is>
          <t>Goods-financial-plan.xlsx before consolidation</t>
        </is>
      </c>
    </row>
    <row r="5046" ht="40" customHeight="1">
      <c r="A5046" s="4" t="inlineStr">
        <is>
          <t>history:Work and materials!K31</t>
        </is>
      </c>
      <c r="B5046" s="4" t="inlineStr">
        <is>
          <t>Work and materials</t>
        </is>
      </c>
      <c r="C5046" s="4" t="inlineStr">
        <is>
          <t>K31</t>
        </is>
      </c>
      <c r="D5046" s="4" t="inlineStr">
        <is>
          <t>=IF(COUNT(G31:J31)&lt;4,"",G31-SUM(H31:J31))</t>
        </is>
      </c>
      <c r="E5046" s="4" t="n"/>
      <c r="F5046" s="4" t="inlineStr">
        <is>
          <t>Goods-financial-plan.xlsx before consolidation</t>
        </is>
      </c>
    </row>
    <row r="5047" ht="40" customHeight="1">
      <c r="A5047" s="4" t="inlineStr">
        <is>
          <t>history:Work and materials!K32</t>
        </is>
      </c>
      <c r="B5047" s="4" t="inlineStr">
        <is>
          <t>Work and materials</t>
        </is>
      </c>
      <c r="C5047" s="4" t="inlineStr">
        <is>
          <t>K32</t>
        </is>
      </c>
      <c r="D5047" s="4" t="inlineStr">
        <is>
          <t>=IF(COUNT(G32:J32)&lt;4,"",G32-SUM(H32:J32))</t>
        </is>
      </c>
      <c r="E5047" s="4" t="n"/>
      <c r="F5047" s="4" t="inlineStr">
        <is>
          <t>Goods-financial-plan.xlsx before consolidation</t>
        </is>
      </c>
    </row>
    <row r="5048" ht="40" customHeight="1">
      <c r="A5048" s="4" t="inlineStr">
        <is>
          <t>history:Work and materials!K33</t>
        </is>
      </c>
      <c r="B5048" s="4" t="inlineStr">
        <is>
          <t>Work and materials</t>
        </is>
      </c>
      <c r="C5048" s="4" t="inlineStr">
        <is>
          <t>K33</t>
        </is>
      </c>
      <c r="D5048" s="4" t="inlineStr">
        <is>
          <t>=IF(COUNT(G33:J33)&lt;4,"",G33-SUM(H33:J33))</t>
        </is>
      </c>
      <c r="E5048" s="4" t="n"/>
      <c r="F5048" s="4" t="inlineStr">
        <is>
          <t>Goods-financial-plan.xlsx before consolidation</t>
        </is>
      </c>
    </row>
    <row r="5049" ht="40" customHeight="1">
      <c r="A5049" s="4" t="inlineStr">
        <is>
          <t>history:Work and materials!K34</t>
        </is>
      </c>
      <c r="B5049" s="4" t="inlineStr">
        <is>
          <t>Work and materials</t>
        </is>
      </c>
      <c r="C5049" s="4" t="inlineStr">
        <is>
          <t>K34</t>
        </is>
      </c>
      <c r="D5049" s="4" t="inlineStr">
        <is>
          <t>=IF(COUNT(G34:J34)&lt;4,"",G34-SUM(H34:J34))</t>
        </is>
      </c>
      <c r="E5049" s="4" t="n"/>
      <c r="F5049" s="4" t="inlineStr">
        <is>
          <t>Goods-financial-plan.xlsx before consolidation</t>
        </is>
      </c>
    </row>
    <row r="5050" ht="40" customHeight="1">
      <c r="A5050" s="4" t="inlineStr">
        <is>
          <t>history:Work and materials!K35</t>
        </is>
      </c>
      <c r="B5050" s="4" t="inlineStr">
        <is>
          <t>Work and materials</t>
        </is>
      </c>
      <c r="C5050" s="4" t="inlineStr">
        <is>
          <t>K35</t>
        </is>
      </c>
      <c r="D5050" s="4" t="inlineStr">
        <is>
          <t>=IF(COUNT(G35:J35)&lt;4,"",G35-SUM(H35:J35))</t>
        </is>
      </c>
      <c r="E5050" s="4" t="n"/>
      <c r="F5050" s="4" t="inlineStr">
        <is>
          <t>Goods-financial-plan.xlsx before consolidation</t>
        </is>
      </c>
    </row>
    <row r="5051" ht="40" customHeight="1">
      <c r="A5051" s="4" t="inlineStr">
        <is>
          <t>history:Work and materials!K36</t>
        </is>
      </c>
      <c r="B5051" s="4" t="inlineStr">
        <is>
          <t>Work and materials</t>
        </is>
      </c>
      <c r="C5051" s="4" t="inlineStr">
        <is>
          <t>K36</t>
        </is>
      </c>
      <c r="D5051" s="4" t="inlineStr">
        <is>
          <t>=IF(COUNT(G36:J36)&lt;4,"",G36-SUM(H36:J36))</t>
        </is>
      </c>
      <c r="E5051" s="4" t="n"/>
      <c r="F5051" s="4" t="inlineStr">
        <is>
          <t>Goods-financial-plan.xlsx before consolidation</t>
        </is>
      </c>
    </row>
    <row r="5052" ht="40" customHeight="1">
      <c r="A5052" s="4" t="inlineStr">
        <is>
          <t>history:Work and materials!K37</t>
        </is>
      </c>
      <c r="B5052" s="4" t="inlineStr">
        <is>
          <t>Work and materials</t>
        </is>
      </c>
      <c r="C5052" s="4" t="inlineStr">
        <is>
          <t>K37</t>
        </is>
      </c>
      <c r="D5052" s="4" t="inlineStr">
        <is>
          <t>=IF(COUNT(G37:J37)&lt;4,"",G37-SUM(H37:J37))</t>
        </is>
      </c>
      <c r="E5052" s="4" t="n"/>
      <c r="F5052" s="4" t="inlineStr">
        <is>
          <t>Goods-financial-plan.xlsx before consolidation</t>
        </is>
      </c>
    </row>
    <row r="5053" ht="40" customHeight="1">
      <c r="A5053" s="4" t="inlineStr">
        <is>
          <t>history:Work and materials!K38</t>
        </is>
      </c>
      <c r="B5053" s="4" t="inlineStr">
        <is>
          <t>Work and materials</t>
        </is>
      </c>
      <c r="C5053" s="4" t="inlineStr">
        <is>
          <t>K38</t>
        </is>
      </c>
      <c r="D5053" s="4" t="inlineStr">
        <is>
          <t>=IF(COUNT(G38:J38)&lt;4,"",G38-SUM(H38:J38))</t>
        </is>
      </c>
      <c r="E5053" s="4" t="n"/>
      <c r="F5053" s="4" t="inlineStr">
        <is>
          <t>Goods-financial-plan.xlsx before consolidation</t>
        </is>
      </c>
    </row>
    <row r="5054" ht="40" customHeight="1">
      <c r="A5054" s="4" t="inlineStr">
        <is>
          <t>history:Work and materials!K39</t>
        </is>
      </c>
      <c r="B5054" s="4" t="inlineStr">
        <is>
          <t>Work and materials</t>
        </is>
      </c>
      <c r="C5054" s="4" t="inlineStr">
        <is>
          <t>K39</t>
        </is>
      </c>
      <c r="D5054" s="4" t="inlineStr">
        <is>
          <t>=IF(COUNT(G39:J39)&lt;4,"",G39-SUM(H39:J39))</t>
        </is>
      </c>
      <c r="E5054" s="4" t="n"/>
      <c r="F5054" s="4" t="inlineStr">
        <is>
          <t>Goods-financial-plan.xlsx before consolidation</t>
        </is>
      </c>
    </row>
    <row r="5055" ht="40" customHeight="1">
      <c r="A5055" s="4" t="inlineStr">
        <is>
          <t>history:Work and materials!K40</t>
        </is>
      </c>
      <c r="B5055" s="4" t="inlineStr">
        <is>
          <t>Work and materials</t>
        </is>
      </c>
      <c r="C5055" s="4" t="inlineStr">
        <is>
          <t>K40</t>
        </is>
      </c>
      <c r="D5055" s="4" t="inlineStr">
        <is>
          <t>=IF(COUNT(G40:J40)&lt;4,"",G40-SUM(H40:J40))</t>
        </is>
      </c>
      <c r="E5055" s="4" t="n"/>
      <c r="F5055" s="4" t="inlineStr">
        <is>
          <t>Goods-financial-plan.xlsx before consolidation</t>
        </is>
      </c>
    </row>
    <row r="5056" ht="40" customHeight="1">
      <c r="A5056" s="4" t="inlineStr">
        <is>
          <t>history:Work and materials!K41</t>
        </is>
      </c>
      <c r="B5056" s="4" t="inlineStr">
        <is>
          <t>Work and materials</t>
        </is>
      </c>
      <c r="C5056" s="4" t="inlineStr">
        <is>
          <t>K41</t>
        </is>
      </c>
      <c r="D5056" s="4" t="inlineStr">
        <is>
          <t>=IF(COUNT(G41:J41)&lt;4,"",G41-SUM(H41:J41))</t>
        </is>
      </c>
      <c r="E5056" s="4" t="n"/>
      <c r="F5056" s="4" t="inlineStr">
        <is>
          <t>Goods-financial-plan.xlsx before consolidation</t>
        </is>
      </c>
    </row>
    <row r="5057" ht="40" customHeight="1">
      <c r="A5057" s="4" t="inlineStr">
        <is>
          <t>history:Work and materials!K42</t>
        </is>
      </c>
      <c r="B5057" s="4" t="inlineStr">
        <is>
          <t>Work and materials</t>
        </is>
      </c>
      <c r="C5057" s="4" t="inlineStr">
        <is>
          <t>K42</t>
        </is>
      </c>
      <c r="D5057" s="4" t="inlineStr">
        <is>
          <t>=IF(COUNT(G42:J42)&lt;4,"",G42-SUM(H42:J42))</t>
        </is>
      </c>
      <c r="E5057" s="4" t="n"/>
      <c r="F5057" s="4" t="inlineStr">
        <is>
          <t>Goods-financial-plan.xlsx before consolidation</t>
        </is>
      </c>
    </row>
    <row r="5058" ht="40" customHeight="1">
      <c r="A5058" s="4" t="inlineStr">
        <is>
          <t>history:Work and materials!K43</t>
        </is>
      </c>
      <c r="B5058" s="4" t="inlineStr">
        <is>
          <t>Work and materials</t>
        </is>
      </c>
      <c r="C5058" s="4" t="inlineStr">
        <is>
          <t>K43</t>
        </is>
      </c>
      <c r="D5058" s="4" t="inlineStr">
        <is>
          <t>=IF(COUNT(G43:J43)&lt;4,"",G43-SUM(H43:J43))</t>
        </is>
      </c>
      <c r="E5058" s="4" t="n"/>
      <c r="F5058" s="4" t="inlineStr">
        <is>
          <t>Goods-financial-plan.xlsx before consolidation</t>
        </is>
      </c>
    </row>
    <row r="5059" ht="40" customHeight="1">
      <c r="A5059" s="4" t="inlineStr">
        <is>
          <t>history:Work and materials!K44</t>
        </is>
      </c>
      <c r="B5059" s="4" t="inlineStr">
        <is>
          <t>Work and materials</t>
        </is>
      </c>
      <c r="C5059" s="4" t="inlineStr">
        <is>
          <t>K44</t>
        </is>
      </c>
      <c r="D5059" s="4" t="inlineStr">
        <is>
          <t>=IF(COUNT(G44:J44)&lt;4,"",G44-SUM(H44:J44))</t>
        </is>
      </c>
      <c r="E5059" s="4" t="n"/>
      <c r="F5059" s="4" t="inlineStr">
        <is>
          <t>Goods-financial-plan.xlsx before consolidation</t>
        </is>
      </c>
    </row>
    <row r="5060" ht="40" customHeight="1">
      <c r="A5060" s="4" t="inlineStr">
        <is>
          <t>history:Work and materials!K45</t>
        </is>
      </c>
      <c r="B5060" s="4" t="inlineStr">
        <is>
          <t>Work and materials</t>
        </is>
      </c>
      <c r="C5060" s="4" t="inlineStr">
        <is>
          <t>K45</t>
        </is>
      </c>
      <c r="D5060" s="4" t="inlineStr">
        <is>
          <t>=IF(COUNT(G45:J45)&lt;4,"",G45-SUM(H45:J45))</t>
        </is>
      </c>
      <c r="E5060" s="4" t="n"/>
      <c r="F5060" s="4" t="inlineStr">
        <is>
          <t>Goods-financial-plan.xlsx before consolidation</t>
        </is>
      </c>
    </row>
    <row r="5061" ht="40" customHeight="1">
      <c r="A5061" s="4" t="inlineStr">
        <is>
          <t>history:Work and materials!K46</t>
        </is>
      </c>
      <c r="B5061" s="4" t="inlineStr">
        <is>
          <t>Work and materials</t>
        </is>
      </c>
      <c r="C5061" s="4" t="inlineStr">
        <is>
          <t>K46</t>
        </is>
      </c>
      <c r="D5061" s="4" t="inlineStr">
        <is>
          <t>=IF(COUNT(G46:J46)&lt;4,"",G46-SUM(H46:J46))</t>
        </is>
      </c>
      <c r="E5061" s="4" t="n"/>
      <c r="F5061" s="4" t="inlineStr">
        <is>
          <t>Goods-financial-plan.xlsx before consolidation</t>
        </is>
      </c>
    </row>
    <row r="5062" ht="40" customHeight="1">
      <c r="A5062" s="4" t="inlineStr">
        <is>
          <t>history:Work and materials!K47</t>
        </is>
      </c>
      <c r="B5062" s="4" t="inlineStr">
        <is>
          <t>Work and materials</t>
        </is>
      </c>
      <c r="C5062" s="4" t="inlineStr">
        <is>
          <t>K47</t>
        </is>
      </c>
      <c r="D5062" s="4" t="inlineStr">
        <is>
          <t>=IF(COUNT(G47:J47)&lt;4,"",G47-SUM(H47:J47))</t>
        </is>
      </c>
      <c r="E5062" s="4" t="n"/>
      <c r="F5062" s="4" t="inlineStr">
        <is>
          <t>Goods-financial-plan.xlsx before consolidation</t>
        </is>
      </c>
    </row>
    <row r="5063" ht="40" customHeight="1">
      <c r="A5063" s="4" t="inlineStr">
        <is>
          <t>history:Work and materials!K48</t>
        </is>
      </c>
      <c r="B5063" s="4" t="inlineStr">
        <is>
          <t>Work and materials</t>
        </is>
      </c>
      <c r="C5063" s="4" t="inlineStr">
        <is>
          <t>K48</t>
        </is>
      </c>
      <c r="D5063" s="4" t="inlineStr">
        <is>
          <t>=IF(COUNT(G48:J48)&lt;4,"",G48-SUM(H48:J48))</t>
        </is>
      </c>
      <c r="E5063" s="4" t="n"/>
      <c r="F5063" s="4" t="inlineStr">
        <is>
          <t>Goods-financial-plan.xlsx before consolidation</t>
        </is>
      </c>
    </row>
    <row r="5064" ht="40" customHeight="1">
      <c r="A5064" s="4" t="inlineStr">
        <is>
          <t>history:Work and materials!K49</t>
        </is>
      </c>
      <c r="B5064" s="4" t="inlineStr">
        <is>
          <t>Work and materials</t>
        </is>
      </c>
      <c r="C5064" s="4" t="inlineStr">
        <is>
          <t>K49</t>
        </is>
      </c>
      <c r="D5064" s="4" t="inlineStr">
        <is>
          <t>=IF(COUNT(G49:J49)&lt;4,"",G49-SUM(H49:J49))</t>
        </is>
      </c>
      <c r="E5064" s="4" t="n"/>
      <c r="F5064" s="4" t="inlineStr">
        <is>
          <t>Goods-financial-plan.xlsx before consolidation</t>
        </is>
      </c>
    </row>
    <row r="5065" ht="40" customHeight="1">
      <c r="A5065" s="4" t="inlineStr">
        <is>
          <t>history:Work and materials!K50</t>
        </is>
      </c>
      <c r="B5065" s="4" t="inlineStr">
        <is>
          <t>Work and materials</t>
        </is>
      </c>
      <c r="C5065" s="4" t="inlineStr">
        <is>
          <t>K50</t>
        </is>
      </c>
      <c r="D5065" s="4" t="inlineStr">
        <is>
          <t>=IF(COUNT(G50:J50)&lt;4,"",G50-SUM(H50:J50))</t>
        </is>
      </c>
      <c r="E5065" s="4" t="n"/>
      <c r="F5065" s="4" t="inlineStr">
        <is>
          <t>Goods-financial-plan.xlsx before consolidation</t>
        </is>
      </c>
    </row>
    <row r="5066" ht="40" customHeight="1">
      <c r="A5066" s="4" t="inlineStr">
        <is>
          <t>history:Work and materials!K51</t>
        </is>
      </c>
      <c r="B5066" s="4" t="inlineStr">
        <is>
          <t>Work and materials</t>
        </is>
      </c>
      <c r="C5066" s="4" t="inlineStr">
        <is>
          <t>K51</t>
        </is>
      </c>
      <c r="D5066" s="4" t="inlineStr">
        <is>
          <t>=IF(COUNT(G51:J51)&lt;4,"",G51-SUM(H51:J51))</t>
        </is>
      </c>
      <c r="E5066" s="4" t="n"/>
      <c r="F5066" s="4" t="inlineStr">
        <is>
          <t>Goods-financial-plan.xlsx before consolidation</t>
        </is>
      </c>
    </row>
    <row r="5067" ht="40" customHeight="1">
      <c r="A5067" s="4" t="inlineStr">
        <is>
          <t>history:Work and materials!K52</t>
        </is>
      </c>
      <c r="B5067" s="4" t="inlineStr">
        <is>
          <t>Work and materials</t>
        </is>
      </c>
      <c r="C5067" s="4" t="inlineStr">
        <is>
          <t>K52</t>
        </is>
      </c>
      <c r="D5067" s="4" t="inlineStr">
        <is>
          <t>=IF(COUNT(G52:J52)&lt;4,"",G52-SUM(H52:J52))</t>
        </is>
      </c>
      <c r="E5067" s="4" t="n"/>
      <c r="F5067" s="4" t="inlineStr">
        <is>
          <t>Goods-financial-plan.xlsx before consolidation</t>
        </is>
      </c>
    </row>
    <row r="5068" ht="40" customHeight="1">
      <c r="A5068" s="4" t="inlineStr">
        <is>
          <t>history:Work and materials!K53</t>
        </is>
      </c>
      <c r="B5068" s="4" t="inlineStr">
        <is>
          <t>Work and materials</t>
        </is>
      </c>
      <c r="C5068" s="4" t="inlineStr">
        <is>
          <t>K53</t>
        </is>
      </c>
      <c r="D5068" s="4" t="inlineStr">
        <is>
          <t>=IF(COUNT(G53:J53)&lt;4,"",G53-SUM(H53:J53))</t>
        </is>
      </c>
      <c r="E5068" s="4" t="n"/>
      <c r="F5068" s="4" t="inlineStr">
        <is>
          <t>Goods-financial-plan.xlsx before consolidation</t>
        </is>
      </c>
    </row>
    <row r="5069" ht="40" customHeight="1">
      <c r="A5069" s="4" t="inlineStr">
        <is>
          <t>history:Work and materials!K54</t>
        </is>
      </c>
      <c r="B5069" s="4" t="inlineStr">
        <is>
          <t>Work and materials</t>
        </is>
      </c>
      <c r="C5069" s="4" t="inlineStr">
        <is>
          <t>K54</t>
        </is>
      </c>
      <c r="D5069" s="4" t="inlineStr">
        <is>
          <t>=IF(COUNT(G54:J54)&lt;4,"",G54-SUM(H54:J54))</t>
        </is>
      </c>
      <c r="E5069" s="4" t="n"/>
      <c r="F5069" s="4" t="inlineStr">
        <is>
          <t>Goods-financial-plan.xlsx before consolidation</t>
        </is>
      </c>
    </row>
    <row r="5070" ht="40" customHeight="1">
      <c r="A5070" s="4" t="inlineStr">
        <is>
          <t>history:Work and materials!K55</t>
        </is>
      </c>
      <c r="B5070" s="4" t="inlineStr">
        <is>
          <t>Work and materials</t>
        </is>
      </c>
      <c r="C5070" s="4" t="inlineStr">
        <is>
          <t>K55</t>
        </is>
      </c>
      <c r="D5070" s="4" t="inlineStr">
        <is>
          <t>=IF(COUNT(G55:J55)&lt;4,"",G55-SUM(H55:J55))</t>
        </is>
      </c>
      <c r="E5070" s="4" t="n"/>
      <c r="F5070" s="4" t="inlineStr">
        <is>
          <t>Goods-financial-plan.xlsx before consolidation</t>
        </is>
      </c>
    </row>
    <row r="5071" ht="40" customHeight="1">
      <c r="A5071" s="4" t="inlineStr">
        <is>
          <t>history:Work and materials!K56</t>
        </is>
      </c>
      <c r="B5071" s="4" t="inlineStr">
        <is>
          <t>Work and materials</t>
        </is>
      </c>
      <c r="C5071" s="4" t="inlineStr">
        <is>
          <t>K56</t>
        </is>
      </c>
      <c r="D5071" s="4" t="inlineStr">
        <is>
          <t>=IF(COUNT(G56:J56)&lt;4,"",G56-SUM(H56:J56))</t>
        </is>
      </c>
      <c r="E5071" s="4" t="n"/>
      <c r="F5071" s="4" t="inlineStr">
        <is>
          <t>Goods-financial-plan.xlsx before consolidation</t>
        </is>
      </c>
    </row>
    <row r="5072" ht="40" customHeight="1">
      <c r="A5072" s="4" t="inlineStr">
        <is>
          <t>history:Community programme!A1</t>
        </is>
      </c>
      <c r="B5072" s="4" t="inlineStr">
        <is>
          <t>Community programme</t>
        </is>
      </c>
      <c r="C5072" s="4" t="inlineStr">
        <is>
          <t>A1</t>
        </is>
      </c>
      <c r="D5072" s="4" t="inlineStr">
        <is>
          <t>Community and partner programme</t>
        </is>
      </c>
      <c r="E5072" s="4" t="inlineStr">
        <is>
          <t>Community and partner programme</t>
        </is>
      </c>
      <c r="F5072" s="4" t="inlineStr">
        <is>
          <t>Goods-financial-plan.xlsx before consolidation</t>
        </is>
      </c>
    </row>
    <row r="5073" ht="90" customHeight="1">
      <c r="A5073" s="4" t="inlineStr">
        <is>
          <t>history:Community programme!A3</t>
        </is>
      </c>
      <c r="B5073" s="4" t="inlineStr">
        <is>
          <t>Community programme</t>
        </is>
      </c>
      <c r="C5073" s="4" t="inlineStr">
        <is>
          <t>A3</t>
        </is>
      </c>
      <c r="D5073" s="4" t="inlineStr">
        <is>
          <t>Use local authority and agreed need to choose places. Roles below are proposals for discussion, not assigned commitments.</t>
        </is>
      </c>
      <c r="E5073" s="4" t="inlineStr">
        <is>
          <t>Use local authority and agreed need to choose places. Roles below are proposals for discussion, not assigned commitments.</t>
        </is>
      </c>
      <c r="F5073" s="4" t="inlineStr">
        <is>
          <t>Goods-financial-plan.xlsx before consolidation</t>
        </is>
      </c>
    </row>
    <row r="5074" ht="40" customHeight="1">
      <c r="A5074" s="4" t="inlineStr">
        <is>
          <t>history:Community programme!A6</t>
        </is>
      </c>
      <c r="B5074" s="4" t="inlineStr">
        <is>
          <t>Community programme</t>
        </is>
      </c>
      <c r="C5074" s="4" t="inlineStr">
        <is>
          <t>A6</t>
        </is>
      </c>
      <c r="D5074" s="4" t="inlineStr">
        <is>
          <t>Place / relationship</t>
        </is>
      </c>
      <c r="E5074" s="4" t="inlineStr">
        <is>
          <t>Place / relationship</t>
        </is>
      </c>
      <c r="F5074" s="4" t="inlineStr">
        <is>
          <t>Goods-financial-plan.xlsx before consolidation</t>
        </is>
      </c>
    </row>
    <row r="5075" ht="40" customHeight="1">
      <c r="A5075" s="4" t="inlineStr">
        <is>
          <t>history:Community programme!B6</t>
        </is>
      </c>
      <c r="B5075" s="4" t="inlineStr">
        <is>
          <t>Community programme</t>
        </is>
      </c>
      <c r="C5075" s="4" t="inlineStr">
        <is>
          <t>B6</t>
        </is>
      </c>
      <c r="D5075" s="4" t="inlineStr">
        <is>
          <t>Current evidence</t>
        </is>
      </c>
      <c r="E5075" s="4" t="inlineStr">
        <is>
          <t>Current evidence</t>
        </is>
      </c>
      <c r="F5075" s="4" t="inlineStr">
        <is>
          <t>Goods-financial-plan.xlsx before consolidation</t>
        </is>
      </c>
    </row>
    <row r="5076" ht="40" customHeight="1">
      <c r="A5076" s="4" t="inlineStr">
        <is>
          <t>history:Community programme!C6</t>
        </is>
      </c>
      <c r="B5076" s="4" t="inlineStr">
        <is>
          <t>Community programme</t>
        </is>
      </c>
      <c r="C5076" s="4" t="inlineStr">
        <is>
          <t>C6</t>
        </is>
      </c>
      <c r="D5076" s="4" t="inlineStr">
        <is>
          <t>Local authority / decision</t>
        </is>
      </c>
      <c r="E5076" s="4" t="inlineStr">
        <is>
          <t>Local authority / decision</t>
        </is>
      </c>
      <c r="F5076" s="4" t="inlineStr">
        <is>
          <t>Goods-financial-plan.xlsx before consolidation</t>
        </is>
      </c>
    </row>
    <row r="5077" ht="40" customHeight="1">
      <c r="A5077" s="4" t="inlineStr">
        <is>
          <t>history:Community programme!D6</t>
        </is>
      </c>
      <c r="B5077" s="4" t="inlineStr">
        <is>
          <t>Community programme</t>
        </is>
      </c>
      <c r="C5077" s="4" t="inlineStr">
        <is>
          <t>D6</t>
        </is>
      </c>
      <c r="D5077" s="4" t="inlineStr">
        <is>
          <t>Need / quantity</t>
        </is>
      </c>
      <c r="E5077" s="4" t="inlineStr">
        <is>
          <t>Need / quantity</t>
        </is>
      </c>
      <c r="F5077" s="4" t="inlineStr">
        <is>
          <t>Goods-financial-plan.xlsx before consolidation</t>
        </is>
      </c>
    </row>
    <row r="5078" ht="40" customHeight="1">
      <c r="A5078" s="4" t="inlineStr">
        <is>
          <t>history:Community programme!E6</t>
        </is>
      </c>
      <c r="B5078" s="4" t="inlineStr">
        <is>
          <t>Community programme</t>
        </is>
      </c>
      <c r="C5078" s="4" t="inlineStr">
        <is>
          <t>E6</t>
        </is>
      </c>
      <c r="D5078" s="4" t="inlineStr">
        <is>
          <t>Goods support to agree</t>
        </is>
      </c>
      <c r="E5078" s="4" t="inlineStr">
        <is>
          <t>Goods support to agree</t>
        </is>
      </c>
      <c r="F5078" s="4" t="inlineStr">
        <is>
          <t>Goods-financial-plan.xlsx before consolidation</t>
        </is>
      </c>
    </row>
    <row r="5079" ht="40" customHeight="1">
      <c r="A5079" s="4" t="inlineStr">
        <is>
          <t>history:Community programme!F6</t>
        </is>
      </c>
      <c r="B5079" s="4" t="inlineStr">
        <is>
          <t>Community programme</t>
        </is>
      </c>
      <c r="C5079" s="4" t="inlineStr">
        <is>
          <t>F6</t>
        </is>
      </c>
      <c r="D5079" s="4" t="inlineStr">
        <is>
          <t>Programme cost IDs</t>
        </is>
      </c>
      <c r="E5079" s="4" t="inlineStr">
        <is>
          <t>Programme cost IDs</t>
        </is>
      </c>
      <c r="F5079" s="4" t="inlineStr">
        <is>
          <t>Goods-financial-plan.xlsx before consolidation</t>
        </is>
      </c>
    </row>
    <row r="5080" ht="40" customHeight="1">
      <c r="A5080" s="4" t="inlineStr">
        <is>
          <t>history:Community programme!G6</t>
        </is>
      </c>
      <c r="B5080" s="4" t="inlineStr">
        <is>
          <t>Community programme</t>
        </is>
      </c>
      <c r="C5080" s="4" t="inlineStr">
        <is>
          <t>G6</t>
        </is>
      </c>
      <c r="D5080" s="4" t="inlineStr">
        <is>
          <t>Proceeds / ownership</t>
        </is>
      </c>
      <c r="E5080" s="4" t="inlineStr">
        <is>
          <t>Proceeds / ownership</t>
        </is>
      </c>
      <c r="F5080" s="4" t="inlineStr">
        <is>
          <t>Goods-financial-plan.xlsx before consolidation</t>
        </is>
      </c>
    </row>
    <row r="5081" ht="40" customHeight="1">
      <c r="A5081" s="4" t="inlineStr">
        <is>
          <t>history:Community programme!H6</t>
        </is>
      </c>
      <c r="B5081" s="4" t="inlineStr">
        <is>
          <t>Community programme</t>
        </is>
      </c>
      <c r="C5081" s="4" t="inlineStr">
        <is>
          <t>H6</t>
        </is>
      </c>
      <c r="D5081" s="4" t="inlineStr">
        <is>
          <t>Next evidence</t>
        </is>
      </c>
      <c r="E5081" s="4" t="inlineStr">
        <is>
          <t>Next evidence</t>
        </is>
      </c>
      <c r="F5081" s="4" t="inlineStr">
        <is>
          <t>Goods-financial-plan.xlsx before consolidation</t>
        </is>
      </c>
    </row>
    <row r="5082" ht="40" customHeight="1">
      <c r="A5082" s="4" t="inlineStr">
        <is>
          <t>history:Community programme!I6</t>
        </is>
      </c>
      <c r="B5082" s="4" t="inlineStr">
        <is>
          <t>Community programme</t>
        </is>
      </c>
      <c r="C5082" s="4" t="inlineStr">
        <is>
          <t>I6</t>
        </is>
      </c>
      <c r="D5082" s="4" t="inlineStr">
        <is>
          <t>Status</t>
        </is>
      </c>
      <c r="E5082" s="4" t="inlineStr">
        <is>
          <t>Status</t>
        </is>
      </c>
      <c r="F5082" s="4" t="inlineStr">
        <is>
          <t>Goods-financial-plan.xlsx before consolidation</t>
        </is>
      </c>
    </row>
    <row r="5083" ht="40" customHeight="1">
      <c r="A5083" s="4" t="inlineStr">
        <is>
          <t>history:Community programme!A7</t>
        </is>
      </c>
      <c r="B5083" s="4" t="inlineStr">
        <is>
          <t>Community programme</t>
        </is>
      </c>
      <c r="C5083" s="4" t="inlineStr">
        <is>
          <t>A7</t>
        </is>
      </c>
      <c r="D5083" s="4" t="inlineStr">
        <is>
          <t>Utopia / Oonchiumpa / Urapuntja</t>
        </is>
      </c>
      <c r="E5083" s="4" t="inlineStr">
        <is>
          <t>Utopia / Oonchiumpa / Urapuntja</t>
        </is>
      </c>
      <c r="F5083" s="4" t="inlineStr">
        <is>
          <t>Goods-financial-plan.xlsx before consolidation</t>
        </is>
      </c>
    </row>
    <row r="5084" ht="40" customHeight="1">
      <c r="A5084" s="4" t="inlineStr">
        <is>
          <t>history:Community programme!B7</t>
        </is>
      </c>
      <c r="B5084" s="4" t="inlineStr">
        <is>
          <t>Community programme</t>
        </is>
      </c>
      <c r="C5084" s="4" t="inlineStr">
        <is>
          <t>B7</t>
        </is>
      </c>
      <c r="D5084" s="4" t="inlineStr">
        <is>
          <t>Past paid bed programme; further need reported</t>
        </is>
      </c>
      <c r="E5084" s="4" t="inlineStr">
        <is>
          <t>Past paid bed programme; further need reported</t>
        </is>
      </c>
      <c r="F5084" s="4" t="inlineStr">
        <is>
          <t>Goods-financial-plan.xlsx before consolidation</t>
        </is>
      </c>
    </row>
    <row r="5085" ht="40" customHeight="1">
      <c r="A5085" s="4" t="inlineStr">
        <is>
          <t>history:Community programme!C7</t>
        </is>
      </c>
      <c r="B5085" s="4" t="inlineStr">
        <is>
          <t>Community programme</t>
        </is>
      </c>
      <c r="C5085" s="4" t="inlineStr">
        <is>
          <t>C7</t>
        </is>
      </c>
      <c r="D5085" s="4" t="inlineStr">
        <is>
          <t>Confirm with local partners</t>
        </is>
      </c>
      <c r="E5085" s="4" t="inlineStr">
        <is>
          <t>Confirm with local partners</t>
        </is>
      </c>
      <c r="F5085" s="4" t="inlineStr">
        <is>
          <t>Goods-financial-plan.xlsx before consolidation</t>
        </is>
      </c>
    </row>
    <row r="5086" ht="60" customHeight="1">
      <c r="A5086" s="4" t="inlineStr">
        <is>
          <t>history:Community programme!E7</t>
        </is>
      </c>
      <c r="B5086" s="4" t="inlineStr">
        <is>
          <t>Community programme</t>
        </is>
      </c>
      <c r="C5086" s="4" t="inlineStr">
        <is>
          <t>E7</t>
        </is>
      </c>
      <c r="D5086" s="4" t="inlineStr">
        <is>
          <t>Making sessions, youth support, delivery, follow-up and potential production</t>
        </is>
      </c>
      <c r="E5086" s="4" t="inlineStr">
        <is>
          <t>Making sessions, youth support, delivery, follow-up and potential production</t>
        </is>
      </c>
      <c r="F5086" s="4" t="inlineStr">
        <is>
          <t>Goods-financial-plan.xlsx before consolidation</t>
        </is>
      </c>
    </row>
    <row r="5087" ht="40" customHeight="1">
      <c r="A5087" s="4" t="inlineStr">
        <is>
          <t>history:Community programme!F7</t>
        </is>
      </c>
      <c r="B5087" s="4" t="inlineStr">
        <is>
          <t>Community programme</t>
        </is>
      </c>
      <c r="C5087" s="4" t="inlineStr">
        <is>
          <t>F7</t>
        </is>
      </c>
      <c r="D5087" s="4" t="inlineStr">
        <is>
          <t>C19–C24, C28</t>
        </is>
      </c>
      <c r="E5087" s="4" t="inlineStr">
        <is>
          <t>C19–C24, C28</t>
        </is>
      </c>
      <c r="F5087" s="4" t="inlineStr">
        <is>
          <t>Goods-financial-plan.xlsx before consolidation</t>
        </is>
      </c>
    </row>
    <row r="5088" ht="60" customHeight="1">
      <c r="A5088" s="4" t="inlineStr">
        <is>
          <t>history:Community programme!G7</t>
        </is>
      </c>
      <c r="B5088" s="4" t="inlineStr">
        <is>
          <t>Community programme</t>
        </is>
      </c>
      <c r="C5088" s="4" t="inlineStr">
        <is>
          <t>G7</t>
        </is>
      </c>
      <c r="D5088" s="4" t="inlineStr">
        <is>
          <t>Community organisation controls its own sale proceeds; any facility title separately agreed</t>
        </is>
      </c>
      <c r="E5088" s="4" t="inlineStr">
        <is>
          <t>Community organisation controls its own sale proceeds; any facility title separately agreed</t>
        </is>
      </c>
      <c r="F5088" s="4" t="inlineStr">
        <is>
          <t>Goods-financial-plan.xlsx before consolidation</t>
        </is>
      </c>
    </row>
    <row r="5089" ht="60" customHeight="1">
      <c r="A5089" s="4" t="inlineStr">
        <is>
          <t>history:Community programme!H7</t>
        </is>
      </c>
      <c r="B5089" s="4" t="inlineStr">
        <is>
          <t>Community programme</t>
        </is>
      </c>
      <c r="C5089" s="4" t="inlineStr">
        <is>
          <t>H7</t>
        </is>
      </c>
      <c r="D5089" s="4" t="inlineStr">
        <is>
          <t>Local invitation, remaining need, youth programme scope and local decision record</t>
        </is>
      </c>
      <c r="E5089" s="4" t="inlineStr">
        <is>
          <t>Local invitation, remaining need, youth programme scope and local decision record</t>
        </is>
      </c>
      <c r="F5089" s="4" t="inlineStr">
        <is>
          <t>Goods-financial-plan.xlsx before consolidation</t>
        </is>
      </c>
    </row>
    <row r="5090" ht="40" customHeight="1">
      <c r="A5090" s="4" t="inlineStr">
        <is>
          <t>history:Community programme!I7</t>
        </is>
      </c>
      <c r="B5090" s="4" t="inlineStr">
        <is>
          <t>Community programme</t>
        </is>
      </c>
      <c r="C5090" s="4" t="inlineStr">
        <is>
          <t>I7</t>
        </is>
      </c>
      <c r="D5090" s="4" t="inlineStr">
        <is>
          <t>Programme discussion</t>
        </is>
      </c>
      <c r="E5090" s="4" t="inlineStr">
        <is>
          <t>Programme discussion</t>
        </is>
      </c>
      <c r="F5090" s="4" t="inlineStr">
        <is>
          <t>Goods-financial-plan.xlsx before consolidation</t>
        </is>
      </c>
    </row>
    <row r="5091" ht="40" customHeight="1">
      <c r="A5091" s="4" t="inlineStr">
        <is>
          <t>history:Community programme!A8</t>
        </is>
      </c>
      <c r="B5091" s="4" t="inlineStr">
        <is>
          <t>Community programme</t>
        </is>
      </c>
      <c r="C5091" s="4" t="inlineStr">
        <is>
          <t>A8</t>
        </is>
      </c>
      <c r="D5091" s="4" t="inlineStr">
        <is>
          <t>Maningrida / Gamardi</t>
        </is>
      </c>
      <c r="E5091" s="4" t="inlineStr">
        <is>
          <t>Maningrida / Gamardi</t>
        </is>
      </c>
      <c r="F5091" s="4" t="inlineStr">
        <is>
          <t>Goods-financial-plan.xlsx before consolidation</t>
        </is>
      </c>
    </row>
    <row r="5092" ht="45" customHeight="1">
      <c r="A5092" s="4" t="inlineStr">
        <is>
          <t>history:Community programme!B8</t>
        </is>
      </c>
      <c r="B5092" s="4" t="inlineStr">
        <is>
          <t>Community programme</t>
        </is>
      </c>
      <c r="C5092" s="4" t="inlineStr">
        <is>
          <t>B8</t>
        </is>
      </c>
      <c r="D5092" s="4" t="inlineStr">
        <is>
          <t>40 paid and delivered; Witta pressing, Gamardi assembly</t>
        </is>
      </c>
      <c r="E5092" s="4" t="inlineStr">
        <is>
          <t>40 paid and delivered; Witta pressing, Gamardi assembly</t>
        </is>
      </c>
      <c r="F5092" s="4" t="inlineStr">
        <is>
          <t>Goods-financial-plan.xlsx before consolidation</t>
        </is>
      </c>
    </row>
    <row r="5093" ht="40" customHeight="1">
      <c r="A5093" s="4" t="inlineStr">
        <is>
          <t>history:Community programme!C8</t>
        </is>
      </c>
      <c r="B5093" s="4" t="inlineStr">
        <is>
          <t>Community programme</t>
        </is>
      </c>
      <c r="C5093" s="4" t="inlineStr">
        <is>
          <t>C8</t>
        </is>
      </c>
      <c r="D5093" s="4" t="inlineStr">
        <is>
          <t>Confirm current local invitation</t>
        </is>
      </c>
      <c r="E5093" s="4" t="inlineStr">
        <is>
          <t>Confirm current local invitation</t>
        </is>
      </c>
      <c r="F5093" s="4" t="inlineStr">
        <is>
          <t>Goods-financial-plan.xlsx before consolidation</t>
        </is>
      </c>
    </row>
    <row r="5094" ht="45" customHeight="1">
      <c r="A5094" s="4" t="inlineStr">
        <is>
          <t>history:Community programme!E8</t>
        </is>
      </c>
      <c r="B5094" s="4" t="inlineStr">
        <is>
          <t>Community programme</t>
        </is>
      </c>
      <c r="C5094" s="4" t="inlineStr">
        <is>
          <t>E8</t>
        </is>
      </c>
      <c r="D5094" s="4" t="inlineStr">
        <is>
          <t>Repairs/follow-up and any further programme requested</t>
        </is>
      </c>
      <c r="E5094" s="4" t="inlineStr">
        <is>
          <t>Repairs/follow-up and any further programme requested</t>
        </is>
      </c>
      <c r="F5094" s="4" t="inlineStr">
        <is>
          <t>Goods-financial-plan.xlsx before consolidation</t>
        </is>
      </c>
    </row>
    <row r="5095" ht="40" customHeight="1">
      <c r="A5095" s="4" t="inlineStr">
        <is>
          <t>history:Community programme!F8</t>
        </is>
      </c>
      <c r="B5095" s="4" t="inlineStr">
        <is>
          <t>Community programme</t>
        </is>
      </c>
      <c r="C5095" s="4" t="inlineStr">
        <is>
          <t>F8</t>
        </is>
      </c>
      <c r="D5095" s="4" t="inlineStr">
        <is>
          <t>C09, C19–C24, C28</t>
        </is>
      </c>
      <c r="E5095" s="4" t="inlineStr">
        <is>
          <t>C09, C19–C24, C28</t>
        </is>
      </c>
      <c r="F5095" s="4" t="inlineStr">
        <is>
          <t>Goods-financial-plan.xlsx before consolidation</t>
        </is>
      </c>
    </row>
    <row r="5096" ht="45" customHeight="1">
      <c r="A5096" s="4" t="inlineStr">
        <is>
          <t>history:Community programme!G8</t>
        </is>
      </c>
      <c r="B5096" s="4" t="inlineStr">
        <is>
          <t>Community programme</t>
        </is>
      </c>
      <c r="C5096" s="4" t="inlineStr">
        <is>
          <t>G8</t>
        </is>
      </c>
      <c r="D5096" s="4" t="inlineStr">
        <is>
          <t>Past purchasing evidence does not establish a new sales programme</t>
        </is>
      </c>
      <c r="E5096" s="4" t="inlineStr">
        <is>
          <t>Past purchasing evidence does not establish a new sales programme</t>
        </is>
      </c>
      <c r="F5096" s="4" t="inlineStr">
        <is>
          <t>Goods-financial-plan.xlsx before consolidation</t>
        </is>
      </c>
    </row>
    <row r="5097" ht="45" customHeight="1">
      <c r="A5097" s="4" t="inlineStr">
        <is>
          <t>history:Community programme!H8</t>
        </is>
      </c>
      <c r="B5097" s="4" t="inlineStr">
        <is>
          <t>Community programme</t>
        </is>
      </c>
      <c r="C5097" s="4" t="inlineStr">
        <is>
          <t>H8</t>
        </is>
      </c>
      <c r="D5097" s="4" t="inlineStr">
        <is>
          <t>Current need, partner support role and buyer/destination</t>
        </is>
      </c>
      <c r="E5097" s="4" t="inlineStr">
        <is>
          <t>Current need, partner support role and buyer/destination</t>
        </is>
      </c>
      <c r="F5097" s="4" t="inlineStr">
        <is>
          <t>Goods-financial-plan.xlsx before consolidation</t>
        </is>
      </c>
    </row>
    <row r="5098" ht="40" customHeight="1">
      <c r="A5098" s="4" t="inlineStr">
        <is>
          <t>history:Community programme!I8</t>
        </is>
      </c>
      <c r="B5098" s="4" t="inlineStr">
        <is>
          <t>Community programme</t>
        </is>
      </c>
      <c r="C5098" s="4" t="inlineStr">
        <is>
          <t>I8</t>
        </is>
      </c>
      <c r="D5098" s="4" t="inlineStr">
        <is>
          <t>Past delivery</t>
        </is>
      </c>
      <c r="E5098" s="4" t="inlineStr">
        <is>
          <t>Past delivery</t>
        </is>
      </c>
      <c r="F5098" s="4" t="inlineStr">
        <is>
          <t>Goods-financial-plan.xlsx before consolidation</t>
        </is>
      </c>
    </row>
    <row r="5099" ht="40" customHeight="1">
      <c r="A5099" s="4" t="inlineStr">
        <is>
          <t>history:Community programme!A9</t>
        </is>
      </c>
      <c r="B5099" s="4" t="inlineStr">
        <is>
          <t>Community programme</t>
        </is>
      </c>
      <c r="C5099" s="4" t="inlineStr">
        <is>
          <t>A9</t>
        </is>
      </c>
      <c r="D5099" s="4" t="inlineStr">
        <is>
          <t>Shepherdson College / Elcho Island</t>
        </is>
      </c>
      <c r="E5099" s="4" t="inlineStr">
        <is>
          <t>Shepherdson College / Elcho Island</t>
        </is>
      </c>
      <c r="F5099" s="4" t="inlineStr">
        <is>
          <t>Goods-financial-plan.xlsx before consolidation</t>
        </is>
      </c>
    </row>
    <row r="5100" ht="40" customHeight="1">
      <c r="A5100" s="4" t="inlineStr">
        <is>
          <t>history:Community programme!B9</t>
        </is>
      </c>
      <c r="B5100" s="4" t="inlineStr">
        <is>
          <t>Community programme</t>
        </is>
      </c>
      <c r="C5100" s="4" t="inlineStr">
        <is>
          <t>B9</t>
        </is>
      </c>
      <c r="D5100" s="4" t="inlineStr">
        <is>
          <t>Enquiry about plastic and beds</t>
        </is>
      </c>
      <c r="E5100" s="4" t="inlineStr">
        <is>
          <t>Enquiry about plastic and beds</t>
        </is>
      </c>
      <c r="F5100" s="4" t="inlineStr">
        <is>
          <t>Goods-financial-plan.xlsx before consolidation</t>
        </is>
      </c>
    </row>
    <row r="5101" ht="40" customHeight="1">
      <c r="A5101" s="4" t="inlineStr">
        <is>
          <t>history:Community programme!C9</t>
        </is>
      </c>
      <c r="B5101" s="4" t="inlineStr">
        <is>
          <t>Community programme</t>
        </is>
      </c>
      <c r="C5101" s="4" t="inlineStr">
        <is>
          <t>C9</t>
        </is>
      </c>
      <c r="D5101" s="4" t="inlineStr">
        <is>
          <t>School and community authority to establish</t>
        </is>
      </c>
      <c r="E5101" s="4" t="inlineStr">
        <is>
          <t>School and community authority to establish</t>
        </is>
      </c>
      <c r="F5101" s="4" t="inlineStr">
        <is>
          <t>Goods-financial-plan.xlsx before consolidation</t>
        </is>
      </c>
    </row>
    <row r="5102" ht="45" customHeight="1">
      <c r="A5102" s="4" t="inlineStr">
        <is>
          <t>history:Community programme!E9</t>
        </is>
      </c>
      <c r="B5102" s="4" t="inlineStr">
        <is>
          <t>Community programme</t>
        </is>
      </c>
      <c r="C5102" s="4" t="inlineStr">
        <is>
          <t>E9</t>
        </is>
      </c>
      <c r="D5102" s="4" t="inlineStr">
        <is>
          <t>Scope recycling, beds and supported participation</t>
        </is>
      </c>
      <c r="E5102" s="4" t="inlineStr">
        <is>
          <t>Scope recycling, beds and supported participation</t>
        </is>
      </c>
      <c r="F5102" s="4" t="inlineStr">
        <is>
          <t>Goods-financial-plan.xlsx before consolidation</t>
        </is>
      </c>
    </row>
    <row r="5103" ht="40" customHeight="1">
      <c r="A5103" s="4" t="inlineStr">
        <is>
          <t>history:Community programme!F9</t>
        </is>
      </c>
      <c r="B5103" s="4" t="inlineStr">
        <is>
          <t>Community programme</t>
        </is>
      </c>
      <c r="C5103" s="4" t="inlineStr">
        <is>
          <t>F9</t>
        </is>
      </c>
      <c r="D5103" s="4" t="inlineStr">
        <is>
          <t>C19–C24</t>
        </is>
      </c>
      <c r="E5103" s="4" t="inlineStr">
        <is>
          <t>C19–C24</t>
        </is>
      </c>
      <c r="F5103" s="4" t="inlineStr">
        <is>
          <t>Goods-financial-plan.xlsx before consolidation</t>
        </is>
      </c>
    </row>
    <row r="5104" ht="40" customHeight="1">
      <c r="A5104" s="4" t="inlineStr">
        <is>
          <t>history:Community programme!G9</t>
        </is>
      </c>
      <c r="B5104" s="4" t="inlineStr">
        <is>
          <t>Community programme</t>
        </is>
      </c>
      <c r="C5104" s="4" t="inlineStr">
        <is>
          <t>G9</t>
        </is>
      </c>
      <c r="D5104" s="4" t="inlineStr">
        <is>
          <t>No new factory or programme assumed</t>
        </is>
      </c>
      <c r="E5104" s="4" t="inlineStr">
        <is>
          <t>No new factory or programme assumed</t>
        </is>
      </c>
      <c r="F5104" s="4" t="inlineStr">
        <is>
          <t>Goods-financial-plan.xlsx before consolidation</t>
        </is>
      </c>
    </row>
    <row r="5105" ht="45" customHeight="1">
      <c r="A5105" s="4" t="inlineStr">
        <is>
          <t>history:Community programme!H9</t>
        </is>
      </c>
      <c r="B5105" s="4" t="inlineStr">
        <is>
          <t>Community programme</t>
        </is>
      </c>
      <c r="C5105" s="4" t="inlineStr">
        <is>
          <t>H9</t>
        </is>
      </c>
      <c r="D5105" s="4" t="inlineStr">
        <is>
          <t>Locally agreed scope, quantity, operator and funding</t>
        </is>
      </c>
      <c r="E5105" s="4" t="inlineStr">
        <is>
          <t>Locally agreed scope, quantity, operator and funding</t>
        </is>
      </c>
      <c r="F5105" s="4" t="inlineStr">
        <is>
          <t>Goods-financial-plan.xlsx before consolidation</t>
        </is>
      </c>
    </row>
    <row r="5106" ht="40" customHeight="1">
      <c r="A5106" s="4" t="inlineStr">
        <is>
          <t>history:Community programme!I9</t>
        </is>
      </c>
      <c r="B5106" s="4" t="inlineStr">
        <is>
          <t>Community programme</t>
        </is>
      </c>
      <c r="C5106" s="4" t="inlineStr">
        <is>
          <t>I9</t>
        </is>
      </c>
      <c r="D5106" s="4" t="inlineStr">
        <is>
          <t>Enquiry</t>
        </is>
      </c>
      <c r="E5106" s="4" t="inlineStr">
        <is>
          <t>Enquiry</t>
        </is>
      </c>
      <c r="F5106" s="4" t="inlineStr">
        <is>
          <t>Goods-financial-plan.xlsx before consolidation</t>
        </is>
      </c>
    </row>
    <row r="5107" ht="40" customHeight="1">
      <c r="A5107" s="4" t="inlineStr">
        <is>
          <t>history:Community programme!A10</t>
        </is>
      </c>
      <c r="B5107" s="4" t="inlineStr">
        <is>
          <t>Community programme</t>
        </is>
      </c>
      <c r="C5107" s="4" t="inlineStr">
        <is>
          <t>A10</t>
        </is>
      </c>
      <c r="D5107" s="4" t="inlineStr">
        <is>
          <t>Ceduna Aboriginal Corporation</t>
        </is>
      </c>
      <c r="E5107" s="4" t="inlineStr">
        <is>
          <t>Ceduna Aboriginal Corporation</t>
        </is>
      </c>
      <c r="F5107" s="4" t="inlineStr">
        <is>
          <t>Goods-financial-plan.xlsx before consolidation</t>
        </is>
      </c>
    </row>
    <row r="5108" ht="40" customHeight="1">
      <c r="A5108" s="4" t="inlineStr">
        <is>
          <t>history:Community programme!B10</t>
        </is>
      </c>
      <c r="B5108" s="4" t="inlineStr">
        <is>
          <t>Community programme</t>
        </is>
      </c>
      <c r="C5108" s="4" t="inlineStr">
        <is>
          <t>B10</t>
        </is>
      </c>
      <c r="D5108" s="4" t="inlineStr">
        <is>
          <t>Beds and workshop conversation</t>
        </is>
      </c>
      <c r="E5108" s="4" t="inlineStr">
        <is>
          <t>Beds and workshop conversation</t>
        </is>
      </c>
      <c r="F5108" s="4" t="inlineStr">
        <is>
          <t>Goods-financial-plan.xlsx before consolidation</t>
        </is>
      </c>
    </row>
    <row r="5109" ht="45" customHeight="1">
      <c r="A5109" s="4" t="inlineStr">
        <is>
          <t>history:Community programme!C10</t>
        </is>
      </c>
      <c r="B5109" s="4" t="inlineStr">
        <is>
          <t>Community programme</t>
        </is>
      </c>
      <c r="C5109" s="4" t="inlineStr">
        <is>
          <t>C10</t>
        </is>
      </c>
      <c r="D5109" s="4" t="inlineStr">
        <is>
          <t>Corporation and local decision process to confirm</t>
        </is>
      </c>
      <c r="E5109" s="4" t="inlineStr">
        <is>
          <t>Corporation and local decision process to confirm</t>
        </is>
      </c>
      <c r="F5109" s="4" t="inlineStr">
        <is>
          <t>Goods-financial-plan.xlsx before consolidation</t>
        </is>
      </c>
    </row>
    <row r="5110" ht="45" customHeight="1">
      <c r="A5110" s="4" t="inlineStr">
        <is>
          <t>history:Community programme!E10</t>
        </is>
      </c>
      <c r="B5110" s="4" t="inlineStr">
        <is>
          <t>Community programme</t>
        </is>
      </c>
      <c r="C5110" s="4" t="inlineStr">
        <is>
          <t>E10</t>
        </is>
      </c>
      <c r="D5110" s="4" t="inlineStr">
        <is>
          <t>Full workshop, transport, supervision and follow-up scope</t>
        </is>
      </c>
      <c r="E5110" s="4" t="inlineStr">
        <is>
          <t>Full workshop, transport, supervision and follow-up scope</t>
        </is>
      </c>
      <c r="F5110" s="4" t="inlineStr">
        <is>
          <t>Goods-financial-plan.xlsx before consolidation</t>
        </is>
      </c>
    </row>
    <row r="5111" ht="40" customHeight="1">
      <c r="A5111" s="4" t="inlineStr">
        <is>
          <t>history:Community programme!F10</t>
        </is>
      </c>
      <c r="B5111" s="4" t="inlineStr">
        <is>
          <t>Community programme</t>
        </is>
      </c>
      <c r="C5111" s="4" t="inlineStr">
        <is>
          <t>F10</t>
        </is>
      </c>
      <c r="D5111" s="4" t="inlineStr">
        <is>
          <t>C19–C24</t>
        </is>
      </c>
      <c r="E5111" s="4" t="inlineStr">
        <is>
          <t>C19–C24</t>
        </is>
      </c>
      <c r="F5111" s="4" t="inlineStr">
        <is>
          <t>Goods-financial-plan.xlsx before consolidation</t>
        </is>
      </c>
    </row>
    <row r="5112" ht="40" customHeight="1">
      <c r="A5112" s="4" t="inlineStr">
        <is>
          <t>history:Community programme!G10</t>
        </is>
      </c>
      <c r="B5112" s="4" t="inlineStr">
        <is>
          <t>Community programme</t>
        </is>
      </c>
      <c r="C5112" s="4" t="inlineStr">
        <is>
          <t>G10</t>
        </is>
      </c>
      <c r="D5112" s="4" t="inlineStr">
        <is>
          <t>No new factory or programme assumed</t>
        </is>
      </c>
      <c r="E5112" s="4" t="inlineStr">
        <is>
          <t>No new factory or programme assumed</t>
        </is>
      </c>
      <c r="F5112" s="4" t="inlineStr">
        <is>
          <t>Goods-financial-plan.xlsx before consolidation</t>
        </is>
      </c>
    </row>
    <row r="5113" ht="45" customHeight="1">
      <c r="A5113" s="4" t="inlineStr">
        <is>
          <t>history:Community programme!H10</t>
        </is>
      </c>
      <c r="B5113" s="4" t="inlineStr">
        <is>
          <t>Community programme</t>
        </is>
      </c>
      <c r="C5113" s="4" t="inlineStr">
        <is>
          <t>H10</t>
        </is>
      </c>
      <c r="D5113" s="4" t="inlineStr">
        <is>
          <t>Invitation, full programme budget and responsibilities</t>
        </is>
      </c>
      <c r="E5113" s="4" t="inlineStr">
        <is>
          <t>Invitation, full programme budget and responsibilities</t>
        </is>
      </c>
      <c r="F5113" s="4" t="inlineStr">
        <is>
          <t>Goods-financial-plan.xlsx before consolidation</t>
        </is>
      </c>
    </row>
    <row r="5114" ht="40" customHeight="1">
      <c r="A5114" s="4" t="inlineStr">
        <is>
          <t>history:Community programme!I10</t>
        </is>
      </c>
      <c r="B5114" s="4" t="inlineStr">
        <is>
          <t>Community programme</t>
        </is>
      </c>
      <c r="C5114" s="4" t="inlineStr">
        <is>
          <t>I10</t>
        </is>
      </c>
      <c r="D5114" s="4" t="inlineStr">
        <is>
          <t>Conversation</t>
        </is>
      </c>
      <c r="E5114" s="4" t="inlineStr">
        <is>
          <t>Conversation</t>
        </is>
      </c>
      <c r="F5114" s="4" t="inlineStr">
        <is>
          <t>Goods-financial-plan.xlsx before consolidation</t>
        </is>
      </c>
    </row>
    <row r="5115" ht="40" customHeight="1">
      <c r="A5115" s="4" t="inlineStr">
        <is>
          <t>history:Community programme!A14</t>
        </is>
      </c>
      <c r="B5115" s="4" t="inlineStr">
        <is>
          <t>Community programme</t>
        </is>
      </c>
      <c r="C5115" s="4" t="inlineStr">
        <is>
          <t>A14</t>
        </is>
      </c>
      <c r="D5115" s="4" t="inlineStr">
        <is>
          <t>Process</t>
        </is>
      </c>
      <c r="E5115" s="4" t="inlineStr">
        <is>
          <t>Process</t>
        </is>
      </c>
      <c r="F5115" s="4" t="inlineStr">
        <is>
          <t>Goods-financial-plan.xlsx before consolidation</t>
        </is>
      </c>
    </row>
    <row r="5116" ht="40" customHeight="1">
      <c r="A5116" s="4" t="inlineStr">
        <is>
          <t>history:Community programme!B14</t>
        </is>
      </c>
      <c r="B5116" s="4" t="inlineStr">
        <is>
          <t>Community programme</t>
        </is>
      </c>
      <c r="C5116" s="4" t="inlineStr">
        <is>
          <t>B14</t>
        </is>
      </c>
      <c r="D5116" s="4" t="inlineStr">
        <is>
          <t>Community decision</t>
        </is>
      </c>
      <c r="E5116" s="4" t="inlineStr">
        <is>
          <t>Community decision</t>
        </is>
      </c>
      <c r="F5116" s="4" t="inlineStr">
        <is>
          <t>Goods-financial-plan.xlsx before consolidation</t>
        </is>
      </c>
    </row>
    <row r="5117" ht="40" customHeight="1">
      <c r="A5117" s="4" t="inlineStr">
        <is>
          <t>history:Community programme!C14</t>
        </is>
      </c>
      <c r="B5117" s="4" t="inlineStr">
        <is>
          <t>Community programme</t>
        </is>
      </c>
      <c r="C5117" s="4" t="inlineStr">
        <is>
          <t>C14</t>
        </is>
      </c>
      <c r="D5117" s="4" t="inlineStr">
        <is>
          <t>Goods responsibility to agree</t>
        </is>
      </c>
      <c r="E5117" s="4" t="inlineStr">
        <is>
          <t>Goods responsibility to agree</t>
        </is>
      </c>
      <c r="F5117" s="4" t="inlineStr">
        <is>
          <t>Goods-financial-plan.xlsx before consolidation</t>
        </is>
      </c>
    </row>
    <row r="5118" ht="40" customHeight="1">
      <c r="A5118" s="4" t="inlineStr">
        <is>
          <t>history:Community programme!D14</t>
        </is>
      </c>
      <c r="B5118" s="4" t="inlineStr">
        <is>
          <t>Community programme</t>
        </is>
      </c>
      <c r="C5118" s="4" t="inlineStr">
        <is>
          <t>D14</t>
        </is>
      </c>
      <c r="D5118" s="4" t="inlineStr">
        <is>
          <t>Cost link</t>
        </is>
      </c>
      <c r="E5118" s="4" t="inlineStr">
        <is>
          <t>Cost link</t>
        </is>
      </c>
      <c r="F5118" s="4" t="inlineStr">
        <is>
          <t>Goods-financial-plan.xlsx before consolidation</t>
        </is>
      </c>
    </row>
    <row r="5119" ht="40" customHeight="1">
      <c r="A5119" s="4" t="inlineStr">
        <is>
          <t>history:Community programme!E14</t>
        </is>
      </c>
      <c r="B5119" s="4" t="inlineStr">
        <is>
          <t>Community programme</t>
        </is>
      </c>
      <c r="C5119" s="4" t="inlineStr">
        <is>
          <t>E14</t>
        </is>
      </c>
      <c r="D5119" s="4" t="inlineStr">
        <is>
          <t>Evidence</t>
        </is>
      </c>
      <c r="E5119" s="4" t="inlineStr">
        <is>
          <t>Evidence</t>
        </is>
      </c>
      <c r="F5119" s="4" t="inlineStr">
        <is>
          <t>Goods-financial-plan.xlsx before consolidation</t>
        </is>
      </c>
    </row>
    <row r="5120" ht="40" customHeight="1">
      <c r="A5120" s="4" t="inlineStr">
        <is>
          <t>history:Community programme!A15</t>
        </is>
      </c>
      <c r="B5120" s="4" t="inlineStr">
        <is>
          <t>Community programme</t>
        </is>
      </c>
      <c r="C5120" s="4" t="inlineStr">
        <is>
          <t>A15</t>
        </is>
      </c>
      <c r="D5120" s="4" t="inlineStr">
        <is>
          <t>Identify need</t>
        </is>
      </c>
      <c r="E5120" s="4" t="inlineStr">
        <is>
          <t>Identify need</t>
        </is>
      </c>
      <c r="F5120" s="4" t="inlineStr">
        <is>
          <t>Goods-financial-plan.xlsx before consolidation</t>
        </is>
      </c>
    </row>
    <row r="5121" ht="45" customHeight="1">
      <c r="A5121" s="4" t="inlineStr">
        <is>
          <t>history:Community programme!B15</t>
        </is>
      </c>
      <c r="B5121" s="4" t="inlineStr">
        <is>
          <t>Community programme</t>
        </is>
      </c>
      <c r="C5121" s="4" t="inlineStr">
        <is>
          <t>B15</t>
        </is>
      </c>
      <c r="D5121" s="4" t="inlineStr">
        <is>
          <t>Partners identify households and the local process</t>
        </is>
      </c>
      <c r="E5121" s="4" t="inlineStr">
        <is>
          <t>Partners identify households and the local process</t>
        </is>
      </c>
      <c r="F5121" s="4" t="inlineStr">
        <is>
          <t>Goods-financial-plan.xlsx before consolidation</t>
        </is>
      </c>
    </row>
    <row r="5122" ht="45" customHeight="1">
      <c r="A5122" s="4" t="inlineStr">
        <is>
          <t>history:Community programme!C15</t>
        </is>
      </c>
      <c r="B5122" s="4" t="inlineStr">
        <is>
          <t>Community programme</t>
        </is>
      </c>
      <c r="C5122" s="4" t="inlineStr">
        <is>
          <t>C15</t>
        </is>
      </c>
      <c r="D5122" s="4" t="inlineStr">
        <is>
          <t>Listen with existing partners; support needs assessment</t>
        </is>
      </c>
      <c r="E5122" s="4" t="inlineStr">
        <is>
          <t>Listen with existing partners; support needs assessment</t>
        </is>
      </c>
      <c r="F5122" s="4" t="inlineStr">
        <is>
          <t>Goods-financial-plan.xlsx before consolidation</t>
        </is>
      </c>
    </row>
    <row r="5123" ht="40" customHeight="1">
      <c r="A5123" s="4" t="inlineStr">
        <is>
          <t>history:Community programme!D15</t>
        </is>
      </c>
      <c r="B5123" s="4" t="inlineStr">
        <is>
          <t>Community programme</t>
        </is>
      </c>
      <c r="C5123" s="4" t="inlineStr">
        <is>
          <t>D15</t>
        </is>
      </c>
      <c r="D5123" s="4" t="inlineStr">
        <is>
          <t>C20, C24</t>
        </is>
      </c>
      <c r="E5123" s="4" t="inlineStr">
        <is>
          <t>C20, C24</t>
        </is>
      </c>
      <c r="F5123" s="4" t="inlineStr">
        <is>
          <t>Goods-financial-plan.xlsx before consolidation</t>
        </is>
      </c>
    </row>
    <row r="5124" ht="40" customHeight="1">
      <c r="A5124" s="4" t="inlineStr">
        <is>
          <t>history:Community programme!E15</t>
        </is>
      </c>
      <c r="B5124" s="4" t="inlineStr">
        <is>
          <t>Community programme</t>
        </is>
      </c>
      <c r="C5124" s="4" t="inlineStr">
        <is>
          <t>E15</t>
        </is>
      </c>
      <c r="D5124" s="4" t="inlineStr">
        <is>
          <t>Invitation / agreed need and authority</t>
        </is>
      </c>
      <c r="E5124" s="4" t="inlineStr">
        <is>
          <t>Invitation / agreed need and authority</t>
        </is>
      </c>
      <c r="F5124" s="4" t="inlineStr">
        <is>
          <t>Goods-financial-plan.xlsx before consolidation</t>
        </is>
      </c>
    </row>
    <row r="5125" ht="40" customHeight="1">
      <c r="A5125" s="4" t="inlineStr">
        <is>
          <t>history:Community programme!A16</t>
        </is>
      </c>
      <c r="B5125" s="4" t="inlineStr">
        <is>
          <t>Community programme</t>
        </is>
      </c>
      <c r="C5125" s="4" t="inlineStr">
        <is>
          <t>A16</t>
        </is>
      </c>
      <c r="D5125" s="4" t="inlineStr">
        <is>
          <t>Agree the programme</t>
        </is>
      </c>
      <c r="E5125" s="4" t="inlineStr">
        <is>
          <t>Agree the programme</t>
        </is>
      </c>
      <c r="F5125" s="4" t="inlineStr">
        <is>
          <t>Goods-financial-plan.xlsx before consolidation</t>
        </is>
      </c>
    </row>
    <row r="5126" ht="45" customHeight="1">
      <c r="A5126" s="4" t="inlineStr">
        <is>
          <t>history:Community programme!B16</t>
        </is>
      </c>
      <c r="B5126" s="4" t="inlineStr">
        <is>
          <t>Community programme</t>
        </is>
      </c>
      <c r="C5126" s="4" t="inlineStr">
        <is>
          <t>B16</t>
        </is>
      </c>
      <c r="D5126" s="4" t="inlineStr">
        <is>
          <t>Who participates and what the programme should achieve</t>
        </is>
      </c>
      <c r="E5126" s="4" t="inlineStr">
        <is>
          <t>Who participates and what the programme should achieve</t>
        </is>
      </c>
      <c r="F5126" s="4" t="inlineStr">
        <is>
          <t>Goods-financial-plan.xlsx before consolidation</t>
        </is>
      </c>
    </row>
    <row r="5127" ht="45" customHeight="1">
      <c r="A5127" s="4" t="inlineStr">
        <is>
          <t>history:Community programme!C16</t>
        </is>
      </c>
      <c r="B5127" s="4" t="inlineStr">
        <is>
          <t>Community programme</t>
        </is>
      </c>
      <c r="C5127" s="4" t="inlineStr">
        <is>
          <t>C16</t>
        </is>
      </c>
      <c r="D5127" s="4" t="inlineStr">
        <is>
          <t>Cost coordination, youth support and safe making</t>
        </is>
      </c>
      <c r="E5127" s="4" t="inlineStr">
        <is>
          <t>Cost coordination, youth support and safe making</t>
        </is>
      </c>
      <c r="F5127" s="4" t="inlineStr">
        <is>
          <t>Goods-financial-plan.xlsx before consolidation</t>
        </is>
      </c>
    </row>
    <row r="5128" ht="40" customHeight="1">
      <c r="A5128" s="4" t="inlineStr">
        <is>
          <t>history:Community programme!D16</t>
        </is>
      </c>
      <c r="B5128" s="4" t="inlineStr">
        <is>
          <t>Community programme</t>
        </is>
      </c>
      <c r="C5128" s="4" t="inlineStr">
        <is>
          <t>D16</t>
        </is>
      </c>
      <c r="D5128" s="4" t="inlineStr">
        <is>
          <t>C19, C21–C23</t>
        </is>
      </c>
      <c r="E5128" s="4" t="inlineStr">
        <is>
          <t>C19, C21–C23</t>
        </is>
      </c>
      <c r="F5128" s="4" t="inlineStr">
        <is>
          <t>Goods-financial-plan.xlsx before consolidation</t>
        </is>
      </c>
    </row>
    <row r="5129" ht="40" customHeight="1">
      <c r="A5129" s="4" t="inlineStr">
        <is>
          <t>history:Community programme!E16</t>
        </is>
      </c>
      <c r="B5129" s="4" t="inlineStr">
        <is>
          <t>Community programme</t>
        </is>
      </c>
      <c r="C5129" s="4" t="inlineStr">
        <is>
          <t>E16</t>
        </is>
      </c>
      <c r="D5129" s="4" t="inlineStr">
        <is>
          <t>Programme plan approved locally</t>
        </is>
      </c>
      <c r="E5129" s="4" t="inlineStr">
        <is>
          <t>Programme plan approved locally</t>
        </is>
      </c>
      <c r="F5129" s="4" t="inlineStr">
        <is>
          <t>Goods-financial-plan.xlsx before consolidation</t>
        </is>
      </c>
    </row>
    <row r="5130" ht="40" customHeight="1">
      <c r="A5130" s="4" t="inlineStr">
        <is>
          <t>history:Community programme!A17</t>
        </is>
      </c>
      <c r="B5130" s="4" t="inlineStr">
        <is>
          <t>Community programme</t>
        </is>
      </c>
      <c r="C5130" s="4" t="inlineStr">
        <is>
          <t>A17</t>
        </is>
      </c>
      <c r="D5130" s="4" t="inlineStr">
        <is>
          <t>Fund and make</t>
        </is>
      </c>
      <c r="E5130" s="4" t="inlineStr">
        <is>
          <t>Fund and make</t>
        </is>
      </c>
      <c r="F5130" s="4" t="inlineStr">
        <is>
          <t>Goods-financial-plan.xlsx before consolidation</t>
        </is>
      </c>
    </row>
    <row r="5131" ht="40" customHeight="1">
      <c r="A5131" s="4" t="inlineStr">
        <is>
          <t>history:Community programme!B17</t>
        </is>
      </c>
      <c r="B5131" s="4" t="inlineStr">
        <is>
          <t>Community programme</t>
        </is>
      </c>
      <c r="C5131" s="4" t="inlineStr">
        <is>
          <t>B17</t>
        </is>
      </c>
      <c r="D5131" s="4" t="inlineStr">
        <is>
          <t>Local roles and supported participation</t>
        </is>
      </c>
      <c r="E5131" s="4" t="inlineStr">
        <is>
          <t>Local roles and supported participation</t>
        </is>
      </c>
      <c r="F5131" s="4" t="inlineStr">
        <is>
          <t>Goods-financial-plan.xlsx before consolidation</t>
        </is>
      </c>
    </row>
    <row r="5132" ht="45" customHeight="1">
      <c r="A5132" s="4" t="inlineStr">
        <is>
          <t>history:Community programme!C17</t>
        </is>
      </c>
      <c r="B5132" s="4" t="inlineStr">
        <is>
          <t>Community programme</t>
        </is>
      </c>
      <c r="C5132" s="4" t="inlineStr">
        <is>
          <t>C17</t>
        </is>
      </c>
      <c r="D5132" s="4" t="inlineStr">
        <is>
          <t>Fund full making costs; train, supervise and assure quality</t>
        </is>
      </c>
      <c r="E5132" s="4" t="inlineStr">
        <is>
          <t>Fund full making costs; train, supervise and assure quality</t>
        </is>
      </c>
      <c r="F5132" s="4" t="inlineStr">
        <is>
          <t>Goods-financial-plan.xlsx before consolidation</t>
        </is>
      </c>
    </row>
    <row r="5133" ht="40" customHeight="1">
      <c r="A5133" s="4" t="inlineStr">
        <is>
          <t>history:Community programme!D17</t>
        </is>
      </c>
      <c r="B5133" s="4" t="inlineStr">
        <is>
          <t>Community programme</t>
        </is>
      </c>
      <c r="C5133" s="4" t="inlineStr">
        <is>
          <t>D17</t>
        </is>
      </c>
      <c r="D5133" s="4" t="inlineStr">
        <is>
          <t>C03–C08, C18–C23</t>
        </is>
      </c>
      <c r="E5133" s="4" t="inlineStr">
        <is>
          <t>C03–C08, C18–C23</t>
        </is>
      </c>
      <c r="F5133" s="4" t="inlineStr">
        <is>
          <t>Goods-financial-plan.xlsx before consolidation</t>
        </is>
      </c>
    </row>
    <row r="5134" ht="40" customHeight="1">
      <c r="A5134" s="4" t="inlineStr">
        <is>
          <t>history:Community programme!E17</t>
        </is>
      </c>
      <c r="B5134" s="4" t="inlineStr">
        <is>
          <t>Community programme</t>
        </is>
      </c>
      <c r="C5134" s="4" t="inlineStr">
        <is>
          <t>E17</t>
        </is>
      </c>
      <c r="D5134" s="4" t="inlineStr">
        <is>
          <t>Batch, work and training records</t>
        </is>
      </c>
      <c r="E5134" s="4" t="inlineStr">
        <is>
          <t>Batch, work and training records</t>
        </is>
      </c>
      <c r="F5134" s="4" t="inlineStr">
        <is>
          <t>Goods-financial-plan.xlsx before consolidation</t>
        </is>
      </c>
    </row>
    <row r="5135" ht="40" customHeight="1">
      <c r="A5135" s="4" t="inlineStr">
        <is>
          <t>history:Community programme!A18</t>
        </is>
      </c>
      <c r="B5135" s="4" t="inlineStr">
        <is>
          <t>Community programme</t>
        </is>
      </c>
      <c r="C5135" s="4" t="inlineStr">
        <is>
          <t>A18</t>
        </is>
      </c>
      <c r="D5135" s="4" t="inlineStr">
        <is>
          <t>Receive or sell beds</t>
        </is>
      </c>
      <c r="E5135" s="4" t="inlineStr">
        <is>
          <t>Receive or sell beds</t>
        </is>
      </c>
      <c r="F5135" s="4" t="inlineStr">
        <is>
          <t>Goods-financial-plan.xlsx before consolidation</t>
        </is>
      </c>
    </row>
    <row r="5136" ht="45" customHeight="1">
      <c r="A5136" s="4" t="inlineStr">
        <is>
          <t>history:Community programme!B18</t>
        </is>
      </c>
      <c r="B5136" s="4" t="inlineStr">
        <is>
          <t>Community programme</t>
        </is>
      </c>
      <c r="C5136" s="4" t="inlineStr">
        <is>
          <t>B18</t>
        </is>
      </c>
      <c r="D5136" s="4" t="inlineStr">
        <is>
          <t>Who receives beds and what the organisation sells</t>
        </is>
      </c>
      <c r="E5136" s="4" t="inlineStr">
        <is>
          <t>Who receives beds and what the organisation sells</t>
        </is>
      </c>
      <c r="F5136" s="4" t="inlineStr">
        <is>
          <t>Goods-financial-plan.xlsx before consolidation</t>
        </is>
      </c>
    </row>
    <row r="5137" ht="60" customHeight="1">
      <c r="A5137" s="4" t="inlineStr">
        <is>
          <t>history:Community programme!C18</t>
        </is>
      </c>
      <c r="B5137" s="4" t="inlineStr">
        <is>
          <t>Community programme</t>
        </is>
      </c>
      <c r="C5137" s="4" t="inlineStr">
        <is>
          <t>C18</t>
        </is>
      </c>
      <c r="D5137" s="4" t="inlineStr">
        <is>
          <t>Support allocation, product information, delivery and simple sales records</t>
        </is>
      </c>
      <c r="E5137" s="4" t="inlineStr">
        <is>
          <t>Support allocation, product information, delivery and simple sales records</t>
        </is>
      </c>
      <c r="F5137" s="4" t="inlineStr">
        <is>
          <t>Goods-financial-plan.xlsx before consolidation</t>
        </is>
      </c>
    </row>
    <row r="5138" ht="40" customHeight="1">
      <c r="A5138" s="4" t="inlineStr">
        <is>
          <t>history:Community programme!D18</t>
        </is>
      </c>
      <c r="B5138" s="4" t="inlineStr">
        <is>
          <t>Community programme</t>
        </is>
      </c>
      <c r="C5138" s="4" t="inlineStr">
        <is>
          <t>D18</t>
        </is>
      </c>
      <c r="D5138" s="4" t="inlineStr">
        <is>
          <t>C09, C20, C24</t>
        </is>
      </c>
      <c r="E5138" s="4" t="inlineStr">
        <is>
          <t>C09, C20, C24</t>
        </is>
      </c>
      <c r="F5138" s="4" t="inlineStr">
        <is>
          <t>Goods-financial-plan.xlsx before consolidation</t>
        </is>
      </c>
    </row>
    <row r="5139" ht="40" customHeight="1">
      <c r="A5139" s="4" t="inlineStr">
        <is>
          <t>history:Community programme!E18</t>
        </is>
      </c>
      <c r="B5139" s="4" t="inlineStr">
        <is>
          <t>Community programme</t>
        </is>
      </c>
      <c r="C5139" s="4" t="inlineStr">
        <is>
          <t>E18</t>
        </is>
      </c>
      <c r="D5139" s="4" t="inlineStr">
        <is>
          <t>Asset/batch allocation and transfer record</t>
        </is>
      </c>
      <c r="E5139" s="4" t="inlineStr">
        <is>
          <t>Asset/batch allocation and transfer record</t>
        </is>
      </c>
      <c r="F5139" s="4" t="inlineStr">
        <is>
          <t>Goods-financial-plan.xlsx before consolidation</t>
        </is>
      </c>
    </row>
    <row r="5140" ht="40" customHeight="1">
      <c r="A5140" s="4" t="inlineStr">
        <is>
          <t>history:Community programme!A19</t>
        </is>
      </c>
      <c r="B5140" s="4" t="inlineStr">
        <is>
          <t>Community programme</t>
        </is>
      </c>
      <c r="C5140" s="4" t="inlineStr">
        <is>
          <t>A19</t>
        </is>
      </c>
      <c r="D5140" s="4" t="inlineStr">
        <is>
          <t>Control sale proceeds</t>
        </is>
      </c>
      <c r="E5140" s="4" t="inlineStr">
        <is>
          <t>Control sale proceeds</t>
        </is>
      </c>
      <c r="F5140" s="4" t="inlineStr">
        <is>
          <t>Goods-financial-plan.xlsx before consolidation</t>
        </is>
      </c>
    </row>
    <row r="5141" ht="45" customHeight="1">
      <c r="A5141" s="4" t="inlineStr">
        <is>
          <t>history:Community programme!B19</t>
        </is>
      </c>
      <c r="B5141" s="4" t="inlineStr">
        <is>
          <t>Community programme</t>
        </is>
      </c>
      <c r="C5141" s="4" t="inlineStr">
        <is>
          <t>B19</t>
        </is>
      </c>
      <c r="D5141" s="4" t="inlineStr">
        <is>
          <t>Organisation decides how to use the full proceeds</t>
        </is>
      </c>
      <c r="E5141" s="4" t="inlineStr">
        <is>
          <t>Organisation decides how to use the full proceeds</t>
        </is>
      </c>
      <c r="F5141" s="4" t="inlineStr">
        <is>
          <t>Goods-financial-plan.xlsx before consolidation</t>
        </is>
      </c>
    </row>
    <row r="5142" ht="45" customHeight="1">
      <c r="A5142" s="4" t="inlineStr">
        <is>
          <t>history:Community programme!C19</t>
        </is>
      </c>
      <c r="B5142" s="4" t="inlineStr">
        <is>
          <t>Community programme</t>
        </is>
      </c>
      <c r="C5142" s="4" t="inlineStr">
        <is>
          <t>C19</t>
        </is>
      </c>
      <c r="D5142" s="4" t="inlineStr">
        <is>
          <t>Offer further beds or enterprise support if requested</t>
        </is>
      </c>
      <c r="E5142" s="4" t="inlineStr">
        <is>
          <t>Offer further beds or enterprise support if requested</t>
        </is>
      </c>
      <c r="F5142" s="4" t="inlineStr">
        <is>
          <t>Goods-financial-plan.xlsx before consolidation</t>
        </is>
      </c>
    </row>
    <row r="5143" ht="40" customHeight="1">
      <c r="A5143" s="4" t="inlineStr">
        <is>
          <t>history:Community programme!D19</t>
        </is>
      </c>
      <c r="B5143" s="4" t="inlineStr">
        <is>
          <t>Community programme</t>
        </is>
      </c>
      <c r="C5143" s="4" t="inlineStr">
        <is>
          <t>D19</t>
        </is>
      </c>
      <c r="D5143" s="4" t="inlineStr">
        <is>
          <t>C20</t>
        </is>
      </c>
      <c r="E5143" s="4" t="inlineStr">
        <is>
          <t>C20</t>
        </is>
      </c>
      <c r="F5143" s="4" t="inlineStr">
        <is>
          <t>Goods-financial-plan.xlsx before consolidation</t>
        </is>
      </c>
    </row>
    <row r="5144" ht="45" customHeight="1">
      <c r="A5144" s="4" t="inlineStr">
        <is>
          <t>history:Community programme!E19</t>
        </is>
      </c>
      <c r="B5144" s="4" t="inlineStr">
        <is>
          <t>Community programme</t>
        </is>
      </c>
      <c r="C5144" s="4" t="inlineStr">
        <is>
          <t>E19</t>
        </is>
      </c>
      <c r="D5144" s="4" t="inlineStr">
        <is>
          <t>Agreement records discretion; no repayment assumed</t>
        </is>
      </c>
      <c r="E5144" s="4" t="inlineStr">
        <is>
          <t>Agreement records discretion; no repayment assumed</t>
        </is>
      </c>
      <c r="F5144" s="4" t="inlineStr">
        <is>
          <t>Goods-financial-plan.xlsx before consolidation</t>
        </is>
      </c>
    </row>
    <row r="5145" ht="40" customHeight="1">
      <c r="A5145" s="4" t="inlineStr">
        <is>
          <t>history:Community programme!A20</t>
        </is>
      </c>
      <c r="B5145" s="4" t="inlineStr">
        <is>
          <t>Community programme</t>
        </is>
      </c>
      <c r="C5145" s="4" t="inlineStr">
        <is>
          <t>A20</t>
        </is>
      </c>
      <c r="D5145" s="4" t="inlineStr">
        <is>
          <t>Maintain and learn</t>
        </is>
      </c>
      <c r="E5145" s="4" t="inlineStr">
        <is>
          <t>Maintain and learn</t>
        </is>
      </c>
      <c r="F5145" s="4" t="inlineStr">
        <is>
          <t>Goods-financial-plan.xlsx before consolidation</t>
        </is>
      </c>
    </row>
    <row r="5146" ht="40" customHeight="1">
      <c r="A5146" s="4" t="inlineStr">
        <is>
          <t>history:Community programme!B20</t>
        </is>
      </c>
      <c r="B5146" s="4" t="inlineStr">
        <is>
          <t>Community programme</t>
        </is>
      </c>
      <c r="C5146" s="4" t="inlineStr">
        <is>
          <t>B20</t>
        </is>
      </c>
      <c r="D5146" s="4" t="inlineStr">
        <is>
          <t>Local feedback and preferred repair response</t>
        </is>
      </c>
      <c r="E5146" s="4" t="inlineStr">
        <is>
          <t>Local feedback and preferred repair response</t>
        </is>
      </c>
      <c r="F5146" s="4" t="inlineStr">
        <is>
          <t>Goods-financial-plan.xlsx before consolidation</t>
        </is>
      </c>
    </row>
    <row r="5147" ht="45" customHeight="1">
      <c r="A5147" s="4" t="inlineStr">
        <is>
          <t>history:Community programme!C20</t>
        </is>
      </c>
      <c r="B5147" s="4" t="inlineStr">
        <is>
          <t>Community programme</t>
        </is>
      </c>
      <c r="C5147" s="4" t="inlineStr">
        <is>
          <t>C20</t>
        </is>
      </c>
      <c r="D5147" s="4" t="inlineStr">
        <is>
          <t>Fund follow-up, respond to faults and return findings</t>
        </is>
      </c>
      <c r="E5147" s="4" t="inlineStr">
        <is>
          <t>Fund follow-up, respond to faults and return findings</t>
        </is>
      </c>
      <c r="F5147" s="4" t="inlineStr">
        <is>
          <t>Goods-financial-plan.xlsx before consolidation</t>
        </is>
      </c>
    </row>
    <row r="5148" ht="40" customHeight="1">
      <c r="A5148" s="4" t="inlineStr">
        <is>
          <t>history:Community programme!D20</t>
        </is>
      </c>
      <c r="B5148" s="4" t="inlineStr">
        <is>
          <t>Community programme</t>
        </is>
      </c>
      <c r="C5148" s="4" t="inlineStr">
        <is>
          <t>D20</t>
        </is>
      </c>
      <c r="D5148" s="4" t="inlineStr">
        <is>
          <t>C24, C28</t>
        </is>
      </c>
      <c r="E5148" s="4" t="inlineStr">
        <is>
          <t>C24, C28</t>
        </is>
      </c>
      <c r="F5148" s="4" t="inlineStr">
        <is>
          <t>Goods-financial-plan.xlsx before consolidation</t>
        </is>
      </c>
    </row>
    <row r="5149" ht="40" customHeight="1">
      <c r="A5149" s="4" t="inlineStr">
        <is>
          <t>history:Community programme!E20</t>
        </is>
      </c>
      <c r="B5149" s="4" t="inlineStr">
        <is>
          <t>Community programme</t>
        </is>
      </c>
      <c r="C5149" s="4" t="inlineStr">
        <is>
          <t>E20</t>
        </is>
      </c>
      <c r="D5149" s="4" t="inlineStr">
        <is>
          <t>Repair record and partner-reviewed findings</t>
        </is>
      </c>
      <c r="E5149" s="4" t="inlineStr">
        <is>
          <t>Repair record and partner-reviewed findings</t>
        </is>
      </c>
      <c r="F5149" s="4" t="inlineStr">
        <is>
          <t>Goods-financial-plan.xlsx before consolidation</t>
        </is>
      </c>
    </row>
    <row r="5150" ht="40" customHeight="1">
      <c r="A5150" s="4" t="inlineStr">
        <is>
          <t>history:Community programme!A21</t>
        </is>
      </c>
      <c r="B5150" s="4" t="inlineStr">
        <is>
          <t>Community programme</t>
        </is>
      </c>
      <c r="C5150" s="4" t="inlineStr">
        <is>
          <t>A21</t>
        </is>
      </c>
      <c r="D5150" s="4" t="inlineStr">
        <is>
          <t>Consider a factory</t>
        </is>
      </c>
      <c r="E5150" s="4" t="inlineStr">
        <is>
          <t>Consider a factory</t>
        </is>
      </c>
      <c r="F5150" s="4" t="inlineStr">
        <is>
          <t>Goods-financial-plan.xlsx before consolidation</t>
        </is>
      </c>
    </row>
    <row r="5151" ht="45" customHeight="1">
      <c r="A5151" s="4" t="inlineStr">
        <is>
          <t>history:Community programme!B21</t>
        </is>
      </c>
      <c r="B5151" s="4" t="inlineStr">
        <is>
          <t>Community programme</t>
        </is>
      </c>
      <c r="C5151" s="4" t="inlineStr">
        <is>
          <t>B21</t>
        </is>
      </c>
      <c r="D5151" s="4" t="inlineStr">
        <is>
          <t>Local authority, operator and preferred enterprise arrangements</t>
        </is>
      </c>
      <c r="E5151" s="4" t="inlineStr">
        <is>
          <t>Local authority, operator and preferred enterprise arrangements</t>
        </is>
      </c>
      <c r="F5151" s="4" t="inlineStr">
        <is>
          <t>Goods-financial-plan.xlsx before consolidation</t>
        </is>
      </c>
    </row>
    <row r="5152" ht="45" customHeight="1">
      <c r="A5152" s="4" t="inlineStr">
        <is>
          <t>history:Community programme!C21</t>
        </is>
      </c>
      <c r="B5152" s="4" t="inlineStr">
        <is>
          <t>Community programme</t>
        </is>
      </c>
      <c r="C5152" s="4" t="inlineStr">
        <is>
          <t>C21</t>
        </is>
      </c>
      <c r="D5152" s="4" t="inlineStr">
        <is>
          <t>Scope premises, equipment, governance, paid operators and upkeep</t>
        </is>
      </c>
      <c r="E5152" s="4" t="inlineStr">
        <is>
          <t>Scope premises, equipment, governance, paid operators and upkeep</t>
        </is>
      </c>
      <c r="F5152" s="4" t="inlineStr">
        <is>
          <t>Goods-financial-plan.xlsx before consolidation</t>
        </is>
      </c>
    </row>
    <row r="5153" ht="40" customHeight="1">
      <c r="A5153" s="4" t="inlineStr">
        <is>
          <t>history:Community programme!D21</t>
        </is>
      </c>
      <c r="B5153" s="4" t="inlineStr">
        <is>
          <t>Community programme</t>
        </is>
      </c>
      <c r="C5153" s="4" t="inlineStr">
        <is>
          <t>D21</t>
        </is>
      </c>
      <c r="D5153" s="4" t="inlineStr">
        <is>
          <t>C01–C02, C14–C20</t>
        </is>
      </c>
      <c r="E5153" s="4" t="inlineStr">
        <is>
          <t>C01–C02, C14–C20</t>
        </is>
      </c>
      <c r="F5153" s="4" t="inlineStr">
        <is>
          <t>Goods-financial-plan.xlsx before consolidation</t>
        </is>
      </c>
    </row>
    <row r="5154" ht="45" customHeight="1">
      <c r="A5154" s="4" t="inlineStr">
        <is>
          <t>history:Community programme!E21</t>
        </is>
      </c>
      <c r="B5154" s="4" t="inlineStr">
        <is>
          <t>Community programme</t>
        </is>
      </c>
      <c r="C5154" s="4" t="inlineStr">
        <is>
          <t>E21</t>
        </is>
      </c>
      <c r="D5154" s="4" t="inlineStr">
        <is>
          <t>Separate decision; no automatic ownership claim</t>
        </is>
      </c>
      <c r="E5154" s="4" t="inlineStr">
        <is>
          <t>Separate decision; no automatic ownership claim</t>
        </is>
      </c>
      <c r="F5154" s="4" t="inlineStr">
        <is>
          <t>Goods-financial-plan.xlsx before consolidation</t>
        </is>
      </c>
    </row>
    <row r="5155" ht="40" customHeight="1">
      <c r="A5155" s="4" t="inlineStr">
        <is>
          <t>history:Evidence plan!A1</t>
        </is>
      </c>
      <c r="B5155" s="4" t="inlineStr">
        <is>
          <t>Evidence plan</t>
        </is>
      </c>
      <c r="C5155" s="4" t="inlineStr">
        <is>
          <t>A1</t>
        </is>
      </c>
      <c r="D5155" s="4" t="inlineStr">
        <is>
          <t>Evidence plan</t>
        </is>
      </c>
      <c r="E5155" s="4" t="inlineStr">
        <is>
          <t>Evidence plan</t>
        </is>
      </c>
      <c r="F5155" s="4" t="inlineStr">
        <is>
          <t>Goods-financial-plan.xlsx before consolidation</t>
        </is>
      </c>
    </row>
    <row r="5156" ht="75" customHeight="1">
      <c r="A5156" s="4" t="inlineStr">
        <is>
          <t>history:Evidence plan!A3</t>
        </is>
      </c>
      <c r="B5156" s="4" t="inlineStr">
        <is>
          <t>Evidence plan</t>
        </is>
      </c>
      <c r="C5156" s="4" t="inlineStr">
        <is>
          <t>A3</t>
        </is>
      </c>
      <c r="D5156" s="4" t="inlineStr">
        <is>
          <t>Planned collection, not completed evaluation. Agree measures, local responsibilities and costs with partners.</t>
        </is>
      </c>
      <c r="E5156" s="4" t="inlineStr">
        <is>
          <t>Planned collection, not completed evaluation. Agree measures, local responsibilities and costs with partners.</t>
        </is>
      </c>
      <c r="F5156" s="4" t="inlineStr">
        <is>
          <t>Goods-financial-plan.xlsx before consolidation</t>
        </is>
      </c>
    </row>
    <row r="5157" ht="40" customHeight="1">
      <c r="A5157" s="4" t="inlineStr">
        <is>
          <t>history:Evidence plan!A6</t>
        </is>
      </c>
      <c r="B5157" s="4" t="inlineStr">
        <is>
          <t>Evidence plan</t>
        </is>
      </c>
      <c r="C5157" s="4" t="inlineStr">
        <is>
          <t>A6</t>
        </is>
      </c>
      <c r="D5157" s="4" t="inlineStr">
        <is>
          <t>Area</t>
        </is>
      </c>
      <c r="E5157" s="4" t="inlineStr">
        <is>
          <t>Area</t>
        </is>
      </c>
      <c r="F5157" s="4" t="inlineStr">
        <is>
          <t>Goods-financial-plan.xlsx before consolidation</t>
        </is>
      </c>
    </row>
    <row r="5158" ht="40" customHeight="1">
      <c r="A5158" s="4" t="inlineStr">
        <is>
          <t>history:Evidence plan!B6</t>
        </is>
      </c>
      <c r="B5158" s="4" t="inlineStr">
        <is>
          <t>Evidence plan</t>
        </is>
      </c>
      <c r="C5158" s="4" t="inlineStr">
        <is>
          <t>B6</t>
        </is>
      </c>
      <c r="D5158" s="4" t="inlineStr">
        <is>
          <t>Record</t>
        </is>
      </c>
      <c r="E5158" s="4" t="inlineStr">
        <is>
          <t>Record</t>
        </is>
      </c>
      <c r="F5158" s="4" t="inlineStr">
        <is>
          <t>Goods-financial-plan.xlsx before consolidation</t>
        </is>
      </c>
    </row>
    <row r="5159" ht="40" customHeight="1">
      <c r="A5159" s="4" t="inlineStr">
        <is>
          <t>history:Evidence plan!C6</t>
        </is>
      </c>
      <c r="B5159" s="4" t="inlineStr">
        <is>
          <t>Evidence plan</t>
        </is>
      </c>
      <c r="C5159" s="4" t="inlineStr">
        <is>
          <t>C6</t>
        </is>
      </c>
      <c r="D5159" s="4" t="inlineStr">
        <is>
          <t>Proposed owner</t>
        </is>
      </c>
      <c r="E5159" s="4" t="inlineStr">
        <is>
          <t>Proposed owner</t>
        </is>
      </c>
      <c r="F5159" s="4" t="inlineStr">
        <is>
          <t>Goods-financial-plan.xlsx before consolidation</t>
        </is>
      </c>
    </row>
    <row r="5160" ht="40" customHeight="1">
      <c r="A5160" s="4" t="inlineStr">
        <is>
          <t>history:Evidence plan!D6</t>
        </is>
      </c>
      <c r="B5160" s="4" t="inlineStr">
        <is>
          <t>Evidence plan</t>
        </is>
      </c>
      <c r="C5160" s="4" t="inlineStr">
        <is>
          <t>D6</t>
        </is>
      </c>
      <c r="D5160" s="4" t="inlineStr">
        <is>
          <t>When</t>
        </is>
      </c>
      <c r="E5160" s="4" t="inlineStr">
        <is>
          <t>When</t>
        </is>
      </c>
      <c r="F5160" s="4" t="inlineStr">
        <is>
          <t>Goods-financial-plan.xlsx before consolidation</t>
        </is>
      </c>
    </row>
    <row r="5161" ht="40" customHeight="1">
      <c r="A5161" s="4" t="inlineStr">
        <is>
          <t>history:Evidence plan!E6</t>
        </is>
      </c>
      <c r="B5161" s="4" t="inlineStr">
        <is>
          <t>Evidence plan</t>
        </is>
      </c>
      <c r="C5161" s="4" t="inlineStr">
        <is>
          <t>E6</t>
        </is>
      </c>
      <c r="D5161" s="4" t="inlineStr">
        <is>
          <t>Rule</t>
        </is>
      </c>
      <c r="E5161" s="4" t="inlineStr">
        <is>
          <t>Rule</t>
        </is>
      </c>
      <c r="F5161" s="4" t="inlineStr">
        <is>
          <t>Goods-financial-plan.xlsx before consolidation</t>
        </is>
      </c>
    </row>
    <row r="5162" ht="40" customHeight="1">
      <c r="A5162" s="4" t="inlineStr">
        <is>
          <t>history:Evidence plan!A7</t>
        </is>
      </c>
      <c r="B5162" s="4" t="inlineStr">
        <is>
          <t>Evidence plan</t>
        </is>
      </c>
      <c r="C5162" s="4" t="inlineStr">
        <is>
          <t>A7</t>
        </is>
      </c>
      <c r="D5162" s="4" t="inlineStr">
        <is>
          <t>Beds in use</t>
        </is>
      </c>
      <c r="E5162" s="4" t="inlineStr">
        <is>
          <t>Beds in use</t>
        </is>
      </c>
      <c r="F5162" s="4" t="inlineStr">
        <is>
          <t>Goods-financial-plan.xlsx before consolidation</t>
        </is>
      </c>
    </row>
    <row r="5163" ht="45" customHeight="1">
      <c r="A5163" s="4" t="inlineStr">
        <is>
          <t>history:Evidence plan!B7</t>
        </is>
      </c>
      <c r="B5163" s="4" t="inlineStr">
        <is>
          <t>Evidence plan</t>
        </is>
      </c>
      <c r="C5163" s="4" t="inlineStr">
        <is>
          <t>B7</t>
        </is>
      </c>
      <c r="D5163" s="4" t="inlineStr">
        <is>
          <t>Delivery ID + asset ID; delivery confirmed; bed in use at follow-up</t>
        </is>
      </c>
      <c r="E5163" s="4" t="inlineStr">
        <is>
          <t>Delivery ID + asset ID; delivery confirmed; bed in use at follow-up</t>
        </is>
      </c>
      <c r="F5163" s="4" t="inlineStr">
        <is>
          <t>Goods-financial-plan.xlsx before consolidation</t>
        </is>
      </c>
    </row>
    <row r="5164" ht="40" customHeight="1">
      <c r="A5164" s="4" t="inlineStr">
        <is>
          <t>history:Evidence plan!C7</t>
        </is>
      </c>
      <c r="B5164" s="4" t="inlineStr">
        <is>
          <t>Evidence plan</t>
        </is>
      </c>
      <c r="C5164" s="4" t="inlineStr">
        <is>
          <t>C7</t>
        </is>
      </c>
      <c r="D5164" s="4" t="inlineStr">
        <is>
          <t>Delivery lead</t>
        </is>
      </c>
      <c r="E5164" s="4" t="inlineStr">
        <is>
          <t>Delivery lead</t>
        </is>
      </c>
      <c r="F5164" s="4" t="inlineStr">
        <is>
          <t>Goods-financial-plan.xlsx before consolidation</t>
        </is>
      </c>
    </row>
    <row r="5165" ht="40" customHeight="1">
      <c r="A5165" s="4" t="inlineStr">
        <is>
          <t>history:Evidence plan!D7</t>
        </is>
      </c>
      <c r="B5165" s="4" t="inlineStr">
        <is>
          <t>Evidence plan</t>
        </is>
      </c>
      <c r="C5165" s="4" t="inlineStr">
        <is>
          <t>D7</t>
        </is>
      </c>
      <c r="D5165" s="4" t="inlineStr">
        <is>
          <t>At delivery, 6 weeks and 3 months</t>
        </is>
      </c>
      <c r="E5165" s="4" t="inlineStr">
        <is>
          <t>At delivery, 6 weeks and 3 months</t>
        </is>
      </c>
      <c r="F5165" s="4" t="inlineStr">
        <is>
          <t>Goods-financial-plan.xlsx before consolidation</t>
        </is>
      </c>
    </row>
    <row r="5166" ht="45" customHeight="1">
      <c r="A5166" s="4" t="inlineStr">
        <is>
          <t>history:Evidence plan!E7</t>
        </is>
      </c>
      <c r="B5166" s="4" t="inlineStr">
        <is>
          <t>Evidence plan</t>
        </is>
      </c>
      <c r="C5166" s="4" t="inlineStr">
        <is>
          <t>E7</t>
        </is>
      </c>
      <c r="D5166" s="4" t="inlineStr">
        <is>
          <t>Count unique assets; report contacted / eligible and unknowns</t>
        </is>
      </c>
      <c r="E5166" s="4" t="inlineStr">
        <is>
          <t>Count unique assets; report contacted / eligible and unknowns</t>
        </is>
      </c>
      <c r="F5166" s="4" t="inlineStr">
        <is>
          <t>Goods-financial-plan.xlsx before consolidation</t>
        </is>
      </c>
    </row>
    <row r="5167" ht="40" customHeight="1">
      <c r="A5167" s="4" t="inlineStr">
        <is>
          <t>history:Evidence plan!A8</t>
        </is>
      </c>
      <c r="B5167" s="4" t="inlineStr">
        <is>
          <t>Evidence plan</t>
        </is>
      </c>
      <c r="C5167" s="4" t="inlineStr">
        <is>
          <t>A8</t>
        </is>
      </c>
      <c r="D5167" s="4" t="inlineStr">
        <is>
          <t>Comfort and repair</t>
        </is>
      </c>
      <c r="E5167" s="4" t="inlineStr">
        <is>
          <t>Comfort and repair</t>
        </is>
      </c>
      <c r="F5167" s="4" t="inlineStr">
        <is>
          <t>Goods-financial-plan.xlsx before consolidation</t>
        </is>
      </c>
    </row>
    <row r="5168" ht="45" customHeight="1">
      <c r="A5168" s="4" t="inlineStr">
        <is>
          <t>history:Evidence plan!B8</t>
        </is>
      </c>
      <c r="B5168" s="4" t="inlineStr">
        <is>
          <t>Evidence plan</t>
        </is>
      </c>
      <c r="C5168" s="4" t="inlineStr">
        <is>
          <t>B8</t>
        </is>
      </c>
      <c r="D5168" s="4" t="inlineStr">
        <is>
          <t>Voluntary same questions at each follow-up; comfort, assembly, faults</t>
        </is>
      </c>
      <c r="E5168" s="4" t="inlineStr">
        <is>
          <t>Voluntary same questions at each follow-up; comfort, assembly, faults</t>
        </is>
      </c>
      <c r="F5168" s="4" t="inlineStr">
        <is>
          <t>Goods-financial-plan.xlsx before consolidation</t>
        </is>
      </c>
    </row>
    <row r="5169" ht="40" customHeight="1">
      <c r="A5169" s="4" t="inlineStr">
        <is>
          <t>history:Evidence plan!C8</t>
        </is>
      </c>
      <c r="B5169" s="4" t="inlineStr">
        <is>
          <t>Evidence plan</t>
        </is>
      </c>
      <c r="C5169" s="4" t="inlineStr">
        <is>
          <t>C8</t>
        </is>
      </c>
      <c r="D5169" s="4" t="inlineStr">
        <is>
          <t>Community-nominated contact</t>
        </is>
      </c>
      <c r="E5169" s="4" t="inlineStr">
        <is>
          <t>Community-nominated contact</t>
        </is>
      </c>
      <c r="F5169" s="4" t="inlineStr">
        <is>
          <t>Goods-financial-plan.xlsx before consolidation</t>
        </is>
      </c>
    </row>
    <row r="5170" ht="40" customHeight="1">
      <c r="A5170" s="4" t="inlineStr">
        <is>
          <t>history:Evidence plan!D8</t>
        </is>
      </c>
      <c r="B5170" s="4" t="inlineStr">
        <is>
          <t>Evidence plan</t>
        </is>
      </c>
      <c r="C5170" s="4" t="inlineStr">
        <is>
          <t>D8</t>
        </is>
      </c>
      <c r="D5170" s="4" t="inlineStr">
        <is>
          <t>First 50 deliveries; 6 weeks / 3 months</t>
        </is>
      </c>
      <c r="E5170" s="4" t="inlineStr">
        <is>
          <t>First 50 deliveries; 6 weeks / 3 months</t>
        </is>
      </c>
      <c r="F5170" s="4" t="inlineStr">
        <is>
          <t>Goods-financial-plan.xlsx before consolidation</t>
        </is>
      </c>
    </row>
    <row r="5171" ht="45" customHeight="1">
      <c r="A5171" s="4" t="inlineStr">
        <is>
          <t>history:Evidence plan!E8</t>
        </is>
      </c>
      <c r="B5171" s="4" t="inlineStr">
        <is>
          <t>Evidence plan</t>
        </is>
      </c>
      <c r="C5171" s="4" t="inlineStr">
        <is>
          <t>E8</t>
        </is>
      </c>
      <c r="D5171" s="4" t="inlineStr">
        <is>
          <t>Report numerator and response denominator; do not infer health change</t>
        </is>
      </c>
      <c r="E5171" s="4" t="inlineStr">
        <is>
          <t>Report numerator and response denominator; do not infer health change</t>
        </is>
      </c>
      <c r="F5171" s="4" t="inlineStr">
        <is>
          <t>Goods-financial-plan.xlsx before consolidation</t>
        </is>
      </c>
    </row>
    <row r="5172" ht="40" customHeight="1">
      <c r="A5172" s="4" t="inlineStr">
        <is>
          <t>history:Evidence plan!A9</t>
        </is>
      </c>
      <c r="B5172" s="4" t="inlineStr">
        <is>
          <t>Evidence plan</t>
        </is>
      </c>
      <c r="C5172" s="4" t="inlineStr">
        <is>
          <t>A9</t>
        </is>
      </c>
      <c r="D5172" s="4" t="inlineStr">
        <is>
          <t>Paid work</t>
        </is>
      </c>
      <c r="E5172" s="4" t="inlineStr">
        <is>
          <t>Paid work</t>
        </is>
      </c>
      <c r="F5172" s="4" t="inlineStr">
        <is>
          <t>Goods-financial-plan.xlsx before consolidation</t>
        </is>
      </c>
    </row>
    <row r="5173" ht="45" customHeight="1">
      <c r="A5173" s="4" t="inlineStr">
        <is>
          <t>history:Evidence plan!B9</t>
        </is>
      </c>
      <c r="B5173" s="4" t="inlineStr">
        <is>
          <t>Evidence plan</t>
        </is>
      </c>
      <c r="C5173" s="4" t="inlineStr">
        <is>
          <t>B9</t>
        </is>
      </c>
      <c r="D5173" s="4" t="inlineStr">
        <is>
          <t>Pseudonymous worker ID, site, date, paid hours and payment reference</t>
        </is>
      </c>
      <c r="E5173" s="4" t="inlineStr">
        <is>
          <t>Pseudonymous worker ID, site, date, paid hours and payment reference</t>
        </is>
      </c>
      <c r="F5173" s="4" t="inlineStr">
        <is>
          <t>Goods-financial-plan.xlsx before consolidation</t>
        </is>
      </c>
    </row>
    <row r="5174" ht="40" customHeight="1">
      <c r="A5174" s="4" t="inlineStr">
        <is>
          <t>history:Evidence plan!C9</t>
        </is>
      </c>
      <c r="B5174" s="4" t="inlineStr">
        <is>
          <t>Evidence plan</t>
        </is>
      </c>
      <c r="C5174" s="4" t="inlineStr">
        <is>
          <t>C9</t>
        </is>
      </c>
      <c r="D5174" s="4" t="inlineStr">
        <is>
          <t>Site lead + finance</t>
        </is>
      </c>
      <c r="E5174" s="4" t="inlineStr">
        <is>
          <t>Site lead + finance</t>
        </is>
      </c>
      <c r="F5174" s="4" t="inlineStr">
        <is>
          <t>Goods-financial-plan.xlsx before consolidation</t>
        </is>
      </c>
    </row>
    <row r="5175" ht="40" customHeight="1">
      <c r="A5175" s="4" t="inlineStr">
        <is>
          <t>history:Evidence plan!D9</t>
        </is>
      </c>
      <c r="B5175" s="4" t="inlineStr">
        <is>
          <t>Evidence plan</t>
        </is>
      </c>
      <c r="C5175" s="4" t="inlineStr">
        <is>
          <t>D9</t>
        </is>
      </c>
      <c r="D5175" s="4" t="inlineStr">
        <is>
          <t>Each shift; monthly reconciliation</t>
        </is>
      </c>
      <c r="E5175" s="4" t="inlineStr">
        <is>
          <t>Each shift; monthly reconciliation</t>
        </is>
      </c>
      <c r="F5175" s="4" t="inlineStr">
        <is>
          <t>Goods-financial-plan.xlsx before consolidation</t>
        </is>
      </c>
    </row>
    <row r="5176" ht="60" customHeight="1">
      <c r="A5176" s="4" t="inlineStr">
        <is>
          <t>history:Evidence plan!E9</t>
        </is>
      </c>
      <c r="B5176" s="4" t="inlineStr">
        <is>
          <t>Evidence plan</t>
        </is>
      </c>
      <c r="C5176" s="4" t="inlineStr">
        <is>
          <t>E9</t>
        </is>
      </c>
      <c r="D5176" s="4" t="inlineStr">
        <is>
          <t>Separate paid, unpaid, training and assembly; no FTE without agreed basis</t>
        </is>
      </c>
      <c r="E5176" s="4" t="inlineStr">
        <is>
          <t>Separate paid, unpaid, training and assembly; no FTE without agreed basis</t>
        </is>
      </c>
      <c r="F5176" s="4" t="inlineStr">
        <is>
          <t>Goods-financial-plan.xlsx before consolidation</t>
        </is>
      </c>
    </row>
    <row r="5177" ht="40" customHeight="1">
      <c r="A5177" s="4" t="inlineStr">
        <is>
          <t>history:Evidence plan!A10</t>
        </is>
      </c>
      <c r="B5177" s="4" t="inlineStr">
        <is>
          <t>Evidence plan</t>
        </is>
      </c>
      <c r="C5177" s="4" t="inlineStr">
        <is>
          <t>A10</t>
        </is>
      </c>
      <c r="D5177" s="4" t="inlineStr">
        <is>
          <t>Material use</t>
        </is>
      </c>
      <c r="E5177" s="4" t="inlineStr">
        <is>
          <t>Material use</t>
        </is>
      </c>
      <c r="F5177" s="4" t="inlineStr">
        <is>
          <t>Goods-financial-plan.xlsx before consolidation</t>
        </is>
      </c>
    </row>
    <row r="5178" ht="45" customHeight="1">
      <c r="A5178" s="4" t="inlineStr">
        <is>
          <t>history:Evidence plan!B10</t>
        </is>
      </c>
      <c r="B5178" s="4" t="inlineStr">
        <is>
          <t>Evidence plan</t>
        </is>
      </c>
      <c r="C5178" s="4" t="inlineStr">
        <is>
          <t>B10</t>
        </is>
      </c>
      <c r="D5178" s="4" t="inlineStr">
        <is>
          <t>Batch ID; kg in, accepted parts, reusable offcuts and waste</t>
        </is>
      </c>
      <c r="E5178" s="4" t="inlineStr">
        <is>
          <t>Batch ID; kg in, accepted parts, reusable offcuts and waste</t>
        </is>
      </c>
      <c r="F5178" s="4" t="inlineStr">
        <is>
          <t>Goods-financial-plan.xlsx before consolidation</t>
        </is>
      </c>
    </row>
    <row r="5179" ht="40" customHeight="1">
      <c r="A5179" s="4" t="inlineStr">
        <is>
          <t>history:Evidence plan!C10</t>
        </is>
      </c>
      <c r="B5179" s="4" t="inlineStr">
        <is>
          <t>Evidence plan</t>
        </is>
      </c>
      <c r="C5179" s="4" t="inlineStr">
        <is>
          <t>C10</t>
        </is>
      </c>
      <c r="D5179" s="4" t="inlineStr">
        <is>
          <t>Site production lead</t>
        </is>
      </c>
      <c r="E5179" s="4" t="inlineStr">
        <is>
          <t>Site production lead</t>
        </is>
      </c>
      <c r="F5179" s="4" t="inlineStr">
        <is>
          <t>Goods-financial-plan.xlsx before consolidation</t>
        </is>
      </c>
    </row>
    <row r="5180" ht="40" customHeight="1">
      <c r="A5180" s="4" t="inlineStr">
        <is>
          <t>history:Evidence plan!D10</t>
        </is>
      </c>
      <c r="B5180" s="4" t="inlineStr">
        <is>
          <t>Evidence plan</t>
        </is>
      </c>
      <c r="C5180" s="4" t="inlineStr">
        <is>
          <t>D10</t>
        </is>
      </c>
      <c r="D5180" s="4" t="inlineStr">
        <is>
          <t>Each production batch</t>
        </is>
      </c>
      <c r="E5180" s="4" t="inlineStr">
        <is>
          <t>Each production batch</t>
        </is>
      </c>
      <c r="F5180" s="4" t="inlineStr">
        <is>
          <t>Goods-financial-plan.xlsx before consolidation</t>
        </is>
      </c>
    </row>
    <row r="5181" ht="45" customHeight="1">
      <c r="A5181" s="4" t="inlineStr">
        <is>
          <t>history:Evidence plan!E10</t>
        </is>
      </c>
      <c r="B5181" s="4" t="inlineStr">
        <is>
          <t>Evidence plan</t>
        </is>
      </c>
      <c r="C5181" s="4" t="inlineStr">
        <is>
          <t>E10</t>
        </is>
      </c>
      <c r="D5181" s="4" t="inlineStr">
        <is>
          <t>Mass balance; finished spec alone is not measured diversion</t>
        </is>
      </c>
      <c r="E5181" s="4" t="inlineStr">
        <is>
          <t>Mass balance; finished spec alone is not measured diversion</t>
        </is>
      </c>
      <c r="F5181" s="4" t="inlineStr">
        <is>
          <t>Goods-financial-plan.xlsx before consolidation</t>
        </is>
      </c>
    </row>
    <row r="5182" ht="40" customHeight="1">
      <c r="A5182" s="4" t="inlineStr">
        <is>
          <t>history:Evidence plan!A11</t>
        </is>
      </c>
      <c r="B5182" s="4" t="inlineStr">
        <is>
          <t>Evidence plan</t>
        </is>
      </c>
      <c r="C5182" s="4" t="inlineStr">
        <is>
          <t>A11</t>
        </is>
      </c>
      <c r="D5182" s="4" t="inlineStr">
        <is>
          <t>Community decisions</t>
        </is>
      </c>
      <c r="E5182" s="4" t="inlineStr">
        <is>
          <t>Community decisions</t>
        </is>
      </c>
      <c r="F5182" s="4" t="inlineStr">
        <is>
          <t>Goods-financial-plan.xlsx before consolidation</t>
        </is>
      </c>
    </row>
    <row r="5183" ht="45" customHeight="1">
      <c r="A5183" s="4" t="inlineStr">
        <is>
          <t>history:Evidence plan!B11</t>
        </is>
      </c>
      <c r="B5183" s="4" t="inlineStr">
        <is>
          <t>Evidence plan</t>
        </is>
      </c>
      <c r="C5183" s="4" t="inlineStr">
        <is>
          <t>B11</t>
        </is>
      </c>
      <c r="D5183" s="4" t="inlineStr">
        <is>
          <t>Decision ID, authority, subject, agreed action and closure</t>
        </is>
      </c>
      <c r="E5183" s="4" t="inlineStr">
        <is>
          <t>Decision ID, authority, subject, agreed action and closure</t>
        </is>
      </c>
      <c r="F5183" s="4" t="inlineStr">
        <is>
          <t>Goods-financial-plan.xlsx before consolidation</t>
        </is>
      </c>
    </row>
    <row r="5184" ht="40" customHeight="1">
      <c r="A5184" s="4" t="inlineStr">
        <is>
          <t>history:Evidence plan!C11</t>
        </is>
      </c>
      <c r="B5184" s="4" t="inlineStr">
        <is>
          <t>Evidence plan</t>
        </is>
      </c>
      <c r="C5184" s="4" t="inlineStr">
        <is>
          <t>C11</t>
        </is>
      </c>
      <c r="D5184" s="4" t="inlineStr">
        <is>
          <t>Community-nominated governance lead</t>
        </is>
      </c>
      <c r="E5184" s="4" t="inlineStr">
        <is>
          <t>Community-nominated governance lead</t>
        </is>
      </c>
      <c r="F5184" s="4" t="inlineStr">
        <is>
          <t>Goods-financial-plan.xlsx before consolidation</t>
        </is>
      </c>
    </row>
    <row r="5185" ht="40" customHeight="1">
      <c r="A5185" s="4" t="inlineStr">
        <is>
          <t>history:Evidence plan!D11</t>
        </is>
      </c>
      <c r="B5185" s="4" t="inlineStr">
        <is>
          <t>Evidence plan</t>
        </is>
      </c>
      <c r="C5185" s="4" t="inlineStr">
        <is>
          <t>D11</t>
        </is>
      </c>
      <c r="D5185" s="4" t="inlineStr">
        <is>
          <t>Monthly; before site commitments</t>
        </is>
      </c>
      <c r="E5185" s="4" t="inlineStr">
        <is>
          <t>Monthly; before site commitments</t>
        </is>
      </c>
      <c r="F5185" s="4" t="inlineStr">
        <is>
          <t>Goods-financial-plan.xlsx before consolidation</t>
        </is>
      </c>
    </row>
    <row r="5186" ht="45" customHeight="1">
      <c r="A5186" s="4" t="inlineStr">
        <is>
          <t>history:Evidence plan!E11</t>
        </is>
      </c>
      <c r="B5186" s="4" t="inlineStr">
        <is>
          <t>Evidence plan</t>
        </is>
      </c>
      <c r="C5186" s="4" t="inlineStr">
        <is>
          <t>E11</t>
        </is>
      </c>
      <c r="D5186" s="4" t="inlineStr">
        <is>
          <t>Record decision rights; ownership remains a pathway</t>
        </is>
      </c>
      <c r="E5186" s="4" t="inlineStr">
        <is>
          <t>Record decision rights; ownership remains a pathway</t>
        </is>
      </c>
      <c r="F5186" s="4" t="inlineStr">
        <is>
          <t>Goods-financial-plan.xlsx before consolidation</t>
        </is>
      </c>
    </row>
    <row r="5187" ht="40" customHeight="1">
      <c r="A5187" s="4" t="inlineStr">
        <is>
          <t>history:Evidence plan!A12</t>
        </is>
      </c>
      <c r="B5187" s="4" t="inlineStr">
        <is>
          <t>Evidence plan</t>
        </is>
      </c>
      <c r="C5187" s="4" t="inlineStr">
        <is>
          <t>A12</t>
        </is>
      </c>
      <c r="D5187" s="4" t="inlineStr">
        <is>
          <t>Feedback acted on</t>
        </is>
      </c>
      <c r="E5187" s="4" t="inlineStr">
        <is>
          <t>Feedback acted on</t>
        </is>
      </c>
      <c r="F5187" s="4" t="inlineStr">
        <is>
          <t>Goods-financial-plan.xlsx before consolidation</t>
        </is>
      </c>
    </row>
    <row r="5188" ht="45" customHeight="1">
      <c r="A5188" s="4" t="inlineStr">
        <is>
          <t>history:Evidence plan!B12</t>
        </is>
      </c>
      <c r="B5188" s="4" t="inlineStr">
        <is>
          <t>Evidence plan</t>
        </is>
      </c>
      <c r="C5188" s="4" t="inlineStr">
        <is>
          <t>B12</t>
        </is>
      </c>
      <c r="D5188" s="4" t="inlineStr">
        <is>
          <t>Feedback ID, permitted use, action, owner and return visit</t>
        </is>
      </c>
      <c r="E5188" s="4" t="inlineStr">
        <is>
          <t>Feedback ID, permitted use, action, owner and return visit</t>
        </is>
      </c>
      <c r="F5188" s="4" t="inlineStr">
        <is>
          <t>Goods-financial-plan.xlsx before consolidation</t>
        </is>
      </c>
    </row>
    <row r="5189" ht="40" customHeight="1">
      <c r="A5189" s="4" t="inlineStr">
        <is>
          <t>history:Evidence plan!C12</t>
        </is>
      </c>
      <c r="B5189" s="4" t="inlineStr">
        <is>
          <t>Evidence plan</t>
        </is>
      </c>
      <c r="C5189" s="4" t="inlineStr">
        <is>
          <t>C12</t>
        </is>
      </c>
      <c r="D5189" s="4" t="inlineStr">
        <is>
          <t>Goods lead + community contact</t>
        </is>
      </c>
      <c r="E5189" s="4" t="inlineStr">
        <is>
          <t>Goods lead + community contact</t>
        </is>
      </c>
      <c r="F5189" s="4" t="inlineStr">
        <is>
          <t>Goods-financial-plan.xlsx before consolidation</t>
        </is>
      </c>
    </row>
    <row r="5190" ht="40" customHeight="1">
      <c r="A5190" s="4" t="inlineStr">
        <is>
          <t>history:Evidence plan!D12</t>
        </is>
      </c>
      <c r="B5190" s="4" t="inlineStr">
        <is>
          <t>Evidence plan</t>
        </is>
      </c>
      <c r="C5190" s="4" t="inlineStr">
        <is>
          <t>D12</t>
        </is>
      </c>
      <c r="D5190" s="4" t="inlineStr">
        <is>
          <t>Monthly review</t>
        </is>
      </c>
      <c r="E5190" s="4" t="inlineStr">
        <is>
          <t>Monthly review</t>
        </is>
      </c>
      <c r="F5190" s="4" t="inlineStr">
        <is>
          <t>Goods-financial-plan.xlsx before consolidation</t>
        </is>
      </c>
    </row>
    <row r="5191" ht="45" customHeight="1">
      <c r="A5191" s="4" t="inlineStr">
        <is>
          <t>history:Evidence plan!E12</t>
        </is>
      </c>
      <c r="B5191" s="4" t="inlineStr">
        <is>
          <t>Evidence plan</t>
        </is>
      </c>
      <c r="C5191" s="4" t="inlineStr">
        <is>
          <t>E12</t>
        </is>
      </c>
      <c r="D5191" s="4" t="inlineStr">
        <is>
          <t>Return findings locally before external reporting</t>
        </is>
      </c>
      <c r="E5191" s="4" t="inlineStr">
        <is>
          <t>Return findings locally before external reporting</t>
        </is>
      </c>
      <c r="F5191" s="4" t="inlineStr">
        <is>
          <t>Goods-financial-plan.xlsx before consolidation</t>
        </is>
      </c>
    </row>
    <row r="5192" ht="120" customHeight="1">
      <c r="A5192" s="4" t="inlineStr">
        <is>
          <t>history:Evidence plan!A21</t>
        </is>
      </c>
      <c r="B5192" s="4" t="inlineStr">
        <is>
          <t>Evidence plan</t>
        </is>
      </c>
      <c r="C5192" s="4" t="inlineStr">
        <is>
          <t>A21</t>
        </is>
      </c>
      <c r="D5192" s="4" t="inlineStr">
        <is>
          <t>Agree consent, local follow-up payment, questions and data access before collecting responses. Health statistics explain need; this plan does not establish clinical outcomes.</t>
        </is>
      </c>
      <c r="E5192" s="4" t="inlineStr">
        <is>
          <t>Agree consent, local follow-up payment, questions and data access before collecting responses. Health statistics explain need; this plan does not establish clinical outcomes.</t>
        </is>
      </c>
      <c r="F5192" s="4" t="inlineStr">
        <is>
          <t>Goods-financial-plan.xlsx before consolidation</t>
        </is>
      </c>
    </row>
    <row r="5193" ht="120" customHeight="1">
      <c r="A5193" s="4" t="inlineStr">
        <is>
          <t>history:Evidence plan!A23</t>
        </is>
      </c>
      <c r="B5193" s="4" t="inlineStr">
        <is>
          <t>Evidence plan</t>
        </is>
      </c>
      <c r="C5193" s="4" t="inlineStr">
        <is>
          <t>A23</t>
        </is>
      </c>
      <c r="D5193" s="4" t="inlineStr">
        <is>
          <t>Young people: agree meaningful roles, paid work/support, opportunity to receive a bed, and how they support community. No participation count or clinical outcome is assumed.</t>
        </is>
      </c>
      <c r="E5193" s="4" t="inlineStr">
        <is>
          <t>Young people: agree meaningful roles, paid work/support, opportunity to receive a bed, and how they support community. No participation count or clinical outcome is assumed.</t>
        </is>
      </c>
      <c r="F5193" s="4" t="inlineStr">
        <is>
          <t>Goods-financial-plan.xlsx before consolidation</t>
        </is>
      </c>
    </row>
    <row r="5194" ht="40" customHeight="1">
      <c r="A5194" s="4" t="inlineStr">
        <is>
          <t>history:Sources!A1</t>
        </is>
      </c>
      <c r="B5194" s="4" t="inlineStr">
        <is>
          <t>Sources</t>
        </is>
      </c>
      <c r="C5194" s="4" t="inlineStr">
        <is>
          <t>A1</t>
        </is>
      </c>
      <c r="D5194" s="4" t="inlineStr">
        <is>
          <t>Sources and maintenance</t>
        </is>
      </c>
      <c r="E5194" s="4" t="inlineStr">
        <is>
          <t>Sources and maintenance</t>
        </is>
      </c>
      <c r="F5194" s="4" t="inlineStr">
        <is>
          <t>Goods-financial-plan.xlsx before consolidation</t>
        </is>
      </c>
    </row>
    <row r="5195" ht="105" customHeight="1">
      <c r="A5195" s="4" t="inlineStr">
        <is>
          <t>history:Sources!A3</t>
        </is>
      </c>
      <c r="B5195" s="4" t="inlineStr">
        <is>
          <t>Sources</t>
        </is>
      </c>
      <c r="C5195" s="4" t="inlineStr">
        <is>
          <t>A3</t>
        </is>
      </c>
      <c r="D5195" s="4" t="inlineStr">
        <is>
          <t>This file is the working finance home. Preserve source imports and record changes to assumptions; do not regenerate from the old calculator.</t>
        </is>
      </c>
      <c r="E5195" s="4" t="inlineStr">
        <is>
          <t>This file is the working finance home. Preserve source imports and record changes to assumptions; do not regenerate from the old calculator.</t>
        </is>
      </c>
      <c r="F5195" s="4" t="inlineStr">
        <is>
          <t>Goods-financial-plan.xlsx before consolidation</t>
        </is>
      </c>
    </row>
    <row r="5196" ht="40" customHeight="1">
      <c r="A5196" s="4" t="inlineStr">
        <is>
          <t>history:Sources!A6</t>
        </is>
      </c>
      <c r="B5196" s="4" t="inlineStr">
        <is>
          <t>Sources</t>
        </is>
      </c>
      <c r="C5196" s="4" t="inlineStr">
        <is>
          <t>A6</t>
        </is>
      </c>
      <c r="D5196" s="4" t="inlineStr">
        <is>
          <t>Source</t>
        </is>
      </c>
      <c r="E5196" s="4" t="inlineStr">
        <is>
          <t>Source</t>
        </is>
      </c>
      <c r="F5196" s="4" t="inlineStr">
        <is>
          <t>Goods-financial-plan.xlsx before consolidation</t>
        </is>
      </c>
    </row>
    <row r="5197" ht="40" customHeight="1">
      <c r="A5197" s="4" t="inlineStr">
        <is>
          <t>history:Sources!B6</t>
        </is>
      </c>
      <c r="B5197" s="4" t="inlineStr">
        <is>
          <t>Sources</t>
        </is>
      </c>
      <c r="C5197" s="4" t="inlineStr">
        <is>
          <t>B6</t>
        </is>
      </c>
      <c r="D5197" s="4" t="inlineStr">
        <is>
          <t>Period / date</t>
        </is>
      </c>
      <c r="E5197" s="4" t="inlineStr">
        <is>
          <t>Period / date</t>
        </is>
      </c>
      <c r="F5197" s="4" t="inlineStr">
        <is>
          <t>Goods-financial-plan.xlsx before consolidation</t>
        </is>
      </c>
    </row>
    <row r="5198" ht="40" customHeight="1">
      <c r="A5198" s="4" t="inlineStr">
        <is>
          <t>history:Sources!C6</t>
        </is>
      </c>
      <c r="B5198" s="4" t="inlineStr">
        <is>
          <t>Sources</t>
        </is>
      </c>
      <c r="C5198" s="4" t="inlineStr">
        <is>
          <t>C6</t>
        </is>
      </c>
      <c r="D5198" s="4" t="inlineStr">
        <is>
          <t>Use</t>
        </is>
      </c>
      <c r="E5198" s="4" t="inlineStr">
        <is>
          <t>Use</t>
        </is>
      </c>
      <c r="F5198" s="4" t="inlineStr">
        <is>
          <t>Goods-financial-plan.xlsx before consolidation</t>
        </is>
      </c>
    </row>
    <row r="5199" ht="40" customHeight="1">
      <c r="A5199" s="4" t="inlineStr">
        <is>
          <t>history:Sources!D6</t>
        </is>
      </c>
      <c r="B5199" s="4" t="inlineStr">
        <is>
          <t>Sources</t>
        </is>
      </c>
      <c r="C5199" s="4" t="inlineStr">
        <is>
          <t>D6</t>
        </is>
      </c>
      <c r="D5199" s="4" t="inlineStr">
        <is>
          <t>Limit / next action</t>
        </is>
      </c>
      <c r="E5199" s="4" t="inlineStr">
        <is>
          <t>Limit / next action</t>
        </is>
      </c>
      <c r="F5199" s="4" t="inlineStr">
        <is>
          <t>Goods-financial-plan.xlsx before consolidation</t>
        </is>
      </c>
    </row>
    <row r="5200" ht="40" customHeight="1">
      <c r="A5200" s="4" t="inlineStr">
        <is>
          <t>history:Sources!E6</t>
        </is>
      </c>
      <c r="B5200" s="4" t="inlineStr">
        <is>
          <t>Sources</t>
        </is>
      </c>
      <c r="C5200" s="4" t="inlineStr">
        <is>
          <t>E6</t>
        </is>
      </c>
      <c r="D5200" s="4" t="inlineStr">
        <is>
          <t>Reference</t>
        </is>
      </c>
      <c r="E5200" s="4" t="inlineStr">
        <is>
          <t>Reference</t>
        </is>
      </c>
      <c r="F5200" s="4" t="inlineStr">
        <is>
          <t>Goods-financial-plan.xlsx before consolidation</t>
        </is>
      </c>
    </row>
    <row r="5201" ht="40" customHeight="1">
      <c r="A5201" s="4" t="inlineStr">
        <is>
          <t>history:Sources!A7</t>
        </is>
      </c>
      <c r="B5201" s="4" t="inlineStr">
        <is>
          <t>Sources</t>
        </is>
      </c>
      <c r="C5201" s="4" t="inlineStr">
        <is>
          <t>A7</t>
        </is>
      </c>
      <c r="D5201" s="4" t="inlineStr">
        <is>
          <t>GOC Bed Unit-Costing Model v2 (5).xlsx</t>
        </is>
      </c>
      <c r="E5201" s="4" t="inlineStr">
        <is>
          <t>GOC Bed Unit-Costing Model v2 (5).xlsx</t>
        </is>
      </c>
      <c r="F5201" s="4" t="inlineStr">
        <is>
          <t>Goods-financial-plan.xlsx before consolidation</t>
        </is>
      </c>
    </row>
    <row r="5202" ht="40" customHeight="1">
      <c r="A5202" s="4" t="inlineStr">
        <is>
          <t>history:Sources!B7</t>
        </is>
      </c>
      <c r="B5202" s="4" t="inlineStr">
        <is>
          <t>Sources</t>
        </is>
      </c>
      <c r="C5202" s="4" t="inlineStr">
        <is>
          <t>B7</t>
        </is>
      </c>
      <c r="D5202" s="4" t="inlineStr">
        <is>
          <t>Primary source supplied 8 Sep 2026</t>
        </is>
      </c>
      <c r="E5202" s="4" t="inlineStr">
        <is>
          <t>Primary source supplied 8 Sep 2026</t>
        </is>
      </c>
      <c r="F5202" s="4" t="inlineStr">
        <is>
          <t>Goods-financial-plan.xlsx before consolidation</t>
        </is>
      </c>
    </row>
    <row r="5203" ht="60" customHeight="1">
      <c r="A5203" s="4" t="inlineStr">
        <is>
          <t>history:Sources!C7</t>
        </is>
      </c>
      <c r="B5203" s="4" t="inlineStr">
        <is>
          <t>Sources</t>
        </is>
      </c>
      <c r="C5203" s="4" t="inlineStr">
        <is>
          <t>C7</t>
        </is>
      </c>
      <c r="D5203" s="4" t="inlineStr">
        <is>
          <t>Entity costs, founder salaries, site staffing, three-statement model and open items</t>
        </is>
      </c>
      <c r="E5203" s="4" t="inlineStr">
        <is>
          <t>Entity costs, founder salaries, site staffing, three-statement model and open items</t>
        </is>
      </c>
      <c r="F5203" s="4" t="inlineStr">
        <is>
          <t>Goods-financial-plan.xlsx before consolidation</t>
        </is>
      </c>
    </row>
    <row r="5204" ht="90" customHeight="1">
      <c r="A5204" s="4" t="inlineStr">
        <is>
          <t>history:Sources!D7</t>
        </is>
      </c>
      <c r="B5204" s="4" t="inlineStr">
        <is>
          <t>Sources</t>
        </is>
      </c>
      <c r="C5204" s="4" t="inlineStr">
        <is>
          <t>D7</t>
        </is>
      </c>
      <c r="D5204" s="4" t="inlineStr">
        <is>
          <t>Replaces goods-working-model.xlsx as primary source. Original remains unchanged; later Ben decisions are shown in Source alignment.</t>
        </is>
      </c>
      <c r="E5204" s="4" t="inlineStr">
        <is>
          <t>Replaces goods-working-model.xlsx as primary source. Original remains unchanged; later Ben decisions are shown in Source alignment.</t>
        </is>
      </c>
      <c r="F5204" s="4" t="inlineStr">
        <is>
          <t>Goods-financial-plan.xlsx before consolidation</t>
        </is>
      </c>
    </row>
    <row r="5205" ht="60" customHeight="1">
      <c r="A5205" s="4" t="inlineStr">
        <is>
          <t>history:Sources!E7</t>
        </is>
      </c>
      <c r="B5205" s="4" t="inlineStr">
        <is>
          <t>Sources</t>
        </is>
      </c>
      <c r="C5205" s="4" t="inlineStr">
        <is>
          <t>E7</t>
        </is>
      </c>
      <c r="D5205" s="4" t="inlineStr">
        <is>
          <t>SHA-256 cec1976b10b3723d5076f895b3de71ee29c0e70f12c777aa7c8127a5e436432b</t>
        </is>
      </c>
      <c r="E5205" s="4" t="inlineStr">
        <is>
          <t>SHA-256 cec1976b10b3723d5076f895b3de71ee29c0e70f12c777aa7c8127a5e436432b</t>
        </is>
      </c>
      <c r="F5205" s="4" t="inlineStr">
        <is>
          <t>Goods-financial-plan.xlsx before consolidation</t>
        </is>
      </c>
    </row>
    <row r="5206" ht="40" customHeight="1">
      <c r="A5206" s="4" t="inlineStr">
        <is>
          <t>history:Sources!A8</t>
        </is>
      </c>
      <c r="B5206" s="4" t="inlineStr">
        <is>
          <t>Sources</t>
        </is>
      </c>
      <c r="C5206" s="4" t="inlineStr">
        <is>
          <t>A8</t>
        </is>
      </c>
      <c r="D5206" s="4" t="inlineStr">
        <is>
          <t>ACT infrastructure Xero mirror</t>
        </is>
      </c>
      <c r="E5206" s="4" t="inlineStr">
        <is>
          <t>ACT infrastructure Xero mirror</t>
        </is>
      </c>
      <c r="F5206" s="4" t="inlineStr">
        <is>
          <t>Goods-financial-plan.xlsx before consolidation</t>
        </is>
      </c>
    </row>
    <row r="5207" ht="40" customHeight="1">
      <c r="A5207" s="4" t="inlineStr">
        <is>
          <t>history:Sources!B8</t>
        </is>
      </c>
      <c r="B5207" s="4" t="inlineStr">
        <is>
          <t>Sources</t>
        </is>
      </c>
      <c r="C5207" s="4" t="inlineStr">
        <is>
          <t>B8</t>
        </is>
      </c>
      <c r="D5207" s="4" t="inlineStr">
        <is>
          <t>2026-09-08</t>
        </is>
      </c>
      <c r="E5207" s="4" t="inlineStr">
        <is>
          <t>2026-09-08</t>
        </is>
      </c>
      <c r="F5207" s="4" t="inlineStr">
        <is>
          <t>Goods-financial-plan.xlsx before consolidation</t>
        </is>
      </c>
    </row>
    <row r="5208" ht="45" customHeight="1">
      <c r="A5208" s="4" t="inlineStr">
        <is>
          <t>history:Sources!C8</t>
        </is>
      </c>
      <c r="B5208" s="4" t="inlineStr">
        <is>
          <t>Sources</t>
        </is>
      </c>
      <c r="C5208" s="4" t="inlineStr">
        <is>
          <t>C8</t>
        </is>
      </c>
      <c r="D5208" s="4" t="inlineStr">
        <is>
          <t>Goods-tagged invoice, bank transaction and payment detail</t>
        </is>
      </c>
      <c r="E5208" s="4" t="inlineStr">
        <is>
          <t>Goods-tagged invoice, bank transaction and payment detail</t>
        </is>
      </c>
      <c r="F5208" s="4" t="inlineStr">
        <is>
          <t>Goods-financial-plan.xlsx before consolidation</t>
        </is>
      </c>
    </row>
    <row r="5209" ht="75" customHeight="1">
      <c r="A5209" s="4" t="inlineStr">
        <is>
          <t>history:Sources!D8</t>
        </is>
      </c>
      <c r="B5209" s="4" t="inlineStr">
        <is>
          <t>Sources</t>
        </is>
      </c>
      <c r="C5209" s="4" t="inlineStr">
        <is>
          <t>D8</t>
        </is>
      </c>
      <c r="D5209" s="4" t="inlineStr">
        <is>
          <t>401 invoices, 289 bank transactions, 330 payments retrieved with pagination; scope is ACT-ST, not Butterfly.</t>
        </is>
      </c>
      <c r="E5209" s="4" t="inlineStr">
        <is>
          <t>401 invoices, 289 bank transactions, 330 payments retrieved with pagination; scope is ACT-ST, not Butterfly.</t>
        </is>
      </c>
      <c r="F5209" s="4" t="inlineStr">
        <is>
          <t>Goods-financial-plan.xlsx before consolidation</t>
        </is>
      </c>
    </row>
    <row r="5210" ht="40" customHeight="1">
      <c r="A5210" s="4" t="inlineStr">
        <is>
          <t>history:Sources!E8</t>
        </is>
      </c>
      <c r="B5210" s="4" t="inlineStr">
        <is>
          <t>Sources</t>
        </is>
      </c>
      <c r="C5210" s="4" t="inlineStr">
        <is>
          <t>E8</t>
        </is>
      </c>
      <c r="D5210" s="4" t="inlineStr">
        <is>
          <t>Project ACT-GD; entity ACT-ST</t>
        </is>
      </c>
      <c r="E5210" s="4" t="inlineStr">
        <is>
          <t>Project ACT-GD; entity ACT-ST</t>
        </is>
      </c>
      <c r="F5210" s="4" t="inlineStr">
        <is>
          <t>Goods-financial-plan.xlsx before consolidation</t>
        </is>
      </c>
    </row>
    <row r="5211" ht="40" customHeight="1">
      <c r="A5211" s="4" t="inlineStr">
        <is>
          <t>history:Sources!A9</t>
        </is>
      </c>
      <c r="B5211" s="4" t="inlineStr">
        <is>
          <t>Sources</t>
        </is>
      </c>
      <c r="C5211" s="4" t="inlineStr">
        <is>
          <t>A9</t>
        </is>
      </c>
      <c r="D5211" s="4" t="inlineStr">
        <is>
          <t>Mirror freshness</t>
        </is>
      </c>
      <c r="E5211" s="4" t="inlineStr">
        <is>
          <t>Mirror freshness</t>
        </is>
      </c>
      <c r="F5211" s="4" t="inlineStr">
        <is>
          <t>Goods-financial-plan.xlsx before consolidation</t>
        </is>
      </c>
    </row>
    <row r="5212" ht="40" customHeight="1">
      <c r="A5212" s="4" t="inlineStr">
        <is>
          <t>history:Sources!B9</t>
        </is>
      </c>
      <c r="B5212" s="4" t="inlineStr">
        <is>
          <t>Sources</t>
        </is>
      </c>
      <c r="C5212" s="4" t="inlineStr">
        <is>
          <t>B9</t>
        </is>
      </c>
      <c r="D5212" s="4" t="inlineStr">
        <is>
          <t>Payments last synced 24 Jul 2026</t>
        </is>
      </c>
      <c r="E5212" s="4" t="inlineStr">
        <is>
          <t>Payments last synced 24 Jul 2026</t>
        </is>
      </c>
      <c r="F5212" s="4" t="inlineStr">
        <is>
          <t>Goods-financial-plan.xlsx before consolidation</t>
        </is>
      </c>
    </row>
    <row r="5213" ht="40" customHeight="1">
      <c r="A5213" s="4" t="inlineStr">
        <is>
          <t>history:Sources!C9</t>
        </is>
      </c>
      <c r="B5213" s="4" t="inlineStr">
        <is>
          <t>Sources</t>
        </is>
      </c>
      <c r="C5213" s="4" t="inlineStr">
        <is>
          <t>C9</t>
        </is>
      </c>
      <c r="D5213" s="4" t="inlineStr">
        <is>
          <t>Identify payment dates actually present</t>
        </is>
      </c>
      <c r="E5213" s="4" t="inlineStr">
        <is>
          <t>Identify payment dates actually present</t>
        </is>
      </c>
      <c r="F5213" s="4" t="inlineStr">
        <is>
          <t>Goods-financial-plan.xlsx before consolidation</t>
        </is>
      </c>
    </row>
    <row r="5214" ht="75" customHeight="1">
      <c r="A5214" s="4" t="inlineStr">
        <is>
          <t>history:Sources!D9</t>
        </is>
      </c>
      <c r="B5214" s="4" t="inlineStr">
        <is>
          <t>Sources</t>
        </is>
      </c>
      <c r="C5214" s="4" t="inlineStr">
        <is>
          <t>D9</t>
        </is>
      </c>
      <c r="D5214" s="4" t="inlineStr">
        <is>
          <t>Invoices and bank transactions last synced 3 Sep. Missing payment detail is not proof of non-payment.</t>
        </is>
      </c>
      <c r="E5214" s="4" t="inlineStr">
        <is>
          <t>Invoices and bank transactions last synced 3 Sep. Missing payment detail is not proof of non-payment.</t>
        </is>
      </c>
      <c r="F5214" s="4" t="inlineStr">
        <is>
          <t>Goods-financial-plan.xlsx before consolidation</t>
        </is>
      </c>
    </row>
    <row r="5215" ht="40" customHeight="1">
      <c r="A5215" s="4" t="inlineStr">
        <is>
          <t>history:Sources!E9</t>
        </is>
      </c>
      <c r="B5215" s="4" t="inlineStr">
        <is>
          <t>Sources</t>
        </is>
      </c>
      <c r="C5215" s="4" t="inlineStr">
        <is>
          <t>E9</t>
        </is>
      </c>
      <c r="D5215" s="4" t="inlineStr">
        <is>
          <t>FY26 cash and FY26 invoices tables</t>
        </is>
      </c>
      <c r="E5215" s="4" t="inlineStr">
        <is>
          <t>FY26 cash and FY26 invoices tables</t>
        </is>
      </c>
      <c r="F5215" s="4" t="inlineStr">
        <is>
          <t>Goods-financial-plan.xlsx before consolidation</t>
        </is>
      </c>
    </row>
    <row r="5216" ht="40" customHeight="1">
      <c r="A5216" s="4" t="inlineStr">
        <is>
          <t>history:Sources!A10</t>
        </is>
      </c>
      <c r="B5216" s="4" t="inlineStr">
        <is>
          <t>Sources</t>
        </is>
      </c>
      <c r="C5216" s="4" t="inlineStr">
        <is>
          <t>A10</t>
        </is>
      </c>
      <c r="D5216" s="4" t="inlineStr">
        <is>
          <t>Butterfly annual statements</t>
        </is>
      </c>
      <c r="E5216" s="4" t="inlineStr">
        <is>
          <t>Butterfly annual statements</t>
        </is>
      </c>
      <c r="F5216" s="4" t="inlineStr">
        <is>
          <t>Goods-financial-plan.xlsx before consolidation</t>
        </is>
      </c>
    </row>
    <row r="5217" ht="40" customHeight="1">
      <c r="A5217" s="4" t="inlineStr">
        <is>
          <t>history:Sources!B10</t>
        </is>
      </c>
      <c r="B5217" s="4" t="inlineStr">
        <is>
          <t>Sources</t>
        </is>
      </c>
      <c r="C5217" s="4" t="inlineStr">
        <is>
          <t>B10</t>
        </is>
      </c>
      <c r="D5217" s="4" t="inlineStr">
        <is>
          <t>Year ended 30 Jun 2026</t>
        </is>
      </c>
      <c r="E5217" s="4" t="inlineStr">
        <is>
          <t>Year ended 30 Jun 2026</t>
        </is>
      </c>
      <c r="F5217" s="4" t="inlineStr">
        <is>
          <t>Goods-financial-plan.xlsx before consolidation</t>
        </is>
      </c>
    </row>
    <row r="5218" ht="40" customHeight="1">
      <c r="A5218" s="4" t="inlineStr">
        <is>
          <t>history:Sources!C10</t>
        </is>
      </c>
      <c r="B5218" s="4" t="inlineStr">
        <is>
          <t>Sources</t>
        </is>
      </c>
      <c r="C5218" s="4" t="inlineStr">
        <is>
          <t>C10</t>
        </is>
      </c>
      <c r="D5218" s="4" t="inlineStr">
        <is>
          <t>Applicant entity P&amp;L, balance and cashflow</t>
        </is>
      </c>
      <c r="E5218" s="4" t="inlineStr">
        <is>
          <t>Applicant entity P&amp;L, balance and cashflow</t>
        </is>
      </c>
      <c r="F5218" s="4" t="inlineStr">
        <is>
          <t>Goods-financial-plan.xlsx before consolidation</t>
        </is>
      </c>
    </row>
    <row r="5219" ht="75" customHeight="1">
      <c r="A5219" s="4" t="inlineStr">
        <is>
          <t>history:Sources!D10</t>
        </is>
      </c>
      <c r="B5219" s="4" t="inlineStr">
        <is>
          <t>Sources</t>
        </is>
      </c>
      <c r="C5219" s="4" t="inlineStr">
        <is>
          <t>D10</t>
        </is>
      </c>
      <c r="D5219" s="4" t="inlineStr">
        <is>
          <t>TABOO Foundation operations, not all Goods trade. Unaudited, unsigned; retain $1 rounding differences.</t>
        </is>
      </c>
      <c r="E5219" s="4" t="inlineStr">
        <is>
          <t>TABOO Foundation operations, not all Goods trade. Unaudited, unsigned; retain $1 rounding differences.</t>
        </is>
      </c>
      <c r="F5219" s="4" t="inlineStr">
        <is>
          <t>Goods-financial-plan.xlsx before consolidation</t>
        </is>
      </c>
    </row>
    <row r="5220" ht="45" customHeight="1">
      <c r="A5220" s="4" t="inlineStr">
        <is>
          <t>history:Sources!E10</t>
        </is>
      </c>
      <c r="B5220" s="4" t="inlineStr">
        <is>
          <t>Sources</t>
        </is>
      </c>
      <c r="C5220" s="4" t="inlineStr">
        <is>
          <t>E10</t>
        </is>
      </c>
      <c r="D5220" s="4" t="inlineStr">
        <is>
          <t>Butterfly-FY26-unaudited-financial-statements.pdf, pp4–8</t>
        </is>
      </c>
      <c r="E5220" s="4" t="inlineStr">
        <is>
          <t>Butterfly-FY26-unaudited-financial-statements.pdf, pp4–8</t>
        </is>
      </c>
      <c r="F5220" s="4" t="inlineStr">
        <is>
          <t>Goods-financial-plan.xlsx before consolidation</t>
        </is>
      </c>
    </row>
    <row r="5221" ht="40" customHeight="1">
      <c r="A5221" s="4" t="inlineStr">
        <is>
          <t>history:Sources!A11</t>
        </is>
      </c>
      <c r="B5221" s="4" t="inlineStr">
        <is>
          <t>Sources</t>
        </is>
      </c>
      <c r="C5221" s="4" t="inlineStr">
        <is>
          <t>A11</t>
        </is>
      </c>
      <c r="D5221" s="4" t="inlineStr">
        <is>
          <t>Ben interview</t>
        </is>
      </c>
      <c r="E5221" s="4" t="inlineStr">
        <is>
          <t>Ben interview</t>
        </is>
      </c>
      <c r="F5221" s="4" t="inlineStr">
        <is>
          <t>Goods-financial-plan.xlsx before consolidation</t>
        </is>
      </c>
    </row>
    <row r="5222" ht="40" customHeight="1">
      <c r="A5222" s="4" t="inlineStr">
        <is>
          <t>history:Sources!B11</t>
        </is>
      </c>
      <c r="B5222" s="4" t="inlineStr">
        <is>
          <t>Sources</t>
        </is>
      </c>
      <c r="C5222" s="4" t="inlineStr">
        <is>
          <t>B11</t>
        </is>
      </c>
      <c r="D5222" s="4" t="inlineStr">
        <is>
          <t>8 Sep 2026</t>
        </is>
      </c>
      <c r="E5222" s="4" t="inlineStr">
        <is>
          <t>8 Sep 2026</t>
        </is>
      </c>
      <c r="F5222" s="4" t="inlineStr">
        <is>
          <t>Goods-financial-plan.xlsx before consolidation</t>
        </is>
      </c>
    </row>
    <row r="5223" ht="40" customHeight="1">
      <c r="A5223" s="4" t="inlineStr">
        <is>
          <t>history:Sources!C11</t>
        </is>
      </c>
      <c r="B5223" s="4" t="inlineStr">
        <is>
          <t>Sources</t>
        </is>
      </c>
      <c r="C5223" s="4" t="inlineStr">
        <is>
          <t>C11</t>
        </is>
      </c>
      <c r="D5223" s="4" t="inlineStr">
        <is>
          <t>Community-sale and youth programme design</t>
        </is>
      </c>
      <c r="E5223" s="4" t="inlineStr">
        <is>
          <t>Community-sale and youth programme design</t>
        </is>
      </c>
      <c r="F5223" s="4" t="inlineStr">
        <is>
          <t>Goods-financial-plan.xlsx before consolidation</t>
        </is>
      </c>
    </row>
    <row r="5224" ht="75" customHeight="1">
      <c r="A5224" s="4" t="inlineStr">
        <is>
          <t>history:Sources!D11</t>
        </is>
      </c>
      <c r="B5224" s="4" t="inlineStr">
        <is>
          <t>Sources</t>
        </is>
      </c>
      <c r="C5224" s="4" t="inlineStr">
        <is>
          <t>D11</t>
        </is>
      </c>
      <c r="D5224" s="4" t="inlineStr">
        <is>
          <t>Full making, delivery and youth programme funded; community controls full sale proceeds. Quantities and costs open.</t>
        </is>
      </c>
      <c r="E5224" s="4" t="inlineStr">
        <is>
          <t>Full making, delivery and youth programme funded; community controls full sale proceeds. Quantities and costs open.</t>
        </is>
      </c>
      <c r="F5224" s="4" t="inlineStr">
        <is>
          <t>Goods-financial-plan.xlsx before consolidation</t>
        </is>
      </c>
    </row>
    <row r="5225" ht="45" customHeight="1">
      <c r="A5225" s="4" t="inlineStr">
        <is>
          <t>history:Sources!E11</t>
        </is>
      </c>
      <c r="B5225" s="4" t="inlineStr">
        <is>
          <t>Sources</t>
        </is>
      </c>
      <c r="C5225" s="4" t="inlineStr">
        <is>
          <t>E11</t>
        </is>
      </c>
      <c r="D5225" s="4" t="inlineStr">
        <is>
          <t>https://www.notion.so/3d1ebcf981cf817598d8f15ee4f89c32</t>
        </is>
      </c>
      <c r="E5225" s="4" t="inlineStr">
        <is>
          <t>https://www.notion.so/3d1ebcf981cf817598d8f15ee4f89c32</t>
        </is>
      </c>
      <c r="F5225" s="4" t="inlineStr">
        <is>
          <t>Goods-financial-plan.xlsx before consolidation</t>
        </is>
      </c>
    </row>
    <row r="5226" ht="40" customHeight="1">
      <c r="A5226" s="4" t="inlineStr">
        <is>
          <t>history:Sources!A12</t>
        </is>
      </c>
      <c r="B5226" s="4" t="inlineStr">
        <is>
          <t>Sources</t>
        </is>
      </c>
      <c r="C5226" s="4" t="inlineStr">
        <is>
          <t>A12</t>
        </is>
      </c>
      <c r="D5226" s="4" t="inlineStr">
        <is>
          <t>Earlier Goods workpaper</t>
        </is>
      </c>
      <c r="E5226" s="4" t="inlineStr">
        <is>
          <t>Earlier Goods workpaper</t>
        </is>
      </c>
      <c r="F5226" s="4" t="inlineStr">
        <is>
          <t>Goods-financial-plan.xlsx before consolidation</t>
        </is>
      </c>
    </row>
    <row r="5227" ht="40" customHeight="1">
      <c r="A5227" s="4" t="inlineStr">
        <is>
          <t>history:Sources!B12</t>
        </is>
      </c>
      <c r="B5227" s="4" t="inlineStr">
        <is>
          <t>Sources</t>
        </is>
      </c>
      <c r="C5227" s="4" t="inlineStr">
        <is>
          <t>B12</t>
        </is>
      </c>
      <c r="D5227" s="4" t="inlineStr">
        <is>
          <t>2 Jun 2026 snapshot</t>
        </is>
      </c>
      <c r="E5227" s="4" t="inlineStr">
        <is>
          <t>2 Jun 2026 snapshot</t>
        </is>
      </c>
      <c r="F5227" s="4" t="inlineStr">
        <is>
          <t>Goods-financial-plan.xlsx before consolidation</t>
        </is>
      </c>
    </row>
    <row r="5228" ht="40" customHeight="1">
      <c r="A5228" s="4" t="inlineStr">
        <is>
          <t>history:Sources!C12</t>
        </is>
      </c>
      <c r="B5228" s="4" t="inlineStr">
        <is>
          <t>Sources</t>
        </is>
      </c>
      <c r="C5228" s="4" t="inlineStr">
        <is>
          <t>C12</t>
        </is>
      </c>
      <c r="D5228" s="4" t="inlineStr">
        <is>
          <t>Reconciliation reference only: $713,827</t>
        </is>
      </c>
      <c r="E5228" s="4" t="inlineStr">
        <is>
          <t>Reconciliation reference only: $713,827</t>
        </is>
      </c>
      <c r="F5228" s="4" t="inlineStr">
        <is>
          <t>Goods-financial-plan.xlsx before consolidation</t>
        </is>
      </c>
    </row>
    <row r="5229" ht="90" customHeight="1">
      <c r="A5229" s="4" t="inlineStr">
        <is>
          <t>history:Sources!D12</t>
        </is>
      </c>
      <c r="B5229" s="4" t="inlineStr">
        <is>
          <t>Sources</t>
        </is>
      </c>
      <c r="C5229" s="4" t="inlineStr">
        <is>
          <t>D12</t>
        </is>
      </c>
      <c r="D5229" s="4" t="inlineStr">
        <is>
          <t>Different snapshot/basis; not a final FY26 total or accountant-signed result. Do not replace the dated cash subtotal with it.</t>
        </is>
      </c>
      <c r="E5229" s="4" t="inlineStr">
        <is>
          <t>Different snapshot/basis; not a final FY26 total or accountant-signed result. Do not replace the dated cash subtotal with it.</t>
        </is>
      </c>
      <c r="F5229" s="4" t="inlineStr">
        <is>
          <t>Goods-financial-plan.xlsx before consolidation</t>
        </is>
      </c>
    </row>
    <row r="5230" ht="60" customHeight="1">
      <c r="A5230" s="4" t="inlineStr">
        <is>
          <t>history:Sources!E12</t>
        </is>
      </c>
      <c r="B5230" s="4" t="inlineStr">
        <is>
          <t>Sources</t>
        </is>
      </c>
      <c r="C5230" s="4" t="inlineStr">
        <is>
          <t>E12</t>
        </is>
      </c>
      <c r="D5230" s="4" t="inlineStr">
        <is>
          <t>Goods carve-out workpaper; source file still required for reconciliation</t>
        </is>
      </c>
      <c r="E5230" s="4" t="inlineStr">
        <is>
          <t>Goods carve-out workpaper; source file still required for reconciliation</t>
        </is>
      </c>
      <c r="F5230" s="4" t="inlineStr">
        <is>
          <t>Goods-financial-plan.xlsx before consolidation</t>
        </is>
      </c>
    </row>
    <row r="5231" ht="40" customHeight="1">
      <c r="A5231" s="4" t="inlineStr">
        <is>
          <t>history:Sources!A13</t>
        </is>
      </c>
      <c r="B5231" s="4" t="inlineStr">
        <is>
          <t>Sources</t>
        </is>
      </c>
      <c r="C5231" s="4" t="inlineStr">
        <is>
          <t>A13</t>
        </is>
      </c>
      <c r="D5231" s="4" t="inlineStr">
        <is>
          <t>ACNC financial management guide</t>
        </is>
      </c>
      <c r="E5231" s="4" t="inlineStr">
        <is>
          <t>ACNC financial management guide</t>
        </is>
      </c>
      <c r="F5231" s="4" t="inlineStr">
        <is>
          <t>Goods-financial-plan.xlsx before consolidation</t>
        </is>
      </c>
    </row>
    <row r="5232" ht="40" customHeight="1">
      <c r="A5232" s="4" t="inlineStr">
        <is>
          <t>history:Sources!B13</t>
        </is>
      </c>
      <c r="B5232" s="4" t="inlineStr">
        <is>
          <t>Sources</t>
        </is>
      </c>
      <c r="C5232" s="4" t="inlineStr">
        <is>
          <t>B13</t>
        </is>
      </c>
      <c r="D5232" s="4" t="inlineStr">
        <is>
          <t>Accessed 8 Sep 2026</t>
        </is>
      </c>
      <c r="E5232" s="4" t="inlineStr">
        <is>
          <t>Accessed 8 Sep 2026</t>
        </is>
      </c>
      <c r="F5232" s="4" t="inlineStr">
        <is>
          <t>Goods-financial-plan.xlsx before consolidation</t>
        </is>
      </c>
    </row>
    <row r="5233" ht="45" customHeight="1">
      <c r="A5233" s="4" t="inlineStr">
        <is>
          <t>history:Sources!C13</t>
        </is>
      </c>
      <c r="B5233" s="4" t="inlineStr">
        <is>
          <t>Sources</t>
        </is>
      </c>
      <c r="C5233" s="4" t="inlineStr">
        <is>
          <t>C13</t>
        </is>
      </c>
      <c r="D5233" s="4" t="inlineStr">
        <is>
          <t>Annual budget, regular actual comparison and board financial reports</t>
        </is>
      </c>
      <c r="E5233" s="4" t="inlineStr">
        <is>
          <t>Annual budget, regular actual comparison and board financial reports</t>
        </is>
      </c>
      <c r="F5233" s="4" t="inlineStr">
        <is>
          <t>Goods-financial-plan.xlsx before consolidation</t>
        </is>
      </c>
    </row>
    <row r="5234" ht="45" customHeight="1">
      <c r="A5234" s="4" t="inlineStr">
        <is>
          <t>history:Sources!D13</t>
        </is>
      </c>
      <c r="B5234" s="4" t="inlineStr">
        <is>
          <t>Sources</t>
        </is>
      </c>
      <c r="C5234" s="4" t="inlineStr">
        <is>
          <t>D13</t>
        </is>
      </c>
      <c r="D5234" s="4" t="inlineStr">
        <is>
          <t>Adapt to the charity’s activities and delegated authorities.</t>
        </is>
      </c>
      <c r="E5234" s="4" t="inlineStr">
        <is>
          <t>Adapt to the charity’s activities and delegated authorities.</t>
        </is>
      </c>
      <c r="F5234" s="4" t="inlineStr">
        <is>
          <t>Goods-financial-plan.xlsx before consolidation</t>
        </is>
      </c>
    </row>
    <row r="5235" ht="60" customHeight="1">
      <c r="A5235" s="4" t="inlineStr">
        <is>
          <t>history:Sources!E13</t>
        </is>
      </c>
      <c r="B5235" s="4" t="inlineStr">
        <is>
          <t>Sources</t>
        </is>
      </c>
      <c r="C5235" s="4" t="inlineStr">
        <is>
          <t>E13</t>
        </is>
      </c>
      <c r="D5235" s="4" t="inlineStr">
        <is>
          <t>https://www.acnc.gov.au/tools/guides/managing-charity-money-guide-for-responsible-people</t>
        </is>
      </c>
      <c r="E5235" s="4" t="inlineStr">
        <is>
          <t>https://www.acnc.gov.au/tools/guides/managing-charity-money-guide-for-responsible-people</t>
        </is>
      </c>
      <c r="F5235" s="4" t="inlineStr">
        <is>
          <t>Goods-financial-plan.xlsx before consolidation</t>
        </is>
      </c>
    </row>
    <row r="5236" ht="40" customHeight="1">
      <c r="A5236" s="4" t="inlineStr">
        <is>
          <t>history:Sources!A14</t>
        </is>
      </c>
      <c r="B5236" s="4" t="inlineStr">
        <is>
          <t>Sources</t>
        </is>
      </c>
      <c r="C5236" s="4" t="inlineStr">
        <is>
          <t>A14</t>
        </is>
      </c>
      <c r="D5236" s="4" t="inlineStr">
        <is>
          <t>AIGI financial management</t>
        </is>
      </c>
      <c r="E5236" s="4" t="inlineStr">
        <is>
          <t>AIGI financial management</t>
        </is>
      </c>
      <c r="F5236" s="4" t="inlineStr">
        <is>
          <t>Goods-financial-plan.xlsx before consolidation</t>
        </is>
      </c>
    </row>
    <row r="5237" ht="40" customHeight="1">
      <c r="A5237" s="4" t="inlineStr">
        <is>
          <t>history:Sources!B14</t>
        </is>
      </c>
      <c r="B5237" s="4" t="inlineStr">
        <is>
          <t>Sources</t>
        </is>
      </c>
      <c r="C5237" s="4" t="inlineStr">
        <is>
          <t>B14</t>
        </is>
      </c>
      <c r="D5237" s="4" t="inlineStr">
        <is>
          <t>Accessed 8 Sep 2026</t>
        </is>
      </c>
      <c r="E5237" s="4" t="inlineStr">
        <is>
          <t>Accessed 8 Sep 2026</t>
        </is>
      </c>
      <c r="F5237" s="4" t="inlineStr">
        <is>
          <t>Goods-financial-plan.xlsx before consolidation</t>
        </is>
      </c>
    </row>
    <row r="5238" ht="45" customHeight="1">
      <c r="A5238" s="4" t="inlineStr">
        <is>
          <t>history:Sources!C14</t>
        </is>
      </c>
      <c r="B5238" s="4" t="inlineStr">
        <is>
          <t>Sources</t>
        </is>
      </c>
      <c r="C5238" s="4" t="inlineStr">
        <is>
          <t>C14</t>
        </is>
      </c>
      <c r="D5238" s="4" t="inlineStr">
        <is>
          <t>Clear approvals, records and bank reconciliation roles</t>
        </is>
      </c>
      <c r="E5238" s="4" t="inlineStr">
        <is>
          <t>Clear approvals, records and bank reconciliation roles</t>
        </is>
      </c>
      <c r="F5238" s="4" t="inlineStr">
        <is>
          <t>Goods-financial-plan.xlsx before consolidation</t>
        </is>
      </c>
    </row>
    <row r="5239" ht="45" customHeight="1">
      <c r="A5239" s="4" t="inlineStr">
        <is>
          <t>history:Sources!D14</t>
        </is>
      </c>
      <c r="B5239" s="4" t="inlineStr">
        <is>
          <t>Sources</t>
        </is>
      </c>
      <c r="C5239" s="4" t="inlineStr">
        <is>
          <t>D14</t>
        </is>
      </c>
      <c r="D5239" s="4" t="inlineStr">
        <is>
          <t>Proposed approach; agree local roles and arrangements.</t>
        </is>
      </c>
      <c r="E5239" s="4" t="inlineStr">
        <is>
          <t>Proposed approach; agree local roles and arrangements.</t>
        </is>
      </c>
      <c r="F5239" s="4" t="inlineStr">
        <is>
          <t>Goods-financial-plan.xlsx before consolidation</t>
        </is>
      </c>
    </row>
    <row r="5240" ht="45" customHeight="1">
      <c r="A5240" s="4" t="inlineStr">
        <is>
          <t>history:Sources!E14</t>
        </is>
      </c>
      <c r="B5240" s="4" t="inlineStr">
        <is>
          <t>Sources</t>
        </is>
      </c>
      <c r="C5240" s="4" t="inlineStr">
        <is>
          <t>E14</t>
        </is>
      </c>
      <c r="D5240" s="4" t="inlineStr">
        <is>
          <t>https://aigi.org.au/toolkit/financial-management</t>
        </is>
      </c>
      <c r="E5240" s="4" t="inlineStr">
        <is>
          <t>https://aigi.org.au/toolkit/financial-management</t>
        </is>
      </c>
      <c r="F5240" s="4" t="inlineStr">
        <is>
          <t>Goods-financial-plan.xlsx before consolidation</t>
        </is>
      </c>
    </row>
    <row r="5241" ht="40" customHeight="1">
      <c r="A5241" s="4" t="inlineStr">
        <is>
          <t>history:Sources!A15</t>
        </is>
      </c>
      <c r="B5241" s="4" t="inlineStr">
        <is>
          <t>Sources</t>
        </is>
      </c>
      <c r="C5241" s="4" t="inlineStr">
        <is>
          <t>A15</t>
        </is>
      </c>
      <c r="D5241" s="4" t="inlineStr">
        <is>
          <t>AIGI effective governance</t>
        </is>
      </c>
      <c r="E5241" s="4" t="inlineStr">
        <is>
          <t>AIGI effective governance</t>
        </is>
      </c>
      <c r="F5241" s="4" t="inlineStr">
        <is>
          <t>Goods-financial-plan.xlsx before consolidation</t>
        </is>
      </c>
    </row>
    <row r="5242" ht="40" customHeight="1">
      <c r="A5242" s="4" t="inlineStr">
        <is>
          <t>history:Sources!B15</t>
        </is>
      </c>
      <c r="B5242" s="4" t="inlineStr">
        <is>
          <t>Sources</t>
        </is>
      </c>
      <c r="C5242" s="4" t="inlineStr">
        <is>
          <t>B15</t>
        </is>
      </c>
      <c r="D5242" s="4" t="inlineStr">
        <is>
          <t>Accessed 8 Sep 2026</t>
        </is>
      </c>
      <c r="E5242" s="4" t="inlineStr">
        <is>
          <t>Accessed 8 Sep 2026</t>
        </is>
      </c>
      <c r="F5242" s="4" t="inlineStr">
        <is>
          <t>Goods-financial-plan.xlsx before consolidation</t>
        </is>
      </c>
    </row>
    <row r="5243" ht="45" customHeight="1">
      <c r="A5243" s="4" t="inlineStr">
        <is>
          <t>history:Sources!C15</t>
        </is>
      </c>
      <c r="B5243" s="4" t="inlineStr">
        <is>
          <t>Sources</t>
        </is>
      </c>
      <c r="C5243" s="4" t="inlineStr">
        <is>
          <t>C15</t>
        </is>
      </c>
      <c r="D5243" s="4" t="inlineStr">
        <is>
          <t>Locally appropriate authority and decision-making</t>
        </is>
      </c>
      <c r="E5243" s="4" t="inlineStr">
        <is>
          <t>Locally appropriate authority and decision-making</t>
        </is>
      </c>
      <c r="F5243" s="4" t="inlineStr">
        <is>
          <t>Goods-financial-plan.xlsx before consolidation</t>
        </is>
      </c>
    </row>
    <row r="5244" ht="45" customHeight="1">
      <c r="A5244" s="4" t="inlineStr">
        <is>
          <t>history:Sources!D15</t>
        </is>
      </c>
      <c r="B5244" s="4" t="inlineStr">
        <is>
          <t>Sources</t>
        </is>
      </c>
      <c r="C5244" s="4" t="inlineStr">
        <is>
          <t>D15</t>
        </is>
      </c>
      <c r="D5244" s="4" t="inlineStr">
        <is>
          <t>Support each partner’s governance; do not impose a generic model.</t>
        </is>
      </c>
      <c r="E5244" s="4" t="inlineStr">
        <is>
          <t>Support each partner’s governance; do not impose a generic model.</t>
        </is>
      </c>
      <c r="F5244" s="4" t="inlineStr">
        <is>
          <t>Goods-financial-plan.xlsx before consolidation</t>
        </is>
      </c>
    </row>
    <row r="5245" ht="45" customHeight="1">
      <c r="A5245" s="4" t="inlineStr">
        <is>
          <t>history:Sources!E15</t>
        </is>
      </c>
      <c r="B5245" s="4" t="inlineStr">
        <is>
          <t>Sources</t>
        </is>
      </c>
      <c r="C5245" s="4" t="inlineStr">
        <is>
          <t>E15</t>
        </is>
      </c>
      <c r="D5245" s="4" t="inlineStr">
        <is>
          <t>https://aigi.org.au/toolkit/effective-indigenous-governance</t>
        </is>
      </c>
      <c r="E5245" s="4" t="inlineStr">
        <is>
          <t>https://aigi.org.au/toolkit/effective-indigenous-governance</t>
        </is>
      </c>
      <c r="F5245" s="4" t="inlineStr">
        <is>
          <t>Goods-financial-plan.xlsx before consolidation</t>
        </is>
      </c>
    </row>
    <row r="5246" ht="40" customHeight="1">
      <c r="A5246" s="4" t="inlineStr">
        <is>
          <t>history:Sources!A19</t>
        </is>
      </c>
      <c r="B5246" s="4" t="inlineStr">
        <is>
          <t>Sources</t>
        </is>
      </c>
      <c r="C5246" s="4" t="inlineStr">
        <is>
          <t>A19</t>
        </is>
      </c>
      <c r="D5246" s="4" t="inlineStr">
        <is>
          <t>Frequency</t>
        </is>
      </c>
      <c r="E5246" s="4" t="inlineStr">
        <is>
          <t>Frequency</t>
        </is>
      </c>
      <c r="F5246" s="4" t="inlineStr">
        <is>
          <t>Goods-financial-plan.xlsx before consolidation</t>
        </is>
      </c>
    </row>
    <row r="5247" ht="40" customHeight="1">
      <c r="A5247" s="4" t="inlineStr">
        <is>
          <t>history:Sources!B19</t>
        </is>
      </c>
      <c r="B5247" s="4" t="inlineStr">
        <is>
          <t>Sources</t>
        </is>
      </c>
      <c r="C5247" s="4" t="inlineStr">
        <is>
          <t>B19</t>
        </is>
      </c>
      <c r="D5247" s="4" t="inlineStr">
        <is>
          <t>Record to update</t>
        </is>
      </c>
      <c r="E5247" s="4" t="inlineStr">
        <is>
          <t>Record to update</t>
        </is>
      </c>
      <c r="F5247" s="4" t="inlineStr">
        <is>
          <t>Goods-financial-plan.xlsx before consolidation</t>
        </is>
      </c>
    </row>
    <row r="5248" ht="40" customHeight="1">
      <c r="A5248" s="4" t="inlineStr">
        <is>
          <t>history:Sources!C19</t>
        </is>
      </c>
      <c r="B5248" s="4" t="inlineStr">
        <is>
          <t>Sources</t>
        </is>
      </c>
      <c r="C5248" s="4" t="inlineStr">
        <is>
          <t>C19</t>
        </is>
      </c>
      <c r="D5248" s="4" t="inlineStr">
        <is>
          <t>How</t>
        </is>
      </c>
      <c r="E5248" s="4" t="inlineStr">
        <is>
          <t>How</t>
        </is>
      </c>
      <c r="F5248" s="4" t="inlineStr">
        <is>
          <t>Goods-financial-plan.xlsx before consolidation</t>
        </is>
      </c>
    </row>
    <row r="5249" ht="40" customHeight="1">
      <c r="A5249" s="4" t="inlineStr">
        <is>
          <t>history:Sources!D19</t>
        </is>
      </c>
      <c r="B5249" s="4" t="inlineStr">
        <is>
          <t>Sources</t>
        </is>
      </c>
      <c r="C5249" s="4" t="inlineStr">
        <is>
          <t>D19</t>
        </is>
      </c>
      <c r="D5249" s="4" t="inlineStr">
        <is>
          <t>Review</t>
        </is>
      </c>
      <c r="E5249" s="4" t="inlineStr">
        <is>
          <t>Review</t>
        </is>
      </c>
      <c r="F5249" s="4" t="inlineStr">
        <is>
          <t>Goods-financial-plan.xlsx before consolidation</t>
        </is>
      </c>
    </row>
    <row r="5250" ht="40" customHeight="1">
      <c r="A5250" s="4" t="inlineStr">
        <is>
          <t>history:Sources!E19</t>
        </is>
      </c>
      <c r="B5250" s="4" t="inlineStr">
        <is>
          <t>Sources</t>
        </is>
      </c>
      <c r="C5250" s="4" t="inlineStr">
        <is>
          <t>E19</t>
        </is>
      </c>
      <c r="D5250" s="4" t="inlineStr">
        <is>
          <t>Output</t>
        </is>
      </c>
      <c r="E5250" s="4" t="inlineStr">
        <is>
          <t>Output</t>
        </is>
      </c>
      <c r="F5250" s="4" t="inlineStr">
        <is>
          <t>Goods-financial-plan.xlsx before consolidation</t>
        </is>
      </c>
    </row>
    <row r="5251" ht="40" customHeight="1">
      <c r="A5251" s="4" t="inlineStr">
        <is>
          <t>history:Sources!A20</t>
        </is>
      </c>
      <c r="B5251" s="4" t="inlineStr">
        <is>
          <t>Sources</t>
        </is>
      </c>
      <c r="C5251" s="4" t="inlineStr">
        <is>
          <t>A20</t>
        </is>
      </c>
      <c r="D5251" s="4" t="inlineStr">
        <is>
          <t>As costs change</t>
        </is>
      </c>
      <c r="E5251" s="4" t="inlineStr">
        <is>
          <t>As costs change</t>
        </is>
      </c>
      <c r="F5251" s="4" t="inlineStr">
        <is>
          <t>Goods-financial-plan.xlsx before consolidation</t>
        </is>
      </c>
    </row>
    <row r="5252" ht="40" customHeight="1">
      <c r="A5252" s="4" t="inlineStr">
        <is>
          <t>history:Sources!B20</t>
        </is>
      </c>
      <c r="B5252" s="4" t="inlineStr">
        <is>
          <t>Sources</t>
        </is>
      </c>
      <c r="C5252" s="4" t="inlineStr">
        <is>
          <t>B20</t>
        </is>
      </c>
      <c r="D5252" s="4" t="inlineStr">
        <is>
          <t>Inputs, Cost plan and Sites</t>
        </is>
      </c>
      <c r="E5252" s="4" t="inlineStr">
        <is>
          <t>Inputs, Cost plan and Sites</t>
        </is>
      </c>
      <c r="F5252" s="4" t="inlineStr">
        <is>
          <t>Goods-financial-plan.xlsx before consolidation</t>
        </is>
      </c>
    </row>
    <row r="5253" ht="75" customHeight="1">
      <c r="A5253" s="4" t="inlineStr">
        <is>
          <t>history:Sources!C20</t>
        </is>
      </c>
      <c r="B5253" s="4" t="inlineStr">
        <is>
          <t>Sources</t>
        </is>
      </c>
      <c r="C5253" s="4" t="inlineStr">
        <is>
          <t>C20</t>
        </is>
      </c>
      <c r="D5253" s="4" t="inlineStr">
        <is>
          <t>Change evidenced quantities/rates and dates; record quote and scope. Keep missing costs blank.</t>
        </is>
      </c>
      <c r="E5253" s="4" t="inlineStr">
        <is>
          <t>Change evidenced quantities/rates and dates; record quote and scope. Keep missing costs blank.</t>
        </is>
      </c>
      <c r="F5253" s="4" t="inlineStr">
        <is>
          <t>Goods-financial-plan.xlsx before consolidation</t>
        </is>
      </c>
    </row>
    <row r="5254" ht="40" customHeight="1">
      <c r="A5254" s="4" t="inlineStr">
        <is>
          <t>history:Sources!D20</t>
        </is>
      </c>
      <c r="B5254" s="4" t="inlineStr">
        <is>
          <t>Sources</t>
        </is>
      </c>
      <c r="C5254" s="4" t="inlineStr">
        <is>
          <t>D20</t>
        </is>
      </c>
      <c r="D5254" s="4" t="inlineStr">
        <is>
          <t>Owner reviews overlaps and GST.</t>
        </is>
      </c>
      <c r="E5254" s="4" t="inlineStr">
        <is>
          <t>Owner reviews overlaps and GST.</t>
        </is>
      </c>
      <c r="F5254" s="4" t="inlineStr">
        <is>
          <t>Goods-financial-plan.xlsx before consolidation</t>
        </is>
      </c>
    </row>
    <row r="5255" ht="40" customHeight="1">
      <c r="A5255" s="4" t="inlineStr">
        <is>
          <t>history:Sources!E20</t>
        </is>
      </c>
      <c r="B5255" s="4" t="inlineStr">
        <is>
          <t>Sources</t>
        </is>
      </c>
      <c r="C5255" s="4" t="inlineStr">
        <is>
          <t>E20</t>
        </is>
      </c>
      <c r="D5255" s="4" t="inlineStr">
        <is>
          <t>Updated cost estimate and monthly schedule</t>
        </is>
      </c>
      <c r="E5255" s="4" t="inlineStr">
        <is>
          <t>Updated cost estimate and monthly schedule</t>
        </is>
      </c>
      <c r="F5255" s="4" t="inlineStr">
        <is>
          <t>Goods-financial-plan.xlsx before consolidation</t>
        </is>
      </c>
    </row>
    <row r="5256" ht="40" customHeight="1">
      <c r="A5256" s="4" t="inlineStr">
        <is>
          <t>history:Sources!A21</t>
        </is>
      </c>
      <c r="B5256" s="4" t="inlineStr">
        <is>
          <t>Sources</t>
        </is>
      </c>
      <c r="C5256" s="4" t="inlineStr">
        <is>
          <t>A21</t>
        </is>
      </c>
      <c r="D5256" s="4" t="inlineStr">
        <is>
          <t>Weekly / as paid</t>
        </is>
      </c>
      <c r="E5256" s="4" t="inlineStr">
        <is>
          <t>Weekly / as paid</t>
        </is>
      </c>
      <c r="F5256" s="4" t="inlineStr">
        <is>
          <t>Goods-financial-plan.xlsx before consolidation</t>
        </is>
      </c>
    </row>
    <row r="5257" ht="40" customHeight="1">
      <c r="A5257" s="4" t="inlineStr">
        <is>
          <t>history:Sources!B21</t>
        </is>
      </c>
      <c r="B5257" s="4" t="inlineStr">
        <is>
          <t>Sources</t>
        </is>
      </c>
      <c r="C5257" s="4" t="inlineStr">
        <is>
          <t>B21</t>
        </is>
      </c>
      <c r="D5257" s="4" t="inlineStr">
        <is>
          <t>Cost records</t>
        </is>
      </c>
      <c r="E5257" s="4" t="inlineStr">
        <is>
          <t>Cost records</t>
        </is>
      </c>
      <c r="F5257" s="4" t="inlineStr">
        <is>
          <t>Goods-financial-plan.xlsx before consolidation</t>
        </is>
      </c>
    </row>
    <row r="5258" ht="90" customHeight="1">
      <c r="A5258" s="4" t="inlineStr">
        <is>
          <t>history:Sources!C21</t>
        </is>
      </c>
      <c r="B5258" s="4" t="inlineStr">
        <is>
          <t>Sources</t>
        </is>
      </c>
      <c r="C5258" s="4" t="inlineStr">
        <is>
          <t>C21</t>
        </is>
      </c>
      <c r="D5258" s="4" t="inlineStr">
        <is>
          <t>One payment per source ID. Open commitment rows contain remaining unpaid balances; reduce them when payments are entered.</t>
        </is>
      </c>
      <c r="E5258" s="4" t="inlineStr">
        <is>
          <t>One payment per source ID. Open commitment rows contain remaining unpaid balances; reduce them when payments are entered.</t>
        </is>
      </c>
      <c r="F5258" s="4" t="inlineStr">
        <is>
          <t>Goods-financial-plan.xlsx before consolidation</t>
        </is>
      </c>
    </row>
    <row r="5259" ht="45" customHeight="1">
      <c r="A5259" s="4" t="inlineStr">
        <is>
          <t>history:Sources!D21</t>
        </is>
      </c>
      <c r="B5259" s="4" t="inlineStr">
        <is>
          <t>Sources</t>
        </is>
      </c>
      <c r="C5259" s="4" t="inlineStr">
        <is>
          <t>D21</t>
        </is>
      </c>
      <c r="D5259" s="4" t="inlineStr">
        <is>
          <t>Match invoice and payment evidence; check duplicate IDs.</t>
        </is>
      </c>
      <c r="E5259" s="4" t="inlineStr">
        <is>
          <t>Match invoice and payment evidence; check duplicate IDs.</t>
        </is>
      </c>
      <c r="F5259" s="4" t="inlineStr">
        <is>
          <t>Goods-financial-plan.xlsx before consolidation</t>
        </is>
      </c>
    </row>
    <row r="5260" ht="40" customHeight="1">
      <c r="A5260" s="4" t="inlineStr">
        <is>
          <t>history:Sources!E21</t>
        </is>
      </c>
      <c r="B5260" s="4" t="inlineStr">
        <is>
          <t>Sources</t>
        </is>
      </c>
      <c r="C5260" s="4" t="inlineStr">
        <is>
          <t>E21</t>
        </is>
      </c>
      <c r="D5260" s="4" t="inlineStr">
        <is>
          <t>Paid amounts and outstanding commitments</t>
        </is>
      </c>
      <c r="E5260" s="4" t="inlineStr">
        <is>
          <t>Paid amounts and outstanding commitments</t>
        </is>
      </c>
      <c r="F5260" s="4" t="inlineStr">
        <is>
          <t>Goods-financial-plan.xlsx before consolidation</t>
        </is>
      </c>
    </row>
    <row r="5261" ht="40" customHeight="1">
      <c r="A5261" s="4" t="inlineStr">
        <is>
          <t>history:Sources!A22</t>
        </is>
      </c>
      <c r="B5261" s="4" t="inlineStr">
        <is>
          <t>Sources</t>
        </is>
      </c>
      <c r="C5261" s="4" t="inlineStr">
        <is>
          <t>A22</t>
        </is>
      </c>
      <c r="D5261" s="4" t="inlineStr">
        <is>
          <t>Monthly</t>
        </is>
      </c>
      <c r="E5261" s="4" t="inlineStr">
        <is>
          <t>Monthly</t>
        </is>
      </c>
      <c r="F5261" s="4" t="inlineStr">
        <is>
          <t>Goods-financial-plan.xlsx before consolidation</t>
        </is>
      </c>
    </row>
    <row r="5262" ht="40" customHeight="1">
      <c r="A5262" s="4" t="inlineStr">
        <is>
          <t>history:Sources!B22</t>
        </is>
      </c>
      <c r="B5262" s="4" t="inlineStr">
        <is>
          <t>Sources</t>
        </is>
      </c>
      <c r="C5262" s="4" t="inlineStr">
        <is>
          <t>B22</t>
        </is>
      </c>
      <c r="D5262" s="4" t="inlineStr">
        <is>
          <t>Actuals cutoff and opening cash</t>
        </is>
      </c>
      <c r="E5262" s="4" t="inlineStr">
        <is>
          <t>Actuals cutoff and opening cash</t>
        </is>
      </c>
      <c r="F5262" s="4" t="inlineStr">
        <is>
          <t>Goods-financial-plan.xlsx before consolidation</t>
        </is>
      </c>
    </row>
    <row r="5263" ht="90" customHeight="1">
      <c r="A5263" s="4" t="inlineStr">
        <is>
          <t>history:Sources!C22</t>
        </is>
      </c>
      <c r="B5263" s="4" t="inlineStr">
        <is>
          <t>Sources</t>
        </is>
      </c>
      <c r="C5263" s="4" t="inlineStr">
        <is>
          <t>C22</t>
        </is>
      </c>
      <c r="D5263" s="4" t="inlineStr">
        <is>
          <t>Reconcile bank/accounting records before entering a closed month-end. Confirm cash restrictions and existing obligations.</t>
        </is>
      </c>
      <c r="E5263" s="4" t="inlineStr">
        <is>
          <t>Reconcile bank/accounting records before entering a closed month-end. Confirm cash restrictions and existing obligations.</t>
        </is>
      </c>
      <c r="F5263" s="4" t="inlineStr">
        <is>
          <t>Goods-financial-plan.xlsx before consolidation</t>
        </is>
      </c>
    </row>
    <row r="5264" ht="45" customHeight="1">
      <c r="A5264" s="4" t="inlineStr">
        <is>
          <t>history:Sources!D22</t>
        </is>
      </c>
      <c r="B5264" s="4" t="inlineStr">
        <is>
          <t>Sources</t>
        </is>
      </c>
      <c r="C5264" s="4" t="inlineStr">
        <is>
          <t>D22</t>
        </is>
      </c>
      <c r="D5264" s="4" t="inlineStr">
        <is>
          <t>Board/finance reviews actual versus planned cash.</t>
        </is>
      </c>
      <c r="E5264" s="4" t="inlineStr">
        <is>
          <t>Board/finance reviews actual versus planned cash.</t>
        </is>
      </c>
      <c r="F5264" s="4" t="inlineStr">
        <is>
          <t>Goods-financial-plan.xlsx before consolidation</t>
        </is>
      </c>
    </row>
    <row r="5265" ht="40" customHeight="1">
      <c r="A5265" s="4" t="inlineStr">
        <is>
          <t>history:Sources!E22</t>
        </is>
      </c>
      <c r="B5265" s="4" t="inlineStr">
        <is>
          <t>Sources</t>
        </is>
      </c>
      <c r="C5265" s="4" t="inlineStr">
        <is>
          <t>E22</t>
        </is>
      </c>
      <c r="D5265" s="4" t="inlineStr">
        <is>
          <t>Monthly cash record</t>
        </is>
      </c>
      <c r="E5265" s="4" t="inlineStr">
        <is>
          <t>Monthly cash record</t>
        </is>
      </c>
      <c r="F5265" s="4" t="inlineStr">
        <is>
          <t>Goods-financial-plan.xlsx before consolidation</t>
        </is>
      </c>
    </row>
    <row r="5266" ht="40" customHeight="1">
      <c r="A5266" s="4" t="inlineStr">
        <is>
          <t>history:Sources!A23</t>
        </is>
      </c>
      <c r="B5266" s="4" t="inlineStr">
        <is>
          <t>Sources</t>
        </is>
      </c>
      <c r="C5266" s="4" t="inlineStr">
        <is>
          <t>A23</t>
        </is>
      </c>
      <c r="D5266" s="4" t="inlineStr">
        <is>
          <t>When a funder responds</t>
        </is>
      </c>
      <c r="E5266" s="4" t="inlineStr">
        <is>
          <t>When a funder responds</t>
        </is>
      </c>
      <c r="F5266" s="4" t="inlineStr">
        <is>
          <t>Goods-financial-plan.xlsx before consolidation</t>
        </is>
      </c>
    </row>
    <row r="5267" ht="40" customHeight="1">
      <c r="A5267" s="4" t="inlineStr">
        <is>
          <t>history:Sources!B23</t>
        </is>
      </c>
      <c r="B5267" s="4" t="inlineStr">
        <is>
          <t>Sources</t>
        </is>
      </c>
      <c r="C5267" s="4" t="inlineStr">
        <is>
          <t>B23</t>
        </is>
      </c>
      <c r="D5267" s="4" t="inlineStr">
        <is>
          <t>Funding</t>
        </is>
      </c>
      <c r="E5267" s="4" t="inlineStr">
        <is>
          <t>Funding</t>
        </is>
      </c>
      <c r="F5267" s="4" t="inlineStr">
        <is>
          <t>Goods-financial-plan.xlsx before consolidation</t>
        </is>
      </c>
    </row>
    <row r="5268" ht="90" customHeight="1">
      <c r="A5268" s="4" t="inlineStr">
        <is>
          <t>history:Sources!C23</t>
        </is>
      </c>
      <c r="B5268" s="4" t="inlineStr">
        <is>
          <t>Sources</t>
        </is>
      </c>
      <c r="C5268" s="4" t="inlineStr">
        <is>
          <t>C23</t>
        </is>
      </c>
      <c r="D5268" s="4" t="inlineStr">
        <is>
          <t>Update the same source row, instrument, evidence, terms and date. Only signed/received stages enter secured receipts.</t>
        </is>
      </c>
      <c r="E5268" s="4" t="inlineStr">
        <is>
          <t>Update the same source row, instrument, evidence, terms and date. Only signed/received stages enter secured receipts.</t>
        </is>
      </c>
      <c r="F5268" s="4" t="inlineStr">
        <is>
          <t>Goods-financial-plan.xlsx before consolidation</t>
        </is>
      </c>
    </row>
    <row r="5269" ht="45" customHeight="1">
      <c r="A5269" s="4" t="inlineStr">
        <is>
          <t>history:Sources!D23</t>
        </is>
      </c>
      <c r="B5269" s="4" t="inlineStr">
        <is>
          <t>Sources</t>
        </is>
      </c>
      <c r="C5269" s="4" t="inlineStr">
        <is>
          <t>D23</t>
        </is>
      </c>
      <c r="D5269" s="4" t="inlineStr">
        <is>
          <t>Confirm eligible costs, recipient and repayment schedule for loans.</t>
        </is>
      </c>
      <c r="E5269" s="4" t="inlineStr">
        <is>
          <t>Confirm eligible costs, recipient and repayment schedule for loans.</t>
        </is>
      </c>
      <c r="F5269" s="4" t="inlineStr">
        <is>
          <t>Goods-financial-plan.xlsx before consolidation</t>
        </is>
      </c>
    </row>
    <row r="5270" ht="40" customHeight="1">
      <c r="A5270" s="4" t="inlineStr">
        <is>
          <t>history:Sources!E23</t>
        </is>
      </c>
      <c r="B5270" s="4" t="inlineStr">
        <is>
          <t>Sources</t>
        </is>
      </c>
      <c r="C5270" s="4" t="inlineStr">
        <is>
          <t>E23</t>
        </is>
      </c>
      <c r="D5270" s="4" t="inlineStr">
        <is>
          <t>Current funding gap</t>
        </is>
      </c>
      <c r="E5270" s="4" t="inlineStr">
        <is>
          <t>Current funding gap</t>
        </is>
      </c>
      <c r="F5270" s="4" t="inlineStr">
        <is>
          <t>Goods-financial-plan.xlsx before consolidation</t>
        </is>
      </c>
    </row>
    <row r="5271" ht="40" customHeight="1">
      <c r="A5271" s="4" t="inlineStr">
        <is>
          <t>history:Sources!A24</t>
        </is>
      </c>
      <c r="B5271" s="4" t="inlineStr">
        <is>
          <t>Sources</t>
        </is>
      </c>
      <c r="C5271" s="4" t="inlineStr">
        <is>
          <t>A24</t>
        </is>
      </c>
      <c r="D5271" s="4" t="inlineStr">
        <is>
          <t>With local partners</t>
        </is>
      </c>
      <c r="E5271" s="4" t="inlineStr">
        <is>
          <t>With local partners</t>
        </is>
      </c>
      <c r="F5271" s="4" t="inlineStr">
        <is>
          <t>Goods-financial-plan.xlsx before consolidation</t>
        </is>
      </c>
    </row>
    <row r="5272" ht="40" customHeight="1">
      <c r="A5272" s="4" t="inlineStr">
        <is>
          <t>history:Sources!B24</t>
        </is>
      </c>
      <c r="B5272" s="4" t="inlineStr">
        <is>
          <t>Sources</t>
        </is>
      </c>
      <c r="C5272" s="4" t="inlineStr">
        <is>
          <t>B24</t>
        </is>
      </c>
      <c r="D5272" s="4" t="inlineStr">
        <is>
          <t>Community programme and evidence tables</t>
        </is>
      </c>
      <c r="E5272" s="4" t="inlineStr">
        <is>
          <t>Community programme and evidence tables</t>
        </is>
      </c>
      <c r="F5272" s="4" t="inlineStr">
        <is>
          <t>Goods-financial-plan.xlsx before consolidation</t>
        </is>
      </c>
    </row>
    <row r="5273" ht="60" customHeight="1">
      <c r="A5273" s="4" t="inlineStr">
        <is>
          <t>history:Sources!C24</t>
        </is>
      </c>
      <c r="B5273" s="4" t="inlineStr">
        <is>
          <t>Sources</t>
        </is>
      </c>
      <c r="C5273" s="4" t="inlineStr">
        <is>
          <t>C24</t>
        </is>
      </c>
      <c r="D5273" s="4" t="inlineStr">
        <is>
          <t>Agree authority, need, participation, bed allocation, support and follow-up.</t>
        </is>
      </c>
      <c r="E5273" s="4" t="inlineStr">
        <is>
          <t>Agree authority, need, participation, bed allocation, support and follow-up.</t>
        </is>
      </c>
      <c r="F5273" s="4" t="inlineStr">
        <is>
          <t>Goods-financial-plan.xlsx before consolidation</t>
        </is>
      </c>
    </row>
    <row r="5274" ht="40" customHeight="1">
      <c r="A5274" s="4" t="inlineStr">
        <is>
          <t>history:Sources!D24</t>
        </is>
      </c>
      <c r="B5274" s="4" t="inlineStr">
        <is>
          <t>Sources</t>
        </is>
      </c>
      <c r="C5274" s="4" t="inlineStr">
        <is>
          <t>D24</t>
        </is>
      </c>
      <c r="D5274" s="4" t="inlineStr">
        <is>
          <t>Return findings and decisions to partners.</t>
        </is>
      </c>
      <c r="E5274" s="4" t="inlineStr">
        <is>
          <t>Return findings and decisions to partners.</t>
        </is>
      </c>
      <c r="F5274" s="4" t="inlineStr">
        <is>
          <t>Goods-financial-plan.xlsx before consolidation</t>
        </is>
      </c>
    </row>
    <row r="5275" ht="40" customHeight="1">
      <c r="A5275" s="4" t="inlineStr">
        <is>
          <t>history:Sources!E24</t>
        </is>
      </c>
      <c r="B5275" s="4" t="inlineStr">
        <is>
          <t>Sources</t>
        </is>
      </c>
      <c r="C5275" s="4" t="inlineStr">
        <is>
          <t>E24</t>
        </is>
      </c>
      <c r="D5275" s="4" t="inlineStr">
        <is>
          <t>Costed local programme</t>
        </is>
      </c>
      <c r="E5275" s="4" t="inlineStr">
        <is>
          <t>Costed local programme</t>
        </is>
      </c>
      <c r="F5275" s="4" t="inlineStr">
        <is>
          <t>Goods-financial-plan.xlsx before consolidation</t>
        </is>
      </c>
    </row>
    <row r="5276" ht="40" customHeight="1">
      <c r="A5276" s="4" t="inlineStr">
        <is>
          <t>history:Sources!A25</t>
        </is>
      </c>
      <c r="B5276" s="4" t="inlineStr">
        <is>
          <t>Sources</t>
        </is>
      </c>
      <c r="C5276" s="4" t="inlineStr">
        <is>
          <t>A25</t>
        </is>
      </c>
      <c r="D5276" s="4" t="inlineStr">
        <is>
          <t>Before editing this workbook again</t>
        </is>
      </c>
      <c r="E5276" s="4" t="inlineStr">
        <is>
          <t>Before editing this workbook again</t>
        </is>
      </c>
      <c r="F5276" s="4" t="inlineStr">
        <is>
          <t>Goods-financial-plan.xlsx before consolidation</t>
        </is>
      </c>
    </row>
    <row r="5277" ht="40" customHeight="1">
      <c r="A5277" s="4" t="inlineStr">
        <is>
          <t>history:Sources!B25</t>
        </is>
      </c>
      <c r="B5277" s="4" t="inlineStr">
        <is>
          <t>Sources</t>
        </is>
      </c>
      <c r="C5277" s="4" t="inlineStr">
        <is>
          <t>B25</t>
        </is>
      </c>
      <c r="D5277" s="4" t="inlineStr">
        <is>
          <t>This saved workbook</t>
        </is>
      </c>
      <c r="E5277" s="4" t="inlineStr">
        <is>
          <t>This saved workbook</t>
        </is>
      </c>
      <c r="F5277" s="4" t="inlineStr">
        <is>
          <t>Goods-financial-plan.xlsx before consolidation</t>
        </is>
      </c>
    </row>
    <row r="5278" ht="75" customHeight="1">
      <c r="A5278" s="4" t="inlineStr">
        <is>
          <t>history:Sources!C25</t>
        </is>
      </c>
      <c r="B5278" s="4" t="inlineStr">
        <is>
          <t>Sources</t>
        </is>
      </c>
      <c r="C5278" s="4" t="inlineStr">
        <is>
          <t>C25</t>
        </is>
      </c>
      <c r="D5278" s="4" t="inlineStr">
        <is>
          <t>Read this file first. Preserve entered actuals and changes; do not rerun the initial builder over user edits.</t>
        </is>
      </c>
      <c r="E5278" s="4" t="inlineStr">
        <is>
          <t>Read this file first. Preserve entered actuals and changes; do not rerun the initial builder over user edits.</t>
        </is>
      </c>
      <c r="F5278" s="4" t="inlineStr">
        <is>
          <t>Goods-financial-plan.xlsx before consolidation</t>
        </is>
      </c>
    </row>
    <row r="5279" ht="40" customHeight="1">
      <c r="A5279" s="4" t="inlineStr">
        <is>
          <t>history:Sources!D25</t>
        </is>
      </c>
      <c r="B5279" s="4" t="inlineStr">
        <is>
          <t>Sources</t>
        </is>
      </c>
      <c r="C5279" s="4" t="inlineStr">
        <is>
          <t>D25</t>
        </is>
      </c>
      <c r="D5279" s="4" t="inlineStr">
        <is>
          <t>Use one master plus dated backups when needed.</t>
        </is>
      </c>
      <c r="E5279" s="4" t="inlineStr">
        <is>
          <t>Use one master plus dated backups when needed.</t>
        </is>
      </c>
      <c r="F5279" s="4" t="inlineStr">
        <is>
          <t>Goods-financial-plan.xlsx before consolidation</t>
        </is>
      </c>
    </row>
    <row r="5280" ht="40" customHeight="1">
      <c r="A5280" s="4" t="inlineStr">
        <is>
          <t>history:Sources!E25</t>
        </is>
      </c>
      <c r="B5280" s="4" t="inlineStr">
        <is>
          <t>Sources</t>
        </is>
      </c>
      <c r="C5280" s="4" t="inlineStr">
        <is>
          <t>E25</t>
        </is>
      </c>
      <c r="D5280" s="4" t="inlineStr">
        <is>
          <t>Maintained financial plan</t>
        </is>
      </c>
      <c r="E5280" s="4" t="inlineStr">
        <is>
          <t>Maintained financial plan</t>
        </is>
      </c>
      <c r="F5280" s="4" t="inlineStr">
        <is>
          <t>Goods-financial-plan.xlsx before consolidation</t>
        </is>
      </c>
    </row>
    <row r="5281" ht="28" customHeight="1">
      <c r="A5281" s="4" t="n"/>
      <c r="B5281" s="4" t="n"/>
      <c r="C5281" s="4" t="n"/>
      <c r="D5281" s="4" t="n"/>
      <c r="E5281" s="4" t="n"/>
      <c r="F5281" s="4" t="n"/>
    </row>
    <row r="5282" ht="28" customHeight="1">
      <c r="A5282" s="4" t="n"/>
      <c r="B5282" s="4" t="n"/>
      <c r="C5282" s="4" t="n"/>
      <c r="D5282" s="4" t="n"/>
      <c r="E5282" s="4" t="n"/>
      <c r="F5282" s="4" t="n"/>
    </row>
    <row r="5283" ht="28" customHeight="1">
      <c r="A5283" s="4" t="n"/>
      <c r="B5283" s="4" t="n"/>
      <c r="C5283" s="4" t="n"/>
      <c r="D5283" s="4" t="n"/>
      <c r="E5283" s="4" t="n"/>
      <c r="F5283" s="4" t="n"/>
    </row>
    <row r="5284" ht="28" customHeight="1">
      <c r="A5284" s="4" t="n"/>
      <c r="B5284" s="4" t="n"/>
      <c r="C5284" s="4" t="n"/>
      <c r="D5284" s="4" t="n"/>
      <c r="E5284" s="4" t="n"/>
      <c r="F5284" s="4" t="n"/>
    </row>
    <row r="5285" ht="28" customHeight="1">
      <c r="A5285" s="4" t="n"/>
      <c r="B5285" s="4" t="n"/>
      <c r="C5285" s="4" t="n"/>
      <c r="D5285" s="4" t="n"/>
      <c r="E5285" s="4" t="n"/>
      <c r="F5285" s="4" t="n"/>
    </row>
    <row r="5286" ht="28" customHeight="1">
      <c r="A5286" s="4" t="n"/>
      <c r="B5286" s="4" t="n"/>
      <c r="C5286" s="4" t="n"/>
      <c r="D5286" s="4" t="n"/>
      <c r="E5286" s="4" t="n"/>
      <c r="F5286" s="4" t="n"/>
    </row>
    <row r="5287" ht="28" customHeight="1">
      <c r="A5287" s="4" t="n"/>
      <c r="B5287" s="4" t="n"/>
      <c r="C5287" s="4" t="n"/>
      <c r="D5287" s="4" t="n"/>
      <c r="E5287" s="4" t="n"/>
      <c r="F5287" s="4" t="n"/>
    </row>
    <row r="5288" ht="28" customHeight="1">
      <c r="A5288" s="4" t="n"/>
      <c r="B5288" s="4" t="n"/>
      <c r="C5288" s="4" t="n"/>
      <c r="D5288" s="4" t="n"/>
      <c r="E5288" s="4" t="n"/>
      <c r="F5288" s="4" t="n"/>
    </row>
    <row r="5289" ht="28" customHeight="1">
      <c r="A5289" s="4" t="n"/>
      <c r="B5289" s="4" t="n"/>
      <c r="C5289" s="4" t="n"/>
      <c r="D5289" s="4" t="n"/>
      <c r="E5289" s="4" t="n"/>
      <c r="F5289" s="4" t="n"/>
    </row>
    <row r="5290" ht="28" customHeight="1">
      <c r="A5290" s="4" t="n"/>
      <c r="B5290" s="4" t="n"/>
      <c r="C5290" s="4" t="n"/>
      <c r="D5290" s="4" t="n"/>
      <c r="E5290" s="4" t="n"/>
      <c r="F5290" s="4" t="n"/>
    </row>
    <row r="5291" ht="28" customHeight="1">
      <c r="A5291" s="4" t="n"/>
      <c r="B5291" s="4" t="n"/>
      <c r="C5291" s="4" t="n"/>
      <c r="D5291" s="4" t="n"/>
      <c r="E5291" s="4" t="n"/>
      <c r="F5291" s="4" t="n"/>
    </row>
    <row r="5292" ht="28" customHeight="1">
      <c r="A5292" s="4" t="n"/>
      <c r="B5292" s="4" t="n"/>
      <c r="C5292" s="4" t="n"/>
      <c r="D5292" s="4" t="n"/>
      <c r="E5292" s="4" t="n"/>
      <c r="F5292" s="4" t="n"/>
    </row>
    <row r="5293" ht="28" customHeight="1">
      <c r="A5293" s="4" t="n"/>
      <c r="B5293" s="4" t="n"/>
      <c r="C5293" s="4" t="n"/>
      <c r="D5293" s="4" t="n"/>
      <c r="E5293" s="4" t="n"/>
      <c r="F5293" s="4" t="n"/>
    </row>
    <row r="5294" ht="28" customHeight="1">
      <c r="A5294" s="4" t="n"/>
      <c r="B5294" s="4" t="n"/>
      <c r="C5294" s="4" t="n"/>
      <c r="D5294" s="4" t="n"/>
      <c r="E5294" s="4" t="n"/>
      <c r="F5294" s="4" t="n"/>
    </row>
    <row r="5295" ht="28" customHeight="1">
      <c r="A5295" s="4" t="n"/>
      <c r="B5295" s="4" t="n"/>
      <c r="C5295" s="4" t="n"/>
      <c r="D5295" s="4" t="n"/>
      <c r="E5295" s="4" t="n"/>
      <c r="F5295" s="4" t="n"/>
    </row>
    <row r="5296" ht="28" customHeight="1">
      <c r="A5296" s="4" t="n"/>
      <c r="B5296" s="4" t="n"/>
      <c r="C5296" s="4" t="n"/>
      <c r="D5296" s="4" t="n"/>
      <c r="E5296" s="4" t="n"/>
      <c r="F5296" s="4" t="n"/>
    </row>
    <row r="5297" ht="28" customHeight="1">
      <c r="A5297" s="4" t="n"/>
      <c r="B5297" s="4" t="n"/>
      <c r="C5297" s="4" t="n"/>
      <c r="D5297" s="4" t="n"/>
      <c r="E5297" s="4" t="n"/>
      <c r="F5297" s="4" t="n"/>
    </row>
    <row r="5298" ht="28" customHeight="1">
      <c r="A5298" s="4" t="n"/>
      <c r="B5298" s="4" t="n"/>
      <c r="C5298" s="4" t="n"/>
      <c r="D5298" s="4" t="n"/>
      <c r="E5298" s="4" t="n"/>
      <c r="F5298" s="4" t="n"/>
    </row>
    <row r="5299" ht="28" customHeight="1">
      <c r="A5299" s="4" t="n"/>
      <c r="B5299" s="4" t="n"/>
      <c r="C5299" s="4" t="n"/>
      <c r="D5299" s="4" t="n"/>
      <c r="E5299" s="4" t="n"/>
      <c r="F5299" s="4" t="n"/>
    </row>
    <row r="5300" ht="28" customHeight="1">
      <c r="A5300" s="4" t="n"/>
      <c r="B5300" s="4" t="n"/>
      <c r="C5300" s="4" t="n"/>
      <c r="D5300" s="4" t="n"/>
      <c r="E5300" s="4" t="n"/>
      <c r="F5300" s="4" t="n"/>
    </row>
    <row r="5301" ht="28" customHeight="1">
      <c r="A5301" s="4" t="n"/>
      <c r="B5301" s="4" t="n"/>
      <c r="C5301" s="4" t="n"/>
      <c r="D5301" s="4" t="n"/>
      <c r="E5301" s="4" t="n"/>
      <c r="F5301" s="4" t="n"/>
    </row>
    <row r="5302" ht="28" customHeight="1">
      <c r="A5302" s="4" t="n"/>
      <c r="B5302" s="4" t="n"/>
      <c r="C5302" s="4" t="n"/>
      <c r="D5302" s="4" t="n"/>
      <c r="E5302" s="4" t="n"/>
      <c r="F5302" s="4" t="n"/>
    </row>
    <row r="5303" ht="28" customHeight="1">
      <c r="A5303" s="4" t="n"/>
      <c r="B5303" s="4" t="n"/>
      <c r="C5303" s="4" t="n"/>
      <c r="D5303" s="4" t="n"/>
      <c r="E5303" s="4" t="n"/>
      <c r="F5303" s="4" t="n"/>
    </row>
    <row r="5304" ht="28" customHeight="1">
      <c r="A5304" s="4" t="n"/>
      <c r="B5304" s="4" t="n"/>
      <c r="C5304" s="4" t="n"/>
      <c r="D5304" s="4" t="n"/>
      <c r="E5304" s="4" t="n"/>
      <c r="F5304" s="4" t="n"/>
    </row>
    <row r="5305" ht="28" customHeight="1">
      <c r="A5305" s="4" t="n"/>
      <c r="B5305" s="4" t="n"/>
      <c r="C5305" s="4" t="n"/>
      <c r="D5305" s="4" t="n"/>
      <c r="E5305" s="4" t="n"/>
      <c r="F5305" s="4" t="n"/>
    </row>
    <row r="5306" ht="28" customHeight="1">
      <c r="A5306" s="4" t="n"/>
      <c r="B5306" s="4" t="n"/>
      <c r="C5306" s="4" t="n"/>
      <c r="D5306" s="4" t="n"/>
      <c r="E5306" s="4" t="n"/>
      <c r="F5306" s="4" t="n"/>
    </row>
    <row r="5307" ht="28" customHeight="1">
      <c r="A5307" s="4" t="n"/>
      <c r="B5307" s="4" t="n"/>
      <c r="C5307" s="4" t="n"/>
      <c r="D5307" s="4" t="n"/>
      <c r="E5307" s="4" t="n"/>
      <c r="F5307" s="4" t="n"/>
    </row>
    <row r="5308" ht="28" customHeight="1">
      <c r="A5308" s="4" t="n"/>
      <c r="B5308" s="4" t="n"/>
      <c r="C5308" s="4" t="n"/>
      <c r="D5308" s="4" t="n"/>
      <c r="E5308" s="4" t="n"/>
      <c r="F5308" s="4" t="n"/>
    </row>
    <row r="5309" ht="28" customHeight="1">
      <c r="A5309" s="4" t="n"/>
      <c r="B5309" s="4" t="n"/>
      <c r="C5309" s="4" t="n"/>
      <c r="D5309" s="4" t="n"/>
      <c r="E5309" s="4" t="n"/>
      <c r="F5309" s="4" t="n"/>
    </row>
    <row r="5310" ht="28" customHeight="1">
      <c r="A5310" s="4" t="n"/>
      <c r="B5310" s="4" t="n"/>
      <c r="C5310" s="4" t="n"/>
      <c r="D5310" s="4" t="n"/>
      <c r="E5310" s="4" t="n"/>
      <c r="F5310" s="4" t="n"/>
    </row>
    <row r="5311" ht="28" customHeight="1">
      <c r="A5311" s="4" t="n"/>
      <c r="B5311" s="4" t="n"/>
      <c r="C5311" s="4" t="n"/>
      <c r="D5311" s="4" t="n"/>
      <c r="E5311" s="4" t="n"/>
      <c r="F5311" s="4" t="n"/>
    </row>
    <row r="5312" ht="28" customHeight="1">
      <c r="A5312" s="4" t="n"/>
      <c r="B5312" s="4" t="n"/>
      <c r="C5312" s="4" t="n"/>
      <c r="D5312" s="4" t="n"/>
      <c r="E5312" s="4" t="n"/>
      <c r="F5312" s="4" t="n"/>
    </row>
    <row r="5313" ht="28" customHeight="1">
      <c r="A5313" s="4" t="n"/>
      <c r="B5313" s="4" t="n"/>
      <c r="C5313" s="4" t="n"/>
      <c r="D5313" s="4" t="n"/>
      <c r="E5313" s="4" t="n"/>
      <c r="F5313" s="4" t="n"/>
    </row>
    <row r="5314" ht="28" customHeight="1">
      <c r="A5314" s="4" t="n"/>
      <c r="B5314" s="4" t="n"/>
      <c r="C5314" s="4" t="n"/>
      <c r="D5314" s="4" t="n"/>
      <c r="E5314" s="4" t="n"/>
      <c r="F5314" s="4" t="n"/>
    </row>
    <row r="5315" ht="28" customHeight="1">
      <c r="A5315" s="4" t="n"/>
      <c r="B5315" s="4" t="n"/>
      <c r="C5315" s="4" t="n"/>
      <c r="D5315" s="4" t="n"/>
      <c r="E5315" s="4" t="n"/>
      <c r="F5315" s="4" t="n"/>
    </row>
    <row r="5316" ht="28" customHeight="1">
      <c r="A5316" s="4" t="n"/>
      <c r="B5316" s="4" t="n"/>
      <c r="C5316" s="4" t="n"/>
      <c r="D5316" s="4" t="n"/>
      <c r="E5316" s="4" t="n"/>
      <c r="F5316" s="4" t="n"/>
    </row>
    <row r="5317" ht="28" customHeight="1">
      <c r="A5317" s="4" t="n"/>
      <c r="B5317" s="4" t="n"/>
      <c r="C5317" s="4" t="n"/>
      <c r="D5317" s="4" t="n"/>
      <c r="E5317" s="4" t="n"/>
      <c r="F5317" s="4" t="n"/>
    </row>
    <row r="5318" ht="28" customHeight="1">
      <c r="A5318" s="4" t="n"/>
      <c r="B5318" s="4" t="n"/>
      <c r="C5318" s="4" t="n"/>
      <c r="D5318" s="4" t="n"/>
      <c r="E5318" s="4" t="n"/>
      <c r="F5318" s="4" t="n"/>
    </row>
    <row r="5319" ht="28" customHeight="1">
      <c r="A5319" s="4" t="n"/>
      <c r="B5319" s="4" t="n"/>
      <c r="C5319" s="4" t="n"/>
      <c r="D5319" s="4" t="n"/>
      <c r="E5319" s="4" t="n"/>
      <c r="F5319" s="4" t="n"/>
    </row>
    <row r="5320" ht="28" customHeight="1">
      <c r="A5320" s="4" t="n"/>
      <c r="B5320" s="4" t="n"/>
      <c r="C5320" s="4" t="n"/>
      <c r="D5320" s="4" t="n"/>
      <c r="E5320" s="4" t="n"/>
      <c r="F5320" s="4" t="n"/>
    </row>
    <row r="5321" ht="28" customHeight="1">
      <c r="A5321" s="4" t="n"/>
      <c r="B5321" s="4" t="n"/>
      <c r="C5321" s="4" t="n"/>
      <c r="D5321" s="4" t="n"/>
      <c r="E5321" s="4" t="n"/>
      <c r="F5321" s="4" t="n"/>
    </row>
    <row r="5322" ht="28" customHeight="1">
      <c r="A5322" s="4" t="n"/>
      <c r="B5322" s="4" t="n"/>
      <c r="C5322" s="4" t="n"/>
      <c r="D5322" s="4" t="n"/>
      <c r="E5322" s="4" t="n"/>
      <c r="F5322" s="4" t="n"/>
    </row>
    <row r="5323" ht="28" customHeight="1">
      <c r="A5323" s="4" t="n"/>
      <c r="B5323" s="4" t="n"/>
      <c r="C5323" s="4" t="n"/>
      <c r="D5323" s="4" t="n"/>
      <c r="E5323" s="4" t="n"/>
      <c r="F5323" s="4" t="n"/>
    </row>
    <row r="5324" ht="28" customHeight="1">
      <c r="A5324" s="4" t="n"/>
      <c r="B5324" s="4" t="n"/>
      <c r="C5324" s="4" t="n"/>
      <c r="D5324" s="4" t="n"/>
      <c r="E5324" s="4" t="n"/>
      <c r="F5324" s="4" t="n"/>
    </row>
    <row r="5325" ht="28" customHeight="1">
      <c r="A5325" s="4" t="n"/>
      <c r="B5325" s="4" t="n"/>
      <c r="C5325" s="4" t="n"/>
      <c r="D5325" s="4" t="n"/>
      <c r="E5325" s="4" t="n"/>
      <c r="F5325" s="4" t="n"/>
    </row>
    <row r="5326" ht="28" customHeight="1">
      <c r="A5326" s="4" t="n"/>
      <c r="B5326" s="4" t="n"/>
      <c r="C5326" s="4" t="n"/>
      <c r="D5326" s="4" t="n"/>
      <c r="E5326" s="4" t="n"/>
      <c r="F5326" s="4" t="n"/>
    </row>
    <row r="5327" ht="28" customHeight="1">
      <c r="A5327" s="4" t="n"/>
      <c r="B5327" s="4" t="n"/>
      <c r="C5327" s="4" t="n"/>
      <c r="D5327" s="4" t="n"/>
      <c r="E5327" s="4" t="n"/>
      <c r="F5327" s="4" t="n"/>
    </row>
    <row r="5328" ht="28" customHeight="1">
      <c r="A5328" s="4" t="n"/>
      <c r="B5328" s="4" t="n"/>
      <c r="C5328" s="4" t="n"/>
      <c r="D5328" s="4" t="n"/>
      <c r="E5328" s="4" t="n"/>
      <c r="F5328" s="4" t="n"/>
    </row>
    <row r="5329" ht="28" customHeight="1">
      <c r="A5329" s="4" t="n"/>
      <c r="B5329" s="4" t="n"/>
      <c r="C5329" s="4" t="n"/>
      <c r="D5329" s="4" t="n"/>
      <c r="E5329" s="4" t="n"/>
      <c r="F5329" s="4" t="n"/>
    </row>
    <row r="5330" ht="28" customHeight="1">
      <c r="A5330" s="4" t="n"/>
      <c r="B5330" s="4" t="n"/>
      <c r="C5330" s="4" t="n"/>
      <c r="D5330" s="4" t="n"/>
      <c r="E5330" s="4" t="n"/>
      <c r="F5330" s="4" t="n"/>
    </row>
    <row r="5331" ht="28" customHeight="1">
      <c r="A5331" s="4" t="n"/>
      <c r="B5331" s="4" t="n"/>
      <c r="C5331" s="4" t="n"/>
      <c r="D5331" s="4" t="n"/>
      <c r="E5331" s="4" t="n"/>
      <c r="F5331" s="4" t="n"/>
    </row>
    <row r="5332" ht="28" customHeight="1">
      <c r="A5332" s="4" t="n"/>
      <c r="B5332" s="4" t="n"/>
      <c r="C5332" s="4" t="n"/>
      <c r="D5332" s="4" t="n"/>
      <c r="E5332" s="4" t="n"/>
      <c r="F5332" s="4" t="n"/>
    </row>
    <row r="5333" ht="28" customHeight="1">
      <c r="A5333" s="4" t="n"/>
      <c r="B5333" s="4" t="n"/>
      <c r="C5333" s="4" t="n"/>
      <c r="D5333" s="4" t="n"/>
      <c r="E5333" s="4" t="n"/>
      <c r="F5333" s="4" t="n"/>
    </row>
    <row r="5334" ht="28" customHeight="1">
      <c r="A5334" s="4" t="n"/>
      <c r="B5334" s="4" t="n"/>
      <c r="C5334" s="4" t="n"/>
      <c r="D5334" s="4" t="n"/>
      <c r="E5334" s="4" t="n"/>
      <c r="F5334" s="4" t="n"/>
    </row>
    <row r="5335" ht="28" customHeight="1">
      <c r="A5335" s="4" t="n"/>
      <c r="B5335" s="4" t="n"/>
      <c r="C5335" s="4" t="n"/>
      <c r="D5335" s="4" t="n"/>
      <c r="E5335" s="4" t="n"/>
      <c r="F5335" s="4" t="n"/>
    </row>
    <row r="5336" ht="28" customHeight="1">
      <c r="A5336" s="4" t="n"/>
      <c r="B5336" s="4" t="n"/>
      <c r="C5336" s="4" t="n"/>
      <c r="D5336" s="4" t="n"/>
      <c r="E5336" s="4" t="n"/>
      <c r="F5336" s="4" t="n"/>
    </row>
    <row r="5337" ht="28" customHeight="1">
      <c r="A5337" s="4" t="n"/>
      <c r="B5337" s="4" t="n"/>
      <c r="C5337" s="4" t="n"/>
      <c r="D5337" s="4" t="n"/>
      <c r="E5337" s="4" t="n"/>
      <c r="F5337" s="4" t="n"/>
    </row>
    <row r="5338" ht="28" customHeight="1">
      <c r="A5338" s="4" t="n"/>
      <c r="B5338" s="4" t="n"/>
      <c r="C5338" s="4" t="n"/>
      <c r="D5338" s="4" t="n"/>
      <c r="E5338" s="4" t="n"/>
      <c r="F5338" s="4" t="n"/>
    </row>
    <row r="5339" ht="28" customHeight="1">
      <c r="A5339" s="4" t="n"/>
      <c r="B5339" s="4" t="n"/>
      <c r="C5339" s="4" t="n"/>
      <c r="D5339" s="4" t="n"/>
      <c r="E5339" s="4" t="n"/>
      <c r="F5339" s="4" t="n"/>
    </row>
    <row r="5340" ht="28" customHeight="1">
      <c r="A5340" s="4" t="n"/>
      <c r="B5340" s="4" t="n"/>
      <c r="C5340" s="4" t="n"/>
      <c r="D5340" s="4" t="n"/>
      <c r="E5340" s="4" t="n"/>
      <c r="F5340" s="4" t="n"/>
    </row>
    <row r="5341" ht="28" customHeight="1">
      <c r="A5341" s="4" t="n"/>
      <c r="B5341" s="4" t="n"/>
      <c r="C5341" s="4" t="n"/>
      <c r="D5341" s="4" t="n"/>
      <c r="E5341" s="4" t="n"/>
      <c r="F5341" s="4" t="n"/>
    </row>
    <row r="5342" ht="28" customHeight="1">
      <c r="A5342" s="4" t="n"/>
      <c r="B5342" s="4" t="n"/>
      <c r="C5342" s="4" t="n"/>
      <c r="D5342" s="4" t="n"/>
      <c r="E5342" s="4" t="n"/>
      <c r="F5342" s="4" t="n"/>
    </row>
    <row r="5343" ht="28" customHeight="1">
      <c r="A5343" s="4" t="n"/>
      <c r="B5343" s="4" t="n"/>
      <c r="C5343" s="4" t="n"/>
      <c r="D5343" s="4" t="n"/>
      <c r="E5343" s="4" t="n"/>
      <c r="F5343" s="4" t="n"/>
    </row>
    <row r="5344" ht="28" customHeight="1">
      <c r="A5344" s="4" t="n"/>
      <c r="B5344" s="4" t="n"/>
      <c r="C5344" s="4" t="n"/>
      <c r="D5344" s="4" t="n"/>
      <c r="E5344" s="4" t="n"/>
      <c r="F5344" s="4" t="n"/>
    </row>
    <row r="5345" ht="28" customHeight="1">
      <c r="A5345" s="4" t="n"/>
      <c r="B5345" s="4" t="n"/>
      <c r="C5345" s="4" t="n"/>
      <c r="D5345" s="4" t="n"/>
      <c r="E5345" s="4" t="n"/>
      <c r="F5345" s="4" t="n"/>
    </row>
    <row r="5346" ht="28" customHeight="1">
      <c r="A5346" s="4" t="n"/>
      <c r="B5346" s="4" t="n"/>
      <c r="C5346" s="4" t="n"/>
      <c r="D5346" s="4" t="n"/>
      <c r="E5346" s="4" t="n"/>
      <c r="F5346" s="4" t="n"/>
    </row>
    <row r="5347" ht="28" customHeight="1">
      <c r="A5347" s="4" t="n"/>
      <c r="B5347" s="4" t="n"/>
      <c r="C5347" s="4" t="n"/>
      <c r="D5347" s="4" t="n"/>
      <c r="E5347" s="4" t="n"/>
      <c r="F5347" s="4" t="n"/>
    </row>
    <row r="5348" ht="28" customHeight="1">
      <c r="A5348" s="4" t="n"/>
      <c r="B5348" s="4" t="n"/>
      <c r="C5348" s="4" t="n"/>
      <c r="D5348" s="4" t="n"/>
      <c r="E5348" s="4" t="n"/>
      <c r="F5348" s="4" t="n"/>
    </row>
    <row r="5349" ht="28" customHeight="1">
      <c r="A5349" s="4" t="n"/>
      <c r="B5349" s="4" t="n"/>
      <c r="C5349" s="4" t="n"/>
      <c r="D5349" s="4" t="n"/>
      <c r="E5349" s="4" t="n"/>
      <c r="F5349" s="4" t="n"/>
    </row>
    <row r="5350" ht="28" customHeight="1">
      <c r="A5350" s="4" t="n"/>
      <c r="B5350" s="4" t="n"/>
      <c r="C5350" s="4" t="n"/>
      <c r="D5350" s="4" t="n"/>
      <c r="E5350" s="4" t="n"/>
      <c r="F5350" s="4" t="n"/>
    </row>
    <row r="5351" ht="28" customHeight="1">
      <c r="A5351" s="4" t="n"/>
      <c r="B5351" s="4" t="n"/>
      <c r="C5351" s="4" t="n"/>
      <c r="D5351" s="4" t="n"/>
      <c r="E5351" s="4" t="n"/>
      <c r="F5351" s="4" t="n"/>
    </row>
    <row r="5352" ht="28" customHeight="1">
      <c r="A5352" s="4" t="n"/>
      <c r="B5352" s="4" t="n"/>
      <c r="C5352" s="4" t="n"/>
      <c r="D5352" s="4" t="n"/>
      <c r="E5352" s="4" t="n"/>
      <c r="F5352" s="4" t="n"/>
    </row>
    <row r="5353" ht="28" customHeight="1">
      <c r="A5353" s="4" t="n"/>
      <c r="B5353" s="4" t="n"/>
      <c r="C5353" s="4" t="n"/>
      <c r="D5353" s="4" t="n"/>
      <c r="E5353" s="4" t="n"/>
      <c r="F5353" s="4" t="n"/>
    </row>
    <row r="5354" ht="28" customHeight="1">
      <c r="A5354" s="4" t="n"/>
      <c r="B5354" s="4" t="n"/>
      <c r="C5354" s="4" t="n"/>
      <c r="D5354" s="4" t="n"/>
      <c r="E5354" s="4" t="n"/>
      <c r="F5354" s="4" t="n"/>
    </row>
    <row r="5355" ht="28" customHeight="1">
      <c r="A5355" s="4" t="n"/>
      <c r="B5355" s="4" t="n"/>
      <c r="C5355" s="4" t="n"/>
      <c r="D5355" s="4" t="n"/>
      <c r="E5355" s="4" t="n"/>
      <c r="F5355" s="4" t="n"/>
    </row>
    <row r="5356" ht="28" customHeight="1">
      <c r="A5356" s="4" t="n"/>
      <c r="B5356" s="4" t="n"/>
      <c r="C5356" s="4" t="n"/>
      <c r="D5356" s="4" t="n"/>
      <c r="E5356" s="4" t="n"/>
      <c r="F5356" s="4" t="n"/>
    </row>
    <row r="5357" ht="28" customHeight="1">
      <c r="A5357" s="4" t="n"/>
      <c r="B5357" s="4" t="n"/>
      <c r="C5357" s="4" t="n"/>
      <c r="D5357" s="4" t="n"/>
      <c r="E5357" s="4" t="n"/>
      <c r="F5357" s="4" t="n"/>
    </row>
    <row r="5358" ht="28" customHeight="1">
      <c r="A5358" s="4" t="n"/>
      <c r="B5358" s="4" t="n"/>
      <c r="C5358" s="4" t="n"/>
      <c r="D5358" s="4" t="n"/>
      <c r="E5358" s="4" t="n"/>
      <c r="F5358" s="4" t="n"/>
    </row>
    <row r="5359" ht="28" customHeight="1">
      <c r="A5359" s="4" t="n"/>
      <c r="B5359" s="4" t="n"/>
      <c r="C5359" s="4" t="n"/>
      <c r="D5359" s="4" t="n"/>
      <c r="E5359" s="4" t="n"/>
      <c r="F5359" s="4" t="n"/>
    </row>
    <row r="5360" ht="28" customHeight="1">
      <c r="A5360" s="4" t="n"/>
      <c r="B5360" s="4" t="n"/>
      <c r="C5360" s="4" t="n"/>
      <c r="D5360" s="4" t="n"/>
      <c r="E5360" s="4" t="n"/>
      <c r="F5360" s="4" t="n"/>
    </row>
    <row r="5361" ht="28" customHeight="1">
      <c r="A5361" s="4" t="n"/>
      <c r="B5361" s="4" t="n"/>
      <c r="C5361" s="4" t="n"/>
      <c r="D5361" s="4" t="n"/>
      <c r="E5361" s="4" t="n"/>
      <c r="F5361" s="4" t="n"/>
    </row>
    <row r="5362" ht="28" customHeight="1">
      <c r="A5362" s="4" t="n"/>
      <c r="B5362" s="4" t="n"/>
      <c r="C5362" s="4" t="n"/>
      <c r="D5362" s="4" t="n"/>
      <c r="E5362" s="4" t="n"/>
      <c r="F5362" s="4" t="n"/>
    </row>
    <row r="5363" ht="28" customHeight="1">
      <c r="A5363" s="4" t="n"/>
      <c r="B5363" s="4" t="n"/>
      <c r="C5363" s="4" t="n"/>
      <c r="D5363" s="4" t="n"/>
      <c r="E5363" s="4" t="n"/>
      <c r="F5363" s="4" t="n"/>
    </row>
    <row r="5364" ht="28" customHeight="1">
      <c r="A5364" s="4" t="n"/>
      <c r="B5364" s="4" t="n"/>
      <c r="C5364" s="4" t="n"/>
      <c r="D5364" s="4" t="n"/>
      <c r="E5364" s="4" t="n"/>
      <c r="F5364" s="4" t="n"/>
    </row>
    <row r="5365" ht="28" customHeight="1">
      <c r="A5365" s="4" t="n"/>
      <c r="B5365" s="4" t="n"/>
      <c r="C5365" s="4" t="n"/>
      <c r="D5365" s="4" t="n"/>
      <c r="E5365" s="4" t="n"/>
      <c r="F5365" s="4" t="n"/>
    </row>
    <row r="5366" ht="28" customHeight="1">
      <c r="A5366" s="4" t="n"/>
      <c r="B5366" s="4" t="n"/>
      <c r="C5366" s="4" t="n"/>
      <c r="D5366" s="4" t="n"/>
      <c r="E5366" s="4" t="n"/>
      <c r="F5366" s="4" t="n"/>
    </row>
    <row r="5367" ht="28" customHeight="1">
      <c r="A5367" s="4" t="n"/>
      <c r="B5367" s="4" t="n"/>
      <c r="C5367" s="4" t="n"/>
      <c r="D5367" s="4" t="n"/>
      <c r="E5367" s="4" t="n"/>
      <c r="F5367" s="4" t="n"/>
    </row>
    <row r="5368" ht="28" customHeight="1">
      <c r="A5368" s="4" t="n"/>
      <c r="B5368" s="4" t="n"/>
      <c r="C5368" s="4" t="n"/>
      <c r="D5368" s="4" t="n"/>
      <c r="E5368" s="4" t="n"/>
      <c r="F5368" s="4" t="n"/>
    </row>
    <row r="5369" ht="28" customHeight="1">
      <c r="A5369" s="4" t="n"/>
      <c r="B5369" s="4" t="n"/>
      <c r="C5369" s="4" t="n"/>
      <c r="D5369" s="4" t="n"/>
      <c r="E5369" s="4" t="n"/>
      <c r="F5369" s="4" t="n"/>
    </row>
    <row r="5370" ht="28" customHeight="1">
      <c r="A5370" s="4" t="n"/>
      <c r="B5370" s="4" t="n"/>
      <c r="C5370" s="4" t="n"/>
      <c r="D5370" s="4" t="n"/>
      <c r="E5370" s="4" t="n"/>
      <c r="F5370" s="4" t="n"/>
    </row>
    <row r="5371" ht="28" customHeight="1">
      <c r="A5371" s="4" t="n"/>
      <c r="B5371" s="4" t="n"/>
      <c r="C5371" s="4" t="n"/>
      <c r="D5371" s="4" t="n"/>
      <c r="E5371" s="4" t="n"/>
      <c r="F5371" s="4" t="n"/>
    </row>
    <row r="5372" ht="28" customHeight="1">
      <c r="A5372" s="4" t="n"/>
      <c r="B5372" s="4" t="n"/>
      <c r="C5372" s="4" t="n"/>
      <c r="D5372" s="4" t="n"/>
      <c r="E5372" s="4" t="n"/>
      <c r="F5372" s="4" t="n"/>
    </row>
    <row r="5373" ht="28" customHeight="1">
      <c r="A5373" s="4" t="n"/>
      <c r="B5373" s="4" t="n"/>
      <c r="C5373" s="4" t="n"/>
      <c r="D5373" s="4" t="n"/>
      <c r="E5373" s="4" t="n"/>
      <c r="F5373" s="4" t="n"/>
    </row>
    <row r="5374" ht="28" customHeight="1">
      <c r="A5374" s="4" t="n"/>
      <c r="B5374" s="4" t="n"/>
      <c r="C5374" s="4" t="n"/>
      <c r="D5374" s="4" t="n"/>
      <c r="E5374" s="4" t="n"/>
      <c r="F5374" s="4" t="n"/>
    </row>
    <row r="5375" ht="28" customHeight="1">
      <c r="A5375" s="4" t="n"/>
      <c r="B5375" s="4" t="n"/>
      <c r="C5375" s="4" t="n"/>
      <c r="D5375" s="4" t="n"/>
      <c r="E5375" s="4" t="n"/>
      <c r="F5375" s="4" t="n"/>
    </row>
    <row r="5376" ht="28" customHeight="1">
      <c r="A5376" s="4" t="n"/>
      <c r="B5376" s="4" t="n"/>
      <c r="C5376" s="4" t="n"/>
      <c r="D5376" s="4" t="n"/>
      <c r="E5376" s="4" t="n"/>
      <c r="F5376" s="4" t="n"/>
    </row>
    <row r="5377" ht="28" customHeight="1">
      <c r="A5377" s="4" t="n"/>
      <c r="B5377" s="4" t="n"/>
      <c r="C5377" s="4" t="n"/>
      <c r="D5377" s="4" t="n"/>
      <c r="E5377" s="4" t="n"/>
      <c r="F5377" s="4" t="n"/>
    </row>
    <row r="5378" ht="28" customHeight="1">
      <c r="A5378" s="4" t="n"/>
      <c r="B5378" s="4" t="n"/>
      <c r="C5378" s="4" t="n"/>
      <c r="D5378" s="4" t="n"/>
      <c r="E5378" s="4" t="n"/>
      <c r="F5378" s="4" t="n"/>
    </row>
    <row r="5379" ht="28" customHeight="1">
      <c r="A5379" s="4" t="n"/>
      <c r="B5379" s="4" t="n"/>
      <c r="C5379" s="4" t="n"/>
      <c r="D5379" s="4" t="n"/>
      <c r="E5379" s="4" t="n"/>
      <c r="F5379" s="4" t="n"/>
    </row>
    <row r="5380" ht="28" customHeight="1">
      <c r="A5380" s="4" t="n"/>
      <c r="B5380" s="4" t="n"/>
      <c r="C5380" s="4" t="n"/>
      <c r="D5380" s="4" t="n"/>
      <c r="E5380" s="4" t="n"/>
      <c r="F5380" s="4" t="n"/>
    </row>
    <row r="5381" ht="28" customHeight="1">
      <c r="A5381" s="4" t="n"/>
      <c r="B5381" s="4" t="n"/>
      <c r="C5381" s="4" t="n"/>
      <c r="D5381" s="4" t="n"/>
      <c r="E5381" s="4" t="n"/>
      <c r="F5381" s="4" t="n"/>
    </row>
    <row r="5382" ht="28" customHeight="1">
      <c r="A5382" s="4" t="n"/>
      <c r="B5382" s="4" t="n"/>
      <c r="C5382" s="4" t="n"/>
      <c r="D5382" s="4" t="n"/>
      <c r="E5382" s="4" t="n"/>
      <c r="F5382" s="4" t="n"/>
    </row>
    <row r="5383" ht="28" customHeight="1">
      <c r="A5383" s="4" t="n"/>
      <c r="B5383" s="4" t="n"/>
      <c r="C5383" s="4" t="n"/>
      <c r="D5383" s="4" t="n"/>
      <c r="E5383" s="4" t="n"/>
      <c r="F5383" s="4" t="n"/>
    </row>
    <row r="5384" ht="28" customHeight="1">
      <c r="A5384" s="4" t="n"/>
      <c r="B5384" s="4" t="n"/>
      <c r="C5384" s="4" t="n"/>
      <c r="D5384" s="4" t="n"/>
      <c r="E5384" s="4" t="n"/>
      <c r="F5384" s="4" t="n"/>
    </row>
    <row r="5385" ht="28" customHeight="1">
      <c r="A5385" s="4" t="n"/>
      <c r="B5385" s="4" t="n"/>
      <c r="C5385" s="4" t="n"/>
      <c r="D5385" s="4" t="n"/>
      <c r="E5385" s="4" t="n"/>
      <c r="F5385" s="4" t="n"/>
    </row>
    <row r="5386" ht="28" customHeight="1">
      <c r="A5386" s="4" t="n"/>
      <c r="B5386" s="4" t="n"/>
      <c r="C5386" s="4" t="n"/>
      <c r="D5386" s="4" t="n"/>
      <c r="E5386" s="4" t="n"/>
      <c r="F5386" s="4" t="n"/>
    </row>
    <row r="5387" ht="28" customHeight="1">
      <c r="A5387" s="4" t="n"/>
      <c r="B5387" s="4" t="n"/>
      <c r="C5387" s="4" t="n"/>
      <c r="D5387" s="4" t="n"/>
      <c r="E5387" s="4" t="n"/>
      <c r="F5387" s="4" t="n"/>
    </row>
    <row r="5388" ht="28" customHeight="1">
      <c r="A5388" s="4" t="n"/>
      <c r="B5388" s="4" t="n"/>
      <c r="C5388" s="4" t="n"/>
      <c r="D5388" s="4" t="n"/>
      <c r="E5388" s="4" t="n"/>
      <c r="F5388" s="4" t="n"/>
    </row>
    <row r="5389" ht="28" customHeight="1">
      <c r="A5389" s="4" t="n"/>
      <c r="B5389" s="4" t="n"/>
      <c r="C5389" s="4" t="n"/>
      <c r="D5389" s="4" t="n"/>
      <c r="E5389" s="4" t="n"/>
      <c r="F5389" s="4" t="n"/>
    </row>
    <row r="5390" ht="28" customHeight="1">
      <c r="A5390" s="4" t="n"/>
      <c r="B5390" s="4" t="n"/>
      <c r="C5390" s="4" t="n"/>
      <c r="D5390" s="4" t="n"/>
      <c r="E5390" s="4" t="n"/>
      <c r="F5390" s="4" t="n"/>
    </row>
    <row r="5391" ht="28" customHeight="1">
      <c r="A5391" s="4" t="n"/>
      <c r="B5391" s="4" t="n"/>
      <c r="C5391" s="4" t="n"/>
      <c r="D5391" s="4" t="n"/>
      <c r="E5391" s="4" t="n"/>
      <c r="F5391" s="4" t="n"/>
    </row>
    <row r="5392" ht="28" customHeight="1">
      <c r="A5392" s="4" t="n"/>
      <c r="B5392" s="4" t="n"/>
      <c r="C5392" s="4" t="n"/>
      <c r="D5392" s="4" t="n"/>
      <c r="E5392" s="4" t="n"/>
      <c r="F5392" s="4" t="n"/>
    </row>
    <row r="5393" ht="28" customHeight="1">
      <c r="A5393" s="4" t="n"/>
      <c r="B5393" s="4" t="n"/>
      <c r="C5393" s="4" t="n"/>
      <c r="D5393" s="4" t="n"/>
      <c r="E5393" s="4" t="n"/>
      <c r="F5393" s="4" t="n"/>
    </row>
    <row r="5394" ht="28" customHeight="1">
      <c r="A5394" s="4" t="n"/>
      <c r="B5394" s="4" t="n"/>
      <c r="C5394" s="4" t="n"/>
      <c r="D5394" s="4" t="n"/>
      <c r="E5394" s="4" t="n"/>
      <c r="F5394" s="4" t="n"/>
    </row>
    <row r="5395" ht="28" customHeight="1">
      <c r="A5395" s="4" t="n"/>
      <c r="B5395" s="4" t="n"/>
      <c r="C5395" s="4" t="n"/>
      <c r="D5395" s="4" t="n"/>
      <c r="E5395" s="4" t="n"/>
      <c r="F5395" s="4" t="n"/>
    </row>
    <row r="5396" ht="28" customHeight="1">
      <c r="A5396" s="4" t="n"/>
      <c r="B5396" s="4" t="n"/>
      <c r="C5396" s="4" t="n"/>
      <c r="D5396" s="4" t="n"/>
      <c r="E5396" s="4" t="n"/>
      <c r="F5396" s="4" t="n"/>
    </row>
    <row r="5397" ht="28" customHeight="1">
      <c r="A5397" s="4" t="n"/>
      <c r="B5397" s="4" t="n"/>
      <c r="C5397" s="4" t="n"/>
      <c r="D5397" s="4" t="n"/>
      <c r="E5397" s="4" t="n"/>
      <c r="F5397" s="4" t="n"/>
    </row>
    <row r="5398" ht="28" customHeight="1">
      <c r="A5398" s="4" t="n"/>
      <c r="B5398" s="4" t="n"/>
      <c r="C5398" s="4" t="n"/>
      <c r="D5398" s="4" t="n"/>
      <c r="E5398" s="4" t="n"/>
      <c r="F5398" s="4" t="n"/>
    </row>
    <row r="5399" ht="28" customHeight="1">
      <c r="A5399" s="4" t="n"/>
      <c r="B5399" s="4" t="n"/>
      <c r="C5399" s="4" t="n"/>
      <c r="D5399" s="4" t="n"/>
      <c r="E5399" s="4" t="n"/>
      <c r="F5399" s="4" t="n"/>
    </row>
    <row r="5400" ht="28" customHeight="1">
      <c r="A5400" s="4" t="n"/>
      <c r="B5400" s="4" t="n"/>
      <c r="C5400" s="4" t="n"/>
      <c r="D5400" s="4" t="n"/>
      <c r="E5400" s="4" t="n"/>
      <c r="F5400" s="4" t="n"/>
    </row>
    <row r="5401" ht="28" customHeight="1">
      <c r="A5401" s="4" t="n"/>
      <c r="B5401" s="4" t="n"/>
      <c r="C5401" s="4" t="n"/>
      <c r="D5401" s="4" t="n"/>
      <c r="E5401" s="4" t="n"/>
      <c r="F5401" s="4" t="n"/>
    </row>
    <row r="5402" ht="28" customHeight="1">
      <c r="A5402" s="4" t="n"/>
      <c r="B5402" s="4" t="n"/>
      <c r="C5402" s="4" t="n"/>
      <c r="D5402" s="4" t="n"/>
      <c r="E5402" s="4" t="n"/>
      <c r="F5402" s="4" t="n"/>
    </row>
    <row r="5403" ht="28" customHeight="1">
      <c r="A5403" s="4" t="n"/>
      <c r="B5403" s="4" t="n"/>
      <c r="C5403" s="4" t="n"/>
      <c r="D5403" s="4" t="n"/>
      <c r="E5403" s="4" t="n"/>
      <c r="F5403" s="4" t="n"/>
    </row>
    <row r="5404" ht="28" customHeight="1">
      <c r="A5404" s="4" t="n"/>
      <c r="B5404" s="4" t="n"/>
      <c r="C5404" s="4" t="n"/>
      <c r="D5404" s="4" t="n"/>
      <c r="E5404" s="4" t="n"/>
      <c r="F5404" s="4" t="n"/>
    </row>
    <row r="5405" ht="28" customHeight="1">
      <c r="A5405" s="4" t="n"/>
      <c r="B5405" s="4" t="n"/>
      <c r="C5405" s="4" t="n"/>
      <c r="D5405" s="4" t="n"/>
      <c r="E5405" s="4" t="n"/>
      <c r="F5405" s="4" t="n"/>
    </row>
    <row r="5406" ht="28" customHeight="1">
      <c r="A5406" s="4" t="n"/>
      <c r="B5406" s="4" t="n"/>
      <c r="C5406" s="4" t="n"/>
      <c r="D5406" s="4" t="n"/>
      <c r="E5406" s="4" t="n"/>
      <c r="F5406" s="4" t="n"/>
    </row>
    <row r="5407" ht="28" customHeight="1">
      <c r="A5407" s="4" t="n"/>
      <c r="B5407" s="4" t="n"/>
      <c r="C5407" s="4" t="n"/>
      <c r="D5407" s="4" t="n"/>
      <c r="E5407" s="4" t="n"/>
      <c r="F5407" s="4" t="n"/>
    </row>
    <row r="5408" ht="28" customHeight="1">
      <c r="A5408" s="4" t="n"/>
      <c r="B5408" s="4" t="n"/>
      <c r="C5408" s="4" t="n"/>
      <c r="D5408" s="4" t="n"/>
      <c r="E5408" s="4" t="n"/>
      <c r="F5408" s="4" t="n"/>
    </row>
    <row r="5409" ht="28" customHeight="1">
      <c r="A5409" s="4" t="n"/>
      <c r="B5409" s="4" t="n"/>
      <c r="C5409" s="4" t="n"/>
      <c r="D5409" s="4" t="n"/>
      <c r="E5409" s="4" t="n"/>
      <c r="F5409" s="4" t="n"/>
    </row>
    <row r="5410" ht="28" customHeight="1">
      <c r="A5410" s="4" t="n"/>
      <c r="B5410" s="4" t="n"/>
      <c r="C5410" s="4" t="n"/>
      <c r="D5410" s="4" t="n"/>
      <c r="E5410" s="4" t="n"/>
      <c r="F5410" s="4" t="n"/>
    </row>
    <row r="5411" ht="28" customHeight="1">
      <c r="A5411" s="4" t="n"/>
      <c r="B5411" s="4" t="n"/>
      <c r="C5411" s="4" t="n"/>
      <c r="D5411" s="4" t="n"/>
      <c r="E5411" s="4" t="n"/>
      <c r="F5411" s="4" t="n"/>
    </row>
    <row r="5412" ht="28" customHeight="1">
      <c r="A5412" s="4" t="n"/>
      <c r="B5412" s="4" t="n"/>
      <c r="C5412" s="4" t="n"/>
      <c r="D5412" s="4" t="n"/>
      <c r="E5412" s="4" t="n"/>
      <c r="F5412" s="4" t="n"/>
    </row>
    <row r="5413" ht="28" customHeight="1">
      <c r="A5413" s="4" t="n"/>
      <c r="B5413" s="4" t="n"/>
      <c r="C5413" s="4" t="n"/>
      <c r="D5413" s="4" t="n"/>
      <c r="E5413" s="4" t="n"/>
      <c r="F5413" s="4" t="n"/>
    </row>
    <row r="5414" ht="28" customHeight="1">
      <c r="A5414" s="4" t="n"/>
      <c r="B5414" s="4" t="n"/>
      <c r="C5414" s="4" t="n"/>
      <c r="D5414" s="4" t="n"/>
      <c r="E5414" s="4" t="n"/>
      <c r="F5414" s="4" t="n"/>
    </row>
    <row r="5415" ht="28" customHeight="1">
      <c r="A5415" s="4" t="n"/>
      <c r="B5415" s="4" t="n"/>
      <c r="C5415" s="4" t="n"/>
      <c r="D5415" s="4" t="n"/>
      <c r="E5415" s="4" t="n"/>
      <c r="F5415" s="4" t="n"/>
    </row>
    <row r="5416" ht="28" customHeight="1">
      <c r="A5416" s="4" t="n"/>
      <c r="B5416" s="4" t="n"/>
      <c r="C5416" s="4" t="n"/>
      <c r="D5416" s="4" t="n"/>
      <c r="E5416" s="4" t="n"/>
      <c r="F5416" s="4" t="n"/>
    </row>
    <row r="5417" ht="28" customHeight="1">
      <c r="A5417" s="4" t="n"/>
      <c r="B5417" s="4" t="n"/>
      <c r="C5417" s="4" t="n"/>
      <c r="D5417" s="4" t="n"/>
      <c r="E5417" s="4" t="n"/>
      <c r="F5417" s="4" t="n"/>
    </row>
    <row r="5418" ht="28" customHeight="1">
      <c r="A5418" s="4" t="n"/>
      <c r="B5418" s="4" t="n"/>
      <c r="C5418" s="4" t="n"/>
      <c r="D5418" s="4" t="n"/>
      <c r="E5418" s="4" t="n"/>
      <c r="F5418" s="4" t="n"/>
    </row>
    <row r="5419" ht="28" customHeight="1">
      <c r="A5419" s="4" t="n"/>
      <c r="B5419" s="4" t="n"/>
      <c r="C5419" s="4" t="n"/>
      <c r="D5419" s="4" t="n"/>
      <c r="E5419" s="4" t="n"/>
      <c r="F5419" s="4" t="n"/>
    </row>
    <row r="5420" ht="28" customHeight="1">
      <c r="A5420" s="4" t="n"/>
      <c r="B5420" s="4" t="n"/>
      <c r="C5420" s="4" t="n"/>
      <c r="D5420" s="4" t="n"/>
      <c r="E5420" s="4" t="n"/>
      <c r="F5420" s="4" t="n"/>
    </row>
    <row r="5421" ht="28" customHeight="1">
      <c r="A5421" s="4" t="n"/>
      <c r="B5421" s="4" t="n"/>
      <c r="C5421" s="4" t="n"/>
      <c r="D5421" s="4" t="n"/>
      <c r="E5421" s="4" t="n"/>
      <c r="F5421" s="4" t="n"/>
    </row>
    <row r="5422" ht="28" customHeight="1">
      <c r="A5422" s="4" t="n"/>
      <c r="B5422" s="4" t="n"/>
      <c r="C5422" s="4" t="n"/>
      <c r="D5422" s="4" t="n"/>
      <c r="E5422" s="4" t="n"/>
      <c r="F5422" s="4" t="n"/>
    </row>
    <row r="5423" ht="28" customHeight="1">
      <c r="A5423" s="4" t="n"/>
      <c r="B5423" s="4" t="n"/>
      <c r="C5423" s="4" t="n"/>
      <c r="D5423" s="4" t="n"/>
      <c r="E5423" s="4" t="n"/>
      <c r="F5423" s="4" t="n"/>
    </row>
    <row r="5424" ht="28" customHeight="1">
      <c r="A5424" s="4" t="n"/>
      <c r="B5424" s="4" t="n"/>
      <c r="C5424" s="4" t="n"/>
      <c r="D5424" s="4" t="n"/>
      <c r="E5424" s="4" t="n"/>
      <c r="F5424" s="4" t="n"/>
    </row>
    <row r="5425" ht="28" customHeight="1">
      <c r="A5425" s="4" t="n"/>
      <c r="B5425" s="4" t="n"/>
      <c r="C5425" s="4" t="n"/>
      <c r="D5425" s="4" t="n"/>
      <c r="E5425" s="4" t="n"/>
      <c r="F5425" s="4" t="n"/>
    </row>
    <row r="5426" ht="28" customHeight="1">
      <c r="A5426" s="4" t="n"/>
      <c r="B5426" s="4" t="n"/>
      <c r="C5426" s="4" t="n"/>
      <c r="D5426" s="4" t="n"/>
      <c r="E5426" s="4" t="n"/>
      <c r="F5426" s="4" t="n"/>
    </row>
    <row r="5427" ht="28" customHeight="1">
      <c r="A5427" s="4" t="n"/>
      <c r="B5427" s="4" t="n"/>
      <c r="C5427" s="4" t="n"/>
      <c r="D5427" s="4" t="n"/>
      <c r="E5427" s="4" t="n"/>
      <c r="F5427" s="4" t="n"/>
    </row>
    <row r="5428" ht="28" customHeight="1">
      <c r="A5428" s="4" t="n"/>
      <c r="B5428" s="4" t="n"/>
      <c r="C5428" s="4" t="n"/>
      <c r="D5428" s="4" t="n"/>
      <c r="E5428" s="4" t="n"/>
      <c r="F5428" s="4" t="n"/>
    </row>
    <row r="5429" ht="28" customHeight="1">
      <c r="A5429" s="4" t="n"/>
      <c r="B5429" s="4" t="n"/>
      <c r="C5429" s="4" t="n"/>
      <c r="D5429" s="4" t="n"/>
      <c r="E5429" s="4" t="n"/>
      <c r="F5429" s="4" t="n"/>
    </row>
    <row r="5430" ht="28" customHeight="1">
      <c r="A5430" s="4" t="n"/>
      <c r="B5430" s="4" t="n"/>
      <c r="C5430" s="4" t="n"/>
      <c r="D5430" s="4" t="n"/>
      <c r="E5430" s="4" t="n"/>
      <c r="F5430" s="4" t="n"/>
    </row>
    <row r="5431" ht="28" customHeight="1">
      <c r="A5431" s="4" t="n"/>
      <c r="B5431" s="4" t="n"/>
      <c r="C5431" s="4" t="n"/>
      <c r="D5431" s="4" t="n"/>
      <c r="E5431" s="4" t="n"/>
      <c r="F5431" s="4" t="n"/>
    </row>
    <row r="5432" ht="28" customHeight="1">
      <c r="A5432" s="4" t="n"/>
      <c r="B5432" s="4" t="n"/>
      <c r="C5432" s="4" t="n"/>
      <c r="D5432" s="4" t="n"/>
      <c r="E5432" s="4" t="n"/>
      <c r="F5432" s="4" t="n"/>
    </row>
    <row r="5433" ht="28" customHeight="1">
      <c r="A5433" s="4" t="n"/>
      <c r="B5433" s="4" t="n"/>
      <c r="C5433" s="4" t="n"/>
      <c r="D5433" s="4" t="n"/>
      <c r="E5433" s="4" t="n"/>
      <c r="F5433" s="4" t="n"/>
    </row>
    <row r="5434" ht="28" customHeight="1">
      <c r="A5434" s="4" t="n"/>
      <c r="B5434" s="4" t="n"/>
      <c r="C5434" s="4" t="n"/>
      <c r="D5434" s="4" t="n"/>
      <c r="E5434" s="4" t="n"/>
      <c r="F5434" s="4" t="n"/>
    </row>
    <row r="5435" ht="28" customHeight="1">
      <c r="A5435" s="4" t="n"/>
      <c r="B5435" s="4" t="n"/>
      <c r="C5435" s="4" t="n"/>
      <c r="D5435" s="4" t="n"/>
      <c r="E5435" s="4" t="n"/>
      <c r="F5435" s="4" t="n"/>
    </row>
    <row r="5436" ht="28" customHeight="1">
      <c r="A5436" s="4" t="n"/>
      <c r="B5436" s="4" t="n"/>
      <c r="C5436" s="4" t="n"/>
      <c r="D5436" s="4" t="n"/>
      <c r="E5436" s="4" t="n"/>
      <c r="F5436" s="4" t="n"/>
    </row>
    <row r="5437" ht="28" customHeight="1">
      <c r="A5437" s="4" t="n"/>
      <c r="B5437" s="4" t="n"/>
      <c r="C5437" s="4" t="n"/>
      <c r="D5437" s="4" t="n"/>
      <c r="E5437" s="4" t="n"/>
      <c r="F5437" s="4" t="n"/>
    </row>
    <row r="5438" ht="28" customHeight="1">
      <c r="A5438" s="4" t="n"/>
      <c r="B5438" s="4" t="n"/>
      <c r="C5438" s="4" t="n"/>
      <c r="D5438" s="4" t="n"/>
      <c r="E5438" s="4" t="n"/>
      <c r="F5438" s="4" t="n"/>
    </row>
    <row r="5439" ht="28" customHeight="1">
      <c r="A5439" s="4" t="n"/>
      <c r="B5439" s="4" t="n"/>
      <c r="C5439" s="4" t="n"/>
      <c r="D5439" s="4" t="n"/>
      <c r="E5439" s="4" t="n"/>
      <c r="F5439" s="4" t="n"/>
    </row>
    <row r="5440" ht="28" customHeight="1">
      <c r="A5440" s="4" t="n"/>
      <c r="B5440" s="4" t="n"/>
      <c r="C5440" s="4" t="n"/>
      <c r="D5440" s="4" t="n"/>
      <c r="E5440" s="4" t="n"/>
      <c r="F5440" s="4" t="n"/>
    </row>
    <row r="5441" ht="28" customHeight="1">
      <c r="A5441" s="4" t="n"/>
      <c r="B5441" s="4" t="n"/>
      <c r="C5441" s="4" t="n"/>
      <c r="D5441" s="4" t="n"/>
      <c r="E5441" s="4" t="n"/>
      <c r="F5441" s="4" t="n"/>
    </row>
    <row r="5442" ht="28" customHeight="1">
      <c r="A5442" s="4" t="n"/>
      <c r="B5442" s="4" t="n"/>
      <c r="C5442" s="4" t="n"/>
      <c r="D5442" s="4" t="n"/>
      <c r="E5442" s="4" t="n"/>
      <c r="F5442" s="4" t="n"/>
    </row>
    <row r="5443" ht="28" customHeight="1">
      <c r="A5443" s="4" t="n"/>
      <c r="B5443" s="4" t="n"/>
      <c r="C5443" s="4" t="n"/>
      <c r="D5443" s="4" t="n"/>
      <c r="E5443" s="4" t="n"/>
      <c r="F5443" s="4" t="n"/>
    </row>
    <row r="5444" ht="28" customHeight="1">
      <c r="A5444" s="4" t="n"/>
      <c r="B5444" s="4" t="n"/>
      <c r="C5444" s="4" t="n"/>
      <c r="D5444" s="4" t="n"/>
      <c r="E5444" s="4" t="n"/>
      <c r="F5444" s="4" t="n"/>
    </row>
    <row r="5445" ht="28" customHeight="1">
      <c r="A5445" s="4" t="n"/>
      <c r="B5445" s="4" t="n"/>
      <c r="C5445" s="4" t="n"/>
      <c r="D5445" s="4" t="n"/>
      <c r="E5445" s="4" t="n"/>
      <c r="F5445" s="4" t="n"/>
    </row>
    <row r="5446" ht="28" customHeight="1">
      <c r="A5446" s="4" t="n"/>
      <c r="B5446" s="4" t="n"/>
      <c r="C5446" s="4" t="n"/>
      <c r="D5446" s="4" t="n"/>
      <c r="E5446" s="4" t="n"/>
      <c r="F5446" s="4" t="n"/>
    </row>
    <row r="5447" ht="28" customHeight="1">
      <c r="A5447" s="4" t="n"/>
      <c r="B5447" s="4" t="n"/>
      <c r="C5447" s="4" t="n"/>
      <c r="D5447" s="4" t="n"/>
      <c r="E5447" s="4" t="n"/>
      <c r="F5447" s="4" t="n"/>
    </row>
    <row r="5448" ht="28" customHeight="1">
      <c r="A5448" s="4" t="n"/>
      <c r="B5448" s="4" t="n"/>
      <c r="C5448" s="4" t="n"/>
      <c r="D5448" s="4" t="n"/>
      <c r="E5448" s="4" t="n"/>
      <c r="F5448" s="4" t="n"/>
    </row>
    <row r="5449" ht="28" customHeight="1">
      <c r="A5449" s="4" t="n"/>
      <c r="B5449" s="4" t="n"/>
      <c r="C5449" s="4" t="n"/>
      <c r="D5449" s="4" t="n"/>
      <c r="E5449" s="4" t="n"/>
      <c r="F5449" s="4" t="n"/>
    </row>
    <row r="5450" ht="28" customHeight="1">
      <c r="A5450" s="4" t="n"/>
      <c r="B5450" s="4" t="n"/>
      <c r="C5450" s="4" t="n"/>
      <c r="D5450" s="4" t="n"/>
      <c r="E5450" s="4" t="n"/>
      <c r="F5450" s="4" t="n"/>
    </row>
    <row r="5451" ht="28" customHeight="1">
      <c r="A5451" s="4" t="n"/>
      <c r="B5451" s="4" t="n"/>
      <c r="C5451" s="4" t="n"/>
      <c r="D5451" s="4" t="n"/>
      <c r="E5451" s="4" t="n"/>
      <c r="F5451" s="4" t="n"/>
    </row>
    <row r="5452" ht="28" customHeight="1">
      <c r="A5452" s="4" t="n"/>
      <c r="B5452" s="4" t="n"/>
      <c r="C5452" s="4" t="n"/>
      <c r="D5452" s="4" t="n"/>
      <c r="E5452" s="4" t="n"/>
      <c r="F5452" s="4" t="n"/>
    </row>
    <row r="5453" ht="28" customHeight="1">
      <c r="A5453" s="4" t="n"/>
      <c r="B5453" s="4" t="n"/>
      <c r="C5453" s="4" t="n"/>
      <c r="D5453" s="4" t="n"/>
      <c r="E5453" s="4" t="n"/>
      <c r="F5453" s="4" t="n"/>
    </row>
    <row r="5454" ht="28" customHeight="1">
      <c r="A5454" s="4" t="n"/>
      <c r="B5454" s="4" t="n"/>
      <c r="C5454" s="4" t="n"/>
      <c r="D5454" s="4" t="n"/>
      <c r="E5454" s="4" t="n"/>
      <c r="F5454" s="4" t="n"/>
    </row>
    <row r="5455" ht="28" customHeight="1">
      <c r="A5455" s="4" t="n"/>
      <c r="B5455" s="4" t="n"/>
      <c r="C5455" s="4" t="n"/>
      <c r="D5455" s="4" t="n"/>
      <c r="E5455" s="4" t="n"/>
      <c r="F5455" s="4" t="n"/>
    </row>
    <row r="5456" ht="28" customHeight="1">
      <c r="A5456" s="4" t="n"/>
      <c r="B5456" s="4" t="n"/>
      <c r="C5456" s="4" t="n"/>
      <c r="D5456" s="4" t="n"/>
      <c r="E5456" s="4" t="n"/>
      <c r="F5456" s="4" t="n"/>
    </row>
    <row r="5457" ht="28" customHeight="1">
      <c r="A5457" s="4" t="n"/>
      <c r="B5457" s="4" t="n"/>
      <c r="C5457" s="4" t="n"/>
      <c r="D5457" s="4" t="n"/>
      <c r="E5457" s="4" t="n"/>
      <c r="F5457" s="4" t="n"/>
    </row>
    <row r="5458" ht="28" customHeight="1">
      <c r="A5458" s="4" t="n"/>
      <c r="B5458" s="4" t="n"/>
      <c r="C5458" s="4" t="n"/>
      <c r="D5458" s="4" t="n"/>
      <c r="E5458" s="4" t="n"/>
      <c r="F5458" s="4" t="n"/>
    </row>
    <row r="5459" ht="28" customHeight="1">
      <c r="A5459" s="4" t="n"/>
      <c r="B5459" s="4" t="n"/>
      <c r="C5459" s="4" t="n"/>
      <c r="D5459" s="4" t="n"/>
      <c r="E5459" s="4" t="n"/>
      <c r="F5459" s="4" t="n"/>
    </row>
    <row r="5460" ht="28" customHeight="1">
      <c r="A5460" s="4" t="n"/>
      <c r="B5460" s="4" t="n"/>
      <c r="C5460" s="4" t="n"/>
      <c r="D5460" s="4" t="n"/>
      <c r="E5460" s="4" t="n"/>
      <c r="F5460" s="4" t="n"/>
    </row>
    <row r="5461" ht="28" customHeight="1">
      <c r="A5461" s="4" t="n"/>
      <c r="B5461" s="4" t="n"/>
      <c r="C5461" s="4" t="n"/>
      <c r="D5461" s="4" t="n"/>
      <c r="E5461" s="4" t="n"/>
      <c r="F5461" s="4" t="n"/>
    </row>
    <row r="5462" ht="28" customHeight="1">
      <c r="A5462" s="4" t="n"/>
      <c r="B5462" s="4" t="n"/>
      <c r="C5462" s="4" t="n"/>
      <c r="D5462" s="4" t="n"/>
      <c r="E5462" s="4" t="n"/>
      <c r="F5462" s="4" t="n"/>
    </row>
    <row r="5463" ht="28" customHeight="1">
      <c r="A5463" s="4" t="n"/>
      <c r="B5463" s="4" t="n"/>
      <c r="C5463" s="4" t="n"/>
      <c r="D5463" s="4" t="n"/>
      <c r="E5463" s="4" t="n"/>
      <c r="F5463" s="4" t="n"/>
    </row>
    <row r="5464" ht="28" customHeight="1">
      <c r="A5464" s="4" t="n"/>
      <c r="B5464" s="4" t="n"/>
      <c r="C5464" s="4" t="n"/>
      <c r="D5464" s="4" t="n"/>
      <c r="E5464" s="4" t="n"/>
      <c r="F5464" s="4" t="n"/>
    </row>
    <row r="5465" ht="28" customHeight="1">
      <c r="A5465" s="4" t="n"/>
      <c r="B5465" s="4" t="n"/>
      <c r="C5465" s="4" t="n"/>
      <c r="D5465" s="4" t="n"/>
      <c r="E5465" s="4" t="n"/>
      <c r="F5465" s="4" t="n"/>
    </row>
    <row r="5466" ht="28" customHeight="1">
      <c r="A5466" s="4" t="n"/>
      <c r="B5466" s="4" t="n"/>
      <c r="C5466" s="4" t="n"/>
      <c r="D5466" s="4" t="n"/>
      <c r="E5466" s="4" t="n"/>
      <c r="F5466" s="4" t="n"/>
    </row>
    <row r="5467" ht="28" customHeight="1">
      <c r="A5467" s="4" t="n"/>
      <c r="B5467" s="4" t="n"/>
      <c r="C5467" s="4" t="n"/>
      <c r="D5467" s="4" t="n"/>
      <c r="E5467" s="4" t="n"/>
      <c r="F5467" s="4" t="n"/>
    </row>
    <row r="5468" ht="28" customHeight="1">
      <c r="A5468" s="4" t="n"/>
      <c r="B5468" s="4" t="n"/>
      <c r="C5468" s="4" t="n"/>
      <c r="D5468" s="4" t="n"/>
      <c r="E5468" s="4" t="n"/>
      <c r="F5468" s="4" t="n"/>
    </row>
    <row r="5469" ht="28" customHeight="1">
      <c r="A5469" s="4" t="n"/>
      <c r="B5469" s="4" t="n"/>
      <c r="C5469" s="4" t="n"/>
      <c r="D5469" s="4" t="n"/>
      <c r="E5469" s="4" t="n"/>
      <c r="F5469" s="4" t="n"/>
    </row>
    <row r="5470" ht="28" customHeight="1">
      <c r="A5470" s="4" t="n"/>
      <c r="B5470" s="4" t="n"/>
      <c r="C5470" s="4" t="n"/>
      <c r="D5470" s="4" t="n"/>
      <c r="E5470" s="4" t="n"/>
      <c r="F5470" s="4" t="n"/>
    </row>
    <row r="5471" ht="28" customHeight="1">
      <c r="A5471" s="4" t="n"/>
      <c r="B5471" s="4" t="n"/>
      <c r="C5471" s="4" t="n"/>
      <c r="D5471" s="4" t="n"/>
      <c r="E5471" s="4" t="n"/>
      <c r="F5471" s="4" t="n"/>
    </row>
    <row r="5472" ht="28" customHeight="1">
      <c r="A5472" s="4" t="n"/>
      <c r="B5472" s="4" t="n"/>
      <c r="C5472" s="4" t="n"/>
      <c r="D5472" s="4" t="n"/>
      <c r="E5472" s="4" t="n"/>
      <c r="F5472" s="4" t="n"/>
    </row>
    <row r="5473" ht="28" customHeight="1">
      <c r="A5473" s="4" t="n"/>
      <c r="B5473" s="4" t="n"/>
      <c r="C5473" s="4" t="n"/>
      <c r="D5473" s="4" t="n"/>
      <c r="E5473" s="4" t="n"/>
      <c r="F5473" s="4" t="n"/>
    </row>
    <row r="5474" ht="28" customHeight="1">
      <c r="A5474" s="4" t="n"/>
      <c r="B5474" s="4" t="n"/>
      <c r="C5474" s="4" t="n"/>
      <c r="D5474" s="4" t="n"/>
      <c r="E5474" s="4" t="n"/>
      <c r="F5474" s="4" t="n"/>
    </row>
    <row r="5475" ht="28" customHeight="1">
      <c r="A5475" s="4" t="n"/>
      <c r="B5475" s="4" t="n"/>
      <c r="C5475" s="4" t="n"/>
      <c r="D5475" s="4" t="n"/>
      <c r="E5475" s="4" t="n"/>
      <c r="F5475" s="4" t="n"/>
    </row>
    <row r="5476" ht="28" customHeight="1">
      <c r="A5476" s="4" t="n"/>
      <c r="B5476" s="4" t="n"/>
      <c r="C5476" s="4" t="n"/>
      <c r="D5476" s="4" t="n"/>
      <c r="E5476" s="4" t="n"/>
      <c r="F5476" s="4" t="n"/>
    </row>
    <row r="5477" ht="28" customHeight="1">
      <c r="A5477" s="4" t="n"/>
      <c r="B5477" s="4" t="n"/>
      <c r="C5477" s="4" t="n"/>
      <c r="D5477" s="4" t="n"/>
      <c r="E5477" s="4" t="n"/>
      <c r="F5477" s="4" t="n"/>
    </row>
    <row r="5478" ht="28" customHeight="1">
      <c r="A5478" s="4" t="n"/>
      <c r="B5478" s="4" t="n"/>
      <c r="C5478" s="4" t="n"/>
      <c r="D5478" s="4" t="n"/>
      <c r="E5478" s="4" t="n"/>
      <c r="F5478" s="4" t="n"/>
    </row>
    <row r="5479" ht="28" customHeight="1">
      <c r="A5479" s="4" t="n"/>
      <c r="B5479" s="4" t="n"/>
      <c r="C5479" s="4" t="n"/>
      <c r="D5479" s="4" t="n"/>
      <c r="E5479" s="4" t="n"/>
      <c r="F5479" s="4" t="n"/>
    </row>
    <row r="5480" ht="28" customHeight="1">
      <c r="A5480" s="4" t="n"/>
      <c r="B5480" s="4" t="n"/>
      <c r="C5480" s="4" t="n"/>
      <c r="D5480" s="4" t="n"/>
      <c r="E5480" s="4" t="n"/>
      <c r="F5480" s="4" t="n"/>
    </row>
    <row r="5481" ht="28" customHeight="1">
      <c r="A5481" s="4" t="n"/>
      <c r="B5481" s="4" t="n"/>
      <c r="C5481" s="4" t="n"/>
      <c r="D5481" s="4" t="n"/>
      <c r="E5481" s="4" t="n"/>
      <c r="F5481" s="4" t="n"/>
    </row>
    <row r="5482" ht="28" customHeight="1">
      <c r="A5482" s="4" t="n"/>
      <c r="B5482" s="4" t="n"/>
      <c r="C5482" s="4" t="n"/>
      <c r="D5482" s="4" t="n"/>
      <c r="E5482" s="4" t="n"/>
      <c r="F5482" s="4" t="n"/>
    </row>
    <row r="5483" ht="28" customHeight="1">
      <c r="A5483" s="4" t="n"/>
      <c r="B5483" s="4" t="n"/>
      <c r="C5483" s="4" t="n"/>
      <c r="D5483" s="4" t="n"/>
      <c r="E5483" s="4" t="n"/>
      <c r="F5483" s="4" t="n"/>
    </row>
    <row r="5484" ht="28" customHeight="1">
      <c r="A5484" s="4" t="n"/>
      <c r="B5484" s="4" t="n"/>
      <c r="C5484" s="4" t="n"/>
      <c r="D5484" s="4" t="n"/>
      <c r="E5484" s="4" t="n"/>
      <c r="F5484" s="4" t="n"/>
    </row>
    <row r="5485" ht="28" customHeight="1">
      <c r="A5485" s="4" t="n"/>
      <c r="B5485" s="4" t="n"/>
      <c r="C5485" s="4" t="n"/>
      <c r="D5485" s="4" t="n"/>
      <c r="E5485" s="4" t="n"/>
      <c r="F5485" s="4" t="n"/>
    </row>
    <row r="5486" ht="28" customHeight="1">
      <c r="A5486" s="4" t="n"/>
      <c r="B5486" s="4" t="n"/>
      <c r="C5486" s="4" t="n"/>
      <c r="D5486" s="4" t="n"/>
      <c r="E5486" s="4" t="n"/>
      <c r="F5486" s="4" t="n"/>
    </row>
    <row r="5487" ht="28" customHeight="1">
      <c r="A5487" s="4" t="n"/>
      <c r="B5487" s="4" t="n"/>
      <c r="C5487" s="4" t="n"/>
      <c r="D5487" s="4" t="n"/>
      <c r="E5487" s="4" t="n"/>
      <c r="F5487" s="4" t="n"/>
    </row>
    <row r="5488" ht="28" customHeight="1">
      <c r="A5488" s="4" t="n"/>
      <c r="B5488" s="4" t="n"/>
      <c r="C5488" s="4" t="n"/>
      <c r="D5488" s="4" t="n"/>
      <c r="E5488" s="4" t="n"/>
      <c r="F5488" s="4" t="n"/>
    </row>
    <row r="5489" ht="28" customHeight="1">
      <c r="A5489" s="4" t="n"/>
      <c r="B5489" s="4" t="n"/>
      <c r="C5489" s="4" t="n"/>
      <c r="D5489" s="4" t="n"/>
      <c r="E5489" s="4" t="n"/>
      <c r="F5489" s="4" t="n"/>
    </row>
    <row r="5490" ht="28" customHeight="1">
      <c r="A5490" s="4" t="n"/>
      <c r="B5490" s="4" t="n"/>
      <c r="C5490" s="4" t="n"/>
      <c r="D5490" s="4" t="n"/>
      <c r="E5490" s="4" t="n"/>
      <c r="F5490" s="4" t="n"/>
    </row>
    <row r="5491" ht="28" customHeight="1">
      <c r="A5491" s="4" t="n"/>
      <c r="B5491" s="4" t="n"/>
      <c r="C5491" s="4" t="n"/>
      <c r="D5491" s="4" t="n"/>
      <c r="E5491" s="4" t="n"/>
      <c r="F5491" s="4" t="n"/>
    </row>
    <row r="5492" ht="28" customHeight="1">
      <c r="A5492" s="4" t="n"/>
      <c r="B5492" s="4" t="n"/>
      <c r="C5492" s="4" t="n"/>
      <c r="D5492" s="4" t="n"/>
      <c r="E5492" s="4" t="n"/>
      <c r="F5492" s="4" t="n"/>
    </row>
    <row r="5493" ht="28" customHeight="1">
      <c r="A5493" s="4" t="n"/>
      <c r="B5493" s="4" t="n"/>
      <c r="C5493" s="4" t="n"/>
      <c r="D5493" s="4" t="n"/>
      <c r="E5493" s="4" t="n"/>
      <c r="F5493" s="4" t="n"/>
    </row>
    <row r="5494" ht="28" customHeight="1">
      <c r="A5494" s="4" t="n"/>
      <c r="B5494" s="4" t="n"/>
      <c r="C5494" s="4" t="n"/>
      <c r="D5494" s="4" t="n"/>
      <c r="E5494" s="4" t="n"/>
      <c r="F5494" s="4" t="n"/>
    </row>
    <row r="5495" ht="28" customHeight="1">
      <c r="A5495" s="4" t="n"/>
      <c r="B5495" s="4" t="n"/>
      <c r="C5495" s="4" t="n"/>
      <c r="D5495" s="4" t="n"/>
      <c r="E5495" s="4" t="n"/>
      <c r="F5495" s="4" t="n"/>
    </row>
    <row r="5496" ht="28" customHeight="1">
      <c r="A5496" s="4" t="n"/>
      <c r="B5496" s="4" t="n"/>
      <c r="C5496" s="4" t="n"/>
      <c r="D5496" s="4" t="n"/>
      <c r="E5496" s="4" t="n"/>
      <c r="F5496" s="4" t="n"/>
    </row>
    <row r="5497" ht="28" customHeight="1">
      <c r="A5497" s="4" t="n"/>
      <c r="B5497" s="4" t="n"/>
      <c r="C5497" s="4" t="n"/>
      <c r="D5497" s="4" t="n"/>
      <c r="E5497" s="4" t="n"/>
      <c r="F5497" s="4" t="n"/>
    </row>
    <row r="5498" ht="28" customHeight="1">
      <c r="A5498" s="4" t="n"/>
      <c r="B5498" s="4" t="n"/>
      <c r="C5498" s="4" t="n"/>
      <c r="D5498" s="4" t="n"/>
      <c r="E5498" s="4" t="n"/>
      <c r="F5498" s="4" t="n"/>
    </row>
    <row r="5499" ht="28" customHeight="1">
      <c r="A5499" s="4" t="n"/>
      <c r="B5499" s="4" t="n"/>
      <c r="C5499" s="4" t="n"/>
      <c r="D5499" s="4" t="n"/>
      <c r="E5499" s="4" t="n"/>
      <c r="F5499" s="4" t="n"/>
    </row>
    <row r="5500" ht="28" customHeight="1">
      <c r="A5500" s="4" t="n"/>
      <c r="B5500" s="4" t="n"/>
      <c r="C5500" s="4" t="n"/>
      <c r="D5500" s="4" t="n"/>
      <c r="E5500" s="4" t="n"/>
      <c r="F5500" s="4" t="n"/>
    </row>
    <row r="5501" ht="28" customHeight="1">
      <c r="A5501" s="4" t="n"/>
      <c r="B5501" s="4" t="n"/>
      <c r="C5501" s="4" t="n"/>
      <c r="D5501" s="4" t="n"/>
      <c r="E5501" s="4" t="n"/>
      <c r="F5501" s="4" t="n"/>
    </row>
    <row r="5502" ht="28" customHeight="1">
      <c r="A5502" s="4" t="n"/>
      <c r="B5502" s="4" t="n"/>
      <c r="C5502" s="4" t="n"/>
      <c r="D5502" s="4" t="n"/>
      <c r="E5502" s="4" t="n"/>
      <c r="F5502" s="4" t="n"/>
    </row>
    <row r="5503" ht="28" customHeight="1">
      <c r="A5503" s="4" t="n"/>
      <c r="B5503" s="4" t="n"/>
      <c r="C5503" s="4" t="n"/>
      <c r="D5503" s="4" t="n"/>
      <c r="E5503" s="4" t="n"/>
      <c r="F5503" s="4" t="n"/>
    </row>
    <row r="5504" ht="28" customHeight="1">
      <c r="A5504" s="4" t="n"/>
      <c r="B5504" s="4" t="n"/>
      <c r="C5504" s="4" t="n"/>
      <c r="D5504" s="4" t="n"/>
      <c r="E5504" s="4" t="n"/>
      <c r="F5504" s="4" t="n"/>
    </row>
    <row r="5505" ht="28" customHeight="1">
      <c r="A5505" s="4" t="n"/>
      <c r="B5505" s="4" t="n"/>
      <c r="C5505" s="4" t="n"/>
      <c r="D5505" s="4" t="n"/>
      <c r="E5505" s="4" t="n"/>
      <c r="F5505" s="4" t="n"/>
    </row>
    <row r="5506" ht="28" customHeight="1">
      <c r="A5506" s="4" t="n"/>
      <c r="B5506" s="4" t="n"/>
      <c r="C5506" s="4" t="n"/>
      <c r="D5506" s="4" t="n"/>
      <c r="E5506" s="4" t="n"/>
      <c r="F5506" s="4" t="n"/>
    </row>
    <row r="5507" ht="28" customHeight="1">
      <c r="A5507" s="4" t="n"/>
      <c r="B5507" s="4" t="n"/>
      <c r="C5507" s="4" t="n"/>
      <c r="D5507" s="4" t="n"/>
      <c r="E5507" s="4" t="n"/>
      <c r="F5507" s="4" t="n"/>
    </row>
    <row r="5508" ht="28" customHeight="1">
      <c r="A5508" s="4" t="n"/>
      <c r="B5508" s="4" t="n"/>
      <c r="C5508" s="4" t="n"/>
      <c r="D5508" s="4" t="n"/>
      <c r="E5508" s="4" t="n"/>
      <c r="F5508" s="4" t="n"/>
    </row>
    <row r="5509" ht="28" customHeight="1">
      <c r="A5509" s="4" t="n"/>
      <c r="B5509" s="4" t="n"/>
      <c r="C5509" s="4" t="n"/>
      <c r="D5509" s="4" t="n"/>
      <c r="E5509" s="4" t="n"/>
      <c r="F5509" s="4" t="n"/>
    </row>
    <row r="5510" ht="28" customHeight="1">
      <c r="A5510" s="4" t="n"/>
      <c r="B5510" s="4" t="n"/>
      <c r="C5510" s="4" t="n"/>
      <c r="D5510" s="4" t="n"/>
      <c r="E5510" s="4" t="n"/>
      <c r="F5510" s="4" t="n"/>
    </row>
    <row r="5511" ht="28" customHeight="1">
      <c r="A5511" s="4" t="n"/>
      <c r="B5511" s="4" t="n"/>
      <c r="C5511" s="4" t="n"/>
      <c r="D5511" s="4" t="n"/>
      <c r="E5511" s="4" t="n"/>
      <c r="F5511" s="4" t="n"/>
    </row>
    <row r="5512" ht="28" customHeight="1">
      <c r="A5512" s="4" t="n"/>
      <c r="B5512" s="4" t="n"/>
      <c r="C5512" s="4" t="n"/>
      <c r="D5512" s="4" t="n"/>
      <c r="E5512" s="4" t="n"/>
      <c r="F5512" s="4" t="n"/>
    </row>
    <row r="5513" ht="28" customHeight="1">
      <c r="A5513" s="4" t="n"/>
      <c r="B5513" s="4" t="n"/>
      <c r="C5513" s="4" t="n"/>
      <c r="D5513" s="4" t="n"/>
      <c r="E5513" s="4" t="n"/>
      <c r="F5513" s="4" t="n"/>
    </row>
    <row r="5514" ht="28" customHeight="1">
      <c r="A5514" s="4" t="n"/>
      <c r="B5514" s="4" t="n"/>
      <c r="C5514" s="4" t="n"/>
      <c r="D5514" s="4" t="n"/>
      <c r="E5514" s="4" t="n"/>
      <c r="F5514" s="4" t="n"/>
    </row>
    <row r="5515" ht="28" customHeight="1">
      <c r="A5515" s="4" t="n"/>
      <c r="B5515" s="4" t="n"/>
      <c r="C5515" s="4" t="n"/>
      <c r="D5515" s="4" t="n"/>
      <c r="E5515" s="4" t="n"/>
      <c r="F5515" s="4" t="n"/>
    </row>
    <row r="5516" ht="28" customHeight="1">
      <c r="A5516" s="4" t="n"/>
      <c r="B5516" s="4" t="n"/>
      <c r="C5516" s="4" t="n"/>
      <c r="D5516" s="4" t="n"/>
      <c r="E5516" s="4" t="n"/>
      <c r="F5516" s="4" t="n"/>
    </row>
    <row r="5517" ht="28" customHeight="1">
      <c r="A5517" s="4" t="n"/>
      <c r="B5517" s="4" t="n"/>
      <c r="C5517" s="4" t="n"/>
      <c r="D5517" s="4" t="n"/>
      <c r="E5517" s="4" t="n"/>
      <c r="F5517" s="4" t="n"/>
    </row>
    <row r="5518" ht="28" customHeight="1">
      <c r="A5518" s="4" t="n"/>
      <c r="B5518" s="4" t="n"/>
      <c r="C5518" s="4" t="n"/>
      <c r="D5518" s="4" t="n"/>
      <c r="E5518" s="4" t="n"/>
      <c r="F5518" s="4" t="n"/>
    </row>
    <row r="5519" ht="28" customHeight="1">
      <c r="A5519" s="4" t="n"/>
      <c r="B5519" s="4" t="n"/>
      <c r="C5519" s="4" t="n"/>
      <c r="D5519" s="4" t="n"/>
      <c r="E5519" s="4" t="n"/>
      <c r="F5519" s="4" t="n"/>
    </row>
    <row r="5520" ht="28" customHeight="1">
      <c r="A5520" s="4" t="n"/>
      <c r="B5520" s="4" t="n"/>
      <c r="C5520" s="4" t="n"/>
      <c r="D5520" s="4" t="n"/>
      <c r="E5520" s="4" t="n"/>
      <c r="F5520" s="4" t="n"/>
    </row>
    <row r="5521" ht="28" customHeight="1">
      <c r="A5521" s="4" t="n"/>
      <c r="B5521" s="4" t="n"/>
      <c r="C5521" s="4" t="n"/>
      <c r="D5521" s="4" t="n"/>
      <c r="E5521" s="4" t="n"/>
      <c r="F5521" s="4" t="n"/>
    </row>
    <row r="5522" ht="28" customHeight="1">
      <c r="A5522" s="4" t="n"/>
      <c r="B5522" s="4" t="n"/>
      <c r="C5522" s="4" t="n"/>
      <c r="D5522" s="4" t="n"/>
      <c r="E5522" s="4" t="n"/>
      <c r="F5522" s="4" t="n"/>
    </row>
    <row r="5523" ht="28" customHeight="1">
      <c r="A5523" s="4" t="n"/>
      <c r="B5523" s="4" t="n"/>
      <c r="C5523" s="4" t="n"/>
      <c r="D5523" s="4" t="n"/>
      <c r="E5523" s="4" t="n"/>
      <c r="F5523" s="4" t="n"/>
    </row>
    <row r="5524" ht="28" customHeight="1">
      <c r="A5524" s="4" t="n"/>
      <c r="B5524" s="4" t="n"/>
      <c r="C5524" s="4" t="n"/>
      <c r="D5524" s="4" t="n"/>
      <c r="E5524" s="4" t="n"/>
      <c r="F5524" s="4" t="n"/>
    </row>
    <row r="5525" ht="28" customHeight="1">
      <c r="A5525" s="4" t="n"/>
      <c r="B5525" s="4" t="n"/>
      <c r="C5525" s="4" t="n"/>
      <c r="D5525" s="4" t="n"/>
      <c r="E5525" s="4" t="n"/>
      <c r="F5525" s="4" t="n"/>
    </row>
    <row r="5526" ht="28" customHeight="1">
      <c r="A5526" s="4" t="n"/>
      <c r="B5526" s="4" t="n"/>
      <c r="C5526" s="4" t="n"/>
      <c r="D5526" s="4" t="n"/>
      <c r="E5526" s="4" t="n"/>
      <c r="F5526" s="4" t="n"/>
    </row>
    <row r="5527" ht="28" customHeight="1">
      <c r="A5527" s="4" t="n"/>
      <c r="B5527" s="4" t="n"/>
      <c r="C5527" s="4" t="n"/>
      <c r="D5527" s="4" t="n"/>
      <c r="E5527" s="4" t="n"/>
      <c r="F5527" s="4" t="n"/>
    </row>
    <row r="5528" ht="28" customHeight="1">
      <c r="A5528" s="4" t="n"/>
      <c r="B5528" s="4" t="n"/>
      <c r="C5528" s="4" t="n"/>
      <c r="D5528" s="4" t="n"/>
      <c r="E5528" s="4" t="n"/>
      <c r="F5528" s="4" t="n"/>
    </row>
    <row r="5529" ht="28" customHeight="1">
      <c r="A5529" s="4" t="n"/>
      <c r="B5529" s="4" t="n"/>
      <c r="C5529" s="4" t="n"/>
      <c r="D5529" s="4" t="n"/>
      <c r="E5529" s="4" t="n"/>
      <c r="F5529" s="4" t="n"/>
    </row>
    <row r="5530" ht="28" customHeight="1">
      <c r="A5530" s="4" t="n"/>
      <c r="B5530" s="4" t="n"/>
      <c r="C5530" s="4" t="n"/>
      <c r="D5530" s="4" t="n"/>
      <c r="E5530" s="4" t="n"/>
      <c r="F5530" s="4" t="n"/>
    </row>
    <row r="5531" ht="28" customHeight="1">
      <c r="A5531" s="4" t="n"/>
      <c r="B5531" s="4" t="n"/>
      <c r="C5531" s="4" t="n"/>
      <c r="D5531" s="4" t="n"/>
      <c r="E5531" s="4" t="n"/>
      <c r="F5531" s="4" t="n"/>
    </row>
    <row r="5532" ht="28" customHeight="1">
      <c r="A5532" s="4" t="n"/>
      <c r="B5532" s="4" t="n"/>
      <c r="C5532" s="4" t="n"/>
      <c r="D5532" s="4" t="n"/>
      <c r="E5532" s="4" t="n"/>
      <c r="F5532" s="4" t="n"/>
    </row>
    <row r="5533" ht="28" customHeight="1">
      <c r="A5533" s="4" t="n"/>
      <c r="B5533" s="4" t="n"/>
      <c r="C5533" s="4" t="n"/>
      <c r="D5533" s="4" t="n"/>
      <c r="E5533" s="4" t="n"/>
      <c r="F5533" s="4" t="n"/>
    </row>
    <row r="5534" ht="28" customHeight="1">
      <c r="A5534" s="4" t="n"/>
      <c r="B5534" s="4" t="n"/>
      <c r="C5534" s="4" t="n"/>
      <c r="D5534" s="4" t="n"/>
      <c r="E5534" s="4" t="n"/>
      <c r="F5534" s="4" t="n"/>
    </row>
    <row r="5535" ht="28" customHeight="1">
      <c r="A5535" s="4" t="n"/>
      <c r="B5535" s="4" t="n"/>
      <c r="C5535" s="4" t="n"/>
      <c r="D5535" s="4" t="n"/>
      <c r="E5535" s="4" t="n"/>
      <c r="F5535" s="4" t="n"/>
    </row>
    <row r="5536" ht="28" customHeight="1">
      <c r="A5536" s="4" t="n"/>
      <c r="B5536" s="4" t="n"/>
      <c r="C5536" s="4" t="n"/>
      <c r="D5536" s="4" t="n"/>
      <c r="E5536" s="4" t="n"/>
      <c r="F5536" s="4" t="n"/>
    </row>
    <row r="5537" ht="28" customHeight="1">
      <c r="A5537" s="4" t="n"/>
      <c r="B5537" s="4" t="n"/>
      <c r="C5537" s="4" t="n"/>
      <c r="D5537" s="4" t="n"/>
      <c r="E5537" s="4" t="n"/>
      <c r="F5537" s="4" t="n"/>
    </row>
    <row r="5538" ht="28" customHeight="1">
      <c r="A5538" s="4" t="n"/>
      <c r="B5538" s="4" t="n"/>
      <c r="C5538" s="4" t="n"/>
      <c r="D5538" s="4" t="n"/>
      <c r="E5538" s="4" t="n"/>
      <c r="F5538" s="4" t="n"/>
    </row>
    <row r="5539" ht="28" customHeight="1">
      <c r="A5539" s="4" t="n"/>
      <c r="B5539" s="4" t="n"/>
      <c r="C5539" s="4" t="n"/>
      <c r="D5539" s="4" t="n"/>
      <c r="E5539" s="4" t="n"/>
      <c r="F5539" s="4" t="n"/>
    </row>
    <row r="5540" ht="28" customHeight="1">
      <c r="A5540" s="4" t="n"/>
      <c r="B5540" s="4" t="n"/>
      <c r="C5540" s="4" t="n"/>
      <c r="D5540" s="4" t="n"/>
      <c r="E5540" s="4" t="n"/>
      <c r="F5540" s="4" t="n"/>
    </row>
    <row r="5541" ht="28" customHeight="1">
      <c r="A5541" s="4" t="n"/>
      <c r="B5541" s="4" t="n"/>
      <c r="C5541" s="4" t="n"/>
      <c r="D5541" s="4" t="n"/>
      <c r="E5541" s="4" t="n"/>
      <c r="F5541" s="4" t="n"/>
    </row>
    <row r="5542" ht="28" customHeight="1">
      <c r="A5542" s="4" t="n"/>
      <c r="B5542" s="4" t="n"/>
      <c r="C5542" s="4" t="n"/>
      <c r="D5542" s="4" t="n"/>
      <c r="E5542" s="4" t="n"/>
      <c r="F5542" s="4" t="n"/>
    </row>
    <row r="5543" ht="28" customHeight="1">
      <c r="A5543" s="4" t="n"/>
      <c r="B5543" s="4" t="n"/>
      <c r="C5543" s="4" t="n"/>
      <c r="D5543" s="4" t="n"/>
      <c r="E5543" s="4" t="n"/>
      <c r="F5543" s="4" t="n"/>
    </row>
    <row r="5544" ht="28" customHeight="1">
      <c r="A5544" s="4" t="n"/>
      <c r="B5544" s="4" t="n"/>
      <c r="C5544" s="4" t="n"/>
      <c r="D5544" s="4" t="n"/>
      <c r="E5544" s="4" t="n"/>
      <c r="F5544" s="4" t="n"/>
    </row>
    <row r="5545" ht="28" customHeight="1">
      <c r="A5545" s="4" t="n"/>
      <c r="B5545" s="4" t="n"/>
      <c r="C5545" s="4" t="n"/>
      <c r="D5545" s="4" t="n"/>
      <c r="E5545" s="4" t="n"/>
      <c r="F5545" s="4" t="n"/>
    </row>
    <row r="5546" ht="28" customHeight="1">
      <c r="A5546" s="4" t="n"/>
      <c r="B5546" s="4" t="n"/>
      <c r="C5546" s="4" t="n"/>
      <c r="D5546" s="4" t="n"/>
      <c r="E5546" s="4" t="n"/>
      <c r="F5546" s="4" t="n"/>
    </row>
    <row r="5547" ht="28" customHeight="1">
      <c r="A5547" s="4" t="n"/>
      <c r="B5547" s="4" t="n"/>
      <c r="C5547" s="4" t="n"/>
      <c r="D5547" s="4" t="n"/>
      <c r="E5547" s="4" t="n"/>
      <c r="F5547" s="4" t="n"/>
    </row>
    <row r="5548" ht="28" customHeight="1">
      <c r="A5548" s="4" t="n"/>
      <c r="B5548" s="4" t="n"/>
      <c r="C5548" s="4" t="n"/>
      <c r="D5548" s="4" t="n"/>
      <c r="E5548" s="4" t="n"/>
      <c r="F5548" s="4" t="n"/>
    </row>
    <row r="5549" ht="28" customHeight="1">
      <c r="A5549" s="4" t="n"/>
      <c r="B5549" s="4" t="n"/>
      <c r="C5549" s="4" t="n"/>
      <c r="D5549" s="4" t="n"/>
      <c r="E5549" s="4" t="n"/>
      <c r="F5549" s="4" t="n"/>
    </row>
    <row r="5550" ht="28" customHeight="1">
      <c r="A5550" s="4" t="n"/>
      <c r="B5550" s="4" t="n"/>
      <c r="C5550" s="4" t="n"/>
      <c r="D5550" s="4" t="n"/>
      <c r="E5550" s="4" t="n"/>
      <c r="F5550" s="4" t="n"/>
    </row>
    <row r="5551" ht="28" customHeight="1">
      <c r="A5551" s="4" t="n"/>
      <c r="B5551" s="4" t="n"/>
      <c r="C5551" s="4" t="n"/>
      <c r="D5551" s="4" t="n"/>
      <c r="E5551" s="4" t="n"/>
      <c r="F5551" s="4" t="n"/>
    </row>
    <row r="5552" ht="28" customHeight="1">
      <c r="A5552" s="4" t="n"/>
      <c r="B5552" s="4" t="n"/>
      <c r="C5552" s="4" t="n"/>
      <c r="D5552" s="4" t="n"/>
      <c r="E5552" s="4" t="n"/>
      <c r="F5552" s="4" t="n"/>
    </row>
    <row r="5553" ht="28" customHeight="1">
      <c r="A5553" s="4" t="n"/>
      <c r="B5553" s="4" t="n"/>
      <c r="C5553" s="4" t="n"/>
      <c r="D5553" s="4" t="n"/>
      <c r="E5553" s="4" t="n"/>
      <c r="F5553" s="4" t="n"/>
    </row>
    <row r="5554" ht="28" customHeight="1">
      <c r="A5554" s="4" t="n"/>
      <c r="B5554" s="4" t="n"/>
      <c r="C5554" s="4" t="n"/>
      <c r="D5554" s="4" t="n"/>
      <c r="E5554" s="4" t="n"/>
      <c r="F5554" s="4" t="n"/>
    </row>
    <row r="5555" ht="28" customHeight="1">
      <c r="A5555" s="4" t="n"/>
      <c r="B5555" s="4" t="n"/>
      <c r="C5555" s="4" t="n"/>
      <c r="D5555" s="4" t="n"/>
      <c r="E5555" s="4" t="n"/>
      <c r="F5555" s="4" t="n"/>
    </row>
    <row r="5556" ht="28" customHeight="1">
      <c r="A5556" s="4" t="n"/>
      <c r="B5556" s="4" t="n"/>
      <c r="C5556" s="4" t="n"/>
      <c r="D5556" s="4" t="n"/>
      <c r="E5556" s="4" t="n"/>
      <c r="F5556" s="4" t="n"/>
    </row>
    <row r="5557" ht="28" customHeight="1">
      <c r="A5557" s="4" t="n"/>
      <c r="B5557" s="4" t="n"/>
      <c r="C5557" s="4" t="n"/>
      <c r="D5557" s="4" t="n"/>
      <c r="E5557" s="4" t="n"/>
      <c r="F5557" s="4" t="n"/>
    </row>
    <row r="5558" ht="28" customHeight="1">
      <c r="A5558" s="4" t="n"/>
      <c r="B5558" s="4" t="n"/>
      <c r="C5558" s="4" t="n"/>
      <c r="D5558" s="4" t="n"/>
      <c r="E5558" s="4" t="n"/>
      <c r="F5558" s="4" t="n"/>
    </row>
    <row r="5559" ht="28" customHeight="1">
      <c r="A5559" s="4" t="n"/>
      <c r="B5559" s="4" t="n"/>
      <c r="C5559" s="4" t="n"/>
      <c r="D5559" s="4" t="n"/>
      <c r="E5559" s="4" t="n"/>
      <c r="F5559" s="4" t="n"/>
    </row>
    <row r="5560" ht="28" customHeight="1">
      <c r="A5560" s="4" t="n"/>
      <c r="B5560" s="4" t="n"/>
      <c r="C5560" s="4" t="n"/>
      <c r="D5560" s="4" t="n"/>
      <c r="E5560" s="4" t="n"/>
      <c r="F5560" s="4" t="n"/>
    </row>
    <row r="5561" ht="28" customHeight="1">
      <c r="A5561" s="4" t="n"/>
      <c r="B5561" s="4" t="n"/>
      <c r="C5561" s="4" t="n"/>
      <c r="D5561" s="4" t="n"/>
      <c r="E5561" s="4" t="n"/>
      <c r="F5561" s="4" t="n"/>
    </row>
    <row r="5562" ht="28" customHeight="1">
      <c r="A5562" s="4" t="n"/>
      <c r="B5562" s="4" t="n"/>
      <c r="C5562" s="4" t="n"/>
      <c r="D5562" s="4" t="n"/>
      <c r="E5562" s="4" t="n"/>
      <c r="F5562" s="4" t="n"/>
    </row>
    <row r="5563" ht="28" customHeight="1">
      <c r="A5563" s="4" t="n"/>
      <c r="B5563" s="4" t="n"/>
      <c r="C5563" s="4" t="n"/>
      <c r="D5563" s="4" t="n"/>
      <c r="E5563" s="4" t="n"/>
      <c r="F5563" s="4" t="n"/>
    </row>
    <row r="5564" ht="28" customHeight="1">
      <c r="A5564" s="4" t="n"/>
      <c r="B5564" s="4" t="n"/>
      <c r="C5564" s="4" t="n"/>
      <c r="D5564" s="4" t="n"/>
      <c r="E5564" s="4" t="n"/>
      <c r="F5564" s="4" t="n"/>
    </row>
    <row r="5565" ht="28" customHeight="1">
      <c r="A5565" s="4" t="n"/>
      <c r="B5565" s="4" t="n"/>
      <c r="C5565" s="4" t="n"/>
      <c r="D5565" s="4" t="n"/>
      <c r="E5565" s="4" t="n"/>
      <c r="F5565" s="4" t="n"/>
    </row>
    <row r="5566" ht="28" customHeight="1">
      <c r="A5566" s="4" t="n"/>
      <c r="B5566" s="4" t="n"/>
      <c r="C5566" s="4" t="n"/>
      <c r="D5566" s="4" t="n"/>
      <c r="E5566" s="4" t="n"/>
      <c r="F5566" s="4" t="n"/>
    </row>
    <row r="5567" ht="28" customHeight="1">
      <c r="A5567" s="4" t="n"/>
      <c r="B5567" s="4" t="n"/>
      <c r="C5567" s="4" t="n"/>
      <c r="D5567" s="4" t="n"/>
      <c r="E5567" s="4" t="n"/>
      <c r="F5567" s="4" t="n"/>
    </row>
    <row r="5568" ht="28" customHeight="1">
      <c r="A5568" s="4" t="n"/>
      <c r="B5568" s="4" t="n"/>
      <c r="C5568" s="4" t="n"/>
      <c r="D5568" s="4" t="n"/>
      <c r="E5568" s="4" t="n"/>
      <c r="F5568" s="4" t="n"/>
    </row>
    <row r="5569" ht="28" customHeight="1">
      <c r="A5569" s="4" t="n"/>
      <c r="B5569" s="4" t="n"/>
      <c r="C5569" s="4" t="n"/>
      <c r="D5569" s="4" t="n"/>
      <c r="E5569" s="4" t="n"/>
      <c r="F5569" s="4" t="n"/>
    </row>
    <row r="5570" ht="28" customHeight="1">
      <c r="A5570" s="4" t="n"/>
      <c r="B5570" s="4" t="n"/>
      <c r="C5570" s="4" t="n"/>
      <c r="D5570" s="4" t="n"/>
      <c r="E5570" s="4" t="n"/>
      <c r="F5570" s="4" t="n"/>
    </row>
    <row r="5571" ht="28" customHeight="1">
      <c r="A5571" s="4" t="n"/>
      <c r="B5571" s="4" t="n"/>
      <c r="C5571" s="4" t="n"/>
      <c r="D5571" s="4" t="n"/>
      <c r="E5571" s="4" t="n"/>
      <c r="F5571" s="4" t="n"/>
    </row>
    <row r="5572" ht="28" customHeight="1">
      <c r="A5572" s="4" t="n"/>
      <c r="B5572" s="4" t="n"/>
      <c r="C5572" s="4" t="n"/>
      <c r="D5572" s="4" t="n"/>
      <c r="E5572" s="4" t="n"/>
      <c r="F5572" s="4" t="n"/>
    </row>
    <row r="5573" ht="28" customHeight="1">
      <c r="A5573" s="4" t="n"/>
      <c r="B5573" s="4" t="n"/>
      <c r="C5573" s="4" t="n"/>
      <c r="D5573" s="4" t="n"/>
      <c r="E5573" s="4" t="n"/>
      <c r="F5573" s="4" t="n"/>
    </row>
    <row r="5574" ht="28" customHeight="1">
      <c r="A5574" s="4" t="n"/>
      <c r="B5574" s="4" t="n"/>
      <c r="C5574" s="4" t="n"/>
      <c r="D5574" s="4" t="n"/>
      <c r="E5574" s="4" t="n"/>
      <c r="F5574" s="4" t="n"/>
    </row>
    <row r="5575" ht="28" customHeight="1">
      <c r="A5575" s="4" t="n"/>
      <c r="B5575" s="4" t="n"/>
      <c r="C5575" s="4" t="n"/>
      <c r="D5575" s="4" t="n"/>
      <c r="E5575" s="4" t="n"/>
      <c r="F5575" s="4" t="n"/>
    </row>
    <row r="5576" ht="28" customHeight="1">
      <c r="A5576" s="4" t="n"/>
      <c r="B5576" s="4" t="n"/>
      <c r="C5576" s="4" t="n"/>
      <c r="D5576" s="4" t="n"/>
      <c r="E5576" s="4" t="n"/>
      <c r="F5576" s="4" t="n"/>
    </row>
    <row r="5577" ht="28" customHeight="1">
      <c r="A5577" s="4" t="n"/>
      <c r="B5577" s="4" t="n"/>
      <c r="C5577" s="4" t="n"/>
      <c r="D5577" s="4" t="n"/>
      <c r="E5577" s="4" t="n"/>
      <c r="F5577" s="4" t="n"/>
    </row>
    <row r="5578" ht="28" customHeight="1">
      <c r="A5578" s="4" t="n"/>
      <c r="B5578" s="4" t="n"/>
      <c r="C5578" s="4" t="n"/>
      <c r="D5578" s="4" t="n"/>
      <c r="E5578" s="4" t="n"/>
      <c r="F5578" s="4" t="n"/>
    </row>
    <row r="5579" ht="28" customHeight="1">
      <c r="A5579" s="4" t="n"/>
      <c r="B5579" s="4" t="n"/>
      <c r="C5579" s="4" t="n"/>
      <c r="D5579" s="4" t="n"/>
      <c r="E5579" s="4" t="n"/>
      <c r="F5579" s="4" t="n"/>
    </row>
    <row r="5580" ht="28" customHeight="1">
      <c r="A5580" s="4" t="n"/>
      <c r="B5580" s="4" t="n"/>
      <c r="C5580" s="4" t="n"/>
      <c r="D5580" s="4" t="n"/>
      <c r="E5580" s="4" t="n"/>
      <c r="F5580" s="4" t="n"/>
    </row>
    <row r="5581" ht="28" customHeight="1">
      <c r="A5581" s="4" t="n"/>
      <c r="B5581" s="4" t="n"/>
      <c r="C5581" s="4" t="n"/>
      <c r="D5581" s="4" t="n"/>
      <c r="E5581" s="4" t="n"/>
      <c r="F5581" s="4" t="n"/>
    </row>
    <row r="5582" ht="28" customHeight="1">
      <c r="A5582" s="4" t="n"/>
      <c r="B5582" s="4" t="n"/>
      <c r="C5582" s="4" t="n"/>
      <c r="D5582" s="4" t="n"/>
      <c r="E5582" s="4" t="n"/>
      <c r="F5582" s="4" t="n"/>
    </row>
    <row r="5583" ht="28" customHeight="1">
      <c r="A5583" s="4" t="n"/>
      <c r="B5583" s="4" t="n"/>
      <c r="C5583" s="4" t="n"/>
      <c r="D5583" s="4" t="n"/>
      <c r="E5583" s="4" t="n"/>
      <c r="F5583" s="4" t="n"/>
    </row>
    <row r="5584" ht="28" customHeight="1">
      <c r="A5584" s="4" t="n"/>
      <c r="B5584" s="4" t="n"/>
      <c r="C5584" s="4" t="n"/>
      <c r="D5584" s="4" t="n"/>
      <c r="E5584" s="4" t="n"/>
      <c r="F5584" s="4" t="n"/>
    </row>
    <row r="5585" ht="28" customHeight="1">
      <c r="A5585" s="4" t="n"/>
      <c r="B5585" s="4" t="n"/>
      <c r="C5585" s="4" t="n"/>
      <c r="D5585" s="4" t="n"/>
      <c r="E5585" s="4" t="n"/>
      <c r="F5585" s="4" t="n"/>
    </row>
    <row r="5586" ht="28" customHeight="1">
      <c r="A5586" s="4" t="n"/>
      <c r="B5586" s="4" t="n"/>
      <c r="C5586" s="4" t="n"/>
      <c r="D5586" s="4" t="n"/>
      <c r="E5586" s="4" t="n"/>
      <c r="F5586" s="4" t="n"/>
    </row>
    <row r="5587" ht="28" customHeight="1">
      <c r="A5587" s="4" t="n"/>
      <c r="B5587" s="4" t="n"/>
      <c r="C5587" s="4" t="n"/>
      <c r="D5587" s="4" t="n"/>
      <c r="E5587" s="4" t="n"/>
      <c r="F5587" s="4" t="n"/>
    </row>
    <row r="5588" ht="28" customHeight="1">
      <c r="A5588" s="4" t="n"/>
      <c r="B5588" s="4" t="n"/>
      <c r="C5588" s="4" t="n"/>
      <c r="D5588" s="4" t="n"/>
      <c r="E5588" s="4" t="n"/>
      <c r="F5588" s="4" t="n"/>
    </row>
    <row r="5589" ht="28" customHeight="1">
      <c r="A5589" s="4" t="n"/>
      <c r="B5589" s="4" t="n"/>
      <c r="C5589" s="4" t="n"/>
      <c r="D5589" s="4" t="n"/>
      <c r="E5589" s="4" t="n"/>
      <c r="F5589" s="4" t="n"/>
    </row>
    <row r="5590" ht="28" customHeight="1">
      <c r="A5590" s="4" t="n"/>
      <c r="B5590" s="4" t="n"/>
      <c r="C5590" s="4" t="n"/>
      <c r="D5590" s="4" t="n"/>
      <c r="E5590" s="4" t="n"/>
      <c r="F5590" s="4" t="n"/>
    </row>
    <row r="5591" ht="28" customHeight="1">
      <c r="A5591" s="4" t="n"/>
      <c r="B5591" s="4" t="n"/>
      <c r="C5591" s="4" t="n"/>
      <c r="D5591" s="4" t="n"/>
      <c r="E5591" s="4" t="n"/>
      <c r="F5591" s="4" t="n"/>
    </row>
    <row r="5592" ht="28" customHeight="1">
      <c r="A5592" s="4" t="n"/>
      <c r="B5592" s="4" t="n"/>
      <c r="C5592" s="4" t="n"/>
      <c r="D5592" s="4" t="n"/>
      <c r="E5592" s="4" t="n"/>
      <c r="F5592" s="4" t="n"/>
    </row>
    <row r="5593" ht="28" customHeight="1">
      <c r="A5593" s="4" t="n"/>
      <c r="B5593" s="4" t="n"/>
      <c r="C5593" s="4" t="n"/>
      <c r="D5593" s="4" t="n"/>
      <c r="E5593" s="4" t="n"/>
      <c r="F5593" s="4" t="n"/>
    </row>
    <row r="5594" ht="28" customHeight="1">
      <c r="A5594" s="4" t="n"/>
      <c r="B5594" s="4" t="n"/>
      <c r="C5594" s="4" t="n"/>
      <c r="D5594" s="4" t="n"/>
      <c r="E5594" s="4" t="n"/>
      <c r="F5594" s="4" t="n"/>
    </row>
    <row r="5595" ht="28" customHeight="1">
      <c r="A5595" s="4" t="n"/>
      <c r="B5595" s="4" t="n"/>
      <c r="C5595" s="4" t="n"/>
      <c r="D5595" s="4" t="n"/>
      <c r="E5595" s="4" t="n"/>
      <c r="F5595" s="4" t="n"/>
    </row>
    <row r="5596" ht="28" customHeight="1">
      <c r="A5596" s="4" t="n"/>
      <c r="B5596" s="4" t="n"/>
      <c r="C5596" s="4" t="n"/>
      <c r="D5596" s="4" t="n"/>
      <c r="E5596" s="4" t="n"/>
      <c r="F5596" s="4" t="n"/>
    </row>
    <row r="5597" ht="28" customHeight="1">
      <c r="A5597" s="4" t="n"/>
      <c r="B5597" s="4" t="n"/>
      <c r="C5597" s="4" t="n"/>
      <c r="D5597" s="4" t="n"/>
      <c r="E5597" s="4" t="n"/>
      <c r="F5597" s="4" t="n"/>
    </row>
    <row r="5598" ht="28" customHeight="1">
      <c r="A5598" s="4" t="n"/>
      <c r="B5598" s="4" t="n"/>
      <c r="C5598" s="4" t="n"/>
      <c r="D5598" s="4" t="n"/>
      <c r="E5598" s="4" t="n"/>
      <c r="F5598" s="4" t="n"/>
    </row>
    <row r="5599" ht="28" customHeight="1">
      <c r="A5599" s="4" t="n"/>
      <c r="B5599" s="4" t="n"/>
      <c r="C5599" s="4" t="n"/>
      <c r="D5599" s="4" t="n"/>
      <c r="E5599" s="4" t="n"/>
      <c r="F5599" s="4" t="n"/>
    </row>
    <row r="5600" ht="28" customHeight="1">
      <c r="A5600" s="4" t="n"/>
      <c r="B5600" s="4" t="n"/>
      <c r="C5600" s="4" t="n"/>
      <c r="D5600" s="4" t="n"/>
      <c r="E5600" s="4" t="n"/>
      <c r="F5600" s="4" t="n"/>
    </row>
    <row r="5601" ht="28" customHeight="1">
      <c r="A5601" s="4" t="n"/>
      <c r="B5601" s="4" t="n"/>
      <c r="C5601" s="4" t="n"/>
      <c r="D5601" s="4" t="n"/>
      <c r="E5601" s="4" t="n"/>
      <c r="F5601" s="4" t="n"/>
    </row>
    <row r="5602" ht="28" customHeight="1">
      <c r="A5602" s="4" t="n"/>
      <c r="B5602" s="4" t="n"/>
      <c r="C5602" s="4" t="n"/>
      <c r="D5602" s="4" t="n"/>
      <c r="E5602" s="4" t="n"/>
      <c r="F5602" s="4" t="n"/>
    </row>
    <row r="5603" ht="28" customHeight="1">
      <c r="A5603" s="4" t="n"/>
      <c r="B5603" s="4" t="n"/>
      <c r="C5603" s="4" t="n"/>
      <c r="D5603" s="4" t="n"/>
      <c r="E5603" s="4" t="n"/>
      <c r="F5603" s="4" t="n"/>
    </row>
    <row r="5604" ht="28" customHeight="1">
      <c r="A5604" s="4" t="n"/>
      <c r="B5604" s="4" t="n"/>
      <c r="C5604" s="4" t="n"/>
      <c r="D5604" s="4" t="n"/>
      <c r="E5604" s="4" t="n"/>
      <c r="F5604" s="4" t="n"/>
    </row>
    <row r="5605" ht="28" customHeight="1">
      <c r="A5605" s="4" t="n"/>
      <c r="B5605" s="4" t="n"/>
      <c r="C5605" s="4" t="n"/>
      <c r="D5605" s="4" t="n"/>
      <c r="E5605" s="4" t="n"/>
      <c r="F5605" s="4" t="n"/>
    </row>
    <row r="5606" ht="28" customHeight="1">
      <c r="A5606" s="4" t="n"/>
      <c r="B5606" s="4" t="n"/>
      <c r="C5606" s="4" t="n"/>
      <c r="D5606" s="4" t="n"/>
      <c r="E5606" s="4" t="n"/>
      <c r="F5606" s="4" t="n"/>
    </row>
    <row r="5607" ht="28" customHeight="1">
      <c r="A5607" s="4" t="n"/>
      <c r="B5607" s="4" t="n"/>
      <c r="C5607" s="4" t="n"/>
      <c r="D5607" s="4" t="n"/>
      <c r="E5607" s="4" t="n"/>
      <c r="F5607" s="4" t="n"/>
    </row>
    <row r="5608" ht="28" customHeight="1">
      <c r="A5608" s="4" t="n"/>
      <c r="B5608" s="4" t="n"/>
      <c r="C5608" s="4" t="n"/>
      <c r="D5608" s="4" t="n"/>
      <c r="E5608" s="4" t="n"/>
      <c r="F5608" s="4" t="n"/>
    </row>
    <row r="5609" ht="28" customHeight="1">
      <c r="A5609" s="4" t="n"/>
      <c r="B5609" s="4" t="n"/>
      <c r="C5609" s="4" t="n"/>
      <c r="D5609" s="4" t="n"/>
      <c r="E5609" s="4" t="n"/>
      <c r="F5609" s="4" t="n"/>
    </row>
    <row r="5610" ht="28" customHeight="1">
      <c r="A5610" s="4" t="n"/>
      <c r="B5610" s="4" t="n"/>
      <c r="C5610" s="4" t="n"/>
      <c r="D5610" s="4" t="n"/>
      <c r="E5610" s="4" t="n"/>
      <c r="F5610" s="4" t="n"/>
    </row>
    <row r="5611" ht="28" customHeight="1">
      <c r="A5611" s="4" t="n"/>
      <c r="B5611" s="4" t="n"/>
      <c r="C5611" s="4" t="n"/>
      <c r="D5611" s="4" t="n"/>
      <c r="E5611" s="4" t="n"/>
      <c r="F5611" s="4" t="n"/>
    </row>
    <row r="5612" ht="28" customHeight="1">
      <c r="A5612" s="4" t="n"/>
      <c r="B5612" s="4" t="n"/>
      <c r="C5612" s="4" t="n"/>
      <c r="D5612" s="4" t="n"/>
      <c r="E5612" s="4" t="n"/>
      <c r="F5612" s="4" t="n"/>
    </row>
    <row r="5613" ht="28" customHeight="1">
      <c r="A5613" s="4" t="n"/>
      <c r="B5613" s="4" t="n"/>
      <c r="C5613" s="4" t="n"/>
      <c r="D5613" s="4" t="n"/>
      <c r="E5613" s="4" t="n"/>
      <c r="F5613" s="4" t="n"/>
    </row>
    <row r="5614" ht="28" customHeight="1">
      <c r="A5614" s="4" t="n"/>
      <c r="B5614" s="4" t="n"/>
      <c r="C5614" s="4" t="n"/>
      <c r="D5614" s="4" t="n"/>
      <c r="E5614" s="4" t="n"/>
      <c r="F5614" s="4" t="n"/>
    </row>
    <row r="5615" ht="28" customHeight="1">
      <c r="A5615" s="4" t="n"/>
      <c r="B5615" s="4" t="n"/>
      <c r="C5615" s="4" t="n"/>
      <c r="D5615" s="4" t="n"/>
      <c r="E5615" s="4" t="n"/>
      <c r="F5615" s="4" t="n"/>
    </row>
    <row r="5616" ht="28" customHeight="1">
      <c r="A5616" s="4" t="n"/>
      <c r="B5616" s="4" t="n"/>
      <c r="C5616" s="4" t="n"/>
      <c r="D5616" s="4" t="n"/>
      <c r="E5616" s="4" t="n"/>
      <c r="F5616" s="4" t="n"/>
    </row>
    <row r="5617" ht="28" customHeight="1">
      <c r="A5617" s="4" t="n"/>
      <c r="B5617" s="4" t="n"/>
      <c r="C5617" s="4" t="n"/>
      <c r="D5617" s="4" t="n"/>
      <c r="E5617" s="4" t="n"/>
      <c r="F5617" s="4" t="n"/>
    </row>
    <row r="5618" ht="28" customHeight="1">
      <c r="A5618" s="4" t="n"/>
      <c r="B5618" s="4" t="n"/>
      <c r="C5618" s="4" t="n"/>
      <c r="D5618" s="4" t="n"/>
      <c r="E5618" s="4" t="n"/>
      <c r="F5618" s="4" t="n"/>
    </row>
    <row r="5619" ht="28" customHeight="1">
      <c r="A5619" s="4" t="n"/>
      <c r="B5619" s="4" t="n"/>
      <c r="C5619" s="4" t="n"/>
      <c r="D5619" s="4" t="n"/>
      <c r="E5619" s="4" t="n"/>
      <c r="F5619" s="4" t="n"/>
    </row>
    <row r="5620" ht="28" customHeight="1">
      <c r="A5620" s="4" t="n"/>
      <c r="B5620" s="4" t="n"/>
      <c r="C5620" s="4" t="n"/>
      <c r="D5620" s="4" t="n"/>
      <c r="E5620" s="4" t="n"/>
      <c r="F5620" s="4" t="n"/>
    </row>
    <row r="5621" ht="28" customHeight="1">
      <c r="A5621" s="4" t="n"/>
      <c r="B5621" s="4" t="n"/>
      <c r="C5621" s="4" t="n"/>
      <c r="D5621" s="4" t="n"/>
      <c r="E5621" s="4" t="n"/>
      <c r="F5621" s="4" t="n"/>
    </row>
    <row r="5622" ht="28" customHeight="1">
      <c r="A5622" s="4" t="n"/>
      <c r="B5622" s="4" t="n"/>
      <c r="C5622" s="4" t="n"/>
      <c r="D5622" s="4" t="n"/>
      <c r="E5622" s="4" t="n"/>
      <c r="F5622" s="4" t="n"/>
    </row>
    <row r="5623" ht="28" customHeight="1">
      <c r="A5623" s="4" t="n"/>
      <c r="B5623" s="4" t="n"/>
      <c r="C5623" s="4" t="n"/>
      <c r="D5623" s="4" t="n"/>
      <c r="E5623" s="4" t="n"/>
      <c r="F5623" s="4" t="n"/>
    </row>
    <row r="5624" ht="28" customHeight="1">
      <c r="A5624" s="4" t="n"/>
      <c r="B5624" s="4" t="n"/>
      <c r="C5624" s="4" t="n"/>
      <c r="D5624" s="4" t="n"/>
      <c r="E5624" s="4" t="n"/>
      <c r="F5624" s="4" t="n"/>
    </row>
    <row r="5625" ht="28" customHeight="1">
      <c r="A5625" s="4" t="n"/>
      <c r="B5625" s="4" t="n"/>
      <c r="C5625" s="4" t="n"/>
      <c r="D5625" s="4" t="n"/>
      <c r="E5625" s="4" t="n"/>
      <c r="F5625" s="4" t="n"/>
    </row>
    <row r="5626" ht="28" customHeight="1">
      <c r="A5626" s="4" t="n"/>
      <c r="B5626" s="4" t="n"/>
      <c r="C5626" s="4" t="n"/>
      <c r="D5626" s="4" t="n"/>
      <c r="E5626" s="4" t="n"/>
      <c r="F5626" s="4" t="n"/>
    </row>
    <row r="5627" ht="28" customHeight="1">
      <c r="A5627" s="4" t="n"/>
      <c r="B5627" s="4" t="n"/>
      <c r="C5627" s="4" t="n"/>
      <c r="D5627" s="4" t="n"/>
      <c r="E5627" s="4" t="n"/>
      <c r="F5627" s="4" t="n"/>
    </row>
    <row r="5628" ht="28" customHeight="1">
      <c r="A5628" s="4" t="n"/>
      <c r="B5628" s="4" t="n"/>
      <c r="C5628" s="4" t="n"/>
      <c r="D5628" s="4" t="n"/>
      <c r="E5628" s="4" t="n"/>
      <c r="F5628" s="4" t="n"/>
    </row>
    <row r="5629" ht="28" customHeight="1">
      <c r="A5629" s="4" t="n"/>
      <c r="B5629" s="4" t="n"/>
      <c r="C5629" s="4" t="n"/>
      <c r="D5629" s="4" t="n"/>
      <c r="E5629" s="4" t="n"/>
      <c r="F5629" s="4" t="n"/>
    </row>
    <row r="5630" ht="28" customHeight="1">
      <c r="A5630" s="4" t="n"/>
      <c r="B5630" s="4" t="n"/>
      <c r="C5630" s="4" t="n"/>
      <c r="D5630" s="4" t="n"/>
      <c r="E5630" s="4" t="n"/>
      <c r="F5630" s="4" t="n"/>
    </row>
    <row r="5631" ht="28" customHeight="1">
      <c r="A5631" s="4" t="n"/>
      <c r="B5631" s="4" t="n"/>
      <c r="C5631" s="4" t="n"/>
      <c r="D5631" s="4" t="n"/>
      <c r="E5631" s="4" t="n"/>
      <c r="F5631" s="4" t="n"/>
    </row>
    <row r="5632" ht="28" customHeight="1">
      <c r="A5632" s="4" t="n"/>
      <c r="B5632" s="4" t="n"/>
      <c r="C5632" s="4" t="n"/>
      <c r="D5632" s="4" t="n"/>
      <c r="E5632" s="4" t="n"/>
      <c r="F5632" s="4" t="n"/>
    </row>
    <row r="5633" ht="28" customHeight="1">
      <c r="A5633" s="4" t="n"/>
      <c r="B5633" s="4" t="n"/>
      <c r="C5633" s="4" t="n"/>
      <c r="D5633" s="4" t="n"/>
      <c r="E5633" s="4" t="n"/>
      <c r="F5633" s="4" t="n"/>
    </row>
    <row r="5634" ht="28" customHeight="1">
      <c r="A5634" s="4" t="n"/>
      <c r="B5634" s="4" t="n"/>
      <c r="C5634" s="4" t="n"/>
      <c r="D5634" s="4" t="n"/>
      <c r="E5634" s="4" t="n"/>
      <c r="F5634" s="4" t="n"/>
    </row>
    <row r="5635" ht="28" customHeight="1">
      <c r="A5635" s="4" t="n"/>
      <c r="B5635" s="4" t="n"/>
      <c r="C5635" s="4" t="n"/>
      <c r="D5635" s="4" t="n"/>
      <c r="E5635" s="4" t="n"/>
      <c r="F5635" s="4" t="n"/>
    </row>
    <row r="5636" ht="28" customHeight="1">
      <c r="A5636" s="4" t="n"/>
      <c r="B5636" s="4" t="n"/>
      <c r="C5636" s="4" t="n"/>
      <c r="D5636" s="4" t="n"/>
      <c r="E5636" s="4" t="n"/>
      <c r="F5636" s="4" t="n"/>
    </row>
    <row r="5637" ht="28" customHeight="1">
      <c r="A5637" s="4" t="n"/>
      <c r="B5637" s="4" t="n"/>
      <c r="C5637" s="4" t="n"/>
      <c r="D5637" s="4" t="n"/>
      <c r="E5637" s="4" t="n"/>
      <c r="F5637" s="4" t="n"/>
    </row>
    <row r="5638" ht="28" customHeight="1">
      <c r="A5638" s="4" t="n"/>
      <c r="B5638" s="4" t="n"/>
      <c r="C5638" s="4" t="n"/>
      <c r="D5638" s="4" t="n"/>
      <c r="E5638" s="4" t="n"/>
      <c r="F5638" s="4" t="n"/>
    </row>
    <row r="5639" ht="28" customHeight="1">
      <c r="A5639" s="4" t="n"/>
      <c r="B5639" s="4" t="n"/>
      <c r="C5639" s="4" t="n"/>
      <c r="D5639" s="4" t="n"/>
      <c r="E5639" s="4" t="n"/>
      <c r="F5639" s="4" t="n"/>
    </row>
    <row r="5640" ht="28" customHeight="1">
      <c r="A5640" s="4" t="n"/>
      <c r="B5640" s="4" t="n"/>
      <c r="C5640" s="4" t="n"/>
      <c r="D5640" s="4" t="n"/>
      <c r="E5640" s="4" t="n"/>
      <c r="F5640" s="4" t="n"/>
    </row>
    <row r="5641" ht="28" customHeight="1">
      <c r="A5641" s="4" t="n"/>
      <c r="B5641" s="4" t="n"/>
      <c r="C5641" s="4" t="n"/>
      <c r="D5641" s="4" t="n"/>
      <c r="E5641" s="4" t="n"/>
      <c r="F5641" s="4" t="n"/>
    </row>
    <row r="5642" ht="28" customHeight="1">
      <c r="A5642" s="4" t="n"/>
      <c r="B5642" s="4" t="n"/>
      <c r="C5642" s="4" t="n"/>
      <c r="D5642" s="4" t="n"/>
      <c r="E5642" s="4" t="n"/>
      <c r="F5642" s="4" t="n"/>
    </row>
    <row r="5643" ht="28" customHeight="1">
      <c r="A5643" s="4" t="n"/>
      <c r="B5643" s="4" t="n"/>
      <c r="C5643" s="4" t="n"/>
      <c r="D5643" s="4" t="n"/>
      <c r="E5643" s="4" t="n"/>
      <c r="F5643" s="4" t="n"/>
    </row>
    <row r="5644" ht="28" customHeight="1">
      <c r="A5644" s="4" t="n"/>
      <c r="B5644" s="4" t="n"/>
      <c r="C5644" s="4" t="n"/>
      <c r="D5644" s="4" t="n"/>
      <c r="E5644" s="4" t="n"/>
      <c r="F5644" s="4" t="n"/>
    </row>
    <row r="5645" ht="28" customHeight="1">
      <c r="A5645" s="4" t="n"/>
      <c r="B5645" s="4" t="n"/>
      <c r="C5645" s="4" t="n"/>
      <c r="D5645" s="4" t="n"/>
      <c r="E5645" s="4" t="n"/>
      <c r="F5645" s="4" t="n"/>
    </row>
    <row r="5646" ht="28" customHeight="1">
      <c r="A5646" s="4" t="n"/>
      <c r="B5646" s="4" t="n"/>
      <c r="C5646" s="4" t="n"/>
      <c r="D5646" s="4" t="n"/>
      <c r="E5646" s="4" t="n"/>
      <c r="F5646" s="4" t="n"/>
    </row>
    <row r="5647" ht="28" customHeight="1">
      <c r="A5647" s="4" t="n"/>
      <c r="B5647" s="4" t="n"/>
      <c r="C5647" s="4" t="n"/>
      <c r="D5647" s="4" t="n"/>
      <c r="E5647" s="4" t="n"/>
      <c r="F5647" s="4" t="n"/>
    </row>
    <row r="5648" ht="28" customHeight="1">
      <c r="A5648" s="4" t="n"/>
      <c r="B5648" s="4" t="n"/>
      <c r="C5648" s="4" t="n"/>
      <c r="D5648" s="4" t="n"/>
      <c r="E5648" s="4" t="n"/>
      <c r="F5648" s="4" t="n"/>
    </row>
    <row r="5649" ht="28" customHeight="1">
      <c r="A5649" s="4" t="n"/>
      <c r="B5649" s="4" t="n"/>
      <c r="C5649" s="4" t="n"/>
      <c r="D5649" s="4" t="n"/>
      <c r="E5649" s="4" t="n"/>
      <c r="F5649" s="4" t="n"/>
    </row>
    <row r="5650" ht="28" customHeight="1">
      <c r="A5650" s="4" t="n"/>
      <c r="B5650" s="4" t="n"/>
      <c r="C5650" s="4" t="n"/>
      <c r="D5650" s="4" t="n"/>
      <c r="E5650" s="4" t="n"/>
      <c r="F5650" s="4" t="n"/>
    </row>
    <row r="5651" ht="28" customHeight="1">
      <c r="A5651" s="4" t="n"/>
      <c r="B5651" s="4" t="n"/>
      <c r="C5651" s="4" t="n"/>
      <c r="D5651" s="4" t="n"/>
      <c r="E5651" s="4" t="n"/>
      <c r="F5651" s="4" t="n"/>
    </row>
    <row r="5652" ht="28" customHeight="1">
      <c r="A5652" s="4" t="n"/>
      <c r="B5652" s="4" t="n"/>
      <c r="C5652" s="4" t="n"/>
      <c r="D5652" s="4" t="n"/>
      <c r="E5652" s="4" t="n"/>
      <c r="F5652" s="4" t="n"/>
    </row>
    <row r="5653" ht="28" customHeight="1">
      <c r="A5653" s="4" t="n"/>
      <c r="B5653" s="4" t="n"/>
      <c r="C5653" s="4" t="n"/>
      <c r="D5653" s="4" t="n"/>
      <c r="E5653" s="4" t="n"/>
      <c r="F5653" s="4" t="n"/>
    </row>
    <row r="5654" ht="28" customHeight="1">
      <c r="A5654" s="4" t="n"/>
      <c r="B5654" s="4" t="n"/>
      <c r="C5654" s="4" t="n"/>
      <c r="D5654" s="4" t="n"/>
      <c r="E5654" s="4" t="n"/>
      <c r="F5654" s="4" t="n"/>
    </row>
    <row r="5655" ht="28" customHeight="1">
      <c r="A5655" s="4" t="n"/>
      <c r="B5655" s="4" t="n"/>
      <c r="C5655" s="4" t="n"/>
      <c r="D5655" s="4" t="n"/>
      <c r="E5655" s="4" t="n"/>
      <c r="F5655" s="4" t="n"/>
    </row>
    <row r="5656" ht="28" customHeight="1">
      <c r="A5656" s="4" t="n"/>
      <c r="B5656" s="4" t="n"/>
      <c r="C5656" s="4" t="n"/>
      <c r="D5656" s="4" t="n"/>
      <c r="E5656" s="4" t="n"/>
      <c r="F5656" s="4" t="n"/>
    </row>
    <row r="5657" ht="28" customHeight="1">
      <c r="A5657" s="4" t="n"/>
      <c r="B5657" s="4" t="n"/>
      <c r="C5657" s="4" t="n"/>
      <c r="D5657" s="4" t="n"/>
      <c r="E5657" s="4" t="n"/>
      <c r="F5657" s="4" t="n"/>
    </row>
    <row r="5658" ht="28" customHeight="1">
      <c r="A5658" s="4" t="n"/>
      <c r="B5658" s="4" t="n"/>
      <c r="C5658" s="4" t="n"/>
      <c r="D5658" s="4" t="n"/>
      <c r="E5658" s="4" t="n"/>
      <c r="F5658" s="4" t="n"/>
    </row>
    <row r="5659" ht="28" customHeight="1">
      <c r="A5659" s="4" t="n"/>
      <c r="B5659" s="4" t="n"/>
      <c r="C5659" s="4" t="n"/>
      <c r="D5659" s="4" t="n"/>
      <c r="E5659" s="4" t="n"/>
      <c r="F5659" s="4" t="n"/>
    </row>
    <row r="5660" ht="28" customHeight="1">
      <c r="A5660" s="4" t="n"/>
      <c r="B5660" s="4" t="n"/>
      <c r="C5660" s="4" t="n"/>
      <c r="D5660" s="4" t="n"/>
      <c r="E5660" s="4" t="n"/>
      <c r="F5660" s="4" t="n"/>
    </row>
    <row r="5661" ht="28" customHeight="1">
      <c r="A5661" s="4" t="n"/>
      <c r="B5661" s="4" t="n"/>
      <c r="C5661" s="4" t="n"/>
      <c r="D5661" s="4" t="n"/>
      <c r="E5661" s="4" t="n"/>
      <c r="F5661" s="4" t="n"/>
    </row>
    <row r="5662" ht="28" customHeight="1">
      <c r="A5662" s="4" t="n"/>
      <c r="B5662" s="4" t="n"/>
      <c r="C5662" s="4" t="n"/>
      <c r="D5662" s="4" t="n"/>
      <c r="E5662" s="4" t="n"/>
      <c r="F5662" s="4" t="n"/>
    </row>
    <row r="5663" ht="28" customHeight="1">
      <c r="A5663" s="4" t="n"/>
      <c r="B5663" s="4" t="n"/>
      <c r="C5663" s="4" t="n"/>
      <c r="D5663" s="4" t="n"/>
      <c r="E5663" s="4" t="n"/>
      <c r="F5663" s="4" t="n"/>
    </row>
    <row r="5664" ht="28" customHeight="1">
      <c r="A5664" s="4" t="n"/>
      <c r="B5664" s="4" t="n"/>
      <c r="C5664" s="4" t="n"/>
      <c r="D5664" s="4" t="n"/>
      <c r="E5664" s="4" t="n"/>
      <c r="F5664" s="4" t="n"/>
    </row>
    <row r="5665" ht="28" customHeight="1">
      <c r="A5665" s="4" t="n"/>
      <c r="B5665" s="4" t="n"/>
      <c r="C5665" s="4" t="n"/>
      <c r="D5665" s="4" t="n"/>
      <c r="E5665" s="4" t="n"/>
      <c r="F5665" s="4" t="n"/>
    </row>
    <row r="5666" ht="28" customHeight="1">
      <c r="A5666" s="4" t="n"/>
      <c r="B5666" s="4" t="n"/>
      <c r="C5666" s="4" t="n"/>
      <c r="D5666" s="4" t="n"/>
      <c r="E5666" s="4" t="n"/>
      <c r="F5666" s="4" t="n"/>
    </row>
    <row r="5667" ht="28" customHeight="1">
      <c r="A5667" s="4" t="n"/>
      <c r="B5667" s="4" t="n"/>
      <c r="C5667" s="4" t="n"/>
      <c r="D5667" s="4" t="n"/>
      <c r="E5667" s="4" t="n"/>
      <c r="F5667" s="4" t="n"/>
    </row>
    <row r="5668" ht="28" customHeight="1">
      <c r="A5668" s="4" t="n"/>
      <c r="B5668" s="4" t="n"/>
      <c r="C5668" s="4" t="n"/>
      <c r="D5668" s="4" t="n"/>
      <c r="E5668" s="4" t="n"/>
      <c r="F5668" s="4" t="n"/>
    </row>
    <row r="5669" ht="28" customHeight="1">
      <c r="A5669" s="4" t="n"/>
      <c r="B5669" s="4" t="n"/>
      <c r="C5669" s="4" t="n"/>
      <c r="D5669" s="4" t="n"/>
      <c r="E5669" s="4" t="n"/>
      <c r="F5669" s="4" t="n"/>
    </row>
    <row r="5670" ht="28" customHeight="1">
      <c r="A5670" s="4" t="n"/>
      <c r="B5670" s="4" t="n"/>
      <c r="C5670" s="4" t="n"/>
      <c r="D5670" s="4" t="n"/>
      <c r="E5670" s="4" t="n"/>
      <c r="F5670" s="4" t="n"/>
    </row>
    <row r="5671" ht="28" customHeight="1">
      <c r="A5671" s="4" t="n"/>
      <c r="B5671" s="4" t="n"/>
      <c r="C5671" s="4" t="n"/>
      <c r="D5671" s="4" t="n"/>
      <c r="E5671" s="4" t="n"/>
      <c r="F5671" s="4" t="n"/>
    </row>
    <row r="5672" ht="28" customHeight="1">
      <c r="A5672" s="4" t="n"/>
      <c r="B5672" s="4" t="n"/>
      <c r="C5672" s="4" t="n"/>
      <c r="D5672" s="4" t="n"/>
      <c r="E5672" s="4" t="n"/>
      <c r="F5672" s="4" t="n"/>
    </row>
    <row r="5673" ht="28" customHeight="1">
      <c r="A5673" s="4" t="n"/>
      <c r="B5673" s="4" t="n"/>
      <c r="C5673" s="4" t="n"/>
      <c r="D5673" s="4" t="n"/>
      <c r="E5673" s="4" t="n"/>
      <c r="F5673" s="4" t="n"/>
    </row>
    <row r="5674" ht="28" customHeight="1">
      <c r="A5674" s="4" t="n"/>
      <c r="B5674" s="4" t="n"/>
      <c r="C5674" s="4" t="n"/>
      <c r="D5674" s="4" t="n"/>
      <c r="E5674" s="4" t="n"/>
      <c r="F5674" s="4" t="n"/>
    </row>
    <row r="5675" ht="28" customHeight="1">
      <c r="A5675" s="4" t="n"/>
      <c r="B5675" s="4" t="n"/>
      <c r="C5675" s="4" t="n"/>
      <c r="D5675" s="4" t="n"/>
      <c r="E5675" s="4" t="n"/>
      <c r="F5675" s="4" t="n"/>
    </row>
    <row r="5676" ht="28" customHeight="1">
      <c r="A5676" s="4" t="n"/>
      <c r="B5676" s="4" t="n"/>
      <c r="C5676" s="4" t="n"/>
      <c r="D5676" s="4" t="n"/>
      <c r="E5676" s="4" t="n"/>
      <c r="F5676" s="4" t="n"/>
    </row>
    <row r="5677" ht="28" customHeight="1">
      <c r="A5677" s="4" t="n"/>
      <c r="B5677" s="4" t="n"/>
      <c r="C5677" s="4" t="n"/>
      <c r="D5677" s="4" t="n"/>
      <c r="E5677" s="4" t="n"/>
      <c r="F5677" s="4" t="n"/>
    </row>
    <row r="5678" ht="28" customHeight="1">
      <c r="A5678" s="4" t="n"/>
      <c r="B5678" s="4" t="n"/>
      <c r="C5678" s="4" t="n"/>
      <c r="D5678" s="4" t="n"/>
      <c r="E5678" s="4" t="n"/>
      <c r="F5678" s="4" t="n"/>
    </row>
    <row r="5679" ht="28" customHeight="1">
      <c r="A5679" s="4" t="n"/>
      <c r="B5679" s="4" t="n"/>
      <c r="C5679" s="4" t="n"/>
      <c r="D5679" s="4" t="n"/>
      <c r="E5679" s="4" t="n"/>
      <c r="F5679" s="4" t="n"/>
    </row>
    <row r="5680" ht="28" customHeight="1">
      <c r="A5680" s="4" t="n"/>
      <c r="B5680" s="4" t="n"/>
      <c r="C5680" s="4" t="n"/>
      <c r="D5680" s="4" t="n"/>
      <c r="E5680" s="4" t="n"/>
      <c r="F5680" s="4" t="n"/>
    </row>
    <row r="5681" ht="28" customHeight="1">
      <c r="A5681" s="4" t="n"/>
      <c r="B5681" s="4" t="n"/>
      <c r="C5681" s="4" t="n"/>
      <c r="D5681" s="4" t="n"/>
      <c r="E5681" s="4" t="n"/>
      <c r="F5681" s="4" t="n"/>
    </row>
    <row r="5682" ht="28" customHeight="1">
      <c r="A5682" s="4" t="n"/>
      <c r="B5682" s="4" t="n"/>
      <c r="C5682" s="4" t="n"/>
      <c r="D5682" s="4" t="n"/>
      <c r="E5682" s="4" t="n"/>
      <c r="F5682" s="4" t="n"/>
    </row>
    <row r="5683" ht="28" customHeight="1">
      <c r="A5683" s="4" t="n"/>
      <c r="B5683" s="4" t="n"/>
      <c r="C5683" s="4" t="n"/>
      <c r="D5683" s="4" t="n"/>
      <c r="E5683" s="4" t="n"/>
      <c r="F5683" s="4" t="n"/>
    </row>
    <row r="5684" ht="28" customHeight="1">
      <c r="A5684" s="4" t="n"/>
      <c r="B5684" s="4" t="n"/>
      <c r="C5684" s="4" t="n"/>
      <c r="D5684" s="4" t="n"/>
      <c r="E5684" s="4" t="n"/>
      <c r="F5684" s="4" t="n"/>
    </row>
    <row r="5685" ht="28" customHeight="1">
      <c r="A5685" s="4" t="n"/>
      <c r="B5685" s="4" t="n"/>
      <c r="C5685" s="4" t="n"/>
      <c r="D5685" s="4" t="n"/>
      <c r="E5685" s="4" t="n"/>
      <c r="F5685" s="4" t="n"/>
    </row>
    <row r="5686" ht="28" customHeight="1">
      <c r="A5686" s="4" t="n"/>
      <c r="B5686" s="4" t="n"/>
      <c r="C5686" s="4" t="n"/>
      <c r="D5686" s="4" t="n"/>
      <c r="E5686" s="4" t="n"/>
      <c r="F5686" s="4" t="n"/>
    </row>
    <row r="5687" ht="28" customHeight="1">
      <c r="A5687" s="4" t="n"/>
      <c r="B5687" s="4" t="n"/>
      <c r="C5687" s="4" t="n"/>
      <c r="D5687" s="4" t="n"/>
      <c r="E5687" s="4" t="n"/>
      <c r="F5687" s="4" t="n"/>
    </row>
    <row r="5688" ht="28" customHeight="1">
      <c r="A5688" s="4" t="n"/>
      <c r="B5688" s="4" t="n"/>
      <c r="C5688" s="4" t="n"/>
      <c r="D5688" s="4" t="n"/>
      <c r="E5688" s="4" t="n"/>
      <c r="F5688" s="4" t="n"/>
    </row>
    <row r="5689" ht="28" customHeight="1">
      <c r="A5689" s="4" t="n"/>
      <c r="B5689" s="4" t="n"/>
      <c r="C5689" s="4" t="n"/>
      <c r="D5689" s="4" t="n"/>
      <c r="E5689" s="4" t="n"/>
      <c r="F5689" s="4" t="n"/>
    </row>
    <row r="5690" ht="28" customHeight="1">
      <c r="A5690" s="4" t="n"/>
      <c r="B5690" s="4" t="n"/>
      <c r="C5690" s="4" t="n"/>
      <c r="D5690" s="4" t="n"/>
      <c r="E5690" s="4" t="n"/>
      <c r="F5690" s="4" t="n"/>
    </row>
    <row r="5691" ht="28" customHeight="1">
      <c r="A5691" s="4" t="n"/>
      <c r="B5691" s="4" t="n"/>
      <c r="C5691" s="4" t="n"/>
      <c r="D5691" s="4" t="n"/>
      <c r="E5691" s="4" t="n"/>
      <c r="F5691" s="4" t="n"/>
    </row>
    <row r="5692" ht="28" customHeight="1">
      <c r="A5692" s="4" t="n"/>
      <c r="B5692" s="4" t="n"/>
      <c r="C5692" s="4" t="n"/>
      <c r="D5692" s="4" t="n"/>
      <c r="E5692" s="4" t="n"/>
      <c r="F5692" s="4" t="n"/>
    </row>
    <row r="5693" ht="28" customHeight="1">
      <c r="A5693" s="4" t="n"/>
      <c r="B5693" s="4" t="n"/>
      <c r="C5693" s="4" t="n"/>
      <c r="D5693" s="4" t="n"/>
      <c r="E5693" s="4" t="n"/>
      <c r="F5693" s="4" t="n"/>
    </row>
    <row r="5694" ht="28" customHeight="1">
      <c r="A5694" s="4" t="n"/>
      <c r="B5694" s="4" t="n"/>
      <c r="C5694" s="4" t="n"/>
      <c r="D5694" s="4" t="n"/>
      <c r="E5694" s="4" t="n"/>
      <c r="F5694" s="4" t="n"/>
    </row>
    <row r="5695" ht="28" customHeight="1">
      <c r="A5695" s="4" t="n"/>
      <c r="B5695" s="4" t="n"/>
      <c r="C5695" s="4" t="n"/>
      <c r="D5695" s="4" t="n"/>
      <c r="E5695" s="4" t="n"/>
      <c r="F5695" s="4" t="n"/>
    </row>
    <row r="5696" ht="28" customHeight="1">
      <c r="A5696" s="4" t="n"/>
      <c r="B5696" s="4" t="n"/>
      <c r="C5696" s="4" t="n"/>
      <c r="D5696" s="4" t="n"/>
      <c r="E5696" s="4" t="n"/>
      <c r="F5696" s="4" t="n"/>
    </row>
    <row r="5697" ht="28" customHeight="1">
      <c r="A5697" s="4" t="n"/>
      <c r="B5697" s="4" t="n"/>
      <c r="C5697" s="4" t="n"/>
      <c r="D5697" s="4" t="n"/>
      <c r="E5697" s="4" t="n"/>
      <c r="F5697" s="4" t="n"/>
    </row>
    <row r="5698" ht="28" customHeight="1">
      <c r="A5698" s="4" t="n"/>
      <c r="B5698" s="4" t="n"/>
      <c r="C5698" s="4" t="n"/>
      <c r="D5698" s="4" t="n"/>
      <c r="E5698" s="4" t="n"/>
      <c r="F5698" s="4" t="n"/>
    </row>
    <row r="5699" ht="28" customHeight="1">
      <c r="A5699" s="4" t="n"/>
      <c r="B5699" s="4" t="n"/>
      <c r="C5699" s="4" t="n"/>
      <c r="D5699" s="4" t="n"/>
      <c r="E5699" s="4" t="n"/>
      <c r="F5699" s="4" t="n"/>
    </row>
    <row r="5700" ht="28" customHeight="1">
      <c r="A5700" s="4" t="n"/>
      <c r="B5700" s="4" t="n"/>
      <c r="C5700" s="4" t="n"/>
      <c r="D5700" s="4" t="n"/>
      <c r="E5700" s="4" t="n"/>
      <c r="F5700" s="4" t="n"/>
    </row>
    <row r="5701" ht="28" customHeight="1">
      <c r="A5701" s="4" t="n"/>
      <c r="B5701" s="4" t="n"/>
      <c r="C5701" s="4" t="n"/>
      <c r="D5701" s="4" t="n"/>
      <c r="E5701" s="4" t="n"/>
      <c r="F5701" s="4" t="n"/>
    </row>
    <row r="5702" ht="28" customHeight="1">
      <c r="A5702" s="4" t="n"/>
      <c r="B5702" s="4" t="n"/>
      <c r="C5702" s="4" t="n"/>
      <c r="D5702" s="4" t="n"/>
      <c r="E5702" s="4" t="n"/>
      <c r="F5702" s="4" t="n"/>
    </row>
    <row r="5703" ht="28" customHeight="1">
      <c r="A5703" s="4" t="n"/>
      <c r="B5703" s="4" t="n"/>
      <c r="C5703" s="4" t="n"/>
      <c r="D5703" s="4" t="n"/>
      <c r="E5703" s="4" t="n"/>
      <c r="F5703" s="4" t="n"/>
    </row>
    <row r="5704" ht="28" customHeight="1">
      <c r="A5704" s="4" t="n"/>
      <c r="B5704" s="4" t="n"/>
      <c r="C5704" s="4" t="n"/>
      <c r="D5704" s="4" t="n"/>
      <c r="E5704" s="4" t="n"/>
      <c r="F5704" s="4" t="n"/>
    </row>
    <row r="5705" ht="28" customHeight="1">
      <c r="A5705" s="4" t="n"/>
      <c r="B5705" s="4" t="n"/>
      <c r="C5705" s="4" t="n"/>
      <c r="D5705" s="4" t="n"/>
      <c r="E5705" s="4" t="n"/>
      <c r="F5705" s="4" t="n"/>
    </row>
    <row r="5706" ht="28" customHeight="1">
      <c r="A5706" s="4" t="n"/>
      <c r="B5706" s="4" t="n"/>
      <c r="C5706" s="4" t="n"/>
      <c r="D5706" s="4" t="n"/>
      <c r="E5706" s="4" t="n"/>
      <c r="F5706" s="4" t="n"/>
    </row>
    <row r="5707" ht="28" customHeight="1">
      <c r="A5707" s="4" t="n"/>
      <c r="B5707" s="4" t="n"/>
      <c r="C5707" s="4" t="n"/>
      <c r="D5707" s="4" t="n"/>
      <c r="E5707" s="4" t="n"/>
      <c r="F5707" s="4" t="n"/>
    </row>
    <row r="5708" ht="28" customHeight="1">
      <c r="A5708" s="4" t="n"/>
      <c r="B5708" s="4" t="n"/>
      <c r="C5708" s="4" t="n"/>
      <c r="D5708" s="4" t="n"/>
      <c r="E5708" s="4" t="n"/>
      <c r="F5708" s="4" t="n"/>
    </row>
    <row r="5709" ht="28" customHeight="1">
      <c r="A5709" s="4" t="n"/>
      <c r="B5709" s="4" t="n"/>
      <c r="C5709" s="4" t="n"/>
      <c r="D5709" s="4" t="n"/>
      <c r="E5709" s="4" t="n"/>
      <c r="F5709" s="4" t="n"/>
    </row>
    <row r="5710" ht="28" customHeight="1">
      <c r="A5710" s="4" t="n"/>
      <c r="B5710" s="4" t="n"/>
      <c r="C5710" s="4" t="n"/>
      <c r="D5710" s="4" t="n"/>
      <c r="E5710" s="4" t="n"/>
      <c r="F5710" s="4" t="n"/>
    </row>
    <row r="5711" ht="28" customHeight="1">
      <c r="A5711" s="4" t="n"/>
      <c r="B5711" s="4" t="n"/>
      <c r="C5711" s="4" t="n"/>
      <c r="D5711" s="4" t="n"/>
      <c r="E5711" s="4" t="n"/>
      <c r="F5711" s="4" t="n"/>
    </row>
    <row r="5712" ht="28" customHeight="1">
      <c r="A5712" s="4" t="n"/>
      <c r="B5712" s="4" t="n"/>
      <c r="C5712" s="4" t="n"/>
      <c r="D5712" s="4" t="n"/>
      <c r="E5712" s="4" t="n"/>
      <c r="F5712" s="4" t="n"/>
    </row>
    <row r="5713" ht="28" customHeight="1">
      <c r="A5713" s="4" t="n"/>
      <c r="B5713" s="4" t="n"/>
      <c r="C5713" s="4" t="n"/>
      <c r="D5713" s="4" t="n"/>
      <c r="E5713" s="4" t="n"/>
      <c r="F5713" s="4" t="n"/>
    </row>
    <row r="5714" ht="28" customHeight="1">
      <c r="A5714" s="4" t="n"/>
      <c r="B5714" s="4" t="n"/>
      <c r="C5714" s="4" t="n"/>
      <c r="D5714" s="4" t="n"/>
      <c r="E5714" s="4" t="n"/>
      <c r="F5714" s="4" t="n"/>
    </row>
    <row r="5715" ht="28" customHeight="1">
      <c r="A5715" s="4" t="n"/>
      <c r="B5715" s="4" t="n"/>
      <c r="C5715" s="4" t="n"/>
      <c r="D5715" s="4" t="n"/>
      <c r="E5715" s="4" t="n"/>
      <c r="F5715" s="4" t="n"/>
    </row>
    <row r="5716" ht="28" customHeight="1">
      <c r="A5716" s="4" t="n"/>
      <c r="B5716" s="4" t="n"/>
      <c r="C5716" s="4" t="n"/>
      <c r="D5716" s="4" t="n"/>
      <c r="E5716" s="4" t="n"/>
      <c r="F5716" s="4" t="n"/>
    </row>
    <row r="5717" ht="28" customHeight="1">
      <c r="A5717" s="4" t="n"/>
      <c r="B5717" s="4" t="n"/>
      <c r="C5717" s="4" t="n"/>
      <c r="D5717" s="4" t="n"/>
      <c r="E5717" s="4" t="n"/>
      <c r="F5717" s="4" t="n"/>
    </row>
    <row r="5718" ht="28" customHeight="1">
      <c r="A5718" s="4" t="n"/>
      <c r="B5718" s="4" t="n"/>
      <c r="C5718" s="4" t="n"/>
      <c r="D5718" s="4" t="n"/>
      <c r="E5718" s="4" t="n"/>
      <c r="F5718" s="4" t="n"/>
    </row>
    <row r="5719" ht="28" customHeight="1">
      <c r="A5719" s="4" t="n"/>
      <c r="B5719" s="4" t="n"/>
      <c r="C5719" s="4" t="n"/>
      <c r="D5719" s="4" t="n"/>
      <c r="E5719" s="4" t="n"/>
      <c r="F5719" s="4" t="n"/>
    </row>
    <row r="5720" ht="28" customHeight="1">
      <c r="A5720" s="4" t="n"/>
      <c r="B5720" s="4" t="n"/>
      <c r="C5720" s="4" t="n"/>
      <c r="D5720" s="4" t="n"/>
      <c r="E5720" s="4" t="n"/>
      <c r="F5720" s="4" t="n"/>
    </row>
    <row r="5721" ht="28" customHeight="1">
      <c r="A5721" s="4" t="n"/>
      <c r="B5721" s="4" t="n"/>
      <c r="C5721" s="4" t="n"/>
      <c r="D5721" s="4" t="n"/>
      <c r="E5721" s="4" t="n"/>
      <c r="F5721" s="4" t="n"/>
    </row>
    <row r="5722" ht="28" customHeight="1">
      <c r="A5722" s="4" t="n"/>
      <c r="B5722" s="4" t="n"/>
      <c r="C5722" s="4" t="n"/>
      <c r="D5722" s="4" t="n"/>
      <c r="E5722" s="4" t="n"/>
      <c r="F5722" s="4" t="n"/>
    </row>
    <row r="5723" ht="28" customHeight="1">
      <c r="A5723" s="4" t="n"/>
      <c r="B5723" s="4" t="n"/>
      <c r="C5723" s="4" t="n"/>
      <c r="D5723" s="4" t="n"/>
      <c r="E5723" s="4" t="n"/>
      <c r="F5723" s="4" t="n"/>
    </row>
    <row r="5724" ht="28" customHeight="1">
      <c r="A5724" s="4" t="n"/>
      <c r="B5724" s="4" t="n"/>
      <c r="C5724" s="4" t="n"/>
      <c r="D5724" s="4" t="n"/>
      <c r="E5724" s="4" t="n"/>
      <c r="F5724" s="4" t="n"/>
    </row>
    <row r="5725" ht="28" customHeight="1">
      <c r="A5725" s="4" t="n"/>
      <c r="B5725" s="4" t="n"/>
      <c r="C5725" s="4" t="n"/>
      <c r="D5725" s="4" t="n"/>
      <c r="E5725" s="4" t="n"/>
      <c r="F5725" s="4" t="n"/>
    </row>
    <row r="5726" ht="28" customHeight="1">
      <c r="A5726" s="4" t="n"/>
      <c r="B5726" s="4" t="n"/>
      <c r="C5726" s="4" t="n"/>
      <c r="D5726" s="4" t="n"/>
      <c r="E5726" s="4" t="n"/>
      <c r="F5726" s="4" t="n"/>
    </row>
    <row r="5727" ht="28" customHeight="1">
      <c r="A5727" s="4" t="n"/>
      <c r="B5727" s="4" t="n"/>
      <c r="C5727" s="4" t="n"/>
      <c r="D5727" s="4" t="n"/>
      <c r="E5727" s="4" t="n"/>
      <c r="F5727" s="4" t="n"/>
    </row>
    <row r="5728" ht="28" customHeight="1">
      <c r="A5728" s="4" t="n"/>
      <c r="B5728" s="4" t="n"/>
      <c r="C5728" s="4" t="n"/>
      <c r="D5728" s="4" t="n"/>
      <c r="E5728" s="4" t="n"/>
      <c r="F5728" s="4" t="n"/>
    </row>
    <row r="5729" ht="28" customHeight="1">
      <c r="A5729" s="4" t="n"/>
      <c r="B5729" s="4" t="n"/>
      <c r="C5729" s="4" t="n"/>
      <c r="D5729" s="4" t="n"/>
      <c r="E5729" s="4" t="n"/>
      <c r="F5729" s="4" t="n"/>
    </row>
    <row r="5730" ht="28" customHeight="1">
      <c r="A5730" s="4" t="n"/>
      <c r="B5730" s="4" t="n"/>
      <c r="C5730" s="4" t="n"/>
      <c r="D5730" s="4" t="n"/>
      <c r="E5730" s="4" t="n"/>
      <c r="F5730" s="4" t="n"/>
    </row>
    <row r="5731" ht="28" customHeight="1">
      <c r="A5731" s="4" t="n"/>
      <c r="B5731" s="4" t="n"/>
      <c r="C5731" s="4" t="n"/>
      <c r="D5731" s="4" t="n"/>
      <c r="E5731" s="4" t="n"/>
      <c r="F5731" s="4" t="n"/>
    </row>
    <row r="5732" ht="28" customHeight="1">
      <c r="A5732" s="4" t="n"/>
      <c r="B5732" s="4" t="n"/>
      <c r="C5732" s="4" t="n"/>
      <c r="D5732" s="4" t="n"/>
      <c r="E5732" s="4" t="n"/>
      <c r="F5732" s="4" t="n"/>
    </row>
    <row r="5733" ht="28" customHeight="1">
      <c r="A5733" s="4" t="n"/>
      <c r="B5733" s="4" t="n"/>
      <c r="C5733" s="4" t="n"/>
      <c r="D5733" s="4" t="n"/>
      <c r="E5733" s="4" t="n"/>
      <c r="F5733" s="4" t="n"/>
    </row>
    <row r="5734" ht="28" customHeight="1">
      <c r="A5734" s="4" t="n"/>
      <c r="B5734" s="4" t="n"/>
      <c r="C5734" s="4" t="n"/>
      <c r="D5734" s="4" t="n"/>
      <c r="E5734" s="4" t="n"/>
      <c r="F5734" s="4" t="n"/>
    </row>
    <row r="5735" ht="28" customHeight="1">
      <c r="A5735" s="4" t="n"/>
      <c r="B5735" s="4" t="n"/>
      <c r="C5735" s="4" t="n"/>
      <c r="D5735" s="4" t="n"/>
      <c r="E5735" s="4" t="n"/>
      <c r="F5735" s="4" t="n"/>
    </row>
    <row r="5736" ht="28" customHeight="1">
      <c r="A5736" s="4" t="n"/>
      <c r="B5736" s="4" t="n"/>
      <c r="C5736" s="4" t="n"/>
      <c r="D5736" s="4" t="n"/>
      <c r="E5736" s="4" t="n"/>
      <c r="F5736" s="4" t="n"/>
    </row>
    <row r="5737" ht="28" customHeight="1">
      <c r="A5737" s="4" t="n"/>
      <c r="B5737" s="4" t="n"/>
      <c r="C5737" s="4" t="n"/>
      <c r="D5737" s="4" t="n"/>
      <c r="E5737" s="4" t="n"/>
      <c r="F5737" s="4" t="n"/>
    </row>
    <row r="5738" ht="28" customHeight="1">
      <c r="A5738" s="4" t="n"/>
      <c r="B5738" s="4" t="n"/>
      <c r="C5738" s="4" t="n"/>
      <c r="D5738" s="4" t="n"/>
      <c r="E5738" s="4" t="n"/>
      <c r="F5738" s="4" t="n"/>
    </row>
    <row r="5739" ht="28" customHeight="1">
      <c r="A5739" s="4" t="n"/>
      <c r="B5739" s="4" t="n"/>
      <c r="C5739" s="4" t="n"/>
      <c r="D5739" s="4" t="n"/>
      <c r="E5739" s="4" t="n"/>
      <c r="F5739" s="4" t="n"/>
    </row>
    <row r="5740" ht="28" customHeight="1">
      <c r="A5740" s="4" t="n"/>
      <c r="B5740" s="4" t="n"/>
      <c r="C5740" s="4" t="n"/>
      <c r="D5740" s="4" t="n"/>
      <c r="E5740" s="4" t="n"/>
      <c r="F5740" s="4" t="n"/>
    </row>
    <row r="5741" ht="28" customHeight="1">
      <c r="A5741" s="4" t="n"/>
      <c r="B5741" s="4" t="n"/>
      <c r="C5741" s="4" t="n"/>
      <c r="D5741" s="4" t="n"/>
      <c r="E5741" s="4" t="n"/>
      <c r="F5741" s="4" t="n"/>
    </row>
    <row r="5742" ht="28" customHeight="1">
      <c r="A5742" s="4" t="n"/>
      <c r="B5742" s="4" t="n"/>
      <c r="C5742" s="4" t="n"/>
      <c r="D5742" s="4" t="n"/>
      <c r="E5742" s="4" t="n"/>
      <c r="F5742" s="4" t="n"/>
    </row>
    <row r="5743" ht="28" customHeight="1">
      <c r="A5743" s="4" t="n"/>
      <c r="B5743" s="4" t="n"/>
      <c r="C5743" s="4" t="n"/>
      <c r="D5743" s="4" t="n"/>
      <c r="E5743" s="4" t="n"/>
      <c r="F5743" s="4" t="n"/>
    </row>
    <row r="5744" ht="28" customHeight="1">
      <c r="A5744" s="4" t="n"/>
      <c r="B5744" s="4" t="n"/>
      <c r="C5744" s="4" t="n"/>
      <c r="D5744" s="4" t="n"/>
      <c r="E5744" s="4" t="n"/>
      <c r="F5744" s="4" t="n"/>
    </row>
    <row r="5745" ht="28" customHeight="1">
      <c r="A5745" s="4" t="n"/>
      <c r="B5745" s="4" t="n"/>
      <c r="C5745" s="4" t="n"/>
      <c r="D5745" s="4" t="n"/>
      <c r="E5745" s="4" t="n"/>
      <c r="F5745" s="4" t="n"/>
    </row>
    <row r="5746" ht="28" customHeight="1">
      <c r="A5746" s="4" t="n"/>
      <c r="B5746" s="4" t="n"/>
      <c r="C5746" s="4" t="n"/>
      <c r="D5746" s="4" t="n"/>
      <c r="E5746" s="4" t="n"/>
      <c r="F5746" s="4" t="n"/>
    </row>
    <row r="5747" ht="28" customHeight="1">
      <c r="A5747" s="4" t="n"/>
      <c r="B5747" s="4" t="n"/>
      <c r="C5747" s="4" t="n"/>
      <c r="D5747" s="4" t="n"/>
      <c r="E5747" s="4" t="n"/>
      <c r="F5747" s="4" t="n"/>
    </row>
    <row r="5748" ht="28" customHeight="1">
      <c r="A5748" s="4" t="n"/>
      <c r="B5748" s="4" t="n"/>
      <c r="C5748" s="4" t="n"/>
      <c r="D5748" s="4" t="n"/>
      <c r="E5748" s="4" t="n"/>
      <c r="F5748" s="4" t="n"/>
    </row>
    <row r="5749" ht="28" customHeight="1">
      <c r="A5749" s="4" t="n"/>
      <c r="B5749" s="4" t="n"/>
      <c r="C5749" s="4" t="n"/>
      <c r="D5749" s="4" t="n"/>
      <c r="E5749" s="4" t="n"/>
      <c r="F5749" s="4" t="n"/>
    </row>
    <row r="5750" ht="28" customHeight="1">
      <c r="A5750" s="4" t="n"/>
      <c r="B5750" s="4" t="n"/>
      <c r="C5750" s="4" t="n"/>
      <c r="D5750" s="4" t="n"/>
      <c r="E5750" s="4" t="n"/>
      <c r="F5750" s="4" t="n"/>
    </row>
    <row r="5751" ht="28" customHeight="1">
      <c r="A5751" s="4" t="n"/>
      <c r="B5751" s="4" t="n"/>
      <c r="C5751" s="4" t="n"/>
      <c r="D5751" s="4" t="n"/>
      <c r="E5751" s="4" t="n"/>
      <c r="F5751" s="4" t="n"/>
    </row>
    <row r="5752" ht="28" customHeight="1">
      <c r="A5752" s="4" t="n"/>
      <c r="B5752" s="4" t="n"/>
      <c r="C5752" s="4" t="n"/>
      <c r="D5752" s="4" t="n"/>
      <c r="E5752" s="4" t="n"/>
      <c r="F5752" s="4" t="n"/>
    </row>
    <row r="5753" ht="28" customHeight="1">
      <c r="A5753" s="4" t="n"/>
      <c r="B5753" s="4" t="n"/>
      <c r="C5753" s="4" t="n"/>
      <c r="D5753" s="4" t="n"/>
      <c r="E5753" s="4" t="n"/>
      <c r="F5753" s="4" t="n"/>
    </row>
    <row r="5754" ht="28" customHeight="1">
      <c r="A5754" s="4" t="n"/>
      <c r="B5754" s="4" t="n"/>
      <c r="C5754" s="4" t="n"/>
      <c r="D5754" s="4" t="n"/>
      <c r="E5754" s="4" t="n"/>
      <c r="F5754" s="4" t="n"/>
    </row>
    <row r="5755" ht="28" customHeight="1">
      <c r="A5755" s="4" t="n"/>
      <c r="B5755" s="4" t="n"/>
      <c r="C5755" s="4" t="n"/>
      <c r="D5755" s="4" t="n"/>
      <c r="E5755" s="4" t="n"/>
      <c r="F5755" s="4" t="n"/>
    </row>
    <row r="5756" ht="28" customHeight="1">
      <c r="A5756" s="4" t="n"/>
      <c r="B5756" s="4" t="n"/>
      <c r="C5756" s="4" t="n"/>
      <c r="D5756" s="4" t="n"/>
      <c r="E5756" s="4" t="n"/>
      <c r="F5756" s="4" t="n"/>
    </row>
    <row r="5757" ht="28" customHeight="1">
      <c r="A5757" s="4" t="n"/>
      <c r="B5757" s="4" t="n"/>
      <c r="C5757" s="4" t="n"/>
      <c r="D5757" s="4" t="n"/>
      <c r="E5757" s="4" t="n"/>
      <c r="F5757" s="4" t="n"/>
    </row>
    <row r="5758" ht="28" customHeight="1">
      <c r="A5758" s="4" t="n"/>
      <c r="B5758" s="4" t="n"/>
      <c r="C5758" s="4" t="n"/>
      <c r="D5758" s="4" t="n"/>
      <c r="E5758" s="4" t="n"/>
      <c r="F5758" s="4" t="n"/>
    </row>
    <row r="5759" ht="28" customHeight="1">
      <c r="A5759" s="4" t="n"/>
      <c r="B5759" s="4" t="n"/>
      <c r="C5759" s="4" t="n"/>
      <c r="D5759" s="4" t="n"/>
      <c r="E5759" s="4" t="n"/>
      <c r="F5759" s="4" t="n"/>
    </row>
    <row r="5760" ht="28" customHeight="1">
      <c r="A5760" s="4" t="n"/>
      <c r="B5760" s="4" t="n"/>
      <c r="C5760" s="4" t="n"/>
      <c r="D5760" s="4" t="n"/>
      <c r="E5760" s="4" t="n"/>
      <c r="F5760" s="4" t="n"/>
    </row>
    <row r="5761" ht="28" customHeight="1">
      <c r="A5761" s="4" t="n"/>
      <c r="B5761" s="4" t="n"/>
      <c r="C5761" s="4" t="n"/>
      <c r="D5761" s="4" t="n"/>
      <c r="E5761" s="4" t="n"/>
      <c r="F5761" s="4" t="n"/>
    </row>
    <row r="5762" ht="28" customHeight="1">
      <c r="A5762" s="4" t="n"/>
      <c r="B5762" s="4" t="n"/>
      <c r="C5762" s="4" t="n"/>
      <c r="D5762" s="4" t="n"/>
      <c r="E5762" s="4" t="n"/>
      <c r="F5762" s="4" t="n"/>
    </row>
    <row r="5763" ht="28" customHeight="1">
      <c r="A5763" s="4" t="n"/>
      <c r="B5763" s="4" t="n"/>
      <c r="C5763" s="4" t="n"/>
      <c r="D5763" s="4" t="n"/>
      <c r="E5763" s="4" t="n"/>
      <c r="F5763" s="4" t="n"/>
    </row>
    <row r="5764" ht="28" customHeight="1">
      <c r="A5764" s="4" t="n"/>
      <c r="B5764" s="4" t="n"/>
      <c r="C5764" s="4" t="n"/>
      <c r="D5764" s="4" t="n"/>
      <c r="E5764" s="4" t="n"/>
      <c r="F5764" s="4" t="n"/>
    </row>
    <row r="5765" ht="28" customHeight="1">
      <c r="A5765" s="4" t="n"/>
      <c r="B5765" s="4" t="n"/>
      <c r="C5765" s="4" t="n"/>
      <c r="D5765" s="4" t="n"/>
      <c r="E5765" s="4" t="n"/>
      <c r="F5765" s="4" t="n"/>
    </row>
    <row r="5766" ht="28" customHeight="1">
      <c r="A5766" s="4" t="n"/>
      <c r="B5766" s="4" t="n"/>
      <c r="C5766" s="4" t="n"/>
      <c r="D5766" s="4" t="n"/>
      <c r="E5766" s="4" t="n"/>
      <c r="F5766" s="4" t="n"/>
    </row>
    <row r="5767" ht="28" customHeight="1">
      <c r="A5767" s="4" t="n"/>
      <c r="B5767" s="4" t="n"/>
      <c r="C5767" s="4" t="n"/>
      <c r="D5767" s="4" t="n"/>
      <c r="E5767" s="4" t="n"/>
      <c r="F5767" s="4" t="n"/>
    </row>
    <row r="5768" ht="28" customHeight="1">
      <c r="A5768" s="4" t="n"/>
      <c r="B5768" s="4" t="n"/>
      <c r="C5768" s="4" t="n"/>
      <c r="D5768" s="4" t="n"/>
      <c r="E5768" s="4" t="n"/>
      <c r="F5768" s="4" t="n"/>
    </row>
    <row r="5769" ht="28" customHeight="1">
      <c r="A5769" s="4" t="n"/>
      <c r="B5769" s="4" t="n"/>
      <c r="C5769" s="4" t="n"/>
      <c r="D5769" s="4" t="n"/>
      <c r="E5769" s="4" t="n"/>
      <c r="F5769" s="4" t="n"/>
    </row>
    <row r="5770" ht="28" customHeight="1">
      <c r="A5770" s="4" t="n"/>
      <c r="B5770" s="4" t="n"/>
      <c r="C5770" s="4" t="n"/>
      <c r="D5770" s="4" t="n"/>
      <c r="E5770" s="4" t="n"/>
      <c r="F5770" s="4" t="n"/>
    </row>
    <row r="5771" ht="28" customHeight="1">
      <c r="A5771" s="4" t="n"/>
      <c r="B5771" s="4" t="n"/>
      <c r="C5771" s="4" t="n"/>
      <c r="D5771" s="4" t="n"/>
      <c r="E5771" s="4" t="n"/>
      <c r="F5771" s="4" t="n"/>
    </row>
    <row r="5772" ht="28" customHeight="1">
      <c r="A5772" s="4" t="n"/>
      <c r="B5772" s="4" t="n"/>
      <c r="C5772" s="4" t="n"/>
      <c r="D5772" s="4" t="n"/>
      <c r="E5772" s="4" t="n"/>
      <c r="F5772" s="4" t="n"/>
    </row>
    <row r="5773" ht="28" customHeight="1">
      <c r="A5773" s="4" t="n"/>
      <c r="B5773" s="4" t="n"/>
      <c r="C5773" s="4" t="n"/>
      <c r="D5773" s="4" t="n"/>
      <c r="E5773" s="4" t="n"/>
      <c r="F5773" s="4" t="n"/>
    </row>
    <row r="5774" ht="28" customHeight="1">
      <c r="A5774" s="4" t="n"/>
      <c r="B5774" s="4" t="n"/>
      <c r="C5774" s="4" t="n"/>
      <c r="D5774" s="4" t="n"/>
      <c r="E5774" s="4" t="n"/>
      <c r="F5774" s="4" t="n"/>
    </row>
    <row r="5775" ht="28" customHeight="1">
      <c r="A5775" s="4" t="n"/>
      <c r="B5775" s="4" t="n"/>
      <c r="C5775" s="4" t="n"/>
      <c r="D5775" s="4" t="n"/>
      <c r="E5775" s="4" t="n"/>
      <c r="F5775" s="4" t="n"/>
    </row>
    <row r="5776" ht="28" customHeight="1">
      <c r="A5776" s="4" t="n"/>
      <c r="B5776" s="4" t="n"/>
      <c r="C5776" s="4" t="n"/>
      <c r="D5776" s="4" t="n"/>
      <c r="E5776" s="4" t="n"/>
      <c r="F5776" s="4" t="n"/>
    </row>
    <row r="5777" ht="28" customHeight="1">
      <c r="A5777" s="4" t="n"/>
      <c r="B5777" s="4" t="n"/>
      <c r="C5777" s="4" t="n"/>
      <c r="D5777" s="4" t="n"/>
      <c r="E5777" s="4" t="n"/>
      <c r="F5777" s="4" t="n"/>
    </row>
    <row r="5778" ht="28" customHeight="1">
      <c r="A5778" s="4" t="n"/>
      <c r="B5778" s="4" t="n"/>
      <c r="C5778" s="4" t="n"/>
      <c r="D5778" s="4" t="n"/>
      <c r="E5778" s="4" t="n"/>
      <c r="F5778" s="4" t="n"/>
    </row>
    <row r="5779" ht="28" customHeight="1">
      <c r="A5779" s="4" t="n"/>
      <c r="B5779" s="4" t="n"/>
      <c r="C5779" s="4" t="n"/>
      <c r="D5779" s="4" t="n"/>
      <c r="E5779" s="4" t="n"/>
      <c r="F5779" s="4" t="n"/>
    </row>
    <row r="5780" ht="28" customHeight="1">
      <c r="A5780" s="4" t="n"/>
      <c r="B5780" s="4" t="n"/>
      <c r="C5780" s="4" t="n"/>
      <c r="D5780" s="4" t="n"/>
      <c r="E5780" s="4" t="n"/>
      <c r="F5780" s="4" t="n"/>
    </row>
    <row r="5781" ht="28" customHeight="1">
      <c r="A5781" s="4" t="n"/>
      <c r="B5781" s="4" t="n"/>
      <c r="C5781" s="4" t="n"/>
      <c r="D5781" s="4" t="n"/>
      <c r="E5781" s="4" t="n"/>
      <c r="F5781" s="4" t="n"/>
    </row>
    <row r="5782" ht="28" customHeight="1">
      <c r="A5782" s="4" t="n"/>
      <c r="B5782" s="4" t="n"/>
      <c r="C5782" s="4" t="n"/>
      <c r="D5782" s="4" t="n"/>
      <c r="E5782" s="4" t="n"/>
      <c r="F5782" s="4" t="n"/>
    </row>
    <row r="5783" ht="28" customHeight="1">
      <c r="A5783" s="4" t="n"/>
      <c r="B5783" s="4" t="n"/>
      <c r="C5783" s="4" t="n"/>
      <c r="D5783" s="4" t="n"/>
      <c r="E5783" s="4" t="n"/>
      <c r="F5783" s="4" t="n"/>
    </row>
    <row r="5784" ht="28" customHeight="1">
      <c r="A5784" s="4" t="n"/>
      <c r="B5784" s="4" t="n"/>
      <c r="C5784" s="4" t="n"/>
      <c r="D5784" s="4" t="n"/>
      <c r="E5784" s="4" t="n"/>
      <c r="F5784" s="4" t="n"/>
    </row>
    <row r="5785" ht="28" customHeight="1">
      <c r="A5785" s="4" t="n"/>
      <c r="B5785" s="4" t="n"/>
      <c r="C5785" s="4" t="n"/>
      <c r="D5785" s="4" t="n"/>
      <c r="E5785" s="4" t="n"/>
      <c r="F5785" s="4" t="n"/>
    </row>
    <row r="5786" ht="28" customHeight="1">
      <c r="A5786" s="4" t="n"/>
      <c r="B5786" s="4" t="n"/>
      <c r="C5786" s="4" t="n"/>
      <c r="D5786" s="4" t="n"/>
      <c r="E5786" s="4" t="n"/>
      <c r="F5786" s="4" t="n"/>
    </row>
    <row r="5787" ht="28" customHeight="1">
      <c r="A5787" s="4" t="n"/>
      <c r="B5787" s="4" t="n"/>
      <c r="C5787" s="4" t="n"/>
      <c r="D5787" s="4" t="n"/>
      <c r="E5787" s="4" t="n"/>
      <c r="F5787" s="4" t="n"/>
    </row>
    <row r="5788" ht="28" customHeight="1">
      <c r="A5788" s="4" t="n"/>
      <c r="B5788" s="4" t="n"/>
      <c r="C5788" s="4" t="n"/>
      <c r="D5788" s="4" t="n"/>
      <c r="E5788" s="4" t="n"/>
      <c r="F5788" s="4" t="n"/>
    </row>
    <row r="5789" ht="28" customHeight="1">
      <c r="A5789" s="4" t="n"/>
      <c r="B5789" s="4" t="n"/>
      <c r="C5789" s="4" t="n"/>
      <c r="D5789" s="4" t="n"/>
      <c r="E5789" s="4" t="n"/>
      <c r="F5789" s="4" t="n"/>
    </row>
    <row r="5790" ht="28" customHeight="1">
      <c r="A5790" s="4" t="n"/>
      <c r="B5790" s="4" t="n"/>
      <c r="C5790" s="4" t="n"/>
      <c r="D5790" s="4" t="n"/>
      <c r="E5790" s="4" t="n"/>
      <c r="F5790" s="4" t="n"/>
    </row>
    <row r="5791" ht="28" customHeight="1">
      <c r="A5791" s="4" t="n"/>
      <c r="B5791" s="4" t="n"/>
      <c r="C5791" s="4" t="n"/>
      <c r="D5791" s="4" t="n"/>
      <c r="E5791" s="4" t="n"/>
      <c r="F5791" s="4" t="n"/>
    </row>
    <row r="5792" ht="28" customHeight="1">
      <c r="A5792" s="4" t="n"/>
      <c r="B5792" s="4" t="n"/>
      <c r="C5792" s="4" t="n"/>
      <c r="D5792" s="4" t="n"/>
      <c r="E5792" s="4" t="n"/>
      <c r="F5792" s="4" t="n"/>
    </row>
    <row r="5793" ht="28" customHeight="1">
      <c r="A5793" s="4" t="n"/>
      <c r="B5793" s="4" t="n"/>
      <c r="C5793" s="4" t="n"/>
      <c r="D5793" s="4" t="n"/>
      <c r="E5793" s="4" t="n"/>
      <c r="F5793" s="4" t="n"/>
    </row>
    <row r="5794" ht="28" customHeight="1">
      <c r="A5794" s="4" t="n"/>
      <c r="B5794" s="4" t="n"/>
      <c r="C5794" s="4" t="n"/>
      <c r="D5794" s="4" t="n"/>
      <c r="E5794" s="4" t="n"/>
      <c r="F5794" s="4" t="n"/>
    </row>
    <row r="5795" ht="28" customHeight="1">
      <c r="A5795" s="4" t="n"/>
      <c r="B5795" s="4" t="n"/>
      <c r="C5795" s="4" t="n"/>
      <c r="D5795" s="4" t="n"/>
      <c r="E5795" s="4" t="n"/>
      <c r="F5795" s="4" t="n"/>
    </row>
    <row r="5796" ht="28" customHeight="1">
      <c r="A5796" s="4" t="n"/>
      <c r="B5796" s="4" t="n"/>
      <c r="C5796" s="4" t="n"/>
      <c r="D5796" s="4" t="n"/>
      <c r="E5796" s="4" t="n"/>
      <c r="F5796" s="4" t="n"/>
    </row>
    <row r="5797" ht="28" customHeight="1">
      <c r="A5797" s="4" t="n"/>
      <c r="B5797" s="4" t="n"/>
      <c r="C5797" s="4" t="n"/>
      <c r="D5797" s="4" t="n"/>
      <c r="E5797" s="4" t="n"/>
      <c r="F5797" s="4" t="n"/>
    </row>
    <row r="5798" ht="28" customHeight="1">
      <c r="A5798" s="4" t="n"/>
      <c r="B5798" s="4" t="n"/>
      <c r="C5798" s="4" t="n"/>
      <c r="D5798" s="4" t="n"/>
      <c r="E5798" s="4" t="n"/>
      <c r="F5798" s="4" t="n"/>
    </row>
    <row r="5799" ht="28" customHeight="1">
      <c r="A5799" s="4" t="n"/>
      <c r="B5799" s="4" t="n"/>
      <c r="C5799" s="4" t="n"/>
      <c r="D5799" s="4" t="n"/>
      <c r="E5799" s="4" t="n"/>
      <c r="F5799" s="4" t="n"/>
    </row>
    <row r="5800" ht="28" customHeight="1">
      <c r="A5800" s="4" t="n"/>
      <c r="B5800" s="4" t="n"/>
      <c r="C5800" s="4" t="n"/>
      <c r="D5800" s="4" t="n"/>
      <c r="E5800" s="4" t="n"/>
      <c r="F5800" s="4" t="n"/>
    </row>
    <row r="5801" ht="28" customHeight="1">
      <c r="A5801" s="4" t="n"/>
      <c r="B5801" s="4" t="n"/>
      <c r="C5801" s="4" t="n"/>
      <c r="D5801" s="4" t="n"/>
      <c r="E5801" s="4" t="n"/>
      <c r="F5801" s="4" t="n"/>
    </row>
    <row r="5802" ht="28" customHeight="1">
      <c r="A5802" s="4" t="n"/>
      <c r="B5802" s="4" t="n"/>
      <c r="C5802" s="4" t="n"/>
      <c r="D5802" s="4" t="n"/>
      <c r="E5802" s="4" t="n"/>
      <c r="F5802" s="4" t="n"/>
    </row>
    <row r="5803" ht="28" customHeight="1">
      <c r="A5803" s="4" t="n"/>
      <c r="B5803" s="4" t="n"/>
      <c r="C5803" s="4" t="n"/>
      <c r="D5803" s="4" t="n"/>
      <c r="E5803" s="4" t="n"/>
      <c r="F5803" s="4" t="n"/>
    </row>
    <row r="5804" ht="28" customHeight="1">
      <c r="A5804" s="4" t="n"/>
      <c r="B5804" s="4" t="n"/>
      <c r="C5804" s="4" t="n"/>
      <c r="D5804" s="4" t="n"/>
      <c r="E5804" s="4" t="n"/>
      <c r="F5804" s="4" t="n"/>
    </row>
    <row r="5805" ht="28" customHeight="1">
      <c r="A5805" s="4" t="n"/>
      <c r="B5805" s="4" t="n"/>
      <c r="C5805" s="4" t="n"/>
      <c r="D5805" s="4" t="n"/>
      <c r="E5805" s="4" t="n"/>
      <c r="F5805" s="4" t="n"/>
    </row>
    <row r="5806" ht="28" customHeight="1">
      <c r="A5806" s="4" t="n"/>
      <c r="B5806" s="4" t="n"/>
      <c r="C5806" s="4" t="n"/>
      <c r="D5806" s="4" t="n"/>
      <c r="E5806" s="4" t="n"/>
      <c r="F5806" s="4" t="n"/>
    </row>
    <row r="5807" ht="28" customHeight="1">
      <c r="A5807" s="4" t="n"/>
      <c r="B5807" s="4" t="n"/>
      <c r="C5807" s="4" t="n"/>
      <c r="D5807" s="4" t="n"/>
      <c r="E5807" s="4" t="n"/>
      <c r="F5807" s="4" t="n"/>
    </row>
    <row r="5808" ht="28" customHeight="1">
      <c r="A5808" s="4" t="n"/>
      <c r="B5808" s="4" t="n"/>
      <c r="C5808" s="4" t="n"/>
      <c r="D5808" s="4" t="n"/>
      <c r="E5808" s="4" t="n"/>
      <c r="F5808" s="4" t="n"/>
    </row>
    <row r="5809" ht="28" customHeight="1">
      <c r="A5809" s="4" t="n"/>
      <c r="B5809" s="4" t="n"/>
      <c r="C5809" s="4" t="n"/>
      <c r="D5809" s="4" t="n"/>
      <c r="E5809" s="4" t="n"/>
      <c r="F5809" s="4" t="n"/>
    </row>
    <row r="5810" ht="28" customHeight="1">
      <c r="A5810" s="4" t="n"/>
      <c r="B5810" s="4" t="n"/>
      <c r="C5810" s="4" t="n"/>
      <c r="D5810" s="4" t="n"/>
      <c r="E5810" s="4" t="n"/>
      <c r="F5810" s="4" t="n"/>
    </row>
    <row r="5811" ht="28" customHeight="1">
      <c r="A5811" s="4" t="n"/>
      <c r="B5811" s="4" t="n"/>
      <c r="C5811" s="4" t="n"/>
      <c r="D5811" s="4" t="n"/>
      <c r="E5811" s="4" t="n"/>
      <c r="F5811" s="4" t="n"/>
    </row>
    <row r="5812" ht="28" customHeight="1">
      <c r="A5812" s="4" t="n"/>
      <c r="B5812" s="4" t="n"/>
      <c r="C5812" s="4" t="n"/>
      <c r="D5812" s="4" t="n"/>
      <c r="E5812" s="4" t="n"/>
      <c r="F5812" s="4" t="n"/>
    </row>
    <row r="5813" ht="28" customHeight="1">
      <c r="A5813" s="4" t="n"/>
      <c r="B5813" s="4" t="n"/>
      <c r="C5813" s="4" t="n"/>
      <c r="D5813" s="4" t="n"/>
      <c r="E5813" s="4" t="n"/>
      <c r="F5813" s="4" t="n"/>
    </row>
    <row r="5814" ht="28" customHeight="1">
      <c r="A5814" s="4" t="n"/>
      <c r="B5814" s="4" t="n"/>
      <c r="C5814" s="4" t="n"/>
      <c r="D5814" s="4" t="n"/>
      <c r="E5814" s="4" t="n"/>
      <c r="F5814" s="4" t="n"/>
    </row>
    <row r="5815" ht="28" customHeight="1">
      <c r="A5815" s="4" t="n"/>
      <c r="B5815" s="4" t="n"/>
      <c r="C5815" s="4" t="n"/>
      <c r="D5815" s="4" t="n"/>
      <c r="E5815" s="4" t="n"/>
      <c r="F5815" s="4" t="n"/>
    </row>
    <row r="5816" ht="28" customHeight="1">
      <c r="A5816" s="4" t="n"/>
      <c r="B5816" s="4" t="n"/>
      <c r="C5816" s="4" t="n"/>
      <c r="D5816" s="4" t="n"/>
      <c r="E5816" s="4" t="n"/>
      <c r="F5816" s="4" t="n"/>
    </row>
    <row r="5817" ht="28" customHeight="1">
      <c r="A5817" s="4" t="n"/>
      <c r="B5817" s="4" t="n"/>
      <c r="C5817" s="4" t="n"/>
      <c r="D5817" s="4" t="n"/>
      <c r="E5817" s="4" t="n"/>
      <c r="F5817" s="4" t="n"/>
    </row>
    <row r="5818" ht="28" customHeight="1">
      <c r="A5818" s="4" t="n"/>
      <c r="B5818" s="4" t="n"/>
      <c r="C5818" s="4" t="n"/>
      <c r="D5818" s="4" t="n"/>
      <c r="E5818" s="4" t="n"/>
      <c r="F5818" s="4" t="n"/>
    </row>
    <row r="5819" ht="28" customHeight="1">
      <c r="A5819" s="4" t="n"/>
      <c r="B5819" s="4" t="n"/>
      <c r="C5819" s="4" t="n"/>
      <c r="D5819" s="4" t="n"/>
      <c r="E5819" s="4" t="n"/>
      <c r="F5819" s="4" t="n"/>
    </row>
    <row r="5820" ht="28" customHeight="1">
      <c r="A5820" s="4" t="n"/>
      <c r="B5820" s="4" t="n"/>
      <c r="C5820" s="4" t="n"/>
      <c r="D5820" s="4" t="n"/>
      <c r="E5820" s="4" t="n"/>
      <c r="F5820" s="4" t="n"/>
    </row>
    <row r="5821" ht="28" customHeight="1">
      <c r="A5821" s="4" t="n"/>
      <c r="B5821" s="4" t="n"/>
      <c r="C5821" s="4" t="n"/>
      <c r="D5821" s="4" t="n"/>
      <c r="E5821" s="4" t="n"/>
      <c r="F5821" s="4" t="n"/>
    </row>
    <row r="5822" ht="28" customHeight="1">
      <c r="A5822" s="4" t="n"/>
      <c r="B5822" s="4" t="n"/>
      <c r="C5822" s="4" t="n"/>
      <c r="D5822" s="4" t="n"/>
      <c r="E5822" s="4" t="n"/>
      <c r="F5822" s="4" t="n"/>
    </row>
    <row r="5823" ht="28" customHeight="1">
      <c r="A5823" s="4" t="n"/>
      <c r="B5823" s="4" t="n"/>
      <c r="C5823" s="4" t="n"/>
      <c r="D5823" s="4" t="n"/>
      <c r="E5823" s="4" t="n"/>
      <c r="F5823" s="4" t="n"/>
    </row>
    <row r="5824" ht="28" customHeight="1">
      <c r="A5824" s="4" t="n"/>
      <c r="B5824" s="4" t="n"/>
      <c r="C5824" s="4" t="n"/>
      <c r="D5824" s="4" t="n"/>
      <c r="E5824" s="4" t="n"/>
      <c r="F5824" s="4" t="n"/>
    </row>
    <row r="5825" ht="28" customHeight="1">
      <c r="A5825" s="4" t="n"/>
      <c r="B5825" s="4" t="n"/>
      <c r="C5825" s="4" t="n"/>
      <c r="D5825" s="4" t="n"/>
      <c r="E5825" s="4" t="n"/>
      <c r="F5825" s="4" t="n"/>
    </row>
    <row r="5826" ht="28" customHeight="1">
      <c r="A5826" s="4" t="n"/>
      <c r="B5826" s="4" t="n"/>
      <c r="C5826" s="4" t="n"/>
      <c r="D5826" s="4" t="n"/>
      <c r="E5826" s="4" t="n"/>
      <c r="F5826" s="4" t="n"/>
    </row>
    <row r="5827" ht="28" customHeight="1">
      <c r="A5827" s="4" t="n"/>
      <c r="B5827" s="4" t="n"/>
      <c r="C5827" s="4" t="n"/>
      <c r="D5827" s="4" t="n"/>
      <c r="E5827" s="4" t="n"/>
      <c r="F5827" s="4" t="n"/>
    </row>
    <row r="5828" ht="28" customHeight="1">
      <c r="A5828" s="4" t="n"/>
      <c r="B5828" s="4" t="n"/>
      <c r="C5828" s="4" t="n"/>
      <c r="D5828" s="4" t="n"/>
      <c r="E5828" s="4" t="n"/>
      <c r="F5828" s="4" t="n"/>
    </row>
    <row r="5829" ht="28" customHeight="1">
      <c r="A5829" s="4" t="n"/>
      <c r="B5829" s="4" t="n"/>
      <c r="C5829" s="4" t="n"/>
      <c r="D5829" s="4" t="n"/>
      <c r="E5829" s="4" t="n"/>
      <c r="F5829" s="4" t="n"/>
    </row>
    <row r="5830" ht="28" customHeight="1">
      <c r="A5830" s="4" t="n"/>
      <c r="B5830" s="4" t="n"/>
      <c r="C5830" s="4" t="n"/>
      <c r="D5830" s="4" t="n"/>
      <c r="E5830" s="4" t="n"/>
      <c r="F5830" s="4" t="n"/>
    </row>
    <row r="5831" ht="28" customHeight="1">
      <c r="A5831" s="4" t="n"/>
      <c r="B5831" s="4" t="n"/>
      <c r="C5831" s="4" t="n"/>
      <c r="D5831" s="4" t="n"/>
      <c r="E5831" s="4" t="n"/>
      <c r="F5831" s="4" t="n"/>
    </row>
    <row r="5832" ht="28" customHeight="1">
      <c r="A5832" s="4" t="n"/>
      <c r="B5832" s="4" t="n"/>
      <c r="C5832" s="4" t="n"/>
      <c r="D5832" s="4" t="n"/>
      <c r="E5832" s="4" t="n"/>
      <c r="F5832" s="4" t="n"/>
    </row>
    <row r="5833" ht="28" customHeight="1">
      <c r="A5833" s="4" t="n"/>
      <c r="B5833" s="4" t="n"/>
      <c r="C5833" s="4" t="n"/>
      <c r="D5833" s="4" t="n"/>
      <c r="E5833" s="4" t="n"/>
      <c r="F5833" s="4" t="n"/>
    </row>
    <row r="5834" ht="28" customHeight="1">
      <c r="A5834" s="4" t="n"/>
      <c r="B5834" s="4" t="n"/>
      <c r="C5834" s="4" t="n"/>
      <c r="D5834" s="4" t="n"/>
      <c r="E5834" s="4" t="n"/>
      <c r="F5834" s="4" t="n"/>
    </row>
    <row r="5835" ht="28" customHeight="1">
      <c r="A5835" s="4" t="n"/>
      <c r="B5835" s="4" t="n"/>
      <c r="C5835" s="4" t="n"/>
      <c r="D5835" s="4" t="n"/>
      <c r="E5835" s="4" t="n"/>
      <c r="F5835" s="4" t="n"/>
    </row>
    <row r="5836" ht="28" customHeight="1">
      <c r="A5836" s="4" t="n"/>
      <c r="B5836" s="4" t="n"/>
      <c r="C5836" s="4" t="n"/>
      <c r="D5836" s="4" t="n"/>
      <c r="E5836" s="4" t="n"/>
      <c r="F5836" s="4" t="n"/>
    </row>
    <row r="5837" ht="28" customHeight="1">
      <c r="A5837" s="4" t="n"/>
      <c r="B5837" s="4" t="n"/>
      <c r="C5837" s="4" t="n"/>
      <c r="D5837" s="4" t="n"/>
      <c r="E5837" s="4" t="n"/>
      <c r="F5837" s="4" t="n"/>
    </row>
    <row r="5838" ht="28" customHeight="1">
      <c r="A5838" s="4" t="n"/>
      <c r="B5838" s="4" t="n"/>
      <c r="C5838" s="4" t="n"/>
      <c r="D5838" s="4" t="n"/>
      <c r="E5838" s="4" t="n"/>
      <c r="F5838" s="4" t="n"/>
    </row>
    <row r="5839" ht="28" customHeight="1">
      <c r="A5839" s="4" t="n"/>
      <c r="B5839" s="4" t="n"/>
      <c r="C5839" s="4" t="n"/>
      <c r="D5839" s="4" t="n"/>
      <c r="E5839" s="4" t="n"/>
      <c r="F5839" s="4" t="n"/>
    </row>
    <row r="5840" ht="28" customHeight="1">
      <c r="A5840" s="4" t="n"/>
      <c r="B5840" s="4" t="n"/>
      <c r="C5840" s="4" t="n"/>
      <c r="D5840" s="4" t="n"/>
      <c r="E5840" s="4" t="n"/>
      <c r="F5840" s="4" t="n"/>
    </row>
    <row r="5841" ht="28" customHeight="1">
      <c r="A5841" s="4" t="n"/>
      <c r="B5841" s="4" t="n"/>
      <c r="C5841" s="4" t="n"/>
      <c r="D5841" s="4" t="n"/>
      <c r="E5841" s="4" t="n"/>
      <c r="F5841" s="4" t="n"/>
    </row>
    <row r="5842" ht="28" customHeight="1">
      <c r="A5842" s="4" t="n"/>
      <c r="B5842" s="4" t="n"/>
      <c r="C5842" s="4" t="n"/>
      <c r="D5842" s="4" t="n"/>
      <c r="E5842" s="4" t="n"/>
      <c r="F5842" s="4" t="n"/>
    </row>
    <row r="5843" ht="28" customHeight="1">
      <c r="A5843" s="4" t="n"/>
      <c r="B5843" s="4" t="n"/>
      <c r="C5843" s="4" t="n"/>
      <c r="D5843" s="4" t="n"/>
      <c r="E5843" s="4" t="n"/>
      <c r="F5843" s="4" t="n"/>
    </row>
    <row r="5844" ht="28" customHeight="1">
      <c r="A5844" s="4" t="n"/>
      <c r="B5844" s="4" t="n"/>
      <c r="C5844" s="4" t="n"/>
      <c r="D5844" s="4" t="n"/>
      <c r="E5844" s="4" t="n"/>
      <c r="F5844" s="4" t="n"/>
    </row>
    <row r="5845" ht="28" customHeight="1">
      <c r="A5845" s="4" t="n"/>
      <c r="B5845" s="4" t="n"/>
      <c r="C5845" s="4" t="n"/>
      <c r="D5845" s="4" t="n"/>
      <c r="E5845" s="4" t="n"/>
      <c r="F5845" s="4" t="n"/>
    </row>
    <row r="5846" ht="28" customHeight="1">
      <c r="A5846" s="4" t="n"/>
      <c r="B5846" s="4" t="n"/>
      <c r="C5846" s="4" t="n"/>
      <c r="D5846" s="4" t="n"/>
      <c r="E5846" s="4" t="n"/>
      <c r="F5846" s="4" t="n"/>
    </row>
    <row r="5847" ht="28" customHeight="1">
      <c r="A5847" s="4" t="n"/>
      <c r="B5847" s="4" t="n"/>
      <c r="C5847" s="4" t="n"/>
      <c r="D5847" s="4" t="n"/>
      <c r="E5847" s="4" t="n"/>
      <c r="F5847" s="4" t="n"/>
    </row>
    <row r="5848" ht="28" customHeight="1">
      <c r="A5848" s="4" t="n"/>
      <c r="B5848" s="4" t="n"/>
      <c r="C5848" s="4" t="n"/>
      <c r="D5848" s="4" t="n"/>
      <c r="E5848" s="4" t="n"/>
      <c r="F5848" s="4" t="n"/>
    </row>
    <row r="5849" ht="28" customHeight="1">
      <c r="A5849" s="4" t="n"/>
      <c r="B5849" s="4" t="n"/>
      <c r="C5849" s="4" t="n"/>
      <c r="D5849" s="4" t="n"/>
      <c r="E5849" s="4" t="n"/>
      <c r="F5849" s="4" t="n"/>
    </row>
    <row r="5850" ht="28" customHeight="1">
      <c r="A5850" s="4" t="n"/>
      <c r="B5850" s="4" t="n"/>
      <c r="C5850" s="4" t="n"/>
      <c r="D5850" s="4" t="n"/>
      <c r="E5850" s="4" t="n"/>
      <c r="F5850" s="4" t="n"/>
    </row>
    <row r="5851" ht="28" customHeight="1">
      <c r="A5851" s="4" t="n"/>
      <c r="B5851" s="4" t="n"/>
      <c r="C5851" s="4" t="n"/>
      <c r="D5851" s="4" t="n"/>
      <c r="E5851" s="4" t="n"/>
      <c r="F5851" s="4" t="n"/>
    </row>
    <row r="5852" ht="28" customHeight="1">
      <c r="A5852" s="4" t="n"/>
      <c r="B5852" s="4" t="n"/>
      <c r="C5852" s="4" t="n"/>
      <c r="D5852" s="4" t="n"/>
      <c r="E5852" s="4" t="n"/>
      <c r="F5852" s="4" t="n"/>
    </row>
    <row r="5853" ht="28" customHeight="1">
      <c r="A5853" s="4" t="n"/>
      <c r="B5853" s="4" t="n"/>
      <c r="C5853" s="4" t="n"/>
      <c r="D5853" s="4" t="n"/>
      <c r="E5853" s="4" t="n"/>
      <c r="F5853" s="4" t="n"/>
    </row>
    <row r="5854" ht="28" customHeight="1">
      <c r="A5854" s="4" t="n"/>
      <c r="B5854" s="4" t="n"/>
      <c r="C5854" s="4" t="n"/>
      <c r="D5854" s="4" t="n"/>
      <c r="E5854" s="4" t="n"/>
      <c r="F5854" s="4" t="n"/>
    </row>
    <row r="5855" ht="28" customHeight="1">
      <c r="A5855" s="4" t="n"/>
      <c r="B5855" s="4" t="n"/>
      <c r="C5855" s="4" t="n"/>
      <c r="D5855" s="4" t="n"/>
      <c r="E5855" s="4" t="n"/>
      <c r="F5855" s="4" t="n"/>
    </row>
    <row r="5856" ht="28" customHeight="1">
      <c r="A5856" s="4" t="n"/>
      <c r="B5856" s="4" t="n"/>
      <c r="C5856" s="4" t="n"/>
      <c r="D5856" s="4" t="n"/>
      <c r="E5856" s="4" t="n"/>
      <c r="F5856" s="4" t="n"/>
    </row>
    <row r="5857" ht="28" customHeight="1">
      <c r="A5857" s="4" t="n"/>
      <c r="B5857" s="4" t="n"/>
      <c r="C5857" s="4" t="n"/>
      <c r="D5857" s="4" t="n"/>
      <c r="E5857" s="4" t="n"/>
      <c r="F5857" s="4" t="n"/>
    </row>
    <row r="5858" ht="28" customHeight="1">
      <c r="A5858" s="4" t="n"/>
      <c r="B5858" s="4" t="n"/>
      <c r="C5858" s="4" t="n"/>
      <c r="D5858" s="4" t="n"/>
      <c r="E5858" s="4" t="n"/>
      <c r="F5858" s="4" t="n"/>
    </row>
    <row r="5859" ht="28" customHeight="1">
      <c r="A5859" s="4" t="n"/>
      <c r="B5859" s="4" t="n"/>
      <c r="C5859" s="4" t="n"/>
      <c r="D5859" s="4" t="n"/>
      <c r="E5859" s="4" t="n"/>
      <c r="F5859" s="4" t="n"/>
    </row>
    <row r="5860" ht="28" customHeight="1">
      <c r="A5860" s="4" t="n"/>
      <c r="B5860" s="4" t="n"/>
      <c r="C5860" s="4" t="n"/>
      <c r="D5860" s="4" t="n"/>
      <c r="E5860" s="4" t="n"/>
      <c r="F5860" s="4" t="n"/>
    </row>
    <row r="5861" ht="28" customHeight="1">
      <c r="A5861" s="4" t="n"/>
      <c r="B5861" s="4" t="n"/>
      <c r="C5861" s="4" t="n"/>
      <c r="D5861" s="4" t="n"/>
      <c r="E5861" s="4" t="n"/>
      <c r="F5861" s="4" t="n"/>
    </row>
    <row r="5862" ht="28" customHeight="1">
      <c r="A5862" s="4" t="n"/>
      <c r="B5862" s="4" t="n"/>
      <c r="C5862" s="4" t="n"/>
      <c r="D5862" s="4" t="n"/>
      <c r="E5862" s="4" t="n"/>
      <c r="F5862" s="4" t="n"/>
    </row>
    <row r="5863" ht="28" customHeight="1">
      <c r="A5863" s="4" t="n"/>
      <c r="B5863" s="4" t="n"/>
      <c r="C5863" s="4" t="n"/>
      <c r="D5863" s="4" t="n"/>
      <c r="E5863" s="4" t="n"/>
      <c r="F5863" s="4" t="n"/>
    </row>
    <row r="5864" ht="28" customHeight="1">
      <c r="A5864" s="4" t="n"/>
      <c r="B5864" s="4" t="n"/>
      <c r="C5864" s="4" t="n"/>
      <c r="D5864" s="4" t="n"/>
      <c r="E5864" s="4" t="n"/>
      <c r="F5864" s="4" t="n"/>
    </row>
    <row r="5865" ht="28" customHeight="1">
      <c r="A5865" s="4" t="n"/>
      <c r="B5865" s="4" t="n"/>
      <c r="C5865" s="4" t="n"/>
      <c r="D5865" s="4" t="n"/>
      <c r="E5865" s="4" t="n"/>
      <c r="F5865" s="4" t="n"/>
    </row>
    <row r="5866" ht="28" customHeight="1">
      <c r="A5866" s="4" t="n"/>
      <c r="B5866" s="4" t="n"/>
      <c r="C5866" s="4" t="n"/>
      <c r="D5866" s="4" t="n"/>
      <c r="E5866" s="4" t="n"/>
      <c r="F5866" s="4" t="n"/>
    </row>
    <row r="5867" ht="28" customHeight="1">
      <c r="A5867" s="4" t="n"/>
      <c r="B5867" s="4" t="n"/>
      <c r="C5867" s="4" t="n"/>
      <c r="D5867" s="4" t="n"/>
      <c r="E5867" s="4" t="n"/>
      <c r="F5867" s="4" t="n"/>
    </row>
    <row r="5868" ht="28" customHeight="1">
      <c r="A5868" s="4" t="n"/>
      <c r="B5868" s="4" t="n"/>
      <c r="C5868" s="4" t="n"/>
      <c r="D5868" s="4" t="n"/>
      <c r="E5868" s="4" t="n"/>
      <c r="F5868" s="4" t="n"/>
    </row>
    <row r="5869" ht="28" customHeight="1">
      <c r="A5869" s="4" t="n"/>
      <c r="B5869" s="4" t="n"/>
      <c r="C5869" s="4" t="n"/>
      <c r="D5869" s="4" t="n"/>
      <c r="E5869" s="4" t="n"/>
      <c r="F5869" s="4" t="n"/>
    </row>
    <row r="5870" ht="28" customHeight="1">
      <c r="A5870" s="4" t="n"/>
      <c r="B5870" s="4" t="n"/>
      <c r="C5870" s="4" t="n"/>
      <c r="D5870" s="4" t="n"/>
      <c r="E5870" s="4" t="n"/>
      <c r="F5870" s="4" t="n"/>
    </row>
    <row r="5871" ht="28" customHeight="1">
      <c r="A5871" s="4" t="n"/>
      <c r="B5871" s="4" t="n"/>
      <c r="C5871" s="4" t="n"/>
      <c r="D5871" s="4" t="n"/>
      <c r="E5871" s="4" t="n"/>
      <c r="F5871" s="4" t="n"/>
    </row>
    <row r="5872" ht="28" customHeight="1">
      <c r="A5872" s="4" t="n"/>
      <c r="B5872" s="4" t="n"/>
      <c r="C5872" s="4" t="n"/>
      <c r="D5872" s="4" t="n"/>
      <c r="E5872" s="4" t="n"/>
      <c r="F5872" s="4" t="n"/>
    </row>
    <row r="5873" ht="28" customHeight="1">
      <c r="A5873" s="4" t="n"/>
      <c r="B5873" s="4" t="n"/>
      <c r="C5873" s="4" t="n"/>
      <c r="D5873" s="4" t="n"/>
      <c r="E5873" s="4" t="n"/>
      <c r="F5873" s="4" t="n"/>
    </row>
    <row r="5874" ht="28" customHeight="1">
      <c r="A5874" s="4" t="n"/>
      <c r="B5874" s="4" t="n"/>
      <c r="C5874" s="4" t="n"/>
      <c r="D5874" s="4" t="n"/>
      <c r="E5874" s="4" t="n"/>
      <c r="F5874" s="4" t="n"/>
    </row>
    <row r="5875" ht="28" customHeight="1">
      <c r="A5875" s="4" t="n"/>
      <c r="B5875" s="4" t="n"/>
      <c r="C5875" s="4" t="n"/>
      <c r="D5875" s="4" t="n"/>
      <c r="E5875" s="4" t="n"/>
      <c r="F5875" s="4" t="n"/>
    </row>
    <row r="5876" ht="28" customHeight="1">
      <c r="A5876" s="4" t="n"/>
      <c r="B5876" s="4" t="n"/>
      <c r="C5876" s="4" t="n"/>
      <c r="D5876" s="4" t="n"/>
      <c r="E5876" s="4" t="n"/>
      <c r="F5876" s="4" t="n"/>
    </row>
    <row r="5877" ht="28" customHeight="1">
      <c r="A5877" s="4" t="n"/>
      <c r="B5877" s="4" t="n"/>
      <c r="C5877" s="4" t="n"/>
      <c r="D5877" s="4" t="n"/>
      <c r="E5877" s="4" t="n"/>
      <c r="F5877" s="4" t="n"/>
    </row>
    <row r="5878" ht="28" customHeight="1">
      <c r="A5878" s="4" t="n"/>
      <c r="B5878" s="4" t="n"/>
      <c r="C5878" s="4" t="n"/>
      <c r="D5878" s="4" t="n"/>
      <c r="E5878" s="4" t="n"/>
      <c r="F5878" s="4" t="n"/>
    </row>
    <row r="5879" ht="28" customHeight="1">
      <c r="A5879" s="4" t="n"/>
      <c r="B5879" s="4" t="n"/>
      <c r="C5879" s="4" t="n"/>
      <c r="D5879" s="4" t="n"/>
      <c r="E5879" s="4" t="n"/>
      <c r="F5879" s="4" t="n"/>
    </row>
    <row r="5880" ht="28" customHeight="1">
      <c r="A5880" s="4" t="n"/>
      <c r="B5880" s="4" t="n"/>
      <c r="C5880" s="4" t="n"/>
      <c r="D5880" s="4" t="n"/>
      <c r="E5880" s="4" t="n"/>
      <c r="F5880" s="4" t="n"/>
    </row>
    <row r="5881" ht="28" customHeight="1">
      <c r="A5881" s="4" t="n"/>
      <c r="B5881" s="4" t="n"/>
      <c r="C5881" s="4" t="n"/>
      <c r="D5881" s="4" t="n"/>
      <c r="E5881" s="4" t="n"/>
      <c r="F5881" s="4" t="n"/>
    </row>
    <row r="5882" ht="28" customHeight="1">
      <c r="A5882" s="4" t="n"/>
      <c r="B5882" s="4" t="n"/>
      <c r="C5882" s="4" t="n"/>
      <c r="D5882" s="4" t="n"/>
      <c r="E5882" s="4" t="n"/>
      <c r="F5882" s="4" t="n"/>
    </row>
    <row r="5883" ht="28" customHeight="1">
      <c r="A5883" s="4" t="n"/>
      <c r="B5883" s="4" t="n"/>
      <c r="C5883" s="4" t="n"/>
      <c r="D5883" s="4" t="n"/>
      <c r="E5883" s="4" t="n"/>
      <c r="F5883" s="4" t="n"/>
    </row>
    <row r="5884" ht="28" customHeight="1">
      <c r="A5884" s="4" t="n"/>
      <c r="B5884" s="4" t="n"/>
      <c r="C5884" s="4" t="n"/>
      <c r="D5884" s="4" t="n"/>
      <c r="E5884" s="4" t="n"/>
      <c r="F5884" s="4" t="n"/>
    </row>
    <row r="5885" ht="28" customHeight="1">
      <c r="A5885" s="4" t="n"/>
      <c r="B5885" s="4" t="n"/>
      <c r="C5885" s="4" t="n"/>
      <c r="D5885" s="4" t="n"/>
      <c r="E5885" s="4" t="n"/>
      <c r="F5885" s="4" t="n"/>
    </row>
    <row r="5886" ht="28" customHeight="1">
      <c r="A5886" s="4" t="n"/>
      <c r="B5886" s="4" t="n"/>
      <c r="C5886" s="4" t="n"/>
      <c r="D5886" s="4" t="n"/>
      <c r="E5886" s="4" t="n"/>
      <c r="F5886" s="4" t="n"/>
    </row>
    <row r="5887" ht="28" customHeight="1">
      <c r="A5887" s="4" t="n"/>
      <c r="B5887" s="4" t="n"/>
      <c r="C5887" s="4" t="n"/>
      <c r="D5887" s="4" t="n"/>
      <c r="E5887" s="4" t="n"/>
      <c r="F5887" s="4" t="n"/>
    </row>
    <row r="5888" ht="28" customHeight="1">
      <c r="A5888" s="4" t="n"/>
      <c r="B5888" s="4" t="n"/>
      <c r="C5888" s="4" t="n"/>
      <c r="D5888" s="4" t="n"/>
      <c r="E5888" s="4" t="n"/>
      <c r="F5888" s="4" t="n"/>
    </row>
    <row r="5889" ht="28" customHeight="1">
      <c r="A5889" s="4" t="n"/>
      <c r="B5889" s="4" t="n"/>
      <c r="C5889" s="4" t="n"/>
      <c r="D5889" s="4" t="n"/>
      <c r="E5889" s="4" t="n"/>
      <c r="F5889" s="4" t="n"/>
    </row>
    <row r="5890" ht="28" customHeight="1">
      <c r="A5890" s="4" t="n"/>
      <c r="B5890" s="4" t="n"/>
      <c r="C5890" s="4" t="n"/>
      <c r="D5890" s="4" t="n"/>
      <c r="E5890" s="4" t="n"/>
      <c r="F5890" s="4" t="n"/>
    </row>
    <row r="5891" ht="28" customHeight="1">
      <c r="A5891" s="4" t="n"/>
      <c r="B5891" s="4" t="n"/>
      <c r="C5891" s="4" t="n"/>
      <c r="D5891" s="4" t="n"/>
      <c r="E5891" s="4" t="n"/>
      <c r="F5891" s="4" t="n"/>
    </row>
    <row r="5892" ht="28" customHeight="1">
      <c r="A5892" s="4" t="n"/>
      <c r="B5892" s="4" t="n"/>
      <c r="C5892" s="4" t="n"/>
      <c r="D5892" s="4" t="n"/>
      <c r="E5892" s="4" t="n"/>
      <c r="F5892" s="4" t="n"/>
    </row>
    <row r="5893" ht="28" customHeight="1">
      <c r="A5893" s="4" t="n"/>
      <c r="B5893" s="4" t="n"/>
      <c r="C5893" s="4" t="n"/>
      <c r="D5893" s="4" t="n"/>
      <c r="E5893" s="4" t="n"/>
      <c r="F5893" s="4" t="n"/>
    </row>
    <row r="5894" ht="28" customHeight="1">
      <c r="A5894" s="4" t="n"/>
      <c r="B5894" s="4" t="n"/>
      <c r="C5894" s="4" t="n"/>
      <c r="D5894" s="4" t="n"/>
      <c r="E5894" s="4" t="n"/>
      <c r="F5894" s="4" t="n"/>
    </row>
    <row r="5895" ht="28" customHeight="1">
      <c r="A5895" s="4" t="n"/>
      <c r="B5895" s="4" t="n"/>
      <c r="C5895" s="4" t="n"/>
      <c r="D5895" s="4" t="n"/>
      <c r="E5895" s="4" t="n"/>
      <c r="F5895" s="4" t="n"/>
    </row>
    <row r="5896" ht="28" customHeight="1">
      <c r="A5896" s="4" t="n"/>
      <c r="B5896" s="4" t="n"/>
      <c r="C5896" s="4" t="n"/>
      <c r="D5896" s="4" t="n"/>
      <c r="E5896" s="4" t="n"/>
      <c r="F5896" s="4" t="n"/>
    </row>
    <row r="5897" ht="28" customHeight="1">
      <c r="A5897" s="4" t="n"/>
      <c r="B5897" s="4" t="n"/>
      <c r="C5897" s="4" t="n"/>
      <c r="D5897" s="4" t="n"/>
      <c r="E5897" s="4" t="n"/>
      <c r="F5897" s="4" t="n"/>
    </row>
    <row r="5898" ht="28" customHeight="1">
      <c r="A5898" s="4" t="n"/>
      <c r="B5898" s="4" t="n"/>
      <c r="C5898" s="4" t="n"/>
      <c r="D5898" s="4" t="n"/>
      <c r="E5898" s="4" t="n"/>
      <c r="F5898" s="4" t="n"/>
    </row>
    <row r="5899" ht="28" customHeight="1">
      <c r="A5899" s="4" t="n"/>
      <c r="B5899" s="4" t="n"/>
      <c r="C5899" s="4" t="n"/>
      <c r="D5899" s="4" t="n"/>
      <c r="E5899" s="4" t="n"/>
      <c r="F5899" s="4" t="n"/>
    </row>
    <row r="5900" ht="28" customHeight="1">
      <c r="A5900" s="4" t="n"/>
      <c r="B5900" s="4" t="n"/>
      <c r="C5900" s="4" t="n"/>
      <c r="D5900" s="4" t="n"/>
      <c r="E5900" s="4" t="n"/>
      <c r="F5900" s="4" t="n"/>
    </row>
    <row r="5901" ht="28" customHeight="1">
      <c r="A5901" s="4" t="n"/>
      <c r="B5901" s="4" t="n"/>
      <c r="C5901" s="4" t="n"/>
      <c r="D5901" s="4" t="n"/>
      <c r="E5901" s="4" t="n"/>
      <c r="F5901" s="4" t="n"/>
    </row>
    <row r="5902" ht="28" customHeight="1">
      <c r="A5902" s="4" t="n"/>
      <c r="B5902" s="4" t="n"/>
      <c r="C5902" s="4" t="n"/>
      <c r="D5902" s="4" t="n"/>
      <c r="E5902" s="4" t="n"/>
      <c r="F5902" s="4" t="n"/>
    </row>
    <row r="5903" ht="28" customHeight="1">
      <c r="A5903" s="4" t="n"/>
      <c r="B5903" s="4" t="n"/>
      <c r="C5903" s="4" t="n"/>
      <c r="D5903" s="4" t="n"/>
      <c r="E5903" s="4" t="n"/>
      <c r="F5903" s="4" t="n"/>
    </row>
    <row r="5904" ht="28" customHeight="1">
      <c r="A5904" s="4" t="n"/>
      <c r="B5904" s="4" t="n"/>
      <c r="C5904" s="4" t="n"/>
      <c r="D5904" s="4" t="n"/>
      <c r="E5904" s="4" t="n"/>
      <c r="F5904" s="4" t="n"/>
    </row>
    <row r="5905" ht="28" customHeight="1">
      <c r="A5905" s="4" t="n"/>
      <c r="B5905" s="4" t="n"/>
      <c r="C5905" s="4" t="n"/>
      <c r="D5905" s="4" t="n"/>
      <c r="E5905" s="4" t="n"/>
      <c r="F5905" s="4" t="n"/>
    </row>
    <row r="5906" ht="28" customHeight="1">
      <c r="A5906" s="4" t="n"/>
      <c r="B5906" s="4" t="n"/>
      <c r="C5906" s="4" t="n"/>
      <c r="D5906" s="4" t="n"/>
      <c r="E5906" s="4" t="n"/>
      <c r="F5906" s="4" t="n"/>
    </row>
    <row r="5907" ht="28" customHeight="1">
      <c r="A5907" s="4" t="n"/>
      <c r="B5907" s="4" t="n"/>
      <c r="C5907" s="4" t="n"/>
      <c r="D5907" s="4" t="n"/>
      <c r="E5907" s="4" t="n"/>
      <c r="F5907" s="4" t="n"/>
    </row>
    <row r="5908" ht="28" customHeight="1">
      <c r="A5908" s="4" t="n"/>
      <c r="B5908" s="4" t="n"/>
      <c r="C5908" s="4" t="n"/>
      <c r="D5908" s="4" t="n"/>
      <c r="E5908" s="4" t="n"/>
      <c r="F5908" s="4" t="n"/>
    </row>
    <row r="5909" ht="28" customHeight="1">
      <c r="A5909" s="4" t="n"/>
      <c r="B5909" s="4" t="n"/>
      <c r="C5909" s="4" t="n"/>
      <c r="D5909" s="4" t="n"/>
      <c r="E5909" s="4" t="n"/>
      <c r="F5909" s="4" t="n"/>
    </row>
    <row r="5910" ht="28" customHeight="1">
      <c r="A5910" s="4" t="n"/>
      <c r="B5910" s="4" t="n"/>
      <c r="C5910" s="4" t="n"/>
      <c r="D5910" s="4" t="n"/>
      <c r="E5910" s="4" t="n"/>
      <c r="F5910" s="4" t="n"/>
    </row>
    <row r="5911" ht="28" customHeight="1">
      <c r="A5911" s="4" t="n"/>
      <c r="B5911" s="4" t="n"/>
      <c r="C5911" s="4" t="n"/>
      <c r="D5911" s="4" t="n"/>
      <c r="E5911" s="4" t="n"/>
      <c r="F5911" s="4" t="n"/>
    </row>
    <row r="5912" ht="28" customHeight="1">
      <c r="A5912" s="4" t="n"/>
      <c r="B5912" s="4" t="n"/>
      <c r="C5912" s="4" t="n"/>
      <c r="D5912" s="4" t="n"/>
      <c r="E5912" s="4" t="n"/>
      <c r="F5912" s="4" t="n"/>
    </row>
    <row r="5913" ht="28" customHeight="1">
      <c r="A5913" s="4" t="n"/>
      <c r="B5913" s="4" t="n"/>
      <c r="C5913" s="4" t="n"/>
      <c r="D5913" s="4" t="n"/>
      <c r="E5913" s="4" t="n"/>
      <c r="F5913" s="4" t="n"/>
    </row>
    <row r="5914" ht="28" customHeight="1">
      <c r="A5914" s="4" t="n"/>
      <c r="B5914" s="4" t="n"/>
      <c r="C5914" s="4" t="n"/>
      <c r="D5914" s="4" t="n"/>
      <c r="E5914" s="4" t="n"/>
      <c r="F5914" s="4" t="n"/>
    </row>
    <row r="5915" ht="28" customHeight="1">
      <c r="A5915" s="4" t="n"/>
      <c r="B5915" s="4" t="n"/>
      <c r="C5915" s="4" t="n"/>
      <c r="D5915" s="4" t="n"/>
      <c r="E5915" s="4" t="n"/>
      <c r="F5915" s="4" t="n"/>
    </row>
    <row r="5916" ht="28" customHeight="1">
      <c r="A5916" s="4" t="n"/>
      <c r="B5916" s="4" t="n"/>
      <c r="C5916" s="4" t="n"/>
      <c r="D5916" s="4" t="n"/>
      <c r="E5916" s="4" t="n"/>
      <c r="F5916" s="4" t="n"/>
    </row>
    <row r="5917" ht="28" customHeight="1">
      <c r="A5917" s="4" t="n"/>
      <c r="B5917" s="4" t="n"/>
      <c r="C5917" s="4" t="n"/>
      <c r="D5917" s="4" t="n"/>
      <c r="E5917" s="4" t="n"/>
      <c r="F5917" s="4" t="n"/>
    </row>
    <row r="5918" ht="28" customHeight="1">
      <c r="A5918" s="4" t="n"/>
      <c r="B5918" s="4" t="n"/>
      <c r="C5918" s="4" t="n"/>
      <c r="D5918" s="4" t="n"/>
      <c r="E5918" s="4" t="n"/>
      <c r="F5918" s="4" t="n"/>
    </row>
    <row r="5919" ht="28" customHeight="1">
      <c r="A5919" s="4" t="n"/>
      <c r="B5919" s="4" t="n"/>
      <c r="C5919" s="4" t="n"/>
      <c r="D5919" s="4" t="n"/>
      <c r="E5919" s="4" t="n"/>
      <c r="F5919" s="4" t="n"/>
    </row>
    <row r="5920" ht="28" customHeight="1">
      <c r="A5920" s="4" t="n"/>
      <c r="B5920" s="4" t="n"/>
      <c r="C5920" s="4" t="n"/>
      <c r="D5920" s="4" t="n"/>
      <c r="E5920" s="4" t="n"/>
      <c r="F5920" s="4" t="n"/>
    </row>
    <row r="5921" ht="28" customHeight="1">
      <c r="A5921" s="4" t="n"/>
      <c r="B5921" s="4" t="n"/>
      <c r="C5921" s="4" t="n"/>
      <c r="D5921" s="4" t="n"/>
      <c r="E5921" s="4" t="n"/>
      <c r="F5921" s="4" t="n"/>
    </row>
    <row r="5922" ht="28" customHeight="1">
      <c r="A5922" s="4" t="n"/>
      <c r="B5922" s="4" t="n"/>
      <c r="C5922" s="4" t="n"/>
      <c r="D5922" s="4" t="n"/>
      <c r="E5922" s="4" t="n"/>
      <c r="F5922" s="4" t="n"/>
    </row>
    <row r="5923" ht="28" customHeight="1">
      <c r="A5923" s="4" t="n"/>
      <c r="B5923" s="4" t="n"/>
      <c r="C5923" s="4" t="n"/>
      <c r="D5923" s="4" t="n"/>
      <c r="E5923" s="4" t="n"/>
      <c r="F5923" s="4" t="n"/>
    </row>
    <row r="5924" ht="28" customHeight="1">
      <c r="A5924" s="4" t="n"/>
      <c r="B5924" s="4" t="n"/>
      <c r="C5924" s="4" t="n"/>
      <c r="D5924" s="4" t="n"/>
      <c r="E5924" s="4" t="n"/>
      <c r="F5924" s="4" t="n"/>
    </row>
    <row r="5925" ht="28" customHeight="1">
      <c r="A5925" s="4" t="n"/>
      <c r="B5925" s="4" t="n"/>
      <c r="C5925" s="4" t="n"/>
      <c r="D5925" s="4" t="n"/>
      <c r="E5925" s="4" t="n"/>
      <c r="F5925" s="4" t="n"/>
    </row>
    <row r="5926" ht="28" customHeight="1">
      <c r="A5926" s="4" t="n"/>
      <c r="B5926" s="4" t="n"/>
      <c r="C5926" s="4" t="n"/>
      <c r="D5926" s="4" t="n"/>
      <c r="E5926" s="4" t="n"/>
      <c r="F5926" s="4" t="n"/>
    </row>
    <row r="5927" ht="28" customHeight="1">
      <c r="A5927" s="4" t="n"/>
      <c r="B5927" s="4" t="n"/>
      <c r="C5927" s="4" t="n"/>
      <c r="D5927" s="4" t="n"/>
      <c r="E5927" s="4" t="n"/>
      <c r="F5927" s="4" t="n"/>
    </row>
    <row r="5928" ht="28" customHeight="1">
      <c r="A5928" s="4" t="n"/>
      <c r="B5928" s="4" t="n"/>
      <c r="C5928" s="4" t="n"/>
      <c r="D5928" s="4" t="n"/>
      <c r="E5928" s="4" t="n"/>
      <c r="F5928" s="4" t="n"/>
    </row>
    <row r="5929" ht="28" customHeight="1">
      <c r="A5929" s="4" t="n"/>
      <c r="B5929" s="4" t="n"/>
      <c r="C5929" s="4" t="n"/>
      <c r="D5929" s="4" t="n"/>
      <c r="E5929" s="4" t="n"/>
      <c r="F5929" s="4" t="n"/>
    </row>
    <row r="5930" ht="28" customHeight="1">
      <c r="A5930" s="4" t="n"/>
      <c r="B5930" s="4" t="n"/>
      <c r="C5930" s="4" t="n"/>
      <c r="D5930" s="4" t="n"/>
      <c r="E5930" s="4" t="n"/>
      <c r="F5930" s="4" t="n"/>
    </row>
    <row r="5931" ht="28" customHeight="1">
      <c r="A5931" s="4" t="n"/>
      <c r="B5931" s="4" t="n"/>
      <c r="C5931" s="4" t="n"/>
      <c r="D5931" s="4" t="n"/>
      <c r="E5931" s="4" t="n"/>
      <c r="F5931" s="4" t="n"/>
    </row>
    <row r="5932" ht="28" customHeight="1">
      <c r="A5932" s="4" t="n"/>
      <c r="B5932" s="4" t="n"/>
      <c r="C5932" s="4" t="n"/>
      <c r="D5932" s="4" t="n"/>
      <c r="E5932" s="4" t="n"/>
      <c r="F5932" s="4" t="n"/>
    </row>
    <row r="5933" ht="28" customHeight="1">
      <c r="A5933" s="4" t="n"/>
      <c r="B5933" s="4" t="n"/>
      <c r="C5933" s="4" t="n"/>
      <c r="D5933" s="4" t="n"/>
      <c r="E5933" s="4" t="n"/>
      <c r="F5933" s="4" t="n"/>
    </row>
    <row r="5934" ht="28" customHeight="1">
      <c r="A5934" s="4" t="n"/>
      <c r="B5934" s="4" t="n"/>
      <c r="C5934" s="4" t="n"/>
      <c r="D5934" s="4" t="n"/>
      <c r="E5934" s="4" t="n"/>
      <c r="F5934" s="4" t="n"/>
    </row>
    <row r="5935" ht="28" customHeight="1">
      <c r="A5935" s="4" t="n"/>
      <c r="B5935" s="4" t="n"/>
      <c r="C5935" s="4" t="n"/>
      <c r="D5935" s="4" t="n"/>
      <c r="E5935" s="4" t="n"/>
      <c r="F5935" s="4" t="n"/>
    </row>
    <row r="5936" ht="28" customHeight="1">
      <c r="A5936" s="4" t="n"/>
      <c r="B5936" s="4" t="n"/>
      <c r="C5936" s="4" t="n"/>
      <c r="D5936" s="4" t="n"/>
      <c r="E5936" s="4" t="n"/>
      <c r="F5936" s="4" t="n"/>
    </row>
    <row r="5937" ht="28" customHeight="1">
      <c r="A5937" s="4" t="n"/>
      <c r="B5937" s="4" t="n"/>
      <c r="C5937" s="4" t="n"/>
      <c r="D5937" s="4" t="n"/>
      <c r="E5937" s="4" t="n"/>
      <c r="F5937" s="4" t="n"/>
    </row>
    <row r="5938" ht="28" customHeight="1">
      <c r="A5938" s="4" t="n"/>
      <c r="B5938" s="4" t="n"/>
      <c r="C5938" s="4" t="n"/>
      <c r="D5938" s="4" t="n"/>
      <c r="E5938" s="4" t="n"/>
      <c r="F5938" s="4" t="n"/>
    </row>
    <row r="5939" ht="28" customHeight="1">
      <c r="A5939" s="4" t="n"/>
      <c r="B5939" s="4" t="n"/>
      <c r="C5939" s="4" t="n"/>
      <c r="D5939" s="4" t="n"/>
      <c r="E5939" s="4" t="n"/>
      <c r="F5939" s="4" t="n"/>
    </row>
    <row r="5940" ht="28" customHeight="1">
      <c r="A5940" s="4" t="n"/>
      <c r="B5940" s="4" t="n"/>
      <c r="C5940" s="4" t="n"/>
      <c r="D5940" s="4" t="n"/>
      <c r="E5940" s="4" t="n"/>
      <c r="F5940" s="4" t="n"/>
    </row>
    <row r="5941" ht="28" customHeight="1">
      <c r="A5941" s="4" t="n"/>
      <c r="B5941" s="4" t="n"/>
      <c r="C5941" s="4" t="n"/>
      <c r="D5941" s="4" t="n"/>
      <c r="E5941" s="4" t="n"/>
      <c r="F5941" s="4" t="n"/>
    </row>
    <row r="5942" ht="28" customHeight="1">
      <c r="A5942" s="4" t="n"/>
      <c r="B5942" s="4" t="n"/>
      <c r="C5942" s="4" t="n"/>
      <c r="D5942" s="4" t="n"/>
      <c r="E5942" s="4" t="n"/>
      <c r="F5942" s="4" t="n"/>
    </row>
    <row r="5943" ht="28" customHeight="1">
      <c r="A5943" s="4" t="n"/>
      <c r="B5943" s="4" t="n"/>
      <c r="C5943" s="4" t="n"/>
      <c r="D5943" s="4" t="n"/>
      <c r="E5943" s="4" t="n"/>
      <c r="F5943" s="4" t="n"/>
    </row>
    <row r="5944" ht="28" customHeight="1">
      <c r="A5944" s="4" t="n"/>
      <c r="B5944" s="4" t="n"/>
      <c r="C5944" s="4" t="n"/>
      <c r="D5944" s="4" t="n"/>
      <c r="E5944" s="4" t="n"/>
      <c r="F5944" s="4" t="n"/>
    </row>
    <row r="5945" ht="28" customHeight="1">
      <c r="A5945" s="4" t="n"/>
      <c r="B5945" s="4" t="n"/>
      <c r="C5945" s="4" t="n"/>
      <c r="D5945" s="4" t="n"/>
      <c r="E5945" s="4" t="n"/>
      <c r="F5945" s="4" t="n"/>
    </row>
    <row r="5946" ht="28" customHeight="1">
      <c r="A5946" s="4" t="n"/>
      <c r="B5946" s="4" t="n"/>
      <c r="C5946" s="4" t="n"/>
      <c r="D5946" s="4" t="n"/>
      <c r="E5946" s="4" t="n"/>
      <c r="F5946" s="4" t="n"/>
    </row>
    <row r="5947" ht="28" customHeight="1">
      <c r="A5947" s="4" t="n"/>
      <c r="B5947" s="4" t="n"/>
      <c r="C5947" s="4" t="n"/>
      <c r="D5947" s="4" t="n"/>
      <c r="E5947" s="4" t="n"/>
      <c r="F5947" s="4" t="n"/>
    </row>
    <row r="5948" ht="28" customHeight="1">
      <c r="A5948" s="4" t="n"/>
      <c r="B5948" s="4" t="n"/>
      <c r="C5948" s="4" t="n"/>
      <c r="D5948" s="4" t="n"/>
      <c r="E5948" s="4" t="n"/>
      <c r="F5948" s="4" t="n"/>
    </row>
    <row r="5949" ht="28" customHeight="1">
      <c r="A5949" s="4" t="n"/>
      <c r="B5949" s="4" t="n"/>
      <c r="C5949" s="4" t="n"/>
      <c r="D5949" s="4" t="n"/>
      <c r="E5949" s="4" t="n"/>
      <c r="F5949" s="4" t="n"/>
    </row>
    <row r="5950" ht="28" customHeight="1">
      <c r="A5950" s="4" t="n"/>
      <c r="B5950" s="4" t="n"/>
      <c r="C5950" s="4" t="n"/>
      <c r="D5950" s="4" t="n"/>
      <c r="E5950" s="4" t="n"/>
      <c r="F5950" s="4" t="n"/>
    </row>
    <row r="5951" ht="28" customHeight="1">
      <c r="A5951" s="4" t="n"/>
      <c r="B5951" s="4" t="n"/>
      <c r="C5951" s="4" t="n"/>
      <c r="D5951" s="4" t="n"/>
      <c r="E5951" s="4" t="n"/>
      <c r="F5951" s="4" t="n"/>
    </row>
    <row r="5952" ht="28" customHeight="1">
      <c r="A5952" s="4" t="n"/>
      <c r="B5952" s="4" t="n"/>
      <c r="C5952" s="4" t="n"/>
      <c r="D5952" s="4" t="n"/>
      <c r="E5952" s="4" t="n"/>
      <c r="F5952" s="4" t="n"/>
    </row>
    <row r="5953" ht="28" customHeight="1">
      <c r="A5953" s="4" t="n"/>
      <c r="B5953" s="4" t="n"/>
      <c r="C5953" s="4" t="n"/>
      <c r="D5953" s="4" t="n"/>
      <c r="E5953" s="4" t="n"/>
      <c r="F5953" s="4" t="n"/>
    </row>
    <row r="5954" ht="28" customHeight="1">
      <c r="A5954" s="4" t="n"/>
      <c r="B5954" s="4" t="n"/>
      <c r="C5954" s="4" t="n"/>
      <c r="D5954" s="4" t="n"/>
      <c r="E5954" s="4" t="n"/>
      <c r="F5954" s="4" t="n"/>
    </row>
    <row r="5955" ht="28" customHeight="1">
      <c r="A5955" s="4" t="n"/>
      <c r="B5955" s="4" t="n"/>
      <c r="C5955" s="4" t="n"/>
      <c r="D5955" s="4" t="n"/>
      <c r="E5955" s="4" t="n"/>
      <c r="F5955" s="4" t="n"/>
    </row>
    <row r="5956" ht="28" customHeight="1">
      <c r="A5956" s="4" t="n"/>
      <c r="B5956" s="4" t="n"/>
      <c r="C5956" s="4" t="n"/>
      <c r="D5956" s="4" t="n"/>
      <c r="E5956" s="4" t="n"/>
      <c r="F5956" s="4" t="n"/>
    </row>
    <row r="5957" ht="28" customHeight="1">
      <c r="A5957" s="4" t="n"/>
      <c r="B5957" s="4" t="n"/>
      <c r="C5957" s="4" t="n"/>
      <c r="D5957" s="4" t="n"/>
      <c r="E5957" s="4" t="n"/>
      <c r="F5957" s="4" t="n"/>
    </row>
    <row r="5958" ht="28" customHeight="1">
      <c r="A5958" s="4" t="n"/>
      <c r="B5958" s="4" t="n"/>
      <c r="C5958" s="4" t="n"/>
      <c r="D5958" s="4" t="n"/>
      <c r="E5958" s="4" t="n"/>
      <c r="F5958" s="4" t="n"/>
    </row>
    <row r="5959" ht="28" customHeight="1">
      <c r="A5959" s="4" t="n"/>
      <c r="B5959" s="4" t="n"/>
      <c r="C5959" s="4" t="n"/>
      <c r="D5959" s="4" t="n"/>
      <c r="E5959" s="4" t="n"/>
      <c r="F5959" s="4" t="n"/>
    </row>
    <row r="5960" ht="28" customHeight="1">
      <c r="A5960" s="4" t="n"/>
      <c r="B5960" s="4" t="n"/>
      <c r="C5960" s="4" t="n"/>
      <c r="D5960" s="4" t="n"/>
      <c r="E5960" s="4" t="n"/>
      <c r="F5960" s="4" t="n"/>
    </row>
    <row r="5961" ht="28" customHeight="1">
      <c r="A5961" s="4" t="n"/>
      <c r="B5961" s="4" t="n"/>
      <c r="C5961" s="4" t="n"/>
      <c r="D5961" s="4" t="n"/>
      <c r="E5961" s="4" t="n"/>
      <c r="F5961" s="4" t="n"/>
    </row>
    <row r="5962" ht="28" customHeight="1">
      <c r="A5962" s="4" t="n"/>
      <c r="B5962" s="4" t="n"/>
      <c r="C5962" s="4" t="n"/>
      <c r="D5962" s="4" t="n"/>
      <c r="E5962" s="4" t="n"/>
      <c r="F5962" s="4" t="n"/>
    </row>
    <row r="5963" ht="28" customHeight="1">
      <c r="A5963" s="4" t="n"/>
      <c r="B5963" s="4" t="n"/>
      <c r="C5963" s="4" t="n"/>
      <c r="D5963" s="4" t="n"/>
      <c r="E5963" s="4" t="n"/>
      <c r="F5963" s="4" t="n"/>
    </row>
    <row r="5964" ht="28" customHeight="1">
      <c r="A5964" s="4" t="n"/>
      <c r="B5964" s="4" t="n"/>
      <c r="C5964" s="4" t="n"/>
      <c r="D5964" s="4" t="n"/>
      <c r="E5964" s="4" t="n"/>
      <c r="F5964" s="4" t="n"/>
    </row>
    <row r="5965" ht="28" customHeight="1">
      <c r="A5965" s="4" t="n"/>
      <c r="B5965" s="4" t="n"/>
      <c r="C5965" s="4" t="n"/>
      <c r="D5965" s="4" t="n"/>
      <c r="E5965" s="4" t="n"/>
      <c r="F5965" s="4" t="n"/>
    </row>
    <row r="5966" ht="28" customHeight="1">
      <c r="A5966" s="4" t="n"/>
      <c r="B5966" s="4" t="n"/>
      <c r="C5966" s="4" t="n"/>
      <c r="D5966" s="4" t="n"/>
      <c r="E5966" s="4" t="n"/>
      <c r="F5966" s="4" t="n"/>
    </row>
    <row r="5967" ht="28" customHeight="1">
      <c r="A5967" s="4" t="n"/>
      <c r="B5967" s="4" t="n"/>
      <c r="C5967" s="4" t="n"/>
      <c r="D5967" s="4" t="n"/>
      <c r="E5967" s="4" t="n"/>
      <c r="F5967" s="4" t="n"/>
    </row>
    <row r="5968" ht="28" customHeight="1">
      <c r="A5968" s="4" t="n"/>
      <c r="B5968" s="4" t="n"/>
      <c r="C5968" s="4" t="n"/>
      <c r="D5968" s="4" t="n"/>
      <c r="E5968" s="4" t="n"/>
      <c r="F5968" s="4" t="n"/>
    </row>
    <row r="5969" ht="28" customHeight="1">
      <c r="A5969" s="4" t="n"/>
      <c r="B5969" s="4" t="n"/>
      <c r="C5969" s="4" t="n"/>
      <c r="D5969" s="4" t="n"/>
      <c r="E5969" s="4" t="n"/>
      <c r="F5969" s="4" t="n"/>
    </row>
    <row r="5970" ht="28" customHeight="1">
      <c r="A5970" s="4" t="n"/>
      <c r="B5970" s="4" t="n"/>
      <c r="C5970" s="4" t="n"/>
      <c r="D5970" s="4" t="n"/>
      <c r="E5970" s="4" t="n"/>
      <c r="F5970" s="4" t="n"/>
    </row>
    <row r="5971" ht="28" customHeight="1">
      <c r="A5971" s="4" t="n"/>
      <c r="B5971" s="4" t="n"/>
      <c r="C5971" s="4" t="n"/>
      <c r="D5971" s="4" t="n"/>
      <c r="E5971" s="4" t="n"/>
      <c r="F5971" s="4" t="n"/>
    </row>
    <row r="5972" ht="28" customHeight="1">
      <c r="A5972" s="4" t="n"/>
      <c r="B5972" s="4" t="n"/>
      <c r="C5972" s="4" t="n"/>
      <c r="D5972" s="4" t="n"/>
      <c r="E5972" s="4" t="n"/>
      <c r="F5972" s="4" t="n"/>
    </row>
    <row r="5973" ht="28" customHeight="1">
      <c r="A5973" s="4" t="n"/>
      <c r="B5973" s="4" t="n"/>
      <c r="C5973" s="4" t="n"/>
      <c r="D5973" s="4" t="n"/>
      <c r="E5973" s="4" t="n"/>
      <c r="F5973" s="4" t="n"/>
    </row>
    <row r="5974" ht="28" customHeight="1">
      <c r="A5974" s="4" t="n"/>
      <c r="B5974" s="4" t="n"/>
      <c r="C5974" s="4" t="n"/>
      <c r="D5974" s="4" t="n"/>
      <c r="E5974" s="4" t="n"/>
      <c r="F5974" s="4" t="n"/>
    </row>
    <row r="5975" ht="28" customHeight="1">
      <c r="A5975" s="4" t="n"/>
      <c r="B5975" s="4" t="n"/>
      <c r="C5975" s="4" t="n"/>
      <c r="D5975" s="4" t="n"/>
      <c r="E5975" s="4" t="n"/>
      <c r="F5975" s="4" t="n"/>
    </row>
    <row r="5976" ht="28" customHeight="1">
      <c r="A5976" s="4" t="n"/>
      <c r="B5976" s="4" t="n"/>
      <c r="C5976" s="4" t="n"/>
      <c r="D5976" s="4" t="n"/>
      <c r="E5976" s="4" t="n"/>
      <c r="F5976" s="4" t="n"/>
    </row>
    <row r="5977" ht="28" customHeight="1">
      <c r="A5977" s="4" t="n"/>
      <c r="B5977" s="4" t="n"/>
      <c r="C5977" s="4" t="n"/>
      <c r="D5977" s="4" t="n"/>
      <c r="E5977" s="4" t="n"/>
      <c r="F5977" s="4" t="n"/>
    </row>
    <row r="5978" ht="28" customHeight="1">
      <c r="A5978" s="4" t="n"/>
      <c r="B5978" s="4" t="n"/>
      <c r="C5978" s="4" t="n"/>
      <c r="D5978" s="4" t="n"/>
      <c r="E5978" s="4" t="n"/>
      <c r="F5978" s="4" t="n"/>
    </row>
    <row r="5979" ht="28" customHeight="1">
      <c r="A5979" s="4" t="n"/>
      <c r="B5979" s="4" t="n"/>
      <c r="C5979" s="4" t="n"/>
      <c r="D5979" s="4" t="n"/>
      <c r="E5979" s="4" t="n"/>
      <c r="F5979" s="4" t="n"/>
    </row>
    <row r="5980" ht="28" customHeight="1">
      <c r="A5980" s="4" t="n"/>
      <c r="B5980" s="4" t="n"/>
      <c r="C5980" s="4" t="n"/>
      <c r="D5980" s="4" t="n"/>
      <c r="E5980" s="4" t="n"/>
      <c r="F5980" s="4" t="n"/>
    </row>
    <row r="5981" ht="28" customHeight="1">
      <c r="A5981" s="4" t="n"/>
      <c r="B5981" s="4" t="n"/>
      <c r="C5981" s="4" t="n"/>
      <c r="D5981" s="4" t="n"/>
      <c r="E5981" s="4" t="n"/>
      <c r="F5981" s="4" t="n"/>
    </row>
    <row r="5982" ht="28" customHeight="1">
      <c r="A5982" s="4" t="n"/>
      <c r="B5982" s="4" t="n"/>
      <c r="C5982" s="4" t="n"/>
      <c r="D5982" s="4" t="n"/>
      <c r="E5982" s="4" t="n"/>
      <c r="F5982" s="4" t="n"/>
    </row>
    <row r="5983" ht="28" customHeight="1">
      <c r="A5983" s="4" t="n"/>
      <c r="B5983" s="4" t="n"/>
      <c r="C5983" s="4" t="n"/>
      <c r="D5983" s="4" t="n"/>
      <c r="E5983" s="4" t="n"/>
      <c r="F5983" s="4" t="n"/>
    </row>
    <row r="5984" ht="28" customHeight="1">
      <c r="A5984" s="4" t="n"/>
      <c r="B5984" s="4" t="n"/>
      <c r="C5984" s="4" t="n"/>
      <c r="D5984" s="4" t="n"/>
      <c r="E5984" s="4" t="n"/>
      <c r="F5984" s="4" t="n"/>
    </row>
    <row r="5985" ht="28" customHeight="1">
      <c r="A5985" s="4" t="n"/>
      <c r="B5985" s="4" t="n"/>
      <c r="C5985" s="4" t="n"/>
      <c r="D5985" s="4" t="n"/>
      <c r="E5985" s="4" t="n"/>
      <c r="F5985" s="4" t="n"/>
    </row>
    <row r="5986" ht="28" customHeight="1">
      <c r="A5986" s="4" t="n"/>
      <c r="B5986" s="4" t="n"/>
      <c r="C5986" s="4" t="n"/>
      <c r="D5986" s="4" t="n"/>
      <c r="E5986" s="4" t="n"/>
      <c r="F5986" s="4" t="n"/>
    </row>
    <row r="5987" ht="28" customHeight="1">
      <c r="A5987" s="4" t="n"/>
      <c r="B5987" s="4" t="n"/>
      <c r="C5987" s="4" t="n"/>
      <c r="D5987" s="4" t="n"/>
      <c r="E5987" s="4" t="n"/>
      <c r="F5987" s="4" t="n"/>
    </row>
    <row r="5988" ht="28" customHeight="1">
      <c r="A5988" s="4" t="n"/>
      <c r="B5988" s="4" t="n"/>
      <c r="C5988" s="4" t="n"/>
      <c r="D5988" s="4" t="n"/>
      <c r="E5988" s="4" t="n"/>
      <c r="F5988" s="4" t="n"/>
    </row>
    <row r="5989" ht="28" customHeight="1">
      <c r="A5989" s="4" t="n"/>
      <c r="B5989" s="4" t="n"/>
      <c r="C5989" s="4" t="n"/>
      <c r="D5989" s="4" t="n"/>
      <c r="E5989" s="4" t="n"/>
      <c r="F5989" s="4" t="n"/>
    </row>
    <row r="5990" ht="28" customHeight="1">
      <c r="A5990" s="4" t="n"/>
      <c r="B5990" s="4" t="n"/>
      <c r="C5990" s="4" t="n"/>
      <c r="D5990" s="4" t="n"/>
      <c r="E5990" s="4" t="n"/>
      <c r="F5990" s="4" t="n"/>
    </row>
    <row r="5991" ht="28" customHeight="1">
      <c r="A5991" s="4" t="n"/>
      <c r="B5991" s="4" t="n"/>
      <c r="C5991" s="4" t="n"/>
      <c r="D5991" s="4" t="n"/>
      <c r="E5991" s="4" t="n"/>
      <c r="F5991" s="4" t="n"/>
    </row>
    <row r="5992" ht="28" customHeight="1">
      <c r="A5992" s="4" t="n"/>
      <c r="B5992" s="4" t="n"/>
      <c r="C5992" s="4" t="n"/>
      <c r="D5992" s="4" t="n"/>
      <c r="E5992" s="4" t="n"/>
      <c r="F5992" s="4" t="n"/>
    </row>
    <row r="5993" ht="28" customHeight="1">
      <c r="A5993" s="4" t="n"/>
      <c r="B5993" s="4" t="n"/>
      <c r="C5993" s="4" t="n"/>
      <c r="D5993" s="4" t="n"/>
      <c r="E5993" s="4" t="n"/>
      <c r="F5993" s="4" t="n"/>
    </row>
    <row r="5994" ht="28" customHeight="1">
      <c r="A5994" s="4" t="n"/>
      <c r="B5994" s="4" t="n"/>
      <c r="C5994" s="4" t="n"/>
      <c r="D5994" s="4" t="n"/>
      <c r="E5994" s="4" t="n"/>
      <c r="F5994" s="4" t="n"/>
    </row>
    <row r="5995" ht="28" customHeight="1">
      <c r="A5995" s="4" t="n"/>
      <c r="B5995" s="4" t="n"/>
      <c r="C5995" s="4" t="n"/>
      <c r="D5995" s="4" t="n"/>
      <c r="E5995" s="4" t="n"/>
      <c r="F5995" s="4" t="n"/>
    </row>
    <row r="5996" ht="28" customHeight="1">
      <c r="A5996" s="4" t="n"/>
      <c r="B5996" s="4" t="n"/>
      <c r="C5996" s="4" t="n"/>
      <c r="D5996" s="4" t="n"/>
      <c r="E5996" s="4" t="n"/>
      <c r="F5996" s="4" t="n"/>
    </row>
    <row r="5997" ht="28" customHeight="1">
      <c r="A5997" s="4" t="n"/>
      <c r="B5997" s="4" t="n"/>
      <c r="C5997" s="4" t="n"/>
      <c r="D5997" s="4" t="n"/>
      <c r="E5997" s="4" t="n"/>
      <c r="F5997" s="4" t="n"/>
    </row>
    <row r="5998" ht="28" customHeight="1">
      <c r="A5998" s="4" t="n"/>
      <c r="B5998" s="4" t="n"/>
      <c r="C5998" s="4" t="n"/>
      <c r="D5998" s="4" t="n"/>
      <c r="E5998" s="4" t="n"/>
      <c r="F5998" s="4" t="n"/>
    </row>
    <row r="5999" ht="28" customHeight="1">
      <c r="A5999" s="4" t="n"/>
      <c r="B5999" s="4" t="n"/>
      <c r="C5999" s="4" t="n"/>
      <c r="D5999" s="4" t="n"/>
      <c r="E5999" s="4" t="n"/>
      <c r="F5999" s="4" t="n"/>
    </row>
    <row r="6000" ht="28" customHeight="1">
      <c r="A6000" s="4" t="n"/>
      <c r="B6000" s="4" t="n"/>
      <c r="C6000" s="4" t="n"/>
      <c r="D6000" s="4" t="n"/>
      <c r="E6000" s="4" t="n"/>
      <c r="F6000" s="4" t="n"/>
    </row>
    <row r="6001" ht="28" customHeight="1">
      <c r="A6001" s="4" t="n"/>
      <c r="B6001" s="4" t="n"/>
      <c r="C6001" s="4" t="n"/>
      <c r="D6001" s="4" t="n"/>
      <c r="E6001" s="4" t="n"/>
      <c r="F6001" s="4" t="n"/>
    </row>
    <row r="6002" ht="28" customHeight="1">
      <c r="A6002" s="4" t="n"/>
      <c r="B6002" s="4" t="n"/>
      <c r="C6002" s="4" t="n"/>
      <c r="D6002" s="4" t="n"/>
      <c r="E6002" s="4" t="n"/>
      <c r="F6002" s="4" t="n"/>
    </row>
    <row r="6003" ht="28" customHeight="1">
      <c r="A6003" s="4" t="n"/>
      <c r="B6003" s="4" t="n"/>
      <c r="C6003" s="4" t="n"/>
      <c r="D6003" s="4" t="n"/>
      <c r="E6003" s="4" t="n"/>
      <c r="F6003" s="4" t="n"/>
    </row>
    <row r="6004" ht="28" customHeight="1">
      <c r="A6004" s="4" t="n"/>
      <c r="B6004" s="4" t="n"/>
      <c r="C6004" s="4" t="n"/>
      <c r="D6004" s="4" t="n"/>
      <c r="E6004" s="4" t="n"/>
      <c r="F6004" s="4" t="n"/>
    </row>
    <row r="6005" ht="28" customHeight="1">
      <c r="A6005" s="4" t="n"/>
      <c r="B6005" s="4" t="n"/>
      <c r="C6005" s="4" t="n"/>
      <c r="D6005" s="4" t="n"/>
      <c r="E6005" s="4" t="n"/>
      <c r="F6005" s="4" t="n"/>
    </row>
    <row r="6006" ht="28" customHeight="1">
      <c r="A6006" s="4" t="n"/>
      <c r="B6006" s="4" t="n"/>
      <c r="C6006" s="4" t="n"/>
      <c r="D6006" s="4" t="n"/>
      <c r="E6006" s="4" t="n"/>
      <c r="F6006" s="4" t="n"/>
    </row>
    <row r="6007" ht="28" customHeight="1">
      <c r="A6007" s="4" t="n"/>
      <c r="B6007" s="4" t="n"/>
      <c r="C6007" s="4" t="n"/>
      <c r="D6007" s="4" t="n"/>
      <c r="E6007" s="4" t="n"/>
      <c r="F6007" s="4" t="n"/>
    </row>
    <row r="6008" ht="28" customHeight="1">
      <c r="A6008" s="4" t="n"/>
      <c r="B6008" s="4" t="n"/>
      <c r="C6008" s="4" t="n"/>
      <c r="D6008" s="4" t="n"/>
      <c r="E6008" s="4" t="n"/>
      <c r="F6008" s="4" t="n"/>
    </row>
    <row r="6009" ht="28" customHeight="1">
      <c r="A6009" s="4" t="n"/>
      <c r="B6009" s="4" t="n"/>
      <c r="C6009" s="4" t="n"/>
      <c r="D6009" s="4" t="n"/>
      <c r="E6009" s="4" t="n"/>
      <c r="F6009" s="4" t="n"/>
    </row>
    <row r="6010" ht="28" customHeight="1">
      <c r="A6010" s="4" t="n"/>
      <c r="B6010" s="4" t="n"/>
      <c r="C6010" s="4" t="n"/>
      <c r="D6010" s="4" t="n"/>
      <c r="E6010" s="4" t="n"/>
      <c r="F6010" s="4" t="n"/>
    </row>
    <row r="6011" ht="28" customHeight="1">
      <c r="A6011" s="4" t="n"/>
      <c r="B6011" s="4" t="n"/>
      <c r="C6011" s="4" t="n"/>
      <c r="D6011" s="4" t="n"/>
      <c r="E6011" s="4" t="n"/>
      <c r="F6011" s="4" t="n"/>
    </row>
    <row r="6012" ht="28" customHeight="1">
      <c r="A6012" s="4" t="n"/>
      <c r="B6012" s="4" t="n"/>
      <c r="C6012" s="4" t="n"/>
      <c r="D6012" s="4" t="n"/>
      <c r="E6012" s="4" t="n"/>
      <c r="F6012" s="4" t="n"/>
    </row>
    <row r="6013" ht="28" customHeight="1">
      <c r="A6013" s="4" t="n"/>
      <c r="B6013" s="4" t="n"/>
      <c r="C6013" s="4" t="n"/>
      <c r="D6013" s="4" t="n"/>
      <c r="E6013" s="4" t="n"/>
      <c r="F6013" s="4" t="n"/>
    </row>
    <row r="6014" ht="28" customHeight="1">
      <c r="A6014" s="4" t="n"/>
      <c r="B6014" s="4" t="n"/>
      <c r="C6014" s="4" t="n"/>
      <c r="D6014" s="4" t="n"/>
      <c r="E6014" s="4" t="n"/>
      <c r="F6014" s="4" t="n"/>
    </row>
    <row r="6015" ht="28" customHeight="1">
      <c r="A6015" s="4" t="n"/>
      <c r="B6015" s="4" t="n"/>
      <c r="C6015" s="4" t="n"/>
      <c r="D6015" s="4" t="n"/>
      <c r="E6015" s="4" t="n"/>
      <c r="F6015" s="4" t="n"/>
    </row>
    <row r="6016" ht="28" customHeight="1">
      <c r="A6016" s="4" t="n"/>
      <c r="B6016" s="4" t="n"/>
      <c r="C6016" s="4" t="n"/>
      <c r="D6016" s="4" t="n"/>
      <c r="E6016" s="4" t="n"/>
      <c r="F6016" s="4" t="n"/>
    </row>
    <row r="6017" ht="28" customHeight="1">
      <c r="A6017" s="4" t="n"/>
      <c r="B6017" s="4" t="n"/>
      <c r="C6017" s="4" t="n"/>
      <c r="D6017" s="4" t="n"/>
      <c r="E6017" s="4" t="n"/>
      <c r="F6017" s="4" t="n"/>
    </row>
    <row r="6018" ht="28" customHeight="1">
      <c r="A6018" s="4" t="n"/>
      <c r="B6018" s="4" t="n"/>
      <c r="C6018" s="4" t="n"/>
      <c r="D6018" s="4" t="n"/>
      <c r="E6018" s="4" t="n"/>
      <c r="F6018" s="4" t="n"/>
    </row>
    <row r="6019" ht="28" customHeight="1">
      <c r="A6019" s="4" t="n"/>
      <c r="B6019" s="4" t="n"/>
      <c r="C6019" s="4" t="n"/>
      <c r="D6019" s="4" t="n"/>
      <c r="E6019" s="4" t="n"/>
      <c r="F6019" s="4" t="n"/>
    </row>
    <row r="6020" ht="28" customHeight="1">
      <c r="A6020" s="4" t="n"/>
      <c r="B6020" s="4" t="n"/>
      <c r="C6020" s="4" t="n"/>
      <c r="D6020" s="4" t="n"/>
      <c r="E6020" s="4" t="n"/>
      <c r="F6020" s="4" t="n"/>
    </row>
    <row r="6021" ht="28" customHeight="1">
      <c r="A6021" s="4" t="n"/>
      <c r="B6021" s="4" t="n"/>
      <c r="C6021" s="4" t="n"/>
      <c r="D6021" s="4" t="n"/>
      <c r="E6021" s="4" t="n"/>
      <c r="F6021" s="4" t="n"/>
    </row>
    <row r="6022" ht="28" customHeight="1">
      <c r="A6022" s="4" t="n"/>
      <c r="B6022" s="4" t="n"/>
      <c r="C6022" s="4" t="n"/>
      <c r="D6022" s="4" t="n"/>
      <c r="E6022" s="4" t="n"/>
      <c r="F6022" s="4" t="n"/>
    </row>
    <row r="6023" ht="28" customHeight="1">
      <c r="A6023" s="4" t="n"/>
      <c r="B6023" s="4" t="n"/>
      <c r="C6023" s="4" t="n"/>
      <c r="D6023" s="4" t="n"/>
      <c r="E6023" s="4" t="n"/>
      <c r="F6023" s="4" t="n"/>
    </row>
    <row r="6024" ht="28" customHeight="1">
      <c r="A6024" s="4" t="n"/>
      <c r="B6024" s="4" t="n"/>
      <c r="C6024" s="4" t="n"/>
      <c r="D6024" s="4" t="n"/>
      <c r="E6024" s="4" t="n"/>
      <c r="F6024" s="4" t="n"/>
    </row>
    <row r="6025" ht="28" customHeight="1">
      <c r="A6025" s="4" t="n"/>
      <c r="B6025" s="4" t="n"/>
      <c r="C6025" s="4" t="n"/>
      <c r="D6025" s="4" t="n"/>
      <c r="E6025" s="4" t="n"/>
      <c r="F6025" s="4" t="n"/>
    </row>
    <row r="6026" ht="28" customHeight="1">
      <c r="A6026" s="4" t="n"/>
      <c r="B6026" s="4" t="n"/>
      <c r="C6026" s="4" t="n"/>
      <c r="D6026" s="4" t="n"/>
      <c r="E6026" s="4" t="n"/>
      <c r="F6026" s="4" t="n"/>
    </row>
    <row r="6027" ht="28" customHeight="1">
      <c r="A6027" s="4" t="n"/>
      <c r="B6027" s="4" t="n"/>
      <c r="C6027" s="4" t="n"/>
      <c r="D6027" s="4" t="n"/>
      <c r="E6027" s="4" t="n"/>
      <c r="F6027" s="4" t="n"/>
    </row>
    <row r="6028" ht="28" customHeight="1">
      <c r="A6028" s="4" t="n"/>
      <c r="B6028" s="4" t="n"/>
      <c r="C6028" s="4" t="n"/>
      <c r="D6028" s="4" t="n"/>
      <c r="E6028" s="4" t="n"/>
      <c r="F6028" s="4" t="n"/>
    </row>
    <row r="6029" ht="28" customHeight="1">
      <c r="A6029" s="4" t="n"/>
      <c r="B6029" s="4" t="n"/>
      <c r="C6029" s="4" t="n"/>
      <c r="D6029" s="4" t="n"/>
      <c r="E6029" s="4" t="n"/>
      <c r="F6029" s="4" t="n"/>
    </row>
    <row r="6030" ht="28" customHeight="1">
      <c r="A6030" s="4" t="n"/>
      <c r="B6030" s="4" t="n"/>
      <c r="C6030" s="4" t="n"/>
      <c r="D6030" s="4" t="n"/>
      <c r="E6030" s="4" t="n"/>
      <c r="F6030" s="4" t="n"/>
    </row>
    <row r="6031" ht="28" customHeight="1">
      <c r="A6031" s="4" t="n"/>
      <c r="B6031" s="4" t="n"/>
      <c r="C6031" s="4" t="n"/>
      <c r="D6031" s="4" t="n"/>
      <c r="E6031" s="4" t="n"/>
      <c r="F6031" s="4" t="n"/>
    </row>
    <row r="6032" ht="28" customHeight="1">
      <c r="A6032" s="4" t="n"/>
      <c r="B6032" s="4" t="n"/>
      <c r="C6032" s="4" t="n"/>
      <c r="D6032" s="4" t="n"/>
      <c r="E6032" s="4" t="n"/>
      <c r="F6032" s="4" t="n"/>
    </row>
    <row r="6033" ht="28" customHeight="1">
      <c r="A6033" s="4" t="n"/>
      <c r="B6033" s="4" t="n"/>
      <c r="C6033" s="4" t="n"/>
      <c r="D6033" s="4" t="n"/>
      <c r="E6033" s="4" t="n"/>
      <c r="F6033" s="4" t="n"/>
    </row>
    <row r="6034" ht="28" customHeight="1">
      <c r="A6034" s="4" t="n"/>
      <c r="B6034" s="4" t="n"/>
      <c r="C6034" s="4" t="n"/>
      <c r="D6034" s="4" t="n"/>
      <c r="E6034" s="4" t="n"/>
      <c r="F6034" s="4" t="n"/>
    </row>
    <row r="6035" ht="28" customHeight="1">
      <c r="A6035" s="4" t="n"/>
      <c r="B6035" s="4" t="n"/>
      <c r="C6035" s="4" t="n"/>
      <c r="D6035" s="4" t="n"/>
      <c r="E6035" s="4" t="n"/>
      <c r="F6035" s="4" t="n"/>
    </row>
    <row r="6036" ht="28" customHeight="1">
      <c r="A6036" s="4" t="n"/>
      <c r="B6036" s="4" t="n"/>
      <c r="C6036" s="4" t="n"/>
      <c r="D6036" s="4" t="n"/>
      <c r="E6036" s="4" t="n"/>
      <c r="F6036" s="4" t="n"/>
    </row>
    <row r="6037" ht="28" customHeight="1">
      <c r="A6037" s="4" t="n"/>
      <c r="B6037" s="4" t="n"/>
      <c r="C6037" s="4" t="n"/>
      <c r="D6037" s="4" t="n"/>
      <c r="E6037" s="4" t="n"/>
      <c r="F6037" s="4" t="n"/>
    </row>
    <row r="6038" ht="28" customHeight="1">
      <c r="A6038" s="4" t="n"/>
      <c r="B6038" s="4" t="n"/>
      <c r="C6038" s="4" t="n"/>
      <c r="D6038" s="4" t="n"/>
      <c r="E6038" s="4" t="n"/>
      <c r="F6038" s="4" t="n"/>
    </row>
    <row r="6039" ht="28" customHeight="1">
      <c r="A6039" s="4" t="n"/>
      <c r="B6039" s="4" t="n"/>
      <c r="C6039" s="4" t="n"/>
      <c r="D6039" s="4" t="n"/>
      <c r="E6039" s="4" t="n"/>
      <c r="F6039" s="4" t="n"/>
    </row>
    <row r="6040" ht="28" customHeight="1">
      <c r="A6040" s="4" t="n"/>
      <c r="B6040" s="4" t="n"/>
      <c r="C6040" s="4" t="n"/>
      <c r="D6040" s="4" t="n"/>
      <c r="E6040" s="4" t="n"/>
      <c r="F6040" s="4" t="n"/>
    </row>
    <row r="6041" ht="28" customHeight="1">
      <c r="A6041" s="4" t="n"/>
      <c r="B6041" s="4" t="n"/>
      <c r="C6041" s="4" t="n"/>
      <c r="D6041" s="4" t="n"/>
      <c r="E6041" s="4" t="n"/>
      <c r="F6041" s="4" t="n"/>
    </row>
    <row r="6042" ht="28" customHeight="1">
      <c r="A6042" s="4" t="n"/>
      <c r="B6042" s="4" t="n"/>
      <c r="C6042" s="4" t="n"/>
      <c r="D6042" s="4" t="n"/>
      <c r="E6042" s="4" t="n"/>
      <c r="F6042" s="4" t="n"/>
    </row>
    <row r="6043" ht="28" customHeight="1">
      <c r="A6043" s="4" t="n"/>
      <c r="B6043" s="4" t="n"/>
      <c r="C6043" s="4" t="n"/>
      <c r="D6043" s="4" t="n"/>
      <c r="E6043" s="4" t="n"/>
      <c r="F6043" s="4" t="n"/>
    </row>
    <row r="6044" ht="28" customHeight="1">
      <c r="A6044" s="4" t="n"/>
      <c r="B6044" s="4" t="n"/>
      <c r="C6044" s="4" t="n"/>
      <c r="D6044" s="4" t="n"/>
      <c r="E6044" s="4" t="n"/>
      <c r="F6044" s="4" t="n"/>
    </row>
    <row r="6045" ht="28" customHeight="1">
      <c r="A6045" s="4" t="n"/>
      <c r="B6045" s="4" t="n"/>
      <c r="C6045" s="4" t="n"/>
      <c r="D6045" s="4" t="n"/>
      <c r="E6045" s="4" t="n"/>
      <c r="F6045" s="4" t="n"/>
    </row>
    <row r="6046" ht="28" customHeight="1">
      <c r="A6046" s="4" t="n"/>
      <c r="B6046" s="4" t="n"/>
      <c r="C6046" s="4" t="n"/>
      <c r="D6046" s="4" t="n"/>
      <c r="E6046" s="4" t="n"/>
      <c r="F6046" s="4" t="n"/>
    </row>
    <row r="6047" ht="28" customHeight="1">
      <c r="A6047" s="4" t="n"/>
      <c r="B6047" s="4" t="n"/>
      <c r="C6047" s="4" t="n"/>
      <c r="D6047" s="4" t="n"/>
      <c r="E6047" s="4" t="n"/>
      <c r="F6047" s="4" t="n"/>
    </row>
    <row r="6048" ht="28" customHeight="1">
      <c r="A6048" s="4" t="n"/>
      <c r="B6048" s="4" t="n"/>
      <c r="C6048" s="4" t="n"/>
      <c r="D6048" s="4" t="n"/>
      <c r="E6048" s="4" t="n"/>
      <c r="F6048" s="4" t="n"/>
    </row>
    <row r="6049" ht="28" customHeight="1">
      <c r="A6049" s="4" t="n"/>
      <c r="B6049" s="4" t="n"/>
      <c r="C6049" s="4" t="n"/>
      <c r="D6049" s="4" t="n"/>
      <c r="E6049" s="4" t="n"/>
      <c r="F6049" s="4" t="n"/>
    </row>
    <row r="6050" ht="28" customHeight="1">
      <c r="A6050" s="4" t="n"/>
      <c r="B6050" s="4" t="n"/>
      <c r="C6050" s="4" t="n"/>
      <c r="D6050" s="4" t="n"/>
      <c r="E6050" s="4" t="n"/>
      <c r="F6050" s="4" t="n"/>
    </row>
    <row r="6051" ht="28" customHeight="1">
      <c r="A6051" s="4" t="n"/>
      <c r="B6051" s="4" t="n"/>
      <c r="C6051" s="4" t="n"/>
      <c r="D6051" s="4" t="n"/>
      <c r="E6051" s="4" t="n"/>
      <c r="F6051" s="4" t="n"/>
    </row>
    <row r="6052" ht="28" customHeight="1">
      <c r="A6052" s="4" t="n"/>
      <c r="B6052" s="4" t="n"/>
      <c r="C6052" s="4" t="n"/>
      <c r="D6052" s="4" t="n"/>
      <c r="E6052" s="4" t="n"/>
      <c r="F6052" s="4" t="n"/>
    </row>
    <row r="6053" ht="28" customHeight="1">
      <c r="A6053" s="4" t="n"/>
      <c r="B6053" s="4" t="n"/>
      <c r="C6053" s="4" t="n"/>
      <c r="D6053" s="4" t="n"/>
      <c r="E6053" s="4" t="n"/>
      <c r="F6053" s="4" t="n"/>
    </row>
    <row r="6054" ht="28" customHeight="1">
      <c r="A6054" s="4" t="n"/>
      <c r="B6054" s="4" t="n"/>
      <c r="C6054" s="4" t="n"/>
      <c r="D6054" s="4" t="n"/>
      <c r="E6054" s="4" t="n"/>
      <c r="F6054" s="4" t="n"/>
    </row>
    <row r="6055" ht="28" customHeight="1">
      <c r="A6055" s="4" t="n"/>
      <c r="B6055" s="4" t="n"/>
      <c r="C6055" s="4" t="n"/>
      <c r="D6055" s="4" t="n"/>
      <c r="E6055" s="4" t="n"/>
      <c r="F6055" s="4" t="n"/>
    </row>
    <row r="6056" ht="28" customHeight="1">
      <c r="A6056" s="4" t="n"/>
      <c r="B6056" s="4" t="n"/>
      <c r="C6056" s="4" t="n"/>
      <c r="D6056" s="4" t="n"/>
      <c r="E6056" s="4" t="n"/>
      <c r="F6056" s="4" t="n"/>
    </row>
    <row r="6057" ht="28" customHeight="1">
      <c r="A6057" s="4" t="n"/>
      <c r="B6057" s="4" t="n"/>
      <c r="C6057" s="4" t="n"/>
      <c r="D6057" s="4" t="n"/>
      <c r="E6057" s="4" t="n"/>
      <c r="F6057" s="4" t="n"/>
    </row>
    <row r="6058" ht="28" customHeight="1">
      <c r="A6058" s="4" t="n"/>
      <c r="B6058" s="4" t="n"/>
      <c r="C6058" s="4" t="n"/>
      <c r="D6058" s="4" t="n"/>
      <c r="E6058" s="4" t="n"/>
      <c r="F6058" s="4" t="n"/>
    </row>
    <row r="6059" ht="28" customHeight="1">
      <c r="A6059" s="4" t="n"/>
      <c r="B6059" s="4" t="n"/>
      <c r="C6059" s="4" t="n"/>
      <c r="D6059" s="4" t="n"/>
      <c r="E6059" s="4" t="n"/>
      <c r="F6059" s="4" t="n"/>
    </row>
    <row r="6060" ht="28" customHeight="1">
      <c r="A6060" s="4" t="n"/>
      <c r="B6060" s="4" t="n"/>
      <c r="C6060" s="4" t="n"/>
      <c r="D6060" s="4" t="n"/>
      <c r="E6060" s="4" t="n"/>
      <c r="F6060" s="4" t="n"/>
    </row>
    <row r="6061" ht="28" customHeight="1">
      <c r="A6061" s="4" t="n"/>
      <c r="B6061" s="4" t="n"/>
      <c r="C6061" s="4" t="n"/>
      <c r="D6061" s="4" t="n"/>
      <c r="E6061" s="4" t="n"/>
      <c r="F6061" s="4" t="n"/>
    </row>
    <row r="6062" ht="28" customHeight="1">
      <c r="A6062" s="4" t="n"/>
      <c r="B6062" s="4" t="n"/>
      <c r="C6062" s="4" t="n"/>
      <c r="D6062" s="4" t="n"/>
      <c r="E6062" s="4" t="n"/>
      <c r="F6062" s="4" t="n"/>
    </row>
    <row r="6063" ht="28" customHeight="1">
      <c r="A6063" s="4" t="n"/>
      <c r="B6063" s="4" t="n"/>
      <c r="C6063" s="4" t="n"/>
      <c r="D6063" s="4" t="n"/>
      <c r="E6063" s="4" t="n"/>
      <c r="F6063" s="4" t="n"/>
    </row>
    <row r="6064" ht="28" customHeight="1">
      <c r="A6064" s="4" t="n"/>
      <c r="B6064" s="4" t="n"/>
      <c r="C6064" s="4" t="n"/>
      <c r="D6064" s="4" t="n"/>
      <c r="E6064" s="4" t="n"/>
      <c r="F6064" s="4" t="n"/>
    </row>
    <row r="6065" ht="28" customHeight="1">
      <c r="A6065" s="4" t="n"/>
      <c r="B6065" s="4" t="n"/>
      <c r="C6065" s="4" t="n"/>
      <c r="D6065" s="4" t="n"/>
      <c r="E6065" s="4" t="n"/>
      <c r="F6065" s="4" t="n"/>
    </row>
    <row r="6066" ht="28" customHeight="1">
      <c r="A6066" s="4" t="n"/>
      <c r="B6066" s="4" t="n"/>
      <c r="C6066" s="4" t="n"/>
      <c r="D6066" s="4" t="n"/>
      <c r="E6066" s="4" t="n"/>
      <c r="F6066" s="4" t="n"/>
    </row>
    <row r="6067" ht="28" customHeight="1">
      <c r="A6067" s="4" t="n"/>
      <c r="B6067" s="4" t="n"/>
      <c r="C6067" s="4" t="n"/>
      <c r="D6067" s="4" t="n"/>
      <c r="E6067" s="4" t="n"/>
      <c r="F6067" s="4" t="n"/>
    </row>
    <row r="6068" ht="28" customHeight="1">
      <c r="A6068" s="4" t="n"/>
      <c r="B6068" s="4" t="n"/>
      <c r="C6068" s="4" t="n"/>
      <c r="D6068" s="4" t="n"/>
      <c r="E6068" s="4" t="n"/>
      <c r="F6068" s="4" t="n"/>
    </row>
    <row r="6069" ht="28" customHeight="1">
      <c r="A6069" s="4" t="n"/>
      <c r="B6069" s="4" t="n"/>
      <c r="C6069" s="4" t="n"/>
      <c r="D6069" s="4" t="n"/>
      <c r="E6069" s="4" t="n"/>
      <c r="F6069" s="4" t="n"/>
    </row>
    <row r="6070" ht="28" customHeight="1">
      <c r="A6070" s="4" t="n"/>
      <c r="B6070" s="4" t="n"/>
      <c r="C6070" s="4" t="n"/>
      <c r="D6070" s="4" t="n"/>
      <c r="E6070" s="4" t="n"/>
      <c r="F6070" s="4" t="n"/>
    </row>
    <row r="6071" ht="28" customHeight="1">
      <c r="A6071" s="4" t="n"/>
      <c r="B6071" s="4" t="n"/>
      <c r="C6071" s="4" t="n"/>
      <c r="D6071" s="4" t="n"/>
      <c r="E6071" s="4" t="n"/>
      <c r="F6071" s="4" t="n"/>
    </row>
    <row r="6072" ht="28" customHeight="1">
      <c r="A6072" s="4" t="n"/>
      <c r="B6072" s="4" t="n"/>
      <c r="C6072" s="4" t="n"/>
      <c r="D6072" s="4" t="n"/>
      <c r="E6072" s="4" t="n"/>
      <c r="F6072" s="4" t="n"/>
    </row>
    <row r="6073" ht="28" customHeight="1">
      <c r="A6073" s="4" t="n"/>
      <c r="B6073" s="4" t="n"/>
      <c r="C6073" s="4" t="n"/>
      <c r="D6073" s="4" t="n"/>
      <c r="E6073" s="4" t="n"/>
      <c r="F6073" s="4" t="n"/>
    </row>
    <row r="6074" ht="28" customHeight="1">
      <c r="A6074" s="4" t="n"/>
      <c r="B6074" s="4" t="n"/>
      <c r="C6074" s="4" t="n"/>
      <c r="D6074" s="4" t="n"/>
      <c r="E6074" s="4" t="n"/>
      <c r="F6074" s="4" t="n"/>
    </row>
    <row r="6075" ht="28" customHeight="1">
      <c r="A6075" s="4" t="n"/>
      <c r="B6075" s="4" t="n"/>
      <c r="C6075" s="4" t="n"/>
      <c r="D6075" s="4" t="n"/>
      <c r="E6075" s="4" t="n"/>
      <c r="F6075" s="4" t="n"/>
    </row>
    <row r="6076" ht="28" customHeight="1">
      <c r="A6076" s="4" t="n"/>
      <c r="B6076" s="4" t="n"/>
      <c r="C6076" s="4" t="n"/>
      <c r="D6076" s="4" t="n"/>
      <c r="E6076" s="4" t="n"/>
      <c r="F6076" s="4" t="n"/>
    </row>
    <row r="6077" ht="28" customHeight="1">
      <c r="A6077" s="4" t="n"/>
      <c r="B6077" s="4" t="n"/>
      <c r="C6077" s="4" t="n"/>
      <c r="D6077" s="4" t="n"/>
      <c r="E6077" s="4" t="n"/>
      <c r="F6077" s="4" t="n"/>
    </row>
    <row r="6078" ht="28" customHeight="1">
      <c r="A6078" s="4" t="n"/>
      <c r="B6078" s="4" t="n"/>
      <c r="C6078" s="4" t="n"/>
      <c r="D6078" s="4" t="n"/>
      <c r="E6078" s="4" t="n"/>
      <c r="F6078" s="4" t="n"/>
    </row>
    <row r="6079" ht="28" customHeight="1">
      <c r="A6079" s="4" t="n"/>
      <c r="B6079" s="4" t="n"/>
      <c r="C6079" s="4" t="n"/>
      <c r="D6079" s="4" t="n"/>
      <c r="E6079" s="4" t="n"/>
      <c r="F6079" s="4" t="n"/>
    </row>
    <row r="6080" ht="28" customHeight="1">
      <c r="A6080" s="4" t="n"/>
      <c r="B6080" s="4" t="n"/>
      <c r="C6080" s="4" t="n"/>
      <c r="D6080" s="4" t="n"/>
      <c r="E6080" s="4" t="n"/>
      <c r="F6080" s="4" t="n"/>
    </row>
    <row r="6081" ht="28" customHeight="1">
      <c r="A6081" s="4" t="n"/>
      <c r="B6081" s="4" t="n"/>
      <c r="C6081" s="4" t="n"/>
      <c r="D6081" s="4" t="n"/>
      <c r="E6081" s="4" t="n"/>
      <c r="F6081" s="4" t="n"/>
    </row>
    <row r="6082" ht="28" customHeight="1">
      <c r="A6082" s="4" t="n"/>
      <c r="B6082" s="4" t="n"/>
      <c r="C6082" s="4" t="n"/>
      <c r="D6082" s="4" t="n"/>
      <c r="E6082" s="4" t="n"/>
      <c r="F6082" s="4" t="n"/>
    </row>
    <row r="6083" ht="28" customHeight="1">
      <c r="A6083" s="4" t="n"/>
      <c r="B6083" s="4" t="n"/>
      <c r="C6083" s="4" t="n"/>
      <c r="D6083" s="4" t="n"/>
      <c r="E6083" s="4" t="n"/>
      <c r="F6083" s="4" t="n"/>
    </row>
    <row r="6084" ht="28" customHeight="1">
      <c r="A6084" s="4" t="n"/>
      <c r="B6084" s="4" t="n"/>
      <c r="C6084" s="4" t="n"/>
      <c r="D6084" s="4" t="n"/>
      <c r="E6084" s="4" t="n"/>
      <c r="F6084" s="4" t="n"/>
    </row>
    <row r="6085" ht="28" customHeight="1">
      <c r="A6085" s="4" t="n"/>
      <c r="B6085" s="4" t="n"/>
      <c r="C6085" s="4" t="n"/>
      <c r="D6085" s="4" t="n"/>
      <c r="E6085" s="4" t="n"/>
      <c r="F6085" s="4" t="n"/>
    </row>
    <row r="6086" ht="28" customHeight="1">
      <c r="A6086" s="4" t="n"/>
      <c r="B6086" s="4" t="n"/>
      <c r="C6086" s="4" t="n"/>
      <c r="D6086" s="4" t="n"/>
      <c r="E6086" s="4" t="n"/>
      <c r="F6086" s="4" t="n"/>
    </row>
    <row r="6087" ht="28" customHeight="1">
      <c r="A6087" s="4" t="n"/>
      <c r="B6087" s="4" t="n"/>
      <c r="C6087" s="4" t="n"/>
      <c r="D6087" s="4" t="n"/>
      <c r="E6087" s="4" t="n"/>
      <c r="F6087" s="4" t="n"/>
    </row>
    <row r="6088" ht="28" customHeight="1">
      <c r="A6088" s="4" t="n"/>
      <c r="B6088" s="4" t="n"/>
      <c r="C6088" s="4" t="n"/>
      <c r="D6088" s="4" t="n"/>
      <c r="E6088" s="4" t="n"/>
      <c r="F6088" s="4" t="n"/>
    </row>
    <row r="6089" ht="28" customHeight="1">
      <c r="A6089" s="4" t="n"/>
      <c r="B6089" s="4" t="n"/>
      <c r="C6089" s="4" t="n"/>
      <c r="D6089" s="4" t="n"/>
      <c r="E6089" s="4" t="n"/>
      <c r="F6089" s="4" t="n"/>
    </row>
    <row r="6090" ht="28" customHeight="1">
      <c r="A6090" s="4" t="n"/>
      <c r="B6090" s="4" t="n"/>
      <c r="C6090" s="4" t="n"/>
      <c r="D6090" s="4" t="n"/>
      <c r="E6090" s="4" t="n"/>
      <c r="F6090" s="4" t="n"/>
    </row>
    <row r="6091" ht="28" customHeight="1">
      <c r="A6091" s="4" t="n"/>
      <c r="B6091" s="4" t="n"/>
      <c r="C6091" s="4" t="n"/>
      <c r="D6091" s="4" t="n"/>
      <c r="E6091" s="4" t="n"/>
      <c r="F6091" s="4" t="n"/>
    </row>
    <row r="6092" ht="28" customHeight="1">
      <c r="A6092" s="4" t="n"/>
      <c r="B6092" s="4" t="n"/>
      <c r="C6092" s="4" t="n"/>
      <c r="D6092" s="4" t="n"/>
      <c r="E6092" s="4" t="n"/>
      <c r="F6092" s="4" t="n"/>
    </row>
    <row r="6093" ht="28" customHeight="1">
      <c r="A6093" s="4" t="n"/>
      <c r="B6093" s="4" t="n"/>
      <c r="C6093" s="4" t="n"/>
      <c r="D6093" s="4" t="n"/>
      <c r="E6093" s="4" t="n"/>
      <c r="F6093" s="4" t="n"/>
    </row>
    <row r="6094" ht="28" customHeight="1">
      <c r="A6094" s="4" t="n"/>
      <c r="B6094" s="4" t="n"/>
      <c r="C6094" s="4" t="n"/>
      <c r="D6094" s="4" t="n"/>
      <c r="E6094" s="4" t="n"/>
      <c r="F6094" s="4" t="n"/>
    </row>
    <row r="6095" ht="28" customHeight="1">
      <c r="A6095" s="4" t="n"/>
      <c r="B6095" s="4" t="n"/>
      <c r="C6095" s="4" t="n"/>
      <c r="D6095" s="4" t="n"/>
      <c r="E6095" s="4" t="n"/>
      <c r="F6095" s="4" t="n"/>
    </row>
    <row r="6096" ht="28" customHeight="1">
      <c r="A6096" s="4" t="n"/>
      <c r="B6096" s="4" t="n"/>
      <c r="C6096" s="4" t="n"/>
      <c r="D6096" s="4" t="n"/>
      <c r="E6096" s="4" t="n"/>
      <c r="F6096" s="4" t="n"/>
    </row>
    <row r="6097" ht="28" customHeight="1">
      <c r="A6097" s="4" t="n"/>
      <c r="B6097" s="4" t="n"/>
      <c r="C6097" s="4" t="n"/>
      <c r="D6097" s="4" t="n"/>
      <c r="E6097" s="4" t="n"/>
      <c r="F6097" s="4" t="n"/>
    </row>
    <row r="6098" ht="28" customHeight="1">
      <c r="A6098" s="4" t="n"/>
      <c r="B6098" s="4" t="n"/>
      <c r="C6098" s="4" t="n"/>
      <c r="D6098" s="4" t="n"/>
      <c r="E6098" s="4" t="n"/>
      <c r="F6098" s="4" t="n"/>
    </row>
    <row r="6099" ht="28" customHeight="1">
      <c r="A6099" s="4" t="n"/>
      <c r="B6099" s="4" t="n"/>
      <c r="C6099" s="4" t="n"/>
      <c r="D6099" s="4" t="n"/>
      <c r="E6099" s="4" t="n"/>
      <c r="F6099" s="4" t="n"/>
    </row>
    <row r="6100" ht="28" customHeight="1">
      <c r="A6100" s="4" t="n"/>
      <c r="B6100" s="4" t="n"/>
      <c r="C6100" s="4" t="n"/>
      <c r="D6100" s="4" t="n"/>
      <c r="E6100" s="4" t="n"/>
      <c r="F6100" s="4" t="n"/>
    </row>
  </sheetData>
  <mergeCells count="2">
    <mergeCell ref="A3:F3"/>
    <mergeCell ref="A1:F1"/>
  </mergeCell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cols>
    <col width="42" customWidth="1" min="1" max="1"/>
    <col width="20" customWidth="1" min="2" max="2"/>
    <col width="18" customWidth="1" min="3" max="3"/>
    <col width="18" customWidth="1" min="4" max="4"/>
    <col width="12" customWidth="1" min="5" max="5"/>
    <col width="65" customWidth="1" min="6" max="6"/>
  </cols>
  <sheetData>
    <row r="1" ht="34" customHeight="1">
      <c r="A1" t="inlineStr">
        <is>
          <t>Last financial year</t>
        </is>
      </c>
    </row>
    <row r="2" ht="9" customHeight="1"/>
    <row r="3" ht="30" customHeight="1">
      <c r="A3" t="inlineStr">
        <is>
          <t>1 July 2025–30 June 2026. Dates show first/last authorised cash payment. Individual dates: FY26 cash. Charity accounts are separate.</t>
        </is>
      </c>
    </row>
    <row r="4" ht="9" customHeight="1"/>
    <row r="5" ht="9" customHeight="1"/>
    <row r="6" ht="30" customHeight="1">
      <c r="A6" t="inlineStr">
        <is>
          <t>Record</t>
        </is>
      </c>
      <c r="B6" t="inlineStr">
        <is>
          <t>Amount AUD</t>
        </is>
      </c>
      <c r="C6" t="inlineStr">
        <is>
          <t>Basis</t>
        </is>
      </c>
    </row>
    <row r="7" ht="26" customHeight="1">
      <c r="A7" t="inlineStr">
        <is>
          <t>Dated Goods cash inflows</t>
        </is>
      </c>
      <c r="B7" s="161">
        <f>SUMIF('FY26 cash'!E7:E511,"In",'FY26 cash'!K7:K511)</f>
        <v/>
      </c>
      <c r="C7" s="161" t="inlineStr">
        <is>
          <t>ACT-ST mirror; gross cash, includes apparent refunds.</t>
        </is>
      </c>
    </row>
    <row r="8" ht="26" customHeight="1">
      <c r="A8" t="inlineStr">
        <is>
          <t>Dated Goods cash outflows</t>
        </is>
      </c>
      <c r="B8" s="161">
        <f>SUMIF('FY26 cash'!E7:E511,"Out",'FY26 cash'!K7:K511)</f>
        <v/>
      </c>
      <c r="C8" s="161" t="inlineStr">
        <is>
          <t>ACT-ST mirror; excludes untagged costs and missing payment entries.</t>
        </is>
      </c>
    </row>
    <row r="9" ht="26" customHeight="1">
      <c r="A9" t="inlineStr">
        <is>
          <t>FY26 invoices marked paid</t>
        </is>
      </c>
      <c r="B9" s="161">
        <f>SUMIFS('FY26 invoices'!I7:I407,'FY26 invoices'!E7:E407,"ACCREC",'FY26 invoices'!F7:F407,"PAID",'FY26 invoices'!N7:N407,"Yes")</f>
        <v/>
      </c>
      <c r="C9" s="161" t="inlineStr">
        <is>
          <t>Invoice-date basis, gross; not FY26 receipts.</t>
        </is>
      </c>
    </row>
    <row r="10" ht="26" customHeight="1">
      <c r="A10" t="inlineStr">
        <is>
          <t>FY26 paid invoices missing payment detail</t>
        </is>
      </c>
      <c r="B10" s="161">
        <f>SUMIFS('FY26 invoices'!M7:M407,'FY26 invoices'!E7:E407,"ACCREC",'FY26 invoices'!F7:F407,"PAID",'FY26 invoices'!N7:N407,"Yes")</f>
        <v/>
      </c>
      <c r="C10" s="161" t="inlineStr">
        <is>
          <t>Payment dates absent for Homeland $44,000 and Julalikari $15,000.</t>
        </is>
      </c>
    </row>
    <row r="11" ht="26" customHeight="1">
      <c r="A11" t="inlineStr">
        <is>
          <t>Butterfly income</t>
        </is>
      </c>
      <c r="B11" s="161">
        <f>'Butterfly FY26'!B16</f>
        <v/>
      </c>
      <c r="C11" s="161" t="inlineStr">
        <is>
          <t>TABOO Foundation activities; not all Goods income.</t>
        </is>
      </c>
    </row>
    <row r="12" ht="26" customHeight="1">
      <c r="A12" t="inlineStr">
        <is>
          <t>Butterfly expenses</t>
        </is>
      </c>
      <c r="B12" s="161">
        <f>'Butterfly FY26'!B44</f>
        <v/>
      </c>
      <c r="C12" s="161" t="inlineStr">
        <is>
          <t>Includes Project Goods $3,449.</t>
        </is>
      </c>
    </row>
    <row r="13" ht="26" customHeight="1">
      <c r="A13" t="inlineStr">
        <is>
          <t>Butterfly year-end cash</t>
        </is>
      </c>
      <c r="B13" s="161">
        <f>'Butterfly FY26'!B54</f>
        <v/>
      </c>
      <c r="C13" s="161" t="inlineStr">
        <is>
          <t>30 June 2026; not available programme opening cash.</t>
        </is>
      </c>
    </row>
    <row r="14" ht="9" customHeight="1">
      <c r="B14" s="161" t="n"/>
      <c r="C14" s="161" t="n"/>
    </row>
    <row r="15" ht="9" customHeight="1">
      <c r="B15" s="161" t="n"/>
      <c r="C15" s="161" t="n"/>
    </row>
    <row r="16" ht="9" customHeight="1">
      <c r="B16" s="161" t="n"/>
      <c r="C16" s="161" t="n"/>
    </row>
    <row r="17" ht="30" customHeight="1">
      <c r="A17" t="inlineStr">
        <is>
          <t>Payer</t>
        </is>
      </c>
      <c r="B17" s="161" t="inlineStr">
        <is>
          <t>Dated receipts AUD</t>
        </is>
      </c>
      <c r="C17" s="161" t="inlineStr">
        <is>
          <t>First payment</t>
        </is>
      </c>
      <c r="D17" t="inlineStr">
        <is>
          <t>Last payment</t>
        </is>
      </c>
      <c r="E17" t="inlineStr">
        <is>
          <t>Payments</t>
        </is>
      </c>
      <c r="F17" t="inlineStr">
        <is>
          <t>Description / review</t>
        </is>
      </c>
    </row>
    <row r="18" ht="36" customHeight="1">
      <c r="A18" t="inlineStr">
        <is>
          <t>The Snow Foundation</t>
        </is>
      </c>
      <c r="B18" s="161">
        <f>SUMIFS('FY26 cash'!$K$7:$K$511,'FY26 cash'!$D$7:$D$511,A18,'FY26 cash'!$E$7:$E$511,"In")</f>
        <v/>
      </c>
      <c r="C18" s="161">
        <f>IF(E18=0,"",_xlfn.MINIFS('FY26 cash'!$C$7:$C$511,'FY26 cash'!$D$7:$D$511,A18,'FY26 cash'!$E$7:$E$511,"In",'FY26 cash'!$G$7:$G$511,"AUTHORISED",'FY26 cash'!$J$7:$J$511,"Goods-tagged"))</f>
        <v/>
      </c>
      <c r="D18">
        <f>IF(E18=0,"",_xlfn.MAXIFS('FY26 cash'!$C$7:$C$511,'FY26 cash'!$D$7:$D$511,A18,'FY26 cash'!$E$7:$E$511,"In",'FY26 cash'!$G$7:$G$511,"AUTHORISED",'FY26 cash'!$J$7:$J$511,"Goods-tagged"))</f>
        <v/>
      </c>
      <c r="E18">
        <f>COUNTIFS('FY26 cash'!$D$7:$D$511,A18,'FY26 cash'!$E$7:$E$511,"In",'FY26 cash'!$G$7:$G$511,"AUTHORISED",'FY26 cash'!$J$7:$J$511,"Goods-tagged")</f>
        <v/>
      </c>
      <c r="F18" t="inlineStr">
        <is>
          <t>Funded wages, beds/infrastructure and a washing-machine invoice; instrument follows agreements, not payer name.</t>
        </is>
      </c>
    </row>
    <row r="19" ht="36" customHeight="1">
      <c r="A19" t="inlineStr">
        <is>
          <t>Centrecorp Foundation</t>
        </is>
      </c>
      <c r="B19" s="161">
        <f>SUMIFS('FY26 cash'!$K$7:$K$511,'FY26 cash'!$D$7:$D$511,A19,'FY26 cash'!$E$7:$E$511,"In")</f>
        <v/>
      </c>
      <c r="C19" s="161">
        <f>IF(E19=0,"",_xlfn.MINIFS('FY26 cash'!$C$7:$C$511,'FY26 cash'!$D$7:$D$511,A19,'FY26 cash'!$E$7:$E$511,"In",'FY26 cash'!$G$7:$G$511,"AUTHORISED",'FY26 cash'!$J$7:$J$511,"Goods-tagged"))</f>
        <v/>
      </c>
      <c r="D19">
        <f>IF(E19=0,"",_xlfn.MAXIFS('FY26 cash'!$C$7:$C$511,'FY26 cash'!$D$7:$D$511,A19,'FY26 cash'!$E$7:$E$511,"In",'FY26 cash'!$G$7:$G$511,"AUTHORISED",'FY26 cash'!$J$7:$J$511,"Goods-tagged"))</f>
        <v/>
      </c>
      <c r="E19">
        <f>COUNTIFS('FY26 cash'!$D$7:$D$511,A19,'FY26 cash'!$E$7:$E$511,"In",'FY26 cash'!$G$7:$G$511,"AUTHORISED",'FY26 cash'!$J$7:$J$511,"Goods-tagged")</f>
        <v/>
      </c>
      <c r="F19" t="inlineStr">
        <is>
          <t>Beds and community bed-building workshop; commercial programme receipt.</t>
        </is>
      </c>
    </row>
    <row r="20" ht="36" customHeight="1">
      <c r="A20" t="inlineStr">
        <is>
          <t>The Funding Network</t>
        </is>
      </c>
      <c r="B20" s="161">
        <f>SUMIFS('FY26 cash'!$K$7:$K$511,'FY26 cash'!$D$7:$D$511,A20,'FY26 cash'!$E$7:$E$511,"In")</f>
        <v/>
      </c>
      <c r="C20" s="161">
        <f>IF(E20=0,"",_xlfn.MINIFS('FY26 cash'!$C$7:$C$511,'FY26 cash'!$D$7:$D$511,A20,'FY26 cash'!$E$7:$E$511,"In",'FY26 cash'!$G$7:$G$511,"AUTHORISED",'FY26 cash'!$J$7:$J$511,"Goods-tagged"))</f>
        <v/>
      </c>
      <c r="D20">
        <f>IF(E20=0,"",_xlfn.MAXIFS('FY26 cash'!$C$7:$C$511,'FY26 cash'!$D$7:$D$511,A20,'FY26 cash'!$E$7:$E$511,"In",'FY26 cash'!$G$7:$G$511,"AUTHORISED",'FY26 cash'!$J$7:$J$511,"Goods-tagged"))</f>
        <v/>
      </c>
      <c r="E20">
        <f>COUNTIFS('FY26 cash'!$D$7:$D$511,A20,'FY26 cash'!$E$7:$E$511,"In",'FY26 cash'!$G$7:$G$511,"AUTHORISED",'FY26 cash'!$J$7:$J$511,"Goods-tagged")</f>
        <v/>
      </c>
      <c r="F20" t="inlineStr">
        <is>
          <t>Recorded bank receipt; reconcile the wider $130,000 pledge/receipt history.</t>
        </is>
      </c>
    </row>
    <row r="21" ht="36" customHeight="1">
      <c r="A21" t="inlineStr">
        <is>
          <t>Vincent Fairfax Family Foundation</t>
        </is>
      </c>
      <c r="B21" s="161">
        <f>SUMIFS('FY26 cash'!$K$7:$K$511,'FY26 cash'!$D$7:$D$511,A21,'FY26 cash'!$E$7:$E$511,"In")</f>
        <v/>
      </c>
      <c r="C21" s="161">
        <f>IF(E21=0,"",_xlfn.MINIFS('FY26 cash'!$C$7:$C$511,'FY26 cash'!$D$7:$D$511,A21,'FY26 cash'!$E$7:$E$511,"In",'FY26 cash'!$G$7:$G$511,"AUTHORISED",'FY26 cash'!$J$7:$J$511,"Goods-tagged"))</f>
        <v/>
      </c>
      <c r="D21">
        <f>IF(E21=0,"",_xlfn.MAXIFS('FY26 cash'!$C$7:$C$511,'FY26 cash'!$D$7:$D$511,A21,'FY26 cash'!$E$7:$E$511,"In",'FY26 cash'!$G$7:$G$511,"AUTHORISED",'FY26 cash'!$J$7:$J$511,"Goods-tagged"))</f>
        <v/>
      </c>
      <c r="E21">
        <f>COUNTIFS('FY26 cash'!$D$7:$D$511,A21,'FY26 cash'!$E$7:$E$511,"In",'FY26 cash'!$G$7:$G$511,"AUTHORISED",'FY26 cash'!$J$7:$J$511,"Goods-tagged")</f>
        <v/>
      </c>
      <c r="F21" t="inlineStr">
        <is>
          <t>Backing the Future; distinct from current Tim Fairfax Family Foundation application.</t>
        </is>
      </c>
    </row>
    <row r="22" ht="26" customHeight="1">
      <c r="A22" t="inlineStr">
        <is>
          <t>Julalikari Council Aboriginal Corporation</t>
        </is>
      </c>
      <c r="B22" s="161">
        <f>SUMIFS('FY26 cash'!$K$7:$K$511,'FY26 cash'!$D$7:$D$511,A22,'FY26 cash'!$E$7:$E$511,"In")</f>
        <v/>
      </c>
      <c r="C22" s="161">
        <f>IF(E22=0,"",_xlfn.MINIFS('FY26 cash'!$C$7:$C$511,'FY26 cash'!$D$7:$D$511,A22,'FY26 cash'!$E$7:$E$511,"In",'FY26 cash'!$G$7:$G$511,"AUTHORISED",'FY26 cash'!$J$7:$J$511,"Goods-tagged"))</f>
        <v/>
      </c>
      <c r="D22">
        <f>IF(E22=0,"",_xlfn.MAXIFS('FY26 cash'!$C$7:$C$511,'FY26 cash'!$D$7:$D$511,A22,'FY26 cash'!$E$7:$E$511,"In",'FY26 cash'!$G$7:$G$511,"AUTHORISED",'FY26 cash'!$J$7:$J$511,"Goods-tagged"))</f>
        <v/>
      </c>
      <c r="E22">
        <f>COUNTIFS('FY26 cash'!$D$7:$D$511,A22,'FY26 cash'!$E$7:$E$511,"In",'FY26 cash'!$G$7:$G$511,"AUTHORISED",'FY26 cash'!$J$7:$J$511,"Goods-tagged")</f>
        <v/>
      </c>
      <c r="F22" t="inlineStr">
        <is>
          <t>See invoice description and dated payment record.</t>
        </is>
      </c>
    </row>
    <row r="23" ht="26" customHeight="1">
      <c r="A23" t="inlineStr">
        <is>
          <t>Red Dust Role Models Limited</t>
        </is>
      </c>
      <c r="B23" s="161">
        <f>SUMIFS('FY26 cash'!$K$7:$K$511,'FY26 cash'!$D$7:$D$511,A23,'FY26 cash'!$E$7:$E$511,"In")</f>
        <v/>
      </c>
      <c r="C23" s="161">
        <f>IF(E23=0,"",_xlfn.MINIFS('FY26 cash'!$C$7:$C$511,'FY26 cash'!$D$7:$D$511,A23,'FY26 cash'!$E$7:$E$511,"In",'FY26 cash'!$G$7:$G$511,"AUTHORISED",'FY26 cash'!$J$7:$J$511,"Goods-tagged"))</f>
        <v/>
      </c>
      <c r="D23">
        <f>IF(E23=0,"",_xlfn.MAXIFS('FY26 cash'!$C$7:$C$511,'FY26 cash'!$D$7:$D$511,A23,'FY26 cash'!$E$7:$E$511,"In",'FY26 cash'!$G$7:$G$511,"AUTHORISED",'FY26 cash'!$J$7:$J$511,"Goods-tagged"))</f>
        <v/>
      </c>
      <c r="E23">
        <f>COUNTIFS('FY26 cash'!$D$7:$D$511,A23,'FY26 cash'!$E$7:$E$511,"In",'FY26 cash'!$G$7:$G$511,"AUTHORISED",'FY26 cash'!$J$7:$J$511,"Goods-tagged")</f>
        <v/>
      </c>
      <c r="F23" t="inlineStr">
        <is>
          <t>See invoice description and dated payment record.</t>
        </is>
      </c>
    </row>
    <row r="24" ht="26" customHeight="1">
      <c r="A24" t="inlineStr">
        <is>
          <t>QIC LIMITED</t>
        </is>
      </c>
      <c r="B24" s="161">
        <f>SUMIFS('FY26 cash'!$K$7:$K$511,'FY26 cash'!$D$7:$D$511,A24,'FY26 cash'!$E$7:$E$511,"In")</f>
        <v/>
      </c>
      <c r="C24" s="161">
        <f>IF(E24=0,"",_xlfn.MINIFS('FY26 cash'!$C$7:$C$511,'FY26 cash'!$D$7:$D$511,A24,'FY26 cash'!$E$7:$E$511,"In",'FY26 cash'!$G$7:$G$511,"AUTHORISED",'FY26 cash'!$J$7:$J$511,"Goods-tagged"))</f>
        <v/>
      </c>
      <c r="D24">
        <f>IF(E24=0,"",_xlfn.MAXIFS('FY26 cash'!$C$7:$C$511,'FY26 cash'!$D$7:$D$511,A24,'FY26 cash'!$E$7:$E$511,"In",'FY26 cash'!$G$7:$G$511,"AUTHORISED",'FY26 cash'!$J$7:$J$511,"Goods-tagged"))</f>
        <v/>
      </c>
      <c r="E24">
        <f>COUNTIFS('FY26 cash'!$D$7:$D$511,A24,'FY26 cash'!$E$7:$E$511,"In",'FY26 cash'!$G$7:$G$511,"AUTHORISED",'FY26 cash'!$J$7:$J$511,"Goods-tagged")</f>
        <v/>
      </c>
      <c r="F24" t="inlineStr">
        <is>
          <t>See invoice description and dated payment record.</t>
        </is>
      </c>
    </row>
    <row r="25" ht="26" customHeight="1">
      <c r="A25" t="inlineStr">
        <is>
          <t>Our Community Shed Incorporated</t>
        </is>
      </c>
      <c r="B25" s="161">
        <f>SUMIFS('FY26 cash'!$K$7:$K$511,'FY26 cash'!$D$7:$D$511,A25,'FY26 cash'!$E$7:$E$511,"In")</f>
        <v/>
      </c>
      <c r="C25" s="161">
        <f>IF(E25=0,"",_xlfn.MINIFS('FY26 cash'!$C$7:$C$511,'FY26 cash'!$D$7:$D$511,A25,'FY26 cash'!$E$7:$E$511,"In",'FY26 cash'!$G$7:$G$511,"AUTHORISED",'FY26 cash'!$J$7:$J$511,"Goods-tagged"))</f>
        <v/>
      </c>
      <c r="D25">
        <f>IF(E25=0,"",_xlfn.MAXIFS('FY26 cash'!$C$7:$C$511,'FY26 cash'!$D$7:$D$511,A25,'FY26 cash'!$E$7:$E$511,"In",'FY26 cash'!$G$7:$G$511,"AUTHORISED",'FY26 cash'!$J$7:$J$511,"Goods-tagged"))</f>
        <v/>
      </c>
      <c r="E25">
        <f>COUNTIFS('FY26 cash'!$D$7:$D$511,A25,'FY26 cash'!$E$7:$E$511,"In",'FY26 cash'!$G$7:$G$511,"AUTHORISED",'FY26 cash'!$J$7:$J$511,"Goods-tagged")</f>
        <v/>
      </c>
      <c r="F25" t="inlineStr">
        <is>
          <t>See invoice description and dated payment record.</t>
        </is>
      </c>
    </row>
    <row r="26" ht="26" customHeight="1">
      <c r="A26" t="inlineStr">
        <is>
          <t>Mala’la Health Service Aboriginal Corporation</t>
        </is>
      </c>
      <c r="B26" s="161">
        <f>SUMIFS('FY26 cash'!$K$7:$K$511,'FY26 cash'!$D$7:$D$511,A26,'FY26 cash'!$E$7:$E$511,"In")</f>
        <v/>
      </c>
      <c r="C26" s="161">
        <f>IF(E26=0,"",_xlfn.MINIFS('FY26 cash'!$C$7:$C$511,'FY26 cash'!$D$7:$D$511,A26,'FY26 cash'!$E$7:$E$511,"In",'FY26 cash'!$G$7:$G$511,"AUTHORISED",'FY26 cash'!$J$7:$J$511,"Goods-tagged"))</f>
        <v/>
      </c>
      <c r="D26">
        <f>IF(E26=0,"",_xlfn.MAXIFS('FY26 cash'!$C$7:$C$511,'FY26 cash'!$D$7:$D$511,A26,'FY26 cash'!$E$7:$E$511,"In",'FY26 cash'!$G$7:$G$511,"AUTHORISED",'FY26 cash'!$J$7:$J$511,"Goods-tagged"))</f>
        <v/>
      </c>
      <c r="E26">
        <f>COUNTIFS('FY26 cash'!$D$7:$D$511,A26,'FY26 cash'!$E$7:$E$511,"In",'FY26 cash'!$G$7:$G$511,"AUTHORISED",'FY26 cash'!$J$7:$J$511,"Goods-tagged")</f>
        <v/>
      </c>
      <c r="F26" t="inlineStr">
        <is>
          <t>See invoice description and dated payment record.</t>
        </is>
      </c>
    </row>
    <row r="27" ht="26" customHeight="1">
      <c r="A27" t="inlineStr">
        <is>
          <t>The John Villiers Trust</t>
        </is>
      </c>
      <c r="B27" s="161">
        <f>SUMIFS('FY26 cash'!$K$7:$K$511,'FY26 cash'!$D$7:$D$511,A27,'FY26 cash'!$E$7:$E$511,"In")</f>
        <v/>
      </c>
      <c r="C27" s="161">
        <f>IF(E27=0,"",_xlfn.MINIFS('FY26 cash'!$C$7:$C$511,'FY26 cash'!$D$7:$D$511,A27,'FY26 cash'!$E$7:$E$511,"In",'FY26 cash'!$G$7:$G$511,"AUTHORISED",'FY26 cash'!$J$7:$J$511,"Goods-tagged"))</f>
        <v/>
      </c>
      <c r="D27">
        <f>IF(E27=0,"",_xlfn.MAXIFS('FY26 cash'!$C$7:$C$511,'FY26 cash'!$D$7:$D$511,A27,'FY26 cash'!$E$7:$E$511,"In",'FY26 cash'!$G$7:$G$511,"AUTHORISED",'FY26 cash'!$J$7:$J$511,"Goods-tagged"))</f>
        <v/>
      </c>
      <c r="E27">
        <f>COUNTIFS('FY26 cash'!$D$7:$D$511,A27,'FY26 cash'!$E$7:$E$511,"In",'FY26 cash'!$G$7:$G$511,"AUTHORISED",'FY26 cash'!$J$7:$J$511,"Goods-tagged")</f>
        <v/>
      </c>
      <c r="F27" t="inlineStr">
        <is>
          <t>See invoice description and dated payment record.</t>
        </is>
      </c>
    </row>
    <row r="28" ht="36" customHeight="1">
      <c r="A28" t="inlineStr">
        <is>
          <t>Takayna Trail 2026</t>
        </is>
      </c>
      <c r="B28" s="161">
        <f>SUMIFS('FY26 cash'!$K$7:$K$511,'FY26 cash'!$D$7:$D$511,A28,'FY26 cash'!$E$7:$E$511,"In")</f>
        <v/>
      </c>
      <c r="C28" s="161">
        <f>IF(E28=0,"",_xlfn.MINIFS('FY26 cash'!$C$7:$C$511,'FY26 cash'!$D$7:$D$511,A28,'FY26 cash'!$E$7:$E$511,"In",'FY26 cash'!$G$7:$G$511,"AUTHORISED",'FY26 cash'!$J$7:$J$511,"Goods-tagged"))</f>
        <v/>
      </c>
      <c r="D28">
        <f>IF(E28=0,"",_xlfn.MAXIFS('FY26 cash'!$C$7:$C$511,'FY26 cash'!$D$7:$D$511,A28,'FY26 cash'!$E$7:$E$511,"In",'FY26 cash'!$G$7:$G$511,"AUTHORISED",'FY26 cash'!$J$7:$J$511,"Goods-tagged"))</f>
        <v/>
      </c>
      <c r="E28">
        <f>COUNTIFS('FY26 cash'!$D$7:$D$511,A28,'FY26 cash'!$E$7:$E$511,"In",'FY26 cash'!$G$7:$G$511,"AUTHORISED",'FY26 cash'!$J$7:$J$511,"Goods-tagged")</f>
        <v/>
      </c>
      <c r="F28" t="inlineStr">
        <is>
          <t>Apparent expense refund; classification to confirm. Not new philanthropic income.</t>
        </is>
      </c>
    </row>
    <row r="29" ht="36" customHeight="1">
      <c r="A29" t="inlineStr">
        <is>
          <t>EG Fuelco (Australia)</t>
        </is>
      </c>
      <c r="B29" s="161">
        <f>SUMIFS('FY26 cash'!$K$7:$K$511,'FY26 cash'!$D$7:$D$511,A29,'FY26 cash'!$E$7:$E$511,"In")</f>
        <v/>
      </c>
      <c r="C29" s="161">
        <f>IF(E29=0,"",_xlfn.MINIFS('FY26 cash'!$C$7:$C$511,'FY26 cash'!$D$7:$D$511,A29,'FY26 cash'!$E$7:$E$511,"In",'FY26 cash'!$G$7:$G$511,"AUTHORISED",'FY26 cash'!$J$7:$J$511,"Goods-tagged"))</f>
        <v/>
      </c>
      <c r="D29">
        <f>IF(E29=0,"",_xlfn.MAXIFS('FY26 cash'!$C$7:$C$511,'FY26 cash'!$D$7:$D$511,A29,'FY26 cash'!$E$7:$E$511,"In",'FY26 cash'!$G$7:$G$511,"AUTHORISED",'FY26 cash'!$J$7:$J$511,"Goods-tagged"))</f>
        <v/>
      </c>
      <c r="E29">
        <f>COUNTIFS('FY26 cash'!$D$7:$D$511,A29,'FY26 cash'!$E$7:$E$511,"In",'FY26 cash'!$G$7:$G$511,"AUTHORISED",'FY26 cash'!$J$7:$J$511,"Goods-tagged")</f>
        <v/>
      </c>
      <c r="F29" t="inlineStr">
        <is>
          <t>Apparent fuel refund; classification to confirm. Not new philanthropic income.</t>
        </is>
      </c>
    </row>
    <row r="30" ht="30" customHeight="1">
      <c r="A30" t="inlineStr">
        <is>
          <t>Total receipts</t>
        </is>
      </c>
      <c r="B30" s="161">
        <f>SUM(B18:B29)</f>
        <v/>
      </c>
      <c r="C30" s="161" t="n"/>
      <c r="E30">
        <f>SUM(E18:E29)</f>
        <v/>
      </c>
    </row>
    <row r="31" ht="30" customHeight="1">
      <c r="A31" t="inlineStr">
        <is>
          <t>Complete cash-payment list by supplier</t>
        </is>
      </c>
      <c r="B31" s="161" t="n"/>
      <c r="C31" s="161" t="n"/>
    </row>
    <row r="32" ht="9" customHeight="1">
      <c r="B32" s="161" t="n"/>
      <c r="C32" s="161" t="n"/>
    </row>
    <row r="33" ht="30" customHeight="1">
      <c r="A33" t="inlineStr">
        <is>
          <t>Supplier</t>
        </is>
      </c>
      <c r="B33" s="161" t="inlineStr">
        <is>
          <t>Dated payments AUD</t>
        </is>
      </c>
      <c r="C33" s="161" t="inlineStr">
        <is>
          <t>First payment</t>
        </is>
      </c>
      <c r="D33" t="inlineStr">
        <is>
          <t>Last payment</t>
        </is>
      </c>
      <c r="E33" t="inlineStr">
        <is>
          <t>Payments</t>
        </is>
      </c>
      <c r="F33" t="inlineStr">
        <is>
          <t>Basis</t>
        </is>
      </c>
    </row>
    <row r="34" ht="26" customHeight="1">
      <c r="A34" t="inlineStr">
        <is>
          <t>Defy Manufacturing</t>
        </is>
      </c>
      <c r="B34" s="161">
        <f>SUMIFS('FY26 cash'!$K$7:$K$511,'FY26 cash'!$D$7:$D$511,A34,'FY26 cash'!$E$7:$E$511,"Out")</f>
        <v/>
      </c>
      <c r="C34" s="161">
        <f>IF(E34=0,"",_xlfn.MINIFS('FY26 cash'!$C$7:$C$511,'FY26 cash'!$D$7:$D$511,A34,'FY26 cash'!$E$7:$E$511,"Out",'FY26 cash'!$G$7:$G$511,"AUTHORISED",'FY26 cash'!$J$7:$J$511,"Goods-tagged"))</f>
        <v/>
      </c>
      <c r="D34">
        <f>IF(E34=0,"",_xlfn.MAXIFS('FY26 cash'!$C$7:$C$511,'FY26 cash'!$D$7:$D$511,A34,'FY26 cash'!$E$7:$E$511,"Out",'FY26 cash'!$G$7:$G$511,"AUTHORISED",'FY26 cash'!$J$7:$J$511,"Goods-tagged"))</f>
        <v/>
      </c>
      <c r="E34">
        <f>COUNTIFS('FY26 cash'!$D$7:$D$511,A34,'FY26 cash'!$E$7:$E$511,"Out",'FY26 cash'!$G$7:$G$511,"AUTHORISED",'FY26 cash'!$J$7:$J$511,"Goods-tagged")</f>
        <v/>
      </c>
      <c r="F34" t="inlineStr">
        <is>
          <t>Invoice payments and authorised bank spending; gross cash.</t>
        </is>
      </c>
    </row>
    <row r="35" ht="26" customHeight="1">
      <c r="A35" t="inlineStr">
        <is>
          <t>Oonchiumpa Consultancy and Services</t>
        </is>
      </c>
      <c r="B35" s="161">
        <f>SUMIFS('FY26 cash'!$K$7:$K$511,'FY26 cash'!$D$7:$D$511,A35,'FY26 cash'!$E$7:$E$511,"Out")</f>
        <v/>
      </c>
      <c r="C35" s="161">
        <f>IF(E35=0,"",_xlfn.MINIFS('FY26 cash'!$C$7:$C$511,'FY26 cash'!$D$7:$D$511,A35,'FY26 cash'!$E$7:$E$511,"Out",'FY26 cash'!$G$7:$G$511,"AUTHORISED",'FY26 cash'!$J$7:$J$511,"Goods-tagged"))</f>
        <v/>
      </c>
      <c r="D35">
        <f>IF(E35=0,"",_xlfn.MAXIFS('FY26 cash'!$C$7:$C$511,'FY26 cash'!$D$7:$D$511,A35,'FY26 cash'!$E$7:$E$511,"Out",'FY26 cash'!$G$7:$G$511,"AUTHORISED",'FY26 cash'!$J$7:$J$511,"Goods-tagged"))</f>
        <v/>
      </c>
      <c r="E35">
        <f>COUNTIFS('FY26 cash'!$D$7:$D$511,A35,'FY26 cash'!$E$7:$E$511,"Out",'FY26 cash'!$G$7:$G$511,"AUTHORISED",'FY26 cash'!$J$7:$J$511,"Goods-tagged")</f>
        <v/>
      </c>
      <c r="F35" t="inlineStr">
        <is>
          <t>Invoice payments and authorised bank spending; gross cash.</t>
        </is>
      </c>
    </row>
    <row r="36" ht="26" customHeight="1">
      <c r="A36" t="inlineStr">
        <is>
          <t>Circularity Group</t>
        </is>
      </c>
      <c r="B36" s="161">
        <f>SUMIFS('FY26 cash'!$K$7:$K$511,'FY26 cash'!$D$7:$D$511,A36,'FY26 cash'!$E$7:$E$511,"Out")</f>
        <v/>
      </c>
      <c r="C36" s="161">
        <f>IF(E36=0,"",_xlfn.MINIFS('FY26 cash'!$C$7:$C$511,'FY26 cash'!$D$7:$D$511,A36,'FY26 cash'!$E$7:$E$511,"Out",'FY26 cash'!$G$7:$G$511,"AUTHORISED",'FY26 cash'!$J$7:$J$511,"Goods-tagged"))</f>
        <v/>
      </c>
      <c r="D36">
        <f>IF(E36=0,"",_xlfn.MAXIFS('FY26 cash'!$C$7:$C$511,'FY26 cash'!$D$7:$D$511,A36,'FY26 cash'!$E$7:$E$511,"Out",'FY26 cash'!$G$7:$G$511,"AUTHORISED",'FY26 cash'!$J$7:$J$511,"Goods-tagged"))</f>
        <v/>
      </c>
      <c r="E36">
        <f>COUNTIFS('FY26 cash'!$D$7:$D$511,A36,'FY26 cash'!$E$7:$E$511,"Out",'FY26 cash'!$G$7:$G$511,"AUTHORISED",'FY26 cash'!$J$7:$J$511,"Goods-tagged")</f>
        <v/>
      </c>
      <c r="F36" t="inlineStr">
        <is>
          <t>Invoice payments and authorised bank spending; gross cash.</t>
        </is>
      </c>
    </row>
    <row r="37" ht="26" customHeight="1">
      <c r="A37" t="inlineStr">
        <is>
          <t>Defy</t>
        </is>
      </c>
      <c r="B37" s="161">
        <f>SUMIFS('FY26 cash'!$K$7:$K$511,'FY26 cash'!$D$7:$D$511,A37,'FY26 cash'!$E$7:$E$511,"Out")</f>
        <v/>
      </c>
      <c r="C37" s="161">
        <f>IF(E37=0,"",_xlfn.MINIFS('FY26 cash'!$C$7:$C$511,'FY26 cash'!$D$7:$D$511,A37,'FY26 cash'!$E$7:$E$511,"Out",'FY26 cash'!$G$7:$G$511,"AUTHORISED",'FY26 cash'!$J$7:$J$511,"Goods-tagged"))</f>
        <v/>
      </c>
      <c r="D37">
        <f>IF(E37=0,"",_xlfn.MAXIFS('FY26 cash'!$C$7:$C$511,'FY26 cash'!$D$7:$D$511,A37,'FY26 cash'!$E$7:$E$511,"Out",'FY26 cash'!$G$7:$G$511,"AUTHORISED",'FY26 cash'!$J$7:$J$511,"Goods-tagged"))</f>
        <v/>
      </c>
      <c r="E37">
        <f>COUNTIFS('FY26 cash'!$D$7:$D$511,A37,'FY26 cash'!$E$7:$E$511,"Out",'FY26 cash'!$G$7:$G$511,"AUTHORISED",'FY26 cash'!$J$7:$J$511,"Goods-tagged")</f>
        <v/>
      </c>
      <c r="F37" t="inlineStr">
        <is>
          <t>Invoice payments and authorised bank spending; gross cash.</t>
        </is>
      </c>
    </row>
    <row r="38" ht="26" customHeight="1">
      <c r="A38" t="inlineStr">
        <is>
          <t>Joseph Kirmos</t>
        </is>
      </c>
      <c r="B38" s="161">
        <f>SUMIFS('FY26 cash'!$K$7:$K$511,'FY26 cash'!$D$7:$D$511,A38,'FY26 cash'!$E$7:$E$511,"Out")</f>
        <v/>
      </c>
      <c r="C38" s="161">
        <f>IF(E38=0,"",_xlfn.MINIFS('FY26 cash'!$C$7:$C$511,'FY26 cash'!$D$7:$D$511,A38,'FY26 cash'!$E$7:$E$511,"Out",'FY26 cash'!$G$7:$G$511,"AUTHORISED",'FY26 cash'!$J$7:$J$511,"Goods-tagged"))</f>
        <v/>
      </c>
      <c r="D38">
        <f>IF(E38=0,"",_xlfn.MAXIFS('FY26 cash'!$C$7:$C$511,'FY26 cash'!$D$7:$D$511,A38,'FY26 cash'!$E$7:$E$511,"Out",'FY26 cash'!$G$7:$G$511,"AUTHORISED",'FY26 cash'!$J$7:$J$511,"Goods-tagged"))</f>
        <v/>
      </c>
      <c r="E38">
        <f>COUNTIFS('FY26 cash'!$D$7:$D$511,A38,'FY26 cash'!$E$7:$E$511,"Out",'FY26 cash'!$G$7:$G$511,"AUTHORISED",'FY26 cash'!$J$7:$J$511,"Goods-tagged")</f>
        <v/>
      </c>
      <c r="F38" t="inlineStr">
        <is>
          <t>Invoice payments and authorised bank spending; gross cash.</t>
        </is>
      </c>
    </row>
    <row r="39" ht="26" customHeight="1">
      <c r="A39" t="inlineStr">
        <is>
          <t>Carla Furnishers</t>
        </is>
      </c>
      <c r="B39" s="161">
        <f>SUMIFS('FY26 cash'!$K$7:$K$511,'FY26 cash'!$D$7:$D$511,A39,'FY26 cash'!$E$7:$E$511,"Out")</f>
        <v/>
      </c>
      <c r="C39" s="161">
        <f>IF(E39=0,"",_xlfn.MINIFS('FY26 cash'!$C$7:$C$511,'FY26 cash'!$D$7:$D$511,A39,'FY26 cash'!$E$7:$E$511,"Out",'FY26 cash'!$G$7:$G$511,"AUTHORISED",'FY26 cash'!$J$7:$J$511,"Goods-tagged"))</f>
        <v/>
      </c>
      <c r="D39">
        <f>IF(E39=0,"",_xlfn.MAXIFS('FY26 cash'!$C$7:$C$511,'FY26 cash'!$D$7:$D$511,A39,'FY26 cash'!$E$7:$E$511,"Out",'FY26 cash'!$G$7:$G$511,"AUTHORISED",'FY26 cash'!$J$7:$J$511,"Goods-tagged"))</f>
        <v/>
      </c>
      <c r="E39">
        <f>COUNTIFS('FY26 cash'!$D$7:$D$511,A39,'FY26 cash'!$E$7:$E$511,"Out",'FY26 cash'!$G$7:$G$511,"AUTHORISED",'FY26 cash'!$J$7:$J$511,"Goods-tagged")</f>
        <v/>
      </c>
      <c r="F39" t="inlineStr">
        <is>
          <t>Invoice payments and authorised bank spending; gross cash.</t>
        </is>
      </c>
    </row>
    <row r="40" ht="26" customHeight="1">
      <c r="A40" t="inlineStr">
        <is>
          <t>Bunnings Warehouse</t>
        </is>
      </c>
      <c r="B40" s="161">
        <f>SUMIFS('FY26 cash'!$K$7:$K$511,'FY26 cash'!$D$7:$D$511,A40,'FY26 cash'!$E$7:$E$511,"Out")</f>
        <v/>
      </c>
      <c r="C40" s="161">
        <f>IF(E40=0,"",_xlfn.MINIFS('FY26 cash'!$C$7:$C$511,'FY26 cash'!$D$7:$D$511,A40,'FY26 cash'!$E$7:$E$511,"Out",'FY26 cash'!$G$7:$G$511,"AUTHORISED",'FY26 cash'!$J$7:$J$511,"Goods-tagged"))</f>
        <v/>
      </c>
      <c r="D40">
        <f>IF(E40=0,"",_xlfn.MAXIFS('FY26 cash'!$C$7:$C$511,'FY26 cash'!$D$7:$D$511,A40,'FY26 cash'!$E$7:$E$511,"Out",'FY26 cash'!$G$7:$G$511,"AUTHORISED",'FY26 cash'!$J$7:$J$511,"Goods-tagged"))</f>
        <v/>
      </c>
      <c r="E40">
        <f>COUNTIFS('FY26 cash'!$D$7:$D$511,A40,'FY26 cash'!$E$7:$E$511,"Out",'FY26 cash'!$G$7:$G$511,"AUTHORISED",'FY26 cash'!$J$7:$J$511,"Goods-tagged")</f>
        <v/>
      </c>
      <c r="F40" t="inlineStr">
        <is>
          <t>Invoice payments and authorised bank spending; gross cash.</t>
        </is>
      </c>
    </row>
    <row r="41" ht="26" customHeight="1">
      <c r="A41" t="inlineStr">
        <is>
          <t>Centre Canvas And Upholstery</t>
        </is>
      </c>
      <c r="B41" s="161">
        <f>SUMIFS('FY26 cash'!$K$7:$K$511,'FY26 cash'!$D$7:$D$511,A41,'FY26 cash'!$E$7:$E$511,"Out")</f>
        <v/>
      </c>
      <c r="C41" s="161">
        <f>IF(E41=0,"",_xlfn.MINIFS('FY26 cash'!$C$7:$C$511,'FY26 cash'!$D$7:$D$511,A41,'FY26 cash'!$E$7:$E$511,"Out",'FY26 cash'!$G$7:$G$511,"AUTHORISED",'FY26 cash'!$J$7:$J$511,"Goods-tagged"))</f>
        <v/>
      </c>
      <c r="D41">
        <f>IF(E41=0,"",_xlfn.MAXIFS('FY26 cash'!$C$7:$C$511,'FY26 cash'!$D$7:$D$511,A41,'FY26 cash'!$E$7:$E$511,"Out",'FY26 cash'!$G$7:$G$511,"AUTHORISED",'FY26 cash'!$J$7:$J$511,"Goods-tagged"))</f>
        <v/>
      </c>
      <c r="E41">
        <f>COUNTIFS('FY26 cash'!$D$7:$D$511,A41,'FY26 cash'!$E$7:$E$511,"Out",'FY26 cash'!$G$7:$G$511,"AUTHORISED",'FY26 cash'!$J$7:$J$511,"Goods-tagged")</f>
        <v/>
      </c>
      <c r="F41" t="inlineStr">
        <is>
          <t>Invoice payments and authorised bank spending; gross cash.</t>
        </is>
      </c>
    </row>
    <row r="42" ht="26" customHeight="1">
      <c r="A42" t="inlineStr">
        <is>
          <t>Peak Up Transport</t>
        </is>
      </c>
      <c r="B42" s="161">
        <f>SUMIFS('FY26 cash'!$K$7:$K$511,'FY26 cash'!$D$7:$D$511,A42,'FY26 cash'!$E$7:$E$511,"Out")</f>
        <v/>
      </c>
      <c r="C42" s="161">
        <f>IF(E42=0,"",_xlfn.MINIFS('FY26 cash'!$C$7:$C$511,'FY26 cash'!$D$7:$D$511,A42,'FY26 cash'!$E$7:$E$511,"Out",'FY26 cash'!$G$7:$G$511,"AUTHORISED",'FY26 cash'!$J$7:$J$511,"Goods-tagged"))</f>
        <v/>
      </c>
      <c r="D42">
        <f>IF(E42=0,"",_xlfn.MAXIFS('FY26 cash'!$C$7:$C$511,'FY26 cash'!$D$7:$D$511,A42,'FY26 cash'!$E$7:$E$511,"Out",'FY26 cash'!$G$7:$G$511,"AUTHORISED",'FY26 cash'!$J$7:$J$511,"Goods-tagged"))</f>
        <v/>
      </c>
      <c r="E42">
        <f>COUNTIFS('FY26 cash'!$D$7:$D$511,A42,'FY26 cash'!$E$7:$E$511,"Out",'FY26 cash'!$G$7:$G$511,"AUTHORISED",'FY26 cash'!$J$7:$J$511,"Goods-tagged")</f>
        <v/>
      </c>
      <c r="F42" t="inlineStr">
        <is>
          <t>Invoice payments and authorised bank spending; gross cash.</t>
        </is>
      </c>
    </row>
    <row r="43" ht="26" customHeight="1">
      <c r="A43" t="inlineStr">
        <is>
          <t>RW Pacific Traders</t>
        </is>
      </c>
      <c r="B43" s="161">
        <f>SUMIFS('FY26 cash'!$K$7:$K$511,'FY26 cash'!$D$7:$D$511,A43,'FY26 cash'!$E$7:$E$511,"Out")</f>
        <v/>
      </c>
      <c r="C43" s="161">
        <f>IF(E43=0,"",_xlfn.MINIFS('FY26 cash'!$C$7:$C$511,'FY26 cash'!$D$7:$D$511,A43,'FY26 cash'!$E$7:$E$511,"Out",'FY26 cash'!$G$7:$G$511,"AUTHORISED",'FY26 cash'!$J$7:$J$511,"Goods-tagged"))</f>
        <v/>
      </c>
      <c r="D43">
        <f>IF(E43=0,"",_xlfn.MAXIFS('FY26 cash'!$C$7:$C$511,'FY26 cash'!$D$7:$D$511,A43,'FY26 cash'!$E$7:$E$511,"Out",'FY26 cash'!$G$7:$G$511,"AUTHORISED",'FY26 cash'!$J$7:$J$511,"Goods-tagged"))</f>
        <v/>
      </c>
      <c r="E43">
        <f>COUNTIFS('FY26 cash'!$D$7:$D$511,A43,'FY26 cash'!$E$7:$E$511,"Out",'FY26 cash'!$G$7:$G$511,"AUTHORISED",'FY26 cash'!$J$7:$J$511,"Goods-tagged")</f>
        <v/>
      </c>
      <c r="F43" t="inlineStr">
        <is>
          <t>Invoice payments and authorised bank spending; gross cash.</t>
        </is>
      </c>
    </row>
    <row r="44" ht="26" customHeight="1">
      <c r="A44" t="inlineStr">
        <is>
          <t>Bionic Group</t>
        </is>
      </c>
      <c r="B44" s="161">
        <f>SUMIFS('FY26 cash'!$K$7:$K$511,'FY26 cash'!$D$7:$D$511,A44,'FY26 cash'!$E$7:$E$511,"Out")</f>
        <v/>
      </c>
      <c r="C44" s="161">
        <f>IF(E44=0,"",_xlfn.MINIFS('FY26 cash'!$C$7:$C$511,'FY26 cash'!$D$7:$D$511,A44,'FY26 cash'!$E$7:$E$511,"Out",'FY26 cash'!$G$7:$G$511,"AUTHORISED",'FY26 cash'!$J$7:$J$511,"Goods-tagged"))</f>
        <v/>
      </c>
      <c r="D44">
        <f>IF(E44=0,"",_xlfn.MAXIFS('FY26 cash'!$C$7:$C$511,'FY26 cash'!$D$7:$D$511,A44,'FY26 cash'!$E$7:$E$511,"Out",'FY26 cash'!$G$7:$G$511,"AUTHORISED",'FY26 cash'!$J$7:$J$511,"Goods-tagged"))</f>
        <v/>
      </c>
      <c r="E44">
        <f>COUNTIFS('FY26 cash'!$D$7:$D$511,A44,'FY26 cash'!$E$7:$E$511,"Out",'FY26 cash'!$G$7:$G$511,"AUTHORISED",'FY26 cash'!$J$7:$J$511,"Goods-tagged")</f>
        <v/>
      </c>
      <c r="F44" t="inlineStr">
        <is>
          <t>Invoice payments and authorised bank spending; gross cash.</t>
        </is>
      </c>
    </row>
    <row r="45" ht="26" customHeight="1">
      <c r="A45" t="inlineStr">
        <is>
          <t>Pedders Cannington Arm</t>
        </is>
      </c>
      <c r="B45" s="161">
        <f>SUMIFS('FY26 cash'!$K$7:$K$511,'FY26 cash'!$D$7:$D$511,A45,'FY26 cash'!$E$7:$E$511,"Out")</f>
        <v/>
      </c>
      <c r="C45" s="161">
        <f>IF(E45=0,"",_xlfn.MINIFS('FY26 cash'!$C$7:$C$511,'FY26 cash'!$D$7:$D$511,A45,'FY26 cash'!$E$7:$E$511,"Out",'FY26 cash'!$G$7:$G$511,"AUTHORISED",'FY26 cash'!$J$7:$J$511,"Goods-tagged"))</f>
        <v/>
      </c>
      <c r="D45">
        <f>IF(E45=0,"",_xlfn.MAXIFS('FY26 cash'!$C$7:$C$511,'FY26 cash'!$D$7:$D$511,A45,'FY26 cash'!$E$7:$E$511,"Out",'FY26 cash'!$G$7:$G$511,"AUTHORISED",'FY26 cash'!$J$7:$J$511,"Goods-tagged"))</f>
        <v/>
      </c>
      <c r="E45">
        <f>COUNTIFS('FY26 cash'!$D$7:$D$511,A45,'FY26 cash'!$E$7:$E$511,"Out",'FY26 cash'!$G$7:$G$511,"AUTHORISED",'FY26 cash'!$J$7:$J$511,"Goods-tagged")</f>
        <v/>
      </c>
      <c r="F45" t="inlineStr">
        <is>
          <t>Invoice payments and authorised bank spending; gross cash.</t>
        </is>
      </c>
    </row>
    <row r="46" ht="26" customHeight="1">
      <c r="A46" t="inlineStr">
        <is>
          <t>The Matnic Trust</t>
        </is>
      </c>
      <c r="B46" s="161">
        <f>SUMIFS('FY26 cash'!$K$7:$K$511,'FY26 cash'!$D$7:$D$511,A46,'FY26 cash'!$E$7:$E$511,"Out")</f>
        <v/>
      </c>
      <c r="C46" s="161">
        <f>IF(E46=0,"",_xlfn.MINIFS('FY26 cash'!$C$7:$C$511,'FY26 cash'!$D$7:$D$511,A46,'FY26 cash'!$E$7:$E$511,"Out",'FY26 cash'!$G$7:$G$511,"AUTHORISED",'FY26 cash'!$J$7:$J$511,"Goods-tagged"))</f>
        <v/>
      </c>
      <c r="D46">
        <f>IF(E46=0,"",_xlfn.MAXIFS('FY26 cash'!$C$7:$C$511,'FY26 cash'!$D$7:$D$511,A46,'FY26 cash'!$E$7:$E$511,"Out",'FY26 cash'!$G$7:$G$511,"AUTHORISED",'FY26 cash'!$J$7:$J$511,"Goods-tagged"))</f>
        <v/>
      </c>
      <c r="E46">
        <f>COUNTIFS('FY26 cash'!$D$7:$D$511,A46,'FY26 cash'!$E$7:$E$511,"Out",'FY26 cash'!$G$7:$G$511,"AUTHORISED",'FY26 cash'!$J$7:$J$511,"Goods-tagged")</f>
        <v/>
      </c>
      <c r="F46" t="inlineStr">
        <is>
          <t>Invoice payments and authorised bank spending; gross cash.</t>
        </is>
      </c>
    </row>
    <row r="47" ht="26" customHeight="1">
      <c r="A47" t="inlineStr">
        <is>
          <t>Byo Group</t>
        </is>
      </c>
      <c r="B47" s="161">
        <f>SUMIFS('FY26 cash'!$K$7:$K$511,'FY26 cash'!$D$7:$D$511,A47,'FY26 cash'!$E$7:$E$511,"Out")</f>
        <v/>
      </c>
      <c r="C47" s="161">
        <f>IF(E47=0,"",_xlfn.MINIFS('FY26 cash'!$C$7:$C$511,'FY26 cash'!$D$7:$D$511,A47,'FY26 cash'!$E$7:$E$511,"Out",'FY26 cash'!$G$7:$G$511,"AUTHORISED",'FY26 cash'!$J$7:$J$511,"Goods-tagged"))</f>
        <v/>
      </c>
      <c r="D47">
        <f>IF(E47=0,"",_xlfn.MAXIFS('FY26 cash'!$C$7:$C$511,'FY26 cash'!$D$7:$D$511,A47,'FY26 cash'!$E$7:$E$511,"Out",'FY26 cash'!$G$7:$G$511,"AUTHORISED",'FY26 cash'!$J$7:$J$511,"Goods-tagged"))</f>
        <v/>
      </c>
      <c r="E47">
        <f>COUNTIFS('FY26 cash'!$D$7:$D$511,A47,'FY26 cash'!$E$7:$E$511,"Out",'FY26 cash'!$G$7:$G$511,"AUTHORISED",'FY26 cash'!$J$7:$J$511,"Goods-tagged")</f>
        <v/>
      </c>
      <c r="F47" t="inlineStr">
        <is>
          <t>Invoice payments and authorised bank spending; gross cash.</t>
        </is>
      </c>
    </row>
    <row r="48" ht="26" customHeight="1">
      <c r="A48" t="inlineStr">
        <is>
          <t>Adriana Beach</t>
        </is>
      </c>
      <c r="B48" s="161">
        <f>SUMIFS('FY26 cash'!$K$7:$K$511,'FY26 cash'!$D$7:$D$511,A48,'FY26 cash'!$E$7:$E$511,"Out")</f>
        <v/>
      </c>
      <c r="C48" s="161">
        <f>IF(E48=0,"",_xlfn.MINIFS('FY26 cash'!$C$7:$C$511,'FY26 cash'!$D$7:$D$511,A48,'FY26 cash'!$E$7:$E$511,"Out",'FY26 cash'!$G$7:$G$511,"AUTHORISED",'FY26 cash'!$J$7:$J$511,"Goods-tagged"))</f>
        <v/>
      </c>
      <c r="D48">
        <f>IF(E48=0,"",_xlfn.MAXIFS('FY26 cash'!$C$7:$C$511,'FY26 cash'!$D$7:$D$511,A48,'FY26 cash'!$E$7:$E$511,"Out",'FY26 cash'!$G$7:$G$511,"AUTHORISED",'FY26 cash'!$J$7:$J$511,"Goods-tagged"))</f>
        <v/>
      </c>
      <c r="E48">
        <f>COUNTIFS('FY26 cash'!$D$7:$D$511,A48,'FY26 cash'!$E$7:$E$511,"Out",'FY26 cash'!$G$7:$G$511,"AUTHORISED",'FY26 cash'!$J$7:$J$511,"Goods-tagged")</f>
        <v/>
      </c>
      <c r="F48" t="inlineStr">
        <is>
          <t>Invoice payments and authorised bank spending; gross cash.</t>
        </is>
      </c>
    </row>
    <row r="49" ht="26" customHeight="1">
      <c r="A49" t="inlineStr">
        <is>
          <t>Sendle</t>
        </is>
      </c>
      <c r="B49" s="161">
        <f>SUMIFS('FY26 cash'!$K$7:$K$511,'FY26 cash'!$D$7:$D$511,A49,'FY26 cash'!$E$7:$E$511,"Out")</f>
        <v/>
      </c>
      <c r="C49" s="161">
        <f>IF(E49=0,"",_xlfn.MINIFS('FY26 cash'!$C$7:$C$511,'FY26 cash'!$D$7:$D$511,A49,'FY26 cash'!$E$7:$E$511,"Out",'FY26 cash'!$G$7:$G$511,"AUTHORISED",'FY26 cash'!$J$7:$J$511,"Goods-tagged"))</f>
        <v/>
      </c>
      <c r="D49">
        <f>IF(E49=0,"",_xlfn.MAXIFS('FY26 cash'!$C$7:$C$511,'FY26 cash'!$D$7:$D$511,A49,'FY26 cash'!$E$7:$E$511,"Out",'FY26 cash'!$G$7:$G$511,"AUTHORISED",'FY26 cash'!$J$7:$J$511,"Goods-tagged"))</f>
        <v/>
      </c>
      <c r="E49">
        <f>COUNTIFS('FY26 cash'!$D$7:$D$511,A49,'FY26 cash'!$E$7:$E$511,"Out",'FY26 cash'!$G$7:$G$511,"AUTHORISED",'FY26 cash'!$J$7:$J$511,"Goods-tagged")</f>
        <v/>
      </c>
      <c r="F49" t="inlineStr">
        <is>
          <t>Invoice payments and authorised bank spending; gross cash.</t>
        </is>
      </c>
    </row>
    <row r="50" ht="26" customHeight="1">
      <c r="A50" t="inlineStr">
        <is>
          <t>Bargain Car Rentals (Hobart)</t>
        </is>
      </c>
      <c r="B50" s="161">
        <f>SUMIFS('FY26 cash'!$K$7:$K$511,'FY26 cash'!$D$7:$D$511,A50,'FY26 cash'!$E$7:$E$511,"Out")</f>
        <v/>
      </c>
      <c r="C50" s="161">
        <f>IF(E50=0,"",_xlfn.MINIFS('FY26 cash'!$C$7:$C$511,'FY26 cash'!$D$7:$D$511,A50,'FY26 cash'!$E$7:$E$511,"Out",'FY26 cash'!$G$7:$G$511,"AUTHORISED",'FY26 cash'!$J$7:$J$511,"Goods-tagged"))</f>
        <v/>
      </c>
      <c r="D50">
        <f>IF(E50=0,"",_xlfn.MAXIFS('FY26 cash'!$C$7:$C$511,'FY26 cash'!$D$7:$D$511,A50,'FY26 cash'!$E$7:$E$511,"Out",'FY26 cash'!$G$7:$G$511,"AUTHORISED",'FY26 cash'!$J$7:$J$511,"Goods-tagged"))</f>
        <v/>
      </c>
      <c r="E50">
        <f>COUNTIFS('FY26 cash'!$D$7:$D$511,A50,'FY26 cash'!$E$7:$E$511,"Out",'FY26 cash'!$G$7:$G$511,"AUTHORISED",'FY26 cash'!$J$7:$J$511,"Goods-tagged")</f>
        <v/>
      </c>
      <c r="F50" t="inlineStr">
        <is>
          <t>Invoice payments and authorised bank spending; gross cash.</t>
        </is>
      </c>
    </row>
    <row r="51" ht="26" customHeight="1">
      <c r="A51" t="inlineStr">
        <is>
          <t>BP</t>
        </is>
      </c>
      <c r="B51" s="161">
        <f>SUMIFS('FY26 cash'!$K$7:$K$511,'FY26 cash'!$D$7:$D$511,A51,'FY26 cash'!$E$7:$E$511,"Out")</f>
        <v/>
      </c>
      <c r="C51" s="161">
        <f>IF(E51=0,"",_xlfn.MINIFS('FY26 cash'!$C$7:$C$511,'FY26 cash'!$D$7:$D$511,A51,'FY26 cash'!$E$7:$E$511,"Out",'FY26 cash'!$G$7:$G$511,"AUTHORISED",'FY26 cash'!$J$7:$J$511,"Goods-tagged"))</f>
        <v/>
      </c>
      <c r="D51">
        <f>IF(E51=0,"",_xlfn.MAXIFS('FY26 cash'!$C$7:$C$511,'FY26 cash'!$D$7:$D$511,A51,'FY26 cash'!$E$7:$E$511,"Out",'FY26 cash'!$G$7:$G$511,"AUTHORISED",'FY26 cash'!$J$7:$J$511,"Goods-tagged"))</f>
        <v/>
      </c>
      <c r="E51">
        <f>COUNTIFS('FY26 cash'!$D$7:$D$511,A51,'FY26 cash'!$E$7:$E$511,"Out",'FY26 cash'!$G$7:$G$511,"AUTHORISED",'FY26 cash'!$J$7:$J$511,"Goods-tagged")</f>
        <v/>
      </c>
      <c r="F51" t="inlineStr">
        <is>
          <t>Invoice payments and authorised bank spending; gross cash.</t>
        </is>
      </c>
    </row>
    <row r="52" ht="26" customHeight="1">
      <c r="A52" t="inlineStr">
        <is>
          <t>IGA</t>
        </is>
      </c>
      <c r="B52" s="161">
        <f>SUMIFS('FY26 cash'!$K$7:$K$511,'FY26 cash'!$D$7:$D$511,A52,'FY26 cash'!$E$7:$E$511,"Out")</f>
        <v/>
      </c>
      <c r="C52" s="161">
        <f>IF(E52=0,"",_xlfn.MINIFS('FY26 cash'!$C$7:$C$511,'FY26 cash'!$D$7:$D$511,A52,'FY26 cash'!$E$7:$E$511,"Out",'FY26 cash'!$G$7:$G$511,"AUTHORISED",'FY26 cash'!$J$7:$J$511,"Goods-tagged"))</f>
        <v/>
      </c>
      <c r="D52">
        <f>IF(E52=0,"",_xlfn.MAXIFS('FY26 cash'!$C$7:$C$511,'FY26 cash'!$D$7:$D$511,A52,'FY26 cash'!$E$7:$E$511,"Out",'FY26 cash'!$G$7:$G$511,"AUTHORISED",'FY26 cash'!$J$7:$J$511,"Goods-tagged"))</f>
        <v/>
      </c>
      <c r="E52">
        <f>COUNTIFS('FY26 cash'!$D$7:$D$511,A52,'FY26 cash'!$E$7:$E$511,"Out",'FY26 cash'!$G$7:$G$511,"AUTHORISED",'FY26 cash'!$J$7:$J$511,"Goods-tagged")</f>
        <v/>
      </c>
      <c r="F52" t="inlineStr">
        <is>
          <t>Invoice payments and authorised bank spending; gross cash.</t>
        </is>
      </c>
    </row>
    <row r="53" ht="26" customHeight="1">
      <c r="A53" t="inlineStr">
        <is>
          <t>Steelmart</t>
        </is>
      </c>
      <c r="B53" s="161">
        <f>SUMIFS('FY26 cash'!$K$7:$K$511,'FY26 cash'!$D$7:$D$511,A53,'FY26 cash'!$E$7:$E$511,"Out")</f>
        <v/>
      </c>
      <c r="C53" s="161">
        <f>IF(E53=0,"",_xlfn.MINIFS('FY26 cash'!$C$7:$C$511,'FY26 cash'!$D$7:$D$511,A53,'FY26 cash'!$E$7:$E$511,"Out",'FY26 cash'!$G$7:$G$511,"AUTHORISED",'FY26 cash'!$J$7:$J$511,"Goods-tagged"))</f>
        <v/>
      </c>
      <c r="D53">
        <f>IF(E53=0,"",_xlfn.MAXIFS('FY26 cash'!$C$7:$C$511,'FY26 cash'!$D$7:$D$511,A53,'FY26 cash'!$E$7:$E$511,"Out",'FY26 cash'!$G$7:$G$511,"AUTHORISED",'FY26 cash'!$J$7:$J$511,"Goods-tagged"))</f>
        <v/>
      </c>
      <c r="E53">
        <f>COUNTIFS('FY26 cash'!$D$7:$D$511,A53,'FY26 cash'!$E$7:$E$511,"Out",'FY26 cash'!$G$7:$G$511,"AUTHORISED",'FY26 cash'!$J$7:$J$511,"Goods-tagged")</f>
        <v/>
      </c>
      <c r="F53" t="inlineStr">
        <is>
          <t>Invoice payments and authorised bank spending; gross cash.</t>
        </is>
      </c>
    </row>
    <row r="54" ht="26" customHeight="1">
      <c r="A54" t="inlineStr">
        <is>
          <t>Liberty Maleny</t>
        </is>
      </c>
      <c r="B54" s="161">
        <f>SUMIFS('FY26 cash'!$K$7:$K$511,'FY26 cash'!$D$7:$D$511,A54,'FY26 cash'!$E$7:$E$511,"Out")</f>
        <v/>
      </c>
      <c r="C54" s="161">
        <f>IF(E54=0,"",_xlfn.MINIFS('FY26 cash'!$C$7:$C$511,'FY26 cash'!$D$7:$D$511,A54,'FY26 cash'!$E$7:$E$511,"Out",'FY26 cash'!$G$7:$G$511,"AUTHORISED",'FY26 cash'!$J$7:$J$511,"Goods-tagged"))</f>
        <v/>
      </c>
      <c r="D54">
        <f>IF(E54=0,"",_xlfn.MAXIFS('FY26 cash'!$C$7:$C$511,'FY26 cash'!$D$7:$D$511,A54,'FY26 cash'!$E$7:$E$511,"Out",'FY26 cash'!$G$7:$G$511,"AUTHORISED",'FY26 cash'!$J$7:$J$511,"Goods-tagged"))</f>
        <v/>
      </c>
      <c r="E54">
        <f>COUNTIFS('FY26 cash'!$D$7:$D$511,A54,'FY26 cash'!$E$7:$E$511,"Out",'FY26 cash'!$G$7:$G$511,"AUTHORISED",'FY26 cash'!$J$7:$J$511,"Goods-tagged")</f>
        <v/>
      </c>
      <c r="F54" t="inlineStr">
        <is>
          <t>Invoice payments and authorised bank spending; gross cash.</t>
        </is>
      </c>
    </row>
    <row r="55" ht="26" customHeight="1">
      <c r="A55" t="inlineStr">
        <is>
          <t>Loadshift Sydney</t>
        </is>
      </c>
      <c r="B55" s="161">
        <f>SUMIFS('FY26 cash'!$K$7:$K$511,'FY26 cash'!$D$7:$D$511,A55,'FY26 cash'!$E$7:$E$511,"Out")</f>
        <v/>
      </c>
      <c r="C55" s="161">
        <f>IF(E55=0,"",_xlfn.MINIFS('FY26 cash'!$C$7:$C$511,'FY26 cash'!$D$7:$D$511,A55,'FY26 cash'!$E$7:$E$511,"Out",'FY26 cash'!$G$7:$G$511,"AUTHORISED",'FY26 cash'!$J$7:$J$511,"Goods-tagged"))</f>
        <v/>
      </c>
      <c r="D55">
        <f>IF(E55=0,"",_xlfn.MAXIFS('FY26 cash'!$C$7:$C$511,'FY26 cash'!$D$7:$D$511,A55,'FY26 cash'!$E$7:$E$511,"Out",'FY26 cash'!$G$7:$G$511,"AUTHORISED",'FY26 cash'!$J$7:$J$511,"Goods-tagged"))</f>
        <v/>
      </c>
      <c r="E55">
        <f>COUNTIFS('FY26 cash'!$D$7:$D$511,A55,'FY26 cash'!$E$7:$E$511,"Out",'FY26 cash'!$G$7:$G$511,"AUTHORISED",'FY26 cash'!$J$7:$J$511,"Goods-tagged")</f>
        <v/>
      </c>
      <c r="F55" t="inlineStr">
        <is>
          <t>Invoice payments and authorised bank spending; gross cash.</t>
        </is>
      </c>
    </row>
    <row r="56" ht="26" customHeight="1">
      <c r="A56" t="inlineStr">
        <is>
          <t>Virgin Australia</t>
        </is>
      </c>
      <c r="B56" s="161">
        <f>SUMIFS('FY26 cash'!$K$7:$K$511,'FY26 cash'!$D$7:$D$511,A56,'FY26 cash'!$E$7:$E$511,"Out")</f>
        <v/>
      </c>
      <c r="C56" s="161">
        <f>IF(E56=0,"",_xlfn.MINIFS('FY26 cash'!$C$7:$C$511,'FY26 cash'!$D$7:$D$511,A56,'FY26 cash'!$E$7:$E$511,"Out",'FY26 cash'!$G$7:$G$511,"AUTHORISED",'FY26 cash'!$J$7:$J$511,"Goods-tagged"))</f>
        <v/>
      </c>
      <c r="D56">
        <f>IF(E56=0,"",_xlfn.MAXIFS('FY26 cash'!$C$7:$C$511,'FY26 cash'!$D$7:$D$511,A56,'FY26 cash'!$E$7:$E$511,"Out",'FY26 cash'!$G$7:$G$511,"AUTHORISED",'FY26 cash'!$J$7:$J$511,"Goods-tagged"))</f>
        <v/>
      </c>
      <c r="E56">
        <f>COUNTIFS('FY26 cash'!$D$7:$D$511,A56,'FY26 cash'!$E$7:$E$511,"Out",'FY26 cash'!$G$7:$G$511,"AUTHORISED",'FY26 cash'!$J$7:$J$511,"Goods-tagged")</f>
        <v/>
      </c>
      <c r="F56" t="inlineStr">
        <is>
          <t>Invoice payments and authorised bank spending; gross cash.</t>
        </is>
      </c>
    </row>
    <row r="57" ht="26" customHeight="1">
      <c r="A57" t="inlineStr">
        <is>
          <t>ePrint</t>
        </is>
      </c>
      <c r="B57" s="161">
        <f>SUMIFS('FY26 cash'!$K$7:$K$511,'FY26 cash'!$D$7:$D$511,A57,'FY26 cash'!$E$7:$E$511,"Out")</f>
        <v/>
      </c>
      <c r="C57" s="161">
        <f>IF(E57=0,"",_xlfn.MINIFS('FY26 cash'!$C$7:$C$511,'FY26 cash'!$D$7:$D$511,A57,'FY26 cash'!$E$7:$E$511,"Out",'FY26 cash'!$G$7:$G$511,"AUTHORISED",'FY26 cash'!$J$7:$J$511,"Goods-tagged"))</f>
        <v/>
      </c>
      <c r="D57">
        <f>IF(E57=0,"",_xlfn.MAXIFS('FY26 cash'!$C$7:$C$511,'FY26 cash'!$D$7:$D$511,A57,'FY26 cash'!$E$7:$E$511,"Out",'FY26 cash'!$G$7:$G$511,"AUTHORISED",'FY26 cash'!$J$7:$J$511,"Goods-tagged"))</f>
        <v/>
      </c>
      <c r="E57">
        <f>COUNTIFS('FY26 cash'!$D$7:$D$511,A57,'FY26 cash'!$E$7:$E$511,"Out",'FY26 cash'!$G$7:$G$511,"AUTHORISED",'FY26 cash'!$J$7:$J$511,"Goods-tagged")</f>
        <v/>
      </c>
      <c r="F57" t="inlineStr">
        <is>
          <t>Invoice payments and authorised bank spending; gross cash.</t>
        </is>
      </c>
    </row>
    <row r="58" ht="26" customHeight="1">
      <c r="A58" t="inlineStr">
        <is>
          <t>Australia Post</t>
        </is>
      </c>
      <c r="B58" s="161">
        <f>SUMIFS('FY26 cash'!$K$7:$K$511,'FY26 cash'!$D$7:$D$511,A58,'FY26 cash'!$E$7:$E$511,"Out")</f>
        <v/>
      </c>
      <c r="C58" s="161">
        <f>IF(E58=0,"",_xlfn.MINIFS('FY26 cash'!$C$7:$C$511,'FY26 cash'!$D$7:$D$511,A58,'FY26 cash'!$E$7:$E$511,"Out",'FY26 cash'!$G$7:$G$511,"AUTHORISED",'FY26 cash'!$J$7:$J$511,"Goods-tagged"))</f>
        <v/>
      </c>
      <c r="D58">
        <f>IF(E58=0,"",_xlfn.MAXIFS('FY26 cash'!$C$7:$C$511,'FY26 cash'!$D$7:$D$511,A58,'FY26 cash'!$E$7:$E$511,"Out",'FY26 cash'!$G$7:$G$511,"AUTHORISED",'FY26 cash'!$J$7:$J$511,"Goods-tagged"))</f>
        <v/>
      </c>
      <c r="E58">
        <f>COUNTIFS('FY26 cash'!$D$7:$D$511,A58,'FY26 cash'!$E$7:$E$511,"Out",'FY26 cash'!$G$7:$G$511,"AUTHORISED",'FY26 cash'!$J$7:$J$511,"Goods-tagged")</f>
        <v/>
      </c>
      <c r="F58" t="inlineStr">
        <is>
          <t>Invoice payments and authorised bank spending; gross cash.</t>
        </is>
      </c>
    </row>
    <row r="59" ht="26" customHeight="1">
      <c r="A59" t="inlineStr">
        <is>
          <t>Reddy Express</t>
        </is>
      </c>
      <c r="B59" s="161">
        <f>SUMIFS('FY26 cash'!$K$7:$K$511,'FY26 cash'!$D$7:$D$511,A59,'FY26 cash'!$E$7:$E$511,"Out")</f>
        <v/>
      </c>
      <c r="C59" s="161">
        <f>IF(E59=0,"",_xlfn.MINIFS('FY26 cash'!$C$7:$C$511,'FY26 cash'!$D$7:$D$511,A59,'FY26 cash'!$E$7:$E$511,"Out",'FY26 cash'!$G$7:$G$511,"AUTHORISED",'FY26 cash'!$J$7:$J$511,"Goods-tagged"))</f>
        <v/>
      </c>
      <c r="D59">
        <f>IF(E59=0,"",_xlfn.MAXIFS('FY26 cash'!$C$7:$C$511,'FY26 cash'!$D$7:$D$511,A59,'FY26 cash'!$E$7:$E$511,"Out",'FY26 cash'!$G$7:$G$511,"AUTHORISED",'FY26 cash'!$J$7:$J$511,"Goods-tagged"))</f>
        <v/>
      </c>
      <c r="E59">
        <f>COUNTIFS('FY26 cash'!$D$7:$D$511,A59,'FY26 cash'!$E$7:$E$511,"Out",'FY26 cash'!$G$7:$G$511,"AUTHORISED",'FY26 cash'!$J$7:$J$511,"Goods-tagged")</f>
        <v/>
      </c>
      <c r="F59" t="inlineStr">
        <is>
          <t>Invoice payments and authorised bank spending; gross cash.</t>
        </is>
      </c>
    </row>
    <row r="60" ht="26" customHeight="1">
      <c r="A60" t="inlineStr">
        <is>
          <t>Club Eastside</t>
        </is>
      </c>
      <c r="B60" s="161">
        <f>SUMIFS('FY26 cash'!$K$7:$K$511,'FY26 cash'!$D$7:$D$511,A60,'FY26 cash'!$E$7:$E$511,"Out")</f>
        <v/>
      </c>
      <c r="C60" s="161">
        <f>IF(E60=0,"",_xlfn.MINIFS('FY26 cash'!$C$7:$C$511,'FY26 cash'!$D$7:$D$511,A60,'FY26 cash'!$E$7:$E$511,"Out",'FY26 cash'!$G$7:$G$511,"AUTHORISED",'FY26 cash'!$J$7:$J$511,"Goods-tagged"))</f>
        <v/>
      </c>
      <c r="D60">
        <f>IF(E60=0,"",_xlfn.MAXIFS('FY26 cash'!$C$7:$C$511,'FY26 cash'!$D$7:$D$511,A60,'FY26 cash'!$E$7:$E$511,"Out",'FY26 cash'!$G$7:$G$511,"AUTHORISED",'FY26 cash'!$J$7:$J$511,"Goods-tagged"))</f>
        <v/>
      </c>
      <c r="E60">
        <f>COUNTIFS('FY26 cash'!$D$7:$D$511,A60,'FY26 cash'!$E$7:$E$511,"Out",'FY26 cash'!$G$7:$G$511,"AUTHORISED",'FY26 cash'!$J$7:$J$511,"Goods-tagged")</f>
        <v/>
      </c>
      <c r="F60" t="inlineStr">
        <is>
          <t>Invoice payments and authorised bank spending; gross cash.</t>
        </is>
      </c>
    </row>
    <row r="61" ht="26" customHeight="1">
      <c r="A61" t="inlineStr">
        <is>
          <t>Woolworths</t>
        </is>
      </c>
      <c r="B61" s="161">
        <f>SUMIFS('FY26 cash'!$K$7:$K$511,'FY26 cash'!$D$7:$D$511,A61,'FY26 cash'!$E$7:$E$511,"Out")</f>
        <v/>
      </c>
      <c r="C61" s="161">
        <f>IF(E61=0,"",_xlfn.MINIFS('FY26 cash'!$C$7:$C$511,'FY26 cash'!$D$7:$D$511,A61,'FY26 cash'!$E$7:$E$511,"Out",'FY26 cash'!$G$7:$G$511,"AUTHORISED",'FY26 cash'!$J$7:$J$511,"Goods-tagged"))</f>
        <v/>
      </c>
      <c r="D61">
        <f>IF(E61=0,"",_xlfn.MAXIFS('FY26 cash'!$C$7:$C$511,'FY26 cash'!$D$7:$D$511,A61,'FY26 cash'!$E$7:$E$511,"Out",'FY26 cash'!$G$7:$G$511,"AUTHORISED",'FY26 cash'!$J$7:$J$511,"Goods-tagged"))</f>
        <v/>
      </c>
      <c r="E61">
        <f>COUNTIFS('FY26 cash'!$D$7:$D$511,A61,'FY26 cash'!$E$7:$E$511,"Out",'FY26 cash'!$G$7:$G$511,"AUTHORISED",'FY26 cash'!$J$7:$J$511,"Goods-tagged")</f>
        <v/>
      </c>
      <c r="F61" t="inlineStr">
        <is>
          <t>Invoice payments and authorised bank spending; gross cash.</t>
        </is>
      </c>
    </row>
    <row r="62" ht="26" customHeight="1">
      <c r="A62" t="inlineStr">
        <is>
          <t>TradeTools</t>
        </is>
      </c>
      <c r="B62" s="161">
        <f>SUMIFS('FY26 cash'!$K$7:$K$511,'FY26 cash'!$D$7:$D$511,A62,'FY26 cash'!$E$7:$E$511,"Out")</f>
        <v/>
      </c>
      <c r="C62" s="161">
        <f>IF(E62=0,"",_xlfn.MINIFS('FY26 cash'!$C$7:$C$511,'FY26 cash'!$D$7:$D$511,A62,'FY26 cash'!$E$7:$E$511,"Out",'FY26 cash'!$G$7:$G$511,"AUTHORISED",'FY26 cash'!$J$7:$J$511,"Goods-tagged"))</f>
        <v/>
      </c>
      <c r="D62">
        <f>IF(E62=0,"",_xlfn.MAXIFS('FY26 cash'!$C$7:$C$511,'FY26 cash'!$D$7:$D$511,A62,'FY26 cash'!$E$7:$E$511,"Out",'FY26 cash'!$G$7:$G$511,"AUTHORISED",'FY26 cash'!$J$7:$J$511,"Goods-tagged"))</f>
        <v/>
      </c>
      <c r="E62">
        <f>COUNTIFS('FY26 cash'!$D$7:$D$511,A62,'FY26 cash'!$E$7:$E$511,"Out",'FY26 cash'!$G$7:$G$511,"AUTHORISED",'FY26 cash'!$J$7:$J$511,"Goods-tagged")</f>
        <v/>
      </c>
      <c r="F62" t="inlineStr">
        <is>
          <t>Invoice payments and authorised bank spending; gross cash.</t>
        </is>
      </c>
    </row>
    <row r="63" ht="26" customHeight="1">
      <c r="A63" t="inlineStr">
        <is>
          <t>Clearview Towing Mirrors</t>
        </is>
      </c>
      <c r="B63" s="161">
        <f>SUMIFS('FY26 cash'!$K$7:$K$511,'FY26 cash'!$D$7:$D$511,A63,'FY26 cash'!$E$7:$E$511,"Out")</f>
        <v/>
      </c>
      <c r="C63" s="161">
        <f>IF(E63=0,"",_xlfn.MINIFS('FY26 cash'!$C$7:$C$511,'FY26 cash'!$D$7:$D$511,A63,'FY26 cash'!$E$7:$E$511,"Out",'FY26 cash'!$G$7:$G$511,"AUTHORISED",'FY26 cash'!$J$7:$J$511,"Goods-tagged"))</f>
        <v/>
      </c>
      <c r="D63">
        <f>IF(E63=0,"",_xlfn.MAXIFS('FY26 cash'!$C$7:$C$511,'FY26 cash'!$D$7:$D$511,A63,'FY26 cash'!$E$7:$E$511,"Out",'FY26 cash'!$G$7:$G$511,"AUTHORISED",'FY26 cash'!$J$7:$J$511,"Goods-tagged"))</f>
        <v/>
      </c>
      <c r="E63">
        <f>COUNTIFS('FY26 cash'!$D$7:$D$511,A63,'FY26 cash'!$E$7:$E$511,"Out",'FY26 cash'!$G$7:$G$511,"AUTHORISED",'FY26 cash'!$J$7:$J$511,"Goods-tagged")</f>
        <v/>
      </c>
      <c r="F63" t="inlineStr">
        <is>
          <t>Invoice payments and authorised bank spending; gross cash.</t>
        </is>
      </c>
    </row>
    <row r="64" ht="26" customHeight="1">
      <c r="A64" t="inlineStr">
        <is>
          <t>Lone Star Service</t>
        </is>
      </c>
      <c r="B64" s="161">
        <f>SUMIFS('FY26 cash'!$K$7:$K$511,'FY26 cash'!$D$7:$D$511,A64,'FY26 cash'!$E$7:$E$511,"Out")</f>
        <v/>
      </c>
      <c r="C64" s="161">
        <f>IF(E64=0,"",_xlfn.MINIFS('FY26 cash'!$C$7:$C$511,'FY26 cash'!$D$7:$D$511,A64,'FY26 cash'!$E$7:$E$511,"Out",'FY26 cash'!$G$7:$G$511,"AUTHORISED",'FY26 cash'!$J$7:$J$511,"Goods-tagged"))</f>
        <v/>
      </c>
      <c r="D64">
        <f>IF(E64=0,"",_xlfn.MAXIFS('FY26 cash'!$C$7:$C$511,'FY26 cash'!$D$7:$D$511,A64,'FY26 cash'!$E$7:$E$511,"Out",'FY26 cash'!$G$7:$G$511,"AUTHORISED",'FY26 cash'!$J$7:$J$511,"Goods-tagged"))</f>
        <v/>
      </c>
      <c r="E64">
        <f>COUNTIFS('FY26 cash'!$D$7:$D$511,A64,'FY26 cash'!$E$7:$E$511,"Out",'FY26 cash'!$G$7:$G$511,"AUTHORISED",'FY26 cash'!$J$7:$J$511,"Goods-tagged")</f>
        <v/>
      </c>
      <c r="F64" t="inlineStr">
        <is>
          <t>Invoice payments and authorised bank spending; gross cash.</t>
        </is>
      </c>
    </row>
    <row r="65" ht="26" customHeight="1">
      <c r="A65" t="inlineStr">
        <is>
          <t>United</t>
        </is>
      </c>
      <c r="B65" s="161">
        <f>SUMIFS('FY26 cash'!$K$7:$K$511,'FY26 cash'!$D$7:$D$511,A65,'FY26 cash'!$E$7:$E$511,"Out")</f>
        <v/>
      </c>
      <c r="C65" s="161">
        <f>IF(E65=0,"",_xlfn.MINIFS('FY26 cash'!$C$7:$C$511,'FY26 cash'!$D$7:$D$511,A65,'FY26 cash'!$E$7:$E$511,"Out",'FY26 cash'!$G$7:$G$511,"AUTHORISED",'FY26 cash'!$J$7:$J$511,"Goods-tagged"))</f>
        <v/>
      </c>
      <c r="D65">
        <f>IF(E65=0,"",_xlfn.MAXIFS('FY26 cash'!$C$7:$C$511,'FY26 cash'!$D$7:$D$511,A65,'FY26 cash'!$E$7:$E$511,"Out",'FY26 cash'!$G$7:$G$511,"AUTHORISED",'FY26 cash'!$J$7:$J$511,"Goods-tagged"))</f>
        <v/>
      </c>
      <c r="E65">
        <f>COUNTIFS('FY26 cash'!$D$7:$D$511,A65,'FY26 cash'!$E$7:$E$511,"Out",'FY26 cash'!$G$7:$G$511,"AUTHORISED",'FY26 cash'!$J$7:$J$511,"Goods-tagged")</f>
        <v/>
      </c>
      <c r="F65" t="inlineStr">
        <is>
          <t>Invoice payments and authorised bank spending; gross cash.</t>
        </is>
      </c>
    </row>
    <row r="66" ht="26" customHeight="1">
      <c r="A66" t="inlineStr">
        <is>
          <t>Tennant Creek Caravan Park</t>
        </is>
      </c>
      <c r="B66" s="161">
        <f>SUMIFS('FY26 cash'!$K$7:$K$511,'FY26 cash'!$D$7:$D$511,A66,'FY26 cash'!$E$7:$E$511,"Out")</f>
        <v/>
      </c>
      <c r="C66" s="161">
        <f>IF(E66=0,"",_xlfn.MINIFS('FY26 cash'!$C$7:$C$511,'FY26 cash'!$D$7:$D$511,A66,'FY26 cash'!$E$7:$E$511,"Out",'FY26 cash'!$G$7:$G$511,"AUTHORISED",'FY26 cash'!$J$7:$J$511,"Goods-tagged"))</f>
        <v/>
      </c>
      <c r="D66">
        <f>IF(E66=0,"",_xlfn.MAXIFS('FY26 cash'!$C$7:$C$511,'FY26 cash'!$D$7:$D$511,A66,'FY26 cash'!$E$7:$E$511,"Out",'FY26 cash'!$G$7:$G$511,"AUTHORISED",'FY26 cash'!$J$7:$J$511,"Goods-tagged"))</f>
        <v/>
      </c>
      <c r="E66">
        <f>COUNTIFS('FY26 cash'!$D$7:$D$511,A66,'FY26 cash'!$E$7:$E$511,"Out",'FY26 cash'!$G$7:$G$511,"AUTHORISED",'FY26 cash'!$J$7:$J$511,"Goods-tagged")</f>
        <v/>
      </c>
      <c r="F66" t="inlineStr">
        <is>
          <t>Invoice payments and authorised bank spending; gross cash.</t>
        </is>
      </c>
    </row>
    <row r="67" ht="26" customHeight="1">
      <c r="A67" t="inlineStr">
        <is>
          <t>Takayna Trail 2026</t>
        </is>
      </c>
      <c r="B67" s="161">
        <f>SUMIFS('FY26 cash'!$K$7:$K$511,'FY26 cash'!$D$7:$D$511,A67,'FY26 cash'!$E$7:$E$511,"Out")</f>
        <v/>
      </c>
      <c r="C67" s="161">
        <f>IF(E67=0,"",_xlfn.MINIFS('FY26 cash'!$C$7:$C$511,'FY26 cash'!$D$7:$D$511,A67,'FY26 cash'!$E$7:$E$511,"Out",'FY26 cash'!$G$7:$G$511,"AUTHORISED",'FY26 cash'!$J$7:$J$511,"Goods-tagged"))</f>
        <v/>
      </c>
      <c r="D67">
        <f>IF(E67=0,"",_xlfn.MAXIFS('FY26 cash'!$C$7:$C$511,'FY26 cash'!$D$7:$D$511,A67,'FY26 cash'!$E$7:$E$511,"Out",'FY26 cash'!$G$7:$G$511,"AUTHORISED",'FY26 cash'!$J$7:$J$511,"Goods-tagged"))</f>
        <v/>
      </c>
      <c r="E67">
        <f>COUNTIFS('FY26 cash'!$D$7:$D$511,A67,'FY26 cash'!$E$7:$E$511,"Out",'FY26 cash'!$G$7:$G$511,"AUTHORISED",'FY26 cash'!$J$7:$J$511,"Goods-tagged")</f>
        <v/>
      </c>
      <c r="F67" t="inlineStr">
        <is>
          <t>Invoice payments and authorised bank spending; gross cash.</t>
        </is>
      </c>
    </row>
    <row r="68" ht="26" customHeight="1">
      <c r="A68" t="inlineStr">
        <is>
          <t>Ti Tree Roadhouse</t>
        </is>
      </c>
      <c r="B68" s="161">
        <f>SUMIFS('FY26 cash'!$K$7:$K$511,'FY26 cash'!$D$7:$D$511,A68,'FY26 cash'!$E$7:$E$511,"Out")</f>
        <v/>
      </c>
      <c r="C68" s="161">
        <f>IF(E68=0,"",_xlfn.MINIFS('FY26 cash'!$C$7:$C$511,'FY26 cash'!$D$7:$D$511,A68,'FY26 cash'!$E$7:$E$511,"Out",'FY26 cash'!$G$7:$G$511,"AUTHORISED",'FY26 cash'!$J$7:$J$511,"Goods-tagged"))</f>
        <v/>
      </c>
      <c r="D68">
        <f>IF(E68=0,"",_xlfn.MAXIFS('FY26 cash'!$C$7:$C$511,'FY26 cash'!$D$7:$D$511,A68,'FY26 cash'!$E$7:$E$511,"Out",'FY26 cash'!$G$7:$G$511,"AUTHORISED",'FY26 cash'!$J$7:$J$511,"Goods-tagged"))</f>
        <v/>
      </c>
      <c r="E68">
        <f>COUNTIFS('FY26 cash'!$D$7:$D$511,A68,'FY26 cash'!$E$7:$E$511,"Out",'FY26 cash'!$G$7:$G$511,"AUTHORISED",'FY26 cash'!$J$7:$J$511,"Goods-tagged")</f>
        <v/>
      </c>
      <c r="F68" t="inlineStr">
        <is>
          <t>Invoice payments and authorised bank spending; gross cash.</t>
        </is>
      </c>
    </row>
    <row r="69" ht="26" customHeight="1">
      <c r="A69" t="inlineStr">
        <is>
          <t>Icon On Isa</t>
        </is>
      </c>
      <c r="B69" s="161">
        <f>SUMIFS('FY26 cash'!$K$7:$K$511,'FY26 cash'!$D$7:$D$511,A69,'FY26 cash'!$E$7:$E$511,"Out")</f>
        <v/>
      </c>
      <c r="C69" s="161">
        <f>IF(E69=0,"",_xlfn.MINIFS('FY26 cash'!$C$7:$C$511,'FY26 cash'!$D$7:$D$511,A69,'FY26 cash'!$E$7:$E$511,"Out",'FY26 cash'!$G$7:$G$511,"AUTHORISED",'FY26 cash'!$J$7:$J$511,"Goods-tagged"))</f>
        <v/>
      </c>
      <c r="D69">
        <f>IF(E69=0,"",_xlfn.MAXIFS('FY26 cash'!$C$7:$C$511,'FY26 cash'!$D$7:$D$511,A69,'FY26 cash'!$E$7:$E$511,"Out",'FY26 cash'!$G$7:$G$511,"AUTHORISED",'FY26 cash'!$J$7:$J$511,"Goods-tagged"))</f>
        <v/>
      </c>
      <c r="E69">
        <f>COUNTIFS('FY26 cash'!$D$7:$D$511,A69,'FY26 cash'!$E$7:$E$511,"Out",'FY26 cash'!$G$7:$G$511,"AUTHORISED",'FY26 cash'!$J$7:$J$511,"Goods-tagged")</f>
        <v/>
      </c>
      <c r="F69" t="inlineStr">
        <is>
          <t>Invoice payments and authorised bank spending; gross cash.</t>
        </is>
      </c>
    </row>
    <row r="70" ht="26" customHeight="1">
      <c r="A70" t="inlineStr">
        <is>
          <t>Maleny Hotel</t>
        </is>
      </c>
      <c r="B70" s="161">
        <f>SUMIFS('FY26 cash'!$K$7:$K$511,'FY26 cash'!$D$7:$D$511,A70,'FY26 cash'!$E$7:$E$511,"Out")</f>
        <v/>
      </c>
      <c r="C70" s="161">
        <f>IF(E70=0,"",_xlfn.MINIFS('FY26 cash'!$C$7:$C$511,'FY26 cash'!$D$7:$D$511,A70,'FY26 cash'!$E$7:$E$511,"Out",'FY26 cash'!$G$7:$G$511,"AUTHORISED",'FY26 cash'!$J$7:$J$511,"Goods-tagged"))</f>
        <v/>
      </c>
      <c r="D70">
        <f>IF(E70=0,"",_xlfn.MAXIFS('FY26 cash'!$C$7:$C$511,'FY26 cash'!$D$7:$D$511,A70,'FY26 cash'!$E$7:$E$511,"Out",'FY26 cash'!$G$7:$G$511,"AUTHORISED",'FY26 cash'!$J$7:$J$511,"Goods-tagged"))</f>
        <v/>
      </c>
      <c r="E70">
        <f>COUNTIFS('FY26 cash'!$D$7:$D$511,A70,'FY26 cash'!$E$7:$E$511,"Out",'FY26 cash'!$G$7:$G$511,"AUTHORISED",'FY26 cash'!$J$7:$J$511,"Goods-tagged")</f>
        <v/>
      </c>
      <c r="F70" t="inlineStr">
        <is>
          <t>Invoice payments and authorised bank spending; gross cash.</t>
        </is>
      </c>
    </row>
    <row r="71" ht="26" customHeight="1">
      <c r="A71" t="inlineStr">
        <is>
          <t>Palm Island Motel</t>
        </is>
      </c>
      <c r="B71" s="161">
        <f>SUMIFS('FY26 cash'!$K$7:$K$511,'FY26 cash'!$D$7:$D$511,A71,'FY26 cash'!$E$7:$E$511,"Out")</f>
        <v/>
      </c>
      <c r="C71" s="161">
        <f>IF(E71=0,"",_xlfn.MINIFS('FY26 cash'!$C$7:$C$511,'FY26 cash'!$D$7:$D$511,A71,'FY26 cash'!$E$7:$E$511,"Out",'FY26 cash'!$G$7:$G$511,"AUTHORISED",'FY26 cash'!$J$7:$J$511,"Goods-tagged"))</f>
        <v/>
      </c>
      <c r="D71">
        <f>IF(E71=0,"",_xlfn.MAXIFS('FY26 cash'!$C$7:$C$511,'FY26 cash'!$D$7:$D$511,A71,'FY26 cash'!$E$7:$E$511,"Out",'FY26 cash'!$G$7:$G$511,"AUTHORISED",'FY26 cash'!$J$7:$J$511,"Goods-tagged"))</f>
        <v/>
      </c>
      <c r="E71">
        <f>COUNTIFS('FY26 cash'!$D$7:$D$511,A71,'FY26 cash'!$E$7:$E$511,"Out",'FY26 cash'!$G$7:$G$511,"AUTHORISED",'FY26 cash'!$J$7:$J$511,"Goods-tagged")</f>
        <v/>
      </c>
      <c r="F71" t="inlineStr">
        <is>
          <t>Invoice payments and authorised bank spending; gross cash.</t>
        </is>
      </c>
    </row>
    <row r="72" ht="26" customHeight="1">
      <c r="A72" t="inlineStr">
        <is>
          <t>Lasseters Centre Of Entertainment</t>
        </is>
      </c>
      <c r="B72" s="161">
        <f>SUMIFS('FY26 cash'!$K$7:$K$511,'FY26 cash'!$D$7:$D$511,A72,'FY26 cash'!$E$7:$E$511,"Out")</f>
        <v/>
      </c>
      <c r="C72" s="161">
        <f>IF(E72=0,"",_xlfn.MINIFS('FY26 cash'!$C$7:$C$511,'FY26 cash'!$D$7:$D$511,A72,'FY26 cash'!$E$7:$E$511,"Out",'FY26 cash'!$G$7:$G$511,"AUTHORISED",'FY26 cash'!$J$7:$J$511,"Goods-tagged"))</f>
        <v/>
      </c>
      <c r="D72">
        <f>IF(E72=0,"",_xlfn.MAXIFS('FY26 cash'!$C$7:$C$511,'FY26 cash'!$D$7:$D$511,A72,'FY26 cash'!$E$7:$E$511,"Out",'FY26 cash'!$G$7:$G$511,"AUTHORISED",'FY26 cash'!$J$7:$J$511,"Goods-tagged"))</f>
        <v/>
      </c>
      <c r="E72">
        <f>COUNTIFS('FY26 cash'!$D$7:$D$511,A72,'FY26 cash'!$E$7:$E$511,"Out",'FY26 cash'!$G$7:$G$511,"AUTHORISED",'FY26 cash'!$J$7:$J$511,"Goods-tagged")</f>
        <v/>
      </c>
      <c r="F72" t="inlineStr">
        <is>
          <t>Invoice payments and authorised bank spending; gross cash.</t>
        </is>
      </c>
    </row>
    <row r="73" ht="26" customHeight="1">
      <c r="A73" t="inlineStr">
        <is>
          <t>Foodbank Of South Au</t>
        </is>
      </c>
      <c r="B73" s="161">
        <f>SUMIFS('FY26 cash'!$K$7:$K$511,'FY26 cash'!$D$7:$D$511,A73,'FY26 cash'!$E$7:$E$511,"Out")</f>
        <v/>
      </c>
      <c r="C73" s="161">
        <f>IF(E73=0,"",_xlfn.MINIFS('FY26 cash'!$C$7:$C$511,'FY26 cash'!$D$7:$D$511,A73,'FY26 cash'!$E$7:$E$511,"Out",'FY26 cash'!$G$7:$G$511,"AUTHORISED",'FY26 cash'!$J$7:$J$511,"Goods-tagged"))</f>
        <v/>
      </c>
      <c r="D73">
        <f>IF(E73=0,"",_xlfn.MAXIFS('FY26 cash'!$C$7:$C$511,'FY26 cash'!$D$7:$D$511,A73,'FY26 cash'!$E$7:$E$511,"Out",'FY26 cash'!$G$7:$G$511,"AUTHORISED",'FY26 cash'!$J$7:$J$511,"Goods-tagged"))</f>
        <v/>
      </c>
      <c r="E73">
        <f>COUNTIFS('FY26 cash'!$D$7:$D$511,A73,'FY26 cash'!$E$7:$E$511,"Out",'FY26 cash'!$G$7:$G$511,"AUTHORISED",'FY26 cash'!$J$7:$J$511,"Goods-tagged")</f>
        <v/>
      </c>
      <c r="F73" t="inlineStr">
        <is>
          <t>Invoice payments and authorised bank spending; gross cash.</t>
        </is>
      </c>
    </row>
    <row r="74" ht="26" customHeight="1">
      <c r="A74" t="inlineStr">
        <is>
          <t>Caltex Glasshouse</t>
        </is>
      </c>
      <c r="B74" s="161">
        <f>SUMIFS('FY26 cash'!$K$7:$K$511,'FY26 cash'!$D$7:$D$511,A74,'FY26 cash'!$E$7:$E$511,"Out")</f>
        <v/>
      </c>
      <c r="C74" s="161">
        <f>IF(E74=0,"",_xlfn.MINIFS('FY26 cash'!$C$7:$C$511,'FY26 cash'!$D$7:$D$511,A74,'FY26 cash'!$E$7:$E$511,"Out",'FY26 cash'!$G$7:$G$511,"AUTHORISED",'FY26 cash'!$J$7:$J$511,"Goods-tagged"))</f>
        <v/>
      </c>
      <c r="D74">
        <f>IF(E74=0,"",_xlfn.MAXIFS('FY26 cash'!$C$7:$C$511,'FY26 cash'!$D$7:$D$511,A74,'FY26 cash'!$E$7:$E$511,"Out",'FY26 cash'!$G$7:$G$511,"AUTHORISED",'FY26 cash'!$J$7:$J$511,"Goods-tagged"))</f>
        <v/>
      </c>
      <c r="E74">
        <f>COUNTIFS('FY26 cash'!$D$7:$D$511,A74,'FY26 cash'!$E$7:$E$511,"Out",'FY26 cash'!$G$7:$G$511,"AUTHORISED",'FY26 cash'!$J$7:$J$511,"Goods-tagged")</f>
        <v/>
      </c>
      <c r="F74" t="inlineStr">
        <is>
          <t>Invoice payments and authorised bank spending; gross cash.</t>
        </is>
      </c>
    </row>
    <row r="75" ht="26" customHeight="1">
      <c r="A75" t="inlineStr">
        <is>
          <t>Orange Sky Australia</t>
        </is>
      </c>
      <c r="B75" s="161">
        <f>SUMIFS('FY26 cash'!$K$7:$K$511,'FY26 cash'!$D$7:$D$511,A75,'FY26 cash'!$E$7:$E$511,"Out")</f>
        <v/>
      </c>
      <c r="C75" s="161">
        <f>IF(E75=0,"",_xlfn.MINIFS('FY26 cash'!$C$7:$C$511,'FY26 cash'!$D$7:$D$511,A75,'FY26 cash'!$E$7:$E$511,"Out",'FY26 cash'!$G$7:$G$511,"AUTHORISED",'FY26 cash'!$J$7:$J$511,"Goods-tagged"))</f>
        <v/>
      </c>
      <c r="D75">
        <f>IF(E75=0,"",_xlfn.MAXIFS('FY26 cash'!$C$7:$C$511,'FY26 cash'!$D$7:$D$511,A75,'FY26 cash'!$E$7:$E$511,"Out",'FY26 cash'!$G$7:$G$511,"AUTHORISED",'FY26 cash'!$J$7:$J$511,"Goods-tagged"))</f>
        <v/>
      </c>
      <c r="E75">
        <f>COUNTIFS('FY26 cash'!$D$7:$D$511,A75,'FY26 cash'!$E$7:$E$511,"Out",'FY26 cash'!$G$7:$G$511,"AUTHORISED",'FY26 cash'!$J$7:$J$511,"Goods-tagged")</f>
        <v/>
      </c>
      <c r="F75" t="inlineStr">
        <is>
          <t>Invoice payments and authorised bank spending; gross cash.</t>
        </is>
      </c>
    </row>
    <row r="76" ht="26" customHeight="1">
      <c r="A76" t="inlineStr">
        <is>
          <t>Metal Manufactures</t>
        </is>
      </c>
      <c r="B76" s="161">
        <f>SUMIFS('FY26 cash'!$K$7:$K$511,'FY26 cash'!$D$7:$D$511,A76,'FY26 cash'!$E$7:$E$511,"Out")</f>
        <v/>
      </c>
      <c r="C76" s="161">
        <f>IF(E76=0,"",_xlfn.MINIFS('FY26 cash'!$C$7:$C$511,'FY26 cash'!$D$7:$D$511,A76,'FY26 cash'!$E$7:$E$511,"Out",'FY26 cash'!$G$7:$G$511,"AUTHORISED",'FY26 cash'!$J$7:$J$511,"Goods-tagged"))</f>
        <v/>
      </c>
      <c r="D76">
        <f>IF(E76=0,"",_xlfn.MAXIFS('FY26 cash'!$C$7:$C$511,'FY26 cash'!$D$7:$D$511,A76,'FY26 cash'!$E$7:$E$511,"Out",'FY26 cash'!$G$7:$G$511,"AUTHORISED",'FY26 cash'!$J$7:$J$511,"Goods-tagged"))</f>
        <v/>
      </c>
      <c r="E76">
        <f>COUNTIFS('FY26 cash'!$D$7:$D$511,A76,'FY26 cash'!$E$7:$E$511,"Out",'FY26 cash'!$G$7:$G$511,"AUTHORISED",'FY26 cash'!$J$7:$J$511,"Goods-tagged")</f>
        <v/>
      </c>
      <c r="F76" t="inlineStr">
        <is>
          <t>Invoice payments and authorised bank spending; gross cash.</t>
        </is>
      </c>
    </row>
    <row r="77" ht="26" customHeight="1">
      <c r="A77" t="inlineStr">
        <is>
          <t>EG Fuelco (Australia)</t>
        </is>
      </c>
      <c r="B77" s="161">
        <f>SUMIFS('FY26 cash'!$K$7:$K$511,'FY26 cash'!$D$7:$D$511,A77,'FY26 cash'!$E$7:$E$511,"Out")</f>
        <v/>
      </c>
      <c r="C77" s="161">
        <f>IF(E77=0,"",_xlfn.MINIFS('FY26 cash'!$C$7:$C$511,'FY26 cash'!$D$7:$D$511,A77,'FY26 cash'!$E$7:$E$511,"Out",'FY26 cash'!$G$7:$G$511,"AUTHORISED",'FY26 cash'!$J$7:$J$511,"Goods-tagged"))</f>
        <v/>
      </c>
      <c r="D77">
        <f>IF(E77=0,"",_xlfn.MAXIFS('FY26 cash'!$C$7:$C$511,'FY26 cash'!$D$7:$D$511,A77,'FY26 cash'!$E$7:$E$511,"Out",'FY26 cash'!$G$7:$G$511,"AUTHORISED",'FY26 cash'!$J$7:$J$511,"Goods-tagged"))</f>
        <v/>
      </c>
      <c r="E77">
        <f>COUNTIFS('FY26 cash'!$D$7:$D$511,A77,'FY26 cash'!$E$7:$E$511,"Out",'FY26 cash'!$G$7:$G$511,"AUTHORISED",'FY26 cash'!$J$7:$J$511,"Goods-tagged")</f>
        <v/>
      </c>
      <c r="F77" t="inlineStr">
        <is>
          <t>Invoice payments and authorised bank spending; gross cash.</t>
        </is>
      </c>
    </row>
    <row r="78" ht="26" customHeight="1">
      <c r="A78" t="inlineStr">
        <is>
          <t>Bearpep Pty Ltd</t>
        </is>
      </c>
      <c r="B78" s="161">
        <f>SUMIFS('FY26 cash'!$K$7:$K$511,'FY26 cash'!$D$7:$D$511,A78,'FY26 cash'!$E$7:$E$511,"Out")</f>
        <v/>
      </c>
      <c r="C78" s="161">
        <f>IF(E78=0,"",_xlfn.MINIFS('FY26 cash'!$C$7:$C$511,'FY26 cash'!$D$7:$D$511,A78,'FY26 cash'!$E$7:$E$511,"Out",'FY26 cash'!$G$7:$G$511,"AUTHORISED",'FY26 cash'!$J$7:$J$511,"Goods-tagged"))</f>
        <v/>
      </c>
      <c r="D78">
        <f>IF(E78=0,"",_xlfn.MAXIFS('FY26 cash'!$C$7:$C$511,'FY26 cash'!$D$7:$D$511,A78,'FY26 cash'!$E$7:$E$511,"Out",'FY26 cash'!$G$7:$G$511,"AUTHORISED",'FY26 cash'!$J$7:$J$511,"Goods-tagged"))</f>
        <v/>
      </c>
      <c r="E78">
        <f>COUNTIFS('FY26 cash'!$D$7:$D$511,A78,'FY26 cash'!$E$7:$E$511,"Out",'FY26 cash'!$G$7:$G$511,"AUTHORISED",'FY26 cash'!$J$7:$J$511,"Goods-tagged")</f>
        <v/>
      </c>
      <c r="F78" t="inlineStr">
        <is>
          <t>Invoice payments and authorised bank spending; gross cash.</t>
        </is>
      </c>
    </row>
    <row r="79" ht="26" customHeight="1">
      <c r="A79" t="inlineStr">
        <is>
          <t>Repco</t>
        </is>
      </c>
      <c r="B79" s="161">
        <f>SUMIFS('FY26 cash'!$K$7:$K$511,'FY26 cash'!$D$7:$D$511,A79,'FY26 cash'!$E$7:$E$511,"Out")</f>
        <v/>
      </c>
      <c r="C79" s="161">
        <f>IF(E79=0,"",_xlfn.MINIFS('FY26 cash'!$C$7:$C$511,'FY26 cash'!$D$7:$D$511,A79,'FY26 cash'!$E$7:$E$511,"Out",'FY26 cash'!$G$7:$G$511,"AUTHORISED",'FY26 cash'!$J$7:$J$511,"Goods-tagged"))</f>
        <v/>
      </c>
      <c r="D79">
        <f>IF(E79=0,"",_xlfn.MAXIFS('FY26 cash'!$C$7:$C$511,'FY26 cash'!$D$7:$D$511,A79,'FY26 cash'!$E$7:$E$511,"Out",'FY26 cash'!$G$7:$G$511,"AUTHORISED",'FY26 cash'!$J$7:$J$511,"Goods-tagged"))</f>
        <v/>
      </c>
      <c r="E79">
        <f>COUNTIFS('FY26 cash'!$D$7:$D$511,A79,'FY26 cash'!$E$7:$E$511,"Out",'FY26 cash'!$G$7:$G$511,"AUTHORISED",'FY26 cash'!$J$7:$J$511,"Goods-tagged")</f>
        <v/>
      </c>
      <c r="F79" t="inlineStr">
        <is>
          <t>Invoice payments and authorised bank spending; gross cash.</t>
        </is>
      </c>
    </row>
    <row r="80" ht="26" customHeight="1">
      <c r="A80" t="inlineStr">
        <is>
          <t>Maleny Hardware And Rural Supplies</t>
        </is>
      </c>
      <c r="B80" s="161">
        <f>SUMIFS('FY26 cash'!$K$7:$K$511,'FY26 cash'!$D$7:$D$511,A80,'FY26 cash'!$E$7:$E$511,"Out")</f>
        <v/>
      </c>
      <c r="C80" s="161">
        <f>IF(E80=0,"",_xlfn.MINIFS('FY26 cash'!$C$7:$C$511,'FY26 cash'!$D$7:$D$511,A80,'FY26 cash'!$E$7:$E$511,"Out",'FY26 cash'!$G$7:$G$511,"AUTHORISED",'FY26 cash'!$J$7:$J$511,"Goods-tagged"))</f>
        <v/>
      </c>
      <c r="D80">
        <f>IF(E80=0,"",_xlfn.MAXIFS('FY26 cash'!$C$7:$C$511,'FY26 cash'!$D$7:$D$511,A80,'FY26 cash'!$E$7:$E$511,"Out",'FY26 cash'!$G$7:$G$511,"AUTHORISED",'FY26 cash'!$J$7:$J$511,"Goods-tagged"))</f>
        <v/>
      </c>
      <c r="E80">
        <f>COUNTIFS('FY26 cash'!$D$7:$D$511,A80,'FY26 cash'!$E$7:$E$511,"Out",'FY26 cash'!$G$7:$G$511,"AUTHORISED",'FY26 cash'!$J$7:$J$511,"Goods-tagged")</f>
        <v/>
      </c>
      <c r="F80" t="inlineStr">
        <is>
          <t>Invoice payments and authorised bank spending; gross cash.</t>
        </is>
      </c>
    </row>
    <row r="81" ht="26" customHeight="1">
      <c r="A81" t="inlineStr">
        <is>
          <t>Arthefact</t>
        </is>
      </c>
      <c r="B81" s="161">
        <f>SUMIFS('FY26 cash'!$K$7:$K$511,'FY26 cash'!$D$7:$D$511,A81,'FY26 cash'!$E$7:$E$511,"Out")</f>
        <v/>
      </c>
      <c r="C81" s="161">
        <f>IF(E81=0,"",_xlfn.MINIFS('FY26 cash'!$C$7:$C$511,'FY26 cash'!$D$7:$D$511,A81,'FY26 cash'!$E$7:$E$511,"Out",'FY26 cash'!$G$7:$G$511,"AUTHORISED",'FY26 cash'!$J$7:$J$511,"Goods-tagged"))</f>
        <v/>
      </c>
      <c r="D81">
        <f>IF(E81=0,"",_xlfn.MAXIFS('FY26 cash'!$C$7:$C$511,'FY26 cash'!$D$7:$D$511,A81,'FY26 cash'!$E$7:$E$511,"Out",'FY26 cash'!$G$7:$G$511,"AUTHORISED",'FY26 cash'!$J$7:$J$511,"Goods-tagged"))</f>
        <v/>
      </c>
      <c r="E81">
        <f>COUNTIFS('FY26 cash'!$D$7:$D$511,A81,'FY26 cash'!$E$7:$E$511,"Out",'FY26 cash'!$G$7:$G$511,"AUTHORISED",'FY26 cash'!$J$7:$J$511,"Goods-tagged")</f>
        <v/>
      </c>
      <c r="F81" t="inlineStr">
        <is>
          <t>Invoice payments and authorised bank spending; gross cash.</t>
        </is>
      </c>
    </row>
    <row r="82" ht="26" customHeight="1">
      <c r="A82" t="inlineStr">
        <is>
          <t>Barkly Hardware Rural Supplies</t>
        </is>
      </c>
      <c r="B82" s="161">
        <f>SUMIFS('FY26 cash'!$K$7:$K$511,'FY26 cash'!$D$7:$D$511,A82,'FY26 cash'!$E$7:$E$511,"Out")</f>
        <v/>
      </c>
      <c r="C82" s="161">
        <f>IF(E82=0,"",_xlfn.MINIFS('FY26 cash'!$C$7:$C$511,'FY26 cash'!$D$7:$D$511,A82,'FY26 cash'!$E$7:$E$511,"Out",'FY26 cash'!$G$7:$G$511,"AUTHORISED",'FY26 cash'!$J$7:$J$511,"Goods-tagged"))</f>
        <v/>
      </c>
      <c r="D82">
        <f>IF(E82=0,"",_xlfn.MAXIFS('FY26 cash'!$C$7:$C$511,'FY26 cash'!$D$7:$D$511,A82,'FY26 cash'!$E$7:$E$511,"Out",'FY26 cash'!$G$7:$G$511,"AUTHORISED",'FY26 cash'!$J$7:$J$511,"Goods-tagged"))</f>
        <v/>
      </c>
      <c r="E82">
        <f>COUNTIFS('FY26 cash'!$D$7:$D$511,A82,'FY26 cash'!$E$7:$E$511,"Out",'FY26 cash'!$G$7:$G$511,"AUTHORISED",'FY26 cash'!$J$7:$J$511,"Goods-tagged")</f>
        <v/>
      </c>
      <c r="F82" t="inlineStr">
        <is>
          <t>Invoice payments and authorised bank spending; gross cash.</t>
        </is>
      </c>
    </row>
    <row r="83" ht="26" customHeight="1">
      <c r="A83" t="inlineStr">
        <is>
          <t>Palm Island Service Station</t>
        </is>
      </c>
      <c r="B83" s="161">
        <f>SUMIFS('FY26 cash'!$K$7:$K$511,'FY26 cash'!$D$7:$D$511,A83,'FY26 cash'!$E$7:$E$511,"Out")</f>
        <v/>
      </c>
      <c r="C83" s="161">
        <f>IF(E83=0,"",_xlfn.MINIFS('FY26 cash'!$C$7:$C$511,'FY26 cash'!$D$7:$D$511,A83,'FY26 cash'!$E$7:$E$511,"Out",'FY26 cash'!$G$7:$G$511,"AUTHORISED",'FY26 cash'!$J$7:$J$511,"Goods-tagged"))</f>
        <v/>
      </c>
      <c r="D83">
        <f>IF(E83=0,"",_xlfn.MAXIFS('FY26 cash'!$C$7:$C$511,'FY26 cash'!$D$7:$D$511,A83,'FY26 cash'!$E$7:$E$511,"Out",'FY26 cash'!$G$7:$G$511,"AUTHORISED",'FY26 cash'!$J$7:$J$511,"Goods-tagged"))</f>
        <v/>
      </c>
      <c r="E83">
        <f>COUNTIFS('FY26 cash'!$D$7:$D$511,A83,'FY26 cash'!$E$7:$E$511,"Out",'FY26 cash'!$G$7:$G$511,"AUTHORISED",'FY26 cash'!$J$7:$J$511,"Goods-tagged")</f>
        <v/>
      </c>
      <c r="F83" t="inlineStr">
        <is>
          <t>Invoice payments and authorised bank spending; gross cash.</t>
        </is>
      </c>
    </row>
    <row r="84" ht="26" customHeight="1">
      <c r="A84" t="inlineStr">
        <is>
          <t>Easel Software</t>
        </is>
      </c>
      <c r="B84" s="161">
        <f>SUMIFS('FY26 cash'!$K$7:$K$511,'FY26 cash'!$D$7:$D$511,A84,'FY26 cash'!$E$7:$E$511,"Out")</f>
        <v/>
      </c>
      <c r="C84" s="161">
        <f>IF(E84=0,"",_xlfn.MINIFS('FY26 cash'!$C$7:$C$511,'FY26 cash'!$D$7:$D$511,A84,'FY26 cash'!$E$7:$E$511,"Out",'FY26 cash'!$G$7:$G$511,"AUTHORISED",'FY26 cash'!$J$7:$J$511,"Goods-tagged"))</f>
        <v/>
      </c>
      <c r="D84">
        <f>IF(E84=0,"",_xlfn.MAXIFS('FY26 cash'!$C$7:$C$511,'FY26 cash'!$D$7:$D$511,A84,'FY26 cash'!$E$7:$E$511,"Out",'FY26 cash'!$G$7:$G$511,"AUTHORISED",'FY26 cash'!$J$7:$J$511,"Goods-tagged"))</f>
        <v/>
      </c>
      <c r="E84">
        <f>COUNTIFS('FY26 cash'!$D$7:$D$511,A84,'FY26 cash'!$E$7:$E$511,"Out",'FY26 cash'!$G$7:$G$511,"AUTHORISED",'FY26 cash'!$J$7:$J$511,"Goods-tagged")</f>
        <v/>
      </c>
      <c r="F84" t="inlineStr">
        <is>
          <t>Invoice payments and authorised bank spending; gross cash.</t>
        </is>
      </c>
    </row>
    <row r="85" ht="26" customHeight="1">
      <c r="A85" t="inlineStr">
        <is>
          <t>Page 27</t>
        </is>
      </c>
      <c r="B85" s="161">
        <f>SUMIFS('FY26 cash'!$K$7:$K$511,'FY26 cash'!$D$7:$D$511,A85,'FY26 cash'!$E$7:$E$511,"Out")</f>
        <v/>
      </c>
      <c r="C85" s="161">
        <f>IF(E85=0,"",_xlfn.MINIFS('FY26 cash'!$C$7:$C$511,'FY26 cash'!$D$7:$D$511,A85,'FY26 cash'!$E$7:$E$511,"Out",'FY26 cash'!$G$7:$G$511,"AUTHORISED",'FY26 cash'!$J$7:$J$511,"Goods-tagged"))</f>
        <v/>
      </c>
      <c r="D85">
        <f>IF(E85=0,"",_xlfn.MAXIFS('FY26 cash'!$C$7:$C$511,'FY26 cash'!$D$7:$D$511,A85,'FY26 cash'!$E$7:$E$511,"Out",'FY26 cash'!$G$7:$G$511,"AUTHORISED",'FY26 cash'!$J$7:$J$511,"Goods-tagged"))</f>
        <v/>
      </c>
      <c r="E85">
        <f>COUNTIFS('FY26 cash'!$D$7:$D$511,A85,'FY26 cash'!$E$7:$E$511,"Out",'FY26 cash'!$G$7:$G$511,"AUTHORISED",'FY26 cash'!$J$7:$J$511,"Goods-tagged")</f>
        <v/>
      </c>
      <c r="F85" t="inlineStr">
        <is>
          <t>Invoice payments and authorised bank spending; gross cash.</t>
        </is>
      </c>
    </row>
    <row r="86" ht="26" customHeight="1">
      <c r="A86" t="inlineStr">
        <is>
          <t>Coles Supermarkets</t>
        </is>
      </c>
      <c r="B86" s="161">
        <f>SUMIFS('FY26 cash'!$K$7:$K$511,'FY26 cash'!$D$7:$D$511,A86,'FY26 cash'!$E$7:$E$511,"Out")</f>
        <v/>
      </c>
      <c r="C86" s="161">
        <f>IF(E86=0,"",_xlfn.MINIFS('FY26 cash'!$C$7:$C$511,'FY26 cash'!$D$7:$D$511,A86,'FY26 cash'!$E$7:$E$511,"Out",'FY26 cash'!$G$7:$G$511,"AUTHORISED",'FY26 cash'!$J$7:$J$511,"Goods-tagged"))</f>
        <v/>
      </c>
      <c r="D86">
        <f>IF(E86=0,"",_xlfn.MAXIFS('FY26 cash'!$C$7:$C$511,'FY26 cash'!$D$7:$D$511,A86,'FY26 cash'!$E$7:$E$511,"Out",'FY26 cash'!$G$7:$G$511,"AUTHORISED",'FY26 cash'!$J$7:$J$511,"Goods-tagged"))</f>
        <v/>
      </c>
      <c r="E86">
        <f>COUNTIFS('FY26 cash'!$D$7:$D$511,A86,'FY26 cash'!$E$7:$E$511,"Out",'FY26 cash'!$G$7:$G$511,"AUTHORISED",'FY26 cash'!$J$7:$J$511,"Goods-tagged")</f>
        <v/>
      </c>
      <c r="F86" t="inlineStr">
        <is>
          <t>Invoice payments and authorised bank spending; gross cash.</t>
        </is>
      </c>
    </row>
    <row r="87" ht="26" customHeight="1">
      <c r="A87" t="inlineStr">
        <is>
          <t>DTF Direct</t>
        </is>
      </c>
      <c r="B87" s="161">
        <f>SUMIFS('FY26 cash'!$K$7:$K$511,'FY26 cash'!$D$7:$D$511,A87,'FY26 cash'!$E$7:$E$511,"Out")</f>
        <v/>
      </c>
      <c r="C87" s="161">
        <f>IF(E87=0,"",_xlfn.MINIFS('FY26 cash'!$C$7:$C$511,'FY26 cash'!$D$7:$D$511,A87,'FY26 cash'!$E$7:$E$511,"Out",'FY26 cash'!$G$7:$G$511,"AUTHORISED",'FY26 cash'!$J$7:$J$511,"Goods-tagged"))</f>
        <v/>
      </c>
      <c r="D87">
        <f>IF(E87=0,"",_xlfn.MAXIFS('FY26 cash'!$C$7:$C$511,'FY26 cash'!$D$7:$D$511,A87,'FY26 cash'!$E$7:$E$511,"Out",'FY26 cash'!$G$7:$G$511,"AUTHORISED",'FY26 cash'!$J$7:$J$511,"Goods-tagged"))</f>
        <v/>
      </c>
      <c r="E87">
        <f>COUNTIFS('FY26 cash'!$D$7:$D$511,A87,'FY26 cash'!$E$7:$E$511,"Out",'FY26 cash'!$G$7:$G$511,"AUTHORISED",'FY26 cash'!$J$7:$J$511,"Goods-tagged")</f>
        <v/>
      </c>
      <c r="F87" t="inlineStr">
        <is>
          <t>Invoice payments and authorised bank spending; gross cash.</t>
        </is>
      </c>
    </row>
    <row r="88" ht="26" customHeight="1">
      <c r="A88" t="inlineStr">
        <is>
          <t>HARVEY NORMAN</t>
        </is>
      </c>
      <c r="B88" s="161">
        <f>SUMIFS('FY26 cash'!$K$7:$K$511,'FY26 cash'!$D$7:$D$511,A88,'FY26 cash'!$E$7:$E$511,"Out")</f>
        <v/>
      </c>
      <c r="C88" s="161">
        <f>IF(E88=0,"",_xlfn.MINIFS('FY26 cash'!$C$7:$C$511,'FY26 cash'!$D$7:$D$511,A88,'FY26 cash'!$E$7:$E$511,"Out",'FY26 cash'!$G$7:$G$511,"AUTHORISED",'FY26 cash'!$J$7:$J$511,"Goods-tagged"))</f>
        <v/>
      </c>
      <c r="D88">
        <f>IF(E88=0,"",_xlfn.MAXIFS('FY26 cash'!$C$7:$C$511,'FY26 cash'!$D$7:$D$511,A88,'FY26 cash'!$E$7:$E$511,"Out",'FY26 cash'!$G$7:$G$511,"AUTHORISED",'FY26 cash'!$J$7:$J$511,"Goods-tagged"))</f>
        <v/>
      </c>
      <c r="E88">
        <f>COUNTIFS('FY26 cash'!$D$7:$D$511,A88,'FY26 cash'!$E$7:$E$511,"Out",'FY26 cash'!$G$7:$G$511,"AUTHORISED",'FY26 cash'!$J$7:$J$511,"Goods-tagged")</f>
        <v/>
      </c>
      <c r="F88" t="inlineStr">
        <is>
          <t>Invoice payments and authorised bank spending; gross cash.</t>
        </is>
      </c>
    </row>
    <row r="89" ht="26" customHeight="1">
      <c r="A89" t="inlineStr">
        <is>
          <t>Arlparra</t>
        </is>
      </c>
      <c r="B89" s="161">
        <f>SUMIFS('FY26 cash'!$K$7:$K$511,'FY26 cash'!$D$7:$D$511,A89,'FY26 cash'!$E$7:$E$511,"Out")</f>
        <v/>
      </c>
      <c r="C89" s="161">
        <f>IF(E89=0,"",_xlfn.MINIFS('FY26 cash'!$C$7:$C$511,'FY26 cash'!$D$7:$D$511,A89,'FY26 cash'!$E$7:$E$511,"Out",'FY26 cash'!$G$7:$G$511,"AUTHORISED",'FY26 cash'!$J$7:$J$511,"Goods-tagged"))</f>
        <v/>
      </c>
      <c r="D89">
        <f>IF(E89=0,"",_xlfn.MAXIFS('FY26 cash'!$C$7:$C$511,'FY26 cash'!$D$7:$D$511,A89,'FY26 cash'!$E$7:$E$511,"Out",'FY26 cash'!$G$7:$G$511,"AUTHORISED",'FY26 cash'!$J$7:$J$511,"Goods-tagged"))</f>
        <v/>
      </c>
      <c r="E89">
        <f>COUNTIFS('FY26 cash'!$D$7:$D$511,A89,'FY26 cash'!$E$7:$E$511,"Out",'FY26 cash'!$G$7:$G$511,"AUTHORISED",'FY26 cash'!$J$7:$J$511,"Goods-tagged")</f>
        <v/>
      </c>
      <c r="F89" t="inlineStr">
        <is>
          <t>Invoice payments and authorised bank spending; gross cash.</t>
        </is>
      </c>
    </row>
    <row r="90" ht="26" customHeight="1">
      <c r="A90" t="inlineStr">
        <is>
          <t>Shell</t>
        </is>
      </c>
      <c r="B90" s="161">
        <f>SUMIFS('FY26 cash'!$K$7:$K$511,'FY26 cash'!$D$7:$D$511,A90,'FY26 cash'!$E$7:$E$511,"Out")</f>
        <v/>
      </c>
      <c r="C90" s="161">
        <f>IF(E90=0,"",_xlfn.MINIFS('FY26 cash'!$C$7:$C$511,'FY26 cash'!$D$7:$D$511,A90,'FY26 cash'!$E$7:$E$511,"Out",'FY26 cash'!$G$7:$G$511,"AUTHORISED",'FY26 cash'!$J$7:$J$511,"Goods-tagged"))</f>
        <v/>
      </c>
      <c r="D90">
        <f>IF(E90=0,"",_xlfn.MAXIFS('FY26 cash'!$C$7:$C$511,'FY26 cash'!$D$7:$D$511,A90,'FY26 cash'!$E$7:$E$511,"Out",'FY26 cash'!$G$7:$G$511,"AUTHORISED",'FY26 cash'!$J$7:$J$511,"Goods-tagged"))</f>
        <v/>
      </c>
      <c r="E90">
        <f>COUNTIFS('FY26 cash'!$D$7:$D$511,A90,'FY26 cash'!$E$7:$E$511,"Out",'FY26 cash'!$G$7:$G$511,"AUTHORISED",'FY26 cash'!$J$7:$J$511,"Goods-tagged")</f>
        <v/>
      </c>
      <c r="F90" t="inlineStr">
        <is>
          <t>Invoice payments and authorised bank spending; gross cash.</t>
        </is>
      </c>
    </row>
    <row r="91" ht="26" customHeight="1">
      <c r="A91" t="inlineStr">
        <is>
          <t>Worldsmart Retail</t>
        </is>
      </c>
      <c r="B91" s="161">
        <f>SUMIFS('FY26 cash'!$K$7:$K$511,'FY26 cash'!$D$7:$D$511,A91,'FY26 cash'!$E$7:$E$511,"Out")</f>
        <v/>
      </c>
      <c r="C91" s="161">
        <f>IF(E91=0,"",_xlfn.MINIFS('FY26 cash'!$C$7:$C$511,'FY26 cash'!$D$7:$D$511,A91,'FY26 cash'!$E$7:$E$511,"Out",'FY26 cash'!$G$7:$G$511,"AUTHORISED",'FY26 cash'!$J$7:$J$511,"Goods-tagged"))</f>
        <v/>
      </c>
      <c r="D91">
        <f>IF(E91=0,"",_xlfn.MAXIFS('FY26 cash'!$C$7:$C$511,'FY26 cash'!$D$7:$D$511,A91,'FY26 cash'!$E$7:$E$511,"Out",'FY26 cash'!$G$7:$G$511,"AUTHORISED",'FY26 cash'!$J$7:$J$511,"Goods-tagged"))</f>
        <v/>
      </c>
      <c r="E91">
        <f>COUNTIFS('FY26 cash'!$D$7:$D$511,A91,'FY26 cash'!$E$7:$E$511,"Out",'FY26 cash'!$G$7:$G$511,"AUTHORISED",'FY26 cash'!$J$7:$J$511,"Goods-tagged")</f>
        <v/>
      </c>
      <c r="F91" t="inlineStr">
        <is>
          <t>Invoice payments and authorised bank spending; gross cash.</t>
        </is>
      </c>
    </row>
    <row r="92" ht="26" customHeight="1">
      <c r="A92" t="inlineStr">
        <is>
          <t>Palm Island</t>
        </is>
      </c>
      <c r="B92" s="161">
        <f>SUMIFS('FY26 cash'!$K$7:$K$511,'FY26 cash'!$D$7:$D$511,A92,'FY26 cash'!$E$7:$E$511,"Out")</f>
        <v/>
      </c>
      <c r="C92" s="161">
        <f>IF(E92=0,"",_xlfn.MINIFS('FY26 cash'!$C$7:$C$511,'FY26 cash'!$D$7:$D$511,A92,'FY26 cash'!$E$7:$E$511,"Out",'FY26 cash'!$G$7:$G$511,"AUTHORISED",'FY26 cash'!$J$7:$J$511,"Goods-tagged"))</f>
        <v/>
      </c>
      <c r="D92">
        <f>IF(E92=0,"",_xlfn.MAXIFS('FY26 cash'!$C$7:$C$511,'FY26 cash'!$D$7:$D$511,A92,'FY26 cash'!$E$7:$E$511,"Out",'FY26 cash'!$G$7:$G$511,"AUTHORISED",'FY26 cash'!$J$7:$J$511,"Goods-tagged"))</f>
        <v/>
      </c>
      <c r="E92">
        <f>COUNTIFS('FY26 cash'!$D$7:$D$511,A92,'FY26 cash'!$E$7:$E$511,"Out",'FY26 cash'!$G$7:$G$511,"AUTHORISED",'FY26 cash'!$J$7:$J$511,"Goods-tagged")</f>
        <v/>
      </c>
      <c r="F92" t="inlineStr">
        <is>
          <t>Invoice payments and authorised bank spending; gross cash.</t>
        </is>
      </c>
    </row>
    <row r="93" ht="26" customHeight="1">
      <c r="A93" t="inlineStr">
        <is>
          <t>Booking.com</t>
        </is>
      </c>
      <c r="B93" s="161">
        <f>SUMIFS('FY26 cash'!$K$7:$K$511,'FY26 cash'!$D$7:$D$511,A93,'FY26 cash'!$E$7:$E$511,"Out")</f>
        <v/>
      </c>
      <c r="C93" s="161">
        <f>IF(E93=0,"",_xlfn.MINIFS('FY26 cash'!$C$7:$C$511,'FY26 cash'!$D$7:$D$511,A93,'FY26 cash'!$E$7:$E$511,"Out",'FY26 cash'!$G$7:$G$511,"AUTHORISED",'FY26 cash'!$J$7:$J$511,"Goods-tagged"))</f>
        <v/>
      </c>
      <c r="D93">
        <f>IF(E93=0,"",_xlfn.MAXIFS('FY26 cash'!$C$7:$C$511,'FY26 cash'!$D$7:$D$511,A93,'FY26 cash'!$E$7:$E$511,"Out",'FY26 cash'!$G$7:$G$511,"AUTHORISED",'FY26 cash'!$J$7:$J$511,"Goods-tagged"))</f>
        <v/>
      </c>
      <c r="E93">
        <f>COUNTIFS('FY26 cash'!$D$7:$D$511,A93,'FY26 cash'!$E$7:$E$511,"Out",'FY26 cash'!$G$7:$G$511,"AUTHORISED",'FY26 cash'!$J$7:$J$511,"Goods-tagged")</f>
        <v/>
      </c>
      <c r="F93" t="inlineStr">
        <is>
          <t>Invoice payments and authorised bank spending; gross cash.</t>
        </is>
      </c>
    </row>
    <row r="94" ht="26" customHeight="1">
      <c r="A94" t="inlineStr">
        <is>
          <t>Aherrenge Store</t>
        </is>
      </c>
      <c r="B94" s="161">
        <f>SUMIFS('FY26 cash'!$K$7:$K$511,'FY26 cash'!$D$7:$D$511,A94,'FY26 cash'!$E$7:$E$511,"Out")</f>
        <v/>
      </c>
      <c r="C94" s="161">
        <f>IF(E94=0,"",_xlfn.MINIFS('FY26 cash'!$C$7:$C$511,'FY26 cash'!$D$7:$D$511,A94,'FY26 cash'!$E$7:$E$511,"Out",'FY26 cash'!$G$7:$G$511,"AUTHORISED",'FY26 cash'!$J$7:$J$511,"Goods-tagged"))</f>
        <v/>
      </c>
      <c r="D94">
        <f>IF(E94=0,"",_xlfn.MAXIFS('FY26 cash'!$C$7:$C$511,'FY26 cash'!$D$7:$D$511,A94,'FY26 cash'!$E$7:$E$511,"Out",'FY26 cash'!$G$7:$G$511,"AUTHORISED",'FY26 cash'!$J$7:$J$511,"Goods-tagged"))</f>
        <v/>
      </c>
      <c r="E94">
        <f>COUNTIFS('FY26 cash'!$D$7:$D$511,A94,'FY26 cash'!$E$7:$E$511,"Out",'FY26 cash'!$G$7:$G$511,"AUTHORISED",'FY26 cash'!$J$7:$J$511,"Goods-tagged")</f>
        <v/>
      </c>
      <c r="F94" t="inlineStr">
        <is>
          <t>Invoice payments and authorised bank spending; gross cash.</t>
        </is>
      </c>
    </row>
    <row r="95" ht="26" customHeight="1">
      <c r="A95" t="inlineStr">
        <is>
          <t>Ampol</t>
        </is>
      </c>
      <c r="B95" s="161">
        <f>SUMIFS('FY26 cash'!$K$7:$K$511,'FY26 cash'!$D$7:$D$511,A95,'FY26 cash'!$E$7:$E$511,"Out")</f>
        <v/>
      </c>
      <c r="C95" s="161">
        <f>IF(E95=0,"",_xlfn.MINIFS('FY26 cash'!$C$7:$C$511,'FY26 cash'!$D$7:$D$511,A95,'FY26 cash'!$E$7:$E$511,"Out",'FY26 cash'!$G$7:$G$511,"AUTHORISED",'FY26 cash'!$J$7:$J$511,"Goods-tagged"))</f>
        <v/>
      </c>
      <c r="D95">
        <f>IF(E95=0,"",_xlfn.MAXIFS('FY26 cash'!$C$7:$C$511,'FY26 cash'!$D$7:$D$511,A95,'FY26 cash'!$E$7:$E$511,"Out",'FY26 cash'!$G$7:$G$511,"AUTHORISED",'FY26 cash'!$J$7:$J$511,"Goods-tagged"))</f>
        <v/>
      </c>
      <c r="E95">
        <f>COUNTIFS('FY26 cash'!$D$7:$D$511,A95,'FY26 cash'!$E$7:$E$511,"Out",'FY26 cash'!$G$7:$G$511,"AUTHORISED",'FY26 cash'!$J$7:$J$511,"Goods-tagged")</f>
        <v/>
      </c>
      <c r="F95" t="inlineStr">
        <is>
          <t>Invoice payments and authorised bank spending; gross cash.</t>
        </is>
      </c>
    </row>
    <row r="96" ht="26" customHeight="1">
      <c r="A96" t="inlineStr">
        <is>
          <t>Bunnings</t>
        </is>
      </c>
      <c r="B96" s="161">
        <f>SUMIFS('FY26 cash'!$K$7:$K$511,'FY26 cash'!$D$7:$D$511,A96,'FY26 cash'!$E$7:$E$511,"Out")</f>
        <v/>
      </c>
      <c r="C96" s="161">
        <f>IF(E96=0,"",_xlfn.MINIFS('FY26 cash'!$C$7:$C$511,'FY26 cash'!$D$7:$D$511,A96,'FY26 cash'!$E$7:$E$511,"Out",'FY26 cash'!$G$7:$G$511,"AUTHORISED",'FY26 cash'!$J$7:$J$511,"Goods-tagged"))</f>
        <v/>
      </c>
      <c r="D96">
        <f>IF(E96=0,"",_xlfn.MAXIFS('FY26 cash'!$C$7:$C$511,'FY26 cash'!$D$7:$D$511,A96,'FY26 cash'!$E$7:$E$511,"Out",'FY26 cash'!$G$7:$G$511,"AUTHORISED",'FY26 cash'!$J$7:$J$511,"Goods-tagged"))</f>
        <v/>
      </c>
      <c r="E96">
        <f>COUNTIFS('FY26 cash'!$D$7:$D$511,A96,'FY26 cash'!$E$7:$E$511,"Out",'FY26 cash'!$G$7:$G$511,"AUTHORISED",'FY26 cash'!$J$7:$J$511,"Goods-tagged")</f>
        <v/>
      </c>
      <c r="F96" t="inlineStr">
        <is>
          <t>Invoice payments and authorised bank spending; gross cash.</t>
        </is>
      </c>
    </row>
    <row r="97" ht="26" customHeight="1">
      <c r="A97" t="inlineStr">
        <is>
          <t>INDIGO A NEW EXPERIENCE</t>
        </is>
      </c>
      <c r="B97" s="161">
        <f>SUMIFS('FY26 cash'!$K$7:$K$511,'FY26 cash'!$D$7:$D$511,A97,'FY26 cash'!$E$7:$E$511,"Out")</f>
        <v/>
      </c>
      <c r="C97" s="161">
        <f>IF(E97=0,"",_xlfn.MINIFS('FY26 cash'!$C$7:$C$511,'FY26 cash'!$D$7:$D$511,A97,'FY26 cash'!$E$7:$E$511,"Out",'FY26 cash'!$G$7:$G$511,"AUTHORISED",'FY26 cash'!$J$7:$J$511,"Goods-tagged"))</f>
        <v/>
      </c>
      <c r="D97">
        <f>IF(E97=0,"",_xlfn.MAXIFS('FY26 cash'!$C$7:$C$511,'FY26 cash'!$D$7:$D$511,A97,'FY26 cash'!$E$7:$E$511,"Out",'FY26 cash'!$G$7:$G$511,"AUTHORISED",'FY26 cash'!$J$7:$J$511,"Goods-tagged"))</f>
        <v/>
      </c>
      <c r="E97">
        <f>COUNTIFS('FY26 cash'!$D$7:$D$511,A97,'FY26 cash'!$E$7:$E$511,"Out",'FY26 cash'!$G$7:$G$511,"AUTHORISED",'FY26 cash'!$J$7:$J$511,"Goods-tagged")</f>
        <v/>
      </c>
      <c r="F97" t="inlineStr">
        <is>
          <t>Invoice payments and authorised bank spending; gross cash.</t>
        </is>
      </c>
    </row>
    <row r="98" ht="26" customHeight="1">
      <c r="A98" t="inlineStr">
        <is>
          <t>Woks Up</t>
        </is>
      </c>
      <c r="B98" s="161">
        <f>SUMIFS('FY26 cash'!$K$7:$K$511,'FY26 cash'!$D$7:$D$511,A98,'FY26 cash'!$E$7:$E$511,"Out")</f>
        <v/>
      </c>
      <c r="C98" s="161">
        <f>IF(E98=0,"",_xlfn.MINIFS('FY26 cash'!$C$7:$C$511,'FY26 cash'!$D$7:$D$511,A98,'FY26 cash'!$E$7:$E$511,"Out",'FY26 cash'!$G$7:$G$511,"AUTHORISED",'FY26 cash'!$J$7:$J$511,"Goods-tagged"))</f>
        <v/>
      </c>
      <c r="D98">
        <f>IF(E98=0,"",_xlfn.MAXIFS('FY26 cash'!$C$7:$C$511,'FY26 cash'!$D$7:$D$511,A98,'FY26 cash'!$E$7:$E$511,"Out",'FY26 cash'!$G$7:$G$511,"AUTHORISED",'FY26 cash'!$J$7:$J$511,"Goods-tagged"))</f>
        <v/>
      </c>
      <c r="E98">
        <f>COUNTIFS('FY26 cash'!$D$7:$D$511,A98,'FY26 cash'!$E$7:$E$511,"Out",'FY26 cash'!$G$7:$G$511,"AUTHORISED",'FY26 cash'!$J$7:$J$511,"Goods-tagged")</f>
        <v/>
      </c>
      <c r="F98" t="inlineStr">
        <is>
          <t>Invoice payments and authorised bank spending; gross cash.</t>
        </is>
      </c>
    </row>
    <row r="99" ht="26" customHeight="1">
      <c r="A99" t="inlineStr">
        <is>
          <t>SIXT</t>
        </is>
      </c>
      <c r="B99" s="161">
        <f>SUMIFS('FY26 cash'!$K$7:$K$511,'FY26 cash'!$D$7:$D$511,A99,'FY26 cash'!$E$7:$E$511,"Out")</f>
        <v/>
      </c>
      <c r="C99" s="161">
        <f>IF(E99=0,"",_xlfn.MINIFS('FY26 cash'!$C$7:$C$511,'FY26 cash'!$D$7:$D$511,A99,'FY26 cash'!$E$7:$E$511,"Out",'FY26 cash'!$G$7:$G$511,"AUTHORISED",'FY26 cash'!$J$7:$J$511,"Goods-tagged"))</f>
        <v/>
      </c>
      <c r="D99">
        <f>IF(E99=0,"",_xlfn.MAXIFS('FY26 cash'!$C$7:$C$511,'FY26 cash'!$D$7:$D$511,A99,'FY26 cash'!$E$7:$E$511,"Out",'FY26 cash'!$G$7:$G$511,"AUTHORISED",'FY26 cash'!$J$7:$J$511,"Goods-tagged"))</f>
        <v/>
      </c>
      <c r="E99">
        <f>COUNTIFS('FY26 cash'!$D$7:$D$511,A99,'FY26 cash'!$E$7:$E$511,"Out",'FY26 cash'!$G$7:$G$511,"AUTHORISED",'FY26 cash'!$J$7:$J$511,"Goods-tagged")</f>
        <v/>
      </c>
      <c r="F99" t="inlineStr">
        <is>
          <t>Invoice payments and authorised bank spending; gross cash.</t>
        </is>
      </c>
    </row>
    <row r="100" ht="26" customHeight="1">
      <c r="A100" t="inlineStr">
        <is>
          <t>Hanuman Alice Springs</t>
        </is>
      </c>
      <c r="B100" s="161">
        <f>SUMIFS('FY26 cash'!$K$7:$K$511,'FY26 cash'!$D$7:$D$511,A100,'FY26 cash'!$E$7:$E$511,"Out")</f>
        <v/>
      </c>
      <c r="C100" s="161">
        <f>IF(E100=0,"",_xlfn.MINIFS('FY26 cash'!$C$7:$C$511,'FY26 cash'!$D$7:$D$511,A100,'FY26 cash'!$E$7:$E$511,"Out",'FY26 cash'!$G$7:$G$511,"AUTHORISED",'FY26 cash'!$J$7:$J$511,"Goods-tagged"))</f>
        <v/>
      </c>
      <c r="D100">
        <f>IF(E100=0,"",_xlfn.MAXIFS('FY26 cash'!$C$7:$C$511,'FY26 cash'!$D$7:$D$511,A100,'FY26 cash'!$E$7:$E$511,"Out",'FY26 cash'!$G$7:$G$511,"AUTHORISED",'FY26 cash'!$J$7:$J$511,"Goods-tagged"))</f>
        <v/>
      </c>
      <c r="E100">
        <f>COUNTIFS('FY26 cash'!$D$7:$D$511,A100,'FY26 cash'!$E$7:$E$511,"Out",'FY26 cash'!$G$7:$G$511,"AUTHORISED",'FY26 cash'!$J$7:$J$511,"Goods-tagged")</f>
        <v/>
      </c>
      <c r="F100" t="inlineStr">
        <is>
          <t>Invoice payments and authorised bank spending; gross cash.</t>
        </is>
      </c>
    </row>
    <row r="101" ht="26" customHeight="1">
      <c r="A101" t="inlineStr">
        <is>
          <t>Memories Bistro</t>
        </is>
      </c>
      <c r="B101">
        <f>SUMIFS('FY26 cash'!$K$7:$K$511,'FY26 cash'!$D$7:$D$511,A101,'FY26 cash'!$E$7:$E$511,"Out")</f>
        <v/>
      </c>
      <c r="C101">
        <f>IF(E101=0,"",_xlfn.MINIFS('FY26 cash'!$C$7:$C$511,'FY26 cash'!$D$7:$D$511,A101,'FY26 cash'!$E$7:$E$511,"Out",'FY26 cash'!$G$7:$G$511,"AUTHORISED",'FY26 cash'!$J$7:$J$511,"Goods-tagged"))</f>
        <v/>
      </c>
      <c r="D101">
        <f>IF(E101=0,"",_xlfn.MAXIFS('FY26 cash'!$C$7:$C$511,'FY26 cash'!$D$7:$D$511,A101,'FY26 cash'!$E$7:$E$511,"Out",'FY26 cash'!$G$7:$G$511,"AUTHORISED",'FY26 cash'!$J$7:$J$511,"Goods-tagged"))</f>
        <v/>
      </c>
      <c r="E101">
        <f>COUNTIFS('FY26 cash'!$D$7:$D$511,A101,'FY26 cash'!$E$7:$E$511,"Out",'FY26 cash'!$G$7:$G$511,"AUTHORISED",'FY26 cash'!$J$7:$J$511,"Goods-tagged")</f>
        <v/>
      </c>
      <c r="F101" t="inlineStr">
        <is>
          <t>Invoice payments and authorised bank spending; gross cash.</t>
        </is>
      </c>
    </row>
    <row r="102" ht="26" customHeight="1">
      <c r="A102" t="inlineStr">
        <is>
          <t>Metro</t>
        </is>
      </c>
      <c r="B102">
        <f>SUMIFS('FY26 cash'!$K$7:$K$511,'FY26 cash'!$D$7:$D$511,A102,'FY26 cash'!$E$7:$E$511,"Out")</f>
        <v/>
      </c>
      <c r="C102">
        <f>IF(E102=0,"",_xlfn.MINIFS('FY26 cash'!$C$7:$C$511,'FY26 cash'!$D$7:$D$511,A102,'FY26 cash'!$E$7:$E$511,"Out",'FY26 cash'!$G$7:$G$511,"AUTHORISED",'FY26 cash'!$J$7:$J$511,"Goods-tagged"))</f>
        <v/>
      </c>
      <c r="D102">
        <f>IF(E102=0,"",_xlfn.MAXIFS('FY26 cash'!$C$7:$C$511,'FY26 cash'!$D$7:$D$511,A102,'FY26 cash'!$E$7:$E$511,"Out",'FY26 cash'!$G$7:$G$511,"AUTHORISED",'FY26 cash'!$J$7:$J$511,"Goods-tagged"))</f>
        <v/>
      </c>
      <c r="E102">
        <f>COUNTIFS('FY26 cash'!$D$7:$D$511,A102,'FY26 cash'!$E$7:$E$511,"Out",'FY26 cash'!$G$7:$G$511,"AUTHORISED",'FY26 cash'!$J$7:$J$511,"Goods-tagged")</f>
        <v/>
      </c>
      <c r="F102" t="inlineStr">
        <is>
          <t>Invoice payments and authorised bank spending; gross cash.</t>
        </is>
      </c>
    </row>
    <row r="103" ht="26" customHeight="1">
      <c r="A103" t="inlineStr">
        <is>
          <t>BCF</t>
        </is>
      </c>
      <c r="B103">
        <f>SUMIFS('FY26 cash'!$K$7:$K$511,'FY26 cash'!$D$7:$D$511,A103,'FY26 cash'!$E$7:$E$511,"Out")</f>
        <v/>
      </c>
      <c r="C103">
        <f>IF(E103=0,"",_xlfn.MINIFS('FY26 cash'!$C$7:$C$511,'FY26 cash'!$D$7:$D$511,A103,'FY26 cash'!$E$7:$E$511,"Out",'FY26 cash'!$G$7:$G$511,"AUTHORISED",'FY26 cash'!$J$7:$J$511,"Goods-tagged"))</f>
        <v/>
      </c>
      <c r="D103">
        <f>IF(E103=0,"",_xlfn.MAXIFS('FY26 cash'!$C$7:$C$511,'FY26 cash'!$D$7:$D$511,A103,'FY26 cash'!$E$7:$E$511,"Out",'FY26 cash'!$G$7:$G$511,"AUTHORISED",'FY26 cash'!$J$7:$J$511,"Goods-tagged"))</f>
        <v/>
      </c>
      <c r="E103">
        <f>COUNTIFS('FY26 cash'!$D$7:$D$511,A103,'FY26 cash'!$E$7:$E$511,"Out",'FY26 cash'!$G$7:$G$511,"AUTHORISED",'FY26 cash'!$J$7:$J$511,"Goods-tagged")</f>
        <v/>
      </c>
      <c r="F103" t="inlineStr">
        <is>
          <t>Invoice payments and authorised bank spending; gross cash.</t>
        </is>
      </c>
    </row>
    <row r="104" ht="26" customHeight="1">
      <c r="A104" t="inlineStr">
        <is>
          <t>Taxi Receipt</t>
        </is>
      </c>
      <c r="B104">
        <f>SUMIFS('FY26 cash'!$K$7:$K$511,'FY26 cash'!$D$7:$D$511,A104,'FY26 cash'!$E$7:$E$511,"Out")</f>
        <v/>
      </c>
      <c r="C104">
        <f>IF(E104=0,"",_xlfn.MINIFS('FY26 cash'!$C$7:$C$511,'FY26 cash'!$D$7:$D$511,A104,'FY26 cash'!$E$7:$E$511,"Out",'FY26 cash'!$G$7:$G$511,"AUTHORISED",'FY26 cash'!$J$7:$J$511,"Goods-tagged"))</f>
        <v/>
      </c>
      <c r="D104">
        <f>IF(E104=0,"",_xlfn.MAXIFS('FY26 cash'!$C$7:$C$511,'FY26 cash'!$D$7:$D$511,A104,'FY26 cash'!$E$7:$E$511,"Out",'FY26 cash'!$G$7:$G$511,"AUTHORISED",'FY26 cash'!$J$7:$J$511,"Goods-tagged"))</f>
        <v/>
      </c>
      <c r="E104">
        <f>COUNTIFS('FY26 cash'!$D$7:$D$511,A104,'FY26 cash'!$E$7:$E$511,"Out",'FY26 cash'!$G$7:$G$511,"AUTHORISED",'FY26 cash'!$J$7:$J$511,"Goods-tagged")</f>
        <v/>
      </c>
      <c r="F104" t="inlineStr">
        <is>
          <t>Invoice payments and authorised bank spending; gross cash.</t>
        </is>
      </c>
    </row>
    <row r="105" ht="26" customHeight="1">
      <c r="A105" t="inlineStr">
        <is>
          <t>GoGet Carshare</t>
        </is>
      </c>
      <c r="B105">
        <f>SUMIFS('FY26 cash'!$K$7:$K$511,'FY26 cash'!$D$7:$D$511,A105,'FY26 cash'!$E$7:$E$511,"Out")</f>
        <v/>
      </c>
      <c r="C105">
        <f>IF(E105=0,"",_xlfn.MINIFS('FY26 cash'!$C$7:$C$511,'FY26 cash'!$D$7:$D$511,A105,'FY26 cash'!$E$7:$E$511,"Out",'FY26 cash'!$G$7:$G$511,"AUTHORISED",'FY26 cash'!$J$7:$J$511,"Goods-tagged"))</f>
        <v/>
      </c>
      <c r="D105">
        <f>IF(E105=0,"",_xlfn.MAXIFS('FY26 cash'!$C$7:$C$511,'FY26 cash'!$D$7:$D$511,A105,'FY26 cash'!$E$7:$E$511,"Out",'FY26 cash'!$G$7:$G$511,"AUTHORISED",'FY26 cash'!$J$7:$J$511,"Goods-tagged"))</f>
        <v/>
      </c>
      <c r="E105">
        <f>COUNTIFS('FY26 cash'!$D$7:$D$511,A105,'FY26 cash'!$E$7:$E$511,"Out",'FY26 cash'!$G$7:$G$511,"AUTHORISED",'FY26 cash'!$J$7:$J$511,"Goods-tagged")</f>
        <v/>
      </c>
      <c r="F105" t="inlineStr">
        <is>
          <t>Invoice payments and authorised bank spending; gross cash.</t>
        </is>
      </c>
    </row>
    <row r="106" ht="26" customHeight="1">
      <c r="A106" t="inlineStr">
        <is>
          <t>COOLGAREE CAT</t>
        </is>
      </c>
      <c r="B106">
        <f>SUMIFS('FY26 cash'!$K$7:$K$511,'FY26 cash'!$D$7:$D$511,A106,'FY26 cash'!$E$7:$E$511,"Out")</f>
        <v/>
      </c>
      <c r="C106">
        <f>IF(E106=0,"",_xlfn.MINIFS('FY26 cash'!$C$7:$C$511,'FY26 cash'!$D$7:$D$511,A106,'FY26 cash'!$E$7:$E$511,"Out",'FY26 cash'!$G$7:$G$511,"AUTHORISED",'FY26 cash'!$J$7:$J$511,"Goods-tagged"))</f>
        <v/>
      </c>
      <c r="D106">
        <f>IF(E106=0,"",_xlfn.MAXIFS('FY26 cash'!$C$7:$C$511,'FY26 cash'!$D$7:$D$511,A106,'FY26 cash'!$E$7:$E$511,"Out",'FY26 cash'!$G$7:$G$511,"AUTHORISED",'FY26 cash'!$J$7:$J$511,"Goods-tagged"))</f>
        <v/>
      </c>
      <c r="E106">
        <f>COUNTIFS('FY26 cash'!$D$7:$D$511,A106,'FY26 cash'!$E$7:$E$511,"Out",'FY26 cash'!$G$7:$G$511,"AUTHORISED",'FY26 cash'!$J$7:$J$511,"Goods-tagged")</f>
        <v/>
      </c>
      <c r="F106" t="inlineStr">
        <is>
          <t>Invoice payments and authorised bank spending; gross cash.</t>
        </is>
      </c>
    </row>
    <row r="107" ht="26" customHeight="1">
      <c r="A107" t="inlineStr">
        <is>
          <t>TRIPLEBULL</t>
        </is>
      </c>
      <c r="B107">
        <f>SUMIFS('FY26 cash'!$K$7:$K$511,'FY26 cash'!$D$7:$D$511,A107,'FY26 cash'!$E$7:$E$511,"Out")</f>
        <v/>
      </c>
      <c r="C107">
        <f>IF(E107=0,"",_xlfn.MINIFS('FY26 cash'!$C$7:$C$511,'FY26 cash'!$D$7:$D$511,A107,'FY26 cash'!$E$7:$E$511,"Out",'FY26 cash'!$G$7:$G$511,"AUTHORISED",'FY26 cash'!$J$7:$J$511,"Goods-tagged"))</f>
        <v/>
      </c>
      <c r="D107">
        <f>IF(E107=0,"",_xlfn.MAXIFS('FY26 cash'!$C$7:$C$511,'FY26 cash'!$D$7:$D$511,A107,'FY26 cash'!$E$7:$E$511,"Out",'FY26 cash'!$G$7:$G$511,"AUTHORISED",'FY26 cash'!$J$7:$J$511,"Goods-tagged"))</f>
        <v/>
      </c>
      <c r="E107">
        <f>COUNTIFS('FY26 cash'!$D$7:$D$511,A107,'FY26 cash'!$E$7:$E$511,"Out",'FY26 cash'!$G$7:$G$511,"AUTHORISED",'FY26 cash'!$J$7:$J$511,"Goods-tagged")</f>
        <v/>
      </c>
      <c r="F107" t="inlineStr">
        <is>
          <t>Invoice payments and authorised bank spending; gross cash.</t>
        </is>
      </c>
    </row>
    <row r="108" ht="26" customHeight="1">
      <c r="A108" t="inlineStr">
        <is>
          <t>Hinterland Restrt</t>
        </is>
      </c>
      <c r="B108">
        <f>SUMIFS('FY26 cash'!$K$7:$K$511,'FY26 cash'!$D$7:$D$511,A108,'FY26 cash'!$E$7:$E$511,"Out")</f>
        <v/>
      </c>
      <c r="C108">
        <f>IF(E108=0,"",_xlfn.MINIFS('FY26 cash'!$C$7:$C$511,'FY26 cash'!$D$7:$D$511,A108,'FY26 cash'!$E$7:$E$511,"Out",'FY26 cash'!$G$7:$G$511,"AUTHORISED",'FY26 cash'!$J$7:$J$511,"Goods-tagged"))</f>
        <v/>
      </c>
      <c r="D108">
        <f>IF(E108=0,"",_xlfn.MAXIFS('FY26 cash'!$C$7:$C$511,'FY26 cash'!$D$7:$D$511,A108,'FY26 cash'!$E$7:$E$511,"Out",'FY26 cash'!$G$7:$G$511,"AUTHORISED",'FY26 cash'!$J$7:$J$511,"Goods-tagged"))</f>
        <v/>
      </c>
      <c r="E108">
        <f>COUNTIFS('FY26 cash'!$D$7:$D$511,A108,'FY26 cash'!$E$7:$E$511,"Out",'FY26 cash'!$G$7:$G$511,"AUTHORISED",'FY26 cash'!$J$7:$J$511,"Goods-tagged")</f>
        <v/>
      </c>
      <c r="F108" t="inlineStr">
        <is>
          <t>Invoice payments and authorised bank spending; gross cash.</t>
        </is>
      </c>
    </row>
    <row r="109" ht="26" customHeight="1">
      <c r="A109" t="inlineStr">
        <is>
          <t>Lola's Pergola</t>
        </is>
      </c>
      <c r="B109">
        <f>SUMIFS('FY26 cash'!$K$7:$K$511,'FY26 cash'!$D$7:$D$511,A109,'FY26 cash'!$E$7:$E$511,"Out")</f>
        <v/>
      </c>
      <c r="C109">
        <f>IF(E109=0,"",_xlfn.MINIFS('FY26 cash'!$C$7:$C$511,'FY26 cash'!$D$7:$D$511,A109,'FY26 cash'!$E$7:$E$511,"Out",'FY26 cash'!$G$7:$G$511,"AUTHORISED",'FY26 cash'!$J$7:$J$511,"Goods-tagged"))</f>
        <v/>
      </c>
      <c r="D109">
        <f>IF(E109=0,"",_xlfn.MAXIFS('FY26 cash'!$C$7:$C$511,'FY26 cash'!$D$7:$D$511,A109,'FY26 cash'!$E$7:$E$511,"Out",'FY26 cash'!$G$7:$G$511,"AUTHORISED",'FY26 cash'!$J$7:$J$511,"Goods-tagged"))</f>
        <v/>
      </c>
      <c r="E109">
        <f>COUNTIFS('FY26 cash'!$D$7:$D$511,A109,'FY26 cash'!$E$7:$E$511,"Out",'FY26 cash'!$G$7:$G$511,"AUTHORISED",'FY26 cash'!$J$7:$J$511,"Goods-tagged")</f>
        <v/>
      </c>
      <c r="F109" t="inlineStr">
        <is>
          <t>Invoice payments and authorised bank spending; gross cash.</t>
        </is>
      </c>
    </row>
    <row r="110" ht="26" customHeight="1">
      <c r="A110" t="inlineStr">
        <is>
          <t>Todd Tavern</t>
        </is>
      </c>
      <c r="B110">
        <f>SUMIFS('FY26 cash'!$K$7:$K$511,'FY26 cash'!$D$7:$D$511,A110,'FY26 cash'!$E$7:$E$511,"Out")</f>
        <v/>
      </c>
      <c r="C110">
        <f>IF(E110=0,"",_xlfn.MINIFS('FY26 cash'!$C$7:$C$511,'FY26 cash'!$D$7:$D$511,A110,'FY26 cash'!$E$7:$E$511,"Out",'FY26 cash'!$G$7:$G$511,"AUTHORISED",'FY26 cash'!$J$7:$J$511,"Goods-tagged"))</f>
        <v/>
      </c>
      <c r="D110">
        <f>IF(E110=0,"",_xlfn.MAXIFS('FY26 cash'!$C$7:$C$511,'FY26 cash'!$D$7:$D$511,A110,'FY26 cash'!$E$7:$E$511,"Out",'FY26 cash'!$G$7:$G$511,"AUTHORISED",'FY26 cash'!$J$7:$J$511,"Goods-tagged"))</f>
        <v/>
      </c>
      <c r="E110">
        <f>COUNTIFS('FY26 cash'!$D$7:$D$511,A110,'FY26 cash'!$E$7:$E$511,"Out",'FY26 cash'!$G$7:$G$511,"AUTHORISED",'FY26 cash'!$J$7:$J$511,"Goods-tagged")</f>
        <v/>
      </c>
      <c r="F110" t="inlineStr">
        <is>
          <t>Invoice payments and authorised bank spending; gross cash.</t>
        </is>
      </c>
    </row>
    <row r="111" ht="26" customHeight="1">
      <c r="A111" t="inlineStr">
        <is>
          <t>BP Alice Springs</t>
        </is>
      </c>
      <c r="B111">
        <f>SUMIFS('FY26 cash'!$K$7:$K$511,'FY26 cash'!$D$7:$D$511,A111,'FY26 cash'!$E$7:$E$511,"Out")</f>
        <v/>
      </c>
      <c r="C111">
        <f>IF(E111=0,"",_xlfn.MINIFS('FY26 cash'!$C$7:$C$511,'FY26 cash'!$D$7:$D$511,A111,'FY26 cash'!$E$7:$E$511,"Out",'FY26 cash'!$G$7:$G$511,"AUTHORISED",'FY26 cash'!$J$7:$J$511,"Goods-tagged"))</f>
        <v/>
      </c>
      <c r="D111">
        <f>IF(E111=0,"",_xlfn.MAXIFS('FY26 cash'!$C$7:$C$511,'FY26 cash'!$D$7:$D$511,A111,'FY26 cash'!$E$7:$E$511,"Out",'FY26 cash'!$G$7:$G$511,"AUTHORISED",'FY26 cash'!$J$7:$J$511,"Goods-tagged"))</f>
        <v/>
      </c>
      <c r="E111">
        <f>COUNTIFS('FY26 cash'!$D$7:$D$511,A111,'FY26 cash'!$E$7:$E$511,"Out",'FY26 cash'!$G$7:$G$511,"AUTHORISED",'FY26 cash'!$J$7:$J$511,"Goods-tagged")</f>
        <v/>
      </c>
      <c r="F111" t="inlineStr">
        <is>
          <t>Invoice payments and authorised bank spending; gross cash.</t>
        </is>
      </c>
    </row>
    <row r="112" ht="26" customHeight="1">
      <c r="A112" t="inlineStr">
        <is>
          <t>Flight Bar Witta</t>
        </is>
      </c>
      <c r="B112">
        <f>SUMIFS('FY26 cash'!$K$7:$K$511,'FY26 cash'!$D$7:$D$511,A112,'FY26 cash'!$E$7:$E$511,"Out")</f>
        <v/>
      </c>
      <c r="C112">
        <f>IF(E112=0,"",_xlfn.MINIFS('FY26 cash'!$C$7:$C$511,'FY26 cash'!$D$7:$D$511,A112,'FY26 cash'!$E$7:$E$511,"Out",'FY26 cash'!$G$7:$G$511,"AUTHORISED",'FY26 cash'!$J$7:$J$511,"Goods-tagged"))</f>
        <v/>
      </c>
      <c r="D112">
        <f>IF(E112=0,"",_xlfn.MAXIFS('FY26 cash'!$C$7:$C$511,'FY26 cash'!$D$7:$D$511,A112,'FY26 cash'!$E$7:$E$511,"Out",'FY26 cash'!$G$7:$G$511,"AUTHORISED",'FY26 cash'!$J$7:$J$511,"Goods-tagged"))</f>
        <v/>
      </c>
      <c r="E112">
        <f>COUNTIFS('FY26 cash'!$D$7:$D$511,A112,'FY26 cash'!$E$7:$E$511,"Out",'FY26 cash'!$G$7:$G$511,"AUTHORISED",'FY26 cash'!$J$7:$J$511,"Goods-tagged")</f>
        <v/>
      </c>
      <c r="F112" t="inlineStr">
        <is>
          <t>Invoice payments and authorised bank spending; gross cash.</t>
        </is>
      </c>
    </row>
    <row r="113" ht="26" customHeight="1">
      <c r="A113" t="inlineStr">
        <is>
          <t>Q Eats</t>
        </is>
      </c>
      <c r="B113">
        <f>SUMIFS('FY26 cash'!$K$7:$K$511,'FY26 cash'!$D$7:$D$511,A113,'FY26 cash'!$E$7:$E$511,"Out")</f>
        <v/>
      </c>
      <c r="C113">
        <f>IF(E113=0,"",_xlfn.MINIFS('FY26 cash'!$C$7:$C$511,'FY26 cash'!$D$7:$D$511,A113,'FY26 cash'!$E$7:$E$511,"Out",'FY26 cash'!$G$7:$G$511,"AUTHORISED",'FY26 cash'!$J$7:$J$511,"Goods-tagged"))</f>
        <v/>
      </c>
      <c r="D113">
        <f>IF(E113=0,"",_xlfn.MAXIFS('FY26 cash'!$C$7:$C$511,'FY26 cash'!$D$7:$D$511,A113,'FY26 cash'!$E$7:$E$511,"Out",'FY26 cash'!$G$7:$G$511,"AUTHORISED",'FY26 cash'!$J$7:$J$511,"Goods-tagged"))</f>
        <v/>
      </c>
      <c r="E113">
        <f>COUNTIFS('FY26 cash'!$D$7:$D$511,A113,'FY26 cash'!$E$7:$E$511,"Out",'FY26 cash'!$G$7:$G$511,"AUTHORISED",'FY26 cash'!$J$7:$J$511,"Goods-tagged")</f>
        <v/>
      </c>
      <c r="F113" t="inlineStr">
        <is>
          <t>Invoice payments and authorised bank spending; gross cash.</t>
        </is>
      </c>
    </row>
    <row r="114" ht="26" customHeight="1">
      <c r="A114" t="inlineStr">
        <is>
          <t>Banh Mi Express</t>
        </is>
      </c>
      <c r="B114">
        <f>SUMIFS('FY26 cash'!$K$7:$K$511,'FY26 cash'!$D$7:$D$511,A114,'FY26 cash'!$E$7:$E$511,"Out")</f>
        <v/>
      </c>
      <c r="C114">
        <f>IF(E114=0,"",_xlfn.MINIFS('FY26 cash'!$C$7:$C$511,'FY26 cash'!$D$7:$D$511,A114,'FY26 cash'!$E$7:$E$511,"Out",'FY26 cash'!$G$7:$G$511,"AUTHORISED",'FY26 cash'!$J$7:$J$511,"Goods-tagged"))</f>
        <v/>
      </c>
      <c r="D114">
        <f>IF(E114=0,"",_xlfn.MAXIFS('FY26 cash'!$C$7:$C$511,'FY26 cash'!$D$7:$D$511,A114,'FY26 cash'!$E$7:$E$511,"Out",'FY26 cash'!$G$7:$G$511,"AUTHORISED",'FY26 cash'!$J$7:$J$511,"Goods-tagged"))</f>
        <v/>
      </c>
      <c r="E114">
        <f>COUNTIFS('FY26 cash'!$D$7:$D$511,A114,'FY26 cash'!$E$7:$E$511,"Out",'FY26 cash'!$G$7:$G$511,"AUTHORISED",'FY26 cash'!$J$7:$J$511,"Goods-tagged")</f>
        <v/>
      </c>
      <c r="F114" t="inlineStr">
        <is>
          <t>Invoice payments and authorised bank spending; gross cash.</t>
        </is>
      </c>
    </row>
    <row r="115" ht="26" customHeight="1">
      <c r="A115" t="inlineStr">
        <is>
          <t>Erldunda Roadhouse</t>
        </is>
      </c>
      <c r="B115">
        <f>SUMIFS('FY26 cash'!$K$7:$K$511,'FY26 cash'!$D$7:$D$511,A115,'FY26 cash'!$E$7:$E$511,"Out")</f>
        <v/>
      </c>
      <c r="C115">
        <f>IF(E115=0,"",_xlfn.MINIFS('FY26 cash'!$C$7:$C$511,'FY26 cash'!$D$7:$D$511,A115,'FY26 cash'!$E$7:$E$511,"Out",'FY26 cash'!$G$7:$G$511,"AUTHORISED",'FY26 cash'!$J$7:$J$511,"Goods-tagged"))</f>
        <v/>
      </c>
      <c r="D115">
        <f>IF(E115=0,"",_xlfn.MAXIFS('FY26 cash'!$C$7:$C$511,'FY26 cash'!$D$7:$D$511,A115,'FY26 cash'!$E$7:$E$511,"Out",'FY26 cash'!$G$7:$G$511,"AUTHORISED",'FY26 cash'!$J$7:$J$511,"Goods-tagged"))</f>
        <v/>
      </c>
      <c r="E115">
        <f>COUNTIFS('FY26 cash'!$D$7:$D$511,A115,'FY26 cash'!$E$7:$E$511,"Out",'FY26 cash'!$G$7:$G$511,"AUTHORISED",'FY26 cash'!$J$7:$J$511,"Goods-tagged")</f>
        <v/>
      </c>
      <c r="F115" t="inlineStr">
        <is>
          <t>Invoice payments and authorised bank spending; gross cash.</t>
        </is>
      </c>
    </row>
    <row r="116" ht="26" customHeight="1">
      <c r="A116" t="inlineStr">
        <is>
          <t>Sunset Snack Bar</t>
        </is>
      </c>
      <c r="B116">
        <f>SUMIFS('FY26 cash'!$K$7:$K$511,'FY26 cash'!$D$7:$D$511,A116,'FY26 cash'!$E$7:$E$511,"Out")</f>
        <v/>
      </c>
      <c r="C116">
        <f>IF(E116=0,"",_xlfn.MINIFS('FY26 cash'!$C$7:$C$511,'FY26 cash'!$D$7:$D$511,A116,'FY26 cash'!$E$7:$E$511,"Out",'FY26 cash'!$G$7:$G$511,"AUTHORISED",'FY26 cash'!$J$7:$J$511,"Goods-tagged"))</f>
        <v/>
      </c>
      <c r="D116">
        <f>IF(E116=0,"",_xlfn.MAXIFS('FY26 cash'!$C$7:$C$511,'FY26 cash'!$D$7:$D$511,A116,'FY26 cash'!$E$7:$E$511,"Out",'FY26 cash'!$G$7:$G$511,"AUTHORISED",'FY26 cash'!$J$7:$J$511,"Goods-tagged"))</f>
        <v/>
      </c>
      <c r="E116">
        <f>COUNTIFS('FY26 cash'!$D$7:$D$511,A116,'FY26 cash'!$E$7:$E$511,"Out",'FY26 cash'!$G$7:$G$511,"AUTHORISED",'FY26 cash'!$J$7:$J$511,"Goods-tagged")</f>
        <v/>
      </c>
      <c r="F116" t="inlineStr">
        <is>
          <t>Invoice payments and authorised bank spending; gross cash.</t>
        </is>
      </c>
    </row>
    <row r="117" ht="26" customHeight="1">
      <c r="A117" t="inlineStr">
        <is>
          <t>One68 General Store &amp; Takeaway</t>
        </is>
      </c>
      <c r="B117">
        <f>SUMIFS('FY26 cash'!$K$7:$K$511,'FY26 cash'!$D$7:$D$511,A117,'FY26 cash'!$E$7:$E$511,"Out")</f>
        <v/>
      </c>
      <c r="C117">
        <f>IF(E117=0,"",_xlfn.MINIFS('FY26 cash'!$C$7:$C$511,'FY26 cash'!$D$7:$D$511,A117,'FY26 cash'!$E$7:$E$511,"Out",'FY26 cash'!$G$7:$G$511,"AUTHORISED",'FY26 cash'!$J$7:$J$511,"Goods-tagged"))</f>
        <v/>
      </c>
      <c r="D117">
        <f>IF(E117=0,"",_xlfn.MAXIFS('FY26 cash'!$C$7:$C$511,'FY26 cash'!$D$7:$D$511,A117,'FY26 cash'!$E$7:$E$511,"Out",'FY26 cash'!$G$7:$G$511,"AUTHORISED",'FY26 cash'!$J$7:$J$511,"Goods-tagged"))</f>
        <v/>
      </c>
      <c r="E117">
        <f>COUNTIFS('FY26 cash'!$D$7:$D$511,A117,'FY26 cash'!$E$7:$E$511,"Out",'FY26 cash'!$G$7:$G$511,"AUTHORISED",'FY26 cash'!$J$7:$J$511,"Goods-tagged")</f>
        <v/>
      </c>
      <c r="F117" t="inlineStr">
        <is>
          <t>Invoice payments and authorised bank spending; gross cash.</t>
        </is>
      </c>
    </row>
    <row r="118" ht="26" customHeight="1">
      <c r="A118" t="inlineStr">
        <is>
          <t>News Travels</t>
        </is>
      </c>
      <c r="B118">
        <f>SUMIFS('FY26 cash'!$K$7:$K$511,'FY26 cash'!$D$7:$D$511,A118,'FY26 cash'!$E$7:$E$511,"Out")</f>
        <v/>
      </c>
      <c r="C118">
        <f>IF(E118=0,"",_xlfn.MINIFS('FY26 cash'!$C$7:$C$511,'FY26 cash'!$D$7:$D$511,A118,'FY26 cash'!$E$7:$E$511,"Out",'FY26 cash'!$G$7:$G$511,"AUTHORISED",'FY26 cash'!$J$7:$J$511,"Goods-tagged"))</f>
        <v/>
      </c>
      <c r="D118">
        <f>IF(E118=0,"",_xlfn.MAXIFS('FY26 cash'!$C$7:$C$511,'FY26 cash'!$D$7:$D$511,A118,'FY26 cash'!$E$7:$E$511,"Out",'FY26 cash'!$G$7:$G$511,"AUTHORISED",'FY26 cash'!$J$7:$J$511,"Goods-tagged"))</f>
        <v/>
      </c>
      <c r="E118">
        <f>COUNTIFS('FY26 cash'!$D$7:$D$511,A118,'FY26 cash'!$E$7:$E$511,"Out",'FY26 cash'!$G$7:$G$511,"AUTHORISED",'FY26 cash'!$J$7:$J$511,"Goods-tagged")</f>
        <v/>
      </c>
      <c r="F118" t="inlineStr">
        <is>
          <t>Invoice payments and authorised bank spending; gross cash.</t>
        </is>
      </c>
    </row>
    <row r="119" ht="26" customHeight="1">
      <c r="A119" t="inlineStr">
        <is>
          <t>The Townsville Store</t>
        </is>
      </c>
      <c r="B119">
        <f>SUMIFS('FY26 cash'!$K$7:$K$511,'FY26 cash'!$D$7:$D$511,A119,'FY26 cash'!$E$7:$E$511,"Out")</f>
        <v/>
      </c>
      <c r="C119">
        <f>IF(E119=0,"",_xlfn.MINIFS('FY26 cash'!$C$7:$C$511,'FY26 cash'!$D$7:$D$511,A119,'FY26 cash'!$E$7:$E$511,"Out",'FY26 cash'!$G$7:$G$511,"AUTHORISED",'FY26 cash'!$J$7:$J$511,"Goods-tagged"))</f>
        <v/>
      </c>
      <c r="D119">
        <f>IF(E119=0,"",_xlfn.MAXIFS('FY26 cash'!$C$7:$C$511,'FY26 cash'!$D$7:$D$511,A119,'FY26 cash'!$E$7:$E$511,"Out",'FY26 cash'!$G$7:$G$511,"AUTHORISED",'FY26 cash'!$J$7:$J$511,"Goods-tagged"))</f>
        <v/>
      </c>
      <c r="E119">
        <f>COUNTIFS('FY26 cash'!$D$7:$D$511,A119,'FY26 cash'!$E$7:$E$511,"Out",'FY26 cash'!$G$7:$G$511,"AUTHORISED",'FY26 cash'!$J$7:$J$511,"Goods-tagged")</f>
        <v/>
      </c>
      <c r="F119" t="inlineStr">
        <is>
          <t>Invoice payments and authorised bank spending; gross cash.</t>
        </is>
      </c>
    </row>
    <row r="120" ht="26" customHeight="1">
      <c r="A120" t="inlineStr">
        <is>
          <t>Ampol Teppa Hill</t>
        </is>
      </c>
      <c r="B120">
        <f>SUMIFS('FY26 cash'!$K$7:$K$511,'FY26 cash'!$D$7:$D$511,A120,'FY26 cash'!$E$7:$E$511,"Out")</f>
        <v/>
      </c>
      <c r="C120">
        <f>IF(E120=0,"",_xlfn.MINIFS('FY26 cash'!$C$7:$C$511,'FY26 cash'!$D$7:$D$511,A120,'FY26 cash'!$E$7:$E$511,"Out",'FY26 cash'!$G$7:$G$511,"AUTHORISED",'FY26 cash'!$J$7:$J$511,"Goods-tagged"))</f>
        <v/>
      </c>
      <c r="D120">
        <f>IF(E120=0,"",_xlfn.MAXIFS('FY26 cash'!$C$7:$C$511,'FY26 cash'!$D$7:$D$511,A120,'FY26 cash'!$E$7:$E$511,"Out",'FY26 cash'!$G$7:$G$511,"AUTHORISED",'FY26 cash'!$J$7:$J$511,"Goods-tagged"))</f>
        <v/>
      </c>
      <c r="E120">
        <f>COUNTIFS('FY26 cash'!$D$7:$D$511,A120,'FY26 cash'!$E$7:$E$511,"Out",'FY26 cash'!$G$7:$G$511,"AUTHORISED",'FY26 cash'!$J$7:$J$511,"Goods-tagged")</f>
        <v/>
      </c>
      <c r="F120" t="inlineStr">
        <is>
          <t>Invoice payments and authorised bank spending; gross cash.</t>
        </is>
      </c>
    </row>
    <row r="121" ht="26" customHeight="1">
      <c r="A121" t="inlineStr">
        <is>
          <t>Ti Tree Farm Garden</t>
        </is>
      </c>
      <c r="B121">
        <f>SUMIFS('FY26 cash'!$K$7:$K$511,'FY26 cash'!$D$7:$D$511,A121,'FY26 cash'!$E$7:$E$511,"Out")</f>
        <v/>
      </c>
      <c r="C121">
        <f>IF(E121=0,"",_xlfn.MINIFS('FY26 cash'!$C$7:$C$511,'FY26 cash'!$D$7:$D$511,A121,'FY26 cash'!$E$7:$E$511,"Out",'FY26 cash'!$G$7:$G$511,"AUTHORISED",'FY26 cash'!$J$7:$J$511,"Goods-tagged"))</f>
        <v/>
      </c>
      <c r="D121">
        <f>IF(E121=0,"",_xlfn.MAXIFS('FY26 cash'!$C$7:$C$511,'FY26 cash'!$D$7:$D$511,A121,'FY26 cash'!$E$7:$E$511,"Out",'FY26 cash'!$G$7:$G$511,"AUTHORISED",'FY26 cash'!$J$7:$J$511,"Goods-tagged"))</f>
        <v/>
      </c>
      <c r="E121">
        <f>COUNTIFS('FY26 cash'!$D$7:$D$511,A121,'FY26 cash'!$E$7:$E$511,"Out",'FY26 cash'!$G$7:$G$511,"AUTHORISED",'FY26 cash'!$J$7:$J$511,"Goods-tagged")</f>
        <v/>
      </c>
      <c r="F121" t="inlineStr">
        <is>
          <t>Invoice payments and authorised bank spending; gross cash.</t>
        </is>
      </c>
    </row>
    <row r="122" ht="26" customHeight="1">
      <c r="A122" t="inlineStr">
        <is>
          <t>Marla Travellers Rest</t>
        </is>
      </c>
      <c r="B122">
        <f>SUMIFS('FY26 cash'!$K$7:$K$511,'FY26 cash'!$D$7:$D$511,A122,'FY26 cash'!$E$7:$E$511,"Out")</f>
        <v/>
      </c>
      <c r="C122">
        <f>IF(E122=0,"",_xlfn.MINIFS('FY26 cash'!$C$7:$C$511,'FY26 cash'!$D$7:$D$511,A122,'FY26 cash'!$E$7:$E$511,"Out",'FY26 cash'!$G$7:$G$511,"AUTHORISED",'FY26 cash'!$J$7:$J$511,"Goods-tagged"))</f>
        <v/>
      </c>
      <c r="D122">
        <f>IF(E122=0,"",_xlfn.MAXIFS('FY26 cash'!$C$7:$C$511,'FY26 cash'!$D$7:$D$511,A122,'FY26 cash'!$E$7:$E$511,"Out",'FY26 cash'!$G$7:$G$511,"AUTHORISED",'FY26 cash'!$J$7:$J$511,"Goods-tagged"))</f>
        <v/>
      </c>
      <c r="E122">
        <f>COUNTIFS('FY26 cash'!$D$7:$D$511,A122,'FY26 cash'!$E$7:$E$511,"Out",'FY26 cash'!$G$7:$G$511,"AUTHORISED",'FY26 cash'!$J$7:$J$511,"Goods-tagged")</f>
        <v/>
      </c>
      <c r="F122" t="inlineStr">
        <is>
          <t>Invoice payments and authorised bank spending; gross cash.</t>
        </is>
      </c>
    </row>
    <row r="123" ht="26" customHeight="1">
      <c r="A123" t="inlineStr">
        <is>
          <t>GM Taxipay</t>
        </is>
      </c>
      <c r="B123">
        <f>SUMIFS('FY26 cash'!$K$7:$K$511,'FY26 cash'!$D$7:$D$511,A123,'FY26 cash'!$E$7:$E$511,"Out")</f>
        <v/>
      </c>
      <c r="C123">
        <f>IF(E123=0,"",_xlfn.MINIFS('FY26 cash'!$C$7:$C$511,'FY26 cash'!$D$7:$D$511,A123,'FY26 cash'!$E$7:$E$511,"Out",'FY26 cash'!$G$7:$G$511,"AUTHORISED",'FY26 cash'!$J$7:$J$511,"Goods-tagged"))</f>
        <v/>
      </c>
      <c r="D123">
        <f>IF(E123=0,"",_xlfn.MAXIFS('FY26 cash'!$C$7:$C$511,'FY26 cash'!$D$7:$D$511,A123,'FY26 cash'!$E$7:$E$511,"Out",'FY26 cash'!$G$7:$G$511,"AUTHORISED",'FY26 cash'!$J$7:$J$511,"Goods-tagged"))</f>
        <v/>
      </c>
      <c r="E123">
        <f>COUNTIFS('FY26 cash'!$D$7:$D$511,A123,'FY26 cash'!$E$7:$E$511,"Out",'FY26 cash'!$G$7:$G$511,"AUTHORISED",'FY26 cash'!$J$7:$J$511,"Goods-tagged")</f>
        <v/>
      </c>
      <c r="F123" t="inlineStr">
        <is>
          <t>Invoice payments and authorised bank spending; gross cash.</t>
        </is>
      </c>
    </row>
    <row r="124" ht="26" customHeight="1">
      <c r="A124" t="inlineStr">
        <is>
          <t>Sukhothai Authentic Thai Restaurant</t>
        </is>
      </c>
      <c r="B124">
        <f>SUMIFS('FY26 cash'!$K$7:$K$511,'FY26 cash'!$D$7:$D$511,A124,'FY26 cash'!$E$7:$E$511,"Out")</f>
        <v/>
      </c>
      <c r="C124">
        <f>IF(E124=0,"",_xlfn.MINIFS('FY26 cash'!$C$7:$C$511,'FY26 cash'!$D$7:$D$511,A124,'FY26 cash'!$E$7:$E$511,"Out",'FY26 cash'!$G$7:$G$511,"AUTHORISED",'FY26 cash'!$J$7:$J$511,"Goods-tagged"))</f>
        <v/>
      </c>
      <c r="D124">
        <f>IF(E124=0,"",_xlfn.MAXIFS('FY26 cash'!$C$7:$C$511,'FY26 cash'!$D$7:$D$511,A124,'FY26 cash'!$E$7:$E$511,"Out",'FY26 cash'!$G$7:$G$511,"AUTHORISED",'FY26 cash'!$J$7:$J$511,"Goods-tagged"))</f>
        <v/>
      </c>
      <c r="E124">
        <f>COUNTIFS('FY26 cash'!$D$7:$D$511,A124,'FY26 cash'!$E$7:$E$511,"Out",'FY26 cash'!$G$7:$G$511,"AUTHORISED",'FY26 cash'!$J$7:$J$511,"Goods-tagged")</f>
        <v/>
      </c>
      <c r="F124" t="inlineStr">
        <is>
          <t>Invoice payments and authorised bank spending; gross cash.</t>
        </is>
      </c>
    </row>
    <row r="125" ht="26" customHeight="1">
      <c r="A125" t="inlineStr">
        <is>
          <t>BP Complex Tennant Creek</t>
        </is>
      </c>
      <c r="B125">
        <f>SUMIFS('FY26 cash'!$K$7:$K$511,'FY26 cash'!$D$7:$D$511,A125,'FY26 cash'!$E$7:$E$511,"Out")</f>
        <v/>
      </c>
      <c r="C125">
        <f>IF(E125=0,"",_xlfn.MINIFS('FY26 cash'!$C$7:$C$511,'FY26 cash'!$D$7:$D$511,A125,'FY26 cash'!$E$7:$E$511,"Out",'FY26 cash'!$G$7:$G$511,"AUTHORISED",'FY26 cash'!$J$7:$J$511,"Goods-tagged"))</f>
        <v/>
      </c>
      <c r="D125">
        <f>IF(E125=0,"",_xlfn.MAXIFS('FY26 cash'!$C$7:$C$511,'FY26 cash'!$D$7:$D$511,A125,'FY26 cash'!$E$7:$E$511,"Out",'FY26 cash'!$G$7:$G$511,"AUTHORISED",'FY26 cash'!$J$7:$J$511,"Goods-tagged"))</f>
        <v/>
      </c>
      <c r="E125">
        <f>COUNTIFS('FY26 cash'!$D$7:$D$511,A125,'FY26 cash'!$E$7:$E$511,"Out",'FY26 cash'!$G$7:$G$511,"AUTHORISED",'FY26 cash'!$J$7:$J$511,"Goods-tagged")</f>
        <v/>
      </c>
      <c r="F125" t="inlineStr">
        <is>
          <t>Invoice payments and authorised bank spending; gross cash.</t>
        </is>
      </c>
    </row>
    <row r="126" ht="26" customHeight="1">
      <c r="A126" t="inlineStr">
        <is>
          <t>JB Hi-Fi</t>
        </is>
      </c>
      <c r="B126">
        <f>SUMIFS('FY26 cash'!$K$7:$K$511,'FY26 cash'!$D$7:$D$511,A126,'FY26 cash'!$E$7:$E$511,"Out")</f>
        <v/>
      </c>
      <c r="C126">
        <f>IF(E126=0,"",_xlfn.MINIFS('FY26 cash'!$C$7:$C$511,'FY26 cash'!$D$7:$D$511,A126,'FY26 cash'!$E$7:$E$511,"Out",'FY26 cash'!$G$7:$G$511,"AUTHORISED",'FY26 cash'!$J$7:$J$511,"Goods-tagged"))</f>
        <v/>
      </c>
      <c r="D126">
        <f>IF(E126=0,"",_xlfn.MAXIFS('FY26 cash'!$C$7:$C$511,'FY26 cash'!$D$7:$D$511,A126,'FY26 cash'!$E$7:$E$511,"Out",'FY26 cash'!$G$7:$G$511,"AUTHORISED",'FY26 cash'!$J$7:$J$511,"Goods-tagged"))</f>
        <v/>
      </c>
      <c r="E126">
        <f>COUNTIFS('FY26 cash'!$D$7:$D$511,A126,'FY26 cash'!$E$7:$E$511,"Out",'FY26 cash'!$G$7:$G$511,"AUTHORISED",'FY26 cash'!$J$7:$J$511,"Goods-tagged")</f>
        <v/>
      </c>
      <c r="F126" t="inlineStr">
        <is>
          <t>Invoice payments and authorised bank spending; gross cash.</t>
        </is>
      </c>
    </row>
    <row r="127" ht="26" customHeight="1">
      <c r="A127" t="inlineStr">
        <is>
          <t>Community Enterprise Qld</t>
        </is>
      </c>
      <c r="B127">
        <f>SUMIFS('FY26 cash'!$K$7:$K$511,'FY26 cash'!$D$7:$D$511,A127,'FY26 cash'!$E$7:$E$511,"Out")</f>
        <v/>
      </c>
      <c r="C127">
        <f>IF(E127=0,"",_xlfn.MINIFS('FY26 cash'!$C$7:$C$511,'FY26 cash'!$D$7:$D$511,A127,'FY26 cash'!$E$7:$E$511,"Out",'FY26 cash'!$G$7:$G$511,"AUTHORISED",'FY26 cash'!$J$7:$J$511,"Goods-tagged"))</f>
        <v/>
      </c>
      <c r="D127">
        <f>IF(E127=0,"",_xlfn.MAXIFS('FY26 cash'!$C$7:$C$511,'FY26 cash'!$D$7:$D$511,A127,'FY26 cash'!$E$7:$E$511,"Out",'FY26 cash'!$G$7:$G$511,"AUTHORISED",'FY26 cash'!$J$7:$J$511,"Goods-tagged"))</f>
        <v/>
      </c>
      <c r="E127">
        <f>COUNTIFS('FY26 cash'!$D$7:$D$511,A127,'FY26 cash'!$E$7:$E$511,"Out",'FY26 cash'!$G$7:$G$511,"AUTHORISED",'FY26 cash'!$J$7:$J$511,"Goods-tagged")</f>
        <v/>
      </c>
      <c r="F127" t="inlineStr">
        <is>
          <t>Invoice payments and authorised bank spending; gross cash.</t>
        </is>
      </c>
    </row>
    <row r="128" ht="26" customHeight="1">
      <c r="A128" t="inlineStr">
        <is>
          <t>Uncle Don West End</t>
        </is>
      </c>
      <c r="B128">
        <f>SUMIFS('FY26 cash'!$K$7:$K$511,'FY26 cash'!$D$7:$D$511,A128,'FY26 cash'!$E$7:$E$511,"Out")</f>
        <v/>
      </c>
      <c r="C128">
        <f>IF(E128=0,"",_xlfn.MINIFS('FY26 cash'!$C$7:$C$511,'FY26 cash'!$D$7:$D$511,A128,'FY26 cash'!$E$7:$E$511,"Out",'FY26 cash'!$G$7:$G$511,"AUTHORISED",'FY26 cash'!$J$7:$J$511,"Goods-tagged"))</f>
        <v/>
      </c>
      <c r="D128">
        <f>IF(E128=0,"",_xlfn.MAXIFS('FY26 cash'!$C$7:$C$511,'FY26 cash'!$D$7:$D$511,A128,'FY26 cash'!$E$7:$E$511,"Out",'FY26 cash'!$G$7:$G$511,"AUTHORISED",'FY26 cash'!$J$7:$J$511,"Goods-tagged"))</f>
        <v/>
      </c>
      <c r="E128">
        <f>COUNTIFS('FY26 cash'!$D$7:$D$511,A128,'FY26 cash'!$E$7:$E$511,"Out",'FY26 cash'!$G$7:$G$511,"AUTHORISED",'FY26 cash'!$J$7:$J$511,"Goods-tagged")</f>
        <v/>
      </c>
      <c r="F128" t="inlineStr">
        <is>
          <t>Invoice payments and authorised bank spending; gross cash.</t>
        </is>
      </c>
    </row>
    <row r="129" ht="26" customHeight="1">
      <c r="A129" t="inlineStr">
        <is>
          <t>WizBang Technologies</t>
        </is>
      </c>
      <c r="B129">
        <f>SUMIFS('FY26 cash'!$K$7:$K$511,'FY26 cash'!$D$7:$D$511,A129,'FY26 cash'!$E$7:$E$511,"Out")</f>
        <v/>
      </c>
      <c r="C129">
        <f>IF(E129=0,"",_xlfn.MINIFS('FY26 cash'!$C$7:$C$511,'FY26 cash'!$D$7:$D$511,A129,'FY26 cash'!$E$7:$E$511,"Out",'FY26 cash'!$G$7:$G$511,"AUTHORISED",'FY26 cash'!$J$7:$J$511,"Goods-tagged"))</f>
        <v/>
      </c>
      <c r="D129">
        <f>IF(E129=0,"",_xlfn.MAXIFS('FY26 cash'!$C$7:$C$511,'FY26 cash'!$D$7:$D$511,A129,'FY26 cash'!$E$7:$E$511,"Out",'FY26 cash'!$G$7:$G$511,"AUTHORISED",'FY26 cash'!$J$7:$J$511,"Goods-tagged"))</f>
        <v/>
      </c>
      <c r="E129">
        <f>COUNTIFS('FY26 cash'!$D$7:$D$511,A129,'FY26 cash'!$E$7:$E$511,"Out",'FY26 cash'!$G$7:$G$511,"AUTHORISED",'FY26 cash'!$J$7:$J$511,"Goods-tagged")</f>
        <v/>
      </c>
      <c r="F129" t="inlineStr">
        <is>
          <t>Invoice payments and authorised bank spending; gross cash.</t>
        </is>
      </c>
    </row>
    <row r="130" ht="26" customHeight="1">
      <c r="A130" t="inlineStr">
        <is>
          <t>Bay Leaf Cafe</t>
        </is>
      </c>
      <c r="B130">
        <f>SUMIFS('FY26 cash'!$K$7:$K$511,'FY26 cash'!$D$7:$D$511,A130,'FY26 cash'!$E$7:$E$511,"Out")</f>
        <v/>
      </c>
      <c r="C130">
        <f>IF(E130=0,"",_xlfn.MINIFS('FY26 cash'!$C$7:$C$511,'FY26 cash'!$D$7:$D$511,A130,'FY26 cash'!$E$7:$E$511,"Out",'FY26 cash'!$G$7:$G$511,"AUTHORISED",'FY26 cash'!$J$7:$J$511,"Goods-tagged"))</f>
        <v/>
      </c>
      <c r="D130">
        <f>IF(E130=0,"",_xlfn.MAXIFS('FY26 cash'!$C$7:$C$511,'FY26 cash'!$D$7:$D$511,A130,'FY26 cash'!$E$7:$E$511,"Out",'FY26 cash'!$G$7:$G$511,"AUTHORISED",'FY26 cash'!$J$7:$J$511,"Goods-tagged"))</f>
        <v/>
      </c>
      <c r="E130">
        <f>COUNTIFS('FY26 cash'!$D$7:$D$511,A130,'FY26 cash'!$E$7:$E$511,"Out",'FY26 cash'!$G$7:$G$511,"AUTHORISED",'FY26 cash'!$J$7:$J$511,"Goods-tagged")</f>
        <v/>
      </c>
      <c r="F130" t="inlineStr">
        <is>
          <t>Invoice payments and authorised bank spending; gross cash.</t>
        </is>
      </c>
    </row>
    <row r="131" ht="26" customHeight="1">
      <c r="A131" t="inlineStr">
        <is>
          <t>George St Deli</t>
        </is>
      </c>
      <c r="B131">
        <f>SUMIFS('FY26 cash'!$K$7:$K$511,'FY26 cash'!$D$7:$D$511,A131,'FY26 cash'!$E$7:$E$511,"Out")</f>
        <v/>
      </c>
      <c r="C131">
        <f>IF(E131=0,"",_xlfn.MINIFS('FY26 cash'!$C$7:$C$511,'FY26 cash'!$D$7:$D$511,A131,'FY26 cash'!$E$7:$E$511,"Out",'FY26 cash'!$G$7:$G$511,"AUTHORISED",'FY26 cash'!$J$7:$J$511,"Goods-tagged"))</f>
        <v/>
      </c>
      <c r="D131">
        <f>IF(E131=0,"",_xlfn.MAXIFS('FY26 cash'!$C$7:$C$511,'FY26 cash'!$D$7:$D$511,A131,'FY26 cash'!$E$7:$E$511,"Out",'FY26 cash'!$G$7:$G$511,"AUTHORISED",'FY26 cash'!$J$7:$J$511,"Goods-tagged"))</f>
        <v/>
      </c>
      <c r="E131">
        <f>COUNTIFS('FY26 cash'!$D$7:$D$511,A131,'FY26 cash'!$E$7:$E$511,"Out",'FY26 cash'!$G$7:$G$511,"AUTHORISED",'FY26 cash'!$J$7:$J$511,"Goods-tagged")</f>
        <v/>
      </c>
      <c r="F131" t="inlineStr">
        <is>
          <t>Invoice payments and authorised bank spending; gross cash.</t>
        </is>
      </c>
    </row>
    <row r="132" ht="26" customHeight="1">
      <c r="A132" t="inlineStr">
        <is>
          <t>TAMER CORPORATION</t>
        </is>
      </c>
      <c r="B132">
        <f>SUMIFS('FY26 cash'!$K$7:$K$511,'FY26 cash'!$D$7:$D$511,A132,'FY26 cash'!$E$7:$E$511,"Out")</f>
        <v/>
      </c>
      <c r="C132">
        <f>IF(E132=0,"",_xlfn.MINIFS('FY26 cash'!$C$7:$C$511,'FY26 cash'!$D$7:$D$511,A132,'FY26 cash'!$E$7:$E$511,"Out",'FY26 cash'!$G$7:$G$511,"AUTHORISED",'FY26 cash'!$J$7:$J$511,"Goods-tagged"))</f>
        <v/>
      </c>
      <c r="D132">
        <f>IF(E132=0,"",_xlfn.MAXIFS('FY26 cash'!$C$7:$C$511,'FY26 cash'!$D$7:$D$511,A132,'FY26 cash'!$E$7:$E$511,"Out",'FY26 cash'!$G$7:$G$511,"AUTHORISED",'FY26 cash'!$J$7:$J$511,"Goods-tagged"))</f>
        <v/>
      </c>
      <c r="E132">
        <f>COUNTIFS('FY26 cash'!$D$7:$D$511,A132,'FY26 cash'!$E$7:$E$511,"Out",'FY26 cash'!$G$7:$G$511,"AUTHORISED",'FY26 cash'!$J$7:$J$511,"Goods-tagged")</f>
        <v/>
      </c>
      <c r="F132" t="inlineStr">
        <is>
          <t>Invoice payments and authorised bank spending; gross cash.</t>
        </is>
      </c>
    </row>
    <row r="133" ht="26" customHeight="1">
      <c r="A133" t="inlineStr">
        <is>
          <t>Qantas</t>
        </is>
      </c>
      <c r="B133">
        <f>SUMIFS('FY26 cash'!$K$7:$K$511,'FY26 cash'!$D$7:$D$511,A133,'FY26 cash'!$E$7:$E$511,"Out")</f>
        <v/>
      </c>
      <c r="C133">
        <f>IF(E133=0,"",_xlfn.MINIFS('FY26 cash'!$C$7:$C$511,'FY26 cash'!$D$7:$D$511,A133,'FY26 cash'!$E$7:$E$511,"Out",'FY26 cash'!$G$7:$G$511,"AUTHORISED",'FY26 cash'!$J$7:$J$511,"Goods-tagged"))</f>
        <v/>
      </c>
      <c r="D133">
        <f>IF(E133=0,"",_xlfn.MAXIFS('FY26 cash'!$C$7:$C$511,'FY26 cash'!$D$7:$D$511,A133,'FY26 cash'!$E$7:$E$511,"Out",'FY26 cash'!$G$7:$G$511,"AUTHORISED",'FY26 cash'!$J$7:$J$511,"Goods-tagged"))</f>
        <v/>
      </c>
      <c r="E133">
        <f>COUNTIFS('FY26 cash'!$D$7:$D$511,A133,'FY26 cash'!$E$7:$E$511,"Out",'FY26 cash'!$G$7:$G$511,"AUTHORISED",'FY26 cash'!$J$7:$J$511,"Goods-tagged")</f>
        <v/>
      </c>
      <c r="F133" t="inlineStr">
        <is>
          <t>Invoice payments and authorised bank spending; gross cash.</t>
        </is>
      </c>
    </row>
    <row r="134" ht="26" customHeight="1">
      <c r="A134" t="inlineStr">
        <is>
          <t>Fishbowl Darlinghurst</t>
        </is>
      </c>
      <c r="B134">
        <f>SUMIFS('FY26 cash'!$K$7:$K$511,'FY26 cash'!$D$7:$D$511,A134,'FY26 cash'!$E$7:$E$511,"Out")</f>
        <v/>
      </c>
      <c r="C134">
        <f>IF(E134=0,"",_xlfn.MINIFS('FY26 cash'!$C$7:$C$511,'FY26 cash'!$D$7:$D$511,A134,'FY26 cash'!$E$7:$E$511,"Out",'FY26 cash'!$G$7:$G$511,"AUTHORISED",'FY26 cash'!$J$7:$J$511,"Goods-tagged"))</f>
        <v/>
      </c>
      <c r="D134">
        <f>IF(E134=0,"",_xlfn.MAXIFS('FY26 cash'!$C$7:$C$511,'FY26 cash'!$D$7:$D$511,A134,'FY26 cash'!$E$7:$E$511,"Out",'FY26 cash'!$G$7:$G$511,"AUTHORISED",'FY26 cash'!$J$7:$J$511,"Goods-tagged"))</f>
        <v/>
      </c>
      <c r="E134">
        <f>COUNTIFS('FY26 cash'!$D$7:$D$511,A134,'FY26 cash'!$E$7:$E$511,"Out",'FY26 cash'!$G$7:$G$511,"AUTHORISED",'FY26 cash'!$J$7:$J$511,"Goods-tagged")</f>
        <v/>
      </c>
      <c r="F134" t="inlineStr">
        <is>
          <t>Invoice payments and authorised bank spending; gross cash.</t>
        </is>
      </c>
    </row>
    <row r="135" ht="26" customHeight="1">
      <c r="A135" t="inlineStr">
        <is>
          <t>Kmart</t>
        </is>
      </c>
      <c r="B135">
        <f>SUMIFS('FY26 cash'!$K$7:$K$511,'FY26 cash'!$D$7:$D$511,A135,'FY26 cash'!$E$7:$E$511,"Out")</f>
        <v/>
      </c>
      <c r="C135">
        <f>IF(E135=0,"",_xlfn.MINIFS('FY26 cash'!$C$7:$C$511,'FY26 cash'!$D$7:$D$511,A135,'FY26 cash'!$E$7:$E$511,"Out",'FY26 cash'!$G$7:$G$511,"AUTHORISED",'FY26 cash'!$J$7:$J$511,"Goods-tagged"))</f>
        <v/>
      </c>
      <c r="D135">
        <f>IF(E135=0,"",_xlfn.MAXIFS('FY26 cash'!$C$7:$C$511,'FY26 cash'!$D$7:$D$511,A135,'FY26 cash'!$E$7:$E$511,"Out",'FY26 cash'!$G$7:$G$511,"AUTHORISED",'FY26 cash'!$J$7:$J$511,"Goods-tagged"))</f>
        <v/>
      </c>
      <c r="E135">
        <f>COUNTIFS('FY26 cash'!$D$7:$D$511,A135,'FY26 cash'!$E$7:$E$511,"Out",'FY26 cash'!$G$7:$G$511,"AUTHORISED",'FY26 cash'!$J$7:$J$511,"Goods-tagged")</f>
        <v/>
      </c>
      <c r="F135" t="inlineStr">
        <is>
          <t>Invoice payments and authorised bank spending; gross cash.</t>
        </is>
      </c>
    </row>
    <row r="136" ht="26" customHeight="1">
      <c r="A136" t="inlineStr">
        <is>
          <t>IMC Steakhouse Palmer Street</t>
        </is>
      </c>
      <c r="B136">
        <f>SUMIFS('FY26 cash'!$K$7:$K$511,'FY26 cash'!$D$7:$D$511,A136,'FY26 cash'!$E$7:$E$511,"Out")</f>
        <v/>
      </c>
      <c r="C136">
        <f>IF(E136=0,"",_xlfn.MINIFS('FY26 cash'!$C$7:$C$511,'FY26 cash'!$D$7:$D$511,A136,'FY26 cash'!$E$7:$E$511,"Out",'FY26 cash'!$G$7:$G$511,"AUTHORISED",'FY26 cash'!$J$7:$J$511,"Goods-tagged"))</f>
        <v/>
      </c>
      <c r="D136">
        <f>IF(E136=0,"",_xlfn.MAXIFS('FY26 cash'!$C$7:$C$511,'FY26 cash'!$D$7:$D$511,A136,'FY26 cash'!$E$7:$E$511,"Out",'FY26 cash'!$G$7:$G$511,"AUTHORISED",'FY26 cash'!$J$7:$J$511,"Goods-tagged"))</f>
        <v/>
      </c>
      <c r="E136">
        <f>COUNTIFS('FY26 cash'!$D$7:$D$511,A136,'FY26 cash'!$E$7:$E$511,"Out",'FY26 cash'!$G$7:$G$511,"AUTHORISED",'FY26 cash'!$J$7:$J$511,"Goods-tagged")</f>
        <v/>
      </c>
      <c r="F136" t="inlineStr">
        <is>
          <t>Invoice payments and authorised bank spending; gross cash.</t>
        </is>
      </c>
    </row>
    <row r="137" ht="26" customHeight="1">
      <c r="A137" t="inlineStr">
        <is>
          <t>Fat Tuna Darwin</t>
        </is>
      </c>
      <c r="B137">
        <f>SUMIFS('FY26 cash'!$K$7:$K$511,'FY26 cash'!$D$7:$D$511,A137,'FY26 cash'!$E$7:$E$511,"Out")</f>
        <v/>
      </c>
      <c r="C137">
        <f>IF(E137=0,"",_xlfn.MINIFS('FY26 cash'!$C$7:$C$511,'FY26 cash'!$D$7:$D$511,A137,'FY26 cash'!$E$7:$E$511,"Out",'FY26 cash'!$G$7:$G$511,"AUTHORISED",'FY26 cash'!$J$7:$J$511,"Goods-tagged"))</f>
        <v/>
      </c>
      <c r="D137">
        <f>IF(E137=0,"",_xlfn.MAXIFS('FY26 cash'!$C$7:$C$511,'FY26 cash'!$D$7:$D$511,A137,'FY26 cash'!$E$7:$E$511,"Out",'FY26 cash'!$G$7:$G$511,"AUTHORISED",'FY26 cash'!$J$7:$J$511,"Goods-tagged"))</f>
        <v/>
      </c>
      <c r="E137">
        <f>COUNTIFS('FY26 cash'!$D$7:$D$511,A137,'FY26 cash'!$E$7:$E$511,"Out",'FY26 cash'!$G$7:$G$511,"AUTHORISED",'FY26 cash'!$J$7:$J$511,"Goods-tagged")</f>
        <v/>
      </c>
      <c r="F137" t="inlineStr">
        <is>
          <t>Invoice payments and authorised bank spending; gross cash.</t>
        </is>
      </c>
    </row>
    <row r="138" ht="26" customHeight="1">
      <c r="A138" t="inlineStr">
        <is>
          <t>Zapier</t>
        </is>
      </c>
      <c r="B138">
        <f>SUMIFS('FY26 cash'!$K$7:$K$511,'FY26 cash'!$D$7:$D$511,A138,'FY26 cash'!$E$7:$E$511,"Out")</f>
        <v/>
      </c>
      <c r="C138">
        <f>IF(E138=0,"",_xlfn.MINIFS('FY26 cash'!$C$7:$C$511,'FY26 cash'!$D$7:$D$511,A138,'FY26 cash'!$E$7:$E$511,"Out",'FY26 cash'!$G$7:$G$511,"AUTHORISED",'FY26 cash'!$J$7:$J$511,"Goods-tagged"))</f>
        <v/>
      </c>
      <c r="D138">
        <f>IF(E138=0,"",_xlfn.MAXIFS('FY26 cash'!$C$7:$C$511,'FY26 cash'!$D$7:$D$511,A138,'FY26 cash'!$E$7:$E$511,"Out",'FY26 cash'!$G$7:$G$511,"AUTHORISED",'FY26 cash'!$J$7:$J$511,"Goods-tagged"))</f>
        <v/>
      </c>
      <c r="E138">
        <f>COUNTIFS('FY26 cash'!$D$7:$D$511,A138,'FY26 cash'!$E$7:$E$511,"Out",'FY26 cash'!$G$7:$G$511,"AUTHORISED",'FY26 cash'!$J$7:$J$511,"Goods-tagged")</f>
        <v/>
      </c>
      <c r="F138" t="inlineStr">
        <is>
          <t>Invoice payments and authorised bank spending; gross cash.</t>
        </is>
      </c>
    </row>
    <row r="139" ht="26" customHeight="1">
      <c r="A139" t="inlineStr">
        <is>
          <t>Little Rippers Lifestyles</t>
        </is>
      </c>
      <c r="B139">
        <f>SUMIFS('FY26 cash'!$K$7:$K$511,'FY26 cash'!$D$7:$D$511,A139,'FY26 cash'!$E$7:$E$511,"Out")</f>
        <v/>
      </c>
      <c r="C139">
        <f>IF(E139=0,"",_xlfn.MINIFS('FY26 cash'!$C$7:$C$511,'FY26 cash'!$D$7:$D$511,A139,'FY26 cash'!$E$7:$E$511,"Out",'FY26 cash'!$G$7:$G$511,"AUTHORISED",'FY26 cash'!$J$7:$J$511,"Goods-tagged"))</f>
        <v/>
      </c>
      <c r="D139">
        <f>IF(E139=0,"",_xlfn.MAXIFS('FY26 cash'!$C$7:$C$511,'FY26 cash'!$D$7:$D$511,A139,'FY26 cash'!$E$7:$E$511,"Out",'FY26 cash'!$G$7:$G$511,"AUTHORISED",'FY26 cash'!$J$7:$J$511,"Goods-tagged"))</f>
        <v/>
      </c>
      <c r="E139">
        <f>COUNTIFS('FY26 cash'!$D$7:$D$511,A139,'FY26 cash'!$E$7:$E$511,"Out",'FY26 cash'!$G$7:$G$511,"AUTHORISED",'FY26 cash'!$J$7:$J$511,"Goods-tagged")</f>
        <v/>
      </c>
      <c r="F139" t="inlineStr">
        <is>
          <t>Invoice payments and authorised bank spending; gross cash.</t>
        </is>
      </c>
    </row>
    <row r="140" ht="26" customHeight="1">
      <c r="A140" t="inlineStr">
        <is>
          <t>OTR Pultanes Street (Conventence)</t>
        </is>
      </c>
      <c r="B140">
        <f>SUMIFS('FY26 cash'!$K$7:$K$511,'FY26 cash'!$D$7:$D$511,A140,'FY26 cash'!$E$7:$E$511,"Out")</f>
        <v/>
      </c>
      <c r="C140">
        <f>IF(E140=0,"",_xlfn.MINIFS('FY26 cash'!$C$7:$C$511,'FY26 cash'!$D$7:$D$511,A140,'FY26 cash'!$E$7:$E$511,"Out",'FY26 cash'!$G$7:$G$511,"AUTHORISED",'FY26 cash'!$J$7:$J$511,"Goods-tagged"))</f>
        <v/>
      </c>
      <c r="D140">
        <f>IF(E140=0,"",_xlfn.MAXIFS('FY26 cash'!$C$7:$C$511,'FY26 cash'!$D$7:$D$511,A140,'FY26 cash'!$E$7:$E$511,"Out",'FY26 cash'!$G$7:$G$511,"AUTHORISED",'FY26 cash'!$J$7:$J$511,"Goods-tagged"))</f>
        <v/>
      </c>
      <c r="E140">
        <f>COUNTIFS('FY26 cash'!$D$7:$D$511,A140,'FY26 cash'!$E$7:$E$511,"Out",'FY26 cash'!$G$7:$G$511,"AUTHORISED",'FY26 cash'!$J$7:$J$511,"Goods-tagged")</f>
        <v/>
      </c>
      <c r="F140" t="inlineStr">
        <is>
          <t>Invoice payments and authorised bank spending; gross cash.</t>
        </is>
      </c>
    </row>
    <row r="141" ht="26" customHeight="1">
      <c r="A141" t="inlineStr">
        <is>
          <t>Dar Tèta</t>
        </is>
      </c>
      <c r="B141">
        <f>SUMIFS('FY26 cash'!$K$7:$K$511,'FY26 cash'!$D$7:$D$511,A141,'FY26 cash'!$E$7:$E$511,"Out")</f>
        <v/>
      </c>
      <c r="C141">
        <f>IF(E141=0,"",_xlfn.MINIFS('FY26 cash'!$C$7:$C$511,'FY26 cash'!$D$7:$D$511,A141,'FY26 cash'!$E$7:$E$511,"Out",'FY26 cash'!$G$7:$G$511,"AUTHORISED",'FY26 cash'!$J$7:$J$511,"Goods-tagged"))</f>
        <v/>
      </c>
      <c r="D141">
        <f>IF(E141=0,"",_xlfn.MAXIFS('FY26 cash'!$C$7:$C$511,'FY26 cash'!$D$7:$D$511,A141,'FY26 cash'!$E$7:$E$511,"Out",'FY26 cash'!$G$7:$G$511,"AUTHORISED",'FY26 cash'!$J$7:$J$511,"Goods-tagged"))</f>
        <v/>
      </c>
      <c r="E141">
        <f>COUNTIFS('FY26 cash'!$D$7:$D$511,A141,'FY26 cash'!$E$7:$E$511,"Out",'FY26 cash'!$G$7:$G$511,"AUTHORISED",'FY26 cash'!$J$7:$J$511,"Goods-tagged")</f>
        <v/>
      </c>
      <c r="F141" t="inlineStr">
        <is>
          <t>Invoice payments and authorised bank spending; gross cash.</t>
        </is>
      </c>
    </row>
    <row r="142" ht="26" customHeight="1">
      <c r="A142" t="inlineStr">
        <is>
          <t>SSP Australia Catering</t>
        </is>
      </c>
      <c r="B142">
        <f>SUMIFS('FY26 cash'!$K$7:$K$511,'FY26 cash'!$D$7:$D$511,A142,'FY26 cash'!$E$7:$E$511,"Out")</f>
        <v/>
      </c>
      <c r="C142">
        <f>IF(E142=0,"",_xlfn.MINIFS('FY26 cash'!$C$7:$C$511,'FY26 cash'!$D$7:$D$511,A142,'FY26 cash'!$E$7:$E$511,"Out",'FY26 cash'!$G$7:$G$511,"AUTHORISED",'FY26 cash'!$J$7:$J$511,"Goods-tagged"))</f>
        <v/>
      </c>
      <c r="D142">
        <f>IF(E142=0,"",_xlfn.MAXIFS('FY26 cash'!$C$7:$C$511,'FY26 cash'!$D$7:$D$511,A142,'FY26 cash'!$E$7:$E$511,"Out",'FY26 cash'!$G$7:$G$511,"AUTHORISED",'FY26 cash'!$J$7:$J$511,"Goods-tagged"))</f>
        <v/>
      </c>
      <c r="E142">
        <f>COUNTIFS('FY26 cash'!$D$7:$D$511,A142,'FY26 cash'!$E$7:$E$511,"Out",'FY26 cash'!$G$7:$G$511,"AUTHORISED",'FY26 cash'!$J$7:$J$511,"Goods-tagged")</f>
        <v/>
      </c>
      <c r="F142" t="inlineStr">
        <is>
          <t>Invoice payments and authorised bank spending; gross cash.</t>
        </is>
      </c>
    </row>
    <row r="143" ht="26" customHeight="1">
      <c r="A143" t="inlineStr">
        <is>
          <t>Alice Silver Passenger S</t>
        </is>
      </c>
      <c r="B143">
        <f>SUMIFS('FY26 cash'!$K$7:$K$511,'FY26 cash'!$D$7:$D$511,A143,'FY26 cash'!$E$7:$E$511,"Out")</f>
        <v/>
      </c>
      <c r="C143">
        <f>IF(E143=0,"",_xlfn.MINIFS('FY26 cash'!$C$7:$C$511,'FY26 cash'!$D$7:$D$511,A143,'FY26 cash'!$E$7:$E$511,"Out",'FY26 cash'!$G$7:$G$511,"AUTHORISED",'FY26 cash'!$J$7:$J$511,"Goods-tagged"))</f>
        <v/>
      </c>
      <c r="D143">
        <f>IF(E143=0,"",_xlfn.MAXIFS('FY26 cash'!$C$7:$C$511,'FY26 cash'!$D$7:$D$511,A143,'FY26 cash'!$E$7:$E$511,"Out",'FY26 cash'!$G$7:$G$511,"AUTHORISED",'FY26 cash'!$J$7:$J$511,"Goods-tagged"))</f>
        <v/>
      </c>
      <c r="E143">
        <f>COUNTIFS('FY26 cash'!$D$7:$D$511,A143,'FY26 cash'!$E$7:$E$511,"Out",'FY26 cash'!$G$7:$G$511,"AUTHORISED",'FY26 cash'!$J$7:$J$511,"Goods-tagged")</f>
        <v/>
      </c>
      <c r="F143" t="inlineStr">
        <is>
          <t>Invoice payments and authorised bank spending; gross cash.</t>
        </is>
      </c>
    </row>
    <row r="144" ht="26" customHeight="1">
      <c r="A144" t="inlineStr">
        <is>
          <t>The Leea Darwin</t>
        </is>
      </c>
      <c r="B144">
        <f>SUMIFS('FY26 cash'!$K$7:$K$511,'FY26 cash'!$D$7:$D$511,A144,'FY26 cash'!$E$7:$E$511,"Out")</f>
        <v/>
      </c>
      <c r="C144">
        <f>IF(E144=0,"",_xlfn.MINIFS('FY26 cash'!$C$7:$C$511,'FY26 cash'!$D$7:$D$511,A144,'FY26 cash'!$E$7:$E$511,"Out",'FY26 cash'!$G$7:$G$511,"AUTHORISED",'FY26 cash'!$J$7:$J$511,"Goods-tagged"))</f>
        <v/>
      </c>
      <c r="D144">
        <f>IF(E144=0,"",_xlfn.MAXIFS('FY26 cash'!$C$7:$C$511,'FY26 cash'!$D$7:$D$511,A144,'FY26 cash'!$E$7:$E$511,"Out",'FY26 cash'!$G$7:$G$511,"AUTHORISED",'FY26 cash'!$J$7:$J$511,"Goods-tagged"))</f>
        <v/>
      </c>
      <c r="E144">
        <f>COUNTIFS('FY26 cash'!$D$7:$D$511,A144,'FY26 cash'!$E$7:$E$511,"Out",'FY26 cash'!$G$7:$G$511,"AUTHORISED",'FY26 cash'!$J$7:$J$511,"Goods-tagged")</f>
        <v/>
      </c>
      <c r="F144" t="inlineStr">
        <is>
          <t>Invoice payments and authorised bank spending; gross cash.</t>
        </is>
      </c>
    </row>
    <row r="145" ht="26" customHeight="1">
      <c r="A145" t="inlineStr">
        <is>
          <t>The Big Winch</t>
        </is>
      </c>
      <c r="B145">
        <f>SUMIFS('FY26 cash'!$K$7:$K$511,'FY26 cash'!$D$7:$D$511,A145,'FY26 cash'!$E$7:$E$511,"Out")</f>
        <v/>
      </c>
      <c r="C145">
        <f>IF(E145=0,"",_xlfn.MINIFS('FY26 cash'!$C$7:$C$511,'FY26 cash'!$D$7:$D$511,A145,'FY26 cash'!$E$7:$E$511,"Out",'FY26 cash'!$G$7:$G$511,"AUTHORISED",'FY26 cash'!$J$7:$J$511,"Goods-tagged"))</f>
        <v/>
      </c>
      <c r="D145">
        <f>IF(E145=0,"",_xlfn.MAXIFS('FY26 cash'!$C$7:$C$511,'FY26 cash'!$D$7:$D$511,A145,'FY26 cash'!$E$7:$E$511,"Out",'FY26 cash'!$G$7:$G$511,"AUTHORISED",'FY26 cash'!$J$7:$J$511,"Goods-tagged"))</f>
        <v/>
      </c>
      <c r="E145">
        <f>COUNTIFS('FY26 cash'!$D$7:$D$511,A145,'FY26 cash'!$E$7:$E$511,"Out",'FY26 cash'!$G$7:$G$511,"AUTHORISED",'FY26 cash'!$J$7:$J$511,"Goods-tagged")</f>
        <v/>
      </c>
      <c r="F145" t="inlineStr">
        <is>
          <t>Invoice payments and authorised bank spending; gross cash.</t>
        </is>
      </c>
    </row>
    <row r="146" ht="26" customHeight="1">
      <c r="A146" t="inlineStr">
        <is>
          <t>The Beet Bar</t>
        </is>
      </c>
      <c r="B146">
        <f>SUMIFS('FY26 cash'!$K$7:$K$511,'FY26 cash'!$D$7:$D$511,A146,'FY26 cash'!$E$7:$E$511,"Out")</f>
        <v/>
      </c>
      <c r="C146">
        <f>IF(E146=0,"",_xlfn.MINIFS('FY26 cash'!$C$7:$C$511,'FY26 cash'!$D$7:$D$511,A146,'FY26 cash'!$E$7:$E$511,"Out",'FY26 cash'!$G$7:$G$511,"AUTHORISED",'FY26 cash'!$J$7:$J$511,"Goods-tagged"))</f>
        <v/>
      </c>
      <c r="D146">
        <f>IF(E146=0,"",_xlfn.MAXIFS('FY26 cash'!$C$7:$C$511,'FY26 cash'!$D$7:$D$511,A146,'FY26 cash'!$E$7:$E$511,"Out",'FY26 cash'!$G$7:$G$511,"AUTHORISED",'FY26 cash'!$J$7:$J$511,"Goods-tagged"))</f>
        <v/>
      </c>
      <c r="E146">
        <f>COUNTIFS('FY26 cash'!$D$7:$D$511,A146,'FY26 cash'!$E$7:$E$511,"Out",'FY26 cash'!$G$7:$G$511,"AUTHORISED",'FY26 cash'!$J$7:$J$511,"Goods-tagged")</f>
        <v/>
      </c>
      <c r="F146" t="inlineStr">
        <is>
          <t>Invoice payments and authorised bank spending; gross cash.</t>
        </is>
      </c>
    </row>
    <row r="147" ht="26" customHeight="1">
      <c r="A147" t="inlineStr">
        <is>
          <t>Officeworks</t>
        </is>
      </c>
      <c r="B147">
        <f>SUMIFS('FY26 cash'!$K$7:$K$511,'FY26 cash'!$D$7:$D$511,A147,'FY26 cash'!$E$7:$E$511,"Out")</f>
        <v/>
      </c>
      <c r="C147">
        <f>IF(E147=0,"",_xlfn.MINIFS('FY26 cash'!$C$7:$C$511,'FY26 cash'!$D$7:$D$511,A147,'FY26 cash'!$E$7:$E$511,"Out",'FY26 cash'!$G$7:$G$511,"AUTHORISED",'FY26 cash'!$J$7:$J$511,"Goods-tagged"))</f>
        <v/>
      </c>
      <c r="D147">
        <f>IF(E147=0,"",_xlfn.MAXIFS('FY26 cash'!$C$7:$C$511,'FY26 cash'!$D$7:$D$511,A147,'FY26 cash'!$E$7:$E$511,"Out",'FY26 cash'!$G$7:$G$511,"AUTHORISED",'FY26 cash'!$J$7:$J$511,"Goods-tagged"))</f>
        <v/>
      </c>
      <c r="E147">
        <f>COUNTIFS('FY26 cash'!$D$7:$D$511,A147,'FY26 cash'!$E$7:$E$511,"Out",'FY26 cash'!$G$7:$G$511,"AUTHORISED",'FY26 cash'!$J$7:$J$511,"Goods-tagged")</f>
        <v/>
      </c>
      <c r="F147" t="inlineStr">
        <is>
          <t>Invoice payments and authorised bank spending; gross cash.</t>
        </is>
      </c>
    </row>
    <row r="148" ht="26" customHeight="1">
      <c r="A148" t="inlineStr">
        <is>
          <t>Laneway Coffee</t>
        </is>
      </c>
      <c r="B148">
        <f>SUMIFS('FY26 cash'!$K$7:$K$511,'FY26 cash'!$D$7:$D$511,A148,'FY26 cash'!$E$7:$E$511,"Out")</f>
        <v/>
      </c>
      <c r="C148">
        <f>IF(E148=0,"",_xlfn.MINIFS('FY26 cash'!$C$7:$C$511,'FY26 cash'!$D$7:$D$511,A148,'FY26 cash'!$E$7:$E$511,"Out",'FY26 cash'!$G$7:$G$511,"AUTHORISED",'FY26 cash'!$J$7:$J$511,"Goods-tagged"))</f>
        <v/>
      </c>
      <c r="D148">
        <f>IF(E148=0,"",_xlfn.MAXIFS('FY26 cash'!$C$7:$C$511,'FY26 cash'!$D$7:$D$511,A148,'FY26 cash'!$E$7:$E$511,"Out",'FY26 cash'!$G$7:$G$511,"AUTHORISED",'FY26 cash'!$J$7:$J$511,"Goods-tagged"))</f>
        <v/>
      </c>
      <c r="E148">
        <f>COUNTIFS('FY26 cash'!$D$7:$D$511,A148,'FY26 cash'!$E$7:$E$511,"Out",'FY26 cash'!$G$7:$G$511,"AUTHORISED",'FY26 cash'!$J$7:$J$511,"Goods-tagged")</f>
        <v/>
      </c>
      <c r="F148" t="inlineStr">
        <is>
          <t>Invoice payments and authorised bank spending; gross cash.</t>
        </is>
      </c>
    </row>
    <row r="149" ht="26" customHeight="1">
      <c r="A149" t="inlineStr">
        <is>
          <t>Grill'd Townsville</t>
        </is>
      </c>
      <c r="B149">
        <f>SUMIFS('FY26 cash'!$K$7:$K$511,'FY26 cash'!$D$7:$D$511,A149,'FY26 cash'!$E$7:$E$511,"Out")</f>
        <v/>
      </c>
      <c r="C149">
        <f>IF(E149=0,"",_xlfn.MINIFS('FY26 cash'!$C$7:$C$511,'FY26 cash'!$D$7:$D$511,A149,'FY26 cash'!$E$7:$E$511,"Out",'FY26 cash'!$G$7:$G$511,"AUTHORISED",'FY26 cash'!$J$7:$J$511,"Goods-tagged"))</f>
        <v/>
      </c>
      <c r="D149">
        <f>IF(E149=0,"",_xlfn.MAXIFS('FY26 cash'!$C$7:$C$511,'FY26 cash'!$D$7:$D$511,A149,'FY26 cash'!$E$7:$E$511,"Out",'FY26 cash'!$G$7:$G$511,"AUTHORISED",'FY26 cash'!$J$7:$J$511,"Goods-tagged"))</f>
        <v/>
      </c>
      <c r="E149">
        <f>COUNTIFS('FY26 cash'!$D$7:$D$511,A149,'FY26 cash'!$E$7:$E$511,"Out",'FY26 cash'!$G$7:$G$511,"AUTHORISED",'FY26 cash'!$J$7:$J$511,"Goods-tagged")</f>
        <v/>
      </c>
      <c r="F149" t="inlineStr">
        <is>
          <t>Invoice payments and authorised bank spending; gross cash.</t>
        </is>
      </c>
    </row>
    <row r="150" ht="26" customHeight="1">
      <c r="A150" t="inlineStr">
        <is>
          <t>Car Park</t>
        </is>
      </c>
      <c r="B150">
        <f>SUMIFS('FY26 cash'!$K$7:$K$511,'FY26 cash'!$D$7:$D$511,A150,'FY26 cash'!$E$7:$E$511,"Out")</f>
        <v/>
      </c>
      <c r="C150">
        <f>IF(E150=0,"",_xlfn.MINIFS('FY26 cash'!$C$7:$C$511,'FY26 cash'!$D$7:$D$511,A150,'FY26 cash'!$E$7:$E$511,"Out",'FY26 cash'!$G$7:$G$511,"AUTHORISED",'FY26 cash'!$J$7:$J$511,"Goods-tagged"))</f>
        <v/>
      </c>
      <c r="D150">
        <f>IF(E150=0,"",_xlfn.MAXIFS('FY26 cash'!$C$7:$C$511,'FY26 cash'!$D$7:$D$511,A150,'FY26 cash'!$E$7:$E$511,"Out",'FY26 cash'!$G$7:$G$511,"AUTHORISED",'FY26 cash'!$J$7:$J$511,"Goods-tagged"))</f>
        <v/>
      </c>
      <c r="E150">
        <f>COUNTIFS('FY26 cash'!$D$7:$D$511,A150,'FY26 cash'!$E$7:$E$511,"Out",'FY26 cash'!$G$7:$G$511,"AUTHORISED",'FY26 cash'!$J$7:$J$511,"Goods-tagged")</f>
        <v/>
      </c>
      <c r="F150" t="inlineStr">
        <is>
          <t>Invoice payments and authorised bank spending; gross cash.</t>
        </is>
      </c>
    </row>
    <row r="151" ht="26" customHeight="1">
      <c r="A151" t="inlineStr">
        <is>
          <t>Budget Petrol Mascot</t>
        </is>
      </c>
      <c r="B151">
        <f>SUMIFS('FY26 cash'!$K$7:$K$511,'FY26 cash'!$D$7:$D$511,A151,'FY26 cash'!$E$7:$E$511,"Out")</f>
        <v/>
      </c>
      <c r="C151">
        <f>IF(E151=0,"",_xlfn.MINIFS('FY26 cash'!$C$7:$C$511,'FY26 cash'!$D$7:$D$511,A151,'FY26 cash'!$E$7:$E$511,"Out",'FY26 cash'!$G$7:$G$511,"AUTHORISED",'FY26 cash'!$J$7:$J$511,"Goods-tagged"))</f>
        <v/>
      </c>
      <c r="D151">
        <f>IF(E151=0,"",_xlfn.MAXIFS('FY26 cash'!$C$7:$C$511,'FY26 cash'!$D$7:$D$511,A151,'FY26 cash'!$E$7:$E$511,"Out",'FY26 cash'!$G$7:$G$511,"AUTHORISED",'FY26 cash'!$J$7:$J$511,"Goods-tagged"))</f>
        <v/>
      </c>
      <c r="E151">
        <f>COUNTIFS('FY26 cash'!$D$7:$D$511,A151,'FY26 cash'!$E$7:$E$511,"Out",'FY26 cash'!$G$7:$G$511,"AUTHORISED",'FY26 cash'!$J$7:$J$511,"Goods-tagged")</f>
        <v/>
      </c>
      <c r="F151" t="inlineStr">
        <is>
          <t>Invoice payments and authorised bank spending; gross cash.</t>
        </is>
      </c>
    </row>
    <row r="152" ht="26" customHeight="1">
      <c r="A152" t="inlineStr">
        <is>
          <t>The Pedlar Project</t>
        </is>
      </c>
      <c r="B152">
        <f>SUMIFS('FY26 cash'!$K$7:$K$511,'FY26 cash'!$D$7:$D$511,A152,'FY26 cash'!$E$7:$E$511,"Out")</f>
        <v/>
      </c>
      <c r="C152">
        <f>IF(E152=0,"",_xlfn.MINIFS('FY26 cash'!$C$7:$C$511,'FY26 cash'!$D$7:$D$511,A152,'FY26 cash'!$E$7:$E$511,"Out",'FY26 cash'!$G$7:$G$511,"AUTHORISED",'FY26 cash'!$J$7:$J$511,"Goods-tagged"))</f>
        <v/>
      </c>
      <c r="D152">
        <f>IF(E152=0,"",_xlfn.MAXIFS('FY26 cash'!$C$7:$C$511,'FY26 cash'!$D$7:$D$511,A152,'FY26 cash'!$E$7:$E$511,"Out",'FY26 cash'!$G$7:$G$511,"AUTHORISED",'FY26 cash'!$J$7:$J$511,"Goods-tagged"))</f>
        <v/>
      </c>
      <c r="E152">
        <f>COUNTIFS('FY26 cash'!$D$7:$D$511,A152,'FY26 cash'!$E$7:$E$511,"Out",'FY26 cash'!$G$7:$G$511,"AUTHORISED",'FY26 cash'!$J$7:$J$511,"Goods-tagged")</f>
        <v/>
      </c>
      <c r="F152" t="inlineStr">
        <is>
          <t>Invoice payments and authorised bank spending; gross cash.</t>
        </is>
      </c>
    </row>
    <row r="153" ht="26" customHeight="1">
      <c r="A153" t="inlineStr">
        <is>
          <t>Rocket Cafe And Blast Coffee Roasters</t>
        </is>
      </c>
      <c r="B153">
        <f>SUMIFS('FY26 cash'!$K$7:$K$511,'FY26 cash'!$D$7:$D$511,A153,'FY26 cash'!$E$7:$E$511,"Out")</f>
        <v/>
      </c>
      <c r="C153">
        <f>IF(E153=0,"",_xlfn.MINIFS('FY26 cash'!$C$7:$C$511,'FY26 cash'!$D$7:$D$511,A153,'FY26 cash'!$E$7:$E$511,"Out",'FY26 cash'!$G$7:$G$511,"AUTHORISED",'FY26 cash'!$J$7:$J$511,"Goods-tagged"))</f>
        <v/>
      </c>
      <c r="D153">
        <f>IF(E153=0,"",_xlfn.MAXIFS('FY26 cash'!$C$7:$C$511,'FY26 cash'!$D$7:$D$511,A153,'FY26 cash'!$E$7:$E$511,"Out",'FY26 cash'!$G$7:$G$511,"AUTHORISED",'FY26 cash'!$J$7:$J$511,"Goods-tagged"))</f>
        <v/>
      </c>
      <c r="E153">
        <f>COUNTIFS('FY26 cash'!$D$7:$D$511,A153,'FY26 cash'!$E$7:$E$511,"Out",'FY26 cash'!$G$7:$G$511,"AUTHORISED",'FY26 cash'!$J$7:$J$511,"Goods-tagged")</f>
        <v/>
      </c>
      <c r="F153" t="inlineStr">
        <is>
          <t>Invoice payments and authorised bank spending; gross cash.</t>
        </is>
      </c>
    </row>
    <row r="154" ht="26" customHeight="1">
      <c r="A154" t="inlineStr">
        <is>
          <t>Delaware North Airport</t>
        </is>
      </c>
      <c r="B154">
        <f>SUMIFS('FY26 cash'!$K$7:$K$511,'FY26 cash'!$D$7:$D$511,A154,'FY26 cash'!$E$7:$E$511,"Out")</f>
        <v/>
      </c>
      <c r="C154">
        <f>IF(E154=0,"",_xlfn.MINIFS('FY26 cash'!$C$7:$C$511,'FY26 cash'!$D$7:$D$511,A154,'FY26 cash'!$E$7:$E$511,"Out",'FY26 cash'!$G$7:$G$511,"AUTHORISED",'FY26 cash'!$J$7:$J$511,"Goods-tagged"))</f>
        <v/>
      </c>
      <c r="D154">
        <f>IF(E154=0,"",_xlfn.MAXIFS('FY26 cash'!$C$7:$C$511,'FY26 cash'!$D$7:$D$511,A154,'FY26 cash'!$E$7:$E$511,"Out",'FY26 cash'!$G$7:$G$511,"AUTHORISED",'FY26 cash'!$J$7:$J$511,"Goods-tagged"))</f>
        <v/>
      </c>
      <c r="E154">
        <f>COUNTIFS('FY26 cash'!$D$7:$D$511,A154,'FY26 cash'!$E$7:$E$511,"Out",'FY26 cash'!$G$7:$G$511,"AUTHORISED",'FY26 cash'!$J$7:$J$511,"Goods-tagged")</f>
        <v/>
      </c>
      <c r="F154" t="inlineStr">
        <is>
          <t>Invoice payments and authorised bank spending; gross cash.</t>
        </is>
      </c>
    </row>
    <row r="155" ht="26" customHeight="1">
      <c r="A155" t="inlineStr">
        <is>
          <t>Trader</t>
        </is>
      </c>
      <c r="B155">
        <f>SUMIFS('FY26 cash'!$K$7:$K$511,'FY26 cash'!$D$7:$D$511,A155,'FY26 cash'!$E$7:$E$511,"Out")</f>
        <v/>
      </c>
      <c r="C155">
        <f>IF(E155=0,"",_xlfn.MINIFS('FY26 cash'!$C$7:$C$511,'FY26 cash'!$D$7:$D$511,A155,'FY26 cash'!$E$7:$E$511,"Out",'FY26 cash'!$G$7:$G$511,"AUTHORISED",'FY26 cash'!$J$7:$J$511,"Goods-tagged"))</f>
        <v/>
      </c>
      <c r="D155">
        <f>IF(E155=0,"",_xlfn.MAXIFS('FY26 cash'!$C$7:$C$511,'FY26 cash'!$D$7:$D$511,A155,'FY26 cash'!$E$7:$E$511,"Out",'FY26 cash'!$G$7:$G$511,"AUTHORISED",'FY26 cash'!$J$7:$J$511,"Goods-tagged"))</f>
        <v/>
      </c>
      <c r="E155">
        <f>COUNTIFS('FY26 cash'!$D$7:$D$511,A155,'FY26 cash'!$E$7:$E$511,"Out",'FY26 cash'!$G$7:$G$511,"AUTHORISED",'FY26 cash'!$J$7:$J$511,"Goods-tagged")</f>
        <v/>
      </c>
      <c r="F155" t="inlineStr">
        <is>
          <t>Invoice payments and authorised bank spending; gross cash.</t>
        </is>
      </c>
    </row>
    <row r="156" ht="26" customHeight="1">
      <c r="A156" t="inlineStr">
        <is>
          <t>Nightowl Flinders St</t>
        </is>
      </c>
      <c r="B156">
        <f>SUMIFS('FY26 cash'!$K$7:$K$511,'FY26 cash'!$D$7:$D$511,A156,'FY26 cash'!$E$7:$E$511,"Out")</f>
        <v/>
      </c>
      <c r="C156">
        <f>IF(E156=0,"",_xlfn.MINIFS('FY26 cash'!$C$7:$C$511,'FY26 cash'!$D$7:$D$511,A156,'FY26 cash'!$E$7:$E$511,"Out",'FY26 cash'!$G$7:$G$511,"AUTHORISED",'FY26 cash'!$J$7:$J$511,"Goods-tagged"))</f>
        <v/>
      </c>
      <c r="D156">
        <f>IF(E156=0,"",_xlfn.MAXIFS('FY26 cash'!$C$7:$C$511,'FY26 cash'!$D$7:$D$511,A156,'FY26 cash'!$E$7:$E$511,"Out",'FY26 cash'!$G$7:$G$511,"AUTHORISED",'FY26 cash'!$J$7:$J$511,"Goods-tagged"))</f>
        <v/>
      </c>
      <c r="E156">
        <f>COUNTIFS('FY26 cash'!$D$7:$D$511,A156,'FY26 cash'!$E$7:$E$511,"Out",'FY26 cash'!$G$7:$G$511,"AUTHORISED",'FY26 cash'!$J$7:$J$511,"Goods-tagged")</f>
        <v/>
      </c>
      <c r="F156" t="inlineStr">
        <is>
          <t>Invoice payments and authorised bank spending; gross cash.</t>
        </is>
      </c>
    </row>
    <row r="157" ht="26" customHeight="1">
      <c r="A157" t="inlineStr">
        <is>
          <t>Tennant Creek Memorial Club</t>
        </is>
      </c>
      <c r="B157">
        <f>SUMIFS('FY26 cash'!$K$7:$K$511,'FY26 cash'!$D$7:$D$511,A157,'FY26 cash'!$E$7:$E$511,"Out")</f>
        <v/>
      </c>
      <c r="C157">
        <f>IF(E157=0,"",_xlfn.MINIFS('FY26 cash'!$C$7:$C$511,'FY26 cash'!$D$7:$D$511,A157,'FY26 cash'!$E$7:$E$511,"Out",'FY26 cash'!$G$7:$G$511,"AUTHORISED",'FY26 cash'!$J$7:$J$511,"Goods-tagged"))</f>
        <v/>
      </c>
      <c r="D157">
        <f>IF(E157=0,"",_xlfn.MAXIFS('FY26 cash'!$C$7:$C$511,'FY26 cash'!$D$7:$D$511,A157,'FY26 cash'!$E$7:$E$511,"Out",'FY26 cash'!$G$7:$G$511,"AUTHORISED",'FY26 cash'!$J$7:$J$511,"Goods-tagged"))</f>
        <v/>
      </c>
      <c r="E157">
        <f>COUNTIFS('FY26 cash'!$D$7:$D$511,A157,'FY26 cash'!$E$7:$E$511,"Out",'FY26 cash'!$G$7:$G$511,"AUTHORISED",'FY26 cash'!$J$7:$J$511,"Goods-tagged")</f>
        <v/>
      </c>
      <c r="F157" t="inlineStr">
        <is>
          <t>Invoice payments and authorised bank spending; gross cash.</t>
        </is>
      </c>
    </row>
    <row r="158" ht="26" customHeight="1">
      <c r="A158" t="inlineStr">
        <is>
          <t>Urban Bites</t>
        </is>
      </c>
      <c r="B158">
        <f>SUMIFS('FY26 cash'!$K$7:$K$511,'FY26 cash'!$D$7:$D$511,A158,'FY26 cash'!$E$7:$E$511,"Out")</f>
        <v/>
      </c>
      <c r="C158">
        <f>IF(E158=0,"",_xlfn.MINIFS('FY26 cash'!$C$7:$C$511,'FY26 cash'!$D$7:$D$511,A158,'FY26 cash'!$E$7:$E$511,"Out",'FY26 cash'!$G$7:$G$511,"AUTHORISED",'FY26 cash'!$J$7:$J$511,"Goods-tagged"))</f>
        <v/>
      </c>
      <c r="D158">
        <f>IF(E158=0,"",_xlfn.MAXIFS('FY26 cash'!$C$7:$C$511,'FY26 cash'!$D$7:$D$511,A158,'FY26 cash'!$E$7:$E$511,"Out",'FY26 cash'!$G$7:$G$511,"AUTHORISED",'FY26 cash'!$J$7:$J$511,"Goods-tagged"))</f>
        <v/>
      </c>
      <c r="E158">
        <f>COUNTIFS('FY26 cash'!$D$7:$D$511,A158,'FY26 cash'!$E$7:$E$511,"Out",'FY26 cash'!$G$7:$G$511,"AUTHORISED",'FY26 cash'!$J$7:$J$511,"Goods-tagged")</f>
        <v/>
      </c>
      <c r="F158" t="inlineStr">
        <is>
          <t>Invoice payments and authorised bank spending; gross cash.</t>
        </is>
      </c>
    </row>
    <row r="159" ht="26" customHeight="1">
      <c r="A159" t="inlineStr">
        <is>
          <t>The Coffee Club Mt Isa</t>
        </is>
      </c>
      <c r="B159">
        <f>SUMIFS('FY26 cash'!$K$7:$K$511,'FY26 cash'!$D$7:$D$511,A159,'FY26 cash'!$E$7:$E$511,"Out")</f>
        <v/>
      </c>
      <c r="C159">
        <f>IF(E159=0,"",_xlfn.MINIFS('FY26 cash'!$C$7:$C$511,'FY26 cash'!$D$7:$D$511,A159,'FY26 cash'!$E$7:$E$511,"Out",'FY26 cash'!$G$7:$G$511,"AUTHORISED",'FY26 cash'!$J$7:$J$511,"Goods-tagged"))</f>
        <v/>
      </c>
      <c r="D159">
        <f>IF(E159=0,"",_xlfn.MAXIFS('FY26 cash'!$C$7:$C$511,'FY26 cash'!$D$7:$D$511,A159,'FY26 cash'!$E$7:$E$511,"Out",'FY26 cash'!$G$7:$G$511,"AUTHORISED",'FY26 cash'!$J$7:$J$511,"Goods-tagged"))</f>
        <v/>
      </c>
      <c r="E159">
        <f>COUNTIFS('FY26 cash'!$D$7:$D$511,A159,'FY26 cash'!$E$7:$E$511,"Out",'FY26 cash'!$G$7:$G$511,"AUTHORISED",'FY26 cash'!$J$7:$J$511,"Goods-tagged")</f>
        <v/>
      </c>
      <c r="F159" t="inlineStr">
        <is>
          <t>Invoice payments and authorised bank spending; gross cash.</t>
        </is>
      </c>
    </row>
    <row r="160" ht="26" customHeight="1">
      <c r="A160" t="inlineStr">
        <is>
          <t>The1995</t>
        </is>
      </c>
      <c r="B160">
        <f>SUMIFS('FY26 cash'!$K$7:$K$511,'FY26 cash'!$D$7:$D$511,A160,'FY26 cash'!$E$7:$E$511,"Out")</f>
        <v/>
      </c>
      <c r="C160">
        <f>IF(E160=0,"",_xlfn.MINIFS('FY26 cash'!$C$7:$C$511,'FY26 cash'!$D$7:$D$511,A160,'FY26 cash'!$E$7:$E$511,"Out",'FY26 cash'!$G$7:$G$511,"AUTHORISED",'FY26 cash'!$J$7:$J$511,"Goods-tagged"))</f>
        <v/>
      </c>
      <c r="D160">
        <f>IF(E160=0,"",_xlfn.MAXIFS('FY26 cash'!$C$7:$C$511,'FY26 cash'!$D$7:$D$511,A160,'FY26 cash'!$E$7:$E$511,"Out",'FY26 cash'!$G$7:$G$511,"AUTHORISED",'FY26 cash'!$J$7:$J$511,"Goods-tagged"))</f>
        <v/>
      </c>
      <c r="E160">
        <f>COUNTIFS('FY26 cash'!$D$7:$D$511,A160,'FY26 cash'!$E$7:$E$511,"Out",'FY26 cash'!$G$7:$G$511,"AUTHORISED",'FY26 cash'!$J$7:$J$511,"Goods-tagged")</f>
        <v/>
      </c>
      <c r="F160" t="inlineStr">
        <is>
          <t>Invoice payments and authorised bank spending; gross cash.</t>
        </is>
      </c>
    </row>
    <row r="161" ht="26" customHeight="1">
      <c r="A161" t="inlineStr">
        <is>
          <t>STAR HOTELS THE PALMER COLLECTIVE</t>
        </is>
      </c>
      <c r="B161">
        <f>SUMIFS('FY26 cash'!$K$7:$K$511,'FY26 cash'!$D$7:$D$511,A161,'FY26 cash'!$E$7:$E$511,"Out")</f>
        <v/>
      </c>
      <c r="C161">
        <f>IF(E161=0,"",_xlfn.MINIFS('FY26 cash'!$C$7:$C$511,'FY26 cash'!$D$7:$D$511,A161,'FY26 cash'!$E$7:$E$511,"Out",'FY26 cash'!$G$7:$G$511,"AUTHORISED",'FY26 cash'!$J$7:$J$511,"Goods-tagged"))</f>
        <v/>
      </c>
      <c r="D161">
        <f>IF(E161=0,"",_xlfn.MAXIFS('FY26 cash'!$C$7:$C$511,'FY26 cash'!$D$7:$D$511,A161,'FY26 cash'!$E$7:$E$511,"Out",'FY26 cash'!$G$7:$G$511,"AUTHORISED",'FY26 cash'!$J$7:$J$511,"Goods-tagged"))</f>
        <v/>
      </c>
      <c r="E161">
        <f>COUNTIFS('FY26 cash'!$D$7:$D$511,A161,'FY26 cash'!$E$7:$E$511,"Out",'FY26 cash'!$G$7:$G$511,"AUTHORISED",'FY26 cash'!$J$7:$J$511,"Goods-tagged")</f>
        <v/>
      </c>
      <c r="F161" t="inlineStr">
        <is>
          <t>Invoice payments and authorised bank spending; gross cash.</t>
        </is>
      </c>
    </row>
    <row r="162" ht="26" customHeight="1">
      <c r="A162" t="inlineStr">
        <is>
          <t>The Rusty Rabbit - Dario</t>
        </is>
      </c>
      <c r="B162">
        <f>SUMIFS('FY26 cash'!$K$7:$K$511,'FY26 cash'!$D$7:$D$511,A162,'FY26 cash'!$E$7:$E$511,"Out")</f>
        <v/>
      </c>
      <c r="C162">
        <f>IF(E162=0,"",_xlfn.MINIFS('FY26 cash'!$C$7:$C$511,'FY26 cash'!$D$7:$D$511,A162,'FY26 cash'!$E$7:$E$511,"Out",'FY26 cash'!$G$7:$G$511,"AUTHORISED",'FY26 cash'!$J$7:$J$511,"Goods-tagged"))</f>
        <v/>
      </c>
      <c r="D162">
        <f>IF(E162=0,"",_xlfn.MAXIFS('FY26 cash'!$C$7:$C$511,'FY26 cash'!$D$7:$D$511,A162,'FY26 cash'!$E$7:$E$511,"Out",'FY26 cash'!$G$7:$G$511,"AUTHORISED",'FY26 cash'!$J$7:$J$511,"Goods-tagged"))</f>
        <v/>
      </c>
      <c r="E162">
        <f>COUNTIFS('FY26 cash'!$D$7:$D$511,A162,'FY26 cash'!$E$7:$E$511,"Out",'FY26 cash'!$G$7:$G$511,"AUTHORISED",'FY26 cash'!$J$7:$J$511,"Goods-tagged")</f>
        <v/>
      </c>
      <c r="F162" t="inlineStr">
        <is>
          <t>Invoice payments and authorised bank spending; gross cash.</t>
        </is>
      </c>
    </row>
    <row r="163" ht="26" customHeight="1">
      <c r="A163" t="inlineStr">
        <is>
          <t>McDonald's</t>
        </is>
      </c>
      <c r="B163">
        <f>SUMIFS('FY26 cash'!$K$7:$K$511,'FY26 cash'!$D$7:$D$511,A163,'FY26 cash'!$E$7:$E$511,"Out")</f>
        <v/>
      </c>
      <c r="C163">
        <f>IF(E163=0,"",_xlfn.MINIFS('FY26 cash'!$C$7:$C$511,'FY26 cash'!$D$7:$D$511,A163,'FY26 cash'!$E$7:$E$511,"Out",'FY26 cash'!$G$7:$G$511,"AUTHORISED",'FY26 cash'!$J$7:$J$511,"Goods-tagged"))</f>
        <v/>
      </c>
      <c r="D163">
        <f>IF(E163=0,"",_xlfn.MAXIFS('FY26 cash'!$C$7:$C$511,'FY26 cash'!$D$7:$D$511,A163,'FY26 cash'!$E$7:$E$511,"Out",'FY26 cash'!$G$7:$G$511,"AUTHORISED",'FY26 cash'!$J$7:$J$511,"Goods-tagged"))</f>
        <v/>
      </c>
      <c r="E163">
        <f>COUNTIFS('FY26 cash'!$D$7:$D$511,A163,'FY26 cash'!$E$7:$E$511,"Out",'FY26 cash'!$G$7:$G$511,"AUTHORISED",'FY26 cash'!$J$7:$J$511,"Goods-tagged")</f>
        <v/>
      </c>
      <c r="F163" t="inlineStr">
        <is>
          <t>Invoice payments and authorised bank spending; gross cash.</t>
        </is>
      </c>
    </row>
    <row r="164" ht="26" customHeight="1">
      <c r="A164" t="inlineStr">
        <is>
          <t>Golosa</t>
        </is>
      </c>
      <c r="B164">
        <f>SUMIFS('FY26 cash'!$K$7:$K$511,'FY26 cash'!$D$7:$D$511,A164,'FY26 cash'!$E$7:$E$511,"Out")</f>
        <v/>
      </c>
      <c r="C164">
        <f>IF(E164=0,"",_xlfn.MINIFS('FY26 cash'!$C$7:$C$511,'FY26 cash'!$D$7:$D$511,A164,'FY26 cash'!$E$7:$E$511,"Out",'FY26 cash'!$G$7:$G$511,"AUTHORISED",'FY26 cash'!$J$7:$J$511,"Goods-tagged"))</f>
        <v/>
      </c>
      <c r="D164">
        <f>IF(E164=0,"",_xlfn.MAXIFS('FY26 cash'!$C$7:$C$511,'FY26 cash'!$D$7:$D$511,A164,'FY26 cash'!$E$7:$E$511,"Out",'FY26 cash'!$G$7:$G$511,"AUTHORISED",'FY26 cash'!$J$7:$J$511,"Goods-tagged"))</f>
        <v/>
      </c>
      <c r="E164">
        <f>COUNTIFS('FY26 cash'!$D$7:$D$511,A164,'FY26 cash'!$E$7:$E$511,"Out",'FY26 cash'!$G$7:$G$511,"AUTHORISED",'FY26 cash'!$J$7:$J$511,"Goods-tagged")</f>
        <v/>
      </c>
      <c r="F164" t="inlineStr">
        <is>
          <t>Invoice payments and authorised bank spending; gross cash.</t>
        </is>
      </c>
    </row>
    <row r="165" ht="26" customHeight="1">
      <c r="A165" t="inlineStr">
        <is>
          <t>Padoka</t>
        </is>
      </c>
      <c r="B165">
        <f>SUMIFS('FY26 cash'!$K$7:$K$511,'FY26 cash'!$D$7:$D$511,A165,'FY26 cash'!$E$7:$E$511,"Out")</f>
        <v/>
      </c>
      <c r="C165">
        <f>IF(E165=0,"",_xlfn.MINIFS('FY26 cash'!$C$7:$C$511,'FY26 cash'!$D$7:$D$511,A165,'FY26 cash'!$E$7:$E$511,"Out",'FY26 cash'!$G$7:$G$511,"AUTHORISED",'FY26 cash'!$J$7:$J$511,"Goods-tagged"))</f>
        <v/>
      </c>
      <c r="D165">
        <f>IF(E165=0,"",_xlfn.MAXIFS('FY26 cash'!$C$7:$C$511,'FY26 cash'!$D$7:$D$511,A165,'FY26 cash'!$E$7:$E$511,"Out",'FY26 cash'!$G$7:$G$511,"AUTHORISED",'FY26 cash'!$J$7:$J$511,"Goods-tagged"))</f>
        <v/>
      </c>
      <c r="E165">
        <f>COUNTIFS('FY26 cash'!$D$7:$D$511,A165,'FY26 cash'!$E$7:$E$511,"Out",'FY26 cash'!$G$7:$G$511,"AUTHORISED",'FY26 cash'!$J$7:$J$511,"Goods-tagged")</f>
        <v/>
      </c>
      <c r="F165" t="inlineStr">
        <is>
          <t>Invoice payments and authorised bank spending; gross cash.</t>
        </is>
      </c>
    </row>
    <row r="166" ht="30" customHeight="1">
      <c r="A166" t="inlineStr">
        <is>
          <t>Total payments</t>
        </is>
      </c>
      <c r="B166">
        <f>SUM(B34:B165)</f>
        <v/>
      </c>
      <c r="E166">
        <f>SUM(E34:E165)</f>
        <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N1000"/>
  <sheetViews>
    <sheetView workbookViewId="0">
      <selection activeCell="A1" sqref="A1"/>
    </sheetView>
  </sheetViews>
  <sheetFormatPr baseColWidth="8" defaultRowHeight="15"/>
  <cols>
    <col width="38" customWidth="1" min="1" max="1"/>
    <col width="20" customWidth="1" min="2" max="2"/>
    <col width="17" customWidth="1" min="3" max="3"/>
    <col width="36" customWidth="1" min="4" max="4"/>
    <col width="12" customWidth="1" min="5" max="5"/>
    <col width="18" customWidth="1" min="6" max="6"/>
    <col width="18" customWidth="1" min="7" max="7"/>
    <col width="13" customWidth="1" min="8" max="8"/>
    <col width="22" customWidth="1" min="9" max="9"/>
    <col width="20" customWidth="1" min="10" max="10"/>
    <col width="18" customWidth="1" min="11" max="11"/>
    <col width="65" customWidth="1" min="12" max="12"/>
    <col width="14" customWidth="1" min="13" max="13"/>
    <col width="18" customWidth="1" min="14" max="14"/>
  </cols>
  <sheetData>
    <row r="1" ht="32" customHeight="1">
      <c r="A1" t="inlineStr">
        <is>
          <t>FY26 cash records</t>
        </is>
      </c>
    </row>
    <row r="2" ht="10" customHeight="1"/>
    <row r="3" ht="36" customHeight="1">
      <c r="A3" t="inlineStr">
        <is>
          <t>ACT-ST Goods-tagged mirror. 1 July 2025–30 June 2026 by payment/transaction date; deleted records remain visible and excluded.</t>
        </is>
      </c>
    </row>
    <row r="4" ht="10" customHeight="1"/>
    <row r="5" ht="10" customHeight="1"/>
    <row r="6" ht="32" customHeight="1">
      <c r="A6" t="inlineStr">
        <is>
          <t>Source ID</t>
        </is>
      </c>
      <c r="B6" t="inlineStr">
        <is>
          <t>Source type</t>
        </is>
      </c>
      <c r="C6" t="inlineStr">
        <is>
          <t>Date</t>
        </is>
      </c>
      <c r="D6" t="inlineStr">
        <is>
          <t>Counterparty</t>
        </is>
      </c>
      <c r="E6" t="inlineStr">
        <is>
          <t>Direction</t>
        </is>
      </c>
      <c r="F6" t="inlineStr">
        <is>
          <t>Amount AUD</t>
        </is>
      </c>
      <c r="G6" t="inlineStr">
        <is>
          <t>Status</t>
        </is>
      </c>
      <c r="H6" t="inlineStr">
        <is>
          <t>Reconciled</t>
        </is>
      </c>
      <c r="I6" t="inlineStr">
        <is>
          <t>Reference</t>
        </is>
      </c>
      <c r="J6" t="inlineStr">
        <is>
          <t>Scope</t>
        </is>
      </c>
      <c r="K6" t="inlineStr">
        <is>
          <t>Included AUD</t>
        </is>
      </c>
      <c r="L6" t="inlineStr">
        <is>
          <t>Description</t>
        </is>
      </c>
      <c r="M6" t="inlineStr">
        <is>
          <t>Entity</t>
        </is>
      </c>
      <c r="N6" t="inlineStr">
        <is>
          <t>Source synced</t>
        </is>
      </c>
    </row>
    <row r="7" ht="36" customHeight="1">
      <c r="A7" t="inlineStr">
        <is>
          <t>0cf55727-110e-40e0-8330-2bc8172700f1</t>
        </is>
      </c>
      <c r="B7" t="inlineStr">
        <is>
          <t>Invoice payment</t>
        </is>
      </c>
      <c r="C7" s="162" t="n">
        <v>45839</v>
      </c>
      <c r="D7" t="inlineStr">
        <is>
          <t>BP</t>
        </is>
      </c>
      <c r="E7" t="inlineStr">
        <is>
          <t>Out</t>
        </is>
      </c>
      <c r="F7" t="n">
        <v>62.92</v>
      </c>
      <c r="G7" t="inlineStr">
        <is>
          <t>AUTHORISED</t>
        </is>
      </c>
      <c r="H7" t="inlineStr">
        <is>
          <t>Yes</t>
        </is>
      </c>
      <c r="I7" t="inlineStr">
        <is>
          <t>514054</t>
        </is>
      </c>
      <c r="J7" t="inlineStr">
        <is>
          <t>Goods-tagged</t>
        </is>
      </c>
      <c r="K7">
        <f>IF(AND(G7="AUTHORISED",J7="Goods-tagged"),F7,0)</f>
        <v/>
      </c>
      <c r="L7" t="inlineStr">
        <is>
          <t>As per attached.</t>
        </is>
      </c>
      <c r="M7" t="inlineStr">
        <is>
          <t>ACT-ST</t>
        </is>
      </c>
      <c r="N7" t="n">
        <v>46211</v>
      </c>
    </row>
    <row r="8" ht="36" customHeight="1">
      <c r="A8" t="inlineStr">
        <is>
          <t>27b3fecd-d3b0-4ae6-958c-9fc0b2522f3e</t>
        </is>
      </c>
      <c r="B8" t="inlineStr">
        <is>
          <t>Invoice payment</t>
        </is>
      </c>
      <c r="C8" s="162" t="n">
        <v>45839</v>
      </c>
      <c r="D8" t="inlineStr">
        <is>
          <t>Byo Group</t>
        </is>
      </c>
      <c r="E8" t="inlineStr">
        <is>
          <t>Out</t>
        </is>
      </c>
      <c r="F8" t="n">
        <v>33</v>
      </c>
      <c r="G8" t="inlineStr">
        <is>
          <t>AUTHORISED</t>
        </is>
      </c>
      <c r="H8" t="inlineStr">
        <is>
          <t>Yes</t>
        </is>
      </c>
      <c r="I8" t="inlineStr">
        <is>
          <t>BYO-25868</t>
        </is>
      </c>
      <c r="J8" t="inlineStr">
        <is>
          <t>Goods-tagged</t>
        </is>
      </c>
      <c r="K8">
        <f>IF(AND(G8="AUTHORISED",J8="Goods-tagged"),F8,0)</f>
        <v/>
      </c>
      <c r="L8" t="inlineStr">
        <is>
          <t>.</t>
        </is>
      </c>
      <c r="M8" t="inlineStr">
        <is>
          <t>ACT-ST</t>
        </is>
      </c>
      <c r="N8" t="n">
        <v>46211</v>
      </c>
    </row>
    <row r="9" ht="36" customHeight="1">
      <c r="A9" t="inlineStr">
        <is>
          <t>59d5d5dd-ab25-4da1-9577-1de2cdda3b01</t>
        </is>
      </c>
      <c r="B9" t="inlineStr">
        <is>
          <t>Invoice payment</t>
        </is>
      </c>
      <c r="C9" s="162" t="n">
        <v>45839</v>
      </c>
      <c r="D9" t="inlineStr">
        <is>
          <t>BP</t>
        </is>
      </c>
      <c r="E9" t="inlineStr">
        <is>
          <t>Out</t>
        </is>
      </c>
      <c r="F9" t="n">
        <v>33.81</v>
      </c>
      <c r="G9" t="inlineStr">
        <is>
          <t>AUTHORISED</t>
        </is>
      </c>
      <c r="H9" t="inlineStr">
        <is>
          <t>Yes</t>
        </is>
      </c>
      <c r="I9" t="inlineStr">
        <is>
          <t>513399</t>
        </is>
      </c>
      <c r="J9" t="inlineStr">
        <is>
          <t>Goods-tagged</t>
        </is>
      </c>
      <c r="K9">
        <f>IF(AND(G9="AUTHORISED",J9="Goods-tagged"),F9,0)</f>
        <v/>
      </c>
      <c r="L9" t="inlineStr">
        <is>
          <t>.</t>
        </is>
      </c>
      <c r="M9" t="inlineStr">
        <is>
          <t>ACT-ST</t>
        </is>
      </c>
      <c r="N9" t="n">
        <v>46211</v>
      </c>
    </row>
    <row r="10" ht="36" customHeight="1">
      <c r="A10" t="inlineStr">
        <is>
          <t>617a3c5d-b668-4913-a576-704705caa101</t>
        </is>
      </c>
      <c r="B10" t="inlineStr">
        <is>
          <t>Invoice payment</t>
        </is>
      </c>
      <c r="C10" s="162" t="n">
        <v>45839</v>
      </c>
      <c r="D10" t="inlineStr">
        <is>
          <t>Tennant Creek Memorial Club</t>
        </is>
      </c>
      <c r="E10" t="inlineStr">
        <is>
          <t>Out</t>
        </is>
      </c>
      <c r="F10" t="n">
        <v>7</v>
      </c>
      <c r="G10" t="inlineStr">
        <is>
          <t>AUTHORISED</t>
        </is>
      </c>
      <c r="H10" t="inlineStr">
        <is>
          <t>Yes</t>
        </is>
      </c>
      <c r="I10" t="inlineStr">
        <is>
          <t>71905</t>
        </is>
      </c>
      <c r="J10" t="inlineStr">
        <is>
          <t>Goods-tagged</t>
        </is>
      </c>
      <c r="K10">
        <f>IF(AND(G10="AUTHORISED",J10="Goods-tagged"),F10,0)</f>
        <v/>
      </c>
      <c r="L10" t="inlineStr">
        <is>
          <t>As per attached.</t>
        </is>
      </c>
      <c r="M10" t="inlineStr">
        <is>
          <t>ACT-ST</t>
        </is>
      </c>
      <c r="N10" t="n">
        <v>46211</v>
      </c>
    </row>
    <row r="11" ht="36" customHeight="1">
      <c r="A11" t="inlineStr">
        <is>
          <t>67ed57f8-7ab8-4413-be1a-6cb7e44cfe7f</t>
        </is>
      </c>
      <c r="B11" t="inlineStr">
        <is>
          <t>Invoice payment</t>
        </is>
      </c>
      <c r="C11" s="162" t="n">
        <v>45839</v>
      </c>
      <c r="D11" t="inlineStr">
        <is>
          <t>IGA</t>
        </is>
      </c>
      <c r="E11" t="inlineStr">
        <is>
          <t>Out</t>
        </is>
      </c>
      <c r="F11" t="n">
        <v>115.23</v>
      </c>
      <c r="G11" t="inlineStr">
        <is>
          <t>AUTHORISED</t>
        </is>
      </c>
      <c r="H11" t="inlineStr">
        <is>
          <t>Yes</t>
        </is>
      </c>
      <c r="I11" t="inlineStr">
        <is>
          <t>133668</t>
        </is>
      </c>
      <c r="J11" t="inlineStr">
        <is>
          <t>Goods-tagged</t>
        </is>
      </c>
      <c r="K11">
        <f>IF(AND(G11="AUTHORISED",J11="Goods-tagged"),F11,0)</f>
        <v/>
      </c>
      <c r="L11" t="inlineStr">
        <is>
          <t>Fresh Food Supplies</t>
        </is>
      </c>
      <c r="M11" t="inlineStr">
        <is>
          <t>ACT-ST</t>
        </is>
      </c>
      <c r="N11" t="n">
        <v>46211</v>
      </c>
    </row>
    <row r="12" ht="36" customHeight="1">
      <c r="A12" t="inlineStr">
        <is>
          <t>81795955-302f-4164-894e-6818e71edb85</t>
        </is>
      </c>
      <c r="B12" t="inlineStr">
        <is>
          <t>Invoice payment</t>
        </is>
      </c>
      <c r="C12" s="162" t="n">
        <v>45839</v>
      </c>
      <c r="D12" t="inlineStr">
        <is>
          <t>IGA</t>
        </is>
      </c>
      <c r="E12" t="inlineStr">
        <is>
          <t>Out</t>
        </is>
      </c>
      <c r="F12" t="n">
        <v>28.68</v>
      </c>
      <c r="G12" t="inlineStr">
        <is>
          <t>AUTHORISED</t>
        </is>
      </c>
      <c r="H12" t="inlineStr">
        <is>
          <t>Yes</t>
        </is>
      </c>
      <c r="I12" t="inlineStr">
        <is>
          <t>60405</t>
        </is>
      </c>
      <c r="J12" t="inlineStr">
        <is>
          <t>Goods-tagged</t>
        </is>
      </c>
      <c r="K12">
        <f>IF(AND(G12="AUTHORISED",J12="Goods-tagged"),F12,0)</f>
        <v/>
      </c>
      <c r="L12" t="inlineStr">
        <is>
          <t>.</t>
        </is>
      </c>
      <c r="M12" t="inlineStr">
        <is>
          <t>ACT-ST</t>
        </is>
      </c>
      <c r="N12" t="n">
        <v>46211</v>
      </c>
    </row>
    <row r="13" ht="36" customHeight="1">
      <c r="A13" t="inlineStr">
        <is>
          <t>84b4925f-32ba-4545-a93b-1ccf4ab260b5</t>
        </is>
      </c>
      <c r="B13" t="inlineStr">
        <is>
          <t>Invoice payment</t>
        </is>
      </c>
      <c r="C13" s="162" t="n">
        <v>45839</v>
      </c>
      <c r="D13" t="inlineStr">
        <is>
          <t>Woks Up</t>
        </is>
      </c>
      <c r="E13" t="inlineStr">
        <is>
          <t>Out</t>
        </is>
      </c>
      <c r="F13" t="n">
        <v>107.8</v>
      </c>
      <c r="G13" t="inlineStr">
        <is>
          <t>AUTHORISED</t>
        </is>
      </c>
      <c r="H13" t="inlineStr">
        <is>
          <t>Yes</t>
        </is>
      </c>
      <c r="I13" t="inlineStr">
        <is>
          <t>180544</t>
        </is>
      </c>
      <c r="J13" t="inlineStr">
        <is>
          <t>Goods-tagged</t>
        </is>
      </c>
      <c r="K13">
        <f>IF(AND(G13="AUTHORISED",J13="Goods-tagged"),F13,0)</f>
        <v/>
      </c>
      <c r="L13" t="inlineStr">
        <is>
          <t>As per attached.</t>
        </is>
      </c>
      <c r="M13" t="inlineStr">
        <is>
          <t>ACT-ST</t>
        </is>
      </c>
      <c r="N13" t="n">
        <v>46211</v>
      </c>
    </row>
    <row r="14" ht="36" customHeight="1">
      <c r="A14" t="inlineStr">
        <is>
          <t>85bbcec4-3cc3-480d-a747-71336b5a723d</t>
        </is>
      </c>
      <c r="B14" t="inlineStr">
        <is>
          <t>Invoice payment</t>
        </is>
      </c>
      <c r="C14" s="162" t="n">
        <v>45839</v>
      </c>
      <c r="D14" t="inlineStr">
        <is>
          <t>BP</t>
        </is>
      </c>
      <c r="E14" t="inlineStr">
        <is>
          <t>Out</t>
        </is>
      </c>
      <c r="F14" t="n">
        <v>23.96</v>
      </c>
      <c r="G14" t="inlineStr">
        <is>
          <t>AUTHORISED</t>
        </is>
      </c>
      <c r="H14" t="inlineStr">
        <is>
          <t>Yes</t>
        </is>
      </c>
      <c r="I14" t="inlineStr">
        <is>
          <t>512882</t>
        </is>
      </c>
      <c r="J14" t="inlineStr">
        <is>
          <t>Goods-tagged</t>
        </is>
      </c>
      <c r="K14">
        <f>IF(AND(G14="AUTHORISED",J14="Goods-tagged"),F14,0)</f>
        <v/>
      </c>
      <c r="L14" t="inlineStr">
        <is>
          <t>Foods</t>
        </is>
      </c>
      <c r="M14" t="inlineStr">
        <is>
          <t>ACT-ST</t>
        </is>
      </c>
      <c r="N14" t="n">
        <v>46211</v>
      </c>
    </row>
    <row r="15" ht="36" customHeight="1">
      <c r="A15" t="inlineStr">
        <is>
          <t>87dc3b80-f46c-45c9-b13b-a7451a0ec7bd</t>
        </is>
      </c>
      <c r="B15" t="inlineStr">
        <is>
          <t>Invoice payment</t>
        </is>
      </c>
      <c r="C15" s="162" t="n">
        <v>45839</v>
      </c>
      <c r="D15" t="inlineStr">
        <is>
          <t>Sendle</t>
        </is>
      </c>
      <c r="E15" t="inlineStr">
        <is>
          <t>Out</t>
        </is>
      </c>
      <c r="F15" t="n">
        <v>21.05</v>
      </c>
      <c r="G15" t="inlineStr">
        <is>
          <t>AUTHORISED</t>
        </is>
      </c>
      <c r="H15" t="inlineStr">
        <is>
          <t>Yes</t>
        </is>
      </c>
      <c r="I15" t="inlineStr">
        <is>
          <t>17301325130</t>
        </is>
      </c>
      <c r="J15" t="inlineStr">
        <is>
          <t>Goods-tagged</t>
        </is>
      </c>
      <c r="K15">
        <f>IF(AND(G15="AUTHORISED",J15="Goods-tagged"),F15,0)</f>
        <v/>
      </c>
      <c r="L15" t="inlineStr">
        <is>
          <t>.</t>
        </is>
      </c>
      <c r="M15" t="inlineStr">
        <is>
          <t>ACT-ST</t>
        </is>
      </c>
      <c r="N15" t="n">
        <v>46211</v>
      </c>
    </row>
    <row r="16" ht="36" customHeight="1">
      <c r="A16" t="inlineStr">
        <is>
          <t>c6394735-7f1b-4c2a-8149-f6a8971ee60e</t>
        </is>
      </c>
      <c r="B16" t="inlineStr">
        <is>
          <t>Invoice payment</t>
        </is>
      </c>
      <c r="C16" s="162" t="n">
        <v>45839</v>
      </c>
      <c r="D16" t="inlineStr">
        <is>
          <t>Lone Star Service</t>
        </is>
      </c>
      <c r="E16" t="inlineStr">
        <is>
          <t>Out</t>
        </is>
      </c>
      <c r="F16" t="n">
        <v>308.93</v>
      </c>
      <c r="G16" t="inlineStr">
        <is>
          <t>AUTHORISED</t>
        </is>
      </c>
      <c r="H16" t="inlineStr">
        <is>
          <t>Yes</t>
        </is>
      </c>
      <c r="I16" t="inlineStr">
        <is>
          <t>340943</t>
        </is>
      </c>
      <c r="J16" t="inlineStr">
        <is>
          <t>Goods-tagged</t>
        </is>
      </c>
      <c r="K16">
        <f>IF(AND(G16="AUTHORISED",J16="Goods-tagged"),F16,0)</f>
        <v/>
      </c>
      <c r="L16" t="inlineStr">
        <is>
          <t>Fuel</t>
        </is>
      </c>
      <c r="M16" t="inlineStr">
        <is>
          <t>ACT-ST</t>
        </is>
      </c>
      <c r="N16" t="n">
        <v>46211</v>
      </c>
    </row>
    <row r="17" ht="36" customHeight="1">
      <c r="A17" t="inlineStr">
        <is>
          <t>e14ad1a4-8ba6-4752-b1d9-138d8b18dc18</t>
        </is>
      </c>
      <c r="B17" t="inlineStr">
        <is>
          <t>Invoice payment</t>
        </is>
      </c>
      <c r="C17" s="162" t="n">
        <v>45839</v>
      </c>
      <c r="D17" t="inlineStr">
        <is>
          <t>Barkly Hardware Rural Supplies</t>
        </is>
      </c>
      <c r="E17" t="inlineStr">
        <is>
          <t>Out</t>
        </is>
      </c>
      <c r="F17" t="n">
        <v>133.85</v>
      </c>
      <c r="G17" t="inlineStr">
        <is>
          <t>AUTHORISED</t>
        </is>
      </c>
      <c r="H17" t="inlineStr">
        <is>
          <t>Yes</t>
        </is>
      </c>
      <c r="I17" t="inlineStr">
        <is>
          <t>111105890</t>
        </is>
      </c>
      <c r="J17" t="inlineStr">
        <is>
          <t>Goods-tagged</t>
        </is>
      </c>
      <c r="K17">
        <f>IF(AND(G17="AUTHORISED",J17="Goods-tagged"),F17,0)</f>
        <v/>
      </c>
      <c r="L17" t="inlineStr">
        <is>
          <t>As per attached.</t>
        </is>
      </c>
      <c r="M17" t="inlineStr">
        <is>
          <t>ACT-ST</t>
        </is>
      </c>
      <c r="N17" t="n">
        <v>46211</v>
      </c>
    </row>
    <row r="18" ht="36" customHeight="1">
      <c r="A18" t="inlineStr">
        <is>
          <t>e1da4431-9fd7-4480-be6b-41b43caea031</t>
        </is>
      </c>
      <c r="B18" t="inlineStr">
        <is>
          <t>Invoice payment</t>
        </is>
      </c>
      <c r="C18" s="162" t="n">
        <v>45839</v>
      </c>
      <c r="D18" t="inlineStr">
        <is>
          <t>BP</t>
        </is>
      </c>
      <c r="E18" t="inlineStr">
        <is>
          <t>Out</t>
        </is>
      </c>
      <c r="F18" t="n">
        <v>169.5</v>
      </c>
      <c r="G18" t="inlineStr">
        <is>
          <t>AUTHORISED</t>
        </is>
      </c>
      <c r="H18" t="inlineStr">
        <is>
          <t>Yes</t>
        </is>
      </c>
      <c r="I18" t="inlineStr">
        <is>
          <t>594830</t>
        </is>
      </c>
      <c r="J18" t="inlineStr">
        <is>
          <t>Goods-tagged</t>
        </is>
      </c>
      <c r="K18">
        <f>IF(AND(G18="AUTHORISED",J18="Goods-tagged"),F18,0)</f>
        <v/>
      </c>
      <c r="L18" t="inlineStr">
        <is>
          <t>Fuel</t>
        </is>
      </c>
      <c r="M18" t="inlineStr">
        <is>
          <t>ACT-ST</t>
        </is>
      </c>
      <c r="N18" t="n">
        <v>46211</v>
      </c>
    </row>
    <row r="19" ht="36" customHeight="1">
      <c r="A19" t="inlineStr">
        <is>
          <t>f0cac194-3909-49af-8b20-1a43a6aad1db</t>
        </is>
      </c>
      <c r="B19" t="inlineStr">
        <is>
          <t>Invoice payment</t>
        </is>
      </c>
      <c r="C19" s="162" t="n">
        <v>45839</v>
      </c>
      <c r="D19" t="inlineStr">
        <is>
          <t>BP</t>
        </is>
      </c>
      <c r="E19" t="inlineStr">
        <is>
          <t>Out</t>
        </is>
      </c>
      <c r="F19" t="n">
        <v>37.94</v>
      </c>
      <c r="G19" t="inlineStr">
        <is>
          <t>AUTHORISED</t>
        </is>
      </c>
      <c r="H19" t="inlineStr">
        <is>
          <t>Yes</t>
        </is>
      </c>
      <c r="I19" t="inlineStr">
        <is>
          <t>596390</t>
        </is>
      </c>
      <c r="J19" t="inlineStr">
        <is>
          <t>Goods-tagged</t>
        </is>
      </c>
      <c r="K19">
        <f>IF(AND(G19="AUTHORISED",J19="Goods-tagged"),F19,0)</f>
        <v/>
      </c>
      <c r="L19" t="inlineStr">
        <is>
          <t>Fuel</t>
        </is>
      </c>
      <c r="M19" t="inlineStr">
        <is>
          <t>ACT-ST</t>
        </is>
      </c>
      <c r="N19" t="n">
        <v>46211</v>
      </c>
    </row>
    <row r="20" ht="36" customHeight="1">
      <c r="A20" t="inlineStr">
        <is>
          <t>09fca1cb-01bc-4c6d-9ee9-1d42eb59cf23</t>
        </is>
      </c>
      <c r="B20" t="inlineStr">
        <is>
          <t>Invoice payment</t>
        </is>
      </c>
      <c r="C20" s="162" t="n">
        <v>45840</v>
      </c>
      <c r="D20" t="inlineStr">
        <is>
          <t>BP</t>
        </is>
      </c>
      <c r="E20" t="inlineStr">
        <is>
          <t>Out</t>
        </is>
      </c>
      <c r="F20" t="n">
        <v>21.76</v>
      </c>
      <c r="G20" t="inlineStr">
        <is>
          <t>AUTHORISED</t>
        </is>
      </c>
      <c r="H20" t="inlineStr">
        <is>
          <t>Yes</t>
        </is>
      </c>
      <c r="I20" t="inlineStr">
        <is>
          <t>596735</t>
        </is>
      </c>
      <c r="J20" t="inlineStr">
        <is>
          <t>Goods-tagged</t>
        </is>
      </c>
      <c r="K20">
        <f>IF(AND(G20="AUTHORISED",J20="Goods-tagged"),F20,0)</f>
        <v/>
      </c>
      <c r="L20" t="inlineStr">
        <is>
          <t>Fuel</t>
        </is>
      </c>
      <c r="M20" t="inlineStr">
        <is>
          <t>ACT-ST</t>
        </is>
      </c>
      <c r="N20" t="n">
        <v>46211</v>
      </c>
    </row>
    <row r="21" ht="36" customHeight="1">
      <c r="A21" t="inlineStr">
        <is>
          <t>1b8eb677-72d8-408e-83c8-413b25055ac2</t>
        </is>
      </c>
      <c r="B21" t="inlineStr">
        <is>
          <t>Invoice payment</t>
        </is>
      </c>
      <c r="C21" s="162" t="n">
        <v>45840</v>
      </c>
      <c r="D21" t="inlineStr">
        <is>
          <t>Bay Leaf Cafe</t>
        </is>
      </c>
      <c r="E21" t="inlineStr">
        <is>
          <t>Out</t>
        </is>
      </c>
      <c r="F21" t="n">
        <v>10</v>
      </c>
      <c r="G21" t="inlineStr">
        <is>
          <t>AUTHORISED</t>
        </is>
      </c>
      <c r="H21" t="inlineStr">
        <is>
          <t>Yes</t>
        </is>
      </c>
      <c r="I21" t="inlineStr">
        <is>
          <t>dlhk</t>
        </is>
      </c>
      <c r="J21" t="inlineStr">
        <is>
          <t>Goods-tagged</t>
        </is>
      </c>
      <c r="K21">
        <f>IF(AND(G21="AUTHORISED",J21="Goods-tagged"),F21,0)</f>
        <v/>
      </c>
      <c r="L21" t="inlineStr">
        <is>
          <t>.</t>
        </is>
      </c>
      <c r="M21" t="inlineStr">
        <is>
          <t>ACT-ST</t>
        </is>
      </c>
      <c r="N21" t="n">
        <v>46211</v>
      </c>
    </row>
    <row r="22" ht="36" customHeight="1">
      <c r="A22" t="inlineStr">
        <is>
          <t>cec6f6b6-feb7-4349-90aa-b1b3f3386cc6</t>
        </is>
      </c>
      <c r="B22" t="inlineStr">
        <is>
          <t>Invoice payment</t>
        </is>
      </c>
      <c r="C22" s="162" t="n">
        <v>45840</v>
      </c>
      <c r="D22" t="inlineStr">
        <is>
          <t>Bay Leaf Cafe</t>
        </is>
      </c>
      <c r="E22" t="inlineStr">
        <is>
          <t>Out</t>
        </is>
      </c>
      <c r="F22" t="n">
        <v>24.8</v>
      </c>
      <c r="G22" t="inlineStr">
        <is>
          <t>AUTHORISED</t>
        </is>
      </c>
      <c r="H22" t="inlineStr">
        <is>
          <t>Yes</t>
        </is>
      </c>
      <c r="I22" t="inlineStr">
        <is>
          <t>dYVe</t>
        </is>
      </c>
      <c r="J22" t="inlineStr">
        <is>
          <t>Goods-tagged</t>
        </is>
      </c>
      <c r="K22">
        <f>IF(AND(G22="AUTHORISED",J22="Goods-tagged"),F22,0)</f>
        <v/>
      </c>
      <c r="L22" t="inlineStr">
        <is>
          <t>.</t>
        </is>
      </c>
      <c r="M22" t="inlineStr">
        <is>
          <t>ACT-ST</t>
        </is>
      </c>
      <c r="N22" t="n">
        <v>46211</v>
      </c>
    </row>
    <row r="23" ht="36" customHeight="1">
      <c r="A23" t="inlineStr">
        <is>
          <t>ed9f3be1-a3a1-4a75-8277-9e64d305b9a7</t>
        </is>
      </c>
      <c r="B23" t="inlineStr">
        <is>
          <t>Invoice payment</t>
        </is>
      </c>
      <c r="C23" s="162" t="n">
        <v>45840</v>
      </c>
      <c r="D23" t="inlineStr">
        <is>
          <t>Barkly Hardware Rural Supplies</t>
        </is>
      </c>
      <c r="E23" t="inlineStr">
        <is>
          <t>Out</t>
        </is>
      </c>
      <c r="F23" t="n">
        <v>137.65</v>
      </c>
      <c r="G23" t="inlineStr">
        <is>
          <t>AUTHORISED</t>
        </is>
      </c>
      <c r="H23" t="inlineStr">
        <is>
          <t>Yes</t>
        </is>
      </c>
      <c r="I23" t="inlineStr">
        <is>
          <t>111106009</t>
        </is>
      </c>
      <c r="J23" t="inlineStr">
        <is>
          <t>Goods-tagged</t>
        </is>
      </c>
      <c r="K23">
        <f>IF(AND(G23="AUTHORISED",J23="Goods-tagged"),F23,0)</f>
        <v/>
      </c>
      <c r="L23" t="inlineStr">
        <is>
          <t>.</t>
        </is>
      </c>
      <c r="M23" t="inlineStr">
        <is>
          <t>ACT-ST</t>
        </is>
      </c>
      <c r="N23" t="n">
        <v>46211</v>
      </c>
    </row>
    <row r="24" ht="36" customHeight="1">
      <c r="A24" t="inlineStr">
        <is>
          <t>7f387f29-6b23-4e34-81f9-bdee26b99311</t>
        </is>
      </c>
      <c r="B24" t="inlineStr">
        <is>
          <t>Invoice payment</t>
        </is>
      </c>
      <c r="C24" s="162" t="n">
        <v>45841</v>
      </c>
      <c r="D24" t="inlineStr">
        <is>
          <t>Woks Up</t>
        </is>
      </c>
      <c r="E24" t="inlineStr">
        <is>
          <t>Out</t>
        </is>
      </c>
      <c r="F24" t="n">
        <v>90.3</v>
      </c>
      <c r="G24" t="inlineStr">
        <is>
          <t>AUTHORISED</t>
        </is>
      </c>
      <c r="H24" t="inlineStr">
        <is>
          <t>Yes</t>
        </is>
      </c>
      <c r="I24" t="inlineStr">
        <is>
          <t>180657</t>
        </is>
      </c>
      <c r="J24" t="inlineStr">
        <is>
          <t>Goods-tagged</t>
        </is>
      </c>
      <c r="K24">
        <f>IF(AND(G24="AUTHORISED",J24="Goods-tagged"),F24,0)</f>
        <v/>
      </c>
      <c r="L24" t="inlineStr">
        <is>
          <t>.</t>
        </is>
      </c>
      <c r="M24" t="inlineStr">
        <is>
          <t>ACT-ST</t>
        </is>
      </c>
      <c r="N24" t="n">
        <v>46211</v>
      </c>
    </row>
    <row r="25" ht="36" customHeight="1">
      <c r="A25" t="inlineStr">
        <is>
          <t>d9fb3f96-c7c3-49ad-adf6-63aa5905c7e0</t>
        </is>
      </c>
      <c r="B25" t="inlineStr">
        <is>
          <t>Invoice payment</t>
        </is>
      </c>
      <c r="C25" s="162" t="n">
        <v>45841</v>
      </c>
      <c r="D25" t="inlineStr">
        <is>
          <t>BP</t>
        </is>
      </c>
      <c r="E25" t="inlineStr">
        <is>
          <t>Out</t>
        </is>
      </c>
      <c r="F25" t="n">
        <v>19.97</v>
      </c>
      <c r="G25" t="inlineStr">
        <is>
          <t>AUTHORISED</t>
        </is>
      </c>
      <c r="H25" t="inlineStr">
        <is>
          <t>Yes</t>
        </is>
      </c>
      <c r="I25" t="inlineStr">
        <is>
          <t>515015</t>
        </is>
      </c>
      <c r="J25" t="inlineStr">
        <is>
          <t>Goods-tagged</t>
        </is>
      </c>
      <c r="K25">
        <f>IF(AND(G25="AUTHORISED",J25="Goods-tagged"),F25,0)</f>
        <v/>
      </c>
      <c r="L25" t="inlineStr">
        <is>
          <t>. / .</t>
        </is>
      </c>
      <c r="M25" t="inlineStr">
        <is>
          <t>ACT-ST</t>
        </is>
      </c>
      <c r="N25" t="n">
        <v>46211</v>
      </c>
    </row>
    <row r="26" ht="36" customHeight="1">
      <c r="A26" t="inlineStr">
        <is>
          <t>e772bd69-8de4-49ef-bab6-e92520340dbe</t>
        </is>
      </c>
      <c r="B26" t="inlineStr">
        <is>
          <t>Invoice payment</t>
        </is>
      </c>
      <c r="C26" s="162" t="n">
        <v>45841</v>
      </c>
      <c r="D26" t="inlineStr">
        <is>
          <t>Bay Leaf Cafe</t>
        </is>
      </c>
      <c r="E26" t="inlineStr">
        <is>
          <t>Out</t>
        </is>
      </c>
      <c r="F26" t="n">
        <v>31</v>
      </c>
      <c r="G26" t="inlineStr">
        <is>
          <t>AUTHORISED</t>
        </is>
      </c>
      <c r="H26" t="inlineStr">
        <is>
          <t>Yes</t>
        </is>
      </c>
      <c r="I26" t="inlineStr">
        <is>
          <t>582T</t>
        </is>
      </c>
      <c r="J26" t="inlineStr">
        <is>
          <t>Goods-tagged</t>
        </is>
      </c>
      <c r="K26">
        <f>IF(AND(G26="AUTHORISED",J26="Goods-tagged"),F26,0)</f>
        <v/>
      </c>
      <c r="L26" t="inlineStr">
        <is>
          <t>.</t>
        </is>
      </c>
      <c r="M26" t="inlineStr">
        <is>
          <t>ACT-ST</t>
        </is>
      </c>
      <c r="N26" t="n">
        <v>46211</v>
      </c>
    </row>
    <row r="27" ht="36" customHeight="1">
      <c r="A27" t="inlineStr">
        <is>
          <t>eed1157f-bb7b-4fc2-9c61-ca9ae070a50e</t>
        </is>
      </c>
      <c r="B27" t="inlineStr">
        <is>
          <t>Invoice payment</t>
        </is>
      </c>
      <c r="C27" s="162" t="n">
        <v>45841</v>
      </c>
      <c r="D27" t="inlineStr">
        <is>
          <t>Ti Tree Roadhouse</t>
        </is>
      </c>
      <c r="E27" t="inlineStr">
        <is>
          <t>Out</t>
        </is>
      </c>
      <c r="F27" t="n">
        <v>67.14</v>
      </c>
      <c r="G27" t="inlineStr">
        <is>
          <t>AUTHORISED</t>
        </is>
      </c>
      <c r="H27" t="inlineStr">
        <is>
          <t>Yes</t>
        </is>
      </c>
      <c r="I27" t="inlineStr">
        <is>
          <t>2729</t>
        </is>
      </c>
      <c r="J27" t="inlineStr">
        <is>
          <t>Goods-tagged</t>
        </is>
      </c>
      <c r="K27">
        <f>IF(AND(G27="AUTHORISED",J27="Goods-tagged"),F27,0)</f>
        <v/>
      </c>
      <c r="L27" t="inlineStr">
        <is>
          <t>.</t>
        </is>
      </c>
      <c r="M27" t="inlineStr">
        <is>
          <t>ACT-ST</t>
        </is>
      </c>
      <c r="N27" t="n">
        <v>46211</v>
      </c>
    </row>
    <row r="28" ht="36" customHeight="1">
      <c r="A28" t="inlineStr">
        <is>
          <t>8bd6d620-c692-40fe-a76e-c1f8da3147f3</t>
        </is>
      </c>
      <c r="B28" t="inlineStr">
        <is>
          <t>Bank transaction</t>
        </is>
      </c>
      <c r="C28" s="162" t="n">
        <v>45842</v>
      </c>
      <c r="D28" t="inlineStr">
        <is>
          <t>Flight Bar Witta</t>
        </is>
      </c>
      <c r="E28" t="inlineStr">
        <is>
          <t>Out</t>
        </is>
      </c>
      <c r="F28" t="n">
        <v>134.62</v>
      </c>
      <c r="G28" t="inlineStr">
        <is>
          <t>AUTHORISED</t>
        </is>
      </c>
      <c r="H28" t="inlineStr">
        <is>
          <t>Yes</t>
        </is>
      </c>
      <c r="J28" t="inlineStr">
        <is>
          <t>Goods-tagged</t>
        </is>
      </c>
      <c r="K28">
        <f>IF(AND(G28="AUTHORISED",J28="Goods-tagged"),F28,0)</f>
        <v/>
      </c>
      <c r="M28" t="inlineStr">
        <is>
          <t>ACT-ST</t>
        </is>
      </c>
      <c r="N28" t="n">
        <v>46237</v>
      </c>
    </row>
    <row r="29" ht="36" customHeight="1">
      <c r="A29" t="inlineStr">
        <is>
          <t>3c34a6f8-39e6-479f-956a-f022e266b5aa</t>
        </is>
      </c>
      <c r="B29" t="inlineStr">
        <is>
          <t>Invoice payment</t>
        </is>
      </c>
      <c r="C29" s="162" t="n">
        <v>45842</v>
      </c>
      <c r="D29" t="inlineStr">
        <is>
          <t>BP Complex Tennant Creek</t>
        </is>
      </c>
      <c r="E29" t="inlineStr">
        <is>
          <t>Out</t>
        </is>
      </c>
      <c r="F29" t="n">
        <v>95.92</v>
      </c>
      <c r="G29" t="inlineStr">
        <is>
          <t>AUTHORISED</t>
        </is>
      </c>
      <c r="H29" t="inlineStr">
        <is>
          <t>Yes</t>
        </is>
      </c>
      <c r="I29" t="inlineStr">
        <is>
          <t>515487</t>
        </is>
      </c>
      <c r="J29" t="inlineStr">
        <is>
          <t>Goods-tagged</t>
        </is>
      </c>
      <c r="K29">
        <f>IF(AND(G29="AUTHORISED",J29="Goods-tagged"),F29,0)</f>
        <v/>
      </c>
      <c r="L29" t="inlineStr">
        <is>
          <t>.</t>
        </is>
      </c>
      <c r="M29" t="inlineStr">
        <is>
          <t>ACT-ST</t>
        </is>
      </c>
      <c r="N29" t="n">
        <v>46211</v>
      </c>
    </row>
    <row r="30" ht="36" customHeight="1">
      <c r="A30" t="inlineStr">
        <is>
          <t>6f20439e-e3dc-4e30-ab7a-b77e29affd50</t>
        </is>
      </c>
      <c r="B30" t="inlineStr">
        <is>
          <t>Invoice payment</t>
        </is>
      </c>
      <c r="C30" s="162" t="n">
        <v>45842</v>
      </c>
      <c r="D30" t="inlineStr">
        <is>
          <t>BP</t>
        </is>
      </c>
      <c r="E30" t="inlineStr">
        <is>
          <t>Out</t>
        </is>
      </c>
      <c r="F30" t="n">
        <v>38.09</v>
      </c>
      <c r="G30" t="inlineStr">
        <is>
          <t>AUTHORISED</t>
        </is>
      </c>
      <c r="H30" t="inlineStr">
        <is>
          <t>Yes</t>
        </is>
      </c>
      <c r="I30" t="inlineStr">
        <is>
          <t>597776</t>
        </is>
      </c>
      <c r="J30" t="inlineStr">
        <is>
          <t>Goods-tagged</t>
        </is>
      </c>
      <c r="K30">
        <f>IF(AND(G30="AUTHORISED",J30="Goods-tagged"),F30,0)</f>
        <v/>
      </c>
      <c r="L30" t="inlineStr">
        <is>
          <t>.</t>
        </is>
      </c>
      <c r="M30" t="inlineStr">
        <is>
          <t>ACT-ST</t>
        </is>
      </c>
      <c r="N30" t="n">
        <v>46211</v>
      </c>
    </row>
    <row r="31" ht="36" customHeight="1">
      <c r="A31" t="inlineStr">
        <is>
          <t>7ba9d262-7f67-4ebe-9811-b37a6fb1c380</t>
        </is>
      </c>
      <c r="B31" t="inlineStr">
        <is>
          <t>Invoice payment</t>
        </is>
      </c>
      <c r="C31" s="162" t="n">
        <v>45842</v>
      </c>
      <c r="D31" t="inlineStr">
        <is>
          <t>Ampol Teppa Hill</t>
        </is>
      </c>
      <c r="E31" t="inlineStr">
        <is>
          <t>Out</t>
        </is>
      </c>
      <c r="F31" t="n">
        <v>104.69</v>
      </c>
      <c r="G31" t="inlineStr">
        <is>
          <t>AUTHORISED</t>
        </is>
      </c>
      <c r="H31" t="inlineStr">
        <is>
          <t>Yes</t>
        </is>
      </c>
      <c r="I31" t="inlineStr">
        <is>
          <t>45634</t>
        </is>
      </c>
      <c r="J31" t="inlineStr">
        <is>
          <t>Goods-tagged</t>
        </is>
      </c>
      <c r="K31">
        <f>IF(AND(G31="AUTHORISED",J31="Goods-tagged"),F31,0)</f>
        <v/>
      </c>
      <c r="L31" t="inlineStr">
        <is>
          <t>.</t>
        </is>
      </c>
      <c r="M31" t="inlineStr">
        <is>
          <t>ACT-ST</t>
        </is>
      </c>
      <c r="N31" t="n">
        <v>46211</v>
      </c>
    </row>
    <row r="32" ht="36" customHeight="1">
      <c r="A32" t="inlineStr">
        <is>
          <t>9705127c-aedd-47fd-a465-3a09bad82503</t>
        </is>
      </c>
      <c r="B32" t="inlineStr">
        <is>
          <t>Invoice payment</t>
        </is>
      </c>
      <c r="C32" s="162" t="n">
        <v>45842</v>
      </c>
      <c r="D32" t="inlineStr">
        <is>
          <t>Lone Star Service</t>
        </is>
      </c>
      <c r="E32" t="inlineStr">
        <is>
          <t>Out</t>
        </is>
      </c>
      <c r="F32" t="n">
        <v>426.75</v>
      </c>
      <c r="G32" t="inlineStr">
        <is>
          <t>AUTHORISED</t>
        </is>
      </c>
      <c r="H32" t="inlineStr">
        <is>
          <t>Yes</t>
        </is>
      </c>
      <c r="I32" t="inlineStr">
        <is>
          <t>342190</t>
        </is>
      </c>
      <c r="J32" t="inlineStr">
        <is>
          <t>Goods-tagged</t>
        </is>
      </c>
      <c r="K32">
        <f>IF(AND(G32="AUTHORISED",J32="Goods-tagged"),F32,0)</f>
        <v/>
      </c>
      <c r="L32" t="inlineStr">
        <is>
          <t>.</t>
        </is>
      </c>
      <c r="M32" t="inlineStr">
        <is>
          <t>ACT-ST</t>
        </is>
      </c>
      <c r="N32" t="n">
        <v>46211</v>
      </c>
    </row>
    <row r="33" ht="36" customHeight="1">
      <c r="A33" t="inlineStr">
        <is>
          <t>9b9c68c2-c1db-459e-80be-dd2bc2d0faec</t>
        </is>
      </c>
      <c r="B33" t="inlineStr">
        <is>
          <t>Invoice payment</t>
        </is>
      </c>
      <c r="C33" s="162" t="n">
        <v>45842</v>
      </c>
      <c r="D33" t="inlineStr">
        <is>
          <t>Australia Post</t>
        </is>
      </c>
      <c r="E33" t="inlineStr">
        <is>
          <t>Out</t>
        </is>
      </c>
      <c r="F33" t="n">
        <v>1011.9</v>
      </c>
      <c r="G33" t="inlineStr">
        <is>
          <t>AUTHORISED</t>
        </is>
      </c>
      <c r="H33" t="inlineStr">
        <is>
          <t>Yes</t>
        </is>
      </c>
      <c r="I33" t="inlineStr">
        <is>
          <t>02/19240</t>
        </is>
      </c>
      <c r="J33" t="inlineStr">
        <is>
          <t>Goods-tagged</t>
        </is>
      </c>
      <c r="K33">
        <f>IF(AND(G33="AUTHORISED",J33="Goods-tagged"),F33,0)</f>
        <v/>
      </c>
      <c r="L33" t="inlineStr">
        <is>
          <t>. / .</t>
        </is>
      </c>
      <c r="M33" t="inlineStr">
        <is>
          <t>ACT-ST</t>
        </is>
      </c>
      <c r="N33" t="n">
        <v>46211</v>
      </c>
    </row>
    <row r="34" ht="36" customHeight="1">
      <c r="A34" t="inlineStr">
        <is>
          <t>a7760d67-e9d9-4140-b6ff-76ca4d471440</t>
        </is>
      </c>
      <c r="B34" t="inlineStr">
        <is>
          <t>Invoice payment</t>
        </is>
      </c>
      <c r="C34" s="162" t="n">
        <v>45842</v>
      </c>
      <c r="D34" t="inlineStr">
        <is>
          <t>Page 27</t>
        </is>
      </c>
      <c r="E34" t="inlineStr">
        <is>
          <t>Out</t>
        </is>
      </c>
      <c r="F34" t="n">
        <v>12.89</v>
      </c>
      <c r="G34" t="inlineStr">
        <is>
          <t>AUTHORISED</t>
        </is>
      </c>
      <c r="H34" t="inlineStr">
        <is>
          <t>Yes</t>
        </is>
      </c>
      <c r="I34" t="inlineStr">
        <is>
          <t>667380</t>
        </is>
      </c>
      <c r="J34" t="inlineStr">
        <is>
          <t>Goods-tagged</t>
        </is>
      </c>
      <c r="K34">
        <f>IF(AND(G34="AUTHORISED",J34="Goods-tagged"),F34,0)</f>
        <v/>
      </c>
      <c r="L34" t="inlineStr">
        <is>
          <t>.</t>
        </is>
      </c>
      <c r="M34" t="inlineStr">
        <is>
          <t>ACT-ST</t>
        </is>
      </c>
      <c r="N34" t="n">
        <v>46211</v>
      </c>
    </row>
    <row r="35" ht="36" customHeight="1">
      <c r="A35" t="inlineStr">
        <is>
          <t>e3d77c3b-5dd3-4c9c-9328-9122f80844c0</t>
        </is>
      </c>
      <c r="B35" t="inlineStr">
        <is>
          <t>Invoice payment</t>
        </is>
      </c>
      <c r="C35" s="162" t="n">
        <v>45842</v>
      </c>
      <c r="D35" t="inlineStr">
        <is>
          <t>IGA</t>
        </is>
      </c>
      <c r="E35" t="inlineStr">
        <is>
          <t>Out</t>
        </is>
      </c>
      <c r="F35" t="n">
        <v>87</v>
      </c>
      <c r="G35" t="inlineStr">
        <is>
          <t>AUTHORISED</t>
        </is>
      </c>
      <c r="H35" t="inlineStr">
        <is>
          <t>Yes</t>
        </is>
      </c>
      <c r="I35" t="inlineStr">
        <is>
          <t>191327</t>
        </is>
      </c>
      <c r="J35" t="inlineStr">
        <is>
          <t>Goods-tagged</t>
        </is>
      </c>
      <c r="K35">
        <f>IF(AND(G35="AUTHORISED",J35="Goods-tagged"),F35,0)</f>
        <v/>
      </c>
      <c r="L35" t="inlineStr">
        <is>
          <t>.</t>
        </is>
      </c>
      <c r="M35" t="inlineStr">
        <is>
          <t>ACT-ST</t>
        </is>
      </c>
      <c r="N35" t="n">
        <v>46211</v>
      </c>
    </row>
    <row r="36" ht="36" customHeight="1">
      <c r="A36" t="inlineStr">
        <is>
          <t>5cd9004b-6b62-4248-8db4-94c262f3452b</t>
        </is>
      </c>
      <c r="B36" t="inlineStr">
        <is>
          <t>Invoice payment</t>
        </is>
      </c>
      <c r="C36" s="162" t="n">
        <v>45845</v>
      </c>
      <c r="D36" t="inlineStr">
        <is>
          <t>Liberty Maleny</t>
        </is>
      </c>
      <c r="E36" t="inlineStr">
        <is>
          <t>Out</t>
        </is>
      </c>
      <c r="F36" t="n">
        <v>108.21</v>
      </c>
      <c r="G36" t="inlineStr">
        <is>
          <t>AUTHORISED</t>
        </is>
      </c>
      <c r="H36" t="inlineStr">
        <is>
          <t>Yes</t>
        </is>
      </c>
      <c r="I36" t="inlineStr">
        <is>
          <t>671863-6</t>
        </is>
      </c>
      <c r="J36" t="inlineStr">
        <is>
          <t>Goods-tagged</t>
        </is>
      </c>
      <c r="K36">
        <f>IF(AND(G36="AUTHORISED",J36="Goods-tagged"),F36,0)</f>
        <v/>
      </c>
      <c r="L36" t="inlineStr">
        <is>
          <t>Fuel - Diesel / Fuel - Diesel</t>
        </is>
      </c>
      <c r="M36" t="inlineStr">
        <is>
          <t>ACT-ST</t>
        </is>
      </c>
      <c r="N36" t="n">
        <v>46211</v>
      </c>
    </row>
    <row r="37" ht="36" customHeight="1">
      <c r="A37" t="inlineStr">
        <is>
          <t>6efb557d-dded-4d27-9b5f-d2d613d83bb2</t>
        </is>
      </c>
      <c r="B37" t="inlineStr">
        <is>
          <t>Invoice payment</t>
        </is>
      </c>
      <c r="C37" s="162" t="n">
        <v>45845</v>
      </c>
      <c r="D37" t="inlineStr">
        <is>
          <t>Club Eastside</t>
        </is>
      </c>
      <c r="E37" t="inlineStr">
        <is>
          <t>Out</t>
        </is>
      </c>
      <c r="F37" t="n">
        <v>56</v>
      </c>
      <c r="G37" t="inlineStr">
        <is>
          <t>AUTHORISED</t>
        </is>
      </c>
      <c r="H37" t="inlineStr">
        <is>
          <t>Yes</t>
        </is>
      </c>
      <c r="I37" t="inlineStr">
        <is>
          <t>111020</t>
        </is>
      </c>
      <c r="J37" t="inlineStr">
        <is>
          <t>Goods-tagged</t>
        </is>
      </c>
      <c r="K37">
        <f>IF(AND(G37="AUTHORISED",J37="Goods-tagged"),F37,0)</f>
        <v/>
      </c>
      <c r="L37" t="inlineStr">
        <is>
          <t>.</t>
        </is>
      </c>
      <c r="M37" t="inlineStr">
        <is>
          <t>ACT-ST</t>
        </is>
      </c>
      <c r="N37" t="n">
        <v>46211</v>
      </c>
    </row>
    <row r="38" ht="36" customHeight="1">
      <c r="A38" t="inlineStr">
        <is>
          <t>ab8e91ee-4007-4413-9c44-3080d38be181</t>
        </is>
      </c>
      <c r="B38" t="inlineStr">
        <is>
          <t>Invoice payment</t>
        </is>
      </c>
      <c r="C38" s="162" t="n">
        <v>45845</v>
      </c>
      <c r="D38" t="inlineStr">
        <is>
          <t>Byo Group</t>
        </is>
      </c>
      <c r="E38" t="inlineStr">
        <is>
          <t>Out</t>
        </is>
      </c>
      <c r="F38" t="n">
        <v>913.4400000000001</v>
      </c>
      <c r="G38" t="inlineStr">
        <is>
          <t>AUTHORISED</t>
        </is>
      </c>
      <c r="H38" t="inlineStr">
        <is>
          <t>Yes</t>
        </is>
      </c>
      <c r="I38" t="inlineStr">
        <is>
          <t>BYO-25852</t>
        </is>
      </c>
      <c r="J38" t="inlineStr">
        <is>
          <t>Goods-tagged</t>
        </is>
      </c>
      <c r="K38">
        <f>IF(AND(G38="AUTHORISED",J38="Goods-tagged"),F38,0)</f>
        <v/>
      </c>
      <c r="L38" t="inlineStr">
        <is>
          <t>Bookkeeping</t>
        </is>
      </c>
      <c r="M38" t="inlineStr">
        <is>
          <t>ACT-ST</t>
        </is>
      </c>
      <c r="N38" t="n">
        <v>46211</v>
      </c>
    </row>
    <row r="39" ht="36" customHeight="1">
      <c r="A39" t="inlineStr">
        <is>
          <t>503226fa-611a-4b00-9a14-d3d97648284c</t>
        </is>
      </c>
      <c r="B39" t="inlineStr">
        <is>
          <t>Invoice payment</t>
        </is>
      </c>
      <c r="C39" s="162" t="n">
        <v>45846</v>
      </c>
      <c r="D39" t="inlineStr">
        <is>
          <t>Bunnings Warehouse</t>
        </is>
      </c>
      <c r="E39" t="inlineStr">
        <is>
          <t>Out</t>
        </is>
      </c>
      <c r="F39" t="n">
        <v>7.98</v>
      </c>
      <c r="G39" t="inlineStr">
        <is>
          <t>AUTHORISED</t>
        </is>
      </c>
      <c r="H39" t="inlineStr">
        <is>
          <t>Yes</t>
        </is>
      </c>
      <c r="I39" t="inlineStr">
        <is>
          <t>453558</t>
        </is>
      </c>
      <c r="J39" t="inlineStr">
        <is>
          <t>Goods-tagged</t>
        </is>
      </c>
      <c r="K39">
        <f>IF(AND(G39="AUTHORISED",J39="Goods-tagged"),F39,0)</f>
        <v/>
      </c>
      <c r="L39" t="inlineStr">
        <is>
          <t>.</t>
        </is>
      </c>
      <c r="M39" t="inlineStr">
        <is>
          <t>ACT-ST</t>
        </is>
      </c>
      <c r="N39" t="n">
        <v>46211</v>
      </c>
    </row>
    <row r="40" ht="36" customHeight="1">
      <c r="A40" t="inlineStr">
        <is>
          <t>73dfafb7-5331-4c97-9747-91a084c19b7f</t>
        </is>
      </c>
      <c r="B40" t="inlineStr">
        <is>
          <t>Invoice payment</t>
        </is>
      </c>
      <c r="C40" s="162" t="n">
        <v>45846</v>
      </c>
      <c r="D40" t="inlineStr">
        <is>
          <t>Defy Manufacturing</t>
        </is>
      </c>
      <c r="E40" t="inlineStr">
        <is>
          <t>Out</t>
        </is>
      </c>
      <c r="F40" t="n">
        <v>1320</v>
      </c>
      <c r="G40" t="inlineStr">
        <is>
          <t>AUTHORISED</t>
        </is>
      </c>
      <c r="H40" t="inlineStr">
        <is>
          <t>Yes</t>
        </is>
      </c>
      <c r="I40" t="inlineStr">
        <is>
          <t>INV-1326</t>
        </is>
      </c>
      <c r="J40" t="inlineStr">
        <is>
          <t>Goods-tagged</t>
        </is>
      </c>
      <c r="K40">
        <f>IF(AND(G40="AUTHORISED",J40="Goods-tagged"),F40,0)</f>
        <v/>
      </c>
      <c r="L40" t="inlineStr">
        <is>
          <t>.</t>
        </is>
      </c>
      <c r="M40" t="inlineStr">
        <is>
          <t>ACT-ST</t>
        </is>
      </c>
      <c r="N40" t="n">
        <v>46211</v>
      </c>
    </row>
    <row r="41" ht="36" customHeight="1">
      <c r="A41" t="inlineStr">
        <is>
          <t>818d6fd7-635c-4c46-a303-d1bf060faef7</t>
        </is>
      </c>
      <c r="B41" t="inlineStr">
        <is>
          <t>Invoice payment</t>
        </is>
      </c>
      <c r="C41" s="162" t="n">
        <v>45846</v>
      </c>
      <c r="D41" t="inlineStr">
        <is>
          <t>Defy Manufacturing</t>
        </is>
      </c>
      <c r="E41" t="inlineStr">
        <is>
          <t>Out</t>
        </is>
      </c>
      <c r="F41" t="n">
        <v>1051.51</v>
      </c>
      <c r="G41" t="inlineStr">
        <is>
          <t>AUTHORISED</t>
        </is>
      </c>
      <c r="H41" t="inlineStr">
        <is>
          <t>Yes</t>
        </is>
      </c>
      <c r="I41" t="inlineStr">
        <is>
          <t>INV-1233</t>
        </is>
      </c>
      <c r="J41" t="inlineStr">
        <is>
          <t>Goods-tagged</t>
        </is>
      </c>
      <c r="K41">
        <f>IF(AND(G41="AUTHORISED",J41="Goods-tagged"),F41,0)</f>
        <v/>
      </c>
      <c r="L41" t="inlineStr">
        <is>
          <t>.</t>
        </is>
      </c>
      <c r="M41" t="inlineStr">
        <is>
          <t>ACT-ST</t>
        </is>
      </c>
      <c r="N41" t="n">
        <v>46211</v>
      </c>
    </row>
    <row r="42" ht="36" customHeight="1">
      <c r="A42" t="inlineStr">
        <is>
          <t>b646b19c-6774-4fe3-8c1a-a0675de1537a</t>
        </is>
      </c>
      <c r="B42" t="inlineStr">
        <is>
          <t>Invoice payment</t>
        </is>
      </c>
      <c r="C42" s="162" t="n">
        <v>45846</v>
      </c>
      <c r="D42" t="inlineStr">
        <is>
          <t>Bunnings Warehouse</t>
        </is>
      </c>
      <c r="E42" t="inlineStr">
        <is>
          <t>Out</t>
        </is>
      </c>
      <c r="F42" t="n">
        <v>97.5</v>
      </c>
      <c r="G42" t="inlineStr">
        <is>
          <t>AUTHORISED</t>
        </is>
      </c>
      <c r="H42" t="inlineStr">
        <is>
          <t>Yes</t>
        </is>
      </c>
      <c r="I42" t="inlineStr">
        <is>
          <t>014-28805-7313-2025-07-06</t>
        </is>
      </c>
      <c r="J42" t="inlineStr">
        <is>
          <t>Goods-tagged</t>
        </is>
      </c>
      <c r="K42">
        <f>IF(AND(G42="AUTHORISED",J42="Goods-tagged"),F42,0)</f>
        <v/>
      </c>
      <c r="L42" t="inlineStr">
        <is>
          <t>.</t>
        </is>
      </c>
      <c r="M42" t="inlineStr">
        <is>
          <t>ACT-ST</t>
        </is>
      </c>
      <c r="N42" t="n">
        <v>46211</v>
      </c>
    </row>
    <row r="43" ht="36" customHeight="1">
      <c r="A43" t="inlineStr">
        <is>
          <t>cd7c095d-e79d-42bf-a173-f6f90559ff9c</t>
        </is>
      </c>
      <c r="B43" t="inlineStr">
        <is>
          <t>Invoice payment</t>
        </is>
      </c>
      <c r="C43" s="162" t="n">
        <v>45846</v>
      </c>
      <c r="D43" t="inlineStr">
        <is>
          <t>Bunnings Warehouse</t>
        </is>
      </c>
      <c r="E43" t="inlineStr">
        <is>
          <t>Out</t>
        </is>
      </c>
      <c r="F43" t="n">
        <v>1532.67</v>
      </c>
      <c r="G43" t="inlineStr">
        <is>
          <t>AUTHORISED</t>
        </is>
      </c>
      <c r="H43" t="inlineStr">
        <is>
          <t>Yes</t>
        </is>
      </c>
      <c r="I43" t="inlineStr">
        <is>
          <t>8056/01358581</t>
        </is>
      </c>
      <c r="J43" t="inlineStr">
        <is>
          <t>Goods-tagged</t>
        </is>
      </c>
      <c r="K43">
        <f>IF(AND(G43="AUTHORISED",J43="Goods-tagged"),F43,0)</f>
        <v/>
      </c>
      <c r="L43" t="inlineStr">
        <is>
          <t>.</t>
        </is>
      </c>
      <c r="M43" t="inlineStr">
        <is>
          <t>ACT-ST</t>
        </is>
      </c>
      <c r="N43" t="n">
        <v>46211</v>
      </c>
    </row>
    <row r="44" ht="36" customHeight="1">
      <c r="A44" t="inlineStr">
        <is>
          <t>f804571d-3e05-49db-b621-e32153900cf2</t>
        </is>
      </c>
      <c r="B44" t="inlineStr">
        <is>
          <t>Invoice payment</t>
        </is>
      </c>
      <c r="C44" s="162" t="n">
        <v>45846</v>
      </c>
      <c r="D44" t="inlineStr">
        <is>
          <t>Defy Manufacturing</t>
        </is>
      </c>
      <c r="E44" t="inlineStr">
        <is>
          <t>Out</t>
        </is>
      </c>
      <c r="F44" t="n">
        <v>5280</v>
      </c>
      <c r="G44" t="inlineStr">
        <is>
          <t>AUTHORISED</t>
        </is>
      </c>
      <c r="H44" t="inlineStr">
        <is>
          <t>Yes</t>
        </is>
      </c>
      <c r="I44" t="inlineStr">
        <is>
          <t>INV-1237</t>
        </is>
      </c>
      <c r="J44" t="inlineStr">
        <is>
          <t>Goods-tagged</t>
        </is>
      </c>
      <c r="K44">
        <f>IF(AND(G44="AUTHORISED",J44="Goods-tagged"),F44,0)</f>
        <v/>
      </c>
      <c r="L44" t="inlineStr">
        <is>
          <t>.</t>
        </is>
      </c>
      <c r="M44" t="inlineStr">
        <is>
          <t>ACT-ST</t>
        </is>
      </c>
      <c r="N44" t="n">
        <v>46211</v>
      </c>
    </row>
    <row r="45" ht="36" customHeight="1">
      <c r="A45" t="inlineStr">
        <is>
          <t>f907a053-1df2-4413-b8f0-98a757c07657</t>
        </is>
      </c>
      <c r="B45" t="inlineStr">
        <is>
          <t>Invoice payment</t>
        </is>
      </c>
      <c r="C45" s="162" t="n">
        <v>45846</v>
      </c>
      <c r="D45" t="inlineStr">
        <is>
          <t>Defy Manufacturing</t>
        </is>
      </c>
      <c r="E45" t="inlineStr">
        <is>
          <t>Out</t>
        </is>
      </c>
      <c r="F45" t="n">
        <v>5500</v>
      </c>
      <c r="G45" t="inlineStr">
        <is>
          <t>AUTHORISED</t>
        </is>
      </c>
      <c r="H45" t="inlineStr">
        <is>
          <t>Yes</t>
        </is>
      </c>
      <c r="I45" t="inlineStr">
        <is>
          <t>INV-1236</t>
        </is>
      </c>
      <c r="J45" t="inlineStr">
        <is>
          <t>Goods-tagged</t>
        </is>
      </c>
      <c r="K45">
        <f>IF(AND(G45="AUTHORISED",J45="Goods-tagged"),F45,0)</f>
        <v/>
      </c>
      <c r="L45" t="inlineStr">
        <is>
          <t>.</t>
        </is>
      </c>
      <c r="M45" t="inlineStr">
        <is>
          <t>ACT-ST</t>
        </is>
      </c>
      <c r="N45" t="n">
        <v>46211</v>
      </c>
    </row>
    <row r="46" ht="36" customHeight="1">
      <c r="A46" t="inlineStr">
        <is>
          <t>1486ddcf-3c08-4b39-9d9f-4a76e5cf9e13</t>
        </is>
      </c>
      <c r="B46" t="inlineStr">
        <is>
          <t>Invoice payment</t>
        </is>
      </c>
      <c r="C46" s="162" t="n">
        <v>45847</v>
      </c>
      <c r="D46" t="inlineStr">
        <is>
          <t>Sendle</t>
        </is>
      </c>
      <c r="E46" t="inlineStr">
        <is>
          <t>Out</t>
        </is>
      </c>
      <c r="F46" t="n">
        <v>405.91</v>
      </c>
      <c r="G46" t="inlineStr">
        <is>
          <t>AUTHORISED</t>
        </is>
      </c>
      <c r="H46" t="inlineStr">
        <is>
          <t>Yes</t>
        </is>
      </c>
      <c r="I46" t="inlineStr">
        <is>
          <t>RB17394444790</t>
        </is>
      </c>
      <c r="J46" t="inlineStr">
        <is>
          <t>Goods-tagged</t>
        </is>
      </c>
      <c r="K46">
        <f>IF(AND(G46="AUTHORISED",J46="Goods-tagged"),F46,0)</f>
        <v/>
      </c>
      <c r="L46" t="inlineStr">
        <is>
          <t>.</t>
        </is>
      </c>
      <c r="M46" t="inlineStr">
        <is>
          <t>ACT-ST</t>
        </is>
      </c>
      <c r="N46" t="n">
        <v>46211</v>
      </c>
    </row>
    <row r="47" ht="36" customHeight="1">
      <c r="A47" t="inlineStr">
        <is>
          <t>1ce9e5fa-888a-4ad9-addf-8f9779092951</t>
        </is>
      </c>
      <c r="B47" t="inlineStr">
        <is>
          <t>Invoice payment</t>
        </is>
      </c>
      <c r="C47" s="162" t="n">
        <v>45847</v>
      </c>
      <c r="D47" t="inlineStr">
        <is>
          <t>Budget Petrol Mascot</t>
        </is>
      </c>
      <c r="E47" t="inlineStr">
        <is>
          <t>Out</t>
        </is>
      </c>
      <c r="F47" t="n">
        <v>27.77</v>
      </c>
      <c r="G47" t="inlineStr">
        <is>
          <t>AUTHORISED</t>
        </is>
      </c>
      <c r="H47" t="inlineStr">
        <is>
          <t>Yes</t>
        </is>
      </c>
      <c r="I47" t="inlineStr">
        <is>
          <t>568104</t>
        </is>
      </c>
      <c r="J47" t="inlineStr">
        <is>
          <t>Goods-tagged</t>
        </is>
      </c>
      <c r="K47">
        <f>IF(AND(G47="AUTHORISED",J47="Goods-tagged"),F47,0)</f>
        <v/>
      </c>
      <c r="L47" t="inlineStr">
        <is>
          <t>.</t>
        </is>
      </c>
      <c r="M47" t="inlineStr">
        <is>
          <t>ACT-ST</t>
        </is>
      </c>
      <c r="N47" t="n">
        <v>46211</v>
      </c>
    </row>
    <row r="48" ht="36" customHeight="1">
      <c r="A48" t="inlineStr">
        <is>
          <t>498e8405-c8f9-4f50-939c-0a2ea4f87545</t>
        </is>
      </c>
      <c r="B48" t="inlineStr">
        <is>
          <t>Invoice payment</t>
        </is>
      </c>
      <c r="C48" s="162" t="n">
        <v>45847</v>
      </c>
      <c r="D48" t="inlineStr">
        <is>
          <t>SIXT</t>
        </is>
      </c>
      <c r="E48" t="inlineStr">
        <is>
          <t>Out</t>
        </is>
      </c>
      <c r="F48" t="n">
        <v>190.08</v>
      </c>
      <c r="G48" t="inlineStr">
        <is>
          <t>AUTHORISED</t>
        </is>
      </c>
      <c r="H48" t="inlineStr">
        <is>
          <t>Yes</t>
        </is>
      </c>
      <c r="I48" t="inlineStr">
        <is>
          <t>9519313051</t>
        </is>
      </c>
      <c r="J48" t="inlineStr">
        <is>
          <t>Goods-tagged</t>
        </is>
      </c>
      <c r="K48">
        <f>IF(AND(G48="AUTHORISED",J48="Goods-tagged"),F48,0)</f>
        <v/>
      </c>
      <c r="L48" t="inlineStr">
        <is>
          <t>.</t>
        </is>
      </c>
      <c r="M48" t="inlineStr">
        <is>
          <t>ACT-ST</t>
        </is>
      </c>
      <c r="N48" t="n">
        <v>46211</v>
      </c>
    </row>
    <row r="49" ht="36" customHeight="1">
      <c r="A49" t="inlineStr">
        <is>
          <t>6468a406-b33b-490c-ae37-fc08fa08c278</t>
        </is>
      </c>
      <c r="B49" t="inlineStr">
        <is>
          <t>Invoice payment</t>
        </is>
      </c>
      <c r="C49" s="162" t="n">
        <v>45847</v>
      </c>
      <c r="D49" t="inlineStr">
        <is>
          <t>Sendle</t>
        </is>
      </c>
      <c r="E49" t="inlineStr">
        <is>
          <t>Out</t>
        </is>
      </c>
      <c r="F49" t="n">
        <v>324.73</v>
      </c>
      <c r="G49" t="inlineStr">
        <is>
          <t>AUTHORISED</t>
        </is>
      </c>
      <c r="H49" t="inlineStr">
        <is>
          <t>Yes</t>
        </is>
      </c>
      <c r="I49" t="inlineStr">
        <is>
          <t>RB17394444700</t>
        </is>
      </c>
      <c r="J49" t="inlineStr">
        <is>
          <t>Goods-tagged</t>
        </is>
      </c>
      <c r="K49">
        <f>IF(AND(G49="AUTHORISED",J49="Goods-tagged"),F49,0)</f>
        <v/>
      </c>
      <c r="L49" t="inlineStr">
        <is>
          <t>.</t>
        </is>
      </c>
      <c r="M49" t="inlineStr">
        <is>
          <t>ACT-ST</t>
        </is>
      </c>
      <c r="N49" t="n">
        <v>46211</v>
      </c>
    </row>
    <row r="50" ht="36" customHeight="1">
      <c r="A50" t="inlineStr">
        <is>
          <t>15d78733-ba2e-48c1-8ecd-3d72a1eaa621</t>
        </is>
      </c>
      <c r="B50" t="inlineStr">
        <is>
          <t>Invoice payment</t>
        </is>
      </c>
      <c r="C50" s="162" t="n">
        <v>45848</v>
      </c>
      <c r="D50" t="inlineStr">
        <is>
          <t>Bunnings Warehouse</t>
        </is>
      </c>
      <c r="E50" t="inlineStr">
        <is>
          <t>Out</t>
        </is>
      </c>
      <c r="F50" t="n">
        <v>1199.8</v>
      </c>
      <c r="G50" t="inlineStr">
        <is>
          <t>AUTHORISED</t>
        </is>
      </c>
      <c r="H50" t="inlineStr">
        <is>
          <t>Yes</t>
        </is>
      </c>
      <c r="I50" t="inlineStr">
        <is>
          <t>8161/99809868</t>
        </is>
      </c>
      <c r="J50" t="inlineStr">
        <is>
          <t>Goods-tagged</t>
        </is>
      </c>
      <c r="K50">
        <f>IF(AND(G50="AUTHORISED",J50="Goods-tagged"),F50,0)</f>
        <v/>
      </c>
      <c r="L50" t="inlineStr">
        <is>
          <t>.</t>
        </is>
      </c>
      <c r="M50" t="inlineStr">
        <is>
          <t>ACT-ST</t>
        </is>
      </c>
      <c r="N50" t="n">
        <v>46211</v>
      </c>
    </row>
    <row r="51" ht="36" customHeight="1">
      <c r="A51" t="inlineStr">
        <is>
          <t>17b7013c-eb98-47ea-8c66-801b2fa9c481</t>
        </is>
      </c>
      <c r="B51" t="inlineStr">
        <is>
          <t>Invoice payment</t>
        </is>
      </c>
      <c r="C51" s="162" t="n">
        <v>45848</v>
      </c>
      <c r="D51" t="inlineStr">
        <is>
          <t>QIC LIMITED</t>
        </is>
      </c>
      <c r="E51" t="inlineStr">
        <is>
          <t>In</t>
        </is>
      </c>
      <c r="F51" t="n">
        <v>12000</v>
      </c>
      <c r="G51" t="inlineStr">
        <is>
          <t>AUTHORISED</t>
        </is>
      </c>
      <c r="H51" t="inlineStr">
        <is>
          <t>Yes</t>
        </is>
      </c>
      <c r="I51" t="inlineStr">
        <is>
          <t>INV-0232</t>
        </is>
      </c>
      <c r="J51" t="inlineStr">
        <is>
          <t>Goods-tagged</t>
        </is>
      </c>
      <c r="K51">
        <f>IF(AND(G51="AUTHORISED",J51="Goods-tagged"),F51,0)</f>
        <v/>
      </c>
      <c r="L51" t="inlineStr">
        <is>
          <t>The Bed Project – RAP Commitment / Coordination, education and operational support for QIC Bed Project</t>
        </is>
      </c>
      <c r="M51" t="inlineStr">
        <is>
          <t>ACT-ST</t>
        </is>
      </c>
      <c r="N51" t="n">
        <v>46211</v>
      </c>
    </row>
    <row r="52" ht="36" customHeight="1">
      <c r="A52" t="inlineStr">
        <is>
          <t>33b86417-ed5b-4f8c-a272-72e58796483f</t>
        </is>
      </c>
      <c r="B52" t="inlineStr">
        <is>
          <t>Invoice payment</t>
        </is>
      </c>
      <c r="C52" s="162" t="n">
        <v>45848</v>
      </c>
      <c r="D52" t="inlineStr">
        <is>
          <t>Icon On Isa</t>
        </is>
      </c>
      <c r="E52" t="inlineStr">
        <is>
          <t>Out</t>
        </is>
      </c>
      <c r="F52" t="n">
        <v>582</v>
      </c>
      <c r="G52" t="inlineStr">
        <is>
          <t>AUTHORISED</t>
        </is>
      </c>
      <c r="H52" t="inlineStr">
        <is>
          <t>Yes</t>
        </is>
      </c>
      <c r="I52" t="inlineStr">
        <is>
          <t>16777</t>
        </is>
      </c>
      <c r="J52" t="inlineStr">
        <is>
          <t>Goods-tagged</t>
        </is>
      </c>
      <c r="K52">
        <f>IF(AND(G52="AUTHORISED",J52="Goods-tagged"),F52,0)</f>
        <v/>
      </c>
      <c r="L52" t="inlineStr">
        <is>
          <t>.</t>
        </is>
      </c>
      <c r="M52" t="inlineStr">
        <is>
          <t>ACT-ST</t>
        </is>
      </c>
      <c r="N52" t="n">
        <v>46211</v>
      </c>
    </row>
    <row r="53" ht="36" customHeight="1">
      <c r="A53" t="inlineStr">
        <is>
          <t>d935417b-5be2-4cd8-bf33-00676b31bb34</t>
        </is>
      </c>
      <c r="B53" t="inlineStr">
        <is>
          <t>Invoice payment</t>
        </is>
      </c>
      <c r="C53" s="162" t="n">
        <v>45848</v>
      </c>
      <c r="D53" t="inlineStr">
        <is>
          <t>Bunnings Warehouse</t>
        </is>
      </c>
      <c r="E53" t="inlineStr">
        <is>
          <t>Out</t>
        </is>
      </c>
      <c r="F53" t="n">
        <v>104.04</v>
      </c>
      <c r="G53" t="inlineStr">
        <is>
          <t>AUTHORISED</t>
        </is>
      </c>
      <c r="H53" t="inlineStr">
        <is>
          <t>Yes</t>
        </is>
      </c>
      <c r="I53" t="inlineStr">
        <is>
          <t>000574</t>
        </is>
      </c>
      <c r="J53" t="inlineStr">
        <is>
          <t>Goods-tagged</t>
        </is>
      </c>
      <c r="K53">
        <f>IF(AND(G53="AUTHORISED",J53="Goods-tagged"),F53,0)</f>
        <v/>
      </c>
      <c r="L53" t="inlineStr">
        <is>
          <t>.</t>
        </is>
      </c>
      <c r="M53" t="inlineStr">
        <is>
          <t>ACT-ST</t>
        </is>
      </c>
      <c r="N53" t="n">
        <v>46211</v>
      </c>
    </row>
    <row r="54" ht="36" customHeight="1">
      <c r="A54" t="inlineStr">
        <is>
          <t>62d51a25-bcfc-4724-9e8c-4e6d67ece2de</t>
        </is>
      </c>
      <c r="B54" t="inlineStr">
        <is>
          <t>Invoice payment</t>
        </is>
      </c>
      <c r="C54" s="162" t="n">
        <v>45849</v>
      </c>
      <c r="D54" t="inlineStr">
        <is>
          <t>The Coffee Club Mt Isa</t>
        </is>
      </c>
      <c r="E54" t="inlineStr">
        <is>
          <t>Out</t>
        </is>
      </c>
      <c r="F54" t="n">
        <v>5.61</v>
      </c>
      <c r="G54" t="inlineStr">
        <is>
          <t>AUTHORISED</t>
        </is>
      </c>
      <c r="H54" t="inlineStr">
        <is>
          <t>Yes</t>
        </is>
      </c>
      <c r="I54" t="inlineStr">
        <is>
          <t>799895446</t>
        </is>
      </c>
      <c r="J54" t="inlineStr">
        <is>
          <t>Goods-tagged</t>
        </is>
      </c>
      <c r="K54">
        <f>IF(AND(G54="AUTHORISED",J54="Goods-tagged"),F54,0)</f>
        <v/>
      </c>
      <c r="L54" t="inlineStr">
        <is>
          <t>. / .</t>
        </is>
      </c>
      <c r="M54" t="inlineStr">
        <is>
          <t>ACT-ST</t>
        </is>
      </c>
      <c r="N54" t="n">
        <v>46211</v>
      </c>
    </row>
    <row r="55" ht="36" customHeight="1">
      <c r="A55" t="inlineStr">
        <is>
          <t>7d4f55c7-0d28-4902-b8ec-6ffcc5904027</t>
        </is>
      </c>
      <c r="B55" t="inlineStr">
        <is>
          <t>Invoice payment</t>
        </is>
      </c>
      <c r="C55" s="162" t="n">
        <v>45849</v>
      </c>
      <c r="D55" t="inlineStr">
        <is>
          <t>Peak Up Transport</t>
        </is>
      </c>
      <c r="E55" t="inlineStr">
        <is>
          <t>Out</t>
        </is>
      </c>
      <c r="F55" t="n">
        <v>2201.39</v>
      </c>
      <c r="G55" t="inlineStr">
        <is>
          <t>AUTHORISED</t>
        </is>
      </c>
      <c r="H55" t="inlineStr">
        <is>
          <t>Yes</t>
        </is>
      </c>
      <c r="I55" t="inlineStr">
        <is>
          <t>12472</t>
        </is>
      </c>
      <c r="J55" t="inlineStr">
        <is>
          <t>Goods-tagged</t>
        </is>
      </c>
      <c r="K55">
        <f>IF(AND(G55="AUTHORISED",J55="Goods-tagged"),F55,0)</f>
        <v/>
      </c>
      <c r="L55" t="inlineStr">
        <is>
          <t>.</t>
        </is>
      </c>
      <c r="M55" t="inlineStr">
        <is>
          <t>ACT-ST</t>
        </is>
      </c>
      <c r="N55" t="n">
        <v>46211</v>
      </c>
    </row>
    <row r="56" ht="36" customHeight="1">
      <c r="A56" t="inlineStr">
        <is>
          <t>a335cfb0-8e45-49ab-96b6-c8f49343b0a2</t>
        </is>
      </c>
      <c r="B56" t="inlineStr">
        <is>
          <t>Invoice payment</t>
        </is>
      </c>
      <c r="C56" s="162" t="n">
        <v>45849</v>
      </c>
      <c r="D56" t="inlineStr">
        <is>
          <t>Car Park</t>
        </is>
      </c>
      <c r="E56" t="inlineStr">
        <is>
          <t>Out</t>
        </is>
      </c>
      <c r="F56" t="n">
        <v>10.2</v>
      </c>
      <c r="G56" t="inlineStr">
        <is>
          <t>AUTHORISED</t>
        </is>
      </c>
      <c r="H56" t="inlineStr">
        <is>
          <t>Yes</t>
        </is>
      </c>
      <c r="I56" t="inlineStr">
        <is>
          <t>18988</t>
        </is>
      </c>
      <c r="J56" t="inlineStr">
        <is>
          <t>Goods-tagged</t>
        </is>
      </c>
      <c r="K56">
        <f>IF(AND(G56="AUTHORISED",J56="Goods-tagged"),F56,0)</f>
        <v/>
      </c>
      <c r="L56" t="inlineStr">
        <is>
          <t>.</t>
        </is>
      </c>
      <c r="M56" t="inlineStr">
        <is>
          <t>ACT-ST</t>
        </is>
      </c>
      <c r="N56" t="n">
        <v>46211</v>
      </c>
    </row>
    <row r="57" ht="36" customHeight="1">
      <c r="A57" t="inlineStr">
        <is>
          <t>bc5431c2-7c4c-4cbf-855a-87bdf33bf7d2</t>
        </is>
      </c>
      <c r="B57" t="inlineStr">
        <is>
          <t>Invoice payment</t>
        </is>
      </c>
      <c r="C57" s="162" t="n">
        <v>45849</v>
      </c>
      <c r="D57" t="inlineStr">
        <is>
          <t>Sendle</t>
        </is>
      </c>
      <c r="E57" t="inlineStr">
        <is>
          <t>Out</t>
        </is>
      </c>
      <c r="F57" t="n">
        <v>825.41</v>
      </c>
      <c r="G57" t="inlineStr">
        <is>
          <t>AUTHORISED</t>
        </is>
      </c>
      <c r="H57" t="inlineStr">
        <is>
          <t>Yes</t>
        </is>
      </c>
      <c r="I57" t="inlineStr">
        <is>
          <t>RB17423292610</t>
        </is>
      </c>
      <c r="J57" t="inlineStr">
        <is>
          <t>Goods-tagged</t>
        </is>
      </c>
      <c r="K57">
        <f>IF(AND(G57="AUTHORISED",J57="Goods-tagged"),F57,0)</f>
        <v/>
      </c>
      <c r="L57" t="inlineStr">
        <is>
          <t>.</t>
        </is>
      </c>
      <c r="M57" t="inlineStr">
        <is>
          <t>ACT-ST</t>
        </is>
      </c>
      <c r="N57" t="n">
        <v>46211</v>
      </c>
    </row>
    <row r="58" ht="36" customHeight="1">
      <c r="A58" t="inlineStr">
        <is>
          <t>f072821e-abe6-4503-974c-acdb2a291493</t>
        </is>
      </c>
      <c r="B58" t="inlineStr">
        <is>
          <t>Invoice payment</t>
        </is>
      </c>
      <c r="C58" s="162" t="n">
        <v>45849</v>
      </c>
      <c r="D58" t="inlineStr">
        <is>
          <t>GoGet Carshare</t>
        </is>
      </c>
      <c r="E58" t="inlineStr">
        <is>
          <t>Out</t>
        </is>
      </c>
      <c r="F58" t="n">
        <v>159</v>
      </c>
      <c r="G58" t="inlineStr">
        <is>
          <t>AUTHORISED</t>
        </is>
      </c>
      <c r="H58" t="inlineStr">
        <is>
          <t>Yes</t>
        </is>
      </c>
      <c r="I58" t="inlineStr">
        <is>
          <t>IN9X5FC59</t>
        </is>
      </c>
      <c r="J58" t="inlineStr">
        <is>
          <t>Goods-tagged</t>
        </is>
      </c>
      <c r="K58">
        <f>IF(AND(G58="AUTHORISED",J58="Goods-tagged"),F58,0)</f>
        <v/>
      </c>
      <c r="L58" t="inlineStr">
        <is>
          <t>Hire van for QIC event</t>
        </is>
      </c>
      <c r="M58" t="inlineStr">
        <is>
          <t>ACT-ST</t>
        </is>
      </c>
      <c r="N58" t="n">
        <v>46211</v>
      </c>
    </row>
    <row r="59" ht="36" customHeight="1">
      <c r="A59" t="inlineStr">
        <is>
          <t>a4e9c521-3baa-4400-9523-8375f0392e60</t>
        </is>
      </c>
      <c r="B59" t="inlineStr">
        <is>
          <t>Invoice payment</t>
        </is>
      </c>
      <c r="C59" s="162" t="n">
        <v>45852</v>
      </c>
      <c r="D59" t="inlineStr">
        <is>
          <t>The Coffee Club Mt Isa</t>
        </is>
      </c>
      <c r="E59" t="inlineStr">
        <is>
          <t>Out</t>
        </is>
      </c>
      <c r="F59" t="n">
        <v>6.32</v>
      </c>
      <c r="G59" t="inlineStr">
        <is>
          <t>AUTHORISED</t>
        </is>
      </c>
      <c r="H59" t="inlineStr">
        <is>
          <t>Yes</t>
        </is>
      </c>
      <c r="I59" t="inlineStr">
        <is>
          <t>800065444</t>
        </is>
      </c>
      <c r="J59" t="inlineStr">
        <is>
          <t>Goods-tagged</t>
        </is>
      </c>
      <c r="K59">
        <f>IF(AND(G59="AUTHORISED",J59="Goods-tagged"),F59,0)</f>
        <v/>
      </c>
      <c r="L59" t="inlineStr">
        <is>
          <t>. / .</t>
        </is>
      </c>
      <c r="M59" t="inlineStr">
        <is>
          <t>ACT-ST</t>
        </is>
      </c>
      <c r="N59" t="n">
        <v>46211</v>
      </c>
    </row>
    <row r="60" ht="36" customHeight="1">
      <c r="A60" t="inlineStr">
        <is>
          <t>aa3e33e0-ed19-4859-9b29-75b09dd140c2</t>
        </is>
      </c>
      <c r="B60" t="inlineStr">
        <is>
          <t>Invoice payment</t>
        </is>
      </c>
      <c r="C60" s="162" t="n">
        <v>45852</v>
      </c>
      <c r="D60" t="inlineStr">
        <is>
          <t>Pedders Cannington Arm</t>
        </is>
      </c>
      <c r="E60" t="inlineStr">
        <is>
          <t>Out</t>
        </is>
      </c>
      <c r="F60" t="n">
        <v>3908</v>
      </c>
      <c r="G60" t="inlineStr">
        <is>
          <t>AUTHORISED</t>
        </is>
      </c>
      <c r="H60" t="inlineStr">
        <is>
          <t>Yes</t>
        </is>
      </c>
      <c r="I60" t="inlineStr">
        <is>
          <t>15305</t>
        </is>
      </c>
      <c r="J60" t="inlineStr">
        <is>
          <t>Goods-tagged</t>
        </is>
      </c>
      <c r="K60">
        <f>IF(AND(G60="AUTHORISED",J60="Goods-tagged"),F60,0)</f>
        <v/>
      </c>
      <c r="L60" t="inlineStr">
        <is>
          <t>. / .</t>
        </is>
      </c>
      <c r="M60" t="inlineStr">
        <is>
          <t>ACT-ST</t>
        </is>
      </c>
      <c r="N60" t="n">
        <v>46211</v>
      </c>
    </row>
    <row r="61" ht="36" customHeight="1">
      <c r="A61" t="inlineStr">
        <is>
          <t>ac9928bd-7159-4802-b251-85e248496704</t>
        </is>
      </c>
      <c r="B61" t="inlineStr">
        <is>
          <t>Invoice payment</t>
        </is>
      </c>
      <c r="C61" s="162" t="n">
        <v>45853</v>
      </c>
      <c r="D61" t="inlineStr">
        <is>
          <t>Sendle</t>
        </is>
      </c>
      <c r="E61" t="inlineStr">
        <is>
          <t>Out</t>
        </is>
      </c>
      <c r="F61" t="n">
        <v>20.92</v>
      </c>
      <c r="G61" t="inlineStr">
        <is>
          <t>AUTHORISED</t>
        </is>
      </c>
      <c r="H61" t="inlineStr">
        <is>
          <t>Yes</t>
        </is>
      </c>
      <c r="I61" t="inlineStr">
        <is>
          <t>RB17453773480</t>
        </is>
      </c>
      <c r="J61" t="inlineStr">
        <is>
          <t>Goods-tagged</t>
        </is>
      </c>
      <c r="K61">
        <f>IF(AND(G61="AUTHORISED",J61="Goods-tagged"),F61,0)</f>
        <v/>
      </c>
      <c r="L61" t="inlineStr">
        <is>
          <t>.</t>
        </is>
      </c>
      <c r="M61" t="inlineStr">
        <is>
          <t>ACT-ST</t>
        </is>
      </c>
      <c r="N61" t="n">
        <v>46211</v>
      </c>
    </row>
    <row r="62" ht="36" customHeight="1">
      <c r="A62" t="inlineStr">
        <is>
          <t>11a44f36-bf9c-4a4c-ba5c-61c6410d8853</t>
        </is>
      </c>
      <c r="B62" t="inlineStr">
        <is>
          <t>Invoice payment</t>
        </is>
      </c>
      <c r="C62" s="162" t="n">
        <v>45854</v>
      </c>
      <c r="D62" t="inlineStr">
        <is>
          <t>Defy Manufacturing</t>
        </is>
      </c>
      <c r="E62" t="inlineStr">
        <is>
          <t>Out</t>
        </is>
      </c>
      <c r="F62" t="n">
        <v>5500</v>
      </c>
      <c r="G62" t="inlineStr">
        <is>
          <t>AUTHORISED</t>
        </is>
      </c>
      <c r="H62" t="inlineStr">
        <is>
          <t>Yes</t>
        </is>
      </c>
      <c r="I62" t="inlineStr">
        <is>
          <t>INV-1257</t>
        </is>
      </c>
      <c r="J62" t="inlineStr">
        <is>
          <t>Goods-tagged</t>
        </is>
      </c>
      <c r="K62">
        <f>IF(AND(G62="AUTHORISED",J62="Goods-tagged"),F62,0)</f>
        <v/>
      </c>
      <c r="L62" t="inlineStr">
        <is>
          <t>.</t>
        </is>
      </c>
      <c r="M62" t="inlineStr">
        <is>
          <t>ACT-ST</t>
        </is>
      </c>
      <c r="N62" t="n">
        <v>46211</v>
      </c>
    </row>
    <row r="63" ht="36" customHeight="1">
      <c r="A63" t="inlineStr">
        <is>
          <t>3b5f9c0e-fd01-4a20-8381-8346b6a03748</t>
        </is>
      </c>
      <c r="B63" t="inlineStr">
        <is>
          <t>Invoice payment</t>
        </is>
      </c>
      <c r="C63" s="162" t="n">
        <v>45854</v>
      </c>
      <c r="D63" t="inlineStr">
        <is>
          <t>Defy Manufacturing</t>
        </is>
      </c>
      <c r="E63" t="inlineStr">
        <is>
          <t>Out</t>
        </is>
      </c>
      <c r="F63" t="n">
        <v>6600</v>
      </c>
      <c r="G63" t="inlineStr">
        <is>
          <t>AUTHORISED</t>
        </is>
      </c>
      <c r="H63" t="inlineStr">
        <is>
          <t>Yes</t>
        </is>
      </c>
      <c r="I63" t="inlineStr">
        <is>
          <t>INV-1258</t>
        </is>
      </c>
      <c r="J63" t="inlineStr">
        <is>
          <t>Goods-tagged</t>
        </is>
      </c>
      <c r="K63">
        <f>IF(AND(G63="AUTHORISED",J63="Goods-tagged"),F63,0)</f>
        <v/>
      </c>
      <c r="L63" t="inlineStr">
        <is>
          <t>.</t>
        </is>
      </c>
      <c r="M63" t="inlineStr">
        <is>
          <t>ACT-ST</t>
        </is>
      </c>
      <c r="N63" t="n">
        <v>46211</v>
      </c>
    </row>
    <row r="64" ht="36" customHeight="1">
      <c r="A64" t="inlineStr">
        <is>
          <t>adaecd92-c699-4d69-9bfb-9ffd6974918c</t>
        </is>
      </c>
      <c r="B64" t="inlineStr">
        <is>
          <t>Invoice payment</t>
        </is>
      </c>
      <c r="C64" s="162" t="n">
        <v>45854</v>
      </c>
      <c r="D64" t="inlineStr">
        <is>
          <t>Defy Manufacturing</t>
        </is>
      </c>
      <c r="E64" t="inlineStr">
        <is>
          <t>Out</t>
        </is>
      </c>
      <c r="F64" t="n">
        <v>1100</v>
      </c>
      <c r="G64" t="inlineStr">
        <is>
          <t>AUTHORISED</t>
        </is>
      </c>
      <c r="H64" t="inlineStr">
        <is>
          <t>Yes</t>
        </is>
      </c>
      <c r="I64" t="inlineStr">
        <is>
          <t>INV-1259</t>
        </is>
      </c>
      <c r="J64" t="inlineStr">
        <is>
          <t>Goods-tagged</t>
        </is>
      </c>
      <c r="K64">
        <f>IF(AND(G64="AUTHORISED",J64="Goods-tagged"),F64,0)</f>
        <v/>
      </c>
      <c r="L64" t="inlineStr">
        <is>
          <t>.</t>
        </is>
      </c>
      <c r="M64" t="inlineStr">
        <is>
          <t>ACT-ST</t>
        </is>
      </c>
      <c r="N64" t="n">
        <v>46211</v>
      </c>
    </row>
    <row r="65" ht="36" customHeight="1">
      <c r="A65" t="inlineStr">
        <is>
          <t>d5c17045-d1d2-4770-9b7c-3dfdd8d10c51</t>
        </is>
      </c>
      <c r="B65" t="inlineStr">
        <is>
          <t>Invoice payment</t>
        </is>
      </c>
      <c r="C65" s="162" t="n">
        <v>45854</v>
      </c>
      <c r="D65" t="inlineStr">
        <is>
          <t>News Travels</t>
        </is>
      </c>
      <c r="E65" t="inlineStr">
        <is>
          <t>Out</t>
        </is>
      </c>
      <c r="F65" t="n">
        <v>9.99</v>
      </c>
      <c r="G65" t="inlineStr">
        <is>
          <t>AUTHORISED</t>
        </is>
      </c>
      <c r="H65" t="inlineStr">
        <is>
          <t>Yes</t>
        </is>
      </c>
      <c r="I65" t="inlineStr">
        <is>
          <t>20130</t>
        </is>
      </c>
      <c r="J65" t="inlineStr">
        <is>
          <t>Goods-tagged</t>
        </is>
      </c>
      <c r="K65">
        <f>IF(AND(G65="AUTHORISED",J65="Goods-tagged"),F65,0)</f>
        <v/>
      </c>
      <c r="L65" t="inlineStr">
        <is>
          <t>.</t>
        </is>
      </c>
      <c r="M65" t="inlineStr">
        <is>
          <t>ACT-ST</t>
        </is>
      </c>
      <c r="N65" t="n">
        <v>46211</v>
      </c>
    </row>
    <row r="66" ht="36" customHeight="1">
      <c r="A66" t="inlineStr">
        <is>
          <t>6b5a515f-2f56-4d9e-b83f-6f881e88ba1f</t>
        </is>
      </c>
      <c r="B66" t="inlineStr">
        <is>
          <t>Invoice payment</t>
        </is>
      </c>
      <c r="C66" s="162" t="n">
        <v>45860</v>
      </c>
      <c r="D66" t="inlineStr">
        <is>
          <t>Sendle</t>
        </is>
      </c>
      <c r="E66" t="inlineStr">
        <is>
          <t>Out</t>
        </is>
      </c>
      <c r="F66" t="n">
        <v>320.73</v>
      </c>
      <c r="G66" t="inlineStr">
        <is>
          <t>AUTHORISED</t>
        </is>
      </c>
      <c r="H66" t="inlineStr">
        <is>
          <t>Yes</t>
        </is>
      </c>
      <c r="I66" t="inlineStr">
        <is>
          <t>RB17555653010</t>
        </is>
      </c>
      <c r="J66" t="inlineStr">
        <is>
          <t>Goods-tagged</t>
        </is>
      </c>
      <c r="K66">
        <f>IF(AND(G66="AUTHORISED",J66="Goods-tagged"),F66,0)</f>
        <v/>
      </c>
      <c r="L66" t="inlineStr">
        <is>
          <t>.</t>
        </is>
      </c>
      <c r="M66" t="inlineStr">
        <is>
          <t>ACT-ST</t>
        </is>
      </c>
      <c r="N66" t="n">
        <v>46223</v>
      </c>
    </row>
    <row r="67" ht="36" customHeight="1">
      <c r="A67" t="inlineStr">
        <is>
          <t>ed776b40-f617-4d45-a678-19a2cf323e85</t>
        </is>
      </c>
      <c r="B67" t="inlineStr">
        <is>
          <t>Invoice payment</t>
        </is>
      </c>
      <c r="C67" s="162" t="n">
        <v>45860</v>
      </c>
      <c r="D67" t="inlineStr">
        <is>
          <t>Vincent Fairfax Family Foundation</t>
        </is>
      </c>
      <c r="E67" t="inlineStr">
        <is>
          <t>In</t>
        </is>
      </c>
      <c r="F67" t="n">
        <v>50000</v>
      </c>
      <c r="G67" t="inlineStr">
        <is>
          <t>AUTHORISED</t>
        </is>
      </c>
      <c r="H67" t="inlineStr">
        <is>
          <t>Yes</t>
        </is>
      </c>
      <c r="I67" t="inlineStr">
        <is>
          <t>INV-0253</t>
        </is>
      </c>
      <c r="J67" t="inlineStr">
        <is>
          <t>Goods-tagged</t>
        </is>
      </c>
      <c r="K67">
        <f>IF(AND(G67="AUTHORISED",J67="Goods-tagged"),F67,0)</f>
        <v/>
      </c>
      <c r="L67" t="inlineStr">
        <is>
          <t>Backing the Future Grant</t>
        </is>
      </c>
      <c r="M67" t="inlineStr">
        <is>
          <t>ACT-ST</t>
        </is>
      </c>
      <c r="N67" t="n">
        <v>46223</v>
      </c>
    </row>
    <row r="68" ht="36" customHeight="1">
      <c r="A68" t="inlineStr">
        <is>
          <t>64fc39b1-88d0-4a55-abef-22ae346ce5da</t>
        </is>
      </c>
      <c r="B68" t="inlineStr">
        <is>
          <t>Invoice payment</t>
        </is>
      </c>
      <c r="C68" s="162" t="n">
        <v>45867</v>
      </c>
      <c r="D68" t="inlineStr">
        <is>
          <t>Peak Up Transport</t>
        </is>
      </c>
      <c r="E68" t="inlineStr">
        <is>
          <t>Out</t>
        </is>
      </c>
      <c r="F68" t="n">
        <v>4985.42</v>
      </c>
      <c r="G68" t="inlineStr">
        <is>
          <t>AUTHORISED</t>
        </is>
      </c>
      <c r="H68" t="inlineStr">
        <is>
          <t>Yes</t>
        </is>
      </c>
      <c r="I68" t="inlineStr">
        <is>
          <t>1533-8218</t>
        </is>
      </c>
      <c r="J68" t="inlineStr">
        <is>
          <t>Goods-tagged</t>
        </is>
      </c>
      <c r="K68">
        <f>IF(AND(G68="AUTHORISED",J68="Goods-tagged"),F68,0)</f>
        <v/>
      </c>
      <c r="L68" t="inlineStr">
        <is>
          <t>.</t>
        </is>
      </c>
      <c r="M68" t="inlineStr">
        <is>
          <t>ACT-ST</t>
        </is>
      </c>
      <c r="N68" t="n">
        <v>46223</v>
      </c>
    </row>
    <row r="69" ht="36" customHeight="1">
      <c r="A69" t="inlineStr">
        <is>
          <t>017435de-dd55-44ec-9166-9a98824b42b3</t>
        </is>
      </c>
      <c r="B69" t="inlineStr">
        <is>
          <t>Invoice payment</t>
        </is>
      </c>
      <c r="C69" s="162" t="n">
        <v>45868</v>
      </c>
      <c r="D69" t="inlineStr">
        <is>
          <t>Defy Manufacturing</t>
        </is>
      </c>
      <c r="E69" t="inlineStr">
        <is>
          <t>Out</t>
        </is>
      </c>
      <c r="F69" t="n">
        <v>3300</v>
      </c>
      <c r="G69" t="inlineStr">
        <is>
          <t>AUTHORISED</t>
        </is>
      </c>
      <c r="H69" t="inlineStr">
        <is>
          <t>Yes</t>
        </is>
      </c>
      <c r="I69" t="inlineStr">
        <is>
          <t>INV-1285</t>
        </is>
      </c>
      <c r="J69" t="inlineStr">
        <is>
          <t>Goods-tagged</t>
        </is>
      </c>
      <c r="K69">
        <f>IF(AND(G69="AUTHORISED",J69="Goods-tagged"),F69,0)</f>
        <v/>
      </c>
      <c r="L69" t="inlineStr">
        <is>
          <t>.</t>
        </is>
      </c>
      <c r="M69" t="inlineStr">
        <is>
          <t>ACT-ST</t>
        </is>
      </c>
      <c r="N69" t="n">
        <v>46223</v>
      </c>
    </row>
    <row r="70" ht="36" customHeight="1">
      <c r="A70" t="inlineStr">
        <is>
          <t>8d710b78-ee11-4209-b492-25619170ac5f</t>
        </is>
      </c>
      <c r="B70" t="inlineStr">
        <is>
          <t>Invoice payment</t>
        </is>
      </c>
      <c r="C70" s="162" t="n">
        <v>45868</v>
      </c>
      <c r="D70" t="inlineStr">
        <is>
          <t>GM Taxipay</t>
        </is>
      </c>
      <c r="E70" t="inlineStr">
        <is>
          <t>Out</t>
        </is>
      </c>
      <c r="F70" t="n">
        <v>69.89</v>
      </c>
      <c r="G70" t="inlineStr">
        <is>
          <t>AUTHORISED</t>
        </is>
      </c>
      <c r="H70" t="inlineStr">
        <is>
          <t>Yes</t>
        </is>
      </c>
      <c r="I70" t="inlineStr">
        <is>
          <t>002631</t>
        </is>
      </c>
      <c r="J70" t="inlineStr">
        <is>
          <t>Goods-tagged</t>
        </is>
      </c>
      <c r="K70">
        <f>IF(AND(G70="AUTHORISED",J70="Goods-tagged"),F70,0)</f>
        <v/>
      </c>
      <c r="L70" t="inlineStr">
        <is>
          <t>. / .</t>
        </is>
      </c>
      <c r="M70" t="inlineStr">
        <is>
          <t>ACT-ST</t>
        </is>
      </c>
      <c r="N70" t="n">
        <v>46223</v>
      </c>
    </row>
    <row r="71" ht="36" customHeight="1">
      <c r="A71" t="inlineStr">
        <is>
          <t>0225b8f6-4bef-456a-9182-6a6283da0a9e</t>
        </is>
      </c>
      <c r="B71" t="inlineStr">
        <is>
          <t>Invoice payment</t>
        </is>
      </c>
      <c r="C71" s="162" t="n">
        <v>45869</v>
      </c>
      <c r="D71" t="inlineStr">
        <is>
          <t>Defy</t>
        </is>
      </c>
      <c r="E71" t="inlineStr">
        <is>
          <t>Out</t>
        </is>
      </c>
      <c r="F71" t="n">
        <v>1457.17</v>
      </c>
      <c r="G71" t="inlineStr">
        <is>
          <t>AUTHORISED</t>
        </is>
      </c>
      <c r="H71" t="inlineStr">
        <is>
          <t>Yes</t>
        </is>
      </c>
      <c r="I71" t="inlineStr">
        <is>
          <t>INV-1291</t>
        </is>
      </c>
      <c r="J71" t="inlineStr">
        <is>
          <t>Goods-tagged</t>
        </is>
      </c>
      <c r="K71">
        <f>IF(AND(G71="AUTHORISED",J71="Goods-tagged"),F71,0)</f>
        <v/>
      </c>
      <c r="L71" t="inlineStr">
        <is>
          <t>.</t>
        </is>
      </c>
      <c r="M71" t="inlineStr">
        <is>
          <t>ACT-ST</t>
        </is>
      </c>
      <c r="N71" t="n">
        <v>46223</v>
      </c>
    </row>
    <row r="72" ht="36" customHeight="1">
      <c r="A72" t="inlineStr">
        <is>
          <t>ab286f83-eca7-42aa-9436-f1e7c2e80d2d</t>
        </is>
      </c>
      <c r="B72" t="inlineStr">
        <is>
          <t>Invoice payment</t>
        </is>
      </c>
      <c r="C72" s="162" t="n">
        <v>45869</v>
      </c>
      <c r="D72" t="inlineStr">
        <is>
          <t>TAMER CORPORATION</t>
        </is>
      </c>
      <c r="E72" t="inlineStr">
        <is>
          <t>Out</t>
        </is>
      </c>
      <c r="F72" t="n">
        <v>72</v>
      </c>
      <c r="G72" t="inlineStr">
        <is>
          <t>AUTHORISED</t>
        </is>
      </c>
      <c r="H72" t="inlineStr">
        <is>
          <t>Yes</t>
        </is>
      </c>
      <c r="I72" t="inlineStr">
        <is>
          <t>76606</t>
        </is>
      </c>
      <c r="J72" t="inlineStr">
        <is>
          <t>Goods-tagged</t>
        </is>
      </c>
      <c r="K72">
        <f>IF(AND(G72="AUTHORISED",J72="Goods-tagged"),F72,0)</f>
        <v/>
      </c>
      <c r="L72" t="inlineStr">
        <is>
          <t>.</t>
        </is>
      </c>
      <c r="M72" t="inlineStr">
        <is>
          <t>ACT-ST</t>
        </is>
      </c>
      <c r="N72" t="n">
        <v>46223</v>
      </c>
    </row>
    <row r="73" ht="36" customHeight="1">
      <c r="A73" t="inlineStr">
        <is>
          <t>57521f69-c708-4302-ba61-4e5122ec1951</t>
        </is>
      </c>
      <c r="B73" t="inlineStr">
        <is>
          <t>Invoice payment</t>
        </is>
      </c>
      <c r="C73" s="162" t="n">
        <v>45870</v>
      </c>
      <c r="D73" t="inlineStr">
        <is>
          <t>Defy Manufacturing</t>
        </is>
      </c>
      <c r="E73" t="inlineStr">
        <is>
          <t>Out</t>
        </is>
      </c>
      <c r="F73" t="n">
        <v>747.34</v>
      </c>
      <c r="G73" t="inlineStr">
        <is>
          <t>AUTHORISED</t>
        </is>
      </c>
      <c r="H73" t="inlineStr">
        <is>
          <t>Yes</t>
        </is>
      </c>
      <c r="I73" t="inlineStr">
        <is>
          <t>INV-1293</t>
        </is>
      </c>
      <c r="J73" t="inlineStr">
        <is>
          <t>Goods-tagged</t>
        </is>
      </c>
      <c r="K73">
        <f>IF(AND(G73="AUTHORISED",J73="Goods-tagged"),F73,0)</f>
        <v/>
      </c>
      <c r="L73" t="inlineStr">
        <is>
          <t>.</t>
        </is>
      </c>
      <c r="M73" t="inlineStr">
        <is>
          <t>ACT-ST</t>
        </is>
      </c>
      <c r="N73" t="n">
        <v>46223</v>
      </c>
    </row>
    <row r="74" ht="36" customHeight="1">
      <c r="A74" t="inlineStr">
        <is>
          <t>eca30310-0cd7-4315-b117-74a5c3f015db</t>
        </is>
      </c>
      <c r="B74" t="inlineStr">
        <is>
          <t>Invoice payment</t>
        </is>
      </c>
      <c r="C74" s="162" t="n">
        <v>45870</v>
      </c>
      <c r="D74" t="inlineStr">
        <is>
          <t>Byo Group</t>
        </is>
      </c>
      <c r="E74" t="inlineStr">
        <is>
          <t>Out</t>
        </is>
      </c>
      <c r="F74" t="n">
        <v>33</v>
      </c>
      <c r="G74" t="inlineStr">
        <is>
          <t>AUTHORISED</t>
        </is>
      </c>
      <c r="H74" t="inlineStr">
        <is>
          <t>Yes</t>
        </is>
      </c>
      <c r="I74" t="inlineStr">
        <is>
          <t>BYO-26000</t>
        </is>
      </c>
      <c r="J74" t="inlineStr">
        <is>
          <t>Goods-tagged</t>
        </is>
      </c>
      <c r="K74">
        <f>IF(AND(G74="AUTHORISED",J74="Goods-tagged"),F74,0)</f>
        <v/>
      </c>
      <c r="L74" t="inlineStr">
        <is>
          <t>.</t>
        </is>
      </c>
      <c r="M74" t="inlineStr">
        <is>
          <t>ACT-ST</t>
        </is>
      </c>
      <c r="N74" t="n">
        <v>46223</v>
      </c>
    </row>
    <row r="75" ht="36" customHeight="1">
      <c r="A75" t="inlineStr">
        <is>
          <t>3c4e7add-7d9a-4aff-8e30-8ebaa149cedf</t>
        </is>
      </c>
      <c r="B75" t="inlineStr">
        <is>
          <t>Invoice payment</t>
        </is>
      </c>
      <c r="C75" s="162" t="n">
        <v>45876</v>
      </c>
      <c r="D75" t="inlineStr">
        <is>
          <t>JB Hi-Fi</t>
        </is>
      </c>
      <c r="E75" t="inlineStr">
        <is>
          <t>Out</t>
        </is>
      </c>
      <c r="F75" t="n">
        <v>94</v>
      </c>
      <c r="G75" t="inlineStr">
        <is>
          <t>AUTHORISED</t>
        </is>
      </c>
      <c r="H75" t="inlineStr">
        <is>
          <t>Yes</t>
        </is>
      </c>
      <c r="I75" t="inlineStr">
        <is>
          <t>203466136-112</t>
        </is>
      </c>
      <c r="J75" t="inlineStr">
        <is>
          <t>Goods-tagged</t>
        </is>
      </c>
      <c r="K75">
        <f>IF(AND(G75="AUTHORISED",J75="Goods-tagged"),F75,0)</f>
        <v/>
      </c>
      <c r="L75" t="inlineStr">
        <is>
          <t>. / .</t>
        </is>
      </c>
      <c r="M75" t="inlineStr">
        <is>
          <t>ACT-ST</t>
        </is>
      </c>
      <c r="N75" t="n">
        <v>46223</v>
      </c>
    </row>
    <row r="76" ht="36" customHeight="1">
      <c r="A76" t="inlineStr">
        <is>
          <t>4a945049-2aa5-4b8e-b4f6-3484b90e84df</t>
        </is>
      </c>
      <c r="B76" t="inlineStr">
        <is>
          <t>Invoice payment</t>
        </is>
      </c>
      <c r="C76" s="162" t="n">
        <v>45876</v>
      </c>
      <c r="D76" t="inlineStr">
        <is>
          <t>Byo Group</t>
        </is>
      </c>
      <c r="E76" t="inlineStr">
        <is>
          <t>Out</t>
        </is>
      </c>
      <c r="F76" t="n">
        <v>1249.6</v>
      </c>
      <c r="G76" t="inlineStr">
        <is>
          <t>AUTHORISED</t>
        </is>
      </c>
      <c r="H76" t="inlineStr">
        <is>
          <t>Yes</t>
        </is>
      </c>
      <c r="I76" t="inlineStr">
        <is>
          <t>BYO-25991</t>
        </is>
      </c>
      <c r="J76" t="inlineStr">
        <is>
          <t>Goods-tagged</t>
        </is>
      </c>
      <c r="K76">
        <f>IF(AND(G76="AUTHORISED",J76="Goods-tagged"),F76,0)</f>
        <v/>
      </c>
      <c r="L76" t="inlineStr">
        <is>
          <t>.</t>
        </is>
      </c>
      <c r="M76" t="inlineStr">
        <is>
          <t>ACT-ST</t>
        </is>
      </c>
      <c r="N76" t="n">
        <v>46223</v>
      </c>
    </row>
    <row r="77" ht="36" customHeight="1">
      <c r="A77" t="inlineStr">
        <is>
          <t>47a45ad5-4e98-4157-9ae5-1f88740cea88</t>
        </is>
      </c>
      <c r="B77" t="inlineStr">
        <is>
          <t>Invoice payment</t>
        </is>
      </c>
      <c r="C77" s="162" t="n">
        <v>45877</v>
      </c>
      <c r="D77" t="inlineStr">
        <is>
          <t>The Leea Darwin</t>
        </is>
      </c>
      <c r="E77" t="inlineStr">
        <is>
          <t>Out</t>
        </is>
      </c>
      <c r="F77" t="n">
        <v>38.57</v>
      </c>
      <c r="G77" t="inlineStr">
        <is>
          <t>AUTHORISED</t>
        </is>
      </c>
      <c r="H77" t="inlineStr">
        <is>
          <t>Yes</t>
        </is>
      </c>
      <c r="I77" t="inlineStr">
        <is>
          <t>10968</t>
        </is>
      </c>
      <c r="J77" t="inlineStr">
        <is>
          <t>Goods-tagged</t>
        </is>
      </c>
      <c r="K77">
        <f>IF(AND(G77="AUTHORISED",J77="Goods-tagged"),F77,0)</f>
        <v/>
      </c>
      <c r="L77" t="inlineStr">
        <is>
          <t>. / .</t>
        </is>
      </c>
      <c r="M77" t="inlineStr">
        <is>
          <t>ACT-ST</t>
        </is>
      </c>
      <c r="N77" t="n">
        <v>46223</v>
      </c>
    </row>
    <row r="78" ht="36" customHeight="1">
      <c r="A78" t="inlineStr">
        <is>
          <t>98e261fe-641f-4c5e-8c6e-79116d40e0af</t>
        </is>
      </c>
      <c r="B78" t="inlineStr">
        <is>
          <t>Invoice payment</t>
        </is>
      </c>
      <c r="C78" s="162" t="n">
        <v>45877</v>
      </c>
      <c r="D78" t="inlineStr">
        <is>
          <t>Fat Tuna Darwin</t>
        </is>
      </c>
      <c r="E78" t="inlineStr">
        <is>
          <t>Out</t>
        </is>
      </c>
      <c r="F78" t="n">
        <v>51.8</v>
      </c>
      <c r="G78" t="inlineStr">
        <is>
          <t>AUTHORISED</t>
        </is>
      </c>
      <c r="H78" t="inlineStr">
        <is>
          <t>Yes</t>
        </is>
      </c>
      <c r="I78" t="inlineStr">
        <is>
          <t>TXnM</t>
        </is>
      </c>
      <c r="J78" t="inlineStr">
        <is>
          <t>Goods-tagged</t>
        </is>
      </c>
      <c r="K78">
        <f>IF(AND(G78="AUTHORISED",J78="Goods-tagged"),F78,0)</f>
        <v/>
      </c>
      <c r="L78" t="inlineStr">
        <is>
          <t>.</t>
        </is>
      </c>
      <c r="M78" t="inlineStr">
        <is>
          <t>ACT-ST</t>
        </is>
      </c>
      <c r="N78" t="n">
        <v>46223</v>
      </c>
    </row>
    <row r="79" ht="36" customHeight="1">
      <c r="A79" t="inlineStr">
        <is>
          <t>d787405f-65f8-4ff0-86bd-5d6391c2dc8a</t>
        </is>
      </c>
      <c r="B79" t="inlineStr">
        <is>
          <t>Invoice payment</t>
        </is>
      </c>
      <c r="C79" s="162" t="n">
        <v>45877</v>
      </c>
      <c r="D79" t="inlineStr">
        <is>
          <t>The1995</t>
        </is>
      </c>
      <c r="E79" t="inlineStr">
        <is>
          <t>Out</t>
        </is>
      </c>
      <c r="F79" t="n">
        <v>6.1</v>
      </c>
      <c r="G79" t="inlineStr">
        <is>
          <t>AUTHORISED</t>
        </is>
      </c>
      <c r="H79" t="inlineStr">
        <is>
          <t>Yes</t>
        </is>
      </c>
      <c r="I79" t="inlineStr">
        <is>
          <t>rnrH</t>
        </is>
      </c>
      <c r="J79" t="inlineStr">
        <is>
          <t>Goods-tagged</t>
        </is>
      </c>
      <c r="K79">
        <f>IF(AND(G79="AUTHORISED",J79="Goods-tagged"),F79,0)</f>
        <v/>
      </c>
      <c r="L79" t="inlineStr">
        <is>
          <t>.</t>
        </is>
      </c>
      <c r="M79" t="inlineStr">
        <is>
          <t>ACT-ST</t>
        </is>
      </c>
      <c r="N79" t="n">
        <v>46223</v>
      </c>
    </row>
    <row r="80" ht="36" customHeight="1">
      <c r="A80" t="inlineStr">
        <is>
          <t>02f3342d-af11-4735-965c-d595ad413161</t>
        </is>
      </c>
      <c r="B80" t="inlineStr">
        <is>
          <t>Invoice payment</t>
        </is>
      </c>
      <c r="C80" s="162" t="n">
        <v>45880</v>
      </c>
      <c r="D80" t="inlineStr">
        <is>
          <t>Rocket Cafe And Blast Coffee Roasters</t>
        </is>
      </c>
      <c r="E80" t="inlineStr">
        <is>
          <t>Out</t>
        </is>
      </c>
      <c r="F80" t="n">
        <v>26.5</v>
      </c>
      <c r="G80" t="inlineStr">
        <is>
          <t>AUTHORISED</t>
        </is>
      </c>
      <c r="H80" t="inlineStr">
        <is>
          <t>Yes</t>
        </is>
      </c>
      <c r="I80" t="inlineStr">
        <is>
          <t>HH8v</t>
        </is>
      </c>
      <c r="J80" t="inlineStr">
        <is>
          <t>Goods-tagged</t>
        </is>
      </c>
      <c r="K80">
        <f>IF(AND(G80="AUTHORISED",J80="Goods-tagged"),F80,0)</f>
        <v/>
      </c>
      <c r="L80" t="inlineStr">
        <is>
          <t>.</t>
        </is>
      </c>
      <c r="M80" t="inlineStr">
        <is>
          <t>ACT-ST</t>
        </is>
      </c>
      <c r="N80" t="n">
        <v>46223</v>
      </c>
    </row>
    <row r="81" ht="36" customHeight="1">
      <c r="A81" t="inlineStr">
        <is>
          <t>175cddca-f2d3-47cc-bef0-126572ebb750</t>
        </is>
      </c>
      <c r="B81" t="inlineStr">
        <is>
          <t>Invoice payment</t>
        </is>
      </c>
      <c r="C81" s="162" t="n">
        <v>45880</v>
      </c>
      <c r="D81" t="inlineStr">
        <is>
          <t>Officeworks</t>
        </is>
      </c>
      <c r="E81" t="inlineStr">
        <is>
          <t>Out</t>
        </is>
      </c>
      <c r="F81" t="n">
        <v>35</v>
      </c>
      <c r="G81" t="inlineStr">
        <is>
          <t>AUTHORISED</t>
        </is>
      </c>
      <c r="H81" t="inlineStr">
        <is>
          <t>Yes</t>
        </is>
      </c>
      <c r="I81" t="inlineStr">
        <is>
          <t>9337801001282063</t>
        </is>
      </c>
      <c r="J81" t="inlineStr">
        <is>
          <t>Goods-tagged</t>
        </is>
      </c>
      <c r="K81">
        <f>IF(AND(G81="AUTHORISED",J81="Goods-tagged"),F81,0)</f>
        <v/>
      </c>
      <c r="L81" t="inlineStr">
        <is>
          <t>.</t>
        </is>
      </c>
      <c r="M81" t="inlineStr">
        <is>
          <t>ACT-ST</t>
        </is>
      </c>
      <c r="N81" t="n">
        <v>46223</v>
      </c>
    </row>
    <row r="82" ht="36" customHeight="1">
      <c r="A82" t="inlineStr">
        <is>
          <t>21718066-5b3b-4330-ab2e-3a6982a52def</t>
        </is>
      </c>
      <c r="B82" t="inlineStr">
        <is>
          <t>Invoice payment</t>
        </is>
      </c>
      <c r="C82" s="162" t="n">
        <v>45880</v>
      </c>
      <c r="D82" t="inlineStr">
        <is>
          <t>Laneway Coffee</t>
        </is>
      </c>
      <c r="E82" t="inlineStr">
        <is>
          <t>Out</t>
        </is>
      </c>
      <c r="F82" t="n">
        <v>32.9</v>
      </c>
      <c r="G82" t="inlineStr">
        <is>
          <t>AUTHORISED</t>
        </is>
      </c>
      <c r="H82" t="inlineStr">
        <is>
          <t>Yes</t>
        </is>
      </c>
      <c r="I82" t="inlineStr">
        <is>
          <t>SP-104 0808010126</t>
        </is>
      </c>
      <c r="J82" t="inlineStr">
        <is>
          <t>Goods-tagged</t>
        </is>
      </c>
      <c r="K82">
        <f>IF(AND(G82="AUTHORISED",J82="Goods-tagged"),F82,0)</f>
        <v/>
      </c>
      <c r="L82" t="inlineStr">
        <is>
          <t>. / .</t>
        </is>
      </c>
      <c r="M82" t="inlineStr">
        <is>
          <t>ACT-ST</t>
        </is>
      </c>
      <c r="N82" t="n">
        <v>46223</v>
      </c>
    </row>
    <row r="83" ht="36" customHeight="1">
      <c r="A83" t="inlineStr">
        <is>
          <t>63db457b-ed6c-4fda-92a3-55a93010991f</t>
        </is>
      </c>
      <c r="B83" t="inlineStr">
        <is>
          <t>Invoice payment</t>
        </is>
      </c>
      <c r="C83" s="162" t="n">
        <v>45880</v>
      </c>
      <c r="D83" t="inlineStr">
        <is>
          <t>Woolworths</t>
        </is>
      </c>
      <c r="E83" t="inlineStr">
        <is>
          <t>Out</t>
        </is>
      </c>
      <c r="F83" t="n">
        <v>38.95</v>
      </c>
      <c r="G83" t="inlineStr">
        <is>
          <t>AUTHORISED</t>
        </is>
      </c>
      <c r="H83" t="inlineStr">
        <is>
          <t>Yes</t>
        </is>
      </c>
      <c r="I83" t="inlineStr">
        <is>
          <t>6007</t>
        </is>
      </c>
      <c r="J83" t="inlineStr">
        <is>
          <t>Goods-tagged</t>
        </is>
      </c>
      <c r="K83">
        <f>IF(AND(G83="AUTHORISED",J83="Goods-tagged"),F83,0)</f>
        <v/>
      </c>
      <c r="L83" t="inlineStr">
        <is>
          <t>. / .</t>
        </is>
      </c>
      <c r="M83" t="inlineStr">
        <is>
          <t>ACT-ST</t>
        </is>
      </c>
      <c r="N83" t="n">
        <v>46223</v>
      </c>
    </row>
    <row r="84" ht="36" customHeight="1">
      <c r="A84" t="inlineStr">
        <is>
          <t>892f60e2-0393-481c-a0fd-e5387bdaa8c2</t>
        </is>
      </c>
      <c r="B84" t="inlineStr">
        <is>
          <t>Invoice payment</t>
        </is>
      </c>
      <c r="C84" s="162" t="n">
        <v>45880</v>
      </c>
      <c r="D84" t="inlineStr">
        <is>
          <t>Bunnings Warehouse</t>
        </is>
      </c>
      <c r="E84" t="inlineStr">
        <is>
          <t>Out</t>
        </is>
      </c>
      <c r="F84" t="n">
        <v>31</v>
      </c>
      <c r="G84" t="inlineStr">
        <is>
          <t>AUTHORISED</t>
        </is>
      </c>
      <c r="H84" t="inlineStr">
        <is>
          <t>Yes</t>
        </is>
      </c>
      <c r="I84" t="inlineStr">
        <is>
          <t>094-88625-2320 2025-08-07</t>
        </is>
      </c>
      <c r="J84" t="inlineStr">
        <is>
          <t>Goods-tagged</t>
        </is>
      </c>
      <c r="K84">
        <f>IF(AND(G84="AUTHORISED",J84="Goods-tagged"),F84,0)</f>
        <v/>
      </c>
      <c r="L84" t="inlineStr">
        <is>
          <t>.</t>
        </is>
      </c>
      <c r="M84" t="inlineStr">
        <is>
          <t>ACT-ST</t>
        </is>
      </c>
      <c r="N84" t="n">
        <v>46223</v>
      </c>
    </row>
    <row r="85" ht="36" customHeight="1">
      <c r="A85" t="inlineStr">
        <is>
          <t>f8fd0440-172a-4cca-88af-b53e3739f7a7</t>
        </is>
      </c>
      <c r="B85" t="inlineStr">
        <is>
          <t>Invoice payment</t>
        </is>
      </c>
      <c r="C85" s="162" t="n">
        <v>45880</v>
      </c>
      <c r="D85" t="inlineStr">
        <is>
          <t>Woolworths</t>
        </is>
      </c>
      <c r="E85" t="inlineStr">
        <is>
          <t>Out</t>
        </is>
      </c>
      <c r="F85" t="n">
        <v>26.95</v>
      </c>
      <c r="G85" t="inlineStr">
        <is>
          <t>AUTHORISED</t>
        </is>
      </c>
      <c r="H85" t="inlineStr">
        <is>
          <t>Yes</t>
        </is>
      </c>
      <c r="I85" t="inlineStr">
        <is>
          <t>5951</t>
        </is>
      </c>
      <c r="J85" t="inlineStr">
        <is>
          <t>Goods-tagged</t>
        </is>
      </c>
      <c r="K85">
        <f>IF(AND(G85="AUTHORISED",J85="Goods-tagged"),F85,0)</f>
        <v/>
      </c>
      <c r="L85" t="inlineStr">
        <is>
          <t>.</t>
        </is>
      </c>
      <c r="M85" t="inlineStr">
        <is>
          <t>ACT-ST</t>
        </is>
      </c>
      <c r="N85" t="n">
        <v>46223</v>
      </c>
    </row>
    <row r="86" ht="36" customHeight="1">
      <c r="A86" t="inlineStr">
        <is>
          <t>e105643e-68dd-4b8e-a46b-0a2ce9d479e8</t>
        </is>
      </c>
      <c r="B86" t="inlineStr">
        <is>
          <t>Invoice payment</t>
        </is>
      </c>
      <c r="C86" s="162" t="n">
        <v>45881</v>
      </c>
      <c r="D86" t="inlineStr">
        <is>
          <t>McDonald's</t>
        </is>
      </c>
      <c r="E86" t="inlineStr">
        <is>
          <t>Out</t>
        </is>
      </c>
      <c r="F86" t="n">
        <v>5.05</v>
      </c>
      <c r="G86" t="inlineStr">
        <is>
          <t>AUTHORISED</t>
        </is>
      </c>
      <c r="H86" t="inlineStr">
        <is>
          <t>Yes</t>
        </is>
      </c>
      <c r="I86" t="inlineStr">
        <is>
          <t>RB17712741360</t>
        </is>
      </c>
      <c r="J86" t="inlineStr">
        <is>
          <t>Goods-tagged</t>
        </is>
      </c>
      <c r="K86">
        <f>IF(AND(G86="AUTHORISED",J86="Goods-tagged"),F86,0)</f>
        <v/>
      </c>
      <c r="L86" t="inlineStr">
        <is>
          <t>.</t>
        </is>
      </c>
      <c r="M86" t="inlineStr">
        <is>
          <t>ACT-ST</t>
        </is>
      </c>
      <c r="N86" t="n">
        <v>46223</v>
      </c>
    </row>
    <row r="87" ht="36" customHeight="1">
      <c r="A87" t="inlineStr">
        <is>
          <t>3e29ac8c-bc90-4ab1-acfd-54ca904ef313</t>
        </is>
      </c>
      <c r="B87" t="inlineStr">
        <is>
          <t>Invoice payment</t>
        </is>
      </c>
      <c r="C87" s="162" t="n">
        <v>45883</v>
      </c>
      <c r="D87" t="inlineStr">
        <is>
          <t>Sunset Snack Bar</t>
        </is>
      </c>
      <c r="E87" t="inlineStr">
        <is>
          <t>Out</t>
        </is>
      </c>
      <c r="F87" t="n">
        <v>32</v>
      </c>
      <c r="G87" t="inlineStr">
        <is>
          <t>AUTHORISED</t>
        </is>
      </c>
      <c r="H87" t="inlineStr">
        <is>
          <t>Yes</t>
        </is>
      </c>
      <c r="I87" t="inlineStr">
        <is>
          <t>RB17749917720</t>
        </is>
      </c>
      <c r="J87" t="inlineStr">
        <is>
          <t>Goods-tagged</t>
        </is>
      </c>
      <c r="K87">
        <f>IF(AND(G87="AUTHORISED",J87="Goods-tagged"),F87,0)</f>
        <v/>
      </c>
      <c r="L87" t="inlineStr">
        <is>
          <t>.</t>
        </is>
      </c>
      <c r="M87" t="inlineStr">
        <is>
          <t>ACT-ST</t>
        </is>
      </c>
      <c r="N87" t="n">
        <v>46223</v>
      </c>
    </row>
    <row r="88" ht="36" customHeight="1">
      <c r="A88" t="inlineStr">
        <is>
          <t>5aacd943-b1c9-4948-8a85-b9851ba8fb32</t>
        </is>
      </c>
      <c r="B88" t="inlineStr">
        <is>
          <t>Invoice payment</t>
        </is>
      </c>
      <c r="C88" s="162" t="n">
        <v>45883</v>
      </c>
      <c r="D88" t="inlineStr">
        <is>
          <t>Palm Island</t>
        </is>
      </c>
      <c r="E88" t="inlineStr">
        <is>
          <t>Out</t>
        </is>
      </c>
      <c r="F88" t="n">
        <v>66.14</v>
      </c>
      <c r="G88" t="inlineStr">
        <is>
          <t>AUTHORISED</t>
        </is>
      </c>
      <c r="H88" t="inlineStr">
        <is>
          <t>Yes</t>
        </is>
      </c>
      <c r="I88" t="inlineStr">
        <is>
          <t>174443</t>
        </is>
      </c>
      <c r="J88" t="inlineStr">
        <is>
          <t>Goods-tagged</t>
        </is>
      </c>
      <c r="K88">
        <f>IF(AND(G88="AUTHORISED",J88="Goods-tagged"),F88,0)</f>
        <v/>
      </c>
      <c r="L88" t="inlineStr">
        <is>
          <t>. / .</t>
        </is>
      </c>
      <c r="M88" t="inlineStr">
        <is>
          <t>ACT-ST</t>
        </is>
      </c>
      <c r="N88" t="n">
        <v>46223</v>
      </c>
    </row>
    <row r="89" ht="36" customHeight="1">
      <c r="A89" t="inlineStr">
        <is>
          <t>5c3344c3-1411-4f28-8a32-5729522263d8</t>
        </is>
      </c>
      <c r="B89" t="inlineStr">
        <is>
          <t>Invoice payment</t>
        </is>
      </c>
      <c r="C89" s="162" t="n">
        <v>45883</v>
      </c>
      <c r="D89" t="inlineStr">
        <is>
          <t>Palm Island Motel</t>
        </is>
      </c>
      <c r="E89" t="inlineStr">
        <is>
          <t>Out</t>
        </is>
      </c>
      <c r="F89" t="n">
        <v>514</v>
      </c>
      <c r="G89" t="inlineStr">
        <is>
          <t>AUTHORISED</t>
        </is>
      </c>
      <c r="H89" t="inlineStr">
        <is>
          <t>Yes</t>
        </is>
      </c>
      <c r="I89" t="inlineStr">
        <is>
          <t>6D1D49DE4A</t>
        </is>
      </c>
      <c r="J89" t="inlineStr">
        <is>
          <t>Goods-tagged</t>
        </is>
      </c>
      <c r="K89">
        <f>IF(AND(G89="AUTHORISED",J89="Goods-tagged"),F89,0)</f>
        <v/>
      </c>
      <c r="L89" t="inlineStr">
        <is>
          <t>.</t>
        </is>
      </c>
      <c r="M89" t="inlineStr">
        <is>
          <t>ACT-ST</t>
        </is>
      </c>
      <c r="N89" t="n">
        <v>46223</v>
      </c>
    </row>
    <row r="90" ht="36" customHeight="1">
      <c r="A90" t="inlineStr">
        <is>
          <t>13790b52-e4db-43b0-ab1f-fca8181e6e77</t>
        </is>
      </c>
      <c r="B90" t="inlineStr">
        <is>
          <t>Invoice payment</t>
        </is>
      </c>
      <c r="C90" s="162" t="n">
        <v>45884</v>
      </c>
      <c r="D90" t="inlineStr">
        <is>
          <t>Palm Island</t>
        </is>
      </c>
      <c r="E90" t="inlineStr">
        <is>
          <t>Out</t>
        </is>
      </c>
      <c r="F90" t="n">
        <v>37.73</v>
      </c>
      <c r="G90" t="inlineStr">
        <is>
          <t>AUTHORISED</t>
        </is>
      </c>
      <c r="H90" t="inlineStr">
        <is>
          <t>Yes</t>
        </is>
      </c>
      <c r="I90" t="inlineStr">
        <is>
          <t>100326</t>
        </is>
      </c>
      <c r="J90" t="inlineStr">
        <is>
          <t>Goods-tagged</t>
        </is>
      </c>
      <c r="K90">
        <f>IF(AND(G90="AUTHORISED",J90="Goods-tagged"),F90,0)</f>
        <v/>
      </c>
      <c r="L90" t="inlineStr">
        <is>
          <t>. / .</t>
        </is>
      </c>
      <c r="M90" t="inlineStr">
        <is>
          <t>ACT-ST</t>
        </is>
      </c>
      <c r="N90" t="n">
        <v>46223</v>
      </c>
    </row>
    <row r="91" ht="92" customHeight="1">
      <c r="A91" t="inlineStr">
        <is>
          <t>bf337769-a3ec-4d0a-8593-00ae21d1e91c</t>
        </is>
      </c>
      <c r="B91" t="inlineStr">
        <is>
          <t>Invoice payment</t>
        </is>
      </c>
      <c r="C91" s="162" t="n">
        <v>45884</v>
      </c>
      <c r="D91" t="inlineStr">
        <is>
          <t>Red Dust Role Models Limited</t>
        </is>
      </c>
      <c r="E91" t="inlineStr">
        <is>
          <t>In</t>
        </is>
      </c>
      <c r="F91" t="n">
        <v>15950</v>
      </c>
      <c r="G91" t="inlineStr">
        <is>
          <t>AUTHORISED</t>
        </is>
      </c>
      <c r="H91" t="inlineStr">
        <is>
          <t>Yes</t>
        </is>
      </c>
      <c r="I91" t="inlineStr">
        <is>
          <t>INV-0255</t>
        </is>
      </c>
      <c r="J91" t="inlineStr">
        <is>
          <t>Goods-tagged</t>
        </is>
      </c>
      <c r="K91">
        <f>IF(AND(G91="AUTHORISED",J91="Goods-tagged"),F91,0)</f>
        <v/>
      </c>
      <c r="L91" t="inlineStr">
        <is>
          <t>Goods Basket Bed v1 
- Raw Materials to make Double Bed
 - 16 Creates
- 100 Zip Ties
- 1x Foam Underlay
- 1x Bamboo Topper / Freight to Alice Springs</t>
        </is>
      </c>
      <c r="M91" t="inlineStr">
        <is>
          <t>ACT-ST</t>
        </is>
      </c>
      <c r="N91" t="n">
        <v>46223</v>
      </c>
    </row>
    <row r="92" ht="36" customHeight="1">
      <c r="A92" t="inlineStr">
        <is>
          <t>c30e6c19-fb98-4c5a-92a9-6267b90da94e</t>
        </is>
      </c>
      <c r="B92" t="inlineStr">
        <is>
          <t>Invoice payment</t>
        </is>
      </c>
      <c r="C92" s="162" t="n">
        <v>45884</v>
      </c>
      <c r="D92" t="inlineStr">
        <is>
          <t>Palm Island</t>
        </is>
      </c>
      <c r="E92" t="inlineStr">
        <is>
          <t>Out</t>
        </is>
      </c>
      <c r="F92" t="n">
        <v>21.45</v>
      </c>
      <c r="G92" t="inlineStr">
        <is>
          <t>AUTHORISED</t>
        </is>
      </c>
      <c r="H92" t="inlineStr">
        <is>
          <t>Yes</t>
        </is>
      </c>
      <c r="I92" t="inlineStr">
        <is>
          <t>174685</t>
        </is>
      </c>
      <c r="J92" t="inlineStr">
        <is>
          <t>Goods-tagged</t>
        </is>
      </c>
      <c r="K92">
        <f>IF(AND(G92="AUTHORISED",J92="Goods-tagged"),F92,0)</f>
        <v/>
      </c>
      <c r="L92" t="inlineStr">
        <is>
          <t>.</t>
        </is>
      </c>
      <c r="M92" t="inlineStr">
        <is>
          <t>ACT-ST</t>
        </is>
      </c>
      <c r="N92" t="n">
        <v>46223</v>
      </c>
    </row>
    <row r="93" ht="36" customHeight="1">
      <c r="A93" t="inlineStr">
        <is>
          <t>24e7cf4c-6b20-48dc-bd56-c9dff2767866</t>
        </is>
      </c>
      <c r="B93" t="inlineStr">
        <is>
          <t>Invoice payment</t>
        </is>
      </c>
      <c r="C93" s="162" t="n">
        <v>45887</v>
      </c>
      <c r="D93" t="inlineStr">
        <is>
          <t>Palm Island Service Station</t>
        </is>
      </c>
      <c r="E93" t="inlineStr">
        <is>
          <t>Out</t>
        </is>
      </c>
      <c r="F93" t="n">
        <v>180.76</v>
      </c>
      <c r="G93" t="inlineStr">
        <is>
          <t>AUTHORISED</t>
        </is>
      </c>
      <c r="H93" t="inlineStr">
        <is>
          <t>Yes</t>
        </is>
      </c>
      <c r="I93" t="inlineStr">
        <is>
          <t>77916</t>
        </is>
      </c>
      <c r="J93" t="inlineStr">
        <is>
          <t>Goods-tagged</t>
        </is>
      </c>
      <c r="K93">
        <f>IF(AND(G93="AUTHORISED",J93="Goods-tagged"),F93,0)</f>
        <v/>
      </c>
      <c r="L93" t="inlineStr">
        <is>
          <t>.</t>
        </is>
      </c>
      <c r="M93" t="inlineStr">
        <is>
          <t>ACT-ST</t>
        </is>
      </c>
      <c r="N93" t="n">
        <v>46223</v>
      </c>
    </row>
    <row r="94" ht="36" customHeight="1">
      <c r="A94" t="inlineStr">
        <is>
          <t>566a5924-2df2-479d-b66b-87955e2b088d</t>
        </is>
      </c>
      <c r="B94" t="inlineStr">
        <is>
          <t>Invoice payment</t>
        </is>
      </c>
      <c r="C94" s="162" t="n">
        <v>45887</v>
      </c>
      <c r="D94" t="inlineStr">
        <is>
          <t>Community Enterprise Qld</t>
        </is>
      </c>
      <c r="E94" t="inlineStr">
        <is>
          <t>Out</t>
        </is>
      </c>
      <c r="F94" t="n">
        <v>27.19</v>
      </c>
      <c r="G94" t="inlineStr">
        <is>
          <t>AUTHORISED</t>
        </is>
      </c>
      <c r="H94" t="inlineStr">
        <is>
          <t>Yes</t>
        </is>
      </c>
      <c r="I94" t="inlineStr">
        <is>
          <t>175172</t>
        </is>
      </c>
      <c r="J94" t="inlineStr">
        <is>
          <t>Goods-tagged</t>
        </is>
      </c>
      <c r="K94">
        <f>IF(AND(G94="AUTHORISED",J94="Goods-tagged"),F94,0)</f>
        <v/>
      </c>
      <c r="L94" t="inlineStr">
        <is>
          <t>. / .</t>
        </is>
      </c>
      <c r="M94" t="inlineStr">
        <is>
          <t>ACT-ST</t>
        </is>
      </c>
      <c r="N94" t="n">
        <v>46223</v>
      </c>
    </row>
    <row r="95" ht="36" customHeight="1">
      <c r="A95" t="inlineStr">
        <is>
          <t>97b14566-8885-4c7b-a415-d1af31223d38</t>
        </is>
      </c>
      <c r="B95" t="inlineStr">
        <is>
          <t>Invoice payment</t>
        </is>
      </c>
      <c r="C95" s="162" t="n">
        <v>45887</v>
      </c>
      <c r="D95" t="inlineStr">
        <is>
          <t>Palm Island Service Station</t>
        </is>
      </c>
      <c r="E95" t="inlineStr">
        <is>
          <t>Out</t>
        </is>
      </c>
      <c r="F95" t="n">
        <v>145.77</v>
      </c>
      <c r="G95" t="inlineStr">
        <is>
          <t>AUTHORISED</t>
        </is>
      </c>
      <c r="H95" t="inlineStr">
        <is>
          <t>Yes</t>
        </is>
      </c>
      <c r="I95" t="inlineStr">
        <is>
          <t>78023</t>
        </is>
      </c>
      <c r="J95" t="inlineStr">
        <is>
          <t>Goods-tagged</t>
        </is>
      </c>
      <c r="K95">
        <f>IF(AND(G95="AUTHORISED",J95="Goods-tagged"),F95,0)</f>
        <v/>
      </c>
      <c r="L95" t="inlineStr">
        <is>
          <t>.</t>
        </is>
      </c>
      <c r="M95" t="inlineStr">
        <is>
          <t>ACT-ST</t>
        </is>
      </c>
      <c r="N95" t="n">
        <v>46223</v>
      </c>
    </row>
    <row r="96" ht="36" customHeight="1">
      <c r="A96" t="inlineStr">
        <is>
          <t>a456a71b-7737-4c6d-aa56-ba2854e5f3d8</t>
        </is>
      </c>
      <c r="B96" t="inlineStr">
        <is>
          <t>Invoice payment</t>
        </is>
      </c>
      <c r="C96" s="162" t="n">
        <v>45887</v>
      </c>
      <c r="D96" t="inlineStr">
        <is>
          <t>Community Enterprise Qld</t>
        </is>
      </c>
      <c r="E96" t="inlineStr">
        <is>
          <t>Out</t>
        </is>
      </c>
      <c r="F96" t="n">
        <v>10.82</v>
      </c>
      <c r="G96" t="inlineStr">
        <is>
          <t>AUTHORISED</t>
        </is>
      </c>
      <c r="H96" t="inlineStr">
        <is>
          <t>Yes</t>
        </is>
      </c>
      <c r="I96" t="inlineStr">
        <is>
          <t>175009</t>
        </is>
      </c>
      <c r="J96" t="inlineStr">
        <is>
          <t>Goods-tagged</t>
        </is>
      </c>
      <c r="K96">
        <f>IF(AND(G96="AUTHORISED",J96="Goods-tagged"),F96,0)</f>
        <v/>
      </c>
      <c r="L96" t="inlineStr">
        <is>
          <t>.</t>
        </is>
      </c>
      <c r="M96" t="inlineStr">
        <is>
          <t>ACT-ST</t>
        </is>
      </c>
      <c r="N96" t="n">
        <v>46223</v>
      </c>
    </row>
    <row r="97" ht="36" customHeight="1">
      <c r="A97" t="inlineStr">
        <is>
          <t>d0614f64-fb7f-45b4-99b7-d31987810bd7</t>
        </is>
      </c>
      <c r="B97" t="inlineStr">
        <is>
          <t>Invoice payment</t>
        </is>
      </c>
      <c r="C97" s="162" t="n">
        <v>45887</v>
      </c>
      <c r="D97" t="inlineStr">
        <is>
          <t>Padoka</t>
        </is>
      </c>
      <c r="E97" t="inlineStr">
        <is>
          <t>Out</t>
        </is>
      </c>
      <c r="F97" t="n">
        <v>4.04</v>
      </c>
      <c r="G97" t="inlineStr">
        <is>
          <t>AUTHORISED</t>
        </is>
      </c>
      <c r="H97" t="inlineStr">
        <is>
          <t>Yes</t>
        </is>
      </c>
      <c r="I97" t="inlineStr">
        <is>
          <t>SP-11 0816224524</t>
        </is>
      </c>
      <c r="J97" t="inlineStr">
        <is>
          <t>Goods-tagged</t>
        </is>
      </c>
      <c r="K97">
        <f>IF(AND(G97="AUTHORISED",J97="Goods-tagged"),F97,0)</f>
        <v/>
      </c>
      <c r="L97" t="inlineStr">
        <is>
          <t>. / .</t>
        </is>
      </c>
      <c r="M97" t="inlineStr">
        <is>
          <t>ACT-ST</t>
        </is>
      </c>
      <c r="N97" t="n">
        <v>46223</v>
      </c>
    </row>
    <row r="98" ht="36" customHeight="1">
      <c r="A98" t="inlineStr">
        <is>
          <t>dd2b1c9f-53bb-4e15-b217-ff48627653cf</t>
        </is>
      </c>
      <c r="B98" t="inlineStr">
        <is>
          <t>Invoice payment</t>
        </is>
      </c>
      <c r="C98" s="162" t="n">
        <v>45887</v>
      </c>
      <c r="D98" t="inlineStr">
        <is>
          <t>Grill'd Townsville</t>
        </is>
      </c>
      <c r="E98" t="inlineStr">
        <is>
          <t>Out</t>
        </is>
      </c>
      <c r="F98" t="n">
        <v>32.71</v>
      </c>
      <c r="G98" t="inlineStr">
        <is>
          <t>AUTHORISED</t>
        </is>
      </c>
      <c r="H98" t="inlineStr">
        <is>
          <t>Yes</t>
        </is>
      </c>
      <c r="I98" t="inlineStr">
        <is>
          <t>1092650</t>
        </is>
      </c>
      <c r="J98" t="inlineStr">
        <is>
          <t>Goods-tagged</t>
        </is>
      </c>
      <c r="K98">
        <f>IF(AND(G98="AUTHORISED",J98="Goods-tagged"),F98,0)</f>
        <v/>
      </c>
      <c r="L98" t="inlineStr">
        <is>
          <t>. / .</t>
        </is>
      </c>
      <c r="M98" t="inlineStr">
        <is>
          <t>ACT-ST</t>
        </is>
      </c>
      <c r="N98" t="n">
        <v>46223</v>
      </c>
    </row>
    <row r="99" ht="36" customHeight="1">
      <c r="A99" t="inlineStr">
        <is>
          <t>6cfdd28a-40a9-4f72-9ec8-285153b9571e</t>
        </is>
      </c>
      <c r="B99" t="inlineStr">
        <is>
          <t>Invoice payment</t>
        </is>
      </c>
      <c r="C99" s="162" t="n">
        <v>45888</v>
      </c>
      <c r="D99" t="inlineStr">
        <is>
          <t>STAR HOTELS THE PALMER COLLECTIVE</t>
        </is>
      </c>
      <c r="E99" t="inlineStr">
        <is>
          <t>Out</t>
        </is>
      </c>
      <c r="F99" t="n">
        <v>5.5</v>
      </c>
      <c r="G99" t="inlineStr">
        <is>
          <t>AUTHORISED</t>
        </is>
      </c>
      <c r="H99" t="inlineStr">
        <is>
          <t>Yes</t>
        </is>
      </c>
      <c r="I99" t="inlineStr">
        <is>
          <t>FJVSOVOEHD</t>
        </is>
      </c>
      <c r="J99" t="inlineStr">
        <is>
          <t>Goods-tagged</t>
        </is>
      </c>
      <c r="K99">
        <f>IF(AND(G99="AUTHORISED",J99="Goods-tagged"),F99,0)</f>
        <v/>
      </c>
      <c r="L99" t="inlineStr">
        <is>
          <t>.</t>
        </is>
      </c>
      <c r="M99" t="inlineStr">
        <is>
          <t>ACT-ST</t>
        </is>
      </c>
      <c r="N99" t="n">
        <v>46223</v>
      </c>
    </row>
    <row r="100" ht="36" customHeight="1">
      <c r="A100" t="inlineStr">
        <is>
          <t>97002429-1eee-44a3-9806-7cd02897ffb0</t>
        </is>
      </c>
      <c r="B100" t="inlineStr">
        <is>
          <t>Invoice payment</t>
        </is>
      </c>
      <c r="C100" s="162" t="n">
        <v>45888</v>
      </c>
      <c r="D100" t="inlineStr">
        <is>
          <t>The Beet Bar</t>
        </is>
      </c>
      <c r="E100" t="inlineStr">
        <is>
          <t>Out</t>
        </is>
      </c>
      <c r="F100" t="n">
        <v>5.08</v>
      </c>
      <c r="G100" t="inlineStr">
        <is>
          <t>AUTHORISED</t>
        </is>
      </c>
      <c r="H100" t="inlineStr">
        <is>
          <t>Yes</t>
        </is>
      </c>
      <c r="I100" t="inlineStr">
        <is>
          <t>bNCf</t>
        </is>
      </c>
      <c r="J100" t="inlineStr">
        <is>
          <t>Goods-tagged</t>
        </is>
      </c>
      <c r="K100">
        <f>IF(AND(G100="AUTHORISED",J100="Goods-tagged"),F100,0)</f>
        <v/>
      </c>
      <c r="L100" t="inlineStr">
        <is>
          <t>.</t>
        </is>
      </c>
      <c r="M100" t="inlineStr">
        <is>
          <t>ACT-ST</t>
        </is>
      </c>
      <c r="N100" t="n">
        <v>46223</v>
      </c>
    </row>
    <row r="101" ht="36" customHeight="1">
      <c r="A101" t="inlineStr">
        <is>
          <t>a8f8c588-25fe-46f3-939e-0f41f7d360c1</t>
        </is>
      </c>
      <c r="B101" t="inlineStr">
        <is>
          <t>Invoice payment</t>
        </is>
      </c>
      <c r="C101" s="162" t="n">
        <v>45888</v>
      </c>
      <c r="D101" t="inlineStr">
        <is>
          <t>Ti Tree Roadhouse</t>
        </is>
      </c>
      <c r="E101" t="inlineStr">
        <is>
          <t>Out</t>
        </is>
      </c>
      <c r="F101" t="n">
        <v>127.29</v>
      </c>
      <c r="G101" t="inlineStr">
        <is>
          <t>AUTHORISED</t>
        </is>
      </c>
      <c r="H101" t="inlineStr">
        <is>
          <t>Yes</t>
        </is>
      </c>
      <c r="I101" t="inlineStr">
        <is>
          <t>120380</t>
        </is>
      </c>
      <c r="J101" t="inlineStr">
        <is>
          <t>Goods-tagged</t>
        </is>
      </c>
      <c r="K101">
        <f>IF(AND(G101="AUTHORISED",J101="Goods-tagged"),F101,0)</f>
        <v/>
      </c>
      <c r="L101" t="inlineStr">
        <is>
          <t>.</t>
        </is>
      </c>
      <c r="M101" t="inlineStr">
        <is>
          <t>ACT-ST</t>
        </is>
      </c>
      <c r="N101" t="n">
        <v>46223</v>
      </c>
    </row>
    <row r="102" ht="36" customHeight="1">
      <c r="A102" t="inlineStr">
        <is>
          <t>b12c6351-f6c7-426f-ad10-f5bf6ab60356</t>
        </is>
      </c>
      <c r="B102" t="inlineStr">
        <is>
          <t>Invoice payment</t>
        </is>
      </c>
      <c r="C102" s="162" t="n">
        <v>45888</v>
      </c>
      <c r="D102" t="inlineStr">
        <is>
          <t>The Beet Bar</t>
        </is>
      </c>
      <c r="E102" t="inlineStr">
        <is>
          <t>Out</t>
        </is>
      </c>
      <c r="F102" t="n">
        <v>30.45</v>
      </c>
      <c r="G102" t="inlineStr">
        <is>
          <t>AUTHORISED</t>
        </is>
      </c>
      <c r="H102" t="inlineStr">
        <is>
          <t>Yes</t>
        </is>
      </c>
      <c r="I102" t="inlineStr">
        <is>
          <t>zD1K</t>
        </is>
      </c>
      <c r="J102" t="inlineStr">
        <is>
          <t>Goods-tagged</t>
        </is>
      </c>
      <c r="K102">
        <f>IF(AND(G102="AUTHORISED",J102="Goods-tagged"),F102,0)</f>
        <v/>
      </c>
      <c r="L102" t="inlineStr">
        <is>
          <t>. / .</t>
        </is>
      </c>
      <c r="M102" t="inlineStr">
        <is>
          <t>ACT-ST</t>
        </is>
      </c>
      <c r="N102" t="n">
        <v>46223</v>
      </c>
    </row>
    <row r="103" ht="36" customHeight="1">
      <c r="A103" t="inlineStr">
        <is>
          <t>cbee17b9-8ad9-49d3-b05c-65274e296332</t>
        </is>
      </c>
      <c r="B103" t="inlineStr">
        <is>
          <t>Invoice payment</t>
        </is>
      </c>
      <c r="C103" s="162" t="n">
        <v>45888</v>
      </c>
      <c r="D103" t="inlineStr">
        <is>
          <t>IGA</t>
        </is>
      </c>
      <c r="E103" t="inlineStr">
        <is>
          <t>Out</t>
        </is>
      </c>
      <c r="F103" t="n">
        <v>102.76</v>
      </c>
      <c r="G103" t="inlineStr">
        <is>
          <t>AUTHORISED</t>
        </is>
      </c>
      <c r="H103" t="inlineStr">
        <is>
          <t>Yes</t>
        </is>
      </c>
      <c r="I103" t="inlineStr">
        <is>
          <t>RB17783946530</t>
        </is>
      </c>
      <c r="J103" t="inlineStr">
        <is>
          <t>Goods-tagged</t>
        </is>
      </c>
      <c r="K103">
        <f>IF(AND(G103="AUTHORISED",J103="Goods-tagged"),F103,0)</f>
        <v/>
      </c>
      <c r="L103" t="inlineStr">
        <is>
          <t>. / .</t>
        </is>
      </c>
      <c r="M103" t="inlineStr">
        <is>
          <t>ACT-ST</t>
        </is>
      </c>
      <c r="N103" t="n">
        <v>46223</v>
      </c>
    </row>
    <row r="104" ht="36" customHeight="1">
      <c r="A104" t="inlineStr">
        <is>
          <t>1fe1d149-dfb8-4730-a5c9-ba58555d2383</t>
        </is>
      </c>
      <c r="B104" t="inlineStr">
        <is>
          <t>Invoice payment</t>
        </is>
      </c>
      <c r="C104" s="162" t="n">
        <v>45889</v>
      </c>
      <c r="D104" t="inlineStr">
        <is>
          <t>Defy Manufacturing</t>
        </is>
      </c>
      <c r="E104" t="inlineStr">
        <is>
          <t>Out</t>
        </is>
      </c>
      <c r="F104" t="n">
        <v>2640</v>
      </c>
      <c r="G104" t="inlineStr">
        <is>
          <t>AUTHORISED</t>
        </is>
      </c>
      <c r="H104" t="inlineStr">
        <is>
          <t>Yes</t>
        </is>
      </c>
      <c r="I104" t="inlineStr">
        <is>
          <t>INV-1325</t>
        </is>
      </c>
      <c r="J104" t="inlineStr">
        <is>
          <t>Goods-tagged</t>
        </is>
      </c>
      <c r="K104">
        <f>IF(AND(G104="AUTHORISED",J104="Goods-tagged"),F104,0)</f>
        <v/>
      </c>
      <c r="L104" t="inlineStr">
        <is>
          <t>.</t>
        </is>
      </c>
      <c r="M104" t="inlineStr">
        <is>
          <t>ACT-ST</t>
        </is>
      </c>
      <c r="N104" t="n">
        <v>46223</v>
      </c>
    </row>
    <row r="105" ht="36" customHeight="1">
      <c r="A105" t="inlineStr">
        <is>
          <t>2772ec2d-9ace-48e8-8305-c2a315b7d452</t>
        </is>
      </c>
      <c r="B105" t="inlineStr">
        <is>
          <t>Invoice payment</t>
        </is>
      </c>
      <c r="C105" s="162" t="n">
        <v>45889</v>
      </c>
      <c r="D105" t="inlineStr">
        <is>
          <t>Defy Manufacturing</t>
        </is>
      </c>
      <c r="E105" t="inlineStr">
        <is>
          <t>Out</t>
        </is>
      </c>
      <c r="F105" t="n">
        <v>1320</v>
      </c>
      <c r="G105" t="inlineStr">
        <is>
          <t>AUTHORISED</t>
        </is>
      </c>
      <c r="H105" t="inlineStr">
        <is>
          <t>Yes</t>
        </is>
      </c>
      <c r="I105" t="inlineStr">
        <is>
          <t>INV-1235</t>
        </is>
      </c>
      <c r="J105" t="inlineStr">
        <is>
          <t>Goods-tagged</t>
        </is>
      </c>
      <c r="K105">
        <f>IF(AND(G105="AUTHORISED",J105="Goods-tagged"),F105,0)</f>
        <v/>
      </c>
      <c r="L105" t="inlineStr">
        <is>
          <t>.</t>
        </is>
      </c>
      <c r="M105" t="inlineStr">
        <is>
          <t>ACT-ST</t>
        </is>
      </c>
      <c r="N105" t="n">
        <v>46223</v>
      </c>
    </row>
    <row r="106" ht="36" customHeight="1">
      <c r="A106" t="inlineStr">
        <is>
          <t>5c5c349d-4ba4-4365-ad0f-389a8a7358c5</t>
        </is>
      </c>
      <c r="B106" t="inlineStr">
        <is>
          <t>Invoice payment</t>
        </is>
      </c>
      <c r="C106" s="162" t="n">
        <v>45889</v>
      </c>
      <c r="D106" t="inlineStr">
        <is>
          <t>Bunnings Warehouse</t>
        </is>
      </c>
      <c r="E106" t="inlineStr">
        <is>
          <t>Out</t>
        </is>
      </c>
      <c r="F106" t="n">
        <v>265.8</v>
      </c>
      <c r="G106" t="inlineStr">
        <is>
          <t>AUTHORISED</t>
        </is>
      </c>
      <c r="H106" t="inlineStr">
        <is>
          <t>Yes</t>
        </is>
      </c>
      <c r="I106" t="inlineStr">
        <is>
          <t>002-07578-2325-2025-08-17</t>
        </is>
      </c>
      <c r="J106" t="inlineStr">
        <is>
          <t>Goods-tagged</t>
        </is>
      </c>
      <c r="K106">
        <f>IF(AND(G106="AUTHORISED",J106="Goods-tagged"),F106,0)</f>
        <v/>
      </c>
      <c r="L106" t="inlineStr">
        <is>
          <t>.</t>
        </is>
      </c>
      <c r="M106" t="inlineStr">
        <is>
          <t>ACT-ST</t>
        </is>
      </c>
      <c r="N106" t="n">
        <v>46223</v>
      </c>
    </row>
    <row r="107" ht="36" customHeight="1">
      <c r="A107" t="inlineStr">
        <is>
          <t>5da25dde-dcad-4de7-9e9a-917bc2cb648f</t>
        </is>
      </c>
      <c r="B107" t="inlineStr">
        <is>
          <t>Invoice payment</t>
        </is>
      </c>
      <c r="C107" s="162" t="n">
        <v>45889</v>
      </c>
      <c r="D107" t="inlineStr">
        <is>
          <t>The Townsville Store</t>
        </is>
      </c>
      <c r="E107" t="inlineStr">
        <is>
          <t>Out</t>
        </is>
      </c>
      <c r="F107" t="n">
        <v>107.46</v>
      </c>
      <c r="G107" t="inlineStr">
        <is>
          <t>AUTHORISED</t>
        </is>
      </c>
      <c r="H107" t="inlineStr">
        <is>
          <t>Yes</t>
        </is>
      </c>
      <c r="I107" t="inlineStr">
        <is>
          <t>20316</t>
        </is>
      </c>
      <c r="J107" t="inlineStr">
        <is>
          <t>Goods-tagged</t>
        </is>
      </c>
      <c r="K107">
        <f>IF(AND(G107="AUTHORISED",J107="Goods-tagged"),F107,0)</f>
        <v/>
      </c>
      <c r="L107" t="inlineStr">
        <is>
          <t>. / .</t>
        </is>
      </c>
      <c r="M107" t="inlineStr">
        <is>
          <t>ACT-ST</t>
        </is>
      </c>
      <c r="N107" t="n">
        <v>46223</v>
      </c>
    </row>
    <row r="108" ht="36" customHeight="1">
      <c r="A108" t="inlineStr">
        <is>
          <t>64af902e-b2e6-4868-b0af-eb9cb8b84adf</t>
        </is>
      </c>
      <c r="B108" t="inlineStr">
        <is>
          <t>Invoice payment</t>
        </is>
      </c>
      <c r="C108" s="162" t="n">
        <v>45889</v>
      </c>
      <c r="D108" t="inlineStr">
        <is>
          <t>Barkly Hardware Rural Supplies</t>
        </is>
      </c>
      <c r="E108" t="inlineStr">
        <is>
          <t>Out</t>
        </is>
      </c>
      <c r="F108" t="n">
        <v>67.15000000000001</v>
      </c>
      <c r="G108" t="inlineStr">
        <is>
          <t>AUTHORISED</t>
        </is>
      </c>
      <c r="H108" t="inlineStr">
        <is>
          <t>Yes</t>
        </is>
      </c>
      <c r="I108" t="inlineStr">
        <is>
          <t>104224493</t>
        </is>
      </c>
      <c r="J108" t="inlineStr">
        <is>
          <t>Goods-tagged</t>
        </is>
      </c>
      <c r="K108">
        <f>IF(AND(G108="AUTHORISED",J108="Goods-tagged"),F108,0)</f>
        <v/>
      </c>
      <c r="L108" t="inlineStr">
        <is>
          <t>.</t>
        </is>
      </c>
      <c r="M108" t="inlineStr">
        <is>
          <t>ACT-ST</t>
        </is>
      </c>
      <c r="N108" t="n">
        <v>46223</v>
      </c>
    </row>
    <row r="109" ht="36" customHeight="1">
      <c r="A109" t="inlineStr">
        <is>
          <t>69881dd7-2764-4c8a-8fd8-ee867bc9625b</t>
        </is>
      </c>
      <c r="B109" t="inlineStr">
        <is>
          <t>Invoice payment</t>
        </is>
      </c>
      <c r="C109" s="162" t="n">
        <v>45889</v>
      </c>
      <c r="D109" t="inlineStr">
        <is>
          <t>Little Rippers Lifestyles</t>
        </is>
      </c>
      <c r="E109" t="inlineStr">
        <is>
          <t>Out</t>
        </is>
      </c>
      <c r="F109" t="n">
        <v>50</v>
      </c>
      <c r="G109" t="inlineStr">
        <is>
          <t>AUTHORISED</t>
        </is>
      </c>
      <c r="H109" t="inlineStr">
        <is>
          <t>Yes</t>
        </is>
      </c>
      <c r="I109" t="inlineStr">
        <is>
          <t>1-01-335172</t>
        </is>
      </c>
      <c r="J109" t="inlineStr">
        <is>
          <t>Goods-tagged</t>
        </is>
      </c>
      <c r="K109">
        <f>IF(AND(G109="AUTHORISED",J109="Goods-tagged"),F109,0)</f>
        <v/>
      </c>
      <c r="L109" t="inlineStr">
        <is>
          <t>.</t>
        </is>
      </c>
      <c r="M109" t="inlineStr">
        <is>
          <t>ACT-ST</t>
        </is>
      </c>
      <c r="N109" t="n">
        <v>46223</v>
      </c>
    </row>
    <row r="110" ht="36" customHeight="1">
      <c r="A110" t="inlineStr">
        <is>
          <t>6a552aca-ae36-45b9-a663-b47886617162</t>
        </is>
      </c>
      <c r="B110" t="inlineStr">
        <is>
          <t>Invoice payment</t>
        </is>
      </c>
      <c r="C110" s="162" t="n">
        <v>45889</v>
      </c>
      <c r="D110" t="inlineStr">
        <is>
          <t>Adriana Beach</t>
        </is>
      </c>
      <c r="E110" t="inlineStr">
        <is>
          <t>Out</t>
        </is>
      </c>
      <c r="F110" t="n">
        <v>2000</v>
      </c>
      <c r="G110" t="inlineStr">
        <is>
          <t>AUTHORISED</t>
        </is>
      </c>
      <c r="H110" t="inlineStr">
        <is>
          <t>Yes</t>
        </is>
      </c>
      <c r="I110" t="inlineStr">
        <is>
          <t>AB INV 25-62</t>
        </is>
      </c>
      <c r="J110" t="inlineStr">
        <is>
          <t>Goods-tagged</t>
        </is>
      </c>
      <c r="K110">
        <f>IF(AND(G110="AUTHORISED",J110="Goods-tagged"),F110,0)</f>
        <v/>
      </c>
      <c r="L110" t="inlineStr">
        <is>
          <t>.</t>
        </is>
      </c>
      <c r="M110" t="inlineStr">
        <is>
          <t>ACT-ST</t>
        </is>
      </c>
      <c r="N110" t="n">
        <v>46223</v>
      </c>
    </row>
    <row r="111" ht="36" customHeight="1">
      <c r="A111" t="inlineStr">
        <is>
          <t>71015ae0-03bb-440e-a1a2-6c7df2ee397f</t>
        </is>
      </c>
      <c r="B111" t="inlineStr">
        <is>
          <t>Invoice payment</t>
        </is>
      </c>
      <c r="C111" s="162" t="n">
        <v>45889</v>
      </c>
      <c r="D111" t="inlineStr">
        <is>
          <t>BP</t>
        </is>
      </c>
      <c r="E111" t="inlineStr">
        <is>
          <t>Out</t>
        </is>
      </c>
      <c r="F111" t="n">
        <v>148.58</v>
      </c>
      <c r="G111" t="inlineStr">
        <is>
          <t>AUTHORISED</t>
        </is>
      </c>
      <c r="H111" t="inlineStr">
        <is>
          <t>Yes</t>
        </is>
      </c>
      <c r="I111" t="inlineStr">
        <is>
          <t>546680</t>
        </is>
      </c>
      <c r="J111" t="inlineStr">
        <is>
          <t>Goods-tagged</t>
        </is>
      </c>
      <c r="K111">
        <f>IF(AND(G111="AUTHORISED",J111="Goods-tagged"),F111,0)</f>
        <v/>
      </c>
      <c r="L111" t="inlineStr">
        <is>
          <t>. / .</t>
        </is>
      </c>
      <c r="M111" t="inlineStr">
        <is>
          <t>ACT-ST</t>
        </is>
      </c>
      <c r="N111" t="n">
        <v>46223</v>
      </c>
    </row>
    <row r="112" ht="36" customHeight="1">
      <c r="A112" t="inlineStr">
        <is>
          <t>7c4faced-9da2-4d33-b3a9-37e3f681ff5f</t>
        </is>
      </c>
      <c r="B112" t="inlineStr">
        <is>
          <t>Invoice payment</t>
        </is>
      </c>
      <c r="C112" s="162" t="n">
        <v>45889</v>
      </c>
      <c r="D112" t="inlineStr">
        <is>
          <t>BP</t>
        </is>
      </c>
      <c r="E112" t="inlineStr">
        <is>
          <t>Out</t>
        </is>
      </c>
      <c r="F112" t="n">
        <v>47.52</v>
      </c>
      <c r="G112" t="inlineStr">
        <is>
          <t>AUTHORISED</t>
        </is>
      </c>
      <c r="H112" t="inlineStr">
        <is>
          <t>Yes</t>
        </is>
      </c>
      <c r="I112" t="inlineStr">
        <is>
          <t>0954</t>
        </is>
      </c>
      <c r="J112" t="inlineStr">
        <is>
          <t>Goods-tagged</t>
        </is>
      </c>
      <c r="K112">
        <f>IF(AND(G112="AUTHORISED",J112="Goods-tagged"),F112,0)</f>
        <v/>
      </c>
      <c r="L112" t="inlineStr">
        <is>
          <t>. / .</t>
        </is>
      </c>
      <c r="M112" t="inlineStr">
        <is>
          <t>ACT-ST</t>
        </is>
      </c>
      <c r="N112" t="n">
        <v>46223</v>
      </c>
    </row>
    <row r="113" ht="36" customHeight="1">
      <c r="A113" t="inlineStr">
        <is>
          <t>a2c2b749-9849-455e-a79b-19a04272a1b1</t>
        </is>
      </c>
      <c r="B113" t="inlineStr">
        <is>
          <t>Invoice payment</t>
        </is>
      </c>
      <c r="C113" s="162" t="n">
        <v>45889</v>
      </c>
      <c r="D113" t="inlineStr">
        <is>
          <t>Todd Tavern</t>
        </is>
      </c>
      <c r="E113" t="inlineStr">
        <is>
          <t>Out</t>
        </is>
      </c>
      <c r="F113" t="n">
        <v>137.57</v>
      </c>
      <c r="G113" t="inlineStr">
        <is>
          <t>AUTHORISED</t>
        </is>
      </c>
      <c r="H113" t="inlineStr">
        <is>
          <t>Yes</t>
        </is>
      </c>
      <c r="I113" t="inlineStr">
        <is>
          <t>37066026</t>
        </is>
      </c>
      <c r="J113" t="inlineStr">
        <is>
          <t>Goods-tagged</t>
        </is>
      </c>
      <c r="K113">
        <f>IF(AND(G113="AUTHORISED",J113="Goods-tagged"),F113,0)</f>
        <v/>
      </c>
      <c r="L113" t="inlineStr">
        <is>
          <t>.</t>
        </is>
      </c>
      <c r="M113" t="inlineStr">
        <is>
          <t>ACT-ST</t>
        </is>
      </c>
      <c r="N113" t="n">
        <v>46223</v>
      </c>
    </row>
    <row r="114" ht="36" customHeight="1">
      <c r="A114" t="inlineStr">
        <is>
          <t>b3000ec4-3c0f-436c-b261-0c50e31e0c44</t>
        </is>
      </c>
      <c r="B114" t="inlineStr">
        <is>
          <t>Invoice payment</t>
        </is>
      </c>
      <c r="C114" s="162" t="n">
        <v>45889</v>
      </c>
      <c r="D114" t="inlineStr">
        <is>
          <t>Tennant Creek Caravan Park</t>
        </is>
      </c>
      <c r="E114" t="inlineStr">
        <is>
          <t>Out</t>
        </is>
      </c>
      <c r="F114" t="n">
        <v>630</v>
      </c>
      <c r="G114" t="inlineStr">
        <is>
          <t>AUTHORISED</t>
        </is>
      </c>
      <c r="H114" t="inlineStr">
        <is>
          <t>Yes</t>
        </is>
      </c>
      <c r="I114" t="inlineStr">
        <is>
          <t>RB17784059670</t>
        </is>
      </c>
      <c r="J114" t="inlineStr">
        <is>
          <t>Goods-tagged</t>
        </is>
      </c>
      <c r="K114">
        <f>IF(AND(G114="AUTHORISED",J114="Goods-tagged"),F114,0)</f>
        <v/>
      </c>
      <c r="L114" t="inlineStr">
        <is>
          <t>.</t>
        </is>
      </c>
      <c r="M114" t="inlineStr">
        <is>
          <t>ACT-ST</t>
        </is>
      </c>
      <c r="N114" t="n">
        <v>46223</v>
      </c>
    </row>
    <row r="115" ht="36" customHeight="1">
      <c r="A115" t="inlineStr">
        <is>
          <t>b6a1ffb7-27a8-428d-a1a2-fa7c6deaba75</t>
        </is>
      </c>
      <c r="B115" t="inlineStr">
        <is>
          <t>Invoice payment</t>
        </is>
      </c>
      <c r="C115" s="162" t="n">
        <v>45889</v>
      </c>
      <c r="D115" t="inlineStr">
        <is>
          <t>IGA</t>
        </is>
      </c>
      <c r="E115" t="inlineStr">
        <is>
          <t>Out</t>
        </is>
      </c>
      <c r="F115" t="n">
        <v>191.77</v>
      </c>
      <c r="G115" t="inlineStr">
        <is>
          <t>AUTHORISED</t>
        </is>
      </c>
      <c r="H115" t="inlineStr">
        <is>
          <t>Yes</t>
        </is>
      </c>
      <c r="I115" t="inlineStr">
        <is>
          <t>RB17794037710</t>
        </is>
      </c>
      <c r="J115" t="inlineStr">
        <is>
          <t>Goods-tagged</t>
        </is>
      </c>
      <c r="K115">
        <f>IF(AND(G115="AUTHORISED",J115="Goods-tagged"),F115,0)</f>
        <v/>
      </c>
      <c r="L115" t="inlineStr">
        <is>
          <t>.</t>
        </is>
      </c>
      <c r="M115" t="inlineStr">
        <is>
          <t>ACT-ST</t>
        </is>
      </c>
      <c r="N115" t="n">
        <v>46223</v>
      </c>
    </row>
    <row r="116" ht="36" customHeight="1">
      <c r="A116" t="inlineStr">
        <is>
          <t>629201e3-93c6-433e-b32e-2511f2aa5ec6</t>
        </is>
      </c>
      <c r="B116" t="inlineStr">
        <is>
          <t>Invoice payment</t>
        </is>
      </c>
      <c r="C116" s="162" t="n">
        <v>45890</v>
      </c>
      <c r="D116" t="inlineStr">
        <is>
          <t>Ti Tree Roadhouse</t>
        </is>
      </c>
      <c r="E116" t="inlineStr">
        <is>
          <t>Out</t>
        </is>
      </c>
      <c r="F116" t="n">
        <v>110.22</v>
      </c>
      <c r="G116" t="inlineStr">
        <is>
          <t>AUTHORISED</t>
        </is>
      </c>
      <c r="H116" t="inlineStr">
        <is>
          <t>Yes</t>
        </is>
      </c>
      <c r="I116" t="inlineStr">
        <is>
          <t>120839</t>
        </is>
      </c>
      <c r="J116" t="inlineStr">
        <is>
          <t>Goods-tagged</t>
        </is>
      </c>
      <c r="K116">
        <f>IF(AND(G116="AUTHORISED",J116="Goods-tagged"),F116,0)</f>
        <v/>
      </c>
      <c r="L116" t="inlineStr">
        <is>
          <t>.</t>
        </is>
      </c>
      <c r="M116" t="inlineStr">
        <is>
          <t>ACT-ST</t>
        </is>
      </c>
      <c r="N116" t="n">
        <v>46223</v>
      </c>
    </row>
    <row r="117" ht="36" customHeight="1">
      <c r="A117" t="inlineStr">
        <is>
          <t>6c898048-3223-44f8-b715-ab96e9eb35c1</t>
        </is>
      </c>
      <c r="B117" t="inlineStr">
        <is>
          <t>Invoice payment</t>
        </is>
      </c>
      <c r="C117" s="162" t="n">
        <v>45890</v>
      </c>
      <c r="D117" t="inlineStr">
        <is>
          <t>United</t>
        </is>
      </c>
      <c r="E117" t="inlineStr">
        <is>
          <t>Out</t>
        </is>
      </c>
      <c r="F117" t="n">
        <v>79.65000000000001</v>
      </c>
      <c r="G117" t="inlineStr">
        <is>
          <t>AUTHORISED</t>
        </is>
      </c>
      <c r="H117" t="inlineStr">
        <is>
          <t>Yes</t>
        </is>
      </c>
      <c r="I117" t="inlineStr">
        <is>
          <t>944118</t>
        </is>
      </c>
      <c r="J117" t="inlineStr">
        <is>
          <t>Goods-tagged</t>
        </is>
      </c>
      <c r="K117">
        <f>IF(AND(G117="AUTHORISED",J117="Goods-tagged"),F117,0)</f>
        <v/>
      </c>
      <c r="L117" t="inlineStr">
        <is>
          <t>. / .</t>
        </is>
      </c>
      <c r="M117" t="inlineStr">
        <is>
          <t>ACT-ST</t>
        </is>
      </c>
      <c r="N117" t="n">
        <v>46223</v>
      </c>
    </row>
    <row r="118" ht="36" customHeight="1">
      <c r="A118" t="inlineStr">
        <is>
          <t>8292524d-e6e9-44e2-b9be-f07635fb472d</t>
        </is>
      </c>
      <c r="B118" t="inlineStr">
        <is>
          <t>Invoice payment</t>
        </is>
      </c>
      <c r="C118" s="162" t="n">
        <v>45890</v>
      </c>
      <c r="D118" t="inlineStr">
        <is>
          <t>BP</t>
        </is>
      </c>
      <c r="E118" t="inlineStr">
        <is>
          <t>Out</t>
        </is>
      </c>
      <c r="F118" t="n">
        <v>80.94</v>
      </c>
      <c r="G118" t="inlineStr">
        <is>
          <t>AUTHORISED</t>
        </is>
      </c>
      <c r="H118" t="inlineStr">
        <is>
          <t>Yes</t>
        </is>
      </c>
      <c r="I118" t="inlineStr">
        <is>
          <t>546993</t>
        </is>
      </c>
      <c r="J118" t="inlineStr">
        <is>
          <t>Goods-tagged</t>
        </is>
      </c>
      <c r="K118">
        <f>IF(AND(G118="AUTHORISED",J118="Goods-tagged"),F118,0)</f>
        <v/>
      </c>
      <c r="L118" t="inlineStr">
        <is>
          <t>.</t>
        </is>
      </c>
      <c r="M118" t="inlineStr">
        <is>
          <t>ACT-ST</t>
        </is>
      </c>
      <c r="N118" t="n">
        <v>46223</v>
      </c>
    </row>
    <row r="119" ht="36" customHeight="1">
      <c r="A119" t="inlineStr">
        <is>
          <t>48acbba1-9193-4229-a2b9-81a6da791dfd</t>
        </is>
      </c>
      <c r="B119" t="inlineStr">
        <is>
          <t>Invoice payment</t>
        </is>
      </c>
      <c r="C119" s="162" t="n">
        <v>45894</v>
      </c>
      <c r="D119" t="inlineStr">
        <is>
          <t>Page 27</t>
        </is>
      </c>
      <c r="E119" t="inlineStr">
        <is>
          <t>Out</t>
        </is>
      </c>
      <c r="F119" t="n">
        <v>18.07</v>
      </c>
      <c r="G119" t="inlineStr">
        <is>
          <t>AUTHORISED</t>
        </is>
      </c>
      <c r="H119" t="inlineStr">
        <is>
          <t>Yes</t>
        </is>
      </c>
      <c r="I119" t="inlineStr">
        <is>
          <t>682720</t>
        </is>
      </c>
      <c r="J119" t="inlineStr">
        <is>
          <t>Goods-tagged</t>
        </is>
      </c>
      <c r="K119">
        <f>IF(AND(G119="AUTHORISED",J119="Goods-tagged"),F119,0)</f>
        <v/>
      </c>
      <c r="L119" t="inlineStr">
        <is>
          <t>.</t>
        </is>
      </c>
      <c r="M119" t="inlineStr">
        <is>
          <t>ACT-ST</t>
        </is>
      </c>
      <c r="N119" t="n">
        <v>46223</v>
      </c>
    </row>
    <row r="120" ht="36" customHeight="1">
      <c r="A120" t="inlineStr">
        <is>
          <t>a1893208-5237-48f7-b768-bbc6f6546113</t>
        </is>
      </c>
      <c r="B120" t="inlineStr">
        <is>
          <t>Invoice payment</t>
        </is>
      </c>
      <c r="C120" s="162" t="n">
        <v>45894</v>
      </c>
      <c r="D120" t="inlineStr">
        <is>
          <t>Page 27</t>
        </is>
      </c>
      <c r="E120" t="inlineStr">
        <is>
          <t>Out</t>
        </is>
      </c>
      <c r="F120" t="n">
        <v>43.95</v>
      </c>
      <c r="G120" t="inlineStr">
        <is>
          <t>AUTHORISED</t>
        </is>
      </c>
      <c r="H120" t="inlineStr">
        <is>
          <t>Yes</t>
        </is>
      </c>
      <c r="I120" t="inlineStr">
        <is>
          <t>682693</t>
        </is>
      </c>
      <c r="J120" t="inlineStr">
        <is>
          <t>Goods-tagged</t>
        </is>
      </c>
      <c r="K120">
        <f>IF(AND(G120="AUTHORISED",J120="Goods-tagged"),F120,0)</f>
        <v/>
      </c>
      <c r="L120" t="inlineStr">
        <is>
          <t>.</t>
        </is>
      </c>
      <c r="M120" t="inlineStr">
        <is>
          <t>ACT-ST</t>
        </is>
      </c>
      <c r="N120" t="n">
        <v>46223</v>
      </c>
    </row>
    <row r="121" ht="36" customHeight="1">
      <c r="A121" t="inlineStr">
        <is>
          <t>e6526f46-ec2a-4fae-9b25-fe2cab8c2522</t>
        </is>
      </c>
      <c r="B121" t="inlineStr">
        <is>
          <t>Invoice payment</t>
        </is>
      </c>
      <c r="C121" s="162" t="n">
        <v>45894</v>
      </c>
      <c r="D121" t="inlineStr">
        <is>
          <t>Liberty Maleny</t>
        </is>
      </c>
      <c r="E121" t="inlineStr">
        <is>
          <t>Out</t>
        </is>
      </c>
      <c r="F121" t="n">
        <v>251.65</v>
      </c>
      <c r="G121" t="inlineStr">
        <is>
          <t>AUTHORISED</t>
        </is>
      </c>
      <c r="H121" t="inlineStr">
        <is>
          <t>Yes</t>
        </is>
      </c>
      <c r="I121" t="inlineStr">
        <is>
          <t>689680-6</t>
        </is>
      </c>
      <c r="J121" t="inlineStr">
        <is>
          <t>Goods-tagged</t>
        </is>
      </c>
      <c r="K121">
        <f>IF(AND(G121="AUTHORISED",J121="Goods-tagged"),F121,0)</f>
        <v/>
      </c>
      <c r="L121" t="inlineStr">
        <is>
          <t>Fuel - Diesel</t>
        </is>
      </c>
      <c r="M121" t="inlineStr">
        <is>
          <t>ACT-ST</t>
        </is>
      </c>
      <c r="N121" t="n">
        <v>46223</v>
      </c>
    </row>
    <row r="122" ht="36" customHeight="1">
      <c r="A122" t="inlineStr">
        <is>
          <t>fb42b1ea-e986-4675-8abb-3ab0e45dd2a1</t>
        </is>
      </c>
      <c r="B122" t="inlineStr">
        <is>
          <t>Invoice payment</t>
        </is>
      </c>
      <c r="C122" s="162" t="n">
        <v>45894</v>
      </c>
      <c r="D122" t="inlineStr">
        <is>
          <t>Page 27</t>
        </is>
      </c>
      <c r="E122" t="inlineStr">
        <is>
          <t>Out</t>
        </is>
      </c>
      <c r="F122" t="n">
        <v>24.26</v>
      </c>
      <c r="G122" t="inlineStr">
        <is>
          <t>AUTHORISED</t>
        </is>
      </c>
      <c r="H122" t="inlineStr">
        <is>
          <t>Yes</t>
        </is>
      </c>
      <c r="I122" t="inlineStr">
        <is>
          <t>682718</t>
        </is>
      </c>
      <c r="J122" t="inlineStr">
        <is>
          <t>Goods-tagged</t>
        </is>
      </c>
      <c r="K122">
        <f>IF(AND(G122="AUTHORISED",J122="Goods-tagged"),F122,0)</f>
        <v/>
      </c>
      <c r="L122" t="inlineStr">
        <is>
          <t>.</t>
        </is>
      </c>
      <c r="M122" t="inlineStr">
        <is>
          <t>ACT-ST</t>
        </is>
      </c>
      <c r="N122" t="n">
        <v>46211</v>
      </c>
    </row>
    <row r="123" ht="36" customHeight="1">
      <c r="A123" t="inlineStr">
        <is>
          <t>b6b4a9a8-e68b-42df-9983-9c0bcceea3a9</t>
        </is>
      </c>
      <c r="B123" t="inlineStr">
        <is>
          <t>Invoice payment</t>
        </is>
      </c>
      <c r="C123" s="162" t="n">
        <v>45895</v>
      </c>
      <c r="D123" t="inlineStr">
        <is>
          <t>Bunnings Warehouse</t>
        </is>
      </c>
      <c r="E123" t="inlineStr">
        <is>
          <t>Out</t>
        </is>
      </c>
      <c r="F123" t="n">
        <v>1270.4</v>
      </c>
      <c r="G123" t="inlineStr">
        <is>
          <t>AUTHORISED</t>
        </is>
      </c>
      <c r="H123" t="inlineStr">
        <is>
          <t>Yes</t>
        </is>
      </c>
      <c r="I123" t="inlineStr">
        <is>
          <t>013-93223-6079-2025-08-23</t>
        </is>
      </c>
      <c r="J123" t="inlineStr">
        <is>
          <t>Goods-tagged</t>
        </is>
      </c>
      <c r="K123">
        <f>IF(AND(G123="AUTHORISED",J123="Goods-tagged"),F123,0)</f>
        <v/>
      </c>
      <c r="L123" t="inlineStr">
        <is>
          <t>.</t>
        </is>
      </c>
      <c r="M123" t="inlineStr">
        <is>
          <t>ACT-ST</t>
        </is>
      </c>
      <c r="N123" t="n">
        <v>46223</v>
      </c>
    </row>
    <row r="124" ht="36" customHeight="1">
      <c r="A124" t="inlineStr">
        <is>
          <t>bfad0a02-437a-4b48-912d-f1e1a5af1fef</t>
        </is>
      </c>
      <c r="B124" t="inlineStr">
        <is>
          <t>Invoice payment</t>
        </is>
      </c>
      <c r="C124" s="162" t="n">
        <v>45909</v>
      </c>
      <c r="D124" t="inlineStr">
        <is>
          <t>Bunnings Warehouse</t>
        </is>
      </c>
      <c r="E124" t="inlineStr">
        <is>
          <t>Out</t>
        </is>
      </c>
      <c r="F124" t="n">
        <v>1073.88</v>
      </c>
      <c r="G124" t="inlineStr">
        <is>
          <t>AUTHORISED</t>
        </is>
      </c>
      <c r="H124" t="inlineStr">
        <is>
          <t>Yes</t>
        </is>
      </c>
      <c r="I124" t="inlineStr">
        <is>
          <t>008-10107-8220-2025-09-06</t>
        </is>
      </c>
      <c r="J124" t="inlineStr">
        <is>
          <t>Goods-tagged</t>
        </is>
      </c>
      <c r="K124">
        <f>IF(AND(G124="AUTHORISED",J124="Goods-tagged"),F124,0)</f>
        <v/>
      </c>
      <c r="L124" t="inlineStr">
        <is>
          <t>.</t>
        </is>
      </c>
      <c r="M124" t="inlineStr">
        <is>
          <t>ACT-ST</t>
        </is>
      </c>
      <c r="N124" t="n">
        <v>46223</v>
      </c>
    </row>
    <row r="125" ht="36" customHeight="1">
      <c r="A125" t="inlineStr">
        <is>
          <t>3249a9bd-3ea4-43e4-881d-bb568b3e814b</t>
        </is>
      </c>
      <c r="B125" t="inlineStr">
        <is>
          <t>Invoice payment</t>
        </is>
      </c>
      <c r="C125" s="162" t="n">
        <v>45915</v>
      </c>
      <c r="D125" t="inlineStr">
        <is>
          <t>The Big Winch</t>
        </is>
      </c>
      <c r="E125" t="inlineStr">
        <is>
          <t>Out</t>
        </is>
      </c>
      <c r="F125" t="n">
        <v>37.53</v>
      </c>
      <c r="G125" t="inlineStr">
        <is>
          <t>AUTHORISED</t>
        </is>
      </c>
      <c r="H125" t="inlineStr">
        <is>
          <t>Yes</t>
        </is>
      </c>
      <c r="I125" t="inlineStr">
        <is>
          <t>14185</t>
        </is>
      </c>
      <c r="J125" t="inlineStr">
        <is>
          <t>Goods-tagged</t>
        </is>
      </c>
      <c r="K125">
        <f>IF(AND(G125="AUTHORISED",J125="Goods-tagged"),F125,0)</f>
        <v/>
      </c>
      <c r="L125" t="inlineStr">
        <is>
          <t>.</t>
        </is>
      </c>
      <c r="M125" t="inlineStr">
        <is>
          <t>ACT-ST</t>
        </is>
      </c>
      <c r="N125" t="n">
        <v>46223</v>
      </c>
    </row>
    <row r="126" ht="36" customHeight="1">
      <c r="A126" t="inlineStr">
        <is>
          <t>7fa88ed7-06b9-4de7-8eee-797584803ea9</t>
        </is>
      </c>
      <c r="B126" t="inlineStr">
        <is>
          <t>Invoice payment</t>
        </is>
      </c>
      <c r="C126" s="162" t="n">
        <v>45915</v>
      </c>
      <c r="D126" t="inlineStr">
        <is>
          <t>Repco</t>
        </is>
      </c>
      <c r="E126" t="inlineStr">
        <is>
          <t>Out</t>
        </is>
      </c>
      <c r="F126" t="n">
        <v>384</v>
      </c>
      <c r="G126" t="inlineStr">
        <is>
          <t>AUTHORISED</t>
        </is>
      </c>
      <c r="H126" t="inlineStr">
        <is>
          <t>Yes</t>
        </is>
      </c>
      <c r="I126" t="inlineStr">
        <is>
          <t>412364586</t>
        </is>
      </c>
      <c r="J126" t="inlineStr">
        <is>
          <t>Goods-tagged</t>
        </is>
      </c>
      <c r="K126">
        <f>IF(AND(G126="AUTHORISED",J126="Goods-tagged"),F126,0)</f>
        <v/>
      </c>
      <c r="L126" t="inlineStr">
        <is>
          <t>.</t>
        </is>
      </c>
      <c r="M126" t="inlineStr">
        <is>
          <t>ACT-ST</t>
        </is>
      </c>
      <c r="N126" t="n">
        <v>46223</v>
      </c>
    </row>
    <row r="127" ht="36" customHeight="1">
      <c r="A127" t="inlineStr">
        <is>
          <t>8f13230f-b4eb-4e50-962b-42c11204919b</t>
        </is>
      </c>
      <c r="B127" t="inlineStr">
        <is>
          <t>Invoice payment</t>
        </is>
      </c>
      <c r="C127" s="162" t="n">
        <v>45915</v>
      </c>
      <c r="D127" t="inlineStr">
        <is>
          <t>Ampol</t>
        </is>
      </c>
      <c r="E127" t="inlineStr">
        <is>
          <t>Out</t>
        </is>
      </c>
      <c r="F127" t="n">
        <v>35</v>
      </c>
      <c r="G127" t="inlineStr">
        <is>
          <t>AUTHORISED</t>
        </is>
      </c>
      <c r="H127" t="inlineStr">
        <is>
          <t>Yes</t>
        </is>
      </c>
      <c r="I127" t="inlineStr">
        <is>
          <t>03034</t>
        </is>
      </c>
      <c r="J127" t="inlineStr">
        <is>
          <t>Goods-tagged</t>
        </is>
      </c>
      <c r="K127">
        <f>IF(AND(G127="AUTHORISED",J127="Goods-tagged"),F127,0)</f>
        <v/>
      </c>
      <c r="L127" t="inlineStr">
        <is>
          <t>.</t>
        </is>
      </c>
      <c r="M127" t="inlineStr">
        <is>
          <t>ACT-ST</t>
        </is>
      </c>
      <c r="N127" t="n">
        <v>46223</v>
      </c>
    </row>
    <row r="128" ht="36" customHeight="1">
      <c r="A128" t="inlineStr">
        <is>
          <t>8f48297b-baee-4cc3-90f3-34d29eaa543d</t>
        </is>
      </c>
      <c r="B128" t="inlineStr">
        <is>
          <t>Invoice payment</t>
        </is>
      </c>
      <c r="C128" s="162" t="n">
        <v>45915</v>
      </c>
      <c r="D128" t="inlineStr">
        <is>
          <t>Ampol</t>
        </is>
      </c>
      <c r="E128" t="inlineStr">
        <is>
          <t>Out</t>
        </is>
      </c>
      <c r="F128" t="n">
        <v>92.65000000000001</v>
      </c>
      <c r="G128" t="inlineStr">
        <is>
          <t>AUTHORISED</t>
        </is>
      </c>
      <c r="H128" t="inlineStr">
        <is>
          <t>Yes</t>
        </is>
      </c>
      <c r="I128" t="inlineStr">
        <is>
          <t>03033</t>
        </is>
      </c>
      <c r="J128" t="inlineStr">
        <is>
          <t>Goods-tagged</t>
        </is>
      </c>
      <c r="K128">
        <f>IF(AND(G128="AUTHORISED",J128="Goods-tagged"),F128,0)</f>
        <v/>
      </c>
      <c r="L128" t="inlineStr">
        <is>
          <t>. / .</t>
        </is>
      </c>
      <c r="M128" t="inlineStr">
        <is>
          <t>ACT-ST</t>
        </is>
      </c>
      <c r="N128" t="n">
        <v>46223</v>
      </c>
    </row>
    <row r="129" ht="36" customHeight="1">
      <c r="A129" t="inlineStr">
        <is>
          <t>fea65f97-acec-440e-a31a-889b5dbbc11f</t>
        </is>
      </c>
      <c r="B129" t="inlineStr">
        <is>
          <t>Invoice payment</t>
        </is>
      </c>
      <c r="C129" s="162" t="n">
        <v>45915</v>
      </c>
      <c r="D129" t="inlineStr">
        <is>
          <t>Reddy Express</t>
        </is>
      </c>
      <c r="E129" t="inlineStr">
        <is>
          <t>Out</t>
        </is>
      </c>
      <c r="F129" t="n">
        <v>59.6</v>
      </c>
      <c r="G129" t="inlineStr">
        <is>
          <t>AUTHORISED</t>
        </is>
      </c>
      <c r="H129" t="inlineStr">
        <is>
          <t>Yes</t>
        </is>
      </c>
      <c r="I129" t="inlineStr">
        <is>
          <t>RB18040252870</t>
        </is>
      </c>
      <c r="J129" t="inlineStr">
        <is>
          <t>Goods-tagged</t>
        </is>
      </c>
      <c r="K129">
        <f>IF(AND(G129="AUTHORISED",J129="Goods-tagged"),F129,0)</f>
        <v/>
      </c>
      <c r="L129" t="inlineStr">
        <is>
          <t>.</t>
        </is>
      </c>
      <c r="M129" t="inlineStr">
        <is>
          <t>ACT-ST</t>
        </is>
      </c>
      <c r="N129" t="n">
        <v>46223</v>
      </c>
    </row>
    <row r="130" ht="36" customHeight="1">
      <c r="A130" t="inlineStr">
        <is>
          <t>0b9c5b4d-03b8-4cd0-ac4f-c290e59f73c2</t>
        </is>
      </c>
      <c r="B130" t="inlineStr">
        <is>
          <t>Invoice payment</t>
        </is>
      </c>
      <c r="C130" s="162" t="n">
        <v>45916</v>
      </c>
      <c r="D130" t="inlineStr">
        <is>
          <t>BP</t>
        </is>
      </c>
      <c r="E130" t="inlineStr">
        <is>
          <t>Out</t>
        </is>
      </c>
      <c r="F130" t="n">
        <v>60.61</v>
      </c>
      <c r="G130" t="inlineStr">
        <is>
          <t>AUTHORISED</t>
        </is>
      </c>
      <c r="H130" t="inlineStr">
        <is>
          <t>Yes</t>
        </is>
      </c>
      <c r="I130" t="inlineStr">
        <is>
          <t>00053426</t>
        </is>
      </c>
      <c r="J130" t="inlineStr">
        <is>
          <t>Goods-tagged</t>
        </is>
      </c>
      <c r="K130">
        <f>IF(AND(G130="AUTHORISED",J130="Goods-tagged"),F130,0)</f>
        <v/>
      </c>
      <c r="L130" t="inlineStr">
        <is>
          <t>.</t>
        </is>
      </c>
      <c r="M130" t="inlineStr">
        <is>
          <t>ACT-ST</t>
        </is>
      </c>
      <c r="N130" t="n">
        <v>46223</v>
      </c>
    </row>
    <row r="131" ht="36" customHeight="1">
      <c r="A131" t="inlineStr">
        <is>
          <t>6aa6a81a-b7af-47c4-8b76-0affb3ed1f47</t>
        </is>
      </c>
      <c r="B131" t="inlineStr">
        <is>
          <t>Invoice payment</t>
        </is>
      </c>
      <c r="C131" s="162" t="n">
        <v>45916</v>
      </c>
      <c r="D131" t="inlineStr">
        <is>
          <t>Erldunda Roadhouse</t>
        </is>
      </c>
      <c r="E131" t="inlineStr">
        <is>
          <t>Out</t>
        </is>
      </c>
      <c r="F131" t="n">
        <v>126.45</v>
      </c>
      <c r="G131" t="inlineStr">
        <is>
          <t>AUTHORISED</t>
        </is>
      </c>
      <c r="H131" t="inlineStr">
        <is>
          <t>Yes</t>
        </is>
      </c>
      <c r="I131" t="inlineStr">
        <is>
          <t>162890</t>
        </is>
      </c>
      <c r="J131" t="inlineStr">
        <is>
          <t>Goods-tagged</t>
        </is>
      </c>
      <c r="K131">
        <f>IF(AND(G131="AUTHORISED",J131="Goods-tagged"),F131,0)</f>
        <v/>
      </c>
      <c r="L131" t="inlineStr">
        <is>
          <t>.</t>
        </is>
      </c>
      <c r="M131" t="inlineStr">
        <is>
          <t>ACT-ST</t>
        </is>
      </c>
      <c r="N131" t="n">
        <v>46223</v>
      </c>
    </row>
    <row r="132" ht="36" customHeight="1">
      <c r="A132" t="inlineStr">
        <is>
          <t>badbd4ad-cbeb-42e5-8a60-6246bf556d07</t>
        </is>
      </c>
      <c r="B132" t="inlineStr">
        <is>
          <t>Invoice payment</t>
        </is>
      </c>
      <c r="C132" s="162" t="n">
        <v>45916</v>
      </c>
      <c r="D132" t="inlineStr">
        <is>
          <t>Marla Travellers Rest</t>
        </is>
      </c>
      <c r="E132" t="inlineStr">
        <is>
          <t>Out</t>
        </is>
      </c>
      <c r="F132" t="n">
        <v>102.01</v>
      </c>
      <c r="G132" t="inlineStr">
        <is>
          <t>AUTHORISED</t>
        </is>
      </c>
      <c r="H132" t="inlineStr">
        <is>
          <t>Yes</t>
        </is>
      </c>
      <c r="I132" t="inlineStr">
        <is>
          <t>00067463</t>
        </is>
      </c>
      <c r="J132" t="inlineStr">
        <is>
          <t>Goods-tagged</t>
        </is>
      </c>
      <c r="K132">
        <f>IF(AND(G132="AUTHORISED",J132="Goods-tagged"),F132,0)</f>
        <v/>
      </c>
      <c r="L132" t="inlineStr">
        <is>
          <t>.</t>
        </is>
      </c>
      <c r="M132" t="inlineStr">
        <is>
          <t>ACT-ST</t>
        </is>
      </c>
      <c r="N132" t="n">
        <v>46223</v>
      </c>
    </row>
    <row r="133" ht="36" customHeight="1">
      <c r="A133" t="inlineStr">
        <is>
          <t>cbfeaeb9-230a-4aed-a64d-574f6bb25170</t>
        </is>
      </c>
      <c r="B133" t="inlineStr">
        <is>
          <t>Invoice payment</t>
        </is>
      </c>
      <c r="C133" s="162" t="n">
        <v>45916</v>
      </c>
      <c r="D133" t="inlineStr">
        <is>
          <t>Shell</t>
        </is>
      </c>
      <c r="E133" t="inlineStr">
        <is>
          <t>Out</t>
        </is>
      </c>
      <c r="F133" t="n">
        <v>141.03</v>
      </c>
      <c r="G133" t="inlineStr">
        <is>
          <t>AUTHORISED</t>
        </is>
      </c>
      <c r="H133" t="inlineStr">
        <is>
          <t>Yes</t>
        </is>
      </c>
      <c r="I133" t="inlineStr">
        <is>
          <t>00419642</t>
        </is>
      </c>
      <c r="J133" t="inlineStr">
        <is>
          <t>Goods-tagged</t>
        </is>
      </c>
      <c r="K133">
        <f>IF(AND(G133="AUTHORISED",J133="Goods-tagged"),F133,0)</f>
        <v/>
      </c>
      <c r="L133" t="inlineStr">
        <is>
          <t>.</t>
        </is>
      </c>
      <c r="M133" t="inlineStr">
        <is>
          <t>ACT-ST</t>
        </is>
      </c>
      <c r="N133" t="n">
        <v>46223</v>
      </c>
    </row>
    <row r="134" ht="36" customHeight="1">
      <c r="A134" t="inlineStr">
        <is>
          <t>50e60ed1-6f1d-4f7e-8896-36d54538b405</t>
        </is>
      </c>
      <c r="B134" t="inlineStr">
        <is>
          <t>Invoice payment</t>
        </is>
      </c>
      <c r="C134" s="162" t="n">
        <v>45917</v>
      </c>
      <c r="D134" t="inlineStr">
        <is>
          <t>United</t>
        </is>
      </c>
      <c r="E134" t="inlineStr">
        <is>
          <t>Out</t>
        </is>
      </c>
      <c r="F134" t="n">
        <v>82.66</v>
      </c>
      <c r="G134" t="inlineStr">
        <is>
          <t>AUTHORISED</t>
        </is>
      </c>
      <c r="H134" t="inlineStr">
        <is>
          <t>Yes</t>
        </is>
      </c>
      <c r="I134" t="inlineStr">
        <is>
          <t>958961</t>
        </is>
      </c>
      <c r="J134" t="inlineStr">
        <is>
          <t>Goods-tagged</t>
        </is>
      </c>
      <c r="K134">
        <f>IF(AND(G134="AUTHORISED",J134="Goods-tagged"),F134,0)</f>
        <v/>
      </c>
      <c r="L134" t="inlineStr">
        <is>
          <t>. / .</t>
        </is>
      </c>
      <c r="M134" t="inlineStr">
        <is>
          <t>ACT-ST</t>
        </is>
      </c>
      <c r="N134" t="n">
        <v>46223</v>
      </c>
    </row>
    <row r="135" ht="36" customHeight="1">
      <c r="A135" t="inlineStr">
        <is>
          <t>71c14869-e2c7-40a9-afcd-badc33b437ca</t>
        </is>
      </c>
      <c r="B135" t="inlineStr">
        <is>
          <t>Invoice payment</t>
        </is>
      </c>
      <c r="C135" s="162" t="n">
        <v>45917</v>
      </c>
      <c r="D135" t="inlineStr">
        <is>
          <t>Lasseters Centre Of Entertainment</t>
        </is>
      </c>
      <c r="E135" t="inlineStr">
        <is>
          <t>Out</t>
        </is>
      </c>
      <c r="F135" t="n">
        <v>52.53</v>
      </c>
      <c r="G135" t="inlineStr">
        <is>
          <t>AUTHORISED</t>
        </is>
      </c>
      <c r="H135" t="inlineStr">
        <is>
          <t>Yes</t>
        </is>
      </c>
      <c r="I135" t="inlineStr">
        <is>
          <t>51245002</t>
        </is>
      </c>
      <c r="J135" t="inlineStr">
        <is>
          <t>Goods-tagged</t>
        </is>
      </c>
      <c r="K135">
        <f>IF(AND(G135="AUTHORISED",J135="Goods-tagged"),F135,0)</f>
        <v/>
      </c>
      <c r="L135" t="inlineStr">
        <is>
          <t>. / .</t>
        </is>
      </c>
      <c r="M135" t="inlineStr">
        <is>
          <t>ACT-ST</t>
        </is>
      </c>
      <c r="N135" t="n">
        <v>46223</v>
      </c>
    </row>
    <row r="136" ht="36" customHeight="1">
      <c r="A136" t="inlineStr">
        <is>
          <t>42a216f4-adb0-4532-8c6a-f1df7e8b88cf</t>
        </is>
      </c>
      <c r="B136" t="inlineStr">
        <is>
          <t>Invoice payment</t>
        </is>
      </c>
      <c r="C136" s="162" t="n">
        <v>45918</v>
      </c>
      <c r="D136" t="inlineStr">
        <is>
          <t>EG Fuelco (Australia)</t>
        </is>
      </c>
      <c r="E136" t="inlineStr">
        <is>
          <t>Out</t>
        </is>
      </c>
      <c r="F136" t="n">
        <v>99.98999999999999</v>
      </c>
      <c r="G136" t="inlineStr">
        <is>
          <t>AUTHORISED</t>
        </is>
      </c>
      <c r="H136" t="inlineStr">
        <is>
          <t>Yes</t>
        </is>
      </c>
      <c r="I136" t="inlineStr">
        <is>
          <t>009367</t>
        </is>
      </c>
      <c r="J136" t="inlineStr">
        <is>
          <t>Goods-tagged</t>
        </is>
      </c>
      <c r="K136">
        <f>IF(AND(G136="AUTHORISED",J136="Goods-tagged"),F136,0)</f>
        <v/>
      </c>
      <c r="L136" t="inlineStr">
        <is>
          <t>Fuel / Fuel</t>
        </is>
      </c>
      <c r="M136" t="inlineStr">
        <is>
          <t>ACT-ST</t>
        </is>
      </c>
      <c r="N136" t="n">
        <v>46223</v>
      </c>
    </row>
    <row r="137" ht="36" customHeight="1">
      <c r="A137" t="inlineStr">
        <is>
          <t>b9b0458f-0fce-48e7-849c-456ddcedbe55</t>
        </is>
      </c>
      <c r="B137" t="inlineStr">
        <is>
          <t>Invoice payment</t>
        </is>
      </c>
      <c r="C137" s="162" t="n">
        <v>45918</v>
      </c>
      <c r="D137" t="inlineStr">
        <is>
          <t>Hanuman Alice Springs</t>
        </is>
      </c>
      <c r="E137" t="inlineStr">
        <is>
          <t>Out</t>
        </is>
      </c>
      <c r="F137" t="n">
        <v>124.46</v>
      </c>
      <c r="G137" t="inlineStr">
        <is>
          <t>AUTHORISED</t>
        </is>
      </c>
      <c r="H137" t="inlineStr">
        <is>
          <t>Yes</t>
        </is>
      </c>
      <c r="I137" t="inlineStr">
        <is>
          <t>RB18067202730</t>
        </is>
      </c>
      <c r="J137" t="inlineStr">
        <is>
          <t>Goods-tagged</t>
        </is>
      </c>
      <c r="K137">
        <f>IF(AND(G137="AUTHORISED",J137="Goods-tagged"),F137,0)</f>
        <v/>
      </c>
      <c r="L137" t="inlineStr">
        <is>
          <t>.</t>
        </is>
      </c>
      <c r="M137" t="inlineStr">
        <is>
          <t>ACT-ST</t>
        </is>
      </c>
      <c r="N137" t="n">
        <v>46223</v>
      </c>
    </row>
    <row r="138" ht="36" customHeight="1">
      <c r="A138" t="inlineStr">
        <is>
          <t>c5dd37e7-45aa-44eb-9801-ced466a50f3a</t>
        </is>
      </c>
      <c r="B138" t="inlineStr">
        <is>
          <t>Invoice payment</t>
        </is>
      </c>
      <c r="C138" s="162" t="n">
        <v>45918</v>
      </c>
      <c r="D138" t="inlineStr">
        <is>
          <t>HARVEY NORMAN</t>
        </is>
      </c>
      <c r="E138" t="inlineStr">
        <is>
          <t>Out</t>
        </is>
      </c>
      <c r="F138" t="n">
        <v>285.95</v>
      </c>
      <c r="G138" t="inlineStr">
        <is>
          <t>AUTHORISED</t>
        </is>
      </c>
      <c r="H138" t="inlineStr">
        <is>
          <t>Yes</t>
        </is>
      </c>
      <c r="I138" t="inlineStr">
        <is>
          <t>2248803</t>
        </is>
      </c>
      <c r="J138" t="inlineStr">
        <is>
          <t>Goods-tagged</t>
        </is>
      </c>
      <c r="K138">
        <f>IF(AND(G138="AUTHORISED",J138="Goods-tagged"),F138,0)</f>
        <v/>
      </c>
      <c r="L138" t="inlineStr">
        <is>
          <t>.</t>
        </is>
      </c>
      <c r="M138" t="inlineStr">
        <is>
          <t>ACT-ST</t>
        </is>
      </c>
      <c r="N138" t="n">
        <v>46223</v>
      </c>
    </row>
    <row r="139" ht="36" customHeight="1">
      <c r="A139" t="inlineStr">
        <is>
          <t>c810bec7-f8e1-4b15-b53d-85eadb280837</t>
        </is>
      </c>
      <c r="B139" t="inlineStr">
        <is>
          <t>Invoice payment</t>
        </is>
      </c>
      <c r="C139" s="162" t="n">
        <v>45919</v>
      </c>
      <c r="D139" t="inlineStr">
        <is>
          <t>Bunnings Warehouse</t>
        </is>
      </c>
      <c r="E139" t="inlineStr">
        <is>
          <t>Out</t>
        </is>
      </c>
      <c r="F139" t="n">
        <v>29.97</v>
      </c>
      <c r="G139" t="inlineStr">
        <is>
          <t>AUTHORISED</t>
        </is>
      </c>
      <c r="H139" t="inlineStr">
        <is>
          <t>Yes</t>
        </is>
      </c>
      <c r="I139" t="inlineStr">
        <is>
          <t>230379</t>
        </is>
      </c>
      <c r="J139" t="inlineStr">
        <is>
          <t>Goods-tagged</t>
        </is>
      </c>
      <c r="K139">
        <f>IF(AND(G139="AUTHORISED",J139="Goods-tagged"),F139,0)</f>
        <v/>
      </c>
      <c r="L139" t="inlineStr">
        <is>
          <t>.</t>
        </is>
      </c>
      <c r="M139" t="inlineStr">
        <is>
          <t>ACT-ST</t>
        </is>
      </c>
      <c r="N139" t="n">
        <v>46223</v>
      </c>
    </row>
    <row r="140" ht="36" customHeight="1">
      <c r="A140" t="inlineStr">
        <is>
          <t>7b99e35c-1eaf-463d-b202-50c787126a81</t>
        </is>
      </c>
      <c r="B140" t="inlineStr">
        <is>
          <t>Invoice payment</t>
        </is>
      </c>
      <c r="C140" s="162" t="n">
        <v>45926</v>
      </c>
      <c r="D140" t="inlineStr">
        <is>
          <t>The Pedlar Project</t>
        </is>
      </c>
      <c r="E140" t="inlineStr">
        <is>
          <t>Out</t>
        </is>
      </c>
      <c r="F140" t="n">
        <v>27</v>
      </c>
      <c r="G140" t="inlineStr">
        <is>
          <t>AUTHORISED</t>
        </is>
      </c>
      <c r="H140" t="inlineStr">
        <is>
          <t>Yes</t>
        </is>
      </c>
      <c r="I140" t="inlineStr">
        <is>
          <t>SP-53 0924211113</t>
        </is>
      </c>
      <c r="J140" t="inlineStr">
        <is>
          <t>Goods-tagged</t>
        </is>
      </c>
      <c r="K140">
        <f>IF(AND(G140="AUTHORISED",J140="Goods-tagged"),F140,0)</f>
        <v/>
      </c>
      <c r="L140" t="inlineStr">
        <is>
          <t>.</t>
        </is>
      </c>
      <c r="M140" t="inlineStr">
        <is>
          <t>ACT-ST</t>
        </is>
      </c>
      <c r="N140" t="n">
        <v>46223</v>
      </c>
    </row>
    <row r="141" ht="36" customHeight="1">
      <c r="A141" t="inlineStr">
        <is>
          <t>7f0e5bf3-f446-4a97-b166-41487de332b1</t>
        </is>
      </c>
      <c r="B141" t="inlineStr">
        <is>
          <t>Invoice payment</t>
        </is>
      </c>
      <c r="C141" s="162" t="n">
        <v>45926</v>
      </c>
      <c r="D141" t="inlineStr">
        <is>
          <t>Nightowl Flinders St</t>
        </is>
      </c>
      <c r="E141" t="inlineStr">
        <is>
          <t>Out</t>
        </is>
      </c>
      <c r="F141" t="n">
        <v>20.55</v>
      </c>
      <c r="G141" t="inlineStr">
        <is>
          <t>AUTHORISED</t>
        </is>
      </c>
      <c r="H141" t="inlineStr">
        <is>
          <t>Yes</t>
        </is>
      </c>
      <c r="I141" t="inlineStr">
        <is>
          <t>969</t>
        </is>
      </c>
      <c r="J141" t="inlineStr">
        <is>
          <t>Goods-tagged</t>
        </is>
      </c>
      <c r="K141">
        <f>IF(AND(G141="AUTHORISED",J141="Goods-tagged"),F141,0)</f>
        <v/>
      </c>
      <c r="L141" t="inlineStr">
        <is>
          <t>.</t>
        </is>
      </c>
      <c r="M141" t="inlineStr">
        <is>
          <t>ACT-ST</t>
        </is>
      </c>
      <c r="N141" t="n">
        <v>46223</v>
      </c>
    </row>
    <row r="142" ht="134" customHeight="1">
      <c r="A142" t="inlineStr">
        <is>
          <t>c73aa011-9d26-408a-aca2-c4ebc9f33e19</t>
        </is>
      </c>
      <c r="B142" t="inlineStr">
        <is>
          <t>Invoice payment</t>
        </is>
      </c>
      <c r="C142" s="162" t="n">
        <v>45926</v>
      </c>
      <c r="D142" t="inlineStr">
        <is>
          <t>The Snow Foundation</t>
        </is>
      </c>
      <c r="E142" t="inlineStr">
        <is>
          <t>In</t>
        </is>
      </c>
      <c r="F142" t="n">
        <v>16600.11</v>
      </c>
      <c r="G142" t="inlineStr">
        <is>
          <t>AUTHORISED</t>
        </is>
      </c>
      <c r="H142" t="inlineStr">
        <is>
          <t>Yes</t>
        </is>
      </c>
      <c r="I142" t="inlineStr">
        <is>
          <t>INV-0240</t>
        </is>
      </c>
      <c r="J142" t="inlineStr">
        <is>
          <t>Goods-tagged</t>
        </is>
      </c>
      <c r="K142">
        <f>IF(AND(G142="AUTHORISED",J142="Goods-tagged"),F142,0)</f>
        <v/>
      </c>
      <c r="L142" t="inlineStr">
        <is>
          <t>Goods Indestructible Washing Machine v1 / Upgrade up to 4 BHAC Speed Queen Washing Machine's to  Indestructible Washing Machine v1 - Skin, Parts and Labour / LG Giant C 20amp Single Phase Dryer or Similar Spec 10kg Commercial Dryer / Project Management, Install, Shipping, Accommodation and Travel 
- 3 days @ $900 per day 
- Travel and Accom $3200
- Shipping $1100 / TBC Other Funding (ACT to cover)</t>
        </is>
      </c>
      <c r="M142" t="inlineStr">
        <is>
          <t>ACT-ST</t>
        </is>
      </c>
      <c r="N142" t="n">
        <v>46223</v>
      </c>
    </row>
    <row r="143" ht="36" customHeight="1">
      <c r="A143" t="inlineStr">
        <is>
          <t>55a0ab09-8a58-4c43-84a9-136726ead63e</t>
        </is>
      </c>
      <c r="B143" t="inlineStr">
        <is>
          <t>Invoice payment</t>
        </is>
      </c>
      <c r="C143" s="162" t="n">
        <v>45929</v>
      </c>
      <c r="D143" t="inlineStr">
        <is>
          <t>IMC Steakhouse Palmer Street</t>
        </is>
      </c>
      <c r="E143" t="inlineStr">
        <is>
          <t>Out</t>
        </is>
      </c>
      <c r="F143" t="n">
        <v>51.98</v>
      </c>
      <c r="G143" t="inlineStr">
        <is>
          <t>AUTHORISED</t>
        </is>
      </c>
      <c r="H143" t="inlineStr">
        <is>
          <t>Yes</t>
        </is>
      </c>
      <c r="I143" t="inlineStr">
        <is>
          <t>054-0000060469</t>
        </is>
      </c>
      <c r="J143" t="inlineStr">
        <is>
          <t>Goods-tagged</t>
        </is>
      </c>
      <c r="K143">
        <f>IF(AND(G143="AUTHORISED",J143="Goods-tagged"),F143,0)</f>
        <v/>
      </c>
      <c r="L143" t="inlineStr">
        <is>
          <t>. / .</t>
        </is>
      </c>
      <c r="M143" t="inlineStr">
        <is>
          <t>ACT-ST</t>
        </is>
      </c>
      <c r="N143" t="n">
        <v>46223</v>
      </c>
    </row>
    <row r="144" ht="36" customHeight="1">
      <c r="A144" t="inlineStr">
        <is>
          <t>82663cd9-df44-4fac-8689-1965ccde59c5</t>
        </is>
      </c>
      <c r="B144" t="inlineStr">
        <is>
          <t>Invoice payment</t>
        </is>
      </c>
      <c r="C144" s="162" t="n">
        <v>45929</v>
      </c>
      <c r="D144" t="inlineStr">
        <is>
          <t>BCF</t>
        </is>
      </c>
      <c r="E144" t="inlineStr">
        <is>
          <t>Out</t>
        </is>
      </c>
      <c r="F144" t="n">
        <v>161.89</v>
      </c>
      <c r="G144" t="inlineStr">
        <is>
          <t>AUTHORISED</t>
        </is>
      </c>
      <c r="H144" t="inlineStr">
        <is>
          <t>Yes</t>
        </is>
      </c>
      <c r="I144" t="inlineStr">
        <is>
          <t>RB18159112290</t>
        </is>
      </c>
      <c r="J144" t="inlineStr">
        <is>
          <t>Goods-tagged</t>
        </is>
      </c>
      <c r="K144">
        <f>IF(AND(G144="AUTHORISED",J144="Goods-tagged"),F144,0)</f>
        <v/>
      </c>
      <c r="L144" t="inlineStr">
        <is>
          <t>.</t>
        </is>
      </c>
      <c r="M144" t="inlineStr">
        <is>
          <t>ACT-ST</t>
        </is>
      </c>
      <c r="N144" t="n">
        <v>46223</v>
      </c>
    </row>
    <row r="145" ht="36" customHeight="1">
      <c r="A145" t="inlineStr">
        <is>
          <t>940d418e-1adc-4d51-8b8c-e68999441d3e</t>
        </is>
      </c>
      <c r="B145" t="inlineStr">
        <is>
          <t>Invoice payment</t>
        </is>
      </c>
      <c r="C145" s="162" t="n">
        <v>45929</v>
      </c>
      <c r="D145" t="inlineStr">
        <is>
          <t>COOLGAREE CAT</t>
        </is>
      </c>
      <c r="E145" t="inlineStr">
        <is>
          <t>Out</t>
        </is>
      </c>
      <c r="F145" t="n">
        <v>155.94</v>
      </c>
      <c r="G145" t="inlineStr">
        <is>
          <t>AUTHORISED</t>
        </is>
      </c>
      <c r="H145" t="inlineStr">
        <is>
          <t>Yes</t>
        </is>
      </c>
      <c r="I145" t="inlineStr">
        <is>
          <t>SP-42 0928040832</t>
        </is>
      </c>
      <c r="J145" t="inlineStr">
        <is>
          <t>Goods-tagged</t>
        </is>
      </c>
      <c r="K145">
        <f>IF(AND(G145="AUTHORISED",J145="Goods-tagged"),F145,0)</f>
        <v/>
      </c>
      <c r="L145" t="inlineStr">
        <is>
          <t>. / .</t>
        </is>
      </c>
      <c r="M145" t="inlineStr">
        <is>
          <t>ACT-ST</t>
        </is>
      </c>
      <c r="N145" t="n">
        <v>46223</v>
      </c>
    </row>
    <row r="146" ht="36" customHeight="1">
      <c r="A146" t="inlineStr">
        <is>
          <t>e5e69a2f-1aa7-49f3-8c2e-433f49a49db9</t>
        </is>
      </c>
      <c r="B146" t="inlineStr">
        <is>
          <t>Invoice payment</t>
        </is>
      </c>
      <c r="C146" s="162" t="n">
        <v>45929</v>
      </c>
      <c r="D146" t="inlineStr">
        <is>
          <t>Palm Island</t>
        </is>
      </c>
      <c r="E146" t="inlineStr">
        <is>
          <t>Out</t>
        </is>
      </c>
      <c r="F146" t="n">
        <v>55.3</v>
      </c>
      <c r="G146" t="inlineStr">
        <is>
          <t>AUTHORISED</t>
        </is>
      </c>
      <c r="H146" t="inlineStr">
        <is>
          <t>Yes</t>
        </is>
      </c>
      <c r="I146" t="inlineStr">
        <is>
          <t>183711</t>
        </is>
      </c>
      <c r="J146" t="inlineStr">
        <is>
          <t>Goods-tagged</t>
        </is>
      </c>
      <c r="K146">
        <f>IF(AND(G146="AUTHORISED",J146="Goods-tagged"),F146,0)</f>
        <v/>
      </c>
      <c r="L146" t="inlineStr">
        <is>
          <t>. / .</t>
        </is>
      </c>
      <c r="M146" t="inlineStr">
        <is>
          <t>ACT-ST</t>
        </is>
      </c>
      <c r="N146" t="n">
        <v>46223</v>
      </c>
    </row>
    <row r="147" ht="36" customHeight="1">
      <c r="A147" t="inlineStr">
        <is>
          <t>bac35d8e-7f98-420e-be40-214ddd2b884c</t>
        </is>
      </c>
      <c r="B147" t="inlineStr">
        <is>
          <t>Invoice payment</t>
        </is>
      </c>
      <c r="C147" s="162" t="n">
        <v>45930</v>
      </c>
      <c r="D147" t="inlineStr">
        <is>
          <t>Palm Island</t>
        </is>
      </c>
      <c r="E147" t="inlineStr">
        <is>
          <t>Out</t>
        </is>
      </c>
      <c r="F147" t="n">
        <v>39.87</v>
      </c>
      <c r="G147" t="inlineStr">
        <is>
          <t>AUTHORISED</t>
        </is>
      </c>
      <c r="H147" t="inlineStr">
        <is>
          <t>Yes</t>
        </is>
      </c>
      <c r="I147" t="inlineStr">
        <is>
          <t>107513</t>
        </is>
      </c>
      <c r="J147" t="inlineStr">
        <is>
          <t>Goods-tagged</t>
        </is>
      </c>
      <c r="K147">
        <f>IF(AND(G147="AUTHORISED",J147="Goods-tagged"),F147,0)</f>
        <v/>
      </c>
      <c r="L147" t="inlineStr">
        <is>
          <t>. / .</t>
        </is>
      </c>
      <c r="M147" t="inlineStr">
        <is>
          <t>ACT-ST</t>
        </is>
      </c>
      <c r="N147" t="n">
        <v>46223</v>
      </c>
    </row>
    <row r="148" ht="36" customHeight="1">
      <c r="A148" t="inlineStr">
        <is>
          <t>646ebe99-3139-481c-b8b2-8c67690814f8</t>
        </is>
      </c>
      <c r="B148" t="inlineStr">
        <is>
          <t>Invoice payment</t>
        </is>
      </c>
      <c r="C148" s="162" t="n">
        <v>45931</v>
      </c>
      <c r="D148" t="inlineStr">
        <is>
          <t>Fishbowl Darlinghurst</t>
        </is>
      </c>
      <c r="E148" t="inlineStr">
        <is>
          <t>Out</t>
        </is>
      </c>
      <c r="F148" t="n">
        <v>64.2</v>
      </c>
      <c r="G148" t="inlineStr">
        <is>
          <t>DELETED</t>
        </is>
      </c>
      <c r="H148" t="inlineStr">
        <is>
          <t>No</t>
        </is>
      </c>
      <c r="I148" t="inlineStr">
        <is>
          <t>5clc</t>
        </is>
      </c>
      <c r="J148" t="inlineStr">
        <is>
          <t>Goods-tagged</t>
        </is>
      </c>
      <c r="K148">
        <f>IF(AND(G148="AUTHORISED",J148="Goods-tagged"),F148,0)</f>
        <v/>
      </c>
      <c r="L148" t="inlineStr">
        <is>
          <t>.</t>
        </is>
      </c>
      <c r="M148" t="inlineStr">
        <is>
          <t>ACT-ST</t>
        </is>
      </c>
      <c r="N148" t="n">
        <v>46223</v>
      </c>
    </row>
    <row r="149" ht="36" customHeight="1">
      <c r="A149" t="inlineStr">
        <is>
          <t>880279af-f961-4ecb-94a3-71e3e9f47c3b</t>
        </is>
      </c>
      <c r="B149" t="inlineStr">
        <is>
          <t>Invoice payment</t>
        </is>
      </c>
      <c r="C149" s="162" t="n">
        <v>45931</v>
      </c>
      <c r="D149" t="inlineStr">
        <is>
          <t>Fishbowl Darlinghurst</t>
        </is>
      </c>
      <c r="E149" t="inlineStr">
        <is>
          <t>Out</t>
        </is>
      </c>
      <c r="F149" t="n">
        <v>64.2</v>
      </c>
      <c r="G149" t="inlineStr">
        <is>
          <t>AUTHORISED</t>
        </is>
      </c>
      <c r="H149" t="inlineStr">
        <is>
          <t>Yes</t>
        </is>
      </c>
      <c r="I149" t="inlineStr">
        <is>
          <t>5clc</t>
        </is>
      </c>
      <c r="J149" t="inlineStr">
        <is>
          <t>Goods-tagged</t>
        </is>
      </c>
      <c r="K149">
        <f>IF(AND(G149="AUTHORISED",J149="Goods-tagged"),F149,0)</f>
        <v/>
      </c>
      <c r="L149" t="inlineStr">
        <is>
          <t>.</t>
        </is>
      </c>
      <c r="M149" t="inlineStr">
        <is>
          <t>ACT-ST</t>
        </is>
      </c>
      <c r="N149" t="n">
        <v>46223</v>
      </c>
    </row>
    <row r="150" ht="36" customHeight="1">
      <c r="A150" t="inlineStr">
        <is>
          <t>b703ee72-3a30-4b7c-ade7-c4906efeab08</t>
        </is>
      </c>
      <c r="B150" t="inlineStr">
        <is>
          <t>Invoice payment</t>
        </is>
      </c>
      <c r="C150" s="162" t="n">
        <v>45931</v>
      </c>
      <c r="D150" t="inlineStr">
        <is>
          <t>Ampol</t>
        </is>
      </c>
      <c r="E150" t="inlineStr">
        <is>
          <t>Out</t>
        </is>
      </c>
      <c r="F150" t="n">
        <v>35</v>
      </c>
      <c r="G150" t="inlineStr">
        <is>
          <t>DELETED</t>
        </is>
      </c>
      <c r="H150" t="inlineStr">
        <is>
          <t>No</t>
        </is>
      </c>
      <c r="I150" t="inlineStr">
        <is>
          <t>03034</t>
        </is>
      </c>
      <c r="J150" t="inlineStr">
        <is>
          <t>Goods-tagged</t>
        </is>
      </c>
      <c r="K150">
        <f>IF(AND(G150="AUTHORISED",J150="Goods-tagged"),F150,0)</f>
        <v/>
      </c>
      <c r="L150" t="inlineStr">
        <is>
          <t>.</t>
        </is>
      </c>
      <c r="M150" t="inlineStr">
        <is>
          <t>ACT-ST</t>
        </is>
      </c>
      <c r="N150" t="n">
        <v>46223</v>
      </c>
    </row>
    <row r="151" ht="36" customHeight="1">
      <c r="A151" t="inlineStr">
        <is>
          <t>9b7e8e28-7d6c-4516-b497-9e575ef69193</t>
        </is>
      </c>
      <c r="B151" t="inlineStr">
        <is>
          <t>Bank transaction</t>
        </is>
      </c>
      <c r="C151" s="162" t="n">
        <v>45932</v>
      </c>
      <c r="D151" t="inlineStr">
        <is>
          <t>Uber</t>
        </is>
      </c>
      <c r="E151" t="inlineStr">
        <is>
          <t>Out</t>
        </is>
      </c>
      <c r="F151" t="n">
        <v>48.2</v>
      </c>
      <c r="G151" t="inlineStr">
        <is>
          <t>DELETED</t>
        </is>
      </c>
      <c r="H151" t="inlineStr">
        <is>
          <t>No</t>
        </is>
      </c>
      <c r="I151" t="inlineStr">
        <is>
          <t>452</t>
        </is>
      </c>
      <c r="J151" t="inlineStr">
        <is>
          <t>Goods-tagged</t>
        </is>
      </c>
      <c r="K151">
        <f>IF(AND(G151="AUTHORISED",J151="Goods-tagged"),F151,0)</f>
        <v/>
      </c>
      <c r="L151" t="inlineStr">
        <is>
          <t>Uber</t>
        </is>
      </c>
      <c r="M151" t="inlineStr">
        <is>
          <t>ACT-ST</t>
        </is>
      </c>
      <c r="N151" t="n">
        <v>46211</v>
      </c>
    </row>
    <row r="152" ht="36" customHeight="1">
      <c r="A152" t="inlineStr">
        <is>
          <t>19956d21-a176-4870-8ddd-e674e61c4eb3</t>
        </is>
      </c>
      <c r="B152" t="inlineStr">
        <is>
          <t>Invoice payment</t>
        </is>
      </c>
      <c r="C152" s="162" t="n">
        <v>45932</v>
      </c>
      <c r="D152" t="inlineStr">
        <is>
          <t>The Rusty Rabbit - Dario</t>
        </is>
      </c>
      <c r="E152" t="inlineStr">
        <is>
          <t>Out</t>
        </is>
      </c>
      <c r="F152" t="n">
        <v>5.07</v>
      </c>
      <c r="G152" t="inlineStr">
        <is>
          <t>AUTHORISED</t>
        </is>
      </c>
      <c r="H152" t="inlineStr">
        <is>
          <t>Yes</t>
        </is>
      </c>
      <c r="I152" t="inlineStr">
        <is>
          <t>a158993864</t>
        </is>
      </c>
      <c r="J152" t="inlineStr">
        <is>
          <t>Goods-tagged</t>
        </is>
      </c>
      <c r="K152">
        <f>IF(AND(G152="AUTHORISED",J152="Goods-tagged"),F152,0)</f>
        <v/>
      </c>
      <c r="L152" t="inlineStr">
        <is>
          <t>. / .</t>
        </is>
      </c>
      <c r="M152" t="inlineStr">
        <is>
          <t>ACT-ST</t>
        </is>
      </c>
      <c r="N152" t="n">
        <v>46223</v>
      </c>
    </row>
    <row r="153" ht="36" customHeight="1">
      <c r="A153" t="inlineStr">
        <is>
          <t>2ae2e73b-7bd4-4452-a75f-56bcda4179f9</t>
        </is>
      </c>
      <c r="B153" t="inlineStr">
        <is>
          <t>Invoice payment</t>
        </is>
      </c>
      <c r="C153" s="162" t="n">
        <v>45932</v>
      </c>
      <c r="D153" t="inlineStr">
        <is>
          <t>The Rusty Rabbit - Dario</t>
        </is>
      </c>
      <c r="E153" t="inlineStr">
        <is>
          <t>Out</t>
        </is>
      </c>
      <c r="F153" t="n">
        <v>5.07</v>
      </c>
      <c r="G153" t="inlineStr">
        <is>
          <t>DELETED</t>
        </is>
      </c>
      <c r="H153" t="inlineStr">
        <is>
          <t>No</t>
        </is>
      </c>
      <c r="I153" t="inlineStr">
        <is>
          <t>a158993864</t>
        </is>
      </c>
      <c r="J153" t="inlineStr">
        <is>
          <t>Goods-tagged</t>
        </is>
      </c>
      <c r="K153">
        <f>IF(AND(G153="AUTHORISED",J153="Goods-tagged"),F153,0)</f>
        <v/>
      </c>
      <c r="L153" t="inlineStr">
        <is>
          <t>. / .</t>
        </is>
      </c>
      <c r="M153" t="inlineStr">
        <is>
          <t>ACT-ST</t>
        </is>
      </c>
      <c r="N153" t="n">
        <v>46223</v>
      </c>
    </row>
    <row r="154" ht="36" customHeight="1">
      <c r="A154" t="inlineStr">
        <is>
          <t>6ed7687a-5e51-4097-a0bf-32fce0a5659b</t>
        </is>
      </c>
      <c r="B154" t="inlineStr">
        <is>
          <t>Invoice payment</t>
        </is>
      </c>
      <c r="C154" s="162" t="n">
        <v>45932</v>
      </c>
      <c r="D154" t="inlineStr">
        <is>
          <t>Golosa</t>
        </is>
      </c>
      <c r="E154" t="inlineStr">
        <is>
          <t>Out</t>
        </is>
      </c>
      <c r="F154" t="n">
        <v>5</v>
      </c>
      <c r="G154" t="inlineStr">
        <is>
          <t>DELETED</t>
        </is>
      </c>
      <c r="H154" t="inlineStr">
        <is>
          <t>No</t>
        </is>
      </c>
      <c r="I154" t="inlineStr">
        <is>
          <t>RB18211518940</t>
        </is>
      </c>
      <c r="J154" t="inlineStr">
        <is>
          <t>Goods-tagged</t>
        </is>
      </c>
      <c r="K154">
        <f>IF(AND(G154="AUTHORISED",J154="Goods-tagged"),F154,0)</f>
        <v/>
      </c>
      <c r="L154" t="inlineStr">
        <is>
          <t>.</t>
        </is>
      </c>
      <c r="M154" t="inlineStr">
        <is>
          <t>ACT-ST</t>
        </is>
      </c>
      <c r="N154" t="n">
        <v>46223</v>
      </c>
    </row>
    <row r="155" ht="36" customHeight="1">
      <c r="A155" t="inlineStr">
        <is>
          <t>b7e32f31-7d9f-45a4-b662-35555b2f75ab</t>
        </is>
      </c>
      <c r="B155" t="inlineStr">
        <is>
          <t>Invoice payment</t>
        </is>
      </c>
      <c r="C155" s="162" t="n">
        <v>45932</v>
      </c>
      <c r="D155" t="inlineStr">
        <is>
          <t>Golosa</t>
        </is>
      </c>
      <c r="E155" t="inlineStr">
        <is>
          <t>Out</t>
        </is>
      </c>
      <c r="F155" t="n">
        <v>5</v>
      </c>
      <c r="G155" t="inlineStr">
        <is>
          <t>AUTHORISED</t>
        </is>
      </c>
      <c r="H155" t="inlineStr">
        <is>
          <t>Yes</t>
        </is>
      </c>
      <c r="I155" t="inlineStr">
        <is>
          <t>RB18211518940</t>
        </is>
      </c>
      <c r="J155" t="inlineStr">
        <is>
          <t>Goods-tagged</t>
        </is>
      </c>
      <c r="K155">
        <f>IF(AND(G155="AUTHORISED",J155="Goods-tagged"),F155,0)</f>
        <v/>
      </c>
      <c r="L155" t="inlineStr">
        <is>
          <t>.</t>
        </is>
      </c>
      <c r="M155" t="inlineStr">
        <is>
          <t>ACT-ST</t>
        </is>
      </c>
      <c r="N155" t="n">
        <v>46223</v>
      </c>
    </row>
    <row r="156" ht="36" customHeight="1">
      <c r="A156" t="inlineStr">
        <is>
          <t>4d97f5ff-2924-44b1-8d89-f5d62a25c553</t>
        </is>
      </c>
      <c r="B156" t="inlineStr">
        <is>
          <t>Invoice payment</t>
        </is>
      </c>
      <c r="C156" s="162" t="n">
        <v>45933</v>
      </c>
      <c r="D156" t="inlineStr">
        <is>
          <t>The Snow Foundation</t>
        </is>
      </c>
      <c r="E156" t="inlineStr">
        <is>
          <t>In</t>
        </is>
      </c>
      <c r="F156" t="n">
        <v>110000</v>
      </c>
      <c r="G156" t="inlineStr">
        <is>
          <t>AUTHORISED</t>
        </is>
      </c>
      <c r="H156" t="inlineStr">
        <is>
          <t>Yes</t>
        </is>
      </c>
      <c r="I156" t="inlineStr">
        <is>
          <t>INV-0268</t>
        </is>
      </c>
      <c r="J156" t="inlineStr">
        <is>
          <t>Goods-tagged</t>
        </is>
      </c>
      <c r="K156">
        <f>IF(AND(G156="AUTHORISED",J156="Goods-tagged"),F156,0)</f>
        <v/>
      </c>
      <c r="L156" t="inlineStr">
        <is>
          <t>Goods Project // FY26 Q1/Q2 Wages Contribution per funding agreement</t>
        </is>
      </c>
      <c r="M156" t="inlineStr">
        <is>
          <t>ACT-ST</t>
        </is>
      </c>
      <c r="N156" t="n">
        <v>46223</v>
      </c>
    </row>
    <row r="157" ht="36" customHeight="1">
      <c r="A157" t="inlineStr">
        <is>
          <t>670eaa04-7e64-4530-ac3b-526c106ff22f</t>
        </is>
      </c>
      <c r="B157" t="inlineStr">
        <is>
          <t>Bank transaction</t>
        </is>
      </c>
      <c r="C157" s="162" t="n">
        <v>45936</v>
      </c>
      <c r="D157" t="inlineStr">
        <is>
          <t>Centre Trailer Sales</t>
        </is>
      </c>
      <c r="E157" t="inlineStr">
        <is>
          <t>Out</t>
        </is>
      </c>
      <c r="F157" t="n">
        <v>420</v>
      </c>
      <c r="G157" t="inlineStr">
        <is>
          <t>DELETED</t>
        </is>
      </c>
      <c r="H157" t="inlineStr">
        <is>
          <t>No</t>
        </is>
      </c>
      <c r="I157" t="inlineStr">
        <is>
          <t>493</t>
        </is>
      </c>
      <c r="J157" t="inlineStr">
        <is>
          <t>Goods-tagged</t>
        </is>
      </c>
      <c r="K157">
        <f>IF(AND(G157="AUTHORISED",J157="Goods-tagged"),F157,0)</f>
        <v/>
      </c>
      <c r="L157" t="inlineStr">
        <is>
          <t>8x5 Cage Trailer Hire (Offroad)</t>
        </is>
      </c>
      <c r="M157" t="inlineStr">
        <is>
          <t>ACT-ST</t>
        </is>
      </c>
      <c r="N157" t="n">
        <v>46211</v>
      </c>
    </row>
    <row r="158" ht="36" customHeight="1">
      <c r="A158" t="inlineStr">
        <is>
          <t>d84fb5ab-41df-4416-b567-56f5a7ff64ec</t>
        </is>
      </c>
      <c r="B158" t="inlineStr">
        <is>
          <t>Bank transaction</t>
        </is>
      </c>
      <c r="C158" s="162" t="n">
        <v>45936</v>
      </c>
      <c r="D158" t="inlineStr">
        <is>
          <t>Metal Manufactures</t>
        </is>
      </c>
      <c r="E158" t="inlineStr">
        <is>
          <t>Out</t>
        </is>
      </c>
      <c r="F158" t="n">
        <v>395.77</v>
      </c>
      <c r="G158" t="inlineStr">
        <is>
          <t>AUTHORISED</t>
        </is>
      </c>
      <c r="H158" t="inlineStr">
        <is>
          <t>Yes</t>
        </is>
      </c>
      <c r="J158" t="inlineStr">
        <is>
          <t>Goods-tagged</t>
        </is>
      </c>
      <c r="K158">
        <f>IF(AND(G158="AUTHORISED",J158="Goods-tagged"),F158,0)</f>
        <v/>
      </c>
      <c r="M158" t="inlineStr">
        <is>
          <t>ACT-ST</t>
        </is>
      </c>
      <c r="N158" t="n">
        <v>46237</v>
      </c>
    </row>
    <row r="159" ht="36" customHeight="1">
      <c r="A159" t="inlineStr">
        <is>
          <t>0850ee70-a7d8-4791-9774-3be592129bca</t>
        </is>
      </c>
      <c r="B159" t="inlineStr">
        <is>
          <t>Invoice payment</t>
        </is>
      </c>
      <c r="C159" s="162" t="n">
        <v>45937</v>
      </c>
      <c r="D159" t="inlineStr">
        <is>
          <t>IGA</t>
        </is>
      </c>
      <c r="E159" t="inlineStr">
        <is>
          <t>Out</t>
        </is>
      </c>
      <c r="F159" t="n">
        <v>214.61</v>
      </c>
      <c r="G159" t="inlineStr">
        <is>
          <t>AUTHORISED</t>
        </is>
      </c>
      <c r="H159" t="inlineStr">
        <is>
          <t>Yes</t>
        </is>
      </c>
      <c r="I159" t="inlineStr">
        <is>
          <t>RB18264369910</t>
        </is>
      </c>
      <c r="J159" t="inlineStr">
        <is>
          <t>Goods-tagged</t>
        </is>
      </c>
      <c r="K159">
        <f>IF(AND(G159="AUTHORISED",J159="Goods-tagged"),F159,0)</f>
        <v/>
      </c>
      <c r="L159" t="inlineStr">
        <is>
          <t>.</t>
        </is>
      </c>
      <c r="M159" t="inlineStr">
        <is>
          <t>ACT-ST</t>
        </is>
      </c>
      <c r="N159" t="n">
        <v>46223</v>
      </c>
    </row>
    <row r="160" ht="36" customHeight="1">
      <c r="A160" t="inlineStr">
        <is>
          <t>212ad201-5693-4313-a66a-e760d14128f9</t>
        </is>
      </c>
      <c r="B160" t="inlineStr">
        <is>
          <t>Invoice payment</t>
        </is>
      </c>
      <c r="C160" s="162" t="n">
        <v>45937</v>
      </c>
      <c r="D160" t="inlineStr">
        <is>
          <t>Page 27</t>
        </is>
      </c>
      <c r="E160" t="inlineStr">
        <is>
          <t>Out</t>
        </is>
      </c>
      <c r="F160" t="n">
        <v>15.23</v>
      </c>
      <c r="G160" t="inlineStr">
        <is>
          <t>AUTHORISED</t>
        </is>
      </c>
      <c r="H160" t="inlineStr">
        <is>
          <t>Yes</t>
        </is>
      </c>
      <c r="I160" t="inlineStr">
        <is>
          <t>695774</t>
        </is>
      </c>
      <c r="J160" t="inlineStr">
        <is>
          <t>Goods-tagged</t>
        </is>
      </c>
      <c r="K160">
        <f>IF(AND(G160="AUTHORISED",J160="Goods-tagged"),F160,0)</f>
        <v/>
      </c>
      <c r="L160" t="inlineStr">
        <is>
          <t>.</t>
        </is>
      </c>
      <c r="M160" t="inlineStr">
        <is>
          <t>ACT-ST</t>
        </is>
      </c>
      <c r="N160" t="n">
        <v>46223</v>
      </c>
    </row>
    <row r="161" ht="36" customHeight="1">
      <c r="A161" t="inlineStr">
        <is>
          <t>3859df45-4191-411b-9482-a3ce309de9a2</t>
        </is>
      </c>
      <c r="B161" t="inlineStr">
        <is>
          <t>Invoice payment</t>
        </is>
      </c>
      <c r="C161" s="162" t="n">
        <v>45937</v>
      </c>
      <c r="D161" t="inlineStr">
        <is>
          <t>Page 27</t>
        </is>
      </c>
      <c r="E161" t="inlineStr">
        <is>
          <t>Out</t>
        </is>
      </c>
      <c r="F161" t="n">
        <v>31.06</v>
      </c>
      <c r="G161" t="inlineStr">
        <is>
          <t>DELETED</t>
        </is>
      </c>
      <c r="H161" t="inlineStr">
        <is>
          <t>No</t>
        </is>
      </c>
      <c r="I161" t="inlineStr">
        <is>
          <t>695772</t>
        </is>
      </c>
      <c r="J161" t="inlineStr">
        <is>
          <t>Goods-tagged</t>
        </is>
      </c>
      <c r="K161">
        <f>IF(AND(G161="AUTHORISED",J161="Goods-tagged"),F161,0)</f>
        <v/>
      </c>
      <c r="L161" t="inlineStr">
        <is>
          <t>.</t>
        </is>
      </c>
      <c r="M161" t="inlineStr">
        <is>
          <t>ACT-ST</t>
        </is>
      </c>
      <c r="N161" t="n">
        <v>46223</v>
      </c>
    </row>
    <row r="162" ht="36" customHeight="1">
      <c r="A162" t="inlineStr">
        <is>
          <t>4d384e51-da49-423b-a47a-31cf89be9fac</t>
        </is>
      </c>
      <c r="B162" t="inlineStr">
        <is>
          <t>Invoice payment</t>
        </is>
      </c>
      <c r="C162" s="162" t="n">
        <v>45937</v>
      </c>
      <c r="D162" t="inlineStr">
        <is>
          <t>Taxi Receipt</t>
        </is>
      </c>
      <c r="E162" t="inlineStr">
        <is>
          <t>Out</t>
        </is>
      </c>
      <c r="F162" t="n">
        <v>62.79</v>
      </c>
      <c r="G162" t="inlineStr">
        <is>
          <t>DELETED</t>
        </is>
      </c>
      <c r="H162" t="inlineStr">
        <is>
          <t>No</t>
        </is>
      </c>
      <c r="I162" t="inlineStr">
        <is>
          <t>RB18261203540</t>
        </is>
      </c>
      <c r="J162" t="inlineStr">
        <is>
          <t>Goods-tagged</t>
        </is>
      </c>
      <c r="K162">
        <f>IF(AND(G162="AUTHORISED",J162="Goods-tagged"),F162,0)</f>
        <v/>
      </c>
      <c r="L162" t="inlineStr">
        <is>
          <t>. / .</t>
        </is>
      </c>
      <c r="M162" t="inlineStr">
        <is>
          <t>ACT-ST</t>
        </is>
      </c>
      <c r="N162" t="n">
        <v>46223</v>
      </c>
    </row>
    <row r="163" ht="36" customHeight="1">
      <c r="A163" t="inlineStr">
        <is>
          <t>91032de0-49e2-4043-8870-92d59d7ecf16</t>
        </is>
      </c>
      <c r="B163" t="inlineStr">
        <is>
          <t>Invoice payment</t>
        </is>
      </c>
      <c r="C163" s="162" t="n">
        <v>45937</v>
      </c>
      <c r="D163" t="inlineStr">
        <is>
          <t>Taxi Receipt</t>
        </is>
      </c>
      <c r="E163" t="inlineStr">
        <is>
          <t>Out</t>
        </is>
      </c>
      <c r="F163" t="n">
        <v>62.79</v>
      </c>
      <c r="G163" t="inlineStr">
        <is>
          <t>AUTHORISED</t>
        </is>
      </c>
      <c r="H163" t="inlineStr">
        <is>
          <t>Yes</t>
        </is>
      </c>
      <c r="I163" t="inlineStr">
        <is>
          <t>RB18261203540</t>
        </is>
      </c>
      <c r="J163" t="inlineStr">
        <is>
          <t>Goods-tagged</t>
        </is>
      </c>
      <c r="K163">
        <f>IF(AND(G163="AUTHORISED",J163="Goods-tagged"),F163,0)</f>
        <v/>
      </c>
      <c r="L163" t="inlineStr">
        <is>
          <t>. / .</t>
        </is>
      </c>
      <c r="M163" t="inlineStr">
        <is>
          <t>ACT-ST</t>
        </is>
      </c>
      <c r="N163" t="n">
        <v>46223</v>
      </c>
    </row>
    <row r="164" ht="36" customHeight="1">
      <c r="A164" t="inlineStr">
        <is>
          <t>b5b66787-566b-41d2-948e-0bd140c9e818</t>
        </is>
      </c>
      <c r="B164" t="inlineStr">
        <is>
          <t>Invoice payment</t>
        </is>
      </c>
      <c r="C164" s="162" t="n">
        <v>45937</v>
      </c>
      <c r="D164" t="inlineStr">
        <is>
          <t>Page 27</t>
        </is>
      </c>
      <c r="E164" t="inlineStr">
        <is>
          <t>Out</t>
        </is>
      </c>
      <c r="F164" t="n">
        <v>31.06</v>
      </c>
      <c r="G164" t="inlineStr">
        <is>
          <t>AUTHORISED</t>
        </is>
      </c>
      <c r="H164" t="inlineStr">
        <is>
          <t>Yes</t>
        </is>
      </c>
      <c r="I164" t="inlineStr">
        <is>
          <t>695772</t>
        </is>
      </c>
      <c r="J164" t="inlineStr">
        <is>
          <t>Goods-tagged</t>
        </is>
      </c>
      <c r="K164">
        <f>IF(AND(G164="AUTHORISED",J164="Goods-tagged"),F164,0)</f>
        <v/>
      </c>
      <c r="L164" t="inlineStr">
        <is>
          <t>.</t>
        </is>
      </c>
      <c r="M164" t="inlineStr">
        <is>
          <t>ACT-ST</t>
        </is>
      </c>
      <c r="N164" t="n">
        <v>46223</v>
      </c>
    </row>
    <row r="165" ht="36" customHeight="1">
      <c r="A165" t="inlineStr">
        <is>
          <t>d0ea2f7d-da25-4875-8d17-8be17df2fa25</t>
        </is>
      </c>
      <c r="B165" t="inlineStr">
        <is>
          <t>Invoice payment</t>
        </is>
      </c>
      <c r="C165" s="162" t="n">
        <v>45937</v>
      </c>
      <c r="D165" t="inlineStr">
        <is>
          <t>Page 27</t>
        </is>
      </c>
      <c r="E165" t="inlineStr">
        <is>
          <t>Out</t>
        </is>
      </c>
      <c r="F165" t="n">
        <v>15.23</v>
      </c>
      <c r="G165" t="inlineStr">
        <is>
          <t>DELETED</t>
        </is>
      </c>
      <c r="H165" t="inlineStr">
        <is>
          <t>No</t>
        </is>
      </c>
      <c r="I165" t="inlineStr">
        <is>
          <t>695774</t>
        </is>
      </c>
      <c r="J165" t="inlineStr">
        <is>
          <t>Goods-tagged</t>
        </is>
      </c>
      <c r="K165">
        <f>IF(AND(G165="AUTHORISED",J165="Goods-tagged"),F165,0)</f>
        <v/>
      </c>
      <c r="L165" t="inlineStr">
        <is>
          <t>.</t>
        </is>
      </c>
      <c r="M165" t="inlineStr">
        <is>
          <t>ACT-ST</t>
        </is>
      </c>
      <c r="N165" t="n">
        <v>46223</v>
      </c>
    </row>
    <row r="166" ht="36" customHeight="1">
      <c r="A166" t="inlineStr">
        <is>
          <t>d69286d5-4e67-411d-a198-a7514d655a13</t>
        </is>
      </c>
      <c r="B166" t="inlineStr">
        <is>
          <t>Invoice payment</t>
        </is>
      </c>
      <c r="C166" s="162" t="n">
        <v>45937</v>
      </c>
      <c r="D166" t="inlineStr">
        <is>
          <t>IGA</t>
        </is>
      </c>
      <c r="E166" t="inlineStr">
        <is>
          <t>Out</t>
        </is>
      </c>
      <c r="F166" t="n">
        <v>214.61</v>
      </c>
      <c r="G166" t="inlineStr">
        <is>
          <t>DELETED</t>
        </is>
      </c>
      <c r="H166" t="inlineStr">
        <is>
          <t>No</t>
        </is>
      </c>
      <c r="I166" t="inlineStr">
        <is>
          <t>RB18264369910</t>
        </is>
      </c>
      <c r="J166" t="inlineStr">
        <is>
          <t>Goods-tagged</t>
        </is>
      </c>
      <c r="K166">
        <f>IF(AND(G166="AUTHORISED",J166="Goods-tagged"),F166,0)</f>
        <v/>
      </c>
      <c r="L166" t="inlineStr">
        <is>
          <t>.</t>
        </is>
      </c>
      <c r="M166" t="inlineStr">
        <is>
          <t>ACT-ST</t>
        </is>
      </c>
      <c r="N166" t="n">
        <v>46223</v>
      </c>
    </row>
    <row r="167" ht="36" customHeight="1">
      <c r="A167" t="inlineStr">
        <is>
          <t>0431a207-7b7b-45fa-8f3a-6669b57649de</t>
        </is>
      </c>
      <c r="B167" t="inlineStr">
        <is>
          <t>Invoice payment</t>
        </is>
      </c>
      <c r="C167" s="162" t="n">
        <v>45938</v>
      </c>
      <c r="D167" t="inlineStr">
        <is>
          <t>Foodbank Of South Au</t>
        </is>
      </c>
      <c r="E167" t="inlineStr">
        <is>
          <t>Out</t>
        </is>
      </c>
      <c r="F167" t="n">
        <v>490</v>
      </c>
      <c r="G167" t="inlineStr">
        <is>
          <t>DELETED</t>
        </is>
      </c>
      <c r="H167" t="inlineStr">
        <is>
          <t>No</t>
        </is>
      </c>
      <c r="I167" t="inlineStr">
        <is>
          <t>RB18277909580</t>
        </is>
      </c>
      <c r="J167" t="inlineStr">
        <is>
          <t>Goods-tagged</t>
        </is>
      </c>
      <c r="K167">
        <f>IF(AND(G167="AUTHORISED",J167="Goods-tagged"),F167,0)</f>
        <v/>
      </c>
      <c r="L167" t="inlineStr">
        <is>
          <t>.</t>
        </is>
      </c>
      <c r="M167" t="inlineStr">
        <is>
          <t>ACT-ST</t>
        </is>
      </c>
      <c r="N167" t="n">
        <v>46223</v>
      </c>
    </row>
    <row r="168" ht="36" customHeight="1">
      <c r="A168" t="inlineStr">
        <is>
          <t>08bab4c6-2a8c-4ac9-8259-d4cc4686ba12</t>
        </is>
      </c>
      <c r="B168" t="inlineStr">
        <is>
          <t>Invoice payment</t>
        </is>
      </c>
      <c r="C168" s="162" t="n">
        <v>45938</v>
      </c>
      <c r="D168" t="inlineStr">
        <is>
          <t>Foodbank Of South Au</t>
        </is>
      </c>
      <c r="E168" t="inlineStr">
        <is>
          <t>Out</t>
        </is>
      </c>
      <c r="F168" t="n">
        <v>490</v>
      </c>
      <c r="G168" t="inlineStr">
        <is>
          <t>AUTHORISED</t>
        </is>
      </c>
      <c r="H168" t="inlineStr">
        <is>
          <t>Yes</t>
        </is>
      </c>
      <c r="I168" t="inlineStr">
        <is>
          <t>RB18277909580</t>
        </is>
      </c>
      <c r="J168" t="inlineStr">
        <is>
          <t>Goods-tagged</t>
        </is>
      </c>
      <c r="K168">
        <f>IF(AND(G168="AUTHORISED",J168="Goods-tagged"),F168,0)</f>
        <v/>
      </c>
      <c r="L168" t="inlineStr">
        <is>
          <t>.</t>
        </is>
      </c>
      <c r="M168" t="inlineStr">
        <is>
          <t>ACT-ST</t>
        </is>
      </c>
      <c r="N168" t="n">
        <v>46223</v>
      </c>
    </row>
    <row r="169" ht="36" customHeight="1">
      <c r="A169" t="inlineStr">
        <is>
          <t>0cd6fbb2-26e3-4488-8915-82684518808a</t>
        </is>
      </c>
      <c r="B169" t="inlineStr">
        <is>
          <t>Invoice payment</t>
        </is>
      </c>
      <c r="C169" s="162" t="n">
        <v>45938</v>
      </c>
      <c r="D169" t="inlineStr">
        <is>
          <t>Reddy Express</t>
        </is>
      </c>
      <c r="E169" t="inlineStr">
        <is>
          <t>Out</t>
        </is>
      </c>
      <c r="F169" t="n">
        <v>29.75</v>
      </c>
      <c r="G169" t="inlineStr">
        <is>
          <t>DELETED</t>
        </is>
      </c>
      <c r="H169" t="inlineStr">
        <is>
          <t>No</t>
        </is>
      </c>
      <c r="I169" t="inlineStr">
        <is>
          <t>S1903X-S1903X02-1759799436050</t>
        </is>
      </c>
      <c r="J169" t="inlineStr">
        <is>
          <t>Goods-tagged</t>
        </is>
      </c>
      <c r="K169">
        <f>IF(AND(G169="AUTHORISED",J169="Goods-tagged"),F169,0)</f>
        <v/>
      </c>
      <c r="L169" t="inlineStr">
        <is>
          <t>.</t>
        </is>
      </c>
      <c r="M169" t="inlineStr">
        <is>
          <t>ACT-ST</t>
        </is>
      </c>
      <c r="N169" t="n">
        <v>46223</v>
      </c>
    </row>
    <row r="170" ht="36" customHeight="1">
      <c r="A170" t="inlineStr">
        <is>
          <t>1374249e-4563-4786-b908-e036e36d6321</t>
        </is>
      </c>
      <c r="B170" t="inlineStr">
        <is>
          <t>Invoice payment</t>
        </is>
      </c>
      <c r="C170" s="162" t="n">
        <v>45938</v>
      </c>
      <c r="D170" t="inlineStr">
        <is>
          <t>Reddy Express</t>
        </is>
      </c>
      <c r="E170" t="inlineStr">
        <is>
          <t>Out</t>
        </is>
      </c>
      <c r="F170" t="n">
        <v>78.45</v>
      </c>
      <c r="G170" t="inlineStr">
        <is>
          <t>AUTHORISED</t>
        </is>
      </c>
      <c r="H170" t="inlineStr">
        <is>
          <t>Yes</t>
        </is>
      </c>
      <c r="I170" t="inlineStr">
        <is>
          <t>S1903X-S1903X02-1759800098676</t>
        </is>
      </c>
      <c r="J170" t="inlineStr">
        <is>
          <t>Goods-tagged</t>
        </is>
      </c>
      <c r="K170">
        <f>IF(AND(G170="AUTHORISED",J170="Goods-tagged"),F170,0)</f>
        <v/>
      </c>
      <c r="L170" t="inlineStr">
        <is>
          <t>.</t>
        </is>
      </c>
      <c r="M170" t="inlineStr">
        <is>
          <t>ACT-ST</t>
        </is>
      </c>
      <c r="N170" t="n">
        <v>46223</v>
      </c>
    </row>
    <row r="171" ht="36" customHeight="1">
      <c r="A171" t="inlineStr">
        <is>
          <t>3f69de39-3ecc-40de-b0c5-24e58bffba96</t>
        </is>
      </c>
      <c r="B171" t="inlineStr">
        <is>
          <t>Invoice payment</t>
        </is>
      </c>
      <c r="C171" s="162" t="n">
        <v>45938</v>
      </c>
      <c r="D171" t="inlineStr">
        <is>
          <t>Hanuman Alice Springs</t>
        </is>
      </c>
      <c r="E171" t="inlineStr">
        <is>
          <t>Out</t>
        </is>
      </c>
      <c r="F171" t="n">
        <v>65.53</v>
      </c>
      <c r="G171" t="inlineStr">
        <is>
          <t>DELETED</t>
        </is>
      </c>
      <c r="H171" t="inlineStr">
        <is>
          <t>No</t>
        </is>
      </c>
      <c r="I171" t="inlineStr">
        <is>
          <t>RB18270713650</t>
        </is>
      </c>
      <c r="J171" t="inlineStr">
        <is>
          <t>Goods-tagged</t>
        </is>
      </c>
      <c r="K171">
        <f>IF(AND(G171="AUTHORISED",J171="Goods-tagged"),F171,0)</f>
        <v/>
      </c>
      <c r="L171" t="inlineStr">
        <is>
          <t>. / .</t>
        </is>
      </c>
      <c r="M171" t="inlineStr">
        <is>
          <t>ACT-ST</t>
        </is>
      </c>
      <c r="N171" t="n">
        <v>46223</v>
      </c>
    </row>
    <row r="172" ht="36" customHeight="1">
      <c r="A172" t="inlineStr">
        <is>
          <t>8ae5ad7b-d84b-4ae7-8c89-400506e109dd</t>
        </is>
      </c>
      <c r="B172" t="inlineStr">
        <is>
          <t>Invoice payment</t>
        </is>
      </c>
      <c r="C172" s="162" t="n">
        <v>45938</v>
      </c>
      <c r="D172" t="inlineStr">
        <is>
          <t>Hanuman Alice Springs</t>
        </is>
      </c>
      <c r="E172" t="inlineStr">
        <is>
          <t>Out</t>
        </is>
      </c>
      <c r="F172" t="n">
        <v>65.53</v>
      </c>
      <c r="G172" t="inlineStr">
        <is>
          <t>AUTHORISED</t>
        </is>
      </c>
      <c r="H172" t="inlineStr">
        <is>
          <t>Yes</t>
        </is>
      </c>
      <c r="I172" t="inlineStr">
        <is>
          <t>RB18270713650</t>
        </is>
      </c>
      <c r="J172" t="inlineStr">
        <is>
          <t>Goods-tagged</t>
        </is>
      </c>
      <c r="K172">
        <f>IF(AND(G172="AUTHORISED",J172="Goods-tagged"),F172,0)</f>
        <v/>
      </c>
      <c r="L172" t="inlineStr">
        <is>
          <t>. / .</t>
        </is>
      </c>
      <c r="M172" t="inlineStr">
        <is>
          <t>ACT-ST</t>
        </is>
      </c>
      <c r="N172" t="n">
        <v>46223</v>
      </c>
    </row>
    <row r="173" ht="36" customHeight="1">
      <c r="A173" t="inlineStr">
        <is>
          <t>cae2f4af-8736-42a0-8474-0c5a59a7e97b</t>
        </is>
      </c>
      <c r="B173" t="inlineStr">
        <is>
          <t>Invoice payment</t>
        </is>
      </c>
      <c r="C173" s="162" t="n">
        <v>45938</v>
      </c>
      <c r="D173" t="inlineStr">
        <is>
          <t>Reddy Express</t>
        </is>
      </c>
      <c r="E173" t="inlineStr">
        <is>
          <t>Out</t>
        </is>
      </c>
      <c r="F173" t="n">
        <v>78.45</v>
      </c>
      <c r="G173" t="inlineStr">
        <is>
          <t>DELETED</t>
        </is>
      </c>
      <c r="H173" t="inlineStr">
        <is>
          <t>No</t>
        </is>
      </c>
      <c r="I173" t="inlineStr">
        <is>
          <t>S1903X-S1903X02-1759800098676</t>
        </is>
      </c>
      <c r="J173" t="inlineStr">
        <is>
          <t>Goods-tagged</t>
        </is>
      </c>
      <c r="K173">
        <f>IF(AND(G173="AUTHORISED",J173="Goods-tagged"),F173,0)</f>
        <v/>
      </c>
      <c r="L173" t="inlineStr">
        <is>
          <t>.</t>
        </is>
      </c>
      <c r="M173" t="inlineStr">
        <is>
          <t>ACT-ST</t>
        </is>
      </c>
      <c r="N173" t="n">
        <v>46223</v>
      </c>
    </row>
    <row r="174" ht="36" customHeight="1">
      <c r="A174" t="inlineStr">
        <is>
          <t>e9f87d51-2b45-4fcc-9087-bd7e97cd8046</t>
        </is>
      </c>
      <c r="B174" t="inlineStr">
        <is>
          <t>Invoice payment</t>
        </is>
      </c>
      <c r="C174" s="162" t="n">
        <v>45938</v>
      </c>
      <c r="D174" t="inlineStr">
        <is>
          <t>Reddy Express</t>
        </is>
      </c>
      <c r="E174" t="inlineStr">
        <is>
          <t>Out</t>
        </is>
      </c>
      <c r="F174" t="n">
        <v>29.75</v>
      </c>
      <c r="G174" t="inlineStr">
        <is>
          <t>AUTHORISED</t>
        </is>
      </c>
      <c r="H174" t="inlineStr">
        <is>
          <t>Yes</t>
        </is>
      </c>
      <c r="I174" t="inlineStr">
        <is>
          <t>S1903X-S1903X02-1759799436050</t>
        </is>
      </c>
      <c r="J174" t="inlineStr">
        <is>
          <t>Goods-tagged</t>
        </is>
      </c>
      <c r="K174">
        <f>IF(AND(G174="AUTHORISED",J174="Goods-tagged"),F174,0)</f>
        <v/>
      </c>
      <c r="L174" t="inlineStr">
        <is>
          <t>.</t>
        </is>
      </c>
      <c r="M174" t="inlineStr">
        <is>
          <t>ACT-ST</t>
        </is>
      </c>
      <c r="N174" t="n">
        <v>46223</v>
      </c>
    </row>
    <row r="175" ht="36" customHeight="1">
      <c r="A175" t="inlineStr">
        <is>
          <t>b67a08ea-7aa3-4317-b0ca-ac6a10564247</t>
        </is>
      </c>
      <c r="B175" t="inlineStr">
        <is>
          <t>Bank transaction</t>
        </is>
      </c>
      <c r="C175" s="162" t="n">
        <v>45939</v>
      </c>
      <c r="D175" t="inlineStr">
        <is>
          <t>Stratco</t>
        </is>
      </c>
      <c r="E175" t="inlineStr">
        <is>
          <t>Out</t>
        </is>
      </c>
      <c r="F175" t="n">
        <v>2240.82</v>
      </c>
      <c r="G175" t="inlineStr">
        <is>
          <t>DELETED</t>
        </is>
      </c>
      <c r="H175" t="inlineStr">
        <is>
          <t>No</t>
        </is>
      </c>
      <c r="I175" t="inlineStr">
        <is>
          <t>446</t>
        </is>
      </c>
      <c r="J175" t="inlineStr">
        <is>
          <t>Goods-tagged</t>
        </is>
      </c>
      <c r="K175">
        <f>IF(AND(G175="AUTHORISED",J175="Goods-tagged"),F175,0)</f>
        <v/>
      </c>
      <c r="L175" t="inlineStr">
        <is>
          <t>Corrugated, roof batten</t>
        </is>
      </c>
      <c r="M175" t="inlineStr">
        <is>
          <t>ACT-ST</t>
        </is>
      </c>
      <c r="N175" t="n">
        <v>46211</v>
      </c>
    </row>
    <row r="176" ht="36" customHeight="1">
      <c r="A176" t="inlineStr">
        <is>
          <t>c617c598-9fd2-41b7-86c9-ab95644fb4d2</t>
        </is>
      </c>
      <c r="B176" t="inlineStr">
        <is>
          <t>Bank transaction</t>
        </is>
      </c>
      <c r="C176" s="162" t="n">
        <v>45939</v>
      </c>
      <c r="D176" t="inlineStr">
        <is>
          <t>Darwin City Hotel</t>
        </is>
      </c>
      <c r="E176" t="inlineStr">
        <is>
          <t>Out</t>
        </is>
      </c>
      <c r="F176" t="n">
        <v>155.46</v>
      </c>
      <c r="G176" t="inlineStr">
        <is>
          <t>DELETED</t>
        </is>
      </c>
      <c r="H176" t="inlineStr">
        <is>
          <t>No</t>
        </is>
      </c>
      <c r="I176" t="inlineStr">
        <is>
          <t>494</t>
        </is>
      </c>
      <c r="J176" t="inlineStr">
        <is>
          <t>Goods-tagged</t>
        </is>
      </c>
      <c r="K176">
        <f>IF(AND(G176="AUTHORISED",J176="Goods-tagged"),F176,0)</f>
        <v/>
      </c>
      <c r="L176" t="inlineStr">
        <is>
          <t>Accommodation</t>
        </is>
      </c>
      <c r="M176" t="inlineStr">
        <is>
          <t>ACT-ST</t>
        </is>
      </c>
      <c r="N176" t="n">
        <v>46211</v>
      </c>
    </row>
    <row r="177" ht="36" customHeight="1">
      <c r="A177" t="inlineStr">
        <is>
          <t>cb58d6bf-4c8b-4933-9025-9e46bf58c8e6</t>
        </is>
      </c>
      <c r="B177" t="inlineStr">
        <is>
          <t>Bank transaction</t>
        </is>
      </c>
      <c r="C177" s="162" t="n">
        <v>45939</v>
      </c>
      <c r="D177" t="inlineStr">
        <is>
          <t>Oonchiumpa Consultancy and Services</t>
        </is>
      </c>
      <c r="E177" t="inlineStr">
        <is>
          <t>Out</t>
        </is>
      </c>
      <c r="F177" t="n">
        <v>19305</v>
      </c>
      <c r="G177" t="inlineStr">
        <is>
          <t>DELETED</t>
        </is>
      </c>
      <c r="H177" t="inlineStr">
        <is>
          <t>No</t>
        </is>
      </c>
      <c r="I177" t="inlineStr">
        <is>
          <t>486</t>
        </is>
      </c>
      <c r="J177" t="inlineStr">
        <is>
          <t>Goods-tagged</t>
        </is>
      </c>
      <c r="K177">
        <f>IF(AND(G177="AUTHORISED",J177="Goods-tagged"),F177,0)</f>
        <v/>
      </c>
      <c r="L177" t="inlineStr">
        <is>
          <t>Full Day Travel Day Alice Springs to Darwin 
 10/10/25 - 14/10/25</t>
        </is>
      </c>
      <c r="M177" t="inlineStr">
        <is>
          <t>ACT-ST</t>
        </is>
      </c>
      <c r="N177" t="n">
        <v>46211</v>
      </c>
    </row>
    <row r="178" ht="36" customHeight="1">
      <c r="A178" t="inlineStr">
        <is>
          <t>0348dc54-9415-49be-a242-072f1cfb5178</t>
        </is>
      </c>
      <c r="B178" t="inlineStr">
        <is>
          <t>Invoice payment</t>
        </is>
      </c>
      <c r="C178" s="162" t="n">
        <v>45939</v>
      </c>
      <c r="D178" t="inlineStr">
        <is>
          <t>Bunnings Warehouse</t>
        </is>
      </c>
      <c r="E178" t="inlineStr">
        <is>
          <t>Out</t>
        </is>
      </c>
      <c r="F178" t="n">
        <v>371.57</v>
      </c>
      <c r="G178" t="inlineStr">
        <is>
          <t>AUTHORISED</t>
        </is>
      </c>
      <c r="H178" t="inlineStr">
        <is>
          <t>Yes</t>
        </is>
      </c>
      <c r="I178" t="inlineStr">
        <is>
          <t>2325/01130418</t>
        </is>
      </c>
      <c r="J178" t="inlineStr">
        <is>
          <t>Goods-tagged</t>
        </is>
      </c>
      <c r="K178">
        <f>IF(AND(G178="AUTHORISED",J178="Goods-tagged"),F178,0)</f>
        <v/>
      </c>
      <c r="L178" t="inlineStr">
        <is>
          <t>.</t>
        </is>
      </c>
      <c r="M178" t="inlineStr">
        <is>
          <t>ACT-ST</t>
        </is>
      </c>
      <c r="N178" t="n">
        <v>46223</v>
      </c>
    </row>
    <row r="179" ht="36" customHeight="1">
      <c r="A179" t="inlineStr">
        <is>
          <t>632ddfca-584c-40f6-ae8f-45ccff057187</t>
        </is>
      </c>
      <c r="B179" t="inlineStr">
        <is>
          <t>Invoice payment</t>
        </is>
      </c>
      <c r="C179" s="162" t="n">
        <v>45939</v>
      </c>
      <c r="D179" t="inlineStr">
        <is>
          <t>Bunnings Warehouse</t>
        </is>
      </c>
      <c r="E179" t="inlineStr">
        <is>
          <t>Out</t>
        </is>
      </c>
      <c r="F179" t="n">
        <v>371.57</v>
      </c>
      <c r="G179" t="inlineStr">
        <is>
          <t>DELETED</t>
        </is>
      </c>
      <c r="H179" t="inlineStr">
        <is>
          <t>No</t>
        </is>
      </c>
      <c r="I179" t="inlineStr">
        <is>
          <t>2325/01130418</t>
        </is>
      </c>
      <c r="J179" t="inlineStr">
        <is>
          <t>Goods-tagged</t>
        </is>
      </c>
      <c r="K179">
        <f>IF(AND(G179="AUTHORISED",J179="Goods-tagged"),F179,0)</f>
        <v/>
      </c>
      <c r="L179" t="inlineStr">
        <is>
          <t>.</t>
        </is>
      </c>
      <c r="M179" t="inlineStr">
        <is>
          <t>ACT-ST</t>
        </is>
      </c>
      <c r="N179" t="n">
        <v>46223</v>
      </c>
    </row>
    <row r="180" ht="36" customHeight="1">
      <c r="A180" t="inlineStr">
        <is>
          <t>b1b8e61d-f8bf-4357-8564-bccb544d43e9</t>
        </is>
      </c>
      <c r="B180" t="inlineStr">
        <is>
          <t>Bank transaction</t>
        </is>
      </c>
      <c r="C180" s="162" t="n">
        <v>45940</v>
      </c>
      <c r="D180" t="inlineStr">
        <is>
          <t>Maleny Hardware And Rural Supplies</t>
        </is>
      </c>
      <c r="E180" t="inlineStr">
        <is>
          <t>Out</t>
        </is>
      </c>
      <c r="F180" t="n">
        <v>175.67</v>
      </c>
      <c r="G180" t="inlineStr">
        <is>
          <t>AUTHORISED</t>
        </is>
      </c>
      <c r="H180" t="inlineStr">
        <is>
          <t>Yes</t>
        </is>
      </c>
      <c r="I180" t="inlineStr">
        <is>
          <t>446</t>
        </is>
      </c>
      <c r="J180" t="inlineStr">
        <is>
          <t>Goods-tagged</t>
        </is>
      </c>
      <c r="K180">
        <f>IF(AND(G180="AUTHORISED",J180="Goods-tagged"),F180,0)</f>
        <v/>
      </c>
      <c r="L180" t="inlineStr">
        <is>
          <t>.</t>
        </is>
      </c>
      <c r="M180" t="inlineStr">
        <is>
          <t>ACT-ST</t>
        </is>
      </c>
      <c r="N180" t="n">
        <v>46211</v>
      </c>
    </row>
    <row r="181" ht="36" customHeight="1">
      <c r="A181" t="inlineStr">
        <is>
          <t>c5838226-126e-44a5-870d-1dd94b7023e9</t>
        </is>
      </c>
      <c r="B181" t="inlineStr">
        <is>
          <t>Bank transaction</t>
        </is>
      </c>
      <c r="C181" s="162" t="n">
        <v>45940</v>
      </c>
      <c r="D181" t="inlineStr">
        <is>
          <t>Maleny Hardware And Rural Supplies</t>
        </is>
      </c>
      <c r="E181" t="inlineStr">
        <is>
          <t>Out</t>
        </is>
      </c>
      <c r="F181" t="n">
        <v>181.39</v>
      </c>
      <c r="G181" t="inlineStr">
        <is>
          <t>AUTHORISED</t>
        </is>
      </c>
      <c r="H181" t="inlineStr">
        <is>
          <t>Yes</t>
        </is>
      </c>
      <c r="I181" t="inlineStr">
        <is>
          <t>446</t>
        </is>
      </c>
      <c r="J181" t="inlineStr">
        <is>
          <t>Goods-tagged</t>
        </is>
      </c>
      <c r="K181">
        <f>IF(AND(G181="AUTHORISED",J181="Goods-tagged"),F181,0)</f>
        <v/>
      </c>
      <c r="L181" t="inlineStr">
        <is>
          <t>.</t>
        </is>
      </c>
      <c r="M181" t="inlineStr">
        <is>
          <t>ACT-ST</t>
        </is>
      </c>
      <c r="N181" t="n">
        <v>46211</v>
      </c>
    </row>
    <row r="182" ht="36" customHeight="1">
      <c r="A182" t="inlineStr">
        <is>
          <t>031e2701-1513-47b6-bfd2-3b57265d8a85</t>
        </is>
      </c>
      <c r="B182" t="inlineStr">
        <is>
          <t>Invoice payment</t>
        </is>
      </c>
      <c r="C182" s="162" t="n">
        <v>45940</v>
      </c>
      <c r="D182" t="inlineStr">
        <is>
          <t>Arlparra</t>
        </is>
      </c>
      <c r="E182" t="inlineStr">
        <is>
          <t>Out</t>
        </is>
      </c>
      <c r="F182" t="n">
        <v>42</v>
      </c>
      <c r="G182" t="inlineStr">
        <is>
          <t>AUTHORISED</t>
        </is>
      </c>
      <c r="H182" t="inlineStr">
        <is>
          <t>Yes</t>
        </is>
      </c>
      <c r="I182" t="inlineStr">
        <is>
          <t>000395</t>
        </is>
      </c>
      <c r="J182" t="inlineStr">
        <is>
          <t>Goods-tagged</t>
        </is>
      </c>
      <c r="K182">
        <f>IF(AND(G182="AUTHORISED",J182="Goods-tagged"),F182,0)</f>
        <v/>
      </c>
      <c r="L182" t="inlineStr">
        <is>
          <t>. / .</t>
        </is>
      </c>
      <c r="M182" t="inlineStr">
        <is>
          <t>ACT-ST</t>
        </is>
      </c>
      <c r="N182" t="n">
        <v>46223</v>
      </c>
    </row>
    <row r="183" ht="36" customHeight="1">
      <c r="A183" t="inlineStr">
        <is>
          <t>b864c79b-720a-491f-854b-c8b494f6d0f9</t>
        </is>
      </c>
      <c r="B183" t="inlineStr">
        <is>
          <t>Invoice payment</t>
        </is>
      </c>
      <c r="C183" s="162" t="n">
        <v>45940</v>
      </c>
      <c r="D183" t="inlineStr">
        <is>
          <t>Arlparra</t>
        </is>
      </c>
      <c r="E183" t="inlineStr">
        <is>
          <t>Out</t>
        </is>
      </c>
      <c r="F183" t="n">
        <v>42</v>
      </c>
      <c r="G183" t="inlineStr">
        <is>
          <t>DELETED</t>
        </is>
      </c>
      <c r="H183" t="inlineStr">
        <is>
          <t>No</t>
        </is>
      </c>
      <c r="I183" t="inlineStr">
        <is>
          <t>000395</t>
        </is>
      </c>
      <c r="J183" t="inlineStr">
        <is>
          <t>Goods-tagged</t>
        </is>
      </c>
      <c r="K183">
        <f>IF(AND(G183="AUTHORISED",J183="Goods-tagged"),F183,0)</f>
        <v/>
      </c>
      <c r="L183" t="inlineStr">
        <is>
          <t>. / .</t>
        </is>
      </c>
      <c r="M183" t="inlineStr">
        <is>
          <t>ACT-ST</t>
        </is>
      </c>
      <c r="N183" t="n">
        <v>46223</v>
      </c>
    </row>
    <row r="184" ht="36" customHeight="1">
      <c r="A184" t="inlineStr">
        <is>
          <t>b5de9561-8eaf-4e54-953c-049c955fc11b</t>
        </is>
      </c>
      <c r="B184" t="inlineStr">
        <is>
          <t>Bank transaction</t>
        </is>
      </c>
      <c r="C184" s="162" t="n">
        <v>45941</v>
      </c>
      <c r="D184" t="inlineStr">
        <is>
          <t>Soul Essence On The Bay</t>
        </is>
      </c>
      <c r="E184" t="inlineStr">
        <is>
          <t>Out</t>
        </is>
      </c>
      <c r="F184" t="n">
        <v>64.34999999999999</v>
      </c>
      <c r="G184" t="inlineStr">
        <is>
          <t>DELETED</t>
        </is>
      </c>
      <c r="H184" t="inlineStr">
        <is>
          <t>No</t>
        </is>
      </c>
      <c r="I184" t="inlineStr">
        <is>
          <t>421</t>
        </is>
      </c>
      <c r="J184" t="inlineStr">
        <is>
          <t>Goods-tagged</t>
        </is>
      </c>
      <c r="K184">
        <f>IF(AND(G184="AUTHORISED",J184="Goods-tagged"),F184,0)</f>
        <v/>
      </c>
      <c r="L184" t="inlineStr">
        <is>
          <t>Meal - Larrakia</t>
        </is>
      </c>
      <c r="M184" t="inlineStr">
        <is>
          <t>ACT-ST</t>
        </is>
      </c>
      <c r="N184" t="n">
        <v>46211</v>
      </c>
    </row>
    <row r="185" ht="36" customHeight="1">
      <c r="A185" t="inlineStr">
        <is>
          <t>30162d53-e15e-4c7e-8da1-f9aeacfa8c8b</t>
        </is>
      </c>
      <c r="B185" t="inlineStr">
        <is>
          <t>Bank transaction</t>
        </is>
      </c>
      <c r="C185" s="162" t="n">
        <v>45942</v>
      </c>
      <c r="D185" t="inlineStr">
        <is>
          <t>Qantas</t>
        </is>
      </c>
      <c r="E185" t="inlineStr">
        <is>
          <t>Out</t>
        </is>
      </c>
      <c r="F185" t="n">
        <v>412</v>
      </c>
      <c r="G185" t="inlineStr">
        <is>
          <t>DELETED</t>
        </is>
      </c>
      <c r="H185" t="inlineStr">
        <is>
          <t>No</t>
        </is>
      </c>
      <c r="I185" t="inlineStr">
        <is>
          <t>493</t>
        </is>
      </c>
      <c r="J185" t="inlineStr">
        <is>
          <t>Goods-tagged</t>
        </is>
      </c>
      <c r="K185">
        <f>IF(AND(G185="AUTHORISED",J185="Goods-tagged"),F185,0)</f>
        <v/>
      </c>
      <c r="L185" t="inlineStr">
        <is>
          <t>Benjamin Knight - Brisbane to Sydney</t>
        </is>
      </c>
      <c r="M185" t="inlineStr">
        <is>
          <t>ACT-ST</t>
        </is>
      </c>
      <c r="N185" t="n">
        <v>46211</v>
      </c>
    </row>
    <row r="186" ht="36" customHeight="1">
      <c r="A186" t="inlineStr">
        <is>
          <t>4666be57-1580-4abc-b4a1-b402b5fd4940</t>
        </is>
      </c>
      <c r="B186" t="inlineStr">
        <is>
          <t>Bank transaction</t>
        </is>
      </c>
      <c r="C186" s="162" t="n">
        <v>45942</v>
      </c>
      <c r="D186" t="inlineStr">
        <is>
          <t>Qantas</t>
        </is>
      </c>
      <c r="E186" t="inlineStr">
        <is>
          <t>Out</t>
        </is>
      </c>
      <c r="F186" t="n">
        <v>356.77</v>
      </c>
      <c r="G186" t="inlineStr">
        <is>
          <t>DELETED</t>
        </is>
      </c>
      <c r="H186" t="inlineStr">
        <is>
          <t>No</t>
        </is>
      </c>
      <c r="I186" t="inlineStr">
        <is>
          <t>493</t>
        </is>
      </c>
      <c r="J186" t="inlineStr">
        <is>
          <t>Goods-tagged</t>
        </is>
      </c>
      <c r="K186">
        <f>IF(AND(G186="AUTHORISED",J186="Goods-tagged"),F186,0)</f>
        <v/>
      </c>
      <c r="L186" t="inlineStr">
        <is>
          <t>Benjamin Knight - Sydney to Townsville</t>
        </is>
      </c>
      <c r="M186" t="inlineStr">
        <is>
          <t>ACT-ST</t>
        </is>
      </c>
      <c r="N186" t="n">
        <v>46211</v>
      </c>
    </row>
    <row r="187" ht="36" customHeight="1">
      <c r="A187" t="inlineStr">
        <is>
          <t>1f59172e-1eb3-47c5-937c-ccf0a2769063</t>
        </is>
      </c>
      <c r="B187" t="inlineStr">
        <is>
          <t>Bank transaction</t>
        </is>
      </c>
      <c r="C187" s="162" t="n">
        <v>45943</v>
      </c>
      <c r="D187" t="inlineStr">
        <is>
          <t>Uber</t>
        </is>
      </c>
      <c r="E187" t="inlineStr">
        <is>
          <t>Out</t>
        </is>
      </c>
      <c r="F187" t="n">
        <v>69.33</v>
      </c>
      <c r="G187" t="inlineStr">
        <is>
          <t>DELETED</t>
        </is>
      </c>
      <c r="H187" t="inlineStr">
        <is>
          <t>No</t>
        </is>
      </c>
      <c r="I187" t="inlineStr">
        <is>
          <t>452</t>
        </is>
      </c>
      <c r="J187" t="inlineStr">
        <is>
          <t>Goods-tagged</t>
        </is>
      </c>
      <c r="K187">
        <f>IF(AND(G187="AUTHORISED",J187="Goods-tagged"),F187,0)</f>
        <v/>
      </c>
      <c r="L187" t="inlineStr">
        <is>
          <t>Uber</t>
        </is>
      </c>
      <c r="M187" t="inlineStr">
        <is>
          <t>ACT-ST</t>
        </is>
      </c>
      <c r="N187" t="n">
        <v>46211</v>
      </c>
    </row>
    <row r="188" ht="36" customHeight="1">
      <c r="A188" t="inlineStr">
        <is>
          <t>5ca167cd-0836-49fe-b10c-b4bf5b0b7445</t>
        </is>
      </c>
      <c r="B188" t="inlineStr">
        <is>
          <t>Bank transaction</t>
        </is>
      </c>
      <c r="C188" s="162" t="n">
        <v>45943</v>
      </c>
      <c r="D188" t="inlineStr">
        <is>
          <t>Uber</t>
        </is>
      </c>
      <c r="E188" t="inlineStr">
        <is>
          <t>Out</t>
        </is>
      </c>
      <c r="F188" t="n">
        <v>37.43</v>
      </c>
      <c r="G188" t="inlineStr">
        <is>
          <t>DELETED</t>
        </is>
      </c>
      <c r="H188" t="inlineStr">
        <is>
          <t>No</t>
        </is>
      </c>
      <c r="I188" t="inlineStr">
        <is>
          <t>452</t>
        </is>
      </c>
      <c r="J188" t="inlineStr">
        <is>
          <t>Goods-tagged</t>
        </is>
      </c>
      <c r="K188">
        <f>IF(AND(G188="AUTHORISED",J188="Goods-tagged"),F188,0)</f>
        <v/>
      </c>
      <c r="L188" t="inlineStr">
        <is>
          <t>Uber</t>
        </is>
      </c>
      <c r="M188" t="inlineStr">
        <is>
          <t>ACT-ST</t>
        </is>
      </c>
      <c r="N188" t="n">
        <v>46211</v>
      </c>
    </row>
    <row r="189" ht="36" customHeight="1">
      <c r="A189" t="inlineStr">
        <is>
          <t>796396ea-cfb9-4442-a15b-61fc8421e156</t>
        </is>
      </c>
      <c r="B189" t="inlineStr">
        <is>
          <t>Bank transaction</t>
        </is>
      </c>
      <c r="C189" s="162" t="n">
        <v>45943</v>
      </c>
      <c r="D189" t="inlineStr">
        <is>
          <t>Oonchiumpa Consultancy and Services</t>
        </is>
      </c>
      <c r="E189" t="inlineStr">
        <is>
          <t>Out</t>
        </is>
      </c>
      <c r="F189" t="n">
        <v>6750</v>
      </c>
      <c r="G189" t="inlineStr">
        <is>
          <t>AUTHORISED</t>
        </is>
      </c>
      <c r="H189" t="inlineStr">
        <is>
          <t>Yes</t>
        </is>
      </c>
      <c r="I189" t="inlineStr">
        <is>
          <t>486</t>
        </is>
      </c>
      <c r="J189" t="inlineStr">
        <is>
          <t>Goods-tagged</t>
        </is>
      </c>
      <c r="K189">
        <f>IF(AND(G189="AUTHORISED",J189="Goods-tagged"),F189,0)</f>
        <v/>
      </c>
      <c r="L189" t="inlineStr">
        <is>
          <t>OONCHIUMPA Q3467063868 Maningrida thanks</t>
        </is>
      </c>
      <c r="M189" t="inlineStr">
        <is>
          <t>ACT-ST</t>
        </is>
      </c>
      <c r="N189" t="n">
        <v>46211</v>
      </c>
    </row>
    <row r="190" ht="36" customHeight="1">
      <c r="A190" t="inlineStr">
        <is>
          <t>91c14b8b-5e52-4709-8cdf-a7e38925ada0</t>
        </is>
      </c>
      <c r="B190" t="inlineStr">
        <is>
          <t>Bank transaction</t>
        </is>
      </c>
      <c r="C190" s="162" t="n">
        <v>45943</v>
      </c>
      <c r="D190" t="inlineStr">
        <is>
          <t>Uber</t>
        </is>
      </c>
      <c r="E190" t="inlineStr">
        <is>
          <t>Out</t>
        </is>
      </c>
      <c r="F190" t="n">
        <v>30.97</v>
      </c>
      <c r="G190" t="inlineStr">
        <is>
          <t>DELETED</t>
        </is>
      </c>
      <c r="H190" t="inlineStr">
        <is>
          <t>No</t>
        </is>
      </c>
      <c r="I190" t="inlineStr">
        <is>
          <t>452</t>
        </is>
      </c>
      <c r="J190" t="inlineStr">
        <is>
          <t>Goods-tagged</t>
        </is>
      </c>
      <c r="K190">
        <f>IF(AND(G190="AUTHORISED",J190="Goods-tagged"),F190,0)</f>
        <v/>
      </c>
      <c r="L190" t="inlineStr">
        <is>
          <t>Uber</t>
        </is>
      </c>
      <c r="M190" t="inlineStr">
        <is>
          <t>ACT-ST</t>
        </is>
      </c>
      <c r="N190" t="n">
        <v>46211</v>
      </c>
    </row>
    <row r="191" ht="36" customHeight="1">
      <c r="A191" t="inlineStr">
        <is>
          <t>1db27047-b043-4baf-96f2-62c12bbd7d8b</t>
        </is>
      </c>
      <c r="B191" t="inlineStr">
        <is>
          <t>Invoice payment</t>
        </is>
      </c>
      <c r="C191" s="162" t="n">
        <v>45943</v>
      </c>
      <c r="D191" t="inlineStr">
        <is>
          <t>Coles Supermarkets</t>
        </is>
      </c>
      <c r="E191" t="inlineStr">
        <is>
          <t>Out</t>
        </is>
      </c>
      <c r="F191" t="n">
        <v>294.55</v>
      </c>
      <c r="G191" t="inlineStr">
        <is>
          <t>DELETED</t>
        </is>
      </c>
      <c r="H191" t="inlineStr">
        <is>
          <t>No</t>
        </is>
      </c>
      <c r="I191" t="inlineStr">
        <is>
          <t>7451</t>
        </is>
      </c>
      <c r="J191" t="inlineStr">
        <is>
          <t>Goods-tagged</t>
        </is>
      </c>
      <c r="K191">
        <f>IF(AND(G191="AUTHORISED",J191="Goods-tagged"),F191,0)</f>
        <v/>
      </c>
      <c r="L191" t="inlineStr">
        <is>
          <t>. / .</t>
        </is>
      </c>
      <c r="M191" t="inlineStr">
        <is>
          <t>ACT-ST</t>
        </is>
      </c>
      <c r="N191" t="n">
        <v>46223</v>
      </c>
    </row>
    <row r="192" ht="36" customHeight="1">
      <c r="A192" t="inlineStr">
        <is>
          <t>219de43e-d2d0-4226-8dd4-3236f931a40c</t>
        </is>
      </c>
      <c r="B192" t="inlineStr">
        <is>
          <t>Invoice payment</t>
        </is>
      </c>
      <c r="C192" s="162" t="n">
        <v>45943</v>
      </c>
      <c r="D192" t="inlineStr">
        <is>
          <t>Lasseters Centre Of Entertainment</t>
        </is>
      </c>
      <c r="E192" t="inlineStr">
        <is>
          <t>Out</t>
        </is>
      </c>
      <c r="F192" t="n">
        <v>188.18</v>
      </c>
      <c r="G192" t="inlineStr">
        <is>
          <t>AUTHORISED</t>
        </is>
      </c>
      <c r="H192" t="inlineStr">
        <is>
          <t>Yes</t>
        </is>
      </c>
      <c r="I192" t="inlineStr">
        <is>
          <t>51302689</t>
        </is>
      </c>
      <c r="J192" t="inlineStr">
        <is>
          <t>Goods-tagged</t>
        </is>
      </c>
      <c r="K192">
        <f>IF(AND(G192="AUTHORISED",J192="Goods-tagged"),F192,0)</f>
        <v/>
      </c>
      <c r="L192" t="inlineStr">
        <is>
          <t>.</t>
        </is>
      </c>
      <c r="M192" t="inlineStr">
        <is>
          <t>ACT-ST</t>
        </is>
      </c>
      <c r="N192" t="n">
        <v>46223</v>
      </c>
    </row>
    <row r="193" ht="36" customHeight="1">
      <c r="A193" t="inlineStr">
        <is>
          <t>2348620c-ca1d-4eac-97c9-9110db9b4155</t>
        </is>
      </c>
      <c r="B193" t="inlineStr">
        <is>
          <t>Invoice payment</t>
        </is>
      </c>
      <c r="C193" s="162" t="n">
        <v>45943</v>
      </c>
      <c r="D193" t="inlineStr">
        <is>
          <t>Uncle Don West End</t>
        </is>
      </c>
      <c r="E193" t="inlineStr">
        <is>
          <t>Out</t>
        </is>
      </c>
      <c r="F193" t="n">
        <v>89.34</v>
      </c>
      <c r="G193" t="inlineStr">
        <is>
          <t>DELETED</t>
        </is>
      </c>
      <c r="H193" t="inlineStr">
        <is>
          <t>No</t>
        </is>
      </c>
      <c r="I193" t="inlineStr">
        <is>
          <t>A2510100007</t>
        </is>
      </c>
      <c r="J193" t="inlineStr">
        <is>
          <t>Goods-tagged</t>
        </is>
      </c>
      <c r="K193">
        <f>IF(AND(G193="AUTHORISED",J193="Goods-tagged"),F193,0)</f>
        <v/>
      </c>
      <c r="L193" t="inlineStr">
        <is>
          <t>. / .</t>
        </is>
      </c>
      <c r="M193" t="inlineStr">
        <is>
          <t>ACT-ST</t>
        </is>
      </c>
      <c r="N193" t="n">
        <v>46223</v>
      </c>
    </row>
    <row r="194" ht="36" customHeight="1">
      <c r="A194" t="inlineStr">
        <is>
          <t>65d50845-d8da-4f62-9bb2-59bb97f4578a</t>
        </is>
      </c>
      <c r="B194" t="inlineStr">
        <is>
          <t>Invoice payment</t>
        </is>
      </c>
      <c r="C194" s="162" t="n">
        <v>45943</v>
      </c>
      <c r="D194" t="inlineStr">
        <is>
          <t>Car Park</t>
        </is>
      </c>
      <c r="E194" t="inlineStr">
        <is>
          <t>Out</t>
        </is>
      </c>
      <c r="F194" t="n">
        <v>18</v>
      </c>
      <c r="G194" t="inlineStr">
        <is>
          <t>DELETED</t>
        </is>
      </c>
      <c r="H194" t="inlineStr">
        <is>
          <t>No</t>
        </is>
      </c>
      <c r="I194" t="inlineStr">
        <is>
          <t>0830/0602/00602</t>
        </is>
      </c>
      <c r="J194" t="inlineStr">
        <is>
          <t>Goods-tagged</t>
        </is>
      </c>
      <c r="K194">
        <f>IF(AND(G194="AUTHORISED",J194="Goods-tagged"),F194,0)</f>
        <v/>
      </c>
      <c r="L194" t="inlineStr">
        <is>
          <t>.</t>
        </is>
      </c>
      <c r="M194" t="inlineStr">
        <is>
          <t>ACT-ST</t>
        </is>
      </c>
      <c r="N194" t="n">
        <v>46223</v>
      </c>
    </row>
    <row r="195" ht="36" customHeight="1">
      <c r="A195" t="inlineStr">
        <is>
          <t>c2ece0bb-2969-4da6-a6c6-382f717d8d49</t>
        </is>
      </c>
      <c r="B195" t="inlineStr">
        <is>
          <t>Invoice payment</t>
        </is>
      </c>
      <c r="C195" s="162" t="n">
        <v>45943</v>
      </c>
      <c r="D195" t="inlineStr">
        <is>
          <t>Car Park</t>
        </is>
      </c>
      <c r="E195" t="inlineStr">
        <is>
          <t>Out</t>
        </is>
      </c>
      <c r="F195" t="n">
        <v>18</v>
      </c>
      <c r="G195" t="inlineStr">
        <is>
          <t>AUTHORISED</t>
        </is>
      </c>
      <c r="H195" t="inlineStr">
        <is>
          <t>Yes</t>
        </is>
      </c>
      <c r="I195" t="inlineStr">
        <is>
          <t>0830/0602/00602</t>
        </is>
      </c>
      <c r="J195" t="inlineStr">
        <is>
          <t>Goods-tagged</t>
        </is>
      </c>
      <c r="K195">
        <f>IF(AND(G195="AUTHORISED",J195="Goods-tagged"),F195,0)</f>
        <v/>
      </c>
      <c r="L195" t="inlineStr">
        <is>
          <t>.</t>
        </is>
      </c>
      <c r="M195" t="inlineStr">
        <is>
          <t>ACT-ST</t>
        </is>
      </c>
      <c r="N195" t="n">
        <v>46223</v>
      </c>
    </row>
    <row r="196" ht="36" customHeight="1">
      <c r="A196" t="inlineStr">
        <is>
          <t>cdfa5008-2df9-40d4-a063-3c15f2135c56</t>
        </is>
      </c>
      <c r="B196" t="inlineStr">
        <is>
          <t>Invoice payment</t>
        </is>
      </c>
      <c r="C196" s="162" t="n">
        <v>45943</v>
      </c>
      <c r="D196" t="inlineStr">
        <is>
          <t>Lasseters Centre Of Entertainment</t>
        </is>
      </c>
      <c r="E196" t="inlineStr">
        <is>
          <t>Out</t>
        </is>
      </c>
      <c r="F196" t="n">
        <v>188.18</v>
      </c>
      <c r="G196" t="inlineStr">
        <is>
          <t>DELETED</t>
        </is>
      </c>
      <c r="H196" t="inlineStr">
        <is>
          <t>No</t>
        </is>
      </c>
      <c r="I196" t="inlineStr">
        <is>
          <t>51302689</t>
        </is>
      </c>
      <c r="J196" t="inlineStr">
        <is>
          <t>Goods-tagged</t>
        </is>
      </c>
      <c r="K196">
        <f>IF(AND(G196="AUTHORISED",J196="Goods-tagged"),F196,0)</f>
        <v/>
      </c>
      <c r="L196" t="inlineStr">
        <is>
          <t>.</t>
        </is>
      </c>
      <c r="M196" t="inlineStr">
        <is>
          <t>ACT-ST</t>
        </is>
      </c>
      <c r="N196" t="n">
        <v>46223</v>
      </c>
    </row>
    <row r="197" ht="36" customHeight="1">
      <c r="A197" t="inlineStr">
        <is>
          <t>dd8bd399-eab1-490b-80ea-bdce69b9dfd1</t>
        </is>
      </c>
      <c r="B197" t="inlineStr">
        <is>
          <t>Invoice payment</t>
        </is>
      </c>
      <c r="C197" s="162" t="n">
        <v>45943</v>
      </c>
      <c r="D197" t="inlineStr">
        <is>
          <t>Uncle Don West End</t>
        </is>
      </c>
      <c r="E197" t="inlineStr">
        <is>
          <t>Out</t>
        </is>
      </c>
      <c r="F197" t="n">
        <v>89.34</v>
      </c>
      <c r="G197" t="inlineStr">
        <is>
          <t>AUTHORISED</t>
        </is>
      </c>
      <c r="H197" t="inlineStr">
        <is>
          <t>Yes</t>
        </is>
      </c>
      <c r="I197" t="inlineStr">
        <is>
          <t>A2510100007</t>
        </is>
      </c>
      <c r="J197" t="inlineStr">
        <is>
          <t>Goods-tagged</t>
        </is>
      </c>
      <c r="K197">
        <f>IF(AND(G197="AUTHORISED",J197="Goods-tagged"),F197,0)</f>
        <v/>
      </c>
      <c r="L197" t="inlineStr">
        <is>
          <t>. / .</t>
        </is>
      </c>
      <c r="M197" t="inlineStr">
        <is>
          <t>ACT-ST</t>
        </is>
      </c>
      <c r="N197" t="n">
        <v>46223</v>
      </c>
    </row>
    <row r="198" ht="36" customHeight="1">
      <c r="A198" t="inlineStr">
        <is>
          <t>fbb6f7fa-a0cb-424e-9a53-bfddeda3b699</t>
        </is>
      </c>
      <c r="B198" t="inlineStr">
        <is>
          <t>Invoice payment</t>
        </is>
      </c>
      <c r="C198" s="162" t="n">
        <v>45943</v>
      </c>
      <c r="D198" t="inlineStr">
        <is>
          <t>Coles Supermarkets</t>
        </is>
      </c>
      <c r="E198" t="inlineStr">
        <is>
          <t>Out</t>
        </is>
      </c>
      <c r="F198" t="n">
        <v>294.55</v>
      </c>
      <c r="G198" t="inlineStr">
        <is>
          <t>AUTHORISED</t>
        </is>
      </c>
      <c r="H198" t="inlineStr">
        <is>
          <t>Yes</t>
        </is>
      </c>
      <c r="I198" t="inlineStr">
        <is>
          <t>7451</t>
        </is>
      </c>
      <c r="J198" t="inlineStr">
        <is>
          <t>Goods-tagged</t>
        </is>
      </c>
      <c r="K198">
        <f>IF(AND(G198="AUTHORISED",J198="Goods-tagged"),F198,0)</f>
        <v/>
      </c>
      <c r="L198" t="inlineStr">
        <is>
          <t>. / .</t>
        </is>
      </c>
      <c r="M198" t="inlineStr">
        <is>
          <t>ACT-ST</t>
        </is>
      </c>
      <c r="N198" t="n">
        <v>46223</v>
      </c>
    </row>
    <row r="199" ht="36" customHeight="1">
      <c r="A199" t="inlineStr">
        <is>
          <t>0c90aa33-3244-417b-ba62-a8c6acad5fd6</t>
        </is>
      </c>
      <c r="B199" t="inlineStr">
        <is>
          <t>Bank transaction</t>
        </is>
      </c>
      <c r="C199" s="162" t="n">
        <v>45944</v>
      </c>
      <c r="D199" t="inlineStr">
        <is>
          <t>Uber</t>
        </is>
      </c>
      <c r="E199" t="inlineStr">
        <is>
          <t>Out</t>
        </is>
      </c>
      <c r="F199" t="n">
        <v>37.92</v>
      </c>
      <c r="G199" t="inlineStr">
        <is>
          <t>DELETED</t>
        </is>
      </c>
      <c r="H199" t="inlineStr">
        <is>
          <t>No</t>
        </is>
      </c>
      <c r="I199" t="inlineStr">
        <is>
          <t>452</t>
        </is>
      </c>
      <c r="J199" t="inlineStr">
        <is>
          <t>Goods-tagged</t>
        </is>
      </c>
      <c r="K199">
        <f>IF(AND(G199="AUTHORISED",J199="Goods-tagged"),F199,0)</f>
        <v/>
      </c>
      <c r="L199" t="inlineStr">
        <is>
          <t>Uber</t>
        </is>
      </c>
      <c r="M199" t="inlineStr">
        <is>
          <t>ACT-ST</t>
        </is>
      </c>
      <c r="N199" t="n">
        <v>46211</v>
      </c>
    </row>
    <row r="200" ht="78" customHeight="1">
      <c r="A200" t="inlineStr">
        <is>
          <t>4b573a4e-ac20-4ded-82c1-6de9ecf66b6d</t>
        </is>
      </c>
      <c r="B200" t="inlineStr">
        <is>
          <t>Bank transaction</t>
        </is>
      </c>
      <c r="C200" s="162" t="n">
        <v>45944</v>
      </c>
      <c r="D200" t="inlineStr">
        <is>
          <t>Bearpep Pty Ltd</t>
        </is>
      </c>
      <c r="E200" t="inlineStr">
        <is>
          <t>Out</t>
        </is>
      </c>
      <c r="F200" t="n">
        <v>64.98999999999999</v>
      </c>
      <c r="G200" t="inlineStr">
        <is>
          <t>AUTHORISED</t>
        </is>
      </c>
      <c r="H200" t="inlineStr">
        <is>
          <t>Yes</t>
        </is>
      </c>
      <c r="I200" t="inlineStr">
        <is>
          <t>446</t>
        </is>
      </c>
      <c r="J200" t="inlineStr">
        <is>
          <t>Goods-tagged</t>
        </is>
      </c>
      <c r="K200">
        <f>IF(AND(G200="AUTHORISED",J200="Goods-tagged"),F200,0)</f>
        <v/>
      </c>
      <c r="L200" t="inlineStr">
        <is>
          <t>[receipt to provide] Card purchase at Bearpep Pty Ltd in Larrakeyah (Darwin) — a Goods (ACT-GD) expense. Domestic AU vendor so GST on Expenses once we have the tax invoice. No receipt on file — I'll dig out the Bearpep invoice/receipt to confirm GST. Pair</t>
        </is>
      </c>
      <c r="M200" t="inlineStr">
        <is>
          <t>ACT-ST</t>
        </is>
      </c>
      <c r="N200" t="n">
        <v>46211</v>
      </c>
    </row>
    <row r="201" ht="78" customHeight="1">
      <c r="A201" t="inlineStr">
        <is>
          <t>7b6cb890-f125-4463-b6d9-2090d003bfe4</t>
        </is>
      </c>
      <c r="B201" t="inlineStr">
        <is>
          <t>Bank transaction</t>
        </is>
      </c>
      <c r="C201" s="162" t="n">
        <v>45944</v>
      </c>
      <c r="D201" t="inlineStr">
        <is>
          <t>Bearpep Pty Ltd</t>
        </is>
      </c>
      <c r="E201" t="inlineStr">
        <is>
          <t>Out</t>
        </is>
      </c>
      <c r="F201" t="n">
        <v>323.3</v>
      </c>
      <c r="G201" t="inlineStr">
        <is>
          <t>AUTHORISED</t>
        </is>
      </c>
      <c r="H201" t="inlineStr">
        <is>
          <t>Yes</t>
        </is>
      </c>
      <c r="I201" t="inlineStr">
        <is>
          <t>446</t>
        </is>
      </c>
      <c r="J201" t="inlineStr">
        <is>
          <t>Goods-tagged</t>
        </is>
      </c>
      <c r="K201">
        <f>IF(AND(G201="AUTHORISED",J201="Goods-tagged"),F201,0)</f>
        <v/>
      </c>
      <c r="L201" t="inlineStr">
        <is>
          <t>[receipt to provide] Card purchase at Bearpep Pty Ltd in Larrakeyah (Darwin) — a Goods (ACT-GD) expense. Domestic AU vendor so GST on Expenses once we have the tax invoice. No receipt on file — I'll dig out the Bearpep invoice/receipt to confirm GST. Pair</t>
        </is>
      </c>
      <c r="M201" t="inlineStr">
        <is>
          <t>ACT-ST</t>
        </is>
      </c>
      <c r="N201" t="n">
        <v>46211</v>
      </c>
    </row>
    <row r="202" ht="36" customHeight="1">
      <c r="A202" t="inlineStr">
        <is>
          <t>003f4c82-be9f-4964-9cf3-a8f9ffd1d345</t>
        </is>
      </c>
      <c r="B202" t="inlineStr">
        <is>
          <t>Invoice payment</t>
        </is>
      </c>
      <c r="C202" s="162" t="n">
        <v>45944</v>
      </c>
      <c r="D202" t="inlineStr">
        <is>
          <t>Worldsmart Retail</t>
        </is>
      </c>
      <c r="E202" t="inlineStr">
        <is>
          <t>Out</t>
        </is>
      </c>
      <c r="F202" t="n">
        <v>240.86</v>
      </c>
      <c r="G202" t="inlineStr">
        <is>
          <t>DELETED</t>
        </is>
      </c>
      <c r="H202" t="inlineStr">
        <is>
          <t>No</t>
        </is>
      </c>
      <c r="I202" t="inlineStr">
        <is>
          <t>11662</t>
        </is>
      </c>
      <c r="J202" t="inlineStr">
        <is>
          <t>Goods-tagged</t>
        </is>
      </c>
      <c r="K202">
        <f>IF(AND(G202="AUTHORISED",J202="Goods-tagged"),F202,0)</f>
        <v/>
      </c>
      <c r="L202" t="inlineStr">
        <is>
          <t>.</t>
        </is>
      </c>
      <c r="M202" t="inlineStr">
        <is>
          <t>ACT-ST</t>
        </is>
      </c>
      <c r="N202" t="n">
        <v>46223</v>
      </c>
    </row>
    <row r="203" ht="36" customHeight="1">
      <c r="A203" t="inlineStr">
        <is>
          <t>45df3ef6-80fc-4d47-a09b-bd5423f56ae1</t>
        </is>
      </c>
      <c r="B203" t="inlineStr">
        <is>
          <t>Invoice payment</t>
        </is>
      </c>
      <c r="C203" s="162" t="n">
        <v>45944</v>
      </c>
      <c r="D203" t="inlineStr">
        <is>
          <t>BP Alice Springs</t>
        </is>
      </c>
      <c r="E203" t="inlineStr">
        <is>
          <t>Out</t>
        </is>
      </c>
      <c r="F203" t="n">
        <v>135.01</v>
      </c>
      <c r="G203" t="inlineStr">
        <is>
          <t>DELETED</t>
        </is>
      </c>
      <c r="H203" t="inlineStr">
        <is>
          <t>No</t>
        </is>
      </c>
      <c r="I203" t="inlineStr">
        <is>
          <t>19251</t>
        </is>
      </c>
      <c r="J203" t="inlineStr">
        <is>
          <t>Goods-tagged</t>
        </is>
      </c>
      <c r="K203">
        <f>IF(AND(G203="AUTHORISED",J203="Goods-tagged"),F203,0)</f>
        <v/>
      </c>
      <c r="L203" t="inlineStr">
        <is>
          <t>.</t>
        </is>
      </c>
      <c r="M203" t="inlineStr">
        <is>
          <t>ACT-ST</t>
        </is>
      </c>
      <c r="N203" t="n">
        <v>46223</v>
      </c>
    </row>
    <row r="204" ht="36" customHeight="1">
      <c r="A204" t="inlineStr">
        <is>
          <t>7ab27dbe-3f5f-4395-861f-25bacb84ddac</t>
        </is>
      </c>
      <c r="B204" t="inlineStr">
        <is>
          <t>Invoice payment</t>
        </is>
      </c>
      <c r="C204" s="162" t="n">
        <v>45944</v>
      </c>
      <c r="D204" t="inlineStr">
        <is>
          <t>BP Alice Springs</t>
        </is>
      </c>
      <c r="E204" t="inlineStr">
        <is>
          <t>Out</t>
        </is>
      </c>
      <c r="F204" t="n">
        <v>135.01</v>
      </c>
      <c r="G204" t="inlineStr">
        <is>
          <t>AUTHORISED</t>
        </is>
      </c>
      <c r="H204" t="inlineStr">
        <is>
          <t>Yes</t>
        </is>
      </c>
      <c r="I204" t="inlineStr">
        <is>
          <t>19251</t>
        </is>
      </c>
      <c r="J204" t="inlineStr">
        <is>
          <t>Goods-tagged</t>
        </is>
      </c>
      <c r="K204">
        <f>IF(AND(G204="AUTHORISED",J204="Goods-tagged"),F204,0)</f>
        <v/>
      </c>
      <c r="L204" t="inlineStr">
        <is>
          <t>.</t>
        </is>
      </c>
      <c r="M204" t="inlineStr">
        <is>
          <t>ACT-ST</t>
        </is>
      </c>
      <c r="N204" t="n">
        <v>46223</v>
      </c>
    </row>
    <row r="205" ht="36" customHeight="1">
      <c r="A205" t="inlineStr">
        <is>
          <t>b5ac3140-0029-4d4b-b2a8-d4f4d1678c3c</t>
        </is>
      </c>
      <c r="B205" t="inlineStr">
        <is>
          <t>Invoice payment</t>
        </is>
      </c>
      <c r="C205" s="162" t="n">
        <v>45944</v>
      </c>
      <c r="D205" t="inlineStr">
        <is>
          <t>Worldsmart Retail</t>
        </is>
      </c>
      <c r="E205" t="inlineStr">
        <is>
          <t>Out</t>
        </is>
      </c>
      <c r="F205" t="n">
        <v>240.86</v>
      </c>
      <c r="G205" t="inlineStr">
        <is>
          <t>AUTHORISED</t>
        </is>
      </c>
      <c r="H205" t="inlineStr">
        <is>
          <t>Yes</t>
        </is>
      </c>
      <c r="I205" t="inlineStr">
        <is>
          <t>11662</t>
        </is>
      </c>
      <c r="J205" t="inlineStr">
        <is>
          <t>Goods-tagged</t>
        </is>
      </c>
      <c r="K205">
        <f>IF(AND(G205="AUTHORISED",J205="Goods-tagged"),F205,0)</f>
        <v/>
      </c>
      <c r="L205" t="inlineStr">
        <is>
          <t>.</t>
        </is>
      </c>
      <c r="M205" t="inlineStr">
        <is>
          <t>ACT-ST</t>
        </is>
      </c>
      <c r="N205" t="n">
        <v>46223</v>
      </c>
    </row>
    <row r="206" ht="36" customHeight="1">
      <c r="A206" t="inlineStr">
        <is>
          <t>eb5021aa-034e-4f9b-a46c-75bae4cfc748</t>
        </is>
      </c>
      <c r="B206" t="inlineStr">
        <is>
          <t>Invoice payment</t>
        </is>
      </c>
      <c r="C206" s="162" t="n">
        <v>45944</v>
      </c>
      <c r="D206" t="inlineStr">
        <is>
          <t>One68 General Store &amp; Takeaway</t>
        </is>
      </c>
      <c r="E206" t="inlineStr">
        <is>
          <t>Out</t>
        </is>
      </c>
      <c r="F206" t="n">
        <v>111.95</v>
      </c>
      <c r="G206" t="inlineStr">
        <is>
          <t>DELETED</t>
        </is>
      </c>
      <c r="H206" t="inlineStr">
        <is>
          <t>No</t>
        </is>
      </c>
      <c r="I206" t="inlineStr">
        <is>
          <t>35825</t>
        </is>
      </c>
      <c r="J206" t="inlineStr">
        <is>
          <t>Goods-tagged</t>
        </is>
      </c>
      <c r="K206">
        <f>IF(AND(G206="AUTHORISED",J206="Goods-tagged"),F206,0)</f>
        <v/>
      </c>
      <c r="L206" t="inlineStr">
        <is>
          <t>.</t>
        </is>
      </c>
      <c r="M206" t="inlineStr">
        <is>
          <t>ACT-ST</t>
        </is>
      </c>
      <c r="N206" t="n">
        <v>46223</v>
      </c>
    </row>
    <row r="207" ht="36" customHeight="1">
      <c r="A207" t="inlineStr">
        <is>
          <t>fef65718-7987-4266-a8ce-6ec8f629e186</t>
        </is>
      </c>
      <c r="B207" t="inlineStr">
        <is>
          <t>Invoice payment</t>
        </is>
      </c>
      <c r="C207" s="162" t="n">
        <v>45944</v>
      </c>
      <c r="D207" t="inlineStr">
        <is>
          <t>One68 General Store &amp; Takeaway</t>
        </is>
      </c>
      <c r="E207" t="inlineStr">
        <is>
          <t>Out</t>
        </is>
      </c>
      <c r="F207" t="n">
        <v>111.95</v>
      </c>
      <c r="G207" t="inlineStr">
        <is>
          <t>AUTHORISED</t>
        </is>
      </c>
      <c r="H207" t="inlineStr">
        <is>
          <t>Yes</t>
        </is>
      </c>
      <c r="I207" t="inlineStr">
        <is>
          <t>35825</t>
        </is>
      </c>
      <c r="J207" t="inlineStr">
        <is>
          <t>Goods-tagged</t>
        </is>
      </c>
      <c r="K207">
        <f>IF(AND(G207="AUTHORISED",J207="Goods-tagged"),F207,0)</f>
        <v/>
      </c>
      <c r="L207" t="inlineStr">
        <is>
          <t>.</t>
        </is>
      </c>
      <c r="M207" t="inlineStr">
        <is>
          <t>ACT-ST</t>
        </is>
      </c>
      <c r="N207" t="n">
        <v>46223</v>
      </c>
    </row>
    <row r="208" ht="36" customHeight="1">
      <c r="A208" t="inlineStr">
        <is>
          <t>1df97b12-2fd5-4f32-9371-cc4e7db76c51</t>
        </is>
      </c>
      <c r="B208" t="inlineStr">
        <is>
          <t>Bank transaction</t>
        </is>
      </c>
      <c r="C208" s="162" t="n">
        <v>45945</v>
      </c>
      <c r="D208" t="inlineStr">
        <is>
          <t>Uber</t>
        </is>
      </c>
      <c r="E208" t="inlineStr">
        <is>
          <t>Out</t>
        </is>
      </c>
      <c r="F208" t="n">
        <v>18.47</v>
      </c>
      <c r="G208" t="inlineStr">
        <is>
          <t>DELETED</t>
        </is>
      </c>
      <c r="H208" t="inlineStr">
        <is>
          <t>No</t>
        </is>
      </c>
      <c r="I208" t="inlineStr">
        <is>
          <t>452</t>
        </is>
      </c>
      <c r="J208" t="inlineStr">
        <is>
          <t>Goods-tagged</t>
        </is>
      </c>
      <c r="K208">
        <f>IF(AND(G208="AUTHORISED",J208="Goods-tagged"),F208,0)</f>
        <v/>
      </c>
      <c r="L208" t="inlineStr">
        <is>
          <t>Uber</t>
        </is>
      </c>
      <c r="M208" t="inlineStr">
        <is>
          <t>ACT-ST</t>
        </is>
      </c>
      <c r="N208" t="n">
        <v>46211</v>
      </c>
    </row>
    <row r="209" ht="36" customHeight="1">
      <c r="A209" t="inlineStr">
        <is>
          <t>995436f8-0673-48ee-8a2d-a08968ed3fff</t>
        </is>
      </c>
      <c r="B209" t="inlineStr">
        <is>
          <t>Invoice payment</t>
        </is>
      </c>
      <c r="C209" s="162" t="n">
        <v>45945</v>
      </c>
      <c r="D209" t="inlineStr">
        <is>
          <t>Lola's Pergola</t>
        </is>
      </c>
      <c r="E209" t="inlineStr">
        <is>
          <t>Out</t>
        </is>
      </c>
      <c r="F209" t="n">
        <v>147.1</v>
      </c>
      <c r="G209" t="inlineStr">
        <is>
          <t>AUTHORISED</t>
        </is>
      </c>
      <c r="H209" t="inlineStr">
        <is>
          <t>Yes</t>
        </is>
      </c>
      <c r="I209" t="inlineStr">
        <is>
          <t>461518</t>
        </is>
      </c>
      <c r="J209" t="inlineStr">
        <is>
          <t>Goods-tagged</t>
        </is>
      </c>
      <c r="K209">
        <f>IF(AND(G209="AUTHORISED",J209="Goods-tagged"),F209,0)</f>
        <v/>
      </c>
      <c r="L209" t="inlineStr">
        <is>
          <t>. / .</t>
        </is>
      </c>
      <c r="M209" t="inlineStr">
        <is>
          <t>ACT-ST</t>
        </is>
      </c>
      <c r="N209" t="n">
        <v>46223</v>
      </c>
    </row>
    <row r="210" ht="36" customHeight="1">
      <c r="A210" t="inlineStr">
        <is>
          <t>b1ca05f8-326f-4dac-b2c0-44a159a520d5</t>
        </is>
      </c>
      <c r="B210" t="inlineStr">
        <is>
          <t>Invoice payment</t>
        </is>
      </c>
      <c r="C210" s="162" t="n">
        <v>45945</v>
      </c>
      <c r="D210" t="inlineStr">
        <is>
          <t>Lola's Pergola</t>
        </is>
      </c>
      <c r="E210" t="inlineStr">
        <is>
          <t>Out</t>
        </is>
      </c>
      <c r="F210" t="n">
        <v>147.1</v>
      </c>
      <c r="G210" t="inlineStr">
        <is>
          <t>DELETED</t>
        </is>
      </c>
      <c r="H210" t="inlineStr">
        <is>
          <t>No</t>
        </is>
      </c>
      <c r="I210" t="inlineStr">
        <is>
          <t>461518</t>
        </is>
      </c>
      <c r="J210" t="inlineStr">
        <is>
          <t>Goods-tagged</t>
        </is>
      </c>
      <c r="K210">
        <f>IF(AND(G210="AUTHORISED",J210="Goods-tagged"),F210,0)</f>
        <v/>
      </c>
      <c r="L210" t="inlineStr">
        <is>
          <t>. / .</t>
        </is>
      </c>
      <c r="M210" t="inlineStr">
        <is>
          <t>ACT-ST</t>
        </is>
      </c>
      <c r="N210" t="n">
        <v>46223</v>
      </c>
    </row>
    <row r="211" ht="36" customHeight="1">
      <c r="A211" t="inlineStr">
        <is>
          <t>ca39bbf0-44c7-49c6-8826-d697a9d504ae</t>
        </is>
      </c>
      <c r="B211" t="inlineStr">
        <is>
          <t>Invoice payment</t>
        </is>
      </c>
      <c r="C211" s="162" t="n">
        <v>45946</v>
      </c>
      <c r="D211" t="inlineStr">
        <is>
          <t>BP</t>
        </is>
      </c>
      <c r="E211" t="inlineStr">
        <is>
          <t>Out</t>
        </is>
      </c>
      <c r="F211" t="n">
        <v>125.54</v>
      </c>
      <c r="G211" t="inlineStr">
        <is>
          <t>AUTHORISED</t>
        </is>
      </c>
      <c r="H211" t="inlineStr">
        <is>
          <t>Yes</t>
        </is>
      </c>
      <c r="I211" t="inlineStr">
        <is>
          <t>10903</t>
        </is>
      </c>
      <c r="J211" t="inlineStr">
        <is>
          <t>Goods-tagged</t>
        </is>
      </c>
      <c r="K211">
        <f>IF(AND(G211="AUTHORISED",J211="Goods-tagged"),F211,0)</f>
        <v/>
      </c>
      <c r="L211" t="inlineStr">
        <is>
          <t>.</t>
        </is>
      </c>
      <c r="M211" t="inlineStr">
        <is>
          <t>ACT-ST</t>
        </is>
      </c>
      <c r="N211" t="n">
        <v>46223</v>
      </c>
    </row>
    <row r="212" ht="36" customHeight="1">
      <c r="A212" t="inlineStr">
        <is>
          <t>eb3c8719-528b-4a57-922d-88183b0810ae</t>
        </is>
      </c>
      <c r="B212" t="inlineStr">
        <is>
          <t>Invoice payment</t>
        </is>
      </c>
      <c r="C212" s="162" t="n">
        <v>45946</v>
      </c>
      <c r="D212" t="inlineStr">
        <is>
          <t>BP</t>
        </is>
      </c>
      <c r="E212" t="inlineStr">
        <is>
          <t>Out</t>
        </is>
      </c>
      <c r="F212" t="n">
        <v>125.54</v>
      </c>
      <c r="G212" t="inlineStr">
        <is>
          <t>DELETED</t>
        </is>
      </c>
      <c r="H212" t="inlineStr">
        <is>
          <t>No</t>
        </is>
      </c>
      <c r="I212" t="inlineStr">
        <is>
          <t>10903</t>
        </is>
      </c>
      <c r="J212" t="inlineStr">
        <is>
          <t>Goods-tagged</t>
        </is>
      </c>
      <c r="K212">
        <f>IF(AND(G212="AUTHORISED",J212="Goods-tagged"),F212,0)</f>
        <v/>
      </c>
      <c r="L212" t="inlineStr">
        <is>
          <t>.</t>
        </is>
      </c>
      <c r="M212" t="inlineStr">
        <is>
          <t>ACT-ST</t>
        </is>
      </c>
      <c r="N212" t="n">
        <v>46223</v>
      </c>
    </row>
    <row r="213" ht="36" customHeight="1">
      <c r="A213" t="inlineStr">
        <is>
          <t>b0eb1d9d-ffd4-40a0-b05f-16bf04805bfc</t>
        </is>
      </c>
      <c r="B213" t="inlineStr">
        <is>
          <t>Bank transaction</t>
        </is>
      </c>
      <c r="C213" s="162" t="n">
        <v>45949</v>
      </c>
      <c r="D213" t="inlineStr">
        <is>
          <t>Uber</t>
        </is>
      </c>
      <c r="E213" t="inlineStr">
        <is>
          <t>Out</t>
        </is>
      </c>
      <c r="F213" t="n">
        <v>64.37</v>
      </c>
      <c r="G213" t="inlineStr">
        <is>
          <t>DELETED</t>
        </is>
      </c>
      <c r="H213" t="inlineStr">
        <is>
          <t>No</t>
        </is>
      </c>
      <c r="I213" t="inlineStr">
        <is>
          <t>452</t>
        </is>
      </c>
      <c r="J213" t="inlineStr">
        <is>
          <t>Goods-tagged</t>
        </is>
      </c>
      <c r="K213">
        <f>IF(AND(G213="AUTHORISED",J213="Goods-tagged"),F213,0)</f>
        <v/>
      </c>
      <c r="L213" t="inlineStr">
        <is>
          <t>Uber</t>
        </is>
      </c>
      <c r="M213" t="inlineStr">
        <is>
          <t>ACT-ST</t>
        </is>
      </c>
      <c r="N213" t="n">
        <v>46211</v>
      </c>
    </row>
    <row r="214" ht="36" customHeight="1">
      <c r="A214" t="inlineStr">
        <is>
          <t>9d35e4ea-74be-4cc3-a55b-017775038d12</t>
        </is>
      </c>
      <c r="B214" t="inlineStr">
        <is>
          <t>Bank transaction</t>
        </is>
      </c>
      <c r="C214" s="162" t="n">
        <v>45950</v>
      </c>
      <c r="D214" t="inlineStr">
        <is>
          <t>Virgin Australia</t>
        </is>
      </c>
      <c r="E214" t="inlineStr">
        <is>
          <t>Out</t>
        </is>
      </c>
      <c r="F214" t="n">
        <v>759.45</v>
      </c>
      <c r="G214" t="inlineStr">
        <is>
          <t>AUTHORISED</t>
        </is>
      </c>
      <c r="H214" t="inlineStr">
        <is>
          <t>Yes</t>
        </is>
      </c>
      <c r="I214" t="inlineStr">
        <is>
          <t>493</t>
        </is>
      </c>
      <c r="J214" t="inlineStr">
        <is>
          <t>Goods-tagged</t>
        </is>
      </c>
      <c r="K214">
        <f>IF(AND(G214="AUTHORISED",J214="Goods-tagged"),F214,0)</f>
        <v/>
      </c>
      <c r="M214" t="inlineStr">
        <is>
          <t>ACT-ST</t>
        </is>
      </c>
      <c r="N214" t="n">
        <v>46211</v>
      </c>
    </row>
    <row r="215" ht="36" customHeight="1">
      <c r="A215" t="inlineStr">
        <is>
          <t>61f93a18-e4b0-43b5-9a37-b8af0d9d149e</t>
        </is>
      </c>
      <c r="B215" t="inlineStr">
        <is>
          <t>Invoice payment</t>
        </is>
      </c>
      <c r="C215" s="162" t="n">
        <v>45951</v>
      </c>
      <c r="D215" t="inlineStr">
        <is>
          <t>Loadshift Sydney</t>
        </is>
      </c>
      <c r="E215" t="inlineStr">
        <is>
          <t>Out</t>
        </is>
      </c>
      <c r="F215" t="n">
        <v>1243.59</v>
      </c>
      <c r="G215" t="inlineStr">
        <is>
          <t>AUTHORISED</t>
        </is>
      </c>
      <c r="H215" t="inlineStr">
        <is>
          <t>Yes</t>
        </is>
      </c>
      <c r="J215" t="inlineStr">
        <is>
          <t>Goods-tagged</t>
        </is>
      </c>
      <c r="K215">
        <f>IF(AND(G215="AUTHORISED",J215="Goods-tagged"),F215,0)</f>
        <v/>
      </c>
      <c r="L215" t="inlineStr">
        <is>
          <t>Loadshift Sydney — Operations — ACT-GD</t>
        </is>
      </c>
      <c r="M215" t="inlineStr">
        <is>
          <t>ACT-ST</t>
        </is>
      </c>
      <c r="N215" t="n">
        <v>46223</v>
      </c>
    </row>
    <row r="216" ht="36" customHeight="1">
      <c r="A216" t="inlineStr">
        <is>
          <t>f96fcedd-8bfc-4e1d-9222-d75196434a64</t>
        </is>
      </c>
      <c r="B216" t="inlineStr">
        <is>
          <t>Bank transaction</t>
        </is>
      </c>
      <c r="C216" s="162" t="n">
        <v>45952</v>
      </c>
      <c r="D216" t="inlineStr">
        <is>
          <t>Virgin Australia</t>
        </is>
      </c>
      <c r="E216" t="inlineStr">
        <is>
          <t>Out</t>
        </is>
      </c>
      <c r="F216" t="n">
        <v>385.79</v>
      </c>
      <c r="G216" t="inlineStr">
        <is>
          <t>AUTHORISED</t>
        </is>
      </c>
      <c r="H216" t="inlineStr">
        <is>
          <t>Yes</t>
        </is>
      </c>
      <c r="J216" t="inlineStr">
        <is>
          <t>Goods-tagged</t>
        </is>
      </c>
      <c r="K216">
        <f>IF(AND(G216="AUTHORISED",J216="Goods-tagged"),F216,0)</f>
        <v/>
      </c>
      <c r="M216" t="inlineStr">
        <is>
          <t>ACT-ST</t>
        </is>
      </c>
      <c r="N216" t="n">
        <v>46237</v>
      </c>
    </row>
    <row r="217" ht="36" customHeight="1">
      <c r="A217" t="inlineStr">
        <is>
          <t>05d1ef50-0aae-4eea-afbf-f38f12053fa9</t>
        </is>
      </c>
      <c r="B217" t="inlineStr">
        <is>
          <t>Invoice payment</t>
        </is>
      </c>
      <c r="C217" s="162" t="n">
        <v>45952</v>
      </c>
      <c r="D217" t="inlineStr">
        <is>
          <t>Sukhothai Authentic Thai Restaurant</t>
        </is>
      </c>
      <c r="E217" t="inlineStr">
        <is>
          <t>Out</t>
        </is>
      </c>
      <c r="F217" t="n">
        <v>96.09999999999999</v>
      </c>
      <c r="G217" t="inlineStr">
        <is>
          <t>AUTHORISED</t>
        </is>
      </c>
      <c r="H217" t="inlineStr">
        <is>
          <t>Yes</t>
        </is>
      </c>
      <c r="I217" t="inlineStr">
        <is>
          <t>Suk000052</t>
        </is>
      </c>
      <c r="J217" t="inlineStr">
        <is>
          <t>Goods-tagged</t>
        </is>
      </c>
      <c r="K217">
        <f>IF(AND(G217="AUTHORISED",J217="Goods-tagged"),F217,0)</f>
        <v/>
      </c>
      <c r="L217" t="inlineStr">
        <is>
          <t>.</t>
        </is>
      </c>
      <c r="M217" t="inlineStr">
        <is>
          <t>ACT-ST</t>
        </is>
      </c>
      <c r="N217" t="n">
        <v>46223</v>
      </c>
    </row>
    <row r="218" ht="36" customHeight="1">
      <c r="A218" t="inlineStr">
        <is>
          <t>1aff783c-c64b-48ea-a488-3c80b5420101</t>
        </is>
      </c>
      <c r="B218" t="inlineStr">
        <is>
          <t>Invoice payment</t>
        </is>
      </c>
      <c r="C218" s="162" t="n">
        <v>45952</v>
      </c>
      <c r="D218" t="inlineStr">
        <is>
          <t>Bunnings Warehouse</t>
        </is>
      </c>
      <c r="E218" t="inlineStr">
        <is>
          <t>Out</t>
        </is>
      </c>
      <c r="F218" t="n">
        <v>340.13</v>
      </c>
      <c r="G218" t="inlineStr">
        <is>
          <t>DELETED</t>
        </is>
      </c>
      <c r="H218" t="inlineStr">
        <is>
          <t>No</t>
        </is>
      </c>
      <c r="I218" t="inlineStr">
        <is>
          <t>7313/09607544</t>
        </is>
      </c>
      <c r="J218" t="inlineStr">
        <is>
          <t>Goods-tagged</t>
        </is>
      </c>
      <c r="K218">
        <f>IF(AND(G218="AUTHORISED",J218="Goods-tagged"),F218,0)</f>
        <v/>
      </c>
      <c r="L218" t="inlineStr">
        <is>
          <t>.</t>
        </is>
      </c>
      <c r="M218" t="inlineStr">
        <is>
          <t>ACT-ST</t>
        </is>
      </c>
      <c r="N218" t="n">
        <v>46223</v>
      </c>
    </row>
    <row r="219" ht="36" customHeight="1">
      <c r="A219" t="inlineStr">
        <is>
          <t>7c0eabce-b718-4ce7-b261-b07f3c70c8db</t>
        </is>
      </c>
      <c r="B219" t="inlineStr">
        <is>
          <t>Invoice payment</t>
        </is>
      </c>
      <c r="C219" s="162" t="n">
        <v>45952</v>
      </c>
      <c r="D219" t="inlineStr">
        <is>
          <t>Sukhothai Authentic Thai Restaurant</t>
        </is>
      </c>
      <c r="E219" t="inlineStr">
        <is>
          <t>Out</t>
        </is>
      </c>
      <c r="F219" t="n">
        <v>96.09999999999999</v>
      </c>
      <c r="G219" t="inlineStr">
        <is>
          <t>DELETED</t>
        </is>
      </c>
      <c r="H219" t="inlineStr">
        <is>
          <t>No</t>
        </is>
      </c>
      <c r="I219" t="inlineStr">
        <is>
          <t>Suk000052</t>
        </is>
      </c>
      <c r="J219" t="inlineStr">
        <is>
          <t>Goods-tagged</t>
        </is>
      </c>
      <c r="K219">
        <f>IF(AND(G219="AUTHORISED",J219="Goods-tagged"),F219,0)</f>
        <v/>
      </c>
      <c r="L219" t="inlineStr">
        <is>
          <t>.</t>
        </is>
      </c>
      <c r="M219" t="inlineStr">
        <is>
          <t>ACT-ST</t>
        </is>
      </c>
      <c r="N219" t="n">
        <v>46223</v>
      </c>
    </row>
    <row r="220" ht="36" customHeight="1">
      <c r="A220" t="inlineStr">
        <is>
          <t>c396a52d-7943-4a91-a9ba-1261b16c818d</t>
        </is>
      </c>
      <c r="B220" t="inlineStr">
        <is>
          <t>Invoice payment</t>
        </is>
      </c>
      <c r="C220" s="162" t="n">
        <v>45952</v>
      </c>
      <c r="D220" t="inlineStr">
        <is>
          <t>Bunnings Warehouse</t>
        </is>
      </c>
      <c r="E220" t="inlineStr">
        <is>
          <t>Out</t>
        </is>
      </c>
      <c r="F220" t="n">
        <v>340.13</v>
      </c>
      <c r="G220" t="inlineStr">
        <is>
          <t>AUTHORISED</t>
        </is>
      </c>
      <c r="H220" t="inlineStr">
        <is>
          <t>Yes</t>
        </is>
      </c>
      <c r="I220" t="inlineStr">
        <is>
          <t>7313/09607544</t>
        </is>
      </c>
      <c r="J220" t="inlineStr">
        <is>
          <t>Goods-tagged</t>
        </is>
      </c>
      <c r="K220">
        <f>IF(AND(G220="AUTHORISED",J220="Goods-tagged"),F220,0)</f>
        <v/>
      </c>
      <c r="L220" t="inlineStr">
        <is>
          <t>.</t>
        </is>
      </c>
      <c r="M220" t="inlineStr">
        <is>
          <t>ACT-ST</t>
        </is>
      </c>
      <c r="N220" t="n">
        <v>46223</v>
      </c>
    </row>
    <row r="221" ht="36" customHeight="1">
      <c r="A221" t="inlineStr">
        <is>
          <t>02bb5c54-84e8-4bf2-a3e9-803a43fb77ba</t>
        </is>
      </c>
      <c r="B221" t="inlineStr">
        <is>
          <t>Invoice payment</t>
        </is>
      </c>
      <c r="C221" s="162" t="n">
        <v>45953</v>
      </c>
      <c r="D221" t="inlineStr">
        <is>
          <t>George St Deli</t>
        </is>
      </c>
      <c r="E221" t="inlineStr">
        <is>
          <t>Out</t>
        </is>
      </c>
      <c r="F221" t="n">
        <v>77.3</v>
      </c>
      <c r="G221" t="inlineStr">
        <is>
          <t>DELETED</t>
        </is>
      </c>
      <c r="H221" t="inlineStr">
        <is>
          <t>No</t>
        </is>
      </c>
      <c r="I221" t="inlineStr">
        <is>
          <t>f7w1</t>
        </is>
      </c>
      <c r="J221" t="inlineStr">
        <is>
          <t>Goods-tagged</t>
        </is>
      </c>
      <c r="K221">
        <f>IF(AND(G221="AUTHORISED",J221="Goods-tagged"),F221,0)</f>
        <v/>
      </c>
      <c r="L221" t="inlineStr">
        <is>
          <t>.</t>
        </is>
      </c>
      <c r="M221" t="inlineStr">
        <is>
          <t>ACT-ST</t>
        </is>
      </c>
      <c r="N221" t="n">
        <v>46223</v>
      </c>
    </row>
    <row r="222" ht="36" customHeight="1">
      <c r="A222" t="inlineStr">
        <is>
          <t>15084088-69a9-4b7f-9e69-5092e8d387c4</t>
        </is>
      </c>
      <c r="B222" t="inlineStr">
        <is>
          <t>Invoice payment</t>
        </is>
      </c>
      <c r="C222" s="162" t="n">
        <v>45953</v>
      </c>
      <c r="D222" t="inlineStr">
        <is>
          <t>George St Deli</t>
        </is>
      </c>
      <c r="E222" t="inlineStr">
        <is>
          <t>Out</t>
        </is>
      </c>
      <c r="F222" t="n">
        <v>77.3</v>
      </c>
      <c r="G222" t="inlineStr">
        <is>
          <t>AUTHORISED</t>
        </is>
      </c>
      <c r="H222" t="inlineStr">
        <is>
          <t>Yes</t>
        </is>
      </c>
      <c r="I222" t="inlineStr">
        <is>
          <t>f7w1</t>
        </is>
      </c>
      <c r="J222" t="inlineStr">
        <is>
          <t>Goods-tagged</t>
        </is>
      </c>
      <c r="K222">
        <f>IF(AND(G222="AUTHORISED",J222="Goods-tagged"),F222,0)</f>
        <v/>
      </c>
      <c r="L222" t="inlineStr">
        <is>
          <t>.</t>
        </is>
      </c>
      <c r="M222" t="inlineStr">
        <is>
          <t>ACT-ST</t>
        </is>
      </c>
      <c r="N222" t="n">
        <v>46223</v>
      </c>
    </row>
    <row r="223" ht="36" customHeight="1">
      <c r="A223" t="inlineStr">
        <is>
          <t>38093abd-8e82-4871-a972-132e5ee86046</t>
        </is>
      </c>
      <c r="B223" t="inlineStr">
        <is>
          <t>Invoice payment</t>
        </is>
      </c>
      <c r="C223" s="162" t="n">
        <v>45953</v>
      </c>
      <c r="D223" t="inlineStr">
        <is>
          <t>Metro</t>
        </is>
      </c>
      <c r="E223" t="inlineStr">
        <is>
          <t>Out</t>
        </is>
      </c>
      <c r="F223" t="n">
        <v>173.83</v>
      </c>
      <c r="G223" t="inlineStr">
        <is>
          <t>AUTHORISED</t>
        </is>
      </c>
      <c r="H223" t="inlineStr">
        <is>
          <t>Yes</t>
        </is>
      </c>
      <c r="I223" t="inlineStr">
        <is>
          <t>1459</t>
        </is>
      </c>
      <c r="J223" t="inlineStr">
        <is>
          <t>Goods-tagged</t>
        </is>
      </c>
      <c r="K223">
        <f>IF(AND(G223="AUTHORISED",J223="Goods-tagged"),F223,0)</f>
        <v/>
      </c>
      <c r="L223" t="inlineStr">
        <is>
          <t>. / .</t>
        </is>
      </c>
      <c r="M223" t="inlineStr">
        <is>
          <t>ACT-ST</t>
        </is>
      </c>
      <c r="N223" t="n">
        <v>46223</v>
      </c>
    </row>
    <row r="224" ht="36" customHeight="1">
      <c r="A224" t="inlineStr">
        <is>
          <t>748e7b1b-49f7-458d-abe5-9c72f218ce9d</t>
        </is>
      </c>
      <c r="B224" t="inlineStr">
        <is>
          <t>Invoice payment</t>
        </is>
      </c>
      <c r="C224" s="162" t="n">
        <v>45953</v>
      </c>
      <c r="D224" t="inlineStr">
        <is>
          <t>Metro</t>
        </is>
      </c>
      <c r="E224" t="inlineStr">
        <is>
          <t>Out</t>
        </is>
      </c>
      <c r="F224" t="n">
        <v>173.83</v>
      </c>
      <c r="G224" t="inlineStr">
        <is>
          <t>DELETED</t>
        </is>
      </c>
      <c r="H224" t="inlineStr">
        <is>
          <t>No</t>
        </is>
      </c>
      <c r="I224" t="inlineStr">
        <is>
          <t>1459</t>
        </is>
      </c>
      <c r="J224" t="inlineStr">
        <is>
          <t>Goods-tagged</t>
        </is>
      </c>
      <c r="K224">
        <f>IF(AND(G224="AUTHORISED",J224="Goods-tagged"),F224,0)</f>
        <v/>
      </c>
      <c r="L224" t="inlineStr">
        <is>
          <t>. / .</t>
        </is>
      </c>
      <c r="M224" t="inlineStr">
        <is>
          <t>ACT-ST</t>
        </is>
      </c>
      <c r="N224" t="n">
        <v>46223</v>
      </c>
    </row>
    <row r="225" ht="36" customHeight="1">
      <c r="A225" t="inlineStr">
        <is>
          <t>f2903a05-bd01-437c-8b2a-1611069837ce</t>
        </is>
      </c>
      <c r="B225" t="inlineStr">
        <is>
          <t>Bank transaction</t>
        </is>
      </c>
      <c r="C225" s="162" t="n">
        <v>45954</v>
      </c>
      <c r="D225" t="inlineStr">
        <is>
          <t>Oonchiumpa Consultancy and Services</t>
        </is>
      </c>
      <c r="E225" t="inlineStr">
        <is>
          <t>Out</t>
        </is>
      </c>
      <c r="F225" t="n">
        <v>4000</v>
      </c>
      <c r="G225" t="inlineStr">
        <is>
          <t>AUTHORISED</t>
        </is>
      </c>
      <c r="H225" t="inlineStr">
        <is>
          <t>Yes</t>
        </is>
      </c>
      <c r="I225" t="inlineStr">
        <is>
          <t>486</t>
        </is>
      </c>
      <c r="J225" t="inlineStr">
        <is>
          <t>Goods-tagged</t>
        </is>
      </c>
      <c r="K225">
        <f>IF(AND(G225="AUTHORISED",J225="Goods-tagged"),F225,0)</f>
        <v/>
      </c>
      <c r="L225" t="inlineStr">
        <is>
          <t>OONCHIUMPA K3168472731</t>
        </is>
      </c>
      <c r="M225" t="inlineStr">
        <is>
          <t>ACT-ST</t>
        </is>
      </c>
      <c r="N225" t="n">
        <v>46211</v>
      </c>
    </row>
    <row r="226" ht="36" customHeight="1">
      <c r="A226" t="inlineStr">
        <is>
          <t>87ad4b3e-737f-44b6-ad9e-2a5fcc0fd5b8</t>
        </is>
      </c>
      <c r="B226" t="inlineStr">
        <is>
          <t>Bank transaction</t>
        </is>
      </c>
      <c r="C226" s="162" t="n">
        <v>45955</v>
      </c>
      <c r="D226" t="inlineStr">
        <is>
          <t>Uber</t>
        </is>
      </c>
      <c r="E226" t="inlineStr">
        <is>
          <t>Out</t>
        </is>
      </c>
      <c r="F226" t="n">
        <v>42.79</v>
      </c>
      <c r="G226" t="inlineStr">
        <is>
          <t>DELETED</t>
        </is>
      </c>
      <c r="H226" t="inlineStr">
        <is>
          <t>No</t>
        </is>
      </c>
      <c r="I226" t="inlineStr">
        <is>
          <t>452</t>
        </is>
      </c>
      <c r="J226" t="inlineStr">
        <is>
          <t>Goods-tagged</t>
        </is>
      </c>
      <c r="K226">
        <f>IF(AND(G226="AUTHORISED",J226="Goods-tagged"),F226,0)</f>
        <v/>
      </c>
      <c r="L226" t="inlineStr">
        <is>
          <t>Uber</t>
        </is>
      </c>
      <c r="M226" t="inlineStr">
        <is>
          <t>ACT-ST</t>
        </is>
      </c>
      <c r="N226" t="n">
        <v>46211</v>
      </c>
    </row>
    <row r="227" ht="36" customHeight="1">
      <c r="A227" t="inlineStr">
        <is>
          <t>30530a3b-8028-4383-8b17-c1a0b764caf3</t>
        </is>
      </c>
      <c r="B227" t="inlineStr">
        <is>
          <t>Bank transaction</t>
        </is>
      </c>
      <c r="C227" s="162" t="n">
        <v>45957</v>
      </c>
      <c r="D227" t="inlineStr">
        <is>
          <t>Qantas</t>
        </is>
      </c>
      <c r="E227" t="inlineStr">
        <is>
          <t>Out</t>
        </is>
      </c>
      <c r="F227" t="n">
        <v>283.29</v>
      </c>
      <c r="G227" t="inlineStr">
        <is>
          <t>DELETED</t>
        </is>
      </c>
      <c r="H227" t="inlineStr">
        <is>
          <t>No</t>
        </is>
      </c>
      <c r="I227" t="inlineStr">
        <is>
          <t>493</t>
        </is>
      </c>
      <c r="J227" t="inlineStr">
        <is>
          <t>Goods-tagged</t>
        </is>
      </c>
      <c r="K227">
        <f>IF(AND(G227="AUTHORISED",J227="Goods-tagged"),F227,0)</f>
        <v/>
      </c>
      <c r="L227" t="inlineStr">
        <is>
          <t>Benjamin Knight - Brisbane to Melbourne</t>
        </is>
      </c>
      <c r="M227" t="inlineStr">
        <is>
          <t>ACT-ST</t>
        </is>
      </c>
      <c r="N227" t="n">
        <v>46211</v>
      </c>
    </row>
    <row r="228" ht="36" customHeight="1">
      <c r="A228" t="inlineStr">
        <is>
          <t>4288b1e6-5750-424d-a795-277f4b282953</t>
        </is>
      </c>
      <c r="B228" t="inlineStr">
        <is>
          <t>Bank transaction</t>
        </is>
      </c>
      <c r="C228" s="162" t="n">
        <v>45958</v>
      </c>
      <c r="D228" t="inlineStr">
        <is>
          <t>Uber</t>
        </is>
      </c>
      <c r="E228" t="inlineStr">
        <is>
          <t>Out</t>
        </is>
      </c>
      <c r="F228" t="n">
        <v>46</v>
      </c>
      <c r="G228" t="inlineStr">
        <is>
          <t>DELETED</t>
        </is>
      </c>
      <c r="H228" t="inlineStr">
        <is>
          <t>No</t>
        </is>
      </c>
      <c r="I228" t="inlineStr">
        <is>
          <t>452</t>
        </is>
      </c>
      <c r="J228" t="inlineStr">
        <is>
          <t>Goods-tagged</t>
        </is>
      </c>
      <c r="K228">
        <f>IF(AND(G228="AUTHORISED",J228="Goods-tagged"),F228,0)</f>
        <v/>
      </c>
      <c r="L228" t="inlineStr">
        <is>
          <t>Uber</t>
        </is>
      </c>
      <c r="M228" t="inlineStr">
        <is>
          <t>ACT-ST</t>
        </is>
      </c>
      <c r="N228" t="n">
        <v>46211</v>
      </c>
    </row>
    <row r="229" ht="36" customHeight="1">
      <c r="A229" t="inlineStr">
        <is>
          <t>12ff2804-6b59-4af7-8980-8d6dacf12a5a</t>
        </is>
      </c>
      <c r="B229" t="inlineStr">
        <is>
          <t>Invoice payment</t>
        </is>
      </c>
      <c r="C229" s="162" t="n">
        <v>45958</v>
      </c>
      <c r="D229" t="inlineStr">
        <is>
          <t>Liberty Maleny</t>
        </is>
      </c>
      <c r="E229" t="inlineStr">
        <is>
          <t>Out</t>
        </is>
      </c>
      <c r="F229" t="n">
        <v>226.35</v>
      </c>
      <c r="G229" t="inlineStr">
        <is>
          <t>DELETED</t>
        </is>
      </c>
      <c r="H229" t="inlineStr">
        <is>
          <t>No</t>
        </is>
      </c>
      <c r="I229" t="inlineStr">
        <is>
          <t>715332-6</t>
        </is>
      </c>
      <c r="J229" t="inlineStr">
        <is>
          <t>Goods-tagged</t>
        </is>
      </c>
      <c r="K229">
        <f>IF(AND(G229="AUTHORISED",J229="Goods-tagged"),F229,0)</f>
        <v/>
      </c>
      <c r="L229" t="inlineStr">
        <is>
          <t>Fuel - Diesel</t>
        </is>
      </c>
      <c r="M229" t="inlineStr">
        <is>
          <t>ACT-ST</t>
        </is>
      </c>
      <c r="N229" t="n">
        <v>46223</v>
      </c>
    </row>
    <row r="230" ht="36" customHeight="1">
      <c r="A230" t="inlineStr">
        <is>
          <t>4ad10dd4-f31f-452b-b4f7-c6640637d492</t>
        </is>
      </c>
      <c r="B230" t="inlineStr">
        <is>
          <t>Invoice payment</t>
        </is>
      </c>
      <c r="C230" s="162" t="n">
        <v>45958</v>
      </c>
      <c r="D230" t="inlineStr">
        <is>
          <t>Liberty Maleny</t>
        </is>
      </c>
      <c r="E230" t="inlineStr">
        <is>
          <t>Out</t>
        </is>
      </c>
      <c r="F230" t="n">
        <v>226.35</v>
      </c>
      <c r="G230" t="inlineStr">
        <is>
          <t>AUTHORISED</t>
        </is>
      </c>
      <c r="H230" t="inlineStr">
        <is>
          <t>Yes</t>
        </is>
      </c>
      <c r="I230" t="inlineStr">
        <is>
          <t>715332-6</t>
        </is>
      </c>
      <c r="J230" t="inlineStr">
        <is>
          <t>Goods-tagged</t>
        </is>
      </c>
      <c r="K230">
        <f>IF(AND(G230="AUTHORISED",J230="Goods-tagged"),F230,0)</f>
        <v/>
      </c>
      <c r="L230" t="inlineStr">
        <is>
          <t>Fuel - Diesel</t>
        </is>
      </c>
      <c r="M230" t="inlineStr">
        <is>
          <t>ACT-ST</t>
        </is>
      </c>
      <c r="N230" t="n">
        <v>46223</v>
      </c>
    </row>
    <row r="231" ht="36" customHeight="1">
      <c r="A231" t="inlineStr">
        <is>
          <t>20335541-1827-40a7-a401-1fdbbcc0181a</t>
        </is>
      </c>
      <c r="B231" t="inlineStr">
        <is>
          <t>Bank transaction</t>
        </is>
      </c>
      <c r="C231" s="162" t="n">
        <v>45959</v>
      </c>
      <c r="D231" t="inlineStr">
        <is>
          <t>Uber</t>
        </is>
      </c>
      <c r="E231" t="inlineStr">
        <is>
          <t>Out</t>
        </is>
      </c>
      <c r="F231" t="n">
        <v>23.48</v>
      </c>
      <c r="G231" t="inlineStr">
        <is>
          <t>DELETED</t>
        </is>
      </c>
      <c r="H231" t="inlineStr">
        <is>
          <t>No</t>
        </is>
      </c>
      <c r="I231" t="inlineStr">
        <is>
          <t>452</t>
        </is>
      </c>
      <c r="J231" t="inlineStr">
        <is>
          <t>Goods-tagged</t>
        </is>
      </c>
      <c r="K231">
        <f>IF(AND(G231="AUTHORISED",J231="Goods-tagged"),F231,0)</f>
        <v/>
      </c>
      <c r="L231" t="inlineStr">
        <is>
          <t>Uber</t>
        </is>
      </c>
      <c r="M231" t="inlineStr">
        <is>
          <t>ACT-ST</t>
        </is>
      </c>
      <c r="N231" t="n">
        <v>46211</v>
      </c>
    </row>
    <row r="232" ht="36" customHeight="1">
      <c r="A232" t="inlineStr">
        <is>
          <t>3b3b40b7-b7ad-4b4b-8ee4-5de5a9c2af8f</t>
        </is>
      </c>
      <c r="B232" t="inlineStr">
        <is>
          <t>Invoice payment</t>
        </is>
      </c>
      <c r="C232" s="162" t="n">
        <v>45959</v>
      </c>
      <c r="D232" t="inlineStr">
        <is>
          <t>Maleny Hotel</t>
        </is>
      </c>
      <c r="E232" t="inlineStr">
        <is>
          <t>Out</t>
        </is>
      </c>
      <c r="F232" t="n">
        <v>81.81</v>
      </c>
      <c r="G232" t="inlineStr">
        <is>
          <t>DELETED</t>
        </is>
      </c>
      <c r="H232" t="inlineStr">
        <is>
          <t>No</t>
        </is>
      </c>
      <c r="I232" t="inlineStr">
        <is>
          <t>12913</t>
        </is>
      </c>
      <c r="J232" t="inlineStr">
        <is>
          <t>Goods-tagged</t>
        </is>
      </c>
      <c r="K232">
        <f>IF(AND(G232="AUTHORISED",J232="Goods-tagged"),F232,0)</f>
        <v/>
      </c>
      <c r="L232" t="inlineStr">
        <is>
          <t>.</t>
        </is>
      </c>
      <c r="M232" t="inlineStr">
        <is>
          <t>ACT-ST</t>
        </is>
      </c>
      <c r="N232" t="n">
        <v>46223</v>
      </c>
    </row>
    <row r="233" ht="36" customHeight="1">
      <c r="A233" t="inlineStr">
        <is>
          <t>abf52465-80e6-4bfd-b492-dadc821702ea</t>
        </is>
      </c>
      <c r="B233" t="inlineStr">
        <is>
          <t>Invoice payment</t>
        </is>
      </c>
      <c r="C233" s="162" t="n">
        <v>45959</v>
      </c>
      <c r="D233" t="inlineStr">
        <is>
          <t>Maleny Hotel</t>
        </is>
      </c>
      <c r="E233" t="inlineStr">
        <is>
          <t>Out</t>
        </is>
      </c>
      <c r="F233" t="n">
        <v>81.81</v>
      </c>
      <c r="G233" t="inlineStr">
        <is>
          <t>AUTHORISED</t>
        </is>
      </c>
      <c r="H233" t="inlineStr">
        <is>
          <t>Yes</t>
        </is>
      </c>
      <c r="I233" t="inlineStr">
        <is>
          <t>12913</t>
        </is>
      </c>
      <c r="J233" t="inlineStr">
        <is>
          <t>Goods-tagged</t>
        </is>
      </c>
      <c r="K233">
        <f>IF(AND(G233="AUTHORISED",J233="Goods-tagged"),F233,0)</f>
        <v/>
      </c>
      <c r="L233" t="inlineStr">
        <is>
          <t>.</t>
        </is>
      </c>
      <c r="M233" t="inlineStr">
        <is>
          <t>ACT-ST</t>
        </is>
      </c>
      <c r="N233" t="n">
        <v>46223</v>
      </c>
    </row>
    <row r="234" ht="36" customHeight="1">
      <c r="A234" t="inlineStr">
        <is>
          <t>eb93493c-e572-43d0-bba6-5805fe814166</t>
        </is>
      </c>
      <c r="B234" t="inlineStr">
        <is>
          <t>Invoice payment</t>
        </is>
      </c>
      <c r="C234" s="162" t="n">
        <v>45959</v>
      </c>
      <c r="D234" t="inlineStr">
        <is>
          <t>Booking.com</t>
        </is>
      </c>
      <c r="E234" t="inlineStr">
        <is>
          <t>Out</t>
        </is>
      </c>
      <c r="F234" t="n">
        <v>217.72</v>
      </c>
      <c r="G234" t="inlineStr">
        <is>
          <t>AUTHORISED</t>
        </is>
      </c>
      <c r="H234" t="inlineStr">
        <is>
          <t>Yes</t>
        </is>
      </c>
      <c r="I234" t="inlineStr">
        <is>
          <t>6181149269</t>
        </is>
      </c>
      <c r="J234" t="inlineStr">
        <is>
          <t>Goods-tagged</t>
        </is>
      </c>
      <c r="K234">
        <f>IF(AND(G234="AUTHORISED",J234="Goods-tagged"),F234,0)</f>
        <v/>
      </c>
      <c r="L234" t="inlineStr">
        <is>
          <t>Accommodation</t>
        </is>
      </c>
      <c r="M234" t="inlineStr">
        <is>
          <t>ACT-ST</t>
        </is>
      </c>
      <c r="N234" t="n">
        <v>46223</v>
      </c>
    </row>
    <row r="235" ht="36" customHeight="1">
      <c r="A235" t="inlineStr">
        <is>
          <t>026bfe30-e1e3-4c41-b04e-42722a48a26e</t>
        </is>
      </c>
      <c r="B235" t="inlineStr">
        <is>
          <t>Bank transaction</t>
        </is>
      </c>
      <c r="C235" s="162" t="n">
        <v>45960</v>
      </c>
      <c r="D235" t="inlineStr">
        <is>
          <t>Uber</t>
        </is>
      </c>
      <c r="E235" t="inlineStr">
        <is>
          <t>Out</t>
        </is>
      </c>
      <c r="F235" t="n">
        <v>29.38</v>
      </c>
      <c r="G235" t="inlineStr">
        <is>
          <t>DELETED</t>
        </is>
      </c>
      <c r="H235" t="inlineStr">
        <is>
          <t>No</t>
        </is>
      </c>
      <c r="I235" t="inlineStr">
        <is>
          <t>452</t>
        </is>
      </c>
      <c r="J235" t="inlineStr">
        <is>
          <t>Goods-tagged</t>
        </is>
      </c>
      <c r="K235">
        <f>IF(AND(G235="AUTHORISED",J235="Goods-tagged"),F235,0)</f>
        <v/>
      </c>
      <c r="L235" t="inlineStr">
        <is>
          <t>Uber</t>
        </is>
      </c>
      <c r="M235" t="inlineStr">
        <is>
          <t>ACT-ST</t>
        </is>
      </c>
      <c r="N235" t="n">
        <v>46211</v>
      </c>
    </row>
    <row r="236" ht="78" customHeight="1">
      <c r="A236" t="inlineStr">
        <is>
          <t>1d52b619-5161-4b2d-ba7d-4383787adfee</t>
        </is>
      </c>
      <c r="B236" t="inlineStr">
        <is>
          <t>Bank transaction</t>
        </is>
      </c>
      <c r="C236" s="162" t="n">
        <v>45965</v>
      </c>
      <c r="D236" t="inlineStr">
        <is>
          <t>Bunnings</t>
        </is>
      </c>
      <c r="E236" t="inlineStr">
        <is>
          <t>Out</t>
        </is>
      </c>
      <c r="F236" t="n">
        <v>200</v>
      </c>
      <c r="G236" t="inlineStr">
        <is>
          <t>AUTHORISED</t>
        </is>
      </c>
      <c r="H236" t="inlineStr">
        <is>
          <t>Yes</t>
        </is>
      </c>
      <c r="I236" t="inlineStr">
        <is>
          <t>430</t>
        </is>
      </c>
      <c r="J236" t="inlineStr">
        <is>
          <t>Goods-tagged</t>
        </is>
      </c>
      <c r="K236">
        <f>IF(AND(G236="AUTHORISED",J236="Goods-tagged"),F236,0)</f>
        <v/>
      </c>
      <c r="L236" t="inlineStr">
        <is>
          <t>[no matching receipt on file; reviewer-corrected] Reimbursement to Shane Bloomfield (from Oonchiumpa) for a Bunnings purchase for the Goods project (ACT-GD), account 430. GST-free — a consumer Bunnings receipt in Shane's name can't support a GST credit.</t>
        </is>
      </c>
      <c r="M236" t="inlineStr">
        <is>
          <t>ACT-ST</t>
        </is>
      </c>
      <c r="N236" t="n">
        <v>46211</v>
      </c>
    </row>
    <row r="237" ht="36" customHeight="1">
      <c r="A237" t="inlineStr">
        <is>
          <t>7bd95281-0fb3-4cea-93cc-155320857415</t>
        </is>
      </c>
      <c r="B237" t="inlineStr">
        <is>
          <t>Bank transaction</t>
        </is>
      </c>
      <c r="C237" s="162" t="n">
        <v>45965</v>
      </c>
      <c r="D237" t="inlineStr">
        <is>
          <t>Woolworths</t>
        </is>
      </c>
      <c r="E237" t="inlineStr">
        <is>
          <t>Out</t>
        </is>
      </c>
      <c r="F237" t="n">
        <v>72</v>
      </c>
      <c r="G237" t="inlineStr">
        <is>
          <t>AUTHORISED</t>
        </is>
      </c>
      <c r="H237" t="inlineStr">
        <is>
          <t>Yes</t>
        </is>
      </c>
      <c r="I237" t="inlineStr">
        <is>
          <t>493</t>
        </is>
      </c>
      <c r="J237" t="inlineStr">
        <is>
          <t>Goods-tagged</t>
        </is>
      </c>
      <c r="K237">
        <f>IF(AND(G237="AUTHORISED",J237="Goods-tagged"),F237,0)</f>
        <v/>
      </c>
      <c r="L237" t="inlineStr">
        <is>
          <t>.</t>
        </is>
      </c>
      <c r="M237" t="inlineStr">
        <is>
          <t>ACT-ST</t>
        </is>
      </c>
      <c r="N237" t="n">
        <v>46211</v>
      </c>
    </row>
    <row r="238" ht="36" customHeight="1">
      <c r="A238" t="inlineStr">
        <is>
          <t>881e9a77-6c8f-4245-a2b7-f031bc086d59</t>
        </is>
      </c>
      <c r="B238" t="inlineStr">
        <is>
          <t>Bank transaction</t>
        </is>
      </c>
      <c r="C238" s="162" t="n">
        <v>45965</v>
      </c>
      <c r="D238" t="inlineStr">
        <is>
          <t>Woolworths</t>
        </is>
      </c>
      <c r="E238" t="inlineStr">
        <is>
          <t>Out</t>
        </is>
      </c>
      <c r="F238" t="n">
        <v>165.99</v>
      </c>
      <c r="G238" t="inlineStr">
        <is>
          <t>AUTHORISED</t>
        </is>
      </c>
      <c r="H238" t="inlineStr">
        <is>
          <t>Yes</t>
        </is>
      </c>
      <c r="I238" t="inlineStr">
        <is>
          <t>493</t>
        </is>
      </c>
      <c r="J238" t="inlineStr">
        <is>
          <t>Goods-tagged</t>
        </is>
      </c>
      <c r="K238">
        <f>IF(AND(G238="AUTHORISED",J238="Goods-tagged"),F238,0)</f>
        <v/>
      </c>
      <c r="L238" t="inlineStr">
        <is>
          <t>.</t>
        </is>
      </c>
      <c r="M238" t="inlineStr">
        <is>
          <t>ACT-ST</t>
        </is>
      </c>
      <c r="N238" t="n">
        <v>46211</v>
      </c>
    </row>
    <row r="239" ht="36" customHeight="1">
      <c r="A239" t="inlineStr">
        <is>
          <t>1d21db2a-6bdf-487f-a4f5-603ee5af183a</t>
        </is>
      </c>
      <c r="B239" t="inlineStr">
        <is>
          <t>Invoice payment</t>
        </is>
      </c>
      <c r="C239" s="162" t="n">
        <v>45965</v>
      </c>
      <c r="D239" t="inlineStr">
        <is>
          <t>United</t>
        </is>
      </c>
      <c r="E239" t="inlineStr">
        <is>
          <t>Out</t>
        </is>
      </c>
      <c r="F239" t="n">
        <v>185.05</v>
      </c>
      <c r="G239" t="inlineStr">
        <is>
          <t>AUTHORISED</t>
        </is>
      </c>
      <c r="H239" t="inlineStr">
        <is>
          <t>Yes</t>
        </is>
      </c>
      <c r="I239" t="inlineStr">
        <is>
          <t>985164</t>
        </is>
      </c>
      <c r="J239" t="inlineStr">
        <is>
          <t>Goods-tagged</t>
        </is>
      </c>
      <c r="K239">
        <f>IF(AND(G239="AUTHORISED",J239="Goods-tagged"),F239,0)</f>
        <v/>
      </c>
      <c r="L239" t="inlineStr">
        <is>
          <t>.</t>
        </is>
      </c>
      <c r="M239" t="inlineStr">
        <is>
          <t>ACT-ST</t>
        </is>
      </c>
      <c r="N239" t="n">
        <v>46223</v>
      </c>
    </row>
    <row r="240" ht="36" customHeight="1">
      <c r="A240" t="inlineStr">
        <is>
          <t>22403515-c6cc-490d-af0b-9cd7ccc6ee8c</t>
        </is>
      </c>
      <c r="B240" t="inlineStr">
        <is>
          <t>Invoice payment</t>
        </is>
      </c>
      <c r="C240" s="162" t="n">
        <v>45965</v>
      </c>
      <c r="D240" t="inlineStr">
        <is>
          <t>Banh Mi Express</t>
        </is>
      </c>
      <c r="E240" t="inlineStr">
        <is>
          <t>Out</t>
        </is>
      </c>
      <c r="F240" t="n">
        <v>131.88</v>
      </c>
      <c r="G240" t="inlineStr">
        <is>
          <t>AUTHORISED</t>
        </is>
      </c>
      <c r="H240" t="inlineStr">
        <is>
          <t>Yes</t>
        </is>
      </c>
      <c r="I240" t="inlineStr">
        <is>
          <t>00022025110347</t>
        </is>
      </c>
      <c r="J240" t="inlineStr">
        <is>
          <t>Goods-tagged</t>
        </is>
      </c>
      <c r="K240">
        <f>IF(AND(G240="AUTHORISED",J240="Goods-tagged"),F240,0)</f>
        <v/>
      </c>
      <c r="L240" t="inlineStr">
        <is>
          <t>.</t>
        </is>
      </c>
      <c r="M240" t="inlineStr">
        <is>
          <t>ACT-ST</t>
        </is>
      </c>
      <c r="N240" t="n">
        <v>46223</v>
      </c>
    </row>
    <row r="241" ht="36" customHeight="1">
      <c r="A241" t="inlineStr">
        <is>
          <t>6b901b77-4284-407b-99ea-650783ae3cd2</t>
        </is>
      </c>
      <c r="B241" t="inlineStr">
        <is>
          <t>Invoice payment</t>
        </is>
      </c>
      <c r="C241" s="162" t="n">
        <v>45965</v>
      </c>
      <c r="D241" t="inlineStr">
        <is>
          <t>Banh Mi Express</t>
        </is>
      </c>
      <c r="E241" t="inlineStr">
        <is>
          <t>Out</t>
        </is>
      </c>
      <c r="F241" t="n">
        <v>131.88</v>
      </c>
      <c r="G241" t="inlineStr">
        <is>
          <t>DELETED</t>
        </is>
      </c>
      <c r="H241" t="inlineStr">
        <is>
          <t>No</t>
        </is>
      </c>
      <c r="I241" t="inlineStr">
        <is>
          <t>00022025110347</t>
        </is>
      </c>
      <c r="J241" t="inlineStr">
        <is>
          <t>Goods-tagged</t>
        </is>
      </c>
      <c r="K241">
        <f>IF(AND(G241="AUTHORISED",J241="Goods-tagged"),F241,0)</f>
        <v/>
      </c>
      <c r="L241" t="inlineStr">
        <is>
          <t>.</t>
        </is>
      </c>
      <c r="M241" t="inlineStr">
        <is>
          <t>ACT-ST</t>
        </is>
      </c>
      <c r="N241" t="n">
        <v>46223</v>
      </c>
    </row>
    <row r="242" ht="36" customHeight="1">
      <c r="A242" t="inlineStr">
        <is>
          <t>8b8f0ed1-49cc-4982-9642-05ab62c7a694</t>
        </is>
      </c>
      <c r="B242" t="inlineStr">
        <is>
          <t>Invoice payment</t>
        </is>
      </c>
      <c r="C242" s="162" t="n">
        <v>45965</v>
      </c>
      <c r="D242" t="inlineStr">
        <is>
          <t>United</t>
        </is>
      </c>
      <c r="E242" t="inlineStr">
        <is>
          <t>Out</t>
        </is>
      </c>
      <c r="F242" t="n">
        <v>185.05</v>
      </c>
      <c r="G242" t="inlineStr">
        <is>
          <t>DELETED</t>
        </is>
      </c>
      <c r="H242" t="inlineStr">
        <is>
          <t>No</t>
        </is>
      </c>
      <c r="I242" t="inlineStr">
        <is>
          <t>985164</t>
        </is>
      </c>
      <c r="J242" t="inlineStr">
        <is>
          <t>Goods-tagged</t>
        </is>
      </c>
      <c r="K242">
        <f>IF(AND(G242="AUTHORISED",J242="Goods-tagged"),F242,0)</f>
        <v/>
      </c>
      <c r="L242" t="inlineStr">
        <is>
          <t>.</t>
        </is>
      </c>
      <c r="M242" t="inlineStr">
        <is>
          <t>ACT-ST</t>
        </is>
      </c>
      <c r="N242" t="n">
        <v>46223</v>
      </c>
    </row>
    <row r="243" ht="36" customHeight="1">
      <c r="A243" t="inlineStr">
        <is>
          <t>993f7b06-15d1-45af-a21e-c6a0451d636c</t>
        </is>
      </c>
      <c r="B243" t="inlineStr">
        <is>
          <t>Invoice payment</t>
        </is>
      </c>
      <c r="C243" s="162" t="n">
        <v>45965</v>
      </c>
      <c r="D243" t="inlineStr">
        <is>
          <t>United</t>
        </is>
      </c>
      <c r="E243" t="inlineStr">
        <is>
          <t>Out</t>
        </is>
      </c>
      <c r="F243" t="n">
        <v>219.99</v>
      </c>
      <c r="G243" t="inlineStr">
        <is>
          <t>AUTHORISED</t>
        </is>
      </c>
      <c r="H243" t="inlineStr">
        <is>
          <t>Yes</t>
        </is>
      </c>
      <c r="I243" t="inlineStr">
        <is>
          <t>953326</t>
        </is>
      </c>
      <c r="J243" t="inlineStr">
        <is>
          <t>Goods-tagged</t>
        </is>
      </c>
      <c r="K243">
        <f>IF(AND(G243="AUTHORISED",J243="Goods-tagged"),F243,0)</f>
        <v/>
      </c>
      <c r="L243" t="inlineStr">
        <is>
          <t>. / .</t>
        </is>
      </c>
      <c r="M243" t="inlineStr">
        <is>
          <t>ACT-ST</t>
        </is>
      </c>
      <c r="N243" t="n">
        <v>46223</v>
      </c>
    </row>
    <row r="244" ht="36" customHeight="1">
      <c r="A244" t="inlineStr">
        <is>
          <t>c397772c-9035-4497-93c3-015d612bea28</t>
        </is>
      </c>
      <c r="B244" t="inlineStr">
        <is>
          <t>Invoice payment</t>
        </is>
      </c>
      <c r="C244" s="162" t="n">
        <v>45965</v>
      </c>
      <c r="D244" t="inlineStr">
        <is>
          <t>United</t>
        </is>
      </c>
      <c r="E244" t="inlineStr">
        <is>
          <t>Out</t>
        </is>
      </c>
      <c r="F244" t="n">
        <v>219.99</v>
      </c>
      <c r="G244" t="inlineStr">
        <is>
          <t>DELETED</t>
        </is>
      </c>
      <c r="H244" t="inlineStr">
        <is>
          <t>No</t>
        </is>
      </c>
      <c r="I244" t="inlineStr">
        <is>
          <t>953326</t>
        </is>
      </c>
      <c r="J244" t="inlineStr">
        <is>
          <t>Goods-tagged</t>
        </is>
      </c>
      <c r="K244">
        <f>IF(AND(G244="AUTHORISED",J244="Goods-tagged"),F244,0)</f>
        <v/>
      </c>
      <c r="L244" t="inlineStr">
        <is>
          <t>. / .</t>
        </is>
      </c>
      <c r="M244" t="inlineStr">
        <is>
          <t>ACT-ST</t>
        </is>
      </c>
      <c r="N244" t="n">
        <v>46223</v>
      </c>
    </row>
    <row r="245" ht="36" customHeight="1">
      <c r="A245" t="inlineStr">
        <is>
          <t>cc71ab3a-04ca-46d5-a541-942f11ddad29</t>
        </is>
      </c>
      <c r="B245" t="inlineStr">
        <is>
          <t>Invoice payment</t>
        </is>
      </c>
      <c r="C245" s="162" t="n">
        <v>45965</v>
      </c>
      <c r="D245" t="inlineStr">
        <is>
          <t>BP</t>
        </is>
      </c>
      <c r="E245" t="inlineStr">
        <is>
          <t>Out</t>
        </is>
      </c>
      <c r="F245" t="n">
        <v>165.02</v>
      </c>
      <c r="G245" t="inlineStr">
        <is>
          <t>DELETED</t>
        </is>
      </c>
      <c r="H245" t="inlineStr">
        <is>
          <t>No</t>
        </is>
      </c>
      <c r="I245" t="inlineStr">
        <is>
          <t>143501</t>
        </is>
      </c>
      <c r="J245" t="inlineStr">
        <is>
          <t>Goods-tagged</t>
        </is>
      </c>
      <c r="K245">
        <f>IF(AND(G245="AUTHORISED",J245="Goods-tagged"),F245,0)</f>
        <v/>
      </c>
      <c r="L245" t="inlineStr">
        <is>
          <t>.</t>
        </is>
      </c>
      <c r="M245" t="inlineStr">
        <is>
          <t>ACT-ST</t>
        </is>
      </c>
      <c r="N245" t="n">
        <v>46223</v>
      </c>
    </row>
    <row r="246" ht="36" customHeight="1">
      <c r="A246" t="inlineStr">
        <is>
          <t>fd8c09f9-4dc9-4386-a7b4-5be2ec37d730</t>
        </is>
      </c>
      <c r="B246" t="inlineStr">
        <is>
          <t>Invoice payment</t>
        </is>
      </c>
      <c r="C246" s="162" t="n">
        <v>45965</v>
      </c>
      <c r="D246" t="inlineStr">
        <is>
          <t>BP</t>
        </is>
      </c>
      <c r="E246" t="inlineStr">
        <is>
          <t>Out</t>
        </is>
      </c>
      <c r="F246" t="n">
        <v>165.02</v>
      </c>
      <c r="G246" t="inlineStr">
        <is>
          <t>AUTHORISED</t>
        </is>
      </c>
      <c r="H246" t="inlineStr">
        <is>
          <t>Yes</t>
        </is>
      </c>
      <c r="I246" t="inlineStr">
        <is>
          <t>143501</t>
        </is>
      </c>
      <c r="J246" t="inlineStr">
        <is>
          <t>Goods-tagged</t>
        </is>
      </c>
      <c r="K246">
        <f>IF(AND(G246="AUTHORISED",J246="Goods-tagged"),F246,0)</f>
        <v/>
      </c>
      <c r="L246" t="inlineStr">
        <is>
          <t>.</t>
        </is>
      </c>
      <c r="M246" t="inlineStr">
        <is>
          <t>ACT-ST</t>
        </is>
      </c>
      <c r="N246" t="n">
        <v>46223</v>
      </c>
    </row>
    <row r="247" ht="36" customHeight="1">
      <c r="A247" t="inlineStr">
        <is>
          <t>89731245-f7d6-47a2-8243-3a95af4e75be</t>
        </is>
      </c>
      <c r="B247" t="inlineStr">
        <is>
          <t>Invoice payment</t>
        </is>
      </c>
      <c r="C247" s="162" t="n">
        <v>45966</v>
      </c>
      <c r="D247" t="inlineStr">
        <is>
          <t>Page 27</t>
        </is>
      </c>
      <c r="E247" t="inlineStr">
        <is>
          <t>Out</t>
        </is>
      </c>
      <c r="F247" t="n">
        <v>82.72</v>
      </c>
      <c r="G247" t="inlineStr">
        <is>
          <t>AUTHORISED</t>
        </is>
      </c>
      <c r="H247" t="inlineStr">
        <is>
          <t>Yes</t>
        </is>
      </c>
      <c r="I247" t="inlineStr">
        <is>
          <t>703459</t>
        </is>
      </c>
      <c r="J247" t="inlineStr">
        <is>
          <t>Goods-tagged</t>
        </is>
      </c>
      <c r="K247">
        <f>IF(AND(G247="AUTHORISED",J247="Goods-tagged"),F247,0)</f>
        <v/>
      </c>
      <c r="L247" t="inlineStr">
        <is>
          <t>.</t>
        </is>
      </c>
      <c r="M247" t="inlineStr">
        <is>
          <t>ACT-ST</t>
        </is>
      </c>
      <c r="N247" t="n">
        <v>46223</v>
      </c>
    </row>
    <row r="248" ht="36" customHeight="1">
      <c r="A248" t="inlineStr">
        <is>
          <t>f59c6a97-6616-4f53-8023-a4e81be2b768</t>
        </is>
      </c>
      <c r="B248" t="inlineStr">
        <is>
          <t>Invoice payment</t>
        </is>
      </c>
      <c r="C248" s="162" t="n">
        <v>45966</v>
      </c>
      <c r="D248" t="inlineStr">
        <is>
          <t>Page 27</t>
        </is>
      </c>
      <c r="E248" t="inlineStr">
        <is>
          <t>Out</t>
        </is>
      </c>
      <c r="F248" t="n">
        <v>82.72</v>
      </c>
      <c r="G248" t="inlineStr">
        <is>
          <t>DELETED</t>
        </is>
      </c>
      <c r="H248" t="inlineStr">
        <is>
          <t>No</t>
        </is>
      </c>
      <c r="I248" t="inlineStr">
        <is>
          <t>703459</t>
        </is>
      </c>
      <c r="J248" t="inlineStr">
        <is>
          <t>Goods-tagged</t>
        </is>
      </c>
      <c r="K248">
        <f>IF(AND(G248="AUTHORISED",J248="Goods-tagged"),F248,0)</f>
        <v/>
      </c>
      <c r="L248" t="inlineStr">
        <is>
          <t>.</t>
        </is>
      </c>
      <c r="M248" t="inlineStr">
        <is>
          <t>ACT-ST</t>
        </is>
      </c>
      <c r="N248" t="n">
        <v>46223</v>
      </c>
    </row>
    <row r="249" ht="36" customHeight="1">
      <c r="A249" t="inlineStr">
        <is>
          <t>2695eb59-0188-4fc0-8521-8155a38a1e8a</t>
        </is>
      </c>
      <c r="B249" t="inlineStr">
        <is>
          <t>Invoice payment</t>
        </is>
      </c>
      <c r="C249" s="162" t="n">
        <v>45967</v>
      </c>
      <c r="D249" t="inlineStr">
        <is>
          <t>Bunnings Warehouse</t>
        </is>
      </c>
      <c r="E249" t="inlineStr">
        <is>
          <t>Out</t>
        </is>
      </c>
      <c r="F249" t="n">
        <v>1845.51</v>
      </c>
      <c r="G249" t="inlineStr">
        <is>
          <t>DELETED</t>
        </is>
      </c>
      <c r="H249" t="inlineStr">
        <is>
          <t>No</t>
        </is>
      </c>
      <c r="I249" t="inlineStr">
        <is>
          <t>RB18556094130</t>
        </is>
      </c>
      <c r="J249" t="inlineStr">
        <is>
          <t>Goods-tagged</t>
        </is>
      </c>
      <c r="K249">
        <f>IF(AND(G249="AUTHORISED",J249="Goods-tagged"),F249,0)</f>
        <v/>
      </c>
      <c r="L249" t="inlineStr">
        <is>
          <t>.</t>
        </is>
      </c>
      <c r="M249" t="inlineStr">
        <is>
          <t>ACT-ST</t>
        </is>
      </c>
      <c r="N249" t="n">
        <v>46223</v>
      </c>
    </row>
    <row r="250" ht="36" customHeight="1">
      <c r="A250" t="inlineStr">
        <is>
          <t>5449a740-8fbb-4d60-89c1-9e4e9efd5b0e</t>
        </is>
      </c>
      <c r="B250" t="inlineStr">
        <is>
          <t>Invoice payment</t>
        </is>
      </c>
      <c r="C250" s="162" t="n">
        <v>45967</v>
      </c>
      <c r="D250" t="inlineStr">
        <is>
          <t>Bunnings Warehouse</t>
        </is>
      </c>
      <c r="E250" t="inlineStr">
        <is>
          <t>Out</t>
        </is>
      </c>
      <c r="F250" t="n">
        <v>2797.38</v>
      </c>
      <c r="G250" t="inlineStr">
        <is>
          <t>DELETED</t>
        </is>
      </c>
      <c r="H250" t="inlineStr">
        <is>
          <t>No</t>
        </is>
      </c>
      <c r="I250" t="inlineStr">
        <is>
          <t>2125/01135215</t>
        </is>
      </c>
      <c r="J250" t="inlineStr">
        <is>
          <t>Goods-tagged</t>
        </is>
      </c>
      <c r="K250">
        <f>IF(AND(G250="AUTHORISED",J250="Goods-tagged"),F250,0)</f>
        <v/>
      </c>
      <c r="L250" t="inlineStr">
        <is>
          <t>.</t>
        </is>
      </c>
      <c r="M250" t="inlineStr">
        <is>
          <t>ACT-ST</t>
        </is>
      </c>
      <c r="N250" t="n">
        <v>46223</v>
      </c>
    </row>
    <row r="251" ht="36" customHeight="1">
      <c r="A251" t="inlineStr">
        <is>
          <t>c45c3c1e-c60f-4b5f-8a71-199757e33672</t>
        </is>
      </c>
      <c r="B251" t="inlineStr">
        <is>
          <t>Invoice payment</t>
        </is>
      </c>
      <c r="C251" s="162" t="n">
        <v>45967</v>
      </c>
      <c r="D251" t="inlineStr">
        <is>
          <t>Bunnings Warehouse</t>
        </is>
      </c>
      <c r="E251" t="inlineStr">
        <is>
          <t>Out</t>
        </is>
      </c>
      <c r="F251" t="n">
        <v>1845.51</v>
      </c>
      <c r="G251" t="inlineStr">
        <is>
          <t>AUTHORISED</t>
        </is>
      </c>
      <c r="H251" t="inlineStr">
        <is>
          <t>Yes</t>
        </is>
      </c>
      <c r="I251" t="inlineStr">
        <is>
          <t>RB18556094130</t>
        </is>
      </c>
      <c r="J251" t="inlineStr">
        <is>
          <t>Goods-tagged</t>
        </is>
      </c>
      <c r="K251">
        <f>IF(AND(G251="AUTHORISED",J251="Goods-tagged"),F251,0)</f>
        <v/>
      </c>
      <c r="L251" t="inlineStr">
        <is>
          <t>.</t>
        </is>
      </c>
      <c r="M251" t="inlineStr">
        <is>
          <t>ACT-ST</t>
        </is>
      </c>
      <c r="N251" t="n">
        <v>46223</v>
      </c>
    </row>
    <row r="252" ht="36" customHeight="1">
      <c r="A252" t="inlineStr">
        <is>
          <t>cfcdf997-fa61-4897-a86e-d3a1475b0f6b</t>
        </is>
      </c>
      <c r="B252" t="inlineStr">
        <is>
          <t>Invoice payment</t>
        </is>
      </c>
      <c r="C252" s="162" t="n">
        <v>45967</v>
      </c>
      <c r="D252" t="inlineStr">
        <is>
          <t>Bunnings Warehouse</t>
        </is>
      </c>
      <c r="E252" t="inlineStr">
        <is>
          <t>Out</t>
        </is>
      </c>
      <c r="F252" t="n">
        <v>2797.38</v>
      </c>
      <c r="G252" t="inlineStr">
        <is>
          <t>AUTHORISED</t>
        </is>
      </c>
      <c r="H252" t="inlineStr">
        <is>
          <t>Yes</t>
        </is>
      </c>
      <c r="I252" t="inlineStr">
        <is>
          <t>2125/01135215</t>
        </is>
      </c>
      <c r="J252" t="inlineStr">
        <is>
          <t>Goods-tagged</t>
        </is>
      </c>
      <c r="K252">
        <f>IF(AND(G252="AUTHORISED",J252="Goods-tagged"),F252,0)</f>
        <v/>
      </c>
      <c r="L252" t="inlineStr">
        <is>
          <t>.</t>
        </is>
      </c>
      <c r="M252" t="inlineStr">
        <is>
          <t>ACT-ST</t>
        </is>
      </c>
      <c r="N252" t="n">
        <v>46223</v>
      </c>
    </row>
    <row r="253" ht="36" customHeight="1">
      <c r="A253" t="inlineStr">
        <is>
          <t>7ed0bf29-45cd-4f3b-bbce-a036f938fa6a</t>
        </is>
      </c>
      <c r="B253" t="inlineStr">
        <is>
          <t>Bank transaction</t>
        </is>
      </c>
      <c r="C253" s="162" t="n">
        <v>45971</v>
      </c>
      <c r="D253" t="inlineStr">
        <is>
          <t>Qantas Group Accommodation</t>
        </is>
      </c>
      <c r="E253" t="inlineStr">
        <is>
          <t>Out</t>
        </is>
      </c>
      <c r="F253" t="n">
        <v>249</v>
      </c>
      <c r="G253" t="inlineStr">
        <is>
          <t>DELETED</t>
        </is>
      </c>
      <c r="H253" t="inlineStr">
        <is>
          <t>No</t>
        </is>
      </c>
      <c r="I253" t="inlineStr">
        <is>
          <t>493</t>
        </is>
      </c>
      <c r="J253" t="inlineStr">
        <is>
          <t>Goods-tagged</t>
        </is>
      </c>
      <c r="K253">
        <f>IF(AND(G253="AUTHORISED",J253="Goods-tagged"),F253,0)</f>
        <v/>
      </c>
      <c r="L253" t="inlineStr">
        <is>
          <t>Accommodation for Nick Maresi</t>
        </is>
      </c>
      <c r="M253" t="inlineStr">
        <is>
          <t>ACT-ST</t>
        </is>
      </c>
      <c r="N253" t="n">
        <v>46211</v>
      </c>
    </row>
    <row r="254" ht="36" customHeight="1">
      <c r="A254" t="inlineStr">
        <is>
          <t>351c4d82-1ad2-4c5b-a1a1-ed6d59fa2c2b</t>
        </is>
      </c>
      <c r="B254" t="inlineStr">
        <is>
          <t>Invoice payment</t>
        </is>
      </c>
      <c r="C254" s="162" t="n">
        <v>45971</v>
      </c>
      <c r="D254" t="inlineStr">
        <is>
          <t>Taxi Receipt</t>
        </is>
      </c>
      <c r="E254" t="inlineStr">
        <is>
          <t>Out</t>
        </is>
      </c>
      <c r="F254" t="n">
        <v>45.15</v>
      </c>
      <c r="G254" t="inlineStr">
        <is>
          <t>AUTHORISED</t>
        </is>
      </c>
      <c r="H254" t="inlineStr">
        <is>
          <t>Yes</t>
        </is>
      </c>
      <c r="I254" t="inlineStr">
        <is>
          <t>277178</t>
        </is>
      </c>
      <c r="J254" t="inlineStr">
        <is>
          <t>Goods-tagged</t>
        </is>
      </c>
      <c r="K254">
        <f>IF(AND(G254="AUTHORISED",J254="Goods-tagged"),F254,0)</f>
        <v/>
      </c>
      <c r="L254" t="inlineStr">
        <is>
          <t>. / .</t>
        </is>
      </c>
      <c r="M254" t="inlineStr">
        <is>
          <t>ACT-ST</t>
        </is>
      </c>
      <c r="N254" t="n">
        <v>46223</v>
      </c>
    </row>
    <row r="255" ht="36" customHeight="1">
      <c r="A255" t="inlineStr">
        <is>
          <t>766b4015-39ee-4951-b820-6f6760801af6</t>
        </is>
      </c>
      <c r="B255" t="inlineStr">
        <is>
          <t>Invoice payment</t>
        </is>
      </c>
      <c r="C255" s="162" t="n">
        <v>45971</v>
      </c>
      <c r="D255" t="inlineStr">
        <is>
          <t>Taxi Receipt</t>
        </is>
      </c>
      <c r="E255" t="inlineStr">
        <is>
          <t>Out</t>
        </is>
      </c>
      <c r="F255" t="n">
        <v>45.15</v>
      </c>
      <c r="G255" t="inlineStr">
        <is>
          <t>DELETED</t>
        </is>
      </c>
      <c r="H255" t="inlineStr">
        <is>
          <t>No</t>
        </is>
      </c>
      <c r="I255" t="inlineStr">
        <is>
          <t>277178</t>
        </is>
      </c>
      <c r="J255" t="inlineStr">
        <is>
          <t>Goods-tagged</t>
        </is>
      </c>
      <c r="K255">
        <f>IF(AND(G255="AUTHORISED",J255="Goods-tagged"),F255,0)</f>
        <v/>
      </c>
      <c r="L255" t="inlineStr">
        <is>
          <t>. / .</t>
        </is>
      </c>
      <c r="M255" t="inlineStr">
        <is>
          <t>ACT-ST</t>
        </is>
      </c>
      <c r="N255" t="n">
        <v>46223</v>
      </c>
    </row>
    <row r="256" ht="36" customHeight="1">
      <c r="A256" t="inlineStr">
        <is>
          <t>422e8cf5-eff5-4400-909f-88af3906fe38</t>
        </is>
      </c>
      <c r="B256" t="inlineStr">
        <is>
          <t>Bank transaction</t>
        </is>
      </c>
      <c r="C256" s="162" t="n">
        <v>45974</v>
      </c>
      <c r="D256" t="inlineStr">
        <is>
          <t>Defy Manufacturing</t>
        </is>
      </c>
      <c r="E256" t="inlineStr">
        <is>
          <t>Out</t>
        </is>
      </c>
      <c r="F256" t="n">
        <v>5500</v>
      </c>
      <c r="G256" t="inlineStr">
        <is>
          <t>DELETED</t>
        </is>
      </c>
      <c r="H256" t="inlineStr">
        <is>
          <t>No</t>
        </is>
      </c>
      <c r="I256" t="inlineStr">
        <is>
          <t>400</t>
        </is>
      </c>
      <c r="J256" t="inlineStr">
        <is>
          <t>Goods-tagged</t>
        </is>
      </c>
      <c r="K256">
        <f>IF(AND(G256="AUTHORISED",J256="Goods-tagged"),F256,0)</f>
        <v/>
      </c>
      <c r="L256" t="inlineStr">
        <is>
          <t>Design Development of Single Bed 
 - research</t>
        </is>
      </c>
      <c r="M256" t="inlineStr">
        <is>
          <t>ACT-ST</t>
        </is>
      </c>
      <c r="N256" t="n">
        <v>46211</v>
      </c>
    </row>
    <row r="257" ht="36" customHeight="1">
      <c r="A257" t="inlineStr">
        <is>
          <t>f8a27bd7-a080-4f73-b4e9-6e441e0e2dc8</t>
        </is>
      </c>
      <c r="B257" t="inlineStr">
        <is>
          <t>Bank transaction</t>
        </is>
      </c>
      <c r="C257" s="162" t="n">
        <v>45976</v>
      </c>
      <c r="D257" t="inlineStr">
        <is>
          <t>BP</t>
        </is>
      </c>
      <c r="E257" t="inlineStr">
        <is>
          <t>Out</t>
        </is>
      </c>
      <c r="F257" t="n">
        <v>44.23</v>
      </c>
      <c r="G257" t="inlineStr">
        <is>
          <t>DELETED</t>
        </is>
      </c>
      <c r="H257" t="inlineStr">
        <is>
          <t>No</t>
        </is>
      </c>
      <c r="I257" t="inlineStr">
        <is>
          <t>449</t>
        </is>
      </c>
      <c r="J257" t="inlineStr">
        <is>
          <t>Goods-tagged</t>
        </is>
      </c>
      <c r="K257">
        <f>IF(AND(G257="AUTHORISED",J257="Goods-tagged"),F257,0)</f>
        <v/>
      </c>
      <c r="L257" t="inlineStr">
        <is>
          <t>Fuel - Melbourne Airport</t>
        </is>
      </c>
      <c r="M257" t="inlineStr">
        <is>
          <t>ACT-ST</t>
        </is>
      </c>
      <c r="N257" t="n">
        <v>46211</v>
      </c>
    </row>
    <row r="258" ht="36" customHeight="1">
      <c r="A258" t="inlineStr">
        <is>
          <t>e7901f3f-291d-461c-84e3-0e4a5114168b</t>
        </is>
      </c>
      <c r="B258" t="inlineStr">
        <is>
          <t>Bank transaction</t>
        </is>
      </c>
      <c r="C258" s="162" t="n">
        <v>45978</v>
      </c>
      <c r="D258" t="inlineStr">
        <is>
          <t>Carla Furnishers</t>
        </is>
      </c>
      <c r="E258" t="inlineStr">
        <is>
          <t>Out</t>
        </is>
      </c>
      <c r="F258" t="n">
        <v>11180</v>
      </c>
      <c r="G258" t="inlineStr">
        <is>
          <t>DELETED</t>
        </is>
      </c>
      <c r="H258" t="inlineStr">
        <is>
          <t>No</t>
        </is>
      </c>
      <c r="I258" t="inlineStr">
        <is>
          <t>446</t>
        </is>
      </c>
      <c r="J258" t="inlineStr">
        <is>
          <t>Goods-tagged</t>
        </is>
      </c>
      <c r="K258">
        <f>IF(AND(G258="AUTHORISED",J258="Goods-tagged"),F258,0)</f>
        <v/>
      </c>
      <c r="L258" t="inlineStr">
        <is>
          <t>Speed Queen LWNA62 Traditional Dial control 8kg Top 
 Load Washer</t>
        </is>
      </c>
      <c r="M258" t="inlineStr">
        <is>
          <t>ACT-ST</t>
        </is>
      </c>
      <c r="N258" t="n">
        <v>46211</v>
      </c>
    </row>
    <row r="259" ht="78" customHeight="1">
      <c r="A259" t="inlineStr">
        <is>
          <t>0d54fa8d-8fd7-4d4f-b887-8bf062376b55</t>
        </is>
      </c>
      <c r="B259" t="inlineStr">
        <is>
          <t>Bank transaction</t>
        </is>
      </c>
      <c r="C259" s="162" t="n">
        <v>45979</v>
      </c>
      <c r="D259" t="inlineStr">
        <is>
          <t>Carla Furnishers</t>
        </is>
      </c>
      <c r="E259" t="inlineStr">
        <is>
          <t>Out</t>
        </is>
      </c>
      <c r="F259" t="n">
        <v>5590</v>
      </c>
      <c r="G259" t="inlineStr">
        <is>
          <t>AUTHORISED</t>
        </is>
      </c>
      <c r="H259" t="inlineStr">
        <is>
          <t>Yes</t>
        </is>
      </c>
      <c r="I259" t="inlineStr">
        <is>
          <t>446</t>
        </is>
      </c>
      <c r="J259" t="inlineStr">
        <is>
          <t>Goods-tagged</t>
        </is>
      </c>
      <c r="K259">
        <f>IF(AND(G259="AUTHORISED",J259="Goods-tagged"),F259,0)</f>
        <v/>
      </c>
      <c r="L259" t="inlineStr">
        <is>
          <t>RESOLVED (Dext): a single Dext receipt for $11,180.00 dated 2025-11-17 covers BOTH same-day $5,590 Carla Furnishers charges — this is ONE $11,180 furniture purchase for Goods (ACT-GD) split across two card transactions, NOT a duplicate. Receipt is in Dext</t>
        </is>
      </c>
      <c r="M259" t="inlineStr">
        <is>
          <t>ACT-ST</t>
        </is>
      </c>
      <c r="N259" t="n">
        <v>46211</v>
      </c>
    </row>
    <row r="260" ht="78" customHeight="1">
      <c r="A260" t="inlineStr">
        <is>
          <t>a6266aba-4c45-4f46-9e74-81f2244e5471</t>
        </is>
      </c>
      <c r="B260" t="inlineStr">
        <is>
          <t>Bank transaction</t>
        </is>
      </c>
      <c r="C260" s="162" t="n">
        <v>45979</v>
      </c>
      <c r="D260" t="inlineStr">
        <is>
          <t>Carla Furnishers</t>
        </is>
      </c>
      <c r="E260" t="inlineStr">
        <is>
          <t>Out</t>
        </is>
      </c>
      <c r="F260" t="n">
        <v>5590</v>
      </c>
      <c r="G260" t="inlineStr">
        <is>
          <t>AUTHORISED</t>
        </is>
      </c>
      <c r="H260" t="inlineStr">
        <is>
          <t>Yes</t>
        </is>
      </c>
      <c r="I260" t="inlineStr">
        <is>
          <t>446</t>
        </is>
      </c>
      <c r="J260" t="inlineStr">
        <is>
          <t>Goods-tagged</t>
        </is>
      </c>
      <c r="K260">
        <f>IF(AND(G260="AUTHORISED",J260="Goods-tagged"),F260,0)</f>
        <v/>
      </c>
      <c r="L260" t="inlineStr">
        <is>
          <t>RESOLVED (Dext): a single Dext receipt for $11,180.00 dated 2025-11-17 covers BOTH same-day $5,590 Carla Furnishers charges — this is ONE $11,180 furniture purchase for Goods (ACT-GD) split across two card transactions, NOT a duplicate. Receipt is in Dext</t>
        </is>
      </c>
      <c r="M260" t="inlineStr">
        <is>
          <t>ACT-ST</t>
        </is>
      </c>
      <c r="N260" t="n">
        <v>46211</v>
      </c>
    </row>
    <row r="261" ht="36" customHeight="1">
      <c r="A261" t="inlineStr">
        <is>
          <t>c2f241e8-fbe6-4a58-a3d7-ebd970026e55</t>
        </is>
      </c>
      <c r="B261" t="inlineStr">
        <is>
          <t>Bank transaction</t>
        </is>
      </c>
      <c r="C261" s="162" t="n">
        <v>45980</v>
      </c>
      <c r="D261" t="inlineStr">
        <is>
          <t>Qantas</t>
        </is>
      </c>
      <c r="E261" t="inlineStr">
        <is>
          <t>Out</t>
        </is>
      </c>
      <c r="F261" t="n">
        <v>238.45</v>
      </c>
      <c r="G261" t="inlineStr">
        <is>
          <t>DELETED</t>
        </is>
      </c>
      <c r="H261" t="inlineStr">
        <is>
          <t>No</t>
        </is>
      </c>
      <c r="I261" t="inlineStr">
        <is>
          <t>493</t>
        </is>
      </c>
      <c r="J261" t="inlineStr">
        <is>
          <t>Goods-tagged</t>
        </is>
      </c>
      <c r="K261">
        <f>IF(AND(G261="AUTHORISED",J261="Goods-tagged"),F261,0)</f>
        <v/>
      </c>
      <c r="L261" t="inlineStr">
        <is>
          <t>Benjamin Knight - Sydney Domestic Airport</t>
        </is>
      </c>
      <c r="M261" t="inlineStr">
        <is>
          <t>ACT-ST</t>
        </is>
      </c>
      <c r="N261" t="n">
        <v>46211</v>
      </c>
    </row>
    <row r="262" ht="36" customHeight="1">
      <c r="A262" t="inlineStr">
        <is>
          <t>6e1e4a76-39f8-42be-9b89-95826e7f41bf</t>
        </is>
      </c>
      <c r="B262" t="inlineStr">
        <is>
          <t>Invoice payment</t>
        </is>
      </c>
      <c r="C262" s="162" t="n">
        <v>45981</v>
      </c>
      <c r="D262" t="inlineStr">
        <is>
          <t>Urban Bites</t>
        </is>
      </c>
      <c r="E262" t="inlineStr">
        <is>
          <t>Out</t>
        </is>
      </c>
      <c r="F262" t="n">
        <v>12.86</v>
      </c>
      <c r="G262" t="inlineStr">
        <is>
          <t>DELETED</t>
        </is>
      </c>
      <c r="H262" t="inlineStr">
        <is>
          <t>No</t>
        </is>
      </c>
      <c r="I262" t="inlineStr">
        <is>
          <t>191125-41</t>
        </is>
      </c>
      <c r="J262" t="inlineStr">
        <is>
          <t>Goods-tagged</t>
        </is>
      </c>
      <c r="K262">
        <f>IF(AND(G262="AUTHORISED",J262="Goods-tagged"),F262,0)</f>
        <v/>
      </c>
      <c r="L262" t="inlineStr">
        <is>
          <t>.</t>
        </is>
      </c>
      <c r="M262" t="inlineStr">
        <is>
          <t>ACT-ST</t>
        </is>
      </c>
      <c r="N262" t="n">
        <v>46223</v>
      </c>
    </row>
    <row r="263" ht="36" customHeight="1">
      <c r="A263" t="inlineStr">
        <is>
          <t>f2222911-2dbb-4dd2-97f2-6ed128a8cef6</t>
        </is>
      </c>
      <c r="B263" t="inlineStr">
        <is>
          <t>Invoice payment</t>
        </is>
      </c>
      <c r="C263" s="162" t="n">
        <v>45981</v>
      </c>
      <c r="D263" t="inlineStr">
        <is>
          <t>Urban Bites</t>
        </is>
      </c>
      <c r="E263" t="inlineStr">
        <is>
          <t>Out</t>
        </is>
      </c>
      <c r="F263" t="n">
        <v>12.86</v>
      </c>
      <c r="G263" t="inlineStr">
        <is>
          <t>AUTHORISED</t>
        </is>
      </c>
      <c r="H263" t="inlineStr">
        <is>
          <t>Yes</t>
        </is>
      </c>
      <c r="I263" t="inlineStr">
        <is>
          <t>191125-41</t>
        </is>
      </c>
      <c r="J263" t="inlineStr">
        <is>
          <t>Goods-tagged</t>
        </is>
      </c>
      <c r="K263">
        <f>IF(AND(G263="AUTHORISED",J263="Goods-tagged"),F263,0)</f>
        <v/>
      </c>
      <c r="L263" t="inlineStr">
        <is>
          <t>.</t>
        </is>
      </c>
      <c r="M263" t="inlineStr">
        <is>
          <t>ACT-ST</t>
        </is>
      </c>
      <c r="N263" t="n">
        <v>46223</v>
      </c>
    </row>
    <row r="264" ht="36" customHeight="1">
      <c r="A264" t="inlineStr">
        <is>
          <t>14342164-5bad-4512-8860-34f91b95490c</t>
        </is>
      </c>
      <c r="B264" t="inlineStr">
        <is>
          <t>Bank transaction</t>
        </is>
      </c>
      <c r="C264" s="162" t="n">
        <v>45982</v>
      </c>
      <c r="D264" t="inlineStr">
        <is>
          <t>Qantas</t>
        </is>
      </c>
      <c r="E264" t="inlineStr">
        <is>
          <t>Out</t>
        </is>
      </c>
      <c r="F264" t="n">
        <v>218.67</v>
      </c>
      <c r="G264" t="inlineStr">
        <is>
          <t>DELETED</t>
        </is>
      </c>
      <c r="H264" t="inlineStr">
        <is>
          <t>No</t>
        </is>
      </c>
      <c r="I264" t="inlineStr">
        <is>
          <t>493</t>
        </is>
      </c>
      <c r="J264" t="inlineStr">
        <is>
          <t>Goods-tagged</t>
        </is>
      </c>
      <c r="K264">
        <f>IF(AND(G264="AUTHORISED",J264="Goods-tagged"),F264,0)</f>
        <v/>
      </c>
      <c r="L264" t="inlineStr">
        <is>
          <t>Kia Cerato Hatch S Safety</t>
        </is>
      </c>
      <c r="M264" t="inlineStr">
        <is>
          <t>ACT-ST</t>
        </is>
      </c>
      <c r="N264" t="n">
        <v>46211</v>
      </c>
    </row>
    <row r="265" ht="36" customHeight="1">
      <c r="A265" t="inlineStr">
        <is>
          <t>753932b7-554f-4d30-91a4-0d1000c1e587</t>
        </is>
      </c>
      <c r="B265" t="inlineStr">
        <is>
          <t>Invoice payment</t>
        </is>
      </c>
      <c r="C265" s="162" t="n">
        <v>45982</v>
      </c>
      <c r="D265" t="inlineStr">
        <is>
          <t>INDIGO A NEW EXPERIENCE</t>
        </is>
      </c>
      <c r="E265" t="inlineStr">
        <is>
          <t>Out</t>
        </is>
      </c>
      <c r="F265" t="n">
        <v>199.17</v>
      </c>
      <c r="G265" t="inlineStr">
        <is>
          <t>DELETED</t>
        </is>
      </c>
      <c r="H265" t="inlineStr">
        <is>
          <t>No</t>
        </is>
      </c>
      <c r="I265" t="inlineStr">
        <is>
          <t>A25000011099</t>
        </is>
      </c>
      <c r="J265" t="inlineStr">
        <is>
          <t>Goods-tagged</t>
        </is>
      </c>
      <c r="K265">
        <f>IF(AND(G265="AUTHORISED",J265="Goods-tagged"),F265,0)</f>
        <v/>
      </c>
      <c r="L265" t="inlineStr">
        <is>
          <t>.</t>
        </is>
      </c>
      <c r="M265" t="inlineStr">
        <is>
          <t>ACT-ST</t>
        </is>
      </c>
      <c r="N265" t="n">
        <v>46223</v>
      </c>
    </row>
    <row r="266" ht="36" customHeight="1">
      <c r="A266" t="inlineStr">
        <is>
          <t>c1f47a64-4963-4264-ac90-53ab4c164479</t>
        </is>
      </c>
      <c r="B266" t="inlineStr">
        <is>
          <t>Invoice payment</t>
        </is>
      </c>
      <c r="C266" s="162" t="n">
        <v>45982</v>
      </c>
      <c r="D266" t="inlineStr">
        <is>
          <t>INDIGO A NEW EXPERIENCE</t>
        </is>
      </c>
      <c r="E266" t="inlineStr">
        <is>
          <t>Out</t>
        </is>
      </c>
      <c r="F266" t="n">
        <v>199.17</v>
      </c>
      <c r="G266" t="inlineStr">
        <is>
          <t>AUTHORISED</t>
        </is>
      </c>
      <c r="H266" t="inlineStr">
        <is>
          <t>Yes</t>
        </is>
      </c>
      <c r="I266" t="inlineStr">
        <is>
          <t>A25000011099</t>
        </is>
      </c>
      <c r="J266" t="inlineStr">
        <is>
          <t>Goods-tagged</t>
        </is>
      </c>
      <c r="K266">
        <f>IF(AND(G266="AUTHORISED",J266="Goods-tagged"),F266,0)</f>
        <v/>
      </c>
      <c r="L266" t="inlineStr">
        <is>
          <t>.</t>
        </is>
      </c>
      <c r="M266" t="inlineStr">
        <is>
          <t>ACT-ST</t>
        </is>
      </c>
      <c r="N266" t="n">
        <v>46223</v>
      </c>
    </row>
    <row r="267" ht="36" customHeight="1">
      <c r="A267" t="inlineStr">
        <is>
          <t>f9f8f48c-9fde-4dca-87b1-a2afa111b400</t>
        </is>
      </c>
      <c r="B267" t="inlineStr">
        <is>
          <t>Invoice payment</t>
        </is>
      </c>
      <c r="C267" s="162" t="n">
        <v>45982</v>
      </c>
      <c r="D267" t="inlineStr">
        <is>
          <t>Mala’la Health Service Aboriginal Corporation</t>
        </is>
      </c>
      <c r="E267" t="inlineStr">
        <is>
          <t>In</t>
        </is>
      </c>
      <c r="F267" t="n">
        <v>5434</v>
      </c>
      <c r="G267" t="inlineStr">
        <is>
          <t>AUTHORISED</t>
        </is>
      </c>
      <c r="H267" t="inlineStr">
        <is>
          <t>Yes</t>
        </is>
      </c>
      <c r="I267" t="inlineStr">
        <is>
          <t>INV-0283</t>
        </is>
      </c>
      <c r="J267" t="inlineStr">
        <is>
          <t>Goods-tagged</t>
        </is>
      </c>
      <c r="K267">
        <f>IF(AND(G267="AUTHORISED",J267="Goods-tagged"),F267,0)</f>
        <v/>
      </c>
      <c r="L267" t="inlineStr">
        <is>
          <t>Goods Basket Bed v2.1 / Shipping</t>
        </is>
      </c>
      <c r="M267" t="inlineStr">
        <is>
          <t>ACT-ST</t>
        </is>
      </c>
      <c r="N267" t="n">
        <v>46223</v>
      </c>
    </row>
    <row r="268" ht="36" customHeight="1">
      <c r="A268" t="inlineStr">
        <is>
          <t>13b8e931-8cdf-4784-b7d6-ec7dce1bca60</t>
        </is>
      </c>
      <c r="B268" t="inlineStr">
        <is>
          <t>Bank transaction</t>
        </is>
      </c>
      <c r="C268" s="162" t="n">
        <v>45985</v>
      </c>
      <c r="D268" t="inlineStr">
        <is>
          <t>Uber</t>
        </is>
      </c>
      <c r="E268" t="inlineStr">
        <is>
          <t>Out</t>
        </is>
      </c>
      <c r="F268" t="n">
        <v>65.34</v>
      </c>
      <c r="G268" t="inlineStr">
        <is>
          <t>DELETED</t>
        </is>
      </c>
      <c r="H268" t="inlineStr">
        <is>
          <t>No</t>
        </is>
      </c>
      <c r="I268" t="inlineStr">
        <is>
          <t>452</t>
        </is>
      </c>
      <c r="J268" t="inlineStr">
        <is>
          <t>Goods-tagged</t>
        </is>
      </c>
      <c r="K268">
        <f>IF(AND(G268="AUTHORISED",J268="Goods-tagged"),F268,0)</f>
        <v/>
      </c>
      <c r="L268" t="inlineStr">
        <is>
          <t>Uber</t>
        </is>
      </c>
      <c r="M268" t="inlineStr">
        <is>
          <t>ACT-ST</t>
        </is>
      </c>
      <c r="N268" t="n">
        <v>46211</v>
      </c>
    </row>
    <row r="269" ht="36" customHeight="1">
      <c r="A269" t="inlineStr">
        <is>
          <t>22abfc84-22a2-4823-b39c-35c1b16723f2</t>
        </is>
      </c>
      <c r="B269" t="inlineStr">
        <is>
          <t>Invoice payment</t>
        </is>
      </c>
      <c r="C269" s="162" t="n">
        <v>45985</v>
      </c>
      <c r="D269" t="inlineStr">
        <is>
          <t>Dar Tèta</t>
        </is>
      </c>
      <c r="E269" t="inlineStr">
        <is>
          <t>Out</t>
        </is>
      </c>
      <c r="F269" t="n">
        <v>41</v>
      </c>
      <c r="G269" t="inlineStr">
        <is>
          <t>DELETED</t>
        </is>
      </c>
      <c r="H269" t="inlineStr">
        <is>
          <t>No</t>
        </is>
      </c>
      <c r="I269" t="inlineStr">
        <is>
          <t>RB18779827040</t>
        </is>
      </c>
      <c r="J269" t="inlineStr">
        <is>
          <t>Goods-tagged</t>
        </is>
      </c>
      <c r="K269">
        <f>IF(AND(G269="AUTHORISED",J269="Goods-tagged"),F269,0)</f>
        <v/>
      </c>
      <c r="L269" t="inlineStr">
        <is>
          <t>.</t>
        </is>
      </c>
      <c r="M269" t="inlineStr">
        <is>
          <t>ACT-ST</t>
        </is>
      </c>
      <c r="N269" t="n">
        <v>46223</v>
      </c>
    </row>
    <row r="270" ht="36" customHeight="1">
      <c r="A270" t="inlineStr">
        <is>
          <t>a8ac2183-ed20-43bd-888f-64e18d7e0633</t>
        </is>
      </c>
      <c r="B270" t="inlineStr">
        <is>
          <t>Invoice payment</t>
        </is>
      </c>
      <c r="C270" s="162" t="n">
        <v>45985</v>
      </c>
      <c r="D270" t="inlineStr">
        <is>
          <t>Arthefact</t>
        </is>
      </c>
      <c r="E270" t="inlineStr">
        <is>
          <t>Out</t>
        </is>
      </c>
      <c r="F270" t="n">
        <v>348.93</v>
      </c>
      <c r="G270" t="inlineStr">
        <is>
          <t>AUTHORISED</t>
        </is>
      </c>
      <c r="H270" t="inlineStr">
        <is>
          <t>Yes</t>
        </is>
      </c>
      <c r="I270" t="inlineStr">
        <is>
          <t>AF251120001</t>
        </is>
      </c>
      <c r="J270" t="inlineStr">
        <is>
          <t>Goods-tagged</t>
        </is>
      </c>
      <c r="K270">
        <f>IF(AND(G270="AUTHORISED",J270="Goods-tagged"),F270,0)</f>
        <v/>
      </c>
      <c r="L270" t="inlineStr">
        <is>
          <t>.</t>
        </is>
      </c>
      <c r="M270" t="inlineStr">
        <is>
          <t>ACT-ST</t>
        </is>
      </c>
      <c r="N270" t="n">
        <v>46223</v>
      </c>
    </row>
    <row r="271" ht="36" customHeight="1">
      <c r="A271" t="inlineStr">
        <is>
          <t>f130513e-062b-4cd3-8cc8-3778495be3c9</t>
        </is>
      </c>
      <c r="B271" t="inlineStr">
        <is>
          <t>Invoice payment</t>
        </is>
      </c>
      <c r="C271" s="162" t="n">
        <v>45985</v>
      </c>
      <c r="D271" t="inlineStr">
        <is>
          <t>Arthefact</t>
        </is>
      </c>
      <c r="E271" t="inlineStr">
        <is>
          <t>Out</t>
        </is>
      </c>
      <c r="F271" t="n">
        <v>348.93</v>
      </c>
      <c r="G271" t="inlineStr">
        <is>
          <t>DELETED</t>
        </is>
      </c>
      <c r="H271" t="inlineStr">
        <is>
          <t>No</t>
        </is>
      </c>
      <c r="I271" t="inlineStr">
        <is>
          <t>AF251120001</t>
        </is>
      </c>
      <c r="J271" t="inlineStr">
        <is>
          <t>Goods-tagged</t>
        </is>
      </c>
      <c r="K271">
        <f>IF(AND(G271="AUTHORISED",J271="Goods-tagged"),F271,0)</f>
        <v/>
      </c>
      <c r="L271" t="inlineStr">
        <is>
          <t>.</t>
        </is>
      </c>
      <c r="M271" t="inlineStr">
        <is>
          <t>ACT-ST</t>
        </is>
      </c>
      <c r="N271" t="n">
        <v>46223</v>
      </c>
    </row>
    <row r="272" ht="36" customHeight="1">
      <c r="A272" t="inlineStr">
        <is>
          <t>f89f0b85-7791-4567-bb01-9a9cd1de85f8</t>
        </is>
      </c>
      <c r="B272" t="inlineStr">
        <is>
          <t>Invoice payment</t>
        </is>
      </c>
      <c r="C272" s="162" t="n">
        <v>45985</v>
      </c>
      <c r="D272" t="inlineStr">
        <is>
          <t>Dar Tèta</t>
        </is>
      </c>
      <c r="E272" t="inlineStr">
        <is>
          <t>Out</t>
        </is>
      </c>
      <c r="F272" t="n">
        <v>41</v>
      </c>
      <c r="G272" t="inlineStr">
        <is>
          <t>AUTHORISED</t>
        </is>
      </c>
      <c r="H272" t="inlineStr">
        <is>
          <t>Yes</t>
        </is>
      </c>
      <c r="I272" t="inlineStr">
        <is>
          <t>RB18779827040</t>
        </is>
      </c>
      <c r="J272" t="inlineStr">
        <is>
          <t>Goods-tagged</t>
        </is>
      </c>
      <c r="K272">
        <f>IF(AND(G272="AUTHORISED",J272="Goods-tagged"),F272,0)</f>
        <v/>
      </c>
      <c r="L272" t="inlineStr">
        <is>
          <t>.</t>
        </is>
      </c>
      <c r="M272" t="inlineStr">
        <is>
          <t>ACT-ST</t>
        </is>
      </c>
      <c r="N272" t="n">
        <v>46223</v>
      </c>
    </row>
    <row r="273" ht="36" customHeight="1">
      <c r="A273" t="inlineStr">
        <is>
          <t>0f7c60fa-a2fc-4b38-a6e2-a28e3cc79275</t>
        </is>
      </c>
      <c r="B273" t="inlineStr">
        <is>
          <t>Invoice payment</t>
        </is>
      </c>
      <c r="C273" s="162" t="n">
        <v>45986</v>
      </c>
      <c r="D273" t="inlineStr">
        <is>
          <t>IGA</t>
        </is>
      </c>
      <c r="E273" t="inlineStr">
        <is>
          <t>Out</t>
        </is>
      </c>
      <c r="F273" t="n">
        <v>17.49</v>
      </c>
      <c r="G273" t="inlineStr">
        <is>
          <t>AUTHORISED</t>
        </is>
      </c>
      <c r="H273" t="inlineStr">
        <is>
          <t>Yes</t>
        </is>
      </c>
      <c r="I273" t="inlineStr">
        <is>
          <t>52723</t>
        </is>
      </c>
      <c r="J273" t="inlineStr">
        <is>
          <t>Goods-tagged</t>
        </is>
      </c>
      <c r="K273">
        <f>IF(AND(G273="AUTHORISED",J273="Goods-tagged"),F273,0)</f>
        <v/>
      </c>
      <c r="L273" t="inlineStr">
        <is>
          <t>Food and drink / Food and drink</t>
        </is>
      </c>
      <c r="M273" t="inlineStr">
        <is>
          <t>ACT-ST</t>
        </is>
      </c>
      <c r="N273" t="n">
        <v>46223</v>
      </c>
    </row>
    <row r="274" ht="36" customHeight="1">
      <c r="A274" t="inlineStr">
        <is>
          <t>16e92fd3-f573-4dcc-b4a7-d82732e8eb55</t>
        </is>
      </c>
      <c r="B274" t="inlineStr">
        <is>
          <t>Invoice payment</t>
        </is>
      </c>
      <c r="C274" s="162" t="n">
        <v>45986</v>
      </c>
      <c r="D274" t="inlineStr">
        <is>
          <t>BP</t>
        </is>
      </c>
      <c r="E274" t="inlineStr">
        <is>
          <t>Out</t>
        </is>
      </c>
      <c r="F274" t="n">
        <v>50.92</v>
      </c>
      <c r="G274" t="inlineStr">
        <is>
          <t>AUTHORISED</t>
        </is>
      </c>
      <c r="H274" t="inlineStr">
        <is>
          <t>Yes</t>
        </is>
      </c>
      <c r="I274" t="inlineStr">
        <is>
          <t>1613795</t>
        </is>
      </c>
      <c r="J274" t="inlineStr">
        <is>
          <t>Goods-tagged</t>
        </is>
      </c>
      <c r="K274">
        <f>IF(AND(G274="AUTHORISED",J274="Goods-tagged"),F274,0)</f>
        <v/>
      </c>
      <c r="L274" t="inlineStr">
        <is>
          <t>.</t>
        </is>
      </c>
      <c r="M274" t="inlineStr">
        <is>
          <t>ACT-ST</t>
        </is>
      </c>
      <c r="N274" t="n">
        <v>46223</v>
      </c>
    </row>
    <row r="275" ht="36" customHeight="1">
      <c r="A275" t="inlineStr">
        <is>
          <t>c75bc2f3-7b5d-48dc-a47a-65581cdfb284</t>
        </is>
      </c>
      <c r="B275" t="inlineStr">
        <is>
          <t>Invoice payment</t>
        </is>
      </c>
      <c r="C275" s="162" t="n">
        <v>45987</v>
      </c>
      <c r="D275" t="inlineStr">
        <is>
          <t>Delaware North Airport</t>
        </is>
      </c>
      <c r="E275" t="inlineStr">
        <is>
          <t>Out</t>
        </is>
      </c>
      <c r="F275" t="n">
        <v>25.5</v>
      </c>
      <c r="G275" t="inlineStr">
        <is>
          <t>AUTHORISED</t>
        </is>
      </c>
      <c r="H275" t="inlineStr">
        <is>
          <t>Yes</t>
        </is>
      </c>
      <c r="I275" t="inlineStr">
        <is>
          <t>39800</t>
        </is>
      </c>
      <c r="J275" t="inlineStr">
        <is>
          <t>Goods-tagged</t>
        </is>
      </c>
      <c r="K275">
        <f>IF(AND(G275="AUTHORISED",J275="Goods-tagged"),F275,0)</f>
        <v/>
      </c>
      <c r="L275" t="inlineStr">
        <is>
          <t>Meal Melbourne</t>
        </is>
      </c>
      <c r="M275" t="inlineStr">
        <is>
          <t>ACT-ST</t>
        </is>
      </c>
      <c r="N275" t="n">
        <v>46223</v>
      </c>
    </row>
    <row r="276" ht="36" customHeight="1">
      <c r="A276" t="inlineStr">
        <is>
          <t>080f78fb-f170-4282-8565-a1724b141258</t>
        </is>
      </c>
      <c r="B276" t="inlineStr">
        <is>
          <t>Bank transaction</t>
        </is>
      </c>
      <c r="C276" s="162" t="n">
        <v>45988</v>
      </c>
      <c r="D276" t="inlineStr">
        <is>
          <t>Auto Sparky</t>
        </is>
      </c>
      <c r="E276" t="inlineStr">
        <is>
          <t>Out</t>
        </is>
      </c>
      <c r="F276" t="n">
        <v>674</v>
      </c>
      <c r="G276" t="inlineStr">
        <is>
          <t>DELETED</t>
        </is>
      </c>
      <c r="H276" t="inlineStr">
        <is>
          <t>No</t>
        </is>
      </c>
      <c r="I276" t="inlineStr">
        <is>
          <t>451</t>
        </is>
      </c>
      <c r="J276" t="inlineStr">
        <is>
          <t>Goods-tagged</t>
        </is>
      </c>
      <c r="K276">
        <f>IF(AND(G276="AUTHORISED",J276="Goods-tagged"),F276,0)</f>
        <v/>
      </c>
      <c r="L276" t="inlineStr">
        <is>
          <t>S342COI - Air conditioning</t>
        </is>
      </c>
      <c r="M276" t="inlineStr">
        <is>
          <t>ACT-ST</t>
        </is>
      </c>
      <c r="N276" t="n">
        <v>46211</v>
      </c>
    </row>
    <row r="277" ht="36" customHeight="1">
      <c r="A277" t="inlineStr">
        <is>
          <t>2ad3dc8c-3528-4fb9-b837-7c06eda7a835</t>
        </is>
      </c>
      <c r="B277" t="inlineStr">
        <is>
          <t>Bank transaction</t>
        </is>
      </c>
      <c r="C277" s="162" t="n">
        <v>45989</v>
      </c>
      <c r="D277" t="inlineStr">
        <is>
          <t>Defy Manufacturing</t>
        </is>
      </c>
      <c r="E277" t="inlineStr">
        <is>
          <t>Out</t>
        </is>
      </c>
      <c r="F277" t="n">
        <v>1858.78</v>
      </c>
      <c r="G277" t="inlineStr">
        <is>
          <t>DELETED</t>
        </is>
      </c>
      <c r="H277" t="inlineStr">
        <is>
          <t>No</t>
        </is>
      </c>
      <c r="I277" t="inlineStr">
        <is>
          <t>400</t>
        </is>
      </c>
      <c r="J277" t="inlineStr">
        <is>
          <t>Goods-tagged</t>
        </is>
      </c>
      <c r="K277">
        <f>IF(AND(G277="AUTHORISED",J277="Goods-tagged"),F277,0)</f>
        <v/>
      </c>
      <c r="L277" t="inlineStr">
        <is>
          <t>Packing and Palletizing fee 
 Freight</t>
        </is>
      </c>
      <c r="M277" t="inlineStr">
        <is>
          <t>ACT-ST</t>
        </is>
      </c>
      <c r="N277" t="n">
        <v>46211</v>
      </c>
    </row>
    <row r="278" ht="36" customHeight="1">
      <c r="A278" t="inlineStr">
        <is>
          <t>c496a052-c0f0-4543-b1de-c1d4a90f388b</t>
        </is>
      </c>
      <c r="B278" t="inlineStr">
        <is>
          <t>Bank transaction</t>
        </is>
      </c>
      <c r="C278" s="162" t="n">
        <v>45990</v>
      </c>
      <c r="D278" t="inlineStr">
        <is>
          <t>Defy</t>
        </is>
      </c>
      <c r="E278" t="inlineStr">
        <is>
          <t>Out</t>
        </is>
      </c>
      <c r="F278" t="n">
        <v>1894.1</v>
      </c>
      <c r="G278" t="inlineStr">
        <is>
          <t>DELETED</t>
        </is>
      </c>
      <c r="H278" t="inlineStr">
        <is>
          <t>No</t>
        </is>
      </c>
      <c r="I278" t="inlineStr">
        <is>
          <t>400</t>
        </is>
      </c>
      <c r="J278" t="inlineStr">
        <is>
          <t>Goods-tagged</t>
        </is>
      </c>
      <c r="K278">
        <f>IF(AND(G278="AUTHORISED",J278="Goods-tagged"),F278,0)</f>
        <v/>
      </c>
      <c r="L278" t="inlineStr">
        <is>
          <t>Defy subscription</t>
        </is>
      </c>
      <c r="M278" t="inlineStr">
        <is>
          <t>ACT-ST</t>
        </is>
      </c>
      <c r="N278" t="n">
        <v>46211</v>
      </c>
    </row>
    <row r="279" ht="64" customHeight="1">
      <c r="A279" t="inlineStr">
        <is>
          <t>5d8f6c25-72e8-4edc-b818-aefcc09197d6</t>
        </is>
      </c>
      <c r="B279" t="inlineStr">
        <is>
          <t>Bank transaction</t>
        </is>
      </c>
      <c r="C279" s="162" t="n">
        <v>45992</v>
      </c>
      <c r="D279" t="inlineStr">
        <is>
          <t>Bargain Car Rentals (Hobart)</t>
        </is>
      </c>
      <c r="E279" t="inlineStr">
        <is>
          <t>Out</t>
        </is>
      </c>
      <c r="F279" t="n">
        <v>809.29</v>
      </c>
      <c r="G279" t="inlineStr">
        <is>
          <t>AUTHORISED</t>
        </is>
      </c>
      <c r="H279" t="inlineStr">
        <is>
          <t>Yes</t>
        </is>
      </c>
      <c r="I279" t="inlineStr">
        <is>
          <t>429</t>
        </is>
      </c>
      <c r="J279" t="inlineStr">
        <is>
          <t>Goods-tagged</t>
        </is>
      </c>
      <c r="K279">
        <f>IF(AND(G279="AUTHORISED",J279="Goods-tagged"),F279,0)</f>
        <v/>
      </c>
      <c r="L279" t="inlineStr">
        <is>
          <t>[receipt to provide] Bargain Car Rentals (Hobart) - vehicle hire for a Goods trip in Tasmania (ACT-GD). Domestic AU, GST on Expenses. Paired with line 41 same day (deposit + balance / second booking). Receipt to follow.</t>
        </is>
      </c>
      <c r="M279" t="inlineStr">
        <is>
          <t>ACT-ST</t>
        </is>
      </c>
      <c r="N279" t="n">
        <v>46211</v>
      </c>
    </row>
    <row r="280" ht="64" customHeight="1">
      <c r="A280" t="inlineStr">
        <is>
          <t>602ae328-4b1a-49fe-817b-8e9494a40c4e</t>
        </is>
      </c>
      <c r="B280" t="inlineStr">
        <is>
          <t>Bank transaction</t>
        </is>
      </c>
      <c r="C280" s="162" t="n">
        <v>45992</v>
      </c>
      <c r="D280" t="inlineStr">
        <is>
          <t>Bargain Car Rentals (Hobart)</t>
        </is>
      </c>
      <c r="E280" t="inlineStr">
        <is>
          <t>Out</t>
        </is>
      </c>
      <c r="F280" t="n">
        <v>998.9400000000001</v>
      </c>
      <c r="G280" t="inlineStr">
        <is>
          <t>AUTHORISED</t>
        </is>
      </c>
      <c r="H280" t="inlineStr">
        <is>
          <t>Yes</t>
        </is>
      </c>
      <c r="I280" t="inlineStr">
        <is>
          <t>429</t>
        </is>
      </c>
      <c r="J280" t="inlineStr">
        <is>
          <t>Goods-tagged</t>
        </is>
      </c>
      <c r="K280">
        <f>IF(AND(G280="AUTHORISED",J280="Goods-tagged"),F280,0)</f>
        <v/>
      </c>
      <c r="L280" t="inlineStr">
        <is>
          <t>[receipt to provide] Bargain Car Rentals (Hobart) - vehicle hire for a Goods trip in Tasmania (ACT-GD). Domestic AU, GST on Expenses. Paired with line 41 same day (deposit + balance / second booking). Receipt to follow.</t>
        </is>
      </c>
      <c r="M280" t="inlineStr">
        <is>
          <t>ACT-ST</t>
        </is>
      </c>
      <c r="N280" t="n">
        <v>46211</v>
      </c>
    </row>
    <row r="281" ht="36" customHeight="1">
      <c r="A281" t="inlineStr">
        <is>
          <t>0806a081-0b31-407e-b9e5-4ce441178737</t>
        </is>
      </c>
      <c r="B281" t="inlineStr">
        <is>
          <t>Invoice payment</t>
        </is>
      </c>
      <c r="C281" s="162" t="n">
        <v>45992</v>
      </c>
      <c r="D281" t="inlineStr">
        <is>
          <t>Defy</t>
        </is>
      </c>
      <c r="E281" t="inlineStr">
        <is>
          <t>Out</t>
        </is>
      </c>
      <c r="F281" t="n">
        <v>1894.1</v>
      </c>
      <c r="G281" t="inlineStr">
        <is>
          <t>AUTHORISED</t>
        </is>
      </c>
      <c r="H281" t="inlineStr">
        <is>
          <t>Yes</t>
        </is>
      </c>
      <c r="J281" t="inlineStr">
        <is>
          <t>Goods-tagged</t>
        </is>
      </c>
      <c r="K281">
        <f>IF(AND(G281="AUTHORISED",J281="Goods-tagged"),F281,0)</f>
        <v/>
      </c>
      <c r="L281" t="inlineStr">
        <is>
          <t>Defy Manufacturing — Materials &amp; Supplies — ACT-GD</t>
        </is>
      </c>
      <c r="M281" t="inlineStr">
        <is>
          <t>ACT-ST</t>
        </is>
      </c>
      <c r="N281" t="n">
        <v>46223</v>
      </c>
    </row>
    <row r="282" ht="36" customHeight="1">
      <c r="A282" t="inlineStr">
        <is>
          <t>d158db7a-5281-4dad-9e3f-a56f376586ad</t>
        </is>
      </c>
      <c r="B282" t="inlineStr">
        <is>
          <t>Bank transaction</t>
        </is>
      </c>
      <c r="C282" s="162" t="n">
        <v>45993</v>
      </c>
      <c r="D282" t="inlineStr">
        <is>
          <t>DTF Direct</t>
        </is>
      </c>
      <c r="E282" t="inlineStr">
        <is>
          <t>Out</t>
        </is>
      </c>
      <c r="F282" t="n">
        <v>288.49</v>
      </c>
      <c r="G282" t="inlineStr">
        <is>
          <t>AUTHORISED</t>
        </is>
      </c>
      <c r="H282" t="inlineStr">
        <is>
          <t>Yes</t>
        </is>
      </c>
      <c r="J282" t="inlineStr">
        <is>
          <t>Goods-tagged</t>
        </is>
      </c>
      <c r="K282">
        <f>IF(AND(G282="AUTHORISED",J282="Goods-tagged"),F282,0)</f>
        <v/>
      </c>
      <c r="M282" t="inlineStr">
        <is>
          <t>ACT-ST</t>
        </is>
      </c>
      <c r="N282" t="n">
        <v>46237</v>
      </c>
    </row>
    <row r="283" ht="36" customHeight="1">
      <c r="A283" t="inlineStr">
        <is>
          <t>65d566c2-9953-4153-96dd-76b0e0aeb4e3</t>
        </is>
      </c>
      <c r="B283" t="inlineStr">
        <is>
          <t>Invoice payment</t>
        </is>
      </c>
      <c r="C283" s="162" t="n">
        <v>45993</v>
      </c>
      <c r="D283" t="inlineStr">
        <is>
          <t>Sunset Snack Bar</t>
        </is>
      </c>
      <c r="E283" t="inlineStr">
        <is>
          <t>Out</t>
        </is>
      </c>
      <c r="F283" t="n">
        <v>89.3</v>
      </c>
      <c r="G283" t="inlineStr">
        <is>
          <t>AUTHORISED</t>
        </is>
      </c>
      <c r="H283" t="inlineStr">
        <is>
          <t>Yes</t>
        </is>
      </c>
      <c r="I283" t="inlineStr">
        <is>
          <t>RB18855413710</t>
        </is>
      </c>
      <c r="J283" t="inlineStr">
        <is>
          <t>Goods-tagged</t>
        </is>
      </c>
      <c r="K283">
        <f>IF(AND(G283="AUTHORISED",J283="Goods-tagged"),F283,0)</f>
        <v/>
      </c>
      <c r="L283" t="inlineStr">
        <is>
          <t>Sunset Snack Bar</t>
        </is>
      </c>
      <c r="M283" t="inlineStr">
        <is>
          <t>ACT-ST</t>
        </is>
      </c>
      <c r="N283" t="n">
        <v>46223</v>
      </c>
    </row>
    <row r="284" ht="36" customHeight="1">
      <c r="A284" t="inlineStr">
        <is>
          <t>9ef43d67-6f25-486e-93f2-d9ec83db687d</t>
        </is>
      </c>
      <c r="B284" t="inlineStr">
        <is>
          <t>Invoice payment</t>
        </is>
      </c>
      <c r="C284" s="162" t="n">
        <v>45993</v>
      </c>
      <c r="D284" t="inlineStr">
        <is>
          <t>SSP Australia Catering</t>
        </is>
      </c>
      <c r="E284" t="inlineStr">
        <is>
          <t>Out</t>
        </is>
      </c>
      <c r="F284" t="n">
        <v>19.27</v>
      </c>
      <c r="G284" t="inlineStr">
        <is>
          <t>AUTHORISED</t>
        </is>
      </c>
      <c r="H284" t="inlineStr">
        <is>
          <t>Yes</t>
        </is>
      </c>
      <c r="I284" t="inlineStr">
        <is>
          <t>RB18856389050</t>
        </is>
      </c>
      <c r="J284" t="inlineStr">
        <is>
          <t>Goods-tagged</t>
        </is>
      </c>
      <c r="K284">
        <f>IF(AND(G284="AUTHORISED",J284="Goods-tagged"),F284,0)</f>
        <v/>
      </c>
      <c r="L284" t="inlineStr">
        <is>
          <t>Travel meal</t>
        </is>
      </c>
      <c r="M284" t="inlineStr">
        <is>
          <t>ACT-ST</t>
        </is>
      </c>
      <c r="N284" t="n">
        <v>46223</v>
      </c>
    </row>
    <row r="285" ht="50" customHeight="1">
      <c r="A285" t="inlineStr">
        <is>
          <t>0f400fbd-4863-4638-bbe1-a688ee174123</t>
        </is>
      </c>
      <c r="B285" t="inlineStr">
        <is>
          <t>Invoice payment</t>
        </is>
      </c>
      <c r="C285" s="162" t="n">
        <v>45994</v>
      </c>
      <c r="D285" t="inlineStr">
        <is>
          <t>Julalikari Council Aboriginal Corporation</t>
        </is>
      </c>
      <c r="E285" t="inlineStr">
        <is>
          <t>In</t>
        </is>
      </c>
      <c r="F285" t="n">
        <v>19800</v>
      </c>
      <c r="G285" t="inlineStr">
        <is>
          <t>AUTHORISED</t>
        </is>
      </c>
      <c r="H285" t="inlineStr">
        <is>
          <t>Yes</t>
        </is>
      </c>
      <c r="I285" t="inlineStr">
        <is>
          <t>INV-0282</t>
        </is>
      </c>
      <c r="J285" t="inlineStr">
        <is>
          <t>Goods-tagged</t>
        </is>
      </c>
      <c r="K285">
        <f>IF(AND(G285="AUTHORISED",J285="Goods-tagged"),F285,0)</f>
        <v/>
      </c>
      <c r="L285" t="inlineStr">
        <is>
          <t>Goods Indestructible Washing Machine v1 / Delivery and installation in Tennant Creek / Discount - in kind delivery and install</t>
        </is>
      </c>
      <c r="M285" t="inlineStr">
        <is>
          <t>ACT-ST</t>
        </is>
      </c>
      <c r="N285" t="n">
        <v>46223</v>
      </c>
    </row>
    <row r="286" ht="36" customHeight="1">
      <c r="A286" t="inlineStr">
        <is>
          <t>225d5dc6-2915-4d2c-bdaa-1483cc33fd12</t>
        </is>
      </c>
      <c r="B286" t="inlineStr">
        <is>
          <t>Invoice payment</t>
        </is>
      </c>
      <c r="C286" s="162" t="n">
        <v>45994</v>
      </c>
      <c r="D286" t="inlineStr">
        <is>
          <t>Joseph Kirmos</t>
        </is>
      </c>
      <c r="E286" t="inlineStr">
        <is>
          <t>Out</t>
        </is>
      </c>
      <c r="F286" t="n">
        <v>2737.5</v>
      </c>
      <c r="G286" t="inlineStr">
        <is>
          <t>AUTHORISED</t>
        </is>
      </c>
      <c r="H286" t="inlineStr">
        <is>
          <t>Yes</t>
        </is>
      </c>
      <c r="J286" t="inlineStr">
        <is>
          <t>Goods-tagged</t>
        </is>
      </c>
      <c r="K286">
        <f>IF(AND(G286="AUTHORISED",J286="Goods-tagged"),F286,0)</f>
        <v/>
      </c>
      <c r="L286" t="inlineStr">
        <is>
          <t>Joseph Kirmos — Other — ACT-GD</t>
        </is>
      </c>
      <c r="M286" t="inlineStr">
        <is>
          <t>ACT-ST</t>
        </is>
      </c>
      <c r="N286" t="n">
        <v>46223</v>
      </c>
    </row>
    <row r="287" ht="50" customHeight="1">
      <c r="A287" t="inlineStr">
        <is>
          <t>c85744d5-6ebd-48ed-9733-778d1cb6af56</t>
        </is>
      </c>
      <c r="B287" t="inlineStr">
        <is>
          <t>Bank transaction</t>
        </is>
      </c>
      <c r="C287" s="162" t="n">
        <v>45995</v>
      </c>
      <c r="D287" t="inlineStr">
        <is>
          <t>Joseph Kirmos</t>
        </is>
      </c>
      <c r="E287" t="inlineStr">
        <is>
          <t>Out</t>
        </is>
      </c>
      <c r="F287" t="n">
        <v>2737.5</v>
      </c>
      <c r="G287" t="inlineStr">
        <is>
          <t>DELETED</t>
        </is>
      </c>
      <c r="H287" t="inlineStr">
        <is>
          <t>No</t>
        </is>
      </c>
      <c r="I287" t="inlineStr">
        <is>
          <t>486</t>
        </is>
      </c>
      <c r="J287" t="inlineStr">
        <is>
          <t>Goods-tagged</t>
        </is>
      </c>
      <c r="K287">
        <f>IF(AND(G287="AUTHORISED",J287="Goods-tagged"),F287,0)</f>
        <v/>
      </c>
      <c r="L287" t="inlineStr">
        <is>
          <t>General site cleaning, pressure washing (internal/external facilities and dwellings), tree pruning, landscaping support, and rubbish removal/sorting.</t>
        </is>
      </c>
      <c r="M287" t="inlineStr">
        <is>
          <t>ACT-ST</t>
        </is>
      </c>
      <c r="N287" t="n">
        <v>46211</v>
      </c>
    </row>
    <row r="288" ht="36" customHeight="1">
      <c r="A288" t="inlineStr">
        <is>
          <t>ae141905-e7e2-4aa5-94ae-a93d08a8728a</t>
        </is>
      </c>
      <c r="B288" t="inlineStr">
        <is>
          <t>Invoice payment</t>
        </is>
      </c>
      <c r="C288" s="162" t="n">
        <v>45996</v>
      </c>
      <c r="D288" t="inlineStr">
        <is>
          <t>Zapier</t>
        </is>
      </c>
      <c r="E288" t="inlineStr">
        <is>
          <t>Out</t>
        </is>
      </c>
      <c r="F288" t="n">
        <v>50.49</v>
      </c>
      <c r="G288" t="inlineStr">
        <is>
          <t>AUTHORISED</t>
        </is>
      </c>
      <c r="H288" t="inlineStr">
        <is>
          <t>Yes</t>
        </is>
      </c>
      <c r="I288" t="inlineStr">
        <is>
          <t>RB18779252100</t>
        </is>
      </c>
      <c r="J288" t="inlineStr">
        <is>
          <t>Goods-tagged</t>
        </is>
      </c>
      <c r="K288">
        <f>IF(AND(G288="AUTHORISED",J288="Goods-tagged"),F288,0)</f>
        <v/>
      </c>
      <c r="L288" t="inlineStr">
        <is>
          <t>Zapier Pro 750 (monthly)</t>
        </is>
      </c>
      <c r="M288" t="inlineStr">
        <is>
          <t>ACT-ST</t>
        </is>
      </c>
      <c r="N288" t="n">
        <v>46223</v>
      </c>
    </row>
    <row r="289" ht="92" customHeight="1">
      <c r="A289" t="inlineStr">
        <is>
          <t>718a804c-76b8-4883-a79f-3563c4dca7e4</t>
        </is>
      </c>
      <c r="B289" t="inlineStr">
        <is>
          <t>Invoice payment</t>
        </is>
      </c>
      <c r="C289" s="162" t="n">
        <v>46001</v>
      </c>
      <c r="D289" t="inlineStr">
        <is>
          <t>Homeland School Company</t>
        </is>
      </c>
      <c r="E289" t="inlineStr">
        <is>
          <t>In</t>
        </is>
      </c>
      <c r="F289" t="n">
        <v>40000</v>
      </c>
      <c r="G289" t="inlineStr">
        <is>
          <t>DELETED</t>
        </is>
      </c>
      <c r="H289" t="inlineStr">
        <is>
          <t>No</t>
        </is>
      </c>
      <c r="I289" t="inlineStr">
        <is>
          <t>INV-0303</t>
        </is>
      </c>
      <c r="J289" t="inlineStr">
        <is>
          <t>Goods-tagged</t>
        </is>
      </c>
      <c r="K289">
        <f>IF(AND(G289="AUTHORISED",J289="Goods-tagged"),F289,0)</f>
        <v/>
      </c>
      <c r="L289" t="inlineStr">
        <is>
          <t>Goods. Indestructible Washing Machine v1.1 / Goods Stretch Bed - Single Bed, Poles, Canvas / Goods on Country Program Support - 1 Trip
to train, build, test, document and make with
community. Inc travel, accommodation / Delivery of Goods ex BNE - DRW - MNG / Goods in Kind Partnership</t>
        </is>
      </c>
      <c r="M289" t="inlineStr">
        <is>
          <t>ACT-ST</t>
        </is>
      </c>
      <c r="N289" t="n">
        <v>46223</v>
      </c>
    </row>
    <row r="290" ht="36" customHeight="1">
      <c r="A290" t="inlineStr">
        <is>
          <t>4848c982-ac02-47e2-9f57-99962aa2516c</t>
        </is>
      </c>
      <c r="B290" t="inlineStr">
        <is>
          <t>Bank transaction</t>
        </is>
      </c>
      <c r="C290" s="162" t="n">
        <v>46003</v>
      </c>
      <c r="D290" t="inlineStr">
        <is>
          <t>Crowne Plaza Alice Springs Lasseters</t>
        </is>
      </c>
      <c r="E290" t="inlineStr">
        <is>
          <t>Out</t>
        </is>
      </c>
      <c r="F290" t="n">
        <v>147.25</v>
      </c>
      <c r="G290" t="inlineStr">
        <is>
          <t>DELETED</t>
        </is>
      </c>
      <c r="H290" t="inlineStr">
        <is>
          <t>No</t>
        </is>
      </c>
      <c r="I290" t="inlineStr">
        <is>
          <t>452</t>
        </is>
      </c>
      <c r="J290" t="inlineStr">
        <is>
          <t>Goods-tagged</t>
        </is>
      </c>
      <c r="K290">
        <f>IF(AND(G290="AUTHORISED",J290="Goods-tagged"),F290,0)</f>
        <v/>
      </c>
      <c r="L290" t="inlineStr">
        <is>
          <t>.</t>
        </is>
      </c>
      <c r="M290" t="inlineStr">
        <is>
          <t>ACT-ST</t>
        </is>
      </c>
      <c r="N290" t="n">
        <v>46211</v>
      </c>
    </row>
    <row r="291" ht="36" customHeight="1">
      <c r="A291" t="inlineStr">
        <is>
          <t>543d7910-76e9-495f-bf8c-4b5a58ed40e5</t>
        </is>
      </c>
      <c r="B291" t="inlineStr">
        <is>
          <t>Bank transaction</t>
        </is>
      </c>
      <c r="C291" s="162" t="n">
        <v>46003</v>
      </c>
      <c r="D291" t="inlineStr">
        <is>
          <t>BP</t>
        </is>
      </c>
      <c r="E291" t="inlineStr">
        <is>
          <t>Out</t>
        </is>
      </c>
      <c r="F291" t="n">
        <v>137.33</v>
      </c>
      <c r="G291" t="inlineStr">
        <is>
          <t>DELETED</t>
        </is>
      </c>
      <c r="H291" t="inlineStr">
        <is>
          <t>No</t>
        </is>
      </c>
      <c r="I291" t="inlineStr">
        <is>
          <t>449</t>
        </is>
      </c>
      <c r="J291" t="inlineStr">
        <is>
          <t>Goods-tagged</t>
        </is>
      </c>
      <c r="K291">
        <f>IF(AND(G291="AUTHORISED",J291="Goods-tagged"),F291,0)</f>
        <v/>
      </c>
      <c r="L291" t="inlineStr">
        <is>
          <t>69.43L Diesel</t>
        </is>
      </c>
      <c r="M291" t="inlineStr">
        <is>
          <t>ACT-ST</t>
        </is>
      </c>
      <c r="N291" t="n">
        <v>46211</v>
      </c>
    </row>
    <row r="292" ht="36" customHeight="1">
      <c r="A292" t="inlineStr">
        <is>
          <t>54a706f3-8a51-4dab-83ab-18b22a190d2f</t>
        </is>
      </c>
      <c r="B292" t="inlineStr">
        <is>
          <t>Bank transaction</t>
        </is>
      </c>
      <c r="C292" s="162" t="n">
        <v>46003</v>
      </c>
      <c r="D292" t="inlineStr">
        <is>
          <t>DuYu Coffee</t>
        </is>
      </c>
      <c r="E292" t="inlineStr">
        <is>
          <t>Out</t>
        </is>
      </c>
      <c r="F292" t="n">
        <v>73.67</v>
      </c>
      <c r="G292" t="inlineStr">
        <is>
          <t>DELETED</t>
        </is>
      </c>
      <c r="H292" t="inlineStr">
        <is>
          <t>No</t>
        </is>
      </c>
      <c r="I292" t="inlineStr">
        <is>
          <t>421</t>
        </is>
      </c>
      <c r="J292" t="inlineStr">
        <is>
          <t>Goods-tagged</t>
        </is>
      </c>
      <c r="K292">
        <f>IF(AND(G292="AUTHORISED",J292="Goods-tagged"),F292,0)</f>
        <v/>
      </c>
      <c r="L292" t="inlineStr">
        <is>
          <t>Coffee for the office</t>
        </is>
      </c>
      <c r="M292" t="inlineStr">
        <is>
          <t>ACT-ST</t>
        </is>
      </c>
      <c r="N292" t="n">
        <v>46211</v>
      </c>
    </row>
    <row r="293" ht="36" customHeight="1">
      <c r="A293" t="inlineStr">
        <is>
          <t>733551cf-3e04-4ae9-8f23-31b405b04f1c</t>
        </is>
      </c>
      <c r="B293" t="inlineStr">
        <is>
          <t>Bank transaction</t>
        </is>
      </c>
      <c r="C293" s="162" t="n">
        <v>46003</v>
      </c>
      <c r="D293" t="inlineStr">
        <is>
          <t>Tennant Creek Retreat</t>
        </is>
      </c>
      <c r="E293" t="inlineStr">
        <is>
          <t>Out</t>
        </is>
      </c>
      <c r="F293" t="n">
        <v>370</v>
      </c>
      <c r="G293" t="inlineStr">
        <is>
          <t>DELETED</t>
        </is>
      </c>
      <c r="H293" t="inlineStr">
        <is>
          <t>No</t>
        </is>
      </c>
      <c r="I293" t="inlineStr">
        <is>
          <t>420</t>
        </is>
      </c>
      <c r="J293" t="inlineStr">
        <is>
          <t>Goods-tagged</t>
        </is>
      </c>
      <c r="K293">
        <f>IF(AND(G293="AUTHORISED",J293="Goods-tagged"),F293,0)</f>
        <v/>
      </c>
      <c r="L293" t="inlineStr">
        <is>
          <t>Deluxe Cabin × 2</t>
        </is>
      </c>
      <c r="M293" t="inlineStr">
        <is>
          <t>ACT-ST</t>
        </is>
      </c>
      <c r="N293" t="n">
        <v>46211</v>
      </c>
    </row>
    <row r="294" ht="36" customHeight="1">
      <c r="A294" t="inlineStr">
        <is>
          <t>8b674591-441e-4a67-9b20-d0986034e8f4</t>
        </is>
      </c>
      <c r="B294" t="inlineStr">
        <is>
          <t>Bank transaction</t>
        </is>
      </c>
      <c r="C294" s="162" t="n">
        <v>46003</v>
      </c>
      <c r="D294" t="inlineStr">
        <is>
          <t>The Roastery Cafe</t>
        </is>
      </c>
      <c r="E294" t="inlineStr">
        <is>
          <t>Out</t>
        </is>
      </c>
      <c r="F294" t="n">
        <v>19.23</v>
      </c>
      <c r="G294" t="inlineStr">
        <is>
          <t>DELETED</t>
        </is>
      </c>
      <c r="H294" t="inlineStr">
        <is>
          <t>No</t>
        </is>
      </c>
      <c r="I294" t="inlineStr">
        <is>
          <t>421</t>
        </is>
      </c>
      <c r="J294" t="inlineStr">
        <is>
          <t>Goods-tagged</t>
        </is>
      </c>
      <c r="K294">
        <f>IF(AND(G294="AUTHORISED",J294="Goods-tagged"),F294,0)</f>
        <v/>
      </c>
      <c r="L294" t="inlineStr">
        <is>
          <t>The Roastery Cafe</t>
        </is>
      </c>
      <c r="M294" t="inlineStr">
        <is>
          <t>ACT-ST</t>
        </is>
      </c>
      <c r="N294" t="n">
        <v>46211</v>
      </c>
    </row>
    <row r="295" ht="36" customHeight="1">
      <c r="A295" t="inlineStr">
        <is>
          <t>d3f555ed-3b0d-46d4-a93d-2de2c6567a1c</t>
        </is>
      </c>
      <c r="B295" t="inlineStr">
        <is>
          <t>Bank transaction</t>
        </is>
      </c>
      <c r="C295" s="162" t="n">
        <v>46003</v>
      </c>
      <c r="D295" t="inlineStr">
        <is>
          <t>The Roastery Cafe</t>
        </is>
      </c>
      <c r="E295" t="inlineStr">
        <is>
          <t>Out</t>
        </is>
      </c>
      <c r="F295" t="n">
        <v>81.97</v>
      </c>
      <c r="G295" t="inlineStr">
        <is>
          <t>DELETED</t>
        </is>
      </c>
      <c r="H295" t="inlineStr">
        <is>
          <t>No</t>
        </is>
      </c>
      <c r="I295" t="inlineStr">
        <is>
          <t>421</t>
        </is>
      </c>
      <c r="J295" t="inlineStr">
        <is>
          <t>Goods-tagged</t>
        </is>
      </c>
      <c r="K295">
        <f>IF(AND(G295="AUTHORISED",J295="Goods-tagged"),F295,0)</f>
        <v/>
      </c>
      <c r="L295" t="inlineStr">
        <is>
          <t>Meals and Beverages</t>
        </is>
      </c>
      <c r="M295" t="inlineStr">
        <is>
          <t>ACT-ST</t>
        </is>
      </c>
      <c r="N295" t="n">
        <v>46211</v>
      </c>
    </row>
    <row r="296" ht="36" customHeight="1">
      <c r="A296" t="inlineStr">
        <is>
          <t>df9672c8-9afa-4dc7-ae61-3ca5ec2b198e</t>
        </is>
      </c>
      <c r="B296" t="inlineStr">
        <is>
          <t>Bank transaction</t>
        </is>
      </c>
      <c r="C296" s="162" t="n">
        <v>46003</v>
      </c>
      <c r="D296" t="inlineStr">
        <is>
          <t>BP</t>
        </is>
      </c>
      <c r="E296" t="inlineStr">
        <is>
          <t>Out</t>
        </is>
      </c>
      <c r="F296" t="n">
        <v>21.47</v>
      </c>
      <c r="G296" t="inlineStr">
        <is>
          <t>DELETED</t>
        </is>
      </c>
      <c r="H296" t="inlineStr">
        <is>
          <t>No</t>
        </is>
      </c>
      <c r="I296" t="inlineStr">
        <is>
          <t>449</t>
        </is>
      </c>
      <c r="J296" t="inlineStr">
        <is>
          <t>Goods-tagged</t>
        </is>
      </c>
      <c r="K296">
        <f>IF(AND(G296="AUTHORISED",J296="Goods-tagged"),F296,0)</f>
        <v/>
      </c>
      <c r="L296" t="inlineStr">
        <is>
          <t>Food</t>
        </is>
      </c>
      <c r="M296" t="inlineStr">
        <is>
          <t>ACT-ST</t>
        </is>
      </c>
      <c r="N296" t="n">
        <v>46211</v>
      </c>
    </row>
    <row r="297" ht="36" customHeight="1">
      <c r="A297" t="inlineStr">
        <is>
          <t>fae92640-df5c-435b-8bf6-e299754c4a1d</t>
        </is>
      </c>
      <c r="B297" t="inlineStr">
        <is>
          <t>Bank transaction</t>
        </is>
      </c>
      <c r="C297" s="162" t="n">
        <v>46003</v>
      </c>
      <c r="D297" t="inlineStr">
        <is>
          <t>Reddy Express</t>
        </is>
      </c>
      <c r="E297" t="inlineStr">
        <is>
          <t>Out</t>
        </is>
      </c>
      <c r="F297" t="n">
        <v>122.71</v>
      </c>
      <c r="G297" t="inlineStr">
        <is>
          <t>DELETED</t>
        </is>
      </c>
      <c r="H297" t="inlineStr">
        <is>
          <t>No</t>
        </is>
      </c>
      <c r="I297" t="inlineStr">
        <is>
          <t>493</t>
        </is>
      </c>
      <c r="J297" t="inlineStr">
        <is>
          <t>Goods-tagged</t>
        </is>
      </c>
      <c r="K297">
        <f>IF(AND(G297="AUTHORISED",J297="Goods-tagged"),F297,0)</f>
        <v/>
      </c>
      <c r="L297" t="inlineStr">
        <is>
          <t>Fuel - Diesel / Fuel - Diesel</t>
        </is>
      </c>
      <c r="M297" t="inlineStr">
        <is>
          <t>ACT-ST</t>
        </is>
      </c>
      <c r="N297" t="n">
        <v>46211</v>
      </c>
    </row>
    <row r="298" ht="36" customHeight="1">
      <c r="A298" t="inlineStr">
        <is>
          <t>113b4351-2321-471e-8aef-7c9f37c0fd9a</t>
        </is>
      </c>
      <c r="B298" t="inlineStr">
        <is>
          <t>Invoice payment</t>
        </is>
      </c>
      <c r="C298" s="162" t="n">
        <v>46003</v>
      </c>
      <c r="D298" t="inlineStr">
        <is>
          <t>Q Eats</t>
        </is>
      </c>
      <c r="E298" t="inlineStr">
        <is>
          <t>Out</t>
        </is>
      </c>
      <c r="F298" t="n">
        <v>133.1</v>
      </c>
      <c r="G298" t="inlineStr">
        <is>
          <t>AUTHORISED</t>
        </is>
      </c>
      <c r="H298" t="inlineStr">
        <is>
          <t>Yes</t>
        </is>
      </c>
      <c r="I298" t="inlineStr">
        <is>
          <t>T9Gq</t>
        </is>
      </c>
      <c r="J298" t="inlineStr">
        <is>
          <t>Goods-tagged</t>
        </is>
      </c>
      <c r="K298">
        <f>IF(AND(G298="AUTHORISED",J298="Goods-tagged"),F298,0)</f>
        <v/>
      </c>
      <c r="L298" t="inlineStr">
        <is>
          <t>.</t>
        </is>
      </c>
      <c r="M298" t="inlineStr">
        <is>
          <t>ACT-ST</t>
        </is>
      </c>
      <c r="N298" t="n">
        <v>46223</v>
      </c>
    </row>
    <row r="299" ht="36" customHeight="1">
      <c r="A299" t="inlineStr">
        <is>
          <t>fed8e83e-989f-433b-9685-e0e287476770</t>
        </is>
      </c>
      <c r="B299" t="inlineStr">
        <is>
          <t>Invoice payment</t>
        </is>
      </c>
      <c r="C299" s="162" t="n">
        <v>46003</v>
      </c>
      <c r="D299" t="inlineStr">
        <is>
          <t>Kmart</t>
        </is>
      </c>
      <c r="E299" t="inlineStr">
        <is>
          <t>Out</t>
        </is>
      </c>
      <c r="F299" t="n">
        <v>9.5</v>
      </c>
      <c r="G299" t="inlineStr">
        <is>
          <t>AUTHORISED</t>
        </is>
      </c>
      <c r="H299" t="inlineStr">
        <is>
          <t>Yes</t>
        </is>
      </c>
      <c r="I299" t="inlineStr">
        <is>
          <t>0876 1104 082</t>
        </is>
      </c>
      <c r="J299" t="inlineStr">
        <is>
          <t>Goods-tagged</t>
        </is>
      </c>
      <c r="K299">
        <f>IF(AND(G299="AUTHORISED",J299="Goods-tagged"),F299,0)</f>
        <v/>
      </c>
      <c r="L299" t="inlineStr">
        <is>
          <t>.</t>
        </is>
      </c>
      <c r="M299" t="inlineStr">
        <is>
          <t>ACT-ST</t>
        </is>
      </c>
      <c r="N299" t="n">
        <v>46223</v>
      </c>
    </row>
    <row r="300" ht="36" customHeight="1">
      <c r="A300" t="inlineStr">
        <is>
          <t>043852c8-eacd-4940-afab-fafb1cd471b8</t>
        </is>
      </c>
      <c r="B300" t="inlineStr">
        <is>
          <t>Bank transaction</t>
        </is>
      </c>
      <c r="C300" s="162" t="n">
        <v>46004</v>
      </c>
      <c r="D300" t="inlineStr">
        <is>
          <t>Memories Bistro</t>
        </is>
      </c>
      <c r="E300" t="inlineStr">
        <is>
          <t>Out</t>
        </is>
      </c>
      <c r="F300" t="n">
        <v>77.22</v>
      </c>
      <c r="G300" t="inlineStr">
        <is>
          <t>DELETED</t>
        </is>
      </c>
      <c r="H300" t="inlineStr">
        <is>
          <t>No</t>
        </is>
      </c>
      <c r="I300" t="inlineStr">
        <is>
          <t>493</t>
        </is>
      </c>
      <c r="J300" t="inlineStr">
        <is>
          <t>Goods-tagged</t>
        </is>
      </c>
      <c r="K300">
        <f>IF(AND(G300="AUTHORISED",J300="Goods-tagged"),F300,0)</f>
        <v/>
      </c>
      <c r="L300" t="inlineStr">
        <is>
          <t>Memories Bistro</t>
        </is>
      </c>
      <c r="M300" t="inlineStr">
        <is>
          <t>ACT-ST</t>
        </is>
      </c>
      <c r="N300" t="n">
        <v>46211</v>
      </c>
    </row>
    <row r="301" ht="36" customHeight="1">
      <c r="A301" t="inlineStr">
        <is>
          <t>bfa89334-d753-4d69-a669-aa983d48a363</t>
        </is>
      </c>
      <c r="B301" t="inlineStr">
        <is>
          <t>Bank transaction</t>
        </is>
      </c>
      <c r="C301" s="162" t="n">
        <v>46004</v>
      </c>
      <c r="D301" t="inlineStr">
        <is>
          <t>Memories Bistro</t>
        </is>
      </c>
      <c r="E301" t="inlineStr">
        <is>
          <t>Out</t>
        </is>
      </c>
      <c r="F301" t="n">
        <v>60.96</v>
      </c>
      <c r="G301" t="inlineStr">
        <is>
          <t>DELETED</t>
        </is>
      </c>
      <c r="H301" t="inlineStr">
        <is>
          <t>No</t>
        </is>
      </c>
      <c r="I301" t="inlineStr">
        <is>
          <t>493</t>
        </is>
      </c>
      <c r="J301" t="inlineStr">
        <is>
          <t>Goods-tagged</t>
        </is>
      </c>
      <c r="K301">
        <f>IF(AND(G301="AUTHORISED",J301="Goods-tagged"),F301,0)</f>
        <v/>
      </c>
      <c r="L301" t="inlineStr">
        <is>
          <t>Memories Bistro</t>
        </is>
      </c>
      <c r="M301" t="inlineStr">
        <is>
          <t>ACT-ST</t>
        </is>
      </c>
      <c r="N301" t="n">
        <v>46211</v>
      </c>
    </row>
    <row r="302" ht="36" customHeight="1">
      <c r="A302" t="inlineStr">
        <is>
          <t>bc73c091-aa5d-4566-a09f-36a37111eb8b</t>
        </is>
      </c>
      <c r="B302" t="inlineStr">
        <is>
          <t>Bank transaction</t>
        </is>
      </c>
      <c r="C302" s="162" t="n">
        <v>46005</v>
      </c>
      <c r="D302" t="inlineStr">
        <is>
          <t>Todd Tavern</t>
        </is>
      </c>
      <c r="E302" t="inlineStr">
        <is>
          <t>Out</t>
        </is>
      </c>
      <c r="F302" t="n">
        <v>197.47</v>
      </c>
      <c r="G302" t="inlineStr">
        <is>
          <t>DELETED</t>
        </is>
      </c>
      <c r="H302" t="inlineStr">
        <is>
          <t>No</t>
        </is>
      </c>
      <c r="I302" t="inlineStr">
        <is>
          <t>421</t>
        </is>
      </c>
      <c r="J302" t="inlineStr">
        <is>
          <t>Goods-tagged</t>
        </is>
      </c>
      <c r="K302">
        <f>IF(AND(G302="AUTHORISED",J302="Goods-tagged"),F302,0)</f>
        <v/>
      </c>
      <c r="L302" t="inlineStr">
        <is>
          <t>.</t>
        </is>
      </c>
      <c r="M302" t="inlineStr">
        <is>
          <t>ACT-ST</t>
        </is>
      </c>
      <c r="N302" t="n">
        <v>46211</v>
      </c>
    </row>
    <row r="303" ht="36" customHeight="1">
      <c r="A303" t="inlineStr">
        <is>
          <t>e706dfb3-db4c-47d8-afcf-a2b662bc09e2</t>
        </is>
      </c>
      <c r="B303" t="inlineStr">
        <is>
          <t>Bank transaction</t>
        </is>
      </c>
      <c r="C303" s="162" t="n">
        <v>46005</v>
      </c>
      <c r="D303" t="inlineStr">
        <is>
          <t>Qantas Group Accommodation</t>
        </is>
      </c>
      <c r="E303" t="inlineStr">
        <is>
          <t>Out</t>
        </is>
      </c>
      <c r="F303" t="n">
        <v>135</v>
      </c>
      <c r="G303" t="inlineStr">
        <is>
          <t>DELETED</t>
        </is>
      </c>
      <c r="H303" t="inlineStr">
        <is>
          <t>No</t>
        </is>
      </c>
      <c r="I303" t="inlineStr">
        <is>
          <t>493</t>
        </is>
      </c>
      <c r="J303" t="inlineStr">
        <is>
          <t>Goods-tagged</t>
        </is>
      </c>
      <c r="K303">
        <f>IF(AND(G303="AUTHORISED",J303="Goods-tagged"),F303,0)</f>
        <v/>
      </c>
      <c r="L303" t="inlineStr">
        <is>
          <t>Accommodation</t>
        </is>
      </c>
      <c r="M303" t="inlineStr">
        <is>
          <t>ACT-ST</t>
        </is>
      </c>
      <c r="N303" t="n">
        <v>46211</v>
      </c>
    </row>
    <row r="304" ht="36" customHeight="1">
      <c r="A304" t="inlineStr">
        <is>
          <t>ede19faf-6635-44df-9c9c-5ac6dac7f3c8</t>
        </is>
      </c>
      <c r="B304" t="inlineStr">
        <is>
          <t>Bank transaction</t>
        </is>
      </c>
      <c r="C304" s="162" t="n">
        <v>46005</v>
      </c>
      <c r="D304" t="inlineStr">
        <is>
          <t>Bunnings Warehouse</t>
        </is>
      </c>
      <c r="E304" t="inlineStr">
        <is>
          <t>Out</t>
        </is>
      </c>
      <c r="F304" t="n">
        <v>596.96</v>
      </c>
      <c r="G304" t="inlineStr">
        <is>
          <t>DELETED</t>
        </is>
      </c>
      <c r="H304" t="inlineStr">
        <is>
          <t>No</t>
        </is>
      </c>
      <c r="I304" t="inlineStr">
        <is>
          <t>446</t>
        </is>
      </c>
      <c r="J304" t="inlineStr">
        <is>
          <t>Goods-tagged</t>
        </is>
      </c>
      <c r="K304">
        <f>IF(AND(G304="AUTHORISED",J304="Goods-tagged"),F304,0)</f>
        <v/>
      </c>
      <c r="L304" t="inlineStr">
        <is>
          <t>.</t>
        </is>
      </c>
      <c r="M304" t="inlineStr">
        <is>
          <t>ACT-ST</t>
        </is>
      </c>
      <c r="N304" t="n">
        <v>46211</v>
      </c>
    </row>
    <row r="305" ht="36" customHeight="1">
      <c r="A305" t="inlineStr">
        <is>
          <t>1556c050-5abc-477b-9aa1-308a5044e781</t>
        </is>
      </c>
      <c r="B305" t="inlineStr">
        <is>
          <t>Bank transaction</t>
        </is>
      </c>
      <c r="C305" s="162" t="n">
        <v>46006</v>
      </c>
      <c r="D305" t="inlineStr">
        <is>
          <t>F V Snowdon And J R Rowden</t>
        </is>
      </c>
      <c r="E305" t="inlineStr">
        <is>
          <t>Out</t>
        </is>
      </c>
      <c r="F305" t="n">
        <v>37.5</v>
      </c>
      <c r="G305" t="inlineStr">
        <is>
          <t>DELETED</t>
        </is>
      </c>
      <c r="H305" t="inlineStr">
        <is>
          <t>No</t>
        </is>
      </c>
      <c r="I305" t="inlineStr">
        <is>
          <t>421</t>
        </is>
      </c>
      <c r="J305" t="inlineStr">
        <is>
          <t>Goods-tagged</t>
        </is>
      </c>
      <c r="K305">
        <f>IF(AND(G305="AUTHORISED",J305="Goods-tagged"),F305,0)</f>
        <v/>
      </c>
      <c r="L305" t="inlineStr">
        <is>
          <t>Staff amenities</t>
        </is>
      </c>
      <c r="M305" t="inlineStr">
        <is>
          <t>ACT-ST</t>
        </is>
      </c>
      <c r="N305" t="n">
        <v>46211</v>
      </c>
    </row>
    <row r="306" ht="36" customHeight="1">
      <c r="A306" t="inlineStr">
        <is>
          <t>1f614fa4-637b-4e27-80b7-dd683794c404</t>
        </is>
      </c>
      <c r="B306" t="inlineStr">
        <is>
          <t>Bank transaction</t>
        </is>
      </c>
      <c r="C306" s="162" t="n">
        <v>46006</v>
      </c>
      <c r="D306" t="inlineStr">
        <is>
          <t>BP</t>
        </is>
      </c>
      <c r="E306" t="inlineStr">
        <is>
          <t>Out</t>
        </is>
      </c>
      <c r="F306" t="n">
        <v>95.65000000000001</v>
      </c>
      <c r="G306" t="inlineStr">
        <is>
          <t>DELETED</t>
        </is>
      </c>
      <c r="H306" t="inlineStr">
        <is>
          <t>No</t>
        </is>
      </c>
      <c r="I306" t="inlineStr">
        <is>
          <t>449</t>
        </is>
      </c>
      <c r="J306" t="inlineStr">
        <is>
          <t>Goods-tagged</t>
        </is>
      </c>
      <c r="K306">
        <f>IF(AND(G306="AUTHORISED",J306="Goods-tagged"),F306,0)</f>
        <v/>
      </c>
      <c r="L306" t="inlineStr">
        <is>
          <t>. / .</t>
        </is>
      </c>
      <c r="M306" t="inlineStr">
        <is>
          <t>ACT-ST</t>
        </is>
      </c>
      <c r="N306" t="n">
        <v>46211</v>
      </c>
    </row>
    <row r="307" ht="36" customHeight="1">
      <c r="A307" t="inlineStr">
        <is>
          <t>13ef0f37-aec1-438b-9ac0-5918fd0a5271</t>
        </is>
      </c>
      <c r="B307" t="inlineStr">
        <is>
          <t>Invoice payment</t>
        </is>
      </c>
      <c r="C307" s="162" t="n">
        <v>46006</v>
      </c>
      <c r="D307" t="inlineStr">
        <is>
          <t>Memories Bistro</t>
        </is>
      </c>
      <c r="E307" t="inlineStr">
        <is>
          <t>Out</t>
        </is>
      </c>
      <c r="F307" t="n">
        <v>60.96</v>
      </c>
      <c r="G307" t="inlineStr">
        <is>
          <t>AUTHORISED</t>
        </is>
      </c>
      <c r="H307" t="inlineStr">
        <is>
          <t>Yes</t>
        </is>
      </c>
      <c r="J307" t="inlineStr">
        <is>
          <t>Goods-tagged</t>
        </is>
      </c>
      <c r="K307">
        <f>IF(AND(G307="AUTHORISED",J307="Goods-tagged"),F307,0)</f>
        <v/>
      </c>
      <c r="L307" t="inlineStr">
        <is>
          <t>Memories Bistro — Meals &amp; Entertainment — ACT-GD</t>
        </is>
      </c>
      <c r="M307" t="inlineStr">
        <is>
          <t>ACT-ST</t>
        </is>
      </c>
      <c r="N307" t="n">
        <v>46223</v>
      </c>
    </row>
    <row r="308" ht="36" customHeight="1">
      <c r="A308" t="inlineStr">
        <is>
          <t>4de8009e-cd75-41c8-ad05-aa3288f5d7e3</t>
        </is>
      </c>
      <c r="B308" t="inlineStr">
        <is>
          <t>Invoice payment</t>
        </is>
      </c>
      <c r="C308" s="162" t="n">
        <v>46006</v>
      </c>
      <c r="D308" t="inlineStr">
        <is>
          <t>Lasseters Centre Of Entertainment</t>
        </is>
      </c>
      <c r="E308" t="inlineStr">
        <is>
          <t>Out</t>
        </is>
      </c>
      <c r="F308" t="n">
        <v>4.57</v>
      </c>
      <c r="G308" t="inlineStr">
        <is>
          <t>AUTHORISED</t>
        </is>
      </c>
      <c r="H308" t="inlineStr">
        <is>
          <t>Yes</t>
        </is>
      </c>
      <c r="I308" t="inlineStr">
        <is>
          <t>51444450</t>
        </is>
      </c>
      <c r="J308" t="inlineStr">
        <is>
          <t>Goods-tagged</t>
        </is>
      </c>
      <c r="K308">
        <f>IF(AND(G308="AUTHORISED",J308="Goods-tagged"),F308,0)</f>
        <v/>
      </c>
      <c r="L308" t="inlineStr">
        <is>
          <t>.</t>
        </is>
      </c>
      <c r="M308" t="inlineStr">
        <is>
          <t>ACT-ST</t>
        </is>
      </c>
      <c r="N308" t="n">
        <v>46223</v>
      </c>
    </row>
    <row r="309" ht="36" customHeight="1">
      <c r="A309" t="inlineStr">
        <is>
          <t>4efdf2fa-7e2a-433a-8bd6-3d023a22627d</t>
        </is>
      </c>
      <c r="B309" t="inlineStr">
        <is>
          <t>Invoice payment</t>
        </is>
      </c>
      <c r="C309" s="162" t="n">
        <v>46006</v>
      </c>
      <c r="D309" t="inlineStr">
        <is>
          <t>Alice Silver Passenger S</t>
        </is>
      </c>
      <c r="E309" t="inlineStr">
        <is>
          <t>Out</t>
        </is>
      </c>
      <c r="F309" t="n">
        <v>40</v>
      </c>
      <c r="G309" t="inlineStr">
        <is>
          <t>AUTHORISED</t>
        </is>
      </c>
      <c r="H309" t="inlineStr">
        <is>
          <t>Yes</t>
        </is>
      </c>
      <c r="I309" t="inlineStr">
        <is>
          <t>RB18983555720</t>
        </is>
      </c>
      <c r="J309" t="inlineStr">
        <is>
          <t>Goods-tagged</t>
        </is>
      </c>
      <c r="K309">
        <f>IF(AND(G309="AUTHORISED",J309="Goods-tagged"),F309,0)</f>
        <v/>
      </c>
      <c r="L309" t="inlineStr">
        <is>
          <t>.</t>
        </is>
      </c>
      <c r="M309" t="inlineStr">
        <is>
          <t>ACT-ST</t>
        </is>
      </c>
      <c r="N309" t="n">
        <v>46223</v>
      </c>
    </row>
    <row r="310" ht="36" customHeight="1">
      <c r="A310" t="inlineStr">
        <is>
          <t>6e2a2b44-f896-48a3-a011-44d4142d0609</t>
        </is>
      </c>
      <c r="B310" t="inlineStr">
        <is>
          <t>Invoice payment</t>
        </is>
      </c>
      <c r="C310" s="162" t="n">
        <v>46006</v>
      </c>
      <c r="D310" t="inlineStr">
        <is>
          <t>Kmart</t>
        </is>
      </c>
      <c r="E310" t="inlineStr">
        <is>
          <t>Out</t>
        </is>
      </c>
      <c r="F310" t="n">
        <v>21</v>
      </c>
      <c r="G310" t="inlineStr">
        <is>
          <t>AUTHORISED</t>
        </is>
      </c>
      <c r="H310" t="inlineStr">
        <is>
          <t>Yes</t>
        </is>
      </c>
      <c r="I310" t="inlineStr">
        <is>
          <t>2962 1104 091</t>
        </is>
      </c>
      <c r="J310" t="inlineStr">
        <is>
          <t>Goods-tagged</t>
        </is>
      </c>
      <c r="K310">
        <f>IF(AND(G310="AUTHORISED",J310="Goods-tagged"),F310,0)</f>
        <v/>
      </c>
      <c r="L310" t="inlineStr">
        <is>
          <t>Fit Marine SB</t>
        </is>
      </c>
      <c r="M310" t="inlineStr">
        <is>
          <t>ACT-ST</t>
        </is>
      </c>
      <c r="N310" t="n">
        <v>46223</v>
      </c>
    </row>
    <row r="311" ht="36" customHeight="1">
      <c r="A311" t="inlineStr">
        <is>
          <t>9f0d7bbf-4120-4a27-a2e6-2a585deb6c9f</t>
        </is>
      </c>
      <c r="B311" t="inlineStr">
        <is>
          <t>Invoice payment</t>
        </is>
      </c>
      <c r="C311" s="162" t="n">
        <v>46006</v>
      </c>
      <c r="D311" t="inlineStr">
        <is>
          <t>Memories Bistro</t>
        </is>
      </c>
      <c r="E311" t="inlineStr">
        <is>
          <t>Out</t>
        </is>
      </c>
      <c r="F311" t="n">
        <v>77.22</v>
      </c>
      <c r="G311" t="inlineStr">
        <is>
          <t>AUTHORISED</t>
        </is>
      </c>
      <c r="H311" t="inlineStr">
        <is>
          <t>Yes</t>
        </is>
      </c>
      <c r="J311" t="inlineStr">
        <is>
          <t>Goods-tagged</t>
        </is>
      </c>
      <c r="K311">
        <f>IF(AND(G311="AUTHORISED",J311="Goods-tagged"),F311,0)</f>
        <v/>
      </c>
      <c r="L311" t="inlineStr">
        <is>
          <t>Memories Bistro — Meals &amp; Entertainment — ACT-GD</t>
        </is>
      </c>
      <c r="M311" t="inlineStr">
        <is>
          <t>ACT-ST</t>
        </is>
      </c>
      <c r="N311" t="n">
        <v>46223</v>
      </c>
    </row>
    <row r="312" ht="36" customHeight="1">
      <c r="A312" t="inlineStr">
        <is>
          <t>a192fbe3-762e-4a82-a38b-3ea0348244e8</t>
        </is>
      </c>
      <c r="B312" t="inlineStr">
        <is>
          <t>Invoice payment</t>
        </is>
      </c>
      <c r="C312" s="162" t="n">
        <v>46006</v>
      </c>
      <c r="D312" t="inlineStr">
        <is>
          <t>Kmart</t>
        </is>
      </c>
      <c r="E312" t="inlineStr">
        <is>
          <t>Out</t>
        </is>
      </c>
      <c r="F312" t="n">
        <v>22</v>
      </c>
      <c r="G312" t="inlineStr">
        <is>
          <t>AUTHORISED</t>
        </is>
      </c>
      <c r="H312" t="inlineStr">
        <is>
          <t>Yes</t>
        </is>
      </c>
      <c r="I312" t="inlineStr">
        <is>
          <t>5655 1104 061</t>
        </is>
      </c>
      <c r="J312" t="inlineStr">
        <is>
          <t>Goods-tagged</t>
        </is>
      </c>
      <c r="K312">
        <f>IF(AND(G312="AUTHORISED",J312="Goods-tagged"),F312,0)</f>
        <v/>
      </c>
      <c r="L312" t="inlineStr">
        <is>
          <t>Photos for the office</t>
        </is>
      </c>
      <c r="M312" t="inlineStr">
        <is>
          <t>ACT-ST</t>
        </is>
      </c>
      <c r="N312" t="n">
        <v>46223</v>
      </c>
    </row>
    <row r="313" ht="36" customHeight="1">
      <c r="A313" t="inlineStr">
        <is>
          <t>b40243f0-bfa4-4817-a42c-c9817650548b</t>
        </is>
      </c>
      <c r="B313" t="inlineStr">
        <is>
          <t>Invoice payment</t>
        </is>
      </c>
      <c r="C313" s="162" t="n">
        <v>46006</v>
      </c>
      <c r="D313" t="inlineStr">
        <is>
          <t>Bay Leaf Cafe</t>
        </is>
      </c>
      <c r="E313" t="inlineStr">
        <is>
          <t>Out</t>
        </is>
      </c>
      <c r="F313" t="n">
        <v>12.65</v>
      </c>
      <c r="G313" t="inlineStr">
        <is>
          <t>AUTHORISED</t>
        </is>
      </c>
      <c r="H313" t="inlineStr">
        <is>
          <t>Yes</t>
        </is>
      </c>
      <c r="I313" t="inlineStr">
        <is>
          <t>3NzJ</t>
        </is>
      </c>
      <c r="J313" t="inlineStr">
        <is>
          <t>Goods-tagged</t>
        </is>
      </c>
      <c r="K313">
        <f>IF(AND(G313="AUTHORISED",J313="Goods-tagged"),F313,0)</f>
        <v/>
      </c>
      <c r="L313" t="inlineStr">
        <is>
          <t>.</t>
        </is>
      </c>
      <c r="M313" t="inlineStr">
        <is>
          <t>ACT-ST</t>
        </is>
      </c>
      <c r="N313" t="n">
        <v>46223</v>
      </c>
    </row>
    <row r="314" ht="36" customHeight="1">
      <c r="A314" t="inlineStr">
        <is>
          <t>bbba87c3-bbbf-4e2f-805d-22c919ffffce</t>
        </is>
      </c>
      <c r="B314" t="inlineStr">
        <is>
          <t>Invoice payment</t>
        </is>
      </c>
      <c r="C314" s="162" t="n">
        <v>46006</v>
      </c>
      <c r="D314" t="inlineStr">
        <is>
          <t>Reddy Express</t>
        </is>
      </c>
      <c r="E314" t="inlineStr">
        <is>
          <t>Out</t>
        </is>
      </c>
      <c r="F314" t="n">
        <v>122.71</v>
      </c>
      <c r="G314" t="inlineStr">
        <is>
          <t>AUTHORISED</t>
        </is>
      </c>
      <c r="H314" t="inlineStr">
        <is>
          <t>Yes</t>
        </is>
      </c>
      <c r="J314" t="inlineStr">
        <is>
          <t>Goods-tagged</t>
        </is>
      </c>
      <c r="K314">
        <f>IF(AND(G314="AUTHORISED",J314="Goods-tagged"),F314,0)</f>
        <v/>
      </c>
      <c r="L314" t="inlineStr">
        <is>
          <t>Reddy Express — Operations — ACT-GD</t>
        </is>
      </c>
      <c r="M314" t="inlineStr">
        <is>
          <t>ACT-ST</t>
        </is>
      </c>
      <c r="N314" t="n">
        <v>46223</v>
      </c>
    </row>
    <row r="315" ht="36" customHeight="1">
      <c r="A315" t="inlineStr">
        <is>
          <t>dd25a49e-3918-446c-97f5-9669a0cf1217</t>
        </is>
      </c>
      <c r="B315" t="inlineStr">
        <is>
          <t>Invoice payment</t>
        </is>
      </c>
      <c r="C315" s="162" t="n">
        <v>46006</v>
      </c>
      <c r="D315" t="inlineStr">
        <is>
          <t>Tennant Creek Memorial Club</t>
        </is>
      </c>
      <c r="E315" t="inlineStr">
        <is>
          <t>Out</t>
        </is>
      </c>
      <c r="F315" t="n">
        <v>6</v>
      </c>
      <c r="G315" t="inlineStr">
        <is>
          <t>AUTHORISED</t>
        </is>
      </c>
      <c r="H315" t="inlineStr">
        <is>
          <t>Yes</t>
        </is>
      </c>
      <c r="I315" t="inlineStr">
        <is>
          <t>114420</t>
        </is>
      </c>
      <c r="J315" t="inlineStr">
        <is>
          <t>Goods-tagged</t>
        </is>
      </c>
      <c r="K315">
        <f>IF(AND(G315="AUTHORISED",J315="Goods-tagged"),F315,0)</f>
        <v/>
      </c>
      <c r="L315" t="inlineStr">
        <is>
          <t>.</t>
        </is>
      </c>
      <c r="M315" t="inlineStr">
        <is>
          <t>ACT-ST</t>
        </is>
      </c>
      <c r="N315" t="n">
        <v>46223</v>
      </c>
    </row>
    <row r="316" ht="36" customHeight="1">
      <c r="A316" t="inlineStr">
        <is>
          <t>2272502b-3b9f-4c80-8796-76da291eb3f1</t>
        </is>
      </c>
      <c r="B316" t="inlineStr">
        <is>
          <t>Bank transaction</t>
        </is>
      </c>
      <c r="C316" s="162" t="n">
        <v>46007</v>
      </c>
      <c r="D316" t="inlineStr">
        <is>
          <t>1300 Washer</t>
        </is>
      </c>
      <c r="E316" t="inlineStr">
        <is>
          <t>Out</t>
        </is>
      </c>
      <c r="F316" t="n">
        <v>13980</v>
      </c>
      <c r="G316" t="inlineStr">
        <is>
          <t>DELETED</t>
        </is>
      </c>
      <c r="H316" t="inlineStr">
        <is>
          <t>No</t>
        </is>
      </c>
      <c r="I316" t="inlineStr">
        <is>
          <t>446</t>
        </is>
      </c>
      <c r="J316" t="inlineStr">
        <is>
          <t>Goods-tagged</t>
        </is>
      </c>
      <c r="K316">
        <f>IF(AND(G316="AUTHORISED",J316="Goods-tagged"),F316,0)</f>
        <v/>
      </c>
      <c r="L316" t="inlineStr">
        <is>
          <t>Washing Machine</t>
        </is>
      </c>
      <c r="M316" t="inlineStr">
        <is>
          <t>ACT-ST</t>
        </is>
      </c>
      <c r="N316" t="n">
        <v>46211</v>
      </c>
    </row>
    <row r="317" ht="36" customHeight="1">
      <c r="A317" t="inlineStr">
        <is>
          <t>ca5483f0-cd5e-47ff-81ef-016dfafc72d0</t>
        </is>
      </c>
      <c r="B317" t="inlineStr">
        <is>
          <t>Bank transaction</t>
        </is>
      </c>
      <c r="C317" s="162" t="n">
        <v>46007</v>
      </c>
      <c r="D317" t="inlineStr">
        <is>
          <t>Happy Boy</t>
        </is>
      </c>
      <c r="E317" t="inlineStr">
        <is>
          <t>Out</t>
        </is>
      </c>
      <c r="F317" t="n">
        <v>197.99</v>
      </c>
      <c r="G317" t="inlineStr">
        <is>
          <t>DELETED</t>
        </is>
      </c>
      <c r="H317" t="inlineStr">
        <is>
          <t>No</t>
        </is>
      </c>
      <c r="I317" t="inlineStr">
        <is>
          <t>421</t>
        </is>
      </c>
      <c r="J317" t="inlineStr">
        <is>
          <t>Goods-tagged</t>
        </is>
      </c>
      <c r="K317">
        <f>IF(AND(G317="AUTHORISED",J317="Goods-tagged"),F317,0)</f>
        <v/>
      </c>
      <c r="L317" t="inlineStr">
        <is>
          <t>East st (under fairylit trees) / East st (under fairylit trees)</t>
        </is>
      </c>
      <c r="M317" t="inlineStr">
        <is>
          <t>ACT-ST</t>
        </is>
      </c>
      <c r="N317" t="n">
        <v>46211</v>
      </c>
    </row>
    <row r="318" ht="36" customHeight="1">
      <c r="A318" t="inlineStr">
        <is>
          <t>ea35ab11-385e-46bc-9206-9c134b9b7d09</t>
        </is>
      </c>
      <c r="B318" t="inlineStr">
        <is>
          <t>Bank transaction</t>
        </is>
      </c>
      <c r="C318" s="162" t="n">
        <v>46007</v>
      </c>
      <c r="D318" t="inlineStr">
        <is>
          <t>DuYu Coffee</t>
        </is>
      </c>
      <c r="E318" t="inlineStr">
        <is>
          <t>Out</t>
        </is>
      </c>
      <c r="F318" t="n">
        <v>22.26</v>
      </c>
      <c r="G318" t="inlineStr">
        <is>
          <t>DELETED</t>
        </is>
      </c>
      <c r="H318" t="inlineStr">
        <is>
          <t>No</t>
        </is>
      </c>
      <c r="I318" t="inlineStr">
        <is>
          <t>421</t>
        </is>
      </c>
      <c r="J318" t="inlineStr">
        <is>
          <t>Goods-tagged</t>
        </is>
      </c>
      <c r="K318">
        <f>IF(AND(G318="AUTHORISED",J318="Goods-tagged"),F318,0)</f>
        <v/>
      </c>
      <c r="L318" t="inlineStr">
        <is>
          <t>Coffee with staff</t>
        </is>
      </c>
      <c r="M318" t="inlineStr">
        <is>
          <t>ACT-ST</t>
        </is>
      </c>
      <c r="N318" t="n">
        <v>46211</v>
      </c>
    </row>
    <row r="319" ht="36" customHeight="1">
      <c r="A319" t="inlineStr">
        <is>
          <t>0e21d29e-2ee7-45b8-9c1a-ed3495c56c04</t>
        </is>
      </c>
      <c r="B319" t="inlineStr">
        <is>
          <t>Invoice payment</t>
        </is>
      </c>
      <c r="C319" s="162" t="n">
        <v>46007</v>
      </c>
      <c r="D319" t="inlineStr">
        <is>
          <t>IGA</t>
        </is>
      </c>
      <c r="E319" t="inlineStr">
        <is>
          <t>Out</t>
        </is>
      </c>
      <c r="F319" t="n">
        <v>41.28</v>
      </c>
      <c r="G319" t="inlineStr">
        <is>
          <t>AUTHORISED</t>
        </is>
      </c>
      <c r="H319" t="inlineStr">
        <is>
          <t>Yes</t>
        </is>
      </c>
      <c r="I319" t="inlineStr">
        <is>
          <t>35339</t>
        </is>
      </c>
      <c r="J319" t="inlineStr">
        <is>
          <t>Goods-tagged</t>
        </is>
      </c>
      <c r="K319">
        <f>IF(AND(G319="AUTHORISED",J319="Goods-tagged"),F319,0)</f>
        <v/>
      </c>
      <c r="L319" t="inlineStr">
        <is>
          <t>. / .</t>
        </is>
      </c>
      <c r="M319" t="inlineStr">
        <is>
          <t>ACT-ST</t>
        </is>
      </c>
      <c r="N319" t="n">
        <v>46223</v>
      </c>
    </row>
    <row r="320" ht="36" customHeight="1">
      <c r="A320" t="inlineStr">
        <is>
          <t>4419cc0c-824b-4903-82b3-a4b03588ebbd</t>
        </is>
      </c>
      <c r="B320" t="inlineStr">
        <is>
          <t>Invoice payment</t>
        </is>
      </c>
      <c r="C320" s="162" t="n">
        <v>46007</v>
      </c>
      <c r="D320" t="inlineStr">
        <is>
          <t>Oonchiumpa Consultancy and Services</t>
        </is>
      </c>
      <c r="E320" t="inlineStr">
        <is>
          <t>Out</t>
        </is>
      </c>
      <c r="F320" t="n">
        <v>5940</v>
      </c>
      <c r="G320" t="inlineStr">
        <is>
          <t>AUTHORISED</t>
        </is>
      </c>
      <c r="H320" t="inlineStr">
        <is>
          <t>Yes</t>
        </is>
      </c>
      <c r="I320" t="inlineStr">
        <is>
          <t>INV-0027</t>
        </is>
      </c>
      <c r="J320" t="inlineStr">
        <is>
          <t>Goods-tagged</t>
        </is>
      </c>
      <c r="K320">
        <f>IF(AND(G320="AUTHORISED",J320="Goods-tagged"),F320,0)</f>
        <v/>
      </c>
      <c r="L320" t="inlineStr">
        <is>
          <t>Building Beds with Oonchiumpa</t>
        </is>
      </c>
      <c r="M320" t="inlineStr">
        <is>
          <t>ACT-ST</t>
        </is>
      </c>
      <c r="N320" t="n">
        <v>46223</v>
      </c>
    </row>
    <row r="321" ht="36" customHeight="1">
      <c r="A321" t="inlineStr">
        <is>
          <t>6939aebb-269d-4f2a-892e-9d817fa201dd</t>
        </is>
      </c>
      <c r="B321" t="inlineStr">
        <is>
          <t>Invoice payment</t>
        </is>
      </c>
      <c r="C321" s="162" t="n">
        <v>46007</v>
      </c>
      <c r="D321" t="inlineStr">
        <is>
          <t>SSP Australia Catering</t>
        </is>
      </c>
      <c r="E321" t="inlineStr">
        <is>
          <t>Out</t>
        </is>
      </c>
      <c r="F321" t="n">
        <v>21.3</v>
      </c>
      <c r="G321" t="inlineStr">
        <is>
          <t>AUTHORISED</t>
        </is>
      </c>
      <c r="H321" t="inlineStr">
        <is>
          <t>Yes</t>
        </is>
      </c>
      <c r="I321" t="inlineStr">
        <is>
          <t>RB19011754740</t>
        </is>
      </c>
      <c r="J321" t="inlineStr">
        <is>
          <t>Goods-tagged</t>
        </is>
      </c>
      <c r="K321">
        <f>IF(AND(G321="AUTHORISED",J321="Goods-tagged"),F321,0)</f>
        <v/>
      </c>
      <c r="L321" t="inlineStr">
        <is>
          <t>.</t>
        </is>
      </c>
      <c r="M321" t="inlineStr">
        <is>
          <t>ACT-ST</t>
        </is>
      </c>
      <c r="N321" t="n">
        <v>46223</v>
      </c>
    </row>
    <row r="322" ht="36" customHeight="1">
      <c r="A322" t="inlineStr">
        <is>
          <t>bf385dbb-59d6-46d1-8056-1ea0da683813</t>
        </is>
      </c>
      <c r="B322" t="inlineStr">
        <is>
          <t>Invoice payment</t>
        </is>
      </c>
      <c r="C322" s="162" t="n">
        <v>46007</v>
      </c>
      <c r="D322" t="inlineStr">
        <is>
          <t>Ti Tree Roadhouse</t>
        </is>
      </c>
      <c r="E322" t="inlineStr">
        <is>
          <t>Out</t>
        </is>
      </c>
      <c r="F322" t="n">
        <v>156.97</v>
      </c>
      <c r="G322" t="inlineStr">
        <is>
          <t>AUTHORISED</t>
        </is>
      </c>
      <c r="H322" t="inlineStr">
        <is>
          <t>Yes</t>
        </is>
      </c>
      <c r="I322" t="inlineStr">
        <is>
          <t>146430</t>
        </is>
      </c>
      <c r="J322" t="inlineStr">
        <is>
          <t>Goods-tagged</t>
        </is>
      </c>
      <c r="K322">
        <f>IF(AND(G322="AUTHORISED",J322="Goods-tagged"),F322,0)</f>
        <v/>
      </c>
      <c r="L322" t="inlineStr">
        <is>
          <t>.</t>
        </is>
      </c>
      <c r="M322" t="inlineStr">
        <is>
          <t>ACT-ST</t>
        </is>
      </c>
      <c r="N322" t="n">
        <v>46223</v>
      </c>
    </row>
    <row r="323" ht="36" customHeight="1">
      <c r="A323" t="inlineStr">
        <is>
          <t>41e53d33-1a82-425c-89e0-53cf1d426615</t>
        </is>
      </c>
      <c r="B323" t="inlineStr">
        <is>
          <t>Bank transaction</t>
        </is>
      </c>
      <c r="C323" s="162" t="n">
        <v>46008</v>
      </c>
      <c r="D323" t="inlineStr">
        <is>
          <t>Bunnings Warehouse</t>
        </is>
      </c>
      <c r="E323" t="inlineStr">
        <is>
          <t>Out</t>
        </is>
      </c>
      <c r="F323" t="n">
        <v>100</v>
      </c>
      <c r="G323" t="inlineStr">
        <is>
          <t>DELETED</t>
        </is>
      </c>
      <c r="H323" t="inlineStr">
        <is>
          <t>No</t>
        </is>
      </c>
      <c r="I323" t="inlineStr">
        <is>
          <t>446</t>
        </is>
      </c>
      <c r="J323" t="inlineStr">
        <is>
          <t>Goods-tagged</t>
        </is>
      </c>
      <c r="K323">
        <f>IF(AND(G323="AUTHORISED",J323="Goods-tagged"),F323,0)</f>
        <v/>
      </c>
      <c r="L323" t="inlineStr">
        <is>
          <t>Bunnings - Materials</t>
        </is>
      </c>
      <c r="M323" t="inlineStr">
        <is>
          <t>ACT-ST</t>
        </is>
      </c>
      <c r="N323" t="n">
        <v>46211</v>
      </c>
    </row>
    <row r="324" ht="36" customHeight="1">
      <c r="A324" t="inlineStr">
        <is>
          <t>d9719b47-286b-4845-9b2b-b4461bf81574</t>
        </is>
      </c>
      <c r="B324" t="inlineStr">
        <is>
          <t>Bank transaction</t>
        </is>
      </c>
      <c r="C324" s="162" t="n">
        <v>46008</v>
      </c>
      <c r="D324" t="inlineStr">
        <is>
          <t>Circularity Group</t>
        </is>
      </c>
      <c r="E324" t="inlineStr">
        <is>
          <t>Out</t>
        </is>
      </c>
      <c r="F324" t="n">
        <v>32780</v>
      </c>
      <c r="G324" t="inlineStr">
        <is>
          <t>AUTHORISED</t>
        </is>
      </c>
      <c r="H324" t="inlineStr">
        <is>
          <t>Yes</t>
        </is>
      </c>
      <c r="I324" t="inlineStr">
        <is>
          <t>750</t>
        </is>
      </c>
      <c r="J324" t="inlineStr">
        <is>
          <t>Goods-tagged</t>
        </is>
      </c>
      <c r="K324">
        <f>IF(AND(G324="AUTHORISED",J324="Goods-tagged"),F324,0)</f>
        <v/>
      </c>
      <c r="L324" t="inlineStr">
        <is>
          <t>Machinery (CNC, Hot + Cold Presses, 
 Sheet Storage, Prep Table)</t>
        </is>
      </c>
      <c r="M324" t="inlineStr">
        <is>
          <t>ACT-ST</t>
        </is>
      </c>
      <c r="N324" t="n">
        <v>46211</v>
      </c>
    </row>
    <row r="325" ht="36" customHeight="1">
      <c r="A325" t="inlineStr">
        <is>
          <t>7e207976-5f58-4306-b686-8d74022dc136</t>
        </is>
      </c>
      <c r="B325" t="inlineStr">
        <is>
          <t>Invoice payment</t>
        </is>
      </c>
      <c r="C325" s="162" t="n">
        <v>46008</v>
      </c>
      <c r="D325" t="inlineStr">
        <is>
          <t>WizBang Technologies</t>
        </is>
      </c>
      <c r="E325" t="inlineStr">
        <is>
          <t>Out</t>
        </is>
      </c>
      <c r="F325" t="n">
        <v>82.17</v>
      </c>
      <c r="G325" t="inlineStr">
        <is>
          <t>AUTHORISED</t>
        </is>
      </c>
      <c r="H325" t="inlineStr">
        <is>
          <t>Yes</t>
        </is>
      </c>
      <c r="I325" t="inlineStr">
        <is>
          <t>1511719</t>
        </is>
      </c>
      <c r="J325" t="inlineStr">
        <is>
          <t>Goods-tagged</t>
        </is>
      </c>
      <c r="K325">
        <f>IF(AND(G325="AUTHORISED",J325="Goods-tagged"),F325,0)</f>
        <v/>
      </c>
      <c r="L325" t="inlineStr">
        <is>
          <t>Meals - WizBang Technologies</t>
        </is>
      </c>
      <c r="M325" t="inlineStr">
        <is>
          <t>ACT-ST</t>
        </is>
      </c>
      <c r="N325" t="n">
        <v>46223</v>
      </c>
    </row>
    <row r="326" ht="36" customHeight="1">
      <c r="A326" t="inlineStr">
        <is>
          <t>15fdfc30-98c2-4651-acd5-3b1072c2606e</t>
        </is>
      </c>
      <c r="B326" t="inlineStr">
        <is>
          <t>Invoice payment</t>
        </is>
      </c>
      <c r="C326" s="162" t="n">
        <v>46009</v>
      </c>
      <c r="D326" t="inlineStr">
        <is>
          <t>Qantas</t>
        </is>
      </c>
      <c r="E326" t="inlineStr">
        <is>
          <t>Out</t>
        </is>
      </c>
      <c r="F326" t="n">
        <v>65</v>
      </c>
      <c r="G326" t="inlineStr">
        <is>
          <t>DELETED</t>
        </is>
      </c>
      <c r="H326" t="inlineStr">
        <is>
          <t>No</t>
        </is>
      </c>
      <c r="I326" t="inlineStr">
        <is>
          <t>4415504604</t>
        </is>
      </c>
      <c r="J326" t="inlineStr">
        <is>
          <t>Goods-tagged</t>
        </is>
      </c>
      <c r="K326">
        <f>IF(AND(G326="AUTHORISED",J326="Goods-tagged"),F326,0)</f>
        <v/>
      </c>
      <c r="L326" t="inlineStr">
        <is>
          <t>.</t>
        </is>
      </c>
      <c r="M326" t="inlineStr">
        <is>
          <t>ACT-ST</t>
        </is>
      </c>
      <c r="N326" t="n">
        <v>46223</v>
      </c>
    </row>
    <row r="327" ht="36" customHeight="1">
      <c r="A327" t="inlineStr">
        <is>
          <t>eb712d90-2c21-4ab0-ba58-e33b866caf83</t>
        </is>
      </c>
      <c r="B327" t="inlineStr">
        <is>
          <t>Invoice payment</t>
        </is>
      </c>
      <c r="C327" s="162" t="n">
        <v>46009</v>
      </c>
      <c r="D327" t="inlineStr">
        <is>
          <t>Qantas</t>
        </is>
      </c>
      <c r="E327" t="inlineStr">
        <is>
          <t>Out</t>
        </is>
      </c>
      <c r="F327" t="n">
        <v>65</v>
      </c>
      <c r="G327" t="inlineStr">
        <is>
          <t>AUTHORISED</t>
        </is>
      </c>
      <c r="H327" t="inlineStr">
        <is>
          <t>Yes</t>
        </is>
      </c>
      <c r="I327" t="inlineStr">
        <is>
          <t>4415504604</t>
        </is>
      </c>
      <c r="J327" t="inlineStr">
        <is>
          <t>Goods-tagged</t>
        </is>
      </c>
      <c r="K327">
        <f>IF(AND(G327="AUTHORISED",J327="Goods-tagged"),F327,0)</f>
        <v/>
      </c>
      <c r="L327" t="inlineStr">
        <is>
          <t>.</t>
        </is>
      </c>
      <c r="M327" t="inlineStr">
        <is>
          <t>ACT-ST</t>
        </is>
      </c>
      <c r="N327" t="n">
        <v>46223</v>
      </c>
    </row>
    <row r="328" ht="36" customHeight="1">
      <c r="A328" t="inlineStr">
        <is>
          <t>bc4312dd-a6f3-469c-830b-5c2989d9c9f9</t>
        </is>
      </c>
      <c r="B328" t="inlineStr">
        <is>
          <t>Bank transaction</t>
        </is>
      </c>
      <c r="C328" s="162" t="n">
        <v>46010</v>
      </c>
      <c r="D328" t="inlineStr">
        <is>
          <t>Defy Manufacturing</t>
        </is>
      </c>
      <c r="E328" t="inlineStr">
        <is>
          <t>Out</t>
        </is>
      </c>
      <c r="F328" t="n">
        <v>3199.83</v>
      </c>
      <c r="G328" t="inlineStr">
        <is>
          <t>DELETED</t>
        </is>
      </c>
      <c r="H328" t="inlineStr">
        <is>
          <t>No</t>
        </is>
      </c>
      <c r="I328" t="inlineStr">
        <is>
          <t>412</t>
        </is>
      </c>
      <c r="J328" t="inlineStr">
        <is>
          <t>Goods-tagged</t>
        </is>
      </c>
      <c r="K328">
        <f>IF(AND(G328="AUTHORISED",J328="Goods-tagged"),F328,0)</f>
        <v/>
      </c>
      <c r="L328" t="inlineStr">
        <is>
          <t>19mm Recycled HDPE Panels 
 HDPE Shreds - Assorted (approx. 20kg per tub) QTY in KG</t>
        </is>
      </c>
      <c r="M328" t="inlineStr">
        <is>
          <t>ACT-ST</t>
        </is>
      </c>
      <c r="N328" t="n">
        <v>46211</v>
      </c>
    </row>
    <row r="329" ht="78" customHeight="1">
      <c r="A329" t="inlineStr">
        <is>
          <t>ea983198-fe2e-4f34-84c9-09cdad4a7105</t>
        </is>
      </c>
      <c r="B329" t="inlineStr">
        <is>
          <t>Bank transaction</t>
        </is>
      </c>
      <c r="C329" s="162" t="n">
        <v>46010</v>
      </c>
      <c r="D329" t="inlineStr">
        <is>
          <t>The Funding Network</t>
        </is>
      </c>
      <c r="E329" t="inlineStr">
        <is>
          <t>In</t>
        </is>
      </c>
      <c r="F329" t="n">
        <v>55197</v>
      </c>
      <c r="G329" t="inlineStr">
        <is>
          <t>AUTHORISED</t>
        </is>
      </c>
      <c r="H329" t="inlineStr">
        <is>
          <t>Yes</t>
        </is>
      </c>
      <c r="I329" t="inlineStr">
        <is>
          <t>262</t>
        </is>
      </c>
      <c r="J329" t="inlineStr">
        <is>
          <t>Goods-tagged</t>
        </is>
      </c>
      <c r="K329">
        <f>IF(AND(G329="AUTHORISED",J329="Goods-tagged"),F329,0)</f>
        <v/>
      </c>
      <c r="L329" t="inlineStr">
        <is>
          <t>This is The Funding Network distributing impact funding to us &amp;#8212; book it as Grants Received, not Other Revenue. TFN grants/donations are GST-free income (please confirm there's no GST component on TFN's remittance advice, but our prior treatment is GST-fre</t>
        </is>
      </c>
      <c r="M329" t="inlineStr">
        <is>
          <t>ACT-ST</t>
        </is>
      </c>
      <c r="N329" t="n">
        <v>46211</v>
      </c>
    </row>
    <row r="330" ht="36" customHeight="1">
      <c r="A330" t="inlineStr">
        <is>
          <t>ebf6cf0a-d8a7-4d37-bc15-11a52b3eb206</t>
        </is>
      </c>
      <c r="B330" t="inlineStr">
        <is>
          <t>Bank transaction</t>
        </is>
      </c>
      <c r="C330" s="162" t="n">
        <v>46010</v>
      </c>
      <c r="D330" t="inlineStr">
        <is>
          <t>Defy</t>
        </is>
      </c>
      <c r="E330" t="inlineStr">
        <is>
          <t>Out</t>
        </is>
      </c>
      <c r="F330" t="n">
        <v>3260.63</v>
      </c>
      <c r="G330" t="inlineStr">
        <is>
          <t>DELETED</t>
        </is>
      </c>
      <c r="H330" t="inlineStr">
        <is>
          <t>No</t>
        </is>
      </c>
      <c r="I330" t="inlineStr">
        <is>
          <t>400</t>
        </is>
      </c>
      <c r="J330" t="inlineStr">
        <is>
          <t>Goods-tagged</t>
        </is>
      </c>
      <c r="K330">
        <f>IF(AND(G330="AUTHORISED",J330="Goods-tagged"),F330,0)</f>
        <v/>
      </c>
      <c r="L330" t="inlineStr">
        <is>
          <t>Defy subscription</t>
        </is>
      </c>
      <c r="M330" t="inlineStr">
        <is>
          <t>ACT-ST</t>
        </is>
      </c>
      <c r="N330" t="n">
        <v>46211</v>
      </c>
    </row>
    <row r="331" ht="36" customHeight="1">
      <c r="A331" t="inlineStr">
        <is>
          <t>d42d0c23-6391-4991-bc7c-88c9f8a2fd8c</t>
        </is>
      </c>
      <c r="B331" t="inlineStr">
        <is>
          <t>Bank transaction</t>
        </is>
      </c>
      <c r="C331" s="162" t="n">
        <v>46013</v>
      </c>
      <c r="D331" t="inlineStr">
        <is>
          <t>Airbnb</t>
        </is>
      </c>
      <c r="E331" t="inlineStr">
        <is>
          <t>Out</t>
        </is>
      </c>
      <c r="F331" t="n">
        <v>369.82</v>
      </c>
      <c r="G331" t="inlineStr">
        <is>
          <t>DELETED</t>
        </is>
      </c>
      <c r="H331" t="inlineStr">
        <is>
          <t>No</t>
        </is>
      </c>
      <c r="I331" t="inlineStr">
        <is>
          <t>493</t>
        </is>
      </c>
      <c r="J331" t="inlineStr">
        <is>
          <t>Goods-tagged</t>
        </is>
      </c>
      <c r="K331">
        <f>IF(AND(G331="AUTHORISED",J331="Goods-tagged"),F331,0)</f>
        <v/>
      </c>
      <c r="L331" t="inlineStr">
        <is>
          <t>Accommodation / Accommodation</t>
        </is>
      </c>
      <c r="M331" t="inlineStr">
        <is>
          <t>ACT-ST</t>
        </is>
      </c>
      <c r="N331" t="n">
        <v>46211</v>
      </c>
    </row>
    <row r="332" ht="36" customHeight="1">
      <c r="A332" t="inlineStr">
        <is>
          <t>07a700bf-1883-4d21-a25b-f99545c78e30</t>
        </is>
      </c>
      <c r="B332" t="inlineStr">
        <is>
          <t>Invoice payment</t>
        </is>
      </c>
      <c r="C332" s="162" t="n">
        <v>46013</v>
      </c>
      <c r="D332" t="inlineStr">
        <is>
          <t>Defy</t>
        </is>
      </c>
      <c r="E332" t="inlineStr">
        <is>
          <t>Out</t>
        </is>
      </c>
      <c r="F332" t="n">
        <v>3260.63</v>
      </c>
      <c r="G332" t="inlineStr">
        <is>
          <t>AUTHORISED</t>
        </is>
      </c>
      <c r="H332" t="inlineStr">
        <is>
          <t>Yes</t>
        </is>
      </c>
      <c r="J332" t="inlineStr">
        <is>
          <t>Goods-tagged</t>
        </is>
      </c>
      <c r="K332">
        <f>IF(AND(G332="AUTHORISED",J332="Goods-tagged"),F332,0)</f>
        <v/>
      </c>
      <c r="L332" t="inlineStr">
        <is>
          <t>Defy Manufacturing — Materials &amp; Supplies — ACT-GD</t>
        </is>
      </c>
      <c r="M332" t="inlineStr">
        <is>
          <t>ACT-ST</t>
        </is>
      </c>
      <c r="N332" t="n">
        <v>46223</v>
      </c>
    </row>
    <row r="333" ht="36" customHeight="1">
      <c r="A333" t="inlineStr">
        <is>
          <t>4d5c4843-1ce3-48b7-bf7e-0c3a0a33c28d</t>
        </is>
      </c>
      <c r="B333" t="inlineStr">
        <is>
          <t>Bank transaction</t>
        </is>
      </c>
      <c r="C333" s="162" t="n">
        <v>46014</v>
      </c>
      <c r="D333" t="inlineStr">
        <is>
          <t>Defy</t>
        </is>
      </c>
      <c r="E333" t="inlineStr">
        <is>
          <t>Out</t>
        </is>
      </c>
      <c r="F333" t="n">
        <v>3598.09</v>
      </c>
      <c r="G333" t="inlineStr">
        <is>
          <t>DELETED</t>
        </is>
      </c>
      <c r="H333" t="inlineStr">
        <is>
          <t>No</t>
        </is>
      </c>
      <c r="I333" t="inlineStr">
        <is>
          <t>400</t>
        </is>
      </c>
      <c r="J333" t="inlineStr">
        <is>
          <t>Goods-tagged</t>
        </is>
      </c>
      <c r="K333">
        <f>IF(AND(G333="AUTHORISED",J333="Goods-tagged"),F333,0)</f>
        <v/>
      </c>
      <c r="L333" t="inlineStr">
        <is>
          <t>Defy subscription</t>
        </is>
      </c>
      <c r="M333" t="inlineStr">
        <is>
          <t>ACT-ST</t>
        </is>
      </c>
      <c r="N333" t="n">
        <v>46211</v>
      </c>
    </row>
    <row r="334" ht="36" customHeight="1">
      <c r="A334" t="inlineStr">
        <is>
          <t>578961df-2eb7-473b-99f2-81c8cae89145</t>
        </is>
      </c>
      <c r="B334" t="inlineStr">
        <is>
          <t>Bank transaction</t>
        </is>
      </c>
      <c r="C334" s="162" t="n">
        <v>46014</v>
      </c>
      <c r="D334" t="inlineStr">
        <is>
          <t>Telford Smith Engineering</t>
        </is>
      </c>
      <c r="E334" t="inlineStr">
        <is>
          <t>Out</t>
        </is>
      </c>
      <c r="F334" t="n">
        <v>19800</v>
      </c>
      <c r="G334" t="inlineStr">
        <is>
          <t>DELETED</t>
        </is>
      </c>
      <c r="H334" t="inlineStr">
        <is>
          <t>No</t>
        </is>
      </c>
      <c r="I334" t="inlineStr">
        <is>
          <t>446</t>
        </is>
      </c>
      <c r="J334" t="inlineStr">
        <is>
          <t>Goods-tagged</t>
        </is>
      </c>
      <c r="K334">
        <f>IF(AND(G334="AUTHORISED",J334="Goods-tagged"),F334,0)</f>
        <v/>
      </c>
      <c r="L334" t="inlineStr">
        <is>
          <t>Zerma GSL-300/400 Granulator</t>
        </is>
      </c>
      <c r="M334" t="inlineStr">
        <is>
          <t>ACT-ST</t>
        </is>
      </c>
      <c r="N334" t="n">
        <v>46211</v>
      </c>
    </row>
    <row r="335" ht="36" customHeight="1">
      <c r="A335" t="inlineStr">
        <is>
          <t>799a85b0-7cf1-415d-a65b-84bc5f7fef84</t>
        </is>
      </c>
      <c r="B335" t="inlineStr">
        <is>
          <t>Bank transaction</t>
        </is>
      </c>
      <c r="C335" s="162" t="n">
        <v>46014</v>
      </c>
      <c r="D335" t="inlineStr">
        <is>
          <t>BP</t>
        </is>
      </c>
      <c r="E335" t="inlineStr">
        <is>
          <t>Out</t>
        </is>
      </c>
      <c r="F335" t="n">
        <v>131.18</v>
      </c>
      <c r="G335" t="inlineStr">
        <is>
          <t>DELETED</t>
        </is>
      </c>
      <c r="H335" t="inlineStr">
        <is>
          <t>No</t>
        </is>
      </c>
      <c r="I335" t="inlineStr">
        <is>
          <t>449</t>
        </is>
      </c>
      <c r="J335" t="inlineStr">
        <is>
          <t>Goods-tagged</t>
        </is>
      </c>
      <c r="K335">
        <f>IF(AND(G335="AUTHORISED",J335="Goods-tagged"),F335,0)</f>
        <v/>
      </c>
      <c r="L335" t="inlineStr">
        <is>
          <t>.</t>
        </is>
      </c>
      <c r="M335" t="inlineStr">
        <is>
          <t>ACT-ST</t>
        </is>
      </c>
      <c r="N335" t="n">
        <v>46211</v>
      </c>
    </row>
    <row r="336" ht="36" customHeight="1">
      <c r="A336" t="inlineStr">
        <is>
          <t>87a05588-6b66-4533-b3a4-aeb5a7f69ff8</t>
        </is>
      </c>
      <c r="B336" t="inlineStr">
        <is>
          <t>Bank transaction</t>
        </is>
      </c>
      <c r="C336" s="162" t="n">
        <v>46014</v>
      </c>
      <c r="D336" t="inlineStr">
        <is>
          <t>Telford Smith Engineering</t>
        </is>
      </c>
      <c r="E336" t="inlineStr">
        <is>
          <t>Out</t>
        </is>
      </c>
      <c r="F336" t="n">
        <v>19800</v>
      </c>
      <c r="G336" t="inlineStr">
        <is>
          <t>DELETED</t>
        </is>
      </c>
      <c r="H336" t="inlineStr">
        <is>
          <t>No</t>
        </is>
      </c>
      <c r="I336" t="inlineStr">
        <is>
          <t>446</t>
        </is>
      </c>
      <c r="J336" t="inlineStr">
        <is>
          <t>Goods-tagged</t>
        </is>
      </c>
      <c r="K336">
        <f>IF(AND(G336="AUTHORISED",J336="Goods-tagged"),F336,0)</f>
        <v/>
      </c>
      <c r="L336" t="inlineStr">
        <is>
          <t>Telford Smith Engine</t>
        </is>
      </c>
      <c r="M336" t="inlineStr">
        <is>
          <t>ACT-ST</t>
        </is>
      </c>
      <c r="N336" t="n">
        <v>46211</v>
      </c>
    </row>
    <row r="337" ht="36" customHeight="1">
      <c r="A337" t="inlineStr">
        <is>
          <t>4bfeb7d0-1e2f-4bda-aacc-34eaeccd9198</t>
        </is>
      </c>
      <c r="B337" t="inlineStr">
        <is>
          <t>Bank transaction</t>
        </is>
      </c>
      <c r="C337" s="162" t="n">
        <v>46015</v>
      </c>
      <c r="D337" t="inlineStr">
        <is>
          <t>BOE Design</t>
        </is>
      </c>
      <c r="E337" t="inlineStr">
        <is>
          <t>Out</t>
        </is>
      </c>
      <c r="F337" t="n">
        <v>750</v>
      </c>
      <c r="G337" t="inlineStr">
        <is>
          <t>DELETED</t>
        </is>
      </c>
      <c r="H337" t="inlineStr">
        <is>
          <t>No</t>
        </is>
      </c>
      <c r="I337" t="inlineStr">
        <is>
          <t>412</t>
        </is>
      </c>
      <c r="J337" t="inlineStr">
        <is>
          <t>Goods-tagged</t>
        </is>
      </c>
      <c r="K337">
        <f>IF(AND(G337="AUTHORISED",J337="Goods-tagged"),F337,0)</f>
        <v/>
      </c>
      <c r="L337" t="inlineStr">
        <is>
          <t>Defy Design Panels</t>
        </is>
      </c>
      <c r="M337" t="inlineStr">
        <is>
          <t>ACT-ST</t>
        </is>
      </c>
      <c r="N337" t="n">
        <v>46211</v>
      </c>
    </row>
    <row r="338" ht="36" customHeight="1">
      <c r="A338" t="inlineStr">
        <is>
          <t>39413ef7-e381-4dd8-acc3-b8d71800193f</t>
        </is>
      </c>
      <c r="B338" t="inlineStr">
        <is>
          <t>Invoice payment</t>
        </is>
      </c>
      <c r="C338" s="162" t="n">
        <v>46015</v>
      </c>
      <c r="D338" t="inlineStr">
        <is>
          <t>Defy</t>
        </is>
      </c>
      <c r="E338" t="inlineStr">
        <is>
          <t>Out</t>
        </is>
      </c>
      <c r="F338" t="n">
        <v>3598.09</v>
      </c>
      <c r="G338" t="inlineStr">
        <is>
          <t>AUTHORISED</t>
        </is>
      </c>
      <c r="H338" t="inlineStr">
        <is>
          <t>Yes</t>
        </is>
      </c>
      <c r="J338" t="inlineStr">
        <is>
          <t>Goods-tagged</t>
        </is>
      </c>
      <c r="K338">
        <f>IF(AND(G338="AUTHORISED",J338="Goods-tagged"),F338,0)</f>
        <v/>
      </c>
      <c r="L338" t="inlineStr">
        <is>
          <t>Defy Manufacturing — Materials &amp; Supplies — ACT-GD</t>
        </is>
      </c>
      <c r="M338" t="inlineStr">
        <is>
          <t>ACT-ST</t>
        </is>
      </c>
      <c r="N338" t="n">
        <v>46223</v>
      </c>
    </row>
    <row r="339" ht="36" customHeight="1">
      <c r="A339" t="inlineStr">
        <is>
          <t>45243a0f-b5f8-4165-ab88-0db81c86ff42</t>
        </is>
      </c>
      <c r="B339" t="inlineStr">
        <is>
          <t>Bank transaction</t>
        </is>
      </c>
      <c r="C339" s="162" t="n">
        <v>46017</v>
      </c>
      <c r="D339" t="inlineStr">
        <is>
          <t>BP</t>
        </is>
      </c>
      <c r="E339" t="inlineStr">
        <is>
          <t>Out</t>
        </is>
      </c>
      <c r="F339" t="n">
        <v>96.17</v>
      </c>
      <c r="G339" t="inlineStr">
        <is>
          <t>DELETED</t>
        </is>
      </c>
      <c r="H339" t="inlineStr">
        <is>
          <t>No</t>
        </is>
      </c>
      <c r="I339" t="inlineStr">
        <is>
          <t>449</t>
        </is>
      </c>
      <c r="J339" t="inlineStr">
        <is>
          <t>Goods-tagged</t>
        </is>
      </c>
      <c r="K339">
        <f>IF(AND(G339="AUTHORISED",J339="Goods-tagged"),F339,0)</f>
        <v/>
      </c>
      <c r="L339" t="inlineStr">
        <is>
          <t>.</t>
        </is>
      </c>
      <c r="M339" t="inlineStr">
        <is>
          <t>ACT-ST</t>
        </is>
      </c>
      <c r="N339" t="n">
        <v>46211</v>
      </c>
    </row>
    <row r="340" ht="36" customHeight="1">
      <c r="A340" t="inlineStr">
        <is>
          <t>94af9504-a786-420b-81f8-f14ce01a843e</t>
        </is>
      </c>
      <c r="B340" t="inlineStr">
        <is>
          <t>Bank transaction</t>
        </is>
      </c>
      <c r="C340" s="162" t="n">
        <v>46017</v>
      </c>
      <c r="D340" t="inlineStr">
        <is>
          <t>Piggyback</t>
        </is>
      </c>
      <c r="E340" t="inlineStr">
        <is>
          <t>Out</t>
        </is>
      </c>
      <c r="F340" t="n">
        <v>158.7</v>
      </c>
      <c r="G340" t="inlineStr">
        <is>
          <t>DELETED</t>
        </is>
      </c>
      <c r="H340" t="inlineStr">
        <is>
          <t>No</t>
        </is>
      </c>
      <c r="I340" t="inlineStr">
        <is>
          <t>420</t>
        </is>
      </c>
      <c r="J340" t="inlineStr">
        <is>
          <t>Goods-tagged</t>
        </is>
      </c>
      <c r="K340">
        <f>IF(AND(G340="AUTHORISED",J340="Goods-tagged"),F340,0)</f>
        <v/>
      </c>
      <c r="L340" t="inlineStr">
        <is>
          <t>. / .</t>
        </is>
      </c>
      <c r="M340" t="inlineStr">
        <is>
          <t>ACT-ST</t>
        </is>
      </c>
      <c r="N340" t="n">
        <v>46211</v>
      </c>
    </row>
    <row r="341" ht="36" customHeight="1">
      <c r="A341" t="inlineStr">
        <is>
          <t>d5f78156-588e-4e28-a3b6-f6acdc72c7b1</t>
        </is>
      </c>
      <c r="B341" t="inlineStr">
        <is>
          <t>Bank transaction</t>
        </is>
      </c>
      <c r="C341" s="162" t="n">
        <v>46018</v>
      </c>
      <c r="D341" t="inlineStr">
        <is>
          <t>AAMI</t>
        </is>
      </c>
      <c r="E341" t="inlineStr">
        <is>
          <t>Out</t>
        </is>
      </c>
      <c r="F341" t="n">
        <v>5483.95</v>
      </c>
      <c r="G341" t="inlineStr">
        <is>
          <t>DELETED</t>
        </is>
      </c>
      <c r="H341" t="inlineStr">
        <is>
          <t>No</t>
        </is>
      </c>
      <c r="I341" t="inlineStr">
        <is>
          <t>433</t>
        </is>
      </c>
      <c r="J341" t="inlineStr">
        <is>
          <t>Goods-tagged</t>
        </is>
      </c>
      <c r="K341">
        <f>IF(AND(G341="AUTHORISED",J341="Goods-tagged"),F341,0)</f>
        <v/>
      </c>
      <c r="L341" t="inlineStr">
        <is>
          <t>Commercial Motor Insurance / Commercial Motor Insurance</t>
        </is>
      </c>
      <c r="M341" t="inlineStr">
        <is>
          <t>ACT-ST</t>
        </is>
      </c>
      <c r="N341" t="n">
        <v>46211</v>
      </c>
    </row>
    <row r="342" ht="36" customHeight="1">
      <c r="A342" t="inlineStr">
        <is>
          <t>e0267ac7-ad9d-4f91-b6f5-3f7b70e4a67c</t>
        </is>
      </c>
      <c r="B342" t="inlineStr">
        <is>
          <t>Bank transaction</t>
        </is>
      </c>
      <c r="C342" s="162" t="n">
        <v>46019</v>
      </c>
      <c r="D342" t="inlineStr">
        <is>
          <t>Qantas Group Accommodation</t>
        </is>
      </c>
      <c r="E342" t="inlineStr">
        <is>
          <t>Out</t>
        </is>
      </c>
      <c r="F342" t="n">
        <v>289</v>
      </c>
      <c r="G342" t="inlineStr">
        <is>
          <t>DELETED</t>
        </is>
      </c>
      <c r="H342" t="inlineStr">
        <is>
          <t>No</t>
        </is>
      </c>
      <c r="I342" t="inlineStr">
        <is>
          <t>493</t>
        </is>
      </c>
      <c r="J342" t="inlineStr">
        <is>
          <t>Goods-tagged</t>
        </is>
      </c>
      <c r="K342">
        <f>IF(AND(G342="AUTHORISED",J342="Goods-tagged"),F342,0)</f>
        <v/>
      </c>
      <c r="L342" t="inlineStr">
        <is>
          <t>Accommodation for Nicholas</t>
        </is>
      </c>
      <c r="M342" t="inlineStr">
        <is>
          <t>ACT-ST</t>
        </is>
      </c>
      <c r="N342" t="n">
        <v>46211</v>
      </c>
    </row>
    <row r="343" ht="50" customHeight="1">
      <c r="A343" t="inlineStr">
        <is>
          <t>370fbede-ee74-471a-8868-4a6cbd553538</t>
        </is>
      </c>
      <c r="B343" t="inlineStr">
        <is>
          <t>Bank transaction</t>
        </is>
      </c>
      <c r="C343" s="162" t="n">
        <v>46020</v>
      </c>
      <c r="D343" t="inlineStr">
        <is>
          <t>Bionic Self Storage</t>
        </is>
      </c>
      <c r="E343" t="inlineStr">
        <is>
          <t>Out</t>
        </is>
      </c>
      <c r="F343" t="n">
        <v>12375</v>
      </c>
      <c r="G343" t="inlineStr">
        <is>
          <t>DELETED</t>
        </is>
      </c>
      <c r="H343" t="inlineStr">
        <is>
          <t>No</t>
        </is>
      </c>
      <c r="I343" t="inlineStr">
        <is>
          <t>750</t>
        </is>
      </c>
      <c r="J343" t="inlineStr">
        <is>
          <t>Goods-tagged</t>
        </is>
      </c>
      <c r="K343">
        <f>IF(AND(G343="AUTHORISED",J343="Goods-tagged"),F343,0)</f>
        <v/>
      </c>
      <c r="L343" t="inlineStr">
        <is>
          <t>40ft Container - Witta - 40ft side opening@54 - 601 
 Maleny Kenilworth Road - side opening doors to passenger side - Call Nick 0424054113</t>
        </is>
      </c>
      <c r="M343" t="inlineStr">
        <is>
          <t>ACT-ST</t>
        </is>
      </c>
      <c r="N343" t="n">
        <v>46211</v>
      </c>
    </row>
    <row r="344" ht="36" customHeight="1">
      <c r="A344" t="inlineStr">
        <is>
          <t>146ddc8f-d160-45d9-8e38-b5463f1471a7</t>
        </is>
      </c>
      <c r="B344" t="inlineStr">
        <is>
          <t>Invoice payment</t>
        </is>
      </c>
      <c r="C344" s="162" t="n">
        <v>46020</v>
      </c>
      <c r="D344" t="inlineStr">
        <is>
          <t>Bunnings Warehouse</t>
        </is>
      </c>
      <c r="E344" t="inlineStr">
        <is>
          <t>Out</t>
        </is>
      </c>
      <c r="F344" t="n">
        <v>1597</v>
      </c>
      <c r="G344" t="inlineStr">
        <is>
          <t>AUTHORISED</t>
        </is>
      </c>
      <c r="H344" t="inlineStr">
        <is>
          <t>Yes</t>
        </is>
      </c>
      <c r="I344" t="inlineStr">
        <is>
          <t>094-37374-8180-2025-12-27</t>
        </is>
      </c>
      <c r="J344" t="inlineStr">
        <is>
          <t>Goods-tagged</t>
        </is>
      </c>
      <c r="K344">
        <f>IF(AND(G344="AUTHORISED",J344="Goods-tagged"),F344,0)</f>
        <v/>
      </c>
      <c r="L344" t="inlineStr">
        <is>
          <t>Air con split</t>
        </is>
      </c>
      <c r="M344" t="inlineStr">
        <is>
          <t>ACT-ST</t>
        </is>
      </c>
      <c r="N344" t="n">
        <v>46223</v>
      </c>
    </row>
    <row r="345" ht="36" customHeight="1">
      <c r="A345" t="inlineStr">
        <is>
          <t>3a1580d3-17b3-42cf-8c95-786098ada6e8</t>
        </is>
      </c>
      <c r="B345" t="inlineStr">
        <is>
          <t>Invoice payment</t>
        </is>
      </c>
      <c r="C345" s="162" t="n">
        <v>46020</v>
      </c>
      <c r="D345" t="inlineStr">
        <is>
          <t>Bunnings Warehouse</t>
        </is>
      </c>
      <c r="E345" t="inlineStr">
        <is>
          <t>Out</t>
        </is>
      </c>
      <c r="F345" t="n">
        <v>1597</v>
      </c>
      <c r="G345" t="inlineStr">
        <is>
          <t>DELETED</t>
        </is>
      </c>
      <c r="H345" t="inlineStr">
        <is>
          <t>No</t>
        </is>
      </c>
      <c r="I345" t="inlineStr">
        <is>
          <t>094-37374-8180-2025-12-27</t>
        </is>
      </c>
      <c r="J345" t="inlineStr">
        <is>
          <t>Goods-tagged</t>
        </is>
      </c>
      <c r="K345">
        <f>IF(AND(G345="AUTHORISED",J345="Goods-tagged"),F345,0)</f>
        <v/>
      </c>
      <c r="L345" t="inlineStr">
        <is>
          <t>Air con split</t>
        </is>
      </c>
      <c r="M345" t="inlineStr">
        <is>
          <t>ACT-ST</t>
        </is>
      </c>
      <c r="N345" t="n">
        <v>46223</v>
      </c>
    </row>
    <row r="346" ht="36" customHeight="1">
      <c r="A346" t="inlineStr">
        <is>
          <t>9a3cf5ce-df14-4bf2-9d61-52f515eeced5</t>
        </is>
      </c>
      <c r="B346" t="inlineStr">
        <is>
          <t>Bank transaction</t>
        </is>
      </c>
      <c r="C346" s="162" t="n">
        <v>46021</v>
      </c>
      <c r="D346" t="inlineStr">
        <is>
          <t>Bionic Self Storage</t>
        </is>
      </c>
      <c r="E346" t="inlineStr">
        <is>
          <t>Out</t>
        </is>
      </c>
      <c r="F346" t="n">
        <v>2420</v>
      </c>
      <c r="G346" t="inlineStr">
        <is>
          <t>DELETED</t>
        </is>
      </c>
      <c r="H346" t="inlineStr">
        <is>
          <t>No</t>
        </is>
      </c>
      <c r="I346" t="inlineStr">
        <is>
          <t>750</t>
        </is>
      </c>
      <c r="J346" t="inlineStr">
        <is>
          <t>Goods-tagged</t>
        </is>
      </c>
      <c r="K346">
        <f>IF(AND(G346="AUTHORISED",J346="Goods-tagged"),F346,0)</f>
        <v/>
      </c>
      <c r="L346" t="inlineStr">
        <is>
          <t>Dome 20ft W x 40ft L</t>
        </is>
      </c>
      <c r="M346" t="inlineStr">
        <is>
          <t>ACT-ST</t>
        </is>
      </c>
      <c r="N346" t="n">
        <v>46211</v>
      </c>
    </row>
    <row r="347" ht="36" customHeight="1">
      <c r="A347" t="inlineStr">
        <is>
          <t>3e46a8c3-357b-4e04-bcdd-03f77d3e8cdd</t>
        </is>
      </c>
      <c r="B347" t="inlineStr">
        <is>
          <t>Bank transaction</t>
        </is>
      </c>
      <c r="C347" s="162" t="n">
        <v>46028</v>
      </c>
      <c r="D347" t="inlineStr">
        <is>
          <t>Greyhound Australia</t>
        </is>
      </c>
      <c r="E347" t="inlineStr">
        <is>
          <t>Out</t>
        </is>
      </c>
      <c r="F347" t="n">
        <v>29</v>
      </c>
      <c r="G347" t="inlineStr">
        <is>
          <t>DELETED</t>
        </is>
      </c>
      <c r="H347" t="inlineStr">
        <is>
          <t>No</t>
        </is>
      </c>
      <c r="I347" t="inlineStr">
        <is>
          <t>493</t>
        </is>
      </c>
      <c r="J347" t="inlineStr">
        <is>
          <t>Goods-tagged</t>
        </is>
      </c>
      <c r="K347">
        <f>IF(AND(G347="AUTHORISED",J347="Goods-tagged"),F347,0)</f>
        <v/>
      </c>
      <c r="L347" t="inlineStr">
        <is>
          <t>Benjamin Knight - Sydney to Brisbane</t>
        </is>
      </c>
      <c r="M347" t="inlineStr">
        <is>
          <t>ACT-ST</t>
        </is>
      </c>
      <c r="N347" t="n">
        <v>46211</v>
      </c>
    </row>
    <row r="348" ht="36" customHeight="1">
      <c r="A348" t="inlineStr">
        <is>
          <t>7941df11-05e3-4b5e-9d68-b7eafad5ed0d</t>
        </is>
      </c>
      <c r="B348" t="inlineStr">
        <is>
          <t>Bank transaction</t>
        </is>
      </c>
      <c r="C348" s="162" t="n">
        <v>46028</v>
      </c>
      <c r="D348" t="inlineStr">
        <is>
          <t>Brisbane Steel Supplies</t>
        </is>
      </c>
      <c r="E348" t="inlineStr">
        <is>
          <t>Out</t>
        </is>
      </c>
      <c r="F348" t="n">
        <v>185.7</v>
      </c>
      <c r="G348" t="inlineStr">
        <is>
          <t>DELETED</t>
        </is>
      </c>
      <c r="H348" t="inlineStr">
        <is>
          <t>No</t>
        </is>
      </c>
      <c r="I348" t="inlineStr">
        <is>
          <t>446</t>
        </is>
      </c>
      <c r="J348" t="inlineStr">
        <is>
          <t>Goods-tagged</t>
        </is>
      </c>
      <c r="K348">
        <f>IF(AND(G348="AUTHORISED",J348="Goods-tagged"),F348,0)</f>
        <v/>
      </c>
      <c r="L348" t="inlineStr">
        <is>
          <t>Angle and pipe</t>
        </is>
      </c>
      <c r="M348" t="inlineStr">
        <is>
          <t>ACT-ST</t>
        </is>
      </c>
      <c r="N348" t="n">
        <v>46211</v>
      </c>
    </row>
    <row r="349" ht="36" customHeight="1">
      <c r="A349" t="inlineStr">
        <is>
          <t>9c6ffec4-e226-40da-910d-256cfd137444</t>
        </is>
      </c>
      <c r="B349" t="inlineStr">
        <is>
          <t>Bank transaction</t>
        </is>
      </c>
      <c r="C349" s="162" t="n">
        <v>46028</v>
      </c>
      <c r="D349" t="inlineStr">
        <is>
          <t>Clark Rubber Capalaba</t>
        </is>
      </c>
      <c r="E349" t="inlineStr">
        <is>
          <t>Out</t>
        </is>
      </c>
      <c r="F349" t="n">
        <v>86.36</v>
      </c>
      <c r="G349" t="inlineStr">
        <is>
          <t>DELETED</t>
        </is>
      </c>
      <c r="H349" t="inlineStr">
        <is>
          <t>No</t>
        </is>
      </c>
      <c r="I349" t="inlineStr">
        <is>
          <t>446</t>
        </is>
      </c>
      <c r="J349" t="inlineStr">
        <is>
          <t>Goods-tagged</t>
        </is>
      </c>
      <c r="K349">
        <f>IF(AND(G349="AUTHORISED",J349="Goods-tagged"),F349,0)</f>
        <v/>
      </c>
      <c r="L349" t="inlineStr">
        <is>
          <t>INTERNAL 25MM RND PLASTIC 
 BLACK</t>
        </is>
      </c>
      <c r="M349" t="inlineStr">
        <is>
          <t>ACT-ST</t>
        </is>
      </c>
      <c r="N349" t="n">
        <v>46211</v>
      </c>
    </row>
    <row r="350" ht="36" customHeight="1">
      <c r="A350" t="inlineStr">
        <is>
          <t>b9288bea-4c8a-4530-8281-79a90243ed5e</t>
        </is>
      </c>
      <c r="B350" t="inlineStr">
        <is>
          <t>Bank transaction</t>
        </is>
      </c>
      <c r="C350" s="162" t="n">
        <v>46028</v>
      </c>
      <c r="D350" t="inlineStr">
        <is>
          <t>Dept of Transport &amp; Main Roads</t>
        </is>
      </c>
      <c r="E350" t="inlineStr">
        <is>
          <t>Out</t>
        </is>
      </c>
      <c r="F350" t="n">
        <v>39.09</v>
      </c>
      <c r="G350" t="inlineStr">
        <is>
          <t>DELETED</t>
        </is>
      </c>
      <c r="H350" t="inlineStr">
        <is>
          <t>No</t>
        </is>
      </c>
      <c r="I350" t="inlineStr">
        <is>
          <t>450</t>
        </is>
      </c>
      <c r="J350" t="inlineStr">
        <is>
          <t>Goods-tagged</t>
        </is>
      </c>
      <c r="K350">
        <f>IF(AND(G350="AUTHORISED",J350="Goods-tagged"),F350,0)</f>
        <v/>
      </c>
      <c r="L350" t="inlineStr">
        <is>
          <t>Unregistered vehicle permit</t>
        </is>
      </c>
      <c r="M350" t="inlineStr">
        <is>
          <t>ACT-ST</t>
        </is>
      </c>
      <c r="N350" t="n">
        <v>46211</v>
      </c>
    </row>
    <row r="351" ht="36" customHeight="1">
      <c r="A351" t="inlineStr">
        <is>
          <t>c21abed2-6238-4927-8b23-e3ce6db2b88c</t>
        </is>
      </c>
      <c r="B351" t="inlineStr">
        <is>
          <t>Bank transaction</t>
        </is>
      </c>
      <c r="C351" s="162" t="n">
        <v>46028</v>
      </c>
      <c r="D351" t="inlineStr">
        <is>
          <t>The Bolt King</t>
        </is>
      </c>
      <c r="E351" t="inlineStr">
        <is>
          <t>Out</t>
        </is>
      </c>
      <c r="F351" t="n">
        <v>182.27</v>
      </c>
      <c r="G351" t="inlineStr">
        <is>
          <t>DELETED</t>
        </is>
      </c>
      <c r="H351" t="inlineStr">
        <is>
          <t>No</t>
        </is>
      </c>
      <c r="I351" t="inlineStr">
        <is>
          <t>446</t>
        </is>
      </c>
      <c r="J351" t="inlineStr">
        <is>
          <t>Goods-tagged</t>
        </is>
      </c>
      <c r="K351">
        <f>IF(AND(G351="AUTHORISED",J351="Goods-tagged"),F351,0)</f>
        <v/>
      </c>
      <c r="L351" t="inlineStr">
        <is>
          <t>Bolt King - Materials</t>
        </is>
      </c>
      <c r="M351" t="inlineStr">
        <is>
          <t>ACT-ST</t>
        </is>
      </c>
      <c r="N351" t="n">
        <v>46211</v>
      </c>
    </row>
    <row r="352" ht="36" customHeight="1">
      <c r="A352" t="inlineStr">
        <is>
          <t>d8b32ab2-604c-46ff-8ac0-92d5bfd347c9</t>
        </is>
      </c>
      <c r="B352" t="inlineStr">
        <is>
          <t>Bank transaction</t>
        </is>
      </c>
      <c r="C352" s="162" t="n">
        <v>46028</v>
      </c>
      <c r="D352" t="inlineStr">
        <is>
          <t>Carbatec Brisbane</t>
        </is>
      </c>
      <c r="E352" t="inlineStr">
        <is>
          <t>Out</t>
        </is>
      </c>
      <c r="F352" t="n">
        <v>4575.65</v>
      </c>
      <c r="G352" t="inlineStr">
        <is>
          <t>DELETED</t>
        </is>
      </c>
      <c r="H352" t="inlineStr">
        <is>
          <t>No</t>
        </is>
      </c>
      <c r="I352" t="inlineStr">
        <is>
          <t>446</t>
        </is>
      </c>
      <c r="J352" t="inlineStr">
        <is>
          <t>Goods-tagged</t>
        </is>
      </c>
      <c r="K352">
        <f>IF(AND(G352="AUTHORISED",J352="Goods-tagged"),F352,0)</f>
        <v/>
      </c>
      <c r="L352" t="inlineStr">
        <is>
          <t>Carbatec Router Table, Radial Arm Drill Press</t>
        </is>
      </c>
      <c r="M352" t="inlineStr">
        <is>
          <t>ACT-ST</t>
        </is>
      </c>
      <c r="N352" t="n">
        <v>46211</v>
      </c>
    </row>
    <row r="353" ht="36" customHeight="1">
      <c r="A353" t="inlineStr">
        <is>
          <t>faa4896c-ed8e-46cf-8ed8-cf41367a3d1d</t>
        </is>
      </c>
      <c r="B353" t="inlineStr">
        <is>
          <t>Bank transaction</t>
        </is>
      </c>
      <c r="C353" s="162" t="n">
        <v>46028</v>
      </c>
      <c r="D353" t="inlineStr">
        <is>
          <t>RW Pacific Traders</t>
        </is>
      </c>
      <c r="E353" t="inlineStr">
        <is>
          <t>Out</t>
        </is>
      </c>
      <c r="F353" t="n">
        <v>4200</v>
      </c>
      <c r="G353" t="inlineStr">
        <is>
          <t>DELETED</t>
        </is>
      </c>
      <c r="H353" t="inlineStr">
        <is>
          <t>No</t>
        </is>
      </c>
      <c r="I353" t="inlineStr">
        <is>
          <t>446</t>
        </is>
      </c>
      <c r="J353" t="inlineStr">
        <is>
          <t>Goods-tagged</t>
        </is>
      </c>
      <c r="K353">
        <f>IF(AND(G353="AUTHORISED",J353="Goods-tagged"),F353,0)</f>
        <v/>
      </c>
      <c r="L353" t="inlineStr">
        <is>
          <t>Generator DG15000SE3 1105F</t>
        </is>
      </c>
      <c r="M353" t="inlineStr">
        <is>
          <t>ACT-ST</t>
        </is>
      </c>
      <c r="N353" t="n">
        <v>46211</v>
      </c>
    </row>
    <row r="354" ht="36" customHeight="1">
      <c r="A354" t="inlineStr">
        <is>
          <t>9c9ff11b-df36-41a6-a939-8b6afc6a5660</t>
        </is>
      </c>
      <c r="B354" t="inlineStr">
        <is>
          <t>Invoice payment</t>
        </is>
      </c>
      <c r="C354" s="162" t="n">
        <v>46028</v>
      </c>
      <c r="D354" t="inlineStr">
        <is>
          <t>Clearview Towing Mirrors</t>
        </is>
      </c>
      <c r="E354" t="inlineStr">
        <is>
          <t>Out</t>
        </is>
      </c>
      <c r="F354" t="n">
        <v>768.83</v>
      </c>
      <c r="G354" t="inlineStr">
        <is>
          <t>AUTHORISED</t>
        </is>
      </c>
      <c r="H354" t="inlineStr">
        <is>
          <t>Yes</t>
        </is>
      </c>
      <c r="I354" t="inlineStr">
        <is>
          <t>SO-297222</t>
        </is>
      </c>
      <c r="J354" t="inlineStr">
        <is>
          <t>Goods-tagged</t>
        </is>
      </c>
      <c r="K354">
        <f>IF(AND(G354="AUTHORISED",J354="Goods-tagged"),F354,0)</f>
        <v/>
      </c>
      <c r="L354" t="inlineStr">
        <is>
          <t>Towing Mirrors</t>
        </is>
      </c>
      <c r="M354" t="inlineStr">
        <is>
          <t>ACT-ST</t>
        </is>
      </c>
      <c r="N354" t="n">
        <v>46223</v>
      </c>
    </row>
    <row r="355" ht="36" customHeight="1">
      <c r="A355" t="inlineStr">
        <is>
          <t>31fca37a-fb3a-4bb6-9eca-3f3779a3c8a1</t>
        </is>
      </c>
      <c r="B355" t="inlineStr">
        <is>
          <t>Bank transaction</t>
        </is>
      </c>
      <c r="C355" s="162" t="n">
        <v>46029</v>
      </c>
      <c r="D355" t="inlineStr">
        <is>
          <t>Smartwood</t>
        </is>
      </c>
      <c r="E355" t="inlineStr">
        <is>
          <t>Out</t>
        </is>
      </c>
      <c r="F355" t="n">
        <v>2710.34</v>
      </c>
      <c r="G355" t="inlineStr">
        <is>
          <t>DELETED</t>
        </is>
      </c>
      <c r="H355" t="inlineStr">
        <is>
          <t>No</t>
        </is>
      </c>
      <c r="I355" t="inlineStr">
        <is>
          <t>750</t>
        </is>
      </c>
      <c r="J355" t="inlineStr">
        <is>
          <t>Goods-tagged</t>
        </is>
      </c>
      <c r="K355">
        <f>IF(AND(G355="AUTHORISED",J355="Goods-tagged"),F355,0)</f>
        <v/>
      </c>
      <c r="L355" t="inlineStr">
        <is>
          <t>.</t>
        </is>
      </c>
      <c r="M355" t="inlineStr">
        <is>
          <t>ACT-ST</t>
        </is>
      </c>
      <c r="N355" t="n">
        <v>46211</v>
      </c>
    </row>
    <row r="356" ht="36" customHeight="1">
      <c r="A356" t="inlineStr">
        <is>
          <t>51ede264-65a1-4de1-8fdc-57e3d36ca3f2</t>
        </is>
      </c>
      <c r="B356" t="inlineStr">
        <is>
          <t>Bank transaction</t>
        </is>
      </c>
      <c r="C356" s="162" t="n">
        <v>46029</v>
      </c>
      <c r="D356" t="inlineStr">
        <is>
          <t>Smartwood</t>
        </is>
      </c>
      <c r="E356" t="inlineStr">
        <is>
          <t>Out</t>
        </is>
      </c>
      <c r="F356" t="n">
        <v>2665.03</v>
      </c>
      <c r="G356" t="inlineStr">
        <is>
          <t>DELETED</t>
        </is>
      </c>
      <c r="H356" t="inlineStr">
        <is>
          <t>No</t>
        </is>
      </c>
      <c r="I356" t="inlineStr">
        <is>
          <t>750</t>
        </is>
      </c>
      <c r="J356" t="inlineStr">
        <is>
          <t>Goods-tagged</t>
        </is>
      </c>
      <c r="K356">
        <f>IF(AND(G356="AUTHORISED",J356="Goods-tagged"),F356,0)</f>
        <v/>
      </c>
      <c r="L356" t="inlineStr">
        <is>
          <t>Differential Front ( 32:14) High 
 Seat Motor (base for servo motor)</t>
        </is>
      </c>
      <c r="M356" t="inlineStr">
        <is>
          <t>ACT-ST</t>
        </is>
      </c>
      <c r="N356" t="n">
        <v>46211</v>
      </c>
    </row>
    <row r="357" ht="36" customHeight="1">
      <c r="A357" t="inlineStr">
        <is>
          <t>d9263e3d-a69d-45a4-a72a-80fb02b5fdd0</t>
        </is>
      </c>
      <c r="B357" t="inlineStr">
        <is>
          <t>Invoice payment</t>
        </is>
      </c>
      <c r="C357" s="162" t="n">
        <v>46029</v>
      </c>
      <c r="D357" t="inlineStr">
        <is>
          <t>RW Pacific Traders</t>
        </is>
      </c>
      <c r="E357" t="inlineStr">
        <is>
          <t>Out</t>
        </is>
      </c>
      <c r="F357" t="n">
        <v>4200</v>
      </c>
      <c r="G357" t="inlineStr">
        <is>
          <t>AUTHORISED</t>
        </is>
      </c>
      <c r="H357" t="inlineStr">
        <is>
          <t>Yes</t>
        </is>
      </c>
      <c r="J357" t="inlineStr">
        <is>
          <t>Goods-tagged</t>
        </is>
      </c>
      <c r="K357">
        <f>IF(AND(G357="AUTHORISED",J357="Goods-tagged"),F357,0)</f>
        <v/>
      </c>
      <c r="L357" t="inlineStr">
        <is>
          <t>RW Pacific Traders — Materials &amp; Supplies — ACT-GD</t>
        </is>
      </c>
      <c r="M357" t="inlineStr">
        <is>
          <t>ACT-ST</t>
        </is>
      </c>
      <c r="N357" t="n">
        <v>46223</v>
      </c>
    </row>
    <row r="358" ht="36" customHeight="1">
      <c r="A358" t="inlineStr">
        <is>
          <t>08daff7c-44bf-4ea5-ad65-72e2202f6819</t>
        </is>
      </c>
      <c r="B358" t="inlineStr">
        <is>
          <t>Bank transaction</t>
        </is>
      </c>
      <c r="C358" s="162" t="n">
        <v>46034</v>
      </c>
      <c r="D358" t="inlineStr">
        <is>
          <t>Defy</t>
        </is>
      </c>
      <c r="E358" t="inlineStr">
        <is>
          <t>Out</t>
        </is>
      </c>
      <c r="F358" t="n">
        <v>893.47</v>
      </c>
      <c r="G358" t="inlineStr">
        <is>
          <t>DELETED</t>
        </is>
      </c>
      <c r="H358" t="inlineStr">
        <is>
          <t>No</t>
        </is>
      </c>
      <c r="I358" t="inlineStr">
        <is>
          <t>400</t>
        </is>
      </c>
      <c r="J358" t="inlineStr">
        <is>
          <t>Goods-tagged</t>
        </is>
      </c>
      <c r="K358">
        <f>IF(AND(G358="AUTHORISED",J358="Goods-tagged"),F358,0)</f>
        <v/>
      </c>
      <c r="L358" t="inlineStr">
        <is>
          <t>Defy subscription</t>
        </is>
      </c>
      <c r="M358" t="inlineStr">
        <is>
          <t>ACT-ST</t>
        </is>
      </c>
      <c r="N358" t="n">
        <v>46211</v>
      </c>
    </row>
    <row r="359" ht="36" customHeight="1">
      <c r="A359" t="inlineStr">
        <is>
          <t>19b17b82-6881-4dea-8701-72891dc6f0e3</t>
        </is>
      </c>
      <c r="B359" t="inlineStr">
        <is>
          <t>Bank transaction</t>
        </is>
      </c>
      <c r="C359" s="162" t="n">
        <v>46034</v>
      </c>
      <c r="D359" t="inlineStr">
        <is>
          <t>Bunnings Warehouse</t>
        </is>
      </c>
      <c r="E359" t="inlineStr">
        <is>
          <t>Out</t>
        </is>
      </c>
      <c r="F359" t="n">
        <v>616.97</v>
      </c>
      <c r="G359" t="inlineStr">
        <is>
          <t>DELETED</t>
        </is>
      </c>
      <c r="H359" t="inlineStr">
        <is>
          <t>No</t>
        </is>
      </c>
      <c r="I359" t="inlineStr">
        <is>
          <t>446</t>
        </is>
      </c>
      <c r="J359" t="inlineStr">
        <is>
          <t>Goods-tagged</t>
        </is>
      </c>
      <c r="K359">
        <f>IF(AND(G359="AUTHORISED",J359="Goods-tagged"),F359,0)</f>
        <v/>
      </c>
      <c r="L359" t="inlineStr">
        <is>
          <t>Screws, plasterboard</t>
        </is>
      </c>
      <c r="M359" t="inlineStr">
        <is>
          <t>ACT-ST</t>
        </is>
      </c>
      <c r="N359" t="n">
        <v>46211</v>
      </c>
    </row>
    <row r="360" ht="36" customHeight="1">
      <c r="A360" t="inlineStr">
        <is>
          <t>94d2ed78-dacb-41e1-b905-8e0458ab460a</t>
        </is>
      </c>
      <c r="B360" t="inlineStr">
        <is>
          <t>Bank transaction</t>
        </is>
      </c>
      <c r="C360" s="162" t="n">
        <v>46034</v>
      </c>
      <c r="D360" t="inlineStr">
        <is>
          <t>Carbatec QLD Warehouse</t>
        </is>
      </c>
      <c r="E360" t="inlineStr">
        <is>
          <t>Out</t>
        </is>
      </c>
      <c r="F360" t="n">
        <v>1319</v>
      </c>
      <c r="G360" t="inlineStr">
        <is>
          <t>DELETED</t>
        </is>
      </c>
      <c r="H360" t="inlineStr">
        <is>
          <t>No</t>
        </is>
      </c>
      <c r="I360" t="inlineStr">
        <is>
          <t>446</t>
        </is>
      </c>
      <c r="J360" t="inlineStr">
        <is>
          <t>Goods-tagged</t>
        </is>
      </c>
      <c r="K360">
        <f>IF(AND(G360="AUTHORISED",J360="Goods-tagged"),F360,0)</f>
        <v/>
      </c>
      <c r="L360" t="inlineStr">
        <is>
          <t>Rikon 14in Bandsaw with open stand</t>
        </is>
      </c>
      <c r="M360" t="inlineStr">
        <is>
          <t>ACT-ST</t>
        </is>
      </c>
      <c r="N360" t="n">
        <v>46211</v>
      </c>
    </row>
    <row r="361" ht="36" customHeight="1">
      <c r="A361" t="inlineStr">
        <is>
          <t>94f474a7-6f6d-47a6-bfe0-2bfc56f76b92</t>
        </is>
      </c>
      <c r="B361" t="inlineStr">
        <is>
          <t>Bank transaction</t>
        </is>
      </c>
      <c r="C361" s="162" t="n">
        <v>46034</v>
      </c>
      <c r="D361" t="inlineStr">
        <is>
          <t>Carbatec Brisbane</t>
        </is>
      </c>
      <c r="E361" t="inlineStr">
        <is>
          <t>Out</t>
        </is>
      </c>
      <c r="F361" t="n">
        <v>1811.7</v>
      </c>
      <c r="G361" t="inlineStr">
        <is>
          <t>DELETED</t>
        </is>
      </c>
      <c r="H361" t="inlineStr">
        <is>
          <t>No</t>
        </is>
      </c>
      <c r="I361" t="inlineStr">
        <is>
          <t>446</t>
        </is>
      </c>
      <c r="J361" t="inlineStr">
        <is>
          <t>Goods-tagged</t>
        </is>
      </c>
      <c r="K361">
        <f>IF(AND(G361="AUTHORISED",J361="Goods-tagged"),F361,0)</f>
        <v/>
      </c>
      <c r="L361" t="inlineStr">
        <is>
          <t>Dusty Junction 4 Inch Plat, Cht Forstic Bits, Style Bit Short, Blackler</t>
        </is>
      </c>
      <c r="M361" t="inlineStr">
        <is>
          <t>ACT-ST</t>
        </is>
      </c>
      <c r="N361" t="n">
        <v>46211</v>
      </c>
    </row>
    <row r="362" ht="36" customHeight="1">
      <c r="A362" t="inlineStr">
        <is>
          <t>dc7a67f1-c5d7-4f45-9b97-1231c406f98d</t>
        </is>
      </c>
      <c r="B362" t="inlineStr">
        <is>
          <t>Bank transaction</t>
        </is>
      </c>
      <c r="C362" s="162" t="n">
        <v>46034</v>
      </c>
      <c r="D362" t="inlineStr">
        <is>
          <t>Defy Manufacturing</t>
        </is>
      </c>
      <c r="E362" t="inlineStr">
        <is>
          <t>Out</t>
        </is>
      </c>
      <c r="F362" t="n">
        <v>876.8099999999999</v>
      </c>
      <c r="G362" t="inlineStr">
        <is>
          <t>DELETED</t>
        </is>
      </c>
      <c r="H362" t="inlineStr">
        <is>
          <t>No</t>
        </is>
      </c>
      <c r="I362" t="inlineStr">
        <is>
          <t>412</t>
        </is>
      </c>
      <c r="J362" t="inlineStr">
        <is>
          <t>Goods-tagged</t>
        </is>
      </c>
      <c r="K362">
        <f>IF(AND(G362="AUTHORISED",J362="Goods-tagged"),F362,0)</f>
        <v/>
      </c>
      <c r="L362" t="inlineStr">
        <is>
          <t>Pallet &amp; Packing Fee 
 D:120 x 120 x 78cm</t>
        </is>
      </c>
      <c r="M362" t="inlineStr">
        <is>
          <t>ACT-ST</t>
        </is>
      </c>
      <c r="N362" t="n">
        <v>46211</v>
      </c>
    </row>
    <row r="363" ht="36" customHeight="1">
      <c r="A363" t="inlineStr">
        <is>
          <t>3f440a21-f5ac-46a4-986e-aa8a11be1f8f</t>
        </is>
      </c>
      <c r="B363" t="inlineStr">
        <is>
          <t>Invoice payment</t>
        </is>
      </c>
      <c r="C363" s="162" t="n">
        <v>46034</v>
      </c>
      <c r="D363" t="inlineStr">
        <is>
          <t>The Matnic Trust</t>
        </is>
      </c>
      <c r="E363" t="inlineStr">
        <is>
          <t>Out</t>
        </is>
      </c>
      <c r="F363" t="n">
        <v>2826.92</v>
      </c>
      <c r="G363" t="inlineStr">
        <is>
          <t>AUTHORISED</t>
        </is>
      </c>
      <c r="H363" t="inlineStr">
        <is>
          <t>Yes</t>
        </is>
      </c>
      <c r="I363" t="inlineStr">
        <is>
          <t>00036199</t>
        </is>
      </c>
      <c r="J363" t="inlineStr">
        <is>
          <t>Goods-tagged</t>
        </is>
      </c>
      <c r="K363">
        <f>IF(AND(G363="AUTHORISED",J363="Goods-tagged"),F363,0)</f>
        <v/>
      </c>
      <c r="L363" t="inlineStr">
        <is>
          <t>Travel Expenses</t>
        </is>
      </c>
      <c r="M363" t="inlineStr">
        <is>
          <t>ACT-ST</t>
        </is>
      </c>
      <c r="N363" t="n">
        <v>46223</v>
      </c>
    </row>
    <row r="364" ht="36" customHeight="1">
      <c r="A364" t="inlineStr">
        <is>
          <t>d41a7f7a-59a3-41e2-9c60-398d34464eaa</t>
        </is>
      </c>
      <c r="B364" t="inlineStr">
        <is>
          <t>Invoice payment</t>
        </is>
      </c>
      <c r="C364" s="162" t="n">
        <v>46034</v>
      </c>
      <c r="D364" t="inlineStr">
        <is>
          <t>Reddy Express</t>
        </is>
      </c>
      <c r="E364" t="inlineStr">
        <is>
          <t>Out</t>
        </is>
      </c>
      <c r="F364" t="n">
        <v>99.03</v>
      </c>
      <c r="G364" t="inlineStr">
        <is>
          <t>AUTHORISED</t>
        </is>
      </c>
      <c r="H364" t="inlineStr">
        <is>
          <t>Yes</t>
        </is>
      </c>
      <c r="J364" t="inlineStr">
        <is>
          <t>Goods-tagged</t>
        </is>
      </c>
      <c r="K364">
        <f>IF(AND(G364="AUTHORISED",J364="Goods-tagged"),F364,0)</f>
        <v/>
      </c>
      <c r="L364" t="inlineStr">
        <is>
          <t>Reddy Express — Operations — ACT-GD</t>
        </is>
      </c>
      <c r="M364" t="inlineStr">
        <is>
          <t>ACT-ST</t>
        </is>
      </c>
      <c r="N364" t="n">
        <v>46223</v>
      </c>
    </row>
    <row r="365" ht="36" customHeight="1">
      <c r="A365" t="inlineStr">
        <is>
          <t>c52b6a01-9460-43f7-8f6d-55d81ad368ba</t>
        </is>
      </c>
      <c r="B365" t="inlineStr">
        <is>
          <t>Bank transaction</t>
        </is>
      </c>
      <c r="C365" s="162" t="n">
        <v>46035</v>
      </c>
      <c r="D365" t="inlineStr">
        <is>
          <t>Hatch Electrical</t>
        </is>
      </c>
      <c r="E365" t="inlineStr">
        <is>
          <t>Out</t>
        </is>
      </c>
      <c r="F365" t="n">
        <v>772.62</v>
      </c>
      <c r="G365" t="inlineStr">
        <is>
          <t>DELETED</t>
        </is>
      </c>
      <c r="H365" t="inlineStr">
        <is>
          <t>No</t>
        </is>
      </c>
      <c r="I365" t="inlineStr">
        <is>
          <t>486</t>
        </is>
      </c>
      <c r="J365" t="inlineStr">
        <is>
          <t>Goods-tagged</t>
        </is>
      </c>
      <c r="K365">
        <f>IF(AND(G365="AUTHORISED",J365="Goods-tagged"),F365,0)</f>
        <v/>
      </c>
      <c r="L365" t="inlineStr">
        <is>
          <t>Electrical works</t>
        </is>
      </c>
      <c r="M365" t="inlineStr">
        <is>
          <t>ACT-ST</t>
        </is>
      </c>
      <c r="N365" t="n">
        <v>46211</v>
      </c>
    </row>
    <row r="366" ht="36" customHeight="1">
      <c r="A366" t="inlineStr">
        <is>
          <t>60f02387-63ce-4c8b-84d3-78063b01aa92</t>
        </is>
      </c>
      <c r="B366" t="inlineStr">
        <is>
          <t>Invoice payment</t>
        </is>
      </c>
      <c r="C366" s="162" t="n">
        <v>46035</v>
      </c>
      <c r="D366" t="inlineStr">
        <is>
          <t>Reddy Express</t>
        </is>
      </c>
      <c r="E366" t="inlineStr">
        <is>
          <t>Out</t>
        </is>
      </c>
      <c r="F366" t="n">
        <v>140.29</v>
      </c>
      <c r="G366" t="inlineStr">
        <is>
          <t>AUTHORISED</t>
        </is>
      </c>
      <c r="H366" t="inlineStr">
        <is>
          <t>Yes</t>
        </is>
      </c>
      <c r="J366" t="inlineStr">
        <is>
          <t>Goods-tagged</t>
        </is>
      </c>
      <c r="K366">
        <f>IF(AND(G366="AUTHORISED",J366="Goods-tagged"),F366,0)</f>
        <v/>
      </c>
      <c r="L366" t="inlineStr">
        <is>
          <t>Reddy Express — Operations — ACT-GD</t>
        </is>
      </c>
      <c r="M366" t="inlineStr">
        <is>
          <t>ACT-ST</t>
        </is>
      </c>
      <c r="N366" t="n">
        <v>46223</v>
      </c>
    </row>
    <row r="367" ht="36" customHeight="1">
      <c r="A367" t="inlineStr">
        <is>
          <t>70bec11d-8b4d-4659-8a1e-29ba7e827f9c</t>
        </is>
      </c>
      <c r="B367" t="inlineStr">
        <is>
          <t>Invoice payment</t>
        </is>
      </c>
      <c r="C367" s="162" t="n">
        <v>46035</v>
      </c>
      <c r="D367" t="inlineStr">
        <is>
          <t>Defy</t>
        </is>
      </c>
      <c r="E367" t="inlineStr">
        <is>
          <t>Out</t>
        </is>
      </c>
      <c r="F367" t="n">
        <v>893.47</v>
      </c>
      <c r="G367" t="inlineStr">
        <is>
          <t>AUTHORISED</t>
        </is>
      </c>
      <c r="H367" t="inlineStr">
        <is>
          <t>Yes</t>
        </is>
      </c>
      <c r="J367" t="inlineStr">
        <is>
          <t>Goods-tagged</t>
        </is>
      </c>
      <c r="K367">
        <f>IF(AND(G367="AUTHORISED",J367="Goods-tagged"),F367,0)</f>
        <v/>
      </c>
      <c r="L367" t="inlineStr">
        <is>
          <t>Defy Manufacturing — Materials &amp; Supplies — ACT-GD</t>
        </is>
      </c>
      <c r="M367" t="inlineStr">
        <is>
          <t>ACT-ST</t>
        </is>
      </c>
      <c r="N367" t="n">
        <v>46223</v>
      </c>
    </row>
    <row r="368" ht="36" customHeight="1">
      <c r="A368" t="inlineStr">
        <is>
          <t>4fcee4ef-84aa-40bf-a511-b14763beebbe</t>
        </is>
      </c>
      <c r="B368" t="inlineStr">
        <is>
          <t>Bank transaction</t>
        </is>
      </c>
      <c r="C368" s="162" t="n">
        <v>46036</v>
      </c>
      <c r="D368" t="inlineStr">
        <is>
          <t>RW Pacific Traders</t>
        </is>
      </c>
      <c r="E368" t="inlineStr">
        <is>
          <t>Out</t>
        </is>
      </c>
      <c r="F368" t="n">
        <v>2000</v>
      </c>
      <c r="G368" t="inlineStr">
        <is>
          <t>DELETED</t>
        </is>
      </c>
      <c r="H368" t="inlineStr">
        <is>
          <t>No</t>
        </is>
      </c>
      <c r="I368" t="inlineStr">
        <is>
          <t>446</t>
        </is>
      </c>
      <c r="J368" t="inlineStr">
        <is>
          <t>Goods-tagged</t>
        </is>
      </c>
      <c r="K368">
        <f>IF(AND(G368="AUTHORISED",J368="Goods-tagged"),F368,0)</f>
        <v/>
      </c>
      <c r="L368" t="inlineStr">
        <is>
          <t>Generator DG23000SE3 2V98FD</t>
        </is>
      </c>
      <c r="M368" t="inlineStr">
        <is>
          <t>ACT-ST</t>
        </is>
      </c>
      <c r="N368" t="n">
        <v>46211</v>
      </c>
    </row>
    <row r="369" ht="36" customHeight="1">
      <c r="A369" t="inlineStr">
        <is>
          <t>26d0b597-1ec0-4ba7-aca4-b992f3504b6e</t>
        </is>
      </c>
      <c r="B369" t="inlineStr">
        <is>
          <t>Invoice payment</t>
        </is>
      </c>
      <c r="C369" s="162" t="n">
        <v>46037</v>
      </c>
      <c r="D369" t="inlineStr">
        <is>
          <t>RW Pacific Traders</t>
        </is>
      </c>
      <c r="E369" t="inlineStr">
        <is>
          <t>Out</t>
        </is>
      </c>
      <c r="F369" t="n">
        <v>2034</v>
      </c>
      <c r="G369" t="inlineStr">
        <is>
          <t>AUTHORISED</t>
        </is>
      </c>
      <c r="H369" t="inlineStr">
        <is>
          <t>Yes</t>
        </is>
      </c>
      <c r="I369" t="inlineStr">
        <is>
          <t>INV-0368</t>
        </is>
      </c>
      <c r="J369" t="inlineStr">
        <is>
          <t>Goods-tagged</t>
        </is>
      </c>
      <c r="K369">
        <f>IF(AND(G369="AUTHORISED",J369="Goods-tagged"),F369,0)</f>
        <v/>
      </c>
      <c r="L369" t="inlineStr">
        <is>
          <t>Payment for invoice(s) INV-0368</t>
        </is>
      </c>
      <c r="M369" t="inlineStr">
        <is>
          <t>ACT-ST</t>
        </is>
      </c>
      <c r="N369" t="n">
        <v>46223</v>
      </c>
    </row>
    <row r="370" ht="36" customHeight="1">
      <c r="A370" t="inlineStr">
        <is>
          <t>8b66b615-1cb2-47bf-af60-0c9bc6557bfe</t>
        </is>
      </c>
      <c r="B370" t="inlineStr">
        <is>
          <t>Invoice payment</t>
        </is>
      </c>
      <c r="C370" s="162" t="n">
        <v>46038</v>
      </c>
      <c r="D370" t="inlineStr">
        <is>
          <t>Woolworths</t>
        </is>
      </c>
      <c r="E370" t="inlineStr">
        <is>
          <t>Out</t>
        </is>
      </c>
      <c r="F370" t="n">
        <v>279.25</v>
      </c>
      <c r="G370" t="inlineStr">
        <is>
          <t>AUTHORISED</t>
        </is>
      </c>
      <c r="H370" t="inlineStr">
        <is>
          <t>Yes</t>
        </is>
      </c>
      <c r="I370" t="inlineStr">
        <is>
          <t>4236</t>
        </is>
      </c>
      <c r="J370" t="inlineStr">
        <is>
          <t>Goods-tagged</t>
        </is>
      </c>
      <c r="K370">
        <f>IF(AND(G370="AUTHORISED",J370="Goods-tagged"),F370,0)</f>
        <v/>
      </c>
      <c r="L370" t="inlineStr">
        <is>
          <t>. / .</t>
        </is>
      </c>
      <c r="M370" t="inlineStr">
        <is>
          <t>ACT-ST</t>
        </is>
      </c>
      <c r="N370" t="n">
        <v>46223</v>
      </c>
    </row>
    <row r="371" ht="36" customHeight="1">
      <c r="A371" t="inlineStr">
        <is>
          <t>af49347b-f559-47bb-be44-0a68bc1cd0f0</t>
        </is>
      </c>
      <c r="B371" t="inlineStr">
        <is>
          <t>Invoice payment</t>
        </is>
      </c>
      <c r="C371" s="162" t="n">
        <v>46041</v>
      </c>
      <c r="D371" t="inlineStr">
        <is>
          <t>The Trustee For Maltek Trust</t>
        </is>
      </c>
      <c r="E371" t="inlineStr">
        <is>
          <t>Out</t>
        </is>
      </c>
      <c r="F371" t="n">
        <v>230</v>
      </c>
      <c r="G371" t="inlineStr">
        <is>
          <t>DELETED</t>
        </is>
      </c>
      <c r="H371" t="inlineStr">
        <is>
          <t>No</t>
        </is>
      </c>
      <c r="I371" t="inlineStr">
        <is>
          <t>35150</t>
        </is>
      </c>
      <c r="J371" t="inlineStr">
        <is>
          <t>Goods-tagged</t>
        </is>
      </c>
      <c r="K371">
        <f>IF(AND(G371="AUTHORISED",J371="Goods-tagged"),F371,0)</f>
        <v/>
      </c>
      <c r="L371" t="inlineStr">
        <is>
          <t>Flute UP CUT End Mill Diamond Like Carbon (for 
 Aluminium)</t>
        </is>
      </c>
      <c r="M371" t="inlineStr">
        <is>
          <t>ACT-ST</t>
        </is>
      </c>
      <c r="N371" t="n">
        <v>46223</v>
      </c>
    </row>
    <row r="372" ht="36" customHeight="1">
      <c r="A372" t="inlineStr">
        <is>
          <t>bc263e54-f4d1-4a72-9425-0196cf0b3c80</t>
        </is>
      </c>
      <c r="B372" t="inlineStr">
        <is>
          <t>Invoice payment</t>
        </is>
      </c>
      <c r="C372" s="162" t="n">
        <v>46042</v>
      </c>
      <c r="D372" t="inlineStr">
        <is>
          <t>Hinterland Restrt</t>
        </is>
      </c>
      <c r="E372" t="inlineStr">
        <is>
          <t>Out</t>
        </is>
      </c>
      <c r="F372" t="n">
        <v>150</v>
      </c>
      <c r="G372" t="inlineStr">
        <is>
          <t>AUTHORISED</t>
        </is>
      </c>
      <c r="H372" t="inlineStr">
        <is>
          <t>Yes</t>
        </is>
      </c>
      <c r="I372" t="inlineStr">
        <is>
          <t>RB19321225170</t>
        </is>
      </c>
      <c r="J372" t="inlineStr">
        <is>
          <t>Goods-tagged</t>
        </is>
      </c>
      <c r="K372">
        <f>IF(AND(G372="AUTHORISED",J372="Goods-tagged"),F372,0)</f>
        <v/>
      </c>
      <c r="L372" t="inlineStr">
        <is>
          <t>.</t>
        </is>
      </c>
      <c r="M372" t="inlineStr">
        <is>
          <t>ACT-ST</t>
        </is>
      </c>
      <c r="N372" t="n">
        <v>46223</v>
      </c>
    </row>
    <row r="373" ht="36" customHeight="1">
      <c r="A373" t="inlineStr">
        <is>
          <t>04677401-604d-4130-8684-7db184f49ed9</t>
        </is>
      </c>
      <c r="B373" t="inlineStr">
        <is>
          <t>Bank transaction</t>
        </is>
      </c>
      <c r="C373" s="162" t="n">
        <v>46043</v>
      </c>
      <c r="D373" t="inlineStr">
        <is>
          <t>The Trustee For Maltek Trust</t>
        </is>
      </c>
      <c r="E373" t="inlineStr">
        <is>
          <t>Out</t>
        </is>
      </c>
      <c r="F373" t="n">
        <v>119</v>
      </c>
      <c r="G373" t="inlineStr">
        <is>
          <t>DELETED</t>
        </is>
      </c>
      <c r="H373" t="inlineStr">
        <is>
          <t>No</t>
        </is>
      </c>
      <c r="I373" t="inlineStr">
        <is>
          <t>446</t>
        </is>
      </c>
      <c r="J373" t="inlineStr">
        <is>
          <t>Goods-tagged</t>
        </is>
      </c>
      <c r="K373">
        <f>IF(AND(G373="AUTHORISED",J373="Goods-tagged"),F373,0)</f>
        <v/>
      </c>
      <c r="L373" t="inlineStr">
        <is>
          <t>Flute UP CUT Carbide End Mill (for Plastics)</t>
        </is>
      </c>
      <c r="M373" t="inlineStr">
        <is>
          <t>ACT-ST</t>
        </is>
      </c>
      <c r="N373" t="n">
        <v>46211</v>
      </c>
    </row>
    <row r="374" ht="36" customHeight="1">
      <c r="A374" t="inlineStr">
        <is>
          <t>b5d6bbf7-0a74-4b74-96e4-fdd081c023e2</t>
        </is>
      </c>
      <c r="B374" t="inlineStr">
        <is>
          <t>Bank transaction</t>
        </is>
      </c>
      <c r="C374" s="162" t="n">
        <v>46043</v>
      </c>
      <c r="D374" t="inlineStr">
        <is>
          <t>Adam's Bits</t>
        </is>
      </c>
      <c r="E374" t="inlineStr">
        <is>
          <t>Out</t>
        </is>
      </c>
      <c r="F374" t="n">
        <v>119</v>
      </c>
      <c r="G374" t="inlineStr">
        <is>
          <t>DELETED</t>
        </is>
      </c>
      <c r="H374" t="inlineStr">
        <is>
          <t>No</t>
        </is>
      </c>
      <c r="I374" t="inlineStr">
        <is>
          <t>446</t>
        </is>
      </c>
      <c r="J374" t="inlineStr">
        <is>
          <t>Goods-tagged</t>
        </is>
      </c>
      <c r="K374">
        <f>IF(AND(G374="AUTHORISED",J374="Goods-tagged"),F374,0)</f>
        <v/>
      </c>
      <c r="L374" t="inlineStr">
        <is>
          <t>Flute UP CUT Carbide End Mill (for Plastics) 
 (Cut Diam. x Shank Diam. x Cut</t>
        </is>
      </c>
      <c r="M374" t="inlineStr">
        <is>
          <t>ACT-ST</t>
        </is>
      </c>
      <c r="N374" t="n">
        <v>46211</v>
      </c>
    </row>
    <row r="375" ht="36" customHeight="1">
      <c r="A375" t="inlineStr">
        <is>
          <t>c3ee9667-7c32-4272-92e0-ef9587533973</t>
        </is>
      </c>
      <c r="B375" t="inlineStr">
        <is>
          <t>Invoice payment</t>
        </is>
      </c>
      <c r="C375" s="162" t="n">
        <v>46044</v>
      </c>
      <c r="D375" t="inlineStr">
        <is>
          <t>Bionic Group</t>
        </is>
      </c>
      <c r="E375" t="inlineStr">
        <is>
          <t>Out</t>
        </is>
      </c>
      <c r="F375" t="n">
        <v>4705</v>
      </c>
      <c r="G375" t="inlineStr">
        <is>
          <t>AUTHORISED</t>
        </is>
      </c>
      <c r="H375" t="inlineStr">
        <is>
          <t>Yes</t>
        </is>
      </c>
      <c r="I375" t="inlineStr">
        <is>
          <t>INV-5102</t>
        </is>
      </c>
      <c r="J375" t="inlineStr">
        <is>
          <t>Goods-tagged</t>
        </is>
      </c>
      <c r="K375">
        <f>IF(AND(G375="AUTHORISED",J375="Goods-tagged"),F375,0)</f>
        <v/>
      </c>
      <c r="L375" t="inlineStr">
        <is>
          <t>Bionic Group</t>
        </is>
      </c>
      <c r="M375" t="inlineStr">
        <is>
          <t>ACT-ST</t>
        </is>
      </c>
      <c r="N375" t="n">
        <v>46223</v>
      </c>
    </row>
    <row r="376" ht="36" customHeight="1">
      <c r="A376" t="inlineStr">
        <is>
          <t>6ff94768-e15c-4521-92cb-0b1828b7f7c9</t>
        </is>
      </c>
      <c r="B376" t="inlineStr">
        <is>
          <t>Bank transaction</t>
        </is>
      </c>
      <c r="C376" s="162" t="n">
        <v>46046</v>
      </c>
      <c r="D376" t="inlineStr">
        <is>
          <t>Liberty Maleny</t>
        </is>
      </c>
      <c r="E376" t="inlineStr">
        <is>
          <t>Out</t>
        </is>
      </c>
      <c r="F376" t="n">
        <v>323.67</v>
      </c>
      <c r="G376" t="inlineStr">
        <is>
          <t>AUTHORISED</t>
        </is>
      </c>
      <c r="H376" t="inlineStr">
        <is>
          <t>Yes</t>
        </is>
      </c>
      <c r="J376" t="inlineStr">
        <is>
          <t>Goods-tagged</t>
        </is>
      </c>
      <c r="K376">
        <f>IF(AND(G376="AUTHORISED",J376="Goods-tagged"),F376,0)</f>
        <v/>
      </c>
      <c r="M376" t="inlineStr">
        <is>
          <t>ACT-ST</t>
        </is>
      </c>
      <c r="N376" t="n">
        <v>46237</v>
      </c>
    </row>
    <row r="377" ht="36" customHeight="1">
      <c r="A377" t="inlineStr">
        <is>
          <t>534ff5e5-fba9-4be6-b489-b86a06ec842a</t>
        </is>
      </c>
      <c r="B377" t="inlineStr">
        <is>
          <t>Bank transaction</t>
        </is>
      </c>
      <c r="C377" s="162" t="n">
        <v>46048</v>
      </c>
      <c r="D377" t="inlineStr">
        <is>
          <t>IGA</t>
        </is>
      </c>
      <c r="E377" t="inlineStr">
        <is>
          <t>Out</t>
        </is>
      </c>
      <c r="F377" t="n">
        <v>366.58</v>
      </c>
      <c r="G377" t="inlineStr">
        <is>
          <t>AUTHORISED</t>
        </is>
      </c>
      <c r="H377" t="inlineStr">
        <is>
          <t>Yes</t>
        </is>
      </c>
      <c r="J377" t="inlineStr">
        <is>
          <t>Goods-tagged</t>
        </is>
      </c>
      <c r="K377">
        <f>IF(AND(G377="AUTHORISED",J377="Goods-tagged"),F377,0)</f>
        <v/>
      </c>
      <c r="M377" t="inlineStr">
        <is>
          <t>ACT-ST</t>
        </is>
      </c>
      <c r="N377" t="n">
        <v>46237</v>
      </c>
    </row>
    <row r="378" ht="36" customHeight="1">
      <c r="A378" t="inlineStr">
        <is>
          <t>e5b43589-9e8a-4163-aa05-fc75e7db8928</t>
        </is>
      </c>
      <c r="B378" t="inlineStr">
        <is>
          <t>Bank transaction</t>
        </is>
      </c>
      <c r="C378" s="162" t="n">
        <v>46048</v>
      </c>
      <c r="D378" t="inlineStr">
        <is>
          <t>Woolworths</t>
        </is>
      </c>
      <c r="E378" t="inlineStr">
        <is>
          <t>Out</t>
        </is>
      </c>
      <c r="F378" t="n">
        <v>124.89</v>
      </c>
      <c r="G378" t="inlineStr">
        <is>
          <t>AUTHORISED</t>
        </is>
      </c>
      <c r="H378" t="inlineStr">
        <is>
          <t>Yes</t>
        </is>
      </c>
      <c r="J378" t="inlineStr">
        <is>
          <t>Goods-tagged</t>
        </is>
      </c>
      <c r="K378">
        <f>IF(AND(G378="AUTHORISED",J378="Goods-tagged"),F378,0)</f>
        <v/>
      </c>
      <c r="M378" t="inlineStr">
        <is>
          <t>ACT-ST</t>
        </is>
      </c>
      <c r="N378" t="n">
        <v>46237</v>
      </c>
    </row>
    <row r="379" ht="36" customHeight="1">
      <c r="A379" t="inlineStr">
        <is>
          <t>bd735b4e-54ac-499d-8369-5003f111935c</t>
        </is>
      </c>
      <c r="B379" t="inlineStr">
        <is>
          <t>Invoice payment</t>
        </is>
      </c>
      <c r="C379" s="162" t="n">
        <v>46049</v>
      </c>
      <c r="D379" t="inlineStr">
        <is>
          <t>Easel Software</t>
        </is>
      </c>
      <c r="E379" t="inlineStr">
        <is>
          <t>Out</t>
        </is>
      </c>
      <c r="F379" t="n">
        <v>312.77</v>
      </c>
      <c r="G379" t="inlineStr">
        <is>
          <t>AUTHORISED</t>
        </is>
      </c>
      <c r="H379" t="inlineStr">
        <is>
          <t>Yes</t>
        </is>
      </c>
      <c r="I379" t="inlineStr">
        <is>
          <t>2FBD9E4O-0001</t>
        </is>
      </c>
      <c r="J379" t="inlineStr">
        <is>
          <t>Goods-tagged</t>
        </is>
      </c>
      <c r="K379">
        <f>IF(AND(G379="AUTHORISED",J379="Goods-tagged"),F379,0)</f>
        <v/>
      </c>
      <c r="L379" t="inlineStr">
        <is>
          <t>Easel Pro</t>
        </is>
      </c>
      <c r="M379" t="inlineStr">
        <is>
          <t>ACT-ST</t>
        </is>
      </c>
      <c r="N379" t="n">
        <v>46223</v>
      </c>
    </row>
    <row r="380" ht="36" customHeight="1">
      <c r="A380" t="inlineStr">
        <is>
          <t>927dc7f5-1ca9-4b24-bfc8-50867638459c</t>
        </is>
      </c>
      <c r="B380" t="inlineStr">
        <is>
          <t>Invoice payment</t>
        </is>
      </c>
      <c r="C380" s="162" t="n">
        <v>46050</v>
      </c>
      <c r="D380" t="inlineStr">
        <is>
          <t>Orange Sky Australia</t>
        </is>
      </c>
      <c r="E380" t="inlineStr">
        <is>
          <t>Out</t>
        </is>
      </c>
      <c r="F380" t="n">
        <v>288</v>
      </c>
      <c r="G380" t="inlineStr">
        <is>
          <t>AUTHORISED</t>
        </is>
      </c>
      <c r="H380" t="inlineStr">
        <is>
          <t>Yes</t>
        </is>
      </c>
      <c r="J380" t="inlineStr">
        <is>
          <t>Goods-tagged</t>
        </is>
      </c>
      <c r="K380">
        <f>IF(AND(G380="AUTHORISED",J380="Goods-tagged"),F380,0)</f>
        <v/>
      </c>
      <c r="L380" t="inlineStr">
        <is>
          <t>Orange Sky Australia — Operations — ACT-GD</t>
        </is>
      </c>
      <c r="M380" t="inlineStr">
        <is>
          <t>ACT-ST</t>
        </is>
      </c>
      <c r="N380" t="n">
        <v>46223</v>
      </c>
    </row>
    <row r="381" ht="78" customHeight="1">
      <c r="A381" t="inlineStr">
        <is>
          <t>88d4f5c8-cd9e-43ba-bd4b-c07dbc88afb3</t>
        </is>
      </c>
      <c r="B381" t="inlineStr">
        <is>
          <t>Bank transaction</t>
        </is>
      </c>
      <c r="C381" s="162" t="n">
        <v>46051</v>
      </c>
      <c r="D381" t="inlineStr">
        <is>
          <t>Carla Furnishers</t>
        </is>
      </c>
      <c r="E381" t="inlineStr">
        <is>
          <t>Out</t>
        </is>
      </c>
      <c r="F381" t="n">
        <v>4816</v>
      </c>
      <c r="G381" t="inlineStr">
        <is>
          <t>AUTHORISED</t>
        </is>
      </c>
      <c r="H381" t="inlineStr">
        <is>
          <t>Yes</t>
        </is>
      </c>
      <c r="I381" t="inlineStr">
        <is>
          <t>446</t>
        </is>
      </c>
      <c r="J381" t="inlineStr">
        <is>
          <t>Goods-tagged</t>
        </is>
      </c>
      <c r="K381">
        <f>IF(AND(G381="AUTHORISED",J381="Goods-tagged"),F381,0)</f>
        <v/>
      </c>
      <c r="L381" t="inlineStr">
        <is>
          <t>[receipt located — forwarding] Carla Furnishers Pty Ltd (ABN 86 009 599 526) — tax invoice 26-00000151, paid 28 Jan 2026: 4× Speed Queen washing machines, net of a 4-unit return (the voided $11,180 Xero bills = the swapped-out original order). $4,816.00 i</t>
        </is>
      </c>
      <c r="M381" t="inlineStr">
        <is>
          <t>ACT-ST</t>
        </is>
      </c>
      <c r="N381" t="n">
        <v>46211</v>
      </c>
    </row>
    <row r="382" ht="36" customHeight="1">
      <c r="A382" t="inlineStr">
        <is>
          <t>576b6d0f-3528-405d-b9ab-8539533e0774</t>
        </is>
      </c>
      <c r="B382" t="inlineStr">
        <is>
          <t>Invoice payment</t>
        </is>
      </c>
      <c r="C382" s="162" t="n">
        <v>46051</v>
      </c>
      <c r="D382" t="inlineStr">
        <is>
          <t>Carla Furnishers</t>
        </is>
      </c>
      <c r="E382" t="inlineStr">
        <is>
          <t>Out</t>
        </is>
      </c>
      <c r="F382" t="n">
        <v>4816</v>
      </c>
      <c r="G382" t="inlineStr">
        <is>
          <t>DELETED</t>
        </is>
      </c>
      <c r="H382" t="inlineStr">
        <is>
          <t>No</t>
        </is>
      </c>
      <c r="I382" t="inlineStr">
        <is>
          <t>26-00000151</t>
        </is>
      </c>
      <c r="J382" t="inlineStr">
        <is>
          <t>Goods-tagged</t>
        </is>
      </c>
      <c r="K382">
        <f>IF(AND(G382="AUTHORISED",J382="Goods-tagged"),F382,0)</f>
        <v/>
      </c>
      <c r="L382" t="inlineStr">
        <is>
          <t>4 x Speed Queen LWNA62 Traditional Dial control 8kg Top Load Washer</t>
        </is>
      </c>
      <c r="M382" t="inlineStr">
        <is>
          <t>ACT-ST</t>
        </is>
      </c>
      <c r="N382" t="n">
        <v>46223</v>
      </c>
    </row>
    <row r="383" ht="36" customHeight="1">
      <c r="A383" t="inlineStr">
        <is>
          <t>56cfc3d5-99d0-47ec-972e-9079784a8906</t>
        </is>
      </c>
      <c r="B383" t="inlineStr">
        <is>
          <t>Bank transaction</t>
        </is>
      </c>
      <c r="C383" s="162" t="n">
        <v>46052</v>
      </c>
      <c r="D383" t="inlineStr">
        <is>
          <t>Thrifty</t>
        </is>
      </c>
      <c r="E383" t="inlineStr">
        <is>
          <t>Out</t>
        </is>
      </c>
      <c r="F383" t="n">
        <v>345.51</v>
      </c>
      <c r="G383" t="inlineStr">
        <is>
          <t>DELETED</t>
        </is>
      </c>
      <c r="H383" t="inlineStr">
        <is>
          <t>No</t>
        </is>
      </c>
      <c r="I383" t="inlineStr">
        <is>
          <t>493</t>
        </is>
      </c>
      <c r="J383" t="inlineStr">
        <is>
          <t>Goods-tagged</t>
        </is>
      </c>
      <c r="K383">
        <f>IF(AND(G383="AUTHORISED",J383="Goods-tagged"),F383,0)</f>
        <v/>
      </c>
      <c r="L383" t="inlineStr">
        <is>
          <t>Car rental for Nick</t>
        </is>
      </c>
      <c r="M383" t="inlineStr">
        <is>
          <t>ACT-ST</t>
        </is>
      </c>
      <c r="N383" t="n">
        <v>46211</v>
      </c>
    </row>
    <row r="384" ht="36" customHeight="1">
      <c r="A384" t="inlineStr">
        <is>
          <t>8861a415-c385-4e9a-80ea-77e643ef3e8d</t>
        </is>
      </c>
      <c r="B384" t="inlineStr">
        <is>
          <t>Bank transaction</t>
        </is>
      </c>
      <c r="C384" s="162" t="n">
        <v>46052</v>
      </c>
      <c r="D384" t="inlineStr">
        <is>
          <t>Centre Canvas And Upholstery</t>
        </is>
      </c>
      <c r="E384" t="inlineStr">
        <is>
          <t>Out</t>
        </is>
      </c>
      <c r="F384" t="n">
        <v>4715</v>
      </c>
      <c r="G384" t="inlineStr">
        <is>
          <t>DELETED</t>
        </is>
      </c>
      <c r="H384" t="inlineStr">
        <is>
          <t>No</t>
        </is>
      </c>
      <c r="I384" t="inlineStr">
        <is>
          <t>446</t>
        </is>
      </c>
      <c r="J384" t="inlineStr">
        <is>
          <t>Goods-tagged</t>
        </is>
      </c>
      <c r="K384">
        <f>IF(AND(G384="AUTHORISED",J384="Goods-tagged"),F384,0)</f>
        <v/>
      </c>
      <c r="L384" t="inlineStr">
        <is>
          <t>50 Canvas Street Covers.</t>
        </is>
      </c>
      <c r="M384" t="inlineStr">
        <is>
          <t>ACT-ST</t>
        </is>
      </c>
      <c r="N384" t="n">
        <v>46211</v>
      </c>
    </row>
    <row r="385" ht="36" customHeight="1">
      <c r="A385" t="inlineStr">
        <is>
          <t>52c74a94-f0d0-437b-bf8d-81e0391a7030</t>
        </is>
      </c>
      <c r="B385" t="inlineStr">
        <is>
          <t>Bank transaction</t>
        </is>
      </c>
      <c r="C385" s="162" t="n">
        <v>46053</v>
      </c>
      <c r="D385" t="inlineStr">
        <is>
          <t>Shell</t>
        </is>
      </c>
      <c r="E385" t="inlineStr">
        <is>
          <t>Out</t>
        </is>
      </c>
      <c r="F385" t="n">
        <v>106.49</v>
      </c>
      <c r="G385" t="inlineStr">
        <is>
          <t>AUTHORISED</t>
        </is>
      </c>
      <c r="H385" t="inlineStr">
        <is>
          <t>Yes</t>
        </is>
      </c>
      <c r="J385" t="inlineStr">
        <is>
          <t>Goods-tagged</t>
        </is>
      </c>
      <c r="K385">
        <f>IF(AND(G385="AUTHORISED",J385="Goods-tagged"),F385,0)</f>
        <v/>
      </c>
      <c r="M385" t="inlineStr">
        <is>
          <t>ACT-ST</t>
        </is>
      </c>
      <c r="N385" t="n">
        <v>46237</v>
      </c>
    </row>
    <row r="386" ht="36" customHeight="1">
      <c r="A386" t="inlineStr">
        <is>
          <t>725f7cbf-56ef-4983-abd7-ee5f20561d65</t>
        </is>
      </c>
      <c r="B386" t="inlineStr">
        <is>
          <t>Bank transaction</t>
        </is>
      </c>
      <c r="C386" s="162" t="n">
        <v>46053</v>
      </c>
      <c r="D386" t="inlineStr">
        <is>
          <t>Voyages Indigenous Tourism Australia Pty Ltd</t>
        </is>
      </c>
      <c r="E386" t="inlineStr">
        <is>
          <t>Out</t>
        </is>
      </c>
      <c r="F386" t="n">
        <v>99.89</v>
      </c>
      <c r="G386" t="inlineStr">
        <is>
          <t>DELETED</t>
        </is>
      </c>
      <c r="H386" t="inlineStr">
        <is>
          <t>No</t>
        </is>
      </c>
      <c r="I386" t="inlineStr">
        <is>
          <t>494</t>
        </is>
      </c>
      <c r="J386" t="inlineStr">
        <is>
          <t>Goods-tagged</t>
        </is>
      </c>
      <c r="K386">
        <f>IF(AND(G386="AUTHORISED",J386="Goods-tagged"),F386,0)</f>
        <v/>
      </c>
      <c r="L386" t="inlineStr">
        <is>
          <t>Palya Nic - Outback Lodge</t>
        </is>
      </c>
      <c r="M386" t="inlineStr">
        <is>
          <t>ACT-ST</t>
        </is>
      </c>
      <c r="N386" t="n">
        <v>46211</v>
      </c>
    </row>
    <row r="387" ht="36" customHeight="1">
      <c r="A387" t="inlineStr">
        <is>
          <t>554053f7-da4b-4122-98c1-02aab2226402</t>
        </is>
      </c>
      <c r="B387" t="inlineStr">
        <is>
          <t>Bank transaction</t>
        </is>
      </c>
      <c r="C387" s="162" t="n">
        <v>46055</v>
      </c>
      <c r="D387" t="inlineStr">
        <is>
          <t>Reddy Express</t>
        </is>
      </c>
      <c r="E387" t="inlineStr">
        <is>
          <t>Out</t>
        </is>
      </c>
      <c r="F387" t="n">
        <v>61.72</v>
      </c>
      <c r="G387" t="inlineStr">
        <is>
          <t>AUTHORISED</t>
        </is>
      </c>
      <c r="H387" t="inlineStr">
        <is>
          <t>Yes</t>
        </is>
      </c>
      <c r="I387" t="inlineStr">
        <is>
          <t>429</t>
        </is>
      </c>
      <c r="J387" t="inlineStr">
        <is>
          <t>Goods-tagged</t>
        </is>
      </c>
      <c r="K387">
        <f>IF(AND(G387="AUTHORISED",J387="Goods-tagged"),F387,0)</f>
        <v/>
      </c>
      <c r="L387" t="inlineStr">
        <is>
          <t>Reddy Express 1902 Alice Springs</t>
        </is>
      </c>
      <c r="M387" t="inlineStr">
        <is>
          <t>ACT-ST</t>
        </is>
      </c>
      <c r="N387" t="n">
        <v>46211</v>
      </c>
    </row>
    <row r="388" ht="36" customHeight="1">
      <c r="A388" t="inlineStr">
        <is>
          <t>ab4146c5-ae06-4882-bfb3-3cf2f0adf863</t>
        </is>
      </c>
      <c r="B388" t="inlineStr">
        <is>
          <t>Bank transaction</t>
        </is>
      </c>
      <c r="C388" s="162" t="n">
        <v>46055</v>
      </c>
      <c r="D388" t="inlineStr">
        <is>
          <t>Thrifty</t>
        </is>
      </c>
      <c r="E388" t="inlineStr">
        <is>
          <t>Out</t>
        </is>
      </c>
      <c r="F388" t="n">
        <v>618.46</v>
      </c>
      <c r="G388" t="inlineStr">
        <is>
          <t>DELETED</t>
        </is>
      </c>
      <c r="H388" t="inlineStr">
        <is>
          <t>No</t>
        </is>
      </c>
      <c r="I388" t="inlineStr">
        <is>
          <t>493</t>
        </is>
      </c>
      <c r="J388" t="inlineStr">
        <is>
          <t>Goods-tagged</t>
        </is>
      </c>
      <c r="K388">
        <f>IF(AND(G388="AUTHORISED",J388="Goods-tagged"),F388,0)</f>
        <v/>
      </c>
      <c r="L388" t="inlineStr">
        <is>
          <t>Car rental for Nick</t>
        </is>
      </c>
      <c r="M388" t="inlineStr">
        <is>
          <t>ACT-ST</t>
        </is>
      </c>
      <c r="N388" t="n">
        <v>46211</v>
      </c>
    </row>
    <row r="389" ht="36" customHeight="1">
      <c r="A389" t="inlineStr">
        <is>
          <t>cfd10169-48e8-4b7a-bd6b-90c9411df5b0</t>
        </is>
      </c>
      <c r="B389" t="inlineStr">
        <is>
          <t>Bank transaction</t>
        </is>
      </c>
      <c r="C389" s="162" t="n">
        <v>46055</v>
      </c>
      <c r="D389" t="inlineStr">
        <is>
          <t>Ti Tree Roadhouse</t>
        </is>
      </c>
      <c r="E389" t="inlineStr">
        <is>
          <t>Out</t>
        </is>
      </c>
      <c r="F389" t="n">
        <v>133.02</v>
      </c>
      <c r="G389" t="inlineStr">
        <is>
          <t>DELETED</t>
        </is>
      </c>
      <c r="H389" t="inlineStr">
        <is>
          <t>No</t>
        </is>
      </c>
      <c r="I389" t="inlineStr">
        <is>
          <t>449</t>
        </is>
      </c>
      <c r="J389" t="inlineStr">
        <is>
          <t>Goods-tagged</t>
        </is>
      </c>
      <c r="K389">
        <f>IF(AND(G389="AUTHORISED",J389="Goods-tagged"),F389,0)</f>
        <v/>
      </c>
      <c r="L389" t="inlineStr">
        <is>
          <t>.</t>
        </is>
      </c>
      <c r="M389" t="inlineStr">
        <is>
          <t>ACT-ST</t>
        </is>
      </c>
      <c r="N389" t="n">
        <v>46211</v>
      </c>
    </row>
    <row r="390" ht="36" customHeight="1">
      <c r="A390" t="inlineStr">
        <is>
          <t>e5664107-2fbf-49dd-a10c-581d1cf1c69e</t>
        </is>
      </c>
      <c r="B390" t="inlineStr">
        <is>
          <t>Bank transaction</t>
        </is>
      </c>
      <c r="C390" s="162" t="n">
        <v>46055</v>
      </c>
      <c r="D390" t="inlineStr">
        <is>
          <t>Thrifty</t>
        </is>
      </c>
      <c r="E390" t="inlineStr">
        <is>
          <t>Out</t>
        </is>
      </c>
      <c r="F390" t="n">
        <v>645.9400000000001</v>
      </c>
      <c r="G390" t="inlineStr">
        <is>
          <t>DELETED</t>
        </is>
      </c>
      <c r="H390" t="inlineStr">
        <is>
          <t>No</t>
        </is>
      </c>
      <c r="I390" t="inlineStr">
        <is>
          <t>493</t>
        </is>
      </c>
      <c r="J390" t="inlineStr">
        <is>
          <t>Goods-tagged</t>
        </is>
      </c>
      <c r="K390">
        <f>IF(AND(G390="AUTHORISED",J390="Goods-tagged"),F390,0)</f>
        <v/>
      </c>
      <c r="L390" t="inlineStr">
        <is>
          <t>Car rental for Suzuki Jimny</t>
        </is>
      </c>
      <c r="M390" t="inlineStr">
        <is>
          <t>ACT-ST</t>
        </is>
      </c>
      <c r="N390" t="n">
        <v>46211</v>
      </c>
    </row>
    <row r="391" ht="36" customHeight="1">
      <c r="A391" t="inlineStr">
        <is>
          <t>336b95ef-0315-4227-9d6b-88a13775f058</t>
        </is>
      </c>
      <c r="B391" t="inlineStr">
        <is>
          <t>Bank transaction</t>
        </is>
      </c>
      <c r="C391" s="162" t="n">
        <v>46056</v>
      </c>
      <c r="D391" t="inlineStr">
        <is>
          <t>Ti Tree Farm Garden</t>
        </is>
      </c>
      <c r="E391" t="inlineStr">
        <is>
          <t>Out</t>
        </is>
      </c>
      <c r="F391" t="n">
        <v>103.76</v>
      </c>
      <c r="G391" t="inlineStr">
        <is>
          <t>AUTHORISED</t>
        </is>
      </c>
      <c r="H391" t="inlineStr">
        <is>
          <t>Yes</t>
        </is>
      </c>
      <c r="J391" t="inlineStr">
        <is>
          <t>Goods-tagged</t>
        </is>
      </c>
      <c r="K391">
        <f>IF(AND(G391="AUTHORISED",J391="Goods-tagged"),F391,0)</f>
        <v/>
      </c>
      <c r="M391" t="inlineStr">
        <is>
          <t>ACT-ST</t>
        </is>
      </c>
      <c r="N391" t="n">
        <v>46237</v>
      </c>
    </row>
    <row r="392" ht="36" customHeight="1">
      <c r="A392" t="inlineStr">
        <is>
          <t>356d024f-2b0b-4848-af01-2861cf436177</t>
        </is>
      </c>
      <c r="B392" t="inlineStr">
        <is>
          <t>Bank transaction</t>
        </is>
      </c>
      <c r="C392" s="162" t="n">
        <v>46056</v>
      </c>
      <c r="D392" t="inlineStr">
        <is>
          <t>Devils Marbles Hotel</t>
        </is>
      </c>
      <c r="E392" t="inlineStr">
        <is>
          <t>Out</t>
        </is>
      </c>
      <c r="F392" t="n">
        <v>87.94</v>
      </c>
      <c r="G392" t="inlineStr">
        <is>
          <t>DELETED</t>
        </is>
      </c>
      <c r="H392" t="inlineStr">
        <is>
          <t>No</t>
        </is>
      </c>
      <c r="I392" t="inlineStr">
        <is>
          <t>420</t>
        </is>
      </c>
      <c r="J392" t="inlineStr">
        <is>
          <t>Goods-tagged</t>
        </is>
      </c>
      <c r="K392">
        <f>IF(AND(G392="AUTHORISED",J392="Goods-tagged"),F392,0)</f>
        <v/>
      </c>
      <c r="L392" t="inlineStr">
        <is>
          <t>Diesel Per 1Ltr</t>
        </is>
      </c>
      <c r="M392" t="inlineStr">
        <is>
          <t>ACT-ST</t>
        </is>
      </c>
      <c r="N392" t="n">
        <v>46211</v>
      </c>
    </row>
    <row r="393" ht="36" customHeight="1">
      <c r="A393" t="inlineStr">
        <is>
          <t>6b006a4c-4c27-46dd-b935-2a751fad95fe</t>
        </is>
      </c>
      <c r="B393" t="inlineStr">
        <is>
          <t>Bank transaction</t>
        </is>
      </c>
      <c r="C393" s="162" t="n">
        <v>46056</v>
      </c>
      <c r="D393" t="inlineStr">
        <is>
          <t>BP</t>
        </is>
      </c>
      <c r="E393" t="inlineStr">
        <is>
          <t>Out</t>
        </is>
      </c>
      <c r="F393" t="n">
        <v>148.98</v>
      </c>
      <c r="G393" t="inlineStr">
        <is>
          <t>DELETED</t>
        </is>
      </c>
      <c r="H393" t="inlineStr">
        <is>
          <t>No</t>
        </is>
      </c>
      <c r="I393" t="inlineStr">
        <is>
          <t>449</t>
        </is>
      </c>
      <c r="J393" t="inlineStr">
        <is>
          <t>Goods-tagged</t>
        </is>
      </c>
      <c r="K393">
        <f>IF(AND(G393="AUTHORISED",J393="Goods-tagged"),F393,0)</f>
        <v/>
      </c>
      <c r="L393" t="inlineStr">
        <is>
          <t>77.43L Diesel</t>
        </is>
      </c>
      <c r="M393" t="inlineStr">
        <is>
          <t>ACT-ST</t>
        </is>
      </c>
      <c r="N393" t="n">
        <v>46211</v>
      </c>
    </row>
    <row r="394" ht="36" customHeight="1">
      <c r="A394" t="inlineStr">
        <is>
          <t>f077cb32-0312-448c-9661-60eb6ac5aac0</t>
        </is>
      </c>
      <c r="B394" t="inlineStr">
        <is>
          <t>Bank transaction</t>
        </is>
      </c>
      <c r="C394" s="162" t="n">
        <v>46056</v>
      </c>
      <c r="D394" t="inlineStr">
        <is>
          <t>Northern Territory Government</t>
        </is>
      </c>
      <c r="E394" t="inlineStr">
        <is>
          <t>Out</t>
        </is>
      </c>
      <c r="F394" t="n">
        <v>1459.25</v>
      </c>
      <c r="G394" t="inlineStr">
        <is>
          <t>DELETED</t>
        </is>
      </c>
      <c r="H394" t="inlineStr">
        <is>
          <t>No</t>
        </is>
      </c>
      <c r="I394" t="inlineStr">
        <is>
          <t>450</t>
        </is>
      </c>
      <c r="J394" t="inlineStr">
        <is>
          <t>Goods-tagged</t>
        </is>
      </c>
      <c r="K394">
        <f>IF(AND(G394="AUTHORISED",J394="Goods-tagged"),F394,0)</f>
        <v/>
      </c>
      <c r="L394" t="inlineStr">
        <is>
          <t>Rego CG35SS / Rego CG35SS</t>
        </is>
      </c>
      <c r="M394" t="inlineStr">
        <is>
          <t>ACT-ST</t>
        </is>
      </c>
      <c r="N394" t="n">
        <v>46211</v>
      </c>
    </row>
    <row r="395" ht="36" customHeight="1">
      <c r="A395" t="inlineStr">
        <is>
          <t>3f48edfc-6cc3-4873-a38b-0e686c0d5a25</t>
        </is>
      </c>
      <c r="B395" t="inlineStr">
        <is>
          <t>Invoice payment</t>
        </is>
      </c>
      <c r="C395" s="162" t="n">
        <v>46056</v>
      </c>
      <c r="D395" t="inlineStr">
        <is>
          <t>Ti Tree Roadhouse</t>
        </is>
      </c>
      <c r="E395" t="inlineStr">
        <is>
          <t>Out</t>
        </is>
      </c>
      <c r="F395" t="n">
        <v>133.02</v>
      </c>
      <c r="G395" t="inlineStr">
        <is>
          <t>AUTHORISED</t>
        </is>
      </c>
      <c r="H395" t="inlineStr">
        <is>
          <t>Yes</t>
        </is>
      </c>
      <c r="J395" t="inlineStr">
        <is>
          <t>Goods-tagged</t>
        </is>
      </c>
      <c r="K395">
        <f>IF(AND(G395="AUTHORISED",J395="Goods-tagged"),F395,0)</f>
        <v/>
      </c>
      <c r="L395" t="inlineStr">
        <is>
          <t>Ti Tree Roadhouse — Travel — ACT-GD</t>
        </is>
      </c>
      <c r="M395" t="inlineStr">
        <is>
          <t>ACT-ST</t>
        </is>
      </c>
      <c r="N395" t="n">
        <v>46223</v>
      </c>
    </row>
    <row r="396" ht="120" customHeight="1">
      <c r="A396" t="inlineStr">
        <is>
          <t>acdacb17-1452-4987-9277-705dda7c1fe8</t>
        </is>
      </c>
      <c r="B396" t="inlineStr">
        <is>
          <t>Invoice payment</t>
        </is>
      </c>
      <c r="C396" s="162" t="n">
        <v>46056</v>
      </c>
      <c r="D396" t="inlineStr">
        <is>
          <t>Centrecorp Foundation</t>
        </is>
      </c>
      <c r="E396" t="inlineStr">
        <is>
          <t>In</t>
        </is>
      </c>
      <c r="F396" t="n">
        <v>85712</v>
      </c>
      <c r="G396" t="inlineStr">
        <is>
          <t>AUTHORISED</t>
        </is>
      </c>
      <c r="H396" t="inlineStr">
        <is>
          <t>Yes</t>
        </is>
      </c>
      <c r="I396" t="inlineStr">
        <is>
          <t>INV-0291</t>
        </is>
      </c>
      <c r="J396" t="inlineStr">
        <is>
          <t>Goods-tagged</t>
        </is>
      </c>
      <c r="K396">
        <f>IF(AND(G396="AUTHORISED",J396="Goods-tagged"),F396,0)</f>
        <v/>
      </c>
      <c r="L396" t="inlineStr">
        <is>
          <t>Goods Weave Bed v2.3 - Utopia Homelands / Goods Bed Bed Building Workshop
- Community Engagement and Visit 
- Work with elders and young people to identify best way to build bed with community
- Team resourcing on the ground 
- Transport of beds to location
- Accomodation</t>
        </is>
      </c>
      <c r="M396" t="inlineStr">
        <is>
          <t>ACT-ST</t>
        </is>
      </c>
      <c r="N396" t="n">
        <v>46223</v>
      </c>
    </row>
    <row r="397" ht="36" customHeight="1">
      <c r="A397" t="inlineStr">
        <is>
          <t>24a9172e-2a9f-4c25-829c-7fa2bf387bd8</t>
        </is>
      </c>
      <c r="B397" t="inlineStr">
        <is>
          <t>Bank transaction</t>
        </is>
      </c>
      <c r="C397" s="162" t="n">
        <v>46057</v>
      </c>
      <c r="D397" t="inlineStr">
        <is>
          <t>Thrifty</t>
        </is>
      </c>
      <c r="E397" t="inlineStr">
        <is>
          <t>Out</t>
        </is>
      </c>
      <c r="F397" t="n">
        <v>866.42</v>
      </c>
      <c r="G397" t="inlineStr">
        <is>
          <t>DELETED</t>
        </is>
      </c>
      <c r="H397" t="inlineStr">
        <is>
          <t>No</t>
        </is>
      </c>
      <c r="I397" t="inlineStr">
        <is>
          <t>493</t>
        </is>
      </c>
      <c r="J397" t="inlineStr">
        <is>
          <t>Goods-tagged</t>
        </is>
      </c>
      <c r="K397">
        <f>IF(AND(G397="AUTHORISED",J397="Goods-tagged"),F397,0)</f>
        <v/>
      </c>
      <c r="L397" t="inlineStr">
        <is>
          <t>Car rental for Isuzu</t>
        </is>
      </c>
      <c r="M397" t="inlineStr">
        <is>
          <t>ACT-ST</t>
        </is>
      </c>
      <c r="N397" t="n">
        <v>46211</v>
      </c>
    </row>
    <row r="398" ht="36" customHeight="1">
      <c r="A398" t="inlineStr">
        <is>
          <t>ba6ffbdd-8832-4c38-a3e2-c53f57832b54</t>
        </is>
      </c>
      <c r="B398" t="inlineStr">
        <is>
          <t>Bank transaction</t>
        </is>
      </c>
      <c r="C398" s="162" t="n">
        <v>46057</v>
      </c>
      <c r="D398" t="inlineStr">
        <is>
          <t>BP</t>
        </is>
      </c>
      <c r="E398" t="inlineStr">
        <is>
          <t>Out</t>
        </is>
      </c>
      <c r="F398" t="n">
        <v>161.9</v>
      </c>
      <c r="G398" t="inlineStr">
        <is>
          <t>DELETED</t>
        </is>
      </c>
      <c r="H398" t="inlineStr">
        <is>
          <t>No</t>
        </is>
      </c>
      <c r="I398" t="inlineStr">
        <is>
          <t>449</t>
        </is>
      </c>
      <c r="J398" t="inlineStr">
        <is>
          <t>Goods-tagged</t>
        </is>
      </c>
      <c r="K398">
        <f>IF(AND(G398="AUTHORISED",J398="Goods-tagged"),F398,0)</f>
        <v/>
      </c>
      <c r="L398" t="inlineStr">
        <is>
          <t>.</t>
        </is>
      </c>
      <c r="M398" t="inlineStr">
        <is>
          <t>ACT-ST</t>
        </is>
      </c>
      <c r="N398" t="n">
        <v>46211</v>
      </c>
    </row>
    <row r="399" ht="36" customHeight="1">
      <c r="A399" t="inlineStr">
        <is>
          <t>fc9f8037-8dfe-4329-8dd9-9b516bba3dbf</t>
        </is>
      </c>
      <c r="B399" t="inlineStr">
        <is>
          <t>Bank transaction</t>
        </is>
      </c>
      <c r="C399" s="162" t="n">
        <v>46057</v>
      </c>
      <c r="D399" t="inlineStr">
        <is>
          <t>BP</t>
        </is>
      </c>
      <c r="E399" t="inlineStr">
        <is>
          <t>Out</t>
        </is>
      </c>
      <c r="F399" t="n">
        <v>125.7</v>
      </c>
      <c r="G399" t="inlineStr">
        <is>
          <t>AUTHORISED</t>
        </is>
      </c>
      <c r="H399" t="inlineStr">
        <is>
          <t>Yes</t>
        </is>
      </c>
      <c r="J399" t="inlineStr">
        <is>
          <t>Goods-tagged</t>
        </is>
      </c>
      <c r="K399">
        <f>IF(AND(G399="AUTHORISED",J399="Goods-tagged"),F399,0)</f>
        <v/>
      </c>
      <c r="M399" t="inlineStr">
        <is>
          <t>ACT-ST</t>
        </is>
      </c>
      <c r="N399" t="n">
        <v>46237</v>
      </c>
    </row>
    <row r="400" ht="36" customHeight="1">
      <c r="A400" t="inlineStr">
        <is>
          <t>30cd6a1d-3a2b-40c7-8b33-2f2e9e2c5e65</t>
        </is>
      </c>
      <c r="B400" t="inlineStr">
        <is>
          <t>Invoice payment</t>
        </is>
      </c>
      <c r="C400" s="162" t="n">
        <v>46057</v>
      </c>
      <c r="D400" t="inlineStr">
        <is>
          <t>Defy Manufacturing</t>
        </is>
      </c>
      <c r="E400" t="inlineStr">
        <is>
          <t>Out</t>
        </is>
      </c>
      <c r="F400" t="n">
        <v>36947.46</v>
      </c>
      <c r="G400" t="inlineStr">
        <is>
          <t>AUTHORISED</t>
        </is>
      </c>
      <c r="H400" t="inlineStr">
        <is>
          <t>Yes</t>
        </is>
      </c>
      <c r="I400" t="inlineStr">
        <is>
          <t>INV-1602</t>
        </is>
      </c>
      <c r="J400" t="inlineStr">
        <is>
          <t>Goods-tagged</t>
        </is>
      </c>
      <c r="K400">
        <f>IF(AND(G400="AUTHORISED",J400="Goods-tagged"),F400,0)</f>
        <v/>
      </c>
      <c r="L400" t="inlineStr">
        <is>
          <t>16 Beds made from previously ordered 19mm recycled 
 plastic sheets. Cut and finished</t>
        </is>
      </c>
      <c r="M400" t="inlineStr">
        <is>
          <t>ACT-ST</t>
        </is>
      </c>
      <c r="N400" t="n">
        <v>46223</v>
      </c>
    </row>
    <row r="401" ht="36" customHeight="1">
      <c r="A401" t="inlineStr">
        <is>
          <t>77826e0c-9d8e-42fa-9357-4604e6c8f52e</t>
        </is>
      </c>
      <c r="B401" t="inlineStr">
        <is>
          <t>Bank transaction</t>
        </is>
      </c>
      <c r="C401" s="162" t="n">
        <v>46058</v>
      </c>
      <c r="D401" t="inlineStr">
        <is>
          <t>Taxi Receipt</t>
        </is>
      </c>
      <c r="E401" t="inlineStr">
        <is>
          <t>Out</t>
        </is>
      </c>
      <c r="F401" t="n">
        <v>51.44</v>
      </c>
      <c r="G401" t="inlineStr">
        <is>
          <t>AUTHORISED</t>
        </is>
      </c>
      <c r="H401" t="inlineStr">
        <is>
          <t>Yes</t>
        </is>
      </c>
      <c r="J401" t="inlineStr">
        <is>
          <t>Goods-tagged</t>
        </is>
      </c>
      <c r="K401">
        <f>IF(AND(G401="AUTHORISED",J401="Goods-tagged"),F401,0)</f>
        <v/>
      </c>
      <c r="M401" t="inlineStr">
        <is>
          <t>ACT-ST</t>
        </is>
      </c>
      <c r="N401" t="n">
        <v>46237</v>
      </c>
    </row>
    <row r="402" ht="36" customHeight="1">
      <c r="A402" t="inlineStr">
        <is>
          <t>a9628bbe-3a6f-4e1f-bfce-4113d34b536f</t>
        </is>
      </c>
      <c r="B402" t="inlineStr">
        <is>
          <t>Bank transaction</t>
        </is>
      </c>
      <c r="C402" s="162" t="n">
        <v>46058</v>
      </c>
      <c r="D402" t="inlineStr">
        <is>
          <t>Oonchiumpa Consultancy and Services</t>
        </is>
      </c>
      <c r="E402" t="inlineStr">
        <is>
          <t>Out</t>
        </is>
      </c>
      <c r="F402" t="n">
        <v>1459.28</v>
      </c>
      <c r="G402" t="inlineStr">
        <is>
          <t>AUTHORISED</t>
        </is>
      </c>
      <c r="H402" t="inlineStr">
        <is>
          <t>Yes</t>
        </is>
      </c>
      <c r="I402" t="inlineStr">
        <is>
          <t>486</t>
        </is>
      </c>
      <c r="J402" t="inlineStr">
        <is>
          <t>Goods-tagged</t>
        </is>
      </c>
      <c r="K402">
        <f>IF(AND(G402="AUTHORISED",J402="Goods-tagged"),F402,0)</f>
        <v/>
      </c>
      <c r="L402" t="inlineStr">
        <is>
          <t>OONCHIUMPA X5760309492 Rego thanks</t>
        </is>
      </c>
      <c r="M402" t="inlineStr">
        <is>
          <t>ACT-ST</t>
        </is>
      </c>
      <c r="N402" t="n">
        <v>46211</v>
      </c>
    </row>
    <row r="403" ht="36" customHeight="1">
      <c r="A403" t="inlineStr">
        <is>
          <t>52c8838a-ea82-4a0d-a5ca-3c01e2d079e8</t>
        </is>
      </c>
      <c r="B403" t="inlineStr">
        <is>
          <t>Bank transaction</t>
        </is>
      </c>
      <c r="C403" s="162" t="n">
        <v>46059</v>
      </c>
      <c r="D403" t="inlineStr">
        <is>
          <t>BP</t>
        </is>
      </c>
      <c r="E403" t="inlineStr">
        <is>
          <t>Out</t>
        </is>
      </c>
      <c r="F403" t="n">
        <v>161.9</v>
      </c>
      <c r="G403" t="inlineStr">
        <is>
          <t>AUTHORISED</t>
        </is>
      </c>
      <c r="H403" t="inlineStr">
        <is>
          <t>Yes</t>
        </is>
      </c>
      <c r="J403" t="inlineStr">
        <is>
          <t>Goods-tagged</t>
        </is>
      </c>
      <c r="K403">
        <f>IF(AND(G403="AUTHORISED",J403="Goods-tagged"),F403,0)</f>
        <v/>
      </c>
      <c r="M403" t="inlineStr">
        <is>
          <t>ACT-ST</t>
        </is>
      </c>
      <c r="N403" t="n">
        <v>46237</v>
      </c>
    </row>
    <row r="404" ht="36" customHeight="1">
      <c r="A404" t="inlineStr">
        <is>
          <t>6782011b-3488-42f8-85f7-4fdb252b9c26</t>
        </is>
      </c>
      <c r="B404" t="inlineStr">
        <is>
          <t>Bank transaction</t>
        </is>
      </c>
      <c r="C404" s="162" t="n">
        <v>46059</v>
      </c>
      <c r="D404" t="inlineStr">
        <is>
          <t>Esmay</t>
        </is>
      </c>
      <c r="E404" t="inlineStr">
        <is>
          <t>Out</t>
        </is>
      </c>
      <c r="F404" t="n">
        <v>306</v>
      </c>
      <c r="G404" t="inlineStr">
        <is>
          <t>DELETED</t>
        </is>
      </c>
      <c r="H404" t="inlineStr">
        <is>
          <t>No</t>
        </is>
      </c>
      <c r="I404" t="inlineStr">
        <is>
          <t>420</t>
        </is>
      </c>
      <c r="J404" t="inlineStr">
        <is>
          <t>Goods-tagged</t>
        </is>
      </c>
      <c r="K404">
        <f>IF(AND(G404="AUTHORISED",J404="Goods-tagged"),F404,0)</f>
        <v/>
      </c>
      <c r="L404" t="inlineStr">
        <is>
          <t>Staff amenities</t>
        </is>
      </c>
      <c r="M404" t="inlineStr">
        <is>
          <t>ACT-ST</t>
        </is>
      </c>
      <c r="N404" t="n">
        <v>46211</v>
      </c>
    </row>
    <row r="405" ht="36" customHeight="1">
      <c r="A405" t="inlineStr">
        <is>
          <t>19fc1a0a-68cd-4019-8c9a-696eac4c078b</t>
        </is>
      </c>
      <c r="B405" t="inlineStr">
        <is>
          <t>Invoice payment</t>
        </is>
      </c>
      <c r="C405" s="162" t="n">
        <v>46059</v>
      </c>
      <c r="D405" t="inlineStr">
        <is>
          <t>IGA</t>
        </is>
      </c>
      <c r="E405" t="inlineStr">
        <is>
          <t>Out</t>
        </is>
      </c>
      <c r="F405" t="n">
        <v>248.06</v>
      </c>
      <c r="G405" t="inlineStr">
        <is>
          <t>AUTHORISED</t>
        </is>
      </c>
      <c r="H405" t="inlineStr">
        <is>
          <t>Yes</t>
        </is>
      </c>
      <c r="I405" t="inlineStr">
        <is>
          <t>410792</t>
        </is>
      </c>
      <c r="J405" t="inlineStr">
        <is>
          <t>Goods-tagged</t>
        </is>
      </c>
      <c r="K405">
        <f>IF(AND(G405="AUTHORISED",J405="Goods-tagged"),F405,0)</f>
        <v/>
      </c>
      <c r="L405" t="inlineStr">
        <is>
          <t>Groceries for the office / Groceries for the office</t>
        </is>
      </c>
      <c r="M405" t="inlineStr">
        <is>
          <t>ACT-ST</t>
        </is>
      </c>
      <c r="N405" t="n">
        <v>46223</v>
      </c>
    </row>
    <row r="406" ht="36" customHeight="1">
      <c r="A406" t="inlineStr">
        <is>
          <t>4c42dd65-8fb8-4424-8f56-11cc81aae8fd</t>
        </is>
      </c>
      <c r="B406" t="inlineStr">
        <is>
          <t>Invoice payment</t>
        </is>
      </c>
      <c r="C406" s="162" t="n">
        <v>46059</v>
      </c>
      <c r="D406" t="inlineStr">
        <is>
          <t>IGA</t>
        </is>
      </c>
      <c r="E406" t="inlineStr">
        <is>
          <t>Out</t>
        </is>
      </c>
      <c r="F406" t="n">
        <v>62.97</v>
      </c>
      <c r="G406" t="inlineStr">
        <is>
          <t>AUTHORISED</t>
        </is>
      </c>
      <c r="H406" t="inlineStr">
        <is>
          <t>Yes</t>
        </is>
      </c>
      <c r="I406" t="inlineStr">
        <is>
          <t>411643</t>
        </is>
      </c>
      <c r="J406" t="inlineStr">
        <is>
          <t>Goods-tagged</t>
        </is>
      </c>
      <c r="K406">
        <f>IF(AND(G406="AUTHORISED",J406="Goods-tagged"),F406,0)</f>
        <v/>
      </c>
      <c r="L406" t="inlineStr">
        <is>
          <t>. / .</t>
        </is>
      </c>
      <c r="M406" t="inlineStr">
        <is>
          <t>ACT-ST</t>
        </is>
      </c>
      <c r="N406" t="n">
        <v>46223</v>
      </c>
    </row>
    <row r="407" ht="36" customHeight="1">
      <c r="A407" t="inlineStr">
        <is>
          <t>9ce0ba58-0736-4417-b35f-20765fa567e5</t>
        </is>
      </c>
      <c r="B407" t="inlineStr">
        <is>
          <t>Invoice payment</t>
        </is>
      </c>
      <c r="C407" s="162" t="n">
        <v>46059</v>
      </c>
      <c r="D407" t="inlineStr">
        <is>
          <t>Page 27</t>
        </is>
      </c>
      <c r="E407" t="inlineStr">
        <is>
          <t>Out</t>
        </is>
      </c>
      <c r="F407" t="n">
        <v>11.06</v>
      </c>
      <c r="G407" t="inlineStr">
        <is>
          <t>AUTHORISED</t>
        </is>
      </c>
      <c r="H407" t="inlineStr">
        <is>
          <t>Yes</t>
        </is>
      </c>
      <c r="I407" t="inlineStr">
        <is>
          <t>720104</t>
        </is>
      </c>
      <c r="J407" t="inlineStr">
        <is>
          <t>Goods-tagged</t>
        </is>
      </c>
      <c r="K407">
        <f>IF(AND(G407="AUTHORISED",J407="Goods-tagged"),F407,0)</f>
        <v/>
      </c>
      <c r="L407" t="inlineStr">
        <is>
          <t>Staff amenities</t>
        </is>
      </c>
      <c r="M407" t="inlineStr">
        <is>
          <t>ACT-ST</t>
        </is>
      </c>
      <c r="N407" t="n">
        <v>46223</v>
      </c>
    </row>
    <row r="408" ht="36" customHeight="1">
      <c r="A408" t="inlineStr">
        <is>
          <t>a9a9cae9-4714-4332-b7f9-a506108419b9</t>
        </is>
      </c>
      <c r="B408" t="inlineStr">
        <is>
          <t>Invoice payment</t>
        </is>
      </c>
      <c r="C408" s="162" t="n">
        <v>46059</v>
      </c>
      <c r="D408" t="inlineStr">
        <is>
          <t>Page 27</t>
        </is>
      </c>
      <c r="E408" t="inlineStr">
        <is>
          <t>Out</t>
        </is>
      </c>
      <c r="F408" t="n">
        <v>69.93000000000001</v>
      </c>
      <c r="G408" t="inlineStr">
        <is>
          <t>AUTHORISED</t>
        </is>
      </c>
      <c r="H408" t="inlineStr">
        <is>
          <t>Yes</t>
        </is>
      </c>
      <c r="I408" t="inlineStr">
        <is>
          <t>720103</t>
        </is>
      </c>
      <c r="J408" t="inlineStr">
        <is>
          <t>Goods-tagged</t>
        </is>
      </c>
      <c r="K408">
        <f>IF(AND(G408="AUTHORISED",J408="Goods-tagged"),F408,0)</f>
        <v/>
      </c>
      <c r="L408" t="inlineStr">
        <is>
          <t>Staff amenities</t>
        </is>
      </c>
      <c r="M408" t="inlineStr">
        <is>
          <t>ACT-ST</t>
        </is>
      </c>
      <c r="N408" t="n">
        <v>46223</v>
      </c>
    </row>
    <row r="409" ht="36" customHeight="1">
      <c r="A409" t="inlineStr">
        <is>
          <t>f0e66c57-3347-491d-8800-329f5f900fd5</t>
        </is>
      </c>
      <c r="B409" t="inlineStr">
        <is>
          <t>Bank transaction</t>
        </is>
      </c>
      <c r="C409" s="162" t="n">
        <v>46060</v>
      </c>
      <c r="D409" t="inlineStr">
        <is>
          <t>F V Snowdon And J R Rowden</t>
        </is>
      </c>
      <c r="E409" t="inlineStr">
        <is>
          <t>Out</t>
        </is>
      </c>
      <c r="F409" t="n">
        <v>39.8</v>
      </c>
      <c r="G409" t="inlineStr">
        <is>
          <t>DELETED</t>
        </is>
      </c>
      <c r="H409" t="inlineStr">
        <is>
          <t>No</t>
        </is>
      </c>
      <c r="I409" t="inlineStr">
        <is>
          <t>421</t>
        </is>
      </c>
      <c r="J409" t="inlineStr">
        <is>
          <t>Goods-tagged</t>
        </is>
      </c>
      <c r="K409">
        <f>IF(AND(G409="AUTHORISED",J409="Goods-tagged"),F409,0)</f>
        <v/>
      </c>
      <c r="L409" t="inlineStr">
        <is>
          <t>Coffee and granola</t>
        </is>
      </c>
      <c r="M409" t="inlineStr">
        <is>
          <t>ACT-ST</t>
        </is>
      </c>
      <c r="N409" t="n">
        <v>46211</v>
      </c>
    </row>
    <row r="410" ht="36" customHeight="1">
      <c r="A410" t="inlineStr">
        <is>
          <t>1d2877a8-aeca-4d24-9ca7-45572d8ff3e5</t>
        </is>
      </c>
      <c r="B410" t="inlineStr">
        <is>
          <t>Invoice payment</t>
        </is>
      </c>
      <c r="C410" s="162" t="n">
        <v>46060</v>
      </c>
      <c r="D410" t="inlineStr">
        <is>
          <t>Square AU</t>
        </is>
      </c>
      <c r="E410" t="inlineStr">
        <is>
          <t>Out</t>
        </is>
      </c>
      <c r="F410" t="n">
        <v>39.8</v>
      </c>
      <c r="G410" t="inlineStr">
        <is>
          <t>DELETED</t>
        </is>
      </c>
      <c r="H410" t="inlineStr">
        <is>
          <t>No</t>
        </is>
      </c>
      <c r="I410" t="inlineStr">
        <is>
          <t>RB19543401990</t>
        </is>
      </c>
      <c r="J410" t="inlineStr">
        <is>
          <t>Goods-tagged</t>
        </is>
      </c>
      <c r="K410">
        <f>IF(AND(G410="AUTHORISED",J410="Goods-tagged"),F410,0)</f>
        <v/>
      </c>
      <c r="L410" t="inlineStr">
        <is>
          <t>.</t>
        </is>
      </c>
      <c r="M410" t="inlineStr">
        <is>
          <t>ACT-ST</t>
        </is>
      </c>
      <c r="N410" t="n">
        <v>46223</v>
      </c>
    </row>
    <row r="411" ht="36" customHeight="1">
      <c r="A411" t="inlineStr">
        <is>
          <t>e1baec96-794f-452f-99a2-ad7a8b7bcc4c</t>
        </is>
      </c>
      <c r="B411" t="inlineStr">
        <is>
          <t>Invoice payment</t>
        </is>
      </c>
      <c r="C411" s="162" t="n">
        <v>46060</v>
      </c>
      <c r="D411" t="inlineStr">
        <is>
          <t>BP</t>
        </is>
      </c>
      <c r="E411" t="inlineStr">
        <is>
          <t>Out</t>
        </is>
      </c>
      <c r="F411" t="n">
        <v>153.72</v>
      </c>
      <c r="G411" t="inlineStr">
        <is>
          <t>AUTHORISED</t>
        </is>
      </c>
      <c r="H411" t="inlineStr">
        <is>
          <t>Yes</t>
        </is>
      </c>
      <c r="I411" t="inlineStr">
        <is>
          <t>484385</t>
        </is>
      </c>
      <c r="J411" t="inlineStr">
        <is>
          <t>Goods-tagged</t>
        </is>
      </c>
      <c r="K411">
        <f>IF(AND(G411="AUTHORISED",J411="Goods-tagged"),F411,0)</f>
        <v/>
      </c>
      <c r="L411" t="inlineStr">
        <is>
          <t>ULT. DIESEL / WNT PD USBC TO USBC</t>
        </is>
      </c>
      <c r="M411" t="inlineStr">
        <is>
          <t>ACT-ST</t>
        </is>
      </c>
      <c r="N411" t="n">
        <v>46223</v>
      </c>
    </row>
    <row r="412" ht="36" customHeight="1">
      <c r="A412" t="inlineStr">
        <is>
          <t>fb50a08e-5dfe-455b-85b5-e73e5917e8e0</t>
        </is>
      </c>
      <c r="B412" t="inlineStr">
        <is>
          <t>Invoice payment</t>
        </is>
      </c>
      <c r="C412" s="162" t="n">
        <v>46062</v>
      </c>
      <c r="D412" t="inlineStr">
        <is>
          <t>Takayna Trail 2026</t>
        </is>
      </c>
      <c r="E412" t="inlineStr">
        <is>
          <t>Out</t>
        </is>
      </c>
      <c r="F412" t="n">
        <v>600</v>
      </c>
      <c r="G412" t="inlineStr">
        <is>
          <t>AUTHORISED</t>
        </is>
      </c>
      <c r="H412" t="inlineStr">
        <is>
          <t>Yes</t>
        </is>
      </c>
      <c r="I412" t="inlineStr">
        <is>
          <t>26297125</t>
        </is>
      </c>
      <c r="J412" t="inlineStr">
        <is>
          <t>Goods-tagged</t>
        </is>
      </c>
      <c r="K412">
        <f>IF(AND(G412="AUTHORISED",J412="Goods-tagged"),F412,0)</f>
        <v/>
      </c>
      <c r="L412" t="inlineStr">
        <is>
          <t>Takayna Trail 2026</t>
        </is>
      </c>
      <c r="M412" t="inlineStr">
        <is>
          <t>ACT-ST</t>
        </is>
      </c>
      <c r="N412" t="n">
        <v>46223</v>
      </c>
    </row>
    <row r="413" ht="36" customHeight="1">
      <c r="A413" t="inlineStr">
        <is>
          <t>48270a70-f94b-42d4-a5df-eddbb3c1b5a0</t>
        </is>
      </c>
      <c r="B413" t="inlineStr">
        <is>
          <t>Invoice payment</t>
        </is>
      </c>
      <c r="C413" s="162" t="n">
        <v>46069</v>
      </c>
      <c r="D413" t="inlineStr">
        <is>
          <t>Our Community Shed Incorporated</t>
        </is>
      </c>
      <c r="E413" t="inlineStr">
        <is>
          <t>In</t>
        </is>
      </c>
      <c r="F413" t="n">
        <v>6765</v>
      </c>
      <c r="G413" t="inlineStr">
        <is>
          <t>AUTHORISED</t>
        </is>
      </c>
      <c r="H413" t="inlineStr">
        <is>
          <t>Yes</t>
        </is>
      </c>
      <c r="I413" t="inlineStr">
        <is>
          <t>INV-0308</t>
        </is>
      </c>
      <c r="J413" t="inlineStr">
        <is>
          <t>Goods-tagged</t>
        </is>
      </c>
      <c r="K413">
        <f>IF(AND(G413="AUTHORISED",J413="Goods-tagged"),F413,0)</f>
        <v/>
      </c>
      <c r="L413" t="inlineStr">
        <is>
          <t>Goods Indestructible Washing Machine v1 / Transport and Install our community shed</t>
        </is>
      </c>
      <c r="M413" t="inlineStr">
        <is>
          <t>ACT-ST</t>
        </is>
      </c>
      <c r="N413" t="n">
        <v>46223</v>
      </c>
    </row>
    <row r="414" ht="36" customHeight="1">
      <c r="A414" t="inlineStr">
        <is>
          <t>b9f72aba-97e7-493b-a39f-1b9caf6eadd2</t>
        </is>
      </c>
      <c r="B414" t="inlineStr">
        <is>
          <t>Bank transaction</t>
        </is>
      </c>
      <c r="C414" s="162" t="n">
        <v>46071</v>
      </c>
      <c r="D414" t="inlineStr">
        <is>
          <t>Takayna Trail 2026</t>
        </is>
      </c>
      <c r="E414" t="inlineStr">
        <is>
          <t>In</t>
        </is>
      </c>
      <c r="F414" t="n">
        <v>600</v>
      </c>
      <c r="G414" t="inlineStr">
        <is>
          <t>AUTHORISED</t>
        </is>
      </c>
      <c r="H414" t="inlineStr">
        <is>
          <t>Yes</t>
        </is>
      </c>
      <c r="I414" t="inlineStr">
        <is>
          <t>493</t>
        </is>
      </c>
      <c r="J414" t="inlineStr">
        <is>
          <t>Goods-tagged</t>
        </is>
      </c>
      <c r="K414">
        <f>IF(AND(G414="AUTHORISED",J414="Goods-tagged"),F414,0)</f>
        <v/>
      </c>
      <c r="M414" t="inlineStr">
        <is>
          <t>ACT-ST</t>
        </is>
      </c>
      <c r="N414" t="n">
        <v>46211</v>
      </c>
    </row>
    <row r="415" ht="36" customHeight="1">
      <c r="A415" t="inlineStr">
        <is>
          <t>686d0f08-0e9c-4308-ab4e-264cd7ac1c05</t>
        </is>
      </c>
      <c r="B415" t="inlineStr">
        <is>
          <t>Invoice payment</t>
        </is>
      </c>
      <c r="C415" s="162" t="n">
        <v>46072</v>
      </c>
      <c r="D415" t="inlineStr">
        <is>
          <t>Liberty Maleny</t>
        </is>
      </c>
      <c r="E415" t="inlineStr">
        <is>
          <t>Out</t>
        </is>
      </c>
      <c r="F415" t="n">
        <v>139.5</v>
      </c>
      <c r="G415" t="inlineStr">
        <is>
          <t>AUTHORISED</t>
        </is>
      </c>
      <c r="H415" t="inlineStr">
        <is>
          <t>Yes</t>
        </is>
      </c>
      <c r="I415" t="inlineStr">
        <is>
          <t>758155-6</t>
        </is>
      </c>
      <c r="J415" t="inlineStr">
        <is>
          <t>Goods-tagged</t>
        </is>
      </c>
      <c r="K415">
        <f>IF(AND(G415="AUTHORISED",J415="Goods-tagged"),F415,0)</f>
        <v/>
      </c>
      <c r="L415" t="inlineStr">
        <is>
          <t>Fuel - Diesel</t>
        </is>
      </c>
      <c r="M415" t="inlineStr">
        <is>
          <t>ACT-ST</t>
        </is>
      </c>
      <c r="N415" t="n">
        <v>46223</v>
      </c>
    </row>
    <row r="416" ht="36" customHeight="1">
      <c r="A416" t="inlineStr">
        <is>
          <t>b6c2ef17-c2c8-43f4-9936-47eb5553baac</t>
        </is>
      </c>
      <c r="B416" t="inlineStr">
        <is>
          <t>Bank transaction</t>
        </is>
      </c>
      <c r="C416" s="162" t="n">
        <v>46083</v>
      </c>
      <c r="D416" t="inlineStr">
        <is>
          <t>Oonchiumpa Consultancy and Services</t>
        </is>
      </c>
      <c r="E416" t="inlineStr">
        <is>
          <t>Out</t>
        </is>
      </c>
      <c r="F416" t="n">
        <v>435.85</v>
      </c>
      <c r="G416" t="inlineStr">
        <is>
          <t>AUTHORISED</t>
        </is>
      </c>
      <c r="H416" t="inlineStr">
        <is>
          <t>Yes</t>
        </is>
      </c>
      <c r="I416" t="inlineStr">
        <is>
          <t>486</t>
        </is>
      </c>
      <c r="J416" t="inlineStr">
        <is>
          <t>Goods-tagged</t>
        </is>
      </c>
      <c r="K416">
        <f>IF(AND(G416="AUTHORISED",J416="Goods-tagged"),F416,0)</f>
        <v/>
      </c>
      <c r="L416" t="inlineStr">
        <is>
          <t>OONCHIUMPA L4737126416 Thanks</t>
        </is>
      </c>
      <c r="M416" t="inlineStr">
        <is>
          <t>ACT-ST</t>
        </is>
      </c>
      <c r="N416" t="n">
        <v>46211</v>
      </c>
    </row>
    <row r="417" ht="36" customHeight="1">
      <c r="A417" t="inlineStr">
        <is>
          <t>17732d8a-2763-49aa-befb-6168da4c7a93</t>
        </is>
      </c>
      <c r="B417" t="inlineStr">
        <is>
          <t>Bank transaction</t>
        </is>
      </c>
      <c r="C417" s="162" t="n">
        <v>46092</v>
      </c>
      <c r="D417" t="inlineStr">
        <is>
          <t>Avis</t>
        </is>
      </c>
      <c r="E417" t="inlineStr">
        <is>
          <t>Out</t>
        </is>
      </c>
      <c r="F417" t="n">
        <v>483.6</v>
      </c>
      <c r="G417" t="inlineStr">
        <is>
          <t>DELETED</t>
        </is>
      </c>
      <c r="H417" t="inlineStr">
        <is>
          <t>No</t>
        </is>
      </c>
      <c r="I417" t="inlineStr">
        <is>
          <t>452</t>
        </is>
      </c>
      <c r="J417" t="inlineStr">
        <is>
          <t>Goods-tagged</t>
        </is>
      </c>
      <c r="K417">
        <f>IF(AND(G417="AUTHORISED",J417="Goods-tagged"),F417,0)</f>
        <v/>
      </c>
      <c r="L417" t="inlineStr">
        <is>
          <t>Car rental for staff / Car rental for staff</t>
        </is>
      </c>
      <c r="M417" t="inlineStr">
        <is>
          <t>ACT-ST</t>
        </is>
      </c>
      <c r="N417" t="n">
        <v>46211</v>
      </c>
    </row>
    <row r="418" ht="36" customHeight="1">
      <c r="A418" t="inlineStr">
        <is>
          <t>4563505c-aae8-4f2d-b319-f91ca9903a31</t>
        </is>
      </c>
      <c r="B418" t="inlineStr">
        <is>
          <t>Bank transaction</t>
        </is>
      </c>
      <c r="C418" s="162" t="n">
        <v>46092</v>
      </c>
      <c r="D418" t="inlineStr">
        <is>
          <t>Budget Car and Truck Rental (NT)</t>
        </is>
      </c>
      <c r="E418" t="inlineStr">
        <is>
          <t>Out</t>
        </is>
      </c>
      <c r="F418" t="n">
        <v>743.99</v>
      </c>
      <c r="G418" t="inlineStr">
        <is>
          <t>DELETED</t>
        </is>
      </c>
      <c r="H418" t="inlineStr">
        <is>
          <t>No</t>
        </is>
      </c>
      <c r="I418" t="inlineStr">
        <is>
          <t>493</t>
        </is>
      </c>
      <c r="J418" t="inlineStr">
        <is>
          <t>Goods-tagged</t>
        </is>
      </c>
      <c r="K418">
        <f>IF(AND(G418="AUTHORISED",J418="Goods-tagged"),F418,0)</f>
        <v/>
      </c>
      <c r="L418" t="inlineStr">
        <is>
          <t>Car hire for the office</t>
        </is>
      </c>
      <c r="M418" t="inlineStr">
        <is>
          <t>ACT-ST</t>
        </is>
      </c>
      <c r="N418" t="n">
        <v>46211</v>
      </c>
    </row>
    <row r="419" ht="36" customHeight="1">
      <c r="A419" t="inlineStr">
        <is>
          <t>7a89a6cf-d001-4b3b-9dba-73d2e4bedae1</t>
        </is>
      </c>
      <c r="B419" t="inlineStr">
        <is>
          <t>Bank transaction</t>
        </is>
      </c>
      <c r="C419" s="162" t="n">
        <v>46092</v>
      </c>
      <c r="D419" t="inlineStr">
        <is>
          <t>Avis</t>
        </is>
      </c>
      <c r="E419" t="inlineStr">
        <is>
          <t>Out</t>
        </is>
      </c>
      <c r="F419" t="n">
        <v>1247.62</v>
      </c>
      <c r="G419" t="inlineStr">
        <is>
          <t>DELETED</t>
        </is>
      </c>
      <c r="H419" t="inlineStr">
        <is>
          <t>No</t>
        </is>
      </c>
      <c r="I419" t="inlineStr">
        <is>
          <t>452</t>
        </is>
      </c>
      <c r="J419" t="inlineStr">
        <is>
          <t>Goods-tagged</t>
        </is>
      </c>
      <c r="K419">
        <f>IF(AND(G419="AUTHORISED",J419="Goods-tagged"),F419,0)</f>
        <v/>
      </c>
      <c r="L419" t="inlineStr">
        <is>
          <t>Avis Rental Agreement 107805106 / Avis Rental Agreement 107805106</t>
        </is>
      </c>
      <c r="M419" t="inlineStr">
        <is>
          <t>ACT-ST</t>
        </is>
      </c>
      <c r="N419" t="n">
        <v>46211</v>
      </c>
    </row>
    <row r="420" ht="36" customHeight="1">
      <c r="A420" t="inlineStr">
        <is>
          <t>88a49470-c2ef-446b-a76b-b0c439628160</t>
        </is>
      </c>
      <c r="B420" t="inlineStr">
        <is>
          <t>Bank transaction</t>
        </is>
      </c>
      <c r="C420" s="162" t="n">
        <v>46092</v>
      </c>
      <c r="D420" t="inlineStr">
        <is>
          <t>Avis</t>
        </is>
      </c>
      <c r="E420" t="inlineStr">
        <is>
          <t>Out</t>
        </is>
      </c>
      <c r="F420" t="n">
        <v>672.08</v>
      </c>
      <c r="G420" t="inlineStr">
        <is>
          <t>DELETED</t>
        </is>
      </c>
      <c r="H420" t="inlineStr">
        <is>
          <t>No</t>
        </is>
      </c>
      <c r="I420" t="inlineStr">
        <is>
          <t>452</t>
        </is>
      </c>
      <c r="J420" t="inlineStr">
        <is>
          <t>Goods-tagged</t>
        </is>
      </c>
      <c r="K420">
        <f>IF(AND(G420="AUTHORISED",J420="Goods-tagged"),F420,0)</f>
        <v/>
      </c>
      <c r="L420" t="inlineStr">
        <is>
          <t>Avis Rental Agreement 108520860 / Avis Rental Agreement 108520860</t>
        </is>
      </c>
      <c r="M420" t="inlineStr">
        <is>
          <t>ACT-ST</t>
        </is>
      </c>
      <c r="N420" t="n">
        <v>46211</v>
      </c>
    </row>
    <row r="421" ht="36" customHeight="1">
      <c r="A421" t="inlineStr">
        <is>
          <t>9d2934e4-3533-438e-a1b3-a5dc8e7eb978</t>
        </is>
      </c>
      <c r="B421" t="inlineStr">
        <is>
          <t>Bank transaction</t>
        </is>
      </c>
      <c r="C421" s="162" t="n">
        <v>46092</v>
      </c>
      <c r="D421" t="inlineStr">
        <is>
          <t>Avis</t>
        </is>
      </c>
      <c r="E421" t="inlineStr">
        <is>
          <t>Out</t>
        </is>
      </c>
      <c r="F421" t="n">
        <v>312.11</v>
      </c>
      <c r="G421" t="inlineStr">
        <is>
          <t>DELETED</t>
        </is>
      </c>
      <c r="H421" t="inlineStr">
        <is>
          <t>No</t>
        </is>
      </c>
      <c r="I421" t="inlineStr">
        <is>
          <t>452</t>
        </is>
      </c>
      <c r="J421" t="inlineStr">
        <is>
          <t>Goods-tagged</t>
        </is>
      </c>
      <c r="K421">
        <f>IF(AND(G421="AUTHORISED",J421="Goods-tagged"),F421,0)</f>
        <v/>
      </c>
      <c r="L421" t="inlineStr">
        <is>
          <t>Avis Rental Agreement 107207096 / Avis Rental Agreement 107207096</t>
        </is>
      </c>
      <c r="M421" t="inlineStr">
        <is>
          <t>ACT-ST</t>
        </is>
      </c>
      <c r="N421" t="n">
        <v>46211</v>
      </c>
    </row>
    <row r="422" ht="36" customHeight="1">
      <c r="A422" t="inlineStr">
        <is>
          <t>d64ae6e9-2d94-4e4e-a969-ef4db828c71c</t>
        </is>
      </c>
      <c r="B422" t="inlineStr">
        <is>
          <t>Bank transaction</t>
        </is>
      </c>
      <c r="C422" s="162" t="n">
        <v>46092</v>
      </c>
      <c r="D422" t="inlineStr">
        <is>
          <t>Uber</t>
        </is>
      </c>
      <c r="E422" t="inlineStr">
        <is>
          <t>Out</t>
        </is>
      </c>
      <c r="F422" t="n">
        <v>42.96</v>
      </c>
      <c r="G422" t="inlineStr">
        <is>
          <t>DELETED</t>
        </is>
      </c>
      <c r="H422" t="inlineStr">
        <is>
          <t>No</t>
        </is>
      </c>
      <c r="I422" t="inlineStr">
        <is>
          <t>452</t>
        </is>
      </c>
      <c r="J422" t="inlineStr">
        <is>
          <t>Goods-tagged</t>
        </is>
      </c>
      <c r="K422">
        <f>IF(AND(G422="AUTHORISED",J422="Goods-tagged"),F422,0)</f>
        <v/>
      </c>
      <c r="L422" t="inlineStr">
        <is>
          <t>Uber</t>
        </is>
      </c>
      <c r="M422" t="inlineStr">
        <is>
          <t>ACT-ST</t>
        </is>
      </c>
      <c r="N422" t="n">
        <v>46211</v>
      </c>
    </row>
    <row r="423" ht="36" customHeight="1">
      <c r="A423" t="inlineStr">
        <is>
          <t>db83dde9-2370-4f39-a1ec-bb2fd97bf988</t>
        </is>
      </c>
      <c r="B423" t="inlineStr">
        <is>
          <t>Bank transaction</t>
        </is>
      </c>
      <c r="C423" s="162" t="n">
        <v>46092</v>
      </c>
      <c r="D423" t="inlineStr">
        <is>
          <t>Salin Appliance Spares</t>
        </is>
      </c>
      <c r="E423" t="inlineStr">
        <is>
          <t>Out</t>
        </is>
      </c>
      <c r="F423" t="n">
        <v>228.9</v>
      </c>
      <c r="G423" t="inlineStr">
        <is>
          <t>DELETED</t>
        </is>
      </c>
      <c r="H423" t="inlineStr">
        <is>
          <t>No</t>
        </is>
      </c>
      <c r="I423" t="inlineStr">
        <is>
          <t>446</t>
        </is>
      </c>
      <c r="J423" t="inlineStr">
        <is>
          <t>Goods-tagged</t>
        </is>
      </c>
      <c r="K423">
        <f>IF(AND(G423="AUTHORISED",J423="Goods-tagged"),F423,0)</f>
        <v/>
      </c>
      <c r="L423" t="inlineStr">
        <is>
          <t>Speedqueen Machine Elec Drain Pump Pump</t>
        </is>
      </c>
      <c r="M423" t="inlineStr">
        <is>
          <t>ACT-ST</t>
        </is>
      </c>
      <c r="N423" t="n">
        <v>46211</v>
      </c>
    </row>
    <row r="424" ht="36" customHeight="1">
      <c r="A424" t="inlineStr">
        <is>
          <t>33100246-0512-47f0-b5af-7fc8d8935392</t>
        </is>
      </c>
      <c r="B424" t="inlineStr">
        <is>
          <t>Invoice payment</t>
        </is>
      </c>
      <c r="C424" s="162" t="n">
        <v>46093</v>
      </c>
      <c r="D424" t="inlineStr">
        <is>
          <t>Joseph Kirmos</t>
        </is>
      </c>
      <c r="E424" t="inlineStr">
        <is>
          <t>Out</t>
        </is>
      </c>
      <c r="F424" t="n">
        <v>4500</v>
      </c>
      <c r="G424" t="inlineStr">
        <is>
          <t>AUTHORISED</t>
        </is>
      </c>
      <c r="H424" t="inlineStr">
        <is>
          <t>Yes</t>
        </is>
      </c>
      <c r="I424" t="inlineStr">
        <is>
          <t>INV-005</t>
        </is>
      </c>
      <c r="J424" t="inlineStr">
        <is>
          <t>Goods-tagged</t>
        </is>
      </c>
      <c r="K424">
        <f>IF(AND(G424="AUTHORISED",J424="Goods-tagged"),F424,0)</f>
        <v/>
      </c>
      <c r="L424" t="inlineStr">
        <is>
          <t>Provision of Labour</t>
        </is>
      </c>
      <c r="M424" t="inlineStr">
        <is>
          <t>ACT-ST</t>
        </is>
      </c>
      <c r="N424" t="n">
        <v>46223</v>
      </c>
    </row>
    <row r="425" ht="36" customHeight="1">
      <c r="A425" t="inlineStr">
        <is>
          <t>606a40d5-d3c8-4299-b165-afe9fe8d49a5</t>
        </is>
      </c>
      <c r="B425" t="inlineStr">
        <is>
          <t>Invoice payment</t>
        </is>
      </c>
      <c r="C425" s="162" t="n">
        <v>46093</v>
      </c>
      <c r="D425" t="inlineStr">
        <is>
          <t>Reddy Express</t>
        </is>
      </c>
      <c r="E425" t="inlineStr">
        <is>
          <t>Out</t>
        </is>
      </c>
      <c r="F425" t="n">
        <v>68.38</v>
      </c>
      <c r="G425" t="inlineStr">
        <is>
          <t>AUTHORISED</t>
        </is>
      </c>
      <c r="H425" t="inlineStr">
        <is>
          <t>Yes</t>
        </is>
      </c>
      <c r="I425" t="inlineStr">
        <is>
          <t>S1775X-S1775X01-1773174165027</t>
        </is>
      </c>
      <c r="J425" t="inlineStr">
        <is>
          <t>Goods-tagged</t>
        </is>
      </c>
      <c r="K425">
        <f>IF(AND(G425="AUTHORISED",J425="Goods-tagged"),F425,0)</f>
        <v/>
      </c>
      <c r="L425" t="inlineStr">
        <is>
          <t>.</t>
        </is>
      </c>
      <c r="M425" t="inlineStr">
        <is>
          <t>ACT-ST</t>
        </is>
      </c>
      <c r="N425" t="n">
        <v>46223</v>
      </c>
    </row>
    <row r="426" ht="36" customHeight="1">
      <c r="A426" t="inlineStr">
        <is>
          <t>c535832a-1bc3-4fc6-8aa9-99ffc1fcb01a</t>
        </is>
      </c>
      <c r="B426" t="inlineStr">
        <is>
          <t>Invoice payment</t>
        </is>
      </c>
      <c r="C426" s="162" t="n">
        <v>46094</v>
      </c>
      <c r="D426" t="inlineStr">
        <is>
          <t>Orange Sky Australia</t>
        </is>
      </c>
      <c r="E426" t="inlineStr">
        <is>
          <t>Out</t>
        </is>
      </c>
      <c r="F426" t="n">
        <v>160</v>
      </c>
      <c r="G426" t="inlineStr">
        <is>
          <t>AUTHORISED</t>
        </is>
      </c>
      <c r="H426" t="inlineStr">
        <is>
          <t>Yes</t>
        </is>
      </c>
      <c r="J426" t="inlineStr">
        <is>
          <t>Goods-tagged</t>
        </is>
      </c>
      <c r="K426">
        <f>IF(AND(G426="AUTHORISED",J426="Goods-tagged"),F426,0)</f>
        <v/>
      </c>
      <c r="L426" t="inlineStr">
        <is>
          <t>Orange Sky Australia — Operations — ACT-GD</t>
        </is>
      </c>
      <c r="M426" t="inlineStr">
        <is>
          <t>ACT-ST</t>
        </is>
      </c>
      <c r="N426" t="n">
        <v>46223</v>
      </c>
    </row>
    <row r="427" ht="36" customHeight="1">
      <c r="A427" t="inlineStr">
        <is>
          <t>c6feb3e3-6a08-4153-affd-04c1260546b9</t>
        </is>
      </c>
      <c r="B427" t="inlineStr">
        <is>
          <t>Bank transaction</t>
        </is>
      </c>
      <c r="C427" s="162" t="n">
        <v>46100</v>
      </c>
      <c r="D427" t="inlineStr">
        <is>
          <t>Defy Manufacturing</t>
        </is>
      </c>
      <c r="E427" t="inlineStr">
        <is>
          <t>Out</t>
        </is>
      </c>
      <c r="F427" t="n">
        <v>199.43</v>
      </c>
      <c r="G427" t="inlineStr">
        <is>
          <t>DELETED</t>
        </is>
      </c>
      <c r="H427" t="inlineStr">
        <is>
          <t>No</t>
        </is>
      </c>
      <c r="I427" t="inlineStr">
        <is>
          <t>412</t>
        </is>
      </c>
      <c r="J427" t="inlineStr">
        <is>
          <t>Goods-tagged</t>
        </is>
      </c>
      <c r="K427">
        <f>IF(AND(G427="AUTHORISED",J427="Goods-tagged"),F427,0)</f>
        <v/>
      </c>
      <c r="L427" t="inlineStr">
        <is>
          <t>Credit for 3 road cases</t>
        </is>
      </c>
      <c r="M427" t="inlineStr">
        <is>
          <t>ACT-ST</t>
        </is>
      </c>
      <c r="N427" t="n">
        <v>46224</v>
      </c>
    </row>
    <row r="428" ht="36" customHeight="1">
      <c r="A428" t="inlineStr">
        <is>
          <t>23924a4a-0ebe-4fe4-8666-a1977c73abb2</t>
        </is>
      </c>
      <c r="B428" t="inlineStr">
        <is>
          <t>Invoice payment</t>
        </is>
      </c>
      <c r="C428" s="162" t="n">
        <v>46101</v>
      </c>
      <c r="D428" t="inlineStr">
        <is>
          <t>Defy</t>
        </is>
      </c>
      <c r="E428" t="inlineStr">
        <is>
          <t>Out</t>
        </is>
      </c>
      <c r="F428" t="n">
        <v>199.43</v>
      </c>
      <c r="G428" t="inlineStr">
        <is>
          <t>AUTHORISED</t>
        </is>
      </c>
      <c r="H428" t="inlineStr">
        <is>
          <t>Yes</t>
        </is>
      </c>
      <c r="J428" t="inlineStr">
        <is>
          <t>Goods-tagged</t>
        </is>
      </c>
      <c r="K428">
        <f>IF(AND(G428="AUTHORISED",J428="Goods-tagged"),F428,0)</f>
        <v/>
      </c>
      <c r="L428" t="inlineStr">
        <is>
          <t>Defy Manufacturing — Materials &amp; Supplies — ACT-GD</t>
        </is>
      </c>
      <c r="M428" t="inlineStr">
        <is>
          <t>ACT-ST</t>
        </is>
      </c>
      <c r="N428" t="n">
        <v>46223</v>
      </c>
    </row>
    <row r="429" ht="36" customHeight="1">
      <c r="A429" t="inlineStr">
        <is>
          <t>fd281e86-81dc-454b-8a60-aaea19faabd2</t>
        </is>
      </c>
      <c r="B429" t="inlineStr">
        <is>
          <t>Invoice payment</t>
        </is>
      </c>
      <c r="C429" s="162" t="n">
        <v>46104</v>
      </c>
      <c r="D429" t="inlineStr">
        <is>
          <t>ePrint</t>
        </is>
      </c>
      <c r="E429" t="inlineStr">
        <is>
          <t>Out</t>
        </is>
      </c>
      <c r="F429" t="n">
        <v>931.41</v>
      </c>
      <c r="G429" t="inlineStr">
        <is>
          <t>AUTHORISED</t>
        </is>
      </c>
      <c r="H429" t="inlineStr">
        <is>
          <t>Yes</t>
        </is>
      </c>
      <c r="J429" t="inlineStr">
        <is>
          <t>Goods-tagged</t>
        </is>
      </c>
      <c r="K429">
        <f>IF(AND(G429="AUTHORISED",J429="Goods-tagged"),F429,0)</f>
        <v/>
      </c>
      <c r="L429" t="inlineStr">
        <is>
          <t>ePrint — Printing — ACT-GD</t>
        </is>
      </c>
      <c r="M429" t="inlineStr">
        <is>
          <t>ACT-ST</t>
        </is>
      </c>
      <c r="N429" t="n">
        <v>46223</v>
      </c>
    </row>
    <row r="430" ht="36" customHeight="1">
      <c r="A430" t="inlineStr">
        <is>
          <t>793bf777-a485-4369-9e74-ddb50b081fc0</t>
        </is>
      </c>
      <c r="B430" t="inlineStr">
        <is>
          <t>Bank transaction</t>
        </is>
      </c>
      <c r="C430" s="162" t="n">
        <v>46105</v>
      </c>
      <c r="D430" t="inlineStr">
        <is>
          <t>Eat Lebanese</t>
        </is>
      </c>
      <c r="E430" t="inlineStr">
        <is>
          <t>Out</t>
        </is>
      </c>
      <c r="F430" t="n">
        <v>40</v>
      </c>
      <c r="G430" t="inlineStr">
        <is>
          <t>DELETED</t>
        </is>
      </c>
      <c r="H430" t="inlineStr">
        <is>
          <t>No</t>
        </is>
      </c>
      <c r="I430" t="inlineStr">
        <is>
          <t>421</t>
        </is>
      </c>
      <c r="J430" t="inlineStr">
        <is>
          <t>Goods-tagged</t>
        </is>
      </c>
      <c r="K430">
        <f>IF(AND(G430="AUTHORISED",J430="Goods-tagged"),F430,0)</f>
        <v/>
      </c>
      <c r="L430" t="inlineStr">
        <is>
          <t>Eat Lebanese</t>
        </is>
      </c>
      <c r="M430" t="inlineStr">
        <is>
          <t>ACT-ST</t>
        </is>
      </c>
      <c r="N430" t="n">
        <v>46224</v>
      </c>
    </row>
    <row r="431" ht="36" customHeight="1">
      <c r="A431" t="inlineStr">
        <is>
          <t>4c7ebdf8-32e9-455c-9305-8e8b96181ead</t>
        </is>
      </c>
      <c r="B431" t="inlineStr">
        <is>
          <t>Invoice payment</t>
        </is>
      </c>
      <c r="C431" s="162" t="n">
        <v>46106</v>
      </c>
      <c r="D431" t="inlineStr">
        <is>
          <t>TRIPLEBULL</t>
        </is>
      </c>
      <c r="E431" t="inlineStr">
        <is>
          <t>Out</t>
        </is>
      </c>
      <c r="F431" t="n">
        <v>153</v>
      </c>
      <c r="G431" t="inlineStr">
        <is>
          <t>AUTHORISED</t>
        </is>
      </c>
      <c r="H431" t="inlineStr">
        <is>
          <t>Yes</t>
        </is>
      </c>
      <c r="I431" t="inlineStr">
        <is>
          <t>42424</t>
        </is>
      </c>
      <c r="J431" t="inlineStr">
        <is>
          <t>Goods-tagged</t>
        </is>
      </c>
      <c r="K431">
        <f>IF(AND(G431="AUTHORISED",J431="Goods-tagged"),F431,0)</f>
        <v/>
      </c>
      <c r="L431" t="inlineStr">
        <is>
          <t>Triple Bull Suff Skate</t>
        </is>
      </c>
      <c r="M431" t="inlineStr">
        <is>
          <t>ACT-ST</t>
        </is>
      </c>
      <c r="N431" t="n">
        <v>46223</v>
      </c>
    </row>
    <row r="432" ht="36" customHeight="1">
      <c r="A432" t="inlineStr">
        <is>
          <t>29a2a724-2000-462e-b607-372a54b16cdd</t>
        </is>
      </c>
      <c r="B432" t="inlineStr">
        <is>
          <t>Bank transaction</t>
        </is>
      </c>
      <c r="C432" s="162" t="n">
        <v>46108</v>
      </c>
      <c r="D432" t="inlineStr">
        <is>
          <t>Defy Manufacturing</t>
        </is>
      </c>
      <c r="E432" t="inlineStr">
        <is>
          <t>Out</t>
        </is>
      </c>
      <c r="F432" t="n">
        <v>8525</v>
      </c>
      <c r="G432" t="inlineStr">
        <is>
          <t>DELETED</t>
        </is>
      </c>
      <c r="H432" t="inlineStr">
        <is>
          <t>No</t>
        </is>
      </c>
      <c r="I432" t="inlineStr">
        <is>
          <t>412</t>
        </is>
      </c>
      <c r="J432" t="inlineStr">
        <is>
          <t>Goods-tagged</t>
        </is>
      </c>
      <c r="K432">
        <f>IF(AND(G432="AUTHORISED",J432="Goods-tagged"),F432,0)</f>
        <v/>
      </c>
      <c r="L432" t="inlineStr">
        <is>
          <t>2 Bulka Bags of recycled plastic jungle mix Shred. 
 600kg of shred per bag</t>
        </is>
      </c>
      <c r="M432" t="inlineStr">
        <is>
          <t>ACT-ST</t>
        </is>
      </c>
      <c r="N432" t="n">
        <v>46224</v>
      </c>
    </row>
    <row r="433" ht="36" customHeight="1">
      <c r="A433" t="inlineStr">
        <is>
          <t>29ce1459-2ba0-4339-b6bb-8082fc929949</t>
        </is>
      </c>
      <c r="B433" t="inlineStr">
        <is>
          <t>Bank transaction</t>
        </is>
      </c>
      <c r="C433" s="162" t="n">
        <v>46108</v>
      </c>
      <c r="D433" t="inlineStr">
        <is>
          <t>Bolt Co</t>
        </is>
      </c>
      <c r="E433" t="inlineStr">
        <is>
          <t>Out</t>
        </is>
      </c>
      <c r="F433" t="n">
        <v>70.40000000000001</v>
      </c>
      <c r="G433" t="inlineStr">
        <is>
          <t>DELETED</t>
        </is>
      </c>
      <c r="H433" t="inlineStr">
        <is>
          <t>No</t>
        </is>
      </c>
      <c r="I433" t="inlineStr">
        <is>
          <t>446</t>
        </is>
      </c>
      <c r="J433" t="inlineStr">
        <is>
          <t>Goods-tagged</t>
        </is>
      </c>
      <c r="K433">
        <f>IF(AND(G433="AUTHORISED",J433="Goods-tagged"),F433,0)</f>
        <v/>
      </c>
      <c r="L433" t="inlineStr">
        <is>
          <t>Boltins - Materials</t>
        </is>
      </c>
      <c r="M433" t="inlineStr">
        <is>
          <t>ACT-ST</t>
        </is>
      </c>
      <c r="N433" t="n">
        <v>46224</v>
      </c>
    </row>
    <row r="434" ht="36" customHeight="1">
      <c r="A434" t="inlineStr">
        <is>
          <t>530459d5-dccc-4430-b4aa-982bd957977f</t>
        </is>
      </c>
      <c r="B434" t="inlineStr">
        <is>
          <t>Bank transaction</t>
        </is>
      </c>
      <c r="C434" s="162" t="n">
        <v>46108</v>
      </c>
      <c r="D434" t="inlineStr">
        <is>
          <t>Defy Manufacturing</t>
        </is>
      </c>
      <c r="E434" t="inlineStr">
        <is>
          <t>Out</t>
        </is>
      </c>
      <c r="F434" t="n">
        <v>18922.75</v>
      </c>
      <c r="G434" t="inlineStr">
        <is>
          <t>DELETED</t>
        </is>
      </c>
      <c r="H434" t="inlineStr">
        <is>
          <t>No</t>
        </is>
      </c>
      <c r="I434" t="inlineStr">
        <is>
          <t>412</t>
        </is>
      </c>
      <c r="J434" t="inlineStr">
        <is>
          <t>Goods-tagged</t>
        </is>
      </c>
      <c r="K434">
        <f>IF(AND(G434="AUTHORISED",J434="Goods-tagged"),F434,0)</f>
        <v/>
      </c>
      <c r="L434" t="inlineStr">
        <is>
          <t>50 Beds kits in 19mm Jungle recycled plastic sheets. Cut 
 and finished</t>
        </is>
      </c>
      <c r="M434" t="inlineStr">
        <is>
          <t>ACT-ST</t>
        </is>
      </c>
      <c r="N434" t="n">
        <v>46224</v>
      </c>
    </row>
    <row r="435" ht="36" customHeight="1">
      <c r="A435" t="inlineStr">
        <is>
          <t>bdc4d8d2-0444-49b6-a2dd-b7fafcca8199</t>
        </is>
      </c>
      <c r="B435" t="inlineStr">
        <is>
          <t>Invoice payment</t>
        </is>
      </c>
      <c r="C435" s="162" t="n">
        <v>46111</v>
      </c>
      <c r="D435" t="inlineStr">
        <is>
          <t>Ampol</t>
        </is>
      </c>
      <c r="E435" t="inlineStr">
        <is>
          <t>Out</t>
        </is>
      </c>
      <c r="F435" t="n">
        <v>76.23</v>
      </c>
      <c r="G435" t="inlineStr">
        <is>
          <t>AUTHORISED</t>
        </is>
      </c>
      <c r="H435" t="inlineStr">
        <is>
          <t>Yes</t>
        </is>
      </c>
      <c r="I435" t="inlineStr">
        <is>
          <t>18261</t>
        </is>
      </c>
      <c r="J435" t="inlineStr">
        <is>
          <t>Goods-tagged</t>
        </is>
      </c>
      <c r="K435">
        <f>IF(AND(G435="AUTHORISED",J435="Goods-tagged"),F435,0)</f>
        <v/>
      </c>
      <c r="L435" t="inlineStr">
        <is>
          <t>.</t>
        </is>
      </c>
      <c r="M435" t="inlineStr">
        <is>
          <t>ACT-ST</t>
        </is>
      </c>
      <c r="N435" t="n">
        <v>46223</v>
      </c>
    </row>
    <row r="436" ht="36" customHeight="1">
      <c r="A436" t="inlineStr">
        <is>
          <t>f82fe3ad-f63b-4c0f-8088-ef6883e46785</t>
        </is>
      </c>
      <c r="B436" t="inlineStr">
        <is>
          <t>Invoice payment</t>
        </is>
      </c>
      <c r="C436" s="162" t="n">
        <v>46111</v>
      </c>
      <c r="D436" t="inlineStr">
        <is>
          <t>Joseph Kirmos</t>
        </is>
      </c>
      <c r="E436" t="inlineStr">
        <is>
          <t>Out</t>
        </is>
      </c>
      <c r="F436" t="n">
        <v>4500</v>
      </c>
      <c r="G436" t="inlineStr">
        <is>
          <t>AUTHORISED</t>
        </is>
      </c>
      <c r="H436" t="inlineStr">
        <is>
          <t>Yes</t>
        </is>
      </c>
      <c r="I436" t="inlineStr">
        <is>
          <t>INV-006</t>
        </is>
      </c>
      <c r="J436" t="inlineStr">
        <is>
          <t>Goods-tagged</t>
        </is>
      </c>
      <c r="K436">
        <f>IF(AND(G436="AUTHORISED",J436="Goods-tagged"),F436,0)</f>
        <v/>
      </c>
      <c r="L436" t="inlineStr">
        <is>
          <t>Provision of Labour</t>
        </is>
      </c>
      <c r="M436" t="inlineStr">
        <is>
          <t>ACT-ST</t>
        </is>
      </c>
      <c r="N436" t="n">
        <v>46223</v>
      </c>
    </row>
    <row r="437" ht="36" customHeight="1">
      <c r="A437" t="inlineStr">
        <is>
          <t>fec66998-2225-49f5-a054-5a9b2ea542f8</t>
        </is>
      </c>
      <c r="B437" t="inlineStr">
        <is>
          <t>Bank transaction</t>
        </is>
      </c>
      <c r="C437" s="162" t="n">
        <v>46112</v>
      </c>
      <c r="D437" t="inlineStr">
        <is>
          <t>Defy</t>
        </is>
      </c>
      <c r="E437" t="inlineStr">
        <is>
          <t>Out</t>
        </is>
      </c>
      <c r="F437" t="n">
        <v>8686.98</v>
      </c>
      <c r="G437" t="inlineStr">
        <is>
          <t>DELETED</t>
        </is>
      </c>
      <c r="H437" t="inlineStr">
        <is>
          <t>No</t>
        </is>
      </c>
      <c r="I437" t="inlineStr">
        <is>
          <t>400</t>
        </is>
      </c>
      <c r="J437" t="inlineStr">
        <is>
          <t>Goods-tagged</t>
        </is>
      </c>
      <c r="K437">
        <f>IF(AND(G437="AUTHORISED",J437="Goods-tagged"),F437,0)</f>
        <v/>
      </c>
      <c r="L437" t="inlineStr">
        <is>
          <t>Defy subscription</t>
        </is>
      </c>
      <c r="M437" t="inlineStr">
        <is>
          <t>ACT-ST</t>
        </is>
      </c>
      <c r="N437" t="n">
        <v>46224</v>
      </c>
    </row>
    <row r="438" ht="36" customHeight="1">
      <c r="A438" t="inlineStr">
        <is>
          <t>5bddd073-1d8d-480f-b59a-3fde15f0aadc</t>
        </is>
      </c>
      <c r="B438" t="inlineStr">
        <is>
          <t>Invoice payment</t>
        </is>
      </c>
      <c r="C438" s="162" t="n">
        <v>46113</v>
      </c>
      <c r="D438" t="inlineStr">
        <is>
          <t>Defy</t>
        </is>
      </c>
      <c r="E438" t="inlineStr">
        <is>
          <t>Out</t>
        </is>
      </c>
      <c r="F438" t="n">
        <v>8686.98</v>
      </c>
      <c r="G438" t="inlineStr">
        <is>
          <t>AUTHORISED</t>
        </is>
      </c>
      <c r="H438" t="inlineStr">
        <is>
          <t>Yes</t>
        </is>
      </c>
      <c r="J438" t="inlineStr">
        <is>
          <t>Goods-tagged</t>
        </is>
      </c>
      <c r="K438">
        <f>IF(AND(G438="AUTHORISED",J438="Goods-tagged"),F438,0)</f>
        <v/>
      </c>
      <c r="L438" t="inlineStr">
        <is>
          <t>Defy Manufacturing — Materials &amp; Supplies — ACT-GD</t>
        </is>
      </c>
      <c r="M438" t="inlineStr">
        <is>
          <t>ACT-ST</t>
        </is>
      </c>
      <c r="N438" t="n">
        <v>46223</v>
      </c>
    </row>
    <row r="439" ht="36" customHeight="1">
      <c r="A439" t="inlineStr">
        <is>
          <t>07b81994-e398-4fcd-98e0-43bbe98ab127</t>
        </is>
      </c>
      <c r="B439" t="inlineStr">
        <is>
          <t>Invoice payment</t>
        </is>
      </c>
      <c r="C439" s="162" t="n">
        <v>46114</v>
      </c>
      <c r="D439" t="inlineStr">
        <is>
          <t>Centre Canvas And Upholstery</t>
        </is>
      </c>
      <c r="E439" t="inlineStr">
        <is>
          <t>Out</t>
        </is>
      </c>
      <c r="F439" t="n">
        <v>10285</v>
      </c>
      <c r="G439" t="inlineStr">
        <is>
          <t>AUTHORISED</t>
        </is>
      </c>
      <c r="H439" t="inlineStr">
        <is>
          <t>Yes</t>
        </is>
      </c>
      <c r="I439" t="inlineStr">
        <is>
          <t>ADG 6524337</t>
        </is>
      </c>
      <c r="J439" t="inlineStr">
        <is>
          <t>Goods-tagged</t>
        </is>
      </c>
      <c r="K439">
        <f>IF(AND(G439="AUTHORISED",J439="Goods-tagged"),F439,0)</f>
        <v/>
      </c>
      <c r="L439" t="inlineStr">
        <is>
          <t>Canvas stretcher covers</t>
        </is>
      </c>
      <c r="M439" t="inlineStr">
        <is>
          <t>ACT-ST</t>
        </is>
      </c>
      <c r="N439" t="n">
        <v>46223</v>
      </c>
    </row>
    <row r="440" ht="36" customHeight="1">
      <c r="A440" t="inlineStr">
        <is>
          <t>3e5cbab4-d4f0-49a7-8272-ae5cf22cb12f</t>
        </is>
      </c>
      <c r="B440" t="inlineStr">
        <is>
          <t>Invoice payment</t>
        </is>
      </c>
      <c r="C440" s="162" t="n">
        <v>46125</v>
      </c>
      <c r="D440" t="inlineStr">
        <is>
          <t>Memories Bistro</t>
        </is>
      </c>
      <c r="E440" t="inlineStr">
        <is>
          <t>Out</t>
        </is>
      </c>
      <c r="F440" t="n">
        <v>42</v>
      </c>
      <c r="G440" t="inlineStr">
        <is>
          <t>AUTHORISED</t>
        </is>
      </c>
      <c r="H440" t="inlineStr">
        <is>
          <t>Yes</t>
        </is>
      </c>
      <c r="I440" t="inlineStr">
        <is>
          <t>17308267390</t>
        </is>
      </c>
      <c r="J440" t="inlineStr">
        <is>
          <t>Goods-tagged</t>
        </is>
      </c>
      <c r="K440">
        <f>IF(AND(G440="AUTHORISED",J440="Goods-tagged"),F440,0)</f>
        <v/>
      </c>
      <c r="L440" t="inlineStr">
        <is>
          <t>As per attached.</t>
        </is>
      </c>
      <c r="M440" t="inlineStr">
        <is>
          <t>ACT-ST</t>
        </is>
      </c>
      <c r="N440" t="n">
        <v>46223</v>
      </c>
    </row>
    <row r="441" ht="36" customHeight="1">
      <c r="A441" t="inlineStr">
        <is>
          <t>62e93d2c-5ebb-4b16-85a7-6fca3480feab</t>
        </is>
      </c>
      <c r="B441" t="inlineStr">
        <is>
          <t>Invoice payment</t>
        </is>
      </c>
      <c r="C441" s="162" t="n">
        <v>46125</v>
      </c>
      <c r="D441" t="inlineStr">
        <is>
          <t>Steelmart</t>
        </is>
      </c>
      <c r="E441" t="inlineStr">
        <is>
          <t>Out</t>
        </is>
      </c>
      <c r="F441" t="n">
        <v>1453.1</v>
      </c>
      <c r="G441" t="inlineStr">
        <is>
          <t>AUTHORISED</t>
        </is>
      </c>
      <c r="H441" t="inlineStr">
        <is>
          <t>Yes</t>
        </is>
      </c>
      <c r="I441" t="inlineStr">
        <is>
          <t>SI-00023952/1</t>
        </is>
      </c>
      <c r="J441" t="inlineStr">
        <is>
          <t>Goods-tagged</t>
        </is>
      </c>
      <c r="K441">
        <f>IF(AND(G441="AUTHORISED",J441="Goods-tagged"),F441,0)</f>
        <v/>
      </c>
      <c r="L441" t="inlineStr">
        <is>
          <t>Steelmart - Materials</t>
        </is>
      </c>
      <c r="M441" t="inlineStr">
        <is>
          <t>ACT-ST</t>
        </is>
      </c>
      <c r="N441" t="n">
        <v>46223</v>
      </c>
    </row>
    <row r="442" ht="36" customHeight="1">
      <c r="A442" t="inlineStr">
        <is>
          <t>136f6e8f-db86-4926-a863-6abba5617658</t>
        </is>
      </c>
      <c r="B442" t="inlineStr">
        <is>
          <t>Bank transaction</t>
        </is>
      </c>
      <c r="C442" s="162" t="n">
        <v>46127</v>
      </c>
      <c r="D442" t="inlineStr">
        <is>
          <t>Defy Manufacturing</t>
        </is>
      </c>
      <c r="E442" t="inlineStr">
        <is>
          <t>Out</t>
        </is>
      </c>
      <c r="F442" t="n">
        <v>5130.95</v>
      </c>
      <c r="G442" t="inlineStr">
        <is>
          <t>DELETED</t>
        </is>
      </c>
      <c r="H442" t="inlineStr">
        <is>
          <t>No</t>
        </is>
      </c>
      <c r="I442" t="inlineStr">
        <is>
          <t>412</t>
        </is>
      </c>
      <c r="J442" t="inlineStr">
        <is>
          <t>Goods-tagged</t>
        </is>
      </c>
      <c r="K442">
        <f>IF(AND(G442="AUTHORISED",J442="Goods-tagged"),F442,0)</f>
        <v/>
      </c>
      <c r="L442" t="inlineStr">
        <is>
          <t>Packing into 19mm Jungle Hard cases made from approx. 
 1200mm x 1200mm</t>
        </is>
      </c>
      <c r="M442" t="inlineStr">
        <is>
          <t>ACT-ST</t>
        </is>
      </c>
      <c r="N442" t="n">
        <v>46224</v>
      </c>
    </row>
    <row r="443" ht="36" customHeight="1">
      <c r="A443" t="inlineStr">
        <is>
          <t>b2f97b33-7b77-418c-b24a-f23859f812e8</t>
        </is>
      </c>
      <c r="B443" t="inlineStr">
        <is>
          <t>Bank transaction</t>
        </is>
      </c>
      <c r="C443" s="162" t="n">
        <v>46148</v>
      </c>
      <c r="D443" t="inlineStr">
        <is>
          <t>Caltex Glasshouse</t>
        </is>
      </c>
      <c r="E443" t="inlineStr">
        <is>
          <t>Out</t>
        </is>
      </c>
      <c r="F443" t="n">
        <v>99.8</v>
      </c>
      <c r="G443" t="inlineStr">
        <is>
          <t>AUTHORISED</t>
        </is>
      </c>
      <c r="H443" t="inlineStr">
        <is>
          <t>Yes</t>
        </is>
      </c>
      <c r="I443" t="inlineStr">
        <is>
          <t>449</t>
        </is>
      </c>
      <c r="J443" t="inlineStr">
        <is>
          <t>Goods-tagged</t>
        </is>
      </c>
      <c r="K443">
        <f>IF(AND(G443="AUTHORISED",J443="Goods-tagged"),F443,0)</f>
        <v/>
      </c>
      <c r="L443" t="inlineStr">
        <is>
          <t>.</t>
        </is>
      </c>
      <c r="M443" t="inlineStr">
        <is>
          <t>ACT-ST</t>
        </is>
      </c>
      <c r="N443" t="n">
        <v>46224</v>
      </c>
    </row>
    <row r="444" ht="36" customHeight="1">
      <c r="A444" t="inlineStr">
        <is>
          <t>3d5e7f98-2ba5-49fc-b1fa-99c5a6f94ba4</t>
        </is>
      </c>
      <c r="B444" t="inlineStr">
        <is>
          <t>Invoice payment</t>
        </is>
      </c>
      <c r="C444" s="162" t="n">
        <v>46148</v>
      </c>
      <c r="D444" t="inlineStr">
        <is>
          <t>Joseph Kirmos</t>
        </is>
      </c>
      <c r="E444" t="inlineStr">
        <is>
          <t>Out</t>
        </is>
      </c>
      <c r="F444" t="n">
        <v>4500</v>
      </c>
      <c r="G444" t="inlineStr">
        <is>
          <t>AUTHORISED</t>
        </is>
      </c>
      <c r="H444" t="inlineStr">
        <is>
          <t>Yes</t>
        </is>
      </c>
      <c r="I444" t="inlineStr">
        <is>
          <t>INV-007</t>
        </is>
      </c>
      <c r="J444" t="inlineStr">
        <is>
          <t>Goods-tagged</t>
        </is>
      </c>
      <c r="K444">
        <f>IF(AND(G444="AUTHORISED",J444="Goods-tagged"),F444,0)</f>
        <v/>
      </c>
      <c r="L444" t="inlineStr">
        <is>
          <t>Provision of Labour</t>
        </is>
      </c>
      <c r="M444" t="inlineStr">
        <is>
          <t>ACT-ST</t>
        </is>
      </c>
      <c r="N444" t="n">
        <v>46223</v>
      </c>
    </row>
    <row r="445" ht="36" customHeight="1">
      <c r="A445" t="inlineStr">
        <is>
          <t>93e0a322-6af0-4b3b-b631-c37dd0e1a68a</t>
        </is>
      </c>
      <c r="B445" t="inlineStr">
        <is>
          <t>Bank transaction</t>
        </is>
      </c>
      <c r="C445" s="162" t="n">
        <v>46149</v>
      </c>
      <c r="D445" t="inlineStr">
        <is>
          <t>Defy</t>
        </is>
      </c>
      <c r="E445" t="inlineStr">
        <is>
          <t>Out</t>
        </is>
      </c>
      <c r="F445" t="n">
        <v>1010.49</v>
      </c>
      <c r="G445" t="inlineStr">
        <is>
          <t>AUTHORISED</t>
        </is>
      </c>
      <c r="H445" t="inlineStr">
        <is>
          <t>Yes</t>
        </is>
      </c>
      <c r="J445" t="inlineStr">
        <is>
          <t>Goods-tagged</t>
        </is>
      </c>
      <c r="K445">
        <f>IF(AND(G445="AUTHORISED",J445="Goods-tagged"),F445,0)</f>
        <v/>
      </c>
      <c r="M445" t="inlineStr">
        <is>
          <t>ACT-ST</t>
        </is>
      </c>
      <c r="N445" t="n">
        <v>46237</v>
      </c>
    </row>
    <row r="446" ht="36" customHeight="1">
      <c r="A446" t="inlineStr">
        <is>
          <t>3afe2a86-1000-4167-8390-a8b23e049b8a</t>
        </is>
      </c>
      <c r="B446" t="inlineStr">
        <is>
          <t>Bank transaction</t>
        </is>
      </c>
      <c r="C446" s="162" t="n">
        <v>46159</v>
      </c>
      <c r="D446" t="inlineStr">
        <is>
          <t>Hanuman Alice Springs</t>
        </is>
      </c>
      <c r="E446" t="inlineStr">
        <is>
          <t>Out</t>
        </is>
      </c>
      <c r="F446" t="n">
        <v>110.5</v>
      </c>
      <c r="G446" t="inlineStr">
        <is>
          <t>DELETED</t>
        </is>
      </c>
      <c r="H446" t="inlineStr">
        <is>
          <t>No</t>
        </is>
      </c>
      <c r="I446" t="inlineStr">
        <is>
          <t>421</t>
        </is>
      </c>
      <c r="J446" t="inlineStr">
        <is>
          <t>Goods-tagged</t>
        </is>
      </c>
      <c r="K446">
        <f>IF(AND(G446="AUTHORISED",J446="Goods-tagged"),F446,0)</f>
        <v/>
      </c>
      <c r="L446" t="inlineStr">
        <is>
          <t>Meals - Alice Springs</t>
        </is>
      </c>
      <c r="M446" t="inlineStr">
        <is>
          <t>ACT-ST</t>
        </is>
      </c>
      <c r="N446" t="n">
        <v>46224</v>
      </c>
    </row>
    <row r="447" ht="36" customHeight="1">
      <c r="A447" t="inlineStr">
        <is>
          <t>d673a0e3-004e-4476-9524-297b3a5779b4</t>
        </is>
      </c>
      <c r="B447" t="inlineStr">
        <is>
          <t>Bank transaction</t>
        </is>
      </c>
      <c r="C447" s="162" t="n">
        <v>46159</v>
      </c>
      <c r="D447" t="inlineStr">
        <is>
          <t>Bunnings Warehouse</t>
        </is>
      </c>
      <c r="E447" t="inlineStr">
        <is>
          <t>Out</t>
        </is>
      </c>
      <c r="F447" t="n">
        <v>208.86</v>
      </c>
      <c r="G447" t="inlineStr">
        <is>
          <t>AUTHORISED</t>
        </is>
      </c>
      <c r="H447" t="inlineStr">
        <is>
          <t>Yes</t>
        </is>
      </c>
      <c r="J447" t="inlineStr">
        <is>
          <t>Goods-tagged</t>
        </is>
      </c>
      <c r="K447">
        <f>IF(AND(G447="AUTHORISED",J447="Goods-tagged"),F447,0)</f>
        <v/>
      </c>
      <c r="M447" t="inlineStr">
        <is>
          <t>ACT-ST</t>
        </is>
      </c>
      <c r="N447" t="n">
        <v>46237</v>
      </c>
    </row>
    <row r="448" ht="36" customHeight="1">
      <c r="A448" t="inlineStr">
        <is>
          <t>581972f4-6c83-4c6c-9e14-079f8f848646</t>
        </is>
      </c>
      <c r="B448" t="inlineStr">
        <is>
          <t>Bank transaction</t>
        </is>
      </c>
      <c r="C448" s="162" t="n">
        <v>46160</v>
      </c>
      <c r="D448" t="inlineStr">
        <is>
          <t>ePrint</t>
        </is>
      </c>
      <c r="E448" t="inlineStr">
        <is>
          <t>Out</t>
        </is>
      </c>
      <c r="F448" t="n">
        <v>190.58</v>
      </c>
      <c r="G448" t="inlineStr">
        <is>
          <t>AUTHORISED</t>
        </is>
      </c>
      <c r="H448" t="inlineStr">
        <is>
          <t>Yes</t>
        </is>
      </c>
      <c r="I448" t="inlineStr">
        <is>
          <t>425</t>
        </is>
      </c>
      <c r="J448" t="inlineStr">
        <is>
          <t>Goods-tagged</t>
        </is>
      </c>
      <c r="K448">
        <f>IF(AND(G448="AUTHORISED",J448="Goods-tagged"),F448,0)</f>
        <v/>
      </c>
      <c r="M448" t="inlineStr">
        <is>
          <t>ACT-ST</t>
        </is>
      </c>
      <c r="N448" t="n">
        <v>46224</v>
      </c>
    </row>
    <row r="449" ht="36" customHeight="1">
      <c r="A449" t="inlineStr">
        <is>
          <t>ed55e280-cb47-481b-949f-eb1d88c959d6</t>
        </is>
      </c>
      <c r="B449" t="inlineStr">
        <is>
          <t>Bank transaction</t>
        </is>
      </c>
      <c r="C449" s="162" t="n">
        <v>46160</v>
      </c>
      <c r="D449" t="inlineStr">
        <is>
          <t>Lasseters Centre Of Entertainment</t>
        </is>
      </c>
      <c r="E449" t="inlineStr">
        <is>
          <t>Out</t>
        </is>
      </c>
      <c r="F449" t="n">
        <v>79.95</v>
      </c>
      <c r="G449" t="inlineStr">
        <is>
          <t>AUTHORISED</t>
        </is>
      </c>
      <c r="H449" t="inlineStr">
        <is>
          <t>Yes</t>
        </is>
      </c>
      <c r="I449" t="inlineStr">
        <is>
          <t>421</t>
        </is>
      </c>
      <c r="J449" t="inlineStr">
        <is>
          <t>Goods-tagged</t>
        </is>
      </c>
      <c r="K449">
        <f>IF(AND(G449="AUTHORISED",J449="Goods-tagged"),F449,0)</f>
        <v/>
      </c>
      <c r="L449" t="inlineStr">
        <is>
          <t>.</t>
        </is>
      </c>
      <c r="M449" t="inlineStr">
        <is>
          <t>ACT-ST</t>
        </is>
      </c>
      <c r="N449" t="n">
        <v>46224</v>
      </c>
    </row>
    <row r="450" ht="36" customHeight="1">
      <c r="A450" t="inlineStr">
        <is>
          <t>edd744f5-c99e-4b6b-9a12-c58b3de4c3b4</t>
        </is>
      </c>
      <c r="B450" t="inlineStr">
        <is>
          <t>Bank transaction</t>
        </is>
      </c>
      <c r="C450" s="162" t="n">
        <v>46160</v>
      </c>
      <c r="D450" t="inlineStr">
        <is>
          <t>F V Snowdon And J R Rowden</t>
        </is>
      </c>
      <c r="E450" t="inlineStr">
        <is>
          <t>Out</t>
        </is>
      </c>
      <c r="F450" t="n">
        <v>32.7</v>
      </c>
      <c r="G450" t="inlineStr">
        <is>
          <t>DELETED</t>
        </is>
      </c>
      <c r="H450" t="inlineStr">
        <is>
          <t>No</t>
        </is>
      </c>
      <c r="I450" t="inlineStr">
        <is>
          <t>421</t>
        </is>
      </c>
      <c r="J450" t="inlineStr">
        <is>
          <t>Goods-tagged</t>
        </is>
      </c>
      <c r="K450">
        <f>IF(AND(G450="AUTHORISED",J450="Goods-tagged"),F450,0)</f>
        <v/>
      </c>
      <c r="L450" t="inlineStr">
        <is>
          <t>.</t>
        </is>
      </c>
      <c r="M450" t="inlineStr">
        <is>
          <t>ACT-ST</t>
        </is>
      </c>
      <c r="N450" t="n">
        <v>46224</v>
      </c>
    </row>
    <row r="451" ht="36" customHeight="1">
      <c r="A451" t="inlineStr">
        <is>
          <t>47b81e13-4e08-49ba-b711-2cd1665b06ec</t>
        </is>
      </c>
      <c r="B451" t="inlineStr">
        <is>
          <t>Bank transaction</t>
        </is>
      </c>
      <c r="C451" s="162" t="n">
        <v>46161</v>
      </c>
      <c r="D451" t="inlineStr">
        <is>
          <t>F V Snowdon And J R Rowden</t>
        </is>
      </c>
      <c r="E451" t="inlineStr">
        <is>
          <t>Out</t>
        </is>
      </c>
      <c r="F451" t="n">
        <v>26.3</v>
      </c>
      <c r="G451" t="inlineStr">
        <is>
          <t>DELETED</t>
        </is>
      </c>
      <c r="H451" t="inlineStr">
        <is>
          <t>No</t>
        </is>
      </c>
      <c r="I451" t="inlineStr">
        <is>
          <t>421</t>
        </is>
      </c>
      <c r="J451" t="inlineStr">
        <is>
          <t>Goods-tagged</t>
        </is>
      </c>
      <c r="K451">
        <f>IF(AND(G451="AUTHORISED",J451="Goods-tagged"),F451,0)</f>
        <v/>
      </c>
      <c r="L451" t="inlineStr">
        <is>
          <t>.</t>
        </is>
      </c>
      <c r="M451" t="inlineStr">
        <is>
          <t>ACT-ST</t>
        </is>
      </c>
      <c r="N451" t="n">
        <v>46233</v>
      </c>
    </row>
    <row r="452" ht="36" customHeight="1">
      <c r="A452" t="inlineStr">
        <is>
          <t>4c29ea3e-e290-4f93-92e1-07be4b5bf97c</t>
        </is>
      </c>
      <c r="B452" t="inlineStr">
        <is>
          <t>Bank transaction</t>
        </is>
      </c>
      <c r="C452" s="162" t="n">
        <v>46161</v>
      </c>
      <c r="D452" t="inlineStr">
        <is>
          <t>Lasseters Centre Of Entertainment</t>
        </is>
      </c>
      <c r="E452" t="inlineStr">
        <is>
          <t>Out</t>
        </is>
      </c>
      <c r="F452" t="n">
        <v>186.96</v>
      </c>
      <c r="G452" t="inlineStr">
        <is>
          <t>AUTHORISED</t>
        </is>
      </c>
      <c r="H452" t="inlineStr">
        <is>
          <t>Yes</t>
        </is>
      </c>
      <c r="I452" t="inlineStr">
        <is>
          <t>421</t>
        </is>
      </c>
      <c r="J452" t="inlineStr">
        <is>
          <t>Goods-tagged</t>
        </is>
      </c>
      <c r="K452">
        <f>IF(AND(G452="AUTHORISED",J452="Goods-tagged"),F452,0)</f>
        <v/>
      </c>
      <c r="L452" t="inlineStr">
        <is>
          <t>. / .</t>
        </is>
      </c>
      <c r="M452" t="inlineStr">
        <is>
          <t>ACT-ST</t>
        </is>
      </c>
      <c r="N452" t="n">
        <v>46224</v>
      </c>
    </row>
    <row r="453" ht="36" customHeight="1">
      <c r="A453" t="inlineStr">
        <is>
          <t>ae35741c-0342-4c45-8ab8-5e388c130d03</t>
        </is>
      </c>
      <c r="B453" t="inlineStr">
        <is>
          <t>Bank transaction</t>
        </is>
      </c>
      <c r="C453" s="162" t="n">
        <v>46161</v>
      </c>
      <c r="D453" t="inlineStr">
        <is>
          <t>Bunnings Warehouse</t>
        </is>
      </c>
      <c r="E453" t="inlineStr">
        <is>
          <t>Out</t>
        </is>
      </c>
      <c r="F453" t="n">
        <v>62.8</v>
      </c>
      <c r="G453" t="inlineStr">
        <is>
          <t>AUTHORISED</t>
        </is>
      </c>
      <c r="H453" t="inlineStr">
        <is>
          <t>Yes</t>
        </is>
      </c>
      <c r="J453" t="inlineStr">
        <is>
          <t>Goods-tagged</t>
        </is>
      </c>
      <c r="K453">
        <f>IF(AND(G453="AUTHORISED",J453="Goods-tagged"),F453,0)</f>
        <v/>
      </c>
      <c r="M453" t="inlineStr">
        <is>
          <t>ACT-ST</t>
        </is>
      </c>
      <c r="N453" t="n">
        <v>46237</v>
      </c>
    </row>
    <row r="454" ht="50" customHeight="1">
      <c r="A454" t="inlineStr">
        <is>
          <t>7566d30e-3eb5-43fd-9234-826ae7935f66</t>
        </is>
      </c>
      <c r="B454" t="inlineStr">
        <is>
          <t>Invoice payment</t>
        </is>
      </c>
      <c r="C454" s="162" t="n">
        <v>46161</v>
      </c>
      <c r="D454" t="inlineStr">
        <is>
          <t>The John Villiers Trust</t>
        </is>
      </c>
      <c r="E454" t="inlineStr">
        <is>
          <t>In</t>
        </is>
      </c>
      <c r="F454" t="n">
        <v>1200</v>
      </c>
      <c r="G454" t="inlineStr">
        <is>
          <t>AUTHORISED</t>
        </is>
      </c>
      <c r="H454" t="inlineStr">
        <is>
          <t>Yes</t>
        </is>
      </c>
      <c r="I454" t="inlineStr">
        <is>
          <t>INV-0327</t>
        </is>
      </c>
      <c r="J454" t="inlineStr">
        <is>
          <t>Goods-tagged</t>
        </is>
      </c>
      <c r="K454">
        <f>IF(AND(G454="AUTHORISED",J454="Goods-tagged"),F454,0)</f>
        <v/>
      </c>
      <c r="L454" t="inlineStr">
        <is>
          <t>Project Flights Return Brisbane to Townsville / Project Flights Return Townsville to Palm Island / Project Accommodation / Program Management and Facilitation</t>
        </is>
      </c>
      <c r="M454" t="inlineStr">
        <is>
          <t>ACT-ST</t>
        </is>
      </c>
      <c r="N454" t="n">
        <v>46223</v>
      </c>
    </row>
    <row r="455" ht="36" customHeight="1">
      <c r="A455" t="inlineStr">
        <is>
          <t>29a35554-4ef0-4e24-aa2c-ce5c0484a996</t>
        </is>
      </c>
      <c r="B455" t="inlineStr">
        <is>
          <t>Bank transaction</t>
        </is>
      </c>
      <c r="C455" s="162" t="n">
        <v>46162</v>
      </c>
      <c r="D455" t="inlineStr">
        <is>
          <t>Miyabi Sushi Train</t>
        </is>
      </c>
      <c r="E455" t="inlineStr">
        <is>
          <t>Out</t>
        </is>
      </c>
      <c r="F455" t="n">
        <v>77</v>
      </c>
      <c r="G455" t="inlineStr">
        <is>
          <t>DELETED</t>
        </is>
      </c>
      <c r="H455" t="inlineStr">
        <is>
          <t>No</t>
        </is>
      </c>
      <c r="I455" t="inlineStr">
        <is>
          <t>421</t>
        </is>
      </c>
      <c r="J455" t="inlineStr">
        <is>
          <t>Goods-tagged</t>
        </is>
      </c>
      <c r="K455">
        <f>IF(AND(G455="AUTHORISED",J455="Goods-tagged"),F455,0)</f>
        <v/>
      </c>
      <c r="L455" t="inlineStr">
        <is>
          <t>Miyabi Sushi Train</t>
        </is>
      </c>
      <c r="M455" t="inlineStr">
        <is>
          <t>ACT-ST</t>
        </is>
      </c>
      <c r="N455" t="n">
        <v>46233</v>
      </c>
    </row>
    <row r="456" ht="36" customHeight="1">
      <c r="A456" t="inlineStr">
        <is>
          <t>3b086181-c2e0-4919-aa4f-de7b5b7f9925</t>
        </is>
      </c>
      <c r="B456" t="inlineStr">
        <is>
          <t>Bank transaction</t>
        </is>
      </c>
      <c r="C456" s="162" t="n">
        <v>46162</v>
      </c>
      <c r="D456" t="inlineStr">
        <is>
          <t>Thrifty</t>
        </is>
      </c>
      <c r="E456" t="inlineStr">
        <is>
          <t>Out</t>
        </is>
      </c>
      <c r="F456" t="n">
        <v>601.77</v>
      </c>
      <c r="G456" t="inlineStr">
        <is>
          <t>DELETED</t>
        </is>
      </c>
      <c r="H456" t="inlineStr">
        <is>
          <t>No</t>
        </is>
      </c>
      <c r="I456" t="inlineStr">
        <is>
          <t>493</t>
        </is>
      </c>
      <c r="J456" t="inlineStr">
        <is>
          <t>Goods-tagged</t>
        </is>
      </c>
      <c r="K456">
        <f>IF(AND(G456="AUTHORISED",J456="Goods-tagged"),F456,0)</f>
        <v/>
      </c>
      <c r="L456" t="inlineStr">
        <is>
          <t>Toyota Hilux SR 2.8L Diesel 4WD UTE</t>
        </is>
      </c>
      <c r="M456" t="inlineStr">
        <is>
          <t>ACT-ST</t>
        </is>
      </c>
      <c r="N456" t="n">
        <v>46233</v>
      </c>
    </row>
    <row r="457" ht="36" customHeight="1">
      <c r="A457" t="inlineStr">
        <is>
          <t>acf08de4-375b-4652-b00e-ca27f1bb6535</t>
        </is>
      </c>
      <c r="B457" t="inlineStr">
        <is>
          <t>Bank transaction</t>
        </is>
      </c>
      <c r="C457" s="162" t="n">
        <v>46162</v>
      </c>
      <c r="D457" t="inlineStr">
        <is>
          <t>Colemans Printing</t>
        </is>
      </c>
      <c r="E457" t="inlineStr">
        <is>
          <t>Out</t>
        </is>
      </c>
      <c r="F457" t="n">
        <v>236.5</v>
      </c>
      <c r="G457" t="inlineStr">
        <is>
          <t>DELETED</t>
        </is>
      </c>
      <c r="H457" t="inlineStr">
        <is>
          <t>No</t>
        </is>
      </c>
      <c r="I457" t="inlineStr">
        <is>
          <t>461</t>
        </is>
      </c>
      <c r="J457" t="inlineStr">
        <is>
          <t>Goods-tagged</t>
        </is>
      </c>
      <c r="K457">
        <f>IF(AND(G457="AUTHORISED",J457="Goods-tagged"),F457,0)</f>
        <v/>
      </c>
      <c r="L457" t="inlineStr">
        <is>
          <t>Gloss Vinyl Laminated</t>
        </is>
      </c>
      <c r="M457" t="inlineStr">
        <is>
          <t>ACT-ST</t>
        </is>
      </c>
      <c r="N457" t="n">
        <v>46224</v>
      </c>
    </row>
    <row r="458" ht="36" customHeight="1">
      <c r="A458" t="inlineStr">
        <is>
          <t>cd320c39-9c04-4113-b14a-d2d1f9179a7b</t>
        </is>
      </c>
      <c r="B458" t="inlineStr">
        <is>
          <t>Bank transaction</t>
        </is>
      </c>
      <c r="C458" s="162" t="n">
        <v>46162</v>
      </c>
      <c r="D458" t="inlineStr">
        <is>
          <t>Jaycar</t>
        </is>
      </c>
      <c r="E458" t="inlineStr">
        <is>
          <t>Out</t>
        </is>
      </c>
      <c r="F458" t="n">
        <v>348.9</v>
      </c>
      <c r="G458" t="inlineStr">
        <is>
          <t>DELETED</t>
        </is>
      </c>
      <c r="H458" t="inlineStr">
        <is>
          <t>No</t>
        </is>
      </c>
      <c r="I458" t="inlineStr">
        <is>
          <t>720</t>
        </is>
      </c>
      <c r="J458" t="inlineStr">
        <is>
          <t>Goods-tagged</t>
        </is>
      </c>
      <c r="K458">
        <f>IF(AND(G458="AUTHORISED",J458="Goods-tagged"),F458,0)</f>
        <v/>
      </c>
      <c r="L458" t="inlineStr">
        <is>
          <t>Jaycar for Central Australia</t>
        </is>
      </c>
      <c r="M458" t="inlineStr">
        <is>
          <t>ACT-ST</t>
        </is>
      </c>
      <c r="N458" t="n">
        <v>46233</v>
      </c>
    </row>
    <row r="459" ht="36" customHeight="1">
      <c r="A459" t="inlineStr">
        <is>
          <t>cfcecb50-9531-4f0b-b443-f1dc9f3a1690</t>
        </is>
      </c>
      <c r="B459" t="inlineStr">
        <is>
          <t>Bank transaction</t>
        </is>
      </c>
      <c r="C459" s="162" t="n">
        <v>46162</v>
      </c>
      <c r="D459" t="inlineStr">
        <is>
          <t>F V Snowdon And J R Rowden</t>
        </is>
      </c>
      <c r="E459" t="inlineStr">
        <is>
          <t>Out</t>
        </is>
      </c>
      <c r="F459" t="n">
        <v>6.4</v>
      </c>
      <c r="G459" t="inlineStr">
        <is>
          <t>DELETED</t>
        </is>
      </c>
      <c r="H459" t="inlineStr">
        <is>
          <t>No</t>
        </is>
      </c>
      <c r="I459" t="inlineStr">
        <is>
          <t>421</t>
        </is>
      </c>
      <c r="J459" t="inlineStr">
        <is>
          <t>Goods-tagged</t>
        </is>
      </c>
      <c r="K459">
        <f>IF(AND(G459="AUTHORISED",J459="Goods-tagged"),F459,0)</f>
        <v/>
      </c>
      <c r="L459" t="inlineStr">
        <is>
          <t>Coffee and coffee</t>
        </is>
      </c>
      <c r="M459" t="inlineStr">
        <is>
          <t>ACT-ST</t>
        </is>
      </c>
      <c r="N459" t="n">
        <v>46233</v>
      </c>
    </row>
    <row r="460" ht="36" customHeight="1">
      <c r="A460" t="inlineStr">
        <is>
          <t>07235e36-1f7b-4b17-8234-a7c2c03c858a</t>
        </is>
      </c>
      <c r="B460" t="inlineStr">
        <is>
          <t>Bank transaction</t>
        </is>
      </c>
      <c r="C460" s="162" t="n">
        <v>46163</v>
      </c>
      <c r="D460" t="inlineStr">
        <is>
          <t>Reddy Express</t>
        </is>
      </c>
      <c r="E460" t="inlineStr">
        <is>
          <t>Out</t>
        </is>
      </c>
      <c r="F460" t="n">
        <v>10.9</v>
      </c>
      <c r="G460" t="inlineStr">
        <is>
          <t>AUTHORISED</t>
        </is>
      </c>
      <c r="H460" t="inlineStr">
        <is>
          <t>Yes</t>
        </is>
      </c>
      <c r="I460" t="inlineStr">
        <is>
          <t>429</t>
        </is>
      </c>
      <c r="J460" t="inlineStr">
        <is>
          <t>Goods-tagged</t>
        </is>
      </c>
      <c r="K460">
        <f>IF(AND(G460="AUTHORISED",J460="Goods-tagged"),F460,0)</f>
        <v/>
      </c>
      <c r="L460" t="inlineStr">
        <is>
          <t>Reddy Express 1902 Alice Springs</t>
        </is>
      </c>
      <c r="M460" t="inlineStr">
        <is>
          <t>ACT-ST</t>
        </is>
      </c>
      <c r="N460" t="n">
        <v>46224</v>
      </c>
    </row>
    <row r="461" ht="36" customHeight="1">
      <c r="A461" t="inlineStr">
        <is>
          <t>2b33bdc8-a21f-44e2-8349-7e50601eee91</t>
        </is>
      </c>
      <c r="B461" t="inlineStr">
        <is>
          <t>Bank transaction</t>
        </is>
      </c>
      <c r="C461" s="162" t="n">
        <v>46164</v>
      </c>
      <c r="D461" t="inlineStr">
        <is>
          <t>Arlparra</t>
        </is>
      </c>
      <c r="E461" t="inlineStr">
        <is>
          <t>Out</t>
        </is>
      </c>
      <c r="F461" t="n">
        <v>239.64</v>
      </c>
      <c r="G461" t="inlineStr">
        <is>
          <t>AUTHORISED</t>
        </is>
      </c>
      <c r="H461" t="inlineStr">
        <is>
          <t>Yes</t>
        </is>
      </c>
      <c r="J461" t="inlineStr">
        <is>
          <t>Goods-tagged</t>
        </is>
      </c>
      <c r="K461">
        <f>IF(AND(G461="AUTHORISED",J461="Goods-tagged"),F461,0)</f>
        <v/>
      </c>
      <c r="M461" t="inlineStr">
        <is>
          <t>ACT-ST</t>
        </is>
      </c>
      <c r="N461" t="n">
        <v>46237</v>
      </c>
    </row>
    <row r="462" ht="36" customHeight="1">
      <c r="A462" t="inlineStr">
        <is>
          <t>3282a901-fbad-44bc-9964-6b92fbe0a53c</t>
        </is>
      </c>
      <c r="B462" t="inlineStr">
        <is>
          <t>Bank transaction</t>
        </is>
      </c>
      <c r="C462" s="162" t="n">
        <v>46164</v>
      </c>
      <c r="D462" t="inlineStr">
        <is>
          <t>United</t>
        </is>
      </c>
      <c r="E462" t="inlineStr">
        <is>
          <t>Out</t>
        </is>
      </c>
      <c r="F462" t="n">
        <v>124.85</v>
      </c>
      <c r="G462" t="inlineStr">
        <is>
          <t>AUTHORISED</t>
        </is>
      </c>
      <c r="H462" t="inlineStr">
        <is>
          <t>Yes</t>
        </is>
      </c>
      <c r="J462" t="inlineStr">
        <is>
          <t>Goods-tagged</t>
        </is>
      </c>
      <c r="K462">
        <f>IF(AND(G462="AUTHORISED",J462="Goods-tagged"),F462,0)</f>
        <v/>
      </c>
      <c r="M462" t="inlineStr">
        <is>
          <t>ACT-ST</t>
        </is>
      </c>
      <c r="N462" t="n">
        <v>46237</v>
      </c>
    </row>
    <row r="463" ht="36" customHeight="1">
      <c r="A463" t="inlineStr">
        <is>
          <t>9ba33283-faad-462e-b7ec-08c28ac36ea7</t>
        </is>
      </c>
      <c r="B463" t="inlineStr">
        <is>
          <t>Bank transaction</t>
        </is>
      </c>
      <c r="C463" s="162" t="n">
        <v>46164</v>
      </c>
      <c r="D463" t="inlineStr">
        <is>
          <t>EG Fuelco (Australia)</t>
        </is>
      </c>
      <c r="E463" t="inlineStr">
        <is>
          <t>Out</t>
        </is>
      </c>
      <c r="F463" t="n">
        <v>87.29000000000001</v>
      </c>
      <c r="G463" t="inlineStr">
        <is>
          <t>AUTHORISED</t>
        </is>
      </c>
      <c r="H463" t="inlineStr">
        <is>
          <t>Yes</t>
        </is>
      </c>
      <c r="I463" t="inlineStr">
        <is>
          <t>449</t>
        </is>
      </c>
      <c r="J463" t="inlineStr">
        <is>
          <t>Goods-tagged</t>
        </is>
      </c>
      <c r="K463">
        <f>IF(AND(G463="AUTHORISED",J463="Goods-tagged"),F463,0)</f>
        <v/>
      </c>
      <c r="L463" t="inlineStr">
        <is>
          <t>Fuel</t>
        </is>
      </c>
      <c r="M463" t="inlineStr">
        <is>
          <t>ACT-ST</t>
        </is>
      </c>
      <c r="N463" t="n">
        <v>46224</v>
      </c>
    </row>
    <row r="464" ht="36" customHeight="1">
      <c r="A464" t="inlineStr">
        <is>
          <t>a3a9e67a-5f04-4abc-9460-26c716831b77</t>
        </is>
      </c>
      <c r="B464" t="inlineStr">
        <is>
          <t>Bank transaction</t>
        </is>
      </c>
      <c r="C464" s="162" t="n">
        <v>46164</v>
      </c>
      <c r="D464" t="inlineStr">
        <is>
          <t>Club Eastside</t>
        </is>
      </c>
      <c r="E464" t="inlineStr">
        <is>
          <t>Out</t>
        </is>
      </c>
      <c r="F464" t="n">
        <v>775.5</v>
      </c>
      <c r="G464" t="inlineStr">
        <is>
          <t>AUTHORISED</t>
        </is>
      </c>
      <c r="H464" t="inlineStr">
        <is>
          <t>Yes</t>
        </is>
      </c>
      <c r="I464" t="inlineStr">
        <is>
          <t>421</t>
        </is>
      </c>
      <c r="J464" t="inlineStr">
        <is>
          <t>Goods-tagged</t>
        </is>
      </c>
      <c r="K464">
        <f>IF(AND(G464="AUTHORISED",J464="Goods-tagged"),F464,0)</f>
        <v/>
      </c>
      <c r="M464" t="inlineStr">
        <is>
          <t>ACT-ST</t>
        </is>
      </c>
      <c r="N464" t="n">
        <v>46224</v>
      </c>
    </row>
    <row r="465" ht="36" customHeight="1">
      <c r="A465" t="inlineStr">
        <is>
          <t>c51b80c3-64e5-4462-b404-05f20222baab</t>
        </is>
      </c>
      <c r="B465" t="inlineStr">
        <is>
          <t>Bank transaction</t>
        </is>
      </c>
      <c r="C465" s="162" t="n">
        <v>46164</v>
      </c>
      <c r="D465" t="inlineStr">
        <is>
          <t>Reddy Express</t>
        </is>
      </c>
      <c r="E465" t="inlineStr">
        <is>
          <t>Out</t>
        </is>
      </c>
      <c r="F465" t="n">
        <v>157.91</v>
      </c>
      <c r="G465" t="inlineStr">
        <is>
          <t>AUTHORISED</t>
        </is>
      </c>
      <c r="H465" t="inlineStr">
        <is>
          <t>Yes</t>
        </is>
      </c>
      <c r="I465" t="inlineStr">
        <is>
          <t>429</t>
        </is>
      </c>
      <c r="J465" t="inlineStr">
        <is>
          <t>Goods-tagged</t>
        </is>
      </c>
      <c r="K465">
        <f>IF(AND(G465="AUTHORISED",J465="Goods-tagged"),F465,0)</f>
        <v/>
      </c>
      <c r="L465" t="inlineStr">
        <is>
          <t>Reddy Express 1903 Alice Springs</t>
        </is>
      </c>
      <c r="M465" t="inlineStr">
        <is>
          <t>ACT-ST</t>
        </is>
      </c>
      <c r="N465" t="n">
        <v>46224</v>
      </c>
    </row>
    <row r="466" ht="36" customHeight="1">
      <c r="A466" t="inlineStr">
        <is>
          <t>e15bc9f7-14c9-4ce4-a85c-fbb4ff7e22d2</t>
        </is>
      </c>
      <c r="B466" t="inlineStr">
        <is>
          <t>Bank transaction</t>
        </is>
      </c>
      <c r="C466" s="162" t="n">
        <v>46164</v>
      </c>
      <c r="D466" t="inlineStr">
        <is>
          <t>Aherrenge Store</t>
        </is>
      </c>
      <c r="E466" t="inlineStr">
        <is>
          <t>Out</t>
        </is>
      </c>
      <c r="F466" t="n">
        <v>214.26</v>
      </c>
      <c r="G466" t="inlineStr">
        <is>
          <t>AUTHORISED</t>
        </is>
      </c>
      <c r="H466" t="inlineStr">
        <is>
          <t>Yes</t>
        </is>
      </c>
      <c r="J466" t="inlineStr">
        <is>
          <t>Goods-tagged</t>
        </is>
      </c>
      <c r="K466">
        <f>IF(AND(G466="AUTHORISED",J466="Goods-tagged"),F466,0)</f>
        <v/>
      </c>
      <c r="M466" t="inlineStr">
        <is>
          <t>ACT-ST</t>
        </is>
      </c>
      <c r="N466" t="n">
        <v>46237</v>
      </c>
    </row>
    <row r="467" ht="36" customHeight="1">
      <c r="A467" t="inlineStr">
        <is>
          <t>f72a2e39-9466-44bc-9913-7c7142f86d01</t>
        </is>
      </c>
      <c r="B467" t="inlineStr">
        <is>
          <t>Bank transaction</t>
        </is>
      </c>
      <c r="C467" s="162" t="n">
        <v>46164</v>
      </c>
      <c r="D467" t="inlineStr">
        <is>
          <t>News Travels</t>
        </is>
      </c>
      <c r="E467" t="inlineStr">
        <is>
          <t>Out</t>
        </is>
      </c>
      <c r="F467" t="n">
        <v>97.47</v>
      </c>
      <c r="G467" t="inlineStr">
        <is>
          <t>AUTHORISED</t>
        </is>
      </c>
      <c r="H467" t="inlineStr">
        <is>
          <t>Yes</t>
        </is>
      </c>
      <c r="I467" t="inlineStr">
        <is>
          <t>430</t>
        </is>
      </c>
      <c r="J467" t="inlineStr">
        <is>
          <t>Goods-tagged</t>
        </is>
      </c>
      <c r="K467">
        <f>IF(AND(G467="AUTHORISED",J467="Goods-tagged"),F467,0)</f>
        <v/>
      </c>
      <c r="L467" t="inlineStr">
        <is>
          <t>.</t>
        </is>
      </c>
      <c r="M467" t="inlineStr">
        <is>
          <t>ACT-ST</t>
        </is>
      </c>
      <c r="N467" t="n">
        <v>46224</v>
      </c>
    </row>
    <row r="468" ht="344" customHeight="1">
      <c r="A468" t="inlineStr">
        <is>
          <t>f0f63fc0-7f79-47da-a9e4-d4cdb1a36c7b</t>
        </is>
      </c>
      <c r="B468" t="inlineStr">
        <is>
          <t>Invoice payment</t>
        </is>
      </c>
      <c r="C468" s="162" t="n">
        <v>46164</v>
      </c>
      <c r="D468" t="inlineStr">
        <is>
          <t>The Snow Foundation</t>
        </is>
      </c>
      <c r="E468" t="inlineStr">
        <is>
          <t>In</t>
        </is>
      </c>
      <c r="F468" t="n">
        <v>132000</v>
      </c>
      <c r="G468" t="inlineStr">
        <is>
          <t>AUTHORISED</t>
        </is>
      </c>
      <c r="H468" t="inlineStr">
        <is>
          <t>Yes</t>
        </is>
      </c>
      <c r="I468" t="inlineStr">
        <is>
          <t>INV-0321</t>
        </is>
      </c>
      <c r="J468" t="inlineStr">
        <is>
          <t>Goods-tagged</t>
        </is>
      </c>
      <c r="K468">
        <f>IF(AND(G468="AUTHORISED",J468="Goods-tagged"),F468,0)</f>
        <v/>
      </c>
      <c r="L468" t="inlineStr">
        <is>
          <t>Immediate Bed Deployment: 
- 100 beds @ $600 per bed
- Current production cost: $550-650 per bed
- Addresses urgent requests from health organisations and communities
- Expands field testing sample size from 15-20 beds to enable confident scaling decisions
* Open to 1-2 Washing Machine's / On-Country Production Plant Infrastructure: 
- Completes containerised production facility (current investment: ~$100,000 from TFN and ACT)
- Enables community-based manufacturing creating local jobs
- Facility capabilities:
    - Shred plastic waste
    - Create pellets and press sheets
    - Computer-controlled router to cut bed components
    - Capacity: ~30 beds per week when deployed for 2 months
    - Each bed uses ~25kg of plastic waste (fits in 25L tub)</t>
        </is>
      </c>
      <c r="M468" t="inlineStr">
        <is>
          <t>ACT-ST</t>
        </is>
      </c>
      <c r="N468" t="n">
        <v>46223</v>
      </c>
    </row>
    <row r="469" ht="36" customHeight="1">
      <c r="A469" t="inlineStr">
        <is>
          <t>41d11d71-7816-4e7b-80f7-777a9b0f813c</t>
        </is>
      </c>
      <c r="B469" t="inlineStr">
        <is>
          <t>Bank transaction</t>
        </is>
      </c>
      <c r="C469" s="162" t="n">
        <v>46166</v>
      </c>
      <c r="D469" t="inlineStr">
        <is>
          <t>Woolworths</t>
        </is>
      </c>
      <c r="E469" t="inlineStr">
        <is>
          <t>Out</t>
        </is>
      </c>
      <c r="F469" t="n">
        <v>94.33</v>
      </c>
      <c r="G469" t="inlineStr">
        <is>
          <t>AUTHORISED</t>
        </is>
      </c>
      <c r="H469" t="inlineStr">
        <is>
          <t>Yes</t>
        </is>
      </c>
      <c r="I469" t="inlineStr">
        <is>
          <t>493</t>
        </is>
      </c>
      <c r="J469" t="inlineStr">
        <is>
          <t>Goods-tagged</t>
        </is>
      </c>
      <c r="K469">
        <f>IF(AND(G469="AUTHORISED",J469="Goods-tagged"),F469,0)</f>
        <v/>
      </c>
      <c r="L469" t="inlineStr">
        <is>
          <t>. / .</t>
        </is>
      </c>
      <c r="M469" t="inlineStr">
        <is>
          <t>ACT-ST</t>
        </is>
      </c>
      <c r="N469" t="n">
        <v>46252</v>
      </c>
    </row>
    <row r="470" ht="36" customHeight="1">
      <c r="A470" t="inlineStr">
        <is>
          <t>3d283e1a-ad09-4a3c-9f18-fd431bc72a96</t>
        </is>
      </c>
      <c r="B470" t="inlineStr">
        <is>
          <t>Bank transaction</t>
        </is>
      </c>
      <c r="C470" s="162" t="n">
        <v>46167</v>
      </c>
      <c r="D470" t="inlineStr">
        <is>
          <t>Oonchiumpa Consultancy and Services</t>
        </is>
      </c>
      <c r="E470" t="inlineStr">
        <is>
          <t>Out</t>
        </is>
      </c>
      <c r="F470" t="n">
        <v>1953.29</v>
      </c>
      <c r="G470" t="inlineStr">
        <is>
          <t>AUTHORISED</t>
        </is>
      </c>
      <c r="H470" t="inlineStr">
        <is>
          <t>Yes</t>
        </is>
      </c>
      <c r="I470" t="inlineStr">
        <is>
          <t>486</t>
        </is>
      </c>
      <c r="J470" t="inlineStr">
        <is>
          <t>Goods-tagged</t>
        </is>
      </c>
      <c r="K470">
        <f>IF(AND(G470="AUTHORISED",J470="Goods-tagged"),F470,0)</f>
        <v/>
      </c>
      <c r="L470" t="inlineStr">
        <is>
          <t>OONCHIUMPA W6549628567 Thanks</t>
        </is>
      </c>
      <c r="M470" t="inlineStr">
        <is>
          <t>ACT-ST</t>
        </is>
      </c>
      <c r="N470" t="n">
        <v>46224</v>
      </c>
    </row>
    <row r="471" ht="36" customHeight="1">
      <c r="A471" t="inlineStr">
        <is>
          <t>55fd4ed1-3388-42c6-b787-566ef2c9f57e</t>
        </is>
      </c>
      <c r="B471" t="inlineStr">
        <is>
          <t>Bank transaction</t>
        </is>
      </c>
      <c r="C471" s="162" t="n">
        <v>46167</v>
      </c>
      <c r="D471" t="inlineStr">
        <is>
          <t>EG Fuelco (Australia)</t>
        </is>
      </c>
      <c r="E471" t="inlineStr">
        <is>
          <t>Out</t>
        </is>
      </c>
      <c r="F471" t="n">
        <v>87.29000000000001</v>
      </c>
      <c r="G471" t="inlineStr">
        <is>
          <t>AUTHORISED</t>
        </is>
      </c>
      <c r="H471" t="inlineStr">
        <is>
          <t>Yes</t>
        </is>
      </c>
      <c r="I471" t="inlineStr">
        <is>
          <t>449</t>
        </is>
      </c>
      <c r="J471" t="inlineStr">
        <is>
          <t>Goods-tagged</t>
        </is>
      </c>
      <c r="K471">
        <f>IF(AND(G471="AUTHORISED",J471="Goods-tagged"),F471,0)</f>
        <v/>
      </c>
      <c r="L471" t="inlineStr">
        <is>
          <t>Fuel</t>
        </is>
      </c>
      <c r="M471" t="inlineStr">
        <is>
          <t>ACT-ST</t>
        </is>
      </c>
      <c r="N471" t="n">
        <v>46224</v>
      </c>
    </row>
    <row r="472" ht="36" customHeight="1">
      <c r="A472" t="inlineStr">
        <is>
          <t>f96d647c-9be7-4a25-9d9b-d3b5668a2cec</t>
        </is>
      </c>
      <c r="B472" t="inlineStr">
        <is>
          <t>Bank transaction</t>
        </is>
      </c>
      <c r="C472" s="162" t="n">
        <v>46167</v>
      </c>
      <c r="D472" t="inlineStr">
        <is>
          <t>EG Fuelco (Australia)</t>
        </is>
      </c>
      <c r="E472" t="inlineStr">
        <is>
          <t>In</t>
        </is>
      </c>
      <c r="F472" t="n">
        <v>87.29000000000001</v>
      </c>
      <c r="G472" t="inlineStr">
        <is>
          <t>AUTHORISED</t>
        </is>
      </c>
      <c r="H472" t="inlineStr">
        <is>
          <t>Yes</t>
        </is>
      </c>
      <c r="I472" t="inlineStr">
        <is>
          <t>449</t>
        </is>
      </c>
      <c r="J472" t="inlineStr">
        <is>
          <t>Goods-tagged</t>
        </is>
      </c>
      <c r="K472">
        <f>IF(AND(G472="AUTHORISED",J472="Goods-tagged"),F472,0)</f>
        <v/>
      </c>
      <c r="M472" t="inlineStr">
        <is>
          <t>ACT-ST</t>
        </is>
      </c>
      <c r="N472" t="n">
        <v>46224</v>
      </c>
    </row>
    <row r="473" ht="36" customHeight="1">
      <c r="A473" t="inlineStr">
        <is>
          <t>939a56b7-affa-42a4-b53e-cdf747bed95c</t>
        </is>
      </c>
      <c r="B473" t="inlineStr">
        <is>
          <t>Bank transaction</t>
        </is>
      </c>
      <c r="C473" s="162" t="n">
        <v>46168</v>
      </c>
      <c r="D473" t="inlineStr">
        <is>
          <t>Oonchiumpa Consultancy and Services</t>
        </is>
      </c>
      <c r="E473" t="inlineStr">
        <is>
          <t>Out</t>
        </is>
      </c>
      <c r="F473" t="n">
        <v>5000</v>
      </c>
      <c r="G473" t="inlineStr">
        <is>
          <t>AUTHORISED</t>
        </is>
      </c>
      <c r="H473" t="inlineStr">
        <is>
          <t>Yes</t>
        </is>
      </c>
      <c r="I473" t="inlineStr">
        <is>
          <t>486</t>
        </is>
      </c>
      <c r="J473" t="inlineStr">
        <is>
          <t>Goods-tagged</t>
        </is>
      </c>
      <c r="K473">
        <f>IF(AND(G473="AUTHORISED",J473="Goods-tagged"),F473,0)</f>
        <v/>
      </c>
      <c r="L473" t="inlineStr">
        <is>
          <t>OONCHIUMPA K5978608894</t>
        </is>
      </c>
      <c r="M473" t="inlineStr">
        <is>
          <t>ACT-ST</t>
        </is>
      </c>
      <c r="N473" t="n">
        <v>46224</v>
      </c>
    </row>
    <row r="474" ht="36" customHeight="1">
      <c r="A474" t="inlineStr">
        <is>
          <t>9734036a-8866-49cc-ac51-4632b6163bd0</t>
        </is>
      </c>
      <c r="B474" t="inlineStr">
        <is>
          <t>Bank transaction</t>
        </is>
      </c>
      <c r="C474" s="162" t="n">
        <v>46168</v>
      </c>
      <c r="D474" t="inlineStr">
        <is>
          <t>Caltex Glasshouse</t>
        </is>
      </c>
      <c r="E474" t="inlineStr">
        <is>
          <t>Out</t>
        </is>
      </c>
      <c r="F474" t="n">
        <v>375.16</v>
      </c>
      <c r="G474" t="inlineStr">
        <is>
          <t>AUTHORISED</t>
        </is>
      </c>
      <c r="H474" t="inlineStr">
        <is>
          <t>Yes</t>
        </is>
      </c>
      <c r="I474" t="inlineStr">
        <is>
          <t>449</t>
        </is>
      </c>
      <c r="J474" t="inlineStr">
        <is>
          <t>Goods-tagged</t>
        </is>
      </c>
      <c r="K474">
        <f>IF(AND(G474="AUTHORISED",J474="Goods-tagged"),F474,0)</f>
        <v/>
      </c>
      <c r="L474" t="inlineStr">
        <is>
          <t>.</t>
        </is>
      </c>
      <c r="M474" t="inlineStr">
        <is>
          <t>ACT-ST</t>
        </is>
      </c>
      <c r="N474" t="n">
        <v>46224</v>
      </c>
    </row>
    <row r="475" ht="36" customHeight="1">
      <c r="A475" t="inlineStr">
        <is>
          <t>1b143453-c6e0-4922-959f-f2c5b417ce86</t>
        </is>
      </c>
      <c r="B475" t="inlineStr">
        <is>
          <t>Bank transaction</t>
        </is>
      </c>
      <c r="C475" s="162" t="n">
        <v>46169</v>
      </c>
      <c r="D475" t="inlineStr">
        <is>
          <t>Capital Gatherings Pty Ltd</t>
        </is>
      </c>
      <c r="E475" t="inlineStr">
        <is>
          <t>Out</t>
        </is>
      </c>
      <c r="F475" t="n">
        <v>19.71</v>
      </c>
      <c r="G475" t="inlineStr">
        <is>
          <t>DELETED</t>
        </is>
      </c>
      <c r="H475" t="inlineStr">
        <is>
          <t>No</t>
        </is>
      </c>
      <c r="I475" t="inlineStr">
        <is>
          <t>421</t>
        </is>
      </c>
      <c r="J475" t="inlineStr">
        <is>
          <t>Goods-tagged</t>
        </is>
      </c>
      <c r="K475">
        <f>IF(AND(G475="AUTHORISED",J475="Goods-tagged"),F475,0)</f>
        <v/>
      </c>
      <c r="L475" t="inlineStr">
        <is>
          <t>Staff amenities</t>
        </is>
      </c>
      <c r="M475" t="inlineStr">
        <is>
          <t>ACT-ST</t>
        </is>
      </c>
      <c r="N475" t="n">
        <v>46233</v>
      </c>
    </row>
    <row r="476" ht="36" customHeight="1">
      <c r="A476" t="inlineStr">
        <is>
          <t>20ea9d88-0e40-4a31-ba78-0102059b53b4</t>
        </is>
      </c>
      <c r="B476" t="inlineStr">
        <is>
          <t>Bank transaction</t>
        </is>
      </c>
      <c r="C476" s="162" t="n">
        <v>46169</v>
      </c>
      <c r="D476" t="inlineStr">
        <is>
          <t>The Bunker</t>
        </is>
      </c>
      <c r="E476" t="inlineStr">
        <is>
          <t>Out</t>
        </is>
      </c>
      <c r="F476" t="n">
        <v>955.29</v>
      </c>
      <c r="G476" t="inlineStr">
        <is>
          <t>DELETED</t>
        </is>
      </c>
      <c r="H476" t="inlineStr">
        <is>
          <t>No</t>
        </is>
      </c>
      <c r="I476" t="inlineStr">
        <is>
          <t>446</t>
        </is>
      </c>
      <c r="J476" t="inlineStr">
        <is>
          <t>Goods-tagged</t>
        </is>
      </c>
      <c r="K476">
        <f>IF(AND(G476="AUTHORISED",J476="Goods-tagged"),F476,0)</f>
        <v/>
      </c>
      <c r="L476" t="inlineStr">
        <is>
          <t>Drill bits and screws</t>
        </is>
      </c>
      <c r="M476" t="inlineStr">
        <is>
          <t>ACT-ST</t>
        </is>
      </c>
      <c r="N476" t="n">
        <v>46233</v>
      </c>
    </row>
    <row r="477" ht="36" customHeight="1">
      <c r="A477" t="inlineStr">
        <is>
          <t>25ee2721-6368-4592-b7ab-a75b5af3e5f0</t>
        </is>
      </c>
      <c r="B477" t="inlineStr">
        <is>
          <t>Bank transaction</t>
        </is>
      </c>
      <c r="C477" s="162" t="n">
        <v>46169</v>
      </c>
      <c r="D477" t="inlineStr">
        <is>
          <t>Capital Gatherings Pty Ltd</t>
        </is>
      </c>
      <c r="E477" t="inlineStr">
        <is>
          <t>Out</t>
        </is>
      </c>
      <c r="F477" t="n">
        <v>6.07</v>
      </c>
      <c r="G477" t="inlineStr">
        <is>
          <t>DELETED</t>
        </is>
      </c>
      <c r="H477" t="inlineStr">
        <is>
          <t>No</t>
        </is>
      </c>
      <c r="I477" t="inlineStr">
        <is>
          <t>421</t>
        </is>
      </c>
      <c r="J477" t="inlineStr">
        <is>
          <t>Goods-tagged</t>
        </is>
      </c>
      <c r="K477">
        <f>IF(AND(G477="AUTHORISED",J477="Goods-tagged"),F477,0)</f>
        <v/>
      </c>
      <c r="L477" t="inlineStr">
        <is>
          <t>Staff amenities</t>
        </is>
      </c>
      <c r="M477" t="inlineStr">
        <is>
          <t>ACT-ST</t>
        </is>
      </c>
      <c r="N477" t="n">
        <v>46233</v>
      </c>
    </row>
    <row r="478" ht="36" customHeight="1">
      <c r="A478" t="inlineStr">
        <is>
          <t>53d9fd18-6095-4fe5-a813-f7a2d61fc43d</t>
        </is>
      </c>
      <c r="B478" t="inlineStr">
        <is>
          <t>Bank transaction</t>
        </is>
      </c>
      <c r="C478" s="162" t="n">
        <v>46177</v>
      </c>
      <c r="D478" t="inlineStr">
        <is>
          <t>SIXT</t>
        </is>
      </c>
      <c r="E478" t="inlineStr">
        <is>
          <t>Out</t>
        </is>
      </c>
      <c r="F478" t="n">
        <v>733.4400000000001</v>
      </c>
      <c r="G478" t="inlineStr">
        <is>
          <t>DELETED</t>
        </is>
      </c>
      <c r="H478" t="inlineStr">
        <is>
          <t>No</t>
        </is>
      </c>
      <c r="I478" t="inlineStr">
        <is>
          <t>493</t>
        </is>
      </c>
      <c r="J478" t="inlineStr">
        <is>
          <t>Goods-tagged</t>
        </is>
      </c>
      <c r="K478">
        <f>IF(AND(G478="AUTHORISED",J478="Goods-tagged"),F478,0)</f>
        <v/>
      </c>
      <c r="L478" t="inlineStr">
        <is>
          <t>Car rental for Nicholas James Marchesi</t>
        </is>
      </c>
      <c r="M478" t="inlineStr">
        <is>
          <t>ACT-ST</t>
        </is>
      </c>
      <c r="N478" t="n">
        <v>46233</v>
      </c>
    </row>
    <row r="479" ht="36" customHeight="1">
      <c r="A479" t="inlineStr">
        <is>
          <t>6a2607fe-99db-45c8-8b51-76e3d68503b3</t>
        </is>
      </c>
      <c r="B479" t="inlineStr">
        <is>
          <t>Bank transaction</t>
        </is>
      </c>
      <c r="C479" s="162" t="n">
        <v>46177</v>
      </c>
      <c r="D479" t="inlineStr">
        <is>
          <t>SIXT</t>
        </is>
      </c>
      <c r="E479" t="inlineStr">
        <is>
          <t>Out</t>
        </is>
      </c>
      <c r="F479" t="n">
        <v>102.76</v>
      </c>
      <c r="G479" t="inlineStr">
        <is>
          <t>DELETED</t>
        </is>
      </c>
      <c r="H479" t="inlineStr">
        <is>
          <t>No</t>
        </is>
      </c>
      <c r="I479" t="inlineStr">
        <is>
          <t>493</t>
        </is>
      </c>
      <c r="J479" t="inlineStr">
        <is>
          <t>Goods-tagged</t>
        </is>
      </c>
      <c r="K479">
        <f>IF(AND(G479="AUTHORISED",J479="Goods-tagged"),F479,0)</f>
        <v/>
      </c>
      <c r="L479" t="inlineStr">
        <is>
          <t>Vehicle rental</t>
        </is>
      </c>
      <c r="M479" t="inlineStr">
        <is>
          <t>ACT-ST</t>
        </is>
      </c>
      <c r="N479" t="n">
        <v>46233</v>
      </c>
    </row>
    <row r="480" ht="36" customHeight="1">
      <c r="A480" t="inlineStr">
        <is>
          <t>58f06ada-46fa-4ab5-b23b-c5a1e504bd79</t>
        </is>
      </c>
      <c r="B480" t="inlineStr">
        <is>
          <t>Bank transaction</t>
        </is>
      </c>
      <c r="C480" s="162" t="n">
        <v>46178</v>
      </c>
      <c r="D480" t="inlineStr">
        <is>
          <t>Reddy Express</t>
        </is>
      </c>
      <c r="E480" t="inlineStr">
        <is>
          <t>Out</t>
        </is>
      </c>
      <c r="F480" t="n">
        <v>43.27</v>
      </c>
      <c r="G480" t="inlineStr">
        <is>
          <t>AUTHORISED</t>
        </is>
      </c>
      <c r="H480" t="inlineStr">
        <is>
          <t>Yes</t>
        </is>
      </c>
      <c r="I480" t="inlineStr">
        <is>
          <t>429</t>
        </is>
      </c>
      <c r="J480" t="inlineStr">
        <is>
          <t>Goods-tagged</t>
        </is>
      </c>
      <c r="K480">
        <f>IF(AND(G480="AUTHORISED",J480="Goods-tagged"),F480,0)</f>
        <v/>
      </c>
      <c r="L480" t="inlineStr">
        <is>
          <t>Reddy Express 1518 Alexandria</t>
        </is>
      </c>
      <c r="M480" t="inlineStr">
        <is>
          <t>ACT-ST</t>
        </is>
      </c>
      <c r="N480" t="n">
        <v>46224</v>
      </c>
    </row>
    <row r="481" ht="36" customHeight="1">
      <c r="A481" t="inlineStr">
        <is>
          <t>67282e36-0a82-468a-b733-7b1fc5c35671</t>
        </is>
      </c>
      <c r="B481" t="inlineStr">
        <is>
          <t>Bank transaction</t>
        </is>
      </c>
      <c r="C481" s="162" t="n">
        <v>46181</v>
      </c>
      <c r="D481" t="inlineStr">
        <is>
          <t>Liberty Maleny</t>
        </is>
      </c>
      <c r="E481" t="inlineStr">
        <is>
          <t>Out</t>
        </is>
      </c>
      <c r="F481" t="n">
        <v>109.32</v>
      </c>
      <c r="G481" t="inlineStr">
        <is>
          <t>AUTHORISED</t>
        </is>
      </c>
      <c r="H481" t="inlineStr">
        <is>
          <t>Yes</t>
        </is>
      </c>
      <c r="I481" t="inlineStr">
        <is>
          <t>449</t>
        </is>
      </c>
      <c r="J481" t="inlineStr">
        <is>
          <t>Goods-tagged</t>
        </is>
      </c>
      <c r="K481">
        <f>IF(AND(G481="AUTHORISED",J481="Goods-tagged"),F481,0)</f>
        <v/>
      </c>
      <c r="L481" t="inlineStr">
        <is>
          <t>Fuel - Diesel</t>
        </is>
      </c>
      <c r="M481" t="inlineStr">
        <is>
          <t>ACT-ST</t>
        </is>
      </c>
      <c r="N481" t="n">
        <v>46224</v>
      </c>
    </row>
    <row r="482" ht="36" customHeight="1">
      <c r="A482" t="inlineStr">
        <is>
          <t>a76da987-0be3-41b1-9750-1aff5dbd54ea</t>
        </is>
      </c>
      <c r="B482" t="inlineStr">
        <is>
          <t>Bank transaction</t>
        </is>
      </c>
      <c r="C482" s="162" t="n">
        <v>46184</v>
      </c>
      <c r="D482" t="inlineStr">
        <is>
          <t>Maleny Hotel</t>
        </is>
      </c>
      <c r="E482" t="inlineStr">
        <is>
          <t>Out</t>
        </is>
      </c>
      <c r="F482" t="n">
        <v>213.11</v>
      </c>
      <c r="G482" t="inlineStr">
        <is>
          <t>AUTHORISED</t>
        </is>
      </c>
      <c r="H482" t="inlineStr">
        <is>
          <t>Yes</t>
        </is>
      </c>
      <c r="I482" t="inlineStr">
        <is>
          <t>430</t>
        </is>
      </c>
      <c r="J482" t="inlineStr">
        <is>
          <t>Goods-tagged</t>
        </is>
      </c>
      <c r="K482">
        <f>IF(AND(G482="AUTHORISED",J482="Goods-tagged"),F482,0)</f>
        <v/>
      </c>
      <c r="L482" t="inlineStr">
        <is>
          <t>.</t>
        </is>
      </c>
      <c r="M482" t="inlineStr">
        <is>
          <t>ACT-ST</t>
        </is>
      </c>
      <c r="N482" t="n">
        <v>46252</v>
      </c>
    </row>
    <row r="483" ht="36" customHeight="1">
      <c r="A483" t="inlineStr">
        <is>
          <t>8a29c3f9-e37d-48b3-be01-5de96a260d93</t>
        </is>
      </c>
      <c r="B483" t="inlineStr">
        <is>
          <t>Bank transaction</t>
        </is>
      </c>
      <c r="C483" s="162" t="n">
        <v>46185</v>
      </c>
      <c r="D483" t="inlineStr">
        <is>
          <t>Maleny Hotel</t>
        </is>
      </c>
      <c r="E483" t="inlineStr">
        <is>
          <t>Out</t>
        </is>
      </c>
      <c r="F483" t="n">
        <v>219.17</v>
      </c>
      <c r="G483" t="inlineStr">
        <is>
          <t>AUTHORISED</t>
        </is>
      </c>
      <c r="H483" t="inlineStr">
        <is>
          <t>Yes</t>
        </is>
      </c>
      <c r="I483" t="inlineStr">
        <is>
          <t>430</t>
        </is>
      </c>
      <c r="J483" t="inlineStr">
        <is>
          <t>Goods-tagged</t>
        </is>
      </c>
      <c r="K483">
        <f>IF(AND(G483="AUTHORISED",J483="Goods-tagged"),F483,0)</f>
        <v/>
      </c>
      <c r="L483" t="inlineStr">
        <is>
          <t>.</t>
        </is>
      </c>
      <c r="M483" t="inlineStr">
        <is>
          <t>ACT-ST</t>
        </is>
      </c>
      <c r="N483" t="n">
        <v>46252</v>
      </c>
    </row>
    <row r="484" ht="36" customHeight="1">
      <c r="A484" t="inlineStr">
        <is>
          <t>173dfc8f-c747-435c-83f5-7378eb643565</t>
        </is>
      </c>
      <c r="B484" t="inlineStr">
        <is>
          <t>Bank transaction</t>
        </is>
      </c>
      <c r="C484" s="162" t="n">
        <v>46186</v>
      </c>
      <c r="D484" t="inlineStr">
        <is>
          <t>Bunnings Trade</t>
        </is>
      </c>
      <c r="E484" t="inlineStr">
        <is>
          <t>Out</t>
        </is>
      </c>
      <c r="F484" t="n">
        <v>948.11</v>
      </c>
      <c r="G484" t="inlineStr">
        <is>
          <t>DELETED</t>
        </is>
      </c>
      <c r="H484" t="inlineStr">
        <is>
          <t>No</t>
        </is>
      </c>
      <c r="I484" t="inlineStr">
        <is>
          <t>446</t>
        </is>
      </c>
      <c r="J484" t="inlineStr">
        <is>
          <t>Goods-tagged</t>
        </is>
      </c>
      <c r="K484">
        <f>IF(AND(G484="AUTHORISED",J484="Goods-tagged"),F484,0)</f>
        <v/>
      </c>
      <c r="L484" t="inlineStr">
        <is>
          <t>Various materials / Various materials</t>
        </is>
      </c>
      <c r="M484" t="inlineStr">
        <is>
          <t>ACT-ST</t>
        </is>
      </c>
      <c r="N484" t="n">
        <v>46233</v>
      </c>
    </row>
    <row r="485" ht="36" customHeight="1">
      <c r="A485" t="inlineStr">
        <is>
          <t>4e839c4a-08b4-4429-8cea-f72abc21f9f2</t>
        </is>
      </c>
      <c r="B485" t="inlineStr">
        <is>
          <t>Bank transaction</t>
        </is>
      </c>
      <c r="C485" s="162" t="n">
        <v>46187</v>
      </c>
      <c r="D485" t="inlineStr">
        <is>
          <t>GM Taxipay</t>
        </is>
      </c>
      <c r="E485" t="inlineStr">
        <is>
          <t>Out</t>
        </is>
      </c>
      <c r="F485" t="n">
        <v>30.14</v>
      </c>
      <c r="G485" t="inlineStr">
        <is>
          <t>AUTHORISED</t>
        </is>
      </c>
      <c r="H485" t="inlineStr">
        <is>
          <t>Yes</t>
        </is>
      </c>
      <c r="I485" t="inlineStr">
        <is>
          <t>452</t>
        </is>
      </c>
      <c r="J485" t="inlineStr">
        <is>
          <t>Goods-tagged</t>
        </is>
      </c>
      <c r="K485">
        <f>IF(AND(G485="AUTHORISED",J485="Goods-tagged"),F485,0)</f>
        <v/>
      </c>
      <c r="L485" t="inlineStr">
        <is>
          <t>. / .</t>
        </is>
      </c>
      <c r="M485" t="inlineStr">
        <is>
          <t>ACT-ST</t>
        </is>
      </c>
      <c r="N485" t="n">
        <v>46252</v>
      </c>
    </row>
    <row r="486" ht="36" customHeight="1">
      <c r="A486" t="inlineStr">
        <is>
          <t>d27d4470-2121-44f1-a2a7-c2f1c59fe96e</t>
        </is>
      </c>
      <c r="B486" t="inlineStr">
        <is>
          <t>Bank transaction</t>
        </is>
      </c>
      <c r="C486" s="162" t="n">
        <v>46187</v>
      </c>
      <c r="D486" t="inlineStr">
        <is>
          <t>Bunnings Trade</t>
        </is>
      </c>
      <c r="E486" t="inlineStr">
        <is>
          <t>Out</t>
        </is>
      </c>
      <c r="F486" t="n">
        <v>209.24</v>
      </c>
      <c r="G486" t="inlineStr">
        <is>
          <t>DELETED</t>
        </is>
      </c>
      <c r="H486" t="inlineStr">
        <is>
          <t>No</t>
        </is>
      </c>
      <c r="I486" t="inlineStr">
        <is>
          <t>446</t>
        </is>
      </c>
      <c r="J486" t="inlineStr">
        <is>
          <t>Goods-tagged</t>
        </is>
      </c>
      <c r="K486">
        <f>IF(AND(G486="AUTHORISED",J486="Goods-tagged"),F486,0)</f>
        <v/>
      </c>
      <c r="L486" t="inlineStr">
        <is>
          <t>Bolts &amp; Nut Hex HDG Met Zenith, Angle Bracket Carinya</t>
        </is>
      </c>
      <c r="M486" t="inlineStr">
        <is>
          <t>ACT-ST</t>
        </is>
      </c>
      <c r="N486" t="n">
        <v>46233</v>
      </c>
    </row>
    <row r="487" ht="36" customHeight="1">
      <c r="A487" t="inlineStr">
        <is>
          <t>325bb04e-e476-41c2-9122-1a779248c682</t>
        </is>
      </c>
      <c r="B487" t="inlineStr">
        <is>
          <t>Bank transaction</t>
        </is>
      </c>
      <c r="C487" s="162" t="n">
        <v>46188</v>
      </c>
      <c r="D487" t="inlineStr">
        <is>
          <t>Community Enterprise Qld</t>
        </is>
      </c>
      <c r="E487" t="inlineStr">
        <is>
          <t>Out</t>
        </is>
      </c>
      <c r="F487" t="n">
        <v>11.1</v>
      </c>
      <c r="G487" t="inlineStr">
        <is>
          <t>AUTHORISED</t>
        </is>
      </c>
      <c r="H487" t="inlineStr">
        <is>
          <t>Yes</t>
        </is>
      </c>
      <c r="I487" t="inlineStr">
        <is>
          <t>421</t>
        </is>
      </c>
      <c r="J487" t="inlineStr">
        <is>
          <t>Goods-tagged</t>
        </is>
      </c>
      <c r="K487">
        <f>IF(AND(G487="AUTHORISED",J487="Goods-tagged"),F487,0)</f>
        <v/>
      </c>
      <c r="L487" t="inlineStr">
        <is>
          <t>. / .</t>
        </is>
      </c>
      <c r="M487" t="inlineStr">
        <is>
          <t>ACT-ST</t>
        </is>
      </c>
      <c r="N487" t="n">
        <v>46224</v>
      </c>
    </row>
    <row r="488" ht="36" customHeight="1">
      <c r="A488" t="inlineStr">
        <is>
          <t>5c995358-31a3-4c93-a77d-ddf7e4788ef4</t>
        </is>
      </c>
      <c r="B488" t="inlineStr">
        <is>
          <t>Bank transaction</t>
        </is>
      </c>
      <c r="C488" s="162" t="n">
        <v>46188</v>
      </c>
      <c r="D488" t="inlineStr">
        <is>
          <t>Community Enterprise Qld</t>
        </is>
      </c>
      <c r="E488" t="inlineStr">
        <is>
          <t>Out</t>
        </is>
      </c>
      <c r="F488" t="n">
        <v>10.2</v>
      </c>
      <c r="G488" t="inlineStr">
        <is>
          <t>AUTHORISED</t>
        </is>
      </c>
      <c r="H488" t="inlineStr">
        <is>
          <t>Yes</t>
        </is>
      </c>
      <c r="I488" t="inlineStr">
        <is>
          <t>421</t>
        </is>
      </c>
      <c r="J488" t="inlineStr">
        <is>
          <t>Goods-tagged</t>
        </is>
      </c>
      <c r="K488">
        <f>IF(AND(G488="AUTHORISED",J488="Goods-tagged"),F488,0)</f>
        <v/>
      </c>
      <c r="L488" t="inlineStr">
        <is>
          <t>. / .</t>
        </is>
      </c>
      <c r="M488" t="inlineStr">
        <is>
          <t>ACT-ST</t>
        </is>
      </c>
      <c r="N488" t="n">
        <v>46224</v>
      </c>
    </row>
    <row r="489" ht="36" customHeight="1">
      <c r="A489" t="inlineStr">
        <is>
          <t>7d9577c2-e52f-423b-b5af-355a5203d4f1</t>
        </is>
      </c>
      <c r="B489" t="inlineStr">
        <is>
          <t>Bank transaction</t>
        </is>
      </c>
      <c r="C489" s="162" t="n">
        <v>46188</v>
      </c>
      <c r="D489" t="inlineStr">
        <is>
          <t>Maggie Link Cafe</t>
        </is>
      </c>
      <c r="E489" t="inlineStr">
        <is>
          <t>Out</t>
        </is>
      </c>
      <c r="F489" t="n">
        <v>5.5</v>
      </c>
      <c r="G489" t="inlineStr">
        <is>
          <t>DELETED</t>
        </is>
      </c>
      <c r="H489" t="inlineStr">
        <is>
          <t>No</t>
        </is>
      </c>
      <c r="I489" t="inlineStr">
        <is>
          <t>421</t>
        </is>
      </c>
      <c r="J489" t="inlineStr">
        <is>
          <t>Goods-tagged</t>
        </is>
      </c>
      <c r="K489">
        <f>IF(AND(G489="AUTHORISED",J489="Goods-tagged"),F489,0)</f>
        <v/>
      </c>
      <c r="L489" t="inlineStr">
        <is>
          <t>Meals</t>
        </is>
      </c>
      <c r="M489" t="inlineStr">
        <is>
          <t>ACT-ST</t>
        </is>
      </c>
      <c r="N489" t="n">
        <v>46231</v>
      </c>
    </row>
    <row r="490" ht="36" customHeight="1">
      <c r="A490" t="inlineStr">
        <is>
          <t>9b6bfd45-b46c-452b-ae00-2a4e4302eb4e</t>
        </is>
      </c>
      <c r="B490" t="inlineStr">
        <is>
          <t>Bank transaction</t>
        </is>
      </c>
      <c r="C490" s="162" t="n">
        <v>46188</v>
      </c>
      <c r="D490" t="inlineStr">
        <is>
          <t>Unknown Supplier</t>
        </is>
      </c>
      <c r="E490" t="inlineStr">
        <is>
          <t>Out</t>
        </is>
      </c>
      <c r="F490" t="n">
        <v>38.99</v>
      </c>
      <c r="G490" t="inlineStr">
        <is>
          <t>DELETED</t>
        </is>
      </c>
      <c r="H490" t="inlineStr">
        <is>
          <t>No</t>
        </is>
      </c>
      <c r="I490" t="inlineStr">
        <is>
          <t>493</t>
        </is>
      </c>
      <c r="J490" t="inlineStr">
        <is>
          <t>Goods-tagged</t>
        </is>
      </c>
      <c r="K490">
        <f>IF(AND(G490="AUTHORISED",J490="Goods-tagged"),F490,0)</f>
        <v/>
      </c>
      <c r="L490" t="inlineStr">
        <is>
          <t>.</t>
        </is>
      </c>
      <c r="M490" t="inlineStr">
        <is>
          <t>ACT-ST</t>
        </is>
      </c>
      <c r="N490" t="n">
        <v>46231</v>
      </c>
    </row>
    <row r="491" ht="36" customHeight="1">
      <c r="A491" t="inlineStr">
        <is>
          <t>9ed490be-02a3-443c-98b1-9b3d57247207</t>
        </is>
      </c>
      <c r="B491" t="inlineStr">
        <is>
          <t>Bank transaction</t>
        </is>
      </c>
      <c r="C491" s="162" t="n">
        <v>46188</v>
      </c>
      <c r="D491" t="inlineStr">
        <is>
          <t>GM Taxipay</t>
        </is>
      </c>
      <c r="E491" t="inlineStr">
        <is>
          <t>Out</t>
        </is>
      </c>
      <c r="F491" t="n">
        <v>28.46</v>
      </c>
      <c r="G491" t="inlineStr">
        <is>
          <t>DELETED</t>
        </is>
      </c>
      <c r="H491" t="inlineStr">
        <is>
          <t>No</t>
        </is>
      </c>
      <c r="I491" t="inlineStr">
        <is>
          <t>452</t>
        </is>
      </c>
      <c r="J491" t="inlineStr">
        <is>
          <t>Goods-tagged</t>
        </is>
      </c>
      <c r="K491">
        <f>IF(AND(G491="AUTHORISED",J491="Goods-tagged"),F491,0)</f>
        <v/>
      </c>
      <c r="L491" t="inlineStr">
        <is>
          <t>.</t>
        </is>
      </c>
      <c r="M491" t="inlineStr">
        <is>
          <t>ACT-ST</t>
        </is>
      </c>
      <c r="N491" t="n">
        <v>46224</v>
      </c>
    </row>
    <row r="492" ht="36" customHeight="1">
      <c r="A492" t="inlineStr">
        <is>
          <t>a696142d-2a75-4035-915d-cb85206b6f74</t>
        </is>
      </c>
      <c r="B492" t="inlineStr">
        <is>
          <t>Bank transaction</t>
        </is>
      </c>
      <c r="C492" s="162" t="n">
        <v>46188</v>
      </c>
      <c r="D492" t="inlineStr">
        <is>
          <t>Bunnings Trade</t>
        </is>
      </c>
      <c r="E492" t="inlineStr">
        <is>
          <t>Out</t>
        </is>
      </c>
      <c r="F492" t="n">
        <v>129.13</v>
      </c>
      <c r="G492" t="inlineStr">
        <is>
          <t>DELETED</t>
        </is>
      </c>
      <c r="H492" t="inlineStr">
        <is>
          <t>No</t>
        </is>
      </c>
      <c r="I492" t="inlineStr">
        <is>
          <t>446</t>
        </is>
      </c>
      <c r="J492" t="inlineStr">
        <is>
          <t>Goods-tagged</t>
        </is>
      </c>
      <c r="K492">
        <f>IF(AND(G492="AUTHORISED",J492="Goods-tagged"),F492,0)</f>
        <v/>
      </c>
      <c r="L492" t="inlineStr">
        <is>
          <t>Washer Flat HDG Metric Zenith, Bolts &amp; Nut HexHD Galv ZENITH</t>
        </is>
      </c>
      <c r="M492" t="inlineStr">
        <is>
          <t>ACT-ST</t>
        </is>
      </c>
      <c r="N492" t="n">
        <v>46231</v>
      </c>
    </row>
    <row r="493" ht="50" customHeight="1">
      <c r="A493" t="inlineStr">
        <is>
          <t>d5591dd5-63a3-4284-a48d-013a43b33a52</t>
        </is>
      </c>
      <c r="B493" t="inlineStr">
        <is>
          <t>Bank transaction</t>
        </is>
      </c>
      <c r="C493" s="162" t="n">
        <v>46188</v>
      </c>
      <c r="D493" t="inlineStr">
        <is>
          <t>Multicam Systems</t>
        </is>
      </c>
      <c r="E493" t="inlineStr">
        <is>
          <t>Out</t>
        </is>
      </c>
      <c r="F493" t="n">
        <v>4136</v>
      </c>
      <c r="G493" t="inlineStr">
        <is>
          <t>DELETED</t>
        </is>
      </c>
      <c r="H493" t="inlineStr">
        <is>
          <t>No</t>
        </is>
      </c>
      <c r="I493" t="inlineStr">
        <is>
          <t>750</t>
        </is>
      </c>
      <c r="J493" t="inlineStr">
        <is>
          <t>Goods-tagged</t>
        </is>
      </c>
      <c r="K493">
        <f>IF(AND(G493="AUTHORISED",J493="Goods-tagged"),F493,0)</f>
        <v/>
      </c>
      <c r="L493" t="inlineStr">
        <is>
          <t>1 day installation, commissioning, training 
 package and Option B - supply one copy of Enroute Complete, 1 year susbscription as per</t>
        </is>
      </c>
      <c r="M493" t="inlineStr">
        <is>
          <t>ACT-ST</t>
        </is>
      </c>
      <c r="N493" t="n">
        <v>46233</v>
      </c>
    </row>
    <row r="494" ht="36" customHeight="1">
      <c r="A494" t="inlineStr">
        <is>
          <t>dbe4d513-1c42-483e-a4c3-0d18f2fb3787</t>
        </is>
      </c>
      <c r="B494" t="inlineStr">
        <is>
          <t>Bank transaction</t>
        </is>
      </c>
      <c r="C494" s="162" t="n">
        <v>46188</v>
      </c>
      <c r="D494" t="inlineStr">
        <is>
          <t>Community Enterprise Qld</t>
        </is>
      </c>
      <c r="E494" t="inlineStr">
        <is>
          <t>Out</t>
        </is>
      </c>
      <c r="F494" t="n">
        <v>30.58</v>
      </c>
      <c r="G494" t="inlineStr">
        <is>
          <t>AUTHORISED</t>
        </is>
      </c>
      <c r="H494" t="inlineStr">
        <is>
          <t>Yes</t>
        </is>
      </c>
      <c r="I494" t="inlineStr">
        <is>
          <t>421</t>
        </is>
      </c>
      <c r="J494" t="inlineStr">
        <is>
          <t>Goods-tagged</t>
        </is>
      </c>
      <c r="K494">
        <f>IF(AND(G494="AUTHORISED",J494="Goods-tagged"),F494,0)</f>
        <v/>
      </c>
      <c r="L494" t="inlineStr">
        <is>
          <t>. / .</t>
        </is>
      </c>
      <c r="M494" t="inlineStr">
        <is>
          <t>ACT-ST</t>
        </is>
      </c>
      <c r="N494" t="n">
        <v>46224</v>
      </c>
    </row>
    <row r="495" ht="36" customHeight="1">
      <c r="A495" t="inlineStr">
        <is>
          <t>a1f891ca-1e27-45ed-8b30-d7ece40c712d</t>
        </is>
      </c>
      <c r="B495" t="inlineStr">
        <is>
          <t>Bank transaction</t>
        </is>
      </c>
      <c r="C495" s="162" t="n">
        <v>46189</v>
      </c>
      <c r="D495" t="inlineStr">
        <is>
          <t>Trader</t>
        </is>
      </c>
      <c r="E495" t="inlineStr">
        <is>
          <t>Out</t>
        </is>
      </c>
      <c r="F495" t="n">
        <v>24.86</v>
      </c>
      <c r="G495" t="inlineStr">
        <is>
          <t>AUTHORISED</t>
        </is>
      </c>
      <c r="H495" t="inlineStr">
        <is>
          <t>Yes</t>
        </is>
      </c>
      <c r="I495" t="inlineStr">
        <is>
          <t>421</t>
        </is>
      </c>
      <c r="J495" t="inlineStr">
        <is>
          <t>Goods-tagged</t>
        </is>
      </c>
      <c r="K495">
        <f>IF(AND(G495="AUTHORISED",J495="Goods-tagged"),F495,0)</f>
        <v/>
      </c>
      <c r="L495" t="inlineStr">
        <is>
          <t>.</t>
        </is>
      </c>
      <c r="M495" t="inlineStr">
        <is>
          <t>ACT-ST</t>
        </is>
      </c>
      <c r="N495" t="n">
        <v>46224</v>
      </c>
    </row>
    <row r="496" ht="36" customHeight="1">
      <c r="A496" t="inlineStr">
        <is>
          <t>43130131-9b56-412b-8526-25036f6c4575</t>
        </is>
      </c>
      <c r="B496" t="inlineStr">
        <is>
          <t>Bank transaction</t>
        </is>
      </c>
      <c r="C496" s="162" t="n">
        <v>46192</v>
      </c>
      <c r="D496" t="inlineStr">
        <is>
          <t>Brisbane Whitegoods Factory Outlet</t>
        </is>
      </c>
      <c r="E496" t="inlineStr">
        <is>
          <t>Out</t>
        </is>
      </c>
      <c r="F496" t="n">
        <v>3871</v>
      </c>
      <c r="G496" t="inlineStr">
        <is>
          <t>DELETED</t>
        </is>
      </c>
      <c r="H496" t="inlineStr">
        <is>
          <t>No</t>
        </is>
      </c>
      <c r="I496" t="inlineStr">
        <is>
          <t>446</t>
        </is>
      </c>
      <c r="J496" t="inlineStr">
        <is>
          <t>Goods-tagged</t>
        </is>
      </c>
      <c r="K496">
        <f>IF(AND(G496="AUTHORISED",J496="Goods-tagged"),F496,0)</f>
        <v/>
      </c>
      <c r="L496" t="inlineStr">
        <is>
          <t>Speed Queen 8.5Kg Heavy Duty Top 
 Load Washing Machine AWNA62 × 1</t>
        </is>
      </c>
      <c r="M496" t="inlineStr">
        <is>
          <t>ACT-ST</t>
        </is>
      </c>
      <c r="N496" t="n">
        <v>46233</v>
      </c>
    </row>
    <row r="497" ht="36" customHeight="1">
      <c r="A497" t="inlineStr">
        <is>
          <t>38d07def-82c1-48d0-a345-aefeec9ec407</t>
        </is>
      </c>
      <c r="B497" t="inlineStr">
        <is>
          <t>Bank transaction</t>
        </is>
      </c>
      <c r="C497" s="162" t="n">
        <v>46195</v>
      </c>
      <c r="D497" t="inlineStr">
        <is>
          <t>Liberty Maleny</t>
        </is>
      </c>
      <c r="E497" t="inlineStr">
        <is>
          <t>Out</t>
        </is>
      </c>
      <c r="F497" t="n">
        <v>31.85</v>
      </c>
      <c r="G497" t="inlineStr">
        <is>
          <t>AUTHORISED</t>
        </is>
      </c>
      <c r="H497" t="inlineStr">
        <is>
          <t>Yes</t>
        </is>
      </c>
      <c r="I497" t="inlineStr">
        <is>
          <t>449</t>
        </is>
      </c>
      <c r="J497" t="inlineStr">
        <is>
          <t>Goods-tagged</t>
        </is>
      </c>
      <c r="K497">
        <f>IF(AND(G497="AUTHORISED",J497="Goods-tagged"),F497,0)</f>
        <v/>
      </c>
      <c r="L497" t="inlineStr">
        <is>
          <t>Fuel - Diesel</t>
        </is>
      </c>
      <c r="M497" t="inlineStr">
        <is>
          <t>ACT-ST</t>
        </is>
      </c>
      <c r="N497" t="n">
        <v>46224</v>
      </c>
    </row>
    <row r="498" ht="36" customHeight="1">
      <c r="A498" t="inlineStr">
        <is>
          <t>78e0dc1a-d1d1-4c6f-ad91-99bbcda93a10</t>
        </is>
      </c>
      <c r="B498" t="inlineStr">
        <is>
          <t>Bank transaction</t>
        </is>
      </c>
      <c r="C498" s="162" t="n">
        <v>46198</v>
      </c>
      <c r="D498" t="inlineStr">
        <is>
          <t>Ballaboosta</t>
        </is>
      </c>
      <c r="E498" t="inlineStr">
        <is>
          <t>Out</t>
        </is>
      </c>
      <c r="F498" t="n">
        <v>181.5</v>
      </c>
      <c r="G498" t="inlineStr">
        <is>
          <t>DELETED</t>
        </is>
      </c>
      <c r="H498" t="inlineStr">
        <is>
          <t>No</t>
        </is>
      </c>
      <c r="I498" t="inlineStr">
        <is>
          <t>420</t>
        </is>
      </c>
      <c r="J498" t="inlineStr">
        <is>
          <t>Goods-tagged</t>
        </is>
      </c>
      <c r="K498">
        <f>IF(AND(G498="AUTHORISED",J498="Goods-tagged"),F498,0)</f>
        <v/>
      </c>
      <c r="L498" t="inlineStr">
        <is>
          <t>Dinner</t>
        </is>
      </c>
      <c r="M498" t="inlineStr">
        <is>
          <t>ACT-ST</t>
        </is>
      </c>
      <c r="N498" t="n">
        <v>46233</v>
      </c>
    </row>
    <row r="499" ht="36" customHeight="1">
      <c r="A499" t="inlineStr">
        <is>
          <t>43ee0f61-7e79-48e1-9635-d5510f1e5193</t>
        </is>
      </c>
      <c r="B499" t="inlineStr">
        <is>
          <t>Bank transaction</t>
        </is>
      </c>
      <c r="C499" s="162" t="n">
        <v>46199</v>
      </c>
      <c r="D499" t="inlineStr">
        <is>
          <t>KC Auto Electrics</t>
        </is>
      </c>
      <c r="E499" t="inlineStr">
        <is>
          <t>Out</t>
        </is>
      </c>
      <c r="F499" t="n">
        <v>559.5</v>
      </c>
      <c r="G499" t="inlineStr">
        <is>
          <t>DELETED</t>
        </is>
      </c>
      <c r="H499" t="inlineStr">
        <is>
          <t>No</t>
        </is>
      </c>
      <c r="I499" t="inlineStr">
        <is>
          <t>451</t>
        </is>
      </c>
      <c r="J499" t="inlineStr">
        <is>
          <t>Goods-tagged</t>
        </is>
      </c>
      <c r="K499">
        <f>IF(AND(G499="AUTHORISED",J499="Goods-tagged"),F499,0)</f>
        <v/>
      </c>
      <c r="L499" t="inlineStr">
        <is>
          <t>Repairs to Anderson Plug</t>
        </is>
      </c>
      <c r="M499" t="inlineStr">
        <is>
          <t>ACT-ST</t>
        </is>
      </c>
      <c r="N499" t="n">
        <v>46231</v>
      </c>
    </row>
    <row r="500" ht="36" customHeight="1">
      <c r="A500" t="inlineStr">
        <is>
          <t>b0aaf02a-7729-4c3c-8f07-91b5d51c0fe1</t>
        </is>
      </c>
      <c r="B500" t="inlineStr">
        <is>
          <t>Bank transaction</t>
        </is>
      </c>
      <c r="C500" s="162" t="n">
        <v>46199</v>
      </c>
      <c r="D500" t="inlineStr">
        <is>
          <t>OTR Pultanes Street (Conventence)</t>
        </is>
      </c>
      <c r="E500" t="inlineStr">
        <is>
          <t>Out</t>
        </is>
      </c>
      <c r="F500" t="n">
        <v>49.4</v>
      </c>
      <c r="G500" t="inlineStr">
        <is>
          <t>AUTHORISED</t>
        </is>
      </c>
      <c r="H500" t="inlineStr">
        <is>
          <t>Yes</t>
        </is>
      </c>
      <c r="I500" t="inlineStr">
        <is>
          <t>449</t>
        </is>
      </c>
      <c r="J500" t="inlineStr">
        <is>
          <t>Goods-tagged</t>
        </is>
      </c>
      <c r="K500">
        <f>IF(AND(G500="AUTHORISED",J500="Goods-tagged"),F500,0)</f>
        <v/>
      </c>
      <c r="L500" t="inlineStr">
        <is>
          <t>.</t>
        </is>
      </c>
      <c r="M500" t="inlineStr">
        <is>
          <t>ACT-ST</t>
        </is>
      </c>
      <c r="N500" t="n">
        <v>46227</v>
      </c>
    </row>
    <row r="501" ht="36" customHeight="1">
      <c r="A501" t="inlineStr">
        <is>
          <t>c4e70c5c-4528-4846-a6c9-d49f745bf9c1</t>
        </is>
      </c>
      <c r="B501" t="inlineStr">
        <is>
          <t>Bank transaction</t>
        </is>
      </c>
      <c r="C501" s="162" t="n">
        <v>46199</v>
      </c>
      <c r="D501" t="inlineStr">
        <is>
          <t>Joseph Kirmos</t>
        </is>
      </c>
      <c r="E501" t="inlineStr">
        <is>
          <t>Out</t>
        </is>
      </c>
      <c r="F501" t="n">
        <v>4500</v>
      </c>
      <c r="G501" t="inlineStr">
        <is>
          <t>AUTHORISED</t>
        </is>
      </c>
      <c r="H501" t="inlineStr">
        <is>
          <t>Yes</t>
        </is>
      </c>
      <c r="I501" t="inlineStr">
        <is>
          <t>486</t>
        </is>
      </c>
      <c r="J501" t="inlineStr">
        <is>
          <t>Goods-tagged</t>
        </is>
      </c>
      <c r="K501">
        <f>IF(AND(G501="AUTHORISED",J501="Goods-tagged"),F501,0)</f>
        <v/>
      </c>
      <c r="M501" t="inlineStr">
        <is>
          <t>ACT-ST</t>
        </is>
      </c>
      <c r="N501" t="n">
        <v>46227</v>
      </c>
    </row>
    <row r="502" ht="36" customHeight="1">
      <c r="A502" t="inlineStr">
        <is>
          <t>a1f1bb1b-ae51-4a20-8ab4-f67074575b78</t>
        </is>
      </c>
      <c r="B502" t="inlineStr">
        <is>
          <t>Bank transaction</t>
        </is>
      </c>
      <c r="C502" s="162" t="n">
        <v>46200</v>
      </c>
      <c r="D502" t="inlineStr">
        <is>
          <t>TradeTools</t>
        </is>
      </c>
      <c r="E502" t="inlineStr">
        <is>
          <t>Out</t>
        </is>
      </c>
      <c r="F502" t="n">
        <v>798</v>
      </c>
      <c r="G502" t="inlineStr">
        <is>
          <t>AUTHORISED</t>
        </is>
      </c>
      <c r="H502" t="inlineStr">
        <is>
          <t>Yes</t>
        </is>
      </c>
      <c r="I502" t="inlineStr">
        <is>
          <t>447</t>
        </is>
      </c>
      <c r="J502" t="inlineStr">
        <is>
          <t>Goods-tagged</t>
        </is>
      </c>
      <c r="K502">
        <f>IF(AND(G502="AUTHORISED",J502="Goods-tagged"),F502,0)</f>
        <v/>
      </c>
      <c r="L502" t="inlineStr">
        <is>
          <t>.</t>
        </is>
      </c>
      <c r="M502" t="inlineStr">
        <is>
          <t>ACT-ST</t>
        </is>
      </c>
      <c r="N502" t="n">
        <v>46227</v>
      </c>
    </row>
    <row r="503" ht="36" customHeight="1">
      <c r="A503" t="inlineStr">
        <is>
          <t>fb88c9d2-7d76-45a0-950e-9daf8c7df943</t>
        </is>
      </c>
      <c r="B503" t="inlineStr">
        <is>
          <t>Bank transaction</t>
        </is>
      </c>
      <c r="C503" s="162" t="n">
        <v>46201</v>
      </c>
      <c r="D503" t="inlineStr">
        <is>
          <t>Spendless Sunshine Plaza</t>
        </is>
      </c>
      <c r="E503" t="inlineStr">
        <is>
          <t>Out</t>
        </is>
      </c>
      <c r="F503" t="n">
        <v>92</v>
      </c>
      <c r="G503" t="inlineStr">
        <is>
          <t>DELETED</t>
        </is>
      </c>
      <c r="H503" t="inlineStr">
        <is>
          <t>No</t>
        </is>
      </c>
      <c r="I503" t="inlineStr">
        <is>
          <t>447</t>
        </is>
      </c>
      <c r="J503" t="inlineStr">
        <is>
          <t>Goods-tagged</t>
        </is>
      </c>
      <c r="K503">
        <f>IF(AND(G503="AUTHORISED",J503="Goods-tagged"),F503,0)</f>
        <v/>
      </c>
      <c r="L503" t="inlineStr">
        <is>
          <t>Gift for staff / Gift for staff</t>
        </is>
      </c>
      <c r="M503" t="inlineStr">
        <is>
          <t>ACT-ST</t>
        </is>
      </c>
      <c r="N503" t="n">
        <v>46231</v>
      </c>
    </row>
    <row r="504" ht="36" customHeight="1">
      <c r="A504" t="inlineStr">
        <is>
          <t>7fa08e52-8dbe-483f-8928-7c72e77b7003</t>
        </is>
      </c>
      <c r="B504" t="inlineStr">
        <is>
          <t>Bank transaction</t>
        </is>
      </c>
      <c r="C504" s="162" t="n">
        <v>46202</v>
      </c>
      <c r="D504" t="inlineStr">
        <is>
          <t>EG Fuelco (Australia)</t>
        </is>
      </c>
      <c r="E504" t="inlineStr">
        <is>
          <t>Out</t>
        </is>
      </c>
      <c r="F504" t="n">
        <v>117.1</v>
      </c>
      <c r="G504" t="inlineStr">
        <is>
          <t>AUTHORISED</t>
        </is>
      </c>
      <c r="H504" t="inlineStr">
        <is>
          <t>Yes</t>
        </is>
      </c>
      <c r="I504" t="inlineStr">
        <is>
          <t>449</t>
        </is>
      </c>
      <c r="J504" t="inlineStr">
        <is>
          <t>Goods-tagged</t>
        </is>
      </c>
      <c r="K504">
        <f>IF(AND(G504="AUTHORISED",J504="Goods-tagged"),F504,0)</f>
        <v/>
      </c>
      <c r="M504" t="inlineStr">
        <is>
          <t>ACT-ST</t>
        </is>
      </c>
      <c r="N504" t="n">
        <v>46227</v>
      </c>
    </row>
    <row r="505" ht="36" customHeight="1">
      <c r="A505" t="inlineStr">
        <is>
          <t>e72a2e0e-cf60-409e-8b26-e626f89faaaf</t>
        </is>
      </c>
      <c r="B505" t="inlineStr">
        <is>
          <t>Bank transaction</t>
        </is>
      </c>
      <c r="C505" s="162" t="n">
        <v>46202</v>
      </c>
      <c r="D505" t="inlineStr">
        <is>
          <t>Oonchiumpa Consultancy and Services</t>
        </is>
      </c>
      <c r="E505" t="inlineStr">
        <is>
          <t>Out</t>
        </is>
      </c>
      <c r="F505" t="n">
        <v>450.9</v>
      </c>
      <c r="G505" t="inlineStr">
        <is>
          <t>AUTHORISED</t>
        </is>
      </c>
      <c r="H505" t="inlineStr">
        <is>
          <t>Yes</t>
        </is>
      </c>
      <c r="I505" t="inlineStr">
        <is>
          <t>486</t>
        </is>
      </c>
      <c r="J505" t="inlineStr">
        <is>
          <t>Goods-tagged</t>
        </is>
      </c>
      <c r="K505">
        <f>IF(AND(G505="AUTHORISED",J505="Goods-tagged"),F505,0)</f>
        <v/>
      </c>
      <c r="L505" t="inlineStr">
        <is>
          <t>OONCHIUMPA W6549628567 Thanks</t>
        </is>
      </c>
      <c r="M505" t="inlineStr">
        <is>
          <t>ACT-ST</t>
        </is>
      </c>
      <c r="N505" t="n">
        <v>46227</v>
      </c>
    </row>
    <row r="506" ht="36" customHeight="1">
      <c r="A506" t="inlineStr">
        <is>
          <t>fd007d69-bac4-4caf-a8cf-debd226b96cf</t>
        </is>
      </c>
      <c r="B506" t="inlineStr">
        <is>
          <t>Bank transaction</t>
        </is>
      </c>
      <c r="C506" s="162" t="n">
        <v>46202</v>
      </c>
      <c r="D506" t="inlineStr">
        <is>
          <t>Voyages Indigenous Tourism Australia Pty Ltd</t>
        </is>
      </c>
      <c r="E506" t="inlineStr">
        <is>
          <t>Out</t>
        </is>
      </c>
      <c r="F506" t="n">
        <v>474.23</v>
      </c>
      <c r="G506" t="inlineStr">
        <is>
          <t>DELETED</t>
        </is>
      </c>
      <c r="H506" t="inlineStr">
        <is>
          <t>No</t>
        </is>
      </c>
      <c r="I506" t="inlineStr">
        <is>
          <t>494</t>
        </is>
      </c>
      <c r="J506" t="inlineStr">
        <is>
          <t>Goods-tagged</t>
        </is>
      </c>
      <c r="K506">
        <f>IF(AND(G506="AUTHORISED",J506="Goods-tagged"),F506,0)</f>
        <v/>
      </c>
      <c r="L506" t="inlineStr">
        <is>
          <t>Accommodation for Benjamin</t>
        </is>
      </c>
      <c r="M506" t="inlineStr">
        <is>
          <t>ACT-ST</t>
        </is>
      </c>
      <c r="N506" t="n">
        <v>46231</v>
      </c>
    </row>
    <row r="507" ht="36" customHeight="1">
      <c r="A507" t="inlineStr">
        <is>
          <t>04599f7e-d7c9-4b8b-a769-75e69c12d4e9</t>
        </is>
      </c>
      <c r="B507" t="inlineStr">
        <is>
          <t>Bank transaction</t>
        </is>
      </c>
      <c r="C507" s="162" t="n">
        <v>46203</v>
      </c>
      <c r="D507" t="inlineStr">
        <is>
          <t>Bunnings Warehouse</t>
        </is>
      </c>
      <c r="E507" t="inlineStr">
        <is>
          <t>Out</t>
        </is>
      </c>
      <c r="F507" t="n">
        <v>153.77</v>
      </c>
      <c r="G507" t="inlineStr">
        <is>
          <t>DELETED</t>
        </is>
      </c>
      <c r="H507" t="inlineStr">
        <is>
          <t>No</t>
        </is>
      </c>
      <c r="I507" t="inlineStr">
        <is>
          <t>447</t>
        </is>
      </c>
      <c r="J507" t="inlineStr">
        <is>
          <t>Goods-tagged</t>
        </is>
      </c>
      <c r="K507">
        <f>IF(AND(G507="AUTHORISED",J507="Goods-tagged"),F507,0)</f>
        <v/>
      </c>
      <c r="L507" t="inlineStr">
        <is>
          <t>Folding camp chair, powerboard and pool noodle</t>
        </is>
      </c>
      <c r="M507" t="inlineStr">
        <is>
          <t>ACT-ST</t>
        </is>
      </c>
      <c r="N507" t="n">
        <v>46231</v>
      </c>
    </row>
    <row r="508" ht="36" customHeight="1">
      <c r="A508" t="inlineStr">
        <is>
          <t>be30ae69-545c-4fb2-b668-9da39b952fca</t>
        </is>
      </c>
      <c r="B508" t="inlineStr">
        <is>
          <t>Bank transaction</t>
        </is>
      </c>
      <c r="C508" s="162" t="n">
        <v>46203</v>
      </c>
      <c r="D508" t="inlineStr">
        <is>
          <t>Pigglys</t>
        </is>
      </c>
      <c r="E508" t="inlineStr">
        <is>
          <t>Out</t>
        </is>
      </c>
      <c r="F508" t="n">
        <v>41.23</v>
      </c>
      <c r="G508" t="inlineStr">
        <is>
          <t>DELETED</t>
        </is>
      </c>
      <c r="H508" t="inlineStr">
        <is>
          <t>No</t>
        </is>
      </c>
      <c r="I508" t="inlineStr">
        <is>
          <t>421</t>
        </is>
      </c>
      <c r="J508" t="inlineStr">
        <is>
          <t>Goods-tagged</t>
        </is>
      </c>
      <c r="K508">
        <f>IF(AND(G508="AUTHORISED",J508="Goods-tagged"),F508,0)</f>
        <v/>
      </c>
      <c r="L508" t="inlineStr">
        <is>
          <t>.</t>
        </is>
      </c>
      <c r="M508" t="inlineStr">
        <is>
          <t>ACT-ST</t>
        </is>
      </c>
      <c r="N508" t="n">
        <v>46227</v>
      </c>
    </row>
    <row r="509" ht="36" customHeight="1">
      <c r="A509" t="inlineStr">
        <is>
          <t>d5d6879f-f37e-4a5e-862e-83421e6058b7</t>
        </is>
      </c>
      <c r="B509" t="inlineStr">
        <is>
          <t>Bank transaction</t>
        </is>
      </c>
      <c r="C509" s="162" t="n">
        <v>46203</v>
      </c>
      <c r="D509" t="inlineStr">
        <is>
          <t>Oonchiumpa Consultancy and Services</t>
        </is>
      </c>
      <c r="E509" t="inlineStr">
        <is>
          <t>Out</t>
        </is>
      </c>
      <c r="F509" t="n">
        <v>10000</v>
      </c>
      <c r="G509" t="inlineStr">
        <is>
          <t>AUTHORISED</t>
        </is>
      </c>
      <c r="H509" t="inlineStr">
        <is>
          <t>Yes</t>
        </is>
      </c>
      <c r="I509" t="inlineStr">
        <is>
          <t>486</t>
        </is>
      </c>
      <c r="J509" t="inlineStr">
        <is>
          <t>Goods-tagged</t>
        </is>
      </c>
      <c r="K509">
        <f>IF(AND(G509="AUTHORISED",J509="Goods-tagged"),F509,0)</f>
        <v/>
      </c>
      <c r="L509" t="inlineStr">
        <is>
          <t>OONCHIUMPA K5978608894</t>
        </is>
      </c>
      <c r="M509" t="inlineStr">
        <is>
          <t>ACT-ST</t>
        </is>
      </c>
      <c r="N509" t="n">
        <v>46227</v>
      </c>
    </row>
    <row r="510" ht="36" customHeight="1">
      <c r="A510" t="inlineStr">
        <is>
          <t>e79eeec0-529a-47a7-b84d-686a8d9ab2df</t>
        </is>
      </c>
      <c r="B510" t="inlineStr">
        <is>
          <t>Bank transaction</t>
        </is>
      </c>
      <c r="C510" s="162" t="n">
        <v>46203</v>
      </c>
      <c r="D510" t="inlineStr">
        <is>
          <t>Liberty Maleny</t>
        </is>
      </c>
      <c r="E510" t="inlineStr">
        <is>
          <t>Out</t>
        </is>
      </c>
      <c r="F510" t="n">
        <v>262.44</v>
      </c>
      <c r="G510" t="inlineStr">
        <is>
          <t>AUTHORISED</t>
        </is>
      </c>
      <c r="H510" t="inlineStr">
        <is>
          <t>Yes</t>
        </is>
      </c>
      <c r="I510" t="inlineStr">
        <is>
          <t>449</t>
        </is>
      </c>
      <c r="J510" t="inlineStr">
        <is>
          <t>Goods-tagged</t>
        </is>
      </c>
      <c r="K510">
        <f>IF(AND(G510="AUTHORISED",J510="Goods-tagged"),F510,0)</f>
        <v/>
      </c>
      <c r="L510" t="inlineStr">
        <is>
          <t>Fuel - Diesel</t>
        </is>
      </c>
      <c r="M510" t="inlineStr">
        <is>
          <t>ACT-ST</t>
        </is>
      </c>
      <c r="N510" t="n">
        <v>46227</v>
      </c>
    </row>
    <row r="511" ht="36" customHeight="1">
      <c r="A511" t="inlineStr">
        <is>
          <t>ecc0fe4a-c88e-4729-a397-faccb0e694a4</t>
        </is>
      </c>
      <c r="B511" t="inlineStr">
        <is>
          <t>Bank transaction</t>
        </is>
      </c>
      <c r="C511" s="162" t="n">
        <v>46203</v>
      </c>
      <c r="D511" t="inlineStr">
        <is>
          <t>Supercheap Auto</t>
        </is>
      </c>
      <c r="E511" t="inlineStr">
        <is>
          <t>Out</t>
        </is>
      </c>
      <c r="F511" t="n">
        <v>310.94</v>
      </c>
      <c r="G511" t="inlineStr">
        <is>
          <t>DELETED</t>
        </is>
      </c>
      <c r="H511" t="inlineStr">
        <is>
          <t>No</t>
        </is>
      </c>
      <c r="I511" t="inlineStr">
        <is>
          <t>447</t>
        </is>
      </c>
      <c r="J511" t="inlineStr">
        <is>
          <t>Goods-tagged</t>
        </is>
      </c>
      <c r="K511">
        <f>IF(AND(G511="AUTHORISED",J511="Goods-tagged"),F511,0)</f>
        <v/>
      </c>
      <c r="L511" t="inlineStr">
        <is>
          <t>.</t>
        </is>
      </c>
      <c r="M511" t="inlineStr">
        <is>
          <t>ACT-ST</t>
        </is>
      </c>
      <c r="N511" t="n">
        <v>46227</v>
      </c>
    </row>
    <row r="512" ht="23" customHeight="1">
      <c r="C512" s="162" t="n"/>
    </row>
    <row r="513" ht="23" customHeight="1">
      <c r="C513" s="162" t="n"/>
    </row>
    <row r="514">
      <c r="C514" s="162" t="n"/>
    </row>
    <row r="515">
      <c r="C515" s="162" t="n"/>
    </row>
    <row r="516">
      <c r="C516" s="162" t="n"/>
    </row>
    <row r="517">
      <c r="C517" s="162" t="n"/>
    </row>
    <row r="518">
      <c r="C518" s="162" t="n"/>
    </row>
    <row r="519">
      <c r="C519" s="162" t="n"/>
    </row>
    <row r="520">
      <c r="C520" s="162" t="n"/>
    </row>
    <row r="521">
      <c r="C521" s="162" t="n"/>
    </row>
    <row r="522">
      <c r="C522" s="162" t="n"/>
    </row>
    <row r="523">
      <c r="C523" s="162" t="n"/>
    </row>
    <row r="524">
      <c r="C524" s="162" t="n"/>
    </row>
    <row r="525">
      <c r="C525" s="162" t="n"/>
    </row>
    <row r="526">
      <c r="C526" s="162" t="n"/>
    </row>
    <row r="527">
      <c r="C527" s="162" t="n"/>
    </row>
    <row r="528">
      <c r="C528" s="162" t="n"/>
    </row>
    <row r="529">
      <c r="C529" s="162" t="n"/>
    </row>
    <row r="530">
      <c r="C530" s="162" t="n"/>
    </row>
    <row r="531">
      <c r="C531" s="162" t="n"/>
    </row>
    <row r="532">
      <c r="C532" s="162" t="n"/>
    </row>
    <row r="533">
      <c r="C533" s="162" t="n"/>
    </row>
    <row r="534">
      <c r="C534" s="162" t="n"/>
    </row>
    <row r="535">
      <c r="C535" s="162" t="n"/>
    </row>
    <row r="536">
      <c r="C536" s="162" t="n"/>
    </row>
    <row r="537">
      <c r="C537" s="162" t="n"/>
    </row>
    <row r="538">
      <c r="C538" s="162" t="n"/>
    </row>
    <row r="539">
      <c r="C539" s="162" t="n"/>
    </row>
    <row r="540">
      <c r="C540" s="162" t="n"/>
    </row>
    <row r="541">
      <c r="C541" s="162" t="n"/>
    </row>
    <row r="542">
      <c r="C542" s="162" t="n"/>
    </row>
    <row r="543">
      <c r="C543" s="162" t="n"/>
    </row>
    <row r="544">
      <c r="C544" s="162" t="n"/>
    </row>
    <row r="545">
      <c r="C545" s="162" t="n"/>
    </row>
    <row r="546">
      <c r="C546" s="162" t="n"/>
    </row>
    <row r="547">
      <c r="C547" s="162" t="n"/>
    </row>
    <row r="548">
      <c r="C548" s="162" t="n"/>
    </row>
    <row r="549">
      <c r="C549" s="162" t="n"/>
    </row>
    <row r="550">
      <c r="C550" s="162" t="n"/>
    </row>
    <row r="551">
      <c r="C551" s="162" t="n"/>
    </row>
    <row r="552">
      <c r="C552" s="162" t="n"/>
    </row>
    <row r="553">
      <c r="C553" s="162" t="n"/>
    </row>
    <row r="554">
      <c r="C554" s="162" t="n"/>
    </row>
    <row r="555">
      <c r="C555" s="162" t="n"/>
    </row>
    <row r="556">
      <c r="C556" s="162" t="n"/>
    </row>
    <row r="557">
      <c r="C557" s="162" t="n"/>
    </row>
    <row r="558">
      <c r="C558" s="162" t="n"/>
    </row>
    <row r="559">
      <c r="C559" s="162" t="n"/>
    </row>
    <row r="560">
      <c r="C560" s="162" t="n"/>
    </row>
    <row r="561">
      <c r="C561" s="162" t="n"/>
    </row>
    <row r="562">
      <c r="C562" s="162" t="n"/>
    </row>
    <row r="563">
      <c r="C563" s="162" t="n"/>
    </row>
    <row r="564">
      <c r="C564" s="162" t="n"/>
    </row>
    <row r="565">
      <c r="C565" s="162" t="n"/>
    </row>
    <row r="566">
      <c r="C566" s="162" t="n"/>
    </row>
    <row r="567">
      <c r="C567" s="162" t="n"/>
    </row>
    <row r="568">
      <c r="C568" s="162" t="n"/>
    </row>
    <row r="569">
      <c r="C569" s="162" t="n"/>
    </row>
    <row r="570">
      <c r="C570" s="162" t="n"/>
    </row>
    <row r="571">
      <c r="C571" s="162" t="n"/>
    </row>
    <row r="572">
      <c r="C572" s="162" t="n"/>
    </row>
    <row r="573">
      <c r="C573" s="162" t="n"/>
    </row>
    <row r="574">
      <c r="C574" s="162" t="n"/>
    </row>
    <row r="575">
      <c r="C575" s="162" t="n"/>
    </row>
    <row r="576">
      <c r="C576" s="162" t="n"/>
    </row>
    <row r="577">
      <c r="C577" s="162" t="n"/>
    </row>
    <row r="578">
      <c r="C578" s="162" t="n"/>
    </row>
    <row r="579">
      <c r="C579" s="162" t="n"/>
    </row>
    <row r="580">
      <c r="C580" s="162" t="n"/>
    </row>
    <row r="581">
      <c r="C581" s="162" t="n"/>
    </row>
    <row r="582">
      <c r="C582" s="162" t="n"/>
    </row>
    <row r="583">
      <c r="C583" s="162" t="n"/>
    </row>
    <row r="584">
      <c r="C584" s="162" t="n"/>
    </row>
    <row r="585">
      <c r="C585" s="162" t="n"/>
    </row>
    <row r="586">
      <c r="C586" s="162" t="n"/>
    </row>
    <row r="587">
      <c r="C587" s="162" t="n"/>
    </row>
    <row r="588">
      <c r="C588" s="162" t="n"/>
    </row>
    <row r="589">
      <c r="C589" s="162" t="n"/>
    </row>
    <row r="590">
      <c r="C590" s="162" t="n"/>
    </row>
    <row r="591">
      <c r="C591" s="162" t="n"/>
    </row>
    <row r="592">
      <c r="C592" s="162" t="n"/>
    </row>
    <row r="593">
      <c r="C593" s="162" t="n"/>
    </row>
    <row r="594">
      <c r="C594" s="162" t="n"/>
    </row>
    <row r="595">
      <c r="C595" s="162" t="n"/>
    </row>
    <row r="596">
      <c r="C596" s="162" t="n"/>
    </row>
    <row r="597">
      <c r="C597" s="162" t="n"/>
    </row>
    <row r="598">
      <c r="C598" s="162" t="n"/>
    </row>
    <row r="599">
      <c r="C599" s="162" t="n"/>
    </row>
    <row r="600">
      <c r="C600" s="162" t="n"/>
    </row>
    <row r="601">
      <c r="C601" s="162" t="n"/>
    </row>
    <row r="602">
      <c r="C602" s="162" t="n"/>
    </row>
    <row r="603">
      <c r="C603" s="162" t="n"/>
    </row>
    <row r="604">
      <c r="C604" s="162" t="n"/>
    </row>
    <row r="605">
      <c r="C605" s="162" t="n"/>
    </row>
    <row r="606">
      <c r="C606" s="162" t="n"/>
    </row>
    <row r="607">
      <c r="C607" s="162" t="n"/>
    </row>
    <row r="608">
      <c r="C608" s="162" t="n"/>
    </row>
    <row r="609">
      <c r="C609" s="162" t="n"/>
    </row>
    <row r="610">
      <c r="C610" s="162" t="n"/>
    </row>
    <row r="611">
      <c r="C611" s="162" t="n"/>
    </row>
    <row r="612">
      <c r="C612" s="162" t="n"/>
    </row>
    <row r="613">
      <c r="C613" s="162" t="n"/>
    </row>
    <row r="614">
      <c r="C614" s="162" t="n"/>
    </row>
    <row r="615">
      <c r="C615" s="162" t="n"/>
    </row>
    <row r="616">
      <c r="C616" s="162" t="n"/>
    </row>
    <row r="617">
      <c r="C617" s="162" t="n"/>
    </row>
    <row r="618">
      <c r="C618" s="162" t="n"/>
    </row>
    <row r="619">
      <c r="C619" s="162" t="n"/>
    </row>
    <row r="620">
      <c r="C620" s="162" t="n"/>
    </row>
    <row r="621">
      <c r="C621" s="162" t="n"/>
    </row>
    <row r="622">
      <c r="C622" s="162" t="n"/>
    </row>
    <row r="623">
      <c r="C623" s="162" t="n"/>
    </row>
    <row r="624">
      <c r="C624" s="162" t="n"/>
    </row>
    <row r="625">
      <c r="C625" s="162" t="n"/>
    </row>
    <row r="626">
      <c r="C626" s="162" t="n"/>
    </row>
    <row r="627">
      <c r="C627" s="162" t="n"/>
    </row>
    <row r="628">
      <c r="C628" s="162" t="n"/>
    </row>
    <row r="629">
      <c r="C629" s="162" t="n"/>
    </row>
    <row r="630">
      <c r="C630" s="162" t="n"/>
    </row>
    <row r="631">
      <c r="C631" s="162" t="n"/>
    </row>
    <row r="632">
      <c r="C632" s="162" t="n"/>
    </row>
    <row r="633">
      <c r="C633" s="162" t="n"/>
    </row>
    <row r="634">
      <c r="C634" s="162" t="n"/>
    </row>
    <row r="635">
      <c r="C635" s="162" t="n"/>
    </row>
    <row r="636">
      <c r="C636" s="162" t="n"/>
    </row>
    <row r="637">
      <c r="C637" s="162" t="n"/>
    </row>
    <row r="638">
      <c r="C638" s="162" t="n"/>
    </row>
    <row r="639">
      <c r="C639" s="162" t="n"/>
    </row>
    <row r="640">
      <c r="C640" s="162" t="n"/>
    </row>
    <row r="641">
      <c r="C641" s="162" t="n"/>
    </row>
    <row r="642">
      <c r="C642" s="162" t="n"/>
    </row>
    <row r="643">
      <c r="C643" s="162" t="n"/>
    </row>
    <row r="644">
      <c r="C644" s="162" t="n"/>
    </row>
    <row r="645">
      <c r="C645" s="162" t="n"/>
    </row>
    <row r="646">
      <c r="C646" s="162" t="n"/>
    </row>
    <row r="647">
      <c r="C647" s="162" t="n"/>
    </row>
    <row r="648">
      <c r="C648" s="162" t="n"/>
    </row>
    <row r="649">
      <c r="C649" s="162" t="n"/>
    </row>
    <row r="650">
      <c r="C650" s="162" t="n"/>
    </row>
    <row r="651">
      <c r="C651" s="162" t="n"/>
    </row>
    <row r="652">
      <c r="C652" s="162" t="n"/>
    </row>
    <row r="653">
      <c r="C653" s="162" t="n"/>
    </row>
    <row r="654">
      <c r="C654" s="162" t="n"/>
    </row>
    <row r="655">
      <c r="C655" s="162" t="n"/>
    </row>
    <row r="656">
      <c r="C656" s="162" t="n"/>
    </row>
    <row r="657">
      <c r="C657" s="162" t="n"/>
    </row>
    <row r="658">
      <c r="C658" s="162" t="n"/>
    </row>
    <row r="659">
      <c r="C659" s="162" t="n"/>
    </row>
    <row r="660">
      <c r="C660" s="162" t="n"/>
    </row>
    <row r="661">
      <c r="C661" s="162" t="n"/>
    </row>
    <row r="662">
      <c r="C662" s="162" t="n"/>
    </row>
    <row r="663">
      <c r="C663" s="162" t="n"/>
    </row>
    <row r="664">
      <c r="C664" s="162" t="n"/>
    </row>
    <row r="665">
      <c r="C665" s="162" t="n"/>
    </row>
    <row r="666">
      <c r="C666" s="162" t="n"/>
    </row>
    <row r="667">
      <c r="C667" s="162" t="n"/>
    </row>
    <row r="668">
      <c r="C668" s="162" t="n"/>
    </row>
    <row r="669">
      <c r="C669" s="162" t="n"/>
    </row>
    <row r="670">
      <c r="C670" s="162" t="n"/>
    </row>
    <row r="671">
      <c r="C671" s="162" t="n"/>
    </row>
    <row r="672">
      <c r="C672" s="162" t="n"/>
    </row>
    <row r="673">
      <c r="C673" s="162" t="n"/>
    </row>
    <row r="674">
      <c r="C674" s="162" t="n"/>
    </row>
    <row r="675">
      <c r="C675" s="162" t="n"/>
    </row>
    <row r="676">
      <c r="C676" s="162" t="n"/>
    </row>
    <row r="677">
      <c r="C677" s="162" t="n"/>
    </row>
    <row r="678">
      <c r="C678" s="162" t="n"/>
    </row>
    <row r="679">
      <c r="C679" s="162" t="n"/>
    </row>
    <row r="680">
      <c r="C680" s="162" t="n"/>
    </row>
    <row r="681">
      <c r="C681" s="162" t="n"/>
    </row>
    <row r="682">
      <c r="C682" s="162" t="n"/>
    </row>
    <row r="683">
      <c r="C683" s="162" t="n"/>
    </row>
    <row r="684">
      <c r="C684" s="162" t="n"/>
    </row>
    <row r="685">
      <c r="C685" s="162" t="n"/>
    </row>
    <row r="686">
      <c r="C686" s="162" t="n"/>
    </row>
    <row r="687">
      <c r="C687" s="162" t="n"/>
    </row>
    <row r="688">
      <c r="C688" s="162" t="n"/>
    </row>
    <row r="689">
      <c r="C689" s="162" t="n"/>
    </row>
    <row r="690">
      <c r="C690" s="162" t="n"/>
    </row>
    <row r="691">
      <c r="C691" s="162" t="n"/>
    </row>
    <row r="692">
      <c r="C692" s="162" t="n"/>
    </row>
    <row r="693">
      <c r="C693" s="162" t="n"/>
    </row>
    <row r="694">
      <c r="C694" s="162" t="n"/>
    </row>
    <row r="695">
      <c r="C695" s="162" t="n"/>
    </row>
    <row r="696">
      <c r="C696" s="162" t="n"/>
    </row>
    <row r="697">
      <c r="C697" s="162" t="n"/>
    </row>
    <row r="698">
      <c r="C698" s="162" t="n"/>
    </row>
    <row r="699">
      <c r="C699" s="162" t="n"/>
    </row>
    <row r="700">
      <c r="C700" s="162" t="n"/>
    </row>
    <row r="701">
      <c r="C701" s="162" t="n"/>
    </row>
    <row r="702">
      <c r="C702" s="162" t="n"/>
    </row>
    <row r="703">
      <c r="C703" s="162" t="n"/>
    </row>
    <row r="704">
      <c r="C704" s="162" t="n"/>
    </row>
    <row r="705">
      <c r="C705" s="162" t="n"/>
    </row>
    <row r="706">
      <c r="C706" s="162" t="n"/>
    </row>
    <row r="707">
      <c r="C707" s="162" t="n"/>
    </row>
    <row r="708">
      <c r="C708" s="162" t="n"/>
    </row>
    <row r="709">
      <c r="C709" s="162" t="n"/>
    </row>
    <row r="710">
      <c r="C710" s="162" t="n"/>
    </row>
    <row r="711">
      <c r="C711" s="162" t="n"/>
    </row>
    <row r="712">
      <c r="C712" s="162" t="n"/>
    </row>
    <row r="713">
      <c r="C713" s="162" t="n"/>
    </row>
    <row r="714">
      <c r="C714" s="162" t="n"/>
    </row>
    <row r="715">
      <c r="C715" s="162" t="n"/>
    </row>
    <row r="716">
      <c r="C716" s="162" t="n"/>
    </row>
    <row r="717">
      <c r="C717" s="162" t="n"/>
    </row>
    <row r="718">
      <c r="C718" s="162" t="n"/>
    </row>
    <row r="719">
      <c r="C719" s="162" t="n"/>
    </row>
    <row r="720">
      <c r="C720" s="162" t="n"/>
    </row>
    <row r="721">
      <c r="C721" s="162" t="n"/>
    </row>
    <row r="722">
      <c r="C722" s="162" t="n"/>
    </row>
    <row r="723">
      <c r="C723" s="162" t="n"/>
    </row>
    <row r="724">
      <c r="C724" s="162" t="n"/>
    </row>
    <row r="725">
      <c r="C725" s="162" t="n"/>
    </row>
    <row r="726">
      <c r="C726" s="162" t="n"/>
    </row>
    <row r="727">
      <c r="C727" s="162" t="n"/>
    </row>
    <row r="728">
      <c r="C728" s="162" t="n"/>
    </row>
    <row r="729">
      <c r="C729" s="162" t="n"/>
    </row>
    <row r="730">
      <c r="C730" s="162" t="n"/>
    </row>
    <row r="731">
      <c r="C731" s="162" t="n"/>
    </row>
    <row r="732">
      <c r="C732" s="162" t="n"/>
    </row>
    <row r="733">
      <c r="C733" s="162" t="n"/>
    </row>
    <row r="734">
      <c r="C734" s="162" t="n"/>
    </row>
    <row r="735">
      <c r="C735" s="162" t="n"/>
    </row>
    <row r="736">
      <c r="C736" s="162" t="n"/>
    </row>
    <row r="737">
      <c r="C737" s="162" t="n"/>
    </row>
    <row r="738">
      <c r="C738" s="162" t="n"/>
    </row>
    <row r="739">
      <c r="C739" s="162" t="n"/>
    </row>
    <row r="740">
      <c r="C740" s="162" t="n"/>
    </row>
    <row r="741">
      <c r="C741" s="162" t="n"/>
    </row>
    <row r="742">
      <c r="C742" s="162" t="n"/>
    </row>
    <row r="743">
      <c r="C743" s="162" t="n"/>
    </row>
    <row r="744">
      <c r="C744" s="162" t="n"/>
    </row>
    <row r="745">
      <c r="C745" s="162" t="n"/>
    </row>
    <row r="746">
      <c r="C746" s="162" t="n"/>
    </row>
    <row r="747">
      <c r="C747" s="162" t="n"/>
    </row>
    <row r="748">
      <c r="C748" s="162" t="n"/>
    </row>
    <row r="749">
      <c r="C749" s="162" t="n"/>
    </row>
    <row r="750">
      <c r="C750" s="162" t="n"/>
    </row>
    <row r="751">
      <c r="C751" s="162" t="n"/>
    </row>
    <row r="752">
      <c r="C752" s="162" t="n"/>
    </row>
    <row r="753">
      <c r="C753" s="162" t="n"/>
    </row>
    <row r="754">
      <c r="C754" s="162" t="n"/>
    </row>
    <row r="755">
      <c r="C755" s="162" t="n"/>
    </row>
    <row r="756">
      <c r="C756" s="162" t="n"/>
    </row>
    <row r="757">
      <c r="C757" s="162" t="n"/>
    </row>
    <row r="758">
      <c r="C758" s="162" t="n"/>
    </row>
    <row r="759">
      <c r="C759" s="162" t="n"/>
    </row>
    <row r="760">
      <c r="C760" s="162" t="n"/>
    </row>
    <row r="761">
      <c r="C761" s="162" t="n"/>
    </row>
    <row r="762">
      <c r="C762" s="162" t="n"/>
    </row>
    <row r="763">
      <c r="C763" s="162" t="n"/>
    </row>
    <row r="764">
      <c r="C764" s="162" t="n"/>
    </row>
    <row r="765">
      <c r="C765" s="162" t="n"/>
    </row>
    <row r="766">
      <c r="C766" s="162" t="n"/>
    </row>
    <row r="767">
      <c r="C767" s="162" t="n"/>
    </row>
    <row r="768">
      <c r="C768" s="162" t="n"/>
    </row>
    <row r="769">
      <c r="C769" s="162" t="n"/>
    </row>
    <row r="770">
      <c r="C770" s="162" t="n"/>
    </row>
    <row r="771">
      <c r="C771" s="162" t="n"/>
    </row>
    <row r="772">
      <c r="C772" s="162" t="n"/>
    </row>
    <row r="773">
      <c r="C773" s="162" t="n"/>
    </row>
    <row r="774">
      <c r="C774" s="162" t="n"/>
    </row>
    <row r="775">
      <c r="C775" s="162" t="n"/>
    </row>
    <row r="776">
      <c r="C776" s="162" t="n"/>
    </row>
    <row r="777">
      <c r="C777" s="162" t="n"/>
    </row>
    <row r="778">
      <c r="C778" s="162" t="n"/>
    </row>
    <row r="779">
      <c r="C779" s="162" t="n"/>
    </row>
    <row r="780">
      <c r="C780" s="162" t="n"/>
    </row>
    <row r="781">
      <c r="C781" s="162" t="n"/>
    </row>
    <row r="782">
      <c r="C782" s="162" t="n"/>
    </row>
    <row r="783">
      <c r="C783" s="162" t="n"/>
    </row>
    <row r="784">
      <c r="C784" s="162" t="n"/>
    </row>
    <row r="785">
      <c r="C785" s="162" t="n"/>
    </row>
    <row r="786">
      <c r="C786" s="162" t="n"/>
    </row>
    <row r="787">
      <c r="C787" s="162" t="n"/>
    </row>
    <row r="788">
      <c r="C788" s="162" t="n"/>
    </row>
    <row r="789">
      <c r="C789" s="162" t="n"/>
    </row>
    <row r="790">
      <c r="C790" s="162" t="n"/>
    </row>
    <row r="791">
      <c r="C791" s="162" t="n"/>
    </row>
    <row r="792">
      <c r="C792" s="162" t="n"/>
    </row>
    <row r="793">
      <c r="C793" s="162" t="n"/>
    </row>
    <row r="794">
      <c r="C794" s="162" t="n"/>
    </row>
    <row r="795">
      <c r="C795" s="162" t="n"/>
    </row>
    <row r="796">
      <c r="C796" s="162" t="n"/>
    </row>
    <row r="797">
      <c r="C797" s="162" t="n"/>
    </row>
    <row r="798">
      <c r="C798" s="162" t="n"/>
    </row>
    <row r="799">
      <c r="C799" s="162" t="n"/>
    </row>
    <row r="800">
      <c r="C800" s="162" t="n"/>
    </row>
    <row r="801">
      <c r="C801" s="162" t="n"/>
    </row>
    <row r="802">
      <c r="C802" s="162" t="n"/>
    </row>
    <row r="803">
      <c r="C803" s="162" t="n"/>
    </row>
    <row r="804">
      <c r="C804" s="162" t="n"/>
    </row>
    <row r="805">
      <c r="C805" s="162" t="n"/>
    </row>
    <row r="806">
      <c r="C806" s="162" t="n"/>
    </row>
    <row r="807">
      <c r="C807" s="162" t="n"/>
    </row>
    <row r="808">
      <c r="C808" s="162" t="n"/>
    </row>
    <row r="809">
      <c r="C809" s="162" t="n"/>
    </row>
    <row r="810">
      <c r="C810" s="162" t="n"/>
    </row>
    <row r="811">
      <c r="C811" s="162" t="n"/>
    </row>
    <row r="812">
      <c r="C812" s="162" t="n"/>
    </row>
    <row r="813">
      <c r="C813" s="162" t="n"/>
    </row>
    <row r="814">
      <c r="C814" s="162" t="n"/>
    </row>
    <row r="815">
      <c r="C815" s="162" t="n"/>
    </row>
    <row r="816">
      <c r="C816" s="162" t="n"/>
    </row>
    <row r="817">
      <c r="C817" s="162" t="n"/>
    </row>
    <row r="818">
      <c r="C818" s="162" t="n"/>
    </row>
    <row r="819">
      <c r="C819" s="162" t="n"/>
    </row>
    <row r="820">
      <c r="C820" s="162" t="n"/>
    </row>
    <row r="821">
      <c r="C821" s="162" t="n"/>
    </row>
    <row r="822">
      <c r="C822" s="162" t="n"/>
    </row>
    <row r="823">
      <c r="C823" s="162" t="n"/>
    </row>
    <row r="824">
      <c r="C824" s="162" t="n"/>
    </row>
    <row r="825">
      <c r="C825" s="162" t="n"/>
    </row>
    <row r="826">
      <c r="C826" s="162" t="n"/>
    </row>
    <row r="827">
      <c r="C827" s="162" t="n"/>
    </row>
    <row r="828">
      <c r="C828" s="162" t="n"/>
    </row>
    <row r="829">
      <c r="C829" s="162" t="n"/>
    </row>
    <row r="830">
      <c r="C830" s="162" t="n"/>
    </row>
    <row r="831">
      <c r="C831" s="162" t="n"/>
    </row>
    <row r="832">
      <c r="C832" s="162" t="n"/>
    </row>
    <row r="833">
      <c r="C833" s="162" t="n"/>
    </row>
    <row r="834">
      <c r="C834" s="162" t="n"/>
    </row>
    <row r="835">
      <c r="C835" s="162" t="n"/>
    </row>
    <row r="836">
      <c r="C836" s="162" t="n"/>
    </row>
    <row r="837">
      <c r="C837" s="162" t="n"/>
    </row>
    <row r="838">
      <c r="C838" s="162" t="n"/>
    </row>
    <row r="839">
      <c r="C839" s="162" t="n"/>
    </row>
    <row r="840">
      <c r="C840" s="162" t="n"/>
    </row>
    <row r="841">
      <c r="C841" s="162" t="n"/>
    </row>
    <row r="842">
      <c r="C842" s="162" t="n"/>
    </row>
    <row r="843">
      <c r="C843" s="162" t="n"/>
    </row>
    <row r="844">
      <c r="C844" s="162" t="n"/>
    </row>
    <row r="845">
      <c r="C845" s="162" t="n"/>
    </row>
    <row r="846">
      <c r="C846" s="162" t="n"/>
    </row>
    <row r="847">
      <c r="C847" s="162" t="n"/>
    </row>
    <row r="848">
      <c r="C848" s="162" t="n"/>
    </row>
    <row r="849">
      <c r="C849" s="162" t="n"/>
    </row>
    <row r="850">
      <c r="C850" s="162" t="n"/>
    </row>
    <row r="851">
      <c r="C851" s="162" t="n"/>
    </row>
    <row r="852">
      <c r="C852" s="162" t="n"/>
    </row>
    <row r="853">
      <c r="C853" s="162" t="n"/>
    </row>
    <row r="854">
      <c r="C854" s="162" t="n"/>
    </row>
    <row r="855">
      <c r="C855" s="162" t="n"/>
    </row>
    <row r="856">
      <c r="C856" s="162" t="n"/>
    </row>
    <row r="857">
      <c r="C857" s="162" t="n"/>
    </row>
    <row r="858">
      <c r="C858" s="162" t="n"/>
    </row>
    <row r="859">
      <c r="C859" s="162" t="n"/>
    </row>
    <row r="860">
      <c r="C860" s="162" t="n"/>
    </row>
    <row r="861">
      <c r="C861" s="162" t="n"/>
    </row>
    <row r="862">
      <c r="C862" s="162" t="n"/>
    </row>
    <row r="863">
      <c r="C863" s="162" t="n"/>
    </row>
    <row r="864">
      <c r="C864" s="162" t="n"/>
    </row>
    <row r="865">
      <c r="C865" s="162" t="n"/>
    </row>
    <row r="866">
      <c r="C866" s="162" t="n"/>
    </row>
    <row r="867">
      <c r="C867" s="162" t="n"/>
    </row>
    <row r="868">
      <c r="C868" s="162" t="n"/>
    </row>
    <row r="869">
      <c r="C869" s="162" t="n"/>
    </row>
    <row r="870">
      <c r="C870" s="162" t="n"/>
    </row>
    <row r="871">
      <c r="C871" s="162" t="n"/>
    </row>
    <row r="872">
      <c r="C872" s="162" t="n"/>
    </row>
    <row r="873">
      <c r="C873" s="162" t="n"/>
    </row>
    <row r="874">
      <c r="C874" s="162" t="n"/>
    </row>
    <row r="875">
      <c r="C875" s="162" t="n"/>
    </row>
    <row r="876">
      <c r="C876" s="162" t="n"/>
    </row>
    <row r="877">
      <c r="C877" s="162" t="n"/>
    </row>
    <row r="878">
      <c r="C878" s="162" t="n"/>
    </row>
    <row r="879">
      <c r="C879" s="162" t="n"/>
    </row>
    <row r="880">
      <c r="C880" s="162" t="n"/>
    </row>
    <row r="881">
      <c r="C881" s="162" t="n"/>
    </row>
    <row r="882">
      <c r="C882" s="162" t="n"/>
    </row>
    <row r="883">
      <c r="C883" s="162" t="n"/>
    </row>
    <row r="884">
      <c r="C884" s="162" t="n"/>
    </row>
    <row r="885">
      <c r="C885" s="162" t="n"/>
    </row>
    <row r="886">
      <c r="C886" s="162" t="n"/>
    </row>
    <row r="887">
      <c r="C887" s="162" t="n"/>
    </row>
    <row r="888">
      <c r="C888" s="162" t="n"/>
    </row>
    <row r="889">
      <c r="C889" s="162" t="n"/>
    </row>
    <row r="890">
      <c r="C890" s="162" t="n"/>
    </row>
    <row r="891">
      <c r="C891" s="162" t="n"/>
    </row>
    <row r="892">
      <c r="C892" s="162" t="n"/>
    </row>
    <row r="893">
      <c r="C893" s="162" t="n"/>
    </row>
    <row r="894">
      <c r="C894" s="162" t="n"/>
    </row>
    <row r="895">
      <c r="C895" s="162" t="n"/>
    </row>
    <row r="896">
      <c r="C896" s="162" t="n"/>
    </row>
    <row r="897">
      <c r="C897" s="162" t="n"/>
    </row>
    <row r="898">
      <c r="C898" s="162" t="n"/>
    </row>
    <row r="899">
      <c r="C899" s="162" t="n"/>
    </row>
    <row r="900">
      <c r="C900" s="162" t="n"/>
    </row>
    <row r="901">
      <c r="C901" s="162" t="n"/>
    </row>
    <row r="902">
      <c r="C902" s="162" t="n"/>
    </row>
    <row r="903">
      <c r="C903" s="162" t="n"/>
    </row>
    <row r="904">
      <c r="C904" s="162" t="n"/>
    </row>
    <row r="905">
      <c r="C905" s="162" t="n"/>
    </row>
    <row r="906">
      <c r="C906" s="162" t="n"/>
    </row>
    <row r="907">
      <c r="C907" s="162" t="n"/>
    </row>
    <row r="908">
      <c r="C908" s="162" t="n"/>
    </row>
    <row r="909">
      <c r="C909" s="162" t="n"/>
    </row>
    <row r="910">
      <c r="C910" s="162" t="n"/>
    </row>
    <row r="911">
      <c r="C911" s="162" t="n"/>
    </row>
    <row r="912">
      <c r="C912" s="162" t="n"/>
    </row>
    <row r="913">
      <c r="C913" s="162" t="n"/>
    </row>
    <row r="914">
      <c r="C914" s="162" t="n"/>
    </row>
    <row r="915">
      <c r="C915" s="162" t="n"/>
    </row>
    <row r="916">
      <c r="C916" s="162" t="n"/>
    </row>
    <row r="917">
      <c r="C917" s="162" t="n"/>
    </row>
    <row r="918">
      <c r="C918" s="162" t="n"/>
    </row>
    <row r="919">
      <c r="C919" s="162" t="n"/>
    </row>
    <row r="920">
      <c r="C920" s="162" t="n"/>
    </row>
    <row r="921">
      <c r="C921" s="162" t="n"/>
    </row>
    <row r="922">
      <c r="C922" s="162" t="n"/>
    </row>
    <row r="923">
      <c r="C923" s="162" t="n"/>
    </row>
    <row r="924">
      <c r="C924" s="162" t="n"/>
    </row>
    <row r="925">
      <c r="C925" s="162" t="n"/>
    </row>
    <row r="926">
      <c r="C926" s="162" t="n"/>
    </row>
    <row r="927">
      <c r="C927" s="162" t="n"/>
    </row>
    <row r="928">
      <c r="C928" s="162" t="n"/>
    </row>
    <row r="929">
      <c r="C929" s="162" t="n"/>
    </row>
    <row r="930">
      <c r="C930" s="162" t="n"/>
    </row>
    <row r="931">
      <c r="C931" s="162" t="n"/>
    </row>
    <row r="932">
      <c r="C932" s="162" t="n"/>
    </row>
    <row r="933">
      <c r="C933" s="162" t="n"/>
    </row>
    <row r="934">
      <c r="C934" s="162" t="n"/>
    </row>
    <row r="935">
      <c r="C935" s="162" t="n"/>
    </row>
    <row r="936">
      <c r="C936" s="162" t="n"/>
    </row>
    <row r="937">
      <c r="C937" s="162" t="n"/>
    </row>
    <row r="938">
      <c r="C938" s="162" t="n"/>
    </row>
    <row r="939">
      <c r="C939" s="162" t="n"/>
    </row>
    <row r="940">
      <c r="C940" s="162" t="n"/>
    </row>
    <row r="941">
      <c r="C941" s="162" t="n"/>
    </row>
    <row r="942">
      <c r="C942" s="162" t="n"/>
    </row>
    <row r="943">
      <c r="C943" s="162" t="n"/>
    </row>
    <row r="944">
      <c r="C944" s="162" t="n"/>
    </row>
    <row r="945">
      <c r="C945" s="162" t="n"/>
    </row>
    <row r="946">
      <c r="C946" s="162" t="n"/>
    </row>
    <row r="947">
      <c r="C947" s="162" t="n"/>
    </row>
    <row r="948">
      <c r="C948" s="162" t="n"/>
    </row>
    <row r="949">
      <c r="C949" s="162" t="n"/>
    </row>
    <row r="950">
      <c r="C950" s="162" t="n"/>
    </row>
    <row r="951">
      <c r="C951" s="162" t="n"/>
    </row>
    <row r="952">
      <c r="C952" s="162" t="n"/>
    </row>
    <row r="953">
      <c r="C953" s="162" t="n"/>
    </row>
    <row r="954">
      <c r="C954" s="162" t="n"/>
    </row>
    <row r="955">
      <c r="C955" s="162" t="n"/>
    </row>
    <row r="956">
      <c r="C956" s="162" t="n"/>
    </row>
    <row r="957">
      <c r="C957" s="162" t="n"/>
    </row>
    <row r="958">
      <c r="C958" s="162" t="n"/>
    </row>
    <row r="959">
      <c r="C959" s="162" t="n"/>
    </row>
    <row r="960">
      <c r="C960" s="162" t="n"/>
    </row>
    <row r="961">
      <c r="C961" s="162" t="n"/>
    </row>
    <row r="962">
      <c r="C962" s="162" t="n"/>
    </row>
    <row r="963">
      <c r="C963" s="162" t="n"/>
    </row>
    <row r="964">
      <c r="C964" s="162" t="n"/>
    </row>
    <row r="965">
      <c r="C965" s="162" t="n"/>
    </row>
    <row r="966">
      <c r="C966" s="162" t="n"/>
    </row>
    <row r="967">
      <c r="C967" s="162" t="n"/>
    </row>
    <row r="968">
      <c r="C968" s="162" t="n"/>
    </row>
    <row r="969">
      <c r="C969" s="162" t="n"/>
    </row>
    <row r="970">
      <c r="C970" s="162" t="n"/>
    </row>
    <row r="971">
      <c r="C971" s="162" t="n"/>
    </row>
    <row r="972">
      <c r="C972" s="162" t="n"/>
    </row>
    <row r="973">
      <c r="C973" s="162" t="n"/>
    </row>
    <row r="974">
      <c r="C974" s="162" t="n"/>
    </row>
    <row r="975">
      <c r="C975" s="162" t="n"/>
    </row>
    <row r="976">
      <c r="C976" s="162" t="n"/>
    </row>
    <row r="977">
      <c r="C977" s="162" t="n"/>
    </row>
    <row r="978">
      <c r="C978" s="162" t="n"/>
    </row>
    <row r="979">
      <c r="C979" s="162" t="n"/>
    </row>
    <row r="980">
      <c r="C980" s="162" t="n"/>
    </row>
    <row r="981">
      <c r="C981" s="162" t="n"/>
    </row>
    <row r="982">
      <c r="C982" s="162" t="n"/>
    </row>
    <row r="983">
      <c r="C983" s="162" t="n"/>
    </row>
    <row r="984">
      <c r="C984" s="162" t="n"/>
    </row>
    <row r="985">
      <c r="C985" s="162" t="n"/>
    </row>
    <row r="986">
      <c r="C986" s="162" t="n"/>
    </row>
    <row r="987">
      <c r="C987" s="162" t="n"/>
    </row>
    <row r="988">
      <c r="C988" s="162" t="n"/>
    </row>
    <row r="989">
      <c r="C989" s="162" t="n"/>
    </row>
    <row r="990">
      <c r="C990" s="162" t="n"/>
    </row>
    <row r="991">
      <c r="C991" s="162" t="n"/>
    </row>
    <row r="992">
      <c r="C992" s="162" t="n"/>
    </row>
    <row r="993">
      <c r="C993" s="162" t="n"/>
    </row>
    <row r="994">
      <c r="C994" s="162" t="n"/>
    </row>
    <row r="995">
      <c r="C995" s="162" t="n"/>
    </row>
    <row r="996">
      <c r="C996" s="162" t="n"/>
    </row>
    <row r="997">
      <c r="C997" s="162" t="n"/>
    </row>
    <row r="998">
      <c r="C998" s="162" t="n"/>
    </row>
    <row r="999">
      <c r="C999" s="162" t="n"/>
    </row>
    <row r="1000">
      <c r="C1000" s="162"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cols>
    <col width="38" customWidth="1" min="1" max="1"/>
    <col width="19" customWidth="1" min="2" max="2"/>
    <col width="17" customWidth="1" min="3" max="3"/>
    <col width="36" customWidth="1" min="4" max="4"/>
    <col width="17" customWidth="1" min="5" max="5"/>
    <col width="15"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5" customWidth="1" min="14" max="14"/>
    <col width="20" customWidth="1" min="15" max="15"/>
    <col width="65" customWidth="1" min="16" max="16"/>
    <col width="23" customWidth="1" min="17" max="17"/>
    <col width="14" customWidth="1" min="18" max="18"/>
    <col width="18" customWidth="1" min="19" max="19"/>
  </cols>
  <sheetData>
    <row r="1" ht="32" customHeight="1">
      <c r="A1" t="inlineStr">
        <is>
          <t>Invoice and bill records</t>
        </is>
      </c>
    </row>
    <row r="2" ht="10" customHeight="1"/>
    <row r="3" ht="36" customHeight="1">
      <c r="A3" t="inlineStr">
        <is>
          <t>ACT-ST Goods-tagged invoice mirror, including adjacent periods needed to reconcile payment dates. Paid totals are current mirror values.</t>
        </is>
      </c>
    </row>
    <row r="4" ht="10" customHeight="1"/>
    <row r="5" ht="10" customHeight="1"/>
    <row r="6" ht="36" customHeight="1">
      <c r="A6" t="inlineStr">
        <is>
          <t>Invoice ID</t>
        </is>
      </c>
      <c r="B6" t="inlineStr">
        <is>
          <t>Number</t>
        </is>
      </c>
      <c r="C6" t="inlineStr">
        <is>
          <t>Invoice date</t>
        </is>
      </c>
      <c r="D6" t="inlineStr">
        <is>
          <t>Counterparty</t>
        </is>
      </c>
      <c r="E6" t="inlineStr">
        <is>
          <t>Type</t>
        </is>
      </c>
      <c r="F6" t="inlineStr">
        <is>
          <t>Status</t>
        </is>
      </c>
      <c r="G6" t="inlineStr">
        <is>
          <t>Net AUD</t>
        </is>
      </c>
      <c r="H6" t="inlineStr">
        <is>
          <t>Tax AUD</t>
        </is>
      </c>
      <c r="I6" t="inlineStr">
        <is>
          <t>Gross AUD</t>
        </is>
      </c>
      <c r="J6" t="inlineStr">
        <is>
          <t>Paid to date</t>
        </is>
      </c>
      <c r="K6" t="inlineStr">
        <is>
          <t>Due to date</t>
        </is>
      </c>
      <c r="L6" t="inlineStr">
        <is>
          <t>Dated payments</t>
        </is>
      </c>
      <c r="M6" t="inlineStr">
        <is>
          <t>Payment detail gap</t>
        </is>
      </c>
      <c r="N6" t="inlineStr">
        <is>
          <t>FY26 invoice</t>
        </is>
      </c>
      <c r="O6" t="inlineStr">
        <is>
          <t>Scope</t>
        </is>
      </c>
      <c r="P6" t="inlineStr">
        <is>
          <t>Description</t>
        </is>
      </c>
      <c r="Q6" t="inlineStr">
        <is>
          <t>Coding source</t>
        </is>
      </c>
      <c r="R6" t="inlineStr">
        <is>
          <t>Entity</t>
        </is>
      </c>
      <c r="S6" t="inlineStr">
        <is>
          <t>Source synced</t>
        </is>
      </c>
    </row>
    <row r="7" ht="36" customHeight="1">
      <c r="A7" t="inlineStr">
        <is>
          <t>8c4ba6d2-298c-487d-94ad-779a35a12011</t>
        </is>
      </c>
      <c r="B7" t="inlineStr">
        <is>
          <t>008</t>
        </is>
      </c>
      <c r="C7" s="162" t="n">
        <v>45685</v>
      </c>
      <c r="D7" t="inlineStr">
        <is>
          <t>The Matnic Trust</t>
        </is>
      </c>
      <c r="E7" t="inlineStr">
        <is>
          <t>ACCPAY</t>
        </is>
      </c>
      <c r="F7" t="inlineStr">
        <is>
          <t>PAID</t>
        </is>
      </c>
      <c r="G7" t="n">
        <v>1700</v>
      </c>
      <c r="H7" t="n">
        <v>0</v>
      </c>
      <c r="I7" t="n">
        <v>1700</v>
      </c>
      <c r="J7" t="n">
        <v>1700</v>
      </c>
      <c r="K7" t="n">
        <v>0</v>
      </c>
      <c r="L7" t="n">
        <v>0</v>
      </c>
      <c r="M7">
        <f>IF(OR(F7="VOIDED",F7="DELETED"),0,J7-L7)</f>
        <v/>
      </c>
      <c r="N7" t="inlineStr">
        <is>
          <t>No</t>
        </is>
      </c>
      <c r="O7" t="inlineStr">
        <is>
          <t>Goods-tagged</t>
        </is>
      </c>
      <c r="Q7" t="inlineStr">
        <is>
          <t>manual</t>
        </is>
      </c>
      <c r="R7" t="inlineStr">
        <is>
          <t>ACT-ST</t>
        </is>
      </c>
      <c r="S7" t="n">
        <v>46049</v>
      </c>
    </row>
    <row r="8" ht="36" customHeight="1">
      <c r="A8" t="inlineStr">
        <is>
          <t>b83c3218-02ed-42af-a989-6809524d7239</t>
        </is>
      </c>
      <c r="B8" t="inlineStr">
        <is>
          <t>BYO-25309</t>
        </is>
      </c>
      <c r="C8" s="162" t="n">
        <v>45688</v>
      </c>
      <c r="D8" t="inlineStr">
        <is>
          <t>Byo Group</t>
        </is>
      </c>
      <c r="E8" t="inlineStr">
        <is>
          <t>ACCPAY</t>
        </is>
      </c>
      <c r="F8" t="inlineStr">
        <is>
          <t>PAID</t>
        </is>
      </c>
      <c r="G8" t="n">
        <v>753.6</v>
      </c>
      <c r="H8" t="n">
        <v>75.36</v>
      </c>
      <c r="I8" t="n">
        <v>828.96</v>
      </c>
      <c r="J8" t="n">
        <v>828.96</v>
      </c>
      <c r="K8" t="n">
        <v>0</v>
      </c>
      <c r="L8" t="n">
        <v>0</v>
      </c>
      <c r="M8">
        <f>IF(OR(F8="VOIDED",F8="DELETED"),0,J8-L8)</f>
        <v/>
      </c>
      <c r="N8" t="inlineStr">
        <is>
          <t>No</t>
        </is>
      </c>
      <c r="O8" t="inlineStr">
        <is>
          <t>Goods-tagged</t>
        </is>
      </c>
      <c r="Q8" t="inlineStr">
        <is>
          <t>vendor_rule</t>
        </is>
      </c>
      <c r="R8" t="inlineStr">
        <is>
          <t>ACT-ST</t>
        </is>
      </c>
      <c r="S8" t="n">
        <v>46049</v>
      </c>
    </row>
    <row r="9" ht="36" customHeight="1">
      <c r="A9" t="inlineStr">
        <is>
          <t>f39511ac-dac2-42dd-8bdb-2913166dadb0</t>
        </is>
      </c>
      <c r="B9" t="inlineStr">
        <is>
          <t>BYO-25327</t>
        </is>
      </c>
      <c r="C9" s="162" t="n">
        <v>45689</v>
      </c>
      <c r="D9" t="inlineStr">
        <is>
          <t>Byo Group</t>
        </is>
      </c>
      <c r="E9" t="inlineStr">
        <is>
          <t>ACCPAY</t>
        </is>
      </c>
      <c r="F9" t="inlineStr">
        <is>
          <t>PAID</t>
        </is>
      </c>
      <c r="G9" t="n">
        <v>30</v>
      </c>
      <c r="H9" t="n">
        <v>3</v>
      </c>
      <c r="I9" t="n">
        <v>33</v>
      </c>
      <c r="J9" t="n">
        <v>33</v>
      </c>
      <c r="K9" t="n">
        <v>0</v>
      </c>
      <c r="L9" t="n">
        <v>0</v>
      </c>
      <c r="M9">
        <f>IF(OR(F9="VOIDED",F9="DELETED"),0,J9-L9)</f>
        <v/>
      </c>
      <c r="N9" t="inlineStr">
        <is>
          <t>No</t>
        </is>
      </c>
      <c r="O9" t="inlineStr">
        <is>
          <t>Goods-tagged</t>
        </is>
      </c>
      <c r="Q9" t="inlineStr">
        <is>
          <t>vendor_rule</t>
        </is>
      </c>
      <c r="R9" t="inlineStr">
        <is>
          <t>ACT-ST</t>
        </is>
      </c>
      <c r="S9" t="n">
        <v>46049</v>
      </c>
    </row>
    <row r="10" ht="36" customHeight="1">
      <c r="A10" t="inlineStr">
        <is>
          <t>4e155196-ebfc-4e63-9367-b291834ca5cb</t>
        </is>
      </c>
      <c r="B10" t="inlineStr">
        <is>
          <t>8DCEB88A28</t>
        </is>
      </c>
      <c r="C10" s="162" t="n">
        <v>45691</v>
      </c>
      <c r="D10" t="inlineStr">
        <is>
          <t>Palm Island Motel</t>
        </is>
      </c>
      <c r="E10" t="inlineStr">
        <is>
          <t>ACCPAY</t>
        </is>
      </c>
      <c r="F10" t="inlineStr">
        <is>
          <t>VOIDED</t>
        </is>
      </c>
      <c r="G10" t="n">
        <v>225</v>
      </c>
      <c r="H10" t="n">
        <v>22.5</v>
      </c>
      <c r="I10" t="n">
        <v>247.5</v>
      </c>
      <c r="J10" t="n">
        <v>0</v>
      </c>
      <c r="K10" t="n">
        <v>0</v>
      </c>
      <c r="L10" t="n">
        <v>0</v>
      </c>
      <c r="M10">
        <f>IF(OR(F10="VOIDED",F10="DELETED"),0,J10-L10)</f>
        <v/>
      </c>
      <c r="N10" t="inlineStr">
        <is>
          <t>No</t>
        </is>
      </c>
      <c r="O10" t="inlineStr">
        <is>
          <t>Goods-tagged</t>
        </is>
      </c>
      <c r="Q10" t="inlineStr">
        <is>
          <t>vendor_rule</t>
        </is>
      </c>
      <c r="R10" t="inlineStr">
        <is>
          <t>ACT-ST</t>
        </is>
      </c>
      <c r="S10" t="n">
        <v>46049</v>
      </c>
    </row>
    <row r="11" ht="36" customHeight="1">
      <c r="A11" t="inlineStr">
        <is>
          <t>2e865848-e6c2-4bf7-9070-3cfcaf82396d</t>
        </is>
      </c>
      <c r="B11" t="inlineStr">
        <is>
          <t>INV-0208</t>
        </is>
      </c>
      <c r="C11" s="162" t="n">
        <v>45692</v>
      </c>
      <c r="D11" t="inlineStr">
        <is>
          <t>The Snow Foundation</t>
        </is>
      </c>
      <c r="E11" t="inlineStr">
        <is>
          <t>ACCREC</t>
        </is>
      </c>
      <c r="F11" t="inlineStr">
        <is>
          <t>PAID</t>
        </is>
      </c>
      <c r="G11" t="n">
        <v>25000</v>
      </c>
      <c r="H11" t="n">
        <v>2500</v>
      </c>
      <c r="I11" t="n">
        <v>27500</v>
      </c>
      <c r="J11" t="n">
        <v>27500</v>
      </c>
      <c r="K11" t="n">
        <v>0</v>
      </c>
      <c r="L11" t="n">
        <v>0</v>
      </c>
      <c r="M11">
        <f>IF(OR(F11="VOIDED",F11="DELETED"),0,J11-L11)</f>
        <v/>
      </c>
      <c r="N11" t="inlineStr">
        <is>
          <t>No</t>
        </is>
      </c>
      <c r="O11" t="inlineStr">
        <is>
          <t>Goods-tagged</t>
        </is>
      </c>
      <c r="Q11" t="inlineStr">
        <is>
          <t>vendor_rule</t>
        </is>
      </c>
      <c r="R11" t="inlineStr">
        <is>
          <t>ACT-ST</t>
        </is>
      </c>
      <c r="S11" t="n">
        <v>46049</v>
      </c>
    </row>
    <row r="12" ht="36" customHeight="1">
      <c r="A12" t="inlineStr">
        <is>
          <t>a94753bf-fdbc-4801-9728-c6f7e758af82</t>
        </is>
      </c>
      <c r="B12" t="inlineStr">
        <is>
          <t>WTWREG9158</t>
        </is>
      </c>
      <c r="C12" s="162" t="n">
        <v>45695</v>
      </c>
      <c r="D12" t="inlineStr">
        <is>
          <t>Orange Sky Australia</t>
        </is>
      </c>
      <c r="E12" t="inlineStr">
        <is>
          <t>ACCPAY</t>
        </is>
      </c>
      <c r="F12" t="inlineStr">
        <is>
          <t>PAID</t>
        </is>
      </c>
      <c r="G12" t="n">
        <v>288</v>
      </c>
      <c r="H12" t="n">
        <v>0</v>
      </c>
      <c r="I12" t="n">
        <v>288</v>
      </c>
      <c r="J12" t="n">
        <v>288</v>
      </c>
      <c r="K12" t="n">
        <v>0</v>
      </c>
      <c r="L12" t="n">
        <v>0</v>
      </c>
      <c r="M12">
        <f>IF(OR(F12="VOIDED",F12="DELETED"),0,J12-L12)</f>
        <v/>
      </c>
      <c r="N12" t="inlineStr">
        <is>
          <t>No</t>
        </is>
      </c>
      <c r="O12" t="inlineStr">
        <is>
          <t>Goods-tagged</t>
        </is>
      </c>
      <c r="Q12" t="inlineStr">
        <is>
          <t>vendor_rule</t>
        </is>
      </c>
      <c r="R12" t="inlineStr">
        <is>
          <t>ACT-ST</t>
        </is>
      </c>
      <c r="S12" t="n">
        <v>46049</v>
      </c>
    </row>
    <row r="13" ht="36" customHeight="1">
      <c r="A13" t="inlineStr">
        <is>
          <t>57f22f64-c3fc-4b35-ac1f-e7997067c09f</t>
        </is>
      </c>
      <c r="B13" t="inlineStr">
        <is>
          <t>00018331</t>
        </is>
      </c>
      <c r="C13" s="162" t="n">
        <v>45702</v>
      </c>
      <c r="D13" t="inlineStr">
        <is>
          <t>Crust Mechanical Repairs</t>
        </is>
      </c>
      <c r="E13" t="inlineStr">
        <is>
          <t>ACCPAY</t>
        </is>
      </c>
      <c r="F13" t="inlineStr">
        <is>
          <t>PAID</t>
        </is>
      </c>
      <c r="G13" t="n">
        <v>7682.73</v>
      </c>
      <c r="H13" t="n">
        <v>768.27</v>
      </c>
      <c r="I13" t="n">
        <v>8451</v>
      </c>
      <c r="J13" t="n">
        <v>8451</v>
      </c>
      <c r="K13" t="n">
        <v>0</v>
      </c>
      <c r="L13" t="n">
        <v>0</v>
      </c>
      <c r="M13">
        <f>IF(OR(F13="VOIDED",F13="DELETED"),0,J13-L13)</f>
        <v/>
      </c>
      <c r="N13" t="inlineStr">
        <is>
          <t>No</t>
        </is>
      </c>
      <c r="O13" t="inlineStr">
        <is>
          <t>Goods-tagged</t>
        </is>
      </c>
      <c r="Q13" t="inlineStr">
        <is>
          <t>vendor_rule</t>
        </is>
      </c>
      <c r="R13" t="inlineStr">
        <is>
          <t>ACT-ST</t>
        </is>
      </c>
      <c r="S13" t="n">
        <v>46049</v>
      </c>
    </row>
    <row r="14" ht="36" customHeight="1">
      <c r="A14" t="inlineStr">
        <is>
          <t>dfd9b12c-a22d-41fd-81da-607e7a26f717</t>
        </is>
      </c>
      <c r="B14" t="inlineStr">
        <is>
          <t>OS274720</t>
        </is>
      </c>
      <c r="C14" s="162" t="n">
        <v>45704</v>
      </c>
      <c r="D14" t="inlineStr">
        <is>
          <t>Orange Sky Australia</t>
        </is>
      </c>
      <c r="E14" t="inlineStr">
        <is>
          <t>ACCPAY</t>
        </is>
      </c>
      <c r="F14" t="inlineStr">
        <is>
          <t>PAID</t>
        </is>
      </c>
      <c r="G14" t="n">
        <v>5000</v>
      </c>
      <c r="H14" t="n">
        <v>0</v>
      </c>
      <c r="I14" t="n">
        <v>5000</v>
      </c>
      <c r="J14" t="n">
        <v>5000</v>
      </c>
      <c r="K14" t="n">
        <v>0</v>
      </c>
      <c r="L14" t="n">
        <v>0</v>
      </c>
      <c r="M14">
        <f>IF(OR(F14="VOIDED",F14="DELETED"),0,J14-L14)</f>
        <v/>
      </c>
      <c r="N14" t="inlineStr">
        <is>
          <t>No</t>
        </is>
      </c>
      <c r="O14" t="inlineStr">
        <is>
          <t>Goods-tagged</t>
        </is>
      </c>
      <c r="Q14" t="inlineStr">
        <is>
          <t>vendor_rule</t>
        </is>
      </c>
      <c r="R14" t="inlineStr">
        <is>
          <t>ACT-ST</t>
        </is>
      </c>
      <c r="S14" t="n">
        <v>46049</v>
      </c>
    </row>
    <row r="15" ht="36" customHeight="1">
      <c r="A15" t="inlineStr">
        <is>
          <t>5c9cadd2-dc4e-4302-a579-e3b1f2168507</t>
        </is>
      </c>
      <c r="B15" t="inlineStr">
        <is>
          <t>WTWDON9805</t>
        </is>
      </c>
      <c r="C15" s="162" t="n">
        <v>45704</v>
      </c>
      <c r="D15" t="inlineStr">
        <is>
          <t>Orange Sky Australia</t>
        </is>
      </c>
      <c r="E15" t="inlineStr">
        <is>
          <t>ACCPAY</t>
        </is>
      </c>
      <c r="F15" t="inlineStr">
        <is>
          <t>PAID</t>
        </is>
      </c>
      <c r="G15" t="n">
        <v>300.38</v>
      </c>
      <c r="H15" t="n">
        <v>0</v>
      </c>
      <c r="I15" t="n">
        <v>300.38</v>
      </c>
      <c r="J15" t="n">
        <v>300.38</v>
      </c>
      <c r="K15" t="n">
        <v>0</v>
      </c>
      <c r="L15" t="n">
        <v>0</v>
      </c>
      <c r="M15">
        <f>IF(OR(F15="VOIDED",F15="DELETED"),0,J15-L15)</f>
        <v/>
      </c>
      <c r="N15" t="inlineStr">
        <is>
          <t>No</t>
        </is>
      </c>
      <c r="O15" t="inlineStr">
        <is>
          <t>Goods-tagged</t>
        </is>
      </c>
      <c r="Q15" t="inlineStr">
        <is>
          <t>vendor_rule</t>
        </is>
      </c>
      <c r="R15" t="inlineStr">
        <is>
          <t>ACT-ST</t>
        </is>
      </c>
      <c r="S15" t="n">
        <v>46049</v>
      </c>
    </row>
    <row r="16" ht="36" customHeight="1">
      <c r="A16" t="inlineStr">
        <is>
          <t>4b5d5098-47f7-4edb-b2cd-1cad6569b466</t>
        </is>
      </c>
      <c r="B16" t="inlineStr">
        <is>
          <t>WTWDON9806</t>
        </is>
      </c>
      <c r="C16" s="162" t="n">
        <v>45704</v>
      </c>
      <c r="D16" t="inlineStr">
        <is>
          <t>Orange Sky Australia</t>
        </is>
      </c>
      <c r="E16" t="inlineStr">
        <is>
          <t>ACCPAY</t>
        </is>
      </c>
      <c r="F16" t="inlineStr">
        <is>
          <t>PAID</t>
        </is>
      </c>
      <c r="G16" t="n">
        <v>120</v>
      </c>
      <c r="H16" t="n">
        <v>0</v>
      </c>
      <c r="I16" t="n">
        <v>120</v>
      </c>
      <c r="J16" t="n">
        <v>120</v>
      </c>
      <c r="K16" t="n">
        <v>0</v>
      </c>
      <c r="L16" t="n">
        <v>0</v>
      </c>
      <c r="M16">
        <f>IF(OR(F16="VOIDED",F16="DELETED"),0,J16-L16)</f>
        <v/>
      </c>
      <c r="N16" t="inlineStr">
        <is>
          <t>No</t>
        </is>
      </c>
      <c r="O16" t="inlineStr">
        <is>
          <t>Goods-tagged</t>
        </is>
      </c>
      <c r="Q16" t="inlineStr">
        <is>
          <t>vendor_rule</t>
        </is>
      </c>
      <c r="R16" t="inlineStr">
        <is>
          <t>ACT-ST</t>
        </is>
      </c>
      <c r="S16" t="n">
        <v>46049</v>
      </c>
    </row>
    <row r="17" ht="36" customHeight="1">
      <c r="A17" t="inlineStr">
        <is>
          <t>b75fe4dd-e904-4d43-a12f-713aff7cdbc1</t>
        </is>
      </c>
      <c r="B17" t="inlineStr">
        <is>
          <t>WTWDON9807</t>
        </is>
      </c>
      <c r="C17" s="162" t="n">
        <v>45704</v>
      </c>
      <c r="D17" t="inlineStr">
        <is>
          <t>Orange Sky Australia</t>
        </is>
      </c>
      <c r="E17" t="inlineStr">
        <is>
          <t>ACCPAY</t>
        </is>
      </c>
      <c r="F17" t="inlineStr">
        <is>
          <t>PAID</t>
        </is>
      </c>
      <c r="G17" t="n">
        <v>414</v>
      </c>
      <c r="H17" t="n">
        <v>0</v>
      </c>
      <c r="I17" t="n">
        <v>414</v>
      </c>
      <c r="J17" t="n">
        <v>414</v>
      </c>
      <c r="K17" t="n">
        <v>0</v>
      </c>
      <c r="L17" t="n">
        <v>0</v>
      </c>
      <c r="M17">
        <f>IF(OR(F17="VOIDED",F17="DELETED"),0,J17-L17)</f>
        <v/>
      </c>
      <c r="N17" t="inlineStr">
        <is>
          <t>No</t>
        </is>
      </c>
      <c r="O17" t="inlineStr">
        <is>
          <t>Goods-tagged</t>
        </is>
      </c>
      <c r="Q17" t="inlineStr">
        <is>
          <t>vendor_rule</t>
        </is>
      </c>
      <c r="R17" t="inlineStr">
        <is>
          <t>ACT-ST</t>
        </is>
      </c>
      <c r="S17" t="n">
        <v>46049</v>
      </c>
    </row>
    <row r="18" ht="36" customHeight="1">
      <c r="A18" t="inlineStr">
        <is>
          <t>25ef225d-edcb-414c-9c7c-624e31ec7324</t>
        </is>
      </c>
      <c r="B18" t="inlineStr">
        <is>
          <t>141651</t>
        </is>
      </c>
      <c r="C18" s="162" t="n">
        <v>45705</v>
      </c>
      <c r="D18" t="inlineStr">
        <is>
          <t>Community Enterprise Qld</t>
        </is>
      </c>
      <c r="E18" t="inlineStr">
        <is>
          <t>ACCPAY</t>
        </is>
      </c>
      <c r="F18" t="inlineStr">
        <is>
          <t>PAID</t>
        </is>
      </c>
      <c r="G18" t="n">
        <v>66.87</v>
      </c>
      <c r="H18" t="n">
        <v>2.22</v>
      </c>
      <c r="I18" t="n">
        <v>69.09</v>
      </c>
      <c r="J18" t="n">
        <v>69.09</v>
      </c>
      <c r="K18" t="n">
        <v>0</v>
      </c>
      <c r="L18" t="n">
        <v>0</v>
      </c>
      <c r="M18">
        <f>IF(OR(F18="VOIDED",F18="DELETED"),0,J18-L18)</f>
        <v/>
      </c>
      <c r="N18" t="inlineStr">
        <is>
          <t>No</t>
        </is>
      </c>
      <c r="O18" t="inlineStr">
        <is>
          <t>Goods-tagged</t>
        </is>
      </c>
      <c r="Q18" t="inlineStr">
        <is>
          <t>vendor_rule</t>
        </is>
      </c>
      <c r="R18" t="inlineStr">
        <is>
          <t>ACT-ST</t>
        </is>
      </c>
      <c r="S18" t="n">
        <v>46049</v>
      </c>
    </row>
    <row r="19" ht="36" customHeight="1">
      <c r="A19" t="inlineStr">
        <is>
          <t>d7d3526f-bdca-4707-b035-b04e939e850f</t>
        </is>
      </c>
      <c r="B19" t="inlineStr">
        <is>
          <t>141686</t>
        </is>
      </c>
      <c r="C19" s="162" t="n">
        <v>45705</v>
      </c>
      <c r="D19" t="inlineStr">
        <is>
          <t>Community Enterprise Qld</t>
        </is>
      </c>
      <c r="E19" t="inlineStr">
        <is>
          <t>ACCPAY</t>
        </is>
      </c>
      <c r="F19" t="inlineStr">
        <is>
          <t>PAID</t>
        </is>
      </c>
      <c r="G19" t="n">
        <v>15.74</v>
      </c>
      <c r="H19" t="n">
        <v>0.93</v>
      </c>
      <c r="I19" t="n">
        <v>16.67</v>
      </c>
      <c r="J19" t="n">
        <v>16.67</v>
      </c>
      <c r="K19" t="n">
        <v>0</v>
      </c>
      <c r="L19" t="n">
        <v>0</v>
      </c>
      <c r="M19">
        <f>IF(OR(F19="VOIDED",F19="DELETED"),0,J19-L19)</f>
        <v/>
      </c>
      <c r="N19" t="inlineStr">
        <is>
          <t>No</t>
        </is>
      </c>
      <c r="O19" t="inlineStr">
        <is>
          <t>Goods-tagged</t>
        </is>
      </c>
      <c r="Q19" t="inlineStr">
        <is>
          <t>vendor_rule</t>
        </is>
      </c>
      <c r="R19" t="inlineStr">
        <is>
          <t>ACT-ST</t>
        </is>
      </c>
      <c r="S19" t="n">
        <v>46049</v>
      </c>
    </row>
    <row r="20" ht="36" customHeight="1">
      <c r="A20" t="inlineStr">
        <is>
          <t>33d52c71-db3e-4d7d-9deb-58c9a83cc16b</t>
        </is>
      </c>
      <c r="B20" t="inlineStr">
        <is>
          <t>8DCEB88A28/RC</t>
        </is>
      </c>
      <c r="C20" s="162" t="n">
        <v>45705</v>
      </c>
      <c r="D20" t="inlineStr">
        <is>
          <t>Palm Island Motel</t>
        </is>
      </c>
      <c r="E20" t="inlineStr">
        <is>
          <t>ACCPAY</t>
        </is>
      </c>
      <c r="F20" t="inlineStr">
        <is>
          <t>PAID</t>
        </is>
      </c>
      <c r="G20" t="n">
        <v>225</v>
      </c>
      <c r="H20" t="n">
        <v>22.5</v>
      </c>
      <c r="I20" t="n">
        <v>247.5</v>
      </c>
      <c r="J20" t="n">
        <v>247.5</v>
      </c>
      <c r="K20" t="n">
        <v>0</v>
      </c>
      <c r="L20" t="n">
        <v>0</v>
      </c>
      <c r="M20">
        <f>IF(OR(F20="VOIDED",F20="DELETED"),0,J20-L20)</f>
        <v/>
      </c>
      <c r="N20" t="inlineStr">
        <is>
          <t>No</t>
        </is>
      </c>
      <c r="O20" t="inlineStr">
        <is>
          <t>Goods-tagged</t>
        </is>
      </c>
      <c r="Q20" t="inlineStr">
        <is>
          <t>vendor_rule</t>
        </is>
      </c>
      <c r="R20" t="inlineStr">
        <is>
          <t>ACT-ST</t>
        </is>
      </c>
      <c r="S20" t="n">
        <v>46049</v>
      </c>
    </row>
    <row r="21" ht="36" customHeight="1">
      <c r="A21" t="inlineStr">
        <is>
          <t>e8c50a70-7b2e-493e-9e29-a3c23869db1c</t>
        </is>
      </c>
      <c r="B21" t="inlineStr">
        <is>
          <t>RB16068809300</t>
        </is>
      </c>
      <c r="C21" s="162" t="n">
        <v>45712</v>
      </c>
      <c r="D21" t="inlineStr">
        <is>
          <t>Fat Tuna Darwin</t>
        </is>
      </c>
      <c r="E21" t="inlineStr">
        <is>
          <t>ACCPAY</t>
        </is>
      </c>
      <c r="F21" t="inlineStr">
        <is>
          <t>PAID</t>
        </is>
      </c>
      <c r="G21" t="n">
        <v>20.82</v>
      </c>
      <c r="H21" t="n">
        <v>2.08</v>
      </c>
      <c r="I21" t="n">
        <v>22.9</v>
      </c>
      <c r="J21" t="n">
        <v>22.9</v>
      </c>
      <c r="K21" t="n">
        <v>0</v>
      </c>
      <c r="L21" t="n">
        <v>0</v>
      </c>
      <c r="M21">
        <f>IF(OR(F21="VOIDED",F21="DELETED"),0,J21-L21)</f>
        <v/>
      </c>
      <c r="N21" t="inlineStr">
        <is>
          <t>No</t>
        </is>
      </c>
      <c r="O21" t="inlineStr">
        <is>
          <t>Goods-tagged</t>
        </is>
      </c>
      <c r="Q21" t="inlineStr">
        <is>
          <t>vendor_rule</t>
        </is>
      </c>
      <c r="R21" t="inlineStr">
        <is>
          <t>ACT-ST</t>
        </is>
      </c>
      <c r="S21" t="n">
        <v>46049</v>
      </c>
    </row>
    <row r="22" ht="36" customHeight="1">
      <c r="A22" t="inlineStr">
        <is>
          <t>01ad993b-354c-4582-8dbf-eb27e5cc078a</t>
        </is>
      </c>
      <c r="B22" t="inlineStr">
        <is>
          <t>BYO-25412</t>
        </is>
      </c>
      <c r="C22" s="162" t="n">
        <v>45713</v>
      </c>
      <c r="D22" t="inlineStr">
        <is>
          <t>Byo Group</t>
        </is>
      </c>
      <c r="E22" t="inlineStr">
        <is>
          <t>ACCPAY</t>
        </is>
      </c>
      <c r="F22" t="inlineStr">
        <is>
          <t>PAID</t>
        </is>
      </c>
      <c r="G22" t="n">
        <v>832.3</v>
      </c>
      <c r="H22" t="n">
        <v>83.23</v>
      </c>
      <c r="I22" t="n">
        <v>915.53</v>
      </c>
      <c r="J22" t="n">
        <v>915.53</v>
      </c>
      <c r="K22" t="n">
        <v>0</v>
      </c>
      <c r="L22" t="n">
        <v>0</v>
      </c>
      <c r="M22">
        <f>IF(OR(F22="VOIDED",F22="DELETED"),0,J22-L22)</f>
        <v/>
      </c>
      <c r="N22" t="inlineStr">
        <is>
          <t>No</t>
        </is>
      </c>
      <c r="O22" t="inlineStr">
        <is>
          <t>Goods-tagged</t>
        </is>
      </c>
      <c r="Q22" t="inlineStr">
        <is>
          <t>vendor_rule</t>
        </is>
      </c>
      <c r="R22" t="inlineStr">
        <is>
          <t>ACT-ST</t>
        </is>
      </c>
      <c r="S22" t="n">
        <v>46049</v>
      </c>
    </row>
    <row r="23" ht="36" customHeight="1">
      <c r="A23" t="inlineStr">
        <is>
          <t>2381dc84-5d0e-49b2-a3b4-e11d3c0d67ac</t>
        </is>
      </c>
      <c r="B23" t="inlineStr">
        <is>
          <t>S6776X-S6776X01-1740460711540</t>
        </is>
      </c>
      <c r="C23" s="162" t="n">
        <v>45713</v>
      </c>
      <c r="D23" t="inlineStr">
        <is>
          <t>Reddy Express</t>
        </is>
      </c>
      <c r="E23" t="inlineStr">
        <is>
          <t>ACCPAY</t>
        </is>
      </c>
      <c r="F23" t="inlineStr">
        <is>
          <t>PAID</t>
        </is>
      </c>
      <c r="G23" t="n">
        <v>15.45</v>
      </c>
      <c r="H23" t="n">
        <v>1.55</v>
      </c>
      <c r="I23" t="n">
        <v>17</v>
      </c>
      <c r="J23" t="n">
        <v>17</v>
      </c>
      <c r="K23" t="n">
        <v>0</v>
      </c>
      <c r="L23" t="n">
        <v>0</v>
      </c>
      <c r="M23">
        <f>IF(OR(F23="VOIDED",F23="DELETED"),0,J23-L23)</f>
        <v/>
      </c>
      <c r="N23" t="inlineStr">
        <is>
          <t>No</t>
        </is>
      </c>
      <c r="O23" t="inlineStr">
        <is>
          <t>Goods-tagged</t>
        </is>
      </c>
      <c r="Q23" t="inlineStr">
        <is>
          <t>vendor_rule</t>
        </is>
      </c>
      <c r="R23" t="inlineStr">
        <is>
          <t>ACT-ST</t>
        </is>
      </c>
      <c r="S23" t="n">
        <v>46049</v>
      </c>
    </row>
    <row r="24" ht="36" customHeight="1">
      <c r="A24" t="inlineStr">
        <is>
          <t>32d4a5ee-bb74-4ba9-b23c-608db26b14bf</t>
        </is>
      </c>
      <c r="B24" t="inlineStr">
        <is>
          <t>26474828</t>
        </is>
      </c>
      <c r="C24" s="162" t="n">
        <v>45714</v>
      </c>
      <c r="D24" t="inlineStr">
        <is>
          <t>Ember Dining</t>
        </is>
      </c>
      <c r="E24" t="inlineStr">
        <is>
          <t>ACCPAY</t>
        </is>
      </c>
      <c r="F24" t="inlineStr">
        <is>
          <t>PAID</t>
        </is>
      </c>
      <c r="G24" t="n">
        <v>450</v>
      </c>
      <c r="H24" t="n">
        <v>0</v>
      </c>
      <c r="I24" t="n">
        <v>450</v>
      </c>
      <c r="J24" t="n">
        <v>450</v>
      </c>
      <c r="K24" t="n">
        <v>0</v>
      </c>
      <c r="L24" t="n">
        <v>0</v>
      </c>
      <c r="M24">
        <f>IF(OR(F24="VOIDED",F24="DELETED"),0,J24-L24)</f>
        <v/>
      </c>
      <c r="N24" t="inlineStr">
        <is>
          <t>No</t>
        </is>
      </c>
      <c r="O24" t="inlineStr">
        <is>
          <t>Goods-tagged</t>
        </is>
      </c>
      <c r="Q24" t="inlineStr">
        <is>
          <t>manual</t>
        </is>
      </c>
      <c r="R24" t="inlineStr">
        <is>
          <t>ACT-ST</t>
        </is>
      </c>
      <c r="S24" t="n">
        <v>46049</v>
      </c>
    </row>
    <row r="25" ht="36" customHeight="1">
      <c r="A25" t="inlineStr">
        <is>
          <t>b78f0cfd-cc9c-4576-887d-9c3d340e7561</t>
        </is>
      </c>
      <c r="B25" t="inlineStr">
        <is>
          <t>WTWDON11251</t>
        </is>
      </c>
      <c r="C25" s="162" t="n">
        <v>45714</v>
      </c>
      <c r="D25" t="inlineStr">
        <is>
          <t>Orange Sky Australia</t>
        </is>
      </c>
      <c r="E25" t="inlineStr">
        <is>
          <t>ACCPAY</t>
        </is>
      </c>
      <c r="F25" t="inlineStr">
        <is>
          <t>PAID</t>
        </is>
      </c>
      <c r="G25" t="n">
        <v>500</v>
      </c>
      <c r="H25" t="n">
        <v>0</v>
      </c>
      <c r="I25" t="n">
        <v>500</v>
      </c>
      <c r="J25" t="n">
        <v>500</v>
      </c>
      <c r="K25" t="n">
        <v>0</v>
      </c>
      <c r="L25" t="n">
        <v>0</v>
      </c>
      <c r="M25">
        <f>IF(OR(F25="VOIDED",F25="DELETED"),0,J25-L25)</f>
        <v/>
      </c>
      <c r="N25" t="inlineStr">
        <is>
          <t>No</t>
        </is>
      </c>
      <c r="O25" t="inlineStr">
        <is>
          <t>Goods-tagged</t>
        </is>
      </c>
      <c r="Q25" t="inlineStr">
        <is>
          <t>vendor_rule</t>
        </is>
      </c>
      <c r="R25" t="inlineStr">
        <is>
          <t>ACT-ST</t>
        </is>
      </c>
      <c r="S25" t="n">
        <v>46049</v>
      </c>
    </row>
    <row r="26" ht="36" customHeight="1">
      <c r="A26" t="inlineStr">
        <is>
          <t>88130516-6d93-447b-9bcf-71aca5ad16f0</t>
        </is>
      </c>
      <c r="B26" t="inlineStr">
        <is>
          <t>BYO-25448</t>
        </is>
      </c>
      <c r="C26" s="162" t="n">
        <v>45717</v>
      </c>
      <c r="D26" t="inlineStr">
        <is>
          <t>Byo Group</t>
        </is>
      </c>
      <c r="E26" t="inlineStr">
        <is>
          <t>ACCPAY</t>
        </is>
      </c>
      <c r="F26" t="inlineStr">
        <is>
          <t>PAID</t>
        </is>
      </c>
      <c r="G26" t="n">
        <v>30</v>
      </c>
      <c r="H26" t="n">
        <v>3</v>
      </c>
      <c r="I26" t="n">
        <v>33</v>
      </c>
      <c r="J26" t="n">
        <v>33</v>
      </c>
      <c r="K26" t="n">
        <v>0</v>
      </c>
      <c r="L26" t="n">
        <v>0</v>
      </c>
      <c r="M26">
        <f>IF(OR(F26="VOIDED",F26="DELETED"),0,J26-L26)</f>
        <v/>
      </c>
      <c r="N26" t="inlineStr">
        <is>
          <t>No</t>
        </is>
      </c>
      <c r="O26" t="inlineStr">
        <is>
          <t>Goods-tagged</t>
        </is>
      </c>
      <c r="Q26" t="inlineStr">
        <is>
          <t>vendor_rule</t>
        </is>
      </c>
      <c r="R26" t="inlineStr">
        <is>
          <t>ACT-ST</t>
        </is>
      </c>
      <c r="S26" t="n">
        <v>46049</v>
      </c>
    </row>
    <row r="27" ht="36" customHeight="1">
      <c r="A27" t="inlineStr">
        <is>
          <t>f8bce755-9f76-44e3-a351-c26bbf46f344</t>
        </is>
      </c>
      <c r="B27" t="inlineStr">
        <is>
          <t>INV-0930</t>
        </is>
      </c>
      <c r="C27" s="162" t="n">
        <v>45726</v>
      </c>
      <c r="D27" t="inlineStr">
        <is>
          <t>Zinus Australia</t>
        </is>
      </c>
      <c r="E27" t="inlineStr">
        <is>
          <t>ACCPAY</t>
        </is>
      </c>
      <c r="F27" t="inlineStr">
        <is>
          <t>PAID</t>
        </is>
      </c>
      <c r="G27" t="n">
        <v>1252</v>
      </c>
      <c r="H27" t="n">
        <v>125.2</v>
      </c>
      <c r="I27" t="n">
        <v>1377.2</v>
      </c>
      <c r="J27" t="n">
        <v>1377.2</v>
      </c>
      <c r="K27" t="n">
        <v>0</v>
      </c>
      <c r="L27" t="n">
        <v>0</v>
      </c>
      <c r="M27">
        <f>IF(OR(F27="VOIDED",F27="DELETED"),0,J27-L27)</f>
        <v/>
      </c>
      <c r="N27" t="inlineStr">
        <is>
          <t>No</t>
        </is>
      </c>
      <c r="O27" t="inlineStr">
        <is>
          <t>Goods-tagged</t>
        </is>
      </c>
      <c r="P27" t="inlineStr">
        <is>
          <t>Bamboo Topper x 30</t>
        </is>
      </c>
      <c r="Q27" t="inlineStr">
        <is>
          <t>vendor_rule</t>
        </is>
      </c>
      <c r="R27" t="inlineStr">
        <is>
          <t>ACT-ST</t>
        </is>
      </c>
      <c r="S27" t="n">
        <v>46090</v>
      </c>
    </row>
    <row r="28" ht="36" customHeight="1">
      <c r="A28" t="inlineStr">
        <is>
          <t>a1fc3f02-f9a7-4ee2-8236-113faee35f1a</t>
        </is>
      </c>
      <c r="B28" t="inlineStr">
        <is>
          <t>INV-0931</t>
        </is>
      </c>
      <c r="C28" s="162" t="n">
        <v>45726</v>
      </c>
      <c r="D28" t="inlineStr">
        <is>
          <t>Zinus Australia</t>
        </is>
      </c>
      <c r="E28" t="inlineStr">
        <is>
          <t>ACCPAY</t>
        </is>
      </c>
      <c r="F28" t="inlineStr">
        <is>
          <t>PAID</t>
        </is>
      </c>
      <c r="G28" t="n">
        <v>1488</v>
      </c>
      <c r="H28" t="n">
        <v>148.8</v>
      </c>
      <c r="I28" t="n">
        <v>1636.8</v>
      </c>
      <c r="J28" t="n">
        <v>1636.8</v>
      </c>
      <c r="K28" t="n">
        <v>0</v>
      </c>
      <c r="L28" t="n">
        <v>0</v>
      </c>
      <c r="M28">
        <f>IF(OR(F28="VOIDED",F28="DELETED"),0,J28-L28)</f>
        <v/>
      </c>
      <c r="N28" t="inlineStr">
        <is>
          <t>No</t>
        </is>
      </c>
      <c r="O28" t="inlineStr">
        <is>
          <t>Goods-tagged</t>
        </is>
      </c>
      <c r="P28" t="inlineStr">
        <is>
          <t>Bedding</t>
        </is>
      </c>
      <c r="Q28" t="inlineStr">
        <is>
          <t>vendor_rule</t>
        </is>
      </c>
      <c r="R28" t="inlineStr">
        <is>
          <t>ACT-ST</t>
        </is>
      </c>
      <c r="S28" t="n">
        <v>46090</v>
      </c>
    </row>
    <row r="29" ht="36" customHeight="1">
      <c r="A29" t="inlineStr">
        <is>
          <t>94e666ac-1f5f-4e45-a460-e8809c510bfe</t>
        </is>
      </c>
      <c r="B29" t="inlineStr">
        <is>
          <t>Purpose?</t>
        </is>
      </c>
      <c r="C29" s="162" t="n">
        <v>45726</v>
      </c>
      <c r="D29" t="inlineStr">
        <is>
          <t>Kmart</t>
        </is>
      </c>
      <c r="E29" t="inlineStr">
        <is>
          <t>ACCPAY</t>
        </is>
      </c>
      <c r="F29" t="inlineStr">
        <is>
          <t>VOIDED</t>
        </is>
      </c>
      <c r="G29" t="n">
        <v>157.27</v>
      </c>
      <c r="H29" t="n">
        <v>15.73</v>
      </c>
      <c r="I29" t="n">
        <v>173</v>
      </c>
      <c r="J29" t="n">
        <v>0</v>
      </c>
      <c r="K29" t="n">
        <v>0</v>
      </c>
      <c r="L29" t="n">
        <v>0</v>
      </c>
      <c r="M29">
        <f>IF(OR(F29="VOIDED",F29="DELETED"),0,J29-L29)</f>
        <v/>
      </c>
      <c r="N29" t="inlineStr">
        <is>
          <t>No</t>
        </is>
      </c>
      <c r="O29" t="inlineStr">
        <is>
          <t>Goods-tagged</t>
        </is>
      </c>
      <c r="P29" t="inlineStr">
        <is>
          <t>Sox? Bedding may be ok.</t>
        </is>
      </c>
      <c r="Q29" t="inlineStr">
        <is>
          <t>xero_tracking</t>
        </is>
      </c>
      <c r="R29" t="inlineStr">
        <is>
          <t>ACT-ST</t>
        </is>
      </c>
      <c r="S29" t="n">
        <v>46195</v>
      </c>
    </row>
    <row r="30" ht="36" customHeight="1">
      <c r="A30" t="inlineStr">
        <is>
          <t>0ba7dcee-ee1e-4d63-91c1-14f6d58daf67</t>
        </is>
      </c>
      <c r="B30" t="inlineStr">
        <is>
          <t>6724</t>
        </is>
      </c>
      <c r="C30" s="162" t="n">
        <v>45727</v>
      </c>
      <c r="D30" t="inlineStr">
        <is>
          <t>Discovered Cafe</t>
        </is>
      </c>
      <c r="E30" t="inlineStr">
        <is>
          <t>ACCPAY</t>
        </is>
      </c>
      <c r="F30" t="inlineStr">
        <is>
          <t>PAID</t>
        </is>
      </c>
      <c r="G30" t="n">
        <v>16.5</v>
      </c>
      <c r="H30" t="n">
        <v>1.65</v>
      </c>
      <c r="I30" t="n">
        <v>18.15</v>
      </c>
      <c r="J30" t="n">
        <v>18.15</v>
      </c>
      <c r="K30" t="n">
        <v>0</v>
      </c>
      <c r="L30" t="n">
        <v>0</v>
      </c>
      <c r="M30">
        <f>IF(OR(F30="VOIDED",F30="DELETED"),0,J30-L30)</f>
        <v/>
      </c>
      <c r="N30" t="inlineStr">
        <is>
          <t>No</t>
        </is>
      </c>
      <c r="O30" t="inlineStr">
        <is>
          <t>Goods-tagged</t>
        </is>
      </c>
      <c r="P30" t="inlineStr">
        <is>
          <t>Travel meal</t>
        </is>
      </c>
      <c r="Q30" t="inlineStr">
        <is>
          <t>tracking_match</t>
        </is>
      </c>
      <c r="R30" t="inlineStr">
        <is>
          <t>ACT-ST</t>
        </is>
      </c>
      <c r="S30" t="n">
        <v>46091</v>
      </c>
    </row>
    <row r="31" ht="50" customHeight="1">
      <c r="A31" t="inlineStr">
        <is>
          <t>cf498d90-1695-48f6-8fb7-bf3a3b1aa63e</t>
        </is>
      </c>
      <c r="B31" t="inlineStr">
        <is>
          <t>INV-0220</t>
        </is>
      </c>
      <c r="C31" s="162" t="n">
        <v>45729</v>
      </c>
      <c r="D31" t="inlineStr">
        <is>
          <t>The Snow Foundation</t>
        </is>
      </c>
      <c r="E31" t="inlineStr">
        <is>
          <t>ACCREC</t>
        </is>
      </c>
      <c r="F31" t="inlineStr">
        <is>
          <t>PAID</t>
        </is>
      </c>
      <c r="G31" t="n">
        <v>1168</v>
      </c>
      <c r="H31" t="n">
        <v>116.8</v>
      </c>
      <c r="I31" t="n">
        <v>1284.8</v>
      </c>
      <c r="J31" t="n">
        <v>1284.8</v>
      </c>
      <c r="K31" t="n">
        <v>0</v>
      </c>
      <c r="L31" t="n">
        <v>0</v>
      </c>
      <c r="M31">
        <f>IF(OR(F31="VOIDED",F31="DELETED"),0,J31-L31)</f>
        <v/>
      </c>
      <c r="N31" t="inlineStr">
        <is>
          <t>No</t>
        </is>
      </c>
      <c r="O31" t="inlineStr">
        <is>
          <t>Goods-tagged</t>
        </is>
      </c>
      <c r="P31" t="inlineStr">
        <is>
          <t>Tennant Creek Caravan Park: 2 x single rooms at $120.00 per night per room = $720.00 / Dual Cab Ute Hire 50% - Kennards Hire</t>
        </is>
      </c>
      <c r="Q31" t="inlineStr">
        <is>
          <t>vendor_rule</t>
        </is>
      </c>
      <c r="R31" t="inlineStr">
        <is>
          <t>ACT-ST</t>
        </is>
      </c>
      <c r="S31" t="n">
        <v>46091</v>
      </c>
    </row>
    <row r="32" ht="36" customHeight="1">
      <c r="A32" t="inlineStr">
        <is>
          <t>45f88064-db2d-4d7d-892b-751a815b4cfc</t>
        </is>
      </c>
      <c r="B32" t="inlineStr">
        <is>
          <t>WTWDON14271</t>
        </is>
      </c>
      <c r="C32" s="162" t="n">
        <v>45730</v>
      </c>
      <c r="D32" t="inlineStr">
        <is>
          <t>Orange Sky Australia</t>
        </is>
      </c>
      <c r="E32" t="inlineStr">
        <is>
          <t>ACCPAY</t>
        </is>
      </c>
      <c r="F32" t="inlineStr">
        <is>
          <t>PAID</t>
        </is>
      </c>
      <c r="G32" t="n">
        <v>1000</v>
      </c>
      <c r="H32" t="n">
        <v>0</v>
      </c>
      <c r="I32" t="n">
        <v>1000</v>
      </c>
      <c r="J32" t="n">
        <v>1000</v>
      </c>
      <c r="K32" t="n">
        <v>0</v>
      </c>
      <c r="L32" t="n">
        <v>0</v>
      </c>
      <c r="M32">
        <f>IF(OR(F32="VOIDED",F32="DELETED"),0,J32-L32)</f>
        <v/>
      </c>
      <c r="N32" t="inlineStr">
        <is>
          <t>No</t>
        </is>
      </c>
      <c r="O32" t="inlineStr">
        <is>
          <t>Goods-tagged</t>
        </is>
      </c>
      <c r="P32" t="inlineStr">
        <is>
          <t>Donation to Orange Sky Australia</t>
        </is>
      </c>
      <c r="Q32" t="inlineStr">
        <is>
          <t>vendor_rule</t>
        </is>
      </c>
      <c r="R32" t="inlineStr">
        <is>
          <t>ACT-ST</t>
        </is>
      </c>
      <c r="S32" t="n">
        <v>46091</v>
      </c>
    </row>
    <row r="33" ht="36" customHeight="1">
      <c r="A33" t="inlineStr">
        <is>
          <t>061563db-0868-4742-af9b-4e9de7109d8e</t>
        </is>
      </c>
      <c r="B33" t="inlineStr">
        <is>
          <t>WTWDON14273</t>
        </is>
      </c>
      <c r="C33" s="162" t="n">
        <v>45730</v>
      </c>
      <c r="D33" t="inlineStr">
        <is>
          <t>Orange Sky Australia</t>
        </is>
      </c>
      <c r="E33" t="inlineStr">
        <is>
          <t>ACCPAY</t>
        </is>
      </c>
      <c r="F33" t="inlineStr">
        <is>
          <t>PAID</t>
        </is>
      </c>
      <c r="G33" t="n">
        <v>288</v>
      </c>
      <c r="H33" t="n">
        <v>0</v>
      </c>
      <c r="I33" t="n">
        <v>288</v>
      </c>
      <c r="J33" t="n">
        <v>288</v>
      </c>
      <c r="K33" t="n">
        <v>0</v>
      </c>
      <c r="L33" t="n">
        <v>0</v>
      </c>
      <c r="M33">
        <f>IF(OR(F33="VOIDED",F33="DELETED"),0,J33-L33)</f>
        <v/>
      </c>
      <c r="N33" t="inlineStr">
        <is>
          <t>No</t>
        </is>
      </c>
      <c r="O33" t="inlineStr">
        <is>
          <t>Goods-tagged</t>
        </is>
      </c>
      <c r="P33" t="inlineStr">
        <is>
          <t>Donation to Orange Sky Australia</t>
        </is>
      </c>
      <c r="Q33" t="inlineStr">
        <is>
          <t>vendor_rule</t>
        </is>
      </c>
      <c r="R33" t="inlineStr">
        <is>
          <t>ACT-ST</t>
        </is>
      </c>
      <c r="S33" t="n">
        <v>46091</v>
      </c>
    </row>
    <row r="34" ht="36" customHeight="1">
      <c r="A34" t="inlineStr">
        <is>
          <t>5b678aa7-d875-4921-8df9-f1cac417e9bb</t>
        </is>
      </c>
      <c r="B34" t="inlineStr">
        <is>
          <t>524201-96007</t>
        </is>
      </c>
      <c r="C34" s="162" t="n">
        <v>45731</v>
      </c>
      <c r="D34" t="inlineStr">
        <is>
          <t>Giraffe World</t>
        </is>
      </c>
      <c r="E34" t="inlineStr">
        <is>
          <t>ACCPAY</t>
        </is>
      </c>
      <c r="F34" t="inlineStr">
        <is>
          <t>PAID</t>
        </is>
      </c>
      <c r="G34" t="n">
        <v>14.53</v>
      </c>
      <c r="H34" t="n">
        <v>0</v>
      </c>
      <c r="I34" t="n">
        <v>14.53</v>
      </c>
      <c r="J34" t="n">
        <v>14.53</v>
      </c>
      <c r="K34" t="n">
        <v>0</v>
      </c>
      <c r="L34" t="n">
        <v>0</v>
      </c>
      <c r="M34">
        <f>IF(OR(F34="VOIDED",F34="DELETED"),0,J34-L34)</f>
        <v/>
      </c>
      <c r="N34" t="inlineStr">
        <is>
          <t>No</t>
        </is>
      </c>
      <c r="O34" t="inlineStr">
        <is>
          <t>Goods-tagged</t>
        </is>
      </c>
      <c r="P34" t="inlineStr">
        <is>
          <t>Water</t>
        </is>
      </c>
      <c r="Q34" t="inlineStr">
        <is>
          <t>vendor_rule</t>
        </is>
      </c>
      <c r="R34" t="inlineStr">
        <is>
          <t>ACT-ST</t>
        </is>
      </c>
      <c r="S34" t="n">
        <v>46091</v>
      </c>
    </row>
    <row r="35" ht="36" customHeight="1">
      <c r="A35" t="inlineStr">
        <is>
          <t>19424d3f-f96e-4745-8e89-1fe30b16dfbf</t>
        </is>
      </c>
      <c r="B35" t="inlineStr">
        <is>
          <t>524201-98003</t>
        </is>
      </c>
      <c r="C35" s="162" t="n">
        <v>45731</v>
      </c>
      <c r="D35" t="inlineStr">
        <is>
          <t>Giraffe World</t>
        </is>
      </c>
      <c r="E35" t="inlineStr">
        <is>
          <t>ACCPAY</t>
        </is>
      </c>
      <c r="F35" t="inlineStr">
        <is>
          <t>PAID</t>
        </is>
      </c>
      <c r="G35" t="n">
        <v>29.24</v>
      </c>
      <c r="H35" t="n">
        <v>0</v>
      </c>
      <c r="I35" t="n">
        <v>29.24</v>
      </c>
      <c r="J35" t="n">
        <v>29.24</v>
      </c>
      <c r="K35" t="n">
        <v>0</v>
      </c>
      <c r="L35" t="n">
        <v>0</v>
      </c>
      <c r="M35">
        <f>IF(OR(F35="VOIDED",F35="DELETED"),0,J35-L35)</f>
        <v/>
      </c>
      <c r="N35" t="inlineStr">
        <is>
          <t>No</t>
        </is>
      </c>
      <c r="O35" t="inlineStr">
        <is>
          <t>Goods-tagged</t>
        </is>
      </c>
      <c r="P35" t="inlineStr">
        <is>
          <t>Food &amp; Drink</t>
        </is>
      </c>
      <c r="Q35" t="inlineStr">
        <is>
          <t>vendor_rule</t>
        </is>
      </c>
      <c r="R35" t="inlineStr">
        <is>
          <t>ACT-ST</t>
        </is>
      </c>
      <c r="S35" t="n">
        <v>46091</v>
      </c>
    </row>
    <row r="36" ht="36" customHeight="1">
      <c r="A36" t="inlineStr">
        <is>
          <t>38b725ca-1b7c-42da-846d-6a3dcbf9508e</t>
        </is>
      </c>
      <c r="B36" t="inlineStr">
        <is>
          <t>BYO-25527</t>
        </is>
      </c>
      <c r="C36" s="162" t="n">
        <v>45744</v>
      </c>
      <c r="D36" t="inlineStr">
        <is>
          <t>Byo Group</t>
        </is>
      </c>
      <c r="E36" t="inlineStr">
        <is>
          <t>ACCPAY</t>
        </is>
      </c>
      <c r="F36" t="inlineStr">
        <is>
          <t>PAID</t>
        </is>
      </c>
      <c r="G36" t="n">
        <v>1626.4</v>
      </c>
      <c r="H36" t="n">
        <v>162.64</v>
      </c>
      <c r="I36" t="n">
        <v>1789.04</v>
      </c>
      <c r="J36" t="n">
        <v>1789.04</v>
      </c>
      <c r="K36" t="n">
        <v>0</v>
      </c>
      <c r="L36" t="n">
        <v>0</v>
      </c>
      <c r="M36">
        <f>IF(OR(F36="VOIDED",F36="DELETED"),0,J36-L36)</f>
        <v/>
      </c>
      <c r="N36" t="inlineStr">
        <is>
          <t>No</t>
        </is>
      </c>
      <c r="O36" t="inlineStr">
        <is>
          <t>Goods-tagged</t>
        </is>
      </c>
      <c r="P36" t="inlineStr">
        <is>
          <t>General Bookkeeping Services &amp; BAS Agent Services</t>
        </is>
      </c>
      <c r="Q36" t="inlineStr">
        <is>
          <t>vendor_rule</t>
        </is>
      </c>
      <c r="R36" t="inlineStr">
        <is>
          <t>ACT-ST</t>
        </is>
      </c>
      <c r="S36" t="n">
        <v>46133</v>
      </c>
    </row>
    <row r="37" ht="36" customHeight="1">
      <c r="A37" t="inlineStr">
        <is>
          <t>35bdb2c6-00a4-4e86-b9ee-97608218d2ec</t>
        </is>
      </c>
      <c r="B37" t="inlineStr">
        <is>
          <t>BYO-25541</t>
        </is>
      </c>
      <c r="C37" s="162" t="n">
        <v>45748</v>
      </c>
      <c r="D37" t="inlineStr">
        <is>
          <t>Byo Group</t>
        </is>
      </c>
      <c r="E37" t="inlineStr">
        <is>
          <t>ACCPAY</t>
        </is>
      </c>
      <c r="F37" t="inlineStr">
        <is>
          <t>PAID</t>
        </is>
      </c>
      <c r="G37" t="n">
        <v>30</v>
      </c>
      <c r="H37" t="n">
        <v>3</v>
      </c>
      <c r="I37" t="n">
        <v>33</v>
      </c>
      <c r="J37" t="n">
        <v>33</v>
      </c>
      <c r="K37" t="n">
        <v>0</v>
      </c>
      <c r="L37" t="n">
        <v>0</v>
      </c>
      <c r="M37">
        <f>IF(OR(F37="VOIDED",F37="DELETED"),0,J37-L37)</f>
        <v/>
      </c>
      <c r="N37" t="inlineStr">
        <is>
          <t>No</t>
        </is>
      </c>
      <c r="O37" t="inlineStr">
        <is>
          <t>Goods-tagged</t>
        </is>
      </c>
      <c r="P37" t="inlineStr">
        <is>
          <t>Software - Dext Prepare</t>
        </is>
      </c>
      <c r="Q37" t="inlineStr">
        <is>
          <t>vendor_rule</t>
        </is>
      </c>
      <c r="R37" t="inlineStr">
        <is>
          <t>ACT-ST</t>
        </is>
      </c>
      <c r="S37" t="n">
        <v>46133</v>
      </c>
    </row>
    <row r="38" ht="36" customHeight="1">
      <c r="A38" t="inlineStr">
        <is>
          <t>d6603d4d-b889-43e6-b132-88871f42b424</t>
        </is>
      </c>
      <c r="B38" t="inlineStr">
        <is>
          <t>040425</t>
        </is>
      </c>
      <c r="C38" s="162" t="n">
        <v>45751</v>
      </c>
      <c r="D38" t="inlineStr">
        <is>
          <t>Alice Vietnamese Restaurant</t>
        </is>
      </c>
      <c r="E38" t="inlineStr">
        <is>
          <t>ACCPAY</t>
        </is>
      </c>
      <c r="F38" t="inlineStr">
        <is>
          <t>PAID</t>
        </is>
      </c>
      <c r="G38" t="n">
        <v>74.09999999999999</v>
      </c>
      <c r="H38" t="n">
        <v>0</v>
      </c>
      <c r="I38" t="n">
        <v>74.09999999999999</v>
      </c>
      <c r="J38" t="n">
        <v>74.09999999999999</v>
      </c>
      <c r="K38" t="n">
        <v>0</v>
      </c>
      <c r="L38" t="n">
        <v>0</v>
      </c>
      <c r="M38">
        <f>IF(OR(F38="VOIDED",F38="DELETED"),0,J38-L38)</f>
        <v/>
      </c>
      <c r="N38" t="inlineStr">
        <is>
          <t>No</t>
        </is>
      </c>
      <c r="O38" t="inlineStr">
        <is>
          <t>Goods-tagged</t>
        </is>
      </c>
      <c r="P38" t="inlineStr">
        <is>
          <t>Dinner Alice Springs</t>
        </is>
      </c>
      <c r="Q38" t="inlineStr">
        <is>
          <t>tracking_match</t>
        </is>
      </c>
      <c r="R38" t="inlineStr">
        <is>
          <t>ACT-ST</t>
        </is>
      </c>
      <c r="S38" t="n">
        <v>46133</v>
      </c>
    </row>
    <row r="39" ht="36" customHeight="1">
      <c r="A39" t="inlineStr">
        <is>
          <t>0097ebf7-07e4-4774-bd60-822f542de3bd</t>
        </is>
      </c>
      <c r="B39" t="inlineStr">
        <is>
          <t>16307</t>
        </is>
      </c>
      <c r="C39" s="162" t="n">
        <v>45757</v>
      </c>
      <c r="D39" t="inlineStr">
        <is>
          <t>Icon On Isa</t>
        </is>
      </c>
      <c r="E39" t="inlineStr">
        <is>
          <t>ACCPAY</t>
        </is>
      </c>
      <c r="F39" t="inlineStr">
        <is>
          <t>PAID</t>
        </is>
      </c>
      <c r="G39" t="n">
        <v>140.91</v>
      </c>
      <c r="H39" t="n">
        <v>14.09</v>
      </c>
      <c r="I39" t="n">
        <v>155</v>
      </c>
      <c r="J39" t="n">
        <v>155</v>
      </c>
      <c r="K39" t="n">
        <v>0</v>
      </c>
      <c r="L39" t="n">
        <v>0</v>
      </c>
      <c r="M39">
        <f>IF(OR(F39="VOIDED",F39="DELETED"),0,J39-L39)</f>
        <v/>
      </c>
      <c r="N39" t="inlineStr">
        <is>
          <t>No</t>
        </is>
      </c>
      <c r="O39" t="inlineStr">
        <is>
          <t>Coding conflict</t>
        </is>
      </c>
      <c r="P39" t="inlineStr">
        <is>
          <t>King Single Room 09.04.25 to 10.04.25 - Benjamin Knight</t>
        </is>
      </c>
      <c r="Q39" t="inlineStr">
        <is>
          <t>vendor_rule</t>
        </is>
      </c>
      <c r="R39" t="inlineStr">
        <is>
          <t>ACT-ST</t>
        </is>
      </c>
      <c r="S39" t="n">
        <v>46133</v>
      </c>
    </row>
    <row r="40" ht="512" customHeight="1">
      <c r="A40" t="inlineStr">
        <is>
          <t>c4b92abd-0a06-4115-86f9-210ddd0c2684</t>
        </is>
      </c>
      <c r="B40" t="inlineStr">
        <is>
          <t>INV-0222</t>
        </is>
      </c>
      <c r="C40" s="162" t="n">
        <v>45757</v>
      </c>
      <c r="D40" t="inlineStr">
        <is>
          <t>Rotary Eclub Outback Australia, Division 9560,</t>
        </is>
      </c>
      <c r="E40" t="inlineStr">
        <is>
          <t>ACCREC</t>
        </is>
      </c>
      <c r="F40" t="inlineStr">
        <is>
          <t>AUTHORISED</t>
        </is>
      </c>
      <c r="G40" t="n">
        <v>75000</v>
      </c>
      <c r="H40" t="n">
        <v>7500</v>
      </c>
      <c r="I40" t="n">
        <v>82500</v>
      </c>
      <c r="J40" t="n">
        <v>0</v>
      </c>
      <c r="K40" t="n">
        <v>82500</v>
      </c>
      <c r="L40" t="n">
        <v>0</v>
      </c>
      <c r="M40">
        <f>IF(OR(F40="VOIDED",F40="DELETED"),0,J40-L40)</f>
        <v/>
      </c>
      <c r="N40" t="inlineStr">
        <is>
          <t>No</t>
        </is>
      </c>
      <c r="O40" t="inlineStr">
        <is>
          <t>Goods-tagged</t>
        </is>
      </c>
      <c r="P40" t="inlineStr">
        <is>
          <t>Goods Greate Bed v1 / Project Implementation and Management 
    ◦ Community visit/s
    ◦ Storytelling support
    ◦ Travel and accommodation
    ◦ Local worker support / ## Project Components
### 1. Bed Specifications
- Modular design using recyclable materials - built from modular crates
- Washable mattress components with waterproof protector
- Easy assembly without tools - flat-packable design
- Adaptable to various environments and cultural needs
- Durable and maintainable by community members
### 2. Community Engagement Activities
- Initial community consultation and needs assessment
- Local assembly training workshops with cultural sensitivity
- Installation support and guidance from community leaders
- Support the Community Family Fun Day and Concert
- Follow-up maintenance training for sustainability
- Community feedback sessions and story collection
### 3. Expected Outcomes
- Improved sleeping conditions for 200+ community members
- Local employment opportunities through assembly and maintenance
- Reduced environmental waste through sustainable design
- Enhanced community capability for ongoing maintenance
- Documented impact for future scaling across other communities</t>
        </is>
      </c>
      <c r="Q40" t="inlineStr">
        <is>
          <t>keyword_match</t>
        </is>
      </c>
      <c r="R40" t="inlineStr">
        <is>
          <t>ACT-ST</t>
        </is>
      </c>
      <c r="S40" t="n">
        <v>46133</v>
      </c>
    </row>
    <row r="41" ht="36" customHeight="1">
      <c r="A41" t="inlineStr">
        <is>
          <t>e3f38065-b7b2-496b-9fff-c856fed35c3f</t>
        </is>
      </c>
      <c r="B41" t="inlineStr">
        <is>
          <t>16315</t>
        </is>
      </c>
      <c r="C41" s="162" t="n">
        <v>45758</v>
      </c>
      <c r="D41" t="inlineStr">
        <is>
          <t>Icon On Isa</t>
        </is>
      </c>
      <c r="E41" t="inlineStr">
        <is>
          <t>ACCPAY</t>
        </is>
      </c>
      <c r="F41" t="inlineStr">
        <is>
          <t>PAID</t>
        </is>
      </c>
      <c r="G41" t="n">
        <v>140.91</v>
      </c>
      <c r="H41" t="n">
        <v>14.09</v>
      </c>
      <c r="I41" t="n">
        <v>155</v>
      </c>
      <c r="J41" t="n">
        <v>155</v>
      </c>
      <c r="K41" t="n">
        <v>0</v>
      </c>
      <c r="L41" t="n">
        <v>0</v>
      </c>
      <c r="M41">
        <f>IF(OR(F41="VOIDED",F41="DELETED"),0,J41-L41)</f>
        <v/>
      </c>
      <c r="N41" t="inlineStr">
        <is>
          <t>No</t>
        </is>
      </c>
      <c r="O41" t="inlineStr">
        <is>
          <t>Coding conflict</t>
        </is>
      </c>
      <c r="P41" t="inlineStr">
        <is>
          <t>King Single Room - 10.04.25 to 11.04.25 - Benjamin Knight</t>
        </is>
      </c>
      <c r="Q41" t="inlineStr">
        <is>
          <t>vendor_rule</t>
        </is>
      </c>
      <c r="R41" t="inlineStr">
        <is>
          <t>ACT-ST</t>
        </is>
      </c>
      <c r="S41" t="n">
        <v>46133</v>
      </c>
    </row>
    <row r="42" ht="36" customHeight="1">
      <c r="A42" t="inlineStr">
        <is>
          <t>b0fb9b84-2d58-4319-8b5e-23b8caac2281</t>
        </is>
      </c>
      <c r="B42" t="inlineStr">
        <is>
          <t>665</t>
        </is>
      </c>
      <c r="C42" s="162" t="n">
        <v>45758</v>
      </c>
      <c r="D42" t="inlineStr">
        <is>
          <t>The Coffee Club Mt Isa</t>
        </is>
      </c>
      <c r="E42" t="inlineStr">
        <is>
          <t>ACCPAY</t>
        </is>
      </c>
      <c r="F42" t="inlineStr">
        <is>
          <t>PAID</t>
        </is>
      </c>
      <c r="G42" t="n">
        <v>5.31</v>
      </c>
      <c r="H42" t="n">
        <v>0.53</v>
      </c>
      <c r="I42" t="n">
        <v>5.84</v>
      </c>
      <c r="J42" t="n">
        <v>5.84</v>
      </c>
      <c r="K42" t="n">
        <v>0</v>
      </c>
      <c r="L42" t="n">
        <v>0</v>
      </c>
      <c r="M42">
        <f>IF(OR(F42="VOIDED",F42="DELETED"),0,J42-L42)</f>
        <v/>
      </c>
      <c r="N42" t="inlineStr">
        <is>
          <t>No</t>
        </is>
      </c>
      <c r="O42" t="inlineStr">
        <is>
          <t>Goods-tagged</t>
        </is>
      </c>
      <c r="P42" t="inlineStr">
        <is>
          <t>Coffee</t>
        </is>
      </c>
      <c r="Q42" t="inlineStr">
        <is>
          <t>vendor_rule</t>
        </is>
      </c>
      <c r="R42" t="inlineStr">
        <is>
          <t>ACT-ST</t>
        </is>
      </c>
      <c r="S42" t="n">
        <v>46133</v>
      </c>
    </row>
    <row r="43" ht="36" customHeight="1">
      <c r="A43" t="inlineStr">
        <is>
          <t>319ba8af-d25c-4d27-9d19-c0a4e64bbb11</t>
        </is>
      </c>
      <c r="B43" t="inlineStr">
        <is>
          <t>349362</t>
        </is>
      </c>
      <c r="C43" s="162" t="n">
        <v>45776</v>
      </c>
      <c r="D43" t="inlineStr">
        <is>
          <t>All Coast Tyre Solutions</t>
        </is>
      </c>
      <c r="E43" t="inlineStr">
        <is>
          <t>ACCPAY</t>
        </is>
      </c>
      <c r="F43" t="inlineStr">
        <is>
          <t>PAID</t>
        </is>
      </c>
      <c r="G43" t="n">
        <v>348.18</v>
      </c>
      <c r="H43" t="n">
        <v>34.82</v>
      </c>
      <c r="I43" t="n">
        <v>383</v>
      </c>
      <c r="J43" t="n">
        <v>383</v>
      </c>
      <c r="K43" t="n">
        <v>0</v>
      </c>
      <c r="L43" t="n">
        <v>0</v>
      </c>
      <c r="M43">
        <f>IF(OR(F43="VOIDED",F43="DELETED"),0,J43-L43)</f>
        <v/>
      </c>
      <c r="N43" t="inlineStr">
        <is>
          <t>No</t>
        </is>
      </c>
      <c r="O43" t="inlineStr">
        <is>
          <t>Goods-tagged</t>
        </is>
      </c>
      <c r="P43" t="inlineStr">
        <is>
          <t>Haulmax 10-16.5 tyre steer fitting</t>
        </is>
      </c>
      <c r="Q43" t="inlineStr">
        <is>
          <t>manual</t>
        </is>
      </c>
      <c r="R43" t="inlineStr">
        <is>
          <t>ACT-ST</t>
        </is>
      </c>
      <c r="S43" t="n">
        <v>46133</v>
      </c>
    </row>
    <row r="44" ht="50" customHeight="1">
      <c r="A44" t="inlineStr">
        <is>
          <t>05d99cd2-3bf2-4cd1-837d-dfb66871f06c</t>
        </is>
      </c>
      <c r="B44" t="inlineStr">
        <is>
          <t>BYO-25627</t>
        </is>
      </c>
      <c r="C44" s="162" t="n">
        <v>45777</v>
      </c>
      <c r="D44" t="inlineStr">
        <is>
          <t>Byo Group</t>
        </is>
      </c>
      <c r="E44" t="inlineStr">
        <is>
          <t>ACCPAY</t>
        </is>
      </c>
      <c r="F44" t="inlineStr">
        <is>
          <t>PAID</t>
        </is>
      </c>
      <c r="G44" t="n">
        <v>192</v>
      </c>
      <c r="H44" t="n">
        <v>19.2</v>
      </c>
      <c r="I44" t="n">
        <v>211.2</v>
      </c>
      <c r="J44" t="n">
        <v>211.2</v>
      </c>
      <c r="K44" t="n">
        <v>0</v>
      </c>
      <c r="L44" t="n">
        <v>0</v>
      </c>
      <c r="M44">
        <f>IF(OR(F44="VOIDED",F44="DELETED"),0,J44-L44)</f>
        <v/>
      </c>
      <c r="N44" t="inlineStr">
        <is>
          <t>No</t>
        </is>
      </c>
      <c r="O44" t="inlineStr">
        <is>
          <t>Goods-tagged</t>
        </is>
      </c>
      <c r="P44" t="inlineStr">
        <is>
          <t>LB | General Bookkeeping Services 
 Finalise paperwork processing and reconciling of bank transactions where possible.</t>
        </is>
      </c>
      <c r="Q44" t="inlineStr">
        <is>
          <t>vendor_rule</t>
        </is>
      </c>
      <c r="R44" t="inlineStr">
        <is>
          <t>ACT-ST</t>
        </is>
      </c>
      <c r="S44" t="n">
        <v>46133</v>
      </c>
    </row>
    <row r="45" ht="36" customHeight="1">
      <c r="A45" t="inlineStr">
        <is>
          <t>b3cb664c-cf05-419c-b95a-a50c15f8615d</t>
        </is>
      </c>
      <c r="B45" t="inlineStr">
        <is>
          <t>BYO-25655</t>
        </is>
      </c>
      <c r="C45" s="162" t="n">
        <v>45778</v>
      </c>
      <c r="D45" t="inlineStr">
        <is>
          <t>Byo Group</t>
        </is>
      </c>
      <c r="E45" t="inlineStr">
        <is>
          <t>ACCPAY</t>
        </is>
      </c>
      <c r="F45" t="inlineStr">
        <is>
          <t>PAID</t>
        </is>
      </c>
      <c r="G45" t="n">
        <v>30</v>
      </c>
      <c r="H45" t="n">
        <v>3</v>
      </c>
      <c r="I45" t="n">
        <v>33</v>
      </c>
      <c r="J45" t="n">
        <v>33</v>
      </c>
      <c r="K45" t="n">
        <v>0</v>
      </c>
      <c r="L45" t="n">
        <v>0</v>
      </c>
      <c r="M45">
        <f>IF(OR(F45="VOIDED",F45="DELETED"),0,J45-L45)</f>
        <v/>
      </c>
      <c r="N45" t="inlineStr">
        <is>
          <t>No</t>
        </is>
      </c>
      <c r="O45" t="inlineStr">
        <is>
          <t>Goods-tagged</t>
        </is>
      </c>
      <c r="P45" t="inlineStr">
        <is>
          <t>LB | Software - Dext Prepare</t>
        </is>
      </c>
      <c r="Q45" t="inlineStr">
        <is>
          <t>vendor_rule</t>
        </is>
      </c>
      <c r="R45" t="inlineStr">
        <is>
          <t>ACT-ST</t>
        </is>
      </c>
      <c r="S45" t="n">
        <v>46133</v>
      </c>
    </row>
    <row r="46" ht="274" customHeight="1">
      <c r="A46" t="inlineStr">
        <is>
          <t>53044429-1feb-4c2e-ad13-fa14297e4a3a</t>
        </is>
      </c>
      <c r="B46" t="inlineStr">
        <is>
          <t>INV-0227</t>
        </is>
      </c>
      <c r="C46" s="162" t="n">
        <v>45778</v>
      </c>
      <c r="D46" t="inlineStr">
        <is>
          <t>The Snow Foundation</t>
        </is>
      </c>
      <c r="E46" t="inlineStr">
        <is>
          <t>ACCREC</t>
        </is>
      </c>
      <c r="F46" t="inlineStr">
        <is>
          <t>PAID</t>
        </is>
      </c>
      <c r="G46" t="n">
        <v>100000</v>
      </c>
      <c r="H46" t="n">
        <v>10000</v>
      </c>
      <c r="I46" t="n">
        <v>110000</v>
      </c>
      <c r="J46" t="n">
        <v>110000</v>
      </c>
      <c r="K46" t="n">
        <v>0</v>
      </c>
      <c r="L46" t="n">
        <v>0</v>
      </c>
      <c r="M46">
        <f>IF(OR(F46="VOIDED",F46="DELETED"),0,J46-L46)</f>
        <v/>
      </c>
      <c r="N46" t="inlineStr">
        <is>
          <t>No</t>
        </is>
      </c>
      <c r="O46" t="inlineStr">
        <is>
          <t>Goods-tagged</t>
        </is>
      </c>
      <c r="P46" t="inlineStr">
        <is>
          <t>The Goods Project Q2 2025 initiative requests $100,000 for the development of durable, repairable household goods in Tennant Creek, Northern Territory. The project encompasses the research and development of innovative mattresses and washing machines designed specifically for remote conditions, alongside comprehensive community training programs and employment opportunities. The budget allocation includes $20,000 for advanced mattress R&amp;D, $20,000 for washing machine development, $12,000 for training and employment programs, and $48,000 for four intensive community engagement visits throughout 2025. / Mattress V2 R&amp;D
Advanced topper design using washable, modular, and recycled components / Washing Machine V1
Design and field-test simplified, rugged washing machine for remote conditions / Training &amp; Employment
Develop culturally-appropriate resources and train community members for the next round of products / Community Engagement
Four intensive visits to Tennant Creek through 2025</t>
        </is>
      </c>
      <c r="Q46" t="inlineStr">
        <is>
          <t>vendor_rule</t>
        </is>
      </c>
      <c r="R46" t="inlineStr">
        <is>
          <t>ACT-ST</t>
        </is>
      </c>
      <c r="S46" t="n">
        <v>46133</v>
      </c>
    </row>
    <row r="47" ht="36" customHeight="1">
      <c r="A47" t="inlineStr">
        <is>
          <t>acc80a60-1371-4eae-9d0c-4575089e42d4</t>
        </is>
      </c>
      <c r="B47" t="inlineStr">
        <is>
          <t>RB16789296530</t>
        </is>
      </c>
      <c r="C47" s="162" t="n">
        <v>45784</v>
      </c>
      <c r="D47" t="inlineStr">
        <is>
          <t>Tennant Creek Caravan Park</t>
        </is>
      </c>
      <c r="E47" t="inlineStr">
        <is>
          <t>ACCPAY</t>
        </is>
      </c>
      <c r="F47" t="inlineStr">
        <is>
          <t>PAID</t>
        </is>
      </c>
      <c r="G47" t="n">
        <v>218.18</v>
      </c>
      <c r="H47" t="n">
        <v>21.82</v>
      </c>
      <c r="I47" t="n">
        <v>240</v>
      </c>
      <c r="J47" t="n">
        <v>240</v>
      </c>
      <c r="K47" t="n">
        <v>0</v>
      </c>
      <c r="L47" t="n">
        <v>0</v>
      </c>
      <c r="M47">
        <f>IF(OR(F47="VOIDED",F47="DELETED"),0,J47-L47)</f>
        <v/>
      </c>
      <c r="N47" t="inlineStr">
        <is>
          <t>No</t>
        </is>
      </c>
      <c r="O47" t="inlineStr">
        <is>
          <t>Goods-tagged</t>
        </is>
      </c>
      <c r="P47" t="inlineStr">
        <is>
          <t>Tennant Creek Caravan park - 07/05-09/05/25</t>
        </is>
      </c>
      <c r="Q47" t="inlineStr">
        <is>
          <t>vendor_rule</t>
        </is>
      </c>
      <c r="R47" t="inlineStr">
        <is>
          <t>ACT-ST</t>
        </is>
      </c>
      <c r="S47" t="n">
        <v>46133</v>
      </c>
    </row>
    <row r="48" ht="50" customHeight="1">
      <c r="A48" t="inlineStr">
        <is>
          <t>3aaf05cc-043d-47fb-8616-fc10ce92318b</t>
        </is>
      </c>
      <c r="B48" t="inlineStr">
        <is>
          <t>INV-1313</t>
        </is>
      </c>
      <c r="C48" s="162" t="n">
        <v>45785</v>
      </c>
      <c r="D48" t="inlineStr">
        <is>
          <t>Utility Vehicles Qld</t>
        </is>
      </c>
      <c r="E48" t="inlineStr">
        <is>
          <t>ACCPAY</t>
        </is>
      </c>
      <c r="F48" t="inlineStr">
        <is>
          <t>PAID</t>
        </is>
      </c>
      <c r="G48" t="n">
        <v>706.8200000000001</v>
      </c>
      <c r="H48" t="n">
        <v>70.68000000000001</v>
      </c>
      <c r="I48" t="n">
        <v>777.5</v>
      </c>
      <c r="J48" t="n">
        <v>777.5</v>
      </c>
      <c r="K48" t="n">
        <v>0</v>
      </c>
      <c r="L48" t="n">
        <v>0</v>
      </c>
      <c r="M48">
        <f>IF(OR(F48="VOIDED",F48="DELETED"),0,J48-L48)</f>
        <v/>
      </c>
      <c r="N48" t="inlineStr">
        <is>
          <t>No</t>
        </is>
      </c>
      <c r="O48" t="inlineStr">
        <is>
          <t>Goods-tagged</t>
        </is>
      </c>
      <c r="P48" t="inlineStr">
        <is>
          <t>Waterproof Power Steering Pump 
 pickup from Aspley 10 pin bowling 
 Friday 9th May - TBC / Credit card processing fee</t>
        </is>
      </c>
      <c r="Q48" t="inlineStr">
        <is>
          <t>vendor_rule</t>
        </is>
      </c>
      <c r="R48" t="inlineStr">
        <is>
          <t>ACT-ST</t>
        </is>
      </c>
      <c r="S48" t="n">
        <v>46133</v>
      </c>
    </row>
    <row r="49" ht="36" customHeight="1">
      <c r="A49" t="inlineStr">
        <is>
          <t>b08daaae-c17b-4274-93a6-f58489c3f50a</t>
        </is>
      </c>
      <c r="B49" t="inlineStr">
        <is>
          <t>00004486</t>
        </is>
      </c>
      <c r="C49" s="162" t="n">
        <v>45786</v>
      </c>
      <c r="D49" t="inlineStr">
        <is>
          <t>AJ Couriers And Haulage</t>
        </is>
      </c>
      <c r="E49" t="inlineStr">
        <is>
          <t>ACCPAY</t>
        </is>
      </c>
      <c r="F49" t="inlineStr">
        <is>
          <t>PAID</t>
        </is>
      </c>
      <c r="G49" t="n">
        <v>1405.06</v>
      </c>
      <c r="H49" t="n">
        <v>140.51</v>
      </c>
      <c r="I49" t="n">
        <v>1545.57</v>
      </c>
      <c r="J49" t="n">
        <v>1545.57</v>
      </c>
      <c r="K49" t="n">
        <v>0</v>
      </c>
      <c r="L49" t="n">
        <v>0</v>
      </c>
      <c r="M49">
        <f>IF(OR(F49="VOIDED",F49="DELETED"),0,J49-L49)</f>
        <v/>
      </c>
      <c r="N49" t="inlineStr">
        <is>
          <t>No</t>
        </is>
      </c>
      <c r="O49" t="inlineStr">
        <is>
          <t>Goods-tagged</t>
        </is>
      </c>
      <c r="P49" t="inlineStr">
        <is>
          <t>10x pallet from Alice Springs Bunnings to Tennant Creek 
 243741 / Surcharge</t>
        </is>
      </c>
      <c r="Q49" t="inlineStr">
        <is>
          <t>vendor_rule</t>
        </is>
      </c>
      <c r="R49" t="inlineStr">
        <is>
          <t>ACT-ST</t>
        </is>
      </c>
      <c r="S49" t="n">
        <v>46133</v>
      </c>
    </row>
    <row r="50" ht="36" customHeight="1">
      <c r="A50" t="inlineStr">
        <is>
          <t>6effc3f4-230e-4866-9cb4-112d4ceb7e94</t>
        </is>
      </c>
      <c r="B50" t="inlineStr">
        <is>
          <t>91901</t>
        </is>
      </c>
      <c r="C50" s="162" t="n">
        <v>45786</v>
      </c>
      <c r="D50" t="inlineStr">
        <is>
          <t>Ti Tree Roadhouse</t>
        </is>
      </c>
      <c r="E50" t="inlineStr">
        <is>
          <t>ACCPAY</t>
        </is>
      </c>
      <c r="F50" t="inlineStr">
        <is>
          <t>PAID</t>
        </is>
      </c>
      <c r="G50" t="n">
        <v>111.71</v>
      </c>
      <c r="H50" t="n">
        <v>11.17</v>
      </c>
      <c r="I50" t="n">
        <v>122.88</v>
      </c>
      <c r="J50" t="n">
        <v>122.88</v>
      </c>
      <c r="K50" t="n">
        <v>0</v>
      </c>
      <c r="L50" t="n">
        <v>0</v>
      </c>
      <c r="M50">
        <f>IF(OR(F50="VOIDED",F50="DELETED"),0,J50-L50)</f>
        <v/>
      </c>
      <c r="N50" t="inlineStr">
        <is>
          <t>No</t>
        </is>
      </c>
      <c r="O50" t="inlineStr">
        <is>
          <t>Goods-tagged</t>
        </is>
      </c>
      <c r="P50" t="inlineStr">
        <is>
          <t>47.28L Diesel</t>
        </is>
      </c>
      <c r="Q50" t="inlineStr">
        <is>
          <t>vendor_rule</t>
        </is>
      </c>
      <c r="R50" t="inlineStr">
        <is>
          <t>ACT-ST</t>
        </is>
      </c>
      <c r="S50" t="n">
        <v>46133</v>
      </c>
    </row>
    <row r="51" ht="36" customHeight="1">
      <c r="A51" t="inlineStr">
        <is>
          <t>d253ac6f-ead0-43ec-9547-898017c05268</t>
        </is>
      </c>
      <c r="B51" t="inlineStr">
        <is>
          <t>INV20251</t>
        </is>
      </c>
      <c r="C51" s="162" t="n">
        <v>45790</v>
      </c>
      <c r="D51" t="inlineStr">
        <is>
          <t>R M Tanner</t>
        </is>
      </c>
      <c r="E51" t="inlineStr">
        <is>
          <t>ACCPAY</t>
        </is>
      </c>
      <c r="F51" t="inlineStr">
        <is>
          <t>PAID</t>
        </is>
      </c>
      <c r="G51" t="n">
        <v>19950</v>
      </c>
      <c r="H51" t="n">
        <v>0</v>
      </c>
      <c r="I51" t="n">
        <v>19950</v>
      </c>
      <c r="J51" t="n">
        <v>19950</v>
      </c>
      <c r="K51" t="n">
        <v>0</v>
      </c>
      <c r="L51" t="n">
        <v>0</v>
      </c>
      <c r="M51">
        <f>IF(OR(F51="VOIDED",F51="DELETED"),0,J51-L51)</f>
        <v/>
      </c>
      <c r="N51" t="inlineStr">
        <is>
          <t>No</t>
        </is>
      </c>
      <c r="O51" t="inlineStr">
        <is>
          <t>Goods-tagged</t>
        </is>
      </c>
      <c r="P51" t="inlineStr">
        <is>
          <t>Triple AxleTiny House Ty House</t>
        </is>
      </c>
      <c r="Q51" t="inlineStr">
        <is>
          <t>vendor_rule</t>
        </is>
      </c>
      <c r="R51" t="inlineStr">
        <is>
          <t>ACT-ST</t>
        </is>
      </c>
      <c r="S51" t="n">
        <v>46133</v>
      </c>
    </row>
    <row r="52" ht="36" customHeight="1">
      <c r="A52" t="inlineStr">
        <is>
          <t>27d646f1-5893-4491-8896-39a4f16cddff</t>
        </is>
      </c>
      <c r="B52" t="inlineStr">
        <is>
          <t>936529-398</t>
        </is>
      </c>
      <c r="C52" s="162" t="n">
        <v>45792</v>
      </c>
      <c r="D52" t="inlineStr">
        <is>
          <t>Metal Manufactures</t>
        </is>
      </c>
      <c r="E52" t="inlineStr">
        <is>
          <t>ACCPAY</t>
        </is>
      </c>
      <c r="F52" t="inlineStr">
        <is>
          <t>PAID</t>
        </is>
      </c>
      <c r="G52" t="n">
        <v>625.96</v>
      </c>
      <c r="H52" t="n">
        <v>62.6</v>
      </c>
      <c r="I52" t="n">
        <v>688.5599999999999</v>
      </c>
      <c r="J52" t="n">
        <v>688.5599999999999</v>
      </c>
      <c r="K52" t="n">
        <v>0</v>
      </c>
      <c r="L52" t="n">
        <v>0</v>
      </c>
      <c r="M52">
        <f>IF(OR(F52="VOIDED",F52="DELETED"),0,J52-L52)</f>
        <v/>
      </c>
      <c r="N52" t="inlineStr">
        <is>
          <t>No</t>
        </is>
      </c>
      <c r="O52" t="inlineStr">
        <is>
          <t>Goods-tagged</t>
        </is>
      </c>
      <c r="P52" t="inlineStr">
        <is>
          <t>.</t>
        </is>
      </c>
      <c r="Q52" t="inlineStr">
        <is>
          <t>vendor_rule</t>
        </is>
      </c>
      <c r="R52" t="inlineStr">
        <is>
          <t>ACT-ST</t>
        </is>
      </c>
      <c r="S52" t="n">
        <v>46133</v>
      </c>
    </row>
    <row r="53" ht="36" customHeight="1">
      <c r="A53" t="inlineStr">
        <is>
          <t>2c03a773-485c-4a19-8686-81f12d960089</t>
        </is>
      </c>
      <c r="B53" t="inlineStr">
        <is>
          <t>54373</t>
        </is>
      </c>
      <c r="C53" s="162" t="n">
        <v>45793</v>
      </c>
      <c r="D53" t="inlineStr">
        <is>
          <t>BRIDGESTONE MYAREE</t>
        </is>
      </c>
      <c r="E53" t="inlineStr">
        <is>
          <t>ACCPAY</t>
        </is>
      </c>
      <c r="F53" t="inlineStr">
        <is>
          <t>PAID</t>
        </is>
      </c>
      <c r="G53" t="n">
        <v>770.91</v>
      </c>
      <c r="H53" t="n">
        <v>77.09</v>
      </c>
      <c r="I53" t="n">
        <v>848</v>
      </c>
      <c r="J53" t="n">
        <v>848</v>
      </c>
      <c r="K53" t="n">
        <v>0</v>
      </c>
      <c r="L53" t="n">
        <v>0</v>
      </c>
      <c r="M53">
        <f>IF(OR(F53="VOIDED",F53="DELETED"),0,J53-L53)</f>
        <v/>
      </c>
      <c r="N53" t="inlineStr">
        <is>
          <t>No</t>
        </is>
      </c>
      <c r="O53" t="inlineStr">
        <is>
          <t>Goods-tagged</t>
        </is>
      </c>
      <c r="P53" t="inlineStr">
        <is>
          <t>Landcruiser 687T1B 2 x tyres</t>
        </is>
      </c>
      <c r="Q53" t="inlineStr">
        <is>
          <t>vendor_rule</t>
        </is>
      </c>
      <c r="R53" t="inlineStr">
        <is>
          <t>ACT-ST</t>
        </is>
      </c>
      <c r="S53" t="n">
        <v>46133</v>
      </c>
    </row>
    <row r="54" ht="36" customHeight="1">
      <c r="A54" t="inlineStr">
        <is>
          <t>cfbc96c7-0c0b-43e2-9bd8-96338ce0a5c7</t>
        </is>
      </c>
      <c r="B54" t="inlineStr">
        <is>
          <t>INV-0962</t>
        </is>
      </c>
      <c r="C54" s="162" t="n">
        <v>45793</v>
      </c>
      <c r="D54" t="inlineStr">
        <is>
          <t>Zinus Australia</t>
        </is>
      </c>
      <c r="E54" t="inlineStr">
        <is>
          <t>ACCPAY</t>
        </is>
      </c>
      <c r="F54" t="inlineStr">
        <is>
          <t>PAID</t>
        </is>
      </c>
      <c r="G54" t="n">
        <v>9510</v>
      </c>
      <c r="H54" t="n">
        <v>951</v>
      </c>
      <c r="I54" t="n">
        <v>10461</v>
      </c>
      <c r="J54" t="n">
        <v>10461</v>
      </c>
      <c r="K54" t="n">
        <v>0</v>
      </c>
      <c r="L54" t="n">
        <v>0</v>
      </c>
      <c r="M54">
        <f>IF(OR(F54="VOIDED",F54="DELETED"),0,J54-L54)</f>
        <v/>
      </c>
      <c r="N54" t="inlineStr">
        <is>
          <t>No</t>
        </is>
      </c>
      <c r="O54" t="inlineStr">
        <is>
          <t>Goods-tagged</t>
        </is>
      </c>
      <c r="P54" t="inlineStr">
        <is>
          <t>Mattress toppers &amp; memory foam toppers</t>
        </is>
      </c>
      <c r="Q54" t="inlineStr">
        <is>
          <t>vendor_rule</t>
        </is>
      </c>
      <c r="R54" t="inlineStr">
        <is>
          <t>ACT-ST</t>
        </is>
      </c>
      <c r="S54" t="n">
        <v>46133</v>
      </c>
    </row>
    <row r="55" ht="36" customHeight="1">
      <c r="A55" t="inlineStr">
        <is>
          <t>9c1028d1-ca51-4eb0-828b-7a66dfa251eb</t>
        </is>
      </c>
      <c r="B55" t="inlineStr">
        <is>
          <t>5</t>
        </is>
      </c>
      <c r="C55" s="162" t="n">
        <v>45797</v>
      </c>
      <c r="D55" t="inlineStr">
        <is>
          <t>Endless Parks</t>
        </is>
      </c>
      <c r="E55" t="inlineStr">
        <is>
          <t>ACCPAY</t>
        </is>
      </c>
      <c r="F55" t="inlineStr">
        <is>
          <t>PAID</t>
        </is>
      </c>
      <c r="G55" t="n">
        <v>7000</v>
      </c>
      <c r="H55" t="n">
        <v>700</v>
      </c>
      <c r="I55" t="n">
        <v>7700</v>
      </c>
      <c r="J55" t="n">
        <v>7700</v>
      </c>
      <c r="K55" t="n">
        <v>0</v>
      </c>
      <c r="L55" t="n">
        <v>0</v>
      </c>
      <c r="M55">
        <f>IF(OR(F55="VOIDED",F55="DELETED"),0,J55-L55)</f>
        <v/>
      </c>
      <c r="N55" t="inlineStr">
        <is>
          <t>No</t>
        </is>
      </c>
      <c r="O55" t="inlineStr">
        <is>
          <t>Goods-tagged</t>
        </is>
      </c>
      <c r="P55" t="inlineStr">
        <is>
          <t>Design &amp; Research
Intro Batch 250 units</t>
        </is>
      </c>
      <c r="Q55" t="inlineStr">
        <is>
          <t>vendor_rule</t>
        </is>
      </c>
      <c r="R55" t="inlineStr">
        <is>
          <t>ACT-ST</t>
        </is>
      </c>
      <c r="S55" t="n">
        <v>46133</v>
      </c>
    </row>
    <row r="56" ht="36" customHeight="1">
      <c r="A56" t="inlineStr">
        <is>
          <t>71105695-a209-4505-850c-5bef0f1ba406</t>
        </is>
      </c>
      <c r="B56" t="inlineStr">
        <is>
          <t>391215</t>
        </is>
      </c>
      <c r="C56" s="162" t="n">
        <v>45798</v>
      </c>
      <c r="D56" t="inlineStr">
        <is>
          <t>Upton Group Australia</t>
        </is>
      </c>
      <c r="E56" t="inlineStr">
        <is>
          <t>ACCPAY</t>
        </is>
      </c>
      <c r="F56" t="inlineStr">
        <is>
          <t>PAID</t>
        </is>
      </c>
      <c r="G56" t="n">
        <v>1363.64</v>
      </c>
      <c r="H56" t="n">
        <v>136.36</v>
      </c>
      <c r="I56" t="n">
        <v>1500</v>
      </c>
      <c r="J56" t="n">
        <v>1500</v>
      </c>
      <c r="K56" t="n">
        <v>0</v>
      </c>
      <c r="L56" t="n">
        <v>0</v>
      </c>
      <c r="M56">
        <f>IF(OR(F56="VOIDED",F56="DELETED"),0,J56-L56)</f>
        <v/>
      </c>
      <c r="N56" t="inlineStr">
        <is>
          <t>No</t>
        </is>
      </c>
      <c r="O56" t="inlineStr">
        <is>
          <t>Goods-tagged</t>
        </is>
      </c>
      <c r="P56" t="inlineStr">
        <is>
          <t>Hybrid Spotted Gum / Delivery</t>
        </is>
      </c>
      <c r="Q56" t="inlineStr">
        <is>
          <t>vendor_rule</t>
        </is>
      </c>
      <c r="R56" t="inlineStr">
        <is>
          <t>ACT-ST</t>
        </is>
      </c>
      <c r="S56" t="n">
        <v>46133</v>
      </c>
    </row>
    <row r="57" ht="36" customHeight="1">
      <c r="A57" t="inlineStr">
        <is>
          <t>c85c2b88-8d90-4770-aae6-32d075e35ca3</t>
        </is>
      </c>
      <c r="B57" t="inlineStr">
        <is>
          <t>INV-0441</t>
        </is>
      </c>
      <c r="C57" s="162" t="n">
        <v>45799</v>
      </c>
      <c r="D57" t="inlineStr">
        <is>
          <t>Orange Sky Australia</t>
        </is>
      </c>
      <c r="E57" t="inlineStr">
        <is>
          <t>ACCPAY</t>
        </is>
      </c>
      <c r="F57" t="inlineStr">
        <is>
          <t>PAID</t>
        </is>
      </c>
      <c r="G57" t="n">
        <v>6000</v>
      </c>
      <c r="H57" t="n">
        <v>600</v>
      </c>
      <c r="I57" t="n">
        <v>6600</v>
      </c>
      <c r="J57" t="n">
        <v>6600</v>
      </c>
      <c r="K57" t="n">
        <v>0</v>
      </c>
      <c r="L57" t="n">
        <v>0</v>
      </c>
      <c r="M57">
        <f>IF(OR(F57="VOIDED",F57="DELETED"),0,J57-L57)</f>
        <v/>
      </c>
      <c r="N57" t="inlineStr">
        <is>
          <t>No</t>
        </is>
      </c>
      <c r="O57" t="inlineStr">
        <is>
          <t>Goods-tagged</t>
        </is>
      </c>
      <c r="P57" t="inlineStr">
        <is>
          <t>2 *generators $3,300ea</t>
        </is>
      </c>
      <c r="Q57" t="inlineStr">
        <is>
          <t>vendor_rule</t>
        </is>
      </c>
      <c r="R57" t="inlineStr">
        <is>
          <t>ACT-ST</t>
        </is>
      </c>
      <c r="S57" t="n">
        <v>46133</v>
      </c>
    </row>
    <row r="58" ht="36" customHeight="1">
      <c r="A58" t="inlineStr">
        <is>
          <t>ef1dedad-b3e2-4215-b6c0-14d68ec968c1</t>
        </is>
      </c>
      <c r="B58" t="inlineStr">
        <is>
          <t>10524</t>
        </is>
      </c>
      <c r="C58" s="162" t="n">
        <v>45800</v>
      </c>
      <c r="D58" t="inlineStr">
        <is>
          <t>Grand Hotel &amp; Apartments Townsville</t>
        </is>
      </c>
      <c r="E58" t="inlineStr">
        <is>
          <t>ACCPAY</t>
        </is>
      </c>
      <c r="F58" t="inlineStr">
        <is>
          <t>PAID</t>
        </is>
      </c>
      <c r="G58" t="n">
        <v>408.44</v>
      </c>
      <c r="H58" t="n">
        <v>40.85</v>
      </c>
      <c r="I58" t="n">
        <v>449.29</v>
      </c>
      <c r="J58" t="n">
        <v>449.29</v>
      </c>
      <c r="K58" t="n">
        <v>0</v>
      </c>
      <c r="L58" t="n">
        <v>0</v>
      </c>
      <c r="M58">
        <f>IF(OR(F58="VOIDED",F58="DELETED"),0,J58-L58)</f>
        <v/>
      </c>
      <c r="N58" t="inlineStr">
        <is>
          <t>No</t>
        </is>
      </c>
      <c r="O58" t="inlineStr">
        <is>
          <t>Goods-tagged</t>
        </is>
      </c>
      <c r="P58" t="inlineStr">
        <is>
          <t>Accommodation 21.05.25 to 23.05.25 - Benjamin Knight</t>
        </is>
      </c>
      <c r="Q58" t="inlineStr">
        <is>
          <t>vendor_rule</t>
        </is>
      </c>
      <c r="R58" t="inlineStr">
        <is>
          <t>ACT-ST</t>
        </is>
      </c>
      <c r="S58" t="n">
        <v>46133</v>
      </c>
    </row>
    <row r="59" ht="36" customHeight="1">
      <c r="A59" t="inlineStr">
        <is>
          <t>631cb74e-2e5d-402a-8980-04ecb99421b3</t>
        </is>
      </c>
      <c r="B59" t="inlineStr">
        <is>
          <t>20098</t>
        </is>
      </c>
      <c r="C59" s="162" t="n">
        <v>45800</v>
      </c>
      <c r="D59" t="inlineStr">
        <is>
          <t>The Townsville Store</t>
        </is>
      </c>
      <c r="E59" t="inlineStr">
        <is>
          <t>ACCPAY</t>
        </is>
      </c>
      <c r="F59" t="inlineStr">
        <is>
          <t>PAID</t>
        </is>
      </c>
      <c r="G59" t="n">
        <v>52.72</v>
      </c>
      <c r="H59" t="n">
        <v>0</v>
      </c>
      <c r="I59" t="n">
        <v>52.72</v>
      </c>
      <c r="J59" t="n">
        <v>52.72</v>
      </c>
      <c r="K59" t="n">
        <v>0</v>
      </c>
      <c r="L59" t="n">
        <v>0</v>
      </c>
      <c r="M59">
        <f>IF(OR(F59="VOIDED",F59="DELETED"),0,J59-L59)</f>
        <v/>
      </c>
      <c r="N59" t="inlineStr">
        <is>
          <t>No</t>
        </is>
      </c>
      <c r="O59" t="inlineStr">
        <is>
          <t>Goods-tagged</t>
        </is>
      </c>
      <c r="P59" t="inlineStr">
        <is>
          <t>Food - Townsville airport / Lip Balm x 2</t>
        </is>
      </c>
      <c r="Q59" t="inlineStr">
        <is>
          <t>vendor_rule</t>
        </is>
      </c>
      <c r="R59" t="inlineStr">
        <is>
          <t>ACT-ST</t>
        </is>
      </c>
      <c r="S59" t="n">
        <v>46133</v>
      </c>
    </row>
    <row r="60" ht="36" customHeight="1">
      <c r="A60" t="inlineStr">
        <is>
          <t>871e97a0-a2e1-47e3-8d3e-f48c16ff7b1e</t>
        </is>
      </c>
      <c r="B60" t="inlineStr">
        <is>
          <t>BYO-25714</t>
        </is>
      </c>
      <c r="C60" s="162" t="n">
        <v>45806</v>
      </c>
      <c r="D60" t="inlineStr">
        <is>
          <t>Byo Group</t>
        </is>
      </c>
      <c r="E60" t="inlineStr">
        <is>
          <t>ACCPAY</t>
        </is>
      </c>
      <c r="F60" t="inlineStr">
        <is>
          <t>PAID</t>
        </is>
      </c>
      <c r="G60" t="n">
        <v>2274.4</v>
      </c>
      <c r="H60" t="n">
        <v>227.44</v>
      </c>
      <c r="I60" t="n">
        <v>2501.84</v>
      </c>
      <c r="J60" t="n">
        <v>2501.84</v>
      </c>
      <c r="K60" t="n">
        <v>0</v>
      </c>
      <c r="L60" t="n">
        <v>2501.84</v>
      </c>
      <c r="M60">
        <f>IF(OR(F60="VOIDED",F60="DELETED"),0,J60-L60)</f>
        <v/>
      </c>
      <c r="N60" t="inlineStr">
        <is>
          <t>No</t>
        </is>
      </c>
      <c r="O60" t="inlineStr">
        <is>
          <t>Goods-tagged</t>
        </is>
      </c>
      <c r="P60" t="inlineStr">
        <is>
          <t>Bookkeeping &amp; BAS services</t>
        </is>
      </c>
      <c r="Q60" t="inlineStr">
        <is>
          <t>vendor_rule</t>
        </is>
      </c>
      <c r="R60" t="inlineStr">
        <is>
          <t>ACT-ST</t>
        </is>
      </c>
      <c r="S60" t="n">
        <v>46133</v>
      </c>
    </row>
    <row r="61" ht="36" customHeight="1">
      <c r="A61" t="inlineStr">
        <is>
          <t>5a36e938-a608-4d7f-9125-5aecd708a4fa</t>
        </is>
      </c>
      <c r="B61" t="inlineStr">
        <is>
          <t>10304</t>
        </is>
      </c>
      <c r="C61" s="162" t="n">
        <v>45809</v>
      </c>
      <c r="D61" t="inlineStr">
        <is>
          <t>The Townsville Store</t>
        </is>
      </c>
      <c r="E61" t="inlineStr">
        <is>
          <t>ACCPAY</t>
        </is>
      </c>
      <c r="F61" t="inlineStr">
        <is>
          <t>PAID</t>
        </is>
      </c>
      <c r="G61" t="n">
        <v>18.39</v>
      </c>
      <c r="H61" t="n">
        <v>1.84</v>
      </c>
      <c r="I61" t="n">
        <v>20.23</v>
      </c>
      <c r="J61" t="n">
        <v>20.23</v>
      </c>
      <c r="K61" t="n">
        <v>0</v>
      </c>
      <c r="L61" t="n">
        <v>20.23</v>
      </c>
      <c r="M61">
        <f>IF(OR(F61="VOIDED",F61="DELETED"),0,J61-L61)</f>
        <v/>
      </c>
      <c r="N61" t="inlineStr">
        <is>
          <t>No</t>
        </is>
      </c>
      <c r="O61" t="inlineStr">
        <is>
          <t>Goods-tagged</t>
        </is>
      </c>
      <c r="P61" t="inlineStr">
        <is>
          <t>Food - Townsville Airport</t>
        </is>
      </c>
      <c r="Q61" t="inlineStr">
        <is>
          <t>vendor_rule</t>
        </is>
      </c>
      <c r="R61" t="inlineStr">
        <is>
          <t>ACT-ST</t>
        </is>
      </c>
      <c r="S61" t="n">
        <v>46133</v>
      </c>
    </row>
    <row r="62" ht="36" customHeight="1">
      <c r="A62" t="inlineStr">
        <is>
          <t>c421a1c6-9f56-4d5a-8c66-609cdeecaa67</t>
        </is>
      </c>
      <c r="B62" t="inlineStr">
        <is>
          <t>BYO-25739</t>
        </is>
      </c>
      <c r="C62" s="162" t="n">
        <v>45809</v>
      </c>
      <c r="D62" t="inlineStr">
        <is>
          <t>Byo Group</t>
        </is>
      </c>
      <c r="E62" t="inlineStr">
        <is>
          <t>ACCPAY</t>
        </is>
      </c>
      <c r="F62" t="inlineStr">
        <is>
          <t>PAID</t>
        </is>
      </c>
      <c r="G62" t="n">
        <v>30</v>
      </c>
      <c r="H62" t="n">
        <v>3</v>
      </c>
      <c r="I62" t="n">
        <v>33</v>
      </c>
      <c r="J62" t="n">
        <v>33</v>
      </c>
      <c r="K62" t="n">
        <v>0</v>
      </c>
      <c r="L62" t="n">
        <v>0</v>
      </c>
      <c r="M62">
        <f>IF(OR(F62="VOIDED",F62="DELETED"),0,J62-L62)</f>
        <v/>
      </c>
      <c r="N62" t="inlineStr">
        <is>
          <t>No</t>
        </is>
      </c>
      <c r="O62" t="inlineStr">
        <is>
          <t>Goods-tagged</t>
        </is>
      </c>
      <c r="P62" t="inlineStr">
        <is>
          <t>LB | Software - Dext Prepare</t>
        </is>
      </c>
      <c r="Q62" t="inlineStr">
        <is>
          <t>vendor_rule</t>
        </is>
      </c>
      <c r="R62" t="inlineStr">
        <is>
          <t>ACT-ST</t>
        </is>
      </c>
      <c r="S62" t="n">
        <v>46133</v>
      </c>
    </row>
    <row r="63" ht="36" customHeight="1">
      <c r="A63" t="inlineStr">
        <is>
          <t>9e735829-dfe0-4628-82cc-ded0e0be8237</t>
        </is>
      </c>
      <c r="B63" t="inlineStr">
        <is>
          <t>159239</t>
        </is>
      </c>
      <c r="C63" s="162" t="n">
        <v>45810</v>
      </c>
      <c r="D63" t="inlineStr">
        <is>
          <t>Community Enterprise Queensland</t>
        </is>
      </c>
      <c r="E63" t="inlineStr">
        <is>
          <t>ACCPAY</t>
        </is>
      </c>
      <c r="F63" t="inlineStr">
        <is>
          <t>PAID</t>
        </is>
      </c>
      <c r="G63" t="n">
        <v>51.53</v>
      </c>
      <c r="H63" t="n">
        <v>0.78</v>
      </c>
      <c r="I63" t="n">
        <v>52.31</v>
      </c>
      <c r="J63" t="n">
        <v>52.31</v>
      </c>
      <c r="K63" t="n">
        <v>0</v>
      </c>
      <c r="L63" t="n">
        <v>52.31</v>
      </c>
      <c r="M63">
        <f>IF(OR(F63="VOIDED",F63="DELETED"),0,J63-L63)</f>
        <v/>
      </c>
      <c r="N63" t="inlineStr">
        <is>
          <t>No</t>
        </is>
      </c>
      <c r="O63" t="inlineStr">
        <is>
          <t>Goods-tagged</t>
        </is>
      </c>
      <c r="P63" t="inlineStr">
        <is>
          <t>Fresh food - Palm Island / Fresh food - Palm Island</t>
        </is>
      </c>
      <c r="Q63" t="inlineStr">
        <is>
          <t>vendor_rule</t>
        </is>
      </c>
      <c r="R63" t="inlineStr">
        <is>
          <t>ACT-ST</t>
        </is>
      </c>
      <c r="S63" t="n">
        <v>46160</v>
      </c>
    </row>
    <row r="64" ht="36" customHeight="1">
      <c r="A64" t="inlineStr">
        <is>
          <t>36affeaa-1aa3-4b5a-9d16-aa612f1bcd20</t>
        </is>
      </c>
      <c r="B64" t="inlineStr">
        <is>
          <t>INV-1174</t>
        </is>
      </c>
      <c r="C64" s="162" t="n">
        <v>45810</v>
      </c>
      <c r="D64" t="inlineStr">
        <is>
          <t>Defy Manufacturing</t>
        </is>
      </c>
      <c r="E64" t="inlineStr">
        <is>
          <t>ACCPAY</t>
        </is>
      </c>
      <c r="F64" t="inlineStr">
        <is>
          <t>PAID</t>
        </is>
      </c>
      <c r="G64" t="n">
        <v>4950</v>
      </c>
      <c r="H64" t="n">
        <v>495</v>
      </c>
      <c r="I64" t="n">
        <v>5445</v>
      </c>
      <c r="J64" t="n">
        <v>5445</v>
      </c>
      <c r="K64" t="n">
        <v>0</v>
      </c>
      <c r="L64" t="n">
        <v>5445</v>
      </c>
      <c r="M64">
        <f>IF(OR(F64="VOIDED",F64="DELETED"),0,J64-L64)</f>
        <v/>
      </c>
      <c r="N64" t="inlineStr">
        <is>
          <t>No</t>
        </is>
      </c>
      <c r="O64" t="inlineStr">
        <is>
          <t>Goods-tagged</t>
        </is>
      </c>
      <c r="P64" t="inlineStr">
        <is>
          <t>coasters in 8mm Atlantis with custom engraving / sourcing and applying sticker</t>
        </is>
      </c>
      <c r="Q64" t="inlineStr">
        <is>
          <t>vendor_rule</t>
        </is>
      </c>
      <c r="R64" t="inlineStr">
        <is>
          <t>ACT-ST</t>
        </is>
      </c>
      <c r="S64" t="n">
        <v>46160</v>
      </c>
    </row>
    <row r="65" ht="36" customHeight="1">
      <c r="A65" t="inlineStr">
        <is>
          <t>937ec0cb-072d-48f7-8e0c-f8b884417ad8</t>
        </is>
      </c>
      <c r="B65" t="inlineStr">
        <is>
          <t>55282</t>
        </is>
      </c>
      <c r="C65" s="162" t="n">
        <v>45811</v>
      </c>
      <c r="D65" t="inlineStr">
        <is>
          <t>Palm Island Service Station</t>
        </is>
      </c>
      <c r="E65" t="inlineStr">
        <is>
          <t>ACCPAY</t>
        </is>
      </c>
      <c r="F65" t="inlineStr">
        <is>
          <t>PAID</t>
        </is>
      </c>
      <c r="G65" t="n">
        <v>115.35</v>
      </c>
      <c r="H65" t="n">
        <v>11.53</v>
      </c>
      <c r="I65" t="n">
        <v>126.88</v>
      </c>
      <c r="J65" t="n">
        <v>126.88</v>
      </c>
      <c r="K65" t="n">
        <v>0</v>
      </c>
      <c r="L65" t="n">
        <v>126.88</v>
      </c>
      <c r="M65">
        <f>IF(OR(F65="VOIDED",F65="DELETED"),0,J65-L65)</f>
        <v/>
      </c>
      <c r="N65" t="inlineStr">
        <is>
          <t>No</t>
        </is>
      </c>
      <c r="O65" t="inlineStr">
        <is>
          <t>Goods-tagged</t>
        </is>
      </c>
      <c r="P65" t="inlineStr">
        <is>
          <t>ULP / Monster 500ml</t>
        </is>
      </c>
      <c r="Q65" t="inlineStr">
        <is>
          <t>xero_tracking</t>
        </is>
      </c>
      <c r="R65" t="inlineStr">
        <is>
          <t>ACT-ST</t>
        </is>
      </c>
      <c r="S65" t="n">
        <v>46211</v>
      </c>
    </row>
    <row r="66" ht="36" customHeight="1">
      <c r="A66" t="inlineStr">
        <is>
          <t>8d103415-7f24-42bd-be04-e02c37c39441</t>
        </is>
      </c>
      <c r="B66" t="inlineStr">
        <is>
          <t>159732</t>
        </is>
      </c>
      <c r="C66" s="162" t="n">
        <v>45812</v>
      </c>
      <c r="D66" t="inlineStr">
        <is>
          <t>Palm Island</t>
        </is>
      </c>
      <c r="E66" t="inlineStr">
        <is>
          <t>ACCPAY</t>
        </is>
      </c>
      <c r="F66" t="inlineStr">
        <is>
          <t>PAID</t>
        </is>
      </c>
      <c r="G66" t="n">
        <v>22.3</v>
      </c>
      <c r="H66" t="n">
        <v>0.45</v>
      </c>
      <c r="I66" t="n">
        <v>22.75</v>
      </c>
      <c r="J66" t="n">
        <v>22.75</v>
      </c>
      <c r="K66" t="n">
        <v>0</v>
      </c>
      <c r="L66" t="n">
        <v>22.75</v>
      </c>
      <c r="M66">
        <f>IF(OR(F66="VOIDED",F66="DELETED"),0,J66-L66)</f>
        <v/>
      </c>
      <c r="N66" t="inlineStr">
        <is>
          <t>No</t>
        </is>
      </c>
      <c r="O66" t="inlineStr">
        <is>
          <t>Goods-tagged</t>
        </is>
      </c>
      <c r="P66" t="inlineStr">
        <is>
          <t>Fresh food - Palm Island / Fresh food - Palm Island</t>
        </is>
      </c>
      <c r="Q66" t="inlineStr">
        <is>
          <t>xero_tracking</t>
        </is>
      </c>
      <c r="R66" t="inlineStr">
        <is>
          <t>ACT-ST</t>
        </is>
      </c>
      <c r="S66" t="n">
        <v>46211</v>
      </c>
    </row>
    <row r="67" ht="36" customHeight="1">
      <c r="A67" t="inlineStr">
        <is>
          <t>76806092-d540-4117-af77-8e1895e55a4e</t>
        </is>
      </c>
      <c r="B67" t="inlineStr">
        <is>
          <t>INV-1181</t>
        </is>
      </c>
      <c r="C67" s="162" t="n">
        <v>45812</v>
      </c>
      <c r="D67" t="inlineStr">
        <is>
          <t>Defy Manufacturing</t>
        </is>
      </c>
      <c r="E67" t="inlineStr">
        <is>
          <t>ACCPAY</t>
        </is>
      </c>
      <c r="F67" t="inlineStr">
        <is>
          <t>PAID</t>
        </is>
      </c>
      <c r="G67" t="n">
        <v>3445.73</v>
      </c>
      <c r="H67" t="n">
        <v>344.57</v>
      </c>
      <c r="I67" t="n">
        <v>3790.3</v>
      </c>
      <c r="J67" t="n">
        <v>3790.3</v>
      </c>
      <c r="K67" t="n">
        <v>0</v>
      </c>
      <c r="L67" t="n">
        <v>3790.3</v>
      </c>
      <c r="M67">
        <f>IF(OR(F67="VOIDED",F67="DELETED"),0,J67-L67)</f>
        <v/>
      </c>
      <c r="N67" t="inlineStr">
        <is>
          <t>No</t>
        </is>
      </c>
      <c r="O67" t="inlineStr">
        <is>
          <t>Goods-tagged</t>
        </is>
      </c>
      <c r="P67" t="inlineStr">
        <is>
          <t>As per attached.</t>
        </is>
      </c>
      <c r="Q67" t="inlineStr">
        <is>
          <t>vendor_rule</t>
        </is>
      </c>
      <c r="R67" t="inlineStr">
        <is>
          <t>ACT-ST</t>
        </is>
      </c>
      <c r="S67" t="n">
        <v>46211</v>
      </c>
    </row>
    <row r="68" ht="36" customHeight="1">
      <c r="A68" t="inlineStr">
        <is>
          <t>7d694d0d-f131-405c-84bd-2f5b6d8382b7</t>
        </is>
      </c>
      <c r="B68" t="inlineStr">
        <is>
          <t>159975</t>
        </is>
      </c>
      <c r="C68" s="162" t="n">
        <v>45813</v>
      </c>
      <c r="D68" t="inlineStr">
        <is>
          <t>Community Enterprise Qld</t>
        </is>
      </c>
      <c r="E68" t="inlineStr">
        <is>
          <t>ACCPAY</t>
        </is>
      </c>
      <c r="F68" t="inlineStr">
        <is>
          <t>PAID</t>
        </is>
      </c>
      <c r="G68" t="n">
        <v>21.19</v>
      </c>
      <c r="H68" t="n">
        <v>1.68</v>
      </c>
      <c r="I68" t="n">
        <v>22.87</v>
      </c>
      <c r="J68" t="n">
        <v>22.87</v>
      </c>
      <c r="K68" t="n">
        <v>0</v>
      </c>
      <c r="L68" t="n">
        <v>22.87</v>
      </c>
      <c r="M68">
        <f>IF(OR(F68="VOIDED",F68="DELETED"),0,J68-L68)</f>
        <v/>
      </c>
      <c r="N68" t="inlineStr">
        <is>
          <t>No</t>
        </is>
      </c>
      <c r="O68" t="inlineStr">
        <is>
          <t>Goods-tagged</t>
        </is>
      </c>
      <c r="P68" t="inlineStr">
        <is>
          <t>Food items - Palm Island / Food items - Palm Island</t>
        </is>
      </c>
      <c r="Q68" t="inlineStr">
        <is>
          <t>xero_tracking</t>
        </is>
      </c>
      <c r="R68" t="inlineStr">
        <is>
          <t>ACT-ST</t>
        </is>
      </c>
      <c r="S68" t="n">
        <v>46211</v>
      </c>
    </row>
    <row r="69" ht="36" customHeight="1">
      <c r="A69" t="inlineStr">
        <is>
          <t>6882ea74-e161-4290-892c-e005b5747fa8</t>
        </is>
      </c>
      <c r="B69" t="inlineStr">
        <is>
          <t>DDD25103998</t>
        </is>
      </c>
      <c r="C69" s="162" t="n">
        <v>45813</v>
      </c>
      <c r="D69" t="inlineStr">
        <is>
          <t>Orange Sky Australia</t>
        </is>
      </c>
      <c r="E69" t="inlineStr">
        <is>
          <t>ACCPAY</t>
        </is>
      </c>
      <c r="F69" t="inlineStr">
        <is>
          <t>PAID</t>
        </is>
      </c>
      <c r="G69" t="n">
        <v>1000</v>
      </c>
      <c r="H69" t="n">
        <v>0</v>
      </c>
      <c r="I69" t="n">
        <v>1000</v>
      </c>
      <c r="J69" t="n">
        <v>1000</v>
      </c>
      <c r="K69" t="n">
        <v>0</v>
      </c>
      <c r="L69" t="n">
        <v>1000</v>
      </c>
      <c r="M69">
        <f>IF(OR(F69="VOIDED",F69="DELETED"),0,J69-L69)</f>
        <v/>
      </c>
      <c r="N69" t="inlineStr">
        <is>
          <t>No</t>
        </is>
      </c>
      <c r="O69" t="inlineStr">
        <is>
          <t>Goods-tagged</t>
        </is>
      </c>
      <c r="P69" t="inlineStr">
        <is>
          <t>Donation to Orange Sky Australia</t>
        </is>
      </c>
      <c r="Q69" t="inlineStr">
        <is>
          <t>vendor_rule</t>
        </is>
      </c>
      <c r="R69" t="inlineStr">
        <is>
          <t>ACT-ST</t>
        </is>
      </c>
      <c r="S69" t="n">
        <v>46211</v>
      </c>
    </row>
    <row r="70" ht="36" customHeight="1">
      <c r="A70" t="inlineStr">
        <is>
          <t>0587b8a1-81a9-46d1-a6c4-17e02ded97f4</t>
        </is>
      </c>
      <c r="B70" t="inlineStr">
        <is>
          <t>20124</t>
        </is>
      </c>
      <c r="C70" s="162" t="n">
        <v>45814</v>
      </c>
      <c r="D70" t="inlineStr">
        <is>
          <t>The Townsville Store</t>
        </is>
      </c>
      <c r="E70" t="inlineStr">
        <is>
          <t>ACCPAY</t>
        </is>
      </c>
      <c r="F70" t="inlineStr">
        <is>
          <t>PAID</t>
        </is>
      </c>
      <c r="G70" t="n">
        <v>40.12</v>
      </c>
      <c r="H70" t="n">
        <v>1.47</v>
      </c>
      <c r="I70" t="n">
        <v>41.59</v>
      </c>
      <c r="J70" t="n">
        <v>41.59</v>
      </c>
      <c r="K70" t="n">
        <v>0</v>
      </c>
      <c r="L70" t="n">
        <v>41.59</v>
      </c>
      <c r="M70">
        <f>IF(OR(F70="VOIDED",F70="DELETED"),0,J70-L70)</f>
        <v/>
      </c>
      <c r="N70" t="inlineStr">
        <is>
          <t>No</t>
        </is>
      </c>
      <c r="O70" t="inlineStr">
        <is>
          <t>Goods-tagged</t>
        </is>
      </c>
      <c r="P70" t="inlineStr">
        <is>
          <t>. / .</t>
        </is>
      </c>
      <c r="Q70" t="inlineStr">
        <is>
          <t>xero_tracking</t>
        </is>
      </c>
      <c r="R70" t="inlineStr">
        <is>
          <t>ACT-ST</t>
        </is>
      </c>
      <c r="S70" t="n">
        <v>46211</v>
      </c>
    </row>
    <row r="71" ht="36" customHeight="1">
      <c r="A71" t="inlineStr">
        <is>
          <t>5098181e-80b4-43a7-b3ae-3da99707ce39</t>
        </is>
      </c>
      <c r="B71" t="inlineStr">
        <is>
          <t>7-BenjaminK-001</t>
        </is>
      </c>
      <c r="C71" s="162" t="n">
        <v>45814</v>
      </c>
      <c r="D71" t="inlineStr">
        <is>
          <t>Castle Hill Cafe</t>
        </is>
      </c>
      <c r="E71" t="inlineStr">
        <is>
          <t>ACCPAY</t>
        </is>
      </c>
      <c r="F71" t="inlineStr">
        <is>
          <t>PAID</t>
        </is>
      </c>
      <c r="G71" t="n">
        <v>30.24</v>
      </c>
      <c r="H71" t="n">
        <v>2.97</v>
      </c>
      <c r="I71" t="n">
        <v>33.21</v>
      </c>
      <c r="J71" t="n">
        <v>33.21</v>
      </c>
      <c r="K71" t="n">
        <v>0</v>
      </c>
      <c r="L71" t="n">
        <v>33.21</v>
      </c>
      <c r="M71">
        <f>IF(OR(F71="VOIDED",F71="DELETED"),0,J71-L71)</f>
        <v/>
      </c>
      <c r="N71" t="inlineStr">
        <is>
          <t>No</t>
        </is>
      </c>
      <c r="O71" t="inlineStr">
        <is>
          <t>Goods-tagged</t>
        </is>
      </c>
      <c r="P71" t="inlineStr">
        <is>
          <t>Meal - Castle Hill Cafe Garbutt / Meal - Castle Hill Cafe Garbutt</t>
        </is>
      </c>
      <c r="Q71" t="inlineStr">
        <is>
          <t>xero_tracking</t>
        </is>
      </c>
      <c r="R71" t="inlineStr">
        <is>
          <t>ACT-ST</t>
        </is>
      </c>
      <c r="S71" t="n">
        <v>46211</v>
      </c>
    </row>
    <row r="72" ht="36" customHeight="1">
      <c r="A72" t="inlineStr">
        <is>
          <t>360fe114-dd88-4bdf-988b-d6c72a9e7793</t>
        </is>
      </c>
      <c r="B72" t="inlineStr">
        <is>
          <t>196297</t>
        </is>
      </c>
      <c r="C72" s="162" t="n">
        <v>45824</v>
      </c>
      <c r="D72" t="inlineStr">
        <is>
          <t>TJ’s Imaging Centre</t>
        </is>
      </c>
      <c r="E72" t="inlineStr">
        <is>
          <t>ACCPAY</t>
        </is>
      </c>
      <c r="F72" t="inlineStr">
        <is>
          <t>PAID</t>
        </is>
      </c>
      <c r="G72" t="n">
        <v>190.92</v>
      </c>
      <c r="H72" t="n">
        <v>19.09</v>
      </c>
      <c r="I72" t="n">
        <v>210.01</v>
      </c>
      <c r="J72" t="n">
        <v>210.01</v>
      </c>
      <c r="K72" t="n">
        <v>0</v>
      </c>
      <c r="L72" t="n">
        <v>210.01</v>
      </c>
      <c r="M72">
        <f>IF(OR(F72="VOIDED",F72="DELETED"),0,J72-L72)</f>
        <v/>
      </c>
      <c r="N72" t="inlineStr">
        <is>
          <t>No</t>
        </is>
      </c>
      <c r="O72" t="inlineStr">
        <is>
          <t>Goods-tagged</t>
        </is>
      </c>
      <c r="P72" t="inlineStr">
        <is>
          <t>Vinyl cut lettering</t>
        </is>
      </c>
      <c r="Q72" t="inlineStr">
        <is>
          <t>xero_tracking</t>
        </is>
      </c>
      <c r="R72" t="inlineStr">
        <is>
          <t>ACT-ST</t>
        </is>
      </c>
      <c r="S72" t="n">
        <v>46211</v>
      </c>
    </row>
    <row r="73" ht="36" customHeight="1">
      <c r="A73" t="inlineStr">
        <is>
          <t>284273da-eb90-4054-97fb-6e44fc92cd1a</t>
        </is>
      </c>
      <c r="B73" t="inlineStr">
        <is>
          <t>7952111360864</t>
        </is>
      </c>
      <c r="C73" s="162" t="n">
        <v>45827</v>
      </c>
      <c r="D73" t="inlineStr">
        <is>
          <t>Virgin Australia</t>
        </is>
      </c>
      <c r="E73" t="inlineStr">
        <is>
          <t>ACCPAY</t>
        </is>
      </c>
      <c r="F73" t="inlineStr">
        <is>
          <t>PAID</t>
        </is>
      </c>
      <c r="G73" t="n">
        <v>633.15</v>
      </c>
      <c r="H73" t="n">
        <v>63.31</v>
      </c>
      <c r="I73" t="n">
        <v>696.46</v>
      </c>
      <c r="J73" t="n">
        <v>696.46</v>
      </c>
      <c r="K73" t="n">
        <v>0</v>
      </c>
      <c r="L73" t="n">
        <v>696.46</v>
      </c>
      <c r="M73">
        <f>IF(OR(F73="VOIDED",F73="DELETED"),0,J73-L73)</f>
        <v/>
      </c>
      <c r="N73" t="inlineStr">
        <is>
          <t>No</t>
        </is>
      </c>
      <c r="O73" t="inlineStr">
        <is>
          <t>Goods-tagged</t>
        </is>
      </c>
      <c r="P73" t="inlineStr">
        <is>
          <t>Flights - BNE / Adelaide / Alice 23.06.25 - Benjamin Knight</t>
        </is>
      </c>
      <c r="Q73" t="inlineStr">
        <is>
          <t>xero_tracking</t>
        </is>
      </c>
      <c r="R73" t="inlineStr">
        <is>
          <t>ACT-ST</t>
        </is>
      </c>
      <c r="S73" t="n">
        <v>46211</v>
      </c>
    </row>
    <row r="74" ht="36" customHeight="1">
      <c r="A74" t="inlineStr">
        <is>
          <t>ecb984b8-e8e1-4c22-a6b3-02da70a3d009</t>
        </is>
      </c>
      <c r="B74" t="inlineStr">
        <is>
          <t>Proforma</t>
        </is>
      </c>
      <c r="C74" s="162" t="n">
        <v>45827</v>
      </c>
      <c r="D74" t="inlineStr">
        <is>
          <t>RAC Automotive Services</t>
        </is>
      </c>
      <c r="E74" t="inlineStr">
        <is>
          <t>ACCPAY</t>
        </is>
      </c>
      <c r="F74" t="inlineStr">
        <is>
          <t>PAID</t>
        </is>
      </c>
      <c r="G74" t="n">
        <v>5153.6</v>
      </c>
      <c r="H74" t="n">
        <v>515.36</v>
      </c>
      <c r="I74" t="n">
        <v>5668.96</v>
      </c>
      <c r="J74" t="n">
        <v>5668.96</v>
      </c>
      <c r="K74" t="n">
        <v>0</v>
      </c>
      <c r="L74" t="n">
        <v>5668.96</v>
      </c>
      <c r="M74">
        <f>IF(OR(F74="VOIDED",F74="DELETED"),0,J74-L74)</f>
        <v/>
      </c>
      <c r="N74" t="inlineStr">
        <is>
          <t>No</t>
        </is>
      </c>
      <c r="O74" t="inlineStr">
        <is>
          <t>Goods-tagged</t>
        </is>
      </c>
      <c r="P74" t="inlineStr">
        <is>
          <t>Landcruiser 687TIB Service</t>
        </is>
      </c>
      <c r="Q74" t="inlineStr">
        <is>
          <t>vendor_rule</t>
        </is>
      </c>
      <c r="R74" t="inlineStr">
        <is>
          <t>ACT-ST</t>
        </is>
      </c>
      <c r="S74" t="n">
        <v>46211</v>
      </c>
    </row>
    <row r="75" ht="36" customHeight="1">
      <c r="A75" t="inlineStr">
        <is>
          <t>d7813efa-ac6e-40b1-a11f-07a51e2d5ea3</t>
        </is>
      </c>
      <c r="B75" t="inlineStr">
        <is>
          <t>109189</t>
        </is>
      </c>
      <c r="C75" s="162" t="n">
        <v>45831</v>
      </c>
      <c r="D75" t="inlineStr">
        <is>
          <t>Hanuman Alice Springs</t>
        </is>
      </c>
      <c r="E75" t="inlineStr">
        <is>
          <t>ACCPAY</t>
        </is>
      </c>
      <c r="F75" t="inlineStr">
        <is>
          <t>AUTHORISED</t>
        </is>
      </c>
      <c r="G75" t="n">
        <v>110.45</v>
      </c>
      <c r="H75" t="n">
        <v>11.05</v>
      </c>
      <c r="I75" t="n">
        <v>121.5</v>
      </c>
      <c r="J75" t="n">
        <v>0</v>
      </c>
      <c r="K75" t="n">
        <v>121.5</v>
      </c>
      <c r="L75" t="n">
        <v>0</v>
      </c>
      <c r="M75">
        <f>IF(OR(F75="VOIDED",F75="DELETED"),0,J75-L75)</f>
        <v/>
      </c>
      <c r="N75" t="inlineStr">
        <is>
          <t>No</t>
        </is>
      </c>
      <c r="O75" t="inlineStr">
        <is>
          <t>Goods-tagged</t>
        </is>
      </c>
      <c r="P75" t="inlineStr">
        <is>
          <t>Meal</t>
        </is>
      </c>
      <c r="Q75" t="inlineStr">
        <is>
          <t>xero_tracking</t>
        </is>
      </c>
      <c r="R75" t="inlineStr">
        <is>
          <t>ACT-ST</t>
        </is>
      </c>
      <c r="S75" t="n">
        <v>46211</v>
      </c>
    </row>
    <row r="76" ht="36" customHeight="1">
      <c r="A76" t="inlineStr">
        <is>
          <t>a69e84f4-6da9-4e74-9f37-bc67cd14bf32</t>
        </is>
      </c>
      <c r="B76" t="inlineStr">
        <is>
          <t>947298</t>
        </is>
      </c>
      <c r="C76" s="162" t="n">
        <v>45831</v>
      </c>
      <c r="D76" t="inlineStr">
        <is>
          <t>Taxi Receipt</t>
        </is>
      </c>
      <c r="E76" t="inlineStr">
        <is>
          <t>ACCPAY</t>
        </is>
      </c>
      <c r="F76" t="inlineStr">
        <is>
          <t>AUTHORISED</t>
        </is>
      </c>
      <c r="G76" t="n">
        <v>57.18</v>
      </c>
      <c r="H76" t="n">
        <v>0.25</v>
      </c>
      <c r="I76" t="n">
        <v>57.43</v>
      </c>
      <c r="J76" t="n">
        <v>0</v>
      </c>
      <c r="K76" t="n">
        <v>57.43</v>
      </c>
      <c r="L76" t="n">
        <v>0</v>
      </c>
      <c r="M76">
        <f>IF(OR(F76="VOIDED",F76="DELETED"),0,J76-L76)</f>
        <v/>
      </c>
      <c r="N76" t="inlineStr">
        <is>
          <t>No</t>
        </is>
      </c>
      <c r="O76" t="inlineStr">
        <is>
          <t>Goods-tagged</t>
        </is>
      </c>
      <c r="P76" t="inlineStr">
        <is>
          <t>. / .</t>
        </is>
      </c>
      <c r="Q76" t="inlineStr">
        <is>
          <t>xero_tracking</t>
        </is>
      </c>
      <c r="R76" t="inlineStr">
        <is>
          <t>ACT-ST</t>
        </is>
      </c>
      <c r="S76" t="n">
        <v>46211</v>
      </c>
    </row>
    <row r="77" ht="36" customHeight="1">
      <c r="A77" t="inlineStr">
        <is>
          <t>4ad36898-c2bf-4340-ac55-0a99b616c303</t>
        </is>
      </c>
      <c r="B77" t="inlineStr">
        <is>
          <t>000220250624107</t>
        </is>
      </c>
      <c r="C77" s="162" t="n">
        <v>45832</v>
      </c>
      <c r="D77" t="inlineStr">
        <is>
          <t>Banh Mi Express</t>
        </is>
      </c>
      <c r="E77" t="inlineStr">
        <is>
          <t>ACCPAY</t>
        </is>
      </c>
      <c r="F77" t="inlineStr">
        <is>
          <t>PAID</t>
        </is>
      </c>
      <c r="G77" t="n">
        <v>11.96</v>
      </c>
      <c r="H77" t="n">
        <v>1.2</v>
      </c>
      <c r="I77" t="n">
        <v>13.16</v>
      </c>
      <c r="J77" t="n">
        <v>13.16</v>
      </c>
      <c r="K77" t="n">
        <v>0</v>
      </c>
      <c r="L77" t="n">
        <v>13.16</v>
      </c>
      <c r="M77">
        <f>IF(OR(F77="VOIDED",F77="DELETED"),0,J77-L77)</f>
        <v/>
      </c>
      <c r="N77" t="inlineStr">
        <is>
          <t>No</t>
        </is>
      </c>
      <c r="O77" t="inlineStr">
        <is>
          <t>Goods-tagged</t>
        </is>
      </c>
      <c r="P77" t="inlineStr">
        <is>
          <t>Food</t>
        </is>
      </c>
      <c r="Q77" t="inlineStr">
        <is>
          <t>xero_tracking</t>
        </is>
      </c>
      <c r="R77" t="inlineStr">
        <is>
          <t>ACT-ST</t>
        </is>
      </c>
      <c r="S77" t="n">
        <v>46211</v>
      </c>
    </row>
    <row r="78" ht="36" customHeight="1">
      <c r="A78" t="inlineStr">
        <is>
          <t>051eed0e-0111-4791-a19e-2c1e0484f77f</t>
        </is>
      </c>
      <c r="B78" t="inlineStr">
        <is>
          <t>664734</t>
        </is>
      </c>
      <c r="C78" s="162" t="n">
        <v>45832</v>
      </c>
      <c r="D78" t="inlineStr">
        <is>
          <t>Page 27</t>
        </is>
      </c>
      <c r="E78" t="inlineStr">
        <is>
          <t>ACCPAY</t>
        </is>
      </c>
      <c r="F78" t="inlineStr">
        <is>
          <t>PAID</t>
        </is>
      </c>
      <c r="G78" t="n">
        <v>4.62</v>
      </c>
      <c r="H78" t="n">
        <v>0.46</v>
      </c>
      <c r="I78" t="n">
        <v>5.08</v>
      </c>
      <c r="J78" t="n">
        <v>5.08</v>
      </c>
      <c r="K78" t="n">
        <v>0</v>
      </c>
      <c r="L78" t="n">
        <v>5.08</v>
      </c>
      <c r="M78">
        <f>IF(OR(F78="VOIDED",F78="DELETED"),0,J78-L78)</f>
        <v/>
      </c>
      <c r="N78" t="inlineStr">
        <is>
          <t>No</t>
        </is>
      </c>
      <c r="O78" t="inlineStr">
        <is>
          <t>Goods-tagged</t>
        </is>
      </c>
      <c r="P78" t="inlineStr">
        <is>
          <t>Coffee</t>
        </is>
      </c>
      <c r="Q78" t="inlineStr">
        <is>
          <t>xero_tracking</t>
        </is>
      </c>
      <c r="R78" t="inlineStr">
        <is>
          <t>ACT-ST</t>
        </is>
      </c>
      <c r="S78" t="n">
        <v>46211</v>
      </c>
    </row>
    <row r="79" ht="36" customHeight="1">
      <c r="A79" t="inlineStr">
        <is>
          <t>51b4b63e-d02a-4d9f-9aa0-831dce06570c</t>
        </is>
      </c>
      <c r="B79" t="inlineStr">
        <is>
          <t>107190</t>
        </is>
      </c>
      <c r="C79" s="162" t="n">
        <v>45833</v>
      </c>
      <c r="D79" t="inlineStr">
        <is>
          <t>Ti Tree Roadhouse</t>
        </is>
      </c>
      <c r="E79" t="inlineStr">
        <is>
          <t>ACCPAY</t>
        </is>
      </c>
      <c r="F79" t="inlineStr">
        <is>
          <t>PAID</t>
        </is>
      </c>
      <c r="G79" t="n">
        <v>114.66</v>
      </c>
      <c r="H79" t="n">
        <v>11.47</v>
      </c>
      <c r="I79" t="n">
        <v>126.13</v>
      </c>
      <c r="J79" t="n">
        <v>126.13</v>
      </c>
      <c r="K79" t="n">
        <v>0</v>
      </c>
      <c r="L79" t="n">
        <v>126.13</v>
      </c>
      <c r="M79">
        <f>IF(OR(F79="VOIDED",F79="DELETED"),0,J79-L79)</f>
        <v/>
      </c>
      <c r="N79" t="inlineStr">
        <is>
          <t>No</t>
        </is>
      </c>
      <c r="O79" t="inlineStr">
        <is>
          <t>Goods-tagged</t>
        </is>
      </c>
      <c r="P79" t="inlineStr">
        <is>
          <t>Fuel</t>
        </is>
      </c>
      <c r="Q79" t="inlineStr">
        <is>
          <t>vendor_rule</t>
        </is>
      </c>
      <c r="R79" t="inlineStr">
        <is>
          <t>ACT-ST</t>
        </is>
      </c>
      <c r="S79" t="n">
        <v>46211</v>
      </c>
    </row>
    <row r="80" ht="36" customHeight="1">
      <c r="A80" t="inlineStr">
        <is>
          <t>9359228e-da1f-49a0-bc85-b68424f31939</t>
        </is>
      </c>
      <c r="B80" t="inlineStr">
        <is>
          <t>17278682240</t>
        </is>
      </c>
      <c r="C80" s="162" t="n">
        <v>45833</v>
      </c>
      <c r="D80" t="inlineStr">
        <is>
          <t>Tennant Creek Caravan Park</t>
        </is>
      </c>
      <c r="E80" t="inlineStr">
        <is>
          <t>ACCPAY</t>
        </is>
      </c>
      <c r="F80" t="inlineStr">
        <is>
          <t>PAID</t>
        </is>
      </c>
      <c r="G80" t="n">
        <v>1177.27</v>
      </c>
      <c r="H80" t="n">
        <v>117.73</v>
      </c>
      <c r="I80" t="n">
        <v>1295</v>
      </c>
      <c r="J80" t="n">
        <v>1295</v>
      </c>
      <c r="K80" t="n">
        <v>0</v>
      </c>
      <c r="L80" t="n">
        <v>1295</v>
      </c>
      <c r="M80">
        <f>IF(OR(F80="VOIDED",F80="DELETED"),0,J80-L80)</f>
        <v/>
      </c>
      <c r="N80" t="inlineStr">
        <is>
          <t>No</t>
        </is>
      </c>
      <c r="O80" t="inlineStr">
        <is>
          <t>Goods-tagged</t>
        </is>
      </c>
      <c r="P80" t="inlineStr">
        <is>
          <t>Tennant Creek Caravan park-25/06/25 to 02/07/25</t>
        </is>
      </c>
      <c r="Q80" t="inlineStr">
        <is>
          <t>vendor_rule</t>
        </is>
      </c>
      <c r="R80" t="inlineStr">
        <is>
          <t>ACT-ST</t>
        </is>
      </c>
      <c r="S80" t="n">
        <v>46211</v>
      </c>
    </row>
    <row r="81" ht="36" customHeight="1">
      <c r="A81" t="inlineStr">
        <is>
          <t>d4e99b7b-9420-4159-8579-09b282701f9f</t>
        </is>
      </c>
      <c r="B81" t="inlineStr">
        <is>
          <t>25511</t>
        </is>
      </c>
      <c r="C81" s="162" t="n">
        <v>45833</v>
      </c>
      <c r="D81" t="inlineStr">
        <is>
          <t>Devils Marbles Hotel</t>
        </is>
      </c>
      <c r="E81" t="inlineStr">
        <is>
          <t>ACCPAY</t>
        </is>
      </c>
      <c r="F81" t="inlineStr">
        <is>
          <t>AUTHORISED</t>
        </is>
      </c>
      <c r="G81" t="n">
        <v>126.18</v>
      </c>
      <c r="H81" t="n">
        <v>12.62</v>
      </c>
      <c r="I81" t="n">
        <v>138.8</v>
      </c>
      <c r="J81" t="n">
        <v>0</v>
      </c>
      <c r="K81" t="n">
        <v>138.8</v>
      </c>
      <c r="L81" t="n">
        <v>0</v>
      </c>
      <c r="M81">
        <f>IF(OR(F81="VOIDED",F81="DELETED"),0,J81-L81)</f>
        <v/>
      </c>
      <c r="N81" t="inlineStr">
        <is>
          <t>No</t>
        </is>
      </c>
      <c r="O81" t="inlineStr">
        <is>
          <t>Goods-tagged</t>
        </is>
      </c>
      <c r="P81" t="inlineStr">
        <is>
          <t>As per attached.</t>
        </is>
      </c>
      <c r="Q81" t="inlineStr">
        <is>
          <t>vendor_rule</t>
        </is>
      </c>
      <c r="R81" t="inlineStr">
        <is>
          <t>ACT-ST</t>
        </is>
      </c>
      <c r="S81" t="n">
        <v>46211</v>
      </c>
    </row>
    <row r="82" ht="36" customHeight="1">
      <c r="A82" t="inlineStr">
        <is>
          <t>0f8b9e5b-62f2-4acf-9463-e5bb45b905d7</t>
        </is>
      </c>
      <c r="B82" t="inlineStr">
        <is>
          <t>INV-0980</t>
        </is>
      </c>
      <c r="C82" s="162" t="n">
        <v>45834</v>
      </c>
      <c r="D82" t="inlineStr">
        <is>
          <t>Zinus Australia</t>
        </is>
      </c>
      <c r="E82" t="inlineStr">
        <is>
          <t>ACCPAY</t>
        </is>
      </c>
      <c r="F82" t="inlineStr">
        <is>
          <t>PAID</t>
        </is>
      </c>
      <c r="G82" t="n">
        <v>677.6799999999999</v>
      </c>
      <c r="H82" t="n">
        <v>67.77</v>
      </c>
      <c r="I82" t="n">
        <v>745.45</v>
      </c>
      <c r="J82" t="n">
        <v>745.45</v>
      </c>
      <c r="K82" t="n">
        <v>0</v>
      </c>
      <c r="L82" t="n">
        <v>745.45</v>
      </c>
      <c r="M82">
        <f>IF(OR(F82="VOIDED",F82="DELETED"),0,J82-L82)</f>
        <v/>
      </c>
      <c r="N82" t="inlineStr">
        <is>
          <t>No</t>
        </is>
      </c>
      <c r="O82" t="inlineStr">
        <is>
          <t>Goods-tagged</t>
        </is>
      </c>
      <c r="P82" t="inlineStr">
        <is>
          <t>1.5IN SG TGT QN
6IN MATTRESS PAD FL</t>
        </is>
      </c>
      <c r="Q82" t="inlineStr">
        <is>
          <t>vendor_rule</t>
        </is>
      </c>
      <c r="R82" t="inlineStr">
        <is>
          <t>ACT-ST</t>
        </is>
      </c>
      <c r="S82" t="n">
        <v>46211</v>
      </c>
    </row>
    <row r="83" ht="36" customHeight="1">
      <c r="A83" t="inlineStr">
        <is>
          <t>77a100a8-d080-488f-bb60-760ef5f5217b</t>
        </is>
      </c>
      <c r="B83" t="inlineStr">
        <is>
          <t>INV-0981</t>
        </is>
      </c>
      <c r="C83" s="162" t="n">
        <v>45834</v>
      </c>
      <c r="D83" t="inlineStr">
        <is>
          <t>Zinus Australia</t>
        </is>
      </c>
      <c r="E83" t="inlineStr">
        <is>
          <t>ACCPAY</t>
        </is>
      </c>
      <c r="F83" t="inlineStr">
        <is>
          <t>PAID</t>
        </is>
      </c>
      <c r="G83" t="n">
        <v>673.33</v>
      </c>
      <c r="H83" t="n">
        <v>67.33</v>
      </c>
      <c r="I83" t="n">
        <v>740.66</v>
      </c>
      <c r="J83" t="n">
        <v>740.66</v>
      </c>
      <c r="K83" t="n">
        <v>0</v>
      </c>
      <c r="L83" t="n">
        <v>740.66</v>
      </c>
      <c r="M83">
        <f>IF(OR(F83="VOIDED",F83="DELETED"),0,J83-L83)</f>
        <v/>
      </c>
      <c r="N83" t="inlineStr">
        <is>
          <t>No</t>
        </is>
      </c>
      <c r="O83" t="inlineStr">
        <is>
          <t>Goods-tagged</t>
        </is>
      </c>
      <c r="P83" t="inlineStr">
        <is>
          <t>1.5IN SG TGT QN
6IN MATTRESS PAD FL</t>
        </is>
      </c>
      <c r="Q83" t="inlineStr">
        <is>
          <t>vendor_rule</t>
        </is>
      </c>
      <c r="R83" t="inlineStr">
        <is>
          <t>ACT-ST</t>
        </is>
      </c>
      <c r="S83" t="n">
        <v>46211</v>
      </c>
    </row>
    <row r="84" ht="36" customHeight="1">
      <c r="A84" t="inlineStr">
        <is>
          <t>bbd60bca-329b-407a-9684-b150e9bed5b4</t>
        </is>
      </c>
      <c r="B84" t="inlineStr">
        <is>
          <t>INV-0982</t>
        </is>
      </c>
      <c r="C84" s="162" t="n">
        <v>45834</v>
      </c>
      <c r="D84" t="inlineStr">
        <is>
          <t>Zinus Australia</t>
        </is>
      </c>
      <c r="E84" t="inlineStr">
        <is>
          <t>ACCPAY</t>
        </is>
      </c>
      <c r="F84" t="inlineStr">
        <is>
          <t>PAID</t>
        </is>
      </c>
      <c r="G84" t="n">
        <v>2598.83</v>
      </c>
      <c r="H84" t="n">
        <v>259.88</v>
      </c>
      <c r="I84" t="n">
        <v>2858.71</v>
      </c>
      <c r="J84" t="n">
        <v>2858.71</v>
      </c>
      <c r="K84" t="n">
        <v>0</v>
      </c>
      <c r="L84" t="n">
        <v>2858.71</v>
      </c>
      <c r="M84">
        <f>IF(OR(F84="VOIDED",F84="DELETED"),0,J84-L84)</f>
        <v/>
      </c>
      <c r="N84" t="inlineStr">
        <is>
          <t>No</t>
        </is>
      </c>
      <c r="O84" t="inlineStr">
        <is>
          <t>Goods-tagged</t>
        </is>
      </c>
      <c r="P84" t="inlineStr">
        <is>
          <t>1.5IN SG TGT QN
6IN MATTRESS PAD FL</t>
        </is>
      </c>
      <c r="Q84" t="inlineStr">
        <is>
          <t>vendor_rule</t>
        </is>
      </c>
      <c r="R84" t="inlineStr">
        <is>
          <t>ACT-ST</t>
        </is>
      </c>
      <c r="S84" t="n">
        <v>46211</v>
      </c>
    </row>
    <row r="85" ht="36" customHeight="1">
      <c r="A85" t="inlineStr">
        <is>
          <t>7bf00e0c-9d36-4981-9615-ae37d97efdf9</t>
        </is>
      </c>
      <c r="B85" t="inlineStr">
        <is>
          <t>512882</t>
        </is>
      </c>
      <c r="C85" s="162" t="n">
        <v>45835</v>
      </c>
      <c r="D85" t="inlineStr">
        <is>
          <t>BP</t>
        </is>
      </c>
      <c r="E85" t="inlineStr">
        <is>
          <t>ACCPAY</t>
        </is>
      </c>
      <c r="F85" t="inlineStr">
        <is>
          <t>PAID</t>
        </is>
      </c>
      <c r="G85" t="n">
        <v>21.78</v>
      </c>
      <c r="H85" t="n">
        <v>2.18</v>
      </c>
      <c r="I85" t="n">
        <v>23.96</v>
      </c>
      <c r="J85" t="n">
        <v>23.96</v>
      </c>
      <c r="K85" t="n">
        <v>0</v>
      </c>
      <c r="L85" t="n">
        <v>23.96</v>
      </c>
      <c r="M85">
        <f>IF(OR(F85="VOIDED",F85="DELETED"),0,J85-L85)</f>
        <v/>
      </c>
      <c r="N85" t="inlineStr">
        <is>
          <t>No</t>
        </is>
      </c>
      <c r="O85" t="inlineStr">
        <is>
          <t>Goods-tagged</t>
        </is>
      </c>
      <c r="P85" t="inlineStr">
        <is>
          <t>Foods</t>
        </is>
      </c>
      <c r="Q85" t="inlineStr">
        <is>
          <t>xero_tracking</t>
        </is>
      </c>
      <c r="R85" t="inlineStr">
        <is>
          <t>ACT-ST</t>
        </is>
      </c>
      <c r="S85" t="n">
        <v>46211</v>
      </c>
    </row>
    <row r="86" ht="36" customHeight="1">
      <c r="A86" t="inlineStr">
        <is>
          <t>6eeb652b-934f-441a-9b60-0e9ac5359cbd</t>
        </is>
      </c>
      <c r="B86" t="inlineStr">
        <is>
          <t>594830</t>
        </is>
      </c>
      <c r="C86" s="162" t="n">
        <v>45835</v>
      </c>
      <c r="D86" t="inlineStr">
        <is>
          <t>BP</t>
        </is>
      </c>
      <c r="E86" t="inlineStr">
        <is>
          <t>ACCPAY</t>
        </is>
      </c>
      <c r="F86" t="inlineStr">
        <is>
          <t>PAID</t>
        </is>
      </c>
      <c r="G86" t="n">
        <v>154.09</v>
      </c>
      <c r="H86" t="n">
        <v>15.41</v>
      </c>
      <c r="I86" t="n">
        <v>169.5</v>
      </c>
      <c r="J86" t="n">
        <v>169.5</v>
      </c>
      <c r="K86" t="n">
        <v>0</v>
      </c>
      <c r="L86" t="n">
        <v>169.5</v>
      </c>
      <c r="M86">
        <f>IF(OR(F86="VOIDED",F86="DELETED"),0,J86-L86)</f>
        <v/>
      </c>
      <c r="N86" t="inlineStr">
        <is>
          <t>No</t>
        </is>
      </c>
      <c r="O86" t="inlineStr">
        <is>
          <t>Goods-tagged</t>
        </is>
      </c>
      <c r="P86" t="inlineStr">
        <is>
          <t>Fuel</t>
        </is>
      </c>
      <c r="Q86" t="inlineStr">
        <is>
          <t>xero_tracking</t>
        </is>
      </c>
      <c r="R86" t="inlineStr">
        <is>
          <t>ACT-ST</t>
        </is>
      </c>
      <c r="S86" t="n">
        <v>46211</v>
      </c>
    </row>
    <row r="87" ht="36" customHeight="1">
      <c r="A87" t="inlineStr">
        <is>
          <t>a732a60c-b126-4978-9630-1fa4f11a5f9d</t>
        </is>
      </c>
      <c r="B87" t="inlineStr">
        <is>
          <t>111105890</t>
        </is>
      </c>
      <c r="C87" s="162" t="n">
        <v>45836</v>
      </c>
      <c r="D87" t="inlineStr">
        <is>
          <t>Barkly Hardware Rural Supplies</t>
        </is>
      </c>
      <c r="E87" t="inlineStr">
        <is>
          <t>ACCPAY</t>
        </is>
      </c>
      <c r="F87" t="inlineStr">
        <is>
          <t>PAID</t>
        </is>
      </c>
      <c r="G87" t="n">
        <v>121.68</v>
      </c>
      <c r="H87" t="n">
        <v>12.17</v>
      </c>
      <c r="I87" t="n">
        <v>133.85</v>
      </c>
      <c r="J87" t="n">
        <v>133.85</v>
      </c>
      <c r="K87" t="n">
        <v>0</v>
      </c>
      <c r="L87" t="n">
        <v>133.85</v>
      </c>
      <c r="M87">
        <f>IF(OR(F87="VOIDED",F87="DELETED"),0,J87-L87)</f>
        <v/>
      </c>
      <c r="N87" t="inlineStr">
        <is>
          <t>No</t>
        </is>
      </c>
      <c r="O87" t="inlineStr">
        <is>
          <t>Goods-tagged</t>
        </is>
      </c>
      <c r="P87" t="inlineStr">
        <is>
          <t>As per attached.</t>
        </is>
      </c>
      <c r="Q87" t="inlineStr">
        <is>
          <t>xero_tracking</t>
        </is>
      </c>
      <c r="R87" t="inlineStr">
        <is>
          <t>ACT-ST</t>
        </is>
      </c>
      <c r="S87" t="n">
        <v>46211</v>
      </c>
    </row>
    <row r="88" ht="36" customHeight="1">
      <c r="A88" t="inlineStr">
        <is>
          <t>73b963df-4772-4ae6-a1b2-a4d8ebb8a7d2</t>
        </is>
      </c>
      <c r="B88" t="inlineStr">
        <is>
          <t>180544</t>
        </is>
      </c>
      <c r="C88" s="162" t="n">
        <v>45836</v>
      </c>
      <c r="D88" t="inlineStr">
        <is>
          <t>Woks Up</t>
        </is>
      </c>
      <c r="E88" t="inlineStr">
        <is>
          <t>ACCPAY</t>
        </is>
      </c>
      <c r="F88" t="inlineStr">
        <is>
          <t>PAID</t>
        </is>
      </c>
      <c r="G88" t="n">
        <v>98</v>
      </c>
      <c r="H88" t="n">
        <v>9.800000000000001</v>
      </c>
      <c r="I88" t="n">
        <v>107.8</v>
      </c>
      <c r="J88" t="n">
        <v>107.8</v>
      </c>
      <c r="K88" t="n">
        <v>0</v>
      </c>
      <c r="L88" t="n">
        <v>107.8</v>
      </c>
      <c r="M88">
        <f>IF(OR(F88="VOIDED",F88="DELETED"),0,J88-L88)</f>
        <v/>
      </c>
      <c r="N88" t="inlineStr">
        <is>
          <t>No</t>
        </is>
      </c>
      <c r="O88" t="inlineStr">
        <is>
          <t>Goods-tagged</t>
        </is>
      </c>
      <c r="P88" t="inlineStr">
        <is>
          <t>As per attached.</t>
        </is>
      </c>
      <c r="Q88" t="inlineStr">
        <is>
          <t>xero_tracking</t>
        </is>
      </c>
      <c r="R88" t="inlineStr">
        <is>
          <t>ACT-ST</t>
        </is>
      </c>
      <c r="S88" t="n">
        <v>46211</v>
      </c>
    </row>
    <row r="89" ht="36" customHeight="1">
      <c r="A89" t="inlineStr">
        <is>
          <t>d86ec300-90d7-423d-a382-446325269cb7</t>
        </is>
      </c>
      <c r="B89" t="inlineStr">
        <is>
          <t>513399</t>
        </is>
      </c>
      <c r="C89" s="162" t="n">
        <v>45836</v>
      </c>
      <c r="D89" t="inlineStr">
        <is>
          <t>BP</t>
        </is>
      </c>
      <c r="E89" t="inlineStr">
        <is>
          <t>ACCPAY</t>
        </is>
      </c>
      <c r="F89" t="inlineStr">
        <is>
          <t>PAID</t>
        </is>
      </c>
      <c r="G89" t="n">
        <v>30.74</v>
      </c>
      <c r="H89" t="n">
        <v>3.07</v>
      </c>
      <c r="I89" t="n">
        <v>33.81</v>
      </c>
      <c r="J89" t="n">
        <v>33.81</v>
      </c>
      <c r="K89" t="n">
        <v>0</v>
      </c>
      <c r="L89" t="n">
        <v>33.81</v>
      </c>
      <c r="M89">
        <f>IF(OR(F89="VOIDED",F89="DELETED"),0,J89-L89)</f>
        <v/>
      </c>
      <c r="N89" t="inlineStr">
        <is>
          <t>No</t>
        </is>
      </c>
      <c r="O89" t="inlineStr">
        <is>
          <t>Goods-tagged</t>
        </is>
      </c>
      <c r="P89" t="inlineStr">
        <is>
          <t>.</t>
        </is>
      </c>
      <c r="Q89" t="inlineStr">
        <is>
          <t>xero_tracking</t>
        </is>
      </c>
      <c r="R89" t="inlineStr">
        <is>
          <t>ACT-ST</t>
        </is>
      </c>
      <c r="S89" t="n">
        <v>46211</v>
      </c>
    </row>
    <row r="90" ht="36" customHeight="1">
      <c r="A90" t="inlineStr">
        <is>
          <t>f9eddcb2-168e-49d0-8b11-477159fdcfe1</t>
        </is>
      </c>
      <c r="B90" t="inlineStr">
        <is>
          <t>ZBW5</t>
        </is>
      </c>
      <c r="C90" s="162" t="n">
        <v>45836</v>
      </c>
      <c r="D90" t="inlineStr">
        <is>
          <t>Bay Leaf Cafe</t>
        </is>
      </c>
      <c r="E90" t="inlineStr">
        <is>
          <t>ACCPAY</t>
        </is>
      </c>
      <c r="F90" t="inlineStr">
        <is>
          <t>PAID</t>
        </is>
      </c>
      <c r="G90" t="n">
        <v>70.18000000000001</v>
      </c>
      <c r="H90" t="n">
        <v>7.02</v>
      </c>
      <c r="I90" t="n">
        <v>77.2</v>
      </c>
      <c r="J90" t="n">
        <v>77.2</v>
      </c>
      <c r="K90" t="n">
        <v>0</v>
      </c>
      <c r="L90" t="n">
        <v>77.2</v>
      </c>
      <c r="M90">
        <f>IF(OR(F90="VOIDED",F90="DELETED"),0,J90-L90)</f>
        <v/>
      </c>
      <c r="N90" t="inlineStr">
        <is>
          <t>No</t>
        </is>
      </c>
      <c r="O90" t="inlineStr">
        <is>
          <t>Goods-tagged</t>
        </is>
      </c>
      <c r="P90" t="inlineStr">
        <is>
          <t>As per attached</t>
        </is>
      </c>
      <c r="Q90" t="inlineStr">
        <is>
          <t>xero_tracking</t>
        </is>
      </c>
      <c r="R90" t="inlineStr">
        <is>
          <t>ACT-ST</t>
        </is>
      </c>
      <c r="S90" t="n">
        <v>46211</v>
      </c>
    </row>
    <row r="91" ht="36" customHeight="1">
      <c r="A91" t="inlineStr">
        <is>
          <t>774c97f3-f5aa-4fa4-b359-7257a8230cc0</t>
        </is>
      </c>
      <c r="B91" t="inlineStr">
        <is>
          <t>133668</t>
        </is>
      </c>
      <c r="C91" s="162" t="n">
        <v>45837</v>
      </c>
      <c r="D91" t="inlineStr">
        <is>
          <t>IGA</t>
        </is>
      </c>
      <c r="E91" t="inlineStr">
        <is>
          <t>ACCPAY</t>
        </is>
      </c>
      <c r="F91" t="inlineStr">
        <is>
          <t>PAID</t>
        </is>
      </c>
      <c r="G91" t="n">
        <v>104.75</v>
      </c>
      <c r="H91" t="n">
        <v>10.48</v>
      </c>
      <c r="I91" t="n">
        <v>115.23</v>
      </c>
      <c r="J91" t="n">
        <v>115.23</v>
      </c>
      <c r="K91" t="n">
        <v>0</v>
      </c>
      <c r="L91" t="n">
        <v>115.23</v>
      </c>
      <c r="M91">
        <f>IF(OR(F91="VOIDED",F91="DELETED"),0,J91-L91)</f>
        <v/>
      </c>
      <c r="N91" t="inlineStr">
        <is>
          <t>No</t>
        </is>
      </c>
      <c r="O91" t="inlineStr">
        <is>
          <t>Goods-tagged</t>
        </is>
      </c>
      <c r="P91" t="inlineStr">
        <is>
          <t>Fresh Food Supplies</t>
        </is>
      </c>
      <c r="Q91" t="inlineStr">
        <is>
          <t>xero_tracking</t>
        </is>
      </c>
      <c r="R91" t="inlineStr">
        <is>
          <t>ACT-ST</t>
        </is>
      </c>
      <c r="S91" t="n">
        <v>46211</v>
      </c>
    </row>
    <row r="92" ht="36" customHeight="1">
      <c r="A92" t="inlineStr">
        <is>
          <t>7ba18893-c4d1-40fb-bc51-d2b3e5c6a26d</t>
        </is>
      </c>
      <c r="B92" t="inlineStr">
        <is>
          <t>17299541350</t>
        </is>
      </c>
      <c r="C92" s="162" t="n">
        <v>45837</v>
      </c>
      <c r="D92" t="inlineStr">
        <is>
          <t>Memories Bistro</t>
        </is>
      </c>
      <c r="E92" t="inlineStr">
        <is>
          <t>ACCPAY</t>
        </is>
      </c>
      <c r="F92" t="inlineStr">
        <is>
          <t>AUTHORISED</t>
        </is>
      </c>
      <c r="G92" t="n">
        <v>47.27</v>
      </c>
      <c r="H92" t="n">
        <v>4.73</v>
      </c>
      <c r="I92" t="n">
        <v>52</v>
      </c>
      <c r="J92" t="n">
        <v>0</v>
      </c>
      <c r="K92" t="n">
        <v>52</v>
      </c>
      <c r="L92" t="n">
        <v>0</v>
      </c>
      <c r="M92">
        <f>IF(OR(F92="VOIDED",F92="DELETED"),0,J92-L92)</f>
        <v/>
      </c>
      <c r="N92" t="inlineStr">
        <is>
          <t>No</t>
        </is>
      </c>
      <c r="O92" t="inlineStr">
        <is>
          <t>Goods-tagged</t>
        </is>
      </c>
      <c r="P92" t="inlineStr">
        <is>
          <t>As per attached.</t>
        </is>
      </c>
      <c r="Q92" t="inlineStr">
        <is>
          <t>xero_tracking</t>
        </is>
      </c>
      <c r="R92" t="inlineStr">
        <is>
          <t>ACT-ST</t>
        </is>
      </c>
      <c r="S92" t="n">
        <v>46211</v>
      </c>
    </row>
    <row r="93" ht="36" customHeight="1">
      <c r="A93" t="inlineStr">
        <is>
          <t>2f4f3268-42fd-448b-955d-239cb74e4d4e</t>
        </is>
      </c>
      <c r="B93" t="inlineStr">
        <is>
          <t>340943</t>
        </is>
      </c>
      <c r="C93" s="162" t="n">
        <v>45837</v>
      </c>
      <c r="D93" t="inlineStr">
        <is>
          <t>Lone Star Service</t>
        </is>
      </c>
      <c r="E93" t="inlineStr">
        <is>
          <t>ACCPAY</t>
        </is>
      </c>
      <c r="F93" t="inlineStr">
        <is>
          <t>PAID</t>
        </is>
      </c>
      <c r="G93" t="n">
        <v>280.85</v>
      </c>
      <c r="H93" t="n">
        <v>28.08</v>
      </c>
      <c r="I93" t="n">
        <v>308.93</v>
      </c>
      <c r="J93" t="n">
        <v>308.93</v>
      </c>
      <c r="K93" t="n">
        <v>0</v>
      </c>
      <c r="L93" t="n">
        <v>308.93</v>
      </c>
      <c r="M93">
        <f>IF(OR(F93="VOIDED",F93="DELETED"),0,J93-L93)</f>
        <v/>
      </c>
      <c r="N93" t="inlineStr">
        <is>
          <t>No</t>
        </is>
      </c>
      <c r="O93" t="inlineStr">
        <is>
          <t>Goods-tagged</t>
        </is>
      </c>
      <c r="P93" t="inlineStr">
        <is>
          <t>Fuel</t>
        </is>
      </c>
      <c r="Q93" t="inlineStr">
        <is>
          <t>xero_tracking</t>
        </is>
      </c>
      <c r="R93" t="inlineStr">
        <is>
          <t>ACT-ST</t>
        </is>
      </c>
      <c r="S93" t="n">
        <v>46211</v>
      </c>
    </row>
    <row r="94" ht="36" customHeight="1">
      <c r="A94" t="inlineStr">
        <is>
          <t>433317c4-daaf-4315-be78-41e2d0284c11</t>
        </is>
      </c>
      <c r="B94" t="inlineStr">
        <is>
          <t>514054</t>
        </is>
      </c>
      <c r="C94" s="162" t="n">
        <v>45837</v>
      </c>
      <c r="D94" t="inlineStr">
        <is>
          <t>BP</t>
        </is>
      </c>
      <c r="E94" t="inlineStr">
        <is>
          <t>ACCPAY</t>
        </is>
      </c>
      <c r="F94" t="inlineStr">
        <is>
          <t>PAID</t>
        </is>
      </c>
      <c r="G94" t="n">
        <v>57.2</v>
      </c>
      <c r="H94" t="n">
        <v>5.72</v>
      </c>
      <c r="I94" t="n">
        <v>62.92</v>
      </c>
      <c r="J94" t="n">
        <v>62.92</v>
      </c>
      <c r="K94" t="n">
        <v>0</v>
      </c>
      <c r="L94" t="n">
        <v>62.92</v>
      </c>
      <c r="M94">
        <f>IF(OR(F94="VOIDED",F94="DELETED"),0,J94-L94)</f>
        <v/>
      </c>
      <c r="N94" t="inlineStr">
        <is>
          <t>No</t>
        </is>
      </c>
      <c r="O94" t="inlineStr">
        <is>
          <t>Goods-tagged</t>
        </is>
      </c>
      <c r="P94" t="inlineStr">
        <is>
          <t>As per attached.</t>
        </is>
      </c>
      <c r="Q94" t="inlineStr">
        <is>
          <t>xero_tracking</t>
        </is>
      </c>
      <c r="R94" t="inlineStr">
        <is>
          <t>ACT-ST</t>
        </is>
      </c>
      <c r="S94" t="n">
        <v>46211</v>
      </c>
    </row>
    <row r="95" ht="36" customHeight="1">
      <c r="A95" t="inlineStr">
        <is>
          <t>9266cf5f-38d2-4411-ae30-b75f87cd00d4</t>
        </is>
      </c>
      <c r="B95" t="inlineStr">
        <is>
          <t>596390</t>
        </is>
      </c>
      <c r="C95" s="162" t="n">
        <v>45837</v>
      </c>
      <c r="D95" t="inlineStr">
        <is>
          <t>BP</t>
        </is>
      </c>
      <c r="E95" t="inlineStr">
        <is>
          <t>ACCPAY</t>
        </is>
      </c>
      <c r="F95" t="inlineStr">
        <is>
          <t>PAID</t>
        </is>
      </c>
      <c r="G95" t="n">
        <v>34.49</v>
      </c>
      <c r="H95" t="n">
        <v>3.45</v>
      </c>
      <c r="I95" t="n">
        <v>37.94</v>
      </c>
      <c r="J95" t="n">
        <v>37.94</v>
      </c>
      <c r="K95" t="n">
        <v>0</v>
      </c>
      <c r="L95" t="n">
        <v>37.94</v>
      </c>
      <c r="M95">
        <f>IF(OR(F95="VOIDED",F95="DELETED"),0,J95-L95)</f>
        <v/>
      </c>
      <c r="N95" t="inlineStr">
        <is>
          <t>No</t>
        </is>
      </c>
      <c r="O95" t="inlineStr">
        <is>
          <t>Goods-tagged</t>
        </is>
      </c>
      <c r="P95" t="inlineStr">
        <is>
          <t>Fuel</t>
        </is>
      </c>
      <c r="Q95" t="inlineStr">
        <is>
          <t>xero_tracking</t>
        </is>
      </c>
      <c r="R95" t="inlineStr">
        <is>
          <t>ACT-ST</t>
        </is>
      </c>
      <c r="S95" t="n">
        <v>46211</v>
      </c>
    </row>
    <row r="96" ht="134" customHeight="1">
      <c r="A96" t="inlineStr">
        <is>
          <t>ccc01d27-be2a-41a3-b458-1561f1fc5a8d</t>
        </is>
      </c>
      <c r="B96" t="inlineStr">
        <is>
          <t>INV-0240</t>
        </is>
      </c>
      <c r="C96" s="162" t="n">
        <v>45837</v>
      </c>
      <c r="D96" t="inlineStr">
        <is>
          <t>The Snow Foundation</t>
        </is>
      </c>
      <c r="E96" t="inlineStr">
        <is>
          <t>ACCREC</t>
        </is>
      </c>
      <c r="F96" t="inlineStr">
        <is>
          <t>PAID</t>
        </is>
      </c>
      <c r="G96" t="n">
        <v>15091.01</v>
      </c>
      <c r="H96" t="n">
        <v>1509.1</v>
      </c>
      <c r="I96" t="n">
        <v>16600.11</v>
      </c>
      <c r="J96" t="n">
        <v>16600.11</v>
      </c>
      <c r="K96" t="n">
        <v>0</v>
      </c>
      <c r="L96" t="n">
        <v>16600.11</v>
      </c>
      <c r="M96">
        <f>IF(OR(F96="VOIDED",F96="DELETED"),0,J96-L96)</f>
        <v/>
      </c>
      <c r="N96" t="inlineStr">
        <is>
          <t>No</t>
        </is>
      </c>
      <c r="O96" t="inlineStr">
        <is>
          <t>Goods-tagged</t>
        </is>
      </c>
      <c r="P96" t="inlineStr">
        <is>
          <t>Goods Indestructible Washing Machine v1 / Upgrade up to 4 BHAC Speed Queen Washing Machine's to  Indestructible Washing Machine v1 - Skin, Parts and Labour / LG Giant C 20amp Single Phase Dryer or Similar Spec 10kg Commercial Dryer / Project Management, Install, Shipping, Accommodation and Travel 
- 3 days @ $900 per day 
- Travel and Accom $3200
- Shipping $1100 / TBC Other Funding (ACT to cover)</t>
        </is>
      </c>
      <c r="Q96" t="inlineStr">
        <is>
          <t>vendor_rule</t>
        </is>
      </c>
      <c r="R96" t="inlineStr">
        <is>
          <t>ACT-ST</t>
        </is>
      </c>
      <c r="S96" t="n">
        <v>46211</v>
      </c>
    </row>
    <row r="97" ht="36" customHeight="1">
      <c r="A97" t="inlineStr">
        <is>
          <t>63b2f271-bd07-4fb0-ab58-ab459ad63215</t>
        </is>
      </c>
      <c r="B97" t="inlineStr">
        <is>
          <t>rTvs</t>
        </is>
      </c>
      <c r="C97" s="162" t="n">
        <v>45837</v>
      </c>
      <c r="D97" t="inlineStr">
        <is>
          <t>Bay Leaf Cafe</t>
        </is>
      </c>
      <c r="E97" t="inlineStr">
        <is>
          <t>ACCPAY</t>
        </is>
      </c>
      <c r="F97" t="inlineStr">
        <is>
          <t>PAID</t>
        </is>
      </c>
      <c r="G97" t="n">
        <v>4.71</v>
      </c>
      <c r="H97" t="n">
        <v>0.47</v>
      </c>
      <c r="I97" t="n">
        <v>5.18</v>
      </c>
      <c r="J97" t="n">
        <v>5.18</v>
      </c>
      <c r="K97" t="n">
        <v>0</v>
      </c>
      <c r="L97" t="n">
        <v>5.18</v>
      </c>
      <c r="M97">
        <f>IF(OR(F97="VOIDED",F97="DELETED"),0,J97-L97)</f>
        <v/>
      </c>
      <c r="N97" t="inlineStr">
        <is>
          <t>No</t>
        </is>
      </c>
      <c r="O97" t="inlineStr">
        <is>
          <t>Goods-tagged</t>
        </is>
      </c>
      <c r="P97" t="inlineStr">
        <is>
          <t>As per attached.</t>
        </is>
      </c>
      <c r="Q97" t="inlineStr">
        <is>
          <t>xero_tracking</t>
        </is>
      </c>
      <c r="R97" t="inlineStr">
        <is>
          <t>ACT-ST</t>
        </is>
      </c>
      <c r="S97" t="n">
        <v>46211</v>
      </c>
    </row>
    <row r="98" ht="36" customHeight="1">
      <c r="A98" t="inlineStr">
        <is>
          <t>e602a312-1509-4b71-9fa1-0edc9f5c27da</t>
        </is>
      </c>
      <c r="B98" t="inlineStr">
        <is>
          <t>17301325130</t>
        </is>
      </c>
      <c r="C98" s="162" t="n">
        <v>45838</v>
      </c>
      <c r="D98" t="inlineStr">
        <is>
          <t>Sendle</t>
        </is>
      </c>
      <c r="E98" t="inlineStr">
        <is>
          <t>ACCPAY</t>
        </is>
      </c>
      <c r="F98" t="inlineStr">
        <is>
          <t>PAID</t>
        </is>
      </c>
      <c r="G98" t="n">
        <v>19.14</v>
      </c>
      <c r="H98" t="n">
        <v>1.91</v>
      </c>
      <c r="I98" t="n">
        <v>21.05</v>
      </c>
      <c r="J98" t="n">
        <v>21.05</v>
      </c>
      <c r="K98" t="n">
        <v>0</v>
      </c>
      <c r="L98" t="n">
        <v>21.05</v>
      </c>
      <c r="M98">
        <f>IF(OR(F98="VOIDED",F98="DELETED"),0,J98-L98)</f>
        <v/>
      </c>
      <c r="N98" t="inlineStr">
        <is>
          <t>No</t>
        </is>
      </c>
      <c r="O98" t="inlineStr">
        <is>
          <t>Goods-tagged</t>
        </is>
      </c>
      <c r="P98" t="inlineStr">
        <is>
          <t>.</t>
        </is>
      </c>
      <c r="Q98" t="inlineStr">
        <is>
          <t>vendor_rule</t>
        </is>
      </c>
      <c r="R98" t="inlineStr">
        <is>
          <t>ACT-ST</t>
        </is>
      </c>
      <c r="S98" t="n">
        <v>46211</v>
      </c>
    </row>
    <row r="99" ht="36" customHeight="1">
      <c r="A99" t="inlineStr">
        <is>
          <t>a136299a-263f-4e4c-a0ba-b398449e1e8d</t>
        </is>
      </c>
      <c r="B99" t="inlineStr">
        <is>
          <t>17308264880</t>
        </is>
      </c>
      <c r="C99" s="162" t="n">
        <v>45838</v>
      </c>
      <c r="D99" t="inlineStr">
        <is>
          <t>Memories Bistro</t>
        </is>
      </c>
      <c r="E99" t="inlineStr">
        <is>
          <t>ACCPAY</t>
        </is>
      </c>
      <c r="F99" t="inlineStr">
        <is>
          <t>AUTHORISED</t>
        </is>
      </c>
      <c r="G99" t="n">
        <v>91.81999999999999</v>
      </c>
      <c r="H99" t="n">
        <v>9.18</v>
      </c>
      <c r="I99" t="n">
        <v>101</v>
      </c>
      <c r="J99" t="n">
        <v>0</v>
      </c>
      <c r="K99" t="n">
        <v>101</v>
      </c>
      <c r="L99" t="n">
        <v>0</v>
      </c>
      <c r="M99">
        <f>IF(OR(F99="VOIDED",F99="DELETED"),0,J99-L99)</f>
        <v/>
      </c>
      <c r="N99" t="inlineStr">
        <is>
          <t>No</t>
        </is>
      </c>
      <c r="O99" t="inlineStr">
        <is>
          <t>Goods-tagged</t>
        </is>
      </c>
      <c r="P99" t="inlineStr">
        <is>
          <t>As per attached.</t>
        </is>
      </c>
      <c r="Q99" t="inlineStr">
        <is>
          <t>xero_tracking</t>
        </is>
      </c>
      <c r="R99" t="inlineStr">
        <is>
          <t>ACT-ST</t>
        </is>
      </c>
      <c r="S99" t="n">
        <v>46211</v>
      </c>
    </row>
    <row r="100" ht="36" customHeight="1">
      <c r="A100" t="inlineStr">
        <is>
          <t>22da963e-587c-44b2-a7d7-d76659661c82</t>
        </is>
      </c>
      <c r="B100" t="inlineStr">
        <is>
          <t>17308267390</t>
        </is>
      </c>
      <c r="C100" s="162" t="n">
        <v>45838</v>
      </c>
      <c r="D100" t="inlineStr">
        <is>
          <t>Memories Bistro</t>
        </is>
      </c>
      <c r="E100" t="inlineStr">
        <is>
          <t>ACCPAY</t>
        </is>
      </c>
      <c r="F100" t="inlineStr">
        <is>
          <t>PAID</t>
        </is>
      </c>
      <c r="G100" t="n">
        <v>38.18</v>
      </c>
      <c r="H100" t="n">
        <v>3.82</v>
      </c>
      <c r="I100" t="n">
        <v>42</v>
      </c>
      <c r="J100" t="n">
        <v>42</v>
      </c>
      <c r="K100" t="n">
        <v>0</v>
      </c>
      <c r="L100" t="n">
        <v>42</v>
      </c>
      <c r="M100">
        <f>IF(OR(F100="VOIDED",F100="DELETED"),0,J100-L100)</f>
        <v/>
      </c>
      <c r="N100" t="inlineStr">
        <is>
          <t>No</t>
        </is>
      </c>
      <c r="O100" t="inlineStr">
        <is>
          <t>Goods-tagged</t>
        </is>
      </c>
      <c r="P100" t="inlineStr">
        <is>
          <t>As per attached.</t>
        </is>
      </c>
      <c r="Q100" t="inlineStr">
        <is>
          <t>xero_tracking</t>
        </is>
      </c>
      <c r="R100" t="inlineStr">
        <is>
          <t>ACT-ST</t>
        </is>
      </c>
      <c r="S100" t="n">
        <v>46211</v>
      </c>
    </row>
    <row r="101" ht="36" customHeight="1">
      <c r="A101" t="inlineStr">
        <is>
          <t>cc81be28-25d8-4023-8f18-40f033eb791d</t>
        </is>
      </c>
      <c r="B101" t="inlineStr">
        <is>
          <t>596735</t>
        </is>
      </c>
      <c r="C101" s="162" t="n">
        <v>45838</v>
      </c>
      <c r="D101" t="inlineStr">
        <is>
          <t>BP</t>
        </is>
      </c>
      <c r="E101" t="inlineStr">
        <is>
          <t>ACCPAY</t>
        </is>
      </c>
      <c r="F101" t="inlineStr">
        <is>
          <t>PAID</t>
        </is>
      </c>
      <c r="G101" t="n">
        <v>19.78</v>
      </c>
      <c r="H101" t="n">
        <v>1.98</v>
      </c>
      <c r="I101" t="n">
        <v>21.76</v>
      </c>
      <c r="J101" t="n">
        <v>21.76</v>
      </c>
      <c r="K101" t="n">
        <v>0</v>
      </c>
      <c r="L101" t="n">
        <v>21.76</v>
      </c>
      <c r="M101">
        <f>IF(OR(F101="VOIDED",F101="DELETED"),0,J101-L101)</f>
        <v/>
      </c>
      <c r="N101" t="inlineStr">
        <is>
          <t>No</t>
        </is>
      </c>
      <c r="O101" t="inlineStr">
        <is>
          <t>Goods-tagged</t>
        </is>
      </c>
      <c r="P101" t="inlineStr">
        <is>
          <t>Fuel</t>
        </is>
      </c>
      <c r="Q101" t="inlineStr">
        <is>
          <t>xero_tracking</t>
        </is>
      </c>
      <c r="R101" t="inlineStr">
        <is>
          <t>ACT-ST</t>
        </is>
      </c>
      <c r="S101" t="n">
        <v>46211</v>
      </c>
    </row>
    <row r="102" ht="36" customHeight="1">
      <c r="A102" t="inlineStr">
        <is>
          <t>5ecd35a4-d510-4ed3-a7d7-6b15573eb2b0</t>
        </is>
      </c>
      <c r="B102" t="inlineStr">
        <is>
          <t>60405</t>
        </is>
      </c>
      <c r="C102" s="162" t="n">
        <v>45838</v>
      </c>
      <c r="D102" t="inlineStr">
        <is>
          <t>IGA</t>
        </is>
      </c>
      <c r="E102" t="inlineStr">
        <is>
          <t>ACCPAY</t>
        </is>
      </c>
      <c r="F102" t="inlineStr">
        <is>
          <t>PAID</t>
        </is>
      </c>
      <c r="G102" t="n">
        <v>26.07</v>
      </c>
      <c r="H102" t="n">
        <v>2.61</v>
      </c>
      <c r="I102" t="n">
        <v>28.68</v>
      </c>
      <c r="J102" t="n">
        <v>28.68</v>
      </c>
      <c r="K102" t="n">
        <v>0</v>
      </c>
      <c r="L102" t="n">
        <v>28.68</v>
      </c>
      <c r="M102">
        <f>IF(OR(F102="VOIDED",F102="DELETED"),0,J102-L102)</f>
        <v/>
      </c>
      <c r="N102" t="inlineStr">
        <is>
          <t>No</t>
        </is>
      </c>
      <c r="O102" t="inlineStr">
        <is>
          <t>Goods-tagged</t>
        </is>
      </c>
      <c r="P102" t="inlineStr">
        <is>
          <t>.</t>
        </is>
      </c>
      <c r="Q102" t="inlineStr">
        <is>
          <t>xero_tracking</t>
        </is>
      </c>
      <c r="R102" t="inlineStr">
        <is>
          <t>ACT-ST</t>
        </is>
      </c>
      <c r="S102" t="n">
        <v>46211</v>
      </c>
    </row>
    <row r="103" ht="36" customHeight="1">
      <c r="A103" t="inlineStr">
        <is>
          <t>5813ba50-62cf-4def-ac1f-ce5167cc5436</t>
        </is>
      </c>
      <c r="B103" t="inlineStr">
        <is>
          <t>71905</t>
        </is>
      </c>
      <c r="C103" s="162" t="n">
        <v>45838</v>
      </c>
      <c r="D103" t="inlineStr">
        <is>
          <t>Tennant Creek Memorial Club</t>
        </is>
      </c>
      <c r="E103" t="inlineStr">
        <is>
          <t>ACCPAY</t>
        </is>
      </c>
      <c r="F103" t="inlineStr">
        <is>
          <t>PAID</t>
        </is>
      </c>
      <c r="G103" t="n">
        <v>6.36</v>
      </c>
      <c r="H103" t="n">
        <v>0.64</v>
      </c>
      <c r="I103" t="n">
        <v>7</v>
      </c>
      <c r="J103" t="n">
        <v>7</v>
      </c>
      <c r="K103" t="n">
        <v>0</v>
      </c>
      <c r="L103" t="n">
        <v>7</v>
      </c>
      <c r="M103">
        <f>IF(OR(F103="VOIDED",F103="DELETED"),0,J103-L103)</f>
        <v/>
      </c>
      <c r="N103" t="inlineStr">
        <is>
          <t>No</t>
        </is>
      </c>
      <c r="O103" t="inlineStr">
        <is>
          <t>Goods-tagged</t>
        </is>
      </c>
      <c r="P103" t="inlineStr">
        <is>
          <t>As per attached.</t>
        </is>
      </c>
      <c r="Q103" t="inlineStr">
        <is>
          <t>xero_tracking</t>
        </is>
      </c>
      <c r="R103" t="inlineStr">
        <is>
          <t>ACT-ST</t>
        </is>
      </c>
      <c r="S103" t="n">
        <v>46211</v>
      </c>
    </row>
    <row r="104" ht="36" customHeight="1">
      <c r="A104" t="inlineStr">
        <is>
          <t>f90a45e2-c34c-4465-9209-68364ca2178c</t>
        </is>
      </c>
      <c r="B104" t="inlineStr">
        <is>
          <t>BYO-25852</t>
        </is>
      </c>
      <c r="C104" s="162" t="n">
        <v>45838</v>
      </c>
      <c r="D104" t="inlineStr">
        <is>
          <t>Byo Group</t>
        </is>
      </c>
      <c r="E104" t="inlineStr">
        <is>
          <t>ACCPAY</t>
        </is>
      </c>
      <c r="F104" t="inlineStr">
        <is>
          <t>PAID</t>
        </is>
      </c>
      <c r="G104" t="n">
        <v>830.4</v>
      </c>
      <c r="H104" t="n">
        <v>83.04000000000001</v>
      </c>
      <c r="I104" t="n">
        <v>913.4400000000001</v>
      </c>
      <c r="J104" t="n">
        <v>913.4400000000001</v>
      </c>
      <c r="K104" t="n">
        <v>0</v>
      </c>
      <c r="L104" t="n">
        <v>913.4400000000001</v>
      </c>
      <c r="M104">
        <f>IF(OR(F104="VOIDED",F104="DELETED"),0,J104-L104)</f>
        <v/>
      </c>
      <c r="N104" t="inlineStr">
        <is>
          <t>No</t>
        </is>
      </c>
      <c r="O104" t="inlineStr">
        <is>
          <t>Goods-tagged</t>
        </is>
      </c>
      <c r="P104" t="inlineStr">
        <is>
          <t>Bookkeeping</t>
        </is>
      </c>
      <c r="Q104" t="inlineStr">
        <is>
          <t>vendor_rule</t>
        </is>
      </c>
      <c r="R104" t="inlineStr">
        <is>
          <t>ACT-ST</t>
        </is>
      </c>
      <c r="S104" t="n">
        <v>46211</v>
      </c>
    </row>
    <row r="105" ht="36" customHeight="1">
      <c r="A105" t="inlineStr">
        <is>
          <t>5ae6d2f0-8a8c-42e5-a707-eb985e6ad946</t>
        </is>
      </c>
      <c r="B105" t="inlineStr">
        <is>
          <t>EP0130001048253855</t>
        </is>
      </c>
      <c r="C105" s="162" t="n">
        <v>45838</v>
      </c>
      <c r="D105" t="inlineStr">
        <is>
          <t>Telstra</t>
        </is>
      </c>
      <c r="E105" t="inlineStr">
        <is>
          <t>ACCPAY</t>
        </is>
      </c>
      <c r="F105" t="inlineStr">
        <is>
          <t>AUTHORISED</t>
        </is>
      </c>
      <c r="G105" t="n">
        <v>18.18</v>
      </c>
      <c r="H105" t="n">
        <v>1.82</v>
      </c>
      <c r="I105" t="n">
        <v>20</v>
      </c>
      <c r="J105" t="n">
        <v>0</v>
      </c>
      <c r="K105" t="n">
        <v>20</v>
      </c>
      <c r="L105" t="n">
        <v>0</v>
      </c>
      <c r="M105">
        <f>IF(OR(F105="VOIDED",F105="DELETED"),0,J105-L105)</f>
        <v/>
      </c>
      <c r="N105" t="inlineStr">
        <is>
          <t>No</t>
        </is>
      </c>
      <c r="O105" t="inlineStr">
        <is>
          <t>Goods-tagged</t>
        </is>
      </c>
      <c r="P105" t="inlineStr">
        <is>
          <t>.</t>
        </is>
      </c>
      <c r="Q105" t="inlineStr">
        <is>
          <t>xero_tracking</t>
        </is>
      </c>
      <c r="R105" t="inlineStr">
        <is>
          <t>ACT-ST</t>
        </is>
      </c>
      <c r="S105" t="n">
        <v>46211</v>
      </c>
    </row>
    <row r="106" ht="36" customHeight="1">
      <c r="A106" t="inlineStr">
        <is>
          <t>7bc404a1-f944-458d-b7da-43f1606400f1</t>
        </is>
      </c>
      <c r="B106" t="inlineStr">
        <is>
          <t>INV-0232</t>
        </is>
      </c>
      <c r="C106" s="162" t="n">
        <v>45838</v>
      </c>
      <c r="D106" t="inlineStr">
        <is>
          <t>QIC LIMITED</t>
        </is>
      </c>
      <c r="E106" t="inlineStr">
        <is>
          <t>ACCREC</t>
        </is>
      </c>
      <c r="F106" t="inlineStr">
        <is>
          <t>PAID</t>
        </is>
      </c>
      <c r="G106" t="n">
        <v>10909.09</v>
      </c>
      <c r="H106" t="n">
        <v>1090.91</v>
      </c>
      <c r="I106" t="n">
        <v>12000</v>
      </c>
      <c r="J106" t="n">
        <v>12000</v>
      </c>
      <c r="K106" t="n">
        <v>0</v>
      </c>
      <c r="L106" t="n">
        <v>12000</v>
      </c>
      <c r="M106">
        <f>IF(OR(F106="VOIDED",F106="DELETED"),0,J106-L106)</f>
        <v/>
      </c>
      <c r="N106" t="inlineStr">
        <is>
          <t>No</t>
        </is>
      </c>
      <c r="O106" t="inlineStr">
        <is>
          <t>Goods-tagged</t>
        </is>
      </c>
      <c r="P106" t="inlineStr">
        <is>
          <t>The Bed Project – RAP Commitment / Coordination, education and operational support for QIC Bed Project</t>
        </is>
      </c>
      <c r="R106" t="inlineStr">
        <is>
          <t>ACT-ST</t>
        </is>
      </c>
      <c r="S106" t="n">
        <v>46211</v>
      </c>
    </row>
    <row r="107" ht="36" customHeight="1">
      <c r="A107" t="inlineStr">
        <is>
          <t>1b29f2da-b0bc-425c-994e-82134d8a6783</t>
        </is>
      </c>
      <c r="B107" t="inlineStr">
        <is>
          <t>111106009</t>
        </is>
      </c>
      <c r="C107" s="162" t="n">
        <v>45839</v>
      </c>
      <c r="D107" t="inlineStr">
        <is>
          <t>Barkly Hardware Rural Supplies</t>
        </is>
      </c>
      <c r="E107" t="inlineStr">
        <is>
          <t>ACCPAY</t>
        </is>
      </c>
      <c r="F107" t="inlineStr">
        <is>
          <t>PAID</t>
        </is>
      </c>
      <c r="G107" t="n">
        <v>125.13</v>
      </c>
      <c r="H107" t="n">
        <v>12.52</v>
      </c>
      <c r="I107" t="n">
        <v>137.65</v>
      </c>
      <c r="J107" t="n">
        <v>137.65</v>
      </c>
      <c r="K107" t="n">
        <v>0</v>
      </c>
      <c r="L107" t="n">
        <v>137.65</v>
      </c>
      <c r="M107">
        <f>IF(OR(F107="VOIDED",F107="DELETED"),0,J107-L107)</f>
        <v/>
      </c>
      <c r="N107" t="inlineStr">
        <is>
          <t>Yes</t>
        </is>
      </c>
      <c r="O107" t="inlineStr">
        <is>
          <t>Goods-tagged</t>
        </is>
      </c>
      <c r="P107" t="inlineStr">
        <is>
          <t>.</t>
        </is>
      </c>
      <c r="Q107" t="inlineStr">
        <is>
          <t>xero_tracking</t>
        </is>
      </c>
      <c r="R107" t="inlineStr">
        <is>
          <t>ACT-ST</t>
        </is>
      </c>
      <c r="S107" t="n">
        <v>46211</v>
      </c>
    </row>
    <row r="108" ht="36" customHeight="1">
      <c r="A108" t="inlineStr">
        <is>
          <t>a2b5771c-7090-4343-a537-fed09c798a79</t>
        </is>
      </c>
      <c r="B108" t="inlineStr">
        <is>
          <t>180657</t>
        </is>
      </c>
      <c r="C108" s="162" t="n">
        <v>45839</v>
      </c>
      <c r="D108" t="inlineStr">
        <is>
          <t>Woks Up</t>
        </is>
      </c>
      <c r="E108" t="inlineStr">
        <is>
          <t>ACCPAY</t>
        </is>
      </c>
      <c r="F108" t="inlineStr">
        <is>
          <t>PAID</t>
        </is>
      </c>
      <c r="G108" t="n">
        <v>90.3</v>
      </c>
      <c r="H108" t="n">
        <v>0</v>
      </c>
      <c r="I108" t="n">
        <v>90.3</v>
      </c>
      <c r="J108" t="n">
        <v>90.3</v>
      </c>
      <c r="K108" t="n">
        <v>0</v>
      </c>
      <c r="L108" t="n">
        <v>90.3</v>
      </c>
      <c r="M108">
        <f>IF(OR(F108="VOIDED",F108="DELETED"),0,J108-L108)</f>
        <v/>
      </c>
      <c r="N108" t="inlineStr">
        <is>
          <t>Yes</t>
        </is>
      </c>
      <c r="O108" t="inlineStr">
        <is>
          <t>Goods-tagged</t>
        </is>
      </c>
      <c r="P108" t="inlineStr">
        <is>
          <t>.</t>
        </is>
      </c>
      <c r="Q108" t="inlineStr">
        <is>
          <t>xero_tracking</t>
        </is>
      </c>
      <c r="R108" t="inlineStr">
        <is>
          <t>ACT-ST</t>
        </is>
      </c>
      <c r="S108" t="n">
        <v>46211</v>
      </c>
    </row>
    <row r="109" ht="36" customHeight="1">
      <c r="A109" t="inlineStr">
        <is>
          <t>3cdbab5c-553d-4417-9a4f-3e88e70f532e</t>
        </is>
      </c>
      <c r="B109" t="inlineStr">
        <is>
          <t>515015</t>
        </is>
      </c>
      <c r="C109" s="162" t="n">
        <v>45839</v>
      </c>
      <c r="D109" t="inlineStr">
        <is>
          <t>BP</t>
        </is>
      </c>
      <c r="E109" t="inlineStr">
        <is>
          <t>ACCPAY</t>
        </is>
      </c>
      <c r="F109" t="inlineStr">
        <is>
          <t>PAID</t>
        </is>
      </c>
      <c r="G109" t="n">
        <v>19.97</v>
      </c>
      <c r="H109" t="n">
        <v>0</v>
      </c>
      <c r="I109" t="n">
        <v>19.97</v>
      </c>
      <c r="J109" t="n">
        <v>19.97</v>
      </c>
      <c r="K109" t="n">
        <v>0</v>
      </c>
      <c r="L109" t="n">
        <v>19.97</v>
      </c>
      <c r="M109">
        <f>IF(OR(F109="VOIDED",F109="DELETED"),0,J109-L109)</f>
        <v/>
      </c>
      <c r="N109" t="inlineStr">
        <is>
          <t>Yes</t>
        </is>
      </c>
      <c r="O109" t="inlineStr">
        <is>
          <t>Goods-tagged</t>
        </is>
      </c>
      <c r="P109" t="inlineStr">
        <is>
          <t>. / .</t>
        </is>
      </c>
      <c r="Q109" t="inlineStr">
        <is>
          <t>xero_tracking</t>
        </is>
      </c>
      <c r="R109" t="inlineStr">
        <is>
          <t>ACT-ST</t>
        </is>
      </c>
      <c r="S109" t="n">
        <v>46211</v>
      </c>
    </row>
    <row r="110" ht="36" customHeight="1">
      <c r="A110" t="inlineStr">
        <is>
          <t>03a321a0-6aff-4f54-bfd1-f3185409d431</t>
        </is>
      </c>
      <c r="B110" t="inlineStr">
        <is>
          <t>BYO-25868</t>
        </is>
      </c>
      <c r="C110" s="162" t="n">
        <v>45839</v>
      </c>
      <c r="D110" t="inlineStr">
        <is>
          <t>Byo Group</t>
        </is>
      </c>
      <c r="E110" t="inlineStr">
        <is>
          <t>ACCPAY</t>
        </is>
      </c>
      <c r="F110" t="inlineStr">
        <is>
          <t>PAID</t>
        </is>
      </c>
      <c r="G110" t="n">
        <v>30</v>
      </c>
      <c r="H110" t="n">
        <v>3</v>
      </c>
      <c r="I110" t="n">
        <v>33</v>
      </c>
      <c r="J110" t="n">
        <v>33</v>
      </c>
      <c r="K110" t="n">
        <v>0</v>
      </c>
      <c r="L110" t="n">
        <v>33</v>
      </c>
      <c r="M110">
        <f>IF(OR(F110="VOIDED",F110="DELETED"),0,J110-L110)</f>
        <v/>
      </c>
      <c r="N110" t="inlineStr">
        <is>
          <t>Yes</t>
        </is>
      </c>
      <c r="O110" t="inlineStr">
        <is>
          <t>Goods-tagged</t>
        </is>
      </c>
      <c r="P110" t="inlineStr">
        <is>
          <t>.</t>
        </is>
      </c>
      <c r="Q110" t="inlineStr">
        <is>
          <t>vendor_rule</t>
        </is>
      </c>
      <c r="R110" t="inlineStr">
        <is>
          <t>ACT-ST</t>
        </is>
      </c>
      <c r="S110" t="n">
        <v>46211</v>
      </c>
    </row>
    <row r="111" ht="36" customHeight="1">
      <c r="A111" t="inlineStr">
        <is>
          <t>813382b5-9b07-493c-9add-cb72af45bf30</t>
        </is>
      </c>
      <c r="B111" t="inlineStr">
        <is>
          <t>dYVe</t>
        </is>
      </c>
      <c r="C111" s="162" t="n">
        <v>45839</v>
      </c>
      <c r="D111" t="inlineStr">
        <is>
          <t>Bay Leaf Cafe</t>
        </is>
      </c>
      <c r="E111" t="inlineStr">
        <is>
          <t>ACCPAY</t>
        </is>
      </c>
      <c r="F111" t="inlineStr">
        <is>
          <t>PAID</t>
        </is>
      </c>
      <c r="G111" t="n">
        <v>24.8</v>
      </c>
      <c r="H111" t="n">
        <v>0</v>
      </c>
      <c r="I111" t="n">
        <v>24.8</v>
      </c>
      <c r="J111" t="n">
        <v>24.8</v>
      </c>
      <c r="K111" t="n">
        <v>0</v>
      </c>
      <c r="L111" t="n">
        <v>24.8</v>
      </c>
      <c r="M111">
        <f>IF(OR(F111="VOIDED",F111="DELETED"),0,J111-L111)</f>
        <v/>
      </c>
      <c r="N111" t="inlineStr">
        <is>
          <t>Yes</t>
        </is>
      </c>
      <c r="O111" t="inlineStr">
        <is>
          <t>Goods-tagged</t>
        </is>
      </c>
      <c r="P111" t="inlineStr">
        <is>
          <t>.</t>
        </is>
      </c>
      <c r="Q111" t="inlineStr">
        <is>
          <t>xero_tracking</t>
        </is>
      </c>
      <c r="R111" t="inlineStr">
        <is>
          <t>ACT-ST</t>
        </is>
      </c>
      <c r="S111" t="n">
        <v>46211</v>
      </c>
    </row>
    <row r="112" ht="36" customHeight="1">
      <c r="A112" t="inlineStr">
        <is>
          <t>7668c6b6-099d-4235-a161-ba6c77ad46c6</t>
        </is>
      </c>
      <c r="B112" t="inlineStr">
        <is>
          <t>dlhk</t>
        </is>
      </c>
      <c r="C112" s="162" t="n">
        <v>45839</v>
      </c>
      <c r="D112" t="inlineStr">
        <is>
          <t>Bay Leaf Cafe</t>
        </is>
      </c>
      <c r="E112" t="inlineStr">
        <is>
          <t>ACCPAY</t>
        </is>
      </c>
      <c r="F112" t="inlineStr">
        <is>
          <t>PAID</t>
        </is>
      </c>
      <c r="G112" t="n">
        <v>10</v>
      </c>
      <c r="H112" t="n">
        <v>0</v>
      </c>
      <c r="I112" t="n">
        <v>10</v>
      </c>
      <c r="J112" t="n">
        <v>10</v>
      </c>
      <c r="K112" t="n">
        <v>0</v>
      </c>
      <c r="L112" t="n">
        <v>10</v>
      </c>
      <c r="M112">
        <f>IF(OR(F112="VOIDED",F112="DELETED"),0,J112-L112)</f>
        <v/>
      </c>
      <c r="N112" t="inlineStr">
        <is>
          <t>Yes</t>
        </is>
      </c>
      <c r="O112" t="inlineStr">
        <is>
          <t>Goods-tagged</t>
        </is>
      </c>
      <c r="P112" t="inlineStr">
        <is>
          <t>.</t>
        </is>
      </c>
      <c r="Q112" t="inlineStr">
        <is>
          <t>xero_tracking</t>
        </is>
      </c>
      <c r="R112" t="inlineStr">
        <is>
          <t>ACT-ST</t>
        </is>
      </c>
      <c r="S112" t="n">
        <v>46211</v>
      </c>
    </row>
    <row r="113" ht="36" customHeight="1">
      <c r="A113" t="inlineStr">
        <is>
          <t>64db41a3-2f37-40b7-85d3-777b47aa65ff</t>
        </is>
      </c>
      <c r="B113" t="inlineStr">
        <is>
          <t>02/19240</t>
        </is>
      </c>
      <c r="C113" s="162" t="n">
        <v>45840</v>
      </c>
      <c r="D113" t="inlineStr">
        <is>
          <t>Australia Post</t>
        </is>
      </c>
      <c r="E113" t="inlineStr">
        <is>
          <t>ACCPAY</t>
        </is>
      </c>
      <c r="F113" t="inlineStr">
        <is>
          <t>PAID</t>
        </is>
      </c>
      <c r="G113" t="n">
        <v>1010.82</v>
      </c>
      <c r="H113" t="n">
        <v>1.08</v>
      </c>
      <c r="I113" t="n">
        <v>1011.9</v>
      </c>
      <c r="J113" t="n">
        <v>1011.9</v>
      </c>
      <c r="K113" t="n">
        <v>0</v>
      </c>
      <c r="L113" t="n">
        <v>1011.9</v>
      </c>
      <c r="M113">
        <f>IF(OR(F113="VOIDED",F113="DELETED"),0,J113-L113)</f>
        <v/>
      </c>
      <c r="N113" t="inlineStr">
        <is>
          <t>Yes</t>
        </is>
      </c>
      <c r="O113" t="inlineStr">
        <is>
          <t>Goods-tagged</t>
        </is>
      </c>
      <c r="P113" t="inlineStr">
        <is>
          <t>. / .</t>
        </is>
      </c>
      <c r="Q113" t="inlineStr">
        <is>
          <t>xero_tracking</t>
        </is>
      </c>
      <c r="R113" t="inlineStr">
        <is>
          <t>ACT-ST</t>
        </is>
      </c>
      <c r="S113" t="n">
        <v>46211</v>
      </c>
    </row>
    <row r="114" ht="36" customHeight="1">
      <c r="A114" t="inlineStr">
        <is>
          <t>3176b138-0fee-4c10-9c9c-e9446d95c455</t>
        </is>
      </c>
      <c r="B114" t="inlineStr">
        <is>
          <t>15193</t>
        </is>
      </c>
      <c r="C114" s="162" t="n">
        <v>45840</v>
      </c>
      <c r="D114" t="inlineStr">
        <is>
          <t>Devils Marbles Hotel</t>
        </is>
      </c>
      <c r="E114" t="inlineStr">
        <is>
          <t>ACCPAY</t>
        </is>
      </c>
      <c r="F114" t="inlineStr">
        <is>
          <t>AUTHORISED</t>
        </is>
      </c>
      <c r="G114" t="n">
        <v>63.75</v>
      </c>
      <c r="H114" t="n">
        <v>0</v>
      </c>
      <c r="I114" t="n">
        <v>63.75</v>
      </c>
      <c r="J114" t="n">
        <v>0</v>
      </c>
      <c r="K114" t="n">
        <v>63.75</v>
      </c>
      <c r="L114" t="n">
        <v>0</v>
      </c>
      <c r="M114">
        <f>IF(OR(F114="VOIDED",F114="DELETED"),0,J114-L114)</f>
        <v/>
      </c>
      <c r="N114" t="inlineStr">
        <is>
          <t>Yes</t>
        </is>
      </c>
      <c r="O114" t="inlineStr">
        <is>
          <t>Goods-tagged</t>
        </is>
      </c>
      <c r="P114" t="inlineStr">
        <is>
          <t>.</t>
        </is>
      </c>
      <c r="Q114" t="inlineStr">
        <is>
          <t>xero_tracking</t>
        </is>
      </c>
      <c r="R114" t="inlineStr">
        <is>
          <t>ACT-ST</t>
        </is>
      </c>
      <c r="S114" t="n">
        <v>46211</v>
      </c>
    </row>
    <row r="115" ht="36" customHeight="1">
      <c r="A115" t="inlineStr">
        <is>
          <t>ca7a0905-234b-4737-9fa0-6f1694ea1fd1</t>
        </is>
      </c>
      <c r="B115" t="inlineStr">
        <is>
          <t>2729</t>
        </is>
      </c>
      <c r="C115" s="162" t="n">
        <v>45840</v>
      </c>
      <c r="D115" t="inlineStr">
        <is>
          <t>Ti Tree Roadhouse</t>
        </is>
      </c>
      <c r="E115" t="inlineStr">
        <is>
          <t>ACCPAY</t>
        </is>
      </c>
      <c r="F115" t="inlineStr">
        <is>
          <t>PAID</t>
        </is>
      </c>
      <c r="G115" t="n">
        <v>61.04</v>
      </c>
      <c r="H115" t="n">
        <v>6.1</v>
      </c>
      <c r="I115" t="n">
        <v>67.14</v>
      </c>
      <c r="J115" t="n">
        <v>67.14</v>
      </c>
      <c r="K115" t="n">
        <v>0</v>
      </c>
      <c r="L115" t="n">
        <v>67.14</v>
      </c>
      <c r="M115">
        <f>IF(OR(F115="VOIDED",F115="DELETED"),0,J115-L115)</f>
        <v/>
      </c>
      <c r="N115" t="inlineStr">
        <is>
          <t>Yes</t>
        </is>
      </c>
      <c r="O115" t="inlineStr">
        <is>
          <t>Goods-tagged</t>
        </is>
      </c>
      <c r="P115" t="inlineStr">
        <is>
          <t>.</t>
        </is>
      </c>
      <c r="Q115" t="inlineStr">
        <is>
          <t>xero_tracking</t>
        </is>
      </c>
      <c r="R115" t="inlineStr">
        <is>
          <t>ACT-ST</t>
        </is>
      </c>
      <c r="S115" t="n">
        <v>46211</v>
      </c>
    </row>
    <row r="116" ht="36" customHeight="1">
      <c r="A116" t="inlineStr">
        <is>
          <t>58582329-d207-40a7-b2ee-ca4d947cafa2</t>
        </is>
      </c>
      <c r="B116" t="inlineStr">
        <is>
          <t>342190</t>
        </is>
      </c>
      <c r="C116" s="162" t="n">
        <v>45840</v>
      </c>
      <c r="D116" t="inlineStr">
        <is>
          <t>Lone Star Service</t>
        </is>
      </c>
      <c r="E116" t="inlineStr">
        <is>
          <t>ACCPAY</t>
        </is>
      </c>
      <c r="F116" t="inlineStr">
        <is>
          <t>PAID</t>
        </is>
      </c>
      <c r="G116" t="n">
        <v>387.95</v>
      </c>
      <c r="H116" t="n">
        <v>38.8</v>
      </c>
      <c r="I116" t="n">
        <v>426.75</v>
      </c>
      <c r="J116" t="n">
        <v>426.75</v>
      </c>
      <c r="K116" t="n">
        <v>0</v>
      </c>
      <c r="L116" t="n">
        <v>426.75</v>
      </c>
      <c r="M116">
        <f>IF(OR(F116="VOIDED",F116="DELETED"),0,J116-L116)</f>
        <v/>
      </c>
      <c r="N116" t="inlineStr">
        <is>
          <t>Yes</t>
        </is>
      </c>
      <c r="O116" t="inlineStr">
        <is>
          <t>Goods-tagged</t>
        </is>
      </c>
      <c r="P116" t="inlineStr">
        <is>
          <t>.</t>
        </is>
      </c>
      <c r="Q116" t="inlineStr">
        <is>
          <t>xero_tracking</t>
        </is>
      </c>
      <c r="R116" t="inlineStr">
        <is>
          <t>ACT-ST</t>
        </is>
      </c>
      <c r="S116" t="n">
        <v>46211</v>
      </c>
    </row>
    <row r="117" ht="36" customHeight="1">
      <c r="A117" t="inlineStr">
        <is>
          <t>5d73354b-ec72-401b-9e50-abb66876eae4</t>
        </is>
      </c>
      <c r="B117" t="inlineStr">
        <is>
          <t>515487</t>
        </is>
      </c>
      <c r="C117" s="162" t="n">
        <v>45840</v>
      </c>
      <c r="D117" t="inlineStr">
        <is>
          <t>BP Complex Tennant Creek</t>
        </is>
      </c>
      <c r="E117" t="inlineStr">
        <is>
          <t>ACCPAY</t>
        </is>
      </c>
      <c r="F117" t="inlineStr">
        <is>
          <t>PAID</t>
        </is>
      </c>
      <c r="G117" t="n">
        <v>87.16</v>
      </c>
      <c r="H117" t="n">
        <v>8.76</v>
      </c>
      <c r="I117" t="n">
        <v>95.92</v>
      </c>
      <c r="J117" t="n">
        <v>95.92</v>
      </c>
      <c r="K117" t="n">
        <v>0</v>
      </c>
      <c r="L117" t="n">
        <v>95.92</v>
      </c>
      <c r="M117">
        <f>IF(OR(F117="VOIDED",F117="DELETED"),0,J117-L117)</f>
        <v/>
      </c>
      <c r="N117" t="inlineStr">
        <is>
          <t>Yes</t>
        </is>
      </c>
      <c r="O117" t="inlineStr">
        <is>
          <t>Goods-tagged</t>
        </is>
      </c>
      <c r="P117" t="inlineStr">
        <is>
          <t>.</t>
        </is>
      </c>
      <c r="Q117" t="inlineStr">
        <is>
          <t>xero_tracking</t>
        </is>
      </c>
      <c r="R117" t="inlineStr">
        <is>
          <t>ACT-ST</t>
        </is>
      </c>
      <c r="S117" t="n">
        <v>46211</v>
      </c>
    </row>
    <row r="118" ht="36" customHeight="1">
      <c r="A118" t="inlineStr">
        <is>
          <t>5384a935-3d8e-4663-bfef-51c8bc1d7ede</t>
        </is>
      </c>
      <c r="B118" t="inlineStr">
        <is>
          <t>582T</t>
        </is>
      </c>
      <c r="C118" s="162" t="n">
        <v>45840</v>
      </c>
      <c r="D118" t="inlineStr">
        <is>
          <t>Bay Leaf Cafe</t>
        </is>
      </c>
      <c r="E118" t="inlineStr">
        <is>
          <t>ACCPAY</t>
        </is>
      </c>
      <c r="F118" t="inlineStr">
        <is>
          <t>PAID</t>
        </is>
      </c>
      <c r="G118" t="n">
        <v>31</v>
      </c>
      <c r="H118" t="n">
        <v>0</v>
      </c>
      <c r="I118" t="n">
        <v>31</v>
      </c>
      <c r="J118" t="n">
        <v>31</v>
      </c>
      <c r="K118" t="n">
        <v>0</v>
      </c>
      <c r="L118" t="n">
        <v>31</v>
      </c>
      <c r="M118">
        <f>IF(OR(F118="VOIDED",F118="DELETED"),0,J118-L118)</f>
        <v/>
      </c>
      <c r="N118" t="inlineStr">
        <is>
          <t>Yes</t>
        </is>
      </c>
      <c r="O118" t="inlineStr">
        <is>
          <t>Goods-tagged</t>
        </is>
      </c>
      <c r="P118" t="inlineStr">
        <is>
          <t>.</t>
        </is>
      </c>
      <c r="Q118" t="inlineStr">
        <is>
          <t>xero_tracking</t>
        </is>
      </c>
      <c r="R118" t="inlineStr">
        <is>
          <t>ACT-ST</t>
        </is>
      </c>
      <c r="S118" t="n">
        <v>46211</v>
      </c>
    </row>
    <row r="119" ht="36" customHeight="1">
      <c r="A119" t="inlineStr">
        <is>
          <t>0b952bb4-5a86-47d0-bc77-34e4c43b21c2</t>
        </is>
      </c>
      <c r="B119" t="inlineStr">
        <is>
          <t>597776</t>
        </is>
      </c>
      <c r="C119" s="162" t="n">
        <v>45840</v>
      </c>
      <c r="D119" t="inlineStr">
        <is>
          <t>BP</t>
        </is>
      </c>
      <c r="E119" t="inlineStr">
        <is>
          <t>ACCPAY</t>
        </is>
      </c>
      <c r="F119" t="inlineStr">
        <is>
          <t>PAID</t>
        </is>
      </c>
      <c r="G119" t="n">
        <v>34.63</v>
      </c>
      <c r="H119" t="n">
        <v>3.46</v>
      </c>
      <c r="I119" t="n">
        <v>38.09</v>
      </c>
      <c r="J119" t="n">
        <v>38.09</v>
      </c>
      <c r="K119" t="n">
        <v>0</v>
      </c>
      <c r="L119" t="n">
        <v>38.09</v>
      </c>
      <c r="M119">
        <f>IF(OR(F119="VOIDED",F119="DELETED"),0,J119-L119)</f>
        <v/>
      </c>
      <c r="N119" t="inlineStr">
        <is>
          <t>Yes</t>
        </is>
      </c>
      <c r="O119" t="inlineStr">
        <is>
          <t>Goods-tagged</t>
        </is>
      </c>
      <c r="P119" t="inlineStr">
        <is>
          <t>.</t>
        </is>
      </c>
      <c r="Q119" t="inlineStr">
        <is>
          <t>xero_tracking</t>
        </is>
      </c>
      <c r="R119" t="inlineStr">
        <is>
          <t>ACT-ST</t>
        </is>
      </c>
      <c r="S119" t="n">
        <v>46211</v>
      </c>
    </row>
    <row r="120" ht="36" customHeight="1">
      <c r="A120" t="inlineStr">
        <is>
          <t>cfeb3498-853d-4714-a9be-6702cf08aa0a</t>
        </is>
      </c>
      <c r="B120" t="inlineStr">
        <is>
          <t>111020</t>
        </is>
      </c>
      <c r="C120" s="162" t="n">
        <v>45841</v>
      </c>
      <c r="D120" t="inlineStr">
        <is>
          <t>Club Eastside</t>
        </is>
      </c>
      <c r="E120" t="inlineStr">
        <is>
          <t>ACCPAY</t>
        </is>
      </c>
      <c r="F120" t="inlineStr">
        <is>
          <t>PAID</t>
        </is>
      </c>
      <c r="G120" t="n">
        <v>56</v>
      </c>
      <c r="H120" t="n">
        <v>0</v>
      </c>
      <c r="I120" t="n">
        <v>56</v>
      </c>
      <c r="J120" t="n">
        <v>56</v>
      </c>
      <c r="K120" t="n">
        <v>0</v>
      </c>
      <c r="L120" t="n">
        <v>56</v>
      </c>
      <c r="M120">
        <f>IF(OR(F120="VOIDED",F120="DELETED"),0,J120-L120)</f>
        <v/>
      </c>
      <c r="N120" t="inlineStr">
        <is>
          <t>Yes</t>
        </is>
      </c>
      <c r="O120" t="inlineStr">
        <is>
          <t>Goods-tagged</t>
        </is>
      </c>
      <c r="P120" t="inlineStr">
        <is>
          <t>.</t>
        </is>
      </c>
      <c r="Q120" t="inlineStr">
        <is>
          <t>xero_tracking</t>
        </is>
      </c>
      <c r="R120" t="inlineStr">
        <is>
          <t>ACT-ST</t>
        </is>
      </c>
      <c r="S120" t="n">
        <v>46211</v>
      </c>
    </row>
    <row r="121" ht="36" customHeight="1">
      <c r="A121" t="inlineStr">
        <is>
          <t>498d2784-808d-4f19-b30f-7ffe153df5c0</t>
        </is>
      </c>
      <c r="B121" t="inlineStr">
        <is>
          <t>191327</t>
        </is>
      </c>
      <c r="C121" s="162" t="n">
        <v>45841</v>
      </c>
      <c r="D121" t="inlineStr">
        <is>
          <t>IGA</t>
        </is>
      </c>
      <c r="E121" t="inlineStr">
        <is>
          <t>ACCPAY</t>
        </is>
      </c>
      <c r="F121" t="inlineStr">
        <is>
          <t>PAID</t>
        </is>
      </c>
      <c r="G121" t="n">
        <v>87</v>
      </c>
      <c r="H121" t="n">
        <v>0</v>
      </c>
      <c r="I121" t="n">
        <v>87</v>
      </c>
      <c r="J121" t="n">
        <v>87</v>
      </c>
      <c r="K121" t="n">
        <v>0</v>
      </c>
      <c r="L121" t="n">
        <v>87</v>
      </c>
      <c r="M121">
        <f>IF(OR(F121="VOIDED",F121="DELETED"),0,J121-L121)</f>
        <v/>
      </c>
      <c r="N121" t="inlineStr">
        <is>
          <t>Yes</t>
        </is>
      </c>
      <c r="O121" t="inlineStr">
        <is>
          <t>Goods-tagged</t>
        </is>
      </c>
      <c r="P121" t="inlineStr">
        <is>
          <t>.</t>
        </is>
      </c>
      <c r="Q121" t="inlineStr">
        <is>
          <t>xero_tracking</t>
        </is>
      </c>
      <c r="R121" t="inlineStr">
        <is>
          <t>ACT-ST</t>
        </is>
      </c>
      <c r="S121" t="n">
        <v>46211</v>
      </c>
    </row>
    <row r="122" ht="36" customHeight="1">
      <c r="A122" t="inlineStr">
        <is>
          <t>dfc1ee31-20b4-44b3-afe3-737e2c373e1f</t>
        </is>
      </c>
      <c r="B122" t="inlineStr">
        <is>
          <t>20130</t>
        </is>
      </c>
      <c r="C122" s="162" t="n">
        <v>45841</v>
      </c>
      <c r="D122" t="inlineStr">
        <is>
          <t>News Travels</t>
        </is>
      </c>
      <c r="E122" t="inlineStr">
        <is>
          <t>ACCPAY</t>
        </is>
      </c>
      <c r="F122" t="inlineStr">
        <is>
          <t>PAID</t>
        </is>
      </c>
      <c r="G122" t="n">
        <v>9.99</v>
      </c>
      <c r="H122" t="n">
        <v>0</v>
      </c>
      <c r="I122" t="n">
        <v>9.99</v>
      </c>
      <c r="J122" t="n">
        <v>9.99</v>
      </c>
      <c r="K122" t="n">
        <v>0</v>
      </c>
      <c r="L122" t="n">
        <v>9.99</v>
      </c>
      <c r="M122">
        <f>IF(OR(F122="VOIDED",F122="DELETED"),0,J122-L122)</f>
        <v/>
      </c>
      <c r="N122" t="inlineStr">
        <is>
          <t>Yes</t>
        </is>
      </c>
      <c r="O122" t="inlineStr">
        <is>
          <t>Goods-tagged</t>
        </is>
      </c>
      <c r="P122" t="inlineStr">
        <is>
          <t>.</t>
        </is>
      </c>
      <c r="Q122" t="inlineStr">
        <is>
          <t>xero_tracking</t>
        </is>
      </c>
      <c r="R122" t="inlineStr">
        <is>
          <t>ACT-ST</t>
        </is>
      </c>
      <c r="S122" t="n">
        <v>46211</v>
      </c>
    </row>
    <row r="123" ht="36" customHeight="1">
      <c r="A123" t="inlineStr">
        <is>
          <t>bb17e063-1abc-4143-a955-4bccd4ced147</t>
        </is>
      </c>
      <c r="B123" t="inlineStr">
        <is>
          <t>403734</t>
        </is>
      </c>
      <c r="C123" s="162" t="n">
        <v>45841</v>
      </c>
      <c r="D123" t="inlineStr">
        <is>
          <t>Taxi Receipt</t>
        </is>
      </c>
      <c r="E123" t="inlineStr">
        <is>
          <t>ACCPAY</t>
        </is>
      </c>
      <c r="F123" t="inlineStr">
        <is>
          <t>AUTHORISED</t>
        </is>
      </c>
      <c r="G123" t="n">
        <v>62.58</v>
      </c>
      <c r="H123" t="n">
        <v>0.27</v>
      </c>
      <c r="I123" t="n">
        <v>62.85</v>
      </c>
      <c r="J123" t="n">
        <v>0</v>
      </c>
      <c r="K123" t="n">
        <v>62.85</v>
      </c>
      <c r="L123" t="n">
        <v>0</v>
      </c>
      <c r="M123">
        <f>IF(OR(F123="VOIDED",F123="DELETED"),0,J123-L123)</f>
        <v/>
      </c>
      <c r="N123" t="inlineStr">
        <is>
          <t>Yes</t>
        </is>
      </c>
      <c r="O123" t="inlineStr">
        <is>
          <t>Goods-tagged</t>
        </is>
      </c>
      <c r="P123" t="inlineStr">
        <is>
          <t>. / .</t>
        </is>
      </c>
      <c r="Q123" t="inlineStr">
        <is>
          <t>xero_tracking</t>
        </is>
      </c>
      <c r="R123" t="inlineStr">
        <is>
          <t>ACT-ST</t>
        </is>
      </c>
      <c r="S123" t="n">
        <v>46211</v>
      </c>
    </row>
    <row r="124" ht="36" customHeight="1">
      <c r="A124" t="inlineStr">
        <is>
          <t>34677cee-0eb3-4650-b171-3830aec84ed8</t>
        </is>
      </c>
      <c r="B124" t="inlineStr">
        <is>
          <t>45634</t>
        </is>
      </c>
      <c r="C124" s="162" t="n">
        <v>45841</v>
      </c>
      <c r="D124" t="inlineStr">
        <is>
          <t>Ampol Teppa Hill</t>
        </is>
      </c>
      <c r="E124" t="inlineStr">
        <is>
          <t>ACCPAY</t>
        </is>
      </c>
      <c r="F124" t="inlineStr">
        <is>
          <t>PAID</t>
        </is>
      </c>
      <c r="G124" t="n">
        <v>95.17</v>
      </c>
      <c r="H124" t="n">
        <v>9.52</v>
      </c>
      <c r="I124" t="n">
        <v>104.69</v>
      </c>
      <c r="J124" t="n">
        <v>104.69</v>
      </c>
      <c r="K124" t="n">
        <v>0</v>
      </c>
      <c r="L124" t="n">
        <v>104.69</v>
      </c>
      <c r="M124">
        <f>IF(OR(F124="VOIDED",F124="DELETED"),0,J124-L124)</f>
        <v/>
      </c>
      <c r="N124" t="inlineStr">
        <is>
          <t>Yes</t>
        </is>
      </c>
      <c r="O124" t="inlineStr">
        <is>
          <t>Goods-tagged</t>
        </is>
      </c>
      <c r="P124" t="inlineStr">
        <is>
          <t>.</t>
        </is>
      </c>
      <c r="Q124" t="inlineStr">
        <is>
          <t>xero_tracking</t>
        </is>
      </c>
      <c r="R124" t="inlineStr">
        <is>
          <t>ACT-ST</t>
        </is>
      </c>
      <c r="S124" t="n">
        <v>46211</v>
      </c>
    </row>
    <row r="125" ht="36" customHeight="1">
      <c r="A125" t="inlineStr">
        <is>
          <t>cfd1887d-cd9a-4877-b21f-d75b16f37e09</t>
        </is>
      </c>
      <c r="B125" t="inlineStr">
        <is>
          <t>667380</t>
        </is>
      </c>
      <c r="C125" s="162" t="n">
        <v>45841</v>
      </c>
      <c r="D125" t="inlineStr">
        <is>
          <t>Page 27</t>
        </is>
      </c>
      <c r="E125" t="inlineStr">
        <is>
          <t>ACCPAY</t>
        </is>
      </c>
      <c r="F125" t="inlineStr">
        <is>
          <t>PAID</t>
        </is>
      </c>
      <c r="G125" t="n">
        <v>12.89</v>
      </c>
      <c r="H125" t="n">
        <v>0</v>
      </c>
      <c r="I125" t="n">
        <v>12.89</v>
      </c>
      <c r="J125" t="n">
        <v>12.89</v>
      </c>
      <c r="K125" t="n">
        <v>0</v>
      </c>
      <c r="L125" t="n">
        <v>12.89</v>
      </c>
      <c r="M125">
        <f>IF(OR(F125="VOIDED",F125="DELETED"),0,J125-L125)</f>
        <v/>
      </c>
      <c r="N125" t="inlineStr">
        <is>
          <t>Yes</t>
        </is>
      </c>
      <c r="O125" t="inlineStr">
        <is>
          <t>Goods-tagged</t>
        </is>
      </c>
      <c r="P125" t="inlineStr">
        <is>
          <t>.</t>
        </is>
      </c>
      <c r="Q125" t="inlineStr">
        <is>
          <t>xero_tracking</t>
        </is>
      </c>
      <c r="R125" t="inlineStr">
        <is>
          <t>ACT-ST</t>
        </is>
      </c>
      <c r="S125" t="n">
        <v>46211</v>
      </c>
    </row>
    <row r="126" ht="36" customHeight="1">
      <c r="A126" t="inlineStr">
        <is>
          <t>611d8ed9-f6c1-47ec-9d4b-4ba61e314692</t>
        </is>
      </c>
      <c r="B126" t="inlineStr">
        <is>
          <t>671863-6</t>
        </is>
      </c>
      <c r="C126" s="162" t="n">
        <v>45842</v>
      </c>
      <c r="D126" t="inlineStr">
        <is>
          <t>Liberty Maleny</t>
        </is>
      </c>
      <c r="E126" t="inlineStr">
        <is>
          <t>ACCPAY</t>
        </is>
      </c>
      <c r="F126" t="inlineStr">
        <is>
          <t>PAID</t>
        </is>
      </c>
      <c r="G126" t="n">
        <v>98.91</v>
      </c>
      <c r="H126" t="n">
        <v>9.300000000000001</v>
      </c>
      <c r="I126" t="n">
        <v>108.21</v>
      </c>
      <c r="J126" t="n">
        <v>108.21</v>
      </c>
      <c r="K126" t="n">
        <v>0</v>
      </c>
      <c r="L126" t="n">
        <v>108.21</v>
      </c>
      <c r="M126">
        <f>IF(OR(F126="VOIDED",F126="DELETED"),0,J126-L126)</f>
        <v/>
      </c>
      <c r="N126" t="inlineStr">
        <is>
          <t>Yes</t>
        </is>
      </c>
      <c r="O126" t="inlineStr">
        <is>
          <t>Goods-tagged</t>
        </is>
      </c>
      <c r="P126" t="inlineStr">
        <is>
          <t>Fuel - Diesel / Fuel - Diesel</t>
        </is>
      </c>
      <c r="Q126" t="inlineStr">
        <is>
          <t>xero_tracking</t>
        </is>
      </c>
      <c r="R126" t="inlineStr">
        <is>
          <t>ACT-ST</t>
        </is>
      </c>
      <c r="S126" t="n">
        <v>46211</v>
      </c>
    </row>
    <row r="127" ht="36" customHeight="1">
      <c r="A127" t="inlineStr">
        <is>
          <t>0bd78b81-57bb-407e-b9b1-2f854c4fcc12</t>
        </is>
      </c>
      <c r="B127" t="inlineStr">
        <is>
          <t>8056/01358581</t>
        </is>
      </c>
      <c r="C127" s="162" t="n">
        <v>45843</v>
      </c>
      <c r="D127" t="inlineStr">
        <is>
          <t>Bunnings Warehouse</t>
        </is>
      </c>
      <c r="E127" t="inlineStr">
        <is>
          <t>ACCPAY</t>
        </is>
      </c>
      <c r="F127" t="inlineStr">
        <is>
          <t>PAID</t>
        </is>
      </c>
      <c r="G127" t="n">
        <v>1393.34</v>
      </c>
      <c r="H127" t="n">
        <v>139.33</v>
      </c>
      <c r="I127" t="n">
        <v>1532.67</v>
      </c>
      <c r="J127" t="n">
        <v>1532.67</v>
      </c>
      <c r="K127" t="n">
        <v>0</v>
      </c>
      <c r="L127" t="n">
        <v>1532.67</v>
      </c>
      <c r="M127">
        <f>IF(OR(F127="VOIDED",F127="DELETED"),0,J127-L127)</f>
        <v/>
      </c>
      <c r="N127" t="inlineStr">
        <is>
          <t>Yes</t>
        </is>
      </c>
      <c r="O127" t="inlineStr">
        <is>
          <t>Goods-tagged</t>
        </is>
      </c>
      <c r="P127" t="inlineStr">
        <is>
          <t>.</t>
        </is>
      </c>
      <c r="Q127" t="inlineStr">
        <is>
          <t>xero_tracking</t>
        </is>
      </c>
      <c r="R127" t="inlineStr">
        <is>
          <t>ACT-ST</t>
        </is>
      </c>
      <c r="S127" t="n">
        <v>46211</v>
      </c>
    </row>
    <row r="128" ht="36" customHeight="1">
      <c r="A128" t="inlineStr">
        <is>
          <t>0a942a30-0467-4348-8666-abedddf68b75</t>
        </is>
      </c>
      <c r="B128" t="inlineStr">
        <is>
          <t>014-28805-7313-2025-07-06</t>
        </is>
      </c>
      <c r="C128" s="162" t="n">
        <v>45844</v>
      </c>
      <c r="D128" t="inlineStr">
        <is>
          <t>Bunnings Warehouse</t>
        </is>
      </c>
      <c r="E128" t="inlineStr">
        <is>
          <t>ACCPAY</t>
        </is>
      </c>
      <c r="F128" t="inlineStr">
        <is>
          <t>PAID</t>
        </is>
      </c>
      <c r="G128" t="n">
        <v>88.64</v>
      </c>
      <c r="H128" t="n">
        <v>8.859999999999999</v>
      </c>
      <c r="I128" t="n">
        <v>97.5</v>
      </c>
      <c r="J128" t="n">
        <v>97.5</v>
      </c>
      <c r="K128" t="n">
        <v>0</v>
      </c>
      <c r="L128" t="n">
        <v>97.5</v>
      </c>
      <c r="M128">
        <f>IF(OR(F128="VOIDED",F128="DELETED"),0,J128-L128)</f>
        <v/>
      </c>
      <c r="N128" t="inlineStr">
        <is>
          <t>Yes</t>
        </is>
      </c>
      <c r="O128" t="inlineStr">
        <is>
          <t>Goods-tagged</t>
        </is>
      </c>
      <c r="P128" t="inlineStr">
        <is>
          <t>.</t>
        </is>
      </c>
      <c r="Q128" t="inlineStr">
        <is>
          <t>xero_tracking</t>
        </is>
      </c>
      <c r="R128" t="inlineStr">
        <is>
          <t>ACT-ST</t>
        </is>
      </c>
      <c r="S128" t="n">
        <v>46211</v>
      </c>
    </row>
    <row r="129" ht="36" customHeight="1">
      <c r="A129" t="inlineStr">
        <is>
          <t>16d357d5-216b-4f73-ad98-4fd1f04c4582</t>
        </is>
      </c>
      <c r="B129" t="inlineStr">
        <is>
          <t>453558</t>
        </is>
      </c>
      <c r="C129" s="162" t="n">
        <v>45844</v>
      </c>
      <c r="D129" t="inlineStr">
        <is>
          <t>Bunnings Warehouse</t>
        </is>
      </c>
      <c r="E129" t="inlineStr">
        <is>
          <t>ACCPAY</t>
        </is>
      </c>
      <c r="F129" t="inlineStr">
        <is>
          <t>PAID</t>
        </is>
      </c>
      <c r="G129" t="n">
        <v>7.25</v>
      </c>
      <c r="H129" t="n">
        <v>0.73</v>
      </c>
      <c r="I129" t="n">
        <v>7.98</v>
      </c>
      <c r="J129" t="n">
        <v>7.98</v>
      </c>
      <c r="K129" t="n">
        <v>0</v>
      </c>
      <c r="L129" t="n">
        <v>7.98</v>
      </c>
      <c r="M129">
        <f>IF(OR(F129="VOIDED",F129="DELETED"),0,J129-L129)</f>
        <v/>
      </c>
      <c r="N129" t="inlineStr">
        <is>
          <t>Yes</t>
        </is>
      </c>
      <c r="O129" t="inlineStr">
        <is>
          <t>Goods-tagged</t>
        </is>
      </c>
      <c r="P129" t="inlineStr">
        <is>
          <t>.</t>
        </is>
      </c>
      <c r="Q129" t="inlineStr">
        <is>
          <t>xero_tracking</t>
        </is>
      </c>
      <c r="R129" t="inlineStr">
        <is>
          <t>ACT-ST</t>
        </is>
      </c>
      <c r="S129" t="n">
        <v>46211</v>
      </c>
    </row>
    <row r="130" ht="36" customHeight="1">
      <c r="A130" t="inlineStr">
        <is>
          <t>55bce61f-d991-440e-a21e-0d8c9895aebe</t>
        </is>
      </c>
      <c r="B130" t="inlineStr">
        <is>
          <t>9519313051</t>
        </is>
      </c>
      <c r="C130" s="162" t="n">
        <v>45844</v>
      </c>
      <c r="D130" t="inlineStr">
        <is>
          <t>SIXT</t>
        </is>
      </c>
      <c r="E130" t="inlineStr">
        <is>
          <t>ACCPAY</t>
        </is>
      </c>
      <c r="F130" t="inlineStr">
        <is>
          <t>PAID</t>
        </is>
      </c>
      <c r="G130" t="n">
        <v>172.8</v>
      </c>
      <c r="H130" t="n">
        <v>17.28</v>
      </c>
      <c r="I130" t="n">
        <v>190.08</v>
      </c>
      <c r="J130" t="n">
        <v>190.08</v>
      </c>
      <c r="K130" t="n">
        <v>0</v>
      </c>
      <c r="L130" t="n">
        <v>190.08</v>
      </c>
      <c r="M130">
        <f>IF(OR(F130="VOIDED",F130="DELETED"),0,J130-L130)</f>
        <v/>
      </c>
      <c r="N130" t="inlineStr">
        <is>
          <t>Yes</t>
        </is>
      </c>
      <c r="O130" t="inlineStr">
        <is>
          <t>Goods-tagged</t>
        </is>
      </c>
      <c r="P130" t="inlineStr">
        <is>
          <t>.</t>
        </is>
      </c>
      <c r="Q130" t="inlineStr">
        <is>
          <t>manual</t>
        </is>
      </c>
      <c r="R130" t="inlineStr">
        <is>
          <t>ACT-ST</t>
        </is>
      </c>
      <c r="S130" t="n">
        <v>46211</v>
      </c>
    </row>
    <row r="131" ht="36" customHeight="1">
      <c r="A131" t="inlineStr">
        <is>
          <t>aeeaae47-8dd8-4d57-beb3-31efc0a5337c</t>
        </is>
      </c>
      <c r="B131" t="inlineStr">
        <is>
          <t>RB17374089490</t>
        </is>
      </c>
      <c r="C131" s="162" t="n">
        <v>45844</v>
      </c>
      <c r="D131" t="inlineStr">
        <is>
          <t>Taxi Receipt</t>
        </is>
      </c>
      <c r="E131" t="inlineStr">
        <is>
          <t>ACCPAY</t>
        </is>
      </c>
      <c r="F131" t="inlineStr">
        <is>
          <t>AUTHORISED</t>
        </is>
      </c>
      <c r="G131" t="n">
        <v>47.27</v>
      </c>
      <c r="H131" t="n">
        <v>4.73</v>
      </c>
      <c r="I131" t="n">
        <v>52</v>
      </c>
      <c r="J131" t="n">
        <v>0</v>
      </c>
      <c r="K131" t="n">
        <v>52</v>
      </c>
      <c r="L131" t="n">
        <v>0</v>
      </c>
      <c r="M131">
        <f>IF(OR(F131="VOIDED",F131="DELETED"),0,J131-L131)</f>
        <v/>
      </c>
      <c r="N131" t="inlineStr">
        <is>
          <t>Yes</t>
        </is>
      </c>
      <c r="O131" t="inlineStr">
        <is>
          <t>Goods-tagged</t>
        </is>
      </c>
      <c r="P131" t="inlineStr">
        <is>
          <t>.</t>
        </is>
      </c>
      <c r="Q131" t="inlineStr">
        <is>
          <t>xero_tracking</t>
        </is>
      </c>
      <c r="R131" t="inlineStr">
        <is>
          <t>ACT-ST</t>
        </is>
      </c>
      <c r="S131" t="n">
        <v>46211</v>
      </c>
    </row>
    <row r="132" ht="36" customHeight="1">
      <c r="A132" t="inlineStr">
        <is>
          <t>df3e0322-be69-4341-b19b-0d7b69c856b0</t>
        </is>
      </c>
      <c r="B132" t="inlineStr">
        <is>
          <t>568104</t>
        </is>
      </c>
      <c r="C132" s="162" t="n">
        <v>45845</v>
      </c>
      <c r="D132" t="inlineStr">
        <is>
          <t>Budget Petrol Mascot</t>
        </is>
      </c>
      <c r="E132" t="inlineStr">
        <is>
          <t>ACCPAY</t>
        </is>
      </c>
      <c r="F132" t="inlineStr">
        <is>
          <t>PAID</t>
        </is>
      </c>
      <c r="G132" t="n">
        <v>25.25</v>
      </c>
      <c r="H132" t="n">
        <v>2.52</v>
      </c>
      <c r="I132" t="n">
        <v>27.77</v>
      </c>
      <c r="J132" t="n">
        <v>27.77</v>
      </c>
      <c r="K132" t="n">
        <v>0</v>
      </c>
      <c r="L132" t="n">
        <v>27.77</v>
      </c>
      <c r="M132">
        <f>IF(OR(F132="VOIDED",F132="DELETED"),0,J132-L132)</f>
        <v/>
      </c>
      <c r="N132" t="inlineStr">
        <is>
          <t>Yes</t>
        </is>
      </c>
      <c r="O132" t="inlineStr">
        <is>
          <t>Goods-tagged</t>
        </is>
      </c>
      <c r="P132" t="inlineStr">
        <is>
          <t>.</t>
        </is>
      </c>
      <c r="Q132" t="inlineStr">
        <is>
          <t>xero_tracking</t>
        </is>
      </c>
      <c r="R132" t="inlineStr">
        <is>
          <t>ACT-ST</t>
        </is>
      </c>
      <c r="S132" t="n">
        <v>46211</v>
      </c>
    </row>
    <row r="133" ht="36" customHeight="1">
      <c r="A133" t="inlineStr">
        <is>
          <t>f4aca756-b3ba-4c80-9372-d6ce88ac4304</t>
        </is>
      </c>
      <c r="B133" t="inlineStr">
        <is>
          <t>000574</t>
        </is>
      </c>
      <c r="C133" s="162" t="n">
        <v>45846</v>
      </c>
      <c r="D133" t="inlineStr">
        <is>
          <t>Bunnings Warehouse</t>
        </is>
      </c>
      <c r="E133" t="inlineStr">
        <is>
          <t>ACCPAY</t>
        </is>
      </c>
      <c r="F133" t="inlineStr">
        <is>
          <t>PAID</t>
        </is>
      </c>
      <c r="G133" t="n">
        <v>94.58</v>
      </c>
      <c r="H133" t="n">
        <v>9.460000000000001</v>
      </c>
      <c r="I133" t="n">
        <v>104.04</v>
      </c>
      <c r="J133" t="n">
        <v>104.04</v>
      </c>
      <c r="K133" t="n">
        <v>0</v>
      </c>
      <c r="L133" t="n">
        <v>104.04</v>
      </c>
      <c r="M133">
        <f>IF(OR(F133="VOIDED",F133="DELETED"),0,J133-L133)</f>
        <v/>
      </c>
      <c r="N133" t="inlineStr">
        <is>
          <t>Yes</t>
        </is>
      </c>
      <c r="O133" t="inlineStr">
        <is>
          <t>Goods-tagged</t>
        </is>
      </c>
      <c r="P133" t="inlineStr">
        <is>
          <t>.</t>
        </is>
      </c>
      <c r="Q133" t="inlineStr">
        <is>
          <t>xero_tracking</t>
        </is>
      </c>
      <c r="R133" t="inlineStr">
        <is>
          <t>ACT-ST</t>
        </is>
      </c>
      <c r="S133" t="n">
        <v>46211</v>
      </c>
    </row>
    <row r="134" ht="134" customHeight="1">
      <c r="A134" t="inlineStr">
        <is>
          <t>169b41f5-a285-4a72-9cd5-481b5c00801a</t>
        </is>
      </c>
      <c r="B134" t="inlineStr">
        <is>
          <t>INV-0241</t>
        </is>
      </c>
      <c r="C134" s="162" t="n">
        <v>45846</v>
      </c>
      <c r="D134" t="inlineStr">
        <is>
          <t>Bawinanga Homelands Aboriginal Corporation</t>
        </is>
      </c>
      <c r="E134" t="inlineStr">
        <is>
          <t>ACCREC</t>
        </is>
      </c>
      <c r="F134" t="inlineStr">
        <is>
          <t>VOIDED</t>
        </is>
      </c>
      <c r="G134" t="n">
        <v>15091.01</v>
      </c>
      <c r="H134" t="n">
        <v>1509.1</v>
      </c>
      <c r="I134" t="n">
        <v>16600.11</v>
      </c>
      <c r="J134" t="n">
        <v>0</v>
      </c>
      <c r="K134" t="n">
        <v>0</v>
      </c>
      <c r="L134" t="n">
        <v>0</v>
      </c>
      <c r="M134">
        <f>IF(OR(F134="VOIDED",F134="DELETED"),0,J134-L134)</f>
        <v/>
      </c>
      <c r="N134" t="inlineStr">
        <is>
          <t>Yes</t>
        </is>
      </c>
      <c r="O134" t="inlineStr">
        <is>
          <t>Goods-tagged</t>
        </is>
      </c>
      <c r="P134" t="inlineStr">
        <is>
          <t>Goods Indestructible Washing Machine v1 / Upgrade up to 4 BHAC Speed Queen Washing Machine's to  Indestructible Washing Machine v1 - Skin, Parts and Labour / LG Giant C 20amp Single Phase Dryer or Similar Spec 10kg Commercial Dryer / Project Management, Install, Shipping, Accommodation and Travel 
- 3 days @ $900 per day 
- Travel and Accom $3200
- Shipping $1100 / TBC Other Funding (ACT to cover)</t>
        </is>
      </c>
      <c r="Q134" t="inlineStr">
        <is>
          <t>keyword_match</t>
        </is>
      </c>
      <c r="R134" t="inlineStr">
        <is>
          <t>ACT-ST</t>
        </is>
      </c>
      <c r="S134" t="n">
        <v>46211</v>
      </c>
    </row>
    <row r="135" ht="36" customHeight="1">
      <c r="A135" t="inlineStr">
        <is>
          <t>2b2db1e6-2d64-458a-b77d-23a1a8165e36</t>
        </is>
      </c>
      <c r="B135" t="inlineStr">
        <is>
          <t>INV-1233</t>
        </is>
      </c>
      <c r="C135" s="162" t="n">
        <v>45846</v>
      </c>
      <c r="D135" t="inlineStr">
        <is>
          <t>Defy Manufacturing</t>
        </is>
      </c>
      <c r="E135" t="inlineStr">
        <is>
          <t>ACCPAY</t>
        </is>
      </c>
      <c r="F135" t="inlineStr">
        <is>
          <t>PAID</t>
        </is>
      </c>
      <c r="G135" t="n">
        <v>955.92</v>
      </c>
      <c r="H135" t="n">
        <v>95.59</v>
      </c>
      <c r="I135" t="n">
        <v>1051.51</v>
      </c>
      <c r="J135" t="n">
        <v>1051.51</v>
      </c>
      <c r="K135" t="n">
        <v>0</v>
      </c>
      <c r="L135" t="n">
        <v>1051.51</v>
      </c>
      <c r="M135">
        <f>IF(OR(F135="VOIDED",F135="DELETED"),0,J135-L135)</f>
        <v/>
      </c>
      <c r="N135" t="inlineStr">
        <is>
          <t>Yes</t>
        </is>
      </c>
      <c r="O135" t="inlineStr">
        <is>
          <t>Goods-tagged</t>
        </is>
      </c>
      <c r="P135" t="inlineStr">
        <is>
          <t>.</t>
        </is>
      </c>
      <c r="Q135" t="inlineStr">
        <is>
          <t>vendor_rule</t>
        </is>
      </c>
      <c r="R135" t="inlineStr">
        <is>
          <t>ACT-ST</t>
        </is>
      </c>
      <c r="S135" t="n">
        <v>46211</v>
      </c>
    </row>
    <row r="136" ht="36" customHeight="1">
      <c r="A136" t="inlineStr">
        <is>
          <t>f80e1b68-387c-4b0b-a553-bcb0c0b941a2</t>
        </is>
      </c>
      <c r="B136" t="inlineStr">
        <is>
          <t>INV-1235</t>
        </is>
      </c>
      <c r="C136" s="162" t="n">
        <v>45846</v>
      </c>
      <c r="D136" t="inlineStr">
        <is>
          <t>Defy Manufacturing</t>
        </is>
      </c>
      <c r="E136" t="inlineStr">
        <is>
          <t>ACCPAY</t>
        </is>
      </c>
      <c r="F136" t="inlineStr">
        <is>
          <t>PAID</t>
        </is>
      </c>
      <c r="G136" t="n">
        <v>1200</v>
      </c>
      <c r="H136" t="n">
        <v>120</v>
      </c>
      <c r="I136" t="n">
        <v>1320</v>
      </c>
      <c r="J136" t="n">
        <v>1320</v>
      </c>
      <c r="K136" t="n">
        <v>0</v>
      </c>
      <c r="L136" t="n">
        <v>1320</v>
      </c>
      <c r="M136">
        <f>IF(OR(F136="VOIDED",F136="DELETED"),0,J136-L136)</f>
        <v/>
      </c>
      <c r="N136" t="inlineStr">
        <is>
          <t>Yes</t>
        </is>
      </c>
      <c r="O136" t="inlineStr">
        <is>
          <t>Goods-tagged</t>
        </is>
      </c>
      <c r="P136" t="inlineStr">
        <is>
          <t>.</t>
        </is>
      </c>
      <c r="Q136" t="inlineStr">
        <is>
          <t>vendor_rule</t>
        </is>
      </c>
      <c r="R136" t="inlineStr">
        <is>
          <t>ACT-ST</t>
        </is>
      </c>
      <c r="S136" t="n">
        <v>46211</v>
      </c>
    </row>
    <row r="137" ht="36" customHeight="1">
      <c r="A137" t="inlineStr">
        <is>
          <t>45257477-8edd-4361-a56a-f452a8813d6d</t>
        </is>
      </c>
      <c r="B137" t="inlineStr">
        <is>
          <t>INV-1236</t>
        </is>
      </c>
      <c r="C137" s="162" t="n">
        <v>45846</v>
      </c>
      <c r="D137" t="inlineStr">
        <is>
          <t>Defy Manufacturing</t>
        </is>
      </c>
      <c r="E137" t="inlineStr">
        <is>
          <t>ACCPAY</t>
        </is>
      </c>
      <c r="F137" t="inlineStr">
        <is>
          <t>PAID</t>
        </is>
      </c>
      <c r="G137" t="n">
        <v>5000</v>
      </c>
      <c r="H137" t="n">
        <v>500</v>
      </c>
      <c r="I137" t="n">
        <v>5500</v>
      </c>
      <c r="J137" t="n">
        <v>5500</v>
      </c>
      <c r="K137" t="n">
        <v>0</v>
      </c>
      <c r="L137" t="n">
        <v>5500</v>
      </c>
      <c r="M137">
        <f>IF(OR(F137="VOIDED",F137="DELETED"),0,J137-L137)</f>
        <v/>
      </c>
      <c r="N137" t="inlineStr">
        <is>
          <t>Yes</t>
        </is>
      </c>
      <c r="O137" t="inlineStr">
        <is>
          <t>Goods-tagged</t>
        </is>
      </c>
      <c r="P137" t="inlineStr">
        <is>
          <t>.</t>
        </is>
      </c>
      <c r="Q137" t="inlineStr">
        <is>
          <t>vendor_rule</t>
        </is>
      </c>
      <c r="R137" t="inlineStr">
        <is>
          <t>ACT-ST</t>
        </is>
      </c>
      <c r="S137" t="n">
        <v>46211</v>
      </c>
    </row>
    <row r="138" ht="36" customHeight="1">
      <c r="A138" t="inlineStr">
        <is>
          <t>963e8045-428c-48f6-ae84-c2378769ac62</t>
        </is>
      </c>
      <c r="B138" t="inlineStr">
        <is>
          <t>INV-1237</t>
        </is>
      </c>
      <c r="C138" s="162" t="n">
        <v>45846</v>
      </c>
      <c r="D138" t="inlineStr">
        <is>
          <t>Defy Manufacturing</t>
        </is>
      </c>
      <c r="E138" t="inlineStr">
        <is>
          <t>ACCPAY</t>
        </is>
      </c>
      <c r="F138" t="inlineStr">
        <is>
          <t>PAID</t>
        </is>
      </c>
      <c r="G138" t="n">
        <v>4800</v>
      </c>
      <c r="H138" t="n">
        <v>480</v>
      </c>
      <c r="I138" t="n">
        <v>5280</v>
      </c>
      <c r="J138" t="n">
        <v>5280</v>
      </c>
      <c r="K138" t="n">
        <v>0</v>
      </c>
      <c r="L138" t="n">
        <v>5280</v>
      </c>
      <c r="M138">
        <f>IF(OR(F138="VOIDED",F138="DELETED"),0,J138-L138)</f>
        <v/>
      </c>
      <c r="N138" t="inlineStr">
        <is>
          <t>Yes</t>
        </is>
      </c>
      <c r="O138" t="inlineStr">
        <is>
          <t>Goods-tagged</t>
        </is>
      </c>
      <c r="P138" t="inlineStr">
        <is>
          <t>.</t>
        </is>
      </c>
      <c r="Q138" t="inlineStr">
        <is>
          <t>vendor_rule</t>
        </is>
      </c>
      <c r="R138" t="inlineStr">
        <is>
          <t>ACT-ST</t>
        </is>
      </c>
      <c r="S138" t="n">
        <v>46211</v>
      </c>
    </row>
    <row r="139" ht="36" customHeight="1">
      <c r="A139" t="inlineStr">
        <is>
          <t>204d5c05-eac6-4d38-9ec6-95fa48b59978</t>
        </is>
      </c>
      <c r="B139" t="inlineStr">
        <is>
          <t>RB17394444700</t>
        </is>
      </c>
      <c r="C139" s="162" t="n">
        <v>45846</v>
      </c>
      <c r="D139" t="inlineStr">
        <is>
          <t>Sendle</t>
        </is>
      </c>
      <c r="E139" t="inlineStr">
        <is>
          <t>ACCPAY</t>
        </is>
      </c>
      <c r="F139" t="inlineStr">
        <is>
          <t>PAID</t>
        </is>
      </c>
      <c r="G139" t="n">
        <v>295.21</v>
      </c>
      <c r="H139" t="n">
        <v>29.52</v>
      </c>
      <c r="I139" t="n">
        <v>324.73</v>
      </c>
      <c r="J139" t="n">
        <v>324.73</v>
      </c>
      <c r="K139" t="n">
        <v>0</v>
      </c>
      <c r="L139" t="n">
        <v>324.73</v>
      </c>
      <c r="M139">
        <f>IF(OR(F139="VOIDED",F139="DELETED"),0,J139-L139)</f>
        <v/>
      </c>
      <c r="N139" t="inlineStr">
        <is>
          <t>Yes</t>
        </is>
      </c>
      <c r="O139" t="inlineStr">
        <is>
          <t>Goods-tagged</t>
        </is>
      </c>
      <c r="P139" t="inlineStr">
        <is>
          <t>.</t>
        </is>
      </c>
      <c r="Q139" t="inlineStr">
        <is>
          <t>vendor_rule</t>
        </is>
      </c>
      <c r="R139" t="inlineStr">
        <is>
          <t>ACT-ST</t>
        </is>
      </c>
      <c r="S139" t="n">
        <v>46211</v>
      </c>
    </row>
    <row r="140" ht="36" customHeight="1">
      <c r="A140" t="inlineStr">
        <is>
          <t>d4482778-868a-49c7-9313-c196e5d86519</t>
        </is>
      </c>
      <c r="B140" t="inlineStr">
        <is>
          <t>RB17394444790</t>
        </is>
      </c>
      <c r="C140" s="162" t="n">
        <v>45846</v>
      </c>
      <c r="D140" t="inlineStr">
        <is>
          <t>Sendle</t>
        </is>
      </c>
      <c r="E140" t="inlineStr">
        <is>
          <t>ACCPAY</t>
        </is>
      </c>
      <c r="F140" t="inlineStr">
        <is>
          <t>PAID</t>
        </is>
      </c>
      <c r="G140" t="n">
        <v>369.01</v>
      </c>
      <c r="H140" t="n">
        <v>36.9</v>
      </c>
      <c r="I140" t="n">
        <v>405.91</v>
      </c>
      <c r="J140" t="n">
        <v>405.91</v>
      </c>
      <c r="K140" t="n">
        <v>0</v>
      </c>
      <c r="L140" t="n">
        <v>405.91</v>
      </c>
      <c r="M140">
        <f>IF(OR(F140="VOIDED",F140="DELETED"),0,J140-L140)</f>
        <v/>
      </c>
      <c r="N140" t="inlineStr">
        <is>
          <t>Yes</t>
        </is>
      </c>
      <c r="O140" t="inlineStr">
        <is>
          <t>Goods-tagged</t>
        </is>
      </c>
      <c r="P140" t="inlineStr">
        <is>
          <t>.</t>
        </is>
      </c>
      <c r="Q140" t="inlineStr">
        <is>
          <t>vendor_rule</t>
        </is>
      </c>
      <c r="R140" t="inlineStr">
        <is>
          <t>ACT-ST</t>
        </is>
      </c>
      <c r="S140" t="n">
        <v>46211</v>
      </c>
    </row>
    <row r="141" ht="36" customHeight="1">
      <c r="A141" t="inlineStr">
        <is>
          <t>42222830-114f-4c56-ba68-c86da1515056</t>
        </is>
      </c>
      <c r="B141" t="inlineStr">
        <is>
          <t>18988</t>
        </is>
      </c>
      <c r="C141" s="162" t="n">
        <v>45847</v>
      </c>
      <c r="D141" t="inlineStr">
        <is>
          <t>Car Park</t>
        </is>
      </c>
      <c r="E141" t="inlineStr">
        <is>
          <t>ACCPAY</t>
        </is>
      </c>
      <c r="F141" t="inlineStr">
        <is>
          <t>PAID</t>
        </is>
      </c>
      <c r="G141" t="n">
        <v>9.27</v>
      </c>
      <c r="H141" t="n">
        <v>0.93</v>
      </c>
      <c r="I141" t="n">
        <v>10.2</v>
      </c>
      <c r="J141" t="n">
        <v>10.2</v>
      </c>
      <c r="K141" t="n">
        <v>0</v>
      </c>
      <c r="L141" t="n">
        <v>10.2</v>
      </c>
      <c r="M141">
        <f>IF(OR(F141="VOIDED",F141="DELETED"),0,J141-L141)</f>
        <v/>
      </c>
      <c r="N141" t="inlineStr">
        <is>
          <t>Yes</t>
        </is>
      </c>
      <c r="O141" t="inlineStr">
        <is>
          <t>Goods-tagged</t>
        </is>
      </c>
      <c r="P141" t="inlineStr">
        <is>
          <t>.</t>
        </is>
      </c>
      <c r="Q141" t="inlineStr">
        <is>
          <t>xero_tracking</t>
        </is>
      </c>
      <c r="R141" t="inlineStr">
        <is>
          <t>ACT-ST</t>
        </is>
      </c>
      <c r="S141" t="n">
        <v>46211</v>
      </c>
    </row>
    <row r="142" ht="36" customHeight="1">
      <c r="A142" t="inlineStr">
        <is>
          <t>dc7f8074-8204-475f-9df2-a09997e8ab5d</t>
        </is>
      </c>
      <c r="B142" t="inlineStr">
        <is>
          <t>8161/99809868</t>
        </is>
      </c>
      <c r="C142" s="162" t="n">
        <v>45847</v>
      </c>
      <c r="D142" t="inlineStr">
        <is>
          <t>Bunnings Warehouse</t>
        </is>
      </c>
      <c r="E142" t="inlineStr">
        <is>
          <t>ACCPAY</t>
        </is>
      </c>
      <c r="F142" t="inlineStr">
        <is>
          <t>PAID</t>
        </is>
      </c>
      <c r="G142" t="n">
        <v>1090.73</v>
      </c>
      <c r="H142" t="n">
        <v>109.07</v>
      </c>
      <c r="I142" t="n">
        <v>1199.8</v>
      </c>
      <c r="J142" t="n">
        <v>1199.8</v>
      </c>
      <c r="K142" t="n">
        <v>0</v>
      </c>
      <c r="L142" t="n">
        <v>1199.8</v>
      </c>
      <c r="M142">
        <f>IF(OR(F142="VOIDED",F142="DELETED"),0,J142-L142)</f>
        <v/>
      </c>
      <c r="N142" t="inlineStr">
        <is>
          <t>Yes</t>
        </is>
      </c>
      <c r="O142" t="inlineStr">
        <is>
          <t>Goods-tagged</t>
        </is>
      </c>
      <c r="P142" t="inlineStr">
        <is>
          <t>.</t>
        </is>
      </c>
      <c r="Q142" t="inlineStr">
        <is>
          <t>xero_tracking</t>
        </is>
      </c>
      <c r="R142" t="inlineStr">
        <is>
          <t>ACT-ST</t>
        </is>
      </c>
      <c r="S142" t="n">
        <v>46211</v>
      </c>
    </row>
    <row r="143" ht="36" customHeight="1">
      <c r="A143" t="inlineStr">
        <is>
          <t>84b41e9f-1a19-4b92-b847-884813725f29</t>
        </is>
      </c>
      <c r="B143" t="inlineStr">
        <is>
          <t>12472</t>
        </is>
      </c>
      <c r="C143" s="162" t="n">
        <v>45848</v>
      </c>
      <c r="D143" t="inlineStr">
        <is>
          <t>Peak Up Transport</t>
        </is>
      </c>
      <c r="E143" t="inlineStr">
        <is>
          <t>ACCPAY</t>
        </is>
      </c>
      <c r="F143" t="inlineStr">
        <is>
          <t>PAID</t>
        </is>
      </c>
      <c r="G143" t="n">
        <v>2001.26</v>
      </c>
      <c r="H143" t="n">
        <v>200.13</v>
      </c>
      <c r="I143" t="n">
        <v>2201.39</v>
      </c>
      <c r="J143" t="n">
        <v>2201.39</v>
      </c>
      <c r="K143" t="n">
        <v>0</v>
      </c>
      <c r="L143" t="n">
        <v>2201.39</v>
      </c>
      <c r="M143">
        <f>IF(OR(F143="VOIDED",F143="DELETED"),0,J143-L143)</f>
        <v/>
      </c>
      <c r="N143" t="inlineStr">
        <is>
          <t>Yes</t>
        </is>
      </c>
      <c r="O143" t="inlineStr">
        <is>
          <t>Goods-tagged</t>
        </is>
      </c>
      <c r="P143" t="inlineStr">
        <is>
          <t>.</t>
        </is>
      </c>
      <c r="Q143" t="inlineStr">
        <is>
          <t>vendor_rule</t>
        </is>
      </c>
      <c r="R143" t="inlineStr">
        <is>
          <t>ACT-ST</t>
        </is>
      </c>
      <c r="S143" t="n">
        <v>46211</v>
      </c>
    </row>
    <row r="144" ht="36" customHeight="1">
      <c r="A144" t="inlineStr">
        <is>
          <t>754af2e8-321c-4822-9e0b-e5c4da800f2a</t>
        </is>
      </c>
      <c r="B144" t="inlineStr">
        <is>
          <t>799895446</t>
        </is>
      </c>
      <c r="C144" s="162" t="n">
        <v>45848</v>
      </c>
      <c r="D144" t="inlineStr">
        <is>
          <t>The Coffee Club Mt Isa</t>
        </is>
      </c>
      <c r="E144" t="inlineStr">
        <is>
          <t>ACCPAY</t>
        </is>
      </c>
      <c r="F144" t="inlineStr">
        <is>
          <t>PAID</t>
        </is>
      </c>
      <c r="G144" t="n">
        <v>5.61</v>
      </c>
      <c r="H144" t="n">
        <v>0</v>
      </c>
      <c r="I144" t="n">
        <v>5.61</v>
      </c>
      <c r="J144" t="n">
        <v>5.61</v>
      </c>
      <c r="K144" t="n">
        <v>0</v>
      </c>
      <c r="L144" t="n">
        <v>5.61</v>
      </c>
      <c r="M144">
        <f>IF(OR(F144="VOIDED",F144="DELETED"),0,J144-L144)</f>
        <v/>
      </c>
      <c r="N144" t="inlineStr">
        <is>
          <t>Yes</t>
        </is>
      </c>
      <c r="O144" t="inlineStr">
        <is>
          <t>Goods-tagged</t>
        </is>
      </c>
      <c r="P144" t="inlineStr">
        <is>
          <t>. / .</t>
        </is>
      </c>
      <c r="Q144" t="inlineStr">
        <is>
          <t>vendor_rule</t>
        </is>
      </c>
      <c r="R144" t="inlineStr">
        <is>
          <t>ACT-ST</t>
        </is>
      </c>
      <c r="S144" t="n">
        <v>46211</v>
      </c>
    </row>
    <row r="145" ht="36" customHeight="1">
      <c r="A145" t="inlineStr">
        <is>
          <t>d46b4ecb-73cb-4378-b345-75f6de750b37</t>
        </is>
      </c>
      <c r="B145" t="inlineStr">
        <is>
          <t>IN9X5FC59</t>
        </is>
      </c>
      <c r="C145" s="162" t="n">
        <v>45848</v>
      </c>
      <c r="D145" t="inlineStr">
        <is>
          <t>GoGet Carshare</t>
        </is>
      </c>
      <c r="E145" t="inlineStr">
        <is>
          <t>ACCPAY</t>
        </is>
      </c>
      <c r="F145" t="inlineStr">
        <is>
          <t>PAID</t>
        </is>
      </c>
      <c r="G145" t="n">
        <v>144.55</v>
      </c>
      <c r="H145" t="n">
        <v>14.45</v>
      </c>
      <c r="I145" t="n">
        <v>159</v>
      </c>
      <c r="J145" t="n">
        <v>159</v>
      </c>
      <c r="K145" t="n">
        <v>0</v>
      </c>
      <c r="L145" t="n">
        <v>159</v>
      </c>
      <c r="M145">
        <f>IF(OR(F145="VOIDED",F145="DELETED"),0,J145-L145)</f>
        <v/>
      </c>
      <c r="N145" t="inlineStr">
        <is>
          <t>Yes</t>
        </is>
      </c>
      <c r="O145" t="inlineStr">
        <is>
          <t>Goods-tagged</t>
        </is>
      </c>
      <c r="P145" t="inlineStr">
        <is>
          <t>Hire van for QIC event</t>
        </is>
      </c>
      <c r="Q145" t="inlineStr">
        <is>
          <t>xero_tracking</t>
        </is>
      </c>
      <c r="R145" t="inlineStr">
        <is>
          <t>ACT-ST</t>
        </is>
      </c>
      <c r="S145" t="n">
        <v>46211</v>
      </c>
    </row>
    <row r="146" ht="36" customHeight="1">
      <c r="A146" t="inlineStr">
        <is>
          <t>aba752ba-f094-43a3-baf6-e8ffb7d572ea</t>
        </is>
      </c>
      <c r="B146" t="inlineStr">
        <is>
          <t>RB17423292610</t>
        </is>
      </c>
      <c r="C146" s="162" t="n">
        <v>45848</v>
      </c>
      <c r="D146" t="inlineStr">
        <is>
          <t>Sendle</t>
        </is>
      </c>
      <c r="E146" t="inlineStr">
        <is>
          <t>ACCPAY</t>
        </is>
      </c>
      <c r="F146" t="inlineStr">
        <is>
          <t>PAID</t>
        </is>
      </c>
      <c r="G146" t="n">
        <v>750.37</v>
      </c>
      <c r="H146" t="n">
        <v>75.04000000000001</v>
      </c>
      <c r="I146" t="n">
        <v>825.41</v>
      </c>
      <c r="J146" t="n">
        <v>825.41</v>
      </c>
      <c r="K146" t="n">
        <v>0</v>
      </c>
      <c r="L146" t="n">
        <v>825.41</v>
      </c>
      <c r="M146">
        <f>IF(OR(F146="VOIDED",F146="DELETED"),0,J146-L146)</f>
        <v/>
      </c>
      <c r="N146" t="inlineStr">
        <is>
          <t>Yes</t>
        </is>
      </c>
      <c r="O146" t="inlineStr">
        <is>
          <t>Goods-tagged</t>
        </is>
      </c>
      <c r="P146" t="inlineStr">
        <is>
          <t>.</t>
        </is>
      </c>
      <c r="Q146" t="inlineStr">
        <is>
          <t>vendor_rule</t>
        </is>
      </c>
      <c r="R146" t="inlineStr">
        <is>
          <t>ACT-ST</t>
        </is>
      </c>
      <c r="S146" t="n">
        <v>46211</v>
      </c>
    </row>
    <row r="147" ht="36" customHeight="1">
      <c r="A147" t="inlineStr">
        <is>
          <t>e924da8f-f4b9-49cf-a0f2-032a6857b1b1</t>
        </is>
      </c>
      <c r="B147" t="inlineStr">
        <is>
          <t>15305</t>
        </is>
      </c>
      <c r="C147" s="162" t="n">
        <v>45849</v>
      </c>
      <c r="D147" t="inlineStr">
        <is>
          <t>Pedders Cannington Arm</t>
        </is>
      </c>
      <c r="E147" t="inlineStr">
        <is>
          <t>ACCPAY</t>
        </is>
      </c>
      <c r="F147" t="inlineStr">
        <is>
          <t>PAID</t>
        </is>
      </c>
      <c r="G147" t="n">
        <v>3552.74</v>
      </c>
      <c r="H147" t="n">
        <v>355.26</v>
      </c>
      <c r="I147" t="n">
        <v>3908</v>
      </c>
      <c r="J147" t="n">
        <v>3908</v>
      </c>
      <c r="K147" t="n">
        <v>0</v>
      </c>
      <c r="L147" t="n">
        <v>3908</v>
      </c>
      <c r="M147">
        <f>IF(OR(F147="VOIDED",F147="DELETED"),0,J147-L147)</f>
        <v/>
      </c>
      <c r="N147" t="inlineStr">
        <is>
          <t>Yes</t>
        </is>
      </c>
      <c r="O147" t="inlineStr">
        <is>
          <t>Goods-tagged</t>
        </is>
      </c>
      <c r="P147" t="inlineStr">
        <is>
          <t>. / .</t>
        </is>
      </c>
      <c r="Q147" t="inlineStr">
        <is>
          <t>vendor_rule</t>
        </is>
      </c>
      <c r="R147" t="inlineStr">
        <is>
          <t>ACT-ST</t>
        </is>
      </c>
      <c r="S147" t="n">
        <v>46211</v>
      </c>
    </row>
    <row r="148" ht="36" customHeight="1">
      <c r="A148" t="inlineStr">
        <is>
          <t>45bb31f4-aeaf-4fc0-8be8-3790a90e4ccd</t>
        </is>
      </c>
      <c r="B148" t="inlineStr">
        <is>
          <t>800065444</t>
        </is>
      </c>
      <c r="C148" s="162" t="n">
        <v>45849</v>
      </c>
      <c r="D148" t="inlineStr">
        <is>
          <t>The Coffee Club Mt Isa</t>
        </is>
      </c>
      <c r="E148" t="inlineStr">
        <is>
          <t>ACCPAY</t>
        </is>
      </c>
      <c r="F148" t="inlineStr">
        <is>
          <t>PAID</t>
        </is>
      </c>
      <c r="G148" t="n">
        <v>6.32</v>
      </c>
      <c r="H148" t="n">
        <v>0</v>
      </c>
      <c r="I148" t="n">
        <v>6.32</v>
      </c>
      <c r="J148" t="n">
        <v>6.32</v>
      </c>
      <c r="K148" t="n">
        <v>0</v>
      </c>
      <c r="L148" t="n">
        <v>6.32</v>
      </c>
      <c r="M148">
        <f>IF(OR(F148="VOIDED",F148="DELETED"),0,J148-L148)</f>
        <v/>
      </c>
      <c r="N148" t="inlineStr">
        <is>
          <t>Yes</t>
        </is>
      </c>
      <c r="O148" t="inlineStr">
        <is>
          <t>Goods-tagged</t>
        </is>
      </c>
      <c r="P148" t="inlineStr">
        <is>
          <t>. / .</t>
        </is>
      </c>
      <c r="Q148" t="inlineStr">
        <is>
          <t>vendor_rule</t>
        </is>
      </c>
      <c r="R148" t="inlineStr">
        <is>
          <t>ACT-ST</t>
        </is>
      </c>
      <c r="S148" t="n">
        <v>46211</v>
      </c>
    </row>
    <row r="149" ht="36" customHeight="1">
      <c r="A149" t="inlineStr">
        <is>
          <t>01aa3424-12cf-49e0-8f3f-089686347926</t>
        </is>
      </c>
      <c r="B149" t="inlineStr">
        <is>
          <t>6D1D49DE4A</t>
        </is>
      </c>
      <c r="C149" s="162" t="n">
        <v>45851</v>
      </c>
      <c r="D149" t="inlineStr">
        <is>
          <t>Palm Island Motel</t>
        </is>
      </c>
      <c r="E149" t="inlineStr">
        <is>
          <t>ACCPAY</t>
        </is>
      </c>
      <c r="F149" t="inlineStr">
        <is>
          <t>PAID</t>
        </is>
      </c>
      <c r="G149" t="n">
        <v>467.27</v>
      </c>
      <c r="H149" t="n">
        <v>46.73</v>
      </c>
      <c r="I149" t="n">
        <v>514</v>
      </c>
      <c r="J149" t="n">
        <v>514</v>
      </c>
      <c r="K149" t="n">
        <v>0</v>
      </c>
      <c r="L149" t="n">
        <v>514</v>
      </c>
      <c r="M149">
        <f>IF(OR(F149="VOIDED",F149="DELETED"),0,J149-L149)</f>
        <v/>
      </c>
      <c r="N149" t="inlineStr">
        <is>
          <t>Yes</t>
        </is>
      </c>
      <c r="O149" t="inlineStr">
        <is>
          <t>Goods-tagged</t>
        </is>
      </c>
      <c r="P149" t="inlineStr">
        <is>
          <t>.</t>
        </is>
      </c>
      <c r="Q149" t="inlineStr">
        <is>
          <t>vendor_rule</t>
        </is>
      </c>
      <c r="R149" t="inlineStr">
        <is>
          <t>ACT-ST</t>
        </is>
      </c>
      <c r="S149" t="n">
        <v>46211</v>
      </c>
    </row>
    <row r="150" ht="36" customHeight="1">
      <c r="A150" t="inlineStr">
        <is>
          <t>b775f2cd-5888-41c3-993a-f98145de00ee</t>
        </is>
      </c>
      <c r="B150" t="inlineStr">
        <is>
          <t>16777</t>
        </is>
      </c>
      <c r="C150" s="162" t="n">
        <v>45852</v>
      </c>
      <c r="D150" t="inlineStr">
        <is>
          <t>Icon On Isa</t>
        </is>
      </c>
      <c r="E150" t="inlineStr">
        <is>
          <t>ACCPAY</t>
        </is>
      </c>
      <c r="F150" t="inlineStr">
        <is>
          <t>PAID</t>
        </is>
      </c>
      <c r="G150" t="n">
        <v>529.09</v>
      </c>
      <c r="H150" t="n">
        <v>52.91</v>
      </c>
      <c r="I150" t="n">
        <v>582</v>
      </c>
      <c r="J150" t="n">
        <v>582</v>
      </c>
      <c r="K150" t="n">
        <v>0</v>
      </c>
      <c r="L150" t="n">
        <v>582</v>
      </c>
      <c r="M150">
        <f>IF(OR(F150="VOIDED",F150="DELETED"),0,J150-L150)</f>
        <v/>
      </c>
      <c r="N150" t="inlineStr">
        <is>
          <t>Yes</t>
        </is>
      </c>
      <c r="O150" t="inlineStr">
        <is>
          <t>Goods-tagged</t>
        </is>
      </c>
      <c r="P150" t="inlineStr">
        <is>
          <t>.</t>
        </is>
      </c>
      <c r="Q150" t="inlineStr">
        <is>
          <t>vendor_rule</t>
        </is>
      </c>
      <c r="R150" t="inlineStr">
        <is>
          <t>ACT-ST</t>
        </is>
      </c>
      <c r="S150" t="n">
        <v>46211</v>
      </c>
    </row>
    <row r="151" ht="36" customHeight="1">
      <c r="A151" t="inlineStr">
        <is>
          <t>701f87fc-177d-4917-a51d-356ee4ca23d3</t>
        </is>
      </c>
      <c r="B151" t="inlineStr">
        <is>
          <t>RB17453773480</t>
        </is>
      </c>
      <c r="C151" s="162" t="n">
        <v>45852</v>
      </c>
      <c r="D151" t="inlineStr">
        <is>
          <t>Sendle</t>
        </is>
      </c>
      <c r="E151" t="inlineStr">
        <is>
          <t>ACCPAY</t>
        </is>
      </c>
      <c r="F151" t="inlineStr">
        <is>
          <t>PAID</t>
        </is>
      </c>
      <c r="G151" t="n">
        <v>19.02</v>
      </c>
      <c r="H151" t="n">
        <v>1.9</v>
      </c>
      <c r="I151" t="n">
        <v>20.92</v>
      </c>
      <c r="J151" t="n">
        <v>20.92</v>
      </c>
      <c r="K151" t="n">
        <v>0</v>
      </c>
      <c r="L151" t="n">
        <v>20.92</v>
      </c>
      <c r="M151">
        <f>IF(OR(F151="VOIDED",F151="DELETED"),0,J151-L151)</f>
        <v/>
      </c>
      <c r="N151" t="inlineStr">
        <is>
          <t>Yes</t>
        </is>
      </c>
      <c r="O151" t="inlineStr">
        <is>
          <t>Goods-tagged</t>
        </is>
      </c>
      <c r="P151" t="inlineStr">
        <is>
          <t>.</t>
        </is>
      </c>
      <c r="Q151" t="inlineStr">
        <is>
          <t>vendor_rule</t>
        </is>
      </c>
      <c r="R151" t="inlineStr">
        <is>
          <t>ACT-ST</t>
        </is>
      </c>
      <c r="S151" t="n">
        <v>46211</v>
      </c>
    </row>
    <row r="152" ht="36" customHeight="1">
      <c r="A152" t="inlineStr">
        <is>
          <t>0c4dad3e-f2ea-4338-a131-3355ae3afad1</t>
        </is>
      </c>
      <c r="B152" t="inlineStr">
        <is>
          <t>12475</t>
        </is>
      </c>
      <c r="C152" s="162" t="n">
        <v>45854</v>
      </c>
      <c r="D152" t="inlineStr">
        <is>
          <t>Peak Up Transport</t>
        </is>
      </c>
      <c r="E152" t="inlineStr">
        <is>
          <t>ACCPAY</t>
        </is>
      </c>
      <c r="F152" t="inlineStr">
        <is>
          <t>AUTHORISED</t>
        </is>
      </c>
      <c r="G152" t="n">
        <v>6237.73</v>
      </c>
      <c r="H152" t="n">
        <v>623.77</v>
      </c>
      <c r="I152" t="n">
        <v>6861.5</v>
      </c>
      <c r="J152" t="n">
        <v>0</v>
      </c>
      <c r="K152" t="n">
        <v>6861.5</v>
      </c>
      <c r="L152" t="n">
        <v>0</v>
      </c>
      <c r="M152">
        <f>IF(OR(F152="VOIDED",F152="DELETED"),0,J152-L152)</f>
        <v/>
      </c>
      <c r="N152" t="inlineStr">
        <is>
          <t>Yes</t>
        </is>
      </c>
      <c r="O152" t="inlineStr">
        <is>
          <t>Goods-tagged</t>
        </is>
      </c>
      <c r="P152" t="inlineStr">
        <is>
          <t>.</t>
        </is>
      </c>
      <c r="Q152" t="inlineStr">
        <is>
          <t>vendor_rule</t>
        </is>
      </c>
      <c r="R152" t="inlineStr">
        <is>
          <t>ACT-ST</t>
        </is>
      </c>
      <c r="S152" t="n">
        <v>46211</v>
      </c>
    </row>
    <row r="153" ht="36" customHeight="1">
      <c r="A153" t="inlineStr">
        <is>
          <t>83692ff2-0ac5-4f0c-98f4-3e64bdfbb82c</t>
        </is>
      </c>
      <c r="B153" t="inlineStr">
        <is>
          <t>INV-1257</t>
        </is>
      </c>
      <c r="C153" s="162" t="n">
        <v>45854</v>
      </c>
      <c r="D153" t="inlineStr">
        <is>
          <t>Defy Manufacturing</t>
        </is>
      </c>
      <c r="E153" t="inlineStr">
        <is>
          <t>ACCPAY</t>
        </is>
      </c>
      <c r="F153" t="inlineStr">
        <is>
          <t>PAID</t>
        </is>
      </c>
      <c r="G153" t="n">
        <v>5000</v>
      </c>
      <c r="H153" t="n">
        <v>500</v>
      </c>
      <c r="I153" t="n">
        <v>5500</v>
      </c>
      <c r="J153" t="n">
        <v>5500</v>
      </c>
      <c r="K153" t="n">
        <v>0</v>
      </c>
      <c r="L153" t="n">
        <v>5500</v>
      </c>
      <c r="M153">
        <f>IF(OR(F153="VOIDED",F153="DELETED"),0,J153-L153)</f>
        <v/>
      </c>
      <c r="N153" t="inlineStr">
        <is>
          <t>Yes</t>
        </is>
      </c>
      <c r="O153" t="inlineStr">
        <is>
          <t>Goods-tagged</t>
        </is>
      </c>
      <c r="P153" t="inlineStr">
        <is>
          <t>.</t>
        </is>
      </c>
      <c r="Q153" t="inlineStr">
        <is>
          <t>vendor_rule</t>
        </is>
      </c>
      <c r="R153" t="inlineStr">
        <is>
          <t>ACT-ST</t>
        </is>
      </c>
      <c r="S153" t="n">
        <v>46211</v>
      </c>
    </row>
    <row r="154" ht="36" customHeight="1">
      <c r="A154" t="inlineStr">
        <is>
          <t>11a4d75b-5f9f-40be-b981-ca3713784bf2</t>
        </is>
      </c>
      <c r="B154" t="inlineStr">
        <is>
          <t>INV-1258</t>
        </is>
      </c>
      <c r="C154" s="162" t="n">
        <v>45854</v>
      </c>
      <c r="D154" t="inlineStr">
        <is>
          <t>Defy Manufacturing</t>
        </is>
      </c>
      <c r="E154" t="inlineStr">
        <is>
          <t>ACCPAY</t>
        </is>
      </c>
      <c r="F154" t="inlineStr">
        <is>
          <t>PAID</t>
        </is>
      </c>
      <c r="G154" t="n">
        <v>6000</v>
      </c>
      <c r="H154" t="n">
        <v>600</v>
      </c>
      <c r="I154" t="n">
        <v>6600</v>
      </c>
      <c r="J154" t="n">
        <v>6600</v>
      </c>
      <c r="K154" t="n">
        <v>0</v>
      </c>
      <c r="L154" t="n">
        <v>6600</v>
      </c>
      <c r="M154">
        <f>IF(OR(F154="VOIDED",F154="DELETED"),0,J154-L154)</f>
        <v/>
      </c>
      <c r="N154" t="inlineStr">
        <is>
          <t>Yes</t>
        </is>
      </c>
      <c r="O154" t="inlineStr">
        <is>
          <t>Goods-tagged</t>
        </is>
      </c>
      <c r="P154" t="inlineStr">
        <is>
          <t>.</t>
        </is>
      </c>
      <c r="Q154" t="inlineStr">
        <is>
          <t>vendor_rule</t>
        </is>
      </c>
      <c r="R154" t="inlineStr">
        <is>
          <t>ACT-ST</t>
        </is>
      </c>
      <c r="S154" t="n">
        <v>46211</v>
      </c>
    </row>
    <row r="155" ht="36" customHeight="1">
      <c r="A155" t="inlineStr">
        <is>
          <t>d18e3e97-c7de-485c-af50-23203b9c1ebb</t>
        </is>
      </c>
      <c r="B155" t="inlineStr">
        <is>
          <t>INV-1259</t>
        </is>
      </c>
      <c r="C155" s="162" t="n">
        <v>45854</v>
      </c>
      <c r="D155" t="inlineStr">
        <is>
          <t>Defy Manufacturing</t>
        </is>
      </c>
      <c r="E155" t="inlineStr">
        <is>
          <t>ACCPAY</t>
        </is>
      </c>
      <c r="F155" t="inlineStr">
        <is>
          <t>PAID</t>
        </is>
      </c>
      <c r="G155" t="n">
        <v>1000</v>
      </c>
      <c r="H155" t="n">
        <v>100</v>
      </c>
      <c r="I155" t="n">
        <v>1100</v>
      </c>
      <c r="J155" t="n">
        <v>1100</v>
      </c>
      <c r="K155" t="n">
        <v>0</v>
      </c>
      <c r="L155" t="n">
        <v>1100</v>
      </c>
      <c r="M155">
        <f>IF(OR(F155="VOIDED",F155="DELETED"),0,J155-L155)</f>
        <v/>
      </c>
      <c r="N155" t="inlineStr">
        <is>
          <t>Yes</t>
        </is>
      </c>
      <c r="O155" t="inlineStr">
        <is>
          <t>Goods-tagged</t>
        </is>
      </c>
      <c r="P155" t="inlineStr">
        <is>
          <t>.</t>
        </is>
      </c>
      <c r="Q155" t="inlineStr">
        <is>
          <t>vendor_rule</t>
        </is>
      </c>
      <c r="R155" t="inlineStr">
        <is>
          <t>ACT-ST</t>
        </is>
      </c>
      <c r="S155" t="n">
        <v>46211</v>
      </c>
    </row>
    <row r="156" ht="36" customHeight="1">
      <c r="A156" t="inlineStr">
        <is>
          <t>44e22dd2-7479-42e5-a5e0-062cda962d86</t>
        </is>
      </c>
      <c r="B156" t="inlineStr">
        <is>
          <t>RB17555653010</t>
        </is>
      </c>
      <c r="C156" s="162" t="n">
        <v>45859</v>
      </c>
      <c r="D156" t="inlineStr">
        <is>
          <t>Sendle</t>
        </is>
      </c>
      <c r="E156" t="inlineStr">
        <is>
          <t>ACCPAY</t>
        </is>
      </c>
      <c r="F156" t="inlineStr">
        <is>
          <t>PAID</t>
        </is>
      </c>
      <c r="G156" t="n">
        <v>291.57</v>
      </c>
      <c r="H156" t="n">
        <v>29.16</v>
      </c>
      <c r="I156" t="n">
        <v>320.73</v>
      </c>
      <c r="J156" t="n">
        <v>320.73</v>
      </c>
      <c r="K156" t="n">
        <v>0</v>
      </c>
      <c r="L156" t="n">
        <v>320.73</v>
      </c>
      <c r="M156">
        <f>IF(OR(F156="VOIDED",F156="DELETED"),0,J156-L156)</f>
        <v/>
      </c>
      <c r="N156" t="inlineStr">
        <is>
          <t>Yes</t>
        </is>
      </c>
      <c r="O156" t="inlineStr">
        <is>
          <t>Goods-tagged</t>
        </is>
      </c>
      <c r="P156" t="inlineStr">
        <is>
          <t>.</t>
        </is>
      </c>
      <c r="Q156" t="inlineStr">
        <is>
          <t>vendor_rule</t>
        </is>
      </c>
      <c r="R156" t="inlineStr">
        <is>
          <t>ACT-ST</t>
        </is>
      </c>
      <c r="S156" t="n">
        <v>46211</v>
      </c>
    </row>
    <row r="157" ht="36" customHeight="1">
      <c r="A157" t="inlineStr">
        <is>
          <t>2a4b111f-ddaf-4828-b853-441ca7c2df4c</t>
        </is>
      </c>
      <c r="B157" t="inlineStr">
        <is>
          <t>INV-0253</t>
        </is>
      </c>
      <c r="C157" s="162" t="n">
        <v>45862</v>
      </c>
      <c r="D157" t="inlineStr">
        <is>
          <t>Vincent Fairfax Family Foundation</t>
        </is>
      </c>
      <c r="E157" t="inlineStr">
        <is>
          <t>ACCREC</t>
        </is>
      </c>
      <c r="F157" t="inlineStr">
        <is>
          <t>PAID</t>
        </is>
      </c>
      <c r="G157" t="n">
        <v>50000</v>
      </c>
      <c r="H157" t="n">
        <v>0</v>
      </c>
      <c r="I157" t="n">
        <v>50000</v>
      </c>
      <c r="J157" t="n">
        <v>50000</v>
      </c>
      <c r="K157" t="n">
        <v>0</v>
      </c>
      <c r="L157" t="n">
        <v>50000</v>
      </c>
      <c r="M157">
        <f>IF(OR(F157="VOIDED",F157="DELETED"),0,J157-L157)</f>
        <v/>
      </c>
      <c r="N157" t="inlineStr">
        <is>
          <t>Yes</t>
        </is>
      </c>
      <c r="O157" t="inlineStr">
        <is>
          <t>Goods-tagged</t>
        </is>
      </c>
      <c r="P157" t="inlineStr">
        <is>
          <t>Backing the Future Grant</t>
        </is>
      </c>
      <c r="Q157" t="inlineStr">
        <is>
          <t>keyword_match</t>
        </is>
      </c>
      <c r="R157" t="inlineStr">
        <is>
          <t>ACT-ST</t>
        </is>
      </c>
      <c r="S157" t="n">
        <v>46211</v>
      </c>
    </row>
    <row r="158" ht="36" customHeight="1">
      <c r="A158" t="inlineStr">
        <is>
          <t>c71af0f1-4566-4628-a35a-5eef0ec7d677</t>
        </is>
      </c>
      <c r="B158" t="inlineStr">
        <is>
          <t>12519</t>
        </is>
      </c>
      <c r="C158" s="162" t="n">
        <v>45863</v>
      </c>
      <c r="D158" t="inlineStr">
        <is>
          <t>Peak Up Transport</t>
        </is>
      </c>
      <c r="E158" t="inlineStr">
        <is>
          <t>ACCPAY</t>
        </is>
      </c>
      <c r="F158" t="inlineStr">
        <is>
          <t>AUTHORISED</t>
        </is>
      </c>
      <c r="G158" t="n">
        <v>4421.65</v>
      </c>
      <c r="H158" t="n">
        <v>442.17</v>
      </c>
      <c r="I158" t="n">
        <v>4863.82</v>
      </c>
      <c r="J158" t="n">
        <v>0</v>
      </c>
      <c r="K158" t="n">
        <v>4863.82</v>
      </c>
      <c r="L158" t="n">
        <v>0</v>
      </c>
      <c r="M158">
        <f>IF(OR(F158="VOIDED",F158="DELETED"),0,J158-L158)</f>
        <v/>
      </c>
      <c r="N158" t="inlineStr">
        <is>
          <t>Yes</t>
        </is>
      </c>
      <c r="O158" t="inlineStr">
        <is>
          <t>Goods-tagged</t>
        </is>
      </c>
      <c r="P158" t="inlineStr">
        <is>
          <t>.</t>
        </is>
      </c>
      <c r="Q158" t="inlineStr">
        <is>
          <t>vendor_rule</t>
        </is>
      </c>
      <c r="R158" t="inlineStr">
        <is>
          <t>ACT-ST</t>
        </is>
      </c>
      <c r="S158" t="n">
        <v>46211</v>
      </c>
    </row>
    <row r="159" ht="36" customHeight="1">
      <c r="A159" t="inlineStr">
        <is>
          <t>0dc429fa-ac5e-40ea-9afc-bb01dd881558</t>
        </is>
      </c>
      <c r="B159" t="inlineStr">
        <is>
          <t>002631</t>
        </is>
      </c>
      <c r="C159" s="162" t="n">
        <v>45864</v>
      </c>
      <c r="D159" t="inlineStr">
        <is>
          <t>GM Taxipay</t>
        </is>
      </c>
      <c r="E159" t="inlineStr">
        <is>
          <t>ACCPAY</t>
        </is>
      </c>
      <c r="F159" t="inlineStr">
        <is>
          <t>PAID</t>
        </is>
      </c>
      <c r="G159" t="n">
        <v>69.59</v>
      </c>
      <c r="H159" t="n">
        <v>0.3</v>
      </c>
      <c r="I159" t="n">
        <v>69.89</v>
      </c>
      <c r="J159" t="n">
        <v>69.89</v>
      </c>
      <c r="K159" t="n">
        <v>0</v>
      </c>
      <c r="L159" t="n">
        <v>69.89</v>
      </c>
      <c r="M159">
        <f>IF(OR(F159="VOIDED",F159="DELETED"),0,J159-L159)</f>
        <v/>
      </c>
      <c r="N159" t="inlineStr">
        <is>
          <t>Yes</t>
        </is>
      </c>
      <c r="O159" t="inlineStr">
        <is>
          <t>Goods-tagged</t>
        </is>
      </c>
      <c r="P159" t="inlineStr">
        <is>
          <t>. / .</t>
        </is>
      </c>
      <c r="Q159" t="inlineStr">
        <is>
          <t>xero_tracking</t>
        </is>
      </c>
      <c r="R159" t="inlineStr">
        <is>
          <t>ACT-ST</t>
        </is>
      </c>
      <c r="S159" t="n">
        <v>46211</v>
      </c>
    </row>
    <row r="160" ht="36" customHeight="1">
      <c r="A160" t="inlineStr">
        <is>
          <t>1203c7a5-808b-4c39-ab1a-a6cfcceb69f2</t>
        </is>
      </c>
      <c r="B160" t="inlineStr">
        <is>
          <t>1533-8218</t>
        </is>
      </c>
      <c r="C160" s="162" t="n">
        <v>45866</v>
      </c>
      <c r="D160" t="inlineStr">
        <is>
          <t>Peak Up Transport</t>
        </is>
      </c>
      <c r="E160" t="inlineStr">
        <is>
          <t>ACCPAY</t>
        </is>
      </c>
      <c r="F160" t="inlineStr">
        <is>
          <t>PAID</t>
        </is>
      </c>
      <c r="G160" t="n">
        <v>4532.2</v>
      </c>
      <c r="H160" t="n">
        <v>453.22</v>
      </c>
      <c r="I160" t="n">
        <v>4985.42</v>
      </c>
      <c r="J160" t="n">
        <v>4985.42</v>
      </c>
      <c r="K160" t="n">
        <v>0</v>
      </c>
      <c r="L160" t="n">
        <v>4985.42</v>
      </c>
      <c r="M160">
        <f>IF(OR(F160="VOIDED",F160="DELETED"),0,J160-L160)</f>
        <v/>
      </c>
      <c r="N160" t="inlineStr">
        <is>
          <t>Yes</t>
        </is>
      </c>
      <c r="O160" t="inlineStr">
        <is>
          <t>Goods-tagged</t>
        </is>
      </c>
      <c r="P160" t="inlineStr">
        <is>
          <t>.</t>
        </is>
      </c>
      <c r="Q160" t="inlineStr">
        <is>
          <t>vendor_rule</t>
        </is>
      </c>
      <c r="R160" t="inlineStr">
        <is>
          <t>ACT-ST</t>
        </is>
      </c>
      <c r="S160" t="n">
        <v>46211</v>
      </c>
    </row>
    <row r="161" ht="36" customHeight="1">
      <c r="A161" t="inlineStr">
        <is>
          <t>43813669-79b8-435f-a894-f33c7a14812a</t>
        </is>
      </c>
      <c r="B161" t="inlineStr">
        <is>
          <t>INV-1285</t>
        </is>
      </c>
      <c r="C161" s="162" t="n">
        <v>45867</v>
      </c>
      <c r="D161" t="inlineStr">
        <is>
          <t>Defy Manufacturing</t>
        </is>
      </c>
      <c r="E161" t="inlineStr">
        <is>
          <t>ACCPAY</t>
        </is>
      </c>
      <c r="F161" t="inlineStr">
        <is>
          <t>PAID</t>
        </is>
      </c>
      <c r="G161" t="n">
        <v>3000</v>
      </c>
      <c r="H161" t="n">
        <v>300</v>
      </c>
      <c r="I161" t="n">
        <v>3300</v>
      </c>
      <c r="J161" t="n">
        <v>3300</v>
      </c>
      <c r="K161" t="n">
        <v>0</v>
      </c>
      <c r="L161" t="n">
        <v>3300</v>
      </c>
      <c r="M161">
        <f>IF(OR(F161="VOIDED",F161="DELETED"),0,J161-L161)</f>
        <v/>
      </c>
      <c r="N161" t="inlineStr">
        <is>
          <t>Yes</t>
        </is>
      </c>
      <c r="O161" t="inlineStr">
        <is>
          <t>Goods-tagged</t>
        </is>
      </c>
      <c r="P161" t="inlineStr">
        <is>
          <t>.</t>
        </is>
      </c>
      <c r="Q161" t="inlineStr">
        <is>
          <t>vendor_rule</t>
        </is>
      </c>
      <c r="R161" t="inlineStr">
        <is>
          <t>ACT-ST</t>
        </is>
      </c>
      <c r="S161" t="n">
        <v>46211</v>
      </c>
    </row>
    <row r="162" ht="36" customHeight="1">
      <c r="A162" t="inlineStr">
        <is>
          <t>b1f297db-59f7-4516-88cc-0b019db361c2</t>
        </is>
      </c>
      <c r="B162" t="inlineStr">
        <is>
          <t>76606</t>
        </is>
      </c>
      <c r="C162" s="162" t="n">
        <v>45868</v>
      </c>
      <c r="D162" t="inlineStr">
        <is>
          <t>TAMER CORPORATION</t>
        </is>
      </c>
      <c r="E162" t="inlineStr">
        <is>
          <t>ACCPAY</t>
        </is>
      </c>
      <c r="F162" t="inlineStr">
        <is>
          <t>PAID</t>
        </is>
      </c>
      <c r="G162" t="n">
        <v>72</v>
      </c>
      <c r="H162" t="n">
        <v>0</v>
      </c>
      <c r="I162" t="n">
        <v>72</v>
      </c>
      <c r="J162" t="n">
        <v>72</v>
      </c>
      <c r="K162" t="n">
        <v>0</v>
      </c>
      <c r="L162" t="n">
        <v>72</v>
      </c>
      <c r="M162">
        <f>IF(OR(F162="VOIDED",F162="DELETED"),0,J162-L162)</f>
        <v/>
      </c>
      <c r="N162" t="inlineStr">
        <is>
          <t>Yes</t>
        </is>
      </c>
      <c r="O162" t="inlineStr">
        <is>
          <t>Goods-tagged</t>
        </is>
      </c>
      <c r="P162" t="inlineStr">
        <is>
          <t>.</t>
        </is>
      </c>
      <c r="Q162" t="inlineStr">
        <is>
          <t>xero_tracking</t>
        </is>
      </c>
      <c r="R162" t="inlineStr">
        <is>
          <t>ACT-ST</t>
        </is>
      </c>
      <c r="S162" t="n">
        <v>46211</v>
      </c>
    </row>
    <row r="163" ht="92" customHeight="1">
      <c r="A163" t="inlineStr">
        <is>
          <t>02b91095-c1df-42d0-ba6f-c7f911d119c4</t>
        </is>
      </c>
      <c r="B163" t="inlineStr">
        <is>
          <t>INV-0255</t>
        </is>
      </c>
      <c r="C163" s="162" t="n">
        <v>45868</v>
      </c>
      <c r="D163" t="inlineStr">
        <is>
          <t>Red Dust Role Models Limited</t>
        </is>
      </c>
      <c r="E163" t="inlineStr">
        <is>
          <t>ACCREC</t>
        </is>
      </c>
      <c r="F163" t="inlineStr">
        <is>
          <t>PAID</t>
        </is>
      </c>
      <c r="G163" t="n">
        <v>14500</v>
      </c>
      <c r="H163" t="n">
        <v>1450</v>
      </c>
      <c r="I163" t="n">
        <v>15950</v>
      </c>
      <c r="J163" t="n">
        <v>15950</v>
      </c>
      <c r="K163" t="n">
        <v>0</v>
      </c>
      <c r="L163" t="n">
        <v>15950</v>
      </c>
      <c r="M163">
        <f>IF(OR(F163="VOIDED",F163="DELETED"),0,J163-L163)</f>
        <v/>
      </c>
      <c r="N163" t="inlineStr">
        <is>
          <t>Yes</t>
        </is>
      </c>
      <c r="O163" t="inlineStr">
        <is>
          <t>Goods-tagged</t>
        </is>
      </c>
      <c r="P163" t="inlineStr">
        <is>
          <t>Goods Basket Bed v1 
- Raw Materials to make Double Bed
 - 16 Creates
- 100 Zip Ties
- 1x Foam Underlay
- 1x Bamboo Topper / Freight to Alice Springs</t>
        </is>
      </c>
      <c r="Q163" t="inlineStr">
        <is>
          <t>xero_tracking</t>
        </is>
      </c>
      <c r="R163" t="inlineStr">
        <is>
          <t>ACT-ST</t>
        </is>
      </c>
      <c r="S163" t="n">
        <v>46211</v>
      </c>
    </row>
    <row r="164" ht="36" customHeight="1">
      <c r="A164" t="inlineStr">
        <is>
          <t>5fc2af76-6e1c-4be0-86b2-23778d4b296b</t>
        </is>
      </c>
      <c r="B164" t="inlineStr">
        <is>
          <t>INV-1291</t>
        </is>
      </c>
      <c r="C164" s="162" t="n">
        <v>45868</v>
      </c>
      <c r="D164" t="inlineStr">
        <is>
          <t>Defy</t>
        </is>
      </c>
      <c r="E164" t="inlineStr">
        <is>
          <t>ACCPAY</t>
        </is>
      </c>
      <c r="F164" t="inlineStr">
        <is>
          <t>PAID</t>
        </is>
      </c>
      <c r="G164" t="n">
        <v>1324.7</v>
      </c>
      <c r="H164" t="n">
        <v>132.47</v>
      </c>
      <c r="I164" t="n">
        <v>1457.17</v>
      </c>
      <c r="J164" t="n">
        <v>1457.17</v>
      </c>
      <c r="K164" t="n">
        <v>0</v>
      </c>
      <c r="L164" t="n">
        <v>1457.17</v>
      </c>
      <c r="M164">
        <f>IF(OR(F164="VOIDED",F164="DELETED"),0,J164-L164)</f>
        <v/>
      </c>
      <c r="N164" t="inlineStr">
        <is>
          <t>Yes</t>
        </is>
      </c>
      <c r="O164" t="inlineStr">
        <is>
          <t>Goods-tagged</t>
        </is>
      </c>
      <c r="P164" t="inlineStr">
        <is>
          <t>.</t>
        </is>
      </c>
      <c r="Q164" t="inlineStr">
        <is>
          <t>vendor_rule</t>
        </is>
      </c>
      <c r="R164" t="inlineStr">
        <is>
          <t>ACT-ST</t>
        </is>
      </c>
      <c r="S164" t="n">
        <v>46211</v>
      </c>
    </row>
    <row r="165" ht="36" customHeight="1">
      <c r="A165" t="inlineStr">
        <is>
          <t>4ced9568-bc05-490c-b19f-2017e579dcdd</t>
        </is>
      </c>
      <c r="B165" t="inlineStr">
        <is>
          <t>BYO-25991</t>
        </is>
      </c>
      <c r="C165" s="162" t="n">
        <v>45869</v>
      </c>
      <c r="D165" t="inlineStr">
        <is>
          <t>Byo Group</t>
        </is>
      </c>
      <c r="E165" t="inlineStr">
        <is>
          <t>ACCPAY</t>
        </is>
      </c>
      <c r="F165" t="inlineStr">
        <is>
          <t>PAID</t>
        </is>
      </c>
      <c r="G165" t="n">
        <v>1136</v>
      </c>
      <c r="H165" t="n">
        <v>113.6</v>
      </c>
      <c r="I165" t="n">
        <v>1249.6</v>
      </c>
      <c r="J165" t="n">
        <v>1249.6</v>
      </c>
      <c r="K165" t="n">
        <v>0</v>
      </c>
      <c r="L165" t="n">
        <v>1249.6</v>
      </c>
      <c r="M165">
        <f>IF(OR(F165="VOIDED",F165="DELETED"),0,J165-L165)</f>
        <v/>
      </c>
      <c r="N165" t="inlineStr">
        <is>
          <t>Yes</t>
        </is>
      </c>
      <c r="O165" t="inlineStr">
        <is>
          <t>Goods-tagged</t>
        </is>
      </c>
      <c r="P165" t="inlineStr">
        <is>
          <t>.</t>
        </is>
      </c>
      <c r="Q165" t="inlineStr">
        <is>
          <t>vendor_rule</t>
        </is>
      </c>
      <c r="R165" t="inlineStr">
        <is>
          <t>ACT-ST</t>
        </is>
      </c>
      <c r="S165" t="n">
        <v>46211</v>
      </c>
    </row>
    <row r="166" ht="36" customHeight="1">
      <c r="A166" t="inlineStr">
        <is>
          <t>da144cf7-20bc-4e13-ba6b-4434988077f3</t>
        </is>
      </c>
      <c r="B166" t="inlineStr">
        <is>
          <t>AB INV 25-62</t>
        </is>
      </c>
      <c r="C166" s="162" t="n">
        <v>45870</v>
      </c>
      <c r="D166" t="inlineStr">
        <is>
          <t>Adriana Beach</t>
        </is>
      </c>
      <c r="E166" t="inlineStr">
        <is>
          <t>ACCPAY</t>
        </is>
      </c>
      <c r="F166" t="inlineStr">
        <is>
          <t>PAID</t>
        </is>
      </c>
      <c r="G166" t="n">
        <v>2000</v>
      </c>
      <c r="H166" t="n">
        <v>0</v>
      </c>
      <c r="I166" t="n">
        <v>2000</v>
      </c>
      <c r="J166" t="n">
        <v>2000</v>
      </c>
      <c r="K166" t="n">
        <v>0</v>
      </c>
      <c r="L166" t="n">
        <v>2000</v>
      </c>
      <c r="M166">
        <f>IF(OR(F166="VOIDED",F166="DELETED"),0,J166-L166)</f>
        <v/>
      </c>
      <c r="N166" t="inlineStr">
        <is>
          <t>Yes</t>
        </is>
      </c>
      <c r="O166" t="inlineStr">
        <is>
          <t>Goods-tagged</t>
        </is>
      </c>
      <c r="P166" t="inlineStr">
        <is>
          <t>.</t>
        </is>
      </c>
      <c r="Q166" t="inlineStr">
        <is>
          <t>vendor_rule</t>
        </is>
      </c>
      <c r="R166" t="inlineStr">
        <is>
          <t>ACT-ST</t>
        </is>
      </c>
      <c r="S166" t="n">
        <v>46211</v>
      </c>
    </row>
    <row r="167" ht="36" customHeight="1">
      <c r="A167" t="inlineStr">
        <is>
          <t>d33fcf1d-f984-4558-84d3-fd89f532a493</t>
        </is>
      </c>
      <c r="B167" t="inlineStr">
        <is>
          <t>BYO-26000</t>
        </is>
      </c>
      <c r="C167" s="162" t="n">
        <v>45870</v>
      </c>
      <c r="D167" t="inlineStr">
        <is>
          <t>Byo Group</t>
        </is>
      </c>
      <c r="E167" t="inlineStr">
        <is>
          <t>ACCPAY</t>
        </is>
      </c>
      <c r="F167" t="inlineStr">
        <is>
          <t>PAID</t>
        </is>
      </c>
      <c r="G167" t="n">
        <v>30</v>
      </c>
      <c r="H167" t="n">
        <v>3</v>
      </c>
      <c r="I167" t="n">
        <v>33</v>
      </c>
      <c r="J167" t="n">
        <v>33</v>
      </c>
      <c r="K167" t="n">
        <v>0</v>
      </c>
      <c r="L167" t="n">
        <v>33</v>
      </c>
      <c r="M167">
        <f>IF(OR(F167="VOIDED",F167="DELETED"),0,J167-L167)</f>
        <v/>
      </c>
      <c r="N167" t="inlineStr">
        <is>
          <t>Yes</t>
        </is>
      </c>
      <c r="O167" t="inlineStr">
        <is>
          <t>Goods-tagged</t>
        </is>
      </c>
      <c r="P167" t="inlineStr">
        <is>
          <t>.</t>
        </is>
      </c>
      <c r="Q167" t="inlineStr">
        <is>
          <t>vendor_rule</t>
        </is>
      </c>
      <c r="R167" t="inlineStr">
        <is>
          <t>ACT-ST</t>
        </is>
      </c>
      <c r="S167" t="n">
        <v>46211</v>
      </c>
    </row>
    <row r="168" ht="36" customHeight="1">
      <c r="A168" t="inlineStr">
        <is>
          <t>38fd5522-3b0f-49e6-824e-27204fe41d96</t>
        </is>
      </c>
      <c r="B168" t="inlineStr">
        <is>
          <t>INV-1293</t>
        </is>
      </c>
      <c r="C168" s="162" t="n">
        <v>45870</v>
      </c>
      <c r="D168" t="inlineStr">
        <is>
          <t>Defy Manufacturing</t>
        </is>
      </c>
      <c r="E168" t="inlineStr">
        <is>
          <t>ACCPAY</t>
        </is>
      </c>
      <c r="F168" t="inlineStr">
        <is>
          <t>PAID</t>
        </is>
      </c>
      <c r="G168" t="n">
        <v>679.4</v>
      </c>
      <c r="H168" t="n">
        <v>67.94</v>
      </c>
      <c r="I168" t="n">
        <v>747.34</v>
      </c>
      <c r="J168" t="n">
        <v>747.34</v>
      </c>
      <c r="K168" t="n">
        <v>0</v>
      </c>
      <c r="L168" t="n">
        <v>747.34</v>
      </c>
      <c r="M168">
        <f>IF(OR(F168="VOIDED",F168="DELETED"),0,J168-L168)</f>
        <v/>
      </c>
      <c r="N168" t="inlineStr">
        <is>
          <t>Yes</t>
        </is>
      </c>
      <c r="O168" t="inlineStr">
        <is>
          <t>Goods-tagged</t>
        </is>
      </c>
      <c r="P168" t="inlineStr">
        <is>
          <t>.</t>
        </is>
      </c>
      <c r="Q168" t="inlineStr">
        <is>
          <t>vendor_rule</t>
        </is>
      </c>
      <c r="R168" t="inlineStr">
        <is>
          <t>ACT-ST</t>
        </is>
      </c>
      <c r="S168" t="n">
        <v>46211</v>
      </c>
    </row>
    <row r="169" ht="36" customHeight="1">
      <c r="A169" t="inlineStr">
        <is>
          <t>7dbffe2c-1548-4a6a-93ca-c86814250723</t>
        </is>
      </c>
      <c r="B169" t="inlineStr">
        <is>
          <t>203466136-112</t>
        </is>
      </c>
      <c r="C169" s="162" t="n">
        <v>45874</v>
      </c>
      <c r="D169" t="inlineStr">
        <is>
          <t>JB Hi-Fi</t>
        </is>
      </c>
      <c r="E169" t="inlineStr">
        <is>
          <t>ACCPAY</t>
        </is>
      </c>
      <c r="F169" t="inlineStr">
        <is>
          <t>PAID</t>
        </is>
      </c>
      <c r="G169" t="n">
        <v>85.45999999999999</v>
      </c>
      <c r="H169" t="n">
        <v>8.539999999999999</v>
      </c>
      <c r="I169" t="n">
        <v>94</v>
      </c>
      <c r="J169" t="n">
        <v>94</v>
      </c>
      <c r="K169" t="n">
        <v>0</v>
      </c>
      <c r="L169" t="n">
        <v>94</v>
      </c>
      <c r="M169">
        <f>IF(OR(F169="VOIDED",F169="DELETED"),0,J169-L169)</f>
        <v/>
      </c>
      <c r="N169" t="inlineStr">
        <is>
          <t>Yes</t>
        </is>
      </c>
      <c r="O169" t="inlineStr">
        <is>
          <t>Goods-tagged</t>
        </is>
      </c>
      <c r="P169" t="inlineStr">
        <is>
          <t>. / .</t>
        </is>
      </c>
      <c r="Q169" t="inlineStr">
        <is>
          <t>xero_tracking</t>
        </is>
      </c>
      <c r="R169" t="inlineStr">
        <is>
          <t>ACT-ST</t>
        </is>
      </c>
      <c r="S169" t="n">
        <v>46211</v>
      </c>
    </row>
    <row r="170" ht="36" customHeight="1">
      <c r="A170" t="inlineStr">
        <is>
          <t>5c1d0e6b-5c87-4f76-899e-36f0b46e2277</t>
        </is>
      </c>
      <c r="B170" t="inlineStr">
        <is>
          <t>31055</t>
        </is>
      </c>
      <c r="C170" s="162" t="n">
        <v>45875</v>
      </c>
      <c r="D170" t="inlineStr">
        <is>
          <t>Grand Hotel &amp; Apartments Townsville</t>
        </is>
      </c>
      <c r="E170" t="inlineStr">
        <is>
          <t>ACCPAY</t>
        </is>
      </c>
      <c r="F170" t="inlineStr">
        <is>
          <t>AUTHORISED</t>
        </is>
      </c>
      <c r="G170" t="n">
        <v>691.13</v>
      </c>
      <c r="H170" t="n">
        <v>69.11</v>
      </c>
      <c r="I170" t="n">
        <v>760.24</v>
      </c>
      <c r="J170" t="n">
        <v>0</v>
      </c>
      <c r="K170" t="n">
        <v>760.24</v>
      </c>
      <c r="L170" t="n">
        <v>0</v>
      </c>
      <c r="M170">
        <f>IF(OR(F170="VOIDED",F170="DELETED"),0,J170-L170)</f>
        <v/>
      </c>
      <c r="N170" t="inlineStr">
        <is>
          <t>Yes</t>
        </is>
      </c>
      <c r="O170" t="inlineStr">
        <is>
          <t>Goods-tagged</t>
        </is>
      </c>
      <c r="P170" t="inlineStr">
        <is>
          <t>. / .</t>
        </is>
      </c>
      <c r="Q170" t="inlineStr">
        <is>
          <t>vendor_rule</t>
        </is>
      </c>
      <c r="R170" t="inlineStr">
        <is>
          <t>ACT-ST</t>
        </is>
      </c>
      <c r="S170" t="n">
        <v>46211</v>
      </c>
    </row>
    <row r="171" ht="36" customHeight="1">
      <c r="A171" t="inlineStr">
        <is>
          <t>2b219395-1139-47f0-9422-dc51329cd738</t>
        </is>
      </c>
      <c r="B171" t="inlineStr">
        <is>
          <t>094-88625-2320 2025-08-07</t>
        </is>
      </c>
      <c r="C171" s="162" t="n">
        <v>45876</v>
      </c>
      <c r="D171" t="inlineStr">
        <is>
          <t>Bunnings Warehouse</t>
        </is>
      </c>
      <c r="E171" t="inlineStr">
        <is>
          <t>ACCPAY</t>
        </is>
      </c>
      <c r="F171" t="inlineStr">
        <is>
          <t>PAID</t>
        </is>
      </c>
      <c r="G171" t="n">
        <v>28.18</v>
      </c>
      <c r="H171" t="n">
        <v>2.82</v>
      </c>
      <c r="I171" t="n">
        <v>31</v>
      </c>
      <c r="J171" t="n">
        <v>31</v>
      </c>
      <c r="K171" t="n">
        <v>0</v>
      </c>
      <c r="L171" t="n">
        <v>31</v>
      </c>
      <c r="M171">
        <f>IF(OR(F171="VOIDED",F171="DELETED"),0,J171-L171)</f>
        <v/>
      </c>
      <c r="N171" t="inlineStr">
        <is>
          <t>Yes</t>
        </is>
      </c>
      <c r="O171" t="inlineStr">
        <is>
          <t>Goods-tagged</t>
        </is>
      </c>
      <c r="P171" t="inlineStr">
        <is>
          <t>.</t>
        </is>
      </c>
      <c r="Q171" t="inlineStr">
        <is>
          <t>xero_tracking</t>
        </is>
      </c>
      <c r="R171" t="inlineStr">
        <is>
          <t>ACT-ST</t>
        </is>
      </c>
      <c r="S171" t="n">
        <v>46211</v>
      </c>
    </row>
    <row r="172" ht="36" customHeight="1">
      <c r="A172" t="inlineStr">
        <is>
          <t>8da71c92-5b44-425f-bc55-f7d7e6aefb19</t>
        </is>
      </c>
      <c r="B172" t="inlineStr">
        <is>
          <t>10968</t>
        </is>
      </c>
      <c r="C172" s="162" t="n">
        <v>45876</v>
      </c>
      <c r="D172" t="inlineStr">
        <is>
          <t>The Leea Darwin</t>
        </is>
      </c>
      <c r="E172" t="inlineStr">
        <is>
          <t>ACCPAY</t>
        </is>
      </c>
      <c r="F172" t="inlineStr">
        <is>
          <t>PAID</t>
        </is>
      </c>
      <c r="G172" t="n">
        <v>38.57</v>
      </c>
      <c r="H172" t="n">
        <v>0</v>
      </c>
      <c r="I172" t="n">
        <v>38.57</v>
      </c>
      <c r="J172" t="n">
        <v>38.57</v>
      </c>
      <c r="K172" t="n">
        <v>0</v>
      </c>
      <c r="L172" t="n">
        <v>38.57</v>
      </c>
      <c r="M172">
        <f>IF(OR(F172="VOIDED",F172="DELETED"),0,J172-L172)</f>
        <v/>
      </c>
      <c r="N172" t="inlineStr">
        <is>
          <t>Yes</t>
        </is>
      </c>
      <c r="O172" t="inlineStr">
        <is>
          <t>Goods-tagged</t>
        </is>
      </c>
      <c r="P172" t="inlineStr">
        <is>
          <t>. / .</t>
        </is>
      </c>
      <c r="Q172" t="inlineStr">
        <is>
          <t>xero_tracking</t>
        </is>
      </c>
      <c r="R172" t="inlineStr">
        <is>
          <t>ACT-ST</t>
        </is>
      </c>
      <c r="S172" t="n">
        <v>46211</v>
      </c>
    </row>
    <row r="173" ht="36" customHeight="1">
      <c r="A173" t="inlineStr">
        <is>
          <t>722ae115-b6ec-43b8-8340-383619ae47f9</t>
        </is>
      </c>
      <c r="B173" t="inlineStr">
        <is>
          <t>TXnM</t>
        </is>
      </c>
      <c r="C173" s="162" t="n">
        <v>45876</v>
      </c>
      <c r="D173" t="inlineStr">
        <is>
          <t>Fat Tuna Darwin</t>
        </is>
      </c>
      <c r="E173" t="inlineStr">
        <is>
          <t>ACCPAY</t>
        </is>
      </c>
      <c r="F173" t="inlineStr">
        <is>
          <t>PAID</t>
        </is>
      </c>
      <c r="G173" t="n">
        <v>51.8</v>
      </c>
      <c r="H173" t="n">
        <v>0</v>
      </c>
      <c r="I173" t="n">
        <v>51.8</v>
      </c>
      <c r="J173" t="n">
        <v>51.8</v>
      </c>
      <c r="K173" t="n">
        <v>0</v>
      </c>
      <c r="L173" t="n">
        <v>51.8</v>
      </c>
      <c r="M173">
        <f>IF(OR(F173="VOIDED",F173="DELETED"),0,J173-L173)</f>
        <v/>
      </c>
      <c r="N173" t="inlineStr">
        <is>
          <t>Yes</t>
        </is>
      </c>
      <c r="O173" t="inlineStr">
        <is>
          <t>Goods-tagged</t>
        </is>
      </c>
      <c r="P173" t="inlineStr">
        <is>
          <t>.</t>
        </is>
      </c>
      <c r="Q173" t="inlineStr">
        <is>
          <t>xero_tracking</t>
        </is>
      </c>
      <c r="R173" t="inlineStr">
        <is>
          <t>ACT-ST</t>
        </is>
      </c>
      <c r="S173" t="n">
        <v>46211</v>
      </c>
    </row>
    <row r="174" ht="36" customHeight="1">
      <c r="A174" t="inlineStr">
        <is>
          <t>7861c26a-d5f8-4aba-95ac-edfc11c0396c</t>
        </is>
      </c>
      <c r="B174" t="inlineStr">
        <is>
          <t>rnrH</t>
        </is>
      </c>
      <c r="C174" s="162" t="n">
        <v>45876</v>
      </c>
      <c r="D174" t="inlineStr">
        <is>
          <t>The1995</t>
        </is>
      </c>
      <c r="E174" t="inlineStr">
        <is>
          <t>ACCPAY</t>
        </is>
      </c>
      <c r="F174" t="inlineStr">
        <is>
          <t>PAID</t>
        </is>
      </c>
      <c r="G174" t="n">
        <v>6.1</v>
      </c>
      <c r="H174" t="n">
        <v>0</v>
      </c>
      <c r="I174" t="n">
        <v>6.1</v>
      </c>
      <c r="J174" t="n">
        <v>6.1</v>
      </c>
      <c r="K174" t="n">
        <v>0</v>
      </c>
      <c r="L174" t="n">
        <v>6.1</v>
      </c>
      <c r="M174">
        <f>IF(OR(F174="VOIDED",F174="DELETED"),0,J174-L174)</f>
        <v/>
      </c>
      <c r="N174" t="inlineStr">
        <is>
          <t>Yes</t>
        </is>
      </c>
      <c r="O174" t="inlineStr">
        <is>
          <t>Goods-tagged</t>
        </is>
      </c>
      <c r="P174" t="inlineStr">
        <is>
          <t>.</t>
        </is>
      </c>
      <c r="Q174" t="inlineStr">
        <is>
          <t>xero_tracking</t>
        </is>
      </c>
      <c r="R174" t="inlineStr">
        <is>
          <t>ACT-ST</t>
        </is>
      </c>
      <c r="S174" t="n">
        <v>46211</v>
      </c>
    </row>
    <row r="175" ht="36" customHeight="1">
      <c r="A175" t="inlineStr">
        <is>
          <t>425d2725-5e0d-4385-960d-def04a14a389</t>
        </is>
      </c>
      <c r="B175" t="inlineStr">
        <is>
          <t>5951</t>
        </is>
      </c>
      <c r="C175" s="162" t="n">
        <v>45877</v>
      </c>
      <c r="D175" t="inlineStr">
        <is>
          <t>Woolworths</t>
        </is>
      </c>
      <c r="E175" t="inlineStr">
        <is>
          <t>ACCPAY</t>
        </is>
      </c>
      <c r="F175" t="inlineStr">
        <is>
          <t>PAID</t>
        </is>
      </c>
      <c r="G175" t="n">
        <v>26.95</v>
      </c>
      <c r="H175" t="n">
        <v>0</v>
      </c>
      <c r="I175" t="n">
        <v>26.95</v>
      </c>
      <c r="J175" t="n">
        <v>26.95</v>
      </c>
      <c r="K175" t="n">
        <v>0</v>
      </c>
      <c r="L175" t="n">
        <v>26.95</v>
      </c>
      <c r="M175">
        <f>IF(OR(F175="VOIDED",F175="DELETED"),0,J175-L175)</f>
        <v/>
      </c>
      <c r="N175" t="inlineStr">
        <is>
          <t>Yes</t>
        </is>
      </c>
      <c r="O175" t="inlineStr">
        <is>
          <t>Goods-tagged</t>
        </is>
      </c>
      <c r="P175" t="inlineStr">
        <is>
          <t>.</t>
        </is>
      </c>
      <c r="Q175" t="inlineStr">
        <is>
          <t>xero_tracking</t>
        </is>
      </c>
      <c r="R175" t="inlineStr">
        <is>
          <t>ACT-ST</t>
        </is>
      </c>
      <c r="S175" t="n">
        <v>46211</v>
      </c>
    </row>
    <row r="176" ht="36" customHeight="1">
      <c r="A176" t="inlineStr">
        <is>
          <t>b3108194-e619-420d-a7af-cf42daa64849</t>
        </is>
      </c>
      <c r="B176" t="inlineStr">
        <is>
          <t>6007</t>
        </is>
      </c>
      <c r="C176" s="162" t="n">
        <v>45877</v>
      </c>
      <c r="D176" t="inlineStr">
        <is>
          <t>Woolworths</t>
        </is>
      </c>
      <c r="E176" t="inlineStr">
        <is>
          <t>ACCPAY</t>
        </is>
      </c>
      <c r="F176" t="inlineStr">
        <is>
          <t>PAID</t>
        </is>
      </c>
      <c r="G176" t="n">
        <v>38.95</v>
      </c>
      <c r="H176" t="n">
        <v>0</v>
      </c>
      <c r="I176" t="n">
        <v>38.95</v>
      </c>
      <c r="J176" t="n">
        <v>38.95</v>
      </c>
      <c r="K176" t="n">
        <v>0</v>
      </c>
      <c r="L176" t="n">
        <v>38.95</v>
      </c>
      <c r="M176">
        <f>IF(OR(F176="VOIDED",F176="DELETED"),0,J176-L176)</f>
        <v/>
      </c>
      <c r="N176" t="inlineStr">
        <is>
          <t>Yes</t>
        </is>
      </c>
      <c r="O176" t="inlineStr">
        <is>
          <t>Goods-tagged</t>
        </is>
      </c>
      <c r="P176" t="inlineStr">
        <is>
          <t>. / .</t>
        </is>
      </c>
      <c r="Q176" t="inlineStr">
        <is>
          <t>xero_tracking</t>
        </is>
      </c>
      <c r="R176" t="inlineStr">
        <is>
          <t>ACT-ST</t>
        </is>
      </c>
      <c r="S176" t="n">
        <v>46211</v>
      </c>
    </row>
    <row r="177" ht="36" customHeight="1">
      <c r="A177" t="inlineStr">
        <is>
          <t>2568cadc-479f-4516-8af2-9b76b4e1a2a6</t>
        </is>
      </c>
      <c r="B177" t="inlineStr">
        <is>
          <t>9337801001282063</t>
        </is>
      </c>
      <c r="C177" s="162" t="n">
        <v>45877</v>
      </c>
      <c r="D177" t="inlineStr">
        <is>
          <t>Officeworks</t>
        </is>
      </c>
      <c r="E177" t="inlineStr">
        <is>
          <t>ACCPAY</t>
        </is>
      </c>
      <c r="F177" t="inlineStr">
        <is>
          <t>PAID</t>
        </is>
      </c>
      <c r="G177" t="n">
        <v>31.82</v>
      </c>
      <c r="H177" t="n">
        <v>3.18</v>
      </c>
      <c r="I177" t="n">
        <v>35</v>
      </c>
      <c r="J177" t="n">
        <v>35</v>
      </c>
      <c r="K177" t="n">
        <v>0</v>
      </c>
      <c r="L177" t="n">
        <v>35</v>
      </c>
      <c r="M177">
        <f>IF(OR(F177="VOIDED",F177="DELETED"),0,J177-L177)</f>
        <v/>
      </c>
      <c r="N177" t="inlineStr">
        <is>
          <t>Yes</t>
        </is>
      </c>
      <c r="O177" t="inlineStr">
        <is>
          <t>Goods-tagged</t>
        </is>
      </c>
      <c r="P177" t="inlineStr">
        <is>
          <t>.</t>
        </is>
      </c>
      <c r="Q177" t="inlineStr">
        <is>
          <t>xero_tracking</t>
        </is>
      </c>
      <c r="R177" t="inlineStr">
        <is>
          <t>ACT-ST</t>
        </is>
      </c>
      <c r="S177" t="n">
        <v>46211</v>
      </c>
    </row>
    <row r="178" ht="36" customHeight="1">
      <c r="A178" t="inlineStr">
        <is>
          <t>c597dc5c-a717-49d9-8bed-969f64c0e341</t>
        </is>
      </c>
      <c r="B178" t="inlineStr">
        <is>
          <t>RB17712741360</t>
        </is>
      </c>
      <c r="C178" s="162" t="n">
        <v>45877</v>
      </c>
      <c r="D178" t="inlineStr">
        <is>
          <t>McDonald's</t>
        </is>
      </c>
      <c r="E178" t="inlineStr">
        <is>
          <t>ACCPAY</t>
        </is>
      </c>
      <c r="F178" t="inlineStr">
        <is>
          <t>PAID</t>
        </is>
      </c>
      <c r="G178" t="n">
        <v>5.05</v>
      </c>
      <c r="H178" t="n">
        <v>0</v>
      </c>
      <c r="I178" t="n">
        <v>5.05</v>
      </c>
      <c r="J178" t="n">
        <v>5.05</v>
      </c>
      <c r="K178" t="n">
        <v>0</v>
      </c>
      <c r="L178" t="n">
        <v>5.05</v>
      </c>
      <c r="M178">
        <f>IF(OR(F178="VOIDED",F178="DELETED"),0,J178-L178)</f>
        <v/>
      </c>
      <c r="N178" t="inlineStr">
        <is>
          <t>Yes</t>
        </is>
      </c>
      <c r="O178" t="inlineStr">
        <is>
          <t>Goods-tagged</t>
        </is>
      </c>
      <c r="P178" t="inlineStr">
        <is>
          <t>.</t>
        </is>
      </c>
      <c r="Q178" t="inlineStr">
        <is>
          <t>xero_tracking</t>
        </is>
      </c>
      <c r="R178" t="inlineStr">
        <is>
          <t>ACT-ST</t>
        </is>
      </c>
      <c r="S178" t="n">
        <v>46211</v>
      </c>
    </row>
    <row r="179" ht="36" customHeight="1">
      <c r="A179" t="inlineStr">
        <is>
          <t>8b835578-848a-4947-aaef-50606810543f</t>
        </is>
      </c>
      <c r="B179" t="inlineStr">
        <is>
          <t>SP-104 0808010126</t>
        </is>
      </c>
      <c r="C179" s="162" t="n">
        <v>45877</v>
      </c>
      <c r="D179" t="inlineStr">
        <is>
          <t>Laneway Coffee</t>
        </is>
      </c>
      <c r="E179" t="inlineStr">
        <is>
          <t>ACCPAY</t>
        </is>
      </c>
      <c r="F179" t="inlineStr">
        <is>
          <t>PAID</t>
        </is>
      </c>
      <c r="G179" t="n">
        <v>32.9</v>
      </c>
      <c r="H179" t="n">
        <v>0</v>
      </c>
      <c r="I179" t="n">
        <v>32.9</v>
      </c>
      <c r="J179" t="n">
        <v>32.9</v>
      </c>
      <c r="K179" t="n">
        <v>0</v>
      </c>
      <c r="L179" t="n">
        <v>32.9</v>
      </c>
      <c r="M179">
        <f>IF(OR(F179="VOIDED",F179="DELETED"),0,J179-L179)</f>
        <v/>
      </c>
      <c r="N179" t="inlineStr">
        <is>
          <t>Yes</t>
        </is>
      </c>
      <c r="O179" t="inlineStr">
        <is>
          <t>Goods-tagged</t>
        </is>
      </c>
      <c r="P179" t="inlineStr">
        <is>
          <t>. / .</t>
        </is>
      </c>
      <c r="Q179" t="inlineStr">
        <is>
          <t>xero_tracking</t>
        </is>
      </c>
      <c r="R179" t="inlineStr">
        <is>
          <t>ACT-ST</t>
        </is>
      </c>
      <c r="S179" t="n">
        <v>46211</v>
      </c>
    </row>
    <row r="180" ht="36" customHeight="1">
      <c r="A180" t="inlineStr">
        <is>
          <t>f1ab7cb9-3a3c-452f-805e-7c7330e9a862</t>
        </is>
      </c>
      <c r="B180" t="inlineStr">
        <is>
          <t>HH8v</t>
        </is>
      </c>
      <c r="C180" s="162" t="n">
        <v>45878</v>
      </c>
      <c r="D180" t="inlineStr">
        <is>
          <t>Rocket Cafe And Blast Coffee Roasters</t>
        </is>
      </c>
      <c r="E180" t="inlineStr">
        <is>
          <t>ACCPAY</t>
        </is>
      </c>
      <c r="F180" t="inlineStr">
        <is>
          <t>PAID</t>
        </is>
      </c>
      <c r="G180" t="n">
        <v>26.5</v>
      </c>
      <c r="H180" t="n">
        <v>0</v>
      </c>
      <c r="I180" t="n">
        <v>26.5</v>
      </c>
      <c r="J180" t="n">
        <v>26.5</v>
      </c>
      <c r="K180" t="n">
        <v>0</v>
      </c>
      <c r="L180" t="n">
        <v>26.5</v>
      </c>
      <c r="M180">
        <f>IF(OR(F180="VOIDED",F180="DELETED"),0,J180-L180)</f>
        <v/>
      </c>
      <c r="N180" t="inlineStr">
        <is>
          <t>Yes</t>
        </is>
      </c>
      <c r="O180" t="inlineStr">
        <is>
          <t>Goods-tagged</t>
        </is>
      </c>
      <c r="P180" t="inlineStr">
        <is>
          <t>.</t>
        </is>
      </c>
      <c r="Q180" t="inlineStr">
        <is>
          <t>xero_tracking</t>
        </is>
      </c>
      <c r="R180" t="inlineStr">
        <is>
          <t>ACT-ST</t>
        </is>
      </c>
      <c r="S180" t="n">
        <v>46211</v>
      </c>
    </row>
    <row r="181" ht="36" customHeight="1">
      <c r="A181" t="inlineStr">
        <is>
          <t>927a0a96-14f6-477d-a5a3-bc876c4e2eb5</t>
        </is>
      </c>
      <c r="B181" t="inlineStr">
        <is>
          <t>174443</t>
        </is>
      </c>
      <c r="C181" s="162" t="n">
        <v>45881</v>
      </c>
      <c r="D181" t="inlineStr">
        <is>
          <t>Palm Island</t>
        </is>
      </c>
      <c r="E181" t="inlineStr">
        <is>
          <t>ACCPAY</t>
        </is>
      </c>
      <c r="F181" t="inlineStr">
        <is>
          <t>PAID</t>
        </is>
      </c>
      <c r="G181" t="n">
        <v>60.13</v>
      </c>
      <c r="H181" t="n">
        <v>6.01</v>
      </c>
      <c r="I181" t="n">
        <v>66.14</v>
      </c>
      <c r="J181" t="n">
        <v>66.14</v>
      </c>
      <c r="K181" t="n">
        <v>0</v>
      </c>
      <c r="L181" t="n">
        <v>66.14</v>
      </c>
      <c r="M181">
        <f>IF(OR(F181="VOIDED",F181="DELETED"),0,J181-L181)</f>
        <v/>
      </c>
      <c r="N181" t="inlineStr">
        <is>
          <t>Yes</t>
        </is>
      </c>
      <c r="O181" t="inlineStr">
        <is>
          <t>Goods-tagged</t>
        </is>
      </c>
      <c r="P181" t="inlineStr">
        <is>
          <t>. / .</t>
        </is>
      </c>
      <c r="Q181" t="inlineStr">
        <is>
          <t>xero_tracking</t>
        </is>
      </c>
      <c r="R181" t="inlineStr">
        <is>
          <t>ACT-ST</t>
        </is>
      </c>
      <c r="S181" t="n">
        <v>46211</v>
      </c>
    </row>
    <row r="182" ht="36" customHeight="1">
      <c r="A182" t="inlineStr">
        <is>
          <t>b8abb2ff-77cc-42b9-9108-abd4b013b3a9</t>
        </is>
      </c>
      <c r="B182" t="inlineStr">
        <is>
          <t>100326</t>
        </is>
      </c>
      <c r="C182" s="162" t="n">
        <v>45882</v>
      </c>
      <c r="D182" t="inlineStr">
        <is>
          <t>Palm Island</t>
        </is>
      </c>
      <c r="E182" t="inlineStr">
        <is>
          <t>ACCPAY</t>
        </is>
      </c>
      <c r="F182" t="inlineStr">
        <is>
          <t>PAID</t>
        </is>
      </c>
      <c r="G182" t="n">
        <v>37.73</v>
      </c>
      <c r="H182" t="n">
        <v>0</v>
      </c>
      <c r="I182" t="n">
        <v>37.73</v>
      </c>
      <c r="J182" t="n">
        <v>37.73</v>
      </c>
      <c r="K182" t="n">
        <v>0</v>
      </c>
      <c r="L182" t="n">
        <v>37.73</v>
      </c>
      <c r="M182">
        <f>IF(OR(F182="VOIDED",F182="DELETED"),0,J182-L182)</f>
        <v/>
      </c>
      <c r="N182" t="inlineStr">
        <is>
          <t>Yes</t>
        </is>
      </c>
      <c r="O182" t="inlineStr">
        <is>
          <t>Goods-tagged</t>
        </is>
      </c>
      <c r="P182" t="inlineStr">
        <is>
          <t>. / .</t>
        </is>
      </c>
      <c r="Q182" t="inlineStr">
        <is>
          <t>xero_tracking</t>
        </is>
      </c>
      <c r="R182" t="inlineStr">
        <is>
          <t>ACT-ST</t>
        </is>
      </c>
      <c r="S182" t="n">
        <v>46211</v>
      </c>
    </row>
    <row r="183" ht="36" customHeight="1">
      <c r="A183" t="inlineStr">
        <is>
          <t>bcacf8db-2bbd-4f49-a89c-d686db76a3e2</t>
        </is>
      </c>
      <c r="B183" t="inlineStr">
        <is>
          <t>174685</t>
        </is>
      </c>
      <c r="C183" s="162" t="n">
        <v>45882</v>
      </c>
      <c r="D183" t="inlineStr">
        <is>
          <t>Palm Island</t>
        </is>
      </c>
      <c r="E183" t="inlineStr">
        <is>
          <t>ACCPAY</t>
        </is>
      </c>
      <c r="F183" t="inlineStr">
        <is>
          <t>PAID</t>
        </is>
      </c>
      <c r="G183" t="n">
        <v>21.45</v>
      </c>
      <c r="H183" t="n">
        <v>0</v>
      </c>
      <c r="I183" t="n">
        <v>21.45</v>
      </c>
      <c r="J183" t="n">
        <v>21.45</v>
      </c>
      <c r="K183" t="n">
        <v>0</v>
      </c>
      <c r="L183" t="n">
        <v>21.45</v>
      </c>
      <c r="M183">
        <f>IF(OR(F183="VOIDED",F183="DELETED"),0,J183-L183)</f>
        <v/>
      </c>
      <c r="N183" t="inlineStr">
        <is>
          <t>Yes</t>
        </is>
      </c>
      <c r="O183" t="inlineStr">
        <is>
          <t>Goods-tagged</t>
        </is>
      </c>
      <c r="P183" t="inlineStr">
        <is>
          <t>.</t>
        </is>
      </c>
      <c r="Q183" t="inlineStr">
        <is>
          <t>xero_tracking</t>
        </is>
      </c>
      <c r="R183" t="inlineStr">
        <is>
          <t>ACT-ST</t>
        </is>
      </c>
      <c r="S183" t="n">
        <v>46211</v>
      </c>
    </row>
    <row r="184" ht="36" customHeight="1">
      <c r="A184" t="inlineStr">
        <is>
          <t>1126beb3-631e-4a2c-9590-ed3ece4be3fa</t>
        </is>
      </c>
      <c r="B184" t="inlineStr">
        <is>
          <t>RB17749917720</t>
        </is>
      </c>
      <c r="C184" s="162" t="n">
        <v>45882</v>
      </c>
      <c r="D184" t="inlineStr">
        <is>
          <t>Sunset Snack Bar</t>
        </is>
      </c>
      <c r="E184" t="inlineStr">
        <is>
          <t>ACCPAY</t>
        </is>
      </c>
      <c r="F184" t="inlineStr">
        <is>
          <t>PAID</t>
        </is>
      </c>
      <c r="G184" t="n">
        <v>32</v>
      </c>
      <c r="H184" t="n">
        <v>0</v>
      </c>
      <c r="I184" t="n">
        <v>32</v>
      </c>
      <c r="J184" t="n">
        <v>32</v>
      </c>
      <c r="K184" t="n">
        <v>0</v>
      </c>
      <c r="L184" t="n">
        <v>32</v>
      </c>
      <c r="M184">
        <f>IF(OR(F184="VOIDED",F184="DELETED"),0,J184-L184)</f>
        <v/>
      </c>
      <c r="N184" t="inlineStr">
        <is>
          <t>Yes</t>
        </is>
      </c>
      <c r="O184" t="inlineStr">
        <is>
          <t>Goods-tagged</t>
        </is>
      </c>
      <c r="P184" t="inlineStr">
        <is>
          <t>.</t>
        </is>
      </c>
      <c r="Q184" t="inlineStr">
        <is>
          <t>xero_tracking</t>
        </is>
      </c>
      <c r="R184" t="inlineStr">
        <is>
          <t>ACT-ST</t>
        </is>
      </c>
      <c r="S184" t="n">
        <v>46211</v>
      </c>
    </row>
    <row r="185" ht="36" customHeight="1">
      <c r="A185" t="inlineStr">
        <is>
          <t>23e2d2d6-fd06-4a17-840f-927da9f0b5ba</t>
        </is>
      </c>
      <c r="B185" t="inlineStr">
        <is>
          <t>175009</t>
        </is>
      </c>
      <c r="C185" s="162" t="n">
        <v>45883</v>
      </c>
      <c r="D185" t="inlineStr">
        <is>
          <t>Community Enterprise Qld</t>
        </is>
      </c>
      <c r="E185" t="inlineStr">
        <is>
          <t>ACCPAY</t>
        </is>
      </c>
      <c r="F185" t="inlineStr">
        <is>
          <t>PAID</t>
        </is>
      </c>
      <c r="G185" t="n">
        <v>10.82</v>
      </c>
      <c r="H185" t="n">
        <v>0</v>
      </c>
      <c r="I185" t="n">
        <v>10.82</v>
      </c>
      <c r="J185" t="n">
        <v>10.82</v>
      </c>
      <c r="K185" t="n">
        <v>0</v>
      </c>
      <c r="L185" t="n">
        <v>10.82</v>
      </c>
      <c r="M185">
        <f>IF(OR(F185="VOIDED",F185="DELETED"),0,J185-L185)</f>
        <v/>
      </c>
      <c r="N185" t="inlineStr">
        <is>
          <t>Yes</t>
        </is>
      </c>
      <c r="O185" t="inlineStr">
        <is>
          <t>Goods-tagged</t>
        </is>
      </c>
      <c r="P185" t="inlineStr">
        <is>
          <t>.</t>
        </is>
      </c>
      <c r="Q185" t="inlineStr">
        <is>
          <t>xero_tracking</t>
        </is>
      </c>
      <c r="R185" t="inlineStr">
        <is>
          <t>ACT-ST</t>
        </is>
      </c>
      <c r="S185" t="n">
        <v>46211</v>
      </c>
    </row>
    <row r="186" ht="36" customHeight="1">
      <c r="A186" t="inlineStr">
        <is>
          <t>d61d5a14-aa9d-4c42-b567-21f64061a901</t>
        </is>
      </c>
      <c r="B186" t="inlineStr">
        <is>
          <t>175172</t>
        </is>
      </c>
      <c r="C186" s="162" t="n">
        <v>45884</v>
      </c>
      <c r="D186" t="inlineStr">
        <is>
          <t>Community Enterprise Qld</t>
        </is>
      </c>
      <c r="E186" t="inlineStr">
        <is>
          <t>ACCPAY</t>
        </is>
      </c>
      <c r="F186" t="inlineStr">
        <is>
          <t>PAID</t>
        </is>
      </c>
      <c r="G186" t="n">
        <v>27.19</v>
      </c>
      <c r="H186" t="n">
        <v>0</v>
      </c>
      <c r="I186" t="n">
        <v>27.19</v>
      </c>
      <c r="J186" t="n">
        <v>27.19</v>
      </c>
      <c r="K186" t="n">
        <v>0</v>
      </c>
      <c r="L186" t="n">
        <v>27.19</v>
      </c>
      <c r="M186">
        <f>IF(OR(F186="VOIDED",F186="DELETED"),0,J186-L186)</f>
        <v/>
      </c>
      <c r="N186" t="inlineStr">
        <is>
          <t>Yes</t>
        </is>
      </c>
      <c r="O186" t="inlineStr">
        <is>
          <t>Goods-tagged</t>
        </is>
      </c>
      <c r="P186" t="inlineStr">
        <is>
          <t>. / .</t>
        </is>
      </c>
      <c r="Q186" t="inlineStr">
        <is>
          <t>xero_tracking</t>
        </is>
      </c>
      <c r="R186" t="inlineStr">
        <is>
          <t>ACT-ST</t>
        </is>
      </c>
      <c r="S186" t="n">
        <v>46211</v>
      </c>
    </row>
    <row r="187" ht="36" customHeight="1">
      <c r="A187" t="inlineStr">
        <is>
          <t>aa70efde-7fce-48e9-9115-8a5d1fc29ed1</t>
        </is>
      </c>
      <c r="B187" t="inlineStr">
        <is>
          <t>1092650</t>
        </is>
      </c>
      <c r="C187" s="162" t="n">
        <v>45885</v>
      </c>
      <c r="D187" t="inlineStr">
        <is>
          <t>Grill'd Townsville</t>
        </is>
      </c>
      <c r="E187" t="inlineStr">
        <is>
          <t>ACCPAY</t>
        </is>
      </c>
      <c r="F187" t="inlineStr">
        <is>
          <t>PAID</t>
        </is>
      </c>
      <c r="G187" t="n">
        <v>32.71</v>
      </c>
      <c r="H187" t="n">
        <v>0</v>
      </c>
      <c r="I187" t="n">
        <v>32.71</v>
      </c>
      <c r="J187" t="n">
        <v>32.71</v>
      </c>
      <c r="K187" t="n">
        <v>0</v>
      </c>
      <c r="L187" t="n">
        <v>32.71</v>
      </c>
      <c r="M187">
        <f>IF(OR(F187="VOIDED",F187="DELETED"),0,J187-L187)</f>
        <v/>
      </c>
      <c r="N187" t="inlineStr">
        <is>
          <t>Yes</t>
        </is>
      </c>
      <c r="O187" t="inlineStr">
        <is>
          <t>Goods-tagged</t>
        </is>
      </c>
      <c r="P187" t="inlineStr">
        <is>
          <t>. / .</t>
        </is>
      </c>
      <c r="Q187" t="inlineStr">
        <is>
          <t>xero_tracking</t>
        </is>
      </c>
      <c r="R187" t="inlineStr">
        <is>
          <t>ACT-ST</t>
        </is>
      </c>
      <c r="S187" t="n">
        <v>46211</v>
      </c>
    </row>
    <row r="188" ht="36" customHeight="1">
      <c r="A188" t="inlineStr">
        <is>
          <t>5aa9551e-e772-4577-aed0-927daecc60ab</t>
        </is>
      </c>
      <c r="B188" t="inlineStr">
        <is>
          <t>77916</t>
        </is>
      </c>
      <c r="C188" s="162" t="n">
        <v>45885</v>
      </c>
      <c r="D188" t="inlineStr">
        <is>
          <t>Palm Island Service Station</t>
        </is>
      </c>
      <c r="E188" t="inlineStr">
        <is>
          <t>ACCPAY</t>
        </is>
      </c>
      <c r="F188" t="inlineStr">
        <is>
          <t>PAID</t>
        </is>
      </c>
      <c r="G188" t="n">
        <v>164.33</v>
      </c>
      <c r="H188" t="n">
        <v>16.43</v>
      </c>
      <c r="I188" t="n">
        <v>180.76</v>
      </c>
      <c r="J188" t="n">
        <v>180.76</v>
      </c>
      <c r="K188" t="n">
        <v>0</v>
      </c>
      <c r="L188" t="n">
        <v>180.76</v>
      </c>
      <c r="M188">
        <f>IF(OR(F188="VOIDED",F188="DELETED"),0,J188-L188)</f>
        <v/>
      </c>
      <c r="N188" t="inlineStr">
        <is>
          <t>Yes</t>
        </is>
      </c>
      <c r="O188" t="inlineStr">
        <is>
          <t>Goods-tagged</t>
        </is>
      </c>
      <c r="P188" t="inlineStr">
        <is>
          <t>.</t>
        </is>
      </c>
      <c r="Q188" t="inlineStr">
        <is>
          <t>xero_tracking</t>
        </is>
      </c>
      <c r="R188" t="inlineStr">
        <is>
          <t>ACT-ST</t>
        </is>
      </c>
      <c r="S188" t="n">
        <v>46211</v>
      </c>
    </row>
    <row r="189" ht="36" customHeight="1">
      <c r="A189" t="inlineStr">
        <is>
          <t>d6c90896-1f3b-44d1-bfd8-5a72986b95d8</t>
        </is>
      </c>
      <c r="B189" t="inlineStr">
        <is>
          <t>78023</t>
        </is>
      </c>
      <c r="C189" s="162" t="n">
        <v>45885</v>
      </c>
      <c r="D189" t="inlineStr">
        <is>
          <t>Palm Island Service Station</t>
        </is>
      </c>
      <c r="E189" t="inlineStr">
        <is>
          <t>ACCPAY</t>
        </is>
      </c>
      <c r="F189" t="inlineStr">
        <is>
          <t>PAID</t>
        </is>
      </c>
      <c r="G189" t="n">
        <v>132.52</v>
      </c>
      <c r="H189" t="n">
        <v>13.25</v>
      </c>
      <c r="I189" t="n">
        <v>145.77</v>
      </c>
      <c r="J189" t="n">
        <v>145.77</v>
      </c>
      <c r="K189" t="n">
        <v>0</v>
      </c>
      <c r="L189" t="n">
        <v>145.77</v>
      </c>
      <c r="M189">
        <f>IF(OR(F189="VOIDED",F189="DELETED"),0,J189-L189)</f>
        <v/>
      </c>
      <c r="N189" t="inlineStr">
        <is>
          <t>Yes</t>
        </is>
      </c>
      <c r="O189" t="inlineStr">
        <is>
          <t>Goods-tagged</t>
        </is>
      </c>
      <c r="P189" t="inlineStr">
        <is>
          <t>.</t>
        </is>
      </c>
      <c r="Q189" t="inlineStr">
        <is>
          <t>xero_tracking</t>
        </is>
      </c>
      <c r="R189" t="inlineStr">
        <is>
          <t>ACT-ST</t>
        </is>
      </c>
      <c r="S189" t="n">
        <v>46211</v>
      </c>
    </row>
    <row r="190" ht="36" customHeight="1">
      <c r="A190" t="inlineStr">
        <is>
          <t>114987d8-6371-4b8e-a2b2-9710103dfe68</t>
        </is>
      </c>
      <c r="B190" t="inlineStr">
        <is>
          <t>002-07578-2325-2025-08-17</t>
        </is>
      </c>
      <c r="C190" s="162" t="n">
        <v>45886</v>
      </c>
      <c r="D190" t="inlineStr">
        <is>
          <t>Bunnings Warehouse</t>
        </is>
      </c>
      <c r="E190" t="inlineStr">
        <is>
          <t>ACCPAY</t>
        </is>
      </c>
      <c r="F190" t="inlineStr">
        <is>
          <t>PAID</t>
        </is>
      </c>
      <c r="G190" t="n">
        <v>241.64</v>
      </c>
      <c r="H190" t="n">
        <v>24.16</v>
      </c>
      <c r="I190" t="n">
        <v>265.8</v>
      </c>
      <c r="J190" t="n">
        <v>265.8</v>
      </c>
      <c r="K190" t="n">
        <v>0</v>
      </c>
      <c r="L190" t="n">
        <v>265.8</v>
      </c>
      <c r="M190">
        <f>IF(OR(F190="VOIDED",F190="DELETED"),0,J190-L190)</f>
        <v/>
      </c>
      <c r="N190" t="inlineStr">
        <is>
          <t>Yes</t>
        </is>
      </c>
      <c r="O190" t="inlineStr">
        <is>
          <t>Goods-tagged</t>
        </is>
      </c>
      <c r="P190" t="inlineStr">
        <is>
          <t>.</t>
        </is>
      </c>
      <c r="Q190" t="inlineStr">
        <is>
          <t>xero_tracking</t>
        </is>
      </c>
      <c r="R190" t="inlineStr">
        <is>
          <t>ACT-ST</t>
        </is>
      </c>
      <c r="S190" t="n">
        <v>46211</v>
      </c>
    </row>
    <row r="191" ht="36" customHeight="1">
      <c r="A191" t="inlineStr">
        <is>
          <t>103872ef-71d7-4b48-9c03-690b36d3a0b3</t>
        </is>
      </c>
      <c r="B191" t="inlineStr">
        <is>
          <t>37066026</t>
        </is>
      </c>
      <c r="C191" s="162" t="n">
        <v>45886</v>
      </c>
      <c r="D191" t="inlineStr">
        <is>
          <t>Todd Tavern</t>
        </is>
      </c>
      <c r="E191" t="inlineStr">
        <is>
          <t>ACCPAY</t>
        </is>
      </c>
      <c r="F191" t="inlineStr">
        <is>
          <t>PAID</t>
        </is>
      </c>
      <c r="G191" t="n">
        <v>137.57</v>
      </c>
      <c r="H191" t="n">
        <v>0</v>
      </c>
      <c r="I191" t="n">
        <v>137.57</v>
      </c>
      <c r="J191" t="n">
        <v>137.57</v>
      </c>
      <c r="K191" t="n">
        <v>0</v>
      </c>
      <c r="L191" t="n">
        <v>137.57</v>
      </c>
      <c r="M191">
        <f>IF(OR(F191="VOIDED",F191="DELETED"),0,J191-L191)</f>
        <v/>
      </c>
      <c r="N191" t="inlineStr">
        <is>
          <t>Yes</t>
        </is>
      </c>
      <c r="O191" t="inlineStr">
        <is>
          <t>Goods-tagged</t>
        </is>
      </c>
      <c r="P191" t="inlineStr">
        <is>
          <t>.</t>
        </is>
      </c>
      <c r="Q191" t="inlineStr">
        <is>
          <t>xero_tracking</t>
        </is>
      </c>
      <c r="R191" t="inlineStr">
        <is>
          <t>ACT-ST</t>
        </is>
      </c>
      <c r="S191" t="n">
        <v>46211</v>
      </c>
    </row>
    <row r="192" ht="36" customHeight="1">
      <c r="A192" t="inlineStr">
        <is>
          <t>45037d86-a15a-4b60-b1af-f66962c27eaa</t>
        </is>
      </c>
      <c r="B192" t="inlineStr">
        <is>
          <t>RB17779751910</t>
        </is>
      </c>
      <c r="C192" s="162" t="n">
        <v>45886</v>
      </c>
      <c r="D192" t="inlineStr">
        <is>
          <t>Hanuman Alice Springs</t>
        </is>
      </c>
      <c r="E192" t="inlineStr">
        <is>
          <t>ACCPAY</t>
        </is>
      </c>
      <c r="F192" t="inlineStr">
        <is>
          <t>AUTHORISED</t>
        </is>
      </c>
      <c r="G192" t="n">
        <v>104</v>
      </c>
      <c r="H192" t="n">
        <v>0</v>
      </c>
      <c r="I192" t="n">
        <v>104</v>
      </c>
      <c r="J192" t="n">
        <v>0</v>
      </c>
      <c r="K192" t="n">
        <v>104</v>
      </c>
      <c r="L192" t="n">
        <v>0</v>
      </c>
      <c r="M192">
        <f>IF(OR(F192="VOIDED",F192="DELETED"),0,J192-L192)</f>
        <v/>
      </c>
      <c r="N192" t="inlineStr">
        <is>
          <t>Yes</t>
        </is>
      </c>
      <c r="O192" t="inlineStr">
        <is>
          <t>Goods-tagged</t>
        </is>
      </c>
      <c r="P192" t="inlineStr">
        <is>
          <t>.</t>
        </is>
      </c>
      <c r="Q192" t="inlineStr">
        <is>
          <t>xero_tracking</t>
        </is>
      </c>
      <c r="R192" t="inlineStr">
        <is>
          <t>ACT-ST</t>
        </is>
      </c>
      <c r="S192" t="n">
        <v>46211</v>
      </c>
    </row>
    <row r="193" ht="36" customHeight="1">
      <c r="A193" t="inlineStr">
        <is>
          <t>c9884790-08ce-48bb-a31b-5e09f945911c</t>
        </is>
      </c>
      <c r="B193" t="inlineStr">
        <is>
          <t>SP-11 0816224524</t>
        </is>
      </c>
      <c r="C193" s="162" t="n">
        <v>45886</v>
      </c>
      <c r="D193" t="inlineStr">
        <is>
          <t>Padoka</t>
        </is>
      </c>
      <c r="E193" t="inlineStr">
        <is>
          <t>ACCPAY</t>
        </is>
      </c>
      <c r="F193" t="inlineStr">
        <is>
          <t>PAID</t>
        </is>
      </c>
      <c r="G193" t="n">
        <v>4.04</v>
      </c>
      <c r="H193" t="n">
        <v>0</v>
      </c>
      <c r="I193" t="n">
        <v>4.04</v>
      </c>
      <c r="J193" t="n">
        <v>4.04</v>
      </c>
      <c r="K193" t="n">
        <v>0</v>
      </c>
      <c r="L193" t="n">
        <v>4.04</v>
      </c>
      <c r="M193">
        <f>IF(OR(F193="VOIDED",F193="DELETED"),0,J193-L193)</f>
        <v/>
      </c>
      <c r="N193" t="inlineStr">
        <is>
          <t>Yes</t>
        </is>
      </c>
      <c r="O193" t="inlineStr">
        <is>
          <t>Goods-tagged</t>
        </is>
      </c>
      <c r="P193" t="inlineStr">
        <is>
          <t>. / .</t>
        </is>
      </c>
      <c r="Q193" t="inlineStr">
        <is>
          <t>xero_tracking</t>
        </is>
      </c>
      <c r="R193" t="inlineStr">
        <is>
          <t>ACT-ST</t>
        </is>
      </c>
      <c r="S193" t="n">
        <v>46211</v>
      </c>
    </row>
    <row r="194" ht="36" customHeight="1">
      <c r="A194" t="inlineStr">
        <is>
          <t>40c86056-9a55-4541-b2c7-2b69d33dbf54</t>
        </is>
      </c>
      <c r="B194" t="inlineStr">
        <is>
          <t>0954</t>
        </is>
      </c>
      <c r="C194" s="162" t="n">
        <v>45887</v>
      </c>
      <c r="D194" t="inlineStr">
        <is>
          <t>BP</t>
        </is>
      </c>
      <c r="E194" t="inlineStr">
        <is>
          <t>ACCPAY</t>
        </is>
      </c>
      <c r="F194" t="inlineStr">
        <is>
          <t>PAID</t>
        </is>
      </c>
      <c r="G194" t="n">
        <v>43.21</v>
      </c>
      <c r="H194" t="n">
        <v>4.31</v>
      </c>
      <c r="I194" t="n">
        <v>47.52</v>
      </c>
      <c r="J194" t="n">
        <v>47.52</v>
      </c>
      <c r="K194" t="n">
        <v>0</v>
      </c>
      <c r="L194" t="n">
        <v>47.52</v>
      </c>
      <c r="M194">
        <f>IF(OR(F194="VOIDED",F194="DELETED"),0,J194-L194)</f>
        <v/>
      </c>
      <c r="N194" t="inlineStr">
        <is>
          <t>Yes</t>
        </is>
      </c>
      <c r="O194" t="inlineStr">
        <is>
          <t>Goods-tagged</t>
        </is>
      </c>
      <c r="P194" t="inlineStr">
        <is>
          <t>. / .</t>
        </is>
      </c>
      <c r="Q194" t="inlineStr">
        <is>
          <t>xero_tracking</t>
        </is>
      </c>
      <c r="R194" t="inlineStr">
        <is>
          <t>ACT-ST</t>
        </is>
      </c>
      <c r="S194" t="n">
        <v>46211</v>
      </c>
    </row>
    <row r="195" ht="36" customHeight="1">
      <c r="A195" t="inlineStr">
        <is>
          <t>531f8802-ee2d-4485-8a5d-9742996ade5b</t>
        </is>
      </c>
      <c r="B195" t="inlineStr">
        <is>
          <t>120380</t>
        </is>
      </c>
      <c r="C195" s="162" t="n">
        <v>45887</v>
      </c>
      <c r="D195" t="inlineStr">
        <is>
          <t>Ti Tree Roadhouse</t>
        </is>
      </c>
      <c r="E195" t="inlineStr">
        <is>
          <t>ACCPAY</t>
        </is>
      </c>
      <c r="F195" t="inlineStr">
        <is>
          <t>PAID</t>
        </is>
      </c>
      <c r="G195" t="n">
        <v>115.72</v>
      </c>
      <c r="H195" t="n">
        <v>11.57</v>
      </c>
      <c r="I195" t="n">
        <v>127.29</v>
      </c>
      <c r="J195" t="n">
        <v>127.29</v>
      </c>
      <c r="K195" t="n">
        <v>0</v>
      </c>
      <c r="L195" t="n">
        <v>127.29</v>
      </c>
      <c r="M195">
        <f>IF(OR(F195="VOIDED",F195="DELETED"),0,J195-L195)</f>
        <v/>
      </c>
      <c r="N195" t="inlineStr">
        <is>
          <t>Yes</t>
        </is>
      </c>
      <c r="O195" t="inlineStr">
        <is>
          <t>Goods-tagged</t>
        </is>
      </c>
      <c r="P195" t="inlineStr">
        <is>
          <t>.</t>
        </is>
      </c>
      <c r="Q195" t="inlineStr">
        <is>
          <t>xero_tracking</t>
        </is>
      </c>
      <c r="R195" t="inlineStr">
        <is>
          <t>ACT-ST</t>
        </is>
      </c>
      <c r="S195" t="n">
        <v>46211</v>
      </c>
    </row>
    <row r="196" ht="36" customHeight="1">
      <c r="A196" t="inlineStr">
        <is>
          <t>fa1088f6-3dd1-491c-b0d4-f1f5bfd00f5d</t>
        </is>
      </c>
      <c r="B196" t="inlineStr">
        <is>
          <t>20316</t>
        </is>
      </c>
      <c r="C196" s="162" t="n">
        <v>45887</v>
      </c>
      <c r="D196" t="inlineStr">
        <is>
          <t>The Townsville Store</t>
        </is>
      </c>
      <c r="E196" t="inlineStr">
        <is>
          <t>ACCPAY</t>
        </is>
      </c>
      <c r="F196" t="inlineStr">
        <is>
          <t>PAID</t>
        </is>
      </c>
      <c r="G196" t="n">
        <v>107.46</v>
      </c>
      <c r="H196" t="n">
        <v>0</v>
      </c>
      <c r="I196" t="n">
        <v>107.46</v>
      </c>
      <c r="J196" t="n">
        <v>107.46</v>
      </c>
      <c r="K196" t="n">
        <v>0</v>
      </c>
      <c r="L196" t="n">
        <v>107.46</v>
      </c>
      <c r="M196">
        <f>IF(OR(F196="VOIDED",F196="DELETED"),0,J196-L196)</f>
        <v/>
      </c>
      <c r="N196" t="inlineStr">
        <is>
          <t>Yes</t>
        </is>
      </c>
      <c r="O196" t="inlineStr">
        <is>
          <t>Goods-tagged</t>
        </is>
      </c>
      <c r="P196" t="inlineStr">
        <is>
          <t>. / .</t>
        </is>
      </c>
      <c r="Q196" t="inlineStr">
        <is>
          <t>xero_tracking</t>
        </is>
      </c>
      <c r="R196" t="inlineStr">
        <is>
          <t>ACT-ST</t>
        </is>
      </c>
      <c r="S196" t="n">
        <v>46211</v>
      </c>
    </row>
    <row r="197" ht="36" customHeight="1">
      <c r="A197" t="inlineStr">
        <is>
          <t>5989f9d6-de73-43c7-a7d1-3f17704d743a</t>
        </is>
      </c>
      <c r="B197" t="inlineStr">
        <is>
          <t>546680</t>
        </is>
      </c>
      <c r="C197" s="162" t="n">
        <v>45887</v>
      </c>
      <c r="D197" t="inlineStr">
        <is>
          <t>BP</t>
        </is>
      </c>
      <c r="E197" t="inlineStr">
        <is>
          <t>ACCPAY</t>
        </is>
      </c>
      <c r="F197" t="inlineStr">
        <is>
          <t>PAID</t>
        </is>
      </c>
      <c r="G197" t="n">
        <v>137.03</v>
      </c>
      <c r="H197" t="n">
        <v>11.55</v>
      </c>
      <c r="I197" t="n">
        <v>148.58</v>
      </c>
      <c r="J197" t="n">
        <v>148.58</v>
      </c>
      <c r="K197" t="n">
        <v>0</v>
      </c>
      <c r="L197" t="n">
        <v>148.58</v>
      </c>
      <c r="M197">
        <f>IF(OR(F197="VOIDED",F197="DELETED"),0,J197-L197)</f>
        <v/>
      </c>
      <c r="N197" t="inlineStr">
        <is>
          <t>Yes</t>
        </is>
      </c>
      <c r="O197" t="inlineStr">
        <is>
          <t>Goods-tagged</t>
        </is>
      </c>
      <c r="P197" t="inlineStr">
        <is>
          <t>. / .</t>
        </is>
      </c>
      <c r="Q197" t="inlineStr">
        <is>
          <t>xero_tracking</t>
        </is>
      </c>
      <c r="R197" t="inlineStr">
        <is>
          <t>ACT-ST</t>
        </is>
      </c>
      <c r="S197" t="n">
        <v>46211</v>
      </c>
    </row>
    <row r="198" ht="36" customHeight="1">
      <c r="A198" t="inlineStr">
        <is>
          <t>1f0b73f8-ccb0-4410-9076-ae73184c34d3</t>
        </is>
      </c>
      <c r="B198" t="inlineStr">
        <is>
          <t>FJVSOVOEHD</t>
        </is>
      </c>
      <c r="C198" s="162" t="n">
        <v>45887</v>
      </c>
      <c r="D198" t="inlineStr">
        <is>
          <t>STAR HOTELS THE PALMER COLLECTIVE</t>
        </is>
      </c>
      <c r="E198" t="inlineStr">
        <is>
          <t>ACCPAY</t>
        </is>
      </c>
      <c r="F198" t="inlineStr">
        <is>
          <t>PAID</t>
        </is>
      </c>
      <c r="G198" t="n">
        <v>5.5</v>
      </c>
      <c r="H198" t="n">
        <v>0</v>
      </c>
      <c r="I198" t="n">
        <v>5.5</v>
      </c>
      <c r="J198" t="n">
        <v>5.5</v>
      </c>
      <c r="K198" t="n">
        <v>0</v>
      </c>
      <c r="L198" t="n">
        <v>5.5</v>
      </c>
      <c r="M198">
        <f>IF(OR(F198="VOIDED",F198="DELETED"),0,J198-L198)</f>
        <v/>
      </c>
      <c r="N198" t="inlineStr">
        <is>
          <t>Yes</t>
        </is>
      </c>
      <c r="O198" t="inlineStr">
        <is>
          <t>Goods-tagged</t>
        </is>
      </c>
      <c r="P198" t="inlineStr">
        <is>
          <t>.</t>
        </is>
      </c>
      <c r="Q198" t="inlineStr">
        <is>
          <t>xero_tracking</t>
        </is>
      </c>
      <c r="R198" t="inlineStr">
        <is>
          <t>ACT-ST</t>
        </is>
      </c>
      <c r="S198" t="n">
        <v>46211</v>
      </c>
    </row>
    <row r="199" ht="36" customHeight="1">
      <c r="A199" t="inlineStr">
        <is>
          <t>af138450-3d66-496a-bd94-6b617a7d6d64</t>
        </is>
      </c>
      <c r="B199" t="inlineStr">
        <is>
          <t>RB17783946530</t>
        </is>
      </c>
      <c r="C199" s="162" t="n">
        <v>45887</v>
      </c>
      <c r="D199" t="inlineStr">
        <is>
          <t>IGA</t>
        </is>
      </c>
      <c r="E199" t="inlineStr">
        <is>
          <t>ACCPAY</t>
        </is>
      </c>
      <c r="F199" t="inlineStr">
        <is>
          <t>PAID</t>
        </is>
      </c>
      <c r="G199" t="n">
        <v>102.76</v>
      </c>
      <c r="H199" t="n">
        <v>0</v>
      </c>
      <c r="I199" t="n">
        <v>102.76</v>
      </c>
      <c r="J199" t="n">
        <v>102.76</v>
      </c>
      <c r="K199" t="n">
        <v>0</v>
      </c>
      <c r="L199" t="n">
        <v>102.76</v>
      </c>
      <c r="M199">
        <f>IF(OR(F199="VOIDED",F199="DELETED"),0,J199-L199)</f>
        <v/>
      </c>
      <c r="N199" t="inlineStr">
        <is>
          <t>Yes</t>
        </is>
      </c>
      <c r="O199" t="inlineStr">
        <is>
          <t>Goods-tagged</t>
        </is>
      </c>
      <c r="P199" t="inlineStr">
        <is>
          <t>. / .</t>
        </is>
      </c>
      <c r="Q199" t="inlineStr">
        <is>
          <t>xero_tracking</t>
        </is>
      </c>
      <c r="R199" t="inlineStr">
        <is>
          <t>ACT-ST</t>
        </is>
      </c>
      <c r="S199" t="n">
        <v>46211</v>
      </c>
    </row>
    <row r="200" ht="36" customHeight="1">
      <c r="A200" t="inlineStr">
        <is>
          <t>be76c329-648b-4f95-9798-30bd5ef8bd75</t>
        </is>
      </c>
      <c r="B200" t="inlineStr">
        <is>
          <t>RB17784059670</t>
        </is>
      </c>
      <c r="C200" s="162" t="n">
        <v>45887</v>
      </c>
      <c r="D200" t="inlineStr">
        <is>
          <t>Tennant Creek Caravan Park</t>
        </is>
      </c>
      <c r="E200" t="inlineStr">
        <is>
          <t>ACCPAY</t>
        </is>
      </c>
      <c r="F200" t="inlineStr">
        <is>
          <t>PAID</t>
        </is>
      </c>
      <c r="G200" t="n">
        <v>572.73</v>
      </c>
      <c r="H200" t="n">
        <v>57.27</v>
      </c>
      <c r="I200" t="n">
        <v>630</v>
      </c>
      <c r="J200" t="n">
        <v>630</v>
      </c>
      <c r="K200" t="n">
        <v>0</v>
      </c>
      <c r="L200" t="n">
        <v>630</v>
      </c>
      <c r="M200">
        <f>IF(OR(F200="VOIDED",F200="DELETED"),0,J200-L200)</f>
        <v/>
      </c>
      <c r="N200" t="inlineStr">
        <is>
          <t>Yes</t>
        </is>
      </c>
      <c r="O200" t="inlineStr">
        <is>
          <t>Goods-tagged</t>
        </is>
      </c>
      <c r="P200" t="inlineStr">
        <is>
          <t>.</t>
        </is>
      </c>
      <c r="Q200" t="inlineStr">
        <is>
          <t>xero_tracking</t>
        </is>
      </c>
      <c r="R200" t="inlineStr">
        <is>
          <t>ACT-ST</t>
        </is>
      </c>
      <c r="S200" t="n">
        <v>46211</v>
      </c>
    </row>
    <row r="201" ht="36" customHeight="1">
      <c r="A201" t="inlineStr">
        <is>
          <t>348a7b28-5b8c-421b-9ba2-4fab82037bf5</t>
        </is>
      </c>
      <c r="B201" t="inlineStr">
        <is>
          <t>bNCf</t>
        </is>
      </c>
      <c r="C201" s="162" t="n">
        <v>45887</v>
      </c>
      <c r="D201" t="inlineStr">
        <is>
          <t>The Beet Bar</t>
        </is>
      </c>
      <c r="E201" t="inlineStr">
        <is>
          <t>ACCPAY</t>
        </is>
      </c>
      <c r="F201" t="inlineStr">
        <is>
          <t>PAID</t>
        </is>
      </c>
      <c r="G201" t="n">
        <v>5.08</v>
      </c>
      <c r="H201" t="n">
        <v>0</v>
      </c>
      <c r="I201" t="n">
        <v>5.08</v>
      </c>
      <c r="J201" t="n">
        <v>5.08</v>
      </c>
      <c r="K201" t="n">
        <v>0</v>
      </c>
      <c r="L201" t="n">
        <v>5.08</v>
      </c>
      <c r="M201">
        <f>IF(OR(F201="VOIDED",F201="DELETED"),0,J201-L201)</f>
        <v/>
      </c>
      <c r="N201" t="inlineStr">
        <is>
          <t>Yes</t>
        </is>
      </c>
      <c r="O201" t="inlineStr">
        <is>
          <t>Goods-tagged</t>
        </is>
      </c>
      <c r="P201" t="inlineStr">
        <is>
          <t>.</t>
        </is>
      </c>
      <c r="Q201" t="inlineStr">
        <is>
          <t>xero_tracking</t>
        </is>
      </c>
      <c r="R201" t="inlineStr">
        <is>
          <t>ACT-ST</t>
        </is>
      </c>
      <c r="S201" t="n">
        <v>46211</v>
      </c>
    </row>
    <row r="202" ht="36" customHeight="1">
      <c r="A202" t="inlineStr">
        <is>
          <t>f93a6672-0544-4d3f-8ec6-a6c7e8338bf8</t>
        </is>
      </c>
      <c r="B202" t="inlineStr">
        <is>
          <t>zD1K</t>
        </is>
      </c>
      <c r="C202" s="162" t="n">
        <v>45887</v>
      </c>
      <c r="D202" t="inlineStr">
        <is>
          <t>The Beet Bar</t>
        </is>
      </c>
      <c r="E202" t="inlineStr">
        <is>
          <t>ACCPAY</t>
        </is>
      </c>
      <c r="F202" t="inlineStr">
        <is>
          <t>PAID</t>
        </is>
      </c>
      <c r="G202" t="n">
        <v>30.45</v>
      </c>
      <c r="H202" t="n">
        <v>0</v>
      </c>
      <c r="I202" t="n">
        <v>30.45</v>
      </c>
      <c r="J202" t="n">
        <v>30.45</v>
      </c>
      <c r="K202" t="n">
        <v>0</v>
      </c>
      <c r="L202" t="n">
        <v>30.45</v>
      </c>
      <c r="M202">
        <f>IF(OR(F202="VOIDED",F202="DELETED"),0,J202-L202)</f>
        <v/>
      </c>
      <c r="N202" t="inlineStr">
        <is>
          <t>Yes</t>
        </is>
      </c>
      <c r="O202" t="inlineStr">
        <is>
          <t>Goods-tagged</t>
        </is>
      </c>
      <c r="P202" t="inlineStr">
        <is>
          <t>. / .</t>
        </is>
      </c>
      <c r="Q202" t="inlineStr">
        <is>
          <t>xero_tracking</t>
        </is>
      </c>
      <c r="R202" t="inlineStr">
        <is>
          <t>ACT-ST</t>
        </is>
      </c>
      <c r="S202" t="n">
        <v>46211</v>
      </c>
    </row>
    <row r="203" ht="36" customHeight="1">
      <c r="A203" t="inlineStr">
        <is>
          <t>3fcb1d72-5e99-4d5b-99b6-9bfe14371a3c</t>
        </is>
      </c>
      <c r="B203" t="inlineStr">
        <is>
          <t>1-01-335172</t>
        </is>
      </c>
      <c r="C203" s="162" t="n">
        <v>45888</v>
      </c>
      <c r="D203" t="inlineStr">
        <is>
          <t>Little Rippers Lifestyles</t>
        </is>
      </c>
      <c r="E203" t="inlineStr">
        <is>
          <t>ACCPAY</t>
        </is>
      </c>
      <c r="F203" t="inlineStr">
        <is>
          <t>PAID</t>
        </is>
      </c>
      <c r="G203" t="n">
        <v>50</v>
      </c>
      <c r="H203" t="n">
        <v>0</v>
      </c>
      <c r="I203" t="n">
        <v>50</v>
      </c>
      <c r="J203" t="n">
        <v>50</v>
      </c>
      <c r="K203" t="n">
        <v>0</v>
      </c>
      <c r="L203" t="n">
        <v>50</v>
      </c>
      <c r="M203">
        <f>IF(OR(F203="VOIDED",F203="DELETED"),0,J203-L203)</f>
        <v/>
      </c>
      <c r="N203" t="inlineStr">
        <is>
          <t>Yes</t>
        </is>
      </c>
      <c r="O203" t="inlineStr">
        <is>
          <t>Goods-tagged</t>
        </is>
      </c>
      <c r="P203" t="inlineStr">
        <is>
          <t>.</t>
        </is>
      </c>
      <c r="Q203" t="inlineStr">
        <is>
          <t>xero_tracking</t>
        </is>
      </c>
      <c r="R203" t="inlineStr">
        <is>
          <t>ACT-ST</t>
        </is>
      </c>
      <c r="S203" t="n">
        <v>46211</v>
      </c>
    </row>
    <row r="204" ht="36" customHeight="1">
      <c r="A204" t="inlineStr">
        <is>
          <t>476114cd-f88d-48a2-b79e-707c3ffc5c19</t>
        </is>
      </c>
      <c r="B204" t="inlineStr">
        <is>
          <t>104224493</t>
        </is>
      </c>
      <c r="C204" s="162" t="n">
        <v>45888</v>
      </c>
      <c r="D204" t="inlineStr">
        <is>
          <t>Barkly Hardware Rural Supplies</t>
        </is>
      </c>
      <c r="E204" t="inlineStr">
        <is>
          <t>ACCPAY</t>
        </is>
      </c>
      <c r="F204" t="inlineStr">
        <is>
          <t>PAID</t>
        </is>
      </c>
      <c r="G204" t="n">
        <v>61.05</v>
      </c>
      <c r="H204" t="n">
        <v>6.1</v>
      </c>
      <c r="I204" t="n">
        <v>67.15000000000001</v>
      </c>
      <c r="J204" t="n">
        <v>67.15000000000001</v>
      </c>
      <c r="K204" t="n">
        <v>0</v>
      </c>
      <c r="L204" t="n">
        <v>67.15000000000001</v>
      </c>
      <c r="M204">
        <f>IF(OR(F204="VOIDED",F204="DELETED"),0,J204-L204)</f>
        <v/>
      </c>
      <c r="N204" t="inlineStr">
        <is>
          <t>Yes</t>
        </is>
      </c>
      <c r="O204" t="inlineStr">
        <is>
          <t>Goods-tagged</t>
        </is>
      </c>
      <c r="P204" t="inlineStr">
        <is>
          <t>.</t>
        </is>
      </c>
      <c r="Q204" t="inlineStr">
        <is>
          <t>xero_tracking</t>
        </is>
      </c>
      <c r="R204" t="inlineStr">
        <is>
          <t>ACT-ST</t>
        </is>
      </c>
      <c r="S204" t="n">
        <v>46211</v>
      </c>
    </row>
    <row r="205" ht="36" customHeight="1">
      <c r="A205" t="inlineStr">
        <is>
          <t>35848e36-27bb-49f5-aedd-fe587d4bd98a</t>
        </is>
      </c>
      <c r="B205" t="inlineStr">
        <is>
          <t>546993</t>
        </is>
      </c>
      <c r="C205" s="162" t="n">
        <v>45888</v>
      </c>
      <c r="D205" t="inlineStr">
        <is>
          <t>BP</t>
        </is>
      </c>
      <c r="E205" t="inlineStr">
        <is>
          <t>ACCPAY</t>
        </is>
      </c>
      <c r="F205" t="inlineStr">
        <is>
          <t>PAID</t>
        </is>
      </c>
      <c r="G205" t="n">
        <v>73.55</v>
      </c>
      <c r="H205" t="n">
        <v>7.39</v>
      </c>
      <c r="I205" t="n">
        <v>80.94</v>
      </c>
      <c r="J205" t="n">
        <v>80.94</v>
      </c>
      <c r="K205" t="n">
        <v>0</v>
      </c>
      <c r="L205" t="n">
        <v>80.94</v>
      </c>
      <c r="M205">
        <f>IF(OR(F205="VOIDED",F205="DELETED"),0,J205-L205)</f>
        <v/>
      </c>
      <c r="N205" t="inlineStr">
        <is>
          <t>Yes</t>
        </is>
      </c>
      <c r="O205" t="inlineStr">
        <is>
          <t>Goods-tagged</t>
        </is>
      </c>
      <c r="P205" t="inlineStr">
        <is>
          <t>.</t>
        </is>
      </c>
      <c r="Q205" t="inlineStr">
        <is>
          <t>xero_tracking</t>
        </is>
      </c>
      <c r="R205" t="inlineStr">
        <is>
          <t>ACT-ST</t>
        </is>
      </c>
      <c r="S205" t="n">
        <v>46211</v>
      </c>
    </row>
    <row r="206" ht="36" customHeight="1">
      <c r="A206" t="inlineStr">
        <is>
          <t>7f9d7fa7-7a08-4a77-92b5-55d9f930f5d9</t>
        </is>
      </c>
      <c r="B206" t="inlineStr">
        <is>
          <t>RB17794037710</t>
        </is>
      </c>
      <c r="C206" s="162" t="n">
        <v>45888</v>
      </c>
      <c r="D206" t="inlineStr">
        <is>
          <t>IGA</t>
        </is>
      </c>
      <c r="E206" t="inlineStr">
        <is>
          <t>ACCPAY</t>
        </is>
      </c>
      <c r="F206" t="inlineStr">
        <is>
          <t>PAID</t>
        </is>
      </c>
      <c r="G206" t="n">
        <v>191.77</v>
      </c>
      <c r="H206" t="n">
        <v>0</v>
      </c>
      <c r="I206" t="n">
        <v>191.77</v>
      </c>
      <c r="J206" t="n">
        <v>191.77</v>
      </c>
      <c r="K206" t="n">
        <v>0</v>
      </c>
      <c r="L206" t="n">
        <v>191.77</v>
      </c>
      <c r="M206">
        <f>IF(OR(F206="VOIDED",F206="DELETED"),0,J206-L206)</f>
        <v/>
      </c>
      <c r="N206" t="inlineStr">
        <is>
          <t>Yes</t>
        </is>
      </c>
      <c r="O206" t="inlineStr">
        <is>
          <t>Goods-tagged</t>
        </is>
      </c>
      <c r="P206" t="inlineStr">
        <is>
          <t>.</t>
        </is>
      </c>
      <c r="Q206" t="inlineStr">
        <is>
          <t>xero_tracking</t>
        </is>
      </c>
      <c r="R206" t="inlineStr">
        <is>
          <t>ACT-ST</t>
        </is>
      </c>
      <c r="S206" t="n">
        <v>46211</v>
      </c>
    </row>
    <row r="207" ht="36" customHeight="1">
      <c r="A207" t="inlineStr">
        <is>
          <t>e306d2be-dfd6-4033-9d19-1915c7cea6e7</t>
        </is>
      </c>
      <c r="B207" t="inlineStr">
        <is>
          <t>RB17797565220</t>
        </is>
      </c>
      <c r="C207" s="162" t="n">
        <v>45888</v>
      </c>
      <c r="D207" t="inlineStr">
        <is>
          <t>Memories Bistro</t>
        </is>
      </c>
      <c r="E207" t="inlineStr">
        <is>
          <t>ACCPAY</t>
        </is>
      </c>
      <c r="F207" t="inlineStr">
        <is>
          <t>AUTHORISED</t>
        </is>
      </c>
      <c r="G207" t="n">
        <v>254</v>
      </c>
      <c r="H207" t="n">
        <v>0</v>
      </c>
      <c r="I207" t="n">
        <v>254</v>
      </c>
      <c r="J207" t="n">
        <v>0</v>
      </c>
      <c r="K207" t="n">
        <v>254</v>
      </c>
      <c r="L207" t="n">
        <v>0</v>
      </c>
      <c r="M207">
        <f>IF(OR(F207="VOIDED",F207="DELETED"),0,J207-L207)</f>
        <v/>
      </c>
      <c r="N207" t="inlineStr">
        <is>
          <t>Yes</t>
        </is>
      </c>
      <c r="O207" t="inlineStr">
        <is>
          <t>Goods-tagged</t>
        </is>
      </c>
      <c r="P207" t="inlineStr">
        <is>
          <t>. / .</t>
        </is>
      </c>
      <c r="Q207" t="inlineStr">
        <is>
          <t>xero_tracking</t>
        </is>
      </c>
      <c r="R207" t="inlineStr">
        <is>
          <t>ACT-ST</t>
        </is>
      </c>
      <c r="S207" t="n">
        <v>46211</v>
      </c>
    </row>
    <row r="208" ht="36" customHeight="1">
      <c r="A208" t="inlineStr">
        <is>
          <t>127d1358-3b89-49c3-a560-ae3385edfdc1</t>
        </is>
      </c>
      <c r="B208" t="inlineStr">
        <is>
          <t>000150</t>
        </is>
      </c>
      <c r="C208" s="162" t="n">
        <v>45889</v>
      </c>
      <c r="D208" t="inlineStr">
        <is>
          <t>Fast Fuel Motors</t>
        </is>
      </c>
      <c r="E208" t="inlineStr">
        <is>
          <t>ACCPAY</t>
        </is>
      </c>
      <c r="F208" t="inlineStr">
        <is>
          <t>AUTHORISED</t>
        </is>
      </c>
      <c r="G208" t="n">
        <v>101.73</v>
      </c>
      <c r="H208" t="n">
        <v>10.17</v>
      </c>
      <c r="I208" t="n">
        <v>111.9</v>
      </c>
      <c r="J208" t="n">
        <v>0</v>
      </c>
      <c r="K208" t="n">
        <v>111.9</v>
      </c>
      <c r="L208" t="n">
        <v>0</v>
      </c>
      <c r="M208">
        <f>IF(OR(F208="VOIDED",F208="DELETED"),0,J208-L208)</f>
        <v/>
      </c>
      <c r="N208" t="inlineStr">
        <is>
          <t>Yes</t>
        </is>
      </c>
      <c r="O208" t="inlineStr">
        <is>
          <t>Goods-tagged</t>
        </is>
      </c>
      <c r="P208" t="inlineStr">
        <is>
          <t>.</t>
        </is>
      </c>
      <c r="Q208" t="inlineStr">
        <is>
          <t>xero_tracking</t>
        </is>
      </c>
      <c r="R208" t="inlineStr">
        <is>
          <t>ACT-ST</t>
        </is>
      </c>
      <c r="S208" t="n">
        <v>46211</v>
      </c>
    </row>
    <row r="209" ht="36" customHeight="1">
      <c r="A209" t="inlineStr">
        <is>
          <t>93ed9f2d-96d0-465f-8566-55ded06c13d3</t>
        </is>
      </c>
      <c r="B209" t="inlineStr">
        <is>
          <t>120839</t>
        </is>
      </c>
      <c r="C209" s="162" t="n">
        <v>45889</v>
      </c>
      <c r="D209" t="inlineStr">
        <is>
          <t>Ti Tree Roadhouse</t>
        </is>
      </c>
      <c r="E209" t="inlineStr">
        <is>
          <t>ACCPAY</t>
        </is>
      </c>
      <c r="F209" t="inlineStr">
        <is>
          <t>PAID</t>
        </is>
      </c>
      <c r="G209" t="n">
        <v>100.2</v>
      </c>
      <c r="H209" t="n">
        <v>10.02</v>
      </c>
      <c r="I209" t="n">
        <v>110.22</v>
      </c>
      <c r="J209" t="n">
        <v>110.22</v>
      </c>
      <c r="K209" t="n">
        <v>0</v>
      </c>
      <c r="L209" t="n">
        <v>110.22</v>
      </c>
      <c r="M209">
        <f>IF(OR(F209="VOIDED",F209="DELETED"),0,J209-L209)</f>
        <v/>
      </c>
      <c r="N209" t="inlineStr">
        <is>
          <t>Yes</t>
        </is>
      </c>
      <c r="O209" t="inlineStr">
        <is>
          <t>Goods-tagged</t>
        </is>
      </c>
      <c r="P209" t="inlineStr">
        <is>
          <t>.</t>
        </is>
      </c>
      <c r="Q209" t="inlineStr">
        <is>
          <t>xero_tracking</t>
        </is>
      </c>
      <c r="R209" t="inlineStr">
        <is>
          <t>ACT-ST</t>
        </is>
      </c>
      <c r="S209" t="n">
        <v>46211</v>
      </c>
    </row>
    <row r="210" ht="36" customHeight="1">
      <c r="A210" t="inlineStr">
        <is>
          <t>317ace0c-ff30-41e1-b83b-19b2c3cb1fba</t>
        </is>
      </c>
      <c r="B210" t="inlineStr">
        <is>
          <t>22298</t>
        </is>
      </c>
      <c r="C210" s="162" t="n">
        <v>45889</v>
      </c>
      <c r="D210" t="inlineStr">
        <is>
          <t>Devils Marbles Hotel</t>
        </is>
      </c>
      <c r="E210" t="inlineStr">
        <is>
          <t>ACCPAY</t>
        </is>
      </c>
      <c r="F210" t="inlineStr">
        <is>
          <t>AUTHORISED</t>
        </is>
      </c>
      <c r="G210" t="n">
        <v>138.91</v>
      </c>
      <c r="H210" t="n">
        <v>0</v>
      </c>
      <c r="I210" t="n">
        <v>138.91</v>
      </c>
      <c r="J210" t="n">
        <v>0</v>
      </c>
      <c r="K210" t="n">
        <v>138.91</v>
      </c>
      <c r="L210" t="n">
        <v>0</v>
      </c>
      <c r="M210">
        <f>IF(OR(F210="VOIDED",F210="DELETED"),0,J210-L210)</f>
        <v/>
      </c>
      <c r="N210" t="inlineStr">
        <is>
          <t>Yes</t>
        </is>
      </c>
      <c r="O210" t="inlineStr">
        <is>
          <t>Goods-tagged</t>
        </is>
      </c>
      <c r="P210" t="inlineStr">
        <is>
          <t>. / .</t>
        </is>
      </c>
      <c r="Q210" t="inlineStr">
        <is>
          <t>xero_tracking</t>
        </is>
      </c>
      <c r="R210" t="inlineStr">
        <is>
          <t>ACT-ST</t>
        </is>
      </c>
      <c r="S210" t="n">
        <v>46211</v>
      </c>
    </row>
    <row r="211" ht="36" customHeight="1">
      <c r="A211" t="inlineStr">
        <is>
          <t>bf448678-ee33-4953-978f-467f8714b28f</t>
        </is>
      </c>
      <c r="B211" t="inlineStr">
        <is>
          <t>944118</t>
        </is>
      </c>
      <c r="C211" s="162" t="n">
        <v>45889</v>
      </c>
      <c r="D211" t="inlineStr">
        <is>
          <t>United</t>
        </is>
      </c>
      <c r="E211" t="inlineStr">
        <is>
          <t>ACCPAY</t>
        </is>
      </c>
      <c r="F211" t="inlineStr">
        <is>
          <t>PAID</t>
        </is>
      </c>
      <c r="G211" t="n">
        <v>72.41</v>
      </c>
      <c r="H211" t="n">
        <v>7.24</v>
      </c>
      <c r="I211" t="n">
        <v>79.65000000000001</v>
      </c>
      <c r="J211" t="n">
        <v>79.65000000000001</v>
      </c>
      <c r="K211" t="n">
        <v>0</v>
      </c>
      <c r="L211" t="n">
        <v>79.65000000000001</v>
      </c>
      <c r="M211">
        <f>IF(OR(F211="VOIDED",F211="DELETED"),0,J211-L211)</f>
        <v/>
      </c>
      <c r="N211" t="inlineStr">
        <is>
          <t>Yes</t>
        </is>
      </c>
      <c r="O211" t="inlineStr">
        <is>
          <t>Goods-tagged</t>
        </is>
      </c>
      <c r="P211" t="inlineStr">
        <is>
          <t>. / .</t>
        </is>
      </c>
      <c r="Q211" t="inlineStr">
        <is>
          <t>xero_tracking</t>
        </is>
      </c>
      <c r="R211" t="inlineStr">
        <is>
          <t>ACT-ST</t>
        </is>
      </c>
      <c r="S211" t="n">
        <v>46211</v>
      </c>
    </row>
    <row r="212" ht="36" customHeight="1">
      <c r="A212" t="inlineStr">
        <is>
          <t>e8d54949-4559-4671-a84a-59aab5cfdd92</t>
        </is>
      </c>
      <c r="B212" t="inlineStr">
        <is>
          <t>INV-1325</t>
        </is>
      </c>
      <c r="C212" s="162" t="n">
        <v>45889</v>
      </c>
      <c r="D212" t="inlineStr">
        <is>
          <t>Defy Manufacturing</t>
        </is>
      </c>
      <c r="E212" t="inlineStr">
        <is>
          <t>ACCPAY</t>
        </is>
      </c>
      <c r="F212" t="inlineStr">
        <is>
          <t>PAID</t>
        </is>
      </c>
      <c r="G212" t="n">
        <v>2400</v>
      </c>
      <c r="H212" t="n">
        <v>240</v>
      </c>
      <c r="I212" t="n">
        <v>2640</v>
      </c>
      <c r="J212" t="n">
        <v>2640</v>
      </c>
      <c r="K212" t="n">
        <v>0</v>
      </c>
      <c r="L212" t="n">
        <v>2640</v>
      </c>
      <c r="M212">
        <f>IF(OR(F212="VOIDED",F212="DELETED"),0,J212-L212)</f>
        <v/>
      </c>
      <c r="N212" t="inlineStr">
        <is>
          <t>Yes</t>
        </is>
      </c>
      <c r="O212" t="inlineStr">
        <is>
          <t>Goods-tagged</t>
        </is>
      </c>
      <c r="P212" t="inlineStr">
        <is>
          <t>.</t>
        </is>
      </c>
      <c r="Q212" t="inlineStr">
        <is>
          <t>xero_tracking</t>
        </is>
      </c>
      <c r="R212" t="inlineStr">
        <is>
          <t>ACT-ST</t>
        </is>
      </c>
      <c r="S212" t="n">
        <v>46211</v>
      </c>
    </row>
    <row r="213" ht="36" customHeight="1">
      <c r="A213" t="inlineStr">
        <is>
          <t>92683a88-32b6-416a-bac6-736226c3bb6d</t>
        </is>
      </c>
      <c r="B213" t="inlineStr">
        <is>
          <t>INV-1326</t>
        </is>
      </c>
      <c r="C213" s="162" t="n">
        <v>45889</v>
      </c>
      <c r="D213" t="inlineStr">
        <is>
          <t>Defy Manufacturing</t>
        </is>
      </c>
      <c r="E213" t="inlineStr">
        <is>
          <t>ACCPAY</t>
        </is>
      </c>
      <c r="F213" t="inlineStr">
        <is>
          <t>PAID</t>
        </is>
      </c>
      <c r="G213" t="n">
        <v>1200</v>
      </c>
      <c r="H213" t="n">
        <v>120</v>
      </c>
      <c r="I213" t="n">
        <v>1320</v>
      </c>
      <c r="J213" t="n">
        <v>1320</v>
      </c>
      <c r="K213" t="n">
        <v>0</v>
      </c>
      <c r="L213" t="n">
        <v>1320</v>
      </c>
      <c r="M213">
        <f>IF(OR(F213="VOIDED",F213="DELETED"),0,J213-L213)</f>
        <v/>
      </c>
      <c r="N213" t="inlineStr">
        <is>
          <t>Yes</t>
        </is>
      </c>
      <c r="O213" t="inlineStr">
        <is>
          <t>Goods-tagged</t>
        </is>
      </c>
      <c r="P213" t="inlineStr">
        <is>
          <t>.</t>
        </is>
      </c>
      <c r="Q213" t="inlineStr">
        <is>
          <t>xero_tracking</t>
        </is>
      </c>
      <c r="R213" t="inlineStr">
        <is>
          <t>ACT-ST</t>
        </is>
      </c>
      <c r="S213" t="n">
        <v>46211</v>
      </c>
    </row>
    <row r="214" ht="36" customHeight="1">
      <c r="A214" t="inlineStr">
        <is>
          <t>9f2afbcd-1bc0-4be7-b165-9575f5b7f5cb</t>
        </is>
      </c>
      <c r="B214" t="inlineStr">
        <is>
          <t>392555</t>
        </is>
      </c>
      <c r="C214" s="162" t="n">
        <v>45890</v>
      </c>
      <c r="D214" t="inlineStr">
        <is>
          <t>Taxi Receipt</t>
        </is>
      </c>
      <c r="E214" t="inlineStr">
        <is>
          <t>ACCPAY</t>
        </is>
      </c>
      <c r="F214" t="inlineStr">
        <is>
          <t>AUTHORISED</t>
        </is>
      </c>
      <c r="G214" t="n">
        <v>18.35</v>
      </c>
      <c r="H214" t="n">
        <v>0.05</v>
      </c>
      <c r="I214" t="n">
        <v>18.4</v>
      </c>
      <c r="J214" t="n">
        <v>0</v>
      </c>
      <c r="K214" t="n">
        <v>18.4</v>
      </c>
      <c r="L214" t="n">
        <v>0</v>
      </c>
      <c r="M214">
        <f>IF(OR(F214="VOIDED",F214="DELETED"),0,J214-L214)</f>
        <v/>
      </c>
      <c r="N214" t="inlineStr">
        <is>
          <t>Yes</t>
        </is>
      </c>
      <c r="O214" t="inlineStr">
        <is>
          <t>Goods-tagged</t>
        </is>
      </c>
      <c r="P214" t="inlineStr">
        <is>
          <t>. / .</t>
        </is>
      </c>
      <c r="Q214" t="inlineStr">
        <is>
          <t>xero_tracking</t>
        </is>
      </c>
      <c r="R214" t="inlineStr">
        <is>
          <t>ACT-ST</t>
        </is>
      </c>
      <c r="S214" t="n">
        <v>46211</v>
      </c>
    </row>
    <row r="215" ht="36" customHeight="1">
      <c r="A215" t="inlineStr">
        <is>
          <t>15486bba-e902-4cf0-966a-620809bf35e8</t>
        </is>
      </c>
      <c r="B215" t="inlineStr">
        <is>
          <t>682693</t>
        </is>
      </c>
      <c r="C215" s="162" t="n">
        <v>45890</v>
      </c>
      <c r="D215" t="inlineStr">
        <is>
          <t>Page 27</t>
        </is>
      </c>
      <c r="E215" t="inlineStr">
        <is>
          <t>ACCPAY</t>
        </is>
      </c>
      <c r="F215" t="inlineStr">
        <is>
          <t>PAID</t>
        </is>
      </c>
      <c r="G215" t="n">
        <v>43.95</v>
      </c>
      <c r="H215" t="n">
        <v>0</v>
      </c>
      <c r="I215" t="n">
        <v>43.95</v>
      </c>
      <c r="J215" t="n">
        <v>43.95</v>
      </c>
      <c r="K215" t="n">
        <v>0</v>
      </c>
      <c r="L215" t="n">
        <v>43.95</v>
      </c>
      <c r="M215">
        <f>IF(OR(F215="VOIDED",F215="DELETED"),0,J215-L215)</f>
        <v/>
      </c>
      <c r="N215" t="inlineStr">
        <is>
          <t>Yes</t>
        </is>
      </c>
      <c r="O215" t="inlineStr">
        <is>
          <t>Goods-tagged</t>
        </is>
      </c>
      <c r="P215" t="inlineStr">
        <is>
          <t>.</t>
        </is>
      </c>
      <c r="Q215" t="inlineStr">
        <is>
          <t>xero_tracking</t>
        </is>
      </c>
      <c r="R215" t="inlineStr">
        <is>
          <t>ACT-ST</t>
        </is>
      </c>
      <c r="S215" t="n">
        <v>46211</v>
      </c>
    </row>
    <row r="216" ht="36" customHeight="1">
      <c r="A216" t="inlineStr">
        <is>
          <t>2c4bcf9b-f595-4c12-972b-8624a5d68f09</t>
        </is>
      </c>
      <c r="B216" t="inlineStr">
        <is>
          <t>682718</t>
        </is>
      </c>
      <c r="C216" s="162" t="n">
        <v>45890</v>
      </c>
      <c r="D216" t="inlineStr">
        <is>
          <t>Page 27</t>
        </is>
      </c>
      <c r="E216" t="inlineStr">
        <is>
          <t>ACCPAY</t>
        </is>
      </c>
      <c r="F216" t="inlineStr">
        <is>
          <t>PAID</t>
        </is>
      </c>
      <c r="G216" t="n">
        <v>24.26</v>
      </c>
      <c r="H216" t="n">
        <v>0</v>
      </c>
      <c r="I216" t="n">
        <v>24.26</v>
      </c>
      <c r="J216" t="n">
        <v>24.26</v>
      </c>
      <c r="K216" t="n">
        <v>0</v>
      </c>
      <c r="L216" t="n">
        <v>24.26</v>
      </c>
      <c r="M216">
        <f>IF(OR(F216="VOIDED",F216="DELETED"),0,J216-L216)</f>
        <v/>
      </c>
      <c r="N216" t="inlineStr">
        <is>
          <t>Yes</t>
        </is>
      </c>
      <c r="O216" t="inlineStr">
        <is>
          <t>Goods-tagged</t>
        </is>
      </c>
      <c r="P216" t="inlineStr">
        <is>
          <t>.</t>
        </is>
      </c>
      <c r="Q216" t="inlineStr">
        <is>
          <t>xero_tracking</t>
        </is>
      </c>
      <c r="R216" t="inlineStr">
        <is>
          <t>ACT-ST</t>
        </is>
      </c>
      <c r="S216" t="n">
        <v>46211</v>
      </c>
    </row>
    <row r="217" ht="36" customHeight="1">
      <c r="A217" t="inlineStr">
        <is>
          <t>2a9df3ec-2733-42d3-94ad-6434e55e6076</t>
        </is>
      </c>
      <c r="B217" t="inlineStr">
        <is>
          <t>682720</t>
        </is>
      </c>
      <c r="C217" s="162" t="n">
        <v>45890</v>
      </c>
      <c r="D217" t="inlineStr">
        <is>
          <t>Page 27</t>
        </is>
      </c>
      <c r="E217" t="inlineStr">
        <is>
          <t>ACCPAY</t>
        </is>
      </c>
      <c r="F217" t="inlineStr">
        <is>
          <t>PAID</t>
        </is>
      </c>
      <c r="G217" t="n">
        <v>18.07</v>
      </c>
      <c r="H217" t="n">
        <v>0</v>
      </c>
      <c r="I217" t="n">
        <v>18.07</v>
      </c>
      <c r="J217" t="n">
        <v>18.07</v>
      </c>
      <c r="K217" t="n">
        <v>0</v>
      </c>
      <c r="L217" t="n">
        <v>18.07</v>
      </c>
      <c r="M217">
        <f>IF(OR(F217="VOIDED",F217="DELETED"),0,J217-L217)</f>
        <v/>
      </c>
      <c r="N217" t="inlineStr">
        <is>
          <t>Yes</t>
        </is>
      </c>
      <c r="O217" t="inlineStr">
        <is>
          <t>Goods-tagged</t>
        </is>
      </c>
      <c r="P217" t="inlineStr">
        <is>
          <t>.</t>
        </is>
      </c>
      <c r="Q217" t="inlineStr">
        <is>
          <t>xero_tracking</t>
        </is>
      </c>
      <c r="R217" t="inlineStr">
        <is>
          <t>ACT-ST</t>
        </is>
      </c>
      <c r="S217" t="n">
        <v>46211</v>
      </c>
    </row>
    <row r="218" ht="36" customHeight="1">
      <c r="A218" t="inlineStr">
        <is>
          <t>d301c329-0338-4b05-93b9-a577cde5674d</t>
        </is>
      </c>
      <c r="B218" t="inlineStr">
        <is>
          <t>013-93223-6079-2025-08-23</t>
        </is>
      </c>
      <c r="C218" s="162" t="n">
        <v>45892</v>
      </c>
      <c r="D218" t="inlineStr">
        <is>
          <t>Bunnings Warehouse</t>
        </is>
      </c>
      <c r="E218" t="inlineStr">
        <is>
          <t>ACCPAY</t>
        </is>
      </c>
      <c r="F218" t="inlineStr">
        <is>
          <t>PAID</t>
        </is>
      </c>
      <c r="G218" t="n">
        <v>1154.91</v>
      </c>
      <c r="H218" t="n">
        <v>115.49</v>
      </c>
      <c r="I218" t="n">
        <v>1270.4</v>
      </c>
      <c r="J218" t="n">
        <v>1270.4</v>
      </c>
      <c r="K218" t="n">
        <v>0</v>
      </c>
      <c r="L218" t="n">
        <v>1270.4</v>
      </c>
      <c r="M218">
        <f>IF(OR(F218="VOIDED",F218="DELETED"),0,J218-L218)</f>
        <v/>
      </c>
      <c r="N218" t="inlineStr">
        <is>
          <t>Yes</t>
        </is>
      </c>
      <c r="O218" t="inlineStr">
        <is>
          <t>Goods-tagged</t>
        </is>
      </c>
      <c r="P218" t="inlineStr">
        <is>
          <t>.</t>
        </is>
      </c>
      <c r="Q218" t="inlineStr">
        <is>
          <t>xero_tracking</t>
        </is>
      </c>
      <c r="R218" t="inlineStr">
        <is>
          <t>ACT-ST</t>
        </is>
      </c>
      <c r="S218" t="n">
        <v>46211</v>
      </c>
    </row>
    <row r="219" ht="36" customHeight="1">
      <c r="A219" t="inlineStr">
        <is>
          <t>65f4b744-2d80-416f-8243-e8667ba2cff5</t>
        </is>
      </c>
      <c r="B219" t="inlineStr">
        <is>
          <t>689680-6</t>
        </is>
      </c>
      <c r="C219" s="162" t="n">
        <v>45892</v>
      </c>
      <c r="D219" t="inlineStr">
        <is>
          <t>Liberty Maleny</t>
        </is>
      </c>
      <c r="E219" t="inlineStr">
        <is>
          <t>ACCPAY</t>
        </is>
      </c>
      <c r="F219" t="inlineStr">
        <is>
          <t>PAID</t>
        </is>
      </c>
      <c r="G219" t="n">
        <v>228.77</v>
      </c>
      <c r="H219" t="n">
        <v>22.88</v>
      </c>
      <c r="I219" t="n">
        <v>251.65</v>
      </c>
      <c r="J219" t="n">
        <v>251.65</v>
      </c>
      <c r="K219" t="n">
        <v>0</v>
      </c>
      <c r="L219" t="n">
        <v>251.65</v>
      </c>
      <c r="M219">
        <f>IF(OR(F219="VOIDED",F219="DELETED"),0,J219-L219)</f>
        <v/>
      </c>
      <c r="N219" t="inlineStr">
        <is>
          <t>Yes</t>
        </is>
      </c>
      <c r="O219" t="inlineStr">
        <is>
          <t>Goods-tagged</t>
        </is>
      </c>
      <c r="P219" t="inlineStr">
        <is>
          <t>Fuel - Diesel</t>
        </is>
      </c>
      <c r="Q219" t="inlineStr">
        <is>
          <t>xero_tracking</t>
        </is>
      </c>
      <c r="R219" t="inlineStr">
        <is>
          <t>ACT-ST</t>
        </is>
      </c>
      <c r="S219" t="n">
        <v>46211</v>
      </c>
    </row>
    <row r="220" ht="36" customHeight="1">
      <c r="A220" t="inlineStr">
        <is>
          <t>85bbb4af-9ffa-47bd-8a7f-900979f0c277</t>
        </is>
      </c>
      <c r="B220" t="inlineStr">
        <is>
          <t>INV-0268</t>
        </is>
      </c>
      <c r="C220" s="162" t="n">
        <v>45901</v>
      </c>
      <c r="D220" t="inlineStr">
        <is>
          <t>The Snow Foundation</t>
        </is>
      </c>
      <c r="E220" t="inlineStr">
        <is>
          <t>ACCREC</t>
        </is>
      </c>
      <c r="F220" t="inlineStr">
        <is>
          <t>PAID</t>
        </is>
      </c>
      <c r="G220" t="n">
        <v>100000</v>
      </c>
      <c r="H220" t="n">
        <v>10000</v>
      </c>
      <c r="I220" t="n">
        <v>110000</v>
      </c>
      <c r="J220" t="n">
        <v>110000</v>
      </c>
      <c r="K220" t="n">
        <v>0</v>
      </c>
      <c r="L220" t="n">
        <v>110000</v>
      </c>
      <c r="M220">
        <f>IF(OR(F220="VOIDED",F220="DELETED"),0,J220-L220)</f>
        <v/>
      </c>
      <c r="N220" t="inlineStr">
        <is>
          <t>Yes</t>
        </is>
      </c>
      <c r="O220" t="inlineStr">
        <is>
          <t>Goods-tagged</t>
        </is>
      </c>
      <c r="P220" t="inlineStr">
        <is>
          <t>Goods Project // FY26 Q1/Q2 Wages Contribution per funding agreement</t>
        </is>
      </c>
      <c r="Q220" t="inlineStr">
        <is>
          <t>xero_tracking</t>
        </is>
      </c>
      <c r="R220" t="inlineStr">
        <is>
          <t>ACT-ST</t>
        </is>
      </c>
      <c r="S220" t="n">
        <v>46211</v>
      </c>
    </row>
    <row r="221" ht="36" customHeight="1">
      <c r="A221" t="inlineStr">
        <is>
          <t>c66812a6-4119-41ca-975b-70eb3809d3fa</t>
        </is>
      </c>
      <c r="B221" t="inlineStr">
        <is>
          <t>E05F81</t>
        </is>
      </c>
      <c r="C221" s="162" t="n">
        <v>45903</v>
      </c>
      <c r="D221" t="inlineStr">
        <is>
          <t>Ollie In The Alley</t>
        </is>
      </c>
      <c r="E221" t="inlineStr">
        <is>
          <t>ACCPAY</t>
        </is>
      </c>
      <c r="F221" t="inlineStr">
        <is>
          <t>AUTHORISED</t>
        </is>
      </c>
      <c r="G221" t="n">
        <v>4.8</v>
      </c>
      <c r="H221" t="n">
        <v>0</v>
      </c>
      <c r="I221" t="n">
        <v>4.8</v>
      </c>
      <c r="J221" t="n">
        <v>0</v>
      </c>
      <c r="K221" t="n">
        <v>4.8</v>
      </c>
      <c r="L221" t="n">
        <v>0</v>
      </c>
      <c r="M221">
        <f>IF(OR(F221="VOIDED",F221="DELETED"),0,J221-L221)</f>
        <v/>
      </c>
      <c r="N221" t="inlineStr">
        <is>
          <t>Yes</t>
        </is>
      </c>
      <c r="O221" t="inlineStr">
        <is>
          <t>Goods-tagged</t>
        </is>
      </c>
      <c r="P221" t="inlineStr">
        <is>
          <t>.</t>
        </is>
      </c>
      <c r="Q221" t="inlineStr">
        <is>
          <t>xero_tracking</t>
        </is>
      </c>
      <c r="R221" t="inlineStr">
        <is>
          <t>ACT-ST</t>
        </is>
      </c>
      <c r="S221" t="n">
        <v>46211</v>
      </c>
    </row>
    <row r="222" ht="36" customHeight="1">
      <c r="A222" t="inlineStr">
        <is>
          <t>a3c84344-7132-41b9-9e8a-0da0449ac454</t>
        </is>
      </c>
      <c r="B222" t="inlineStr">
        <is>
          <t>008-10107-8220-2025-09-06</t>
        </is>
      </c>
      <c r="C222" s="162" t="n">
        <v>45906</v>
      </c>
      <c r="D222" t="inlineStr">
        <is>
          <t>Bunnings Warehouse</t>
        </is>
      </c>
      <c r="E222" t="inlineStr">
        <is>
          <t>ACCPAY</t>
        </is>
      </c>
      <c r="F222" t="inlineStr">
        <is>
          <t>PAID</t>
        </is>
      </c>
      <c r="G222" t="n">
        <v>976.25</v>
      </c>
      <c r="H222" t="n">
        <v>97.63</v>
      </c>
      <c r="I222" t="n">
        <v>1073.88</v>
      </c>
      <c r="J222" t="n">
        <v>1073.88</v>
      </c>
      <c r="K222" t="n">
        <v>0</v>
      </c>
      <c r="L222" t="n">
        <v>1073.88</v>
      </c>
      <c r="M222">
        <f>IF(OR(F222="VOIDED",F222="DELETED"),0,J222-L222)</f>
        <v/>
      </c>
      <c r="N222" t="inlineStr">
        <is>
          <t>Yes</t>
        </is>
      </c>
      <c r="O222" t="inlineStr">
        <is>
          <t>Goods-tagged</t>
        </is>
      </c>
      <c r="P222" t="inlineStr">
        <is>
          <t>.</t>
        </is>
      </c>
      <c r="Q222" t="inlineStr">
        <is>
          <t>xero_tracking</t>
        </is>
      </c>
      <c r="R222" t="inlineStr">
        <is>
          <t>ACT-ST</t>
        </is>
      </c>
      <c r="S222" t="n">
        <v>46211</v>
      </c>
    </row>
    <row r="223" ht="36" customHeight="1">
      <c r="A223" t="inlineStr">
        <is>
          <t>3fc32e7a-b80a-48e7-b9b0-21261225799d</t>
        </is>
      </c>
      <c r="B223" t="inlineStr">
        <is>
          <t>03033</t>
        </is>
      </c>
      <c r="C223" s="162" t="n">
        <v>45913</v>
      </c>
      <c r="D223" t="inlineStr">
        <is>
          <t>Ampol</t>
        </is>
      </c>
      <c r="E223" t="inlineStr">
        <is>
          <t>ACCPAY</t>
        </is>
      </c>
      <c r="F223" t="inlineStr">
        <is>
          <t>PAID</t>
        </is>
      </c>
      <c r="G223" t="n">
        <v>84.23999999999999</v>
      </c>
      <c r="H223" t="n">
        <v>8.41</v>
      </c>
      <c r="I223" t="n">
        <v>92.65000000000001</v>
      </c>
      <c r="J223" t="n">
        <v>92.65000000000001</v>
      </c>
      <c r="K223" t="n">
        <v>0</v>
      </c>
      <c r="L223" t="n">
        <v>92.65000000000001</v>
      </c>
      <c r="M223">
        <f>IF(OR(F223="VOIDED",F223="DELETED"),0,J223-L223)</f>
        <v/>
      </c>
      <c r="N223" t="inlineStr">
        <is>
          <t>Yes</t>
        </is>
      </c>
      <c r="O223" t="inlineStr">
        <is>
          <t>Goods-tagged</t>
        </is>
      </c>
      <c r="P223" t="inlineStr">
        <is>
          <t>. / .</t>
        </is>
      </c>
      <c r="Q223" t="inlineStr">
        <is>
          <t>xero_tracking</t>
        </is>
      </c>
      <c r="R223" t="inlineStr">
        <is>
          <t>ACT-ST</t>
        </is>
      </c>
      <c r="S223" t="n">
        <v>46211</v>
      </c>
    </row>
    <row r="224" ht="36" customHeight="1">
      <c r="A224" t="inlineStr">
        <is>
          <t>1ca49b54-a417-4756-8c89-fb03ccf0a04b</t>
        </is>
      </c>
      <c r="B224" t="inlineStr">
        <is>
          <t>03034</t>
        </is>
      </c>
      <c r="C224" s="162" t="n">
        <v>45913</v>
      </c>
      <c r="D224" t="inlineStr">
        <is>
          <t>Ampol</t>
        </is>
      </c>
      <c r="E224" t="inlineStr">
        <is>
          <t>ACCPAY</t>
        </is>
      </c>
      <c r="F224" t="inlineStr">
        <is>
          <t>PAID</t>
        </is>
      </c>
      <c r="G224" t="n">
        <v>31.82</v>
      </c>
      <c r="H224" t="n">
        <v>3.18</v>
      </c>
      <c r="I224" t="n">
        <v>35</v>
      </c>
      <c r="J224" t="n">
        <v>35</v>
      </c>
      <c r="K224" t="n">
        <v>0</v>
      </c>
      <c r="L224" t="n">
        <v>35</v>
      </c>
      <c r="M224">
        <f>IF(OR(F224="VOIDED",F224="DELETED"),0,J224-L224)</f>
        <v/>
      </c>
      <c r="N224" t="inlineStr">
        <is>
          <t>Yes</t>
        </is>
      </c>
      <c r="O224" t="inlineStr">
        <is>
          <t>Goods-tagged</t>
        </is>
      </c>
      <c r="P224" t="inlineStr">
        <is>
          <t>.</t>
        </is>
      </c>
      <c r="Q224" t="inlineStr">
        <is>
          <t>xero_tracking</t>
        </is>
      </c>
      <c r="R224" t="inlineStr">
        <is>
          <t>ACT-ST</t>
        </is>
      </c>
      <c r="S224" t="n">
        <v>46211</v>
      </c>
    </row>
    <row r="225" ht="36" customHeight="1">
      <c r="A225" t="inlineStr">
        <is>
          <t>1d2e8a1e-18d4-4b16-8481-702e86276083</t>
        </is>
      </c>
      <c r="B225" t="inlineStr">
        <is>
          <t>412364586</t>
        </is>
      </c>
      <c r="C225" s="162" t="n">
        <v>45913</v>
      </c>
      <c r="D225" t="inlineStr">
        <is>
          <t>Repco</t>
        </is>
      </c>
      <c r="E225" t="inlineStr">
        <is>
          <t>ACCPAY</t>
        </is>
      </c>
      <c r="F225" t="inlineStr">
        <is>
          <t>PAID</t>
        </is>
      </c>
      <c r="G225" t="n">
        <v>349.09</v>
      </c>
      <c r="H225" t="n">
        <v>34.91</v>
      </c>
      <c r="I225" t="n">
        <v>384</v>
      </c>
      <c r="J225" t="n">
        <v>384</v>
      </c>
      <c r="K225" t="n">
        <v>0</v>
      </c>
      <c r="L225" t="n">
        <v>384</v>
      </c>
      <c r="M225">
        <f>IF(OR(F225="VOIDED",F225="DELETED"),0,J225-L225)</f>
        <v/>
      </c>
      <c r="N225" t="inlineStr">
        <is>
          <t>Yes</t>
        </is>
      </c>
      <c r="O225" t="inlineStr">
        <is>
          <t>Goods-tagged</t>
        </is>
      </c>
      <c r="P225" t="inlineStr">
        <is>
          <t>.</t>
        </is>
      </c>
      <c r="Q225" t="inlineStr">
        <is>
          <t>xero_tracking</t>
        </is>
      </c>
      <c r="R225" t="inlineStr">
        <is>
          <t>ACT-ST</t>
        </is>
      </c>
      <c r="S225" t="n">
        <v>46211</v>
      </c>
    </row>
    <row r="226" ht="36" customHeight="1">
      <c r="A226" t="inlineStr">
        <is>
          <t>22f64451-a558-47cc-ae91-2a59b81fe880</t>
        </is>
      </c>
      <c r="B226" t="inlineStr">
        <is>
          <t>RB18040252870</t>
        </is>
      </c>
      <c r="C226" s="162" t="n">
        <v>45913</v>
      </c>
      <c r="D226" t="inlineStr">
        <is>
          <t>Reddy Express</t>
        </is>
      </c>
      <c r="E226" t="inlineStr">
        <is>
          <t>ACCPAY</t>
        </is>
      </c>
      <c r="F226" t="inlineStr">
        <is>
          <t>PAID</t>
        </is>
      </c>
      <c r="G226" t="n">
        <v>54.18</v>
      </c>
      <c r="H226" t="n">
        <v>5.42</v>
      </c>
      <c r="I226" t="n">
        <v>59.6</v>
      </c>
      <c r="J226" t="n">
        <v>59.6</v>
      </c>
      <c r="K226" t="n">
        <v>0</v>
      </c>
      <c r="L226" t="n">
        <v>59.6</v>
      </c>
      <c r="M226">
        <f>IF(OR(F226="VOIDED",F226="DELETED"),0,J226-L226)</f>
        <v/>
      </c>
      <c r="N226" t="inlineStr">
        <is>
          <t>Yes</t>
        </is>
      </c>
      <c r="O226" t="inlineStr">
        <is>
          <t>Goods-tagged</t>
        </is>
      </c>
      <c r="P226" t="inlineStr">
        <is>
          <t>.</t>
        </is>
      </c>
      <c r="Q226" t="inlineStr">
        <is>
          <t>xero_tracking</t>
        </is>
      </c>
      <c r="R226" t="inlineStr">
        <is>
          <t>ACT-ST</t>
        </is>
      </c>
      <c r="S226" t="n">
        <v>46211</v>
      </c>
    </row>
    <row r="227" ht="36" customHeight="1">
      <c r="A227" t="inlineStr">
        <is>
          <t>5d914ac5-9d3d-445b-8952-067621f93f4a</t>
        </is>
      </c>
      <c r="B227" t="inlineStr">
        <is>
          <t>00053426</t>
        </is>
      </c>
      <c r="C227" s="162" t="n">
        <v>45914</v>
      </c>
      <c r="D227" t="inlineStr">
        <is>
          <t>BP</t>
        </is>
      </c>
      <c r="E227" t="inlineStr">
        <is>
          <t>ACCPAY</t>
        </is>
      </c>
      <c r="F227" t="inlineStr">
        <is>
          <t>PAID</t>
        </is>
      </c>
      <c r="G227" t="n">
        <v>55.1</v>
      </c>
      <c r="H227" t="n">
        <v>5.51</v>
      </c>
      <c r="I227" t="n">
        <v>60.61</v>
      </c>
      <c r="J227" t="n">
        <v>60.61</v>
      </c>
      <c r="K227" t="n">
        <v>0</v>
      </c>
      <c r="L227" t="n">
        <v>60.61</v>
      </c>
      <c r="M227">
        <f>IF(OR(F227="VOIDED",F227="DELETED"),0,J227-L227)</f>
        <v/>
      </c>
      <c r="N227" t="inlineStr">
        <is>
          <t>Yes</t>
        </is>
      </c>
      <c r="O227" t="inlineStr">
        <is>
          <t>Goods-tagged</t>
        </is>
      </c>
      <c r="P227" t="inlineStr">
        <is>
          <t>.</t>
        </is>
      </c>
      <c r="Q227" t="inlineStr">
        <is>
          <t>xero_tracking</t>
        </is>
      </c>
      <c r="R227" t="inlineStr">
        <is>
          <t>ACT-ST</t>
        </is>
      </c>
      <c r="S227" t="n">
        <v>46211</v>
      </c>
    </row>
    <row r="228" ht="36" customHeight="1">
      <c r="A228" t="inlineStr">
        <is>
          <t>bec91f81-2bad-4926-8d77-7cf6fc64c75c</t>
        </is>
      </c>
      <c r="B228" t="inlineStr">
        <is>
          <t>00067463</t>
        </is>
      </c>
      <c r="C228" s="162" t="n">
        <v>45914</v>
      </c>
      <c r="D228" t="inlineStr">
        <is>
          <t>Marla Travellers Rest</t>
        </is>
      </c>
      <c r="E228" t="inlineStr">
        <is>
          <t>ACCPAY</t>
        </is>
      </c>
      <c r="F228" t="inlineStr">
        <is>
          <t>PAID</t>
        </is>
      </c>
      <c r="G228" t="n">
        <v>92.73999999999999</v>
      </c>
      <c r="H228" t="n">
        <v>9.27</v>
      </c>
      <c r="I228" t="n">
        <v>102.01</v>
      </c>
      <c r="J228" t="n">
        <v>102.01</v>
      </c>
      <c r="K228" t="n">
        <v>0</v>
      </c>
      <c r="L228" t="n">
        <v>102.01</v>
      </c>
      <c r="M228">
        <f>IF(OR(F228="VOIDED",F228="DELETED"),0,J228-L228)</f>
        <v/>
      </c>
      <c r="N228" t="inlineStr">
        <is>
          <t>Yes</t>
        </is>
      </c>
      <c r="O228" t="inlineStr">
        <is>
          <t>Goods-tagged</t>
        </is>
      </c>
      <c r="P228" t="inlineStr">
        <is>
          <t>.</t>
        </is>
      </c>
      <c r="Q228" t="inlineStr">
        <is>
          <t>xero_tracking</t>
        </is>
      </c>
      <c r="R228" t="inlineStr">
        <is>
          <t>ACT-ST</t>
        </is>
      </c>
      <c r="S228" t="n">
        <v>46211</v>
      </c>
    </row>
    <row r="229" ht="36" customHeight="1">
      <c r="A229" t="inlineStr">
        <is>
          <t>a0ae187d-be05-4f1e-913d-263fe6d3af0b</t>
        </is>
      </c>
      <c r="B229" t="inlineStr">
        <is>
          <t>00419642</t>
        </is>
      </c>
      <c r="C229" s="162" t="n">
        <v>45914</v>
      </c>
      <c r="D229" t="inlineStr">
        <is>
          <t>Shell</t>
        </is>
      </c>
      <c r="E229" t="inlineStr">
        <is>
          <t>ACCPAY</t>
        </is>
      </c>
      <c r="F229" t="inlineStr">
        <is>
          <t>PAID</t>
        </is>
      </c>
      <c r="G229" t="n">
        <v>128.21</v>
      </c>
      <c r="H229" t="n">
        <v>12.82</v>
      </c>
      <c r="I229" t="n">
        <v>141.03</v>
      </c>
      <c r="J229" t="n">
        <v>141.03</v>
      </c>
      <c r="K229" t="n">
        <v>0</v>
      </c>
      <c r="L229" t="n">
        <v>141.03</v>
      </c>
      <c r="M229">
        <f>IF(OR(F229="VOIDED",F229="DELETED"),0,J229-L229)</f>
        <v/>
      </c>
      <c r="N229" t="inlineStr">
        <is>
          <t>Yes</t>
        </is>
      </c>
      <c r="O229" t="inlineStr">
        <is>
          <t>Goods-tagged</t>
        </is>
      </c>
      <c r="P229" t="inlineStr">
        <is>
          <t>.</t>
        </is>
      </c>
      <c r="Q229" t="inlineStr">
        <is>
          <t>xero_tracking</t>
        </is>
      </c>
      <c r="R229" t="inlineStr">
        <is>
          <t>ACT-ST</t>
        </is>
      </c>
      <c r="S229" t="n">
        <v>46211</v>
      </c>
    </row>
    <row r="230" ht="36" customHeight="1">
      <c r="A230" t="inlineStr">
        <is>
          <t>844070c8-21e0-42cd-833e-ea6f90979459</t>
        </is>
      </c>
      <c r="B230" t="inlineStr">
        <is>
          <t>14185</t>
        </is>
      </c>
      <c r="C230" s="162" t="n">
        <v>45914</v>
      </c>
      <c r="D230" t="inlineStr">
        <is>
          <t>The Big Winch</t>
        </is>
      </c>
      <c r="E230" t="inlineStr">
        <is>
          <t>ACCPAY</t>
        </is>
      </c>
      <c r="F230" t="inlineStr">
        <is>
          <t>PAID</t>
        </is>
      </c>
      <c r="G230" t="n">
        <v>37.53</v>
      </c>
      <c r="H230" t="n">
        <v>0</v>
      </c>
      <c r="I230" t="n">
        <v>37.53</v>
      </c>
      <c r="J230" t="n">
        <v>37.53</v>
      </c>
      <c r="K230" t="n">
        <v>0</v>
      </c>
      <c r="L230" t="n">
        <v>37.53</v>
      </c>
      <c r="M230">
        <f>IF(OR(F230="VOIDED",F230="DELETED"),0,J230-L230)</f>
        <v/>
      </c>
      <c r="N230" t="inlineStr">
        <is>
          <t>Yes</t>
        </is>
      </c>
      <c r="O230" t="inlineStr">
        <is>
          <t>Goods-tagged</t>
        </is>
      </c>
      <c r="P230" t="inlineStr">
        <is>
          <t>.</t>
        </is>
      </c>
      <c r="Q230" t="inlineStr">
        <is>
          <t>xero_tracking</t>
        </is>
      </c>
      <c r="R230" t="inlineStr">
        <is>
          <t>ACT-ST</t>
        </is>
      </c>
      <c r="S230" t="n">
        <v>46211</v>
      </c>
    </row>
    <row r="231" ht="36" customHeight="1">
      <c r="A231" t="inlineStr">
        <is>
          <t>0e89ddc1-25a0-472e-b001-a2ae2334e6e9</t>
        </is>
      </c>
      <c r="B231" t="inlineStr">
        <is>
          <t>162890</t>
        </is>
      </c>
      <c r="C231" s="162" t="n">
        <v>45914</v>
      </c>
      <c r="D231" t="inlineStr">
        <is>
          <t>Erldunda Roadhouse</t>
        </is>
      </c>
      <c r="E231" t="inlineStr">
        <is>
          <t>ACCPAY</t>
        </is>
      </c>
      <c r="F231" t="inlineStr">
        <is>
          <t>PAID</t>
        </is>
      </c>
      <c r="G231" t="n">
        <v>114.95</v>
      </c>
      <c r="H231" t="n">
        <v>11.5</v>
      </c>
      <c r="I231" t="n">
        <v>126.45</v>
      </c>
      <c r="J231" t="n">
        <v>126.45</v>
      </c>
      <c r="K231" t="n">
        <v>0</v>
      </c>
      <c r="L231" t="n">
        <v>126.45</v>
      </c>
      <c r="M231">
        <f>IF(OR(F231="VOIDED",F231="DELETED"),0,J231-L231)</f>
        <v/>
      </c>
      <c r="N231" t="inlineStr">
        <is>
          <t>Yes</t>
        </is>
      </c>
      <c r="O231" t="inlineStr">
        <is>
          <t>Goods-tagged</t>
        </is>
      </c>
      <c r="P231" t="inlineStr">
        <is>
          <t>.</t>
        </is>
      </c>
      <c r="Q231" t="inlineStr">
        <is>
          <t>xero_tracking</t>
        </is>
      </c>
      <c r="R231" t="inlineStr">
        <is>
          <t>ACT-ST</t>
        </is>
      </c>
      <c r="S231" t="n">
        <v>46211</v>
      </c>
    </row>
    <row r="232" ht="36" customHeight="1">
      <c r="A232" t="inlineStr">
        <is>
          <t>e4025007-3a93-4bb0-9f69-05e806af1a4e</t>
        </is>
      </c>
      <c r="B232" t="inlineStr">
        <is>
          <t>51245002</t>
        </is>
      </c>
      <c r="C232" s="162" t="n">
        <v>45914</v>
      </c>
      <c r="D232" t="inlineStr">
        <is>
          <t>Lasseters Centre Of Entertainment</t>
        </is>
      </c>
      <c r="E232" t="inlineStr">
        <is>
          <t>ACCPAY</t>
        </is>
      </c>
      <c r="F232" t="inlineStr">
        <is>
          <t>PAID</t>
        </is>
      </c>
      <c r="G232" t="n">
        <v>52.53</v>
      </c>
      <c r="H232" t="n">
        <v>0</v>
      </c>
      <c r="I232" t="n">
        <v>52.53</v>
      </c>
      <c r="J232" t="n">
        <v>52.53</v>
      </c>
      <c r="K232" t="n">
        <v>0</v>
      </c>
      <c r="L232" t="n">
        <v>52.53</v>
      </c>
      <c r="M232">
        <f>IF(OR(F232="VOIDED",F232="DELETED"),0,J232-L232)</f>
        <v/>
      </c>
      <c r="N232" t="inlineStr">
        <is>
          <t>Yes</t>
        </is>
      </c>
      <c r="O232" t="inlineStr">
        <is>
          <t>Goods-tagged</t>
        </is>
      </c>
      <c r="P232" t="inlineStr">
        <is>
          <t>. / .</t>
        </is>
      </c>
      <c r="Q232" t="inlineStr">
        <is>
          <t>xero_tracking</t>
        </is>
      </c>
      <c r="R232" t="inlineStr">
        <is>
          <t>ACT-ST</t>
        </is>
      </c>
      <c r="S232" t="n">
        <v>46211</v>
      </c>
    </row>
    <row r="233" ht="36" customHeight="1">
      <c r="A233" t="inlineStr">
        <is>
          <t>a0fd971a-2bc7-4230-a744-486973895f3d</t>
        </is>
      </c>
      <c r="B233" t="inlineStr">
        <is>
          <t>230379</t>
        </is>
      </c>
      <c r="C233" s="162" t="n">
        <v>45916</v>
      </c>
      <c r="D233" t="inlineStr">
        <is>
          <t>Bunnings Warehouse</t>
        </is>
      </c>
      <c r="E233" t="inlineStr">
        <is>
          <t>ACCPAY</t>
        </is>
      </c>
      <c r="F233" t="inlineStr">
        <is>
          <t>PAID</t>
        </is>
      </c>
      <c r="G233" t="n">
        <v>27.25</v>
      </c>
      <c r="H233" t="n">
        <v>2.72</v>
      </c>
      <c r="I233" t="n">
        <v>29.97</v>
      </c>
      <c r="J233" t="n">
        <v>29.97</v>
      </c>
      <c r="K233" t="n">
        <v>0</v>
      </c>
      <c r="L233" t="n">
        <v>29.97</v>
      </c>
      <c r="M233">
        <f>IF(OR(F233="VOIDED",F233="DELETED"),0,J233-L233)</f>
        <v/>
      </c>
      <c r="N233" t="inlineStr">
        <is>
          <t>Yes</t>
        </is>
      </c>
      <c r="O233" t="inlineStr">
        <is>
          <t>Goods-tagged</t>
        </is>
      </c>
      <c r="P233" t="inlineStr">
        <is>
          <t>.</t>
        </is>
      </c>
      <c r="Q233" t="inlineStr">
        <is>
          <t>xero_tracking</t>
        </is>
      </c>
      <c r="R233" t="inlineStr">
        <is>
          <t>ACT-ST</t>
        </is>
      </c>
      <c r="S233" t="n">
        <v>46211</v>
      </c>
    </row>
    <row r="234" ht="36" customHeight="1">
      <c r="A234" t="inlineStr">
        <is>
          <t>b9d7cd38-4867-4bf4-9b6c-c0e96f319275</t>
        </is>
      </c>
      <c r="B234" t="inlineStr">
        <is>
          <t>958961</t>
        </is>
      </c>
      <c r="C234" s="162" t="n">
        <v>45916</v>
      </c>
      <c r="D234" t="inlineStr">
        <is>
          <t>United</t>
        </is>
      </c>
      <c r="E234" t="inlineStr">
        <is>
          <t>ACCPAY</t>
        </is>
      </c>
      <c r="F234" t="inlineStr">
        <is>
          <t>PAID</t>
        </is>
      </c>
      <c r="G234" t="n">
        <v>75.15000000000001</v>
      </c>
      <c r="H234" t="n">
        <v>7.51</v>
      </c>
      <c r="I234" t="n">
        <v>82.66</v>
      </c>
      <c r="J234" t="n">
        <v>82.66</v>
      </c>
      <c r="K234" t="n">
        <v>0</v>
      </c>
      <c r="L234" t="n">
        <v>82.66</v>
      </c>
      <c r="M234">
        <f>IF(OR(F234="VOIDED",F234="DELETED"),0,J234-L234)</f>
        <v/>
      </c>
      <c r="N234" t="inlineStr">
        <is>
          <t>Yes</t>
        </is>
      </c>
      <c r="O234" t="inlineStr">
        <is>
          <t>Goods-tagged</t>
        </is>
      </c>
      <c r="P234" t="inlineStr">
        <is>
          <t>. / .</t>
        </is>
      </c>
      <c r="Q234" t="inlineStr">
        <is>
          <t>xero_tracking</t>
        </is>
      </c>
      <c r="R234" t="inlineStr">
        <is>
          <t>ACT-ST</t>
        </is>
      </c>
      <c r="S234" t="n">
        <v>46211</v>
      </c>
    </row>
    <row r="235" ht="36" customHeight="1">
      <c r="A235" t="inlineStr">
        <is>
          <t>a1df14f1-418d-4535-9c2d-264a732246d9</t>
        </is>
      </c>
      <c r="B235" t="inlineStr">
        <is>
          <t>RB18067202730</t>
        </is>
      </c>
      <c r="C235" s="162" t="n">
        <v>45916</v>
      </c>
      <c r="D235" t="inlineStr">
        <is>
          <t>Hanuman Alice Springs</t>
        </is>
      </c>
      <c r="E235" t="inlineStr">
        <is>
          <t>ACCPAY</t>
        </is>
      </c>
      <c r="F235" t="inlineStr">
        <is>
          <t>PAID</t>
        </is>
      </c>
      <c r="G235" t="n">
        <v>124.46</v>
      </c>
      <c r="H235" t="n">
        <v>0</v>
      </c>
      <c r="I235" t="n">
        <v>124.46</v>
      </c>
      <c r="J235" t="n">
        <v>124.46</v>
      </c>
      <c r="K235" t="n">
        <v>0</v>
      </c>
      <c r="L235" t="n">
        <v>124.46</v>
      </c>
      <c r="M235">
        <f>IF(OR(F235="VOIDED",F235="DELETED"),0,J235-L235)</f>
        <v/>
      </c>
      <c r="N235" t="inlineStr">
        <is>
          <t>Yes</t>
        </is>
      </c>
      <c r="O235" t="inlineStr">
        <is>
          <t>Goods-tagged</t>
        </is>
      </c>
      <c r="P235" t="inlineStr">
        <is>
          <t>.</t>
        </is>
      </c>
      <c r="Q235" t="inlineStr">
        <is>
          <t>xero_tracking</t>
        </is>
      </c>
      <c r="R235" t="inlineStr">
        <is>
          <t>ACT-ST</t>
        </is>
      </c>
      <c r="S235" t="n">
        <v>46211</v>
      </c>
    </row>
    <row r="236" ht="36" customHeight="1">
      <c r="A236" t="inlineStr">
        <is>
          <t>9f5fe19b-7041-40b5-927b-ee23285fb80a</t>
        </is>
      </c>
      <c r="B236" t="inlineStr">
        <is>
          <t>009367</t>
        </is>
      </c>
      <c r="C236" s="162" t="n">
        <v>45917</v>
      </c>
      <c r="D236" t="inlineStr">
        <is>
          <t>EG Fuelco (Australia)</t>
        </is>
      </c>
      <c r="E236" t="inlineStr">
        <is>
          <t>ACCPAY</t>
        </is>
      </c>
      <c r="F236" t="inlineStr">
        <is>
          <t>PAID</t>
        </is>
      </c>
      <c r="G236" t="n">
        <v>91.95</v>
      </c>
      <c r="H236" t="n">
        <v>8.039999999999999</v>
      </c>
      <c r="I236" t="n">
        <v>99.98999999999999</v>
      </c>
      <c r="J236" t="n">
        <v>99.98999999999999</v>
      </c>
      <c r="K236" t="n">
        <v>0</v>
      </c>
      <c r="L236" t="n">
        <v>99.98999999999999</v>
      </c>
      <c r="M236">
        <f>IF(OR(F236="VOIDED",F236="DELETED"),0,J236-L236)</f>
        <v/>
      </c>
      <c r="N236" t="inlineStr">
        <is>
          <t>Yes</t>
        </is>
      </c>
      <c r="O236" t="inlineStr">
        <is>
          <t>Goods-tagged</t>
        </is>
      </c>
      <c r="P236" t="inlineStr">
        <is>
          <t>Fuel / Fuel</t>
        </is>
      </c>
      <c r="Q236" t="inlineStr">
        <is>
          <t>xero_tracking</t>
        </is>
      </c>
      <c r="R236" t="inlineStr">
        <is>
          <t>ACT-ST</t>
        </is>
      </c>
      <c r="S236" t="n">
        <v>46211</v>
      </c>
    </row>
    <row r="237" ht="36" customHeight="1">
      <c r="A237" t="inlineStr">
        <is>
          <t>ded5ff3d-e751-4794-ab33-c547c1271653</t>
        </is>
      </c>
      <c r="B237" t="inlineStr">
        <is>
          <t>2248803</t>
        </is>
      </c>
      <c r="C237" s="162" t="n">
        <v>45917</v>
      </c>
      <c r="D237" t="inlineStr">
        <is>
          <t>HARVEY NORMAN</t>
        </is>
      </c>
      <c r="E237" t="inlineStr">
        <is>
          <t>ACCPAY</t>
        </is>
      </c>
      <c r="F237" t="inlineStr">
        <is>
          <t>PAID</t>
        </is>
      </c>
      <c r="G237" t="n">
        <v>259.95</v>
      </c>
      <c r="H237" t="n">
        <v>26</v>
      </c>
      <c r="I237" t="n">
        <v>285.95</v>
      </c>
      <c r="J237" t="n">
        <v>285.95</v>
      </c>
      <c r="K237" t="n">
        <v>0</v>
      </c>
      <c r="L237" t="n">
        <v>285.95</v>
      </c>
      <c r="M237">
        <f>IF(OR(F237="VOIDED",F237="DELETED"),0,J237-L237)</f>
        <v/>
      </c>
      <c r="N237" t="inlineStr">
        <is>
          <t>Yes</t>
        </is>
      </c>
      <c r="O237" t="inlineStr">
        <is>
          <t>Goods-tagged</t>
        </is>
      </c>
      <c r="P237" t="inlineStr">
        <is>
          <t>.</t>
        </is>
      </c>
      <c r="Q237" t="inlineStr">
        <is>
          <t>xero_tracking</t>
        </is>
      </c>
      <c r="R237" t="inlineStr">
        <is>
          <t>ACT-ST</t>
        </is>
      </c>
      <c r="S237" t="n">
        <v>46211</v>
      </c>
    </row>
    <row r="238" ht="36" customHeight="1">
      <c r="A238" t="inlineStr">
        <is>
          <t>89503da4-2a91-4bc0-a448-5fae2c77e793</t>
        </is>
      </c>
      <c r="B238" t="inlineStr">
        <is>
          <t>054-0000060469</t>
        </is>
      </c>
      <c r="C238" s="162" t="n">
        <v>45924</v>
      </c>
      <c r="D238" t="inlineStr">
        <is>
          <t>IMC Steakhouse Palmer Street</t>
        </is>
      </c>
      <c r="E238" t="inlineStr">
        <is>
          <t>ACCPAY</t>
        </is>
      </c>
      <c r="F238" t="inlineStr">
        <is>
          <t>PAID</t>
        </is>
      </c>
      <c r="G238" t="n">
        <v>51.98</v>
      </c>
      <c r="H238" t="n">
        <v>0</v>
      </c>
      <c r="I238" t="n">
        <v>51.98</v>
      </c>
      <c r="J238" t="n">
        <v>51.98</v>
      </c>
      <c r="K238" t="n">
        <v>0</v>
      </c>
      <c r="L238" t="n">
        <v>51.98</v>
      </c>
      <c r="M238">
        <f>IF(OR(F238="VOIDED",F238="DELETED"),0,J238-L238)</f>
        <v/>
      </c>
      <c r="N238" t="inlineStr">
        <is>
          <t>Yes</t>
        </is>
      </c>
      <c r="O238" t="inlineStr">
        <is>
          <t>Goods-tagged</t>
        </is>
      </c>
      <c r="P238" t="inlineStr">
        <is>
          <t>. / .</t>
        </is>
      </c>
      <c r="Q238" t="inlineStr">
        <is>
          <t>xero_tracking</t>
        </is>
      </c>
      <c r="R238" t="inlineStr">
        <is>
          <t>ACT-ST</t>
        </is>
      </c>
      <c r="S238" t="n">
        <v>46211</v>
      </c>
    </row>
    <row r="239" ht="36" customHeight="1">
      <c r="A239" t="inlineStr">
        <is>
          <t>9aa31e72-ab06-4a58-ba85-ce56bb538ac9</t>
        </is>
      </c>
      <c r="B239" t="inlineStr">
        <is>
          <t>183711</t>
        </is>
      </c>
      <c r="C239" s="162" t="n">
        <v>45925</v>
      </c>
      <c r="D239" t="inlineStr">
        <is>
          <t>Palm Island</t>
        </is>
      </c>
      <c r="E239" t="inlineStr">
        <is>
          <t>ACCPAY</t>
        </is>
      </c>
      <c r="F239" t="inlineStr">
        <is>
          <t>PAID</t>
        </is>
      </c>
      <c r="G239" t="n">
        <v>55.28</v>
      </c>
      <c r="H239" t="n">
        <v>0.02</v>
      </c>
      <c r="I239" t="n">
        <v>55.3</v>
      </c>
      <c r="J239" t="n">
        <v>55.3</v>
      </c>
      <c r="K239" t="n">
        <v>0</v>
      </c>
      <c r="L239" t="n">
        <v>55.3</v>
      </c>
      <c r="M239">
        <f>IF(OR(F239="VOIDED",F239="DELETED"),0,J239-L239)</f>
        <v/>
      </c>
      <c r="N239" t="inlineStr">
        <is>
          <t>Yes</t>
        </is>
      </c>
      <c r="O239" t="inlineStr">
        <is>
          <t>Goods-tagged</t>
        </is>
      </c>
      <c r="P239" t="inlineStr">
        <is>
          <t>. / .</t>
        </is>
      </c>
      <c r="Q239" t="inlineStr">
        <is>
          <t>xero_tracking</t>
        </is>
      </c>
      <c r="R239" t="inlineStr">
        <is>
          <t>ACT-ST</t>
        </is>
      </c>
      <c r="S239" t="n">
        <v>46211</v>
      </c>
    </row>
    <row r="240" ht="36" customHeight="1">
      <c r="A240" t="inlineStr">
        <is>
          <t>481a53d7-ce35-468e-9168-55c51dd5a9ff</t>
        </is>
      </c>
      <c r="B240" t="inlineStr">
        <is>
          <t>969</t>
        </is>
      </c>
      <c r="C240" s="162" t="n">
        <v>45925</v>
      </c>
      <c r="D240" t="inlineStr">
        <is>
          <t>Nightowl Flinders St</t>
        </is>
      </c>
      <c r="E240" t="inlineStr">
        <is>
          <t>ACCPAY</t>
        </is>
      </c>
      <c r="F240" t="inlineStr">
        <is>
          <t>PAID</t>
        </is>
      </c>
      <c r="G240" t="n">
        <v>20.55</v>
      </c>
      <c r="H240" t="n">
        <v>0</v>
      </c>
      <c r="I240" t="n">
        <v>20.55</v>
      </c>
      <c r="J240" t="n">
        <v>20.55</v>
      </c>
      <c r="K240" t="n">
        <v>0</v>
      </c>
      <c r="L240" t="n">
        <v>20.55</v>
      </c>
      <c r="M240">
        <f>IF(OR(F240="VOIDED",F240="DELETED"),0,J240-L240)</f>
        <v/>
      </c>
      <c r="N240" t="inlineStr">
        <is>
          <t>Yes</t>
        </is>
      </c>
      <c r="O240" t="inlineStr">
        <is>
          <t>Goods-tagged</t>
        </is>
      </c>
      <c r="P240" t="inlineStr">
        <is>
          <t>.</t>
        </is>
      </c>
      <c r="Q240" t="inlineStr">
        <is>
          <t>xero_tracking</t>
        </is>
      </c>
      <c r="R240" t="inlineStr">
        <is>
          <t>ACT-ST</t>
        </is>
      </c>
      <c r="S240" t="n">
        <v>46211</v>
      </c>
    </row>
    <row r="241" ht="36" customHeight="1">
      <c r="A241" t="inlineStr">
        <is>
          <t>48870eb2-c3dc-4988-8a72-4a1332d83eb4</t>
        </is>
      </c>
      <c r="B241" t="inlineStr">
        <is>
          <t>RB18159112290</t>
        </is>
      </c>
      <c r="C241" s="162" t="n">
        <v>45925</v>
      </c>
      <c r="D241" t="inlineStr">
        <is>
          <t>BCF</t>
        </is>
      </c>
      <c r="E241" t="inlineStr">
        <is>
          <t>ACCPAY</t>
        </is>
      </c>
      <c r="F241" t="inlineStr">
        <is>
          <t>PAID</t>
        </is>
      </c>
      <c r="G241" t="n">
        <v>147.17</v>
      </c>
      <c r="H241" t="n">
        <v>14.72</v>
      </c>
      <c r="I241" t="n">
        <v>161.89</v>
      </c>
      <c r="J241" t="n">
        <v>161.89</v>
      </c>
      <c r="K241" t="n">
        <v>0</v>
      </c>
      <c r="L241" t="n">
        <v>161.89</v>
      </c>
      <c r="M241">
        <f>IF(OR(F241="VOIDED",F241="DELETED"),0,J241-L241)</f>
        <v/>
      </c>
      <c r="N241" t="inlineStr">
        <is>
          <t>Yes</t>
        </is>
      </c>
      <c r="O241" t="inlineStr">
        <is>
          <t>Goods-tagged</t>
        </is>
      </c>
      <c r="P241" t="inlineStr">
        <is>
          <t>.</t>
        </is>
      </c>
      <c r="Q241" t="inlineStr">
        <is>
          <t>xero_tracking</t>
        </is>
      </c>
      <c r="R241" t="inlineStr">
        <is>
          <t>ACT-ST</t>
        </is>
      </c>
      <c r="S241" t="n">
        <v>46211</v>
      </c>
    </row>
    <row r="242" ht="36" customHeight="1">
      <c r="A242" t="inlineStr">
        <is>
          <t>e779bddc-5f15-48d4-baeb-54d866905a03</t>
        </is>
      </c>
      <c r="B242" t="inlineStr">
        <is>
          <t>SP-53 0924211113</t>
        </is>
      </c>
      <c r="C242" s="162" t="n">
        <v>45925</v>
      </c>
      <c r="D242" t="inlineStr">
        <is>
          <t>The Pedlar Project</t>
        </is>
      </c>
      <c r="E242" t="inlineStr">
        <is>
          <t>ACCPAY</t>
        </is>
      </c>
      <c r="F242" t="inlineStr">
        <is>
          <t>PAID</t>
        </is>
      </c>
      <c r="G242" t="n">
        <v>27</v>
      </c>
      <c r="H242" t="n">
        <v>0</v>
      </c>
      <c r="I242" t="n">
        <v>27</v>
      </c>
      <c r="J242" t="n">
        <v>27</v>
      </c>
      <c r="K242" t="n">
        <v>0</v>
      </c>
      <c r="L242" t="n">
        <v>27</v>
      </c>
      <c r="M242">
        <f>IF(OR(F242="VOIDED",F242="DELETED"),0,J242-L242)</f>
        <v/>
      </c>
      <c r="N242" t="inlineStr">
        <is>
          <t>Yes</t>
        </is>
      </c>
      <c r="O242" t="inlineStr">
        <is>
          <t>Goods-tagged</t>
        </is>
      </c>
      <c r="P242" t="inlineStr">
        <is>
          <t>.</t>
        </is>
      </c>
      <c r="Q242" t="inlineStr">
        <is>
          <t>xero_tracking</t>
        </is>
      </c>
      <c r="R242" t="inlineStr">
        <is>
          <t>ACT-ST</t>
        </is>
      </c>
      <c r="S242" t="n">
        <v>46211</v>
      </c>
    </row>
    <row r="243" ht="36" customHeight="1">
      <c r="A243" t="inlineStr">
        <is>
          <t>d6929171-3058-404c-8d5b-d060bf35c62f</t>
        </is>
      </c>
      <c r="B243" t="inlineStr">
        <is>
          <t>107513</t>
        </is>
      </c>
      <c r="C243" s="162" t="n">
        <v>45928</v>
      </c>
      <c r="D243" t="inlineStr">
        <is>
          <t>Palm Island</t>
        </is>
      </c>
      <c r="E243" t="inlineStr">
        <is>
          <t>ACCPAY</t>
        </is>
      </c>
      <c r="F243" t="inlineStr">
        <is>
          <t>PAID</t>
        </is>
      </c>
      <c r="G243" t="n">
        <v>38.82</v>
      </c>
      <c r="H243" t="n">
        <v>1.05</v>
      </c>
      <c r="I243" t="n">
        <v>39.87</v>
      </c>
      <c r="J243" t="n">
        <v>39.87</v>
      </c>
      <c r="K243" t="n">
        <v>0</v>
      </c>
      <c r="L243" t="n">
        <v>39.87</v>
      </c>
      <c r="M243">
        <f>IF(OR(F243="VOIDED",F243="DELETED"),0,J243-L243)</f>
        <v/>
      </c>
      <c r="N243" t="inlineStr">
        <is>
          <t>Yes</t>
        </is>
      </c>
      <c r="O243" t="inlineStr">
        <is>
          <t>Goods-tagged</t>
        </is>
      </c>
      <c r="P243" t="inlineStr">
        <is>
          <t>. / .</t>
        </is>
      </c>
      <c r="Q243" t="inlineStr">
        <is>
          <t>xero_tracking</t>
        </is>
      </c>
      <c r="R243" t="inlineStr">
        <is>
          <t>ACT-ST</t>
        </is>
      </c>
      <c r="S243" t="n">
        <v>46211</v>
      </c>
    </row>
    <row r="244" ht="36" customHeight="1">
      <c r="A244" t="inlineStr">
        <is>
          <t>840cd9fe-0345-4cdf-89ad-3da62d00a636</t>
        </is>
      </c>
      <c r="B244" t="inlineStr">
        <is>
          <t>SP-42 0928040832</t>
        </is>
      </c>
      <c r="C244" s="162" t="n">
        <v>45928</v>
      </c>
      <c r="D244" t="inlineStr">
        <is>
          <t>COOLGAREE CAT</t>
        </is>
      </c>
      <c r="E244" t="inlineStr">
        <is>
          <t>ACCPAY</t>
        </is>
      </c>
      <c r="F244" t="inlineStr">
        <is>
          <t>PAID</t>
        </is>
      </c>
      <c r="G244" t="n">
        <v>155.94</v>
      </c>
      <c r="H244" t="n">
        <v>0</v>
      </c>
      <c r="I244" t="n">
        <v>155.94</v>
      </c>
      <c r="J244" t="n">
        <v>155.94</v>
      </c>
      <c r="K244" t="n">
        <v>0</v>
      </c>
      <c r="L244" t="n">
        <v>155.94</v>
      </c>
      <c r="M244">
        <f>IF(OR(F244="VOIDED",F244="DELETED"),0,J244-L244)</f>
        <v/>
      </c>
      <c r="N244" t="inlineStr">
        <is>
          <t>Yes</t>
        </is>
      </c>
      <c r="O244" t="inlineStr">
        <is>
          <t>Goods-tagged</t>
        </is>
      </c>
      <c r="P244" t="inlineStr">
        <is>
          <t>. / .</t>
        </is>
      </c>
      <c r="Q244" t="inlineStr">
        <is>
          <t>xero_tracking</t>
        </is>
      </c>
      <c r="R244" t="inlineStr">
        <is>
          <t>ACT-ST</t>
        </is>
      </c>
      <c r="S244" t="n">
        <v>46211</v>
      </c>
    </row>
    <row r="245" ht="36" customHeight="1">
      <c r="A245" t="inlineStr">
        <is>
          <t>46b7fce7-5ee1-412b-b70e-cd5d24fb8ebf</t>
        </is>
      </c>
      <c r="B245" t="inlineStr">
        <is>
          <t>5clc</t>
        </is>
      </c>
      <c r="C245" s="162" t="n">
        <v>45930</v>
      </c>
      <c r="D245" t="inlineStr">
        <is>
          <t>Fishbowl Darlinghurst</t>
        </is>
      </c>
      <c r="E245" t="inlineStr">
        <is>
          <t>ACCPAY</t>
        </is>
      </c>
      <c r="F245" t="inlineStr">
        <is>
          <t>PAID</t>
        </is>
      </c>
      <c r="G245" t="n">
        <v>64.2</v>
      </c>
      <c r="H245" t="n">
        <v>0</v>
      </c>
      <c r="I245" t="n">
        <v>64.2</v>
      </c>
      <c r="J245" t="n">
        <v>64.2</v>
      </c>
      <c r="K245" t="n">
        <v>0</v>
      </c>
      <c r="L245" t="n">
        <v>64.2</v>
      </c>
      <c r="M245">
        <f>IF(OR(F245="VOIDED",F245="DELETED"),0,J245-L245)</f>
        <v/>
      </c>
      <c r="N245" t="inlineStr">
        <is>
          <t>Yes</t>
        </is>
      </c>
      <c r="O245" t="inlineStr">
        <is>
          <t>Goods-tagged</t>
        </is>
      </c>
      <c r="P245" t="inlineStr">
        <is>
          <t>.</t>
        </is>
      </c>
      <c r="Q245" t="inlineStr">
        <is>
          <t>xero_tracking</t>
        </is>
      </c>
      <c r="R245" t="inlineStr">
        <is>
          <t>ACT-ST</t>
        </is>
      </c>
      <c r="S245" t="n">
        <v>46211</v>
      </c>
    </row>
    <row r="246" ht="36" customHeight="1">
      <c r="A246" t="inlineStr">
        <is>
          <t>a7cf8594-8bb1-4586-a753-2951c72ec0b0</t>
        </is>
      </c>
      <c r="B246" t="inlineStr">
        <is>
          <t>RB18211518940</t>
        </is>
      </c>
      <c r="C246" s="162" t="n">
        <v>45931</v>
      </c>
      <c r="D246" t="inlineStr">
        <is>
          <t>Golosa</t>
        </is>
      </c>
      <c r="E246" t="inlineStr">
        <is>
          <t>ACCPAY</t>
        </is>
      </c>
      <c r="F246" t="inlineStr">
        <is>
          <t>PAID</t>
        </is>
      </c>
      <c r="G246" t="n">
        <v>4.55</v>
      </c>
      <c r="H246" t="n">
        <v>0.45</v>
      </c>
      <c r="I246" t="n">
        <v>5</v>
      </c>
      <c r="J246" t="n">
        <v>5</v>
      </c>
      <c r="K246" t="n">
        <v>0</v>
      </c>
      <c r="L246" t="n">
        <v>5</v>
      </c>
      <c r="M246">
        <f>IF(OR(F246="VOIDED",F246="DELETED"),0,J246-L246)</f>
        <v/>
      </c>
      <c r="N246" t="inlineStr">
        <is>
          <t>Yes</t>
        </is>
      </c>
      <c r="O246" t="inlineStr">
        <is>
          <t>Goods-tagged</t>
        </is>
      </c>
      <c r="P246" t="inlineStr">
        <is>
          <t>.</t>
        </is>
      </c>
      <c r="Q246" t="inlineStr">
        <is>
          <t>xero_tracking</t>
        </is>
      </c>
      <c r="R246" t="inlineStr">
        <is>
          <t>ACT-ST</t>
        </is>
      </c>
      <c r="S246" t="n">
        <v>46211</v>
      </c>
    </row>
    <row r="247" ht="36" customHeight="1">
      <c r="A247" t="inlineStr">
        <is>
          <t>0bc3fb9c-7d6e-4126-afa5-eb0a55967fb0</t>
        </is>
      </c>
      <c r="B247" t="inlineStr">
        <is>
          <t>a158993864</t>
        </is>
      </c>
      <c r="C247" s="162" t="n">
        <v>45931</v>
      </c>
      <c r="D247" t="inlineStr">
        <is>
          <t>The Rusty Rabbit - Dario</t>
        </is>
      </c>
      <c r="E247" t="inlineStr">
        <is>
          <t>ACCPAY</t>
        </is>
      </c>
      <c r="F247" t="inlineStr">
        <is>
          <t>PAID</t>
        </is>
      </c>
      <c r="G247" t="n">
        <v>4.62</v>
      </c>
      <c r="H247" t="n">
        <v>0.45</v>
      </c>
      <c r="I247" t="n">
        <v>5.07</v>
      </c>
      <c r="J247" t="n">
        <v>5.07</v>
      </c>
      <c r="K247" t="n">
        <v>0</v>
      </c>
      <c r="L247" t="n">
        <v>5.07</v>
      </c>
      <c r="M247">
        <f>IF(OR(F247="VOIDED",F247="DELETED"),0,J247-L247)</f>
        <v/>
      </c>
      <c r="N247" t="inlineStr">
        <is>
          <t>Yes</t>
        </is>
      </c>
      <c r="O247" t="inlineStr">
        <is>
          <t>Goods-tagged</t>
        </is>
      </c>
      <c r="P247" t="inlineStr">
        <is>
          <t>. / .</t>
        </is>
      </c>
      <c r="Q247" t="inlineStr">
        <is>
          <t>xero_tracking</t>
        </is>
      </c>
      <c r="R247" t="inlineStr">
        <is>
          <t>ACT-ST</t>
        </is>
      </c>
      <c r="S247" t="n">
        <v>46211</v>
      </c>
    </row>
    <row r="248" ht="36" customHeight="1">
      <c r="A248" t="inlineStr">
        <is>
          <t>89c7d033-ab8e-457a-b1c8-5011c481a288</t>
        </is>
      </c>
      <c r="B248" t="inlineStr">
        <is>
          <t>2325/01130418</t>
        </is>
      </c>
      <c r="C248" s="162" t="n">
        <v>45936</v>
      </c>
      <c r="D248" t="inlineStr">
        <is>
          <t>Bunnings Warehouse</t>
        </is>
      </c>
      <c r="E248" t="inlineStr">
        <is>
          <t>ACCPAY</t>
        </is>
      </c>
      <c r="F248" t="inlineStr">
        <is>
          <t>PAID</t>
        </is>
      </c>
      <c r="G248" t="n">
        <v>337.79</v>
      </c>
      <c r="H248" t="n">
        <v>33.78</v>
      </c>
      <c r="I248" t="n">
        <v>371.57</v>
      </c>
      <c r="J248" t="n">
        <v>371.57</v>
      </c>
      <c r="K248" t="n">
        <v>0</v>
      </c>
      <c r="L248" t="n">
        <v>371.57</v>
      </c>
      <c r="M248">
        <f>IF(OR(F248="VOIDED",F248="DELETED"),0,J248-L248)</f>
        <v/>
      </c>
      <c r="N248" t="inlineStr">
        <is>
          <t>Yes</t>
        </is>
      </c>
      <c r="O248" t="inlineStr">
        <is>
          <t>Goods-tagged</t>
        </is>
      </c>
      <c r="P248" t="inlineStr">
        <is>
          <t>.</t>
        </is>
      </c>
      <c r="Q248" t="inlineStr">
        <is>
          <t>xero_tracking</t>
        </is>
      </c>
      <c r="R248" t="inlineStr">
        <is>
          <t>ACT-ST</t>
        </is>
      </c>
      <c r="S248" t="n">
        <v>46211</v>
      </c>
    </row>
    <row r="249" ht="36" customHeight="1">
      <c r="A249" t="inlineStr">
        <is>
          <t>5f445466-5733-416b-b5fc-9555b170c102</t>
        </is>
      </c>
      <c r="B249" t="inlineStr">
        <is>
          <t>695772</t>
        </is>
      </c>
      <c r="C249" s="162" t="n">
        <v>45936</v>
      </c>
      <c r="D249" t="inlineStr">
        <is>
          <t>Page 27</t>
        </is>
      </c>
      <c r="E249" t="inlineStr">
        <is>
          <t>ACCPAY</t>
        </is>
      </c>
      <c r="F249" t="inlineStr">
        <is>
          <t>PAID</t>
        </is>
      </c>
      <c r="G249" t="n">
        <v>31.06</v>
      </c>
      <c r="H249" t="n">
        <v>0</v>
      </c>
      <c r="I249" t="n">
        <v>31.06</v>
      </c>
      <c r="J249" t="n">
        <v>31.06</v>
      </c>
      <c r="K249" t="n">
        <v>0</v>
      </c>
      <c r="L249" t="n">
        <v>31.06</v>
      </c>
      <c r="M249">
        <f>IF(OR(F249="VOIDED",F249="DELETED"),0,J249-L249)</f>
        <v/>
      </c>
      <c r="N249" t="inlineStr">
        <is>
          <t>Yes</t>
        </is>
      </c>
      <c r="O249" t="inlineStr">
        <is>
          <t>Goods-tagged</t>
        </is>
      </c>
      <c r="P249" t="inlineStr">
        <is>
          <t>.</t>
        </is>
      </c>
      <c r="Q249" t="inlineStr">
        <is>
          <t>xero_tracking</t>
        </is>
      </c>
      <c r="R249" t="inlineStr">
        <is>
          <t>ACT-ST</t>
        </is>
      </c>
      <c r="S249" t="n">
        <v>46211</v>
      </c>
    </row>
    <row r="250" ht="36" customHeight="1">
      <c r="A250" t="inlineStr">
        <is>
          <t>d3180b42-890d-4a44-872b-c00ca8494f8c</t>
        </is>
      </c>
      <c r="B250" t="inlineStr">
        <is>
          <t>695774</t>
        </is>
      </c>
      <c r="C250" s="162" t="n">
        <v>45936</v>
      </c>
      <c r="D250" t="inlineStr">
        <is>
          <t>Page 27</t>
        </is>
      </c>
      <c r="E250" t="inlineStr">
        <is>
          <t>ACCPAY</t>
        </is>
      </c>
      <c r="F250" t="inlineStr">
        <is>
          <t>PAID</t>
        </is>
      </c>
      <c r="G250" t="n">
        <v>15.23</v>
      </c>
      <c r="H250" t="n">
        <v>0</v>
      </c>
      <c r="I250" t="n">
        <v>15.23</v>
      </c>
      <c r="J250" t="n">
        <v>15.23</v>
      </c>
      <c r="K250" t="n">
        <v>0</v>
      </c>
      <c r="L250" t="n">
        <v>15.23</v>
      </c>
      <c r="M250">
        <f>IF(OR(F250="VOIDED",F250="DELETED"),0,J250-L250)</f>
        <v/>
      </c>
      <c r="N250" t="inlineStr">
        <is>
          <t>Yes</t>
        </is>
      </c>
      <c r="O250" t="inlineStr">
        <is>
          <t>Goods-tagged</t>
        </is>
      </c>
      <c r="P250" t="inlineStr">
        <is>
          <t>.</t>
        </is>
      </c>
      <c r="Q250" t="inlineStr">
        <is>
          <t>xero_tracking</t>
        </is>
      </c>
      <c r="R250" t="inlineStr">
        <is>
          <t>ACT-ST</t>
        </is>
      </c>
      <c r="S250" t="n">
        <v>46211</v>
      </c>
    </row>
    <row r="251" ht="36" customHeight="1">
      <c r="A251" t="inlineStr">
        <is>
          <t>84f6b3eb-a036-462b-a258-fd925f07eb0f</t>
        </is>
      </c>
      <c r="C251" s="162" t="n">
        <v>45936</v>
      </c>
      <c r="D251" t="inlineStr">
        <is>
          <t>Metal Manufactures Pty Limited</t>
        </is>
      </c>
      <c r="E251" t="inlineStr">
        <is>
          <t>ACCPAY</t>
        </is>
      </c>
      <c r="F251" t="inlineStr">
        <is>
          <t>AUTHORISED</t>
        </is>
      </c>
      <c r="G251" t="n">
        <v>165.66</v>
      </c>
      <c r="H251" t="n">
        <v>16.57</v>
      </c>
      <c r="I251" t="n">
        <v>182.23</v>
      </c>
      <c r="J251" t="n">
        <v>0</v>
      </c>
      <c r="K251" t="n">
        <v>182.23</v>
      </c>
      <c r="L251" t="n">
        <v>0</v>
      </c>
      <c r="M251">
        <f>IF(OR(F251="VOIDED",F251="DELETED"),0,J251-L251)</f>
        <v/>
      </c>
      <c r="N251" t="inlineStr">
        <is>
          <t>Yes</t>
        </is>
      </c>
      <c r="O251" t="inlineStr">
        <is>
          <t>Goods-tagged</t>
        </is>
      </c>
      <c r="P251" t="inlineStr">
        <is>
          <t>Metal Manufactures — manufacturing — ACT-GD</t>
        </is>
      </c>
      <c r="Q251" t="inlineStr">
        <is>
          <t>xero_tracking</t>
        </is>
      </c>
      <c r="R251" t="inlineStr">
        <is>
          <t>ACT-ST</t>
        </is>
      </c>
      <c r="S251" t="n">
        <v>46211</v>
      </c>
    </row>
    <row r="252" ht="36" customHeight="1">
      <c r="A252" t="inlineStr">
        <is>
          <t>22c6acf1-3416-4477-8218-576758c0b250</t>
        </is>
      </c>
      <c r="B252" t="inlineStr">
        <is>
          <t>RB18261203540</t>
        </is>
      </c>
      <c r="C252" s="162" t="n">
        <v>45936</v>
      </c>
      <c r="D252" t="inlineStr">
        <is>
          <t>Taxi Receipt</t>
        </is>
      </c>
      <c r="E252" t="inlineStr">
        <is>
          <t>ACCPAY</t>
        </is>
      </c>
      <c r="F252" t="inlineStr">
        <is>
          <t>PAID</t>
        </is>
      </c>
      <c r="G252" t="n">
        <v>62.52</v>
      </c>
      <c r="H252" t="n">
        <v>0.27</v>
      </c>
      <c r="I252" t="n">
        <v>62.79</v>
      </c>
      <c r="J252" t="n">
        <v>62.79</v>
      </c>
      <c r="K252" t="n">
        <v>0</v>
      </c>
      <c r="L252" t="n">
        <v>62.79</v>
      </c>
      <c r="M252">
        <f>IF(OR(F252="VOIDED",F252="DELETED"),0,J252-L252)</f>
        <v/>
      </c>
      <c r="N252" t="inlineStr">
        <is>
          <t>Yes</t>
        </is>
      </c>
      <c r="O252" t="inlineStr">
        <is>
          <t>Goods-tagged</t>
        </is>
      </c>
      <c r="P252" t="inlineStr">
        <is>
          <t>. / .</t>
        </is>
      </c>
      <c r="Q252" t="inlineStr">
        <is>
          <t>xero_tracking</t>
        </is>
      </c>
      <c r="R252" t="inlineStr">
        <is>
          <t>ACT-ST</t>
        </is>
      </c>
      <c r="S252" t="n">
        <v>46211</v>
      </c>
    </row>
    <row r="253" ht="36" customHeight="1">
      <c r="A253" t="inlineStr">
        <is>
          <t>23be2453-cd73-4022-801a-ce9d6756d01f</t>
        </is>
      </c>
      <c r="B253" t="inlineStr">
        <is>
          <t>RB18264369910</t>
        </is>
      </c>
      <c r="C253" s="162" t="n">
        <v>45936</v>
      </c>
      <c r="D253" t="inlineStr">
        <is>
          <t>IGA</t>
        </is>
      </c>
      <c r="E253" t="inlineStr">
        <is>
          <t>ACCPAY</t>
        </is>
      </c>
      <c r="F253" t="inlineStr">
        <is>
          <t>PAID</t>
        </is>
      </c>
      <c r="G253" t="n">
        <v>214.61</v>
      </c>
      <c r="H253" t="n">
        <v>0</v>
      </c>
      <c r="I253" t="n">
        <v>214.61</v>
      </c>
      <c r="J253" t="n">
        <v>214.61</v>
      </c>
      <c r="K253" t="n">
        <v>0</v>
      </c>
      <c r="L253" t="n">
        <v>214.61</v>
      </c>
      <c r="M253">
        <f>IF(OR(F253="VOIDED",F253="DELETED"),0,J253-L253)</f>
        <v/>
      </c>
      <c r="N253" t="inlineStr">
        <is>
          <t>Yes</t>
        </is>
      </c>
      <c r="O253" t="inlineStr">
        <is>
          <t>Goods-tagged</t>
        </is>
      </c>
      <c r="P253" t="inlineStr">
        <is>
          <t>.</t>
        </is>
      </c>
      <c r="Q253" t="inlineStr">
        <is>
          <t>xero_tracking</t>
        </is>
      </c>
      <c r="R253" t="inlineStr">
        <is>
          <t>ACT-ST</t>
        </is>
      </c>
      <c r="S253" t="n">
        <v>46211</v>
      </c>
    </row>
    <row r="254" ht="36" customHeight="1">
      <c r="A254" t="inlineStr">
        <is>
          <t>8bd54cd5-cb26-48be-bef8-54a964536c37</t>
        </is>
      </c>
      <c r="B254" t="inlineStr">
        <is>
          <t>RB18270713650</t>
        </is>
      </c>
      <c r="C254" s="162" t="n">
        <v>45936</v>
      </c>
      <c r="D254" t="inlineStr">
        <is>
          <t>Hanuman Alice Springs</t>
        </is>
      </c>
      <c r="E254" t="inlineStr">
        <is>
          <t>ACCPAY</t>
        </is>
      </c>
      <c r="F254" t="inlineStr">
        <is>
          <t>PAID</t>
        </is>
      </c>
      <c r="G254" t="n">
        <v>59.67</v>
      </c>
      <c r="H254" t="n">
        <v>5.86</v>
      </c>
      <c r="I254" t="n">
        <v>65.53</v>
      </c>
      <c r="J254" t="n">
        <v>65.53</v>
      </c>
      <c r="K254" t="n">
        <v>0</v>
      </c>
      <c r="L254" t="n">
        <v>65.53</v>
      </c>
      <c r="M254">
        <f>IF(OR(F254="VOIDED",F254="DELETED"),0,J254-L254)</f>
        <v/>
      </c>
      <c r="N254" t="inlineStr">
        <is>
          <t>Yes</t>
        </is>
      </c>
      <c r="O254" t="inlineStr">
        <is>
          <t>Goods-tagged</t>
        </is>
      </c>
      <c r="P254" t="inlineStr">
        <is>
          <t>. / .</t>
        </is>
      </c>
      <c r="Q254" t="inlineStr">
        <is>
          <t>xero_tracking</t>
        </is>
      </c>
      <c r="R254" t="inlineStr">
        <is>
          <t>ACT-ST</t>
        </is>
      </c>
      <c r="S254" t="n">
        <v>46211</v>
      </c>
    </row>
    <row r="255" ht="36" customHeight="1">
      <c r="A255" t="inlineStr">
        <is>
          <t>403b8d4c-f6c3-4e3c-b262-c2c99ab122d2</t>
        </is>
      </c>
      <c r="B255" t="inlineStr">
        <is>
          <t>RB18277909580</t>
        </is>
      </c>
      <c r="C255" s="162" t="n">
        <v>45937</v>
      </c>
      <c r="D255" t="inlineStr">
        <is>
          <t>Foodbank Of South Au</t>
        </is>
      </c>
      <c r="E255" t="inlineStr">
        <is>
          <t>ACCPAY</t>
        </is>
      </c>
      <c r="F255" t="inlineStr">
        <is>
          <t>PAID</t>
        </is>
      </c>
      <c r="G255" t="n">
        <v>490</v>
      </c>
      <c r="H255" t="n">
        <v>0</v>
      </c>
      <c r="I255" t="n">
        <v>490</v>
      </c>
      <c r="J255" t="n">
        <v>490</v>
      </c>
      <c r="K255" t="n">
        <v>0</v>
      </c>
      <c r="L255" t="n">
        <v>490</v>
      </c>
      <c r="M255">
        <f>IF(OR(F255="VOIDED",F255="DELETED"),0,J255-L255)</f>
        <v/>
      </c>
      <c r="N255" t="inlineStr">
        <is>
          <t>Yes</t>
        </is>
      </c>
      <c r="O255" t="inlineStr">
        <is>
          <t>Goods-tagged</t>
        </is>
      </c>
      <c r="P255" t="inlineStr">
        <is>
          <t>.</t>
        </is>
      </c>
      <c r="Q255" t="inlineStr">
        <is>
          <t>xero_tracking</t>
        </is>
      </c>
      <c r="R255" t="inlineStr">
        <is>
          <t>ACT-ST</t>
        </is>
      </c>
      <c r="S255" t="n">
        <v>46211</v>
      </c>
    </row>
    <row r="256" ht="36" customHeight="1">
      <c r="A256" t="inlineStr">
        <is>
          <t>fe5cba7e-0c08-45c2-80bc-ebac683a2105</t>
        </is>
      </c>
      <c r="B256" t="inlineStr">
        <is>
          <t>S1903X-S1903X02-1759799436050</t>
        </is>
      </c>
      <c r="C256" s="162" t="n">
        <v>45937</v>
      </c>
      <c r="D256" t="inlineStr">
        <is>
          <t>Reddy Express</t>
        </is>
      </c>
      <c r="E256" t="inlineStr">
        <is>
          <t>ACCPAY</t>
        </is>
      </c>
      <c r="F256" t="inlineStr">
        <is>
          <t>PAID</t>
        </is>
      </c>
      <c r="G256" t="n">
        <v>27.05</v>
      </c>
      <c r="H256" t="n">
        <v>2.7</v>
      </c>
      <c r="I256" t="n">
        <v>29.75</v>
      </c>
      <c r="J256" t="n">
        <v>29.75</v>
      </c>
      <c r="K256" t="n">
        <v>0</v>
      </c>
      <c r="L256" t="n">
        <v>29.75</v>
      </c>
      <c r="M256">
        <f>IF(OR(F256="VOIDED",F256="DELETED"),0,J256-L256)</f>
        <v/>
      </c>
      <c r="N256" t="inlineStr">
        <is>
          <t>Yes</t>
        </is>
      </c>
      <c r="O256" t="inlineStr">
        <is>
          <t>Goods-tagged</t>
        </is>
      </c>
      <c r="P256" t="inlineStr">
        <is>
          <t>.</t>
        </is>
      </c>
      <c r="Q256" t="inlineStr">
        <is>
          <t>xero_tracking</t>
        </is>
      </c>
      <c r="R256" t="inlineStr">
        <is>
          <t>ACT-ST</t>
        </is>
      </c>
      <c r="S256" t="n">
        <v>46211</v>
      </c>
    </row>
    <row r="257" ht="36" customHeight="1">
      <c r="A257" t="inlineStr">
        <is>
          <t>6978d2c9-065f-4bf7-a19c-33956fb29507</t>
        </is>
      </c>
      <c r="B257" t="inlineStr">
        <is>
          <t>S1903X-S1903X02-1759800098676</t>
        </is>
      </c>
      <c r="C257" s="162" t="n">
        <v>45937</v>
      </c>
      <c r="D257" t="inlineStr">
        <is>
          <t>Reddy Express</t>
        </is>
      </c>
      <c r="E257" t="inlineStr">
        <is>
          <t>ACCPAY</t>
        </is>
      </c>
      <c r="F257" t="inlineStr">
        <is>
          <t>PAID</t>
        </is>
      </c>
      <c r="G257" t="n">
        <v>71.31999999999999</v>
      </c>
      <c r="H257" t="n">
        <v>7.13</v>
      </c>
      <c r="I257" t="n">
        <v>78.45</v>
      </c>
      <c r="J257" t="n">
        <v>78.45</v>
      </c>
      <c r="K257" t="n">
        <v>0</v>
      </c>
      <c r="L257" t="n">
        <v>78.45</v>
      </c>
      <c r="M257">
        <f>IF(OR(F257="VOIDED",F257="DELETED"),0,J257-L257)</f>
        <v/>
      </c>
      <c r="N257" t="inlineStr">
        <is>
          <t>Yes</t>
        </is>
      </c>
      <c r="O257" t="inlineStr">
        <is>
          <t>Goods-tagged</t>
        </is>
      </c>
      <c r="P257" t="inlineStr">
        <is>
          <t>.</t>
        </is>
      </c>
      <c r="Q257" t="inlineStr">
        <is>
          <t>xero_tracking</t>
        </is>
      </c>
      <c r="R257" t="inlineStr">
        <is>
          <t>ACT-ST</t>
        </is>
      </c>
      <c r="S257" t="n">
        <v>46211</v>
      </c>
    </row>
    <row r="258" ht="36" customHeight="1">
      <c r="A258" t="inlineStr">
        <is>
          <t>c6a4a318-7acb-4072-aef7-f93a9c84960c</t>
        </is>
      </c>
      <c r="B258" t="inlineStr">
        <is>
          <t>000395</t>
        </is>
      </c>
      <c r="C258" s="162" t="n">
        <v>45939</v>
      </c>
      <c r="D258" t="inlineStr">
        <is>
          <t>Arlparra</t>
        </is>
      </c>
      <c r="E258" t="inlineStr">
        <is>
          <t>ACCPAY</t>
        </is>
      </c>
      <c r="F258" t="inlineStr">
        <is>
          <t>PAID</t>
        </is>
      </c>
      <c r="G258" t="n">
        <v>40.09</v>
      </c>
      <c r="H258" t="n">
        <v>1.91</v>
      </c>
      <c r="I258" t="n">
        <v>42</v>
      </c>
      <c r="J258" t="n">
        <v>42</v>
      </c>
      <c r="K258" t="n">
        <v>0</v>
      </c>
      <c r="L258" t="n">
        <v>42</v>
      </c>
      <c r="M258">
        <f>IF(OR(F258="VOIDED",F258="DELETED"),0,J258-L258)</f>
        <v/>
      </c>
      <c r="N258" t="inlineStr">
        <is>
          <t>Yes</t>
        </is>
      </c>
      <c r="O258" t="inlineStr">
        <is>
          <t>Goods-tagged</t>
        </is>
      </c>
      <c r="P258" t="inlineStr">
        <is>
          <t>. / .</t>
        </is>
      </c>
      <c r="Q258" t="inlineStr">
        <is>
          <t>xero_tracking</t>
        </is>
      </c>
      <c r="R258" t="inlineStr">
        <is>
          <t>ACT-ST</t>
        </is>
      </c>
      <c r="S258" t="n">
        <v>46211</v>
      </c>
    </row>
    <row r="259" ht="36" customHeight="1">
      <c r="A259" t="inlineStr">
        <is>
          <t>347d05ba-8dca-47cd-8b87-c23a0fe52795</t>
        </is>
      </c>
      <c r="C259" s="162" t="n">
        <v>45939</v>
      </c>
      <c r="D259" t="inlineStr">
        <is>
          <t>Oonchiumpa Consultancy and Services</t>
        </is>
      </c>
      <c r="E259" t="inlineStr">
        <is>
          <t>ACCPAY</t>
        </is>
      </c>
      <c r="F259" t="inlineStr">
        <is>
          <t>AUTHORISED</t>
        </is>
      </c>
      <c r="G259" t="n">
        <v>17550</v>
      </c>
      <c r="H259" t="n">
        <v>1755</v>
      </c>
      <c r="I259" t="n">
        <v>19305</v>
      </c>
      <c r="J259" t="n">
        <v>0</v>
      </c>
      <c r="K259" t="n">
        <v>19305</v>
      </c>
      <c r="L259" t="n">
        <v>0</v>
      </c>
      <c r="M259">
        <f>IF(OR(F259="VOIDED",F259="DELETED"),0,J259-L259)</f>
        <v/>
      </c>
      <c r="N259" t="inlineStr">
        <is>
          <t>Yes</t>
        </is>
      </c>
      <c r="O259" t="inlineStr">
        <is>
          <t>Goods-tagged</t>
        </is>
      </c>
      <c r="P259" t="inlineStr">
        <is>
          <t>Oonchiumpa Consultancy and Services — Professional Services — ACT-GD</t>
        </is>
      </c>
      <c r="Q259" t="inlineStr">
        <is>
          <t>xero_tracking</t>
        </is>
      </c>
      <c r="R259" t="inlineStr">
        <is>
          <t>ACT-ST</t>
        </is>
      </c>
      <c r="S259" t="n">
        <v>46211</v>
      </c>
    </row>
    <row r="260" ht="36" customHeight="1">
      <c r="A260" t="inlineStr">
        <is>
          <t>53c1a96a-8868-4455-be5e-69d3cd86439e</t>
        </is>
      </c>
      <c r="B260" t="inlineStr">
        <is>
          <t>51302689</t>
        </is>
      </c>
      <c r="C260" s="162" t="n">
        <v>45939</v>
      </c>
      <c r="D260" t="inlineStr">
        <is>
          <t>Lasseters Centre Of Entertainment</t>
        </is>
      </c>
      <c r="E260" t="inlineStr">
        <is>
          <t>ACCPAY</t>
        </is>
      </c>
      <c r="F260" t="inlineStr">
        <is>
          <t>PAID</t>
        </is>
      </c>
      <c r="G260" t="n">
        <v>171.07</v>
      </c>
      <c r="H260" t="n">
        <v>17.11</v>
      </c>
      <c r="I260" t="n">
        <v>188.18</v>
      </c>
      <c r="J260" t="n">
        <v>188.18</v>
      </c>
      <c r="K260" t="n">
        <v>0</v>
      </c>
      <c r="L260" t="n">
        <v>188.18</v>
      </c>
      <c r="M260">
        <f>IF(OR(F260="VOIDED",F260="DELETED"),0,J260-L260)</f>
        <v/>
      </c>
      <c r="N260" t="inlineStr">
        <is>
          <t>Yes</t>
        </is>
      </c>
      <c r="O260" t="inlineStr">
        <is>
          <t>Goods-tagged</t>
        </is>
      </c>
      <c r="P260" t="inlineStr">
        <is>
          <t>.</t>
        </is>
      </c>
      <c r="Q260" t="inlineStr">
        <is>
          <t>xero_tracking</t>
        </is>
      </c>
      <c r="R260" t="inlineStr">
        <is>
          <t>ACT-ST</t>
        </is>
      </c>
      <c r="S260" t="n">
        <v>46211</v>
      </c>
    </row>
    <row r="261" ht="36" customHeight="1">
      <c r="A261" t="inlineStr">
        <is>
          <t>4fa65680-7707-4e50-bfa7-576bcd944ebd</t>
        </is>
      </c>
      <c r="B261" t="inlineStr">
        <is>
          <t>0830/0602/00602</t>
        </is>
      </c>
      <c r="C261" s="162" t="n">
        <v>45940</v>
      </c>
      <c r="D261" t="inlineStr">
        <is>
          <t>Car Park</t>
        </is>
      </c>
      <c r="E261" t="inlineStr">
        <is>
          <t>ACCPAY</t>
        </is>
      </c>
      <c r="F261" t="inlineStr">
        <is>
          <t>PAID</t>
        </is>
      </c>
      <c r="G261" t="n">
        <v>16.36</v>
      </c>
      <c r="H261" t="n">
        <v>1.64</v>
      </c>
      <c r="I261" t="n">
        <v>18</v>
      </c>
      <c r="J261" t="n">
        <v>18</v>
      </c>
      <c r="K261" t="n">
        <v>0</v>
      </c>
      <c r="L261" t="n">
        <v>18</v>
      </c>
      <c r="M261">
        <f>IF(OR(F261="VOIDED",F261="DELETED"),0,J261-L261)</f>
        <v/>
      </c>
      <c r="N261" t="inlineStr">
        <is>
          <t>Yes</t>
        </is>
      </c>
      <c r="O261" t="inlineStr">
        <is>
          <t>Goods-tagged</t>
        </is>
      </c>
      <c r="P261" t="inlineStr">
        <is>
          <t>.</t>
        </is>
      </c>
      <c r="Q261" t="inlineStr">
        <is>
          <t>xero_tracking</t>
        </is>
      </c>
      <c r="R261" t="inlineStr">
        <is>
          <t>ACT-ST</t>
        </is>
      </c>
      <c r="S261" t="n">
        <v>46211</v>
      </c>
    </row>
    <row r="262" ht="36" customHeight="1">
      <c r="A262" t="inlineStr">
        <is>
          <t>6859e7c2-09db-4bb6-8950-0f2af279e625</t>
        </is>
      </c>
      <c r="B262" t="inlineStr">
        <is>
          <t>19251</t>
        </is>
      </c>
      <c r="C262" s="162" t="n">
        <v>45940</v>
      </c>
      <c r="D262" t="inlineStr">
        <is>
          <t>BP Alice Springs</t>
        </is>
      </c>
      <c r="E262" t="inlineStr">
        <is>
          <t>ACCPAY</t>
        </is>
      </c>
      <c r="F262" t="inlineStr">
        <is>
          <t>PAID</t>
        </is>
      </c>
      <c r="G262" t="n">
        <v>122.74</v>
      </c>
      <c r="H262" t="n">
        <v>12.27</v>
      </c>
      <c r="I262" t="n">
        <v>135.01</v>
      </c>
      <c r="J262" t="n">
        <v>135.01</v>
      </c>
      <c r="K262" t="n">
        <v>0</v>
      </c>
      <c r="L262" t="n">
        <v>135.01</v>
      </c>
      <c r="M262">
        <f>IF(OR(F262="VOIDED",F262="DELETED"),0,J262-L262)</f>
        <v/>
      </c>
      <c r="N262" t="inlineStr">
        <is>
          <t>Yes</t>
        </is>
      </c>
      <c r="O262" t="inlineStr">
        <is>
          <t>Goods-tagged</t>
        </is>
      </c>
      <c r="P262" t="inlineStr">
        <is>
          <t>.</t>
        </is>
      </c>
      <c r="Q262" t="inlineStr">
        <is>
          <t>xero_tracking</t>
        </is>
      </c>
      <c r="R262" t="inlineStr">
        <is>
          <t>ACT-ST</t>
        </is>
      </c>
      <c r="S262" t="n">
        <v>46211</v>
      </c>
    </row>
    <row r="263" ht="36" customHeight="1">
      <c r="A263" t="inlineStr">
        <is>
          <t>0d99b196-739e-432b-b903-b61b0e76c040</t>
        </is>
      </c>
      <c r="B263" t="inlineStr">
        <is>
          <t>A2510100007</t>
        </is>
      </c>
      <c r="C263" s="162" t="n">
        <v>45940</v>
      </c>
      <c r="D263" t="inlineStr">
        <is>
          <t>Uncle Don West End</t>
        </is>
      </c>
      <c r="E263" t="inlineStr">
        <is>
          <t>ACCPAY</t>
        </is>
      </c>
      <c r="F263" t="inlineStr">
        <is>
          <t>PAID</t>
        </is>
      </c>
      <c r="G263" t="n">
        <v>81.34</v>
      </c>
      <c r="H263" t="n">
        <v>8</v>
      </c>
      <c r="I263" t="n">
        <v>89.34</v>
      </c>
      <c r="J263" t="n">
        <v>89.34</v>
      </c>
      <c r="K263" t="n">
        <v>0</v>
      </c>
      <c r="L263" t="n">
        <v>89.34</v>
      </c>
      <c r="M263">
        <f>IF(OR(F263="VOIDED",F263="DELETED"),0,J263-L263)</f>
        <v/>
      </c>
      <c r="N263" t="inlineStr">
        <is>
          <t>Yes</t>
        </is>
      </c>
      <c r="O263" t="inlineStr">
        <is>
          <t>Goods-tagged</t>
        </is>
      </c>
      <c r="P263" t="inlineStr">
        <is>
          <t>. / .</t>
        </is>
      </c>
      <c r="Q263" t="inlineStr">
        <is>
          <t>xero_tracking</t>
        </is>
      </c>
      <c r="R263" t="inlineStr">
        <is>
          <t>ACT-ST</t>
        </is>
      </c>
      <c r="S263" t="n">
        <v>46211</v>
      </c>
    </row>
    <row r="264" ht="36" customHeight="1">
      <c r="A264" t="inlineStr">
        <is>
          <t>89eab002-c66a-407b-afe2-000014c38546</t>
        </is>
      </c>
      <c r="B264" t="inlineStr">
        <is>
          <t>7451</t>
        </is>
      </c>
      <c r="C264" s="162" t="n">
        <v>45941</v>
      </c>
      <c r="D264" t="inlineStr">
        <is>
          <t>Coles Supermarkets</t>
        </is>
      </c>
      <c r="E264" t="inlineStr">
        <is>
          <t>ACCPAY</t>
        </is>
      </c>
      <c r="F264" t="inlineStr">
        <is>
          <t>PAID</t>
        </is>
      </c>
      <c r="G264" t="n">
        <v>283.88</v>
      </c>
      <c r="H264" t="n">
        <v>10.67</v>
      </c>
      <c r="I264" t="n">
        <v>294.55</v>
      </c>
      <c r="J264" t="n">
        <v>294.55</v>
      </c>
      <c r="K264" t="n">
        <v>0</v>
      </c>
      <c r="L264" t="n">
        <v>294.55</v>
      </c>
      <c r="M264">
        <f>IF(OR(F264="VOIDED",F264="DELETED"),0,J264-L264)</f>
        <v/>
      </c>
      <c r="N264" t="inlineStr">
        <is>
          <t>Yes</t>
        </is>
      </c>
      <c r="O264" t="inlineStr">
        <is>
          <t>Goods-tagged</t>
        </is>
      </c>
      <c r="P264" t="inlineStr">
        <is>
          <t>. / .</t>
        </is>
      </c>
      <c r="Q264" t="inlineStr">
        <is>
          <t>xero_tracking</t>
        </is>
      </c>
      <c r="R264" t="inlineStr">
        <is>
          <t>ACT-ST</t>
        </is>
      </c>
      <c r="S264" t="n">
        <v>46211</v>
      </c>
    </row>
    <row r="265" ht="36" customHeight="1">
      <c r="A265" t="inlineStr">
        <is>
          <t>957cbe0a-80e3-426c-ab6b-a0a4936506cf</t>
        </is>
      </c>
      <c r="B265" t="inlineStr">
        <is>
          <t>11662</t>
        </is>
      </c>
      <c r="C265" s="162" t="n">
        <v>45942</v>
      </c>
      <c r="D265" t="inlineStr">
        <is>
          <t>Worldsmart Retail</t>
        </is>
      </c>
      <c r="E265" t="inlineStr">
        <is>
          <t>ACCPAY</t>
        </is>
      </c>
      <c r="F265" t="inlineStr">
        <is>
          <t>PAID</t>
        </is>
      </c>
      <c r="G265" t="n">
        <v>240.86</v>
      </c>
      <c r="H265" t="n">
        <v>0</v>
      </c>
      <c r="I265" t="n">
        <v>240.86</v>
      </c>
      <c r="J265" t="n">
        <v>240.86</v>
      </c>
      <c r="K265" t="n">
        <v>0</v>
      </c>
      <c r="L265" t="n">
        <v>240.86</v>
      </c>
      <c r="M265">
        <f>IF(OR(F265="VOIDED",F265="DELETED"),0,J265-L265)</f>
        <v/>
      </c>
      <c r="N265" t="inlineStr">
        <is>
          <t>Yes</t>
        </is>
      </c>
      <c r="O265" t="inlineStr">
        <is>
          <t>Goods-tagged</t>
        </is>
      </c>
      <c r="P265" t="inlineStr">
        <is>
          <t>.</t>
        </is>
      </c>
      <c r="Q265" t="inlineStr">
        <is>
          <t>xero_tracking</t>
        </is>
      </c>
      <c r="R265" t="inlineStr">
        <is>
          <t>ACT-ST</t>
        </is>
      </c>
      <c r="S265" t="n">
        <v>46211</v>
      </c>
    </row>
    <row r="266" ht="36" customHeight="1">
      <c r="A266" t="inlineStr">
        <is>
          <t>b60929aa-e1f5-43f8-9f94-88218cbc762f</t>
        </is>
      </c>
      <c r="B266" t="inlineStr">
        <is>
          <t>35825</t>
        </is>
      </c>
      <c r="C266" s="162" t="n">
        <v>45942</v>
      </c>
      <c r="D266" t="inlineStr">
        <is>
          <t>One68 General Store &amp; Takeaway</t>
        </is>
      </c>
      <c r="E266" t="inlineStr">
        <is>
          <t>ACCPAY</t>
        </is>
      </c>
      <c r="F266" t="inlineStr">
        <is>
          <t>PAID</t>
        </is>
      </c>
      <c r="G266" t="n">
        <v>101.77</v>
      </c>
      <c r="H266" t="n">
        <v>10.18</v>
      </c>
      <c r="I266" t="n">
        <v>111.95</v>
      </c>
      <c r="J266" t="n">
        <v>111.95</v>
      </c>
      <c r="K266" t="n">
        <v>0</v>
      </c>
      <c r="L266" t="n">
        <v>111.95</v>
      </c>
      <c r="M266">
        <f>IF(OR(F266="VOIDED",F266="DELETED"),0,J266-L266)</f>
        <v/>
      </c>
      <c r="N266" t="inlineStr">
        <is>
          <t>Yes</t>
        </is>
      </c>
      <c r="O266" t="inlineStr">
        <is>
          <t>Goods-tagged</t>
        </is>
      </c>
      <c r="P266" t="inlineStr">
        <is>
          <t>.</t>
        </is>
      </c>
      <c r="Q266" t="inlineStr">
        <is>
          <t>xero_tracking</t>
        </is>
      </c>
      <c r="R266" t="inlineStr">
        <is>
          <t>ACT-ST</t>
        </is>
      </c>
      <c r="S266" t="n">
        <v>46211</v>
      </c>
    </row>
    <row r="267" ht="36" customHeight="1">
      <c r="A267" t="inlineStr">
        <is>
          <t>fa63e7b3-a973-44a8-bd96-7a2ac631bbf7</t>
        </is>
      </c>
      <c r="B267" t="inlineStr">
        <is>
          <t>10903</t>
        </is>
      </c>
      <c r="C267" s="162" t="n">
        <v>45944</v>
      </c>
      <c r="D267" t="inlineStr">
        <is>
          <t>BP</t>
        </is>
      </c>
      <c r="E267" t="inlineStr">
        <is>
          <t>ACCPAY</t>
        </is>
      </c>
      <c r="F267" t="inlineStr">
        <is>
          <t>PAID</t>
        </is>
      </c>
      <c r="G267" t="n">
        <v>114.12</v>
      </c>
      <c r="H267" t="n">
        <v>11.42</v>
      </c>
      <c r="I267" t="n">
        <v>125.54</v>
      </c>
      <c r="J267" t="n">
        <v>125.54</v>
      </c>
      <c r="K267" t="n">
        <v>0</v>
      </c>
      <c r="L267" t="n">
        <v>125.54</v>
      </c>
      <c r="M267">
        <f>IF(OR(F267="VOIDED",F267="DELETED"),0,J267-L267)</f>
        <v/>
      </c>
      <c r="N267" t="inlineStr">
        <is>
          <t>Yes</t>
        </is>
      </c>
      <c r="O267" t="inlineStr">
        <is>
          <t>Goods-tagged</t>
        </is>
      </c>
      <c r="P267" t="inlineStr">
        <is>
          <t>.</t>
        </is>
      </c>
      <c r="Q267" t="inlineStr">
        <is>
          <t>xero_tracking</t>
        </is>
      </c>
      <c r="R267" t="inlineStr">
        <is>
          <t>ACT-ST</t>
        </is>
      </c>
      <c r="S267" t="n">
        <v>46211</v>
      </c>
    </row>
    <row r="268" ht="36" customHeight="1">
      <c r="A268" t="inlineStr">
        <is>
          <t>b532a699-fa93-4e23-9be7-f3436262188f</t>
        </is>
      </c>
      <c r="B268" t="inlineStr">
        <is>
          <t>461518</t>
        </is>
      </c>
      <c r="C268" s="162" t="n">
        <v>45944</v>
      </c>
      <c r="D268" t="inlineStr">
        <is>
          <t>Lola's Pergola</t>
        </is>
      </c>
      <c r="E268" t="inlineStr">
        <is>
          <t>ACCPAY</t>
        </is>
      </c>
      <c r="F268" t="inlineStr">
        <is>
          <t>PAID</t>
        </is>
      </c>
      <c r="G268" t="n">
        <v>133.92</v>
      </c>
      <c r="H268" t="n">
        <v>13.18</v>
      </c>
      <c r="I268" t="n">
        <v>147.1</v>
      </c>
      <c r="J268" t="n">
        <v>147.1</v>
      </c>
      <c r="K268" t="n">
        <v>0</v>
      </c>
      <c r="L268" t="n">
        <v>147.1</v>
      </c>
      <c r="M268">
        <f>IF(OR(F268="VOIDED",F268="DELETED"),0,J268-L268)</f>
        <v/>
      </c>
      <c r="N268" t="inlineStr">
        <is>
          <t>Yes</t>
        </is>
      </c>
      <c r="O268" t="inlineStr">
        <is>
          <t>Goods-tagged</t>
        </is>
      </c>
      <c r="P268" t="inlineStr">
        <is>
          <t>. / .</t>
        </is>
      </c>
      <c r="Q268" t="inlineStr">
        <is>
          <t>xero_tracking</t>
        </is>
      </c>
      <c r="R268" t="inlineStr">
        <is>
          <t>ACT-ST</t>
        </is>
      </c>
      <c r="S268" t="n">
        <v>46211</v>
      </c>
    </row>
    <row r="269" ht="36" customHeight="1">
      <c r="A269" t="inlineStr">
        <is>
          <t>a6111094-876e-4541-bfe7-6f32ae9a82de</t>
        </is>
      </c>
      <c r="B269" t="inlineStr">
        <is>
          <t>Suk000052</t>
        </is>
      </c>
      <c r="C269" s="162" t="n">
        <v>45949</v>
      </c>
      <c r="D269" t="inlineStr">
        <is>
          <t>Sukhothai Authentic Thai Restaurant</t>
        </is>
      </c>
      <c r="E269" t="inlineStr">
        <is>
          <t>ACCPAY</t>
        </is>
      </c>
      <c r="F269" t="inlineStr">
        <is>
          <t>PAID</t>
        </is>
      </c>
      <c r="G269" t="n">
        <v>87.19</v>
      </c>
      <c r="H269" t="n">
        <v>8.91</v>
      </c>
      <c r="I269" t="n">
        <v>96.09999999999999</v>
      </c>
      <c r="J269" t="n">
        <v>96.09999999999999</v>
      </c>
      <c r="K269" t="n">
        <v>0</v>
      </c>
      <c r="L269" t="n">
        <v>96.09999999999999</v>
      </c>
      <c r="M269">
        <f>IF(OR(F269="VOIDED",F269="DELETED"),0,J269-L269)</f>
        <v/>
      </c>
      <c r="N269" t="inlineStr">
        <is>
          <t>Yes</t>
        </is>
      </c>
      <c r="O269" t="inlineStr">
        <is>
          <t>Goods-tagged</t>
        </is>
      </c>
      <c r="P269" t="inlineStr">
        <is>
          <t>.</t>
        </is>
      </c>
      <c r="Q269" t="inlineStr">
        <is>
          <t>xero_tracking</t>
        </is>
      </c>
      <c r="R269" t="inlineStr">
        <is>
          <t>ACT-ST</t>
        </is>
      </c>
      <c r="S269" t="n">
        <v>46211</v>
      </c>
    </row>
    <row r="270" ht="36" customHeight="1">
      <c r="A270" t="inlineStr">
        <is>
          <t>a84b74a0-9af7-4728-91dd-322f447aaa01</t>
        </is>
      </c>
      <c r="B270" t="inlineStr">
        <is>
          <t>001 001 016827 0001</t>
        </is>
      </c>
      <c r="C270" s="162" t="n">
        <v>45951</v>
      </c>
      <c r="D270" t="inlineStr">
        <is>
          <t>Cafe Mia</t>
        </is>
      </c>
      <c r="E270" t="inlineStr">
        <is>
          <t>ACCPAY</t>
        </is>
      </c>
      <c r="F270" t="inlineStr">
        <is>
          <t>AUTHORISED</t>
        </is>
      </c>
      <c r="G270" t="n">
        <v>21.19</v>
      </c>
      <c r="H270" t="n">
        <v>2.11</v>
      </c>
      <c r="I270" t="n">
        <v>23.3</v>
      </c>
      <c r="J270" t="n">
        <v>0</v>
      </c>
      <c r="K270" t="n">
        <v>23.3</v>
      </c>
      <c r="L270" t="n">
        <v>0</v>
      </c>
      <c r="M270">
        <f>IF(OR(F270="VOIDED",F270="DELETED"),0,J270-L270)</f>
        <v/>
      </c>
      <c r="N270" t="inlineStr">
        <is>
          <t>Yes</t>
        </is>
      </c>
      <c r="O270" t="inlineStr">
        <is>
          <t>Goods-tagged</t>
        </is>
      </c>
      <c r="P270" t="inlineStr">
        <is>
          <t>. / .</t>
        </is>
      </c>
      <c r="Q270" t="inlineStr">
        <is>
          <t>xero_tracking</t>
        </is>
      </c>
      <c r="R270" t="inlineStr">
        <is>
          <t>ACT-ST</t>
        </is>
      </c>
      <c r="S270" t="n">
        <v>46211</v>
      </c>
    </row>
    <row r="271" ht="36" customHeight="1">
      <c r="A271" t="inlineStr">
        <is>
          <t>48b7c583-3975-46fe-b74c-09e63af9fdc4</t>
        </is>
      </c>
      <c r="B271" t="inlineStr">
        <is>
          <t>7313/09607544</t>
        </is>
      </c>
      <c r="C271" s="162" t="n">
        <v>45951</v>
      </c>
      <c r="D271" t="inlineStr">
        <is>
          <t>Bunnings Warehouse</t>
        </is>
      </c>
      <c r="E271" t="inlineStr">
        <is>
          <t>ACCPAY</t>
        </is>
      </c>
      <c r="F271" t="inlineStr">
        <is>
          <t>PAID</t>
        </is>
      </c>
      <c r="G271" t="n">
        <v>309.21</v>
      </c>
      <c r="H271" t="n">
        <v>30.92</v>
      </c>
      <c r="I271" t="n">
        <v>340.13</v>
      </c>
      <c r="J271" t="n">
        <v>340.13</v>
      </c>
      <c r="K271" t="n">
        <v>0</v>
      </c>
      <c r="L271" t="n">
        <v>340.13</v>
      </c>
      <c r="M271">
        <f>IF(OR(F271="VOIDED",F271="DELETED"),0,J271-L271)</f>
        <v/>
      </c>
      <c r="N271" t="inlineStr">
        <is>
          <t>Yes</t>
        </is>
      </c>
      <c r="O271" t="inlineStr">
        <is>
          <t>Goods-tagged</t>
        </is>
      </c>
      <c r="P271" t="inlineStr">
        <is>
          <t>.</t>
        </is>
      </c>
      <c r="Q271" t="inlineStr">
        <is>
          <t>xero_tracking</t>
        </is>
      </c>
      <c r="R271" t="inlineStr">
        <is>
          <t>ACT-ST</t>
        </is>
      </c>
      <c r="S271" t="n">
        <v>46211</v>
      </c>
    </row>
    <row r="272" ht="50" customHeight="1">
      <c r="A272" t="inlineStr">
        <is>
          <t>00c521ef-d25e-4284-bbcb-739f838c265a</t>
        </is>
      </c>
      <c r="B272" t="inlineStr">
        <is>
          <t>INV-0282</t>
        </is>
      </c>
      <c r="C272" s="162" t="n">
        <v>45951</v>
      </c>
      <c r="D272" t="inlineStr">
        <is>
          <t>Julalikari Council Aboriginal Corporation</t>
        </is>
      </c>
      <c r="E272" t="inlineStr">
        <is>
          <t>ACCREC</t>
        </is>
      </c>
      <c r="F272" t="inlineStr">
        <is>
          <t>PAID</t>
        </is>
      </c>
      <c r="G272" t="n">
        <v>18000</v>
      </c>
      <c r="H272" t="n">
        <v>1800</v>
      </c>
      <c r="I272" t="n">
        <v>19800</v>
      </c>
      <c r="J272" t="n">
        <v>19800</v>
      </c>
      <c r="K272" t="n">
        <v>0</v>
      </c>
      <c r="L272" t="n">
        <v>19800</v>
      </c>
      <c r="M272">
        <f>IF(OR(F272="VOIDED",F272="DELETED"),0,J272-L272)</f>
        <v/>
      </c>
      <c r="N272" t="inlineStr">
        <is>
          <t>Yes</t>
        </is>
      </c>
      <c r="O272" t="inlineStr">
        <is>
          <t>Goods-tagged</t>
        </is>
      </c>
      <c r="P272" t="inlineStr">
        <is>
          <t>Goods Indestructible Washing Machine v1 / Delivery and installation in Tennant Creek / Discount - in kind delivery and install</t>
        </is>
      </c>
      <c r="Q272" t="inlineStr">
        <is>
          <t>xero_tracking</t>
        </is>
      </c>
      <c r="R272" t="inlineStr">
        <is>
          <t>ACT-ST</t>
        </is>
      </c>
      <c r="S272" t="n">
        <v>46211</v>
      </c>
    </row>
    <row r="273" ht="36" customHeight="1">
      <c r="A273" t="inlineStr">
        <is>
          <t>0c9fee5d-3200-4b6a-8c4c-dbef759336ac</t>
        </is>
      </c>
      <c r="B273" t="inlineStr">
        <is>
          <t>INV-0283</t>
        </is>
      </c>
      <c r="C273" s="162" t="n">
        <v>45951</v>
      </c>
      <c r="D273" t="inlineStr">
        <is>
          <t>Mala’la Health Service Aboriginal Corporation</t>
        </is>
      </c>
      <c r="E273" t="inlineStr">
        <is>
          <t>ACCREC</t>
        </is>
      </c>
      <c r="F273" t="inlineStr">
        <is>
          <t>PAID</t>
        </is>
      </c>
      <c r="G273" t="n">
        <v>4940</v>
      </c>
      <c r="H273" t="n">
        <v>494</v>
      </c>
      <c r="I273" t="n">
        <v>5434</v>
      </c>
      <c r="J273" t="n">
        <v>5434</v>
      </c>
      <c r="K273" t="n">
        <v>0</v>
      </c>
      <c r="L273" t="n">
        <v>5434</v>
      </c>
      <c r="M273">
        <f>IF(OR(F273="VOIDED",F273="DELETED"),0,J273-L273)</f>
        <v/>
      </c>
      <c r="N273" t="inlineStr">
        <is>
          <t>Yes</t>
        </is>
      </c>
      <c r="O273" t="inlineStr">
        <is>
          <t>Goods-tagged</t>
        </is>
      </c>
      <c r="P273" t="inlineStr">
        <is>
          <t>Goods Basket Bed v2.1 / Shipping</t>
        </is>
      </c>
      <c r="Q273" t="inlineStr">
        <is>
          <t>xero_tracking</t>
        </is>
      </c>
      <c r="R273" t="inlineStr">
        <is>
          <t>ACT-ST</t>
        </is>
      </c>
      <c r="S273" t="n">
        <v>46211</v>
      </c>
    </row>
    <row r="274" ht="36" customHeight="1">
      <c r="A274" t="inlineStr">
        <is>
          <t>ffe291e8-bca8-4a5a-b86c-1c437241b243</t>
        </is>
      </c>
      <c r="B274" t="inlineStr">
        <is>
          <t>1459</t>
        </is>
      </c>
      <c r="C274" s="162" t="n">
        <v>45952</v>
      </c>
      <c r="D274" t="inlineStr">
        <is>
          <t>Metro</t>
        </is>
      </c>
      <c r="E274" t="inlineStr">
        <is>
          <t>ACCPAY</t>
        </is>
      </c>
      <c r="F274" t="inlineStr">
        <is>
          <t>PAID</t>
        </is>
      </c>
      <c r="G274" t="n">
        <v>159.19</v>
      </c>
      <c r="H274" t="n">
        <v>14.64</v>
      </c>
      <c r="I274" t="n">
        <v>173.83</v>
      </c>
      <c r="J274" t="n">
        <v>173.83</v>
      </c>
      <c r="K274" t="n">
        <v>0</v>
      </c>
      <c r="L274" t="n">
        <v>173.83</v>
      </c>
      <c r="M274">
        <f>IF(OR(F274="VOIDED",F274="DELETED"),0,J274-L274)</f>
        <v/>
      </c>
      <c r="N274" t="inlineStr">
        <is>
          <t>Yes</t>
        </is>
      </c>
      <c r="O274" t="inlineStr">
        <is>
          <t>Goods-tagged</t>
        </is>
      </c>
      <c r="P274" t="inlineStr">
        <is>
          <t>. / .</t>
        </is>
      </c>
      <c r="Q274" t="inlineStr">
        <is>
          <t>xero_tracking</t>
        </is>
      </c>
      <c r="R274" t="inlineStr">
        <is>
          <t>ACT-ST</t>
        </is>
      </c>
      <c r="S274" t="n">
        <v>46211</v>
      </c>
    </row>
    <row r="275" ht="36" customHeight="1">
      <c r="A275" t="inlineStr">
        <is>
          <t>e9a3a2fe-d2b7-4eed-9db7-b0cc181bf696</t>
        </is>
      </c>
      <c r="B275" t="inlineStr">
        <is>
          <t>f7w1</t>
        </is>
      </c>
      <c r="C275" s="162" t="n">
        <v>45952</v>
      </c>
      <c r="D275" t="inlineStr">
        <is>
          <t>George St Deli</t>
        </is>
      </c>
      <c r="E275" t="inlineStr">
        <is>
          <t>ACCPAY</t>
        </is>
      </c>
      <c r="F275" t="inlineStr">
        <is>
          <t>PAID</t>
        </is>
      </c>
      <c r="G275" t="n">
        <v>70.27</v>
      </c>
      <c r="H275" t="n">
        <v>7.03</v>
      </c>
      <c r="I275" t="n">
        <v>77.3</v>
      </c>
      <c r="J275" t="n">
        <v>77.3</v>
      </c>
      <c r="K275" t="n">
        <v>0</v>
      </c>
      <c r="L275" t="n">
        <v>77.3</v>
      </c>
      <c r="M275">
        <f>IF(OR(F275="VOIDED",F275="DELETED"),0,J275-L275)</f>
        <v/>
      </c>
      <c r="N275" t="inlineStr">
        <is>
          <t>Yes</t>
        </is>
      </c>
      <c r="O275" t="inlineStr">
        <is>
          <t>Goods-tagged</t>
        </is>
      </c>
      <c r="P275" t="inlineStr">
        <is>
          <t>.</t>
        </is>
      </c>
      <c r="Q275" t="inlineStr">
        <is>
          <t>xero_tracking</t>
        </is>
      </c>
      <c r="R275" t="inlineStr">
        <is>
          <t>ACT-ST</t>
        </is>
      </c>
      <c r="S275" t="n">
        <v>46211</v>
      </c>
    </row>
    <row r="276" ht="36" customHeight="1">
      <c r="A276" t="inlineStr">
        <is>
          <t>adbfd9c2-75c5-4d10-b74b-bc56e355caa9</t>
        </is>
      </c>
      <c r="B276" t="inlineStr">
        <is>
          <t>12913</t>
        </is>
      </c>
      <c r="C276" s="162" t="n">
        <v>45957</v>
      </c>
      <c r="D276" t="inlineStr">
        <is>
          <t>Maleny Hotel</t>
        </is>
      </c>
      <c r="E276" t="inlineStr">
        <is>
          <t>ACCPAY</t>
        </is>
      </c>
      <c r="F276" t="inlineStr">
        <is>
          <t>PAID</t>
        </is>
      </c>
      <c r="G276" t="n">
        <v>81.81</v>
      </c>
      <c r="H276" t="n">
        <v>0</v>
      </c>
      <c r="I276" t="n">
        <v>81.81</v>
      </c>
      <c r="J276" t="n">
        <v>81.81</v>
      </c>
      <c r="K276" t="n">
        <v>0</v>
      </c>
      <c r="L276" t="n">
        <v>81.81</v>
      </c>
      <c r="M276">
        <f>IF(OR(F276="VOIDED",F276="DELETED"),0,J276-L276)</f>
        <v/>
      </c>
      <c r="N276" t="inlineStr">
        <is>
          <t>Yes</t>
        </is>
      </c>
      <c r="O276" t="inlineStr">
        <is>
          <t>Goods-tagged</t>
        </is>
      </c>
      <c r="P276" t="inlineStr">
        <is>
          <t>.</t>
        </is>
      </c>
      <c r="Q276" t="inlineStr">
        <is>
          <t>xero_tracking</t>
        </is>
      </c>
      <c r="R276" t="inlineStr">
        <is>
          <t>ACT-ST</t>
        </is>
      </c>
      <c r="S276" t="n">
        <v>46211</v>
      </c>
    </row>
    <row r="277" ht="36" customHeight="1">
      <c r="A277" t="inlineStr">
        <is>
          <t>83054cc2-aa1b-46a8-b2b3-fa12830a8a5c</t>
        </is>
      </c>
      <c r="B277" t="inlineStr">
        <is>
          <t>715332-6</t>
        </is>
      </c>
      <c r="C277" s="162" t="n">
        <v>45957</v>
      </c>
      <c r="D277" t="inlineStr">
        <is>
          <t>Liberty Maleny</t>
        </is>
      </c>
      <c r="E277" t="inlineStr">
        <is>
          <t>ACCPAY</t>
        </is>
      </c>
      <c r="F277" t="inlineStr">
        <is>
          <t>PAID</t>
        </is>
      </c>
      <c r="G277" t="n">
        <v>205.77</v>
      </c>
      <c r="H277" t="n">
        <v>20.58</v>
      </c>
      <c r="I277" t="n">
        <v>226.35</v>
      </c>
      <c r="J277" t="n">
        <v>226.35</v>
      </c>
      <c r="K277" t="n">
        <v>0</v>
      </c>
      <c r="L277" t="n">
        <v>226.35</v>
      </c>
      <c r="M277">
        <f>IF(OR(F277="VOIDED",F277="DELETED"),0,J277-L277)</f>
        <v/>
      </c>
      <c r="N277" t="inlineStr">
        <is>
          <t>Yes</t>
        </is>
      </c>
      <c r="O277" t="inlineStr">
        <is>
          <t>Goods-tagged</t>
        </is>
      </c>
      <c r="P277" t="inlineStr">
        <is>
          <t>Fuel - Diesel</t>
        </is>
      </c>
      <c r="Q277" t="inlineStr">
        <is>
          <t>xero_tracking</t>
        </is>
      </c>
      <c r="R277" t="inlineStr">
        <is>
          <t>ACT-ST</t>
        </is>
      </c>
      <c r="S277" t="n">
        <v>46211</v>
      </c>
    </row>
    <row r="278" ht="36" customHeight="1">
      <c r="A278" t="inlineStr">
        <is>
          <t>30817961-1b8a-4caf-9f8c-354cfe707162</t>
        </is>
      </c>
      <c r="B278" t="inlineStr">
        <is>
          <t>6181149269</t>
        </is>
      </c>
      <c r="C278" s="162" t="n">
        <v>45958</v>
      </c>
      <c r="D278" t="inlineStr">
        <is>
          <t>Booking.com</t>
        </is>
      </c>
      <c r="E278" t="inlineStr">
        <is>
          <t>ACCPAY</t>
        </is>
      </c>
      <c r="F278" t="inlineStr">
        <is>
          <t>PAID</t>
        </is>
      </c>
      <c r="G278" t="n">
        <v>217.72</v>
      </c>
      <c r="H278" t="n">
        <v>0</v>
      </c>
      <c r="I278" t="n">
        <v>217.72</v>
      </c>
      <c r="J278" t="n">
        <v>217.72</v>
      </c>
      <c r="K278" t="n">
        <v>0</v>
      </c>
      <c r="L278" t="n">
        <v>217.72</v>
      </c>
      <c r="M278">
        <f>IF(OR(F278="VOIDED",F278="DELETED"),0,J278-L278)</f>
        <v/>
      </c>
      <c r="N278" t="inlineStr">
        <is>
          <t>Yes</t>
        </is>
      </c>
      <c r="O278" t="inlineStr">
        <is>
          <t>Goods-tagged</t>
        </is>
      </c>
      <c r="P278" t="inlineStr">
        <is>
          <t>Accommodation</t>
        </is>
      </c>
      <c r="Q278" t="inlineStr">
        <is>
          <t>xero_tracking</t>
        </is>
      </c>
      <c r="R278" t="inlineStr">
        <is>
          <t>ACT-ST</t>
        </is>
      </c>
      <c r="S278" t="n">
        <v>46211</v>
      </c>
    </row>
    <row r="279" ht="36" customHeight="1">
      <c r="A279" t="inlineStr">
        <is>
          <t>df4c42ee-7e58-4a00-af14-ca8db75cc0df</t>
        </is>
      </c>
      <c r="B279" t="inlineStr">
        <is>
          <t>143501</t>
        </is>
      </c>
      <c r="C279" s="162" t="n">
        <v>45963</v>
      </c>
      <c r="D279" t="inlineStr">
        <is>
          <t>BP</t>
        </is>
      </c>
      <c r="E279" t="inlineStr">
        <is>
          <t>ACCPAY</t>
        </is>
      </c>
      <c r="F279" t="inlineStr">
        <is>
          <t>PAID</t>
        </is>
      </c>
      <c r="G279" t="n">
        <v>150.02</v>
      </c>
      <c r="H279" t="n">
        <v>15</v>
      </c>
      <c r="I279" t="n">
        <v>165.02</v>
      </c>
      <c r="J279" t="n">
        <v>165.02</v>
      </c>
      <c r="K279" t="n">
        <v>0</v>
      </c>
      <c r="L279" t="n">
        <v>165.02</v>
      </c>
      <c r="M279">
        <f>IF(OR(F279="VOIDED",F279="DELETED"),0,J279-L279)</f>
        <v/>
      </c>
      <c r="N279" t="inlineStr">
        <is>
          <t>Yes</t>
        </is>
      </c>
      <c r="O279" t="inlineStr">
        <is>
          <t>Goods-tagged</t>
        </is>
      </c>
      <c r="P279" t="inlineStr">
        <is>
          <t>.</t>
        </is>
      </c>
      <c r="Q279" t="inlineStr">
        <is>
          <t>xero_tracking</t>
        </is>
      </c>
      <c r="R279" t="inlineStr">
        <is>
          <t>ACT-ST</t>
        </is>
      </c>
      <c r="S279" t="n">
        <v>46211</v>
      </c>
    </row>
    <row r="280" ht="36" customHeight="1">
      <c r="A280" t="inlineStr">
        <is>
          <t>00fc1039-e5b5-4022-9993-cc19312c230c</t>
        </is>
      </c>
      <c r="B280" t="inlineStr">
        <is>
          <t>00022025110347</t>
        </is>
      </c>
      <c r="C280" s="162" t="n">
        <v>45964</v>
      </c>
      <c r="D280" t="inlineStr">
        <is>
          <t>Banh Mi Express</t>
        </is>
      </c>
      <c r="E280" t="inlineStr">
        <is>
          <t>ACCPAY</t>
        </is>
      </c>
      <c r="F280" t="inlineStr">
        <is>
          <t>PAID</t>
        </is>
      </c>
      <c r="G280" t="n">
        <v>119.89</v>
      </c>
      <c r="H280" t="n">
        <v>11.99</v>
      </c>
      <c r="I280" t="n">
        <v>131.88</v>
      </c>
      <c r="J280" t="n">
        <v>131.88</v>
      </c>
      <c r="K280" t="n">
        <v>0</v>
      </c>
      <c r="L280" t="n">
        <v>131.88</v>
      </c>
      <c r="M280">
        <f>IF(OR(F280="VOIDED",F280="DELETED"),0,J280-L280)</f>
        <v/>
      </c>
      <c r="N280" t="inlineStr">
        <is>
          <t>Yes</t>
        </is>
      </c>
      <c r="O280" t="inlineStr">
        <is>
          <t>Goods-tagged</t>
        </is>
      </c>
      <c r="P280" t="inlineStr">
        <is>
          <t>.</t>
        </is>
      </c>
      <c r="Q280" t="inlineStr">
        <is>
          <t>xero_tracking</t>
        </is>
      </c>
      <c r="R280" t="inlineStr">
        <is>
          <t>ACT-ST</t>
        </is>
      </c>
      <c r="S280" t="n">
        <v>46211</v>
      </c>
    </row>
    <row r="281" ht="36" customHeight="1">
      <c r="A281" t="inlineStr">
        <is>
          <t>18a3e6e3-c427-471b-95b2-a97010163f93</t>
        </is>
      </c>
      <c r="B281" t="inlineStr">
        <is>
          <t>2125/01135215</t>
        </is>
      </c>
      <c r="C281" s="162" t="n">
        <v>45964</v>
      </c>
      <c r="D281" t="inlineStr">
        <is>
          <t>Bunnings Warehouse</t>
        </is>
      </c>
      <c r="E281" t="inlineStr">
        <is>
          <t>ACCPAY</t>
        </is>
      </c>
      <c r="F281" t="inlineStr">
        <is>
          <t>PAID</t>
        </is>
      </c>
      <c r="G281" t="n">
        <v>2543.07</v>
      </c>
      <c r="H281" t="n">
        <v>254.31</v>
      </c>
      <c r="I281" t="n">
        <v>2797.38</v>
      </c>
      <c r="J281" t="n">
        <v>2797.38</v>
      </c>
      <c r="K281" t="n">
        <v>0</v>
      </c>
      <c r="L281" t="n">
        <v>2797.38</v>
      </c>
      <c r="M281">
        <f>IF(OR(F281="VOIDED",F281="DELETED"),0,J281-L281)</f>
        <v/>
      </c>
      <c r="N281" t="inlineStr">
        <is>
          <t>Yes</t>
        </is>
      </c>
      <c r="O281" t="inlineStr">
        <is>
          <t>Goods-tagged</t>
        </is>
      </c>
      <c r="P281" t="inlineStr">
        <is>
          <t>.</t>
        </is>
      </c>
      <c r="Q281" t="inlineStr">
        <is>
          <t>xero_tracking</t>
        </is>
      </c>
      <c r="R281" t="inlineStr">
        <is>
          <t>ACT-ST</t>
        </is>
      </c>
      <c r="S281" t="n">
        <v>46211</v>
      </c>
    </row>
    <row r="282" ht="36" customHeight="1">
      <c r="A282" t="inlineStr">
        <is>
          <t>ab7c08d3-e93d-4f2c-8226-1329ed226d58</t>
        </is>
      </c>
      <c r="B282" t="inlineStr">
        <is>
          <t>703459</t>
        </is>
      </c>
      <c r="C282" s="162" t="n">
        <v>45964</v>
      </c>
      <c r="D282" t="inlineStr">
        <is>
          <t>Page 27</t>
        </is>
      </c>
      <c r="E282" t="inlineStr">
        <is>
          <t>ACCPAY</t>
        </is>
      </c>
      <c r="F282" t="inlineStr">
        <is>
          <t>PAID</t>
        </is>
      </c>
      <c r="G282" t="n">
        <v>82.72</v>
      </c>
      <c r="H282" t="n">
        <v>0</v>
      </c>
      <c r="I282" t="n">
        <v>82.72</v>
      </c>
      <c r="J282" t="n">
        <v>82.72</v>
      </c>
      <c r="K282" t="n">
        <v>0</v>
      </c>
      <c r="L282" t="n">
        <v>82.72</v>
      </c>
      <c r="M282">
        <f>IF(OR(F282="VOIDED",F282="DELETED"),0,J282-L282)</f>
        <v/>
      </c>
      <c r="N282" t="inlineStr">
        <is>
          <t>Yes</t>
        </is>
      </c>
      <c r="O282" t="inlineStr">
        <is>
          <t>Goods-tagged</t>
        </is>
      </c>
      <c r="P282" t="inlineStr">
        <is>
          <t>.</t>
        </is>
      </c>
      <c r="Q282" t="inlineStr">
        <is>
          <t>xero_tracking</t>
        </is>
      </c>
      <c r="R282" t="inlineStr">
        <is>
          <t>ACT-ST</t>
        </is>
      </c>
      <c r="S282" t="n">
        <v>46211</v>
      </c>
    </row>
    <row r="283" ht="36" customHeight="1">
      <c r="A283" t="inlineStr">
        <is>
          <t>4f2f3488-faa2-4609-839f-bc45ce57a0f3</t>
        </is>
      </c>
      <c r="B283" t="inlineStr">
        <is>
          <t>953326</t>
        </is>
      </c>
      <c r="C283" s="162" t="n">
        <v>45964</v>
      </c>
      <c r="D283" t="inlineStr">
        <is>
          <t>United</t>
        </is>
      </c>
      <c r="E283" t="inlineStr">
        <is>
          <t>ACCPAY</t>
        </is>
      </c>
      <c r="F283" t="inlineStr">
        <is>
          <t>PAID</t>
        </is>
      </c>
      <c r="G283" t="n">
        <v>200.65</v>
      </c>
      <c r="H283" t="n">
        <v>19.34</v>
      </c>
      <c r="I283" t="n">
        <v>219.99</v>
      </c>
      <c r="J283" t="n">
        <v>219.99</v>
      </c>
      <c r="K283" t="n">
        <v>0</v>
      </c>
      <c r="L283" t="n">
        <v>219.99</v>
      </c>
      <c r="M283">
        <f>IF(OR(F283="VOIDED",F283="DELETED"),0,J283-L283)</f>
        <v/>
      </c>
      <c r="N283" t="inlineStr">
        <is>
          <t>Yes</t>
        </is>
      </c>
      <c r="O283" t="inlineStr">
        <is>
          <t>Goods-tagged</t>
        </is>
      </c>
      <c r="P283" t="inlineStr">
        <is>
          <t>. / .</t>
        </is>
      </c>
      <c r="Q283" t="inlineStr">
        <is>
          <t>xero_tracking</t>
        </is>
      </c>
      <c r="R283" t="inlineStr">
        <is>
          <t>ACT-ST</t>
        </is>
      </c>
      <c r="S283" t="n">
        <v>46211</v>
      </c>
    </row>
    <row r="284" ht="36" customHeight="1">
      <c r="A284" t="inlineStr">
        <is>
          <t>5f41d621-c3d6-4806-8a37-295c93ab6248</t>
        </is>
      </c>
      <c r="B284" t="inlineStr">
        <is>
          <t>985164</t>
        </is>
      </c>
      <c r="C284" s="162" t="n">
        <v>45964</v>
      </c>
      <c r="D284" t="inlineStr">
        <is>
          <t>United</t>
        </is>
      </c>
      <c r="E284" t="inlineStr">
        <is>
          <t>ACCPAY</t>
        </is>
      </c>
      <c r="F284" t="inlineStr">
        <is>
          <t>PAID</t>
        </is>
      </c>
      <c r="G284" t="n">
        <v>168.23</v>
      </c>
      <c r="H284" t="n">
        <v>16.82</v>
      </c>
      <c r="I284" t="n">
        <v>185.05</v>
      </c>
      <c r="J284" t="n">
        <v>185.05</v>
      </c>
      <c r="K284" t="n">
        <v>0</v>
      </c>
      <c r="L284" t="n">
        <v>185.05</v>
      </c>
      <c r="M284">
        <f>IF(OR(F284="VOIDED",F284="DELETED"),0,J284-L284)</f>
        <v/>
      </c>
      <c r="N284" t="inlineStr">
        <is>
          <t>Yes</t>
        </is>
      </c>
      <c r="O284" t="inlineStr">
        <is>
          <t>Goods-tagged</t>
        </is>
      </c>
      <c r="P284" t="inlineStr">
        <is>
          <t>.</t>
        </is>
      </c>
      <c r="Q284" t="inlineStr">
        <is>
          <t>xero_tracking</t>
        </is>
      </c>
      <c r="R284" t="inlineStr">
        <is>
          <t>ACT-ST</t>
        </is>
      </c>
      <c r="S284" t="n">
        <v>46211</v>
      </c>
    </row>
    <row r="285" ht="36" customHeight="1">
      <c r="A285" t="inlineStr">
        <is>
          <t>38bc62dc-dd79-4b1a-9220-0df5ec6140e9</t>
        </is>
      </c>
      <c r="B285" t="inlineStr">
        <is>
          <t>RB18556094130</t>
        </is>
      </c>
      <c r="C285" s="162" t="n">
        <v>45964</v>
      </c>
      <c r="D285" t="inlineStr">
        <is>
          <t>Bunnings Warehouse</t>
        </is>
      </c>
      <c r="E285" t="inlineStr">
        <is>
          <t>ACCPAY</t>
        </is>
      </c>
      <c r="F285" t="inlineStr">
        <is>
          <t>PAID</t>
        </is>
      </c>
      <c r="G285" t="n">
        <v>1677.74</v>
      </c>
      <c r="H285" t="n">
        <v>167.77</v>
      </c>
      <c r="I285" t="n">
        <v>1845.51</v>
      </c>
      <c r="J285" t="n">
        <v>1845.51</v>
      </c>
      <c r="K285" t="n">
        <v>0</v>
      </c>
      <c r="L285" t="n">
        <v>1845.51</v>
      </c>
      <c r="M285">
        <f>IF(OR(F285="VOIDED",F285="DELETED"),0,J285-L285)</f>
        <v/>
      </c>
      <c r="N285" t="inlineStr">
        <is>
          <t>Yes</t>
        </is>
      </c>
      <c r="O285" t="inlineStr">
        <is>
          <t>Goods-tagged</t>
        </is>
      </c>
      <c r="P285" t="inlineStr">
        <is>
          <t>.</t>
        </is>
      </c>
      <c r="Q285" t="inlineStr">
        <is>
          <t>xero_tracking</t>
        </is>
      </c>
      <c r="R285" t="inlineStr">
        <is>
          <t>ACT-ST</t>
        </is>
      </c>
      <c r="S285" t="n">
        <v>46211</v>
      </c>
    </row>
    <row r="286" ht="36" customHeight="1">
      <c r="A286" t="inlineStr">
        <is>
          <t>d8114b08-566d-4453-b6e5-463483e2a4a6</t>
        </is>
      </c>
      <c r="B286" t="inlineStr">
        <is>
          <t>277178</t>
        </is>
      </c>
      <c r="C286" s="162" t="n">
        <v>45970</v>
      </c>
      <c r="D286" t="inlineStr">
        <is>
          <t>Taxi Receipt</t>
        </is>
      </c>
      <c r="E286" t="inlineStr">
        <is>
          <t>ACCPAY</t>
        </is>
      </c>
      <c r="F286" t="inlineStr">
        <is>
          <t>PAID</t>
        </is>
      </c>
      <c r="G286" t="n">
        <v>44.95</v>
      </c>
      <c r="H286" t="n">
        <v>0.2</v>
      </c>
      <c r="I286" t="n">
        <v>45.15</v>
      </c>
      <c r="J286" t="n">
        <v>45.15</v>
      </c>
      <c r="K286" t="n">
        <v>0</v>
      </c>
      <c r="L286" t="n">
        <v>45.15</v>
      </c>
      <c r="M286">
        <f>IF(OR(F286="VOIDED",F286="DELETED"),0,J286-L286)</f>
        <v/>
      </c>
      <c r="N286" t="inlineStr">
        <is>
          <t>Yes</t>
        </is>
      </c>
      <c r="O286" t="inlineStr">
        <is>
          <t>Goods-tagged</t>
        </is>
      </c>
      <c r="P286" t="inlineStr">
        <is>
          <t>. / .</t>
        </is>
      </c>
      <c r="Q286" t="inlineStr">
        <is>
          <t>xero_tracking</t>
        </is>
      </c>
      <c r="R286" t="inlineStr">
        <is>
          <t>ACT-ST</t>
        </is>
      </c>
      <c r="S286" t="n">
        <v>46211</v>
      </c>
    </row>
    <row r="287" ht="36" customHeight="1">
      <c r="A287" t="inlineStr">
        <is>
          <t>6a60f4fd-c99d-4bb2-9ad2-51f372958cbc</t>
        </is>
      </c>
      <c r="C287" s="162" t="n">
        <v>45977</v>
      </c>
      <c r="D287" t="inlineStr">
        <is>
          <t>Carla Furnishers</t>
        </is>
      </c>
      <c r="E287" t="inlineStr">
        <is>
          <t>ACCPAY</t>
        </is>
      </c>
      <c r="F287" t="inlineStr">
        <is>
          <t>VOIDED</t>
        </is>
      </c>
      <c r="G287" t="n">
        <v>10163.64</v>
      </c>
      <c r="H287" t="n">
        <v>1016.36</v>
      </c>
      <c r="I287" t="n">
        <v>11180</v>
      </c>
      <c r="J287" t="n">
        <v>0</v>
      </c>
      <c r="K287" t="n">
        <v>0</v>
      </c>
      <c r="L287" t="n">
        <v>0</v>
      </c>
      <c r="M287">
        <f>IF(OR(F287="VOIDED",F287="DELETED"),0,J287-L287)</f>
        <v/>
      </c>
      <c r="N287" t="inlineStr">
        <is>
          <t>Yes</t>
        </is>
      </c>
      <c r="O287" t="inlineStr">
        <is>
          <t>Goods-tagged</t>
        </is>
      </c>
      <c r="P287" t="inlineStr">
        <is>
          <t>Carla Furnishers — Materials &amp; Equipment — ACT-GD</t>
        </is>
      </c>
      <c r="Q287" t="inlineStr">
        <is>
          <t>xero_tracking</t>
        </is>
      </c>
      <c r="R287" t="inlineStr">
        <is>
          <t>ACT-ST</t>
        </is>
      </c>
      <c r="S287" t="n">
        <v>46211</v>
      </c>
    </row>
    <row r="288" ht="36" customHeight="1">
      <c r="A288" t="inlineStr">
        <is>
          <t>f60ffd9f-53b1-4c13-8984-9d56c809d90b</t>
        </is>
      </c>
      <c r="B288" t="inlineStr">
        <is>
          <t>191125-41</t>
        </is>
      </c>
      <c r="C288" s="162" t="n">
        <v>45980</v>
      </c>
      <c r="D288" t="inlineStr">
        <is>
          <t>Urban Bites</t>
        </is>
      </c>
      <c r="E288" t="inlineStr">
        <is>
          <t>ACCPAY</t>
        </is>
      </c>
      <c r="F288" t="inlineStr">
        <is>
          <t>PAID</t>
        </is>
      </c>
      <c r="G288" t="n">
        <v>12.86</v>
      </c>
      <c r="H288" t="n">
        <v>0</v>
      </c>
      <c r="I288" t="n">
        <v>12.86</v>
      </c>
      <c r="J288" t="n">
        <v>12.86</v>
      </c>
      <c r="K288" t="n">
        <v>0</v>
      </c>
      <c r="L288" t="n">
        <v>12.86</v>
      </c>
      <c r="M288">
        <f>IF(OR(F288="VOIDED",F288="DELETED"),0,J288-L288)</f>
        <v/>
      </c>
      <c r="N288" t="inlineStr">
        <is>
          <t>Yes</t>
        </is>
      </c>
      <c r="O288" t="inlineStr">
        <is>
          <t>Goods-tagged</t>
        </is>
      </c>
      <c r="P288" t="inlineStr">
        <is>
          <t>.</t>
        </is>
      </c>
      <c r="Q288" t="inlineStr">
        <is>
          <t>xero_tracking</t>
        </is>
      </c>
      <c r="R288" t="inlineStr">
        <is>
          <t>ACT-ST</t>
        </is>
      </c>
      <c r="S288" t="n">
        <v>46211</v>
      </c>
    </row>
    <row r="289" ht="36" customHeight="1">
      <c r="A289" t="inlineStr">
        <is>
          <t>0eef10f4-ef39-436b-9c94-1774d1cd8f97</t>
        </is>
      </c>
      <c r="B289" t="inlineStr">
        <is>
          <t>A25000011099</t>
        </is>
      </c>
      <c r="C289" s="162" t="n">
        <v>45980</v>
      </c>
      <c r="D289" t="inlineStr">
        <is>
          <t>INDIGO A NEW EXPERIENCE</t>
        </is>
      </c>
      <c r="E289" t="inlineStr">
        <is>
          <t>ACCPAY</t>
        </is>
      </c>
      <c r="F289" t="inlineStr">
        <is>
          <t>PAID</t>
        </is>
      </c>
      <c r="G289" t="n">
        <v>199.17</v>
      </c>
      <c r="H289" t="n">
        <v>0</v>
      </c>
      <c r="I289" t="n">
        <v>199.17</v>
      </c>
      <c r="J289" t="n">
        <v>199.17</v>
      </c>
      <c r="K289" t="n">
        <v>0</v>
      </c>
      <c r="L289" t="n">
        <v>199.17</v>
      </c>
      <c r="M289">
        <f>IF(OR(F289="VOIDED",F289="DELETED"),0,J289-L289)</f>
        <v/>
      </c>
      <c r="N289" t="inlineStr">
        <is>
          <t>Yes</t>
        </is>
      </c>
      <c r="O289" t="inlineStr">
        <is>
          <t>Goods-tagged</t>
        </is>
      </c>
      <c r="P289" t="inlineStr">
        <is>
          <t>.</t>
        </is>
      </c>
      <c r="Q289" t="inlineStr">
        <is>
          <t>xero_tracking</t>
        </is>
      </c>
      <c r="R289" t="inlineStr">
        <is>
          <t>ACT-ST</t>
        </is>
      </c>
      <c r="S289" t="n">
        <v>46211</v>
      </c>
    </row>
    <row r="290" ht="36" customHeight="1">
      <c r="A290" t="inlineStr">
        <is>
          <t>0124d32a-9750-4e90-a4b8-19a035f97018</t>
        </is>
      </c>
      <c r="B290" t="inlineStr">
        <is>
          <t>AF251120001</t>
        </is>
      </c>
      <c r="C290" s="162" t="n">
        <v>45981</v>
      </c>
      <c r="D290" t="inlineStr">
        <is>
          <t>Arthefact</t>
        </is>
      </c>
      <c r="E290" t="inlineStr">
        <is>
          <t>ACCPAY</t>
        </is>
      </c>
      <c r="F290" t="inlineStr">
        <is>
          <t>PAID</t>
        </is>
      </c>
      <c r="G290" t="n">
        <v>348.93</v>
      </c>
      <c r="H290" t="n">
        <v>0</v>
      </c>
      <c r="I290" t="n">
        <v>348.93</v>
      </c>
      <c r="J290" t="n">
        <v>348.93</v>
      </c>
      <c r="K290" t="n">
        <v>0</v>
      </c>
      <c r="L290" t="n">
        <v>348.93</v>
      </c>
      <c r="M290">
        <f>IF(OR(F290="VOIDED",F290="DELETED"),0,J290-L290)</f>
        <v/>
      </c>
      <c r="N290" t="inlineStr">
        <is>
          <t>Yes</t>
        </is>
      </c>
      <c r="O290" t="inlineStr">
        <is>
          <t>Goods-tagged</t>
        </is>
      </c>
      <c r="P290" t="inlineStr">
        <is>
          <t>.</t>
        </is>
      </c>
      <c r="Q290" t="inlineStr">
        <is>
          <t>xero_tracking</t>
        </is>
      </c>
      <c r="R290" t="inlineStr">
        <is>
          <t>ACT-ST</t>
        </is>
      </c>
      <c r="S290" t="n">
        <v>46211</v>
      </c>
    </row>
    <row r="291" ht="36" customHeight="1">
      <c r="A291" t="inlineStr">
        <is>
          <t>c8cbb76e-35a3-4193-baa8-e099063c46a6</t>
        </is>
      </c>
      <c r="B291" t="inlineStr">
        <is>
          <t>52723</t>
        </is>
      </c>
      <c r="C291" s="162" t="n">
        <v>45983</v>
      </c>
      <c r="D291" t="inlineStr">
        <is>
          <t>IGA</t>
        </is>
      </c>
      <c r="E291" t="inlineStr">
        <is>
          <t>ACCPAY</t>
        </is>
      </c>
      <c r="F291" t="inlineStr">
        <is>
          <t>PAID</t>
        </is>
      </c>
      <c r="G291" t="n">
        <v>16.17</v>
      </c>
      <c r="H291" t="n">
        <v>1.32</v>
      </c>
      <c r="I291" t="n">
        <v>17.49</v>
      </c>
      <c r="J291" t="n">
        <v>17.49</v>
      </c>
      <c r="K291" t="n">
        <v>0</v>
      </c>
      <c r="L291" t="n">
        <v>17.49</v>
      </c>
      <c r="M291">
        <f>IF(OR(F291="VOIDED",F291="DELETED"),0,J291-L291)</f>
        <v/>
      </c>
      <c r="N291" t="inlineStr">
        <is>
          <t>Yes</t>
        </is>
      </c>
      <c r="O291" t="inlineStr">
        <is>
          <t>Goods-tagged</t>
        </is>
      </c>
      <c r="P291" t="inlineStr">
        <is>
          <t>Food and drink / Food and drink</t>
        </is>
      </c>
      <c r="Q291" t="inlineStr">
        <is>
          <t>xero_tracking</t>
        </is>
      </c>
      <c r="R291" t="inlineStr">
        <is>
          <t>ACT-ST</t>
        </is>
      </c>
      <c r="S291" t="n">
        <v>46211</v>
      </c>
    </row>
    <row r="292" ht="36" customHeight="1">
      <c r="A292" t="inlineStr">
        <is>
          <t>9649b877-29a1-455e-98aa-55d1aba2e6b7</t>
        </is>
      </c>
      <c r="B292" t="inlineStr">
        <is>
          <t>RB18779827040</t>
        </is>
      </c>
      <c r="C292" s="162" t="n">
        <v>45983</v>
      </c>
      <c r="D292" t="inlineStr">
        <is>
          <t>Dar Tèta</t>
        </is>
      </c>
      <c r="E292" t="inlineStr">
        <is>
          <t>ACCPAY</t>
        </is>
      </c>
      <c r="F292" t="inlineStr">
        <is>
          <t>PAID</t>
        </is>
      </c>
      <c r="G292" t="n">
        <v>41</v>
      </c>
      <c r="H292" t="n">
        <v>0</v>
      </c>
      <c r="I292" t="n">
        <v>41</v>
      </c>
      <c r="J292" t="n">
        <v>41</v>
      </c>
      <c r="K292" t="n">
        <v>0</v>
      </c>
      <c r="L292" t="n">
        <v>41</v>
      </c>
      <c r="M292">
        <f>IF(OR(F292="VOIDED",F292="DELETED"),0,J292-L292)</f>
        <v/>
      </c>
      <c r="N292" t="inlineStr">
        <is>
          <t>Yes</t>
        </is>
      </c>
      <c r="O292" t="inlineStr">
        <is>
          <t>Goods-tagged</t>
        </is>
      </c>
      <c r="P292" t="inlineStr">
        <is>
          <t>.</t>
        </is>
      </c>
      <c r="Q292" t="inlineStr">
        <is>
          <t>xero_tracking</t>
        </is>
      </c>
      <c r="R292" t="inlineStr">
        <is>
          <t>ACT-ST</t>
        </is>
      </c>
      <c r="S292" t="n">
        <v>46211</v>
      </c>
    </row>
    <row r="293" ht="36" customHeight="1">
      <c r="A293" t="inlineStr">
        <is>
          <t>25d8fca7-b2e0-46c3-b4e0-d892087d8e05</t>
        </is>
      </c>
      <c r="B293" t="inlineStr">
        <is>
          <t>1613795</t>
        </is>
      </c>
      <c r="C293" s="162" t="n">
        <v>45984</v>
      </c>
      <c r="D293" t="inlineStr">
        <is>
          <t>BP</t>
        </is>
      </c>
      <c r="E293" t="inlineStr">
        <is>
          <t>ACCPAY</t>
        </is>
      </c>
      <c r="F293" t="inlineStr">
        <is>
          <t>PAID</t>
        </is>
      </c>
      <c r="G293" t="n">
        <v>46.29</v>
      </c>
      <c r="H293" t="n">
        <v>4.63</v>
      </c>
      <c r="I293" t="n">
        <v>50.92</v>
      </c>
      <c r="J293" t="n">
        <v>50.92</v>
      </c>
      <c r="K293" t="n">
        <v>0</v>
      </c>
      <c r="L293" t="n">
        <v>50.92</v>
      </c>
      <c r="M293">
        <f>IF(OR(F293="VOIDED",F293="DELETED"),0,J293-L293)</f>
        <v/>
      </c>
      <c r="N293" t="inlineStr">
        <is>
          <t>Yes</t>
        </is>
      </c>
      <c r="O293" t="inlineStr">
        <is>
          <t>Goods-tagged</t>
        </is>
      </c>
      <c r="P293" t="inlineStr">
        <is>
          <t>.</t>
        </is>
      </c>
      <c r="Q293" t="inlineStr">
        <is>
          <t>xero_tracking</t>
        </is>
      </c>
      <c r="R293" t="inlineStr">
        <is>
          <t>ACT-ST</t>
        </is>
      </c>
      <c r="S293" t="n">
        <v>46211</v>
      </c>
    </row>
    <row r="294" ht="36" customHeight="1">
      <c r="A294" t="inlineStr">
        <is>
          <t>78f35c70-0092-4844-a291-f92afe0e6aaa</t>
        </is>
      </c>
      <c r="B294" t="inlineStr">
        <is>
          <t>39800</t>
        </is>
      </c>
      <c r="C294" s="162" t="n">
        <v>45984</v>
      </c>
      <c r="D294" t="inlineStr">
        <is>
          <t>Delaware North Airport</t>
        </is>
      </c>
      <c r="E294" t="inlineStr">
        <is>
          <t>ACCPAY</t>
        </is>
      </c>
      <c r="F294" t="inlineStr">
        <is>
          <t>PAID</t>
        </is>
      </c>
      <c r="G294" t="n">
        <v>23.18</v>
      </c>
      <c r="H294" t="n">
        <v>2.32</v>
      </c>
      <c r="I294" t="n">
        <v>25.5</v>
      </c>
      <c r="J294" t="n">
        <v>25.5</v>
      </c>
      <c r="K294" t="n">
        <v>0</v>
      </c>
      <c r="L294" t="n">
        <v>25.5</v>
      </c>
      <c r="M294">
        <f>IF(OR(F294="VOIDED",F294="DELETED"),0,J294-L294)</f>
        <v/>
      </c>
      <c r="N294" t="inlineStr">
        <is>
          <t>Yes</t>
        </is>
      </c>
      <c r="O294" t="inlineStr">
        <is>
          <t>Goods-tagged</t>
        </is>
      </c>
      <c r="P294" t="inlineStr">
        <is>
          <t>Meal Melbourne</t>
        </is>
      </c>
      <c r="Q294" t="inlineStr">
        <is>
          <t>xero_tracking</t>
        </is>
      </c>
      <c r="R294" t="inlineStr">
        <is>
          <t>ACT-ST</t>
        </is>
      </c>
      <c r="S294" t="n">
        <v>46211</v>
      </c>
    </row>
    <row r="295" ht="120" customHeight="1">
      <c r="A295" t="inlineStr">
        <is>
          <t>94c64eb0-507c-4c8a-a84e-676c8c1baaec</t>
        </is>
      </c>
      <c r="B295" t="inlineStr">
        <is>
          <t>INV-0291</t>
        </is>
      </c>
      <c r="C295" s="162" t="n">
        <v>45987</v>
      </c>
      <c r="D295" t="inlineStr">
        <is>
          <t>Centrecorp Foundation</t>
        </is>
      </c>
      <c r="E295" t="inlineStr">
        <is>
          <t>ACCREC</t>
        </is>
      </c>
      <c r="F295" t="inlineStr">
        <is>
          <t>PAID</t>
        </is>
      </c>
      <c r="G295" t="n">
        <v>77920</v>
      </c>
      <c r="H295" t="n">
        <v>7792</v>
      </c>
      <c r="I295" t="n">
        <v>85712</v>
      </c>
      <c r="J295" t="n">
        <v>85712</v>
      </c>
      <c r="K295" t="n">
        <v>0</v>
      </c>
      <c r="L295" t="n">
        <v>85712</v>
      </c>
      <c r="M295">
        <f>IF(OR(F295="VOIDED",F295="DELETED"),0,J295-L295)</f>
        <v/>
      </c>
      <c r="N295" t="inlineStr">
        <is>
          <t>Yes</t>
        </is>
      </c>
      <c r="O295" t="inlineStr">
        <is>
          <t>Goods-tagged</t>
        </is>
      </c>
      <c r="P295" t="inlineStr">
        <is>
          <t>Goods Weave Bed v2.3 - Utopia Homelands / Goods Bed Bed Building Workshop
- Community Engagement and Visit 
- Work with elders and young people to identify best way to build bed with community
- Team resourcing on the ground 
- Transport of beds to location
- Accomodation</t>
        </is>
      </c>
      <c r="Q295" t="inlineStr">
        <is>
          <t>xero_tracking</t>
        </is>
      </c>
      <c r="R295" t="inlineStr">
        <is>
          <t>ACT-ST</t>
        </is>
      </c>
      <c r="S295" t="n">
        <v>46211</v>
      </c>
    </row>
    <row r="296" ht="36" customHeight="1">
      <c r="A296" t="inlineStr">
        <is>
          <t>baa3ed75-9886-484b-af47-6a89f66efa83</t>
        </is>
      </c>
      <c r="C296" s="162" t="n">
        <v>45988</v>
      </c>
      <c r="D296" t="inlineStr">
        <is>
          <t>Defy Manufacturing</t>
        </is>
      </c>
      <c r="E296" t="inlineStr">
        <is>
          <t>ACCPAY</t>
        </is>
      </c>
      <c r="F296" t="inlineStr">
        <is>
          <t>VOIDED</t>
        </is>
      </c>
      <c r="G296" t="n">
        <v>1689.8</v>
      </c>
      <c r="H296" t="n">
        <v>168.98</v>
      </c>
      <c r="I296" t="n">
        <v>1858.78</v>
      </c>
      <c r="J296" t="n">
        <v>0</v>
      </c>
      <c r="K296" t="n">
        <v>0</v>
      </c>
      <c r="L296" t="n">
        <v>0</v>
      </c>
      <c r="M296">
        <f>IF(OR(F296="VOIDED",F296="DELETED"),0,J296-L296)</f>
        <v/>
      </c>
      <c r="N296" t="inlineStr">
        <is>
          <t>Yes</t>
        </is>
      </c>
      <c r="O296" t="inlineStr">
        <is>
          <t>Goods-tagged</t>
        </is>
      </c>
      <c r="P296" t="inlineStr">
        <is>
          <t>Defy Manufacturing — Materials &amp; Supplies — ACT-GD</t>
        </is>
      </c>
      <c r="Q296" t="inlineStr">
        <is>
          <t>xero_tracking</t>
        </is>
      </c>
      <c r="R296" t="inlineStr">
        <is>
          <t>ACT-ST</t>
        </is>
      </c>
      <c r="S296" t="n">
        <v>46211</v>
      </c>
    </row>
    <row r="297" ht="36" customHeight="1">
      <c r="A297" t="inlineStr">
        <is>
          <t>c8d99460-6ba7-4813-86c7-2ba6739a9781</t>
        </is>
      </c>
      <c r="C297" s="162" t="n">
        <v>45989</v>
      </c>
      <c r="D297" t="inlineStr">
        <is>
          <t>Defy</t>
        </is>
      </c>
      <c r="E297" t="inlineStr">
        <is>
          <t>ACCPAY</t>
        </is>
      </c>
      <c r="F297" t="inlineStr">
        <is>
          <t>PAID</t>
        </is>
      </c>
      <c r="G297" t="n">
        <v>1721.91</v>
      </c>
      <c r="H297" t="n">
        <v>172.19</v>
      </c>
      <c r="I297" t="n">
        <v>1894.1</v>
      </c>
      <c r="J297" t="n">
        <v>1894.1</v>
      </c>
      <c r="K297" t="n">
        <v>0</v>
      </c>
      <c r="L297" t="n">
        <v>1894.1</v>
      </c>
      <c r="M297">
        <f>IF(OR(F297="VOIDED",F297="DELETED"),0,J297-L297)</f>
        <v/>
      </c>
      <c r="N297" t="inlineStr">
        <is>
          <t>Yes</t>
        </is>
      </c>
      <c r="O297" t="inlineStr">
        <is>
          <t>Goods-tagged</t>
        </is>
      </c>
      <c r="P297" t="inlineStr">
        <is>
          <t>Defy Manufacturing — Materials &amp; Supplies — ACT-GD</t>
        </is>
      </c>
      <c r="Q297" t="inlineStr">
        <is>
          <t>xero_tracking</t>
        </is>
      </c>
      <c r="R297" t="inlineStr">
        <is>
          <t>ACT-ST</t>
        </is>
      </c>
      <c r="S297" t="n">
        <v>46211</v>
      </c>
    </row>
    <row r="298" ht="36" customHeight="1">
      <c r="A298" t="inlineStr">
        <is>
          <t>de98d48f-5d44-4dfc-89b1-e7056dd979d9</t>
        </is>
      </c>
      <c r="B298" t="inlineStr">
        <is>
          <t>RB18855413710</t>
        </is>
      </c>
      <c r="C298" s="162" t="n">
        <v>45992</v>
      </c>
      <c r="D298" t="inlineStr">
        <is>
          <t>Sunset Snack Bar</t>
        </is>
      </c>
      <c r="E298" t="inlineStr">
        <is>
          <t>ACCPAY</t>
        </is>
      </c>
      <c r="F298" t="inlineStr">
        <is>
          <t>PAID</t>
        </is>
      </c>
      <c r="G298" t="n">
        <v>81.18000000000001</v>
      </c>
      <c r="H298" t="n">
        <v>8.119999999999999</v>
      </c>
      <c r="I298" t="n">
        <v>89.3</v>
      </c>
      <c r="J298" t="n">
        <v>89.3</v>
      </c>
      <c r="K298" t="n">
        <v>0</v>
      </c>
      <c r="L298" t="n">
        <v>89.3</v>
      </c>
      <c r="M298">
        <f>IF(OR(F298="VOIDED",F298="DELETED"),0,J298-L298)</f>
        <v/>
      </c>
      <c r="N298" t="inlineStr">
        <is>
          <t>Yes</t>
        </is>
      </c>
      <c r="O298" t="inlineStr">
        <is>
          <t>Goods-tagged</t>
        </is>
      </c>
      <c r="P298" t="inlineStr">
        <is>
          <t>Sunset Snack Bar</t>
        </is>
      </c>
      <c r="Q298" t="inlineStr">
        <is>
          <t>xero_tracking</t>
        </is>
      </c>
      <c r="R298" t="inlineStr">
        <is>
          <t>ACT-ST</t>
        </is>
      </c>
      <c r="S298" t="n">
        <v>46211</v>
      </c>
    </row>
    <row r="299" ht="36" customHeight="1">
      <c r="A299" t="inlineStr">
        <is>
          <t>47223f44-4826-43cf-a638-f231a97e4a25</t>
        </is>
      </c>
      <c r="B299" t="inlineStr">
        <is>
          <t>RB18856389050</t>
        </is>
      </c>
      <c r="C299" s="162" t="n">
        <v>45992</v>
      </c>
      <c r="D299" t="inlineStr">
        <is>
          <t>SSP Australia Catering</t>
        </is>
      </c>
      <c r="E299" t="inlineStr">
        <is>
          <t>ACCPAY</t>
        </is>
      </c>
      <c r="F299" t="inlineStr">
        <is>
          <t>PAID</t>
        </is>
      </c>
      <c r="G299" t="n">
        <v>17.52</v>
      </c>
      <c r="H299" t="n">
        <v>1.75</v>
      </c>
      <c r="I299" t="n">
        <v>19.27</v>
      </c>
      <c r="J299" t="n">
        <v>19.27</v>
      </c>
      <c r="K299" t="n">
        <v>0</v>
      </c>
      <c r="L299" t="n">
        <v>19.27</v>
      </c>
      <c r="M299">
        <f>IF(OR(F299="VOIDED",F299="DELETED"),0,J299-L299)</f>
        <v/>
      </c>
      <c r="N299" t="inlineStr">
        <is>
          <t>Yes</t>
        </is>
      </c>
      <c r="O299" t="inlineStr">
        <is>
          <t>Goods-tagged</t>
        </is>
      </c>
      <c r="P299" t="inlineStr">
        <is>
          <t>Travel meal</t>
        </is>
      </c>
      <c r="Q299" t="inlineStr">
        <is>
          <t>xero_tracking</t>
        </is>
      </c>
      <c r="R299" t="inlineStr">
        <is>
          <t>ACT-ST</t>
        </is>
      </c>
      <c r="S299" t="n">
        <v>46211</v>
      </c>
    </row>
    <row r="300" ht="36" customHeight="1">
      <c r="A300" t="inlineStr">
        <is>
          <t>378157ff-3ebc-4fcf-9c79-094a498fc83f</t>
        </is>
      </c>
      <c r="C300" s="162" t="n">
        <v>45994</v>
      </c>
      <c r="D300" t="inlineStr">
        <is>
          <t>Joseph Kirmos</t>
        </is>
      </c>
      <c r="E300" t="inlineStr">
        <is>
          <t>ACCPAY</t>
        </is>
      </c>
      <c r="F300" t="inlineStr">
        <is>
          <t>PAID</t>
        </is>
      </c>
      <c r="G300" t="n">
        <v>2488.64</v>
      </c>
      <c r="H300" t="n">
        <v>248.86</v>
      </c>
      <c r="I300" t="n">
        <v>2737.5</v>
      </c>
      <c r="J300" t="n">
        <v>2737.5</v>
      </c>
      <c r="K300" t="n">
        <v>0</v>
      </c>
      <c r="L300" t="n">
        <v>2737.5</v>
      </c>
      <c r="M300">
        <f>IF(OR(F300="VOIDED",F300="DELETED"),0,J300-L300)</f>
        <v/>
      </c>
      <c r="N300" t="inlineStr">
        <is>
          <t>Yes</t>
        </is>
      </c>
      <c r="O300" t="inlineStr">
        <is>
          <t>Goods-tagged</t>
        </is>
      </c>
      <c r="P300" t="inlineStr">
        <is>
          <t>Joseph Kirmos — Other — ACT-GD</t>
        </is>
      </c>
      <c r="Q300" t="inlineStr">
        <is>
          <t>xero_tracking</t>
        </is>
      </c>
      <c r="R300" t="inlineStr">
        <is>
          <t>ACT-ST</t>
        </is>
      </c>
      <c r="S300" t="n">
        <v>46211</v>
      </c>
    </row>
    <row r="301" ht="36" customHeight="1">
      <c r="A301" t="inlineStr">
        <is>
          <t>100a47c9-faaf-4105-b1ab-7b89b522fae5</t>
        </is>
      </c>
      <c r="B301" t="inlineStr">
        <is>
          <t>RB18779252100</t>
        </is>
      </c>
      <c r="C301" s="162" t="n">
        <v>45994</v>
      </c>
      <c r="D301" t="inlineStr">
        <is>
          <t>Zapier</t>
        </is>
      </c>
      <c r="E301" t="inlineStr">
        <is>
          <t>ACCPAY</t>
        </is>
      </c>
      <c r="F301" t="inlineStr">
        <is>
          <t>PAID</t>
        </is>
      </c>
      <c r="G301" t="n">
        <v>45.9</v>
      </c>
      <c r="H301" t="n">
        <v>4.59</v>
      </c>
      <c r="I301" t="n">
        <v>50.49</v>
      </c>
      <c r="J301" t="n">
        <v>50.49</v>
      </c>
      <c r="K301" t="n">
        <v>0</v>
      </c>
      <c r="L301" t="n">
        <v>50.49</v>
      </c>
      <c r="M301">
        <f>IF(OR(F301="VOIDED",F301="DELETED"),0,J301-L301)</f>
        <v/>
      </c>
      <c r="N301" t="inlineStr">
        <is>
          <t>Yes</t>
        </is>
      </c>
      <c r="O301" t="inlineStr">
        <is>
          <t>Goods-tagged</t>
        </is>
      </c>
      <c r="P301" t="inlineStr">
        <is>
          <t>Zapier Pro 750 (monthly)</t>
        </is>
      </c>
      <c r="Q301" t="inlineStr">
        <is>
          <t>xero_tracking</t>
        </is>
      </c>
      <c r="R301" t="inlineStr">
        <is>
          <t>ACT-ST</t>
        </is>
      </c>
      <c r="S301" t="n">
        <v>46211</v>
      </c>
    </row>
    <row r="302" ht="36" customHeight="1">
      <c r="A302" t="inlineStr">
        <is>
          <t>77ef1b0a-92ed-4829-8a00-ff53b49198b9</t>
        </is>
      </c>
      <c r="C302" s="162" t="n">
        <v>45999</v>
      </c>
      <c r="D302" t="inlineStr">
        <is>
          <t>Adriana Beach</t>
        </is>
      </c>
      <c r="E302" t="inlineStr">
        <is>
          <t>ACCPAY</t>
        </is>
      </c>
      <c r="F302" t="inlineStr">
        <is>
          <t>DRAFT</t>
        </is>
      </c>
      <c r="G302" t="n">
        <v>1818.18</v>
      </c>
      <c r="H302" t="n">
        <v>181.82</v>
      </c>
      <c r="I302" t="n">
        <v>2000</v>
      </c>
      <c r="J302" t="n">
        <v>0</v>
      </c>
      <c r="K302" t="n">
        <v>2000</v>
      </c>
      <c r="L302" t="n">
        <v>0</v>
      </c>
      <c r="M302">
        <f>IF(OR(F302="VOIDED",F302="DELETED"),0,J302-L302)</f>
        <v/>
      </c>
      <c r="N302" t="inlineStr">
        <is>
          <t>Yes</t>
        </is>
      </c>
      <c r="O302" t="inlineStr">
        <is>
          <t>Goods-tagged</t>
        </is>
      </c>
      <c r="P302" t="inlineStr">
        <is>
          <t>Adriana Beach — Operations — ACT-GD</t>
        </is>
      </c>
      <c r="Q302" t="inlineStr">
        <is>
          <t>xero_tracking</t>
        </is>
      </c>
      <c r="R302" t="inlineStr">
        <is>
          <t>ACT-ST</t>
        </is>
      </c>
      <c r="S302" t="n">
        <v>46211</v>
      </c>
    </row>
    <row r="303" ht="36" customHeight="1">
      <c r="A303" t="inlineStr">
        <is>
          <t>44537e68-59d9-4683-b273-96e3c3c63d18</t>
        </is>
      </c>
      <c r="C303" s="162" t="n">
        <v>46001</v>
      </c>
      <c r="D303" t="inlineStr">
        <is>
          <t>Loadshift Sydney</t>
        </is>
      </c>
      <c r="E303" t="inlineStr">
        <is>
          <t>ACCPAY</t>
        </is>
      </c>
      <c r="F303" t="inlineStr">
        <is>
          <t>PAID</t>
        </is>
      </c>
      <c r="G303" t="n">
        <v>1130.54</v>
      </c>
      <c r="H303" t="n">
        <v>113.05</v>
      </c>
      <c r="I303" t="n">
        <v>1243.59</v>
      </c>
      <c r="J303" t="n">
        <v>1243.59</v>
      </c>
      <c r="K303" t="n">
        <v>0</v>
      </c>
      <c r="L303" t="n">
        <v>1243.59</v>
      </c>
      <c r="M303">
        <f>IF(OR(F303="VOIDED",F303="DELETED"),0,J303-L303)</f>
        <v/>
      </c>
      <c r="N303" t="inlineStr">
        <is>
          <t>Yes</t>
        </is>
      </c>
      <c r="O303" t="inlineStr">
        <is>
          <t>Goods-tagged</t>
        </is>
      </c>
      <c r="P303" t="inlineStr">
        <is>
          <t>Loadshift Sydney — Operations — ACT-GD</t>
        </is>
      </c>
      <c r="Q303" t="inlineStr">
        <is>
          <t>xero_tracking</t>
        </is>
      </c>
      <c r="R303" t="inlineStr">
        <is>
          <t>ACT-ST</t>
        </is>
      </c>
      <c r="S303" t="n">
        <v>46211</v>
      </c>
    </row>
    <row r="304" ht="36" customHeight="1">
      <c r="A304" t="inlineStr">
        <is>
          <t>70f43f86-5c51-4ae6-90c9-88f2774455a5</t>
        </is>
      </c>
      <c r="B304" t="inlineStr">
        <is>
          <t>0876 1104 082</t>
        </is>
      </c>
      <c r="C304" s="162" t="n">
        <v>46002</v>
      </c>
      <c r="D304" t="inlineStr">
        <is>
          <t>Kmart</t>
        </is>
      </c>
      <c r="E304" t="inlineStr">
        <is>
          <t>ACCPAY</t>
        </is>
      </c>
      <c r="F304" t="inlineStr">
        <is>
          <t>PAID</t>
        </is>
      </c>
      <c r="G304" t="n">
        <v>8.640000000000001</v>
      </c>
      <c r="H304" t="n">
        <v>0.86</v>
      </c>
      <c r="I304" t="n">
        <v>9.5</v>
      </c>
      <c r="J304" t="n">
        <v>9.5</v>
      </c>
      <c r="K304" t="n">
        <v>0</v>
      </c>
      <c r="L304" t="n">
        <v>9.5</v>
      </c>
      <c r="M304">
        <f>IF(OR(F304="VOIDED",F304="DELETED"),0,J304-L304)</f>
        <v/>
      </c>
      <c r="N304" t="inlineStr">
        <is>
          <t>Yes</t>
        </is>
      </c>
      <c r="O304" t="inlineStr">
        <is>
          <t>Goods-tagged</t>
        </is>
      </c>
      <c r="P304" t="inlineStr">
        <is>
          <t>.</t>
        </is>
      </c>
      <c r="Q304" t="inlineStr">
        <is>
          <t>xero_tracking</t>
        </is>
      </c>
      <c r="R304" t="inlineStr">
        <is>
          <t>ACT-ST</t>
        </is>
      </c>
      <c r="S304" t="n">
        <v>46211</v>
      </c>
    </row>
    <row r="305" ht="36" customHeight="1">
      <c r="A305" t="inlineStr">
        <is>
          <t>879f7fad-49e7-404e-bc56-0083c161b568</t>
        </is>
      </c>
      <c r="C305" s="162" t="n">
        <v>46002</v>
      </c>
      <c r="D305" t="inlineStr">
        <is>
          <t>Oonchiumpa Consultancy and Services</t>
        </is>
      </c>
      <c r="E305" t="inlineStr">
        <is>
          <t>ACCPAY</t>
        </is>
      </c>
      <c r="F305" t="inlineStr">
        <is>
          <t>AUTHORISED</t>
        </is>
      </c>
      <c r="G305" t="n">
        <v>2454.55</v>
      </c>
      <c r="H305" t="n">
        <v>245.45</v>
      </c>
      <c r="I305" t="n">
        <v>2700</v>
      </c>
      <c r="J305" t="n">
        <v>0</v>
      </c>
      <c r="K305" t="n">
        <v>2700</v>
      </c>
      <c r="L305" t="n">
        <v>0</v>
      </c>
      <c r="M305">
        <f>IF(OR(F305="VOIDED",F305="DELETED"),0,J305-L305)</f>
        <v/>
      </c>
      <c r="N305" t="inlineStr">
        <is>
          <t>Yes</t>
        </is>
      </c>
      <c r="O305" t="inlineStr">
        <is>
          <t>Goods-tagged</t>
        </is>
      </c>
      <c r="P305" t="inlineStr">
        <is>
          <t>Oonchiumpa Consultancy and Services — Professional Services — ACT-GD</t>
        </is>
      </c>
      <c r="Q305" t="inlineStr">
        <is>
          <t>xero_tracking</t>
        </is>
      </c>
      <c r="R305" t="inlineStr">
        <is>
          <t>ACT-ST</t>
        </is>
      </c>
      <c r="S305" t="n">
        <v>46211</v>
      </c>
    </row>
    <row r="306" ht="36" customHeight="1">
      <c r="A306" t="inlineStr">
        <is>
          <t>2f47cf86-a3b2-4f48-ada2-541d8e1f7c7f</t>
        </is>
      </c>
      <c r="B306" t="inlineStr">
        <is>
          <t>RB18983555720</t>
        </is>
      </c>
      <c r="C306" s="162" t="n">
        <v>46002</v>
      </c>
      <c r="D306" t="inlineStr">
        <is>
          <t>Alice Silver Passenger S</t>
        </is>
      </c>
      <c r="E306" t="inlineStr">
        <is>
          <t>ACCPAY</t>
        </is>
      </c>
      <c r="F306" t="inlineStr">
        <is>
          <t>PAID</t>
        </is>
      </c>
      <c r="G306" t="n">
        <v>40</v>
      </c>
      <c r="H306" t="n">
        <v>0</v>
      </c>
      <c r="I306" t="n">
        <v>40</v>
      </c>
      <c r="J306" t="n">
        <v>40</v>
      </c>
      <c r="K306" t="n">
        <v>0</v>
      </c>
      <c r="L306" t="n">
        <v>40</v>
      </c>
      <c r="M306">
        <f>IF(OR(F306="VOIDED",F306="DELETED"),0,J306-L306)</f>
        <v/>
      </c>
      <c r="N306" t="inlineStr">
        <is>
          <t>Yes</t>
        </is>
      </c>
      <c r="O306" t="inlineStr">
        <is>
          <t>Goods-tagged</t>
        </is>
      </c>
      <c r="P306" t="inlineStr">
        <is>
          <t>.</t>
        </is>
      </c>
      <c r="Q306" t="inlineStr">
        <is>
          <t>xero_tracking</t>
        </is>
      </c>
      <c r="R306" t="inlineStr">
        <is>
          <t>ACT-ST</t>
        </is>
      </c>
      <c r="S306" t="n">
        <v>46211</v>
      </c>
    </row>
    <row r="307" ht="36" customHeight="1">
      <c r="A307" t="inlineStr">
        <is>
          <t>f61c74e7-fa4e-4ef3-963c-325213b68747</t>
        </is>
      </c>
      <c r="B307" t="inlineStr">
        <is>
          <t>T9Gq</t>
        </is>
      </c>
      <c r="C307" s="162" t="n">
        <v>46002</v>
      </c>
      <c r="D307" t="inlineStr">
        <is>
          <t>Q Eats</t>
        </is>
      </c>
      <c r="E307" t="inlineStr">
        <is>
          <t>ACCPAY</t>
        </is>
      </c>
      <c r="F307" t="inlineStr">
        <is>
          <t>PAID</t>
        </is>
      </c>
      <c r="G307" t="n">
        <v>121</v>
      </c>
      <c r="H307" t="n">
        <v>12.1</v>
      </c>
      <c r="I307" t="n">
        <v>133.1</v>
      </c>
      <c r="J307" t="n">
        <v>133.1</v>
      </c>
      <c r="K307" t="n">
        <v>0</v>
      </c>
      <c r="L307" t="n">
        <v>133.1</v>
      </c>
      <c r="M307">
        <f>IF(OR(F307="VOIDED",F307="DELETED"),0,J307-L307)</f>
        <v/>
      </c>
      <c r="N307" t="inlineStr">
        <is>
          <t>Yes</t>
        </is>
      </c>
      <c r="O307" t="inlineStr">
        <is>
          <t>Goods-tagged</t>
        </is>
      </c>
      <c r="P307" t="inlineStr">
        <is>
          <t>.</t>
        </is>
      </c>
      <c r="Q307" t="inlineStr">
        <is>
          <t>xero_tracking</t>
        </is>
      </c>
      <c r="R307" t="inlineStr">
        <is>
          <t>ACT-ST</t>
        </is>
      </c>
      <c r="S307" t="n">
        <v>46211</v>
      </c>
    </row>
    <row r="308" ht="36" customHeight="1">
      <c r="A308" t="inlineStr">
        <is>
          <t>d91a8fc6-e382-4759-ade0-9af36de05ec4</t>
        </is>
      </c>
      <c r="C308" s="162" t="n">
        <v>46002</v>
      </c>
      <c r="D308" t="inlineStr">
        <is>
          <t>Reddy Express</t>
        </is>
      </c>
      <c r="E308" t="inlineStr">
        <is>
          <t>ACCPAY</t>
        </is>
      </c>
      <c r="F308" t="inlineStr">
        <is>
          <t>PAID</t>
        </is>
      </c>
      <c r="G308" t="n">
        <v>111.55</v>
      </c>
      <c r="H308" t="n">
        <v>11.16</v>
      </c>
      <c r="I308" t="n">
        <v>122.71</v>
      </c>
      <c r="J308" t="n">
        <v>122.71</v>
      </c>
      <c r="K308" t="n">
        <v>0</v>
      </c>
      <c r="L308" t="n">
        <v>122.71</v>
      </c>
      <c r="M308">
        <f>IF(OR(F308="VOIDED",F308="DELETED"),0,J308-L308)</f>
        <v/>
      </c>
      <c r="N308" t="inlineStr">
        <is>
          <t>Yes</t>
        </is>
      </c>
      <c r="O308" t="inlineStr">
        <is>
          <t>Goods-tagged</t>
        </is>
      </c>
      <c r="P308" t="inlineStr">
        <is>
          <t>Reddy Express — Operations — ACT-GD</t>
        </is>
      </c>
      <c r="Q308" t="inlineStr">
        <is>
          <t>xero_tracking</t>
        </is>
      </c>
      <c r="R308" t="inlineStr">
        <is>
          <t>ACT-ST</t>
        </is>
      </c>
      <c r="S308" t="n">
        <v>46211</v>
      </c>
    </row>
    <row r="309" ht="36" customHeight="1">
      <c r="A309" t="inlineStr">
        <is>
          <t>3e99f1e5-2a22-45d3-9c21-47822f4ff965</t>
        </is>
      </c>
      <c r="B309" t="inlineStr">
        <is>
          <t>2962 1104 091</t>
        </is>
      </c>
      <c r="C309" s="162" t="n">
        <v>46003</v>
      </c>
      <c r="D309" t="inlineStr">
        <is>
          <t>Kmart</t>
        </is>
      </c>
      <c r="E309" t="inlineStr">
        <is>
          <t>ACCPAY</t>
        </is>
      </c>
      <c r="F309" t="inlineStr">
        <is>
          <t>PAID</t>
        </is>
      </c>
      <c r="G309" t="n">
        <v>19.09</v>
      </c>
      <c r="H309" t="n">
        <v>1.91</v>
      </c>
      <c r="I309" t="n">
        <v>21</v>
      </c>
      <c r="J309" t="n">
        <v>21</v>
      </c>
      <c r="K309" t="n">
        <v>0</v>
      </c>
      <c r="L309" t="n">
        <v>21</v>
      </c>
      <c r="M309">
        <f>IF(OR(F309="VOIDED",F309="DELETED"),0,J309-L309)</f>
        <v/>
      </c>
      <c r="N309" t="inlineStr">
        <is>
          <t>Yes</t>
        </is>
      </c>
      <c r="O309" t="inlineStr">
        <is>
          <t>Goods-tagged</t>
        </is>
      </c>
      <c r="P309" t="inlineStr">
        <is>
          <t>Fit Marine SB</t>
        </is>
      </c>
      <c r="Q309" t="inlineStr">
        <is>
          <t>xero_tracking</t>
        </is>
      </c>
      <c r="R309" t="inlineStr">
        <is>
          <t>ACT-ST</t>
        </is>
      </c>
      <c r="S309" t="n">
        <v>46211</v>
      </c>
    </row>
    <row r="310" ht="36" customHeight="1">
      <c r="A310" t="inlineStr">
        <is>
          <t>40f15e89-4219-4ec6-b552-faca021e14c0</t>
        </is>
      </c>
      <c r="C310" s="162" t="n">
        <v>46003</v>
      </c>
      <c r="D310" t="inlineStr">
        <is>
          <t>Memories Bistro</t>
        </is>
      </c>
      <c r="E310" t="inlineStr">
        <is>
          <t>ACCPAY</t>
        </is>
      </c>
      <c r="F310" t="inlineStr">
        <is>
          <t>PAID</t>
        </is>
      </c>
      <c r="G310" t="n">
        <v>55.42</v>
      </c>
      <c r="H310" t="n">
        <v>5.54</v>
      </c>
      <c r="I310" t="n">
        <v>60.96</v>
      </c>
      <c r="J310" t="n">
        <v>60.96</v>
      </c>
      <c r="K310" t="n">
        <v>0</v>
      </c>
      <c r="L310" t="n">
        <v>60.96</v>
      </c>
      <c r="M310">
        <f>IF(OR(F310="VOIDED",F310="DELETED"),0,J310-L310)</f>
        <v/>
      </c>
      <c r="N310" t="inlineStr">
        <is>
          <t>Yes</t>
        </is>
      </c>
      <c r="O310" t="inlineStr">
        <is>
          <t>Goods-tagged</t>
        </is>
      </c>
      <c r="P310" t="inlineStr">
        <is>
          <t>Memories Bistro — Meals &amp; Entertainment — ACT-GD</t>
        </is>
      </c>
      <c r="Q310" t="inlineStr">
        <is>
          <t>xero_tracking</t>
        </is>
      </c>
      <c r="R310" t="inlineStr">
        <is>
          <t>ACT-ST</t>
        </is>
      </c>
      <c r="S310" t="n">
        <v>46211</v>
      </c>
    </row>
    <row r="311" ht="36" customHeight="1">
      <c r="A311" t="inlineStr">
        <is>
          <t>381e996b-977b-472f-bbf2-de144c71cf83</t>
        </is>
      </c>
      <c r="B311" t="inlineStr">
        <is>
          <t>51444450</t>
        </is>
      </c>
      <c r="C311" s="162" t="n">
        <v>46003</v>
      </c>
      <c r="D311" t="inlineStr">
        <is>
          <t>Lasseters Centre Of Entertainment</t>
        </is>
      </c>
      <c r="E311" t="inlineStr">
        <is>
          <t>ACCPAY</t>
        </is>
      </c>
      <c r="F311" t="inlineStr">
        <is>
          <t>PAID</t>
        </is>
      </c>
      <c r="G311" t="n">
        <v>4.15</v>
      </c>
      <c r="H311" t="n">
        <v>0.42</v>
      </c>
      <c r="I311" t="n">
        <v>4.57</v>
      </c>
      <c r="J311" t="n">
        <v>4.57</v>
      </c>
      <c r="K311" t="n">
        <v>0</v>
      </c>
      <c r="L311" t="n">
        <v>4.57</v>
      </c>
      <c r="M311">
        <f>IF(OR(F311="VOIDED",F311="DELETED"),0,J311-L311)</f>
        <v/>
      </c>
      <c r="N311" t="inlineStr">
        <is>
          <t>Yes</t>
        </is>
      </c>
      <c r="O311" t="inlineStr">
        <is>
          <t>Goods-tagged</t>
        </is>
      </c>
      <c r="P311" t="inlineStr">
        <is>
          <t>.</t>
        </is>
      </c>
      <c r="Q311" t="inlineStr">
        <is>
          <t>xero_tracking</t>
        </is>
      </c>
      <c r="R311" t="inlineStr">
        <is>
          <t>ACT-ST</t>
        </is>
      </c>
      <c r="S311" t="n">
        <v>46211</v>
      </c>
    </row>
    <row r="312" ht="36" customHeight="1">
      <c r="A312" t="inlineStr">
        <is>
          <t>93db5782-47ae-4451-bc20-a9ecde4e78b9</t>
        </is>
      </c>
      <c r="B312" t="inlineStr">
        <is>
          <t>5655 1104 061</t>
        </is>
      </c>
      <c r="C312" s="162" t="n">
        <v>46003</v>
      </c>
      <c r="D312" t="inlineStr">
        <is>
          <t>Kmart</t>
        </is>
      </c>
      <c r="E312" t="inlineStr">
        <is>
          <t>ACCPAY</t>
        </is>
      </c>
      <c r="F312" t="inlineStr">
        <is>
          <t>PAID</t>
        </is>
      </c>
      <c r="G312" t="n">
        <v>20</v>
      </c>
      <c r="H312" t="n">
        <v>2</v>
      </c>
      <c r="I312" t="n">
        <v>22</v>
      </c>
      <c r="J312" t="n">
        <v>22</v>
      </c>
      <c r="K312" t="n">
        <v>0</v>
      </c>
      <c r="L312" t="n">
        <v>22</v>
      </c>
      <c r="M312">
        <f>IF(OR(F312="VOIDED",F312="DELETED"),0,J312-L312)</f>
        <v/>
      </c>
      <c r="N312" t="inlineStr">
        <is>
          <t>Yes</t>
        </is>
      </c>
      <c r="O312" t="inlineStr">
        <is>
          <t>Goods-tagged</t>
        </is>
      </c>
      <c r="P312" t="inlineStr">
        <is>
          <t>Photos for the office</t>
        </is>
      </c>
      <c r="Q312" t="inlineStr">
        <is>
          <t>xero_tracking</t>
        </is>
      </c>
      <c r="R312" t="inlineStr">
        <is>
          <t>ACT-ST</t>
        </is>
      </c>
      <c r="S312" t="n">
        <v>46211</v>
      </c>
    </row>
    <row r="313" ht="36" customHeight="1">
      <c r="A313" t="inlineStr">
        <is>
          <t>c1c5719a-ef30-46c3-b2f1-18f20bf38241</t>
        </is>
      </c>
      <c r="C313" s="162" t="n">
        <v>46003</v>
      </c>
      <c r="D313" t="inlineStr">
        <is>
          <t>Memories Bistro</t>
        </is>
      </c>
      <c r="E313" t="inlineStr">
        <is>
          <t>ACCPAY</t>
        </is>
      </c>
      <c r="F313" t="inlineStr">
        <is>
          <t>PAID</t>
        </is>
      </c>
      <c r="G313" t="n">
        <v>70.2</v>
      </c>
      <c r="H313" t="n">
        <v>7.02</v>
      </c>
      <c r="I313" t="n">
        <v>77.22</v>
      </c>
      <c r="J313" t="n">
        <v>77.22</v>
      </c>
      <c r="K313" t="n">
        <v>0</v>
      </c>
      <c r="L313" t="n">
        <v>77.22</v>
      </c>
      <c r="M313">
        <f>IF(OR(F313="VOIDED",F313="DELETED"),0,J313-L313)</f>
        <v/>
      </c>
      <c r="N313" t="inlineStr">
        <is>
          <t>Yes</t>
        </is>
      </c>
      <c r="O313" t="inlineStr">
        <is>
          <t>Goods-tagged</t>
        </is>
      </c>
      <c r="P313" t="inlineStr">
        <is>
          <t>Memories Bistro — Meals &amp; Entertainment — ACT-GD</t>
        </is>
      </c>
      <c r="Q313" t="inlineStr">
        <is>
          <t>xero_tracking</t>
        </is>
      </c>
      <c r="R313" t="inlineStr">
        <is>
          <t>ACT-ST</t>
        </is>
      </c>
      <c r="S313" t="n">
        <v>46211</v>
      </c>
    </row>
    <row r="314" ht="36" customHeight="1">
      <c r="A314" t="inlineStr">
        <is>
          <t>b5cfcb88-aa63-4e86-be89-0ccf30c78a06</t>
        </is>
      </c>
      <c r="B314" t="inlineStr">
        <is>
          <t>114420</t>
        </is>
      </c>
      <c r="C314" s="162" t="n">
        <v>46004</v>
      </c>
      <c r="D314" t="inlineStr">
        <is>
          <t>Tennant Creek Memorial Club</t>
        </is>
      </c>
      <c r="E314" t="inlineStr">
        <is>
          <t>ACCPAY</t>
        </is>
      </c>
      <c r="F314" t="inlineStr">
        <is>
          <t>PAID</t>
        </is>
      </c>
      <c r="G314" t="n">
        <v>5.45</v>
      </c>
      <c r="H314" t="n">
        <v>0.55</v>
      </c>
      <c r="I314" t="n">
        <v>6</v>
      </c>
      <c r="J314" t="n">
        <v>6</v>
      </c>
      <c r="K314" t="n">
        <v>0</v>
      </c>
      <c r="L314" t="n">
        <v>6</v>
      </c>
      <c r="M314">
        <f>IF(OR(F314="VOIDED",F314="DELETED"),0,J314-L314)</f>
        <v/>
      </c>
      <c r="N314" t="inlineStr">
        <is>
          <t>Yes</t>
        </is>
      </c>
      <c r="O314" t="inlineStr">
        <is>
          <t>Goods-tagged</t>
        </is>
      </c>
      <c r="P314" t="inlineStr">
        <is>
          <t>.</t>
        </is>
      </c>
      <c r="Q314" t="inlineStr">
        <is>
          <t>xero_tracking</t>
        </is>
      </c>
      <c r="R314" t="inlineStr">
        <is>
          <t>ACT-ST</t>
        </is>
      </c>
      <c r="S314" t="n">
        <v>46211</v>
      </c>
    </row>
    <row r="315" ht="36" customHeight="1">
      <c r="A315" t="inlineStr">
        <is>
          <t>e6ad6445-a4d0-40db-b866-ce817b8f67fc</t>
        </is>
      </c>
      <c r="B315" t="inlineStr">
        <is>
          <t>35339</t>
        </is>
      </c>
      <c r="C315" s="162" t="n">
        <v>46004</v>
      </c>
      <c r="D315" t="inlineStr">
        <is>
          <t>IGA</t>
        </is>
      </c>
      <c r="E315" t="inlineStr">
        <is>
          <t>ACCPAY</t>
        </is>
      </c>
      <c r="F315" t="inlineStr">
        <is>
          <t>PAID</t>
        </is>
      </c>
      <c r="G315" t="n">
        <v>37.75</v>
      </c>
      <c r="H315" t="n">
        <v>3.53</v>
      </c>
      <c r="I315" t="n">
        <v>41.28</v>
      </c>
      <c r="J315" t="n">
        <v>41.28</v>
      </c>
      <c r="K315" t="n">
        <v>0</v>
      </c>
      <c r="L315" t="n">
        <v>41.28</v>
      </c>
      <c r="M315">
        <f>IF(OR(F315="VOIDED",F315="DELETED"),0,J315-L315)</f>
        <v/>
      </c>
      <c r="N315" t="inlineStr">
        <is>
          <t>Yes</t>
        </is>
      </c>
      <c r="O315" t="inlineStr">
        <is>
          <t>Goods-tagged</t>
        </is>
      </c>
      <c r="P315" t="inlineStr">
        <is>
          <t>. / .</t>
        </is>
      </c>
      <c r="Q315" t="inlineStr">
        <is>
          <t>xero_tracking</t>
        </is>
      </c>
      <c r="R315" t="inlineStr">
        <is>
          <t>ACT-ST</t>
        </is>
      </c>
      <c r="S315" t="n">
        <v>46211</v>
      </c>
    </row>
    <row r="316" ht="36" customHeight="1">
      <c r="A316" t="inlineStr">
        <is>
          <t>a766b30e-c5f0-490f-8b96-e870350a3f95</t>
        </is>
      </c>
      <c r="B316" t="inlineStr">
        <is>
          <t>146430</t>
        </is>
      </c>
      <c r="C316" s="162" t="n">
        <v>46005</v>
      </c>
      <c r="D316" t="inlineStr">
        <is>
          <t>Ti Tree Roadhouse</t>
        </is>
      </c>
      <c r="E316" t="inlineStr">
        <is>
          <t>ACCPAY</t>
        </is>
      </c>
      <c r="F316" t="inlineStr">
        <is>
          <t>PAID</t>
        </is>
      </c>
      <c r="G316" t="n">
        <v>142.7</v>
      </c>
      <c r="H316" t="n">
        <v>14.27</v>
      </c>
      <c r="I316" t="n">
        <v>156.97</v>
      </c>
      <c r="J316" t="n">
        <v>156.97</v>
      </c>
      <c r="K316" t="n">
        <v>0</v>
      </c>
      <c r="L316" t="n">
        <v>156.97</v>
      </c>
      <c r="M316">
        <f>IF(OR(F316="VOIDED",F316="DELETED"),0,J316-L316)</f>
        <v/>
      </c>
      <c r="N316" t="inlineStr">
        <is>
          <t>Yes</t>
        </is>
      </c>
      <c r="O316" t="inlineStr">
        <is>
          <t>Goods-tagged</t>
        </is>
      </c>
      <c r="P316" t="inlineStr">
        <is>
          <t>.</t>
        </is>
      </c>
      <c r="Q316" t="inlineStr">
        <is>
          <t>xero_tracking</t>
        </is>
      </c>
      <c r="R316" t="inlineStr">
        <is>
          <t>ACT-ST</t>
        </is>
      </c>
      <c r="S316" t="n">
        <v>46211</v>
      </c>
    </row>
    <row r="317" ht="36" customHeight="1">
      <c r="A317" t="inlineStr">
        <is>
          <t>d9983c0b-0944-4512-a4a4-c2a174d8479e</t>
        </is>
      </c>
      <c r="B317" t="inlineStr">
        <is>
          <t>1511719</t>
        </is>
      </c>
      <c r="C317" s="162" t="n">
        <v>46005</v>
      </c>
      <c r="D317" t="inlineStr">
        <is>
          <t>WizBang Technologies</t>
        </is>
      </c>
      <c r="E317" t="inlineStr">
        <is>
          <t>ACCPAY</t>
        </is>
      </c>
      <c r="F317" t="inlineStr">
        <is>
          <t>PAID</t>
        </is>
      </c>
      <c r="G317" t="n">
        <v>74.7</v>
      </c>
      <c r="H317" t="n">
        <v>7.47</v>
      </c>
      <c r="I317" t="n">
        <v>82.17</v>
      </c>
      <c r="J317" t="n">
        <v>82.17</v>
      </c>
      <c r="K317" t="n">
        <v>0</v>
      </c>
      <c r="L317" t="n">
        <v>82.17</v>
      </c>
      <c r="M317">
        <f>IF(OR(F317="VOIDED",F317="DELETED"),0,J317-L317)</f>
        <v/>
      </c>
      <c r="N317" t="inlineStr">
        <is>
          <t>Yes</t>
        </is>
      </c>
      <c r="O317" t="inlineStr">
        <is>
          <t>Goods-tagged</t>
        </is>
      </c>
      <c r="P317" t="inlineStr">
        <is>
          <t>Meals - WizBang Technologies</t>
        </is>
      </c>
      <c r="Q317" t="inlineStr">
        <is>
          <t>xero_tracking</t>
        </is>
      </c>
      <c r="R317" t="inlineStr">
        <is>
          <t>ACT-ST</t>
        </is>
      </c>
      <c r="S317" t="n">
        <v>46211</v>
      </c>
    </row>
    <row r="318" ht="36" customHeight="1">
      <c r="A318" t="inlineStr">
        <is>
          <t>5fe4bc1b-67e6-4746-819a-2b3aa94ce7e9</t>
        </is>
      </c>
      <c r="B318" t="inlineStr">
        <is>
          <t>3NzJ</t>
        </is>
      </c>
      <c r="C318" s="162" t="n">
        <v>46005</v>
      </c>
      <c r="D318" t="inlineStr">
        <is>
          <t>Bay Leaf Cafe</t>
        </is>
      </c>
      <c r="E318" t="inlineStr">
        <is>
          <t>ACCPAY</t>
        </is>
      </c>
      <c r="F318" t="inlineStr">
        <is>
          <t>PAID</t>
        </is>
      </c>
      <c r="G318" t="n">
        <v>11.5</v>
      </c>
      <c r="H318" t="n">
        <v>1.15</v>
      </c>
      <c r="I318" t="n">
        <v>12.65</v>
      </c>
      <c r="J318" t="n">
        <v>12.65</v>
      </c>
      <c r="K318" t="n">
        <v>0</v>
      </c>
      <c r="L318" t="n">
        <v>12.65</v>
      </c>
      <c r="M318">
        <f>IF(OR(F318="VOIDED",F318="DELETED"),0,J318-L318)</f>
        <v/>
      </c>
      <c r="N318" t="inlineStr">
        <is>
          <t>Yes</t>
        </is>
      </c>
      <c r="O318" t="inlineStr">
        <is>
          <t>Goods-tagged</t>
        </is>
      </c>
      <c r="P318" t="inlineStr">
        <is>
          <t>.</t>
        </is>
      </c>
      <c r="Q318" t="inlineStr">
        <is>
          <t>xero_tracking</t>
        </is>
      </c>
      <c r="R318" t="inlineStr">
        <is>
          <t>ACT-ST</t>
        </is>
      </c>
      <c r="S318" t="n">
        <v>46211</v>
      </c>
    </row>
    <row r="319" ht="36" customHeight="1">
      <c r="A319" t="inlineStr">
        <is>
          <t>be0feae1-4580-4f8f-adbf-dcac8b28be8a</t>
        </is>
      </c>
      <c r="B319" t="inlineStr">
        <is>
          <t>RB19011754740</t>
        </is>
      </c>
      <c r="C319" s="162" t="n">
        <v>46005</v>
      </c>
      <c r="D319" t="inlineStr">
        <is>
          <t>SSP Australia Catering</t>
        </is>
      </c>
      <c r="E319" t="inlineStr">
        <is>
          <t>ACCPAY</t>
        </is>
      </c>
      <c r="F319" t="inlineStr">
        <is>
          <t>PAID</t>
        </is>
      </c>
      <c r="G319" t="n">
        <v>19.35</v>
      </c>
      <c r="H319" t="n">
        <v>1.95</v>
      </c>
      <c r="I319" t="n">
        <v>21.3</v>
      </c>
      <c r="J319" t="n">
        <v>21.3</v>
      </c>
      <c r="K319" t="n">
        <v>0</v>
      </c>
      <c r="L319" t="n">
        <v>21.3</v>
      </c>
      <c r="M319">
        <f>IF(OR(F319="VOIDED",F319="DELETED"),0,J319-L319)</f>
        <v/>
      </c>
      <c r="N319" t="inlineStr">
        <is>
          <t>Yes</t>
        </is>
      </c>
      <c r="O319" t="inlineStr">
        <is>
          <t>Goods-tagged</t>
        </is>
      </c>
      <c r="P319" t="inlineStr">
        <is>
          <t>.</t>
        </is>
      </c>
      <c r="Q319" t="inlineStr">
        <is>
          <t>xero_tracking</t>
        </is>
      </c>
      <c r="R319" t="inlineStr">
        <is>
          <t>ACT-ST</t>
        </is>
      </c>
      <c r="S319" t="n">
        <v>46211</v>
      </c>
    </row>
    <row r="320" ht="36" customHeight="1">
      <c r="A320" t="inlineStr">
        <is>
          <t>aac157a9-5517-4053-b074-6084ca63b3fe</t>
        </is>
      </c>
      <c r="C320" s="162" t="n">
        <v>46006</v>
      </c>
      <c r="D320" t="inlineStr">
        <is>
          <t>Oonchiumpa Consultancy and Services</t>
        </is>
      </c>
      <c r="E320" t="inlineStr">
        <is>
          <t>ACCPAY</t>
        </is>
      </c>
      <c r="F320" t="inlineStr">
        <is>
          <t>VOIDED</t>
        </is>
      </c>
      <c r="G320" t="n">
        <v>5400</v>
      </c>
      <c r="H320" t="n">
        <v>540</v>
      </c>
      <c r="I320" t="n">
        <v>5940</v>
      </c>
      <c r="J320" t="n">
        <v>0</v>
      </c>
      <c r="K320" t="n">
        <v>0</v>
      </c>
      <c r="L320" t="n">
        <v>0</v>
      </c>
      <c r="M320">
        <f>IF(OR(F320="VOIDED",F320="DELETED"),0,J320-L320)</f>
        <v/>
      </c>
      <c r="N320" t="inlineStr">
        <is>
          <t>Yes</t>
        </is>
      </c>
      <c r="O320" t="inlineStr">
        <is>
          <t>Goods-tagged</t>
        </is>
      </c>
      <c r="P320" t="inlineStr">
        <is>
          <t>Oonchiumpa Consultancy and Services — Professional Services — ACT-GD</t>
        </is>
      </c>
      <c r="Q320" t="inlineStr">
        <is>
          <t>xero_tracking</t>
        </is>
      </c>
      <c r="R320" t="inlineStr">
        <is>
          <t>ACT-ST</t>
        </is>
      </c>
      <c r="S320" t="n">
        <v>46211</v>
      </c>
    </row>
    <row r="321" ht="36" customHeight="1">
      <c r="A321" t="inlineStr">
        <is>
          <t>c3d5dd2a-98e9-4261-81aa-18e57ec86109</t>
        </is>
      </c>
      <c r="C321" s="162" t="n">
        <v>46006</v>
      </c>
      <c r="D321" t="inlineStr">
        <is>
          <t>1300 Washer</t>
        </is>
      </c>
      <c r="E321" t="inlineStr">
        <is>
          <t>ACCPAY</t>
        </is>
      </c>
      <c r="F321" t="inlineStr">
        <is>
          <t>VOIDED</t>
        </is>
      </c>
      <c r="G321" t="n">
        <v>12709.09</v>
      </c>
      <c r="H321" t="n">
        <v>1270.91</v>
      </c>
      <c r="I321" t="n">
        <v>13980</v>
      </c>
      <c r="J321" t="n">
        <v>0</v>
      </c>
      <c r="K321" t="n">
        <v>0</v>
      </c>
      <c r="L321" t="n">
        <v>0</v>
      </c>
      <c r="M321">
        <f>IF(OR(F321="VOIDED",F321="DELETED"),0,J321-L321)</f>
        <v/>
      </c>
      <c r="N321" t="inlineStr">
        <is>
          <t>Yes</t>
        </is>
      </c>
      <c r="O321" t="inlineStr">
        <is>
          <t>Goods-tagged</t>
        </is>
      </c>
      <c r="P321" t="inlineStr">
        <is>
          <t>1300 Washer — Operations — ACT-GD</t>
        </is>
      </c>
      <c r="Q321" t="inlineStr">
        <is>
          <t>xero_tracking</t>
        </is>
      </c>
      <c r="R321" t="inlineStr">
        <is>
          <t>ACT-ST</t>
        </is>
      </c>
      <c r="S321" t="n">
        <v>46211</v>
      </c>
    </row>
    <row r="322" ht="36" customHeight="1">
      <c r="A322" t="inlineStr">
        <is>
          <t>68e70405-769f-4eb7-a41d-fcc001951190</t>
        </is>
      </c>
      <c r="B322" t="inlineStr">
        <is>
          <t>4415504604</t>
        </is>
      </c>
      <c r="C322" s="162" t="n">
        <v>46007</v>
      </c>
      <c r="D322" t="inlineStr">
        <is>
          <t>Qantas</t>
        </is>
      </c>
      <c r="E322" t="inlineStr">
        <is>
          <t>ACCPAY</t>
        </is>
      </c>
      <c r="F322" t="inlineStr">
        <is>
          <t>PAID</t>
        </is>
      </c>
      <c r="G322" t="n">
        <v>59.09</v>
      </c>
      <c r="H322" t="n">
        <v>5.91</v>
      </c>
      <c r="I322" t="n">
        <v>65</v>
      </c>
      <c r="J322" t="n">
        <v>65</v>
      </c>
      <c r="K322" t="n">
        <v>0</v>
      </c>
      <c r="L322" t="n">
        <v>65</v>
      </c>
      <c r="M322">
        <f>IF(OR(F322="VOIDED",F322="DELETED"),0,J322-L322)</f>
        <v/>
      </c>
      <c r="N322" t="inlineStr">
        <is>
          <t>Yes</t>
        </is>
      </c>
      <c r="O322" t="inlineStr">
        <is>
          <t>Goods-tagged</t>
        </is>
      </c>
      <c r="P322" t="inlineStr">
        <is>
          <t>.</t>
        </is>
      </c>
      <c r="Q322" t="inlineStr">
        <is>
          <t>xero_tracking</t>
        </is>
      </c>
      <c r="R322" t="inlineStr">
        <is>
          <t>ACT-ST</t>
        </is>
      </c>
      <c r="S322" t="n">
        <v>46211</v>
      </c>
    </row>
    <row r="323" ht="36" customHeight="1">
      <c r="A323" t="inlineStr">
        <is>
          <t>9a308fdd-449a-44e7-80e2-027bc30a4703</t>
        </is>
      </c>
      <c r="B323" t="inlineStr">
        <is>
          <t>INV-0027</t>
        </is>
      </c>
      <c r="C323" s="162" t="n">
        <v>46007</v>
      </c>
      <c r="D323" t="inlineStr">
        <is>
          <t>Oonchiumpa Consultancy and Services</t>
        </is>
      </c>
      <c r="E323" t="inlineStr">
        <is>
          <t>ACCPAY</t>
        </is>
      </c>
      <c r="F323" t="inlineStr">
        <is>
          <t>PAID</t>
        </is>
      </c>
      <c r="G323" t="n">
        <v>5400</v>
      </c>
      <c r="H323" t="n">
        <v>540</v>
      </c>
      <c r="I323" t="n">
        <v>5940</v>
      </c>
      <c r="J323" t="n">
        <v>5940</v>
      </c>
      <c r="K323" t="n">
        <v>0</v>
      </c>
      <c r="L323" t="n">
        <v>5940</v>
      </c>
      <c r="M323">
        <f>IF(OR(F323="VOIDED",F323="DELETED"),0,J323-L323)</f>
        <v/>
      </c>
      <c r="N323" t="inlineStr">
        <is>
          <t>Yes</t>
        </is>
      </c>
      <c r="O323" t="inlineStr">
        <is>
          <t>Goods-tagged</t>
        </is>
      </c>
      <c r="P323" t="inlineStr">
        <is>
          <t>Building Beds with Oonchiumpa</t>
        </is>
      </c>
      <c r="Q323" t="inlineStr">
        <is>
          <t>xero_tracking</t>
        </is>
      </c>
      <c r="R323" t="inlineStr">
        <is>
          <t>ACT-ST</t>
        </is>
      </c>
      <c r="S323" t="n">
        <v>46211</v>
      </c>
    </row>
    <row r="324" ht="36" customHeight="1">
      <c r="A324" t="inlineStr">
        <is>
          <t>f6528324-4857-4636-9407-9d4e67427e2d</t>
        </is>
      </c>
      <c r="C324" s="162" t="n">
        <v>46008</v>
      </c>
      <c r="D324" t="inlineStr">
        <is>
          <t>The Plasticians</t>
        </is>
      </c>
      <c r="E324" t="inlineStr">
        <is>
          <t>ACCPAY</t>
        </is>
      </c>
      <c r="F324" t="inlineStr">
        <is>
          <t>AUTHORISED</t>
        </is>
      </c>
      <c r="G324" t="n">
        <v>27090.91</v>
      </c>
      <c r="H324" t="n">
        <v>2709.09</v>
      </c>
      <c r="I324" t="n">
        <v>29800</v>
      </c>
      <c r="J324" t="n">
        <v>0</v>
      </c>
      <c r="K324" t="n">
        <v>29800</v>
      </c>
      <c r="L324" t="n">
        <v>0</v>
      </c>
      <c r="M324">
        <f>IF(OR(F324="VOIDED",F324="DELETED"),0,J324-L324)</f>
        <v/>
      </c>
      <c r="N324" t="inlineStr">
        <is>
          <t>Yes</t>
        </is>
      </c>
      <c r="O324" t="inlineStr">
        <is>
          <t>Goods-tagged</t>
        </is>
      </c>
      <c r="P324" t="inlineStr">
        <is>
          <t>The Plasticians — Other — ACT-IN</t>
        </is>
      </c>
      <c r="Q324" t="inlineStr">
        <is>
          <t>xero_tracking</t>
        </is>
      </c>
      <c r="R324" t="inlineStr">
        <is>
          <t>ACT-ST</t>
        </is>
      </c>
      <c r="S324" t="n">
        <v>46211</v>
      </c>
    </row>
    <row r="325" ht="36" customHeight="1">
      <c r="A325" t="inlineStr">
        <is>
          <t>2cfca6af-4bf9-4bad-a3be-703b8961ec7e</t>
        </is>
      </c>
      <c r="C325" s="162" t="n">
        <v>46009</v>
      </c>
      <c r="D325" t="inlineStr">
        <is>
          <t>Defy Manufacturing</t>
        </is>
      </c>
      <c r="E325" t="inlineStr">
        <is>
          <t>ACCPAY</t>
        </is>
      </c>
      <c r="F325" t="inlineStr">
        <is>
          <t>VOIDED</t>
        </is>
      </c>
      <c r="G325" t="n">
        <v>2908.94</v>
      </c>
      <c r="H325" t="n">
        <v>290.89</v>
      </c>
      <c r="I325" t="n">
        <v>3199.83</v>
      </c>
      <c r="J325" t="n">
        <v>0</v>
      </c>
      <c r="K325" t="n">
        <v>0</v>
      </c>
      <c r="L325" t="n">
        <v>0</v>
      </c>
      <c r="M325">
        <f>IF(OR(F325="VOIDED",F325="DELETED"),0,J325-L325)</f>
        <v/>
      </c>
      <c r="N325" t="inlineStr">
        <is>
          <t>Yes</t>
        </is>
      </c>
      <c r="O325" t="inlineStr">
        <is>
          <t>Goods-tagged</t>
        </is>
      </c>
      <c r="P325" t="inlineStr">
        <is>
          <t>Defy Manufacturing — Materials &amp; Supplies — ACT-GD</t>
        </is>
      </c>
      <c r="Q325" t="inlineStr">
        <is>
          <t>xero_tracking</t>
        </is>
      </c>
      <c r="R325" t="inlineStr">
        <is>
          <t>ACT-ST</t>
        </is>
      </c>
      <c r="S325" t="n">
        <v>46211</v>
      </c>
    </row>
    <row r="326" ht="36" customHeight="1">
      <c r="A326" t="inlineStr">
        <is>
          <t>372be68a-f2f7-4add-ae57-6f2a5e1bf2c6</t>
        </is>
      </c>
      <c r="C326" s="162" t="n">
        <v>46009</v>
      </c>
      <c r="D326" t="inlineStr">
        <is>
          <t>Defy</t>
        </is>
      </c>
      <c r="E326" t="inlineStr">
        <is>
          <t>ACCPAY</t>
        </is>
      </c>
      <c r="F326" t="inlineStr">
        <is>
          <t>PAID</t>
        </is>
      </c>
      <c r="G326" t="n">
        <v>2964.21</v>
      </c>
      <c r="H326" t="n">
        <v>296.42</v>
      </c>
      <c r="I326" t="n">
        <v>3260.63</v>
      </c>
      <c r="J326" t="n">
        <v>3260.63</v>
      </c>
      <c r="K326" t="n">
        <v>0</v>
      </c>
      <c r="L326" t="n">
        <v>3260.63</v>
      </c>
      <c r="M326">
        <f>IF(OR(F326="VOIDED",F326="DELETED"),0,J326-L326)</f>
        <v/>
      </c>
      <c r="N326" t="inlineStr">
        <is>
          <t>Yes</t>
        </is>
      </c>
      <c r="O326" t="inlineStr">
        <is>
          <t>Goods-tagged</t>
        </is>
      </c>
      <c r="P326" t="inlineStr">
        <is>
          <t>Defy Manufacturing — Materials &amp; Supplies — ACT-GD</t>
        </is>
      </c>
      <c r="Q326" t="inlineStr">
        <is>
          <t>xero_tracking</t>
        </is>
      </c>
      <c r="R326" t="inlineStr">
        <is>
          <t>ACT-ST</t>
        </is>
      </c>
      <c r="S326" t="n">
        <v>46211</v>
      </c>
    </row>
    <row r="327" ht="36" customHeight="1">
      <c r="A327" t="inlineStr">
        <is>
          <t>8b96e972-4067-4424-954e-56d06ca1b3ec</t>
        </is>
      </c>
      <c r="C327" s="162" t="n">
        <v>46013</v>
      </c>
      <c r="D327" t="inlineStr">
        <is>
          <t>Defy</t>
        </is>
      </c>
      <c r="E327" t="inlineStr">
        <is>
          <t>ACCPAY</t>
        </is>
      </c>
      <c r="F327" t="inlineStr">
        <is>
          <t>PAID</t>
        </is>
      </c>
      <c r="G327" t="n">
        <v>3270.99</v>
      </c>
      <c r="H327" t="n">
        <v>327.1</v>
      </c>
      <c r="I327" t="n">
        <v>3598.09</v>
      </c>
      <c r="J327" t="n">
        <v>3598.09</v>
      </c>
      <c r="K327" t="n">
        <v>0</v>
      </c>
      <c r="L327" t="n">
        <v>3598.09</v>
      </c>
      <c r="M327">
        <f>IF(OR(F327="VOIDED",F327="DELETED"),0,J327-L327)</f>
        <v/>
      </c>
      <c r="N327" t="inlineStr">
        <is>
          <t>Yes</t>
        </is>
      </c>
      <c r="O327" t="inlineStr">
        <is>
          <t>Goods-tagged</t>
        </is>
      </c>
      <c r="P327" t="inlineStr">
        <is>
          <t>Defy Manufacturing — Materials &amp; Supplies — ACT-GD</t>
        </is>
      </c>
      <c r="Q327" t="inlineStr">
        <is>
          <t>xero_tracking</t>
        </is>
      </c>
      <c r="R327" t="inlineStr">
        <is>
          <t>ACT-ST</t>
        </is>
      </c>
      <c r="S327" t="n">
        <v>46211</v>
      </c>
    </row>
    <row r="328" ht="36" customHeight="1">
      <c r="A328" t="inlineStr">
        <is>
          <t>2180ca80-e20e-4467-b3d9-9aaf5a35b8fb</t>
        </is>
      </c>
      <c r="B328" t="inlineStr">
        <is>
          <t>094-37374-8180-2025-12-27</t>
        </is>
      </c>
      <c r="C328" s="162" t="n">
        <v>46018</v>
      </c>
      <c r="D328" t="inlineStr">
        <is>
          <t>Bunnings Warehouse</t>
        </is>
      </c>
      <c r="E328" t="inlineStr">
        <is>
          <t>ACCPAY</t>
        </is>
      </c>
      <c r="F328" t="inlineStr">
        <is>
          <t>PAID</t>
        </is>
      </c>
      <c r="G328" t="n">
        <v>1451.82</v>
      </c>
      <c r="H328" t="n">
        <v>145.18</v>
      </c>
      <c r="I328" t="n">
        <v>1597</v>
      </c>
      <c r="J328" t="n">
        <v>1597</v>
      </c>
      <c r="K328" t="n">
        <v>0</v>
      </c>
      <c r="L328" t="n">
        <v>1597</v>
      </c>
      <c r="M328">
        <f>IF(OR(F328="VOIDED",F328="DELETED"),0,J328-L328)</f>
        <v/>
      </c>
      <c r="N328" t="inlineStr">
        <is>
          <t>Yes</t>
        </is>
      </c>
      <c r="O328" t="inlineStr">
        <is>
          <t>Goods-tagged</t>
        </is>
      </c>
      <c r="P328" t="inlineStr">
        <is>
          <t>Air con split</t>
        </is>
      </c>
      <c r="Q328" t="inlineStr">
        <is>
          <t>xero_tracking</t>
        </is>
      </c>
      <c r="R328" t="inlineStr">
        <is>
          <t>ACT-ST</t>
        </is>
      </c>
      <c r="S328" t="n">
        <v>46211</v>
      </c>
    </row>
    <row r="329" ht="36" customHeight="1">
      <c r="A329" t="inlineStr">
        <is>
          <t>b0d7936b-a7dc-4535-b3c4-ec4641a8eb56</t>
        </is>
      </c>
      <c r="C329" s="162" t="n">
        <v>46027</v>
      </c>
      <c r="D329" t="inlineStr">
        <is>
          <t>RW Pacific Traders</t>
        </is>
      </c>
      <c r="E329" t="inlineStr">
        <is>
          <t>ACCPAY</t>
        </is>
      </c>
      <c r="F329" t="inlineStr">
        <is>
          <t>PAID</t>
        </is>
      </c>
      <c r="G329" t="n">
        <v>3818.18</v>
      </c>
      <c r="H329" t="n">
        <v>381.82</v>
      </c>
      <c r="I329" t="n">
        <v>4200</v>
      </c>
      <c r="J329" t="n">
        <v>4200</v>
      </c>
      <c r="K329" t="n">
        <v>0</v>
      </c>
      <c r="L329" t="n">
        <v>4200</v>
      </c>
      <c r="M329">
        <f>IF(OR(F329="VOIDED",F329="DELETED"),0,J329-L329)</f>
        <v/>
      </c>
      <c r="N329" t="inlineStr">
        <is>
          <t>Yes</t>
        </is>
      </c>
      <c r="O329" t="inlineStr">
        <is>
          <t>Goods-tagged</t>
        </is>
      </c>
      <c r="P329" t="inlineStr">
        <is>
          <t>RW Pacific Traders — Materials &amp; Supplies — ACT-GD</t>
        </is>
      </c>
      <c r="Q329" t="inlineStr">
        <is>
          <t>xero_tracking</t>
        </is>
      </c>
      <c r="R329" t="inlineStr">
        <is>
          <t>ACT-ST</t>
        </is>
      </c>
      <c r="S329" t="n">
        <v>46211</v>
      </c>
    </row>
    <row r="330" ht="36" customHeight="1">
      <c r="A330" t="inlineStr">
        <is>
          <t>33d295a5-8b74-4783-88d0-1d4f75056572</t>
        </is>
      </c>
      <c r="B330" t="inlineStr">
        <is>
          <t>SO-297222</t>
        </is>
      </c>
      <c r="C330" s="162" t="n">
        <v>46028</v>
      </c>
      <c r="D330" t="inlineStr">
        <is>
          <t>Clearview Towing Mirrors</t>
        </is>
      </c>
      <c r="E330" t="inlineStr">
        <is>
          <t>ACCPAY</t>
        </is>
      </c>
      <c r="F330" t="inlineStr">
        <is>
          <t>PAID</t>
        </is>
      </c>
      <c r="G330" t="n">
        <v>698.9400000000001</v>
      </c>
      <c r="H330" t="n">
        <v>69.89</v>
      </c>
      <c r="I330" t="n">
        <v>768.83</v>
      </c>
      <c r="J330" t="n">
        <v>768.83</v>
      </c>
      <c r="K330" t="n">
        <v>0</v>
      </c>
      <c r="L330" t="n">
        <v>768.83</v>
      </c>
      <c r="M330">
        <f>IF(OR(F330="VOIDED",F330="DELETED"),0,J330-L330)</f>
        <v/>
      </c>
      <c r="N330" t="inlineStr">
        <is>
          <t>Yes</t>
        </is>
      </c>
      <c r="O330" t="inlineStr">
        <is>
          <t>Goods-tagged</t>
        </is>
      </c>
      <c r="P330" t="inlineStr">
        <is>
          <t>Towing Mirrors</t>
        </is>
      </c>
      <c r="Q330" t="inlineStr">
        <is>
          <t>xero_tracking</t>
        </is>
      </c>
      <c r="R330" t="inlineStr">
        <is>
          <t>ACT-ST</t>
        </is>
      </c>
      <c r="S330" t="n">
        <v>46211</v>
      </c>
    </row>
    <row r="331" ht="36" customHeight="1">
      <c r="A331" t="inlineStr">
        <is>
          <t>dd3a4e4d-13c5-4078-b4a2-e75f6839b7b5</t>
        </is>
      </c>
      <c r="C331" s="162" t="n">
        <v>46031</v>
      </c>
      <c r="D331" t="inlineStr">
        <is>
          <t>Reddy Express</t>
        </is>
      </c>
      <c r="E331" t="inlineStr">
        <is>
          <t>ACCPAY</t>
        </is>
      </c>
      <c r="F331" t="inlineStr">
        <is>
          <t>PAID</t>
        </is>
      </c>
      <c r="G331" t="n">
        <v>90.03</v>
      </c>
      <c r="H331" t="n">
        <v>9</v>
      </c>
      <c r="I331" t="n">
        <v>99.03</v>
      </c>
      <c r="J331" t="n">
        <v>99.03</v>
      </c>
      <c r="K331" t="n">
        <v>0</v>
      </c>
      <c r="L331" t="n">
        <v>99.03</v>
      </c>
      <c r="M331">
        <f>IF(OR(F331="VOIDED",F331="DELETED"),0,J331-L331)</f>
        <v/>
      </c>
      <c r="N331" t="inlineStr">
        <is>
          <t>Yes</t>
        </is>
      </c>
      <c r="O331" t="inlineStr">
        <is>
          <t>Goods-tagged</t>
        </is>
      </c>
      <c r="P331" t="inlineStr">
        <is>
          <t>Reddy Express — Operations — ACT-GD</t>
        </is>
      </c>
      <c r="Q331" t="inlineStr">
        <is>
          <t>xero_tracking</t>
        </is>
      </c>
      <c r="R331" t="inlineStr">
        <is>
          <t>ACT-ST</t>
        </is>
      </c>
      <c r="S331" t="n">
        <v>46211</v>
      </c>
    </row>
    <row r="332" ht="36" customHeight="1">
      <c r="A332" t="inlineStr">
        <is>
          <t>844ef4e9-a894-4eef-87ae-2346c0df2bff</t>
        </is>
      </c>
      <c r="B332" t="inlineStr">
        <is>
          <t>00036199</t>
        </is>
      </c>
      <c r="C332" s="162" t="n">
        <v>46032</v>
      </c>
      <c r="D332" t="inlineStr">
        <is>
          <t>The Matnic Trust</t>
        </is>
      </c>
      <c r="E332" t="inlineStr">
        <is>
          <t>ACCPAY</t>
        </is>
      </c>
      <c r="F332" t="inlineStr">
        <is>
          <t>PAID</t>
        </is>
      </c>
      <c r="G332" t="n">
        <v>2826.92</v>
      </c>
      <c r="H332" t="n">
        <v>0</v>
      </c>
      <c r="I332" t="n">
        <v>2826.92</v>
      </c>
      <c r="J332" t="n">
        <v>2826.92</v>
      </c>
      <c r="K332" t="n">
        <v>0</v>
      </c>
      <c r="L332" t="n">
        <v>2826.92</v>
      </c>
      <c r="M332">
        <f>IF(OR(F332="VOIDED",F332="DELETED"),0,J332-L332)</f>
        <v/>
      </c>
      <c r="N332" t="inlineStr">
        <is>
          <t>Yes</t>
        </is>
      </c>
      <c r="O332" t="inlineStr">
        <is>
          <t>Goods-tagged</t>
        </is>
      </c>
      <c r="P332" t="inlineStr">
        <is>
          <t>Travel Expenses</t>
        </is>
      </c>
      <c r="Q332" t="inlineStr">
        <is>
          <t>xero_tracking</t>
        </is>
      </c>
      <c r="R332" t="inlineStr">
        <is>
          <t>ACT-ST</t>
        </is>
      </c>
      <c r="S332" t="n">
        <v>46211</v>
      </c>
    </row>
    <row r="333" ht="36" customHeight="1">
      <c r="A333" t="inlineStr">
        <is>
          <t>4c915112-4085-41b1-99f8-92863a1aaddf</t>
        </is>
      </c>
      <c r="C333" s="162" t="n">
        <v>46033</v>
      </c>
      <c r="D333" t="inlineStr">
        <is>
          <t>Defy</t>
        </is>
      </c>
      <c r="E333" t="inlineStr">
        <is>
          <t>ACCPAY</t>
        </is>
      </c>
      <c r="F333" t="inlineStr">
        <is>
          <t>PAID</t>
        </is>
      </c>
      <c r="G333" t="n">
        <v>812.25</v>
      </c>
      <c r="H333" t="n">
        <v>81.22</v>
      </c>
      <c r="I333" t="n">
        <v>893.47</v>
      </c>
      <c r="J333" t="n">
        <v>893.47</v>
      </c>
      <c r="K333" t="n">
        <v>0</v>
      </c>
      <c r="L333" t="n">
        <v>893.47</v>
      </c>
      <c r="M333">
        <f>IF(OR(F333="VOIDED",F333="DELETED"),0,J333-L333)</f>
        <v/>
      </c>
      <c r="N333" t="inlineStr">
        <is>
          <t>Yes</t>
        </is>
      </c>
      <c r="O333" t="inlineStr">
        <is>
          <t>Goods-tagged</t>
        </is>
      </c>
      <c r="P333" t="inlineStr">
        <is>
          <t>Defy Manufacturing — Materials &amp; Supplies — ACT-GD</t>
        </is>
      </c>
      <c r="Q333" t="inlineStr">
        <is>
          <t>xero_tracking</t>
        </is>
      </c>
      <c r="R333" t="inlineStr">
        <is>
          <t>ACT-ST</t>
        </is>
      </c>
      <c r="S333" t="n">
        <v>46211</v>
      </c>
    </row>
    <row r="334" ht="36" customHeight="1">
      <c r="A334" t="inlineStr">
        <is>
          <t>71952972-7c3b-485d-a079-5b64b8cdef56</t>
        </is>
      </c>
      <c r="C334" s="162" t="n">
        <v>46033</v>
      </c>
      <c r="D334" t="inlineStr">
        <is>
          <t>Defy Manufacturing</t>
        </is>
      </c>
      <c r="E334" t="inlineStr">
        <is>
          <t>ACCPAY</t>
        </is>
      </c>
      <c r="F334" t="inlineStr">
        <is>
          <t>AUTHORISED</t>
        </is>
      </c>
      <c r="G334" t="n">
        <v>797.1</v>
      </c>
      <c r="H334" t="n">
        <v>79.70999999999999</v>
      </c>
      <c r="I334" t="n">
        <v>876.8099999999999</v>
      </c>
      <c r="J334" t="n">
        <v>0</v>
      </c>
      <c r="K334" t="n">
        <v>876.8099999999999</v>
      </c>
      <c r="L334" t="n">
        <v>0</v>
      </c>
      <c r="M334">
        <f>IF(OR(F334="VOIDED",F334="DELETED"),0,J334-L334)</f>
        <v/>
      </c>
      <c r="N334" t="inlineStr">
        <is>
          <t>Yes</t>
        </is>
      </c>
      <c r="O334" t="inlineStr">
        <is>
          <t>Goods-tagged</t>
        </is>
      </c>
      <c r="P334" t="inlineStr">
        <is>
          <t>Defy Manufacturing — Materials &amp; Supplies — ACT-GD</t>
        </is>
      </c>
      <c r="Q334" t="inlineStr">
        <is>
          <t>xero_tracking</t>
        </is>
      </c>
      <c r="R334" t="inlineStr">
        <is>
          <t>ACT-ST</t>
        </is>
      </c>
      <c r="S334" t="n">
        <v>46211</v>
      </c>
    </row>
    <row r="335" ht="36" customHeight="1">
      <c r="A335" t="inlineStr">
        <is>
          <t>f5db859a-63e1-43fa-929d-a9712093aa42</t>
        </is>
      </c>
      <c r="C335" s="162" t="n">
        <v>46033</v>
      </c>
      <c r="D335" t="inlineStr">
        <is>
          <t>Reddy Express</t>
        </is>
      </c>
      <c r="E335" t="inlineStr">
        <is>
          <t>ACCPAY</t>
        </is>
      </c>
      <c r="F335" t="inlineStr">
        <is>
          <t>PAID</t>
        </is>
      </c>
      <c r="G335" t="n">
        <v>127.54</v>
      </c>
      <c r="H335" t="n">
        <v>12.75</v>
      </c>
      <c r="I335" t="n">
        <v>140.29</v>
      </c>
      <c r="J335" t="n">
        <v>140.29</v>
      </c>
      <c r="K335" t="n">
        <v>0</v>
      </c>
      <c r="L335" t="n">
        <v>140.29</v>
      </c>
      <c r="M335">
        <f>IF(OR(F335="VOIDED",F335="DELETED"),0,J335-L335)</f>
        <v/>
      </c>
      <c r="N335" t="inlineStr">
        <is>
          <t>Yes</t>
        </is>
      </c>
      <c r="O335" t="inlineStr">
        <is>
          <t>Goods-tagged</t>
        </is>
      </c>
      <c r="P335" t="inlineStr">
        <is>
          <t>Reddy Express — Operations — ACT-GD</t>
        </is>
      </c>
      <c r="Q335" t="inlineStr">
        <is>
          <t>xero_tracking</t>
        </is>
      </c>
      <c r="R335" t="inlineStr">
        <is>
          <t>ACT-ST</t>
        </is>
      </c>
      <c r="S335" t="n">
        <v>46211</v>
      </c>
    </row>
    <row r="336" ht="36" customHeight="1">
      <c r="A336" t="inlineStr">
        <is>
          <t>fdfe3ea2-55e2-4efb-99f6-62ecee5a6998</t>
        </is>
      </c>
      <c r="B336" t="inlineStr">
        <is>
          <t>INV-0368</t>
        </is>
      </c>
      <c r="C336" s="162" t="n">
        <v>46036</v>
      </c>
      <c r="D336" t="inlineStr">
        <is>
          <t>RW Pacific Traders</t>
        </is>
      </c>
      <c r="E336" t="inlineStr">
        <is>
          <t>ACCPAY</t>
        </is>
      </c>
      <c r="F336" t="inlineStr">
        <is>
          <t>PAID</t>
        </is>
      </c>
      <c r="G336" t="n">
        <v>2034</v>
      </c>
      <c r="H336" t="n">
        <v>0</v>
      </c>
      <c r="I336" t="n">
        <v>2034</v>
      </c>
      <c r="J336" t="n">
        <v>2034</v>
      </c>
      <c r="K336" t="n">
        <v>0</v>
      </c>
      <c r="L336" t="n">
        <v>2034</v>
      </c>
      <c r="M336">
        <f>IF(OR(F336="VOIDED",F336="DELETED"),0,J336-L336)</f>
        <v/>
      </c>
      <c r="N336" t="inlineStr">
        <is>
          <t>Yes</t>
        </is>
      </c>
      <c r="O336" t="inlineStr">
        <is>
          <t>Goods-tagged</t>
        </is>
      </c>
      <c r="P336" t="inlineStr">
        <is>
          <t>Payment for invoice(s) INV-0368</t>
        </is>
      </c>
      <c r="Q336" t="inlineStr">
        <is>
          <t>xero_tracking</t>
        </is>
      </c>
      <c r="R336" t="inlineStr">
        <is>
          <t>ACT-ST</t>
        </is>
      </c>
      <c r="S336" t="n">
        <v>46211</v>
      </c>
    </row>
    <row r="337" ht="36" customHeight="1">
      <c r="A337" t="inlineStr">
        <is>
          <t>e8a94809-0b55-410d-9736-4be6897bd3da</t>
        </is>
      </c>
      <c r="B337" t="inlineStr">
        <is>
          <t>4236</t>
        </is>
      </c>
      <c r="C337" s="162" t="n">
        <v>46037</v>
      </c>
      <c r="D337" t="inlineStr">
        <is>
          <t>Woolworths</t>
        </is>
      </c>
      <c r="E337" t="inlineStr">
        <is>
          <t>ACCPAY</t>
        </is>
      </c>
      <c r="F337" t="inlineStr">
        <is>
          <t>PAID</t>
        </is>
      </c>
      <c r="G337" t="n">
        <v>269.75</v>
      </c>
      <c r="H337" t="n">
        <v>9.5</v>
      </c>
      <c r="I337" t="n">
        <v>279.25</v>
      </c>
      <c r="J337" t="n">
        <v>279.25</v>
      </c>
      <c r="K337" t="n">
        <v>0</v>
      </c>
      <c r="L337" t="n">
        <v>279.25</v>
      </c>
      <c r="M337">
        <f>IF(OR(F337="VOIDED",F337="DELETED"),0,J337-L337)</f>
        <v/>
      </c>
      <c r="N337" t="inlineStr">
        <is>
          <t>Yes</t>
        </is>
      </c>
      <c r="O337" t="inlineStr">
        <is>
          <t>Goods-tagged</t>
        </is>
      </c>
      <c r="P337" t="inlineStr">
        <is>
          <t>. / .</t>
        </is>
      </c>
      <c r="Q337" t="inlineStr">
        <is>
          <t>xero_tracking</t>
        </is>
      </c>
      <c r="R337" t="inlineStr">
        <is>
          <t>ACT-ST</t>
        </is>
      </c>
      <c r="S337" t="n">
        <v>46211</v>
      </c>
    </row>
    <row r="338" ht="36" customHeight="1">
      <c r="A338" t="inlineStr">
        <is>
          <t>552dd914-8f4b-447c-a793-8302d034bcc8</t>
        </is>
      </c>
      <c r="B338" t="inlineStr">
        <is>
          <t>35150</t>
        </is>
      </c>
      <c r="C338" s="162" t="n">
        <v>46038</v>
      </c>
      <c r="D338" t="inlineStr">
        <is>
          <t>The Trustee For Maltek Trust</t>
        </is>
      </c>
      <c r="E338" t="inlineStr">
        <is>
          <t>ACCPAY</t>
        </is>
      </c>
      <c r="F338" t="inlineStr">
        <is>
          <t>VOIDED</t>
        </is>
      </c>
      <c r="G338" t="n">
        <v>209.09</v>
      </c>
      <c r="H338" t="n">
        <v>20.91</v>
      </c>
      <c r="I338" t="n">
        <v>230</v>
      </c>
      <c r="J338" t="n">
        <v>0</v>
      </c>
      <c r="K338" t="n">
        <v>0</v>
      </c>
      <c r="L338" t="n">
        <v>0</v>
      </c>
      <c r="M338">
        <f>IF(OR(F338="VOIDED",F338="DELETED"),0,J338-L338)</f>
        <v/>
      </c>
      <c r="N338" t="inlineStr">
        <is>
          <t>Yes</t>
        </is>
      </c>
      <c r="O338" t="inlineStr">
        <is>
          <t>Goods-tagged</t>
        </is>
      </c>
      <c r="P338" t="inlineStr">
        <is>
          <t>Flute UP CUT End Mill Diamond Like Carbon (for 
 Aluminium)</t>
        </is>
      </c>
      <c r="Q338" t="inlineStr">
        <is>
          <t>xero_tracking</t>
        </is>
      </c>
      <c r="R338" t="inlineStr">
        <is>
          <t>ACT-ST</t>
        </is>
      </c>
      <c r="S338" t="n">
        <v>46211</v>
      </c>
    </row>
    <row r="339" ht="36" customHeight="1">
      <c r="A339" t="inlineStr">
        <is>
          <t>17b613a7-363a-4ae5-91d9-738989d4bba9</t>
        </is>
      </c>
      <c r="B339" t="inlineStr">
        <is>
          <t>RB19321225170</t>
        </is>
      </c>
      <c r="C339" s="162" t="n">
        <v>46038</v>
      </c>
      <c r="D339" t="inlineStr">
        <is>
          <t>Hinterland Restrt</t>
        </is>
      </c>
      <c r="E339" t="inlineStr">
        <is>
          <t>ACCPAY</t>
        </is>
      </c>
      <c r="F339" t="inlineStr">
        <is>
          <t>PAID</t>
        </is>
      </c>
      <c r="G339" t="n">
        <v>150</v>
      </c>
      <c r="H339" t="n">
        <v>0</v>
      </c>
      <c r="I339" t="n">
        <v>150</v>
      </c>
      <c r="J339" t="n">
        <v>150</v>
      </c>
      <c r="K339" t="n">
        <v>0</v>
      </c>
      <c r="L339" t="n">
        <v>150</v>
      </c>
      <c r="M339">
        <f>IF(OR(F339="VOIDED",F339="DELETED"),0,J339-L339)</f>
        <v/>
      </c>
      <c r="N339" t="inlineStr">
        <is>
          <t>Yes</t>
        </is>
      </c>
      <c r="O339" t="inlineStr">
        <is>
          <t>Goods-tagged</t>
        </is>
      </c>
      <c r="P339" t="inlineStr">
        <is>
          <t>.</t>
        </is>
      </c>
      <c r="Q339" t="inlineStr">
        <is>
          <t>xero_tracking</t>
        </is>
      </c>
      <c r="R339" t="inlineStr">
        <is>
          <t>ACT-ST</t>
        </is>
      </c>
      <c r="S339" t="n">
        <v>46211</v>
      </c>
    </row>
    <row r="340" ht="36" customHeight="1">
      <c r="A340" t="inlineStr">
        <is>
          <t>cb89816e-31cd-4cb7-b784-ca2ebd22e7ee</t>
        </is>
      </c>
      <c r="B340" t="inlineStr">
        <is>
          <t>INV-0308</t>
        </is>
      </c>
      <c r="C340" s="162" t="n">
        <v>46042</v>
      </c>
      <c r="D340" t="inlineStr">
        <is>
          <t>Our Community Shed Incorporated</t>
        </is>
      </c>
      <c r="E340" t="inlineStr">
        <is>
          <t>ACCREC</t>
        </is>
      </c>
      <c r="F340" t="inlineStr">
        <is>
          <t>PAID</t>
        </is>
      </c>
      <c r="G340" t="n">
        <v>6150</v>
      </c>
      <c r="H340" t="n">
        <v>615</v>
      </c>
      <c r="I340" t="n">
        <v>6765</v>
      </c>
      <c r="J340" t="n">
        <v>6765</v>
      </c>
      <c r="K340" t="n">
        <v>0</v>
      </c>
      <c r="L340" t="n">
        <v>6765</v>
      </c>
      <c r="M340">
        <f>IF(OR(F340="VOIDED",F340="DELETED"),0,J340-L340)</f>
        <v/>
      </c>
      <c r="N340" t="inlineStr">
        <is>
          <t>Yes</t>
        </is>
      </c>
      <c r="O340" t="inlineStr">
        <is>
          <t>Goods-tagged</t>
        </is>
      </c>
      <c r="P340" t="inlineStr">
        <is>
          <t>Goods Indestructible Washing Machine v1 / Transport and Install our community shed</t>
        </is>
      </c>
      <c r="Q340" t="inlineStr">
        <is>
          <t>xero_tracking</t>
        </is>
      </c>
      <c r="R340" t="inlineStr">
        <is>
          <t>ACT-ST</t>
        </is>
      </c>
      <c r="S340" t="n">
        <v>46211</v>
      </c>
    </row>
    <row r="341" ht="36" customHeight="1">
      <c r="A341" t="inlineStr">
        <is>
          <t>f7a2dc37-2b8b-4bc1-9493-cef93137540e</t>
        </is>
      </c>
      <c r="B341" t="inlineStr">
        <is>
          <t>26-00000151</t>
        </is>
      </c>
      <c r="C341" s="162" t="n">
        <v>46043</v>
      </c>
      <c r="D341" t="inlineStr">
        <is>
          <t>Carla Furnishers</t>
        </is>
      </c>
      <c r="E341" t="inlineStr">
        <is>
          <t>ACCPAY</t>
        </is>
      </c>
      <c r="F341" t="inlineStr">
        <is>
          <t>AUTHORISED</t>
        </is>
      </c>
      <c r="G341" t="n">
        <v>4378.18</v>
      </c>
      <c r="H341" t="n">
        <v>437.82</v>
      </c>
      <c r="I341" t="n">
        <v>4816</v>
      </c>
      <c r="J341" t="n">
        <v>0</v>
      </c>
      <c r="K341" t="n">
        <v>4816</v>
      </c>
      <c r="L341" t="n">
        <v>0</v>
      </c>
      <c r="M341">
        <f>IF(OR(F341="VOIDED",F341="DELETED"),0,J341-L341)</f>
        <v/>
      </c>
      <c r="N341" t="inlineStr">
        <is>
          <t>Yes</t>
        </is>
      </c>
      <c r="O341" t="inlineStr">
        <is>
          <t>Goods-tagged</t>
        </is>
      </c>
      <c r="P341" t="inlineStr">
        <is>
          <t>4 x Speed Queen LWNA62 Traditional Dial control 8kg Top Load Washer</t>
        </is>
      </c>
      <c r="Q341" t="inlineStr">
        <is>
          <t>xero_tracking</t>
        </is>
      </c>
      <c r="R341" t="inlineStr">
        <is>
          <t>ACT-ST</t>
        </is>
      </c>
      <c r="S341" t="n">
        <v>46211</v>
      </c>
    </row>
    <row r="342" ht="36" customHeight="1">
      <c r="A342" t="inlineStr">
        <is>
          <t>48a2c5ef-6844-4ba1-955c-de87f26e0de5</t>
        </is>
      </c>
      <c r="B342" t="inlineStr">
        <is>
          <t>INV-5102</t>
        </is>
      </c>
      <c r="C342" s="162" t="n">
        <v>46043</v>
      </c>
      <c r="D342" t="inlineStr">
        <is>
          <t>Bionic Group</t>
        </is>
      </c>
      <c r="E342" t="inlineStr">
        <is>
          <t>ACCPAY</t>
        </is>
      </c>
      <c r="F342" t="inlineStr">
        <is>
          <t>PAID</t>
        </is>
      </c>
      <c r="G342" t="n">
        <v>4705</v>
      </c>
      <c r="H342" t="n">
        <v>0</v>
      </c>
      <c r="I342" t="n">
        <v>4705</v>
      </c>
      <c r="J342" t="n">
        <v>4705</v>
      </c>
      <c r="K342" t="n">
        <v>0</v>
      </c>
      <c r="L342" t="n">
        <v>4705</v>
      </c>
      <c r="M342">
        <f>IF(OR(F342="VOIDED",F342="DELETED"),0,J342-L342)</f>
        <v/>
      </c>
      <c r="N342" t="inlineStr">
        <is>
          <t>Yes</t>
        </is>
      </c>
      <c r="O342" t="inlineStr">
        <is>
          <t>Goods-tagged</t>
        </is>
      </c>
      <c r="P342" t="inlineStr">
        <is>
          <t>Bionic Group</t>
        </is>
      </c>
      <c r="Q342" t="inlineStr">
        <is>
          <t>xero_tracking</t>
        </is>
      </c>
      <c r="R342" t="inlineStr">
        <is>
          <t>ACT-ST</t>
        </is>
      </c>
      <c r="S342" t="n">
        <v>46211</v>
      </c>
    </row>
    <row r="343" ht="36" customHeight="1">
      <c r="A343" t="inlineStr">
        <is>
          <t>fefb8001-22d1-4135-833c-f4d502852f0a</t>
        </is>
      </c>
      <c r="C343" s="162" t="n">
        <v>46048</v>
      </c>
      <c r="D343" t="inlineStr">
        <is>
          <t>Orange Sky Australia</t>
        </is>
      </c>
      <c r="E343" t="inlineStr">
        <is>
          <t>ACCPAY</t>
        </is>
      </c>
      <c r="F343" t="inlineStr">
        <is>
          <t>PAID</t>
        </is>
      </c>
      <c r="G343" t="n">
        <v>261.82</v>
      </c>
      <c r="H343" t="n">
        <v>26.18</v>
      </c>
      <c r="I343" t="n">
        <v>288</v>
      </c>
      <c r="J343" t="n">
        <v>288</v>
      </c>
      <c r="K343" t="n">
        <v>0</v>
      </c>
      <c r="L343" t="n">
        <v>288</v>
      </c>
      <c r="M343">
        <f>IF(OR(F343="VOIDED",F343="DELETED"),0,J343-L343)</f>
        <v/>
      </c>
      <c r="N343" t="inlineStr">
        <is>
          <t>Yes</t>
        </is>
      </c>
      <c r="O343" t="inlineStr">
        <is>
          <t>Goods-tagged</t>
        </is>
      </c>
      <c r="P343" t="inlineStr">
        <is>
          <t>Orange Sky Australia — Operations — ACT-GD</t>
        </is>
      </c>
      <c r="Q343" t="inlineStr">
        <is>
          <t>xero_tracking</t>
        </is>
      </c>
      <c r="R343" t="inlineStr">
        <is>
          <t>ACT-ST</t>
        </is>
      </c>
      <c r="S343" t="n">
        <v>46211</v>
      </c>
    </row>
    <row r="344" ht="36" customHeight="1">
      <c r="A344" t="inlineStr">
        <is>
          <t>1a338c2a-01ef-463d-9291-6e74ba5b68e1</t>
        </is>
      </c>
      <c r="B344" t="inlineStr">
        <is>
          <t>2FBD9E4O-0001</t>
        </is>
      </c>
      <c r="C344" s="162" t="n">
        <v>46049</v>
      </c>
      <c r="D344" t="inlineStr">
        <is>
          <t>Easel Software</t>
        </is>
      </c>
      <c r="E344" t="inlineStr">
        <is>
          <t>ACCPAY</t>
        </is>
      </c>
      <c r="F344" t="inlineStr">
        <is>
          <t>PAID</t>
        </is>
      </c>
      <c r="G344" t="n">
        <v>312.77</v>
      </c>
      <c r="H344" t="n">
        <v>0</v>
      </c>
      <c r="I344" t="n">
        <v>312.77</v>
      </c>
      <c r="J344" t="n">
        <v>312.77</v>
      </c>
      <c r="K344" t="n">
        <v>0</v>
      </c>
      <c r="L344" t="n">
        <v>312.77</v>
      </c>
      <c r="M344">
        <f>IF(OR(F344="VOIDED",F344="DELETED"),0,J344-L344)</f>
        <v/>
      </c>
      <c r="N344" t="inlineStr">
        <is>
          <t>Yes</t>
        </is>
      </c>
      <c r="O344" t="inlineStr">
        <is>
          <t>Goods-tagged</t>
        </is>
      </c>
      <c r="P344" t="inlineStr">
        <is>
          <t>Easel Pro</t>
        </is>
      </c>
      <c r="Q344" t="inlineStr">
        <is>
          <t>xero_tracking</t>
        </is>
      </c>
      <c r="R344" t="inlineStr">
        <is>
          <t>ACT-ST</t>
        </is>
      </c>
      <c r="S344" t="n">
        <v>46211</v>
      </c>
    </row>
    <row r="345" ht="36" customHeight="1">
      <c r="A345" t="inlineStr">
        <is>
          <t>97d1526c-8546-4189-a7b6-d6b8a7bb007b</t>
        </is>
      </c>
      <c r="B345" t="inlineStr">
        <is>
          <t>INV-1602</t>
        </is>
      </c>
      <c r="C345" s="162" t="n">
        <v>46052</v>
      </c>
      <c r="D345" t="inlineStr">
        <is>
          <t>Defy Manufacturing</t>
        </is>
      </c>
      <c r="E345" t="inlineStr">
        <is>
          <t>ACCPAY</t>
        </is>
      </c>
      <c r="F345" t="inlineStr">
        <is>
          <t>PAID</t>
        </is>
      </c>
      <c r="G345" t="n">
        <v>33588.6</v>
      </c>
      <c r="H345" t="n">
        <v>3358.86</v>
      </c>
      <c r="I345" t="n">
        <v>36947.46</v>
      </c>
      <c r="J345" t="n">
        <v>36947.46</v>
      </c>
      <c r="K345" t="n">
        <v>0</v>
      </c>
      <c r="L345" t="n">
        <v>36947.46</v>
      </c>
      <c r="M345">
        <f>IF(OR(F345="VOIDED",F345="DELETED"),0,J345-L345)</f>
        <v/>
      </c>
      <c r="N345" t="inlineStr">
        <is>
          <t>Yes</t>
        </is>
      </c>
      <c r="O345" t="inlineStr">
        <is>
          <t>Goods-tagged</t>
        </is>
      </c>
      <c r="P345" t="inlineStr">
        <is>
          <t>16 Beds made from previously ordered 19mm recycled 
 plastic sheets. Cut and finished</t>
        </is>
      </c>
      <c r="Q345" t="inlineStr">
        <is>
          <t>xero_tracking</t>
        </is>
      </c>
      <c r="R345" t="inlineStr">
        <is>
          <t>ACT-ST</t>
        </is>
      </c>
      <c r="S345" t="n">
        <v>46211</v>
      </c>
    </row>
    <row r="346" ht="36" customHeight="1">
      <c r="A346" t="inlineStr">
        <is>
          <t>fe69dfc2-5ac1-4bf4-9a22-8bfbb0c9d952</t>
        </is>
      </c>
      <c r="C346" s="162" t="n">
        <v>46054</v>
      </c>
      <c r="D346" t="inlineStr">
        <is>
          <t>Ti Tree Roadhouse</t>
        </is>
      </c>
      <c r="E346" t="inlineStr">
        <is>
          <t>ACCPAY</t>
        </is>
      </c>
      <c r="F346" t="inlineStr">
        <is>
          <t>PAID</t>
        </is>
      </c>
      <c r="G346" t="n">
        <v>120.93</v>
      </c>
      <c r="H346" t="n">
        <v>12.09</v>
      </c>
      <c r="I346" t="n">
        <v>133.02</v>
      </c>
      <c r="J346" t="n">
        <v>133.02</v>
      </c>
      <c r="K346" t="n">
        <v>0</v>
      </c>
      <c r="L346" t="n">
        <v>133.02</v>
      </c>
      <c r="M346">
        <f>IF(OR(F346="VOIDED",F346="DELETED"),0,J346-L346)</f>
        <v/>
      </c>
      <c r="N346" t="inlineStr">
        <is>
          <t>Yes</t>
        </is>
      </c>
      <c r="O346" t="inlineStr">
        <is>
          <t>Goods-tagged</t>
        </is>
      </c>
      <c r="P346" t="inlineStr">
        <is>
          <t>Ti Tree Roadhouse — Travel — ACT-GD</t>
        </is>
      </c>
      <c r="Q346" t="inlineStr">
        <is>
          <t>xero_tracking</t>
        </is>
      </c>
      <c r="R346" t="inlineStr">
        <is>
          <t>ACT-ST</t>
        </is>
      </c>
      <c r="S346" t="n">
        <v>46211</v>
      </c>
    </row>
    <row r="347" ht="36" customHeight="1">
      <c r="A347" t="inlineStr">
        <is>
          <t>28b266aa-afd5-4cee-b210-848ead355141</t>
        </is>
      </c>
      <c r="B347" t="inlineStr">
        <is>
          <t>410792</t>
        </is>
      </c>
      <c r="C347" s="162" t="n">
        <v>46057</v>
      </c>
      <c r="D347" t="inlineStr">
        <is>
          <t>IGA</t>
        </is>
      </c>
      <c r="E347" t="inlineStr">
        <is>
          <t>ACCPAY</t>
        </is>
      </c>
      <c r="F347" t="inlineStr">
        <is>
          <t>PAID</t>
        </is>
      </c>
      <c r="G347" t="n">
        <v>245.39</v>
      </c>
      <c r="H347" t="n">
        <v>2.67</v>
      </c>
      <c r="I347" t="n">
        <v>248.06</v>
      </c>
      <c r="J347" t="n">
        <v>248.06</v>
      </c>
      <c r="K347" t="n">
        <v>0</v>
      </c>
      <c r="L347" t="n">
        <v>248.06</v>
      </c>
      <c r="M347">
        <f>IF(OR(F347="VOIDED",F347="DELETED"),0,J347-L347)</f>
        <v/>
      </c>
      <c r="N347" t="inlineStr">
        <is>
          <t>Yes</t>
        </is>
      </c>
      <c r="O347" t="inlineStr">
        <is>
          <t>Goods-tagged</t>
        </is>
      </c>
      <c r="P347" t="inlineStr">
        <is>
          <t>Groceries for the office / Groceries for the office</t>
        </is>
      </c>
      <c r="Q347" t="inlineStr">
        <is>
          <t>xero_tracking</t>
        </is>
      </c>
      <c r="R347" t="inlineStr">
        <is>
          <t>ACT-ST</t>
        </is>
      </c>
      <c r="S347" t="n">
        <v>46211</v>
      </c>
    </row>
    <row r="348" ht="36" customHeight="1">
      <c r="A348" t="inlineStr">
        <is>
          <t>d0655429-f9eb-4be7-83e0-ecc5f57316d6</t>
        </is>
      </c>
      <c r="B348" t="inlineStr">
        <is>
          <t>720103</t>
        </is>
      </c>
      <c r="C348" s="162" t="n">
        <v>46057</v>
      </c>
      <c r="D348" t="inlineStr">
        <is>
          <t>Page 27</t>
        </is>
      </c>
      <c r="E348" t="inlineStr">
        <is>
          <t>ACCPAY</t>
        </is>
      </c>
      <c r="F348" t="inlineStr">
        <is>
          <t>PAID</t>
        </is>
      </c>
      <c r="G348" t="n">
        <v>69.93000000000001</v>
      </c>
      <c r="H348" t="n">
        <v>0</v>
      </c>
      <c r="I348" t="n">
        <v>69.93000000000001</v>
      </c>
      <c r="J348" t="n">
        <v>69.93000000000001</v>
      </c>
      <c r="K348" t="n">
        <v>0</v>
      </c>
      <c r="L348" t="n">
        <v>69.93000000000001</v>
      </c>
      <c r="M348">
        <f>IF(OR(F348="VOIDED",F348="DELETED"),0,J348-L348)</f>
        <v/>
      </c>
      <c r="N348" t="inlineStr">
        <is>
          <t>Yes</t>
        </is>
      </c>
      <c r="O348" t="inlineStr">
        <is>
          <t>Goods-tagged</t>
        </is>
      </c>
      <c r="P348" t="inlineStr">
        <is>
          <t>Staff amenities</t>
        </is>
      </c>
      <c r="Q348" t="inlineStr">
        <is>
          <t>xero_tracking</t>
        </is>
      </c>
      <c r="R348" t="inlineStr">
        <is>
          <t>ACT-ST</t>
        </is>
      </c>
      <c r="S348" t="n">
        <v>46211</v>
      </c>
    </row>
    <row r="349" ht="36" customHeight="1">
      <c r="A349" t="inlineStr">
        <is>
          <t>8e7e70e8-6be3-45fc-9fb6-6f442d783033</t>
        </is>
      </c>
      <c r="B349" t="inlineStr">
        <is>
          <t>720104</t>
        </is>
      </c>
      <c r="C349" s="162" t="n">
        <v>46057</v>
      </c>
      <c r="D349" t="inlineStr">
        <is>
          <t>Page 27</t>
        </is>
      </c>
      <c r="E349" t="inlineStr">
        <is>
          <t>ACCPAY</t>
        </is>
      </c>
      <c r="F349" t="inlineStr">
        <is>
          <t>PAID</t>
        </is>
      </c>
      <c r="G349" t="n">
        <v>11.06</v>
      </c>
      <c r="H349" t="n">
        <v>0</v>
      </c>
      <c r="I349" t="n">
        <v>11.06</v>
      </c>
      <c r="J349" t="n">
        <v>11.06</v>
      </c>
      <c r="K349" t="n">
        <v>0</v>
      </c>
      <c r="L349" t="n">
        <v>11.06</v>
      </c>
      <c r="M349">
        <f>IF(OR(F349="VOIDED",F349="DELETED"),0,J349-L349)</f>
        <v/>
      </c>
      <c r="N349" t="inlineStr">
        <is>
          <t>Yes</t>
        </is>
      </c>
      <c r="O349" t="inlineStr">
        <is>
          <t>Goods-tagged</t>
        </is>
      </c>
      <c r="P349" t="inlineStr">
        <is>
          <t>Staff amenities</t>
        </is>
      </c>
      <c r="Q349" t="inlineStr">
        <is>
          <t>xero_tracking</t>
        </is>
      </c>
      <c r="R349" t="inlineStr">
        <is>
          <t>ACT-ST</t>
        </is>
      </c>
      <c r="S349" t="n">
        <v>46211</v>
      </c>
    </row>
    <row r="350" ht="36" customHeight="1">
      <c r="A350" t="inlineStr">
        <is>
          <t>7be1f274-cce4-4f47-be02-c01113ad6d56</t>
        </is>
      </c>
      <c r="B350" t="inlineStr">
        <is>
          <t>411643</t>
        </is>
      </c>
      <c r="C350" s="162" t="n">
        <v>46059</v>
      </c>
      <c r="D350" t="inlineStr">
        <is>
          <t>IGA</t>
        </is>
      </c>
      <c r="E350" t="inlineStr">
        <is>
          <t>ACCPAY</t>
        </is>
      </c>
      <c r="F350" t="inlineStr">
        <is>
          <t>PAID</t>
        </is>
      </c>
      <c r="G350" t="n">
        <v>59.56</v>
      </c>
      <c r="H350" t="n">
        <v>3.41</v>
      </c>
      <c r="I350" t="n">
        <v>62.97</v>
      </c>
      <c r="J350" t="n">
        <v>62.97</v>
      </c>
      <c r="K350" t="n">
        <v>0</v>
      </c>
      <c r="L350" t="n">
        <v>62.97</v>
      </c>
      <c r="M350">
        <f>IF(OR(F350="VOIDED",F350="DELETED"),0,J350-L350)</f>
        <v/>
      </c>
      <c r="N350" t="inlineStr">
        <is>
          <t>Yes</t>
        </is>
      </c>
      <c r="O350" t="inlineStr">
        <is>
          <t>Goods-tagged</t>
        </is>
      </c>
      <c r="P350" t="inlineStr">
        <is>
          <t>. / .</t>
        </is>
      </c>
      <c r="Q350" t="inlineStr">
        <is>
          <t>xero_tracking</t>
        </is>
      </c>
      <c r="R350" t="inlineStr">
        <is>
          <t>ACT-ST</t>
        </is>
      </c>
      <c r="S350" t="n">
        <v>46211</v>
      </c>
    </row>
    <row r="351" ht="36" customHeight="1">
      <c r="A351" t="inlineStr">
        <is>
          <t>5ef81a32-91cb-4a07-9f13-e6382c9fba07</t>
        </is>
      </c>
      <c r="B351" t="inlineStr">
        <is>
          <t>26297125</t>
        </is>
      </c>
      <c r="C351" s="162" t="n">
        <v>46060</v>
      </c>
      <c r="D351" t="inlineStr">
        <is>
          <t>Takayna Trail 2026</t>
        </is>
      </c>
      <c r="E351" t="inlineStr">
        <is>
          <t>ACCPAY</t>
        </is>
      </c>
      <c r="F351" t="inlineStr">
        <is>
          <t>PAID</t>
        </is>
      </c>
      <c r="G351" t="n">
        <v>600</v>
      </c>
      <c r="H351" t="n">
        <v>0</v>
      </c>
      <c r="I351" t="n">
        <v>600</v>
      </c>
      <c r="J351" t="n">
        <v>600</v>
      </c>
      <c r="K351" t="n">
        <v>0</v>
      </c>
      <c r="L351" t="n">
        <v>600</v>
      </c>
      <c r="M351">
        <f>IF(OR(F351="VOIDED",F351="DELETED"),0,J351-L351)</f>
        <v/>
      </c>
      <c r="N351" t="inlineStr">
        <is>
          <t>Yes</t>
        </is>
      </c>
      <c r="O351" t="inlineStr">
        <is>
          <t>Goods-tagged</t>
        </is>
      </c>
      <c r="P351" t="inlineStr">
        <is>
          <t>Takayna Trail 2026</t>
        </is>
      </c>
      <c r="Q351" t="inlineStr">
        <is>
          <t>xero_tracking</t>
        </is>
      </c>
      <c r="R351" t="inlineStr">
        <is>
          <t>ACT-ST</t>
        </is>
      </c>
      <c r="S351" t="n">
        <v>46211</v>
      </c>
    </row>
    <row r="352" ht="36" customHeight="1">
      <c r="A352" t="inlineStr">
        <is>
          <t>77275fd6-0430-4b46-8c12-d548fb4577f5</t>
        </is>
      </c>
      <c r="B352" t="inlineStr">
        <is>
          <t>484385</t>
        </is>
      </c>
      <c r="C352" s="162" t="n">
        <v>46060</v>
      </c>
      <c r="D352" t="inlineStr">
        <is>
          <t>BP</t>
        </is>
      </c>
      <c r="E352" t="inlineStr">
        <is>
          <t>ACCPAY</t>
        </is>
      </c>
      <c r="F352" t="inlineStr">
        <is>
          <t>PAID</t>
        </is>
      </c>
      <c r="G352" t="n">
        <v>138.35</v>
      </c>
      <c r="H352" t="n">
        <v>15.37</v>
      </c>
      <c r="I352" t="n">
        <v>153.72</v>
      </c>
      <c r="J352" t="n">
        <v>153.72</v>
      </c>
      <c r="K352" t="n">
        <v>0</v>
      </c>
      <c r="L352" t="n">
        <v>153.72</v>
      </c>
      <c r="M352">
        <f>IF(OR(F352="VOIDED",F352="DELETED"),0,J352-L352)</f>
        <v/>
      </c>
      <c r="N352" t="inlineStr">
        <is>
          <t>Yes</t>
        </is>
      </c>
      <c r="O352" t="inlineStr">
        <is>
          <t>Goods-tagged</t>
        </is>
      </c>
      <c r="P352" t="inlineStr">
        <is>
          <t>ULT. DIESEL / WNT PD USBC TO USBC</t>
        </is>
      </c>
      <c r="Q352" t="inlineStr">
        <is>
          <t>xero_tracking</t>
        </is>
      </c>
      <c r="R352" t="inlineStr">
        <is>
          <t>ACT-ST</t>
        </is>
      </c>
      <c r="S352" t="n">
        <v>46211</v>
      </c>
    </row>
    <row r="353" ht="36" customHeight="1">
      <c r="A353" t="inlineStr">
        <is>
          <t>6bfd5b93-830c-4f79-b1e9-80b5a65eca8d</t>
        </is>
      </c>
      <c r="B353" t="inlineStr">
        <is>
          <t>RB19543401990</t>
        </is>
      </c>
      <c r="C353" s="162" t="n">
        <v>46060</v>
      </c>
      <c r="D353" t="inlineStr">
        <is>
          <t>Square AU</t>
        </is>
      </c>
      <c r="E353" t="inlineStr">
        <is>
          <t>ACCPAY</t>
        </is>
      </c>
      <c r="F353" t="inlineStr">
        <is>
          <t>AUTHORISED</t>
        </is>
      </c>
      <c r="G353" t="n">
        <v>36.18</v>
      </c>
      <c r="H353" t="n">
        <v>3.62</v>
      </c>
      <c r="I353" t="n">
        <v>39.8</v>
      </c>
      <c r="J353" t="n">
        <v>0</v>
      </c>
      <c r="K353" t="n">
        <v>39.8</v>
      </c>
      <c r="L353" t="n">
        <v>0</v>
      </c>
      <c r="M353">
        <f>IF(OR(F353="VOIDED",F353="DELETED"),0,J353-L353)</f>
        <v/>
      </c>
      <c r="N353" t="inlineStr">
        <is>
          <t>Yes</t>
        </is>
      </c>
      <c r="O353" t="inlineStr">
        <is>
          <t>Goods-tagged</t>
        </is>
      </c>
      <c r="P353" t="inlineStr">
        <is>
          <t>.</t>
        </is>
      </c>
      <c r="Q353" t="inlineStr">
        <is>
          <t>xero_tracking</t>
        </is>
      </c>
      <c r="R353" t="inlineStr">
        <is>
          <t>ACT-ST</t>
        </is>
      </c>
      <c r="S353" t="n">
        <v>46211</v>
      </c>
    </row>
    <row r="354" ht="78" customHeight="1">
      <c r="A354" t="inlineStr">
        <is>
          <t>44f9de6e-50f7-4663-955b-75b81566cd3b</t>
        </is>
      </c>
      <c r="B354" t="inlineStr">
        <is>
          <t>INV-0317</t>
        </is>
      </c>
      <c r="C354" s="162" t="n">
        <v>46069</v>
      </c>
      <c r="D354" t="inlineStr">
        <is>
          <t>Palm Island Community Company Limited (PICC)</t>
        </is>
      </c>
      <c r="E354" t="inlineStr">
        <is>
          <t>ACCREC</t>
        </is>
      </c>
      <c r="F354" t="inlineStr">
        <is>
          <t>VOIDED</t>
        </is>
      </c>
      <c r="G354" t="n">
        <v>18000</v>
      </c>
      <c r="H354" t="n">
        <v>1800</v>
      </c>
      <c r="I354" t="n">
        <v>19800</v>
      </c>
      <c r="J354" t="n">
        <v>0</v>
      </c>
      <c r="K354" t="n">
        <v>0</v>
      </c>
      <c r="L354" t="n">
        <v>0</v>
      </c>
      <c r="M354">
        <f>IF(OR(F354="VOIDED",F354="DELETED"),0,J354-L354)</f>
        <v/>
      </c>
      <c r="N354" t="inlineStr">
        <is>
          <t>Yes</t>
        </is>
      </c>
      <c r="O354" t="inlineStr">
        <is>
          <t>Goods-tagged</t>
        </is>
      </c>
      <c r="P354" t="inlineStr">
        <is>
          <t>Goods Stretch Bed v2.3
- King Single - Recycled Plastic - Canvas Topper and Poles / Delivery to PICC Townsville / Production support and participation in Philanthropy Australia Conference video. Filming Dates 15/16 June with Ben Knight</t>
        </is>
      </c>
      <c r="Q354" t="inlineStr">
        <is>
          <t>xero_tracking</t>
        </is>
      </c>
      <c r="R354" t="inlineStr">
        <is>
          <t>ACT-ST</t>
        </is>
      </c>
      <c r="S354" t="n">
        <v>46211</v>
      </c>
    </row>
    <row r="355" ht="36" customHeight="1">
      <c r="A355" t="inlineStr">
        <is>
          <t>2383240f-a061-4b89-8c25-4bf80aa56b0d</t>
        </is>
      </c>
      <c r="B355" t="inlineStr">
        <is>
          <t>758155-6</t>
        </is>
      </c>
      <c r="C355" s="162" t="n">
        <v>46071</v>
      </c>
      <c r="D355" t="inlineStr">
        <is>
          <t>Liberty Maleny</t>
        </is>
      </c>
      <c r="E355" t="inlineStr">
        <is>
          <t>ACCPAY</t>
        </is>
      </c>
      <c r="F355" t="inlineStr">
        <is>
          <t>PAID</t>
        </is>
      </c>
      <c r="G355" t="n">
        <v>126.82</v>
      </c>
      <c r="H355" t="n">
        <v>12.68</v>
      </c>
      <c r="I355" t="n">
        <v>139.5</v>
      </c>
      <c r="J355" t="n">
        <v>139.5</v>
      </c>
      <c r="K355" t="n">
        <v>0</v>
      </c>
      <c r="L355" t="n">
        <v>139.5</v>
      </c>
      <c r="M355">
        <f>IF(OR(F355="VOIDED",F355="DELETED"),0,J355-L355)</f>
        <v/>
      </c>
      <c r="N355" t="inlineStr">
        <is>
          <t>Yes</t>
        </is>
      </c>
      <c r="O355" t="inlineStr">
        <is>
          <t>Goods-tagged</t>
        </is>
      </c>
      <c r="P355" t="inlineStr">
        <is>
          <t>Fuel - Diesel</t>
        </is>
      </c>
      <c r="Q355" t="inlineStr">
        <is>
          <t>xero_tracking</t>
        </is>
      </c>
      <c r="R355" t="inlineStr">
        <is>
          <t>ACT-ST</t>
        </is>
      </c>
      <c r="S355" t="n">
        <v>46211</v>
      </c>
    </row>
    <row r="356" ht="36" customHeight="1">
      <c r="A356" t="inlineStr">
        <is>
          <t>a0a09974-6b27-41f0-a766-4a19e04e112c</t>
        </is>
      </c>
      <c r="B356" t="inlineStr">
        <is>
          <t>INV-005</t>
        </is>
      </c>
      <c r="C356" s="162" t="n">
        <v>46092</v>
      </c>
      <c r="D356" t="inlineStr">
        <is>
          <t>Joseph Kirmos</t>
        </is>
      </c>
      <c r="E356" t="inlineStr">
        <is>
          <t>ACCPAY</t>
        </is>
      </c>
      <c r="F356" t="inlineStr">
        <is>
          <t>PAID</t>
        </is>
      </c>
      <c r="G356" t="n">
        <v>4500</v>
      </c>
      <c r="H356" t="n">
        <v>0</v>
      </c>
      <c r="I356" t="n">
        <v>4500</v>
      </c>
      <c r="J356" t="n">
        <v>4500</v>
      </c>
      <c r="K356" t="n">
        <v>0</v>
      </c>
      <c r="L356" t="n">
        <v>4500</v>
      </c>
      <c r="M356">
        <f>IF(OR(F356="VOIDED",F356="DELETED"),0,J356-L356)</f>
        <v/>
      </c>
      <c r="N356" t="inlineStr">
        <is>
          <t>Yes</t>
        </is>
      </c>
      <c r="O356" t="inlineStr">
        <is>
          <t>Goods-tagged</t>
        </is>
      </c>
      <c r="P356" t="inlineStr">
        <is>
          <t>Provision of Labour</t>
        </is>
      </c>
      <c r="Q356" t="inlineStr">
        <is>
          <t>xero_tracking</t>
        </is>
      </c>
      <c r="R356" t="inlineStr">
        <is>
          <t>ACT-ST</t>
        </is>
      </c>
      <c r="S356" t="n">
        <v>46224</v>
      </c>
    </row>
    <row r="357" ht="36" customHeight="1">
      <c r="A357" t="inlineStr">
        <is>
          <t>b3d72272-49e9-4ada-b965-d0f20eac5b86</t>
        </is>
      </c>
      <c r="B357" t="inlineStr">
        <is>
          <t>S1775X-S1775X01-1773174165027</t>
        </is>
      </c>
      <c r="C357" s="162" t="n">
        <v>46092</v>
      </c>
      <c r="D357" t="inlineStr">
        <is>
          <t>Reddy Express</t>
        </is>
      </c>
      <c r="E357" t="inlineStr">
        <is>
          <t>ACCPAY</t>
        </is>
      </c>
      <c r="F357" t="inlineStr">
        <is>
          <t>PAID</t>
        </is>
      </c>
      <c r="G357" t="n">
        <v>62.16</v>
      </c>
      <c r="H357" t="n">
        <v>6.22</v>
      </c>
      <c r="I357" t="n">
        <v>68.38</v>
      </c>
      <c r="J357" t="n">
        <v>68.38</v>
      </c>
      <c r="K357" t="n">
        <v>0</v>
      </c>
      <c r="L357" t="n">
        <v>68.38</v>
      </c>
      <c r="M357">
        <f>IF(OR(F357="VOIDED",F357="DELETED"),0,J357-L357)</f>
        <v/>
      </c>
      <c r="N357" t="inlineStr">
        <is>
          <t>Yes</t>
        </is>
      </c>
      <c r="O357" t="inlineStr">
        <is>
          <t>Goods-tagged</t>
        </is>
      </c>
      <c r="P357" t="inlineStr">
        <is>
          <t>.</t>
        </is>
      </c>
      <c r="Q357" t="inlineStr">
        <is>
          <t>xero_tracking</t>
        </is>
      </c>
      <c r="R357" t="inlineStr">
        <is>
          <t>ACT-ST</t>
        </is>
      </c>
      <c r="S357" t="n">
        <v>46224</v>
      </c>
    </row>
    <row r="358" ht="36" customHeight="1">
      <c r="A358" t="inlineStr">
        <is>
          <t>0be890c7-aeee-4428-90fa-1553f386ffae</t>
        </is>
      </c>
      <c r="C358" s="162" t="n">
        <v>46093</v>
      </c>
      <c r="D358" t="inlineStr">
        <is>
          <t>ePrint</t>
        </is>
      </c>
      <c r="E358" t="inlineStr">
        <is>
          <t>ACCPAY</t>
        </is>
      </c>
      <c r="F358" t="inlineStr">
        <is>
          <t>AUTHORISED</t>
        </is>
      </c>
      <c r="G358" t="n">
        <v>737.45</v>
      </c>
      <c r="H358" t="n">
        <v>73.75</v>
      </c>
      <c r="I358" t="n">
        <v>811.2</v>
      </c>
      <c r="J358" t="n">
        <v>0</v>
      </c>
      <c r="K358" t="n">
        <v>811.2</v>
      </c>
      <c r="L358" t="n">
        <v>0</v>
      </c>
      <c r="M358">
        <f>IF(OR(F358="VOIDED",F358="DELETED"),0,J358-L358)</f>
        <v/>
      </c>
      <c r="N358" t="inlineStr">
        <is>
          <t>Yes</t>
        </is>
      </c>
      <c r="O358" t="inlineStr">
        <is>
          <t>Goods-tagged</t>
        </is>
      </c>
      <c r="P358" t="inlineStr">
        <is>
          <t>ePrint — Printing — ACT-GD</t>
        </is>
      </c>
      <c r="Q358" t="inlineStr">
        <is>
          <t>xero_tracking</t>
        </is>
      </c>
      <c r="R358" t="inlineStr">
        <is>
          <t>ACT-ST</t>
        </is>
      </c>
      <c r="S358" t="n">
        <v>46224</v>
      </c>
    </row>
    <row r="359" ht="36" customHeight="1">
      <c r="A359" t="inlineStr">
        <is>
          <t>c1c8a5b0-e376-4efd-a0c5-810c3bcea7e0</t>
        </is>
      </c>
      <c r="C359" s="162" t="n">
        <v>46093</v>
      </c>
      <c r="D359" t="inlineStr">
        <is>
          <t>Orange Sky Australia</t>
        </is>
      </c>
      <c r="E359" t="inlineStr">
        <is>
          <t>ACCPAY</t>
        </is>
      </c>
      <c r="F359" t="inlineStr">
        <is>
          <t>PAID</t>
        </is>
      </c>
      <c r="G359" t="n">
        <v>145.45</v>
      </c>
      <c r="H359" t="n">
        <v>14.55</v>
      </c>
      <c r="I359" t="n">
        <v>160</v>
      </c>
      <c r="J359" t="n">
        <v>160</v>
      </c>
      <c r="K359" t="n">
        <v>0</v>
      </c>
      <c r="L359" t="n">
        <v>160</v>
      </c>
      <c r="M359">
        <f>IF(OR(F359="VOIDED",F359="DELETED"),0,J359-L359)</f>
        <v/>
      </c>
      <c r="N359" t="inlineStr">
        <is>
          <t>Yes</t>
        </is>
      </c>
      <c r="O359" t="inlineStr">
        <is>
          <t>Goods-tagged</t>
        </is>
      </c>
      <c r="P359" t="inlineStr">
        <is>
          <t>Orange Sky Australia — Operations — ACT-GD</t>
        </is>
      </c>
      <c r="Q359" t="inlineStr">
        <is>
          <t>xero_tracking</t>
        </is>
      </c>
      <c r="R359" t="inlineStr">
        <is>
          <t>ACT-ST</t>
        </is>
      </c>
      <c r="S359" t="n">
        <v>46224</v>
      </c>
    </row>
    <row r="360" ht="36" customHeight="1">
      <c r="A360" t="inlineStr">
        <is>
          <t>30742f52-1556-40cd-9721-991dead8df78</t>
        </is>
      </c>
      <c r="C360" s="162" t="n">
        <v>46100</v>
      </c>
      <c r="D360" t="inlineStr">
        <is>
          <t>Defy</t>
        </is>
      </c>
      <c r="E360" t="inlineStr">
        <is>
          <t>ACCPAY</t>
        </is>
      </c>
      <c r="F360" t="inlineStr">
        <is>
          <t>PAID</t>
        </is>
      </c>
      <c r="G360" t="n">
        <v>181.3</v>
      </c>
      <c r="H360" t="n">
        <v>18.13</v>
      </c>
      <c r="I360" t="n">
        <v>199.43</v>
      </c>
      <c r="J360" t="n">
        <v>199.43</v>
      </c>
      <c r="K360" t="n">
        <v>0</v>
      </c>
      <c r="L360" t="n">
        <v>199.43</v>
      </c>
      <c r="M360">
        <f>IF(OR(F360="VOIDED",F360="DELETED"),0,J360-L360)</f>
        <v/>
      </c>
      <c r="N360" t="inlineStr">
        <is>
          <t>Yes</t>
        </is>
      </c>
      <c r="O360" t="inlineStr">
        <is>
          <t>Goods-tagged</t>
        </is>
      </c>
      <c r="P360" t="inlineStr">
        <is>
          <t>Defy Manufacturing — Materials &amp; Supplies — ACT-GD</t>
        </is>
      </c>
      <c r="Q360" t="inlineStr">
        <is>
          <t>xero_tracking</t>
        </is>
      </c>
      <c r="R360" t="inlineStr">
        <is>
          <t>ACT-ST</t>
        </is>
      </c>
      <c r="S360" t="n">
        <v>46224</v>
      </c>
    </row>
    <row r="361" ht="36" customHeight="1">
      <c r="A361" t="inlineStr">
        <is>
          <t>2884dfaa-b8da-4f95-a908-51af987ee110</t>
        </is>
      </c>
      <c r="C361" s="162" t="n">
        <v>46101</v>
      </c>
      <c r="D361" t="inlineStr">
        <is>
          <t>ePrint</t>
        </is>
      </c>
      <c r="E361" t="inlineStr">
        <is>
          <t>ACCPAY</t>
        </is>
      </c>
      <c r="F361" t="inlineStr">
        <is>
          <t>PAID</t>
        </is>
      </c>
      <c r="G361" t="n">
        <v>846.74</v>
      </c>
      <c r="H361" t="n">
        <v>84.67</v>
      </c>
      <c r="I361" t="n">
        <v>931.41</v>
      </c>
      <c r="J361" t="n">
        <v>931.41</v>
      </c>
      <c r="K361" t="n">
        <v>0</v>
      </c>
      <c r="L361" t="n">
        <v>931.41</v>
      </c>
      <c r="M361">
        <f>IF(OR(F361="VOIDED",F361="DELETED"),0,J361-L361)</f>
        <v/>
      </c>
      <c r="N361" t="inlineStr">
        <is>
          <t>Yes</t>
        </is>
      </c>
      <c r="O361" t="inlineStr">
        <is>
          <t>Goods-tagged</t>
        </is>
      </c>
      <c r="P361" t="inlineStr">
        <is>
          <t>ePrint — Printing — ACT-GD</t>
        </is>
      </c>
      <c r="Q361" t="inlineStr">
        <is>
          <t>xero_tracking</t>
        </is>
      </c>
      <c r="R361" t="inlineStr">
        <is>
          <t>ACT-ST</t>
        </is>
      </c>
      <c r="S361" t="n">
        <v>46224</v>
      </c>
    </row>
    <row r="362" ht="36" customHeight="1">
      <c r="A362" t="inlineStr">
        <is>
          <t>c0b1ff6f-f0b5-4b0e-b4a1-1b876f5e5529</t>
        </is>
      </c>
      <c r="B362" t="inlineStr">
        <is>
          <t>42424</t>
        </is>
      </c>
      <c r="C362" s="162" t="n">
        <v>46105</v>
      </c>
      <c r="D362" t="inlineStr">
        <is>
          <t>TRIPLEBULL</t>
        </is>
      </c>
      <c r="E362" t="inlineStr">
        <is>
          <t>ACCPAY</t>
        </is>
      </c>
      <c r="F362" t="inlineStr">
        <is>
          <t>PAID</t>
        </is>
      </c>
      <c r="G362" t="n">
        <v>139.09</v>
      </c>
      <c r="H362" t="n">
        <v>13.91</v>
      </c>
      <c r="I362" t="n">
        <v>153</v>
      </c>
      <c r="J362" t="n">
        <v>153</v>
      </c>
      <c r="K362" t="n">
        <v>0</v>
      </c>
      <c r="L362" t="n">
        <v>153</v>
      </c>
      <c r="M362">
        <f>IF(OR(F362="VOIDED",F362="DELETED"),0,J362-L362)</f>
        <v/>
      </c>
      <c r="N362" t="inlineStr">
        <is>
          <t>Yes</t>
        </is>
      </c>
      <c r="O362" t="inlineStr">
        <is>
          <t>Goods-tagged</t>
        </is>
      </c>
      <c r="P362" t="inlineStr">
        <is>
          <t>Triple Bull Suff Skate</t>
        </is>
      </c>
      <c r="Q362" t="inlineStr">
        <is>
          <t>xero_tracking</t>
        </is>
      </c>
      <c r="R362" t="inlineStr">
        <is>
          <t>ACT-ST</t>
        </is>
      </c>
      <c r="S362" t="n">
        <v>46224</v>
      </c>
    </row>
    <row r="363" ht="36" customHeight="1">
      <c r="A363" t="inlineStr">
        <is>
          <t>3eef5f84-02c0-485a-9342-a15cf3ee16f2</t>
        </is>
      </c>
      <c r="B363" t="inlineStr">
        <is>
          <t>18261</t>
        </is>
      </c>
      <c r="C363" s="162" t="n">
        <v>46107</v>
      </c>
      <c r="D363" t="inlineStr">
        <is>
          <t>Ampol</t>
        </is>
      </c>
      <c r="E363" t="inlineStr">
        <is>
          <t>ACCPAY</t>
        </is>
      </c>
      <c r="F363" t="inlineStr">
        <is>
          <t>PAID</t>
        </is>
      </c>
      <c r="G363" t="n">
        <v>69.3</v>
      </c>
      <c r="H363" t="n">
        <v>6.93</v>
      </c>
      <c r="I363" t="n">
        <v>76.23</v>
      </c>
      <c r="J363" t="n">
        <v>76.23</v>
      </c>
      <c r="K363" t="n">
        <v>0</v>
      </c>
      <c r="L363" t="n">
        <v>76.23</v>
      </c>
      <c r="M363">
        <f>IF(OR(F363="VOIDED",F363="DELETED"),0,J363-L363)</f>
        <v/>
      </c>
      <c r="N363" t="inlineStr">
        <is>
          <t>Yes</t>
        </is>
      </c>
      <c r="O363" t="inlineStr">
        <is>
          <t>Goods-tagged</t>
        </is>
      </c>
      <c r="P363" t="inlineStr">
        <is>
          <t>.</t>
        </is>
      </c>
      <c r="Q363" t="inlineStr">
        <is>
          <t>xero_tracking</t>
        </is>
      </c>
      <c r="R363" t="inlineStr">
        <is>
          <t>ACT-ST</t>
        </is>
      </c>
      <c r="S363" t="n">
        <v>46224</v>
      </c>
    </row>
    <row r="364" ht="36" customHeight="1">
      <c r="A364" t="inlineStr">
        <is>
          <t>5d3bbbea-4fe4-444a-a16e-eb2dc137aa4b</t>
        </is>
      </c>
      <c r="C364" s="162" t="n">
        <v>46108</v>
      </c>
      <c r="D364" t="inlineStr">
        <is>
          <t>Defy</t>
        </is>
      </c>
      <c r="E364" t="inlineStr">
        <is>
          <t>ACCPAY</t>
        </is>
      </c>
      <c r="F364" t="inlineStr">
        <is>
          <t>AUTHORISED</t>
        </is>
      </c>
      <c r="G364" t="n">
        <v>7750</v>
      </c>
      <c r="H364" t="n">
        <v>775</v>
      </c>
      <c r="I364" t="n">
        <v>8525</v>
      </c>
      <c r="J364" t="n">
        <v>0</v>
      </c>
      <c r="K364" t="n">
        <v>8525</v>
      </c>
      <c r="L364" t="n">
        <v>0</v>
      </c>
      <c r="M364">
        <f>IF(OR(F364="VOIDED",F364="DELETED"),0,J364-L364)</f>
        <v/>
      </c>
      <c r="N364" t="inlineStr">
        <is>
          <t>Yes</t>
        </is>
      </c>
      <c r="O364" t="inlineStr">
        <is>
          <t>Goods-tagged</t>
        </is>
      </c>
      <c r="P364" t="inlineStr">
        <is>
          <t>Defy Manufacturing — Materials &amp; Supplies — ACT-GD</t>
        </is>
      </c>
      <c r="Q364" t="inlineStr">
        <is>
          <t>xero_tracking</t>
        </is>
      </c>
      <c r="R364" t="inlineStr">
        <is>
          <t>ACT-ST</t>
        </is>
      </c>
      <c r="S364" t="n">
        <v>46224</v>
      </c>
    </row>
    <row r="365" ht="36" customHeight="1">
      <c r="A365" t="inlineStr">
        <is>
          <t>bfe8052d-e67a-47a8-903b-02e6586f9ef1</t>
        </is>
      </c>
      <c r="C365" s="162" t="n">
        <v>46108</v>
      </c>
      <c r="D365" t="inlineStr">
        <is>
          <t>Defy</t>
        </is>
      </c>
      <c r="E365" t="inlineStr">
        <is>
          <t>ACCPAY</t>
        </is>
      </c>
      <c r="F365" t="inlineStr">
        <is>
          <t>AUTHORISED</t>
        </is>
      </c>
      <c r="G365" t="n">
        <v>17202.5</v>
      </c>
      <c r="H365" t="n">
        <v>1720.25</v>
      </c>
      <c r="I365" t="n">
        <v>18922.75</v>
      </c>
      <c r="J365" t="n">
        <v>0</v>
      </c>
      <c r="K365" t="n">
        <v>18922.75</v>
      </c>
      <c r="L365" t="n">
        <v>0</v>
      </c>
      <c r="M365">
        <f>IF(OR(F365="VOIDED",F365="DELETED"),0,J365-L365)</f>
        <v/>
      </c>
      <c r="N365" t="inlineStr">
        <is>
          <t>Yes</t>
        </is>
      </c>
      <c r="O365" t="inlineStr">
        <is>
          <t>Goods-tagged</t>
        </is>
      </c>
      <c r="P365" t="inlineStr">
        <is>
          <t>Defy Manufacturing — Materials &amp; Supplies — ACT-GD</t>
        </is>
      </c>
      <c r="Q365" t="inlineStr">
        <is>
          <t>xero_tracking</t>
        </is>
      </c>
      <c r="R365" t="inlineStr">
        <is>
          <t>ACT-ST</t>
        </is>
      </c>
      <c r="S365" t="n">
        <v>46224</v>
      </c>
    </row>
    <row r="366" ht="36" customHeight="1">
      <c r="A366" t="inlineStr">
        <is>
          <t>99e9f3dd-7f76-4aaf-b546-847fcc20924f</t>
        </is>
      </c>
      <c r="C366" s="162" t="n">
        <v>46110</v>
      </c>
      <c r="D366" t="inlineStr">
        <is>
          <t>Joseph Kirmos</t>
        </is>
      </c>
      <c r="E366" t="inlineStr">
        <is>
          <t>ACCPAY</t>
        </is>
      </c>
      <c r="F366" t="inlineStr">
        <is>
          <t>VOIDED</t>
        </is>
      </c>
      <c r="G366" t="n">
        <v>4090.91</v>
      </c>
      <c r="H366" t="n">
        <v>409.09</v>
      </c>
      <c r="I366" t="n">
        <v>4500</v>
      </c>
      <c r="J366" t="n">
        <v>0</v>
      </c>
      <c r="K366" t="n">
        <v>0</v>
      </c>
      <c r="L366" t="n">
        <v>0</v>
      </c>
      <c r="M366">
        <f>IF(OR(F366="VOIDED",F366="DELETED"),0,J366-L366)</f>
        <v/>
      </c>
      <c r="N366" t="inlineStr">
        <is>
          <t>Yes</t>
        </is>
      </c>
      <c r="O366" t="inlineStr">
        <is>
          <t>Goods-tagged</t>
        </is>
      </c>
      <c r="P366" t="inlineStr">
        <is>
          <t>Joseph Kirmos — Other — ACT-GD</t>
        </is>
      </c>
      <c r="Q366" t="inlineStr">
        <is>
          <t>xero_tracking</t>
        </is>
      </c>
      <c r="R366" t="inlineStr">
        <is>
          <t>ACT-ST</t>
        </is>
      </c>
      <c r="S366" t="n">
        <v>46224</v>
      </c>
    </row>
    <row r="367" ht="36" customHeight="1">
      <c r="A367" t="inlineStr">
        <is>
          <t>fa46775c-50c0-4d79-85dc-b327a53ba21f</t>
        </is>
      </c>
      <c r="B367" t="inlineStr">
        <is>
          <t>INV-006</t>
        </is>
      </c>
      <c r="C367" s="162" t="n">
        <v>46110</v>
      </c>
      <c r="D367" t="inlineStr">
        <is>
          <t>Joseph Kirmos</t>
        </is>
      </c>
      <c r="E367" t="inlineStr">
        <is>
          <t>ACCPAY</t>
        </is>
      </c>
      <c r="F367" t="inlineStr">
        <is>
          <t>PAID</t>
        </is>
      </c>
      <c r="G367" t="n">
        <v>4500</v>
      </c>
      <c r="H367" t="n">
        <v>0</v>
      </c>
      <c r="I367" t="n">
        <v>4500</v>
      </c>
      <c r="J367" t="n">
        <v>4500</v>
      </c>
      <c r="K367" t="n">
        <v>0</v>
      </c>
      <c r="L367" t="n">
        <v>4500</v>
      </c>
      <c r="M367">
        <f>IF(OR(F367="VOIDED",F367="DELETED"),0,J367-L367)</f>
        <v/>
      </c>
      <c r="N367" t="inlineStr">
        <is>
          <t>Yes</t>
        </is>
      </c>
      <c r="O367" t="inlineStr">
        <is>
          <t>Goods-tagged</t>
        </is>
      </c>
      <c r="P367" t="inlineStr">
        <is>
          <t>Provision of Labour</t>
        </is>
      </c>
      <c r="Q367" t="inlineStr">
        <is>
          <t>xero_tracking</t>
        </is>
      </c>
      <c r="R367" t="inlineStr">
        <is>
          <t>ACT-ST</t>
        </is>
      </c>
      <c r="S367" t="n">
        <v>46224</v>
      </c>
    </row>
    <row r="368" ht="36" customHeight="1">
      <c r="A368" t="inlineStr">
        <is>
          <t>63533b93-444d-4ed4-a8ea-9bbeef2321df</t>
        </is>
      </c>
      <c r="C368" s="162" t="n">
        <v>46112</v>
      </c>
      <c r="D368" t="inlineStr">
        <is>
          <t>Defy</t>
        </is>
      </c>
      <c r="E368" t="inlineStr">
        <is>
          <t>ACCPAY</t>
        </is>
      </c>
      <c r="F368" t="inlineStr">
        <is>
          <t>PAID</t>
        </is>
      </c>
      <c r="G368" t="n">
        <v>7897.25</v>
      </c>
      <c r="H368" t="n">
        <v>789.73</v>
      </c>
      <c r="I368" t="n">
        <v>8686.98</v>
      </c>
      <c r="J368" t="n">
        <v>8686.98</v>
      </c>
      <c r="K368" t="n">
        <v>0</v>
      </c>
      <c r="L368" t="n">
        <v>8686.98</v>
      </c>
      <c r="M368">
        <f>IF(OR(F368="VOIDED",F368="DELETED"),0,J368-L368)</f>
        <v/>
      </c>
      <c r="N368" t="inlineStr">
        <is>
          <t>Yes</t>
        </is>
      </c>
      <c r="O368" t="inlineStr">
        <is>
          <t>Goods-tagged</t>
        </is>
      </c>
      <c r="P368" t="inlineStr">
        <is>
          <t>Defy Manufacturing — Materials &amp; Supplies — ACT-GD</t>
        </is>
      </c>
      <c r="Q368" t="inlineStr">
        <is>
          <t>xero_tracking</t>
        </is>
      </c>
      <c r="R368" t="inlineStr">
        <is>
          <t>ACT-ST</t>
        </is>
      </c>
      <c r="S368" t="n">
        <v>46224</v>
      </c>
    </row>
    <row r="369" ht="36" customHeight="1">
      <c r="A369" t="inlineStr">
        <is>
          <t>848e9742-c0fd-48e2-a223-5e2d035e8754</t>
        </is>
      </c>
      <c r="B369" t="inlineStr">
        <is>
          <t>ADG 6524337</t>
        </is>
      </c>
      <c r="C369" s="162" t="n">
        <v>46112</v>
      </c>
      <c r="D369" t="inlineStr">
        <is>
          <t>Centre Canvas And Upholstery</t>
        </is>
      </c>
      <c r="E369" t="inlineStr">
        <is>
          <t>ACCPAY</t>
        </is>
      </c>
      <c r="F369" t="inlineStr">
        <is>
          <t>PAID</t>
        </is>
      </c>
      <c r="G369" t="n">
        <v>10285</v>
      </c>
      <c r="H369" t="n">
        <v>0</v>
      </c>
      <c r="I369" t="n">
        <v>10285</v>
      </c>
      <c r="J369" t="n">
        <v>10285</v>
      </c>
      <c r="K369" t="n">
        <v>0</v>
      </c>
      <c r="L369" t="n">
        <v>10285</v>
      </c>
      <c r="M369">
        <f>IF(OR(F369="VOIDED",F369="DELETED"),0,J369-L369)</f>
        <v/>
      </c>
      <c r="N369" t="inlineStr">
        <is>
          <t>Yes</t>
        </is>
      </c>
      <c r="O369" t="inlineStr">
        <is>
          <t>Goods-tagged</t>
        </is>
      </c>
      <c r="P369" t="inlineStr">
        <is>
          <t>Canvas stretcher covers</t>
        </is>
      </c>
      <c r="Q369" t="inlineStr">
        <is>
          <t>xero_tracking</t>
        </is>
      </c>
      <c r="R369" t="inlineStr">
        <is>
          <t>ACT-ST</t>
        </is>
      </c>
      <c r="S369" t="n">
        <v>46224</v>
      </c>
    </row>
    <row r="370" ht="36" customHeight="1">
      <c r="A370" t="inlineStr">
        <is>
          <t>3d9b0db1-1f91-457c-bd16-438ed458b956</t>
        </is>
      </c>
      <c r="B370" t="inlineStr">
        <is>
          <t>SI-00023952/1</t>
        </is>
      </c>
      <c r="C370" s="162" t="n">
        <v>46119</v>
      </c>
      <c r="D370" t="inlineStr">
        <is>
          <t>Steelmart</t>
        </is>
      </c>
      <c r="E370" t="inlineStr">
        <is>
          <t>ACCPAY</t>
        </is>
      </c>
      <c r="F370" t="inlineStr">
        <is>
          <t>PAID</t>
        </is>
      </c>
      <c r="G370" t="n">
        <v>1321</v>
      </c>
      <c r="H370" t="n">
        <v>132.1</v>
      </c>
      <c r="I370" t="n">
        <v>1453.1</v>
      </c>
      <c r="J370" t="n">
        <v>1453.1</v>
      </c>
      <c r="K370" t="n">
        <v>0</v>
      </c>
      <c r="L370" t="n">
        <v>1453.1</v>
      </c>
      <c r="M370">
        <f>IF(OR(F370="VOIDED",F370="DELETED"),0,J370-L370)</f>
        <v/>
      </c>
      <c r="N370" t="inlineStr">
        <is>
          <t>Yes</t>
        </is>
      </c>
      <c r="O370" t="inlineStr">
        <is>
          <t>Goods-tagged</t>
        </is>
      </c>
      <c r="P370" t="inlineStr">
        <is>
          <t>Steelmart - Materials</t>
        </is>
      </c>
      <c r="Q370" t="inlineStr">
        <is>
          <t>xero_tracking</t>
        </is>
      </c>
      <c r="R370" t="inlineStr">
        <is>
          <t>ACT-ST</t>
        </is>
      </c>
      <c r="S370" t="n">
        <v>46224</v>
      </c>
    </row>
    <row r="371" ht="50" customHeight="1">
      <c r="A371" t="inlineStr">
        <is>
          <t>8fd2d81b-3f20-4412-9803-b8f931749dd0</t>
        </is>
      </c>
      <c r="B371" t="inlineStr">
        <is>
          <t>INV-0327</t>
        </is>
      </c>
      <c r="C371" s="162" t="n">
        <v>46145</v>
      </c>
      <c r="D371" t="inlineStr">
        <is>
          <t>The John Villiers Trust</t>
        </is>
      </c>
      <c r="E371" t="inlineStr">
        <is>
          <t>ACCREC</t>
        </is>
      </c>
      <c r="F371" t="inlineStr">
        <is>
          <t>PAID</t>
        </is>
      </c>
      <c r="G371" t="n">
        <v>1090.92</v>
      </c>
      <c r="H371" t="n">
        <v>109.08</v>
      </c>
      <c r="I371" t="n">
        <v>1200</v>
      </c>
      <c r="J371" t="n">
        <v>1200</v>
      </c>
      <c r="K371" t="n">
        <v>0</v>
      </c>
      <c r="L371" t="n">
        <v>1200</v>
      </c>
      <c r="M371">
        <f>IF(OR(F371="VOIDED",F371="DELETED"),0,J371-L371)</f>
        <v/>
      </c>
      <c r="N371" t="inlineStr">
        <is>
          <t>Yes</t>
        </is>
      </c>
      <c r="O371" t="inlineStr">
        <is>
          <t>Goods-tagged</t>
        </is>
      </c>
      <c r="P371" t="inlineStr">
        <is>
          <t>Project Flights Return Brisbane to Townsville / Project Flights Return Townsville to Palm Island / Project Accommodation / Program Management and Facilitation</t>
        </is>
      </c>
      <c r="Q371" t="inlineStr">
        <is>
          <t>xero_tracking</t>
        </is>
      </c>
      <c r="R371" t="inlineStr">
        <is>
          <t>ACT-ST</t>
        </is>
      </c>
      <c r="S371" t="n">
        <v>46224</v>
      </c>
    </row>
    <row r="372" ht="36" customHeight="1">
      <c r="A372" t="inlineStr">
        <is>
          <t>d1574489-bd37-46d4-94cf-e6ff0afb5a32</t>
        </is>
      </c>
      <c r="B372" t="inlineStr">
        <is>
          <t>INV-007</t>
        </is>
      </c>
      <c r="C372" s="162" t="n">
        <v>46148</v>
      </c>
      <c r="D372" t="inlineStr">
        <is>
          <t>Joseph Kirmos</t>
        </is>
      </c>
      <c r="E372" t="inlineStr">
        <is>
          <t>ACCPAY</t>
        </is>
      </c>
      <c r="F372" t="inlineStr">
        <is>
          <t>PAID</t>
        </is>
      </c>
      <c r="G372" t="n">
        <v>4500</v>
      </c>
      <c r="H372" t="n">
        <v>0</v>
      </c>
      <c r="I372" t="n">
        <v>4500</v>
      </c>
      <c r="J372" t="n">
        <v>4500</v>
      </c>
      <c r="K372" t="n">
        <v>0</v>
      </c>
      <c r="L372" t="n">
        <v>4500</v>
      </c>
      <c r="M372">
        <f>IF(OR(F372="VOIDED",F372="DELETED"),0,J372-L372)</f>
        <v/>
      </c>
      <c r="N372" t="inlineStr">
        <is>
          <t>Yes</t>
        </is>
      </c>
      <c r="O372" t="inlineStr">
        <is>
          <t>Goods-tagged</t>
        </is>
      </c>
      <c r="P372" t="inlineStr">
        <is>
          <t>Provision of Labour</t>
        </is>
      </c>
      <c r="Q372" t="inlineStr">
        <is>
          <t>xero_tracking</t>
        </is>
      </c>
      <c r="R372" t="inlineStr">
        <is>
          <t>ACT-ST</t>
        </is>
      </c>
      <c r="S372" t="n">
        <v>46224</v>
      </c>
    </row>
    <row r="373" ht="92" customHeight="1">
      <c r="A373" t="inlineStr">
        <is>
          <t>ce6b2c32-be8a-4bb7-88fe-a1d8971119e4</t>
        </is>
      </c>
      <c r="B373" t="inlineStr">
        <is>
          <t>INV-0303</t>
        </is>
      </c>
      <c r="C373" s="162" t="n">
        <v>46160</v>
      </c>
      <c r="D373" t="inlineStr">
        <is>
          <t>Homeland School Company</t>
        </is>
      </c>
      <c r="E373" t="inlineStr">
        <is>
          <t>ACCREC</t>
        </is>
      </c>
      <c r="F373" t="inlineStr">
        <is>
          <t>PAID</t>
        </is>
      </c>
      <c r="G373" t="n">
        <v>38710</v>
      </c>
      <c r="H373" t="n">
        <v>5290</v>
      </c>
      <c r="I373" t="n">
        <v>44000</v>
      </c>
      <c r="J373" t="n">
        <v>44000</v>
      </c>
      <c r="K373" t="n">
        <v>0</v>
      </c>
      <c r="L373" t="n">
        <v>0</v>
      </c>
      <c r="M373">
        <f>IF(OR(F373="VOIDED",F373="DELETED"),0,J373-L373)</f>
        <v/>
      </c>
      <c r="N373" t="inlineStr">
        <is>
          <t>Yes</t>
        </is>
      </c>
      <c r="O373" t="inlineStr">
        <is>
          <t>Goods-tagged</t>
        </is>
      </c>
      <c r="P373" t="inlineStr">
        <is>
          <t>Goods. Indestructible Washing Machine v1.1 / Goods Stretch Bed - Single Bed, Poles, Canvas / Goods on Country Program Support - 1 Trip
to train, build, test, document and make with
community. Inc travel, accommodation / Delivery of Goods ex BNE - DRW - MNG / Goods in Kind Partnership</t>
        </is>
      </c>
      <c r="Q373" t="inlineStr">
        <is>
          <t>xero_tracking</t>
        </is>
      </c>
      <c r="R373" t="inlineStr">
        <is>
          <t>ACT-ST</t>
        </is>
      </c>
      <c r="S373" t="n">
        <v>46231</v>
      </c>
    </row>
    <row r="374" ht="344" customHeight="1">
      <c r="A374" t="inlineStr">
        <is>
          <t>a3ed82b7-07e0-45f6-9498-8eaf114a8bb9</t>
        </is>
      </c>
      <c r="B374" t="inlineStr">
        <is>
          <t>INV-0321</t>
        </is>
      </c>
      <c r="C374" s="162" t="n">
        <v>46164</v>
      </c>
      <c r="D374" t="inlineStr">
        <is>
          <t>The Snow Foundation</t>
        </is>
      </c>
      <c r="E374" t="inlineStr">
        <is>
          <t>ACCREC</t>
        </is>
      </c>
      <c r="F374" t="inlineStr">
        <is>
          <t>PAID</t>
        </is>
      </c>
      <c r="G374" t="n">
        <v>120000</v>
      </c>
      <c r="H374" t="n">
        <v>12000</v>
      </c>
      <c r="I374" t="n">
        <v>132000</v>
      </c>
      <c r="J374" t="n">
        <v>132000</v>
      </c>
      <c r="K374" t="n">
        <v>0</v>
      </c>
      <c r="L374" t="n">
        <v>132000</v>
      </c>
      <c r="M374">
        <f>IF(OR(F374="VOIDED",F374="DELETED"),0,J374-L374)</f>
        <v/>
      </c>
      <c r="N374" t="inlineStr">
        <is>
          <t>Yes</t>
        </is>
      </c>
      <c r="O374" t="inlineStr">
        <is>
          <t>Goods-tagged</t>
        </is>
      </c>
      <c r="P374" t="inlineStr">
        <is>
          <t>Immediate Bed Deployment: 
- 100 beds @ $600 per bed
- Current production cost: $550-650 per bed
- Addresses urgent requests from health organisations and communities
- Expands field testing sample size from 15-20 beds to enable confident scaling decisions
* Open to 1-2 Washing Machine's / On-Country Production Plant Infrastructure: 
- Completes containerised production facility (current investment: ~$100,000 from TFN and ACT)
- Enables community-based manufacturing creating local jobs
- Facility capabilities:
    - Shred plastic waste
    - Create pellets and press sheets
    - Computer-controlled router to cut bed components
    - Capacity: ~30 beds per week when deployed for 2 months
    - Each bed uses ~25kg of plastic waste (fits in 25L tub)</t>
        </is>
      </c>
      <c r="Q374" t="inlineStr">
        <is>
          <t>xero_tracking</t>
        </is>
      </c>
      <c r="R374" t="inlineStr">
        <is>
          <t>ACT-ST</t>
        </is>
      </c>
      <c r="S374" t="n">
        <v>46224</v>
      </c>
    </row>
    <row r="375" ht="36" customHeight="1">
      <c r="A375" t="inlineStr">
        <is>
          <t>048cb63b-85e7-4322-b8a1-39f343f4afa6</t>
        </is>
      </c>
      <c r="B375" t="inlineStr">
        <is>
          <t>9611125216/00/M/00/N</t>
        </is>
      </c>
      <c r="C375" s="162" t="n">
        <v>46178</v>
      </c>
      <c r="D375" t="inlineStr">
        <is>
          <t>Sixt Sub-Franchisee Australia</t>
        </is>
      </c>
      <c r="E375" t="inlineStr">
        <is>
          <t>ACCPAY</t>
        </is>
      </c>
      <c r="F375" t="inlineStr">
        <is>
          <t>VOIDED</t>
        </is>
      </c>
      <c r="G375" t="n">
        <v>102.43</v>
      </c>
      <c r="H375" t="n">
        <v>10.24</v>
      </c>
      <c r="I375" t="n">
        <v>112.67</v>
      </c>
      <c r="J375" t="n">
        <v>0</v>
      </c>
      <c r="K375" t="n">
        <v>0</v>
      </c>
      <c r="L375" t="n">
        <v>0</v>
      </c>
      <c r="M375">
        <f>IF(OR(F375="VOIDED",F375="DELETED"),0,J375-L375)</f>
        <v/>
      </c>
      <c r="N375" t="inlineStr">
        <is>
          <t>Yes</t>
        </is>
      </c>
      <c r="O375" t="inlineStr">
        <is>
          <t>Goods-tagged</t>
        </is>
      </c>
      <c r="P375" t="inlineStr">
        <is>
          <t>.</t>
        </is>
      </c>
      <c r="Q375" t="inlineStr">
        <is>
          <t>xero_tracking</t>
        </is>
      </c>
      <c r="R375" t="inlineStr">
        <is>
          <t>ACT-ST</t>
        </is>
      </c>
      <c r="S375" t="n">
        <v>46247</v>
      </c>
    </row>
    <row r="376" ht="50" customHeight="1">
      <c r="A376" t="inlineStr">
        <is>
          <t>2a8db338-dcf4-403d-abf8-0992e51697b1</t>
        </is>
      </c>
      <c r="B376" t="inlineStr">
        <is>
          <t>31093</t>
        </is>
      </c>
      <c r="C376" s="162" t="n">
        <v>46188</v>
      </c>
      <c r="D376" t="inlineStr">
        <is>
          <t>Multicam Systems</t>
        </is>
      </c>
      <c r="E376" t="inlineStr">
        <is>
          <t>ACCPAY</t>
        </is>
      </c>
      <c r="F376" t="inlineStr">
        <is>
          <t>PAID</t>
        </is>
      </c>
      <c r="G376" t="n">
        <v>3842.72</v>
      </c>
      <c r="H376" t="n">
        <v>384.27</v>
      </c>
      <c r="I376" t="n">
        <v>4226.99</v>
      </c>
      <c r="J376" t="n">
        <v>4226.99</v>
      </c>
      <c r="K376" t="n">
        <v>0</v>
      </c>
      <c r="L376" t="n">
        <v>0</v>
      </c>
      <c r="M376">
        <f>IF(OR(F376="VOIDED",F376="DELETED"),0,J376-L376)</f>
        <v/>
      </c>
      <c r="N376" t="inlineStr">
        <is>
          <t>Yes</t>
        </is>
      </c>
      <c r="O376" t="inlineStr">
        <is>
          <t>Goods-tagged</t>
        </is>
      </c>
      <c r="P376" t="inlineStr">
        <is>
          <t>1 day installation, commissioning, training 
 package and Option B - supply one copy of Enroute Complete, 1 year susbscription as per</t>
        </is>
      </c>
      <c r="Q376" t="inlineStr">
        <is>
          <t>xero_tracking</t>
        </is>
      </c>
      <c r="R376" t="inlineStr">
        <is>
          <t>ACT-ST</t>
        </is>
      </c>
      <c r="S376" t="n">
        <v>46233</v>
      </c>
    </row>
    <row r="377" ht="36" customHeight="1">
      <c r="A377" t="inlineStr">
        <is>
          <t>b40bdf6c-4001-4c1e-ad5c-c14fae0e31c0</t>
        </is>
      </c>
      <c r="B377" t="inlineStr">
        <is>
          <t>INV-0335</t>
        </is>
      </c>
      <c r="C377" s="162" t="n">
        <v>46192</v>
      </c>
      <c r="D377" t="inlineStr">
        <is>
          <t>Julalikari Council Aboriginal Corporation</t>
        </is>
      </c>
      <c r="E377" t="inlineStr">
        <is>
          <t>ACCREC</t>
        </is>
      </c>
      <c r="F377" t="inlineStr">
        <is>
          <t>PAID</t>
        </is>
      </c>
      <c r="G377" t="n">
        <v>13540</v>
      </c>
      <c r="H377" t="n">
        <v>1460</v>
      </c>
      <c r="I377" t="n">
        <v>15000</v>
      </c>
      <c r="J377" t="n">
        <v>15000</v>
      </c>
      <c r="K377" t="n">
        <v>0</v>
      </c>
      <c r="L377" t="n">
        <v>0</v>
      </c>
      <c r="M377">
        <f>IF(OR(F377="VOIDED",F377="DELETED"),0,J377-L377)</f>
        <v/>
      </c>
      <c r="N377" t="inlineStr">
        <is>
          <t>Yes</t>
        </is>
      </c>
      <c r="O377" t="inlineStr">
        <is>
          <t>Goods-tagged</t>
        </is>
      </c>
      <c r="P377" t="inlineStr">
        <is>
          <t>Goods Indestructible Washing Machine v1 / Delivery and installation in Tennant Creek / In Kind Support</t>
        </is>
      </c>
      <c r="Q377" t="inlineStr">
        <is>
          <t>xero_tracking</t>
        </is>
      </c>
      <c r="R377" t="inlineStr">
        <is>
          <t>ACT-ST</t>
        </is>
      </c>
      <c r="S377" t="n">
        <v>46246</v>
      </c>
    </row>
    <row r="378" ht="36" customHeight="1">
      <c r="A378" t="inlineStr">
        <is>
          <t>fe651126-4422-4222-aa76-517c2159f06d</t>
        </is>
      </c>
      <c r="B378" t="inlineStr">
        <is>
          <t>195194</t>
        </is>
      </c>
      <c r="C378" s="162" t="n">
        <v>46206</v>
      </c>
      <c r="D378" t="inlineStr">
        <is>
          <t>Woks Up</t>
        </is>
      </c>
      <c r="E378" t="inlineStr">
        <is>
          <t>ACCPAY</t>
        </is>
      </c>
      <c r="F378" t="inlineStr">
        <is>
          <t>PAID</t>
        </is>
      </c>
      <c r="G378" t="n">
        <v>91.64</v>
      </c>
      <c r="H378" t="n">
        <v>9.16</v>
      </c>
      <c r="I378" t="n">
        <v>100.8</v>
      </c>
      <c r="J378" t="n">
        <v>100.8</v>
      </c>
      <c r="K378" t="n">
        <v>0</v>
      </c>
      <c r="L378" t="n">
        <v>100.8</v>
      </c>
      <c r="M378">
        <f>IF(OR(F378="VOIDED",F378="DELETED"),0,J378-L378)</f>
        <v/>
      </c>
      <c r="N378" t="inlineStr">
        <is>
          <t>No</t>
        </is>
      </c>
      <c r="O378" t="inlineStr">
        <is>
          <t>Goods-tagged</t>
        </is>
      </c>
      <c r="P378" t="inlineStr">
        <is>
          <t>Dinner</t>
        </is>
      </c>
      <c r="Q378" t="inlineStr">
        <is>
          <t>xero_tracking</t>
        </is>
      </c>
      <c r="R378" t="inlineStr">
        <is>
          <t>ACT-ST</t>
        </is>
      </c>
      <c r="S378" t="n">
        <v>46227</v>
      </c>
    </row>
    <row r="379" ht="36" customHeight="1">
      <c r="A379" t="inlineStr">
        <is>
          <t>b50ec8b5-915b-47ef-9e89-33ea5e835cf3</t>
        </is>
      </c>
      <c r="B379" t="inlineStr">
        <is>
          <t>00287718</t>
        </is>
      </c>
      <c r="C379" s="162" t="n">
        <v>46207</v>
      </c>
      <c r="D379" t="inlineStr">
        <is>
          <t>Tennant Creek Retreat</t>
        </is>
      </c>
      <c r="E379" t="inlineStr">
        <is>
          <t>ACCPAY</t>
        </is>
      </c>
      <c r="F379" t="inlineStr">
        <is>
          <t>PAID</t>
        </is>
      </c>
      <c r="G379" t="n">
        <v>97.84999999999999</v>
      </c>
      <c r="H379" t="n">
        <v>9.779999999999999</v>
      </c>
      <c r="I379" t="n">
        <v>107.63</v>
      </c>
      <c r="J379" t="n">
        <v>107.63</v>
      </c>
      <c r="K379" t="n">
        <v>0</v>
      </c>
      <c r="L379" t="n">
        <v>107.63</v>
      </c>
      <c r="M379">
        <f>IF(OR(F379="VOIDED",F379="DELETED"),0,J379-L379)</f>
        <v/>
      </c>
      <c r="N379" t="inlineStr">
        <is>
          <t>No</t>
        </is>
      </c>
      <c r="O379" t="inlineStr">
        <is>
          <t>Goods-tagged</t>
        </is>
      </c>
      <c r="P379" t="inlineStr">
        <is>
          <t>53.84L Diesel</t>
        </is>
      </c>
      <c r="Q379" t="inlineStr">
        <is>
          <t>xero_tracking</t>
        </is>
      </c>
      <c r="R379" t="inlineStr">
        <is>
          <t>ACT-ST</t>
        </is>
      </c>
      <c r="S379" t="n">
        <v>46227</v>
      </c>
    </row>
    <row r="380" ht="36" customHeight="1">
      <c r="A380" t="inlineStr">
        <is>
          <t>3a864f27-c24c-4164-b2c6-6c0e1d171b84</t>
        </is>
      </c>
      <c r="B380" t="inlineStr">
        <is>
          <t>RB21068593480</t>
        </is>
      </c>
      <c r="C380" s="162" t="n">
        <v>46207</v>
      </c>
      <c r="D380" t="inlineStr">
        <is>
          <t>Rocky's Tennant Creek</t>
        </is>
      </c>
      <c r="E380" t="inlineStr">
        <is>
          <t>ACCPAY</t>
        </is>
      </c>
      <c r="F380" t="inlineStr">
        <is>
          <t>PAID</t>
        </is>
      </c>
      <c r="G380" t="n">
        <v>99.27</v>
      </c>
      <c r="H380" t="n">
        <v>0.73</v>
      </c>
      <c r="I380" t="n">
        <v>100</v>
      </c>
      <c r="J380" t="n">
        <v>100</v>
      </c>
      <c r="K380" t="n">
        <v>0</v>
      </c>
      <c r="L380" t="n">
        <v>100</v>
      </c>
      <c r="M380">
        <f>IF(OR(F380="VOIDED",F380="DELETED"),0,J380-L380)</f>
        <v/>
      </c>
      <c r="N380" t="inlineStr">
        <is>
          <t>No</t>
        </is>
      </c>
      <c r="O380" t="inlineStr">
        <is>
          <t>Goods-tagged</t>
        </is>
      </c>
      <c r="P380" t="inlineStr">
        <is>
          <t>Rocky's Tennant Creek / Rocky's Tennant Creek</t>
        </is>
      </c>
      <c r="Q380" t="inlineStr">
        <is>
          <t>xero_tracking</t>
        </is>
      </c>
      <c r="R380" t="inlineStr">
        <is>
          <t>ACT-ST</t>
        </is>
      </c>
      <c r="S380" t="n">
        <v>46227</v>
      </c>
    </row>
    <row r="381" ht="36" customHeight="1">
      <c r="A381" t="inlineStr">
        <is>
          <t>0de8201e-9988-45fa-8c6f-bfd9e5e06ea6</t>
        </is>
      </c>
      <c r="B381" t="inlineStr">
        <is>
          <t>029346</t>
        </is>
      </c>
      <c r="C381" s="162" t="n">
        <v>46212</v>
      </c>
      <c r="D381" t="inlineStr">
        <is>
          <t>Bushcamp Ent</t>
        </is>
      </c>
      <c r="E381" t="inlineStr">
        <is>
          <t>ACCPAY</t>
        </is>
      </c>
      <c r="F381" t="inlineStr">
        <is>
          <t>PAID</t>
        </is>
      </c>
      <c r="G381" t="n">
        <v>27.26</v>
      </c>
      <c r="H381" t="n">
        <v>2.73</v>
      </c>
      <c r="I381" t="n">
        <v>29.99</v>
      </c>
      <c r="J381" t="n">
        <v>29.99</v>
      </c>
      <c r="K381" t="n">
        <v>0</v>
      </c>
      <c r="L381" t="n">
        <v>29.99</v>
      </c>
      <c r="M381">
        <f>IF(OR(F381="VOIDED",F381="DELETED"),0,J381-L381)</f>
        <v/>
      </c>
      <c r="N381" t="inlineStr">
        <is>
          <t>No</t>
        </is>
      </c>
      <c r="O381" t="inlineStr">
        <is>
          <t>Goods-tagged</t>
        </is>
      </c>
      <c r="P381" t="inlineStr">
        <is>
          <t>Camping for the office</t>
        </is>
      </c>
      <c r="Q381" t="inlineStr">
        <is>
          <t>xero_tracking</t>
        </is>
      </c>
      <c r="R381" t="inlineStr">
        <is>
          <t>ACT-ST</t>
        </is>
      </c>
      <c r="S381" t="n">
        <v>46227</v>
      </c>
    </row>
    <row r="382" ht="36" customHeight="1">
      <c r="A382" t="inlineStr">
        <is>
          <t>f16a3f19-2141-4bc9-ba13-be85a6b2ba2f</t>
        </is>
      </c>
      <c r="B382" t="inlineStr">
        <is>
          <t>01/0028</t>
        </is>
      </c>
      <c r="C382" s="162" t="n">
        <v>46214</v>
      </c>
      <c r="D382" t="inlineStr">
        <is>
          <t>WILD FOOD CAFE</t>
        </is>
      </c>
      <c r="E382" t="inlineStr">
        <is>
          <t>ACCPAY</t>
        </is>
      </c>
      <c r="F382" t="inlineStr">
        <is>
          <t>PAID</t>
        </is>
      </c>
      <c r="G382" t="n">
        <v>62.19</v>
      </c>
      <c r="H382" t="n">
        <v>6.22</v>
      </c>
      <c r="I382" t="n">
        <v>68.41</v>
      </c>
      <c r="J382" t="n">
        <v>68.41</v>
      </c>
      <c r="K382" t="n">
        <v>0</v>
      </c>
      <c r="L382" t="n">
        <v>68.41</v>
      </c>
      <c r="M382">
        <f>IF(OR(F382="VOIDED",F382="DELETED"),0,J382-L382)</f>
        <v/>
      </c>
      <c r="N382" t="inlineStr">
        <is>
          <t>No</t>
        </is>
      </c>
      <c r="O382" t="inlineStr">
        <is>
          <t>Goods-tagged</t>
        </is>
      </c>
      <c r="P382" t="inlineStr">
        <is>
          <t>Food purchases</t>
        </is>
      </c>
      <c r="Q382" t="inlineStr">
        <is>
          <t>xero_tracking</t>
        </is>
      </c>
      <c r="R382" t="inlineStr">
        <is>
          <t>ACT-ST</t>
        </is>
      </c>
      <c r="S382" t="n">
        <v>46227</v>
      </c>
    </row>
    <row r="383" ht="36" customHeight="1">
      <c r="A383" t="inlineStr">
        <is>
          <t>160e15aa-dd46-4445-81ea-3257b0d73423</t>
        </is>
      </c>
      <c r="B383" t="inlineStr">
        <is>
          <t>003-62594-2210-2026-07-13</t>
        </is>
      </c>
      <c r="C383" s="162" t="n">
        <v>46216</v>
      </c>
      <c r="D383" t="inlineStr">
        <is>
          <t>Bunnings Warehouse</t>
        </is>
      </c>
      <c r="E383" t="inlineStr">
        <is>
          <t>ACCPAY</t>
        </is>
      </c>
      <c r="F383" t="inlineStr">
        <is>
          <t>PAID</t>
        </is>
      </c>
      <c r="G383" t="n">
        <v>231.01</v>
      </c>
      <c r="H383" t="n">
        <v>23.1</v>
      </c>
      <c r="I383" t="n">
        <v>254.11</v>
      </c>
      <c r="J383" t="n">
        <v>254.11</v>
      </c>
      <c r="K383" t="n">
        <v>0</v>
      </c>
      <c r="L383" t="n">
        <v>254.11</v>
      </c>
      <c r="M383">
        <f>IF(OR(F383="VOIDED",F383="DELETED"),0,J383-L383)</f>
        <v/>
      </c>
      <c r="N383" t="inlineStr">
        <is>
          <t>No</t>
        </is>
      </c>
      <c r="O383" t="inlineStr">
        <is>
          <t>Goods-tagged</t>
        </is>
      </c>
      <c r="P383" t="inlineStr">
        <is>
          <t>Repairs and maintenance</t>
        </is>
      </c>
      <c r="Q383" t="inlineStr">
        <is>
          <t>xero_tracking</t>
        </is>
      </c>
      <c r="R383" t="inlineStr">
        <is>
          <t>ACT-ST</t>
        </is>
      </c>
      <c r="S383" t="n">
        <v>46227</v>
      </c>
    </row>
    <row r="384" ht="36" customHeight="1">
      <c r="A384" t="inlineStr">
        <is>
          <t>aae4cf03-17a6-4394-a06b-1b2cc664fd35</t>
        </is>
      </c>
      <c r="B384" t="inlineStr">
        <is>
          <t>2140512</t>
        </is>
      </c>
      <c r="C384" s="162" t="n">
        <v>46217</v>
      </c>
      <c r="D384" t="inlineStr">
        <is>
          <t>Jabiru Service Station</t>
        </is>
      </c>
      <c r="E384" t="inlineStr">
        <is>
          <t>ACCPAY</t>
        </is>
      </c>
      <c r="F384" t="inlineStr">
        <is>
          <t>PAID</t>
        </is>
      </c>
      <c r="G384" t="n">
        <v>91.27</v>
      </c>
      <c r="H384" t="n">
        <v>9.130000000000001</v>
      </c>
      <c r="I384" t="n">
        <v>100.4</v>
      </c>
      <c r="J384" t="n">
        <v>100.4</v>
      </c>
      <c r="K384" t="n">
        <v>0</v>
      </c>
      <c r="L384" t="n">
        <v>100.4</v>
      </c>
      <c r="M384">
        <f>IF(OR(F384="VOIDED",F384="DELETED"),0,J384-L384)</f>
        <v/>
      </c>
      <c r="N384" t="inlineStr">
        <is>
          <t>No</t>
        </is>
      </c>
      <c r="O384" t="inlineStr">
        <is>
          <t>Goods-tagged</t>
        </is>
      </c>
      <c r="P384" t="inlineStr">
        <is>
          <t>Diesel 40.07L</t>
        </is>
      </c>
      <c r="Q384" t="inlineStr">
        <is>
          <t>xero_tracking</t>
        </is>
      </c>
      <c r="R384" t="inlineStr">
        <is>
          <t>ACT-ST</t>
        </is>
      </c>
      <c r="S384" t="n">
        <v>46227</v>
      </c>
    </row>
    <row r="385" ht="36" customHeight="1">
      <c r="A385" t="inlineStr">
        <is>
          <t>863c8afe-9d02-48fd-9e1e-df8a452c9d11</t>
        </is>
      </c>
      <c r="B385" t="inlineStr">
        <is>
          <t>INV-009</t>
        </is>
      </c>
      <c r="C385" s="162" t="n">
        <v>46217</v>
      </c>
      <c r="D385" t="inlineStr">
        <is>
          <t>Joseph Kirmos</t>
        </is>
      </c>
      <c r="E385" t="inlineStr">
        <is>
          <t>ACCPAY</t>
        </is>
      </c>
      <c r="F385" t="inlineStr">
        <is>
          <t>PAID</t>
        </is>
      </c>
      <c r="G385" t="n">
        <v>4500</v>
      </c>
      <c r="H385" t="n">
        <v>0</v>
      </c>
      <c r="I385" t="n">
        <v>4500</v>
      </c>
      <c r="J385" t="n">
        <v>4500</v>
      </c>
      <c r="K385" t="n">
        <v>0</v>
      </c>
      <c r="L385" t="n">
        <v>4500</v>
      </c>
      <c r="M385">
        <f>IF(OR(F385="VOIDED",F385="DELETED"),0,J385-L385)</f>
        <v/>
      </c>
      <c r="N385" t="inlineStr">
        <is>
          <t>No</t>
        </is>
      </c>
      <c r="O385" t="inlineStr">
        <is>
          <t>Goods-tagged</t>
        </is>
      </c>
      <c r="P385" t="inlineStr">
        <is>
          <t>Provision of Labour</t>
        </is>
      </c>
      <c r="Q385" t="inlineStr">
        <is>
          <t>xero_tracking</t>
        </is>
      </c>
      <c r="R385" t="inlineStr">
        <is>
          <t>ACT-ST</t>
        </is>
      </c>
      <c r="S385" t="n">
        <v>46227</v>
      </c>
    </row>
    <row r="386" ht="36" customHeight="1">
      <c r="A386" t="inlineStr">
        <is>
          <t>719f17ad-bfc8-4f98-a547-67c62420c287</t>
        </is>
      </c>
      <c r="B386" t="inlineStr">
        <is>
          <t>2151082</t>
        </is>
      </c>
      <c r="C386" s="162" t="n">
        <v>46218</v>
      </c>
      <c r="D386" t="inlineStr">
        <is>
          <t>Kakadu Tourism</t>
        </is>
      </c>
      <c r="E386" t="inlineStr">
        <is>
          <t>ACCPAY</t>
        </is>
      </c>
      <c r="F386" t="inlineStr">
        <is>
          <t>PAID</t>
        </is>
      </c>
      <c r="G386" t="n">
        <v>263.64</v>
      </c>
      <c r="H386" t="n">
        <v>0</v>
      </c>
      <c r="I386" t="n">
        <v>263.64</v>
      </c>
      <c r="J386" t="n">
        <v>263.64</v>
      </c>
      <c r="K386" t="n">
        <v>0</v>
      </c>
      <c r="L386" t="n">
        <v>263.64</v>
      </c>
      <c r="M386">
        <f>IF(OR(F386="VOIDED",F386="DELETED"),0,J386-L386)</f>
        <v/>
      </c>
      <c r="N386" t="inlineStr">
        <is>
          <t>No</t>
        </is>
      </c>
      <c r="O386" t="inlineStr">
        <is>
          <t>Goods-tagged</t>
        </is>
      </c>
      <c r="P386" t="inlineStr">
        <is>
          <t>Nicholas Merchisi</t>
        </is>
      </c>
      <c r="Q386" t="inlineStr">
        <is>
          <t>xero_tracking</t>
        </is>
      </c>
      <c r="R386" t="inlineStr">
        <is>
          <t>ACT-ST</t>
        </is>
      </c>
      <c r="S386" t="n">
        <v>46227</v>
      </c>
    </row>
    <row r="387" ht="36" customHeight="1">
      <c r="A387" t="inlineStr">
        <is>
          <t>8468226c-6638-4c19-8684-cd162f720ff6</t>
        </is>
      </c>
      <c r="B387" t="inlineStr">
        <is>
          <t>6288744</t>
        </is>
      </c>
      <c r="C387" s="162" t="n">
        <v>46224</v>
      </c>
      <c r="D387" t="inlineStr">
        <is>
          <t>Capral Aluminium</t>
        </is>
      </c>
      <c r="E387" t="inlineStr">
        <is>
          <t>ACCPAY</t>
        </is>
      </c>
      <c r="F387" t="inlineStr">
        <is>
          <t>PAID</t>
        </is>
      </c>
      <c r="G387" t="n">
        <v>637.33</v>
      </c>
      <c r="H387" t="n">
        <v>63.73</v>
      </c>
      <c r="I387" t="n">
        <v>701.0599999999999</v>
      </c>
      <c r="J387" t="n">
        <v>701.0599999999999</v>
      </c>
      <c r="K387" t="n">
        <v>0</v>
      </c>
      <c r="L387" t="n">
        <v>0</v>
      </c>
      <c r="M387">
        <f>IF(OR(F387="VOIDED",F387="DELETED"),0,J387-L387)</f>
        <v/>
      </c>
      <c r="N387" t="inlineStr">
        <is>
          <t>No</t>
        </is>
      </c>
      <c r="O387" t="inlineStr">
        <is>
          <t>Goods-tagged</t>
        </is>
      </c>
      <c r="P387" t="inlineStr">
        <is>
          <t>.</t>
        </is>
      </c>
      <c r="Q387" t="inlineStr">
        <is>
          <t>xero_tracking</t>
        </is>
      </c>
      <c r="R387" t="inlineStr">
        <is>
          <t>ACT-ST</t>
        </is>
      </c>
      <c r="S387" t="n">
        <v>46241</v>
      </c>
    </row>
    <row r="388" ht="36" customHeight="1">
      <c r="A388" t="inlineStr">
        <is>
          <t>edcce142-d979-462a-9804-f6f195fb33df</t>
        </is>
      </c>
      <c r="B388" t="inlineStr">
        <is>
          <t>04/3749</t>
        </is>
      </c>
      <c r="C388" s="162" t="n">
        <v>46227</v>
      </c>
      <c r="D388" t="inlineStr">
        <is>
          <t>IGA</t>
        </is>
      </c>
      <c r="E388" t="inlineStr">
        <is>
          <t>ACCPAY</t>
        </is>
      </c>
      <c r="F388" t="inlineStr">
        <is>
          <t>PAID</t>
        </is>
      </c>
      <c r="G388" t="n">
        <v>233.31</v>
      </c>
      <c r="H388" t="n">
        <v>8.58</v>
      </c>
      <c r="I388" t="n">
        <v>241.89</v>
      </c>
      <c r="J388" t="n">
        <v>241.89</v>
      </c>
      <c r="K388" t="n">
        <v>0</v>
      </c>
      <c r="L388" t="n">
        <v>0</v>
      </c>
      <c r="M388">
        <f>IF(OR(F388="VOIDED",F388="DELETED"),0,J388-L388)</f>
        <v/>
      </c>
      <c r="N388" t="inlineStr">
        <is>
          <t>No</t>
        </is>
      </c>
      <c r="O388" t="inlineStr">
        <is>
          <t>Goods-tagged</t>
        </is>
      </c>
      <c r="P388" t="inlineStr">
        <is>
          <t>. / .</t>
        </is>
      </c>
      <c r="Q388" t="inlineStr">
        <is>
          <t>xero_tracking</t>
        </is>
      </c>
      <c r="R388" t="inlineStr">
        <is>
          <t>ACT-ST</t>
        </is>
      </c>
      <c r="S388" t="n">
        <v>46241</v>
      </c>
    </row>
    <row r="389" ht="36" customHeight="1">
      <c r="A389" t="inlineStr">
        <is>
          <t>aef6b36a-264e-46d1-885f-e8bfc1e23dd8</t>
        </is>
      </c>
      <c r="B389" t="inlineStr">
        <is>
          <t>323927</t>
        </is>
      </c>
      <c r="C389" s="162" t="n">
        <v>46237</v>
      </c>
      <c r="D389" t="inlineStr">
        <is>
          <t>BP</t>
        </is>
      </c>
      <c r="E389" t="inlineStr">
        <is>
          <t>ACCPAY</t>
        </is>
      </c>
      <c r="F389" t="inlineStr">
        <is>
          <t>PAID</t>
        </is>
      </c>
      <c r="G389" t="n">
        <v>102.36</v>
      </c>
      <c r="H389" t="n">
        <v>10.24</v>
      </c>
      <c r="I389" t="n">
        <v>112.6</v>
      </c>
      <c r="J389" t="n">
        <v>112.6</v>
      </c>
      <c r="K389" t="n">
        <v>0</v>
      </c>
      <c r="L389" t="n">
        <v>0</v>
      </c>
      <c r="M389">
        <f>IF(OR(F389="VOIDED",F389="DELETED"),0,J389-L389)</f>
        <v/>
      </c>
      <c r="N389" t="inlineStr">
        <is>
          <t>No</t>
        </is>
      </c>
      <c r="O389" t="inlineStr">
        <is>
          <t>Goods-tagged</t>
        </is>
      </c>
      <c r="P389" t="inlineStr">
        <is>
          <t>.</t>
        </is>
      </c>
      <c r="Q389" t="inlineStr">
        <is>
          <t>xero_tracking</t>
        </is>
      </c>
      <c r="R389" t="inlineStr">
        <is>
          <t>ACT-ST</t>
        </is>
      </c>
      <c r="S389" t="n">
        <v>46241</v>
      </c>
    </row>
    <row r="390" ht="36" customHeight="1">
      <c r="A390" t="inlineStr">
        <is>
          <t>7a2943a1-55f9-4ed2-9c14-7651100d9c1e</t>
        </is>
      </c>
      <c r="B390" t="inlineStr">
        <is>
          <t>00143088</t>
        </is>
      </c>
      <c r="C390" s="162" t="n">
        <v>46238</v>
      </c>
      <c r="D390" t="inlineStr">
        <is>
          <t>THE EUCLA MOTEL</t>
        </is>
      </c>
      <c r="E390" t="inlineStr">
        <is>
          <t>ACCPAY</t>
        </is>
      </c>
      <c r="F390" t="inlineStr">
        <is>
          <t>PAID</t>
        </is>
      </c>
      <c r="G390" t="n">
        <v>114.9</v>
      </c>
      <c r="H390" t="n">
        <v>11.49</v>
      </c>
      <c r="I390" t="n">
        <v>126.39</v>
      </c>
      <c r="J390" t="n">
        <v>126.39</v>
      </c>
      <c r="K390" t="n">
        <v>0</v>
      </c>
      <c r="L390" t="n">
        <v>0</v>
      </c>
      <c r="M390">
        <f>IF(OR(F390="VOIDED",F390="DELETED"),0,J390-L390)</f>
        <v/>
      </c>
      <c r="N390" t="inlineStr">
        <is>
          <t>No</t>
        </is>
      </c>
      <c r="O390" t="inlineStr">
        <is>
          <t>Goods-tagged</t>
        </is>
      </c>
      <c r="P390" t="inlineStr">
        <is>
          <t>.</t>
        </is>
      </c>
      <c r="Q390" t="inlineStr">
        <is>
          <t>xero_tracking</t>
        </is>
      </c>
      <c r="R390" t="inlineStr">
        <is>
          <t>ACT-ST</t>
        </is>
      </c>
      <c r="S390" t="n">
        <v>46241</v>
      </c>
    </row>
    <row r="391" ht="36" customHeight="1">
      <c r="A391" t="inlineStr">
        <is>
          <t>b9b30c59-3779-4740-bf9f-1cfab19058af</t>
        </is>
      </c>
      <c r="B391" t="inlineStr">
        <is>
          <t>82584</t>
        </is>
      </c>
      <c r="C391" s="162" t="n">
        <v>46238</v>
      </c>
      <c r="D391" t="inlineStr">
        <is>
          <t>THE EUCLA MOTEL</t>
        </is>
      </c>
      <c r="E391" t="inlineStr">
        <is>
          <t>ACCPAY</t>
        </is>
      </c>
      <c r="F391" t="inlineStr">
        <is>
          <t>PAID</t>
        </is>
      </c>
      <c r="G391" t="n">
        <v>12.5</v>
      </c>
      <c r="H391" t="n">
        <v>0.5</v>
      </c>
      <c r="I391" t="n">
        <v>13</v>
      </c>
      <c r="J391" t="n">
        <v>13</v>
      </c>
      <c r="K391" t="n">
        <v>0</v>
      </c>
      <c r="L391" t="n">
        <v>0</v>
      </c>
      <c r="M391">
        <f>IF(OR(F391="VOIDED",F391="DELETED"),0,J391-L391)</f>
        <v/>
      </c>
      <c r="N391" t="inlineStr">
        <is>
          <t>No</t>
        </is>
      </c>
      <c r="O391" t="inlineStr">
        <is>
          <t>Goods-tagged</t>
        </is>
      </c>
      <c r="P391" t="inlineStr">
        <is>
          <t>. / .</t>
        </is>
      </c>
      <c r="Q391" t="inlineStr">
        <is>
          <t>xero_tracking</t>
        </is>
      </c>
      <c r="R391" t="inlineStr">
        <is>
          <t>ACT-ST</t>
        </is>
      </c>
      <c r="S391" t="n">
        <v>46241</v>
      </c>
    </row>
    <row r="392" ht="36" customHeight="1">
      <c r="A392" t="inlineStr">
        <is>
          <t>1059e24a-b7dc-454e-ae19-0b1c41f0bcfb</t>
        </is>
      </c>
      <c r="B392" t="inlineStr">
        <is>
          <t>INV-010</t>
        </is>
      </c>
      <c r="C392" s="162" t="n">
        <v>46239</v>
      </c>
      <c r="D392" t="inlineStr">
        <is>
          <t>Joseph Kirmos</t>
        </is>
      </c>
      <c r="E392" t="inlineStr">
        <is>
          <t>ACCPAY</t>
        </is>
      </c>
      <c r="F392" t="inlineStr">
        <is>
          <t>PAID</t>
        </is>
      </c>
      <c r="G392" t="n">
        <v>4500</v>
      </c>
      <c r="H392" t="n">
        <v>0</v>
      </c>
      <c r="I392" t="n">
        <v>4500</v>
      </c>
      <c r="J392" t="n">
        <v>4500</v>
      </c>
      <c r="K392" t="n">
        <v>0</v>
      </c>
      <c r="L392" t="n">
        <v>0</v>
      </c>
      <c r="M392">
        <f>IF(OR(F392="VOIDED",F392="DELETED"),0,J392-L392)</f>
        <v/>
      </c>
      <c r="N392" t="inlineStr">
        <is>
          <t>No</t>
        </is>
      </c>
      <c r="O392" t="inlineStr">
        <is>
          <t>Goods-tagged</t>
        </is>
      </c>
      <c r="P392" t="inlineStr">
        <is>
          <t>.</t>
        </is>
      </c>
      <c r="Q392" t="inlineStr">
        <is>
          <t>xero_tracking</t>
        </is>
      </c>
      <c r="R392" t="inlineStr">
        <is>
          <t>ACT-ST</t>
        </is>
      </c>
      <c r="S392" t="n">
        <v>46247</v>
      </c>
    </row>
    <row r="393" ht="36" customHeight="1">
      <c r="A393" t="inlineStr">
        <is>
          <t>d822c6a2-561e-452c-b627-efefa481a055</t>
        </is>
      </c>
      <c r="B393" t="inlineStr">
        <is>
          <t>5823</t>
        </is>
      </c>
      <c r="C393" s="162" t="n">
        <v>46242</v>
      </c>
      <c r="D393" t="inlineStr">
        <is>
          <t>Western Hotel</t>
        </is>
      </c>
      <c r="E393" t="inlineStr">
        <is>
          <t>ACCPAY</t>
        </is>
      </c>
      <c r="F393" t="inlineStr">
        <is>
          <t>PAID</t>
        </is>
      </c>
      <c r="G393" t="n">
        <v>40.91</v>
      </c>
      <c r="H393" t="n">
        <v>4.09</v>
      </c>
      <c r="I393" t="n">
        <v>45</v>
      </c>
      <c r="J393" t="n">
        <v>45</v>
      </c>
      <c r="K393" t="n">
        <v>0</v>
      </c>
      <c r="L393" t="n">
        <v>0</v>
      </c>
      <c r="M393">
        <f>IF(OR(F393="VOIDED",F393="DELETED"),0,J393-L393)</f>
        <v/>
      </c>
      <c r="N393" t="inlineStr">
        <is>
          <t>No</t>
        </is>
      </c>
      <c r="O393" t="inlineStr">
        <is>
          <t>Goods-tagged</t>
        </is>
      </c>
      <c r="P393" t="inlineStr">
        <is>
          <t>.</t>
        </is>
      </c>
      <c r="Q393" t="inlineStr">
        <is>
          <t>xero_tracking</t>
        </is>
      </c>
      <c r="R393" t="inlineStr">
        <is>
          <t>ACT-ST</t>
        </is>
      </c>
      <c r="S393" t="n">
        <v>46247</v>
      </c>
    </row>
    <row r="394" ht="36" customHeight="1">
      <c r="A394" t="inlineStr">
        <is>
          <t>7590eefd-fe33-4e25-a87c-5c2915aee47c</t>
        </is>
      </c>
      <c r="B394" t="inlineStr">
        <is>
          <t>0120522160551</t>
        </is>
      </c>
      <c r="C394" s="162" t="n">
        <v>46243</v>
      </c>
      <c r="D394" t="inlineStr">
        <is>
          <t>BP</t>
        </is>
      </c>
      <c r="E394" t="inlineStr">
        <is>
          <t>ACCPAY</t>
        </is>
      </c>
      <c r="F394" t="inlineStr">
        <is>
          <t>PAID</t>
        </is>
      </c>
      <c r="G394" t="n">
        <v>135.77</v>
      </c>
      <c r="H394" t="n">
        <v>13.16</v>
      </c>
      <c r="I394" t="n">
        <v>148.93</v>
      </c>
      <c r="J394" t="n">
        <v>148.93</v>
      </c>
      <c r="K394" t="n">
        <v>0</v>
      </c>
      <c r="L394" t="n">
        <v>0</v>
      </c>
      <c r="M394">
        <f>IF(OR(F394="VOIDED",F394="DELETED"),0,J394-L394)</f>
        <v/>
      </c>
      <c r="N394" t="inlineStr">
        <is>
          <t>No</t>
        </is>
      </c>
      <c r="O394" t="inlineStr">
        <is>
          <t>Goods-tagged</t>
        </is>
      </c>
      <c r="P394" t="inlineStr">
        <is>
          <t>. / .</t>
        </is>
      </c>
      <c r="Q394" t="inlineStr">
        <is>
          <t>xero_tracking</t>
        </is>
      </c>
      <c r="R394" t="inlineStr">
        <is>
          <t>ACT-ST</t>
        </is>
      </c>
      <c r="S394" t="n">
        <v>46247</v>
      </c>
    </row>
    <row r="395" ht="36" customHeight="1">
      <c r="A395" t="inlineStr">
        <is>
          <t>c1fa82b5-8374-4e0f-b615-b4b3aa51dd1f</t>
        </is>
      </c>
      <c r="B395" t="inlineStr">
        <is>
          <t>049587-130</t>
        </is>
      </c>
      <c r="C395" s="162" t="n">
        <v>46246</v>
      </c>
      <c r="D395" t="inlineStr">
        <is>
          <t>BP</t>
        </is>
      </c>
      <c r="E395" t="inlineStr">
        <is>
          <t>ACCPAY</t>
        </is>
      </c>
      <c r="F395" t="inlineStr">
        <is>
          <t>PAID</t>
        </is>
      </c>
      <c r="G395" t="n">
        <v>19.07</v>
      </c>
      <c r="H395" t="n">
        <v>1.91</v>
      </c>
      <c r="I395" t="n">
        <v>20.98</v>
      </c>
      <c r="J395" t="n">
        <v>20.98</v>
      </c>
      <c r="K395" t="n">
        <v>0</v>
      </c>
      <c r="L395" t="n">
        <v>0</v>
      </c>
      <c r="M395">
        <f>IF(OR(F395="VOIDED",F395="DELETED"),0,J395-L395)</f>
        <v/>
      </c>
      <c r="N395" t="inlineStr">
        <is>
          <t>No</t>
        </is>
      </c>
      <c r="O395" t="inlineStr">
        <is>
          <t>Goods-tagged</t>
        </is>
      </c>
      <c r="P395" t="inlineStr">
        <is>
          <t>.</t>
        </is>
      </c>
      <c r="Q395" t="inlineStr">
        <is>
          <t>xero_tracking</t>
        </is>
      </c>
      <c r="R395" t="inlineStr">
        <is>
          <t>ACT-ST</t>
        </is>
      </c>
      <c r="S395" t="n">
        <v>46253</v>
      </c>
    </row>
    <row r="396" ht="36" customHeight="1">
      <c r="A396" t="inlineStr">
        <is>
          <t>92c2bf4e-083b-44ff-ab3e-b442f5ff062c</t>
        </is>
      </c>
      <c r="B396" t="inlineStr">
        <is>
          <t>350085</t>
        </is>
      </c>
      <c r="C396" s="162" t="n">
        <v>46246</v>
      </c>
      <c r="D396" t="inlineStr">
        <is>
          <t>Maleny Hotel</t>
        </is>
      </c>
      <c r="E396" t="inlineStr">
        <is>
          <t>ACCPAY</t>
        </is>
      </c>
      <c r="F396" t="inlineStr">
        <is>
          <t>PAID</t>
        </is>
      </c>
      <c r="G396" t="n">
        <v>96.95999999999999</v>
      </c>
      <c r="H396" t="n">
        <v>0</v>
      </c>
      <c r="I396" t="n">
        <v>96.95999999999999</v>
      </c>
      <c r="J396" t="n">
        <v>96.95999999999999</v>
      </c>
      <c r="K396" t="n">
        <v>0</v>
      </c>
      <c r="L396" t="n">
        <v>0</v>
      </c>
      <c r="M396">
        <f>IF(OR(F396="VOIDED",F396="DELETED"),0,J396-L396)</f>
        <v/>
      </c>
      <c r="N396" t="inlineStr">
        <is>
          <t>No</t>
        </is>
      </c>
      <c r="O396" t="inlineStr">
        <is>
          <t>Goods-tagged</t>
        </is>
      </c>
      <c r="P396" t="inlineStr">
        <is>
          <t>.</t>
        </is>
      </c>
      <c r="Q396" t="inlineStr">
        <is>
          <t>xero_tracking</t>
        </is>
      </c>
      <c r="R396" t="inlineStr">
        <is>
          <t>ACT-ST</t>
        </is>
      </c>
      <c r="S396" t="n">
        <v>46253</v>
      </c>
    </row>
    <row r="397" ht="36" customHeight="1">
      <c r="A397" t="inlineStr">
        <is>
          <t>2e22799b-f44c-4e47-9070-a15b0dae162a</t>
        </is>
      </c>
      <c r="B397" t="inlineStr">
        <is>
          <t>88994</t>
        </is>
      </c>
      <c r="C397" s="162" t="n">
        <v>46247</v>
      </c>
      <c r="D397" t="inlineStr">
        <is>
          <t>Ampol</t>
        </is>
      </c>
      <c r="E397" t="inlineStr">
        <is>
          <t>ACCPAY</t>
        </is>
      </c>
      <c r="F397" t="inlineStr">
        <is>
          <t>PAID</t>
        </is>
      </c>
      <c r="G397" t="n">
        <v>14.55</v>
      </c>
      <c r="H397" t="n">
        <v>1.45</v>
      </c>
      <c r="I397" t="n">
        <v>16</v>
      </c>
      <c r="J397" t="n">
        <v>16</v>
      </c>
      <c r="K397" t="n">
        <v>0</v>
      </c>
      <c r="L397" t="n">
        <v>0</v>
      </c>
      <c r="M397">
        <f>IF(OR(F397="VOIDED",F397="DELETED"),0,J397-L397)</f>
        <v/>
      </c>
      <c r="N397" t="inlineStr">
        <is>
          <t>No</t>
        </is>
      </c>
      <c r="O397" t="inlineStr">
        <is>
          <t>Goods-tagged</t>
        </is>
      </c>
      <c r="P397" t="inlineStr">
        <is>
          <t>.</t>
        </is>
      </c>
      <c r="Q397" t="inlineStr">
        <is>
          <t>xero_tracking</t>
        </is>
      </c>
      <c r="R397" t="inlineStr">
        <is>
          <t>ACT-ST</t>
        </is>
      </c>
      <c r="S397" t="n">
        <v>46253</v>
      </c>
    </row>
    <row r="398" ht="36" customHeight="1">
      <c r="A398" t="inlineStr">
        <is>
          <t>684e16b2-36a7-4fa4-bc3e-eca8d3292e6b</t>
        </is>
      </c>
      <c r="B398" t="inlineStr">
        <is>
          <t>RB21477293120</t>
        </is>
      </c>
      <c r="C398" s="162" t="n">
        <v>46247</v>
      </c>
      <c r="D398" t="inlineStr">
        <is>
          <t>AFGAN CHARCOAL KEBAB HOUSE</t>
        </is>
      </c>
      <c r="E398" t="inlineStr">
        <is>
          <t>ACCPAY</t>
        </is>
      </c>
      <c r="F398" t="inlineStr">
        <is>
          <t>PAID</t>
        </is>
      </c>
      <c r="G398" t="n">
        <v>32.27</v>
      </c>
      <c r="H398" t="n">
        <v>3.23</v>
      </c>
      <c r="I398" t="n">
        <v>35.5</v>
      </c>
      <c r="J398" t="n">
        <v>35.5</v>
      </c>
      <c r="K398" t="n">
        <v>0</v>
      </c>
      <c r="L398" t="n">
        <v>0</v>
      </c>
      <c r="M398">
        <f>IF(OR(F398="VOIDED",F398="DELETED"),0,J398-L398)</f>
        <v/>
      </c>
      <c r="N398" t="inlineStr">
        <is>
          <t>No</t>
        </is>
      </c>
      <c r="O398" t="inlineStr">
        <is>
          <t>Goods-tagged</t>
        </is>
      </c>
      <c r="P398" t="inlineStr">
        <is>
          <t>.</t>
        </is>
      </c>
      <c r="Q398" t="inlineStr">
        <is>
          <t>xero_tracking</t>
        </is>
      </c>
      <c r="R398" t="inlineStr">
        <is>
          <t>ACT-ST</t>
        </is>
      </c>
      <c r="S398" t="n">
        <v>46253</v>
      </c>
    </row>
    <row r="399" ht="36" customHeight="1">
      <c r="A399" t="inlineStr">
        <is>
          <t>41d6f301-1a1b-4b75-a346-9d4f8ad4f5df</t>
        </is>
      </c>
      <c r="B399" t="inlineStr">
        <is>
          <t>00158737</t>
        </is>
      </c>
      <c r="C399" s="162" t="n">
        <v>46248</v>
      </c>
      <c r="D399" t="inlineStr">
        <is>
          <t>BP</t>
        </is>
      </c>
      <c r="E399" t="inlineStr">
        <is>
          <t>ACCPAY</t>
        </is>
      </c>
      <c r="F399" t="inlineStr">
        <is>
          <t>PAID</t>
        </is>
      </c>
      <c r="G399" t="n">
        <v>83.17</v>
      </c>
      <c r="H399" t="n">
        <v>8.32</v>
      </c>
      <c r="I399" t="n">
        <v>91.48999999999999</v>
      </c>
      <c r="J399" t="n">
        <v>91.48999999999999</v>
      </c>
      <c r="K399" t="n">
        <v>0</v>
      </c>
      <c r="L399" t="n">
        <v>0</v>
      </c>
      <c r="M399">
        <f>IF(OR(F399="VOIDED",F399="DELETED"),0,J399-L399)</f>
        <v/>
      </c>
      <c r="N399" t="inlineStr">
        <is>
          <t>No</t>
        </is>
      </c>
      <c r="O399" t="inlineStr">
        <is>
          <t>Goods-tagged</t>
        </is>
      </c>
      <c r="P399" t="inlineStr">
        <is>
          <t>.</t>
        </is>
      </c>
      <c r="Q399" t="inlineStr">
        <is>
          <t>xero_tracking</t>
        </is>
      </c>
      <c r="R399" t="inlineStr">
        <is>
          <t>ACT-ST</t>
        </is>
      </c>
      <c r="S399" t="n">
        <v>46253</v>
      </c>
    </row>
    <row r="400" ht="36" customHeight="1">
      <c r="A400" t="inlineStr">
        <is>
          <t>efa37f53-34fb-401f-bcca-63286eb50082</t>
        </is>
      </c>
      <c r="B400" t="inlineStr">
        <is>
          <t>009559</t>
        </is>
      </c>
      <c r="C400" s="162" t="n">
        <v>46248</v>
      </c>
      <c r="D400" t="inlineStr">
        <is>
          <t>Hotel Grand Chancellor Townsville</t>
        </is>
      </c>
      <c r="E400" t="inlineStr">
        <is>
          <t>ACCPAY</t>
        </is>
      </c>
      <c r="F400" t="inlineStr">
        <is>
          <t>PAID</t>
        </is>
      </c>
      <c r="G400" t="n">
        <v>47.27</v>
      </c>
      <c r="H400" t="n">
        <v>2.73</v>
      </c>
      <c r="I400" t="n">
        <v>50</v>
      </c>
      <c r="J400" t="n">
        <v>50</v>
      </c>
      <c r="K400" t="n">
        <v>0</v>
      </c>
      <c r="L400" t="n">
        <v>0</v>
      </c>
      <c r="M400">
        <f>IF(OR(F400="VOIDED",F400="DELETED"),0,J400-L400)</f>
        <v/>
      </c>
      <c r="N400" t="inlineStr">
        <is>
          <t>No</t>
        </is>
      </c>
      <c r="O400" t="inlineStr">
        <is>
          <t>Goods-tagged</t>
        </is>
      </c>
      <c r="P400" t="inlineStr">
        <is>
          <t>. / .</t>
        </is>
      </c>
      <c r="Q400" t="inlineStr">
        <is>
          <t>xero_tracking</t>
        </is>
      </c>
      <c r="R400" t="inlineStr">
        <is>
          <t>ACT-ST</t>
        </is>
      </c>
      <c r="S400" t="n">
        <v>46253</v>
      </c>
    </row>
    <row r="401" ht="36" customHeight="1">
      <c r="A401" t="inlineStr">
        <is>
          <t>3ad3bd4c-6eb4-49d6-80d5-dc7c904e8241</t>
        </is>
      </c>
      <c r="B401" t="inlineStr">
        <is>
          <t>RB21484303720</t>
        </is>
      </c>
      <c r="C401" s="162" t="n">
        <v>46248</v>
      </c>
      <c r="D401" t="inlineStr">
        <is>
          <t>Romeos Foodland</t>
        </is>
      </c>
      <c r="E401" t="inlineStr">
        <is>
          <t>ACCPAY</t>
        </is>
      </c>
      <c r="F401" t="inlineStr">
        <is>
          <t>PAID</t>
        </is>
      </c>
      <c r="G401" t="n">
        <v>9.550000000000001</v>
      </c>
      <c r="H401" t="n">
        <v>0.95</v>
      </c>
      <c r="I401" t="n">
        <v>10.5</v>
      </c>
      <c r="J401" t="n">
        <v>10.5</v>
      </c>
      <c r="K401" t="n">
        <v>0</v>
      </c>
      <c r="L401" t="n">
        <v>0</v>
      </c>
      <c r="M401">
        <f>IF(OR(F401="VOIDED",F401="DELETED"),0,J401-L401)</f>
        <v/>
      </c>
      <c r="N401" t="inlineStr">
        <is>
          <t>No</t>
        </is>
      </c>
      <c r="O401" t="inlineStr">
        <is>
          <t>Goods-tagged</t>
        </is>
      </c>
      <c r="P401" t="inlineStr">
        <is>
          <t>.</t>
        </is>
      </c>
      <c r="Q401" t="inlineStr">
        <is>
          <t>xero_tracking</t>
        </is>
      </c>
      <c r="R401" t="inlineStr">
        <is>
          <t>ACT-ST</t>
        </is>
      </c>
      <c r="S401" t="n">
        <v>46253</v>
      </c>
    </row>
    <row r="402" ht="36" customHeight="1">
      <c r="A402" t="inlineStr">
        <is>
          <t>e841d171-3458-481c-ac88-d67328bf1f3a</t>
        </is>
      </c>
      <c r="B402" t="inlineStr">
        <is>
          <t>789130</t>
        </is>
      </c>
      <c r="C402" s="162" t="n">
        <v>46249</v>
      </c>
      <c r="D402" t="inlineStr">
        <is>
          <t>Page 27</t>
        </is>
      </c>
      <c r="E402" t="inlineStr">
        <is>
          <t>ACCPAY</t>
        </is>
      </c>
      <c r="F402" t="inlineStr">
        <is>
          <t>PAID</t>
        </is>
      </c>
      <c r="G402" t="n">
        <v>44.25</v>
      </c>
      <c r="H402" t="n">
        <v>0</v>
      </c>
      <c r="I402" t="n">
        <v>44.25</v>
      </c>
      <c r="J402" t="n">
        <v>44.25</v>
      </c>
      <c r="K402" t="n">
        <v>0</v>
      </c>
      <c r="L402" t="n">
        <v>0</v>
      </c>
      <c r="M402">
        <f>IF(OR(F402="VOIDED",F402="DELETED"),0,J402-L402)</f>
        <v/>
      </c>
      <c r="N402" t="inlineStr">
        <is>
          <t>No</t>
        </is>
      </c>
      <c r="O402" t="inlineStr">
        <is>
          <t>Goods-tagged</t>
        </is>
      </c>
      <c r="P402" t="inlineStr">
        <is>
          <t>.</t>
        </is>
      </c>
      <c r="Q402" t="inlineStr">
        <is>
          <t>xero_tracking</t>
        </is>
      </c>
      <c r="R402" t="inlineStr">
        <is>
          <t>ACT-ST</t>
        </is>
      </c>
      <c r="S402" t="n">
        <v>46253</v>
      </c>
    </row>
    <row r="403" ht="36" customHeight="1">
      <c r="A403" t="inlineStr">
        <is>
          <t>4e791c97-5e31-4b5b-874b-8c5925008842</t>
        </is>
      </c>
      <c r="B403" t="inlineStr">
        <is>
          <t>RB21492964040</t>
        </is>
      </c>
      <c r="C403" s="162" t="n">
        <v>46249</v>
      </c>
      <c r="D403" t="inlineStr">
        <is>
          <t>Bunnings Warehouse</t>
        </is>
      </c>
      <c r="E403" t="inlineStr">
        <is>
          <t>ACCPAY</t>
        </is>
      </c>
      <c r="F403" t="inlineStr">
        <is>
          <t>PAID</t>
        </is>
      </c>
      <c r="G403" t="n">
        <v>54.97</v>
      </c>
      <c r="H403" t="n">
        <v>5.5</v>
      </c>
      <c r="I403" t="n">
        <v>60.47</v>
      </c>
      <c r="J403" t="n">
        <v>60.47</v>
      </c>
      <c r="K403" t="n">
        <v>0</v>
      </c>
      <c r="L403" t="n">
        <v>0</v>
      </c>
      <c r="M403">
        <f>IF(OR(F403="VOIDED",F403="DELETED"),0,J403-L403)</f>
        <v/>
      </c>
      <c r="N403" t="inlineStr">
        <is>
          <t>No</t>
        </is>
      </c>
      <c r="O403" t="inlineStr">
        <is>
          <t>Goods-tagged</t>
        </is>
      </c>
      <c r="P403" t="inlineStr">
        <is>
          <t>.</t>
        </is>
      </c>
      <c r="Q403" t="inlineStr">
        <is>
          <t>xero_tracking</t>
        </is>
      </c>
      <c r="R403" t="inlineStr">
        <is>
          <t>ACT-ST</t>
        </is>
      </c>
      <c r="S403" t="n">
        <v>46253</v>
      </c>
    </row>
    <row r="404" ht="36" customHeight="1">
      <c r="A404" t="inlineStr">
        <is>
          <t>7d7b342d-140e-4177-bcbd-e1d2ab8ded97</t>
        </is>
      </c>
      <c r="B404" t="inlineStr">
        <is>
          <t>RB21493349160</t>
        </is>
      </c>
      <c r="C404" s="162" t="n">
        <v>46249</v>
      </c>
      <c r="D404" t="inlineStr">
        <is>
          <t>Hanuman Alice Springs</t>
        </is>
      </c>
      <c r="E404" t="inlineStr">
        <is>
          <t>ACCPAY</t>
        </is>
      </c>
      <c r="F404" t="inlineStr">
        <is>
          <t>PAID</t>
        </is>
      </c>
      <c r="G404" t="n">
        <v>82.73</v>
      </c>
      <c r="H404" t="n">
        <v>8.27</v>
      </c>
      <c r="I404" t="n">
        <v>91</v>
      </c>
      <c r="J404" t="n">
        <v>91</v>
      </c>
      <c r="K404" t="n">
        <v>0</v>
      </c>
      <c r="L404" t="n">
        <v>0</v>
      </c>
      <c r="M404">
        <f>IF(OR(F404="VOIDED",F404="DELETED"),0,J404-L404)</f>
        <v/>
      </c>
      <c r="N404" t="inlineStr">
        <is>
          <t>No</t>
        </is>
      </c>
      <c r="O404" t="inlineStr">
        <is>
          <t>Goods-tagged</t>
        </is>
      </c>
      <c r="P404" t="inlineStr">
        <is>
          <t>.</t>
        </is>
      </c>
      <c r="Q404" t="inlineStr">
        <is>
          <t>xero_tracking</t>
        </is>
      </c>
      <c r="R404" t="inlineStr">
        <is>
          <t>ACT-ST</t>
        </is>
      </c>
      <c r="S404" t="n">
        <v>46253</v>
      </c>
    </row>
    <row r="405" ht="36" customHeight="1">
      <c r="A405" t="inlineStr">
        <is>
          <t>393479c6-a6f6-4753-a04c-d808d223c780</t>
        </is>
      </c>
      <c r="B405" t="inlineStr">
        <is>
          <t>RB21495171990</t>
        </is>
      </c>
      <c r="C405" s="162" t="n">
        <v>46250</v>
      </c>
      <c r="D405" t="inlineStr">
        <is>
          <t>Kmart</t>
        </is>
      </c>
      <c r="E405" t="inlineStr">
        <is>
          <t>ACCPAY</t>
        </is>
      </c>
      <c r="F405" t="inlineStr">
        <is>
          <t>PAID</t>
        </is>
      </c>
      <c r="G405" t="n">
        <v>269.09</v>
      </c>
      <c r="H405" t="n">
        <v>26.91</v>
      </c>
      <c r="I405" t="n">
        <v>296</v>
      </c>
      <c r="J405" t="n">
        <v>296</v>
      </c>
      <c r="K405" t="n">
        <v>0</v>
      </c>
      <c r="L405" t="n">
        <v>0</v>
      </c>
      <c r="M405">
        <f>IF(OR(F405="VOIDED",F405="DELETED"),0,J405-L405)</f>
        <v/>
      </c>
      <c r="N405" t="inlineStr">
        <is>
          <t>No</t>
        </is>
      </c>
      <c r="O405" t="inlineStr">
        <is>
          <t>Goods-tagged</t>
        </is>
      </c>
      <c r="P405" t="inlineStr">
        <is>
          <t>.</t>
        </is>
      </c>
      <c r="Q405" t="inlineStr">
        <is>
          <t>xero_tracking</t>
        </is>
      </c>
      <c r="R405" t="inlineStr">
        <is>
          <t>ACT-ST</t>
        </is>
      </c>
      <c r="S405" t="n">
        <v>46253</v>
      </c>
    </row>
    <row r="406" ht="36" customHeight="1">
      <c r="A406" t="inlineStr">
        <is>
          <t>5778ca41-e88c-456d-82c0-77337df2bbfd</t>
        </is>
      </c>
      <c r="B406" t="inlineStr">
        <is>
          <t>INV-011</t>
        </is>
      </c>
      <c r="C406" s="162" t="n">
        <v>46258</v>
      </c>
      <c r="D406" t="inlineStr">
        <is>
          <t>Joseph Kirmos</t>
        </is>
      </c>
      <c r="E406" t="inlineStr">
        <is>
          <t>ACCPAY</t>
        </is>
      </c>
      <c r="F406" t="inlineStr">
        <is>
          <t>PAID</t>
        </is>
      </c>
      <c r="G406" t="n">
        <v>4500</v>
      </c>
      <c r="H406" t="n">
        <v>0</v>
      </c>
      <c r="I406" t="n">
        <v>4500</v>
      </c>
      <c r="J406" t="n">
        <v>4500</v>
      </c>
      <c r="K406" t="n">
        <v>0</v>
      </c>
      <c r="L406" t="n">
        <v>0</v>
      </c>
      <c r="M406">
        <f>IF(OR(F406="VOIDED",F406="DELETED"),0,J406-L406)</f>
        <v/>
      </c>
      <c r="N406" t="inlineStr">
        <is>
          <t>No</t>
        </is>
      </c>
      <c r="O406" t="inlineStr">
        <is>
          <t>Goods-tagged</t>
        </is>
      </c>
      <c r="P406" t="inlineStr">
        <is>
          <t>.</t>
        </is>
      </c>
      <c r="Q406" t="inlineStr">
        <is>
          <t>xero_tracking</t>
        </is>
      </c>
      <c r="R406" t="inlineStr">
        <is>
          <t>ACT-ST</t>
        </is>
      </c>
      <c r="S406" t="n">
        <v>46260</v>
      </c>
    </row>
    <row r="407" ht="36" customHeight="1">
      <c r="A407" t="inlineStr">
        <is>
          <t>0347a278-60aa-433f-8c66-fc9faf682df5</t>
        </is>
      </c>
      <c r="B407" t="inlineStr">
        <is>
          <t>11247</t>
        </is>
      </c>
      <c r="C407" s="162" t="n">
        <v>46265</v>
      </c>
      <c r="D407" t="inlineStr">
        <is>
          <t>Smart Carte</t>
        </is>
      </c>
      <c r="E407" t="inlineStr">
        <is>
          <t>ACCPAY</t>
        </is>
      </c>
      <c r="F407" t="inlineStr">
        <is>
          <t>PAID</t>
        </is>
      </c>
      <c r="G407" t="n">
        <v>4.55</v>
      </c>
      <c r="H407" t="n">
        <v>0.45</v>
      </c>
      <c r="I407" t="n">
        <v>5</v>
      </c>
      <c r="J407" t="n">
        <v>5</v>
      </c>
      <c r="K407" t="n">
        <v>0</v>
      </c>
      <c r="L407" t="n">
        <v>0</v>
      </c>
      <c r="M407">
        <f>IF(OR(F407="VOIDED",F407="DELETED"),0,J407-L407)</f>
        <v/>
      </c>
      <c r="N407" t="inlineStr">
        <is>
          <t>No</t>
        </is>
      </c>
      <c r="O407" t="inlineStr">
        <is>
          <t>Goods-tagged</t>
        </is>
      </c>
      <c r="P407" t="inlineStr">
        <is>
          <t>.</t>
        </is>
      </c>
      <c r="Q407" t="inlineStr">
        <is>
          <t>xero_tracking</t>
        </is>
      </c>
      <c r="R407" t="inlineStr">
        <is>
          <t>ACT-ST</t>
        </is>
      </c>
      <c r="S407" t="n">
        <v>46268</v>
      </c>
    </row>
    <row r="408" ht="23" customHeight="1">
      <c r="C408" s="162" t="n"/>
    </row>
    <row r="409" ht="23" customHeight="1">
      <c r="C409" s="162" t="n"/>
    </row>
    <row r="410">
      <c r="C410" s="162" t="n"/>
    </row>
    <row r="411">
      <c r="C411" s="162" t="n"/>
    </row>
    <row r="412">
      <c r="C412" s="162" t="n"/>
    </row>
    <row r="413">
      <c r="C413" s="162" t="n"/>
    </row>
    <row r="414">
      <c r="C414" s="162" t="n"/>
    </row>
    <row r="415">
      <c r="C415" s="162" t="n"/>
    </row>
    <row r="416">
      <c r="C416" s="162" t="n"/>
    </row>
    <row r="417">
      <c r="C417" s="162" t="n"/>
    </row>
    <row r="418">
      <c r="C418" s="162" t="n"/>
    </row>
    <row r="419">
      <c r="C419" s="162" t="n"/>
    </row>
    <row r="420">
      <c r="C420" s="162" t="n"/>
    </row>
    <row r="421">
      <c r="C421" s="162" t="n"/>
    </row>
    <row r="422">
      <c r="C422" s="162" t="n"/>
    </row>
    <row r="423">
      <c r="C423" s="162" t="n"/>
    </row>
    <row r="424">
      <c r="C424" s="162" t="n"/>
    </row>
    <row r="425">
      <c r="C425" s="162" t="n"/>
    </row>
    <row r="426">
      <c r="C426" s="162" t="n"/>
    </row>
    <row r="427">
      <c r="C427" s="162" t="n"/>
    </row>
    <row r="428">
      <c r="C428" s="162" t="n"/>
    </row>
    <row r="429">
      <c r="C429" s="162" t="n"/>
    </row>
    <row r="430">
      <c r="C430" s="162" t="n"/>
    </row>
    <row r="431">
      <c r="C431" s="162" t="n"/>
    </row>
    <row r="432">
      <c r="C432" s="162" t="n"/>
    </row>
    <row r="433">
      <c r="C433" s="162" t="n"/>
    </row>
    <row r="434">
      <c r="C434" s="162" t="n"/>
    </row>
    <row r="435">
      <c r="C435" s="162" t="n"/>
    </row>
    <row r="436">
      <c r="C436" s="162" t="n"/>
    </row>
    <row r="437">
      <c r="C437" s="162" t="n"/>
    </row>
    <row r="438">
      <c r="C438" s="162" t="n"/>
    </row>
    <row r="439">
      <c r="C439" s="162" t="n"/>
    </row>
    <row r="440">
      <c r="C440" s="162" t="n"/>
    </row>
    <row r="441">
      <c r="C441" s="162" t="n"/>
    </row>
    <row r="442">
      <c r="C442" s="162" t="n"/>
    </row>
    <row r="443">
      <c r="C443" s="162" t="n"/>
    </row>
    <row r="444">
      <c r="C444" s="162" t="n"/>
    </row>
    <row r="445">
      <c r="C445" s="162" t="n"/>
    </row>
    <row r="446">
      <c r="C446" s="162" t="n"/>
    </row>
    <row r="447">
      <c r="C447" s="162" t="n"/>
    </row>
    <row r="448">
      <c r="C448" s="162" t="n"/>
    </row>
    <row r="449">
      <c r="C449" s="162" t="n"/>
    </row>
    <row r="450">
      <c r="C450" s="162" t="n"/>
    </row>
    <row r="451">
      <c r="C451" s="162" t="n"/>
    </row>
    <row r="452">
      <c r="C452" s="162" t="n"/>
    </row>
    <row r="453">
      <c r="C453" s="162" t="n"/>
    </row>
    <row r="454">
      <c r="C454" s="162" t="n"/>
    </row>
    <row r="455">
      <c r="C455" s="162" t="n"/>
    </row>
    <row r="456">
      <c r="C456" s="162" t="n"/>
    </row>
    <row r="457">
      <c r="C457" s="162" t="n"/>
    </row>
    <row r="458">
      <c r="C458" s="162" t="n"/>
    </row>
    <row r="459">
      <c r="C459" s="162" t="n"/>
    </row>
    <row r="460">
      <c r="C460" s="162" t="n"/>
    </row>
    <row r="461">
      <c r="C461" s="162" t="n"/>
    </row>
    <row r="462">
      <c r="C462" s="162" t="n"/>
    </row>
    <row r="463">
      <c r="C463" s="162" t="n"/>
    </row>
    <row r="464">
      <c r="C464" s="162" t="n"/>
    </row>
    <row r="465">
      <c r="C465" s="162" t="n"/>
    </row>
    <row r="466">
      <c r="C466" s="162" t="n"/>
    </row>
    <row r="467">
      <c r="C467" s="162" t="n"/>
    </row>
    <row r="468">
      <c r="C468" s="162" t="n"/>
    </row>
    <row r="469">
      <c r="C469" s="162" t="n"/>
    </row>
    <row r="470">
      <c r="C470" s="162" t="n"/>
    </row>
    <row r="471">
      <c r="C471" s="162" t="n"/>
    </row>
    <row r="472">
      <c r="C472" s="162" t="n"/>
    </row>
    <row r="473">
      <c r="C473" s="162" t="n"/>
    </row>
    <row r="474">
      <c r="C474" s="162" t="n"/>
    </row>
    <row r="475">
      <c r="C475" s="162" t="n"/>
    </row>
    <row r="476">
      <c r="C476" s="162" t="n"/>
    </row>
    <row r="477">
      <c r="C477" s="162" t="n"/>
    </row>
    <row r="478">
      <c r="C478" s="162" t="n"/>
    </row>
    <row r="479">
      <c r="C479" s="162" t="n"/>
    </row>
    <row r="480">
      <c r="C480" s="162" t="n"/>
    </row>
    <row r="481">
      <c r="C481" s="162" t="n"/>
    </row>
    <row r="482">
      <c r="C482" s="162" t="n"/>
    </row>
    <row r="483">
      <c r="C483" s="162" t="n"/>
    </row>
    <row r="484">
      <c r="C484" s="162" t="n"/>
    </row>
    <row r="485">
      <c r="C485" s="162" t="n"/>
    </row>
    <row r="486">
      <c r="C486" s="162" t="n"/>
    </row>
    <row r="487">
      <c r="C487" s="162" t="n"/>
    </row>
    <row r="488">
      <c r="C488" s="162" t="n"/>
    </row>
    <row r="489">
      <c r="C489" s="162" t="n"/>
    </row>
    <row r="490">
      <c r="C490" s="162" t="n"/>
    </row>
    <row r="491">
      <c r="C491" s="162" t="n"/>
    </row>
    <row r="492">
      <c r="C492" s="162" t="n"/>
    </row>
    <row r="493">
      <c r="C493" s="162" t="n"/>
    </row>
    <row r="494">
      <c r="C494" s="162" t="n"/>
    </row>
    <row r="495">
      <c r="C495" s="162" t="n"/>
    </row>
    <row r="496">
      <c r="C496" s="162" t="n"/>
    </row>
    <row r="497">
      <c r="C497" s="162" t="n"/>
    </row>
    <row r="498">
      <c r="C498" s="162" t="n"/>
    </row>
    <row r="499">
      <c r="C499" s="162" t="n"/>
    </row>
    <row r="500">
      <c r="C500" s="162" t="n"/>
    </row>
    <row r="501">
      <c r="C501" s="162" t="n"/>
    </row>
    <row r="502">
      <c r="C502" s="162" t="n"/>
    </row>
    <row r="503">
      <c r="C503" s="162" t="n"/>
    </row>
    <row r="504">
      <c r="C504" s="162" t="n"/>
    </row>
    <row r="505">
      <c r="C505" s="162" t="n"/>
    </row>
    <row r="506">
      <c r="C506" s="162" t="n"/>
    </row>
    <row r="507">
      <c r="C507" s="162" t="n"/>
    </row>
    <row r="508">
      <c r="C508" s="162" t="n"/>
    </row>
    <row r="509">
      <c r="C509" s="162" t="n"/>
    </row>
    <row r="510">
      <c r="C510" s="162" t="n"/>
    </row>
    <row r="511">
      <c r="C511" s="162" t="n"/>
    </row>
    <row r="512">
      <c r="C512" s="162" t="n"/>
    </row>
    <row r="513">
      <c r="C513" s="162" t="n"/>
    </row>
    <row r="514">
      <c r="C514" s="162" t="n"/>
    </row>
    <row r="515">
      <c r="C515" s="162" t="n"/>
    </row>
    <row r="516">
      <c r="C516" s="162" t="n"/>
    </row>
    <row r="517">
      <c r="C517" s="162" t="n"/>
    </row>
    <row r="518">
      <c r="C518" s="162" t="n"/>
    </row>
    <row r="519">
      <c r="C519" s="162" t="n"/>
    </row>
    <row r="520">
      <c r="C520" s="162" t="n"/>
    </row>
    <row r="521">
      <c r="C521" s="162" t="n"/>
    </row>
    <row r="522">
      <c r="C522" s="162" t="n"/>
    </row>
    <row r="523">
      <c r="C523" s="162" t="n"/>
    </row>
    <row r="524">
      <c r="C524" s="162" t="n"/>
    </row>
    <row r="525">
      <c r="C525" s="162" t="n"/>
    </row>
    <row r="526">
      <c r="C526" s="162" t="n"/>
    </row>
    <row r="527">
      <c r="C527" s="162" t="n"/>
    </row>
    <row r="528">
      <c r="C528" s="162" t="n"/>
    </row>
    <row r="529">
      <c r="C529" s="162" t="n"/>
    </row>
    <row r="530">
      <c r="C530" s="162" t="n"/>
    </row>
    <row r="531">
      <c r="C531" s="162" t="n"/>
    </row>
    <row r="532">
      <c r="C532" s="162" t="n"/>
    </row>
    <row r="533">
      <c r="C533" s="162" t="n"/>
    </row>
    <row r="534">
      <c r="C534" s="162" t="n"/>
    </row>
    <row r="535">
      <c r="C535" s="162" t="n"/>
    </row>
    <row r="536">
      <c r="C536" s="162" t="n"/>
    </row>
    <row r="537">
      <c r="C537" s="162" t="n"/>
    </row>
    <row r="538">
      <c r="C538" s="162" t="n"/>
    </row>
    <row r="539">
      <c r="C539" s="162" t="n"/>
    </row>
    <row r="540">
      <c r="C540" s="162" t="n"/>
    </row>
    <row r="541">
      <c r="C541" s="162" t="n"/>
    </row>
    <row r="542">
      <c r="C542" s="162" t="n"/>
    </row>
    <row r="543">
      <c r="C543" s="162" t="n"/>
    </row>
    <row r="544">
      <c r="C544" s="162" t="n"/>
    </row>
    <row r="545">
      <c r="C545" s="162" t="n"/>
    </row>
    <row r="546">
      <c r="C546" s="162" t="n"/>
    </row>
    <row r="547">
      <c r="C547" s="162" t="n"/>
    </row>
    <row r="548">
      <c r="C548" s="162" t="n"/>
    </row>
    <row r="549">
      <c r="C549" s="162" t="n"/>
    </row>
    <row r="550">
      <c r="C550" s="162" t="n"/>
    </row>
    <row r="551">
      <c r="C551" s="162" t="n"/>
    </row>
    <row r="552">
      <c r="C552" s="162" t="n"/>
    </row>
    <row r="553">
      <c r="C553" s="162" t="n"/>
    </row>
    <row r="554">
      <c r="C554" s="162" t="n"/>
    </row>
    <row r="555">
      <c r="C555" s="162" t="n"/>
    </row>
    <row r="556">
      <c r="C556" s="162" t="n"/>
    </row>
    <row r="557">
      <c r="C557" s="162" t="n"/>
    </row>
    <row r="558">
      <c r="C558" s="162" t="n"/>
    </row>
    <row r="559">
      <c r="C559" s="162" t="n"/>
    </row>
    <row r="560">
      <c r="C560" s="162" t="n"/>
    </row>
    <row r="561">
      <c r="C561" s="162" t="n"/>
    </row>
    <row r="562">
      <c r="C562" s="162" t="n"/>
    </row>
    <row r="563">
      <c r="C563" s="162" t="n"/>
    </row>
    <row r="564">
      <c r="C564" s="162" t="n"/>
    </row>
    <row r="565">
      <c r="C565" s="162" t="n"/>
    </row>
    <row r="566">
      <c r="C566" s="162" t="n"/>
    </row>
    <row r="567">
      <c r="C567" s="162" t="n"/>
    </row>
    <row r="568">
      <c r="C568" s="162" t="n"/>
    </row>
    <row r="569">
      <c r="C569" s="162" t="n"/>
    </row>
    <row r="570">
      <c r="C570" s="162" t="n"/>
    </row>
    <row r="571">
      <c r="C571" s="162" t="n"/>
    </row>
    <row r="572">
      <c r="C572" s="162" t="n"/>
    </row>
    <row r="573">
      <c r="C573" s="162" t="n"/>
    </row>
    <row r="574">
      <c r="C574" s="162" t="n"/>
    </row>
    <row r="575">
      <c r="C575" s="162" t="n"/>
    </row>
    <row r="576">
      <c r="C576" s="162" t="n"/>
    </row>
    <row r="577">
      <c r="C577" s="162" t="n"/>
    </row>
    <row r="578">
      <c r="C578" s="162" t="n"/>
    </row>
    <row r="579">
      <c r="C579" s="162" t="n"/>
    </row>
    <row r="580">
      <c r="C580" s="162" t="n"/>
    </row>
    <row r="581">
      <c r="C581" s="162" t="n"/>
    </row>
    <row r="582">
      <c r="C582" s="162" t="n"/>
    </row>
    <row r="583">
      <c r="C583" s="162" t="n"/>
    </row>
    <row r="584">
      <c r="C584" s="162" t="n"/>
    </row>
    <row r="585">
      <c r="C585" s="162" t="n"/>
    </row>
    <row r="586">
      <c r="C586" s="162" t="n"/>
    </row>
    <row r="587">
      <c r="C587" s="162" t="n"/>
    </row>
    <row r="588">
      <c r="C588" s="162" t="n"/>
    </row>
    <row r="589">
      <c r="C589" s="162" t="n"/>
    </row>
    <row r="590">
      <c r="C590" s="162" t="n"/>
    </row>
    <row r="591">
      <c r="C591" s="162" t="n"/>
    </row>
    <row r="592">
      <c r="C592" s="162" t="n"/>
    </row>
    <row r="593">
      <c r="C593" s="162" t="n"/>
    </row>
    <row r="594">
      <c r="C594" s="162" t="n"/>
    </row>
    <row r="595">
      <c r="C595" s="162" t="n"/>
    </row>
    <row r="596">
      <c r="C596" s="162" t="n"/>
    </row>
    <row r="597">
      <c r="C597" s="162" t="n"/>
    </row>
    <row r="598">
      <c r="C598" s="162" t="n"/>
    </row>
    <row r="599">
      <c r="C599" s="162" t="n"/>
    </row>
    <row r="600">
      <c r="C600" s="162" t="n"/>
    </row>
    <row r="601">
      <c r="C601" s="162" t="n"/>
    </row>
    <row r="602">
      <c r="C602" s="162" t="n"/>
    </row>
    <row r="603">
      <c r="C603" s="162" t="n"/>
    </row>
    <row r="604">
      <c r="C604" s="162" t="n"/>
    </row>
    <row r="605">
      <c r="C605" s="162" t="n"/>
    </row>
    <row r="606">
      <c r="C606" s="162" t="n"/>
    </row>
    <row r="607">
      <c r="C607" s="162" t="n"/>
    </row>
    <row r="608">
      <c r="C608" s="162" t="n"/>
    </row>
    <row r="609">
      <c r="C609" s="162" t="n"/>
    </row>
    <row r="610">
      <c r="C610" s="162" t="n"/>
    </row>
    <row r="611">
      <c r="C611" s="162" t="n"/>
    </row>
    <row r="612">
      <c r="C612" s="162" t="n"/>
    </row>
    <row r="613">
      <c r="C613" s="162" t="n"/>
    </row>
    <row r="614">
      <c r="C614" s="162" t="n"/>
    </row>
    <row r="615">
      <c r="C615" s="162" t="n"/>
    </row>
    <row r="616">
      <c r="C616" s="162" t="n"/>
    </row>
    <row r="617">
      <c r="C617" s="162" t="n"/>
    </row>
    <row r="618">
      <c r="C618" s="162" t="n"/>
    </row>
    <row r="619">
      <c r="C619" s="162" t="n"/>
    </row>
    <row r="620">
      <c r="C620" s="162" t="n"/>
    </row>
    <row r="621">
      <c r="C621" s="162" t="n"/>
    </row>
    <row r="622">
      <c r="C622" s="162" t="n"/>
    </row>
    <row r="623">
      <c r="C623" s="162" t="n"/>
    </row>
    <row r="624">
      <c r="C624" s="162" t="n"/>
    </row>
    <row r="625">
      <c r="C625" s="162" t="n"/>
    </row>
    <row r="626">
      <c r="C626" s="162" t="n"/>
    </row>
    <row r="627">
      <c r="C627" s="162" t="n"/>
    </row>
    <row r="628">
      <c r="C628" s="162" t="n"/>
    </row>
    <row r="629">
      <c r="C629" s="162" t="n"/>
    </row>
    <row r="630">
      <c r="C630" s="162" t="n"/>
    </row>
    <row r="631">
      <c r="C631" s="162" t="n"/>
    </row>
    <row r="632">
      <c r="C632" s="162" t="n"/>
    </row>
    <row r="633">
      <c r="C633" s="162" t="n"/>
    </row>
    <row r="634">
      <c r="C634" s="162" t="n"/>
    </row>
    <row r="635">
      <c r="C635" s="162" t="n"/>
    </row>
    <row r="636">
      <c r="C636" s="162" t="n"/>
    </row>
    <row r="637">
      <c r="C637" s="162" t="n"/>
    </row>
    <row r="638">
      <c r="C638" s="162" t="n"/>
    </row>
    <row r="639">
      <c r="C639" s="162" t="n"/>
    </row>
    <row r="640">
      <c r="C640" s="162" t="n"/>
    </row>
    <row r="641">
      <c r="C641" s="162" t="n"/>
    </row>
    <row r="642">
      <c r="C642" s="162" t="n"/>
    </row>
    <row r="643">
      <c r="C643" s="162" t="n"/>
    </row>
    <row r="644">
      <c r="C644" s="162" t="n"/>
    </row>
    <row r="645">
      <c r="C645" s="162" t="n"/>
    </row>
    <row r="646">
      <c r="C646" s="162" t="n"/>
    </row>
    <row r="647">
      <c r="C647" s="162" t="n"/>
    </row>
    <row r="648">
      <c r="C648" s="162" t="n"/>
    </row>
    <row r="649">
      <c r="C649" s="162" t="n"/>
    </row>
    <row r="650">
      <c r="C650" s="162" t="n"/>
    </row>
    <row r="651">
      <c r="C651" s="162" t="n"/>
    </row>
    <row r="652">
      <c r="C652" s="162" t="n"/>
    </row>
    <row r="653">
      <c r="C653" s="162" t="n"/>
    </row>
    <row r="654">
      <c r="C654" s="162" t="n"/>
    </row>
    <row r="655">
      <c r="C655" s="162" t="n"/>
    </row>
    <row r="656">
      <c r="C656" s="162" t="n"/>
    </row>
    <row r="657">
      <c r="C657" s="162" t="n"/>
    </row>
    <row r="658">
      <c r="C658" s="162" t="n"/>
    </row>
    <row r="659">
      <c r="C659" s="162" t="n"/>
    </row>
    <row r="660">
      <c r="C660" s="162" t="n"/>
    </row>
    <row r="661">
      <c r="C661" s="162" t="n"/>
    </row>
    <row r="662">
      <c r="C662" s="162" t="n"/>
    </row>
    <row r="663">
      <c r="C663" s="162" t="n"/>
    </row>
    <row r="664">
      <c r="C664" s="162" t="n"/>
    </row>
    <row r="665">
      <c r="C665" s="162" t="n"/>
    </row>
    <row r="666">
      <c r="C666" s="162" t="n"/>
    </row>
    <row r="667">
      <c r="C667" s="162" t="n"/>
    </row>
    <row r="668">
      <c r="C668" s="162" t="n"/>
    </row>
    <row r="669">
      <c r="C669" s="162" t="n"/>
    </row>
    <row r="670">
      <c r="C670" s="162" t="n"/>
    </row>
    <row r="671">
      <c r="C671" s="162" t="n"/>
    </row>
    <row r="672">
      <c r="C672" s="162" t="n"/>
    </row>
    <row r="673">
      <c r="C673" s="162" t="n"/>
    </row>
    <row r="674">
      <c r="C674" s="162" t="n"/>
    </row>
    <row r="675">
      <c r="C675" s="162" t="n"/>
    </row>
    <row r="676">
      <c r="C676" s="162" t="n"/>
    </row>
    <row r="677">
      <c r="C677" s="162" t="n"/>
    </row>
    <row r="678">
      <c r="C678" s="162" t="n"/>
    </row>
    <row r="679">
      <c r="C679" s="162" t="n"/>
    </row>
    <row r="680">
      <c r="C680" s="162" t="n"/>
    </row>
    <row r="681">
      <c r="C681" s="162" t="n"/>
    </row>
    <row r="682">
      <c r="C682" s="162" t="n"/>
    </row>
    <row r="683">
      <c r="C683" s="162" t="n"/>
    </row>
    <row r="684">
      <c r="C684" s="162" t="n"/>
    </row>
    <row r="685">
      <c r="C685" s="162" t="n"/>
    </row>
    <row r="686">
      <c r="C686" s="162" t="n"/>
    </row>
    <row r="687">
      <c r="C687" s="162" t="n"/>
    </row>
    <row r="688">
      <c r="C688" s="162" t="n"/>
    </row>
    <row r="689">
      <c r="C689" s="162" t="n"/>
    </row>
    <row r="690">
      <c r="C690" s="162" t="n"/>
    </row>
    <row r="691">
      <c r="C691" s="162" t="n"/>
    </row>
    <row r="692">
      <c r="C692" s="162" t="n"/>
    </row>
    <row r="693">
      <c r="C693" s="162" t="n"/>
    </row>
    <row r="694">
      <c r="C694" s="162" t="n"/>
    </row>
    <row r="695">
      <c r="C695" s="162" t="n"/>
    </row>
    <row r="696">
      <c r="C696" s="162" t="n"/>
    </row>
    <row r="697">
      <c r="C697" s="162" t="n"/>
    </row>
    <row r="698">
      <c r="C698" s="162" t="n"/>
    </row>
    <row r="699">
      <c r="C699" s="162" t="n"/>
    </row>
    <row r="700">
      <c r="C700" s="162" t="n"/>
    </row>
    <row r="701">
      <c r="C701" s="162" t="n"/>
    </row>
    <row r="702">
      <c r="C702" s="162" t="n"/>
    </row>
    <row r="703">
      <c r="C703" s="162" t="n"/>
    </row>
    <row r="704">
      <c r="C704" s="162" t="n"/>
    </row>
    <row r="705">
      <c r="C705" s="162" t="n"/>
    </row>
    <row r="706">
      <c r="C706" s="162" t="n"/>
    </row>
    <row r="707">
      <c r="C707" s="162" t="n"/>
    </row>
    <row r="708">
      <c r="C708" s="162" t="n"/>
    </row>
    <row r="709">
      <c r="C709" s="162" t="n"/>
    </row>
    <row r="710">
      <c r="C710" s="162" t="n"/>
    </row>
    <row r="711">
      <c r="C711" s="162" t="n"/>
    </row>
    <row r="712">
      <c r="C712" s="162" t="n"/>
    </row>
    <row r="713">
      <c r="C713" s="162" t="n"/>
    </row>
    <row r="714">
      <c r="C714" s="162" t="n"/>
    </row>
    <row r="715">
      <c r="C715" s="162" t="n"/>
    </row>
    <row r="716">
      <c r="C716" s="162" t="n"/>
    </row>
    <row r="717">
      <c r="C717" s="162" t="n"/>
    </row>
    <row r="718">
      <c r="C718" s="162" t="n"/>
    </row>
    <row r="719">
      <c r="C719" s="162" t="n"/>
    </row>
    <row r="720">
      <c r="C720" s="162" t="n"/>
    </row>
    <row r="721">
      <c r="C721" s="162" t="n"/>
    </row>
    <row r="722">
      <c r="C722" s="162" t="n"/>
    </row>
    <row r="723">
      <c r="C723" s="162" t="n"/>
    </row>
    <row r="724">
      <c r="C724" s="162" t="n"/>
    </row>
    <row r="725">
      <c r="C725" s="162" t="n"/>
    </row>
    <row r="726">
      <c r="C726" s="162" t="n"/>
    </row>
    <row r="727">
      <c r="C727" s="162" t="n"/>
    </row>
    <row r="728">
      <c r="C728" s="162" t="n"/>
    </row>
    <row r="729">
      <c r="C729" s="162" t="n"/>
    </row>
    <row r="730">
      <c r="C730" s="162" t="n"/>
    </row>
    <row r="731">
      <c r="C731" s="162" t="n"/>
    </row>
    <row r="732">
      <c r="C732" s="162" t="n"/>
    </row>
    <row r="733">
      <c r="C733" s="162" t="n"/>
    </row>
    <row r="734">
      <c r="C734" s="162" t="n"/>
    </row>
    <row r="735">
      <c r="C735" s="162" t="n"/>
    </row>
    <row r="736">
      <c r="C736" s="162" t="n"/>
    </row>
    <row r="737">
      <c r="C737" s="162" t="n"/>
    </row>
    <row r="738">
      <c r="C738" s="162" t="n"/>
    </row>
    <row r="739">
      <c r="C739" s="162" t="n"/>
    </row>
    <row r="740">
      <c r="C740" s="162" t="n"/>
    </row>
    <row r="741">
      <c r="C741" s="162" t="n"/>
    </row>
    <row r="742">
      <c r="C742" s="162" t="n"/>
    </row>
    <row r="743">
      <c r="C743" s="162" t="n"/>
    </row>
    <row r="744">
      <c r="C744" s="162" t="n"/>
    </row>
    <row r="745">
      <c r="C745" s="162" t="n"/>
    </row>
    <row r="746">
      <c r="C746" s="162" t="n"/>
    </row>
    <row r="747">
      <c r="C747" s="162" t="n"/>
    </row>
    <row r="748">
      <c r="C748" s="162" t="n"/>
    </row>
    <row r="749">
      <c r="C749" s="162" t="n"/>
    </row>
    <row r="750">
      <c r="C750" s="162" t="n"/>
    </row>
    <row r="751">
      <c r="C751" s="162" t="n"/>
    </row>
    <row r="752">
      <c r="C752" s="162" t="n"/>
    </row>
    <row r="753">
      <c r="C753" s="162" t="n"/>
    </row>
    <row r="754">
      <c r="C754" s="162" t="n"/>
    </row>
    <row r="755">
      <c r="C755" s="162" t="n"/>
    </row>
    <row r="756">
      <c r="C756" s="162" t="n"/>
    </row>
    <row r="757">
      <c r="C757" s="162" t="n"/>
    </row>
    <row r="758">
      <c r="C758" s="162" t="n"/>
    </row>
    <row r="759">
      <c r="C759" s="162" t="n"/>
    </row>
    <row r="760">
      <c r="C760" s="162" t="n"/>
    </row>
    <row r="761">
      <c r="C761" s="162" t="n"/>
    </row>
    <row r="762">
      <c r="C762" s="162" t="n"/>
    </row>
    <row r="763">
      <c r="C763" s="162" t="n"/>
    </row>
    <row r="764">
      <c r="C764" s="162" t="n"/>
    </row>
    <row r="765">
      <c r="C765" s="162" t="n"/>
    </row>
    <row r="766">
      <c r="C766" s="162" t="n"/>
    </row>
    <row r="767">
      <c r="C767" s="162" t="n"/>
    </row>
    <row r="768">
      <c r="C768" s="162" t="n"/>
    </row>
    <row r="769">
      <c r="C769" s="162" t="n"/>
    </row>
    <row r="770">
      <c r="C770" s="162" t="n"/>
    </row>
    <row r="771">
      <c r="C771" s="162" t="n"/>
    </row>
    <row r="772">
      <c r="C772" s="162" t="n"/>
    </row>
    <row r="773">
      <c r="C773" s="162" t="n"/>
    </row>
    <row r="774">
      <c r="C774" s="162" t="n"/>
    </row>
    <row r="775">
      <c r="C775" s="162" t="n"/>
    </row>
    <row r="776">
      <c r="C776" s="162" t="n"/>
    </row>
    <row r="777">
      <c r="C777" s="162" t="n"/>
    </row>
    <row r="778">
      <c r="C778" s="162" t="n"/>
    </row>
    <row r="779">
      <c r="C779" s="162" t="n"/>
    </row>
    <row r="780">
      <c r="C780" s="162" t="n"/>
    </row>
    <row r="781">
      <c r="C781" s="162" t="n"/>
    </row>
    <row r="782">
      <c r="C782" s="162" t="n"/>
    </row>
    <row r="783">
      <c r="C783" s="162" t="n"/>
    </row>
    <row r="784">
      <c r="C784" s="162" t="n"/>
    </row>
    <row r="785">
      <c r="C785" s="162" t="n"/>
    </row>
    <row r="786">
      <c r="C786" s="162" t="n"/>
    </row>
    <row r="787">
      <c r="C787" s="162" t="n"/>
    </row>
    <row r="788">
      <c r="C788" s="162" t="n"/>
    </row>
    <row r="789">
      <c r="C789" s="162" t="n"/>
    </row>
    <row r="790">
      <c r="C790" s="162" t="n"/>
    </row>
    <row r="791">
      <c r="C791" s="162" t="n"/>
    </row>
    <row r="792">
      <c r="C792" s="162" t="n"/>
    </row>
    <row r="793">
      <c r="C793" s="162" t="n"/>
    </row>
    <row r="794">
      <c r="C794" s="162" t="n"/>
    </row>
    <row r="795">
      <c r="C795" s="162" t="n"/>
    </row>
    <row r="796">
      <c r="C796" s="162" t="n"/>
    </row>
    <row r="797">
      <c r="C797" s="162" t="n"/>
    </row>
    <row r="798">
      <c r="C798" s="162" t="n"/>
    </row>
    <row r="799">
      <c r="C799" s="162" t="n"/>
    </row>
    <row r="800">
      <c r="C800" s="162" t="n"/>
    </row>
    <row r="801">
      <c r="C801" s="162" t="n"/>
    </row>
    <row r="802">
      <c r="C802" s="162" t="n"/>
    </row>
    <row r="803">
      <c r="C803" s="162" t="n"/>
    </row>
    <row r="804">
      <c r="C804" s="162" t="n"/>
    </row>
    <row r="805">
      <c r="C805" s="162" t="n"/>
    </row>
    <row r="806">
      <c r="C806" s="162" t="n"/>
    </row>
    <row r="807">
      <c r="C807" s="162" t="n"/>
    </row>
    <row r="808">
      <c r="C808" s="162" t="n"/>
    </row>
    <row r="809">
      <c r="C809" s="162" t="n"/>
    </row>
    <row r="810">
      <c r="C810" s="162" t="n"/>
    </row>
    <row r="811">
      <c r="C811" s="162" t="n"/>
    </row>
    <row r="812">
      <c r="C812" s="162" t="n"/>
    </row>
    <row r="813">
      <c r="C813" s="162" t="n"/>
    </row>
    <row r="814">
      <c r="C814" s="162" t="n"/>
    </row>
    <row r="815">
      <c r="C815" s="162" t="n"/>
    </row>
    <row r="816">
      <c r="C816" s="162" t="n"/>
    </row>
    <row r="817">
      <c r="C817" s="162" t="n"/>
    </row>
    <row r="818">
      <c r="C818" s="162" t="n"/>
    </row>
    <row r="819">
      <c r="C819" s="162" t="n"/>
    </row>
    <row r="820">
      <c r="C820" s="162" t="n"/>
    </row>
    <row r="821">
      <c r="C821" s="162" t="n"/>
    </row>
    <row r="822">
      <c r="C822" s="162" t="n"/>
    </row>
    <row r="823">
      <c r="C823" s="162" t="n"/>
    </row>
    <row r="824">
      <c r="C824" s="162" t="n"/>
    </row>
    <row r="825">
      <c r="C825" s="162" t="n"/>
    </row>
    <row r="826">
      <c r="C826" s="162" t="n"/>
    </row>
    <row r="827">
      <c r="C827" s="162" t="n"/>
    </row>
    <row r="828">
      <c r="C828" s="162" t="n"/>
    </row>
    <row r="829">
      <c r="C829" s="162" t="n"/>
    </row>
    <row r="830">
      <c r="C830" s="162" t="n"/>
    </row>
    <row r="831">
      <c r="C831" s="162" t="n"/>
    </row>
    <row r="832">
      <c r="C832" s="162" t="n"/>
    </row>
    <row r="833">
      <c r="C833" s="162" t="n"/>
    </row>
    <row r="834">
      <c r="C834" s="162" t="n"/>
    </row>
    <row r="835">
      <c r="C835" s="162" t="n"/>
    </row>
    <row r="836">
      <c r="C836" s="162" t="n"/>
    </row>
    <row r="837">
      <c r="C837" s="162" t="n"/>
    </row>
    <row r="838">
      <c r="C838" s="162" t="n"/>
    </row>
    <row r="839">
      <c r="C839" s="162" t="n"/>
    </row>
    <row r="840">
      <c r="C840" s="162" t="n"/>
    </row>
    <row r="841">
      <c r="C841" s="162" t="n"/>
    </row>
    <row r="842">
      <c r="C842" s="162" t="n"/>
    </row>
    <row r="843">
      <c r="C843" s="162" t="n"/>
    </row>
    <row r="844">
      <c r="C844" s="162" t="n"/>
    </row>
    <row r="845">
      <c r="C845" s="162" t="n"/>
    </row>
    <row r="846">
      <c r="C846" s="162" t="n"/>
    </row>
    <row r="847">
      <c r="C847" s="162" t="n"/>
    </row>
    <row r="848">
      <c r="C848" s="162" t="n"/>
    </row>
    <row r="849">
      <c r="C849" s="162" t="n"/>
    </row>
    <row r="850">
      <c r="C850" s="162" t="n"/>
    </row>
    <row r="851">
      <c r="C851" s="162" t="n"/>
    </row>
    <row r="852">
      <c r="C852" s="162" t="n"/>
    </row>
    <row r="853">
      <c r="C853" s="162" t="n"/>
    </row>
    <row r="854">
      <c r="C854" s="162" t="n"/>
    </row>
    <row r="855">
      <c r="C855" s="162" t="n"/>
    </row>
    <row r="856">
      <c r="C856" s="162" t="n"/>
    </row>
    <row r="857">
      <c r="C857" s="162" t="n"/>
    </row>
    <row r="858">
      <c r="C858" s="162" t="n"/>
    </row>
    <row r="859">
      <c r="C859" s="162" t="n"/>
    </row>
    <row r="860">
      <c r="C860" s="162" t="n"/>
    </row>
    <row r="861">
      <c r="C861" s="162" t="n"/>
    </row>
    <row r="862">
      <c r="C862" s="162" t="n"/>
    </row>
    <row r="863">
      <c r="C863" s="162" t="n"/>
    </row>
    <row r="864">
      <c r="C864" s="162" t="n"/>
    </row>
    <row r="865">
      <c r="C865" s="162" t="n"/>
    </row>
    <row r="866">
      <c r="C866" s="162" t="n"/>
    </row>
    <row r="867">
      <c r="C867" s="162" t="n"/>
    </row>
    <row r="868">
      <c r="C868" s="162" t="n"/>
    </row>
    <row r="869">
      <c r="C869" s="162" t="n"/>
    </row>
    <row r="870">
      <c r="C870" s="162" t="n"/>
    </row>
    <row r="871">
      <c r="C871" s="162" t="n"/>
    </row>
    <row r="872">
      <c r="C872" s="162" t="n"/>
    </row>
    <row r="873">
      <c r="C873" s="162" t="n"/>
    </row>
    <row r="874">
      <c r="C874" s="162" t="n"/>
    </row>
    <row r="875">
      <c r="C875" s="162" t="n"/>
    </row>
    <row r="876">
      <c r="C876" s="162" t="n"/>
    </row>
    <row r="877">
      <c r="C877" s="162" t="n"/>
    </row>
    <row r="878">
      <c r="C878" s="162" t="n"/>
    </row>
    <row r="879">
      <c r="C879" s="162" t="n"/>
    </row>
    <row r="880">
      <c r="C880" s="162" t="n"/>
    </row>
    <row r="881">
      <c r="C881" s="162" t="n"/>
    </row>
    <row r="882">
      <c r="C882" s="162" t="n"/>
    </row>
    <row r="883">
      <c r="C883" s="162" t="n"/>
    </row>
    <row r="884">
      <c r="C884" s="162" t="n"/>
    </row>
    <row r="885">
      <c r="C885" s="162" t="n"/>
    </row>
    <row r="886">
      <c r="C886" s="162" t="n"/>
    </row>
    <row r="887">
      <c r="C887" s="162" t="n"/>
    </row>
    <row r="888">
      <c r="C888" s="162" t="n"/>
    </row>
    <row r="889">
      <c r="C889" s="162" t="n"/>
    </row>
    <row r="890">
      <c r="C890" s="162" t="n"/>
    </row>
    <row r="891">
      <c r="C891" s="162" t="n"/>
    </row>
    <row r="892">
      <c r="C892" s="162" t="n"/>
    </row>
    <row r="893">
      <c r="C893" s="162" t="n"/>
    </row>
    <row r="894">
      <c r="C894" s="162" t="n"/>
    </row>
    <row r="895">
      <c r="C895" s="162" t="n"/>
    </row>
    <row r="896">
      <c r="C896" s="162" t="n"/>
    </row>
    <row r="897">
      <c r="C897" s="162" t="n"/>
    </row>
    <row r="898">
      <c r="C898" s="162" t="n"/>
    </row>
    <row r="899">
      <c r="C899" s="162" t="n"/>
    </row>
    <row r="900">
      <c r="C900" s="162" t="n"/>
    </row>
    <row r="901">
      <c r="C901" s="162" t="n"/>
    </row>
    <row r="902">
      <c r="C902" s="162" t="n"/>
    </row>
    <row r="903">
      <c r="C903" s="162" t="n"/>
    </row>
    <row r="904">
      <c r="C904" s="162" t="n"/>
    </row>
    <row r="905">
      <c r="C905" s="162" t="n"/>
    </row>
    <row r="906">
      <c r="C906" s="162" t="n"/>
    </row>
    <row r="907">
      <c r="C907" s="162" t="n"/>
    </row>
    <row r="908">
      <c r="C908" s="162" t="n"/>
    </row>
    <row r="909">
      <c r="C909" s="162" t="n"/>
    </row>
    <row r="910">
      <c r="C910" s="162" t="n"/>
    </row>
    <row r="911">
      <c r="C911" s="162" t="n"/>
    </row>
    <row r="912">
      <c r="C912" s="162" t="n"/>
    </row>
    <row r="913">
      <c r="C913" s="162" t="n"/>
    </row>
    <row r="914">
      <c r="C914" s="162" t="n"/>
    </row>
    <row r="915">
      <c r="C915" s="162" t="n"/>
    </row>
    <row r="916">
      <c r="C916" s="162" t="n"/>
    </row>
    <row r="917">
      <c r="C917" s="162" t="n"/>
    </row>
    <row r="918">
      <c r="C918" s="162" t="n"/>
    </row>
    <row r="919">
      <c r="C919" s="162" t="n"/>
    </row>
    <row r="920">
      <c r="C920" s="162" t="n"/>
    </row>
    <row r="921">
      <c r="C921" s="162" t="n"/>
    </row>
    <row r="922">
      <c r="C922" s="162" t="n"/>
    </row>
    <row r="923">
      <c r="C923" s="162" t="n"/>
    </row>
    <row r="924">
      <c r="C924" s="162" t="n"/>
    </row>
    <row r="925">
      <c r="C925" s="162" t="n"/>
    </row>
    <row r="926">
      <c r="C926" s="162" t="n"/>
    </row>
    <row r="927">
      <c r="C927" s="162" t="n"/>
    </row>
    <row r="928">
      <c r="C928" s="162" t="n"/>
    </row>
    <row r="929">
      <c r="C929" s="162" t="n"/>
    </row>
    <row r="930">
      <c r="C930" s="162" t="n"/>
    </row>
    <row r="931">
      <c r="C931" s="162" t="n"/>
    </row>
    <row r="932">
      <c r="C932" s="162" t="n"/>
    </row>
    <row r="933">
      <c r="C933" s="162" t="n"/>
    </row>
    <row r="934">
      <c r="C934" s="162" t="n"/>
    </row>
    <row r="935">
      <c r="C935" s="162" t="n"/>
    </row>
    <row r="936">
      <c r="C936" s="162" t="n"/>
    </row>
    <row r="937">
      <c r="C937" s="162" t="n"/>
    </row>
    <row r="938">
      <c r="C938" s="162" t="n"/>
    </row>
    <row r="939">
      <c r="C939" s="162" t="n"/>
    </row>
    <row r="940">
      <c r="C940" s="162" t="n"/>
    </row>
    <row r="941">
      <c r="C941" s="162" t="n"/>
    </row>
    <row r="942">
      <c r="C942" s="162" t="n"/>
    </row>
    <row r="943">
      <c r="C943" s="162" t="n"/>
    </row>
    <row r="944">
      <c r="C944" s="162" t="n"/>
    </row>
    <row r="945">
      <c r="C945" s="162" t="n"/>
    </row>
    <row r="946">
      <c r="C946" s="162" t="n"/>
    </row>
    <row r="947">
      <c r="C947" s="162" t="n"/>
    </row>
    <row r="948">
      <c r="C948" s="162" t="n"/>
    </row>
    <row r="949">
      <c r="C949" s="162" t="n"/>
    </row>
    <row r="950">
      <c r="C950" s="162" t="n"/>
    </row>
    <row r="951">
      <c r="C951" s="162" t="n"/>
    </row>
    <row r="952">
      <c r="C952" s="162" t="n"/>
    </row>
    <row r="953">
      <c r="C953" s="162" t="n"/>
    </row>
    <row r="954">
      <c r="C954" s="162" t="n"/>
    </row>
    <row r="955">
      <c r="C955" s="162" t="n"/>
    </row>
    <row r="956">
      <c r="C956" s="162" t="n"/>
    </row>
    <row r="957">
      <c r="C957" s="162" t="n"/>
    </row>
    <row r="958">
      <c r="C958" s="162" t="n"/>
    </row>
    <row r="959">
      <c r="C959" s="162" t="n"/>
    </row>
    <row r="960">
      <c r="C960" s="162" t="n"/>
    </row>
    <row r="961">
      <c r="C961" s="162" t="n"/>
    </row>
    <row r="962">
      <c r="C962" s="162" t="n"/>
    </row>
    <row r="963">
      <c r="C963" s="162" t="n"/>
    </row>
    <row r="964">
      <c r="C964" s="162" t="n"/>
    </row>
    <row r="965">
      <c r="C965" s="162" t="n"/>
    </row>
    <row r="966">
      <c r="C966" s="162" t="n"/>
    </row>
    <row r="967">
      <c r="C967" s="162" t="n"/>
    </row>
    <row r="968">
      <c r="C968" s="162" t="n"/>
    </row>
    <row r="969">
      <c r="C969" s="162" t="n"/>
    </row>
    <row r="970">
      <c r="C970" s="162" t="n"/>
    </row>
    <row r="971">
      <c r="C971" s="162" t="n"/>
    </row>
    <row r="972">
      <c r="C972" s="162" t="n"/>
    </row>
    <row r="973">
      <c r="C973" s="162" t="n"/>
    </row>
    <row r="974">
      <c r="C974" s="162" t="n"/>
    </row>
    <row r="975">
      <c r="C975" s="162" t="n"/>
    </row>
    <row r="976">
      <c r="C976" s="162" t="n"/>
    </row>
    <row r="977">
      <c r="C977" s="162" t="n"/>
    </row>
    <row r="978">
      <c r="C978" s="162" t="n"/>
    </row>
    <row r="979">
      <c r="C979" s="162" t="n"/>
    </row>
    <row r="980">
      <c r="C980" s="162" t="n"/>
    </row>
    <row r="981">
      <c r="C981" s="162" t="n"/>
    </row>
    <row r="982">
      <c r="C982" s="162" t="n"/>
    </row>
    <row r="983">
      <c r="C983" s="162" t="n"/>
    </row>
    <row r="984">
      <c r="C984" s="162" t="n"/>
    </row>
    <row r="985">
      <c r="C985" s="162" t="n"/>
    </row>
    <row r="986">
      <c r="C986" s="162" t="n"/>
    </row>
    <row r="987">
      <c r="C987" s="162" t="n"/>
    </row>
    <row r="988">
      <c r="C988" s="162" t="n"/>
    </row>
    <row r="989">
      <c r="C989" s="162" t="n"/>
    </row>
    <row r="990">
      <c r="C990" s="162" t="n"/>
    </row>
    <row r="991">
      <c r="C991" s="162" t="n"/>
    </row>
    <row r="992">
      <c r="C992" s="162" t="n"/>
    </row>
    <row r="993">
      <c r="C993" s="162" t="n"/>
    </row>
    <row r="994">
      <c r="C994" s="162" t="n"/>
    </row>
    <row r="995">
      <c r="C995" s="162" t="n"/>
    </row>
    <row r="996">
      <c r="C996" s="162" t="n"/>
    </row>
    <row r="997">
      <c r="C997" s="162" t="n"/>
    </row>
    <row r="998">
      <c r="C998" s="162" t="n"/>
    </row>
    <row r="999">
      <c r="C999" s="162" t="n"/>
    </row>
    <row r="1000">
      <c r="C1000" s="162"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cols>
    <col width="38" customWidth="1" min="1" max="1"/>
    <col width="20" customWidth="1" min="2" max="2"/>
    <col width="20" customWidth="1" min="3" max="3"/>
    <col width="58" customWidth="1" min="4" max="4"/>
  </cols>
  <sheetData>
    <row r="1" ht="32" customHeight="1">
      <c r="A1" t="inlineStr">
        <is>
          <t>Butterfly annual accounts</t>
        </is>
      </c>
    </row>
    <row r="2" ht="10" customHeight="1"/>
    <row r="3" ht="36" customHeight="1">
      <c r="A3" t="inlineStr">
        <is>
          <t>The Butterfly Movement Limited (TABOO Foundation). Unaudited FY26 statements with FY25 comparatives; declaration unsigned.</t>
        </is>
      </c>
    </row>
    <row r="4" ht="10" customHeight="1"/>
    <row r="5" ht="10" customHeight="1"/>
    <row r="6" ht="30" customHeight="1">
      <c r="A6" t="inlineStr">
        <is>
          <t>Income</t>
        </is>
      </c>
      <c r="B6" t="inlineStr">
        <is>
          <t>FY26 AUD</t>
        </is>
      </c>
      <c r="C6" t="inlineStr">
        <is>
          <t>FY25 AUD</t>
        </is>
      </c>
      <c r="D6" t="inlineStr">
        <is>
          <t>Source</t>
        </is>
      </c>
    </row>
    <row r="7" ht="23" customHeight="1">
      <c r="A7" t="inlineStr">
        <is>
          <t>Donations</t>
        </is>
      </c>
      <c r="B7" s="161" t="n">
        <v>17174</v>
      </c>
      <c r="C7" s="161" t="n">
        <v>63349</v>
      </c>
      <c r="D7" t="inlineStr">
        <is>
          <t>p4</t>
        </is>
      </c>
    </row>
    <row r="8" ht="23" customHeight="1">
      <c r="A8" t="inlineStr">
        <is>
          <t>Donated product income</t>
        </is>
      </c>
      <c r="B8" s="161" t="n">
        <v>0</v>
      </c>
      <c r="C8" s="161" t="n">
        <v>10066</v>
      </c>
      <c r="D8" t="inlineStr">
        <is>
          <t>p4</t>
        </is>
      </c>
    </row>
    <row r="9" ht="23" customHeight="1">
      <c r="A9" t="inlineStr">
        <is>
          <t>Other grants</t>
        </is>
      </c>
      <c r="B9" s="161" t="n">
        <v>3996</v>
      </c>
      <c r="C9" s="161" t="n">
        <v>1000</v>
      </c>
      <c r="D9" t="inlineStr">
        <is>
          <t>p4</t>
        </is>
      </c>
    </row>
    <row r="10" ht="23" customHeight="1">
      <c r="A10" t="inlineStr">
        <is>
          <t>State government grant</t>
        </is>
      </c>
      <c r="B10" s="161" t="n">
        <v>0</v>
      </c>
      <c r="C10" s="161" t="n">
        <v>5000</v>
      </c>
      <c r="D10" t="inlineStr">
        <is>
          <t>p4</t>
        </is>
      </c>
    </row>
    <row r="11" ht="23" customHeight="1">
      <c r="A11" t="inlineStr">
        <is>
          <t>THRFG grant</t>
        </is>
      </c>
      <c r="B11" s="161" t="n">
        <v>5000</v>
      </c>
      <c r="C11" s="161" t="n">
        <v>45000</v>
      </c>
      <c r="D11" t="inlineStr">
        <is>
          <t>p4</t>
        </is>
      </c>
    </row>
    <row r="12" ht="23" customHeight="1">
      <c r="A12" t="inlineStr">
        <is>
          <t>QBE grant</t>
        </is>
      </c>
      <c r="B12" s="161" t="n">
        <v>50000</v>
      </c>
      <c r="C12" s="161" t="n">
        <v>0</v>
      </c>
      <c r="D12" t="inlineStr">
        <is>
          <t>p4; entity income, not yet attributed to Goods</t>
        </is>
      </c>
    </row>
    <row r="13" ht="23" customHeight="1">
      <c r="A13" t="inlineStr">
        <is>
          <t>Interest</t>
        </is>
      </c>
      <c r="B13" s="161" t="n">
        <v>90</v>
      </c>
      <c r="C13" s="161" t="n">
        <v>668</v>
      </c>
      <c r="D13" t="inlineStr">
        <is>
          <t>p4</t>
        </is>
      </c>
    </row>
    <row r="14" ht="23" customHeight="1">
      <c r="A14" t="inlineStr">
        <is>
          <t>Presentations</t>
        </is>
      </c>
      <c r="B14" s="161" t="n">
        <v>440</v>
      </c>
      <c r="C14" s="161" t="n">
        <v>455</v>
      </c>
      <c r="D14" t="inlineStr">
        <is>
          <t>p4</t>
        </is>
      </c>
    </row>
    <row r="15" ht="23" customHeight="1">
      <c r="A15" t="inlineStr">
        <is>
          <t>Other revenue</t>
        </is>
      </c>
      <c r="B15" s="161" t="n">
        <v>380</v>
      </c>
      <c r="C15" s="161" t="n">
        <v>0</v>
      </c>
      <c r="D15" t="inlineStr">
        <is>
          <t>p4</t>
        </is>
      </c>
    </row>
    <row r="16" ht="23" customHeight="1">
      <c r="A16" t="inlineStr">
        <is>
          <t>Total income</t>
        </is>
      </c>
      <c r="B16" s="161">
        <f>SUM(B7:B15)</f>
        <v/>
      </c>
      <c r="C16" s="161">
        <f>SUM(C7:C15)</f>
        <v/>
      </c>
    </row>
    <row r="17" ht="10" customHeight="1">
      <c r="B17" s="161" t="n"/>
      <c r="C17" s="161" t="n"/>
    </row>
    <row r="18" ht="10" customHeight="1">
      <c r="B18" s="161" t="n"/>
      <c r="C18" s="161" t="n"/>
    </row>
    <row r="19" ht="30" customHeight="1">
      <c r="A19" t="inlineStr">
        <is>
          <t>Expenses</t>
        </is>
      </c>
      <c r="B19" s="161" t="inlineStr">
        <is>
          <t>FY26 AUD</t>
        </is>
      </c>
      <c r="C19" s="161" t="inlineStr">
        <is>
          <t>FY25 AUD</t>
        </is>
      </c>
      <c r="D19" t="inlineStr">
        <is>
          <t>Source</t>
        </is>
      </c>
    </row>
    <row r="20" ht="23" customHeight="1">
      <c r="A20" t="inlineStr">
        <is>
          <t>Opening stock</t>
        </is>
      </c>
      <c r="B20" s="161" t="n">
        <v>525</v>
      </c>
      <c r="C20" s="161" t="n">
        <v>0</v>
      </c>
      <c r="D20" t="inlineStr">
        <is>
          <t>pp4–5; rounded whole-dollar statement values</t>
        </is>
      </c>
    </row>
    <row r="21" ht="23" customHeight="1">
      <c r="A21" t="inlineStr">
        <is>
          <t>Donated products</t>
        </is>
      </c>
      <c r="B21" s="161" t="n">
        <v>0</v>
      </c>
      <c r="C21" s="161" t="n">
        <v>10066</v>
      </c>
      <c r="D21" t="inlineStr">
        <is>
          <t>pp4–5; rounded whole-dollar statement values</t>
        </is>
      </c>
    </row>
    <row r="22" ht="23" customHeight="1">
      <c r="A22" t="inlineStr">
        <is>
          <t>Closing stock</t>
        </is>
      </c>
      <c r="B22" s="161" t="n">
        <v>0</v>
      </c>
      <c r="C22" s="161" t="n">
        <v>-525</v>
      </c>
      <c r="D22" t="inlineStr">
        <is>
          <t>pp4–5; rounded whole-dollar statement values</t>
        </is>
      </c>
    </row>
    <row r="23" ht="23" customHeight="1">
      <c r="A23" t="inlineStr">
        <is>
          <t>Period products</t>
        </is>
      </c>
      <c r="B23" s="161" t="n">
        <v>12804</v>
      </c>
      <c r="C23" s="161" t="n">
        <v>0</v>
      </c>
      <c r="D23" t="inlineStr">
        <is>
          <t>pp4–5; rounded whole-dollar statement values</t>
        </is>
      </c>
    </row>
    <row r="24" ht="23" customHeight="1">
      <c r="A24" t="inlineStr">
        <is>
          <t>Project Goods</t>
        </is>
      </c>
      <c r="B24" s="161" t="n">
        <v>3449</v>
      </c>
      <c r="C24" s="161" t="n">
        <v>0</v>
      </c>
      <c r="D24" t="inlineStr">
        <is>
          <t>pp4–5; rounded whole-dollar statement values</t>
        </is>
      </c>
    </row>
    <row r="25" ht="23" customHeight="1">
      <c r="A25" t="inlineStr">
        <is>
          <t>Accountancy</t>
        </is>
      </c>
      <c r="B25" s="161" t="n">
        <v>2200</v>
      </c>
      <c r="C25" s="161" t="n">
        <v>2188</v>
      </c>
      <c r="D25" t="inlineStr">
        <is>
          <t>pp4–5; rounded whole-dollar statement values</t>
        </is>
      </c>
    </row>
    <row r="26" ht="23" customHeight="1">
      <c r="A26" t="inlineStr">
        <is>
          <t>Audit fee</t>
        </is>
      </c>
      <c r="B26" s="161" t="n">
        <v>1474</v>
      </c>
      <c r="C26" s="161" t="n">
        <v>1298</v>
      </c>
      <c r="D26" t="inlineStr">
        <is>
          <t>pp4–5; rounded whole-dollar statement values</t>
        </is>
      </c>
    </row>
    <row r="27" ht="23" customHeight="1">
      <c r="A27" t="inlineStr">
        <is>
          <t>Bank charges</t>
        </is>
      </c>
      <c r="B27" s="161" t="n">
        <v>54</v>
      </c>
      <c r="C27" s="161" t="n">
        <v>42</v>
      </c>
      <c r="D27" t="inlineStr">
        <is>
          <t>pp4–5; rounded whole-dollar statement values</t>
        </is>
      </c>
    </row>
    <row r="28" ht="23" customHeight="1">
      <c r="A28" t="inlineStr">
        <is>
          <t>Bad debts</t>
        </is>
      </c>
      <c r="B28" s="161" t="n">
        <v>1500</v>
      </c>
      <c r="C28" s="161" t="n">
        <v>0</v>
      </c>
      <c r="D28" t="inlineStr">
        <is>
          <t>pp4–5; rounded whole-dollar statement values</t>
        </is>
      </c>
    </row>
    <row r="29" ht="23" customHeight="1">
      <c r="A29" t="inlineStr">
        <is>
          <t>Consultancy</t>
        </is>
      </c>
      <c r="B29" s="161" t="n">
        <v>5243</v>
      </c>
      <c r="C29" s="161" t="n">
        <v>1200</v>
      </c>
      <c r="D29" t="inlineStr">
        <is>
          <t>pp4–5; rounded whole-dollar statement values</t>
        </is>
      </c>
    </row>
    <row r="30" ht="23" customHeight="1">
      <c r="A30" t="inlineStr">
        <is>
          <t>Contract work</t>
        </is>
      </c>
      <c r="B30" s="161" t="n">
        <v>12940</v>
      </c>
      <c r="C30" s="161" t="n">
        <v>24500</v>
      </c>
      <c r="D30" t="inlineStr">
        <is>
          <t>pp4–5; rounded whole-dollar statement values</t>
        </is>
      </c>
    </row>
    <row r="31" ht="23" customHeight="1">
      <c r="A31" t="inlineStr">
        <is>
          <t>Employee expenses</t>
        </is>
      </c>
      <c r="B31" s="161" t="n">
        <v>122</v>
      </c>
      <c r="C31" s="161" t="n">
        <v>117</v>
      </c>
      <c r="D31" t="inlineStr">
        <is>
          <t>pp4–5; rounded whole-dollar statement values</t>
        </is>
      </c>
    </row>
    <row r="32" ht="23" customHeight="1">
      <c r="A32" t="inlineStr">
        <is>
          <t>Filing fees</t>
        </is>
      </c>
      <c r="B32" s="161" t="n">
        <v>0</v>
      </c>
      <c r="C32" s="161" t="n">
        <v>102</v>
      </c>
      <c r="D32" t="inlineStr">
        <is>
          <t>pp4–5; rounded whole-dollar statement values</t>
        </is>
      </c>
    </row>
    <row r="33" ht="23" customHeight="1">
      <c r="A33" t="inlineStr">
        <is>
          <t>Fundraising event</t>
        </is>
      </c>
      <c r="B33" s="161" t="n">
        <v>0</v>
      </c>
      <c r="C33" s="161" t="n">
        <v>5391</v>
      </c>
      <c r="D33" t="inlineStr">
        <is>
          <t>pp4–5; rounded whole-dollar statement values</t>
        </is>
      </c>
    </row>
    <row r="34" ht="23" customHeight="1">
      <c r="A34" t="inlineStr">
        <is>
          <t>Insurance</t>
        </is>
      </c>
      <c r="B34" s="161" t="n">
        <v>2324</v>
      </c>
      <c r="C34" s="161" t="n">
        <v>2405</v>
      </c>
      <c r="D34" t="inlineStr">
        <is>
          <t>pp4–5; rounded whole-dollar statement values</t>
        </is>
      </c>
    </row>
    <row r="35" ht="23" customHeight="1">
      <c r="A35" t="inlineStr">
        <is>
          <t>Office</t>
        </is>
      </c>
      <c r="B35" s="161" t="n">
        <v>0</v>
      </c>
      <c r="C35" s="161" t="n">
        <v>203</v>
      </c>
      <c r="D35" t="inlineStr">
        <is>
          <t>pp4–5; rounded whole-dollar statement values</t>
        </is>
      </c>
    </row>
    <row r="36" ht="23" customHeight="1">
      <c r="A36" t="inlineStr">
        <is>
          <t>Printing</t>
        </is>
      </c>
      <c r="B36" s="161" t="n">
        <v>0</v>
      </c>
      <c r="C36" s="161" t="n">
        <v>672</v>
      </c>
      <c r="D36" t="inlineStr">
        <is>
          <t>pp4–5; rounded whole-dollar statement values</t>
        </is>
      </c>
    </row>
    <row r="37" ht="23" customHeight="1">
      <c r="A37" t="inlineStr">
        <is>
          <t>Subscriptions</t>
        </is>
      </c>
      <c r="B37" s="161" t="n">
        <v>1050</v>
      </c>
      <c r="C37" s="161" t="n">
        <v>906</v>
      </c>
      <c r="D37" t="inlineStr">
        <is>
          <t>pp4–5; rounded whole-dollar statement values</t>
        </is>
      </c>
    </row>
    <row r="38" ht="23" customHeight="1">
      <c r="A38" t="inlineStr">
        <is>
          <t>Superannuation</t>
        </is>
      </c>
      <c r="B38" s="161" t="n">
        <v>4754</v>
      </c>
      <c r="C38" s="161" t="n">
        <v>7363</v>
      </c>
      <c r="D38" t="inlineStr">
        <is>
          <t>pp4–5; rounded whole-dollar statement values</t>
        </is>
      </c>
    </row>
    <row r="39" ht="23" customHeight="1">
      <c r="A39" t="inlineStr">
        <is>
          <t>Telephone</t>
        </is>
      </c>
      <c r="B39" s="161" t="n">
        <v>35</v>
      </c>
      <c r="C39" s="161" t="n">
        <v>0</v>
      </c>
      <c r="D39" t="inlineStr">
        <is>
          <t>pp4–5; rounded whole-dollar statement values</t>
        </is>
      </c>
    </row>
    <row r="40" ht="23" customHeight="1">
      <c r="A40" t="inlineStr">
        <is>
          <t>Travel</t>
        </is>
      </c>
      <c r="B40" s="161" t="n">
        <v>9049</v>
      </c>
      <c r="C40" s="161" t="n">
        <v>1757</v>
      </c>
      <c r="D40" t="inlineStr">
        <is>
          <t>pp4–5; rounded whole-dollar statement values</t>
        </is>
      </c>
    </row>
    <row r="41" ht="23" customHeight="1">
      <c r="A41" t="inlineStr">
        <is>
          <t>Wages</t>
        </is>
      </c>
      <c r="B41" s="161" t="n">
        <v>62068</v>
      </c>
      <c r="C41" s="161" t="n">
        <v>64027</v>
      </c>
      <c r="D41" t="inlineStr">
        <is>
          <t>pp4–5; rounded whole-dollar statement values</t>
        </is>
      </c>
    </row>
    <row r="42" ht="23" customHeight="1">
      <c r="A42" t="inlineStr">
        <is>
          <t>Website</t>
        </is>
      </c>
      <c r="B42" s="161" t="n">
        <v>342</v>
      </c>
      <c r="C42" s="161" t="n">
        <v>0</v>
      </c>
      <c r="D42" t="inlineStr">
        <is>
          <t>pp4–5; rounded whole-dollar statement values</t>
        </is>
      </c>
    </row>
    <row r="43" ht="23" customHeight="1">
      <c r="A43" t="inlineStr">
        <is>
          <t>Line-item expense sum</t>
        </is>
      </c>
      <c r="B43" s="161">
        <f>SUM(B20:B42)</f>
        <v/>
      </c>
      <c r="C43" s="161">
        <f>SUM(C20:C42)</f>
        <v/>
      </c>
    </row>
    <row r="44" ht="36" customHeight="1">
      <c r="A44" t="inlineStr">
        <is>
          <t>Reported total expenses</t>
        </is>
      </c>
      <c r="B44" s="161" t="n">
        <v>119934</v>
      </c>
      <c r="C44" s="161" t="n">
        <v>121712</v>
      </c>
      <c r="D44" t="inlineStr">
        <is>
          <t>Use reported statement total; rounded line values may differ.</t>
        </is>
      </c>
    </row>
    <row r="45" ht="23" customHeight="1">
      <c r="A45" t="inlineStr">
        <is>
          <t>Reported loss / surplus</t>
        </is>
      </c>
      <c r="B45" s="161" t="n">
        <v>-42854</v>
      </c>
      <c r="C45" s="161" t="n">
        <v>3826</v>
      </c>
      <c r="D45" t="inlineStr">
        <is>
          <t>p5; no Goods-only surplus inferred.</t>
        </is>
      </c>
    </row>
    <row r="46" ht="23" customHeight="1">
      <c r="A46" t="inlineStr">
        <is>
          <t>Expense rounding difference</t>
        </is>
      </c>
      <c r="B46" s="161">
        <f>B43-B44</f>
        <v/>
      </c>
      <c r="C46" s="161">
        <f>C43-C44</f>
        <v/>
      </c>
    </row>
    <row r="47" ht="10" customHeight="1">
      <c r="B47" s="161" t="n"/>
      <c r="C47" s="161" t="n"/>
    </row>
    <row r="48" ht="10" customHeight="1">
      <c r="B48" s="161" t="n"/>
      <c r="C48" s="161" t="n"/>
    </row>
    <row r="49" ht="30" customHeight="1">
      <c r="A49" t="inlineStr">
        <is>
          <t>Cash flow / balance</t>
        </is>
      </c>
      <c r="B49" s="161" t="inlineStr">
        <is>
          <t>FY26 AUD</t>
        </is>
      </c>
      <c r="C49" s="161" t="inlineStr">
        <is>
          <t>FY25 AUD</t>
        </is>
      </c>
      <c r="D49" t="inlineStr">
        <is>
          <t>Source</t>
        </is>
      </c>
    </row>
    <row r="50" ht="23" customHeight="1">
      <c r="A50" t="inlineStr">
        <is>
          <t>Opening cash</t>
        </is>
      </c>
      <c r="B50" s="161" t="n">
        <v>46639</v>
      </c>
      <c r="C50" s="161" t="n">
        <v>46218</v>
      </c>
      <c r="D50" t="inlineStr">
        <is>
          <t>p8</t>
        </is>
      </c>
    </row>
    <row r="51" ht="23" customHeight="1">
      <c r="A51" t="inlineStr">
        <is>
          <t>Receipts from donations</t>
        </is>
      </c>
      <c r="B51" s="161" t="n">
        <v>80944</v>
      </c>
      <c r="C51" s="161" t="n">
        <v>111930</v>
      </c>
      <c r="D51" t="inlineStr">
        <is>
          <t>p8; statement label, includes cash-basis timing</t>
        </is>
      </c>
    </row>
    <row r="52" ht="23" customHeight="1">
      <c r="A52" t="inlineStr">
        <is>
          <t>Interest received</t>
        </is>
      </c>
      <c r="B52" s="161" t="n">
        <v>90</v>
      </c>
      <c r="C52" s="161" t="n">
        <v>668</v>
      </c>
      <c r="D52" t="inlineStr">
        <is>
          <t>p8</t>
        </is>
      </c>
    </row>
    <row r="53" ht="23" customHeight="1">
      <c r="A53" t="inlineStr">
        <is>
          <t>Operating payments</t>
        </is>
      </c>
      <c r="B53" s="161" t="n">
        <v>-123632</v>
      </c>
      <c r="C53" s="161" t="n">
        <v>-112178</v>
      </c>
      <c r="D53" t="inlineStr">
        <is>
          <t>p8</t>
        </is>
      </c>
    </row>
    <row r="54" ht="23" customHeight="1">
      <c r="A54" t="inlineStr">
        <is>
          <t>Closing cash</t>
        </is>
      </c>
      <c r="B54" s="161" t="n">
        <v>4041</v>
      </c>
      <c r="C54" s="161" t="n">
        <v>46639</v>
      </c>
      <c r="D54" t="inlineStr">
        <is>
          <t>p8</t>
        </is>
      </c>
    </row>
    <row r="55" ht="23" customHeight="1">
      <c r="A55" t="inlineStr">
        <is>
          <t>Reported total assets</t>
        </is>
      </c>
      <c r="B55" s="161" t="n">
        <v>10646</v>
      </c>
      <c r="C55" s="161" t="n">
        <v>58928</v>
      </c>
      <c r="D55" t="inlineStr">
        <is>
          <t>p6</t>
        </is>
      </c>
    </row>
    <row r="56" ht="23" customHeight="1">
      <c r="A56" t="inlineStr">
        <is>
          <t>Reported total liabilities</t>
        </is>
      </c>
      <c r="B56" s="161" t="n">
        <v>2238</v>
      </c>
      <c r="C56" s="161" t="n">
        <v>7666</v>
      </c>
      <c r="D56" t="inlineStr">
        <is>
          <t>p6</t>
        </is>
      </c>
    </row>
    <row r="57" ht="23" customHeight="1">
      <c r="A57" t="inlineStr">
        <is>
          <t>Reported net assets</t>
        </is>
      </c>
      <c r="B57" s="161" t="n">
        <v>8407</v>
      </c>
      <c r="C57" s="161" t="n">
        <v>51262</v>
      </c>
      <c r="D57" t="inlineStr">
        <is>
          <t>p6</t>
        </is>
      </c>
    </row>
    <row r="58" ht="23" customHeight="1">
      <c r="A58" t="inlineStr">
        <is>
          <t>Hunter Premium Funding liability</t>
        </is>
      </c>
      <c r="B58" s="161" t="n">
        <v>1745</v>
      </c>
      <c r="C58" s="161" t="n">
        <v>1644</v>
      </c>
      <c r="D58" t="inlineStr">
        <is>
          <t>p6; included in liabilities above</t>
        </is>
      </c>
    </row>
    <row r="59" ht="10" customHeight="1">
      <c r="B59" s="161" t="n"/>
      <c r="C59" s="161" t="n"/>
    </row>
    <row r="60" ht="23" customHeight="1">
      <c r="A60" t="inlineStr">
        <is>
          <t>Cash roll-forward difference</t>
        </is>
      </c>
      <c r="B60" s="161">
        <f>SUM(B50:B53)-B54</f>
        <v/>
      </c>
      <c r="C60" s="161">
        <f>SUM(C50:C53)-C54</f>
        <v/>
      </c>
    </row>
    <row r="61" ht="23" customHeight="1">
      <c r="B61" s="161" t="n"/>
      <c r="C61" s="161" t="n"/>
    </row>
    <row r="62" ht="23" customHeight="1">
      <c r="B62" s="161" t="n"/>
      <c r="C62" s="161" t="n"/>
    </row>
    <row r="63" ht="23" customHeight="1">
      <c r="B63" s="161" t="n"/>
      <c r="C63" s="161" t="n"/>
    </row>
    <row r="64" ht="23" customHeight="1">
      <c r="B64" s="161" t="n"/>
      <c r="C64" s="161" t="n"/>
    </row>
    <row r="65" ht="23" customHeight="1">
      <c r="B65" s="161" t="n"/>
      <c r="C65" s="161" t="n"/>
    </row>
    <row r="66">
      <c r="B66" s="161" t="n"/>
      <c r="C66" s="161" t="n"/>
    </row>
    <row r="67">
      <c r="B67" s="161" t="n"/>
      <c r="C67" s="161" t="n"/>
    </row>
    <row r="68">
      <c r="B68" s="161" t="n"/>
      <c r="C68" s="161" t="n"/>
    </row>
    <row r="69">
      <c r="B69" s="161" t="n"/>
      <c r="C69" s="161" t="n"/>
    </row>
    <row r="70">
      <c r="B70" s="161" t="n"/>
      <c r="C70" s="161" t="n"/>
    </row>
    <row r="71">
      <c r="B71" s="161" t="n"/>
      <c r="C71" s="161" t="n"/>
    </row>
    <row r="72">
      <c r="B72" s="161" t="n"/>
      <c r="C72" s="161" t="n"/>
    </row>
    <row r="73">
      <c r="B73" s="161" t="n"/>
      <c r="C73" s="161" t="n"/>
    </row>
    <row r="74">
      <c r="B74" s="161" t="n"/>
      <c r="C74" s="161" t="n"/>
    </row>
    <row r="75">
      <c r="B75" s="161" t="n"/>
      <c r="C75" s="161" t="n"/>
    </row>
    <row r="76">
      <c r="B76" s="161" t="n"/>
      <c r="C76" s="161" t="n"/>
    </row>
    <row r="77">
      <c r="B77" s="161" t="n"/>
      <c r="C77" s="161" t="n"/>
    </row>
    <row r="78">
      <c r="B78" s="161" t="n"/>
      <c r="C78" s="161" t="n"/>
    </row>
    <row r="79">
      <c r="B79" s="161" t="n"/>
      <c r="C79" s="161" t="n"/>
    </row>
    <row r="80">
      <c r="B80" s="161" t="n"/>
      <c r="C80" s="161" t="n"/>
    </row>
    <row r="81">
      <c r="B81" s="161" t="n"/>
      <c r="C81" s="161" t="n"/>
    </row>
    <row r="82">
      <c r="B82" s="161" t="n"/>
      <c r="C82" s="161" t="n"/>
    </row>
    <row r="83">
      <c r="B83" s="161" t="n"/>
      <c r="C83" s="161" t="n"/>
    </row>
    <row r="84">
      <c r="B84" s="161" t="n"/>
      <c r="C84" s="161" t="n"/>
    </row>
    <row r="85">
      <c r="B85" s="161" t="n"/>
      <c r="C85" s="161" t="n"/>
    </row>
    <row r="86">
      <c r="B86" s="161" t="n"/>
      <c r="C86" s="161" t="n"/>
    </row>
    <row r="87">
      <c r="B87" s="161" t="n"/>
      <c r="C87" s="161" t="n"/>
    </row>
    <row r="88">
      <c r="B88" s="161" t="n"/>
      <c r="C88" s="161" t="n"/>
    </row>
    <row r="89">
      <c r="B89" s="161" t="n"/>
      <c r="C89" s="161" t="n"/>
    </row>
    <row r="90">
      <c r="B90" s="161" t="n"/>
      <c r="C90" s="161" t="n"/>
    </row>
    <row r="91">
      <c r="B91" s="161" t="n"/>
      <c r="C91" s="161" t="n"/>
    </row>
    <row r="92">
      <c r="B92" s="161" t="n"/>
      <c r="C92" s="161" t="n"/>
    </row>
    <row r="93">
      <c r="B93" s="161" t="n"/>
      <c r="C93" s="161" t="n"/>
    </row>
    <row r="94">
      <c r="B94" s="161" t="n"/>
      <c r="C94" s="161" t="n"/>
    </row>
    <row r="95">
      <c r="B95" s="161" t="n"/>
      <c r="C95" s="161" t="n"/>
    </row>
    <row r="96">
      <c r="B96" s="161" t="n"/>
      <c r="C96" s="161" t="n"/>
    </row>
    <row r="97">
      <c r="B97" s="161" t="n"/>
      <c r="C97" s="161" t="n"/>
    </row>
    <row r="98">
      <c r="B98" s="161" t="n"/>
      <c r="C98" s="161" t="n"/>
    </row>
    <row r="99">
      <c r="B99" s="161" t="n"/>
      <c r="C99" s="161" t="n"/>
    </row>
    <row r="100">
      <c r="B100" s="161" t="n"/>
      <c r="C100" s="161"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J60"/>
  <sheetViews>
    <sheetView showGridLines="0" workbookViewId="0">
      <pane ySplit="5" topLeftCell="A6" activePane="bottomLeft" state="frozen"/>
      <selection activeCell="A1" sqref="A1"/>
    </sheetView>
  </sheetViews>
  <sheetFormatPr baseColWidth="8" defaultRowHeight="15"/>
  <cols>
    <col width="24" customWidth="1" min="1" max="1"/>
    <col width="29" customWidth="1" min="2" max="2"/>
    <col width="18" customWidth="1" min="3" max="3"/>
    <col width="18" customWidth="1" min="4" max="4"/>
    <col width="18" customWidth="1" min="5" max="5"/>
    <col width="18" customWidth="1" min="6" max="6"/>
    <col width="18" customWidth="1" min="7" max="7"/>
    <col width="18" customWidth="1" min="8" max="8"/>
    <col width="40" customWidth="1" min="9" max="9"/>
    <col width="40" customWidth="1" min="10" max="10"/>
  </cols>
  <sheetData>
    <row r="1" ht="40" customHeight="1">
      <c r="A1" s="70" t="inlineStr">
        <is>
          <t>Goods and community responsibilities</t>
        </is>
      </c>
    </row>
    <row r="2" ht="32" customHeight="1">
      <c r="A2" s="109" t="n"/>
      <c r="B2" s="109" t="n"/>
      <c r="C2" s="109" t="n"/>
      <c r="D2" s="109" t="n"/>
      <c r="E2" s="109" t="n"/>
      <c r="F2" s="109" t="n"/>
      <c r="G2" s="109" t="n"/>
      <c r="H2" s="109" t="n"/>
      <c r="I2" s="109" t="n"/>
      <c r="J2" s="109" t="n"/>
    </row>
    <row r="3" ht="60" customHeight="1">
      <c r="A3" s="109" t="inlineStr">
        <is>
          <t>Goods funds initial trading stock, delivery and agreed initial programme support, plus separate community production capital. Community organisations retain their sales proceeds and control local decisions. Ongoing local operations require separate funding. AUD.</t>
        </is>
      </c>
    </row>
    <row r="4" ht="32" customHeight="1">
      <c r="A4" s="109" t="n"/>
      <c r="B4" s="109" t="n"/>
      <c r="C4" s="109" t="n"/>
      <c r="D4" s="109" t="n"/>
      <c r="E4" s="109" t="n"/>
      <c r="F4" s="109" t="n"/>
      <c r="G4" s="109" t="n"/>
      <c r="H4" s="109" t="n"/>
      <c r="I4" s="109" t="n"/>
      <c r="J4" s="109" t="n"/>
    </row>
    <row r="5" ht="58" customHeight="1">
      <c r="A5" s="72" t="inlineStr">
        <is>
          <t>Site</t>
        </is>
      </c>
      <c r="B5" s="72" t="inlineStr">
        <is>
          <t>Operating responsibility</t>
        </is>
      </c>
      <c r="C5" s="72" t="inlineStr">
        <is>
          <t>Goods share: making</t>
        </is>
      </c>
      <c r="D5" s="72" t="inlineStr">
        <is>
          <t>Goods share: freight</t>
        </is>
      </c>
      <c r="E5" s="72" t="inlineStr">
        <is>
          <t>Goods share: fixed costs</t>
        </is>
      </c>
      <c r="F5" s="72" t="inlineStr">
        <is>
          <t>Goods share: youth</t>
        </is>
      </c>
      <c r="G5" s="72" t="inlineStr">
        <is>
          <t>Goods share: capital</t>
        </is>
      </c>
      <c r="H5" s="72" t="inlineStr">
        <is>
          <t>Partner funding verified?</t>
        </is>
      </c>
      <c r="I5" s="72" t="inlineStr">
        <is>
          <t>Basis</t>
        </is>
      </c>
      <c r="J5" s="72" t="inlineStr">
        <is>
          <t>Boundary</t>
        </is>
      </c>
    </row>
    <row r="6" ht="135" customHeight="1">
      <c r="A6" s="109" t="inlineStr">
        <is>
          <t>WITTA</t>
        </is>
      </c>
      <c r="B6" s="109" t="inlineStr">
        <is>
          <t>Goods existing operations</t>
        </is>
      </c>
      <c r="C6" s="163" t="n">
        <v>1</v>
      </c>
      <c r="D6" s="163" t="n">
        <v>1</v>
      </c>
      <c r="E6" s="163" t="n">
        <v>1</v>
      </c>
      <c r="F6" s="163" t="n">
        <v>1</v>
      </c>
      <c r="G6" s="163" t="n">
        <v>1</v>
      </c>
      <c r="H6" s="109" t="inlineStr">
        <is>
          <t>Not assessed</t>
        </is>
      </c>
      <c r="I6" s="109" t="inlineStr">
        <is>
          <t>Current production facility at The Harvest; initial community trading stock is made here.</t>
        </is>
      </c>
      <c r="J6" s="109" t="inlineStr">
        <is>
          <t>Initial community programmes and enterprise support are priced separately in row 35. Avoid overlap with existing staffing and programme counts.</t>
        </is>
      </c>
    </row>
    <row r="7" ht="135" customHeight="1">
      <c r="A7" s="109" t="inlineStr">
        <is>
          <t>NEW1</t>
        </is>
      </c>
      <c r="B7" s="109" t="inlineStr">
        <is>
          <t>Community organisation</t>
        </is>
      </c>
      <c r="C7" s="163" t="n">
        <v>0</v>
      </c>
      <c r="D7" s="163" t="n">
        <v>0</v>
      </c>
      <c r="E7" s="163" t="n">
        <v>0</v>
      </c>
      <c r="F7" s="163" t="n">
        <v>0</v>
      </c>
      <c r="G7" s="163" t="n">
        <v>1</v>
      </c>
      <c r="H7" s="109" t="inlineStr">
        <is>
          <t>No</t>
        </is>
      </c>
      <c r="I7" s="109" t="inlineStr">
        <is>
          <t>Palm Island, working choice 9 Sep 2026 (may change). QBE-funded plant. Site, quote, asset title and local operating funds to name. Alternatives in the mix: Mount Isa, Tennant Creek, Ceduna.</t>
        </is>
      </c>
      <c r="J7" s="109" t="inlineStr">
        <is>
          <t>Initial stock is funded and made at the current facility. Recurring local production is separate. Related party note: Kristy Bloomfield directs both Oonchiumpa and Butterfly; disclose the Alice Springs arrangement on QBE Q2, Q8 and Q14.</t>
        </is>
      </c>
    </row>
    <row r="8" ht="135" customHeight="1">
      <c r="A8" s="109" t="inlineStr">
        <is>
          <t>NEW2</t>
        </is>
      </c>
      <c r="B8" s="109" t="inlineStr">
        <is>
          <t>Community organisation</t>
        </is>
      </c>
      <c r="C8" s="163" t="n">
        <v>0</v>
      </c>
      <c r="D8" s="163" t="n">
        <v>0</v>
      </c>
      <c r="E8" s="163" t="n">
        <v>0</v>
      </c>
      <c r="F8" s="163" t="n">
        <v>0</v>
      </c>
      <c r="G8" s="163" t="n">
        <v>1</v>
      </c>
      <c r="H8" s="109" t="inlineStr">
        <is>
          <t>No</t>
        </is>
      </c>
      <c r="I8" s="109" t="inlineStr">
        <is>
          <t>Maningrida, working choice 9 Sep 2026 (may change). QBE-funded plant. Site, quote, asset title and local operating funds to name. Alternatives in the mix: Mount Isa, Tennant Creek, Ceduna.</t>
        </is>
      </c>
      <c r="J8" s="109" t="inlineStr">
        <is>
          <t>Asset title and time-limited establishment support require agreement.</t>
        </is>
      </c>
    </row>
    <row r="9" ht="32" customHeight="1">
      <c r="A9" s="109" t="n"/>
      <c r="B9" s="109" t="n"/>
      <c r="C9" s="109" t="n"/>
      <c r="D9" s="109" t="n"/>
      <c r="E9" s="109" t="n"/>
      <c r="F9" s="109" t="n"/>
      <c r="G9" s="109" t="n"/>
      <c r="H9" s="109" t="n"/>
      <c r="I9" s="109" t="n"/>
      <c r="J9" s="109" t="n"/>
    </row>
    <row r="10" ht="32" customHeight="1">
      <c r="A10" s="109" t="n"/>
      <c r="B10" s="109" t="n"/>
      <c r="C10" s="109" t="n"/>
      <c r="D10" s="109" t="n"/>
      <c r="E10" s="109" t="n"/>
      <c r="F10" s="109" t="n"/>
      <c r="G10" s="109" t="n"/>
      <c r="H10" s="109" t="n"/>
      <c r="I10" s="109" t="n"/>
      <c r="J10" s="109" t="n"/>
    </row>
    <row r="11" ht="58" customHeight="1">
      <c r="A11" s="72" t="inlineStr">
        <is>
          <t>Extra cost ID</t>
        </is>
      </c>
      <c r="B11" s="72" t="inlineStr">
        <is>
          <t>Responsibility</t>
        </is>
      </c>
      <c r="C11" s="72" t="inlineStr">
        <is>
          <t>Goods share</t>
        </is>
      </c>
      <c r="D11" s="72" t="inlineStr">
        <is>
          <t>Basis</t>
        </is>
      </c>
      <c r="E11" s="109" t="n"/>
      <c r="F11" s="109" t="n"/>
      <c r="G11" s="109" t="n"/>
      <c r="H11" s="109" t="n"/>
      <c r="I11" s="109" t="n"/>
      <c r="J11" s="109" t="n"/>
    </row>
    <row r="12" ht="56" customHeight="1">
      <c r="A12" s="109" t="inlineStr">
        <is>
          <t>X01</t>
        </is>
      </c>
      <c r="B12" s="109" t="inlineStr">
        <is>
          <t>Community support</t>
        </is>
      </c>
      <c r="C12" s="164" t="n">
        <v>0</v>
      </c>
      <c r="D12" s="109" t="inlineStr">
        <is>
          <t>Employment brokerage and wages are local operations.</t>
        </is>
      </c>
    </row>
    <row r="13" ht="56" customHeight="1">
      <c r="A13" s="109" t="inlineStr">
        <is>
          <t>X02</t>
        </is>
      </c>
      <c r="B13" s="109" t="inlineStr">
        <is>
          <t>Community administration</t>
        </is>
      </c>
      <c r="C13" s="164" t="n">
        <v>0</v>
      </c>
      <c r="D13" s="109" t="inlineStr">
        <is>
          <t>Community operating plan.</t>
        </is>
      </c>
    </row>
    <row r="14" ht="56" customHeight="1">
      <c r="A14" s="109" t="inlineStr">
        <is>
          <t>X03</t>
        </is>
      </c>
      <c r="B14" s="109" t="inlineStr">
        <is>
          <t>Goods support</t>
        </is>
      </c>
      <c r="C14" s="164" t="n">
        <v>1</v>
      </c>
      <c r="D14" s="109" t="inlineStr">
        <is>
          <t>Only additional agreed measurement/support; price and scope remain open.</t>
        </is>
      </c>
    </row>
    <row r="15" ht="56" customHeight="1">
      <c r="A15" s="109" t="inlineStr">
        <is>
          <t>X04</t>
        </is>
      </c>
      <c r="B15" s="109" t="inlineStr">
        <is>
          <t>Goods support</t>
        </is>
      </c>
      <c r="C15" s="164" t="n">
        <v>1</v>
      </c>
      <c r="D15" s="109" t="inlineStr">
        <is>
          <t>Provisional product warranty scope; routine local maintenance stays local.</t>
        </is>
      </c>
    </row>
    <row r="16" ht="56" customHeight="1">
      <c r="A16" s="109" t="inlineStr">
        <is>
          <t>X05</t>
        </is>
      </c>
      <c r="B16" s="109" t="inlineStr">
        <is>
          <t>Goods named extra</t>
        </is>
      </c>
      <c r="C16" s="164" t="n">
        <v>1</v>
      </c>
      <c r="D16" s="109" t="inlineStr">
        <is>
          <t>No amount included until explicitly priced and selected.</t>
        </is>
      </c>
    </row>
    <row r="17" ht="32" customHeight="1">
      <c r="A17" s="109" t="n"/>
      <c r="B17" s="109" t="n"/>
      <c r="C17" s="109" t="n"/>
      <c r="D17" s="109" t="n"/>
      <c r="E17" s="109" t="n"/>
      <c r="F17" s="109" t="n"/>
      <c r="G17" s="109" t="n"/>
      <c r="H17" s="109" t="n"/>
      <c r="I17" s="109" t="n"/>
      <c r="J17" s="109" t="n"/>
    </row>
    <row r="18" ht="32" customHeight="1">
      <c r="A18" s="109" t="n"/>
      <c r="B18" s="109" t="n"/>
      <c r="C18" s="109" t="n"/>
      <c r="D18" s="109" t="n"/>
      <c r="E18" s="109" t="n"/>
      <c r="F18" s="109" t="n"/>
      <c r="G18" s="109" t="n"/>
      <c r="H18" s="109" t="n"/>
      <c r="I18" s="109" t="n"/>
      <c r="J18" s="109" t="n"/>
    </row>
    <row r="19" ht="58" customHeight="1">
      <c r="A19" s="72" t="inlineStr">
        <is>
          <t>Selected Year 1</t>
        </is>
      </c>
      <c r="B19" s="72" t="inlineStr">
        <is>
          <t>Goods cash cost</t>
        </is>
      </c>
      <c r="C19" s="72" t="inlineStr">
        <is>
          <t>Community cash cost</t>
        </is>
      </c>
      <c r="D19" s="72" t="inlineStr">
        <is>
          <t>Combined cost</t>
        </is>
      </c>
      <c r="E19" s="72" t="inlineStr">
        <is>
          <t>Interpretation</t>
        </is>
      </c>
      <c r="F19" s="109" t="n"/>
      <c r="G19" s="109" t="n"/>
      <c r="H19" s="109" t="n"/>
      <c r="I19" s="109" t="n"/>
      <c r="J19" s="109" t="n"/>
    </row>
    <row r="20" ht="32" customHeight="1">
      <c r="A20" s="109" t="inlineStr">
        <is>
          <t>Capital</t>
        </is>
      </c>
      <c r="B20" s="155">
        <f>SUMIFS('Cash schedule'!$M$6:$M$185,'Cash schedule'!$A$6:$A$185,'Assumptions'!$B$6,'Cash schedule'!$C$6:$C$185,1)</f>
        <v/>
      </c>
      <c r="C20" s="155">
        <f>SUMIFS('Cash schedule'!$BV$6:$BV$185,'Cash schedule'!$A$6:$A$185,'Assumptions'!$B$6,'Cash schedule'!$C$6:$C$185,1)</f>
        <v/>
      </c>
      <c r="D20" s="155">
        <f>SUM(B20:C20)</f>
        <v/>
      </c>
      <c r="E20" s="109" t="n"/>
      <c r="F20" s="109" t="n"/>
      <c r="G20" s="109" t="n"/>
      <c r="H20" s="109" t="n"/>
      <c r="I20" s="109" t="n"/>
      <c r="J20" s="109" t="n"/>
    </row>
    <row r="21" ht="32" customHeight="1">
      <c r="A21" s="109" t="inlineStr">
        <is>
          <t>Making and freight</t>
        </is>
      </c>
      <c r="B21" s="155">
        <f>SUMIFS('Cash schedule'!$G$6:$G$185,'Cash schedule'!$A$6:$A$185,'Assumptions'!$B$6,'Cash schedule'!$C$6:$C$185,1)+SUMIFS('Cash schedule'!$H$6:$H$185,'Cash schedule'!$A$6:$A$185,'Assumptions'!$B$6,'Cash schedule'!$C$6:$C$185,1)</f>
        <v/>
      </c>
      <c r="C21" s="155">
        <f>SUMIFS('Cash schedule'!$BQ$6:$BQ$185,'Cash schedule'!$A$6:$A$185,'Assumptions'!$B$6,'Cash schedule'!$C$6:$C$185,1)+SUMIFS('Cash schedule'!$BR$6:$BR$185,'Cash schedule'!$A$6:$A$185,'Assumptions'!$B$6,'Cash schedule'!$C$6:$C$185,1)</f>
        <v/>
      </c>
      <c r="D21" s="155">
        <f>SUM(B21:C21)</f>
        <v/>
      </c>
      <c r="E21" s="109" t="n"/>
      <c r="F21" s="109" t="n"/>
      <c r="G21" s="109" t="n"/>
      <c r="H21" s="109" t="n"/>
      <c r="I21" s="109" t="n"/>
      <c r="J21" s="109" t="n"/>
    </row>
    <row r="22" ht="32" customHeight="1">
      <c r="A22" s="109" t="inlineStr">
        <is>
          <t>Facility fixed costs</t>
        </is>
      </c>
      <c r="B22" s="155">
        <f>SUMIFS('Cash schedule'!$J$6:$J$185,'Cash schedule'!$A$6:$A$185,'Assumptions'!$B$6,'Cash schedule'!$C$6:$C$185,1)</f>
        <v/>
      </c>
      <c r="C22" s="155">
        <f>SUMIFS('Cash schedule'!$BS$6:$BS$185,'Cash schedule'!$A$6:$A$185,'Assumptions'!$B$6,'Cash schedule'!$C$6:$C$185,1)</f>
        <v/>
      </c>
      <c r="D22" s="155">
        <f>SUM(B22:C22)</f>
        <v/>
      </c>
      <c r="E22" s="109" t="n"/>
      <c r="F22" s="109" t="n"/>
      <c r="G22" s="109" t="n"/>
      <c r="H22" s="109" t="n"/>
      <c r="I22" s="109" t="n"/>
      <c r="J22" s="109" t="n"/>
    </row>
    <row r="23" ht="32" customHeight="1">
      <c r="A23" s="109" t="inlineStr">
        <is>
          <t>Youth support</t>
        </is>
      </c>
      <c r="B23" s="155">
        <f>SUMIFS('Cash schedule'!$K$6:$K$185,'Cash schedule'!$A$6:$A$185,'Assumptions'!$B$6,'Cash schedule'!$C$6:$C$185,1)</f>
        <v/>
      </c>
      <c r="C23" s="155">
        <f>SUMIFS('Cash schedule'!$BT$6:$BT$185,'Cash schedule'!$A$6:$A$185,'Assumptions'!$B$6,'Cash schedule'!$C$6:$C$185,1)</f>
        <v/>
      </c>
      <c r="D23" s="155">
        <f>SUM(B23:C23)</f>
        <v/>
      </c>
      <c r="E23" s="109" t="n"/>
      <c r="F23" s="109" t="n"/>
      <c r="G23" s="109" t="n"/>
      <c r="H23" s="109" t="n"/>
      <c r="I23" s="109" t="n"/>
      <c r="J23" s="109" t="n"/>
    </row>
    <row r="24" ht="32" customHeight="1">
      <c r="A24" s="109" t="inlineStr">
        <is>
          <t>Shared network</t>
        </is>
      </c>
      <c r="B24" s="155">
        <f>SUMIFS('Cash schedule'!$I$6:$I$185,'Cash schedule'!$A$6:$A$185,'Assumptions'!$B$6,'Cash schedule'!$C$6:$C$185,1)</f>
        <v/>
      </c>
      <c r="C24" s="155">
        <f>0</f>
        <v/>
      </c>
      <c r="D24" s="155">
        <f>SUM(B24:C24)</f>
        <v/>
      </c>
      <c r="E24" s="109" t="n"/>
      <c r="F24" s="109" t="n"/>
      <c r="G24" s="109" t="n"/>
      <c r="H24" s="109" t="n"/>
      <c r="I24" s="109" t="n"/>
      <c r="J24" s="109" t="n"/>
    </row>
    <row r="25" ht="32" customHeight="1">
      <c r="A25" s="109" t="inlineStr">
        <is>
          <t>Other / establishment</t>
        </is>
      </c>
      <c r="B25" s="155">
        <f>SUMIFS('Cash schedule'!$L$6:$L$185,'Cash schedule'!$A$6:$A$185,'Assumptions'!$B$6,'Cash schedule'!$C$6:$C$185,1)</f>
        <v/>
      </c>
      <c r="C25" s="155">
        <f>SUMIFS('Cash schedule'!$BU$6:$BU$185,'Cash schedule'!$A$6:$A$185,'Assumptions'!$B$6,'Cash schedule'!$C$6:$C$185,1)</f>
        <v/>
      </c>
      <c r="D25" s="155">
        <f>SUM(B25:C25)</f>
        <v/>
      </c>
      <c r="E25" s="109" t="n"/>
      <c r="F25" s="109" t="n"/>
      <c r="G25" s="109" t="n"/>
      <c r="H25" s="109" t="n"/>
      <c r="I25" s="109" t="n"/>
      <c r="J25" s="109" t="n"/>
    </row>
    <row r="26" ht="62" customHeight="1">
      <c r="A26" s="109" t="inlineStr">
        <is>
          <t>Priced spending</t>
        </is>
      </c>
      <c r="B26" s="155">
        <f>SUM(B20:B25)</f>
        <v/>
      </c>
      <c r="C26" s="155">
        <f>SUM(C20:C25)</f>
        <v/>
      </c>
      <c r="D26" s="155">
        <f>SUM(D20:D25)</f>
        <v/>
      </c>
      <c r="E26" s="109" t="inlineStr">
        <is>
          <t>Capacity-constrained forecast. See Start rows 40 onward for target pricing and the capacity gap. Goods annual overheads are not automatically the incremental raise.</t>
        </is>
      </c>
      <c r="F26" s="109" t="n"/>
      <c r="G26" s="109" t="n"/>
      <c r="H26" s="109" t="n"/>
      <c r="I26" s="109" t="n"/>
      <c r="J26" s="109" t="n"/>
    </row>
    <row r="27" ht="32" customHeight="1">
      <c r="A27" s="109" t="inlineStr">
        <is>
          <t>Maximum split difference</t>
        </is>
      </c>
      <c r="B27" s="165">
        <f>MAX('Cash schedule'!BY6:BY185)</f>
        <v/>
      </c>
      <c r="C27" s="109" t="n"/>
      <c r="D27" s="109" t="n"/>
      <c r="E27" s="109" t="n"/>
      <c r="F27" s="109" t="n"/>
      <c r="G27" s="109" t="n"/>
      <c r="H27" s="109" t="n"/>
      <c r="I27" s="109" t="n"/>
      <c r="J27" s="109" t="n"/>
    </row>
    <row r="28" ht="32" customHeight="1">
      <c r="A28" s="109" t="n"/>
      <c r="B28" s="109" t="n"/>
      <c r="C28" s="109" t="n"/>
      <c r="D28" s="109" t="n"/>
      <c r="E28" s="109" t="n"/>
      <c r="F28" s="109" t="n"/>
      <c r="G28" s="109" t="n"/>
      <c r="H28" s="109" t="n"/>
      <c r="I28" s="109" t="n"/>
      <c r="J28" s="109" t="n"/>
    </row>
    <row r="29" ht="32" customHeight="1">
      <c r="A29" s="109" t="n"/>
      <c r="B29" s="109" t="n"/>
      <c r="C29" s="109" t="n"/>
      <c r="D29" s="109" t="n"/>
      <c r="E29" s="109" t="n"/>
      <c r="F29" s="109" t="n"/>
      <c r="G29" s="109" t="n"/>
      <c r="H29" s="109" t="n"/>
      <c r="I29" s="109" t="n"/>
      <c r="J29" s="109" t="n"/>
    </row>
    <row r="30" ht="58" customHeight="1">
      <c r="A30" s="72" t="inlineStr">
        <is>
          <t>Establishment item</t>
        </is>
      </c>
      <c r="B30" s="72" t="inlineStr">
        <is>
          <t>Amount</t>
        </is>
      </c>
      <c r="C30" s="72" t="inlineStr">
        <is>
          <t>Month</t>
        </is>
      </c>
      <c r="D30" s="72" t="inlineStr">
        <is>
          <t>Additional to capital allowance?</t>
        </is>
      </c>
      <c r="E30" s="72" t="inlineStr">
        <is>
          <t>Basis</t>
        </is>
      </c>
      <c r="F30" s="109" t="n"/>
      <c r="G30" s="109" t="n"/>
      <c r="H30" s="109" t="n"/>
      <c r="I30" s="109" t="n"/>
      <c r="J30" s="109" t="n"/>
    </row>
    <row r="31" ht="74" customHeight="1">
      <c r="A31" s="109" t="inlineStr">
        <is>
          <t>Installation / commissioning</t>
        </is>
      </c>
      <c r="B31" s="154" t="n"/>
      <c r="C31" s="166" t="n">
        <v>1</v>
      </c>
      <c r="D31" s="109" t="inlineStr">
        <is>
          <t>To confirm</t>
        </is>
      </c>
      <c r="E31" s="109" t="inlineStr">
        <is>
          <t>Quote included scope before adding another allowance.</t>
        </is>
      </c>
      <c r="F31" s="109" t="n"/>
      <c r="G31" s="109" t="n"/>
      <c r="H31" s="109" t="n"/>
      <c r="I31" s="109" t="n"/>
      <c r="J31" s="109" t="n"/>
    </row>
    <row r="32" ht="74" customHeight="1">
      <c r="A32" s="109" t="inlineStr">
        <is>
          <t>Initial training / technical transfer</t>
        </is>
      </c>
      <c r="B32" s="154" t="n"/>
      <c r="C32" s="166" t="n">
        <v>1</v>
      </c>
      <c r="D32" s="109" t="inlineStr">
        <is>
          <t>To confirm</t>
        </is>
      </c>
      <c r="E32" s="109" t="inlineStr">
        <is>
          <t>Time-limited support only; recurring trainers remain local.</t>
        </is>
      </c>
      <c r="F32" s="109" t="n"/>
      <c r="G32" s="109" t="n"/>
      <c r="H32" s="109" t="n"/>
      <c r="I32" s="109" t="n"/>
      <c r="J32" s="109" t="n"/>
    </row>
    <row r="33" ht="74" customHeight="1">
      <c r="A33" s="109" t="inlineStr">
        <is>
          <t>Initial inputs / first delivery</t>
        </is>
      </c>
      <c r="B33" s="154" t="n"/>
      <c r="C33" s="166" t="n">
        <v>1</v>
      </c>
      <c r="D33" s="109" t="inlineStr">
        <is>
          <t>To confirm</t>
        </is>
      </c>
      <c r="E33" s="109" t="inlineStr">
        <is>
          <t>Additional initial inputs or delivery only. Making and freight for initial stock are already in the current-facility schedule.</t>
        </is>
      </c>
      <c r="F33" s="109" t="n"/>
      <c r="G33" s="109" t="n"/>
      <c r="H33" s="109" t="n"/>
      <c r="I33" s="109" t="n"/>
      <c r="J33" s="109" t="n"/>
    </row>
    <row r="34" ht="74" customHeight="1">
      <c r="A34" s="109" t="inlineStr">
        <is>
          <t>Partner agreements / setup</t>
        </is>
      </c>
      <c r="B34" s="154" t="n"/>
      <c r="C34" s="166" t="n">
        <v>1</v>
      </c>
      <c r="D34" s="109" t="inlineStr">
        <is>
          <t>To confirm</t>
        </is>
      </c>
      <c r="E34" s="109" t="inlineStr">
        <is>
          <t>Identify work additional to existing Goods central provisions.</t>
        </is>
      </c>
      <c r="F34" s="109" t="n"/>
      <c r="G34" s="109" t="n"/>
      <c r="H34" s="109" t="n"/>
      <c r="I34" s="109" t="n"/>
      <c r="J34" s="109" t="n"/>
    </row>
    <row r="35" ht="74" customHeight="1">
      <c r="A35" s="109" t="inlineStr">
        <is>
          <t>Initial community programmes and enterprise support</t>
        </is>
      </c>
      <c r="B35" s="154" t="n"/>
      <c r="C35" s="166" t="n">
        <v>1</v>
      </c>
      <c r="D35" s="109" t="inlineStr">
        <is>
          <t>To confirm</t>
        </is>
      </c>
      <c r="E35" s="109" t="inlineStr">
        <is>
          <t>Priced through Sites O6 (four programmes at $60,000, Ben 9 Sep) rather than here, so the cost reaches the youth line and the QBE sheet. Leave this row blank to avoid double counting.</t>
        </is>
      </c>
      <c r="F35" s="109" t="n"/>
      <c r="G35" s="109" t="n"/>
      <c r="H35" s="109" t="n"/>
      <c r="I35" s="109" t="n"/>
      <c r="J35" s="109" t="n"/>
    </row>
    <row r="36" ht="32" customHeight="1">
      <c r="A36" s="109" t="n"/>
      <c r="B36" s="109" t="n"/>
      <c r="C36" s="109" t="n"/>
      <c r="D36" s="109" t="n"/>
      <c r="E36" s="109" t="n"/>
      <c r="F36" s="109" t="n"/>
      <c r="G36" s="109" t="n"/>
      <c r="H36" s="109" t="n"/>
      <c r="I36" s="109" t="n"/>
      <c r="J36" s="109" t="n"/>
    </row>
    <row r="37" ht="32" customHeight="1">
      <c r="A37" s="109" t="n"/>
      <c r="B37" s="109" t="n"/>
      <c r="C37" s="109" t="n"/>
      <c r="D37" s="109" t="n"/>
      <c r="E37" s="109" t="n"/>
      <c r="F37" s="109" t="n"/>
      <c r="G37" s="109" t="n"/>
      <c r="H37" s="109" t="n"/>
      <c r="I37" s="109" t="n"/>
      <c r="J37" s="109" t="n"/>
    </row>
    <row r="38" ht="50" customHeight="1">
      <c r="A38" s="109" t="inlineStr">
        <is>
          <t>Priced additional establishment</t>
        </is>
      </c>
      <c r="B38" s="109">
        <f>SUMIF(D31:D35,"Yes",B31:B35)</f>
        <v/>
      </c>
      <c r="C38" s="109" t="n"/>
      <c r="D38" s="109" t="n"/>
      <c r="E38" s="109" t="n"/>
      <c r="F38" s="109" t="n"/>
      <c r="G38" s="109" t="n"/>
      <c r="H38" s="109" t="n"/>
      <c r="I38" s="109" t="n"/>
      <c r="J38" s="109" t="n"/>
    </row>
    <row r="39" ht="50" customHeight="1">
      <c r="A39" s="109" t="inlineStr">
        <is>
          <t>Establishment lines still unresolved</t>
        </is>
      </c>
      <c r="B39" s="109">
        <f>COUNTIF(D31:D35,"To confirm")+COUNTIFS(D31:D35,"Yes",B31:B35,"")</f>
        <v/>
      </c>
      <c r="C39" s="109" t="n"/>
      <c r="D39" s="109" t="n"/>
      <c r="E39" s="109" t="n"/>
      <c r="F39" s="109" t="n"/>
      <c r="G39" s="109" t="n"/>
      <c r="H39" s="109" t="n"/>
      <c r="I39" s="109" t="n"/>
      <c r="J39" s="109" t="n"/>
    </row>
    <row r="40" ht="50" customHeight="1">
      <c r="A40" s="109" t="inlineStr">
        <is>
          <t>Invalid responsibility inputs</t>
        </is>
      </c>
      <c r="B40" s="109">
        <f>COUNTIF(C6:G8,"&lt;0")+COUNTIF(C6:G8,"&gt;1")+15-COUNT(C6:G8)+COUNTIF(C12:C16,"&lt;0")+COUNTIF(C12:C16,"&gt;1")+5-COUNT(C12:C16)+COUNTIF(B31:B35,"&lt;0")+COUNTIF(C31:C35,"&lt;1")+COUNTIF(C31:C35,"&gt;36")</f>
        <v/>
      </c>
      <c r="C40" s="109" t="n"/>
      <c r="D40" s="109" t="n"/>
      <c r="E40" s="109" t="n"/>
      <c r="F40" s="109" t="n"/>
      <c r="G40" s="109" t="n"/>
      <c r="H40" s="109" t="n"/>
      <c r="I40" s="109" t="n"/>
      <c r="J40" s="109" t="n"/>
    </row>
    <row r="41" ht="32" customHeight="1">
      <c r="A41" s="109" t="n"/>
      <c r="B41" s="109" t="n"/>
      <c r="C41" s="109" t="n"/>
      <c r="D41" s="109" t="n"/>
      <c r="E41" s="109" t="n"/>
      <c r="F41" s="109" t="n"/>
      <c r="G41" s="109" t="n"/>
      <c r="H41" s="109" t="n"/>
      <c r="I41" s="109" t="n"/>
      <c r="J41" s="109" t="n"/>
    </row>
    <row r="42" ht="66" customHeight="1">
      <c r="A42" s="109" t="inlineStr">
        <is>
          <t>The capital allowance is a cash investment provision, not proof of ownership. Depreciation assumes Goods retains assets pending the agreed title/transfer treatment. Do not treat partner funding as secured or subtract local sale proceeds from Goods debt.</t>
        </is>
      </c>
    </row>
    <row r="43" ht="32" customHeight="1">
      <c r="A43" s="109" t="n"/>
      <c r="B43" s="109" t="n"/>
      <c r="C43" s="109" t="n"/>
      <c r="D43" s="109" t="n"/>
      <c r="E43" s="109" t="n"/>
      <c r="F43" s="109" t="n"/>
      <c r="G43" s="109" t="n"/>
      <c r="H43" s="109" t="n"/>
      <c r="I43" s="109" t="n"/>
      <c r="J43" s="109" t="n"/>
    </row>
    <row r="44" ht="32" customHeight="1">
      <c r="A44" s="109" t="n"/>
      <c r="B44" s="109" t="n"/>
      <c r="C44" s="109" t="n"/>
      <c r="D44" s="109" t="n"/>
      <c r="E44" s="109" t="n"/>
      <c r="F44" s="109" t="n"/>
      <c r="G44" s="109" t="n"/>
      <c r="H44" s="109" t="n"/>
      <c r="I44" s="109" t="n"/>
      <c r="J44" s="109" t="n"/>
    </row>
    <row r="45" ht="32" customHeight="1">
      <c r="A45" s="109" t="n"/>
      <c r="B45" s="109" t="n"/>
      <c r="C45" s="109" t="n"/>
      <c r="D45" s="109" t="n"/>
      <c r="E45" s="109" t="n"/>
      <c r="F45" s="109" t="n"/>
      <c r="G45" s="109" t="n"/>
      <c r="H45" s="109" t="n"/>
      <c r="I45" s="109" t="n"/>
      <c r="J45" s="109" t="n"/>
    </row>
    <row r="46" ht="32" customHeight="1">
      <c r="A46" s="109" t="n"/>
      <c r="B46" s="109" t="n"/>
      <c r="C46" s="109" t="n"/>
      <c r="D46" s="109" t="n"/>
      <c r="E46" s="109" t="n"/>
      <c r="F46" s="109" t="n"/>
      <c r="G46" s="109" t="n"/>
      <c r="H46" s="109" t="n"/>
      <c r="I46" s="109" t="n"/>
      <c r="J46" s="109" t="n"/>
    </row>
    <row r="47" ht="32" customHeight="1">
      <c r="A47" s="109" t="n"/>
      <c r="B47" s="109" t="n"/>
      <c r="C47" s="109" t="n"/>
      <c r="D47" s="109" t="n"/>
      <c r="E47" s="109" t="n"/>
      <c r="F47" s="109" t="n"/>
      <c r="G47" s="109" t="n"/>
      <c r="H47" s="109" t="n"/>
      <c r="I47" s="109" t="n"/>
      <c r="J47" s="109" t="n"/>
    </row>
    <row r="48" ht="32" customHeight="1">
      <c r="A48" s="109" t="n"/>
      <c r="B48" s="109" t="n"/>
      <c r="C48" s="109" t="n"/>
      <c r="D48" s="109" t="n"/>
      <c r="E48" s="109" t="n"/>
      <c r="F48" s="109" t="n"/>
      <c r="G48" s="109" t="n"/>
      <c r="H48" s="109" t="n"/>
      <c r="I48" s="109" t="n"/>
      <c r="J48" s="109" t="n"/>
    </row>
    <row r="49" ht="32" customHeight="1">
      <c r="A49" s="109" t="n"/>
      <c r="B49" s="109" t="n"/>
      <c r="C49" s="109" t="n"/>
      <c r="D49" s="109" t="n"/>
      <c r="E49" s="109" t="n"/>
      <c r="F49" s="109" t="n"/>
      <c r="G49" s="109" t="n"/>
      <c r="H49" s="109" t="n"/>
      <c r="I49" s="109" t="n"/>
      <c r="J49" s="109" t="n"/>
    </row>
    <row r="50" ht="32" customHeight="1">
      <c r="A50" s="109" t="n"/>
      <c r="B50" s="109" t="n"/>
      <c r="C50" s="109" t="n"/>
      <c r="D50" s="109" t="n"/>
      <c r="E50" s="109" t="n"/>
      <c r="F50" s="109" t="n"/>
      <c r="G50" s="109" t="n"/>
      <c r="H50" s="109" t="n"/>
      <c r="I50" s="109" t="n"/>
      <c r="J50" s="109" t="n"/>
    </row>
    <row r="51" ht="32" customHeight="1">
      <c r="A51" s="109" t="n"/>
      <c r="B51" s="109" t="n"/>
      <c r="C51" s="109" t="n"/>
      <c r="D51" s="109" t="n"/>
      <c r="E51" s="109" t="n"/>
      <c r="F51" s="109" t="n"/>
      <c r="G51" s="109" t="n"/>
      <c r="H51" s="109" t="n"/>
      <c r="I51" s="109" t="n"/>
      <c r="J51" s="109" t="n"/>
    </row>
    <row r="52" ht="32" customHeight="1">
      <c r="A52" s="109" t="n"/>
      <c r="B52" s="109" t="n"/>
      <c r="C52" s="109" t="n"/>
      <c r="D52" s="109" t="n"/>
      <c r="E52" s="109" t="n"/>
      <c r="F52" s="109" t="n"/>
      <c r="G52" s="109" t="n"/>
      <c r="H52" s="109" t="n"/>
      <c r="I52" s="109" t="n"/>
      <c r="J52" s="109" t="n"/>
    </row>
    <row r="53" ht="32" customHeight="1">
      <c r="A53" s="109" t="n"/>
      <c r="B53" s="109" t="n"/>
      <c r="C53" s="109" t="n"/>
      <c r="D53" s="109" t="n"/>
      <c r="E53" s="109" t="n"/>
      <c r="F53" s="109" t="n"/>
      <c r="G53" s="109" t="n"/>
      <c r="H53" s="109" t="n"/>
      <c r="I53" s="109" t="n"/>
      <c r="J53" s="109" t="n"/>
    </row>
    <row r="54" ht="32" customHeight="1">
      <c r="A54" s="109" t="n"/>
      <c r="B54" s="109" t="n"/>
      <c r="C54" s="109" t="n"/>
      <c r="D54" s="109" t="n"/>
      <c r="E54" s="109" t="n"/>
      <c r="F54" s="109" t="n"/>
      <c r="G54" s="109" t="n"/>
      <c r="H54" s="109" t="n"/>
      <c r="I54" s="109" t="n"/>
      <c r="J54" s="109" t="n"/>
    </row>
    <row r="55" ht="32" customHeight="1">
      <c r="A55" s="109" t="n"/>
      <c r="B55" s="109" t="n"/>
      <c r="C55" s="109" t="n"/>
      <c r="D55" s="109" t="n"/>
      <c r="E55" s="109" t="n"/>
      <c r="F55" s="109" t="n"/>
      <c r="G55" s="109" t="n"/>
      <c r="H55" s="109" t="n"/>
      <c r="I55" s="109" t="n"/>
      <c r="J55" s="109" t="n"/>
    </row>
    <row r="56" ht="32" customHeight="1">
      <c r="A56" s="109" t="n"/>
      <c r="B56" s="109" t="n"/>
      <c r="C56" s="109" t="n"/>
      <c r="D56" s="109" t="n"/>
      <c r="E56" s="109" t="n"/>
      <c r="F56" s="109" t="n"/>
      <c r="G56" s="109" t="n"/>
      <c r="H56" s="109" t="n"/>
      <c r="I56" s="109" t="n"/>
      <c r="J56" s="109" t="n"/>
    </row>
    <row r="57" ht="32" customHeight="1">
      <c r="A57" s="109" t="n"/>
      <c r="B57" s="109" t="n"/>
      <c r="C57" s="109" t="n"/>
      <c r="D57" s="109" t="n"/>
      <c r="E57" s="109" t="n"/>
      <c r="F57" s="109" t="n"/>
      <c r="G57" s="109" t="n"/>
      <c r="H57" s="109" t="n"/>
      <c r="I57" s="109" t="n"/>
      <c r="J57" s="109" t="n"/>
    </row>
    <row r="58" ht="32" customHeight="1">
      <c r="A58" s="109" t="n"/>
      <c r="B58" s="109" t="n"/>
      <c r="C58" s="109" t="n"/>
      <c r="D58" s="109" t="n"/>
      <c r="E58" s="109" t="n"/>
      <c r="F58" s="109" t="n"/>
      <c r="G58" s="109" t="n"/>
      <c r="H58" s="109" t="n"/>
      <c r="I58" s="109" t="n"/>
      <c r="J58" s="109" t="n"/>
    </row>
    <row r="59" ht="32" customHeight="1">
      <c r="A59" s="109" t="n"/>
      <c r="B59" s="109" t="n"/>
      <c r="C59" s="109" t="n"/>
      <c r="D59" s="109" t="n"/>
      <c r="E59" s="109" t="n"/>
      <c r="F59" s="109" t="n"/>
      <c r="G59" s="109" t="n"/>
      <c r="H59" s="109" t="n"/>
      <c r="I59" s="109" t="n"/>
      <c r="J59" s="109" t="n"/>
    </row>
    <row r="60" ht="32" customHeight="1">
      <c r="A60" s="109" t="n"/>
      <c r="B60" s="109" t="n"/>
      <c r="C60" s="109" t="n"/>
      <c r="D60" s="109" t="n"/>
      <c r="E60" s="109" t="n"/>
      <c r="F60" s="109" t="n"/>
      <c r="G60" s="109" t="n"/>
      <c r="H60" s="109" t="n"/>
      <c r="I60" s="109" t="n"/>
      <c r="J60" s="109" t="n"/>
    </row>
  </sheetData>
  <mergeCells count="8">
    <mergeCell ref="D14:J14"/>
    <mergeCell ref="A1:J1"/>
    <mergeCell ref="D12:J12"/>
    <mergeCell ref="A3:J3"/>
    <mergeCell ref="D16:J16"/>
    <mergeCell ref="D15:J15"/>
    <mergeCell ref="D13:J13"/>
    <mergeCell ref="A42:J42"/>
  </mergeCells>
  <dataValidations count="3">
    <dataValidation sqref="C6:G8" showDropDown="0" showInputMessage="0" showErrorMessage="0" allowBlank="0" type="decimal" operator="between">
      <formula1>0</formula1>
      <formula2>1</formula2>
    </dataValidation>
    <dataValidation sqref="H6:H8" showDropDown="0" showInputMessage="0" showErrorMessage="0" allowBlank="0" type="list">
      <formula1>"No,Yes,Not assessed"</formula1>
    </dataValidation>
    <dataValidation sqref="D31:D35" showDropDown="0" showInputMessage="0" showErrorMessage="0" allowBlank="0" type="list">
      <formula1>"To confirm,Yes,No"</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156"/>
  <sheetViews>
    <sheetView showGridLines="0" workbookViewId="0">
      <selection activeCell="A1" sqref="A1"/>
    </sheetView>
  </sheetViews>
  <sheetFormatPr baseColWidth="8" defaultRowHeight="15"/>
  <cols>
    <col width="37" customWidth="1" min="1" max="1"/>
    <col width="21" customWidth="1" min="2" max="2"/>
    <col width="33" customWidth="1" min="3" max="3"/>
    <col width="76" customWidth="1" min="4" max="4"/>
  </cols>
  <sheetData>
    <row r="1" ht="54" customHeight="1">
      <c r="A1" s="121" t="inlineStr">
        <is>
          <t>Goods: phases and funding</t>
        </is>
      </c>
      <c r="B1" s="167" t="n"/>
      <c r="C1" s="121" t="n"/>
      <c r="D1" s="121" t="n"/>
    </row>
    <row r="2" ht="54" customHeight="1">
      <c r="A2" s="114" t="n"/>
      <c r="B2" s="168" t="n"/>
      <c r="C2" s="114" t="n"/>
      <c r="D2" s="114" t="n"/>
    </row>
    <row r="3" ht="54" customHeight="1">
      <c r="A3" s="114" t="inlineStr">
        <is>
          <t>Planning basis</t>
        </is>
      </c>
      <c r="B3" s="168" t="n"/>
      <c r="C3" s="114" t="inlineStr">
        <is>
          <t>AUD, Year 1, ex-GST</t>
        </is>
      </c>
      <c r="D3" s="114" t="inlineStr">
        <is>
          <t>Full-target cost bridge alongside the selected monthly forecast. Annual costs are not automatically the programme raise.</t>
        </is>
      </c>
    </row>
    <row r="4" ht="54" customHeight="1">
      <c r="A4" s="114" t="n"/>
      <c r="B4" s="168" t="n"/>
      <c r="C4" s="114" t="n"/>
      <c r="D4" s="114" t="n"/>
    </row>
    <row r="5" ht="54" customHeight="1">
      <c r="A5" s="125" t="inlineStr">
        <is>
          <t>What the money pays for</t>
        </is>
      </c>
      <c r="B5" s="169" t="inlineStr">
        <is>
          <t>Priced amount</t>
        </is>
      </c>
      <c r="C5" s="125" t="inlineStr">
        <is>
          <t>Who pays / receives</t>
        </is>
      </c>
      <c r="D5" s="125" t="inlineStr">
        <is>
          <t>Decision before commitment</t>
        </is>
      </c>
    </row>
    <row r="6" ht="54" customHeight="1">
      <c r="A6" s="114" t="inlineStr">
        <is>
          <t>Initial stock and delivery</t>
        </is>
      </c>
      <c r="B6" s="168">
        <f>SUM('Start'!B50:B51)</f>
        <v/>
      </c>
      <c r="C6" s="114" t="inlineStr">
        <is>
          <t>Goods funds; community receives stock</t>
        </is>
      </c>
      <c r="D6" s="114" t="inlineStr">
        <is>
          <t>400-bed target from The Harvest. NM Play basis (Ben, 6 Sep): three sets a day, 20 productive days a month, 48 weeks a year = 720 a year. The earlier 10 days a month came from Matt's Sites sheet and is withdrawn (Ben, 9 Sep). Confirm routes and stock agreements.</t>
        </is>
      </c>
    </row>
    <row r="7" ht="54" customHeight="1">
      <c r="A7" s="114" t="inlineStr">
        <is>
          <t>Initial programme support</t>
        </is>
      </c>
      <c r="B7" s="168">
        <f>QBE!C10+IF(ISNUMBER('Responsibilities'!B35),'Responsibilities'!B35,0)</f>
        <v/>
      </c>
      <c r="C7" s="114" t="inlineStr">
        <is>
          <t>Goods funds agreed initial support</t>
        </is>
      </c>
      <c r="D7" s="114" t="inlineStr">
        <is>
          <t>Ben 9 Sep: at least four bed communities, 100 beds each, Nic and Ben facilitating at about $10,000 each ($40,000). Alice Springs is not one of them. Likely: Mount Isa and Lower Gulf, Kununurra, Ceduna / Port Augusta, Tennant Creek, possibly more to Utopia homelands.</t>
        </is>
      </c>
    </row>
    <row r="8" ht="54" customHeight="1">
      <c r="A8" s="114" t="inlineStr">
        <is>
          <t>New manufacturing facilities</t>
        </is>
      </c>
      <c r="B8" s="168">
        <f>'Start'!B52</f>
        <v/>
      </c>
      <c r="C8" s="114" t="inlineStr">
        <is>
          <t>Goods capital provision</t>
        </is>
      </c>
      <c r="D8" s="114" t="inlineStr">
        <is>
          <t>Two plants for communities other than Alice Springs. No funder yet. The Alice Springs plant is separate and funded: DEWR $150,000 and NIAA $150,000 through Oonchiumpa, paid to Goods to build it and spent on it (pass-through, outside this raise). Confirm quotes, sites, asset title and local operating funds for the two.</t>
        </is>
      </c>
    </row>
    <row r="9" ht="54" customHeight="1">
      <c r="A9" s="114" t="inlineStr">
        <is>
          <t>Current facility annual costs</t>
        </is>
      </c>
      <c r="B9" s="168">
        <f>'Start'!B53</f>
        <v/>
      </c>
      <c r="C9" s="114" t="inlineStr">
        <is>
          <t>Goods operations</t>
        </is>
      </c>
      <c r="D9" s="114" t="inlineStr">
        <is>
          <t>Expert annual provision retained. Allocate work between initial stock and other Goods activity before setting the incremental ask.</t>
        </is>
      </c>
    </row>
    <row r="10" ht="54" customHeight="1">
      <c r="A10" s="114" t="inlineStr">
        <is>
          <t>Shared Goods annual costs</t>
        </is>
      </c>
      <c r="B10" s="168">
        <f>'Start'!B54</f>
        <v/>
      </c>
      <c r="C10" s="114" t="inlineStr">
        <is>
          <t>Goods operations</t>
        </is>
      </c>
      <c r="D10" s="114" t="inlineStr">
        <is>
          <t>Expert central budget retained and counted as programme cost (Ben, 9 Sep). TFFF's general operating support ($100,000 a year, invited) is the matching funder for this block. Resolve the accounting overlap.</t>
        </is>
      </c>
    </row>
    <row r="11" ht="54" customHeight="1">
      <c r="A11" s="114" t="inlineStr">
        <is>
          <t>Priced annual scope</t>
        </is>
      </c>
      <c r="B11" s="168">
        <f>SUM(B6:B10)+'Responsibilities'!B38</f>
        <v/>
      </c>
      <c r="C11" s="114" t="inlineStr">
        <is>
          <t>Incomplete, before debt service</t>
        </is>
      </c>
      <c r="D11" s="114" t="inlineStr">
        <is>
          <t>Adds establishment only when explicitly priced and marked additional on Responsibilities. Unpriced support remains excluded. Do not add the expert budget again.</t>
        </is>
      </c>
    </row>
    <row r="12" ht="54" customHeight="1">
      <c r="A12" s="114" t="inlineStr">
        <is>
          <t>Ongoing community operations</t>
        </is>
      </c>
      <c r="B12" s="168">
        <f>'Responsibilities'!C26</f>
        <v/>
      </c>
      <c r="C12" s="114" t="inlineStr">
        <is>
          <t>Community organisation / local funders</t>
        </is>
      </c>
      <c r="D12" s="114" t="inlineStr">
        <is>
          <t>Separate inherited operating scenario. Not included in Goods costs; partner funding and start dates are unconfirmed.</t>
        </is>
      </c>
    </row>
    <row r="13" ht="54" customHeight="1">
      <c r="A13" s="114" t="inlineStr">
        <is>
          <t>Community sales proceeds</t>
        </is>
      </c>
      <c r="B13" s="168" t="n"/>
      <c r="C13" s="114" t="inlineStr">
        <is>
          <t>Retained by community organisations</t>
        </is>
      </c>
      <c r="D13" s="114" t="inlineStr">
        <is>
          <t>Not Goods income or a repayment source. Direct Goods orders and paid services need separate contracts and delivery costs.</t>
        </is>
      </c>
    </row>
    <row r="14" ht="54" customHeight="1">
      <c r="A14" s="114" t="n"/>
      <c r="B14" s="168" t="n"/>
      <c r="C14" s="114" t="n"/>
      <c r="D14" s="114" t="n"/>
    </row>
    <row r="15" ht="54" customHeight="1">
      <c r="A15" s="114" t="n"/>
      <c r="B15" s="168" t="n"/>
      <c r="C15" s="114" t="n"/>
      <c r="D15" s="114" t="n"/>
    </row>
    <row r="16" ht="54" customHeight="1">
      <c r="A16" s="125" t="inlineStr">
        <is>
          <t>Current funding opportunities</t>
        </is>
      </c>
      <c r="B16" s="169" t="inlineStr">
        <is>
          <t>Year 1 scenario</t>
        </is>
      </c>
      <c r="C16" s="125" t="inlineStr">
        <is>
          <t>Recorded status</t>
        </is>
      </c>
      <c r="D16" s="125" t="inlineStr">
        <is>
          <t>Next evidence / use</t>
        </is>
      </c>
    </row>
    <row r="17" ht="54" customHeight="1">
      <c r="A17" s="114">
        <f>'Funding'!B6</f>
        <v/>
      </c>
      <c r="B17" s="168">
        <f>'Funding'!R6</f>
        <v/>
      </c>
      <c r="C17" s="114" t="inlineStr">
        <is>
          <t>Application due 25 Sep: $300,000 for the two plants</t>
        </is>
      </c>
      <c r="D17" s="114" t="inlineStr">
        <is>
          <t>Ben 9 Sep: QBE builds the two community plants outside Alice Springs, working choice Palm Island and Maningrida (Mount Isa, Tennant Creek and Ceduna also in the mix). Smaller request $150,000 builds one. Review 7 Oct, conditional outcome 23 Oct, pre-conditions 13 Nov. Name sites and quotes before 25 Sep.</t>
        </is>
      </c>
    </row>
    <row r="18" ht="54" customHeight="1">
      <c r="A18" s="114">
        <f>'Funding'!B7</f>
        <v/>
      </c>
      <c r="B18" s="168">
        <f>'Funding'!R7</f>
        <v/>
      </c>
      <c r="C18" s="114" t="inlineStr">
        <is>
          <t>Invitation (email 31 Aug)</t>
        </is>
      </c>
      <c r="D18" s="114" t="inlineStr">
        <is>
          <t>Apply by 9 Oct. Board late Nov, after the QBE pre-condition date. $100,000 a year for three years to Butterfly as general operating support (Resilience stream). This is the funder for the shared Goods annual costs in row 10, not for beds or plant.</t>
        </is>
      </c>
    </row>
    <row r="19" ht="54" customHeight="1">
      <c r="A19" s="114">
        <f>'Funding'!B8</f>
        <v/>
      </c>
      <c r="B19" s="168">
        <f>'Funding'!R8</f>
        <v/>
      </c>
      <c r="C19" s="114" t="inlineStr">
        <is>
          <t>Invitation (email 1 Sep)</t>
        </is>
      </c>
      <c r="D19" s="114" t="inlineStr">
        <is>
          <t>Apply by 25 Sep. Board 19 Nov, after the QBE pre-condition date. Up to $100,000 for 12 months. BMDCF pays only once all project funding is confirmed (budget template instructions), so scope the BMD project to lines that are confirmed or will be by November.</t>
        </is>
      </c>
    </row>
    <row r="20" ht="54" customHeight="1">
      <c r="A20" s="114">
        <f>'Funding'!B9</f>
        <v/>
      </c>
      <c r="B20" s="168">
        <f>'Funding'!R9</f>
        <v/>
      </c>
      <c r="C20" s="114" t="inlineStr">
        <is>
          <t>No current ask</t>
        </is>
      </c>
      <c r="D20" s="114" t="inlineStr">
        <is>
          <t>Nothing in email to 9 Sep 2026. Needs a new dated ask before any amount is entered.</t>
        </is>
      </c>
    </row>
    <row r="21" ht="54" customHeight="1">
      <c r="A21" s="114">
        <f>'Funding'!B10</f>
        <v/>
      </c>
      <c r="B21" s="168">
        <f>'Funding'!R10</f>
        <v/>
      </c>
      <c r="C21" s="114" t="inlineStr">
        <is>
          <t>No Goods ask</t>
        </is>
      </c>
      <c r="D21" s="114" t="inlineStr">
        <is>
          <t>$15,000 paid in June 2026 for CONTAINED, not beds. Current thread is media and story work.</t>
        </is>
      </c>
    </row>
    <row r="22" ht="54" customHeight="1">
      <c r="A22" s="114">
        <f>'Funding'!B12</f>
        <v/>
      </c>
      <c r="B22" s="168">
        <f>'Funding'!R12</f>
        <v/>
      </c>
      <c r="C22" s="114" t="inlineStr">
        <is>
          <t>Not live</t>
        </is>
      </c>
      <c r="D22" s="114" t="inlineStr">
        <is>
          <t>Conversations paused by Minderoo on 14 May 2026. Remove from the stack unless reopened.</t>
        </is>
      </c>
    </row>
    <row r="23" ht="54" customHeight="1">
      <c r="A23" s="114" t="inlineStr">
        <is>
          <t>Full-case Year 1 grants</t>
        </is>
      </c>
      <c r="B23" s="168">
        <f>SUMIFS('Funding'!R6:R15,'Funding'!C6:C15,"Grant",'Funding'!I6:I15,"&lt;=12",'Funding'!I6:I15,"&gt;=1")</f>
        <v/>
      </c>
      <c r="C23" s="114" t="inlineStr">
        <is>
          <t>Includes prospects, not just secured</t>
        </is>
      </c>
      <c r="D23" s="114" t="inlineStr">
        <is>
          <t>Both invitations decide in late November, after QBE's 13 Nov pre-condition date, so neither can be shown as secured to QBE on time. Later-year tranches are excluded.</t>
        </is>
      </c>
    </row>
    <row r="24" ht="54" customHeight="1">
      <c r="A24" s="114" t="inlineStr">
        <is>
          <t>Secured Year 1 funding</t>
        </is>
      </c>
      <c r="B24" s="168">
        <f>SUMIFS('Funding'!N6:N15,'Funding'!O6:O15,"&lt;=12",'Funding'!O6:O15,"&gt;=1")</f>
        <v/>
      </c>
      <c r="C24" s="114" t="inlineStr">
        <is>
          <t>Grants and loans shown in Funding</t>
        </is>
      </c>
      <c r="D24" s="114" t="inlineStr">
        <is>
          <t>Do not add this again to potential receipts: secured amounts may already be included in a scenario.</t>
        </is>
      </c>
    </row>
    <row r="25" ht="54" customHeight="1">
      <c r="A25" s="114" t="inlineStr">
        <is>
          <t>Proposed Sefa borrowing</t>
        </is>
      </c>
      <c r="B25" s="168">
        <f>'Cases'!C6</f>
        <v/>
      </c>
      <c r="C25" s="114" t="inlineStr">
        <is>
          <t>Not approved; financing, not earnings</t>
        </is>
      </c>
      <c r="D25" s="114" t="inlineStr">
        <is>
          <t>No EOI sent. Joel Bird (25 Aug) will review an EOI; Tanya Wong offered to review the financials. The amount is ours, not Sefa's. Test affordability separately from community sales.</t>
        </is>
      </c>
    </row>
    <row r="26" ht="54" customHeight="1">
      <c r="A26" s="114" t="inlineStr">
        <is>
          <t>Selected Goods trading cash</t>
        </is>
      </c>
      <c r="B26" s="168">
        <f>SUM('Monthly forecast'!B28:M28)</f>
        <v/>
      </c>
      <c r="C26" s="114" t="inlineStr">
        <is>
          <t>Selected monthly forecast</t>
        </is>
      </c>
      <c r="D26" s="114" t="inlineStr">
        <is>
          <t>No direct Goods orders currently entered. The Alice Springs plant build (DEWR $150,000 and NIAA $150,000 via Oonchiumpa, Funding F09/F10) is pass-through: received and spent on that build, so it is kept out of Goods trading cash and out of this raise.</t>
        </is>
      </c>
    </row>
    <row r="27" ht="54" customHeight="1">
      <c r="A27" s="114" t="inlineStr">
        <is>
          <t>Available opening cash</t>
        </is>
      </c>
      <c r="B27" s="168">
        <f>IF(ISNUMBER('Assumptions'!B10),'Assumptions'!B10,"")</f>
        <v/>
      </c>
      <c r="C27" s="114" t="inlineStr">
        <is>
          <t>Unreconciled until entered</t>
        </is>
      </c>
      <c r="D27" s="114" t="inlineStr">
        <is>
          <t>Confirm available versus restricted funds. Historical income is not current available cash.</t>
        </is>
      </c>
    </row>
    <row r="28" ht="54" customHeight="1">
      <c r="A28" s="114" t="inlineStr">
        <is>
          <t>Buyer receipts FY27 to date</t>
        </is>
      </c>
      <c r="B28" s="168" t="n"/>
      <c r="C28" s="114" t="inlineStr">
        <is>
          <t>Paid to the Nic sole-trader ledger, not Butterfly; incl. GST</t>
        </is>
      </c>
      <c r="D28" s="114" t="inlineStr">
        <is>
          <t>Xero 9 Sep 2026: ALIVE INV-0342 $101,200 (100 beds) paid; Julalikari INV-0335 $15,000 paid. Oonchiumpa INV-0344 $41,250 was a different project, not Goods (Ben, 9 Sep). ALIVE INV-0341 $66,000 unpaid since 30 Jul. Earned money, not committed capital; not added to any scenario here.</t>
        </is>
      </c>
    </row>
    <row r="29" ht="54" customHeight="1">
      <c r="A29" s="114" t="n"/>
      <c r="B29" s="168" t="n"/>
      <c r="C29" s="114" t="n"/>
      <c r="D29" s="114" t="n"/>
    </row>
    <row r="30" ht="54" customHeight="1">
      <c r="A30" s="125" t="inlineStr">
        <is>
          <t>Full-target funding bridge</t>
        </is>
      </c>
      <c r="B30" s="169" t="inlineStr">
        <is>
          <t>Amount</t>
        </is>
      </c>
      <c r="C30" s="125" t="inlineStr">
        <is>
          <t>Basis</t>
        </is>
      </c>
      <c r="D30" s="125" t="inlineStr">
        <is>
          <t>Limits</t>
        </is>
      </c>
    </row>
    <row r="31" ht="54" customHeight="1">
      <c r="A31" s="114" t="inlineStr">
        <is>
          <t>Priced scope less potential grants</t>
        </is>
      </c>
      <c r="B31" s="168">
        <f>MAX(0,B11-B23)</f>
        <v/>
      </c>
      <c r="C31" s="114" t="inlineStr">
        <is>
          <t>No loan; no opening-cash credit</t>
        </is>
      </c>
      <c r="D31" s="114" t="inlineStr">
        <is>
          <t>Annual comparison only. Not a final raise; missing costs, reserves and cost attribution remain unresolved.</t>
        </is>
      </c>
    </row>
    <row r="32" ht="54" customHeight="1">
      <c r="A32" s="114" t="inlineStr">
        <is>
          <t>Full-case Year 1 loan payments</t>
        </is>
      </c>
      <c r="B32" s="168">
        <f>'Cases'!K6</f>
        <v/>
      </c>
      <c r="C32" s="114" t="inlineStr">
        <is>
          <t>Current loan illustration</t>
        </is>
      </c>
      <c r="D32" s="114" t="inlineStr">
        <is>
          <t>Includes principal and interest. Timing and contractual terms remain unconfirmed.</t>
        </is>
      </c>
    </row>
    <row r="33" ht="54" customHeight="1">
      <c r="A33" s="114" t="inlineStr">
        <is>
          <t>Gap with proposed borrowing</t>
        </is>
      </c>
      <c r="B33" s="168">
        <f>MAX(0,B11+B32-B23-B25)</f>
        <v/>
      </c>
      <c r="C33" s="114" t="inlineStr">
        <is>
          <t>After illustrative debt service</t>
        </is>
      </c>
      <c r="D33" s="114" t="inlineStr">
        <is>
          <t>No Goods sales or opening-cash credit here. Additional earnings require their incremental costs to be included.</t>
        </is>
      </c>
    </row>
    <row r="34" ht="54" customHeight="1">
      <c r="A34" s="114" t="inlineStr">
        <is>
          <t>Selected monthly peak cash need</t>
        </is>
      </c>
      <c r="B34" s="168">
        <f>'Start'!B10</f>
        <v/>
      </c>
      <c r="C34" s="114" t="inlineStr">
        <is>
          <t>Capacity-constrained schedule</t>
        </is>
      </c>
      <c r="D34" s="114" t="inlineStr">
        <is>
          <t>Timing measure, not another expense. Current schedule and full-target comparison have different bed quantities.</t>
        </is>
      </c>
    </row>
    <row r="35" ht="54" customHeight="1">
      <c r="A35" s="114" t="inlineStr">
        <is>
          <t>Final incremental ask</t>
        </is>
      </c>
      <c r="B35" s="168" t="n"/>
      <c r="C35" s="114" t="inlineStr">
        <is>
          <t>Not determined</t>
        </is>
      </c>
      <c r="D35" s="114" t="inlineStr">
        <is>
          <t>Requires agreed cost allocation, complete support costs, usable funding, available cash, delivery schedule and reserve.</t>
        </is>
      </c>
    </row>
    <row r="36" ht="54" customHeight="1">
      <c r="A36" s="114" t="n"/>
      <c r="B36" s="168" t="n"/>
      <c r="C36" s="114" t="n"/>
      <c r="D36" s="114" t="n"/>
    </row>
    <row r="37" ht="54" customHeight="1">
      <c r="A37" s="114" t="n"/>
      <c r="B37" s="168" t="n"/>
      <c r="C37" s="114" t="n"/>
      <c r="D37" s="114" t="n"/>
    </row>
    <row r="38" ht="54" customHeight="1">
      <c r="A38" s="125" t="inlineStr">
        <is>
          <t>Staged scope comparison</t>
        </is>
      </c>
      <c r="B38" s="169" t="inlineStr">
        <is>
          <t>Priced annual cost</t>
        </is>
      </c>
      <c r="C38" s="125" t="inlineStr">
        <is>
          <t>Gap after Full-case grants</t>
        </is>
      </c>
      <c r="D38" s="125" t="inlineStr">
        <is>
          <t>Same stock target and annual costs; no loans, unpriced support excluded</t>
        </is>
      </c>
    </row>
    <row r="39" ht="54" customHeight="1">
      <c r="A39" s="114" t="inlineStr">
        <is>
          <t>Defer both new facilities</t>
        </is>
      </c>
      <c r="B39" s="168">
        <f>B11-B8</f>
        <v/>
      </c>
      <c r="C39" s="168">
        <f>MAX(0,B39-$B$23)</f>
        <v/>
      </c>
      <c r="D39" s="114" t="inlineStr">
        <is>
          <t>Keep initial stock target. Actual delivery remains limited by production capacity.</t>
        </is>
      </c>
    </row>
    <row r="40" ht="54" customHeight="1">
      <c r="A40" s="114" t="inlineStr">
        <is>
          <t>Build new facility 1 only</t>
        </is>
      </c>
      <c r="B40" s="168">
        <f>B39+'Capital'!E7</f>
        <v/>
      </c>
      <c r="C40" s="168">
        <f>MAX(0,B40-$B$23)</f>
        <v/>
      </c>
      <c r="D40" s="114" t="inlineStr">
        <is>
          <t>Stage the second build. Local operations and support must also be funded.</t>
        </is>
      </c>
    </row>
    <row r="41" ht="54" customHeight="1">
      <c r="A41" s="114" t="inlineStr">
        <is>
          <t>Build both new facilities</t>
        </is>
      </c>
      <c r="B41" s="168">
        <f>B11</f>
        <v/>
      </c>
      <c r="C41" s="168">
        <f>MAX(0,B41-$B$23)</f>
        <v/>
      </c>
      <c r="D41" s="114" t="inlineStr">
        <is>
          <t>Full capital allowance; readiness and quotes remain unresolved.</t>
        </is>
      </c>
    </row>
    <row r="42" ht="54" customHeight="1">
      <c r="A42" s="114" t="n"/>
      <c r="B42" s="168" t="n"/>
      <c r="C42" s="114" t="n"/>
      <c r="D42" s="114" t="n"/>
    </row>
    <row r="43" ht="54" customHeight="1">
      <c r="A43" s="114" t="inlineStr">
        <is>
          <t>If funding is lower</t>
        </is>
      </c>
      <c r="B43" s="168" t="n"/>
      <c r="C43" s="114" t="inlineStr">
        <is>
          <t>Rephase commitments first</t>
        </is>
      </c>
      <c r="D43" s="114" t="inlineStr">
        <is>
          <t>Agree a minimum viable stock-and-support phase. Then authorise facilities individually as usable funds and local operating plans become available. These comparisons are not approvals to spend.</t>
        </is>
      </c>
    </row>
    <row r="44" ht="54" customHeight="1">
      <c r="A44" s="114" t="inlineStr">
        <is>
          <t>Existing Smaller case</t>
        </is>
      </c>
      <c r="B44" s="168">
        <f>'Cases'!L7</f>
        <v/>
      </c>
      <c r="C44" s="114" t="inlineStr">
        <is>
          <t>Peak cash need, not a viable fallback</t>
        </is>
      </c>
      <c r="D44" s="114" t="inlineStr">
        <is>
          <t>Its grants and borrowing fall faster than costs. It therefore has a larger shortfall than Full at current settings.</t>
        </is>
      </c>
    </row>
    <row r="45" ht="54" customHeight="1">
      <c r="A45" s="114" t="inlineStr">
        <is>
          <t>Existing Lower sales case</t>
        </is>
      </c>
      <c r="B45" s="168" t="n"/>
      <c r="C45" s="114" t="inlineStr">
        <is>
          <t>No effect while Goods sales are zero</t>
        </is>
      </c>
      <c r="D45" s="114" t="inlineStr">
        <is>
          <t>Populate real Goods orders before this sensitivity can test earning risk.</t>
        </is>
      </c>
    </row>
    <row r="46" ht="54" customHeight="1">
      <c r="A46" s="114" t="n"/>
      <c r="B46" s="168" t="n"/>
      <c r="C46" s="114" t="n"/>
      <c r="D46" s="114" t="n"/>
    </row>
    <row r="47" ht="54" customHeight="1">
      <c r="A47" s="114" t="n"/>
      <c r="B47" s="168" t="n"/>
      <c r="C47" s="114" t="n"/>
      <c r="D47" s="114" t="n"/>
    </row>
    <row r="48" ht="54" customHeight="1">
      <c r="A48" s="125" t="inlineStr">
        <is>
          <t>Expert budget reconciliation</t>
        </is>
      </c>
      <c r="B48" s="169" t="inlineStr">
        <is>
          <t>Retained amount</t>
        </is>
      </c>
      <c r="C48" s="125" t="inlineStr">
        <is>
          <t>Source / treatment</t>
        </is>
      </c>
      <c r="D48" s="125" t="inlineStr">
        <is>
          <t>Meaning</t>
        </is>
      </c>
    </row>
    <row r="49" ht="54" customHeight="1">
      <c r="A49" s="114" t="inlineStr">
        <is>
          <t>Founder salaries</t>
        </is>
      </c>
      <c r="B49" s="168">
        <f>'Assumptions'!B23</f>
        <v/>
      </c>
      <c r="C49" s="114" t="inlineStr">
        <is>
          <t>Original Inputs (1)</t>
        </is>
      </c>
      <c r="D49" s="114" t="inlineStr">
        <is>
          <t>Matt forward provision retained; do not also add the older production-lead allowance.</t>
        </is>
      </c>
    </row>
    <row r="50" ht="54" customHeight="1">
      <c r="A50" s="114" t="inlineStr">
        <is>
          <t>Head office</t>
        </is>
      </c>
      <c r="B50" s="168">
        <f>'Assumptions'!B24</f>
        <v/>
      </c>
      <c r="C50" s="114" t="inlineStr">
        <is>
          <t>Original Inputs (1)</t>
        </is>
      </c>
      <c r="D50" s="114" t="inlineStr">
        <is>
          <t>Includes accounting/audit; compare with the consulting line before removing any amount.</t>
        </is>
      </c>
    </row>
    <row r="51" ht="54" customHeight="1">
      <c r="A51" s="114" t="inlineStr">
        <is>
          <t>Marketing</t>
        </is>
      </c>
      <c r="B51" s="168">
        <f>'Assumptions'!B25</f>
        <v/>
      </c>
      <c r="C51" s="114" t="inlineStr">
        <is>
          <t>Original Inputs (1)</t>
        </is>
      </c>
      <c r="D51" s="114" t="inlineStr">
        <is>
          <t>Retained expert provision.</t>
        </is>
      </c>
    </row>
    <row r="52" ht="54" customHeight="1">
      <c r="A52" s="114" t="inlineStr">
        <is>
          <t>Field travel</t>
        </is>
      </c>
      <c r="B52" s="168">
        <f>'Assumptions'!B26</f>
        <v/>
      </c>
      <c r="C52" s="114" t="inlineStr">
        <is>
          <t>Original Inputs (1)</t>
        </is>
      </c>
      <c r="D52" s="114" t="inlineStr">
        <is>
          <t>Count once across the budget.</t>
        </is>
      </c>
    </row>
    <row r="53" ht="54" customHeight="1">
      <c r="A53" s="114" t="inlineStr">
        <is>
          <t>Consulting and accounting</t>
        </is>
      </c>
      <c r="B53" s="168">
        <f>'Assumptions'!B27</f>
        <v/>
      </c>
      <c r="C53" s="114" t="inlineStr">
        <is>
          <t>Original Inputs (1)</t>
        </is>
      </c>
      <c r="D53" s="114" t="inlineStr">
        <is>
          <t>Potential overlap is unresolved; no automatic deduction.</t>
        </is>
      </c>
    </row>
    <row r="54" ht="54" customHeight="1">
      <c r="A54" s="114" t="inlineStr">
        <is>
          <t>Expert central baseline</t>
        </is>
      </c>
      <c r="B54" s="168" t="n">
        <v>340200</v>
      </c>
      <c r="C54" s="114" t="inlineStr">
        <is>
          <t>Inputs (1)!B19, source snapshot</t>
        </is>
      </c>
      <c r="D54" s="114" t="inlineStr">
        <is>
          <t>GOC Bed Unit-Costing Model v2 — working original.xlsx, reviewed 9 September 2026.</t>
        </is>
      </c>
    </row>
    <row r="55" ht="54" customHeight="1">
      <c r="A55" s="114" t="inlineStr">
        <is>
          <t>Current central variance</t>
        </is>
      </c>
      <c r="B55" s="168">
        <f>B10-B54</f>
        <v/>
      </c>
      <c r="C55" s="114" t="inlineStr">
        <is>
          <t>Current provision less expert baseline</t>
        </is>
      </c>
      <c r="D55" s="114" t="inlineStr">
        <is>
          <t>An explicit later budget change should appear here rather than silently replace the expert baseline.</t>
        </is>
      </c>
    </row>
    <row r="56" ht="54" customHeight="1">
      <c r="A56" s="114" t="n"/>
      <c r="B56" s="168" t="n"/>
      <c r="C56" s="114" t="n"/>
      <c r="D56" s="114" t="n"/>
    </row>
    <row r="57" ht="54" customHeight="1">
      <c r="A57" s="114" t="inlineStr">
        <is>
          <t>Canon make cost (printed)</t>
        </is>
      </c>
      <c r="B57" s="129">
        <f>Assumptions!B46</f>
        <v/>
      </c>
      <c r="C57" s="114" t="inlineStr">
        <is>
          <t>canon.ts stateFactory, engine-locked</t>
        </is>
      </c>
      <c r="D57" s="114" t="inlineStr">
        <is>
          <t>$276: plastic 20 kg at $2.75 = $55, diesel $15, press labour $80, steel $27, canvas $93.50, hardware $5. Freight on top. Plastic basis (Ben, 9 Sep): a leg sheet takes 21 kg of shred and a tab sheet 15 kg, so 36 kg is pressed per bed; the bed keeps 20 kg and about 16 kg of offcut goes back to the shredder. Net new shred 20 kg a bed. See rows 146 to 156.</t>
        </is>
      </c>
    </row>
    <row r="58" ht="54" customHeight="1">
      <c r="A58" s="114" t="inlineStr">
        <is>
          <t>Current NM cost before freight</t>
        </is>
      </c>
      <c r="B58" s="129">
        <f>'Start'!B48</f>
        <v/>
      </c>
      <c r="C58" s="114" t="inlineStr">
        <is>
          <t>NM Play!B66; selected annual staffing</t>
        </is>
      </c>
      <c r="D58" s="114" t="inlineStr">
        <is>
          <t>NM's route in the cash model on 20 kg of new shred a bed after offcut recovery (Ben, 9 Sep): plastic $60 at $3 a kilo, power $17, consumables $33, bought parts $126. No labour line: staffing is annual. Freight $100 added on Sites.</t>
        </is>
      </c>
    </row>
    <row r="59" ht="54" customHeight="1">
      <c r="A59" s="114" t="inlineStr">
        <is>
          <t>NM route, delivered</t>
        </is>
      </c>
      <c r="B59" s="129">
        <f>SUM('Start'!B48:B49)</f>
        <v/>
      </c>
      <c r="C59" s="114" t="inlineStr">
        <is>
          <t>Before annual staffing / facility costs</t>
        </is>
      </c>
      <c r="D59" s="114" t="inlineStr">
        <is>
          <t>NM route plus $100 freight; the cash model uses this for the 400 beds. Remaining gap to canon: NM's $33 consumables and $5 of plastic price against canon's $80 labour line.</t>
        </is>
      </c>
    </row>
    <row r="60" ht="54" customHeight="1">
      <c r="A60" s="114" t="inlineStr">
        <is>
          <t>NM daily-crew alternative</t>
        </is>
      </c>
      <c r="B60" s="129">
        <f>'NM Play'!B65</f>
        <v/>
      </c>
      <c r="C60" s="114" t="inlineStr">
        <is>
          <t>Before freight</t>
        </is>
      </c>
      <c r="D60" s="114" t="inlineStr">
        <is>
          <t>$535.74: NM's daily-crew alternative, crew $700 a day plus rent and assembly per bed. A comparison only; never added to the annual budget.</t>
        </is>
      </c>
    </row>
    <row r="61" ht="54" customHeight="1">
      <c r="A61" s="114" t="n"/>
      <c r="B61" s="168" t="n"/>
      <c r="C61" s="114" t="n"/>
      <c r="D61" s="114" t="n"/>
    </row>
    <row r="62" ht="54" customHeight="1">
      <c r="A62" s="114" t="inlineStr">
        <is>
          <t>Older phase subtotal</t>
        </is>
      </c>
      <c r="B62" s="168" t="n">
        <v>527583.5</v>
      </c>
      <c r="C62" s="114" t="inlineStr">
        <is>
          <t>Original Overview!B15 snapshot</t>
        </is>
      </c>
      <c r="D62" s="114" t="inlineStr">
        <is>
          <t>Narrower phase allocation, different production split and $226,000 capital. Incomplete; not comparable to full annual scope without a bridge.</t>
        </is>
      </c>
    </row>
    <row r="63" ht="54" customHeight="1">
      <c r="A63" s="114" t="inlineStr">
        <is>
          <t>Earlier two-facility capital</t>
        </is>
      </c>
      <c r="B63" s="168" t="n">
        <v>226000</v>
      </c>
      <c r="C63" s="114" t="inlineStr">
        <is>
          <t>Original Cost plan!H6:H7 snapshot</t>
        </is>
      </c>
      <c r="D63" s="114" t="inlineStr">
        <is>
          <t>Replaced by the later $300,000 allowance. Original retained as evidence, not a second current target.</t>
        </is>
      </c>
    </row>
    <row r="64" ht="54" customHeight="1">
      <c r="A64" s="114" t="n"/>
      <c r="B64" s="168" t="n"/>
      <c r="C64" s="114" t="n"/>
      <c r="D64" s="114" t="n"/>
    </row>
    <row r="65" ht="54" customHeight="1">
      <c r="A65" s="114" t="n"/>
      <c r="B65" s="168" t="n"/>
      <c r="C65" s="114" t="n"/>
      <c r="D65" s="114" t="n"/>
    </row>
    <row r="66" ht="54" customHeight="1">
      <c r="A66" s="125" t="inlineStr">
        <is>
          <t>Capacity and missing scope</t>
        </is>
      </c>
      <c r="B66" s="169" t="inlineStr">
        <is>
          <t>Current value</t>
        </is>
      </c>
      <c r="C66" s="125" t="inlineStr">
        <is>
          <t>Basis</t>
        </is>
      </c>
      <c r="D66" s="125" t="inlineStr">
        <is>
          <t>Next decision</t>
        </is>
      </c>
    </row>
    <row r="67" ht="54" customHeight="1">
      <c r="A67" s="114" t="inlineStr">
        <is>
          <t>Initial stock target</t>
        </is>
      </c>
      <c r="B67" s="168">
        <f>'Start'!B42</f>
        <v/>
      </c>
      <c r="C67" s="114" t="inlineStr">
        <is>
          <t>Target, not confirmed orders</t>
        </is>
      </c>
      <c r="D67" s="114" t="inlineStr">
        <is>
          <t>All initial stock made at The Harvest.</t>
        </is>
      </c>
    </row>
    <row r="68" ht="54" customHeight="1">
      <c r="A68" s="114" t="inlineStr">
        <is>
          <t>Selected scheduled output</t>
        </is>
      </c>
      <c r="B68" s="168">
        <f>'Start'!B45</f>
        <v/>
      </c>
      <c r="C68" s="114" t="inlineStr">
        <is>
          <t>Current production assumptions</t>
        </is>
      </c>
      <c r="D68" s="114" t="inlineStr">
        <is>
          <t>Capacity at 20 productive days a month (NM Play basis). Three sets a day is a planning rate until a measured run confirms it.</t>
        </is>
      </c>
    </row>
    <row r="69" ht="54" customHeight="1">
      <c r="A69" s="114" t="inlineStr">
        <is>
          <t>Target above scheduled capacity</t>
        </is>
      </c>
      <c r="B69" s="168">
        <f>'Start'!B46</f>
        <v/>
      </c>
      <c r="C69" s="114" t="inlineStr">
        <is>
          <t>Target less selected output</t>
        </is>
      </c>
      <c r="D69" s="114" t="inlineStr">
        <is>
          <t>Target sits inside capacity at NM's 20 days a month.</t>
        </is>
      </c>
    </row>
    <row r="70" ht="54" customHeight="1">
      <c r="A70" s="114" t="inlineStr">
        <is>
          <t>Unpriced cost inputs</t>
        </is>
      </c>
      <c r="B70" s="168">
        <f>'Start'!B12</f>
        <v/>
      </c>
      <c r="C70" s="114" t="inlineStr">
        <is>
          <t>Selected case</t>
        </is>
      </c>
      <c r="D70" s="114" t="inlineStr">
        <is>
          <t>Includes establishment and process gaps; zero entered spend does not establish zero cost.</t>
        </is>
      </c>
    </row>
    <row r="71" ht="54" customHeight="1">
      <c r="A71" s="114" t="inlineStr">
        <is>
          <t>Programme allowance</t>
        </is>
      </c>
      <c r="B71" s="168">
        <f>'Assumptions'!B44</f>
        <v/>
      </c>
      <c r="C71" s="114" t="inlineStr">
        <is>
          <t>Per programme, not agreed total</t>
        </is>
      </c>
      <c r="D71" s="114" t="inlineStr">
        <is>
          <t>Ben 9 Sep: $10,000 facilitation per community (was Matt's $60,000). Count is 4 on Sites O6.</t>
        </is>
      </c>
    </row>
    <row r="72" ht="54" customHeight="1">
      <c r="A72" s="172" t="inlineStr">
        <is>
          <t>Witta capacity, stated NM's way (Ben, 9 Sep 2026)</t>
        </is>
      </c>
      <c r="B72" s="178" t="inlineStr">
        <is>
          <t>Value</t>
        </is>
      </c>
      <c r="C72" s="172" t="inlineStr">
        <is>
          <t>Source</t>
        </is>
      </c>
      <c r="D72" s="172" t="inlineStr">
        <is>
          <t>Meaning</t>
        </is>
      </c>
    </row>
    <row r="73" ht="54" customHeight="1">
      <c r="A73" s="179" t="inlineStr">
        <is>
          <t>Pressed sheets a day</t>
        </is>
      </c>
      <c r="B73" s="180" t="n">
        <v>6</v>
      </c>
      <c r="C73" s="179" t="inlineStr">
        <is>
          <t>NM Play B66</t>
        </is>
      </c>
      <c r="D73" s="179" t="inlineStr">
        <is>
          <t>The hot press makes six sheets a day.</t>
        </is>
      </c>
    </row>
    <row r="74" ht="54" customHeight="1">
      <c r="A74" s="181" t="inlineStr">
        <is>
          <t>Sheets per bed, own panels</t>
        </is>
      </c>
      <c r="B74" s="182" t="n">
        <v>2</v>
      </c>
      <c r="C74" s="181" t="inlineStr">
        <is>
          <t>NM Play A83; Making plan B38</t>
        </is>
      </c>
      <c r="D74" s="181" t="inlineStr">
        <is>
          <t>One tab sheet and one leg sheet per bed.</t>
        </is>
      </c>
    </row>
    <row r="75" ht="54" customHeight="1">
      <c r="A75" s="179" t="inlineStr">
        <is>
          <t>Beds a day, own panels</t>
        </is>
      </c>
      <c r="B75" s="180">
        <f>B73/B74</f>
        <v/>
      </c>
      <c r="C75" s="179" t="inlineStr">
        <is>
          <t>NM Play A83: 15 beds a week</t>
        </is>
      </c>
      <c r="D75" s="179" t="inlineStr">
        <is>
          <t>Three bed sets a day when Witta presses both sheets.</t>
        </is>
      </c>
    </row>
    <row r="76" ht="54" customHeight="1">
      <c r="A76" s="179" t="inlineStr">
        <is>
          <t>Days a week</t>
        </is>
      </c>
      <c r="B76" s="180" t="n">
        <v>5</v>
      </c>
      <c r="C76" s="179" t="inlineStr">
        <is>
          <t>Making plan B7</t>
        </is>
      </c>
      <c r="D76" s="179" t="inlineStr">
        <is>
          <t>Five productive days.</t>
        </is>
      </c>
    </row>
    <row r="77" ht="54" customHeight="1">
      <c r="A77" s="179" t="inlineStr">
        <is>
          <t>Weeks a year</t>
        </is>
      </c>
      <c r="B77" s="180" t="n">
        <v>48</v>
      </c>
      <c r="C77" s="179" t="inlineStr">
        <is>
          <t>NM Play C121</t>
        </is>
      </c>
      <c r="D77" s="179" t="inlineStr">
        <is>
          <t>Four weeks off.</t>
        </is>
      </c>
    </row>
    <row r="78" ht="54" customHeight="1">
      <c r="A78" s="179" t="inlineStr">
        <is>
          <t>Beds a year, own panels</t>
        </is>
      </c>
      <c r="B78" s="180">
        <f>B75*B76*B77</f>
        <v/>
      </c>
      <c r="C78" s="179" t="inlineStr">
        <is>
          <t>6 sheets ÷ 2 × 5 × 48</t>
        </is>
      </c>
      <c r="D78" s="179" t="inlineStr">
        <is>
          <t>720 beds a year at Witta pressing everything.</t>
        </is>
      </c>
    </row>
    <row r="79" ht="54" customHeight="1">
      <c r="A79" s="179" t="inlineStr">
        <is>
          <t>Beds a week if Defy supplies leg panels</t>
        </is>
      </c>
      <c r="B79" s="180" t="n">
        <v>30</v>
      </c>
      <c r="C79" s="179" t="inlineStr">
        <is>
          <t>NM Play A82</t>
        </is>
      </c>
      <c r="D79" s="179" t="inlineStr">
        <is>
          <t>Witta presses only the tab sheet; Defy supplies legs at $160 a bed.</t>
        </is>
      </c>
    </row>
    <row r="80" ht="54" customHeight="1">
      <c r="A80" s="179" t="inlineStr">
        <is>
          <t>Beds a year with Defy leg panels</t>
        </is>
      </c>
      <c r="B80" s="180">
        <f>B79*B77</f>
        <v/>
      </c>
      <c r="C80" s="179" t="inlineStr">
        <is>
          <t>30 × 48</t>
        </is>
      </c>
      <c r="D80" s="179" t="inlineStr">
        <is>
          <t>1,440 beds a year. Higher output, higher cost per bed.</t>
        </is>
      </c>
    </row>
    <row r="81" ht="54" customHeight="1">
      <c r="A81" s="179" t="inlineStr">
        <is>
          <t>Note</t>
        </is>
      </c>
      <c r="B81" s="180" t="n"/>
      <c r="C81" s="179" t="inlineStr">
        <is>
          <t>Allocate annual costs</t>
        </is>
      </c>
      <c r="D81" s="179" t="inlineStr">
        <is>
          <t>Six sheets a day is NM's stated rate. It is a planning rate until a run of fifty at working pace confirms it. The earlier '10 days a month' came from Matt's Sites sheet and is withdrawn.</t>
        </is>
      </c>
    </row>
    <row r="82" ht="54" customHeight="1">
      <c r="A82" s="114" t="inlineStr">
        <is>
          <t>Next decision 2</t>
        </is>
      </c>
      <c r="B82" s="168" t="n"/>
      <c r="C82" s="114" t="inlineStr">
        <is>
          <t>Verify incoming funds</t>
        </is>
      </c>
      <c r="D82" s="114" t="inlineStr">
        <is>
          <t>Review QBE, TFFF and BMD evidence, then Snow, Dusseldorp and direct customer contracts. Confirm recipient, restrictions and date.</t>
        </is>
      </c>
    </row>
    <row r="83" ht="54" customHeight="1">
      <c r="A83" s="114" t="inlineStr">
        <is>
          <t>Next decision 3</t>
        </is>
      </c>
      <c r="B83" s="168" t="n"/>
      <c r="C83" s="114" t="inlineStr">
        <is>
          <t>Agree support and phasing</t>
        </is>
      </c>
      <c r="D83" s="114" t="inlineStr">
        <is>
          <t>Price the first stock-and-support phase, decide the minimum viable scope and only then set additional asks.</t>
        </is>
      </c>
    </row>
    <row r="84" ht="54" customHeight="1">
      <c r="A84" s="114" t="n"/>
      <c r="B84" s="168" t="n"/>
      <c r="C84" s="114" t="n"/>
      <c r="D84" s="114" t="n"/>
    </row>
    <row r="85" ht="54" customHeight="1">
      <c r="A85" s="114" t="n"/>
      <c r="B85" s="168" t="n"/>
      <c r="C85" s="114" t="n"/>
      <c r="D85" s="114" t="n"/>
    </row>
    <row r="86" ht="54" customHeight="1">
      <c r="A86" s="172" t="inlineStr">
        <is>
          <t>The price model (Ben, 9 Sep 2026): every bed carries the business</t>
        </is>
      </c>
      <c r="B86" s="178" t="inlineStr">
        <is>
          <t>Amount</t>
        </is>
      </c>
      <c r="C86" s="172" t="inlineStr">
        <is>
          <t>Basis</t>
        </is>
      </c>
      <c r="D86" s="172" t="inlineStr">
        <is>
          <t>Meaning</t>
        </is>
      </c>
    </row>
    <row r="87" ht="54" customHeight="1">
      <c r="A87" s="179" t="inlineStr">
        <is>
          <t>Price per bed</t>
        </is>
      </c>
      <c r="B87" s="180">
        <f>Assumptions!B33</f>
        <v/>
      </c>
      <c r="C87" s="179" t="inlineStr">
        <is>
          <t>Assumptions B33 (canon stretch-price)</t>
        </is>
      </c>
      <c r="D87" s="179" t="inlineStr">
        <is>
          <t>Ben 9 Sep: price at the factory door. Freight is on top, at cost, its own line per community (about $100 Alice Springs, $150 or more Maningrida and Kununurra). A buyer or a grant pays it with the bed.</t>
        </is>
      </c>
    </row>
    <row r="88" ht="54" customHeight="1">
      <c r="A88" s="179" t="inlineStr">
        <is>
          <t>Cost to make a bed at Witta, before freight</t>
        </is>
      </c>
      <c r="B88" s="180">
        <f>Assumptions!B46</f>
        <v/>
      </c>
      <c r="C88" s="179" t="inlineStr">
        <is>
          <t>Assumptions B46 (canon $276: materials, power, factory labour)</t>
        </is>
      </c>
      <c r="D88" s="179" t="inlineStr">
        <is>
          <t>Freight is charged after the bed is made, as its own line (Sites, $100 a bed in the model). Matt's route gives $295.74 for materials alone; canon adds $80 factory labour and lands at $276 with cheaper plastic.</t>
        </is>
      </c>
    </row>
    <row r="89" ht="54" customHeight="1">
      <c r="A89" s="179" t="inlineStr">
        <is>
          <t>Stays in Goods per bed (before freight)</t>
        </is>
      </c>
      <c r="B89" s="180">
        <f>B87-B88</f>
        <v/>
      </c>
      <c r="C89" s="179" t="inlineStr">
        <is>
          <t>Price less cost</t>
        </is>
      </c>
      <c r="D89" s="179" t="inlineStr">
        <is>
          <t>Always $474, because freight is charged on top and does not come out of it. Pays rent, founders and everything else the business needs.</t>
        </is>
      </c>
    </row>
    <row r="90" ht="54" customHeight="1">
      <c r="A90" s="179" t="inlineStr">
        <is>
          <t>400 beds: revenue to Goods</t>
        </is>
      </c>
      <c r="B90" s="180">
        <f>400*B87</f>
        <v/>
      </c>
      <c r="C90" s="179" t="inlineStr">
        <is>
          <t>400 × price</t>
        </is>
      </c>
      <c r="D90" s="179" t="inlineStr">
        <is>
          <t>Every one of the 400 is paid for at $750, by a buyer or by a grant on a community's behalf.</t>
        </is>
      </c>
    </row>
    <row r="91" ht="54" customHeight="1">
      <c r="A91" s="179" t="inlineStr">
        <is>
          <t>400 beds: stays in Goods</t>
        </is>
      </c>
      <c r="B91" s="180">
        <f>400*B89</f>
        <v/>
      </c>
      <c r="C91" s="179" t="inlineStr">
        <is>
          <t>400 × stays</t>
        </is>
      </c>
      <c r="D91" s="179" t="inlineStr">
        <is>
          <t>The organisation's share carried by this year's programme beds.</t>
        </is>
      </c>
    </row>
    <row r="92" ht="54" customHeight="1">
      <c r="A92" s="179" t="inlineStr">
        <is>
          <t>Organisation and factory year</t>
        </is>
      </c>
      <c r="B92" s="180">
        <f>B9+B10</f>
        <v/>
      </c>
      <c r="C92" s="179" t="inlineStr">
        <is>
          <t>Rows 9 and 10</t>
        </is>
      </c>
      <c r="D92" s="179" t="inlineStr">
        <is>
          <t>Matt's provision for Witta and the shared team.</t>
        </is>
      </c>
    </row>
    <row r="93" ht="54" customHeight="1">
      <c r="A93" s="179" t="inlineStr">
        <is>
          <t>Beds a year that would carry the organisation on bed sales alone</t>
        </is>
      </c>
      <c r="B93" s="180">
        <f>ROUND(B92/B89,0)</f>
        <v/>
      </c>
      <c r="C93" s="179" t="inlineStr">
        <is>
          <t>Organisation ÷ stays per bed</t>
        </is>
      </c>
      <c r="D93" s="179" t="inlineStr">
        <is>
          <t>The honest break-even at canon cost. Matt's August model put it at 487 across three sites on a different cost base; reconcile before either is printed.</t>
        </is>
      </c>
    </row>
    <row r="94" ht="54" customHeight="1">
      <c r="A94" s="179" t="inlineStr">
        <is>
          <t>Goods-tagged receipts, FY26 (beds, washers, grants, incl. GST)</t>
        </is>
      </c>
      <c r="B94" s="180" t="n">
        <v>653246</v>
      </c>
      <c r="C94" s="179" t="inlineStr">
        <is>
          <t>FY26 invoices sheet</t>
        </is>
      </c>
      <c r="D94" s="179" t="inlineStr">
        <is>
          <t>How the business stood last year: beds and washers sold plus grants. Not a forecast.</t>
        </is>
      </c>
    </row>
    <row r="95" ht="54" customHeight="1">
      <c r="A95" s="172" t="inlineStr">
        <is>
          <t>Who pays Goods for the 400 first-stock beds (catalytic enterprise capital)</t>
        </is>
      </c>
      <c r="B95" s="178" t="n"/>
      <c r="C95" s="172" t="n"/>
      <c r="D95" s="172" t="n"/>
    </row>
    <row r="96" ht="54" customHeight="1">
      <c r="A96" s="179" t="inlineStr">
        <is>
          <t>Tim Fairfax year one, 133 beds</t>
        </is>
      </c>
      <c r="B96" s="180">
        <f>Funding!F7</f>
        <v/>
      </c>
      <c r="C96" s="179" t="inlineStr">
        <is>
          <t>Invited, board late Nov</t>
        </is>
      </c>
      <c r="D96" s="179" t="inlineStr">
        <is>
          <t>Catalytic capital: operating support that buys first trading stock for community enterprises.</t>
        </is>
      </c>
    </row>
    <row r="97" ht="54" customHeight="1">
      <c r="A97" s="179" t="inlineStr">
        <is>
          <t>Brian M. Davis, 80 beds plus facilitation</t>
        </is>
      </c>
      <c r="B97" s="180">
        <f>Funding!F8</f>
        <v/>
      </c>
      <c r="C97" s="179" t="inlineStr">
        <is>
          <t>Invited, board 19 Nov</t>
        </is>
      </c>
      <c r="D97" s="179" t="inlineStr">
        <is>
          <t>$60,000 buys 80 beds of first stock; $40,000 pays Nic and Ben to facilitate four communities.</t>
        </is>
      </c>
    </row>
    <row r="98" ht="54" customHeight="1">
      <c r="A98" s="179" t="inlineStr">
        <is>
          <t>Catalytic capital still to find, 187 beds</t>
        </is>
      </c>
      <c r="B98" s="180">
        <f>B90-B96-(B97-40000)</f>
        <v/>
      </c>
      <c r="C98" s="179" t="inlineStr">
        <is>
          <t>400 × price less the two invitations</t>
        </is>
      </c>
      <c r="D98" s="179" t="inlineStr">
        <is>
          <t>Philanthropy (Snow, others), or a smaller first year of 213 beds. Never buyers.</t>
        </is>
      </c>
    </row>
    <row r="99" ht="54" customHeight="1">
      <c r="A99" s="179" t="inlineStr">
        <is>
          <t>ALIVE, 100 beds, separate from the 400</t>
        </is>
      </c>
      <c r="B99" s="180">
        <f>100*B87</f>
        <v/>
      </c>
      <c r="C99" s="179" t="inlineStr">
        <is>
          <t>Xero INV-0342, paid 2 Jul 2026</t>
        </is>
      </c>
      <c r="D99" s="179" t="inlineStr">
        <is>
          <t>An institutional buyer that paid Goods $75,000 in July for 100 beds delivered around Central Australia under ALIVE's own grant (Gathering the Parts). Already paid, already allocated, not part of the 400 first-stock beds. Earned revenue, never catalytic capital.</t>
        </is>
      </c>
    </row>
    <row r="100" ht="54" customHeight="1">
      <c r="A100" s="179" t="inlineStr">
        <is>
          <t>Two community plants</t>
        </is>
      </c>
      <c r="B100" s="180">
        <f>Funding!F6</f>
        <v/>
      </c>
      <c r="C100" s="179" t="inlineStr">
        <is>
          <t>QBE, application due 25 Sep</t>
        </is>
      </c>
      <c r="D100" s="179" t="inlineStr">
        <is>
          <t>Manufacturing transfer. Not inside the bed price.</t>
        </is>
      </c>
    </row>
    <row r="101">
      <c r="A101" s="172" t="inlineStr">
        <is>
          <t>Institutional demand (layer 3) is not Goods revenue</t>
        </is>
      </c>
      <c r="B101" s="171" t="n"/>
      <c r="C101" s="171" t="n"/>
      <c r="D101" s="171" t="inlineStr">
        <is>
          <t>Buyers such as Centrecorp (130 on quote), NT Health and Miwatj, Shepherdson College and Ceduna Aboriginal Corporation pay the community enterprise for beds. That money stays with the community and is never added to the first-stock table. ALIVE's 100 are a separate paid order outside the 400.</t>
        </is>
      </c>
    </row>
    <row r="104">
      <c r="A104" s="172" t="inlineStr">
        <is>
          <t>Full cost of a bed by volume (Ben, 9 Sep 2026)</t>
        </is>
      </c>
      <c r="B104" s="172" t="inlineStr">
        <is>
          <t>Beds a year</t>
        </is>
      </c>
      <c r="C104" s="172" t="inlineStr">
        <is>
          <t>Make it</t>
        </is>
      </c>
      <c r="D104" s="172" t="inlineStr">
        <is>
          <t>Factory, organisation and facilitation per bed</t>
        </is>
      </c>
      <c r="E104" s="172" t="inlineStr">
        <is>
          <t>Full cost per bed</t>
        </is>
      </c>
      <c r="F104" s="172" t="inlineStr">
        <is>
          <t>Against $750</t>
        </is>
      </c>
    </row>
    <row r="105">
      <c r="A105" t="inlineStr">
        <is>
          <t>At 400 beds</t>
        </is>
      </c>
      <c r="B105" t="n">
        <v>400</v>
      </c>
      <c r="C105">
        <f>$B$88</f>
        <v/>
      </c>
      <c r="D105">
        <f>($B$9+$B$10+$B$7)/B105</f>
        <v/>
      </c>
      <c r="E105">
        <f>C105+D105</f>
        <v/>
      </c>
      <c r="F105">
        <f>$B$87-E105</f>
        <v/>
      </c>
    </row>
    <row r="106">
      <c r="A106" t="inlineStr">
        <is>
          <t>At 800 beds</t>
        </is>
      </c>
      <c r="B106" t="n">
        <v>800</v>
      </c>
      <c r="C106">
        <f>$B$88</f>
        <v/>
      </c>
      <c r="D106">
        <f>($B$9+$B$10+$B$7)/B106</f>
        <v/>
      </c>
      <c r="E106">
        <f>C106+D106</f>
        <v/>
      </c>
      <c r="F106">
        <f>$B$87-E106</f>
        <v/>
      </c>
    </row>
    <row r="107">
      <c r="A107" t="inlineStr">
        <is>
          <t>At 1,200 beds</t>
        </is>
      </c>
      <c r="B107" t="n">
        <v>1200</v>
      </c>
      <c r="C107">
        <f>$B$88</f>
        <v/>
      </c>
      <c r="D107">
        <f>($B$9+$B$10+$B$7)/B107</f>
        <v/>
      </c>
      <c r="E107">
        <f>C107+D107</f>
        <v/>
      </c>
      <c r="F107">
        <f>$B$87-E107</f>
        <v/>
      </c>
    </row>
    <row r="108">
      <c r="A108" t="inlineStr">
        <is>
          <t>At 2,000 beds</t>
        </is>
      </c>
      <c r="B108" t="n">
        <v>2000</v>
      </c>
      <c r="C108">
        <f>$B$88</f>
        <v/>
      </c>
      <c r="D108">
        <f>($B$9+$B$10+$B$7)/B108</f>
        <v/>
      </c>
      <c r="E108">
        <f>C108+D108</f>
        <v/>
      </c>
      <c r="F108">
        <f>$B$87-E108</f>
        <v/>
      </c>
    </row>
    <row r="109">
      <c r="A109" s="171" t="inlineStr">
        <is>
          <t>Make it = canon marginal factory cost (materials, parts, power, freight). Factory and organisation = Phase and raise rows 9, 10 and 7 spread over the beds made. Below the break-even volume the difference is carried by grants, washing machines and workshops; above it every bed leaves money in the business.</t>
        </is>
      </c>
    </row>
    <row r="112">
      <c r="A112" s="172" t="inlineStr">
        <is>
          <t>Bed funding ladder: every way a bed gets paid for at $750 (Ben, 9 Sep 2026)</t>
        </is>
      </c>
      <c r="B112" s="172" t="inlineStr">
        <is>
          <t>Amount</t>
        </is>
      </c>
      <c r="C112" s="172" t="inlineStr">
        <is>
          <t>Beds at $750</t>
        </is>
      </c>
      <c r="D112" s="172" t="inlineStr">
        <is>
          <t>Tier</t>
        </is>
      </c>
      <c r="E112" s="172" t="inlineStr">
        <is>
          <t>Status and what it means</t>
        </is>
      </c>
    </row>
    <row r="113">
      <c r="A113" s="171" t="inlineStr">
        <is>
          <t>Tim Fairfax Family Foundation, year one</t>
        </is>
      </c>
      <c r="B113" s="171">
        <f>Funding!F7</f>
        <v/>
      </c>
      <c r="C113" s="171">
        <f>B113/$B$87</f>
        <v/>
      </c>
      <c r="D113" s="171" t="n">
        <v>1</v>
      </c>
      <c r="E113" s="171" t="inlineStr">
        <is>
          <t>Invited 31 Aug, apply by 9 Oct, board late Nov. Operating support spent on first trading stock for community enterprises.</t>
        </is>
      </c>
    </row>
    <row r="114">
      <c r="A114" s="171" t="inlineStr">
        <is>
          <t>Brian M. Davis, bed share</t>
        </is>
      </c>
      <c r="B114" s="171">
        <f>Funding!F8-40000</f>
        <v/>
      </c>
      <c r="C114" s="171">
        <f>B114/$B$87</f>
        <v/>
      </c>
      <c r="D114" s="171" t="n">
        <v>1</v>
      </c>
      <c r="E114" s="171" t="inlineStr">
        <is>
          <t>Invited 1 Sep, apply by 25 Sep, board 19 Nov. $60,000 of the $100,000 buys beds; $40,000 pays facilitation.</t>
        </is>
      </c>
    </row>
    <row r="115">
      <c r="A115" s="171" t="inlineStr">
        <is>
          <t>Snow Foundation</t>
        </is>
      </c>
      <c r="B115" s="171" t="n">
        <v>100000</v>
      </c>
      <c r="C115" s="171">
        <f>B115/$B$87</f>
        <v/>
      </c>
      <c r="D115" s="171" t="n">
        <v>2</v>
      </c>
      <c r="E115" s="171" t="inlineStr">
        <is>
          <t>No current ask in email. Ben's number $100,000 (HighLevel carries $150,000). Snow gave $375,000 last year. The ask to make first.</t>
        </is>
      </c>
    </row>
    <row r="116">
      <c r="A116" s="171" t="inlineStr">
        <is>
          <t>Dusseldorp Forum</t>
        </is>
      </c>
      <c r="B116" s="171" t="n">
        <v>50000</v>
      </c>
      <c r="C116" s="171">
        <f>B116/$B$87</f>
        <v/>
      </c>
      <c r="D116" s="171" t="n">
        <v>2</v>
      </c>
      <c r="E116" s="171" t="inlineStr">
        <is>
          <t>Our number, nothing from the funder yet. Rachel Fyfe is in conversation on story and media.</t>
        </is>
      </c>
    </row>
    <row r="117">
      <c r="A117" s="171" t="inlineStr">
        <is>
          <t>Other philanthropy (Fay Fuller via Gavin Reid, Wyatt, FRRR, others)</t>
        </is>
      </c>
      <c r="B117" s="171" t="n">
        <v>0</v>
      </c>
      <c r="C117" s="171">
        <f>B117/$B$87</f>
        <v/>
      </c>
      <c r="D117" s="171" t="n">
        <v>2</v>
      </c>
      <c r="E117" s="171" t="inlineStr">
        <is>
          <t>Named leads, no ask made. Enter an amount when one exists.</t>
        </is>
      </c>
    </row>
    <row r="118">
      <c r="A118" s="171" t="inlineStr">
        <is>
          <t>Direct institutional orders to Goods (the ALIVE pattern)</t>
        </is>
      </c>
      <c r="B118" s="171" t="n">
        <v>0</v>
      </c>
      <c r="C118" s="171">
        <f>B118/$B$87</f>
        <v/>
      </c>
      <c r="D118" s="171" t="n">
        <v>2</v>
      </c>
      <c r="E118" s="171" t="inlineStr">
        <is>
          <t>A buyer who orders from Goods directly and takes delivery, like ALIVE's 100. Earned revenue at $750. Enter when an order exists.</t>
        </is>
      </c>
    </row>
    <row r="119">
      <c r="A119" s="171" t="inlineStr">
        <is>
          <t>Sefa, Backing the Bold loan</t>
        </is>
      </c>
      <c r="B119" s="171">
        <f>Funding!F11</f>
        <v/>
      </c>
      <c r="C119" s="171">
        <f>B119/$B$87</f>
        <v/>
      </c>
      <c r="D119" s="171" t="n">
        <v>3</v>
      </c>
      <c r="E119" s="171" t="inlineStr">
        <is>
          <t>Repayable. A loan can only buy first stock if the community enterprise is the borrower and repays from its bed sales, or if Goods sells those beds to buyers. It cannot fund gifted stock: the proceeds stay with the community. Best fit is plant capital.</t>
        </is>
      </c>
    </row>
    <row r="120">
      <c r="A120" s="171" t="inlineStr">
        <is>
          <t>Paul Ramsay and Atlassian Foundation impact fund</t>
        </is>
      </c>
      <c r="B120" s="171" t="n">
        <v>0</v>
      </c>
      <c r="C120" s="171">
        <f>B120/$B$87</f>
        <v/>
      </c>
      <c r="D120" s="171" t="n">
        <v>3</v>
      </c>
      <c r="E120" s="171" t="inlineStr">
        <is>
          <t>Repayable. Same rule as Sefa. No approach made; Nico Snellen.</t>
        </is>
      </c>
    </row>
    <row r="121">
      <c r="A121" s="171" t="inlineStr">
        <is>
          <t>Minderoo</t>
        </is>
      </c>
      <c r="B121" s="171" t="n">
        <v>0</v>
      </c>
      <c r="C121" s="171">
        <f>B121/$B$87</f>
        <v/>
      </c>
      <c r="D121" s="171" t="n">
        <v>4</v>
      </c>
      <c r="E121" s="171" t="inlineStr">
        <is>
          <t>Old $100,000 ask, conversations paused May 2026. Not live.</t>
        </is>
      </c>
    </row>
    <row r="123">
      <c r="A123" s="172" t="inlineStr">
        <is>
          <t>Tier 1: invited. Beds funded</t>
        </is>
      </c>
      <c r="B123" s="171">
        <f>SUMIF($D$113:$D$121,1,$C$113:$C$121)</f>
        <v/>
      </c>
      <c r="E123" s="171" t="inlineStr">
        <is>
          <t>Two invitations. Two communities of 100 and change. The floor.</t>
        </is>
      </c>
    </row>
    <row r="124">
      <c r="A124" s="172" t="inlineStr">
        <is>
          <t>Tier 1 + 2: invited plus asks to make</t>
        </is>
      </c>
      <c r="B124" s="171">
        <f>SUMIF($D$113:$D$121,"&lt;=2",$C$113:$C$121)</f>
        <v/>
      </c>
      <c r="E124" s="171" t="inlineStr">
        <is>
          <t>Adds Snow, Dusseldorp, other philanthropy and direct orders. This year's plan of 400 sits here.</t>
        </is>
      </c>
    </row>
    <row r="125">
      <c r="A125" s="172" t="inlineStr">
        <is>
          <t>Tier 1 + 2 + 3: plus repayable capital</t>
        </is>
      </c>
      <c r="B125" s="171">
        <f>SUMIF($D$113:$D$121,"&lt;=3",$C$113:$C$121)</f>
        <v/>
      </c>
      <c r="E125" s="171" t="inlineStr">
        <is>
          <t>Only if a community enterprise borrows for stock or Goods sells the beds. Witta's ceiling is 720 a year.</t>
        </is>
      </c>
    </row>
    <row r="126">
      <c r="A126" s="172" t="inlineStr">
        <is>
          <t>Communities served at 100 beds each, tiers 1 + 2</t>
        </is>
      </c>
      <c r="B126" s="171">
        <f>ROUNDDOWN(B124/100,0)</f>
        <v/>
      </c>
      <c r="E126" s="171" t="inlineStr">
        <is>
          <t>Facilitation is $10,000 a community; scale it with this.</t>
        </is>
      </c>
    </row>
    <row r="127">
      <c r="A127" s="172" t="inlineStr">
        <is>
          <t>Witta capacity a year</t>
        </is>
      </c>
      <c r="B127" s="171">
        <f>B78</f>
        <v/>
      </c>
      <c r="E127" s="171" t="inlineStr">
        <is>
          <t>Six sheets a day, two a bed, five days, 48 weeks.</t>
        </is>
      </c>
    </row>
    <row r="128">
      <c r="A128" s="171" t="inlineStr">
        <is>
          <t>How to use: enter an amount on any row when an ask or an order exists; set its tier; the tier totals and communities served move. Ramp up or slow down the bed count from here, never from the cost side.</t>
        </is>
      </c>
    </row>
    <row r="131">
      <c r="A131" s="172" t="inlineStr">
        <is>
          <t>Capacity against demand, by period (Ben, 9 Sep 2026)</t>
        </is>
      </c>
      <c r="B131" s="172" t="inlineStr">
        <is>
          <t>Witta, own panels</t>
        </is>
      </c>
      <c r="C131" s="172" t="inlineStr">
        <is>
          <t>Witta, Defy leg panels</t>
        </is>
      </c>
      <c r="D131" s="172" t="inlineStr">
        <is>
          <t>Demand on Witta</t>
        </is>
      </c>
      <c r="E131" s="172" t="inlineStr">
        <is>
          <t>Reads</t>
        </is>
      </c>
    </row>
    <row r="132">
      <c r="A132" s="171" t="inlineStr">
        <is>
          <t>Witta a month: 3 beds a day own panels, 6 with Defy legs, 20 days</t>
        </is>
      </c>
      <c r="B132" s="171">
        <f>B75*B76*4</f>
        <v/>
      </c>
      <c r="C132" s="171">
        <f>B79*4</f>
        <v/>
      </c>
      <c r="D132" s="171" t="n"/>
      <c r="E132" s="171" t="inlineStr">
        <is>
          <t>NM Play B66, A82, A83; Making plan B7, B8</t>
        </is>
      </c>
    </row>
    <row r="133">
      <c r="A133" s="171" t="inlineStr">
        <is>
          <t>November 2026 (one month)</t>
        </is>
      </c>
      <c r="B133" s="171">
        <f>B132</f>
        <v/>
      </c>
      <c r="C133" s="171">
        <f>C132</f>
        <v/>
      </c>
      <c r="D133" s="171" t="n">
        <v>100</v>
      </c>
      <c r="E133" s="171" t="inlineStr">
        <is>
          <t>ALIVE's 100 for Central Australia, Nic's schedule. Own panels make 60; Defy leg panels make 120. Use Defy legs for November or split into December.</t>
        </is>
      </c>
    </row>
    <row r="134">
      <c r="A134" s="171" t="inlineStr">
        <is>
          <t>December 2026 to June 2027 (seven months)</t>
        </is>
      </c>
      <c r="B134" s="171">
        <f>B132*7</f>
        <v/>
      </c>
      <c r="C134" s="171">
        <f>C132*7</f>
        <v/>
      </c>
      <c r="D134" s="171" t="n">
        <v>530</v>
      </c>
      <c r="E134" s="171" t="inlineStr">
        <is>
          <t>400 first-stock beds plus Centrecorp's 130 on quote for Utopia if Alice Springs is not making yet. Own panels 420: short by 110. Defy legs 840: fits. Alice Springs live by March takes the Utopia 130.</t>
        </is>
      </c>
    </row>
    <row r="135">
      <c r="A135" s="171" t="inlineStr">
        <is>
          <t>July 2027 to June 2028 (twelve months)</t>
        </is>
      </c>
      <c r="B135" s="171">
        <f>B78</f>
        <v/>
      </c>
      <c r="C135" s="171">
        <f>B79*B77</f>
        <v/>
      </c>
      <c r="D135" s="171" t="n">
        <v>1000</v>
      </c>
      <c r="E135" s="171" t="inlineStr">
        <is>
          <t>Tim Fairfax year two 133, Snow, and Matt's five regional targets of 200 each. Witta 720 alone is short; with Alice Springs, Palm Island and Maningrida at 200 each in their first year, capacity is 1,320 and it fits.</t>
        </is>
      </c>
    </row>
    <row r="137">
      <c r="A137" s="172" t="inlineStr">
        <is>
          <t>When each plant makes beds</t>
        </is>
      </c>
      <c r="B137" s="172" t="inlineStr">
        <is>
          <t>First beds</t>
        </is>
      </c>
      <c r="C137" s="172" t="inlineStr">
        <is>
          <t>Year-one beds</t>
        </is>
      </c>
      <c r="D137" s="172" t="inlineStr">
        <is>
          <t>Steady beds a year</t>
        </is>
      </c>
      <c r="E137" s="172" t="inlineStr">
        <is>
          <t>Basis</t>
        </is>
      </c>
    </row>
    <row r="138">
      <c r="A138" s="171" t="inlineStr">
        <is>
          <t>Witta</t>
        </is>
      </c>
      <c r="B138" s="171" t="inlineStr">
        <is>
          <t>now</t>
        </is>
      </c>
      <c r="C138" s="171">
        <f>B78</f>
        <v/>
      </c>
      <c r="D138" s="171">
        <f>B78</f>
        <v/>
      </c>
      <c r="E138" s="171" t="inlineStr">
        <is>
          <t>Existing.</t>
        </is>
      </c>
    </row>
    <row r="139">
      <c r="A139" s="171" t="inlineStr">
        <is>
          <t>Alice Springs, Oonchiumpa</t>
        </is>
      </c>
      <c r="B139" s="171" t="inlineStr">
        <is>
          <t>to confirm with DEWR</t>
        </is>
      </c>
      <c r="C139" s="171" t="inlineStr">
        <is>
          <t>200</t>
        </is>
      </c>
      <c r="D139" s="171" t="inlineStr">
        <is>
          <t>720</t>
        </is>
      </c>
      <c r="E139" s="171" t="inlineStr">
        <is>
          <t>DEWR offer 12 Aug, Grant Agreement pending; Tanya asked DEWR for the start date on 25 Aug. Factory lead already trained at The Harvest.</t>
        </is>
      </c>
    </row>
    <row r="140">
      <c r="A140" s="171" t="inlineStr">
        <is>
          <t>Palm Island, QBE plant 1</t>
        </is>
      </c>
      <c r="B140" s="171" t="inlineStr">
        <is>
          <t>March 2027</t>
        </is>
      </c>
      <c r="C140" s="171" t="inlineStr">
        <is>
          <t>200</t>
        </is>
      </c>
      <c r="D140" s="171" t="inlineStr">
        <is>
          <t>720</t>
        </is>
      </c>
      <c r="E140" s="171" t="inlineStr">
        <is>
          <t>QBE pre-conditions 13 Nov; Matt's Sites sheet gives a new plant its first beds three months after funding (month 4). Turnkey container: freight, install, training.</t>
        </is>
      </c>
    </row>
    <row r="141">
      <c r="A141" s="171" t="inlineStr">
        <is>
          <t>Maningrida, QBE plant 2</t>
        </is>
      </c>
      <c r="B141" s="171" t="inlineStr">
        <is>
          <t>June 2027</t>
        </is>
      </c>
      <c r="C141" s="171" t="inlineStr">
        <is>
          <t>200</t>
        </is>
      </c>
      <c r="D141" s="171" t="inlineStr">
        <is>
          <t>720</t>
        </is>
      </c>
      <c r="E141" s="171" t="inlineStr">
        <is>
          <t>Matt's month 7. Site and operator to name.</t>
        </is>
      </c>
    </row>
    <row r="142">
      <c r="A142" s="171" t="inlineStr">
        <is>
          <t>The next plant</t>
        </is>
      </c>
      <c r="B142" s="171" t="inlineStr">
        <is>
          <t>when a community has 200 beds of need and an operator</t>
        </is>
      </c>
      <c r="C142" s="171" t="inlineStr">
        <is>
          <t>200</t>
        </is>
      </c>
      <c r="D142" s="171" t="inlineStr">
        <is>
          <t>720</t>
        </is>
      </c>
      <c r="E142" s="171" t="inlineStr">
        <is>
          <t>Matt's trigger; his projection self-funds a plant from Year 4 out of retained bed contribution.</t>
        </is>
      </c>
    </row>
    <row r="144">
      <c r="A144" s="171" t="inlineStr">
        <is>
          <t>Reads: Witta alone makes this year's 400 by June only if it runs five days a week from December, and needs Defy leg panels or the Alice Springs plant to cover ALIVE's 100 in November and Centrecorp's 130. From July 2027 the four plants together (Witta, Alice Springs, Palm Island, Maningrida) make about 1,300 a year in their first year and 2,900 at steady state; demand of about 1,000 fits. Six sheets a day is NM's rate until a run of fifty confirms it.</t>
        </is>
      </c>
    </row>
    <row r="146">
      <c r="A146" s="172" t="inlineStr">
        <is>
          <t>The shred loop (Ben, 9 Sep 2026)</t>
        </is>
      </c>
      <c r="B146" s="172" t="inlineStr">
        <is>
          <t>kg</t>
        </is>
      </c>
      <c r="C146" s="172" t="inlineStr">
        <is>
          <t>Source</t>
        </is>
      </c>
      <c r="D146" s="172" t="inlineStr">
        <is>
          <t>Meaning</t>
        </is>
      </c>
    </row>
    <row r="147">
      <c r="A147" s="171" t="inlineStr">
        <is>
          <t>Leg sheet, shred in</t>
        </is>
      </c>
      <c r="B147" s="171" t="n">
        <v>21</v>
      </c>
      <c r="C147" s="171" t="inlineStr">
        <is>
          <t>Ben 9 Sep</t>
        </is>
      </c>
      <c r="D147" s="171" t="inlineStr">
        <is>
          <t>One leg sheet per bed, eight leg pieces.</t>
        </is>
      </c>
    </row>
    <row r="148">
      <c r="A148" s="171" t="inlineStr">
        <is>
          <t>Tab sheet, shred in</t>
        </is>
      </c>
      <c r="B148" s="171" t="n">
        <v>15</v>
      </c>
      <c r="C148" s="171" t="inlineStr">
        <is>
          <t>Ben 9 Sep</t>
        </is>
      </c>
      <c r="D148" s="171" t="inlineStr">
        <is>
          <t>One tab sheet per bed, eight tabs.</t>
        </is>
      </c>
    </row>
    <row r="149">
      <c r="A149" s="171" t="inlineStr">
        <is>
          <t>Shred pressed per bed</t>
        </is>
      </c>
      <c r="B149" s="171">
        <f>B147+B148</f>
        <v/>
      </c>
      <c r="C149" s="171" t="inlineStr">
        <is>
          <t>21 + 15</t>
        </is>
      </c>
      <c r="D149" s="171" t="inlineStr">
        <is>
          <t>What goes into the press for one bed.</t>
        </is>
      </c>
    </row>
    <row r="150">
      <c r="A150" s="171" t="inlineStr">
        <is>
          <t>Finished bed, plastic</t>
        </is>
      </c>
      <c r="B150" s="171" t="inlineStr">
        <is>
          <t>20</t>
        </is>
      </c>
      <c r="C150" s="171" t="inlineStr">
        <is>
          <t>Ben 9 Sep: two legs at 10 kg</t>
        </is>
      </c>
      <c r="D150" s="171" t="inlineStr">
        <is>
          <t>Tab mass still to weigh; add it here when known.</t>
        </is>
      </c>
    </row>
    <row r="151">
      <c r="A151" s="171" t="inlineStr">
        <is>
          <t>Offcut back to the shredder</t>
        </is>
      </c>
      <c r="B151" s="171">
        <f>B149-B150</f>
        <v/>
      </c>
      <c r="C151" s="171" t="inlineStr">
        <is>
          <t>pressed less finished</t>
        </is>
      </c>
      <c r="D151" s="171" t="inlineStr">
        <is>
          <t>Melt edge and CNC router waste, re-shredded for the next beds.</t>
        </is>
      </c>
    </row>
    <row r="152">
      <c r="A152" s="171" t="inlineStr">
        <is>
          <t>New shred needed per bed, steady state</t>
        </is>
      </c>
      <c r="B152" s="171">
        <f>B150</f>
        <v/>
      </c>
      <c r="C152" s="171">
        <f> finished bed</f>
        <v/>
      </c>
      <c r="D152" s="171" t="inlineStr">
        <is>
          <t>Once the loop runs, only what leaves in the bed is new plastic. NM Play B21 charges this (10 kg a sheet net).</t>
        </is>
      </c>
    </row>
    <row r="153">
      <c r="A153" s="171" t="inlineStr">
        <is>
          <t>Weighed shred on hand (Witta count 9 Sep, 145 kg; buckets and offcuts unweighed)</t>
        </is>
      </c>
      <c r="B153" s="171">
        <f>Sites!AC6</f>
        <v/>
      </c>
      <c r="C153" s="171" t="inlineStr">
        <is>
          <t>Sites row 6; 27 buckets, 30 offcut sheets, 32 CNC skeletons still to weigh</t>
        </is>
      </c>
      <c r="D153" s="171" t="inlineStr">
        <is>
          <t>Sites row 6. Buckets, offcut sheets and skeletons are unweighed; the Bed calculator sheet carries the estimate (about 1,300 kg).</t>
        </is>
      </c>
    </row>
    <row r="154">
      <c r="A154" s="171" t="inlineStr">
        <is>
          <t>Beds that raw makes, first pass (36 kg each)</t>
        </is>
      </c>
      <c r="B154" s="171">
        <f>ROUNDDOWN(B153/B149,0)</f>
        <v/>
      </c>
      <c r="C154" s="171" t="inlineStr">
        <is>
          <t>raw ÷ pressed per bed</t>
        </is>
      </c>
      <c r="D154" s="171" t="inlineStr">
        <is>
          <t>Before any offcut comes back.</t>
        </is>
      </c>
    </row>
    <row r="155">
      <c r="A155" s="171" t="inlineStr">
        <is>
          <t>Beds that raw makes with the loop running (20 kg each)</t>
        </is>
      </c>
      <c r="B155" s="171">
        <f>ROUNDDOWN(B153/B152,0)</f>
        <v/>
      </c>
      <c r="C155" s="171" t="inlineStr">
        <is>
          <t>raw ÷ new shred per bed</t>
        </is>
      </c>
      <c r="D155" s="171" t="inlineStr">
        <is>
          <t>Once offcuts are re-shredded.</t>
        </is>
      </c>
    </row>
    <row r="156">
      <c r="A156" s="171" t="inlineStr">
        <is>
          <t>Shredder throughput a day</t>
        </is>
      </c>
      <c r="B156" s="171" t="n"/>
      <c r="C156" s="171" t="inlineStr">
        <is>
          <t>not yet measured</t>
        </is>
      </c>
      <c r="D156" s="171" t="inlineStr">
        <is>
          <t>Needed to know whether re-shredding keeps up with six sheets a day. The one gap in this loop.</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P114"/>
  <sheetViews>
    <sheetView workbookViewId="0">
      <pane ySplit="3" topLeftCell="A4" activePane="bottomLeft" state="frozen"/>
      <selection pane="bottomLeft" activeCell="A1" sqref="A1"/>
    </sheetView>
  </sheetViews>
  <sheetFormatPr baseColWidth="8" defaultRowHeight="15"/>
  <cols>
    <col width="58" customWidth="1" min="1" max="1"/>
    <col width="16" customWidth="1" min="2" max="2"/>
    <col width="7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84" t="inlineStr">
        <is>
          <t>Bed calculator: what we have, what to order, what we can make, when to add a plant, what it costs (Ben, 9 Sep 2026)</t>
        </is>
      </c>
    </row>
    <row r="2">
      <c r="A2" s="185" t="inlineStr">
        <is>
          <t>Yellow cells are inputs. Everything else links to NM Play, Sites, Phase and raise, Assumptions, Funding. Master is this workbook; the Notion page and the money map are generated from it.</t>
        </is>
      </c>
    </row>
    <row r="4">
      <c r="A4" s="184" t="inlineStr">
        <is>
          <t>A. Stock at Witta, from the count on 9 Sep 2026</t>
        </is>
      </c>
    </row>
    <row r="5">
      <c r="A5" s="185" t="inlineStr">
        <is>
          <t>Finished beds</t>
        </is>
      </c>
      <c r="B5" s="186" t="n">
        <v>0</v>
      </c>
      <c r="C5" s="171" t="inlineStr">
        <is>
          <t>Not in the count. Asset register 9 Sep shows 20 Stretch Beds 'ready'; enter when confirmed.</t>
        </is>
      </c>
    </row>
    <row r="6">
      <c r="A6" s="185" t="inlineStr">
        <is>
          <t>Tabs, pieces</t>
        </is>
      </c>
      <c r="B6">
        <f>Sites!AA6</f>
        <v/>
      </c>
      <c r="C6" s="171" t="inlineStr">
        <is>
          <t>Sites row 6 (812 = 13 x 28 + 16 x 28)</t>
        </is>
      </c>
    </row>
    <row r="7">
      <c r="A7" s="185" t="inlineStr">
        <is>
          <t>Legs, pieces</t>
        </is>
      </c>
      <c r="B7">
        <f>Sites!AB6</f>
        <v/>
      </c>
      <c r="C7" s="171" t="inlineStr">
        <is>
          <t>Sites row 6 (650, read as pieces, 8 to a bed)</t>
        </is>
      </c>
    </row>
    <row r="8">
      <c r="A8" s="185" t="inlineStr">
        <is>
          <t>Uncut tab sheets</t>
        </is>
      </c>
      <c r="B8" s="186" t="n">
        <v>59</v>
      </c>
      <c r="C8" s="171" t="inlineStr">
        <is>
          <t>Ben: may be miscounted, recount</t>
        </is>
      </c>
    </row>
    <row r="9">
      <c r="A9" s="185" t="inlineStr">
        <is>
          <t>Defy half sheets, uncut</t>
        </is>
      </c>
      <c r="B9" s="186" t="n">
        <v>0</v>
      </c>
      <c r="C9" s="171" t="inlineStr">
        <is>
          <t>1200 x 1200 x 19 mm; one makes one bed's parts at Defy</t>
        </is>
      </c>
    </row>
    <row r="10">
      <c r="A10" s="185" t="inlineStr">
        <is>
          <t>Weighed shred, kg</t>
        </is>
      </c>
      <c r="B10">
        <f>Sites!AC6</f>
        <v/>
      </c>
      <c r="C10" s="171" t="inlineStr">
        <is>
          <t>10 x 14.5 kg loads</t>
        </is>
      </c>
    </row>
    <row r="11">
      <c r="A11" s="185" t="inlineStr">
        <is>
          <t>Vacuum shred buckets, 60 L</t>
        </is>
      </c>
      <c r="B11" s="186" t="n">
        <v>27</v>
      </c>
      <c r="C11" s="171" t="inlineStr"/>
    </row>
    <row r="12">
      <c r="A12" s="185" t="inlineStr">
        <is>
          <t>kg per bucket (weigh one)</t>
        </is>
      </c>
      <c r="B12" s="186" t="n">
        <v>18</v>
      </c>
      <c r="C12" s="171" t="inlineStr">
        <is>
          <t>Estimate until weighed</t>
        </is>
      </c>
    </row>
    <row r="13">
      <c r="A13" s="185" t="inlineStr">
        <is>
          <t>Press offcut sheets</t>
        </is>
      </c>
      <c r="B13" s="186" t="n">
        <v>30</v>
      </c>
      <c r="C13" s="171" t="inlineStr"/>
    </row>
    <row r="14">
      <c r="A14" s="185" t="inlineStr">
        <is>
          <t>kg per offcut sheet</t>
        </is>
      </c>
      <c r="B14">
        <f>'Phase and raise'!B151</f>
        <v/>
      </c>
      <c r="C14" s="171" t="inlineStr">
        <is>
          <t>Shred loop: pressed less finished</t>
        </is>
      </c>
    </row>
    <row r="15">
      <c r="A15" s="185" t="inlineStr">
        <is>
          <t>CNC tab-sheet skeletons</t>
        </is>
      </c>
      <c r="B15" s="186" t="n">
        <v>32</v>
      </c>
      <c r="C15" s="171" t="inlineStr"/>
    </row>
    <row r="16">
      <c r="A16" s="185" t="inlineStr">
        <is>
          <t>kg per skeleton</t>
        </is>
      </c>
      <c r="B16" s="186" t="n">
        <v>6</v>
      </c>
      <c r="C16" s="171" t="inlineStr">
        <is>
          <t>Estimate until weighed</t>
        </is>
      </c>
    </row>
    <row r="17">
      <c r="A17" s="185" t="inlineStr">
        <is>
          <t>Bulka bag shred still on site, kg</t>
        </is>
      </c>
      <c r="B17" s="186" t="n">
        <v>0</v>
      </c>
      <c r="C17" s="171" t="inlineStr">
        <is>
          <t>August: 1,800 kg jungle (INV-1940) and 600 kg coloured (INV-1955). Enter what is left.</t>
        </is>
      </c>
    </row>
    <row r="18">
      <c r="A18" s="185" t="inlineStr">
        <is>
          <t>Canvas sets</t>
        </is>
      </c>
      <c r="B18" s="186" t="n">
        <v>0</v>
      </c>
      <c r="C18" s="171" t="inlineStr">
        <is>
          <t>Not counted</t>
        </is>
      </c>
    </row>
    <row r="19">
      <c r="A19" s="185" t="inlineStr">
        <is>
          <t>Pole pairs</t>
        </is>
      </c>
      <c r="B19" s="186" t="n">
        <v>0</v>
      </c>
      <c r="C19" s="171" t="inlineStr">
        <is>
          <t>Not counted</t>
        </is>
      </c>
    </row>
    <row r="20">
      <c r="A20" s="185" t="inlineStr">
        <is>
          <t>Hardware sets</t>
        </is>
      </c>
      <c r="B20" s="186" t="n">
        <v>0</v>
      </c>
      <c r="C20" s="171" t="inlineStr">
        <is>
          <t>Not counted</t>
        </is>
      </c>
    </row>
    <row r="22">
      <c r="A22" s="184" t="inlineStr">
        <is>
          <t>B. What that stock makes</t>
        </is>
      </c>
    </row>
    <row r="23">
      <c r="A23" s="185" t="inlineStr">
        <is>
          <t>Shred on hand, kg (weighed plus estimated)</t>
        </is>
      </c>
      <c r="B23" s="187">
        <f>B10+B11*B12+B13*B14+B15*B16+B17</f>
        <v/>
      </c>
      <c r="C23" s="171" t="inlineStr"/>
    </row>
    <row r="24">
      <c r="A24" s="185" t="inlineStr">
        <is>
          <t>Beds of tabs (pieces ÷ 8, plus uncut tab sheets and Defy half sheets)</t>
        </is>
      </c>
      <c r="B24">
        <f>ROUNDDOWN(B6/'NM Play'!B11,0)+B8+B9</f>
        <v/>
      </c>
    </row>
    <row r="25">
      <c r="A25" s="185" t="inlineStr">
        <is>
          <t>Beds of legs (pieces ÷ 8, plus Defy half sheets)</t>
        </is>
      </c>
      <c r="B25">
        <f>ROUNDDOWN(B7/'NM Play'!B12,0)+B9</f>
        <v/>
      </c>
    </row>
    <row r="26">
      <c r="A26" s="185" t="inlineStr">
        <is>
          <t>Beds of legs the shred can press (one 21 kg leg sheet a bed)</t>
        </is>
      </c>
      <c r="B26">
        <f>ROUNDDOWN(B23/'Phase and raise'!B147,0)</f>
        <v/>
      </c>
    </row>
    <row r="27">
      <c r="A27" s="173" t="inlineStr">
        <is>
          <t>Beds ready to assemble now, parts on the shelf</t>
        </is>
      </c>
      <c r="B27" s="173">
        <f>B5+MIN(ROUNDDOWN(B6/'NM Play'!B11,0),ROUNDDOWN(B7/'NM Play'!B12,0))</f>
        <v/>
      </c>
    </row>
    <row r="28">
      <c r="A28" s="173" t="inlineStr">
        <is>
          <t>Beds possible from everything on hand (shred pressed into legs first)</t>
        </is>
      </c>
      <c r="B28" s="173">
        <f>B5+MIN(B24,B25+B26)</f>
        <v/>
      </c>
    </row>
    <row r="29">
      <c r="A29" s="185" t="inlineStr">
        <is>
          <t>The limit today</t>
        </is>
      </c>
      <c r="B29">
        <f>IF(B24&lt;=B25+B26,"tabs","legs and shred")</f>
        <v/>
      </c>
    </row>
    <row r="30">
      <c r="A30" s="185" t="inlineStr">
        <is>
          <t>Beds covered by canvas, poles and hardware on hand</t>
        </is>
      </c>
      <c r="B30">
        <f>MIN(B18,B19,B20)</f>
        <v/>
      </c>
      <c r="C30" s="171" t="inlineStr">
        <is>
          <t>Zero until counted</t>
        </is>
      </c>
    </row>
    <row r="32">
      <c r="A32" s="184" t="inlineStr">
        <is>
          <t>C. Rates and prices</t>
        </is>
      </c>
    </row>
    <row r="33">
      <c r="A33" s="185" t="inlineStr">
        <is>
          <t>Net new shred per bed, kg (loop running)</t>
        </is>
      </c>
      <c r="B33">
        <f>'Phase and raise'!B152</f>
        <v/>
      </c>
      <c r="C33" s="171" t="inlineStr">
        <is>
          <t>Shred loop</t>
        </is>
      </c>
    </row>
    <row r="34">
      <c r="A34" s="185" t="inlineStr">
        <is>
          <t>Shred per bed without the loop, kg</t>
        </is>
      </c>
      <c r="B34">
        <f>'Phase and raise'!B149</f>
        <v/>
      </c>
      <c r="C34" s="171" t="inlineStr">
        <is>
          <t>21 + 15</t>
        </is>
      </c>
    </row>
    <row r="35">
      <c r="A35" s="185" t="inlineStr">
        <is>
          <t>Defy shred, $/kg at 1,800 kg</t>
        </is>
      </c>
      <c r="B35" s="186" t="n">
        <v>1.8</v>
      </c>
      <c r="C35" s="171" t="inlineStr">
        <is>
          <t>INV-1940. $2.00 at 1,200 kg</t>
        </is>
      </c>
    </row>
    <row r="36">
      <c r="A36" s="185" t="inlineStr">
        <is>
          <t>Bulka bag, kg</t>
        </is>
      </c>
      <c r="B36" t="n">
        <v>600</v>
      </c>
      <c r="C36" s="171" t="inlineStr"/>
    </row>
    <row r="37">
      <c r="A37" s="185" t="inlineStr">
        <is>
          <t>Defy full panel 1200 x 2400, $ ex GST</t>
        </is>
      </c>
      <c r="B37" s="186" t="n">
        <v>401.49</v>
      </c>
      <c r="C37" s="171" t="inlineStr">
        <is>
          <t>INV-1840, INV-1951 (10% bulk discount)</t>
        </is>
      </c>
    </row>
    <row r="38">
      <c r="A38" s="185" t="inlineStr">
        <is>
          <t>Beds a full panel makes</t>
        </is>
      </c>
      <c r="B38" t="n">
        <v>2</v>
      </c>
      <c r="C38" s="171" t="inlineStr">
        <is>
          <t>INV-1602: 8 sheets credited as 16 beds</t>
        </is>
      </c>
    </row>
    <row r="39">
      <c r="A39" s="185" t="inlineStr">
        <is>
          <t>Freight per full panel to Witta, $</t>
        </is>
      </c>
      <c r="B39">
        <f>980/20</f>
        <v/>
      </c>
      <c r="C39" s="171" t="inlineStr">
        <is>
          <t>INV-1840</t>
        </is>
      </c>
    </row>
    <row r="40">
      <c r="A40" s="185" t="inlineStr">
        <is>
          <t>Canvas per bed, $</t>
        </is>
      </c>
      <c r="B40">
        <f>'NM Play'!B30</f>
        <v/>
      </c>
    </row>
    <row r="41">
      <c r="A41" s="185" t="inlineStr">
        <is>
          <t>Poles per bed, $</t>
        </is>
      </c>
      <c r="B41">
        <f>'NM Play'!B29</f>
        <v/>
      </c>
    </row>
    <row r="42">
      <c r="A42" s="185" t="inlineStr">
        <is>
          <t>Hardware per bed, $</t>
        </is>
      </c>
      <c r="B42">
        <f>'NM Play'!B31</f>
        <v/>
      </c>
    </row>
    <row r="43">
      <c r="A43" s="185" t="inlineStr">
        <is>
          <t>Cost to make a bed at Witta, $</t>
        </is>
      </c>
      <c r="B43">
        <f>'Phase and raise'!B88</f>
        <v/>
      </c>
      <c r="C43" s="171" t="inlineStr">
        <is>
          <t>Canon $276</t>
        </is>
      </c>
    </row>
    <row r="44">
      <c r="A44" s="185" t="inlineStr">
        <is>
          <t>Price per bed, $</t>
        </is>
      </c>
      <c r="B44">
        <f>'Phase and raise'!B87</f>
        <v/>
      </c>
    </row>
    <row r="45">
      <c r="A45" s="185" t="inlineStr">
        <is>
          <t>Freight to community per bed, $</t>
        </is>
      </c>
      <c r="B45" s="186" t="n">
        <v>100</v>
      </c>
      <c r="C45" s="171" t="inlineStr">
        <is>
          <t>Phase and raise row 98 basis: $40,000 for 400</t>
        </is>
      </c>
    </row>
    <row r="46">
      <c r="A46" s="185" t="inlineStr">
        <is>
          <t>Witta a month, own panels</t>
        </is>
      </c>
      <c r="B46">
        <f>'Phase and raise'!B132</f>
        <v/>
      </c>
    </row>
    <row r="47">
      <c r="A47" s="185" t="inlineStr">
        <is>
          <t>Witta a month, Defy leg panels</t>
        </is>
      </c>
      <c r="B47">
        <f>'Phase and raise'!C132</f>
        <v/>
      </c>
    </row>
    <row r="48">
      <c r="A48" s="185" t="inlineStr">
        <is>
          <t>A new plant a month in year one</t>
        </is>
      </c>
      <c r="B48" s="194">
        <f>200/12</f>
        <v/>
      </c>
      <c r="C48" s="171" t="inlineStr">
        <is>
          <t>Matt's model: 200 in year one</t>
        </is>
      </c>
    </row>
    <row r="49">
      <c r="A49" s="185" t="inlineStr">
        <is>
          <t>Alice Springs first beds</t>
        </is>
      </c>
      <c r="B49" s="188" t="n">
        <v>46447</v>
      </c>
      <c r="C49" s="171" t="inlineStr">
        <is>
          <t>To confirm with DEWR</t>
        </is>
      </c>
    </row>
    <row r="50">
      <c r="A50" s="185" t="inlineStr">
        <is>
          <t>Palm Island first beds</t>
        </is>
      </c>
      <c r="B50" s="188" t="n">
        <v>46447</v>
      </c>
      <c r="C50" s="171" t="inlineStr">
        <is>
          <t>QBE plant 1, Matt's month 4</t>
        </is>
      </c>
    </row>
    <row r="51">
      <c r="A51" s="185" t="inlineStr">
        <is>
          <t>Maningrida first beds</t>
        </is>
      </c>
      <c r="B51" s="188" t="n">
        <v>46539</v>
      </c>
      <c r="C51" s="171" t="inlineStr">
        <is>
          <t>QBE plant 2, Matt's month 7</t>
        </is>
      </c>
    </row>
    <row r="53">
      <c r="A53" s="184" t="inlineStr">
        <is>
          <t>D. The next twelve months: demand against capacity, and shred</t>
        </is>
      </c>
    </row>
    <row r="54">
      <c r="A54" s="172" t="inlineStr">
        <is>
          <t>Month</t>
        </is>
      </c>
      <c r="B54" s="172" t="inlineStr">
        <is>
          <t>Demand, beds</t>
        </is>
      </c>
      <c r="C54" s="172" t="inlineStr">
        <is>
          <t>Witta own</t>
        </is>
      </c>
      <c r="D54" s="172" t="inlineStr">
        <is>
          <t>Witta with Defy legs</t>
        </is>
      </c>
      <c r="E54" s="172" t="inlineStr">
        <is>
          <t>Alice Springs</t>
        </is>
      </c>
      <c r="F54" s="172" t="inlineStr">
        <is>
          <t>Palm Island</t>
        </is>
      </c>
      <c r="G54" s="172" t="inlineStr">
        <is>
          <t>Maningrida</t>
        </is>
      </c>
      <c r="H54" s="172" t="inlineStr">
        <is>
          <t>Capacity, own + plants</t>
        </is>
      </c>
      <c r="I54" s="172" t="inlineStr">
        <is>
          <t>Cumulative demand</t>
        </is>
      </c>
      <c r="J54" s="172" t="inlineStr">
        <is>
          <t>Cumulative capacity</t>
        </is>
      </c>
      <c r="K54" s="172" t="inlineStr">
        <is>
          <t>Short, cumulative</t>
        </is>
      </c>
      <c r="L54" s="172" t="inlineStr">
        <is>
          <t>Flag</t>
        </is>
      </c>
      <c r="M54" s="172" t="inlineStr">
        <is>
          <t>Shred needed, kg</t>
        </is>
      </c>
      <c r="N54" s="172" t="inlineStr">
        <is>
          <t>Cumulative shred needed beyond parts on shelf, kg</t>
        </is>
      </c>
      <c r="O54" s="172" t="inlineStr">
        <is>
          <t>Shred short, kg</t>
        </is>
      </c>
      <c r="P54" s="172" t="inlineStr">
        <is>
          <t>Bags to order</t>
        </is>
      </c>
    </row>
    <row r="55">
      <c r="A55" s="189" t="n">
        <v>46296</v>
      </c>
      <c r="B55" s="186" t="n">
        <v>0</v>
      </c>
      <c r="C55">
        <f>$B$46</f>
        <v/>
      </c>
      <c r="D55">
        <f>$B$47</f>
        <v/>
      </c>
      <c r="E55" s="187">
        <f>IF(A55&gt;=$B$49,$B$48,0)</f>
        <v/>
      </c>
      <c r="F55" s="187">
        <f>IF(A55&gt;=$B$50,$B$48,0)</f>
        <v/>
      </c>
      <c r="G55" s="187">
        <f>IF(A55&gt;=$B$51,$B$48,0)</f>
        <v/>
      </c>
      <c r="H55" s="187">
        <f>C55+E55+F55+G55</f>
        <v/>
      </c>
      <c r="I55" s="187">
        <f>SUM($B$55:B55)</f>
        <v/>
      </c>
      <c r="J55" s="187">
        <f>SUM($H$55:H55)+$B$28</f>
        <v/>
      </c>
      <c r="K55" s="187">
        <f>MAX(0,I55-J55)</f>
        <v/>
      </c>
      <c r="L55">
        <f>IF(K55&gt;0,1,0)</f>
        <v/>
      </c>
      <c r="M55" s="187">
        <f>B55*$B$33</f>
        <v/>
      </c>
      <c r="N55" s="187">
        <f>MAX(0,I55-$B$27)*$B$33</f>
        <v/>
      </c>
      <c r="O55" s="187">
        <f>MAX(0,N55-$B$23)</f>
        <v/>
      </c>
      <c r="P55">
        <f>ROUNDUP((O55-IF(ROW()=55,0,O54))/$B$36,0)</f>
        <v/>
      </c>
    </row>
    <row r="56">
      <c r="A56" s="189" t="n">
        <v>46327</v>
      </c>
      <c r="B56" s="186" t="n">
        <v>100</v>
      </c>
      <c r="C56">
        <f>$B$46</f>
        <v/>
      </c>
      <c r="D56">
        <f>$B$47</f>
        <v/>
      </c>
      <c r="E56" s="187">
        <f>IF(A56&gt;=$B$49,$B$48,0)</f>
        <v/>
      </c>
      <c r="F56" s="187">
        <f>IF(A56&gt;=$B$50,$B$48,0)</f>
        <v/>
      </c>
      <c r="G56" s="187">
        <f>IF(A56&gt;=$B$51,$B$48,0)</f>
        <v/>
      </c>
      <c r="H56" s="187">
        <f>C56+E56+F56+G56</f>
        <v/>
      </c>
      <c r="I56" s="187">
        <f>SUM($B$55:B56)</f>
        <v/>
      </c>
      <c r="J56" s="187">
        <f>SUM($H$55:H56)+$B$28</f>
        <v/>
      </c>
      <c r="K56" s="187">
        <f>MAX(0,I56-J56)</f>
        <v/>
      </c>
      <c r="L56">
        <f>IF(K56&gt;0,1,0)</f>
        <v/>
      </c>
      <c r="M56" s="187">
        <f>B56*$B$33</f>
        <v/>
      </c>
      <c r="N56" s="187">
        <f>MAX(0,I56-$B$27)*$B$33</f>
        <v/>
      </c>
      <c r="O56" s="187">
        <f>MAX(0,N56-$B$23)</f>
        <v/>
      </c>
      <c r="P56">
        <f>ROUNDUP((O56-IF(ROW()=55,0,O55))/$B$36,0)</f>
        <v/>
      </c>
    </row>
    <row r="57">
      <c r="A57" s="189" t="n">
        <v>46357</v>
      </c>
      <c r="B57" s="186" t="n">
        <v>76</v>
      </c>
      <c r="C57">
        <f>$B$46</f>
        <v/>
      </c>
      <c r="D57">
        <f>$B$47</f>
        <v/>
      </c>
      <c r="E57" s="187">
        <f>IF(A57&gt;=$B$49,$B$48,0)</f>
        <v/>
      </c>
      <c r="F57" s="187">
        <f>IF(A57&gt;=$B$50,$B$48,0)</f>
        <v/>
      </c>
      <c r="G57" s="187">
        <f>IF(A57&gt;=$B$51,$B$48,0)</f>
        <v/>
      </c>
      <c r="H57" s="187">
        <f>C57+E57+F57+G57</f>
        <v/>
      </c>
      <c r="I57" s="187">
        <f>SUM($B$55:B57)</f>
        <v/>
      </c>
      <c r="J57" s="187">
        <f>SUM($H$55:H57)+$B$28</f>
        <v/>
      </c>
      <c r="K57" s="187">
        <f>MAX(0,I57-J57)</f>
        <v/>
      </c>
      <c r="L57">
        <f>IF(K57&gt;0,1,0)</f>
        <v/>
      </c>
      <c r="M57" s="187">
        <f>B57*$B$33</f>
        <v/>
      </c>
      <c r="N57" s="187">
        <f>MAX(0,I57-$B$27)*$B$33</f>
        <v/>
      </c>
      <c r="O57" s="187">
        <f>MAX(0,N57-$B$23)</f>
        <v/>
      </c>
      <c r="P57">
        <f>ROUNDUP((O57-IF(ROW()=55,0,O56))/$B$36,0)</f>
        <v/>
      </c>
    </row>
    <row r="58">
      <c r="A58" s="189" t="n">
        <v>46388</v>
      </c>
      <c r="B58" s="186" t="n">
        <v>76</v>
      </c>
      <c r="C58">
        <f>$B$46</f>
        <v/>
      </c>
      <c r="D58">
        <f>$B$47</f>
        <v/>
      </c>
      <c r="E58" s="187">
        <f>IF(A58&gt;=$B$49,$B$48,0)</f>
        <v/>
      </c>
      <c r="F58" s="187">
        <f>IF(A58&gt;=$B$50,$B$48,0)</f>
        <v/>
      </c>
      <c r="G58" s="187">
        <f>IF(A58&gt;=$B$51,$B$48,0)</f>
        <v/>
      </c>
      <c r="H58" s="187">
        <f>C58+E58+F58+G58</f>
        <v/>
      </c>
      <c r="I58" s="187">
        <f>SUM($B$55:B58)</f>
        <v/>
      </c>
      <c r="J58" s="187">
        <f>SUM($H$55:H58)+$B$28</f>
        <v/>
      </c>
      <c r="K58" s="187">
        <f>MAX(0,I58-J58)</f>
        <v/>
      </c>
      <c r="L58">
        <f>IF(K58&gt;0,1,0)</f>
        <v/>
      </c>
      <c r="M58" s="187">
        <f>B58*$B$33</f>
        <v/>
      </c>
      <c r="N58" s="187">
        <f>MAX(0,I58-$B$27)*$B$33</f>
        <v/>
      </c>
      <c r="O58" s="187">
        <f>MAX(0,N58-$B$23)</f>
        <v/>
      </c>
      <c r="P58">
        <f>ROUNDUP((O58-IF(ROW()=55,0,O57))/$B$36,0)</f>
        <v/>
      </c>
    </row>
    <row r="59">
      <c r="A59" s="189" t="n">
        <v>46419</v>
      </c>
      <c r="B59" s="186" t="n">
        <v>76</v>
      </c>
      <c r="C59">
        <f>$B$46</f>
        <v/>
      </c>
      <c r="D59">
        <f>$B$47</f>
        <v/>
      </c>
      <c r="E59" s="187">
        <f>IF(A59&gt;=$B$49,$B$48,0)</f>
        <v/>
      </c>
      <c r="F59" s="187">
        <f>IF(A59&gt;=$B$50,$B$48,0)</f>
        <v/>
      </c>
      <c r="G59" s="187">
        <f>IF(A59&gt;=$B$51,$B$48,0)</f>
        <v/>
      </c>
      <c r="H59" s="187">
        <f>C59+E59+F59+G59</f>
        <v/>
      </c>
      <c r="I59" s="187">
        <f>SUM($B$55:B59)</f>
        <v/>
      </c>
      <c r="J59" s="187">
        <f>SUM($H$55:H59)+$B$28</f>
        <v/>
      </c>
      <c r="K59" s="187">
        <f>MAX(0,I59-J59)</f>
        <v/>
      </c>
      <c r="L59">
        <f>IF(K59&gt;0,1,0)</f>
        <v/>
      </c>
      <c r="M59" s="187">
        <f>B59*$B$33</f>
        <v/>
      </c>
      <c r="N59" s="187">
        <f>MAX(0,I59-$B$27)*$B$33</f>
        <v/>
      </c>
      <c r="O59" s="187">
        <f>MAX(0,N59-$B$23)</f>
        <v/>
      </c>
      <c r="P59">
        <f>ROUNDUP((O59-IF(ROW()=55,0,O58))/$B$36,0)</f>
        <v/>
      </c>
    </row>
    <row r="60">
      <c r="A60" s="189" t="n">
        <v>46447</v>
      </c>
      <c r="B60" s="186" t="n">
        <v>76</v>
      </c>
      <c r="C60">
        <f>$B$46</f>
        <v/>
      </c>
      <c r="D60">
        <f>$B$47</f>
        <v/>
      </c>
      <c r="E60" s="187">
        <f>IF(A60&gt;=$B$49,$B$48,0)</f>
        <v/>
      </c>
      <c r="F60" s="187">
        <f>IF(A60&gt;=$B$50,$B$48,0)</f>
        <v/>
      </c>
      <c r="G60" s="187">
        <f>IF(A60&gt;=$B$51,$B$48,0)</f>
        <v/>
      </c>
      <c r="H60" s="187">
        <f>C60+E60+F60+G60</f>
        <v/>
      </c>
      <c r="I60" s="187">
        <f>SUM($B$55:B60)</f>
        <v/>
      </c>
      <c r="J60" s="187">
        <f>SUM($H$55:H60)+$B$28</f>
        <v/>
      </c>
      <c r="K60" s="187">
        <f>MAX(0,I60-J60)</f>
        <v/>
      </c>
      <c r="L60">
        <f>IF(K60&gt;0,1,0)</f>
        <v/>
      </c>
      <c r="M60" s="187">
        <f>B60*$B$33</f>
        <v/>
      </c>
      <c r="N60" s="187">
        <f>MAX(0,I60-$B$27)*$B$33</f>
        <v/>
      </c>
      <c r="O60" s="187">
        <f>MAX(0,N60-$B$23)</f>
        <v/>
      </c>
      <c r="P60">
        <f>ROUNDUP((O60-IF(ROW()=55,0,O59))/$B$36,0)</f>
        <v/>
      </c>
    </row>
    <row r="61">
      <c r="A61" s="189" t="n">
        <v>46478</v>
      </c>
      <c r="B61" s="186" t="n">
        <v>76</v>
      </c>
      <c r="C61">
        <f>$B$46</f>
        <v/>
      </c>
      <c r="D61">
        <f>$B$47</f>
        <v/>
      </c>
      <c r="E61" s="187">
        <f>IF(A61&gt;=$B$49,$B$48,0)</f>
        <v/>
      </c>
      <c r="F61" s="187">
        <f>IF(A61&gt;=$B$50,$B$48,0)</f>
        <v/>
      </c>
      <c r="G61" s="187">
        <f>IF(A61&gt;=$B$51,$B$48,0)</f>
        <v/>
      </c>
      <c r="H61" s="187">
        <f>C61+E61+F61+G61</f>
        <v/>
      </c>
      <c r="I61" s="187">
        <f>SUM($B$55:B61)</f>
        <v/>
      </c>
      <c r="J61" s="187">
        <f>SUM($H$55:H61)+$B$28</f>
        <v/>
      </c>
      <c r="K61" s="187">
        <f>MAX(0,I61-J61)</f>
        <v/>
      </c>
      <c r="L61">
        <f>IF(K61&gt;0,1,0)</f>
        <v/>
      </c>
      <c r="M61" s="187">
        <f>B61*$B$33</f>
        <v/>
      </c>
      <c r="N61" s="187">
        <f>MAX(0,I61-$B$27)*$B$33</f>
        <v/>
      </c>
      <c r="O61" s="187">
        <f>MAX(0,N61-$B$23)</f>
        <v/>
      </c>
      <c r="P61">
        <f>ROUNDUP((O61-IF(ROW()=55,0,O60))/$B$36,0)</f>
        <v/>
      </c>
    </row>
    <row r="62">
      <c r="A62" s="189" t="n">
        <v>46508</v>
      </c>
      <c r="B62" s="186" t="n">
        <v>75</v>
      </c>
      <c r="C62">
        <f>$B$46</f>
        <v/>
      </c>
      <c r="D62">
        <f>$B$47</f>
        <v/>
      </c>
      <c r="E62" s="187">
        <f>IF(A62&gt;=$B$49,$B$48,0)</f>
        <v/>
      </c>
      <c r="F62" s="187">
        <f>IF(A62&gt;=$B$50,$B$48,0)</f>
        <v/>
      </c>
      <c r="G62" s="187">
        <f>IF(A62&gt;=$B$51,$B$48,0)</f>
        <v/>
      </c>
      <c r="H62" s="187">
        <f>C62+E62+F62+G62</f>
        <v/>
      </c>
      <c r="I62" s="187">
        <f>SUM($B$55:B62)</f>
        <v/>
      </c>
      <c r="J62" s="187">
        <f>SUM($H$55:H62)+$B$28</f>
        <v/>
      </c>
      <c r="K62" s="187">
        <f>MAX(0,I62-J62)</f>
        <v/>
      </c>
      <c r="L62">
        <f>IF(K62&gt;0,1,0)</f>
        <v/>
      </c>
      <c r="M62" s="187">
        <f>B62*$B$33</f>
        <v/>
      </c>
      <c r="N62" s="187">
        <f>MAX(0,I62-$B$27)*$B$33</f>
        <v/>
      </c>
      <c r="O62" s="187">
        <f>MAX(0,N62-$B$23)</f>
        <v/>
      </c>
      <c r="P62">
        <f>ROUNDUP((O62-IF(ROW()=55,0,O61))/$B$36,0)</f>
        <v/>
      </c>
    </row>
    <row r="63">
      <c r="A63" s="189" t="n">
        <v>46539</v>
      </c>
      <c r="B63" s="186" t="n">
        <v>75</v>
      </c>
      <c r="C63">
        <f>$B$46</f>
        <v/>
      </c>
      <c r="D63">
        <f>$B$47</f>
        <v/>
      </c>
      <c r="E63" s="187">
        <f>IF(A63&gt;=$B$49,$B$48,0)</f>
        <v/>
      </c>
      <c r="F63" s="187">
        <f>IF(A63&gt;=$B$50,$B$48,0)</f>
        <v/>
      </c>
      <c r="G63" s="187">
        <f>IF(A63&gt;=$B$51,$B$48,0)</f>
        <v/>
      </c>
      <c r="H63" s="187">
        <f>C63+E63+F63+G63</f>
        <v/>
      </c>
      <c r="I63" s="187">
        <f>SUM($B$55:B63)</f>
        <v/>
      </c>
      <c r="J63" s="187">
        <f>SUM($H$55:H63)+$B$28</f>
        <v/>
      </c>
      <c r="K63" s="187">
        <f>MAX(0,I63-J63)</f>
        <v/>
      </c>
      <c r="L63">
        <f>IF(K63&gt;0,1,0)</f>
        <v/>
      </c>
      <c r="M63" s="187">
        <f>B63*$B$33</f>
        <v/>
      </c>
      <c r="N63" s="187">
        <f>MAX(0,I63-$B$27)*$B$33</f>
        <v/>
      </c>
      <c r="O63" s="187">
        <f>MAX(0,N63-$B$23)</f>
        <v/>
      </c>
      <c r="P63">
        <f>ROUNDUP((O63-IF(ROW()=55,0,O62))/$B$36,0)</f>
        <v/>
      </c>
    </row>
    <row r="64">
      <c r="A64" s="189" t="n">
        <v>46569</v>
      </c>
      <c r="B64" s="186" t="n">
        <v>83</v>
      </c>
      <c r="C64">
        <f>$B$46</f>
        <v/>
      </c>
      <c r="D64">
        <f>$B$47</f>
        <v/>
      </c>
      <c r="E64" s="187">
        <f>IF(A64&gt;=$B$49,$B$48,0)</f>
        <v/>
      </c>
      <c r="F64" s="187">
        <f>IF(A64&gt;=$B$50,$B$48,0)</f>
        <v/>
      </c>
      <c r="G64" s="187">
        <f>IF(A64&gt;=$B$51,$B$48,0)</f>
        <v/>
      </c>
      <c r="H64" s="187">
        <f>C64+E64+F64+G64</f>
        <v/>
      </c>
      <c r="I64" s="187">
        <f>SUM($B$55:B64)</f>
        <v/>
      </c>
      <c r="J64" s="187">
        <f>SUM($H$55:H64)+$B$28</f>
        <v/>
      </c>
      <c r="K64" s="187">
        <f>MAX(0,I64-J64)</f>
        <v/>
      </c>
      <c r="L64">
        <f>IF(K64&gt;0,1,0)</f>
        <v/>
      </c>
      <c r="M64" s="187">
        <f>B64*$B$33</f>
        <v/>
      </c>
      <c r="N64" s="187">
        <f>MAX(0,I64-$B$27)*$B$33</f>
        <v/>
      </c>
      <c r="O64" s="187">
        <f>MAX(0,N64-$B$23)</f>
        <v/>
      </c>
      <c r="P64">
        <f>ROUNDUP((O64-IF(ROW()=55,0,O63))/$B$36,0)</f>
        <v/>
      </c>
    </row>
    <row r="65">
      <c r="A65" s="189" t="n">
        <v>46600</v>
      </c>
      <c r="B65" s="186" t="n">
        <v>83</v>
      </c>
      <c r="C65">
        <f>$B$46</f>
        <v/>
      </c>
      <c r="D65">
        <f>$B$47</f>
        <v/>
      </c>
      <c r="E65" s="187">
        <f>IF(A65&gt;=$B$49,$B$48,0)</f>
        <v/>
      </c>
      <c r="F65" s="187">
        <f>IF(A65&gt;=$B$50,$B$48,0)</f>
        <v/>
      </c>
      <c r="G65" s="187">
        <f>IF(A65&gt;=$B$51,$B$48,0)</f>
        <v/>
      </c>
      <c r="H65" s="187">
        <f>C65+E65+F65+G65</f>
        <v/>
      </c>
      <c r="I65" s="187">
        <f>SUM($B$55:B65)</f>
        <v/>
      </c>
      <c r="J65" s="187">
        <f>SUM($H$55:H65)+$B$28</f>
        <v/>
      </c>
      <c r="K65" s="187">
        <f>MAX(0,I65-J65)</f>
        <v/>
      </c>
      <c r="L65">
        <f>IF(K65&gt;0,1,0)</f>
        <v/>
      </c>
      <c r="M65" s="187">
        <f>B65*$B$33</f>
        <v/>
      </c>
      <c r="N65" s="187">
        <f>MAX(0,I65-$B$27)*$B$33</f>
        <v/>
      </c>
      <c r="O65" s="187">
        <f>MAX(0,N65-$B$23)</f>
        <v/>
      </c>
      <c r="P65">
        <f>ROUNDUP((O65-IF(ROW()=55,0,O64))/$B$36,0)</f>
        <v/>
      </c>
    </row>
    <row r="66">
      <c r="A66" s="189" t="n">
        <v>46631</v>
      </c>
      <c r="B66" s="186" t="n">
        <v>84</v>
      </c>
      <c r="C66">
        <f>$B$46</f>
        <v/>
      </c>
      <c r="D66">
        <f>$B$47</f>
        <v/>
      </c>
      <c r="E66" s="187">
        <f>IF(A66&gt;=$B$49,$B$48,0)</f>
        <v/>
      </c>
      <c r="F66" s="187">
        <f>IF(A66&gt;=$B$50,$B$48,0)</f>
        <v/>
      </c>
      <c r="G66" s="187">
        <f>IF(A66&gt;=$B$51,$B$48,0)</f>
        <v/>
      </c>
      <c r="H66" s="187">
        <f>C66+E66+F66+G66</f>
        <v/>
      </c>
      <c r="I66" s="187">
        <f>SUM($B$55:B66)</f>
        <v/>
      </c>
      <c r="J66" s="187">
        <f>SUM($H$55:H66)+$B$28</f>
        <v/>
      </c>
      <c r="K66" s="187">
        <f>MAX(0,I66-J66)</f>
        <v/>
      </c>
      <c r="L66">
        <f>IF(K66&gt;0,1,0)</f>
        <v/>
      </c>
      <c r="M66" s="187">
        <f>B66*$B$33</f>
        <v/>
      </c>
      <c r="N66" s="187">
        <f>MAX(0,I66-$B$27)*$B$33</f>
        <v/>
      </c>
      <c r="O66" s="187">
        <f>MAX(0,N66-$B$23)</f>
        <v/>
      </c>
      <c r="P66">
        <f>ROUNDUP((O66-IF(ROW()=55,0,O65))/$B$36,0)</f>
        <v/>
      </c>
    </row>
    <row r="67">
      <c r="A67" s="173" t="inlineStr">
        <is>
          <t>Twelve months</t>
        </is>
      </c>
      <c r="B67" s="173">
        <f>SUM(B55:B66)</f>
        <v/>
      </c>
      <c r="C67" s="173">
        <f>SUM(C55:C66)</f>
        <v/>
      </c>
      <c r="D67" s="173">
        <f>SUM(D55:D66)</f>
        <v/>
      </c>
      <c r="H67" s="173">
        <f>SUM(H55:H66)</f>
        <v/>
      </c>
      <c r="M67" s="173">
        <f>SUM(M55:M66)</f>
        <v/>
      </c>
      <c r="P67" s="173">
        <f>SUM(P55:P66)</f>
        <v/>
      </c>
    </row>
    <row r="68">
      <c r="A68" s="185" t="inlineStr">
        <is>
          <t>Demand basis: ALIVE 100 in November; 400 first stock plus Centrecorp 130 across December to June; about 1,000 a year from July 2027 (Phase and raise rows 133 to 135). Cumulative capacity starts from beds possible from stock (B28).</t>
        </is>
      </c>
    </row>
    <row r="69">
      <c r="A69" s="173" t="inlineStr">
        <is>
          <t>First month the plan falls short of demand, Witta own panels plus plants</t>
        </is>
      </c>
      <c r="B69" s="190">
        <f>IFERROR(INDEX(A55:A66,MATCH(1,L55:L66,0)),"none")</f>
        <v/>
      </c>
    </row>
    <row r="70">
      <c r="A70" s="173" t="inlineStr">
        <is>
          <t>Beds short over the twelve months, cumulative at the worst point</t>
        </is>
      </c>
      <c r="B70" s="191">
        <f>MAX(K55:K66)</f>
        <v/>
      </c>
    </row>
    <row r="71">
      <c r="A71" s="185" t="inlineStr">
        <is>
          <t>Beds short if Witta runs Defy leg panels instead</t>
        </is>
      </c>
      <c r="B71" s="187">
        <f>MAX(0,B67-B28-SUM(D55:D66)-SUM(E55:G66))</f>
        <v/>
      </c>
    </row>
    <row r="72">
      <c r="A72" s="173" t="inlineStr">
        <is>
          <t>Month the shred on hand runs out</t>
        </is>
      </c>
      <c r="B72" s="190">
        <f>IFERROR(INDEX(A55:A66,MATCH(TRUE,INDEX(O55:O66&gt;0,0),0)),"not in twelve months")</f>
        <v/>
      </c>
    </row>
    <row r="73">
      <c r="A73" s="185" t="inlineStr">
        <is>
          <t>Bulka bags for the twelve months</t>
        </is>
      </c>
      <c r="B73" s="187">
        <f>P67</f>
        <v/>
      </c>
    </row>
    <row r="74">
      <c r="A74" s="185" t="inlineStr">
        <is>
          <t>Shred bill for the twelve months, $ ex GST</t>
        </is>
      </c>
      <c r="B74" s="187">
        <f>P67*B36*B35</f>
        <v/>
      </c>
    </row>
    <row r="76">
      <c r="A76" s="184" t="inlineStr">
        <is>
          <t>E. What to order now, for October to December</t>
        </is>
      </c>
    </row>
    <row r="77">
      <c r="A77" s="185" t="inlineStr">
        <is>
          <t>Beds planned, October to December</t>
        </is>
      </c>
      <c r="B77" s="187">
        <f>SUM(B55:B57)</f>
        <v/>
      </c>
    </row>
    <row r="78">
      <c r="A78" s="185" t="inlineStr">
        <is>
          <t>Shred needed, kg, for beds beyond the parts on the shelf, less shred on hand</t>
        </is>
      </c>
      <c r="B78" s="187">
        <f>MAX(0,(B77-B27)*B33-B23)</f>
        <v/>
      </c>
    </row>
    <row r="79">
      <c r="A79" s="173" t="inlineStr">
        <is>
          <t>Bulka bags to order</t>
        </is>
      </c>
      <c r="B79" s="173">
        <f>ROUNDUP(B78/B36,0)</f>
        <v/>
      </c>
    </row>
    <row r="80">
      <c r="A80" s="185" t="inlineStr">
        <is>
          <t>Shred order, $ ex GST (order in threes for the $1.80 rate)</t>
        </is>
      </c>
      <c r="B80" s="187">
        <f>B79*B36*B35</f>
        <v/>
      </c>
    </row>
    <row r="81">
      <c r="A81" s="185" t="inlineStr">
        <is>
          <t>Beds Witta cannot press by December (own panels plus stock)</t>
        </is>
      </c>
      <c r="B81" s="187">
        <f>MAX(0,B77-B28-SUM(C55:C57))</f>
        <v/>
      </c>
    </row>
    <row r="82">
      <c r="A82" s="173" t="inlineStr">
        <is>
          <t>Defy full panels to cover that surge</t>
        </is>
      </c>
      <c r="B82" s="173">
        <f>ROUNDUP(B81/B38,0)</f>
        <v/>
      </c>
    </row>
    <row r="83">
      <c r="A83" s="185" t="inlineStr">
        <is>
          <t>Panel order, $ ex GST, with freight</t>
        </is>
      </c>
      <c r="B83" s="187">
        <f>B82*(B37+B39)</f>
        <v/>
      </c>
    </row>
    <row r="84">
      <c r="A84" s="185" t="inlineStr">
        <is>
          <t>Or: the second 1200 x 1200 press (Nic to Sam, 14 Sep)</t>
        </is>
      </c>
      <c r="B84" s="192" t="n">
        <v>20000</v>
      </c>
      <c r="C84" s="171" t="inlineStr">
        <is>
          <t>About $20,000, permanent capacity. Same money as about 45 panels.</t>
        </is>
      </c>
    </row>
    <row r="85">
      <c r="A85" s="185" t="inlineStr">
        <is>
          <t>Canvas, poles and hardware for the beds, less sets on hand, $</t>
        </is>
      </c>
      <c r="B85" s="187">
        <f>MAX(0,B77-B30)*(B40+B41+B42)</f>
        <v/>
      </c>
    </row>
    <row r="86">
      <c r="A86" s="185" t="inlineStr">
        <is>
          <t>Freight to communities for those beds, $</t>
        </is>
      </c>
      <c r="B86" s="187">
        <f>B77*B45</f>
        <v/>
      </c>
    </row>
    <row r="87">
      <c r="A87" s="173" t="inlineStr">
        <is>
          <t>Order money for the quarter, shred route, $ ex GST</t>
        </is>
      </c>
      <c r="B87" s="191">
        <f>B80+B85+B86</f>
        <v/>
      </c>
    </row>
    <row r="88">
      <c r="A88" s="185" t="inlineStr">
        <is>
          <t>Order money for the quarter, if the surge goes to Defy panels, $ ex GST</t>
        </is>
      </c>
      <c r="B88" s="187">
        <f>B87+B83</f>
        <v/>
      </c>
    </row>
    <row r="90">
      <c r="A90" s="184" t="inlineStr">
        <is>
          <t>F. Money across every area for the year (price model, never cost-plus)</t>
        </is>
      </c>
    </row>
    <row r="91">
      <c r="A91" s="185" t="inlineStr">
        <is>
          <t>Beds to make in the twelve months</t>
        </is>
      </c>
      <c r="B91" s="187">
        <f>B67</f>
        <v/>
      </c>
    </row>
    <row r="92">
      <c r="A92" s="185" t="inlineStr">
        <is>
          <t>Beds Goods is paid for: catalytic tiers 1 + 2, plus ALIVE 100, plus direct orders</t>
        </is>
      </c>
      <c r="B92" s="187">
        <f>ROUND('Phase and raise'!B124+100+'Phase and raise'!C118,0)</f>
        <v/>
      </c>
    </row>
    <row r="93">
      <c r="A93" s="185" t="inlineStr">
        <is>
          <t>Revenue to Goods for those beds, $</t>
        </is>
      </c>
      <c r="B93" s="187">
        <f>B92*B44</f>
        <v/>
      </c>
    </row>
    <row r="94">
      <c r="A94" s="185" t="inlineStr">
        <is>
          <t>Cost to make them, $</t>
        </is>
      </c>
      <c r="B94" s="187">
        <f>B92*B43</f>
        <v/>
      </c>
    </row>
    <row r="95">
      <c r="A95" s="173" t="inlineStr">
        <is>
          <t>Stays in Goods, $</t>
        </is>
      </c>
      <c r="B95" s="191">
        <f>B93-B94</f>
        <v/>
      </c>
    </row>
    <row r="96">
      <c r="A96" s="185" t="inlineStr">
        <is>
          <t>Running the business a year, $</t>
        </is>
      </c>
      <c r="B96" s="187">
        <f>'Phase and raise'!B92</f>
        <v/>
      </c>
    </row>
    <row r="97">
      <c r="A97" s="173" t="inlineStr">
        <is>
          <t>Bed contribution less running the business, $ (TFFF operating support and other income cover a shortfall)</t>
        </is>
      </c>
      <c r="B97" s="191">
        <f>B95-B96</f>
        <v/>
      </c>
    </row>
    <row r="98">
      <c r="A98" s="185" t="inlineStr">
        <is>
          <t>Beds a year that would carry the organisation on beds alone</t>
        </is>
      </c>
      <c r="B98" s="187">
        <f>'Phase and raise'!B93</f>
        <v/>
      </c>
    </row>
    <row r="99">
      <c r="A99" s="185" t="inlineStr">
        <is>
          <t>Two community plants, $</t>
        </is>
      </c>
      <c r="B99" s="187">
        <f>Assumptions!B37</f>
        <v/>
      </c>
      <c r="C99" s="171" t="inlineStr">
        <is>
          <t>Funded by QBE (Funding F6)</t>
        </is>
      </c>
    </row>
    <row r="100">
      <c r="A100" s="185" t="inlineStr">
        <is>
          <t>Facilitation, four communities, $</t>
        </is>
      </c>
      <c r="B100" s="187">
        <f>Assumptions!B44*Sites!O6</f>
        <v/>
      </c>
      <c r="C100" s="171" t="inlineStr">
        <is>
          <t>Funded by BMD $40,000</t>
        </is>
      </c>
    </row>
    <row r="101">
      <c r="A101" s="185" t="inlineStr">
        <is>
          <t>Freight to communities for the year, $</t>
        </is>
      </c>
      <c r="B101" s="187">
        <f>B91*B45</f>
        <v/>
      </c>
      <c r="C101" s="171" t="inlineStr">
        <is>
          <t>Not yet in any ask</t>
        </is>
      </c>
    </row>
    <row r="102">
      <c r="A102" s="185" t="inlineStr">
        <is>
          <t>Catalytic capital still to find for the 400, $</t>
        </is>
      </c>
      <c r="B102" s="187">
        <f>'Phase and raise'!B98</f>
        <v/>
      </c>
      <c r="C102" s="171" t="inlineStr">
        <is>
          <t>187 beds</t>
        </is>
      </c>
    </row>
    <row r="103">
      <c r="A103" s="185" t="inlineStr">
        <is>
          <t>Named money for Goods this year, $</t>
        </is>
      </c>
      <c r="B103" s="187">
        <f>Funding!F6+Funding!F7+Funding!F8</f>
        <v/>
      </c>
      <c r="C103" s="171" t="inlineStr">
        <is>
          <t>QBE + TFFF + BMD</t>
        </is>
      </c>
    </row>
    <row r="104">
      <c r="A104" s="173" t="inlineStr">
        <is>
          <t>Money the plan needs beyond the named money, $ (freight plus the 187 beds, if TFFF covers the running shortfall)</t>
        </is>
      </c>
      <c r="B104" s="191">
        <f>B101+B102</f>
        <v/>
      </c>
    </row>
    <row r="106">
      <c r="A106" s="184" t="inlineStr">
        <is>
          <t>G. First principles: save money, make money, support communities, grow right</t>
        </is>
      </c>
    </row>
    <row r="107">
      <c r="A107" s="185" t="inlineStr">
        <is>
          <t>Save: pressing our own sheets instead of buying Defy panels, $ a bed</t>
        </is>
      </c>
      <c r="B107" s="187">
        <f>B37/B38-B33*B35</f>
        <v/>
      </c>
    </row>
    <row r="108">
      <c r="A108" s="185" t="inlineStr">
        <is>
          <t>Save: the shred loop, offcuts back in the press, $ a bed</t>
        </is>
      </c>
      <c r="B108" s="193">
        <f>B14*B35</f>
        <v/>
      </c>
    </row>
    <row r="109">
      <c r="A109" s="185" t="inlineStr">
        <is>
          <t>Save: buying shred three bags at a time, $ a load</t>
        </is>
      </c>
      <c r="B109" s="187">
        <f>(2-B35)*B36*3</f>
        <v/>
      </c>
    </row>
    <row r="110">
      <c r="A110" s="185" t="inlineStr">
        <is>
          <t>Make: every bed a buyer or funder pays Goods for leaves, $</t>
        </is>
      </c>
      <c r="B110" s="187">
        <f>B44-B43</f>
        <v/>
      </c>
    </row>
    <row r="111">
      <c r="A111" s="185" t="inlineStr">
        <is>
          <t>Make: beds a month at Witta with own panels and with Defy legs</t>
        </is>
      </c>
      <c r="B111">
        <f>B46&amp;" / "&amp;B47</f>
        <v/>
      </c>
    </row>
    <row r="112">
      <c r="A112" s="185" t="inlineStr">
        <is>
          <t>Support: money that stays in a community when it sells its first stock, $ a bed</t>
        </is>
      </c>
      <c r="B112">
        <f>B44</f>
        <v/>
      </c>
      <c r="C112" s="171" t="inlineStr">
        <is>
          <t>Layer 3: buyers pay the community, never Goods</t>
        </is>
      </c>
    </row>
    <row r="113">
      <c r="A113" s="185" t="inlineStr">
        <is>
          <t>Grow: the next plant is triggered by</t>
        </is>
      </c>
      <c r="B113">
        <f>"200 beds of need and an operator; $"&amp;TEXT(Assumptions!B37/2,"#,##0")&amp;" a plant"</f>
        <v/>
      </c>
    </row>
    <row r="114">
      <c r="A114" s="185" t="inlineStr">
        <is>
          <t>Grow: first month this plan falls short</t>
        </is>
      </c>
      <c r="B114" s="189">
        <f>B69</f>
        <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114"/>
  <sheetViews>
    <sheetView workbookViewId="0">
      <pane ySplit="3" topLeftCell="A4" activePane="bottomLeft" state="frozen"/>
      <selection pane="bottomLeft" activeCell="A1" sqref="A1"/>
    </sheetView>
  </sheetViews>
  <sheetFormatPr baseColWidth="8" defaultRowHeight="15"/>
  <cols>
    <col width="60" customWidth="1" min="1" max="1"/>
    <col width="16" customWidth="1" min="2" max="2"/>
    <col width="6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84" t="inlineStr">
        <is>
          <t>Plan to July 2027: every dollar in and out by month, the loan test, the asks, and the five and ten year view (Ben, 9 Sep 2026)</t>
        </is>
      </c>
    </row>
    <row r="2">
      <c r="A2" s="185" t="inlineStr">
        <is>
          <t>Yellow cells are inputs. Beds come from the Bed calculator; costs from Assumptions; funders from Funding and the ladder on Phase and raise. Price model: $750 a bed, $276 to make, $474 stays. Buyers who pay a community enterprise are not here by design: that money never reaches Goods.</t>
        </is>
      </c>
    </row>
    <row r="4">
      <c r="A4" s="184" t="inlineStr">
        <is>
          <t>A. Starting point and what can move</t>
        </is>
      </c>
    </row>
    <row r="5">
      <c r="A5" s="185" t="inlineStr">
        <is>
          <t>ALIVE bed money already in the bank, $ ex GST</t>
        </is>
      </c>
      <c r="B5" s="192" t="n">
        <v>75000</v>
      </c>
      <c r="C5" s="171" t="inlineStr">
        <is>
          <t>INV-0342 paid 2 Jul 2026: 100 beds. The visits ($17,000) are separate. These beds come out of Witta stock in November; the $474 a bed is already Goods' to keep.</t>
        </is>
      </c>
    </row>
    <row r="6">
      <c r="A6" s="185" t="inlineStr">
        <is>
          <t>Other Goods cash to start with, $</t>
        </is>
      </c>
      <c r="B6" s="192" t="n">
        <v>0</v>
      </c>
      <c r="C6" s="171" t="inlineStr">
        <is>
          <t>Goods trades in Nic's ledger ($143,997 cash, all ACT). Enter the Goods share once the carve-out is split.</t>
        </is>
      </c>
    </row>
    <row r="7">
      <c r="A7" s="185" t="inlineStr">
        <is>
          <t>Founder wages a year, $</t>
        </is>
      </c>
      <c r="B7" s="187">
        <f>Assumptions!B23</f>
        <v/>
      </c>
      <c r="C7" s="171" t="inlineStr">
        <is>
          <t>Assumptions B23</t>
        </is>
      </c>
    </row>
    <row r="8">
      <c r="A8" s="185" t="inlineStr">
        <is>
          <t>Extra founder wages a year, $ (play)</t>
        </is>
      </c>
      <c r="B8" s="192" t="n">
        <v>0</v>
      </c>
      <c r="C8" s="171" t="inlineStr"/>
    </row>
    <row r="9">
      <c r="A9" s="185" t="inlineStr">
        <is>
          <t>Field travel a year, $</t>
        </is>
      </c>
      <c r="B9" s="187">
        <f>Assumptions!B26</f>
        <v/>
      </c>
    </row>
    <row r="10">
      <c r="A10" s="185" t="inlineStr">
        <is>
          <t>Consulting and accounting a year, $</t>
        </is>
      </c>
      <c r="B10" s="187">
        <f>Assumptions!B27</f>
        <v/>
      </c>
    </row>
    <row r="11">
      <c r="A11" s="185" t="inlineStr">
        <is>
          <t>Marketing a year, $</t>
        </is>
      </c>
      <c r="B11" s="187">
        <f>Assumptions!B25</f>
        <v/>
      </c>
    </row>
    <row r="12">
      <c r="A12" s="185" t="inlineStr">
        <is>
          <t>Extra marketing a year, $ (play)</t>
        </is>
      </c>
      <c r="B12" s="192" t="n">
        <v>0</v>
      </c>
      <c r="C12" s="171" t="inlineStr"/>
    </row>
    <row r="13">
      <c r="A13" s="185" t="inlineStr">
        <is>
          <t>Witta rent and upkeep a year, $</t>
        </is>
      </c>
      <c r="B13" s="187">
        <f>'Phase and raise'!B9</f>
        <v/>
      </c>
    </row>
    <row r="14">
      <c r="A14" s="173" t="inlineStr">
        <is>
          <t>Running the business a month, $</t>
        </is>
      </c>
      <c r="B14" s="191">
        <f>(B7+B8+B9+B10+B11+B12+B13)/12</f>
        <v/>
      </c>
    </row>
    <row r="15">
      <c r="A15" s="185" t="inlineStr">
        <is>
          <t>Freight to community a bed, $</t>
        </is>
      </c>
      <c r="B15" s="187">
        <f>'Bed calculator'!B45</f>
        <v/>
      </c>
    </row>
    <row r="16">
      <c r="A16" s="185" t="inlineStr">
        <is>
          <t>Freight recovered from whoever pays for the bed, share</t>
        </is>
      </c>
      <c r="B16" s="195" t="n">
        <v>0</v>
      </c>
      <c r="C16" s="171" t="inlineStr">
        <is>
          <t>0 = Goods carries freight; 1 = charged on top and recovered</t>
        </is>
      </c>
    </row>
    <row r="17">
      <c r="A17" s="185" t="inlineStr">
        <is>
          <t>Facilitation a community, $</t>
        </is>
      </c>
      <c r="B17" s="187">
        <f>Assumptions!B44</f>
        <v/>
      </c>
    </row>
    <row r="18">
      <c r="A18" s="185" t="inlineStr">
        <is>
          <t>Communities facilitated</t>
        </is>
      </c>
      <c r="B18">
        <f>Sites!O6</f>
        <v/>
      </c>
    </row>
    <row r="19">
      <c r="A19" s="185" t="inlineStr">
        <is>
          <t>Plant cost, each, $</t>
        </is>
      </c>
      <c r="B19" s="187">
        <f>Assumptions!B37/2</f>
        <v/>
      </c>
    </row>
    <row r="21">
      <c r="A21" s="173" t="inlineStr">
        <is>
          <t>When money lands (month) and how much</t>
        </is>
      </c>
      <c r="B21" s="173" t="inlineStr">
        <is>
          <t>Month</t>
        </is>
      </c>
      <c r="C21" s="173" t="inlineStr">
        <is>
          <t>Amount, $</t>
        </is>
      </c>
      <c r="D21" s="173" t="inlineStr">
        <is>
          <t>Include</t>
        </is>
      </c>
      <c r="E21" s="173" t="inlineStr">
        <is>
          <t>Kind</t>
        </is>
      </c>
      <c r="F21" s="173" t="inlineStr">
        <is>
          <t>Basis</t>
        </is>
      </c>
    </row>
    <row r="22">
      <c r="A22" t="inlineStr">
        <is>
          <t>QBE, two plants</t>
        </is>
      </c>
      <c r="B22" s="188" t="n">
        <v>46357</v>
      </c>
      <c r="C22" s="187">
        <f>Funding!F6</f>
        <v/>
      </c>
      <c r="D22" s="186" t="n">
        <v>1</v>
      </c>
      <c r="E22" t="inlineStr">
        <is>
          <t>grant</t>
        </is>
      </c>
      <c r="F22" s="171" t="inlineStr">
        <is>
          <t>Conditional 23 Oct, pre-conditions 13 Nov</t>
        </is>
      </c>
    </row>
    <row r="23">
      <c r="A23" t="inlineStr">
        <is>
          <t>Tim Fairfax, year one (operating support)</t>
        </is>
      </c>
      <c r="B23" s="188" t="n">
        <v>46357</v>
      </c>
      <c r="C23" s="187">
        <f>Funding!F7</f>
        <v/>
      </c>
      <c r="D23" s="186" t="n">
        <v>1</v>
      </c>
      <c r="E23" t="inlineStr">
        <is>
          <t>grant</t>
        </is>
      </c>
      <c r="F23" s="171" t="inlineStr">
        <is>
          <t>Board late Nov</t>
        </is>
      </c>
    </row>
    <row r="24">
      <c r="A24" t="inlineStr">
        <is>
          <t>Brian M. Davis, 80 beds</t>
        </is>
      </c>
      <c r="B24" s="188" t="n">
        <v>46388</v>
      </c>
      <c r="C24" s="187">
        <f>'Phase and raise'!B114</f>
        <v/>
      </c>
      <c r="D24" s="186" t="n">
        <v>1</v>
      </c>
      <c r="E24" t="inlineStr">
        <is>
          <t>beds</t>
        </is>
      </c>
      <c r="F24" s="171" t="inlineStr">
        <is>
          <t>Board 19 Nov; pays once project funding is confirmed</t>
        </is>
      </c>
    </row>
    <row r="25">
      <c r="A25" t="inlineStr">
        <is>
          <t>Brian M. Davis, facilitation</t>
        </is>
      </c>
      <c r="B25" s="188" t="n">
        <v>46388</v>
      </c>
      <c r="C25" s="187">
        <f>Funding!F8-'Phase and raise'!B114</f>
        <v/>
      </c>
      <c r="D25" s="186" t="n">
        <v>1</v>
      </c>
      <c r="E25" t="inlineStr">
        <is>
          <t>grant</t>
        </is>
      </c>
      <c r="F25" s="171" t="inlineStr">
        <is>
          <t>Same grant</t>
        </is>
      </c>
    </row>
    <row r="26">
      <c r="A26" t="inlineStr">
        <is>
          <t>Snow, 133 beds</t>
        </is>
      </c>
      <c r="B26" s="188" t="n">
        <v>46419</v>
      </c>
      <c r="C26" s="187">
        <f>'Phase and raise'!B115</f>
        <v/>
      </c>
      <c r="D26" s="186" t="n">
        <v>1</v>
      </c>
      <c r="E26" t="inlineStr">
        <is>
          <t>beds</t>
        </is>
      </c>
      <c r="F26" s="171" t="inlineStr">
        <is>
          <t>Ask to make; catch-up booked with Sal</t>
        </is>
      </c>
    </row>
    <row r="27">
      <c r="A27" t="inlineStr">
        <is>
          <t>Dusseldorp, 67 beds</t>
        </is>
      </c>
      <c r="B27" s="188" t="n">
        <v>46447</v>
      </c>
      <c r="C27" s="187">
        <f>'Phase and raise'!B116</f>
        <v/>
      </c>
      <c r="D27" s="186" t="n">
        <v>1</v>
      </c>
      <c r="E27" t="inlineStr">
        <is>
          <t>beds</t>
        </is>
      </c>
      <c r="F27" s="171" t="inlineStr">
        <is>
          <t>Our number</t>
        </is>
      </c>
    </row>
    <row r="28">
      <c r="A28" t="inlineStr">
        <is>
          <t>Other philanthropy, beds</t>
        </is>
      </c>
      <c r="B28" s="188" t="n">
        <v>46478</v>
      </c>
      <c r="C28" s="187">
        <f>'Phase and raise'!B117</f>
        <v/>
      </c>
      <c r="D28" s="186" t="n">
        <v>1</v>
      </c>
      <c r="E28" t="inlineStr">
        <is>
          <t>beds</t>
        </is>
      </c>
      <c r="F28" s="171" t="inlineStr">
        <is>
          <t>Fay Fuller, Wyatt, FRRR, Minderoo if it revives</t>
        </is>
      </c>
    </row>
    <row r="29">
      <c r="A29" t="inlineStr">
        <is>
          <t>Direct orders to Goods (ALIVE pattern)</t>
        </is>
      </c>
      <c r="B29" s="188" t="n">
        <v>46419</v>
      </c>
      <c r="C29" s="187">
        <f>'Phase and raise'!B118</f>
        <v/>
      </c>
      <c r="D29" s="186" t="n">
        <v>1</v>
      </c>
      <c r="E29" t="inlineStr">
        <is>
          <t>buyer</t>
        </is>
      </c>
      <c r="F29" s="171" t="inlineStr"/>
    </row>
    <row r="30">
      <c r="A30" t="inlineStr">
        <is>
          <t>Centrecorp, 130 beds on quote, paid to Goods</t>
        </is>
      </c>
      <c r="B30" s="188" t="n">
        <v>46447</v>
      </c>
      <c r="C30" s="187">
        <f>130*'Bed calculator'!B44</f>
        <v/>
      </c>
      <c r="D30" s="186" t="n">
        <v>1</v>
      </c>
      <c r="E30" t="inlineStr">
        <is>
          <t>buyer</t>
        </is>
      </c>
      <c r="F30" s="171" t="inlineStr">
        <is>
          <t>QU-0014 (May 2026) is a quote from Goods; waiting on community feedback. Set Include 0 if the community enterprise sells them instead.</t>
        </is>
      </c>
    </row>
    <row r="31">
      <c r="A31" t="inlineStr">
        <is>
          <t>Sefa loan draw</t>
        </is>
      </c>
      <c r="B31" s="188" t="n">
        <v>46388</v>
      </c>
      <c r="C31" s="187">
        <f>Assumptions!B38</f>
        <v/>
      </c>
      <c r="D31" s="186" t="n">
        <v>0</v>
      </c>
      <c r="E31" t="inlineStr">
        <is>
          <t>loan</t>
        </is>
      </c>
      <c r="F31" s="171" t="inlineStr">
        <is>
          <t>Repayable. Include 1 only to test it. See section C.</t>
        </is>
      </c>
    </row>
    <row r="33">
      <c r="A33" s="173" t="inlineStr">
        <is>
          <t>Plants paid for in</t>
        </is>
      </c>
    </row>
    <row r="34">
      <c r="A34" s="185" t="inlineStr">
        <is>
          <t>Plant 1 build month</t>
        </is>
      </c>
      <c r="B34" s="188" t="n">
        <v>46357</v>
      </c>
      <c r="C34" s="171" t="inlineStr">
        <is>
          <t>Palm Island, working choice; first beds three months later</t>
        </is>
      </c>
    </row>
    <row r="35">
      <c r="A35" s="185" t="inlineStr">
        <is>
          <t>Plant 2 build month</t>
        </is>
      </c>
      <c r="B35" s="188" t="n">
        <v>46447</v>
      </c>
      <c r="C35" s="171" t="inlineStr">
        <is>
          <t>Maningrida, working choice</t>
        </is>
      </c>
    </row>
    <row r="36">
      <c r="A36" s="185" t="inlineStr">
        <is>
          <t>Facilitation paid across four months from</t>
        </is>
      </c>
      <c r="B36" s="188" t="n">
        <v>46388</v>
      </c>
      <c r="C36" s="171" t="inlineStr"/>
    </row>
    <row r="38">
      <c r="A38" s="184" t="inlineStr">
        <is>
          <t>B. Month by month, October 2026 to July 2027</t>
        </is>
      </c>
    </row>
    <row r="39">
      <c r="A39" s="172" t="inlineStr">
        <is>
          <t>Month</t>
        </is>
      </c>
      <c r="B39" s="172" t="inlineStr">
        <is>
          <t>Beds made</t>
        </is>
      </c>
      <c r="C39" s="172" t="inlineStr">
        <is>
          <t>Grants and catalytic capital in</t>
        </is>
      </c>
      <c r="D39" s="172" t="inlineStr">
        <is>
          <t>Buyers paying Goods in</t>
        </is>
      </c>
      <c r="E39" s="172" t="inlineStr">
        <is>
          <t>Loan draw</t>
        </is>
      </c>
      <c r="F39" s="172" t="inlineStr">
        <is>
          <t>Freight recovered</t>
        </is>
      </c>
      <c r="G39" s="172" t="inlineStr">
        <is>
          <t>Make the beds</t>
        </is>
      </c>
      <c r="H39" s="172" t="inlineStr">
        <is>
          <t>Freight out</t>
        </is>
      </c>
      <c r="I39" s="172" t="inlineStr">
        <is>
          <t>Running the business</t>
        </is>
      </c>
      <c r="J39" s="172" t="inlineStr">
        <is>
          <t>Facilitation</t>
        </is>
      </c>
      <c r="K39" s="172" t="inlineStr">
        <is>
          <t>Plants</t>
        </is>
      </c>
      <c r="L39" s="172" t="inlineStr">
        <is>
          <t>Loan service</t>
        </is>
      </c>
      <c r="M39" s="172" t="inlineStr">
        <is>
          <t>Net for the month</t>
        </is>
      </c>
      <c r="N39" s="172" t="inlineStr">
        <is>
          <t>Closing Goods cash</t>
        </is>
      </c>
      <c r="O39" s="172" t="inlineStr">
        <is>
          <t>Contribution earned (beds × $474)</t>
        </is>
      </c>
    </row>
    <row r="40">
      <c r="A40" s="189" t="n">
        <v>46296</v>
      </c>
      <c r="B40">
        <f>'Bed calculator'!B55</f>
        <v/>
      </c>
      <c r="C40" s="187">
        <f>SUMPRODUCT(($B$22:$B$30=A40)*($E$22:$E$30&lt;&gt;"buyer")*$D$22:$D$30*$C$22:$C$30)</f>
        <v/>
      </c>
      <c r="D40" s="187">
        <f>SUMPRODUCT(($B$22:$B$30=A40)*($E$22:$E$30="buyer")*$D$22:$D$30*$C$22:$C$30)</f>
        <v/>
      </c>
      <c r="E40" s="187">
        <f>IF(AND($D$31=1,$B$31=A40),$C$31,0)</f>
        <v/>
      </c>
      <c r="F40" s="187">
        <f>B40*$B$15*$B$16</f>
        <v/>
      </c>
      <c r="G40" s="187">
        <f>-B40*'Bed calculator'!$B$43</f>
        <v/>
      </c>
      <c r="H40" s="187">
        <f>-B40*$B$15</f>
        <v/>
      </c>
      <c r="I40" s="187">
        <f>-$B$14</f>
        <v/>
      </c>
      <c r="J40" s="187">
        <f>-IF(AND(A40&gt;=$B$36,A40&lt;EDATE($B$36,4)),$B$17*$B$18/4,0)</f>
        <v/>
      </c>
      <c r="K40" s="187">
        <f>-IF(A40=$B$34,$B$19,0)-IF(A40=$B$35,$B$19,0)</f>
        <v/>
      </c>
      <c r="L40" s="187">
        <f>-IF(AND($D$31=1,A40&gt;$B$31),PMT(Assumptions!$B$39/12,Assumptions!$B$40*12,-$C$31),0)</f>
        <v/>
      </c>
      <c r="M40" s="187">
        <f>SUM(C40:L40)</f>
        <v/>
      </c>
      <c r="N40" s="187">
        <f>$B$5+$B$6+M40</f>
        <v/>
      </c>
      <c r="O40" s="187">
        <f>B40*('Bed calculator'!$B$44-'Bed calculator'!$B$43)</f>
        <v/>
      </c>
    </row>
    <row r="41">
      <c r="A41" s="189" t="n">
        <v>46327</v>
      </c>
      <c r="B41">
        <f>'Bed calculator'!B56</f>
        <v/>
      </c>
      <c r="C41" s="187">
        <f>SUMPRODUCT(($B$22:$B$30=A41)*($E$22:$E$30&lt;&gt;"buyer")*$D$22:$D$30*$C$22:$C$30)</f>
        <v/>
      </c>
      <c r="D41" s="187">
        <f>SUMPRODUCT(($B$22:$B$30=A41)*($E$22:$E$30="buyer")*$D$22:$D$30*$C$22:$C$30)</f>
        <v/>
      </c>
      <c r="E41" s="187">
        <f>IF(AND($D$31=1,$B$31=A41),$C$31,0)</f>
        <v/>
      </c>
      <c r="F41" s="187">
        <f>B41*$B$15*$B$16</f>
        <v/>
      </c>
      <c r="G41" s="187">
        <f>-B41*'Bed calculator'!$B$43</f>
        <v/>
      </c>
      <c r="H41" s="187">
        <f>-B41*$B$15</f>
        <v/>
      </c>
      <c r="I41" s="187">
        <f>-$B$14</f>
        <v/>
      </c>
      <c r="J41" s="187">
        <f>-IF(AND(A41&gt;=$B$36,A41&lt;EDATE($B$36,4)),$B$17*$B$18/4,0)</f>
        <v/>
      </c>
      <c r="K41" s="187">
        <f>-IF(A41=$B$34,$B$19,0)-IF(A41=$B$35,$B$19,0)</f>
        <v/>
      </c>
      <c r="L41" s="187">
        <f>-IF(AND($D$31=1,A41&gt;$B$31),PMT(Assumptions!$B$39/12,Assumptions!$B$40*12,-$C$31),0)</f>
        <v/>
      </c>
      <c r="M41" s="187">
        <f>SUM(C41:L41)</f>
        <v/>
      </c>
      <c r="N41" s="187">
        <f>N40+M41</f>
        <v/>
      </c>
      <c r="O41" s="187">
        <f>B41*('Bed calculator'!$B$44-'Bed calculator'!$B$43)</f>
        <v/>
      </c>
    </row>
    <row r="42">
      <c r="A42" s="189" t="n">
        <v>46357</v>
      </c>
      <c r="B42">
        <f>'Bed calculator'!B57</f>
        <v/>
      </c>
      <c r="C42" s="187">
        <f>SUMPRODUCT(($B$22:$B$30=A42)*($E$22:$E$30&lt;&gt;"buyer")*$D$22:$D$30*$C$22:$C$30)</f>
        <v/>
      </c>
      <c r="D42" s="187">
        <f>SUMPRODUCT(($B$22:$B$30=A42)*($E$22:$E$30="buyer")*$D$22:$D$30*$C$22:$C$30)</f>
        <v/>
      </c>
      <c r="E42" s="187">
        <f>IF(AND($D$31=1,$B$31=A42),$C$31,0)</f>
        <v/>
      </c>
      <c r="F42" s="187">
        <f>B42*$B$15*$B$16</f>
        <v/>
      </c>
      <c r="G42" s="187">
        <f>-B42*'Bed calculator'!$B$43</f>
        <v/>
      </c>
      <c r="H42" s="187">
        <f>-B42*$B$15</f>
        <v/>
      </c>
      <c r="I42" s="187">
        <f>-$B$14</f>
        <v/>
      </c>
      <c r="J42" s="187">
        <f>-IF(AND(A42&gt;=$B$36,A42&lt;EDATE($B$36,4)),$B$17*$B$18/4,0)</f>
        <v/>
      </c>
      <c r="K42" s="187">
        <f>-IF(A42=$B$34,$B$19,0)-IF(A42=$B$35,$B$19,0)</f>
        <v/>
      </c>
      <c r="L42" s="187">
        <f>-IF(AND($D$31=1,A42&gt;$B$31),PMT(Assumptions!$B$39/12,Assumptions!$B$40*12,-$C$31),0)</f>
        <v/>
      </c>
      <c r="M42" s="187">
        <f>SUM(C42:L42)</f>
        <v/>
      </c>
      <c r="N42" s="187">
        <f>N41+M42</f>
        <v/>
      </c>
      <c r="O42" s="187">
        <f>B42*('Bed calculator'!$B$44-'Bed calculator'!$B$43)</f>
        <v/>
      </c>
    </row>
    <row r="43">
      <c r="A43" s="189" t="n">
        <v>46388</v>
      </c>
      <c r="B43">
        <f>'Bed calculator'!B58</f>
        <v/>
      </c>
      <c r="C43" s="187">
        <f>SUMPRODUCT(($B$22:$B$30=A43)*($E$22:$E$30&lt;&gt;"buyer")*$D$22:$D$30*$C$22:$C$30)</f>
        <v/>
      </c>
      <c r="D43" s="187">
        <f>SUMPRODUCT(($B$22:$B$30=A43)*($E$22:$E$30="buyer")*$D$22:$D$30*$C$22:$C$30)</f>
        <v/>
      </c>
      <c r="E43" s="187">
        <f>IF(AND($D$31=1,$B$31=A43),$C$31,0)</f>
        <v/>
      </c>
      <c r="F43" s="187">
        <f>B43*$B$15*$B$16</f>
        <v/>
      </c>
      <c r="G43" s="187">
        <f>-B43*'Bed calculator'!$B$43</f>
        <v/>
      </c>
      <c r="H43" s="187">
        <f>-B43*$B$15</f>
        <v/>
      </c>
      <c r="I43" s="187">
        <f>-$B$14</f>
        <v/>
      </c>
      <c r="J43" s="187">
        <f>-IF(AND(A43&gt;=$B$36,A43&lt;EDATE($B$36,4)),$B$17*$B$18/4,0)</f>
        <v/>
      </c>
      <c r="K43" s="187">
        <f>-IF(A43=$B$34,$B$19,0)-IF(A43=$B$35,$B$19,0)</f>
        <v/>
      </c>
      <c r="L43" s="187">
        <f>-IF(AND($D$31=1,A43&gt;$B$31),PMT(Assumptions!$B$39/12,Assumptions!$B$40*12,-$C$31),0)</f>
        <v/>
      </c>
      <c r="M43" s="187">
        <f>SUM(C43:L43)</f>
        <v/>
      </c>
      <c r="N43" s="187">
        <f>N42+M43</f>
        <v/>
      </c>
      <c r="O43" s="187">
        <f>B43*('Bed calculator'!$B$44-'Bed calculator'!$B$43)</f>
        <v/>
      </c>
    </row>
    <row r="44">
      <c r="A44" s="189" t="n">
        <v>46419</v>
      </c>
      <c r="B44">
        <f>'Bed calculator'!B59</f>
        <v/>
      </c>
      <c r="C44" s="187">
        <f>SUMPRODUCT(($B$22:$B$30=A44)*($E$22:$E$30&lt;&gt;"buyer")*$D$22:$D$30*$C$22:$C$30)</f>
        <v/>
      </c>
      <c r="D44" s="187">
        <f>SUMPRODUCT(($B$22:$B$30=A44)*($E$22:$E$30="buyer")*$D$22:$D$30*$C$22:$C$30)</f>
        <v/>
      </c>
      <c r="E44" s="187">
        <f>IF(AND($D$31=1,$B$31=A44),$C$31,0)</f>
        <v/>
      </c>
      <c r="F44" s="187">
        <f>B44*$B$15*$B$16</f>
        <v/>
      </c>
      <c r="G44" s="187">
        <f>-B44*'Bed calculator'!$B$43</f>
        <v/>
      </c>
      <c r="H44" s="187">
        <f>-B44*$B$15</f>
        <v/>
      </c>
      <c r="I44" s="187">
        <f>-$B$14</f>
        <v/>
      </c>
      <c r="J44" s="187">
        <f>-IF(AND(A44&gt;=$B$36,A44&lt;EDATE($B$36,4)),$B$17*$B$18/4,0)</f>
        <v/>
      </c>
      <c r="K44" s="187">
        <f>-IF(A44=$B$34,$B$19,0)-IF(A44=$B$35,$B$19,0)</f>
        <v/>
      </c>
      <c r="L44" s="187">
        <f>-IF(AND($D$31=1,A44&gt;$B$31),PMT(Assumptions!$B$39/12,Assumptions!$B$40*12,-$C$31),0)</f>
        <v/>
      </c>
      <c r="M44" s="187">
        <f>SUM(C44:L44)</f>
        <v/>
      </c>
      <c r="N44" s="187">
        <f>N43+M44</f>
        <v/>
      </c>
      <c r="O44" s="187">
        <f>B44*('Bed calculator'!$B$44-'Bed calculator'!$B$43)</f>
        <v/>
      </c>
    </row>
    <row r="45">
      <c r="A45" s="189" t="n">
        <v>46447</v>
      </c>
      <c r="B45">
        <f>'Bed calculator'!B60</f>
        <v/>
      </c>
      <c r="C45" s="187">
        <f>SUMPRODUCT(($B$22:$B$30=A45)*($E$22:$E$30&lt;&gt;"buyer")*$D$22:$D$30*$C$22:$C$30)</f>
        <v/>
      </c>
      <c r="D45" s="187">
        <f>SUMPRODUCT(($B$22:$B$30=A45)*($E$22:$E$30="buyer")*$D$22:$D$30*$C$22:$C$30)</f>
        <v/>
      </c>
      <c r="E45" s="187">
        <f>IF(AND($D$31=1,$B$31=A45),$C$31,0)</f>
        <v/>
      </c>
      <c r="F45" s="187">
        <f>B45*$B$15*$B$16</f>
        <v/>
      </c>
      <c r="G45" s="187">
        <f>-B45*'Bed calculator'!$B$43</f>
        <v/>
      </c>
      <c r="H45" s="187">
        <f>-B45*$B$15</f>
        <v/>
      </c>
      <c r="I45" s="187">
        <f>-$B$14</f>
        <v/>
      </c>
      <c r="J45" s="187">
        <f>-IF(AND(A45&gt;=$B$36,A45&lt;EDATE($B$36,4)),$B$17*$B$18/4,0)</f>
        <v/>
      </c>
      <c r="K45" s="187">
        <f>-IF(A45=$B$34,$B$19,0)-IF(A45=$B$35,$B$19,0)</f>
        <v/>
      </c>
      <c r="L45" s="187">
        <f>-IF(AND($D$31=1,A45&gt;$B$31),PMT(Assumptions!$B$39/12,Assumptions!$B$40*12,-$C$31),0)</f>
        <v/>
      </c>
      <c r="M45" s="187">
        <f>SUM(C45:L45)</f>
        <v/>
      </c>
      <c r="N45" s="187">
        <f>N44+M45</f>
        <v/>
      </c>
      <c r="O45" s="187">
        <f>B45*('Bed calculator'!$B$44-'Bed calculator'!$B$43)</f>
        <v/>
      </c>
    </row>
    <row r="46">
      <c r="A46" s="189" t="n">
        <v>46478</v>
      </c>
      <c r="B46">
        <f>'Bed calculator'!B61</f>
        <v/>
      </c>
      <c r="C46" s="187">
        <f>SUMPRODUCT(($B$22:$B$30=A46)*($E$22:$E$30&lt;&gt;"buyer")*$D$22:$D$30*$C$22:$C$30)</f>
        <v/>
      </c>
      <c r="D46" s="187">
        <f>SUMPRODUCT(($B$22:$B$30=A46)*($E$22:$E$30="buyer")*$D$22:$D$30*$C$22:$C$30)</f>
        <v/>
      </c>
      <c r="E46" s="187">
        <f>IF(AND($D$31=1,$B$31=A46),$C$31,0)</f>
        <v/>
      </c>
      <c r="F46" s="187">
        <f>B46*$B$15*$B$16</f>
        <v/>
      </c>
      <c r="G46" s="187">
        <f>-B46*'Bed calculator'!$B$43</f>
        <v/>
      </c>
      <c r="H46" s="187">
        <f>-B46*$B$15</f>
        <v/>
      </c>
      <c r="I46" s="187">
        <f>-$B$14</f>
        <v/>
      </c>
      <c r="J46" s="187">
        <f>-IF(AND(A46&gt;=$B$36,A46&lt;EDATE($B$36,4)),$B$17*$B$18/4,0)</f>
        <v/>
      </c>
      <c r="K46" s="187">
        <f>-IF(A46=$B$34,$B$19,0)-IF(A46=$B$35,$B$19,0)</f>
        <v/>
      </c>
      <c r="L46" s="187">
        <f>-IF(AND($D$31=1,A46&gt;$B$31),PMT(Assumptions!$B$39/12,Assumptions!$B$40*12,-$C$31),0)</f>
        <v/>
      </c>
      <c r="M46" s="187">
        <f>SUM(C46:L46)</f>
        <v/>
      </c>
      <c r="N46" s="187">
        <f>N45+M46</f>
        <v/>
      </c>
      <c r="O46" s="187">
        <f>B46*('Bed calculator'!$B$44-'Bed calculator'!$B$43)</f>
        <v/>
      </c>
    </row>
    <row r="47">
      <c r="A47" s="189" t="n">
        <v>46508</v>
      </c>
      <c r="B47">
        <f>'Bed calculator'!B62</f>
        <v/>
      </c>
      <c r="C47" s="187">
        <f>SUMPRODUCT(($B$22:$B$30=A47)*($E$22:$E$30&lt;&gt;"buyer")*$D$22:$D$30*$C$22:$C$30)</f>
        <v/>
      </c>
      <c r="D47" s="187">
        <f>SUMPRODUCT(($B$22:$B$30=A47)*($E$22:$E$30="buyer")*$D$22:$D$30*$C$22:$C$30)</f>
        <v/>
      </c>
      <c r="E47" s="187">
        <f>IF(AND($D$31=1,$B$31=A47),$C$31,0)</f>
        <v/>
      </c>
      <c r="F47" s="187">
        <f>B47*$B$15*$B$16</f>
        <v/>
      </c>
      <c r="G47" s="187">
        <f>-B47*'Bed calculator'!$B$43</f>
        <v/>
      </c>
      <c r="H47" s="187">
        <f>-B47*$B$15</f>
        <v/>
      </c>
      <c r="I47" s="187">
        <f>-$B$14</f>
        <v/>
      </c>
      <c r="J47" s="187">
        <f>-IF(AND(A47&gt;=$B$36,A47&lt;EDATE($B$36,4)),$B$17*$B$18/4,0)</f>
        <v/>
      </c>
      <c r="K47" s="187">
        <f>-IF(A47=$B$34,$B$19,0)-IF(A47=$B$35,$B$19,0)</f>
        <v/>
      </c>
      <c r="L47" s="187">
        <f>-IF(AND($D$31=1,A47&gt;$B$31),PMT(Assumptions!$B$39/12,Assumptions!$B$40*12,-$C$31),0)</f>
        <v/>
      </c>
      <c r="M47" s="187">
        <f>SUM(C47:L47)</f>
        <v/>
      </c>
      <c r="N47" s="187">
        <f>N46+M47</f>
        <v/>
      </c>
      <c r="O47" s="187">
        <f>B47*('Bed calculator'!$B$44-'Bed calculator'!$B$43)</f>
        <v/>
      </c>
    </row>
    <row r="48">
      <c r="A48" s="189" t="n">
        <v>46539</v>
      </c>
      <c r="B48">
        <f>'Bed calculator'!B63</f>
        <v/>
      </c>
      <c r="C48" s="187">
        <f>SUMPRODUCT(($B$22:$B$30=A48)*($E$22:$E$30&lt;&gt;"buyer")*$D$22:$D$30*$C$22:$C$30)</f>
        <v/>
      </c>
      <c r="D48" s="187">
        <f>SUMPRODUCT(($B$22:$B$30=A48)*($E$22:$E$30="buyer")*$D$22:$D$30*$C$22:$C$30)</f>
        <v/>
      </c>
      <c r="E48" s="187">
        <f>IF(AND($D$31=1,$B$31=A48),$C$31,0)</f>
        <v/>
      </c>
      <c r="F48" s="187">
        <f>B48*$B$15*$B$16</f>
        <v/>
      </c>
      <c r="G48" s="187">
        <f>-B48*'Bed calculator'!$B$43</f>
        <v/>
      </c>
      <c r="H48" s="187">
        <f>-B48*$B$15</f>
        <v/>
      </c>
      <c r="I48" s="187">
        <f>-$B$14</f>
        <v/>
      </c>
      <c r="J48" s="187">
        <f>-IF(AND(A48&gt;=$B$36,A48&lt;EDATE($B$36,4)),$B$17*$B$18/4,0)</f>
        <v/>
      </c>
      <c r="K48" s="187">
        <f>-IF(A48=$B$34,$B$19,0)-IF(A48=$B$35,$B$19,0)</f>
        <v/>
      </c>
      <c r="L48" s="187">
        <f>-IF(AND($D$31=1,A48&gt;$B$31),PMT(Assumptions!$B$39/12,Assumptions!$B$40*12,-$C$31),0)</f>
        <v/>
      </c>
      <c r="M48" s="187">
        <f>SUM(C48:L48)</f>
        <v/>
      </c>
      <c r="N48" s="187">
        <f>N47+M48</f>
        <v/>
      </c>
      <c r="O48" s="187">
        <f>B48*('Bed calculator'!$B$44-'Bed calculator'!$B$43)</f>
        <v/>
      </c>
    </row>
    <row r="49">
      <c r="A49" s="189" t="n">
        <v>46569</v>
      </c>
      <c r="B49">
        <f>'Bed calculator'!B64</f>
        <v/>
      </c>
      <c r="C49" s="187">
        <f>SUMPRODUCT(($B$22:$B$30=A49)*($E$22:$E$30&lt;&gt;"buyer")*$D$22:$D$30*$C$22:$C$30)</f>
        <v/>
      </c>
      <c r="D49" s="187">
        <f>SUMPRODUCT(($B$22:$B$30=A49)*($E$22:$E$30="buyer")*$D$22:$D$30*$C$22:$C$30)</f>
        <v/>
      </c>
      <c r="E49" s="187">
        <f>IF(AND($D$31=1,$B$31=A49),$C$31,0)</f>
        <v/>
      </c>
      <c r="F49" s="187">
        <f>B49*$B$15*$B$16</f>
        <v/>
      </c>
      <c r="G49" s="187">
        <f>-B49*'Bed calculator'!$B$43</f>
        <v/>
      </c>
      <c r="H49" s="187">
        <f>-B49*$B$15</f>
        <v/>
      </c>
      <c r="I49" s="187">
        <f>-$B$14</f>
        <v/>
      </c>
      <c r="J49" s="187">
        <f>-IF(AND(A49&gt;=$B$36,A49&lt;EDATE($B$36,4)),$B$17*$B$18/4,0)</f>
        <v/>
      </c>
      <c r="K49" s="187">
        <f>-IF(A49=$B$34,$B$19,0)-IF(A49=$B$35,$B$19,0)</f>
        <v/>
      </c>
      <c r="L49" s="187">
        <f>-IF(AND($D$31=1,A49&gt;$B$31),PMT(Assumptions!$B$39/12,Assumptions!$B$40*12,-$C$31),0)</f>
        <v/>
      </c>
      <c r="M49" s="187">
        <f>SUM(C49:L49)</f>
        <v/>
      </c>
      <c r="N49" s="187">
        <f>N48+M49</f>
        <v/>
      </c>
      <c r="O49" s="187">
        <f>B49*('Bed calculator'!$B$44-'Bed calculator'!$B$43)</f>
        <v/>
      </c>
    </row>
    <row r="50">
      <c r="A50" s="173" t="inlineStr">
        <is>
          <t>October to July</t>
        </is>
      </c>
      <c r="B50" s="191">
        <f>SUM(B40:B49)</f>
        <v/>
      </c>
      <c r="C50" s="191">
        <f>SUM(C40:C49)</f>
        <v/>
      </c>
      <c r="D50" s="191">
        <f>SUM(D40:D49)</f>
        <v/>
      </c>
      <c r="E50" s="191">
        <f>SUM(E40:E49)</f>
        <v/>
      </c>
      <c r="F50" s="191">
        <f>SUM(F40:F49)</f>
        <v/>
      </c>
      <c r="G50" s="191">
        <f>SUM(G40:G49)</f>
        <v/>
      </c>
      <c r="H50" s="191">
        <f>SUM(H40:H49)</f>
        <v/>
      </c>
      <c r="I50" s="191">
        <f>SUM(I40:I49)</f>
        <v/>
      </c>
      <c r="J50" s="191">
        <f>SUM(J40:J49)</f>
        <v/>
      </c>
      <c r="K50" s="191">
        <f>SUM(K40:K49)</f>
        <v/>
      </c>
      <c r="L50" s="191">
        <f>SUM(L40:L49)</f>
        <v/>
      </c>
      <c r="M50" s="191">
        <f>SUM(M40:M49)</f>
        <v/>
      </c>
      <c r="O50" s="191">
        <f>SUM(O40:O49)</f>
        <v/>
      </c>
    </row>
    <row r="51">
      <c r="A51" s="173" t="inlineStr">
        <is>
          <t>Lowest closing cash in the ten months, $</t>
        </is>
      </c>
      <c r="B51" s="191">
        <f>MIN(N40:N49)</f>
        <v/>
      </c>
    </row>
    <row r="52">
      <c r="A52" s="185" t="inlineStr">
        <is>
          <t>Month it happens</t>
        </is>
      </c>
      <c r="B52" s="189">
        <f>INDEX(A40:A49,MATCH(B51,N40:N49,0))</f>
        <v/>
      </c>
    </row>
    <row r="53">
      <c r="A53" s="173" t="inlineStr">
        <is>
          <t>Closing cash at July 2027, $</t>
        </is>
      </c>
      <c r="B53" s="191">
        <f>N49</f>
        <v/>
      </c>
    </row>
    <row r="54">
      <c r="A54" s="185" t="inlineStr">
        <is>
          <t>Reads: beds made but not yet paid for by a funder or buyer are the catalytic gap. They sit here as cost out with no cash in until Snow, Dusseldorp or others land. Freight is carried by Goods unless B16 says it is recovered.</t>
        </is>
      </c>
    </row>
    <row r="56">
      <c r="A56" s="184" t="inlineStr">
        <is>
          <t>C. Profit margin, and the loan test</t>
        </is>
      </c>
    </row>
    <row r="57">
      <c r="A57" s="185" t="inlineStr">
        <is>
          <t>Beds made, October to July</t>
        </is>
      </c>
      <c r="B57" s="187">
        <f>B50</f>
        <v/>
      </c>
    </row>
    <row r="58">
      <c r="A58" s="185" t="inlineStr">
        <is>
          <t>Contribution on every bed made, $ (beds × $474)</t>
        </is>
      </c>
      <c r="B58" s="187">
        <f>O50</f>
        <v/>
      </c>
    </row>
    <row r="59">
      <c r="A59" s="185" t="inlineStr">
        <is>
          <t>Beds a funder or buyer pays Goods for in the period (ALIVE 100 already paid, plus money landing)</t>
        </is>
      </c>
      <c r="B59" s="187">
        <f>100+ROUND(SUMPRODUCT((($E$22:$E$30="beds")+($E$22:$E$30="buyer"))*$D$22:$D$30*$C$22:$C$30)/'Bed calculator'!B44,0)</f>
        <v/>
      </c>
    </row>
    <row r="60">
      <c r="A60" s="173" t="inlineStr">
        <is>
          <t>Contribution Goods actually banks on those beds, $</t>
        </is>
      </c>
      <c r="B60" s="191">
        <f>B59*('Bed calculator'!B44-'Bed calculator'!B43)</f>
        <v/>
      </c>
    </row>
    <row r="61">
      <c r="A61" s="185" t="inlineStr">
        <is>
          <t>Gross margin on a bed</t>
        </is>
      </c>
      <c r="B61" s="196">
        <f>('Bed calculator'!B44-'Bed calculator'!B43)/'Bed calculator'!B44</f>
        <v/>
      </c>
    </row>
    <row r="62">
      <c r="A62" s="185" t="inlineStr">
        <is>
          <t>Running the business for the ten months, $</t>
        </is>
      </c>
      <c r="B62" s="187">
        <f>-I50</f>
        <v/>
      </c>
    </row>
    <row r="63">
      <c r="A63" s="173" t="inlineStr">
        <is>
          <t>Operating result before operating support, $</t>
        </is>
      </c>
      <c r="B63" s="191">
        <f>B60-B62</f>
        <v/>
      </c>
    </row>
    <row r="64">
      <c r="A64" s="185" t="inlineStr">
        <is>
          <t>Tim Fairfax operating support in the period, $</t>
        </is>
      </c>
      <c r="B64" s="187">
        <f>SUMPRODUCT(($A$22:$A$30="Tim Fairfax, year one (operating support)")*$D$22:$D$30*$C$22:$C$30)</f>
        <v/>
      </c>
    </row>
    <row r="65">
      <c r="A65" s="173" t="inlineStr">
        <is>
          <t>Operating result after operating support, $</t>
        </is>
      </c>
      <c r="B65" s="191">
        <f>B63+B64</f>
        <v/>
      </c>
    </row>
    <row r="66">
      <c r="A66" s="185" t="inlineStr">
        <is>
          <t>Beds made for nobody yet (the catalytic gap), $ of make cost carried</t>
        </is>
      </c>
      <c r="B66" s="187">
        <f>MAX(0,B57-B59)*'Bed calculator'!B43</f>
        <v/>
      </c>
    </row>
    <row r="68">
      <c r="A68" s="173" t="inlineStr">
        <is>
          <t>The Sefa test</t>
        </is>
      </c>
    </row>
    <row r="69">
      <c r="A69" s="185" t="inlineStr">
        <is>
          <t>Loan, $</t>
        </is>
      </c>
      <c r="B69" s="187">
        <f>Assumptions!B38</f>
        <v/>
      </c>
    </row>
    <row r="70">
      <c r="A70" s="185" t="inlineStr">
        <is>
          <t>Rate and term</t>
        </is>
      </c>
      <c r="B70">
        <f>TEXT(Assumptions!B39,"0%")&amp;" over "&amp;Assumptions!B40&amp;" years"</f>
        <v/>
      </c>
    </row>
    <row r="71">
      <c r="A71" s="185" t="inlineStr">
        <is>
          <t>Monthly service, $</t>
        </is>
      </c>
      <c r="B71" s="187">
        <f>PMT(Assumptions!B39/12,Assumptions!B40*12,-B69)</f>
        <v/>
      </c>
    </row>
    <row r="72">
      <c r="A72" s="185" t="inlineStr">
        <is>
          <t>A year of service, $</t>
        </is>
      </c>
      <c r="B72" s="187">
        <f>B71*12</f>
        <v/>
      </c>
    </row>
    <row r="73">
      <c r="A73" s="173" t="inlineStr">
        <is>
          <t>Paid beds a year needed just to service it</t>
        </is>
      </c>
      <c r="B73" s="191">
        <f>ROUNDUP(B72/('Bed calculator'!B44-'Bed calculator'!B43),0)</f>
        <v/>
      </c>
    </row>
    <row r="74">
      <c r="A74" s="185" t="inlineStr">
        <is>
          <t>A plant's contribution in year one, $ (200 beds × $474, if a buyer or funder pays for them)</t>
        </is>
      </c>
      <c r="B74" s="187">
        <f>200*('Bed calculator'!B44-'Bed calculator'!B43)</f>
        <v/>
      </c>
    </row>
    <row r="75">
      <c r="A75" s="185" t="inlineStr">
        <is>
          <t>Verdict</t>
        </is>
      </c>
      <c r="B75">
        <f>IF(B74&gt;B72,"Serviceable from a plant's own paid beds from its first full year. Good for plant capital, or for stock a buyer has ordered. Never for gifted first stock: those beds bring Goods no cash to repay from.","Not serviceable from one plant's first year; only with a signed buyer.")</f>
        <v/>
      </c>
    </row>
    <row r="77">
      <c r="A77" s="184" t="inlineStr">
        <is>
          <t>D. The asks, and the four outcomes each one buys</t>
        </is>
      </c>
    </row>
    <row r="78">
      <c r="A78" s="185" t="inlineStr">
        <is>
          <t>Per bed: plastic kept out of landfill, kg</t>
        </is>
      </c>
      <c r="B78">
        <f>'Phase and raise'!B150</f>
        <v/>
      </c>
    </row>
    <row r="79">
      <c r="A79" s="185" t="inlineStr">
        <is>
          <t>Per bed: factory labour, $</t>
        </is>
      </c>
      <c r="B79" t="n">
        <v>80</v>
      </c>
      <c r="C79" s="171" t="inlineStr">
        <is>
          <t>Canon: press labour inside the $276</t>
        </is>
      </c>
    </row>
    <row r="80">
      <c r="A80" s="185" t="inlineStr">
        <is>
          <t>Per bed: labour hours at an hourly rate of</t>
        </is>
      </c>
      <c r="B80" s="192" t="n">
        <v>40</v>
      </c>
      <c r="C80" s="171" t="inlineStr">
        <is>
          <t>Input; $80 a bed ÷ rate</t>
        </is>
      </c>
    </row>
    <row r="81">
      <c r="A81" s="185" t="inlineStr">
        <is>
          <t>Per bed: money that stays in a community that sells it, $</t>
        </is>
      </c>
      <c r="B81" s="187">
        <f>'Bed calculator'!B44</f>
        <v/>
      </c>
    </row>
    <row r="83">
      <c r="A83" s="172" t="inlineStr">
        <is>
          <t>Funder</t>
        </is>
      </c>
      <c r="B83" s="172" t="inlineStr">
        <is>
          <t>Ask, $</t>
        </is>
      </c>
      <c r="C83" s="172" t="inlineStr">
        <is>
          <t>What it buys</t>
        </is>
      </c>
      <c r="D83" s="172" t="inlineStr">
        <is>
          <t>Beds</t>
        </is>
      </c>
      <c r="E83" s="172" t="inlineStr">
        <is>
          <t>Employment: labour hours</t>
        </is>
      </c>
      <c r="F83" s="172" t="inlineStr">
        <is>
          <t>Community: communities served at 100</t>
        </is>
      </c>
      <c r="G83" s="172" t="inlineStr">
        <is>
          <t>Economic: $ retained locally when sold</t>
        </is>
      </c>
      <c r="H83" s="172" t="inlineStr">
        <is>
          <t>Recycling: kg diverted</t>
        </is>
      </c>
      <c r="I83" s="172" t="inlineStr">
        <is>
          <t>Health: beds off the floor</t>
        </is>
      </c>
      <c r="J83" s="172" t="inlineStr">
        <is>
          <t>Status</t>
        </is>
      </c>
    </row>
    <row r="84">
      <c r="A84" t="inlineStr">
        <is>
          <t>Snow Foundation</t>
        </is>
      </c>
      <c r="B84" s="187">
        <f>'Phase and raise'!B115</f>
        <v/>
      </c>
      <c r="C84" s="171" t="inlineStr">
        <is>
          <t>First trading stock for one community enterprise</t>
        </is>
      </c>
      <c r="D84">
        <f>IF(OR(A84="QBE Foundation",A84="Tim Fairfax Family Foundation",A84="Sefa (repayable)"),0,IF(A84="Brian M. Davis Charitable Foundation",ROUND('Phase and raise'!B114/'Bed calculator'!$B$44,0),ROUND(B84/'Bed calculator'!$B$44,0)))</f>
        <v/>
      </c>
      <c r="E84">
        <f>IF(A84="QBE Foundation","two plants' crews",ROUND(D84*$B$79/$B$80,0))</f>
        <v/>
      </c>
      <c r="F84">
        <f>IF(A84="Brian M. Davis Charitable Foundation",Sites!$O$6,ROUNDDOWN(D84/100,0))</f>
        <v/>
      </c>
      <c r="G84" s="187">
        <f>D84*$B$81</f>
        <v/>
      </c>
      <c r="H84" s="187">
        <f>D84*$B$78</f>
        <v/>
      </c>
      <c r="I84">
        <f>D84</f>
        <v/>
      </c>
      <c r="J84" s="171" t="inlineStr">
        <is>
          <t>Ask to make; catch-up booked</t>
        </is>
      </c>
    </row>
    <row r="85">
      <c r="A85" t="inlineStr">
        <is>
          <t>Dusseldorp Forum</t>
        </is>
      </c>
      <c r="B85" s="187">
        <f>'Phase and raise'!B116</f>
        <v/>
      </c>
      <c r="C85" s="171" t="inlineStr">
        <is>
          <t>First stock plus the story symposium</t>
        </is>
      </c>
      <c r="D85">
        <f>IF(OR(A85="QBE Foundation",A85="Tim Fairfax Family Foundation",A85="Sefa (repayable)"),0,IF(A85="Brian M. Davis Charitable Foundation",ROUND('Phase and raise'!B114/'Bed calculator'!$B$44,0),ROUND(B85/'Bed calculator'!$B$44,0)))</f>
        <v/>
      </c>
      <c r="E85">
        <f>IF(A85="QBE Foundation","two plants' crews",ROUND(D85*$B$79/$B$80,0))</f>
        <v/>
      </c>
      <c r="F85">
        <f>IF(A85="Brian M. Davis Charitable Foundation",Sites!$O$6,ROUNDDOWN(D85/100,0))</f>
        <v/>
      </c>
      <c r="G85" s="187">
        <f>D85*$B$81</f>
        <v/>
      </c>
      <c r="H85" s="187">
        <f>D85*$B$78</f>
        <v/>
      </c>
      <c r="I85">
        <f>D85</f>
        <v/>
      </c>
      <c r="J85" s="171" t="inlineStr">
        <is>
          <t>Our number; Rachel Fyfe in conversation</t>
        </is>
      </c>
    </row>
    <row r="86">
      <c r="A86" t="inlineStr">
        <is>
          <t>Minderoo</t>
        </is>
      </c>
      <c r="B86" s="187">
        <f>Funding!F12</f>
        <v/>
      </c>
      <c r="C86" s="171" t="inlineStr">
        <is>
          <t>First stock, if the conversation revives</t>
        </is>
      </c>
      <c r="D86">
        <f>IF(OR(A86="QBE Foundation",A86="Tim Fairfax Family Foundation",A86="Sefa (repayable)"),0,IF(A86="Brian M. Davis Charitable Foundation",ROUND('Phase and raise'!B114/'Bed calculator'!$B$44,0),ROUND(B86/'Bed calculator'!$B$44,0)))</f>
        <v/>
      </c>
      <c r="E86">
        <f>IF(A86="QBE Foundation","two plants' crews",ROUND(D86*$B$79/$B$80,0))</f>
        <v/>
      </c>
      <c r="F86">
        <f>IF(A86="Brian M. Davis Charitable Foundation",Sites!$O$6,ROUNDDOWN(D86/100,0))</f>
        <v/>
      </c>
      <c r="G86" s="187">
        <f>D86*$B$81</f>
        <v/>
      </c>
      <c r="H86" s="187">
        <f>D86*$B$78</f>
        <v/>
      </c>
      <c r="I86">
        <f>D86</f>
        <v/>
      </c>
      <c r="J86" s="171" t="inlineStr">
        <is>
          <t>Paused May 2026; not live</t>
        </is>
      </c>
    </row>
    <row r="87">
      <c r="A87" t="inlineStr">
        <is>
          <t>Tim Fairfax Family Foundation</t>
        </is>
      </c>
      <c r="B87" s="187">
        <f>Funding!F7</f>
        <v/>
      </c>
      <c r="C87" s="171" t="inlineStr">
        <is>
          <t>Operating support that lets beds be first stock</t>
        </is>
      </c>
      <c r="D87">
        <f>IF(OR(A87="QBE Foundation",A87="Tim Fairfax Family Foundation",A87="Sefa (repayable)"),0,IF(A87="Brian M. Davis Charitable Foundation",ROUND('Phase and raise'!B114/'Bed calculator'!$B$44,0),ROUND(B87/'Bed calculator'!$B$44,0)))</f>
        <v/>
      </c>
      <c r="E87">
        <f>IF(A87="QBE Foundation","two plants' crews",ROUND(D87*$B$79/$B$80,0))</f>
        <v/>
      </c>
      <c r="F87">
        <f>IF(A87="Brian M. Davis Charitable Foundation",Sites!$O$6,ROUNDDOWN(D87/100,0))</f>
        <v/>
      </c>
      <c r="G87" s="187">
        <f>D87*$B$81</f>
        <v/>
      </c>
      <c r="H87" s="187">
        <f>D87*$B$78</f>
        <v/>
      </c>
      <c r="I87">
        <f>D87</f>
        <v/>
      </c>
      <c r="J87" s="171" t="inlineStr">
        <is>
          <t>Invited; due 9 Oct</t>
        </is>
      </c>
    </row>
    <row r="88">
      <c r="A88" t="inlineStr">
        <is>
          <t>Brian M. Davis Charitable Foundation</t>
        </is>
      </c>
      <c r="B88" s="187">
        <f>Funding!F8</f>
        <v/>
      </c>
      <c r="C88" s="171" t="inlineStr">
        <is>
          <t>80 beds plus facilitation in four communities; youth employment, schools, Decor plastics</t>
        </is>
      </c>
      <c r="D88">
        <f>IF(OR(A88="QBE Foundation",A88="Tim Fairfax Family Foundation",A88="Sefa (repayable)"),0,IF(A88="Brian M. Davis Charitable Foundation",ROUND('Phase and raise'!B114/'Bed calculator'!$B$44,0),ROUND(B88/'Bed calculator'!$B$44,0)))</f>
        <v/>
      </c>
      <c r="E88">
        <f>IF(A88="QBE Foundation","two plants' crews",ROUND(D88*$B$79/$B$80,0))</f>
        <v/>
      </c>
      <c r="F88">
        <f>IF(A88="Brian M. Davis Charitable Foundation",Sites!$O$6,ROUNDDOWN(D88/100,0))</f>
        <v/>
      </c>
      <c r="G88" s="187">
        <f>D88*$B$81</f>
        <v/>
      </c>
      <c r="H88" s="187">
        <f>D88*$B$78</f>
        <v/>
      </c>
      <c r="I88">
        <f>D88</f>
        <v/>
      </c>
      <c r="J88" s="171" t="inlineStr">
        <is>
          <t>Invited; due 25 Sep</t>
        </is>
      </c>
    </row>
    <row r="89">
      <c r="A89" t="inlineStr">
        <is>
          <t>QBE Foundation</t>
        </is>
      </c>
      <c r="B89" s="187">
        <f>Funding!F6</f>
        <v/>
      </c>
      <c r="C89" s="171" t="inlineStr">
        <is>
          <t>Two community plants: the jobs move on country</t>
        </is>
      </c>
      <c r="D89">
        <f>IF(OR(A89="QBE Foundation",A89="Tim Fairfax Family Foundation",A89="Sefa (repayable)"),0,IF(A89="Brian M. Davis Charitable Foundation",ROUND('Phase and raise'!B114/'Bed calculator'!$B$44,0),ROUND(B89/'Bed calculator'!$B$44,0)))</f>
        <v/>
      </c>
      <c r="E89">
        <f>IF(A89="QBE Foundation","two plants' crews",ROUND(D89*$B$79/$B$80,0))</f>
        <v/>
      </c>
      <c r="F89">
        <f>IF(A89="Brian M. Davis Charitable Foundation",Sites!$O$6,ROUNDDOWN(D89/100,0))</f>
        <v/>
      </c>
      <c r="G89" s="187">
        <f>D89*$B$81</f>
        <v/>
      </c>
      <c r="H89" s="187">
        <f>D89*$B$78</f>
        <v/>
      </c>
      <c r="I89">
        <f>D89</f>
        <v/>
      </c>
      <c r="J89" s="171" t="inlineStr">
        <is>
          <t>Due 25 Sep</t>
        </is>
      </c>
    </row>
    <row r="90">
      <c r="A90" t="inlineStr">
        <is>
          <t>Sefa (repayable)</t>
        </is>
      </c>
      <c r="B90" s="187">
        <f>Assumptions!B38</f>
        <v/>
      </c>
      <c r="C90" s="171" t="inlineStr">
        <is>
          <t>Plant capital or stock a buyer has ordered</t>
        </is>
      </c>
      <c r="D90">
        <f>IF(OR(A90="QBE Foundation",A90="Tim Fairfax Family Foundation",A90="Sefa (repayable)"),0,IF(A90="Brian M. Davis Charitable Foundation",ROUND('Phase and raise'!B114/'Bed calculator'!$B$44,0),ROUND(B90/'Bed calculator'!$B$44,0)))</f>
        <v/>
      </c>
      <c r="E90">
        <f>IF(A90="QBE Foundation","two plants' crews",ROUND(D90*$B$79/$B$80,0))</f>
        <v/>
      </c>
      <c r="F90">
        <f>IF(A90="Brian M. Davis Charitable Foundation",Sites!$O$6,ROUNDDOWN(D90/100,0))</f>
        <v/>
      </c>
      <c r="G90" s="187">
        <f>D90*$B$81</f>
        <v/>
      </c>
      <c r="H90" s="187">
        <f>D90*$B$78</f>
        <v/>
      </c>
      <c r="I90">
        <f>D90</f>
        <v/>
      </c>
      <c r="J90" s="171" t="inlineStr">
        <is>
          <t>EOI not sent</t>
        </is>
      </c>
    </row>
    <row r="91">
      <c r="A91" t="inlineStr">
        <is>
          <t>Other philanthropy (Fay Fuller, Wyatt, FRRR)</t>
        </is>
      </c>
      <c r="B91" s="187">
        <f>'Phase and raise'!B117</f>
        <v/>
      </c>
      <c r="C91" s="171" t="inlineStr">
        <is>
          <t>First stock</t>
        </is>
      </c>
      <c r="D91">
        <f>IF(OR(A91="QBE Foundation",A91="Tim Fairfax Family Foundation",A91="Sefa (repayable)"),0,IF(A91="Brian M. Davis Charitable Foundation",ROUND('Phase and raise'!B114/'Bed calculator'!$B$44,0),ROUND(B91/'Bed calculator'!$B$44,0)))</f>
        <v/>
      </c>
      <c r="E91">
        <f>IF(A91="QBE Foundation","two plants' crews",ROUND(D91*$B$79/$B$80,0))</f>
        <v/>
      </c>
      <c r="F91">
        <f>IF(A91="Brian M. Davis Charitable Foundation",Sites!$O$6,ROUNDDOWN(D91/100,0))</f>
        <v/>
      </c>
      <c r="G91" s="187">
        <f>D91*$B$81</f>
        <v/>
      </c>
      <c r="H91" s="187">
        <f>D91*$B$78</f>
        <v/>
      </c>
      <c r="I91">
        <f>D91</f>
        <v/>
      </c>
      <c r="J91" s="171" t="inlineStr">
        <is>
          <t>No ask yet</t>
        </is>
      </c>
    </row>
    <row r="92">
      <c r="A92" s="173" t="inlineStr">
        <is>
          <t>All asks</t>
        </is>
      </c>
      <c r="B92" s="191">
        <f>SUM(B84:B91)</f>
        <v/>
      </c>
      <c r="D92" s="191">
        <f>SUM(D84:D91)</f>
        <v/>
      </c>
      <c r="E92" s="191">
        <f>SUM(E84:E91)</f>
        <v/>
      </c>
      <c r="G92" s="191">
        <f>SUM(G84:G91)</f>
        <v/>
      </c>
      <c r="H92" s="191">
        <f>SUM(H84:H91)</f>
        <v/>
      </c>
      <c r="I92" s="191">
        <f>SUM(I84:I91)</f>
        <v/>
      </c>
    </row>
    <row r="93">
      <c r="A93" s="185" t="inlineStr">
        <is>
          <t>Read each row aloud as the ask: this much money buys these beds, these hours of paid making, this many communities with stock to sell, this much money kept locally, this much plastic out of landfill, this many people off the floor. Health is the reason, never a claimed outcome.</t>
        </is>
      </c>
    </row>
    <row r="95">
      <c r="A95" s="184" t="inlineStr">
        <is>
          <t>E. Five and ten years, from the same three numbers</t>
        </is>
      </c>
    </row>
    <row r="96">
      <c r="A96" s="185" t="inlineStr">
        <is>
          <t>Plants making beds in FY27</t>
        </is>
      </c>
      <c r="B96" s="186" t="n">
        <v>1</v>
      </c>
      <c r="C96" s="171" t="inlineStr">
        <is>
          <t>Witta</t>
        </is>
      </c>
    </row>
    <row r="97">
      <c r="A97" s="185" t="inlineStr">
        <is>
          <t>Plants added each year from FY28</t>
        </is>
      </c>
      <c r="B97" s="186" t="n">
        <v>2</v>
      </c>
      <c r="C97" s="171" t="inlineStr">
        <is>
          <t>Alice Springs, Palm Island, Maningrida in FY28; then Matt's trigger, 200 beds of need</t>
        </is>
      </c>
    </row>
    <row r="98">
      <c r="A98" s="185" t="inlineStr">
        <is>
          <t>Beds a plant makes a year once running</t>
        </is>
      </c>
      <c r="B98" s="186" t="n">
        <v>400</v>
      </c>
      <c r="C98" s="171" t="inlineStr">
        <is>
          <t>Between Matt's 200 in year one and NM's 720 ceiling</t>
        </is>
      </c>
    </row>
    <row r="99">
      <c r="A99" s="185" t="inlineStr">
        <is>
          <t>Share of beds a funder or buyer pays Goods for</t>
        </is>
      </c>
      <c r="B99" s="195" t="n">
        <v>0.5</v>
      </c>
      <c r="C99" s="171" t="inlineStr">
        <is>
          <t>The rest are sold by community enterprises and the money stays there</t>
        </is>
      </c>
    </row>
    <row r="100">
      <c r="A100" s="185" t="inlineStr">
        <is>
          <t>Running the business grows each year by</t>
        </is>
      </c>
      <c r="B100" s="195" t="n">
        <v>0.1</v>
      </c>
      <c r="C100" s="171" t="inlineStr"/>
    </row>
    <row r="102">
      <c r="A102" s="172" t="inlineStr">
        <is>
          <t>Year</t>
        </is>
      </c>
      <c r="B102" s="172" t="inlineStr">
        <is>
          <t>Plants</t>
        </is>
      </c>
      <c r="C102" s="172" t="inlineStr">
        <is>
          <t>Beds a year</t>
        </is>
      </c>
      <c r="D102" s="172" t="inlineStr">
        <is>
          <t>Revenue to Goods, $</t>
        </is>
      </c>
      <c r="E102" s="172" t="inlineStr">
        <is>
          <t>Stays in Goods, $</t>
        </is>
      </c>
      <c r="F102" s="172" t="inlineStr">
        <is>
          <t>Running the business, $</t>
        </is>
      </c>
      <c r="G102" s="172" t="inlineStr">
        <is>
          <t>Result, $</t>
        </is>
      </c>
      <c r="H102" s="172" t="inlineStr">
        <is>
          <t>Kept in communities, $</t>
        </is>
      </c>
      <c r="I102" s="172" t="inlineStr">
        <is>
          <t>Plastic diverted, kg</t>
        </is>
      </c>
      <c r="J102" s="172" t="inlineStr">
        <is>
          <t>Labour hours</t>
        </is>
      </c>
      <c r="K102" s="172" t="inlineStr">
        <is>
          <t>Communities at 100 beds</t>
        </is>
      </c>
    </row>
    <row r="103">
      <c r="A103" t="inlineStr">
        <is>
          <t>FY27</t>
        </is>
      </c>
      <c r="B103">
        <f>$B$96</f>
        <v/>
      </c>
      <c r="C103" s="187">
        <f>'Bed calculator'!B91</f>
        <v/>
      </c>
      <c r="D103" s="187">
        <f>C103*$B$99*'Bed calculator'!$B$44</f>
        <v/>
      </c>
      <c r="E103" s="187">
        <f>C103*$B$99*('Bed calculator'!$B$44-'Bed calculator'!$B$43)</f>
        <v/>
      </c>
      <c r="F103" s="187">
        <f>'Phase and raise'!B92</f>
        <v/>
      </c>
      <c r="G103" s="187">
        <f>E103-F103</f>
        <v/>
      </c>
      <c r="H103" s="187">
        <f>C103*(1-$B$99)*'Bed calculator'!$B$44</f>
        <v/>
      </c>
      <c r="I103" s="187">
        <f>C103*$B$78</f>
        <v/>
      </c>
      <c r="J103" s="187">
        <f>C103*$B$79/$B$80</f>
        <v/>
      </c>
      <c r="K103">
        <f>ROUNDDOWN(C103/100,0)</f>
        <v/>
      </c>
    </row>
    <row r="104">
      <c r="A104" t="inlineStr">
        <is>
          <t>FY28</t>
        </is>
      </c>
      <c r="B104">
        <f>B103+$B$97</f>
        <v/>
      </c>
      <c r="C104" s="187">
        <f>B104*$B$98</f>
        <v/>
      </c>
      <c r="D104" s="187">
        <f>C104*$B$99*'Bed calculator'!$B$44</f>
        <v/>
      </c>
      <c r="E104" s="187">
        <f>C104*$B$99*('Bed calculator'!$B$44-'Bed calculator'!$B$43)</f>
        <v/>
      </c>
      <c r="F104" s="187">
        <f>F103*(1+$B$100)</f>
        <v/>
      </c>
      <c r="G104" s="187">
        <f>E104-F104</f>
        <v/>
      </c>
      <c r="H104" s="187">
        <f>C104*(1-$B$99)*'Bed calculator'!$B$44</f>
        <v/>
      </c>
      <c r="I104" s="187">
        <f>C104*$B$78</f>
        <v/>
      </c>
      <c r="J104" s="187">
        <f>C104*$B$79/$B$80</f>
        <v/>
      </c>
      <c r="K104">
        <f>ROUNDDOWN(C104/100,0)</f>
        <v/>
      </c>
    </row>
    <row r="105">
      <c r="A105" t="inlineStr">
        <is>
          <t>FY29</t>
        </is>
      </c>
      <c r="B105">
        <f>B104+$B$97</f>
        <v/>
      </c>
      <c r="C105" s="187">
        <f>B105*$B$98</f>
        <v/>
      </c>
      <c r="D105" s="187">
        <f>C105*$B$99*'Bed calculator'!$B$44</f>
        <v/>
      </c>
      <c r="E105" s="187">
        <f>C105*$B$99*('Bed calculator'!$B$44-'Bed calculator'!$B$43)</f>
        <v/>
      </c>
      <c r="F105" s="187">
        <f>F104*(1+$B$100)</f>
        <v/>
      </c>
      <c r="G105" s="187">
        <f>E105-F105</f>
        <v/>
      </c>
      <c r="H105" s="187">
        <f>C105*(1-$B$99)*'Bed calculator'!$B$44</f>
        <v/>
      </c>
      <c r="I105" s="187">
        <f>C105*$B$78</f>
        <v/>
      </c>
      <c r="J105" s="187">
        <f>C105*$B$79/$B$80</f>
        <v/>
      </c>
      <c r="K105">
        <f>ROUNDDOWN(C105/100,0)</f>
        <v/>
      </c>
    </row>
    <row r="106">
      <c r="A106" t="inlineStr">
        <is>
          <t>FY30</t>
        </is>
      </c>
      <c r="B106">
        <f>B105+$B$97</f>
        <v/>
      </c>
      <c r="C106" s="187">
        <f>B106*$B$98</f>
        <v/>
      </c>
      <c r="D106" s="187">
        <f>C106*$B$99*'Bed calculator'!$B$44</f>
        <v/>
      </c>
      <c r="E106" s="187">
        <f>C106*$B$99*('Bed calculator'!$B$44-'Bed calculator'!$B$43)</f>
        <v/>
      </c>
      <c r="F106" s="187">
        <f>F105*(1+$B$100)</f>
        <v/>
      </c>
      <c r="G106" s="187">
        <f>E106-F106</f>
        <v/>
      </c>
      <c r="H106" s="187">
        <f>C106*(1-$B$99)*'Bed calculator'!$B$44</f>
        <v/>
      </c>
      <c r="I106" s="187">
        <f>C106*$B$78</f>
        <v/>
      </c>
      <c r="J106" s="187">
        <f>C106*$B$79/$B$80</f>
        <v/>
      </c>
      <c r="K106">
        <f>ROUNDDOWN(C106/100,0)</f>
        <v/>
      </c>
    </row>
    <row r="107">
      <c r="A107" t="inlineStr">
        <is>
          <t>FY31</t>
        </is>
      </c>
      <c r="B107">
        <f>B106+$B$97</f>
        <v/>
      </c>
      <c r="C107" s="187">
        <f>B107*$B$98</f>
        <v/>
      </c>
      <c r="D107" s="187">
        <f>C107*$B$99*'Bed calculator'!$B$44</f>
        <v/>
      </c>
      <c r="E107" s="187">
        <f>C107*$B$99*('Bed calculator'!$B$44-'Bed calculator'!$B$43)</f>
        <v/>
      </c>
      <c r="F107" s="187">
        <f>F106*(1+$B$100)</f>
        <v/>
      </c>
      <c r="G107" s="187">
        <f>E107-F107</f>
        <v/>
      </c>
      <c r="H107" s="187">
        <f>C107*(1-$B$99)*'Bed calculator'!$B$44</f>
        <v/>
      </c>
      <c r="I107" s="187">
        <f>C107*$B$78</f>
        <v/>
      </c>
      <c r="J107" s="187">
        <f>C107*$B$79/$B$80</f>
        <v/>
      </c>
      <c r="K107">
        <f>ROUNDDOWN(C107/100,0)</f>
        <v/>
      </c>
    </row>
    <row r="108">
      <c r="A108" t="inlineStr">
        <is>
          <t>FY32</t>
        </is>
      </c>
      <c r="B108">
        <f>B107+$B$97</f>
        <v/>
      </c>
      <c r="C108" s="187">
        <f>B108*$B$98</f>
        <v/>
      </c>
      <c r="D108" s="187">
        <f>C108*$B$99*'Bed calculator'!$B$44</f>
        <v/>
      </c>
      <c r="E108" s="187">
        <f>C108*$B$99*('Bed calculator'!$B$44-'Bed calculator'!$B$43)</f>
        <v/>
      </c>
      <c r="F108" s="187">
        <f>F107*(1+$B$100)</f>
        <v/>
      </c>
      <c r="G108" s="187">
        <f>E108-F108</f>
        <v/>
      </c>
      <c r="H108" s="187">
        <f>C108*(1-$B$99)*'Bed calculator'!$B$44</f>
        <v/>
      </c>
      <c r="I108" s="187">
        <f>C108*$B$78</f>
        <v/>
      </c>
      <c r="J108" s="187">
        <f>C108*$B$79/$B$80</f>
        <v/>
      </c>
      <c r="K108">
        <f>ROUNDDOWN(C108/100,0)</f>
        <v/>
      </c>
    </row>
    <row r="109">
      <c r="A109" t="inlineStr">
        <is>
          <t>FY33</t>
        </is>
      </c>
      <c r="B109">
        <f>B108+$B$97</f>
        <v/>
      </c>
      <c r="C109" s="187">
        <f>B109*$B$98</f>
        <v/>
      </c>
      <c r="D109" s="187">
        <f>C109*$B$99*'Bed calculator'!$B$44</f>
        <v/>
      </c>
      <c r="E109" s="187">
        <f>C109*$B$99*('Bed calculator'!$B$44-'Bed calculator'!$B$43)</f>
        <v/>
      </c>
      <c r="F109" s="187">
        <f>F108*(1+$B$100)</f>
        <v/>
      </c>
      <c r="G109" s="187">
        <f>E109-F109</f>
        <v/>
      </c>
      <c r="H109" s="187">
        <f>C109*(1-$B$99)*'Bed calculator'!$B$44</f>
        <v/>
      </c>
      <c r="I109" s="187">
        <f>C109*$B$78</f>
        <v/>
      </c>
      <c r="J109" s="187">
        <f>C109*$B$79/$B$80</f>
        <v/>
      </c>
      <c r="K109">
        <f>ROUNDDOWN(C109/100,0)</f>
        <v/>
      </c>
    </row>
    <row r="110">
      <c r="A110" t="inlineStr">
        <is>
          <t>FY34</t>
        </is>
      </c>
      <c r="B110">
        <f>B109+$B$97</f>
        <v/>
      </c>
      <c r="C110" s="187">
        <f>B110*$B$98</f>
        <v/>
      </c>
      <c r="D110" s="187">
        <f>C110*$B$99*'Bed calculator'!$B$44</f>
        <v/>
      </c>
      <c r="E110" s="187">
        <f>C110*$B$99*('Bed calculator'!$B$44-'Bed calculator'!$B$43)</f>
        <v/>
      </c>
      <c r="F110" s="187">
        <f>F109*(1+$B$100)</f>
        <v/>
      </c>
      <c r="G110" s="187">
        <f>E110-F110</f>
        <v/>
      </c>
      <c r="H110" s="187">
        <f>C110*(1-$B$99)*'Bed calculator'!$B$44</f>
        <v/>
      </c>
      <c r="I110" s="187">
        <f>C110*$B$78</f>
        <v/>
      </c>
      <c r="J110" s="187">
        <f>C110*$B$79/$B$80</f>
        <v/>
      </c>
      <c r="K110">
        <f>ROUNDDOWN(C110/100,0)</f>
        <v/>
      </c>
    </row>
    <row r="111">
      <c r="A111" t="inlineStr">
        <is>
          <t>FY35</t>
        </is>
      </c>
      <c r="B111">
        <f>B110+$B$97</f>
        <v/>
      </c>
      <c r="C111" s="187">
        <f>B111*$B$98</f>
        <v/>
      </c>
      <c r="D111" s="187">
        <f>C111*$B$99*'Bed calculator'!$B$44</f>
        <v/>
      </c>
      <c r="E111" s="187">
        <f>C111*$B$99*('Bed calculator'!$B$44-'Bed calculator'!$B$43)</f>
        <v/>
      </c>
      <c r="F111" s="187">
        <f>F110*(1+$B$100)</f>
        <v/>
      </c>
      <c r="G111" s="187">
        <f>E111-F111</f>
        <v/>
      </c>
      <c r="H111" s="187">
        <f>C111*(1-$B$99)*'Bed calculator'!$B$44</f>
        <v/>
      </c>
      <c r="I111" s="187">
        <f>C111*$B$78</f>
        <v/>
      </c>
      <c r="J111" s="187">
        <f>C111*$B$79/$B$80</f>
        <v/>
      </c>
      <c r="K111">
        <f>ROUNDDOWN(C111/100,0)</f>
        <v/>
      </c>
    </row>
    <row r="112">
      <c r="A112" t="inlineStr">
        <is>
          <t>FY36</t>
        </is>
      </c>
      <c r="B112">
        <f>B111+$B$97</f>
        <v/>
      </c>
      <c r="C112" s="187">
        <f>B112*$B$98</f>
        <v/>
      </c>
      <c r="D112" s="187">
        <f>C112*$B$99*'Bed calculator'!$B$44</f>
        <v/>
      </c>
      <c r="E112" s="187">
        <f>C112*$B$99*('Bed calculator'!$B$44-'Bed calculator'!$B$43)</f>
        <v/>
      </c>
      <c r="F112" s="187">
        <f>F111*(1+$B$100)</f>
        <v/>
      </c>
      <c r="G112" s="187">
        <f>E112-F112</f>
        <v/>
      </c>
      <c r="H112" s="187">
        <f>C112*(1-$B$99)*'Bed calculator'!$B$44</f>
        <v/>
      </c>
      <c r="I112" s="187">
        <f>C112*$B$78</f>
        <v/>
      </c>
      <c r="J112" s="187">
        <f>C112*$B$79/$B$80</f>
        <v/>
      </c>
      <c r="K112">
        <f>ROUNDDOWN(C112/100,0)</f>
        <v/>
      </c>
    </row>
    <row r="114">
      <c r="A114" s="185" t="inlineStr">
        <is>
          <t>Reads: the ten-year line is an ambition, not a forecast. It shows the shape: once plants are community-owned, most of the bed money stays where the beds are, and Goods lives on the share it is paid for plus what else it sells.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09"/>
  <sheetViews>
    <sheetView workbookViewId="0">
      <pane ySplit="10" topLeftCell="A11" activePane="bottomLeft" state="frozen"/>
      <selection pane="bottomLeft" activeCell="A1" sqref="A1"/>
    </sheetView>
  </sheetViews>
  <sheetFormatPr baseColWidth="8" defaultRowHeight="15"/>
  <cols>
    <col width="44" customWidth="1" min="1" max="1"/>
    <col width="16" customWidth="1" min="2" max="2"/>
    <col width="30" customWidth="1" min="3" max="3"/>
    <col width="70" customWidth="1" min="4" max="4"/>
    <col width="14" customWidth="1" min="5" max="5"/>
  </cols>
  <sheetData>
    <row r="1">
      <c r="A1" s="170" t="inlineStr">
        <is>
          <t>Alignment: buyers, incoming, outgoings, balances, plan</t>
        </is>
      </c>
    </row>
    <row r="2">
      <c r="A2" s="171" t="inlineStr">
        <is>
          <t>AUD. Built 9 September 2026 from Xero (Nicholas Marchesi sole trader ledger), the Goods-tagged FY26 invoice mirror, primary funder emails and Ben's decisions. Amounts are gross incl. GST unless stated. Formula cells link to Funding, Phase and raise, Monthly forecast and Butterfly FY26; dated cells are snapshots and say so.</t>
        </is>
      </c>
    </row>
    <row r="3">
      <c r="A3" s="177" t="inlineStr">
        <is>
          <t>How to use this workbook</t>
        </is>
      </c>
    </row>
    <row r="4">
      <c r="A4" s="171" t="inlineStr">
        <is>
          <t>Inputs (blue cells): Assumptions (rates, QBE amount, first forecast month), Sites (communities, bed targets, facilitation count), Funding (one row per funder: amount, stage, include in scenario), Responsibilities (who pays for what). Change those; everything else recalculates.</t>
        </is>
      </c>
    </row>
    <row r="5">
      <c r="A5" s="171" t="inlineStr">
        <is>
          <t>Never type over a formula. Never add a second copy of a number. If a figure needs a decision, write the decision and the date in the note column beside it.</t>
        </is>
      </c>
    </row>
    <row r="6">
      <c r="A6" s="171" t="inlineStr">
        <is>
          <t>Notion mirror: run export-notion-model.py in this folder and replace the content of the Notion page 'Goods money model' (id 3d6ebcf981cf814fbb8ae68e6f219207). One direction only, workbook to page.</t>
        </is>
      </c>
    </row>
    <row r="7">
      <c r="A7" s="171" t="inlineStr">
        <is>
          <t>Backups: copy the file into archive/ with a dated name before a structural change. The README carries a dated line per decision.</t>
        </is>
      </c>
    </row>
    <row r="8">
      <c r="A8" s="171" t="inlineStr">
        <is>
          <t>Open in Excel and save once after any script edit: script saves carry no cached values, and Excel writes them back on save.</t>
        </is>
      </c>
    </row>
    <row r="9">
      <c r="A9" s="171" t="inlineStr"/>
    </row>
    <row r="11">
      <c r="A11" s="170" t="inlineStr">
        <is>
          <t>1. Buyers and grants received, all time (Goods only)</t>
        </is>
      </c>
    </row>
    <row r="12">
      <c r="A12" s="172" t="inlineStr">
        <is>
          <t>Who</t>
        </is>
      </c>
      <c r="B12" s="172" t="inlineStr">
        <is>
          <t>Gross AUD</t>
        </is>
      </c>
      <c r="C12" s="172" t="inlineStr">
        <is>
          <t>Paper</t>
        </is>
      </c>
      <c r="D12" s="172" t="inlineStr">
        <is>
          <t>What / status</t>
        </is>
      </c>
      <c r="E12" s="172" t="inlineStr">
        <is>
          <t>Lane</t>
        </is>
      </c>
    </row>
    <row r="13">
      <c r="A13" s="171" t="inlineStr">
        <is>
          <t>Centrecorp Foundation</t>
        </is>
      </c>
      <c r="B13" s="171" t="n">
        <v>37620</v>
      </c>
      <c r="C13" s="171" t="inlineStr">
        <is>
          <t>INV-0259, Aug 2025, paid</t>
        </is>
      </c>
      <c r="D13" s="171" t="inlineStr">
        <is>
          <t>60 Basket Beds at $370 with two build workshops.</t>
        </is>
      </c>
      <c r="E13" s="171" t="inlineStr">
        <is>
          <t>earned</t>
        </is>
      </c>
    </row>
    <row r="14">
      <c r="A14" s="171" t="inlineStr">
        <is>
          <t>Red Dust Role Models</t>
        </is>
      </c>
      <c r="B14" s="171" t="n">
        <v>15950</v>
      </c>
      <c r="C14" s="171" t="inlineStr">
        <is>
          <t>INV-0255, Jul 2025, paid</t>
        </is>
      </c>
      <c r="D14" s="171" t="inlineStr">
        <is>
          <t>Basket Bed v1 raw materials (Goods-tagged).</t>
        </is>
      </c>
      <c r="E14" s="171" t="inlineStr">
        <is>
          <t>earned</t>
        </is>
      </c>
    </row>
    <row r="15">
      <c r="A15" s="171" t="inlineStr">
        <is>
          <t>Mala'la Health Service, Maningrida</t>
        </is>
      </c>
      <c r="B15" s="171" t="n">
        <v>5434</v>
      </c>
      <c r="C15" s="171" t="inlineStr">
        <is>
          <t>INV-0283, Oct 2025, paid</t>
        </is>
      </c>
      <c r="D15" s="171" t="inlineStr">
        <is>
          <t>13 Basket Beds, first beds into Maningrida.</t>
        </is>
      </c>
      <c r="E15" s="171" t="inlineStr">
        <is>
          <t>earned</t>
        </is>
      </c>
    </row>
    <row r="16">
      <c r="A16" s="171" t="inlineStr">
        <is>
          <t>Julalikari Council, Tennant Creek</t>
        </is>
      </c>
      <c r="B16" s="171" t="n">
        <v>19800</v>
      </c>
      <c r="C16" s="171" t="inlineStr">
        <is>
          <t>INV-0282, Oct 2025, paid</t>
        </is>
      </c>
      <c r="D16" s="171" t="inlineStr">
        <is>
          <t>Washing machines.</t>
        </is>
      </c>
      <c r="E16" s="171" t="inlineStr">
        <is>
          <t>earned</t>
        </is>
      </c>
    </row>
    <row r="17">
      <c r="A17" s="171" t="inlineStr">
        <is>
          <t>Centrecorp Foundation</t>
        </is>
      </c>
      <c r="B17" s="171" t="n">
        <v>85712</v>
      </c>
      <c r="C17" s="171" t="inlineStr">
        <is>
          <t>INV-0291, Nov 2025, paid</t>
        </is>
      </c>
      <c r="D17" s="171" t="inlineStr">
        <is>
          <t>107 Stretch Beds for Utopia homelands, built with Oonchiumpa. Paper says Weave Bed v2.3 on purpose.</t>
        </is>
      </c>
      <c r="E17" s="171" t="inlineStr">
        <is>
          <t>earned</t>
        </is>
      </c>
    </row>
    <row r="18">
      <c r="A18" s="171" t="inlineStr">
        <is>
          <t>Our Community Shed</t>
        </is>
      </c>
      <c r="B18" s="171" t="n">
        <v>6765</v>
      </c>
      <c r="C18" s="171" t="inlineStr">
        <is>
          <t>INV-0308, Jan 2026, paid</t>
        </is>
      </c>
      <c r="D18" s="171" t="inlineStr">
        <is>
          <t>Washing machine.</t>
        </is>
      </c>
      <c r="E18" s="171" t="inlineStr">
        <is>
          <t>earned</t>
        </is>
      </c>
    </row>
    <row r="19">
      <c r="A19" s="171" t="inlineStr">
        <is>
          <t>Homeland School Company, Maningrida</t>
        </is>
      </c>
      <c r="B19" s="171" t="n">
        <v>44000</v>
      </c>
      <c r="C19" s="171" t="inlineStr">
        <is>
          <t>INV-0303, May 2026, paid</t>
        </is>
      </c>
      <c r="D19" s="171" t="inlineStr">
        <is>
          <t>40 Stretch Beds and two washing machines. The forty pressed in-house.</t>
        </is>
      </c>
      <c r="E19" s="171" t="inlineStr">
        <is>
          <t>earned</t>
        </is>
      </c>
    </row>
    <row r="20">
      <c r="A20" s="171" t="inlineStr">
        <is>
          <t>Julalikari Council, Tennant Creek</t>
        </is>
      </c>
      <c r="B20" s="171" t="n">
        <v>15000</v>
      </c>
      <c r="C20" s="171" t="inlineStr">
        <is>
          <t>INV-0335, Jun 2026, paid</t>
        </is>
      </c>
      <c r="D20" s="171" t="inlineStr">
        <is>
          <t>Washing machine.</t>
        </is>
      </c>
      <c r="E20" s="171" t="inlineStr">
        <is>
          <t>earned</t>
        </is>
      </c>
    </row>
    <row r="21">
      <c r="A21" s="171" t="inlineStr">
        <is>
          <t>ALIVE National Centre, University of Melbourne</t>
        </is>
      </c>
      <c r="B21" s="171" t="n">
        <v>101200</v>
      </c>
      <c r="C21" s="171" t="inlineStr">
        <is>
          <t>INV-0342, Jul 2026, paid</t>
        </is>
      </c>
      <c r="D21" s="171" t="inlineStr">
        <is>
          <t>100 Stretch Beds and four community visits, paid up front.</t>
        </is>
      </c>
      <c r="E21" s="171" t="inlineStr">
        <is>
          <t>earned</t>
        </is>
      </c>
    </row>
    <row r="22">
      <c r="A22" s="171" t="inlineStr">
        <is>
          <t>QIC Limited</t>
        </is>
      </c>
      <c r="B22" s="171" t="n">
        <v>12000</v>
      </c>
      <c r="C22" s="171" t="inlineStr">
        <is>
          <t>INV-0232, Jun 2025, paid</t>
        </is>
      </c>
      <c r="D22" s="171" t="inlineStr">
        <is>
          <t>The Bed Project, RAP commitment (Goods-tagged).</t>
        </is>
      </c>
      <c r="E22" s="171" t="inlineStr">
        <is>
          <t>earned</t>
        </is>
      </c>
    </row>
    <row r="23">
      <c r="A23" s="172" t="inlineStr">
        <is>
          <t>Buyers paid, total</t>
        </is>
      </c>
      <c r="B23" s="173">
        <f>SUM(B6:B15)</f>
        <v/>
      </c>
    </row>
    <row r="24">
      <c r="A24" s="171" t="inlineStr">
        <is>
          <t>Centrecorp Foundation</t>
        </is>
      </c>
      <c r="B24" s="171" t="n"/>
      <c r="C24" s="171" t="inlineStr">
        <is>
          <t>QU-0014, May 2026, quote open</t>
        </is>
      </c>
      <c r="D24" s="171" t="inlineStr">
        <is>
          <t>130 Stretch Beds quoted, waiting on community feedback.</t>
        </is>
      </c>
      <c r="E24" s="171" t="inlineStr">
        <is>
          <t>potential</t>
        </is>
      </c>
    </row>
    <row r="25">
      <c r="A25" s="174" t="inlineStr">
        <is>
          <t>Rotary eClub Outback</t>
        </is>
      </c>
      <c r="C25" s="171" t="inlineStr">
        <is>
          <t>INV-0222, Apr 2025, unpaid</t>
        </is>
      </c>
      <c r="D25" s="171" t="inlineStr">
        <is>
          <t>200 beds invoiced, unpaid since April 2025. Ben 5 Sep: bad debt. Not in any total.</t>
        </is>
      </c>
      <c r="E25" s="171" t="inlineStr">
        <is>
          <t>bad-debt</t>
        </is>
      </c>
    </row>
    <row r="26">
      <c r="A26" s="175" t="inlineStr">
        <is>
          <t>ALIVE National Centre</t>
        </is>
      </c>
      <c r="C26" s="171" t="inlineStr">
        <is>
          <t>INV-0341, Jul 2026, unpaid</t>
        </is>
      </c>
      <c r="D26" s="171" t="inlineStr">
        <is>
          <t>Gathering the Parts storytelling, due 30 Jul 2026. Owed, not bed revenue.</t>
        </is>
      </c>
      <c r="E26" s="171" t="inlineStr">
        <is>
          <t>owed</t>
        </is>
      </c>
    </row>
    <row r="28">
      <c r="A28" s="172" t="inlineStr">
        <is>
          <t>Grant received (Goods-tagged)</t>
        </is>
      </c>
      <c r="B28" s="172" t="inlineStr">
        <is>
          <t>Gross AUD</t>
        </is>
      </c>
      <c r="C28" s="172" t="inlineStr">
        <is>
          <t>Paper</t>
        </is>
      </c>
      <c r="D28" s="172" t="inlineStr">
        <is>
          <t>What</t>
        </is>
      </c>
      <c r="E28" s="172" t="inlineStr">
        <is>
          <t>Lane</t>
        </is>
      </c>
    </row>
    <row r="29">
      <c r="A29" s="171" t="inlineStr">
        <is>
          <t>The Snow Foundation</t>
        </is>
      </c>
      <c r="B29" s="171" t="n">
        <v>27500</v>
      </c>
      <c r="C29" s="171" t="inlineStr">
        <is>
          <t>INV-0208, Feb 2025, paid</t>
        </is>
      </c>
      <c r="D29" s="171" t="inlineStr">
        <is>
          <t>Goods project grant instalment.</t>
        </is>
      </c>
      <c r="E29" s="171" t="inlineStr">
        <is>
          <t>received</t>
        </is>
      </c>
    </row>
    <row r="30">
      <c r="A30" s="171" t="inlineStr">
        <is>
          <t>The Snow Foundation</t>
        </is>
      </c>
      <c r="B30" s="171" t="n">
        <v>1285</v>
      </c>
      <c r="C30" s="171" t="inlineStr">
        <is>
          <t>INV-0220, Mar 2025, paid</t>
        </is>
      </c>
      <c r="D30" s="171" t="inlineStr">
        <is>
          <t>Tennant Creek caravan park costs.</t>
        </is>
      </c>
      <c r="E30" s="171" t="inlineStr">
        <is>
          <t>received</t>
        </is>
      </c>
    </row>
    <row r="31">
      <c r="A31" s="171" t="inlineStr">
        <is>
          <t>The Snow Foundation</t>
        </is>
      </c>
      <c r="B31" s="171" t="n">
        <v>110000</v>
      </c>
      <c r="C31" s="171" t="inlineStr">
        <is>
          <t>INV-0227, May 2025, paid</t>
        </is>
      </c>
      <c r="D31" s="171" t="inlineStr">
        <is>
          <t>Goods Project Q2 2025.</t>
        </is>
      </c>
      <c r="E31" s="171" t="inlineStr">
        <is>
          <t>received</t>
        </is>
      </c>
    </row>
    <row r="32">
      <c r="A32" s="171" t="inlineStr">
        <is>
          <t>The Snow Foundation</t>
        </is>
      </c>
      <c r="B32" s="171" t="n">
        <v>16600</v>
      </c>
      <c r="C32" s="171" t="inlineStr">
        <is>
          <t>INV-0240, Jun 2025, paid</t>
        </is>
      </c>
      <c r="D32" s="171" t="inlineStr">
        <is>
          <t>Washing machine.</t>
        </is>
      </c>
      <c r="E32" s="171" t="inlineStr">
        <is>
          <t>received</t>
        </is>
      </c>
    </row>
    <row r="33">
      <c r="A33" s="171" t="inlineStr">
        <is>
          <t>Vincent Fairfax Family Foundation</t>
        </is>
      </c>
      <c r="B33" s="171" t="n">
        <v>50000</v>
      </c>
      <c r="C33" s="171" t="inlineStr">
        <is>
          <t>INV-0253, Jul 2025, paid</t>
        </is>
      </c>
      <c r="D33" s="171" t="inlineStr">
        <is>
          <t>Backing the Future grant.</t>
        </is>
      </c>
      <c r="E33" s="171" t="inlineStr">
        <is>
          <t>received</t>
        </is>
      </c>
    </row>
    <row r="34">
      <c r="A34" s="171" t="inlineStr">
        <is>
          <t>The Snow Foundation</t>
        </is>
      </c>
      <c r="B34" s="171" t="n">
        <v>5545</v>
      </c>
      <c r="C34" s="171" t="inlineStr">
        <is>
          <t>INV-0258, Aug 2025, paid</t>
        </is>
      </c>
      <c r="D34" s="171" t="inlineStr">
        <is>
          <t>Goods-tagged.</t>
        </is>
      </c>
      <c r="E34" s="171" t="inlineStr">
        <is>
          <t>received</t>
        </is>
      </c>
    </row>
    <row r="35">
      <c r="A35" s="171" t="inlineStr">
        <is>
          <t>The Snow Foundation</t>
        </is>
      </c>
      <c r="B35" s="171" t="n">
        <v>110000</v>
      </c>
      <c r="C35" s="171" t="inlineStr">
        <is>
          <t>INV-0268, Sep 2025, paid</t>
        </is>
      </c>
      <c r="D35" s="171" t="inlineStr">
        <is>
          <t>Goods Project FY26 Q1/Q2.</t>
        </is>
      </c>
      <c r="E35" s="171" t="inlineStr">
        <is>
          <t>received</t>
        </is>
      </c>
    </row>
    <row r="36">
      <c r="A36" s="171" t="inlineStr">
        <is>
          <t>The John Villiers Trust</t>
        </is>
      </c>
      <c r="B36" s="171" t="n">
        <v>1200</v>
      </c>
      <c r="C36" s="171" t="inlineStr">
        <is>
          <t>INV-0327, May 2026, paid</t>
        </is>
      </c>
      <c r="D36" s="171" t="inlineStr">
        <is>
          <t>Palm Island video flights.</t>
        </is>
      </c>
      <c r="E36" s="171" t="inlineStr">
        <is>
          <t>received</t>
        </is>
      </c>
    </row>
    <row r="37">
      <c r="A37" s="171" t="inlineStr">
        <is>
          <t>The Snow Foundation</t>
        </is>
      </c>
      <c r="B37" s="171" t="n">
        <v>132000</v>
      </c>
      <c r="C37" s="171" t="inlineStr">
        <is>
          <t>INV-0321, May 2026, paid</t>
        </is>
      </c>
      <c r="D37" s="171" t="inlineStr">
        <is>
          <t>Immediate bed deployment.</t>
        </is>
      </c>
      <c r="E37" s="171" t="inlineStr">
        <is>
          <t>received</t>
        </is>
      </c>
    </row>
    <row r="38">
      <c r="A38" s="172" t="inlineStr">
        <is>
          <t>Grants received, total</t>
        </is>
      </c>
      <c r="B38" s="173">
        <f>SUM(B22:B30)</f>
        <v/>
      </c>
    </row>
    <row r="40">
      <c r="A40" s="172" t="inlineStr">
        <is>
          <t>To confirm with Ben (paid to the ACT ledger, not Goods-tagged in the mirror)</t>
        </is>
      </c>
    </row>
    <row r="41">
      <c r="A41" s="171" t="inlineStr">
        <is>
          <t>Sunshine Coast Health Foundation</t>
        </is>
      </c>
      <c r="B41" s="171" t="n">
        <v>90000</v>
      </c>
      <c r="C41" s="171" t="inlineStr">
        <is>
          <t>INV-0149/0157/0172, Jul to Nov 2024</t>
        </is>
      </c>
      <c r="D41" s="171" t="inlineStr">
        <is>
          <t>Three payments of $30,000. Goods or Harvest?</t>
        </is>
      </c>
      <c r="E41" s="171" t="inlineStr">
        <is>
          <t>unclassified</t>
        </is>
      </c>
    </row>
    <row r="42">
      <c r="A42" s="171" t="inlineStr">
        <is>
          <t>Bimberi Youth Justice Centre</t>
        </is>
      </c>
      <c r="B42" s="171" t="n">
        <v>11110</v>
      </c>
      <c r="C42" s="171" t="inlineStr">
        <is>
          <t>INV-0175, Dec 2024</t>
        </is>
      </c>
      <c r="D42" s="171" t="inlineStr">
        <is>
          <t>Beds?</t>
        </is>
      </c>
      <c r="E42" s="171" t="inlineStr">
        <is>
          <t>unclassified</t>
        </is>
      </c>
    </row>
    <row r="43">
      <c r="A43" s="171" t="inlineStr">
        <is>
          <t>MinggaMingga Rangers</t>
        </is>
      </c>
      <c r="B43" s="171" t="n">
        <v>7415</v>
      </c>
      <c r="C43" s="171" t="inlineStr">
        <is>
          <t>INV-0193, Dec 2024, QU-0003</t>
        </is>
      </c>
      <c r="D43" s="171" t="inlineStr">
        <is>
          <t>Beds?</t>
        </is>
      </c>
      <c r="E43" s="171" t="inlineStr">
        <is>
          <t>unclassified</t>
        </is>
      </c>
    </row>
    <row r="44">
      <c r="A44" s="171" t="inlineStr">
        <is>
          <t>The Snow Foundation</t>
        </is>
      </c>
      <c r="B44" s="171" t="n">
        <v>55000</v>
      </c>
      <c r="C44" s="171" t="inlineStr">
        <is>
          <t>INV-0166 and INV-0170, Oct and Nov 2024</t>
        </is>
      </c>
      <c r="D44" s="171" t="inlineStr">
        <is>
          <t>Same instalment series as INV-0208?</t>
        </is>
      </c>
      <c r="E44" s="171" t="inlineStr">
        <is>
          <t>unclassified</t>
        </is>
      </c>
    </row>
    <row r="45">
      <c r="A45" s="171" t="inlineStr">
        <is>
          <t>Richard Cassidy</t>
        </is>
      </c>
      <c r="B45" s="171" t="n">
        <v>104500</v>
      </c>
      <c r="C45" s="171" t="inlineStr">
        <is>
          <t>INV-0201, Jan 2025</t>
        </is>
      </c>
      <c r="D45" s="171" t="inlineStr">
        <is>
          <t>Unknown purpose.</t>
        </is>
      </c>
      <c r="E45" s="171" t="inlineStr">
        <is>
          <t>unclassified</t>
        </is>
      </c>
    </row>
    <row r="46">
      <c r="A46" s="171" t="inlineStr">
        <is>
          <t>Palm Island Community Company</t>
        </is>
      </c>
      <c r="B46" s="171" t="n">
        <v>436700</v>
      </c>
      <c r="C46" s="171" t="inlineStr">
        <is>
          <t>Five invoices 2025, all paid</t>
        </is>
      </c>
      <c r="D46" s="171" t="inlineStr">
        <is>
          <t>Not Goods-tagged. INV-0317 (40 beds) was voided and never happened.</t>
        </is>
      </c>
      <c r="E46" s="171" t="inlineStr">
        <is>
          <t>unclassified</t>
        </is>
      </c>
    </row>
    <row r="48">
      <c r="A48" s="170" t="inlineStr">
        <is>
          <t>2. Incoming: every live source, linked to Funding</t>
        </is>
      </c>
    </row>
    <row r="49">
      <c r="A49" s="172" t="inlineStr">
        <is>
          <t>Source</t>
        </is>
      </c>
      <c r="B49" s="172" t="inlineStr">
        <is>
          <t>Year 1 amount</t>
        </is>
      </c>
      <c r="C49" s="172" t="inlineStr">
        <is>
          <t>Evidence stage</t>
        </is>
      </c>
      <c r="D49" s="172" t="inlineStr">
        <is>
          <t>Condition / next evidence</t>
        </is>
      </c>
      <c r="E49" s="172" t="inlineStr">
        <is>
          <t>Include?</t>
        </is>
      </c>
    </row>
    <row r="50">
      <c r="A50" s="171">
        <f>Funding!B6</f>
        <v/>
      </c>
      <c r="B50" s="171">
        <f>Funding!F6</f>
        <v/>
      </c>
      <c r="C50" s="171">
        <f>Funding!E6</f>
        <v/>
      </c>
      <c r="D50" s="171">
        <f>Funding!L6</f>
        <v/>
      </c>
      <c r="E50" s="171">
        <f>Funding!J6</f>
        <v/>
      </c>
    </row>
    <row r="51">
      <c r="A51" s="171">
        <f>Funding!B7</f>
        <v/>
      </c>
      <c r="B51" s="171">
        <f>Funding!F7</f>
        <v/>
      </c>
      <c r="C51" s="171">
        <f>Funding!E7</f>
        <v/>
      </c>
      <c r="D51" s="171">
        <f>Funding!L7</f>
        <v/>
      </c>
      <c r="E51" s="171">
        <f>Funding!J7</f>
        <v/>
      </c>
    </row>
    <row r="52">
      <c r="A52" s="171">
        <f>Funding!B8</f>
        <v/>
      </c>
      <c r="B52" s="171">
        <f>Funding!F8</f>
        <v/>
      </c>
      <c r="C52" s="171">
        <f>Funding!E8</f>
        <v/>
      </c>
      <c r="D52" s="171">
        <f>Funding!L8</f>
        <v/>
      </c>
      <c r="E52" s="171">
        <f>Funding!J8</f>
        <v/>
      </c>
    </row>
    <row r="53">
      <c r="A53" s="171">
        <f>Funding!B11</f>
        <v/>
      </c>
      <c r="B53" s="171">
        <f>Funding!F11</f>
        <v/>
      </c>
      <c r="C53" s="171">
        <f>Funding!E11</f>
        <v/>
      </c>
      <c r="D53" s="171">
        <f>Funding!L11</f>
        <v/>
      </c>
      <c r="E53" s="171">
        <f>Funding!J11</f>
        <v/>
      </c>
    </row>
    <row r="54">
      <c r="A54" s="171">
        <f>Funding!B15</f>
        <v/>
      </c>
      <c r="B54" s="171">
        <f>Funding!F15</f>
        <v/>
      </c>
      <c r="C54" s="171">
        <f>Funding!E15</f>
        <v/>
      </c>
      <c r="D54" s="171">
        <f>Funding!L15</f>
        <v/>
      </c>
      <c r="E54" s="171">
        <f>Funding!J15</f>
        <v/>
      </c>
    </row>
    <row r="55">
      <c r="A55" s="171">
        <f>Funding!B16</f>
        <v/>
      </c>
      <c r="B55" s="171">
        <f>Funding!F16</f>
        <v/>
      </c>
      <c r="C55" s="171">
        <f>Funding!E16</f>
        <v/>
      </c>
      <c r="D55" s="171">
        <f>Funding!L16</f>
        <v/>
      </c>
      <c r="E55" s="171">
        <f>Funding!J16</f>
        <v/>
      </c>
    </row>
    <row r="56">
      <c r="A56" s="171">
        <f>Funding!B17</f>
        <v/>
      </c>
      <c r="B56" s="171">
        <f>Funding!F17</f>
        <v/>
      </c>
      <c r="C56" s="171">
        <f>Funding!E17</f>
        <v/>
      </c>
      <c r="D56" s="171">
        <f>Funding!L17</f>
        <v/>
      </c>
      <c r="E56" s="171">
        <f>Funding!J17</f>
        <v/>
      </c>
    </row>
    <row r="57">
      <c r="A57" s="171">
        <f>Funding!B9</f>
        <v/>
      </c>
      <c r="B57" s="171">
        <f>Funding!F9</f>
        <v/>
      </c>
      <c r="C57" s="171">
        <f>Funding!E9</f>
        <v/>
      </c>
      <c r="D57" s="171">
        <f>Funding!L9</f>
        <v/>
      </c>
      <c r="E57" s="171">
        <f>Funding!J9</f>
        <v/>
      </c>
    </row>
    <row r="58">
      <c r="A58" s="171">
        <f>Funding!B10</f>
        <v/>
      </c>
      <c r="B58" s="171">
        <f>Funding!F10</f>
        <v/>
      </c>
      <c r="C58" s="171">
        <f>Funding!E10</f>
        <v/>
      </c>
      <c r="D58" s="171">
        <f>Funding!L10</f>
        <v/>
      </c>
      <c r="E58" s="171">
        <f>Funding!J10</f>
        <v/>
      </c>
    </row>
    <row r="59">
      <c r="A59" s="171">
        <f>Funding!B12</f>
        <v/>
      </c>
      <c r="B59" s="171">
        <f>Funding!F12</f>
        <v/>
      </c>
      <c r="C59" s="171">
        <f>Funding!E12</f>
        <v/>
      </c>
      <c r="D59" s="171">
        <f>Funding!L12</f>
        <v/>
      </c>
      <c r="E59" s="171">
        <f>Funding!J12</f>
        <v/>
      </c>
    </row>
    <row r="60">
      <c r="A60" s="171">
        <f>Funding!B18</f>
        <v/>
      </c>
      <c r="B60" s="171">
        <f>Funding!F18</f>
        <v/>
      </c>
      <c r="C60" s="171">
        <f>Funding!E18</f>
        <v/>
      </c>
      <c r="D60" s="171">
        <f>Funding!L18</f>
        <v/>
      </c>
      <c r="E60" s="171">
        <f>Funding!J18</f>
        <v/>
      </c>
    </row>
    <row r="61">
      <c r="A61" s="172" t="inlineStr">
        <is>
          <t>Secured today</t>
        </is>
      </c>
      <c r="B61">
        <f>Funding!F19</f>
        <v/>
      </c>
    </row>
    <row r="62">
      <c r="A62" s="172" t="inlineStr">
        <is>
          <t>Possible Year 1 receipts in the Full case (grants and loan)</t>
        </is>
      </c>
      <c r="B62">
        <f>SUMIFS(FundingTranches[Full possible],FundingTranches[Scenario month],"&lt;=12")</f>
        <v/>
      </c>
    </row>
    <row r="63">
      <c r="A63" s="171" t="inlineStr">
        <is>
          <t>Read this as: nothing is signed. TFFF and BMD decide in late November, after QBE's 13 November pre-condition date. DEWR and NIAA fund the Alice Springs plant only and pass through Goods; they are not part of this raise. Ask Jay whether Oonchiumpa-held money counts as matched funding for Butterfly.</t>
        </is>
      </c>
    </row>
    <row r="65">
      <c r="A65" s="170" t="inlineStr">
        <is>
          <t>3. Outgoings: what the programme costs</t>
        </is>
      </c>
    </row>
    <row r="66">
      <c r="A66" s="172" t="inlineStr">
        <is>
          <t>Line</t>
        </is>
      </c>
      <c r="B66" s="172" t="inlineStr">
        <is>
          <t>Amount</t>
        </is>
      </c>
      <c r="C66" s="172" t="inlineStr">
        <is>
          <t>Basis</t>
        </is>
      </c>
      <c r="D66" s="172" t="inlineStr">
        <is>
          <t>Note</t>
        </is>
      </c>
    </row>
    <row r="67">
      <c r="A67" s="171" t="inlineStr">
        <is>
          <t>Initial stock and delivery, 400 beds</t>
        </is>
      </c>
      <c r="B67" s="176">
        <f>'Phase and raise'!B6</f>
        <v/>
      </c>
      <c r="C67" s="171" t="inlineStr">
        <is>
          <t>Phase and raise B6</t>
        </is>
      </c>
      <c r="D67" s="171" t="inlineStr">
        <is>
          <t>Raised: QBE, TFFF year one and BMD together cover the programme (beds, programmes, plants).</t>
        </is>
      </c>
    </row>
    <row r="68">
      <c r="A68" s="171" t="inlineStr">
        <is>
          <t>Initial programme support</t>
        </is>
      </c>
      <c r="B68" s="176">
        <f>'Phase and raise'!B7</f>
        <v/>
      </c>
      <c r="C68" s="171" t="inlineStr">
        <is>
          <t>Phase and raise B7</t>
        </is>
      </c>
      <c r="D68" s="171" t="inlineStr">
        <is>
          <t>Four bed communities at $10,000 facilitation each, none of them Alice Springs (likely Mount Isa and Lower Gulf, Kununurra, Ceduna / Port Augusta, Tennant Creek, possibly Utopia homelands). BMD $40,000 here, $60,000 against beds.</t>
        </is>
      </c>
    </row>
    <row r="69">
      <c r="A69" s="171" t="inlineStr">
        <is>
          <t>Two new plants for communities other than Alice Springs</t>
        </is>
      </c>
      <c r="B69" s="176">
        <f>'Phase and raise'!B8</f>
        <v/>
      </c>
      <c r="C69" s="171" t="inlineStr">
        <is>
          <t>Phase and raise B8</t>
        </is>
      </c>
      <c r="D69" s="171" t="inlineStr">
        <is>
          <t>QBE $300,000. Working choice Palm Island and Maningrida (may change); Mount Isa, Tennant Creek and Ceduna also in the mix. Alice Springs is a third, separately funded plant.</t>
        </is>
      </c>
    </row>
    <row r="70">
      <c r="A70" s="171" t="inlineStr">
        <is>
          <t>Current facility annual costs</t>
        </is>
      </c>
      <c r="B70" s="176">
        <f>'Phase and raise'!B9</f>
        <v/>
      </c>
      <c r="C70" s="171" t="inlineStr">
        <is>
          <t>Phase and raise B9</t>
        </is>
      </c>
      <c r="D70" s="171" t="inlineStr">
        <is>
          <t>Counts fully: 400 beds use the whole facility year.</t>
        </is>
      </c>
    </row>
    <row r="71">
      <c r="A71" s="171" t="inlineStr">
        <is>
          <t>Shared Goods annual costs</t>
        </is>
      </c>
      <c r="B71" s="176">
        <f>'Phase and raise'!B10</f>
        <v/>
      </c>
      <c r="C71" s="171" t="inlineStr">
        <is>
          <t>Phase and raise B10</t>
        </is>
      </c>
      <c r="D71" s="171" t="inlineStr">
        <is>
          <t>Counts fully: no other funded Goods work exists in Year 1.</t>
        </is>
      </c>
    </row>
    <row r="72">
      <c r="A72" s="171" t="inlineStr">
        <is>
          <t>Priced annual scope</t>
        </is>
      </c>
      <c r="B72" s="176">
        <f>'Phase and raise'!B11</f>
        <v/>
      </c>
      <c r="C72" s="171" t="inlineStr">
        <is>
          <t>Phase and raise B11</t>
        </is>
      </c>
      <c r="D72" s="171" t="inlineStr">
        <is>
          <t>Cost-plus total for reference. The business runs on the price model: every bed is $750, $426 makes it, $324 stays in Goods for Witta, staff and the organisation. See Phase and raise rows 86 to 101.</t>
        </is>
      </c>
    </row>
    <row r="73">
      <c r="A73" s="171" t="inlineStr">
        <is>
          <t>Capacity-constrained 12-month spend</t>
        </is>
      </c>
      <c r="B73" s="176">
        <f>'Responsibilities'!B26</f>
        <v/>
      </c>
      <c r="C73" s="171" t="inlineStr">
        <is>
          <t>Responsibilities B26</t>
        </is>
      </c>
      <c r="D73" s="171" t="inlineStr">
        <is>
          <t>360 beds, the roster as it stands.</t>
        </is>
      </c>
    </row>
    <row r="74">
      <c r="A74" s="171" t="inlineStr">
        <is>
          <t>Spend falling in FY27 (to 30 Jun 2027)</t>
        </is>
      </c>
      <c r="B74" s="176">
        <f>IF(ISNUMBER(Assumptions!B7),SUMIFS('Monthly forecast'!D21:AM21,'Monthly forecast'!D6:AM6,"&lt;="&amp;MAX(1,MIN(36,12*(2027-YEAR(Assumptions!B7))+7-MONTH(Assumptions!B7)))),"Set Assumptions B7 (first forecast month)")</f>
        <v/>
      </c>
      <c r="C74" s="171" t="inlineStr">
        <is>
          <t>Assumptions B7</t>
        </is>
      </c>
      <c r="D74" s="171" t="inlineStr">
        <is>
          <t>December 2026 start puts seven months in FY27.</t>
        </is>
      </c>
    </row>
    <row r="75">
      <c r="A75" s="173" t="inlineStr">
        <is>
          <t>Full cost of a bed by volume</t>
        </is>
      </c>
    </row>
    <row r="76">
      <c r="A76" s="173" t="inlineStr">
        <is>
          <t>Beds a year</t>
        </is>
      </c>
      <c r="B76" s="173" t="inlineStr">
        <is>
          <t>Make it</t>
        </is>
      </c>
      <c r="C76" s="173" t="inlineStr">
        <is>
          <t>Business per bed</t>
        </is>
      </c>
      <c r="D76" s="173" t="inlineStr">
        <is>
          <t>Full cost</t>
        </is>
      </c>
      <c r="E76" s="173" t="inlineStr">
        <is>
          <t>Against $750</t>
        </is>
      </c>
    </row>
    <row r="77">
      <c r="A77" t="n">
        <v>400</v>
      </c>
      <c r="B77">
        <f>'Phase and raise'!C105</f>
        <v/>
      </c>
      <c r="C77">
        <f>'Phase and raise'!D105</f>
        <v/>
      </c>
      <c r="D77">
        <f>'Phase and raise'!E105</f>
        <v/>
      </c>
      <c r="E77">
        <f>'Phase and raise'!F105</f>
        <v/>
      </c>
    </row>
    <row r="78">
      <c r="A78" t="n">
        <v>800</v>
      </c>
      <c r="B78">
        <f>'Phase and raise'!C106</f>
        <v/>
      </c>
      <c r="C78">
        <f>'Phase and raise'!D106</f>
        <v/>
      </c>
      <c r="D78">
        <f>'Phase and raise'!E106</f>
        <v/>
      </c>
      <c r="E78">
        <f>'Phase and raise'!F106</f>
        <v/>
      </c>
    </row>
    <row r="79">
      <c r="A79" t="n">
        <v>1200</v>
      </c>
      <c r="B79">
        <f>'Phase and raise'!C107</f>
        <v/>
      </c>
      <c r="C79">
        <f>'Phase and raise'!D107</f>
        <v/>
      </c>
      <c r="D79">
        <f>'Phase and raise'!E107</f>
        <v/>
      </c>
      <c r="E79">
        <f>'Phase and raise'!F107</f>
        <v/>
      </c>
    </row>
    <row r="80">
      <c r="A80" t="n">
        <v>2000</v>
      </c>
      <c r="B80">
        <f>'Phase and raise'!C108</f>
        <v/>
      </c>
      <c r="C80">
        <f>'Phase and raise'!D108</f>
        <v/>
      </c>
      <c r="D80">
        <f>'Phase and raise'!E108</f>
        <v/>
      </c>
      <c r="E80">
        <f>'Phase and raise'!F108</f>
        <v/>
      </c>
    </row>
    <row r="81">
      <c r="A81" s="171" t="inlineStr">
        <is>
          <t>$750 covers materials and a share of the business. At today's volume the rest is carried by grants, washing machines and workshops. At about 1,300 beds a year it covers everything.</t>
        </is>
      </c>
    </row>
    <row r="84">
      <c r="A84" s="170" t="inlineStr">
        <is>
          <t>4. Balances</t>
        </is>
      </c>
    </row>
    <row r="85">
      <c r="A85" s="172" t="inlineStr">
        <is>
          <t>Entity</t>
        </is>
      </c>
      <c r="B85" s="172" t="inlineStr">
        <is>
          <t>Amount</t>
        </is>
      </c>
      <c r="C85" s="172" t="inlineStr">
        <is>
          <t>As at</t>
        </is>
      </c>
      <c r="D85" s="172" t="inlineStr">
        <is>
          <t>Source</t>
        </is>
      </c>
    </row>
    <row r="86">
      <c r="A86" s="171" t="inlineStr">
        <is>
          <t>Nic sole trader ledger, cash at bank</t>
        </is>
      </c>
      <c r="B86" s="171" t="n">
        <v>143996.5</v>
      </c>
      <c r="C86" s="171" t="inlineStr">
        <is>
          <t>9 Sep 2026</t>
        </is>
      </c>
      <c r="D86" s="171" t="inlineStr">
        <is>
          <t>Xero cash position, read-only, 9 Sep 2026</t>
        </is>
      </c>
    </row>
    <row r="87">
      <c r="A87" s="171" t="inlineStr">
        <is>
          <t>Nic sole trader ledger, receivables</t>
        </is>
      </c>
      <c r="B87" s="171" t="n">
        <v>281048.84</v>
      </c>
      <c r="C87" s="171" t="inlineStr">
        <is>
          <t>9 Sep 2026</t>
        </is>
      </c>
      <c r="D87" s="171" t="inlineStr">
        <is>
          <t>Xero. Includes Rotary $82,500 bad debt and ALIVE $66,000.</t>
        </is>
      </c>
    </row>
    <row r="88">
      <c r="A88" s="171" t="inlineStr">
        <is>
          <t>Nic sole trader ledger, payables</t>
        </is>
      </c>
      <c r="B88" s="171" t="n">
        <v>311237.48</v>
      </c>
      <c r="C88" s="171" t="inlineStr">
        <is>
          <t>9 Sep 2026</t>
        </is>
      </c>
      <c r="D88" s="171" t="inlineStr">
        <is>
          <t>Xero</t>
        </is>
      </c>
    </row>
    <row r="89">
      <c r="A89" s="171" t="inlineStr">
        <is>
          <t>Nic sole trader ledger, FY27 cash income to date</t>
        </is>
      </c>
      <c r="B89" s="171" t="n">
        <v>316046.73</v>
      </c>
      <c r="C89" s="171" t="inlineStr">
        <is>
          <t>1 Jul to 9 Sep 2026</t>
        </is>
      </c>
      <c r="D89" s="171" t="inlineStr">
        <is>
          <t>Xero P&amp;L cash basis; all ACT activity, Goods share not split</t>
        </is>
      </c>
    </row>
    <row r="90">
      <c r="A90" s="171" t="inlineStr">
        <is>
          <t>Nic sole trader ledger, FY27 cash expenses to date</t>
        </is>
      </c>
      <c r="B90" s="171" t="n">
        <v>190371.35</v>
      </c>
      <c r="C90" s="171" t="inlineStr">
        <is>
          <t>1 Jul to 9 Sep 2026</t>
        </is>
      </c>
      <c r="D90" s="171" t="inlineStr">
        <is>
          <t>Xero P&amp;L cash basis</t>
        </is>
      </c>
    </row>
    <row r="91">
      <c r="A91" s="171" t="inlineStr">
        <is>
          <t>The Butterfly Movement Ltd, closing cash</t>
        </is>
      </c>
      <c r="B91" s="171">
        <f>'Butterfly FY26'!B54</f>
        <v/>
      </c>
      <c r="C91" s="171" t="inlineStr">
        <is>
          <t>30 Jun 2026</t>
        </is>
      </c>
      <c r="D91" s="171" t="inlineStr">
        <is>
          <t>Butterfly FY26 sheet (unaudited; audit due mid-September)</t>
        </is>
      </c>
    </row>
    <row r="92">
      <c r="A92" s="171" t="inlineStr">
        <is>
          <t>The Butterfly Movement Ltd, net assets</t>
        </is>
      </c>
      <c r="B92" s="171">
        <f>'Butterfly FY26'!B57</f>
        <v/>
      </c>
      <c r="C92" s="171" t="inlineStr">
        <is>
          <t>30 Jun 2026</t>
        </is>
      </c>
      <c r="D92" s="171" t="inlineStr">
        <is>
          <t>Butterfly FY26 sheet</t>
        </is>
      </c>
    </row>
    <row r="93">
      <c r="A93" s="171" t="inlineStr">
        <is>
          <t>The model's opening cash (Assumptions B10) is still blank. The applicant is Butterfly, whose cash was $4,041 at 30 June. The Goods cash sits in Nic's ledger and needs a documented transfer before it is Butterfly's opening balance.</t>
        </is>
      </c>
    </row>
    <row r="95">
      <c r="A95" s="170" t="inlineStr">
        <is>
          <t>4. Balances</t>
        </is>
      </c>
    </row>
    <row r="96">
      <c r="A96" s="172" t="inlineStr">
        <is>
          <t>Holder</t>
        </is>
      </c>
      <c r="B96" s="172" t="inlineStr">
        <is>
          <t>Money</t>
        </is>
      </c>
      <c r="C96" s="172" t="inlineStr">
        <is>
          <t>Buys</t>
        </is>
      </c>
      <c r="D96" s="172" t="inlineStr">
        <is>
          <t>On the QBE form</t>
        </is>
      </c>
    </row>
    <row r="97">
      <c r="A97" s="171" t="inlineStr">
        <is>
          <t>Oonchiumpa</t>
        </is>
      </c>
      <c r="B97" s="171" t="inlineStr">
        <is>
          <t>DEWR REAL $1,695,000 over four years (offer 12 Aug, agreement pending)</t>
        </is>
      </c>
      <c r="C97" s="171" t="inlineStr">
        <is>
          <t>The Alice Springs plant, its project manager and wages. About $150,000 paid to Goods to build the plant; Goods spends it on that build. Outside this raise.</t>
        </is>
      </c>
      <c r="D97" s="171" t="inlineStr">
        <is>
          <t>Q2, Q8, Q14: capital in a related entity. Kristy directs both; disclose.</t>
        </is>
      </c>
    </row>
    <row r="98">
      <c r="A98" s="171" t="inlineStr">
        <is>
          <t>Oonchiumpa</t>
        </is>
      </c>
      <c r="B98" s="171" t="inlineStr">
        <is>
          <t>NIAA Local Investments up to $150,000 (invitation not issued)</t>
        </is>
      </c>
      <c r="C98" s="171" t="inlineStr">
        <is>
          <t>Alice Springs plant equipment, paid to Goods and spent on the build. NIAA has confirmed equipment is eligible. Outside this raise.</t>
        </is>
      </c>
      <c r="D98" s="171" t="inlineStr">
        <is>
          <t>Q14 as a prospect only.</t>
        </is>
      </c>
    </row>
    <row r="99">
      <c r="A99" s="171" t="inlineStr">
        <is>
          <t>Oonchiumpa (First Nations stream) or Butterfly / ACT (general SEDI)</t>
        </is>
      </c>
      <c r="B99" s="171" t="inlineStr">
        <is>
          <t>SEDI $50,000 to $120,000 (rolling to early 2027; one EOI covers both streams)</t>
        </is>
      </c>
      <c r="C99" s="171" t="inlineStr">
        <is>
          <t>Capability services: finance, evaluation, legal. Not plant, not beds.</t>
        </is>
      </c>
      <c r="D99" s="171" t="inlineStr">
        <is>
          <t>Q14 as a prospect; strengthens Q19 readiness if won.</t>
        </is>
      </c>
    </row>
    <row r="100">
      <c r="A100" s="171" t="inlineStr">
        <is>
          <t>Butterfly / Goods on Country</t>
        </is>
      </c>
      <c r="B100" s="171" t="inlineStr">
        <is>
          <t>QBE $300,000 (two plants; $150,000 for one), TFFF $100,000 a year, BMD up to $100,000, Sefa loan target</t>
        </is>
      </c>
      <c r="C100" s="171" t="inlineStr">
        <is>
          <t>QBE: the two community plants. TFFF: the organisation. BMD: facilitation and beds. The rest of the beds and The Harvest year: other supporters and buyers, scaling with what lands.</t>
        </is>
      </c>
      <c r="D100" s="171" t="inlineStr">
        <is>
          <t>Q5, Q6, Q7; Q14 for the two invitations.</t>
        </is>
      </c>
    </row>
    <row r="101">
      <c r="A101" s="171" t="inlineStr">
        <is>
          <t>Buyers</t>
        </is>
      </c>
      <c r="B101" s="171" t="inlineStr">
        <is>
          <t>ALIVE paid $101,200; Centrecorp 130 beds on quote</t>
        </is>
      </c>
      <c r="C101" s="171" t="inlineStr">
        <is>
          <t>Beds bought outright.</t>
        </is>
      </c>
      <c r="D101" s="171" t="inlineStr">
        <is>
          <t>Q10 and Q19: demand already paying.</t>
        </is>
      </c>
    </row>
    <row r="103">
      <c r="A103" s="172" t="inlineStr">
        <is>
          <t>Plan, in order</t>
        </is>
      </c>
    </row>
    <row r="104">
      <c r="A104" s="183" t="inlineStr">
        <is>
          <t>1. Done 9 Sep: QBE $300,000 builds the two plants ($150,000 for one), working choice Palm Island and Maningrida. Next: a site and a quote basis for each before 25 Sep.</t>
        </is>
      </c>
    </row>
    <row r="105">
      <c r="A105" s="183" t="inlineStr">
        <is>
          <t>2. Decide the funding mix for the 400 beds and the plants: A, QBE builds the plants and Snow plus Dusseldorp fund the last 187 beds; B, ask QBE for $400,000 (plants plus 133 beds); C, QBE buys beds and repayable capital builds the plants. And decide whether freight ($40,000) sits in the asks or with the community.</t>
        </is>
      </c>
    </row>
    <row r="106">
      <c r="A106" s="183" t="inlineStr">
        <is>
          <t>3. A fresh count at Witta: finished beds, tabs, legs, uncut sheets, raw kg, poles, canvas, plus tab mass and shredder throughput. Enter it in the admin inventory form; it becomes the calculator's opening stock.</t>
        </is>
      </c>
    </row>
    <row r="107">
      <c r="A107" s="183" t="inlineStr">
        <is>
          <t>4. Ask Jay two questions: does Oonchiumpa-held DEWR money count as matched funding for Butterfly, and how to show the related party.</t>
        </is>
      </c>
    </row>
    <row r="108">
      <c r="A108" s="183" t="inlineStr">
        <is>
          <t>5. Snow: $375,000 of last year's Goods income and no current ask. The first ask to make; 133 beds at $100,000.</t>
        </is>
      </c>
    </row>
    <row r="109">
      <c r="A109" s="183" t="inlineStr">
        <is>
          <t>6. BMD pays only once all project funding is confirmed. Scope the BMD project as 80 beds plus facilitation; apply by 25 Sep. TFFF by 9 Oct as operating support that buys first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2026-09-09T02:26:55Z</dcterms:created>
  <dcterms:modified xmlns:dcterms="http://purl.org/dc/terms/" xmlns:xsi="http://www.w3.org/2001/XMLSchema-instance" xsi:type="dcterms:W3CDTF">2026-09-09T09:15:12Z</dcterms:modified>
</cp:coreProperties>
</file>